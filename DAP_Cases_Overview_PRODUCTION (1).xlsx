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mran\Downloads\"/>
    </mc:Choice>
  </mc:AlternateContent>
  <xr:revisionPtr revIDLastSave="0" documentId="13_ncr:1_{65F5745E-BC8F-4899-A4EA-51C94BB473A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ll Cases - Enter Cases" sheetId="1" r:id="rId1"/>
    <sheet name="Sindh" sheetId="2" r:id="rId2"/>
    <sheet name="Punjab" sheetId="3" r:id="rId3"/>
    <sheet name="KPK" sheetId="4" r:id="rId4"/>
    <sheet name="Balochistan" sheetId="5" r:id="rId5"/>
    <sheet name="Approved-In-Depth" sheetId="6" r:id="rId6"/>
    <sheet name="Approved-Enforcement" sheetId="7" r:id="rId7"/>
    <sheet name="Invoice Due" sheetId="8" r:id="rId8"/>
    <sheet name="Management View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9" l="1"/>
  <c r="D31" i="9"/>
  <c r="G31" i="9" s="1"/>
  <c r="C31" i="9"/>
  <c r="B31" i="9"/>
  <c r="E30" i="9"/>
  <c r="D30" i="9"/>
  <c r="G30" i="9" s="1"/>
  <c r="C30" i="9"/>
  <c r="B30" i="9"/>
  <c r="E29" i="9"/>
  <c r="D29" i="9"/>
  <c r="G29" i="9" s="1"/>
  <c r="C29" i="9"/>
  <c r="B29" i="9"/>
  <c r="E28" i="9"/>
  <c r="D28" i="9"/>
  <c r="G28" i="9" s="1"/>
  <c r="C28" i="9"/>
  <c r="B28" i="9"/>
  <c r="B5" i="9"/>
  <c r="B4" i="9"/>
  <c r="B3" i="9"/>
  <c r="B2" i="9"/>
  <c r="F970" i="7"/>
  <c r="E970" i="7"/>
  <c r="C967" i="7"/>
  <c r="F944" i="7"/>
  <c r="L935" i="7"/>
  <c r="K935" i="7"/>
  <c r="M909" i="7"/>
  <c r="G909" i="7"/>
  <c r="E901" i="7"/>
  <c r="M874" i="7"/>
  <c r="C852" i="7"/>
  <c r="G840" i="7"/>
  <c r="D779" i="7"/>
  <c r="L747" i="7"/>
  <c r="E744" i="7"/>
  <c r="D744" i="7"/>
  <c r="G721" i="7"/>
  <c r="M712" i="7"/>
  <c r="K709" i="7"/>
  <c r="K688" i="7"/>
  <c r="J688" i="7"/>
  <c r="G681" i="7"/>
  <c r="A664" i="7"/>
  <c r="M653" i="7"/>
  <c r="M640" i="7"/>
  <c r="F637" i="7"/>
  <c r="D629" i="7"/>
  <c r="H627" i="7"/>
  <c r="F619" i="7"/>
  <c r="A606" i="7"/>
  <c r="B593" i="7"/>
  <c r="A593" i="7"/>
  <c r="G584" i="7"/>
  <c r="E581" i="7"/>
  <c r="H571" i="7"/>
  <c r="G571" i="7"/>
  <c r="E568" i="7"/>
  <c r="I558" i="7"/>
  <c r="H558" i="7"/>
  <c r="G558" i="7"/>
  <c r="I545" i="7"/>
  <c r="H545" i="7"/>
  <c r="I510" i="7"/>
  <c r="E501" i="7"/>
  <c r="D501" i="7"/>
  <c r="J497" i="7"/>
  <c r="E488" i="7"/>
  <c r="L453" i="7"/>
  <c r="F453" i="7"/>
  <c r="E453" i="7"/>
  <c r="G440" i="7"/>
  <c r="F440" i="7"/>
  <c r="I430" i="7"/>
  <c r="G427" i="7"/>
  <c r="I417" i="7"/>
  <c r="M405" i="7"/>
  <c r="L405" i="7"/>
  <c r="M392" i="7"/>
  <c r="F371" i="7"/>
  <c r="H361" i="7"/>
  <c r="A358" i="7"/>
  <c r="A318" i="7"/>
  <c r="M317" i="7"/>
  <c r="G309" i="7"/>
  <c r="F309" i="7"/>
  <c r="H304" i="7"/>
  <c r="E301" i="7"/>
  <c r="G296" i="7"/>
  <c r="F296" i="7"/>
  <c r="I291" i="7"/>
  <c r="H291" i="7"/>
  <c r="J286" i="7"/>
  <c r="G283" i="7"/>
  <c r="A283" i="7"/>
  <c r="I278" i="7"/>
  <c r="H278" i="7"/>
  <c r="A270" i="7"/>
  <c r="M261" i="7"/>
  <c r="H248" i="7"/>
  <c r="I243" i="7"/>
  <c r="H235" i="7"/>
  <c r="J230" i="7"/>
  <c r="I230" i="7"/>
  <c r="H222" i="7"/>
  <c r="E221" i="7"/>
  <c r="M181" i="7"/>
  <c r="G173" i="7"/>
  <c r="F173" i="7"/>
  <c r="E165" i="7"/>
  <c r="A147" i="7"/>
  <c r="B134" i="7"/>
  <c r="A134" i="7"/>
  <c r="A127" i="7"/>
  <c r="J126" i="7"/>
  <c r="C117" i="7"/>
  <c r="M109" i="7"/>
  <c r="E107" i="7"/>
  <c r="A107" i="7"/>
  <c r="I103" i="7"/>
  <c r="L100" i="7"/>
  <c r="I87" i="7"/>
  <c r="L64" i="7"/>
  <c r="H63" i="7"/>
  <c r="L56" i="7"/>
  <c r="L51" i="7"/>
  <c r="L43" i="7"/>
  <c r="G38" i="7"/>
  <c r="C32" i="7"/>
  <c r="G30" i="7"/>
  <c r="G25" i="7"/>
  <c r="C24" i="7"/>
  <c r="G17" i="7"/>
  <c r="K1000" i="6"/>
  <c r="H1000" i="6"/>
  <c r="G1000" i="6"/>
  <c r="F1000" i="6"/>
  <c r="C1000" i="6"/>
  <c r="A1000" i="6"/>
  <c r="A1000" i="7" s="1"/>
  <c r="M999" i="6"/>
  <c r="L999" i="6"/>
  <c r="K999" i="6"/>
  <c r="H999" i="6"/>
  <c r="F999" i="6"/>
  <c r="E999" i="6"/>
  <c r="D999" i="6"/>
  <c r="C999" i="6"/>
  <c r="A999" i="6"/>
  <c r="A999" i="7" s="1"/>
  <c r="A998" i="6"/>
  <c r="M997" i="6"/>
  <c r="K997" i="6"/>
  <c r="J997" i="6"/>
  <c r="H997" i="6"/>
  <c r="G997" i="6"/>
  <c r="F997" i="6"/>
  <c r="E997" i="6"/>
  <c r="C997" i="6"/>
  <c r="B997" i="6"/>
  <c r="A997" i="6"/>
  <c r="A997" i="7" s="1"/>
  <c r="M996" i="6"/>
  <c r="L996" i="6"/>
  <c r="K996" i="6"/>
  <c r="J996" i="6"/>
  <c r="H996" i="6"/>
  <c r="G996" i="6"/>
  <c r="F996" i="6"/>
  <c r="E996" i="6"/>
  <c r="D996" i="6"/>
  <c r="C996" i="6"/>
  <c r="B996" i="6"/>
  <c r="A996" i="6"/>
  <c r="A996" i="7" s="1"/>
  <c r="I995" i="6"/>
  <c r="H995" i="6"/>
  <c r="G995" i="6"/>
  <c r="A995" i="6"/>
  <c r="M994" i="6"/>
  <c r="L994" i="6"/>
  <c r="F994" i="6"/>
  <c r="E994" i="6"/>
  <c r="D994" i="6"/>
  <c r="A994" i="6"/>
  <c r="A994" i="7" s="1"/>
  <c r="K993" i="6"/>
  <c r="I993" i="6"/>
  <c r="A993" i="6"/>
  <c r="K992" i="6"/>
  <c r="H992" i="6"/>
  <c r="G992" i="6"/>
  <c r="F992" i="6"/>
  <c r="C992" i="6"/>
  <c r="A992" i="6"/>
  <c r="A992" i="7" s="1"/>
  <c r="M991" i="6"/>
  <c r="L991" i="6"/>
  <c r="K991" i="6"/>
  <c r="H991" i="6"/>
  <c r="F991" i="6"/>
  <c r="E991" i="6"/>
  <c r="D991" i="6"/>
  <c r="C991" i="6"/>
  <c r="A991" i="6"/>
  <c r="A991" i="7" s="1"/>
  <c r="J990" i="6"/>
  <c r="I990" i="6"/>
  <c r="H990" i="6"/>
  <c r="B990" i="6"/>
  <c r="A990" i="6"/>
  <c r="M989" i="6"/>
  <c r="K989" i="6"/>
  <c r="J989" i="6"/>
  <c r="H989" i="6"/>
  <c r="G989" i="6"/>
  <c r="F989" i="6"/>
  <c r="E989" i="6"/>
  <c r="C989" i="6"/>
  <c r="B989" i="6"/>
  <c r="A989" i="6"/>
  <c r="A989" i="7" s="1"/>
  <c r="M988" i="6"/>
  <c r="L988" i="6"/>
  <c r="K988" i="6"/>
  <c r="J988" i="6"/>
  <c r="H988" i="6"/>
  <c r="G988" i="6"/>
  <c r="F988" i="6"/>
  <c r="E988" i="6"/>
  <c r="D988" i="6"/>
  <c r="C988" i="6"/>
  <c r="B988" i="6"/>
  <c r="A988" i="6"/>
  <c r="A988" i="7" s="1"/>
  <c r="I987" i="6"/>
  <c r="G987" i="6"/>
  <c r="A987" i="6"/>
  <c r="M986" i="6"/>
  <c r="L986" i="6"/>
  <c r="F986" i="6"/>
  <c r="E986" i="6"/>
  <c r="D986" i="6"/>
  <c r="A986" i="6"/>
  <c r="A986" i="7" s="1"/>
  <c r="A985" i="6"/>
  <c r="K984" i="6"/>
  <c r="H984" i="6"/>
  <c r="G984" i="6"/>
  <c r="F984" i="6"/>
  <c r="C984" i="6"/>
  <c r="A984" i="6"/>
  <c r="A984" i="7" s="1"/>
  <c r="M983" i="6"/>
  <c r="L983" i="6"/>
  <c r="K983" i="6"/>
  <c r="H983" i="6"/>
  <c r="F983" i="6"/>
  <c r="E983" i="6"/>
  <c r="D983" i="6"/>
  <c r="C983" i="6"/>
  <c r="A983" i="6"/>
  <c r="A983" i="7" s="1"/>
  <c r="E983" i="7" s="1"/>
  <c r="J982" i="6"/>
  <c r="I982" i="6"/>
  <c r="B982" i="6"/>
  <c r="A982" i="6"/>
  <c r="M981" i="6"/>
  <c r="K981" i="6"/>
  <c r="J981" i="6"/>
  <c r="H981" i="6"/>
  <c r="G981" i="6"/>
  <c r="F981" i="6"/>
  <c r="E981" i="6"/>
  <c r="C981" i="6"/>
  <c r="B981" i="6"/>
  <c r="A981" i="6"/>
  <c r="A981" i="7" s="1"/>
  <c r="M980" i="6"/>
  <c r="L980" i="6"/>
  <c r="K980" i="6"/>
  <c r="J980" i="6"/>
  <c r="H980" i="6"/>
  <c r="G980" i="6"/>
  <c r="F980" i="6"/>
  <c r="E980" i="6"/>
  <c r="D980" i="6"/>
  <c r="C980" i="6"/>
  <c r="B980" i="6"/>
  <c r="A980" i="6"/>
  <c r="A980" i="7" s="1"/>
  <c r="C980" i="7" s="1"/>
  <c r="I979" i="6"/>
  <c r="A979" i="6"/>
  <c r="M978" i="6"/>
  <c r="L978" i="6"/>
  <c r="J978" i="6"/>
  <c r="F978" i="6"/>
  <c r="E978" i="6"/>
  <c r="D978" i="6"/>
  <c r="B978" i="6"/>
  <c r="A978" i="6"/>
  <c r="A978" i="7" s="1"/>
  <c r="K977" i="6"/>
  <c r="J977" i="6"/>
  <c r="I977" i="6"/>
  <c r="C977" i="6"/>
  <c r="B977" i="6"/>
  <c r="A977" i="6"/>
  <c r="L976" i="6"/>
  <c r="K976" i="6"/>
  <c r="H976" i="6"/>
  <c r="G976" i="6"/>
  <c r="F976" i="6"/>
  <c r="D976" i="6"/>
  <c r="C976" i="6"/>
  <c r="A976" i="6"/>
  <c r="A976" i="7" s="1"/>
  <c r="M975" i="6"/>
  <c r="L975" i="6"/>
  <c r="K975" i="6"/>
  <c r="E975" i="6"/>
  <c r="D975" i="6"/>
  <c r="C975" i="6"/>
  <c r="A975" i="6"/>
  <c r="A975" i="7" s="1"/>
  <c r="A974" i="6"/>
  <c r="M973" i="6"/>
  <c r="K973" i="6"/>
  <c r="J973" i="6"/>
  <c r="H973" i="6"/>
  <c r="G973" i="6"/>
  <c r="F973" i="6"/>
  <c r="E973" i="6"/>
  <c r="C973" i="6"/>
  <c r="B973" i="6"/>
  <c r="A973" i="6"/>
  <c r="A973" i="7" s="1"/>
  <c r="M972" i="6"/>
  <c r="L972" i="6"/>
  <c r="K972" i="6"/>
  <c r="J972" i="6"/>
  <c r="H972" i="6"/>
  <c r="G972" i="6"/>
  <c r="F972" i="6"/>
  <c r="E972" i="6"/>
  <c r="D972" i="6"/>
  <c r="C972" i="6"/>
  <c r="B972" i="6"/>
  <c r="A972" i="6"/>
  <c r="A972" i="7" s="1"/>
  <c r="I971" i="6"/>
  <c r="H971" i="6"/>
  <c r="G971" i="6"/>
  <c r="A971" i="6"/>
  <c r="M970" i="6"/>
  <c r="L970" i="6"/>
  <c r="J970" i="6"/>
  <c r="F970" i="6"/>
  <c r="E970" i="6"/>
  <c r="D970" i="6"/>
  <c r="B970" i="6"/>
  <c r="A970" i="6"/>
  <c r="A970" i="7" s="1"/>
  <c r="A969" i="6"/>
  <c r="L968" i="6"/>
  <c r="K968" i="6"/>
  <c r="H968" i="6"/>
  <c r="G968" i="6"/>
  <c r="F968" i="6"/>
  <c r="D968" i="6"/>
  <c r="C968" i="6"/>
  <c r="A968" i="6"/>
  <c r="A968" i="7" s="1"/>
  <c r="M967" i="6"/>
  <c r="L967" i="6"/>
  <c r="K967" i="6"/>
  <c r="E967" i="6"/>
  <c r="D967" i="6"/>
  <c r="C967" i="6"/>
  <c r="A967" i="6"/>
  <c r="A967" i="7" s="1"/>
  <c r="J966" i="6"/>
  <c r="I966" i="6"/>
  <c r="B966" i="6"/>
  <c r="A966" i="6"/>
  <c r="M965" i="6"/>
  <c r="K965" i="6"/>
  <c r="J965" i="6"/>
  <c r="H965" i="6"/>
  <c r="G965" i="6"/>
  <c r="F965" i="6"/>
  <c r="E965" i="6"/>
  <c r="C965" i="6"/>
  <c r="B965" i="6"/>
  <c r="A965" i="6"/>
  <c r="A965" i="7" s="1"/>
  <c r="M964" i="6"/>
  <c r="L964" i="6"/>
  <c r="K964" i="6"/>
  <c r="J964" i="6"/>
  <c r="H964" i="6"/>
  <c r="G964" i="6"/>
  <c r="E964" i="6"/>
  <c r="D964" i="6"/>
  <c r="C964" i="6"/>
  <c r="B964" i="6"/>
  <c r="A964" i="6"/>
  <c r="A964" i="7" s="1"/>
  <c r="H963" i="6"/>
  <c r="A963" i="6"/>
  <c r="M962" i="6"/>
  <c r="L962" i="6"/>
  <c r="J962" i="6"/>
  <c r="F962" i="6"/>
  <c r="E962" i="6"/>
  <c r="D962" i="6"/>
  <c r="B962" i="6"/>
  <c r="A962" i="6"/>
  <c r="A962" i="7" s="1"/>
  <c r="J961" i="6"/>
  <c r="I961" i="6"/>
  <c r="C961" i="6"/>
  <c r="A961" i="6"/>
  <c r="K961" i="6" s="1"/>
  <c r="L960" i="6"/>
  <c r="K960" i="6"/>
  <c r="H960" i="6"/>
  <c r="G960" i="6"/>
  <c r="F960" i="6"/>
  <c r="D960" i="6"/>
  <c r="C960" i="6"/>
  <c r="A960" i="6"/>
  <c r="A960" i="7" s="1"/>
  <c r="M959" i="6"/>
  <c r="L959" i="6"/>
  <c r="K959" i="6"/>
  <c r="E959" i="6"/>
  <c r="D959" i="6"/>
  <c r="C959" i="6"/>
  <c r="A959" i="6"/>
  <c r="A959" i="7" s="1"/>
  <c r="A958" i="6"/>
  <c r="M957" i="6"/>
  <c r="K957" i="6"/>
  <c r="J957" i="6"/>
  <c r="H957" i="6"/>
  <c r="G957" i="6"/>
  <c r="F957" i="6"/>
  <c r="E957" i="6"/>
  <c r="C957" i="6"/>
  <c r="B957" i="6"/>
  <c r="A957" i="6"/>
  <c r="A957" i="7" s="1"/>
  <c r="M956" i="6"/>
  <c r="L956" i="6"/>
  <c r="K956" i="6"/>
  <c r="J956" i="6"/>
  <c r="H956" i="6"/>
  <c r="G956" i="6"/>
  <c r="F956" i="6"/>
  <c r="E956" i="6"/>
  <c r="D956" i="6"/>
  <c r="C956" i="6"/>
  <c r="B956" i="6"/>
  <c r="A956" i="6"/>
  <c r="A956" i="7" s="1"/>
  <c r="A955" i="6"/>
  <c r="M954" i="6"/>
  <c r="L954" i="6"/>
  <c r="J954" i="6"/>
  <c r="F954" i="6"/>
  <c r="E954" i="6"/>
  <c r="D954" i="6"/>
  <c r="B954" i="6"/>
  <c r="A954" i="6"/>
  <c r="A954" i="7" s="1"/>
  <c r="A953" i="6"/>
  <c r="L952" i="6"/>
  <c r="K952" i="6"/>
  <c r="H952" i="6"/>
  <c r="G952" i="6"/>
  <c r="F952" i="6"/>
  <c r="D952" i="6"/>
  <c r="C952" i="6"/>
  <c r="A952" i="6"/>
  <c r="A952" i="7" s="1"/>
  <c r="M951" i="6"/>
  <c r="L951" i="6"/>
  <c r="K951" i="6"/>
  <c r="E951" i="6"/>
  <c r="D951" i="6"/>
  <c r="C951" i="6"/>
  <c r="A951" i="6"/>
  <c r="A951" i="7" s="1"/>
  <c r="J950" i="6"/>
  <c r="I950" i="6"/>
  <c r="H950" i="6"/>
  <c r="A950" i="6"/>
  <c r="M949" i="6"/>
  <c r="K949" i="6"/>
  <c r="J949" i="6"/>
  <c r="H949" i="6"/>
  <c r="G949" i="6"/>
  <c r="F949" i="6"/>
  <c r="E949" i="6"/>
  <c r="C949" i="6"/>
  <c r="B949" i="6"/>
  <c r="A949" i="6"/>
  <c r="A949" i="7" s="1"/>
  <c r="M948" i="6"/>
  <c r="L948" i="6"/>
  <c r="K948" i="6"/>
  <c r="J948" i="6"/>
  <c r="H948" i="6"/>
  <c r="G948" i="6"/>
  <c r="F948" i="6"/>
  <c r="E948" i="6"/>
  <c r="D948" i="6"/>
  <c r="C948" i="6"/>
  <c r="B948" i="6"/>
  <c r="A948" i="6"/>
  <c r="A948" i="7" s="1"/>
  <c r="K948" i="7" s="1"/>
  <c r="H947" i="6"/>
  <c r="A947" i="6"/>
  <c r="M946" i="6"/>
  <c r="L946" i="6"/>
  <c r="J946" i="6"/>
  <c r="F946" i="6"/>
  <c r="E946" i="6"/>
  <c r="D946" i="6"/>
  <c r="B946" i="6"/>
  <c r="A946" i="6"/>
  <c r="A946" i="7" s="1"/>
  <c r="J945" i="6"/>
  <c r="I945" i="6"/>
  <c r="C945" i="6"/>
  <c r="A945" i="6"/>
  <c r="K945" i="6" s="1"/>
  <c r="L944" i="6"/>
  <c r="K944" i="6"/>
  <c r="H944" i="6"/>
  <c r="G944" i="6"/>
  <c r="F944" i="6"/>
  <c r="D944" i="6"/>
  <c r="C944" i="6"/>
  <c r="A944" i="6"/>
  <c r="A944" i="7" s="1"/>
  <c r="M943" i="6"/>
  <c r="L943" i="6"/>
  <c r="K943" i="6"/>
  <c r="E943" i="6"/>
  <c r="D943" i="6"/>
  <c r="C943" i="6"/>
  <c r="A943" i="6"/>
  <c r="A943" i="7" s="1"/>
  <c r="A942" i="6"/>
  <c r="M941" i="6"/>
  <c r="K941" i="6"/>
  <c r="J941" i="6"/>
  <c r="H941" i="6"/>
  <c r="G941" i="6"/>
  <c r="F941" i="6"/>
  <c r="E941" i="6"/>
  <c r="C941" i="6"/>
  <c r="B941" i="6"/>
  <c r="A941" i="6"/>
  <c r="A941" i="7" s="1"/>
  <c r="M940" i="6"/>
  <c r="L940" i="6"/>
  <c r="K940" i="6"/>
  <c r="J940" i="6"/>
  <c r="H940" i="6"/>
  <c r="G940" i="6"/>
  <c r="F940" i="6"/>
  <c r="E940" i="6"/>
  <c r="D940" i="6"/>
  <c r="C940" i="6"/>
  <c r="B940" i="6"/>
  <c r="A940" i="6"/>
  <c r="A940" i="7" s="1"/>
  <c r="A939" i="6"/>
  <c r="M938" i="6"/>
  <c r="L938" i="6"/>
  <c r="J938" i="6"/>
  <c r="F938" i="6"/>
  <c r="E938" i="6"/>
  <c r="D938" i="6"/>
  <c r="B938" i="6"/>
  <c r="A938" i="6"/>
  <c r="A938" i="7" s="1"/>
  <c r="A937" i="6"/>
  <c r="L936" i="6"/>
  <c r="K936" i="6"/>
  <c r="H936" i="6"/>
  <c r="G936" i="6"/>
  <c r="F936" i="6"/>
  <c r="D936" i="6"/>
  <c r="C936" i="6"/>
  <c r="A936" i="6"/>
  <c r="A936" i="7" s="1"/>
  <c r="M935" i="6"/>
  <c r="L935" i="6"/>
  <c r="K935" i="6"/>
  <c r="E935" i="6"/>
  <c r="D935" i="6"/>
  <c r="C935" i="6"/>
  <c r="A935" i="6"/>
  <c r="A935" i="7" s="1"/>
  <c r="J934" i="6"/>
  <c r="I934" i="6"/>
  <c r="H934" i="6"/>
  <c r="A934" i="6"/>
  <c r="M933" i="6"/>
  <c r="K933" i="6"/>
  <c r="J933" i="6"/>
  <c r="H933" i="6"/>
  <c r="G933" i="6"/>
  <c r="F933" i="6"/>
  <c r="E933" i="6"/>
  <c r="C933" i="6"/>
  <c r="B933" i="6"/>
  <c r="A933" i="6"/>
  <c r="A933" i="7" s="1"/>
  <c r="M932" i="6"/>
  <c r="L932" i="6"/>
  <c r="K932" i="6"/>
  <c r="J932" i="6"/>
  <c r="H932" i="6"/>
  <c r="G932" i="6"/>
  <c r="F932" i="6"/>
  <c r="E932" i="6"/>
  <c r="D932" i="6"/>
  <c r="C932" i="6"/>
  <c r="B932" i="6"/>
  <c r="A932" i="6"/>
  <c r="A932" i="7" s="1"/>
  <c r="H931" i="6"/>
  <c r="A931" i="6"/>
  <c r="M930" i="6"/>
  <c r="L930" i="6"/>
  <c r="J930" i="6"/>
  <c r="F930" i="6"/>
  <c r="E930" i="6"/>
  <c r="D930" i="6"/>
  <c r="B930" i="6"/>
  <c r="A930" i="6"/>
  <c r="A930" i="7" s="1"/>
  <c r="J929" i="6"/>
  <c r="I929" i="6"/>
  <c r="C929" i="6"/>
  <c r="A929" i="6"/>
  <c r="K929" i="6" s="1"/>
  <c r="L928" i="6"/>
  <c r="K928" i="6"/>
  <c r="H928" i="6"/>
  <c r="G928" i="6"/>
  <c r="F928" i="6"/>
  <c r="D928" i="6"/>
  <c r="C928" i="6"/>
  <c r="A928" i="6"/>
  <c r="A928" i="7" s="1"/>
  <c r="M927" i="6"/>
  <c r="L927" i="6"/>
  <c r="K927" i="6"/>
  <c r="E927" i="6"/>
  <c r="D927" i="6"/>
  <c r="C927" i="6"/>
  <c r="A927" i="6"/>
  <c r="A927" i="7" s="1"/>
  <c r="A926" i="6"/>
  <c r="M925" i="6"/>
  <c r="K925" i="6"/>
  <c r="J925" i="6"/>
  <c r="H925" i="6"/>
  <c r="G925" i="6"/>
  <c r="F925" i="6"/>
  <c r="E925" i="6"/>
  <c r="C925" i="6"/>
  <c r="B925" i="6"/>
  <c r="A925" i="6"/>
  <c r="A925" i="7" s="1"/>
  <c r="M924" i="6"/>
  <c r="L924" i="6"/>
  <c r="K924" i="6"/>
  <c r="J924" i="6"/>
  <c r="H924" i="6"/>
  <c r="G924" i="6"/>
  <c r="F924" i="6"/>
  <c r="E924" i="6"/>
  <c r="D924" i="6"/>
  <c r="C924" i="6"/>
  <c r="B924" i="6"/>
  <c r="A924" i="6"/>
  <c r="A924" i="7" s="1"/>
  <c r="A923" i="6"/>
  <c r="M922" i="6"/>
  <c r="L922" i="6"/>
  <c r="J922" i="6"/>
  <c r="F922" i="6"/>
  <c r="E922" i="6"/>
  <c r="D922" i="6"/>
  <c r="B922" i="6"/>
  <c r="A922" i="6"/>
  <c r="A922" i="7" s="1"/>
  <c r="F922" i="7" s="1"/>
  <c r="A921" i="6"/>
  <c r="L920" i="6"/>
  <c r="K920" i="6"/>
  <c r="H920" i="6"/>
  <c r="G920" i="6"/>
  <c r="F920" i="6"/>
  <c r="D920" i="6"/>
  <c r="C920" i="6"/>
  <c r="A920" i="6"/>
  <c r="A920" i="7" s="1"/>
  <c r="M919" i="6"/>
  <c r="L919" i="6"/>
  <c r="K919" i="6"/>
  <c r="E919" i="6"/>
  <c r="D919" i="6"/>
  <c r="C919" i="6"/>
  <c r="A919" i="6"/>
  <c r="A919" i="7" s="1"/>
  <c r="J918" i="6"/>
  <c r="I918" i="6"/>
  <c r="H918" i="6"/>
  <c r="A918" i="6"/>
  <c r="M917" i="6"/>
  <c r="K917" i="6"/>
  <c r="J917" i="6"/>
  <c r="H917" i="6"/>
  <c r="G917" i="6"/>
  <c r="F917" i="6"/>
  <c r="E917" i="6"/>
  <c r="C917" i="6"/>
  <c r="B917" i="6"/>
  <c r="A917" i="6"/>
  <c r="A917" i="7" s="1"/>
  <c r="M916" i="6"/>
  <c r="L916" i="6"/>
  <c r="K916" i="6"/>
  <c r="J916" i="6"/>
  <c r="H916" i="6"/>
  <c r="G916" i="6"/>
  <c r="F916" i="6"/>
  <c r="E916" i="6"/>
  <c r="D916" i="6"/>
  <c r="C916" i="6"/>
  <c r="B916" i="6"/>
  <c r="A916" i="6"/>
  <c r="A916" i="7" s="1"/>
  <c r="H915" i="6"/>
  <c r="A915" i="6"/>
  <c r="M914" i="6"/>
  <c r="L914" i="6"/>
  <c r="J914" i="6"/>
  <c r="F914" i="6"/>
  <c r="E914" i="6"/>
  <c r="D914" i="6"/>
  <c r="B914" i="6"/>
  <c r="A914" i="6"/>
  <c r="A914" i="7" s="1"/>
  <c r="J913" i="6"/>
  <c r="I913" i="6"/>
  <c r="C913" i="6"/>
  <c r="A913" i="6"/>
  <c r="K913" i="6" s="1"/>
  <c r="L912" i="6"/>
  <c r="K912" i="6"/>
  <c r="H912" i="6"/>
  <c r="G912" i="6"/>
  <c r="F912" i="6"/>
  <c r="D912" i="6"/>
  <c r="C912" i="6"/>
  <c r="A912" i="6"/>
  <c r="A912" i="7" s="1"/>
  <c r="M911" i="6"/>
  <c r="L911" i="6"/>
  <c r="K911" i="6"/>
  <c r="E911" i="6"/>
  <c r="D911" i="6"/>
  <c r="C911" i="6"/>
  <c r="A911" i="6"/>
  <c r="A911" i="7" s="1"/>
  <c r="A910" i="6"/>
  <c r="M909" i="6"/>
  <c r="K909" i="6"/>
  <c r="J909" i="6"/>
  <c r="H909" i="6"/>
  <c r="G909" i="6"/>
  <c r="F909" i="6"/>
  <c r="E909" i="6"/>
  <c r="C909" i="6"/>
  <c r="B909" i="6"/>
  <c r="A909" i="6"/>
  <c r="A909" i="7" s="1"/>
  <c r="M908" i="6"/>
  <c r="L908" i="6"/>
  <c r="K908" i="6"/>
  <c r="J908" i="6"/>
  <c r="H908" i="6"/>
  <c r="G908" i="6"/>
  <c r="F908" i="6"/>
  <c r="E908" i="6"/>
  <c r="D908" i="6"/>
  <c r="C908" i="6"/>
  <c r="B908" i="6"/>
  <c r="A908" i="6"/>
  <c r="A908" i="7" s="1"/>
  <c r="A907" i="6"/>
  <c r="M906" i="6"/>
  <c r="L906" i="6"/>
  <c r="J906" i="6"/>
  <c r="F906" i="6"/>
  <c r="E906" i="6"/>
  <c r="D906" i="6"/>
  <c r="B906" i="6"/>
  <c r="A906" i="6"/>
  <c r="A906" i="7" s="1"/>
  <c r="A905" i="6"/>
  <c r="L904" i="6"/>
  <c r="K904" i="6"/>
  <c r="H904" i="6"/>
  <c r="G904" i="6"/>
  <c r="F904" i="6"/>
  <c r="D904" i="6"/>
  <c r="C904" i="6"/>
  <c r="A904" i="6"/>
  <c r="A904" i="7" s="1"/>
  <c r="M903" i="6"/>
  <c r="L903" i="6"/>
  <c r="K903" i="6"/>
  <c r="E903" i="6"/>
  <c r="D903" i="6"/>
  <c r="C903" i="6"/>
  <c r="A903" i="6"/>
  <c r="A903" i="7" s="1"/>
  <c r="J902" i="6"/>
  <c r="I902" i="6"/>
  <c r="H902" i="6"/>
  <c r="A902" i="6"/>
  <c r="M901" i="6"/>
  <c r="K901" i="6"/>
  <c r="J901" i="6"/>
  <c r="H901" i="6"/>
  <c r="G901" i="6"/>
  <c r="F901" i="6"/>
  <c r="E901" i="6"/>
  <c r="C901" i="6"/>
  <c r="B901" i="6"/>
  <c r="A901" i="6"/>
  <c r="A901" i="7" s="1"/>
  <c r="M900" i="6"/>
  <c r="L900" i="6"/>
  <c r="K900" i="6"/>
  <c r="J900" i="6"/>
  <c r="H900" i="6"/>
  <c r="G900" i="6"/>
  <c r="F900" i="6"/>
  <c r="E900" i="6"/>
  <c r="D900" i="6"/>
  <c r="C900" i="6"/>
  <c r="B900" i="6"/>
  <c r="A900" i="6"/>
  <c r="A900" i="7" s="1"/>
  <c r="H899" i="6"/>
  <c r="A899" i="6"/>
  <c r="M898" i="6"/>
  <c r="L898" i="6"/>
  <c r="J898" i="6"/>
  <c r="F898" i="6"/>
  <c r="E898" i="6"/>
  <c r="D898" i="6"/>
  <c r="B898" i="6"/>
  <c r="A898" i="6"/>
  <c r="A898" i="7" s="1"/>
  <c r="J897" i="6"/>
  <c r="I897" i="6"/>
  <c r="C897" i="6"/>
  <c r="A897" i="6"/>
  <c r="K897" i="6" s="1"/>
  <c r="L896" i="6"/>
  <c r="K896" i="6"/>
  <c r="H896" i="6"/>
  <c r="G896" i="6"/>
  <c r="F896" i="6"/>
  <c r="D896" i="6"/>
  <c r="C896" i="6"/>
  <c r="A896" i="6"/>
  <c r="A896" i="7" s="1"/>
  <c r="M895" i="6"/>
  <c r="L895" i="6"/>
  <c r="K895" i="6"/>
  <c r="E895" i="6"/>
  <c r="D895" i="6"/>
  <c r="C895" i="6"/>
  <c r="A895" i="6"/>
  <c r="A895" i="7" s="1"/>
  <c r="A894" i="6"/>
  <c r="M893" i="6"/>
  <c r="K893" i="6"/>
  <c r="J893" i="6"/>
  <c r="H893" i="6"/>
  <c r="G893" i="6"/>
  <c r="F893" i="6"/>
  <c r="E893" i="6"/>
  <c r="D893" i="6"/>
  <c r="C893" i="6"/>
  <c r="B893" i="6"/>
  <c r="A893" i="6"/>
  <c r="A893" i="7" s="1"/>
  <c r="M892" i="6"/>
  <c r="L892" i="6"/>
  <c r="K892" i="6"/>
  <c r="J892" i="6"/>
  <c r="H892" i="6"/>
  <c r="G892" i="6"/>
  <c r="E892" i="6"/>
  <c r="D892" i="6"/>
  <c r="C892" i="6"/>
  <c r="B892" i="6"/>
  <c r="A892" i="6"/>
  <c r="A892" i="7" s="1"/>
  <c r="M891" i="6"/>
  <c r="I891" i="6"/>
  <c r="H891" i="6"/>
  <c r="E891" i="6"/>
  <c r="A891" i="6"/>
  <c r="M890" i="6"/>
  <c r="L890" i="6"/>
  <c r="J890" i="6"/>
  <c r="F890" i="6"/>
  <c r="E890" i="6"/>
  <c r="D890" i="6"/>
  <c r="B890" i="6"/>
  <c r="A890" i="6"/>
  <c r="A890" i="7" s="1"/>
  <c r="I889" i="6"/>
  <c r="G889" i="6"/>
  <c r="C889" i="6"/>
  <c r="A889" i="6"/>
  <c r="K889" i="6" s="1"/>
  <c r="L888" i="6"/>
  <c r="K888" i="6"/>
  <c r="H888" i="6"/>
  <c r="G888" i="6"/>
  <c r="F888" i="6"/>
  <c r="D888" i="6"/>
  <c r="C888" i="6"/>
  <c r="A888" i="6"/>
  <c r="A888" i="7" s="1"/>
  <c r="I887" i="6"/>
  <c r="E887" i="6"/>
  <c r="D887" i="6"/>
  <c r="A887" i="6"/>
  <c r="M887" i="6" s="1"/>
  <c r="B886" i="6"/>
  <c r="A886" i="6"/>
  <c r="M885" i="6"/>
  <c r="L885" i="6"/>
  <c r="K885" i="6"/>
  <c r="J885" i="6"/>
  <c r="H885" i="6"/>
  <c r="G885" i="6"/>
  <c r="F885" i="6"/>
  <c r="E885" i="6"/>
  <c r="D885" i="6"/>
  <c r="C885" i="6"/>
  <c r="B885" i="6"/>
  <c r="A885" i="6"/>
  <c r="A885" i="7" s="1"/>
  <c r="M884" i="6"/>
  <c r="L884" i="6"/>
  <c r="K884" i="6"/>
  <c r="J884" i="6"/>
  <c r="H884" i="6"/>
  <c r="G884" i="6"/>
  <c r="E884" i="6"/>
  <c r="D884" i="6"/>
  <c r="C884" i="6"/>
  <c r="B884" i="6"/>
  <c r="A884" i="6"/>
  <c r="A884" i="7" s="1"/>
  <c r="M883" i="6"/>
  <c r="H883" i="6"/>
  <c r="A883" i="6"/>
  <c r="M882" i="6"/>
  <c r="L882" i="6"/>
  <c r="J882" i="6"/>
  <c r="F882" i="6"/>
  <c r="E882" i="6"/>
  <c r="D882" i="6"/>
  <c r="B882" i="6"/>
  <c r="A882" i="6"/>
  <c r="A882" i="7" s="1"/>
  <c r="K881" i="6"/>
  <c r="J881" i="6"/>
  <c r="I881" i="6"/>
  <c r="C881" i="6"/>
  <c r="A881" i="6"/>
  <c r="L880" i="6"/>
  <c r="K880" i="6"/>
  <c r="H880" i="6"/>
  <c r="G880" i="6"/>
  <c r="F880" i="6"/>
  <c r="D880" i="6"/>
  <c r="C880" i="6"/>
  <c r="A880" i="6"/>
  <c r="A880" i="7" s="1"/>
  <c r="L879" i="6"/>
  <c r="K879" i="6"/>
  <c r="I879" i="6"/>
  <c r="D879" i="6"/>
  <c r="A879" i="6"/>
  <c r="M879" i="6" s="1"/>
  <c r="I878" i="6"/>
  <c r="H878" i="6"/>
  <c r="F878" i="6"/>
  <c r="A878" i="6"/>
  <c r="J878" i="6" s="1"/>
  <c r="M877" i="6"/>
  <c r="L877" i="6"/>
  <c r="K877" i="6"/>
  <c r="J877" i="6"/>
  <c r="H877" i="6"/>
  <c r="G877" i="6"/>
  <c r="F877" i="6"/>
  <c r="E877" i="6"/>
  <c r="D877" i="6"/>
  <c r="C877" i="6"/>
  <c r="B877" i="6"/>
  <c r="A877" i="6"/>
  <c r="A877" i="7" s="1"/>
  <c r="M876" i="6"/>
  <c r="L876" i="6"/>
  <c r="K876" i="6"/>
  <c r="J876" i="6"/>
  <c r="H876" i="6"/>
  <c r="G876" i="6"/>
  <c r="E876" i="6"/>
  <c r="D876" i="6"/>
  <c r="C876" i="6"/>
  <c r="B876" i="6"/>
  <c r="A876" i="6"/>
  <c r="A876" i="7" s="1"/>
  <c r="A875" i="6"/>
  <c r="M874" i="6"/>
  <c r="L874" i="6"/>
  <c r="J874" i="6"/>
  <c r="F874" i="6"/>
  <c r="E874" i="6"/>
  <c r="D874" i="6"/>
  <c r="B874" i="6"/>
  <c r="A874" i="6"/>
  <c r="A874" i="7" s="1"/>
  <c r="K873" i="6"/>
  <c r="A873" i="6"/>
  <c r="L872" i="6"/>
  <c r="K872" i="6"/>
  <c r="H872" i="6"/>
  <c r="G872" i="6"/>
  <c r="F872" i="6"/>
  <c r="D872" i="6"/>
  <c r="C872" i="6"/>
  <c r="A872" i="6"/>
  <c r="A872" i="7" s="1"/>
  <c r="M871" i="6"/>
  <c r="L871" i="6"/>
  <c r="A871" i="6"/>
  <c r="J870" i="6"/>
  <c r="I870" i="6"/>
  <c r="F870" i="6"/>
  <c r="A870" i="6"/>
  <c r="M869" i="6"/>
  <c r="L869" i="6"/>
  <c r="K869" i="6"/>
  <c r="J869" i="6"/>
  <c r="H869" i="6"/>
  <c r="G869" i="6"/>
  <c r="F869" i="6"/>
  <c r="E869" i="6"/>
  <c r="D869" i="6"/>
  <c r="C869" i="6"/>
  <c r="B869" i="6"/>
  <c r="A869" i="6"/>
  <c r="A869" i="7" s="1"/>
  <c r="M868" i="6"/>
  <c r="L868" i="6"/>
  <c r="K868" i="6"/>
  <c r="J868" i="6"/>
  <c r="H868" i="6"/>
  <c r="G868" i="6"/>
  <c r="E868" i="6"/>
  <c r="D868" i="6"/>
  <c r="C868" i="6"/>
  <c r="B868" i="6"/>
  <c r="A868" i="6"/>
  <c r="A868" i="7" s="1"/>
  <c r="M867" i="6"/>
  <c r="I867" i="6"/>
  <c r="H867" i="6"/>
  <c r="G867" i="6"/>
  <c r="E867" i="6"/>
  <c r="A867" i="6"/>
  <c r="M866" i="6"/>
  <c r="L866" i="6"/>
  <c r="J866" i="6"/>
  <c r="F866" i="6"/>
  <c r="E866" i="6"/>
  <c r="D866" i="6"/>
  <c r="B866" i="6"/>
  <c r="A866" i="6"/>
  <c r="A866" i="7" s="1"/>
  <c r="B865" i="6"/>
  <c r="A865" i="6"/>
  <c r="L864" i="6"/>
  <c r="K864" i="6"/>
  <c r="H864" i="6"/>
  <c r="G864" i="6"/>
  <c r="F864" i="6"/>
  <c r="D864" i="6"/>
  <c r="C864" i="6"/>
  <c r="A864" i="6"/>
  <c r="A864" i="7" s="1"/>
  <c r="A863" i="6"/>
  <c r="A862" i="6"/>
  <c r="M861" i="6"/>
  <c r="L861" i="6"/>
  <c r="K861" i="6"/>
  <c r="J861" i="6"/>
  <c r="H861" i="6"/>
  <c r="G861" i="6"/>
  <c r="F861" i="6"/>
  <c r="E861" i="6"/>
  <c r="D861" i="6"/>
  <c r="C861" i="6"/>
  <c r="B861" i="6"/>
  <c r="A861" i="6"/>
  <c r="A861" i="7" s="1"/>
  <c r="M860" i="6"/>
  <c r="L860" i="6"/>
  <c r="K860" i="6"/>
  <c r="J860" i="6"/>
  <c r="H860" i="6"/>
  <c r="G860" i="6"/>
  <c r="E860" i="6"/>
  <c r="D860" i="6"/>
  <c r="C860" i="6"/>
  <c r="B860" i="6"/>
  <c r="A860" i="6"/>
  <c r="A860" i="7" s="1"/>
  <c r="M859" i="6"/>
  <c r="I859" i="6"/>
  <c r="H859" i="6"/>
  <c r="G859" i="6"/>
  <c r="E859" i="6"/>
  <c r="A859" i="6"/>
  <c r="M858" i="6"/>
  <c r="L858" i="6"/>
  <c r="J858" i="6"/>
  <c r="F858" i="6"/>
  <c r="E858" i="6"/>
  <c r="D858" i="6"/>
  <c r="B858" i="6"/>
  <c r="A858" i="6"/>
  <c r="A858" i="7" s="1"/>
  <c r="I857" i="6"/>
  <c r="G857" i="6"/>
  <c r="C857" i="6"/>
  <c r="A857" i="6"/>
  <c r="K857" i="6" s="1"/>
  <c r="L856" i="6"/>
  <c r="K856" i="6"/>
  <c r="H856" i="6"/>
  <c r="G856" i="6"/>
  <c r="F856" i="6"/>
  <c r="D856" i="6"/>
  <c r="C856" i="6"/>
  <c r="A856" i="6"/>
  <c r="A856" i="7" s="1"/>
  <c r="I855" i="6"/>
  <c r="E855" i="6"/>
  <c r="D855" i="6"/>
  <c r="A855" i="6"/>
  <c r="M855" i="6" s="1"/>
  <c r="A854" i="6"/>
  <c r="M853" i="6"/>
  <c r="L853" i="6"/>
  <c r="K853" i="6"/>
  <c r="J853" i="6"/>
  <c r="H853" i="6"/>
  <c r="G853" i="6"/>
  <c r="F853" i="6"/>
  <c r="E853" i="6"/>
  <c r="D853" i="6"/>
  <c r="C853" i="6"/>
  <c r="B853" i="6"/>
  <c r="A853" i="6"/>
  <c r="A853" i="7" s="1"/>
  <c r="M852" i="6"/>
  <c r="L852" i="6"/>
  <c r="K852" i="6"/>
  <c r="J852" i="6"/>
  <c r="H852" i="6"/>
  <c r="G852" i="6"/>
  <c r="E852" i="6"/>
  <c r="D852" i="6"/>
  <c r="C852" i="6"/>
  <c r="B852" i="6"/>
  <c r="A852" i="6"/>
  <c r="A852" i="7" s="1"/>
  <c r="D852" i="7" s="1"/>
  <c r="M851" i="6"/>
  <c r="H851" i="6"/>
  <c r="A851" i="6"/>
  <c r="M850" i="6"/>
  <c r="L850" i="6"/>
  <c r="J850" i="6"/>
  <c r="F850" i="6"/>
  <c r="E850" i="6"/>
  <c r="D850" i="6"/>
  <c r="B850" i="6"/>
  <c r="A850" i="6"/>
  <c r="A850" i="7" s="1"/>
  <c r="K849" i="6"/>
  <c r="J849" i="6"/>
  <c r="I849" i="6"/>
  <c r="C849" i="6"/>
  <c r="A849" i="6"/>
  <c r="L848" i="6"/>
  <c r="K848" i="6"/>
  <c r="H848" i="6"/>
  <c r="G848" i="6"/>
  <c r="F848" i="6"/>
  <c r="D848" i="6"/>
  <c r="C848" i="6"/>
  <c r="A848" i="6"/>
  <c r="A848" i="7" s="1"/>
  <c r="L847" i="6"/>
  <c r="K847" i="6"/>
  <c r="I847" i="6"/>
  <c r="D847" i="6"/>
  <c r="A847" i="6"/>
  <c r="M847" i="6" s="1"/>
  <c r="I846" i="6"/>
  <c r="H846" i="6"/>
  <c r="F846" i="6"/>
  <c r="A846" i="6"/>
  <c r="J846" i="6" s="1"/>
  <c r="M845" i="6"/>
  <c r="L845" i="6"/>
  <c r="K845" i="6"/>
  <c r="J845" i="6"/>
  <c r="H845" i="6"/>
  <c r="G845" i="6"/>
  <c r="F845" i="6"/>
  <c r="E845" i="6"/>
  <c r="D845" i="6"/>
  <c r="C845" i="6"/>
  <c r="B845" i="6"/>
  <c r="A845" i="6"/>
  <c r="A845" i="7" s="1"/>
  <c r="M844" i="6"/>
  <c r="L844" i="6"/>
  <c r="K844" i="6"/>
  <c r="J844" i="6"/>
  <c r="H844" i="6"/>
  <c r="G844" i="6"/>
  <c r="E844" i="6"/>
  <c r="D844" i="6"/>
  <c r="C844" i="6"/>
  <c r="B844" i="6"/>
  <c r="A844" i="6"/>
  <c r="A844" i="7" s="1"/>
  <c r="A843" i="6"/>
  <c r="M842" i="6"/>
  <c r="L842" i="6"/>
  <c r="J842" i="6"/>
  <c r="F842" i="6"/>
  <c r="E842" i="6"/>
  <c r="D842" i="6"/>
  <c r="B842" i="6"/>
  <c r="A842" i="6"/>
  <c r="A842" i="7" s="1"/>
  <c r="A841" i="6"/>
  <c r="L840" i="6"/>
  <c r="K840" i="6"/>
  <c r="H840" i="6"/>
  <c r="G840" i="6"/>
  <c r="F840" i="6"/>
  <c r="D840" i="6"/>
  <c r="C840" i="6"/>
  <c r="A840" i="6"/>
  <c r="A840" i="7" s="1"/>
  <c r="A839" i="6"/>
  <c r="B838" i="6"/>
  <c r="A838" i="6"/>
  <c r="M837" i="6"/>
  <c r="L837" i="6"/>
  <c r="K837" i="6"/>
  <c r="J837" i="6"/>
  <c r="H837" i="6"/>
  <c r="G837" i="6"/>
  <c r="F837" i="6"/>
  <c r="E837" i="6"/>
  <c r="D837" i="6"/>
  <c r="C837" i="6"/>
  <c r="B837" i="6"/>
  <c r="A837" i="6"/>
  <c r="A837" i="7" s="1"/>
  <c r="M836" i="6"/>
  <c r="L836" i="6"/>
  <c r="K836" i="6"/>
  <c r="J836" i="6"/>
  <c r="H836" i="6"/>
  <c r="G836" i="6"/>
  <c r="E836" i="6"/>
  <c r="D836" i="6"/>
  <c r="C836" i="6"/>
  <c r="B836" i="6"/>
  <c r="A836" i="6"/>
  <c r="A836" i="7" s="1"/>
  <c r="A835" i="6"/>
  <c r="M834" i="6"/>
  <c r="B834" i="6"/>
  <c r="A834" i="6"/>
  <c r="A833" i="6"/>
  <c r="L832" i="6"/>
  <c r="K832" i="6"/>
  <c r="H832" i="6"/>
  <c r="G832" i="6"/>
  <c r="F832" i="6"/>
  <c r="D832" i="6"/>
  <c r="C832" i="6"/>
  <c r="A832" i="6"/>
  <c r="A832" i="7" s="1"/>
  <c r="L831" i="6"/>
  <c r="I831" i="6"/>
  <c r="H831" i="6"/>
  <c r="E831" i="6"/>
  <c r="D831" i="6"/>
  <c r="C831" i="6"/>
  <c r="A831" i="6"/>
  <c r="K831" i="6" s="1"/>
  <c r="M830" i="6"/>
  <c r="I830" i="6"/>
  <c r="H830" i="6"/>
  <c r="F830" i="6"/>
  <c r="E830" i="6"/>
  <c r="B830" i="6"/>
  <c r="A830" i="6"/>
  <c r="J830" i="6" s="1"/>
  <c r="M829" i="6"/>
  <c r="L829" i="6"/>
  <c r="K829" i="6"/>
  <c r="J829" i="6"/>
  <c r="H829" i="6"/>
  <c r="G829" i="6"/>
  <c r="F829" i="6"/>
  <c r="E829" i="6"/>
  <c r="D829" i="6"/>
  <c r="C829" i="6"/>
  <c r="B829" i="6"/>
  <c r="A829" i="6"/>
  <c r="A829" i="7" s="1"/>
  <c r="M828" i="6"/>
  <c r="L828" i="6"/>
  <c r="K828" i="6"/>
  <c r="J828" i="6"/>
  <c r="H828" i="6"/>
  <c r="G828" i="6"/>
  <c r="E828" i="6"/>
  <c r="D828" i="6"/>
  <c r="C828" i="6"/>
  <c r="B828" i="6"/>
  <c r="A828" i="6"/>
  <c r="A828" i="7" s="1"/>
  <c r="A827" i="6"/>
  <c r="L826" i="6"/>
  <c r="I826" i="6"/>
  <c r="F826" i="6"/>
  <c r="E826" i="6"/>
  <c r="D826" i="6"/>
  <c r="B826" i="6"/>
  <c r="A826" i="6"/>
  <c r="J826" i="6" s="1"/>
  <c r="K825" i="6"/>
  <c r="I825" i="6"/>
  <c r="G825" i="6"/>
  <c r="F825" i="6"/>
  <c r="C825" i="6"/>
  <c r="B825" i="6"/>
  <c r="A825" i="6"/>
  <c r="J825" i="6" s="1"/>
  <c r="L824" i="6"/>
  <c r="K824" i="6"/>
  <c r="H824" i="6"/>
  <c r="G824" i="6"/>
  <c r="F824" i="6"/>
  <c r="D824" i="6"/>
  <c r="C824" i="6"/>
  <c r="A824" i="6"/>
  <c r="A824" i="7" s="1"/>
  <c r="H823" i="6"/>
  <c r="E823" i="6"/>
  <c r="D823" i="6"/>
  <c r="A823" i="6"/>
  <c r="L823" i="6" s="1"/>
  <c r="H822" i="6"/>
  <c r="F822" i="6"/>
  <c r="E822" i="6"/>
  <c r="A822" i="6"/>
  <c r="M822" i="6" s="1"/>
  <c r="M821" i="6"/>
  <c r="L821" i="6"/>
  <c r="K821" i="6"/>
  <c r="J821" i="6"/>
  <c r="H821" i="6"/>
  <c r="G821" i="6"/>
  <c r="F821" i="6"/>
  <c r="E821" i="6"/>
  <c r="D821" i="6"/>
  <c r="C821" i="6"/>
  <c r="B821" i="6"/>
  <c r="A821" i="6"/>
  <c r="A821" i="7" s="1"/>
  <c r="M820" i="6"/>
  <c r="L820" i="6"/>
  <c r="K820" i="6"/>
  <c r="J820" i="6"/>
  <c r="H820" i="6"/>
  <c r="G820" i="6"/>
  <c r="E820" i="6"/>
  <c r="D820" i="6"/>
  <c r="C820" i="6"/>
  <c r="B820" i="6"/>
  <c r="A820" i="6"/>
  <c r="A820" i="7" s="1"/>
  <c r="M819" i="6"/>
  <c r="I819" i="6"/>
  <c r="H819" i="6"/>
  <c r="G819" i="6"/>
  <c r="E819" i="6"/>
  <c r="D819" i="6"/>
  <c r="A819" i="6"/>
  <c r="L819" i="6" s="1"/>
  <c r="F818" i="6"/>
  <c r="E818" i="6"/>
  <c r="D818" i="6"/>
  <c r="A818" i="6"/>
  <c r="L818" i="6" s="1"/>
  <c r="G817" i="6"/>
  <c r="F817" i="6"/>
  <c r="C817" i="6"/>
  <c r="A817" i="6"/>
  <c r="K817" i="6" s="1"/>
  <c r="L816" i="6"/>
  <c r="K816" i="6"/>
  <c r="H816" i="6"/>
  <c r="G816" i="6"/>
  <c r="F816" i="6"/>
  <c r="D816" i="6"/>
  <c r="C816" i="6"/>
  <c r="A816" i="6"/>
  <c r="A816" i="7" s="1"/>
  <c r="L815" i="6"/>
  <c r="K815" i="6"/>
  <c r="I815" i="6"/>
  <c r="H815" i="6"/>
  <c r="E815" i="6"/>
  <c r="D815" i="6"/>
  <c r="C815" i="6"/>
  <c r="A815" i="6"/>
  <c r="M814" i="6"/>
  <c r="J814" i="6"/>
  <c r="I814" i="6"/>
  <c r="H814" i="6"/>
  <c r="F814" i="6"/>
  <c r="E814" i="6"/>
  <c r="B814" i="6"/>
  <c r="A814" i="6"/>
  <c r="M813" i="6"/>
  <c r="L813" i="6"/>
  <c r="K813" i="6"/>
  <c r="J813" i="6"/>
  <c r="H813" i="6"/>
  <c r="G813" i="6"/>
  <c r="F813" i="6"/>
  <c r="E813" i="6"/>
  <c r="D813" i="6"/>
  <c r="C813" i="6"/>
  <c r="B813" i="6"/>
  <c r="A813" i="6"/>
  <c r="A813" i="7" s="1"/>
  <c r="M812" i="6"/>
  <c r="L812" i="6"/>
  <c r="K812" i="6"/>
  <c r="J812" i="6"/>
  <c r="H812" i="6"/>
  <c r="G812" i="6"/>
  <c r="E812" i="6"/>
  <c r="D812" i="6"/>
  <c r="C812" i="6"/>
  <c r="B812" i="6"/>
  <c r="A812" i="6"/>
  <c r="A812" i="7" s="1"/>
  <c r="I811" i="6"/>
  <c r="H811" i="6"/>
  <c r="G811" i="6"/>
  <c r="D811" i="6"/>
  <c r="A811" i="6"/>
  <c r="J811" i="6" s="1"/>
  <c r="J810" i="6"/>
  <c r="I810" i="6"/>
  <c r="A810" i="6"/>
  <c r="K809" i="6"/>
  <c r="B809" i="6"/>
  <c r="A809" i="6"/>
  <c r="K808" i="6"/>
  <c r="H808" i="6"/>
  <c r="G808" i="6"/>
  <c r="F808" i="6"/>
  <c r="D808" i="6"/>
  <c r="C808" i="6"/>
  <c r="A808" i="6"/>
  <c r="I808" i="6" s="1"/>
  <c r="M807" i="6"/>
  <c r="K807" i="6"/>
  <c r="I807" i="6"/>
  <c r="H807" i="6"/>
  <c r="F807" i="6"/>
  <c r="E807" i="6"/>
  <c r="C807" i="6"/>
  <c r="A807" i="6"/>
  <c r="J806" i="6"/>
  <c r="I806" i="6"/>
  <c r="H806" i="6"/>
  <c r="E806" i="6"/>
  <c r="A806" i="6"/>
  <c r="M805" i="6"/>
  <c r="L805" i="6"/>
  <c r="K805" i="6"/>
  <c r="J805" i="6"/>
  <c r="H805" i="6"/>
  <c r="G805" i="6"/>
  <c r="F805" i="6"/>
  <c r="E805" i="6"/>
  <c r="D805" i="6"/>
  <c r="C805" i="6"/>
  <c r="B805" i="6"/>
  <c r="A805" i="6"/>
  <c r="A805" i="7" s="1"/>
  <c r="M804" i="6"/>
  <c r="L804" i="6"/>
  <c r="K804" i="6"/>
  <c r="J804" i="6"/>
  <c r="H804" i="6"/>
  <c r="G804" i="6"/>
  <c r="E804" i="6"/>
  <c r="D804" i="6"/>
  <c r="C804" i="6"/>
  <c r="B804" i="6"/>
  <c r="A804" i="6"/>
  <c r="A804" i="7" s="1"/>
  <c r="J804" i="7" s="1"/>
  <c r="J803" i="6"/>
  <c r="I803" i="6"/>
  <c r="A803" i="6"/>
  <c r="B802" i="6"/>
  <c r="A802" i="6"/>
  <c r="K801" i="6"/>
  <c r="I801" i="6"/>
  <c r="H801" i="6"/>
  <c r="G801" i="6"/>
  <c r="F801" i="6"/>
  <c r="D801" i="6"/>
  <c r="B801" i="6"/>
  <c r="A801" i="6"/>
  <c r="I800" i="6"/>
  <c r="H800" i="6"/>
  <c r="A800" i="6"/>
  <c r="M799" i="6"/>
  <c r="L799" i="6"/>
  <c r="E799" i="6"/>
  <c r="D799" i="6"/>
  <c r="C799" i="6"/>
  <c r="A799" i="6"/>
  <c r="I799" i="6" s="1"/>
  <c r="K798" i="6"/>
  <c r="I798" i="6"/>
  <c r="H798" i="6"/>
  <c r="G798" i="6"/>
  <c r="E798" i="6"/>
  <c r="B798" i="6"/>
  <c r="A798" i="6"/>
  <c r="M797" i="6"/>
  <c r="L797" i="6"/>
  <c r="K797" i="6"/>
  <c r="J797" i="6"/>
  <c r="H797" i="6"/>
  <c r="G797" i="6"/>
  <c r="F797" i="6"/>
  <c r="E797" i="6"/>
  <c r="D797" i="6"/>
  <c r="C797" i="6"/>
  <c r="B797" i="6"/>
  <c r="A797" i="6"/>
  <c r="A797" i="7" s="1"/>
  <c r="M796" i="6"/>
  <c r="K796" i="6"/>
  <c r="I796" i="6"/>
  <c r="H796" i="6"/>
  <c r="G796" i="6"/>
  <c r="D796" i="6"/>
  <c r="B796" i="6"/>
  <c r="A796" i="6"/>
  <c r="B795" i="6"/>
  <c r="A795" i="6"/>
  <c r="L794" i="6"/>
  <c r="G794" i="6"/>
  <c r="F794" i="6"/>
  <c r="E794" i="6"/>
  <c r="C794" i="6"/>
  <c r="A794" i="6"/>
  <c r="I794" i="6" s="1"/>
  <c r="J793" i="6"/>
  <c r="I793" i="6"/>
  <c r="A793" i="6"/>
  <c r="M792" i="6"/>
  <c r="F792" i="6"/>
  <c r="E792" i="6"/>
  <c r="D792" i="6"/>
  <c r="A792" i="6"/>
  <c r="I792" i="6" s="1"/>
  <c r="I791" i="6"/>
  <c r="H791" i="6"/>
  <c r="A791" i="6"/>
  <c r="M790" i="6"/>
  <c r="K790" i="6"/>
  <c r="G790" i="6"/>
  <c r="F790" i="6"/>
  <c r="E790" i="6"/>
  <c r="C790" i="6"/>
  <c r="A790" i="6"/>
  <c r="A790" i="7" s="1"/>
  <c r="M789" i="6"/>
  <c r="L789" i="6"/>
  <c r="K789" i="6"/>
  <c r="J789" i="6"/>
  <c r="H789" i="6"/>
  <c r="G789" i="6"/>
  <c r="F789" i="6"/>
  <c r="E789" i="6"/>
  <c r="D789" i="6"/>
  <c r="C789" i="6"/>
  <c r="B789" i="6"/>
  <c r="A789" i="6"/>
  <c r="A789" i="7" s="1"/>
  <c r="H788" i="6"/>
  <c r="G788" i="6"/>
  <c r="A788" i="6"/>
  <c r="A788" i="7" s="1"/>
  <c r="M787" i="6"/>
  <c r="L787" i="6"/>
  <c r="J787" i="6"/>
  <c r="H787" i="6"/>
  <c r="G787" i="6"/>
  <c r="F787" i="6"/>
  <c r="E787" i="6"/>
  <c r="D787" i="6"/>
  <c r="B787" i="6"/>
  <c r="A787" i="6"/>
  <c r="A787" i="7" s="1"/>
  <c r="A786" i="6"/>
  <c r="H785" i="6"/>
  <c r="G785" i="6"/>
  <c r="F785" i="6"/>
  <c r="A785" i="6"/>
  <c r="A785" i="7" s="1"/>
  <c r="M784" i="6"/>
  <c r="L784" i="6"/>
  <c r="K784" i="6"/>
  <c r="F784" i="6"/>
  <c r="E784" i="6"/>
  <c r="D784" i="6"/>
  <c r="C784" i="6"/>
  <c r="A784" i="6"/>
  <c r="A784" i="7" s="1"/>
  <c r="A783" i="6"/>
  <c r="M782" i="6"/>
  <c r="K782" i="6"/>
  <c r="H782" i="6"/>
  <c r="G782" i="6"/>
  <c r="F782" i="6"/>
  <c r="E782" i="6"/>
  <c r="C782" i="6"/>
  <c r="A782" i="6"/>
  <c r="A782" i="7" s="1"/>
  <c r="F782" i="7" s="1"/>
  <c r="M781" i="6"/>
  <c r="L781" i="6"/>
  <c r="K781" i="6"/>
  <c r="J781" i="6"/>
  <c r="H781" i="6"/>
  <c r="G781" i="6"/>
  <c r="F781" i="6"/>
  <c r="E781" i="6"/>
  <c r="D781" i="6"/>
  <c r="C781" i="6"/>
  <c r="B781" i="6"/>
  <c r="A781" i="6"/>
  <c r="A781" i="7" s="1"/>
  <c r="H780" i="6"/>
  <c r="G780" i="6"/>
  <c r="A780" i="6"/>
  <c r="A780" i="7" s="1"/>
  <c r="M779" i="6"/>
  <c r="L779" i="6"/>
  <c r="K779" i="6"/>
  <c r="J779" i="6"/>
  <c r="H779" i="6"/>
  <c r="G779" i="6"/>
  <c r="F779" i="6"/>
  <c r="E779" i="6"/>
  <c r="D779" i="6"/>
  <c r="C779" i="6"/>
  <c r="B779" i="6"/>
  <c r="A779" i="6"/>
  <c r="A779" i="7" s="1"/>
  <c r="J778" i="6"/>
  <c r="I778" i="6"/>
  <c r="A778" i="6"/>
  <c r="H777" i="6"/>
  <c r="G777" i="6"/>
  <c r="F777" i="6"/>
  <c r="A777" i="6"/>
  <c r="A777" i="7" s="1"/>
  <c r="M776" i="6"/>
  <c r="L776" i="6"/>
  <c r="K776" i="6"/>
  <c r="F776" i="6"/>
  <c r="E776" i="6"/>
  <c r="D776" i="6"/>
  <c r="C776" i="6"/>
  <c r="A776" i="6"/>
  <c r="A776" i="7" s="1"/>
  <c r="I775" i="6"/>
  <c r="H775" i="6"/>
  <c r="A775" i="6"/>
  <c r="M774" i="6"/>
  <c r="K774" i="6"/>
  <c r="H774" i="6"/>
  <c r="G774" i="6"/>
  <c r="F774" i="6"/>
  <c r="E774" i="6"/>
  <c r="C774" i="6"/>
  <c r="A774" i="6"/>
  <c r="A774" i="7" s="1"/>
  <c r="M773" i="6"/>
  <c r="L773" i="6"/>
  <c r="K773" i="6"/>
  <c r="J773" i="6"/>
  <c r="H773" i="6"/>
  <c r="F773" i="6"/>
  <c r="E773" i="6"/>
  <c r="D773" i="6"/>
  <c r="C773" i="6"/>
  <c r="B773" i="6"/>
  <c r="A773" i="6"/>
  <c r="A773" i="7" s="1"/>
  <c r="H772" i="6"/>
  <c r="G772" i="6"/>
  <c r="A772" i="6"/>
  <c r="A772" i="7" s="1"/>
  <c r="M771" i="6"/>
  <c r="L771" i="6"/>
  <c r="K771" i="6"/>
  <c r="J771" i="6"/>
  <c r="H771" i="6"/>
  <c r="G771" i="6"/>
  <c r="F771" i="6"/>
  <c r="E771" i="6"/>
  <c r="D771" i="6"/>
  <c r="C771" i="6"/>
  <c r="B771" i="6"/>
  <c r="A771" i="6"/>
  <c r="A771" i="7" s="1"/>
  <c r="B770" i="6"/>
  <c r="A770" i="6"/>
  <c r="H769" i="6"/>
  <c r="G769" i="6"/>
  <c r="F769" i="6"/>
  <c r="A769" i="6"/>
  <c r="A769" i="7" s="1"/>
  <c r="M768" i="6"/>
  <c r="L768" i="6"/>
  <c r="K768" i="6"/>
  <c r="F768" i="6"/>
  <c r="E768" i="6"/>
  <c r="D768" i="6"/>
  <c r="C768" i="6"/>
  <c r="A768" i="6"/>
  <c r="A768" i="7" s="1"/>
  <c r="A767" i="6"/>
  <c r="M766" i="6"/>
  <c r="K766" i="6"/>
  <c r="H766" i="6"/>
  <c r="G766" i="6"/>
  <c r="F766" i="6"/>
  <c r="E766" i="6"/>
  <c r="C766" i="6"/>
  <c r="A766" i="6"/>
  <c r="A766" i="7" s="1"/>
  <c r="M765" i="6"/>
  <c r="L765" i="6"/>
  <c r="K765" i="6"/>
  <c r="J765" i="6"/>
  <c r="H765" i="6"/>
  <c r="F765" i="6"/>
  <c r="E765" i="6"/>
  <c r="D765" i="6"/>
  <c r="C765" i="6"/>
  <c r="B765" i="6"/>
  <c r="A765" i="6"/>
  <c r="A765" i="7" s="1"/>
  <c r="L765" i="7" s="1"/>
  <c r="H764" i="6"/>
  <c r="G764" i="6"/>
  <c r="A764" i="6"/>
  <c r="A764" i="7" s="1"/>
  <c r="M763" i="6"/>
  <c r="L763" i="6"/>
  <c r="K763" i="6"/>
  <c r="J763" i="6"/>
  <c r="H763" i="6"/>
  <c r="G763" i="6"/>
  <c r="F763" i="6"/>
  <c r="E763" i="6"/>
  <c r="D763" i="6"/>
  <c r="C763" i="6"/>
  <c r="B763" i="6"/>
  <c r="A763" i="6"/>
  <c r="A763" i="7" s="1"/>
  <c r="A762" i="6"/>
  <c r="H761" i="6"/>
  <c r="G761" i="6"/>
  <c r="F761" i="6"/>
  <c r="A761" i="6"/>
  <c r="A761" i="7" s="1"/>
  <c r="M760" i="6"/>
  <c r="L760" i="6"/>
  <c r="K760" i="6"/>
  <c r="F760" i="6"/>
  <c r="E760" i="6"/>
  <c r="D760" i="6"/>
  <c r="C760" i="6"/>
  <c r="A760" i="6"/>
  <c r="A760" i="7" s="1"/>
  <c r="A759" i="6"/>
  <c r="M758" i="6"/>
  <c r="K758" i="6"/>
  <c r="H758" i="6"/>
  <c r="G758" i="6"/>
  <c r="F758" i="6"/>
  <c r="E758" i="6"/>
  <c r="C758" i="6"/>
  <c r="A758" i="6"/>
  <c r="A758" i="7" s="1"/>
  <c r="M757" i="6"/>
  <c r="L757" i="6"/>
  <c r="K757" i="6"/>
  <c r="J757" i="6"/>
  <c r="H757" i="6"/>
  <c r="F757" i="6"/>
  <c r="E757" i="6"/>
  <c r="D757" i="6"/>
  <c r="C757" i="6"/>
  <c r="B757" i="6"/>
  <c r="A757" i="6"/>
  <c r="A757" i="7" s="1"/>
  <c r="J757" i="7" s="1"/>
  <c r="H756" i="6"/>
  <c r="G756" i="6"/>
  <c r="A756" i="6"/>
  <c r="F756" i="6" s="1"/>
  <c r="M755" i="6"/>
  <c r="L755" i="6"/>
  <c r="K755" i="6"/>
  <c r="J755" i="6"/>
  <c r="H755" i="6"/>
  <c r="G755" i="6"/>
  <c r="F755" i="6"/>
  <c r="E755" i="6"/>
  <c r="D755" i="6"/>
  <c r="C755" i="6"/>
  <c r="B755" i="6"/>
  <c r="A755" i="6"/>
  <c r="A755" i="7" s="1"/>
  <c r="J754" i="6"/>
  <c r="I754" i="6"/>
  <c r="B754" i="6"/>
  <c r="A754" i="6"/>
  <c r="H753" i="6"/>
  <c r="G753" i="6"/>
  <c r="F753" i="6"/>
  <c r="A753" i="6"/>
  <c r="A753" i="7" s="1"/>
  <c r="M752" i="6"/>
  <c r="L752" i="6"/>
  <c r="K752" i="6"/>
  <c r="F752" i="6"/>
  <c r="E752" i="6"/>
  <c r="D752" i="6"/>
  <c r="C752" i="6"/>
  <c r="A752" i="6"/>
  <c r="A752" i="7" s="1"/>
  <c r="I751" i="6"/>
  <c r="H751" i="6"/>
  <c r="A751" i="6"/>
  <c r="M750" i="6"/>
  <c r="K750" i="6"/>
  <c r="H750" i="6"/>
  <c r="G750" i="6"/>
  <c r="F750" i="6"/>
  <c r="E750" i="6"/>
  <c r="C750" i="6"/>
  <c r="A750" i="6"/>
  <c r="A750" i="7" s="1"/>
  <c r="M749" i="6"/>
  <c r="L749" i="6"/>
  <c r="K749" i="6"/>
  <c r="J749" i="6"/>
  <c r="H749" i="6"/>
  <c r="F749" i="6"/>
  <c r="E749" i="6"/>
  <c r="D749" i="6"/>
  <c r="C749" i="6"/>
  <c r="B749" i="6"/>
  <c r="A749" i="6"/>
  <c r="A749" i="7" s="1"/>
  <c r="H748" i="6"/>
  <c r="G748" i="6"/>
  <c r="A748" i="6"/>
  <c r="A748" i="7" s="1"/>
  <c r="M747" i="6"/>
  <c r="L747" i="6"/>
  <c r="K747" i="6"/>
  <c r="J747" i="6"/>
  <c r="H747" i="6"/>
  <c r="G747" i="6"/>
  <c r="F747" i="6"/>
  <c r="E747" i="6"/>
  <c r="D747" i="6"/>
  <c r="C747" i="6"/>
  <c r="B747" i="6"/>
  <c r="A747" i="6"/>
  <c r="A747" i="7" s="1"/>
  <c r="A746" i="6"/>
  <c r="H745" i="6"/>
  <c r="G745" i="6"/>
  <c r="F745" i="6"/>
  <c r="A745" i="6"/>
  <c r="A745" i="7" s="1"/>
  <c r="M744" i="6"/>
  <c r="L744" i="6"/>
  <c r="K744" i="6"/>
  <c r="F744" i="6"/>
  <c r="E744" i="6"/>
  <c r="D744" i="6"/>
  <c r="C744" i="6"/>
  <c r="A744" i="6"/>
  <c r="A744" i="7" s="1"/>
  <c r="I743" i="6"/>
  <c r="H743" i="6"/>
  <c r="A743" i="6"/>
  <c r="M742" i="6"/>
  <c r="K742" i="6"/>
  <c r="H742" i="6"/>
  <c r="G742" i="6"/>
  <c r="F742" i="6"/>
  <c r="E742" i="6"/>
  <c r="C742" i="6"/>
  <c r="A742" i="6"/>
  <c r="A742" i="7" s="1"/>
  <c r="M741" i="6"/>
  <c r="L741" i="6"/>
  <c r="K741" i="6"/>
  <c r="J741" i="6"/>
  <c r="H741" i="6"/>
  <c r="F741" i="6"/>
  <c r="E741" i="6"/>
  <c r="D741" i="6"/>
  <c r="C741" i="6"/>
  <c r="B741" i="6"/>
  <c r="A741" i="6"/>
  <c r="A741" i="7" s="1"/>
  <c r="H740" i="6"/>
  <c r="G740" i="6"/>
  <c r="A740" i="6"/>
  <c r="A740" i="7" s="1"/>
  <c r="M739" i="6"/>
  <c r="L739" i="6"/>
  <c r="K739" i="6"/>
  <c r="J739" i="6"/>
  <c r="H739" i="6"/>
  <c r="G739" i="6"/>
  <c r="F739" i="6"/>
  <c r="E739" i="6"/>
  <c r="D739" i="6"/>
  <c r="C739" i="6"/>
  <c r="B739" i="6"/>
  <c r="A739" i="6"/>
  <c r="A739" i="7" s="1"/>
  <c r="A738" i="6"/>
  <c r="J738" i="6" s="1"/>
  <c r="H737" i="6"/>
  <c r="G737" i="6"/>
  <c r="F737" i="6"/>
  <c r="A737" i="6"/>
  <c r="A737" i="7" s="1"/>
  <c r="M736" i="6"/>
  <c r="L736" i="6"/>
  <c r="K736" i="6"/>
  <c r="F736" i="6"/>
  <c r="E736" i="6"/>
  <c r="D736" i="6"/>
  <c r="C736" i="6"/>
  <c r="A736" i="6"/>
  <c r="A736" i="7" s="1"/>
  <c r="A735" i="6"/>
  <c r="I735" i="6" s="1"/>
  <c r="M734" i="6"/>
  <c r="K734" i="6"/>
  <c r="H734" i="6"/>
  <c r="G734" i="6"/>
  <c r="F734" i="6"/>
  <c r="E734" i="6"/>
  <c r="C734" i="6"/>
  <c r="A734" i="6"/>
  <c r="A734" i="7" s="1"/>
  <c r="M733" i="6"/>
  <c r="L733" i="6"/>
  <c r="K733" i="6"/>
  <c r="J733" i="6"/>
  <c r="H733" i="6"/>
  <c r="F733" i="6"/>
  <c r="E733" i="6"/>
  <c r="D733" i="6"/>
  <c r="C733" i="6"/>
  <c r="B733" i="6"/>
  <c r="A733" i="6"/>
  <c r="A733" i="7" s="1"/>
  <c r="H732" i="6"/>
  <c r="G732" i="6"/>
  <c r="A732" i="6"/>
  <c r="A732" i="7" s="1"/>
  <c r="M731" i="6"/>
  <c r="L731" i="6"/>
  <c r="K731" i="6"/>
  <c r="J731" i="6"/>
  <c r="H731" i="6"/>
  <c r="G731" i="6"/>
  <c r="F731" i="6"/>
  <c r="E731" i="6"/>
  <c r="D731" i="6"/>
  <c r="C731" i="6"/>
  <c r="B731" i="6"/>
  <c r="A731" i="6"/>
  <c r="A731" i="7" s="1"/>
  <c r="I730" i="6"/>
  <c r="B730" i="6"/>
  <c r="A730" i="6"/>
  <c r="H729" i="6"/>
  <c r="G729" i="6"/>
  <c r="F729" i="6"/>
  <c r="A729" i="6"/>
  <c r="A729" i="7" s="1"/>
  <c r="M728" i="6"/>
  <c r="L728" i="6"/>
  <c r="K728" i="6"/>
  <c r="F728" i="6"/>
  <c r="E728" i="6"/>
  <c r="D728" i="6"/>
  <c r="C728" i="6"/>
  <c r="A728" i="6"/>
  <c r="A728" i="7" s="1"/>
  <c r="A727" i="6"/>
  <c r="M726" i="6"/>
  <c r="K726" i="6"/>
  <c r="H726" i="6"/>
  <c r="G726" i="6"/>
  <c r="F726" i="6"/>
  <c r="E726" i="6"/>
  <c r="C726" i="6"/>
  <c r="A726" i="6"/>
  <c r="A726" i="7" s="1"/>
  <c r="M725" i="6"/>
  <c r="L725" i="6"/>
  <c r="K725" i="6"/>
  <c r="J725" i="6"/>
  <c r="H725" i="6"/>
  <c r="F725" i="6"/>
  <c r="E725" i="6"/>
  <c r="D725" i="6"/>
  <c r="C725" i="6"/>
  <c r="B725" i="6"/>
  <c r="A725" i="6"/>
  <c r="A725" i="7" s="1"/>
  <c r="H724" i="6"/>
  <c r="G724" i="6"/>
  <c r="A724" i="6"/>
  <c r="A724" i="7" s="1"/>
  <c r="M723" i="6"/>
  <c r="L723" i="6"/>
  <c r="K723" i="6"/>
  <c r="J723" i="6"/>
  <c r="H723" i="6"/>
  <c r="G723" i="6"/>
  <c r="F723" i="6"/>
  <c r="E723" i="6"/>
  <c r="D723" i="6"/>
  <c r="C723" i="6"/>
  <c r="B723" i="6"/>
  <c r="A723" i="6"/>
  <c r="A723" i="7" s="1"/>
  <c r="J722" i="6"/>
  <c r="I722" i="6"/>
  <c r="B722" i="6"/>
  <c r="A722" i="6"/>
  <c r="H721" i="6"/>
  <c r="G721" i="6"/>
  <c r="F721" i="6"/>
  <c r="A721" i="6"/>
  <c r="A721" i="7" s="1"/>
  <c r="M720" i="6"/>
  <c r="L720" i="6"/>
  <c r="K720" i="6"/>
  <c r="F720" i="6"/>
  <c r="E720" i="6"/>
  <c r="D720" i="6"/>
  <c r="C720" i="6"/>
  <c r="A720" i="6"/>
  <c r="A720" i="7" s="1"/>
  <c r="A719" i="6"/>
  <c r="M718" i="6"/>
  <c r="K718" i="6"/>
  <c r="H718" i="6"/>
  <c r="G718" i="6"/>
  <c r="F718" i="6"/>
  <c r="E718" i="6"/>
  <c r="C718" i="6"/>
  <c r="A718" i="6"/>
  <c r="A718" i="7" s="1"/>
  <c r="M717" i="6"/>
  <c r="L717" i="6"/>
  <c r="K717" i="6"/>
  <c r="J717" i="6"/>
  <c r="H717" i="6"/>
  <c r="F717" i="6"/>
  <c r="E717" i="6"/>
  <c r="D717" i="6"/>
  <c r="C717" i="6"/>
  <c r="B717" i="6"/>
  <c r="A717" i="6"/>
  <c r="A717" i="7" s="1"/>
  <c r="H716" i="6"/>
  <c r="G716" i="6"/>
  <c r="A716" i="6"/>
  <c r="A716" i="7" s="1"/>
  <c r="M715" i="6"/>
  <c r="L715" i="6"/>
  <c r="K715" i="6"/>
  <c r="J715" i="6"/>
  <c r="H715" i="6"/>
  <c r="G715" i="6"/>
  <c r="F715" i="6"/>
  <c r="E715" i="6"/>
  <c r="D715" i="6"/>
  <c r="C715" i="6"/>
  <c r="B715" i="6"/>
  <c r="A715" i="6"/>
  <c r="A715" i="7" s="1"/>
  <c r="J714" i="6"/>
  <c r="A714" i="6"/>
  <c r="I714" i="6" s="1"/>
  <c r="H713" i="6"/>
  <c r="G713" i="6"/>
  <c r="F713" i="6"/>
  <c r="A713" i="6"/>
  <c r="A713" i="7" s="1"/>
  <c r="M712" i="6"/>
  <c r="L712" i="6"/>
  <c r="K712" i="6"/>
  <c r="F712" i="6"/>
  <c r="E712" i="6"/>
  <c r="D712" i="6"/>
  <c r="C712" i="6"/>
  <c r="A712" i="6"/>
  <c r="A712" i="7" s="1"/>
  <c r="I711" i="6"/>
  <c r="H711" i="6"/>
  <c r="A711" i="6"/>
  <c r="M710" i="6"/>
  <c r="K710" i="6"/>
  <c r="H710" i="6"/>
  <c r="G710" i="6"/>
  <c r="F710" i="6"/>
  <c r="E710" i="6"/>
  <c r="C710" i="6"/>
  <c r="A710" i="6"/>
  <c r="A710" i="7" s="1"/>
  <c r="M709" i="6"/>
  <c r="L709" i="6"/>
  <c r="K709" i="6"/>
  <c r="J709" i="6"/>
  <c r="H709" i="6"/>
  <c r="F709" i="6"/>
  <c r="E709" i="6"/>
  <c r="D709" i="6"/>
  <c r="C709" i="6"/>
  <c r="B709" i="6"/>
  <c r="A709" i="6"/>
  <c r="A709" i="7" s="1"/>
  <c r="H708" i="6"/>
  <c r="G708" i="6"/>
  <c r="A708" i="6"/>
  <c r="A708" i="7" s="1"/>
  <c r="M707" i="6"/>
  <c r="L707" i="6"/>
  <c r="K707" i="6"/>
  <c r="J707" i="6"/>
  <c r="H707" i="6"/>
  <c r="G707" i="6"/>
  <c r="F707" i="6"/>
  <c r="E707" i="6"/>
  <c r="D707" i="6"/>
  <c r="C707" i="6"/>
  <c r="B707" i="6"/>
  <c r="A707" i="6"/>
  <c r="A707" i="7" s="1"/>
  <c r="A706" i="6"/>
  <c r="H705" i="6"/>
  <c r="G705" i="6"/>
  <c r="F705" i="6"/>
  <c r="A705" i="6"/>
  <c r="A705" i="7" s="1"/>
  <c r="M704" i="6"/>
  <c r="L704" i="6"/>
  <c r="K704" i="6"/>
  <c r="F704" i="6"/>
  <c r="E704" i="6"/>
  <c r="D704" i="6"/>
  <c r="C704" i="6"/>
  <c r="A704" i="6"/>
  <c r="A704" i="7" s="1"/>
  <c r="A703" i="6"/>
  <c r="M702" i="6"/>
  <c r="K702" i="6"/>
  <c r="H702" i="6"/>
  <c r="G702" i="6"/>
  <c r="F702" i="6"/>
  <c r="E702" i="6"/>
  <c r="C702" i="6"/>
  <c r="A702" i="6"/>
  <c r="A702" i="7" s="1"/>
  <c r="M701" i="6"/>
  <c r="L701" i="6"/>
  <c r="K701" i="6"/>
  <c r="J701" i="6"/>
  <c r="H701" i="6"/>
  <c r="F701" i="6"/>
  <c r="E701" i="6"/>
  <c r="D701" i="6"/>
  <c r="C701" i="6"/>
  <c r="B701" i="6"/>
  <c r="A701" i="6"/>
  <c r="A701" i="7" s="1"/>
  <c r="H700" i="6"/>
  <c r="G700" i="6"/>
  <c r="A700" i="6"/>
  <c r="F700" i="6" s="1"/>
  <c r="M699" i="6"/>
  <c r="L699" i="6"/>
  <c r="K699" i="6"/>
  <c r="J699" i="6"/>
  <c r="H699" i="6"/>
  <c r="G699" i="6"/>
  <c r="F699" i="6"/>
  <c r="E699" i="6"/>
  <c r="D699" i="6"/>
  <c r="C699" i="6"/>
  <c r="B699" i="6"/>
  <c r="A699" i="6"/>
  <c r="A699" i="7" s="1"/>
  <c r="A698" i="6"/>
  <c r="H697" i="6"/>
  <c r="G697" i="6"/>
  <c r="F697" i="6"/>
  <c r="A697" i="6"/>
  <c r="A697" i="7" s="1"/>
  <c r="M696" i="6"/>
  <c r="L696" i="6"/>
  <c r="K696" i="6"/>
  <c r="F696" i="6"/>
  <c r="E696" i="6"/>
  <c r="D696" i="6"/>
  <c r="C696" i="6"/>
  <c r="A696" i="6"/>
  <c r="A696" i="7" s="1"/>
  <c r="K696" i="7" s="1"/>
  <c r="A695" i="6"/>
  <c r="M694" i="6"/>
  <c r="K694" i="6"/>
  <c r="H694" i="6"/>
  <c r="G694" i="6"/>
  <c r="F694" i="6"/>
  <c r="E694" i="6"/>
  <c r="C694" i="6"/>
  <c r="A694" i="6"/>
  <c r="A694" i="7" s="1"/>
  <c r="M693" i="6"/>
  <c r="L693" i="6"/>
  <c r="K693" i="6"/>
  <c r="J693" i="6"/>
  <c r="H693" i="6"/>
  <c r="F693" i="6"/>
  <c r="E693" i="6"/>
  <c r="D693" i="6"/>
  <c r="C693" i="6"/>
  <c r="B693" i="6"/>
  <c r="A693" i="6"/>
  <c r="A693" i="7" s="1"/>
  <c r="H692" i="6"/>
  <c r="G692" i="6"/>
  <c r="A692" i="6"/>
  <c r="A692" i="7" s="1"/>
  <c r="M691" i="6"/>
  <c r="L691" i="6"/>
  <c r="K691" i="6"/>
  <c r="J691" i="6"/>
  <c r="H691" i="6"/>
  <c r="G691" i="6"/>
  <c r="F691" i="6"/>
  <c r="E691" i="6"/>
  <c r="D691" i="6"/>
  <c r="C691" i="6"/>
  <c r="B691" i="6"/>
  <c r="A691" i="6"/>
  <c r="A691" i="7" s="1"/>
  <c r="J690" i="6"/>
  <c r="I690" i="6"/>
  <c r="A690" i="6"/>
  <c r="B690" i="6" s="1"/>
  <c r="H689" i="6"/>
  <c r="G689" i="6"/>
  <c r="F689" i="6"/>
  <c r="A689" i="6"/>
  <c r="A689" i="7" s="1"/>
  <c r="M688" i="6"/>
  <c r="L688" i="6"/>
  <c r="K688" i="6"/>
  <c r="F688" i="6"/>
  <c r="E688" i="6"/>
  <c r="D688" i="6"/>
  <c r="C688" i="6"/>
  <c r="A688" i="6"/>
  <c r="A688" i="7" s="1"/>
  <c r="L688" i="7" s="1"/>
  <c r="I687" i="6"/>
  <c r="H687" i="6"/>
  <c r="A687" i="6"/>
  <c r="M686" i="6"/>
  <c r="K686" i="6"/>
  <c r="H686" i="6"/>
  <c r="G686" i="6"/>
  <c r="F686" i="6"/>
  <c r="E686" i="6"/>
  <c r="C686" i="6"/>
  <c r="A686" i="6"/>
  <c r="A686" i="7" s="1"/>
  <c r="M685" i="6"/>
  <c r="L685" i="6"/>
  <c r="K685" i="6"/>
  <c r="J685" i="6"/>
  <c r="H685" i="6"/>
  <c r="F685" i="6"/>
  <c r="E685" i="6"/>
  <c r="D685" i="6"/>
  <c r="C685" i="6"/>
  <c r="B685" i="6"/>
  <c r="A685" i="6"/>
  <c r="A685" i="7" s="1"/>
  <c r="H684" i="6"/>
  <c r="G684" i="6"/>
  <c r="A684" i="6"/>
  <c r="A684" i="7" s="1"/>
  <c r="M683" i="6"/>
  <c r="L683" i="6"/>
  <c r="K683" i="6"/>
  <c r="J683" i="6"/>
  <c r="H683" i="6"/>
  <c r="G683" i="6"/>
  <c r="F683" i="6"/>
  <c r="E683" i="6"/>
  <c r="D683" i="6"/>
  <c r="C683" i="6"/>
  <c r="B683" i="6"/>
  <c r="A683" i="6"/>
  <c r="A683" i="7" s="1"/>
  <c r="A682" i="6"/>
  <c r="H681" i="6"/>
  <c r="G681" i="6"/>
  <c r="F681" i="6"/>
  <c r="A681" i="6"/>
  <c r="A681" i="7" s="1"/>
  <c r="M680" i="6"/>
  <c r="L680" i="6"/>
  <c r="K680" i="6"/>
  <c r="F680" i="6"/>
  <c r="E680" i="6"/>
  <c r="D680" i="6"/>
  <c r="C680" i="6"/>
  <c r="A680" i="6"/>
  <c r="A680" i="7" s="1"/>
  <c r="I679" i="6"/>
  <c r="H679" i="6"/>
  <c r="A679" i="6"/>
  <c r="M678" i="6"/>
  <c r="K678" i="6"/>
  <c r="H678" i="6"/>
  <c r="G678" i="6"/>
  <c r="F678" i="6"/>
  <c r="E678" i="6"/>
  <c r="C678" i="6"/>
  <c r="A678" i="6"/>
  <c r="A678" i="7" s="1"/>
  <c r="M677" i="6"/>
  <c r="L677" i="6"/>
  <c r="K677" i="6"/>
  <c r="J677" i="6"/>
  <c r="H677" i="6"/>
  <c r="F677" i="6"/>
  <c r="E677" i="6"/>
  <c r="D677" i="6"/>
  <c r="C677" i="6"/>
  <c r="B677" i="6"/>
  <c r="A677" i="6"/>
  <c r="A677" i="7" s="1"/>
  <c r="H676" i="6"/>
  <c r="G676" i="6"/>
  <c r="A676" i="6"/>
  <c r="A676" i="7" s="1"/>
  <c r="M675" i="6"/>
  <c r="L675" i="6"/>
  <c r="K675" i="6"/>
  <c r="J675" i="6"/>
  <c r="H675" i="6"/>
  <c r="G675" i="6"/>
  <c r="F675" i="6"/>
  <c r="E675" i="6"/>
  <c r="D675" i="6"/>
  <c r="C675" i="6"/>
  <c r="B675" i="6"/>
  <c r="A675" i="6"/>
  <c r="A675" i="7" s="1"/>
  <c r="A674" i="6"/>
  <c r="J674" i="6" s="1"/>
  <c r="H673" i="6"/>
  <c r="G673" i="6"/>
  <c r="F673" i="6"/>
  <c r="A673" i="6"/>
  <c r="A673" i="7" s="1"/>
  <c r="M672" i="6"/>
  <c r="L672" i="6"/>
  <c r="K672" i="6"/>
  <c r="F672" i="6"/>
  <c r="E672" i="6"/>
  <c r="D672" i="6"/>
  <c r="C672" i="6"/>
  <c r="A672" i="6"/>
  <c r="A672" i="7" s="1"/>
  <c r="J672" i="7" s="1"/>
  <c r="I671" i="6"/>
  <c r="H671" i="6"/>
  <c r="A671" i="6"/>
  <c r="M670" i="6"/>
  <c r="K670" i="6"/>
  <c r="H670" i="6"/>
  <c r="G670" i="6"/>
  <c r="F670" i="6"/>
  <c r="E670" i="6"/>
  <c r="C670" i="6"/>
  <c r="A670" i="6"/>
  <c r="A670" i="7" s="1"/>
  <c r="M669" i="6"/>
  <c r="L669" i="6"/>
  <c r="K669" i="6"/>
  <c r="J669" i="6"/>
  <c r="H669" i="6"/>
  <c r="F669" i="6"/>
  <c r="E669" i="6"/>
  <c r="D669" i="6"/>
  <c r="C669" i="6"/>
  <c r="B669" i="6"/>
  <c r="A669" i="6"/>
  <c r="A669" i="7" s="1"/>
  <c r="C669" i="7" s="1"/>
  <c r="I668" i="6"/>
  <c r="H668" i="6"/>
  <c r="A668" i="6"/>
  <c r="G668" i="6" s="1"/>
  <c r="M667" i="6"/>
  <c r="L667" i="6"/>
  <c r="K667" i="6"/>
  <c r="J667" i="6"/>
  <c r="H667" i="6"/>
  <c r="G667" i="6"/>
  <c r="F667" i="6"/>
  <c r="E667" i="6"/>
  <c r="D667" i="6"/>
  <c r="C667" i="6"/>
  <c r="B667" i="6"/>
  <c r="A667" i="6"/>
  <c r="A667" i="7" s="1"/>
  <c r="K666" i="6"/>
  <c r="J666" i="6"/>
  <c r="A666" i="6"/>
  <c r="I666" i="6" s="1"/>
  <c r="H665" i="6"/>
  <c r="G665" i="6"/>
  <c r="F665" i="6"/>
  <c r="A665" i="6"/>
  <c r="A665" i="7" s="1"/>
  <c r="M664" i="6"/>
  <c r="L664" i="6"/>
  <c r="K664" i="6"/>
  <c r="F664" i="6"/>
  <c r="E664" i="6"/>
  <c r="D664" i="6"/>
  <c r="C664" i="6"/>
  <c r="A664" i="6"/>
  <c r="J664" i="6" s="1"/>
  <c r="A663" i="6"/>
  <c r="J663" i="6" s="1"/>
  <c r="M662" i="6"/>
  <c r="K662" i="6"/>
  <c r="H662" i="6"/>
  <c r="G662" i="6"/>
  <c r="F662" i="6"/>
  <c r="E662" i="6"/>
  <c r="C662" i="6"/>
  <c r="A662" i="6"/>
  <c r="A662" i="7" s="1"/>
  <c r="M661" i="6"/>
  <c r="L661" i="6"/>
  <c r="K661" i="6"/>
  <c r="J661" i="6"/>
  <c r="H661" i="6"/>
  <c r="F661" i="6"/>
  <c r="E661" i="6"/>
  <c r="D661" i="6"/>
  <c r="C661" i="6"/>
  <c r="B661" i="6"/>
  <c r="A661" i="6"/>
  <c r="A661" i="7" s="1"/>
  <c r="A660" i="6"/>
  <c r="I660" i="6" s="1"/>
  <c r="M659" i="6"/>
  <c r="L659" i="6"/>
  <c r="K659" i="6"/>
  <c r="J659" i="6"/>
  <c r="H659" i="6"/>
  <c r="G659" i="6"/>
  <c r="F659" i="6"/>
  <c r="E659" i="6"/>
  <c r="D659" i="6"/>
  <c r="C659" i="6"/>
  <c r="B659" i="6"/>
  <c r="A659" i="6"/>
  <c r="A659" i="7" s="1"/>
  <c r="J658" i="6"/>
  <c r="C658" i="6"/>
  <c r="B658" i="6"/>
  <c r="A658" i="6"/>
  <c r="K658" i="6" s="1"/>
  <c r="H657" i="6"/>
  <c r="G657" i="6"/>
  <c r="F657" i="6"/>
  <c r="A657" i="6"/>
  <c r="A657" i="7" s="1"/>
  <c r="M656" i="6"/>
  <c r="L656" i="6"/>
  <c r="K656" i="6"/>
  <c r="F656" i="6"/>
  <c r="E656" i="6"/>
  <c r="D656" i="6"/>
  <c r="C656" i="6"/>
  <c r="A656" i="6"/>
  <c r="A656" i="7" s="1"/>
  <c r="A655" i="6"/>
  <c r="M654" i="6"/>
  <c r="K654" i="6"/>
  <c r="H654" i="6"/>
  <c r="G654" i="6"/>
  <c r="F654" i="6"/>
  <c r="E654" i="6"/>
  <c r="C654" i="6"/>
  <c r="A654" i="6"/>
  <c r="A654" i="7" s="1"/>
  <c r="M653" i="6"/>
  <c r="L653" i="6"/>
  <c r="K653" i="6"/>
  <c r="J653" i="6"/>
  <c r="H653" i="6"/>
  <c r="F653" i="6"/>
  <c r="E653" i="6"/>
  <c r="D653" i="6"/>
  <c r="C653" i="6"/>
  <c r="B653" i="6"/>
  <c r="A653" i="6"/>
  <c r="A653" i="7" s="1"/>
  <c r="H652" i="6"/>
  <c r="G652" i="6"/>
  <c r="A652" i="6"/>
  <c r="M651" i="6"/>
  <c r="L651" i="6"/>
  <c r="K651" i="6"/>
  <c r="J651" i="6"/>
  <c r="H651" i="6"/>
  <c r="G651" i="6"/>
  <c r="F651" i="6"/>
  <c r="E651" i="6"/>
  <c r="D651" i="6"/>
  <c r="C651" i="6"/>
  <c r="B651" i="6"/>
  <c r="A651" i="6"/>
  <c r="A651" i="7" s="1"/>
  <c r="B650" i="6"/>
  <c r="A650" i="6"/>
  <c r="H649" i="6"/>
  <c r="G649" i="6"/>
  <c r="F649" i="6"/>
  <c r="A649" i="6"/>
  <c r="A649" i="7" s="1"/>
  <c r="M648" i="6"/>
  <c r="L648" i="6"/>
  <c r="K648" i="6"/>
  <c r="F648" i="6"/>
  <c r="E648" i="6"/>
  <c r="D648" i="6"/>
  <c r="C648" i="6"/>
  <c r="A648" i="6"/>
  <c r="A648" i="7" s="1"/>
  <c r="J647" i="6"/>
  <c r="I647" i="6"/>
  <c r="H647" i="6"/>
  <c r="B647" i="6"/>
  <c r="A647" i="6"/>
  <c r="M646" i="6"/>
  <c r="K646" i="6"/>
  <c r="H646" i="6"/>
  <c r="G646" i="6"/>
  <c r="F646" i="6"/>
  <c r="E646" i="6"/>
  <c r="C646" i="6"/>
  <c r="A646" i="6"/>
  <c r="A646" i="7" s="1"/>
  <c r="M645" i="6"/>
  <c r="L645" i="6"/>
  <c r="K645" i="6"/>
  <c r="J645" i="6"/>
  <c r="H645" i="6"/>
  <c r="F645" i="6"/>
  <c r="E645" i="6"/>
  <c r="D645" i="6"/>
  <c r="C645" i="6"/>
  <c r="B645" i="6"/>
  <c r="A645" i="6"/>
  <c r="A645" i="7" s="1"/>
  <c r="L645" i="7" s="1"/>
  <c r="A644" i="6"/>
  <c r="M643" i="6"/>
  <c r="L643" i="6"/>
  <c r="K643" i="6"/>
  <c r="J643" i="6"/>
  <c r="H643" i="6"/>
  <c r="G643" i="6"/>
  <c r="F643" i="6"/>
  <c r="E643" i="6"/>
  <c r="D643" i="6"/>
  <c r="C643" i="6"/>
  <c r="B643" i="6"/>
  <c r="A643" i="6"/>
  <c r="A643" i="7" s="1"/>
  <c r="K642" i="6"/>
  <c r="I642" i="6"/>
  <c r="C642" i="6"/>
  <c r="A642" i="6"/>
  <c r="J642" i="6" s="1"/>
  <c r="H641" i="6"/>
  <c r="G641" i="6"/>
  <c r="F641" i="6"/>
  <c r="A641" i="6"/>
  <c r="A641" i="7" s="1"/>
  <c r="M640" i="6"/>
  <c r="L640" i="6"/>
  <c r="K640" i="6"/>
  <c r="F640" i="6"/>
  <c r="E640" i="6"/>
  <c r="D640" i="6"/>
  <c r="C640" i="6"/>
  <c r="A640" i="6"/>
  <c r="A640" i="7" s="1"/>
  <c r="J639" i="6"/>
  <c r="I639" i="6"/>
  <c r="H639" i="6"/>
  <c r="B639" i="6"/>
  <c r="A639" i="6"/>
  <c r="M638" i="6"/>
  <c r="K638" i="6"/>
  <c r="H638" i="6"/>
  <c r="G638" i="6"/>
  <c r="F638" i="6"/>
  <c r="E638" i="6"/>
  <c r="C638" i="6"/>
  <c r="A638" i="6"/>
  <c r="A638" i="7" s="1"/>
  <c r="M637" i="6"/>
  <c r="L637" i="6"/>
  <c r="K637" i="6"/>
  <c r="J637" i="6"/>
  <c r="H637" i="6"/>
  <c r="F637" i="6"/>
  <c r="E637" i="6"/>
  <c r="D637" i="6"/>
  <c r="C637" i="6"/>
  <c r="B637" i="6"/>
  <c r="A637" i="6"/>
  <c r="A637" i="7" s="1"/>
  <c r="D637" i="7" s="1"/>
  <c r="I636" i="6"/>
  <c r="H636" i="6"/>
  <c r="A636" i="6"/>
  <c r="G636" i="6" s="1"/>
  <c r="M635" i="6"/>
  <c r="L635" i="6"/>
  <c r="K635" i="6"/>
  <c r="J635" i="6"/>
  <c r="H635" i="6"/>
  <c r="G635" i="6"/>
  <c r="F635" i="6"/>
  <c r="E635" i="6"/>
  <c r="D635" i="6"/>
  <c r="C635" i="6"/>
  <c r="B635" i="6"/>
  <c r="A635" i="6"/>
  <c r="A635" i="7" s="1"/>
  <c r="K634" i="6"/>
  <c r="J634" i="6"/>
  <c r="A634" i="6"/>
  <c r="I634" i="6" s="1"/>
  <c r="H633" i="6"/>
  <c r="G633" i="6"/>
  <c r="F633" i="6"/>
  <c r="A633" i="6"/>
  <c r="A633" i="7" s="1"/>
  <c r="M632" i="6"/>
  <c r="L632" i="6"/>
  <c r="K632" i="6"/>
  <c r="F632" i="6"/>
  <c r="E632" i="6"/>
  <c r="D632" i="6"/>
  <c r="C632" i="6"/>
  <c r="A632" i="6"/>
  <c r="A632" i="7" s="1"/>
  <c r="G632" i="7" s="1"/>
  <c r="A631" i="6"/>
  <c r="J631" i="6" s="1"/>
  <c r="M630" i="6"/>
  <c r="K630" i="6"/>
  <c r="H630" i="6"/>
  <c r="G630" i="6"/>
  <c r="F630" i="6"/>
  <c r="E630" i="6"/>
  <c r="C630" i="6"/>
  <c r="A630" i="6"/>
  <c r="A630" i="7" s="1"/>
  <c r="M629" i="6"/>
  <c r="L629" i="6"/>
  <c r="K629" i="6"/>
  <c r="J629" i="6"/>
  <c r="H629" i="6"/>
  <c r="F629" i="6"/>
  <c r="E629" i="6"/>
  <c r="D629" i="6"/>
  <c r="C629" i="6"/>
  <c r="B629" i="6"/>
  <c r="A629" i="6"/>
  <c r="A629" i="7" s="1"/>
  <c r="A628" i="6"/>
  <c r="I628" i="6" s="1"/>
  <c r="M627" i="6"/>
  <c r="L627" i="6"/>
  <c r="K627" i="6"/>
  <c r="J627" i="6"/>
  <c r="H627" i="6"/>
  <c r="G627" i="6"/>
  <c r="F627" i="6"/>
  <c r="E627" i="6"/>
  <c r="D627" i="6"/>
  <c r="C627" i="6"/>
  <c r="B627" i="6"/>
  <c r="A627" i="6"/>
  <c r="A627" i="7" s="1"/>
  <c r="C626" i="6"/>
  <c r="B626" i="6"/>
  <c r="A626" i="6"/>
  <c r="K626" i="6" s="1"/>
  <c r="H625" i="6"/>
  <c r="G625" i="6"/>
  <c r="F625" i="6"/>
  <c r="A625" i="6"/>
  <c r="A625" i="7" s="1"/>
  <c r="M624" i="6"/>
  <c r="L624" i="6"/>
  <c r="K624" i="6"/>
  <c r="F624" i="6"/>
  <c r="E624" i="6"/>
  <c r="D624" i="6"/>
  <c r="C624" i="6"/>
  <c r="A624" i="6"/>
  <c r="A624" i="7" s="1"/>
  <c r="A623" i="6"/>
  <c r="M622" i="6"/>
  <c r="K622" i="6"/>
  <c r="H622" i="6"/>
  <c r="G622" i="6"/>
  <c r="F622" i="6"/>
  <c r="E622" i="6"/>
  <c r="C622" i="6"/>
  <c r="A622" i="6"/>
  <c r="A622" i="7" s="1"/>
  <c r="M621" i="6"/>
  <c r="L621" i="6"/>
  <c r="K621" i="6"/>
  <c r="J621" i="6"/>
  <c r="H621" i="6"/>
  <c r="G621" i="6"/>
  <c r="F621" i="6"/>
  <c r="E621" i="6"/>
  <c r="D621" i="6"/>
  <c r="C621" i="6"/>
  <c r="B621" i="6"/>
  <c r="A621" i="6"/>
  <c r="A621" i="7" s="1"/>
  <c r="A620" i="6"/>
  <c r="M619" i="6"/>
  <c r="L619" i="6"/>
  <c r="J619" i="6"/>
  <c r="H619" i="6"/>
  <c r="G619" i="6"/>
  <c r="F619" i="6"/>
  <c r="E619" i="6"/>
  <c r="D619" i="6"/>
  <c r="B619" i="6"/>
  <c r="A619" i="6"/>
  <c r="A619" i="7" s="1"/>
  <c r="G619" i="7" s="1"/>
  <c r="A618" i="6"/>
  <c r="H617" i="6"/>
  <c r="G617" i="6"/>
  <c r="F617" i="6"/>
  <c r="A617" i="6"/>
  <c r="A617" i="7" s="1"/>
  <c r="M616" i="6"/>
  <c r="L616" i="6"/>
  <c r="K616" i="6"/>
  <c r="F616" i="6"/>
  <c r="E616" i="6"/>
  <c r="D616" i="6"/>
  <c r="C616" i="6"/>
  <c r="A616" i="6"/>
  <c r="A616" i="7" s="1"/>
  <c r="A615" i="6"/>
  <c r="M614" i="6"/>
  <c r="K614" i="6"/>
  <c r="H614" i="6"/>
  <c r="G614" i="6"/>
  <c r="F614" i="6"/>
  <c r="E614" i="6"/>
  <c r="C614" i="6"/>
  <c r="A614" i="6"/>
  <c r="A614" i="7" s="1"/>
  <c r="M613" i="6"/>
  <c r="L613" i="6"/>
  <c r="K613" i="6"/>
  <c r="J613" i="6"/>
  <c r="H613" i="6"/>
  <c r="G613" i="6"/>
  <c r="F613" i="6"/>
  <c r="E613" i="6"/>
  <c r="D613" i="6"/>
  <c r="C613" i="6"/>
  <c r="B613" i="6"/>
  <c r="A613" i="6"/>
  <c r="A613" i="7" s="1"/>
  <c r="G612" i="6"/>
  <c r="A612" i="6"/>
  <c r="M611" i="6"/>
  <c r="L611" i="6"/>
  <c r="J611" i="6"/>
  <c r="H611" i="6"/>
  <c r="G611" i="6"/>
  <c r="F611" i="6"/>
  <c r="E611" i="6"/>
  <c r="D611" i="6"/>
  <c r="B611" i="6"/>
  <c r="A611" i="6"/>
  <c r="A611" i="7" s="1"/>
  <c r="A610" i="6"/>
  <c r="H609" i="6"/>
  <c r="G609" i="6"/>
  <c r="F609" i="6"/>
  <c r="A609" i="6"/>
  <c r="A609" i="7" s="1"/>
  <c r="M608" i="6"/>
  <c r="L608" i="6"/>
  <c r="K608" i="6"/>
  <c r="F608" i="6"/>
  <c r="E608" i="6"/>
  <c r="D608" i="6"/>
  <c r="C608" i="6"/>
  <c r="A608" i="6"/>
  <c r="A608" i="7" s="1"/>
  <c r="J607" i="6"/>
  <c r="H607" i="6"/>
  <c r="B607" i="6"/>
  <c r="A607" i="6"/>
  <c r="M606" i="6"/>
  <c r="K606" i="6"/>
  <c r="H606" i="6"/>
  <c r="G606" i="6"/>
  <c r="F606" i="6"/>
  <c r="E606" i="6"/>
  <c r="C606" i="6"/>
  <c r="A606" i="6"/>
  <c r="L606" i="6" s="1"/>
  <c r="M605" i="6"/>
  <c r="L605" i="6"/>
  <c r="K605" i="6"/>
  <c r="J605" i="6"/>
  <c r="H605" i="6"/>
  <c r="G605" i="6"/>
  <c r="F605" i="6"/>
  <c r="E605" i="6"/>
  <c r="D605" i="6"/>
  <c r="C605" i="6"/>
  <c r="B605" i="6"/>
  <c r="A605" i="6"/>
  <c r="A605" i="7" s="1"/>
  <c r="H604" i="6"/>
  <c r="G604" i="6"/>
  <c r="A604" i="6"/>
  <c r="M603" i="6"/>
  <c r="L603" i="6"/>
  <c r="J603" i="6"/>
  <c r="H603" i="6"/>
  <c r="G603" i="6"/>
  <c r="F603" i="6"/>
  <c r="E603" i="6"/>
  <c r="D603" i="6"/>
  <c r="B603" i="6"/>
  <c r="A603" i="6"/>
  <c r="A603" i="7" s="1"/>
  <c r="K602" i="6"/>
  <c r="J602" i="6"/>
  <c r="C602" i="6"/>
  <c r="B602" i="6"/>
  <c r="A602" i="6"/>
  <c r="H601" i="6"/>
  <c r="G601" i="6"/>
  <c r="F601" i="6"/>
  <c r="A601" i="6"/>
  <c r="A601" i="7" s="1"/>
  <c r="M600" i="6"/>
  <c r="L600" i="6"/>
  <c r="K600" i="6"/>
  <c r="F600" i="6"/>
  <c r="E600" i="6"/>
  <c r="D600" i="6"/>
  <c r="C600" i="6"/>
  <c r="A600" i="6"/>
  <c r="A600" i="7" s="1"/>
  <c r="I599" i="6"/>
  <c r="H599" i="6"/>
  <c r="A599" i="6"/>
  <c r="J599" i="6" s="1"/>
  <c r="M598" i="6"/>
  <c r="K598" i="6"/>
  <c r="H598" i="6"/>
  <c r="G598" i="6"/>
  <c r="F598" i="6"/>
  <c r="E598" i="6"/>
  <c r="C598" i="6"/>
  <c r="A598" i="6"/>
  <c r="L598" i="6" s="1"/>
  <c r="M597" i="6"/>
  <c r="L597" i="6"/>
  <c r="K597" i="6"/>
  <c r="J597" i="6"/>
  <c r="H597" i="6"/>
  <c r="G597" i="6"/>
  <c r="F597" i="6"/>
  <c r="E597" i="6"/>
  <c r="D597" i="6"/>
  <c r="C597" i="6"/>
  <c r="B597" i="6"/>
  <c r="A597" i="6"/>
  <c r="A597" i="7" s="1"/>
  <c r="M597" i="7" s="1"/>
  <c r="I596" i="6"/>
  <c r="H596" i="6"/>
  <c r="A596" i="6"/>
  <c r="G596" i="6" s="1"/>
  <c r="M595" i="6"/>
  <c r="L595" i="6"/>
  <c r="J595" i="6"/>
  <c r="H595" i="6"/>
  <c r="G595" i="6"/>
  <c r="F595" i="6"/>
  <c r="E595" i="6"/>
  <c r="D595" i="6"/>
  <c r="B595" i="6"/>
  <c r="A595" i="6"/>
  <c r="A595" i="7" s="1"/>
  <c r="K594" i="6"/>
  <c r="I594" i="6"/>
  <c r="C594" i="6"/>
  <c r="A594" i="6"/>
  <c r="J594" i="6" s="1"/>
  <c r="H593" i="6"/>
  <c r="G593" i="6"/>
  <c r="F593" i="6"/>
  <c r="A593" i="6"/>
  <c r="M593" i="6" s="1"/>
  <c r="M592" i="6"/>
  <c r="L592" i="6"/>
  <c r="K592" i="6"/>
  <c r="F592" i="6"/>
  <c r="E592" i="6"/>
  <c r="D592" i="6"/>
  <c r="C592" i="6"/>
  <c r="A592" i="6"/>
  <c r="A592" i="7" s="1"/>
  <c r="J591" i="6"/>
  <c r="I591" i="6"/>
  <c r="H591" i="6"/>
  <c r="B591" i="6"/>
  <c r="A591" i="6"/>
  <c r="M590" i="6"/>
  <c r="K590" i="6"/>
  <c r="H590" i="6"/>
  <c r="G590" i="6"/>
  <c r="F590" i="6"/>
  <c r="E590" i="6"/>
  <c r="C590" i="6"/>
  <c r="A590" i="6"/>
  <c r="A590" i="7" s="1"/>
  <c r="M589" i="6"/>
  <c r="L589" i="6"/>
  <c r="K589" i="6"/>
  <c r="J589" i="6"/>
  <c r="H589" i="6"/>
  <c r="G589" i="6"/>
  <c r="F589" i="6"/>
  <c r="E589" i="6"/>
  <c r="D589" i="6"/>
  <c r="C589" i="6"/>
  <c r="B589" i="6"/>
  <c r="A589" i="6"/>
  <c r="A589" i="7" s="1"/>
  <c r="F589" i="7" s="1"/>
  <c r="I588" i="6"/>
  <c r="H588" i="6"/>
  <c r="G588" i="6"/>
  <c r="A588" i="6"/>
  <c r="M587" i="6"/>
  <c r="L587" i="6"/>
  <c r="J587" i="6"/>
  <c r="H587" i="6"/>
  <c r="G587" i="6"/>
  <c r="F587" i="6"/>
  <c r="E587" i="6"/>
  <c r="D587" i="6"/>
  <c r="B587" i="6"/>
  <c r="A587" i="6"/>
  <c r="A587" i="7" s="1"/>
  <c r="K586" i="6"/>
  <c r="J586" i="6"/>
  <c r="I586" i="6"/>
  <c r="C586" i="6"/>
  <c r="B586" i="6"/>
  <c r="A586" i="6"/>
  <c r="H585" i="6"/>
  <c r="G585" i="6"/>
  <c r="F585" i="6"/>
  <c r="A585" i="6"/>
  <c r="M585" i="6" s="1"/>
  <c r="M584" i="6"/>
  <c r="L584" i="6"/>
  <c r="K584" i="6"/>
  <c r="F584" i="6"/>
  <c r="E584" i="6"/>
  <c r="D584" i="6"/>
  <c r="C584" i="6"/>
  <c r="A584" i="6"/>
  <c r="A584" i="7" s="1"/>
  <c r="M584" i="7" s="1"/>
  <c r="J583" i="6"/>
  <c r="A583" i="6"/>
  <c r="I583" i="6" s="1"/>
  <c r="M582" i="6"/>
  <c r="K582" i="6"/>
  <c r="H582" i="6"/>
  <c r="G582" i="6"/>
  <c r="F582" i="6"/>
  <c r="E582" i="6"/>
  <c r="C582" i="6"/>
  <c r="A582" i="6"/>
  <c r="A582" i="7" s="1"/>
  <c r="M581" i="6"/>
  <c r="L581" i="6"/>
  <c r="K581" i="6"/>
  <c r="J581" i="6"/>
  <c r="H581" i="6"/>
  <c r="G581" i="6"/>
  <c r="F581" i="6"/>
  <c r="E581" i="6"/>
  <c r="D581" i="6"/>
  <c r="C581" i="6"/>
  <c r="B581" i="6"/>
  <c r="A581" i="6"/>
  <c r="A581" i="7" s="1"/>
  <c r="A580" i="6"/>
  <c r="I580" i="6" s="1"/>
  <c r="M579" i="6"/>
  <c r="L579" i="6"/>
  <c r="J579" i="6"/>
  <c r="H579" i="6"/>
  <c r="G579" i="6"/>
  <c r="F579" i="6"/>
  <c r="E579" i="6"/>
  <c r="D579" i="6"/>
  <c r="B579" i="6"/>
  <c r="A579" i="6"/>
  <c r="A579" i="7" s="1"/>
  <c r="K578" i="6"/>
  <c r="J578" i="6"/>
  <c r="A578" i="6"/>
  <c r="I578" i="6" s="1"/>
  <c r="H577" i="6"/>
  <c r="G577" i="6"/>
  <c r="F577" i="6"/>
  <c r="A577" i="6"/>
  <c r="A577" i="7" s="1"/>
  <c r="M576" i="6"/>
  <c r="L576" i="6"/>
  <c r="K576" i="6"/>
  <c r="F576" i="6"/>
  <c r="E576" i="6"/>
  <c r="D576" i="6"/>
  <c r="C576" i="6"/>
  <c r="A576" i="6"/>
  <c r="A576" i="7" s="1"/>
  <c r="F576" i="7" s="1"/>
  <c r="A575" i="6"/>
  <c r="J575" i="6" s="1"/>
  <c r="M574" i="6"/>
  <c r="K574" i="6"/>
  <c r="H574" i="6"/>
  <c r="G574" i="6"/>
  <c r="F574" i="6"/>
  <c r="E574" i="6"/>
  <c r="C574" i="6"/>
  <c r="A574" i="6"/>
  <c r="A574" i="7" s="1"/>
  <c r="M573" i="6"/>
  <c r="L573" i="6"/>
  <c r="K573" i="6"/>
  <c r="J573" i="6"/>
  <c r="H573" i="6"/>
  <c r="G573" i="6"/>
  <c r="F573" i="6"/>
  <c r="E573" i="6"/>
  <c r="D573" i="6"/>
  <c r="C573" i="6"/>
  <c r="B573" i="6"/>
  <c r="A573" i="6"/>
  <c r="A573" i="7" s="1"/>
  <c r="A572" i="6"/>
  <c r="M571" i="6"/>
  <c r="L571" i="6"/>
  <c r="J571" i="6"/>
  <c r="H571" i="6"/>
  <c r="G571" i="6"/>
  <c r="F571" i="6"/>
  <c r="E571" i="6"/>
  <c r="D571" i="6"/>
  <c r="B571" i="6"/>
  <c r="A571" i="6"/>
  <c r="A571" i="7" s="1"/>
  <c r="K570" i="6"/>
  <c r="A570" i="6"/>
  <c r="J570" i="6" s="1"/>
  <c r="H569" i="6"/>
  <c r="G569" i="6"/>
  <c r="F569" i="6"/>
  <c r="A569" i="6"/>
  <c r="A569" i="7" s="1"/>
  <c r="M568" i="6"/>
  <c r="L568" i="6"/>
  <c r="K568" i="6"/>
  <c r="F568" i="6"/>
  <c r="E568" i="6"/>
  <c r="D568" i="6"/>
  <c r="C568" i="6"/>
  <c r="A568" i="6"/>
  <c r="A568" i="7" s="1"/>
  <c r="H567" i="6"/>
  <c r="B567" i="6"/>
  <c r="A567" i="6"/>
  <c r="M566" i="6"/>
  <c r="K566" i="6"/>
  <c r="H566" i="6"/>
  <c r="G566" i="6"/>
  <c r="F566" i="6"/>
  <c r="E566" i="6"/>
  <c r="C566" i="6"/>
  <c r="A566" i="6"/>
  <c r="A566" i="7" s="1"/>
  <c r="M565" i="6"/>
  <c r="L565" i="6"/>
  <c r="K565" i="6"/>
  <c r="J565" i="6"/>
  <c r="H565" i="6"/>
  <c r="G565" i="6"/>
  <c r="F565" i="6"/>
  <c r="E565" i="6"/>
  <c r="D565" i="6"/>
  <c r="C565" i="6"/>
  <c r="B565" i="6"/>
  <c r="A565" i="6"/>
  <c r="A565" i="7" s="1"/>
  <c r="H564" i="6"/>
  <c r="G564" i="6"/>
  <c r="A564" i="6"/>
  <c r="M563" i="6"/>
  <c r="L563" i="6"/>
  <c r="K563" i="6"/>
  <c r="J563" i="6"/>
  <c r="H563" i="6"/>
  <c r="G563" i="6"/>
  <c r="F563" i="6"/>
  <c r="E563" i="6"/>
  <c r="D563" i="6"/>
  <c r="C563" i="6"/>
  <c r="B563" i="6"/>
  <c r="A563" i="6"/>
  <c r="A563" i="7" s="1"/>
  <c r="F563" i="7" s="1"/>
  <c r="A562" i="6"/>
  <c r="H561" i="6"/>
  <c r="G561" i="6"/>
  <c r="F561" i="6"/>
  <c r="A561" i="6"/>
  <c r="A561" i="7" s="1"/>
  <c r="M560" i="6"/>
  <c r="L560" i="6"/>
  <c r="K560" i="6"/>
  <c r="F560" i="6"/>
  <c r="E560" i="6"/>
  <c r="D560" i="6"/>
  <c r="C560" i="6"/>
  <c r="A560" i="6"/>
  <c r="A560" i="7" s="1"/>
  <c r="J559" i="6"/>
  <c r="I559" i="6"/>
  <c r="H559" i="6"/>
  <c r="B559" i="6"/>
  <c r="A559" i="6"/>
  <c r="M558" i="6"/>
  <c r="K558" i="6"/>
  <c r="H558" i="6"/>
  <c r="G558" i="6"/>
  <c r="F558" i="6"/>
  <c r="E558" i="6"/>
  <c r="C558" i="6"/>
  <c r="A558" i="6"/>
  <c r="A558" i="7" s="1"/>
  <c r="M557" i="6"/>
  <c r="L557" i="6"/>
  <c r="K557" i="6"/>
  <c r="J557" i="6"/>
  <c r="H557" i="6"/>
  <c r="F557" i="6"/>
  <c r="E557" i="6"/>
  <c r="D557" i="6"/>
  <c r="C557" i="6"/>
  <c r="B557" i="6"/>
  <c r="A557" i="6"/>
  <c r="A557" i="7" s="1"/>
  <c r="A556" i="6"/>
  <c r="M555" i="6"/>
  <c r="L555" i="6"/>
  <c r="K555" i="6"/>
  <c r="J555" i="6"/>
  <c r="H555" i="6"/>
  <c r="G555" i="6"/>
  <c r="F555" i="6"/>
  <c r="E555" i="6"/>
  <c r="D555" i="6"/>
  <c r="C555" i="6"/>
  <c r="B555" i="6"/>
  <c r="A555" i="6"/>
  <c r="A555" i="7" s="1"/>
  <c r="K554" i="6"/>
  <c r="I554" i="6"/>
  <c r="C554" i="6"/>
  <c r="A554" i="6"/>
  <c r="J554" i="6" s="1"/>
  <c r="H553" i="6"/>
  <c r="G553" i="6"/>
  <c r="F553" i="6"/>
  <c r="A553" i="6"/>
  <c r="A553" i="7" s="1"/>
  <c r="M552" i="6"/>
  <c r="L552" i="6"/>
  <c r="K552" i="6"/>
  <c r="F552" i="6"/>
  <c r="E552" i="6"/>
  <c r="D552" i="6"/>
  <c r="C552" i="6"/>
  <c r="A552" i="6"/>
  <c r="A552" i="7" s="1"/>
  <c r="J551" i="6"/>
  <c r="I551" i="6"/>
  <c r="H551" i="6"/>
  <c r="B551" i="6"/>
  <c r="A551" i="6"/>
  <c r="M550" i="6"/>
  <c r="K550" i="6"/>
  <c r="H550" i="6"/>
  <c r="G550" i="6"/>
  <c r="F550" i="6"/>
  <c r="E550" i="6"/>
  <c r="C550" i="6"/>
  <c r="A550" i="6"/>
  <c r="L550" i="6" s="1"/>
  <c r="M549" i="6"/>
  <c r="L549" i="6"/>
  <c r="K549" i="6"/>
  <c r="J549" i="6"/>
  <c r="H549" i="6"/>
  <c r="F549" i="6"/>
  <c r="E549" i="6"/>
  <c r="D549" i="6"/>
  <c r="C549" i="6"/>
  <c r="B549" i="6"/>
  <c r="A549" i="6"/>
  <c r="A549" i="7" s="1"/>
  <c r="I548" i="6"/>
  <c r="H548" i="6"/>
  <c r="A548" i="6"/>
  <c r="G548" i="6" s="1"/>
  <c r="M547" i="6"/>
  <c r="L547" i="6"/>
  <c r="K547" i="6"/>
  <c r="J547" i="6"/>
  <c r="H547" i="6"/>
  <c r="G547" i="6"/>
  <c r="F547" i="6"/>
  <c r="E547" i="6"/>
  <c r="D547" i="6"/>
  <c r="C547" i="6"/>
  <c r="B547" i="6"/>
  <c r="A547" i="6"/>
  <c r="A547" i="7" s="1"/>
  <c r="K546" i="6"/>
  <c r="J546" i="6"/>
  <c r="A546" i="6"/>
  <c r="I546" i="6" s="1"/>
  <c r="H545" i="6"/>
  <c r="G545" i="6"/>
  <c r="F545" i="6"/>
  <c r="A545" i="6"/>
  <c r="A545" i="7" s="1"/>
  <c r="M544" i="6"/>
  <c r="L544" i="6"/>
  <c r="K544" i="6"/>
  <c r="F544" i="6"/>
  <c r="E544" i="6"/>
  <c r="D544" i="6"/>
  <c r="C544" i="6"/>
  <c r="A544" i="6"/>
  <c r="A544" i="7" s="1"/>
  <c r="A543" i="6"/>
  <c r="J543" i="6" s="1"/>
  <c r="M542" i="6"/>
  <c r="K542" i="6"/>
  <c r="H542" i="6"/>
  <c r="G542" i="6"/>
  <c r="F542" i="6"/>
  <c r="E542" i="6"/>
  <c r="C542" i="6"/>
  <c r="A542" i="6"/>
  <c r="A542" i="7" s="1"/>
  <c r="M541" i="6"/>
  <c r="L541" i="6"/>
  <c r="K541" i="6"/>
  <c r="J541" i="6"/>
  <c r="H541" i="6"/>
  <c r="F541" i="6"/>
  <c r="E541" i="6"/>
  <c r="D541" i="6"/>
  <c r="C541" i="6"/>
  <c r="B541" i="6"/>
  <c r="A541" i="6"/>
  <c r="A541" i="7" s="1"/>
  <c r="M541" i="7" s="1"/>
  <c r="A540" i="6"/>
  <c r="I540" i="6" s="1"/>
  <c r="M539" i="6"/>
  <c r="L539" i="6"/>
  <c r="K539" i="6"/>
  <c r="J539" i="6"/>
  <c r="H539" i="6"/>
  <c r="G539" i="6"/>
  <c r="F539" i="6"/>
  <c r="E539" i="6"/>
  <c r="D539" i="6"/>
  <c r="C539" i="6"/>
  <c r="B539" i="6"/>
  <c r="A539" i="6"/>
  <c r="A539" i="7" s="1"/>
  <c r="J538" i="6"/>
  <c r="C538" i="6"/>
  <c r="B538" i="6"/>
  <c r="A538" i="6"/>
  <c r="K538" i="6" s="1"/>
  <c r="H537" i="6"/>
  <c r="G537" i="6"/>
  <c r="F537" i="6"/>
  <c r="A537" i="6"/>
  <c r="M537" i="6" s="1"/>
  <c r="M536" i="6"/>
  <c r="L536" i="6"/>
  <c r="K536" i="6"/>
  <c r="F536" i="6"/>
  <c r="E536" i="6"/>
  <c r="D536" i="6"/>
  <c r="C536" i="6"/>
  <c r="A536" i="6"/>
  <c r="A536" i="7" s="1"/>
  <c r="A535" i="6"/>
  <c r="M534" i="6"/>
  <c r="K534" i="6"/>
  <c r="H534" i="6"/>
  <c r="G534" i="6"/>
  <c r="F534" i="6"/>
  <c r="E534" i="6"/>
  <c r="C534" i="6"/>
  <c r="A534" i="6"/>
  <c r="A534" i="7" s="1"/>
  <c r="M533" i="6"/>
  <c r="L533" i="6"/>
  <c r="K533" i="6"/>
  <c r="J533" i="6"/>
  <c r="H533" i="6"/>
  <c r="F533" i="6"/>
  <c r="E533" i="6"/>
  <c r="D533" i="6"/>
  <c r="C533" i="6"/>
  <c r="B533" i="6"/>
  <c r="A533" i="6"/>
  <c r="A533" i="7" s="1"/>
  <c r="H532" i="6"/>
  <c r="G532" i="6"/>
  <c r="A532" i="6"/>
  <c r="M531" i="6"/>
  <c r="L531" i="6"/>
  <c r="K531" i="6"/>
  <c r="J531" i="6"/>
  <c r="H531" i="6"/>
  <c r="G531" i="6"/>
  <c r="F531" i="6"/>
  <c r="E531" i="6"/>
  <c r="D531" i="6"/>
  <c r="C531" i="6"/>
  <c r="B531" i="6"/>
  <c r="A531" i="6"/>
  <c r="A531" i="7" s="1"/>
  <c r="A530" i="6"/>
  <c r="H529" i="6"/>
  <c r="G529" i="6"/>
  <c r="F529" i="6"/>
  <c r="A529" i="6"/>
  <c r="A529" i="7" s="1"/>
  <c r="M528" i="6"/>
  <c r="L528" i="6"/>
  <c r="K528" i="6"/>
  <c r="F528" i="6"/>
  <c r="E528" i="6"/>
  <c r="D528" i="6"/>
  <c r="C528" i="6"/>
  <c r="A528" i="6"/>
  <c r="A528" i="7" s="1"/>
  <c r="M528" i="7" s="1"/>
  <c r="J527" i="6"/>
  <c r="H527" i="6"/>
  <c r="B527" i="6"/>
  <c r="A527" i="6"/>
  <c r="M526" i="6"/>
  <c r="K526" i="6"/>
  <c r="H526" i="6"/>
  <c r="G526" i="6"/>
  <c r="F526" i="6"/>
  <c r="E526" i="6"/>
  <c r="C526" i="6"/>
  <c r="A526" i="6"/>
  <c r="A526" i="7" s="1"/>
  <c r="M525" i="6"/>
  <c r="L525" i="6"/>
  <c r="K525" i="6"/>
  <c r="J525" i="6"/>
  <c r="H525" i="6"/>
  <c r="F525" i="6"/>
  <c r="E525" i="6"/>
  <c r="D525" i="6"/>
  <c r="C525" i="6"/>
  <c r="B525" i="6"/>
  <c r="A525" i="6"/>
  <c r="A525" i="7" s="1"/>
  <c r="A524" i="6"/>
  <c r="M523" i="6"/>
  <c r="L523" i="6"/>
  <c r="K523" i="6"/>
  <c r="J523" i="6"/>
  <c r="H523" i="6"/>
  <c r="G523" i="6"/>
  <c r="F523" i="6"/>
  <c r="E523" i="6"/>
  <c r="D523" i="6"/>
  <c r="C523" i="6"/>
  <c r="B523" i="6"/>
  <c r="A523" i="6"/>
  <c r="A523" i="7" s="1"/>
  <c r="K522" i="6"/>
  <c r="I522" i="6"/>
  <c r="C522" i="6"/>
  <c r="B522" i="6"/>
  <c r="A522" i="6"/>
  <c r="J522" i="6" s="1"/>
  <c r="H521" i="6"/>
  <c r="G521" i="6"/>
  <c r="F521" i="6"/>
  <c r="A521" i="6"/>
  <c r="A521" i="7" s="1"/>
  <c r="M520" i="6"/>
  <c r="L520" i="6"/>
  <c r="K520" i="6"/>
  <c r="F520" i="6"/>
  <c r="E520" i="6"/>
  <c r="D520" i="6"/>
  <c r="C520" i="6"/>
  <c r="A520" i="6"/>
  <c r="A520" i="7" s="1"/>
  <c r="J519" i="6"/>
  <c r="I519" i="6"/>
  <c r="H519" i="6"/>
  <c r="B519" i="6"/>
  <c r="A519" i="6"/>
  <c r="M518" i="6"/>
  <c r="K518" i="6"/>
  <c r="H518" i="6"/>
  <c r="G518" i="6"/>
  <c r="F518" i="6"/>
  <c r="E518" i="6"/>
  <c r="C518" i="6"/>
  <c r="A518" i="6"/>
  <c r="A518" i="7" s="1"/>
  <c r="M517" i="6"/>
  <c r="L517" i="6"/>
  <c r="K517" i="6"/>
  <c r="J517" i="6"/>
  <c r="H517" i="6"/>
  <c r="F517" i="6"/>
  <c r="E517" i="6"/>
  <c r="D517" i="6"/>
  <c r="C517" i="6"/>
  <c r="B517" i="6"/>
  <c r="A517" i="6"/>
  <c r="A517" i="7" s="1"/>
  <c r="I516" i="6"/>
  <c r="H516" i="6"/>
  <c r="G516" i="6"/>
  <c r="A516" i="6"/>
  <c r="M515" i="6"/>
  <c r="L515" i="6"/>
  <c r="K515" i="6"/>
  <c r="J515" i="6"/>
  <c r="H515" i="6"/>
  <c r="G515" i="6"/>
  <c r="F515" i="6"/>
  <c r="E515" i="6"/>
  <c r="D515" i="6"/>
  <c r="C515" i="6"/>
  <c r="B515" i="6"/>
  <c r="A515" i="6"/>
  <c r="A515" i="7" s="1"/>
  <c r="H515" i="7" s="1"/>
  <c r="K514" i="6"/>
  <c r="J514" i="6"/>
  <c r="A514" i="6"/>
  <c r="I514" i="6" s="1"/>
  <c r="H513" i="6"/>
  <c r="G513" i="6"/>
  <c r="F513" i="6"/>
  <c r="A513" i="6"/>
  <c r="A513" i="7" s="1"/>
  <c r="M512" i="6"/>
  <c r="L512" i="6"/>
  <c r="K512" i="6"/>
  <c r="F512" i="6"/>
  <c r="E512" i="6"/>
  <c r="D512" i="6"/>
  <c r="C512" i="6"/>
  <c r="A512" i="6"/>
  <c r="A512" i="7" s="1"/>
  <c r="A511" i="6"/>
  <c r="J511" i="6" s="1"/>
  <c r="M510" i="6"/>
  <c r="K510" i="6"/>
  <c r="H510" i="6"/>
  <c r="G510" i="6"/>
  <c r="F510" i="6"/>
  <c r="E510" i="6"/>
  <c r="C510" i="6"/>
  <c r="A510" i="6"/>
  <c r="A510" i="7" s="1"/>
  <c r="M509" i="6"/>
  <c r="L509" i="6"/>
  <c r="K509" i="6"/>
  <c r="J509" i="6"/>
  <c r="H509" i="6"/>
  <c r="F509" i="6"/>
  <c r="E509" i="6"/>
  <c r="D509" i="6"/>
  <c r="C509" i="6"/>
  <c r="B509" i="6"/>
  <c r="A509" i="6"/>
  <c r="A509" i="7" s="1"/>
  <c r="A508" i="6"/>
  <c r="I508" i="6" s="1"/>
  <c r="M507" i="6"/>
  <c r="L507" i="6"/>
  <c r="K507" i="6"/>
  <c r="J507" i="6"/>
  <c r="H507" i="6"/>
  <c r="G507" i="6"/>
  <c r="F507" i="6"/>
  <c r="E507" i="6"/>
  <c r="D507" i="6"/>
  <c r="C507" i="6"/>
  <c r="B507" i="6"/>
  <c r="A507" i="6"/>
  <c r="A507" i="7" s="1"/>
  <c r="K506" i="6"/>
  <c r="J506" i="6"/>
  <c r="C506" i="6"/>
  <c r="B506" i="6"/>
  <c r="A506" i="6"/>
  <c r="H505" i="6"/>
  <c r="G505" i="6"/>
  <c r="F505" i="6"/>
  <c r="A505" i="6"/>
  <c r="A505" i="7" s="1"/>
  <c r="M504" i="6"/>
  <c r="L504" i="6"/>
  <c r="K504" i="6"/>
  <c r="F504" i="6"/>
  <c r="E504" i="6"/>
  <c r="D504" i="6"/>
  <c r="C504" i="6"/>
  <c r="A504" i="6"/>
  <c r="A504" i="7" s="1"/>
  <c r="A503" i="6"/>
  <c r="M502" i="6"/>
  <c r="K502" i="6"/>
  <c r="H502" i="6"/>
  <c r="G502" i="6"/>
  <c r="F502" i="6"/>
  <c r="E502" i="6"/>
  <c r="C502" i="6"/>
  <c r="A502" i="6"/>
  <c r="A502" i="7" s="1"/>
  <c r="H502" i="7" s="1"/>
  <c r="M501" i="6"/>
  <c r="L501" i="6"/>
  <c r="K501" i="6"/>
  <c r="J501" i="6"/>
  <c r="H501" i="6"/>
  <c r="F501" i="6"/>
  <c r="E501" i="6"/>
  <c r="D501" i="6"/>
  <c r="C501" i="6"/>
  <c r="B501" i="6"/>
  <c r="A501" i="6"/>
  <c r="A501" i="7" s="1"/>
  <c r="H500" i="6"/>
  <c r="G500" i="6"/>
  <c r="A500" i="6"/>
  <c r="M499" i="6"/>
  <c r="L499" i="6"/>
  <c r="K499" i="6"/>
  <c r="J499" i="6"/>
  <c r="H499" i="6"/>
  <c r="G499" i="6"/>
  <c r="F499" i="6"/>
  <c r="E499" i="6"/>
  <c r="D499" i="6"/>
  <c r="C499" i="6"/>
  <c r="B499" i="6"/>
  <c r="A499" i="6"/>
  <c r="A499" i="7" s="1"/>
  <c r="A498" i="6"/>
  <c r="H497" i="6"/>
  <c r="G497" i="6"/>
  <c r="F497" i="6"/>
  <c r="A497" i="6"/>
  <c r="A497" i="7" s="1"/>
  <c r="M496" i="6"/>
  <c r="L496" i="6"/>
  <c r="K496" i="6"/>
  <c r="F496" i="6"/>
  <c r="E496" i="6"/>
  <c r="D496" i="6"/>
  <c r="C496" i="6"/>
  <c r="A496" i="6"/>
  <c r="A496" i="7" s="1"/>
  <c r="J495" i="6"/>
  <c r="H495" i="6"/>
  <c r="B495" i="6"/>
  <c r="A495" i="6"/>
  <c r="M494" i="6"/>
  <c r="K494" i="6"/>
  <c r="H494" i="6"/>
  <c r="G494" i="6"/>
  <c r="F494" i="6"/>
  <c r="E494" i="6"/>
  <c r="C494" i="6"/>
  <c r="A494" i="6"/>
  <c r="A494" i="7" s="1"/>
  <c r="M493" i="6"/>
  <c r="L493" i="6"/>
  <c r="K493" i="6"/>
  <c r="J493" i="6"/>
  <c r="H493" i="6"/>
  <c r="F493" i="6"/>
  <c r="E493" i="6"/>
  <c r="D493" i="6"/>
  <c r="C493" i="6"/>
  <c r="B493" i="6"/>
  <c r="A493" i="6"/>
  <c r="A493" i="7" s="1"/>
  <c r="D493" i="7" s="1"/>
  <c r="G492" i="6"/>
  <c r="A492" i="6"/>
  <c r="M491" i="6"/>
  <c r="L491" i="6"/>
  <c r="K491" i="6"/>
  <c r="J491" i="6"/>
  <c r="H491" i="6"/>
  <c r="G491" i="6"/>
  <c r="F491" i="6"/>
  <c r="E491" i="6"/>
  <c r="D491" i="6"/>
  <c r="C491" i="6"/>
  <c r="B491" i="6"/>
  <c r="A491" i="6"/>
  <c r="A491" i="7" s="1"/>
  <c r="K490" i="6"/>
  <c r="I490" i="6"/>
  <c r="C490" i="6"/>
  <c r="B490" i="6"/>
  <c r="A490" i="6"/>
  <c r="J490" i="6" s="1"/>
  <c r="H489" i="6"/>
  <c r="G489" i="6"/>
  <c r="F489" i="6"/>
  <c r="A489" i="6"/>
  <c r="A489" i="7" s="1"/>
  <c r="H489" i="7" s="1"/>
  <c r="M488" i="6"/>
  <c r="L488" i="6"/>
  <c r="K488" i="6"/>
  <c r="F488" i="6"/>
  <c r="E488" i="6"/>
  <c r="D488" i="6"/>
  <c r="C488" i="6"/>
  <c r="A488" i="6"/>
  <c r="A488" i="7" s="1"/>
  <c r="J487" i="6"/>
  <c r="I487" i="6"/>
  <c r="H487" i="6"/>
  <c r="B487" i="6"/>
  <c r="A487" i="6"/>
  <c r="M486" i="6"/>
  <c r="K486" i="6"/>
  <c r="H486" i="6"/>
  <c r="G486" i="6"/>
  <c r="F486" i="6"/>
  <c r="E486" i="6"/>
  <c r="C486" i="6"/>
  <c r="A486" i="6"/>
  <c r="A486" i="7" s="1"/>
  <c r="M485" i="6"/>
  <c r="L485" i="6"/>
  <c r="K485" i="6"/>
  <c r="J485" i="6"/>
  <c r="H485" i="6"/>
  <c r="F485" i="6"/>
  <c r="E485" i="6"/>
  <c r="D485" i="6"/>
  <c r="C485" i="6"/>
  <c r="B485" i="6"/>
  <c r="A485" i="6"/>
  <c r="A485" i="7" s="1"/>
  <c r="I484" i="6"/>
  <c r="H484" i="6"/>
  <c r="G484" i="6"/>
  <c r="A484" i="6"/>
  <c r="M483" i="6"/>
  <c r="L483" i="6"/>
  <c r="K483" i="6"/>
  <c r="J483" i="6"/>
  <c r="H483" i="6"/>
  <c r="G483" i="6"/>
  <c r="F483" i="6"/>
  <c r="E483" i="6"/>
  <c r="D483" i="6"/>
  <c r="C483" i="6"/>
  <c r="B483" i="6"/>
  <c r="A483" i="6"/>
  <c r="A483" i="7" s="1"/>
  <c r="K482" i="6"/>
  <c r="J482" i="6"/>
  <c r="A482" i="6"/>
  <c r="I482" i="6" s="1"/>
  <c r="H481" i="6"/>
  <c r="G481" i="6"/>
  <c r="F481" i="6"/>
  <c r="A481" i="6"/>
  <c r="A481" i="7" s="1"/>
  <c r="M480" i="6"/>
  <c r="L480" i="6"/>
  <c r="K480" i="6"/>
  <c r="F480" i="6"/>
  <c r="E480" i="6"/>
  <c r="D480" i="6"/>
  <c r="C480" i="6"/>
  <c r="A480" i="6"/>
  <c r="A480" i="7" s="1"/>
  <c r="A479" i="6"/>
  <c r="J479" i="6" s="1"/>
  <c r="M478" i="6"/>
  <c r="K478" i="6"/>
  <c r="H478" i="6"/>
  <c r="G478" i="6"/>
  <c r="F478" i="6"/>
  <c r="E478" i="6"/>
  <c r="C478" i="6"/>
  <c r="A478" i="6"/>
  <c r="A478" i="7" s="1"/>
  <c r="M477" i="6"/>
  <c r="L477" i="6"/>
  <c r="K477" i="6"/>
  <c r="J477" i="6"/>
  <c r="H477" i="6"/>
  <c r="F477" i="6"/>
  <c r="E477" i="6"/>
  <c r="D477" i="6"/>
  <c r="C477" i="6"/>
  <c r="B477" i="6"/>
  <c r="A477" i="6"/>
  <c r="A477" i="7" s="1"/>
  <c r="A476" i="6"/>
  <c r="I476" i="6" s="1"/>
  <c r="M475" i="6"/>
  <c r="L475" i="6"/>
  <c r="K475" i="6"/>
  <c r="J475" i="6"/>
  <c r="H475" i="6"/>
  <c r="G475" i="6"/>
  <c r="F475" i="6"/>
  <c r="E475" i="6"/>
  <c r="D475" i="6"/>
  <c r="C475" i="6"/>
  <c r="B475" i="6"/>
  <c r="A475" i="6"/>
  <c r="A475" i="7" s="1"/>
  <c r="K474" i="6"/>
  <c r="C474" i="6"/>
  <c r="B474" i="6"/>
  <c r="A474" i="6"/>
  <c r="H473" i="6"/>
  <c r="G473" i="6"/>
  <c r="F473" i="6"/>
  <c r="A473" i="6"/>
  <c r="A473" i="7" s="1"/>
  <c r="M472" i="6"/>
  <c r="L472" i="6"/>
  <c r="K472" i="6"/>
  <c r="F472" i="6"/>
  <c r="E472" i="6"/>
  <c r="D472" i="6"/>
  <c r="C472" i="6"/>
  <c r="A472" i="6"/>
  <c r="A472" i="7" s="1"/>
  <c r="A471" i="6"/>
  <c r="M470" i="6"/>
  <c r="K470" i="6"/>
  <c r="H470" i="6"/>
  <c r="G470" i="6"/>
  <c r="F470" i="6"/>
  <c r="E470" i="6"/>
  <c r="C470" i="6"/>
  <c r="A470" i="6"/>
  <c r="L470" i="6" s="1"/>
  <c r="M469" i="6"/>
  <c r="L469" i="6"/>
  <c r="K469" i="6"/>
  <c r="J469" i="6"/>
  <c r="H469" i="6"/>
  <c r="F469" i="6"/>
  <c r="E469" i="6"/>
  <c r="D469" i="6"/>
  <c r="C469" i="6"/>
  <c r="B469" i="6"/>
  <c r="A469" i="6"/>
  <c r="A469" i="7" s="1"/>
  <c r="H468" i="6"/>
  <c r="G468" i="6"/>
  <c r="A468" i="6"/>
  <c r="M467" i="6"/>
  <c r="L467" i="6"/>
  <c r="K467" i="6"/>
  <c r="J467" i="6"/>
  <c r="H467" i="6"/>
  <c r="G467" i="6"/>
  <c r="F467" i="6"/>
  <c r="E467" i="6"/>
  <c r="D467" i="6"/>
  <c r="C467" i="6"/>
  <c r="B467" i="6"/>
  <c r="A467" i="6"/>
  <c r="A467" i="7" s="1"/>
  <c r="A466" i="6"/>
  <c r="H465" i="6"/>
  <c r="G465" i="6"/>
  <c r="F465" i="6"/>
  <c r="A465" i="6"/>
  <c r="A465" i="7" s="1"/>
  <c r="M464" i="6"/>
  <c r="L464" i="6"/>
  <c r="K464" i="6"/>
  <c r="F464" i="6"/>
  <c r="E464" i="6"/>
  <c r="D464" i="6"/>
  <c r="C464" i="6"/>
  <c r="A464" i="6"/>
  <c r="A464" i="7" s="1"/>
  <c r="J463" i="6"/>
  <c r="H463" i="6"/>
  <c r="B463" i="6"/>
  <c r="A463" i="6"/>
  <c r="M462" i="6"/>
  <c r="K462" i="6"/>
  <c r="H462" i="6"/>
  <c r="G462" i="6"/>
  <c r="F462" i="6"/>
  <c r="E462" i="6"/>
  <c r="C462" i="6"/>
  <c r="A462" i="6"/>
  <c r="A462" i="7" s="1"/>
  <c r="M461" i="6"/>
  <c r="L461" i="6"/>
  <c r="K461" i="6"/>
  <c r="J461" i="6"/>
  <c r="H461" i="6"/>
  <c r="F461" i="6"/>
  <c r="E461" i="6"/>
  <c r="D461" i="6"/>
  <c r="C461" i="6"/>
  <c r="B461" i="6"/>
  <c r="A461" i="6"/>
  <c r="A461" i="7" s="1"/>
  <c r="L461" i="7" s="1"/>
  <c r="G460" i="6"/>
  <c r="A460" i="6"/>
  <c r="M459" i="6"/>
  <c r="L459" i="6"/>
  <c r="J459" i="6"/>
  <c r="H459" i="6"/>
  <c r="G459" i="6"/>
  <c r="F459" i="6"/>
  <c r="E459" i="6"/>
  <c r="D459" i="6"/>
  <c r="B459" i="6"/>
  <c r="A459" i="6"/>
  <c r="A459" i="7" s="1"/>
  <c r="A458" i="6"/>
  <c r="H457" i="6"/>
  <c r="G457" i="6"/>
  <c r="F457" i="6"/>
  <c r="A457" i="6"/>
  <c r="M457" i="6" s="1"/>
  <c r="M456" i="6"/>
  <c r="L456" i="6"/>
  <c r="K456" i="6"/>
  <c r="F456" i="6"/>
  <c r="E456" i="6"/>
  <c r="D456" i="6"/>
  <c r="C456" i="6"/>
  <c r="A456" i="6"/>
  <c r="A456" i="7" s="1"/>
  <c r="J455" i="6"/>
  <c r="H455" i="6"/>
  <c r="B455" i="6"/>
  <c r="A455" i="6"/>
  <c r="M454" i="6"/>
  <c r="K454" i="6"/>
  <c r="H454" i="6"/>
  <c r="G454" i="6"/>
  <c r="F454" i="6"/>
  <c r="E454" i="6"/>
  <c r="C454" i="6"/>
  <c r="A454" i="6"/>
  <c r="A454" i="7" s="1"/>
  <c r="M453" i="6"/>
  <c r="L453" i="6"/>
  <c r="K453" i="6"/>
  <c r="J453" i="6"/>
  <c r="H453" i="6"/>
  <c r="G453" i="6"/>
  <c r="F453" i="6"/>
  <c r="E453" i="6"/>
  <c r="D453" i="6"/>
  <c r="C453" i="6"/>
  <c r="B453" i="6"/>
  <c r="A453" i="6"/>
  <c r="A453" i="7" s="1"/>
  <c r="H452" i="6"/>
  <c r="G452" i="6"/>
  <c r="A452" i="6"/>
  <c r="M451" i="6"/>
  <c r="L451" i="6"/>
  <c r="J451" i="6"/>
  <c r="H451" i="6"/>
  <c r="G451" i="6"/>
  <c r="F451" i="6"/>
  <c r="E451" i="6"/>
  <c r="D451" i="6"/>
  <c r="B451" i="6"/>
  <c r="A451" i="6"/>
  <c r="A451" i="7" s="1"/>
  <c r="K450" i="6"/>
  <c r="J450" i="6"/>
  <c r="C450" i="6"/>
  <c r="B450" i="6"/>
  <c r="A450" i="6"/>
  <c r="H449" i="6"/>
  <c r="G449" i="6"/>
  <c r="F449" i="6"/>
  <c r="A449" i="6"/>
  <c r="A449" i="7" s="1"/>
  <c r="M448" i="6"/>
  <c r="L448" i="6"/>
  <c r="K448" i="6"/>
  <c r="F448" i="6"/>
  <c r="E448" i="6"/>
  <c r="D448" i="6"/>
  <c r="C448" i="6"/>
  <c r="A448" i="6"/>
  <c r="A448" i="7" s="1"/>
  <c r="G448" i="7" s="1"/>
  <c r="J447" i="6"/>
  <c r="I447" i="6"/>
  <c r="H447" i="6"/>
  <c r="B447" i="6"/>
  <c r="A447" i="6"/>
  <c r="M446" i="6"/>
  <c r="K446" i="6"/>
  <c r="H446" i="6"/>
  <c r="G446" i="6"/>
  <c r="F446" i="6"/>
  <c r="E446" i="6"/>
  <c r="C446" i="6"/>
  <c r="A446" i="6"/>
  <c r="A446" i="7" s="1"/>
  <c r="M445" i="6"/>
  <c r="L445" i="6"/>
  <c r="K445" i="6"/>
  <c r="J445" i="6"/>
  <c r="H445" i="6"/>
  <c r="G445" i="6"/>
  <c r="F445" i="6"/>
  <c r="E445" i="6"/>
  <c r="D445" i="6"/>
  <c r="C445" i="6"/>
  <c r="B445" i="6"/>
  <c r="A445" i="6"/>
  <c r="A445" i="7" s="1"/>
  <c r="E445" i="7" s="1"/>
  <c r="I444" i="6"/>
  <c r="H444" i="6"/>
  <c r="G444" i="6"/>
  <c r="A444" i="6"/>
  <c r="M443" i="6"/>
  <c r="L443" i="6"/>
  <c r="J443" i="6"/>
  <c r="H443" i="6"/>
  <c r="G443" i="6"/>
  <c r="F443" i="6"/>
  <c r="E443" i="6"/>
  <c r="D443" i="6"/>
  <c r="B443" i="6"/>
  <c r="A443" i="6"/>
  <c r="A443" i="7" s="1"/>
  <c r="K442" i="6"/>
  <c r="J442" i="6"/>
  <c r="I442" i="6"/>
  <c r="C442" i="6"/>
  <c r="B442" i="6"/>
  <c r="A442" i="6"/>
  <c r="H441" i="6"/>
  <c r="G441" i="6"/>
  <c r="F441" i="6"/>
  <c r="A441" i="6"/>
  <c r="A441" i="7" s="1"/>
  <c r="M440" i="6"/>
  <c r="L440" i="6"/>
  <c r="K440" i="6"/>
  <c r="F440" i="6"/>
  <c r="E440" i="6"/>
  <c r="D440" i="6"/>
  <c r="C440" i="6"/>
  <c r="A440" i="6"/>
  <c r="A440" i="7" s="1"/>
  <c r="J439" i="6"/>
  <c r="I439" i="6"/>
  <c r="H439" i="6"/>
  <c r="A439" i="6"/>
  <c r="M438" i="6"/>
  <c r="K438" i="6"/>
  <c r="H438" i="6"/>
  <c r="G438" i="6"/>
  <c r="F438" i="6"/>
  <c r="E438" i="6"/>
  <c r="C438" i="6"/>
  <c r="A438" i="6"/>
  <c r="A438" i="7" s="1"/>
  <c r="M437" i="6"/>
  <c r="L437" i="6"/>
  <c r="K437" i="6"/>
  <c r="J437" i="6"/>
  <c r="H437" i="6"/>
  <c r="G437" i="6"/>
  <c r="F437" i="6"/>
  <c r="E437" i="6"/>
  <c r="D437" i="6"/>
  <c r="C437" i="6"/>
  <c r="B437" i="6"/>
  <c r="A437" i="6"/>
  <c r="A437" i="7" s="1"/>
  <c r="I436" i="6"/>
  <c r="H436" i="6"/>
  <c r="A436" i="6"/>
  <c r="M435" i="6"/>
  <c r="L435" i="6"/>
  <c r="J435" i="6"/>
  <c r="H435" i="6"/>
  <c r="G435" i="6"/>
  <c r="F435" i="6"/>
  <c r="E435" i="6"/>
  <c r="D435" i="6"/>
  <c r="B435" i="6"/>
  <c r="A435" i="6"/>
  <c r="A435" i="7" s="1"/>
  <c r="G435" i="7" s="1"/>
  <c r="K434" i="6"/>
  <c r="J434" i="6"/>
  <c r="I434" i="6"/>
  <c r="C434" i="6"/>
  <c r="A434" i="6"/>
  <c r="H433" i="6"/>
  <c r="G433" i="6"/>
  <c r="F433" i="6"/>
  <c r="A433" i="6"/>
  <c r="A433" i="7" s="1"/>
  <c r="M432" i="6"/>
  <c r="L432" i="6"/>
  <c r="K432" i="6"/>
  <c r="F432" i="6"/>
  <c r="E432" i="6"/>
  <c r="D432" i="6"/>
  <c r="C432" i="6"/>
  <c r="A432" i="6"/>
  <c r="A432" i="7" s="1"/>
  <c r="E432" i="7" s="1"/>
  <c r="J431" i="6"/>
  <c r="A431" i="6"/>
  <c r="I431" i="6" s="1"/>
  <c r="M430" i="6"/>
  <c r="K430" i="6"/>
  <c r="H430" i="6"/>
  <c r="G430" i="6"/>
  <c r="F430" i="6"/>
  <c r="E430" i="6"/>
  <c r="C430" i="6"/>
  <c r="A430" i="6"/>
  <c r="A430" i="7" s="1"/>
  <c r="M429" i="6"/>
  <c r="L429" i="6"/>
  <c r="K429" i="6"/>
  <c r="J429" i="6"/>
  <c r="H429" i="6"/>
  <c r="G429" i="6"/>
  <c r="F429" i="6"/>
  <c r="E429" i="6"/>
  <c r="D429" i="6"/>
  <c r="C429" i="6"/>
  <c r="B429" i="6"/>
  <c r="A429" i="6"/>
  <c r="A429" i="7" s="1"/>
  <c r="A428" i="6"/>
  <c r="I428" i="6" s="1"/>
  <c r="M427" i="6"/>
  <c r="L427" i="6"/>
  <c r="J427" i="6"/>
  <c r="H427" i="6"/>
  <c r="G427" i="6"/>
  <c r="F427" i="6"/>
  <c r="E427" i="6"/>
  <c r="D427" i="6"/>
  <c r="B427" i="6"/>
  <c r="A427" i="6"/>
  <c r="A427" i="7" s="1"/>
  <c r="K426" i="6"/>
  <c r="J426" i="6"/>
  <c r="A426" i="6"/>
  <c r="I426" i="6" s="1"/>
  <c r="H425" i="6"/>
  <c r="G425" i="6"/>
  <c r="F425" i="6"/>
  <c r="A425" i="6"/>
  <c r="A425" i="7" s="1"/>
  <c r="M424" i="6"/>
  <c r="L424" i="6"/>
  <c r="K424" i="6"/>
  <c r="F424" i="6"/>
  <c r="E424" i="6"/>
  <c r="D424" i="6"/>
  <c r="C424" i="6"/>
  <c r="A424" i="6"/>
  <c r="A424" i="7" s="1"/>
  <c r="A423" i="6"/>
  <c r="J423" i="6" s="1"/>
  <c r="M422" i="6"/>
  <c r="K422" i="6"/>
  <c r="H422" i="6"/>
  <c r="G422" i="6"/>
  <c r="F422" i="6"/>
  <c r="E422" i="6"/>
  <c r="C422" i="6"/>
  <c r="A422" i="6"/>
  <c r="A422" i="7" s="1"/>
  <c r="G422" i="7" s="1"/>
  <c r="M421" i="6"/>
  <c r="L421" i="6"/>
  <c r="K421" i="6"/>
  <c r="J421" i="6"/>
  <c r="H421" i="6"/>
  <c r="F421" i="6"/>
  <c r="E421" i="6"/>
  <c r="D421" i="6"/>
  <c r="C421" i="6"/>
  <c r="B421" i="6"/>
  <c r="A421" i="6"/>
  <c r="A421" i="7" s="1"/>
  <c r="A420" i="6"/>
  <c r="I420" i="6" s="1"/>
  <c r="M419" i="6"/>
  <c r="L419" i="6"/>
  <c r="K419" i="6"/>
  <c r="J419" i="6"/>
  <c r="H419" i="6"/>
  <c r="G419" i="6"/>
  <c r="F419" i="6"/>
  <c r="E419" i="6"/>
  <c r="D419" i="6"/>
  <c r="C419" i="6"/>
  <c r="B419" i="6"/>
  <c r="A419" i="6"/>
  <c r="A419" i="7" s="1"/>
  <c r="K418" i="6"/>
  <c r="C418" i="6"/>
  <c r="B418" i="6"/>
  <c r="A418" i="6"/>
  <c r="H417" i="6"/>
  <c r="G417" i="6"/>
  <c r="F417" i="6"/>
  <c r="A417" i="6"/>
  <c r="A417" i="7" s="1"/>
  <c r="M416" i="6"/>
  <c r="L416" i="6"/>
  <c r="K416" i="6"/>
  <c r="F416" i="6"/>
  <c r="E416" i="6"/>
  <c r="D416" i="6"/>
  <c r="C416" i="6"/>
  <c r="A416" i="6"/>
  <c r="A416" i="7" s="1"/>
  <c r="A415" i="6"/>
  <c r="M414" i="6"/>
  <c r="K414" i="6"/>
  <c r="H414" i="6"/>
  <c r="G414" i="6"/>
  <c r="F414" i="6"/>
  <c r="E414" i="6"/>
  <c r="C414" i="6"/>
  <c r="A414" i="6"/>
  <c r="L414" i="6" s="1"/>
  <c r="M413" i="6"/>
  <c r="L413" i="6"/>
  <c r="K413" i="6"/>
  <c r="J413" i="6"/>
  <c r="H413" i="6"/>
  <c r="F413" i="6"/>
  <c r="E413" i="6"/>
  <c r="D413" i="6"/>
  <c r="C413" i="6"/>
  <c r="B413" i="6"/>
  <c r="A413" i="6"/>
  <c r="A413" i="7" s="1"/>
  <c r="M413" i="7" s="1"/>
  <c r="H412" i="6"/>
  <c r="G412" i="6"/>
  <c r="A412" i="6"/>
  <c r="M411" i="6"/>
  <c r="L411" i="6"/>
  <c r="K411" i="6"/>
  <c r="J411" i="6"/>
  <c r="H411" i="6"/>
  <c r="G411" i="6"/>
  <c r="F411" i="6"/>
  <c r="E411" i="6"/>
  <c r="D411" i="6"/>
  <c r="C411" i="6"/>
  <c r="B411" i="6"/>
  <c r="A411" i="6"/>
  <c r="A411" i="7" s="1"/>
  <c r="A410" i="6"/>
  <c r="H409" i="6"/>
  <c r="G409" i="6"/>
  <c r="F409" i="6"/>
  <c r="A409" i="6"/>
  <c r="A409" i="7" s="1"/>
  <c r="B409" i="7" s="1"/>
  <c r="M408" i="6"/>
  <c r="L408" i="6"/>
  <c r="K408" i="6"/>
  <c r="F408" i="6"/>
  <c r="E408" i="6"/>
  <c r="D408" i="6"/>
  <c r="C408" i="6"/>
  <c r="A408" i="6"/>
  <c r="A408" i="7" s="1"/>
  <c r="J407" i="6"/>
  <c r="H407" i="6"/>
  <c r="B407" i="6"/>
  <c r="A407" i="6"/>
  <c r="M406" i="6"/>
  <c r="K406" i="6"/>
  <c r="H406" i="6"/>
  <c r="G406" i="6"/>
  <c r="F406" i="6"/>
  <c r="E406" i="6"/>
  <c r="C406" i="6"/>
  <c r="A406" i="6"/>
  <c r="A406" i="7" s="1"/>
  <c r="M405" i="6"/>
  <c r="L405" i="6"/>
  <c r="K405" i="6"/>
  <c r="J405" i="6"/>
  <c r="H405" i="6"/>
  <c r="F405" i="6"/>
  <c r="E405" i="6"/>
  <c r="D405" i="6"/>
  <c r="C405" i="6"/>
  <c r="B405" i="6"/>
  <c r="A405" i="6"/>
  <c r="A405" i="7" s="1"/>
  <c r="G404" i="6"/>
  <c r="A404" i="6"/>
  <c r="M403" i="6"/>
  <c r="L403" i="6"/>
  <c r="K403" i="6"/>
  <c r="J403" i="6"/>
  <c r="H403" i="6"/>
  <c r="G403" i="6"/>
  <c r="F403" i="6"/>
  <c r="E403" i="6"/>
  <c r="D403" i="6"/>
  <c r="C403" i="6"/>
  <c r="B403" i="6"/>
  <c r="A403" i="6"/>
  <c r="A403" i="7" s="1"/>
  <c r="K402" i="6"/>
  <c r="J402" i="6"/>
  <c r="I402" i="6"/>
  <c r="C402" i="6"/>
  <c r="B402" i="6"/>
  <c r="A402" i="6"/>
  <c r="H401" i="6"/>
  <c r="G401" i="6"/>
  <c r="F401" i="6"/>
  <c r="A401" i="6"/>
  <c r="M401" i="6" s="1"/>
  <c r="M400" i="6"/>
  <c r="L400" i="6"/>
  <c r="K400" i="6"/>
  <c r="F400" i="6"/>
  <c r="E400" i="6"/>
  <c r="D400" i="6"/>
  <c r="C400" i="6"/>
  <c r="A400" i="6"/>
  <c r="A400" i="7" s="1"/>
  <c r="M400" i="7" s="1"/>
  <c r="J399" i="6"/>
  <c r="I399" i="6"/>
  <c r="H399" i="6"/>
  <c r="A399" i="6"/>
  <c r="M398" i="6"/>
  <c r="K398" i="6"/>
  <c r="H398" i="6"/>
  <c r="G398" i="6"/>
  <c r="F398" i="6"/>
  <c r="E398" i="6"/>
  <c r="C398" i="6"/>
  <c r="A398" i="6"/>
  <c r="A398" i="7" s="1"/>
  <c r="M397" i="6"/>
  <c r="L397" i="6"/>
  <c r="K397" i="6"/>
  <c r="J397" i="6"/>
  <c r="H397" i="6"/>
  <c r="F397" i="6"/>
  <c r="E397" i="6"/>
  <c r="D397" i="6"/>
  <c r="C397" i="6"/>
  <c r="B397" i="6"/>
  <c r="A397" i="6"/>
  <c r="A397" i="7" s="1"/>
  <c r="F397" i="7" s="1"/>
  <c r="I396" i="6"/>
  <c r="H396" i="6"/>
  <c r="G396" i="6"/>
  <c r="A396" i="6"/>
  <c r="M395" i="6"/>
  <c r="L395" i="6"/>
  <c r="K395" i="6"/>
  <c r="J395" i="6"/>
  <c r="H395" i="6"/>
  <c r="G395" i="6"/>
  <c r="F395" i="6"/>
  <c r="E395" i="6"/>
  <c r="D395" i="6"/>
  <c r="C395" i="6"/>
  <c r="B395" i="6"/>
  <c r="A395" i="6"/>
  <c r="A395" i="7" s="1"/>
  <c r="K394" i="6"/>
  <c r="J394" i="6"/>
  <c r="A394" i="6"/>
  <c r="I394" i="6" s="1"/>
  <c r="H393" i="6"/>
  <c r="G393" i="6"/>
  <c r="F393" i="6"/>
  <c r="A393" i="6"/>
  <c r="A393" i="7" s="1"/>
  <c r="M392" i="6"/>
  <c r="L392" i="6"/>
  <c r="K392" i="6"/>
  <c r="F392" i="6"/>
  <c r="E392" i="6"/>
  <c r="D392" i="6"/>
  <c r="C392" i="6"/>
  <c r="A392" i="6"/>
  <c r="A392" i="7" s="1"/>
  <c r="A391" i="6"/>
  <c r="J391" i="6" s="1"/>
  <c r="M390" i="6"/>
  <c r="K390" i="6"/>
  <c r="H390" i="6"/>
  <c r="G390" i="6"/>
  <c r="F390" i="6"/>
  <c r="E390" i="6"/>
  <c r="C390" i="6"/>
  <c r="A390" i="6"/>
  <c r="A390" i="7" s="1"/>
  <c r="M389" i="6"/>
  <c r="L389" i="6"/>
  <c r="K389" i="6"/>
  <c r="J389" i="6"/>
  <c r="H389" i="6"/>
  <c r="F389" i="6"/>
  <c r="E389" i="6"/>
  <c r="D389" i="6"/>
  <c r="C389" i="6"/>
  <c r="B389" i="6"/>
  <c r="A389" i="6"/>
  <c r="A389" i="7" s="1"/>
  <c r="A388" i="6"/>
  <c r="I388" i="6" s="1"/>
  <c r="M387" i="6"/>
  <c r="L387" i="6"/>
  <c r="K387" i="6"/>
  <c r="J387" i="6"/>
  <c r="H387" i="6"/>
  <c r="G387" i="6"/>
  <c r="F387" i="6"/>
  <c r="E387" i="6"/>
  <c r="D387" i="6"/>
  <c r="C387" i="6"/>
  <c r="B387" i="6"/>
  <c r="A387" i="6"/>
  <c r="A387" i="7" s="1"/>
  <c r="H387" i="7" s="1"/>
  <c r="K386" i="6"/>
  <c r="C386" i="6"/>
  <c r="B386" i="6"/>
  <c r="A386" i="6"/>
  <c r="H385" i="6"/>
  <c r="G385" i="6"/>
  <c r="F385" i="6"/>
  <c r="A385" i="6"/>
  <c r="A385" i="7" s="1"/>
  <c r="M384" i="6"/>
  <c r="L384" i="6"/>
  <c r="K384" i="6"/>
  <c r="F384" i="6"/>
  <c r="E384" i="6"/>
  <c r="D384" i="6"/>
  <c r="C384" i="6"/>
  <c r="A384" i="6"/>
  <c r="A384" i="7" s="1"/>
  <c r="F384" i="7" s="1"/>
  <c r="A383" i="6"/>
  <c r="M382" i="6"/>
  <c r="K382" i="6"/>
  <c r="H382" i="6"/>
  <c r="G382" i="6"/>
  <c r="F382" i="6"/>
  <c r="E382" i="6"/>
  <c r="C382" i="6"/>
  <c r="A382" i="6"/>
  <c r="A382" i="7" s="1"/>
  <c r="M381" i="6"/>
  <c r="L381" i="6"/>
  <c r="K381" i="6"/>
  <c r="J381" i="6"/>
  <c r="H381" i="6"/>
  <c r="F381" i="6"/>
  <c r="E381" i="6"/>
  <c r="D381" i="6"/>
  <c r="C381" i="6"/>
  <c r="B381" i="6"/>
  <c r="A381" i="6"/>
  <c r="A381" i="7" s="1"/>
  <c r="H380" i="6"/>
  <c r="G380" i="6"/>
  <c r="A380" i="6"/>
  <c r="M379" i="6"/>
  <c r="L379" i="6"/>
  <c r="K379" i="6"/>
  <c r="J379" i="6"/>
  <c r="H379" i="6"/>
  <c r="G379" i="6"/>
  <c r="F379" i="6"/>
  <c r="E379" i="6"/>
  <c r="D379" i="6"/>
  <c r="C379" i="6"/>
  <c r="B379" i="6"/>
  <c r="A379" i="6"/>
  <c r="A379" i="7" s="1"/>
  <c r="B378" i="6"/>
  <c r="A378" i="6"/>
  <c r="H377" i="6"/>
  <c r="G377" i="6"/>
  <c r="F377" i="6"/>
  <c r="A377" i="6"/>
  <c r="A377" i="7" s="1"/>
  <c r="M376" i="6"/>
  <c r="L376" i="6"/>
  <c r="K376" i="6"/>
  <c r="F376" i="6"/>
  <c r="E376" i="6"/>
  <c r="D376" i="6"/>
  <c r="C376" i="6"/>
  <c r="A376" i="6"/>
  <c r="A376" i="7" s="1"/>
  <c r="J375" i="6"/>
  <c r="H375" i="6"/>
  <c r="B375" i="6"/>
  <c r="A375" i="6"/>
  <c r="M374" i="6"/>
  <c r="K374" i="6"/>
  <c r="H374" i="6"/>
  <c r="G374" i="6"/>
  <c r="F374" i="6"/>
  <c r="E374" i="6"/>
  <c r="C374" i="6"/>
  <c r="A374" i="6"/>
  <c r="A374" i="7" s="1"/>
  <c r="I374" i="7" s="1"/>
  <c r="M373" i="6"/>
  <c r="L373" i="6"/>
  <c r="K373" i="6"/>
  <c r="J373" i="6"/>
  <c r="H373" i="6"/>
  <c r="F373" i="6"/>
  <c r="E373" i="6"/>
  <c r="D373" i="6"/>
  <c r="C373" i="6"/>
  <c r="B373" i="6"/>
  <c r="A373" i="6"/>
  <c r="A373" i="7" s="1"/>
  <c r="A372" i="6"/>
  <c r="M371" i="6"/>
  <c r="L371" i="6"/>
  <c r="K371" i="6"/>
  <c r="J371" i="6"/>
  <c r="H371" i="6"/>
  <c r="G371" i="6"/>
  <c r="F371" i="6"/>
  <c r="E371" i="6"/>
  <c r="D371" i="6"/>
  <c r="C371" i="6"/>
  <c r="B371" i="6"/>
  <c r="A371" i="6"/>
  <c r="A371" i="7" s="1"/>
  <c r="K370" i="6"/>
  <c r="J370" i="6"/>
  <c r="I370" i="6"/>
  <c r="C370" i="6"/>
  <c r="B370" i="6"/>
  <c r="A370" i="6"/>
  <c r="H369" i="6"/>
  <c r="G369" i="6"/>
  <c r="F369" i="6"/>
  <c r="A369" i="6"/>
  <c r="A369" i="7" s="1"/>
  <c r="M368" i="6"/>
  <c r="L368" i="6"/>
  <c r="K368" i="6"/>
  <c r="F368" i="6"/>
  <c r="E368" i="6"/>
  <c r="D368" i="6"/>
  <c r="C368" i="6"/>
  <c r="A368" i="6"/>
  <c r="A368" i="7" s="1"/>
  <c r="J367" i="6"/>
  <c r="I367" i="6"/>
  <c r="H367" i="6"/>
  <c r="A367" i="6"/>
  <c r="M366" i="6"/>
  <c r="K366" i="6"/>
  <c r="H366" i="6"/>
  <c r="G366" i="6"/>
  <c r="F366" i="6"/>
  <c r="E366" i="6"/>
  <c r="C366" i="6"/>
  <c r="A366" i="6"/>
  <c r="A366" i="7" s="1"/>
  <c r="M365" i="6"/>
  <c r="L365" i="6"/>
  <c r="K365" i="6"/>
  <c r="J365" i="6"/>
  <c r="H365" i="6"/>
  <c r="F365" i="6"/>
  <c r="E365" i="6"/>
  <c r="D365" i="6"/>
  <c r="C365" i="6"/>
  <c r="B365" i="6"/>
  <c r="A365" i="6"/>
  <c r="A365" i="7" s="1"/>
  <c r="D365" i="7" s="1"/>
  <c r="I364" i="6"/>
  <c r="H364" i="6"/>
  <c r="G364" i="6"/>
  <c r="A364" i="6"/>
  <c r="M363" i="6"/>
  <c r="L363" i="6"/>
  <c r="K363" i="6"/>
  <c r="J363" i="6"/>
  <c r="H363" i="6"/>
  <c r="G363" i="6"/>
  <c r="F363" i="6"/>
  <c r="E363" i="6"/>
  <c r="D363" i="6"/>
  <c r="C363" i="6"/>
  <c r="B363" i="6"/>
  <c r="A363" i="6"/>
  <c r="A363" i="7" s="1"/>
  <c r="K362" i="6"/>
  <c r="J362" i="6"/>
  <c r="A362" i="6"/>
  <c r="I362" i="6" s="1"/>
  <c r="H361" i="6"/>
  <c r="G361" i="6"/>
  <c r="F361" i="6"/>
  <c r="A361" i="6"/>
  <c r="A361" i="7" s="1"/>
  <c r="I361" i="7" s="1"/>
  <c r="M360" i="6"/>
  <c r="L360" i="6"/>
  <c r="K360" i="6"/>
  <c r="F360" i="6"/>
  <c r="E360" i="6"/>
  <c r="D360" i="6"/>
  <c r="C360" i="6"/>
  <c r="A360" i="6"/>
  <c r="A360" i="7" s="1"/>
  <c r="A359" i="6"/>
  <c r="J359" i="6" s="1"/>
  <c r="M358" i="6"/>
  <c r="K358" i="6"/>
  <c r="H358" i="6"/>
  <c r="G358" i="6"/>
  <c r="F358" i="6"/>
  <c r="E358" i="6"/>
  <c r="C358" i="6"/>
  <c r="A358" i="6"/>
  <c r="L358" i="6" s="1"/>
  <c r="M357" i="6"/>
  <c r="L357" i="6"/>
  <c r="K357" i="6"/>
  <c r="J357" i="6"/>
  <c r="H357" i="6"/>
  <c r="F357" i="6"/>
  <c r="E357" i="6"/>
  <c r="D357" i="6"/>
  <c r="C357" i="6"/>
  <c r="B357" i="6"/>
  <c r="A357" i="6"/>
  <c r="A357" i="7" s="1"/>
  <c r="I356" i="6"/>
  <c r="A356" i="6"/>
  <c r="M355" i="6"/>
  <c r="L355" i="6"/>
  <c r="K355" i="6"/>
  <c r="J355" i="6"/>
  <c r="H355" i="6"/>
  <c r="G355" i="6"/>
  <c r="F355" i="6"/>
  <c r="E355" i="6"/>
  <c r="D355" i="6"/>
  <c r="C355" i="6"/>
  <c r="B355" i="6"/>
  <c r="A355" i="6"/>
  <c r="A355" i="7" s="1"/>
  <c r="K354" i="6"/>
  <c r="C354" i="6"/>
  <c r="B354" i="6"/>
  <c r="A354" i="6"/>
  <c r="H353" i="6"/>
  <c r="G353" i="6"/>
  <c r="F353" i="6"/>
  <c r="A353" i="6"/>
  <c r="A353" i="7" s="1"/>
  <c r="M352" i="6"/>
  <c r="L352" i="6"/>
  <c r="K352" i="6"/>
  <c r="F352" i="6"/>
  <c r="E352" i="6"/>
  <c r="D352" i="6"/>
  <c r="C352" i="6"/>
  <c r="A352" i="6"/>
  <c r="A352" i="7" s="1"/>
  <c r="A351" i="6"/>
  <c r="M350" i="6"/>
  <c r="K350" i="6"/>
  <c r="H350" i="6"/>
  <c r="G350" i="6"/>
  <c r="F350" i="6"/>
  <c r="E350" i="6"/>
  <c r="C350" i="6"/>
  <c r="A350" i="6"/>
  <c r="A350" i="7" s="1"/>
  <c r="M349" i="6"/>
  <c r="L349" i="6"/>
  <c r="K349" i="6"/>
  <c r="J349" i="6"/>
  <c r="H349" i="6"/>
  <c r="F349" i="6"/>
  <c r="E349" i="6"/>
  <c r="D349" i="6"/>
  <c r="C349" i="6"/>
  <c r="B349" i="6"/>
  <c r="A349" i="6"/>
  <c r="A349" i="7" s="1"/>
  <c r="H348" i="6"/>
  <c r="G348" i="6"/>
  <c r="A348" i="6"/>
  <c r="M347" i="6"/>
  <c r="L347" i="6"/>
  <c r="K347" i="6"/>
  <c r="J347" i="6"/>
  <c r="H347" i="6"/>
  <c r="G347" i="6"/>
  <c r="F347" i="6"/>
  <c r="E347" i="6"/>
  <c r="D347" i="6"/>
  <c r="C347" i="6"/>
  <c r="B347" i="6"/>
  <c r="A347" i="6"/>
  <c r="A347" i="7" s="1"/>
  <c r="B346" i="6"/>
  <c r="A346" i="6"/>
  <c r="H345" i="6"/>
  <c r="G345" i="6"/>
  <c r="F345" i="6"/>
  <c r="A345" i="6"/>
  <c r="A345" i="7" s="1"/>
  <c r="M344" i="6"/>
  <c r="L344" i="6"/>
  <c r="K344" i="6"/>
  <c r="F344" i="6"/>
  <c r="E344" i="6"/>
  <c r="D344" i="6"/>
  <c r="C344" i="6"/>
  <c r="A344" i="6"/>
  <c r="A344" i="7" s="1"/>
  <c r="J343" i="6"/>
  <c r="H343" i="6"/>
  <c r="B343" i="6"/>
  <c r="A343" i="6"/>
  <c r="M342" i="6"/>
  <c r="K342" i="6"/>
  <c r="H342" i="6"/>
  <c r="G342" i="6"/>
  <c r="F342" i="6"/>
  <c r="E342" i="6"/>
  <c r="C342" i="6"/>
  <c r="A342" i="6"/>
  <c r="A342" i="7" s="1"/>
  <c r="M341" i="6"/>
  <c r="L341" i="6"/>
  <c r="K341" i="6"/>
  <c r="J341" i="6"/>
  <c r="H341" i="6"/>
  <c r="F341" i="6"/>
  <c r="E341" i="6"/>
  <c r="D341" i="6"/>
  <c r="C341" i="6"/>
  <c r="B341" i="6"/>
  <c r="A341" i="6"/>
  <c r="A341" i="7" s="1"/>
  <c r="J340" i="6"/>
  <c r="I340" i="6"/>
  <c r="H340" i="6"/>
  <c r="G340" i="6"/>
  <c r="B340" i="6"/>
  <c r="A340" i="6"/>
  <c r="M339" i="6"/>
  <c r="L339" i="6"/>
  <c r="K339" i="6"/>
  <c r="J339" i="6"/>
  <c r="H339" i="6"/>
  <c r="G339" i="6"/>
  <c r="F339" i="6"/>
  <c r="E339" i="6"/>
  <c r="D339" i="6"/>
  <c r="C339" i="6"/>
  <c r="B339" i="6"/>
  <c r="A339" i="6"/>
  <c r="A339" i="7" s="1"/>
  <c r="L338" i="6"/>
  <c r="K338" i="6"/>
  <c r="J338" i="6"/>
  <c r="C338" i="6"/>
  <c r="B338" i="6"/>
  <c r="A338" i="6"/>
  <c r="I337" i="6"/>
  <c r="H337" i="6"/>
  <c r="G337" i="6"/>
  <c r="A337" i="6"/>
  <c r="M336" i="6"/>
  <c r="L336" i="6"/>
  <c r="K336" i="6"/>
  <c r="F336" i="6"/>
  <c r="E336" i="6"/>
  <c r="D336" i="6"/>
  <c r="C336" i="6"/>
  <c r="A336" i="6"/>
  <c r="A336" i="7" s="1"/>
  <c r="K335" i="6"/>
  <c r="J335" i="6"/>
  <c r="I335" i="6"/>
  <c r="H335" i="6"/>
  <c r="C335" i="6"/>
  <c r="B335" i="6"/>
  <c r="A335" i="6"/>
  <c r="M334" i="6"/>
  <c r="K334" i="6"/>
  <c r="H334" i="6"/>
  <c r="G334" i="6"/>
  <c r="F334" i="6"/>
  <c r="E334" i="6"/>
  <c r="C334" i="6"/>
  <c r="A334" i="6"/>
  <c r="A334" i="7" s="1"/>
  <c r="M333" i="6"/>
  <c r="L333" i="6"/>
  <c r="K333" i="6"/>
  <c r="J333" i="6"/>
  <c r="H333" i="6"/>
  <c r="F333" i="6"/>
  <c r="E333" i="6"/>
  <c r="D333" i="6"/>
  <c r="C333" i="6"/>
  <c r="B333" i="6"/>
  <c r="A333" i="6"/>
  <c r="A333" i="7" s="1"/>
  <c r="I332" i="6"/>
  <c r="H332" i="6"/>
  <c r="G332" i="6"/>
  <c r="A332" i="6"/>
  <c r="J332" i="6" s="1"/>
  <c r="M331" i="6"/>
  <c r="L331" i="6"/>
  <c r="K331" i="6"/>
  <c r="J331" i="6"/>
  <c r="H331" i="6"/>
  <c r="G331" i="6"/>
  <c r="F331" i="6"/>
  <c r="E331" i="6"/>
  <c r="D331" i="6"/>
  <c r="C331" i="6"/>
  <c r="B331" i="6"/>
  <c r="A331" i="6"/>
  <c r="A331" i="7" s="1"/>
  <c r="L330" i="6"/>
  <c r="A330" i="6"/>
  <c r="I329" i="6"/>
  <c r="H329" i="6"/>
  <c r="A329" i="6"/>
  <c r="M328" i="6"/>
  <c r="L328" i="6"/>
  <c r="K328" i="6"/>
  <c r="F328" i="6"/>
  <c r="E328" i="6"/>
  <c r="D328" i="6"/>
  <c r="C328" i="6"/>
  <c r="A328" i="6"/>
  <c r="A328" i="7" s="1"/>
  <c r="K327" i="6"/>
  <c r="I327" i="6"/>
  <c r="H327" i="6"/>
  <c r="C327" i="6"/>
  <c r="A327" i="6"/>
  <c r="J327" i="6" s="1"/>
  <c r="M326" i="6"/>
  <c r="K326" i="6"/>
  <c r="H326" i="6"/>
  <c r="G326" i="6"/>
  <c r="F326" i="6"/>
  <c r="E326" i="6"/>
  <c r="C326" i="6"/>
  <c r="A326" i="6"/>
  <c r="A326" i="7" s="1"/>
  <c r="B326" i="7" s="1"/>
  <c r="M325" i="6"/>
  <c r="L325" i="6"/>
  <c r="K325" i="6"/>
  <c r="J325" i="6"/>
  <c r="H325" i="6"/>
  <c r="F325" i="6"/>
  <c r="E325" i="6"/>
  <c r="D325" i="6"/>
  <c r="C325" i="6"/>
  <c r="B325" i="6"/>
  <c r="A325" i="6"/>
  <c r="A325" i="7" s="1"/>
  <c r="M325" i="7" s="1"/>
  <c r="J324" i="6"/>
  <c r="I324" i="6"/>
  <c r="H324" i="6"/>
  <c r="A324" i="6"/>
  <c r="M323" i="6"/>
  <c r="L323" i="6"/>
  <c r="J323" i="6"/>
  <c r="H323" i="6"/>
  <c r="G323" i="6"/>
  <c r="F323" i="6"/>
  <c r="E323" i="6"/>
  <c r="D323" i="6"/>
  <c r="B323" i="6"/>
  <c r="A323" i="6"/>
  <c r="A323" i="7" s="1"/>
  <c r="L322" i="6"/>
  <c r="K322" i="6"/>
  <c r="J322" i="6"/>
  <c r="D322" i="6"/>
  <c r="C322" i="6"/>
  <c r="B322" i="6"/>
  <c r="A322" i="6"/>
  <c r="I321" i="6"/>
  <c r="H321" i="6"/>
  <c r="G321" i="6"/>
  <c r="A321" i="6"/>
  <c r="M320" i="6"/>
  <c r="L320" i="6"/>
  <c r="K320" i="6"/>
  <c r="F320" i="6"/>
  <c r="E320" i="6"/>
  <c r="D320" i="6"/>
  <c r="C320" i="6"/>
  <c r="A320" i="6"/>
  <c r="A320" i="7" s="1"/>
  <c r="K319" i="6"/>
  <c r="J319" i="6"/>
  <c r="I319" i="6"/>
  <c r="H319" i="6"/>
  <c r="C319" i="6"/>
  <c r="B319" i="6"/>
  <c r="A319" i="6"/>
  <c r="M318" i="6"/>
  <c r="K318" i="6"/>
  <c r="H318" i="6"/>
  <c r="G318" i="6"/>
  <c r="F318" i="6"/>
  <c r="E318" i="6"/>
  <c r="C318" i="6"/>
  <c r="A318" i="6"/>
  <c r="L318" i="6" s="1"/>
  <c r="M317" i="6"/>
  <c r="L317" i="6"/>
  <c r="K317" i="6"/>
  <c r="J317" i="6"/>
  <c r="H317" i="6"/>
  <c r="F317" i="6"/>
  <c r="E317" i="6"/>
  <c r="D317" i="6"/>
  <c r="C317" i="6"/>
  <c r="B317" i="6"/>
  <c r="A317" i="6"/>
  <c r="A317" i="7" s="1"/>
  <c r="I316" i="6"/>
  <c r="H316" i="6"/>
  <c r="G316" i="6"/>
  <c r="A316" i="6"/>
  <c r="J316" i="6" s="1"/>
  <c r="M315" i="6"/>
  <c r="L315" i="6"/>
  <c r="J315" i="6"/>
  <c r="H315" i="6"/>
  <c r="G315" i="6"/>
  <c r="F315" i="6"/>
  <c r="E315" i="6"/>
  <c r="D315" i="6"/>
  <c r="C315" i="6"/>
  <c r="B315" i="6"/>
  <c r="A315" i="6"/>
  <c r="A315" i="7" s="1"/>
  <c r="L314" i="6"/>
  <c r="K314" i="6"/>
  <c r="J314" i="6"/>
  <c r="D314" i="6"/>
  <c r="C314" i="6"/>
  <c r="B314" i="6"/>
  <c r="A314" i="6"/>
  <c r="I313" i="6"/>
  <c r="H313" i="6"/>
  <c r="G313" i="6"/>
  <c r="A313" i="6"/>
  <c r="M312" i="6"/>
  <c r="L312" i="6"/>
  <c r="K312" i="6"/>
  <c r="F312" i="6"/>
  <c r="E312" i="6"/>
  <c r="D312" i="6"/>
  <c r="C312" i="6"/>
  <c r="A312" i="6"/>
  <c r="A312" i="7" s="1"/>
  <c r="K311" i="6"/>
  <c r="J311" i="6"/>
  <c r="I311" i="6"/>
  <c r="H311" i="6"/>
  <c r="C311" i="6"/>
  <c r="B311" i="6"/>
  <c r="A311" i="6"/>
  <c r="M310" i="6"/>
  <c r="K310" i="6"/>
  <c r="H310" i="6"/>
  <c r="G310" i="6"/>
  <c r="F310" i="6"/>
  <c r="E310" i="6"/>
  <c r="C310" i="6"/>
  <c r="A310" i="6"/>
  <c r="A310" i="7" s="1"/>
  <c r="M309" i="6"/>
  <c r="L309" i="6"/>
  <c r="K309" i="6"/>
  <c r="J309" i="6"/>
  <c r="H309" i="6"/>
  <c r="F309" i="6"/>
  <c r="E309" i="6"/>
  <c r="D309" i="6"/>
  <c r="C309" i="6"/>
  <c r="B309" i="6"/>
  <c r="A309" i="6"/>
  <c r="A309" i="7" s="1"/>
  <c r="M309" i="7" s="1"/>
  <c r="I308" i="6"/>
  <c r="H308" i="6"/>
  <c r="G308" i="6"/>
  <c r="A308" i="6"/>
  <c r="J308" i="6" s="1"/>
  <c r="M307" i="6"/>
  <c r="L307" i="6"/>
  <c r="K307" i="6"/>
  <c r="J307" i="6"/>
  <c r="H307" i="6"/>
  <c r="G307" i="6"/>
  <c r="F307" i="6"/>
  <c r="E307" i="6"/>
  <c r="D307" i="6"/>
  <c r="C307" i="6"/>
  <c r="B307" i="6"/>
  <c r="A307" i="6"/>
  <c r="A307" i="7" s="1"/>
  <c r="L306" i="6"/>
  <c r="A306" i="6"/>
  <c r="I305" i="6"/>
  <c r="H305" i="6"/>
  <c r="A305" i="6"/>
  <c r="A305" i="7" s="1"/>
  <c r="M304" i="6"/>
  <c r="L304" i="6"/>
  <c r="K304" i="6"/>
  <c r="F304" i="6"/>
  <c r="E304" i="6"/>
  <c r="D304" i="6"/>
  <c r="C304" i="6"/>
  <c r="A304" i="6"/>
  <c r="A304" i="7" s="1"/>
  <c r="K303" i="6"/>
  <c r="I303" i="6"/>
  <c r="H303" i="6"/>
  <c r="C303" i="6"/>
  <c r="A303" i="6"/>
  <c r="J303" i="6" s="1"/>
  <c r="M302" i="6"/>
  <c r="K302" i="6"/>
  <c r="H302" i="6"/>
  <c r="G302" i="6"/>
  <c r="F302" i="6"/>
  <c r="E302" i="6"/>
  <c r="C302" i="6"/>
  <c r="A302" i="6"/>
  <c r="A302" i="7" s="1"/>
  <c r="M301" i="6"/>
  <c r="L301" i="6"/>
  <c r="K301" i="6"/>
  <c r="J301" i="6"/>
  <c r="H301" i="6"/>
  <c r="F301" i="6"/>
  <c r="E301" i="6"/>
  <c r="D301" i="6"/>
  <c r="C301" i="6"/>
  <c r="B301" i="6"/>
  <c r="A301" i="6"/>
  <c r="A301" i="7" s="1"/>
  <c r="G301" i="7" s="1"/>
  <c r="J300" i="6"/>
  <c r="I300" i="6"/>
  <c r="H300" i="6"/>
  <c r="A300" i="6"/>
  <c r="M299" i="6"/>
  <c r="L299" i="6"/>
  <c r="K299" i="6"/>
  <c r="J299" i="6"/>
  <c r="H299" i="6"/>
  <c r="G299" i="6"/>
  <c r="F299" i="6"/>
  <c r="E299" i="6"/>
  <c r="D299" i="6"/>
  <c r="C299" i="6"/>
  <c r="B299" i="6"/>
  <c r="A299" i="6"/>
  <c r="A299" i="7" s="1"/>
  <c r="A298" i="6"/>
  <c r="A297" i="6"/>
  <c r="I297" i="6" s="1"/>
  <c r="M296" i="6"/>
  <c r="L296" i="6"/>
  <c r="K296" i="6"/>
  <c r="F296" i="6"/>
  <c r="E296" i="6"/>
  <c r="D296" i="6"/>
  <c r="C296" i="6"/>
  <c r="A296" i="6"/>
  <c r="A296" i="7" s="1"/>
  <c r="H296" i="7" s="1"/>
  <c r="J295" i="6"/>
  <c r="I295" i="6"/>
  <c r="H295" i="6"/>
  <c r="A295" i="6"/>
  <c r="K295" i="6" s="1"/>
  <c r="M294" i="6"/>
  <c r="K294" i="6"/>
  <c r="H294" i="6"/>
  <c r="G294" i="6"/>
  <c r="F294" i="6"/>
  <c r="E294" i="6"/>
  <c r="C294" i="6"/>
  <c r="A294" i="6"/>
  <c r="A294" i="7" s="1"/>
  <c r="M293" i="6"/>
  <c r="L293" i="6"/>
  <c r="K293" i="6"/>
  <c r="J293" i="6"/>
  <c r="H293" i="6"/>
  <c r="F293" i="6"/>
  <c r="E293" i="6"/>
  <c r="D293" i="6"/>
  <c r="C293" i="6"/>
  <c r="B293" i="6"/>
  <c r="A293" i="6"/>
  <c r="A293" i="7" s="1"/>
  <c r="F293" i="7" s="1"/>
  <c r="J292" i="6"/>
  <c r="A292" i="6"/>
  <c r="I292" i="6" s="1"/>
  <c r="M291" i="6"/>
  <c r="L291" i="6"/>
  <c r="K291" i="6"/>
  <c r="J291" i="6"/>
  <c r="H291" i="6"/>
  <c r="G291" i="6"/>
  <c r="F291" i="6"/>
  <c r="E291" i="6"/>
  <c r="D291" i="6"/>
  <c r="C291" i="6"/>
  <c r="B291" i="6"/>
  <c r="A291" i="6"/>
  <c r="A291" i="7" s="1"/>
  <c r="I290" i="6"/>
  <c r="C290" i="6"/>
  <c r="B290" i="6"/>
  <c r="A290" i="6"/>
  <c r="H289" i="6"/>
  <c r="G289" i="6"/>
  <c r="F289" i="6"/>
  <c r="A289" i="6"/>
  <c r="M288" i="6"/>
  <c r="L288" i="6"/>
  <c r="K288" i="6"/>
  <c r="F288" i="6"/>
  <c r="E288" i="6"/>
  <c r="D288" i="6"/>
  <c r="C288" i="6"/>
  <c r="A288" i="6"/>
  <c r="A288" i="7" s="1"/>
  <c r="G288" i="7" s="1"/>
  <c r="K287" i="6"/>
  <c r="J287" i="6"/>
  <c r="A287" i="6"/>
  <c r="I287" i="6" s="1"/>
  <c r="M286" i="6"/>
  <c r="K286" i="6"/>
  <c r="H286" i="6"/>
  <c r="G286" i="6"/>
  <c r="F286" i="6"/>
  <c r="E286" i="6"/>
  <c r="C286" i="6"/>
  <c r="A286" i="6"/>
  <c r="A286" i="7" s="1"/>
  <c r="M285" i="6"/>
  <c r="L285" i="6"/>
  <c r="K285" i="6"/>
  <c r="J285" i="6"/>
  <c r="H285" i="6"/>
  <c r="F285" i="6"/>
  <c r="E285" i="6"/>
  <c r="D285" i="6"/>
  <c r="C285" i="6"/>
  <c r="B285" i="6"/>
  <c r="A285" i="6"/>
  <c r="A285" i="7" s="1"/>
  <c r="E285" i="7" s="1"/>
  <c r="J284" i="6"/>
  <c r="G284" i="6"/>
  <c r="B284" i="6"/>
  <c r="A284" i="6"/>
  <c r="M283" i="6"/>
  <c r="L283" i="6"/>
  <c r="K283" i="6"/>
  <c r="J283" i="6"/>
  <c r="H283" i="6"/>
  <c r="G283" i="6"/>
  <c r="F283" i="6"/>
  <c r="E283" i="6"/>
  <c r="D283" i="6"/>
  <c r="C283" i="6"/>
  <c r="B283" i="6"/>
  <c r="A283" i="6"/>
  <c r="I283" i="6" s="1"/>
  <c r="L282" i="6"/>
  <c r="K282" i="6"/>
  <c r="J282" i="6"/>
  <c r="I282" i="6"/>
  <c r="D282" i="6"/>
  <c r="C282" i="6"/>
  <c r="B282" i="6"/>
  <c r="A282" i="6"/>
  <c r="A281" i="6"/>
  <c r="M280" i="6"/>
  <c r="L280" i="6"/>
  <c r="K280" i="6"/>
  <c r="F280" i="6"/>
  <c r="E280" i="6"/>
  <c r="D280" i="6"/>
  <c r="C280" i="6"/>
  <c r="A280" i="6"/>
  <c r="A280" i="7" s="1"/>
  <c r="F280" i="7" s="1"/>
  <c r="K279" i="6"/>
  <c r="J279" i="6"/>
  <c r="C279" i="6"/>
  <c r="B279" i="6"/>
  <c r="A279" i="6"/>
  <c r="M278" i="6"/>
  <c r="K278" i="6"/>
  <c r="H278" i="6"/>
  <c r="G278" i="6"/>
  <c r="F278" i="6"/>
  <c r="E278" i="6"/>
  <c r="C278" i="6"/>
  <c r="A278" i="6"/>
  <c r="A278" i="7" s="1"/>
  <c r="M277" i="6"/>
  <c r="L277" i="6"/>
  <c r="K277" i="6"/>
  <c r="J277" i="6"/>
  <c r="H277" i="6"/>
  <c r="F277" i="6"/>
  <c r="E277" i="6"/>
  <c r="D277" i="6"/>
  <c r="C277" i="6"/>
  <c r="B277" i="6"/>
  <c r="A277" i="6"/>
  <c r="A277" i="7" s="1"/>
  <c r="A276" i="6"/>
  <c r="M275" i="6"/>
  <c r="L275" i="6"/>
  <c r="K275" i="6"/>
  <c r="J275" i="6"/>
  <c r="H275" i="6"/>
  <c r="G275" i="6"/>
  <c r="F275" i="6"/>
  <c r="E275" i="6"/>
  <c r="D275" i="6"/>
  <c r="C275" i="6"/>
  <c r="B275" i="6"/>
  <c r="A275" i="6"/>
  <c r="I275" i="6" s="1"/>
  <c r="L274" i="6"/>
  <c r="K274" i="6"/>
  <c r="J274" i="6"/>
  <c r="I274" i="6"/>
  <c r="D274" i="6"/>
  <c r="C274" i="6"/>
  <c r="A274" i="6"/>
  <c r="A273" i="6"/>
  <c r="M272" i="6"/>
  <c r="L272" i="6"/>
  <c r="K272" i="6"/>
  <c r="F272" i="6"/>
  <c r="E272" i="6"/>
  <c r="D272" i="6"/>
  <c r="C272" i="6"/>
  <c r="A272" i="6"/>
  <c r="A272" i="7" s="1"/>
  <c r="A271" i="6"/>
  <c r="M270" i="6"/>
  <c r="K270" i="6"/>
  <c r="H270" i="6"/>
  <c r="G270" i="6"/>
  <c r="F270" i="6"/>
  <c r="E270" i="6"/>
  <c r="C270" i="6"/>
  <c r="A270" i="6"/>
  <c r="L270" i="6" s="1"/>
  <c r="M269" i="6"/>
  <c r="L269" i="6"/>
  <c r="K269" i="6"/>
  <c r="J269" i="6"/>
  <c r="H269" i="6"/>
  <c r="F269" i="6"/>
  <c r="E269" i="6"/>
  <c r="D269" i="6"/>
  <c r="C269" i="6"/>
  <c r="B269" i="6"/>
  <c r="A269" i="6"/>
  <c r="A269" i="7" s="1"/>
  <c r="A268" i="6"/>
  <c r="M267" i="6"/>
  <c r="L267" i="6"/>
  <c r="K267" i="6"/>
  <c r="J267" i="6"/>
  <c r="H267" i="6"/>
  <c r="G267" i="6"/>
  <c r="F267" i="6"/>
  <c r="E267" i="6"/>
  <c r="D267" i="6"/>
  <c r="C267" i="6"/>
  <c r="B267" i="6"/>
  <c r="A267" i="6"/>
  <c r="I267" i="6" s="1"/>
  <c r="L266" i="6"/>
  <c r="J266" i="6"/>
  <c r="I266" i="6"/>
  <c r="D266" i="6"/>
  <c r="A266" i="6"/>
  <c r="K266" i="6" s="1"/>
  <c r="I265" i="6"/>
  <c r="G265" i="6"/>
  <c r="F265" i="6"/>
  <c r="A265" i="6"/>
  <c r="M264" i="6"/>
  <c r="L264" i="6"/>
  <c r="K264" i="6"/>
  <c r="F264" i="6"/>
  <c r="E264" i="6"/>
  <c r="D264" i="6"/>
  <c r="C264" i="6"/>
  <c r="A264" i="6"/>
  <c r="A264" i="7" s="1"/>
  <c r="A263" i="6"/>
  <c r="M262" i="6"/>
  <c r="K262" i="6"/>
  <c r="H262" i="6"/>
  <c r="G262" i="6"/>
  <c r="F262" i="6"/>
  <c r="E262" i="6"/>
  <c r="C262" i="6"/>
  <c r="A262" i="6"/>
  <c r="L262" i="6" s="1"/>
  <c r="M261" i="6"/>
  <c r="L261" i="6"/>
  <c r="K261" i="6"/>
  <c r="J261" i="6"/>
  <c r="H261" i="6"/>
  <c r="F261" i="6"/>
  <c r="E261" i="6"/>
  <c r="D261" i="6"/>
  <c r="C261" i="6"/>
  <c r="B261" i="6"/>
  <c r="A261" i="6"/>
  <c r="A261" i="7" s="1"/>
  <c r="I260" i="6"/>
  <c r="G260" i="6"/>
  <c r="B260" i="6"/>
  <c r="A260" i="6"/>
  <c r="M259" i="6"/>
  <c r="L259" i="6"/>
  <c r="K259" i="6"/>
  <c r="J259" i="6"/>
  <c r="H259" i="6"/>
  <c r="G259" i="6"/>
  <c r="F259" i="6"/>
  <c r="E259" i="6"/>
  <c r="D259" i="6"/>
  <c r="C259" i="6"/>
  <c r="B259" i="6"/>
  <c r="A259" i="6"/>
  <c r="A259" i="7" s="1"/>
  <c r="K258" i="6"/>
  <c r="J258" i="6"/>
  <c r="A258" i="6"/>
  <c r="L258" i="6" s="1"/>
  <c r="I257" i="6"/>
  <c r="H257" i="6"/>
  <c r="G257" i="6"/>
  <c r="F257" i="6"/>
  <c r="A257" i="6"/>
  <c r="A257" i="7" s="1"/>
  <c r="M256" i="6"/>
  <c r="L256" i="6"/>
  <c r="K256" i="6"/>
  <c r="F256" i="6"/>
  <c r="E256" i="6"/>
  <c r="D256" i="6"/>
  <c r="C256" i="6"/>
  <c r="A256" i="6"/>
  <c r="A256" i="7" s="1"/>
  <c r="I255" i="6"/>
  <c r="C255" i="6"/>
  <c r="B255" i="6"/>
  <c r="A255" i="6"/>
  <c r="M254" i="6"/>
  <c r="K254" i="6"/>
  <c r="H254" i="6"/>
  <c r="G254" i="6"/>
  <c r="F254" i="6"/>
  <c r="E254" i="6"/>
  <c r="C254" i="6"/>
  <c r="A254" i="6"/>
  <c r="L254" i="6" s="1"/>
  <c r="M253" i="6"/>
  <c r="L253" i="6"/>
  <c r="K253" i="6"/>
  <c r="J253" i="6"/>
  <c r="H253" i="6"/>
  <c r="F253" i="6"/>
  <c r="E253" i="6"/>
  <c r="D253" i="6"/>
  <c r="C253" i="6"/>
  <c r="B253" i="6"/>
  <c r="A253" i="6"/>
  <c r="A253" i="7" s="1"/>
  <c r="M253" i="7" s="1"/>
  <c r="J252" i="6"/>
  <c r="I252" i="6"/>
  <c r="H252" i="6"/>
  <c r="G252" i="6"/>
  <c r="B252" i="6"/>
  <c r="A252" i="6"/>
  <c r="M251" i="6"/>
  <c r="L251" i="6"/>
  <c r="K251" i="6"/>
  <c r="J251" i="6"/>
  <c r="H251" i="6"/>
  <c r="G251" i="6"/>
  <c r="F251" i="6"/>
  <c r="E251" i="6"/>
  <c r="D251" i="6"/>
  <c r="C251" i="6"/>
  <c r="B251" i="6"/>
  <c r="A251" i="6"/>
  <c r="A251" i="7" s="1"/>
  <c r="L250" i="6"/>
  <c r="K250" i="6"/>
  <c r="J250" i="6"/>
  <c r="D250" i="6"/>
  <c r="C250" i="6"/>
  <c r="B250" i="6"/>
  <c r="A250" i="6"/>
  <c r="I249" i="6"/>
  <c r="H249" i="6"/>
  <c r="G249" i="6"/>
  <c r="A249" i="6"/>
  <c r="M248" i="6"/>
  <c r="L248" i="6"/>
  <c r="K248" i="6"/>
  <c r="F248" i="6"/>
  <c r="E248" i="6"/>
  <c r="D248" i="6"/>
  <c r="C248" i="6"/>
  <c r="A248" i="6"/>
  <c r="A248" i="7" s="1"/>
  <c r="K247" i="6"/>
  <c r="J247" i="6"/>
  <c r="I247" i="6"/>
  <c r="H247" i="6"/>
  <c r="C247" i="6"/>
  <c r="B247" i="6"/>
  <c r="A247" i="6"/>
  <c r="M246" i="6"/>
  <c r="K246" i="6"/>
  <c r="H246" i="6"/>
  <c r="G246" i="6"/>
  <c r="F246" i="6"/>
  <c r="E246" i="6"/>
  <c r="C246" i="6"/>
  <c r="A246" i="6"/>
  <c r="A246" i="7" s="1"/>
  <c r="M245" i="6"/>
  <c r="L245" i="6"/>
  <c r="K245" i="6"/>
  <c r="J245" i="6"/>
  <c r="H245" i="6"/>
  <c r="F245" i="6"/>
  <c r="E245" i="6"/>
  <c r="D245" i="6"/>
  <c r="C245" i="6"/>
  <c r="B245" i="6"/>
  <c r="A245" i="6"/>
  <c r="A245" i="7" s="1"/>
  <c r="M245" i="7" s="1"/>
  <c r="I244" i="6"/>
  <c r="H244" i="6"/>
  <c r="G244" i="6"/>
  <c r="A244" i="6"/>
  <c r="J244" i="6" s="1"/>
  <c r="M243" i="6"/>
  <c r="L243" i="6"/>
  <c r="K243" i="6"/>
  <c r="J243" i="6"/>
  <c r="H243" i="6"/>
  <c r="G243" i="6"/>
  <c r="F243" i="6"/>
  <c r="E243" i="6"/>
  <c r="D243" i="6"/>
  <c r="C243" i="6"/>
  <c r="B243" i="6"/>
  <c r="A243" i="6"/>
  <c r="A243" i="7" s="1"/>
  <c r="G242" i="6"/>
  <c r="C242" i="6"/>
  <c r="B242" i="6"/>
  <c r="A242" i="6"/>
  <c r="D241" i="6"/>
  <c r="A241" i="6"/>
  <c r="F240" i="6"/>
  <c r="D240" i="6"/>
  <c r="C240" i="6"/>
  <c r="A240" i="6"/>
  <c r="H239" i="6"/>
  <c r="C239" i="6"/>
  <c r="B239" i="6"/>
  <c r="A239" i="6"/>
  <c r="M238" i="6"/>
  <c r="K238" i="6"/>
  <c r="H238" i="6"/>
  <c r="G238" i="6"/>
  <c r="F238" i="6"/>
  <c r="E238" i="6"/>
  <c r="C238" i="6"/>
  <c r="A238" i="6"/>
  <c r="A238" i="7" s="1"/>
  <c r="M237" i="6"/>
  <c r="L237" i="6"/>
  <c r="K237" i="6"/>
  <c r="J237" i="6"/>
  <c r="H237" i="6"/>
  <c r="F237" i="6"/>
  <c r="E237" i="6"/>
  <c r="D237" i="6"/>
  <c r="C237" i="6"/>
  <c r="B237" i="6"/>
  <c r="A237" i="6"/>
  <c r="A237" i="7" s="1"/>
  <c r="G237" i="7" s="1"/>
  <c r="M236" i="6"/>
  <c r="I236" i="6"/>
  <c r="H236" i="6"/>
  <c r="G236" i="6"/>
  <c r="A236" i="6"/>
  <c r="J236" i="6" s="1"/>
  <c r="M235" i="6"/>
  <c r="L235" i="6"/>
  <c r="K235" i="6"/>
  <c r="J235" i="6"/>
  <c r="H235" i="6"/>
  <c r="G235" i="6"/>
  <c r="F235" i="6"/>
  <c r="E235" i="6"/>
  <c r="D235" i="6"/>
  <c r="C235" i="6"/>
  <c r="B235" i="6"/>
  <c r="A235" i="6"/>
  <c r="A235" i="7" s="1"/>
  <c r="I235" i="7" s="1"/>
  <c r="G234" i="6"/>
  <c r="C234" i="6"/>
  <c r="B234" i="6"/>
  <c r="A234" i="6"/>
  <c r="A233" i="6"/>
  <c r="F232" i="6"/>
  <c r="D232" i="6"/>
  <c r="C232" i="6"/>
  <c r="A232" i="6"/>
  <c r="H231" i="6"/>
  <c r="C231" i="6"/>
  <c r="B231" i="6"/>
  <c r="A231" i="6"/>
  <c r="M230" i="6"/>
  <c r="K230" i="6"/>
  <c r="H230" i="6"/>
  <c r="G230" i="6"/>
  <c r="F230" i="6"/>
  <c r="E230" i="6"/>
  <c r="C230" i="6"/>
  <c r="A230" i="6"/>
  <c r="A230" i="7" s="1"/>
  <c r="M229" i="6"/>
  <c r="L229" i="6"/>
  <c r="K229" i="6"/>
  <c r="J229" i="6"/>
  <c r="H229" i="6"/>
  <c r="F229" i="6"/>
  <c r="E229" i="6"/>
  <c r="D229" i="6"/>
  <c r="C229" i="6"/>
  <c r="B229" i="6"/>
  <c r="A229" i="6"/>
  <c r="A229" i="7" s="1"/>
  <c r="E229" i="7" s="1"/>
  <c r="M228" i="6"/>
  <c r="I228" i="6"/>
  <c r="H228" i="6"/>
  <c r="G228" i="6"/>
  <c r="A228" i="6"/>
  <c r="J228" i="6" s="1"/>
  <c r="M227" i="6"/>
  <c r="L227" i="6"/>
  <c r="K227" i="6"/>
  <c r="J227" i="6"/>
  <c r="H227" i="6"/>
  <c r="G227" i="6"/>
  <c r="F227" i="6"/>
  <c r="E227" i="6"/>
  <c r="D227" i="6"/>
  <c r="C227" i="6"/>
  <c r="B227" i="6"/>
  <c r="A227" i="6"/>
  <c r="A227" i="7" s="1"/>
  <c r="I227" i="7" s="1"/>
  <c r="G226" i="6"/>
  <c r="C226" i="6"/>
  <c r="B226" i="6"/>
  <c r="A226" i="6"/>
  <c r="A225" i="6"/>
  <c r="F224" i="6"/>
  <c r="D224" i="6"/>
  <c r="C224" i="6"/>
  <c r="A224" i="6"/>
  <c r="H223" i="6"/>
  <c r="C223" i="6"/>
  <c r="B223" i="6"/>
  <c r="A223" i="6"/>
  <c r="M222" i="6"/>
  <c r="K222" i="6"/>
  <c r="H222" i="6"/>
  <c r="G222" i="6"/>
  <c r="F222" i="6"/>
  <c r="E222" i="6"/>
  <c r="C222" i="6"/>
  <c r="A222" i="6"/>
  <c r="A222" i="7" s="1"/>
  <c r="J222" i="7" s="1"/>
  <c r="M221" i="6"/>
  <c r="L221" i="6"/>
  <c r="K221" i="6"/>
  <c r="J221" i="6"/>
  <c r="H221" i="6"/>
  <c r="F221" i="6"/>
  <c r="E221" i="6"/>
  <c r="D221" i="6"/>
  <c r="C221" i="6"/>
  <c r="B221" i="6"/>
  <c r="A221" i="6"/>
  <c r="A221" i="7" s="1"/>
  <c r="M220" i="6"/>
  <c r="I220" i="6"/>
  <c r="H220" i="6"/>
  <c r="G220" i="6"/>
  <c r="A220" i="6"/>
  <c r="J220" i="6" s="1"/>
  <c r="M219" i="6"/>
  <c r="L219" i="6"/>
  <c r="K219" i="6"/>
  <c r="J219" i="6"/>
  <c r="H219" i="6"/>
  <c r="G219" i="6"/>
  <c r="F219" i="6"/>
  <c r="E219" i="6"/>
  <c r="D219" i="6"/>
  <c r="C219" i="6"/>
  <c r="B219" i="6"/>
  <c r="A219" i="6"/>
  <c r="I219" i="6" s="1"/>
  <c r="G218" i="6"/>
  <c r="C218" i="6"/>
  <c r="B218" i="6"/>
  <c r="A218" i="6"/>
  <c r="A217" i="6"/>
  <c r="F216" i="6"/>
  <c r="D216" i="6"/>
  <c r="C216" i="6"/>
  <c r="A216" i="6"/>
  <c r="H215" i="6"/>
  <c r="C215" i="6"/>
  <c r="B215" i="6"/>
  <c r="A215" i="6"/>
  <c r="M214" i="6"/>
  <c r="K214" i="6"/>
  <c r="H214" i="6"/>
  <c r="G214" i="6"/>
  <c r="F214" i="6"/>
  <c r="E214" i="6"/>
  <c r="C214" i="6"/>
  <c r="A214" i="6"/>
  <c r="A214" i="7" s="1"/>
  <c r="H214" i="7" s="1"/>
  <c r="M213" i="6"/>
  <c r="L213" i="6"/>
  <c r="K213" i="6"/>
  <c r="J213" i="6"/>
  <c r="H213" i="6"/>
  <c r="F213" i="6"/>
  <c r="E213" i="6"/>
  <c r="D213" i="6"/>
  <c r="C213" i="6"/>
  <c r="B213" i="6"/>
  <c r="A213" i="6"/>
  <c r="A213" i="7" s="1"/>
  <c r="M212" i="6"/>
  <c r="I212" i="6"/>
  <c r="H212" i="6"/>
  <c r="G212" i="6"/>
  <c r="A212" i="6"/>
  <c r="J212" i="6" s="1"/>
  <c r="M211" i="6"/>
  <c r="L211" i="6"/>
  <c r="K211" i="6"/>
  <c r="J211" i="6"/>
  <c r="H211" i="6"/>
  <c r="G211" i="6"/>
  <c r="F211" i="6"/>
  <c r="E211" i="6"/>
  <c r="D211" i="6"/>
  <c r="C211" i="6"/>
  <c r="B211" i="6"/>
  <c r="A211" i="6"/>
  <c r="A211" i="7" s="1"/>
  <c r="G210" i="6"/>
  <c r="C210" i="6"/>
  <c r="B210" i="6"/>
  <c r="A210" i="6"/>
  <c r="D209" i="6"/>
  <c r="A209" i="6"/>
  <c r="F208" i="6"/>
  <c r="D208" i="6"/>
  <c r="C208" i="6"/>
  <c r="A208" i="6"/>
  <c r="H207" i="6"/>
  <c r="C207" i="6"/>
  <c r="B207" i="6"/>
  <c r="A207" i="6"/>
  <c r="M206" i="6"/>
  <c r="K206" i="6"/>
  <c r="H206" i="6"/>
  <c r="G206" i="6"/>
  <c r="F206" i="6"/>
  <c r="E206" i="6"/>
  <c r="C206" i="6"/>
  <c r="A206" i="6"/>
  <c r="L206" i="6" s="1"/>
  <c r="M205" i="6"/>
  <c r="L205" i="6"/>
  <c r="K205" i="6"/>
  <c r="J205" i="6"/>
  <c r="H205" i="6"/>
  <c r="F205" i="6"/>
  <c r="E205" i="6"/>
  <c r="D205" i="6"/>
  <c r="C205" i="6"/>
  <c r="B205" i="6"/>
  <c r="A205" i="6"/>
  <c r="A205" i="7" s="1"/>
  <c r="M204" i="6"/>
  <c r="I204" i="6"/>
  <c r="H204" i="6"/>
  <c r="G204" i="6"/>
  <c r="A204" i="6"/>
  <c r="J204" i="6" s="1"/>
  <c r="M203" i="6"/>
  <c r="L203" i="6"/>
  <c r="K203" i="6"/>
  <c r="J203" i="6"/>
  <c r="H203" i="6"/>
  <c r="G203" i="6"/>
  <c r="F203" i="6"/>
  <c r="E203" i="6"/>
  <c r="D203" i="6"/>
  <c r="C203" i="6"/>
  <c r="B203" i="6"/>
  <c r="A203" i="6"/>
  <c r="A203" i="7" s="1"/>
  <c r="G202" i="6"/>
  <c r="C202" i="6"/>
  <c r="B202" i="6"/>
  <c r="A202" i="6"/>
  <c r="A201" i="6"/>
  <c r="F200" i="6"/>
  <c r="D200" i="6"/>
  <c r="C200" i="6"/>
  <c r="A200" i="6"/>
  <c r="H199" i="6"/>
  <c r="C199" i="6"/>
  <c r="B199" i="6"/>
  <c r="A199" i="6"/>
  <c r="M198" i="6"/>
  <c r="K198" i="6"/>
  <c r="H198" i="6"/>
  <c r="G198" i="6"/>
  <c r="F198" i="6"/>
  <c r="E198" i="6"/>
  <c r="C198" i="6"/>
  <c r="A198" i="6"/>
  <c r="L198" i="6" s="1"/>
  <c r="M197" i="6"/>
  <c r="L197" i="6"/>
  <c r="K197" i="6"/>
  <c r="J197" i="6"/>
  <c r="H197" i="6"/>
  <c r="F197" i="6"/>
  <c r="E197" i="6"/>
  <c r="D197" i="6"/>
  <c r="C197" i="6"/>
  <c r="B197" i="6"/>
  <c r="A197" i="6"/>
  <c r="A197" i="7" s="1"/>
  <c r="M197" i="7" s="1"/>
  <c r="M196" i="6"/>
  <c r="I196" i="6"/>
  <c r="H196" i="6"/>
  <c r="G196" i="6"/>
  <c r="A196" i="6"/>
  <c r="J196" i="6" s="1"/>
  <c r="M195" i="6"/>
  <c r="L195" i="6"/>
  <c r="K195" i="6"/>
  <c r="J195" i="6"/>
  <c r="H195" i="6"/>
  <c r="G195" i="6"/>
  <c r="F195" i="6"/>
  <c r="E195" i="6"/>
  <c r="D195" i="6"/>
  <c r="C195" i="6"/>
  <c r="B195" i="6"/>
  <c r="A195" i="6"/>
  <c r="A195" i="7" s="1"/>
  <c r="G194" i="6"/>
  <c r="C194" i="6"/>
  <c r="B194" i="6"/>
  <c r="A194" i="6"/>
  <c r="A193" i="6"/>
  <c r="F192" i="6"/>
  <c r="D192" i="6"/>
  <c r="C192" i="6"/>
  <c r="A192" i="6"/>
  <c r="H191" i="6"/>
  <c r="C191" i="6"/>
  <c r="B191" i="6"/>
  <c r="A191" i="6"/>
  <c r="M190" i="6"/>
  <c r="K190" i="6"/>
  <c r="H190" i="6"/>
  <c r="G190" i="6"/>
  <c r="F190" i="6"/>
  <c r="E190" i="6"/>
  <c r="C190" i="6"/>
  <c r="A190" i="6"/>
  <c r="A190" i="7" s="1"/>
  <c r="M189" i="6"/>
  <c r="L189" i="6"/>
  <c r="K189" i="6"/>
  <c r="J189" i="6"/>
  <c r="H189" i="6"/>
  <c r="F189" i="6"/>
  <c r="E189" i="6"/>
  <c r="D189" i="6"/>
  <c r="C189" i="6"/>
  <c r="B189" i="6"/>
  <c r="A189" i="6"/>
  <c r="A189" i="7" s="1"/>
  <c r="M189" i="7" s="1"/>
  <c r="M188" i="6"/>
  <c r="I188" i="6"/>
  <c r="H188" i="6"/>
  <c r="G188" i="6"/>
  <c r="A188" i="6"/>
  <c r="J188" i="6" s="1"/>
  <c r="M187" i="6"/>
  <c r="L187" i="6"/>
  <c r="K187" i="6"/>
  <c r="J187" i="6"/>
  <c r="H187" i="6"/>
  <c r="G187" i="6"/>
  <c r="F187" i="6"/>
  <c r="E187" i="6"/>
  <c r="D187" i="6"/>
  <c r="C187" i="6"/>
  <c r="B187" i="6"/>
  <c r="A187" i="6"/>
  <c r="A187" i="7" s="1"/>
  <c r="G186" i="6"/>
  <c r="C186" i="6"/>
  <c r="B186" i="6"/>
  <c r="A186" i="6"/>
  <c r="A185" i="6"/>
  <c r="F184" i="6"/>
  <c r="D184" i="6"/>
  <c r="C184" i="6"/>
  <c r="A184" i="6"/>
  <c r="H183" i="6"/>
  <c r="C183" i="6"/>
  <c r="B183" i="6"/>
  <c r="A183" i="6"/>
  <c r="M182" i="6"/>
  <c r="K182" i="6"/>
  <c r="H182" i="6"/>
  <c r="G182" i="6"/>
  <c r="F182" i="6"/>
  <c r="E182" i="6"/>
  <c r="C182" i="6"/>
  <c r="A182" i="6"/>
  <c r="A182" i="7" s="1"/>
  <c r="M181" i="6"/>
  <c r="L181" i="6"/>
  <c r="K181" i="6"/>
  <c r="J181" i="6"/>
  <c r="H181" i="6"/>
  <c r="F181" i="6"/>
  <c r="E181" i="6"/>
  <c r="D181" i="6"/>
  <c r="C181" i="6"/>
  <c r="B181" i="6"/>
  <c r="A181" i="6"/>
  <c r="A181" i="7" s="1"/>
  <c r="F181" i="7" s="1"/>
  <c r="M180" i="6"/>
  <c r="I180" i="6"/>
  <c r="H180" i="6"/>
  <c r="G180" i="6"/>
  <c r="A180" i="6"/>
  <c r="J180" i="6" s="1"/>
  <c r="M179" i="6"/>
  <c r="L179" i="6"/>
  <c r="K179" i="6"/>
  <c r="J179" i="6"/>
  <c r="H179" i="6"/>
  <c r="G179" i="6"/>
  <c r="F179" i="6"/>
  <c r="E179" i="6"/>
  <c r="D179" i="6"/>
  <c r="C179" i="6"/>
  <c r="B179" i="6"/>
  <c r="A179" i="6"/>
  <c r="A179" i="7" s="1"/>
  <c r="I179" i="7" s="1"/>
  <c r="G178" i="6"/>
  <c r="C178" i="6"/>
  <c r="B178" i="6"/>
  <c r="A178" i="6"/>
  <c r="D177" i="6"/>
  <c r="A177" i="6"/>
  <c r="F176" i="6"/>
  <c r="D176" i="6"/>
  <c r="C176" i="6"/>
  <c r="A176" i="6"/>
  <c r="H175" i="6"/>
  <c r="C175" i="6"/>
  <c r="B175" i="6"/>
  <c r="A175" i="6"/>
  <c r="M174" i="6"/>
  <c r="K174" i="6"/>
  <c r="H174" i="6"/>
  <c r="G174" i="6"/>
  <c r="F174" i="6"/>
  <c r="E174" i="6"/>
  <c r="C174" i="6"/>
  <c r="A174" i="6"/>
  <c r="A174" i="7" s="1"/>
  <c r="J174" i="7" s="1"/>
  <c r="M173" i="6"/>
  <c r="L173" i="6"/>
  <c r="K173" i="6"/>
  <c r="J173" i="6"/>
  <c r="H173" i="6"/>
  <c r="F173" i="6"/>
  <c r="E173" i="6"/>
  <c r="D173" i="6"/>
  <c r="C173" i="6"/>
  <c r="B173" i="6"/>
  <c r="A173" i="6"/>
  <c r="A173" i="7" s="1"/>
  <c r="M172" i="6"/>
  <c r="I172" i="6"/>
  <c r="H172" i="6"/>
  <c r="G172" i="6"/>
  <c r="A172" i="6"/>
  <c r="J172" i="6" s="1"/>
  <c r="M171" i="6"/>
  <c r="L171" i="6"/>
  <c r="K171" i="6"/>
  <c r="J171" i="6"/>
  <c r="H171" i="6"/>
  <c r="G171" i="6"/>
  <c r="F171" i="6"/>
  <c r="E171" i="6"/>
  <c r="D171" i="6"/>
  <c r="C171" i="6"/>
  <c r="B171" i="6"/>
  <c r="A171" i="6"/>
  <c r="A171" i="7" s="1"/>
  <c r="H171" i="7" s="1"/>
  <c r="G170" i="6"/>
  <c r="C170" i="6"/>
  <c r="B170" i="6"/>
  <c r="A170" i="6"/>
  <c r="A169" i="6"/>
  <c r="F168" i="6"/>
  <c r="D168" i="6"/>
  <c r="C168" i="6"/>
  <c r="A168" i="6"/>
  <c r="H167" i="6"/>
  <c r="C167" i="6"/>
  <c r="B167" i="6"/>
  <c r="A167" i="6"/>
  <c r="M166" i="6"/>
  <c r="K166" i="6"/>
  <c r="H166" i="6"/>
  <c r="G166" i="6"/>
  <c r="F166" i="6"/>
  <c r="E166" i="6"/>
  <c r="C166" i="6"/>
  <c r="A166" i="6"/>
  <c r="A166" i="7" s="1"/>
  <c r="I166" i="7" s="1"/>
  <c r="M165" i="6"/>
  <c r="L165" i="6"/>
  <c r="K165" i="6"/>
  <c r="J165" i="6"/>
  <c r="H165" i="6"/>
  <c r="F165" i="6"/>
  <c r="E165" i="6"/>
  <c r="D165" i="6"/>
  <c r="C165" i="6"/>
  <c r="B165" i="6"/>
  <c r="A165" i="6"/>
  <c r="A165" i="7" s="1"/>
  <c r="F165" i="7" s="1"/>
  <c r="M164" i="6"/>
  <c r="I164" i="6"/>
  <c r="H164" i="6"/>
  <c r="G164" i="6"/>
  <c r="A164" i="6"/>
  <c r="J164" i="6" s="1"/>
  <c r="M163" i="6"/>
  <c r="L163" i="6"/>
  <c r="K163" i="6"/>
  <c r="J163" i="6"/>
  <c r="H163" i="6"/>
  <c r="G163" i="6"/>
  <c r="F163" i="6"/>
  <c r="E163" i="6"/>
  <c r="D163" i="6"/>
  <c r="C163" i="6"/>
  <c r="B163" i="6"/>
  <c r="A163" i="6"/>
  <c r="A163" i="7" s="1"/>
  <c r="G162" i="6"/>
  <c r="C162" i="6"/>
  <c r="B162" i="6"/>
  <c r="A162" i="6"/>
  <c r="A161" i="6"/>
  <c r="F160" i="6"/>
  <c r="D160" i="6"/>
  <c r="C160" i="6"/>
  <c r="A160" i="6"/>
  <c r="H159" i="6"/>
  <c r="C159" i="6"/>
  <c r="B159" i="6"/>
  <c r="A159" i="6"/>
  <c r="M158" i="6"/>
  <c r="K158" i="6"/>
  <c r="H158" i="6"/>
  <c r="G158" i="6"/>
  <c r="F158" i="6"/>
  <c r="E158" i="6"/>
  <c r="C158" i="6"/>
  <c r="A158" i="6"/>
  <c r="A158" i="7" s="1"/>
  <c r="M157" i="6"/>
  <c r="L157" i="6"/>
  <c r="K157" i="6"/>
  <c r="J157" i="6"/>
  <c r="H157" i="6"/>
  <c r="F157" i="6"/>
  <c r="E157" i="6"/>
  <c r="D157" i="6"/>
  <c r="C157" i="6"/>
  <c r="B157" i="6"/>
  <c r="A157" i="6"/>
  <c r="A157" i="7" s="1"/>
  <c r="E157" i="7" s="1"/>
  <c r="M156" i="6"/>
  <c r="I156" i="6"/>
  <c r="H156" i="6"/>
  <c r="G156" i="6"/>
  <c r="A156" i="6"/>
  <c r="J156" i="6" s="1"/>
  <c r="M155" i="6"/>
  <c r="L155" i="6"/>
  <c r="K155" i="6"/>
  <c r="J155" i="6"/>
  <c r="H155" i="6"/>
  <c r="G155" i="6"/>
  <c r="F155" i="6"/>
  <c r="E155" i="6"/>
  <c r="D155" i="6"/>
  <c r="C155" i="6"/>
  <c r="B155" i="6"/>
  <c r="A155" i="6"/>
  <c r="A155" i="7" s="1"/>
  <c r="G154" i="6"/>
  <c r="C154" i="6"/>
  <c r="B154" i="6"/>
  <c r="A154" i="6"/>
  <c r="A153" i="6"/>
  <c r="F152" i="6"/>
  <c r="D152" i="6"/>
  <c r="C152" i="6"/>
  <c r="A152" i="6"/>
  <c r="H151" i="6"/>
  <c r="C151" i="6"/>
  <c r="B151" i="6"/>
  <c r="A151" i="6"/>
  <c r="M150" i="6"/>
  <c r="K150" i="6"/>
  <c r="H150" i="6"/>
  <c r="G150" i="6"/>
  <c r="F150" i="6"/>
  <c r="E150" i="6"/>
  <c r="C150" i="6"/>
  <c r="A150" i="6"/>
  <c r="A150" i="7" s="1"/>
  <c r="M149" i="6"/>
  <c r="L149" i="6"/>
  <c r="K149" i="6"/>
  <c r="J149" i="6"/>
  <c r="H149" i="6"/>
  <c r="F149" i="6"/>
  <c r="E149" i="6"/>
  <c r="D149" i="6"/>
  <c r="C149" i="6"/>
  <c r="B149" i="6"/>
  <c r="A149" i="6"/>
  <c r="A149" i="7" s="1"/>
  <c r="M148" i="6"/>
  <c r="I148" i="6"/>
  <c r="H148" i="6"/>
  <c r="G148" i="6"/>
  <c r="A148" i="6"/>
  <c r="J148" i="6" s="1"/>
  <c r="M147" i="6"/>
  <c r="L147" i="6"/>
  <c r="K147" i="6"/>
  <c r="J147" i="6"/>
  <c r="H147" i="6"/>
  <c r="G147" i="6"/>
  <c r="F147" i="6"/>
  <c r="E147" i="6"/>
  <c r="D147" i="6"/>
  <c r="C147" i="6"/>
  <c r="B147" i="6"/>
  <c r="A147" i="6"/>
  <c r="I147" i="6" s="1"/>
  <c r="G146" i="6"/>
  <c r="C146" i="6"/>
  <c r="B146" i="6"/>
  <c r="A146" i="6"/>
  <c r="D145" i="6"/>
  <c r="A145" i="6"/>
  <c r="F144" i="6"/>
  <c r="D144" i="6"/>
  <c r="C144" i="6"/>
  <c r="A144" i="6"/>
  <c r="H143" i="6"/>
  <c r="C143" i="6"/>
  <c r="B143" i="6"/>
  <c r="A143" i="6"/>
  <c r="M142" i="6"/>
  <c r="K142" i="6"/>
  <c r="H142" i="6"/>
  <c r="G142" i="6"/>
  <c r="F142" i="6"/>
  <c r="E142" i="6"/>
  <c r="C142" i="6"/>
  <c r="A142" i="6"/>
  <c r="L142" i="6" s="1"/>
  <c r="M141" i="6"/>
  <c r="L141" i="6"/>
  <c r="K141" i="6"/>
  <c r="J141" i="6"/>
  <c r="H141" i="6"/>
  <c r="F141" i="6"/>
  <c r="E141" i="6"/>
  <c r="D141" i="6"/>
  <c r="C141" i="6"/>
  <c r="B141" i="6"/>
  <c r="A141" i="6"/>
  <c r="A141" i="7" s="1"/>
  <c r="M140" i="6"/>
  <c r="I140" i="6"/>
  <c r="H140" i="6"/>
  <c r="G140" i="6"/>
  <c r="A140" i="6"/>
  <c r="J140" i="6" s="1"/>
  <c r="M139" i="6"/>
  <c r="L139" i="6"/>
  <c r="K139" i="6"/>
  <c r="J139" i="6"/>
  <c r="H139" i="6"/>
  <c r="G139" i="6"/>
  <c r="F139" i="6"/>
  <c r="E139" i="6"/>
  <c r="D139" i="6"/>
  <c r="C139" i="6"/>
  <c r="B139" i="6"/>
  <c r="A139" i="6"/>
  <c r="I139" i="6" s="1"/>
  <c r="G138" i="6"/>
  <c r="C138" i="6"/>
  <c r="B138" i="6"/>
  <c r="A138" i="6"/>
  <c r="A137" i="6"/>
  <c r="F136" i="6"/>
  <c r="D136" i="6"/>
  <c r="C136" i="6"/>
  <c r="A136" i="6"/>
  <c r="H135" i="6"/>
  <c r="C135" i="6"/>
  <c r="B135" i="6"/>
  <c r="A135" i="6"/>
  <c r="M134" i="6"/>
  <c r="K134" i="6"/>
  <c r="H134" i="6"/>
  <c r="G134" i="6"/>
  <c r="F134" i="6"/>
  <c r="E134" i="6"/>
  <c r="C134" i="6"/>
  <c r="A134" i="6"/>
  <c r="L134" i="6" s="1"/>
  <c r="M133" i="6"/>
  <c r="L133" i="6"/>
  <c r="K133" i="6"/>
  <c r="J133" i="6"/>
  <c r="H133" i="6"/>
  <c r="F133" i="6"/>
  <c r="E133" i="6"/>
  <c r="D133" i="6"/>
  <c r="C133" i="6"/>
  <c r="B133" i="6"/>
  <c r="A133" i="6"/>
  <c r="A133" i="7" s="1"/>
  <c r="M132" i="6"/>
  <c r="I132" i="6"/>
  <c r="H132" i="6"/>
  <c r="G132" i="6"/>
  <c r="A132" i="6"/>
  <c r="J132" i="6" s="1"/>
  <c r="M131" i="6"/>
  <c r="L131" i="6"/>
  <c r="K131" i="6"/>
  <c r="J131" i="6"/>
  <c r="H131" i="6"/>
  <c r="G131" i="6"/>
  <c r="F131" i="6"/>
  <c r="E131" i="6"/>
  <c r="D131" i="6"/>
  <c r="C131" i="6"/>
  <c r="B131" i="6"/>
  <c r="A131" i="6"/>
  <c r="A131" i="7" s="1"/>
  <c r="G130" i="6"/>
  <c r="C130" i="6"/>
  <c r="B130" i="6"/>
  <c r="A130" i="6"/>
  <c r="A129" i="6"/>
  <c r="F128" i="6"/>
  <c r="D128" i="6"/>
  <c r="C128" i="6"/>
  <c r="A128" i="6"/>
  <c r="H127" i="6"/>
  <c r="C127" i="6"/>
  <c r="B127" i="6"/>
  <c r="A127" i="6"/>
  <c r="M126" i="6"/>
  <c r="K126" i="6"/>
  <c r="H126" i="6"/>
  <c r="G126" i="6"/>
  <c r="F126" i="6"/>
  <c r="E126" i="6"/>
  <c r="C126" i="6"/>
  <c r="A126" i="6"/>
  <c r="A126" i="7" s="1"/>
  <c r="M125" i="6"/>
  <c r="L125" i="6"/>
  <c r="K125" i="6"/>
  <c r="J125" i="6"/>
  <c r="H125" i="6"/>
  <c r="F125" i="6"/>
  <c r="E125" i="6"/>
  <c r="D125" i="6"/>
  <c r="C125" i="6"/>
  <c r="B125" i="6"/>
  <c r="A125" i="6"/>
  <c r="A125" i="7" s="1"/>
  <c r="K125" i="7" s="1"/>
  <c r="M124" i="6"/>
  <c r="I124" i="6"/>
  <c r="H124" i="6"/>
  <c r="G124" i="6"/>
  <c r="A124" i="6"/>
  <c r="J124" i="6" s="1"/>
  <c r="M123" i="6"/>
  <c r="L123" i="6"/>
  <c r="K123" i="6"/>
  <c r="J123" i="6"/>
  <c r="H123" i="6"/>
  <c r="G123" i="6"/>
  <c r="F123" i="6"/>
  <c r="E123" i="6"/>
  <c r="D123" i="6"/>
  <c r="C123" i="6"/>
  <c r="B123" i="6"/>
  <c r="A123" i="6"/>
  <c r="A123" i="7" s="1"/>
  <c r="G122" i="6"/>
  <c r="C122" i="6"/>
  <c r="B122" i="6"/>
  <c r="A122" i="6"/>
  <c r="A121" i="6"/>
  <c r="F120" i="6"/>
  <c r="D120" i="6"/>
  <c r="C120" i="6"/>
  <c r="A120" i="6"/>
  <c r="H119" i="6"/>
  <c r="C119" i="6"/>
  <c r="B119" i="6"/>
  <c r="A119" i="6"/>
  <c r="M118" i="6"/>
  <c r="K118" i="6"/>
  <c r="H118" i="6"/>
  <c r="G118" i="6"/>
  <c r="F118" i="6"/>
  <c r="E118" i="6"/>
  <c r="C118" i="6"/>
  <c r="A118" i="6"/>
  <c r="A118" i="7" s="1"/>
  <c r="B118" i="7" s="1"/>
  <c r="M117" i="6"/>
  <c r="L117" i="6"/>
  <c r="K117" i="6"/>
  <c r="J117" i="6"/>
  <c r="H117" i="6"/>
  <c r="F117" i="6"/>
  <c r="E117" i="6"/>
  <c r="D117" i="6"/>
  <c r="C117" i="6"/>
  <c r="B117" i="6"/>
  <c r="A117" i="6"/>
  <c r="A117" i="7" s="1"/>
  <c r="E117" i="7" s="1"/>
  <c r="M116" i="6"/>
  <c r="J116" i="6"/>
  <c r="I116" i="6"/>
  <c r="H116" i="6"/>
  <c r="E116" i="6"/>
  <c r="C116" i="6"/>
  <c r="B116" i="6"/>
  <c r="A116" i="6"/>
  <c r="M115" i="6"/>
  <c r="L115" i="6"/>
  <c r="K115" i="6"/>
  <c r="J115" i="6"/>
  <c r="H115" i="6"/>
  <c r="G115" i="6"/>
  <c r="F115" i="6"/>
  <c r="E115" i="6"/>
  <c r="D115" i="6"/>
  <c r="C115" i="6"/>
  <c r="B115" i="6"/>
  <c r="A115" i="6"/>
  <c r="A115" i="7" s="1"/>
  <c r="I114" i="6"/>
  <c r="G114" i="6"/>
  <c r="A114" i="6"/>
  <c r="J114" i="6" s="1"/>
  <c r="J113" i="6"/>
  <c r="I113" i="6"/>
  <c r="H113" i="6"/>
  <c r="F113" i="6"/>
  <c r="D113" i="6"/>
  <c r="B113" i="6"/>
  <c r="A113" i="6"/>
  <c r="M112" i="6"/>
  <c r="L112" i="6"/>
  <c r="C112" i="6"/>
  <c r="A112" i="6"/>
  <c r="L111" i="6"/>
  <c r="J111" i="6"/>
  <c r="I111" i="6"/>
  <c r="H111" i="6"/>
  <c r="F111" i="6"/>
  <c r="D111" i="6"/>
  <c r="C111" i="6"/>
  <c r="B111" i="6"/>
  <c r="A111" i="6"/>
  <c r="K110" i="6"/>
  <c r="I110" i="6"/>
  <c r="G110" i="6"/>
  <c r="F110" i="6"/>
  <c r="E110" i="6"/>
  <c r="A110" i="6"/>
  <c r="H110" i="6" s="1"/>
  <c r="M109" i="6"/>
  <c r="L109" i="6"/>
  <c r="K109" i="6"/>
  <c r="J109" i="6"/>
  <c r="H109" i="6"/>
  <c r="F109" i="6"/>
  <c r="E109" i="6"/>
  <c r="D109" i="6"/>
  <c r="C109" i="6"/>
  <c r="B109" i="6"/>
  <c r="A109" i="6"/>
  <c r="A109" i="7" s="1"/>
  <c r="G109" i="7" s="1"/>
  <c r="K108" i="6"/>
  <c r="A108" i="6"/>
  <c r="M107" i="6"/>
  <c r="L107" i="6"/>
  <c r="K107" i="6"/>
  <c r="J107" i="6"/>
  <c r="H107" i="6"/>
  <c r="G107" i="6"/>
  <c r="F107" i="6"/>
  <c r="E107" i="6"/>
  <c r="D107" i="6"/>
  <c r="C107" i="6"/>
  <c r="B107" i="6"/>
  <c r="A107" i="6"/>
  <c r="I107" i="6" s="1"/>
  <c r="A106" i="6"/>
  <c r="M105" i="6"/>
  <c r="H105" i="6"/>
  <c r="F105" i="6"/>
  <c r="E105" i="6"/>
  <c r="D105" i="6"/>
  <c r="A105" i="6"/>
  <c r="G105" i="6" s="1"/>
  <c r="M104" i="6"/>
  <c r="K104" i="6"/>
  <c r="J104" i="6"/>
  <c r="E104" i="6"/>
  <c r="C104" i="6"/>
  <c r="B104" i="6"/>
  <c r="A104" i="6"/>
  <c r="A104" i="7" s="1"/>
  <c r="L103" i="6"/>
  <c r="K103" i="6"/>
  <c r="J103" i="6"/>
  <c r="H103" i="6"/>
  <c r="G103" i="6"/>
  <c r="F103" i="6"/>
  <c r="D103" i="6"/>
  <c r="C103" i="6"/>
  <c r="B103" i="6"/>
  <c r="A103" i="6"/>
  <c r="A103" i="7" s="1"/>
  <c r="M102" i="6"/>
  <c r="L102" i="6"/>
  <c r="K102" i="6"/>
  <c r="H102" i="6"/>
  <c r="G102" i="6"/>
  <c r="E102" i="6"/>
  <c r="D102" i="6"/>
  <c r="C102" i="6"/>
  <c r="A102" i="6"/>
  <c r="A102" i="7" s="1"/>
  <c r="J101" i="6"/>
  <c r="B101" i="6"/>
  <c r="A101" i="6"/>
  <c r="G100" i="6"/>
  <c r="F100" i="6"/>
  <c r="A100" i="6"/>
  <c r="A100" i="7" s="1"/>
  <c r="B100" i="7" s="1"/>
  <c r="M99" i="6"/>
  <c r="L99" i="6"/>
  <c r="K99" i="6"/>
  <c r="J99" i="6"/>
  <c r="H99" i="6"/>
  <c r="G99" i="6"/>
  <c r="F99" i="6"/>
  <c r="E99" i="6"/>
  <c r="D99" i="6"/>
  <c r="C99" i="6"/>
  <c r="B99" i="6"/>
  <c r="A99" i="6"/>
  <c r="A99" i="7" s="1"/>
  <c r="A98" i="6"/>
  <c r="M97" i="6"/>
  <c r="L97" i="6"/>
  <c r="H97" i="6"/>
  <c r="F97" i="6"/>
  <c r="E97" i="6"/>
  <c r="D97" i="6"/>
  <c r="A97" i="6"/>
  <c r="A97" i="7" s="1"/>
  <c r="M96" i="6"/>
  <c r="K96" i="6"/>
  <c r="J96" i="6"/>
  <c r="E96" i="6"/>
  <c r="C96" i="6"/>
  <c r="B96" i="6"/>
  <c r="A96" i="6"/>
  <c r="A96" i="7" s="1"/>
  <c r="L95" i="6"/>
  <c r="K95" i="6"/>
  <c r="J95" i="6"/>
  <c r="H95" i="6"/>
  <c r="G95" i="6"/>
  <c r="F95" i="6"/>
  <c r="D95" i="6"/>
  <c r="C95" i="6"/>
  <c r="B95" i="6"/>
  <c r="A95" i="6"/>
  <c r="A95" i="7" s="1"/>
  <c r="M94" i="6"/>
  <c r="L94" i="6"/>
  <c r="K94" i="6"/>
  <c r="H94" i="6"/>
  <c r="G94" i="6"/>
  <c r="E94" i="6"/>
  <c r="D94" i="6"/>
  <c r="C94" i="6"/>
  <c r="A94" i="6"/>
  <c r="A94" i="7" s="1"/>
  <c r="J93" i="6"/>
  <c r="I93" i="6"/>
  <c r="A93" i="6"/>
  <c r="G92" i="6"/>
  <c r="F92" i="6"/>
  <c r="A92" i="6"/>
  <c r="A92" i="7" s="1"/>
  <c r="M91" i="6"/>
  <c r="L91" i="6"/>
  <c r="K91" i="6"/>
  <c r="J91" i="6"/>
  <c r="H91" i="6"/>
  <c r="G91" i="6"/>
  <c r="F91" i="6"/>
  <c r="E91" i="6"/>
  <c r="D91" i="6"/>
  <c r="C91" i="6"/>
  <c r="B91" i="6"/>
  <c r="A91" i="6"/>
  <c r="I91" i="6" s="1"/>
  <c r="I90" i="6"/>
  <c r="A90" i="6"/>
  <c r="M89" i="6"/>
  <c r="L89" i="6"/>
  <c r="H89" i="6"/>
  <c r="F89" i="6"/>
  <c r="E89" i="6"/>
  <c r="D89" i="6"/>
  <c r="A89" i="6"/>
  <c r="A89" i="7" s="1"/>
  <c r="M88" i="6"/>
  <c r="K88" i="6"/>
  <c r="J88" i="6"/>
  <c r="E88" i="6"/>
  <c r="C88" i="6"/>
  <c r="B88" i="6"/>
  <c r="A88" i="6"/>
  <c r="A88" i="7" s="1"/>
  <c r="L87" i="6"/>
  <c r="K87" i="6"/>
  <c r="J87" i="6"/>
  <c r="H87" i="6"/>
  <c r="G87" i="6"/>
  <c r="F87" i="6"/>
  <c r="D87" i="6"/>
  <c r="C87" i="6"/>
  <c r="B87" i="6"/>
  <c r="A87" i="6"/>
  <c r="A87" i="7" s="1"/>
  <c r="E87" i="7" s="1"/>
  <c r="M86" i="6"/>
  <c r="L86" i="6"/>
  <c r="K86" i="6"/>
  <c r="H86" i="6"/>
  <c r="G86" i="6"/>
  <c r="E86" i="6"/>
  <c r="D86" i="6"/>
  <c r="C86" i="6"/>
  <c r="A86" i="6"/>
  <c r="A86" i="7" s="1"/>
  <c r="J85" i="6"/>
  <c r="I85" i="6"/>
  <c r="B85" i="6"/>
  <c r="A85" i="6"/>
  <c r="G84" i="6"/>
  <c r="F84" i="6"/>
  <c r="A84" i="6"/>
  <c r="A84" i="7" s="1"/>
  <c r="M83" i="6"/>
  <c r="L83" i="6"/>
  <c r="K83" i="6"/>
  <c r="J83" i="6"/>
  <c r="H83" i="6"/>
  <c r="G83" i="6"/>
  <c r="F83" i="6"/>
  <c r="E83" i="6"/>
  <c r="D83" i="6"/>
  <c r="C83" i="6"/>
  <c r="B83" i="6"/>
  <c r="A83" i="6"/>
  <c r="A83" i="7" s="1"/>
  <c r="M83" i="7" s="1"/>
  <c r="I82" i="6"/>
  <c r="H82" i="6"/>
  <c r="A82" i="6"/>
  <c r="M81" i="6"/>
  <c r="L81" i="6"/>
  <c r="H81" i="6"/>
  <c r="F81" i="6"/>
  <c r="E81" i="6"/>
  <c r="D81" i="6"/>
  <c r="A81" i="6"/>
  <c r="A81" i="7" s="1"/>
  <c r="M80" i="6"/>
  <c r="K80" i="6"/>
  <c r="J80" i="6"/>
  <c r="E80" i="6"/>
  <c r="C80" i="6"/>
  <c r="B80" i="6"/>
  <c r="A80" i="6"/>
  <c r="A80" i="7" s="1"/>
  <c r="L79" i="6"/>
  <c r="K79" i="6"/>
  <c r="J79" i="6"/>
  <c r="H79" i="6"/>
  <c r="G79" i="6"/>
  <c r="F79" i="6"/>
  <c r="D79" i="6"/>
  <c r="C79" i="6"/>
  <c r="B79" i="6"/>
  <c r="A79" i="6"/>
  <c r="A79" i="7" s="1"/>
  <c r="M78" i="6"/>
  <c r="L78" i="6"/>
  <c r="K78" i="6"/>
  <c r="H78" i="6"/>
  <c r="G78" i="6"/>
  <c r="E78" i="6"/>
  <c r="D78" i="6"/>
  <c r="C78" i="6"/>
  <c r="A78" i="6"/>
  <c r="A78" i="7" s="1"/>
  <c r="J77" i="6"/>
  <c r="B77" i="6"/>
  <c r="A77" i="6"/>
  <c r="G76" i="6"/>
  <c r="F76" i="6"/>
  <c r="A76" i="6"/>
  <c r="A76" i="7" s="1"/>
  <c r="M75" i="6"/>
  <c r="L75" i="6"/>
  <c r="K75" i="6"/>
  <c r="J75" i="6"/>
  <c r="H75" i="6"/>
  <c r="G75" i="6"/>
  <c r="F75" i="6"/>
  <c r="E75" i="6"/>
  <c r="D75" i="6"/>
  <c r="C75" i="6"/>
  <c r="B75" i="6"/>
  <c r="A75" i="6"/>
  <c r="A75" i="7" s="1"/>
  <c r="I74" i="6"/>
  <c r="A74" i="6"/>
  <c r="M73" i="6"/>
  <c r="L73" i="6"/>
  <c r="H73" i="6"/>
  <c r="F73" i="6"/>
  <c r="E73" i="6"/>
  <c r="D73" i="6"/>
  <c r="A73" i="6"/>
  <c r="A73" i="7" s="1"/>
  <c r="M72" i="6"/>
  <c r="K72" i="6"/>
  <c r="J72" i="6"/>
  <c r="E72" i="6"/>
  <c r="C72" i="6"/>
  <c r="B72" i="6"/>
  <c r="A72" i="6"/>
  <c r="A72" i="7" s="1"/>
  <c r="L71" i="6"/>
  <c r="K71" i="6"/>
  <c r="J71" i="6"/>
  <c r="H71" i="6"/>
  <c r="G71" i="6"/>
  <c r="F71" i="6"/>
  <c r="D71" i="6"/>
  <c r="C71" i="6"/>
  <c r="B71" i="6"/>
  <c r="A71" i="6"/>
  <c r="A71" i="7" s="1"/>
  <c r="M70" i="6"/>
  <c r="L70" i="6"/>
  <c r="K70" i="6"/>
  <c r="H70" i="6"/>
  <c r="G70" i="6"/>
  <c r="E70" i="6"/>
  <c r="D70" i="6"/>
  <c r="C70" i="6"/>
  <c r="A70" i="6"/>
  <c r="A70" i="7" s="1"/>
  <c r="I69" i="6"/>
  <c r="A69" i="6"/>
  <c r="G68" i="6"/>
  <c r="F68" i="6"/>
  <c r="A68" i="6"/>
  <c r="A68" i="7" s="1"/>
  <c r="M67" i="6"/>
  <c r="L67" i="6"/>
  <c r="K67" i="6"/>
  <c r="J67" i="6"/>
  <c r="H67" i="6"/>
  <c r="G67" i="6"/>
  <c r="F67" i="6"/>
  <c r="E67" i="6"/>
  <c r="D67" i="6"/>
  <c r="C67" i="6"/>
  <c r="B67" i="6"/>
  <c r="A67" i="6"/>
  <c r="A67" i="7" s="1"/>
  <c r="M67" i="7" s="1"/>
  <c r="I66" i="6"/>
  <c r="H66" i="6"/>
  <c r="A66" i="6"/>
  <c r="M65" i="6"/>
  <c r="L65" i="6"/>
  <c r="H65" i="6"/>
  <c r="F65" i="6"/>
  <c r="E65" i="6"/>
  <c r="D65" i="6"/>
  <c r="A65" i="6"/>
  <c r="A65" i="7" s="1"/>
  <c r="M64" i="6"/>
  <c r="K64" i="6"/>
  <c r="J64" i="6"/>
  <c r="E64" i="6"/>
  <c r="C64" i="6"/>
  <c r="B64" i="6"/>
  <c r="A64" i="6"/>
  <c r="A64" i="7" s="1"/>
  <c r="L63" i="6"/>
  <c r="K63" i="6"/>
  <c r="J63" i="6"/>
  <c r="H63" i="6"/>
  <c r="G63" i="6"/>
  <c r="F63" i="6"/>
  <c r="D63" i="6"/>
  <c r="C63" i="6"/>
  <c r="B63" i="6"/>
  <c r="A63" i="6"/>
  <c r="A63" i="7" s="1"/>
  <c r="B63" i="7" s="1"/>
  <c r="M62" i="6"/>
  <c r="L62" i="6"/>
  <c r="K62" i="6"/>
  <c r="H62" i="6"/>
  <c r="G62" i="6"/>
  <c r="E62" i="6"/>
  <c r="D62" i="6"/>
  <c r="C62" i="6"/>
  <c r="A62" i="6"/>
  <c r="A62" i="7" s="1"/>
  <c r="B61" i="6"/>
  <c r="A61" i="6"/>
  <c r="G60" i="6"/>
  <c r="F60" i="6"/>
  <c r="A60" i="6"/>
  <c r="L60" i="6" s="1"/>
  <c r="M59" i="6"/>
  <c r="L59" i="6"/>
  <c r="K59" i="6"/>
  <c r="J59" i="6"/>
  <c r="H59" i="6"/>
  <c r="G59" i="6"/>
  <c r="F59" i="6"/>
  <c r="E59" i="6"/>
  <c r="D59" i="6"/>
  <c r="C59" i="6"/>
  <c r="B59" i="6"/>
  <c r="A59" i="6"/>
  <c r="A59" i="7" s="1"/>
  <c r="M59" i="7" s="1"/>
  <c r="H58" i="6"/>
  <c r="A58" i="6"/>
  <c r="M57" i="6"/>
  <c r="L57" i="6"/>
  <c r="H57" i="6"/>
  <c r="F57" i="6"/>
  <c r="E57" i="6"/>
  <c r="D57" i="6"/>
  <c r="A57" i="6"/>
  <c r="A57" i="7" s="1"/>
  <c r="M56" i="6"/>
  <c r="K56" i="6"/>
  <c r="J56" i="6"/>
  <c r="E56" i="6"/>
  <c r="C56" i="6"/>
  <c r="B56" i="6"/>
  <c r="A56" i="6"/>
  <c r="A56" i="7" s="1"/>
  <c r="L55" i="6"/>
  <c r="K55" i="6"/>
  <c r="J55" i="6"/>
  <c r="H55" i="6"/>
  <c r="G55" i="6"/>
  <c r="F55" i="6"/>
  <c r="D55" i="6"/>
  <c r="C55" i="6"/>
  <c r="B55" i="6"/>
  <c r="A55" i="6"/>
  <c r="M55" i="6" s="1"/>
  <c r="M54" i="6"/>
  <c r="L54" i="6"/>
  <c r="K54" i="6"/>
  <c r="H54" i="6"/>
  <c r="G54" i="6"/>
  <c r="E54" i="6"/>
  <c r="D54" i="6"/>
  <c r="C54" i="6"/>
  <c r="A54" i="6"/>
  <c r="A54" i="7" s="1"/>
  <c r="A53" i="6"/>
  <c r="G52" i="6"/>
  <c r="F52" i="6"/>
  <c r="A52" i="6"/>
  <c r="A52" i="7" s="1"/>
  <c r="M51" i="6"/>
  <c r="L51" i="6"/>
  <c r="K51" i="6"/>
  <c r="J51" i="6"/>
  <c r="H51" i="6"/>
  <c r="G51" i="6"/>
  <c r="F51" i="6"/>
  <c r="E51" i="6"/>
  <c r="D51" i="6"/>
  <c r="C51" i="6"/>
  <c r="B51" i="6"/>
  <c r="A51" i="6"/>
  <c r="A51" i="7" s="1"/>
  <c r="M51" i="7" s="1"/>
  <c r="A50" i="6"/>
  <c r="M49" i="6"/>
  <c r="L49" i="6"/>
  <c r="H49" i="6"/>
  <c r="F49" i="6"/>
  <c r="E49" i="6"/>
  <c r="D49" i="6"/>
  <c r="A49" i="6"/>
  <c r="A49" i="7" s="1"/>
  <c r="M48" i="6"/>
  <c r="K48" i="6"/>
  <c r="J48" i="6"/>
  <c r="E48" i="6"/>
  <c r="C48" i="6"/>
  <c r="B48" i="6"/>
  <c r="A48" i="6"/>
  <c r="A48" i="7" s="1"/>
  <c r="L47" i="6"/>
  <c r="K47" i="6"/>
  <c r="J47" i="6"/>
  <c r="H47" i="6"/>
  <c r="G47" i="6"/>
  <c r="F47" i="6"/>
  <c r="D47" i="6"/>
  <c r="C47" i="6"/>
  <c r="B47" i="6"/>
  <c r="A47" i="6"/>
  <c r="M47" i="6" s="1"/>
  <c r="M46" i="6"/>
  <c r="L46" i="6"/>
  <c r="K46" i="6"/>
  <c r="H46" i="6"/>
  <c r="G46" i="6"/>
  <c r="E46" i="6"/>
  <c r="D46" i="6"/>
  <c r="C46" i="6"/>
  <c r="A46" i="6"/>
  <c r="A46" i="7" s="1"/>
  <c r="M46" i="7" s="1"/>
  <c r="I45" i="6"/>
  <c r="A45" i="6"/>
  <c r="G44" i="6"/>
  <c r="F44" i="6"/>
  <c r="A44" i="6"/>
  <c r="A44" i="7" s="1"/>
  <c r="M43" i="6"/>
  <c r="L43" i="6"/>
  <c r="K43" i="6"/>
  <c r="J43" i="6"/>
  <c r="H43" i="6"/>
  <c r="G43" i="6"/>
  <c r="F43" i="6"/>
  <c r="E43" i="6"/>
  <c r="D43" i="6"/>
  <c r="C43" i="6"/>
  <c r="B43" i="6"/>
  <c r="A43" i="6"/>
  <c r="A43" i="7" s="1"/>
  <c r="F43" i="7" s="1"/>
  <c r="H42" i="6"/>
  <c r="A42" i="6"/>
  <c r="M41" i="6"/>
  <c r="L41" i="6"/>
  <c r="H41" i="6"/>
  <c r="F41" i="6"/>
  <c r="E41" i="6"/>
  <c r="D41" i="6"/>
  <c r="A41" i="6"/>
  <c r="A41" i="7" s="1"/>
  <c r="M40" i="6"/>
  <c r="K40" i="6"/>
  <c r="J40" i="6"/>
  <c r="E40" i="6"/>
  <c r="C40" i="6"/>
  <c r="B40" i="6"/>
  <c r="A40" i="6"/>
  <c r="A40" i="7" s="1"/>
  <c r="L39" i="6"/>
  <c r="K39" i="6"/>
  <c r="J39" i="6"/>
  <c r="H39" i="6"/>
  <c r="G39" i="6"/>
  <c r="F39" i="6"/>
  <c r="D39" i="6"/>
  <c r="C39" i="6"/>
  <c r="B39" i="6"/>
  <c r="A39" i="6"/>
  <c r="A39" i="7" s="1"/>
  <c r="M38" i="6"/>
  <c r="L38" i="6"/>
  <c r="K38" i="6"/>
  <c r="H38" i="6"/>
  <c r="G38" i="6"/>
  <c r="E38" i="6"/>
  <c r="D38" i="6"/>
  <c r="C38" i="6"/>
  <c r="A38" i="6"/>
  <c r="A38" i="7" s="1"/>
  <c r="M38" i="7" s="1"/>
  <c r="J37" i="6"/>
  <c r="I37" i="6"/>
  <c r="B37" i="6"/>
  <c r="A37" i="6"/>
  <c r="G36" i="6"/>
  <c r="F36" i="6"/>
  <c r="A36" i="6"/>
  <c r="A36" i="7" s="1"/>
  <c r="M35" i="6"/>
  <c r="L35" i="6"/>
  <c r="K35" i="6"/>
  <c r="J35" i="6"/>
  <c r="H35" i="6"/>
  <c r="G35" i="6"/>
  <c r="F35" i="6"/>
  <c r="E35" i="6"/>
  <c r="D35" i="6"/>
  <c r="C35" i="6"/>
  <c r="B35" i="6"/>
  <c r="A35" i="6"/>
  <c r="A35" i="7" s="1"/>
  <c r="E35" i="7" s="1"/>
  <c r="A34" i="6"/>
  <c r="M33" i="6"/>
  <c r="L33" i="6"/>
  <c r="H33" i="6"/>
  <c r="F33" i="6"/>
  <c r="E33" i="6"/>
  <c r="D33" i="6"/>
  <c r="A33" i="6"/>
  <c r="A33" i="7" s="1"/>
  <c r="H33" i="7" s="1"/>
  <c r="M32" i="6"/>
  <c r="K32" i="6"/>
  <c r="J32" i="6"/>
  <c r="E32" i="6"/>
  <c r="C32" i="6"/>
  <c r="B32" i="6"/>
  <c r="A32" i="6"/>
  <c r="A32" i="7" s="1"/>
  <c r="L31" i="6"/>
  <c r="K31" i="6"/>
  <c r="J31" i="6"/>
  <c r="H31" i="6"/>
  <c r="G31" i="6"/>
  <c r="F31" i="6"/>
  <c r="D31" i="6"/>
  <c r="C31" i="6"/>
  <c r="B31" i="6"/>
  <c r="A31" i="6"/>
  <c r="A31" i="7" s="1"/>
  <c r="M30" i="6"/>
  <c r="L30" i="6"/>
  <c r="K30" i="6"/>
  <c r="H30" i="6"/>
  <c r="G30" i="6"/>
  <c r="E30" i="6"/>
  <c r="D30" i="6"/>
  <c r="C30" i="6"/>
  <c r="A30" i="6"/>
  <c r="A30" i="7" s="1"/>
  <c r="F30" i="7" s="1"/>
  <c r="J29" i="6"/>
  <c r="I29" i="6"/>
  <c r="A29" i="6"/>
  <c r="G28" i="6"/>
  <c r="F28" i="6"/>
  <c r="A28" i="6"/>
  <c r="A28" i="7" s="1"/>
  <c r="M27" i="6"/>
  <c r="L27" i="6"/>
  <c r="K27" i="6"/>
  <c r="J27" i="6"/>
  <c r="H27" i="6"/>
  <c r="G27" i="6"/>
  <c r="F27" i="6"/>
  <c r="E27" i="6"/>
  <c r="D27" i="6"/>
  <c r="C27" i="6"/>
  <c r="B27" i="6"/>
  <c r="A27" i="6"/>
  <c r="A27" i="7" s="1"/>
  <c r="E27" i="7" s="1"/>
  <c r="I26" i="6"/>
  <c r="A26" i="6"/>
  <c r="M25" i="6"/>
  <c r="L25" i="6"/>
  <c r="H25" i="6"/>
  <c r="F25" i="6"/>
  <c r="E25" i="6"/>
  <c r="D25" i="6"/>
  <c r="A25" i="6"/>
  <c r="A25" i="7" s="1"/>
  <c r="H25" i="7" s="1"/>
  <c r="M24" i="6"/>
  <c r="K24" i="6"/>
  <c r="J24" i="6"/>
  <c r="E24" i="6"/>
  <c r="C24" i="6"/>
  <c r="B24" i="6"/>
  <c r="A24" i="6"/>
  <c r="A24" i="7" s="1"/>
  <c r="L23" i="6"/>
  <c r="K23" i="6"/>
  <c r="J23" i="6"/>
  <c r="H23" i="6"/>
  <c r="G23" i="6"/>
  <c r="F23" i="6"/>
  <c r="D23" i="6"/>
  <c r="C23" i="6"/>
  <c r="B23" i="6"/>
  <c r="A23" i="6"/>
  <c r="A23" i="7" s="1"/>
  <c r="J23" i="7" s="1"/>
  <c r="M22" i="6"/>
  <c r="L22" i="6"/>
  <c r="K22" i="6"/>
  <c r="H22" i="6"/>
  <c r="G22" i="6"/>
  <c r="E22" i="6"/>
  <c r="D22" i="6"/>
  <c r="C22" i="6"/>
  <c r="A22" i="6"/>
  <c r="A22" i="7" s="1"/>
  <c r="J21" i="6"/>
  <c r="I21" i="6"/>
  <c r="B21" i="6"/>
  <c r="A21" i="6"/>
  <c r="G20" i="6"/>
  <c r="F20" i="6"/>
  <c r="A20" i="6"/>
  <c r="A20" i="7" s="1"/>
  <c r="M19" i="6"/>
  <c r="L19" i="6"/>
  <c r="K19" i="6"/>
  <c r="J19" i="6"/>
  <c r="H19" i="6"/>
  <c r="G19" i="6"/>
  <c r="F19" i="6"/>
  <c r="E19" i="6"/>
  <c r="D19" i="6"/>
  <c r="C19" i="6"/>
  <c r="B19" i="6"/>
  <c r="A19" i="6"/>
  <c r="A19" i="7" s="1"/>
  <c r="D19" i="7" s="1"/>
  <c r="I18" i="6"/>
  <c r="H18" i="6"/>
  <c r="A18" i="6"/>
  <c r="M17" i="6"/>
  <c r="L17" i="6"/>
  <c r="H17" i="6"/>
  <c r="F17" i="6"/>
  <c r="E17" i="6"/>
  <c r="D17" i="6"/>
  <c r="A17" i="6"/>
  <c r="A17" i="7" s="1"/>
  <c r="F17" i="7" s="1"/>
  <c r="E16" i="6"/>
  <c r="A16" i="6"/>
  <c r="A16" i="7" s="1"/>
  <c r="H15" i="6"/>
  <c r="A15" i="6"/>
  <c r="A15" i="7" s="1"/>
  <c r="K14" i="6"/>
  <c r="H14" i="6"/>
  <c r="A14" i="6"/>
  <c r="A14" i="7" s="1"/>
  <c r="E14" i="7" s="1"/>
  <c r="A13" i="6"/>
  <c r="A12" i="6"/>
  <c r="A12" i="7" s="1"/>
  <c r="A11" i="6"/>
  <c r="A11" i="7" s="1"/>
  <c r="A10" i="6"/>
  <c r="I10" i="6" s="1"/>
  <c r="A9" i="6"/>
  <c r="A9" i="7" s="1"/>
  <c r="A8" i="6"/>
  <c r="A8" i="7" s="1"/>
  <c r="A7" i="6"/>
  <c r="A7" i="7" s="1"/>
  <c r="A6" i="6"/>
  <c r="A6" i="7" s="1"/>
  <c r="A5" i="6"/>
  <c r="A4" i="6"/>
  <c r="L4" i="6" s="1"/>
  <c r="A3" i="6"/>
  <c r="A3" i="7" s="1"/>
  <c r="A2" i="6"/>
  <c r="I2" i="6" s="1"/>
  <c r="M1000" i="5"/>
  <c r="L1000" i="5"/>
  <c r="H1000" i="5"/>
  <c r="F1000" i="5"/>
  <c r="E1000" i="5"/>
  <c r="D1000" i="5"/>
  <c r="A1000" i="5"/>
  <c r="K1000" i="5" s="1"/>
  <c r="M999" i="5"/>
  <c r="K999" i="5"/>
  <c r="J999" i="5"/>
  <c r="E999" i="5"/>
  <c r="C999" i="5"/>
  <c r="B999" i="5"/>
  <c r="A999" i="5"/>
  <c r="H999" i="5" s="1"/>
  <c r="L998" i="5"/>
  <c r="K998" i="5"/>
  <c r="J998" i="5"/>
  <c r="H998" i="5"/>
  <c r="G998" i="5"/>
  <c r="F998" i="5"/>
  <c r="D998" i="5"/>
  <c r="C998" i="5"/>
  <c r="B998" i="5"/>
  <c r="A998" i="5"/>
  <c r="M998" i="5" s="1"/>
  <c r="M997" i="5"/>
  <c r="L997" i="5"/>
  <c r="K997" i="5"/>
  <c r="H997" i="5"/>
  <c r="G997" i="5"/>
  <c r="E997" i="5"/>
  <c r="D997" i="5"/>
  <c r="C997" i="5"/>
  <c r="A997" i="5"/>
  <c r="J997" i="5" s="1"/>
  <c r="B996" i="5"/>
  <c r="A996" i="5"/>
  <c r="G995" i="5"/>
  <c r="F995" i="5"/>
  <c r="A995" i="5"/>
  <c r="L995" i="5" s="1"/>
  <c r="M994" i="5"/>
  <c r="L994" i="5"/>
  <c r="K994" i="5"/>
  <c r="J994" i="5"/>
  <c r="H994" i="5"/>
  <c r="G994" i="5"/>
  <c r="F994" i="5"/>
  <c r="E994" i="5"/>
  <c r="D994" i="5"/>
  <c r="C994" i="5"/>
  <c r="B994" i="5"/>
  <c r="A994" i="5"/>
  <c r="I994" i="5" s="1"/>
  <c r="A993" i="5"/>
  <c r="M992" i="5"/>
  <c r="L992" i="5"/>
  <c r="H992" i="5"/>
  <c r="F992" i="5"/>
  <c r="E992" i="5"/>
  <c r="D992" i="5"/>
  <c r="A992" i="5"/>
  <c r="K992" i="5" s="1"/>
  <c r="M991" i="5"/>
  <c r="K991" i="5"/>
  <c r="J991" i="5"/>
  <c r="E991" i="5"/>
  <c r="C991" i="5"/>
  <c r="B991" i="5"/>
  <c r="A991" i="5"/>
  <c r="H991" i="5" s="1"/>
  <c r="L990" i="5"/>
  <c r="K990" i="5"/>
  <c r="J990" i="5"/>
  <c r="H990" i="5"/>
  <c r="G990" i="5"/>
  <c r="F990" i="5"/>
  <c r="D990" i="5"/>
  <c r="C990" i="5"/>
  <c r="B990" i="5"/>
  <c r="A990" i="5"/>
  <c r="M990" i="5" s="1"/>
  <c r="M989" i="5"/>
  <c r="L989" i="5"/>
  <c r="K989" i="5"/>
  <c r="H989" i="5"/>
  <c r="G989" i="5"/>
  <c r="E989" i="5"/>
  <c r="D989" i="5"/>
  <c r="C989" i="5"/>
  <c r="A989" i="5"/>
  <c r="J989" i="5" s="1"/>
  <c r="A988" i="5"/>
  <c r="G987" i="5"/>
  <c r="F987" i="5"/>
  <c r="A987" i="5"/>
  <c r="L987" i="5" s="1"/>
  <c r="M986" i="5"/>
  <c r="L986" i="5"/>
  <c r="K986" i="5"/>
  <c r="J986" i="5"/>
  <c r="H986" i="5"/>
  <c r="G986" i="5"/>
  <c r="F986" i="5"/>
  <c r="E986" i="5"/>
  <c r="D986" i="5"/>
  <c r="C986" i="5"/>
  <c r="B986" i="5"/>
  <c r="A986" i="5"/>
  <c r="I986" i="5" s="1"/>
  <c r="A985" i="5"/>
  <c r="M984" i="5"/>
  <c r="L984" i="5"/>
  <c r="H984" i="5"/>
  <c r="F984" i="5"/>
  <c r="E984" i="5"/>
  <c r="D984" i="5"/>
  <c r="A984" i="5"/>
  <c r="K984" i="5" s="1"/>
  <c r="M983" i="5"/>
  <c r="K983" i="5"/>
  <c r="J983" i="5"/>
  <c r="E983" i="5"/>
  <c r="C983" i="5"/>
  <c r="B983" i="5"/>
  <c r="A983" i="5"/>
  <c r="H983" i="5" s="1"/>
  <c r="L982" i="5"/>
  <c r="K982" i="5"/>
  <c r="J982" i="5"/>
  <c r="H982" i="5"/>
  <c r="G982" i="5"/>
  <c r="F982" i="5"/>
  <c r="D982" i="5"/>
  <c r="C982" i="5"/>
  <c r="B982" i="5"/>
  <c r="A982" i="5"/>
  <c r="M982" i="5" s="1"/>
  <c r="M981" i="5"/>
  <c r="L981" i="5"/>
  <c r="K981" i="5"/>
  <c r="H981" i="5"/>
  <c r="G981" i="5"/>
  <c r="E981" i="5"/>
  <c r="D981" i="5"/>
  <c r="C981" i="5"/>
  <c r="A981" i="5"/>
  <c r="J981" i="5" s="1"/>
  <c r="J980" i="5"/>
  <c r="I980" i="5"/>
  <c r="A980" i="5"/>
  <c r="G979" i="5"/>
  <c r="F979" i="5"/>
  <c r="A979" i="5"/>
  <c r="L979" i="5" s="1"/>
  <c r="M978" i="5"/>
  <c r="L978" i="5"/>
  <c r="K978" i="5"/>
  <c r="J978" i="5"/>
  <c r="H978" i="5"/>
  <c r="G978" i="5"/>
  <c r="F978" i="5"/>
  <c r="E978" i="5"/>
  <c r="D978" i="5"/>
  <c r="C978" i="5"/>
  <c r="B978" i="5"/>
  <c r="A978" i="5"/>
  <c r="I978" i="5" s="1"/>
  <c r="H977" i="5"/>
  <c r="A977" i="5"/>
  <c r="M976" i="5"/>
  <c r="L976" i="5"/>
  <c r="H976" i="5"/>
  <c r="F976" i="5"/>
  <c r="E976" i="5"/>
  <c r="D976" i="5"/>
  <c r="A976" i="5"/>
  <c r="K976" i="5" s="1"/>
  <c r="M975" i="5"/>
  <c r="K975" i="5"/>
  <c r="J975" i="5"/>
  <c r="E975" i="5"/>
  <c r="C975" i="5"/>
  <c r="B975" i="5"/>
  <c r="A975" i="5"/>
  <c r="H975" i="5" s="1"/>
  <c r="L974" i="5"/>
  <c r="K974" i="5"/>
  <c r="J974" i="5"/>
  <c r="H974" i="5"/>
  <c r="G974" i="5"/>
  <c r="F974" i="5"/>
  <c r="D974" i="5"/>
  <c r="C974" i="5"/>
  <c r="B974" i="5"/>
  <c r="A974" i="5"/>
  <c r="M974" i="5" s="1"/>
  <c r="M973" i="5"/>
  <c r="L973" i="5"/>
  <c r="K973" i="5"/>
  <c r="H973" i="5"/>
  <c r="G973" i="5"/>
  <c r="E973" i="5"/>
  <c r="D973" i="5"/>
  <c r="C973" i="5"/>
  <c r="A973" i="5"/>
  <c r="J973" i="5" s="1"/>
  <c r="J972" i="5"/>
  <c r="I972" i="5"/>
  <c r="B972" i="5"/>
  <c r="A972" i="5"/>
  <c r="G971" i="5"/>
  <c r="F971" i="5"/>
  <c r="A971" i="5"/>
  <c r="L971" i="5" s="1"/>
  <c r="M970" i="5"/>
  <c r="L970" i="5"/>
  <c r="K970" i="5"/>
  <c r="J970" i="5"/>
  <c r="H970" i="5"/>
  <c r="G970" i="5"/>
  <c r="F970" i="5"/>
  <c r="E970" i="5"/>
  <c r="D970" i="5"/>
  <c r="C970" i="5"/>
  <c r="B970" i="5"/>
  <c r="A970" i="5"/>
  <c r="I970" i="5" s="1"/>
  <c r="A969" i="5"/>
  <c r="M968" i="5"/>
  <c r="L968" i="5"/>
  <c r="H968" i="5"/>
  <c r="F968" i="5"/>
  <c r="E968" i="5"/>
  <c r="D968" i="5"/>
  <c r="A968" i="5"/>
  <c r="K968" i="5" s="1"/>
  <c r="M967" i="5"/>
  <c r="K967" i="5"/>
  <c r="J967" i="5"/>
  <c r="E967" i="5"/>
  <c r="C967" i="5"/>
  <c r="B967" i="5"/>
  <c r="A967" i="5"/>
  <c r="H967" i="5" s="1"/>
  <c r="L966" i="5"/>
  <c r="K966" i="5"/>
  <c r="J966" i="5"/>
  <c r="H966" i="5"/>
  <c r="G966" i="5"/>
  <c r="F966" i="5"/>
  <c r="D966" i="5"/>
  <c r="C966" i="5"/>
  <c r="B966" i="5"/>
  <c r="A966" i="5"/>
  <c r="M966" i="5" s="1"/>
  <c r="M965" i="5"/>
  <c r="L965" i="5"/>
  <c r="K965" i="5"/>
  <c r="H965" i="5"/>
  <c r="G965" i="5"/>
  <c r="E965" i="5"/>
  <c r="D965" i="5"/>
  <c r="C965" i="5"/>
  <c r="A965" i="5"/>
  <c r="J965" i="5" s="1"/>
  <c r="J964" i="5"/>
  <c r="I964" i="5"/>
  <c r="A964" i="5"/>
  <c r="G963" i="5"/>
  <c r="F963" i="5"/>
  <c r="A963" i="5"/>
  <c r="L963" i="5" s="1"/>
  <c r="M962" i="5"/>
  <c r="L962" i="5"/>
  <c r="K962" i="5"/>
  <c r="J962" i="5"/>
  <c r="H962" i="5"/>
  <c r="G962" i="5"/>
  <c r="F962" i="5"/>
  <c r="E962" i="5"/>
  <c r="D962" i="5"/>
  <c r="C962" i="5"/>
  <c r="B962" i="5"/>
  <c r="A962" i="5"/>
  <c r="I962" i="5" s="1"/>
  <c r="I961" i="5"/>
  <c r="A961" i="5"/>
  <c r="M960" i="5"/>
  <c r="L960" i="5"/>
  <c r="H960" i="5"/>
  <c r="F960" i="5"/>
  <c r="E960" i="5"/>
  <c r="D960" i="5"/>
  <c r="A960" i="5"/>
  <c r="K960" i="5" s="1"/>
  <c r="M959" i="5"/>
  <c r="K959" i="5"/>
  <c r="J959" i="5"/>
  <c r="E959" i="5"/>
  <c r="C959" i="5"/>
  <c r="B959" i="5"/>
  <c r="A959" i="5"/>
  <c r="H959" i="5" s="1"/>
  <c r="L958" i="5"/>
  <c r="K958" i="5"/>
  <c r="J958" i="5"/>
  <c r="H958" i="5"/>
  <c r="G958" i="5"/>
  <c r="F958" i="5"/>
  <c r="D958" i="5"/>
  <c r="C958" i="5"/>
  <c r="B958" i="5"/>
  <c r="A958" i="5"/>
  <c r="M958" i="5" s="1"/>
  <c r="M957" i="5"/>
  <c r="L957" i="5"/>
  <c r="K957" i="5"/>
  <c r="H957" i="5"/>
  <c r="G957" i="5"/>
  <c r="E957" i="5"/>
  <c r="D957" i="5"/>
  <c r="C957" i="5"/>
  <c r="A957" i="5"/>
  <c r="J957" i="5" s="1"/>
  <c r="J956" i="5"/>
  <c r="I956" i="5"/>
  <c r="B956" i="5"/>
  <c r="A956" i="5"/>
  <c r="G955" i="5"/>
  <c r="F955" i="5"/>
  <c r="A955" i="5"/>
  <c r="L955" i="5" s="1"/>
  <c r="M954" i="5"/>
  <c r="L954" i="5"/>
  <c r="K954" i="5"/>
  <c r="J954" i="5"/>
  <c r="H954" i="5"/>
  <c r="G954" i="5"/>
  <c r="F954" i="5"/>
  <c r="E954" i="5"/>
  <c r="D954" i="5"/>
  <c r="C954" i="5"/>
  <c r="B954" i="5"/>
  <c r="A954" i="5"/>
  <c r="I954" i="5" s="1"/>
  <c r="I953" i="5"/>
  <c r="H953" i="5"/>
  <c r="A953" i="5"/>
  <c r="M952" i="5"/>
  <c r="L952" i="5"/>
  <c r="H952" i="5"/>
  <c r="F952" i="5"/>
  <c r="E952" i="5"/>
  <c r="D952" i="5"/>
  <c r="A952" i="5"/>
  <c r="K952" i="5" s="1"/>
  <c r="M951" i="5"/>
  <c r="K951" i="5"/>
  <c r="J951" i="5"/>
  <c r="E951" i="5"/>
  <c r="C951" i="5"/>
  <c r="B951" i="5"/>
  <c r="A951" i="5"/>
  <c r="H951" i="5" s="1"/>
  <c r="L950" i="5"/>
  <c r="K950" i="5"/>
  <c r="J950" i="5"/>
  <c r="H950" i="5"/>
  <c r="G950" i="5"/>
  <c r="F950" i="5"/>
  <c r="D950" i="5"/>
  <c r="C950" i="5"/>
  <c r="B950" i="5"/>
  <c r="A950" i="5"/>
  <c r="M950" i="5" s="1"/>
  <c r="M949" i="5"/>
  <c r="L949" i="5"/>
  <c r="K949" i="5"/>
  <c r="H949" i="5"/>
  <c r="G949" i="5"/>
  <c r="E949" i="5"/>
  <c r="D949" i="5"/>
  <c r="C949" i="5"/>
  <c r="A949" i="5"/>
  <c r="J949" i="5" s="1"/>
  <c r="J948" i="5"/>
  <c r="A948" i="5"/>
  <c r="G947" i="5"/>
  <c r="F947" i="5"/>
  <c r="A947" i="5"/>
  <c r="L947" i="5" s="1"/>
  <c r="M946" i="5"/>
  <c r="L946" i="5"/>
  <c r="K946" i="5"/>
  <c r="J946" i="5"/>
  <c r="H946" i="5"/>
  <c r="G946" i="5"/>
  <c r="F946" i="5"/>
  <c r="E946" i="5"/>
  <c r="D946" i="5"/>
  <c r="C946" i="5"/>
  <c r="B946" i="5"/>
  <c r="A946" i="5"/>
  <c r="I946" i="5" s="1"/>
  <c r="I945" i="5"/>
  <c r="A945" i="5"/>
  <c r="M944" i="5"/>
  <c r="L944" i="5"/>
  <c r="H944" i="5"/>
  <c r="F944" i="5"/>
  <c r="E944" i="5"/>
  <c r="D944" i="5"/>
  <c r="A944" i="5"/>
  <c r="K944" i="5" s="1"/>
  <c r="M943" i="5"/>
  <c r="K943" i="5"/>
  <c r="J943" i="5"/>
  <c r="E943" i="5"/>
  <c r="C943" i="5"/>
  <c r="B943" i="5"/>
  <c r="A943" i="5"/>
  <c r="H943" i="5" s="1"/>
  <c r="L942" i="5"/>
  <c r="K942" i="5"/>
  <c r="J942" i="5"/>
  <c r="H942" i="5"/>
  <c r="G942" i="5"/>
  <c r="F942" i="5"/>
  <c r="D942" i="5"/>
  <c r="C942" i="5"/>
  <c r="B942" i="5"/>
  <c r="A942" i="5"/>
  <c r="M942" i="5" s="1"/>
  <c r="M941" i="5"/>
  <c r="L941" i="5"/>
  <c r="K941" i="5"/>
  <c r="H941" i="5"/>
  <c r="G941" i="5"/>
  <c r="E941" i="5"/>
  <c r="D941" i="5"/>
  <c r="C941" i="5"/>
  <c r="A941" i="5"/>
  <c r="J941" i="5" s="1"/>
  <c r="I940" i="5"/>
  <c r="A940" i="5"/>
  <c r="G939" i="5"/>
  <c r="F939" i="5"/>
  <c r="A939" i="5"/>
  <c r="L939" i="5" s="1"/>
  <c r="M938" i="5"/>
  <c r="L938" i="5"/>
  <c r="K938" i="5"/>
  <c r="J938" i="5"/>
  <c r="H938" i="5"/>
  <c r="G938" i="5"/>
  <c r="F938" i="5"/>
  <c r="E938" i="5"/>
  <c r="D938" i="5"/>
  <c r="C938" i="5"/>
  <c r="B938" i="5"/>
  <c r="A938" i="5"/>
  <c r="I938" i="5" s="1"/>
  <c r="I937" i="5"/>
  <c r="H937" i="5"/>
  <c r="A937" i="5"/>
  <c r="M936" i="5"/>
  <c r="L936" i="5"/>
  <c r="H936" i="5"/>
  <c r="F936" i="5"/>
  <c r="E936" i="5"/>
  <c r="D936" i="5"/>
  <c r="A936" i="5"/>
  <c r="K936" i="5" s="1"/>
  <c r="M935" i="5"/>
  <c r="K935" i="5"/>
  <c r="J935" i="5"/>
  <c r="E935" i="5"/>
  <c r="C935" i="5"/>
  <c r="B935" i="5"/>
  <c r="A935" i="5"/>
  <c r="H935" i="5" s="1"/>
  <c r="L934" i="5"/>
  <c r="K934" i="5"/>
  <c r="J934" i="5"/>
  <c r="H934" i="5"/>
  <c r="G934" i="5"/>
  <c r="F934" i="5"/>
  <c r="D934" i="5"/>
  <c r="C934" i="5"/>
  <c r="B934" i="5"/>
  <c r="A934" i="5"/>
  <c r="M934" i="5" s="1"/>
  <c r="M933" i="5"/>
  <c r="L933" i="5"/>
  <c r="K933" i="5"/>
  <c r="H933" i="5"/>
  <c r="G933" i="5"/>
  <c r="E933" i="5"/>
  <c r="D933" i="5"/>
  <c r="C933" i="5"/>
  <c r="A933" i="5"/>
  <c r="J933" i="5" s="1"/>
  <c r="B932" i="5"/>
  <c r="A932" i="5"/>
  <c r="G931" i="5"/>
  <c r="F931" i="5"/>
  <c r="A931" i="5"/>
  <c r="L931" i="5" s="1"/>
  <c r="M930" i="5"/>
  <c r="L930" i="5"/>
  <c r="K930" i="5"/>
  <c r="J930" i="5"/>
  <c r="H930" i="5"/>
  <c r="G930" i="5"/>
  <c r="F930" i="5"/>
  <c r="E930" i="5"/>
  <c r="D930" i="5"/>
  <c r="C930" i="5"/>
  <c r="B930" i="5"/>
  <c r="A930" i="5"/>
  <c r="I930" i="5" s="1"/>
  <c r="A929" i="5"/>
  <c r="M928" i="5"/>
  <c r="L928" i="5"/>
  <c r="H928" i="5"/>
  <c r="F928" i="5"/>
  <c r="E928" i="5"/>
  <c r="D928" i="5"/>
  <c r="A928" i="5"/>
  <c r="K928" i="5" s="1"/>
  <c r="M927" i="5"/>
  <c r="K927" i="5"/>
  <c r="J927" i="5"/>
  <c r="E927" i="5"/>
  <c r="C927" i="5"/>
  <c r="B927" i="5"/>
  <c r="A927" i="5"/>
  <c r="H927" i="5" s="1"/>
  <c r="L926" i="5"/>
  <c r="K926" i="5"/>
  <c r="J926" i="5"/>
  <c r="H926" i="5"/>
  <c r="G926" i="5"/>
  <c r="F926" i="5"/>
  <c r="D926" i="5"/>
  <c r="C926" i="5"/>
  <c r="B926" i="5"/>
  <c r="A926" i="5"/>
  <c r="M926" i="5" s="1"/>
  <c r="M925" i="5"/>
  <c r="L925" i="5"/>
  <c r="K925" i="5"/>
  <c r="H925" i="5"/>
  <c r="G925" i="5"/>
  <c r="E925" i="5"/>
  <c r="D925" i="5"/>
  <c r="C925" i="5"/>
  <c r="A925" i="5"/>
  <c r="J925" i="5" s="1"/>
  <c r="A924" i="5"/>
  <c r="G923" i="5"/>
  <c r="F923" i="5"/>
  <c r="A923" i="5"/>
  <c r="L923" i="5" s="1"/>
  <c r="M922" i="5"/>
  <c r="L922" i="5"/>
  <c r="K922" i="5"/>
  <c r="J922" i="5"/>
  <c r="H922" i="5"/>
  <c r="G922" i="5"/>
  <c r="F922" i="5"/>
  <c r="E922" i="5"/>
  <c r="D922" i="5"/>
  <c r="C922" i="5"/>
  <c r="B922" i="5"/>
  <c r="A922" i="5"/>
  <c r="I922" i="5" s="1"/>
  <c r="A921" i="5"/>
  <c r="M920" i="5"/>
  <c r="L920" i="5"/>
  <c r="H920" i="5"/>
  <c r="F920" i="5"/>
  <c r="E920" i="5"/>
  <c r="D920" i="5"/>
  <c r="A920" i="5"/>
  <c r="K920" i="5" s="1"/>
  <c r="M919" i="5"/>
  <c r="K919" i="5"/>
  <c r="J919" i="5"/>
  <c r="E919" i="5"/>
  <c r="C919" i="5"/>
  <c r="B919" i="5"/>
  <c r="A919" i="5"/>
  <c r="H919" i="5" s="1"/>
  <c r="L918" i="5"/>
  <c r="K918" i="5"/>
  <c r="J918" i="5"/>
  <c r="H918" i="5"/>
  <c r="G918" i="5"/>
  <c r="F918" i="5"/>
  <c r="D918" i="5"/>
  <c r="C918" i="5"/>
  <c r="B918" i="5"/>
  <c r="A918" i="5"/>
  <c r="M918" i="5" s="1"/>
  <c r="M917" i="5"/>
  <c r="L917" i="5"/>
  <c r="K917" i="5"/>
  <c r="H917" i="5"/>
  <c r="G917" i="5"/>
  <c r="E917" i="5"/>
  <c r="D917" i="5"/>
  <c r="C917" i="5"/>
  <c r="A917" i="5"/>
  <c r="J917" i="5" s="1"/>
  <c r="J916" i="5"/>
  <c r="I916" i="5"/>
  <c r="A916" i="5"/>
  <c r="G915" i="5"/>
  <c r="F915" i="5"/>
  <c r="A915" i="5"/>
  <c r="L915" i="5" s="1"/>
  <c r="M914" i="5"/>
  <c r="L914" i="5"/>
  <c r="K914" i="5"/>
  <c r="J914" i="5"/>
  <c r="H914" i="5"/>
  <c r="G914" i="5"/>
  <c r="F914" i="5"/>
  <c r="E914" i="5"/>
  <c r="D914" i="5"/>
  <c r="C914" i="5"/>
  <c r="B914" i="5"/>
  <c r="A914" i="5"/>
  <c r="I914" i="5" s="1"/>
  <c r="H913" i="5"/>
  <c r="A913" i="5"/>
  <c r="M912" i="5"/>
  <c r="L912" i="5"/>
  <c r="H912" i="5"/>
  <c r="F912" i="5"/>
  <c r="E912" i="5"/>
  <c r="D912" i="5"/>
  <c r="A912" i="5"/>
  <c r="K912" i="5" s="1"/>
  <c r="M911" i="5"/>
  <c r="K911" i="5"/>
  <c r="J911" i="5"/>
  <c r="E911" i="5"/>
  <c r="C911" i="5"/>
  <c r="B911" i="5"/>
  <c r="A911" i="5"/>
  <c r="H911" i="5" s="1"/>
  <c r="L910" i="5"/>
  <c r="K910" i="5"/>
  <c r="J910" i="5"/>
  <c r="H910" i="5"/>
  <c r="G910" i="5"/>
  <c r="F910" i="5"/>
  <c r="D910" i="5"/>
  <c r="C910" i="5"/>
  <c r="B910" i="5"/>
  <c r="A910" i="5"/>
  <c r="M910" i="5" s="1"/>
  <c r="M909" i="5"/>
  <c r="L909" i="5"/>
  <c r="K909" i="5"/>
  <c r="H909" i="5"/>
  <c r="G909" i="5"/>
  <c r="E909" i="5"/>
  <c r="D909" i="5"/>
  <c r="C909" i="5"/>
  <c r="A909" i="5"/>
  <c r="J909" i="5" s="1"/>
  <c r="J908" i="5"/>
  <c r="I908" i="5"/>
  <c r="B908" i="5"/>
  <c r="A908" i="5"/>
  <c r="G907" i="5"/>
  <c r="F907" i="5"/>
  <c r="A907" i="5"/>
  <c r="L907" i="5" s="1"/>
  <c r="M906" i="5"/>
  <c r="L906" i="5"/>
  <c r="K906" i="5"/>
  <c r="J906" i="5"/>
  <c r="H906" i="5"/>
  <c r="G906" i="5"/>
  <c r="F906" i="5"/>
  <c r="E906" i="5"/>
  <c r="D906" i="5"/>
  <c r="C906" i="5"/>
  <c r="B906" i="5"/>
  <c r="A906" i="5"/>
  <c r="I906" i="5" s="1"/>
  <c r="A905" i="5"/>
  <c r="M904" i="5"/>
  <c r="L904" i="5"/>
  <c r="H904" i="5"/>
  <c r="F904" i="5"/>
  <c r="E904" i="5"/>
  <c r="D904" i="5"/>
  <c r="A904" i="5"/>
  <c r="K904" i="5" s="1"/>
  <c r="M903" i="5"/>
  <c r="K903" i="5"/>
  <c r="J903" i="5"/>
  <c r="E903" i="5"/>
  <c r="C903" i="5"/>
  <c r="B903" i="5"/>
  <c r="A903" i="5"/>
  <c r="H903" i="5" s="1"/>
  <c r="L902" i="5"/>
  <c r="K902" i="5"/>
  <c r="J902" i="5"/>
  <c r="H902" i="5"/>
  <c r="G902" i="5"/>
  <c r="F902" i="5"/>
  <c r="D902" i="5"/>
  <c r="C902" i="5"/>
  <c r="B902" i="5"/>
  <c r="A902" i="5"/>
  <c r="M902" i="5" s="1"/>
  <c r="M901" i="5"/>
  <c r="L901" i="5"/>
  <c r="K901" i="5"/>
  <c r="H901" i="5"/>
  <c r="G901" i="5"/>
  <c r="E901" i="5"/>
  <c r="D901" i="5"/>
  <c r="C901" i="5"/>
  <c r="A901" i="5"/>
  <c r="J901" i="5" s="1"/>
  <c r="J900" i="5"/>
  <c r="I900" i="5"/>
  <c r="A900" i="5"/>
  <c r="G899" i="5"/>
  <c r="F899" i="5"/>
  <c r="A899" i="5"/>
  <c r="L899" i="5" s="1"/>
  <c r="M898" i="5"/>
  <c r="L898" i="5"/>
  <c r="K898" i="5"/>
  <c r="J898" i="5"/>
  <c r="H898" i="5"/>
  <c r="G898" i="5"/>
  <c r="F898" i="5"/>
  <c r="E898" i="5"/>
  <c r="D898" i="5"/>
  <c r="C898" i="5"/>
  <c r="B898" i="5"/>
  <c r="A898" i="5"/>
  <c r="I898" i="5" s="1"/>
  <c r="I897" i="5"/>
  <c r="A897" i="5"/>
  <c r="M896" i="5"/>
  <c r="L896" i="5"/>
  <c r="H896" i="5"/>
  <c r="F896" i="5"/>
  <c r="E896" i="5"/>
  <c r="D896" i="5"/>
  <c r="A896" i="5"/>
  <c r="K896" i="5" s="1"/>
  <c r="M895" i="5"/>
  <c r="K895" i="5"/>
  <c r="J895" i="5"/>
  <c r="E895" i="5"/>
  <c r="C895" i="5"/>
  <c r="B895" i="5"/>
  <c r="A895" i="5"/>
  <c r="H895" i="5" s="1"/>
  <c r="L894" i="5"/>
  <c r="K894" i="5"/>
  <c r="J894" i="5"/>
  <c r="H894" i="5"/>
  <c r="G894" i="5"/>
  <c r="F894" i="5"/>
  <c r="D894" i="5"/>
  <c r="C894" i="5"/>
  <c r="B894" i="5"/>
  <c r="A894" i="5"/>
  <c r="M894" i="5" s="1"/>
  <c r="M893" i="5"/>
  <c r="L893" i="5"/>
  <c r="K893" i="5"/>
  <c r="H893" i="5"/>
  <c r="G893" i="5"/>
  <c r="E893" i="5"/>
  <c r="D893" i="5"/>
  <c r="C893" i="5"/>
  <c r="A893" i="5"/>
  <c r="J893" i="5" s="1"/>
  <c r="J892" i="5"/>
  <c r="I892" i="5"/>
  <c r="B892" i="5"/>
  <c r="A892" i="5"/>
  <c r="G891" i="5"/>
  <c r="F891" i="5"/>
  <c r="A891" i="5"/>
  <c r="L891" i="5" s="1"/>
  <c r="M890" i="5"/>
  <c r="L890" i="5"/>
  <c r="K890" i="5"/>
  <c r="J890" i="5"/>
  <c r="H890" i="5"/>
  <c r="G890" i="5"/>
  <c r="F890" i="5"/>
  <c r="E890" i="5"/>
  <c r="D890" i="5"/>
  <c r="C890" i="5"/>
  <c r="B890" i="5"/>
  <c r="A890" i="5"/>
  <c r="I890" i="5" s="1"/>
  <c r="I889" i="5"/>
  <c r="H889" i="5"/>
  <c r="A889" i="5"/>
  <c r="M888" i="5"/>
  <c r="L888" i="5"/>
  <c r="H888" i="5"/>
  <c r="F888" i="5"/>
  <c r="E888" i="5"/>
  <c r="D888" i="5"/>
  <c r="A888" i="5"/>
  <c r="K888" i="5" s="1"/>
  <c r="M887" i="5"/>
  <c r="K887" i="5"/>
  <c r="J887" i="5"/>
  <c r="E887" i="5"/>
  <c r="C887" i="5"/>
  <c r="B887" i="5"/>
  <c r="A887" i="5"/>
  <c r="H887" i="5" s="1"/>
  <c r="L886" i="5"/>
  <c r="K886" i="5"/>
  <c r="J886" i="5"/>
  <c r="H886" i="5"/>
  <c r="G886" i="5"/>
  <c r="F886" i="5"/>
  <c r="D886" i="5"/>
  <c r="C886" i="5"/>
  <c r="B886" i="5"/>
  <c r="A886" i="5"/>
  <c r="M886" i="5" s="1"/>
  <c r="M885" i="5"/>
  <c r="L885" i="5"/>
  <c r="K885" i="5"/>
  <c r="H885" i="5"/>
  <c r="G885" i="5"/>
  <c r="E885" i="5"/>
  <c r="D885" i="5"/>
  <c r="C885" i="5"/>
  <c r="A885" i="5"/>
  <c r="J885" i="5" s="1"/>
  <c r="J884" i="5"/>
  <c r="B884" i="5"/>
  <c r="A884" i="5"/>
  <c r="G883" i="5"/>
  <c r="F883" i="5"/>
  <c r="A883" i="5"/>
  <c r="L883" i="5" s="1"/>
  <c r="M882" i="5"/>
  <c r="L882" i="5"/>
  <c r="K882" i="5"/>
  <c r="J882" i="5"/>
  <c r="H882" i="5"/>
  <c r="G882" i="5"/>
  <c r="F882" i="5"/>
  <c r="E882" i="5"/>
  <c r="D882" i="5"/>
  <c r="C882" i="5"/>
  <c r="B882" i="5"/>
  <c r="A882" i="5"/>
  <c r="I882" i="5" s="1"/>
  <c r="I881" i="5"/>
  <c r="A881" i="5"/>
  <c r="M880" i="5"/>
  <c r="L880" i="5"/>
  <c r="H880" i="5"/>
  <c r="F880" i="5"/>
  <c r="E880" i="5"/>
  <c r="D880" i="5"/>
  <c r="A880" i="5"/>
  <c r="K880" i="5" s="1"/>
  <c r="M879" i="5"/>
  <c r="K879" i="5"/>
  <c r="J879" i="5"/>
  <c r="E879" i="5"/>
  <c r="C879" i="5"/>
  <c r="B879" i="5"/>
  <c r="A879" i="5"/>
  <c r="H879" i="5" s="1"/>
  <c r="L878" i="5"/>
  <c r="K878" i="5"/>
  <c r="J878" i="5"/>
  <c r="H878" i="5"/>
  <c r="G878" i="5"/>
  <c r="F878" i="5"/>
  <c r="D878" i="5"/>
  <c r="C878" i="5"/>
  <c r="B878" i="5"/>
  <c r="A878" i="5"/>
  <c r="M878" i="5" s="1"/>
  <c r="M877" i="5"/>
  <c r="L877" i="5"/>
  <c r="K877" i="5"/>
  <c r="H877" i="5"/>
  <c r="G877" i="5"/>
  <c r="E877" i="5"/>
  <c r="D877" i="5"/>
  <c r="C877" i="5"/>
  <c r="A877" i="5"/>
  <c r="J877" i="5" s="1"/>
  <c r="A876" i="5"/>
  <c r="G875" i="5"/>
  <c r="F875" i="5"/>
  <c r="A875" i="5"/>
  <c r="L875" i="5" s="1"/>
  <c r="M874" i="5"/>
  <c r="L874" i="5"/>
  <c r="K874" i="5"/>
  <c r="J874" i="5"/>
  <c r="H874" i="5"/>
  <c r="G874" i="5"/>
  <c r="F874" i="5"/>
  <c r="E874" i="5"/>
  <c r="D874" i="5"/>
  <c r="C874" i="5"/>
  <c r="B874" i="5"/>
  <c r="A874" i="5"/>
  <c r="I874" i="5" s="1"/>
  <c r="I873" i="5"/>
  <c r="H873" i="5"/>
  <c r="A873" i="5"/>
  <c r="M872" i="5"/>
  <c r="L872" i="5"/>
  <c r="H872" i="5"/>
  <c r="F872" i="5"/>
  <c r="E872" i="5"/>
  <c r="D872" i="5"/>
  <c r="A872" i="5"/>
  <c r="K872" i="5" s="1"/>
  <c r="M871" i="5"/>
  <c r="K871" i="5"/>
  <c r="J871" i="5"/>
  <c r="E871" i="5"/>
  <c r="C871" i="5"/>
  <c r="B871" i="5"/>
  <c r="A871" i="5"/>
  <c r="H871" i="5" s="1"/>
  <c r="L870" i="5"/>
  <c r="K870" i="5"/>
  <c r="J870" i="5"/>
  <c r="H870" i="5"/>
  <c r="G870" i="5"/>
  <c r="F870" i="5"/>
  <c r="D870" i="5"/>
  <c r="C870" i="5"/>
  <c r="B870" i="5"/>
  <c r="A870" i="5"/>
  <c r="M870" i="5" s="1"/>
  <c r="M869" i="5"/>
  <c r="L869" i="5"/>
  <c r="K869" i="5"/>
  <c r="H869" i="5"/>
  <c r="G869" i="5"/>
  <c r="E869" i="5"/>
  <c r="D869" i="5"/>
  <c r="C869" i="5"/>
  <c r="A869" i="5"/>
  <c r="J869" i="5" s="1"/>
  <c r="B868" i="5"/>
  <c r="A868" i="5"/>
  <c r="G867" i="5"/>
  <c r="F867" i="5"/>
  <c r="A867" i="5"/>
  <c r="L867" i="5" s="1"/>
  <c r="M866" i="5"/>
  <c r="L866" i="5"/>
  <c r="K866" i="5"/>
  <c r="J866" i="5"/>
  <c r="H866" i="5"/>
  <c r="G866" i="5"/>
  <c r="F866" i="5"/>
  <c r="E866" i="5"/>
  <c r="D866" i="5"/>
  <c r="C866" i="5"/>
  <c r="B866" i="5"/>
  <c r="A866" i="5"/>
  <c r="I866" i="5" s="1"/>
  <c r="A865" i="5"/>
  <c r="M864" i="5"/>
  <c r="L864" i="5"/>
  <c r="H864" i="5"/>
  <c r="F864" i="5"/>
  <c r="E864" i="5"/>
  <c r="D864" i="5"/>
  <c r="A864" i="5"/>
  <c r="K864" i="5" s="1"/>
  <c r="M863" i="5"/>
  <c r="K863" i="5"/>
  <c r="J863" i="5"/>
  <c r="E863" i="5"/>
  <c r="C863" i="5"/>
  <c r="B863" i="5"/>
  <c r="A863" i="5"/>
  <c r="H863" i="5" s="1"/>
  <c r="L862" i="5"/>
  <c r="K862" i="5"/>
  <c r="J862" i="5"/>
  <c r="H862" i="5"/>
  <c r="G862" i="5"/>
  <c r="F862" i="5"/>
  <c r="D862" i="5"/>
  <c r="C862" i="5"/>
  <c r="B862" i="5"/>
  <c r="A862" i="5"/>
  <c r="M862" i="5" s="1"/>
  <c r="M861" i="5"/>
  <c r="L861" i="5"/>
  <c r="K861" i="5"/>
  <c r="H861" i="5"/>
  <c r="G861" i="5"/>
  <c r="E861" i="5"/>
  <c r="D861" i="5"/>
  <c r="C861" i="5"/>
  <c r="A861" i="5"/>
  <c r="J861" i="5" s="1"/>
  <c r="A860" i="5"/>
  <c r="G859" i="5"/>
  <c r="F859" i="5"/>
  <c r="A859" i="5"/>
  <c r="L859" i="5" s="1"/>
  <c r="M858" i="5"/>
  <c r="L858" i="5"/>
  <c r="K858" i="5"/>
  <c r="J858" i="5"/>
  <c r="H858" i="5"/>
  <c r="G858" i="5"/>
  <c r="F858" i="5"/>
  <c r="E858" i="5"/>
  <c r="D858" i="5"/>
  <c r="C858" i="5"/>
  <c r="B858" i="5"/>
  <c r="A858" i="5"/>
  <c r="I858" i="5" s="1"/>
  <c r="I857" i="5"/>
  <c r="A857" i="5"/>
  <c r="M856" i="5"/>
  <c r="L856" i="5"/>
  <c r="H856" i="5"/>
  <c r="F856" i="5"/>
  <c r="E856" i="5"/>
  <c r="D856" i="5"/>
  <c r="A856" i="5"/>
  <c r="K856" i="5" s="1"/>
  <c r="M855" i="5"/>
  <c r="K855" i="5"/>
  <c r="J855" i="5"/>
  <c r="E855" i="5"/>
  <c r="C855" i="5"/>
  <c r="B855" i="5"/>
  <c r="A855" i="5"/>
  <c r="H855" i="5" s="1"/>
  <c r="L854" i="5"/>
  <c r="K854" i="5"/>
  <c r="J854" i="5"/>
  <c r="H854" i="5"/>
  <c r="G854" i="5"/>
  <c r="F854" i="5"/>
  <c r="D854" i="5"/>
  <c r="C854" i="5"/>
  <c r="B854" i="5"/>
  <c r="A854" i="5"/>
  <c r="M854" i="5" s="1"/>
  <c r="M853" i="5"/>
  <c r="L853" i="5"/>
  <c r="K853" i="5"/>
  <c r="H853" i="5"/>
  <c r="G853" i="5"/>
  <c r="E853" i="5"/>
  <c r="D853" i="5"/>
  <c r="C853" i="5"/>
  <c r="A853" i="5"/>
  <c r="J853" i="5" s="1"/>
  <c r="J852" i="5"/>
  <c r="I852" i="5"/>
  <c r="A852" i="5"/>
  <c r="G851" i="5"/>
  <c r="F851" i="5"/>
  <c r="A851" i="5"/>
  <c r="L851" i="5" s="1"/>
  <c r="M850" i="5"/>
  <c r="L850" i="5"/>
  <c r="K850" i="5"/>
  <c r="J850" i="5"/>
  <c r="H850" i="5"/>
  <c r="G850" i="5"/>
  <c r="F850" i="5"/>
  <c r="E850" i="5"/>
  <c r="D850" i="5"/>
  <c r="C850" i="5"/>
  <c r="B850" i="5"/>
  <c r="A850" i="5"/>
  <c r="I850" i="5" s="1"/>
  <c r="H849" i="5"/>
  <c r="A849" i="5"/>
  <c r="M848" i="5"/>
  <c r="L848" i="5"/>
  <c r="H848" i="5"/>
  <c r="F848" i="5"/>
  <c r="E848" i="5"/>
  <c r="D848" i="5"/>
  <c r="A848" i="5"/>
  <c r="K848" i="5" s="1"/>
  <c r="M847" i="5"/>
  <c r="K847" i="5"/>
  <c r="J847" i="5"/>
  <c r="E847" i="5"/>
  <c r="C847" i="5"/>
  <c r="B847" i="5"/>
  <c r="A847" i="5"/>
  <c r="H847" i="5" s="1"/>
  <c r="L846" i="5"/>
  <c r="K846" i="5"/>
  <c r="J846" i="5"/>
  <c r="H846" i="5"/>
  <c r="G846" i="5"/>
  <c r="F846" i="5"/>
  <c r="D846" i="5"/>
  <c r="C846" i="5"/>
  <c r="B846" i="5"/>
  <c r="A846" i="5"/>
  <c r="M846" i="5" s="1"/>
  <c r="M845" i="5"/>
  <c r="L845" i="5"/>
  <c r="K845" i="5"/>
  <c r="H845" i="5"/>
  <c r="G845" i="5"/>
  <c r="E845" i="5"/>
  <c r="D845" i="5"/>
  <c r="C845" i="5"/>
  <c r="A845" i="5"/>
  <c r="J845" i="5" s="1"/>
  <c r="J844" i="5"/>
  <c r="I844" i="5"/>
  <c r="B844" i="5"/>
  <c r="A844" i="5"/>
  <c r="G843" i="5"/>
  <c r="F843" i="5"/>
  <c r="A843" i="5"/>
  <c r="L843" i="5" s="1"/>
  <c r="M842" i="5"/>
  <c r="L842" i="5"/>
  <c r="K842" i="5"/>
  <c r="J842" i="5"/>
  <c r="H842" i="5"/>
  <c r="G842" i="5"/>
  <c r="F842" i="5"/>
  <c r="E842" i="5"/>
  <c r="D842" i="5"/>
  <c r="C842" i="5"/>
  <c r="B842" i="5"/>
  <c r="A842" i="5"/>
  <c r="I842" i="5" s="1"/>
  <c r="A841" i="5"/>
  <c r="M840" i="5"/>
  <c r="L840" i="5"/>
  <c r="H840" i="5"/>
  <c r="F840" i="5"/>
  <c r="E840" i="5"/>
  <c r="D840" i="5"/>
  <c r="A840" i="5"/>
  <c r="K840" i="5" s="1"/>
  <c r="M839" i="5"/>
  <c r="K839" i="5"/>
  <c r="J839" i="5"/>
  <c r="E839" i="5"/>
  <c r="C839" i="5"/>
  <c r="B839" i="5"/>
  <c r="A839" i="5"/>
  <c r="H839" i="5" s="1"/>
  <c r="L838" i="5"/>
  <c r="K838" i="5"/>
  <c r="J838" i="5"/>
  <c r="H838" i="5"/>
  <c r="G838" i="5"/>
  <c r="F838" i="5"/>
  <c r="D838" i="5"/>
  <c r="C838" i="5"/>
  <c r="B838" i="5"/>
  <c r="A838" i="5"/>
  <c r="M838" i="5" s="1"/>
  <c r="M837" i="5"/>
  <c r="L837" i="5"/>
  <c r="K837" i="5"/>
  <c r="H837" i="5"/>
  <c r="G837" i="5"/>
  <c r="E837" i="5"/>
  <c r="D837" i="5"/>
  <c r="C837" i="5"/>
  <c r="A837" i="5"/>
  <c r="J837" i="5" s="1"/>
  <c r="J836" i="5"/>
  <c r="I836" i="5"/>
  <c r="A836" i="5"/>
  <c r="G835" i="5"/>
  <c r="F835" i="5"/>
  <c r="A835" i="5"/>
  <c r="L835" i="5" s="1"/>
  <c r="M834" i="5"/>
  <c r="L834" i="5"/>
  <c r="K834" i="5"/>
  <c r="J834" i="5"/>
  <c r="H834" i="5"/>
  <c r="G834" i="5"/>
  <c r="F834" i="5"/>
  <c r="E834" i="5"/>
  <c r="D834" i="5"/>
  <c r="C834" i="5"/>
  <c r="B834" i="5"/>
  <c r="A834" i="5"/>
  <c r="I834" i="5" s="1"/>
  <c r="I833" i="5"/>
  <c r="A833" i="5"/>
  <c r="M832" i="5"/>
  <c r="L832" i="5"/>
  <c r="H832" i="5"/>
  <c r="F832" i="5"/>
  <c r="E832" i="5"/>
  <c r="D832" i="5"/>
  <c r="A832" i="5"/>
  <c r="K832" i="5" s="1"/>
  <c r="M831" i="5"/>
  <c r="K831" i="5"/>
  <c r="J831" i="5"/>
  <c r="E831" i="5"/>
  <c r="C831" i="5"/>
  <c r="B831" i="5"/>
  <c r="A831" i="5"/>
  <c r="H831" i="5" s="1"/>
  <c r="L830" i="5"/>
  <c r="K830" i="5"/>
  <c r="J830" i="5"/>
  <c r="H830" i="5"/>
  <c r="G830" i="5"/>
  <c r="F830" i="5"/>
  <c r="D830" i="5"/>
  <c r="C830" i="5"/>
  <c r="B830" i="5"/>
  <c r="A830" i="5"/>
  <c r="M830" i="5" s="1"/>
  <c r="M829" i="5"/>
  <c r="L829" i="5"/>
  <c r="K829" i="5"/>
  <c r="H829" i="5"/>
  <c r="G829" i="5"/>
  <c r="E829" i="5"/>
  <c r="D829" i="5"/>
  <c r="C829" i="5"/>
  <c r="A829" i="5"/>
  <c r="J829" i="5" s="1"/>
  <c r="J828" i="5"/>
  <c r="I828" i="5"/>
  <c r="B828" i="5"/>
  <c r="A828" i="5"/>
  <c r="G827" i="5"/>
  <c r="F827" i="5"/>
  <c r="A827" i="5"/>
  <c r="L827" i="5" s="1"/>
  <c r="M826" i="5"/>
  <c r="L826" i="5"/>
  <c r="K826" i="5"/>
  <c r="J826" i="5"/>
  <c r="H826" i="5"/>
  <c r="G826" i="5"/>
  <c r="F826" i="5"/>
  <c r="E826" i="5"/>
  <c r="D826" i="5"/>
  <c r="C826" i="5"/>
  <c r="B826" i="5"/>
  <c r="A826" i="5"/>
  <c r="I826" i="5" s="1"/>
  <c r="I825" i="5"/>
  <c r="H825" i="5"/>
  <c r="A825" i="5"/>
  <c r="M824" i="5"/>
  <c r="L824" i="5"/>
  <c r="H824" i="5"/>
  <c r="F824" i="5"/>
  <c r="E824" i="5"/>
  <c r="D824" i="5"/>
  <c r="A824" i="5"/>
  <c r="K824" i="5" s="1"/>
  <c r="M823" i="5"/>
  <c r="K823" i="5"/>
  <c r="J823" i="5"/>
  <c r="E823" i="5"/>
  <c r="C823" i="5"/>
  <c r="B823" i="5"/>
  <c r="A823" i="5"/>
  <c r="H823" i="5" s="1"/>
  <c r="L822" i="5"/>
  <c r="K822" i="5"/>
  <c r="J822" i="5"/>
  <c r="H822" i="5"/>
  <c r="G822" i="5"/>
  <c r="F822" i="5"/>
  <c r="D822" i="5"/>
  <c r="C822" i="5"/>
  <c r="B822" i="5"/>
  <c r="A822" i="5"/>
  <c r="M822" i="5" s="1"/>
  <c r="M821" i="5"/>
  <c r="L821" i="5"/>
  <c r="K821" i="5"/>
  <c r="H821" i="5"/>
  <c r="G821" i="5"/>
  <c r="E821" i="5"/>
  <c r="D821" i="5"/>
  <c r="C821" i="5"/>
  <c r="A821" i="5"/>
  <c r="J821" i="5" s="1"/>
  <c r="A820" i="5"/>
  <c r="G819" i="5"/>
  <c r="F819" i="5"/>
  <c r="A819" i="5"/>
  <c r="L819" i="5" s="1"/>
  <c r="M818" i="5"/>
  <c r="L818" i="5"/>
  <c r="K818" i="5"/>
  <c r="J818" i="5"/>
  <c r="H818" i="5"/>
  <c r="G818" i="5"/>
  <c r="F818" i="5"/>
  <c r="E818" i="5"/>
  <c r="D818" i="5"/>
  <c r="C818" i="5"/>
  <c r="B818" i="5"/>
  <c r="A818" i="5"/>
  <c r="I818" i="5" s="1"/>
  <c r="I817" i="5"/>
  <c r="A817" i="5"/>
  <c r="M816" i="5"/>
  <c r="L816" i="5"/>
  <c r="H816" i="5"/>
  <c r="F816" i="5"/>
  <c r="E816" i="5"/>
  <c r="D816" i="5"/>
  <c r="A816" i="5"/>
  <c r="K816" i="5" s="1"/>
  <c r="M815" i="5"/>
  <c r="K815" i="5"/>
  <c r="J815" i="5"/>
  <c r="E815" i="5"/>
  <c r="C815" i="5"/>
  <c r="B815" i="5"/>
  <c r="A815" i="5"/>
  <c r="H815" i="5" s="1"/>
  <c r="L814" i="5"/>
  <c r="K814" i="5"/>
  <c r="J814" i="5"/>
  <c r="H814" i="5"/>
  <c r="G814" i="5"/>
  <c r="F814" i="5"/>
  <c r="D814" i="5"/>
  <c r="C814" i="5"/>
  <c r="B814" i="5"/>
  <c r="A814" i="5"/>
  <c r="M814" i="5" s="1"/>
  <c r="M813" i="5"/>
  <c r="L813" i="5"/>
  <c r="K813" i="5"/>
  <c r="H813" i="5"/>
  <c r="G813" i="5"/>
  <c r="E813" i="5"/>
  <c r="D813" i="5"/>
  <c r="C813" i="5"/>
  <c r="A813" i="5"/>
  <c r="J813" i="5" s="1"/>
  <c r="I812" i="5"/>
  <c r="A812" i="5"/>
  <c r="G811" i="5"/>
  <c r="F811" i="5"/>
  <c r="A811" i="5"/>
  <c r="L811" i="5" s="1"/>
  <c r="M810" i="5"/>
  <c r="L810" i="5"/>
  <c r="K810" i="5"/>
  <c r="J810" i="5"/>
  <c r="H810" i="5"/>
  <c r="G810" i="5"/>
  <c r="F810" i="5"/>
  <c r="E810" i="5"/>
  <c r="D810" i="5"/>
  <c r="C810" i="5"/>
  <c r="B810" i="5"/>
  <c r="A810" i="5"/>
  <c r="I810" i="5" s="1"/>
  <c r="I809" i="5"/>
  <c r="H809" i="5"/>
  <c r="A809" i="5"/>
  <c r="M808" i="5"/>
  <c r="L808" i="5"/>
  <c r="H808" i="5"/>
  <c r="F808" i="5"/>
  <c r="E808" i="5"/>
  <c r="D808" i="5"/>
  <c r="A808" i="5"/>
  <c r="K808" i="5" s="1"/>
  <c r="M807" i="5"/>
  <c r="K807" i="5"/>
  <c r="J807" i="5"/>
  <c r="E807" i="5"/>
  <c r="C807" i="5"/>
  <c r="B807" i="5"/>
  <c r="A807" i="5"/>
  <c r="H807" i="5" s="1"/>
  <c r="L806" i="5"/>
  <c r="K806" i="5"/>
  <c r="J806" i="5"/>
  <c r="H806" i="5"/>
  <c r="G806" i="5"/>
  <c r="F806" i="5"/>
  <c r="D806" i="5"/>
  <c r="C806" i="5"/>
  <c r="B806" i="5"/>
  <c r="A806" i="5"/>
  <c r="M806" i="5" s="1"/>
  <c r="M805" i="5"/>
  <c r="L805" i="5"/>
  <c r="K805" i="5"/>
  <c r="H805" i="5"/>
  <c r="G805" i="5"/>
  <c r="E805" i="5"/>
  <c r="D805" i="5"/>
  <c r="C805" i="5"/>
  <c r="A805" i="5"/>
  <c r="J805" i="5" s="1"/>
  <c r="B804" i="5"/>
  <c r="A804" i="5"/>
  <c r="G803" i="5"/>
  <c r="F803" i="5"/>
  <c r="A803" i="5"/>
  <c r="L803" i="5" s="1"/>
  <c r="M802" i="5"/>
  <c r="L802" i="5"/>
  <c r="K802" i="5"/>
  <c r="J802" i="5"/>
  <c r="H802" i="5"/>
  <c r="G802" i="5"/>
  <c r="F802" i="5"/>
  <c r="E802" i="5"/>
  <c r="D802" i="5"/>
  <c r="C802" i="5"/>
  <c r="B802" i="5"/>
  <c r="A802" i="5"/>
  <c r="I802" i="5" s="1"/>
  <c r="A801" i="5"/>
  <c r="M800" i="5"/>
  <c r="L800" i="5"/>
  <c r="H800" i="5"/>
  <c r="F800" i="5"/>
  <c r="E800" i="5"/>
  <c r="D800" i="5"/>
  <c r="A800" i="5"/>
  <c r="K800" i="5" s="1"/>
  <c r="M799" i="5"/>
  <c r="K799" i="5"/>
  <c r="J799" i="5"/>
  <c r="E799" i="5"/>
  <c r="C799" i="5"/>
  <c r="B799" i="5"/>
  <c r="A799" i="5"/>
  <c r="H799" i="5" s="1"/>
  <c r="L798" i="5"/>
  <c r="K798" i="5"/>
  <c r="J798" i="5"/>
  <c r="H798" i="5"/>
  <c r="G798" i="5"/>
  <c r="F798" i="5"/>
  <c r="D798" i="5"/>
  <c r="C798" i="5"/>
  <c r="B798" i="5"/>
  <c r="A798" i="5"/>
  <c r="M798" i="5" s="1"/>
  <c r="M797" i="5"/>
  <c r="L797" i="5"/>
  <c r="K797" i="5"/>
  <c r="H797" i="5"/>
  <c r="G797" i="5"/>
  <c r="E797" i="5"/>
  <c r="D797" i="5"/>
  <c r="C797" i="5"/>
  <c r="A797" i="5"/>
  <c r="J797" i="5" s="1"/>
  <c r="A796" i="5"/>
  <c r="G795" i="5"/>
  <c r="F795" i="5"/>
  <c r="A795" i="5"/>
  <c r="L795" i="5" s="1"/>
  <c r="M794" i="5"/>
  <c r="L794" i="5"/>
  <c r="K794" i="5"/>
  <c r="J794" i="5"/>
  <c r="H794" i="5"/>
  <c r="G794" i="5"/>
  <c r="F794" i="5"/>
  <c r="E794" i="5"/>
  <c r="D794" i="5"/>
  <c r="C794" i="5"/>
  <c r="B794" i="5"/>
  <c r="A794" i="5"/>
  <c r="I794" i="5" s="1"/>
  <c r="I793" i="5"/>
  <c r="A793" i="5"/>
  <c r="M792" i="5"/>
  <c r="L792" i="5"/>
  <c r="H792" i="5"/>
  <c r="F792" i="5"/>
  <c r="E792" i="5"/>
  <c r="D792" i="5"/>
  <c r="A792" i="5"/>
  <c r="K792" i="5" s="1"/>
  <c r="M791" i="5"/>
  <c r="K791" i="5"/>
  <c r="J791" i="5"/>
  <c r="E791" i="5"/>
  <c r="C791" i="5"/>
  <c r="B791" i="5"/>
  <c r="A791" i="5"/>
  <c r="H791" i="5" s="1"/>
  <c r="L790" i="5"/>
  <c r="K790" i="5"/>
  <c r="J790" i="5"/>
  <c r="H790" i="5"/>
  <c r="G790" i="5"/>
  <c r="F790" i="5"/>
  <c r="D790" i="5"/>
  <c r="C790" i="5"/>
  <c r="B790" i="5"/>
  <c r="A790" i="5"/>
  <c r="M790" i="5" s="1"/>
  <c r="M789" i="5"/>
  <c r="L789" i="5"/>
  <c r="K789" i="5"/>
  <c r="H789" i="5"/>
  <c r="G789" i="5"/>
  <c r="E789" i="5"/>
  <c r="D789" i="5"/>
  <c r="C789" i="5"/>
  <c r="A789" i="5"/>
  <c r="J789" i="5" s="1"/>
  <c r="J788" i="5"/>
  <c r="I788" i="5"/>
  <c r="A788" i="5"/>
  <c r="G787" i="5"/>
  <c r="F787" i="5"/>
  <c r="A787" i="5"/>
  <c r="L787" i="5" s="1"/>
  <c r="M786" i="5"/>
  <c r="L786" i="5"/>
  <c r="K786" i="5"/>
  <c r="J786" i="5"/>
  <c r="H786" i="5"/>
  <c r="G786" i="5"/>
  <c r="F786" i="5"/>
  <c r="E786" i="5"/>
  <c r="D786" i="5"/>
  <c r="C786" i="5"/>
  <c r="B786" i="5"/>
  <c r="A786" i="5"/>
  <c r="I786" i="5" s="1"/>
  <c r="H785" i="5"/>
  <c r="A785" i="5"/>
  <c r="M784" i="5"/>
  <c r="L784" i="5"/>
  <c r="H784" i="5"/>
  <c r="F784" i="5"/>
  <c r="E784" i="5"/>
  <c r="D784" i="5"/>
  <c r="A784" i="5"/>
  <c r="K784" i="5" s="1"/>
  <c r="M783" i="5"/>
  <c r="K783" i="5"/>
  <c r="J783" i="5"/>
  <c r="E783" i="5"/>
  <c r="C783" i="5"/>
  <c r="B783" i="5"/>
  <c r="A783" i="5"/>
  <c r="H783" i="5" s="1"/>
  <c r="L782" i="5"/>
  <c r="K782" i="5"/>
  <c r="J782" i="5"/>
  <c r="H782" i="5"/>
  <c r="G782" i="5"/>
  <c r="F782" i="5"/>
  <c r="D782" i="5"/>
  <c r="C782" i="5"/>
  <c r="B782" i="5"/>
  <c r="A782" i="5"/>
  <c r="M782" i="5" s="1"/>
  <c r="M781" i="5"/>
  <c r="L781" i="5"/>
  <c r="K781" i="5"/>
  <c r="H781" i="5"/>
  <c r="G781" i="5"/>
  <c r="E781" i="5"/>
  <c r="D781" i="5"/>
  <c r="C781" i="5"/>
  <c r="A781" i="5"/>
  <c r="J781" i="5" s="1"/>
  <c r="J780" i="5"/>
  <c r="I780" i="5"/>
  <c r="B780" i="5"/>
  <c r="A780" i="5"/>
  <c r="G779" i="5"/>
  <c r="F779" i="5"/>
  <c r="A779" i="5"/>
  <c r="L779" i="5" s="1"/>
  <c r="M778" i="5"/>
  <c r="L778" i="5"/>
  <c r="K778" i="5"/>
  <c r="J778" i="5"/>
  <c r="H778" i="5"/>
  <c r="G778" i="5"/>
  <c r="F778" i="5"/>
  <c r="E778" i="5"/>
  <c r="D778" i="5"/>
  <c r="C778" i="5"/>
  <c r="B778" i="5"/>
  <c r="A778" i="5"/>
  <c r="I778" i="5" s="1"/>
  <c r="A777" i="5"/>
  <c r="M776" i="5"/>
  <c r="L776" i="5"/>
  <c r="H776" i="5"/>
  <c r="F776" i="5"/>
  <c r="E776" i="5"/>
  <c r="D776" i="5"/>
  <c r="A776" i="5"/>
  <c r="K776" i="5" s="1"/>
  <c r="M775" i="5"/>
  <c r="K775" i="5"/>
  <c r="J775" i="5"/>
  <c r="E775" i="5"/>
  <c r="C775" i="5"/>
  <c r="B775" i="5"/>
  <c r="A775" i="5"/>
  <c r="H775" i="5" s="1"/>
  <c r="L774" i="5"/>
  <c r="K774" i="5"/>
  <c r="J774" i="5"/>
  <c r="H774" i="5"/>
  <c r="G774" i="5"/>
  <c r="F774" i="5"/>
  <c r="D774" i="5"/>
  <c r="C774" i="5"/>
  <c r="B774" i="5"/>
  <c r="A774" i="5"/>
  <c r="M774" i="5" s="1"/>
  <c r="M773" i="5"/>
  <c r="L773" i="5"/>
  <c r="K773" i="5"/>
  <c r="H773" i="5"/>
  <c r="G773" i="5"/>
  <c r="E773" i="5"/>
  <c r="D773" i="5"/>
  <c r="C773" i="5"/>
  <c r="A773" i="5"/>
  <c r="J773" i="5" s="1"/>
  <c r="J772" i="5"/>
  <c r="I772" i="5"/>
  <c r="A772" i="5"/>
  <c r="G771" i="5"/>
  <c r="F771" i="5"/>
  <c r="A771" i="5"/>
  <c r="L771" i="5" s="1"/>
  <c r="M770" i="5"/>
  <c r="L770" i="5"/>
  <c r="K770" i="5"/>
  <c r="J770" i="5"/>
  <c r="H770" i="5"/>
  <c r="G770" i="5"/>
  <c r="F770" i="5"/>
  <c r="E770" i="5"/>
  <c r="D770" i="5"/>
  <c r="C770" i="5"/>
  <c r="B770" i="5"/>
  <c r="A770" i="5"/>
  <c r="I770" i="5" s="1"/>
  <c r="I769" i="5"/>
  <c r="A769" i="5"/>
  <c r="M768" i="5"/>
  <c r="L768" i="5"/>
  <c r="H768" i="5"/>
  <c r="F768" i="5"/>
  <c r="E768" i="5"/>
  <c r="D768" i="5"/>
  <c r="A768" i="5"/>
  <c r="K768" i="5" s="1"/>
  <c r="M767" i="5"/>
  <c r="K767" i="5"/>
  <c r="J767" i="5"/>
  <c r="E767" i="5"/>
  <c r="C767" i="5"/>
  <c r="B767" i="5"/>
  <c r="A767" i="5"/>
  <c r="H767" i="5" s="1"/>
  <c r="L766" i="5"/>
  <c r="K766" i="5"/>
  <c r="J766" i="5"/>
  <c r="H766" i="5"/>
  <c r="G766" i="5"/>
  <c r="F766" i="5"/>
  <c r="D766" i="5"/>
  <c r="C766" i="5"/>
  <c r="B766" i="5"/>
  <c r="A766" i="5"/>
  <c r="M766" i="5" s="1"/>
  <c r="M765" i="5"/>
  <c r="L765" i="5"/>
  <c r="K765" i="5"/>
  <c r="H765" i="5"/>
  <c r="G765" i="5"/>
  <c r="E765" i="5"/>
  <c r="D765" i="5"/>
  <c r="C765" i="5"/>
  <c r="A765" i="5"/>
  <c r="J765" i="5" s="1"/>
  <c r="J764" i="5"/>
  <c r="I764" i="5"/>
  <c r="B764" i="5"/>
  <c r="A764" i="5"/>
  <c r="G763" i="5"/>
  <c r="F763" i="5"/>
  <c r="A763" i="5"/>
  <c r="L763" i="5" s="1"/>
  <c r="M762" i="5"/>
  <c r="L762" i="5"/>
  <c r="K762" i="5"/>
  <c r="J762" i="5"/>
  <c r="H762" i="5"/>
  <c r="G762" i="5"/>
  <c r="F762" i="5"/>
  <c r="E762" i="5"/>
  <c r="D762" i="5"/>
  <c r="C762" i="5"/>
  <c r="B762" i="5"/>
  <c r="A762" i="5"/>
  <c r="I762" i="5" s="1"/>
  <c r="I761" i="5"/>
  <c r="H761" i="5"/>
  <c r="A761" i="5"/>
  <c r="M760" i="5"/>
  <c r="L760" i="5"/>
  <c r="H760" i="5"/>
  <c r="F760" i="5"/>
  <c r="E760" i="5"/>
  <c r="D760" i="5"/>
  <c r="A760" i="5"/>
  <c r="K760" i="5" s="1"/>
  <c r="M759" i="5"/>
  <c r="K759" i="5"/>
  <c r="J759" i="5"/>
  <c r="E759" i="5"/>
  <c r="C759" i="5"/>
  <c r="B759" i="5"/>
  <c r="A759" i="5"/>
  <c r="H759" i="5" s="1"/>
  <c r="L758" i="5"/>
  <c r="K758" i="5"/>
  <c r="J758" i="5"/>
  <c r="H758" i="5"/>
  <c r="G758" i="5"/>
  <c r="F758" i="5"/>
  <c r="D758" i="5"/>
  <c r="C758" i="5"/>
  <c r="B758" i="5"/>
  <c r="A758" i="5"/>
  <c r="M758" i="5" s="1"/>
  <c r="M757" i="5"/>
  <c r="L757" i="5"/>
  <c r="K757" i="5"/>
  <c r="H757" i="5"/>
  <c r="G757" i="5"/>
  <c r="E757" i="5"/>
  <c r="D757" i="5"/>
  <c r="C757" i="5"/>
  <c r="A757" i="5"/>
  <c r="J757" i="5" s="1"/>
  <c r="J756" i="5"/>
  <c r="A756" i="5"/>
  <c r="G755" i="5"/>
  <c r="F755" i="5"/>
  <c r="A755" i="5"/>
  <c r="L755" i="5" s="1"/>
  <c r="M754" i="5"/>
  <c r="L754" i="5"/>
  <c r="K754" i="5"/>
  <c r="J754" i="5"/>
  <c r="H754" i="5"/>
  <c r="G754" i="5"/>
  <c r="F754" i="5"/>
  <c r="E754" i="5"/>
  <c r="D754" i="5"/>
  <c r="C754" i="5"/>
  <c r="B754" i="5"/>
  <c r="A754" i="5"/>
  <c r="I754" i="5" s="1"/>
  <c r="I753" i="5"/>
  <c r="A753" i="5"/>
  <c r="M752" i="5"/>
  <c r="L752" i="5"/>
  <c r="H752" i="5"/>
  <c r="F752" i="5"/>
  <c r="E752" i="5"/>
  <c r="D752" i="5"/>
  <c r="A752" i="5"/>
  <c r="K752" i="5" s="1"/>
  <c r="M751" i="5"/>
  <c r="K751" i="5"/>
  <c r="J751" i="5"/>
  <c r="E751" i="5"/>
  <c r="C751" i="5"/>
  <c r="B751" i="5"/>
  <c r="A751" i="5"/>
  <c r="H751" i="5" s="1"/>
  <c r="L750" i="5"/>
  <c r="K750" i="5"/>
  <c r="J750" i="5"/>
  <c r="H750" i="5"/>
  <c r="G750" i="5"/>
  <c r="F750" i="5"/>
  <c r="D750" i="5"/>
  <c r="C750" i="5"/>
  <c r="B750" i="5"/>
  <c r="A750" i="5"/>
  <c r="M750" i="5" s="1"/>
  <c r="M749" i="5"/>
  <c r="L749" i="5"/>
  <c r="K749" i="5"/>
  <c r="H749" i="5"/>
  <c r="G749" i="5"/>
  <c r="E749" i="5"/>
  <c r="D749" i="5"/>
  <c r="C749" i="5"/>
  <c r="A749" i="5"/>
  <c r="J749" i="5" s="1"/>
  <c r="A748" i="5"/>
  <c r="G747" i="5"/>
  <c r="F747" i="5"/>
  <c r="A747" i="5"/>
  <c r="L747" i="5" s="1"/>
  <c r="M746" i="5"/>
  <c r="L746" i="5"/>
  <c r="K746" i="5"/>
  <c r="J746" i="5"/>
  <c r="H746" i="5"/>
  <c r="G746" i="5"/>
  <c r="F746" i="5"/>
  <c r="E746" i="5"/>
  <c r="D746" i="5"/>
  <c r="C746" i="5"/>
  <c r="B746" i="5"/>
  <c r="A746" i="5"/>
  <c r="I746" i="5" s="1"/>
  <c r="I745" i="5"/>
  <c r="H745" i="5"/>
  <c r="A745" i="5"/>
  <c r="M744" i="5"/>
  <c r="L744" i="5"/>
  <c r="H744" i="5"/>
  <c r="F744" i="5"/>
  <c r="E744" i="5"/>
  <c r="D744" i="5"/>
  <c r="A744" i="5"/>
  <c r="K744" i="5" s="1"/>
  <c r="M743" i="5"/>
  <c r="K743" i="5"/>
  <c r="J743" i="5"/>
  <c r="E743" i="5"/>
  <c r="C743" i="5"/>
  <c r="B743" i="5"/>
  <c r="A743" i="5"/>
  <c r="H743" i="5" s="1"/>
  <c r="L742" i="5"/>
  <c r="K742" i="5"/>
  <c r="J742" i="5"/>
  <c r="H742" i="5"/>
  <c r="G742" i="5"/>
  <c r="F742" i="5"/>
  <c r="D742" i="5"/>
  <c r="C742" i="5"/>
  <c r="B742" i="5"/>
  <c r="A742" i="5"/>
  <c r="M742" i="5" s="1"/>
  <c r="M741" i="5"/>
  <c r="L741" i="5"/>
  <c r="K741" i="5"/>
  <c r="H741" i="5"/>
  <c r="G741" i="5"/>
  <c r="E741" i="5"/>
  <c r="D741" i="5"/>
  <c r="C741" i="5"/>
  <c r="A741" i="5"/>
  <c r="J741" i="5" s="1"/>
  <c r="B740" i="5"/>
  <c r="A740" i="5"/>
  <c r="G739" i="5"/>
  <c r="F739" i="5"/>
  <c r="A739" i="5"/>
  <c r="L739" i="5" s="1"/>
  <c r="M738" i="5"/>
  <c r="L738" i="5"/>
  <c r="K738" i="5"/>
  <c r="J738" i="5"/>
  <c r="H738" i="5"/>
  <c r="G738" i="5"/>
  <c r="F738" i="5"/>
  <c r="E738" i="5"/>
  <c r="D738" i="5"/>
  <c r="C738" i="5"/>
  <c r="B738" i="5"/>
  <c r="A738" i="5"/>
  <c r="I738" i="5" s="1"/>
  <c r="H737" i="5"/>
  <c r="A737" i="5"/>
  <c r="M736" i="5"/>
  <c r="L736" i="5"/>
  <c r="H736" i="5"/>
  <c r="F736" i="5"/>
  <c r="E736" i="5"/>
  <c r="D736" i="5"/>
  <c r="A736" i="5"/>
  <c r="K736" i="5" s="1"/>
  <c r="M735" i="5"/>
  <c r="K735" i="5"/>
  <c r="J735" i="5"/>
  <c r="E735" i="5"/>
  <c r="C735" i="5"/>
  <c r="B735" i="5"/>
  <c r="A735" i="5"/>
  <c r="H735" i="5" s="1"/>
  <c r="L734" i="5"/>
  <c r="K734" i="5"/>
  <c r="J734" i="5"/>
  <c r="H734" i="5"/>
  <c r="G734" i="5"/>
  <c r="F734" i="5"/>
  <c r="D734" i="5"/>
  <c r="C734" i="5"/>
  <c r="B734" i="5"/>
  <c r="A734" i="5"/>
  <c r="M734" i="5" s="1"/>
  <c r="M733" i="5"/>
  <c r="L733" i="5"/>
  <c r="K733" i="5"/>
  <c r="H733" i="5"/>
  <c r="G733" i="5"/>
  <c r="E733" i="5"/>
  <c r="D733" i="5"/>
  <c r="C733" i="5"/>
  <c r="A733" i="5"/>
  <c r="J733" i="5" s="1"/>
  <c r="A732" i="5"/>
  <c r="G731" i="5"/>
  <c r="F731" i="5"/>
  <c r="A731" i="5"/>
  <c r="L731" i="5" s="1"/>
  <c r="M730" i="5"/>
  <c r="L730" i="5"/>
  <c r="K730" i="5"/>
  <c r="J730" i="5"/>
  <c r="H730" i="5"/>
  <c r="G730" i="5"/>
  <c r="F730" i="5"/>
  <c r="E730" i="5"/>
  <c r="D730" i="5"/>
  <c r="C730" i="5"/>
  <c r="B730" i="5"/>
  <c r="A730" i="5"/>
  <c r="I730" i="5" s="1"/>
  <c r="I729" i="5"/>
  <c r="A729" i="5"/>
  <c r="M728" i="5"/>
  <c r="L728" i="5"/>
  <c r="H728" i="5"/>
  <c r="F728" i="5"/>
  <c r="E728" i="5"/>
  <c r="D728" i="5"/>
  <c r="A728" i="5"/>
  <c r="K728" i="5" s="1"/>
  <c r="M727" i="5"/>
  <c r="K727" i="5"/>
  <c r="J727" i="5"/>
  <c r="E727" i="5"/>
  <c r="C727" i="5"/>
  <c r="B727" i="5"/>
  <c r="A727" i="5"/>
  <c r="H727" i="5" s="1"/>
  <c r="L726" i="5"/>
  <c r="K726" i="5"/>
  <c r="J726" i="5"/>
  <c r="H726" i="5"/>
  <c r="G726" i="5"/>
  <c r="F726" i="5"/>
  <c r="D726" i="5"/>
  <c r="C726" i="5"/>
  <c r="B726" i="5"/>
  <c r="A726" i="5"/>
  <c r="M726" i="5" s="1"/>
  <c r="M725" i="5"/>
  <c r="L725" i="5"/>
  <c r="K725" i="5"/>
  <c r="H725" i="5"/>
  <c r="G725" i="5"/>
  <c r="E725" i="5"/>
  <c r="D725" i="5"/>
  <c r="C725" i="5"/>
  <c r="A725" i="5"/>
  <c r="J725" i="5" s="1"/>
  <c r="J724" i="5"/>
  <c r="I724" i="5"/>
  <c r="A724" i="5"/>
  <c r="G723" i="5"/>
  <c r="F723" i="5"/>
  <c r="A723" i="5"/>
  <c r="L723" i="5" s="1"/>
  <c r="M722" i="5"/>
  <c r="L722" i="5"/>
  <c r="K722" i="5"/>
  <c r="J722" i="5"/>
  <c r="H722" i="5"/>
  <c r="G722" i="5"/>
  <c r="F722" i="5"/>
  <c r="E722" i="5"/>
  <c r="D722" i="5"/>
  <c r="C722" i="5"/>
  <c r="B722" i="5"/>
  <c r="A722" i="5"/>
  <c r="I722" i="5" s="1"/>
  <c r="H721" i="5"/>
  <c r="A721" i="5"/>
  <c r="M720" i="5"/>
  <c r="L720" i="5"/>
  <c r="H720" i="5"/>
  <c r="F720" i="5"/>
  <c r="E720" i="5"/>
  <c r="D720" i="5"/>
  <c r="A720" i="5"/>
  <c r="K720" i="5" s="1"/>
  <c r="M719" i="5"/>
  <c r="K719" i="5"/>
  <c r="J719" i="5"/>
  <c r="E719" i="5"/>
  <c r="C719" i="5"/>
  <c r="B719" i="5"/>
  <c r="A719" i="5"/>
  <c r="H719" i="5" s="1"/>
  <c r="L718" i="5"/>
  <c r="K718" i="5"/>
  <c r="J718" i="5"/>
  <c r="H718" i="5"/>
  <c r="G718" i="5"/>
  <c r="F718" i="5"/>
  <c r="D718" i="5"/>
  <c r="C718" i="5"/>
  <c r="B718" i="5"/>
  <c r="A718" i="5"/>
  <c r="M718" i="5" s="1"/>
  <c r="M717" i="5"/>
  <c r="L717" i="5"/>
  <c r="K717" i="5"/>
  <c r="H717" i="5"/>
  <c r="G717" i="5"/>
  <c r="E717" i="5"/>
  <c r="D717" i="5"/>
  <c r="C717" i="5"/>
  <c r="A717" i="5"/>
  <c r="J717" i="5" s="1"/>
  <c r="J716" i="5"/>
  <c r="I716" i="5"/>
  <c r="B716" i="5"/>
  <c r="A716" i="5"/>
  <c r="G715" i="5"/>
  <c r="F715" i="5"/>
  <c r="A715" i="5"/>
  <c r="L715" i="5" s="1"/>
  <c r="M714" i="5"/>
  <c r="L714" i="5"/>
  <c r="K714" i="5"/>
  <c r="J714" i="5"/>
  <c r="H714" i="5"/>
  <c r="G714" i="5"/>
  <c r="F714" i="5"/>
  <c r="E714" i="5"/>
  <c r="D714" i="5"/>
  <c r="C714" i="5"/>
  <c r="B714" i="5"/>
  <c r="A714" i="5"/>
  <c r="I714" i="5" s="1"/>
  <c r="A713" i="5"/>
  <c r="M712" i="5"/>
  <c r="L712" i="5"/>
  <c r="H712" i="5"/>
  <c r="F712" i="5"/>
  <c r="E712" i="5"/>
  <c r="D712" i="5"/>
  <c r="A712" i="5"/>
  <c r="K712" i="5" s="1"/>
  <c r="M711" i="5"/>
  <c r="K711" i="5"/>
  <c r="J711" i="5"/>
  <c r="E711" i="5"/>
  <c r="C711" i="5"/>
  <c r="B711" i="5"/>
  <c r="A711" i="5"/>
  <c r="H711" i="5" s="1"/>
  <c r="L710" i="5"/>
  <c r="K710" i="5"/>
  <c r="J710" i="5"/>
  <c r="H710" i="5"/>
  <c r="G710" i="5"/>
  <c r="F710" i="5"/>
  <c r="D710" i="5"/>
  <c r="C710" i="5"/>
  <c r="B710" i="5"/>
  <c r="A710" i="5"/>
  <c r="M710" i="5" s="1"/>
  <c r="M709" i="5"/>
  <c r="L709" i="5"/>
  <c r="K709" i="5"/>
  <c r="H709" i="5"/>
  <c r="G709" i="5"/>
  <c r="E709" i="5"/>
  <c r="D709" i="5"/>
  <c r="C709" i="5"/>
  <c r="A709" i="5"/>
  <c r="J709" i="5" s="1"/>
  <c r="J708" i="5"/>
  <c r="B708" i="5"/>
  <c r="A708" i="5"/>
  <c r="I707" i="5"/>
  <c r="G707" i="5"/>
  <c r="A707" i="5"/>
  <c r="M706" i="5"/>
  <c r="L706" i="5"/>
  <c r="K706" i="5"/>
  <c r="J706" i="5"/>
  <c r="H706" i="5"/>
  <c r="G706" i="5"/>
  <c r="F706" i="5"/>
  <c r="E706" i="5"/>
  <c r="D706" i="5"/>
  <c r="C706" i="5"/>
  <c r="B706" i="5"/>
  <c r="A706" i="5"/>
  <c r="I706" i="5" s="1"/>
  <c r="K705" i="5"/>
  <c r="I705" i="5"/>
  <c r="H705" i="5"/>
  <c r="C705" i="5"/>
  <c r="A705" i="5"/>
  <c r="M704" i="5"/>
  <c r="L704" i="5"/>
  <c r="H704" i="5"/>
  <c r="F704" i="5"/>
  <c r="E704" i="5"/>
  <c r="D704" i="5"/>
  <c r="A704" i="5"/>
  <c r="K704" i="5" s="1"/>
  <c r="M703" i="5"/>
  <c r="K703" i="5"/>
  <c r="J703" i="5"/>
  <c r="E703" i="5"/>
  <c r="C703" i="5"/>
  <c r="B703" i="5"/>
  <c r="A703" i="5"/>
  <c r="H703" i="5" s="1"/>
  <c r="L702" i="5"/>
  <c r="K702" i="5"/>
  <c r="J702" i="5"/>
  <c r="H702" i="5"/>
  <c r="G702" i="5"/>
  <c r="F702" i="5"/>
  <c r="D702" i="5"/>
  <c r="C702" i="5"/>
  <c r="B702" i="5"/>
  <c r="A702" i="5"/>
  <c r="M702" i="5" s="1"/>
  <c r="M701" i="5"/>
  <c r="L701" i="5"/>
  <c r="K701" i="5"/>
  <c r="H701" i="5"/>
  <c r="G701" i="5"/>
  <c r="E701" i="5"/>
  <c r="D701" i="5"/>
  <c r="C701" i="5"/>
  <c r="A701" i="5"/>
  <c r="J701" i="5" s="1"/>
  <c r="L700" i="5"/>
  <c r="I700" i="5"/>
  <c r="D700" i="5"/>
  <c r="A700" i="5"/>
  <c r="J700" i="5" s="1"/>
  <c r="F699" i="5"/>
  <c r="A699" i="5"/>
  <c r="M698" i="5"/>
  <c r="L698" i="5"/>
  <c r="K698" i="5"/>
  <c r="J698" i="5"/>
  <c r="H698" i="5"/>
  <c r="G698" i="5"/>
  <c r="F698" i="5"/>
  <c r="E698" i="5"/>
  <c r="D698" i="5"/>
  <c r="C698" i="5"/>
  <c r="B698" i="5"/>
  <c r="A698" i="5"/>
  <c r="I698" i="5" s="1"/>
  <c r="A697" i="5"/>
  <c r="M696" i="5"/>
  <c r="L696" i="5"/>
  <c r="H696" i="5"/>
  <c r="F696" i="5"/>
  <c r="E696" i="5"/>
  <c r="D696" i="5"/>
  <c r="A696" i="5"/>
  <c r="K696" i="5" s="1"/>
  <c r="M695" i="5"/>
  <c r="K695" i="5"/>
  <c r="J695" i="5"/>
  <c r="E695" i="5"/>
  <c r="C695" i="5"/>
  <c r="B695" i="5"/>
  <c r="A695" i="5"/>
  <c r="H695" i="5" s="1"/>
  <c r="L694" i="5"/>
  <c r="K694" i="5"/>
  <c r="J694" i="5"/>
  <c r="H694" i="5"/>
  <c r="G694" i="5"/>
  <c r="F694" i="5"/>
  <c r="D694" i="5"/>
  <c r="C694" i="5"/>
  <c r="B694" i="5"/>
  <c r="A694" i="5"/>
  <c r="M694" i="5" s="1"/>
  <c r="M693" i="5"/>
  <c r="L693" i="5"/>
  <c r="K693" i="5"/>
  <c r="H693" i="5"/>
  <c r="G693" i="5"/>
  <c r="E693" i="5"/>
  <c r="D693" i="5"/>
  <c r="C693" i="5"/>
  <c r="A693" i="5"/>
  <c r="J693" i="5" s="1"/>
  <c r="J692" i="5"/>
  <c r="B692" i="5"/>
  <c r="A692" i="5"/>
  <c r="I691" i="5"/>
  <c r="G691" i="5"/>
  <c r="A691" i="5"/>
  <c r="M690" i="5"/>
  <c r="L690" i="5"/>
  <c r="K690" i="5"/>
  <c r="J690" i="5"/>
  <c r="H690" i="5"/>
  <c r="G690" i="5"/>
  <c r="F690" i="5"/>
  <c r="E690" i="5"/>
  <c r="D690" i="5"/>
  <c r="C690" i="5"/>
  <c r="B690" i="5"/>
  <c r="A690" i="5"/>
  <c r="I690" i="5" s="1"/>
  <c r="K689" i="5"/>
  <c r="I689" i="5"/>
  <c r="H689" i="5"/>
  <c r="C689" i="5"/>
  <c r="A689" i="5"/>
  <c r="M688" i="5"/>
  <c r="L688" i="5"/>
  <c r="H688" i="5"/>
  <c r="F688" i="5"/>
  <c r="E688" i="5"/>
  <c r="D688" i="5"/>
  <c r="A688" i="5"/>
  <c r="K688" i="5" s="1"/>
  <c r="M687" i="5"/>
  <c r="K687" i="5"/>
  <c r="J687" i="5"/>
  <c r="E687" i="5"/>
  <c r="C687" i="5"/>
  <c r="B687" i="5"/>
  <c r="A687" i="5"/>
  <c r="H687" i="5" s="1"/>
  <c r="L686" i="5"/>
  <c r="K686" i="5"/>
  <c r="J686" i="5"/>
  <c r="H686" i="5"/>
  <c r="G686" i="5"/>
  <c r="F686" i="5"/>
  <c r="D686" i="5"/>
  <c r="C686" i="5"/>
  <c r="B686" i="5"/>
  <c r="A686" i="5"/>
  <c r="M686" i="5" s="1"/>
  <c r="M685" i="5"/>
  <c r="L685" i="5"/>
  <c r="K685" i="5"/>
  <c r="H685" i="5"/>
  <c r="G685" i="5"/>
  <c r="E685" i="5"/>
  <c r="D685" i="5"/>
  <c r="C685" i="5"/>
  <c r="A685" i="5"/>
  <c r="J685" i="5" s="1"/>
  <c r="L684" i="5"/>
  <c r="I684" i="5"/>
  <c r="D684" i="5"/>
  <c r="A684" i="5"/>
  <c r="J684" i="5" s="1"/>
  <c r="A683" i="5"/>
  <c r="M682" i="5"/>
  <c r="L682" i="5"/>
  <c r="K682" i="5"/>
  <c r="J682" i="5"/>
  <c r="H682" i="5"/>
  <c r="G682" i="5"/>
  <c r="F682" i="5"/>
  <c r="E682" i="5"/>
  <c r="D682" i="5"/>
  <c r="C682" i="5"/>
  <c r="B682" i="5"/>
  <c r="A682" i="5"/>
  <c r="I682" i="5" s="1"/>
  <c r="I681" i="5"/>
  <c r="H681" i="5"/>
  <c r="G681" i="5"/>
  <c r="C681" i="5"/>
  <c r="A681" i="5"/>
  <c r="K681" i="5" s="1"/>
  <c r="M680" i="5"/>
  <c r="L680" i="5"/>
  <c r="H680" i="5"/>
  <c r="F680" i="5"/>
  <c r="E680" i="5"/>
  <c r="D680" i="5"/>
  <c r="A680" i="5"/>
  <c r="K680" i="5" s="1"/>
  <c r="E679" i="5"/>
  <c r="B679" i="5"/>
  <c r="A679" i="5"/>
  <c r="L678" i="5"/>
  <c r="K678" i="5"/>
  <c r="J678" i="5"/>
  <c r="H678" i="5"/>
  <c r="G678" i="5"/>
  <c r="F678" i="5"/>
  <c r="D678" i="5"/>
  <c r="C678" i="5"/>
  <c r="B678" i="5"/>
  <c r="A678" i="5"/>
  <c r="M678" i="5" s="1"/>
  <c r="M677" i="5"/>
  <c r="L677" i="5"/>
  <c r="K677" i="5"/>
  <c r="H677" i="5"/>
  <c r="G677" i="5"/>
  <c r="E677" i="5"/>
  <c r="D677" i="5"/>
  <c r="C677" i="5"/>
  <c r="A677" i="5"/>
  <c r="J677" i="5" s="1"/>
  <c r="J676" i="5"/>
  <c r="H676" i="5"/>
  <c r="D676" i="5"/>
  <c r="A676" i="5"/>
  <c r="L676" i="5" s="1"/>
  <c r="A675" i="5"/>
  <c r="M674" i="5"/>
  <c r="L674" i="5"/>
  <c r="K674" i="5"/>
  <c r="J674" i="5"/>
  <c r="H674" i="5"/>
  <c r="G674" i="5"/>
  <c r="F674" i="5"/>
  <c r="E674" i="5"/>
  <c r="D674" i="5"/>
  <c r="C674" i="5"/>
  <c r="B674" i="5"/>
  <c r="A674" i="5"/>
  <c r="I674" i="5" s="1"/>
  <c r="K673" i="5"/>
  <c r="H673" i="5"/>
  <c r="G673" i="5"/>
  <c r="A673" i="5"/>
  <c r="I673" i="5" s="1"/>
  <c r="M672" i="5"/>
  <c r="L672" i="5"/>
  <c r="H672" i="5"/>
  <c r="F672" i="5"/>
  <c r="E672" i="5"/>
  <c r="D672" i="5"/>
  <c r="A672" i="5"/>
  <c r="K672" i="5" s="1"/>
  <c r="M671" i="5"/>
  <c r="I671" i="5"/>
  <c r="E671" i="5"/>
  <c r="C671" i="5"/>
  <c r="B671" i="5"/>
  <c r="A671" i="5"/>
  <c r="K671" i="5" s="1"/>
  <c r="L670" i="5"/>
  <c r="K670" i="5"/>
  <c r="J670" i="5"/>
  <c r="H670" i="5"/>
  <c r="G670" i="5"/>
  <c r="F670" i="5"/>
  <c r="D670" i="5"/>
  <c r="C670" i="5"/>
  <c r="B670" i="5"/>
  <c r="A670" i="5"/>
  <c r="M670" i="5" s="1"/>
  <c r="M669" i="5"/>
  <c r="L669" i="5"/>
  <c r="K669" i="5"/>
  <c r="H669" i="5"/>
  <c r="G669" i="5"/>
  <c r="E669" i="5"/>
  <c r="D669" i="5"/>
  <c r="C669" i="5"/>
  <c r="A669" i="5"/>
  <c r="J669" i="5" s="1"/>
  <c r="L668" i="5"/>
  <c r="J668" i="5"/>
  <c r="I668" i="5"/>
  <c r="H668" i="5"/>
  <c r="D668" i="5"/>
  <c r="B668" i="5"/>
  <c r="A668" i="5"/>
  <c r="I667" i="5"/>
  <c r="G667" i="5"/>
  <c r="F667" i="5"/>
  <c r="E667" i="5"/>
  <c r="A667" i="5"/>
  <c r="M667" i="5" s="1"/>
  <c r="M666" i="5"/>
  <c r="L666" i="5"/>
  <c r="K666" i="5"/>
  <c r="J666" i="5"/>
  <c r="H666" i="5"/>
  <c r="G666" i="5"/>
  <c r="F666" i="5"/>
  <c r="E666" i="5"/>
  <c r="D666" i="5"/>
  <c r="C666" i="5"/>
  <c r="B666" i="5"/>
  <c r="A666" i="5"/>
  <c r="I666" i="5" s="1"/>
  <c r="K665" i="5"/>
  <c r="I665" i="5"/>
  <c r="H665" i="5"/>
  <c r="G665" i="5"/>
  <c r="C665" i="5"/>
  <c r="A665" i="5"/>
  <c r="M664" i="5"/>
  <c r="L664" i="5"/>
  <c r="H664" i="5"/>
  <c r="F664" i="5"/>
  <c r="E664" i="5"/>
  <c r="D664" i="5"/>
  <c r="A664" i="5"/>
  <c r="K664" i="5" s="1"/>
  <c r="J663" i="5"/>
  <c r="E663" i="5"/>
  <c r="C663" i="5"/>
  <c r="A663" i="5"/>
  <c r="M663" i="5" s="1"/>
  <c r="L662" i="5"/>
  <c r="K662" i="5"/>
  <c r="J662" i="5"/>
  <c r="H662" i="5"/>
  <c r="G662" i="5"/>
  <c r="F662" i="5"/>
  <c r="D662" i="5"/>
  <c r="C662" i="5"/>
  <c r="B662" i="5"/>
  <c r="A662" i="5"/>
  <c r="M662" i="5" s="1"/>
  <c r="M661" i="5"/>
  <c r="L661" i="5"/>
  <c r="K661" i="5"/>
  <c r="H661" i="5"/>
  <c r="G661" i="5"/>
  <c r="E661" i="5"/>
  <c r="D661" i="5"/>
  <c r="C661" i="5"/>
  <c r="A661" i="5"/>
  <c r="J661" i="5" s="1"/>
  <c r="L660" i="5"/>
  <c r="J660" i="5"/>
  <c r="I660" i="5"/>
  <c r="D660" i="5"/>
  <c r="A660" i="5"/>
  <c r="M659" i="5"/>
  <c r="G659" i="5"/>
  <c r="F659" i="5"/>
  <c r="A659" i="5"/>
  <c r="I659" i="5" s="1"/>
  <c r="M658" i="5"/>
  <c r="L658" i="5"/>
  <c r="K658" i="5"/>
  <c r="J658" i="5"/>
  <c r="H658" i="5"/>
  <c r="G658" i="5"/>
  <c r="F658" i="5"/>
  <c r="E658" i="5"/>
  <c r="D658" i="5"/>
  <c r="C658" i="5"/>
  <c r="B658" i="5"/>
  <c r="A658" i="5"/>
  <c r="I658" i="5" s="1"/>
  <c r="K657" i="5"/>
  <c r="I657" i="5"/>
  <c r="G657" i="5"/>
  <c r="A657" i="5"/>
  <c r="M656" i="5"/>
  <c r="L656" i="5"/>
  <c r="H656" i="5"/>
  <c r="F656" i="5"/>
  <c r="E656" i="5"/>
  <c r="D656" i="5"/>
  <c r="A656" i="5"/>
  <c r="K656" i="5" s="1"/>
  <c r="M655" i="5"/>
  <c r="K655" i="5"/>
  <c r="J655" i="5"/>
  <c r="I655" i="5"/>
  <c r="E655" i="5"/>
  <c r="C655" i="5"/>
  <c r="B655" i="5"/>
  <c r="A655" i="5"/>
  <c r="L654" i="5"/>
  <c r="K654" i="5"/>
  <c r="J654" i="5"/>
  <c r="H654" i="5"/>
  <c r="G654" i="5"/>
  <c r="F654" i="5"/>
  <c r="D654" i="5"/>
  <c r="C654" i="5"/>
  <c r="B654" i="5"/>
  <c r="A654" i="5"/>
  <c r="M654" i="5" s="1"/>
  <c r="M653" i="5"/>
  <c r="L653" i="5"/>
  <c r="K653" i="5"/>
  <c r="H653" i="5"/>
  <c r="G653" i="5"/>
  <c r="E653" i="5"/>
  <c r="D653" i="5"/>
  <c r="C653" i="5"/>
  <c r="A653" i="5"/>
  <c r="J653" i="5" s="1"/>
  <c r="L652" i="5"/>
  <c r="A652" i="5"/>
  <c r="M651" i="5"/>
  <c r="I651" i="5"/>
  <c r="G651" i="5"/>
  <c r="F651" i="5"/>
  <c r="E651" i="5"/>
  <c r="A651" i="5"/>
  <c r="M650" i="5"/>
  <c r="L650" i="5"/>
  <c r="K650" i="5"/>
  <c r="J650" i="5"/>
  <c r="H650" i="5"/>
  <c r="G650" i="5"/>
  <c r="F650" i="5"/>
  <c r="E650" i="5"/>
  <c r="D650" i="5"/>
  <c r="C650" i="5"/>
  <c r="B650" i="5"/>
  <c r="A650" i="5"/>
  <c r="I650" i="5" s="1"/>
  <c r="K649" i="5"/>
  <c r="A649" i="5"/>
  <c r="M648" i="5"/>
  <c r="L648" i="5"/>
  <c r="H648" i="5"/>
  <c r="F648" i="5"/>
  <c r="E648" i="5"/>
  <c r="D648" i="5"/>
  <c r="A648" i="5"/>
  <c r="K648" i="5" s="1"/>
  <c r="M647" i="5"/>
  <c r="K647" i="5"/>
  <c r="J647" i="5"/>
  <c r="I647" i="5"/>
  <c r="C647" i="5"/>
  <c r="A647" i="5"/>
  <c r="L646" i="5"/>
  <c r="K646" i="5"/>
  <c r="J646" i="5"/>
  <c r="H646" i="5"/>
  <c r="G646" i="5"/>
  <c r="F646" i="5"/>
  <c r="D646" i="5"/>
  <c r="C646" i="5"/>
  <c r="B646" i="5"/>
  <c r="A646" i="5"/>
  <c r="M646" i="5" s="1"/>
  <c r="M645" i="5"/>
  <c r="L645" i="5"/>
  <c r="K645" i="5"/>
  <c r="H645" i="5"/>
  <c r="G645" i="5"/>
  <c r="E645" i="5"/>
  <c r="D645" i="5"/>
  <c r="C645" i="5"/>
  <c r="A645" i="5"/>
  <c r="J645" i="5" s="1"/>
  <c r="L644" i="5"/>
  <c r="I644" i="5"/>
  <c r="B644" i="5"/>
  <c r="A644" i="5"/>
  <c r="M643" i="5"/>
  <c r="I643" i="5"/>
  <c r="F643" i="5"/>
  <c r="A643" i="5"/>
  <c r="M642" i="5"/>
  <c r="L642" i="5"/>
  <c r="K642" i="5"/>
  <c r="J642" i="5"/>
  <c r="H642" i="5"/>
  <c r="G642" i="5"/>
  <c r="F642" i="5"/>
  <c r="E642" i="5"/>
  <c r="D642" i="5"/>
  <c r="C642" i="5"/>
  <c r="B642" i="5"/>
  <c r="A642" i="5"/>
  <c r="I642" i="5" s="1"/>
  <c r="I641" i="5"/>
  <c r="C641" i="5"/>
  <c r="A641" i="5"/>
  <c r="M640" i="5"/>
  <c r="L640" i="5"/>
  <c r="H640" i="5"/>
  <c r="F640" i="5"/>
  <c r="E640" i="5"/>
  <c r="D640" i="5"/>
  <c r="A640" i="5"/>
  <c r="K640" i="5" s="1"/>
  <c r="K639" i="5"/>
  <c r="J639" i="5"/>
  <c r="A639" i="5"/>
  <c r="L638" i="5"/>
  <c r="K638" i="5"/>
  <c r="J638" i="5"/>
  <c r="H638" i="5"/>
  <c r="G638" i="5"/>
  <c r="F638" i="5"/>
  <c r="D638" i="5"/>
  <c r="C638" i="5"/>
  <c r="B638" i="5"/>
  <c r="A638" i="5"/>
  <c r="M638" i="5" s="1"/>
  <c r="M637" i="5"/>
  <c r="L637" i="5"/>
  <c r="K637" i="5"/>
  <c r="H637" i="5"/>
  <c r="G637" i="5"/>
  <c r="E637" i="5"/>
  <c r="D637" i="5"/>
  <c r="C637" i="5"/>
  <c r="A637" i="5"/>
  <c r="J637" i="5" s="1"/>
  <c r="D636" i="5"/>
  <c r="A636" i="5"/>
  <c r="M635" i="5"/>
  <c r="A635" i="5"/>
  <c r="M634" i="5"/>
  <c r="L634" i="5"/>
  <c r="K634" i="5"/>
  <c r="J634" i="5"/>
  <c r="H634" i="5"/>
  <c r="G634" i="5"/>
  <c r="F634" i="5"/>
  <c r="E634" i="5"/>
  <c r="D634" i="5"/>
  <c r="C634" i="5"/>
  <c r="B634" i="5"/>
  <c r="A634" i="5"/>
  <c r="I634" i="5" s="1"/>
  <c r="G633" i="5"/>
  <c r="A633" i="5"/>
  <c r="M632" i="5"/>
  <c r="L632" i="5"/>
  <c r="H632" i="5"/>
  <c r="F632" i="5"/>
  <c r="E632" i="5"/>
  <c r="D632" i="5"/>
  <c r="A632" i="5"/>
  <c r="K632" i="5" s="1"/>
  <c r="M631" i="5"/>
  <c r="K631" i="5"/>
  <c r="I631" i="5"/>
  <c r="B631" i="5"/>
  <c r="A631" i="5"/>
  <c r="L630" i="5"/>
  <c r="K630" i="5"/>
  <c r="J630" i="5"/>
  <c r="H630" i="5"/>
  <c r="G630" i="5"/>
  <c r="F630" i="5"/>
  <c r="D630" i="5"/>
  <c r="C630" i="5"/>
  <c r="B630" i="5"/>
  <c r="A630" i="5"/>
  <c r="M630" i="5" s="1"/>
  <c r="M629" i="5"/>
  <c r="L629" i="5"/>
  <c r="K629" i="5"/>
  <c r="H629" i="5"/>
  <c r="G629" i="5"/>
  <c r="E629" i="5"/>
  <c r="D629" i="5"/>
  <c r="C629" i="5"/>
  <c r="A629" i="5"/>
  <c r="J629" i="5" s="1"/>
  <c r="H628" i="5"/>
  <c r="B628" i="5"/>
  <c r="A628" i="5"/>
  <c r="I627" i="5"/>
  <c r="E627" i="5"/>
  <c r="A627" i="5"/>
  <c r="M626" i="5"/>
  <c r="L626" i="5"/>
  <c r="K626" i="5"/>
  <c r="J626" i="5"/>
  <c r="H626" i="5"/>
  <c r="G626" i="5"/>
  <c r="F626" i="5"/>
  <c r="E626" i="5"/>
  <c r="D626" i="5"/>
  <c r="C626" i="5"/>
  <c r="B626" i="5"/>
  <c r="A626" i="5"/>
  <c r="I626" i="5" s="1"/>
  <c r="A625" i="5"/>
  <c r="M624" i="5"/>
  <c r="L624" i="5"/>
  <c r="H624" i="5"/>
  <c r="F624" i="5"/>
  <c r="E624" i="5"/>
  <c r="D624" i="5"/>
  <c r="A624" i="5"/>
  <c r="K624" i="5" s="1"/>
  <c r="M623" i="5"/>
  <c r="A623" i="5"/>
  <c r="L622" i="5"/>
  <c r="K622" i="5"/>
  <c r="J622" i="5"/>
  <c r="H622" i="5"/>
  <c r="G622" i="5"/>
  <c r="F622" i="5"/>
  <c r="D622" i="5"/>
  <c r="C622" i="5"/>
  <c r="B622" i="5"/>
  <c r="A622" i="5"/>
  <c r="M622" i="5" s="1"/>
  <c r="M621" i="5"/>
  <c r="L621" i="5"/>
  <c r="K621" i="5"/>
  <c r="H621" i="5"/>
  <c r="G621" i="5"/>
  <c r="E621" i="5"/>
  <c r="D621" i="5"/>
  <c r="C621" i="5"/>
  <c r="A621" i="5"/>
  <c r="J621" i="5" s="1"/>
  <c r="I620" i="5"/>
  <c r="E620" i="5"/>
  <c r="D620" i="5"/>
  <c r="A620" i="5"/>
  <c r="L620" i="5" s="1"/>
  <c r="I619" i="5"/>
  <c r="F619" i="5"/>
  <c r="E619" i="5"/>
  <c r="A619" i="5"/>
  <c r="M619" i="5" s="1"/>
  <c r="M618" i="5"/>
  <c r="L618" i="5"/>
  <c r="K618" i="5"/>
  <c r="J618" i="5"/>
  <c r="H618" i="5"/>
  <c r="G618" i="5"/>
  <c r="F618" i="5"/>
  <c r="E618" i="5"/>
  <c r="D618" i="5"/>
  <c r="C618" i="5"/>
  <c r="B618" i="5"/>
  <c r="A618" i="5"/>
  <c r="I618" i="5" s="1"/>
  <c r="L617" i="5"/>
  <c r="K617" i="5"/>
  <c r="H617" i="5"/>
  <c r="C617" i="5"/>
  <c r="A617" i="5"/>
  <c r="M616" i="5"/>
  <c r="L616" i="5"/>
  <c r="H616" i="5"/>
  <c r="D616" i="5"/>
  <c r="A616" i="5"/>
  <c r="M615" i="5"/>
  <c r="K615" i="5"/>
  <c r="A615" i="5"/>
  <c r="L614" i="5"/>
  <c r="K614" i="5"/>
  <c r="J614" i="5"/>
  <c r="H614" i="5"/>
  <c r="G614" i="5"/>
  <c r="F614" i="5"/>
  <c r="D614" i="5"/>
  <c r="C614" i="5"/>
  <c r="B614" i="5"/>
  <c r="A614" i="5"/>
  <c r="M614" i="5" s="1"/>
  <c r="M613" i="5"/>
  <c r="L613" i="5"/>
  <c r="K613" i="5"/>
  <c r="H613" i="5"/>
  <c r="G613" i="5"/>
  <c r="E613" i="5"/>
  <c r="D613" i="5"/>
  <c r="C613" i="5"/>
  <c r="A613" i="5"/>
  <c r="J613" i="5" s="1"/>
  <c r="L612" i="5"/>
  <c r="J612" i="5"/>
  <c r="I612" i="5"/>
  <c r="H612" i="5"/>
  <c r="E612" i="5"/>
  <c r="D612" i="5"/>
  <c r="B612" i="5"/>
  <c r="A612" i="5"/>
  <c r="M611" i="5"/>
  <c r="J611" i="5"/>
  <c r="I611" i="5"/>
  <c r="G611" i="5"/>
  <c r="F611" i="5"/>
  <c r="E611" i="5"/>
  <c r="B611" i="5"/>
  <c r="A611" i="5"/>
  <c r="M610" i="5"/>
  <c r="L610" i="5"/>
  <c r="K610" i="5"/>
  <c r="J610" i="5"/>
  <c r="H610" i="5"/>
  <c r="G610" i="5"/>
  <c r="F610" i="5"/>
  <c r="E610" i="5"/>
  <c r="D610" i="5"/>
  <c r="C610" i="5"/>
  <c r="B610" i="5"/>
  <c r="A610" i="5"/>
  <c r="I610" i="5" s="1"/>
  <c r="D609" i="5"/>
  <c r="A609" i="5"/>
  <c r="A608" i="5"/>
  <c r="M607" i="5"/>
  <c r="A607" i="5"/>
  <c r="L606" i="5"/>
  <c r="K606" i="5"/>
  <c r="J606" i="5"/>
  <c r="H606" i="5"/>
  <c r="G606" i="5"/>
  <c r="F606" i="5"/>
  <c r="D606" i="5"/>
  <c r="C606" i="5"/>
  <c r="B606" i="5"/>
  <c r="A606" i="5"/>
  <c r="M606" i="5" s="1"/>
  <c r="M605" i="5"/>
  <c r="L605" i="5"/>
  <c r="K605" i="5"/>
  <c r="H605" i="5"/>
  <c r="G605" i="5"/>
  <c r="E605" i="5"/>
  <c r="D605" i="5"/>
  <c r="C605" i="5"/>
  <c r="A605" i="5"/>
  <c r="J605" i="5" s="1"/>
  <c r="L604" i="5"/>
  <c r="J604" i="5"/>
  <c r="I604" i="5"/>
  <c r="H604" i="5"/>
  <c r="D604" i="5"/>
  <c r="A604" i="5"/>
  <c r="M603" i="5"/>
  <c r="J603" i="5"/>
  <c r="I603" i="5"/>
  <c r="G603" i="5"/>
  <c r="E603" i="5"/>
  <c r="A603" i="5"/>
  <c r="M602" i="5"/>
  <c r="L602" i="5"/>
  <c r="K602" i="5"/>
  <c r="J602" i="5"/>
  <c r="H602" i="5"/>
  <c r="G602" i="5"/>
  <c r="F602" i="5"/>
  <c r="E602" i="5"/>
  <c r="D602" i="5"/>
  <c r="C602" i="5"/>
  <c r="B602" i="5"/>
  <c r="A602" i="5"/>
  <c r="I602" i="5" s="1"/>
  <c r="G601" i="5"/>
  <c r="C601" i="5"/>
  <c r="A601" i="5"/>
  <c r="D600" i="5"/>
  <c r="A600" i="5"/>
  <c r="K599" i="5"/>
  <c r="F599" i="5"/>
  <c r="E599" i="5"/>
  <c r="C599" i="5"/>
  <c r="B599" i="5"/>
  <c r="A599" i="5"/>
  <c r="J599" i="5" s="1"/>
  <c r="L598" i="5"/>
  <c r="K598" i="5"/>
  <c r="J598" i="5"/>
  <c r="H598" i="5"/>
  <c r="G598" i="5"/>
  <c r="F598" i="5"/>
  <c r="D598" i="5"/>
  <c r="C598" i="5"/>
  <c r="B598" i="5"/>
  <c r="A598" i="5"/>
  <c r="M598" i="5" s="1"/>
  <c r="M597" i="5"/>
  <c r="L597" i="5"/>
  <c r="K597" i="5"/>
  <c r="H597" i="5"/>
  <c r="G597" i="5"/>
  <c r="E597" i="5"/>
  <c r="D597" i="5"/>
  <c r="C597" i="5"/>
  <c r="A597" i="5"/>
  <c r="J597" i="5" s="1"/>
  <c r="M596" i="5"/>
  <c r="J596" i="5"/>
  <c r="I596" i="5"/>
  <c r="A596" i="5"/>
  <c r="I595" i="5"/>
  <c r="A595" i="5"/>
  <c r="M594" i="5"/>
  <c r="L594" i="5"/>
  <c r="K594" i="5"/>
  <c r="J594" i="5"/>
  <c r="H594" i="5"/>
  <c r="G594" i="5"/>
  <c r="F594" i="5"/>
  <c r="E594" i="5"/>
  <c r="D594" i="5"/>
  <c r="C594" i="5"/>
  <c r="B594" i="5"/>
  <c r="A594" i="5"/>
  <c r="I594" i="5" s="1"/>
  <c r="L593" i="5"/>
  <c r="H593" i="5"/>
  <c r="G593" i="5"/>
  <c r="D593" i="5"/>
  <c r="C593" i="5"/>
  <c r="A593" i="5"/>
  <c r="K593" i="5" s="1"/>
  <c r="M592" i="5"/>
  <c r="H592" i="5"/>
  <c r="F592" i="5"/>
  <c r="E592" i="5"/>
  <c r="D592" i="5"/>
  <c r="A592" i="5"/>
  <c r="L592" i="5" s="1"/>
  <c r="I591" i="5"/>
  <c r="E591" i="5"/>
  <c r="C591" i="5"/>
  <c r="A591" i="5"/>
  <c r="K591" i="5" s="1"/>
  <c r="L590" i="5"/>
  <c r="K590" i="5"/>
  <c r="J590" i="5"/>
  <c r="H590" i="5"/>
  <c r="G590" i="5"/>
  <c r="F590" i="5"/>
  <c r="D590" i="5"/>
  <c r="C590" i="5"/>
  <c r="B590" i="5"/>
  <c r="A590" i="5"/>
  <c r="M590" i="5" s="1"/>
  <c r="M589" i="5"/>
  <c r="L589" i="5"/>
  <c r="K589" i="5"/>
  <c r="H589" i="5"/>
  <c r="G589" i="5"/>
  <c r="E589" i="5"/>
  <c r="D589" i="5"/>
  <c r="C589" i="5"/>
  <c r="A589" i="5"/>
  <c r="J589" i="5" s="1"/>
  <c r="L588" i="5"/>
  <c r="J588" i="5"/>
  <c r="H588" i="5"/>
  <c r="B588" i="5"/>
  <c r="A588" i="5"/>
  <c r="M587" i="5"/>
  <c r="J587" i="5"/>
  <c r="G587" i="5"/>
  <c r="B587" i="5"/>
  <c r="A587" i="5"/>
  <c r="M586" i="5"/>
  <c r="L586" i="5"/>
  <c r="K586" i="5"/>
  <c r="J586" i="5"/>
  <c r="H586" i="5"/>
  <c r="G586" i="5"/>
  <c r="F586" i="5"/>
  <c r="E586" i="5"/>
  <c r="D586" i="5"/>
  <c r="C586" i="5"/>
  <c r="B586" i="5"/>
  <c r="A586" i="5"/>
  <c r="I586" i="5" s="1"/>
  <c r="I585" i="5"/>
  <c r="G585" i="5"/>
  <c r="D585" i="5"/>
  <c r="A585" i="5"/>
  <c r="L585" i="5" s="1"/>
  <c r="I584" i="5"/>
  <c r="F584" i="5"/>
  <c r="E584" i="5"/>
  <c r="A584" i="5"/>
  <c r="M584" i="5" s="1"/>
  <c r="K583" i="5"/>
  <c r="J583" i="5"/>
  <c r="I583" i="5"/>
  <c r="F583" i="5"/>
  <c r="E583" i="5"/>
  <c r="C583" i="5"/>
  <c r="B583" i="5"/>
  <c r="A583" i="5"/>
  <c r="L582" i="5"/>
  <c r="K582" i="5"/>
  <c r="J582" i="5"/>
  <c r="H582" i="5"/>
  <c r="G582" i="5"/>
  <c r="F582" i="5"/>
  <c r="D582" i="5"/>
  <c r="C582" i="5"/>
  <c r="B582" i="5"/>
  <c r="A582" i="5"/>
  <c r="M582" i="5" s="1"/>
  <c r="M581" i="5"/>
  <c r="L581" i="5"/>
  <c r="K581" i="5"/>
  <c r="H581" i="5"/>
  <c r="G581" i="5"/>
  <c r="E581" i="5"/>
  <c r="D581" i="5"/>
  <c r="C581" i="5"/>
  <c r="A581" i="5"/>
  <c r="J581" i="5" s="1"/>
  <c r="L580" i="5"/>
  <c r="D580" i="5"/>
  <c r="A580" i="5"/>
  <c r="A579" i="5"/>
  <c r="M578" i="5"/>
  <c r="L578" i="5"/>
  <c r="K578" i="5"/>
  <c r="J578" i="5"/>
  <c r="H578" i="5"/>
  <c r="G578" i="5"/>
  <c r="F578" i="5"/>
  <c r="E578" i="5"/>
  <c r="D578" i="5"/>
  <c r="C578" i="5"/>
  <c r="B578" i="5"/>
  <c r="A578" i="5"/>
  <c r="I578" i="5" s="1"/>
  <c r="L577" i="5"/>
  <c r="K577" i="5"/>
  <c r="I577" i="5"/>
  <c r="H577" i="5"/>
  <c r="G577" i="5"/>
  <c r="D577" i="5"/>
  <c r="C577" i="5"/>
  <c r="A577" i="5"/>
  <c r="M576" i="5"/>
  <c r="L576" i="5"/>
  <c r="I576" i="5"/>
  <c r="H576" i="5"/>
  <c r="F576" i="5"/>
  <c r="E576" i="5"/>
  <c r="D576" i="5"/>
  <c r="A576" i="5"/>
  <c r="K575" i="5"/>
  <c r="J575" i="5"/>
  <c r="I575" i="5"/>
  <c r="F575" i="5"/>
  <c r="E575" i="5"/>
  <c r="C575" i="5"/>
  <c r="A575" i="5"/>
  <c r="L574" i="5"/>
  <c r="K574" i="5"/>
  <c r="J574" i="5"/>
  <c r="H574" i="5"/>
  <c r="G574" i="5"/>
  <c r="F574" i="5"/>
  <c r="D574" i="5"/>
  <c r="C574" i="5"/>
  <c r="B574" i="5"/>
  <c r="A574" i="5"/>
  <c r="M574" i="5" s="1"/>
  <c r="M573" i="5"/>
  <c r="L573" i="5"/>
  <c r="K573" i="5"/>
  <c r="H573" i="5"/>
  <c r="G573" i="5"/>
  <c r="E573" i="5"/>
  <c r="D573" i="5"/>
  <c r="C573" i="5"/>
  <c r="A573" i="5"/>
  <c r="J573" i="5" s="1"/>
  <c r="E572" i="5"/>
  <c r="A572" i="5"/>
  <c r="A571" i="5"/>
  <c r="M570" i="5"/>
  <c r="L570" i="5"/>
  <c r="K570" i="5"/>
  <c r="J570" i="5"/>
  <c r="H570" i="5"/>
  <c r="G570" i="5"/>
  <c r="F570" i="5"/>
  <c r="E570" i="5"/>
  <c r="D570" i="5"/>
  <c r="C570" i="5"/>
  <c r="B570" i="5"/>
  <c r="A570" i="5"/>
  <c r="I570" i="5" s="1"/>
  <c r="L569" i="5"/>
  <c r="K569" i="5"/>
  <c r="I569" i="5"/>
  <c r="H569" i="5"/>
  <c r="D569" i="5"/>
  <c r="A569" i="5"/>
  <c r="M568" i="5"/>
  <c r="L568" i="5"/>
  <c r="I568" i="5"/>
  <c r="H568" i="5"/>
  <c r="E568" i="5"/>
  <c r="A568" i="5"/>
  <c r="I567" i="5"/>
  <c r="A567" i="5"/>
  <c r="L566" i="5"/>
  <c r="K566" i="5"/>
  <c r="J566" i="5"/>
  <c r="H566" i="5"/>
  <c r="G566" i="5"/>
  <c r="F566" i="5"/>
  <c r="D566" i="5"/>
  <c r="C566" i="5"/>
  <c r="B566" i="5"/>
  <c r="A566" i="5"/>
  <c r="M566" i="5" s="1"/>
  <c r="M565" i="5"/>
  <c r="L565" i="5"/>
  <c r="K565" i="5"/>
  <c r="H565" i="5"/>
  <c r="G565" i="5"/>
  <c r="E565" i="5"/>
  <c r="D565" i="5"/>
  <c r="C565" i="5"/>
  <c r="A565" i="5"/>
  <c r="J565" i="5" s="1"/>
  <c r="L564" i="5"/>
  <c r="H564" i="5"/>
  <c r="E564" i="5"/>
  <c r="D564" i="5"/>
  <c r="B564" i="5"/>
  <c r="A564" i="5"/>
  <c r="J564" i="5" s="1"/>
  <c r="M563" i="5"/>
  <c r="G563" i="5"/>
  <c r="F563" i="5"/>
  <c r="E563" i="5"/>
  <c r="B563" i="5"/>
  <c r="A563" i="5"/>
  <c r="J563" i="5" s="1"/>
  <c r="M562" i="5"/>
  <c r="L562" i="5"/>
  <c r="K562" i="5"/>
  <c r="J562" i="5"/>
  <c r="H562" i="5"/>
  <c r="G562" i="5"/>
  <c r="F562" i="5"/>
  <c r="E562" i="5"/>
  <c r="D562" i="5"/>
  <c r="C562" i="5"/>
  <c r="B562" i="5"/>
  <c r="A562" i="5"/>
  <c r="I562" i="5" s="1"/>
  <c r="K561" i="5"/>
  <c r="A561" i="5"/>
  <c r="L560" i="5"/>
  <c r="A560" i="5"/>
  <c r="K559" i="5"/>
  <c r="J559" i="5"/>
  <c r="F559" i="5"/>
  <c r="B559" i="5"/>
  <c r="A559" i="5"/>
  <c r="L558" i="5"/>
  <c r="K558" i="5"/>
  <c r="J558" i="5"/>
  <c r="H558" i="5"/>
  <c r="G558" i="5"/>
  <c r="F558" i="5"/>
  <c r="D558" i="5"/>
  <c r="C558" i="5"/>
  <c r="B558" i="5"/>
  <c r="A558" i="5"/>
  <c r="M558" i="5" s="1"/>
  <c r="M557" i="5"/>
  <c r="L557" i="5"/>
  <c r="K557" i="5"/>
  <c r="H557" i="5"/>
  <c r="G557" i="5"/>
  <c r="E557" i="5"/>
  <c r="D557" i="5"/>
  <c r="C557" i="5"/>
  <c r="A557" i="5"/>
  <c r="J557" i="5" s="1"/>
  <c r="I556" i="5"/>
  <c r="E556" i="5"/>
  <c r="D556" i="5"/>
  <c r="A556" i="5"/>
  <c r="L556" i="5" s="1"/>
  <c r="I555" i="5"/>
  <c r="F555" i="5"/>
  <c r="E555" i="5"/>
  <c r="A555" i="5"/>
  <c r="M555" i="5" s="1"/>
  <c r="M554" i="5"/>
  <c r="L554" i="5"/>
  <c r="K554" i="5"/>
  <c r="J554" i="5"/>
  <c r="H554" i="5"/>
  <c r="G554" i="5"/>
  <c r="F554" i="5"/>
  <c r="E554" i="5"/>
  <c r="D554" i="5"/>
  <c r="C554" i="5"/>
  <c r="B554" i="5"/>
  <c r="A554" i="5"/>
  <c r="I554" i="5" s="1"/>
  <c r="L553" i="5"/>
  <c r="K553" i="5"/>
  <c r="H553" i="5"/>
  <c r="C553" i="5"/>
  <c r="A553" i="5"/>
  <c r="M552" i="5"/>
  <c r="L552" i="5"/>
  <c r="H552" i="5"/>
  <c r="D552" i="5"/>
  <c r="A552" i="5"/>
  <c r="C551" i="5"/>
  <c r="A551" i="5"/>
  <c r="L550" i="5"/>
  <c r="K550" i="5"/>
  <c r="J550" i="5"/>
  <c r="H550" i="5"/>
  <c r="G550" i="5"/>
  <c r="F550" i="5"/>
  <c r="D550" i="5"/>
  <c r="C550" i="5"/>
  <c r="B550" i="5"/>
  <c r="A550" i="5"/>
  <c r="M550" i="5" s="1"/>
  <c r="M549" i="5"/>
  <c r="L549" i="5"/>
  <c r="K549" i="5"/>
  <c r="H549" i="5"/>
  <c r="G549" i="5"/>
  <c r="E549" i="5"/>
  <c r="D549" i="5"/>
  <c r="C549" i="5"/>
  <c r="A549" i="5"/>
  <c r="J549" i="5" s="1"/>
  <c r="L548" i="5"/>
  <c r="J548" i="5"/>
  <c r="I548" i="5"/>
  <c r="H548" i="5"/>
  <c r="E548" i="5"/>
  <c r="D548" i="5"/>
  <c r="B548" i="5"/>
  <c r="A548" i="5"/>
  <c r="M547" i="5"/>
  <c r="J547" i="5"/>
  <c r="I547" i="5"/>
  <c r="G547" i="5"/>
  <c r="F547" i="5"/>
  <c r="E547" i="5"/>
  <c r="B547" i="5"/>
  <c r="A547" i="5"/>
  <c r="M546" i="5"/>
  <c r="L546" i="5"/>
  <c r="K546" i="5"/>
  <c r="J546" i="5"/>
  <c r="H546" i="5"/>
  <c r="G546" i="5"/>
  <c r="F546" i="5"/>
  <c r="E546" i="5"/>
  <c r="D546" i="5"/>
  <c r="C546" i="5"/>
  <c r="B546" i="5"/>
  <c r="A546" i="5"/>
  <c r="I546" i="5" s="1"/>
  <c r="L545" i="5"/>
  <c r="D545" i="5"/>
  <c r="A545" i="5"/>
  <c r="E544" i="5"/>
  <c r="A544" i="5"/>
  <c r="A543" i="5"/>
  <c r="L542" i="5"/>
  <c r="K542" i="5"/>
  <c r="J542" i="5"/>
  <c r="H542" i="5"/>
  <c r="G542" i="5"/>
  <c r="F542" i="5"/>
  <c r="D542" i="5"/>
  <c r="C542" i="5"/>
  <c r="B542" i="5"/>
  <c r="A542" i="5"/>
  <c r="M542" i="5" s="1"/>
  <c r="M541" i="5"/>
  <c r="L541" i="5"/>
  <c r="K541" i="5"/>
  <c r="H541" i="5"/>
  <c r="G541" i="5"/>
  <c r="E541" i="5"/>
  <c r="D541" i="5"/>
  <c r="C541" i="5"/>
  <c r="A541" i="5"/>
  <c r="J541" i="5" s="1"/>
  <c r="L540" i="5"/>
  <c r="J540" i="5"/>
  <c r="I540" i="5"/>
  <c r="H540" i="5"/>
  <c r="D540" i="5"/>
  <c r="A540" i="5"/>
  <c r="M539" i="5"/>
  <c r="J539" i="5"/>
  <c r="I539" i="5"/>
  <c r="G539" i="5"/>
  <c r="E539" i="5"/>
  <c r="A539" i="5"/>
  <c r="M538" i="5"/>
  <c r="L538" i="5"/>
  <c r="K538" i="5"/>
  <c r="J538" i="5"/>
  <c r="H538" i="5"/>
  <c r="G538" i="5"/>
  <c r="F538" i="5"/>
  <c r="E538" i="5"/>
  <c r="D538" i="5"/>
  <c r="C538" i="5"/>
  <c r="B538" i="5"/>
  <c r="A538" i="5"/>
  <c r="I538" i="5" s="1"/>
  <c r="A537" i="5"/>
  <c r="F536" i="5"/>
  <c r="D536" i="5"/>
  <c r="A536" i="5"/>
  <c r="K535" i="5"/>
  <c r="I535" i="5"/>
  <c r="F535" i="5"/>
  <c r="E535" i="5"/>
  <c r="C535" i="5"/>
  <c r="B535" i="5"/>
  <c r="A535" i="5"/>
  <c r="J535" i="5" s="1"/>
  <c r="L534" i="5"/>
  <c r="K534" i="5"/>
  <c r="J534" i="5"/>
  <c r="H534" i="5"/>
  <c r="G534" i="5"/>
  <c r="F534" i="5"/>
  <c r="D534" i="5"/>
  <c r="C534" i="5"/>
  <c r="B534" i="5"/>
  <c r="A534" i="5"/>
  <c r="M534" i="5" s="1"/>
  <c r="M533" i="5"/>
  <c r="L533" i="5"/>
  <c r="K533" i="5"/>
  <c r="H533" i="5"/>
  <c r="G533" i="5"/>
  <c r="E533" i="5"/>
  <c r="D533" i="5"/>
  <c r="C533" i="5"/>
  <c r="A533" i="5"/>
  <c r="J533" i="5" s="1"/>
  <c r="I532" i="5"/>
  <c r="A532" i="5"/>
  <c r="J531" i="5"/>
  <c r="A531" i="5"/>
  <c r="M530" i="5"/>
  <c r="L530" i="5"/>
  <c r="K530" i="5"/>
  <c r="J530" i="5"/>
  <c r="H530" i="5"/>
  <c r="G530" i="5"/>
  <c r="F530" i="5"/>
  <c r="E530" i="5"/>
  <c r="D530" i="5"/>
  <c r="C530" i="5"/>
  <c r="B530" i="5"/>
  <c r="A530" i="5"/>
  <c r="I530" i="5" s="1"/>
  <c r="L529" i="5"/>
  <c r="H529" i="5"/>
  <c r="G529" i="5"/>
  <c r="D529" i="5"/>
  <c r="C529" i="5"/>
  <c r="A529" i="5"/>
  <c r="K529" i="5" s="1"/>
  <c r="M528" i="5"/>
  <c r="H528" i="5"/>
  <c r="F528" i="5"/>
  <c r="E528" i="5"/>
  <c r="D528" i="5"/>
  <c r="A528" i="5"/>
  <c r="L528" i="5" s="1"/>
  <c r="I527" i="5"/>
  <c r="E527" i="5"/>
  <c r="C527" i="5"/>
  <c r="A527" i="5"/>
  <c r="K527" i="5" s="1"/>
  <c r="L526" i="5"/>
  <c r="K526" i="5"/>
  <c r="J526" i="5"/>
  <c r="H526" i="5"/>
  <c r="G526" i="5"/>
  <c r="F526" i="5"/>
  <c r="D526" i="5"/>
  <c r="C526" i="5"/>
  <c r="B526" i="5"/>
  <c r="A526" i="5"/>
  <c r="M526" i="5" s="1"/>
  <c r="M525" i="5"/>
  <c r="L525" i="5"/>
  <c r="K525" i="5"/>
  <c r="H525" i="5"/>
  <c r="G525" i="5"/>
  <c r="E525" i="5"/>
  <c r="D525" i="5"/>
  <c r="C525" i="5"/>
  <c r="A525" i="5"/>
  <c r="J525" i="5" s="1"/>
  <c r="L524" i="5"/>
  <c r="J524" i="5"/>
  <c r="H524" i="5"/>
  <c r="B524" i="5"/>
  <c r="A524" i="5"/>
  <c r="M523" i="5"/>
  <c r="J523" i="5"/>
  <c r="G523" i="5"/>
  <c r="B523" i="5"/>
  <c r="A523" i="5"/>
  <c r="M522" i="5"/>
  <c r="L522" i="5"/>
  <c r="K522" i="5"/>
  <c r="J522" i="5"/>
  <c r="H522" i="5"/>
  <c r="G522" i="5"/>
  <c r="F522" i="5"/>
  <c r="E522" i="5"/>
  <c r="D522" i="5"/>
  <c r="C522" i="5"/>
  <c r="B522" i="5"/>
  <c r="A522" i="5"/>
  <c r="I522" i="5" s="1"/>
  <c r="I521" i="5"/>
  <c r="G521" i="5"/>
  <c r="D521" i="5"/>
  <c r="A521" i="5"/>
  <c r="L521" i="5" s="1"/>
  <c r="I520" i="5"/>
  <c r="F520" i="5"/>
  <c r="E520" i="5"/>
  <c r="A520" i="5"/>
  <c r="M520" i="5" s="1"/>
  <c r="K519" i="5"/>
  <c r="J519" i="5"/>
  <c r="I519" i="5"/>
  <c r="F519" i="5"/>
  <c r="E519" i="5"/>
  <c r="C519" i="5"/>
  <c r="B519" i="5"/>
  <c r="A519" i="5"/>
  <c r="L518" i="5"/>
  <c r="K518" i="5"/>
  <c r="J518" i="5"/>
  <c r="H518" i="5"/>
  <c r="G518" i="5"/>
  <c r="F518" i="5"/>
  <c r="D518" i="5"/>
  <c r="C518" i="5"/>
  <c r="B518" i="5"/>
  <c r="A518" i="5"/>
  <c r="M518" i="5" s="1"/>
  <c r="M517" i="5"/>
  <c r="L517" i="5"/>
  <c r="K517" i="5"/>
  <c r="H517" i="5"/>
  <c r="G517" i="5"/>
  <c r="E517" i="5"/>
  <c r="D517" i="5"/>
  <c r="C517" i="5"/>
  <c r="A517" i="5"/>
  <c r="J517" i="5" s="1"/>
  <c r="A516" i="5"/>
  <c r="M515" i="5"/>
  <c r="E515" i="5"/>
  <c r="A515" i="5"/>
  <c r="M514" i="5"/>
  <c r="L514" i="5"/>
  <c r="K514" i="5"/>
  <c r="J514" i="5"/>
  <c r="H514" i="5"/>
  <c r="G514" i="5"/>
  <c r="F514" i="5"/>
  <c r="E514" i="5"/>
  <c r="D514" i="5"/>
  <c r="C514" i="5"/>
  <c r="B514" i="5"/>
  <c r="A514" i="5"/>
  <c r="I514" i="5" s="1"/>
  <c r="L513" i="5"/>
  <c r="K513" i="5"/>
  <c r="I513" i="5"/>
  <c r="H513" i="5"/>
  <c r="G513" i="5"/>
  <c r="D513" i="5"/>
  <c r="C513" i="5"/>
  <c r="A513" i="5"/>
  <c r="M512" i="5"/>
  <c r="L512" i="5"/>
  <c r="I512" i="5"/>
  <c r="H512" i="5"/>
  <c r="F512" i="5"/>
  <c r="E512" i="5"/>
  <c r="D512" i="5"/>
  <c r="A512" i="5"/>
  <c r="K511" i="5"/>
  <c r="I511" i="5"/>
  <c r="G511" i="5"/>
  <c r="A511" i="5"/>
  <c r="L510" i="5"/>
  <c r="K510" i="5"/>
  <c r="J510" i="5"/>
  <c r="H510" i="5"/>
  <c r="G510" i="5"/>
  <c r="F510" i="5"/>
  <c r="D510" i="5"/>
  <c r="C510" i="5"/>
  <c r="B510" i="5"/>
  <c r="A510" i="5"/>
  <c r="M510" i="5" s="1"/>
  <c r="M509" i="5"/>
  <c r="K509" i="5"/>
  <c r="G509" i="5"/>
  <c r="E509" i="5"/>
  <c r="D509" i="5"/>
  <c r="C509" i="5"/>
  <c r="A509" i="5"/>
  <c r="I509" i="5" s="1"/>
  <c r="M508" i="5"/>
  <c r="J508" i="5"/>
  <c r="I508" i="5"/>
  <c r="H508" i="5"/>
  <c r="F508" i="5"/>
  <c r="E508" i="5"/>
  <c r="D508" i="5"/>
  <c r="B508" i="5"/>
  <c r="A508" i="5"/>
  <c r="A507" i="5"/>
  <c r="M506" i="5"/>
  <c r="L506" i="5"/>
  <c r="K506" i="5"/>
  <c r="J506" i="5"/>
  <c r="H506" i="5"/>
  <c r="G506" i="5"/>
  <c r="F506" i="5"/>
  <c r="E506" i="5"/>
  <c r="D506" i="5"/>
  <c r="C506" i="5"/>
  <c r="B506" i="5"/>
  <c r="A506" i="5"/>
  <c r="I506" i="5" s="1"/>
  <c r="M505" i="5"/>
  <c r="K505" i="5"/>
  <c r="I505" i="5"/>
  <c r="H505" i="5"/>
  <c r="G505" i="5"/>
  <c r="E505" i="5"/>
  <c r="D505" i="5"/>
  <c r="C505" i="5"/>
  <c r="A505" i="5"/>
  <c r="A504" i="5"/>
  <c r="C503" i="5"/>
  <c r="A503" i="5"/>
  <c r="L502" i="5"/>
  <c r="K502" i="5"/>
  <c r="J502" i="5"/>
  <c r="H502" i="5"/>
  <c r="G502" i="5"/>
  <c r="F502" i="5"/>
  <c r="D502" i="5"/>
  <c r="C502" i="5"/>
  <c r="B502" i="5"/>
  <c r="A502" i="5"/>
  <c r="M502" i="5" s="1"/>
  <c r="M501" i="5"/>
  <c r="K501" i="5"/>
  <c r="I501" i="5"/>
  <c r="H501" i="5"/>
  <c r="G501" i="5"/>
  <c r="E501" i="5"/>
  <c r="D501" i="5"/>
  <c r="C501" i="5"/>
  <c r="A501" i="5"/>
  <c r="L500" i="5"/>
  <c r="A500" i="5"/>
  <c r="C499" i="5"/>
  <c r="A499" i="5"/>
  <c r="M498" i="5"/>
  <c r="L498" i="5"/>
  <c r="K498" i="5"/>
  <c r="J498" i="5"/>
  <c r="H498" i="5"/>
  <c r="G498" i="5"/>
  <c r="F498" i="5"/>
  <c r="E498" i="5"/>
  <c r="D498" i="5"/>
  <c r="C498" i="5"/>
  <c r="B498" i="5"/>
  <c r="A498" i="5"/>
  <c r="I498" i="5" s="1"/>
  <c r="H497" i="5"/>
  <c r="A497" i="5"/>
  <c r="L496" i="5"/>
  <c r="A496" i="5"/>
  <c r="M495" i="5"/>
  <c r="J495" i="5"/>
  <c r="F495" i="5"/>
  <c r="E495" i="5"/>
  <c r="C495" i="5"/>
  <c r="B495" i="5"/>
  <c r="A495" i="5"/>
  <c r="I495" i="5" s="1"/>
  <c r="L494" i="5"/>
  <c r="K494" i="5"/>
  <c r="J494" i="5"/>
  <c r="H494" i="5"/>
  <c r="G494" i="5"/>
  <c r="F494" i="5"/>
  <c r="D494" i="5"/>
  <c r="C494" i="5"/>
  <c r="B494" i="5"/>
  <c r="A494" i="5"/>
  <c r="M494" i="5" s="1"/>
  <c r="I493" i="5"/>
  <c r="A493" i="5"/>
  <c r="D492" i="5"/>
  <c r="A492" i="5"/>
  <c r="M491" i="5"/>
  <c r="J491" i="5"/>
  <c r="F491" i="5"/>
  <c r="E491" i="5"/>
  <c r="C491" i="5"/>
  <c r="B491" i="5"/>
  <c r="A491" i="5"/>
  <c r="I491" i="5" s="1"/>
  <c r="M490" i="5"/>
  <c r="L490" i="5"/>
  <c r="K490" i="5"/>
  <c r="J490" i="5"/>
  <c r="H490" i="5"/>
  <c r="G490" i="5"/>
  <c r="F490" i="5"/>
  <c r="E490" i="5"/>
  <c r="D490" i="5"/>
  <c r="C490" i="5"/>
  <c r="B490" i="5"/>
  <c r="A490" i="5"/>
  <c r="I490" i="5" s="1"/>
  <c r="L489" i="5"/>
  <c r="A489" i="5"/>
  <c r="M488" i="5"/>
  <c r="J488" i="5"/>
  <c r="F488" i="5"/>
  <c r="E488" i="5"/>
  <c r="D488" i="5"/>
  <c r="B488" i="5"/>
  <c r="A488" i="5"/>
  <c r="I488" i="5" s="1"/>
  <c r="M487" i="5"/>
  <c r="J487" i="5"/>
  <c r="I487" i="5"/>
  <c r="G487" i="5"/>
  <c r="F487" i="5"/>
  <c r="E487" i="5"/>
  <c r="C487" i="5"/>
  <c r="B487" i="5"/>
  <c r="A487" i="5"/>
  <c r="L486" i="5"/>
  <c r="K486" i="5"/>
  <c r="J486" i="5"/>
  <c r="H486" i="5"/>
  <c r="G486" i="5"/>
  <c r="F486" i="5"/>
  <c r="D486" i="5"/>
  <c r="C486" i="5"/>
  <c r="B486" i="5"/>
  <c r="A486" i="5"/>
  <c r="M486" i="5" s="1"/>
  <c r="L485" i="5"/>
  <c r="K485" i="5"/>
  <c r="D485" i="5"/>
  <c r="A485" i="5"/>
  <c r="M484" i="5"/>
  <c r="J484" i="5"/>
  <c r="F484" i="5"/>
  <c r="E484" i="5"/>
  <c r="D484" i="5"/>
  <c r="B484" i="5"/>
  <c r="A484" i="5"/>
  <c r="I484" i="5" s="1"/>
  <c r="M483" i="5"/>
  <c r="J483" i="5"/>
  <c r="I483" i="5"/>
  <c r="G483" i="5"/>
  <c r="F483" i="5"/>
  <c r="E483" i="5"/>
  <c r="C483" i="5"/>
  <c r="B483" i="5"/>
  <c r="A483" i="5"/>
  <c r="M482" i="5"/>
  <c r="L482" i="5"/>
  <c r="K482" i="5"/>
  <c r="J482" i="5"/>
  <c r="H482" i="5"/>
  <c r="G482" i="5"/>
  <c r="F482" i="5"/>
  <c r="E482" i="5"/>
  <c r="D482" i="5"/>
  <c r="C482" i="5"/>
  <c r="B482" i="5"/>
  <c r="A482" i="5"/>
  <c r="I482" i="5" s="1"/>
  <c r="M481" i="5"/>
  <c r="K481" i="5"/>
  <c r="G481" i="5"/>
  <c r="E481" i="5"/>
  <c r="D481" i="5"/>
  <c r="C481" i="5"/>
  <c r="A481" i="5"/>
  <c r="I481" i="5" s="1"/>
  <c r="M480" i="5"/>
  <c r="J480" i="5"/>
  <c r="I480" i="5"/>
  <c r="H480" i="5"/>
  <c r="F480" i="5"/>
  <c r="E480" i="5"/>
  <c r="D480" i="5"/>
  <c r="B480" i="5"/>
  <c r="A480" i="5"/>
  <c r="K479" i="5"/>
  <c r="I479" i="5"/>
  <c r="G479" i="5"/>
  <c r="A479" i="5"/>
  <c r="L478" i="5"/>
  <c r="K478" i="5"/>
  <c r="J478" i="5"/>
  <c r="H478" i="5"/>
  <c r="G478" i="5"/>
  <c r="F478" i="5"/>
  <c r="D478" i="5"/>
  <c r="C478" i="5"/>
  <c r="B478" i="5"/>
  <c r="A478" i="5"/>
  <c r="M478" i="5" s="1"/>
  <c r="M477" i="5"/>
  <c r="K477" i="5"/>
  <c r="G477" i="5"/>
  <c r="E477" i="5"/>
  <c r="D477" i="5"/>
  <c r="C477" i="5"/>
  <c r="A477" i="5"/>
  <c r="I477" i="5" s="1"/>
  <c r="M476" i="5"/>
  <c r="J476" i="5"/>
  <c r="I476" i="5"/>
  <c r="H476" i="5"/>
  <c r="F476" i="5"/>
  <c r="E476" i="5"/>
  <c r="D476" i="5"/>
  <c r="B476" i="5"/>
  <c r="A476" i="5"/>
  <c r="A475" i="5"/>
  <c r="M474" i="5"/>
  <c r="L474" i="5"/>
  <c r="K474" i="5"/>
  <c r="J474" i="5"/>
  <c r="H474" i="5"/>
  <c r="G474" i="5"/>
  <c r="F474" i="5"/>
  <c r="E474" i="5"/>
  <c r="D474" i="5"/>
  <c r="C474" i="5"/>
  <c r="B474" i="5"/>
  <c r="A474" i="5"/>
  <c r="I474" i="5" s="1"/>
  <c r="M473" i="5"/>
  <c r="K473" i="5"/>
  <c r="I473" i="5"/>
  <c r="H473" i="5"/>
  <c r="G473" i="5"/>
  <c r="E473" i="5"/>
  <c r="D473" i="5"/>
  <c r="C473" i="5"/>
  <c r="A473" i="5"/>
  <c r="A472" i="5"/>
  <c r="C471" i="5"/>
  <c r="A471" i="5"/>
  <c r="L470" i="5"/>
  <c r="K470" i="5"/>
  <c r="J470" i="5"/>
  <c r="H470" i="5"/>
  <c r="G470" i="5"/>
  <c r="F470" i="5"/>
  <c r="D470" i="5"/>
  <c r="C470" i="5"/>
  <c r="B470" i="5"/>
  <c r="A470" i="5"/>
  <c r="M470" i="5" s="1"/>
  <c r="M469" i="5"/>
  <c r="K469" i="5"/>
  <c r="I469" i="5"/>
  <c r="H469" i="5"/>
  <c r="G469" i="5"/>
  <c r="E469" i="5"/>
  <c r="D469" i="5"/>
  <c r="C469" i="5"/>
  <c r="A469" i="5"/>
  <c r="L468" i="5"/>
  <c r="A468" i="5"/>
  <c r="A467" i="5"/>
  <c r="M466" i="5"/>
  <c r="L466" i="5"/>
  <c r="K466" i="5"/>
  <c r="J466" i="5"/>
  <c r="H466" i="5"/>
  <c r="G466" i="5"/>
  <c r="F466" i="5"/>
  <c r="E466" i="5"/>
  <c r="D466" i="5"/>
  <c r="C466" i="5"/>
  <c r="B466" i="5"/>
  <c r="A466" i="5"/>
  <c r="I466" i="5" s="1"/>
  <c r="A465" i="5"/>
  <c r="L464" i="5"/>
  <c r="A464" i="5"/>
  <c r="M463" i="5"/>
  <c r="J463" i="5"/>
  <c r="F463" i="5"/>
  <c r="E463" i="5"/>
  <c r="C463" i="5"/>
  <c r="B463" i="5"/>
  <c r="A463" i="5"/>
  <c r="I463" i="5" s="1"/>
  <c r="L462" i="5"/>
  <c r="K462" i="5"/>
  <c r="J462" i="5"/>
  <c r="H462" i="5"/>
  <c r="G462" i="5"/>
  <c r="F462" i="5"/>
  <c r="D462" i="5"/>
  <c r="C462" i="5"/>
  <c r="B462" i="5"/>
  <c r="A462" i="5"/>
  <c r="M462" i="5" s="1"/>
  <c r="A461" i="5"/>
  <c r="D460" i="5"/>
  <c r="A460" i="5"/>
  <c r="M459" i="5"/>
  <c r="J459" i="5"/>
  <c r="F459" i="5"/>
  <c r="E459" i="5"/>
  <c r="C459" i="5"/>
  <c r="B459" i="5"/>
  <c r="A459" i="5"/>
  <c r="I459" i="5" s="1"/>
  <c r="M458" i="5"/>
  <c r="L458" i="5"/>
  <c r="K458" i="5"/>
  <c r="J458" i="5"/>
  <c r="H458" i="5"/>
  <c r="G458" i="5"/>
  <c r="F458" i="5"/>
  <c r="E458" i="5"/>
  <c r="D458" i="5"/>
  <c r="C458" i="5"/>
  <c r="B458" i="5"/>
  <c r="A458" i="5"/>
  <c r="I458" i="5" s="1"/>
  <c r="L457" i="5"/>
  <c r="A457" i="5"/>
  <c r="M456" i="5"/>
  <c r="J456" i="5"/>
  <c r="F456" i="5"/>
  <c r="E456" i="5"/>
  <c r="D456" i="5"/>
  <c r="B456" i="5"/>
  <c r="A456" i="5"/>
  <c r="I456" i="5" s="1"/>
  <c r="M455" i="5"/>
  <c r="J455" i="5"/>
  <c r="I455" i="5"/>
  <c r="G455" i="5"/>
  <c r="F455" i="5"/>
  <c r="E455" i="5"/>
  <c r="C455" i="5"/>
  <c r="B455" i="5"/>
  <c r="A455" i="5"/>
  <c r="L454" i="5"/>
  <c r="K454" i="5"/>
  <c r="J454" i="5"/>
  <c r="H454" i="5"/>
  <c r="G454" i="5"/>
  <c r="F454" i="5"/>
  <c r="D454" i="5"/>
  <c r="C454" i="5"/>
  <c r="B454" i="5"/>
  <c r="A454" i="5"/>
  <c r="M454" i="5" s="1"/>
  <c r="L453" i="5"/>
  <c r="K453" i="5"/>
  <c r="D453" i="5"/>
  <c r="A453" i="5"/>
  <c r="M452" i="5"/>
  <c r="J452" i="5"/>
  <c r="F452" i="5"/>
  <c r="E452" i="5"/>
  <c r="D452" i="5"/>
  <c r="B452" i="5"/>
  <c r="A452" i="5"/>
  <c r="I452" i="5" s="1"/>
  <c r="M451" i="5"/>
  <c r="J451" i="5"/>
  <c r="I451" i="5"/>
  <c r="G451" i="5"/>
  <c r="F451" i="5"/>
  <c r="E451" i="5"/>
  <c r="C451" i="5"/>
  <c r="B451" i="5"/>
  <c r="A451" i="5"/>
  <c r="M450" i="5"/>
  <c r="L450" i="5"/>
  <c r="K450" i="5"/>
  <c r="J450" i="5"/>
  <c r="H450" i="5"/>
  <c r="G450" i="5"/>
  <c r="F450" i="5"/>
  <c r="E450" i="5"/>
  <c r="D450" i="5"/>
  <c r="C450" i="5"/>
  <c r="B450" i="5"/>
  <c r="A450" i="5"/>
  <c r="I450" i="5" s="1"/>
  <c r="M449" i="5"/>
  <c r="K449" i="5"/>
  <c r="G449" i="5"/>
  <c r="E449" i="5"/>
  <c r="D449" i="5"/>
  <c r="C449" i="5"/>
  <c r="A449" i="5"/>
  <c r="I449" i="5" s="1"/>
  <c r="M448" i="5"/>
  <c r="J448" i="5"/>
  <c r="I448" i="5"/>
  <c r="H448" i="5"/>
  <c r="F448" i="5"/>
  <c r="E448" i="5"/>
  <c r="D448" i="5"/>
  <c r="B448" i="5"/>
  <c r="A448" i="5"/>
  <c r="K447" i="5"/>
  <c r="I447" i="5"/>
  <c r="G447" i="5"/>
  <c r="A447" i="5"/>
  <c r="L446" i="5"/>
  <c r="K446" i="5"/>
  <c r="J446" i="5"/>
  <c r="H446" i="5"/>
  <c r="G446" i="5"/>
  <c r="F446" i="5"/>
  <c r="D446" i="5"/>
  <c r="C446" i="5"/>
  <c r="B446" i="5"/>
  <c r="A446" i="5"/>
  <c r="M446" i="5" s="1"/>
  <c r="M445" i="5"/>
  <c r="K445" i="5"/>
  <c r="G445" i="5"/>
  <c r="E445" i="5"/>
  <c r="D445" i="5"/>
  <c r="C445" i="5"/>
  <c r="A445" i="5"/>
  <c r="I445" i="5" s="1"/>
  <c r="M444" i="5"/>
  <c r="J444" i="5"/>
  <c r="I444" i="5"/>
  <c r="H444" i="5"/>
  <c r="F444" i="5"/>
  <c r="E444" i="5"/>
  <c r="D444" i="5"/>
  <c r="B444" i="5"/>
  <c r="A444" i="5"/>
  <c r="G443" i="5"/>
  <c r="A443" i="5"/>
  <c r="M442" i="5"/>
  <c r="L442" i="5"/>
  <c r="K442" i="5"/>
  <c r="J442" i="5"/>
  <c r="H442" i="5"/>
  <c r="G442" i="5"/>
  <c r="F442" i="5"/>
  <c r="E442" i="5"/>
  <c r="D442" i="5"/>
  <c r="C442" i="5"/>
  <c r="B442" i="5"/>
  <c r="A442" i="5"/>
  <c r="I442" i="5" s="1"/>
  <c r="M441" i="5"/>
  <c r="K441" i="5"/>
  <c r="I441" i="5"/>
  <c r="H441" i="5"/>
  <c r="G441" i="5"/>
  <c r="E441" i="5"/>
  <c r="D441" i="5"/>
  <c r="C441" i="5"/>
  <c r="A441" i="5"/>
  <c r="I440" i="5"/>
  <c r="H440" i="5"/>
  <c r="A440" i="5"/>
  <c r="C439" i="5"/>
  <c r="A439" i="5"/>
  <c r="L438" i="5"/>
  <c r="K438" i="5"/>
  <c r="J438" i="5"/>
  <c r="H438" i="5"/>
  <c r="G438" i="5"/>
  <c r="F438" i="5"/>
  <c r="D438" i="5"/>
  <c r="C438" i="5"/>
  <c r="B438" i="5"/>
  <c r="A438" i="5"/>
  <c r="M438" i="5" s="1"/>
  <c r="M437" i="5"/>
  <c r="K437" i="5"/>
  <c r="I437" i="5"/>
  <c r="H437" i="5"/>
  <c r="G437" i="5"/>
  <c r="E437" i="5"/>
  <c r="D437" i="5"/>
  <c r="C437" i="5"/>
  <c r="A437" i="5"/>
  <c r="L436" i="5"/>
  <c r="A436" i="5"/>
  <c r="A435" i="5"/>
  <c r="M434" i="5"/>
  <c r="L434" i="5"/>
  <c r="K434" i="5"/>
  <c r="J434" i="5"/>
  <c r="H434" i="5"/>
  <c r="G434" i="5"/>
  <c r="F434" i="5"/>
  <c r="E434" i="5"/>
  <c r="D434" i="5"/>
  <c r="C434" i="5"/>
  <c r="B434" i="5"/>
  <c r="A434" i="5"/>
  <c r="I434" i="5" s="1"/>
  <c r="A433" i="5"/>
  <c r="L432" i="5"/>
  <c r="A432" i="5"/>
  <c r="M431" i="5"/>
  <c r="J431" i="5"/>
  <c r="F431" i="5"/>
  <c r="E431" i="5"/>
  <c r="C431" i="5"/>
  <c r="B431" i="5"/>
  <c r="A431" i="5"/>
  <c r="I431" i="5" s="1"/>
  <c r="L430" i="5"/>
  <c r="J430" i="5"/>
  <c r="H430" i="5"/>
  <c r="G430" i="5"/>
  <c r="F430" i="5"/>
  <c r="D430" i="5"/>
  <c r="C430" i="5"/>
  <c r="B430" i="5"/>
  <c r="A430" i="5"/>
  <c r="L429" i="5"/>
  <c r="I429" i="5"/>
  <c r="H429" i="5"/>
  <c r="F429" i="5"/>
  <c r="C429" i="5"/>
  <c r="A429" i="5"/>
  <c r="M428" i="5"/>
  <c r="L428" i="5"/>
  <c r="F428" i="5"/>
  <c r="D428" i="5"/>
  <c r="C428" i="5"/>
  <c r="A428" i="5"/>
  <c r="G428" i="5" s="1"/>
  <c r="J427" i="5"/>
  <c r="A427" i="5"/>
  <c r="M426" i="5"/>
  <c r="L426" i="5"/>
  <c r="K426" i="5"/>
  <c r="J426" i="5"/>
  <c r="H426" i="5"/>
  <c r="G426" i="5"/>
  <c r="F426" i="5"/>
  <c r="E426" i="5"/>
  <c r="D426" i="5"/>
  <c r="C426" i="5"/>
  <c r="B426" i="5"/>
  <c r="A426" i="5"/>
  <c r="I426" i="5" s="1"/>
  <c r="J425" i="5"/>
  <c r="A425" i="5"/>
  <c r="E424" i="5"/>
  <c r="B424" i="5"/>
  <c r="A424" i="5"/>
  <c r="M423" i="5"/>
  <c r="L423" i="5"/>
  <c r="I423" i="5"/>
  <c r="G423" i="5"/>
  <c r="F423" i="5"/>
  <c r="E423" i="5"/>
  <c r="D423" i="5"/>
  <c r="C423" i="5"/>
  <c r="A423" i="5"/>
  <c r="H423" i="5" s="1"/>
  <c r="A422" i="5"/>
  <c r="M421" i="5"/>
  <c r="G421" i="5"/>
  <c r="E421" i="5"/>
  <c r="D421" i="5"/>
  <c r="A421" i="5"/>
  <c r="I421" i="5" s="1"/>
  <c r="K420" i="5"/>
  <c r="I420" i="5"/>
  <c r="H420" i="5"/>
  <c r="E420" i="5"/>
  <c r="B420" i="5"/>
  <c r="A420" i="5"/>
  <c r="G420" i="5" s="1"/>
  <c r="M419" i="5"/>
  <c r="K419" i="5"/>
  <c r="I419" i="5"/>
  <c r="F419" i="5"/>
  <c r="E419" i="5"/>
  <c r="C419" i="5"/>
  <c r="B419" i="5"/>
  <c r="A419" i="5"/>
  <c r="H419" i="5" s="1"/>
  <c r="M418" i="5"/>
  <c r="L418" i="5"/>
  <c r="K418" i="5"/>
  <c r="J418" i="5"/>
  <c r="H418" i="5"/>
  <c r="G418" i="5"/>
  <c r="F418" i="5"/>
  <c r="E418" i="5"/>
  <c r="D418" i="5"/>
  <c r="C418" i="5"/>
  <c r="B418" i="5"/>
  <c r="A418" i="5"/>
  <c r="I418" i="5" s="1"/>
  <c r="M417" i="5"/>
  <c r="L417" i="5"/>
  <c r="K417" i="5"/>
  <c r="I417" i="5"/>
  <c r="E417" i="5"/>
  <c r="D417" i="5"/>
  <c r="C417" i="5"/>
  <c r="B417" i="5"/>
  <c r="A417" i="5"/>
  <c r="F417" i="5" s="1"/>
  <c r="M416" i="5"/>
  <c r="I416" i="5"/>
  <c r="H416" i="5"/>
  <c r="G416" i="5"/>
  <c r="F416" i="5"/>
  <c r="E416" i="5"/>
  <c r="D416" i="5"/>
  <c r="A416" i="5"/>
  <c r="M415" i="5"/>
  <c r="K415" i="5"/>
  <c r="B415" i="5"/>
  <c r="A415" i="5"/>
  <c r="L414" i="5"/>
  <c r="K414" i="5"/>
  <c r="I414" i="5"/>
  <c r="H414" i="5"/>
  <c r="G414" i="5"/>
  <c r="F414" i="5"/>
  <c r="D414" i="5"/>
  <c r="C414" i="5"/>
  <c r="B414" i="5"/>
  <c r="A414" i="5"/>
  <c r="L413" i="5"/>
  <c r="I413" i="5"/>
  <c r="H413" i="5"/>
  <c r="F413" i="5"/>
  <c r="C413" i="5"/>
  <c r="A413" i="5"/>
  <c r="M412" i="5"/>
  <c r="L412" i="5"/>
  <c r="F412" i="5"/>
  <c r="D412" i="5"/>
  <c r="C412" i="5"/>
  <c r="A412" i="5"/>
  <c r="G412" i="5" s="1"/>
  <c r="A411" i="5"/>
  <c r="M410" i="5"/>
  <c r="L410" i="5"/>
  <c r="K410" i="5"/>
  <c r="J410" i="5"/>
  <c r="H410" i="5"/>
  <c r="G410" i="5"/>
  <c r="F410" i="5"/>
  <c r="E410" i="5"/>
  <c r="D410" i="5"/>
  <c r="C410" i="5"/>
  <c r="B410" i="5"/>
  <c r="A410" i="5"/>
  <c r="I410" i="5" s="1"/>
  <c r="A409" i="5"/>
  <c r="L408" i="5"/>
  <c r="J408" i="5"/>
  <c r="A408" i="5"/>
  <c r="M407" i="5"/>
  <c r="L407" i="5"/>
  <c r="I407" i="5"/>
  <c r="G407" i="5"/>
  <c r="F407" i="5"/>
  <c r="E407" i="5"/>
  <c r="D407" i="5"/>
  <c r="C407" i="5"/>
  <c r="A407" i="5"/>
  <c r="H407" i="5" s="1"/>
  <c r="L406" i="5"/>
  <c r="J406" i="5"/>
  <c r="I406" i="5"/>
  <c r="C406" i="5"/>
  <c r="A406" i="5"/>
  <c r="M405" i="5"/>
  <c r="G405" i="5"/>
  <c r="E405" i="5"/>
  <c r="D405" i="5"/>
  <c r="A405" i="5"/>
  <c r="I405" i="5" s="1"/>
  <c r="K404" i="5"/>
  <c r="I404" i="5"/>
  <c r="H404" i="5"/>
  <c r="E404" i="5"/>
  <c r="B404" i="5"/>
  <c r="A404" i="5"/>
  <c r="G404" i="5" s="1"/>
  <c r="M403" i="5"/>
  <c r="K403" i="5"/>
  <c r="I403" i="5"/>
  <c r="F403" i="5"/>
  <c r="E403" i="5"/>
  <c r="C403" i="5"/>
  <c r="B403" i="5"/>
  <c r="A403" i="5"/>
  <c r="H403" i="5" s="1"/>
  <c r="M402" i="5"/>
  <c r="L402" i="5"/>
  <c r="K402" i="5"/>
  <c r="J402" i="5"/>
  <c r="H402" i="5"/>
  <c r="G402" i="5"/>
  <c r="F402" i="5"/>
  <c r="E402" i="5"/>
  <c r="D402" i="5"/>
  <c r="C402" i="5"/>
  <c r="B402" i="5"/>
  <c r="A402" i="5"/>
  <c r="I402" i="5" s="1"/>
  <c r="M401" i="5"/>
  <c r="L401" i="5"/>
  <c r="K401" i="5"/>
  <c r="I401" i="5"/>
  <c r="E401" i="5"/>
  <c r="D401" i="5"/>
  <c r="C401" i="5"/>
  <c r="B401" i="5"/>
  <c r="A401" i="5"/>
  <c r="F401" i="5" s="1"/>
  <c r="M400" i="5"/>
  <c r="I400" i="5"/>
  <c r="H400" i="5"/>
  <c r="G400" i="5"/>
  <c r="F400" i="5"/>
  <c r="E400" i="5"/>
  <c r="D400" i="5"/>
  <c r="A400" i="5"/>
  <c r="B399" i="5"/>
  <c r="A399" i="5"/>
  <c r="L398" i="5"/>
  <c r="K398" i="5"/>
  <c r="I398" i="5"/>
  <c r="H398" i="5"/>
  <c r="G398" i="5"/>
  <c r="F398" i="5"/>
  <c r="D398" i="5"/>
  <c r="C398" i="5"/>
  <c r="B398" i="5"/>
  <c r="A398" i="5"/>
  <c r="L397" i="5"/>
  <c r="I397" i="5"/>
  <c r="H397" i="5"/>
  <c r="F397" i="5"/>
  <c r="C397" i="5"/>
  <c r="A397" i="5"/>
  <c r="M396" i="5"/>
  <c r="L396" i="5"/>
  <c r="F396" i="5"/>
  <c r="D396" i="5"/>
  <c r="C396" i="5"/>
  <c r="A396" i="5"/>
  <c r="G396" i="5" s="1"/>
  <c r="J395" i="5"/>
  <c r="H395" i="5"/>
  <c r="G395" i="5"/>
  <c r="A395" i="5"/>
  <c r="M394" i="5"/>
  <c r="L394" i="5"/>
  <c r="K394" i="5"/>
  <c r="J394" i="5"/>
  <c r="H394" i="5"/>
  <c r="G394" i="5"/>
  <c r="F394" i="5"/>
  <c r="E394" i="5"/>
  <c r="D394" i="5"/>
  <c r="C394" i="5"/>
  <c r="B394" i="5"/>
  <c r="A394" i="5"/>
  <c r="I394" i="5" s="1"/>
  <c r="J393" i="5"/>
  <c r="H393" i="5"/>
  <c r="G393" i="5"/>
  <c r="A393" i="5"/>
  <c r="A392" i="5"/>
  <c r="M391" i="5"/>
  <c r="L391" i="5"/>
  <c r="I391" i="5"/>
  <c r="G391" i="5"/>
  <c r="F391" i="5"/>
  <c r="E391" i="5"/>
  <c r="D391" i="5"/>
  <c r="C391" i="5"/>
  <c r="A391" i="5"/>
  <c r="H391" i="5" s="1"/>
  <c r="L390" i="5"/>
  <c r="J390" i="5"/>
  <c r="C390" i="5"/>
  <c r="A390" i="5"/>
  <c r="M389" i="5"/>
  <c r="G389" i="5"/>
  <c r="E389" i="5"/>
  <c r="D389" i="5"/>
  <c r="A389" i="5"/>
  <c r="I389" i="5" s="1"/>
  <c r="K388" i="5"/>
  <c r="I388" i="5"/>
  <c r="H388" i="5"/>
  <c r="E388" i="5"/>
  <c r="B388" i="5"/>
  <c r="A388" i="5"/>
  <c r="G388" i="5" s="1"/>
  <c r="M387" i="5"/>
  <c r="K387" i="5"/>
  <c r="I387" i="5"/>
  <c r="F387" i="5"/>
  <c r="E387" i="5"/>
  <c r="C387" i="5"/>
  <c r="B387" i="5"/>
  <c r="A387" i="5"/>
  <c r="H387" i="5" s="1"/>
  <c r="M386" i="5"/>
  <c r="L386" i="5"/>
  <c r="K386" i="5"/>
  <c r="J386" i="5"/>
  <c r="H386" i="5"/>
  <c r="G386" i="5"/>
  <c r="F386" i="5"/>
  <c r="E386" i="5"/>
  <c r="D386" i="5"/>
  <c r="C386" i="5"/>
  <c r="B386" i="5"/>
  <c r="A386" i="5"/>
  <c r="I386" i="5" s="1"/>
  <c r="M385" i="5"/>
  <c r="L385" i="5"/>
  <c r="K385" i="5"/>
  <c r="I385" i="5"/>
  <c r="E385" i="5"/>
  <c r="D385" i="5"/>
  <c r="C385" i="5"/>
  <c r="B385" i="5"/>
  <c r="A385" i="5"/>
  <c r="F385" i="5" s="1"/>
  <c r="M384" i="5"/>
  <c r="I384" i="5"/>
  <c r="H384" i="5"/>
  <c r="G384" i="5"/>
  <c r="F384" i="5"/>
  <c r="E384" i="5"/>
  <c r="D384" i="5"/>
  <c r="A384" i="5"/>
  <c r="M383" i="5"/>
  <c r="K383" i="5"/>
  <c r="J383" i="5"/>
  <c r="D383" i="5"/>
  <c r="B383" i="5"/>
  <c r="A383" i="5"/>
  <c r="L382" i="5"/>
  <c r="K382" i="5"/>
  <c r="I382" i="5"/>
  <c r="H382" i="5"/>
  <c r="G382" i="5"/>
  <c r="F382" i="5"/>
  <c r="D382" i="5"/>
  <c r="C382" i="5"/>
  <c r="B382" i="5"/>
  <c r="A382" i="5"/>
  <c r="L381" i="5"/>
  <c r="I381" i="5"/>
  <c r="H381" i="5"/>
  <c r="F381" i="5"/>
  <c r="C381" i="5"/>
  <c r="A381" i="5"/>
  <c r="M380" i="5"/>
  <c r="L380" i="5"/>
  <c r="F380" i="5"/>
  <c r="D380" i="5"/>
  <c r="C380" i="5"/>
  <c r="A380" i="5"/>
  <c r="G380" i="5" s="1"/>
  <c r="J379" i="5"/>
  <c r="G379" i="5"/>
  <c r="A379" i="5"/>
  <c r="M378" i="5"/>
  <c r="L378" i="5"/>
  <c r="K378" i="5"/>
  <c r="J378" i="5"/>
  <c r="H378" i="5"/>
  <c r="G378" i="5"/>
  <c r="F378" i="5"/>
  <c r="E378" i="5"/>
  <c r="D378" i="5"/>
  <c r="C378" i="5"/>
  <c r="B378" i="5"/>
  <c r="A378" i="5"/>
  <c r="I378" i="5" s="1"/>
  <c r="J377" i="5"/>
  <c r="G377" i="5"/>
  <c r="A377" i="5"/>
  <c r="J376" i="5"/>
  <c r="E376" i="5"/>
  <c r="B376" i="5"/>
  <c r="A376" i="5"/>
  <c r="L376" i="5" s="1"/>
  <c r="M375" i="5"/>
  <c r="L375" i="5"/>
  <c r="I375" i="5"/>
  <c r="G375" i="5"/>
  <c r="F375" i="5"/>
  <c r="E375" i="5"/>
  <c r="D375" i="5"/>
  <c r="C375" i="5"/>
  <c r="A375" i="5"/>
  <c r="H375" i="5" s="1"/>
  <c r="A374" i="5"/>
  <c r="M373" i="5"/>
  <c r="G373" i="5"/>
  <c r="E373" i="5"/>
  <c r="D373" i="5"/>
  <c r="A373" i="5"/>
  <c r="I373" i="5" s="1"/>
  <c r="K372" i="5"/>
  <c r="I372" i="5"/>
  <c r="H372" i="5"/>
  <c r="E372" i="5"/>
  <c r="B372" i="5"/>
  <c r="A372" i="5"/>
  <c r="G372" i="5" s="1"/>
  <c r="M371" i="5"/>
  <c r="K371" i="5"/>
  <c r="I371" i="5"/>
  <c r="F371" i="5"/>
  <c r="E371" i="5"/>
  <c r="C371" i="5"/>
  <c r="B371" i="5"/>
  <c r="A371" i="5"/>
  <c r="H371" i="5" s="1"/>
  <c r="M370" i="5"/>
  <c r="L370" i="5"/>
  <c r="K370" i="5"/>
  <c r="J370" i="5"/>
  <c r="H370" i="5"/>
  <c r="G370" i="5"/>
  <c r="F370" i="5"/>
  <c r="E370" i="5"/>
  <c r="D370" i="5"/>
  <c r="C370" i="5"/>
  <c r="B370" i="5"/>
  <c r="A370" i="5"/>
  <c r="I370" i="5" s="1"/>
  <c r="M369" i="5"/>
  <c r="L369" i="5"/>
  <c r="K369" i="5"/>
  <c r="I369" i="5"/>
  <c r="E369" i="5"/>
  <c r="D369" i="5"/>
  <c r="C369" i="5"/>
  <c r="B369" i="5"/>
  <c r="A369" i="5"/>
  <c r="F369" i="5" s="1"/>
  <c r="M368" i="5"/>
  <c r="I368" i="5"/>
  <c r="H368" i="5"/>
  <c r="G368" i="5"/>
  <c r="F368" i="5"/>
  <c r="E368" i="5"/>
  <c r="D368" i="5"/>
  <c r="A368" i="5"/>
  <c r="M367" i="5"/>
  <c r="K367" i="5"/>
  <c r="D367" i="5"/>
  <c r="B367" i="5"/>
  <c r="A367" i="5"/>
  <c r="L366" i="5"/>
  <c r="K366" i="5"/>
  <c r="I366" i="5"/>
  <c r="H366" i="5"/>
  <c r="G366" i="5"/>
  <c r="F366" i="5"/>
  <c r="D366" i="5"/>
  <c r="C366" i="5"/>
  <c r="B366" i="5"/>
  <c r="A366" i="5"/>
  <c r="L365" i="5"/>
  <c r="I365" i="5"/>
  <c r="H365" i="5"/>
  <c r="F365" i="5"/>
  <c r="C365" i="5"/>
  <c r="A365" i="5"/>
  <c r="M364" i="5"/>
  <c r="L364" i="5"/>
  <c r="F364" i="5"/>
  <c r="D364" i="5"/>
  <c r="C364" i="5"/>
  <c r="A364" i="5"/>
  <c r="G364" i="5" s="1"/>
  <c r="A363" i="5"/>
  <c r="M362" i="5"/>
  <c r="L362" i="5"/>
  <c r="K362" i="5"/>
  <c r="J362" i="5"/>
  <c r="H362" i="5"/>
  <c r="G362" i="5"/>
  <c r="F362" i="5"/>
  <c r="E362" i="5"/>
  <c r="D362" i="5"/>
  <c r="C362" i="5"/>
  <c r="B362" i="5"/>
  <c r="A362" i="5"/>
  <c r="I362" i="5" s="1"/>
  <c r="G361" i="5"/>
  <c r="A361" i="5"/>
  <c r="L360" i="5"/>
  <c r="J360" i="5"/>
  <c r="B360" i="5"/>
  <c r="A360" i="5"/>
  <c r="M359" i="5"/>
  <c r="L359" i="5"/>
  <c r="I359" i="5"/>
  <c r="G359" i="5"/>
  <c r="F359" i="5"/>
  <c r="E359" i="5"/>
  <c r="D359" i="5"/>
  <c r="C359" i="5"/>
  <c r="A359" i="5"/>
  <c r="H359" i="5" s="1"/>
  <c r="L358" i="5"/>
  <c r="J358" i="5"/>
  <c r="I358" i="5"/>
  <c r="C358" i="5"/>
  <c r="A358" i="5"/>
  <c r="M357" i="5"/>
  <c r="G357" i="5"/>
  <c r="E357" i="5"/>
  <c r="D357" i="5"/>
  <c r="A357" i="5"/>
  <c r="I357" i="5" s="1"/>
  <c r="K356" i="5"/>
  <c r="I356" i="5"/>
  <c r="H356" i="5"/>
  <c r="E356" i="5"/>
  <c r="B356" i="5"/>
  <c r="A356" i="5"/>
  <c r="G356" i="5" s="1"/>
  <c r="M355" i="5"/>
  <c r="K355" i="5"/>
  <c r="I355" i="5"/>
  <c r="F355" i="5"/>
  <c r="E355" i="5"/>
  <c r="C355" i="5"/>
  <c r="B355" i="5"/>
  <c r="A355" i="5"/>
  <c r="H355" i="5" s="1"/>
  <c r="M354" i="5"/>
  <c r="L354" i="5"/>
  <c r="K354" i="5"/>
  <c r="J354" i="5"/>
  <c r="H354" i="5"/>
  <c r="G354" i="5"/>
  <c r="F354" i="5"/>
  <c r="E354" i="5"/>
  <c r="D354" i="5"/>
  <c r="C354" i="5"/>
  <c r="B354" i="5"/>
  <c r="A354" i="5"/>
  <c r="I354" i="5" s="1"/>
  <c r="M353" i="5"/>
  <c r="L353" i="5"/>
  <c r="K353" i="5"/>
  <c r="I353" i="5"/>
  <c r="E353" i="5"/>
  <c r="D353" i="5"/>
  <c r="C353" i="5"/>
  <c r="B353" i="5"/>
  <c r="A353" i="5"/>
  <c r="F353" i="5" s="1"/>
  <c r="M352" i="5"/>
  <c r="I352" i="5"/>
  <c r="H352" i="5"/>
  <c r="G352" i="5"/>
  <c r="F352" i="5"/>
  <c r="E352" i="5"/>
  <c r="D352" i="5"/>
  <c r="A352" i="5"/>
  <c r="A351" i="5"/>
  <c r="L350" i="5"/>
  <c r="K350" i="5"/>
  <c r="I350" i="5"/>
  <c r="H350" i="5"/>
  <c r="G350" i="5"/>
  <c r="F350" i="5"/>
  <c r="D350" i="5"/>
  <c r="C350" i="5"/>
  <c r="B350" i="5"/>
  <c r="A350" i="5"/>
  <c r="L349" i="5"/>
  <c r="I349" i="5"/>
  <c r="H349" i="5"/>
  <c r="F349" i="5"/>
  <c r="C349" i="5"/>
  <c r="A349" i="5"/>
  <c r="M348" i="5"/>
  <c r="L348" i="5"/>
  <c r="F348" i="5"/>
  <c r="D348" i="5"/>
  <c r="C348" i="5"/>
  <c r="A348" i="5"/>
  <c r="G348" i="5" s="1"/>
  <c r="J347" i="5"/>
  <c r="H347" i="5"/>
  <c r="G347" i="5"/>
  <c r="A347" i="5"/>
  <c r="M346" i="5"/>
  <c r="L346" i="5"/>
  <c r="K346" i="5"/>
  <c r="J346" i="5"/>
  <c r="H346" i="5"/>
  <c r="G346" i="5"/>
  <c r="F346" i="5"/>
  <c r="E346" i="5"/>
  <c r="D346" i="5"/>
  <c r="C346" i="5"/>
  <c r="B346" i="5"/>
  <c r="A346" i="5"/>
  <c r="I346" i="5" s="1"/>
  <c r="J345" i="5"/>
  <c r="H345" i="5"/>
  <c r="G345" i="5"/>
  <c r="A345" i="5"/>
  <c r="M344" i="5"/>
  <c r="L344" i="5"/>
  <c r="J344" i="5"/>
  <c r="H344" i="5"/>
  <c r="E344" i="5"/>
  <c r="D344" i="5"/>
  <c r="C344" i="5"/>
  <c r="B344" i="5"/>
  <c r="A344" i="5"/>
  <c r="K344" i="5" s="1"/>
  <c r="M343" i="5"/>
  <c r="J343" i="5"/>
  <c r="H343" i="5"/>
  <c r="G343" i="5"/>
  <c r="E343" i="5"/>
  <c r="B343" i="5"/>
  <c r="A343" i="5"/>
  <c r="F343" i="5" s="1"/>
  <c r="M342" i="5"/>
  <c r="L342" i="5"/>
  <c r="K342" i="5"/>
  <c r="J342" i="5"/>
  <c r="H342" i="5"/>
  <c r="G342" i="5"/>
  <c r="F342" i="5"/>
  <c r="E342" i="5"/>
  <c r="D342" i="5"/>
  <c r="C342" i="5"/>
  <c r="B342" i="5"/>
  <c r="A342" i="5"/>
  <c r="I342" i="5" s="1"/>
  <c r="L341" i="5"/>
  <c r="J341" i="5"/>
  <c r="I341" i="5"/>
  <c r="B341" i="5"/>
  <c r="A341" i="5"/>
  <c r="G340" i="5"/>
  <c r="F340" i="5"/>
  <c r="A340" i="5"/>
  <c r="L339" i="5"/>
  <c r="K339" i="5"/>
  <c r="F339" i="5"/>
  <c r="D339" i="5"/>
  <c r="C339" i="5"/>
  <c r="A339" i="5"/>
  <c r="J339" i="5" s="1"/>
  <c r="K338" i="5"/>
  <c r="I338" i="5"/>
  <c r="A338" i="5"/>
  <c r="M337" i="5"/>
  <c r="L337" i="5"/>
  <c r="K337" i="5"/>
  <c r="H337" i="5"/>
  <c r="G337" i="5"/>
  <c r="F337" i="5"/>
  <c r="E337" i="5"/>
  <c r="D337" i="5"/>
  <c r="C337" i="5"/>
  <c r="A337" i="5"/>
  <c r="J337" i="5" s="1"/>
  <c r="M336" i="5"/>
  <c r="L336" i="5"/>
  <c r="K336" i="5"/>
  <c r="J336" i="5"/>
  <c r="H336" i="5"/>
  <c r="E336" i="5"/>
  <c r="D336" i="5"/>
  <c r="C336" i="5"/>
  <c r="B336" i="5"/>
  <c r="A336" i="5"/>
  <c r="I336" i="5" s="1"/>
  <c r="M335" i="5"/>
  <c r="J335" i="5"/>
  <c r="H335" i="5"/>
  <c r="G335" i="5"/>
  <c r="E335" i="5"/>
  <c r="B335" i="5"/>
  <c r="A335" i="5"/>
  <c r="F335" i="5" s="1"/>
  <c r="M334" i="5"/>
  <c r="L334" i="5"/>
  <c r="K334" i="5"/>
  <c r="J334" i="5"/>
  <c r="H334" i="5"/>
  <c r="G334" i="5"/>
  <c r="F334" i="5"/>
  <c r="E334" i="5"/>
  <c r="D334" i="5"/>
  <c r="C334" i="5"/>
  <c r="B334" i="5"/>
  <c r="A334" i="5"/>
  <c r="I334" i="5" s="1"/>
  <c r="D333" i="5"/>
  <c r="B333" i="5"/>
  <c r="A333" i="5"/>
  <c r="I332" i="5"/>
  <c r="F332" i="5"/>
  <c r="A332" i="5"/>
  <c r="L331" i="5"/>
  <c r="K331" i="5"/>
  <c r="F331" i="5"/>
  <c r="D331" i="5"/>
  <c r="C331" i="5"/>
  <c r="A331" i="5"/>
  <c r="J331" i="5" s="1"/>
  <c r="C330" i="5"/>
  <c r="A330" i="5"/>
  <c r="M329" i="5"/>
  <c r="L329" i="5"/>
  <c r="K329" i="5"/>
  <c r="H329" i="5"/>
  <c r="G329" i="5"/>
  <c r="F329" i="5"/>
  <c r="E329" i="5"/>
  <c r="D329" i="5"/>
  <c r="C329" i="5"/>
  <c r="A329" i="5"/>
  <c r="J329" i="5" s="1"/>
  <c r="M328" i="5"/>
  <c r="L328" i="5"/>
  <c r="K328" i="5"/>
  <c r="J328" i="5"/>
  <c r="H328" i="5"/>
  <c r="E328" i="5"/>
  <c r="D328" i="5"/>
  <c r="C328" i="5"/>
  <c r="B328" i="5"/>
  <c r="A328" i="5"/>
  <c r="I328" i="5" s="1"/>
  <c r="M327" i="5"/>
  <c r="J327" i="5"/>
  <c r="H327" i="5"/>
  <c r="G327" i="5"/>
  <c r="E327" i="5"/>
  <c r="B327" i="5"/>
  <c r="A327" i="5"/>
  <c r="F327" i="5" s="1"/>
  <c r="M326" i="5"/>
  <c r="L326" i="5"/>
  <c r="K326" i="5"/>
  <c r="J326" i="5"/>
  <c r="H326" i="5"/>
  <c r="G326" i="5"/>
  <c r="F326" i="5"/>
  <c r="E326" i="5"/>
  <c r="D326" i="5"/>
  <c r="C326" i="5"/>
  <c r="B326" i="5"/>
  <c r="A326" i="5"/>
  <c r="I326" i="5" s="1"/>
  <c r="L325" i="5"/>
  <c r="J325" i="5"/>
  <c r="I325" i="5"/>
  <c r="B325" i="5"/>
  <c r="A325" i="5"/>
  <c r="F324" i="5"/>
  <c r="A324" i="5"/>
  <c r="L323" i="5"/>
  <c r="K323" i="5"/>
  <c r="F323" i="5"/>
  <c r="D323" i="5"/>
  <c r="C323" i="5"/>
  <c r="A323" i="5"/>
  <c r="J323" i="5" s="1"/>
  <c r="K322" i="5"/>
  <c r="I322" i="5"/>
  <c r="A322" i="5"/>
  <c r="M321" i="5"/>
  <c r="L321" i="5"/>
  <c r="K321" i="5"/>
  <c r="H321" i="5"/>
  <c r="G321" i="5"/>
  <c r="F321" i="5"/>
  <c r="E321" i="5"/>
  <c r="D321" i="5"/>
  <c r="C321" i="5"/>
  <c r="A321" i="5"/>
  <c r="J321" i="5" s="1"/>
  <c r="M320" i="5"/>
  <c r="L320" i="5"/>
  <c r="K320" i="5"/>
  <c r="J320" i="5"/>
  <c r="H320" i="5"/>
  <c r="E320" i="5"/>
  <c r="D320" i="5"/>
  <c r="C320" i="5"/>
  <c r="B320" i="5"/>
  <c r="A320" i="5"/>
  <c r="I320" i="5" s="1"/>
  <c r="M319" i="5"/>
  <c r="J319" i="5"/>
  <c r="H319" i="5"/>
  <c r="G319" i="5"/>
  <c r="E319" i="5"/>
  <c r="B319" i="5"/>
  <c r="A319" i="5"/>
  <c r="F319" i="5" s="1"/>
  <c r="M318" i="5"/>
  <c r="L318" i="5"/>
  <c r="K318" i="5"/>
  <c r="J318" i="5"/>
  <c r="H318" i="5"/>
  <c r="G318" i="5"/>
  <c r="F318" i="5"/>
  <c r="E318" i="5"/>
  <c r="D318" i="5"/>
  <c r="C318" i="5"/>
  <c r="B318" i="5"/>
  <c r="A318" i="5"/>
  <c r="I318" i="5" s="1"/>
  <c r="D317" i="5"/>
  <c r="B317" i="5"/>
  <c r="A317" i="5"/>
  <c r="I316" i="5"/>
  <c r="F316" i="5"/>
  <c r="A316" i="5"/>
  <c r="L315" i="5"/>
  <c r="K315" i="5"/>
  <c r="F315" i="5"/>
  <c r="D315" i="5"/>
  <c r="C315" i="5"/>
  <c r="A315" i="5"/>
  <c r="J315" i="5" s="1"/>
  <c r="C314" i="5"/>
  <c r="A314" i="5"/>
  <c r="M313" i="5"/>
  <c r="L313" i="5"/>
  <c r="K313" i="5"/>
  <c r="H313" i="5"/>
  <c r="G313" i="5"/>
  <c r="F313" i="5"/>
  <c r="E313" i="5"/>
  <c r="D313" i="5"/>
  <c r="C313" i="5"/>
  <c r="A313" i="5"/>
  <c r="J313" i="5" s="1"/>
  <c r="M312" i="5"/>
  <c r="L312" i="5"/>
  <c r="K312" i="5"/>
  <c r="J312" i="5"/>
  <c r="H312" i="5"/>
  <c r="E312" i="5"/>
  <c r="D312" i="5"/>
  <c r="C312" i="5"/>
  <c r="B312" i="5"/>
  <c r="A312" i="5"/>
  <c r="I312" i="5" s="1"/>
  <c r="M311" i="5"/>
  <c r="J311" i="5"/>
  <c r="H311" i="5"/>
  <c r="G311" i="5"/>
  <c r="E311" i="5"/>
  <c r="B311" i="5"/>
  <c r="A311" i="5"/>
  <c r="F311" i="5" s="1"/>
  <c r="M310" i="5"/>
  <c r="L310" i="5"/>
  <c r="K310" i="5"/>
  <c r="J310" i="5"/>
  <c r="H310" i="5"/>
  <c r="G310" i="5"/>
  <c r="F310" i="5"/>
  <c r="E310" i="5"/>
  <c r="D310" i="5"/>
  <c r="C310" i="5"/>
  <c r="B310" i="5"/>
  <c r="A310" i="5"/>
  <c r="I310" i="5" s="1"/>
  <c r="L309" i="5"/>
  <c r="J309" i="5"/>
  <c r="I309" i="5"/>
  <c r="B309" i="5"/>
  <c r="A309" i="5"/>
  <c r="A308" i="5"/>
  <c r="L307" i="5"/>
  <c r="K307" i="5"/>
  <c r="F307" i="5"/>
  <c r="D307" i="5"/>
  <c r="C307" i="5"/>
  <c r="A307" i="5"/>
  <c r="J307" i="5" s="1"/>
  <c r="K306" i="5"/>
  <c r="I306" i="5"/>
  <c r="A306" i="5"/>
  <c r="M305" i="5"/>
  <c r="L305" i="5"/>
  <c r="K305" i="5"/>
  <c r="H305" i="5"/>
  <c r="G305" i="5"/>
  <c r="F305" i="5"/>
  <c r="E305" i="5"/>
  <c r="D305" i="5"/>
  <c r="C305" i="5"/>
  <c r="A305" i="5"/>
  <c r="J305" i="5" s="1"/>
  <c r="M304" i="5"/>
  <c r="L304" i="5"/>
  <c r="K304" i="5"/>
  <c r="J304" i="5"/>
  <c r="H304" i="5"/>
  <c r="E304" i="5"/>
  <c r="D304" i="5"/>
  <c r="C304" i="5"/>
  <c r="B304" i="5"/>
  <c r="A304" i="5"/>
  <c r="I304" i="5" s="1"/>
  <c r="M303" i="5"/>
  <c r="J303" i="5"/>
  <c r="H303" i="5"/>
  <c r="G303" i="5"/>
  <c r="E303" i="5"/>
  <c r="B303" i="5"/>
  <c r="A303" i="5"/>
  <c r="F303" i="5" s="1"/>
  <c r="M302" i="5"/>
  <c r="L302" i="5"/>
  <c r="K302" i="5"/>
  <c r="J302" i="5"/>
  <c r="H302" i="5"/>
  <c r="G302" i="5"/>
  <c r="F302" i="5"/>
  <c r="E302" i="5"/>
  <c r="D302" i="5"/>
  <c r="C302" i="5"/>
  <c r="B302" i="5"/>
  <c r="A302" i="5"/>
  <c r="I302" i="5" s="1"/>
  <c r="D301" i="5"/>
  <c r="B301" i="5"/>
  <c r="A301" i="5"/>
  <c r="I300" i="5"/>
  <c r="F300" i="5"/>
  <c r="A300" i="5"/>
  <c r="L299" i="5"/>
  <c r="K299" i="5"/>
  <c r="F299" i="5"/>
  <c r="D299" i="5"/>
  <c r="C299" i="5"/>
  <c r="A299" i="5"/>
  <c r="J299" i="5" s="1"/>
  <c r="C298" i="5"/>
  <c r="A298" i="5"/>
  <c r="M297" i="5"/>
  <c r="L297" i="5"/>
  <c r="K297" i="5"/>
  <c r="H297" i="5"/>
  <c r="G297" i="5"/>
  <c r="F297" i="5"/>
  <c r="E297" i="5"/>
  <c r="D297" i="5"/>
  <c r="C297" i="5"/>
  <c r="A297" i="5"/>
  <c r="J297" i="5" s="1"/>
  <c r="M296" i="5"/>
  <c r="L296" i="5"/>
  <c r="K296" i="5"/>
  <c r="J296" i="5"/>
  <c r="H296" i="5"/>
  <c r="E296" i="5"/>
  <c r="D296" i="5"/>
  <c r="C296" i="5"/>
  <c r="B296" i="5"/>
  <c r="A296" i="5"/>
  <c r="I296" i="5" s="1"/>
  <c r="M295" i="5"/>
  <c r="J295" i="5"/>
  <c r="H295" i="5"/>
  <c r="G295" i="5"/>
  <c r="E295" i="5"/>
  <c r="B295" i="5"/>
  <c r="A295" i="5"/>
  <c r="F295" i="5" s="1"/>
  <c r="M294" i="5"/>
  <c r="L294" i="5"/>
  <c r="K294" i="5"/>
  <c r="J294" i="5"/>
  <c r="H294" i="5"/>
  <c r="G294" i="5"/>
  <c r="F294" i="5"/>
  <c r="E294" i="5"/>
  <c r="D294" i="5"/>
  <c r="C294" i="5"/>
  <c r="B294" i="5"/>
  <c r="A294" i="5"/>
  <c r="I294" i="5" s="1"/>
  <c r="L293" i="5"/>
  <c r="J293" i="5"/>
  <c r="I293" i="5"/>
  <c r="B293" i="5"/>
  <c r="A293" i="5"/>
  <c r="A292" i="5"/>
  <c r="L291" i="5"/>
  <c r="K291" i="5"/>
  <c r="F291" i="5"/>
  <c r="D291" i="5"/>
  <c r="C291" i="5"/>
  <c r="A291" i="5"/>
  <c r="J291" i="5" s="1"/>
  <c r="K290" i="5"/>
  <c r="I290" i="5"/>
  <c r="A290" i="5"/>
  <c r="M289" i="5"/>
  <c r="L289" i="5"/>
  <c r="K289" i="5"/>
  <c r="H289" i="5"/>
  <c r="G289" i="5"/>
  <c r="F289" i="5"/>
  <c r="E289" i="5"/>
  <c r="D289" i="5"/>
  <c r="C289" i="5"/>
  <c r="A289" i="5"/>
  <c r="J289" i="5" s="1"/>
  <c r="M288" i="5"/>
  <c r="L288" i="5"/>
  <c r="K288" i="5"/>
  <c r="J288" i="5"/>
  <c r="H288" i="5"/>
  <c r="E288" i="5"/>
  <c r="D288" i="5"/>
  <c r="C288" i="5"/>
  <c r="B288" i="5"/>
  <c r="A288" i="5"/>
  <c r="I288" i="5" s="1"/>
  <c r="M287" i="5"/>
  <c r="J287" i="5"/>
  <c r="H287" i="5"/>
  <c r="G287" i="5"/>
  <c r="E287" i="5"/>
  <c r="B287" i="5"/>
  <c r="A287" i="5"/>
  <c r="F287" i="5" s="1"/>
  <c r="M286" i="5"/>
  <c r="L286" i="5"/>
  <c r="K286" i="5"/>
  <c r="J286" i="5"/>
  <c r="H286" i="5"/>
  <c r="G286" i="5"/>
  <c r="F286" i="5"/>
  <c r="E286" i="5"/>
  <c r="D286" i="5"/>
  <c r="C286" i="5"/>
  <c r="B286" i="5"/>
  <c r="A286" i="5"/>
  <c r="I286" i="5" s="1"/>
  <c r="A285" i="5"/>
  <c r="I284" i="5"/>
  <c r="F284" i="5"/>
  <c r="A284" i="5"/>
  <c r="L283" i="5"/>
  <c r="K283" i="5"/>
  <c r="F283" i="5"/>
  <c r="D283" i="5"/>
  <c r="C283" i="5"/>
  <c r="A283" i="5"/>
  <c r="J283" i="5" s="1"/>
  <c r="C282" i="5"/>
  <c r="A282" i="5"/>
  <c r="M281" i="5"/>
  <c r="L281" i="5"/>
  <c r="K281" i="5"/>
  <c r="H281" i="5"/>
  <c r="G281" i="5"/>
  <c r="F281" i="5"/>
  <c r="E281" i="5"/>
  <c r="D281" i="5"/>
  <c r="C281" i="5"/>
  <c r="A281" i="5"/>
  <c r="J281" i="5" s="1"/>
  <c r="M280" i="5"/>
  <c r="L280" i="5"/>
  <c r="K280" i="5"/>
  <c r="J280" i="5"/>
  <c r="H280" i="5"/>
  <c r="E280" i="5"/>
  <c r="D280" i="5"/>
  <c r="C280" i="5"/>
  <c r="B280" i="5"/>
  <c r="A280" i="5"/>
  <c r="I280" i="5" s="1"/>
  <c r="M279" i="5"/>
  <c r="J279" i="5"/>
  <c r="H279" i="5"/>
  <c r="G279" i="5"/>
  <c r="E279" i="5"/>
  <c r="B279" i="5"/>
  <c r="A279" i="5"/>
  <c r="F279" i="5" s="1"/>
  <c r="M278" i="5"/>
  <c r="L278" i="5"/>
  <c r="K278" i="5"/>
  <c r="J278" i="5"/>
  <c r="H278" i="5"/>
  <c r="G278" i="5"/>
  <c r="F278" i="5"/>
  <c r="E278" i="5"/>
  <c r="D278" i="5"/>
  <c r="C278" i="5"/>
  <c r="B278" i="5"/>
  <c r="A278" i="5"/>
  <c r="I278" i="5" s="1"/>
  <c r="L277" i="5"/>
  <c r="J277" i="5"/>
  <c r="I277" i="5"/>
  <c r="D277" i="5"/>
  <c r="B277" i="5"/>
  <c r="A277" i="5"/>
  <c r="G276" i="5"/>
  <c r="F276" i="5"/>
  <c r="A276" i="5"/>
  <c r="L275" i="5"/>
  <c r="K275" i="5"/>
  <c r="F275" i="5"/>
  <c r="D275" i="5"/>
  <c r="C275" i="5"/>
  <c r="A275" i="5"/>
  <c r="J275" i="5" s="1"/>
  <c r="K274" i="5"/>
  <c r="I274" i="5"/>
  <c r="H274" i="5"/>
  <c r="F274" i="5"/>
  <c r="C274" i="5"/>
  <c r="A274" i="5"/>
  <c r="M273" i="5"/>
  <c r="L273" i="5"/>
  <c r="K273" i="5"/>
  <c r="H273" i="5"/>
  <c r="G273" i="5"/>
  <c r="F273" i="5"/>
  <c r="E273" i="5"/>
  <c r="D273" i="5"/>
  <c r="C273" i="5"/>
  <c r="A273" i="5"/>
  <c r="J273" i="5" s="1"/>
  <c r="M272" i="5"/>
  <c r="L272" i="5"/>
  <c r="K272" i="5"/>
  <c r="J272" i="5"/>
  <c r="H272" i="5"/>
  <c r="E272" i="5"/>
  <c r="D272" i="5"/>
  <c r="C272" i="5"/>
  <c r="B272" i="5"/>
  <c r="A272" i="5"/>
  <c r="I272" i="5" s="1"/>
  <c r="M271" i="5"/>
  <c r="J271" i="5"/>
  <c r="H271" i="5"/>
  <c r="G271" i="5"/>
  <c r="E271" i="5"/>
  <c r="B271" i="5"/>
  <c r="A271" i="5"/>
  <c r="F271" i="5" s="1"/>
  <c r="M270" i="5"/>
  <c r="L270" i="5"/>
  <c r="K270" i="5"/>
  <c r="J270" i="5"/>
  <c r="H270" i="5"/>
  <c r="G270" i="5"/>
  <c r="F270" i="5"/>
  <c r="E270" i="5"/>
  <c r="D270" i="5"/>
  <c r="C270" i="5"/>
  <c r="B270" i="5"/>
  <c r="A270" i="5"/>
  <c r="I270" i="5" s="1"/>
  <c r="I269" i="5"/>
  <c r="G269" i="5"/>
  <c r="D269" i="5"/>
  <c r="B269" i="5"/>
  <c r="A269" i="5"/>
  <c r="L269" i="5" s="1"/>
  <c r="F268" i="5"/>
  <c r="D268" i="5"/>
  <c r="A268" i="5"/>
  <c r="A267" i="5"/>
  <c r="K266" i="5"/>
  <c r="I266" i="5"/>
  <c r="H266" i="5"/>
  <c r="F266" i="5"/>
  <c r="A266" i="5"/>
  <c r="M265" i="5"/>
  <c r="L265" i="5"/>
  <c r="K265" i="5"/>
  <c r="H265" i="5"/>
  <c r="G265" i="5"/>
  <c r="F265" i="5"/>
  <c r="E265" i="5"/>
  <c r="D265" i="5"/>
  <c r="C265" i="5"/>
  <c r="A265" i="5"/>
  <c r="J265" i="5" s="1"/>
  <c r="M264" i="5"/>
  <c r="L264" i="5"/>
  <c r="K264" i="5"/>
  <c r="J264" i="5"/>
  <c r="H264" i="5"/>
  <c r="E264" i="5"/>
  <c r="D264" i="5"/>
  <c r="C264" i="5"/>
  <c r="B264" i="5"/>
  <c r="A264" i="5"/>
  <c r="I264" i="5" s="1"/>
  <c r="M263" i="5"/>
  <c r="J263" i="5"/>
  <c r="H263" i="5"/>
  <c r="G263" i="5"/>
  <c r="E263" i="5"/>
  <c r="B263" i="5"/>
  <c r="A263" i="5"/>
  <c r="F263" i="5" s="1"/>
  <c r="M262" i="5"/>
  <c r="L262" i="5"/>
  <c r="K262" i="5"/>
  <c r="J262" i="5"/>
  <c r="H262" i="5"/>
  <c r="G262" i="5"/>
  <c r="F262" i="5"/>
  <c r="E262" i="5"/>
  <c r="D262" i="5"/>
  <c r="C262" i="5"/>
  <c r="B262" i="5"/>
  <c r="A262" i="5"/>
  <c r="I262" i="5" s="1"/>
  <c r="J261" i="5"/>
  <c r="I261" i="5"/>
  <c r="G261" i="5"/>
  <c r="A261" i="5"/>
  <c r="L261" i="5" s="1"/>
  <c r="G260" i="5"/>
  <c r="F260" i="5"/>
  <c r="D260" i="5"/>
  <c r="A260" i="5"/>
  <c r="L260" i="5" s="1"/>
  <c r="D259" i="5"/>
  <c r="A259" i="5"/>
  <c r="A258" i="5"/>
  <c r="M257" i="5"/>
  <c r="L257" i="5"/>
  <c r="K257" i="5"/>
  <c r="H257" i="5"/>
  <c r="G257" i="5"/>
  <c r="F257" i="5"/>
  <c r="E257" i="5"/>
  <c r="D257" i="5"/>
  <c r="C257" i="5"/>
  <c r="A257" i="5"/>
  <c r="J257" i="5" s="1"/>
  <c r="M256" i="5"/>
  <c r="L256" i="5"/>
  <c r="K256" i="5"/>
  <c r="J256" i="5"/>
  <c r="H256" i="5"/>
  <c r="E256" i="5"/>
  <c r="D256" i="5"/>
  <c r="C256" i="5"/>
  <c r="B256" i="5"/>
  <c r="A256" i="5"/>
  <c r="I256" i="5" s="1"/>
  <c r="M255" i="5"/>
  <c r="J255" i="5"/>
  <c r="H255" i="5"/>
  <c r="G255" i="5"/>
  <c r="E255" i="5"/>
  <c r="B255" i="5"/>
  <c r="A255" i="5"/>
  <c r="F255" i="5" s="1"/>
  <c r="M254" i="5"/>
  <c r="L254" i="5"/>
  <c r="K254" i="5"/>
  <c r="J254" i="5"/>
  <c r="H254" i="5"/>
  <c r="G254" i="5"/>
  <c r="F254" i="5"/>
  <c r="E254" i="5"/>
  <c r="D254" i="5"/>
  <c r="C254" i="5"/>
  <c r="B254" i="5"/>
  <c r="A254" i="5"/>
  <c r="I254" i="5" s="1"/>
  <c r="L253" i="5"/>
  <c r="J253" i="5"/>
  <c r="I253" i="5"/>
  <c r="G253" i="5"/>
  <c r="D253" i="5"/>
  <c r="B253" i="5"/>
  <c r="A253" i="5"/>
  <c r="I252" i="5"/>
  <c r="G252" i="5"/>
  <c r="F252" i="5"/>
  <c r="D252" i="5"/>
  <c r="A252" i="5"/>
  <c r="L252" i="5" s="1"/>
  <c r="L251" i="5"/>
  <c r="F251" i="5"/>
  <c r="D251" i="5"/>
  <c r="C251" i="5"/>
  <c r="A251" i="5"/>
  <c r="K251" i="5" s="1"/>
  <c r="A250" i="5"/>
  <c r="M249" i="5"/>
  <c r="L249" i="5"/>
  <c r="K249" i="5"/>
  <c r="H249" i="5"/>
  <c r="G249" i="5"/>
  <c r="F249" i="5"/>
  <c r="E249" i="5"/>
  <c r="D249" i="5"/>
  <c r="C249" i="5"/>
  <c r="A249" i="5"/>
  <c r="J249" i="5" s="1"/>
  <c r="M248" i="5"/>
  <c r="L248" i="5"/>
  <c r="K248" i="5"/>
  <c r="J248" i="5"/>
  <c r="H248" i="5"/>
  <c r="E248" i="5"/>
  <c r="D248" i="5"/>
  <c r="C248" i="5"/>
  <c r="B248" i="5"/>
  <c r="A248" i="5"/>
  <c r="I248" i="5" s="1"/>
  <c r="M247" i="5"/>
  <c r="J247" i="5"/>
  <c r="H247" i="5"/>
  <c r="G247" i="5"/>
  <c r="E247" i="5"/>
  <c r="B247" i="5"/>
  <c r="A247" i="5"/>
  <c r="F247" i="5" s="1"/>
  <c r="M246" i="5"/>
  <c r="L246" i="5"/>
  <c r="K246" i="5"/>
  <c r="J246" i="5"/>
  <c r="H246" i="5"/>
  <c r="G246" i="5"/>
  <c r="F246" i="5"/>
  <c r="E246" i="5"/>
  <c r="D246" i="5"/>
  <c r="C246" i="5"/>
  <c r="B246" i="5"/>
  <c r="A246" i="5"/>
  <c r="I246" i="5" s="1"/>
  <c r="L245" i="5"/>
  <c r="J245" i="5"/>
  <c r="I245" i="5"/>
  <c r="G245" i="5"/>
  <c r="D245" i="5"/>
  <c r="A245" i="5"/>
  <c r="L244" i="5"/>
  <c r="I244" i="5"/>
  <c r="G244" i="5"/>
  <c r="A244" i="5"/>
  <c r="I243" i="5"/>
  <c r="F243" i="5"/>
  <c r="D243" i="5"/>
  <c r="C243" i="5"/>
  <c r="A243" i="5"/>
  <c r="L243" i="5" s="1"/>
  <c r="F242" i="5"/>
  <c r="C242" i="5"/>
  <c r="A242" i="5"/>
  <c r="M241" i="5"/>
  <c r="L241" i="5"/>
  <c r="K241" i="5"/>
  <c r="H241" i="5"/>
  <c r="G241" i="5"/>
  <c r="F241" i="5"/>
  <c r="E241" i="5"/>
  <c r="D241" i="5"/>
  <c r="C241" i="5"/>
  <c r="A241" i="5"/>
  <c r="J241" i="5" s="1"/>
  <c r="M240" i="5"/>
  <c r="L240" i="5"/>
  <c r="K240" i="5"/>
  <c r="J240" i="5"/>
  <c r="H240" i="5"/>
  <c r="E240" i="5"/>
  <c r="D240" i="5"/>
  <c r="C240" i="5"/>
  <c r="B240" i="5"/>
  <c r="A240" i="5"/>
  <c r="I240" i="5" s="1"/>
  <c r="M239" i="5"/>
  <c r="J239" i="5"/>
  <c r="H239" i="5"/>
  <c r="G239" i="5"/>
  <c r="E239" i="5"/>
  <c r="B239" i="5"/>
  <c r="A239" i="5"/>
  <c r="F239" i="5" s="1"/>
  <c r="M238" i="5"/>
  <c r="L238" i="5"/>
  <c r="K238" i="5"/>
  <c r="J238" i="5"/>
  <c r="H238" i="5"/>
  <c r="G238" i="5"/>
  <c r="F238" i="5"/>
  <c r="E238" i="5"/>
  <c r="D238" i="5"/>
  <c r="C238" i="5"/>
  <c r="B238" i="5"/>
  <c r="A238" i="5"/>
  <c r="I238" i="5" s="1"/>
  <c r="L237" i="5"/>
  <c r="A237" i="5"/>
  <c r="L236" i="5"/>
  <c r="I236" i="5"/>
  <c r="G236" i="5"/>
  <c r="F236" i="5"/>
  <c r="D236" i="5"/>
  <c r="A236" i="5"/>
  <c r="K235" i="5"/>
  <c r="I235" i="5"/>
  <c r="F235" i="5"/>
  <c r="A235" i="5"/>
  <c r="L235" i="5" s="1"/>
  <c r="H234" i="5"/>
  <c r="F234" i="5"/>
  <c r="C234" i="5"/>
  <c r="A234" i="5"/>
  <c r="K234" i="5" s="1"/>
  <c r="M233" i="5"/>
  <c r="L233" i="5"/>
  <c r="K233" i="5"/>
  <c r="H233" i="5"/>
  <c r="G233" i="5"/>
  <c r="F233" i="5"/>
  <c r="E233" i="5"/>
  <c r="D233" i="5"/>
  <c r="C233" i="5"/>
  <c r="A233" i="5"/>
  <c r="J233" i="5" s="1"/>
  <c r="M232" i="5"/>
  <c r="L232" i="5"/>
  <c r="K232" i="5"/>
  <c r="J232" i="5"/>
  <c r="H232" i="5"/>
  <c r="E232" i="5"/>
  <c r="D232" i="5"/>
  <c r="C232" i="5"/>
  <c r="B232" i="5"/>
  <c r="A232" i="5"/>
  <c r="I232" i="5" s="1"/>
  <c r="M231" i="5"/>
  <c r="J231" i="5"/>
  <c r="H231" i="5"/>
  <c r="G231" i="5"/>
  <c r="E231" i="5"/>
  <c r="B231" i="5"/>
  <c r="A231" i="5"/>
  <c r="F231" i="5" s="1"/>
  <c r="M230" i="5"/>
  <c r="L230" i="5"/>
  <c r="K230" i="5"/>
  <c r="J230" i="5"/>
  <c r="H230" i="5"/>
  <c r="G230" i="5"/>
  <c r="F230" i="5"/>
  <c r="E230" i="5"/>
  <c r="D230" i="5"/>
  <c r="C230" i="5"/>
  <c r="B230" i="5"/>
  <c r="A230" i="5"/>
  <c r="I230" i="5" s="1"/>
  <c r="B229" i="5"/>
  <c r="A229" i="5"/>
  <c r="L228" i="5"/>
  <c r="I228" i="5"/>
  <c r="G228" i="5"/>
  <c r="F228" i="5"/>
  <c r="D228" i="5"/>
  <c r="A228" i="5"/>
  <c r="L227" i="5"/>
  <c r="K227" i="5"/>
  <c r="I227" i="5"/>
  <c r="F227" i="5"/>
  <c r="D227" i="5"/>
  <c r="C227" i="5"/>
  <c r="A227" i="5"/>
  <c r="I226" i="5"/>
  <c r="H226" i="5"/>
  <c r="F226" i="5"/>
  <c r="C226" i="5"/>
  <c r="A226" i="5"/>
  <c r="K226" i="5" s="1"/>
  <c r="M225" i="5"/>
  <c r="L225" i="5"/>
  <c r="K225" i="5"/>
  <c r="H225" i="5"/>
  <c r="G225" i="5"/>
  <c r="F225" i="5"/>
  <c r="E225" i="5"/>
  <c r="D225" i="5"/>
  <c r="C225" i="5"/>
  <c r="A225" i="5"/>
  <c r="J225" i="5" s="1"/>
  <c r="M224" i="5"/>
  <c r="L224" i="5"/>
  <c r="K224" i="5"/>
  <c r="J224" i="5"/>
  <c r="H224" i="5"/>
  <c r="E224" i="5"/>
  <c r="D224" i="5"/>
  <c r="C224" i="5"/>
  <c r="B224" i="5"/>
  <c r="A224" i="5"/>
  <c r="I224" i="5" s="1"/>
  <c r="M223" i="5"/>
  <c r="J223" i="5"/>
  <c r="H223" i="5"/>
  <c r="G223" i="5"/>
  <c r="E223" i="5"/>
  <c r="B223" i="5"/>
  <c r="A223" i="5"/>
  <c r="F223" i="5" s="1"/>
  <c r="M222" i="5"/>
  <c r="L222" i="5"/>
  <c r="K222" i="5"/>
  <c r="J222" i="5"/>
  <c r="H222" i="5"/>
  <c r="G222" i="5"/>
  <c r="F222" i="5"/>
  <c r="E222" i="5"/>
  <c r="D222" i="5"/>
  <c r="C222" i="5"/>
  <c r="B222" i="5"/>
  <c r="A222" i="5"/>
  <c r="I222" i="5" s="1"/>
  <c r="D221" i="5"/>
  <c r="A221" i="5"/>
  <c r="A220" i="5"/>
  <c r="L219" i="5"/>
  <c r="K219" i="5"/>
  <c r="I219" i="5"/>
  <c r="F219" i="5"/>
  <c r="D219" i="5"/>
  <c r="A219" i="5"/>
  <c r="K218" i="5"/>
  <c r="I218" i="5"/>
  <c r="H218" i="5"/>
  <c r="A218" i="5"/>
  <c r="M217" i="5"/>
  <c r="L217" i="5"/>
  <c r="K217" i="5"/>
  <c r="H217" i="5"/>
  <c r="G217" i="5"/>
  <c r="F217" i="5"/>
  <c r="E217" i="5"/>
  <c r="D217" i="5"/>
  <c r="C217" i="5"/>
  <c r="A217" i="5"/>
  <c r="J217" i="5" s="1"/>
  <c r="M216" i="5"/>
  <c r="L216" i="5"/>
  <c r="K216" i="5"/>
  <c r="J216" i="5"/>
  <c r="H216" i="5"/>
  <c r="E216" i="5"/>
  <c r="D216" i="5"/>
  <c r="C216" i="5"/>
  <c r="B216" i="5"/>
  <c r="A216" i="5"/>
  <c r="I216" i="5" s="1"/>
  <c r="A215" i="5"/>
  <c r="M214" i="5"/>
  <c r="L214" i="5"/>
  <c r="K214" i="5"/>
  <c r="J214" i="5"/>
  <c r="H214" i="5"/>
  <c r="G214" i="5"/>
  <c r="F214" i="5"/>
  <c r="E214" i="5"/>
  <c r="D214" i="5"/>
  <c r="C214" i="5"/>
  <c r="B214" i="5"/>
  <c r="A214" i="5"/>
  <c r="I214" i="5" s="1"/>
  <c r="J213" i="5"/>
  <c r="I213" i="5"/>
  <c r="G213" i="5"/>
  <c r="D213" i="5"/>
  <c r="C213" i="5"/>
  <c r="B213" i="5"/>
  <c r="A213" i="5"/>
  <c r="K213" i="5" s="1"/>
  <c r="I212" i="5"/>
  <c r="H212" i="5"/>
  <c r="G212" i="5"/>
  <c r="A212" i="5"/>
  <c r="L212" i="5" s="1"/>
  <c r="K211" i="5"/>
  <c r="I211" i="5"/>
  <c r="F211" i="5"/>
  <c r="E211" i="5"/>
  <c r="D211" i="5"/>
  <c r="C211" i="5"/>
  <c r="A211" i="5"/>
  <c r="L211" i="5" s="1"/>
  <c r="J210" i="5"/>
  <c r="I210" i="5"/>
  <c r="H210" i="5"/>
  <c r="F210" i="5"/>
  <c r="C210" i="5"/>
  <c r="B210" i="5"/>
  <c r="A210" i="5"/>
  <c r="K210" i="5" s="1"/>
  <c r="M209" i="5"/>
  <c r="L209" i="5"/>
  <c r="K209" i="5"/>
  <c r="H209" i="5"/>
  <c r="G209" i="5"/>
  <c r="F209" i="5"/>
  <c r="E209" i="5"/>
  <c r="D209" i="5"/>
  <c r="C209" i="5"/>
  <c r="A209" i="5"/>
  <c r="J209" i="5" s="1"/>
  <c r="M208" i="5"/>
  <c r="L208" i="5"/>
  <c r="K208" i="5"/>
  <c r="J208" i="5"/>
  <c r="H208" i="5"/>
  <c r="E208" i="5"/>
  <c r="D208" i="5"/>
  <c r="C208" i="5"/>
  <c r="B208" i="5"/>
  <c r="A208" i="5"/>
  <c r="I208" i="5" s="1"/>
  <c r="A207" i="5"/>
  <c r="M206" i="5"/>
  <c r="L206" i="5"/>
  <c r="K206" i="5"/>
  <c r="J206" i="5"/>
  <c r="H206" i="5"/>
  <c r="G206" i="5"/>
  <c r="F206" i="5"/>
  <c r="E206" i="5"/>
  <c r="D206" i="5"/>
  <c r="C206" i="5"/>
  <c r="B206" i="5"/>
  <c r="A206" i="5"/>
  <c r="I206" i="5" s="1"/>
  <c r="K205" i="5"/>
  <c r="J205" i="5"/>
  <c r="I205" i="5"/>
  <c r="G205" i="5"/>
  <c r="D205" i="5"/>
  <c r="C205" i="5"/>
  <c r="B205" i="5"/>
  <c r="A205" i="5"/>
  <c r="L204" i="5"/>
  <c r="I204" i="5"/>
  <c r="H204" i="5"/>
  <c r="G204" i="5"/>
  <c r="F204" i="5"/>
  <c r="D204" i="5"/>
  <c r="A204" i="5"/>
  <c r="L203" i="5"/>
  <c r="K203" i="5"/>
  <c r="I203" i="5"/>
  <c r="F203" i="5"/>
  <c r="E203" i="5"/>
  <c r="D203" i="5"/>
  <c r="C203" i="5"/>
  <c r="A203" i="5"/>
  <c r="K202" i="5"/>
  <c r="J202" i="5"/>
  <c r="I202" i="5"/>
  <c r="H202" i="5"/>
  <c r="F202" i="5"/>
  <c r="C202" i="5"/>
  <c r="B202" i="5"/>
  <c r="A202" i="5"/>
  <c r="M201" i="5"/>
  <c r="L201" i="5"/>
  <c r="K201" i="5"/>
  <c r="H201" i="5"/>
  <c r="G201" i="5"/>
  <c r="F201" i="5"/>
  <c r="E201" i="5"/>
  <c r="D201" i="5"/>
  <c r="C201" i="5"/>
  <c r="A201" i="5"/>
  <c r="J201" i="5" s="1"/>
  <c r="M200" i="5"/>
  <c r="L200" i="5"/>
  <c r="K200" i="5"/>
  <c r="J200" i="5"/>
  <c r="H200" i="5"/>
  <c r="E200" i="5"/>
  <c r="D200" i="5"/>
  <c r="C200" i="5"/>
  <c r="B200" i="5"/>
  <c r="A200" i="5"/>
  <c r="I200" i="5" s="1"/>
  <c r="J199" i="5"/>
  <c r="G199" i="5"/>
  <c r="E199" i="5"/>
  <c r="B199" i="5"/>
  <c r="A199" i="5"/>
  <c r="M199" i="5" s="1"/>
  <c r="M198" i="5"/>
  <c r="L198" i="5"/>
  <c r="K198" i="5"/>
  <c r="J198" i="5"/>
  <c r="H198" i="5"/>
  <c r="G198" i="5"/>
  <c r="F198" i="5"/>
  <c r="E198" i="5"/>
  <c r="D198" i="5"/>
  <c r="C198" i="5"/>
  <c r="B198" i="5"/>
  <c r="A198" i="5"/>
  <c r="I198" i="5" s="1"/>
  <c r="A197" i="5"/>
  <c r="L196" i="5"/>
  <c r="I196" i="5"/>
  <c r="H196" i="5"/>
  <c r="G196" i="5"/>
  <c r="F196" i="5"/>
  <c r="D196" i="5"/>
  <c r="A196" i="5"/>
  <c r="M195" i="5"/>
  <c r="L195" i="5"/>
  <c r="K195" i="5"/>
  <c r="A195" i="5"/>
  <c r="K194" i="5"/>
  <c r="A194" i="5"/>
  <c r="M193" i="5"/>
  <c r="L193" i="5"/>
  <c r="K193" i="5"/>
  <c r="H193" i="5"/>
  <c r="G193" i="5"/>
  <c r="F193" i="5"/>
  <c r="E193" i="5"/>
  <c r="D193" i="5"/>
  <c r="C193" i="5"/>
  <c r="A193" i="5"/>
  <c r="J193" i="5" s="1"/>
  <c r="M192" i="5"/>
  <c r="L192" i="5"/>
  <c r="K192" i="5"/>
  <c r="J192" i="5"/>
  <c r="H192" i="5"/>
  <c r="E192" i="5"/>
  <c r="D192" i="5"/>
  <c r="C192" i="5"/>
  <c r="B192" i="5"/>
  <c r="A192" i="5"/>
  <c r="I192" i="5" s="1"/>
  <c r="M191" i="5"/>
  <c r="H191" i="5"/>
  <c r="G191" i="5"/>
  <c r="E191" i="5"/>
  <c r="B191" i="5"/>
  <c r="A191" i="5"/>
  <c r="J191" i="5" s="1"/>
  <c r="M190" i="5"/>
  <c r="L190" i="5"/>
  <c r="K190" i="5"/>
  <c r="J190" i="5"/>
  <c r="H190" i="5"/>
  <c r="G190" i="5"/>
  <c r="F190" i="5"/>
  <c r="E190" i="5"/>
  <c r="D190" i="5"/>
  <c r="C190" i="5"/>
  <c r="B190" i="5"/>
  <c r="A190" i="5"/>
  <c r="I190" i="5" s="1"/>
  <c r="A189" i="5"/>
  <c r="L188" i="5"/>
  <c r="A188" i="5"/>
  <c r="L187" i="5"/>
  <c r="A187" i="5"/>
  <c r="M187" i="5" s="1"/>
  <c r="A186" i="5"/>
  <c r="M185" i="5"/>
  <c r="L185" i="5"/>
  <c r="K185" i="5"/>
  <c r="H185" i="5"/>
  <c r="G185" i="5"/>
  <c r="F185" i="5"/>
  <c r="E185" i="5"/>
  <c r="D185" i="5"/>
  <c r="C185" i="5"/>
  <c r="A185" i="5"/>
  <c r="J185" i="5" s="1"/>
  <c r="M184" i="5"/>
  <c r="L184" i="5"/>
  <c r="K184" i="5"/>
  <c r="J184" i="5"/>
  <c r="H184" i="5"/>
  <c r="E184" i="5"/>
  <c r="D184" i="5"/>
  <c r="C184" i="5"/>
  <c r="B184" i="5"/>
  <c r="A184" i="5"/>
  <c r="I184" i="5" s="1"/>
  <c r="I183" i="5"/>
  <c r="H183" i="5"/>
  <c r="G183" i="5"/>
  <c r="A183" i="5"/>
  <c r="M183" i="5" s="1"/>
  <c r="M182" i="5"/>
  <c r="L182" i="5"/>
  <c r="K182" i="5"/>
  <c r="J182" i="5"/>
  <c r="H182" i="5"/>
  <c r="G182" i="5"/>
  <c r="F182" i="5"/>
  <c r="E182" i="5"/>
  <c r="D182" i="5"/>
  <c r="C182" i="5"/>
  <c r="B182" i="5"/>
  <c r="A182" i="5"/>
  <c r="I182" i="5" s="1"/>
  <c r="A181" i="5"/>
  <c r="D180" i="5"/>
  <c r="A180" i="5"/>
  <c r="M179" i="5"/>
  <c r="A179" i="5"/>
  <c r="C178" i="5"/>
  <c r="B178" i="5"/>
  <c r="A178" i="5"/>
  <c r="M177" i="5"/>
  <c r="L177" i="5"/>
  <c r="K177" i="5"/>
  <c r="H177" i="5"/>
  <c r="G177" i="5"/>
  <c r="F177" i="5"/>
  <c r="E177" i="5"/>
  <c r="D177" i="5"/>
  <c r="C177" i="5"/>
  <c r="A177" i="5"/>
  <c r="J177" i="5" s="1"/>
  <c r="M176" i="5"/>
  <c r="L176" i="5"/>
  <c r="K176" i="5"/>
  <c r="J176" i="5"/>
  <c r="H176" i="5"/>
  <c r="E176" i="5"/>
  <c r="D176" i="5"/>
  <c r="C176" i="5"/>
  <c r="B176" i="5"/>
  <c r="A176" i="5"/>
  <c r="I176" i="5" s="1"/>
  <c r="J175" i="5"/>
  <c r="I175" i="5"/>
  <c r="H175" i="5"/>
  <c r="G175" i="5"/>
  <c r="E175" i="5"/>
  <c r="B175" i="5"/>
  <c r="A175" i="5"/>
  <c r="M175" i="5" s="1"/>
  <c r="M174" i="5"/>
  <c r="L174" i="5"/>
  <c r="K174" i="5"/>
  <c r="J174" i="5"/>
  <c r="H174" i="5"/>
  <c r="G174" i="5"/>
  <c r="F174" i="5"/>
  <c r="E174" i="5"/>
  <c r="D174" i="5"/>
  <c r="C174" i="5"/>
  <c r="B174" i="5"/>
  <c r="A174" i="5"/>
  <c r="I174" i="5" s="1"/>
  <c r="J173" i="5"/>
  <c r="D173" i="5"/>
  <c r="C173" i="5"/>
  <c r="B173" i="5"/>
  <c r="A173" i="5"/>
  <c r="K173" i="5" s="1"/>
  <c r="L172" i="5"/>
  <c r="G172" i="5"/>
  <c r="F172" i="5"/>
  <c r="E172" i="5"/>
  <c r="D172" i="5"/>
  <c r="A172" i="5"/>
  <c r="I172" i="5" s="1"/>
  <c r="M171" i="5"/>
  <c r="J171" i="5"/>
  <c r="I171" i="5"/>
  <c r="F171" i="5"/>
  <c r="E171" i="5"/>
  <c r="D171" i="5"/>
  <c r="C171" i="5"/>
  <c r="A171" i="5"/>
  <c r="A170" i="5"/>
  <c r="M169" i="5"/>
  <c r="L169" i="5"/>
  <c r="K169" i="5"/>
  <c r="H169" i="5"/>
  <c r="G169" i="5"/>
  <c r="F169" i="5"/>
  <c r="E169" i="5"/>
  <c r="D169" i="5"/>
  <c r="C169" i="5"/>
  <c r="A169" i="5"/>
  <c r="J169" i="5" s="1"/>
  <c r="H168" i="5"/>
  <c r="E168" i="5"/>
  <c r="D168" i="5"/>
  <c r="A168" i="5"/>
  <c r="J168" i="5" s="1"/>
  <c r="I167" i="5"/>
  <c r="H167" i="5"/>
  <c r="G167" i="5"/>
  <c r="F167" i="5"/>
  <c r="E167" i="5"/>
  <c r="B167" i="5"/>
  <c r="A167" i="5"/>
  <c r="J167" i="5" s="1"/>
  <c r="M166" i="5"/>
  <c r="L166" i="5"/>
  <c r="K166" i="5"/>
  <c r="J166" i="5"/>
  <c r="H166" i="5"/>
  <c r="G166" i="5"/>
  <c r="F166" i="5"/>
  <c r="E166" i="5"/>
  <c r="D166" i="5"/>
  <c r="C166" i="5"/>
  <c r="B166" i="5"/>
  <c r="A166" i="5"/>
  <c r="I166" i="5" s="1"/>
  <c r="L165" i="5"/>
  <c r="J165" i="5"/>
  <c r="G165" i="5"/>
  <c r="D165" i="5"/>
  <c r="C165" i="5"/>
  <c r="B165" i="5"/>
  <c r="A165" i="5"/>
  <c r="I165" i="5" s="1"/>
  <c r="H164" i="5"/>
  <c r="G164" i="5"/>
  <c r="F164" i="5"/>
  <c r="A164" i="5"/>
  <c r="L164" i="5" s="1"/>
  <c r="A163" i="5"/>
  <c r="A162" i="5"/>
  <c r="M161" i="5"/>
  <c r="L161" i="5"/>
  <c r="K161" i="5"/>
  <c r="H161" i="5"/>
  <c r="G161" i="5"/>
  <c r="F161" i="5"/>
  <c r="E161" i="5"/>
  <c r="D161" i="5"/>
  <c r="C161" i="5"/>
  <c r="A161" i="5"/>
  <c r="J161" i="5" s="1"/>
  <c r="M160" i="5"/>
  <c r="L160" i="5"/>
  <c r="I160" i="5"/>
  <c r="H160" i="5"/>
  <c r="E160" i="5"/>
  <c r="D160" i="5"/>
  <c r="C160" i="5"/>
  <c r="B160" i="5"/>
  <c r="A160" i="5"/>
  <c r="J160" i="5" s="1"/>
  <c r="J159" i="5"/>
  <c r="I159" i="5"/>
  <c r="H159" i="5"/>
  <c r="G159" i="5"/>
  <c r="F159" i="5"/>
  <c r="E159" i="5"/>
  <c r="A159" i="5"/>
  <c r="M158" i="5"/>
  <c r="L158" i="5"/>
  <c r="K158" i="5"/>
  <c r="J158" i="5"/>
  <c r="H158" i="5"/>
  <c r="G158" i="5"/>
  <c r="F158" i="5"/>
  <c r="E158" i="5"/>
  <c r="D158" i="5"/>
  <c r="C158" i="5"/>
  <c r="B158" i="5"/>
  <c r="A158" i="5"/>
  <c r="I158" i="5" s="1"/>
  <c r="H157" i="5"/>
  <c r="G157" i="5"/>
  <c r="D157" i="5"/>
  <c r="A157" i="5"/>
  <c r="J157" i="5" s="1"/>
  <c r="I156" i="5"/>
  <c r="H156" i="5"/>
  <c r="G156" i="5"/>
  <c r="F156" i="5"/>
  <c r="E156" i="5"/>
  <c r="D156" i="5"/>
  <c r="A156" i="5"/>
  <c r="L156" i="5" s="1"/>
  <c r="K155" i="5"/>
  <c r="J155" i="5"/>
  <c r="B155" i="5"/>
  <c r="A155" i="5"/>
  <c r="C154" i="5"/>
  <c r="A154" i="5"/>
  <c r="K154" i="5" s="1"/>
  <c r="M153" i="5"/>
  <c r="L153" i="5"/>
  <c r="K153" i="5"/>
  <c r="H153" i="5"/>
  <c r="G153" i="5"/>
  <c r="F153" i="5"/>
  <c r="E153" i="5"/>
  <c r="D153" i="5"/>
  <c r="C153" i="5"/>
  <c r="A153" i="5"/>
  <c r="J153" i="5" s="1"/>
  <c r="M152" i="5"/>
  <c r="J152" i="5"/>
  <c r="I152" i="5"/>
  <c r="H152" i="5"/>
  <c r="E152" i="5"/>
  <c r="D152" i="5"/>
  <c r="C152" i="5"/>
  <c r="A152" i="5"/>
  <c r="M151" i="5"/>
  <c r="A151" i="5"/>
  <c r="M150" i="5"/>
  <c r="L150" i="5"/>
  <c r="K150" i="5"/>
  <c r="J150" i="5"/>
  <c r="H150" i="5"/>
  <c r="G150" i="5"/>
  <c r="F150" i="5"/>
  <c r="E150" i="5"/>
  <c r="D150" i="5"/>
  <c r="C150" i="5"/>
  <c r="B150" i="5"/>
  <c r="A150" i="5"/>
  <c r="I150" i="5" s="1"/>
  <c r="L149" i="5"/>
  <c r="I149" i="5"/>
  <c r="H149" i="5"/>
  <c r="G149" i="5"/>
  <c r="D149" i="5"/>
  <c r="C149" i="5"/>
  <c r="B149" i="5"/>
  <c r="A149" i="5"/>
  <c r="J149" i="5" s="1"/>
  <c r="L148" i="5"/>
  <c r="I148" i="5"/>
  <c r="H148" i="5"/>
  <c r="G148" i="5"/>
  <c r="F148" i="5"/>
  <c r="E148" i="5"/>
  <c r="A148" i="5"/>
  <c r="M147" i="5"/>
  <c r="L147" i="5"/>
  <c r="K147" i="5"/>
  <c r="B147" i="5"/>
  <c r="A147" i="5"/>
  <c r="C147" i="5" s="1"/>
  <c r="I146" i="5"/>
  <c r="F146" i="5"/>
  <c r="C146" i="5"/>
  <c r="B146" i="5"/>
  <c r="A146" i="5"/>
  <c r="J146" i="5" s="1"/>
  <c r="M145" i="5"/>
  <c r="L145" i="5"/>
  <c r="K145" i="5"/>
  <c r="H145" i="5"/>
  <c r="G145" i="5"/>
  <c r="F145" i="5"/>
  <c r="E145" i="5"/>
  <c r="D145" i="5"/>
  <c r="C145" i="5"/>
  <c r="A145" i="5"/>
  <c r="J145" i="5" s="1"/>
  <c r="A144" i="5"/>
  <c r="A143" i="5"/>
  <c r="M142" i="5"/>
  <c r="L142" i="5"/>
  <c r="K142" i="5"/>
  <c r="J142" i="5"/>
  <c r="H142" i="5"/>
  <c r="G142" i="5"/>
  <c r="F142" i="5"/>
  <c r="E142" i="5"/>
  <c r="D142" i="5"/>
  <c r="C142" i="5"/>
  <c r="B142" i="5"/>
  <c r="A142" i="5"/>
  <c r="I142" i="5" s="1"/>
  <c r="J141" i="5"/>
  <c r="I141" i="5"/>
  <c r="H141" i="5"/>
  <c r="G141" i="5"/>
  <c r="D141" i="5"/>
  <c r="C141" i="5"/>
  <c r="A141" i="5"/>
  <c r="M140" i="5"/>
  <c r="L140" i="5"/>
  <c r="I140" i="5"/>
  <c r="A140" i="5"/>
  <c r="M139" i="5"/>
  <c r="L139" i="5"/>
  <c r="I139" i="5"/>
  <c r="D139" i="5"/>
  <c r="C139" i="5"/>
  <c r="B139" i="5"/>
  <c r="A139" i="5"/>
  <c r="J139" i="5" s="1"/>
  <c r="J138" i="5"/>
  <c r="G138" i="5"/>
  <c r="F138" i="5"/>
  <c r="C138" i="5"/>
  <c r="B138" i="5"/>
  <c r="A138" i="5"/>
  <c r="I138" i="5" s="1"/>
  <c r="M137" i="5"/>
  <c r="L137" i="5"/>
  <c r="K137" i="5"/>
  <c r="H137" i="5"/>
  <c r="G137" i="5"/>
  <c r="F137" i="5"/>
  <c r="E137" i="5"/>
  <c r="D137" i="5"/>
  <c r="C137" i="5"/>
  <c r="A137" i="5"/>
  <c r="J137" i="5" s="1"/>
  <c r="K136" i="5"/>
  <c r="A136" i="5"/>
  <c r="L136" i="5" s="1"/>
  <c r="M135" i="5"/>
  <c r="E135" i="5"/>
  <c r="B135" i="5"/>
  <c r="A135" i="5"/>
  <c r="M134" i="5"/>
  <c r="L134" i="5"/>
  <c r="K134" i="5"/>
  <c r="J134" i="5"/>
  <c r="H134" i="5"/>
  <c r="G134" i="5"/>
  <c r="F134" i="5"/>
  <c r="E134" i="5"/>
  <c r="D134" i="5"/>
  <c r="C134" i="5"/>
  <c r="B134" i="5"/>
  <c r="A134" i="5"/>
  <c r="I134" i="5" s="1"/>
  <c r="J133" i="5"/>
  <c r="A133" i="5"/>
  <c r="M132" i="5"/>
  <c r="L132" i="5"/>
  <c r="I132" i="5"/>
  <c r="F132" i="5"/>
  <c r="E132" i="5"/>
  <c r="D132" i="5"/>
  <c r="B132" i="5"/>
  <c r="A132" i="5"/>
  <c r="H132" i="5" s="1"/>
  <c r="A131" i="5"/>
  <c r="L130" i="5"/>
  <c r="K130" i="5"/>
  <c r="H130" i="5"/>
  <c r="D130" i="5"/>
  <c r="C130" i="5"/>
  <c r="B130" i="5"/>
  <c r="A130" i="5"/>
  <c r="I130" i="5" s="1"/>
  <c r="M129" i="5"/>
  <c r="L129" i="5"/>
  <c r="H129" i="5"/>
  <c r="G129" i="5"/>
  <c r="F129" i="5"/>
  <c r="E129" i="5"/>
  <c r="D129" i="5"/>
  <c r="C129" i="5"/>
  <c r="A129" i="5"/>
  <c r="I129" i="5" s="1"/>
  <c r="L128" i="5"/>
  <c r="K128" i="5"/>
  <c r="C128" i="5"/>
  <c r="A128" i="5"/>
  <c r="J128" i="5" s="1"/>
  <c r="G127" i="5"/>
  <c r="F127" i="5"/>
  <c r="E127" i="5"/>
  <c r="A127" i="5"/>
  <c r="I127" i="5" s="1"/>
  <c r="M126" i="5"/>
  <c r="L126" i="5"/>
  <c r="K126" i="5"/>
  <c r="J126" i="5"/>
  <c r="H126" i="5"/>
  <c r="G126" i="5"/>
  <c r="F126" i="5"/>
  <c r="E126" i="5"/>
  <c r="D126" i="5"/>
  <c r="C126" i="5"/>
  <c r="B126" i="5"/>
  <c r="A126" i="5"/>
  <c r="I126" i="5" s="1"/>
  <c r="M125" i="5"/>
  <c r="G125" i="5"/>
  <c r="E125" i="5"/>
  <c r="D125" i="5"/>
  <c r="A125" i="5"/>
  <c r="F125" i="5" s="1"/>
  <c r="J124" i="5"/>
  <c r="A124" i="5"/>
  <c r="M123" i="5"/>
  <c r="L123" i="5"/>
  <c r="K123" i="5"/>
  <c r="I123" i="5"/>
  <c r="E123" i="5"/>
  <c r="D123" i="5"/>
  <c r="C123" i="5"/>
  <c r="B123" i="5"/>
  <c r="A123" i="5"/>
  <c r="H123" i="5" s="1"/>
  <c r="L122" i="5"/>
  <c r="I122" i="5"/>
  <c r="H122" i="5"/>
  <c r="G122" i="5"/>
  <c r="F122" i="5"/>
  <c r="D122" i="5"/>
  <c r="C122" i="5"/>
  <c r="A122" i="5"/>
  <c r="M121" i="5"/>
  <c r="L121" i="5"/>
  <c r="D121" i="5"/>
  <c r="A121" i="5"/>
  <c r="K121" i="5" s="1"/>
  <c r="M120" i="5"/>
  <c r="L120" i="5"/>
  <c r="K120" i="5"/>
  <c r="H120" i="5"/>
  <c r="F120" i="5"/>
  <c r="E120" i="5"/>
  <c r="D120" i="5"/>
  <c r="C120" i="5"/>
  <c r="B120" i="5"/>
  <c r="A120" i="5"/>
  <c r="G120" i="5" s="1"/>
  <c r="K119" i="5"/>
  <c r="J119" i="5"/>
  <c r="B119" i="5"/>
  <c r="A119" i="5"/>
  <c r="I119" i="5" s="1"/>
  <c r="M118" i="5"/>
  <c r="L118" i="5"/>
  <c r="K118" i="5"/>
  <c r="J118" i="5"/>
  <c r="H118" i="5"/>
  <c r="G118" i="5"/>
  <c r="F118" i="5"/>
  <c r="E118" i="5"/>
  <c r="D118" i="5"/>
  <c r="C118" i="5"/>
  <c r="B118" i="5"/>
  <c r="A118" i="5"/>
  <c r="I118" i="5" s="1"/>
  <c r="K117" i="5"/>
  <c r="I117" i="5"/>
  <c r="A117" i="5"/>
  <c r="J117" i="5" s="1"/>
  <c r="M116" i="5"/>
  <c r="L116" i="5"/>
  <c r="I116" i="5"/>
  <c r="F116" i="5"/>
  <c r="E116" i="5"/>
  <c r="D116" i="5"/>
  <c r="B116" i="5"/>
  <c r="A116" i="5"/>
  <c r="H116" i="5" s="1"/>
  <c r="I115" i="5"/>
  <c r="G115" i="5"/>
  <c r="A115" i="5"/>
  <c r="L114" i="5"/>
  <c r="K114" i="5"/>
  <c r="H114" i="5"/>
  <c r="D114" i="5"/>
  <c r="C114" i="5"/>
  <c r="B114" i="5"/>
  <c r="A114" i="5"/>
  <c r="I114" i="5" s="1"/>
  <c r="M113" i="5"/>
  <c r="L113" i="5"/>
  <c r="H113" i="5"/>
  <c r="G113" i="5"/>
  <c r="F113" i="5"/>
  <c r="E113" i="5"/>
  <c r="D113" i="5"/>
  <c r="C113" i="5"/>
  <c r="A113" i="5"/>
  <c r="I113" i="5" s="1"/>
  <c r="K112" i="5"/>
  <c r="A112" i="5"/>
  <c r="L112" i="5" s="1"/>
  <c r="G111" i="5"/>
  <c r="F111" i="5"/>
  <c r="E111" i="5"/>
  <c r="A111" i="5"/>
  <c r="I111" i="5" s="1"/>
  <c r="M110" i="5"/>
  <c r="L110" i="5"/>
  <c r="K110" i="5"/>
  <c r="J110" i="5"/>
  <c r="H110" i="5"/>
  <c r="G110" i="5"/>
  <c r="F110" i="5"/>
  <c r="E110" i="5"/>
  <c r="D110" i="5"/>
  <c r="C110" i="5"/>
  <c r="B110" i="5"/>
  <c r="A110" i="5"/>
  <c r="I110" i="5" s="1"/>
  <c r="M109" i="5"/>
  <c r="G109" i="5"/>
  <c r="E109" i="5"/>
  <c r="D109" i="5"/>
  <c r="A109" i="5"/>
  <c r="F109" i="5" s="1"/>
  <c r="A108" i="5"/>
  <c r="M107" i="5"/>
  <c r="L107" i="5"/>
  <c r="K107" i="5"/>
  <c r="I107" i="5"/>
  <c r="E107" i="5"/>
  <c r="D107" i="5"/>
  <c r="C107" i="5"/>
  <c r="B107" i="5"/>
  <c r="A107" i="5"/>
  <c r="H107" i="5" s="1"/>
  <c r="L106" i="5"/>
  <c r="I106" i="5"/>
  <c r="H106" i="5"/>
  <c r="G106" i="5"/>
  <c r="F106" i="5"/>
  <c r="D106" i="5"/>
  <c r="C106" i="5"/>
  <c r="A106" i="5"/>
  <c r="L105" i="5"/>
  <c r="A105" i="5"/>
  <c r="M105" i="5" s="1"/>
  <c r="M104" i="5"/>
  <c r="L104" i="5"/>
  <c r="K104" i="5"/>
  <c r="H104" i="5"/>
  <c r="F104" i="5"/>
  <c r="E104" i="5"/>
  <c r="D104" i="5"/>
  <c r="C104" i="5"/>
  <c r="B104" i="5"/>
  <c r="A104" i="5"/>
  <c r="G104" i="5" s="1"/>
  <c r="J103" i="5"/>
  <c r="A103" i="5"/>
  <c r="K103" i="5" s="1"/>
  <c r="M102" i="5"/>
  <c r="L102" i="5"/>
  <c r="K102" i="5"/>
  <c r="J102" i="5"/>
  <c r="H102" i="5"/>
  <c r="G102" i="5"/>
  <c r="F102" i="5"/>
  <c r="E102" i="5"/>
  <c r="D102" i="5"/>
  <c r="C102" i="5"/>
  <c r="B102" i="5"/>
  <c r="A102" i="5"/>
  <c r="I102" i="5" s="1"/>
  <c r="K101" i="5"/>
  <c r="A101" i="5"/>
  <c r="M100" i="5"/>
  <c r="L100" i="5"/>
  <c r="I100" i="5"/>
  <c r="F100" i="5"/>
  <c r="E100" i="5"/>
  <c r="D100" i="5"/>
  <c r="B100" i="5"/>
  <c r="A100" i="5"/>
  <c r="H100" i="5" s="1"/>
  <c r="J99" i="5"/>
  <c r="A99" i="5"/>
  <c r="L98" i="5"/>
  <c r="K98" i="5"/>
  <c r="H98" i="5"/>
  <c r="D98" i="5"/>
  <c r="C98" i="5"/>
  <c r="B98" i="5"/>
  <c r="A98" i="5"/>
  <c r="I98" i="5" s="1"/>
  <c r="M97" i="5"/>
  <c r="L97" i="5"/>
  <c r="H97" i="5"/>
  <c r="G97" i="5"/>
  <c r="F97" i="5"/>
  <c r="E97" i="5"/>
  <c r="D97" i="5"/>
  <c r="C97" i="5"/>
  <c r="A97" i="5"/>
  <c r="I97" i="5" s="1"/>
  <c r="C96" i="5"/>
  <c r="B96" i="5"/>
  <c r="A96" i="5"/>
  <c r="M95" i="5"/>
  <c r="L95" i="5"/>
  <c r="K95" i="5"/>
  <c r="H95" i="5"/>
  <c r="G95" i="5"/>
  <c r="F95" i="5"/>
  <c r="E95" i="5"/>
  <c r="D95" i="5"/>
  <c r="C95" i="5"/>
  <c r="A95" i="5"/>
  <c r="J95" i="5" s="1"/>
  <c r="M94" i="5"/>
  <c r="L94" i="5"/>
  <c r="K94" i="5"/>
  <c r="J94" i="5"/>
  <c r="H94" i="5"/>
  <c r="E94" i="5"/>
  <c r="D94" i="5"/>
  <c r="C94" i="5"/>
  <c r="B94" i="5"/>
  <c r="A94" i="5"/>
  <c r="I94" i="5" s="1"/>
  <c r="J93" i="5"/>
  <c r="I93" i="5"/>
  <c r="H93" i="5"/>
  <c r="B93" i="5"/>
  <c r="A93" i="5"/>
  <c r="M92" i="5"/>
  <c r="L92" i="5"/>
  <c r="K92" i="5"/>
  <c r="J92" i="5"/>
  <c r="G92" i="5"/>
  <c r="F92" i="5"/>
  <c r="E92" i="5"/>
  <c r="D92" i="5"/>
  <c r="C92" i="5"/>
  <c r="B92" i="5"/>
  <c r="A92" i="5"/>
  <c r="I92" i="5" s="1"/>
  <c r="L91" i="5"/>
  <c r="K91" i="5"/>
  <c r="J91" i="5"/>
  <c r="G91" i="5"/>
  <c r="D91" i="5"/>
  <c r="C91" i="5"/>
  <c r="B91" i="5"/>
  <c r="A91" i="5"/>
  <c r="I91" i="5" s="1"/>
  <c r="I90" i="5"/>
  <c r="H90" i="5"/>
  <c r="G90" i="5"/>
  <c r="A90" i="5"/>
  <c r="M89" i="5"/>
  <c r="L89" i="5"/>
  <c r="F89" i="5"/>
  <c r="E89" i="5"/>
  <c r="D89" i="5"/>
  <c r="A89" i="5"/>
  <c r="K89" i="5" s="1"/>
  <c r="K88" i="5"/>
  <c r="J88" i="5"/>
  <c r="C88" i="5"/>
  <c r="A88" i="5"/>
  <c r="I88" i="5" s="1"/>
  <c r="M87" i="5"/>
  <c r="L87" i="5"/>
  <c r="K87" i="5"/>
  <c r="H87" i="5"/>
  <c r="G87" i="5"/>
  <c r="F87" i="5"/>
  <c r="E87" i="5"/>
  <c r="D87" i="5"/>
  <c r="C87" i="5"/>
  <c r="A87" i="5"/>
  <c r="J87" i="5" s="1"/>
  <c r="M86" i="5"/>
  <c r="L86" i="5"/>
  <c r="K86" i="5"/>
  <c r="J86" i="5"/>
  <c r="H86" i="5"/>
  <c r="E86" i="5"/>
  <c r="D86" i="5"/>
  <c r="C86" i="5"/>
  <c r="B86" i="5"/>
  <c r="A86" i="5"/>
  <c r="I86" i="5" s="1"/>
  <c r="I85" i="5"/>
  <c r="A85" i="5"/>
  <c r="J85" i="5" s="1"/>
  <c r="M84" i="5"/>
  <c r="L84" i="5"/>
  <c r="K84" i="5"/>
  <c r="J84" i="5"/>
  <c r="G84" i="5"/>
  <c r="F84" i="5"/>
  <c r="E84" i="5"/>
  <c r="D84" i="5"/>
  <c r="C84" i="5"/>
  <c r="B84" i="5"/>
  <c r="A84" i="5"/>
  <c r="I84" i="5" s="1"/>
  <c r="L83" i="5"/>
  <c r="K83" i="5"/>
  <c r="J83" i="5"/>
  <c r="G83" i="5"/>
  <c r="D83" i="5"/>
  <c r="C83" i="5"/>
  <c r="B83" i="5"/>
  <c r="A83" i="5"/>
  <c r="I83" i="5" s="1"/>
  <c r="H82" i="5"/>
  <c r="A82" i="5"/>
  <c r="I82" i="5" s="1"/>
  <c r="M81" i="5"/>
  <c r="L81" i="5"/>
  <c r="F81" i="5"/>
  <c r="E81" i="5"/>
  <c r="D81" i="5"/>
  <c r="A81" i="5"/>
  <c r="K81" i="5" s="1"/>
  <c r="I80" i="5"/>
  <c r="C80" i="5"/>
  <c r="B80" i="5"/>
  <c r="A80" i="5"/>
  <c r="M79" i="5"/>
  <c r="L79" i="5"/>
  <c r="K79" i="5"/>
  <c r="H79" i="5"/>
  <c r="G79" i="5"/>
  <c r="F79" i="5"/>
  <c r="E79" i="5"/>
  <c r="D79" i="5"/>
  <c r="C79" i="5"/>
  <c r="A79" i="5"/>
  <c r="J79" i="5" s="1"/>
  <c r="M78" i="5"/>
  <c r="L78" i="5"/>
  <c r="K78" i="5"/>
  <c r="J78" i="5"/>
  <c r="H78" i="5"/>
  <c r="E78" i="5"/>
  <c r="D78" i="5"/>
  <c r="C78" i="5"/>
  <c r="B78" i="5"/>
  <c r="A78" i="5"/>
  <c r="I78" i="5" s="1"/>
  <c r="J77" i="5"/>
  <c r="I77" i="5"/>
  <c r="H77" i="5"/>
  <c r="B77" i="5"/>
  <c r="A77" i="5"/>
  <c r="M76" i="5"/>
  <c r="L76" i="5"/>
  <c r="K76" i="5"/>
  <c r="J76" i="5"/>
  <c r="G76" i="5"/>
  <c r="F76" i="5"/>
  <c r="E76" i="5"/>
  <c r="D76" i="5"/>
  <c r="C76" i="5"/>
  <c r="B76" i="5"/>
  <c r="A76" i="5"/>
  <c r="I76" i="5" s="1"/>
  <c r="L75" i="5"/>
  <c r="K75" i="5"/>
  <c r="J75" i="5"/>
  <c r="G75" i="5"/>
  <c r="D75" i="5"/>
  <c r="C75" i="5"/>
  <c r="B75" i="5"/>
  <c r="A75" i="5"/>
  <c r="I75" i="5" s="1"/>
  <c r="I74" i="5"/>
  <c r="H74" i="5"/>
  <c r="G74" i="5"/>
  <c r="A74" i="5"/>
  <c r="M73" i="5"/>
  <c r="L73" i="5"/>
  <c r="F73" i="5"/>
  <c r="E73" i="5"/>
  <c r="D73" i="5"/>
  <c r="A73" i="5"/>
  <c r="K73" i="5" s="1"/>
  <c r="K72" i="5"/>
  <c r="J72" i="5"/>
  <c r="C72" i="5"/>
  <c r="A72" i="5"/>
  <c r="I72" i="5" s="1"/>
  <c r="M71" i="5"/>
  <c r="L71" i="5"/>
  <c r="K71" i="5"/>
  <c r="H71" i="5"/>
  <c r="G71" i="5"/>
  <c r="F71" i="5"/>
  <c r="E71" i="5"/>
  <c r="D71" i="5"/>
  <c r="C71" i="5"/>
  <c r="A71" i="5"/>
  <c r="J71" i="5" s="1"/>
  <c r="M70" i="5"/>
  <c r="L70" i="5"/>
  <c r="K70" i="5"/>
  <c r="J70" i="5"/>
  <c r="H70" i="5"/>
  <c r="E70" i="5"/>
  <c r="D70" i="5"/>
  <c r="C70" i="5"/>
  <c r="B70" i="5"/>
  <c r="A70" i="5"/>
  <c r="I70" i="5" s="1"/>
  <c r="I69" i="5"/>
  <c r="A69" i="5"/>
  <c r="J69" i="5" s="1"/>
  <c r="M68" i="5"/>
  <c r="L68" i="5"/>
  <c r="K68" i="5"/>
  <c r="J68" i="5"/>
  <c r="G68" i="5"/>
  <c r="F68" i="5"/>
  <c r="E68" i="5"/>
  <c r="D68" i="5"/>
  <c r="C68" i="5"/>
  <c r="B68" i="5"/>
  <c r="A68" i="5"/>
  <c r="I68" i="5" s="1"/>
  <c r="L67" i="5"/>
  <c r="K67" i="5"/>
  <c r="J67" i="5"/>
  <c r="G67" i="5"/>
  <c r="D67" i="5"/>
  <c r="C67" i="5"/>
  <c r="B67" i="5"/>
  <c r="A67" i="5"/>
  <c r="I67" i="5" s="1"/>
  <c r="H66" i="5"/>
  <c r="A66" i="5"/>
  <c r="I66" i="5" s="1"/>
  <c r="M65" i="5"/>
  <c r="L65" i="5"/>
  <c r="F65" i="5"/>
  <c r="E65" i="5"/>
  <c r="D65" i="5"/>
  <c r="A65" i="5"/>
  <c r="K65" i="5" s="1"/>
  <c r="I64" i="5"/>
  <c r="C64" i="5"/>
  <c r="B64" i="5"/>
  <c r="A64" i="5"/>
  <c r="M63" i="5"/>
  <c r="L63" i="5"/>
  <c r="K63" i="5"/>
  <c r="H63" i="5"/>
  <c r="G63" i="5"/>
  <c r="F63" i="5"/>
  <c r="E63" i="5"/>
  <c r="D63" i="5"/>
  <c r="C63" i="5"/>
  <c r="A63" i="5"/>
  <c r="J63" i="5" s="1"/>
  <c r="M62" i="5"/>
  <c r="L62" i="5"/>
  <c r="K62" i="5"/>
  <c r="J62" i="5"/>
  <c r="H62" i="5"/>
  <c r="E62" i="5"/>
  <c r="D62" i="5"/>
  <c r="C62" i="5"/>
  <c r="B62" i="5"/>
  <c r="A62" i="5"/>
  <c r="I62" i="5" s="1"/>
  <c r="J61" i="5"/>
  <c r="I61" i="5"/>
  <c r="H61" i="5"/>
  <c r="B61" i="5"/>
  <c r="A61" i="5"/>
  <c r="M60" i="5"/>
  <c r="L60" i="5"/>
  <c r="K60" i="5"/>
  <c r="J60" i="5"/>
  <c r="G60" i="5"/>
  <c r="F60" i="5"/>
  <c r="E60" i="5"/>
  <c r="D60" i="5"/>
  <c r="C60" i="5"/>
  <c r="B60" i="5"/>
  <c r="A60" i="5"/>
  <c r="I60" i="5" s="1"/>
  <c r="L59" i="5"/>
  <c r="K59" i="5"/>
  <c r="J59" i="5"/>
  <c r="G59" i="5"/>
  <c r="D59" i="5"/>
  <c r="C59" i="5"/>
  <c r="B59" i="5"/>
  <c r="A59" i="5"/>
  <c r="I59" i="5" s="1"/>
  <c r="I58" i="5"/>
  <c r="H58" i="5"/>
  <c r="G58" i="5"/>
  <c r="A58" i="5"/>
  <c r="M57" i="5"/>
  <c r="L57" i="5"/>
  <c r="F57" i="5"/>
  <c r="E57" i="5"/>
  <c r="D57" i="5"/>
  <c r="A57" i="5"/>
  <c r="K57" i="5" s="1"/>
  <c r="K56" i="5"/>
  <c r="J56" i="5"/>
  <c r="C56" i="5"/>
  <c r="A56" i="5"/>
  <c r="I56" i="5" s="1"/>
  <c r="M55" i="5"/>
  <c r="L55" i="5"/>
  <c r="K55" i="5"/>
  <c r="H55" i="5"/>
  <c r="G55" i="5"/>
  <c r="F55" i="5"/>
  <c r="E55" i="5"/>
  <c r="D55" i="5"/>
  <c r="C55" i="5"/>
  <c r="A55" i="5"/>
  <c r="J55" i="5" s="1"/>
  <c r="M54" i="5"/>
  <c r="L54" i="5"/>
  <c r="K54" i="5"/>
  <c r="J54" i="5"/>
  <c r="H54" i="5"/>
  <c r="E54" i="5"/>
  <c r="D54" i="5"/>
  <c r="C54" i="5"/>
  <c r="B54" i="5"/>
  <c r="A54" i="5"/>
  <c r="I54" i="5" s="1"/>
  <c r="I53" i="5"/>
  <c r="A53" i="5"/>
  <c r="J53" i="5" s="1"/>
  <c r="M52" i="5"/>
  <c r="L52" i="5"/>
  <c r="K52" i="5"/>
  <c r="J52" i="5"/>
  <c r="G52" i="5"/>
  <c r="F52" i="5"/>
  <c r="E52" i="5"/>
  <c r="D52" i="5"/>
  <c r="C52" i="5"/>
  <c r="B52" i="5"/>
  <c r="A52" i="5"/>
  <c r="I52" i="5" s="1"/>
  <c r="L51" i="5"/>
  <c r="K51" i="5"/>
  <c r="J51" i="5"/>
  <c r="G51" i="5"/>
  <c r="D51" i="5"/>
  <c r="C51" i="5"/>
  <c r="B51" i="5"/>
  <c r="A51" i="5"/>
  <c r="I51" i="5" s="1"/>
  <c r="H50" i="5"/>
  <c r="A50" i="5"/>
  <c r="I50" i="5" s="1"/>
  <c r="M49" i="5"/>
  <c r="L49" i="5"/>
  <c r="F49" i="5"/>
  <c r="E49" i="5"/>
  <c r="D49" i="5"/>
  <c r="A49" i="5"/>
  <c r="K49" i="5" s="1"/>
  <c r="I48" i="5"/>
  <c r="C48" i="5"/>
  <c r="B48" i="5"/>
  <c r="A48" i="5"/>
  <c r="M47" i="5"/>
  <c r="L47" i="5"/>
  <c r="K47" i="5"/>
  <c r="H47" i="5"/>
  <c r="G47" i="5"/>
  <c r="F47" i="5"/>
  <c r="E47" i="5"/>
  <c r="D47" i="5"/>
  <c r="C47" i="5"/>
  <c r="A47" i="5"/>
  <c r="J47" i="5" s="1"/>
  <c r="M46" i="5"/>
  <c r="L46" i="5"/>
  <c r="K46" i="5"/>
  <c r="J46" i="5"/>
  <c r="H46" i="5"/>
  <c r="E46" i="5"/>
  <c r="D46" i="5"/>
  <c r="C46" i="5"/>
  <c r="B46" i="5"/>
  <c r="A46" i="5"/>
  <c r="I46" i="5" s="1"/>
  <c r="J45" i="5"/>
  <c r="I45" i="5"/>
  <c r="H45" i="5"/>
  <c r="B45" i="5"/>
  <c r="A45" i="5"/>
  <c r="M44" i="5"/>
  <c r="L44" i="5"/>
  <c r="K44" i="5"/>
  <c r="J44" i="5"/>
  <c r="G44" i="5"/>
  <c r="F44" i="5"/>
  <c r="E44" i="5"/>
  <c r="D44" i="5"/>
  <c r="C44" i="5"/>
  <c r="B44" i="5"/>
  <c r="A44" i="5"/>
  <c r="I44" i="5" s="1"/>
  <c r="L43" i="5"/>
  <c r="K43" i="5"/>
  <c r="J43" i="5"/>
  <c r="G43" i="5"/>
  <c r="D43" i="5"/>
  <c r="C43" i="5"/>
  <c r="B43" i="5"/>
  <c r="A43" i="5"/>
  <c r="I43" i="5" s="1"/>
  <c r="I42" i="5"/>
  <c r="H42" i="5"/>
  <c r="G42" i="5"/>
  <c r="A42" i="5"/>
  <c r="M41" i="5"/>
  <c r="L41" i="5"/>
  <c r="F41" i="5"/>
  <c r="E41" i="5"/>
  <c r="D41" i="5"/>
  <c r="A41" i="5"/>
  <c r="K41" i="5" s="1"/>
  <c r="K40" i="5"/>
  <c r="J40" i="5"/>
  <c r="C40" i="5"/>
  <c r="A40" i="5"/>
  <c r="I40" i="5" s="1"/>
  <c r="M39" i="5"/>
  <c r="L39" i="5"/>
  <c r="K39" i="5"/>
  <c r="H39" i="5"/>
  <c r="G39" i="5"/>
  <c r="F39" i="5"/>
  <c r="E39" i="5"/>
  <c r="D39" i="5"/>
  <c r="C39" i="5"/>
  <c r="A39" i="5"/>
  <c r="J39" i="5" s="1"/>
  <c r="M38" i="5"/>
  <c r="L38" i="5"/>
  <c r="K38" i="5"/>
  <c r="J38" i="5"/>
  <c r="H38" i="5"/>
  <c r="E38" i="5"/>
  <c r="D38" i="5"/>
  <c r="C38" i="5"/>
  <c r="B38" i="5"/>
  <c r="A38" i="5"/>
  <c r="I38" i="5" s="1"/>
  <c r="I37" i="5"/>
  <c r="A37" i="5"/>
  <c r="J37" i="5" s="1"/>
  <c r="M36" i="5"/>
  <c r="L36" i="5"/>
  <c r="K36" i="5"/>
  <c r="J36" i="5"/>
  <c r="G36" i="5"/>
  <c r="F36" i="5"/>
  <c r="E36" i="5"/>
  <c r="D36" i="5"/>
  <c r="C36" i="5"/>
  <c r="B36" i="5"/>
  <c r="A36" i="5"/>
  <c r="I36" i="5" s="1"/>
  <c r="L35" i="5"/>
  <c r="K35" i="5"/>
  <c r="J35" i="5"/>
  <c r="G35" i="5"/>
  <c r="D35" i="5"/>
  <c r="C35" i="5"/>
  <c r="B35" i="5"/>
  <c r="A35" i="5"/>
  <c r="I35" i="5" s="1"/>
  <c r="H34" i="5"/>
  <c r="A34" i="5"/>
  <c r="I34" i="5" s="1"/>
  <c r="M33" i="5"/>
  <c r="L33" i="5"/>
  <c r="F33" i="5"/>
  <c r="E33" i="5"/>
  <c r="D33" i="5"/>
  <c r="A33" i="5"/>
  <c r="K33" i="5" s="1"/>
  <c r="I32" i="5"/>
  <c r="C32" i="5"/>
  <c r="B32" i="5"/>
  <c r="A32" i="5"/>
  <c r="M31" i="5"/>
  <c r="L31" i="5"/>
  <c r="K31" i="5"/>
  <c r="H31" i="5"/>
  <c r="G31" i="5"/>
  <c r="F31" i="5"/>
  <c r="E31" i="5"/>
  <c r="D31" i="5"/>
  <c r="C31" i="5"/>
  <c r="A31" i="5"/>
  <c r="J31" i="5" s="1"/>
  <c r="M30" i="5"/>
  <c r="L30" i="5"/>
  <c r="K30" i="5"/>
  <c r="J30" i="5"/>
  <c r="H30" i="5"/>
  <c r="E30" i="5"/>
  <c r="D30" i="5"/>
  <c r="C30" i="5"/>
  <c r="B30" i="5"/>
  <c r="A30" i="5"/>
  <c r="I30" i="5" s="1"/>
  <c r="J29" i="5"/>
  <c r="I29" i="5"/>
  <c r="H29" i="5"/>
  <c r="B29" i="5"/>
  <c r="A29" i="5"/>
  <c r="M28" i="5"/>
  <c r="L28" i="5"/>
  <c r="K28" i="5"/>
  <c r="J28" i="5"/>
  <c r="G28" i="5"/>
  <c r="F28" i="5"/>
  <c r="E28" i="5"/>
  <c r="D28" i="5"/>
  <c r="C28" i="5"/>
  <c r="B28" i="5"/>
  <c r="A28" i="5"/>
  <c r="I28" i="5" s="1"/>
  <c r="L27" i="5"/>
  <c r="K27" i="5"/>
  <c r="J27" i="5"/>
  <c r="G27" i="5"/>
  <c r="D27" i="5"/>
  <c r="C27" i="5"/>
  <c r="B27" i="5"/>
  <c r="A27" i="5"/>
  <c r="I27" i="5" s="1"/>
  <c r="I26" i="5"/>
  <c r="H26" i="5"/>
  <c r="G26" i="5"/>
  <c r="A26" i="5"/>
  <c r="M25" i="5"/>
  <c r="L25" i="5"/>
  <c r="F25" i="5"/>
  <c r="E25" i="5"/>
  <c r="D25" i="5"/>
  <c r="A25" i="5"/>
  <c r="K25" i="5" s="1"/>
  <c r="K24" i="5"/>
  <c r="J24" i="5"/>
  <c r="C24" i="5"/>
  <c r="A24" i="5"/>
  <c r="I24" i="5" s="1"/>
  <c r="M23" i="5"/>
  <c r="L23" i="5"/>
  <c r="K23" i="5"/>
  <c r="H23" i="5"/>
  <c r="G23" i="5"/>
  <c r="F23" i="5"/>
  <c r="E23" i="5"/>
  <c r="D23" i="5"/>
  <c r="C23" i="5"/>
  <c r="A23" i="5"/>
  <c r="J23" i="5" s="1"/>
  <c r="M22" i="5"/>
  <c r="L22" i="5"/>
  <c r="K22" i="5"/>
  <c r="J22" i="5"/>
  <c r="H22" i="5"/>
  <c r="E22" i="5"/>
  <c r="D22" i="5"/>
  <c r="C22" i="5"/>
  <c r="B22" i="5"/>
  <c r="A22" i="5"/>
  <c r="I22" i="5" s="1"/>
  <c r="I21" i="5"/>
  <c r="A21" i="5"/>
  <c r="J21" i="5" s="1"/>
  <c r="M20" i="5"/>
  <c r="L20" i="5"/>
  <c r="K20" i="5"/>
  <c r="J20" i="5"/>
  <c r="G20" i="5"/>
  <c r="F20" i="5"/>
  <c r="E20" i="5"/>
  <c r="D20" i="5"/>
  <c r="C20" i="5"/>
  <c r="B20" i="5"/>
  <c r="A20" i="5"/>
  <c r="I20" i="5" s="1"/>
  <c r="L19" i="5"/>
  <c r="K19" i="5"/>
  <c r="J19" i="5"/>
  <c r="G19" i="5"/>
  <c r="D19" i="5"/>
  <c r="C19" i="5"/>
  <c r="B19" i="5"/>
  <c r="A19" i="5"/>
  <c r="I19" i="5" s="1"/>
  <c r="H18" i="5"/>
  <c r="A18" i="5"/>
  <c r="I18" i="5" s="1"/>
  <c r="M17" i="5"/>
  <c r="L17" i="5"/>
  <c r="F17" i="5"/>
  <c r="E17" i="5"/>
  <c r="D17" i="5"/>
  <c r="A17" i="5"/>
  <c r="K17" i="5" s="1"/>
  <c r="I16" i="5"/>
  <c r="A16" i="5"/>
  <c r="B16" i="5" s="1"/>
  <c r="H15" i="5"/>
  <c r="G15" i="5"/>
  <c r="A15" i="5"/>
  <c r="J15" i="5" s="1"/>
  <c r="K14" i="5"/>
  <c r="A14" i="5"/>
  <c r="I14" i="5" s="1"/>
  <c r="J13" i="5"/>
  <c r="I13" i="5"/>
  <c r="A13" i="5"/>
  <c r="H13" i="5" s="1"/>
  <c r="A12" i="5"/>
  <c r="I12" i="5" s="1"/>
  <c r="A11" i="5"/>
  <c r="I11" i="5" s="1"/>
  <c r="A10" i="5"/>
  <c r="I10" i="5" s="1"/>
  <c r="A9" i="5"/>
  <c r="K9" i="5" s="1"/>
  <c r="A8" i="5"/>
  <c r="I8" i="5" s="1"/>
  <c r="A7" i="5"/>
  <c r="J7" i="5" s="1"/>
  <c r="A6" i="5"/>
  <c r="I6" i="5" s="1"/>
  <c r="A5" i="5"/>
  <c r="J5" i="5" s="1"/>
  <c r="A4" i="5"/>
  <c r="I4" i="5" s="1"/>
  <c r="A3" i="5"/>
  <c r="I3" i="5" s="1"/>
  <c r="A2" i="5"/>
  <c r="I2" i="5" s="1"/>
  <c r="M1000" i="4"/>
  <c r="L1000" i="4"/>
  <c r="F1000" i="4"/>
  <c r="E1000" i="4"/>
  <c r="D1000" i="4"/>
  <c r="A1000" i="4"/>
  <c r="K1000" i="4" s="1"/>
  <c r="I999" i="4"/>
  <c r="C999" i="4"/>
  <c r="B999" i="4"/>
  <c r="A999" i="4"/>
  <c r="M998" i="4"/>
  <c r="L998" i="4"/>
  <c r="K998" i="4"/>
  <c r="H998" i="4"/>
  <c r="G998" i="4"/>
  <c r="F998" i="4"/>
  <c r="E998" i="4"/>
  <c r="D998" i="4"/>
  <c r="C998" i="4"/>
  <c r="A998" i="4"/>
  <c r="J998" i="4" s="1"/>
  <c r="M997" i="4"/>
  <c r="L997" i="4"/>
  <c r="K997" i="4"/>
  <c r="J997" i="4"/>
  <c r="H997" i="4"/>
  <c r="E997" i="4"/>
  <c r="D997" i="4"/>
  <c r="C997" i="4"/>
  <c r="B997" i="4"/>
  <c r="A997" i="4"/>
  <c r="I997" i="4" s="1"/>
  <c r="J996" i="4"/>
  <c r="I996" i="4"/>
  <c r="H996" i="4"/>
  <c r="B996" i="4"/>
  <c r="A996" i="4"/>
  <c r="M995" i="4"/>
  <c r="L995" i="4"/>
  <c r="K995" i="4"/>
  <c r="J995" i="4"/>
  <c r="G995" i="4"/>
  <c r="F995" i="4"/>
  <c r="E995" i="4"/>
  <c r="D995" i="4"/>
  <c r="C995" i="4"/>
  <c r="B995" i="4"/>
  <c r="A995" i="4"/>
  <c r="I995" i="4" s="1"/>
  <c r="L994" i="4"/>
  <c r="K994" i="4"/>
  <c r="J994" i="4"/>
  <c r="G994" i="4"/>
  <c r="D994" i="4"/>
  <c r="C994" i="4"/>
  <c r="B994" i="4"/>
  <c r="A994" i="4"/>
  <c r="I994" i="4" s="1"/>
  <c r="I993" i="4"/>
  <c r="H993" i="4"/>
  <c r="G993" i="4"/>
  <c r="A993" i="4"/>
  <c r="M992" i="4"/>
  <c r="L992" i="4"/>
  <c r="F992" i="4"/>
  <c r="E992" i="4"/>
  <c r="D992" i="4"/>
  <c r="A992" i="4"/>
  <c r="K992" i="4" s="1"/>
  <c r="K991" i="4"/>
  <c r="J991" i="4"/>
  <c r="C991" i="4"/>
  <c r="A991" i="4"/>
  <c r="I991" i="4" s="1"/>
  <c r="M990" i="4"/>
  <c r="L990" i="4"/>
  <c r="K990" i="4"/>
  <c r="H990" i="4"/>
  <c r="G990" i="4"/>
  <c r="F990" i="4"/>
  <c r="E990" i="4"/>
  <c r="D990" i="4"/>
  <c r="C990" i="4"/>
  <c r="A990" i="4"/>
  <c r="J990" i="4" s="1"/>
  <c r="M989" i="4"/>
  <c r="L989" i="4"/>
  <c r="K989" i="4"/>
  <c r="J989" i="4"/>
  <c r="H989" i="4"/>
  <c r="E989" i="4"/>
  <c r="D989" i="4"/>
  <c r="C989" i="4"/>
  <c r="B989" i="4"/>
  <c r="A989" i="4"/>
  <c r="I989" i="4" s="1"/>
  <c r="I988" i="4"/>
  <c r="A988" i="4"/>
  <c r="J988" i="4" s="1"/>
  <c r="M987" i="4"/>
  <c r="L987" i="4"/>
  <c r="K987" i="4"/>
  <c r="J987" i="4"/>
  <c r="G987" i="4"/>
  <c r="F987" i="4"/>
  <c r="E987" i="4"/>
  <c r="D987" i="4"/>
  <c r="C987" i="4"/>
  <c r="B987" i="4"/>
  <c r="A987" i="4"/>
  <c r="I987" i="4" s="1"/>
  <c r="L986" i="4"/>
  <c r="K986" i="4"/>
  <c r="J986" i="4"/>
  <c r="G986" i="4"/>
  <c r="D986" i="4"/>
  <c r="C986" i="4"/>
  <c r="B986" i="4"/>
  <c r="A986" i="4"/>
  <c r="I986" i="4" s="1"/>
  <c r="H985" i="4"/>
  <c r="A985" i="4"/>
  <c r="I985" i="4" s="1"/>
  <c r="M984" i="4"/>
  <c r="L984" i="4"/>
  <c r="F984" i="4"/>
  <c r="E984" i="4"/>
  <c r="D984" i="4"/>
  <c r="A984" i="4"/>
  <c r="K984" i="4" s="1"/>
  <c r="I983" i="4"/>
  <c r="C983" i="4"/>
  <c r="B983" i="4"/>
  <c r="A983" i="4"/>
  <c r="M982" i="4"/>
  <c r="L982" i="4"/>
  <c r="K982" i="4"/>
  <c r="H982" i="4"/>
  <c r="G982" i="4"/>
  <c r="F982" i="4"/>
  <c r="E982" i="4"/>
  <c r="D982" i="4"/>
  <c r="C982" i="4"/>
  <c r="A982" i="4"/>
  <c r="J982" i="4" s="1"/>
  <c r="M981" i="4"/>
  <c r="L981" i="4"/>
  <c r="K981" i="4"/>
  <c r="J981" i="4"/>
  <c r="H981" i="4"/>
  <c r="E981" i="4"/>
  <c r="D981" i="4"/>
  <c r="C981" i="4"/>
  <c r="B981" i="4"/>
  <c r="A981" i="4"/>
  <c r="I981" i="4" s="1"/>
  <c r="J980" i="4"/>
  <c r="I980" i="4"/>
  <c r="H980" i="4"/>
  <c r="B980" i="4"/>
  <c r="A980" i="4"/>
  <c r="M979" i="4"/>
  <c r="L979" i="4"/>
  <c r="K979" i="4"/>
  <c r="J979" i="4"/>
  <c r="G979" i="4"/>
  <c r="F979" i="4"/>
  <c r="E979" i="4"/>
  <c r="D979" i="4"/>
  <c r="C979" i="4"/>
  <c r="B979" i="4"/>
  <c r="A979" i="4"/>
  <c r="I979" i="4" s="1"/>
  <c r="L978" i="4"/>
  <c r="K978" i="4"/>
  <c r="J978" i="4"/>
  <c r="G978" i="4"/>
  <c r="D978" i="4"/>
  <c r="C978" i="4"/>
  <c r="B978" i="4"/>
  <c r="A978" i="4"/>
  <c r="I978" i="4" s="1"/>
  <c r="I977" i="4"/>
  <c r="H977" i="4"/>
  <c r="G977" i="4"/>
  <c r="A977" i="4"/>
  <c r="M976" i="4"/>
  <c r="L976" i="4"/>
  <c r="F976" i="4"/>
  <c r="E976" i="4"/>
  <c r="D976" i="4"/>
  <c r="A976" i="4"/>
  <c r="K976" i="4" s="1"/>
  <c r="K975" i="4"/>
  <c r="J975" i="4"/>
  <c r="C975" i="4"/>
  <c r="A975" i="4"/>
  <c r="I975" i="4" s="1"/>
  <c r="M974" i="4"/>
  <c r="L974" i="4"/>
  <c r="K974" i="4"/>
  <c r="H974" i="4"/>
  <c r="G974" i="4"/>
  <c r="F974" i="4"/>
  <c r="E974" i="4"/>
  <c r="D974" i="4"/>
  <c r="C974" i="4"/>
  <c r="A974" i="4"/>
  <c r="J974" i="4" s="1"/>
  <c r="M973" i="4"/>
  <c r="L973" i="4"/>
  <c r="K973" i="4"/>
  <c r="J973" i="4"/>
  <c r="H973" i="4"/>
  <c r="E973" i="4"/>
  <c r="D973" i="4"/>
  <c r="C973" i="4"/>
  <c r="B973" i="4"/>
  <c r="A973" i="4"/>
  <c r="I973" i="4" s="1"/>
  <c r="I972" i="4"/>
  <c r="A972" i="4"/>
  <c r="J972" i="4" s="1"/>
  <c r="M971" i="4"/>
  <c r="L971" i="4"/>
  <c r="K971" i="4"/>
  <c r="J971" i="4"/>
  <c r="G971" i="4"/>
  <c r="F971" i="4"/>
  <c r="E971" i="4"/>
  <c r="D971" i="4"/>
  <c r="C971" i="4"/>
  <c r="B971" i="4"/>
  <c r="A971" i="4"/>
  <c r="I971" i="4" s="1"/>
  <c r="L970" i="4"/>
  <c r="K970" i="4"/>
  <c r="J970" i="4"/>
  <c r="G970" i="4"/>
  <c r="D970" i="4"/>
  <c r="C970" i="4"/>
  <c r="B970" i="4"/>
  <c r="A970" i="4"/>
  <c r="I970" i="4" s="1"/>
  <c r="H969" i="4"/>
  <c r="A969" i="4"/>
  <c r="I969" i="4" s="1"/>
  <c r="M968" i="4"/>
  <c r="L968" i="4"/>
  <c r="F968" i="4"/>
  <c r="E968" i="4"/>
  <c r="D968" i="4"/>
  <c r="A968" i="4"/>
  <c r="K968" i="4" s="1"/>
  <c r="I967" i="4"/>
  <c r="C967" i="4"/>
  <c r="B967" i="4"/>
  <c r="A967" i="4"/>
  <c r="M966" i="4"/>
  <c r="L966" i="4"/>
  <c r="K966" i="4"/>
  <c r="H966" i="4"/>
  <c r="G966" i="4"/>
  <c r="F966" i="4"/>
  <c r="E966" i="4"/>
  <c r="D966" i="4"/>
  <c r="C966" i="4"/>
  <c r="A966" i="4"/>
  <c r="J966" i="4" s="1"/>
  <c r="M965" i="4"/>
  <c r="L965" i="4"/>
  <c r="K965" i="4"/>
  <c r="J965" i="4"/>
  <c r="H965" i="4"/>
  <c r="E965" i="4"/>
  <c r="D965" i="4"/>
  <c r="C965" i="4"/>
  <c r="B965" i="4"/>
  <c r="A965" i="4"/>
  <c r="I965" i="4" s="1"/>
  <c r="J964" i="4"/>
  <c r="I964" i="4"/>
  <c r="H964" i="4"/>
  <c r="B964" i="4"/>
  <c r="A964" i="4"/>
  <c r="M963" i="4"/>
  <c r="L963" i="4"/>
  <c r="K963" i="4"/>
  <c r="J963" i="4"/>
  <c r="H963" i="4"/>
  <c r="G963" i="4"/>
  <c r="F963" i="4"/>
  <c r="E963" i="4"/>
  <c r="D963" i="4"/>
  <c r="C963" i="4"/>
  <c r="B963" i="4"/>
  <c r="A963" i="4"/>
  <c r="I963" i="4" s="1"/>
  <c r="L962" i="4"/>
  <c r="K962" i="4"/>
  <c r="J962" i="4"/>
  <c r="G962" i="4"/>
  <c r="D962" i="4"/>
  <c r="C962" i="4"/>
  <c r="B962" i="4"/>
  <c r="A962" i="4"/>
  <c r="I962" i="4" s="1"/>
  <c r="I961" i="4"/>
  <c r="H961" i="4"/>
  <c r="G961" i="4"/>
  <c r="A961" i="4"/>
  <c r="M960" i="4"/>
  <c r="L960" i="4"/>
  <c r="F960" i="4"/>
  <c r="E960" i="4"/>
  <c r="D960" i="4"/>
  <c r="A960" i="4"/>
  <c r="K960" i="4" s="1"/>
  <c r="I959" i="4"/>
  <c r="A959" i="4"/>
  <c r="K959" i="4" s="1"/>
  <c r="M958" i="4"/>
  <c r="L958" i="4"/>
  <c r="K958" i="4"/>
  <c r="H958" i="4"/>
  <c r="G958" i="4"/>
  <c r="F958" i="4"/>
  <c r="E958" i="4"/>
  <c r="D958" i="4"/>
  <c r="C958" i="4"/>
  <c r="A958" i="4"/>
  <c r="J958" i="4" s="1"/>
  <c r="M957" i="4"/>
  <c r="L957" i="4"/>
  <c r="K957" i="4"/>
  <c r="J957" i="4"/>
  <c r="H957" i="4"/>
  <c r="E957" i="4"/>
  <c r="D957" i="4"/>
  <c r="C957" i="4"/>
  <c r="B957" i="4"/>
  <c r="A957" i="4"/>
  <c r="I957" i="4" s="1"/>
  <c r="J956" i="4"/>
  <c r="A956" i="4"/>
  <c r="M955" i="4"/>
  <c r="L955" i="4"/>
  <c r="K955" i="4"/>
  <c r="J955" i="4"/>
  <c r="G955" i="4"/>
  <c r="F955" i="4"/>
  <c r="E955" i="4"/>
  <c r="D955" i="4"/>
  <c r="C955" i="4"/>
  <c r="B955" i="4"/>
  <c r="A955" i="4"/>
  <c r="I955" i="4" s="1"/>
  <c r="L954" i="4"/>
  <c r="K954" i="4"/>
  <c r="J954" i="4"/>
  <c r="G954" i="4"/>
  <c r="D954" i="4"/>
  <c r="C954" i="4"/>
  <c r="B954" i="4"/>
  <c r="A954" i="4"/>
  <c r="I954" i="4" s="1"/>
  <c r="I953" i="4"/>
  <c r="A953" i="4"/>
  <c r="M952" i="4"/>
  <c r="L952" i="4"/>
  <c r="F952" i="4"/>
  <c r="E952" i="4"/>
  <c r="D952" i="4"/>
  <c r="A952" i="4"/>
  <c r="K952" i="4" s="1"/>
  <c r="K951" i="4"/>
  <c r="J951" i="4"/>
  <c r="I951" i="4"/>
  <c r="C951" i="4"/>
  <c r="B951" i="4"/>
  <c r="A951" i="4"/>
  <c r="M950" i="4"/>
  <c r="L950" i="4"/>
  <c r="K950" i="4"/>
  <c r="H950" i="4"/>
  <c r="G950" i="4"/>
  <c r="F950" i="4"/>
  <c r="E950" i="4"/>
  <c r="D950" i="4"/>
  <c r="C950" i="4"/>
  <c r="A950" i="4"/>
  <c r="J950" i="4" s="1"/>
  <c r="M949" i="4"/>
  <c r="L949" i="4"/>
  <c r="K949" i="4"/>
  <c r="J949" i="4"/>
  <c r="H949" i="4"/>
  <c r="E949" i="4"/>
  <c r="D949" i="4"/>
  <c r="C949" i="4"/>
  <c r="B949" i="4"/>
  <c r="A949" i="4"/>
  <c r="I949" i="4" s="1"/>
  <c r="I948" i="4"/>
  <c r="A948" i="4"/>
  <c r="M947" i="4"/>
  <c r="L947" i="4"/>
  <c r="K947" i="4"/>
  <c r="J947" i="4"/>
  <c r="G947" i="4"/>
  <c r="F947" i="4"/>
  <c r="E947" i="4"/>
  <c r="D947" i="4"/>
  <c r="C947" i="4"/>
  <c r="B947" i="4"/>
  <c r="A947" i="4"/>
  <c r="I947" i="4" s="1"/>
  <c r="L946" i="4"/>
  <c r="K946" i="4"/>
  <c r="J946" i="4"/>
  <c r="G946" i="4"/>
  <c r="D946" i="4"/>
  <c r="C946" i="4"/>
  <c r="B946" i="4"/>
  <c r="A946" i="4"/>
  <c r="I946" i="4" s="1"/>
  <c r="I945" i="4"/>
  <c r="H945" i="4"/>
  <c r="G945" i="4"/>
  <c r="A945" i="4"/>
  <c r="M944" i="4"/>
  <c r="L944" i="4"/>
  <c r="F944" i="4"/>
  <c r="E944" i="4"/>
  <c r="D944" i="4"/>
  <c r="A944" i="4"/>
  <c r="K944" i="4" s="1"/>
  <c r="I943" i="4"/>
  <c r="A943" i="4"/>
  <c r="K943" i="4" s="1"/>
  <c r="M942" i="4"/>
  <c r="L942" i="4"/>
  <c r="K942" i="4"/>
  <c r="H942" i="4"/>
  <c r="G942" i="4"/>
  <c r="F942" i="4"/>
  <c r="E942" i="4"/>
  <c r="D942" i="4"/>
  <c r="C942" i="4"/>
  <c r="A942" i="4"/>
  <c r="J942" i="4" s="1"/>
  <c r="M941" i="4"/>
  <c r="L941" i="4"/>
  <c r="K941" i="4"/>
  <c r="J941" i="4"/>
  <c r="H941" i="4"/>
  <c r="E941" i="4"/>
  <c r="D941" i="4"/>
  <c r="C941" i="4"/>
  <c r="B941" i="4"/>
  <c r="A941" i="4"/>
  <c r="I941" i="4" s="1"/>
  <c r="J940" i="4"/>
  <c r="A940" i="4"/>
  <c r="M939" i="4"/>
  <c r="L939" i="4"/>
  <c r="K939" i="4"/>
  <c r="J939" i="4"/>
  <c r="G939" i="4"/>
  <c r="F939" i="4"/>
  <c r="E939" i="4"/>
  <c r="D939" i="4"/>
  <c r="C939" i="4"/>
  <c r="B939" i="4"/>
  <c r="A939" i="4"/>
  <c r="I939" i="4" s="1"/>
  <c r="L938" i="4"/>
  <c r="K938" i="4"/>
  <c r="J938" i="4"/>
  <c r="G938" i="4"/>
  <c r="D938" i="4"/>
  <c r="C938" i="4"/>
  <c r="B938" i="4"/>
  <c r="A938" i="4"/>
  <c r="I938" i="4" s="1"/>
  <c r="I937" i="4"/>
  <c r="A937" i="4"/>
  <c r="M936" i="4"/>
  <c r="L936" i="4"/>
  <c r="F936" i="4"/>
  <c r="E936" i="4"/>
  <c r="D936" i="4"/>
  <c r="A936" i="4"/>
  <c r="K936" i="4" s="1"/>
  <c r="K935" i="4"/>
  <c r="J935" i="4"/>
  <c r="I935" i="4"/>
  <c r="C935" i="4"/>
  <c r="B935" i="4"/>
  <c r="A935" i="4"/>
  <c r="M934" i="4"/>
  <c r="L934" i="4"/>
  <c r="K934" i="4"/>
  <c r="H934" i="4"/>
  <c r="G934" i="4"/>
  <c r="F934" i="4"/>
  <c r="E934" i="4"/>
  <c r="D934" i="4"/>
  <c r="C934" i="4"/>
  <c r="A934" i="4"/>
  <c r="J934" i="4" s="1"/>
  <c r="M933" i="4"/>
  <c r="L933" i="4"/>
  <c r="K933" i="4"/>
  <c r="J933" i="4"/>
  <c r="H933" i="4"/>
  <c r="E933" i="4"/>
  <c r="D933" i="4"/>
  <c r="C933" i="4"/>
  <c r="B933" i="4"/>
  <c r="A933" i="4"/>
  <c r="I933" i="4" s="1"/>
  <c r="I932" i="4"/>
  <c r="A932" i="4"/>
  <c r="M931" i="4"/>
  <c r="L931" i="4"/>
  <c r="K931" i="4"/>
  <c r="J931" i="4"/>
  <c r="G931" i="4"/>
  <c r="F931" i="4"/>
  <c r="E931" i="4"/>
  <c r="D931" i="4"/>
  <c r="C931" i="4"/>
  <c r="B931" i="4"/>
  <c r="A931" i="4"/>
  <c r="I931" i="4" s="1"/>
  <c r="L930" i="4"/>
  <c r="K930" i="4"/>
  <c r="J930" i="4"/>
  <c r="G930" i="4"/>
  <c r="D930" i="4"/>
  <c r="C930" i="4"/>
  <c r="B930" i="4"/>
  <c r="A930" i="4"/>
  <c r="I930" i="4" s="1"/>
  <c r="I929" i="4"/>
  <c r="H929" i="4"/>
  <c r="G929" i="4"/>
  <c r="A929" i="4"/>
  <c r="M928" i="4"/>
  <c r="L928" i="4"/>
  <c r="F928" i="4"/>
  <c r="E928" i="4"/>
  <c r="D928" i="4"/>
  <c r="A928" i="4"/>
  <c r="K928" i="4" s="1"/>
  <c r="I927" i="4"/>
  <c r="A927" i="4"/>
  <c r="K927" i="4" s="1"/>
  <c r="M926" i="4"/>
  <c r="L926" i="4"/>
  <c r="K926" i="4"/>
  <c r="H926" i="4"/>
  <c r="G926" i="4"/>
  <c r="F926" i="4"/>
  <c r="E926" i="4"/>
  <c r="D926" i="4"/>
  <c r="C926" i="4"/>
  <c r="A926" i="4"/>
  <c r="J926" i="4" s="1"/>
  <c r="M925" i="4"/>
  <c r="L925" i="4"/>
  <c r="K925" i="4"/>
  <c r="J925" i="4"/>
  <c r="H925" i="4"/>
  <c r="E925" i="4"/>
  <c r="D925" i="4"/>
  <c r="C925" i="4"/>
  <c r="B925" i="4"/>
  <c r="A925" i="4"/>
  <c r="I925" i="4" s="1"/>
  <c r="J924" i="4"/>
  <c r="A924" i="4"/>
  <c r="M923" i="4"/>
  <c r="L923" i="4"/>
  <c r="K923" i="4"/>
  <c r="J923" i="4"/>
  <c r="G923" i="4"/>
  <c r="F923" i="4"/>
  <c r="E923" i="4"/>
  <c r="D923" i="4"/>
  <c r="C923" i="4"/>
  <c r="B923" i="4"/>
  <c r="A923" i="4"/>
  <c r="I923" i="4" s="1"/>
  <c r="L922" i="4"/>
  <c r="K922" i="4"/>
  <c r="J922" i="4"/>
  <c r="G922" i="4"/>
  <c r="D922" i="4"/>
  <c r="C922" i="4"/>
  <c r="B922" i="4"/>
  <c r="A922" i="4"/>
  <c r="I922" i="4" s="1"/>
  <c r="I921" i="4"/>
  <c r="A921" i="4"/>
  <c r="M920" i="4"/>
  <c r="L920" i="4"/>
  <c r="F920" i="4"/>
  <c r="E920" i="4"/>
  <c r="D920" i="4"/>
  <c r="A920" i="4"/>
  <c r="K920" i="4" s="1"/>
  <c r="K919" i="4"/>
  <c r="J919" i="4"/>
  <c r="I919" i="4"/>
  <c r="C919" i="4"/>
  <c r="B919" i="4"/>
  <c r="A919" i="4"/>
  <c r="M918" i="4"/>
  <c r="L918" i="4"/>
  <c r="K918" i="4"/>
  <c r="H918" i="4"/>
  <c r="G918" i="4"/>
  <c r="F918" i="4"/>
  <c r="E918" i="4"/>
  <c r="D918" i="4"/>
  <c r="C918" i="4"/>
  <c r="A918" i="4"/>
  <c r="J918" i="4" s="1"/>
  <c r="M917" i="4"/>
  <c r="L917" i="4"/>
  <c r="K917" i="4"/>
  <c r="J917" i="4"/>
  <c r="H917" i="4"/>
  <c r="E917" i="4"/>
  <c r="D917" i="4"/>
  <c r="C917" i="4"/>
  <c r="B917" i="4"/>
  <c r="A917" i="4"/>
  <c r="I917" i="4" s="1"/>
  <c r="A916" i="4"/>
  <c r="M915" i="4"/>
  <c r="L915" i="4"/>
  <c r="K915" i="4"/>
  <c r="J915" i="4"/>
  <c r="G915" i="4"/>
  <c r="F915" i="4"/>
  <c r="E915" i="4"/>
  <c r="D915" i="4"/>
  <c r="C915" i="4"/>
  <c r="B915" i="4"/>
  <c r="A915" i="4"/>
  <c r="I915" i="4" s="1"/>
  <c r="L914" i="4"/>
  <c r="K914" i="4"/>
  <c r="J914" i="4"/>
  <c r="G914" i="4"/>
  <c r="D914" i="4"/>
  <c r="C914" i="4"/>
  <c r="B914" i="4"/>
  <c r="A914" i="4"/>
  <c r="I914" i="4" s="1"/>
  <c r="I913" i="4"/>
  <c r="H913" i="4"/>
  <c r="G913" i="4"/>
  <c r="A913" i="4"/>
  <c r="M912" i="4"/>
  <c r="L912" i="4"/>
  <c r="F912" i="4"/>
  <c r="E912" i="4"/>
  <c r="D912" i="4"/>
  <c r="A912" i="4"/>
  <c r="K912" i="4" s="1"/>
  <c r="I911" i="4"/>
  <c r="A911" i="4"/>
  <c r="K911" i="4" s="1"/>
  <c r="M910" i="4"/>
  <c r="L910" i="4"/>
  <c r="K910" i="4"/>
  <c r="H910" i="4"/>
  <c r="G910" i="4"/>
  <c r="F910" i="4"/>
  <c r="E910" i="4"/>
  <c r="D910" i="4"/>
  <c r="C910" i="4"/>
  <c r="A910" i="4"/>
  <c r="J910" i="4" s="1"/>
  <c r="M909" i="4"/>
  <c r="L909" i="4"/>
  <c r="K909" i="4"/>
  <c r="J909" i="4"/>
  <c r="H909" i="4"/>
  <c r="E909" i="4"/>
  <c r="D909" i="4"/>
  <c r="C909" i="4"/>
  <c r="B909" i="4"/>
  <c r="A909" i="4"/>
  <c r="I909" i="4" s="1"/>
  <c r="J908" i="4"/>
  <c r="A908" i="4"/>
  <c r="M907" i="4"/>
  <c r="L907" i="4"/>
  <c r="K907" i="4"/>
  <c r="J907" i="4"/>
  <c r="G907" i="4"/>
  <c r="F907" i="4"/>
  <c r="E907" i="4"/>
  <c r="D907" i="4"/>
  <c r="C907" i="4"/>
  <c r="B907" i="4"/>
  <c r="A907" i="4"/>
  <c r="I907" i="4" s="1"/>
  <c r="L906" i="4"/>
  <c r="K906" i="4"/>
  <c r="J906" i="4"/>
  <c r="G906" i="4"/>
  <c r="D906" i="4"/>
  <c r="C906" i="4"/>
  <c r="B906" i="4"/>
  <c r="A906" i="4"/>
  <c r="I906" i="4" s="1"/>
  <c r="I905" i="4"/>
  <c r="A905" i="4"/>
  <c r="M904" i="4"/>
  <c r="L904" i="4"/>
  <c r="F904" i="4"/>
  <c r="E904" i="4"/>
  <c r="D904" i="4"/>
  <c r="A904" i="4"/>
  <c r="K904" i="4" s="1"/>
  <c r="K903" i="4"/>
  <c r="J903" i="4"/>
  <c r="I903" i="4"/>
  <c r="C903" i="4"/>
  <c r="B903" i="4"/>
  <c r="A903" i="4"/>
  <c r="M902" i="4"/>
  <c r="L902" i="4"/>
  <c r="K902" i="4"/>
  <c r="H902" i="4"/>
  <c r="G902" i="4"/>
  <c r="F902" i="4"/>
  <c r="E902" i="4"/>
  <c r="D902" i="4"/>
  <c r="C902" i="4"/>
  <c r="A902" i="4"/>
  <c r="J902" i="4" s="1"/>
  <c r="M901" i="4"/>
  <c r="L901" i="4"/>
  <c r="K901" i="4"/>
  <c r="J901" i="4"/>
  <c r="H901" i="4"/>
  <c r="E901" i="4"/>
  <c r="D901" i="4"/>
  <c r="C901" i="4"/>
  <c r="B901" i="4"/>
  <c r="A901" i="4"/>
  <c r="I901" i="4" s="1"/>
  <c r="I900" i="4"/>
  <c r="A900" i="4"/>
  <c r="M899" i="4"/>
  <c r="L899" i="4"/>
  <c r="K899" i="4"/>
  <c r="J899" i="4"/>
  <c r="G899" i="4"/>
  <c r="F899" i="4"/>
  <c r="E899" i="4"/>
  <c r="D899" i="4"/>
  <c r="C899" i="4"/>
  <c r="B899" i="4"/>
  <c r="A899" i="4"/>
  <c r="I899" i="4" s="1"/>
  <c r="L898" i="4"/>
  <c r="K898" i="4"/>
  <c r="J898" i="4"/>
  <c r="G898" i="4"/>
  <c r="D898" i="4"/>
  <c r="C898" i="4"/>
  <c r="B898" i="4"/>
  <c r="A898" i="4"/>
  <c r="I898" i="4" s="1"/>
  <c r="I897" i="4"/>
  <c r="H897" i="4"/>
  <c r="G897" i="4"/>
  <c r="A897" i="4"/>
  <c r="M896" i="4"/>
  <c r="L896" i="4"/>
  <c r="F896" i="4"/>
  <c r="E896" i="4"/>
  <c r="D896" i="4"/>
  <c r="A896" i="4"/>
  <c r="K896" i="4" s="1"/>
  <c r="I895" i="4"/>
  <c r="A895" i="4"/>
  <c r="K895" i="4" s="1"/>
  <c r="M894" i="4"/>
  <c r="L894" i="4"/>
  <c r="K894" i="4"/>
  <c r="H894" i="4"/>
  <c r="G894" i="4"/>
  <c r="F894" i="4"/>
  <c r="E894" i="4"/>
  <c r="D894" i="4"/>
  <c r="C894" i="4"/>
  <c r="A894" i="4"/>
  <c r="J894" i="4" s="1"/>
  <c r="M893" i="4"/>
  <c r="L893" i="4"/>
  <c r="K893" i="4"/>
  <c r="J893" i="4"/>
  <c r="H893" i="4"/>
  <c r="E893" i="4"/>
  <c r="D893" i="4"/>
  <c r="C893" i="4"/>
  <c r="B893" i="4"/>
  <c r="A893" i="4"/>
  <c r="I893" i="4" s="1"/>
  <c r="J892" i="4"/>
  <c r="A892" i="4"/>
  <c r="M891" i="4"/>
  <c r="L891" i="4"/>
  <c r="K891" i="4"/>
  <c r="J891" i="4"/>
  <c r="G891" i="4"/>
  <c r="F891" i="4"/>
  <c r="E891" i="4"/>
  <c r="D891" i="4"/>
  <c r="C891" i="4"/>
  <c r="B891" i="4"/>
  <c r="A891" i="4"/>
  <c r="I891" i="4" s="1"/>
  <c r="L890" i="4"/>
  <c r="K890" i="4"/>
  <c r="J890" i="4"/>
  <c r="G890" i="4"/>
  <c r="D890" i="4"/>
  <c r="C890" i="4"/>
  <c r="B890" i="4"/>
  <c r="A890" i="4"/>
  <c r="I890" i="4" s="1"/>
  <c r="I889" i="4"/>
  <c r="A889" i="4"/>
  <c r="M888" i="4"/>
  <c r="L888" i="4"/>
  <c r="F888" i="4"/>
  <c r="E888" i="4"/>
  <c r="D888" i="4"/>
  <c r="A888" i="4"/>
  <c r="K888" i="4" s="1"/>
  <c r="K887" i="4"/>
  <c r="J887" i="4"/>
  <c r="I887" i="4"/>
  <c r="C887" i="4"/>
  <c r="B887" i="4"/>
  <c r="A887" i="4"/>
  <c r="M886" i="4"/>
  <c r="L886" i="4"/>
  <c r="K886" i="4"/>
  <c r="H886" i="4"/>
  <c r="G886" i="4"/>
  <c r="F886" i="4"/>
  <c r="E886" i="4"/>
  <c r="D886" i="4"/>
  <c r="C886" i="4"/>
  <c r="A886" i="4"/>
  <c r="J886" i="4" s="1"/>
  <c r="M885" i="4"/>
  <c r="L885" i="4"/>
  <c r="K885" i="4"/>
  <c r="J885" i="4"/>
  <c r="H885" i="4"/>
  <c r="E885" i="4"/>
  <c r="D885" i="4"/>
  <c r="C885" i="4"/>
  <c r="B885" i="4"/>
  <c r="A885" i="4"/>
  <c r="I885" i="4" s="1"/>
  <c r="A884" i="4"/>
  <c r="M883" i="4"/>
  <c r="L883" i="4"/>
  <c r="K883" i="4"/>
  <c r="J883" i="4"/>
  <c r="G883" i="4"/>
  <c r="F883" i="4"/>
  <c r="E883" i="4"/>
  <c r="D883" i="4"/>
  <c r="C883" i="4"/>
  <c r="B883" i="4"/>
  <c r="A883" i="4"/>
  <c r="I883" i="4" s="1"/>
  <c r="L882" i="4"/>
  <c r="K882" i="4"/>
  <c r="J882" i="4"/>
  <c r="G882" i="4"/>
  <c r="D882" i="4"/>
  <c r="C882" i="4"/>
  <c r="B882" i="4"/>
  <c r="A882" i="4"/>
  <c r="I882" i="4" s="1"/>
  <c r="I881" i="4"/>
  <c r="H881" i="4"/>
  <c r="G881" i="4"/>
  <c r="A881" i="4"/>
  <c r="M880" i="4"/>
  <c r="L880" i="4"/>
  <c r="F880" i="4"/>
  <c r="E880" i="4"/>
  <c r="D880" i="4"/>
  <c r="A880" i="4"/>
  <c r="K880" i="4" s="1"/>
  <c r="I879" i="4"/>
  <c r="A879" i="4"/>
  <c r="K879" i="4" s="1"/>
  <c r="M878" i="4"/>
  <c r="L878" i="4"/>
  <c r="K878" i="4"/>
  <c r="H878" i="4"/>
  <c r="G878" i="4"/>
  <c r="F878" i="4"/>
  <c r="E878" i="4"/>
  <c r="D878" i="4"/>
  <c r="C878" i="4"/>
  <c r="A878" i="4"/>
  <c r="J878" i="4" s="1"/>
  <c r="M877" i="4"/>
  <c r="L877" i="4"/>
  <c r="K877" i="4"/>
  <c r="J877" i="4"/>
  <c r="H877" i="4"/>
  <c r="E877" i="4"/>
  <c r="D877" i="4"/>
  <c r="C877" i="4"/>
  <c r="B877" i="4"/>
  <c r="A877" i="4"/>
  <c r="I877" i="4" s="1"/>
  <c r="J876" i="4"/>
  <c r="A876" i="4"/>
  <c r="M875" i="4"/>
  <c r="L875" i="4"/>
  <c r="K875" i="4"/>
  <c r="J875" i="4"/>
  <c r="G875" i="4"/>
  <c r="F875" i="4"/>
  <c r="E875" i="4"/>
  <c r="D875" i="4"/>
  <c r="C875" i="4"/>
  <c r="B875" i="4"/>
  <c r="A875" i="4"/>
  <c r="I875" i="4" s="1"/>
  <c r="L874" i="4"/>
  <c r="K874" i="4"/>
  <c r="J874" i="4"/>
  <c r="G874" i="4"/>
  <c r="D874" i="4"/>
  <c r="C874" i="4"/>
  <c r="B874" i="4"/>
  <c r="A874" i="4"/>
  <c r="I874" i="4" s="1"/>
  <c r="I873" i="4"/>
  <c r="A873" i="4"/>
  <c r="M872" i="4"/>
  <c r="L872" i="4"/>
  <c r="F872" i="4"/>
  <c r="E872" i="4"/>
  <c r="D872" i="4"/>
  <c r="A872" i="4"/>
  <c r="K872" i="4" s="1"/>
  <c r="K871" i="4"/>
  <c r="J871" i="4"/>
  <c r="I871" i="4"/>
  <c r="C871" i="4"/>
  <c r="B871" i="4"/>
  <c r="A871" i="4"/>
  <c r="M870" i="4"/>
  <c r="L870" i="4"/>
  <c r="K870" i="4"/>
  <c r="H870" i="4"/>
  <c r="G870" i="4"/>
  <c r="F870" i="4"/>
  <c r="E870" i="4"/>
  <c r="D870" i="4"/>
  <c r="C870" i="4"/>
  <c r="A870" i="4"/>
  <c r="J870" i="4" s="1"/>
  <c r="M869" i="4"/>
  <c r="L869" i="4"/>
  <c r="K869" i="4"/>
  <c r="J869" i="4"/>
  <c r="H869" i="4"/>
  <c r="E869" i="4"/>
  <c r="D869" i="4"/>
  <c r="C869" i="4"/>
  <c r="B869" i="4"/>
  <c r="A869" i="4"/>
  <c r="I869" i="4" s="1"/>
  <c r="I868" i="4"/>
  <c r="A868" i="4"/>
  <c r="M867" i="4"/>
  <c r="L867" i="4"/>
  <c r="K867" i="4"/>
  <c r="J867" i="4"/>
  <c r="G867" i="4"/>
  <c r="F867" i="4"/>
  <c r="E867" i="4"/>
  <c r="D867" i="4"/>
  <c r="C867" i="4"/>
  <c r="B867" i="4"/>
  <c r="A867" i="4"/>
  <c r="I867" i="4" s="1"/>
  <c r="L866" i="4"/>
  <c r="K866" i="4"/>
  <c r="J866" i="4"/>
  <c r="G866" i="4"/>
  <c r="D866" i="4"/>
  <c r="C866" i="4"/>
  <c r="B866" i="4"/>
  <c r="A866" i="4"/>
  <c r="I866" i="4" s="1"/>
  <c r="I865" i="4"/>
  <c r="H865" i="4"/>
  <c r="G865" i="4"/>
  <c r="A865" i="4"/>
  <c r="M864" i="4"/>
  <c r="L864" i="4"/>
  <c r="F864" i="4"/>
  <c r="E864" i="4"/>
  <c r="D864" i="4"/>
  <c r="A864" i="4"/>
  <c r="K864" i="4" s="1"/>
  <c r="I863" i="4"/>
  <c r="A863" i="4"/>
  <c r="K863" i="4" s="1"/>
  <c r="M862" i="4"/>
  <c r="L862" i="4"/>
  <c r="K862" i="4"/>
  <c r="H862" i="4"/>
  <c r="G862" i="4"/>
  <c r="F862" i="4"/>
  <c r="E862" i="4"/>
  <c r="D862" i="4"/>
  <c r="C862" i="4"/>
  <c r="A862" i="4"/>
  <c r="J862" i="4" s="1"/>
  <c r="M861" i="4"/>
  <c r="L861" i="4"/>
  <c r="K861" i="4"/>
  <c r="J861" i="4"/>
  <c r="H861" i="4"/>
  <c r="E861" i="4"/>
  <c r="D861" i="4"/>
  <c r="C861" i="4"/>
  <c r="B861" i="4"/>
  <c r="A861" i="4"/>
  <c r="I861" i="4" s="1"/>
  <c r="J860" i="4"/>
  <c r="A860" i="4"/>
  <c r="M859" i="4"/>
  <c r="L859" i="4"/>
  <c r="K859" i="4"/>
  <c r="J859" i="4"/>
  <c r="G859" i="4"/>
  <c r="F859" i="4"/>
  <c r="E859" i="4"/>
  <c r="D859" i="4"/>
  <c r="C859" i="4"/>
  <c r="B859" i="4"/>
  <c r="A859" i="4"/>
  <c r="I859" i="4" s="1"/>
  <c r="L858" i="4"/>
  <c r="K858" i="4"/>
  <c r="J858" i="4"/>
  <c r="G858" i="4"/>
  <c r="D858" i="4"/>
  <c r="C858" i="4"/>
  <c r="B858" i="4"/>
  <c r="A858" i="4"/>
  <c r="I858" i="4" s="1"/>
  <c r="I857" i="4"/>
  <c r="A857" i="4"/>
  <c r="M856" i="4"/>
  <c r="L856" i="4"/>
  <c r="F856" i="4"/>
  <c r="E856" i="4"/>
  <c r="D856" i="4"/>
  <c r="A856" i="4"/>
  <c r="K856" i="4" s="1"/>
  <c r="K855" i="4"/>
  <c r="J855" i="4"/>
  <c r="I855" i="4"/>
  <c r="C855" i="4"/>
  <c r="B855" i="4"/>
  <c r="A855" i="4"/>
  <c r="M854" i="4"/>
  <c r="L854" i="4"/>
  <c r="K854" i="4"/>
  <c r="H854" i="4"/>
  <c r="G854" i="4"/>
  <c r="F854" i="4"/>
  <c r="E854" i="4"/>
  <c r="D854" i="4"/>
  <c r="C854" i="4"/>
  <c r="A854" i="4"/>
  <c r="J854" i="4" s="1"/>
  <c r="M853" i="4"/>
  <c r="L853" i="4"/>
  <c r="K853" i="4"/>
  <c r="J853" i="4"/>
  <c r="H853" i="4"/>
  <c r="E853" i="4"/>
  <c r="D853" i="4"/>
  <c r="C853" i="4"/>
  <c r="B853" i="4"/>
  <c r="A853" i="4"/>
  <c r="I853" i="4" s="1"/>
  <c r="A852" i="4"/>
  <c r="M851" i="4"/>
  <c r="L851" i="4"/>
  <c r="K851" i="4"/>
  <c r="J851" i="4"/>
  <c r="G851" i="4"/>
  <c r="F851" i="4"/>
  <c r="E851" i="4"/>
  <c r="D851" i="4"/>
  <c r="C851" i="4"/>
  <c r="B851" i="4"/>
  <c r="A851" i="4"/>
  <c r="I851" i="4" s="1"/>
  <c r="L850" i="4"/>
  <c r="K850" i="4"/>
  <c r="J850" i="4"/>
  <c r="G850" i="4"/>
  <c r="D850" i="4"/>
  <c r="C850" i="4"/>
  <c r="B850" i="4"/>
  <c r="A850" i="4"/>
  <c r="I850" i="4" s="1"/>
  <c r="I849" i="4"/>
  <c r="H849" i="4"/>
  <c r="G849" i="4"/>
  <c r="A849" i="4"/>
  <c r="M848" i="4"/>
  <c r="L848" i="4"/>
  <c r="F848" i="4"/>
  <c r="E848" i="4"/>
  <c r="D848" i="4"/>
  <c r="A848" i="4"/>
  <c r="K848" i="4" s="1"/>
  <c r="I847" i="4"/>
  <c r="A847" i="4"/>
  <c r="K847" i="4" s="1"/>
  <c r="M846" i="4"/>
  <c r="L846" i="4"/>
  <c r="K846" i="4"/>
  <c r="H846" i="4"/>
  <c r="G846" i="4"/>
  <c r="F846" i="4"/>
  <c r="E846" i="4"/>
  <c r="D846" i="4"/>
  <c r="C846" i="4"/>
  <c r="A846" i="4"/>
  <c r="J846" i="4" s="1"/>
  <c r="M845" i="4"/>
  <c r="L845" i="4"/>
  <c r="K845" i="4"/>
  <c r="J845" i="4"/>
  <c r="H845" i="4"/>
  <c r="E845" i="4"/>
  <c r="D845" i="4"/>
  <c r="C845" i="4"/>
  <c r="B845" i="4"/>
  <c r="A845" i="4"/>
  <c r="I845" i="4" s="1"/>
  <c r="J844" i="4"/>
  <c r="A844" i="4"/>
  <c r="M843" i="4"/>
  <c r="L843" i="4"/>
  <c r="K843" i="4"/>
  <c r="J843" i="4"/>
  <c r="G843" i="4"/>
  <c r="F843" i="4"/>
  <c r="E843" i="4"/>
  <c r="D843" i="4"/>
  <c r="C843" i="4"/>
  <c r="B843" i="4"/>
  <c r="A843" i="4"/>
  <c r="I843" i="4" s="1"/>
  <c r="L842" i="4"/>
  <c r="K842" i="4"/>
  <c r="J842" i="4"/>
  <c r="G842" i="4"/>
  <c r="D842" i="4"/>
  <c r="C842" i="4"/>
  <c r="B842" i="4"/>
  <c r="A842" i="4"/>
  <c r="I842" i="4" s="1"/>
  <c r="I841" i="4"/>
  <c r="A841" i="4"/>
  <c r="M840" i="4"/>
  <c r="L840" i="4"/>
  <c r="F840" i="4"/>
  <c r="E840" i="4"/>
  <c r="D840" i="4"/>
  <c r="A840" i="4"/>
  <c r="K840" i="4" s="1"/>
  <c r="K839" i="4"/>
  <c r="J839" i="4"/>
  <c r="I839" i="4"/>
  <c r="C839" i="4"/>
  <c r="B839" i="4"/>
  <c r="A839" i="4"/>
  <c r="M838" i="4"/>
  <c r="L838" i="4"/>
  <c r="K838" i="4"/>
  <c r="H838" i="4"/>
  <c r="G838" i="4"/>
  <c r="F838" i="4"/>
  <c r="E838" i="4"/>
  <c r="D838" i="4"/>
  <c r="C838" i="4"/>
  <c r="A838" i="4"/>
  <c r="J838" i="4" s="1"/>
  <c r="M837" i="4"/>
  <c r="L837" i="4"/>
  <c r="K837" i="4"/>
  <c r="J837" i="4"/>
  <c r="H837" i="4"/>
  <c r="E837" i="4"/>
  <c r="D837" i="4"/>
  <c r="C837" i="4"/>
  <c r="B837" i="4"/>
  <c r="A837" i="4"/>
  <c r="I837" i="4" s="1"/>
  <c r="I836" i="4"/>
  <c r="A836" i="4"/>
  <c r="M835" i="4"/>
  <c r="L835" i="4"/>
  <c r="K835" i="4"/>
  <c r="J835" i="4"/>
  <c r="G835" i="4"/>
  <c r="F835" i="4"/>
  <c r="E835" i="4"/>
  <c r="D835" i="4"/>
  <c r="C835" i="4"/>
  <c r="B835" i="4"/>
  <c r="A835" i="4"/>
  <c r="I835" i="4" s="1"/>
  <c r="L834" i="4"/>
  <c r="K834" i="4"/>
  <c r="J834" i="4"/>
  <c r="G834" i="4"/>
  <c r="D834" i="4"/>
  <c r="C834" i="4"/>
  <c r="B834" i="4"/>
  <c r="A834" i="4"/>
  <c r="I834" i="4" s="1"/>
  <c r="I833" i="4"/>
  <c r="H833" i="4"/>
  <c r="G833" i="4"/>
  <c r="A833" i="4"/>
  <c r="M832" i="4"/>
  <c r="L832" i="4"/>
  <c r="F832" i="4"/>
  <c r="E832" i="4"/>
  <c r="D832" i="4"/>
  <c r="A832" i="4"/>
  <c r="K832" i="4" s="1"/>
  <c r="I831" i="4"/>
  <c r="A831" i="4"/>
  <c r="K831" i="4" s="1"/>
  <c r="M830" i="4"/>
  <c r="L830" i="4"/>
  <c r="K830" i="4"/>
  <c r="H830" i="4"/>
  <c r="G830" i="4"/>
  <c r="F830" i="4"/>
  <c r="E830" i="4"/>
  <c r="D830" i="4"/>
  <c r="C830" i="4"/>
  <c r="A830" i="4"/>
  <c r="J830" i="4" s="1"/>
  <c r="M829" i="4"/>
  <c r="L829" i="4"/>
  <c r="K829" i="4"/>
  <c r="J829" i="4"/>
  <c r="H829" i="4"/>
  <c r="E829" i="4"/>
  <c r="D829" i="4"/>
  <c r="C829" i="4"/>
  <c r="B829" i="4"/>
  <c r="A829" i="4"/>
  <c r="I829" i="4" s="1"/>
  <c r="J828" i="4"/>
  <c r="A828" i="4"/>
  <c r="M827" i="4"/>
  <c r="L827" i="4"/>
  <c r="K827" i="4"/>
  <c r="J827" i="4"/>
  <c r="G827" i="4"/>
  <c r="F827" i="4"/>
  <c r="E827" i="4"/>
  <c r="D827" i="4"/>
  <c r="C827" i="4"/>
  <c r="B827" i="4"/>
  <c r="A827" i="4"/>
  <c r="I827" i="4" s="1"/>
  <c r="L826" i="4"/>
  <c r="K826" i="4"/>
  <c r="J826" i="4"/>
  <c r="G826" i="4"/>
  <c r="D826" i="4"/>
  <c r="C826" i="4"/>
  <c r="B826" i="4"/>
  <c r="A826" i="4"/>
  <c r="I826" i="4" s="1"/>
  <c r="I825" i="4"/>
  <c r="A825" i="4"/>
  <c r="M824" i="4"/>
  <c r="L824" i="4"/>
  <c r="F824" i="4"/>
  <c r="E824" i="4"/>
  <c r="D824" i="4"/>
  <c r="A824" i="4"/>
  <c r="K824" i="4" s="1"/>
  <c r="J823" i="4"/>
  <c r="I823" i="4"/>
  <c r="C823" i="4"/>
  <c r="B823" i="4"/>
  <c r="A823" i="4"/>
  <c r="M822" i="4"/>
  <c r="L822" i="4"/>
  <c r="K822" i="4"/>
  <c r="H822" i="4"/>
  <c r="G822" i="4"/>
  <c r="F822" i="4"/>
  <c r="E822" i="4"/>
  <c r="D822" i="4"/>
  <c r="C822" i="4"/>
  <c r="A822" i="4"/>
  <c r="J822" i="4" s="1"/>
  <c r="M821" i="4"/>
  <c r="L821" i="4"/>
  <c r="K821" i="4"/>
  <c r="J821" i="4"/>
  <c r="H821" i="4"/>
  <c r="E821" i="4"/>
  <c r="D821" i="4"/>
  <c r="C821" i="4"/>
  <c r="B821" i="4"/>
  <c r="A821" i="4"/>
  <c r="I821" i="4" s="1"/>
  <c r="I820" i="4"/>
  <c r="A820" i="4"/>
  <c r="M819" i="4"/>
  <c r="L819" i="4"/>
  <c r="K819" i="4"/>
  <c r="J819" i="4"/>
  <c r="G819" i="4"/>
  <c r="F819" i="4"/>
  <c r="E819" i="4"/>
  <c r="D819" i="4"/>
  <c r="C819" i="4"/>
  <c r="B819" i="4"/>
  <c r="A819" i="4"/>
  <c r="I819" i="4" s="1"/>
  <c r="L818" i="4"/>
  <c r="K818" i="4"/>
  <c r="J818" i="4"/>
  <c r="G818" i="4"/>
  <c r="D818" i="4"/>
  <c r="C818" i="4"/>
  <c r="B818" i="4"/>
  <c r="A818" i="4"/>
  <c r="I818" i="4" s="1"/>
  <c r="I817" i="4"/>
  <c r="H817" i="4"/>
  <c r="G817" i="4"/>
  <c r="A817" i="4"/>
  <c r="M816" i="4"/>
  <c r="L816" i="4"/>
  <c r="F816" i="4"/>
  <c r="E816" i="4"/>
  <c r="D816" i="4"/>
  <c r="A816" i="4"/>
  <c r="K816" i="4" s="1"/>
  <c r="I815" i="4"/>
  <c r="A815" i="4"/>
  <c r="K815" i="4" s="1"/>
  <c r="M814" i="4"/>
  <c r="L814" i="4"/>
  <c r="K814" i="4"/>
  <c r="H814" i="4"/>
  <c r="G814" i="4"/>
  <c r="F814" i="4"/>
  <c r="E814" i="4"/>
  <c r="D814" i="4"/>
  <c r="C814" i="4"/>
  <c r="A814" i="4"/>
  <c r="J814" i="4" s="1"/>
  <c r="M813" i="4"/>
  <c r="L813" i="4"/>
  <c r="K813" i="4"/>
  <c r="J813" i="4"/>
  <c r="H813" i="4"/>
  <c r="E813" i="4"/>
  <c r="D813" i="4"/>
  <c r="C813" i="4"/>
  <c r="B813" i="4"/>
  <c r="A813" i="4"/>
  <c r="I813" i="4" s="1"/>
  <c r="J812" i="4"/>
  <c r="A812" i="4"/>
  <c r="M811" i="4"/>
  <c r="L811" i="4"/>
  <c r="K811" i="4"/>
  <c r="J811" i="4"/>
  <c r="G811" i="4"/>
  <c r="F811" i="4"/>
  <c r="E811" i="4"/>
  <c r="D811" i="4"/>
  <c r="C811" i="4"/>
  <c r="B811" i="4"/>
  <c r="A811" i="4"/>
  <c r="I811" i="4" s="1"/>
  <c r="L810" i="4"/>
  <c r="K810" i="4"/>
  <c r="J810" i="4"/>
  <c r="G810" i="4"/>
  <c r="D810" i="4"/>
  <c r="C810" i="4"/>
  <c r="B810" i="4"/>
  <c r="A810" i="4"/>
  <c r="I810" i="4" s="1"/>
  <c r="I809" i="4"/>
  <c r="A809" i="4"/>
  <c r="M808" i="4"/>
  <c r="L808" i="4"/>
  <c r="F808" i="4"/>
  <c r="E808" i="4"/>
  <c r="D808" i="4"/>
  <c r="A808" i="4"/>
  <c r="K808" i="4" s="1"/>
  <c r="J807" i="4"/>
  <c r="I807" i="4"/>
  <c r="C807" i="4"/>
  <c r="B807" i="4"/>
  <c r="A807" i="4"/>
  <c r="M806" i="4"/>
  <c r="L806" i="4"/>
  <c r="K806" i="4"/>
  <c r="H806" i="4"/>
  <c r="G806" i="4"/>
  <c r="F806" i="4"/>
  <c r="E806" i="4"/>
  <c r="D806" i="4"/>
  <c r="C806" i="4"/>
  <c r="A806" i="4"/>
  <c r="J806" i="4" s="1"/>
  <c r="M805" i="4"/>
  <c r="L805" i="4"/>
  <c r="K805" i="4"/>
  <c r="J805" i="4"/>
  <c r="H805" i="4"/>
  <c r="E805" i="4"/>
  <c r="D805" i="4"/>
  <c r="C805" i="4"/>
  <c r="B805" i="4"/>
  <c r="A805" i="4"/>
  <c r="I805" i="4" s="1"/>
  <c r="A804" i="4"/>
  <c r="M803" i="4"/>
  <c r="L803" i="4"/>
  <c r="K803" i="4"/>
  <c r="J803" i="4"/>
  <c r="G803" i="4"/>
  <c r="F803" i="4"/>
  <c r="E803" i="4"/>
  <c r="D803" i="4"/>
  <c r="C803" i="4"/>
  <c r="B803" i="4"/>
  <c r="A803" i="4"/>
  <c r="I803" i="4" s="1"/>
  <c r="L802" i="4"/>
  <c r="K802" i="4"/>
  <c r="J802" i="4"/>
  <c r="G802" i="4"/>
  <c r="D802" i="4"/>
  <c r="C802" i="4"/>
  <c r="B802" i="4"/>
  <c r="A802" i="4"/>
  <c r="I802" i="4" s="1"/>
  <c r="I801" i="4"/>
  <c r="H801" i="4"/>
  <c r="G801" i="4"/>
  <c r="A801" i="4"/>
  <c r="M800" i="4"/>
  <c r="L800" i="4"/>
  <c r="F800" i="4"/>
  <c r="E800" i="4"/>
  <c r="D800" i="4"/>
  <c r="A800" i="4"/>
  <c r="K800" i="4" s="1"/>
  <c r="I799" i="4"/>
  <c r="A799" i="4"/>
  <c r="K799" i="4" s="1"/>
  <c r="M798" i="4"/>
  <c r="L798" i="4"/>
  <c r="K798" i="4"/>
  <c r="H798" i="4"/>
  <c r="G798" i="4"/>
  <c r="F798" i="4"/>
  <c r="E798" i="4"/>
  <c r="D798" i="4"/>
  <c r="C798" i="4"/>
  <c r="A798" i="4"/>
  <c r="J798" i="4" s="1"/>
  <c r="M797" i="4"/>
  <c r="L797" i="4"/>
  <c r="K797" i="4"/>
  <c r="J797" i="4"/>
  <c r="H797" i="4"/>
  <c r="E797" i="4"/>
  <c r="D797" i="4"/>
  <c r="C797" i="4"/>
  <c r="B797" i="4"/>
  <c r="A797" i="4"/>
  <c r="I797" i="4" s="1"/>
  <c r="J796" i="4"/>
  <c r="A796" i="4"/>
  <c r="M795" i="4"/>
  <c r="L795" i="4"/>
  <c r="K795" i="4"/>
  <c r="J795" i="4"/>
  <c r="G795" i="4"/>
  <c r="F795" i="4"/>
  <c r="E795" i="4"/>
  <c r="D795" i="4"/>
  <c r="C795" i="4"/>
  <c r="B795" i="4"/>
  <c r="A795" i="4"/>
  <c r="I795" i="4" s="1"/>
  <c r="L794" i="4"/>
  <c r="K794" i="4"/>
  <c r="J794" i="4"/>
  <c r="G794" i="4"/>
  <c r="D794" i="4"/>
  <c r="C794" i="4"/>
  <c r="B794" i="4"/>
  <c r="A794" i="4"/>
  <c r="I794" i="4" s="1"/>
  <c r="I793" i="4"/>
  <c r="A793" i="4"/>
  <c r="M792" i="4"/>
  <c r="L792" i="4"/>
  <c r="F792" i="4"/>
  <c r="E792" i="4"/>
  <c r="D792" i="4"/>
  <c r="A792" i="4"/>
  <c r="K792" i="4" s="1"/>
  <c r="J791" i="4"/>
  <c r="I791" i="4"/>
  <c r="C791" i="4"/>
  <c r="B791" i="4"/>
  <c r="A791" i="4"/>
  <c r="M790" i="4"/>
  <c r="L790" i="4"/>
  <c r="K790" i="4"/>
  <c r="H790" i="4"/>
  <c r="G790" i="4"/>
  <c r="F790" i="4"/>
  <c r="E790" i="4"/>
  <c r="D790" i="4"/>
  <c r="C790" i="4"/>
  <c r="A790" i="4"/>
  <c r="J790" i="4" s="1"/>
  <c r="M789" i="4"/>
  <c r="L789" i="4"/>
  <c r="K789" i="4"/>
  <c r="J789" i="4"/>
  <c r="H789" i="4"/>
  <c r="E789" i="4"/>
  <c r="D789" i="4"/>
  <c r="C789" i="4"/>
  <c r="B789" i="4"/>
  <c r="A789" i="4"/>
  <c r="I789" i="4" s="1"/>
  <c r="A788" i="4"/>
  <c r="M787" i="4"/>
  <c r="L787" i="4"/>
  <c r="K787" i="4"/>
  <c r="J787" i="4"/>
  <c r="G787" i="4"/>
  <c r="F787" i="4"/>
  <c r="E787" i="4"/>
  <c r="D787" i="4"/>
  <c r="C787" i="4"/>
  <c r="B787" i="4"/>
  <c r="A787" i="4"/>
  <c r="I787" i="4" s="1"/>
  <c r="L786" i="4"/>
  <c r="K786" i="4"/>
  <c r="J786" i="4"/>
  <c r="G786" i="4"/>
  <c r="D786" i="4"/>
  <c r="C786" i="4"/>
  <c r="B786" i="4"/>
  <c r="A786" i="4"/>
  <c r="I786" i="4" s="1"/>
  <c r="I785" i="4"/>
  <c r="H785" i="4"/>
  <c r="G785" i="4"/>
  <c r="A785" i="4"/>
  <c r="M784" i="4"/>
  <c r="L784" i="4"/>
  <c r="F784" i="4"/>
  <c r="E784" i="4"/>
  <c r="D784" i="4"/>
  <c r="A784" i="4"/>
  <c r="K784" i="4" s="1"/>
  <c r="I783" i="4"/>
  <c r="A783" i="4"/>
  <c r="K783" i="4" s="1"/>
  <c r="M782" i="4"/>
  <c r="L782" i="4"/>
  <c r="K782" i="4"/>
  <c r="H782" i="4"/>
  <c r="G782" i="4"/>
  <c r="F782" i="4"/>
  <c r="E782" i="4"/>
  <c r="D782" i="4"/>
  <c r="C782" i="4"/>
  <c r="A782" i="4"/>
  <c r="J782" i="4" s="1"/>
  <c r="M781" i="4"/>
  <c r="L781" i="4"/>
  <c r="K781" i="4"/>
  <c r="J781" i="4"/>
  <c r="H781" i="4"/>
  <c r="E781" i="4"/>
  <c r="D781" i="4"/>
  <c r="C781" i="4"/>
  <c r="B781" i="4"/>
  <c r="A781" i="4"/>
  <c r="I781" i="4" s="1"/>
  <c r="J780" i="4"/>
  <c r="A780" i="4"/>
  <c r="M779" i="4"/>
  <c r="L779" i="4"/>
  <c r="K779" i="4"/>
  <c r="J779" i="4"/>
  <c r="G779" i="4"/>
  <c r="F779" i="4"/>
  <c r="E779" i="4"/>
  <c r="D779" i="4"/>
  <c r="C779" i="4"/>
  <c r="B779" i="4"/>
  <c r="A779" i="4"/>
  <c r="I779" i="4" s="1"/>
  <c r="L778" i="4"/>
  <c r="K778" i="4"/>
  <c r="J778" i="4"/>
  <c r="G778" i="4"/>
  <c r="D778" i="4"/>
  <c r="C778" i="4"/>
  <c r="B778" i="4"/>
  <c r="A778" i="4"/>
  <c r="I778" i="4" s="1"/>
  <c r="I777" i="4"/>
  <c r="A777" i="4"/>
  <c r="M776" i="4"/>
  <c r="L776" i="4"/>
  <c r="F776" i="4"/>
  <c r="E776" i="4"/>
  <c r="D776" i="4"/>
  <c r="A776" i="4"/>
  <c r="K776" i="4" s="1"/>
  <c r="J775" i="4"/>
  <c r="I775" i="4"/>
  <c r="C775" i="4"/>
  <c r="B775" i="4"/>
  <c r="A775" i="4"/>
  <c r="M774" i="4"/>
  <c r="L774" i="4"/>
  <c r="K774" i="4"/>
  <c r="H774" i="4"/>
  <c r="G774" i="4"/>
  <c r="F774" i="4"/>
  <c r="E774" i="4"/>
  <c r="D774" i="4"/>
  <c r="C774" i="4"/>
  <c r="A774" i="4"/>
  <c r="J774" i="4" s="1"/>
  <c r="M773" i="4"/>
  <c r="L773" i="4"/>
  <c r="K773" i="4"/>
  <c r="J773" i="4"/>
  <c r="H773" i="4"/>
  <c r="E773" i="4"/>
  <c r="D773" i="4"/>
  <c r="C773" i="4"/>
  <c r="B773" i="4"/>
  <c r="A773" i="4"/>
  <c r="I773" i="4" s="1"/>
  <c r="A772" i="4"/>
  <c r="M771" i="4"/>
  <c r="L771" i="4"/>
  <c r="K771" i="4"/>
  <c r="J771" i="4"/>
  <c r="G771" i="4"/>
  <c r="F771" i="4"/>
  <c r="E771" i="4"/>
  <c r="D771" i="4"/>
  <c r="C771" i="4"/>
  <c r="B771" i="4"/>
  <c r="A771" i="4"/>
  <c r="I771" i="4" s="1"/>
  <c r="L770" i="4"/>
  <c r="K770" i="4"/>
  <c r="J770" i="4"/>
  <c r="G770" i="4"/>
  <c r="D770" i="4"/>
  <c r="C770" i="4"/>
  <c r="B770" i="4"/>
  <c r="A770" i="4"/>
  <c r="I770" i="4" s="1"/>
  <c r="I769" i="4"/>
  <c r="H769" i="4"/>
  <c r="G769" i="4"/>
  <c r="A769" i="4"/>
  <c r="M768" i="4"/>
  <c r="L768" i="4"/>
  <c r="F768" i="4"/>
  <c r="E768" i="4"/>
  <c r="D768" i="4"/>
  <c r="A768" i="4"/>
  <c r="K768" i="4" s="1"/>
  <c r="I767" i="4"/>
  <c r="A767" i="4"/>
  <c r="K767" i="4" s="1"/>
  <c r="M766" i="4"/>
  <c r="L766" i="4"/>
  <c r="K766" i="4"/>
  <c r="H766" i="4"/>
  <c r="G766" i="4"/>
  <c r="F766" i="4"/>
  <c r="E766" i="4"/>
  <c r="D766" i="4"/>
  <c r="C766" i="4"/>
  <c r="A766" i="4"/>
  <c r="J766" i="4" s="1"/>
  <c r="M765" i="4"/>
  <c r="L765" i="4"/>
  <c r="K765" i="4"/>
  <c r="J765" i="4"/>
  <c r="H765" i="4"/>
  <c r="E765" i="4"/>
  <c r="D765" i="4"/>
  <c r="C765" i="4"/>
  <c r="B765" i="4"/>
  <c r="A765" i="4"/>
  <c r="I765" i="4" s="1"/>
  <c r="J764" i="4"/>
  <c r="A764" i="4"/>
  <c r="M763" i="4"/>
  <c r="L763" i="4"/>
  <c r="K763" i="4"/>
  <c r="J763" i="4"/>
  <c r="G763" i="4"/>
  <c r="F763" i="4"/>
  <c r="E763" i="4"/>
  <c r="D763" i="4"/>
  <c r="C763" i="4"/>
  <c r="B763" i="4"/>
  <c r="A763" i="4"/>
  <c r="I763" i="4" s="1"/>
  <c r="L762" i="4"/>
  <c r="K762" i="4"/>
  <c r="J762" i="4"/>
  <c r="G762" i="4"/>
  <c r="D762" i="4"/>
  <c r="C762" i="4"/>
  <c r="B762" i="4"/>
  <c r="A762" i="4"/>
  <c r="I762" i="4" s="1"/>
  <c r="I761" i="4"/>
  <c r="A761" i="4"/>
  <c r="M760" i="4"/>
  <c r="L760" i="4"/>
  <c r="F760" i="4"/>
  <c r="E760" i="4"/>
  <c r="D760" i="4"/>
  <c r="A760" i="4"/>
  <c r="K760" i="4" s="1"/>
  <c r="J759" i="4"/>
  <c r="I759" i="4"/>
  <c r="C759" i="4"/>
  <c r="B759" i="4"/>
  <c r="A759" i="4"/>
  <c r="M758" i="4"/>
  <c r="L758" i="4"/>
  <c r="K758" i="4"/>
  <c r="H758" i="4"/>
  <c r="G758" i="4"/>
  <c r="F758" i="4"/>
  <c r="E758" i="4"/>
  <c r="D758" i="4"/>
  <c r="C758" i="4"/>
  <c r="A758" i="4"/>
  <c r="J758" i="4" s="1"/>
  <c r="M757" i="4"/>
  <c r="L757" i="4"/>
  <c r="K757" i="4"/>
  <c r="J757" i="4"/>
  <c r="H757" i="4"/>
  <c r="E757" i="4"/>
  <c r="D757" i="4"/>
  <c r="C757" i="4"/>
  <c r="B757" i="4"/>
  <c r="A757" i="4"/>
  <c r="I757" i="4" s="1"/>
  <c r="I756" i="4"/>
  <c r="A756" i="4"/>
  <c r="M755" i="4"/>
  <c r="L755" i="4"/>
  <c r="K755" i="4"/>
  <c r="J755" i="4"/>
  <c r="G755" i="4"/>
  <c r="F755" i="4"/>
  <c r="E755" i="4"/>
  <c r="D755" i="4"/>
  <c r="C755" i="4"/>
  <c r="B755" i="4"/>
  <c r="A755" i="4"/>
  <c r="I755" i="4" s="1"/>
  <c r="L754" i="4"/>
  <c r="K754" i="4"/>
  <c r="J754" i="4"/>
  <c r="G754" i="4"/>
  <c r="D754" i="4"/>
  <c r="C754" i="4"/>
  <c r="B754" i="4"/>
  <c r="A754" i="4"/>
  <c r="I754" i="4" s="1"/>
  <c r="I753" i="4"/>
  <c r="H753" i="4"/>
  <c r="G753" i="4"/>
  <c r="A753" i="4"/>
  <c r="M752" i="4"/>
  <c r="L752" i="4"/>
  <c r="F752" i="4"/>
  <c r="E752" i="4"/>
  <c r="D752" i="4"/>
  <c r="A752" i="4"/>
  <c r="K752" i="4" s="1"/>
  <c r="I751" i="4"/>
  <c r="A751" i="4"/>
  <c r="K751" i="4" s="1"/>
  <c r="M750" i="4"/>
  <c r="L750" i="4"/>
  <c r="K750" i="4"/>
  <c r="H750" i="4"/>
  <c r="G750" i="4"/>
  <c r="F750" i="4"/>
  <c r="E750" i="4"/>
  <c r="D750" i="4"/>
  <c r="C750" i="4"/>
  <c r="A750" i="4"/>
  <c r="J750" i="4" s="1"/>
  <c r="M749" i="4"/>
  <c r="L749" i="4"/>
  <c r="K749" i="4"/>
  <c r="J749" i="4"/>
  <c r="H749" i="4"/>
  <c r="E749" i="4"/>
  <c r="D749" i="4"/>
  <c r="C749" i="4"/>
  <c r="B749" i="4"/>
  <c r="A749" i="4"/>
  <c r="I749" i="4" s="1"/>
  <c r="J748" i="4"/>
  <c r="A748" i="4"/>
  <c r="M747" i="4"/>
  <c r="L747" i="4"/>
  <c r="K747" i="4"/>
  <c r="J747" i="4"/>
  <c r="G747" i="4"/>
  <c r="F747" i="4"/>
  <c r="E747" i="4"/>
  <c r="D747" i="4"/>
  <c r="C747" i="4"/>
  <c r="B747" i="4"/>
  <c r="A747" i="4"/>
  <c r="I747" i="4" s="1"/>
  <c r="L746" i="4"/>
  <c r="K746" i="4"/>
  <c r="J746" i="4"/>
  <c r="G746" i="4"/>
  <c r="D746" i="4"/>
  <c r="C746" i="4"/>
  <c r="B746" i="4"/>
  <c r="A746" i="4"/>
  <c r="I746" i="4" s="1"/>
  <c r="I745" i="4"/>
  <c r="A745" i="4"/>
  <c r="M744" i="4"/>
  <c r="L744" i="4"/>
  <c r="F744" i="4"/>
  <c r="E744" i="4"/>
  <c r="D744" i="4"/>
  <c r="A744" i="4"/>
  <c r="K744" i="4" s="1"/>
  <c r="J743" i="4"/>
  <c r="I743" i="4"/>
  <c r="C743" i="4"/>
  <c r="B743" i="4"/>
  <c r="A743" i="4"/>
  <c r="M742" i="4"/>
  <c r="L742" i="4"/>
  <c r="K742" i="4"/>
  <c r="H742" i="4"/>
  <c r="G742" i="4"/>
  <c r="F742" i="4"/>
  <c r="E742" i="4"/>
  <c r="D742" i="4"/>
  <c r="C742" i="4"/>
  <c r="A742" i="4"/>
  <c r="J742" i="4" s="1"/>
  <c r="M741" i="4"/>
  <c r="L741" i="4"/>
  <c r="K741" i="4"/>
  <c r="J741" i="4"/>
  <c r="H741" i="4"/>
  <c r="E741" i="4"/>
  <c r="D741" i="4"/>
  <c r="C741" i="4"/>
  <c r="B741" i="4"/>
  <c r="A741" i="4"/>
  <c r="I741" i="4" s="1"/>
  <c r="A740" i="4"/>
  <c r="M739" i="4"/>
  <c r="L739" i="4"/>
  <c r="K739" i="4"/>
  <c r="J739" i="4"/>
  <c r="G739" i="4"/>
  <c r="F739" i="4"/>
  <c r="E739" i="4"/>
  <c r="D739" i="4"/>
  <c r="C739" i="4"/>
  <c r="B739" i="4"/>
  <c r="A739" i="4"/>
  <c r="I739" i="4" s="1"/>
  <c r="L738" i="4"/>
  <c r="K738" i="4"/>
  <c r="J738" i="4"/>
  <c r="G738" i="4"/>
  <c r="D738" i="4"/>
  <c r="C738" i="4"/>
  <c r="B738" i="4"/>
  <c r="A738" i="4"/>
  <c r="I738" i="4" s="1"/>
  <c r="I737" i="4"/>
  <c r="H737" i="4"/>
  <c r="G737" i="4"/>
  <c r="A737" i="4"/>
  <c r="M736" i="4"/>
  <c r="L736" i="4"/>
  <c r="F736" i="4"/>
  <c r="E736" i="4"/>
  <c r="D736" i="4"/>
  <c r="A736" i="4"/>
  <c r="K736" i="4" s="1"/>
  <c r="I735" i="4"/>
  <c r="A735" i="4"/>
  <c r="K735" i="4" s="1"/>
  <c r="M734" i="4"/>
  <c r="L734" i="4"/>
  <c r="K734" i="4"/>
  <c r="H734" i="4"/>
  <c r="G734" i="4"/>
  <c r="F734" i="4"/>
  <c r="E734" i="4"/>
  <c r="D734" i="4"/>
  <c r="C734" i="4"/>
  <c r="A734" i="4"/>
  <c r="J734" i="4" s="1"/>
  <c r="M733" i="4"/>
  <c r="L733" i="4"/>
  <c r="K733" i="4"/>
  <c r="J733" i="4"/>
  <c r="H733" i="4"/>
  <c r="E733" i="4"/>
  <c r="D733" i="4"/>
  <c r="C733" i="4"/>
  <c r="B733" i="4"/>
  <c r="A733" i="4"/>
  <c r="I733" i="4" s="1"/>
  <c r="J732" i="4"/>
  <c r="A732" i="4"/>
  <c r="M731" i="4"/>
  <c r="L731" i="4"/>
  <c r="K731" i="4"/>
  <c r="J731" i="4"/>
  <c r="G731" i="4"/>
  <c r="F731" i="4"/>
  <c r="E731" i="4"/>
  <c r="D731" i="4"/>
  <c r="C731" i="4"/>
  <c r="B731" i="4"/>
  <c r="A731" i="4"/>
  <c r="I731" i="4" s="1"/>
  <c r="L730" i="4"/>
  <c r="K730" i="4"/>
  <c r="J730" i="4"/>
  <c r="G730" i="4"/>
  <c r="D730" i="4"/>
  <c r="C730" i="4"/>
  <c r="B730" i="4"/>
  <c r="A730" i="4"/>
  <c r="I730" i="4" s="1"/>
  <c r="I729" i="4"/>
  <c r="A729" i="4"/>
  <c r="M728" i="4"/>
  <c r="L728" i="4"/>
  <c r="F728" i="4"/>
  <c r="E728" i="4"/>
  <c r="D728" i="4"/>
  <c r="A728" i="4"/>
  <c r="K728" i="4" s="1"/>
  <c r="J727" i="4"/>
  <c r="I727" i="4"/>
  <c r="C727" i="4"/>
  <c r="B727" i="4"/>
  <c r="A727" i="4"/>
  <c r="M726" i="4"/>
  <c r="L726" i="4"/>
  <c r="K726" i="4"/>
  <c r="H726" i="4"/>
  <c r="G726" i="4"/>
  <c r="F726" i="4"/>
  <c r="E726" i="4"/>
  <c r="D726" i="4"/>
  <c r="C726" i="4"/>
  <c r="A726" i="4"/>
  <c r="J726" i="4" s="1"/>
  <c r="M725" i="4"/>
  <c r="L725" i="4"/>
  <c r="K725" i="4"/>
  <c r="J725" i="4"/>
  <c r="H725" i="4"/>
  <c r="E725" i="4"/>
  <c r="D725" i="4"/>
  <c r="C725" i="4"/>
  <c r="B725" i="4"/>
  <c r="A725" i="4"/>
  <c r="I725" i="4" s="1"/>
  <c r="I724" i="4"/>
  <c r="A724" i="4"/>
  <c r="M723" i="4"/>
  <c r="L723" i="4"/>
  <c r="K723" i="4"/>
  <c r="J723" i="4"/>
  <c r="G723" i="4"/>
  <c r="F723" i="4"/>
  <c r="E723" i="4"/>
  <c r="D723" i="4"/>
  <c r="C723" i="4"/>
  <c r="B723" i="4"/>
  <c r="A723" i="4"/>
  <c r="I723" i="4" s="1"/>
  <c r="L722" i="4"/>
  <c r="K722" i="4"/>
  <c r="J722" i="4"/>
  <c r="G722" i="4"/>
  <c r="D722" i="4"/>
  <c r="C722" i="4"/>
  <c r="B722" i="4"/>
  <c r="A722" i="4"/>
  <c r="I722" i="4" s="1"/>
  <c r="I721" i="4"/>
  <c r="H721" i="4"/>
  <c r="G721" i="4"/>
  <c r="A721" i="4"/>
  <c r="M720" i="4"/>
  <c r="L720" i="4"/>
  <c r="F720" i="4"/>
  <c r="E720" i="4"/>
  <c r="D720" i="4"/>
  <c r="A720" i="4"/>
  <c r="K720" i="4" s="1"/>
  <c r="I719" i="4"/>
  <c r="A719" i="4"/>
  <c r="K719" i="4" s="1"/>
  <c r="M718" i="4"/>
  <c r="L718" i="4"/>
  <c r="K718" i="4"/>
  <c r="H718" i="4"/>
  <c r="G718" i="4"/>
  <c r="F718" i="4"/>
  <c r="E718" i="4"/>
  <c r="D718" i="4"/>
  <c r="C718" i="4"/>
  <c r="A718" i="4"/>
  <c r="J718" i="4" s="1"/>
  <c r="M717" i="4"/>
  <c r="L717" i="4"/>
  <c r="K717" i="4"/>
  <c r="J717" i="4"/>
  <c r="H717" i="4"/>
  <c r="E717" i="4"/>
  <c r="D717" i="4"/>
  <c r="C717" i="4"/>
  <c r="B717" i="4"/>
  <c r="A717" i="4"/>
  <c r="I717" i="4" s="1"/>
  <c r="J716" i="4"/>
  <c r="A716" i="4"/>
  <c r="M715" i="4"/>
  <c r="L715" i="4"/>
  <c r="K715" i="4"/>
  <c r="J715" i="4"/>
  <c r="G715" i="4"/>
  <c r="F715" i="4"/>
  <c r="E715" i="4"/>
  <c r="D715" i="4"/>
  <c r="C715" i="4"/>
  <c r="B715" i="4"/>
  <c r="A715" i="4"/>
  <c r="I715" i="4" s="1"/>
  <c r="L714" i="4"/>
  <c r="K714" i="4"/>
  <c r="J714" i="4"/>
  <c r="G714" i="4"/>
  <c r="D714" i="4"/>
  <c r="C714" i="4"/>
  <c r="B714" i="4"/>
  <c r="A714" i="4"/>
  <c r="I714" i="4" s="1"/>
  <c r="I713" i="4"/>
  <c r="A713" i="4"/>
  <c r="M712" i="4"/>
  <c r="L712" i="4"/>
  <c r="F712" i="4"/>
  <c r="E712" i="4"/>
  <c r="D712" i="4"/>
  <c r="A712" i="4"/>
  <c r="K712" i="4" s="1"/>
  <c r="J711" i="4"/>
  <c r="I711" i="4"/>
  <c r="C711" i="4"/>
  <c r="B711" i="4"/>
  <c r="A711" i="4"/>
  <c r="M710" i="4"/>
  <c r="L710" i="4"/>
  <c r="K710" i="4"/>
  <c r="H710" i="4"/>
  <c r="G710" i="4"/>
  <c r="F710" i="4"/>
  <c r="E710" i="4"/>
  <c r="D710" i="4"/>
  <c r="C710" i="4"/>
  <c r="A710" i="4"/>
  <c r="J710" i="4" s="1"/>
  <c r="M709" i="4"/>
  <c r="L709" i="4"/>
  <c r="K709" i="4"/>
  <c r="J709" i="4"/>
  <c r="H709" i="4"/>
  <c r="E709" i="4"/>
  <c r="D709" i="4"/>
  <c r="C709" i="4"/>
  <c r="B709" i="4"/>
  <c r="A709" i="4"/>
  <c r="I709" i="4" s="1"/>
  <c r="I708" i="4"/>
  <c r="A708" i="4"/>
  <c r="M707" i="4"/>
  <c r="L707" i="4"/>
  <c r="K707" i="4"/>
  <c r="J707" i="4"/>
  <c r="G707" i="4"/>
  <c r="F707" i="4"/>
  <c r="E707" i="4"/>
  <c r="D707" i="4"/>
  <c r="C707" i="4"/>
  <c r="B707" i="4"/>
  <c r="A707" i="4"/>
  <c r="I707" i="4" s="1"/>
  <c r="L706" i="4"/>
  <c r="K706" i="4"/>
  <c r="J706" i="4"/>
  <c r="G706" i="4"/>
  <c r="D706" i="4"/>
  <c r="C706" i="4"/>
  <c r="B706" i="4"/>
  <c r="A706" i="4"/>
  <c r="I706" i="4" s="1"/>
  <c r="I705" i="4"/>
  <c r="H705" i="4"/>
  <c r="G705" i="4"/>
  <c r="A705" i="4"/>
  <c r="M704" i="4"/>
  <c r="L704" i="4"/>
  <c r="F704" i="4"/>
  <c r="E704" i="4"/>
  <c r="D704" i="4"/>
  <c r="A704" i="4"/>
  <c r="K704" i="4" s="1"/>
  <c r="I703" i="4"/>
  <c r="A703" i="4"/>
  <c r="K703" i="4" s="1"/>
  <c r="M702" i="4"/>
  <c r="L702" i="4"/>
  <c r="K702" i="4"/>
  <c r="H702" i="4"/>
  <c r="G702" i="4"/>
  <c r="F702" i="4"/>
  <c r="E702" i="4"/>
  <c r="D702" i="4"/>
  <c r="C702" i="4"/>
  <c r="A702" i="4"/>
  <c r="J702" i="4" s="1"/>
  <c r="M701" i="4"/>
  <c r="L701" i="4"/>
  <c r="K701" i="4"/>
  <c r="J701" i="4"/>
  <c r="H701" i="4"/>
  <c r="E701" i="4"/>
  <c r="D701" i="4"/>
  <c r="C701" i="4"/>
  <c r="B701" i="4"/>
  <c r="A701" i="4"/>
  <c r="I701" i="4" s="1"/>
  <c r="J700" i="4"/>
  <c r="A700" i="4"/>
  <c r="M699" i="4"/>
  <c r="L699" i="4"/>
  <c r="K699" i="4"/>
  <c r="J699" i="4"/>
  <c r="G699" i="4"/>
  <c r="F699" i="4"/>
  <c r="E699" i="4"/>
  <c r="D699" i="4"/>
  <c r="C699" i="4"/>
  <c r="B699" i="4"/>
  <c r="A699" i="4"/>
  <c r="I699" i="4" s="1"/>
  <c r="L698" i="4"/>
  <c r="K698" i="4"/>
  <c r="J698" i="4"/>
  <c r="G698" i="4"/>
  <c r="D698" i="4"/>
  <c r="C698" i="4"/>
  <c r="B698" i="4"/>
  <c r="A698" i="4"/>
  <c r="I698" i="4" s="1"/>
  <c r="I697" i="4"/>
  <c r="A697" i="4"/>
  <c r="M696" i="4"/>
  <c r="L696" i="4"/>
  <c r="F696" i="4"/>
  <c r="E696" i="4"/>
  <c r="D696" i="4"/>
  <c r="A696" i="4"/>
  <c r="K696" i="4" s="1"/>
  <c r="J695" i="4"/>
  <c r="I695" i="4"/>
  <c r="C695" i="4"/>
  <c r="B695" i="4"/>
  <c r="A695" i="4"/>
  <c r="M694" i="4"/>
  <c r="L694" i="4"/>
  <c r="K694" i="4"/>
  <c r="H694" i="4"/>
  <c r="G694" i="4"/>
  <c r="F694" i="4"/>
  <c r="E694" i="4"/>
  <c r="D694" i="4"/>
  <c r="C694" i="4"/>
  <c r="A694" i="4"/>
  <c r="J694" i="4" s="1"/>
  <c r="M693" i="4"/>
  <c r="L693" i="4"/>
  <c r="K693" i="4"/>
  <c r="J693" i="4"/>
  <c r="H693" i="4"/>
  <c r="E693" i="4"/>
  <c r="D693" i="4"/>
  <c r="C693" i="4"/>
  <c r="B693" i="4"/>
  <c r="A693" i="4"/>
  <c r="I693" i="4" s="1"/>
  <c r="I692" i="4"/>
  <c r="A692" i="4"/>
  <c r="M691" i="4"/>
  <c r="L691" i="4"/>
  <c r="K691" i="4"/>
  <c r="J691" i="4"/>
  <c r="G691" i="4"/>
  <c r="F691" i="4"/>
  <c r="E691" i="4"/>
  <c r="D691" i="4"/>
  <c r="C691" i="4"/>
  <c r="B691" i="4"/>
  <c r="A691" i="4"/>
  <c r="I691" i="4" s="1"/>
  <c r="L690" i="4"/>
  <c r="K690" i="4"/>
  <c r="J690" i="4"/>
  <c r="G690" i="4"/>
  <c r="D690" i="4"/>
  <c r="C690" i="4"/>
  <c r="B690" i="4"/>
  <c r="A690" i="4"/>
  <c r="I690" i="4" s="1"/>
  <c r="I689" i="4"/>
  <c r="H689" i="4"/>
  <c r="G689" i="4"/>
  <c r="A689" i="4"/>
  <c r="M688" i="4"/>
  <c r="L688" i="4"/>
  <c r="F688" i="4"/>
  <c r="E688" i="4"/>
  <c r="D688" i="4"/>
  <c r="A688" i="4"/>
  <c r="K688" i="4" s="1"/>
  <c r="I687" i="4"/>
  <c r="A687" i="4"/>
  <c r="K687" i="4" s="1"/>
  <c r="M686" i="4"/>
  <c r="L686" i="4"/>
  <c r="K686" i="4"/>
  <c r="H686" i="4"/>
  <c r="G686" i="4"/>
  <c r="F686" i="4"/>
  <c r="E686" i="4"/>
  <c r="D686" i="4"/>
  <c r="C686" i="4"/>
  <c r="A686" i="4"/>
  <c r="J686" i="4" s="1"/>
  <c r="M685" i="4"/>
  <c r="L685" i="4"/>
  <c r="K685" i="4"/>
  <c r="J685" i="4"/>
  <c r="H685" i="4"/>
  <c r="E685" i="4"/>
  <c r="D685" i="4"/>
  <c r="C685" i="4"/>
  <c r="B685" i="4"/>
  <c r="A685" i="4"/>
  <c r="I685" i="4" s="1"/>
  <c r="J684" i="4"/>
  <c r="A684" i="4"/>
  <c r="M683" i="4"/>
  <c r="L683" i="4"/>
  <c r="K683" i="4"/>
  <c r="J683" i="4"/>
  <c r="G683" i="4"/>
  <c r="F683" i="4"/>
  <c r="E683" i="4"/>
  <c r="D683" i="4"/>
  <c r="C683" i="4"/>
  <c r="B683" i="4"/>
  <c r="A683" i="4"/>
  <c r="I683" i="4" s="1"/>
  <c r="L682" i="4"/>
  <c r="K682" i="4"/>
  <c r="J682" i="4"/>
  <c r="G682" i="4"/>
  <c r="D682" i="4"/>
  <c r="C682" i="4"/>
  <c r="B682" i="4"/>
  <c r="A682" i="4"/>
  <c r="I682" i="4" s="1"/>
  <c r="I681" i="4"/>
  <c r="A681" i="4"/>
  <c r="M680" i="4"/>
  <c r="L680" i="4"/>
  <c r="F680" i="4"/>
  <c r="E680" i="4"/>
  <c r="D680" i="4"/>
  <c r="A680" i="4"/>
  <c r="K680" i="4" s="1"/>
  <c r="J679" i="4"/>
  <c r="I679" i="4"/>
  <c r="C679" i="4"/>
  <c r="B679" i="4"/>
  <c r="A679" i="4"/>
  <c r="M678" i="4"/>
  <c r="L678" i="4"/>
  <c r="K678" i="4"/>
  <c r="H678" i="4"/>
  <c r="G678" i="4"/>
  <c r="F678" i="4"/>
  <c r="E678" i="4"/>
  <c r="D678" i="4"/>
  <c r="C678" i="4"/>
  <c r="A678" i="4"/>
  <c r="J678" i="4" s="1"/>
  <c r="M677" i="4"/>
  <c r="L677" i="4"/>
  <c r="K677" i="4"/>
  <c r="J677" i="4"/>
  <c r="H677" i="4"/>
  <c r="E677" i="4"/>
  <c r="D677" i="4"/>
  <c r="C677" i="4"/>
  <c r="B677" i="4"/>
  <c r="A677" i="4"/>
  <c r="I677" i="4" s="1"/>
  <c r="A676" i="4"/>
  <c r="M675" i="4"/>
  <c r="L675" i="4"/>
  <c r="K675" i="4"/>
  <c r="J675" i="4"/>
  <c r="G675" i="4"/>
  <c r="F675" i="4"/>
  <c r="E675" i="4"/>
  <c r="D675" i="4"/>
  <c r="C675" i="4"/>
  <c r="B675" i="4"/>
  <c r="A675" i="4"/>
  <c r="I675" i="4" s="1"/>
  <c r="L674" i="4"/>
  <c r="K674" i="4"/>
  <c r="J674" i="4"/>
  <c r="G674" i="4"/>
  <c r="D674" i="4"/>
  <c r="C674" i="4"/>
  <c r="B674" i="4"/>
  <c r="A674" i="4"/>
  <c r="I674" i="4" s="1"/>
  <c r="I673" i="4"/>
  <c r="H673" i="4"/>
  <c r="G673" i="4"/>
  <c r="A673" i="4"/>
  <c r="M672" i="4"/>
  <c r="L672" i="4"/>
  <c r="F672" i="4"/>
  <c r="E672" i="4"/>
  <c r="D672" i="4"/>
  <c r="A672" i="4"/>
  <c r="K672" i="4" s="1"/>
  <c r="I671" i="4"/>
  <c r="A671" i="4"/>
  <c r="K671" i="4" s="1"/>
  <c r="M670" i="4"/>
  <c r="L670" i="4"/>
  <c r="K670" i="4"/>
  <c r="H670" i="4"/>
  <c r="G670" i="4"/>
  <c r="F670" i="4"/>
  <c r="E670" i="4"/>
  <c r="D670" i="4"/>
  <c r="C670" i="4"/>
  <c r="A670" i="4"/>
  <c r="J670" i="4" s="1"/>
  <c r="M669" i="4"/>
  <c r="L669" i="4"/>
  <c r="K669" i="4"/>
  <c r="J669" i="4"/>
  <c r="H669" i="4"/>
  <c r="E669" i="4"/>
  <c r="D669" i="4"/>
  <c r="C669" i="4"/>
  <c r="B669" i="4"/>
  <c r="A669" i="4"/>
  <c r="I669" i="4" s="1"/>
  <c r="J668" i="4"/>
  <c r="A668" i="4"/>
  <c r="M667" i="4"/>
  <c r="L667" i="4"/>
  <c r="K667" i="4"/>
  <c r="J667" i="4"/>
  <c r="G667" i="4"/>
  <c r="F667" i="4"/>
  <c r="E667" i="4"/>
  <c r="D667" i="4"/>
  <c r="C667" i="4"/>
  <c r="B667" i="4"/>
  <c r="A667" i="4"/>
  <c r="I667" i="4" s="1"/>
  <c r="L666" i="4"/>
  <c r="K666" i="4"/>
  <c r="J666" i="4"/>
  <c r="G666" i="4"/>
  <c r="D666" i="4"/>
  <c r="C666" i="4"/>
  <c r="B666" i="4"/>
  <c r="A666" i="4"/>
  <c r="I666" i="4" s="1"/>
  <c r="I665" i="4"/>
  <c r="A665" i="4"/>
  <c r="M664" i="4"/>
  <c r="L664" i="4"/>
  <c r="F664" i="4"/>
  <c r="E664" i="4"/>
  <c r="D664" i="4"/>
  <c r="A664" i="4"/>
  <c r="K664" i="4" s="1"/>
  <c r="J663" i="4"/>
  <c r="I663" i="4"/>
  <c r="C663" i="4"/>
  <c r="A663" i="4"/>
  <c r="M662" i="4"/>
  <c r="L662" i="4"/>
  <c r="K662" i="4"/>
  <c r="H662" i="4"/>
  <c r="G662" i="4"/>
  <c r="F662" i="4"/>
  <c r="E662" i="4"/>
  <c r="D662" i="4"/>
  <c r="C662" i="4"/>
  <c r="A662" i="4"/>
  <c r="J662" i="4" s="1"/>
  <c r="M661" i="4"/>
  <c r="L661" i="4"/>
  <c r="K661" i="4"/>
  <c r="J661" i="4"/>
  <c r="H661" i="4"/>
  <c r="E661" i="4"/>
  <c r="D661" i="4"/>
  <c r="C661" i="4"/>
  <c r="B661" i="4"/>
  <c r="A661" i="4"/>
  <c r="I661" i="4" s="1"/>
  <c r="M660" i="4"/>
  <c r="J660" i="4"/>
  <c r="I660" i="4"/>
  <c r="H660" i="4"/>
  <c r="E660" i="4"/>
  <c r="B660" i="4"/>
  <c r="A660" i="4"/>
  <c r="M659" i="4"/>
  <c r="L659" i="4"/>
  <c r="K659" i="4"/>
  <c r="J659" i="4"/>
  <c r="G659" i="4"/>
  <c r="F659" i="4"/>
  <c r="E659" i="4"/>
  <c r="D659" i="4"/>
  <c r="C659" i="4"/>
  <c r="B659" i="4"/>
  <c r="A659" i="4"/>
  <c r="I659" i="4" s="1"/>
  <c r="L658" i="4"/>
  <c r="K658" i="4"/>
  <c r="J658" i="4"/>
  <c r="G658" i="4"/>
  <c r="D658" i="4"/>
  <c r="C658" i="4"/>
  <c r="B658" i="4"/>
  <c r="A658" i="4"/>
  <c r="I658" i="4" s="1"/>
  <c r="H657" i="4"/>
  <c r="A657" i="4"/>
  <c r="L657" i="4" s="1"/>
  <c r="M656" i="4"/>
  <c r="L656" i="4"/>
  <c r="I656" i="4"/>
  <c r="F656" i="4"/>
  <c r="E656" i="4"/>
  <c r="D656" i="4"/>
  <c r="A656" i="4"/>
  <c r="K655" i="4"/>
  <c r="J655" i="4"/>
  <c r="I655" i="4"/>
  <c r="F655" i="4"/>
  <c r="C655" i="4"/>
  <c r="B655" i="4"/>
  <c r="A655" i="4"/>
  <c r="M654" i="4"/>
  <c r="L654" i="4"/>
  <c r="K654" i="4"/>
  <c r="H654" i="4"/>
  <c r="G654" i="4"/>
  <c r="F654" i="4"/>
  <c r="E654" i="4"/>
  <c r="D654" i="4"/>
  <c r="C654" i="4"/>
  <c r="A654" i="4"/>
  <c r="J654" i="4" s="1"/>
  <c r="M653" i="4"/>
  <c r="L653" i="4"/>
  <c r="K653" i="4"/>
  <c r="J653" i="4"/>
  <c r="H653" i="4"/>
  <c r="E653" i="4"/>
  <c r="D653" i="4"/>
  <c r="C653" i="4"/>
  <c r="B653" i="4"/>
  <c r="A653" i="4"/>
  <c r="I653" i="4" s="1"/>
  <c r="I652" i="4"/>
  <c r="A652" i="4"/>
  <c r="M652" i="4" s="1"/>
  <c r="M651" i="4"/>
  <c r="L651" i="4"/>
  <c r="K651" i="4"/>
  <c r="J651" i="4"/>
  <c r="G651" i="4"/>
  <c r="F651" i="4"/>
  <c r="E651" i="4"/>
  <c r="D651" i="4"/>
  <c r="C651" i="4"/>
  <c r="B651" i="4"/>
  <c r="A651" i="4"/>
  <c r="I651" i="4" s="1"/>
  <c r="L650" i="4"/>
  <c r="A650" i="4"/>
  <c r="H649" i="4"/>
  <c r="G649" i="4"/>
  <c r="F649" i="4"/>
  <c r="A649" i="4"/>
  <c r="M648" i="4"/>
  <c r="E648" i="4"/>
  <c r="A648" i="4"/>
  <c r="F647" i="4"/>
  <c r="A647" i="4"/>
  <c r="M646" i="4"/>
  <c r="L646" i="4"/>
  <c r="K646" i="4"/>
  <c r="H646" i="4"/>
  <c r="G646" i="4"/>
  <c r="F646" i="4"/>
  <c r="E646" i="4"/>
  <c r="D646" i="4"/>
  <c r="C646" i="4"/>
  <c r="A646" i="4"/>
  <c r="J646" i="4" s="1"/>
  <c r="M645" i="4"/>
  <c r="L645" i="4"/>
  <c r="K645" i="4"/>
  <c r="J645" i="4"/>
  <c r="H645" i="4"/>
  <c r="E645" i="4"/>
  <c r="D645" i="4"/>
  <c r="C645" i="4"/>
  <c r="B645" i="4"/>
  <c r="A645" i="4"/>
  <c r="I645" i="4" s="1"/>
  <c r="M644" i="4"/>
  <c r="H644" i="4"/>
  <c r="A644" i="4"/>
  <c r="J644" i="4" s="1"/>
  <c r="M643" i="4"/>
  <c r="L643" i="4"/>
  <c r="K643" i="4"/>
  <c r="J643" i="4"/>
  <c r="G643" i="4"/>
  <c r="F643" i="4"/>
  <c r="E643" i="4"/>
  <c r="D643" i="4"/>
  <c r="C643" i="4"/>
  <c r="B643" i="4"/>
  <c r="A643" i="4"/>
  <c r="I643" i="4" s="1"/>
  <c r="A642" i="4"/>
  <c r="H641" i="4"/>
  <c r="G641" i="4"/>
  <c r="F641" i="4"/>
  <c r="A641" i="4"/>
  <c r="A640" i="4"/>
  <c r="F639" i="4"/>
  <c r="A639" i="4"/>
  <c r="M638" i="4"/>
  <c r="L638" i="4"/>
  <c r="K638" i="4"/>
  <c r="H638" i="4"/>
  <c r="G638" i="4"/>
  <c r="F638" i="4"/>
  <c r="E638" i="4"/>
  <c r="D638" i="4"/>
  <c r="C638" i="4"/>
  <c r="A638" i="4"/>
  <c r="J638" i="4" s="1"/>
  <c r="M637" i="4"/>
  <c r="L637" i="4"/>
  <c r="K637" i="4"/>
  <c r="J637" i="4"/>
  <c r="H637" i="4"/>
  <c r="E637" i="4"/>
  <c r="D637" i="4"/>
  <c r="C637" i="4"/>
  <c r="B637" i="4"/>
  <c r="A637" i="4"/>
  <c r="I637" i="4" s="1"/>
  <c r="M636" i="4"/>
  <c r="H636" i="4"/>
  <c r="A636" i="4"/>
  <c r="J636" i="4" s="1"/>
  <c r="M635" i="4"/>
  <c r="L635" i="4"/>
  <c r="K635" i="4"/>
  <c r="J635" i="4"/>
  <c r="G635" i="4"/>
  <c r="F635" i="4"/>
  <c r="E635" i="4"/>
  <c r="D635" i="4"/>
  <c r="C635" i="4"/>
  <c r="B635" i="4"/>
  <c r="A635" i="4"/>
  <c r="I635" i="4" s="1"/>
  <c r="L634" i="4"/>
  <c r="D634" i="4"/>
  <c r="A634" i="4"/>
  <c r="H633" i="4"/>
  <c r="G633" i="4"/>
  <c r="F633" i="4"/>
  <c r="A633" i="4"/>
  <c r="E632" i="4"/>
  <c r="A632" i="4"/>
  <c r="A631" i="4"/>
  <c r="M630" i="4"/>
  <c r="L630" i="4"/>
  <c r="K630" i="4"/>
  <c r="H630" i="4"/>
  <c r="G630" i="4"/>
  <c r="F630" i="4"/>
  <c r="E630" i="4"/>
  <c r="D630" i="4"/>
  <c r="C630" i="4"/>
  <c r="A630" i="4"/>
  <c r="J630" i="4" s="1"/>
  <c r="M629" i="4"/>
  <c r="L629" i="4"/>
  <c r="K629" i="4"/>
  <c r="J629" i="4"/>
  <c r="H629" i="4"/>
  <c r="E629" i="4"/>
  <c r="D629" i="4"/>
  <c r="C629" i="4"/>
  <c r="B629" i="4"/>
  <c r="A629" i="4"/>
  <c r="I629" i="4" s="1"/>
  <c r="M628" i="4"/>
  <c r="H628" i="4"/>
  <c r="A628" i="4"/>
  <c r="J628" i="4" s="1"/>
  <c r="M627" i="4"/>
  <c r="L627" i="4"/>
  <c r="K627" i="4"/>
  <c r="J627" i="4"/>
  <c r="G627" i="4"/>
  <c r="F627" i="4"/>
  <c r="E627" i="4"/>
  <c r="D627" i="4"/>
  <c r="C627" i="4"/>
  <c r="B627" i="4"/>
  <c r="A627" i="4"/>
  <c r="I627" i="4" s="1"/>
  <c r="L626" i="4"/>
  <c r="A626" i="4"/>
  <c r="H625" i="4"/>
  <c r="G625" i="4"/>
  <c r="F625" i="4"/>
  <c r="D625" i="4"/>
  <c r="A625" i="4"/>
  <c r="M624" i="4"/>
  <c r="A624" i="4"/>
  <c r="F623" i="4"/>
  <c r="A623" i="4"/>
  <c r="M622" i="4"/>
  <c r="L622" i="4"/>
  <c r="K622" i="4"/>
  <c r="H622" i="4"/>
  <c r="G622" i="4"/>
  <c r="F622" i="4"/>
  <c r="E622" i="4"/>
  <c r="D622" i="4"/>
  <c r="C622" i="4"/>
  <c r="A622" i="4"/>
  <c r="J622" i="4" s="1"/>
  <c r="M621" i="4"/>
  <c r="L621" i="4"/>
  <c r="K621" i="4"/>
  <c r="J621" i="4"/>
  <c r="H621" i="4"/>
  <c r="E621" i="4"/>
  <c r="D621" i="4"/>
  <c r="C621" i="4"/>
  <c r="B621" i="4"/>
  <c r="A621" i="4"/>
  <c r="I621" i="4" s="1"/>
  <c r="M620" i="4"/>
  <c r="H620" i="4"/>
  <c r="A620" i="4"/>
  <c r="J620" i="4" s="1"/>
  <c r="M619" i="4"/>
  <c r="L619" i="4"/>
  <c r="K619" i="4"/>
  <c r="J619" i="4"/>
  <c r="G619" i="4"/>
  <c r="F619" i="4"/>
  <c r="E619" i="4"/>
  <c r="D619" i="4"/>
  <c r="C619" i="4"/>
  <c r="B619" i="4"/>
  <c r="A619" i="4"/>
  <c r="I619" i="4" s="1"/>
  <c r="L618" i="4"/>
  <c r="D618" i="4"/>
  <c r="A618" i="4"/>
  <c r="H617" i="4"/>
  <c r="G617" i="4"/>
  <c r="F617" i="4"/>
  <c r="D617" i="4"/>
  <c r="A617" i="4"/>
  <c r="M616" i="4"/>
  <c r="E616" i="4"/>
  <c r="A616" i="4"/>
  <c r="F615" i="4"/>
  <c r="A615" i="4"/>
  <c r="M614" i="4"/>
  <c r="L614" i="4"/>
  <c r="K614" i="4"/>
  <c r="H614" i="4"/>
  <c r="G614" i="4"/>
  <c r="F614" i="4"/>
  <c r="E614" i="4"/>
  <c r="D614" i="4"/>
  <c r="C614" i="4"/>
  <c r="A614" i="4"/>
  <c r="J614" i="4" s="1"/>
  <c r="M613" i="4"/>
  <c r="L613" i="4"/>
  <c r="K613" i="4"/>
  <c r="J613" i="4"/>
  <c r="H613" i="4"/>
  <c r="E613" i="4"/>
  <c r="D613" i="4"/>
  <c r="C613" i="4"/>
  <c r="B613" i="4"/>
  <c r="A613" i="4"/>
  <c r="I613" i="4" s="1"/>
  <c r="M612" i="4"/>
  <c r="H612" i="4"/>
  <c r="A612" i="4"/>
  <c r="J612" i="4" s="1"/>
  <c r="M611" i="4"/>
  <c r="L611" i="4"/>
  <c r="K611" i="4"/>
  <c r="J611" i="4"/>
  <c r="G611" i="4"/>
  <c r="F611" i="4"/>
  <c r="E611" i="4"/>
  <c r="D611" i="4"/>
  <c r="C611" i="4"/>
  <c r="B611" i="4"/>
  <c r="A611" i="4"/>
  <c r="I611" i="4" s="1"/>
  <c r="L610" i="4"/>
  <c r="A610" i="4"/>
  <c r="H609" i="4"/>
  <c r="G609" i="4"/>
  <c r="F609" i="4"/>
  <c r="A609" i="4"/>
  <c r="M608" i="4"/>
  <c r="E608" i="4"/>
  <c r="A608" i="4"/>
  <c r="F607" i="4"/>
  <c r="A607" i="4"/>
  <c r="M606" i="4"/>
  <c r="L606" i="4"/>
  <c r="K606" i="4"/>
  <c r="H606" i="4"/>
  <c r="G606" i="4"/>
  <c r="F606" i="4"/>
  <c r="E606" i="4"/>
  <c r="D606" i="4"/>
  <c r="C606" i="4"/>
  <c r="A606" i="4"/>
  <c r="J606" i="4" s="1"/>
  <c r="M605" i="4"/>
  <c r="L605" i="4"/>
  <c r="K605" i="4"/>
  <c r="J605" i="4"/>
  <c r="H605" i="4"/>
  <c r="E605" i="4"/>
  <c r="D605" i="4"/>
  <c r="C605" i="4"/>
  <c r="B605" i="4"/>
  <c r="A605" i="4"/>
  <c r="I605" i="4" s="1"/>
  <c r="M604" i="4"/>
  <c r="H604" i="4"/>
  <c r="A604" i="4"/>
  <c r="J604" i="4" s="1"/>
  <c r="M603" i="4"/>
  <c r="L603" i="4"/>
  <c r="K603" i="4"/>
  <c r="J603" i="4"/>
  <c r="G603" i="4"/>
  <c r="F603" i="4"/>
  <c r="E603" i="4"/>
  <c r="D603" i="4"/>
  <c r="C603" i="4"/>
  <c r="B603" i="4"/>
  <c r="A603" i="4"/>
  <c r="I603" i="4" s="1"/>
  <c r="A602" i="4"/>
  <c r="I601" i="4"/>
  <c r="H601" i="4"/>
  <c r="G601" i="4"/>
  <c r="F601" i="4"/>
  <c r="E601" i="4"/>
  <c r="D601" i="4"/>
  <c r="A601" i="4"/>
  <c r="L601" i="4" s="1"/>
  <c r="J600" i="4"/>
  <c r="E600" i="4"/>
  <c r="A600" i="4"/>
  <c r="I600" i="4" s="1"/>
  <c r="H599" i="4"/>
  <c r="A599" i="4"/>
  <c r="M598" i="4"/>
  <c r="L598" i="4"/>
  <c r="K598" i="4"/>
  <c r="H598" i="4"/>
  <c r="G598" i="4"/>
  <c r="F598" i="4"/>
  <c r="E598" i="4"/>
  <c r="D598" i="4"/>
  <c r="C598" i="4"/>
  <c r="A598" i="4"/>
  <c r="J598" i="4" s="1"/>
  <c r="M597" i="4"/>
  <c r="J597" i="4"/>
  <c r="I597" i="4"/>
  <c r="H597" i="4"/>
  <c r="E597" i="4"/>
  <c r="D597" i="4"/>
  <c r="C597" i="4"/>
  <c r="B597" i="4"/>
  <c r="A597" i="4"/>
  <c r="J596" i="4"/>
  <c r="I596" i="4"/>
  <c r="F596" i="4"/>
  <c r="A596" i="4"/>
  <c r="H596" i="4" s="1"/>
  <c r="M595" i="4"/>
  <c r="L595" i="4"/>
  <c r="K595" i="4"/>
  <c r="J595" i="4"/>
  <c r="G595" i="4"/>
  <c r="F595" i="4"/>
  <c r="E595" i="4"/>
  <c r="D595" i="4"/>
  <c r="C595" i="4"/>
  <c r="B595" i="4"/>
  <c r="A595" i="4"/>
  <c r="I595" i="4" s="1"/>
  <c r="K594" i="4"/>
  <c r="A594" i="4"/>
  <c r="I593" i="4"/>
  <c r="H593" i="4"/>
  <c r="G593" i="4"/>
  <c r="F593" i="4"/>
  <c r="E593" i="4"/>
  <c r="D593" i="4"/>
  <c r="A593" i="4"/>
  <c r="L593" i="4" s="1"/>
  <c r="J592" i="4"/>
  <c r="E592" i="4"/>
  <c r="A592" i="4"/>
  <c r="I592" i="4" s="1"/>
  <c r="A591" i="4"/>
  <c r="M590" i="4"/>
  <c r="L590" i="4"/>
  <c r="K590" i="4"/>
  <c r="H590" i="4"/>
  <c r="G590" i="4"/>
  <c r="F590" i="4"/>
  <c r="E590" i="4"/>
  <c r="D590" i="4"/>
  <c r="C590" i="4"/>
  <c r="A590" i="4"/>
  <c r="J590" i="4" s="1"/>
  <c r="M589" i="4"/>
  <c r="J589" i="4"/>
  <c r="I589" i="4"/>
  <c r="H589" i="4"/>
  <c r="E589" i="4"/>
  <c r="D589" i="4"/>
  <c r="C589" i="4"/>
  <c r="A589" i="4"/>
  <c r="J588" i="4"/>
  <c r="I588" i="4"/>
  <c r="F588" i="4"/>
  <c r="A588" i="4"/>
  <c r="H588" i="4" s="1"/>
  <c r="M587" i="4"/>
  <c r="L587" i="4"/>
  <c r="K587" i="4"/>
  <c r="J587" i="4"/>
  <c r="G587" i="4"/>
  <c r="F587" i="4"/>
  <c r="E587" i="4"/>
  <c r="D587" i="4"/>
  <c r="C587" i="4"/>
  <c r="B587" i="4"/>
  <c r="A587" i="4"/>
  <c r="I587" i="4" s="1"/>
  <c r="K586" i="4"/>
  <c r="D586" i="4"/>
  <c r="A586" i="4"/>
  <c r="I585" i="4"/>
  <c r="H585" i="4"/>
  <c r="G585" i="4"/>
  <c r="F585" i="4"/>
  <c r="E585" i="4"/>
  <c r="D585" i="4"/>
  <c r="A585" i="4"/>
  <c r="L585" i="4" s="1"/>
  <c r="J584" i="4"/>
  <c r="E584" i="4"/>
  <c r="A584" i="4"/>
  <c r="I584" i="4" s="1"/>
  <c r="A583" i="4"/>
  <c r="M582" i="4"/>
  <c r="L582" i="4"/>
  <c r="K582" i="4"/>
  <c r="H582" i="4"/>
  <c r="G582" i="4"/>
  <c r="F582" i="4"/>
  <c r="E582" i="4"/>
  <c r="D582" i="4"/>
  <c r="C582" i="4"/>
  <c r="A582" i="4"/>
  <c r="J582" i="4" s="1"/>
  <c r="M581" i="4"/>
  <c r="J581" i="4"/>
  <c r="I581" i="4"/>
  <c r="H581" i="4"/>
  <c r="E581" i="4"/>
  <c r="D581" i="4"/>
  <c r="C581" i="4"/>
  <c r="A581" i="4"/>
  <c r="J580" i="4"/>
  <c r="I580" i="4"/>
  <c r="F580" i="4"/>
  <c r="A580" i="4"/>
  <c r="H580" i="4" s="1"/>
  <c r="M579" i="4"/>
  <c r="L579" i="4"/>
  <c r="K579" i="4"/>
  <c r="J579" i="4"/>
  <c r="G579" i="4"/>
  <c r="F579" i="4"/>
  <c r="E579" i="4"/>
  <c r="D579" i="4"/>
  <c r="C579" i="4"/>
  <c r="B579" i="4"/>
  <c r="A579" i="4"/>
  <c r="I579" i="4" s="1"/>
  <c r="K578" i="4"/>
  <c r="A578" i="4"/>
  <c r="I577" i="4"/>
  <c r="H577" i="4"/>
  <c r="G577" i="4"/>
  <c r="F577" i="4"/>
  <c r="E577" i="4"/>
  <c r="D577" i="4"/>
  <c r="A577" i="4"/>
  <c r="L577" i="4" s="1"/>
  <c r="J576" i="4"/>
  <c r="E576" i="4"/>
  <c r="A576" i="4"/>
  <c r="I576" i="4" s="1"/>
  <c r="K575" i="4"/>
  <c r="H575" i="4"/>
  <c r="A575" i="4"/>
  <c r="M574" i="4"/>
  <c r="L574" i="4"/>
  <c r="K574" i="4"/>
  <c r="H574" i="4"/>
  <c r="G574" i="4"/>
  <c r="F574" i="4"/>
  <c r="E574" i="4"/>
  <c r="D574" i="4"/>
  <c r="C574" i="4"/>
  <c r="A574" i="4"/>
  <c r="J574" i="4" s="1"/>
  <c r="M573" i="4"/>
  <c r="J573" i="4"/>
  <c r="I573" i="4"/>
  <c r="H573" i="4"/>
  <c r="E573" i="4"/>
  <c r="D573" i="4"/>
  <c r="C573" i="4"/>
  <c r="A573" i="4"/>
  <c r="J572" i="4"/>
  <c r="I572" i="4"/>
  <c r="F572" i="4"/>
  <c r="A572" i="4"/>
  <c r="H572" i="4" s="1"/>
  <c r="M571" i="4"/>
  <c r="L571" i="4"/>
  <c r="K571" i="4"/>
  <c r="J571" i="4"/>
  <c r="G571" i="4"/>
  <c r="F571" i="4"/>
  <c r="E571" i="4"/>
  <c r="D571" i="4"/>
  <c r="C571" i="4"/>
  <c r="B571" i="4"/>
  <c r="A571" i="4"/>
  <c r="I571" i="4" s="1"/>
  <c r="D570" i="4"/>
  <c r="A570" i="4"/>
  <c r="I569" i="4"/>
  <c r="H569" i="4"/>
  <c r="G569" i="4"/>
  <c r="F569" i="4"/>
  <c r="E569" i="4"/>
  <c r="D569" i="4"/>
  <c r="A569" i="4"/>
  <c r="L569" i="4" s="1"/>
  <c r="J568" i="4"/>
  <c r="E568" i="4"/>
  <c r="A568" i="4"/>
  <c r="I568" i="4" s="1"/>
  <c r="K567" i="4"/>
  <c r="A567" i="4"/>
  <c r="M566" i="4"/>
  <c r="L566" i="4"/>
  <c r="K566" i="4"/>
  <c r="H566" i="4"/>
  <c r="G566" i="4"/>
  <c r="F566" i="4"/>
  <c r="E566" i="4"/>
  <c r="D566" i="4"/>
  <c r="C566" i="4"/>
  <c r="A566" i="4"/>
  <c r="J566" i="4" s="1"/>
  <c r="M565" i="4"/>
  <c r="J565" i="4"/>
  <c r="I565" i="4"/>
  <c r="H565" i="4"/>
  <c r="E565" i="4"/>
  <c r="D565" i="4"/>
  <c r="C565" i="4"/>
  <c r="A565" i="4"/>
  <c r="J564" i="4"/>
  <c r="I564" i="4"/>
  <c r="F564" i="4"/>
  <c r="A564" i="4"/>
  <c r="H564" i="4" s="1"/>
  <c r="M563" i="4"/>
  <c r="L563" i="4"/>
  <c r="K563" i="4"/>
  <c r="J563" i="4"/>
  <c r="G563" i="4"/>
  <c r="F563" i="4"/>
  <c r="E563" i="4"/>
  <c r="D563" i="4"/>
  <c r="C563" i="4"/>
  <c r="B563" i="4"/>
  <c r="A563" i="4"/>
  <c r="I563" i="4" s="1"/>
  <c r="A562" i="4"/>
  <c r="I561" i="4"/>
  <c r="H561" i="4"/>
  <c r="G561" i="4"/>
  <c r="F561" i="4"/>
  <c r="E561" i="4"/>
  <c r="D561" i="4"/>
  <c r="A561" i="4"/>
  <c r="L561" i="4" s="1"/>
  <c r="J560" i="4"/>
  <c r="E560" i="4"/>
  <c r="A560" i="4"/>
  <c r="I560" i="4" s="1"/>
  <c r="K559" i="4"/>
  <c r="H559" i="4"/>
  <c r="A559" i="4"/>
  <c r="M558" i="4"/>
  <c r="L558" i="4"/>
  <c r="K558" i="4"/>
  <c r="H558" i="4"/>
  <c r="G558" i="4"/>
  <c r="F558" i="4"/>
  <c r="E558" i="4"/>
  <c r="D558" i="4"/>
  <c r="C558" i="4"/>
  <c r="A558" i="4"/>
  <c r="J558" i="4" s="1"/>
  <c r="M557" i="4"/>
  <c r="J557" i="4"/>
  <c r="I557" i="4"/>
  <c r="H557" i="4"/>
  <c r="E557" i="4"/>
  <c r="D557" i="4"/>
  <c r="C557" i="4"/>
  <c r="A557" i="4"/>
  <c r="J556" i="4"/>
  <c r="I556" i="4"/>
  <c r="F556" i="4"/>
  <c r="A556" i="4"/>
  <c r="H556" i="4" s="1"/>
  <c r="M555" i="4"/>
  <c r="L555" i="4"/>
  <c r="K555" i="4"/>
  <c r="J555" i="4"/>
  <c r="G555" i="4"/>
  <c r="F555" i="4"/>
  <c r="E555" i="4"/>
  <c r="D555" i="4"/>
  <c r="C555" i="4"/>
  <c r="B555" i="4"/>
  <c r="A555" i="4"/>
  <c r="I555" i="4" s="1"/>
  <c r="D554" i="4"/>
  <c r="A554" i="4"/>
  <c r="I553" i="4"/>
  <c r="H553" i="4"/>
  <c r="G553" i="4"/>
  <c r="F553" i="4"/>
  <c r="E553" i="4"/>
  <c r="D553" i="4"/>
  <c r="A553" i="4"/>
  <c r="L553" i="4" s="1"/>
  <c r="J552" i="4"/>
  <c r="E552" i="4"/>
  <c r="A552" i="4"/>
  <c r="I552" i="4" s="1"/>
  <c r="K551" i="4"/>
  <c r="A551" i="4"/>
  <c r="M550" i="4"/>
  <c r="L550" i="4"/>
  <c r="K550" i="4"/>
  <c r="H550" i="4"/>
  <c r="G550" i="4"/>
  <c r="F550" i="4"/>
  <c r="E550" i="4"/>
  <c r="D550" i="4"/>
  <c r="C550" i="4"/>
  <c r="A550" i="4"/>
  <c r="J550" i="4" s="1"/>
  <c r="M549" i="4"/>
  <c r="J549" i="4"/>
  <c r="I549" i="4"/>
  <c r="H549" i="4"/>
  <c r="E549" i="4"/>
  <c r="D549" i="4"/>
  <c r="C549" i="4"/>
  <c r="A549" i="4"/>
  <c r="J548" i="4"/>
  <c r="I548" i="4"/>
  <c r="F548" i="4"/>
  <c r="A548" i="4"/>
  <c r="H548" i="4" s="1"/>
  <c r="M547" i="4"/>
  <c r="L547" i="4"/>
  <c r="K547" i="4"/>
  <c r="J547" i="4"/>
  <c r="G547" i="4"/>
  <c r="F547" i="4"/>
  <c r="E547" i="4"/>
  <c r="D547" i="4"/>
  <c r="C547" i="4"/>
  <c r="B547" i="4"/>
  <c r="A547" i="4"/>
  <c r="I547" i="4" s="1"/>
  <c r="A546" i="4"/>
  <c r="I545" i="4"/>
  <c r="H545" i="4"/>
  <c r="G545" i="4"/>
  <c r="F545" i="4"/>
  <c r="E545" i="4"/>
  <c r="D545" i="4"/>
  <c r="A545" i="4"/>
  <c r="L545" i="4" s="1"/>
  <c r="J544" i="4"/>
  <c r="E544" i="4"/>
  <c r="A544" i="4"/>
  <c r="I544" i="4" s="1"/>
  <c r="H543" i="4"/>
  <c r="A543" i="4"/>
  <c r="M542" i="4"/>
  <c r="L542" i="4"/>
  <c r="K542" i="4"/>
  <c r="H542" i="4"/>
  <c r="G542" i="4"/>
  <c r="F542" i="4"/>
  <c r="E542" i="4"/>
  <c r="D542" i="4"/>
  <c r="C542" i="4"/>
  <c r="A542" i="4"/>
  <c r="J542" i="4" s="1"/>
  <c r="M541" i="4"/>
  <c r="J541" i="4"/>
  <c r="I541" i="4"/>
  <c r="H541" i="4"/>
  <c r="E541" i="4"/>
  <c r="D541" i="4"/>
  <c r="C541" i="4"/>
  <c r="A541" i="4"/>
  <c r="J540" i="4"/>
  <c r="I540" i="4"/>
  <c r="F540" i="4"/>
  <c r="A540" i="4"/>
  <c r="H540" i="4" s="1"/>
  <c r="M539" i="4"/>
  <c r="L539" i="4"/>
  <c r="K539" i="4"/>
  <c r="J539" i="4"/>
  <c r="G539" i="4"/>
  <c r="F539" i="4"/>
  <c r="E539" i="4"/>
  <c r="D539" i="4"/>
  <c r="C539" i="4"/>
  <c r="B539" i="4"/>
  <c r="A539" i="4"/>
  <c r="I539" i="4" s="1"/>
  <c r="K538" i="4"/>
  <c r="D538" i="4"/>
  <c r="A538" i="4"/>
  <c r="I537" i="4"/>
  <c r="H537" i="4"/>
  <c r="G537" i="4"/>
  <c r="F537" i="4"/>
  <c r="E537" i="4"/>
  <c r="D537" i="4"/>
  <c r="A537" i="4"/>
  <c r="L537" i="4" s="1"/>
  <c r="J536" i="4"/>
  <c r="E536" i="4"/>
  <c r="A536" i="4"/>
  <c r="I536" i="4" s="1"/>
  <c r="A535" i="4"/>
  <c r="M534" i="4"/>
  <c r="L534" i="4"/>
  <c r="K534" i="4"/>
  <c r="H534" i="4"/>
  <c r="G534" i="4"/>
  <c r="F534" i="4"/>
  <c r="E534" i="4"/>
  <c r="D534" i="4"/>
  <c r="C534" i="4"/>
  <c r="A534" i="4"/>
  <c r="J534" i="4" s="1"/>
  <c r="M533" i="4"/>
  <c r="J533" i="4"/>
  <c r="I533" i="4"/>
  <c r="H533" i="4"/>
  <c r="E533" i="4"/>
  <c r="D533" i="4"/>
  <c r="C533" i="4"/>
  <c r="A533" i="4"/>
  <c r="J532" i="4"/>
  <c r="I532" i="4"/>
  <c r="F532" i="4"/>
  <c r="A532" i="4"/>
  <c r="H532" i="4" s="1"/>
  <c r="M531" i="4"/>
  <c r="L531" i="4"/>
  <c r="K531" i="4"/>
  <c r="J531" i="4"/>
  <c r="G531" i="4"/>
  <c r="F531" i="4"/>
  <c r="E531" i="4"/>
  <c r="D531" i="4"/>
  <c r="C531" i="4"/>
  <c r="B531" i="4"/>
  <c r="A531" i="4"/>
  <c r="I531" i="4" s="1"/>
  <c r="K530" i="4"/>
  <c r="A530" i="4"/>
  <c r="I529" i="4"/>
  <c r="H529" i="4"/>
  <c r="G529" i="4"/>
  <c r="F529" i="4"/>
  <c r="E529" i="4"/>
  <c r="D529" i="4"/>
  <c r="A529" i="4"/>
  <c r="L529" i="4" s="1"/>
  <c r="J528" i="4"/>
  <c r="E528" i="4"/>
  <c r="A528" i="4"/>
  <c r="I528" i="4" s="1"/>
  <c r="H527" i="4"/>
  <c r="A527" i="4"/>
  <c r="M526" i="4"/>
  <c r="L526" i="4"/>
  <c r="K526" i="4"/>
  <c r="H526" i="4"/>
  <c r="G526" i="4"/>
  <c r="F526" i="4"/>
  <c r="E526" i="4"/>
  <c r="D526" i="4"/>
  <c r="C526" i="4"/>
  <c r="A526" i="4"/>
  <c r="J526" i="4" s="1"/>
  <c r="M525" i="4"/>
  <c r="J525" i="4"/>
  <c r="I525" i="4"/>
  <c r="H525" i="4"/>
  <c r="E525" i="4"/>
  <c r="D525" i="4"/>
  <c r="C525" i="4"/>
  <c r="A525" i="4"/>
  <c r="J524" i="4"/>
  <c r="I524" i="4"/>
  <c r="F524" i="4"/>
  <c r="A524" i="4"/>
  <c r="H524" i="4" s="1"/>
  <c r="M523" i="4"/>
  <c r="L523" i="4"/>
  <c r="K523" i="4"/>
  <c r="J523" i="4"/>
  <c r="G523" i="4"/>
  <c r="F523" i="4"/>
  <c r="E523" i="4"/>
  <c r="D523" i="4"/>
  <c r="C523" i="4"/>
  <c r="B523" i="4"/>
  <c r="A523" i="4"/>
  <c r="I523" i="4" s="1"/>
  <c r="K522" i="4"/>
  <c r="D522" i="4"/>
  <c r="A522" i="4"/>
  <c r="I521" i="4"/>
  <c r="H521" i="4"/>
  <c r="G521" i="4"/>
  <c r="F521" i="4"/>
  <c r="E521" i="4"/>
  <c r="D521" i="4"/>
  <c r="A521" i="4"/>
  <c r="L521" i="4" s="1"/>
  <c r="J520" i="4"/>
  <c r="E520" i="4"/>
  <c r="A520" i="4"/>
  <c r="I520" i="4" s="1"/>
  <c r="K519" i="4"/>
  <c r="A519" i="4"/>
  <c r="M518" i="4"/>
  <c r="L518" i="4"/>
  <c r="K518" i="4"/>
  <c r="H518" i="4"/>
  <c r="G518" i="4"/>
  <c r="F518" i="4"/>
  <c r="E518" i="4"/>
  <c r="D518" i="4"/>
  <c r="C518" i="4"/>
  <c r="A518" i="4"/>
  <c r="J518" i="4" s="1"/>
  <c r="M517" i="4"/>
  <c r="J517" i="4"/>
  <c r="I517" i="4"/>
  <c r="H517" i="4"/>
  <c r="E517" i="4"/>
  <c r="D517" i="4"/>
  <c r="C517" i="4"/>
  <c r="A517" i="4"/>
  <c r="J516" i="4"/>
  <c r="I516" i="4"/>
  <c r="F516" i="4"/>
  <c r="A516" i="4"/>
  <c r="H516" i="4" s="1"/>
  <c r="M515" i="4"/>
  <c r="L515" i="4"/>
  <c r="K515" i="4"/>
  <c r="J515" i="4"/>
  <c r="G515" i="4"/>
  <c r="F515" i="4"/>
  <c r="E515" i="4"/>
  <c r="D515" i="4"/>
  <c r="C515" i="4"/>
  <c r="B515" i="4"/>
  <c r="A515" i="4"/>
  <c r="I515" i="4" s="1"/>
  <c r="K514" i="4"/>
  <c r="A514" i="4"/>
  <c r="I513" i="4"/>
  <c r="H513" i="4"/>
  <c r="G513" i="4"/>
  <c r="F513" i="4"/>
  <c r="E513" i="4"/>
  <c r="D513" i="4"/>
  <c r="A513" i="4"/>
  <c r="L513" i="4" s="1"/>
  <c r="J512" i="4"/>
  <c r="E512" i="4"/>
  <c r="A512" i="4"/>
  <c r="I512" i="4" s="1"/>
  <c r="K511" i="4"/>
  <c r="H511" i="4"/>
  <c r="A511" i="4"/>
  <c r="M510" i="4"/>
  <c r="L510" i="4"/>
  <c r="K510" i="4"/>
  <c r="H510" i="4"/>
  <c r="G510" i="4"/>
  <c r="F510" i="4"/>
  <c r="E510" i="4"/>
  <c r="D510" i="4"/>
  <c r="C510" i="4"/>
  <c r="A510" i="4"/>
  <c r="J510" i="4" s="1"/>
  <c r="M509" i="4"/>
  <c r="J509" i="4"/>
  <c r="I509" i="4"/>
  <c r="H509" i="4"/>
  <c r="E509" i="4"/>
  <c r="D509" i="4"/>
  <c r="C509" i="4"/>
  <c r="A509" i="4"/>
  <c r="J508" i="4"/>
  <c r="I508" i="4"/>
  <c r="F508" i="4"/>
  <c r="A508" i="4"/>
  <c r="H508" i="4" s="1"/>
  <c r="M507" i="4"/>
  <c r="L507" i="4"/>
  <c r="K507" i="4"/>
  <c r="J507" i="4"/>
  <c r="H507" i="4"/>
  <c r="G507" i="4"/>
  <c r="F507" i="4"/>
  <c r="E507" i="4"/>
  <c r="D507" i="4"/>
  <c r="C507" i="4"/>
  <c r="B507" i="4"/>
  <c r="A507" i="4"/>
  <c r="I507" i="4" s="1"/>
  <c r="L506" i="4"/>
  <c r="I506" i="4"/>
  <c r="H506" i="4"/>
  <c r="G506" i="4"/>
  <c r="D506" i="4"/>
  <c r="C506" i="4"/>
  <c r="B506" i="4"/>
  <c r="A506" i="4"/>
  <c r="J506" i="4" s="1"/>
  <c r="L505" i="4"/>
  <c r="I505" i="4"/>
  <c r="H505" i="4"/>
  <c r="G505" i="4"/>
  <c r="F505" i="4"/>
  <c r="E505" i="4"/>
  <c r="A505" i="4"/>
  <c r="F504" i="4"/>
  <c r="A504" i="4"/>
  <c r="I503" i="4"/>
  <c r="F503" i="4"/>
  <c r="C503" i="4"/>
  <c r="B503" i="4"/>
  <c r="A503" i="4"/>
  <c r="J503" i="4" s="1"/>
  <c r="M502" i="4"/>
  <c r="L502" i="4"/>
  <c r="K502" i="4"/>
  <c r="H502" i="4"/>
  <c r="G502" i="4"/>
  <c r="F502" i="4"/>
  <c r="E502" i="4"/>
  <c r="D502" i="4"/>
  <c r="C502" i="4"/>
  <c r="A502" i="4"/>
  <c r="J502" i="4" s="1"/>
  <c r="J501" i="4"/>
  <c r="I501" i="4"/>
  <c r="D501" i="4"/>
  <c r="A501" i="4"/>
  <c r="H501" i="4" s="1"/>
  <c r="J500" i="4"/>
  <c r="G500" i="4"/>
  <c r="A500" i="4"/>
  <c r="I500" i="4" s="1"/>
  <c r="M499" i="4"/>
  <c r="L499" i="4"/>
  <c r="K499" i="4"/>
  <c r="J499" i="4"/>
  <c r="H499" i="4"/>
  <c r="G499" i="4"/>
  <c r="F499" i="4"/>
  <c r="E499" i="4"/>
  <c r="D499" i="4"/>
  <c r="C499" i="4"/>
  <c r="B499" i="4"/>
  <c r="A499" i="4"/>
  <c r="I499" i="4" s="1"/>
  <c r="J498" i="4"/>
  <c r="I498" i="4"/>
  <c r="H498" i="4"/>
  <c r="G498" i="4"/>
  <c r="D498" i="4"/>
  <c r="C498" i="4"/>
  <c r="A498" i="4"/>
  <c r="L497" i="4"/>
  <c r="I497" i="4"/>
  <c r="F497" i="4"/>
  <c r="A497" i="4"/>
  <c r="H497" i="4" s="1"/>
  <c r="M496" i="4"/>
  <c r="L496" i="4"/>
  <c r="I496" i="4"/>
  <c r="D496" i="4"/>
  <c r="C496" i="4"/>
  <c r="B496" i="4"/>
  <c r="A496" i="4"/>
  <c r="J496" i="4" s="1"/>
  <c r="J495" i="4"/>
  <c r="G495" i="4"/>
  <c r="F495" i="4"/>
  <c r="C495" i="4"/>
  <c r="B495" i="4"/>
  <c r="A495" i="4"/>
  <c r="M494" i="4"/>
  <c r="L494" i="4"/>
  <c r="K494" i="4"/>
  <c r="H494" i="4"/>
  <c r="G494" i="4"/>
  <c r="F494" i="4"/>
  <c r="E494" i="4"/>
  <c r="D494" i="4"/>
  <c r="C494" i="4"/>
  <c r="A494" i="4"/>
  <c r="J494" i="4" s="1"/>
  <c r="J493" i="4"/>
  <c r="E493" i="4"/>
  <c r="A493" i="4"/>
  <c r="I493" i="4" s="1"/>
  <c r="H492" i="4"/>
  <c r="A492" i="4"/>
  <c r="M491" i="4"/>
  <c r="L491" i="4"/>
  <c r="K491" i="4"/>
  <c r="J491" i="4"/>
  <c r="H491" i="4"/>
  <c r="G491" i="4"/>
  <c r="F491" i="4"/>
  <c r="E491" i="4"/>
  <c r="D491" i="4"/>
  <c r="C491" i="4"/>
  <c r="B491" i="4"/>
  <c r="A491" i="4"/>
  <c r="I491" i="4" s="1"/>
  <c r="J490" i="4"/>
  <c r="I490" i="4"/>
  <c r="D490" i="4"/>
  <c r="A490" i="4"/>
  <c r="H490" i="4" s="1"/>
  <c r="L489" i="4"/>
  <c r="G489" i="4"/>
  <c r="A489" i="4"/>
  <c r="I489" i="4" s="1"/>
  <c r="M488" i="4"/>
  <c r="J488" i="4"/>
  <c r="E488" i="4"/>
  <c r="D488" i="4"/>
  <c r="C488" i="4"/>
  <c r="A488" i="4"/>
  <c r="K487" i="4"/>
  <c r="F487" i="4"/>
  <c r="A487" i="4"/>
  <c r="M486" i="4"/>
  <c r="L486" i="4"/>
  <c r="K486" i="4"/>
  <c r="H486" i="4"/>
  <c r="G486" i="4"/>
  <c r="F486" i="4"/>
  <c r="E486" i="4"/>
  <c r="D486" i="4"/>
  <c r="C486" i="4"/>
  <c r="A486" i="4"/>
  <c r="J486" i="4" s="1"/>
  <c r="A485" i="4"/>
  <c r="J484" i="4"/>
  <c r="I484" i="4"/>
  <c r="F484" i="4"/>
  <c r="E484" i="4"/>
  <c r="B484" i="4"/>
  <c r="A484" i="4"/>
  <c r="M483" i="4"/>
  <c r="L483" i="4"/>
  <c r="K483" i="4"/>
  <c r="J483" i="4"/>
  <c r="G483" i="4"/>
  <c r="F483" i="4"/>
  <c r="E483" i="4"/>
  <c r="D483" i="4"/>
  <c r="C483" i="4"/>
  <c r="B483" i="4"/>
  <c r="A483" i="4"/>
  <c r="I483" i="4" s="1"/>
  <c r="J482" i="4"/>
  <c r="I482" i="4"/>
  <c r="D482" i="4"/>
  <c r="A482" i="4"/>
  <c r="H482" i="4" s="1"/>
  <c r="L481" i="4"/>
  <c r="G481" i="4"/>
  <c r="A481" i="4"/>
  <c r="I481" i="4" s="1"/>
  <c r="M480" i="4"/>
  <c r="J480" i="4"/>
  <c r="E480" i="4"/>
  <c r="D480" i="4"/>
  <c r="C480" i="4"/>
  <c r="A480" i="4"/>
  <c r="K479" i="4"/>
  <c r="F479" i="4"/>
  <c r="A479" i="4"/>
  <c r="M478" i="4"/>
  <c r="L478" i="4"/>
  <c r="K478" i="4"/>
  <c r="H478" i="4"/>
  <c r="G478" i="4"/>
  <c r="F478" i="4"/>
  <c r="E478" i="4"/>
  <c r="D478" i="4"/>
  <c r="C478" i="4"/>
  <c r="A478" i="4"/>
  <c r="J478" i="4" s="1"/>
  <c r="A477" i="4"/>
  <c r="J476" i="4"/>
  <c r="I476" i="4"/>
  <c r="F476" i="4"/>
  <c r="E476" i="4"/>
  <c r="B476" i="4"/>
  <c r="A476" i="4"/>
  <c r="M475" i="4"/>
  <c r="L475" i="4"/>
  <c r="K475" i="4"/>
  <c r="J475" i="4"/>
  <c r="G475" i="4"/>
  <c r="F475" i="4"/>
  <c r="E475" i="4"/>
  <c r="D475" i="4"/>
  <c r="C475" i="4"/>
  <c r="B475" i="4"/>
  <c r="A475" i="4"/>
  <c r="I475" i="4" s="1"/>
  <c r="J474" i="4"/>
  <c r="I474" i="4"/>
  <c r="D474" i="4"/>
  <c r="A474" i="4"/>
  <c r="H474" i="4" s="1"/>
  <c r="L473" i="4"/>
  <c r="G473" i="4"/>
  <c r="A473" i="4"/>
  <c r="I473" i="4" s="1"/>
  <c r="M472" i="4"/>
  <c r="J472" i="4"/>
  <c r="E472" i="4"/>
  <c r="D472" i="4"/>
  <c r="C472" i="4"/>
  <c r="A472" i="4"/>
  <c r="F471" i="4"/>
  <c r="A471" i="4"/>
  <c r="M470" i="4"/>
  <c r="L470" i="4"/>
  <c r="K470" i="4"/>
  <c r="H470" i="4"/>
  <c r="G470" i="4"/>
  <c r="F470" i="4"/>
  <c r="E470" i="4"/>
  <c r="D470" i="4"/>
  <c r="C470" i="4"/>
  <c r="A470" i="4"/>
  <c r="J470" i="4" s="1"/>
  <c r="K469" i="4"/>
  <c r="A469" i="4"/>
  <c r="J468" i="4"/>
  <c r="I468" i="4"/>
  <c r="F468" i="4"/>
  <c r="E468" i="4"/>
  <c r="B468" i="4"/>
  <c r="A468" i="4"/>
  <c r="M467" i="4"/>
  <c r="L467" i="4"/>
  <c r="K467" i="4"/>
  <c r="J467" i="4"/>
  <c r="G467" i="4"/>
  <c r="F467" i="4"/>
  <c r="E467" i="4"/>
  <c r="D467" i="4"/>
  <c r="C467" i="4"/>
  <c r="B467" i="4"/>
  <c r="A467" i="4"/>
  <c r="I467" i="4" s="1"/>
  <c r="J466" i="4"/>
  <c r="I466" i="4"/>
  <c r="D466" i="4"/>
  <c r="A466" i="4"/>
  <c r="H466" i="4" s="1"/>
  <c r="L465" i="4"/>
  <c r="G465" i="4"/>
  <c r="A465" i="4"/>
  <c r="I465" i="4" s="1"/>
  <c r="M464" i="4"/>
  <c r="J464" i="4"/>
  <c r="E464" i="4"/>
  <c r="D464" i="4"/>
  <c r="C464" i="4"/>
  <c r="A464" i="4"/>
  <c r="F463" i="4"/>
  <c r="A463" i="4"/>
  <c r="M462" i="4"/>
  <c r="L462" i="4"/>
  <c r="K462" i="4"/>
  <c r="H462" i="4"/>
  <c r="G462" i="4"/>
  <c r="F462" i="4"/>
  <c r="E462" i="4"/>
  <c r="D462" i="4"/>
  <c r="C462" i="4"/>
  <c r="A462" i="4"/>
  <c r="J462" i="4" s="1"/>
  <c r="K461" i="4"/>
  <c r="A461" i="4"/>
  <c r="J460" i="4"/>
  <c r="I460" i="4"/>
  <c r="F460" i="4"/>
  <c r="E460" i="4"/>
  <c r="B460" i="4"/>
  <c r="A460" i="4"/>
  <c r="M459" i="4"/>
  <c r="L459" i="4"/>
  <c r="K459" i="4"/>
  <c r="J459" i="4"/>
  <c r="G459" i="4"/>
  <c r="F459" i="4"/>
  <c r="E459" i="4"/>
  <c r="D459" i="4"/>
  <c r="C459" i="4"/>
  <c r="B459" i="4"/>
  <c r="A459" i="4"/>
  <c r="I459" i="4" s="1"/>
  <c r="J458" i="4"/>
  <c r="I458" i="4"/>
  <c r="D458" i="4"/>
  <c r="A458" i="4"/>
  <c r="H458" i="4" s="1"/>
  <c r="L457" i="4"/>
  <c r="G457" i="4"/>
  <c r="A457" i="4"/>
  <c r="I457" i="4" s="1"/>
  <c r="M456" i="4"/>
  <c r="J456" i="4"/>
  <c r="E456" i="4"/>
  <c r="D456" i="4"/>
  <c r="C456" i="4"/>
  <c r="A456" i="4"/>
  <c r="K455" i="4"/>
  <c r="F455" i="4"/>
  <c r="A455" i="4"/>
  <c r="M454" i="4"/>
  <c r="L454" i="4"/>
  <c r="K454" i="4"/>
  <c r="H454" i="4"/>
  <c r="G454" i="4"/>
  <c r="F454" i="4"/>
  <c r="E454" i="4"/>
  <c r="D454" i="4"/>
  <c r="C454" i="4"/>
  <c r="A454" i="4"/>
  <c r="J454" i="4" s="1"/>
  <c r="K453" i="4"/>
  <c r="A453" i="4"/>
  <c r="I452" i="4"/>
  <c r="F452" i="4"/>
  <c r="E452" i="4"/>
  <c r="B452" i="4"/>
  <c r="A452" i="4"/>
  <c r="J452" i="4" s="1"/>
  <c r="M451" i="4"/>
  <c r="L451" i="4"/>
  <c r="K451" i="4"/>
  <c r="J451" i="4"/>
  <c r="G451" i="4"/>
  <c r="F451" i="4"/>
  <c r="E451" i="4"/>
  <c r="D451" i="4"/>
  <c r="C451" i="4"/>
  <c r="B451" i="4"/>
  <c r="A451" i="4"/>
  <c r="I451" i="4" s="1"/>
  <c r="J450" i="4"/>
  <c r="I450" i="4"/>
  <c r="D450" i="4"/>
  <c r="A450" i="4"/>
  <c r="H450" i="4" s="1"/>
  <c r="L449" i="4"/>
  <c r="G449" i="4"/>
  <c r="A449" i="4"/>
  <c r="I449" i="4" s="1"/>
  <c r="M448" i="4"/>
  <c r="J448" i="4"/>
  <c r="E448" i="4"/>
  <c r="D448" i="4"/>
  <c r="C448" i="4"/>
  <c r="A448" i="4"/>
  <c r="A447" i="4"/>
  <c r="M446" i="4"/>
  <c r="L446" i="4"/>
  <c r="K446" i="4"/>
  <c r="H446" i="4"/>
  <c r="G446" i="4"/>
  <c r="F446" i="4"/>
  <c r="E446" i="4"/>
  <c r="D446" i="4"/>
  <c r="C446" i="4"/>
  <c r="A446" i="4"/>
  <c r="J446" i="4" s="1"/>
  <c r="H445" i="4"/>
  <c r="A445" i="4"/>
  <c r="I444" i="4"/>
  <c r="F444" i="4"/>
  <c r="E444" i="4"/>
  <c r="B444" i="4"/>
  <c r="A444" i="4"/>
  <c r="J444" i="4" s="1"/>
  <c r="M443" i="4"/>
  <c r="L443" i="4"/>
  <c r="K443" i="4"/>
  <c r="J443" i="4"/>
  <c r="G443" i="4"/>
  <c r="F443" i="4"/>
  <c r="E443" i="4"/>
  <c r="D443" i="4"/>
  <c r="C443" i="4"/>
  <c r="B443" i="4"/>
  <c r="A443" i="4"/>
  <c r="I443" i="4" s="1"/>
  <c r="J442" i="4"/>
  <c r="I442" i="4"/>
  <c r="D442" i="4"/>
  <c r="A442" i="4"/>
  <c r="H442" i="4" s="1"/>
  <c r="L441" i="4"/>
  <c r="G441" i="4"/>
  <c r="A441" i="4"/>
  <c r="I441" i="4" s="1"/>
  <c r="M440" i="4"/>
  <c r="J440" i="4"/>
  <c r="E440" i="4"/>
  <c r="D440" i="4"/>
  <c r="C440" i="4"/>
  <c r="A440" i="4"/>
  <c r="F439" i="4"/>
  <c r="A439" i="4"/>
  <c r="M438" i="4"/>
  <c r="L438" i="4"/>
  <c r="K438" i="4"/>
  <c r="H438" i="4"/>
  <c r="G438" i="4"/>
  <c r="F438" i="4"/>
  <c r="E438" i="4"/>
  <c r="D438" i="4"/>
  <c r="C438" i="4"/>
  <c r="A438" i="4"/>
  <c r="J438" i="4" s="1"/>
  <c r="K437" i="4"/>
  <c r="A437" i="4"/>
  <c r="J436" i="4"/>
  <c r="I436" i="4"/>
  <c r="F436" i="4"/>
  <c r="E436" i="4"/>
  <c r="B436" i="4"/>
  <c r="A436" i="4"/>
  <c r="M435" i="4"/>
  <c r="L435" i="4"/>
  <c r="K435" i="4"/>
  <c r="J435" i="4"/>
  <c r="G435" i="4"/>
  <c r="F435" i="4"/>
  <c r="E435" i="4"/>
  <c r="D435" i="4"/>
  <c r="C435" i="4"/>
  <c r="B435" i="4"/>
  <c r="A435" i="4"/>
  <c r="I435" i="4" s="1"/>
  <c r="J434" i="4"/>
  <c r="I434" i="4"/>
  <c r="D434" i="4"/>
  <c r="A434" i="4"/>
  <c r="H434" i="4" s="1"/>
  <c r="L433" i="4"/>
  <c r="G433" i="4"/>
  <c r="A433" i="4"/>
  <c r="I433" i="4" s="1"/>
  <c r="M432" i="4"/>
  <c r="J432" i="4"/>
  <c r="E432" i="4"/>
  <c r="D432" i="4"/>
  <c r="C432" i="4"/>
  <c r="A432" i="4"/>
  <c r="K431" i="4"/>
  <c r="F431" i="4"/>
  <c r="A431" i="4"/>
  <c r="M430" i="4"/>
  <c r="L430" i="4"/>
  <c r="K430" i="4"/>
  <c r="H430" i="4"/>
  <c r="G430" i="4"/>
  <c r="F430" i="4"/>
  <c r="E430" i="4"/>
  <c r="D430" i="4"/>
  <c r="C430" i="4"/>
  <c r="A430" i="4"/>
  <c r="J430" i="4" s="1"/>
  <c r="K429" i="4"/>
  <c r="A429" i="4"/>
  <c r="J428" i="4"/>
  <c r="I428" i="4"/>
  <c r="F428" i="4"/>
  <c r="E428" i="4"/>
  <c r="B428" i="4"/>
  <c r="A428" i="4"/>
  <c r="M427" i="4"/>
  <c r="L427" i="4"/>
  <c r="K427" i="4"/>
  <c r="J427" i="4"/>
  <c r="G427" i="4"/>
  <c r="F427" i="4"/>
  <c r="E427" i="4"/>
  <c r="D427" i="4"/>
  <c r="C427" i="4"/>
  <c r="B427" i="4"/>
  <c r="A427" i="4"/>
  <c r="I427" i="4" s="1"/>
  <c r="J426" i="4"/>
  <c r="I426" i="4"/>
  <c r="D426" i="4"/>
  <c r="A426" i="4"/>
  <c r="H426" i="4" s="1"/>
  <c r="L425" i="4"/>
  <c r="G425" i="4"/>
  <c r="A425" i="4"/>
  <c r="I425" i="4" s="1"/>
  <c r="M424" i="4"/>
  <c r="J424" i="4"/>
  <c r="E424" i="4"/>
  <c r="D424" i="4"/>
  <c r="C424" i="4"/>
  <c r="A424" i="4"/>
  <c r="K423" i="4"/>
  <c r="F423" i="4"/>
  <c r="A423" i="4"/>
  <c r="M422" i="4"/>
  <c r="L422" i="4"/>
  <c r="K422" i="4"/>
  <c r="H422" i="4"/>
  <c r="G422" i="4"/>
  <c r="F422" i="4"/>
  <c r="E422" i="4"/>
  <c r="D422" i="4"/>
  <c r="C422" i="4"/>
  <c r="A422" i="4"/>
  <c r="J422" i="4" s="1"/>
  <c r="A421" i="4"/>
  <c r="J420" i="4"/>
  <c r="I420" i="4"/>
  <c r="F420" i="4"/>
  <c r="E420" i="4"/>
  <c r="B420" i="4"/>
  <c r="A420" i="4"/>
  <c r="M419" i="4"/>
  <c r="L419" i="4"/>
  <c r="K419" i="4"/>
  <c r="J419" i="4"/>
  <c r="G419" i="4"/>
  <c r="F419" i="4"/>
  <c r="E419" i="4"/>
  <c r="D419" i="4"/>
  <c r="C419" i="4"/>
  <c r="B419" i="4"/>
  <c r="A419" i="4"/>
  <c r="I419" i="4" s="1"/>
  <c r="J418" i="4"/>
  <c r="I418" i="4"/>
  <c r="D418" i="4"/>
  <c r="A418" i="4"/>
  <c r="H418" i="4" s="1"/>
  <c r="L417" i="4"/>
  <c r="G417" i="4"/>
  <c r="A417" i="4"/>
  <c r="I417" i="4" s="1"/>
  <c r="M416" i="4"/>
  <c r="J416" i="4"/>
  <c r="E416" i="4"/>
  <c r="D416" i="4"/>
  <c r="C416" i="4"/>
  <c r="A416" i="4"/>
  <c r="F415" i="4"/>
  <c r="A415" i="4"/>
  <c r="M414" i="4"/>
  <c r="L414" i="4"/>
  <c r="K414" i="4"/>
  <c r="H414" i="4"/>
  <c r="G414" i="4"/>
  <c r="F414" i="4"/>
  <c r="E414" i="4"/>
  <c r="D414" i="4"/>
  <c r="C414" i="4"/>
  <c r="A414" i="4"/>
  <c r="J414" i="4" s="1"/>
  <c r="K413" i="4"/>
  <c r="A413" i="4"/>
  <c r="J412" i="4"/>
  <c r="I412" i="4"/>
  <c r="F412" i="4"/>
  <c r="E412" i="4"/>
  <c r="B412" i="4"/>
  <c r="A412" i="4"/>
  <c r="M411" i="4"/>
  <c r="L411" i="4"/>
  <c r="K411" i="4"/>
  <c r="J411" i="4"/>
  <c r="G411" i="4"/>
  <c r="F411" i="4"/>
  <c r="E411" i="4"/>
  <c r="D411" i="4"/>
  <c r="C411" i="4"/>
  <c r="B411" i="4"/>
  <c r="A411" i="4"/>
  <c r="I411" i="4" s="1"/>
  <c r="J410" i="4"/>
  <c r="I410" i="4"/>
  <c r="D410" i="4"/>
  <c r="A410" i="4"/>
  <c r="H410" i="4" s="1"/>
  <c r="L409" i="4"/>
  <c r="G409" i="4"/>
  <c r="A409" i="4"/>
  <c r="I409" i="4" s="1"/>
  <c r="M408" i="4"/>
  <c r="J408" i="4"/>
  <c r="E408" i="4"/>
  <c r="D408" i="4"/>
  <c r="C408" i="4"/>
  <c r="A408" i="4"/>
  <c r="F407" i="4"/>
  <c r="A407" i="4"/>
  <c r="M406" i="4"/>
  <c r="L406" i="4"/>
  <c r="K406" i="4"/>
  <c r="H406" i="4"/>
  <c r="G406" i="4"/>
  <c r="F406" i="4"/>
  <c r="E406" i="4"/>
  <c r="D406" i="4"/>
  <c r="C406" i="4"/>
  <c r="A406" i="4"/>
  <c r="J406" i="4" s="1"/>
  <c r="K405" i="4"/>
  <c r="A405" i="4"/>
  <c r="J404" i="4"/>
  <c r="I404" i="4"/>
  <c r="F404" i="4"/>
  <c r="E404" i="4"/>
  <c r="B404" i="4"/>
  <c r="A404" i="4"/>
  <c r="M403" i="4"/>
  <c r="L403" i="4"/>
  <c r="K403" i="4"/>
  <c r="J403" i="4"/>
  <c r="G403" i="4"/>
  <c r="F403" i="4"/>
  <c r="E403" i="4"/>
  <c r="D403" i="4"/>
  <c r="C403" i="4"/>
  <c r="B403" i="4"/>
  <c r="A403" i="4"/>
  <c r="I403" i="4" s="1"/>
  <c r="J402" i="4"/>
  <c r="I402" i="4"/>
  <c r="D402" i="4"/>
  <c r="A402" i="4"/>
  <c r="H402" i="4" s="1"/>
  <c r="L401" i="4"/>
  <c r="G401" i="4"/>
  <c r="A401" i="4"/>
  <c r="I401" i="4" s="1"/>
  <c r="M400" i="4"/>
  <c r="J400" i="4"/>
  <c r="E400" i="4"/>
  <c r="D400" i="4"/>
  <c r="C400" i="4"/>
  <c r="A400" i="4"/>
  <c r="K399" i="4"/>
  <c r="F399" i="4"/>
  <c r="A399" i="4"/>
  <c r="M398" i="4"/>
  <c r="L398" i="4"/>
  <c r="K398" i="4"/>
  <c r="J398" i="4"/>
  <c r="H398" i="4"/>
  <c r="G398" i="4"/>
  <c r="F398" i="4"/>
  <c r="E398" i="4"/>
  <c r="D398" i="4"/>
  <c r="C398" i="4"/>
  <c r="B398" i="4"/>
  <c r="A398" i="4"/>
  <c r="I398" i="4" s="1"/>
  <c r="M397" i="4"/>
  <c r="J397" i="4"/>
  <c r="E397" i="4"/>
  <c r="D397" i="4"/>
  <c r="C397" i="4"/>
  <c r="A397" i="4"/>
  <c r="A396" i="4"/>
  <c r="M395" i="4"/>
  <c r="L395" i="4"/>
  <c r="K395" i="4"/>
  <c r="J395" i="4"/>
  <c r="G395" i="4"/>
  <c r="F395" i="4"/>
  <c r="E395" i="4"/>
  <c r="D395" i="4"/>
  <c r="C395" i="4"/>
  <c r="B395" i="4"/>
  <c r="A395" i="4"/>
  <c r="I395" i="4" s="1"/>
  <c r="A394" i="4"/>
  <c r="L393" i="4"/>
  <c r="I393" i="4"/>
  <c r="F393" i="4"/>
  <c r="E393" i="4"/>
  <c r="D393" i="4"/>
  <c r="A393" i="4"/>
  <c r="M392" i="4"/>
  <c r="L392" i="4"/>
  <c r="I392" i="4"/>
  <c r="F392" i="4"/>
  <c r="E392" i="4"/>
  <c r="D392" i="4"/>
  <c r="C392" i="4"/>
  <c r="B392" i="4"/>
  <c r="A392" i="4"/>
  <c r="J392" i="4" s="1"/>
  <c r="J391" i="4"/>
  <c r="I391" i="4"/>
  <c r="H391" i="4"/>
  <c r="G391" i="4"/>
  <c r="F391" i="4"/>
  <c r="C391" i="4"/>
  <c r="B391" i="4"/>
  <c r="A391" i="4"/>
  <c r="M390" i="4"/>
  <c r="L390" i="4"/>
  <c r="K390" i="4"/>
  <c r="H390" i="4"/>
  <c r="G390" i="4"/>
  <c r="F390" i="4"/>
  <c r="E390" i="4"/>
  <c r="D390" i="4"/>
  <c r="C390" i="4"/>
  <c r="A390" i="4"/>
  <c r="J390" i="4" s="1"/>
  <c r="M389" i="4"/>
  <c r="J389" i="4"/>
  <c r="E389" i="4"/>
  <c r="D389" i="4"/>
  <c r="C389" i="4"/>
  <c r="A389" i="4"/>
  <c r="M388" i="4"/>
  <c r="G388" i="4"/>
  <c r="F388" i="4"/>
  <c r="A388" i="4"/>
  <c r="M387" i="4"/>
  <c r="L387" i="4"/>
  <c r="K387" i="4"/>
  <c r="J387" i="4"/>
  <c r="G387" i="4"/>
  <c r="F387" i="4"/>
  <c r="E387" i="4"/>
  <c r="D387" i="4"/>
  <c r="C387" i="4"/>
  <c r="B387" i="4"/>
  <c r="A387" i="4"/>
  <c r="I387" i="4" s="1"/>
  <c r="K386" i="4"/>
  <c r="H386" i="4"/>
  <c r="B386" i="4"/>
  <c r="A386" i="4"/>
  <c r="L386" i="4" s="1"/>
  <c r="L385" i="4"/>
  <c r="I385" i="4"/>
  <c r="F385" i="4"/>
  <c r="E385" i="4"/>
  <c r="D385" i="4"/>
  <c r="A385" i="4"/>
  <c r="M384" i="4"/>
  <c r="L384" i="4"/>
  <c r="I384" i="4"/>
  <c r="F384" i="4"/>
  <c r="E384" i="4"/>
  <c r="D384" i="4"/>
  <c r="C384" i="4"/>
  <c r="B384" i="4"/>
  <c r="A384" i="4"/>
  <c r="J384" i="4" s="1"/>
  <c r="J383" i="4"/>
  <c r="I383" i="4"/>
  <c r="H383" i="4"/>
  <c r="G383" i="4"/>
  <c r="F383" i="4"/>
  <c r="C383" i="4"/>
  <c r="A383" i="4"/>
  <c r="M382" i="4"/>
  <c r="L382" i="4"/>
  <c r="K382" i="4"/>
  <c r="H382" i="4"/>
  <c r="G382" i="4"/>
  <c r="F382" i="4"/>
  <c r="E382" i="4"/>
  <c r="D382" i="4"/>
  <c r="C382" i="4"/>
  <c r="A382" i="4"/>
  <c r="J382" i="4" s="1"/>
  <c r="M381" i="4"/>
  <c r="J381" i="4"/>
  <c r="E381" i="4"/>
  <c r="D381" i="4"/>
  <c r="C381" i="4"/>
  <c r="A381" i="4"/>
  <c r="M380" i="4"/>
  <c r="G380" i="4"/>
  <c r="F380" i="4"/>
  <c r="A380" i="4"/>
  <c r="M379" i="4"/>
  <c r="L379" i="4"/>
  <c r="K379" i="4"/>
  <c r="J379" i="4"/>
  <c r="G379" i="4"/>
  <c r="F379" i="4"/>
  <c r="E379" i="4"/>
  <c r="D379" i="4"/>
  <c r="C379" i="4"/>
  <c r="B379" i="4"/>
  <c r="A379" i="4"/>
  <c r="I379" i="4" s="1"/>
  <c r="L378" i="4"/>
  <c r="K378" i="4"/>
  <c r="H378" i="4"/>
  <c r="B378" i="4"/>
  <c r="A378" i="4"/>
  <c r="L377" i="4"/>
  <c r="I377" i="4"/>
  <c r="F377" i="4"/>
  <c r="E377" i="4"/>
  <c r="D377" i="4"/>
  <c r="A377" i="4"/>
  <c r="M376" i="4"/>
  <c r="L376" i="4"/>
  <c r="I376" i="4"/>
  <c r="F376" i="4"/>
  <c r="E376" i="4"/>
  <c r="D376" i="4"/>
  <c r="C376" i="4"/>
  <c r="B376" i="4"/>
  <c r="A376" i="4"/>
  <c r="J376" i="4" s="1"/>
  <c r="J375" i="4"/>
  <c r="I375" i="4"/>
  <c r="H375" i="4"/>
  <c r="G375" i="4"/>
  <c r="F375" i="4"/>
  <c r="C375" i="4"/>
  <c r="A375" i="4"/>
  <c r="M374" i="4"/>
  <c r="L374" i="4"/>
  <c r="K374" i="4"/>
  <c r="H374" i="4"/>
  <c r="G374" i="4"/>
  <c r="F374" i="4"/>
  <c r="E374" i="4"/>
  <c r="D374" i="4"/>
  <c r="C374" i="4"/>
  <c r="A374" i="4"/>
  <c r="J374" i="4" s="1"/>
  <c r="M373" i="4"/>
  <c r="J373" i="4"/>
  <c r="E373" i="4"/>
  <c r="D373" i="4"/>
  <c r="C373" i="4"/>
  <c r="A373" i="4"/>
  <c r="M372" i="4"/>
  <c r="F372" i="4"/>
  <c r="A372" i="4"/>
  <c r="M371" i="4"/>
  <c r="L371" i="4"/>
  <c r="K371" i="4"/>
  <c r="J371" i="4"/>
  <c r="G371" i="4"/>
  <c r="F371" i="4"/>
  <c r="E371" i="4"/>
  <c r="D371" i="4"/>
  <c r="C371" i="4"/>
  <c r="B371" i="4"/>
  <c r="A371" i="4"/>
  <c r="I371" i="4" s="1"/>
  <c r="L370" i="4"/>
  <c r="K370" i="4"/>
  <c r="B370" i="4"/>
  <c r="A370" i="4"/>
  <c r="L369" i="4"/>
  <c r="I369" i="4"/>
  <c r="F369" i="4"/>
  <c r="E369" i="4"/>
  <c r="D369" i="4"/>
  <c r="A369" i="4"/>
  <c r="M368" i="4"/>
  <c r="L368" i="4"/>
  <c r="I368" i="4"/>
  <c r="F368" i="4"/>
  <c r="E368" i="4"/>
  <c r="D368" i="4"/>
  <c r="C368" i="4"/>
  <c r="B368" i="4"/>
  <c r="A368" i="4"/>
  <c r="J368" i="4" s="1"/>
  <c r="J367" i="4"/>
  <c r="I367" i="4"/>
  <c r="H367" i="4"/>
  <c r="G367" i="4"/>
  <c r="F367" i="4"/>
  <c r="C367" i="4"/>
  <c r="A367" i="4"/>
  <c r="M366" i="4"/>
  <c r="L366" i="4"/>
  <c r="K366" i="4"/>
  <c r="H366" i="4"/>
  <c r="G366" i="4"/>
  <c r="F366" i="4"/>
  <c r="E366" i="4"/>
  <c r="D366" i="4"/>
  <c r="C366" i="4"/>
  <c r="A366" i="4"/>
  <c r="J366" i="4" s="1"/>
  <c r="M365" i="4"/>
  <c r="J365" i="4"/>
  <c r="E365" i="4"/>
  <c r="D365" i="4"/>
  <c r="C365" i="4"/>
  <c r="A365" i="4"/>
  <c r="F364" i="4"/>
  <c r="A364" i="4"/>
  <c r="M363" i="4"/>
  <c r="L363" i="4"/>
  <c r="K363" i="4"/>
  <c r="J363" i="4"/>
  <c r="G363" i="4"/>
  <c r="F363" i="4"/>
  <c r="E363" i="4"/>
  <c r="D363" i="4"/>
  <c r="C363" i="4"/>
  <c r="B363" i="4"/>
  <c r="A363" i="4"/>
  <c r="I363" i="4" s="1"/>
  <c r="B362" i="4"/>
  <c r="A362" i="4"/>
  <c r="L361" i="4"/>
  <c r="I361" i="4"/>
  <c r="F361" i="4"/>
  <c r="E361" i="4"/>
  <c r="D361" i="4"/>
  <c r="A361" i="4"/>
  <c r="M360" i="4"/>
  <c r="L360" i="4"/>
  <c r="I360" i="4"/>
  <c r="F360" i="4"/>
  <c r="E360" i="4"/>
  <c r="D360" i="4"/>
  <c r="C360" i="4"/>
  <c r="B360" i="4"/>
  <c r="A360" i="4"/>
  <c r="J360" i="4" s="1"/>
  <c r="J359" i="4"/>
  <c r="I359" i="4"/>
  <c r="H359" i="4"/>
  <c r="G359" i="4"/>
  <c r="F359" i="4"/>
  <c r="C359" i="4"/>
  <c r="A359" i="4"/>
  <c r="M358" i="4"/>
  <c r="L358" i="4"/>
  <c r="K358" i="4"/>
  <c r="H358" i="4"/>
  <c r="G358" i="4"/>
  <c r="F358" i="4"/>
  <c r="E358" i="4"/>
  <c r="D358" i="4"/>
  <c r="C358" i="4"/>
  <c r="A358" i="4"/>
  <c r="J358" i="4" s="1"/>
  <c r="M357" i="4"/>
  <c r="J357" i="4"/>
  <c r="E357" i="4"/>
  <c r="D357" i="4"/>
  <c r="C357" i="4"/>
  <c r="A357" i="4"/>
  <c r="M356" i="4"/>
  <c r="H356" i="4"/>
  <c r="G356" i="4"/>
  <c r="A356" i="4"/>
  <c r="M355" i="4"/>
  <c r="L355" i="4"/>
  <c r="K355" i="4"/>
  <c r="J355" i="4"/>
  <c r="G355" i="4"/>
  <c r="F355" i="4"/>
  <c r="E355" i="4"/>
  <c r="D355" i="4"/>
  <c r="C355" i="4"/>
  <c r="B355" i="4"/>
  <c r="A355" i="4"/>
  <c r="I355" i="4" s="1"/>
  <c r="L354" i="4"/>
  <c r="K354" i="4"/>
  <c r="H354" i="4"/>
  <c r="C354" i="4"/>
  <c r="B354" i="4"/>
  <c r="A354" i="4"/>
  <c r="L353" i="4"/>
  <c r="I353" i="4"/>
  <c r="F353" i="4"/>
  <c r="E353" i="4"/>
  <c r="D353" i="4"/>
  <c r="A353" i="4"/>
  <c r="M352" i="4"/>
  <c r="L352" i="4"/>
  <c r="I352" i="4"/>
  <c r="F352" i="4"/>
  <c r="E352" i="4"/>
  <c r="D352" i="4"/>
  <c r="C352" i="4"/>
  <c r="B352" i="4"/>
  <c r="A352" i="4"/>
  <c r="J352" i="4" s="1"/>
  <c r="J351" i="4"/>
  <c r="I351" i="4"/>
  <c r="H351" i="4"/>
  <c r="G351" i="4"/>
  <c r="F351" i="4"/>
  <c r="C351" i="4"/>
  <c r="A351" i="4"/>
  <c r="M350" i="4"/>
  <c r="L350" i="4"/>
  <c r="K350" i="4"/>
  <c r="H350" i="4"/>
  <c r="G350" i="4"/>
  <c r="F350" i="4"/>
  <c r="E350" i="4"/>
  <c r="D350" i="4"/>
  <c r="C350" i="4"/>
  <c r="A350" i="4"/>
  <c r="J350" i="4" s="1"/>
  <c r="M349" i="4"/>
  <c r="J349" i="4"/>
  <c r="E349" i="4"/>
  <c r="D349" i="4"/>
  <c r="C349" i="4"/>
  <c r="A349" i="4"/>
  <c r="A348" i="4"/>
  <c r="M347" i="4"/>
  <c r="L347" i="4"/>
  <c r="K347" i="4"/>
  <c r="J347" i="4"/>
  <c r="G347" i="4"/>
  <c r="F347" i="4"/>
  <c r="E347" i="4"/>
  <c r="D347" i="4"/>
  <c r="C347" i="4"/>
  <c r="B347" i="4"/>
  <c r="A347" i="4"/>
  <c r="I347" i="4" s="1"/>
  <c r="B346" i="4"/>
  <c r="A346" i="4"/>
  <c r="L345" i="4"/>
  <c r="I345" i="4"/>
  <c r="F345" i="4"/>
  <c r="E345" i="4"/>
  <c r="D345" i="4"/>
  <c r="A345" i="4"/>
  <c r="M344" i="4"/>
  <c r="L344" i="4"/>
  <c r="I344" i="4"/>
  <c r="F344" i="4"/>
  <c r="E344" i="4"/>
  <c r="D344" i="4"/>
  <c r="C344" i="4"/>
  <c r="B344" i="4"/>
  <c r="A344" i="4"/>
  <c r="J344" i="4" s="1"/>
  <c r="J343" i="4"/>
  <c r="I343" i="4"/>
  <c r="H343" i="4"/>
  <c r="G343" i="4"/>
  <c r="F343" i="4"/>
  <c r="C343" i="4"/>
  <c r="A343" i="4"/>
  <c r="M342" i="4"/>
  <c r="L342" i="4"/>
  <c r="K342" i="4"/>
  <c r="H342" i="4"/>
  <c r="G342" i="4"/>
  <c r="F342" i="4"/>
  <c r="E342" i="4"/>
  <c r="D342" i="4"/>
  <c r="C342" i="4"/>
  <c r="A342" i="4"/>
  <c r="J342" i="4" s="1"/>
  <c r="M341" i="4"/>
  <c r="J341" i="4"/>
  <c r="E341" i="4"/>
  <c r="D341" i="4"/>
  <c r="C341" i="4"/>
  <c r="A341" i="4"/>
  <c r="M340" i="4"/>
  <c r="H340" i="4"/>
  <c r="G340" i="4"/>
  <c r="A340" i="4"/>
  <c r="M339" i="4"/>
  <c r="L339" i="4"/>
  <c r="K339" i="4"/>
  <c r="J339" i="4"/>
  <c r="G339" i="4"/>
  <c r="F339" i="4"/>
  <c r="E339" i="4"/>
  <c r="D339" i="4"/>
  <c r="C339" i="4"/>
  <c r="B339" i="4"/>
  <c r="A339" i="4"/>
  <c r="I339" i="4" s="1"/>
  <c r="L338" i="4"/>
  <c r="K338" i="4"/>
  <c r="H338" i="4"/>
  <c r="C338" i="4"/>
  <c r="B338" i="4"/>
  <c r="A338" i="4"/>
  <c r="L337" i="4"/>
  <c r="I337" i="4"/>
  <c r="F337" i="4"/>
  <c r="E337" i="4"/>
  <c r="D337" i="4"/>
  <c r="A337" i="4"/>
  <c r="M336" i="4"/>
  <c r="L336" i="4"/>
  <c r="I336" i="4"/>
  <c r="F336" i="4"/>
  <c r="E336" i="4"/>
  <c r="D336" i="4"/>
  <c r="C336" i="4"/>
  <c r="B336" i="4"/>
  <c r="A336" i="4"/>
  <c r="J336" i="4" s="1"/>
  <c r="J335" i="4"/>
  <c r="I335" i="4"/>
  <c r="H335" i="4"/>
  <c r="G335" i="4"/>
  <c r="F335" i="4"/>
  <c r="C335" i="4"/>
  <c r="A335" i="4"/>
  <c r="M334" i="4"/>
  <c r="L334" i="4"/>
  <c r="K334" i="4"/>
  <c r="H334" i="4"/>
  <c r="G334" i="4"/>
  <c r="F334" i="4"/>
  <c r="E334" i="4"/>
  <c r="D334" i="4"/>
  <c r="C334" i="4"/>
  <c r="A334" i="4"/>
  <c r="J334" i="4" s="1"/>
  <c r="M333" i="4"/>
  <c r="J333" i="4"/>
  <c r="E333" i="4"/>
  <c r="D333" i="4"/>
  <c r="C333" i="4"/>
  <c r="A333" i="4"/>
  <c r="A332" i="4"/>
  <c r="M331" i="4"/>
  <c r="L331" i="4"/>
  <c r="K331" i="4"/>
  <c r="J331" i="4"/>
  <c r="G331" i="4"/>
  <c r="F331" i="4"/>
  <c r="E331" i="4"/>
  <c r="D331" i="4"/>
  <c r="C331" i="4"/>
  <c r="B331" i="4"/>
  <c r="A331" i="4"/>
  <c r="I331" i="4" s="1"/>
  <c r="B330" i="4"/>
  <c r="A330" i="4"/>
  <c r="L329" i="4"/>
  <c r="I329" i="4"/>
  <c r="F329" i="4"/>
  <c r="E329" i="4"/>
  <c r="D329" i="4"/>
  <c r="A329" i="4"/>
  <c r="M328" i="4"/>
  <c r="L328" i="4"/>
  <c r="I328" i="4"/>
  <c r="F328" i="4"/>
  <c r="E328" i="4"/>
  <c r="D328" i="4"/>
  <c r="C328" i="4"/>
  <c r="B328" i="4"/>
  <c r="A328" i="4"/>
  <c r="J328" i="4" s="1"/>
  <c r="J327" i="4"/>
  <c r="I327" i="4"/>
  <c r="H327" i="4"/>
  <c r="G327" i="4"/>
  <c r="F327" i="4"/>
  <c r="C327" i="4"/>
  <c r="A327" i="4"/>
  <c r="M326" i="4"/>
  <c r="L326" i="4"/>
  <c r="K326" i="4"/>
  <c r="H326" i="4"/>
  <c r="G326" i="4"/>
  <c r="F326" i="4"/>
  <c r="E326" i="4"/>
  <c r="D326" i="4"/>
  <c r="C326" i="4"/>
  <c r="A326" i="4"/>
  <c r="J326" i="4" s="1"/>
  <c r="M325" i="4"/>
  <c r="J325" i="4"/>
  <c r="E325" i="4"/>
  <c r="D325" i="4"/>
  <c r="C325" i="4"/>
  <c r="A325" i="4"/>
  <c r="M324" i="4"/>
  <c r="H324" i="4"/>
  <c r="G324" i="4"/>
  <c r="A324" i="4"/>
  <c r="M323" i="4"/>
  <c r="L323" i="4"/>
  <c r="K323" i="4"/>
  <c r="J323" i="4"/>
  <c r="G323" i="4"/>
  <c r="F323" i="4"/>
  <c r="E323" i="4"/>
  <c r="D323" i="4"/>
  <c r="C323" i="4"/>
  <c r="B323" i="4"/>
  <c r="A323" i="4"/>
  <c r="I323" i="4" s="1"/>
  <c r="L322" i="4"/>
  <c r="K322" i="4"/>
  <c r="H322" i="4"/>
  <c r="C322" i="4"/>
  <c r="B322" i="4"/>
  <c r="A322" i="4"/>
  <c r="I321" i="4"/>
  <c r="F321" i="4"/>
  <c r="E321" i="4"/>
  <c r="D321" i="4"/>
  <c r="A321" i="4"/>
  <c r="L321" i="4" s="1"/>
  <c r="M320" i="4"/>
  <c r="L320" i="4"/>
  <c r="J320" i="4"/>
  <c r="I320" i="4"/>
  <c r="F320" i="4"/>
  <c r="E320" i="4"/>
  <c r="D320" i="4"/>
  <c r="C320" i="4"/>
  <c r="B320" i="4"/>
  <c r="A320" i="4"/>
  <c r="J319" i="4"/>
  <c r="I319" i="4"/>
  <c r="H319" i="4"/>
  <c r="G319" i="4"/>
  <c r="F319" i="4"/>
  <c r="C319" i="4"/>
  <c r="A319" i="4"/>
  <c r="M318" i="4"/>
  <c r="L318" i="4"/>
  <c r="K318" i="4"/>
  <c r="H318" i="4"/>
  <c r="G318" i="4"/>
  <c r="F318" i="4"/>
  <c r="E318" i="4"/>
  <c r="D318" i="4"/>
  <c r="C318" i="4"/>
  <c r="A318" i="4"/>
  <c r="J318" i="4" s="1"/>
  <c r="M317" i="4"/>
  <c r="J317" i="4"/>
  <c r="E317" i="4"/>
  <c r="D317" i="4"/>
  <c r="C317" i="4"/>
  <c r="A317" i="4"/>
  <c r="A316" i="4"/>
  <c r="M315" i="4"/>
  <c r="L315" i="4"/>
  <c r="K315" i="4"/>
  <c r="J315" i="4"/>
  <c r="G315" i="4"/>
  <c r="F315" i="4"/>
  <c r="E315" i="4"/>
  <c r="D315" i="4"/>
  <c r="C315" i="4"/>
  <c r="B315" i="4"/>
  <c r="A315" i="4"/>
  <c r="I315" i="4" s="1"/>
  <c r="B314" i="4"/>
  <c r="A314" i="4"/>
  <c r="I313" i="4"/>
  <c r="F313" i="4"/>
  <c r="E313" i="4"/>
  <c r="D313" i="4"/>
  <c r="A313" i="4"/>
  <c r="L313" i="4" s="1"/>
  <c r="M312" i="4"/>
  <c r="L312" i="4"/>
  <c r="I312" i="4"/>
  <c r="F312" i="4"/>
  <c r="E312" i="4"/>
  <c r="D312" i="4"/>
  <c r="C312" i="4"/>
  <c r="B312" i="4"/>
  <c r="A312" i="4"/>
  <c r="J312" i="4" s="1"/>
  <c r="J311" i="4"/>
  <c r="I311" i="4"/>
  <c r="H311" i="4"/>
  <c r="G311" i="4"/>
  <c r="F311" i="4"/>
  <c r="C311" i="4"/>
  <c r="A311" i="4"/>
  <c r="M310" i="4"/>
  <c r="L310" i="4"/>
  <c r="K310" i="4"/>
  <c r="H310" i="4"/>
  <c r="G310" i="4"/>
  <c r="F310" i="4"/>
  <c r="E310" i="4"/>
  <c r="D310" i="4"/>
  <c r="C310" i="4"/>
  <c r="A310" i="4"/>
  <c r="J310" i="4" s="1"/>
  <c r="M309" i="4"/>
  <c r="J309" i="4"/>
  <c r="E309" i="4"/>
  <c r="D309" i="4"/>
  <c r="C309" i="4"/>
  <c r="A309" i="4"/>
  <c r="H308" i="4"/>
  <c r="G308" i="4"/>
  <c r="F308" i="4"/>
  <c r="A308" i="4"/>
  <c r="M308" i="4" s="1"/>
  <c r="M307" i="4"/>
  <c r="L307" i="4"/>
  <c r="K307" i="4"/>
  <c r="J307" i="4"/>
  <c r="G307" i="4"/>
  <c r="F307" i="4"/>
  <c r="E307" i="4"/>
  <c r="D307" i="4"/>
  <c r="C307" i="4"/>
  <c r="B307" i="4"/>
  <c r="A307" i="4"/>
  <c r="I307" i="4" s="1"/>
  <c r="K306" i="4"/>
  <c r="H306" i="4"/>
  <c r="C306" i="4"/>
  <c r="A306" i="4"/>
  <c r="L306" i="4" s="1"/>
  <c r="M305" i="4"/>
  <c r="L305" i="4"/>
  <c r="J305" i="4"/>
  <c r="G305" i="4"/>
  <c r="F305" i="4"/>
  <c r="E305" i="4"/>
  <c r="D305" i="4"/>
  <c r="C305" i="4"/>
  <c r="B305" i="4"/>
  <c r="A305" i="4"/>
  <c r="K305" i="4" s="1"/>
  <c r="L304" i="4"/>
  <c r="K304" i="4"/>
  <c r="J304" i="4"/>
  <c r="H304" i="4"/>
  <c r="G304" i="4"/>
  <c r="D304" i="4"/>
  <c r="C304" i="4"/>
  <c r="B304" i="4"/>
  <c r="A304" i="4"/>
  <c r="F304" i="4" s="1"/>
  <c r="L303" i="4"/>
  <c r="I303" i="4"/>
  <c r="H303" i="4"/>
  <c r="G303" i="4"/>
  <c r="D303" i="4"/>
  <c r="A303" i="4"/>
  <c r="I302" i="4"/>
  <c r="F302" i="4"/>
  <c r="E302" i="4"/>
  <c r="A302" i="4"/>
  <c r="M302" i="4" s="1"/>
  <c r="J301" i="4"/>
  <c r="F301" i="4"/>
  <c r="C301" i="4"/>
  <c r="B301" i="4"/>
  <c r="A301" i="4"/>
  <c r="K301" i="4" s="1"/>
  <c r="M300" i="4"/>
  <c r="L300" i="4"/>
  <c r="K300" i="4"/>
  <c r="H300" i="4"/>
  <c r="G300" i="4"/>
  <c r="F300" i="4"/>
  <c r="E300" i="4"/>
  <c r="D300" i="4"/>
  <c r="C300" i="4"/>
  <c r="A300" i="4"/>
  <c r="J300" i="4" s="1"/>
  <c r="M299" i="4"/>
  <c r="L299" i="4"/>
  <c r="K299" i="4"/>
  <c r="H299" i="4"/>
  <c r="E299" i="4"/>
  <c r="D299" i="4"/>
  <c r="C299" i="4"/>
  <c r="A299" i="4"/>
  <c r="G299" i="4" s="1"/>
  <c r="I298" i="4"/>
  <c r="H298" i="4"/>
  <c r="E298" i="4"/>
  <c r="A298" i="4"/>
  <c r="M298" i="4" s="1"/>
  <c r="M297" i="4"/>
  <c r="L297" i="4"/>
  <c r="K297" i="4"/>
  <c r="J297" i="4"/>
  <c r="G297" i="4"/>
  <c r="F297" i="4"/>
  <c r="E297" i="4"/>
  <c r="D297" i="4"/>
  <c r="C297" i="4"/>
  <c r="B297" i="4"/>
  <c r="A297" i="4"/>
  <c r="I297" i="4" s="1"/>
  <c r="L296" i="4"/>
  <c r="K296" i="4"/>
  <c r="J296" i="4"/>
  <c r="G296" i="4"/>
  <c r="D296" i="4"/>
  <c r="C296" i="4"/>
  <c r="B296" i="4"/>
  <c r="A296" i="4"/>
  <c r="F296" i="4" s="1"/>
  <c r="L295" i="4"/>
  <c r="I295" i="4"/>
  <c r="H295" i="4"/>
  <c r="G295" i="4"/>
  <c r="D295" i="4"/>
  <c r="A295" i="4"/>
  <c r="I294" i="4"/>
  <c r="F294" i="4"/>
  <c r="E294" i="4"/>
  <c r="A294" i="4"/>
  <c r="M294" i="4" s="1"/>
  <c r="J293" i="4"/>
  <c r="F293" i="4"/>
  <c r="C293" i="4"/>
  <c r="B293" i="4"/>
  <c r="A293" i="4"/>
  <c r="K293" i="4" s="1"/>
  <c r="M292" i="4"/>
  <c r="L292" i="4"/>
  <c r="K292" i="4"/>
  <c r="H292" i="4"/>
  <c r="G292" i="4"/>
  <c r="F292" i="4"/>
  <c r="E292" i="4"/>
  <c r="D292" i="4"/>
  <c r="C292" i="4"/>
  <c r="A292" i="4"/>
  <c r="J292" i="4" s="1"/>
  <c r="M291" i="4"/>
  <c r="L291" i="4"/>
  <c r="K291" i="4"/>
  <c r="H291" i="4"/>
  <c r="E291" i="4"/>
  <c r="D291" i="4"/>
  <c r="C291" i="4"/>
  <c r="A291" i="4"/>
  <c r="G291" i="4" s="1"/>
  <c r="I290" i="4"/>
  <c r="H290" i="4"/>
  <c r="E290" i="4"/>
  <c r="A290" i="4"/>
  <c r="M290" i="4" s="1"/>
  <c r="M289" i="4"/>
  <c r="L289" i="4"/>
  <c r="K289" i="4"/>
  <c r="J289" i="4"/>
  <c r="G289" i="4"/>
  <c r="F289" i="4"/>
  <c r="E289" i="4"/>
  <c r="D289" i="4"/>
  <c r="C289" i="4"/>
  <c r="B289" i="4"/>
  <c r="A289" i="4"/>
  <c r="I289" i="4" s="1"/>
  <c r="L288" i="4"/>
  <c r="K288" i="4"/>
  <c r="J288" i="4"/>
  <c r="G288" i="4"/>
  <c r="D288" i="4"/>
  <c r="C288" i="4"/>
  <c r="B288" i="4"/>
  <c r="A288" i="4"/>
  <c r="F288" i="4" s="1"/>
  <c r="L287" i="4"/>
  <c r="I287" i="4"/>
  <c r="H287" i="4"/>
  <c r="G287" i="4"/>
  <c r="D287" i="4"/>
  <c r="A287" i="4"/>
  <c r="I286" i="4"/>
  <c r="F286" i="4"/>
  <c r="E286" i="4"/>
  <c r="A286" i="4"/>
  <c r="M286" i="4" s="1"/>
  <c r="J285" i="4"/>
  <c r="F285" i="4"/>
  <c r="C285" i="4"/>
  <c r="B285" i="4"/>
  <c r="A285" i="4"/>
  <c r="K285" i="4" s="1"/>
  <c r="M284" i="4"/>
  <c r="L284" i="4"/>
  <c r="K284" i="4"/>
  <c r="H284" i="4"/>
  <c r="G284" i="4"/>
  <c r="F284" i="4"/>
  <c r="E284" i="4"/>
  <c r="D284" i="4"/>
  <c r="C284" i="4"/>
  <c r="A284" i="4"/>
  <c r="J284" i="4" s="1"/>
  <c r="M283" i="4"/>
  <c r="L283" i="4"/>
  <c r="K283" i="4"/>
  <c r="H283" i="4"/>
  <c r="E283" i="4"/>
  <c r="D283" i="4"/>
  <c r="C283" i="4"/>
  <c r="A283" i="4"/>
  <c r="G283" i="4" s="1"/>
  <c r="I282" i="4"/>
  <c r="H282" i="4"/>
  <c r="E282" i="4"/>
  <c r="A282" i="4"/>
  <c r="M282" i="4" s="1"/>
  <c r="M281" i="4"/>
  <c r="L281" i="4"/>
  <c r="K281" i="4"/>
  <c r="J281" i="4"/>
  <c r="G281" i="4"/>
  <c r="F281" i="4"/>
  <c r="E281" i="4"/>
  <c r="D281" i="4"/>
  <c r="C281" i="4"/>
  <c r="B281" i="4"/>
  <c r="A281" i="4"/>
  <c r="I281" i="4" s="1"/>
  <c r="L280" i="4"/>
  <c r="K280" i="4"/>
  <c r="J280" i="4"/>
  <c r="H280" i="4"/>
  <c r="G280" i="4"/>
  <c r="D280" i="4"/>
  <c r="C280" i="4"/>
  <c r="B280" i="4"/>
  <c r="A280" i="4"/>
  <c r="F280" i="4" s="1"/>
  <c r="L279" i="4"/>
  <c r="I279" i="4"/>
  <c r="G279" i="4"/>
  <c r="A279" i="4"/>
  <c r="M278" i="4"/>
  <c r="L278" i="4"/>
  <c r="I278" i="4"/>
  <c r="F278" i="4"/>
  <c r="E278" i="4"/>
  <c r="D278" i="4"/>
  <c r="A278" i="4"/>
  <c r="I277" i="4"/>
  <c r="F277" i="4"/>
  <c r="C277" i="4"/>
  <c r="A277" i="4"/>
  <c r="K277" i="4" s="1"/>
  <c r="M276" i="4"/>
  <c r="L276" i="4"/>
  <c r="K276" i="4"/>
  <c r="H276" i="4"/>
  <c r="G276" i="4"/>
  <c r="F276" i="4"/>
  <c r="E276" i="4"/>
  <c r="D276" i="4"/>
  <c r="C276" i="4"/>
  <c r="A276" i="4"/>
  <c r="J276" i="4" s="1"/>
  <c r="M275" i="4"/>
  <c r="L275" i="4"/>
  <c r="K275" i="4"/>
  <c r="H275" i="4"/>
  <c r="E275" i="4"/>
  <c r="D275" i="4"/>
  <c r="C275" i="4"/>
  <c r="A275" i="4"/>
  <c r="G275" i="4" s="1"/>
  <c r="M274" i="4"/>
  <c r="J274" i="4"/>
  <c r="I274" i="4"/>
  <c r="H274" i="4"/>
  <c r="E274" i="4"/>
  <c r="B274" i="4"/>
  <c r="A274" i="4"/>
  <c r="M273" i="4"/>
  <c r="L273" i="4"/>
  <c r="K273" i="4"/>
  <c r="J273" i="4"/>
  <c r="G273" i="4"/>
  <c r="F273" i="4"/>
  <c r="E273" i="4"/>
  <c r="D273" i="4"/>
  <c r="C273" i="4"/>
  <c r="B273" i="4"/>
  <c r="A273" i="4"/>
  <c r="I273" i="4" s="1"/>
  <c r="L272" i="4"/>
  <c r="K272" i="4"/>
  <c r="J272" i="4"/>
  <c r="H272" i="4"/>
  <c r="G272" i="4"/>
  <c r="D272" i="4"/>
  <c r="C272" i="4"/>
  <c r="B272" i="4"/>
  <c r="A272" i="4"/>
  <c r="F272" i="4" s="1"/>
  <c r="L271" i="4"/>
  <c r="I271" i="4"/>
  <c r="H271" i="4"/>
  <c r="D271" i="4"/>
  <c r="A271" i="4"/>
  <c r="M270" i="4"/>
  <c r="L270" i="4"/>
  <c r="I270" i="4"/>
  <c r="E270" i="4"/>
  <c r="A270" i="4"/>
  <c r="J269" i="4"/>
  <c r="I269" i="4"/>
  <c r="G269" i="4"/>
  <c r="C269" i="4"/>
  <c r="A269" i="4"/>
  <c r="K269" i="4" s="1"/>
  <c r="M268" i="4"/>
  <c r="L268" i="4"/>
  <c r="K268" i="4"/>
  <c r="H268" i="4"/>
  <c r="G268" i="4"/>
  <c r="F268" i="4"/>
  <c r="E268" i="4"/>
  <c r="D268" i="4"/>
  <c r="C268" i="4"/>
  <c r="A268" i="4"/>
  <c r="J268" i="4" s="1"/>
  <c r="L267" i="4"/>
  <c r="C267" i="4"/>
  <c r="A267" i="4"/>
  <c r="M266" i="4"/>
  <c r="B266" i="4"/>
  <c r="A266" i="4"/>
  <c r="M265" i="4"/>
  <c r="L265" i="4"/>
  <c r="K265" i="4"/>
  <c r="J265" i="4"/>
  <c r="G265" i="4"/>
  <c r="F265" i="4"/>
  <c r="E265" i="4"/>
  <c r="D265" i="4"/>
  <c r="C265" i="4"/>
  <c r="B265" i="4"/>
  <c r="A265" i="4"/>
  <c r="I265" i="4" s="1"/>
  <c r="I264" i="4"/>
  <c r="H264" i="4"/>
  <c r="G264" i="4"/>
  <c r="C264" i="4"/>
  <c r="A264" i="4"/>
  <c r="J264" i="4" s="1"/>
  <c r="L263" i="4"/>
  <c r="I263" i="4"/>
  <c r="H263" i="4"/>
  <c r="G263" i="4"/>
  <c r="F263" i="4"/>
  <c r="D263" i="4"/>
  <c r="A263" i="4"/>
  <c r="M262" i="4"/>
  <c r="C262" i="4"/>
  <c r="A262" i="4"/>
  <c r="J261" i="4"/>
  <c r="H261" i="4"/>
  <c r="F261" i="4"/>
  <c r="C261" i="4"/>
  <c r="B261" i="4"/>
  <c r="A261" i="4"/>
  <c r="I261" i="4" s="1"/>
  <c r="M260" i="4"/>
  <c r="L260" i="4"/>
  <c r="K260" i="4"/>
  <c r="H260" i="4"/>
  <c r="G260" i="4"/>
  <c r="F260" i="4"/>
  <c r="E260" i="4"/>
  <c r="D260" i="4"/>
  <c r="C260" i="4"/>
  <c r="A260" i="4"/>
  <c r="J260" i="4" s="1"/>
  <c r="K259" i="4"/>
  <c r="I259" i="4"/>
  <c r="A259" i="4"/>
  <c r="J258" i="4"/>
  <c r="B258" i="4"/>
  <c r="A258" i="4"/>
  <c r="M257" i="4"/>
  <c r="L257" i="4"/>
  <c r="K257" i="4"/>
  <c r="J257" i="4"/>
  <c r="G257" i="4"/>
  <c r="F257" i="4"/>
  <c r="E257" i="4"/>
  <c r="D257" i="4"/>
  <c r="C257" i="4"/>
  <c r="B257" i="4"/>
  <c r="A257" i="4"/>
  <c r="I257" i="4" s="1"/>
  <c r="I256" i="4"/>
  <c r="H256" i="4"/>
  <c r="G256" i="4"/>
  <c r="C256" i="4"/>
  <c r="A256" i="4"/>
  <c r="J256" i="4" s="1"/>
  <c r="L255" i="4"/>
  <c r="I255" i="4"/>
  <c r="H255" i="4"/>
  <c r="G255" i="4"/>
  <c r="F255" i="4"/>
  <c r="D255" i="4"/>
  <c r="A255" i="4"/>
  <c r="K254" i="4"/>
  <c r="A254" i="4"/>
  <c r="J253" i="4"/>
  <c r="H253" i="4"/>
  <c r="F253" i="4"/>
  <c r="C253" i="4"/>
  <c r="B253" i="4"/>
  <c r="A253" i="4"/>
  <c r="I253" i="4" s="1"/>
  <c r="M252" i="4"/>
  <c r="L252" i="4"/>
  <c r="K252" i="4"/>
  <c r="H252" i="4"/>
  <c r="G252" i="4"/>
  <c r="F252" i="4"/>
  <c r="E252" i="4"/>
  <c r="D252" i="4"/>
  <c r="C252" i="4"/>
  <c r="A252" i="4"/>
  <c r="J252" i="4" s="1"/>
  <c r="A251" i="4"/>
  <c r="J250" i="4"/>
  <c r="B250" i="4"/>
  <c r="A250" i="4"/>
  <c r="M249" i="4"/>
  <c r="L249" i="4"/>
  <c r="K249" i="4"/>
  <c r="J249" i="4"/>
  <c r="G249" i="4"/>
  <c r="F249" i="4"/>
  <c r="E249" i="4"/>
  <c r="D249" i="4"/>
  <c r="C249" i="4"/>
  <c r="B249" i="4"/>
  <c r="A249" i="4"/>
  <c r="I249" i="4" s="1"/>
  <c r="I248" i="4"/>
  <c r="H248" i="4"/>
  <c r="G248" i="4"/>
  <c r="C248" i="4"/>
  <c r="A248" i="4"/>
  <c r="J248" i="4" s="1"/>
  <c r="L247" i="4"/>
  <c r="I247" i="4"/>
  <c r="H247" i="4"/>
  <c r="G247" i="4"/>
  <c r="F247" i="4"/>
  <c r="D247" i="4"/>
  <c r="A247" i="4"/>
  <c r="A246" i="4"/>
  <c r="J245" i="4"/>
  <c r="H245" i="4"/>
  <c r="F245" i="4"/>
  <c r="C245" i="4"/>
  <c r="B245" i="4"/>
  <c r="A245" i="4"/>
  <c r="I245" i="4" s="1"/>
  <c r="M244" i="4"/>
  <c r="L244" i="4"/>
  <c r="K244" i="4"/>
  <c r="H244" i="4"/>
  <c r="G244" i="4"/>
  <c r="F244" i="4"/>
  <c r="E244" i="4"/>
  <c r="D244" i="4"/>
  <c r="C244" i="4"/>
  <c r="A244" i="4"/>
  <c r="J244" i="4" s="1"/>
  <c r="A243" i="4"/>
  <c r="J242" i="4"/>
  <c r="B242" i="4"/>
  <c r="A242" i="4"/>
  <c r="M241" i="4"/>
  <c r="L241" i="4"/>
  <c r="K241" i="4"/>
  <c r="J241" i="4"/>
  <c r="G241" i="4"/>
  <c r="F241" i="4"/>
  <c r="E241" i="4"/>
  <c r="D241" i="4"/>
  <c r="C241" i="4"/>
  <c r="B241" i="4"/>
  <c r="A241" i="4"/>
  <c r="I241" i="4" s="1"/>
  <c r="I240" i="4"/>
  <c r="H240" i="4"/>
  <c r="G240" i="4"/>
  <c r="C240" i="4"/>
  <c r="A240" i="4"/>
  <c r="J240" i="4" s="1"/>
  <c r="L239" i="4"/>
  <c r="I239" i="4"/>
  <c r="H239" i="4"/>
  <c r="G239" i="4"/>
  <c r="F239" i="4"/>
  <c r="D239" i="4"/>
  <c r="A239" i="4"/>
  <c r="M238" i="4"/>
  <c r="K238" i="4"/>
  <c r="C238" i="4"/>
  <c r="A238" i="4"/>
  <c r="J237" i="4"/>
  <c r="H237" i="4"/>
  <c r="F237" i="4"/>
  <c r="C237" i="4"/>
  <c r="B237" i="4"/>
  <c r="A237" i="4"/>
  <c r="I237" i="4" s="1"/>
  <c r="M236" i="4"/>
  <c r="L236" i="4"/>
  <c r="K236" i="4"/>
  <c r="H236" i="4"/>
  <c r="G236" i="4"/>
  <c r="F236" i="4"/>
  <c r="E236" i="4"/>
  <c r="D236" i="4"/>
  <c r="C236" i="4"/>
  <c r="A236" i="4"/>
  <c r="J236" i="4" s="1"/>
  <c r="K235" i="4"/>
  <c r="I235" i="4"/>
  <c r="A235" i="4"/>
  <c r="J234" i="4"/>
  <c r="B234" i="4"/>
  <c r="A234" i="4"/>
  <c r="M233" i="4"/>
  <c r="L233" i="4"/>
  <c r="K233" i="4"/>
  <c r="J233" i="4"/>
  <c r="G233" i="4"/>
  <c r="F233" i="4"/>
  <c r="E233" i="4"/>
  <c r="D233" i="4"/>
  <c r="C233" i="4"/>
  <c r="B233" i="4"/>
  <c r="A233" i="4"/>
  <c r="I233" i="4" s="1"/>
  <c r="I232" i="4"/>
  <c r="H232" i="4"/>
  <c r="G232" i="4"/>
  <c r="C232" i="4"/>
  <c r="A232" i="4"/>
  <c r="J232" i="4" s="1"/>
  <c r="L231" i="4"/>
  <c r="I231" i="4"/>
  <c r="H231" i="4"/>
  <c r="G231" i="4"/>
  <c r="F231" i="4"/>
  <c r="D231" i="4"/>
  <c r="A231" i="4"/>
  <c r="K230" i="4"/>
  <c r="A230" i="4"/>
  <c r="J229" i="4"/>
  <c r="H229" i="4"/>
  <c r="F229" i="4"/>
  <c r="C229" i="4"/>
  <c r="B229" i="4"/>
  <c r="A229" i="4"/>
  <c r="I229" i="4" s="1"/>
  <c r="M228" i="4"/>
  <c r="L228" i="4"/>
  <c r="K228" i="4"/>
  <c r="J228" i="4"/>
  <c r="H228" i="4"/>
  <c r="G228" i="4"/>
  <c r="F228" i="4"/>
  <c r="E228" i="4"/>
  <c r="D228" i="4"/>
  <c r="C228" i="4"/>
  <c r="B228" i="4"/>
  <c r="A228" i="4"/>
  <c r="I228" i="4" s="1"/>
  <c r="A227" i="4"/>
  <c r="J226" i="4"/>
  <c r="H226" i="4"/>
  <c r="F226" i="4"/>
  <c r="E226" i="4"/>
  <c r="B226" i="4"/>
  <c r="A226" i="4"/>
  <c r="I226" i="4" s="1"/>
  <c r="M225" i="4"/>
  <c r="L225" i="4"/>
  <c r="K225" i="4"/>
  <c r="J225" i="4"/>
  <c r="G225" i="4"/>
  <c r="F225" i="4"/>
  <c r="E225" i="4"/>
  <c r="D225" i="4"/>
  <c r="C225" i="4"/>
  <c r="B225" i="4"/>
  <c r="A225" i="4"/>
  <c r="I225" i="4" s="1"/>
  <c r="K224" i="4"/>
  <c r="I224" i="4"/>
  <c r="A224" i="4"/>
  <c r="L223" i="4"/>
  <c r="D223" i="4"/>
  <c r="A223" i="4"/>
  <c r="M222" i="4"/>
  <c r="E222" i="4"/>
  <c r="D222" i="4"/>
  <c r="C222" i="4"/>
  <c r="A222" i="4"/>
  <c r="J222" i="4" s="1"/>
  <c r="J221" i="4"/>
  <c r="I221" i="4"/>
  <c r="H221" i="4"/>
  <c r="G221" i="4"/>
  <c r="F221" i="4"/>
  <c r="C221" i="4"/>
  <c r="B221" i="4"/>
  <c r="A221" i="4"/>
  <c r="M220" i="4"/>
  <c r="L220" i="4"/>
  <c r="K220" i="4"/>
  <c r="J220" i="4"/>
  <c r="H220" i="4"/>
  <c r="G220" i="4"/>
  <c r="F220" i="4"/>
  <c r="E220" i="4"/>
  <c r="D220" i="4"/>
  <c r="C220" i="4"/>
  <c r="B220" i="4"/>
  <c r="A220" i="4"/>
  <c r="I220" i="4" s="1"/>
  <c r="M219" i="4"/>
  <c r="E219" i="4"/>
  <c r="D219" i="4"/>
  <c r="C219" i="4"/>
  <c r="A219" i="4"/>
  <c r="J219" i="4" s="1"/>
  <c r="J218" i="4"/>
  <c r="I218" i="4"/>
  <c r="H218" i="4"/>
  <c r="G218" i="4"/>
  <c r="F218" i="4"/>
  <c r="E218" i="4"/>
  <c r="B218" i="4"/>
  <c r="A218" i="4"/>
  <c r="M217" i="4"/>
  <c r="L217" i="4"/>
  <c r="K217" i="4"/>
  <c r="J217" i="4"/>
  <c r="G217" i="4"/>
  <c r="F217" i="4"/>
  <c r="E217" i="4"/>
  <c r="D217" i="4"/>
  <c r="C217" i="4"/>
  <c r="B217" i="4"/>
  <c r="A217" i="4"/>
  <c r="I217" i="4" s="1"/>
  <c r="C216" i="4"/>
  <c r="A216" i="4"/>
  <c r="L215" i="4"/>
  <c r="H215" i="4"/>
  <c r="F215" i="4"/>
  <c r="E215" i="4"/>
  <c r="D215" i="4"/>
  <c r="A215" i="4"/>
  <c r="I215" i="4" s="1"/>
  <c r="M214" i="4"/>
  <c r="I214" i="4"/>
  <c r="F214" i="4"/>
  <c r="E214" i="4"/>
  <c r="C214" i="4"/>
  <c r="A214" i="4"/>
  <c r="J214" i="4" s="1"/>
  <c r="J213" i="4"/>
  <c r="I213" i="4"/>
  <c r="H213" i="4"/>
  <c r="G213" i="4"/>
  <c r="F213" i="4"/>
  <c r="B213" i="4"/>
  <c r="A213" i="4"/>
  <c r="M212" i="4"/>
  <c r="L212" i="4"/>
  <c r="K212" i="4"/>
  <c r="J212" i="4"/>
  <c r="H212" i="4"/>
  <c r="G212" i="4"/>
  <c r="F212" i="4"/>
  <c r="E212" i="4"/>
  <c r="D212" i="4"/>
  <c r="C212" i="4"/>
  <c r="B212" i="4"/>
  <c r="A212" i="4"/>
  <c r="I212" i="4" s="1"/>
  <c r="M211" i="4"/>
  <c r="I211" i="4"/>
  <c r="H211" i="4"/>
  <c r="E211" i="4"/>
  <c r="C211" i="4"/>
  <c r="A211" i="4"/>
  <c r="J211" i="4" s="1"/>
  <c r="J210" i="4"/>
  <c r="I210" i="4"/>
  <c r="H210" i="4"/>
  <c r="G210" i="4"/>
  <c r="F210" i="4"/>
  <c r="B210" i="4"/>
  <c r="A210" i="4"/>
  <c r="M209" i="4"/>
  <c r="L209" i="4"/>
  <c r="K209" i="4"/>
  <c r="J209" i="4"/>
  <c r="G209" i="4"/>
  <c r="F209" i="4"/>
  <c r="E209" i="4"/>
  <c r="D209" i="4"/>
  <c r="C209" i="4"/>
  <c r="B209" i="4"/>
  <c r="A209" i="4"/>
  <c r="I209" i="4" s="1"/>
  <c r="G208" i="4"/>
  <c r="D208" i="4"/>
  <c r="C208" i="4"/>
  <c r="A208" i="4"/>
  <c r="J208" i="4" s="1"/>
  <c r="L207" i="4"/>
  <c r="I207" i="4"/>
  <c r="H207" i="4"/>
  <c r="G207" i="4"/>
  <c r="F207" i="4"/>
  <c r="E207" i="4"/>
  <c r="D207" i="4"/>
  <c r="A207" i="4"/>
  <c r="K206" i="4"/>
  <c r="I206" i="4"/>
  <c r="A206" i="4"/>
  <c r="J205" i="4"/>
  <c r="B205" i="4"/>
  <c r="A205" i="4"/>
  <c r="M204" i="4"/>
  <c r="L204" i="4"/>
  <c r="K204" i="4"/>
  <c r="J204" i="4"/>
  <c r="H204" i="4"/>
  <c r="G204" i="4"/>
  <c r="F204" i="4"/>
  <c r="E204" i="4"/>
  <c r="D204" i="4"/>
  <c r="C204" i="4"/>
  <c r="B204" i="4"/>
  <c r="A204" i="4"/>
  <c r="I204" i="4" s="1"/>
  <c r="A203" i="4"/>
  <c r="J202" i="4"/>
  <c r="B202" i="4"/>
  <c r="A202" i="4"/>
  <c r="M201" i="4"/>
  <c r="L201" i="4"/>
  <c r="K201" i="4"/>
  <c r="J201" i="4"/>
  <c r="G201" i="4"/>
  <c r="F201" i="4"/>
  <c r="E201" i="4"/>
  <c r="D201" i="4"/>
  <c r="C201" i="4"/>
  <c r="B201" i="4"/>
  <c r="A201" i="4"/>
  <c r="I201" i="4" s="1"/>
  <c r="I200" i="4"/>
  <c r="H200" i="4"/>
  <c r="G200" i="4"/>
  <c r="C200" i="4"/>
  <c r="A200" i="4"/>
  <c r="J200" i="4" s="1"/>
  <c r="L199" i="4"/>
  <c r="I199" i="4"/>
  <c r="H199" i="4"/>
  <c r="G199" i="4"/>
  <c r="F199" i="4"/>
  <c r="D199" i="4"/>
  <c r="A199" i="4"/>
  <c r="M198" i="4"/>
  <c r="K198" i="4"/>
  <c r="C198" i="4"/>
  <c r="A198" i="4"/>
  <c r="J197" i="4"/>
  <c r="H197" i="4"/>
  <c r="F197" i="4"/>
  <c r="C197" i="4"/>
  <c r="B197" i="4"/>
  <c r="A197" i="4"/>
  <c r="I197" i="4" s="1"/>
  <c r="M196" i="4"/>
  <c r="L196" i="4"/>
  <c r="K196" i="4"/>
  <c r="J196" i="4"/>
  <c r="H196" i="4"/>
  <c r="G196" i="4"/>
  <c r="F196" i="4"/>
  <c r="E196" i="4"/>
  <c r="D196" i="4"/>
  <c r="C196" i="4"/>
  <c r="B196" i="4"/>
  <c r="A196" i="4"/>
  <c r="I196" i="4" s="1"/>
  <c r="K195" i="4"/>
  <c r="A195" i="4"/>
  <c r="J194" i="4"/>
  <c r="H194" i="4"/>
  <c r="F194" i="4"/>
  <c r="E194" i="4"/>
  <c r="B194" i="4"/>
  <c r="A194" i="4"/>
  <c r="I194" i="4" s="1"/>
  <c r="M193" i="4"/>
  <c r="L193" i="4"/>
  <c r="K193" i="4"/>
  <c r="J193" i="4"/>
  <c r="G193" i="4"/>
  <c r="F193" i="4"/>
  <c r="E193" i="4"/>
  <c r="D193" i="4"/>
  <c r="C193" i="4"/>
  <c r="B193" i="4"/>
  <c r="A193" i="4"/>
  <c r="I193" i="4" s="1"/>
  <c r="I192" i="4"/>
  <c r="A192" i="4"/>
  <c r="L191" i="4"/>
  <c r="D191" i="4"/>
  <c r="A191" i="4"/>
  <c r="M190" i="4"/>
  <c r="E190" i="4"/>
  <c r="D190" i="4"/>
  <c r="C190" i="4"/>
  <c r="A190" i="4"/>
  <c r="J190" i="4" s="1"/>
  <c r="J189" i="4"/>
  <c r="I189" i="4"/>
  <c r="H189" i="4"/>
  <c r="G189" i="4"/>
  <c r="F189" i="4"/>
  <c r="C189" i="4"/>
  <c r="B189" i="4"/>
  <c r="A189" i="4"/>
  <c r="M188" i="4"/>
  <c r="L188" i="4"/>
  <c r="K188" i="4"/>
  <c r="J188" i="4"/>
  <c r="H188" i="4"/>
  <c r="G188" i="4"/>
  <c r="F188" i="4"/>
  <c r="E188" i="4"/>
  <c r="D188" i="4"/>
  <c r="C188" i="4"/>
  <c r="B188" i="4"/>
  <c r="A188" i="4"/>
  <c r="I188" i="4" s="1"/>
  <c r="M187" i="4"/>
  <c r="E187" i="4"/>
  <c r="D187" i="4"/>
  <c r="C187" i="4"/>
  <c r="A187" i="4"/>
  <c r="J187" i="4" s="1"/>
  <c r="J186" i="4"/>
  <c r="I186" i="4"/>
  <c r="H186" i="4"/>
  <c r="G186" i="4"/>
  <c r="F186" i="4"/>
  <c r="E186" i="4"/>
  <c r="B186" i="4"/>
  <c r="A186" i="4"/>
  <c r="M185" i="4"/>
  <c r="L185" i="4"/>
  <c r="K185" i="4"/>
  <c r="J185" i="4"/>
  <c r="G185" i="4"/>
  <c r="F185" i="4"/>
  <c r="E185" i="4"/>
  <c r="D185" i="4"/>
  <c r="C185" i="4"/>
  <c r="B185" i="4"/>
  <c r="A185" i="4"/>
  <c r="I185" i="4" s="1"/>
  <c r="A184" i="4"/>
  <c r="L183" i="4"/>
  <c r="H183" i="4"/>
  <c r="F183" i="4"/>
  <c r="E183" i="4"/>
  <c r="D183" i="4"/>
  <c r="A183" i="4"/>
  <c r="I183" i="4" s="1"/>
  <c r="M182" i="4"/>
  <c r="I182" i="4"/>
  <c r="F182" i="4"/>
  <c r="E182" i="4"/>
  <c r="C182" i="4"/>
  <c r="A182" i="4"/>
  <c r="J182" i="4" s="1"/>
  <c r="J181" i="4"/>
  <c r="I181" i="4"/>
  <c r="H181" i="4"/>
  <c r="G181" i="4"/>
  <c r="F181" i="4"/>
  <c r="B181" i="4"/>
  <c r="A181" i="4"/>
  <c r="M180" i="4"/>
  <c r="L180" i="4"/>
  <c r="K180" i="4"/>
  <c r="J180" i="4"/>
  <c r="H180" i="4"/>
  <c r="G180" i="4"/>
  <c r="F180" i="4"/>
  <c r="E180" i="4"/>
  <c r="D180" i="4"/>
  <c r="C180" i="4"/>
  <c r="B180" i="4"/>
  <c r="A180" i="4"/>
  <c r="I180" i="4" s="1"/>
  <c r="M179" i="4"/>
  <c r="I179" i="4"/>
  <c r="H179" i="4"/>
  <c r="E179" i="4"/>
  <c r="C179" i="4"/>
  <c r="A179" i="4"/>
  <c r="J179" i="4" s="1"/>
  <c r="J178" i="4"/>
  <c r="I178" i="4"/>
  <c r="H178" i="4"/>
  <c r="G178" i="4"/>
  <c r="F178" i="4"/>
  <c r="B178" i="4"/>
  <c r="A178" i="4"/>
  <c r="M177" i="4"/>
  <c r="L177" i="4"/>
  <c r="K177" i="4"/>
  <c r="J177" i="4"/>
  <c r="G177" i="4"/>
  <c r="F177" i="4"/>
  <c r="E177" i="4"/>
  <c r="D177" i="4"/>
  <c r="C177" i="4"/>
  <c r="B177" i="4"/>
  <c r="A177" i="4"/>
  <c r="I177" i="4" s="1"/>
  <c r="G176" i="4"/>
  <c r="D176" i="4"/>
  <c r="C176" i="4"/>
  <c r="A176" i="4"/>
  <c r="J176" i="4" s="1"/>
  <c r="L175" i="4"/>
  <c r="I175" i="4"/>
  <c r="H175" i="4"/>
  <c r="G175" i="4"/>
  <c r="F175" i="4"/>
  <c r="E175" i="4"/>
  <c r="D175" i="4"/>
  <c r="A175" i="4"/>
  <c r="A174" i="4"/>
  <c r="J173" i="4"/>
  <c r="B173" i="4"/>
  <c r="A173" i="4"/>
  <c r="M172" i="4"/>
  <c r="L172" i="4"/>
  <c r="K172" i="4"/>
  <c r="J172" i="4"/>
  <c r="H172" i="4"/>
  <c r="G172" i="4"/>
  <c r="F172" i="4"/>
  <c r="E172" i="4"/>
  <c r="D172" i="4"/>
  <c r="C172" i="4"/>
  <c r="B172" i="4"/>
  <c r="A172" i="4"/>
  <c r="I172" i="4" s="1"/>
  <c r="A171" i="4"/>
  <c r="J170" i="4"/>
  <c r="B170" i="4"/>
  <c r="A170" i="4"/>
  <c r="M169" i="4"/>
  <c r="L169" i="4"/>
  <c r="K169" i="4"/>
  <c r="J169" i="4"/>
  <c r="G169" i="4"/>
  <c r="F169" i="4"/>
  <c r="E169" i="4"/>
  <c r="D169" i="4"/>
  <c r="C169" i="4"/>
  <c r="B169" i="4"/>
  <c r="A169" i="4"/>
  <c r="I169" i="4" s="1"/>
  <c r="I168" i="4"/>
  <c r="H168" i="4"/>
  <c r="G168" i="4"/>
  <c r="C168" i="4"/>
  <c r="A168" i="4"/>
  <c r="J168" i="4" s="1"/>
  <c r="L167" i="4"/>
  <c r="I167" i="4"/>
  <c r="H167" i="4"/>
  <c r="G167" i="4"/>
  <c r="F167" i="4"/>
  <c r="D167" i="4"/>
  <c r="A167" i="4"/>
  <c r="A166" i="4"/>
  <c r="J165" i="4"/>
  <c r="H165" i="4"/>
  <c r="F165" i="4"/>
  <c r="C165" i="4"/>
  <c r="B165" i="4"/>
  <c r="A165" i="4"/>
  <c r="I165" i="4" s="1"/>
  <c r="M164" i="4"/>
  <c r="L164" i="4"/>
  <c r="K164" i="4"/>
  <c r="J164" i="4"/>
  <c r="H164" i="4"/>
  <c r="G164" i="4"/>
  <c r="F164" i="4"/>
  <c r="E164" i="4"/>
  <c r="D164" i="4"/>
  <c r="C164" i="4"/>
  <c r="B164" i="4"/>
  <c r="A164" i="4"/>
  <c r="I164" i="4" s="1"/>
  <c r="M163" i="4"/>
  <c r="L163" i="4"/>
  <c r="K163" i="4"/>
  <c r="I163" i="4"/>
  <c r="G163" i="4"/>
  <c r="D163" i="4"/>
  <c r="C163" i="4"/>
  <c r="B163" i="4"/>
  <c r="A163" i="4"/>
  <c r="F163" i="4" s="1"/>
  <c r="M162" i="4"/>
  <c r="H162" i="4"/>
  <c r="G162" i="4"/>
  <c r="F162" i="4"/>
  <c r="D162" i="4"/>
  <c r="A162" i="4"/>
  <c r="I162" i="4" s="1"/>
  <c r="L161" i="4"/>
  <c r="K161" i="4"/>
  <c r="J161" i="4"/>
  <c r="H161" i="4"/>
  <c r="F161" i="4"/>
  <c r="D161" i="4"/>
  <c r="C161" i="4"/>
  <c r="B161" i="4"/>
  <c r="A161" i="4"/>
  <c r="I161" i="4" s="1"/>
  <c r="I160" i="4"/>
  <c r="A160" i="4"/>
  <c r="M159" i="4"/>
  <c r="L159" i="4"/>
  <c r="K159" i="4"/>
  <c r="J159" i="4"/>
  <c r="H159" i="4"/>
  <c r="G159" i="4"/>
  <c r="F159" i="4"/>
  <c r="E159" i="4"/>
  <c r="D159" i="4"/>
  <c r="C159" i="4"/>
  <c r="B159" i="4"/>
  <c r="A159" i="4"/>
  <c r="I159" i="4" s="1"/>
  <c r="K158" i="4"/>
  <c r="I158" i="4"/>
  <c r="A158" i="4"/>
  <c r="M157" i="4"/>
  <c r="L157" i="4"/>
  <c r="J157" i="4"/>
  <c r="H157" i="4"/>
  <c r="G157" i="4"/>
  <c r="F157" i="4"/>
  <c r="E157" i="4"/>
  <c r="D157" i="4"/>
  <c r="B157" i="4"/>
  <c r="A157" i="4"/>
  <c r="K157" i="4" s="1"/>
  <c r="M156" i="4"/>
  <c r="L156" i="4"/>
  <c r="K156" i="4"/>
  <c r="E156" i="4"/>
  <c r="D156" i="4"/>
  <c r="C156" i="4"/>
  <c r="A156" i="4"/>
  <c r="J156" i="4" s="1"/>
  <c r="J155" i="4"/>
  <c r="H155" i="4"/>
  <c r="B155" i="4"/>
  <c r="A155" i="4"/>
  <c r="G155" i="4" s="1"/>
  <c r="M154" i="4"/>
  <c r="K154" i="4"/>
  <c r="G154" i="4"/>
  <c r="F154" i="4"/>
  <c r="E154" i="4"/>
  <c r="C154" i="4"/>
  <c r="A154" i="4"/>
  <c r="L154" i="4" s="1"/>
  <c r="L153" i="4"/>
  <c r="K153" i="4"/>
  <c r="J153" i="4"/>
  <c r="H153" i="4"/>
  <c r="F153" i="4"/>
  <c r="D153" i="4"/>
  <c r="C153" i="4"/>
  <c r="B153" i="4"/>
  <c r="A153" i="4"/>
  <c r="I153" i="4" s="1"/>
  <c r="I152" i="4"/>
  <c r="A152" i="4"/>
  <c r="M151" i="4"/>
  <c r="L151" i="4"/>
  <c r="K151" i="4"/>
  <c r="J151" i="4"/>
  <c r="H151" i="4"/>
  <c r="G151" i="4"/>
  <c r="F151" i="4"/>
  <c r="E151" i="4"/>
  <c r="D151" i="4"/>
  <c r="C151" i="4"/>
  <c r="B151" i="4"/>
  <c r="A151" i="4"/>
  <c r="I151" i="4" s="1"/>
  <c r="K150" i="4"/>
  <c r="I150" i="4"/>
  <c r="A150" i="4"/>
  <c r="M149" i="4"/>
  <c r="L149" i="4"/>
  <c r="J149" i="4"/>
  <c r="H149" i="4"/>
  <c r="G149" i="4"/>
  <c r="F149" i="4"/>
  <c r="E149" i="4"/>
  <c r="D149" i="4"/>
  <c r="B149" i="4"/>
  <c r="A149" i="4"/>
  <c r="K149" i="4" s="1"/>
  <c r="M148" i="4"/>
  <c r="L148" i="4"/>
  <c r="K148" i="4"/>
  <c r="E148" i="4"/>
  <c r="D148" i="4"/>
  <c r="C148" i="4"/>
  <c r="A148" i="4"/>
  <c r="J148" i="4" s="1"/>
  <c r="J147" i="4"/>
  <c r="H147" i="4"/>
  <c r="B147" i="4"/>
  <c r="A147" i="4"/>
  <c r="G147" i="4" s="1"/>
  <c r="M146" i="4"/>
  <c r="K146" i="4"/>
  <c r="G146" i="4"/>
  <c r="F146" i="4"/>
  <c r="E146" i="4"/>
  <c r="C146" i="4"/>
  <c r="A146" i="4"/>
  <c r="L146" i="4" s="1"/>
  <c r="L145" i="4"/>
  <c r="K145" i="4"/>
  <c r="J145" i="4"/>
  <c r="H145" i="4"/>
  <c r="F145" i="4"/>
  <c r="D145" i="4"/>
  <c r="C145" i="4"/>
  <c r="B145" i="4"/>
  <c r="A145" i="4"/>
  <c r="I145" i="4" s="1"/>
  <c r="I144" i="4"/>
  <c r="A144" i="4"/>
  <c r="M143" i="4"/>
  <c r="L143" i="4"/>
  <c r="K143" i="4"/>
  <c r="J143" i="4"/>
  <c r="H143" i="4"/>
  <c r="G143" i="4"/>
  <c r="F143" i="4"/>
  <c r="E143" i="4"/>
  <c r="D143" i="4"/>
  <c r="C143" i="4"/>
  <c r="B143" i="4"/>
  <c r="A143" i="4"/>
  <c r="I143" i="4" s="1"/>
  <c r="K142" i="4"/>
  <c r="I142" i="4"/>
  <c r="A142" i="4"/>
  <c r="M141" i="4"/>
  <c r="L141" i="4"/>
  <c r="J141" i="4"/>
  <c r="H141" i="4"/>
  <c r="G141" i="4"/>
  <c r="F141" i="4"/>
  <c r="E141" i="4"/>
  <c r="D141" i="4"/>
  <c r="B141" i="4"/>
  <c r="A141" i="4"/>
  <c r="K141" i="4" s="1"/>
  <c r="M140" i="4"/>
  <c r="L140" i="4"/>
  <c r="K140" i="4"/>
  <c r="E140" i="4"/>
  <c r="D140" i="4"/>
  <c r="C140" i="4"/>
  <c r="A140" i="4"/>
  <c r="J140" i="4" s="1"/>
  <c r="J139" i="4"/>
  <c r="H139" i="4"/>
  <c r="B139" i="4"/>
  <c r="A139" i="4"/>
  <c r="G139" i="4" s="1"/>
  <c r="M138" i="4"/>
  <c r="K138" i="4"/>
  <c r="G138" i="4"/>
  <c r="F138" i="4"/>
  <c r="E138" i="4"/>
  <c r="C138" i="4"/>
  <c r="A138" i="4"/>
  <c r="L138" i="4" s="1"/>
  <c r="L137" i="4"/>
  <c r="K137" i="4"/>
  <c r="J137" i="4"/>
  <c r="H137" i="4"/>
  <c r="F137" i="4"/>
  <c r="D137" i="4"/>
  <c r="C137" i="4"/>
  <c r="B137" i="4"/>
  <c r="A137" i="4"/>
  <c r="I137" i="4" s="1"/>
  <c r="I136" i="4"/>
  <c r="A136" i="4"/>
  <c r="M135" i="4"/>
  <c r="L135" i="4"/>
  <c r="K135" i="4"/>
  <c r="J135" i="4"/>
  <c r="H135" i="4"/>
  <c r="G135" i="4"/>
  <c r="F135" i="4"/>
  <c r="E135" i="4"/>
  <c r="D135" i="4"/>
  <c r="C135" i="4"/>
  <c r="B135" i="4"/>
  <c r="A135" i="4"/>
  <c r="I135" i="4" s="1"/>
  <c r="K134" i="4"/>
  <c r="I134" i="4"/>
  <c r="A134" i="4"/>
  <c r="M133" i="4"/>
  <c r="L133" i="4"/>
  <c r="J133" i="4"/>
  <c r="H133" i="4"/>
  <c r="G133" i="4"/>
  <c r="F133" i="4"/>
  <c r="E133" i="4"/>
  <c r="D133" i="4"/>
  <c r="B133" i="4"/>
  <c r="A133" i="4"/>
  <c r="K133" i="4" s="1"/>
  <c r="M132" i="4"/>
  <c r="L132" i="4"/>
  <c r="K132" i="4"/>
  <c r="E132" i="4"/>
  <c r="D132" i="4"/>
  <c r="C132" i="4"/>
  <c r="A132" i="4"/>
  <c r="J132" i="4" s="1"/>
  <c r="J131" i="4"/>
  <c r="H131" i="4"/>
  <c r="B131" i="4"/>
  <c r="A131" i="4"/>
  <c r="G131" i="4" s="1"/>
  <c r="M130" i="4"/>
  <c r="K130" i="4"/>
  <c r="G130" i="4"/>
  <c r="F130" i="4"/>
  <c r="E130" i="4"/>
  <c r="C130" i="4"/>
  <c r="A130" i="4"/>
  <c r="L130" i="4" s="1"/>
  <c r="L129" i="4"/>
  <c r="K129" i="4"/>
  <c r="J129" i="4"/>
  <c r="H129" i="4"/>
  <c r="F129" i="4"/>
  <c r="D129" i="4"/>
  <c r="C129" i="4"/>
  <c r="B129" i="4"/>
  <c r="A129" i="4"/>
  <c r="I129" i="4" s="1"/>
  <c r="I128" i="4"/>
  <c r="A128" i="4"/>
  <c r="M127" i="4"/>
  <c r="L127" i="4"/>
  <c r="K127" i="4"/>
  <c r="J127" i="4"/>
  <c r="H127" i="4"/>
  <c r="G127" i="4"/>
  <c r="F127" i="4"/>
  <c r="E127" i="4"/>
  <c r="D127" i="4"/>
  <c r="C127" i="4"/>
  <c r="B127" i="4"/>
  <c r="A127" i="4"/>
  <c r="I127" i="4" s="1"/>
  <c r="K126" i="4"/>
  <c r="I126" i="4"/>
  <c r="A126" i="4"/>
  <c r="M125" i="4"/>
  <c r="L125" i="4"/>
  <c r="J125" i="4"/>
  <c r="H125" i="4"/>
  <c r="G125" i="4"/>
  <c r="F125" i="4"/>
  <c r="E125" i="4"/>
  <c r="D125" i="4"/>
  <c r="B125" i="4"/>
  <c r="A125" i="4"/>
  <c r="K125" i="4" s="1"/>
  <c r="M124" i="4"/>
  <c r="L124" i="4"/>
  <c r="K124" i="4"/>
  <c r="E124" i="4"/>
  <c r="D124" i="4"/>
  <c r="C124" i="4"/>
  <c r="A124" i="4"/>
  <c r="J124" i="4" s="1"/>
  <c r="J123" i="4"/>
  <c r="H123" i="4"/>
  <c r="B123" i="4"/>
  <c r="A123" i="4"/>
  <c r="G123" i="4" s="1"/>
  <c r="M122" i="4"/>
  <c r="K122" i="4"/>
  <c r="G122" i="4"/>
  <c r="F122" i="4"/>
  <c r="E122" i="4"/>
  <c r="C122" i="4"/>
  <c r="A122" i="4"/>
  <c r="L122" i="4" s="1"/>
  <c r="L121" i="4"/>
  <c r="K121" i="4"/>
  <c r="J121" i="4"/>
  <c r="H121" i="4"/>
  <c r="F121" i="4"/>
  <c r="D121" i="4"/>
  <c r="C121" i="4"/>
  <c r="B121" i="4"/>
  <c r="A121" i="4"/>
  <c r="I121" i="4" s="1"/>
  <c r="I120" i="4"/>
  <c r="A120" i="4"/>
  <c r="M119" i="4"/>
  <c r="L119" i="4"/>
  <c r="K119" i="4"/>
  <c r="J119" i="4"/>
  <c r="H119" i="4"/>
  <c r="G119" i="4"/>
  <c r="F119" i="4"/>
  <c r="E119" i="4"/>
  <c r="D119" i="4"/>
  <c r="C119" i="4"/>
  <c r="B119" i="4"/>
  <c r="A119" i="4"/>
  <c r="I119" i="4" s="1"/>
  <c r="K118" i="4"/>
  <c r="I118" i="4"/>
  <c r="A118" i="4"/>
  <c r="M117" i="4"/>
  <c r="L117" i="4"/>
  <c r="J117" i="4"/>
  <c r="H117" i="4"/>
  <c r="G117" i="4"/>
  <c r="F117" i="4"/>
  <c r="E117" i="4"/>
  <c r="D117" i="4"/>
  <c r="B117" i="4"/>
  <c r="A117" i="4"/>
  <c r="K117" i="4" s="1"/>
  <c r="M116" i="4"/>
  <c r="L116" i="4"/>
  <c r="K116" i="4"/>
  <c r="E116" i="4"/>
  <c r="D116" i="4"/>
  <c r="C116" i="4"/>
  <c r="A116" i="4"/>
  <c r="J116" i="4" s="1"/>
  <c r="J115" i="4"/>
  <c r="H115" i="4"/>
  <c r="B115" i="4"/>
  <c r="A115" i="4"/>
  <c r="G115" i="4" s="1"/>
  <c r="M114" i="4"/>
  <c r="K114" i="4"/>
  <c r="G114" i="4"/>
  <c r="F114" i="4"/>
  <c r="E114" i="4"/>
  <c r="C114" i="4"/>
  <c r="A114" i="4"/>
  <c r="L114" i="4" s="1"/>
  <c r="L113" i="4"/>
  <c r="K113" i="4"/>
  <c r="J113" i="4"/>
  <c r="H113" i="4"/>
  <c r="F113" i="4"/>
  <c r="D113" i="4"/>
  <c r="C113" i="4"/>
  <c r="B113" i="4"/>
  <c r="A113" i="4"/>
  <c r="I113" i="4" s="1"/>
  <c r="I112" i="4"/>
  <c r="A112" i="4"/>
  <c r="M111" i="4"/>
  <c r="L111" i="4"/>
  <c r="K111" i="4"/>
  <c r="J111" i="4"/>
  <c r="H111" i="4"/>
  <c r="G111" i="4"/>
  <c r="F111" i="4"/>
  <c r="E111" i="4"/>
  <c r="D111" i="4"/>
  <c r="C111" i="4"/>
  <c r="B111" i="4"/>
  <c r="A111" i="4"/>
  <c r="I111" i="4" s="1"/>
  <c r="K110" i="4"/>
  <c r="I110" i="4"/>
  <c r="A110" i="4"/>
  <c r="M109" i="4"/>
  <c r="L109" i="4"/>
  <c r="J109" i="4"/>
  <c r="H109" i="4"/>
  <c r="G109" i="4"/>
  <c r="F109" i="4"/>
  <c r="E109" i="4"/>
  <c r="D109" i="4"/>
  <c r="B109" i="4"/>
  <c r="A109" i="4"/>
  <c r="K109" i="4" s="1"/>
  <c r="M108" i="4"/>
  <c r="L108" i="4"/>
  <c r="K108" i="4"/>
  <c r="E108" i="4"/>
  <c r="D108" i="4"/>
  <c r="C108" i="4"/>
  <c r="A108" i="4"/>
  <c r="J108" i="4" s="1"/>
  <c r="J107" i="4"/>
  <c r="H107" i="4"/>
  <c r="B107" i="4"/>
  <c r="A107" i="4"/>
  <c r="G107" i="4" s="1"/>
  <c r="M106" i="4"/>
  <c r="K106" i="4"/>
  <c r="G106" i="4"/>
  <c r="F106" i="4"/>
  <c r="E106" i="4"/>
  <c r="C106" i="4"/>
  <c r="A106" i="4"/>
  <c r="L106" i="4" s="1"/>
  <c r="L105" i="4"/>
  <c r="K105" i="4"/>
  <c r="J105" i="4"/>
  <c r="H105" i="4"/>
  <c r="F105" i="4"/>
  <c r="D105" i="4"/>
  <c r="C105" i="4"/>
  <c r="B105" i="4"/>
  <c r="A105" i="4"/>
  <c r="I105" i="4" s="1"/>
  <c r="I104" i="4"/>
  <c r="A104" i="4"/>
  <c r="M103" i="4"/>
  <c r="L103" i="4"/>
  <c r="K103" i="4"/>
  <c r="J103" i="4"/>
  <c r="H103" i="4"/>
  <c r="G103" i="4"/>
  <c r="F103" i="4"/>
  <c r="E103" i="4"/>
  <c r="D103" i="4"/>
  <c r="C103" i="4"/>
  <c r="B103" i="4"/>
  <c r="A103" i="4"/>
  <c r="I103" i="4" s="1"/>
  <c r="K102" i="4"/>
  <c r="I102" i="4"/>
  <c r="A102" i="4"/>
  <c r="M101" i="4"/>
  <c r="L101" i="4"/>
  <c r="J101" i="4"/>
  <c r="H101" i="4"/>
  <c r="G101" i="4"/>
  <c r="F101" i="4"/>
  <c r="E101" i="4"/>
  <c r="D101" i="4"/>
  <c r="B101" i="4"/>
  <c r="A101" i="4"/>
  <c r="K101" i="4" s="1"/>
  <c r="M100" i="4"/>
  <c r="L100" i="4"/>
  <c r="K100" i="4"/>
  <c r="E100" i="4"/>
  <c r="D100" i="4"/>
  <c r="C100" i="4"/>
  <c r="A100" i="4"/>
  <c r="J100" i="4" s="1"/>
  <c r="J99" i="4"/>
  <c r="H99" i="4"/>
  <c r="B99" i="4"/>
  <c r="A99" i="4"/>
  <c r="G99" i="4" s="1"/>
  <c r="M98" i="4"/>
  <c r="K98" i="4"/>
  <c r="G98" i="4"/>
  <c r="F98" i="4"/>
  <c r="E98" i="4"/>
  <c r="C98" i="4"/>
  <c r="A98" i="4"/>
  <c r="L98" i="4" s="1"/>
  <c r="L97" i="4"/>
  <c r="K97" i="4"/>
  <c r="J97" i="4"/>
  <c r="H97" i="4"/>
  <c r="F97" i="4"/>
  <c r="D97" i="4"/>
  <c r="C97" i="4"/>
  <c r="B97" i="4"/>
  <c r="A97" i="4"/>
  <c r="I97" i="4" s="1"/>
  <c r="I96" i="4"/>
  <c r="A96" i="4"/>
  <c r="M95" i="4"/>
  <c r="L95" i="4"/>
  <c r="K95" i="4"/>
  <c r="J95" i="4"/>
  <c r="H95" i="4"/>
  <c r="G95" i="4"/>
  <c r="F95" i="4"/>
  <c r="E95" i="4"/>
  <c r="D95" i="4"/>
  <c r="C95" i="4"/>
  <c r="B95" i="4"/>
  <c r="A95" i="4"/>
  <c r="I95" i="4" s="1"/>
  <c r="K94" i="4"/>
  <c r="I94" i="4"/>
  <c r="A94" i="4"/>
  <c r="M93" i="4"/>
  <c r="L93" i="4"/>
  <c r="J93" i="4"/>
  <c r="H93" i="4"/>
  <c r="G93" i="4"/>
  <c r="F93" i="4"/>
  <c r="E93" i="4"/>
  <c r="D93" i="4"/>
  <c r="B93" i="4"/>
  <c r="A93" i="4"/>
  <c r="K93" i="4" s="1"/>
  <c r="M92" i="4"/>
  <c r="L92" i="4"/>
  <c r="K92" i="4"/>
  <c r="E92" i="4"/>
  <c r="D92" i="4"/>
  <c r="C92" i="4"/>
  <c r="A92" i="4"/>
  <c r="J92" i="4" s="1"/>
  <c r="J91" i="4"/>
  <c r="H91" i="4"/>
  <c r="B91" i="4"/>
  <c r="A91" i="4"/>
  <c r="G91" i="4" s="1"/>
  <c r="M90" i="4"/>
  <c r="K90" i="4"/>
  <c r="G90" i="4"/>
  <c r="F90" i="4"/>
  <c r="E90" i="4"/>
  <c r="C90" i="4"/>
  <c r="A90" i="4"/>
  <c r="L90" i="4" s="1"/>
  <c r="L89" i="4"/>
  <c r="K89" i="4"/>
  <c r="J89" i="4"/>
  <c r="H89" i="4"/>
  <c r="F89" i="4"/>
  <c r="D89" i="4"/>
  <c r="C89" i="4"/>
  <c r="B89" i="4"/>
  <c r="A89" i="4"/>
  <c r="I89" i="4" s="1"/>
  <c r="I88" i="4"/>
  <c r="A88" i="4"/>
  <c r="M87" i="4"/>
  <c r="L87" i="4"/>
  <c r="K87" i="4"/>
  <c r="J87" i="4"/>
  <c r="H87" i="4"/>
  <c r="G87" i="4"/>
  <c r="F87" i="4"/>
  <c r="E87" i="4"/>
  <c r="D87" i="4"/>
  <c r="C87" i="4"/>
  <c r="B87" i="4"/>
  <c r="A87" i="4"/>
  <c r="I87" i="4" s="1"/>
  <c r="K86" i="4"/>
  <c r="I86" i="4"/>
  <c r="A86" i="4"/>
  <c r="M85" i="4"/>
  <c r="L85" i="4"/>
  <c r="J85" i="4"/>
  <c r="H85" i="4"/>
  <c r="G85" i="4"/>
  <c r="F85" i="4"/>
  <c r="E85" i="4"/>
  <c r="D85" i="4"/>
  <c r="B85" i="4"/>
  <c r="A85" i="4"/>
  <c r="K85" i="4" s="1"/>
  <c r="M84" i="4"/>
  <c r="L84" i="4"/>
  <c r="K84" i="4"/>
  <c r="E84" i="4"/>
  <c r="D84" i="4"/>
  <c r="C84" i="4"/>
  <c r="A84" i="4"/>
  <c r="J84" i="4" s="1"/>
  <c r="J83" i="4"/>
  <c r="H83" i="4"/>
  <c r="B83" i="4"/>
  <c r="A83" i="4"/>
  <c r="G83" i="4" s="1"/>
  <c r="M82" i="4"/>
  <c r="K82" i="4"/>
  <c r="G82" i="4"/>
  <c r="F82" i="4"/>
  <c r="E82" i="4"/>
  <c r="C82" i="4"/>
  <c r="A82" i="4"/>
  <c r="L82" i="4" s="1"/>
  <c r="L81" i="4"/>
  <c r="K81" i="4"/>
  <c r="J81" i="4"/>
  <c r="H81" i="4"/>
  <c r="F81" i="4"/>
  <c r="D81" i="4"/>
  <c r="C81" i="4"/>
  <c r="B81" i="4"/>
  <c r="A81" i="4"/>
  <c r="I81" i="4" s="1"/>
  <c r="I80" i="4"/>
  <c r="A80" i="4"/>
  <c r="M79" i="4"/>
  <c r="L79" i="4"/>
  <c r="K79" i="4"/>
  <c r="J79" i="4"/>
  <c r="H79" i="4"/>
  <c r="G79" i="4"/>
  <c r="F79" i="4"/>
  <c r="E79" i="4"/>
  <c r="D79" i="4"/>
  <c r="C79" i="4"/>
  <c r="B79" i="4"/>
  <c r="A79" i="4"/>
  <c r="I79" i="4" s="1"/>
  <c r="K78" i="4"/>
  <c r="I78" i="4"/>
  <c r="A78" i="4"/>
  <c r="M77" i="4"/>
  <c r="L77" i="4"/>
  <c r="J77" i="4"/>
  <c r="H77" i="4"/>
  <c r="G77" i="4"/>
  <c r="F77" i="4"/>
  <c r="E77" i="4"/>
  <c r="D77" i="4"/>
  <c r="B77" i="4"/>
  <c r="A77" i="4"/>
  <c r="K77" i="4" s="1"/>
  <c r="M76" i="4"/>
  <c r="L76" i="4"/>
  <c r="K76" i="4"/>
  <c r="E76" i="4"/>
  <c r="D76" i="4"/>
  <c r="C76" i="4"/>
  <c r="A76" i="4"/>
  <c r="J76" i="4" s="1"/>
  <c r="J75" i="4"/>
  <c r="H75" i="4"/>
  <c r="B75" i="4"/>
  <c r="A75" i="4"/>
  <c r="G75" i="4" s="1"/>
  <c r="M74" i="4"/>
  <c r="K74" i="4"/>
  <c r="G74" i="4"/>
  <c r="F74" i="4"/>
  <c r="E74" i="4"/>
  <c r="C74" i="4"/>
  <c r="A74" i="4"/>
  <c r="L74" i="4" s="1"/>
  <c r="L73" i="4"/>
  <c r="K73" i="4"/>
  <c r="J73" i="4"/>
  <c r="H73" i="4"/>
  <c r="F73" i="4"/>
  <c r="D73" i="4"/>
  <c r="C73" i="4"/>
  <c r="B73" i="4"/>
  <c r="A73" i="4"/>
  <c r="I73" i="4" s="1"/>
  <c r="I72" i="4"/>
  <c r="A72" i="4"/>
  <c r="M71" i="4"/>
  <c r="L71" i="4"/>
  <c r="K71" i="4"/>
  <c r="J71" i="4"/>
  <c r="H71" i="4"/>
  <c r="G71" i="4"/>
  <c r="F71" i="4"/>
  <c r="E71" i="4"/>
  <c r="D71" i="4"/>
  <c r="C71" i="4"/>
  <c r="B71" i="4"/>
  <c r="A71" i="4"/>
  <c r="I71" i="4" s="1"/>
  <c r="K70" i="4"/>
  <c r="I70" i="4"/>
  <c r="A70" i="4"/>
  <c r="M69" i="4"/>
  <c r="L69" i="4"/>
  <c r="J69" i="4"/>
  <c r="H69" i="4"/>
  <c r="G69" i="4"/>
  <c r="F69" i="4"/>
  <c r="E69" i="4"/>
  <c r="D69" i="4"/>
  <c r="B69" i="4"/>
  <c r="A69" i="4"/>
  <c r="K69" i="4" s="1"/>
  <c r="M68" i="4"/>
  <c r="L68" i="4"/>
  <c r="K68" i="4"/>
  <c r="E68" i="4"/>
  <c r="D68" i="4"/>
  <c r="C68" i="4"/>
  <c r="A68" i="4"/>
  <c r="J68" i="4" s="1"/>
  <c r="J67" i="4"/>
  <c r="H67" i="4"/>
  <c r="B67" i="4"/>
  <c r="A67" i="4"/>
  <c r="G67" i="4" s="1"/>
  <c r="M66" i="4"/>
  <c r="K66" i="4"/>
  <c r="G66" i="4"/>
  <c r="F66" i="4"/>
  <c r="E66" i="4"/>
  <c r="C66" i="4"/>
  <c r="A66" i="4"/>
  <c r="L66" i="4" s="1"/>
  <c r="L65" i="4"/>
  <c r="K65" i="4"/>
  <c r="J65" i="4"/>
  <c r="H65" i="4"/>
  <c r="F65" i="4"/>
  <c r="D65" i="4"/>
  <c r="C65" i="4"/>
  <c r="B65" i="4"/>
  <c r="A65" i="4"/>
  <c r="I65" i="4" s="1"/>
  <c r="I64" i="4"/>
  <c r="A64" i="4"/>
  <c r="M63" i="4"/>
  <c r="L63" i="4"/>
  <c r="K63" i="4"/>
  <c r="J63" i="4"/>
  <c r="H63" i="4"/>
  <c r="G63" i="4"/>
  <c r="F63" i="4"/>
  <c r="E63" i="4"/>
  <c r="D63" i="4"/>
  <c r="C63" i="4"/>
  <c r="B63" i="4"/>
  <c r="A63" i="4"/>
  <c r="I63" i="4" s="1"/>
  <c r="K62" i="4"/>
  <c r="I62" i="4"/>
  <c r="A62" i="4"/>
  <c r="M61" i="4"/>
  <c r="L61" i="4"/>
  <c r="J61" i="4"/>
  <c r="H61" i="4"/>
  <c r="G61" i="4"/>
  <c r="F61" i="4"/>
  <c r="E61" i="4"/>
  <c r="D61" i="4"/>
  <c r="B61" i="4"/>
  <c r="A61" i="4"/>
  <c r="K61" i="4" s="1"/>
  <c r="M60" i="4"/>
  <c r="L60" i="4"/>
  <c r="K60" i="4"/>
  <c r="E60" i="4"/>
  <c r="D60" i="4"/>
  <c r="C60" i="4"/>
  <c r="A60" i="4"/>
  <c r="J60" i="4" s="1"/>
  <c r="J59" i="4"/>
  <c r="H59" i="4"/>
  <c r="B59" i="4"/>
  <c r="A59" i="4"/>
  <c r="G59" i="4" s="1"/>
  <c r="M58" i="4"/>
  <c r="K58" i="4"/>
  <c r="G58" i="4"/>
  <c r="F58" i="4"/>
  <c r="E58" i="4"/>
  <c r="C58" i="4"/>
  <c r="A58" i="4"/>
  <c r="L58" i="4" s="1"/>
  <c r="L57" i="4"/>
  <c r="K57" i="4"/>
  <c r="J57" i="4"/>
  <c r="H57" i="4"/>
  <c r="F57" i="4"/>
  <c r="D57" i="4"/>
  <c r="C57" i="4"/>
  <c r="B57" i="4"/>
  <c r="A57" i="4"/>
  <c r="I57" i="4" s="1"/>
  <c r="I56" i="4"/>
  <c r="A56" i="4"/>
  <c r="M55" i="4"/>
  <c r="L55" i="4"/>
  <c r="K55" i="4"/>
  <c r="J55" i="4"/>
  <c r="H55" i="4"/>
  <c r="G55" i="4"/>
  <c r="F55" i="4"/>
  <c r="E55" i="4"/>
  <c r="D55" i="4"/>
  <c r="C55" i="4"/>
  <c r="B55" i="4"/>
  <c r="A55" i="4"/>
  <c r="I55" i="4" s="1"/>
  <c r="K54" i="4"/>
  <c r="I54" i="4"/>
  <c r="A54" i="4"/>
  <c r="M53" i="4"/>
  <c r="L53" i="4"/>
  <c r="J53" i="4"/>
  <c r="H53" i="4"/>
  <c r="G53" i="4"/>
  <c r="F53" i="4"/>
  <c r="E53" i="4"/>
  <c r="D53" i="4"/>
  <c r="B53" i="4"/>
  <c r="A53" i="4"/>
  <c r="K53" i="4" s="1"/>
  <c r="M52" i="4"/>
  <c r="L52" i="4"/>
  <c r="K52" i="4"/>
  <c r="E52" i="4"/>
  <c r="D52" i="4"/>
  <c r="C52" i="4"/>
  <c r="A52" i="4"/>
  <c r="J52" i="4" s="1"/>
  <c r="J51" i="4"/>
  <c r="H51" i="4"/>
  <c r="B51" i="4"/>
  <c r="A51" i="4"/>
  <c r="G51" i="4" s="1"/>
  <c r="M50" i="4"/>
  <c r="K50" i="4"/>
  <c r="G50" i="4"/>
  <c r="F50" i="4"/>
  <c r="E50" i="4"/>
  <c r="C50" i="4"/>
  <c r="A50" i="4"/>
  <c r="L50" i="4" s="1"/>
  <c r="L49" i="4"/>
  <c r="K49" i="4"/>
  <c r="J49" i="4"/>
  <c r="H49" i="4"/>
  <c r="F49" i="4"/>
  <c r="D49" i="4"/>
  <c r="C49" i="4"/>
  <c r="B49" i="4"/>
  <c r="A49" i="4"/>
  <c r="I49" i="4" s="1"/>
  <c r="I48" i="4"/>
  <c r="G48" i="4"/>
  <c r="B48" i="4"/>
  <c r="A48" i="4"/>
  <c r="M47" i="4"/>
  <c r="L47" i="4"/>
  <c r="K47" i="4"/>
  <c r="J47" i="4"/>
  <c r="H47" i="4"/>
  <c r="G47" i="4"/>
  <c r="F47" i="4"/>
  <c r="E47" i="4"/>
  <c r="D47" i="4"/>
  <c r="C47" i="4"/>
  <c r="B47" i="4"/>
  <c r="A47" i="4"/>
  <c r="I47" i="4" s="1"/>
  <c r="A46" i="4"/>
  <c r="I45" i="4"/>
  <c r="H45" i="4"/>
  <c r="F45" i="4"/>
  <c r="A45" i="4"/>
  <c r="M44" i="4"/>
  <c r="L44" i="4"/>
  <c r="K44" i="4"/>
  <c r="F44" i="4"/>
  <c r="E44" i="4"/>
  <c r="D44" i="4"/>
  <c r="C44" i="4"/>
  <c r="A44" i="4"/>
  <c r="J44" i="4" s="1"/>
  <c r="K43" i="4"/>
  <c r="J43" i="4"/>
  <c r="H43" i="4"/>
  <c r="C43" i="4"/>
  <c r="B43" i="4"/>
  <c r="A43" i="4"/>
  <c r="G43" i="4" s="1"/>
  <c r="M42" i="4"/>
  <c r="K42" i="4"/>
  <c r="H42" i="4"/>
  <c r="G42" i="4"/>
  <c r="F42" i="4"/>
  <c r="E42" i="4"/>
  <c r="C42" i="4"/>
  <c r="A42" i="4"/>
  <c r="L42" i="4" s="1"/>
  <c r="M41" i="4"/>
  <c r="L41" i="4"/>
  <c r="K41" i="4"/>
  <c r="J41" i="4"/>
  <c r="H41" i="4"/>
  <c r="F41" i="4"/>
  <c r="E41" i="4"/>
  <c r="D41" i="4"/>
  <c r="C41" i="4"/>
  <c r="B41" i="4"/>
  <c r="A41" i="4"/>
  <c r="I41" i="4" s="1"/>
  <c r="A40" i="4"/>
  <c r="M39" i="4"/>
  <c r="L39" i="4"/>
  <c r="K39" i="4"/>
  <c r="J39" i="4"/>
  <c r="H39" i="4"/>
  <c r="G39" i="4"/>
  <c r="F39" i="4"/>
  <c r="E39" i="4"/>
  <c r="D39" i="4"/>
  <c r="C39" i="4"/>
  <c r="B39" i="4"/>
  <c r="A39" i="4"/>
  <c r="I39" i="4" s="1"/>
  <c r="L38" i="4"/>
  <c r="K38" i="4"/>
  <c r="I38" i="4"/>
  <c r="D38" i="4"/>
  <c r="C38" i="4"/>
  <c r="A38" i="4"/>
  <c r="A37" i="4"/>
  <c r="M36" i="4"/>
  <c r="L36" i="4"/>
  <c r="K36" i="4"/>
  <c r="F36" i="4"/>
  <c r="E36" i="4"/>
  <c r="D36" i="4"/>
  <c r="C36" i="4"/>
  <c r="A36" i="4"/>
  <c r="J36" i="4" s="1"/>
  <c r="K35" i="4"/>
  <c r="J35" i="4"/>
  <c r="H35" i="4"/>
  <c r="C35" i="4"/>
  <c r="B35" i="4"/>
  <c r="A35" i="4"/>
  <c r="G35" i="4" s="1"/>
  <c r="M34" i="4"/>
  <c r="K34" i="4"/>
  <c r="H34" i="4"/>
  <c r="G34" i="4"/>
  <c r="F34" i="4"/>
  <c r="E34" i="4"/>
  <c r="C34" i="4"/>
  <c r="A34" i="4"/>
  <c r="L34" i="4" s="1"/>
  <c r="M33" i="4"/>
  <c r="L33" i="4"/>
  <c r="K33" i="4"/>
  <c r="J33" i="4"/>
  <c r="H33" i="4"/>
  <c r="F33" i="4"/>
  <c r="E33" i="4"/>
  <c r="D33" i="4"/>
  <c r="C33" i="4"/>
  <c r="B33" i="4"/>
  <c r="A33" i="4"/>
  <c r="I33" i="4" s="1"/>
  <c r="J32" i="4"/>
  <c r="I32" i="4"/>
  <c r="G32" i="4"/>
  <c r="B32" i="4"/>
  <c r="A32" i="4"/>
  <c r="M31" i="4"/>
  <c r="L31" i="4"/>
  <c r="K31" i="4"/>
  <c r="J31" i="4"/>
  <c r="H31" i="4"/>
  <c r="G31" i="4"/>
  <c r="F31" i="4"/>
  <c r="E31" i="4"/>
  <c r="D31" i="4"/>
  <c r="C31" i="4"/>
  <c r="B31" i="4"/>
  <c r="A31" i="4"/>
  <c r="I31" i="4" s="1"/>
  <c r="L30" i="4"/>
  <c r="A30" i="4"/>
  <c r="I29" i="4"/>
  <c r="H29" i="4"/>
  <c r="F29" i="4"/>
  <c r="A29" i="4"/>
  <c r="M28" i="4"/>
  <c r="L28" i="4"/>
  <c r="K28" i="4"/>
  <c r="F28" i="4"/>
  <c r="E28" i="4"/>
  <c r="D28" i="4"/>
  <c r="C28" i="4"/>
  <c r="A28" i="4"/>
  <c r="J28" i="4" s="1"/>
  <c r="K27" i="4"/>
  <c r="J27" i="4"/>
  <c r="H27" i="4"/>
  <c r="C27" i="4"/>
  <c r="B27" i="4"/>
  <c r="A27" i="4"/>
  <c r="G27" i="4" s="1"/>
  <c r="M26" i="4"/>
  <c r="K26" i="4"/>
  <c r="H26" i="4"/>
  <c r="G26" i="4"/>
  <c r="F26" i="4"/>
  <c r="E26" i="4"/>
  <c r="C26" i="4"/>
  <c r="A26" i="4"/>
  <c r="L26" i="4" s="1"/>
  <c r="M25" i="4"/>
  <c r="L25" i="4"/>
  <c r="K25" i="4"/>
  <c r="J25" i="4"/>
  <c r="H25" i="4"/>
  <c r="F25" i="4"/>
  <c r="E25" i="4"/>
  <c r="D25" i="4"/>
  <c r="C25" i="4"/>
  <c r="B25" i="4"/>
  <c r="A25" i="4"/>
  <c r="I25" i="4" s="1"/>
  <c r="A24" i="4"/>
  <c r="M23" i="4"/>
  <c r="L23" i="4"/>
  <c r="K23" i="4"/>
  <c r="J23" i="4"/>
  <c r="H23" i="4"/>
  <c r="G23" i="4"/>
  <c r="F23" i="4"/>
  <c r="E23" i="4"/>
  <c r="D23" i="4"/>
  <c r="C23" i="4"/>
  <c r="B23" i="4"/>
  <c r="A23" i="4"/>
  <c r="I23" i="4" s="1"/>
  <c r="L22" i="4"/>
  <c r="K22" i="4"/>
  <c r="I22" i="4"/>
  <c r="D22" i="4"/>
  <c r="C22" i="4"/>
  <c r="A22" i="4"/>
  <c r="A21" i="4"/>
  <c r="M20" i="4"/>
  <c r="L20" i="4"/>
  <c r="K20" i="4"/>
  <c r="F20" i="4"/>
  <c r="E20" i="4"/>
  <c r="D20" i="4"/>
  <c r="C20" i="4"/>
  <c r="A20" i="4"/>
  <c r="J20" i="4" s="1"/>
  <c r="K19" i="4"/>
  <c r="J19" i="4"/>
  <c r="H19" i="4"/>
  <c r="C19" i="4"/>
  <c r="B19" i="4"/>
  <c r="A19" i="4"/>
  <c r="G19" i="4" s="1"/>
  <c r="M18" i="4"/>
  <c r="K18" i="4"/>
  <c r="H18" i="4"/>
  <c r="G18" i="4"/>
  <c r="F18" i="4"/>
  <c r="E18" i="4"/>
  <c r="C18" i="4"/>
  <c r="A18" i="4"/>
  <c r="L18" i="4" s="1"/>
  <c r="M17" i="4"/>
  <c r="L17" i="4"/>
  <c r="K17" i="4"/>
  <c r="J17" i="4"/>
  <c r="H17" i="4"/>
  <c r="F17" i="4"/>
  <c r="E17" i="4"/>
  <c r="D17" i="4"/>
  <c r="C17" i="4"/>
  <c r="B17" i="4"/>
  <c r="A17" i="4"/>
  <c r="I17" i="4" s="1"/>
  <c r="A16" i="4"/>
  <c r="B16" i="4" s="1"/>
  <c r="H15" i="4"/>
  <c r="A15" i="4"/>
  <c r="I15" i="4" s="1"/>
  <c r="A14" i="4"/>
  <c r="A13" i="4"/>
  <c r="H13" i="4" s="1"/>
  <c r="A12" i="4"/>
  <c r="J12" i="4" s="1"/>
  <c r="A11" i="4"/>
  <c r="G11" i="4" s="1"/>
  <c r="A10" i="4"/>
  <c r="J10" i="4" s="1"/>
  <c r="A9" i="4"/>
  <c r="I9" i="4" s="1"/>
  <c r="A8" i="4"/>
  <c r="A7" i="4"/>
  <c r="I7" i="4" s="1"/>
  <c r="A6" i="4"/>
  <c r="K6" i="4" s="1"/>
  <c r="A5" i="4"/>
  <c r="H5" i="4" s="1"/>
  <c r="A4" i="4"/>
  <c r="J4" i="4" s="1"/>
  <c r="A3" i="4"/>
  <c r="G3" i="4" s="1"/>
  <c r="A2" i="4"/>
  <c r="J2" i="4" s="1"/>
  <c r="M1000" i="3"/>
  <c r="L1000" i="3"/>
  <c r="K1000" i="3"/>
  <c r="J1000" i="3"/>
  <c r="H1000" i="3"/>
  <c r="E1000" i="3"/>
  <c r="D1000" i="3"/>
  <c r="C1000" i="3"/>
  <c r="B1000" i="3"/>
  <c r="A1000" i="3"/>
  <c r="I1000" i="3" s="1"/>
  <c r="A999" i="3"/>
  <c r="M998" i="3"/>
  <c r="L998" i="3"/>
  <c r="K998" i="3"/>
  <c r="J998" i="3"/>
  <c r="H998" i="3"/>
  <c r="G998" i="3"/>
  <c r="F998" i="3"/>
  <c r="E998" i="3"/>
  <c r="D998" i="3"/>
  <c r="C998" i="3"/>
  <c r="B998" i="3"/>
  <c r="A998" i="3"/>
  <c r="I998" i="3" s="1"/>
  <c r="D997" i="3"/>
  <c r="A997" i="3"/>
  <c r="I996" i="3"/>
  <c r="H996" i="3"/>
  <c r="F996" i="3"/>
  <c r="A996" i="3"/>
  <c r="M995" i="3"/>
  <c r="L995" i="3"/>
  <c r="K995" i="3"/>
  <c r="F995" i="3"/>
  <c r="E995" i="3"/>
  <c r="D995" i="3"/>
  <c r="C995" i="3"/>
  <c r="A995" i="3"/>
  <c r="J995" i="3" s="1"/>
  <c r="K994" i="3"/>
  <c r="J994" i="3"/>
  <c r="H994" i="3"/>
  <c r="C994" i="3"/>
  <c r="B994" i="3"/>
  <c r="A994" i="3"/>
  <c r="G994" i="3" s="1"/>
  <c r="M993" i="3"/>
  <c r="L993" i="3"/>
  <c r="K993" i="3"/>
  <c r="H993" i="3"/>
  <c r="G993" i="3"/>
  <c r="F993" i="3"/>
  <c r="E993" i="3"/>
  <c r="D993" i="3"/>
  <c r="C993" i="3"/>
  <c r="A993" i="3"/>
  <c r="J993" i="3" s="1"/>
  <c r="M992" i="3"/>
  <c r="L992" i="3"/>
  <c r="K992" i="3"/>
  <c r="J992" i="3"/>
  <c r="H992" i="3"/>
  <c r="E992" i="3"/>
  <c r="D992" i="3"/>
  <c r="C992" i="3"/>
  <c r="B992" i="3"/>
  <c r="A992" i="3"/>
  <c r="I992" i="3" s="1"/>
  <c r="I991" i="3"/>
  <c r="G991" i="3"/>
  <c r="A991" i="3"/>
  <c r="J991" i="3" s="1"/>
  <c r="M990" i="3"/>
  <c r="L990" i="3"/>
  <c r="K990" i="3"/>
  <c r="J990" i="3"/>
  <c r="H990" i="3"/>
  <c r="G990" i="3"/>
  <c r="F990" i="3"/>
  <c r="E990" i="3"/>
  <c r="D990" i="3"/>
  <c r="C990" i="3"/>
  <c r="B990" i="3"/>
  <c r="A990" i="3"/>
  <c r="I990" i="3" s="1"/>
  <c r="L989" i="3"/>
  <c r="K989" i="3"/>
  <c r="D989" i="3"/>
  <c r="A989" i="3"/>
  <c r="A988" i="3"/>
  <c r="M987" i="3"/>
  <c r="L987" i="3"/>
  <c r="K987" i="3"/>
  <c r="F987" i="3"/>
  <c r="E987" i="3"/>
  <c r="D987" i="3"/>
  <c r="C987" i="3"/>
  <c r="A987" i="3"/>
  <c r="J987" i="3" s="1"/>
  <c r="K986" i="3"/>
  <c r="J986" i="3"/>
  <c r="H986" i="3"/>
  <c r="C986" i="3"/>
  <c r="B986" i="3"/>
  <c r="A986" i="3"/>
  <c r="G986" i="3" s="1"/>
  <c r="M985" i="3"/>
  <c r="L985" i="3"/>
  <c r="K985" i="3"/>
  <c r="H985" i="3"/>
  <c r="G985" i="3"/>
  <c r="F985" i="3"/>
  <c r="E985" i="3"/>
  <c r="D985" i="3"/>
  <c r="C985" i="3"/>
  <c r="A985" i="3"/>
  <c r="J985" i="3" s="1"/>
  <c r="M984" i="3"/>
  <c r="L984" i="3"/>
  <c r="K984" i="3"/>
  <c r="J984" i="3"/>
  <c r="H984" i="3"/>
  <c r="E984" i="3"/>
  <c r="D984" i="3"/>
  <c r="C984" i="3"/>
  <c r="B984" i="3"/>
  <c r="A984" i="3"/>
  <c r="I984" i="3" s="1"/>
  <c r="G983" i="3"/>
  <c r="A983" i="3"/>
  <c r="M982" i="3"/>
  <c r="L982" i="3"/>
  <c r="K982" i="3"/>
  <c r="J982" i="3"/>
  <c r="H982" i="3"/>
  <c r="G982" i="3"/>
  <c r="F982" i="3"/>
  <c r="E982" i="3"/>
  <c r="D982" i="3"/>
  <c r="C982" i="3"/>
  <c r="B982" i="3"/>
  <c r="A982" i="3"/>
  <c r="I982" i="3" s="1"/>
  <c r="L981" i="3"/>
  <c r="K981" i="3"/>
  <c r="I981" i="3"/>
  <c r="D981" i="3"/>
  <c r="C981" i="3"/>
  <c r="A981" i="3"/>
  <c r="A980" i="3"/>
  <c r="M979" i="3"/>
  <c r="L979" i="3"/>
  <c r="K979" i="3"/>
  <c r="F979" i="3"/>
  <c r="E979" i="3"/>
  <c r="D979" i="3"/>
  <c r="C979" i="3"/>
  <c r="A979" i="3"/>
  <c r="J979" i="3" s="1"/>
  <c r="K978" i="3"/>
  <c r="J978" i="3"/>
  <c r="H978" i="3"/>
  <c r="C978" i="3"/>
  <c r="B978" i="3"/>
  <c r="A978" i="3"/>
  <c r="G978" i="3" s="1"/>
  <c r="M977" i="3"/>
  <c r="L977" i="3"/>
  <c r="K977" i="3"/>
  <c r="H977" i="3"/>
  <c r="G977" i="3"/>
  <c r="F977" i="3"/>
  <c r="E977" i="3"/>
  <c r="D977" i="3"/>
  <c r="C977" i="3"/>
  <c r="A977" i="3"/>
  <c r="J977" i="3" s="1"/>
  <c r="M976" i="3"/>
  <c r="L976" i="3"/>
  <c r="K976" i="3"/>
  <c r="J976" i="3"/>
  <c r="H976" i="3"/>
  <c r="E976" i="3"/>
  <c r="D976" i="3"/>
  <c r="C976" i="3"/>
  <c r="B976" i="3"/>
  <c r="A976" i="3"/>
  <c r="I976" i="3" s="1"/>
  <c r="J975" i="3"/>
  <c r="G975" i="3"/>
  <c r="A975" i="3"/>
  <c r="M974" i="3"/>
  <c r="L974" i="3"/>
  <c r="K974" i="3"/>
  <c r="J974" i="3"/>
  <c r="H974" i="3"/>
  <c r="G974" i="3"/>
  <c r="F974" i="3"/>
  <c r="E974" i="3"/>
  <c r="D974" i="3"/>
  <c r="C974" i="3"/>
  <c r="B974" i="3"/>
  <c r="A974" i="3"/>
  <c r="I974" i="3" s="1"/>
  <c r="K973" i="3"/>
  <c r="D973" i="3"/>
  <c r="C973" i="3"/>
  <c r="A973" i="3"/>
  <c r="I972" i="3"/>
  <c r="H972" i="3"/>
  <c r="A972" i="3"/>
  <c r="M971" i="3"/>
  <c r="L971" i="3"/>
  <c r="K971" i="3"/>
  <c r="F971" i="3"/>
  <c r="E971" i="3"/>
  <c r="D971" i="3"/>
  <c r="C971" i="3"/>
  <c r="A971" i="3"/>
  <c r="J971" i="3" s="1"/>
  <c r="K970" i="3"/>
  <c r="J970" i="3"/>
  <c r="H970" i="3"/>
  <c r="C970" i="3"/>
  <c r="B970" i="3"/>
  <c r="A970" i="3"/>
  <c r="G970" i="3" s="1"/>
  <c r="M969" i="3"/>
  <c r="L969" i="3"/>
  <c r="K969" i="3"/>
  <c r="H969" i="3"/>
  <c r="G969" i="3"/>
  <c r="F969" i="3"/>
  <c r="E969" i="3"/>
  <c r="D969" i="3"/>
  <c r="C969" i="3"/>
  <c r="A969" i="3"/>
  <c r="J969" i="3" s="1"/>
  <c r="M968" i="3"/>
  <c r="L968" i="3"/>
  <c r="K968" i="3"/>
  <c r="J968" i="3"/>
  <c r="H968" i="3"/>
  <c r="E968" i="3"/>
  <c r="D968" i="3"/>
  <c r="C968" i="3"/>
  <c r="B968" i="3"/>
  <c r="A968" i="3"/>
  <c r="I968" i="3" s="1"/>
  <c r="J967" i="3"/>
  <c r="I967" i="3"/>
  <c r="G967" i="3"/>
  <c r="B967" i="3"/>
  <c r="A967" i="3"/>
  <c r="M966" i="3"/>
  <c r="L966" i="3"/>
  <c r="K966" i="3"/>
  <c r="J966" i="3"/>
  <c r="H966" i="3"/>
  <c r="G966" i="3"/>
  <c r="F966" i="3"/>
  <c r="E966" i="3"/>
  <c r="D966" i="3"/>
  <c r="C966" i="3"/>
  <c r="B966" i="3"/>
  <c r="A966" i="3"/>
  <c r="I966" i="3" s="1"/>
  <c r="L965" i="3"/>
  <c r="K965" i="3"/>
  <c r="I965" i="3"/>
  <c r="D965" i="3"/>
  <c r="C965" i="3"/>
  <c r="A965" i="3"/>
  <c r="A964" i="3"/>
  <c r="M963" i="3"/>
  <c r="L963" i="3"/>
  <c r="K963" i="3"/>
  <c r="F963" i="3"/>
  <c r="E963" i="3"/>
  <c r="D963" i="3"/>
  <c r="C963" i="3"/>
  <c r="A963" i="3"/>
  <c r="J963" i="3" s="1"/>
  <c r="K962" i="3"/>
  <c r="J962" i="3"/>
  <c r="H962" i="3"/>
  <c r="C962" i="3"/>
  <c r="B962" i="3"/>
  <c r="A962" i="3"/>
  <c r="G962" i="3" s="1"/>
  <c r="M961" i="3"/>
  <c r="L961" i="3"/>
  <c r="K961" i="3"/>
  <c r="H961" i="3"/>
  <c r="G961" i="3"/>
  <c r="F961" i="3"/>
  <c r="E961" i="3"/>
  <c r="D961" i="3"/>
  <c r="C961" i="3"/>
  <c r="A961" i="3"/>
  <c r="J961" i="3" s="1"/>
  <c r="M960" i="3"/>
  <c r="L960" i="3"/>
  <c r="K960" i="3"/>
  <c r="J960" i="3"/>
  <c r="H960" i="3"/>
  <c r="E960" i="3"/>
  <c r="D960" i="3"/>
  <c r="C960" i="3"/>
  <c r="B960" i="3"/>
  <c r="A960" i="3"/>
  <c r="I960" i="3" s="1"/>
  <c r="J959" i="3"/>
  <c r="G959" i="3"/>
  <c r="B959" i="3"/>
  <c r="A959" i="3"/>
  <c r="M958" i="3"/>
  <c r="L958" i="3"/>
  <c r="K958" i="3"/>
  <c r="J958" i="3"/>
  <c r="H958" i="3"/>
  <c r="G958" i="3"/>
  <c r="F958" i="3"/>
  <c r="E958" i="3"/>
  <c r="D958" i="3"/>
  <c r="C958" i="3"/>
  <c r="B958" i="3"/>
  <c r="A958" i="3"/>
  <c r="I958" i="3" s="1"/>
  <c r="A957" i="3"/>
  <c r="H956" i="3"/>
  <c r="A956" i="3"/>
  <c r="M955" i="3"/>
  <c r="L955" i="3"/>
  <c r="K955" i="3"/>
  <c r="F955" i="3"/>
  <c r="E955" i="3"/>
  <c r="D955" i="3"/>
  <c r="C955" i="3"/>
  <c r="A955" i="3"/>
  <c r="J955" i="3" s="1"/>
  <c r="K954" i="3"/>
  <c r="J954" i="3"/>
  <c r="H954" i="3"/>
  <c r="C954" i="3"/>
  <c r="B954" i="3"/>
  <c r="A954" i="3"/>
  <c r="G954" i="3" s="1"/>
  <c r="M953" i="3"/>
  <c r="L953" i="3"/>
  <c r="K953" i="3"/>
  <c r="H953" i="3"/>
  <c r="G953" i="3"/>
  <c r="F953" i="3"/>
  <c r="E953" i="3"/>
  <c r="D953" i="3"/>
  <c r="C953" i="3"/>
  <c r="A953" i="3"/>
  <c r="J953" i="3" s="1"/>
  <c r="M952" i="3"/>
  <c r="L952" i="3"/>
  <c r="K952" i="3"/>
  <c r="J952" i="3"/>
  <c r="H952" i="3"/>
  <c r="E952" i="3"/>
  <c r="D952" i="3"/>
  <c r="C952" i="3"/>
  <c r="B952" i="3"/>
  <c r="A952" i="3"/>
  <c r="I952" i="3" s="1"/>
  <c r="J951" i="3"/>
  <c r="I951" i="3"/>
  <c r="B951" i="3"/>
  <c r="A951" i="3"/>
  <c r="M950" i="3"/>
  <c r="L950" i="3"/>
  <c r="K950" i="3"/>
  <c r="J950" i="3"/>
  <c r="H950" i="3"/>
  <c r="G950" i="3"/>
  <c r="F950" i="3"/>
  <c r="E950" i="3"/>
  <c r="D950" i="3"/>
  <c r="C950" i="3"/>
  <c r="B950" i="3"/>
  <c r="A950" i="3"/>
  <c r="I950" i="3" s="1"/>
  <c r="A949" i="3"/>
  <c r="I948" i="3"/>
  <c r="H948" i="3"/>
  <c r="F948" i="3"/>
  <c r="A948" i="3"/>
  <c r="M947" i="3"/>
  <c r="L947" i="3"/>
  <c r="K947" i="3"/>
  <c r="F947" i="3"/>
  <c r="E947" i="3"/>
  <c r="D947" i="3"/>
  <c r="C947" i="3"/>
  <c r="A947" i="3"/>
  <c r="J947" i="3" s="1"/>
  <c r="K946" i="3"/>
  <c r="J946" i="3"/>
  <c r="H946" i="3"/>
  <c r="C946" i="3"/>
  <c r="B946" i="3"/>
  <c r="A946" i="3"/>
  <c r="G946" i="3" s="1"/>
  <c r="M945" i="3"/>
  <c r="L945" i="3"/>
  <c r="K945" i="3"/>
  <c r="H945" i="3"/>
  <c r="G945" i="3"/>
  <c r="F945" i="3"/>
  <c r="E945" i="3"/>
  <c r="D945" i="3"/>
  <c r="C945" i="3"/>
  <c r="A945" i="3"/>
  <c r="J945" i="3" s="1"/>
  <c r="M944" i="3"/>
  <c r="L944" i="3"/>
  <c r="K944" i="3"/>
  <c r="J944" i="3"/>
  <c r="H944" i="3"/>
  <c r="E944" i="3"/>
  <c r="D944" i="3"/>
  <c r="C944" i="3"/>
  <c r="B944" i="3"/>
  <c r="A944" i="3"/>
  <c r="I944" i="3" s="1"/>
  <c r="I943" i="3"/>
  <c r="B943" i="3"/>
  <c r="A943" i="3"/>
  <c r="M942" i="3"/>
  <c r="L942" i="3"/>
  <c r="K942" i="3"/>
  <c r="J942" i="3"/>
  <c r="H942" i="3"/>
  <c r="G942" i="3"/>
  <c r="F942" i="3"/>
  <c r="E942" i="3"/>
  <c r="D942" i="3"/>
  <c r="C942" i="3"/>
  <c r="B942" i="3"/>
  <c r="A942" i="3"/>
  <c r="I942" i="3" s="1"/>
  <c r="L941" i="3"/>
  <c r="I941" i="3"/>
  <c r="D941" i="3"/>
  <c r="A941" i="3"/>
  <c r="K941" i="3" s="1"/>
  <c r="H940" i="3"/>
  <c r="F940" i="3"/>
  <c r="A940" i="3"/>
  <c r="M939" i="3"/>
  <c r="L939" i="3"/>
  <c r="K939" i="3"/>
  <c r="F939" i="3"/>
  <c r="E939" i="3"/>
  <c r="D939" i="3"/>
  <c r="C939" i="3"/>
  <c r="A939" i="3"/>
  <c r="J939" i="3" s="1"/>
  <c r="K938" i="3"/>
  <c r="J938" i="3"/>
  <c r="H938" i="3"/>
  <c r="C938" i="3"/>
  <c r="B938" i="3"/>
  <c r="A938" i="3"/>
  <c r="G938" i="3" s="1"/>
  <c r="M937" i="3"/>
  <c r="L937" i="3"/>
  <c r="K937" i="3"/>
  <c r="H937" i="3"/>
  <c r="G937" i="3"/>
  <c r="F937" i="3"/>
  <c r="E937" i="3"/>
  <c r="D937" i="3"/>
  <c r="C937" i="3"/>
  <c r="A937" i="3"/>
  <c r="J937" i="3" s="1"/>
  <c r="M936" i="3"/>
  <c r="L936" i="3"/>
  <c r="K936" i="3"/>
  <c r="J936" i="3"/>
  <c r="H936" i="3"/>
  <c r="E936" i="3"/>
  <c r="D936" i="3"/>
  <c r="C936" i="3"/>
  <c r="B936" i="3"/>
  <c r="A936" i="3"/>
  <c r="I936" i="3" s="1"/>
  <c r="A935" i="3"/>
  <c r="M934" i="3"/>
  <c r="L934" i="3"/>
  <c r="K934" i="3"/>
  <c r="J934" i="3"/>
  <c r="H934" i="3"/>
  <c r="G934" i="3"/>
  <c r="F934" i="3"/>
  <c r="E934" i="3"/>
  <c r="D934" i="3"/>
  <c r="C934" i="3"/>
  <c r="B934" i="3"/>
  <c r="A934" i="3"/>
  <c r="I934" i="3" s="1"/>
  <c r="A933" i="3"/>
  <c r="I932" i="3"/>
  <c r="F932" i="3"/>
  <c r="A932" i="3"/>
  <c r="M931" i="3"/>
  <c r="L931" i="3"/>
  <c r="K931" i="3"/>
  <c r="F931" i="3"/>
  <c r="E931" i="3"/>
  <c r="D931" i="3"/>
  <c r="C931" i="3"/>
  <c r="A931" i="3"/>
  <c r="J931" i="3" s="1"/>
  <c r="K930" i="3"/>
  <c r="J930" i="3"/>
  <c r="H930" i="3"/>
  <c r="C930" i="3"/>
  <c r="B930" i="3"/>
  <c r="A930" i="3"/>
  <c r="G930" i="3" s="1"/>
  <c r="M929" i="3"/>
  <c r="L929" i="3"/>
  <c r="K929" i="3"/>
  <c r="H929" i="3"/>
  <c r="G929" i="3"/>
  <c r="F929" i="3"/>
  <c r="E929" i="3"/>
  <c r="D929" i="3"/>
  <c r="C929" i="3"/>
  <c r="A929" i="3"/>
  <c r="J929" i="3" s="1"/>
  <c r="M928" i="3"/>
  <c r="L928" i="3"/>
  <c r="K928" i="3"/>
  <c r="J928" i="3"/>
  <c r="H928" i="3"/>
  <c r="E928" i="3"/>
  <c r="D928" i="3"/>
  <c r="C928" i="3"/>
  <c r="B928" i="3"/>
  <c r="A928" i="3"/>
  <c r="I928" i="3" s="1"/>
  <c r="I927" i="3"/>
  <c r="G927" i="3"/>
  <c r="A927" i="3"/>
  <c r="J927" i="3" s="1"/>
  <c r="M926" i="3"/>
  <c r="L926" i="3"/>
  <c r="K926" i="3"/>
  <c r="J926" i="3"/>
  <c r="H926" i="3"/>
  <c r="G926" i="3"/>
  <c r="F926" i="3"/>
  <c r="E926" i="3"/>
  <c r="D926" i="3"/>
  <c r="C926" i="3"/>
  <c r="B926" i="3"/>
  <c r="A926" i="3"/>
  <c r="I926" i="3" s="1"/>
  <c r="L925" i="3"/>
  <c r="K925" i="3"/>
  <c r="D925" i="3"/>
  <c r="A925" i="3"/>
  <c r="I924" i="3"/>
  <c r="A924" i="3"/>
  <c r="M923" i="3"/>
  <c r="L923" i="3"/>
  <c r="K923" i="3"/>
  <c r="F923" i="3"/>
  <c r="E923" i="3"/>
  <c r="D923" i="3"/>
  <c r="C923" i="3"/>
  <c r="A923" i="3"/>
  <c r="J923" i="3" s="1"/>
  <c r="K922" i="3"/>
  <c r="J922" i="3"/>
  <c r="H922" i="3"/>
  <c r="C922" i="3"/>
  <c r="B922" i="3"/>
  <c r="A922" i="3"/>
  <c r="G922" i="3" s="1"/>
  <c r="M921" i="3"/>
  <c r="L921" i="3"/>
  <c r="K921" i="3"/>
  <c r="H921" i="3"/>
  <c r="G921" i="3"/>
  <c r="F921" i="3"/>
  <c r="E921" i="3"/>
  <c r="D921" i="3"/>
  <c r="C921" i="3"/>
  <c r="A921" i="3"/>
  <c r="J921" i="3" s="1"/>
  <c r="M920" i="3"/>
  <c r="L920" i="3"/>
  <c r="K920" i="3"/>
  <c r="J920" i="3"/>
  <c r="H920" i="3"/>
  <c r="E920" i="3"/>
  <c r="D920" i="3"/>
  <c r="C920" i="3"/>
  <c r="B920" i="3"/>
  <c r="A920" i="3"/>
  <c r="I920" i="3" s="1"/>
  <c r="G919" i="3"/>
  <c r="A919" i="3"/>
  <c r="M918" i="3"/>
  <c r="L918" i="3"/>
  <c r="K918" i="3"/>
  <c r="J918" i="3"/>
  <c r="H918" i="3"/>
  <c r="G918" i="3"/>
  <c r="F918" i="3"/>
  <c r="E918" i="3"/>
  <c r="D918" i="3"/>
  <c r="C918" i="3"/>
  <c r="B918" i="3"/>
  <c r="A918" i="3"/>
  <c r="I918" i="3" s="1"/>
  <c r="L917" i="3"/>
  <c r="K917" i="3"/>
  <c r="I917" i="3"/>
  <c r="D917" i="3"/>
  <c r="C917" i="3"/>
  <c r="A917" i="3"/>
  <c r="A916" i="3"/>
  <c r="M915" i="3"/>
  <c r="L915" i="3"/>
  <c r="K915" i="3"/>
  <c r="F915" i="3"/>
  <c r="E915" i="3"/>
  <c r="D915" i="3"/>
  <c r="C915" i="3"/>
  <c r="A915" i="3"/>
  <c r="J915" i="3" s="1"/>
  <c r="K914" i="3"/>
  <c r="J914" i="3"/>
  <c r="H914" i="3"/>
  <c r="C914" i="3"/>
  <c r="B914" i="3"/>
  <c r="A914" i="3"/>
  <c r="G914" i="3" s="1"/>
  <c r="M913" i="3"/>
  <c r="L913" i="3"/>
  <c r="K913" i="3"/>
  <c r="H913" i="3"/>
  <c r="G913" i="3"/>
  <c r="F913" i="3"/>
  <c r="E913" i="3"/>
  <c r="D913" i="3"/>
  <c r="C913" i="3"/>
  <c r="A913" i="3"/>
  <c r="J913" i="3" s="1"/>
  <c r="M912" i="3"/>
  <c r="L912" i="3"/>
  <c r="K912" i="3"/>
  <c r="J912" i="3"/>
  <c r="H912" i="3"/>
  <c r="E912" i="3"/>
  <c r="D912" i="3"/>
  <c r="C912" i="3"/>
  <c r="B912" i="3"/>
  <c r="A912" i="3"/>
  <c r="I912" i="3" s="1"/>
  <c r="J911" i="3"/>
  <c r="G911" i="3"/>
  <c r="A911" i="3"/>
  <c r="M910" i="3"/>
  <c r="L910" i="3"/>
  <c r="K910" i="3"/>
  <c r="J910" i="3"/>
  <c r="H910" i="3"/>
  <c r="G910" i="3"/>
  <c r="F910" i="3"/>
  <c r="E910" i="3"/>
  <c r="D910" i="3"/>
  <c r="C910" i="3"/>
  <c r="B910" i="3"/>
  <c r="A910" i="3"/>
  <c r="I910" i="3" s="1"/>
  <c r="K909" i="3"/>
  <c r="D909" i="3"/>
  <c r="C909" i="3"/>
  <c r="A909" i="3"/>
  <c r="I908" i="3"/>
  <c r="H908" i="3"/>
  <c r="A908" i="3"/>
  <c r="M907" i="3"/>
  <c r="L907" i="3"/>
  <c r="K907" i="3"/>
  <c r="F907" i="3"/>
  <c r="E907" i="3"/>
  <c r="D907" i="3"/>
  <c r="C907" i="3"/>
  <c r="A907" i="3"/>
  <c r="J907" i="3" s="1"/>
  <c r="K906" i="3"/>
  <c r="J906" i="3"/>
  <c r="H906" i="3"/>
  <c r="C906" i="3"/>
  <c r="B906" i="3"/>
  <c r="A906" i="3"/>
  <c r="G906" i="3" s="1"/>
  <c r="M905" i="3"/>
  <c r="L905" i="3"/>
  <c r="K905" i="3"/>
  <c r="H905" i="3"/>
  <c r="G905" i="3"/>
  <c r="F905" i="3"/>
  <c r="E905" i="3"/>
  <c r="D905" i="3"/>
  <c r="C905" i="3"/>
  <c r="A905" i="3"/>
  <c r="J905" i="3" s="1"/>
  <c r="M904" i="3"/>
  <c r="L904" i="3"/>
  <c r="K904" i="3"/>
  <c r="J904" i="3"/>
  <c r="H904" i="3"/>
  <c r="E904" i="3"/>
  <c r="D904" i="3"/>
  <c r="C904" i="3"/>
  <c r="B904" i="3"/>
  <c r="A904" i="3"/>
  <c r="I904" i="3" s="1"/>
  <c r="J903" i="3"/>
  <c r="I903" i="3"/>
  <c r="G903" i="3"/>
  <c r="B903" i="3"/>
  <c r="A903" i="3"/>
  <c r="M902" i="3"/>
  <c r="L902" i="3"/>
  <c r="K902" i="3"/>
  <c r="J902" i="3"/>
  <c r="H902" i="3"/>
  <c r="G902" i="3"/>
  <c r="F902" i="3"/>
  <c r="E902" i="3"/>
  <c r="D902" i="3"/>
  <c r="C902" i="3"/>
  <c r="B902" i="3"/>
  <c r="A902" i="3"/>
  <c r="I902" i="3" s="1"/>
  <c r="L901" i="3"/>
  <c r="K901" i="3"/>
  <c r="I901" i="3"/>
  <c r="C901" i="3"/>
  <c r="A901" i="3"/>
  <c r="H900" i="3"/>
  <c r="A900" i="3"/>
  <c r="M899" i="3"/>
  <c r="L899" i="3"/>
  <c r="K899" i="3"/>
  <c r="F899" i="3"/>
  <c r="E899" i="3"/>
  <c r="D899" i="3"/>
  <c r="C899" i="3"/>
  <c r="A899" i="3"/>
  <c r="J899" i="3" s="1"/>
  <c r="K898" i="3"/>
  <c r="I898" i="3"/>
  <c r="C898" i="3"/>
  <c r="B898" i="3"/>
  <c r="A898" i="3"/>
  <c r="M897" i="3"/>
  <c r="L897" i="3"/>
  <c r="K897" i="3"/>
  <c r="H897" i="3"/>
  <c r="G897" i="3"/>
  <c r="F897" i="3"/>
  <c r="E897" i="3"/>
  <c r="D897" i="3"/>
  <c r="C897" i="3"/>
  <c r="A897" i="3"/>
  <c r="J897" i="3" s="1"/>
  <c r="M896" i="3"/>
  <c r="L896" i="3"/>
  <c r="K896" i="3"/>
  <c r="J896" i="3"/>
  <c r="H896" i="3"/>
  <c r="E896" i="3"/>
  <c r="D896" i="3"/>
  <c r="C896" i="3"/>
  <c r="B896" i="3"/>
  <c r="A896" i="3"/>
  <c r="I896" i="3" s="1"/>
  <c r="H895" i="3"/>
  <c r="A895" i="3"/>
  <c r="M894" i="3"/>
  <c r="L894" i="3"/>
  <c r="K894" i="3"/>
  <c r="J894" i="3"/>
  <c r="H894" i="3"/>
  <c r="G894" i="3"/>
  <c r="F894" i="3"/>
  <c r="E894" i="3"/>
  <c r="D894" i="3"/>
  <c r="C894" i="3"/>
  <c r="B894" i="3"/>
  <c r="A894" i="3"/>
  <c r="I894" i="3" s="1"/>
  <c r="L893" i="3"/>
  <c r="J893" i="3"/>
  <c r="I893" i="3"/>
  <c r="C893" i="3"/>
  <c r="A893" i="3"/>
  <c r="K893" i="3" s="1"/>
  <c r="I892" i="3"/>
  <c r="H892" i="3"/>
  <c r="G892" i="3"/>
  <c r="F892" i="3"/>
  <c r="A892" i="3"/>
  <c r="M891" i="3"/>
  <c r="L891" i="3"/>
  <c r="K891" i="3"/>
  <c r="F891" i="3"/>
  <c r="E891" i="3"/>
  <c r="D891" i="3"/>
  <c r="C891" i="3"/>
  <c r="A891" i="3"/>
  <c r="J891" i="3" s="1"/>
  <c r="A890" i="3"/>
  <c r="M889" i="3"/>
  <c r="L889" i="3"/>
  <c r="K889" i="3"/>
  <c r="H889" i="3"/>
  <c r="G889" i="3"/>
  <c r="F889" i="3"/>
  <c r="E889" i="3"/>
  <c r="D889" i="3"/>
  <c r="C889" i="3"/>
  <c r="A889" i="3"/>
  <c r="J889" i="3" s="1"/>
  <c r="M888" i="3"/>
  <c r="L888" i="3"/>
  <c r="K888" i="3"/>
  <c r="J888" i="3"/>
  <c r="H888" i="3"/>
  <c r="E888" i="3"/>
  <c r="D888" i="3"/>
  <c r="C888" i="3"/>
  <c r="B888" i="3"/>
  <c r="A888" i="3"/>
  <c r="I888" i="3" s="1"/>
  <c r="J887" i="3"/>
  <c r="H887" i="3"/>
  <c r="G887" i="3"/>
  <c r="A887" i="3"/>
  <c r="I887" i="3" s="1"/>
  <c r="M886" i="3"/>
  <c r="L886" i="3"/>
  <c r="K886" i="3"/>
  <c r="J886" i="3"/>
  <c r="H886" i="3"/>
  <c r="G886" i="3"/>
  <c r="F886" i="3"/>
  <c r="E886" i="3"/>
  <c r="D886" i="3"/>
  <c r="C886" i="3"/>
  <c r="B886" i="3"/>
  <c r="A886" i="3"/>
  <c r="I886" i="3" s="1"/>
  <c r="L885" i="3"/>
  <c r="K885" i="3"/>
  <c r="I885" i="3"/>
  <c r="C885" i="3"/>
  <c r="B885" i="3"/>
  <c r="A885" i="3"/>
  <c r="I884" i="3"/>
  <c r="H884" i="3"/>
  <c r="F884" i="3"/>
  <c r="A884" i="3"/>
  <c r="M883" i="3"/>
  <c r="L883" i="3"/>
  <c r="K883" i="3"/>
  <c r="F883" i="3"/>
  <c r="E883" i="3"/>
  <c r="D883" i="3"/>
  <c r="C883" i="3"/>
  <c r="A883" i="3"/>
  <c r="J883" i="3" s="1"/>
  <c r="J882" i="3"/>
  <c r="H882" i="3"/>
  <c r="C882" i="3"/>
  <c r="A882" i="3"/>
  <c r="K882" i="3" s="1"/>
  <c r="M881" i="3"/>
  <c r="L881" i="3"/>
  <c r="K881" i="3"/>
  <c r="H881" i="3"/>
  <c r="G881" i="3"/>
  <c r="F881" i="3"/>
  <c r="E881" i="3"/>
  <c r="D881" i="3"/>
  <c r="C881" i="3"/>
  <c r="A881" i="3"/>
  <c r="J881" i="3" s="1"/>
  <c r="M880" i="3"/>
  <c r="L880" i="3"/>
  <c r="K880" i="3"/>
  <c r="J880" i="3"/>
  <c r="H880" i="3"/>
  <c r="E880" i="3"/>
  <c r="D880" i="3"/>
  <c r="C880" i="3"/>
  <c r="B880" i="3"/>
  <c r="A880" i="3"/>
  <c r="I880" i="3" s="1"/>
  <c r="J879" i="3"/>
  <c r="I879" i="3"/>
  <c r="G879" i="3"/>
  <c r="A879" i="3"/>
  <c r="M878" i="3"/>
  <c r="L878" i="3"/>
  <c r="K878" i="3"/>
  <c r="J878" i="3"/>
  <c r="H878" i="3"/>
  <c r="G878" i="3"/>
  <c r="F878" i="3"/>
  <c r="E878" i="3"/>
  <c r="D878" i="3"/>
  <c r="C878" i="3"/>
  <c r="B878" i="3"/>
  <c r="A878" i="3"/>
  <c r="I878" i="3" s="1"/>
  <c r="D877" i="3"/>
  <c r="B877" i="3"/>
  <c r="A877" i="3"/>
  <c r="A876" i="3"/>
  <c r="M875" i="3"/>
  <c r="L875" i="3"/>
  <c r="K875" i="3"/>
  <c r="F875" i="3"/>
  <c r="E875" i="3"/>
  <c r="D875" i="3"/>
  <c r="C875" i="3"/>
  <c r="A875" i="3"/>
  <c r="J875" i="3" s="1"/>
  <c r="J874" i="3"/>
  <c r="I874" i="3"/>
  <c r="C874" i="3"/>
  <c r="A874" i="3"/>
  <c r="K874" i="3" s="1"/>
  <c r="M873" i="3"/>
  <c r="L873" i="3"/>
  <c r="K873" i="3"/>
  <c r="H873" i="3"/>
  <c r="G873" i="3"/>
  <c r="F873" i="3"/>
  <c r="E873" i="3"/>
  <c r="D873" i="3"/>
  <c r="C873" i="3"/>
  <c r="A873" i="3"/>
  <c r="J873" i="3" s="1"/>
  <c r="M872" i="3"/>
  <c r="L872" i="3"/>
  <c r="K872" i="3"/>
  <c r="J872" i="3"/>
  <c r="H872" i="3"/>
  <c r="E872" i="3"/>
  <c r="D872" i="3"/>
  <c r="C872" i="3"/>
  <c r="B872" i="3"/>
  <c r="A872" i="3"/>
  <c r="I872" i="3" s="1"/>
  <c r="I871" i="3"/>
  <c r="G871" i="3"/>
  <c r="B871" i="3"/>
  <c r="A871" i="3"/>
  <c r="M870" i="3"/>
  <c r="L870" i="3"/>
  <c r="K870" i="3"/>
  <c r="J870" i="3"/>
  <c r="H870" i="3"/>
  <c r="G870" i="3"/>
  <c r="F870" i="3"/>
  <c r="E870" i="3"/>
  <c r="D870" i="3"/>
  <c r="C870" i="3"/>
  <c r="B870" i="3"/>
  <c r="A870" i="3"/>
  <c r="I870" i="3" s="1"/>
  <c r="J869" i="3"/>
  <c r="D869" i="3"/>
  <c r="C869" i="3"/>
  <c r="A869" i="3"/>
  <c r="L869" i="3" s="1"/>
  <c r="A868" i="3"/>
  <c r="M867" i="3"/>
  <c r="L867" i="3"/>
  <c r="K867" i="3"/>
  <c r="F867" i="3"/>
  <c r="E867" i="3"/>
  <c r="D867" i="3"/>
  <c r="C867" i="3"/>
  <c r="A867" i="3"/>
  <c r="J867" i="3" s="1"/>
  <c r="K866" i="3"/>
  <c r="I866" i="3"/>
  <c r="C866" i="3"/>
  <c r="B866" i="3"/>
  <c r="A866" i="3"/>
  <c r="M865" i="3"/>
  <c r="L865" i="3"/>
  <c r="K865" i="3"/>
  <c r="H865" i="3"/>
  <c r="G865" i="3"/>
  <c r="F865" i="3"/>
  <c r="E865" i="3"/>
  <c r="D865" i="3"/>
  <c r="C865" i="3"/>
  <c r="A865" i="3"/>
  <c r="J865" i="3" s="1"/>
  <c r="M864" i="3"/>
  <c r="L864" i="3"/>
  <c r="K864" i="3"/>
  <c r="J864" i="3"/>
  <c r="H864" i="3"/>
  <c r="E864" i="3"/>
  <c r="D864" i="3"/>
  <c r="C864" i="3"/>
  <c r="B864" i="3"/>
  <c r="A864" i="3"/>
  <c r="I864" i="3" s="1"/>
  <c r="A863" i="3"/>
  <c r="M862" i="3"/>
  <c r="L862" i="3"/>
  <c r="K862" i="3"/>
  <c r="J862" i="3"/>
  <c r="H862" i="3"/>
  <c r="G862" i="3"/>
  <c r="F862" i="3"/>
  <c r="E862" i="3"/>
  <c r="D862" i="3"/>
  <c r="C862" i="3"/>
  <c r="B862" i="3"/>
  <c r="A862" i="3"/>
  <c r="I862" i="3" s="1"/>
  <c r="L861" i="3"/>
  <c r="J861" i="3"/>
  <c r="I861" i="3"/>
  <c r="C861" i="3"/>
  <c r="A861" i="3"/>
  <c r="K861" i="3" s="1"/>
  <c r="I860" i="3"/>
  <c r="H860" i="3"/>
  <c r="G860" i="3"/>
  <c r="F860" i="3"/>
  <c r="A860" i="3"/>
  <c r="M859" i="3"/>
  <c r="L859" i="3"/>
  <c r="K859" i="3"/>
  <c r="F859" i="3"/>
  <c r="E859" i="3"/>
  <c r="D859" i="3"/>
  <c r="C859" i="3"/>
  <c r="A859" i="3"/>
  <c r="J859" i="3" s="1"/>
  <c r="A858" i="3"/>
  <c r="M857" i="3"/>
  <c r="L857" i="3"/>
  <c r="K857" i="3"/>
  <c r="H857" i="3"/>
  <c r="G857" i="3"/>
  <c r="F857" i="3"/>
  <c r="E857" i="3"/>
  <c r="D857" i="3"/>
  <c r="C857" i="3"/>
  <c r="A857" i="3"/>
  <c r="J857" i="3" s="1"/>
  <c r="M856" i="3"/>
  <c r="L856" i="3"/>
  <c r="K856" i="3"/>
  <c r="J856" i="3"/>
  <c r="H856" i="3"/>
  <c r="E856" i="3"/>
  <c r="D856" i="3"/>
  <c r="C856" i="3"/>
  <c r="B856" i="3"/>
  <c r="A856" i="3"/>
  <c r="I856" i="3" s="1"/>
  <c r="J855" i="3"/>
  <c r="H855" i="3"/>
  <c r="G855" i="3"/>
  <c r="A855" i="3"/>
  <c r="I855" i="3" s="1"/>
  <c r="M854" i="3"/>
  <c r="L854" i="3"/>
  <c r="K854" i="3"/>
  <c r="J854" i="3"/>
  <c r="H854" i="3"/>
  <c r="G854" i="3"/>
  <c r="F854" i="3"/>
  <c r="E854" i="3"/>
  <c r="D854" i="3"/>
  <c r="C854" i="3"/>
  <c r="B854" i="3"/>
  <c r="A854" i="3"/>
  <c r="I854" i="3" s="1"/>
  <c r="L853" i="3"/>
  <c r="K853" i="3"/>
  <c r="I853" i="3"/>
  <c r="C853" i="3"/>
  <c r="B853" i="3"/>
  <c r="A853" i="3"/>
  <c r="I852" i="3"/>
  <c r="H852" i="3"/>
  <c r="F852" i="3"/>
  <c r="A852" i="3"/>
  <c r="M851" i="3"/>
  <c r="L851" i="3"/>
  <c r="K851" i="3"/>
  <c r="F851" i="3"/>
  <c r="E851" i="3"/>
  <c r="D851" i="3"/>
  <c r="C851" i="3"/>
  <c r="A851" i="3"/>
  <c r="J851" i="3" s="1"/>
  <c r="J850" i="3"/>
  <c r="H850" i="3"/>
  <c r="C850" i="3"/>
  <c r="A850" i="3"/>
  <c r="K850" i="3" s="1"/>
  <c r="M849" i="3"/>
  <c r="L849" i="3"/>
  <c r="K849" i="3"/>
  <c r="H849" i="3"/>
  <c r="G849" i="3"/>
  <c r="F849" i="3"/>
  <c r="E849" i="3"/>
  <c r="D849" i="3"/>
  <c r="C849" i="3"/>
  <c r="A849" i="3"/>
  <c r="J849" i="3" s="1"/>
  <c r="M848" i="3"/>
  <c r="L848" i="3"/>
  <c r="K848" i="3"/>
  <c r="J848" i="3"/>
  <c r="H848" i="3"/>
  <c r="E848" i="3"/>
  <c r="D848" i="3"/>
  <c r="C848" i="3"/>
  <c r="B848" i="3"/>
  <c r="A848" i="3"/>
  <c r="I848" i="3" s="1"/>
  <c r="J847" i="3"/>
  <c r="I847" i="3"/>
  <c r="G847" i="3"/>
  <c r="A847" i="3"/>
  <c r="M846" i="3"/>
  <c r="L846" i="3"/>
  <c r="K846" i="3"/>
  <c r="J846" i="3"/>
  <c r="H846" i="3"/>
  <c r="G846" i="3"/>
  <c r="F846" i="3"/>
  <c r="E846" i="3"/>
  <c r="D846" i="3"/>
  <c r="C846" i="3"/>
  <c r="B846" i="3"/>
  <c r="A846" i="3"/>
  <c r="I846" i="3" s="1"/>
  <c r="D845" i="3"/>
  <c r="B845" i="3"/>
  <c r="A845" i="3"/>
  <c r="A844" i="3"/>
  <c r="M843" i="3"/>
  <c r="L843" i="3"/>
  <c r="K843" i="3"/>
  <c r="F843" i="3"/>
  <c r="E843" i="3"/>
  <c r="D843" i="3"/>
  <c r="C843" i="3"/>
  <c r="A843" i="3"/>
  <c r="J843" i="3" s="1"/>
  <c r="J842" i="3"/>
  <c r="I842" i="3"/>
  <c r="C842" i="3"/>
  <c r="A842" i="3"/>
  <c r="K842" i="3" s="1"/>
  <c r="M841" i="3"/>
  <c r="L841" i="3"/>
  <c r="K841" i="3"/>
  <c r="H841" i="3"/>
  <c r="G841" i="3"/>
  <c r="F841" i="3"/>
  <c r="E841" i="3"/>
  <c r="D841" i="3"/>
  <c r="C841" i="3"/>
  <c r="A841" i="3"/>
  <c r="J841" i="3" s="1"/>
  <c r="M840" i="3"/>
  <c r="L840" i="3"/>
  <c r="K840" i="3"/>
  <c r="J840" i="3"/>
  <c r="H840" i="3"/>
  <c r="E840" i="3"/>
  <c r="D840" i="3"/>
  <c r="C840" i="3"/>
  <c r="B840" i="3"/>
  <c r="A840" i="3"/>
  <c r="I840" i="3" s="1"/>
  <c r="I839" i="3"/>
  <c r="G839" i="3"/>
  <c r="B839" i="3"/>
  <c r="A839" i="3"/>
  <c r="M838" i="3"/>
  <c r="L838" i="3"/>
  <c r="K838" i="3"/>
  <c r="J838" i="3"/>
  <c r="H838" i="3"/>
  <c r="G838" i="3"/>
  <c r="F838" i="3"/>
  <c r="E838" i="3"/>
  <c r="D838" i="3"/>
  <c r="C838" i="3"/>
  <c r="B838" i="3"/>
  <c r="A838" i="3"/>
  <c r="I838" i="3" s="1"/>
  <c r="J837" i="3"/>
  <c r="D837" i="3"/>
  <c r="C837" i="3"/>
  <c r="A837" i="3"/>
  <c r="L837" i="3" s="1"/>
  <c r="A836" i="3"/>
  <c r="M835" i="3"/>
  <c r="L835" i="3"/>
  <c r="K835" i="3"/>
  <c r="F835" i="3"/>
  <c r="E835" i="3"/>
  <c r="D835" i="3"/>
  <c r="C835" i="3"/>
  <c r="A835" i="3"/>
  <c r="J835" i="3" s="1"/>
  <c r="K834" i="3"/>
  <c r="I834" i="3"/>
  <c r="C834" i="3"/>
  <c r="B834" i="3"/>
  <c r="A834" i="3"/>
  <c r="M833" i="3"/>
  <c r="L833" i="3"/>
  <c r="K833" i="3"/>
  <c r="H833" i="3"/>
  <c r="G833" i="3"/>
  <c r="F833" i="3"/>
  <c r="E833" i="3"/>
  <c r="D833" i="3"/>
  <c r="C833" i="3"/>
  <c r="A833" i="3"/>
  <c r="J833" i="3" s="1"/>
  <c r="M832" i="3"/>
  <c r="L832" i="3"/>
  <c r="K832" i="3"/>
  <c r="J832" i="3"/>
  <c r="H832" i="3"/>
  <c r="E832" i="3"/>
  <c r="D832" i="3"/>
  <c r="C832" i="3"/>
  <c r="B832" i="3"/>
  <c r="A832" i="3"/>
  <c r="I832" i="3" s="1"/>
  <c r="H831" i="3"/>
  <c r="B831" i="3"/>
  <c r="A831" i="3"/>
  <c r="M830" i="3"/>
  <c r="L830" i="3"/>
  <c r="K830" i="3"/>
  <c r="J830" i="3"/>
  <c r="H830" i="3"/>
  <c r="G830" i="3"/>
  <c r="F830" i="3"/>
  <c r="E830" i="3"/>
  <c r="D830" i="3"/>
  <c r="C830" i="3"/>
  <c r="B830" i="3"/>
  <c r="A830" i="3"/>
  <c r="I830" i="3" s="1"/>
  <c r="L829" i="3"/>
  <c r="J829" i="3"/>
  <c r="I829" i="3"/>
  <c r="C829" i="3"/>
  <c r="A829" i="3"/>
  <c r="K829" i="3" s="1"/>
  <c r="I828" i="3"/>
  <c r="H828" i="3"/>
  <c r="G828" i="3"/>
  <c r="F828" i="3"/>
  <c r="A828" i="3"/>
  <c r="M827" i="3"/>
  <c r="L827" i="3"/>
  <c r="K827" i="3"/>
  <c r="F827" i="3"/>
  <c r="E827" i="3"/>
  <c r="D827" i="3"/>
  <c r="C827" i="3"/>
  <c r="A827" i="3"/>
  <c r="J827" i="3" s="1"/>
  <c r="H826" i="3"/>
  <c r="A826" i="3"/>
  <c r="M825" i="3"/>
  <c r="L825" i="3"/>
  <c r="K825" i="3"/>
  <c r="H825" i="3"/>
  <c r="G825" i="3"/>
  <c r="F825" i="3"/>
  <c r="E825" i="3"/>
  <c r="D825" i="3"/>
  <c r="C825" i="3"/>
  <c r="A825" i="3"/>
  <c r="J825" i="3" s="1"/>
  <c r="M824" i="3"/>
  <c r="L824" i="3"/>
  <c r="K824" i="3"/>
  <c r="J824" i="3"/>
  <c r="H824" i="3"/>
  <c r="E824" i="3"/>
  <c r="D824" i="3"/>
  <c r="C824" i="3"/>
  <c r="B824" i="3"/>
  <c r="A824" i="3"/>
  <c r="I824" i="3" s="1"/>
  <c r="J823" i="3"/>
  <c r="H823" i="3"/>
  <c r="G823" i="3"/>
  <c r="A823" i="3"/>
  <c r="I823" i="3" s="1"/>
  <c r="M822" i="3"/>
  <c r="L822" i="3"/>
  <c r="K822" i="3"/>
  <c r="J822" i="3"/>
  <c r="H822" i="3"/>
  <c r="G822" i="3"/>
  <c r="F822" i="3"/>
  <c r="E822" i="3"/>
  <c r="D822" i="3"/>
  <c r="C822" i="3"/>
  <c r="B822" i="3"/>
  <c r="A822" i="3"/>
  <c r="I822" i="3" s="1"/>
  <c r="L821" i="3"/>
  <c r="K821" i="3"/>
  <c r="I821" i="3"/>
  <c r="C821" i="3"/>
  <c r="B821" i="3"/>
  <c r="A821" i="3"/>
  <c r="I820" i="3"/>
  <c r="H820" i="3"/>
  <c r="F820" i="3"/>
  <c r="A820" i="3"/>
  <c r="M819" i="3"/>
  <c r="L819" i="3"/>
  <c r="K819" i="3"/>
  <c r="F819" i="3"/>
  <c r="E819" i="3"/>
  <c r="D819" i="3"/>
  <c r="C819" i="3"/>
  <c r="A819" i="3"/>
  <c r="J819" i="3" s="1"/>
  <c r="J818" i="3"/>
  <c r="H818" i="3"/>
  <c r="C818" i="3"/>
  <c r="A818" i="3"/>
  <c r="K818" i="3" s="1"/>
  <c r="M817" i="3"/>
  <c r="L817" i="3"/>
  <c r="K817" i="3"/>
  <c r="H817" i="3"/>
  <c r="G817" i="3"/>
  <c r="F817" i="3"/>
  <c r="E817" i="3"/>
  <c r="D817" i="3"/>
  <c r="C817" i="3"/>
  <c r="A817" i="3"/>
  <c r="J817" i="3" s="1"/>
  <c r="M816" i="3"/>
  <c r="L816" i="3"/>
  <c r="K816" i="3"/>
  <c r="J816" i="3"/>
  <c r="H816" i="3"/>
  <c r="E816" i="3"/>
  <c r="D816" i="3"/>
  <c r="C816" i="3"/>
  <c r="B816" i="3"/>
  <c r="A816" i="3"/>
  <c r="I816" i="3" s="1"/>
  <c r="J815" i="3"/>
  <c r="I815" i="3"/>
  <c r="G815" i="3"/>
  <c r="A815" i="3"/>
  <c r="M814" i="3"/>
  <c r="L814" i="3"/>
  <c r="K814" i="3"/>
  <c r="J814" i="3"/>
  <c r="H814" i="3"/>
  <c r="G814" i="3"/>
  <c r="F814" i="3"/>
  <c r="E814" i="3"/>
  <c r="D814" i="3"/>
  <c r="C814" i="3"/>
  <c r="B814" i="3"/>
  <c r="A814" i="3"/>
  <c r="I814" i="3" s="1"/>
  <c r="D813" i="3"/>
  <c r="B813" i="3"/>
  <c r="A813" i="3"/>
  <c r="A812" i="3"/>
  <c r="M811" i="3"/>
  <c r="L811" i="3"/>
  <c r="K811" i="3"/>
  <c r="F811" i="3"/>
  <c r="E811" i="3"/>
  <c r="D811" i="3"/>
  <c r="C811" i="3"/>
  <c r="A811" i="3"/>
  <c r="J811" i="3" s="1"/>
  <c r="J810" i="3"/>
  <c r="I810" i="3"/>
  <c r="C810" i="3"/>
  <c r="A810" i="3"/>
  <c r="K810" i="3" s="1"/>
  <c r="M809" i="3"/>
  <c r="L809" i="3"/>
  <c r="K809" i="3"/>
  <c r="H809" i="3"/>
  <c r="G809" i="3"/>
  <c r="F809" i="3"/>
  <c r="E809" i="3"/>
  <c r="D809" i="3"/>
  <c r="C809" i="3"/>
  <c r="A809" i="3"/>
  <c r="J809" i="3" s="1"/>
  <c r="M808" i="3"/>
  <c r="L808" i="3"/>
  <c r="K808" i="3"/>
  <c r="J808" i="3"/>
  <c r="H808" i="3"/>
  <c r="E808" i="3"/>
  <c r="D808" i="3"/>
  <c r="C808" i="3"/>
  <c r="B808" i="3"/>
  <c r="A808" i="3"/>
  <c r="I808" i="3" s="1"/>
  <c r="I807" i="3"/>
  <c r="G807" i="3"/>
  <c r="B807" i="3"/>
  <c r="A807" i="3"/>
  <c r="M806" i="3"/>
  <c r="L806" i="3"/>
  <c r="K806" i="3"/>
  <c r="J806" i="3"/>
  <c r="H806" i="3"/>
  <c r="G806" i="3"/>
  <c r="F806" i="3"/>
  <c r="E806" i="3"/>
  <c r="D806" i="3"/>
  <c r="C806" i="3"/>
  <c r="B806" i="3"/>
  <c r="A806" i="3"/>
  <c r="I806" i="3" s="1"/>
  <c r="J805" i="3"/>
  <c r="D805" i="3"/>
  <c r="C805" i="3"/>
  <c r="A805" i="3"/>
  <c r="L805" i="3" s="1"/>
  <c r="A804" i="3"/>
  <c r="M803" i="3"/>
  <c r="L803" i="3"/>
  <c r="K803" i="3"/>
  <c r="F803" i="3"/>
  <c r="E803" i="3"/>
  <c r="D803" i="3"/>
  <c r="C803" i="3"/>
  <c r="A803" i="3"/>
  <c r="J803" i="3" s="1"/>
  <c r="K802" i="3"/>
  <c r="I802" i="3"/>
  <c r="C802" i="3"/>
  <c r="B802" i="3"/>
  <c r="A802" i="3"/>
  <c r="M801" i="3"/>
  <c r="L801" i="3"/>
  <c r="K801" i="3"/>
  <c r="H801" i="3"/>
  <c r="G801" i="3"/>
  <c r="F801" i="3"/>
  <c r="E801" i="3"/>
  <c r="D801" i="3"/>
  <c r="C801" i="3"/>
  <c r="A801" i="3"/>
  <c r="J801" i="3" s="1"/>
  <c r="M800" i="3"/>
  <c r="L800" i="3"/>
  <c r="K800" i="3"/>
  <c r="J800" i="3"/>
  <c r="H800" i="3"/>
  <c r="E800" i="3"/>
  <c r="D800" i="3"/>
  <c r="C800" i="3"/>
  <c r="B800" i="3"/>
  <c r="A800" i="3"/>
  <c r="I800" i="3" s="1"/>
  <c r="H799" i="3"/>
  <c r="B799" i="3"/>
  <c r="A799" i="3"/>
  <c r="M798" i="3"/>
  <c r="L798" i="3"/>
  <c r="K798" i="3"/>
  <c r="J798" i="3"/>
  <c r="H798" i="3"/>
  <c r="G798" i="3"/>
  <c r="F798" i="3"/>
  <c r="E798" i="3"/>
  <c r="D798" i="3"/>
  <c r="C798" i="3"/>
  <c r="B798" i="3"/>
  <c r="A798" i="3"/>
  <c r="I798" i="3" s="1"/>
  <c r="L797" i="3"/>
  <c r="J797" i="3"/>
  <c r="I797" i="3"/>
  <c r="C797" i="3"/>
  <c r="A797" i="3"/>
  <c r="K797" i="3" s="1"/>
  <c r="I796" i="3"/>
  <c r="H796" i="3"/>
  <c r="G796" i="3"/>
  <c r="F796" i="3"/>
  <c r="A796" i="3"/>
  <c r="M795" i="3"/>
  <c r="L795" i="3"/>
  <c r="K795" i="3"/>
  <c r="F795" i="3"/>
  <c r="E795" i="3"/>
  <c r="D795" i="3"/>
  <c r="C795" i="3"/>
  <c r="A795" i="3"/>
  <c r="J795" i="3" s="1"/>
  <c r="H794" i="3"/>
  <c r="A794" i="3"/>
  <c r="M793" i="3"/>
  <c r="L793" i="3"/>
  <c r="K793" i="3"/>
  <c r="H793" i="3"/>
  <c r="G793" i="3"/>
  <c r="F793" i="3"/>
  <c r="E793" i="3"/>
  <c r="D793" i="3"/>
  <c r="C793" i="3"/>
  <c r="A793" i="3"/>
  <c r="J793" i="3" s="1"/>
  <c r="M792" i="3"/>
  <c r="L792" i="3"/>
  <c r="K792" i="3"/>
  <c r="J792" i="3"/>
  <c r="H792" i="3"/>
  <c r="E792" i="3"/>
  <c r="D792" i="3"/>
  <c r="C792" i="3"/>
  <c r="B792" i="3"/>
  <c r="A792" i="3"/>
  <c r="I792" i="3" s="1"/>
  <c r="J791" i="3"/>
  <c r="H791" i="3"/>
  <c r="G791" i="3"/>
  <c r="A791" i="3"/>
  <c r="I791" i="3" s="1"/>
  <c r="M790" i="3"/>
  <c r="L790" i="3"/>
  <c r="K790" i="3"/>
  <c r="J790" i="3"/>
  <c r="H790" i="3"/>
  <c r="G790" i="3"/>
  <c r="F790" i="3"/>
  <c r="E790" i="3"/>
  <c r="D790" i="3"/>
  <c r="C790" i="3"/>
  <c r="B790" i="3"/>
  <c r="A790" i="3"/>
  <c r="I790" i="3" s="1"/>
  <c r="L789" i="3"/>
  <c r="K789" i="3"/>
  <c r="I789" i="3"/>
  <c r="C789" i="3"/>
  <c r="B789" i="3"/>
  <c r="A789" i="3"/>
  <c r="I788" i="3"/>
  <c r="H788" i="3"/>
  <c r="F788" i="3"/>
  <c r="A788" i="3"/>
  <c r="M787" i="3"/>
  <c r="L787" i="3"/>
  <c r="K787" i="3"/>
  <c r="F787" i="3"/>
  <c r="E787" i="3"/>
  <c r="D787" i="3"/>
  <c r="C787" i="3"/>
  <c r="A787" i="3"/>
  <c r="J787" i="3" s="1"/>
  <c r="J786" i="3"/>
  <c r="H786" i="3"/>
  <c r="C786" i="3"/>
  <c r="A786" i="3"/>
  <c r="K786" i="3" s="1"/>
  <c r="M785" i="3"/>
  <c r="L785" i="3"/>
  <c r="K785" i="3"/>
  <c r="H785" i="3"/>
  <c r="G785" i="3"/>
  <c r="F785" i="3"/>
  <c r="E785" i="3"/>
  <c r="D785" i="3"/>
  <c r="C785" i="3"/>
  <c r="A785" i="3"/>
  <c r="J785" i="3" s="1"/>
  <c r="M784" i="3"/>
  <c r="L784" i="3"/>
  <c r="K784" i="3"/>
  <c r="J784" i="3"/>
  <c r="H784" i="3"/>
  <c r="E784" i="3"/>
  <c r="D784" i="3"/>
  <c r="C784" i="3"/>
  <c r="B784" i="3"/>
  <c r="A784" i="3"/>
  <c r="I784" i="3" s="1"/>
  <c r="J783" i="3"/>
  <c r="I783" i="3"/>
  <c r="G783" i="3"/>
  <c r="A783" i="3"/>
  <c r="M782" i="3"/>
  <c r="L782" i="3"/>
  <c r="K782" i="3"/>
  <c r="J782" i="3"/>
  <c r="H782" i="3"/>
  <c r="G782" i="3"/>
  <c r="F782" i="3"/>
  <c r="E782" i="3"/>
  <c r="D782" i="3"/>
  <c r="C782" i="3"/>
  <c r="B782" i="3"/>
  <c r="A782" i="3"/>
  <c r="I782" i="3" s="1"/>
  <c r="A781" i="3"/>
  <c r="A780" i="3"/>
  <c r="M779" i="3"/>
  <c r="L779" i="3"/>
  <c r="K779" i="3"/>
  <c r="F779" i="3"/>
  <c r="E779" i="3"/>
  <c r="D779" i="3"/>
  <c r="C779" i="3"/>
  <c r="A779" i="3"/>
  <c r="J779" i="3" s="1"/>
  <c r="J778" i="3"/>
  <c r="I778" i="3"/>
  <c r="C778" i="3"/>
  <c r="A778" i="3"/>
  <c r="K778" i="3" s="1"/>
  <c r="M777" i="3"/>
  <c r="L777" i="3"/>
  <c r="K777" i="3"/>
  <c r="H777" i="3"/>
  <c r="G777" i="3"/>
  <c r="F777" i="3"/>
  <c r="E777" i="3"/>
  <c r="D777" i="3"/>
  <c r="C777" i="3"/>
  <c r="A777" i="3"/>
  <c r="J777" i="3" s="1"/>
  <c r="M776" i="3"/>
  <c r="L776" i="3"/>
  <c r="K776" i="3"/>
  <c r="J776" i="3"/>
  <c r="H776" i="3"/>
  <c r="E776" i="3"/>
  <c r="D776" i="3"/>
  <c r="C776" i="3"/>
  <c r="B776" i="3"/>
  <c r="A776" i="3"/>
  <c r="I776" i="3" s="1"/>
  <c r="I775" i="3"/>
  <c r="G775" i="3"/>
  <c r="B775" i="3"/>
  <c r="A775" i="3"/>
  <c r="M774" i="3"/>
  <c r="L774" i="3"/>
  <c r="K774" i="3"/>
  <c r="J774" i="3"/>
  <c r="H774" i="3"/>
  <c r="G774" i="3"/>
  <c r="F774" i="3"/>
  <c r="E774" i="3"/>
  <c r="D774" i="3"/>
  <c r="C774" i="3"/>
  <c r="B774" i="3"/>
  <c r="A774" i="3"/>
  <c r="I774" i="3" s="1"/>
  <c r="J773" i="3"/>
  <c r="D773" i="3"/>
  <c r="C773" i="3"/>
  <c r="A773" i="3"/>
  <c r="L773" i="3" s="1"/>
  <c r="A772" i="3"/>
  <c r="M771" i="3"/>
  <c r="L771" i="3"/>
  <c r="K771" i="3"/>
  <c r="F771" i="3"/>
  <c r="E771" i="3"/>
  <c r="D771" i="3"/>
  <c r="C771" i="3"/>
  <c r="A771" i="3"/>
  <c r="J771" i="3" s="1"/>
  <c r="K770" i="3"/>
  <c r="I770" i="3"/>
  <c r="C770" i="3"/>
  <c r="B770" i="3"/>
  <c r="A770" i="3"/>
  <c r="M769" i="3"/>
  <c r="L769" i="3"/>
  <c r="K769" i="3"/>
  <c r="H769" i="3"/>
  <c r="G769" i="3"/>
  <c r="F769" i="3"/>
  <c r="E769" i="3"/>
  <c r="D769" i="3"/>
  <c r="C769" i="3"/>
  <c r="A769" i="3"/>
  <c r="J769" i="3" s="1"/>
  <c r="M768" i="3"/>
  <c r="L768" i="3"/>
  <c r="K768" i="3"/>
  <c r="J768" i="3"/>
  <c r="H768" i="3"/>
  <c r="E768" i="3"/>
  <c r="D768" i="3"/>
  <c r="C768" i="3"/>
  <c r="B768" i="3"/>
  <c r="A768" i="3"/>
  <c r="I768" i="3" s="1"/>
  <c r="H767" i="3"/>
  <c r="B767" i="3"/>
  <c r="A767" i="3"/>
  <c r="M766" i="3"/>
  <c r="L766" i="3"/>
  <c r="K766" i="3"/>
  <c r="J766" i="3"/>
  <c r="H766" i="3"/>
  <c r="G766" i="3"/>
  <c r="F766" i="3"/>
  <c r="E766" i="3"/>
  <c r="D766" i="3"/>
  <c r="C766" i="3"/>
  <c r="B766" i="3"/>
  <c r="A766" i="3"/>
  <c r="I766" i="3" s="1"/>
  <c r="L765" i="3"/>
  <c r="J765" i="3"/>
  <c r="I765" i="3"/>
  <c r="C765" i="3"/>
  <c r="A765" i="3"/>
  <c r="K765" i="3" s="1"/>
  <c r="I764" i="3"/>
  <c r="H764" i="3"/>
  <c r="G764" i="3"/>
  <c r="F764" i="3"/>
  <c r="A764" i="3"/>
  <c r="M763" i="3"/>
  <c r="L763" i="3"/>
  <c r="K763" i="3"/>
  <c r="F763" i="3"/>
  <c r="E763" i="3"/>
  <c r="D763" i="3"/>
  <c r="C763" i="3"/>
  <c r="A763" i="3"/>
  <c r="J763" i="3" s="1"/>
  <c r="A762" i="3"/>
  <c r="M761" i="3"/>
  <c r="L761" i="3"/>
  <c r="K761" i="3"/>
  <c r="H761" i="3"/>
  <c r="G761" i="3"/>
  <c r="F761" i="3"/>
  <c r="E761" i="3"/>
  <c r="D761" i="3"/>
  <c r="C761" i="3"/>
  <c r="A761" i="3"/>
  <c r="J761" i="3" s="1"/>
  <c r="M760" i="3"/>
  <c r="L760" i="3"/>
  <c r="K760" i="3"/>
  <c r="J760" i="3"/>
  <c r="H760" i="3"/>
  <c r="E760" i="3"/>
  <c r="D760" i="3"/>
  <c r="C760" i="3"/>
  <c r="B760" i="3"/>
  <c r="A760" i="3"/>
  <c r="I760" i="3" s="1"/>
  <c r="J759" i="3"/>
  <c r="H759" i="3"/>
  <c r="G759" i="3"/>
  <c r="A759" i="3"/>
  <c r="I759" i="3" s="1"/>
  <c r="M758" i="3"/>
  <c r="L758" i="3"/>
  <c r="K758" i="3"/>
  <c r="J758" i="3"/>
  <c r="H758" i="3"/>
  <c r="G758" i="3"/>
  <c r="F758" i="3"/>
  <c r="E758" i="3"/>
  <c r="D758" i="3"/>
  <c r="C758" i="3"/>
  <c r="B758" i="3"/>
  <c r="A758" i="3"/>
  <c r="I758" i="3" s="1"/>
  <c r="L757" i="3"/>
  <c r="K757" i="3"/>
  <c r="I757" i="3"/>
  <c r="C757" i="3"/>
  <c r="B757" i="3"/>
  <c r="A757" i="3"/>
  <c r="I756" i="3"/>
  <c r="H756" i="3"/>
  <c r="F756" i="3"/>
  <c r="A756" i="3"/>
  <c r="M755" i="3"/>
  <c r="L755" i="3"/>
  <c r="K755" i="3"/>
  <c r="F755" i="3"/>
  <c r="E755" i="3"/>
  <c r="D755" i="3"/>
  <c r="C755" i="3"/>
  <c r="A755" i="3"/>
  <c r="J755" i="3" s="1"/>
  <c r="J754" i="3"/>
  <c r="H754" i="3"/>
  <c r="C754" i="3"/>
  <c r="A754" i="3"/>
  <c r="K754" i="3" s="1"/>
  <c r="M753" i="3"/>
  <c r="L753" i="3"/>
  <c r="K753" i="3"/>
  <c r="H753" i="3"/>
  <c r="G753" i="3"/>
  <c r="F753" i="3"/>
  <c r="E753" i="3"/>
  <c r="D753" i="3"/>
  <c r="C753" i="3"/>
  <c r="A753" i="3"/>
  <c r="J753" i="3" s="1"/>
  <c r="M752" i="3"/>
  <c r="L752" i="3"/>
  <c r="K752" i="3"/>
  <c r="J752" i="3"/>
  <c r="H752" i="3"/>
  <c r="E752" i="3"/>
  <c r="D752" i="3"/>
  <c r="C752" i="3"/>
  <c r="B752" i="3"/>
  <c r="A752" i="3"/>
  <c r="I752" i="3" s="1"/>
  <c r="J751" i="3"/>
  <c r="I751" i="3"/>
  <c r="G751" i="3"/>
  <c r="A751" i="3"/>
  <c r="M750" i="3"/>
  <c r="L750" i="3"/>
  <c r="K750" i="3"/>
  <c r="J750" i="3"/>
  <c r="H750" i="3"/>
  <c r="G750" i="3"/>
  <c r="F750" i="3"/>
  <c r="E750" i="3"/>
  <c r="D750" i="3"/>
  <c r="C750" i="3"/>
  <c r="B750" i="3"/>
  <c r="A750" i="3"/>
  <c r="I750" i="3" s="1"/>
  <c r="A749" i="3"/>
  <c r="A748" i="3"/>
  <c r="M747" i="3"/>
  <c r="L747" i="3"/>
  <c r="K747" i="3"/>
  <c r="F747" i="3"/>
  <c r="E747" i="3"/>
  <c r="D747" i="3"/>
  <c r="C747" i="3"/>
  <c r="A747" i="3"/>
  <c r="J747" i="3" s="1"/>
  <c r="J746" i="3"/>
  <c r="I746" i="3"/>
  <c r="C746" i="3"/>
  <c r="A746" i="3"/>
  <c r="K746" i="3" s="1"/>
  <c r="M745" i="3"/>
  <c r="L745" i="3"/>
  <c r="K745" i="3"/>
  <c r="H745" i="3"/>
  <c r="G745" i="3"/>
  <c r="F745" i="3"/>
  <c r="E745" i="3"/>
  <c r="D745" i="3"/>
  <c r="C745" i="3"/>
  <c r="A745" i="3"/>
  <c r="J745" i="3" s="1"/>
  <c r="M744" i="3"/>
  <c r="L744" i="3"/>
  <c r="K744" i="3"/>
  <c r="J744" i="3"/>
  <c r="H744" i="3"/>
  <c r="E744" i="3"/>
  <c r="D744" i="3"/>
  <c r="C744" i="3"/>
  <c r="B744" i="3"/>
  <c r="A744" i="3"/>
  <c r="I744" i="3" s="1"/>
  <c r="I743" i="3"/>
  <c r="G743" i="3"/>
  <c r="B743" i="3"/>
  <c r="A743" i="3"/>
  <c r="M742" i="3"/>
  <c r="L742" i="3"/>
  <c r="K742" i="3"/>
  <c r="J742" i="3"/>
  <c r="H742" i="3"/>
  <c r="G742" i="3"/>
  <c r="F742" i="3"/>
  <c r="E742" i="3"/>
  <c r="D742" i="3"/>
  <c r="C742" i="3"/>
  <c r="B742" i="3"/>
  <c r="A742" i="3"/>
  <c r="I742" i="3" s="1"/>
  <c r="J741" i="3"/>
  <c r="D741" i="3"/>
  <c r="C741" i="3"/>
  <c r="A741" i="3"/>
  <c r="L741" i="3" s="1"/>
  <c r="A740" i="3"/>
  <c r="M739" i="3"/>
  <c r="L739" i="3"/>
  <c r="K739" i="3"/>
  <c r="F739" i="3"/>
  <c r="E739" i="3"/>
  <c r="D739" i="3"/>
  <c r="C739" i="3"/>
  <c r="A739" i="3"/>
  <c r="J739" i="3" s="1"/>
  <c r="K738" i="3"/>
  <c r="I738" i="3"/>
  <c r="C738" i="3"/>
  <c r="B738" i="3"/>
  <c r="A738" i="3"/>
  <c r="M737" i="3"/>
  <c r="L737" i="3"/>
  <c r="K737" i="3"/>
  <c r="H737" i="3"/>
  <c r="G737" i="3"/>
  <c r="F737" i="3"/>
  <c r="E737" i="3"/>
  <c r="D737" i="3"/>
  <c r="C737" i="3"/>
  <c r="A737" i="3"/>
  <c r="J737" i="3" s="1"/>
  <c r="M736" i="3"/>
  <c r="L736" i="3"/>
  <c r="K736" i="3"/>
  <c r="J736" i="3"/>
  <c r="H736" i="3"/>
  <c r="E736" i="3"/>
  <c r="D736" i="3"/>
  <c r="C736" i="3"/>
  <c r="B736" i="3"/>
  <c r="A736" i="3"/>
  <c r="I736" i="3" s="1"/>
  <c r="A735" i="3"/>
  <c r="M734" i="3"/>
  <c r="L734" i="3"/>
  <c r="K734" i="3"/>
  <c r="J734" i="3"/>
  <c r="H734" i="3"/>
  <c r="G734" i="3"/>
  <c r="F734" i="3"/>
  <c r="E734" i="3"/>
  <c r="D734" i="3"/>
  <c r="C734" i="3"/>
  <c r="B734" i="3"/>
  <c r="A734" i="3"/>
  <c r="I734" i="3" s="1"/>
  <c r="L733" i="3"/>
  <c r="J733" i="3"/>
  <c r="I733" i="3"/>
  <c r="C733" i="3"/>
  <c r="A733" i="3"/>
  <c r="K733" i="3" s="1"/>
  <c r="I732" i="3"/>
  <c r="H732" i="3"/>
  <c r="G732" i="3"/>
  <c r="F732" i="3"/>
  <c r="A732" i="3"/>
  <c r="M731" i="3"/>
  <c r="L731" i="3"/>
  <c r="K731" i="3"/>
  <c r="F731" i="3"/>
  <c r="E731" i="3"/>
  <c r="D731" i="3"/>
  <c r="C731" i="3"/>
  <c r="A731" i="3"/>
  <c r="J731" i="3" s="1"/>
  <c r="H730" i="3"/>
  <c r="B730" i="3"/>
  <c r="A730" i="3"/>
  <c r="M729" i="3"/>
  <c r="L729" i="3"/>
  <c r="K729" i="3"/>
  <c r="H729" i="3"/>
  <c r="G729" i="3"/>
  <c r="F729" i="3"/>
  <c r="E729" i="3"/>
  <c r="D729" i="3"/>
  <c r="C729" i="3"/>
  <c r="A729" i="3"/>
  <c r="J729" i="3" s="1"/>
  <c r="M728" i="3"/>
  <c r="L728" i="3"/>
  <c r="K728" i="3"/>
  <c r="J728" i="3"/>
  <c r="H728" i="3"/>
  <c r="E728" i="3"/>
  <c r="D728" i="3"/>
  <c r="C728" i="3"/>
  <c r="B728" i="3"/>
  <c r="A728" i="3"/>
  <c r="I728" i="3" s="1"/>
  <c r="J727" i="3"/>
  <c r="H727" i="3"/>
  <c r="G727" i="3"/>
  <c r="A727" i="3"/>
  <c r="I727" i="3" s="1"/>
  <c r="M726" i="3"/>
  <c r="L726" i="3"/>
  <c r="K726" i="3"/>
  <c r="J726" i="3"/>
  <c r="H726" i="3"/>
  <c r="G726" i="3"/>
  <c r="F726" i="3"/>
  <c r="E726" i="3"/>
  <c r="D726" i="3"/>
  <c r="C726" i="3"/>
  <c r="B726" i="3"/>
  <c r="A726" i="3"/>
  <c r="I726" i="3" s="1"/>
  <c r="L725" i="3"/>
  <c r="K725" i="3"/>
  <c r="I725" i="3"/>
  <c r="C725" i="3"/>
  <c r="B725" i="3"/>
  <c r="A725" i="3"/>
  <c r="I724" i="3"/>
  <c r="H724" i="3"/>
  <c r="F724" i="3"/>
  <c r="A724" i="3"/>
  <c r="M723" i="3"/>
  <c r="L723" i="3"/>
  <c r="K723" i="3"/>
  <c r="F723" i="3"/>
  <c r="E723" i="3"/>
  <c r="D723" i="3"/>
  <c r="C723" i="3"/>
  <c r="A723" i="3"/>
  <c r="J723" i="3" s="1"/>
  <c r="J722" i="3"/>
  <c r="H722" i="3"/>
  <c r="C722" i="3"/>
  <c r="A722" i="3"/>
  <c r="K722" i="3" s="1"/>
  <c r="M721" i="3"/>
  <c r="L721" i="3"/>
  <c r="K721" i="3"/>
  <c r="H721" i="3"/>
  <c r="G721" i="3"/>
  <c r="F721" i="3"/>
  <c r="E721" i="3"/>
  <c r="D721" i="3"/>
  <c r="C721" i="3"/>
  <c r="A721" i="3"/>
  <c r="J721" i="3" s="1"/>
  <c r="M720" i="3"/>
  <c r="L720" i="3"/>
  <c r="K720" i="3"/>
  <c r="J720" i="3"/>
  <c r="H720" i="3"/>
  <c r="E720" i="3"/>
  <c r="D720" i="3"/>
  <c r="C720" i="3"/>
  <c r="B720" i="3"/>
  <c r="A720" i="3"/>
  <c r="I720" i="3" s="1"/>
  <c r="J719" i="3"/>
  <c r="I719" i="3"/>
  <c r="G719" i="3"/>
  <c r="A719" i="3"/>
  <c r="M718" i="3"/>
  <c r="L718" i="3"/>
  <c r="K718" i="3"/>
  <c r="J718" i="3"/>
  <c r="H718" i="3"/>
  <c r="G718" i="3"/>
  <c r="F718" i="3"/>
  <c r="E718" i="3"/>
  <c r="D718" i="3"/>
  <c r="C718" i="3"/>
  <c r="B718" i="3"/>
  <c r="A718" i="3"/>
  <c r="I718" i="3" s="1"/>
  <c r="D717" i="3"/>
  <c r="A717" i="3"/>
  <c r="A716" i="3"/>
  <c r="M715" i="3"/>
  <c r="L715" i="3"/>
  <c r="K715" i="3"/>
  <c r="F715" i="3"/>
  <c r="E715" i="3"/>
  <c r="D715" i="3"/>
  <c r="C715" i="3"/>
  <c r="A715" i="3"/>
  <c r="J715" i="3" s="1"/>
  <c r="J714" i="3"/>
  <c r="I714" i="3"/>
  <c r="C714" i="3"/>
  <c r="A714" i="3"/>
  <c r="K714" i="3" s="1"/>
  <c r="M713" i="3"/>
  <c r="L713" i="3"/>
  <c r="K713" i="3"/>
  <c r="H713" i="3"/>
  <c r="G713" i="3"/>
  <c r="F713" i="3"/>
  <c r="E713" i="3"/>
  <c r="D713" i="3"/>
  <c r="C713" i="3"/>
  <c r="A713" i="3"/>
  <c r="J713" i="3" s="1"/>
  <c r="M712" i="3"/>
  <c r="L712" i="3"/>
  <c r="K712" i="3"/>
  <c r="J712" i="3"/>
  <c r="H712" i="3"/>
  <c r="E712" i="3"/>
  <c r="D712" i="3"/>
  <c r="C712" i="3"/>
  <c r="B712" i="3"/>
  <c r="A712" i="3"/>
  <c r="I712" i="3" s="1"/>
  <c r="I711" i="3"/>
  <c r="G711" i="3"/>
  <c r="B711" i="3"/>
  <c r="A711" i="3"/>
  <c r="M710" i="3"/>
  <c r="L710" i="3"/>
  <c r="K710" i="3"/>
  <c r="J710" i="3"/>
  <c r="H710" i="3"/>
  <c r="G710" i="3"/>
  <c r="F710" i="3"/>
  <c r="E710" i="3"/>
  <c r="D710" i="3"/>
  <c r="C710" i="3"/>
  <c r="B710" i="3"/>
  <c r="A710" i="3"/>
  <c r="I710" i="3" s="1"/>
  <c r="J709" i="3"/>
  <c r="D709" i="3"/>
  <c r="C709" i="3"/>
  <c r="A709" i="3"/>
  <c r="L709" i="3" s="1"/>
  <c r="G708" i="3"/>
  <c r="A708" i="3"/>
  <c r="M707" i="3"/>
  <c r="L707" i="3"/>
  <c r="K707" i="3"/>
  <c r="F707" i="3"/>
  <c r="E707" i="3"/>
  <c r="D707" i="3"/>
  <c r="C707" i="3"/>
  <c r="A707" i="3"/>
  <c r="J707" i="3" s="1"/>
  <c r="K706" i="3"/>
  <c r="I706" i="3"/>
  <c r="C706" i="3"/>
  <c r="B706" i="3"/>
  <c r="A706" i="3"/>
  <c r="M705" i="3"/>
  <c r="L705" i="3"/>
  <c r="K705" i="3"/>
  <c r="H705" i="3"/>
  <c r="G705" i="3"/>
  <c r="F705" i="3"/>
  <c r="E705" i="3"/>
  <c r="D705" i="3"/>
  <c r="C705" i="3"/>
  <c r="A705" i="3"/>
  <c r="J705" i="3" s="1"/>
  <c r="M704" i="3"/>
  <c r="L704" i="3"/>
  <c r="K704" i="3"/>
  <c r="J704" i="3"/>
  <c r="H704" i="3"/>
  <c r="E704" i="3"/>
  <c r="D704" i="3"/>
  <c r="C704" i="3"/>
  <c r="B704" i="3"/>
  <c r="A704" i="3"/>
  <c r="I704" i="3" s="1"/>
  <c r="A703" i="3"/>
  <c r="M702" i="3"/>
  <c r="L702" i="3"/>
  <c r="K702" i="3"/>
  <c r="J702" i="3"/>
  <c r="H702" i="3"/>
  <c r="G702" i="3"/>
  <c r="F702" i="3"/>
  <c r="E702" i="3"/>
  <c r="D702" i="3"/>
  <c r="C702" i="3"/>
  <c r="B702" i="3"/>
  <c r="A702" i="3"/>
  <c r="I702" i="3" s="1"/>
  <c r="L701" i="3"/>
  <c r="J701" i="3"/>
  <c r="I701" i="3"/>
  <c r="C701" i="3"/>
  <c r="A701" i="3"/>
  <c r="K701" i="3" s="1"/>
  <c r="I700" i="3"/>
  <c r="H700" i="3"/>
  <c r="G700" i="3"/>
  <c r="F700" i="3"/>
  <c r="A700" i="3"/>
  <c r="M699" i="3"/>
  <c r="L699" i="3"/>
  <c r="K699" i="3"/>
  <c r="F699" i="3"/>
  <c r="E699" i="3"/>
  <c r="D699" i="3"/>
  <c r="C699" i="3"/>
  <c r="A699" i="3"/>
  <c r="J699" i="3" s="1"/>
  <c r="H698" i="3"/>
  <c r="B698" i="3"/>
  <c r="A698" i="3"/>
  <c r="M697" i="3"/>
  <c r="L697" i="3"/>
  <c r="K697" i="3"/>
  <c r="H697" i="3"/>
  <c r="G697" i="3"/>
  <c r="F697" i="3"/>
  <c r="E697" i="3"/>
  <c r="D697" i="3"/>
  <c r="C697" i="3"/>
  <c r="A697" i="3"/>
  <c r="J697" i="3" s="1"/>
  <c r="M696" i="3"/>
  <c r="L696" i="3"/>
  <c r="K696" i="3"/>
  <c r="J696" i="3"/>
  <c r="H696" i="3"/>
  <c r="E696" i="3"/>
  <c r="D696" i="3"/>
  <c r="C696" i="3"/>
  <c r="B696" i="3"/>
  <c r="A696" i="3"/>
  <c r="I696" i="3" s="1"/>
  <c r="J695" i="3"/>
  <c r="H695" i="3"/>
  <c r="G695" i="3"/>
  <c r="A695" i="3"/>
  <c r="I695" i="3" s="1"/>
  <c r="M694" i="3"/>
  <c r="L694" i="3"/>
  <c r="K694" i="3"/>
  <c r="J694" i="3"/>
  <c r="H694" i="3"/>
  <c r="G694" i="3"/>
  <c r="F694" i="3"/>
  <c r="E694" i="3"/>
  <c r="D694" i="3"/>
  <c r="C694" i="3"/>
  <c r="B694" i="3"/>
  <c r="A694" i="3"/>
  <c r="I694" i="3" s="1"/>
  <c r="L693" i="3"/>
  <c r="K693" i="3"/>
  <c r="I693" i="3"/>
  <c r="D693" i="3"/>
  <c r="C693" i="3"/>
  <c r="B693" i="3"/>
  <c r="A693" i="3"/>
  <c r="I692" i="3"/>
  <c r="H692" i="3"/>
  <c r="F692" i="3"/>
  <c r="A692" i="3"/>
  <c r="M691" i="3"/>
  <c r="L691" i="3"/>
  <c r="K691" i="3"/>
  <c r="F691" i="3"/>
  <c r="E691" i="3"/>
  <c r="D691" i="3"/>
  <c r="C691" i="3"/>
  <c r="A691" i="3"/>
  <c r="J691" i="3" s="1"/>
  <c r="J690" i="3"/>
  <c r="H690" i="3"/>
  <c r="C690" i="3"/>
  <c r="A690" i="3"/>
  <c r="K690" i="3" s="1"/>
  <c r="M689" i="3"/>
  <c r="L689" i="3"/>
  <c r="K689" i="3"/>
  <c r="H689" i="3"/>
  <c r="G689" i="3"/>
  <c r="F689" i="3"/>
  <c r="E689" i="3"/>
  <c r="D689" i="3"/>
  <c r="C689" i="3"/>
  <c r="A689" i="3"/>
  <c r="J689" i="3" s="1"/>
  <c r="M688" i="3"/>
  <c r="L688" i="3"/>
  <c r="K688" i="3"/>
  <c r="J688" i="3"/>
  <c r="H688" i="3"/>
  <c r="E688" i="3"/>
  <c r="D688" i="3"/>
  <c r="C688" i="3"/>
  <c r="B688" i="3"/>
  <c r="A688" i="3"/>
  <c r="I688" i="3" s="1"/>
  <c r="J687" i="3"/>
  <c r="I687" i="3"/>
  <c r="G687" i="3"/>
  <c r="A687" i="3"/>
  <c r="M686" i="3"/>
  <c r="L686" i="3"/>
  <c r="K686" i="3"/>
  <c r="J686" i="3"/>
  <c r="H686" i="3"/>
  <c r="G686" i="3"/>
  <c r="F686" i="3"/>
  <c r="E686" i="3"/>
  <c r="D686" i="3"/>
  <c r="C686" i="3"/>
  <c r="B686" i="3"/>
  <c r="A686" i="3"/>
  <c r="I686" i="3" s="1"/>
  <c r="A685" i="3"/>
  <c r="A684" i="3"/>
  <c r="M683" i="3"/>
  <c r="L683" i="3"/>
  <c r="K683" i="3"/>
  <c r="F683" i="3"/>
  <c r="E683" i="3"/>
  <c r="D683" i="3"/>
  <c r="C683" i="3"/>
  <c r="A683" i="3"/>
  <c r="J683" i="3" s="1"/>
  <c r="J682" i="3"/>
  <c r="I682" i="3"/>
  <c r="C682" i="3"/>
  <c r="A682" i="3"/>
  <c r="K682" i="3" s="1"/>
  <c r="M681" i="3"/>
  <c r="L681" i="3"/>
  <c r="K681" i="3"/>
  <c r="H681" i="3"/>
  <c r="G681" i="3"/>
  <c r="F681" i="3"/>
  <c r="E681" i="3"/>
  <c r="D681" i="3"/>
  <c r="C681" i="3"/>
  <c r="A681" i="3"/>
  <c r="J681" i="3" s="1"/>
  <c r="M680" i="3"/>
  <c r="L680" i="3"/>
  <c r="K680" i="3"/>
  <c r="J680" i="3"/>
  <c r="H680" i="3"/>
  <c r="E680" i="3"/>
  <c r="D680" i="3"/>
  <c r="C680" i="3"/>
  <c r="B680" i="3"/>
  <c r="A680" i="3"/>
  <c r="I680" i="3" s="1"/>
  <c r="I679" i="3"/>
  <c r="H679" i="3"/>
  <c r="G679" i="3"/>
  <c r="B679" i="3"/>
  <c r="A679" i="3"/>
  <c r="M678" i="3"/>
  <c r="L678" i="3"/>
  <c r="K678" i="3"/>
  <c r="J678" i="3"/>
  <c r="H678" i="3"/>
  <c r="G678" i="3"/>
  <c r="F678" i="3"/>
  <c r="E678" i="3"/>
  <c r="D678" i="3"/>
  <c r="C678" i="3"/>
  <c r="B678" i="3"/>
  <c r="A678" i="3"/>
  <c r="I678" i="3" s="1"/>
  <c r="J677" i="3"/>
  <c r="D677" i="3"/>
  <c r="C677" i="3"/>
  <c r="A677" i="3"/>
  <c r="L677" i="3" s="1"/>
  <c r="A676" i="3"/>
  <c r="M675" i="3"/>
  <c r="L675" i="3"/>
  <c r="K675" i="3"/>
  <c r="F675" i="3"/>
  <c r="E675" i="3"/>
  <c r="D675" i="3"/>
  <c r="C675" i="3"/>
  <c r="A675" i="3"/>
  <c r="J675" i="3" s="1"/>
  <c r="K674" i="3"/>
  <c r="I674" i="3"/>
  <c r="H674" i="3"/>
  <c r="C674" i="3"/>
  <c r="B674" i="3"/>
  <c r="A674" i="3"/>
  <c r="M673" i="3"/>
  <c r="L673" i="3"/>
  <c r="K673" i="3"/>
  <c r="H673" i="3"/>
  <c r="G673" i="3"/>
  <c r="F673" i="3"/>
  <c r="E673" i="3"/>
  <c r="D673" i="3"/>
  <c r="C673" i="3"/>
  <c r="A673" i="3"/>
  <c r="J673" i="3" s="1"/>
  <c r="M672" i="3"/>
  <c r="L672" i="3"/>
  <c r="K672" i="3"/>
  <c r="J672" i="3"/>
  <c r="H672" i="3"/>
  <c r="E672" i="3"/>
  <c r="D672" i="3"/>
  <c r="C672" i="3"/>
  <c r="B672" i="3"/>
  <c r="A672" i="3"/>
  <c r="I672" i="3" s="1"/>
  <c r="A671" i="3"/>
  <c r="M670" i="3"/>
  <c r="L670" i="3"/>
  <c r="K670" i="3"/>
  <c r="J670" i="3"/>
  <c r="H670" i="3"/>
  <c r="G670" i="3"/>
  <c r="F670" i="3"/>
  <c r="E670" i="3"/>
  <c r="D670" i="3"/>
  <c r="C670" i="3"/>
  <c r="B670" i="3"/>
  <c r="A670" i="3"/>
  <c r="I670" i="3" s="1"/>
  <c r="L669" i="3"/>
  <c r="J669" i="3"/>
  <c r="I669" i="3"/>
  <c r="C669" i="3"/>
  <c r="A669" i="3"/>
  <c r="K669" i="3" s="1"/>
  <c r="I668" i="3"/>
  <c r="H668" i="3"/>
  <c r="G668" i="3"/>
  <c r="F668" i="3"/>
  <c r="A668" i="3"/>
  <c r="M667" i="3"/>
  <c r="L667" i="3"/>
  <c r="K667" i="3"/>
  <c r="F667" i="3"/>
  <c r="E667" i="3"/>
  <c r="D667" i="3"/>
  <c r="C667" i="3"/>
  <c r="A667" i="3"/>
  <c r="J667" i="3" s="1"/>
  <c r="H666" i="3"/>
  <c r="B666" i="3"/>
  <c r="A666" i="3"/>
  <c r="M665" i="3"/>
  <c r="L665" i="3"/>
  <c r="K665" i="3"/>
  <c r="H665" i="3"/>
  <c r="G665" i="3"/>
  <c r="F665" i="3"/>
  <c r="E665" i="3"/>
  <c r="D665" i="3"/>
  <c r="C665" i="3"/>
  <c r="A665" i="3"/>
  <c r="J665" i="3" s="1"/>
  <c r="M664" i="3"/>
  <c r="L664" i="3"/>
  <c r="K664" i="3"/>
  <c r="J664" i="3"/>
  <c r="H664" i="3"/>
  <c r="E664" i="3"/>
  <c r="D664" i="3"/>
  <c r="C664" i="3"/>
  <c r="B664" i="3"/>
  <c r="A664" i="3"/>
  <c r="I664" i="3" s="1"/>
  <c r="J663" i="3"/>
  <c r="H663" i="3"/>
  <c r="G663" i="3"/>
  <c r="A663" i="3"/>
  <c r="I663" i="3" s="1"/>
  <c r="M662" i="3"/>
  <c r="L662" i="3"/>
  <c r="K662" i="3"/>
  <c r="J662" i="3"/>
  <c r="H662" i="3"/>
  <c r="G662" i="3"/>
  <c r="F662" i="3"/>
  <c r="E662" i="3"/>
  <c r="D662" i="3"/>
  <c r="C662" i="3"/>
  <c r="B662" i="3"/>
  <c r="A662" i="3"/>
  <c r="I662" i="3" s="1"/>
  <c r="L661" i="3"/>
  <c r="K661" i="3"/>
  <c r="I661" i="3"/>
  <c r="D661" i="3"/>
  <c r="C661" i="3"/>
  <c r="B661" i="3"/>
  <c r="A661" i="3"/>
  <c r="I660" i="3"/>
  <c r="H660" i="3"/>
  <c r="F660" i="3"/>
  <c r="A660" i="3"/>
  <c r="M659" i="3"/>
  <c r="L659" i="3"/>
  <c r="K659" i="3"/>
  <c r="F659" i="3"/>
  <c r="E659" i="3"/>
  <c r="D659" i="3"/>
  <c r="C659" i="3"/>
  <c r="A659" i="3"/>
  <c r="J659" i="3" s="1"/>
  <c r="J658" i="3"/>
  <c r="H658" i="3"/>
  <c r="C658" i="3"/>
  <c r="A658" i="3"/>
  <c r="K658" i="3" s="1"/>
  <c r="M657" i="3"/>
  <c r="L657" i="3"/>
  <c r="K657" i="3"/>
  <c r="H657" i="3"/>
  <c r="G657" i="3"/>
  <c r="F657" i="3"/>
  <c r="E657" i="3"/>
  <c r="D657" i="3"/>
  <c r="C657" i="3"/>
  <c r="A657" i="3"/>
  <c r="J657" i="3" s="1"/>
  <c r="M656" i="3"/>
  <c r="L656" i="3"/>
  <c r="K656" i="3"/>
  <c r="J656" i="3"/>
  <c r="H656" i="3"/>
  <c r="E656" i="3"/>
  <c r="D656" i="3"/>
  <c r="C656" i="3"/>
  <c r="B656" i="3"/>
  <c r="A656" i="3"/>
  <c r="I656" i="3" s="1"/>
  <c r="J655" i="3"/>
  <c r="I655" i="3"/>
  <c r="G655" i="3"/>
  <c r="A655" i="3"/>
  <c r="M654" i="3"/>
  <c r="L654" i="3"/>
  <c r="K654" i="3"/>
  <c r="J654" i="3"/>
  <c r="H654" i="3"/>
  <c r="G654" i="3"/>
  <c r="F654" i="3"/>
  <c r="E654" i="3"/>
  <c r="D654" i="3"/>
  <c r="C654" i="3"/>
  <c r="B654" i="3"/>
  <c r="A654" i="3"/>
  <c r="I654" i="3" s="1"/>
  <c r="A653" i="3"/>
  <c r="A652" i="3"/>
  <c r="M651" i="3"/>
  <c r="L651" i="3"/>
  <c r="K651" i="3"/>
  <c r="F651" i="3"/>
  <c r="E651" i="3"/>
  <c r="D651" i="3"/>
  <c r="C651" i="3"/>
  <c r="A651" i="3"/>
  <c r="J651" i="3" s="1"/>
  <c r="J650" i="3"/>
  <c r="I650" i="3"/>
  <c r="C650" i="3"/>
  <c r="A650" i="3"/>
  <c r="K650" i="3" s="1"/>
  <c r="M649" i="3"/>
  <c r="L649" i="3"/>
  <c r="K649" i="3"/>
  <c r="H649" i="3"/>
  <c r="G649" i="3"/>
  <c r="F649" i="3"/>
  <c r="E649" i="3"/>
  <c r="D649" i="3"/>
  <c r="C649" i="3"/>
  <c r="A649" i="3"/>
  <c r="J649" i="3" s="1"/>
  <c r="M648" i="3"/>
  <c r="L648" i="3"/>
  <c r="K648" i="3"/>
  <c r="J648" i="3"/>
  <c r="H648" i="3"/>
  <c r="E648" i="3"/>
  <c r="D648" i="3"/>
  <c r="C648" i="3"/>
  <c r="B648" i="3"/>
  <c r="A648" i="3"/>
  <c r="I648" i="3" s="1"/>
  <c r="A647" i="3"/>
  <c r="M646" i="3"/>
  <c r="L646" i="3"/>
  <c r="K646" i="3"/>
  <c r="J646" i="3"/>
  <c r="H646" i="3"/>
  <c r="G646" i="3"/>
  <c r="F646" i="3"/>
  <c r="E646" i="3"/>
  <c r="D646" i="3"/>
  <c r="C646" i="3"/>
  <c r="B646" i="3"/>
  <c r="A646" i="3"/>
  <c r="I646" i="3" s="1"/>
  <c r="A645" i="3"/>
  <c r="I644" i="3"/>
  <c r="H644" i="3"/>
  <c r="F644" i="3"/>
  <c r="A644" i="3"/>
  <c r="L644" i="3" s="1"/>
  <c r="A643" i="3"/>
  <c r="J642" i="3"/>
  <c r="A642" i="3"/>
  <c r="M641" i="3"/>
  <c r="L641" i="3"/>
  <c r="K641" i="3"/>
  <c r="H641" i="3"/>
  <c r="G641" i="3"/>
  <c r="F641" i="3"/>
  <c r="E641" i="3"/>
  <c r="D641" i="3"/>
  <c r="C641" i="3"/>
  <c r="A641" i="3"/>
  <c r="J641" i="3" s="1"/>
  <c r="M640" i="3"/>
  <c r="L640" i="3"/>
  <c r="K640" i="3"/>
  <c r="J640" i="3"/>
  <c r="H640" i="3"/>
  <c r="E640" i="3"/>
  <c r="D640" i="3"/>
  <c r="C640" i="3"/>
  <c r="B640" i="3"/>
  <c r="A640" i="3"/>
  <c r="I640" i="3" s="1"/>
  <c r="M639" i="3"/>
  <c r="J639" i="3"/>
  <c r="I639" i="3"/>
  <c r="H639" i="3"/>
  <c r="G639" i="3"/>
  <c r="E639" i="3"/>
  <c r="B639" i="3"/>
  <c r="A639" i="3"/>
  <c r="M638" i="3"/>
  <c r="L638" i="3"/>
  <c r="K638" i="3"/>
  <c r="J638" i="3"/>
  <c r="H638" i="3"/>
  <c r="G638" i="3"/>
  <c r="F638" i="3"/>
  <c r="E638" i="3"/>
  <c r="D638" i="3"/>
  <c r="C638" i="3"/>
  <c r="B638" i="3"/>
  <c r="A638" i="3"/>
  <c r="I638" i="3" s="1"/>
  <c r="K637" i="3"/>
  <c r="J637" i="3"/>
  <c r="G637" i="3"/>
  <c r="C637" i="3"/>
  <c r="B637" i="3"/>
  <c r="A637" i="3"/>
  <c r="A636" i="3"/>
  <c r="L635" i="3"/>
  <c r="K635" i="3"/>
  <c r="F635" i="3"/>
  <c r="D635" i="3"/>
  <c r="C635" i="3"/>
  <c r="A635" i="3"/>
  <c r="K634" i="3"/>
  <c r="J634" i="3"/>
  <c r="H634" i="3"/>
  <c r="C634" i="3"/>
  <c r="B634" i="3"/>
  <c r="A634" i="3"/>
  <c r="M633" i="3"/>
  <c r="L633" i="3"/>
  <c r="K633" i="3"/>
  <c r="H633" i="3"/>
  <c r="G633" i="3"/>
  <c r="F633" i="3"/>
  <c r="E633" i="3"/>
  <c r="D633" i="3"/>
  <c r="C633" i="3"/>
  <c r="A633" i="3"/>
  <c r="J633" i="3" s="1"/>
  <c r="M632" i="3"/>
  <c r="L632" i="3"/>
  <c r="K632" i="3"/>
  <c r="J632" i="3"/>
  <c r="H632" i="3"/>
  <c r="E632" i="3"/>
  <c r="D632" i="3"/>
  <c r="C632" i="3"/>
  <c r="B632" i="3"/>
  <c r="A632" i="3"/>
  <c r="I632" i="3" s="1"/>
  <c r="I631" i="3"/>
  <c r="G631" i="3"/>
  <c r="E631" i="3"/>
  <c r="A631" i="3"/>
  <c r="M631" i="3" s="1"/>
  <c r="M630" i="3"/>
  <c r="L630" i="3"/>
  <c r="K630" i="3"/>
  <c r="J630" i="3"/>
  <c r="H630" i="3"/>
  <c r="G630" i="3"/>
  <c r="F630" i="3"/>
  <c r="E630" i="3"/>
  <c r="D630" i="3"/>
  <c r="C630" i="3"/>
  <c r="B630" i="3"/>
  <c r="A630" i="3"/>
  <c r="I630" i="3" s="1"/>
  <c r="A629" i="3"/>
  <c r="L628" i="3"/>
  <c r="H628" i="3"/>
  <c r="F628" i="3"/>
  <c r="D628" i="3"/>
  <c r="A628" i="3"/>
  <c r="A627" i="3"/>
  <c r="A626" i="3"/>
  <c r="M625" i="3"/>
  <c r="L625" i="3"/>
  <c r="K625" i="3"/>
  <c r="H625" i="3"/>
  <c r="G625" i="3"/>
  <c r="F625" i="3"/>
  <c r="E625" i="3"/>
  <c r="D625" i="3"/>
  <c r="C625" i="3"/>
  <c r="A625" i="3"/>
  <c r="J625" i="3" s="1"/>
  <c r="M624" i="3"/>
  <c r="L624" i="3"/>
  <c r="K624" i="3"/>
  <c r="J624" i="3"/>
  <c r="H624" i="3"/>
  <c r="E624" i="3"/>
  <c r="D624" i="3"/>
  <c r="C624" i="3"/>
  <c r="B624" i="3"/>
  <c r="A624" i="3"/>
  <c r="I624" i="3" s="1"/>
  <c r="M623" i="3"/>
  <c r="J623" i="3"/>
  <c r="H623" i="3"/>
  <c r="G623" i="3"/>
  <c r="B623" i="3"/>
  <c r="A623" i="3"/>
  <c r="I623" i="3" s="1"/>
  <c r="M622" i="3"/>
  <c r="L622" i="3"/>
  <c r="K622" i="3"/>
  <c r="J622" i="3"/>
  <c r="H622" i="3"/>
  <c r="G622" i="3"/>
  <c r="F622" i="3"/>
  <c r="E622" i="3"/>
  <c r="D622" i="3"/>
  <c r="C622" i="3"/>
  <c r="B622" i="3"/>
  <c r="A622" i="3"/>
  <c r="I622" i="3" s="1"/>
  <c r="L621" i="3"/>
  <c r="D621" i="3"/>
  <c r="A621" i="3"/>
  <c r="A620" i="3"/>
  <c r="A619" i="3"/>
  <c r="F618" i="3"/>
  <c r="B618" i="3"/>
  <c r="A618" i="3"/>
  <c r="M617" i="3"/>
  <c r="L617" i="3"/>
  <c r="K617" i="3"/>
  <c r="H617" i="3"/>
  <c r="G617" i="3"/>
  <c r="F617" i="3"/>
  <c r="E617" i="3"/>
  <c r="D617" i="3"/>
  <c r="C617" i="3"/>
  <c r="A617" i="3"/>
  <c r="J617" i="3" s="1"/>
  <c r="M616" i="3"/>
  <c r="L616" i="3"/>
  <c r="K616" i="3"/>
  <c r="J616" i="3"/>
  <c r="H616" i="3"/>
  <c r="E616" i="3"/>
  <c r="D616" i="3"/>
  <c r="C616" i="3"/>
  <c r="B616" i="3"/>
  <c r="A616" i="3"/>
  <c r="I616" i="3" s="1"/>
  <c r="M615" i="3"/>
  <c r="I615" i="3"/>
  <c r="H615" i="3"/>
  <c r="E615" i="3"/>
  <c r="A615" i="3"/>
  <c r="J615" i="3" s="1"/>
  <c r="M614" i="3"/>
  <c r="L614" i="3"/>
  <c r="K614" i="3"/>
  <c r="J614" i="3"/>
  <c r="H614" i="3"/>
  <c r="G614" i="3"/>
  <c r="F614" i="3"/>
  <c r="E614" i="3"/>
  <c r="D614" i="3"/>
  <c r="C614" i="3"/>
  <c r="B614" i="3"/>
  <c r="A614" i="3"/>
  <c r="I614" i="3" s="1"/>
  <c r="K613" i="3"/>
  <c r="J613" i="3"/>
  <c r="I613" i="3"/>
  <c r="G613" i="3"/>
  <c r="D613" i="3"/>
  <c r="C613" i="3"/>
  <c r="B613" i="3"/>
  <c r="A613" i="3"/>
  <c r="G612" i="3"/>
  <c r="D612" i="3"/>
  <c r="A612" i="3"/>
  <c r="L611" i="3"/>
  <c r="K611" i="3"/>
  <c r="I611" i="3"/>
  <c r="F611" i="3"/>
  <c r="E611" i="3"/>
  <c r="D611" i="3"/>
  <c r="C611" i="3"/>
  <c r="A611" i="3"/>
  <c r="K610" i="3"/>
  <c r="J610" i="3"/>
  <c r="I610" i="3"/>
  <c r="H610" i="3"/>
  <c r="F610" i="3"/>
  <c r="C610" i="3"/>
  <c r="B610" i="3"/>
  <c r="A610" i="3"/>
  <c r="M609" i="3"/>
  <c r="L609" i="3"/>
  <c r="K609" i="3"/>
  <c r="H609" i="3"/>
  <c r="G609" i="3"/>
  <c r="F609" i="3"/>
  <c r="E609" i="3"/>
  <c r="D609" i="3"/>
  <c r="C609" i="3"/>
  <c r="A609" i="3"/>
  <c r="J609" i="3" s="1"/>
  <c r="M608" i="3"/>
  <c r="L608" i="3"/>
  <c r="K608" i="3"/>
  <c r="J608" i="3"/>
  <c r="H608" i="3"/>
  <c r="E608" i="3"/>
  <c r="D608" i="3"/>
  <c r="C608" i="3"/>
  <c r="B608" i="3"/>
  <c r="A608" i="3"/>
  <c r="I608" i="3" s="1"/>
  <c r="J607" i="3"/>
  <c r="A607" i="3"/>
  <c r="M606" i="3"/>
  <c r="L606" i="3"/>
  <c r="K606" i="3"/>
  <c r="J606" i="3"/>
  <c r="H606" i="3"/>
  <c r="G606" i="3"/>
  <c r="F606" i="3"/>
  <c r="E606" i="3"/>
  <c r="D606" i="3"/>
  <c r="C606" i="3"/>
  <c r="B606" i="3"/>
  <c r="A606" i="3"/>
  <c r="I606" i="3" s="1"/>
  <c r="I605" i="3"/>
  <c r="D605" i="3"/>
  <c r="C605" i="3"/>
  <c r="A605" i="3"/>
  <c r="K605" i="3" s="1"/>
  <c r="L604" i="3"/>
  <c r="I604" i="3"/>
  <c r="H604" i="3"/>
  <c r="G604" i="3"/>
  <c r="F604" i="3"/>
  <c r="D604" i="3"/>
  <c r="A604" i="3"/>
  <c r="I603" i="3"/>
  <c r="E603" i="3"/>
  <c r="D603" i="3"/>
  <c r="A603" i="3"/>
  <c r="L603" i="3" s="1"/>
  <c r="I602" i="3"/>
  <c r="F602" i="3"/>
  <c r="C602" i="3"/>
  <c r="A602" i="3"/>
  <c r="K602" i="3" s="1"/>
  <c r="M601" i="3"/>
  <c r="L601" i="3"/>
  <c r="K601" i="3"/>
  <c r="H601" i="3"/>
  <c r="G601" i="3"/>
  <c r="F601" i="3"/>
  <c r="E601" i="3"/>
  <c r="D601" i="3"/>
  <c r="C601" i="3"/>
  <c r="A601" i="3"/>
  <c r="J601" i="3" s="1"/>
  <c r="M600" i="3"/>
  <c r="L600" i="3"/>
  <c r="K600" i="3"/>
  <c r="J600" i="3"/>
  <c r="H600" i="3"/>
  <c r="E600" i="3"/>
  <c r="D600" i="3"/>
  <c r="C600" i="3"/>
  <c r="B600" i="3"/>
  <c r="A600" i="3"/>
  <c r="I600" i="3" s="1"/>
  <c r="M599" i="3"/>
  <c r="J599" i="3"/>
  <c r="H599" i="3"/>
  <c r="E599" i="3"/>
  <c r="B599" i="3"/>
  <c r="A599" i="3"/>
  <c r="M598" i="3"/>
  <c r="L598" i="3"/>
  <c r="K598" i="3"/>
  <c r="J598" i="3"/>
  <c r="H598" i="3"/>
  <c r="G598" i="3"/>
  <c r="F598" i="3"/>
  <c r="E598" i="3"/>
  <c r="D598" i="3"/>
  <c r="C598" i="3"/>
  <c r="B598" i="3"/>
  <c r="A598" i="3"/>
  <c r="I598" i="3" s="1"/>
  <c r="K597" i="3"/>
  <c r="J597" i="3"/>
  <c r="I597" i="3"/>
  <c r="G597" i="3"/>
  <c r="D597" i="3"/>
  <c r="B597" i="3"/>
  <c r="A597" i="3"/>
  <c r="I596" i="3"/>
  <c r="G596" i="3"/>
  <c r="F596" i="3"/>
  <c r="A596" i="3"/>
  <c r="L596" i="3" s="1"/>
  <c r="L595" i="3"/>
  <c r="K595" i="3"/>
  <c r="F595" i="3"/>
  <c r="E595" i="3"/>
  <c r="C595" i="3"/>
  <c r="A595" i="3"/>
  <c r="I595" i="3" s="1"/>
  <c r="K594" i="3"/>
  <c r="J594" i="3"/>
  <c r="H594" i="3"/>
  <c r="F594" i="3"/>
  <c r="B594" i="3"/>
  <c r="A594" i="3"/>
  <c r="I594" i="3" s="1"/>
  <c r="M593" i="3"/>
  <c r="L593" i="3"/>
  <c r="K593" i="3"/>
  <c r="H593" i="3"/>
  <c r="G593" i="3"/>
  <c r="F593" i="3"/>
  <c r="E593" i="3"/>
  <c r="D593" i="3"/>
  <c r="C593" i="3"/>
  <c r="A593" i="3"/>
  <c r="J593" i="3" s="1"/>
  <c r="M592" i="3"/>
  <c r="L592" i="3"/>
  <c r="K592" i="3"/>
  <c r="J592" i="3"/>
  <c r="H592" i="3"/>
  <c r="E592" i="3"/>
  <c r="D592" i="3"/>
  <c r="C592" i="3"/>
  <c r="B592" i="3"/>
  <c r="A592" i="3"/>
  <c r="I592" i="3" s="1"/>
  <c r="A591" i="3"/>
  <c r="M590" i="3"/>
  <c r="L590" i="3"/>
  <c r="K590" i="3"/>
  <c r="J590" i="3"/>
  <c r="H590" i="3"/>
  <c r="G590" i="3"/>
  <c r="F590" i="3"/>
  <c r="E590" i="3"/>
  <c r="D590" i="3"/>
  <c r="C590" i="3"/>
  <c r="B590" i="3"/>
  <c r="A590" i="3"/>
  <c r="I590" i="3" s="1"/>
  <c r="K589" i="3"/>
  <c r="I589" i="3"/>
  <c r="G589" i="3"/>
  <c r="C589" i="3"/>
  <c r="A589" i="3"/>
  <c r="J589" i="3" s="1"/>
  <c r="L588" i="3"/>
  <c r="H588" i="3"/>
  <c r="G588" i="3"/>
  <c r="D588" i="3"/>
  <c r="A588" i="3"/>
  <c r="I588" i="3" s="1"/>
  <c r="L587" i="3"/>
  <c r="I587" i="3"/>
  <c r="F587" i="3"/>
  <c r="D587" i="3"/>
  <c r="A587" i="3"/>
  <c r="K587" i="3" s="1"/>
  <c r="K586" i="3"/>
  <c r="I586" i="3"/>
  <c r="H586" i="3"/>
  <c r="C586" i="3"/>
  <c r="A586" i="3"/>
  <c r="J586" i="3" s="1"/>
  <c r="M585" i="3"/>
  <c r="L585" i="3"/>
  <c r="K585" i="3"/>
  <c r="H585" i="3"/>
  <c r="G585" i="3"/>
  <c r="F585" i="3"/>
  <c r="E585" i="3"/>
  <c r="D585" i="3"/>
  <c r="C585" i="3"/>
  <c r="A585" i="3"/>
  <c r="J585" i="3" s="1"/>
  <c r="M584" i="3"/>
  <c r="L584" i="3"/>
  <c r="K584" i="3"/>
  <c r="J584" i="3"/>
  <c r="H584" i="3"/>
  <c r="E584" i="3"/>
  <c r="D584" i="3"/>
  <c r="C584" i="3"/>
  <c r="B584" i="3"/>
  <c r="A584" i="3"/>
  <c r="I584" i="3" s="1"/>
  <c r="A583" i="3"/>
  <c r="M582" i="3"/>
  <c r="L582" i="3"/>
  <c r="K582" i="3"/>
  <c r="J582" i="3"/>
  <c r="H582" i="3"/>
  <c r="G582" i="3"/>
  <c r="F582" i="3"/>
  <c r="E582" i="3"/>
  <c r="D582" i="3"/>
  <c r="C582" i="3"/>
  <c r="B582" i="3"/>
  <c r="A582" i="3"/>
  <c r="I582" i="3" s="1"/>
  <c r="A581" i="3"/>
  <c r="I580" i="3"/>
  <c r="H580" i="3"/>
  <c r="F580" i="3"/>
  <c r="A580" i="3"/>
  <c r="L580" i="3" s="1"/>
  <c r="A579" i="3"/>
  <c r="J578" i="3"/>
  <c r="A578" i="3"/>
  <c r="M577" i="3"/>
  <c r="L577" i="3"/>
  <c r="K577" i="3"/>
  <c r="H577" i="3"/>
  <c r="G577" i="3"/>
  <c r="F577" i="3"/>
  <c r="E577" i="3"/>
  <c r="D577" i="3"/>
  <c r="C577" i="3"/>
  <c r="A577" i="3"/>
  <c r="J577" i="3" s="1"/>
  <c r="M576" i="3"/>
  <c r="L576" i="3"/>
  <c r="K576" i="3"/>
  <c r="J576" i="3"/>
  <c r="H576" i="3"/>
  <c r="E576" i="3"/>
  <c r="D576" i="3"/>
  <c r="C576" i="3"/>
  <c r="B576" i="3"/>
  <c r="A576" i="3"/>
  <c r="I576" i="3" s="1"/>
  <c r="M575" i="3"/>
  <c r="J575" i="3"/>
  <c r="I575" i="3"/>
  <c r="H575" i="3"/>
  <c r="G575" i="3"/>
  <c r="E575" i="3"/>
  <c r="B575" i="3"/>
  <c r="A575" i="3"/>
  <c r="M574" i="3"/>
  <c r="L574" i="3"/>
  <c r="K574" i="3"/>
  <c r="J574" i="3"/>
  <c r="H574" i="3"/>
  <c r="G574" i="3"/>
  <c r="F574" i="3"/>
  <c r="E574" i="3"/>
  <c r="D574" i="3"/>
  <c r="C574" i="3"/>
  <c r="B574" i="3"/>
  <c r="A574" i="3"/>
  <c r="I574" i="3" s="1"/>
  <c r="K573" i="3"/>
  <c r="J573" i="3"/>
  <c r="G573" i="3"/>
  <c r="C573" i="3"/>
  <c r="B573" i="3"/>
  <c r="A573" i="3"/>
  <c r="A572" i="3"/>
  <c r="L571" i="3"/>
  <c r="K571" i="3"/>
  <c r="F571" i="3"/>
  <c r="D571" i="3"/>
  <c r="C571" i="3"/>
  <c r="A571" i="3"/>
  <c r="K570" i="3"/>
  <c r="J570" i="3"/>
  <c r="H570" i="3"/>
  <c r="F570" i="3"/>
  <c r="C570" i="3"/>
  <c r="B570" i="3"/>
  <c r="A570" i="3"/>
  <c r="M569" i="3"/>
  <c r="L569" i="3"/>
  <c r="K569" i="3"/>
  <c r="H569" i="3"/>
  <c r="G569" i="3"/>
  <c r="F569" i="3"/>
  <c r="E569" i="3"/>
  <c r="D569" i="3"/>
  <c r="C569" i="3"/>
  <c r="A569" i="3"/>
  <c r="J569" i="3" s="1"/>
  <c r="M568" i="3"/>
  <c r="L568" i="3"/>
  <c r="K568" i="3"/>
  <c r="J568" i="3"/>
  <c r="H568" i="3"/>
  <c r="E568" i="3"/>
  <c r="D568" i="3"/>
  <c r="C568" i="3"/>
  <c r="B568" i="3"/>
  <c r="A568" i="3"/>
  <c r="I568" i="3" s="1"/>
  <c r="I567" i="3"/>
  <c r="G567" i="3"/>
  <c r="E567" i="3"/>
  <c r="A567" i="3"/>
  <c r="M567" i="3" s="1"/>
  <c r="M566" i="3"/>
  <c r="L566" i="3"/>
  <c r="K566" i="3"/>
  <c r="J566" i="3"/>
  <c r="H566" i="3"/>
  <c r="G566" i="3"/>
  <c r="F566" i="3"/>
  <c r="E566" i="3"/>
  <c r="D566" i="3"/>
  <c r="C566" i="3"/>
  <c r="B566" i="3"/>
  <c r="A566" i="3"/>
  <c r="I566" i="3" s="1"/>
  <c r="A565" i="3"/>
  <c r="L564" i="3"/>
  <c r="H564" i="3"/>
  <c r="G564" i="3"/>
  <c r="F564" i="3"/>
  <c r="D564" i="3"/>
  <c r="A564" i="3"/>
  <c r="L563" i="3"/>
  <c r="A563" i="3"/>
  <c r="K562" i="3"/>
  <c r="A562" i="3"/>
  <c r="M561" i="3"/>
  <c r="L561" i="3"/>
  <c r="K561" i="3"/>
  <c r="H561" i="3"/>
  <c r="G561" i="3"/>
  <c r="F561" i="3"/>
  <c r="E561" i="3"/>
  <c r="D561" i="3"/>
  <c r="C561" i="3"/>
  <c r="A561" i="3"/>
  <c r="J561" i="3" s="1"/>
  <c r="M560" i="3"/>
  <c r="L560" i="3"/>
  <c r="K560" i="3"/>
  <c r="J560" i="3"/>
  <c r="H560" i="3"/>
  <c r="E560" i="3"/>
  <c r="D560" i="3"/>
  <c r="C560" i="3"/>
  <c r="B560" i="3"/>
  <c r="A560" i="3"/>
  <c r="I560" i="3" s="1"/>
  <c r="M559" i="3"/>
  <c r="J559" i="3"/>
  <c r="H559" i="3"/>
  <c r="G559" i="3"/>
  <c r="B559" i="3"/>
  <c r="A559" i="3"/>
  <c r="I559" i="3" s="1"/>
  <c r="M558" i="3"/>
  <c r="L558" i="3"/>
  <c r="K558" i="3"/>
  <c r="J558" i="3"/>
  <c r="H558" i="3"/>
  <c r="G558" i="3"/>
  <c r="F558" i="3"/>
  <c r="E558" i="3"/>
  <c r="D558" i="3"/>
  <c r="C558" i="3"/>
  <c r="B558" i="3"/>
  <c r="A558" i="3"/>
  <c r="I558" i="3" s="1"/>
  <c r="A557" i="3"/>
  <c r="F556" i="3"/>
  <c r="A556" i="3"/>
  <c r="M555" i="3"/>
  <c r="E555" i="3"/>
  <c r="A555" i="3"/>
  <c r="A554" i="3"/>
  <c r="M553" i="3"/>
  <c r="L553" i="3"/>
  <c r="K553" i="3"/>
  <c r="H553" i="3"/>
  <c r="G553" i="3"/>
  <c r="F553" i="3"/>
  <c r="E553" i="3"/>
  <c r="D553" i="3"/>
  <c r="C553" i="3"/>
  <c r="A553" i="3"/>
  <c r="J553" i="3" s="1"/>
  <c r="M552" i="3"/>
  <c r="L552" i="3"/>
  <c r="K552" i="3"/>
  <c r="J552" i="3"/>
  <c r="H552" i="3"/>
  <c r="E552" i="3"/>
  <c r="D552" i="3"/>
  <c r="C552" i="3"/>
  <c r="B552" i="3"/>
  <c r="A552" i="3"/>
  <c r="I552" i="3" s="1"/>
  <c r="M551" i="3"/>
  <c r="I551" i="3"/>
  <c r="H551" i="3"/>
  <c r="E551" i="3"/>
  <c r="A551" i="3"/>
  <c r="J551" i="3" s="1"/>
  <c r="M550" i="3"/>
  <c r="L550" i="3"/>
  <c r="K550" i="3"/>
  <c r="J550" i="3"/>
  <c r="H550" i="3"/>
  <c r="G550" i="3"/>
  <c r="F550" i="3"/>
  <c r="E550" i="3"/>
  <c r="D550" i="3"/>
  <c r="C550" i="3"/>
  <c r="B550" i="3"/>
  <c r="A550" i="3"/>
  <c r="I550" i="3" s="1"/>
  <c r="K549" i="3"/>
  <c r="J549" i="3"/>
  <c r="I549" i="3"/>
  <c r="G549" i="3"/>
  <c r="D549" i="3"/>
  <c r="C549" i="3"/>
  <c r="B549" i="3"/>
  <c r="A549" i="3"/>
  <c r="A548" i="3"/>
  <c r="L547" i="3"/>
  <c r="K547" i="3"/>
  <c r="I547" i="3"/>
  <c r="F547" i="3"/>
  <c r="E547" i="3"/>
  <c r="D547" i="3"/>
  <c r="C547" i="3"/>
  <c r="A547" i="3"/>
  <c r="K546" i="3"/>
  <c r="J546" i="3"/>
  <c r="I546" i="3"/>
  <c r="H546" i="3"/>
  <c r="F546" i="3"/>
  <c r="C546" i="3"/>
  <c r="B546" i="3"/>
  <c r="A546" i="3"/>
  <c r="M545" i="3"/>
  <c r="L545" i="3"/>
  <c r="K545" i="3"/>
  <c r="H545" i="3"/>
  <c r="G545" i="3"/>
  <c r="F545" i="3"/>
  <c r="E545" i="3"/>
  <c r="D545" i="3"/>
  <c r="C545" i="3"/>
  <c r="A545" i="3"/>
  <c r="J545" i="3" s="1"/>
  <c r="M544" i="3"/>
  <c r="L544" i="3"/>
  <c r="K544" i="3"/>
  <c r="J544" i="3"/>
  <c r="H544" i="3"/>
  <c r="E544" i="3"/>
  <c r="D544" i="3"/>
  <c r="C544" i="3"/>
  <c r="B544" i="3"/>
  <c r="A544" i="3"/>
  <c r="I544" i="3" s="1"/>
  <c r="A543" i="3"/>
  <c r="M542" i="3"/>
  <c r="L542" i="3"/>
  <c r="K542" i="3"/>
  <c r="J542" i="3"/>
  <c r="H542" i="3"/>
  <c r="G542" i="3"/>
  <c r="F542" i="3"/>
  <c r="E542" i="3"/>
  <c r="D542" i="3"/>
  <c r="C542" i="3"/>
  <c r="B542" i="3"/>
  <c r="A542" i="3"/>
  <c r="I542" i="3" s="1"/>
  <c r="I541" i="3"/>
  <c r="D541" i="3"/>
  <c r="C541" i="3"/>
  <c r="A541" i="3"/>
  <c r="K541" i="3" s="1"/>
  <c r="L540" i="3"/>
  <c r="I540" i="3"/>
  <c r="H540" i="3"/>
  <c r="G540" i="3"/>
  <c r="F540" i="3"/>
  <c r="D540" i="3"/>
  <c r="A540" i="3"/>
  <c r="I539" i="3"/>
  <c r="E539" i="3"/>
  <c r="D539" i="3"/>
  <c r="A539" i="3"/>
  <c r="L539" i="3" s="1"/>
  <c r="I538" i="3"/>
  <c r="F538" i="3"/>
  <c r="C538" i="3"/>
  <c r="A538" i="3"/>
  <c r="K538" i="3" s="1"/>
  <c r="M537" i="3"/>
  <c r="L537" i="3"/>
  <c r="K537" i="3"/>
  <c r="H537" i="3"/>
  <c r="G537" i="3"/>
  <c r="F537" i="3"/>
  <c r="E537" i="3"/>
  <c r="D537" i="3"/>
  <c r="C537" i="3"/>
  <c r="A537" i="3"/>
  <c r="J537" i="3" s="1"/>
  <c r="M536" i="3"/>
  <c r="L536" i="3"/>
  <c r="K536" i="3"/>
  <c r="J536" i="3"/>
  <c r="H536" i="3"/>
  <c r="E536" i="3"/>
  <c r="D536" i="3"/>
  <c r="C536" i="3"/>
  <c r="B536" i="3"/>
  <c r="A536" i="3"/>
  <c r="I536" i="3" s="1"/>
  <c r="M535" i="3"/>
  <c r="J535" i="3"/>
  <c r="H535" i="3"/>
  <c r="E535" i="3"/>
  <c r="B535" i="3"/>
  <c r="A535" i="3"/>
  <c r="M534" i="3"/>
  <c r="L534" i="3"/>
  <c r="K534" i="3"/>
  <c r="J534" i="3"/>
  <c r="H534" i="3"/>
  <c r="G534" i="3"/>
  <c r="F534" i="3"/>
  <c r="E534" i="3"/>
  <c r="D534" i="3"/>
  <c r="C534" i="3"/>
  <c r="B534" i="3"/>
  <c r="A534" i="3"/>
  <c r="I534" i="3" s="1"/>
  <c r="K533" i="3"/>
  <c r="J533" i="3"/>
  <c r="I533" i="3"/>
  <c r="G533" i="3"/>
  <c r="D533" i="3"/>
  <c r="B533" i="3"/>
  <c r="A533" i="3"/>
  <c r="I532" i="3"/>
  <c r="G532" i="3"/>
  <c r="F532" i="3"/>
  <c r="A532" i="3"/>
  <c r="L532" i="3" s="1"/>
  <c r="L531" i="3"/>
  <c r="K531" i="3"/>
  <c r="I531" i="3"/>
  <c r="F531" i="3"/>
  <c r="E531" i="3"/>
  <c r="C531" i="3"/>
  <c r="A531" i="3"/>
  <c r="K530" i="3"/>
  <c r="J530" i="3"/>
  <c r="H530" i="3"/>
  <c r="F530" i="3"/>
  <c r="B530" i="3"/>
  <c r="A530" i="3"/>
  <c r="I530" i="3" s="1"/>
  <c r="M529" i="3"/>
  <c r="L529" i="3"/>
  <c r="K529" i="3"/>
  <c r="H529" i="3"/>
  <c r="G529" i="3"/>
  <c r="F529" i="3"/>
  <c r="E529" i="3"/>
  <c r="D529" i="3"/>
  <c r="C529" i="3"/>
  <c r="A529" i="3"/>
  <c r="J529" i="3" s="1"/>
  <c r="K528" i="3"/>
  <c r="A528" i="3"/>
  <c r="J527" i="3"/>
  <c r="I527" i="3"/>
  <c r="H527" i="3"/>
  <c r="G527" i="3"/>
  <c r="F527" i="3"/>
  <c r="E527" i="3"/>
  <c r="B527" i="3"/>
  <c r="A527" i="3"/>
  <c r="M526" i="3"/>
  <c r="L526" i="3"/>
  <c r="K526" i="3"/>
  <c r="J526" i="3"/>
  <c r="H526" i="3"/>
  <c r="G526" i="3"/>
  <c r="F526" i="3"/>
  <c r="E526" i="3"/>
  <c r="D526" i="3"/>
  <c r="C526" i="3"/>
  <c r="B526" i="3"/>
  <c r="A526" i="3"/>
  <c r="I526" i="3" s="1"/>
  <c r="K525" i="3"/>
  <c r="A525" i="3"/>
  <c r="A524" i="3"/>
  <c r="L523" i="3"/>
  <c r="J523" i="3"/>
  <c r="I523" i="3"/>
  <c r="E523" i="3"/>
  <c r="D523" i="3"/>
  <c r="B523" i="3"/>
  <c r="A523" i="3"/>
  <c r="F523" i="3" s="1"/>
  <c r="J522" i="3"/>
  <c r="H522" i="3"/>
  <c r="G522" i="3"/>
  <c r="C522" i="3"/>
  <c r="A522" i="3"/>
  <c r="I522" i="3" s="1"/>
  <c r="M521" i="3"/>
  <c r="L521" i="3"/>
  <c r="K521" i="3"/>
  <c r="H521" i="3"/>
  <c r="G521" i="3"/>
  <c r="F521" i="3"/>
  <c r="E521" i="3"/>
  <c r="D521" i="3"/>
  <c r="C521" i="3"/>
  <c r="A521" i="3"/>
  <c r="J521" i="3" s="1"/>
  <c r="M520" i="3"/>
  <c r="L520" i="3"/>
  <c r="J520" i="3"/>
  <c r="I520" i="3"/>
  <c r="H520" i="3"/>
  <c r="E520" i="3"/>
  <c r="D520" i="3"/>
  <c r="C520" i="3"/>
  <c r="B520" i="3"/>
  <c r="A520" i="3"/>
  <c r="H519" i="3"/>
  <c r="F519" i="3"/>
  <c r="E519" i="3"/>
  <c r="A519" i="3"/>
  <c r="J519" i="3" s="1"/>
  <c r="M518" i="3"/>
  <c r="L518" i="3"/>
  <c r="K518" i="3"/>
  <c r="J518" i="3"/>
  <c r="H518" i="3"/>
  <c r="G518" i="3"/>
  <c r="F518" i="3"/>
  <c r="E518" i="3"/>
  <c r="D518" i="3"/>
  <c r="C518" i="3"/>
  <c r="B518" i="3"/>
  <c r="A518" i="3"/>
  <c r="I518" i="3" s="1"/>
  <c r="L517" i="3"/>
  <c r="D517" i="3"/>
  <c r="B517" i="3"/>
  <c r="A517" i="3"/>
  <c r="K517" i="3" s="1"/>
  <c r="L516" i="3"/>
  <c r="I516" i="3"/>
  <c r="H516" i="3"/>
  <c r="G516" i="3"/>
  <c r="F516" i="3"/>
  <c r="E516" i="3"/>
  <c r="D516" i="3"/>
  <c r="A516" i="3"/>
  <c r="M515" i="3"/>
  <c r="J515" i="3"/>
  <c r="F515" i="3"/>
  <c r="E515" i="3"/>
  <c r="C515" i="3"/>
  <c r="A515" i="3"/>
  <c r="I515" i="3" s="1"/>
  <c r="K514" i="3"/>
  <c r="I514" i="3"/>
  <c r="H514" i="3"/>
  <c r="A514" i="3"/>
  <c r="M513" i="3"/>
  <c r="L513" i="3"/>
  <c r="K513" i="3"/>
  <c r="H513" i="3"/>
  <c r="G513" i="3"/>
  <c r="F513" i="3"/>
  <c r="E513" i="3"/>
  <c r="D513" i="3"/>
  <c r="C513" i="3"/>
  <c r="A513" i="3"/>
  <c r="J513" i="3" s="1"/>
  <c r="M512" i="3"/>
  <c r="H512" i="3"/>
  <c r="D512" i="3"/>
  <c r="C512" i="3"/>
  <c r="A512" i="3"/>
  <c r="J512" i="3" s="1"/>
  <c r="J511" i="3"/>
  <c r="I511" i="3"/>
  <c r="G511" i="3"/>
  <c r="F511" i="3"/>
  <c r="B511" i="3"/>
  <c r="A511" i="3"/>
  <c r="H511" i="3" s="1"/>
  <c r="M510" i="3"/>
  <c r="L510" i="3"/>
  <c r="K510" i="3"/>
  <c r="J510" i="3"/>
  <c r="H510" i="3"/>
  <c r="G510" i="3"/>
  <c r="F510" i="3"/>
  <c r="E510" i="3"/>
  <c r="D510" i="3"/>
  <c r="C510" i="3"/>
  <c r="B510" i="3"/>
  <c r="A510" i="3"/>
  <c r="I510" i="3" s="1"/>
  <c r="L509" i="3"/>
  <c r="J509" i="3"/>
  <c r="I509" i="3"/>
  <c r="H509" i="3"/>
  <c r="G509" i="3"/>
  <c r="D509" i="3"/>
  <c r="C509" i="3"/>
  <c r="B509" i="3"/>
  <c r="A509" i="3"/>
  <c r="H508" i="3"/>
  <c r="F508" i="3"/>
  <c r="E508" i="3"/>
  <c r="A508" i="3"/>
  <c r="L508" i="3" s="1"/>
  <c r="A507" i="3"/>
  <c r="J506" i="3"/>
  <c r="I506" i="3"/>
  <c r="G506" i="3"/>
  <c r="C506" i="3"/>
  <c r="B506" i="3"/>
  <c r="A506" i="3"/>
  <c r="M505" i="3"/>
  <c r="L505" i="3"/>
  <c r="K505" i="3"/>
  <c r="H505" i="3"/>
  <c r="G505" i="3"/>
  <c r="F505" i="3"/>
  <c r="E505" i="3"/>
  <c r="D505" i="3"/>
  <c r="C505" i="3"/>
  <c r="A505" i="3"/>
  <c r="J505" i="3" s="1"/>
  <c r="L504" i="3"/>
  <c r="J504" i="3"/>
  <c r="I504" i="3"/>
  <c r="E504" i="3"/>
  <c r="D504" i="3"/>
  <c r="B504" i="3"/>
  <c r="A504" i="3"/>
  <c r="H504" i="3" s="1"/>
  <c r="J503" i="3"/>
  <c r="H503" i="3"/>
  <c r="G503" i="3"/>
  <c r="E503" i="3"/>
  <c r="A503" i="3"/>
  <c r="I503" i="3" s="1"/>
  <c r="M502" i="3"/>
  <c r="L502" i="3"/>
  <c r="K502" i="3"/>
  <c r="J502" i="3"/>
  <c r="H502" i="3"/>
  <c r="G502" i="3"/>
  <c r="F502" i="3"/>
  <c r="E502" i="3"/>
  <c r="D502" i="3"/>
  <c r="C502" i="3"/>
  <c r="B502" i="3"/>
  <c r="A502" i="3"/>
  <c r="I502" i="3" s="1"/>
  <c r="H501" i="3"/>
  <c r="D501" i="3"/>
  <c r="C501" i="3"/>
  <c r="A501" i="3"/>
  <c r="J501" i="3" s="1"/>
  <c r="L500" i="3"/>
  <c r="I500" i="3"/>
  <c r="G500" i="3"/>
  <c r="F500" i="3"/>
  <c r="D500" i="3"/>
  <c r="A500" i="3"/>
  <c r="H500" i="3" s="1"/>
  <c r="M499" i="3"/>
  <c r="L499" i="3"/>
  <c r="J499" i="3"/>
  <c r="I499" i="3"/>
  <c r="E499" i="3"/>
  <c r="C499" i="3"/>
  <c r="B499" i="3"/>
  <c r="A499" i="3"/>
  <c r="K498" i="3"/>
  <c r="J498" i="3"/>
  <c r="C498" i="3"/>
  <c r="A498" i="3"/>
  <c r="M497" i="3"/>
  <c r="L497" i="3"/>
  <c r="K497" i="3"/>
  <c r="H497" i="3"/>
  <c r="G497" i="3"/>
  <c r="F497" i="3"/>
  <c r="E497" i="3"/>
  <c r="D497" i="3"/>
  <c r="C497" i="3"/>
  <c r="A497" i="3"/>
  <c r="J497" i="3" s="1"/>
  <c r="M496" i="3"/>
  <c r="J496" i="3"/>
  <c r="H496" i="3"/>
  <c r="E496" i="3"/>
  <c r="C496" i="3"/>
  <c r="A496" i="3"/>
  <c r="I496" i="3" s="1"/>
  <c r="I495" i="3"/>
  <c r="A495" i="3"/>
  <c r="M494" i="3"/>
  <c r="L494" i="3"/>
  <c r="K494" i="3"/>
  <c r="J494" i="3"/>
  <c r="H494" i="3"/>
  <c r="G494" i="3"/>
  <c r="F494" i="3"/>
  <c r="E494" i="3"/>
  <c r="D494" i="3"/>
  <c r="C494" i="3"/>
  <c r="B494" i="3"/>
  <c r="A494" i="3"/>
  <c r="I494" i="3" s="1"/>
  <c r="L493" i="3"/>
  <c r="J493" i="3"/>
  <c r="I493" i="3"/>
  <c r="G493" i="3"/>
  <c r="D493" i="3"/>
  <c r="B493" i="3"/>
  <c r="A493" i="3"/>
  <c r="H493" i="3" s="1"/>
  <c r="L492" i="3"/>
  <c r="H492" i="3"/>
  <c r="G492" i="3"/>
  <c r="E492" i="3"/>
  <c r="A492" i="3"/>
  <c r="I492" i="3" s="1"/>
  <c r="M491" i="3"/>
  <c r="A491" i="3"/>
  <c r="K490" i="3"/>
  <c r="A490" i="3"/>
  <c r="M489" i="3"/>
  <c r="L489" i="3"/>
  <c r="K489" i="3"/>
  <c r="H489" i="3"/>
  <c r="G489" i="3"/>
  <c r="F489" i="3"/>
  <c r="E489" i="3"/>
  <c r="D489" i="3"/>
  <c r="C489" i="3"/>
  <c r="A489" i="3"/>
  <c r="J489" i="3" s="1"/>
  <c r="I488" i="3"/>
  <c r="H488" i="3"/>
  <c r="A488" i="3"/>
  <c r="J487" i="3"/>
  <c r="I487" i="3"/>
  <c r="G487" i="3"/>
  <c r="E487" i="3"/>
  <c r="B487" i="3"/>
  <c r="A487" i="3"/>
  <c r="M486" i="3"/>
  <c r="L486" i="3"/>
  <c r="K486" i="3"/>
  <c r="J486" i="3"/>
  <c r="H486" i="3"/>
  <c r="G486" i="3"/>
  <c r="F486" i="3"/>
  <c r="E486" i="3"/>
  <c r="D486" i="3"/>
  <c r="C486" i="3"/>
  <c r="B486" i="3"/>
  <c r="A486" i="3"/>
  <c r="I486" i="3" s="1"/>
  <c r="J485" i="3"/>
  <c r="H485" i="3"/>
  <c r="G485" i="3"/>
  <c r="C485" i="3"/>
  <c r="A485" i="3"/>
  <c r="I485" i="3" s="1"/>
  <c r="I484" i="3"/>
  <c r="H484" i="3"/>
  <c r="A484" i="3"/>
  <c r="M484" i="3" s="1"/>
  <c r="L483" i="3"/>
  <c r="D483" i="3"/>
  <c r="B483" i="3"/>
  <c r="A483" i="3"/>
  <c r="J482" i="3"/>
  <c r="I482" i="3"/>
  <c r="H482" i="3"/>
  <c r="G482" i="3"/>
  <c r="F482" i="3"/>
  <c r="C482" i="3"/>
  <c r="B482" i="3"/>
  <c r="A482" i="3"/>
  <c r="M481" i="3"/>
  <c r="L481" i="3"/>
  <c r="K481" i="3"/>
  <c r="H481" i="3"/>
  <c r="G481" i="3"/>
  <c r="F481" i="3"/>
  <c r="E481" i="3"/>
  <c r="D481" i="3"/>
  <c r="C481" i="3"/>
  <c r="A481" i="3"/>
  <c r="J481" i="3" s="1"/>
  <c r="M480" i="3"/>
  <c r="L480" i="3"/>
  <c r="J480" i="3"/>
  <c r="I480" i="3"/>
  <c r="E480" i="3"/>
  <c r="C480" i="3"/>
  <c r="B480" i="3"/>
  <c r="A480" i="3"/>
  <c r="A479" i="3"/>
  <c r="M478" i="3"/>
  <c r="L478" i="3"/>
  <c r="K478" i="3"/>
  <c r="J478" i="3"/>
  <c r="H478" i="3"/>
  <c r="G478" i="3"/>
  <c r="F478" i="3"/>
  <c r="E478" i="3"/>
  <c r="D478" i="3"/>
  <c r="C478" i="3"/>
  <c r="B478" i="3"/>
  <c r="A478" i="3"/>
  <c r="I478" i="3" s="1"/>
  <c r="A477" i="3"/>
  <c r="L476" i="3"/>
  <c r="I476" i="3"/>
  <c r="G476" i="3"/>
  <c r="E476" i="3"/>
  <c r="D476" i="3"/>
  <c r="A476" i="3"/>
  <c r="M475" i="3"/>
  <c r="L475" i="3"/>
  <c r="J475" i="3"/>
  <c r="I475" i="3"/>
  <c r="F475" i="3"/>
  <c r="E475" i="3"/>
  <c r="D475" i="3"/>
  <c r="C475" i="3"/>
  <c r="B475" i="3"/>
  <c r="A475" i="3"/>
  <c r="H474" i="3"/>
  <c r="F474" i="3"/>
  <c r="C474" i="3"/>
  <c r="A474" i="3"/>
  <c r="J474" i="3" s="1"/>
  <c r="M473" i="3"/>
  <c r="L473" i="3"/>
  <c r="K473" i="3"/>
  <c r="H473" i="3"/>
  <c r="G473" i="3"/>
  <c r="F473" i="3"/>
  <c r="E473" i="3"/>
  <c r="D473" i="3"/>
  <c r="C473" i="3"/>
  <c r="A473" i="3"/>
  <c r="J473" i="3" s="1"/>
  <c r="J472" i="3"/>
  <c r="A472" i="3"/>
  <c r="M471" i="3"/>
  <c r="F471" i="3"/>
  <c r="B471" i="3"/>
  <c r="A471" i="3"/>
  <c r="M470" i="3"/>
  <c r="L470" i="3"/>
  <c r="K470" i="3"/>
  <c r="J470" i="3"/>
  <c r="H470" i="3"/>
  <c r="G470" i="3"/>
  <c r="F470" i="3"/>
  <c r="E470" i="3"/>
  <c r="D470" i="3"/>
  <c r="C470" i="3"/>
  <c r="B470" i="3"/>
  <c r="A470" i="3"/>
  <c r="I470" i="3" s="1"/>
  <c r="L469" i="3"/>
  <c r="J469" i="3"/>
  <c r="I469" i="3"/>
  <c r="G469" i="3"/>
  <c r="C469" i="3"/>
  <c r="B469" i="3"/>
  <c r="A469" i="3"/>
  <c r="M468" i="3"/>
  <c r="L468" i="3"/>
  <c r="A468" i="3"/>
  <c r="M467" i="3"/>
  <c r="F467" i="3"/>
  <c r="D467" i="3"/>
  <c r="C467" i="3"/>
  <c r="A467" i="3"/>
  <c r="J467" i="3" s="1"/>
  <c r="J466" i="3"/>
  <c r="I466" i="3"/>
  <c r="G466" i="3"/>
  <c r="F466" i="3"/>
  <c r="B466" i="3"/>
  <c r="A466" i="3"/>
  <c r="H466" i="3" s="1"/>
  <c r="M465" i="3"/>
  <c r="L465" i="3"/>
  <c r="K465" i="3"/>
  <c r="H465" i="3"/>
  <c r="G465" i="3"/>
  <c r="F465" i="3"/>
  <c r="E465" i="3"/>
  <c r="D465" i="3"/>
  <c r="C465" i="3"/>
  <c r="A465" i="3"/>
  <c r="J465" i="3" s="1"/>
  <c r="L464" i="3"/>
  <c r="A464" i="3"/>
  <c r="J463" i="3"/>
  <c r="I463" i="3"/>
  <c r="H463" i="3"/>
  <c r="G463" i="3"/>
  <c r="F463" i="3"/>
  <c r="E463" i="3"/>
  <c r="B463" i="3"/>
  <c r="A463" i="3"/>
  <c r="M462" i="3"/>
  <c r="L462" i="3"/>
  <c r="K462" i="3"/>
  <c r="J462" i="3"/>
  <c r="H462" i="3"/>
  <c r="G462" i="3"/>
  <c r="F462" i="3"/>
  <c r="E462" i="3"/>
  <c r="D462" i="3"/>
  <c r="C462" i="3"/>
  <c r="B462" i="3"/>
  <c r="A462" i="3"/>
  <c r="I462" i="3" s="1"/>
  <c r="A461" i="3"/>
  <c r="A460" i="3"/>
  <c r="L459" i="3"/>
  <c r="J459" i="3"/>
  <c r="I459" i="3"/>
  <c r="E459" i="3"/>
  <c r="D459" i="3"/>
  <c r="B459" i="3"/>
  <c r="A459" i="3"/>
  <c r="F459" i="3" s="1"/>
  <c r="J458" i="3"/>
  <c r="H458" i="3"/>
  <c r="G458" i="3"/>
  <c r="C458" i="3"/>
  <c r="A458" i="3"/>
  <c r="I458" i="3" s="1"/>
  <c r="M457" i="3"/>
  <c r="L457" i="3"/>
  <c r="K457" i="3"/>
  <c r="H457" i="3"/>
  <c r="G457" i="3"/>
  <c r="F457" i="3"/>
  <c r="E457" i="3"/>
  <c r="D457" i="3"/>
  <c r="C457" i="3"/>
  <c r="A457" i="3"/>
  <c r="J457" i="3" s="1"/>
  <c r="M456" i="3"/>
  <c r="L456" i="3"/>
  <c r="J456" i="3"/>
  <c r="I456" i="3"/>
  <c r="H456" i="3"/>
  <c r="E456" i="3"/>
  <c r="D456" i="3"/>
  <c r="C456" i="3"/>
  <c r="B456" i="3"/>
  <c r="A456" i="3"/>
  <c r="H455" i="3"/>
  <c r="F455" i="3"/>
  <c r="E455" i="3"/>
  <c r="A455" i="3"/>
  <c r="J455" i="3" s="1"/>
  <c r="M454" i="3"/>
  <c r="L454" i="3"/>
  <c r="K454" i="3"/>
  <c r="J454" i="3"/>
  <c r="H454" i="3"/>
  <c r="G454" i="3"/>
  <c r="F454" i="3"/>
  <c r="E454" i="3"/>
  <c r="D454" i="3"/>
  <c r="C454" i="3"/>
  <c r="B454" i="3"/>
  <c r="A454" i="3"/>
  <c r="I454" i="3" s="1"/>
  <c r="A453" i="3"/>
  <c r="L452" i="3"/>
  <c r="I452" i="3"/>
  <c r="H452" i="3"/>
  <c r="G452" i="3"/>
  <c r="F452" i="3"/>
  <c r="E452" i="3"/>
  <c r="D452" i="3"/>
  <c r="A452" i="3"/>
  <c r="M451" i="3"/>
  <c r="J451" i="3"/>
  <c r="F451" i="3"/>
  <c r="E451" i="3"/>
  <c r="C451" i="3"/>
  <c r="A451" i="3"/>
  <c r="I451" i="3" s="1"/>
  <c r="I450" i="3"/>
  <c r="A450" i="3"/>
  <c r="M449" i="3"/>
  <c r="L449" i="3"/>
  <c r="K449" i="3"/>
  <c r="H449" i="3"/>
  <c r="G449" i="3"/>
  <c r="F449" i="3"/>
  <c r="E449" i="3"/>
  <c r="D449" i="3"/>
  <c r="C449" i="3"/>
  <c r="A449" i="3"/>
  <c r="J449" i="3" s="1"/>
  <c r="M448" i="3"/>
  <c r="H448" i="3"/>
  <c r="D448" i="3"/>
  <c r="C448" i="3"/>
  <c r="A448" i="3"/>
  <c r="J448" i="3" s="1"/>
  <c r="J447" i="3"/>
  <c r="I447" i="3"/>
  <c r="G447" i="3"/>
  <c r="F447" i="3"/>
  <c r="B447" i="3"/>
  <c r="A447" i="3"/>
  <c r="H447" i="3" s="1"/>
  <c r="M446" i="3"/>
  <c r="L446" i="3"/>
  <c r="K446" i="3"/>
  <c r="J446" i="3"/>
  <c r="H446" i="3"/>
  <c r="G446" i="3"/>
  <c r="F446" i="3"/>
  <c r="E446" i="3"/>
  <c r="D446" i="3"/>
  <c r="C446" i="3"/>
  <c r="B446" i="3"/>
  <c r="A446" i="3"/>
  <c r="I446" i="3" s="1"/>
  <c r="L445" i="3"/>
  <c r="J445" i="3"/>
  <c r="I445" i="3"/>
  <c r="H445" i="3"/>
  <c r="G445" i="3"/>
  <c r="D445" i="3"/>
  <c r="C445" i="3"/>
  <c r="B445" i="3"/>
  <c r="A445" i="3"/>
  <c r="H444" i="3"/>
  <c r="F444" i="3"/>
  <c r="E444" i="3"/>
  <c r="A444" i="3"/>
  <c r="L444" i="3" s="1"/>
  <c r="I443" i="3"/>
  <c r="F443" i="3"/>
  <c r="A443" i="3"/>
  <c r="K443" i="3" s="1"/>
  <c r="J442" i="3"/>
  <c r="I442" i="3"/>
  <c r="G442" i="3"/>
  <c r="C442" i="3"/>
  <c r="B442" i="3"/>
  <c r="A442" i="3"/>
  <c r="M441" i="3"/>
  <c r="L441" i="3"/>
  <c r="K441" i="3"/>
  <c r="H441" i="3"/>
  <c r="G441" i="3"/>
  <c r="F441" i="3"/>
  <c r="E441" i="3"/>
  <c r="D441" i="3"/>
  <c r="C441" i="3"/>
  <c r="A441" i="3"/>
  <c r="J441" i="3" s="1"/>
  <c r="L440" i="3"/>
  <c r="J440" i="3"/>
  <c r="I440" i="3"/>
  <c r="E440" i="3"/>
  <c r="D440" i="3"/>
  <c r="B440" i="3"/>
  <c r="A440" i="3"/>
  <c r="H440" i="3" s="1"/>
  <c r="J439" i="3"/>
  <c r="H439" i="3"/>
  <c r="G439" i="3"/>
  <c r="E439" i="3"/>
  <c r="A439" i="3"/>
  <c r="I439" i="3" s="1"/>
  <c r="M438" i="3"/>
  <c r="L438" i="3"/>
  <c r="K438" i="3"/>
  <c r="J438" i="3"/>
  <c r="H438" i="3"/>
  <c r="G438" i="3"/>
  <c r="F438" i="3"/>
  <c r="E438" i="3"/>
  <c r="D438" i="3"/>
  <c r="C438" i="3"/>
  <c r="B438" i="3"/>
  <c r="A438" i="3"/>
  <c r="I438" i="3" s="1"/>
  <c r="H437" i="3"/>
  <c r="D437" i="3"/>
  <c r="C437" i="3"/>
  <c r="A437" i="3"/>
  <c r="J437" i="3" s="1"/>
  <c r="L436" i="3"/>
  <c r="I436" i="3"/>
  <c r="H436" i="3"/>
  <c r="G436" i="3"/>
  <c r="F436" i="3"/>
  <c r="D436" i="3"/>
  <c r="A436" i="3"/>
  <c r="M435" i="3"/>
  <c r="L435" i="3"/>
  <c r="J435" i="3"/>
  <c r="I435" i="3"/>
  <c r="E435" i="3"/>
  <c r="C435" i="3"/>
  <c r="B435" i="3"/>
  <c r="A435" i="3"/>
  <c r="A434" i="3"/>
  <c r="K434" i="3" s="1"/>
  <c r="M433" i="3"/>
  <c r="L433" i="3"/>
  <c r="K433" i="3"/>
  <c r="H433" i="3"/>
  <c r="G433" i="3"/>
  <c r="F433" i="3"/>
  <c r="E433" i="3"/>
  <c r="D433" i="3"/>
  <c r="C433" i="3"/>
  <c r="A433" i="3"/>
  <c r="J433" i="3" s="1"/>
  <c r="M432" i="3"/>
  <c r="J432" i="3"/>
  <c r="H432" i="3"/>
  <c r="E432" i="3"/>
  <c r="C432" i="3"/>
  <c r="A432" i="3"/>
  <c r="I432" i="3" s="1"/>
  <c r="A431" i="3"/>
  <c r="M430" i="3"/>
  <c r="L430" i="3"/>
  <c r="K430" i="3"/>
  <c r="J430" i="3"/>
  <c r="H430" i="3"/>
  <c r="G430" i="3"/>
  <c r="F430" i="3"/>
  <c r="E430" i="3"/>
  <c r="D430" i="3"/>
  <c r="C430" i="3"/>
  <c r="B430" i="3"/>
  <c r="A430" i="3"/>
  <c r="I430" i="3" s="1"/>
  <c r="L429" i="3"/>
  <c r="J429" i="3"/>
  <c r="I429" i="3"/>
  <c r="H429" i="3"/>
  <c r="G429" i="3"/>
  <c r="D429" i="3"/>
  <c r="B429" i="3"/>
  <c r="A429" i="3"/>
  <c r="L428" i="3"/>
  <c r="H428" i="3"/>
  <c r="G428" i="3"/>
  <c r="E428" i="3"/>
  <c r="A428" i="3"/>
  <c r="I428" i="3" s="1"/>
  <c r="K427" i="3"/>
  <c r="J427" i="3"/>
  <c r="A427" i="3"/>
  <c r="M427" i="3" s="1"/>
  <c r="F426" i="3"/>
  <c r="B426" i="3"/>
  <c r="A426" i="3"/>
  <c r="M425" i="3"/>
  <c r="L425" i="3"/>
  <c r="K425" i="3"/>
  <c r="H425" i="3"/>
  <c r="G425" i="3"/>
  <c r="F425" i="3"/>
  <c r="E425" i="3"/>
  <c r="D425" i="3"/>
  <c r="C425" i="3"/>
  <c r="A425" i="3"/>
  <c r="J425" i="3" s="1"/>
  <c r="A424" i="3"/>
  <c r="J423" i="3"/>
  <c r="I423" i="3"/>
  <c r="G423" i="3"/>
  <c r="E423" i="3"/>
  <c r="B423" i="3"/>
  <c r="A423" i="3"/>
  <c r="M422" i="3"/>
  <c r="L422" i="3"/>
  <c r="K422" i="3"/>
  <c r="J422" i="3"/>
  <c r="H422" i="3"/>
  <c r="G422" i="3"/>
  <c r="F422" i="3"/>
  <c r="E422" i="3"/>
  <c r="D422" i="3"/>
  <c r="C422" i="3"/>
  <c r="B422" i="3"/>
  <c r="A422" i="3"/>
  <c r="I422" i="3" s="1"/>
  <c r="J421" i="3"/>
  <c r="H421" i="3"/>
  <c r="G421" i="3"/>
  <c r="C421" i="3"/>
  <c r="A421" i="3"/>
  <c r="I421" i="3" s="1"/>
  <c r="I420" i="3"/>
  <c r="A420" i="3"/>
  <c r="L419" i="3"/>
  <c r="A419" i="3"/>
  <c r="J418" i="3"/>
  <c r="I418" i="3"/>
  <c r="H418" i="3"/>
  <c r="G418" i="3"/>
  <c r="F418" i="3"/>
  <c r="C418" i="3"/>
  <c r="B418" i="3"/>
  <c r="A418" i="3"/>
  <c r="M417" i="3"/>
  <c r="L417" i="3"/>
  <c r="K417" i="3"/>
  <c r="H417" i="3"/>
  <c r="G417" i="3"/>
  <c r="F417" i="3"/>
  <c r="E417" i="3"/>
  <c r="D417" i="3"/>
  <c r="C417" i="3"/>
  <c r="A417" i="3"/>
  <c r="J417" i="3" s="1"/>
  <c r="M416" i="3"/>
  <c r="L416" i="3"/>
  <c r="J416" i="3"/>
  <c r="I416" i="3"/>
  <c r="E416" i="3"/>
  <c r="C416" i="3"/>
  <c r="B416" i="3"/>
  <c r="A416" i="3"/>
  <c r="M415" i="3"/>
  <c r="J415" i="3"/>
  <c r="A415" i="3"/>
  <c r="M414" i="3"/>
  <c r="L414" i="3"/>
  <c r="K414" i="3"/>
  <c r="J414" i="3"/>
  <c r="H414" i="3"/>
  <c r="G414" i="3"/>
  <c r="F414" i="3"/>
  <c r="E414" i="3"/>
  <c r="D414" i="3"/>
  <c r="C414" i="3"/>
  <c r="B414" i="3"/>
  <c r="A414" i="3"/>
  <c r="I414" i="3" s="1"/>
  <c r="K413" i="3"/>
  <c r="I413" i="3"/>
  <c r="A413" i="3"/>
  <c r="L412" i="3"/>
  <c r="I412" i="3"/>
  <c r="G412" i="3"/>
  <c r="E412" i="3"/>
  <c r="D412" i="3"/>
  <c r="A412" i="3"/>
  <c r="M411" i="3"/>
  <c r="L411" i="3"/>
  <c r="J411" i="3"/>
  <c r="I411" i="3"/>
  <c r="F411" i="3"/>
  <c r="E411" i="3"/>
  <c r="D411" i="3"/>
  <c r="C411" i="3"/>
  <c r="B411" i="3"/>
  <c r="A411" i="3"/>
  <c r="H410" i="3"/>
  <c r="F410" i="3"/>
  <c r="C410" i="3"/>
  <c r="A410" i="3"/>
  <c r="J410" i="3" s="1"/>
  <c r="M409" i="3"/>
  <c r="L409" i="3"/>
  <c r="K409" i="3"/>
  <c r="H409" i="3"/>
  <c r="G409" i="3"/>
  <c r="F409" i="3"/>
  <c r="E409" i="3"/>
  <c r="D409" i="3"/>
  <c r="C409" i="3"/>
  <c r="A409" i="3"/>
  <c r="J409" i="3" s="1"/>
  <c r="A408" i="3"/>
  <c r="F407" i="3"/>
  <c r="B407" i="3"/>
  <c r="A407" i="3"/>
  <c r="M407" i="3" s="1"/>
  <c r="M406" i="3"/>
  <c r="L406" i="3"/>
  <c r="K406" i="3"/>
  <c r="J406" i="3"/>
  <c r="H406" i="3"/>
  <c r="G406" i="3"/>
  <c r="F406" i="3"/>
  <c r="E406" i="3"/>
  <c r="D406" i="3"/>
  <c r="C406" i="3"/>
  <c r="B406" i="3"/>
  <c r="A406" i="3"/>
  <c r="I406" i="3" s="1"/>
  <c r="L405" i="3"/>
  <c r="J405" i="3"/>
  <c r="I405" i="3"/>
  <c r="G405" i="3"/>
  <c r="C405" i="3"/>
  <c r="B405" i="3"/>
  <c r="A405" i="3"/>
  <c r="A404" i="3"/>
  <c r="M404" i="3" s="1"/>
  <c r="M403" i="3"/>
  <c r="F403" i="3"/>
  <c r="D403" i="3"/>
  <c r="C403" i="3"/>
  <c r="A403" i="3"/>
  <c r="J403" i="3" s="1"/>
  <c r="J402" i="3"/>
  <c r="I402" i="3"/>
  <c r="G402" i="3"/>
  <c r="F402" i="3"/>
  <c r="B402" i="3"/>
  <c r="A402" i="3"/>
  <c r="H402" i="3" s="1"/>
  <c r="M401" i="3"/>
  <c r="L401" i="3"/>
  <c r="K401" i="3"/>
  <c r="H401" i="3"/>
  <c r="G401" i="3"/>
  <c r="F401" i="3"/>
  <c r="E401" i="3"/>
  <c r="D401" i="3"/>
  <c r="C401" i="3"/>
  <c r="A401" i="3"/>
  <c r="J401" i="3" s="1"/>
  <c r="K400" i="3"/>
  <c r="D400" i="3"/>
  <c r="A400" i="3"/>
  <c r="L400" i="3" s="1"/>
  <c r="J399" i="3"/>
  <c r="I399" i="3"/>
  <c r="H399" i="3"/>
  <c r="G399" i="3"/>
  <c r="F399" i="3"/>
  <c r="E399" i="3"/>
  <c r="B399" i="3"/>
  <c r="A399" i="3"/>
  <c r="M398" i="3"/>
  <c r="L398" i="3"/>
  <c r="K398" i="3"/>
  <c r="J398" i="3"/>
  <c r="H398" i="3"/>
  <c r="G398" i="3"/>
  <c r="F398" i="3"/>
  <c r="E398" i="3"/>
  <c r="D398" i="3"/>
  <c r="C398" i="3"/>
  <c r="B398" i="3"/>
  <c r="A398" i="3"/>
  <c r="I398" i="3" s="1"/>
  <c r="K397" i="3"/>
  <c r="J397" i="3"/>
  <c r="A397" i="3"/>
  <c r="F396" i="3"/>
  <c r="D396" i="3"/>
  <c r="A396" i="3"/>
  <c r="L395" i="3"/>
  <c r="J395" i="3"/>
  <c r="I395" i="3"/>
  <c r="E395" i="3"/>
  <c r="D395" i="3"/>
  <c r="B395" i="3"/>
  <c r="A395" i="3"/>
  <c r="F395" i="3" s="1"/>
  <c r="J394" i="3"/>
  <c r="H394" i="3"/>
  <c r="G394" i="3"/>
  <c r="C394" i="3"/>
  <c r="A394" i="3"/>
  <c r="I394" i="3" s="1"/>
  <c r="M393" i="3"/>
  <c r="L393" i="3"/>
  <c r="K393" i="3"/>
  <c r="H393" i="3"/>
  <c r="G393" i="3"/>
  <c r="F393" i="3"/>
  <c r="E393" i="3"/>
  <c r="D393" i="3"/>
  <c r="C393" i="3"/>
  <c r="A393" i="3"/>
  <c r="J393" i="3" s="1"/>
  <c r="M392" i="3"/>
  <c r="L392" i="3"/>
  <c r="J392" i="3"/>
  <c r="I392" i="3"/>
  <c r="H392" i="3"/>
  <c r="E392" i="3"/>
  <c r="D392" i="3"/>
  <c r="C392" i="3"/>
  <c r="B392" i="3"/>
  <c r="A392" i="3"/>
  <c r="H391" i="3"/>
  <c r="F391" i="3"/>
  <c r="E391" i="3"/>
  <c r="A391" i="3"/>
  <c r="J391" i="3" s="1"/>
  <c r="M390" i="3"/>
  <c r="L390" i="3"/>
  <c r="K390" i="3"/>
  <c r="J390" i="3"/>
  <c r="H390" i="3"/>
  <c r="G390" i="3"/>
  <c r="F390" i="3"/>
  <c r="E390" i="3"/>
  <c r="D390" i="3"/>
  <c r="C390" i="3"/>
  <c r="B390" i="3"/>
  <c r="A390" i="3"/>
  <c r="I390" i="3" s="1"/>
  <c r="L389" i="3"/>
  <c r="K389" i="3"/>
  <c r="D389" i="3"/>
  <c r="B389" i="3"/>
  <c r="A389" i="3"/>
  <c r="L388" i="3"/>
  <c r="I388" i="3"/>
  <c r="H388" i="3"/>
  <c r="G388" i="3"/>
  <c r="F388" i="3"/>
  <c r="E388" i="3"/>
  <c r="D388" i="3"/>
  <c r="A388" i="3"/>
  <c r="M387" i="3"/>
  <c r="J387" i="3"/>
  <c r="F387" i="3"/>
  <c r="E387" i="3"/>
  <c r="C387" i="3"/>
  <c r="A387" i="3"/>
  <c r="I387" i="3" s="1"/>
  <c r="A386" i="3"/>
  <c r="M385" i="3"/>
  <c r="L385" i="3"/>
  <c r="K385" i="3"/>
  <c r="H385" i="3"/>
  <c r="G385" i="3"/>
  <c r="F385" i="3"/>
  <c r="E385" i="3"/>
  <c r="D385" i="3"/>
  <c r="C385" i="3"/>
  <c r="A385" i="3"/>
  <c r="J385" i="3" s="1"/>
  <c r="M384" i="3"/>
  <c r="H384" i="3"/>
  <c r="D384" i="3"/>
  <c r="C384" i="3"/>
  <c r="A384" i="3"/>
  <c r="J384" i="3" s="1"/>
  <c r="J383" i="3"/>
  <c r="I383" i="3"/>
  <c r="G383" i="3"/>
  <c r="F383" i="3"/>
  <c r="B383" i="3"/>
  <c r="A383" i="3"/>
  <c r="H383" i="3" s="1"/>
  <c r="M382" i="3"/>
  <c r="L382" i="3"/>
  <c r="K382" i="3"/>
  <c r="J382" i="3"/>
  <c r="H382" i="3"/>
  <c r="G382" i="3"/>
  <c r="F382" i="3"/>
  <c r="E382" i="3"/>
  <c r="D382" i="3"/>
  <c r="C382" i="3"/>
  <c r="B382" i="3"/>
  <c r="A382" i="3"/>
  <c r="I382" i="3" s="1"/>
  <c r="L381" i="3"/>
  <c r="J381" i="3"/>
  <c r="I381" i="3"/>
  <c r="H381" i="3"/>
  <c r="G381" i="3"/>
  <c r="D381" i="3"/>
  <c r="C381" i="3"/>
  <c r="B381" i="3"/>
  <c r="A381" i="3"/>
  <c r="H380" i="3"/>
  <c r="F380" i="3"/>
  <c r="E380" i="3"/>
  <c r="A380" i="3"/>
  <c r="L380" i="3" s="1"/>
  <c r="I379" i="3"/>
  <c r="A379" i="3"/>
  <c r="J378" i="3"/>
  <c r="I378" i="3"/>
  <c r="G378" i="3"/>
  <c r="C378" i="3"/>
  <c r="B378" i="3"/>
  <c r="A378" i="3"/>
  <c r="M377" i="3"/>
  <c r="L377" i="3"/>
  <c r="K377" i="3"/>
  <c r="H377" i="3"/>
  <c r="G377" i="3"/>
  <c r="F377" i="3"/>
  <c r="E377" i="3"/>
  <c r="D377" i="3"/>
  <c r="C377" i="3"/>
  <c r="A377" i="3"/>
  <c r="J377" i="3" s="1"/>
  <c r="L376" i="3"/>
  <c r="J376" i="3"/>
  <c r="I376" i="3"/>
  <c r="E376" i="3"/>
  <c r="D376" i="3"/>
  <c r="B376" i="3"/>
  <c r="A376" i="3"/>
  <c r="H376" i="3" s="1"/>
  <c r="J375" i="3"/>
  <c r="H375" i="3"/>
  <c r="G375" i="3"/>
  <c r="E375" i="3"/>
  <c r="A375" i="3"/>
  <c r="I375" i="3" s="1"/>
  <c r="M374" i="3"/>
  <c r="L374" i="3"/>
  <c r="K374" i="3"/>
  <c r="J374" i="3"/>
  <c r="H374" i="3"/>
  <c r="G374" i="3"/>
  <c r="F374" i="3"/>
  <c r="E374" i="3"/>
  <c r="D374" i="3"/>
  <c r="C374" i="3"/>
  <c r="B374" i="3"/>
  <c r="A374" i="3"/>
  <c r="I374" i="3" s="1"/>
  <c r="H373" i="3"/>
  <c r="D373" i="3"/>
  <c r="C373" i="3"/>
  <c r="A373" i="3"/>
  <c r="J373" i="3" s="1"/>
  <c r="L372" i="3"/>
  <c r="I372" i="3"/>
  <c r="G372" i="3"/>
  <c r="F372" i="3"/>
  <c r="D372" i="3"/>
  <c r="A372" i="3"/>
  <c r="H372" i="3" s="1"/>
  <c r="L371" i="3"/>
  <c r="I371" i="3"/>
  <c r="C371" i="3"/>
  <c r="A371" i="3"/>
  <c r="L370" i="3"/>
  <c r="G370" i="3"/>
  <c r="D370" i="3"/>
  <c r="C370" i="3"/>
  <c r="A370" i="3"/>
  <c r="I370" i="3" s="1"/>
  <c r="H369" i="3"/>
  <c r="A369" i="3"/>
  <c r="M368" i="3"/>
  <c r="L368" i="3"/>
  <c r="K368" i="3"/>
  <c r="I368" i="3"/>
  <c r="H368" i="3"/>
  <c r="F368" i="3"/>
  <c r="E368" i="3"/>
  <c r="D368" i="3"/>
  <c r="C368" i="3"/>
  <c r="B368" i="3"/>
  <c r="A368" i="3"/>
  <c r="G368" i="3" s="1"/>
  <c r="M367" i="3"/>
  <c r="I367" i="3"/>
  <c r="G367" i="3"/>
  <c r="F367" i="3"/>
  <c r="C367" i="3"/>
  <c r="A367" i="3"/>
  <c r="H367" i="3" s="1"/>
  <c r="M366" i="3"/>
  <c r="L366" i="3"/>
  <c r="K366" i="3"/>
  <c r="J366" i="3"/>
  <c r="H366" i="3"/>
  <c r="G366" i="3"/>
  <c r="F366" i="3"/>
  <c r="E366" i="3"/>
  <c r="D366" i="3"/>
  <c r="C366" i="3"/>
  <c r="B366" i="3"/>
  <c r="A366" i="3"/>
  <c r="I366" i="3" s="1"/>
  <c r="L365" i="3"/>
  <c r="I365" i="3"/>
  <c r="G365" i="3"/>
  <c r="E365" i="3"/>
  <c r="C365" i="3"/>
  <c r="A365" i="3"/>
  <c r="F365" i="3" s="1"/>
  <c r="I364" i="3"/>
  <c r="A364" i="3"/>
  <c r="M363" i="3"/>
  <c r="K363" i="3"/>
  <c r="I363" i="3"/>
  <c r="G363" i="3"/>
  <c r="F363" i="3"/>
  <c r="E363" i="3"/>
  <c r="D363" i="3"/>
  <c r="B363" i="3"/>
  <c r="A363" i="3"/>
  <c r="H363" i="3" s="1"/>
  <c r="L362" i="3"/>
  <c r="K362" i="3"/>
  <c r="I362" i="3"/>
  <c r="H362" i="3"/>
  <c r="F362" i="3"/>
  <c r="C362" i="3"/>
  <c r="B362" i="3"/>
  <c r="A362" i="3"/>
  <c r="M361" i="3"/>
  <c r="L361" i="3"/>
  <c r="I361" i="3"/>
  <c r="H361" i="3"/>
  <c r="G361" i="3"/>
  <c r="F361" i="3"/>
  <c r="E361" i="3"/>
  <c r="D361" i="3"/>
  <c r="C361" i="3"/>
  <c r="A361" i="3"/>
  <c r="H360" i="3"/>
  <c r="F360" i="3"/>
  <c r="A360" i="3"/>
  <c r="K359" i="3"/>
  <c r="J359" i="3"/>
  <c r="E359" i="3"/>
  <c r="B359" i="3"/>
  <c r="A359" i="3"/>
  <c r="M358" i="3"/>
  <c r="L358" i="3"/>
  <c r="K358" i="3"/>
  <c r="J358" i="3"/>
  <c r="H358" i="3"/>
  <c r="G358" i="3"/>
  <c r="F358" i="3"/>
  <c r="E358" i="3"/>
  <c r="D358" i="3"/>
  <c r="C358" i="3"/>
  <c r="B358" i="3"/>
  <c r="A358" i="3"/>
  <c r="I358" i="3" s="1"/>
  <c r="M357" i="3"/>
  <c r="A357" i="3"/>
  <c r="L356" i="3"/>
  <c r="I356" i="3"/>
  <c r="H356" i="3"/>
  <c r="F356" i="3"/>
  <c r="E356" i="3"/>
  <c r="B356" i="3"/>
  <c r="A356" i="3"/>
  <c r="G356" i="3" s="1"/>
  <c r="L355" i="3"/>
  <c r="I355" i="3"/>
  <c r="C355" i="3"/>
  <c r="A355" i="3"/>
  <c r="J355" i="3" s="1"/>
  <c r="L354" i="3"/>
  <c r="G354" i="3"/>
  <c r="D354" i="3"/>
  <c r="C354" i="3"/>
  <c r="A354" i="3"/>
  <c r="I354" i="3" s="1"/>
  <c r="K353" i="3"/>
  <c r="H353" i="3"/>
  <c r="A353" i="3"/>
  <c r="M352" i="3"/>
  <c r="L352" i="3"/>
  <c r="K352" i="3"/>
  <c r="I352" i="3"/>
  <c r="H352" i="3"/>
  <c r="F352" i="3"/>
  <c r="E352" i="3"/>
  <c r="D352" i="3"/>
  <c r="C352" i="3"/>
  <c r="B352" i="3"/>
  <c r="A352" i="3"/>
  <c r="G352" i="3" s="1"/>
  <c r="M351" i="3"/>
  <c r="I351" i="3"/>
  <c r="G351" i="3"/>
  <c r="F351" i="3"/>
  <c r="C351" i="3"/>
  <c r="A351" i="3"/>
  <c r="H351" i="3" s="1"/>
  <c r="M350" i="3"/>
  <c r="L350" i="3"/>
  <c r="K350" i="3"/>
  <c r="J350" i="3"/>
  <c r="H350" i="3"/>
  <c r="G350" i="3"/>
  <c r="F350" i="3"/>
  <c r="E350" i="3"/>
  <c r="D350" i="3"/>
  <c r="C350" i="3"/>
  <c r="B350" i="3"/>
  <c r="A350" i="3"/>
  <c r="I350" i="3" s="1"/>
  <c r="L349" i="3"/>
  <c r="I349" i="3"/>
  <c r="G349" i="3"/>
  <c r="E349" i="3"/>
  <c r="C349" i="3"/>
  <c r="A349" i="3"/>
  <c r="F349" i="3" s="1"/>
  <c r="J348" i="3"/>
  <c r="I348" i="3"/>
  <c r="A348" i="3"/>
  <c r="M348" i="3" s="1"/>
  <c r="M347" i="3"/>
  <c r="K347" i="3"/>
  <c r="I347" i="3"/>
  <c r="G347" i="3"/>
  <c r="E347" i="3"/>
  <c r="D347" i="3"/>
  <c r="B347" i="3"/>
  <c r="A347" i="3"/>
  <c r="H347" i="3" s="1"/>
  <c r="L346" i="3"/>
  <c r="K346" i="3"/>
  <c r="I346" i="3"/>
  <c r="H346" i="3"/>
  <c r="F346" i="3"/>
  <c r="D346" i="3"/>
  <c r="C346" i="3"/>
  <c r="B346" i="3"/>
  <c r="A346" i="3"/>
  <c r="M345" i="3"/>
  <c r="L345" i="3"/>
  <c r="I345" i="3"/>
  <c r="H345" i="3"/>
  <c r="G345" i="3"/>
  <c r="F345" i="3"/>
  <c r="E345" i="3"/>
  <c r="D345" i="3"/>
  <c r="C345" i="3"/>
  <c r="A345" i="3"/>
  <c r="H344" i="3"/>
  <c r="F344" i="3"/>
  <c r="A344" i="3"/>
  <c r="J344" i="3" s="1"/>
  <c r="K343" i="3"/>
  <c r="E343" i="3"/>
  <c r="B343" i="3"/>
  <c r="A343" i="3"/>
  <c r="M342" i="3"/>
  <c r="L342" i="3"/>
  <c r="K342" i="3"/>
  <c r="J342" i="3"/>
  <c r="H342" i="3"/>
  <c r="G342" i="3"/>
  <c r="F342" i="3"/>
  <c r="E342" i="3"/>
  <c r="D342" i="3"/>
  <c r="C342" i="3"/>
  <c r="B342" i="3"/>
  <c r="A342" i="3"/>
  <c r="I342" i="3" s="1"/>
  <c r="A341" i="3"/>
  <c r="A340" i="3"/>
  <c r="L339" i="3"/>
  <c r="K339" i="3"/>
  <c r="F339" i="3"/>
  <c r="D339" i="3"/>
  <c r="C339" i="3"/>
  <c r="A339" i="3"/>
  <c r="J339" i="3" s="1"/>
  <c r="H338" i="3"/>
  <c r="A338" i="3"/>
  <c r="M337" i="3"/>
  <c r="K337" i="3"/>
  <c r="H337" i="3"/>
  <c r="F337" i="3"/>
  <c r="E337" i="3"/>
  <c r="C337" i="3"/>
  <c r="A337" i="3"/>
  <c r="L337" i="3" s="1"/>
  <c r="M336" i="3"/>
  <c r="L336" i="3"/>
  <c r="K336" i="3"/>
  <c r="J336" i="3"/>
  <c r="H336" i="3"/>
  <c r="G336" i="3"/>
  <c r="F336" i="3"/>
  <c r="E336" i="3"/>
  <c r="D336" i="3"/>
  <c r="C336" i="3"/>
  <c r="B336" i="3"/>
  <c r="A336" i="3"/>
  <c r="I336" i="3" s="1"/>
  <c r="M335" i="3"/>
  <c r="K335" i="3"/>
  <c r="J335" i="3"/>
  <c r="H335" i="3"/>
  <c r="G335" i="3"/>
  <c r="E335" i="3"/>
  <c r="C335" i="3"/>
  <c r="B335" i="3"/>
  <c r="A335" i="3"/>
  <c r="F335" i="3" s="1"/>
  <c r="M334" i="3"/>
  <c r="L334" i="3"/>
  <c r="J334" i="3"/>
  <c r="H334" i="3"/>
  <c r="G334" i="3"/>
  <c r="E334" i="3"/>
  <c r="D334" i="3"/>
  <c r="B334" i="3"/>
  <c r="A334" i="3"/>
  <c r="K334" i="3" s="1"/>
  <c r="L333" i="3"/>
  <c r="I333" i="3"/>
  <c r="D333" i="3"/>
  <c r="A333" i="3"/>
  <c r="J333" i="3" s="1"/>
  <c r="G332" i="3"/>
  <c r="F332" i="3"/>
  <c r="A332" i="3"/>
  <c r="L331" i="3"/>
  <c r="K331" i="3"/>
  <c r="F331" i="3"/>
  <c r="D331" i="3"/>
  <c r="C331" i="3"/>
  <c r="A331" i="3"/>
  <c r="J331" i="3" s="1"/>
  <c r="K330" i="3"/>
  <c r="H330" i="3"/>
  <c r="C330" i="3"/>
  <c r="A330" i="3"/>
  <c r="I330" i="3" s="1"/>
  <c r="M329" i="3"/>
  <c r="K329" i="3"/>
  <c r="H329" i="3"/>
  <c r="F329" i="3"/>
  <c r="E329" i="3"/>
  <c r="C329" i="3"/>
  <c r="A329" i="3"/>
  <c r="L329" i="3" s="1"/>
  <c r="M328" i="3"/>
  <c r="L328" i="3"/>
  <c r="K328" i="3"/>
  <c r="J328" i="3"/>
  <c r="H328" i="3"/>
  <c r="G328" i="3"/>
  <c r="F328" i="3"/>
  <c r="E328" i="3"/>
  <c r="D328" i="3"/>
  <c r="C328" i="3"/>
  <c r="B328" i="3"/>
  <c r="A328" i="3"/>
  <c r="I328" i="3" s="1"/>
  <c r="M327" i="3"/>
  <c r="K327" i="3"/>
  <c r="J327" i="3"/>
  <c r="H327" i="3"/>
  <c r="G327" i="3"/>
  <c r="E327" i="3"/>
  <c r="C327" i="3"/>
  <c r="B327" i="3"/>
  <c r="A327" i="3"/>
  <c r="F327" i="3" s="1"/>
  <c r="M326" i="3"/>
  <c r="L326" i="3"/>
  <c r="J326" i="3"/>
  <c r="H326" i="3"/>
  <c r="G326" i="3"/>
  <c r="E326" i="3"/>
  <c r="D326" i="3"/>
  <c r="B326" i="3"/>
  <c r="A326" i="3"/>
  <c r="K326" i="3" s="1"/>
  <c r="L325" i="3"/>
  <c r="J325" i="3"/>
  <c r="A325" i="3"/>
  <c r="I324" i="3"/>
  <c r="A324" i="3"/>
  <c r="L323" i="3"/>
  <c r="K323" i="3"/>
  <c r="F323" i="3"/>
  <c r="D323" i="3"/>
  <c r="C323" i="3"/>
  <c r="A323" i="3"/>
  <c r="J323" i="3" s="1"/>
  <c r="K322" i="3"/>
  <c r="I322" i="3"/>
  <c r="H322" i="3"/>
  <c r="C322" i="3"/>
  <c r="A322" i="3"/>
  <c r="M321" i="3"/>
  <c r="K321" i="3"/>
  <c r="H321" i="3"/>
  <c r="F321" i="3"/>
  <c r="E321" i="3"/>
  <c r="C321" i="3"/>
  <c r="A321" i="3"/>
  <c r="L321" i="3" s="1"/>
  <c r="M320" i="3"/>
  <c r="L320" i="3"/>
  <c r="K320" i="3"/>
  <c r="J320" i="3"/>
  <c r="H320" i="3"/>
  <c r="G320" i="3"/>
  <c r="F320" i="3"/>
  <c r="E320" i="3"/>
  <c r="D320" i="3"/>
  <c r="C320" i="3"/>
  <c r="B320" i="3"/>
  <c r="A320" i="3"/>
  <c r="I320" i="3" s="1"/>
  <c r="M319" i="3"/>
  <c r="K319" i="3"/>
  <c r="J319" i="3"/>
  <c r="H319" i="3"/>
  <c r="G319" i="3"/>
  <c r="E319" i="3"/>
  <c r="C319" i="3"/>
  <c r="B319" i="3"/>
  <c r="A319" i="3"/>
  <c r="F319" i="3" s="1"/>
  <c r="M318" i="3"/>
  <c r="L318" i="3"/>
  <c r="J318" i="3"/>
  <c r="H318" i="3"/>
  <c r="G318" i="3"/>
  <c r="F318" i="3"/>
  <c r="E318" i="3"/>
  <c r="D318" i="3"/>
  <c r="B318" i="3"/>
  <c r="A318" i="3"/>
  <c r="K318" i="3" s="1"/>
  <c r="D317" i="3"/>
  <c r="A317" i="3"/>
  <c r="I316" i="3"/>
  <c r="G316" i="3"/>
  <c r="F316" i="3"/>
  <c r="A316" i="3"/>
  <c r="L315" i="3"/>
  <c r="K315" i="3"/>
  <c r="F315" i="3"/>
  <c r="D315" i="3"/>
  <c r="C315" i="3"/>
  <c r="A315" i="3"/>
  <c r="J315" i="3" s="1"/>
  <c r="K314" i="3"/>
  <c r="H314" i="3"/>
  <c r="C314" i="3"/>
  <c r="A314" i="3"/>
  <c r="M313" i="3"/>
  <c r="K313" i="3"/>
  <c r="H313" i="3"/>
  <c r="F313" i="3"/>
  <c r="E313" i="3"/>
  <c r="C313" i="3"/>
  <c r="A313" i="3"/>
  <c r="L313" i="3" s="1"/>
  <c r="M312" i="3"/>
  <c r="L312" i="3"/>
  <c r="K312" i="3"/>
  <c r="J312" i="3"/>
  <c r="H312" i="3"/>
  <c r="G312" i="3"/>
  <c r="F312" i="3"/>
  <c r="E312" i="3"/>
  <c r="D312" i="3"/>
  <c r="C312" i="3"/>
  <c r="B312" i="3"/>
  <c r="A312" i="3"/>
  <c r="I312" i="3" s="1"/>
  <c r="M311" i="3"/>
  <c r="K311" i="3"/>
  <c r="J311" i="3"/>
  <c r="H311" i="3"/>
  <c r="G311" i="3"/>
  <c r="E311" i="3"/>
  <c r="C311" i="3"/>
  <c r="B311" i="3"/>
  <c r="A311" i="3"/>
  <c r="F311" i="3" s="1"/>
  <c r="M310" i="3"/>
  <c r="L310" i="3"/>
  <c r="J310" i="3"/>
  <c r="H310" i="3"/>
  <c r="G310" i="3"/>
  <c r="E310" i="3"/>
  <c r="D310" i="3"/>
  <c r="B310" i="3"/>
  <c r="A310" i="3"/>
  <c r="K310" i="3" s="1"/>
  <c r="L309" i="3"/>
  <c r="J309" i="3"/>
  <c r="D309" i="3"/>
  <c r="B309" i="3"/>
  <c r="A309" i="3"/>
  <c r="I309" i="3" s="1"/>
  <c r="A308" i="3"/>
  <c r="L307" i="3"/>
  <c r="K307" i="3"/>
  <c r="F307" i="3"/>
  <c r="D307" i="3"/>
  <c r="C307" i="3"/>
  <c r="A307" i="3"/>
  <c r="J307" i="3" s="1"/>
  <c r="A306" i="3"/>
  <c r="M305" i="3"/>
  <c r="K305" i="3"/>
  <c r="H305" i="3"/>
  <c r="F305" i="3"/>
  <c r="E305" i="3"/>
  <c r="C305" i="3"/>
  <c r="A305" i="3"/>
  <c r="L305" i="3" s="1"/>
  <c r="M304" i="3"/>
  <c r="L304" i="3"/>
  <c r="K304" i="3"/>
  <c r="J304" i="3"/>
  <c r="H304" i="3"/>
  <c r="G304" i="3"/>
  <c r="F304" i="3"/>
  <c r="E304" i="3"/>
  <c r="D304" i="3"/>
  <c r="C304" i="3"/>
  <c r="B304" i="3"/>
  <c r="A304" i="3"/>
  <c r="I304" i="3" s="1"/>
  <c r="M303" i="3"/>
  <c r="K303" i="3"/>
  <c r="J303" i="3"/>
  <c r="H303" i="3"/>
  <c r="G303" i="3"/>
  <c r="E303" i="3"/>
  <c r="C303" i="3"/>
  <c r="B303" i="3"/>
  <c r="A303" i="3"/>
  <c r="F303" i="3" s="1"/>
  <c r="M302" i="3"/>
  <c r="L302" i="3"/>
  <c r="J302" i="3"/>
  <c r="H302" i="3"/>
  <c r="G302" i="3"/>
  <c r="F302" i="3"/>
  <c r="E302" i="3"/>
  <c r="D302" i="3"/>
  <c r="B302" i="3"/>
  <c r="A302" i="3"/>
  <c r="K302" i="3" s="1"/>
  <c r="L301" i="3"/>
  <c r="J301" i="3"/>
  <c r="A301" i="3"/>
  <c r="A300" i="3"/>
  <c r="L299" i="3"/>
  <c r="K299" i="3"/>
  <c r="F299" i="3"/>
  <c r="D299" i="3"/>
  <c r="C299" i="3"/>
  <c r="A299" i="3"/>
  <c r="J299" i="3" s="1"/>
  <c r="K298" i="3"/>
  <c r="I298" i="3"/>
  <c r="H298" i="3"/>
  <c r="C298" i="3"/>
  <c r="A298" i="3"/>
  <c r="M297" i="3"/>
  <c r="K297" i="3"/>
  <c r="H297" i="3"/>
  <c r="F297" i="3"/>
  <c r="E297" i="3"/>
  <c r="C297" i="3"/>
  <c r="A297" i="3"/>
  <c r="L297" i="3" s="1"/>
  <c r="M296" i="3"/>
  <c r="L296" i="3"/>
  <c r="K296" i="3"/>
  <c r="J296" i="3"/>
  <c r="H296" i="3"/>
  <c r="G296" i="3"/>
  <c r="F296" i="3"/>
  <c r="E296" i="3"/>
  <c r="D296" i="3"/>
  <c r="C296" i="3"/>
  <c r="B296" i="3"/>
  <c r="A296" i="3"/>
  <c r="I296" i="3" s="1"/>
  <c r="M295" i="3"/>
  <c r="K295" i="3"/>
  <c r="J295" i="3"/>
  <c r="H295" i="3"/>
  <c r="G295" i="3"/>
  <c r="E295" i="3"/>
  <c r="C295" i="3"/>
  <c r="B295" i="3"/>
  <c r="A295" i="3"/>
  <c r="F295" i="3" s="1"/>
  <c r="M294" i="3"/>
  <c r="L294" i="3"/>
  <c r="J294" i="3"/>
  <c r="H294" i="3"/>
  <c r="G294" i="3"/>
  <c r="F294" i="3"/>
  <c r="E294" i="3"/>
  <c r="D294" i="3"/>
  <c r="B294" i="3"/>
  <c r="A294" i="3"/>
  <c r="K294" i="3" s="1"/>
  <c r="D293" i="3"/>
  <c r="A293" i="3"/>
  <c r="I292" i="3"/>
  <c r="G292" i="3"/>
  <c r="F292" i="3"/>
  <c r="A292" i="3"/>
  <c r="L291" i="3"/>
  <c r="K291" i="3"/>
  <c r="F291" i="3"/>
  <c r="D291" i="3"/>
  <c r="C291" i="3"/>
  <c r="A291" i="3"/>
  <c r="J291" i="3" s="1"/>
  <c r="H290" i="3"/>
  <c r="C290" i="3"/>
  <c r="A290" i="3"/>
  <c r="M289" i="3"/>
  <c r="K289" i="3"/>
  <c r="H289" i="3"/>
  <c r="F289" i="3"/>
  <c r="E289" i="3"/>
  <c r="C289" i="3"/>
  <c r="A289" i="3"/>
  <c r="L289" i="3" s="1"/>
  <c r="M288" i="3"/>
  <c r="L288" i="3"/>
  <c r="K288" i="3"/>
  <c r="J288" i="3"/>
  <c r="H288" i="3"/>
  <c r="G288" i="3"/>
  <c r="F288" i="3"/>
  <c r="E288" i="3"/>
  <c r="D288" i="3"/>
  <c r="C288" i="3"/>
  <c r="B288" i="3"/>
  <c r="A288" i="3"/>
  <c r="I288" i="3" s="1"/>
  <c r="M287" i="3"/>
  <c r="K287" i="3"/>
  <c r="J287" i="3"/>
  <c r="H287" i="3"/>
  <c r="G287" i="3"/>
  <c r="E287" i="3"/>
  <c r="C287" i="3"/>
  <c r="B287" i="3"/>
  <c r="A287" i="3"/>
  <c r="F287" i="3" s="1"/>
  <c r="M286" i="3"/>
  <c r="L286" i="3"/>
  <c r="J286" i="3"/>
  <c r="H286" i="3"/>
  <c r="G286" i="3"/>
  <c r="F286" i="3"/>
  <c r="E286" i="3"/>
  <c r="D286" i="3"/>
  <c r="B286" i="3"/>
  <c r="A286" i="3"/>
  <c r="K286" i="3" s="1"/>
  <c r="L285" i="3"/>
  <c r="I285" i="3"/>
  <c r="D285" i="3"/>
  <c r="B285" i="3"/>
  <c r="A285" i="3"/>
  <c r="J285" i="3" s="1"/>
  <c r="G284" i="3"/>
  <c r="F284" i="3"/>
  <c r="A284" i="3"/>
  <c r="L283" i="3"/>
  <c r="K283" i="3"/>
  <c r="F283" i="3"/>
  <c r="D283" i="3"/>
  <c r="C283" i="3"/>
  <c r="A283" i="3"/>
  <c r="J283" i="3" s="1"/>
  <c r="K282" i="3"/>
  <c r="H282" i="3"/>
  <c r="C282" i="3"/>
  <c r="A282" i="3"/>
  <c r="I282" i="3" s="1"/>
  <c r="M281" i="3"/>
  <c r="K281" i="3"/>
  <c r="H281" i="3"/>
  <c r="F281" i="3"/>
  <c r="E281" i="3"/>
  <c r="C281" i="3"/>
  <c r="A281" i="3"/>
  <c r="L281" i="3" s="1"/>
  <c r="M280" i="3"/>
  <c r="L280" i="3"/>
  <c r="K280" i="3"/>
  <c r="J280" i="3"/>
  <c r="H280" i="3"/>
  <c r="G280" i="3"/>
  <c r="F280" i="3"/>
  <c r="E280" i="3"/>
  <c r="D280" i="3"/>
  <c r="C280" i="3"/>
  <c r="B280" i="3"/>
  <c r="A280" i="3"/>
  <c r="I280" i="3" s="1"/>
  <c r="M279" i="3"/>
  <c r="K279" i="3"/>
  <c r="J279" i="3"/>
  <c r="H279" i="3"/>
  <c r="G279" i="3"/>
  <c r="E279" i="3"/>
  <c r="C279" i="3"/>
  <c r="B279" i="3"/>
  <c r="A279" i="3"/>
  <c r="F279" i="3" s="1"/>
  <c r="M278" i="3"/>
  <c r="L278" i="3"/>
  <c r="J278" i="3"/>
  <c r="H278" i="3"/>
  <c r="G278" i="3"/>
  <c r="F278" i="3"/>
  <c r="E278" i="3"/>
  <c r="D278" i="3"/>
  <c r="B278" i="3"/>
  <c r="A278" i="3"/>
  <c r="K278" i="3" s="1"/>
  <c r="L277" i="3"/>
  <c r="A277" i="3"/>
  <c r="G276" i="3"/>
  <c r="F276" i="3"/>
  <c r="A276" i="3"/>
  <c r="I276" i="3" s="1"/>
  <c r="L275" i="3"/>
  <c r="K275" i="3"/>
  <c r="F275" i="3"/>
  <c r="D275" i="3"/>
  <c r="C275" i="3"/>
  <c r="A275" i="3"/>
  <c r="J275" i="3" s="1"/>
  <c r="K274" i="3"/>
  <c r="A274" i="3"/>
  <c r="M273" i="3"/>
  <c r="K273" i="3"/>
  <c r="H273" i="3"/>
  <c r="F273" i="3"/>
  <c r="E273" i="3"/>
  <c r="C273" i="3"/>
  <c r="A273" i="3"/>
  <c r="L273" i="3" s="1"/>
  <c r="M272" i="3"/>
  <c r="L272" i="3"/>
  <c r="K272" i="3"/>
  <c r="J272" i="3"/>
  <c r="H272" i="3"/>
  <c r="G272" i="3"/>
  <c r="F272" i="3"/>
  <c r="E272" i="3"/>
  <c r="D272" i="3"/>
  <c r="C272" i="3"/>
  <c r="B272" i="3"/>
  <c r="A272" i="3"/>
  <c r="I272" i="3" s="1"/>
  <c r="M271" i="3"/>
  <c r="K271" i="3"/>
  <c r="J271" i="3"/>
  <c r="H271" i="3"/>
  <c r="G271" i="3"/>
  <c r="E271" i="3"/>
  <c r="C271" i="3"/>
  <c r="B271" i="3"/>
  <c r="A271" i="3"/>
  <c r="F271" i="3" s="1"/>
  <c r="M270" i="3"/>
  <c r="L270" i="3"/>
  <c r="J270" i="3"/>
  <c r="H270" i="3"/>
  <c r="G270" i="3"/>
  <c r="F270" i="3"/>
  <c r="E270" i="3"/>
  <c r="D270" i="3"/>
  <c r="B270" i="3"/>
  <c r="A270" i="3"/>
  <c r="K270" i="3" s="1"/>
  <c r="I269" i="3"/>
  <c r="A269" i="3"/>
  <c r="A268" i="3"/>
  <c r="L267" i="3"/>
  <c r="K267" i="3"/>
  <c r="F267" i="3"/>
  <c r="D267" i="3"/>
  <c r="C267" i="3"/>
  <c r="A267" i="3"/>
  <c r="J267" i="3" s="1"/>
  <c r="H266" i="3"/>
  <c r="A266" i="3"/>
  <c r="M265" i="3"/>
  <c r="K265" i="3"/>
  <c r="H265" i="3"/>
  <c r="F265" i="3"/>
  <c r="E265" i="3"/>
  <c r="C265" i="3"/>
  <c r="A265" i="3"/>
  <c r="L265" i="3" s="1"/>
  <c r="M264" i="3"/>
  <c r="L264" i="3"/>
  <c r="K264" i="3"/>
  <c r="J264" i="3"/>
  <c r="H264" i="3"/>
  <c r="G264" i="3"/>
  <c r="F264" i="3"/>
  <c r="E264" i="3"/>
  <c r="D264" i="3"/>
  <c r="C264" i="3"/>
  <c r="B264" i="3"/>
  <c r="A264" i="3"/>
  <c r="I264" i="3" s="1"/>
  <c r="M263" i="3"/>
  <c r="K263" i="3"/>
  <c r="J263" i="3"/>
  <c r="H263" i="3"/>
  <c r="G263" i="3"/>
  <c r="E263" i="3"/>
  <c r="C263" i="3"/>
  <c r="B263" i="3"/>
  <c r="A263" i="3"/>
  <c r="F263" i="3" s="1"/>
  <c r="M262" i="3"/>
  <c r="L262" i="3"/>
  <c r="J262" i="3"/>
  <c r="H262" i="3"/>
  <c r="G262" i="3"/>
  <c r="F262" i="3"/>
  <c r="E262" i="3"/>
  <c r="D262" i="3"/>
  <c r="B262" i="3"/>
  <c r="A262" i="3"/>
  <c r="K262" i="3" s="1"/>
  <c r="L261" i="3"/>
  <c r="J261" i="3"/>
  <c r="I261" i="3"/>
  <c r="D261" i="3"/>
  <c r="B261" i="3"/>
  <c r="A261" i="3"/>
  <c r="G260" i="3"/>
  <c r="A260" i="3"/>
  <c r="L259" i="3"/>
  <c r="K259" i="3"/>
  <c r="F259" i="3"/>
  <c r="D259" i="3"/>
  <c r="C259" i="3"/>
  <c r="A259" i="3"/>
  <c r="J259" i="3" s="1"/>
  <c r="I258" i="3"/>
  <c r="H258" i="3"/>
  <c r="C258" i="3"/>
  <c r="A258" i="3"/>
  <c r="K258" i="3" s="1"/>
  <c r="M257" i="3"/>
  <c r="K257" i="3"/>
  <c r="H257" i="3"/>
  <c r="F257" i="3"/>
  <c r="E257" i="3"/>
  <c r="C257" i="3"/>
  <c r="A257" i="3"/>
  <c r="L257" i="3" s="1"/>
  <c r="M256" i="3"/>
  <c r="L256" i="3"/>
  <c r="K256" i="3"/>
  <c r="J256" i="3"/>
  <c r="H256" i="3"/>
  <c r="G256" i="3"/>
  <c r="F256" i="3"/>
  <c r="E256" i="3"/>
  <c r="D256" i="3"/>
  <c r="C256" i="3"/>
  <c r="B256" i="3"/>
  <c r="A256" i="3"/>
  <c r="I256" i="3" s="1"/>
  <c r="M255" i="3"/>
  <c r="K255" i="3"/>
  <c r="J255" i="3"/>
  <c r="H255" i="3"/>
  <c r="G255" i="3"/>
  <c r="E255" i="3"/>
  <c r="C255" i="3"/>
  <c r="B255" i="3"/>
  <c r="A255" i="3"/>
  <c r="F255" i="3" s="1"/>
  <c r="M254" i="3"/>
  <c r="L254" i="3"/>
  <c r="J254" i="3"/>
  <c r="H254" i="3"/>
  <c r="G254" i="3"/>
  <c r="F254" i="3"/>
  <c r="E254" i="3"/>
  <c r="D254" i="3"/>
  <c r="B254" i="3"/>
  <c r="A254" i="3"/>
  <c r="K254" i="3" s="1"/>
  <c r="L253" i="3"/>
  <c r="J253" i="3"/>
  <c r="D253" i="3"/>
  <c r="B253" i="3"/>
  <c r="A253" i="3"/>
  <c r="I252" i="3"/>
  <c r="G252" i="3"/>
  <c r="F252" i="3"/>
  <c r="A252" i="3"/>
  <c r="L251" i="3"/>
  <c r="K251" i="3"/>
  <c r="F251" i="3"/>
  <c r="D251" i="3"/>
  <c r="C251" i="3"/>
  <c r="A251" i="3"/>
  <c r="J251" i="3" s="1"/>
  <c r="A250" i="3"/>
  <c r="M249" i="3"/>
  <c r="K249" i="3"/>
  <c r="H249" i="3"/>
  <c r="F249" i="3"/>
  <c r="E249" i="3"/>
  <c r="C249" i="3"/>
  <c r="A249" i="3"/>
  <c r="L249" i="3" s="1"/>
  <c r="M248" i="3"/>
  <c r="L248" i="3"/>
  <c r="K248" i="3"/>
  <c r="J248" i="3"/>
  <c r="H248" i="3"/>
  <c r="G248" i="3"/>
  <c r="F248" i="3"/>
  <c r="E248" i="3"/>
  <c r="D248" i="3"/>
  <c r="C248" i="3"/>
  <c r="B248" i="3"/>
  <c r="A248" i="3"/>
  <c r="I248" i="3" s="1"/>
  <c r="M247" i="3"/>
  <c r="K247" i="3"/>
  <c r="J247" i="3"/>
  <c r="H247" i="3"/>
  <c r="G247" i="3"/>
  <c r="E247" i="3"/>
  <c r="C247" i="3"/>
  <c r="B247" i="3"/>
  <c r="A247" i="3"/>
  <c r="F247" i="3" s="1"/>
  <c r="M246" i="3"/>
  <c r="L246" i="3"/>
  <c r="J246" i="3"/>
  <c r="H246" i="3"/>
  <c r="G246" i="3"/>
  <c r="F246" i="3"/>
  <c r="E246" i="3"/>
  <c r="D246" i="3"/>
  <c r="B246" i="3"/>
  <c r="A246" i="3"/>
  <c r="K246" i="3" s="1"/>
  <c r="L245" i="3"/>
  <c r="J245" i="3"/>
  <c r="G245" i="3"/>
  <c r="D245" i="3"/>
  <c r="B245" i="3"/>
  <c r="A245" i="3"/>
  <c r="I245" i="3" s="1"/>
  <c r="G244" i="3"/>
  <c r="A244" i="3"/>
  <c r="D243" i="3"/>
  <c r="A243" i="3"/>
  <c r="A242" i="3"/>
  <c r="M241" i="3"/>
  <c r="K241" i="3"/>
  <c r="H241" i="3"/>
  <c r="F241" i="3"/>
  <c r="E241" i="3"/>
  <c r="C241" i="3"/>
  <c r="A241" i="3"/>
  <c r="L241" i="3" s="1"/>
  <c r="M240" i="3"/>
  <c r="L240" i="3"/>
  <c r="K240" i="3"/>
  <c r="J240" i="3"/>
  <c r="H240" i="3"/>
  <c r="G240" i="3"/>
  <c r="F240" i="3"/>
  <c r="E240" i="3"/>
  <c r="D240" i="3"/>
  <c r="C240" i="3"/>
  <c r="B240" i="3"/>
  <c r="A240" i="3"/>
  <c r="I240" i="3" s="1"/>
  <c r="M239" i="3"/>
  <c r="K239" i="3"/>
  <c r="J239" i="3"/>
  <c r="H239" i="3"/>
  <c r="G239" i="3"/>
  <c r="E239" i="3"/>
  <c r="C239" i="3"/>
  <c r="B239" i="3"/>
  <c r="A239" i="3"/>
  <c r="F239" i="3" s="1"/>
  <c r="M238" i="3"/>
  <c r="L238" i="3"/>
  <c r="J238" i="3"/>
  <c r="H238" i="3"/>
  <c r="G238" i="3"/>
  <c r="F238" i="3"/>
  <c r="E238" i="3"/>
  <c r="D238" i="3"/>
  <c r="B238" i="3"/>
  <c r="A238" i="3"/>
  <c r="K238" i="3" s="1"/>
  <c r="L237" i="3"/>
  <c r="J237" i="3"/>
  <c r="G237" i="3"/>
  <c r="D237" i="3"/>
  <c r="B237" i="3"/>
  <c r="A237" i="3"/>
  <c r="I237" i="3" s="1"/>
  <c r="A236" i="3"/>
  <c r="D235" i="3"/>
  <c r="A235" i="3"/>
  <c r="A234" i="3"/>
  <c r="M233" i="3"/>
  <c r="K233" i="3"/>
  <c r="H233" i="3"/>
  <c r="F233" i="3"/>
  <c r="E233" i="3"/>
  <c r="C233" i="3"/>
  <c r="A233" i="3"/>
  <c r="L233" i="3" s="1"/>
  <c r="M232" i="3"/>
  <c r="L232" i="3"/>
  <c r="K232" i="3"/>
  <c r="J232" i="3"/>
  <c r="H232" i="3"/>
  <c r="G232" i="3"/>
  <c r="F232" i="3"/>
  <c r="E232" i="3"/>
  <c r="D232" i="3"/>
  <c r="C232" i="3"/>
  <c r="B232" i="3"/>
  <c r="A232" i="3"/>
  <c r="I232" i="3" s="1"/>
  <c r="M231" i="3"/>
  <c r="K231" i="3"/>
  <c r="J231" i="3"/>
  <c r="H231" i="3"/>
  <c r="G231" i="3"/>
  <c r="E231" i="3"/>
  <c r="C231" i="3"/>
  <c r="B231" i="3"/>
  <c r="A231" i="3"/>
  <c r="F231" i="3" s="1"/>
  <c r="M230" i="3"/>
  <c r="L230" i="3"/>
  <c r="J230" i="3"/>
  <c r="H230" i="3"/>
  <c r="G230" i="3"/>
  <c r="F230" i="3"/>
  <c r="E230" i="3"/>
  <c r="D230" i="3"/>
  <c r="B230" i="3"/>
  <c r="A230" i="3"/>
  <c r="K230" i="3" s="1"/>
  <c r="L229" i="3"/>
  <c r="J229" i="3"/>
  <c r="I229" i="3"/>
  <c r="G229" i="3"/>
  <c r="D229" i="3"/>
  <c r="B229" i="3"/>
  <c r="A229" i="3"/>
  <c r="A228" i="3"/>
  <c r="G228" i="3" s="1"/>
  <c r="D227" i="3"/>
  <c r="A227" i="3"/>
  <c r="K226" i="3"/>
  <c r="A226" i="3"/>
  <c r="M225" i="3"/>
  <c r="K225" i="3"/>
  <c r="H225" i="3"/>
  <c r="F225" i="3"/>
  <c r="E225" i="3"/>
  <c r="C225" i="3"/>
  <c r="A225" i="3"/>
  <c r="L225" i="3" s="1"/>
  <c r="M224" i="3"/>
  <c r="L224" i="3"/>
  <c r="K224" i="3"/>
  <c r="J224" i="3"/>
  <c r="H224" i="3"/>
  <c r="F224" i="3"/>
  <c r="E224" i="3"/>
  <c r="D224" i="3"/>
  <c r="C224" i="3"/>
  <c r="B224" i="3"/>
  <c r="A224" i="3"/>
  <c r="I224" i="3" s="1"/>
  <c r="M223" i="3"/>
  <c r="K223" i="3"/>
  <c r="J223" i="3"/>
  <c r="H223" i="3"/>
  <c r="G223" i="3"/>
  <c r="E223" i="3"/>
  <c r="C223" i="3"/>
  <c r="B223" i="3"/>
  <c r="A223" i="3"/>
  <c r="F223" i="3" s="1"/>
  <c r="M222" i="3"/>
  <c r="L222" i="3"/>
  <c r="J222" i="3"/>
  <c r="H222" i="3"/>
  <c r="G222" i="3"/>
  <c r="F222" i="3"/>
  <c r="E222" i="3"/>
  <c r="D222" i="3"/>
  <c r="B222" i="3"/>
  <c r="A222" i="3"/>
  <c r="K222" i="3" s="1"/>
  <c r="I221" i="3"/>
  <c r="D221" i="3"/>
  <c r="B221" i="3"/>
  <c r="A221" i="3"/>
  <c r="L221" i="3" s="1"/>
  <c r="F220" i="3"/>
  <c r="A220" i="3"/>
  <c r="L219" i="3"/>
  <c r="K219" i="3"/>
  <c r="D219" i="3"/>
  <c r="C219" i="3"/>
  <c r="A219" i="3"/>
  <c r="K218" i="3"/>
  <c r="I218" i="3"/>
  <c r="H218" i="3"/>
  <c r="A218" i="3"/>
  <c r="M217" i="3"/>
  <c r="K217" i="3"/>
  <c r="H217" i="3"/>
  <c r="F217" i="3"/>
  <c r="E217" i="3"/>
  <c r="C217" i="3"/>
  <c r="A217" i="3"/>
  <c r="L217" i="3" s="1"/>
  <c r="M216" i="3"/>
  <c r="K216" i="3"/>
  <c r="J216" i="3"/>
  <c r="H216" i="3"/>
  <c r="G216" i="3"/>
  <c r="F216" i="3"/>
  <c r="E216" i="3"/>
  <c r="C216" i="3"/>
  <c r="B216" i="3"/>
  <c r="A216" i="3"/>
  <c r="I216" i="3" s="1"/>
  <c r="M215" i="3"/>
  <c r="L215" i="3"/>
  <c r="K215" i="3"/>
  <c r="J215" i="3"/>
  <c r="H215" i="3"/>
  <c r="G215" i="3"/>
  <c r="E215" i="3"/>
  <c r="D215" i="3"/>
  <c r="C215" i="3"/>
  <c r="B215" i="3"/>
  <c r="A215" i="3"/>
  <c r="F215" i="3" s="1"/>
  <c r="M214" i="3"/>
  <c r="L214" i="3"/>
  <c r="J214" i="3"/>
  <c r="H214" i="3"/>
  <c r="G214" i="3"/>
  <c r="E214" i="3"/>
  <c r="D214" i="3"/>
  <c r="B214" i="3"/>
  <c r="A214" i="3"/>
  <c r="K214" i="3" s="1"/>
  <c r="A213" i="3"/>
  <c r="L212" i="3"/>
  <c r="F212" i="3"/>
  <c r="D212" i="3"/>
  <c r="A212" i="3"/>
  <c r="A211" i="3"/>
  <c r="K210" i="3"/>
  <c r="I210" i="3"/>
  <c r="H210" i="3"/>
  <c r="F210" i="3"/>
  <c r="C210" i="3"/>
  <c r="A210" i="3"/>
  <c r="M209" i="3"/>
  <c r="K209" i="3"/>
  <c r="H209" i="3"/>
  <c r="F209" i="3"/>
  <c r="E209" i="3"/>
  <c r="C209" i="3"/>
  <c r="A209" i="3"/>
  <c r="L209" i="3" s="1"/>
  <c r="M208" i="3"/>
  <c r="K208" i="3"/>
  <c r="J208" i="3"/>
  <c r="H208" i="3"/>
  <c r="G208" i="3"/>
  <c r="F208" i="3"/>
  <c r="E208" i="3"/>
  <c r="C208" i="3"/>
  <c r="B208" i="3"/>
  <c r="A208" i="3"/>
  <c r="I208" i="3" s="1"/>
  <c r="M207" i="3"/>
  <c r="L207" i="3"/>
  <c r="K207" i="3"/>
  <c r="J207" i="3"/>
  <c r="H207" i="3"/>
  <c r="G207" i="3"/>
  <c r="E207" i="3"/>
  <c r="D207" i="3"/>
  <c r="C207" i="3"/>
  <c r="B207" i="3"/>
  <c r="A207" i="3"/>
  <c r="F207" i="3" s="1"/>
  <c r="M206" i="3"/>
  <c r="L206" i="3"/>
  <c r="J206" i="3"/>
  <c r="H206" i="3"/>
  <c r="G206" i="3"/>
  <c r="E206" i="3"/>
  <c r="D206" i="3"/>
  <c r="B206" i="3"/>
  <c r="A206" i="3"/>
  <c r="K206" i="3" s="1"/>
  <c r="D205" i="3"/>
  <c r="A205" i="3"/>
  <c r="L204" i="3"/>
  <c r="A204" i="3"/>
  <c r="K203" i="3"/>
  <c r="I203" i="3"/>
  <c r="F203" i="3"/>
  <c r="A203" i="3"/>
  <c r="L203" i="3" s="1"/>
  <c r="K202" i="3"/>
  <c r="H202" i="3"/>
  <c r="F202" i="3"/>
  <c r="C202" i="3"/>
  <c r="A202" i="3"/>
  <c r="I202" i="3" s="1"/>
  <c r="M201" i="3"/>
  <c r="K201" i="3"/>
  <c r="H201" i="3"/>
  <c r="F201" i="3"/>
  <c r="E201" i="3"/>
  <c r="C201" i="3"/>
  <c r="A201" i="3"/>
  <c r="L201" i="3" s="1"/>
  <c r="M200" i="3"/>
  <c r="K200" i="3"/>
  <c r="J200" i="3"/>
  <c r="H200" i="3"/>
  <c r="G200" i="3"/>
  <c r="F200" i="3"/>
  <c r="E200" i="3"/>
  <c r="C200" i="3"/>
  <c r="B200" i="3"/>
  <c r="A200" i="3"/>
  <c r="I200" i="3" s="1"/>
  <c r="M199" i="3"/>
  <c r="L199" i="3"/>
  <c r="K199" i="3"/>
  <c r="J199" i="3"/>
  <c r="H199" i="3"/>
  <c r="G199" i="3"/>
  <c r="E199" i="3"/>
  <c r="D199" i="3"/>
  <c r="C199" i="3"/>
  <c r="B199" i="3"/>
  <c r="A199" i="3"/>
  <c r="F199" i="3" s="1"/>
  <c r="M198" i="3"/>
  <c r="L198" i="3"/>
  <c r="J198" i="3"/>
  <c r="H198" i="3"/>
  <c r="G198" i="3"/>
  <c r="E198" i="3"/>
  <c r="D198" i="3"/>
  <c r="B198" i="3"/>
  <c r="A198" i="3"/>
  <c r="K198" i="3" s="1"/>
  <c r="L197" i="3"/>
  <c r="J197" i="3"/>
  <c r="D197" i="3"/>
  <c r="B197" i="3"/>
  <c r="A197" i="3"/>
  <c r="L196" i="3"/>
  <c r="I196" i="3"/>
  <c r="G196" i="3"/>
  <c r="A196" i="3"/>
  <c r="L195" i="3"/>
  <c r="K195" i="3"/>
  <c r="I195" i="3"/>
  <c r="F195" i="3"/>
  <c r="D195" i="3"/>
  <c r="C195" i="3"/>
  <c r="A195" i="3"/>
  <c r="I194" i="3"/>
  <c r="F194" i="3"/>
  <c r="C194" i="3"/>
  <c r="A194" i="3"/>
  <c r="K194" i="3" s="1"/>
  <c r="M193" i="3"/>
  <c r="K193" i="3"/>
  <c r="H193" i="3"/>
  <c r="F193" i="3"/>
  <c r="E193" i="3"/>
  <c r="C193" i="3"/>
  <c r="A193" i="3"/>
  <c r="L193" i="3" s="1"/>
  <c r="M192" i="3"/>
  <c r="K192" i="3"/>
  <c r="J192" i="3"/>
  <c r="H192" i="3"/>
  <c r="G192" i="3"/>
  <c r="F192" i="3"/>
  <c r="E192" i="3"/>
  <c r="C192" i="3"/>
  <c r="B192" i="3"/>
  <c r="A192" i="3"/>
  <c r="I192" i="3" s="1"/>
  <c r="M191" i="3"/>
  <c r="L191" i="3"/>
  <c r="K191" i="3"/>
  <c r="J191" i="3"/>
  <c r="H191" i="3"/>
  <c r="G191" i="3"/>
  <c r="E191" i="3"/>
  <c r="D191" i="3"/>
  <c r="C191" i="3"/>
  <c r="B191" i="3"/>
  <c r="A191" i="3"/>
  <c r="F191" i="3" s="1"/>
  <c r="M190" i="3"/>
  <c r="L190" i="3"/>
  <c r="J190" i="3"/>
  <c r="H190" i="3"/>
  <c r="G190" i="3"/>
  <c r="E190" i="3"/>
  <c r="D190" i="3"/>
  <c r="B190" i="3"/>
  <c r="A190" i="3"/>
  <c r="K190" i="3" s="1"/>
  <c r="A189" i="3"/>
  <c r="L188" i="3"/>
  <c r="I188" i="3"/>
  <c r="G188" i="3"/>
  <c r="F188" i="3"/>
  <c r="D188" i="3"/>
  <c r="A188" i="3"/>
  <c r="L187" i="3"/>
  <c r="K187" i="3"/>
  <c r="F187" i="3"/>
  <c r="D187" i="3"/>
  <c r="C187" i="3"/>
  <c r="A187" i="3"/>
  <c r="I187" i="3" s="1"/>
  <c r="H186" i="3"/>
  <c r="A186" i="3"/>
  <c r="M185" i="3"/>
  <c r="K185" i="3"/>
  <c r="H185" i="3"/>
  <c r="F185" i="3"/>
  <c r="E185" i="3"/>
  <c r="C185" i="3"/>
  <c r="A185" i="3"/>
  <c r="L185" i="3" s="1"/>
  <c r="M184" i="3"/>
  <c r="K184" i="3"/>
  <c r="J184" i="3"/>
  <c r="H184" i="3"/>
  <c r="G184" i="3"/>
  <c r="F184" i="3"/>
  <c r="E184" i="3"/>
  <c r="C184" i="3"/>
  <c r="B184" i="3"/>
  <c r="A184" i="3"/>
  <c r="I184" i="3" s="1"/>
  <c r="M183" i="3"/>
  <c r="L183" i="3"/>
  <c r="K183" i="3"/>
  <c r="J183" i="3"/>
  <c r="H183" i="3"/>
  <c r="G183" i="3"/>
  <c r="E183" i="3"/>
  <c r="D183" i="3"/>
  <c r="C183" i="3"/>
  <c r="B183" i="3"/>
  <c r="A183" i="3"/>
  <c r="F183" i="3" s="1"/>
  <c r="M182" i="3"/>
  <c r="L182" i="3"/>
  <c r="J182" i="3"/>
  <c r="H182" i="3"/>
  <c r="G182" i="3"/>
  <c r="E182" i="3"/>
  <c r="D182" i="3"/>
  <c r="B182" i="3"/>
  <c r="A182" i="3"/>
  <c r="K182" i="3" s="1"/>
  <c r="L181" i="3"/>
  <c r="J181" i="3"/>
  <c r="I181" i="3"/>
  <c r="D181" i="3"/>
  <c r="B181" i="3"/>
  <c r="A181" i="3"/>
  <c r="L180" i="3"/>
  <c r="J180" i="3"/>
  <c r="I180" i="3"/>
  <c r="D180" i="3"/>
  <c r="B180" i="3"/>
  <c r="A180" i="3"/>
  <c r="L179" i="3"/>
  <c r="K179" i="3"/>
  <c r="I179" i="3"/>
  <c r="D179" i="3"/>
  <c r="C179" i="3"/>
  <c r="A179" i="3"/>
  <c r="L178" i="3"/>
  <c r="K178" i="3"/>
  <c r="I178" i="3"/>
  <c r="D178" i="3"/>
  <c r="C178" i="3"/>
  <c r="A178" i="3"/>
  <c r="M177" i="3"/>
  <c r="K177" i="3"/>
  <c r="I177" i="3"/>
  <c r="E177" i="3"/>
  <c r="C177" i="3"/>
  <c r="A177" i="3"/>
  <c r="M176" i="3"/>
  <c r="K176" i="3"/>
  <c r="J176" i="3"/>
  <c r="H176" i="3"/>
  <c r="F176" i="3"/>
  <c r="E176" i="3"/>
  <c r="C176" i="3"/>
  <c r="B176" i="3"/>
  <c r="A176" i="3"/>
  <c r="I176" i="3" s="1"/>
  <c r="M175" i="3"/>
  <c r="K175" i="3"/>
  <c r="J175" i="3"/>
  <c r="H175" i="3"/>
  <c r="G175" i="3"/>
  <c r="E175" i="3"/>
  <c r="C175" i="3"/>
  <c r="B175" i="3"/>
  <c r="A175" i="3"/>
  <c r="F175" i="3" s="1"/>
  <c r="M174" i="3"/>
  <c r="L174" i="3"/>
  <c r="J174" i="3"/>
  <c r="H174" i="3"/>
  <c r="G174" i="3"/>
  <c r="E174" i="3"/>
  <c r="D174" i="3"/>
  <c r="B174" i="3"/>
  <c r="A174" i="3"/>
  <c r="K174" i="3" s="1"/>
  <c r="J173" i="3"/>
  <c r="I173" i="3"/>
  <c r="G173" i="3"/>
  <c r="E173" i="3"/>
  <c r="D173" i="3"/>
  <c r="B173" i="3"/>
  <c r="A173" i="3"/>
  <c r="L173" i="3" s="1"/>
  <c r="J172" i="3"/>
  <c r="I172" i="3"/>
  <c r="G172" i="3"/>
  <c r="F172" i="3"/>
  <c r="D172" i="3"/>
  <c r="B172" i="3"/>
  <c r="A172" i="3"/>
  <c r="L172" i="3" s="1"/>
  <c r="K171" i="3"/>
  <c r="I171" i="3"/>
  <c r="G171" i="3"/>
  <c r="F171" i="3"/>
  <c r="D171" i="3"/>
  <c r="C171" i="3"/>
  <c r="A171" i="3"/>
  <c r="L171" i="3" s="1"/>
  <c r="K170" i="3"/>
  <c r="I170" i="3"/>
  <c r="H170" i="3"/>
  <c r="F170" i="3"/>
  <c r="D170" i="3"/>
  <c r="C170" i="3"/>
  <c r="A170" i="3"/>
  <c r="L170" i="3" s="1"/>
  <c r="K169" i="3"/>
  <c r="I169" i="3"/>
  <c r="H169" i="3"/>
  <c r="F169" i="3"/>
  <c r="E169" i="3"/>
  <c r="C169" i="3"/>
  <c r="A169" i="3"/>
  <c r="M169" i="3" s="1"/>
  <c r="M168" i="3"/>
  <c r="K168" i="3"/>
  <c r="J168" i="3"/>
  <c r="H168" i="3"/>
  <c r="F168" i="3"/>
  <c r="E168" i="3"/>
  <c r="C168" i="3"/>
  <c r="B168" i="3"/>
  <c r="A168" i="3"/>
  <c r="I168" i="3" s="1"/>
  <c r="M167" i="3"/>
  <c r="K167" i="3"/>
  <c r="J167" i="3"/>
  <c r="H167" i="3"/>
  <c r="G167" i="3"/>
  <c r="F167" i="3"/>
  <c r="E167" i="3"/>
  <c r="C167" i="3"/>
  <c r="B167" i="3"/>
  <c r="A167" i="3"/>
  <c r="L167" i="3" s="1"/>
  <c r="M166" i="3"/>
  <c r="L166" i="3"/>
  <c r="K166" i="3"/>
  <c r="J166" i="3"/>
  <c r="H166" i="3"/>
  <c r="G166" i="3"/>
  <c r="F166" i="3"/>
  <c r="E166" i="3"/>
  <c r="D166" i="3"/>
  <c r="C166" i="3"/>
  <c r="B166" i="3"/>
  <c r="A166" i="3"/>
  <c r="I166" i="3" s="1"/>
  <c r="J165" i="3"/>
  <c r="I165" i="3"/>
  <c r="G165" i="3"/>
  <c r="E165" i="3"/>
  <c r="D165" i="3"/>
  <c r="B165" i="3"/>
  <c r="A165" i="3"/>
  <c r="L165" i="3" s="1"/>
  <c r="J164" i="3"/>
  <c r="I164" i="3"/>
  <c r="G164" i="3"/>
  <c r="F164" i="3"/>
  <c r="D164" i="3"/>
  <c r="B164" i="3"/>
  <c r="A164" i="3"/>
  <c r="L164" i="3" s="1"/>
  <c r="K163" i="3"/>
  <c r="I163" i="3"/>
  <c r="G163" i="3"/>
  <c r="F163" i="3"/>
  <c r="D163" i="3"/>
  <c r="C163" i="3"/>
  <c r="A163" i="3"/>
  <c r="L163" i="3" s="1"/>
  <c r="K162" i="3"/>
  <c r="I162" i="3"/>
  <c r="H162" i="3"/>
  <c r="F162" i="3"/>
  <c r="D162" i="3"/>
  <c r="C162" i="3"/>
  <c r="A162" i="3"/>
  <c r="L162" i="3" s="1"/>
  <c r="K161" i="3"/>
  <c r="I161" i="3"/>
  <c r="H161" i="3"/>
  <c r="F161" i="3"/>
  <c r="E161" i="3"/>
  <c r="C161" i="3"/>
  <c r="A161" i="3"/>
  <c r="M161" i="3" s="1"/>
  <c r="M160" i="3"/>
  <c r="K160" i="3"/>
  <c r="J160" i="3"/>
  <c r="H160" i="3"/>
  <c r="F160" i="3"/>
  <c r="E160" i="3"/>
  <c r="C160" i="3"/>
  <c r="B160" i="3"/>
  <c r="A160" i="3"/>
  <c r="I160" i="3" s="1"/>
  <c r="M159" i="3"/>
  <c r="K159" i="3"/>
  <c r="J159" i="3"/>
  <c r="H159" i="3"/>
  <c r="G159" i="3"/>
  <c r="F159" i="3"/>
  <c r="E159" i="3"/>
  <c r="C159" i="3"/>
  <c r="B159" i="3"/>
  <c r="A159" i="3"/>
  <c r="L159" i="3" s="1"/>
  <c r="M158" i="3"/>
  <c r="L158" i="3"/>
  <c r="K158" i="3"/>
  <c r="J158" i="3"/>
  <c r="H158" i="3"/>
  <c r="G158" i="3"/>
  <c r="E158" i="3"/>
  <c r="D158" i="3"/>
  <c r="C158" i="3"/>
  <c r="B158" i="3"/>
  <c r="A158" i="3"/>
  <c r="I158" i="3" s="1"/>
  <c r="G157" i="3"/>
  <c r="D157" i="3"/>
  <c r="B157" i="3"/>
  <c r="A157" i="3"/>
  <c r="L157" i="3" s="1"/>
  <c r="G156" i="3"/>
  <c r="D156" i="3"/>
  <c r="B156" i="3"/>
  <c r="A156" i="3"/>
  <c r="L156" i="3" s="1"/>
  <c r="G155" i="3"/>
  <c r="D155" i="3"/>
  <c r="C155" i="3"/>
  <c r="A155" i="3"/>
  <c r="L155" i="3" s="1"/>
  <c r="H154" i="3"/>
  <c r="D154" i="3"/>
  <c r="C154" i="3"/>
  <c r="A154" i="3"/>
  <c r="L154" i="3" s="1"/>
  <c r="H153" i="3"/>
  <c r="E153" i="3"/>
  <c r="C153" i="3"/>
  <c r="A153" i="3"/>
  <c r="M153" i="3" s="1"/>
  <c r="M152" i="3"/>
  <c r="K152" i="3"/>
  <c r="J152" i="3"/>
  <c r="H152" i="3"/>
  <c r="F152" i="3"/>
  <c r="E152" i="3"/>
  <c r="C152" i="3"/>
  <c r="B152" i="3"/>
  <c r="A152" i="3"/>
  <c r="I152" i="3" s="1"/>
  <c r="M151" i="3"/>
  <c r="K151" i="3"/>
  <c r="J151" i="3"/>
  <c r="H151" i="3"/>
  <c r="G151" i="3"/>
  <c r="F151" i="3"/>
  <c r="E151" i="3"/>
  <c r="C151" i="3"/>
  <c r="B151" i="3"/>
  <c r="A151" i="3"/>
  <c r="L151" i="3" s="1"/>
  <c r="M150" i="3"/>
  <c r="L150" i="3"/>
  <c r="K150" i="3"/>
  <c r="J150" i="3"/>
  <c r="H150" i="3"/>
  <c r="G150" i="3"/>
  <c r="E150" i="3"/>
  <c r="D150" i="3"/>
  <c r="C150" i="3"/>
  <c r="B150" i="3"/>
  <c r="A150" i="3"/>
  <c r="I150" i="3" s="1"/>
  <c r="A149" i="3"/>
  <c r="E149" i="3" s="1"/>
  <c r="F148" i="3"/>
  <c r="A148" i="3"/>
  <c r="A147" i="3"/>
  <c r="A146" i="3"/>
  <c r="A145" i="3"/>
  <c r="M144" i="3"/>
  <c r="K144" i="3"/>
  <c r="J144" i="3"/>
  <c r="H144" i="3"/>
  <c r="F144" i="3"/>
  <c r="E144" i="3"/>
  <c r="C144" i="3"/>
  <c r="B144" i="3"/>
  <c r="A144" i="3"/>
  <c r="I144" i="3" s="1"/>
  <c r="M143" i="3"/>
  <c r="K143" i="3"/>
  <c r="J143" i="3"/>
  <c r="H143" i="3"/>
  <c r="G143" i="3"/>
  <c r="F143" i="3"/>
  <c r="E143" i="3"/>
  <c r="C143" i="3"/>
  <c r="B143" i="3"/>
  <c r="A143" i="3"/>
  <c r="L143" i="3" s="1"/>
  <c r="M142" i="3"/>
  <c r="L142" i="3"/>
  <c r="K142" i="3"/>
  <c r="J142" i="3"/>
  <c r="H142" i="3"/>
  <c r="G142" i="3"/>
  <c r="E142" i="3"/>
  <c r="D142" i="3"/>
  <c r="C142" i="3"/>
  <c r="B142" i="3"/>
  <c r="A142" i="3"/>
  <c r="I142" i="3" s="1"/>
  <c r="L141" i="3"/>
  <c r="D141" i="3"/>
  <c r="A141" i="3"/>
  <c r="L140" i="3"/>
  <c r="D140" i="3"/>
  <c r="A140" i="3"/>
  <c r="L139" i="3"/>
  <c r="D139" i="3"/>
  <c r="A139" i="3"/>
  <c r="L138" i="3"/>
  <c r="D138" i="3"/>
  <c r="A138" i="3"/>
  <c r="M137" i="3"/>
  <c r="E137" i="3"/>
  <c r="A137" i="3"/>
  <c r="M136" i="3"/>
  <c r="K136" i="3"/>
  <c r="J136" i="3"/>
  <c r="H136" i="3"/>
  <c r="F136" i="3"/>
  <c r="E136" i="3"/>
  <c r="C136" i="3"/>
  <c r="B136" i="3"/>
  <c r="A136" i="3"/>
  <c r="I136" i="3" s="1"/>
  <c r="M135" i="3"/>
  <c r="K135" i="3"/>
  <c r="J135" i="3"/>
  <c r="H135" i="3"/>
  <c r="G135" i="3"/>
  <c r="F135" i="3"/>
  <c r="E135" i="3"/>
  <c r="C135" i="3"/>
  <c r="B135" i="3"/>
  <c r="A135" i="3"/>
  <c r="L135" i="3" s="1"/>
  <c r="M134" i="3"/>
  <c r="L134" i="3"/>
  <c r="K134" i="3"/>
  <c r="J134" i="3"/>
  <c r="H134" i="3"/>
  <c r="G134" i="3"/>
  <c r="E134" i="3"/>
  <c r="D134" i="3"/>
  <c r="C134" i="3"/>
  <c r="B134" i="3"/>
  <c r="A134" i="3"/>
  <c r="I134" i="3" s="1"/>
  <c r="L133" i="3"/>
  <c r="J133" i="3"/>
  <c r="I133" i="3"/>
  <c r="G133" i="3"/>
  <c r="D133" i="3"/>
  <c r="B133" i="3"/>
  <c r="A133" i="3"/>
  <c r="L132" i="3"/>
  <c r="J132" i="3"/>
  <c r="I132" i="3"/>
  <c r="G132" i="3"/>
  <c r="D132" i="3"/>
  <c r="B132" i="3"/>
  <c r="A132" i="3"/>
  <c r="L131" i="3"/>
  <c r="K131" i="3"/>
  <c r="I131" i="3"/>
  <c r="G131" i="3"/>
  <c r="D131" i="3"/>
  <c r="C131" i="3"/>
  <c r="A131" i="3"/>
  <c r="L130" i="3"/>
  <c r="K130" i="3"/>
  <c r="I130" i="3"/>
  <c r="H130" i="3"/>
  <c r="D130" i="3"/>
  <c r="C130" i="3"/>
  <c r="A130" i="3"/>
  <c r="M129" i="3"/>
  <c r="K129" i="3"/>
  <c r="I129" i="3"/>
  <c r="H129" i="3"/>
  <c r="E129" i="3"/>
  <c r="C129" i="3"/>
  <c r="A129" i="3"/>
  <c r="M128" i="3"/>
  <c r="K128" i="3"/>
  <c r="J128" i="3"/>
  <c r="H128" i="3"/>
  <c r="F128" i="3"/>
  <c r="E128" i="3"/>
  <c r="C128" i="3"/>
  <c r="B128" i="3"/>
  <c r="A128" i="3"/>
  <c r="I128" i="3" s="1"/>
  <c r="M127" i="3"/>
  <c r="K127" i="3"/>
  <c r="J127" i="3"/>
  <c r="H127" i="3"/>
  <c r="G127" i="3"/>
  <c r="F127" i="3"/>
  <c r="E127" i="3"/>
  <c r="C127" i="3"/>
  <c r="B127" i="3"/>
  <c r="A127" i="3"/>
  <c r="L127" i="3" s="1"/>
  <c r="M126" i="3"/>
  <c r="L126" i="3"/>
  <c r="K126" i="3"/>
  <c r="J126" i="3"/>
  <c r="H126" i="3"/>
  <c r="G126" i="3"/>
  <c r="F126" i="3"/>
  <c r="E126" i="3"/>
  <c r="D126" i="3"/>
  <c r="C126" i="3"/>
  <c r="B126" i="3"/>
  <c r="A126" i="3"/>
  <c r="I126" i="3" s="1"/>
  <c r="L125" i="3"/>
  <c r="J125" i="3"/>
  <c r="I125" i="3"/>
  <c r="G125" i="3"/>
  <c r="D125" i="3"/>
  <c r="B125" i="3"/>
  <c r="A125" i="3"/>
  <c r="L124" i="3"/>
  <c r="J124" i="3"/>
  <c r="I124" i="3"/>
  <c r="G124" i="3"/>
  <c r="D124" i="3"/>
  <c r="B124" i="3"/>
  <c r="A124" i="3"/>
  <c r="L123" i="3"/>
  <c r="K123" i="3"/>
  <c r="I123" i="3"/>
  <c r="G123" i="3"/>
  <c r="D123" i="3"/>
  <c r="C123" i="3"/>
  <c r="A123" i="3"/>
  <c r="L122" i="3"/>
  <c r="K122" i="3"/>
  <c r="I122" i="3"/>
  <c r="H122" i="3"/>
  <c r="D122" i="3"/>
  <c r="C122" i="3"/>
  <c r="A122" i="3"/>
  <c r="M121" i="3"/>
  <c r="K121" i="3"/>
  <c r="I121" i="3"/>
  <c r="H121" i="3"/>
  <c r="E121" i="3"/>
  <c r="C121" i="3"/>
  <c r="A121" i="3"/>
  <c r="M120" i="3"/>
  <c r="K120" i="3"/>
  <c r="J120" i="3"/>
  <c r="H120" i="3"/>
  <c r="F120" i="3"/>
  <c r="E120" i="3"/>
  <c r="C120" i="3"/>
  <c r="B120" i="3"/>
  <c r="A120" i="3"/>
  <c r="I120" i="3" s="1"/>
  <c r="M119" i="3"/>
  <c r="K119" i="3"/>
  <c r="J119" i="3"/>
  <c r="H119" i="3"/>
  <c r="G119" i="3"/>
  <c r="F119" i="3"/>
  <c r="E119" i="3"/>
  <c r="C119" i="3"/>
  <c r="B119" i="3"/>
  <c r="A119" i="3"/>
  <c r="L119" i="3" s="1"/>
  <c r="M118" i="3"/>
  <c r="L118" i="3"/>
  <c r="K118" i="3"/>
  <c r="J118" i="3"/>
  <c r="H118" i="3"/>
  <c r="G118" i="3"/>
  <c r="E118" i="3"/>
  <c r="D118" i="3"/>
  <c r="C118" i="3"/>
  <c r="B118" i="3"/>
  <c r="A118" i="3"/>
  <c r="I118" i="3" s="1"/>
  <c r="M117" i="3"/>
  <c r="I117" i="3"/>
  <c r="A117" i="3"/>
  <c r="I116" i="3"/>
  <c r="A116" i="3"/>
  <c r="I115" i="3"/>
  <c r="A115" i="3"/>
  <c r="A114" i="3"/>
  <c r="I113" i="3"/>
  <c r="A113" i="3"/>
  <c r="M112" i="3"/>
  <c r="K112" i="3"/>
  <c r="J112" i="3"/>
  <c r="H112" i="3"/>
  <c r="F112" i="3"/>
  <c r="E112" i="3"/>
  <c r="C112" i="3"/>
  <c r="B112" i="3"/>
  <c r="A112" i="3"/>
  <c r="I112" i="3" s="1"/>
  <c r="M111" i="3"/>
  <c r="K111" i="3"/>
  <c r="J111" i="3"/>
  <c r="H111" i="3"/>
  <c r="G111" i="3"/>
  <c r="F111" i="3"/>
  <c r="E111" i="3"/>
  <c r="C111" i="3"/>
  <c r="B111" i="3"/>
  <c r="A111" i="3"/>
  <c r="L111" i="3" s="1"/>
  <c r="M110" i="3"/>
  <c r="L110" i="3"/>
  <c r="K110" i="3"/>
  <c r="J110" i="3"/>
  <c r="H110" i="3"/>
  <c r="G110" i="3"/>
  <c r="E110" i="3"/>
  <c r="D110" i="3"/>
  <c r="C110" i="3"/>
  <c r="B110" i="3"/>
  <c r="A110" i="3"/>
  <c r="I110" i="3" s="1"/>
  <c r="L109" i="3"/>
  <c r="I109" i="3"/>
  <c r="G109" i="3"/>
  <c r="E109" i="3"/>
  <c r="A109" i="3"/>
  <c r="J109" i="3" s="1"/>
  <c r="L108" i="3"/>
  <c r="I108" i="3"/>
  <c r="G108" i="3"/>
  <c r="F108" i="3"/>
  <c r="A108" i="3"/>
  <c r="J108" i="3" s="1"/>
  <c r="L107" i="3"/>
  <c r="I107" i="3"/>
  <c r="G107" i="3"/>
  <c r="F107" i="3"/>
  <c r="A107" i="3"/>
  <c r="K107" i="3" s="1"/>
  <c r="L106" i="3"/>
  <c r="I106" i="3"/>
  <c r="H106" i="3"/>
  <c r="F106" i="3"/>
  <c r="A106" i="3"/>
  <c r="K106" i="3" s="1"/>
  <c r="M105" i="3"/>
  <c r="I105" i="3"/>
  <c r="H105" i="3"/>
  <c r="F105" i="3"/>
  <c r="A105" i="3"/>
  <c r="K105" i="3" s="1"/>
  <c r="M104" i="3"/>
  <c r="K104" i="3"/>
  <c r="J104" i="3"/>
  <c r="H104" i="3"/>
  <c r="F104" i="3"/>
  <c r="E104" i="3"/>
  <c r="C104" i="3"/>
  <c r="B104" i="3"/>
  <c r="A104" i="3"/>
  <c r="I104" i="3" s="1"/>
  <c r="M103" i="3"/>
  <c r="K103" i="3"/>
  <c r="J103" i="3"/>
  <c r="H103" i="3"/>
  <c r="G103" i="3"/>
  <c r="F103" i="3"/>
  <c r="E103" i="3"/>
  <c r="C103" i="3"/>
  <c r="B103" i="3"/>
  <c r="A103" i="3"/>
  <c r="L103" i="3" s="1"/>
  <c r="M102" i="3"/>
  <c r="L102" i="3"/>
  <c r="K102" i="3"/>
  <c r="J102" i="3"/>
  <c r="H102" i="3"/>
  <c r="G102" i="3"/>
  <c r="E102" i="3"/>
  <c r="D102" i="3"/>
  <c r="C102" i="3"/>
  <c r="B102" i="3"/>
  <c r="A102" i="3"/>
  <c r="I102" i="3" s="1"/>
  <c r="L101" i="3"/>
  <c r="J101" i="3"/>
  <c r="I101" i="3"/>
  <c r="G101" i="3"/>
  <c r="E101" i="3"/>
  <c r="D101" i="3"/>
  <c r="B101" i="3"/>
  <c r="A101" i="3"/>
  <c r="L100" i="3"/>
  <c r="J100" i="3"/>
  <c r="I100" i="3"/>
  <c r="G100" i="3"/>
  <c r="F100" i="3"/>
  <c r="D100" i="3"/>
  <c r="B100" i="3"/>
  <c r="A100" i="3"/>
  <c r="L99" i="3"/>
  <c r="K99" i="3"/>
  <c r="I99" i="3"/>
  <c r="G99" i="3"/>
  <c r="F99" i="3"/>
  <c r="D99" i="3"/>
  <c r="C99" i="3"/>
  <c r="A99" i="3"/>
  <c r="L98" i="3"/>
  <c r="K98" i="3"/>
  <c r="I98" i="3"/>
  <c r="H98" i="3"/>
  <c r="F98" i="3"/>
  <c r="D98" i="3"/>
  <c r="C98" i="3"/>
  <c r="A98" i="3"/>
  <c r="M97" i="3"/>
  <c r="K97" i="3"/>
  <c r="I97" i="3"/>
  <c r="H97" i="3"/>
  <c r="F97" i="3"/>
  <c r="E97" i="3"/>
  <c r="C97" i="3"/>
  <c r="A97" i="3"/>
  <c r="M96" i="3"/>
  <c r="K96" i="3"/>
  <c r="J96" i="3"/>
  <c r="H96" i="3"/>
  <c r="F96" i="3"/>
  <c r="E96" i="3"/>
  <c r="C96" i="3"/>
  <c r="B96" i="3"/>
  <c r="A96" i="3"/>
  <c r="I96" i="3" s="1"/>
  <c r="M95" i="3"/>
  <c r="K95" i="3"/>
  <c r="J95" i="3"/>
  <c r="H95" i="3"/>
  <c r="G95" i="3"/>
  <c r="F95" i="3"/>
  <c r="E95" i="3"/>
  <c r="C95" i="3"/>
  <c r="B95" i="3"/>
  <c r="A95" i="3"/>
  <c r="L95" i="3" s="1"/>
  <c r="M94" i="3"/>
  <c r="L94" i="3"/>
  <c r="K94" i="3"/>
  <c r="J94" i="3"/>
  <c r="H94" i="3"/>
  <c r="G94" i="3"/>
  <c r="E94" i="3"/>
  <c r="D94" i="3"/>
  <c r="C94" i="3"/>
  <c r="B94" i="3"/>
  <c r="A94" i="3"/>
  <c r="I94" i="3" s="1"/>
  <c r="J93" i="3"/>
  <c r="I93" i="3"/>
  <c r="G93" i="3"/>
  <c r="E93" i="3"/>
  <c r="D93" i="3"/>
  <c r="B93" i="3"/>
  <c r="A93" i="3"/>
  <c r="L93" i="3" s="1"/>
  <c r="J92" i="3"/>
  <c r="I92" i="3"/>
  <c r="G92" i="3"/>
  <c r="F92" i="3"/>
  <c r="D92" i="3"/>
  <c r="B92" i="3"/>
  <c r="A92" i="3"/>
  <c r="L92" i="3" s="1"/>
  <c r="K91" i="3"/>
  <c r="I91" i="3"/>
  <c r="F91" i="3"/>
  <c r="D91" i="3"/>
  <c r="C91" i="3"/>
  <c r="A91" i="3"/>
  <c r="L91" i="3" s="1"/>
  <c r="K90" i="3"/>
  <c r="I90" i="3"/>
  <c r="F90" i="3"/>
  <c r="D90" i="3"/>
  <c r="C90" i="3"/>
  <c r="A90" i="3"/>
  <c r="L90" i="3" s="1"/>
  <c r="K89" i="3"/>
  <c r="I89" i="3"/>
  <c r="F89" i="3"/>
  <c r="E89" i="3"/>
  <c r="C89" i="3"/>
  <c r="A89" i="3"/>
  <c r="M89" i="3" s="1"/>
  <c r="M88" i="3"/>
  <c r="K88" i="3"/>
  <c r="J88" i="3"/>
  <c r="H88" i="3"/>
  <c r="F88" i="3"/>
  <c r="E88" i="3"/>
  <c r="C88" i="3"/>
  <c r="B88" i="3"/>
  <c r="A88" i="3"/>
  <c r="I88" i="3" s="1"/>
  <c r="M87" i="3"/>
  <c r="L87" i="3"/>
  <c r="K87" i="3"/>
  <c r="J87" i="3"/>
  <c r="H87" i="3"/>
  <c r="G87" i="3"/>
  <c r="F87" i="3"/>
  <c r="E87" i="3"/>
  <c r="D87" i="3"/>
  <c r="C87" i="3"/>
  <c r="B87" i="3"/>
  <c r="A87" i="3"/>
  <c r="I87" i="3" s="1"/>
  <c r="M86" i="3"/>
  <c r="L86" i="3"/>
  <c r="K86" i="3"/>
  <c r="J86" i="3"/>
  <c r="H86" i="3"/>
  <c r="G86" i="3"/>
  <c r="E86" i="3"/>
  <c r="D86" i="3"/>
  <c r="C86" i="3"/>
  <c r="B86" i="3"/>
  <c r="A86" i="3"/>
  <c r="I86" i="3" s="1"/>
  <c r="L85" i="3"/>
  <c r="J85" i="3"/>
  <c r="I85" i="3"/>
  <c r="G85" i="3"/>
  <c r="E85" i="3"/>
  <c r="D85" i="3"/>
  <c r="B85" i="3"/>
  <c r="A85" i="3"/>
  <c r="A84" i="3"/>
  <c r="L84" i="3" s="1"/>
  <c r="J83" i="3"/>
  <c r="C83" i="3"/>
  <c r="A83" i="3"/>
  <c r="L82" i="3"/>
  <c r="F82" i="3"/>
  <c r="A82" i="3"/>
  <c r="M81" i="3"/>
  <c r="I81" i="3"/>
  <c r="H81" i="3"/>
  <c r="E81" i="3"/>
  <c r="D81" i="3"/>
  <c r="C81" i="3"/>
  <c r="A81" i="3"/>
  <c r="K81" i="3" s="1"/>
  <c r="J80" i="3"/>
  <c r="H80" i="3"/>
  <c r="F80" i="3"/>
  <c r="A80" i="3"/>
  <c r="I80" i="3" s="1"/>
  <c r="M79" i="3"/>
  <c r="L79" i="3"/>
  <c r="K79" i="3"/>
  <c r="J79" i="3"/>
  <c r="H79" i="3"/>
  <c r="G79" i="3"/>
  <c r="F79" i="3"/>
  <c r="E79" i="3"/>
  <c r="D79" i="3"/>
  <c r="C79" i="3"/>
  <c r="B79" i="3"/>
  <c r="A79" i="3"/>
  <c r="I79" i="3" s="1"/>
  <c r="M78" i="3"/>
  <c r="L78" i="3"/>
  <c r="K78" i="3"/>
  <c r="J78" i="3"/>
  <c r="H78" i="3"/>
  <c r="G78" i="3"/>
  <c r="E78" i="3"/>
  <c r="D78" i="3"/>
  <c r="C78" i="3"/>
  <c r="B78" i="3"/>
  <c r="A78" i="3"/>
  <c r="I78" i="3" s="1"/>
  <c r="L77" i="3"/>
  <c r="H77" i="3"/>
  <c r="A77" i="3"/>
  <c r="J76" i="3"/>
  <c r="D76" i="3"/>
  <c r="A76" i="3"/>
  <c r="L75" i="3"/>
  <c r="F75" i="3"/>
  <c r="C75" i="3"/>
  <c r="B75" i="3"/>
  <c r="A75" i="3"/>
  <c r="J75" i="3" s="1"/>
  <c r="I74" i="3"/>
  <c r="H74" i="3"/>
  <c r="F74" i="3"/>
  <c r="D74" i="3"/>
  <c r="C74" i="3"/>
  <c r="A74" i="3"/>
  <c r="K74" i="3" s="1"/>
  <c r="K73" i="3"/>
  <c r="H73" i="3"/>
  <c r="F73" i="3"/>
  <c r="A73" i="3"/>
  <c r="I73" i="3" s="1"/>
  <c r="M72" i="3"/>
  <c r="J72" i="3"/>
  <c r="I72" i="3"/>
  <c r="H72" i="3"/>
  <c r="F72" i="3"/>
  <c r="C72" i="3"/>
  <c r="B72" i="3"/>
  <c r="A72" i="3"/>
  <c r="M71" i="3"/>
  <c r="K71" i="3"/>
  <c r="J71" i="3"/>
  <c r="H71" i="3"/>
  <c r="G71" i="3"/>
  <c r="F71" i="3"/>
  <c r="E71" i="3"/>
  <c r="C71" i="3"/>
  <c r="B71" i="3"/>
  <c r="A71" i="3"/>
  <c r="L71" i="3" s="1"/>
  <c r="M70" i="3"/>
  <c r="L70" i="3"/>
  <c r="K70" i="3"/>
  <c r="J70" i="3"/>
  <c r="H70" i="3"/>
  <c r="G70" i="3"/>
  <c r="E70" i="3"/>
  <c r="D70" i="3"/>
  <c r="C70" i="3"/>
  <c r="B70" i="3"/>
  <c r="A70" i="3"/>
  <c r="I70" i="3" s="1"/>
  <c r="A69" i="3"/>
  <c r="J68" i="3"/>
  <c r="D68" i="3"/>
  <c r="A68" i="3"/>
  <c r="L67" i="3"/>
  <c r="F67" i="3"/>
  <c r="C67" i="3"/>
  <c r="B67" i="3"/>
  <c r="A67" i="3"/>
  <c r="J67" i="3" s="1"/>
  <c r="I66" i="3"/>
  <c r="H66" i="3"/>
  <c r="F66" i="3"/>
  <c r="D66" i="3"/>
  <c r="C66" i="3"/>
  <c r="A66" i="3"/>
  <c r="K66" i="3" s="1"/>
  <c r="K65" i="3"/>
  <c r="H65" i="3"/>
  <c r="F65" i="3"/>
  <c r="A65" i="3"/>
  <c r="I65" i="3" s="1"/>
  <c r="M64" i="3"/>
  <c r="K64" i="3"/>
  <c r="J64" i="3"/>
  <c r="E64" i="3"/>
  <c r="C64" i="3"/>
  <c r="B64" i="3"/>
  <c r="A64" i="3"/>
  <c r="I64" i="3" s="1"/>
  <c r="M63" i="3"/>
  <c r="K63" i="3"/>
  <c r="J63" i="3"/>
  <c r="H63" i="3"/>
  <c r="G63" i="3"/>
  <c r="F63" i="3"/>
  <c r="E63" i="3"/>
  <c r="C63" i="3"/>
  <c r="B63" i="3"/>
  <c r="A63" i="3"/>
  <c r="L63" i="3" s="1"/>
  <c r="M62" i="3"/>
  <c r="L62" i="3"/>
  <c r="K62" i="3"/>
  <c r="J62" i="3"/>
  <c r="H62" i="3"/>
  <c r="G62" i="3"/>
  <c r="F62" i="3"/>
  <c r="E62" i="3"/>
  <c r="D62" i="3"/>
  <c r="C62" i="3"/>
  <c r="B62" i="3"/>
  <c r="A62" i="3"/>
  <c r="I62" i="3" s="1"/>
  <c r="A61" i="3"/>
  <c r="L61" i="3" s="1"/>
  <c r="I60" i="3"/>
  <c r="F60" i="3"/>
  <c r="A60" i="3"/>
  <c r="L59" i="3"/>
  <c r="K59" i="3"/>
  <c r="J59" i="3"/>
  <c r="G59" i="3"/>
  <c r="F59" i="3"/>
  <c r="D59" i="3"/>
  <c r="C59" i="3"/>
  <c r="B59" i="3"/>
  <c r="A59" i="3"/>
  <c r="I59" i="3" s="1"/>
  <c r="K58" i="3"/>
  <c r="H58" i="3"/>
  <c r="C58" i="3"/>
  <c r="A58" i="3"/>
  <c r="G58" i="3" s="1"/>
  <c r="M57" i="3"/>
  <c r="H57" i="3"/>
  <c r="F57" i="3"/>
  <c r="E57" i="3"/>
  <c r="D57" i="3"/>
  <c r="A57" i="3"/>
  <c r="L57" i="3" s="1"/>
  <c r="M56" i="3"/>
  <c r="K56" i="3"/>
  <c r="J56" i="3"/>
  <c r="E56" i="3"/>
  <c r="C56" i="3"/>
  <c r="B56" i="3"/>
  <c r="A56" i="3"/>
  <c r="I56" i="3" s="1"/>
  <c r="M55" i="3"/>
  <c r="K55" i="3"/>
  <c r="J55" i="3"/>
  <c r="H55" i="3"/>
  <c r="G55" i="3"/>
  <c r="F55" i="3"/>
  <c r="E55" i="3"/>
  <c r="C55" i="3"/>
  <c r="B55" i="3"/>
  <c r="A55" i="3"/>
  <c r="L55" i="3" s="1"/>
  <c r="M54" i="3"/>
  <c r="L54" i="3"/>
  <c r="K54" i="3"/>
  <c r="J54" i="3"/>
  <c r="H54" i="3"/>
  <c r="G54" i="3"/>
  <c r="F54" i="3"/>
  <c r="E54" i="3"/>
  <c r="D54" i="3"/>
  <c r="C54" i="3"/>
  <c r="B54" i="3"/>
  <c r="A54" i="3"/>
  <c r="I54" i="3" s="1"/>
  <c r="L53" i="3"/>
  <c r="I53" i="3"/>
  <c r="A53" i="3"/>
  <c r="I52" i="3"/>
  <c r="F52" i="3"/>
  <c r="A52" i="3"/>
  <c r="L51" i="3"/>
  <c r="K51" i="3"/>
  <c r="J51" i="3"/>
  <c r="G51" i="3"/>
  <c r="F51" i="3"/>
  <c r="D51" i="3"/>
  <c r="C51" i="3"/>
  <c r="B51" i="3"/>
  <c r="A51" i="3"/>
  <c r="I51" i="3" s="1"/>
  <c r="K50" i="3"/>
  <c r="H50" i="3"/>
  <c r="C50" i="3"/>
  <c r="A50" i="3"/>
  <c r="G50" i="3" s="1"/>
  <c r="M49" i="3"/>
  <c r="L49" i="3"/>
  <c r="H49" i="3"/>
  <c r="F49" i="3"/>
  <c r="E49" i="3"/>
  <c r="D49" i="3"/>
  <c r="A49" i="3"/>
  <c r="K49" i="3" s="1"/>
  <c r="M48" i="3"/>
  <c r="K48" i="3"/>
  <c r="J48" i="3"/>
  <c r="E48" i="3"/>
  <c r="C48" i="3"/>
  <c r="B48" i="3"/>
  <c r="A48" i="3"/>
  <c r="I48" i="3" s="1"/>
  <c r="M47" i="3"/>
  <c r="K47" i="3"/>
  <c r="J47" i="3"/>
  <c r="H47" i="3"/>
  <c r="G47" i="3"/>
  <c r="F47" i="3"/>
  <c r="E47" i="3"/>
  <c r="C47" i="3"/>
  <c r="B47" i="3"/>
  <c r="A47" i="3"/>
  <c r="L47" i="3" s="1"/>
  <c r="M46" i="3"/>
  <c r="L46" i="3"/>
  <c r="K46" i="3"/>
  <c r="J46" i="3"/>
  <c r="H46" i="3"/>
  <c r="G46" i="3"/>
  <c r="F46" i="3"/>
  <c r="E46" i="3"/>
  <c r="D46" i="3"/>
  <c r="C46" i="3"/>
  <c r="B46" i="3"/>
  <c r="A46" i="3"/>
  <c r="I46" i="3" s="1"/>
  <c r="I45" i="3"/>
  <c r="A45" i="3"/>
  <c r="I44" i="3"/>
  <c r="F44" i="3"/>
  <c r="A44" i="3"/>
  <c r="L43" i="3"/>
  <c r="K43" i="3"/>
  <c r="J43" i="3"/>
  <c r="G43" i="3"/>
  <c r="F43" i="3"/>
  <c r="D43" i="3"/>
  <c r="C43" i="3"/>
  <c r="B43" i="3"/>
  <c r="A43" i="3"/>
  <c r="I43" i="3" s="1"/>
  <c r="K42" i="3"/>
  <c r="H42" i="3"/>
  <c r="C42" i="3"/>
  <c r="A42" i="3"/>
  <c r="G42" i="3" s="1"/>
  <c r="M41" i="3"/>
  <c r="L41" i="3"/>
  <c r="H41" i="3"/>
  <c r="F41" i="3"/>
  <c r="E41" i="3"/>
  <c r="D41" i="3"/>
  <c r="A41" i="3"/>
  <c r="K41" i="3" s="1"/>
  <c r="M40" i="3"/>
  <c r="K40" i="3"/>
  <c r="J40" i="3"/>
  <c r="E40" i="3"/>
  <c r="C40" i="3"/>
  <c r="B40" i="3"/>
  <c r="A40" i="3"/>
  <c r="I40" i="3" s="1"/>
  <c r="M39" i="3"/>
  <c r="K39" i="3"/>
  <c r="J39" i="3"/>
  <c r="H39" i="3"/>
  <c r="G39" i="3"/>
  <c r="F39" i="3"/>
  <c r="E39" i="3"/>
  <c r="C39" i="3"/>
  <c r="B39" i="3"/>
  <c r="A39" i="3"/>
  <c r="L39" i="3" s="1"/>
  <c r="M38" i="3"/>
  <c r="L38" i="3"/>
  <c r="K38" i="3"/>
  <c r="J38" i="3"/>
  <c r="H38" i="3"/>
  <c r="G38" i="3"/>
  <c r="F38" i="3"/>
  <c r="E38" i="3"/>
  <c r="D38" i="3"/>
  <c r="C38" i="3"/>
  <c r="B38" i="3"/>
  <c r="A38" i="3"/>
  <c r="I38" i="3" s="1"/>
  <c r="I37" i="3"/>
  <c r="A37" i="3"/>
  <c r="I36" i="3"/>
  <c r="F36" i="3"/>
  <c r="A36" i="3"/>
  <c r="L35" i="3"/>
  <c r="K35" i="3"/>
  <c r="J35" i="3"/>
  <c r="G35" i="3"/>
  <c r="F35" i="3"/>
  <c r="D35" i="3"/>
  <c r="C35" i="3"/>
  <c r="B35" i="3"/>
  <c r="A35" i="3"/>
  <c r="I35" i="3" s="1"/>
  <c r="K34" i="3"/>
  <c r="H34" i="3"/>
  <c r="C34" i="3"/>
  <c r="A34" i="3"/>
  <c r="G34" i="3" s="1"/>
  <c r="M33" i="3"/>
  <c r="L33" i="3"/>
  <c r="H33" i="3"/>
  <c r="F33" i="3"/>
  <c r="E33" i="3"/>
  <c r="D33" i="3"/>
  <c r="A33" i="3"/>
  <c r="K33" i="3" s="1"/>
  <c r="M32" i="3"/>
  <c r="K32" i="3"/>
  <c r="J32" i="3"/>
  <c r="E32" i="3"/>
  <c r="C32" i="3"/>
  <c r="B32" i="3"/>
  <c r="A32" i="3"/>
  <c r="I32" i="3" s="1"/>
  <c r="M31" i="3"/>
  <c r="K31" i="3"/>
  <c r="J31" i="3"/>
  <c r="H31" i="3"/>
  <c r="G31" i="3"/>
  <c r="F31" i="3"/>
  <c r="E31" i="3"/>
  <c r="C31" i="3"/>
  <c r="B31" i="3"/>
  <c r="A31" i="3"/>
  <c r="L31" i="3" s="1"/>
  <c r="M30" i="3"/>
  <c r="L30" i="3"/>
  <c r="K30" i="3"/>
  <c r="J30" i="3"/>
  <c r="H30" i="3"/>
  <c r="G30" i="3"/>
  <c r="F30" i="3"/>
  <c r="E30" i="3"/>
  <c r="D30" i="3"/>
  <c r="C30" i="3"/>
  <c r="B30" i="3"/>
  <c r="A30" i="3"/>
  <c r="I30" i="3" s="1"/>
  <c r="I29" i="3"/>
  <c r="A29" i="3"/>
  <c r="I28" i="3"/>
  <c r="F28" i="3"/>
  <c r="A28" i="3"/>
  <c r="L27" i="3"/>
  <c r="K27" i="3"/>
  <c r="J27" i="3"/>
  <c r="G27" i="3"/>
  <c r="F27" i="3"/>
  <c r="D27" i="3"/>
  <c r="C27" i="3"/>
  <c r="B27" i="3"/>
  <c r="A27" i="3"/>
  <c r="I27" i="3" s="1"/>
  <c r="K26" i="3"/>
  <c r="H26" i="3"/>
  <c r="C26" i="3"/>
  <c r="A26" i="3"/>
  <c r="G26" i="3" s="1"/>
  <c r="M25" i="3"/>
  <c r="L25" i="3"/>
  <c r="H25" i="3"/>
  <c r="F25" i="3"/>
  <c r="E25" i="3"/>
  <c r="D25" i="3"/>
  <c r="A25" i="3"/>
  <c r="K25" i="3" s="1"/>
  <c r="M24" i="3"/>
  <c r="K24" i="3"/>
  <c r="J24" i="3"/>
  <c r="E24" i="3"/>
  <c r="C24" i="3"/>
  <c r="B24" i="3"/>
  <c r="A24" i="3"/>
  <c r="I24" i="3" s="1"/>
  <c r="M23" i="3"/>
  <c r="K23" i="3"/>
  <c r="J23" i="3"/>
  <c r="H23" i="3"/>
  <c r="G23" i="3"/>
  <c r="F23" i="3"/>
  <c r="E23" i="3"/>
  <c r="C23" i="3"/>
  <c r="B23" i="3"/>
  <c r="A23" i="3"/>
  <c r="L23" i="3" s="1"/>
  <c r="M22" i="3"/>
  <c r="L22" i="3"/>
  <c r="K22" i="3"/>
  <c r="J22" i="3"/>
  <c r="H22" i="3"/>
  <c r="G22" i="3"/>
  <c r="F22" i="3"/>
  <c r="E22" i="3"/>
  <c r="D22" i="3"/>
  <c r="C22" i="3"/>
  <c r="B22" i="3"/>
  <c r="A22" i="3"/>
  <c r="I22" i="3" s="1"/>
  <c r="I21" i="3"/>
  <c r="A21" i="3"/>
  <c r="I20" i="3"/>
  <c r="F20" i="3"/>
  <c r="A20" i="3"/>
  <c r="L19" i="3"/>
  <c r="K19" i="3"/>
  <c r="J19" i="3"/>
  <c r="G19" i="3"/>
  <c r="F19" i="3"/>
  <c r="D19" i="3"/>
  <c r="C19" i="3"/>
  <c r="B19" i="3"/>
  <c r="A19" i="3"/>
  <c r="I19" i="3" s="1"/>
  <c r="K18" i="3"/>
  <c r="H18" i="3"/>
  <c r="C18" i="3"/>
  <c r="A18" i="3"/>
  <c r="G18" i="3" s="1"/>
  <c r="M17" i="3"/>
  <c r="L17" i="3"/>
  <c r="H17" i="3"/>
  <c r="F17" i="3"/>
  <c r="E17" i="3"/>
  <c r="D17" i="3"/>
  <c r="A17" i="3"/>
  <c r="K17" i="3" s="1"/>
  <c r="E16" i="3"/>
  <c r="C16" i="3"/>
  <c r="A16" i="3"/>
  <c r="I16" i="3" s="1"/>
  <c r="G15" i="3"/>
  <c r="C15" i="3"/>
  <c r="B15" i="3"/>
  <c r="A15" i="3"/>
  <c r="L15" i="3" s="1"/>
  <c r="H14" i="3"/>
  <c r="A14" i="3"/>
  <c r="I14" i="3" s="1"/>
  <c r="I13" i="3"/>
  <c r="A13" i="3"/>
  <c r="A12" i="3"/>
  <c r="I12" i="3" s="1"/>
  <c r="A11" i="3"/>
  <c r="I11" i="3" s="1"/>
  <c r="A10" i="3"/>
  <c r="G10" i="3" s="1"/>
  <c r="A9" i="3"/>
  <c r="K9" i="3" s="1"/>
  <c r="A8" i="3"/>
  <c r="I8" i="3" s="1"/>
  <c r="A7" i="3"/>
  <c r="L7" i="3" s="1"/>
  <c r="A6" i="3"/>
  <c r="I6" i="3" s="1"/>
  <c r="A5" i="3"/>
  <c r="I5" i="3" s="1"/>
  <c r="A4" i="3"/>
  <c r="I4" i="3" s="1"/>
  <c r="A3" i="3"/>
  <c r="I3" i="3" s="1"/>
  <c r="A2" i="3"/>
  <c r="G2" i="3" s="1"/>
  <c r="M1000" i="2"/>
  <c r="L1000" i="2"/>
  <c r="H1000" i="2"/>
  <c r="F1000" i="2"/>
  <c r="E1000" i="2"/>
  <c r="D1000" i="2"/>
  <c r="A1000" i="2"/>
  <c r="K1000" i="2" s="1"/>
  <c r="M999" i="2"/>
  <c r="K999" i="2"/>
  <c r="J999" i="2"/>
  <c r="E999" i="2"/>
  <c r="C999" i="2"/>
  <c r="B999" i="2"/>
  <c r="A999" i="2"/>
  <c r="I999" i="2" s="1"/>
  <c r="M998" i="2"/>
  <c r="K998" i="2"/>
  <c r="J998" i="2"/>
  <c r="H998" i="2"/>
  <c r="G998" i="2"/>
  <c r="F998" i="2"/>
  <c r="E998" i="2"/>
  <c r="C998" i="2"/>
  <c r="B998" i="2"/>
  <c r="A998" i="2"/>
  <c r="L998" i="2" s="1"/>
  <c r="M997" i="2"/>
  <c r="L997" i="2"/>
  <c r="K997" i="2"/>
  <c r="J997" i="2"/>
  <c r="H997" i="2"/>
  <c r="G997" i="2"/>
  <c r="F997" i="2"/>
  <c r="E997" i="2"/>
  <c r="D997" i="2"/>
  <c r="C997" i="2"/>
  <c r="B997" i="2"/>
  <c r="A997" i="2"/>
  <c r="I997" i="2" s="1"/>
  <c r="I996" i="2"/>
  <c r="A996" i="2"/>
  <c r="I995" i="2"/>
  <c r="F995" i="2"/>
  <c r="A995" i="2"/>
  <c r="L994" i="2"/>
  <c r="K994" i="2"/>
  <c r="J994" i="2"/>
  <c r="G994" i="2"/>
  <c r="F994" i="2"/>
  <c r="D994" i="2"/>
  <c r="C994" i="2"/>
  <c r="B994" i="2"/>
  <c r="A994" i="2"/>
  <c r="I994" i="2" s="1"/>
  <c r="K993" i="2"/>
  <c r="H993" i="2"/>
  <c r="C993" i="2"/>
  <c r="A993" i="2"/>
  <c r="G993" i="2" s="1"/>
  <c r="M992" i="2"/>
  <c r="L992" i="2"/>
  <c r="H992" i="2"/>
  <c r="F992" i="2"/>
  <c r="E992" i="2"/>
  <c r="D992" i="2"/>
  <c r="A992" i="2"/>
  <c r="K992" i="2" s="1"/>
  <c r="M991" i="2"/>
  <c r="K991" i="2"/>
  <c r="J991" i="2"/>
  <c r="E991" i="2"/>
  <c r="C991" i="2"/>
  <c r="B991" i="2"/>
  <c r="A991" i="2"/>
  <c r="I991" i="2" s="1"/>
  <c r="M990" i="2"/>
  <c r="K990" i="2"/>
  <c r="J990" i="2"/>
  <c r="H990" i="2"/>
  <c r="G990" i="2"/>
  <c r="F990" i="2"/>
  <c r="E990" i="2"/>
  <c r="C990" i="2"/>
  <c r="B990" i="2"/>
  <c r="A990" i="2"/>
  <c r="L990" i="2" s="1"/>
  <c r="M989" i="2"/>
  <c r="L989" i="2"/>
  <c r="K989" i="2"/>
  <c r="J989" i="2"/>
  <c r="H989" i="2"/>
  <c r="G989" i="2"/>
  <c r="F989" i="2"/>
  <c r="E989" i="2"/>
  <c r="D989" i="2"/>
  <c r="C989" i="2"/>
  <c r="B989" i="2"/>
  <c r="A989" i="2"/>
  <c r="I989" i="2" s="1"/>
  <c r="I988" i="2"/>
  <c r="A988" i="2"/>
  <c r="I987" i="2"/>
  <c r="F987" i="2"/>
  <c r="A987" i="2"/>
  <c r="L986" i="2"/>
  <c r="K986" i="2"/>
  <c r="J986" i="2"/>
  <c r="G986" i="2"/>
  <c r="F986" i="2"/>
  <c r="D986" i="2"/>
  <c r="C986" i="2"/>
  <c r="B986" i="2"/>
  <c r="A986" i="2"/>
  <c r="I986" i="2" s="1"/>
  <c r="K985" i="2"/>
  <c r="H985" i="2"/>
  <c r="C985" i="2"/>
  <c r="A985" i="2"/>
  <c r="G985" i="2" s="1"/>
  <c r="M984" i="2"/>
  <c r="L984" i="2"/>
  <c r="H984" i="2"/>
  <c r="F984" i="2"/>
  <c r="E984" i="2"/>
  <c r="D984" i="2"/>
  <c r="A984" i="2"/>
  <c r="K984" i="2" s="1"/>
  <c r="M983" i="2"/>
  <c r="K983" i="2"/>
  <c r="J983" i="2"/>
  <c r="E983" i="2"/>
  <c r="C983" i="2"/>
  <c r="B983" i="2"/>
  <c r="A983" i="2"/>
  <c r="I983" i="2" s="1"/>
  <c r="M982" i="2"/>
  <c r="K982" i="2"/>
  <c r="J982" i="2"/>
  <c r="H982" i="2"/>
  <c r="G982" i="2"/>
  <c r="F982" i="2"/>
  <c r="E982" i="2"/>
  <c r="C982" i="2"/>
  <c r="B982" i="2"/>
  <c r="A982" i="2"/>
  <c r="L982" i="2" s="1"/>
  <c r="M981" i="2"/>
  <c r="L981" i="2"/>
  <c r="K981" i="2"/>
  <c r="J981" i="2"/>
  <c r="H981" i="2"/>
  <c r="G981" i="2"/>
  <c r="F981" i="2"/>
  <c r="E981" i="2"/>
  <c r="D981" i="2"/>
  <c r="C981" i="2"/>
  <c r="B981" i="2"/>
  <c r="A981" i="2"/>
  <c r="I981" i="2" s="1"/>
  <c r="I980" i="2"/>
  <c r="A980" i="2"/>
  <c r="I979" i="2"/>
  <c r="F979" i="2"/>
  <c r="A979" i="2"/>
  <c r="L978" i="2"/>
  <c r="K978" i="2"/>
  <c r="J978" i="2"/>
  <c r="G978" i="2"/>
  <c r="F978" i="2"/>
  <c r="D978" i="2"/>
  <c r="C978" i="2"/>
  <c r="B978" i="2"/>
  <c r="A978" i="2"/>
  <c r="I978" i="2" s="1"/>
  <c r="K977" i="2"/>
  <c r="H977" i="2"/>
  <c r="C977" i="2"/>
  <c r="A977" i="2"/>
  <c r="G977" i="2" s="1"/>
  <c r="M976" i="2"/>
  <c r="L976" i="2"/>
  <c r="H976" i="2"/>
  <c r="F976" i="2"/>
  <c r="E976" i="2"/>
  <c r="D976" i="2"/>
  <c r="A976" i="2"/>
  <c r="K976" i="2" s="1"/>
  <c r="M975" i="2"/>
  <c r="K975" i="2"/>
  <c r="J975" i="2"/>
  <c r="E975" i="2"/>
  <c r="C975" i="2"/>
  <c r="B975" i="2"/>
  <c r="A975" i="2"/>
  <c r="I975" i="2" s="1"/>
  <c r="M974" i="2"/>
  <c r="K974" i="2"/>
  <c r="J974" i="2"/>
  <c r="H974" i="2"/>
  <c r="G974" i="2"/>
  <c r="F974" i="2"/>
  <c r="E974" i="2"/>
  <c r="C974" i="2"/>
  <c r="B974" i="2"/>
  <c r="A974" i="2"/>
  <c r="L974" i="2" s="1"/>
  <c r="M973" i="2"/>
  <c r="L973" i="2"/>
  <c r="K973" i="2"/>
  <c r="J973" i="2"/>
  <c r="H973" i="2"/>
  <c r="G973" i="2"/>
  <c r="F973" i="2"/>
  <c r="E973" i="2"/>
  <c r="D973" i="2"/>
  <c r="C973" i="2"/>
  <c r="B973" i="2"/>
  <c r="A973" i="2"/>
  <c r="I973" i="2" s="1"/>
  <c r="I972" i="2"/>
  <c r="A972" i="2"/>
  <c r="I971" i="2"/>
  <c r="F971" i="2"/>
  <c r="A971" i="2"/>
  <c r="L970" i="2"/>
  <c r="K970" i="2"/>
  <c r="J970" i="2"/>
  <c r="G970" i="2"/>
  <c r="F970" i="2"/>
  <c r="D970" i="2"/>
  <c r="C970" i="2"/>
  <c r="B970" i="2"/>
  <c r="A970" i="2"/>
  <c r="I970" i="2" s="1"/>
  <c r="K969" i="2"/>
  <c r="H969" i="2"/>
  <c r="C969" i="2"/>
  <c r="A969" i="2"/>
  <c r="G969" i="2" s="1"/>
  <c r="M968" i="2"/>
  <c r="L968" i="2"/>
  <c r="H968" i="2"/>
  <c r="F968" i="2"/>
  <c r="E968" i="2"/>
  <c r="D968" i="2"/>
  <c r="A968" i="2"/>
  <c r="K968" i="2" s="1"/>
  <c r="M967" i="2"/>
  <c r="K967" i="2"/>
  <c r="J967" i="2"/>
  <c r="E967" i="2"/>
  <c r="C967" i="2"/>
  <c r="B967" i="2"/>
  <c r="A967" i="2"/>
  <c r="I967" i="2" s="1"/>
  <c r="M966" i="2"/>
  <c r="K966" i="2"/>
  <c r="J966" i="2"/>
  <c r="H966" i="2"/>
  <c r="G966" i="2"/>
  <c r="F966" i="2"/>
  <c r="E966" i="2"/>
  <c r="C966" i="2"/>
  <c r="B966" i="2"/>
  <c r="A966" i="2"/>
  <c r="L966" i="2" s="1"/>
  <c r="M965" i="2"/>
  <c r="L965" i="2"/>
  <c r="K965" i="2"/>
  <c r="J965" i="2"/>
  <c r="H965" i="2"/>
  <c r="G965" i="2"/>
  <c r="F965" i="2"/>
  <c r="E965" i="2"/>
  <c r="D965" i="2"/>
  <c r="C965" i="2"/>
  <c r="B965" i="2"/>
  <c r="A965" i="2"/>
  <c r="I965" i="2" s="1"/>
  <c r="I964" i="2"/>
  <c r="A964" i="2"/>
  <c r="I963" i="2"/>
  <c r="F963" i="2"/>
  <c r="A963" i="2"/>
  <c r="L962" i="2"/>
  <c r="K962" i="2"/>
  <c r="J962" i="2"/>
  <c r="G962" i="2"/>
  <c r="F962" i="2"/>
  <c r="D962" i="2"/>
  <c r="C962" i="2"/>
  <c r="B962" i="2"/>
  <c r="A962" i="2"/>
  <c r="I962" i="2" s="1"/>
  <c r="K961" i="2"/>
  <c r="H961" i="2"/>
  <c r="C961" i="2"/>
  <c r="A961" i="2"/>
  <c r="G961" i="2" s="1"/>
  <c r="M960" i="2"/>
  <c r="L960" i="2"/>
  <c r="H960" i="2"/>
  <c r="F960" i="2"/>
  <c r="E960" i="2"/>
  <c r="D960" i="2"/>
  <c r="A960" i="2"/>
  <c r="K960" i="2" s="1"/>
  <c r="M959" i="2"/>
  <c r="K959" i="2"/>
  <c r="J959" i="2"/>
  <c r="E959" i="2"/>
  <c r="C959" i="2"/>
  <c r="B959" i="2"/>
  <c r="A959" i="2"/>
  <c r="I959" i="2" s="1"/>
  <c r="M958" i="2"/>
  <c r="K958" i="2"/>
  <c r="J958" i="2"/>
  <c r="H958" i="2"/>
  <c r="G958" i="2"/>
  <c r="F958" i="2"/>
  <c r="E958" i="2"/>
  <c r="C958" i="2"/>
  <c r="B958" i="2"/>
  <c r="A958" i="2"/>
  <c r="L958" i="2" s="1"/>
  <c r="M957" i="2"/>
  <c r="L957" i="2"/>
  <c r="K957" i="2"/>
  <c r="J957" i="2"/>
  <c r="H957" i="2"/>
  <c r="G957" i="2"/>
  <c r="F957" i="2"/>
  <c r="E957" i="2"/>
  <c r="D957" i="2"/>
  <c r="C957" i="2"/>
  <c r="B957" i="2"/>
  <c r="A957" i="2"/>
  <c r="I957" i="2" s="1"/>
  <c r="I956" i="2"/>
  <c r="A956" i="2"/>
  <c r="I955" i="2"/>
  <c r="F955" i="2"/>
  <c r="A955" i="2"/>
  <c r="L954" i="2"/>
  <c r="K954" i="2"/>
  <c r="J954" i="2"/>
  <c r="G954" i="2"/>
  <c r="F954" i="2"/>
  <c r="D954" i="2"/>
  <c r="C954" i="2"/>
  <c r="B954" i="2"/>
  <c r="A954" i="2"/>
  <c r="I954" i="2" s="1"/>
  <c r="K953" i="2"/>
  <c r="H953" i="2"/>
  <c r="C953" i="2"/>
  <c r="A953" i="2"/>
  <c r="G953" i="2" s="1"/>
  <c r="M952" i="2"/>
  <c r="L952" i="2"/>
  <c r="H952" i="2"/>
  <c r="F952" i="2"/>
  <c r="E952" i="2"/>
  <c r="D952" i="2"/>
  <c r="A952" i="2"/>
  <c r="K952" i="2" s="1"/>
  <c r="M951" i="2"/>
  <c r="K951" i="2"/>
  <c r="J951" i="2"/>
  <c r="E951" i="2"/>
  <c r="C951" i="2"/>
  <c r="B951" i="2"/>
  <c r="A951" i="2"/>
  <c r="I951" i="2" s="1"/>
  <c r="M950" i="2"/>
  <c r="K950" i="2"/>
  <c r="J950" i="2"/>
  <c r="H950" i="2"/>
  <c r="G950" i="2"/>
  <c r="F950" i="2"/>
  <c r="E950" i="2"/>
  <c r="C950" i="2"/>
  <c r="B950" i="2"/>
  <c r="A950" i="2"/>
  <c r="L950" i="2" s="1"/>
  <c r="M949" i="2"/>
  <c r="L949" i="2"/>
  <c r="K949" i="2"/>
  <c r="J949" i="2"/>
  <c r="H949" i="2"/>
  <c r="G949" i="2"/>
  <c r="F949" i="2"/>
  <c r="E949" i="2"/>
  <c r="D949" i="2"/>
  <c r="C949" i="2"/>
  <c r="B949" i="2"/>
  <c r="A949" i="2"/>
  <c r="I949" i="2" s="1"/>
  <c r="I948" i="2"/>
  <c r="A948" i="2"/>
  <c r="I947" i="2"/>
  <c r="F947" i="2"/>
  <c r="A947" i="2"/>
  <c r="L946" i="2"/>
  <c r="K946" i="2"/>
  <c r="J946" i="2"/>
  <c r="G946" i="2"/>
  <c r="F946" i="2"/>
  <c r="D946" i="2"/>
  <c r="C946" i="2"/>
  <c r="B946" i="2"/>
  <c r="A946" i="2"/>
  <c r="I946" i="2" s="1"/>
  <c r="K945" i="2"/>
  <c r="H945" i="2"/>
  <c r="C945" i="2"/>
  <c r="A945" i="2"/>
  <c r="G945" i="2" s="1"/>
  <c r="M944" i="2"/>
  <c r="L944" i="2"/>
  <c r="H944" i="2"/>
  <c r="F944" i="2"/>
  <c r="E944" i="2"/>
  <c r="D944" i="2"/>
  <c r="A944" i="2"/>
  <c r="K944" i="2" s="1"/>
  <c r="M943" i="2"/>
  <c r="K943" i="2"/>
  <c r="J943" i="2"/>
  <c r="E943" i="2"/>
  <c r="C943" i="2"/>
  <c r="B943" i="2"/>
  <c r="A943" i="2"/>
  <c r="I943" i="2" s="1"/>
  <c r="M942" i="2"/>
  <c r="K942" i="2"/>
  <c r="J942" i="2"/>
  <c r="H942" i="2"/>
  <c r="G942" i="2"/>
  <c r="F942" i="2"/>
  <c r="E942" i="2"/>
  <c r="C942" i="2"/>
  <c r="B942" i="2"/>
  <c r="A942" i="2"/>
  <c r="L942" i="2" s="1"/>
  <c r="M941" i="2"/>
  <c r="L941" i="2"/>
  <c r="K941" i="2"/>
  <c r="J941" i="2"/>
  <c r="H941" i="2"/>
  <c r="G941" i="2"/>
  <c r="F941" i="2"/>
  <c r="E941" i="2"/>
  <c r="D941" i="2"/>
  <c r="C941" i="2"/>
  <c r="B941" i="2"/>
  <c r="A941" i="2"/>
  <c r="I941" i="2" s="1"/>
  <c r="I940" i="2"/>
  <c r="A940" i="2"/>
  <c r="I939" i="2"/>
  <c r="F939" i="2"/>
  <c r="A939" i="2"/>
  <c r="L938" i="2"/>
  <c r="K938" i="2"/>
  <c r="J938" i="2"/>
  <c r="G938" i="2"/>
  <c r="F938" i="2"/>
  <c r="D938" i="2"/>
  <c r="C938" i="2"/>
  <c r="B938" i="2"/>
  <c r="A938" i="2"/>
  <c r="I938" i="2" s="1"/>
  <c r="K937" i="2"/>
  <c r="H937" i="2"/>
  <c r="C937" i="2"/>
  <c r="A937" i="2"/>
  <c r="G937" i="2" s="1"/>
  <c r="M936" i="2"/>
  <c r="L936" i="2"/>
  <c r="H936" i="2"/>
  <c r="F936" i="2"/>
  <c r="E936" i="2"/>
  <c r="D936" i="2"/>
  <c r="A936" i="2"/>
  <c r="K936" i="2" s="1"/>
  <c r="M935" i="2"/>
  <c r="K935" i="2"/>
  <c r="J935" i="2"/>
  <c r="E935" i="2"/>
  <c r="C935" i="2"/>
  <c r="B935" i="2"/>
  <c r="A935" i="2"/>
  <c r="I935" i="2" s="1"/>
  <c r="M934" i="2"/>
  <c r="K934" i="2"/>
  <c r="J934" i="2"/>
  <c r="H934" i="2"/>
  <c r="G934" i="2"/>
  <c r="F934" i="2"/>
  <c r="E934" i="2"/>
  <c r="C934" i="2"/>
  <c r="B934" i="2"/>
  <c r="A934" i="2"/>
  <c r="L934" i="2" s="1"/>
  <c r="M933" i="2"/>
  <c r="L933" i="2"/>
  <c r="K933" i="2"/>
  <c r="J933" i="2"/>
  <c r="H933" i="2"/>
  <c r="G933" i="2"/>
  <c r="F933" i="2"/>
  <c r="E933" i="2"/>
  <c r="D933" i="2"/>
  <c r="C933" i="2"/>
  <c r="B933" i="2"/>
  <c r="A933" i="2"/>
  <c r="I933" i="2" s="1"/>
  <c r="I932" i="2"/>
  <c r="A932" i="2"/>
  <c r="I931" i="2"/>
  <c r="F931" i="2"/>
  <c r="A931" i="2"/>
  <c r="L930" i="2"/>
  <c r="K930" i="2"/>
  <c r="J930" i="2"/>
  <c r="G930" i="2"/>
  <c r="F930" i="2"/>
  <c r="D930" i="2"/>
  <c r="C930" i="2"/>
  <c r="B930" i="2"/>
  <c r="A930" i="2"/>
  <c r="I930" i="2" s="1"/>
  <c r="K929" i="2"/>
  <c r="H929" i="2"/>
  <c r="C929" i="2"/>
  <c r="A929" i="2"/>
  <c r="G929" i="2" s="1"/>
  <c r="M928" i="2"/>
  <c r="L928" i="2"/>
  <c r="H928" i="2"/>
  <c r="F928" i="2"/>
  <c r="E928" i="2"/>
  <c r="D928" i="2"/>
  <c r="A928" i="2"/>
  <c r="K928" i="2" s="1"/>
  <c r="M927" i="2"/>
  <c r="K927" i="2"/>
  <c r="J927" i="2"/>
  <c r="E927" i="2"/>
  <c r="C927" i="2"/>
  <c r="B927" i="2"/>
  <c r="A927" i="2"/>
  <c r="I927" i="2" s="1"/>
  <c r="M926" i="2"/>
  <c r="K926" i="2"/>
  <c r="J926" i="2"/>
  <c r="H926" i="2"/>
  <c r="G926" i="2"/>
  <c r="F926" i="2"/>
  <c r="E926" i="2"/>
  <c r="C926" i="2"/>
  <c r="B926" i="2"/>
  <c r="A926" i="2"/>
  <c r="L926" i="2" s="1"/>
  <c r="M925" i="2"/>
  <c r="L925" i="2"/>
  <c r="K925" i="2"/>
  <c r="J925" i="2"/>
  <c r="H925" i="2"/>
  <c r="G925" i="2"/>
  <c r="F925" i="2"/>
  <c r="E925" i="2"/>
  <c r="D925" i="2"/>
  <c r="C925" i="2"/>
  <c r="B925" i="2"/>
  <c r="A925" i="2"/>
  <c r="I925" i="2" s="1"/>
  <c r="I924" i="2"/>
  <c r="A924" i="2"/>
  <c r="I923" i="2"/>
  <c r="F923" i="2"/>
  <c r="A923" i="2"/>
  <c r="L922" i="2"/>
  <c r="K922" i="2"/>
  <c r="J922" i="2"/>
  <c r="G922" i="2"/>
  <c r="F922" i="2"/>
  <c r="D922" i="2"/>
  <c r="C922" i="2"/>
  <c r="B922" i="2"/>
  <c r="A922" i="2"/>
  <c r="I922" i="2" s="1"/>
  <c r="K921" i="2"/>
  <c r="H921" i="2"/>
  <c r="C921" i="2"/>
  <c r="A921" i="2"/>
  <c r="G921" i="2" s="1"/>
  <c r="M920" i="2"/>
  <c r="L920" i="2"/>
  <c r="H920" i="2"/>
  <c r="F920" i="2"/>
  <c r="E920" i="2"/>
  <c r="D920" i="2"/>
  <c r="A920" i="2"/>
  <c r="K920" i="2" s="1"/>
  <c r="M919" i="2"/>
  <c r="K919" i="2"/>
  <c r="J919" i="2"/>
  <c r="E919" i="2"/>
  <c r="C919" i="2"/>
  <c r="B919" i="2"/>
  <c r="A919" i="2"/>
  <c r="I919" i="2" s="1"/>
  <c r="M918" i="2"/>
  <c r="K918" i="2"/>
  <c r="J918" i="2"/>
  <c r="H918" i="2"/>
  <c r="G918" i="2"/>
  <c r="F918" i="2"/>
  <c r="E918" i="2"/>
  <c r="C918" i="2"/>
  <c r="B918" i="2"/>
  <c r="A918" i="2"/>
  <c r="L918" i="2" s="1"/>
  <c r="M917" i="2"/>
  <c r="L917" i="2"/>
  <c r="K917" i="2"/>
  <c r="J917" i="2"/>
  <c r="H917" i="2"/>
  <c r="G917" i="2"/>
  <c r="F917" i="2"/>
  <c r="E917" i="2"/>
  <c r="D917" i="2"/>
  <c r="C917" i="2"/>
  <c r="B917" i="2"/>
  <c r="A917" i="2"/>
  <c r="I917" i="2" s="1"/>
  <c r="I916" i="2"/>
  <c r="A916" i="2"/>
  <c r="I915" i="2"/>
  <c r="F915" i="2"/>
  <c r="A915" i="2"/>
  <c r="L914" i="2"/>
  <c r="K914" i="2"/>
  <c r="J914" i="2"/>
  <c r="G914" i="2"/>
  <c r="F914" i="2"/>
  <c r="D914" i="2"/>
  <c r="C914" i="2"/>
  <c r="B914" i="2"/>
  <c r="A914" i="2"/>
  <c r="I914" i="2" s="1"/>
  <c r="K913" i="2"/>
  <c r="H913" i="2"/>
  <c r="C913" i="2"/>
  <c r="A913" i="2"/>
  <c r="G913" i="2" s="1"/>
  <c r="M912" i="2"/>
  <c r="L912" i="2"/>
  <c r="H912" i="2"/>
  <c r="F912" i="2"/>
  <c r="E912" i="2"/>
  <c r="D912" i="2"/>
  <c r="A912" i="2"/>
  <c r="K912" i="2" s="1"/>
  <c r="M911" i="2"/>
  <c r="K911" i="2"/>
  <c r="J911" i="2"/>
  <c r="E911" i="2"/>
  <c r="C911" i="2"/>
  <c r="B911" i="2"/>
  <c r="A911" i="2"/>
  <c r="I911" i="2" s="1"/>
  <c r="M910" i="2"/>
  <c r="K910" i="2"/>
  <c r="J910" i="2"/>
  <c r="H910" i="2"/>
  <c r="G910" i="2"/>
  <c r="F910" i="2"/>
  <c r="E910" i="2"/>
  <c r="C910" i="2"/>
  <c r="B910" i="2"/>
  <c r="A910" i="2"/>
  <c r="L910" i="2" s="1"/>
  <c r="M909" i="2"/>
  <c r="L909" i="2"/>
  <c r="K909" i="2"/>
  <c r="J909" i="2"/>
  <c r="H909" i="2"/>
  <c r="G909" i="2"/>
  <c r="F909" i="2"/>
  <c r="E909" i="2"/>
  <c r="D909" i="2"/>
  <c r="C909" i="2"/>
  <c r="B909" i="2"/>
  <c r="A909" i="2"/>
  <c r="I909" i="2" s="1"/>
  <c r="I908" i="2"/>
  <c r="A908" i="2"/>
  <c r="I907" i="2"/>
  <c r="F907" i="2"/>
  <c r="A907" i="2"/>
  <c r="L906" i="2"/>
  <c r="K906" i="2"/>
  <c r="J906" i="2"/>
  <c r="G906" i="2"/>
  <c r="F906" i="2"/>
  <c r="D906" i="2"/>
  <c r="C906" i="2"/>
  <c r="B906" i="2"/>
  <c r="A906" i="2"/>
  <c r="I906" i="2" s="1"/>
  <c r="K905" i="2"/>
  <c r="H905" i="2"/>
  <c r="C905" i="2"/>
  <c r="A905" i="2"/>
  <c r="G905" i="2" s="1"/>
  <c r="M904" i="2"/>
  <c r="L904" i="2"/>
  <c r="H904" i="2"/>
  <c r="F904" i="2"/>
  <c r="E904" i="2"/>
  <c r="D904" i="2"/>
  <c r="A904" i="2"/>
  <c r="K904" i="2" s="1"/>
  <c r="M903" i="2"/>
  <c r="K903" i="2"/>
  <c r="J903" i="2"/>
  <c r="E903" i="2"/>
  <c r="C903" i="2"/>
  <c r="B903" i="2"/>
  <c r="A903" i="2"/>
  <c r="I903" i="2" s="1"/>
  <c r="M902" i="2"/>
  <c r="K902" i="2"/>
  <c r="J902" i="2"/>
  <c r="H902" i="2"/>
  <c r="G902" i="2"/>
  <c r="F902" i="2"/>
  <c r="E902" i="2"/>
  <c r="C902" i="2"/>
  <c r="B902" i="2"/>
  <c r="A902" i="2"/>
  <c r="L902" i="2" s="1"/>
  <c r="M901" i="2"/>
  <c r="L901" i="2"/>
  <c r="K901" i="2"/>
  <c r="J901" i="2"/>
  <c r="H901" i="2"/>
  <c r="G901" i="2"/>
  <c r="F901" i="2"/>
  <c r="E901" i="2"/>
  <c r="D901" i="2"/>
  <c r="C901" i="2"/>
  <c r="B901" i="2"/>
  <c r="A901" i="2"/>
  <c r="I901" i="2" s="1"/>
  <c r="I900" i="2"/>
  <c r="A900" i="2"/>
  <c r="I899" i="2"/>
  <c r="F899" i="2"/>
  <c r="A899" i="2"/>
  <c r="L898" i="2"/>
  <c r="K898" i="2"/>
  <c r="J898" i="2"/>
  <c r="G898" i="2"/>
  <c r="F898" i="2"/>
  <c r="D898" i="2"/>
  <c r="C898" i="2"/>
  <c r="B898" i="2"/>
  <c r="A898" i="2"/>
  <c r="I898" i="2" s="1"/>
  <c r="K897" i="2"/>
  <c r="H897" i="2"/>
  <c r="C897" i="2"/>
  <c r="A897" i="2"/>
  <c r="G897" i="2" s="1"/>
  <c r="M896" i="2"/>
  <c r="L896" i="2"/>
  <c r="H896" i="2"/>
  <c r="F896" i="2"/>
  <c r="E896" i="2"/>
  <c r="D896" i="2"/>
  <c r="A896" i="2"/>
  <c r="K896" i="2" s="1"/>
  <c r="M895" i="2"/>
  <c r="K895" i="2"/>
  <c r="J895" i="2"/>
  <c r="E895" i="2"/>
  <c r="C895" i="2"/>
  <c r="B895" i="2"/>
  <c r="A895" i="2"/>
  <c r="I895" i="2" s="1"/>
  <c r="M894" i="2"/>
  <c r="K894" i="2"/>
  <c r="J894" i="2"/>
  <c r="H894" i="2"/>
  <c r="G894" i="2"/>
  <c r="F894" i="2"/>
  <c r="E894" i="2"/>
  <c r="C894" i="2"/>
  <c r="B894" i="2"/>
  <c r="A894" i="2"/>
  <c r="L894" i="2" s="1"/>
  <c r="M893" i="2"/>
  <c r="L893" i="2"/>
  <c r="K893" i="2"/>
  <c r="J893" i="2"/>
  <c r="H893" i="2"/>
  <c r="G893" i="2"/>
  <c r="F893" i="2"/>
  <c r="E893" i="2"/>
  <c r="D893" i="2"/>
  <c r="C893" i="2"/>
  <c r="B893" i="2"/>
  <c r="A893" i="2"/>
  <c r="I893" i="2" s="1"/>
  <c r="I892" i="2"/>
  <c r="A892" i="2"/>
  <c r="I891" i="2"/>
  <c r="F891" i="2"/>
  <c r="A891" i="2"/>
  <c r="L890" i="2"/>
  <c r="K890" i="2"/>
  <c r="J890" i="2"/>
  <c r="G890" i="2"/>
  <c r="F890" i="2"/>
  <c r="D890" i="2"/>
  <c r="C890" i="2"/>
  <c r="B890" i="2"/>
  <c r="A890" i="2"/>
  <c r="I890" i="2" s="1"/>
  <c r="K889" i="2"/>
  <c r="H889" i="2"/>
  <c r="C889" i="2"/>
  <c r="A889" i="2"/>
  <c r="G889" i="2" s="1"/>
  <c r="M888" i="2"/>
  <c r="L888" i="2"/>
  <c r="H888" i="2"/>
  <c r="F888" i="2"/>
  <c r="E888" i="2"/>
  <c r="D888" i="2"/>
  <c r="A888" i="2"/>
  <c r="K888" i="2" s="1"/>
  <c r="M887" i="2"/>
  <c r="K887" i="2"/>
  <c r="J887" i="2"/>
  <c r="E887" i="2"/>
  <c r="C887" i="2"/>
  <c r="B887" i="2"/>
  <c r="A887" i="2"/>
  <c r="I887" i="2" s="1"/>
  <c r="M886" i="2"/>
  <c r="K886" i="2"/>
  <c r="J886" i="2"/>
  <c r="H886" i="2"/>
  <c r="G886" i="2"/>
  <c r="F886" i="2"/>
  <c r="E886" i="2"/>
  <c r="C886" i="2"/>
  <c r="B886" i="2"/>
  <c r="A886" i="2"/>
  <c r="L886" i="2" s="1"/>
  <c r="M885" i="2"/>
  <c r="L885" i="2"/>
  <c r="K885" i="2"/>
  <c r="J885" i="2"/>
  <c r="H885" i="2"/>
  <c r="G885" i="2"/>
  <c r="F885" i="2"/>
  <c r="E885" i="2"/>
  <c r="D885" i="2"/>
  <c r="C885" i="2"/>
  <c r="B885" i="2"/>
  <c r="A885" i="2"/>
  <c r="I885" i="2" s="1"/>
  <c r="I884" i="2"/>
  <c r="A884" i="2"/>
  <c r="I883" i="2"/>
  <c r="F883" i="2"/>
  <c r="A883" i="2"/>
  <c r="L882" i="2"/>
  <c r="K882" i="2"/>
  <c r="J882" i="2"/>
  <c r="G882" i="2"/>
  <c r="F882" i="2"/>
  <c r="D882" i="2"/>
  <c r="C882" i="2"/>
  <c r="B882" i="2"/>
  <c r="A882" i="2"/>
  <c r="I882" i="2" s="1"/>
  <c r="K881" i="2"/>
  <c r="H881" i="2"/>
  <c r="C881" i="2"/>
  <c r="A881" i="2"/>
  <c r="G881" i="2" s="1"/>
  <c r="M880" i="2"/>
  <c r="L880" i="2"/>
  <c r="H880" i="2"/>
  <c r="F880" i="2"/>
  <c r="E880" i="2"/>
  <c r="D880" i="2"/>
  <c r="A880" i="2"/>
  <c r="K880" i="2" s="1"/>
  <c r="M879" i="2"/>
  <c r="K879" i="2"/>
  <c r="J879" i="2"/>
  <c r="E879" i="2"/>
  <c r="C879" i="2"/>
  <c r="B879" i="2"/>
  <c r="A879" i="2"/>
  <c r="I879" i="2" s="1"/>
  <c r="M878" i="2"/>
  <c r="K878" i="2"/>
  <c r="J878" i="2"/>
  <c r="H878" i="2"/>
  <c r="G878" i="2"/>
  <c r="F878" i="2"/>
  <c r="E878" i="2"/>
  <c r="C878" i="2"/>
  <c r="B878" i="2"/>
  <c r="A878" i="2"/>
  <c r="L878" i="2" s="1"/>
  <c r="M877" i="2"/>
  <c r="L877" i="2"/>
  <c r="K877" i="2"/>
  <c r="J877" i="2"/>
  <c r="H877" i="2"/>
  <c r="G877" i="2"/>
  <c r="F877" i="2"/>
  <c r="E877" i="2"/>
  <c r="D877" i="2"/>
  <c r="C877" i="2"/>
  <c r="B877" i="2"/>
  <c r="A877" i="2"/>
  <c r="I877" i="2" s="1"/>
  <c r="I876" i="2"/>
  <c r="A876" i="2"/>
  <c r="I875" i="2"/>
  <c r="F875" i="2"/>
  <c r="A875" i="2"/>
  <c r="L874" i="2"/>
  <c r="K874" i="2"/>
  <c r="J874" i="2"/>
  <c r="G874" i="2"/>
  <c r="F874" i="2"/>
  <c r="D874" i="2"/>
  <c r="C874" i="2"/>
  <c r="B874" i="2"/>
  <c r="A874" i="2"/>
  <c r="I874" i="2" s="1"/>
  <c r="K873" i="2"/>
  <c r="H873" i="2"/>
  <c r="C873" i="2"/>
  <c r="A873" i="2"/>
  <c r="G873" i="2" s="1"/>
  <c r="M872" i="2"/>
  <c r="L872" i="2"/>
  <c r="H872" i="2"/>
  <c r="F872" i="2"/>
  <c r="E872" i="2"/>
  <c r="D872" i="2"/>
  <c r="A872" i="2"/>
  <c r="K872" i="2" s="1"/>
  <c r="M871" i="2"/>
  <c r="K871" i="2"/>
  <c r="J871" i="2"/>
  <c r="E871" i="2"/>
  <c r="C871" i="2"/>
  <c r="B871" i="2"/>
  <c r="A871" i="2"/>
  <c r="I871" i="2" s="1"/>
  <c r="M870" i="2"/>
  <c r="K870" i="2"/>
  <c r="J870" i="2"/>
  <c r="H870" i="2"/>
  <c r="G870" i="2"/>
  <c r="F870" i="2"/>
  <c r="E870" i="2"/>
  <c r="C870" i="2"/>
  <c r="B870" i="2"/>
  <c r="A870" i="2"/>
  <c r="L870" i="2" s="1"/>
  <c r="M869" i="2"/>
  <c r="L869" i="2"/>
  <c r="K869" i="2"/>
  <c r="J869" i="2"/>
  <c r="H869" i="2"/>
  <c r="G869" i="2"/>
  <c r="F869" i="2"/>
  <c r="E869" i="2"/>
  <c r="D869" i="2"/>
  <c r="C869" i="2"/>
  <c r="B869" i="2"/>
  <c r="A869" i="2"/>
  <c r="I869" i="2" s="1"/>
  <c r="I868" i="2"/>
  <c r="A868" i="2"/>
  <c r="I867" i="2"/>
  <c r="F867" i="2"/>
  <c r="A867" i="2"/>
  <c r="L866" i="2"/>
  <c r="K866" i="2"/>
  <c r="J866" i="2"/>
  <c r="G866" i="2"/>
  <c r="F866" i="2"/>
  <c r="D866" i="2"/>
  <c r="C866" i="2"/>
  <c r="B866" i="2"/>
  <c r="A866" i="2"/>
  <c r="I866" i="2" s="1"/>
  <c r="K865" i="2"/>
  <c r="H865" i="2"/>
  <c r="C865" i="2"/>
  <c r="A865" i="2"/>
  <c r="G865" i="2" s="1"/>
  <c r="M864" i="2"/>
  <c r="L864" i="2"/>
  <c r="H864" i="2"/>
  <c r="F864" i="2"/>
  <c r="E864" i="2"/>
  <c r="D864" i="2"/>
  <c r="A864" i="2"/>
  <c r="K864" i="2" s="1"/>
  <c r="M863" i="2"/>
  <c r="K863" i="2"/>
  <c r="J863" i="2"/>
  <c r="E863" i="2"/>
  <c r="C863" i="2"/>
  <c r="B863" i="2"/>
  <c r="A863" i="2"/>
  <c r="I863" i="2" s="1"/>
  <c r="M862" i="2"/>
  <c r="K862" i="2"/>
  <c r="J862" i="2"/>
  <c r="H862" i="2"/>
  <c r="G862" i="2"/>
  <c r="F862" i="2"/>
  <c r="E862" i="2"/>
  <c r="C862" i="2"/>
  <c r="B862" i="2"/>
  <c r="A862" i="2"/>
  <c r="L862" i="2" s="1"/>
  <c r="M861" i="2"/>
  <c r="L861" i="2"/>
  <c r="K861" i="2"/>
  <c r="J861" i="2"/>
  <c r="H861" i="2"/>
  <c r="G861" i="2"/>
  <c r="F861" i="2"/>
  <c r="E861" i="2"/>
  <c r="D861" i="2"/>
  <c r="C861" i="2"/>
  <c r="B861" i="2"/>
  <c r="A861" i="2"/>
  <c r="I861" i="2" s="1"/>
  <c r="I860" i="2"/>
  <c r="A860" i="2"/>
  <c r="I859" i="2"/>
  <c r="F859" i="2"/>
  <c r="A859" i="2"/>
  <c r="L858" i="2"/>
  <c r="K858" i="2"/>
  <c r="J858" i="2"/>
  <c r="G858" i="2"/>
  <c r="F858" i="2"/>
  <c r="D858" i="2"/>
  <c r="C858" i="2"/>
  <c r="B858" i="2"/>
  <c r="A858" i="2"/>
  <c r="I858" i="2" s="1"/>
  <c r="K857" i="2"/>
  <c r="H857" i="2"/>
  <c r="C857" i="2"/>
  <c r="A857" i="2"/>
  <c r="G857" i="2" s="1"/>
  <c r="M856" i="2"/>
  <c r="L856" i="2"/>
  <c r="H856" i="2"/>
  <c r="F856" i="2"/>
  <c r="E856" i="2"/>
  <c r="D856" i="2"/>
  <c r="A856" i="2"/>
  <c r="K856" i="2" s="1"/>
  <c r="M855" i="2"/>
  <c r="K855" i="2"/>
  <c r="J855" i="2"/>
  <c r="E855" i="2"/>
  <c r="C855" i="2"/>
  <c r="B855" i="2"/>
  <c r="A855" i="2"/>
  <c r="I855" i="2" s="1"/>
  <c r="M854" i="2"/>
  <c r="K854" i="2"/>
  <c r="J854" i="2"/>
  <c r="H854" i="2"/>
  <c r="G854" i="2"/>
  <c r="F854" i="2"/>
  <c r="E854" i="2"/>
  <c r="C854" i="2"/>
  <c r="B854" i="2"/>
  <c r="A854" i="2"/>
  <c r="L854" i="2" s="1"/>
  <c r="M853" i="2"/>
  <c r="L853" i="2"/>
  <c r="K853" i="2"/>
  <c r="J853" i="2"/>
  <c r="H853" i="2"/>
  <c r="G853" i="2"/>
  <c r="F853" i="2"/>
  <c r="E853" i="2"/>
  <c r="D853" i="2"/>
  <c r="C853" i="2"/>
  <c r="B853" i="2"/>
  <c r="A853" i="2"/>
  <c r="I853" i="2" s="1"/>
  <c r="I852" i="2"/>
  <c r="A852" i="2"/>
  <c r="I851" i="2"/>
  <c r="F851" i="2"/>
  <c r="A851" i="2"/>
  <c r="L850" i="2"/>
  <c r="K850" i="2"/>
  <c r="J850" i="2"/>
  <c r="G850" i="2"/>
  <c r="F850" i="2"/>
  <c r="D850" i="2"/>
  <c r="C850" i="2"/>
  <c r="B850" i="2"/>
  <c r="A850" i="2"/>
  <c r="I850" i="2" s="1"/>
  <c r="K849" i="2"/>
  <c r="H849" i="2"/>
  <c r="C849" i="2"/>
  <c r="A849" i="2"/>
  <c r="G849" i="2" s="1"/>
  <c r="M848" i="2"/>
  <c r="L848" i="2"/>
  <c r="H848" i="2"/>
  <c r="F848" i="2"/>
  <c r="E848" i="2"/>
  <c r="D848" i="2"/>
  <c r="A848" i="2"/>
  <c r="K848" i="2" s="1"/>
  <c r="M847" i="2"/>
  <c r="K847" i="2"/>
  <c r="J847" i="2"/>
  <c r="E847" i="2"/>
  <c r="C847" i="2"/>
  <c r="B847" i="2"/>
  <c r="A847" i="2"/>
  <c r="I847" i="2" s="1"/>
  <c r="M846" i="2"/>
  <c r="K846" i="2"/>
  <c r="J846" i="2"/>
  <c r="H846" i="2"/>
  <c r="G846" i="2"/>
  <c r="F846" i="2"/>
  <c r="E846" i="2"/>
  <c r="C846" i="2"/>
  <c r="B846" i="2"/>
  <c r="A846" i="2"/>
  <c r="L846" i="2" s="1"/>
  <c r="M845" i="2"/>
  <c r="L845" i="2"/>
  <c r="K845" i="2"/>
  <c r="J845" i="2"/>
  <c r="H845" i="2"/>
  <c r="G845" i="2"/>
  <c r="F845" i="2"/>
  <c r="E845" i="2"/>
  <c r="D845" i="2"/>
  <c r="C845" i="2"/>
  <c r="B845" i="2"/>
  <c r="A845" i="2"/>
  <c r="I845" i="2" s="1"/>
  <c r="I844" i="2"/>
  <c r="A844" i="2"/>
  <c r="I843" i="2"/>
  <c r="F843" i="2"/>
  <c r="A843" i="2"/>
  <c r="L842" i="2"/>
  <c r="K842" i="2"/>
  <c r="J842" i="2"/>
  <c r="G842" i="2"/>
  <c r="F842" i="2"/>
  <c r="D842" i="2"/>
  <c r="C842" i="2"/>
  <c r="B842" i="2"/>
  <c r="A842" i="2"/>
  <c r="I842" i="2" s="1"/>
  <c r="K841" i="2"/>
  <c r="H841" i="2"/>
  <c r="C841" i="2"/>
  <c r="A841" i="2"/>
  <c r="G841" i="2" s="1"/>
  <c r="M840" i="2"/>
  <c r="L840" i="2"/>
  <c r="H840" i="2"/>
  <c r="F840" i="2"/>
  <c r="E840" i="2"/>
  <c r="D840" i="2"/>
  <c r="A840" i="2"/>
  <c r="K840" i="2" s="1"/>
  <c r="M839" i="2"/>
  <c r="K839" i="2"/>
  <c r="J839" i="2"/>
  <c r="E839" i="2"/>
  <c r="C839" i="2"/>
  <c r="B839" i="2"/>
  <c r="A839" i="2"/>
  <c r="I839" i="2" s="1"/>
  <c r="M838" i="2"/>
  <c r="K838" i="2"/>
  <c r="J838" i="2"/>
  <c r="H838" i="2"/>
  <c r="G838" i="2"/>
  <c r="F838" i="2"/>
  <c r="E838" i="2"/>
  <c r="C838" i="2"/>
  <c r="B838" i="2"/>
  <c r="A838" i="2"/>
  <c r="L838" i="2" s="1"/>
  <c r="M837" i="2"/>
  <c r="L837" i="2"/>
  <c r="K837" i="2"/>
  <c r="J837" i="2"/>
  <c r="H837" i="2"/>
  <c r="G837" i="2"/>
  <c r="F837" i="2"/>
  <c r="E837" i="2"/>
  <c r="D837" i="2"/>
  <c r="C837" i="2"/>
  <c r="B837" i="2"/>
  <c r="A837" i="2"/>
  <c r="I837" i="2" s="1"/>
  <c r="I836" i="2"/>
  <c r="A836" i="2"/>
  <c r="I835" i="2"/>
  <c r="F835" i="2"/>
  <c r="A835" i="2"/>
  <c r="L834" i="2"/>
  <c r="K834" i="2"/>
  <c r="J834" i="2"/>
  <c r="G834" i="2"/>
  <c r="F834" i="2"/>
  <c r="D834" i="2"/>
  <c r="C834" i="2"/>
  <c r="B834" i="2"/>
  <c r="A834" i="2"/>
  <c r="I834" i="2" s="1"/>
  <c r="K833" i="2"/>
  <c r="H833" i="2"/>
  <c r="C833" i="2"/>
  <c r="A833" i="2"/>
  <c r="G833" i="2" s="1"/>
  <c r="M832" i="2"/>
  <c r="L832" i="2"/>
  <c r="H832" i="2"/>
  <c r="F832" i="2"/>
  <c r="E832" i="2"/>
  <c r="D832" i="2"/>
  <c r="A832" i="2"/>
  <c r="K832" i="2" s="1"/>
  <c r="M831" i="2"/>
  <c r="K831" i="2"/>
  <c r="J831" i="2"/>
  <c r="E831" i="2"/>
  <c r="C831" i="2"/>
  <c r="B831" i="2"/>
  <c r="A831" i="2"/>
  <c r="I831" i="2" s="1"/>
  <c r="M830" i="2"/>
  <c r="K830" i="2"/>
  <c r="J830" i="2"/>
  <c r="H830" i="2"/>
  <c r="G830" i="2"/>
  <c r="F830" i="2"/>
  <c r="E830" i="2"/>
  <c r="C830" i="2"/>
  <c r="B830" i="2"/>
  <c r="A830" i="2"/>
  <c r="L830" i="2" s="1"/>
  <c r="M829" i="2"/>
  <c r="L829" i="2"/>
  <c r="K829" i="2"/>
  <c r="J829" i="2"/>
  <c r="H829" i="2"/>
  <c r="G829" i="2"/>
  <c r="F829" i="2"/>
  <c r="E829" i="2"/>
  <c r="D829" i="2"/>
  <c r="C829" i="2"/>
  <c r="B829" i="2"/>
  <c r="A829" i="2"/>
  <c r="I829" i="2" s="1"/>
  <c r="I828" i="2"/>
  <c r="A828" i="2"/>
  <c r="I827" i="2"/>
  <c r="F827" i="2"/>
  <c r="A827" i="2"/>
  <c r="L826" i="2"/>
  <c r="K826" i="2"/>
  <c r="J826" i="2"/>
  <c r="G826" i="2"/>
  <c r="F826" i="2"/>
  <c r="D826" i="2"/>
  <c r="C826" i="2"/>
  <c r="B826" i="2"/>
  <c r="A826" i="2"/>
  <c r="I826" i="2" s="1"/>
  <c r="K825" i="2"/>
  <c r="H825" i="2"/>
  <c r="C825" i="2"/>
  <c r="A825" i="2"/>
  <c r="G825" i="2" s="1"/>
  <c r="M824" i="2"/>
  <c r="L824" i="2"/>
  <c r="H824" i="2"/>
  <c r="F824" i="2"/>
  <c r="E824" i="2"/>
  <c r="D824" i="2"/>
  <c r="A824" i="2"/>
  <c r="K824" i="2" s="1"/>
  <c r="M823" i="2"/>
  <c r="K823" i="2"/>
  <c r="J823" i="2"/>
  <c r="E823" i="2"/>
  <c r="C823" i="2"/>
  <c r="B823" i="2"/>
  <c r="A823" i="2"/>
  <c r="I823" i="2" s="1"/>
  <c r="M822" i="2"/>
  <c r="K822" i="2"/>
  <c r="J822" i="2"/>
  <c r="H822" i="2"/>
  <c r="G822" i="2"/>
  <c r="F822" i="2"/>
  <c r="E822" i="2"/>
  <c r="C822" i="2"/>
  <c r="B822" i="2"/>
  <c r="A822" i="2"/>
  <c r="L822" i="2" s="1"/>
  <c r="M821" i="2"/>
  <c r="L821" i="2"/>
  <c r="K821" i="2"/>
  <c r="J821" i="2"/>
  <c r="H821" i="2"/>
  <c r="G821" i="2"/>
  <c r="F821" i="2"/>
  <c r="E821" i="2"/>
  <c r="D821" i="2"/>
  <c r="C821" i="2"/>
  <c r="B821" i="2"/>
  <c r="A821" i="2"/>
  <c r="I821" i="2" s="1"/>
  <c r="I820" i="2"/>
  <c r="A820" i="2"/>
  <c r="I819" i="2"/>
  <c r="F819" i="2"/>
  <c r="A819" i="2"/>
  <c r="L818" i="2"/>
  <c r="K818" i="2"/>
  <c r="J818" i="2"/>
  <c r="G818" i="2"/>
  <c r="F818" i="2"/>
  <c r="D818" i="2"/>
  <c r="C818" i="2"/>
  <c r="B818" i="2"/>
  <c r="A818" i="2"/>
  <c r="I818" i="2" s="1"/>
  <c r="K817" i="2"/>
  <c r="H817" i="2"/>
  <c r="C817" i="2"/>
  <c r="A817" i="2"/>
  <c r="G817" i="2" s="1"/>
  <c r="M816" i="2"/>
  <c r="L816" i="2"/>
  <c r="H816" i="2"/>
  <c r="F816" i="2"/>
  <c r="E816" i="2"/>
  <c r="D816" i="2"/>
  <c r="A816" i="2"/>
  <c r="K816" i="2" s="1"/>
  <c r="M815" i="2"/>
  <c r="K815" i="2"/>
  <c r="J815" i="2"/>
  <c r="E815" i="2"/>
  <c r="C815" i="2"/>
  <c r="B815" i="2"/>
  <c r="A815" i="2"/>
  <c r="I815" i="2" s="1"/>
  <c r="M814" i="2"/>
  <c r="K814" i="2"/>
  <c r="J814" i="2"/>
  <c r="H814" i="2"/>
  <c r="G814" i="2"/>
  <c r="F814" i="2"/>
  <c r="E814" i="2"/>
  <c r="C814" i="2"/>
  <c r="B814" i="2"/>
  <c r="A814" i="2"/>
  <c r="L814" i="2" s="1"/>
  <c r="M813" i="2"/>
  <c r="L813" i="2"/>
  <c r="K813" i="2"/>
  <c r="J813" i="2"/>
  <c r="H813" i="2"/>
  <c r="G813" i="2"/>
  <c r="F813" i="2"/>
  <c r="E813" i="2"/>
  <c r="D813" i="2"/>
  <c r="C813" i="2"/>
  <c r="B813" i="2"/>
  <c r="A813" i="2"/>
  <c r="I813" i="2" s="1"/>
  <c r="I812" i="2"/>
  <c r="A812" i="2"/>
  <c r="I811" i="2"/>
  <c r="F811" i="2"/>
  <c r="A811" i="2"/>
  <c r="L810" i="2"/>
  <c r="K810" i="2"/>
  <c r="J810" i="2"/>
  <c r="G810" i="2"/>
  <c r="F810" i="2"/>
  <c r="D810" i="2"/>
  <c r="C810" i="2"/>
  <c r="B810" i="2"/>
  <c r="A810" i="2"/>
  <c r="I810" i="2" s="1"/>
  <c r="K809" i="2"/>
  <c r="H809" i="2"/>
  <c r="C809" i="2"/>
  <c r="A809" i="2"/>
  <c r="G809" i="2" s="1"/>
  <c r="M808" i="2"/>
  <c r="L808" i="2"/>
  <c r="H808" i="2"/>
  <c r="F808" i="2"/>
  <c r="E808" i="2"/>
  <c r="D808" i="2"/>
  <c r="A808" i="2"/>
  <c r="K808" i="2" s="1"/>
  <c r="M807" i="2"/>
  <c r="K807" i="2"/>
  <c r="J807" i="2"/>
  <c r="E807" i="2"/>
  <c r="C807" i="2"/>
  <c r="B807" i="2"/>
  <c r="A807" i="2"/>
  <c r="I807" i="2" s="1"/>
  <c r="M806" i="2"/>
  <c r="K806" i="2"/>
  <c r="J806" i="2"/>
  <c r="H806" i="2"/>
  <c r="G806" i="2"/>
  <c r="F806" i="2"/>
  <c r="E806" i="2"/>
  <c r="C806" i="2"/>
  <c r="B806" i="2"/>
  <c r="A806" i="2"/>
  <c r="L806" i="2" s="1"/>
  <c r="M805" i="2"/>
  <c r="L805" i="2"/>
  <c r="K805" i="2"/>
  <c r="J805" i="2"/>
  <c r="H805" i="2"/>
  <c r="G805" i="2"/>
  <c r="F805" i="2"/>
  <c r="E805" i="2"/>
  <c r="D805" i="2"/>
  <c r="C805" i="2"/>
  <c r="B805" i="2"/>
  <c r="A805" i="2"/>
  <c r="I805" i="2" s="1"/>
  <c r="I804" i="2"/>
  <c r="A804" i="2"/>
  <c r="I803" i="2"/>
  <c r="F803" i="2"/>
  <c r="A803" i="2"/>
  <c r="L802" i="2"/>
  <c r="K802" i="2"/>
  <c r="J802" i="2"/>
  <c r="G802" i="2"/>
  <c r="F802" i="2"/>
  <c r="D802" i="2"/>
  <c r="C802" i="2"/>
  <c r="B802" i="2"/>
  <c r="A802" i="2"/>
  <c r="I802" i="2" s="1"/>
  <c r="K801" i="2"/>
  <c r="H801" i="2"/>
  <c r="C801" i="2"/>
  <c r="A801" i="2"/>
  <c r="G801" i="2" s="1"/>
  <c r="M800" i="2"/>
  <c r="L800" i="2"/>
  <c r="H800" i="2"/>
  <c r="F800" i="2"/>
  <c r="E800" i="2"/>
  <c r="D800" i="2"/>
  <c r="A800" i="2"/>
  <c r="K800" i="2" s="1"/>
  <c r="M799" i="2"/>
  <c r="K799" i="2"/>
  <c r="J799" i="2"/>
  <c r="E799" i="2"/>
  <c r="C799" i="2"/>
  <c r="B799" i="2"/>
  <c r="A799" i="2"/>
  <c r="I799" i="2" s="1"/>
  <c r="M798" i="2"/>
  <c r="K798" i="2"/>
  <c r="J798" i="2"/>
  <c r="H798" i="2"/>
  <c r="G798" i="2"/>
  <c r="F798" i="2"/>
  <c r="E798" i="2"/>
  <c r="C798" i="2"/>
  <c r="B798" i="2"/>
  <c r="A798" i="2"/>
  <c r="L798" i="2" s="1"/>
  <c r="M797" i="2"/>
  <c r="L797" i="2"/>
  <c r="K797" i="2"/>
  <c r="J797" i="2"/>
  <c r="H797" i="2"/>
  <c r="G797" i="2"/>
  <c r="F797" i="2"/>
  <c r="E797" i="2"/>
  <c r="D797" i="2"/>
  <c r="C797" i="2"/>
  <c r="B797" i="2"/>
  <c r="A797" i="2"/>
  <c r="I797" i="2" s="1"/>
  <c r="I796" i="2"/>
  <c r="A796" i="2"/>
  <c r="I795" i="2"/>
  <c r="F795" i="2"/>
  <c r="A795" i="2"/>
  <c r="L794" i="2"/>
  <c r="K794" i="2"/>
  <c r="J794" i="2"/>
  <c r="G794" i="2"/>
  <c r="F794" i="2"/>
  <c r="D794" i="2"/>
  <c r="C794" i="2"/>
  <c r="B794" i="2"/>
  <c r="A794" i="2"/>
  <c r="I794" i="2" s="1"/>
  <c r="K793" i="2"/>
  <c r="H793" i="2"/>
  <c r="C793" i="2"/>
  <c r="A793" i="2"/>
  <c r="G793" i="2" s="1"/>
  <c r="M792" i="2"/>
  <c r="L792" i="2"/>
  <c r="H792" i="2"/>
  <c r="F792" i="2"/>
  <c r="E792" i="2"/>
  <c r="D792" i="2"/>
  <c r="A792" i="2"/>
  <c r="K792" i="2" s="1"/>
  <c r="M791" i="2"/>
  <c r="K791" i="2"/>
  <c r="J791" i="2"/>
  <c r="E791" i="2"/>
  <c r="C791" i="2"/>
  <c r="B791" i="2"/>
  <c r="A791" i="2"/>
  <c r="I791" i="2" s="1"/>
  <c r="M790" i="2"/>
  <c r="K790" i="2"/>
  <c r="J790" i="2"/>
  <c r="H790" i="2"/>
  <c r="G790" i="2"/>
  <c r="F790" i="2"/>
  <c r="E790" i="2"/>
  <c r="C790" i="2"/>
  <c r="B790" i="2"/>
  <c r="A790" i="2"/>
  <c r="L790" i="2" s="1"/>
  <c r="M789" i="2"/>
  <c r="L789" i="2"/>
  <c r="K789" i="2"/>
  <c r="J789" i="2"/>
  <c r="H789" i="2"/>
  <c r="G789" i="2"/>
  <c r="E789" i="2"/>
  <c r="D789" i="2"/>
  <c r="C789" i="2"/>
  <c r="B789" i="2"/>
  <c r="A789" i="2"/>
  <c r="I789" i="2" s="1"/>
  <c r="I788" i="2"/>
  <c r="D788" i="2"/>
  <c r="A788" i="2"/>
  <c r="A787" i="2"/>
  <c r="F787" i="2" s="1"/>
  <c r="L786" i="2"/>
  <c r="K786" i="2"/>
  <c r="J786" i="2"/>
  <c r="G786" i="2"/>
  <c r="F786" i="2"/>
  <c r="D786" i="2"/>
  <c r="C786" i="2"/>
  <c r="B786" i="2"/>
  <c r="A786" i="2"/>
  <c r="I786" i="2" s="1"/>
  <c r="K785" i="2"/>
  <c r="H785" i="2"/>
  <c r="C785" i="2"/>
  <c r="A785" i="2"/>
  <c r="G785" i="2" s="1"/>
  <c r="M784" i="2"/>
  <c r="L784" i="2"/>
  <c r="H784" i="2"/>
  <c r="F784" i="2"/>
  <c r="E784" i="2"/>
  <c r="D784" i="2"/>
  <c r="A784" i="2"/>
  <c r="K784" i="2" s="1"/>
  <c r="M783" i="2"/>
  <c r="K783" i="2"/>
  <c r="J783" i="2"/>
  <c r="E783" i="2"/>
  <c r="C783" i="2"/>
  <c r="B783" i="2"/>
  <c r="A783" i="2"/>
  <c r="I783" i="2" s="1"/>
  <c r="M782" i="2"/>
  <c r="K782" i="2"/>
  <c r="J782" i="2"/>
  <c r="H782" i="2"/>
  <c r="G782" i="2"/>
  <c r="F782" i="2"/>
  <c r="E782" i="2"/>
  <c r="C782" i="2"/>
  <c r="B782" i="2"/>
  <c r="A782" i="2"/>
  <c r="L782" i="2" s="1"/>
  <c r="M781" i="2"/>
  <c r="L781" i="2"/>
  <c r="K781" i="2"/>
  <c r="J781" i="2"/>
  <c r="H781" i="2"/>
  <c r="G781" i="2"/>
  <c r="F781" i="2"/>
  <c r="E781" i="2"/>
  <c r="D781" i="2"/>
  <c r="C781" i="2"/>
  <c r="B781" i="2"/>
  <c r="A781" i="2"/>
  <c r="I781" i="2" s="1"/>
  <c r="I780" i="2"/>
  <c r="D780" i="2"/>
  <c r="A780" i="2"/>
  <c r="A779" i="2"/>
  <c r="L778" i="2"/>
  <c r="K778" i="2"/>
  <c r="J778" i="2"/>
  <c r="G778" i="2"/>
  <c r="F778" i="2"/>
  <c r="D778" i="2"/>
  <c r="C778" i="2"/>
  <c r="B778" i="2"/>
  <c r="A778" i="2"/>
  <c r="I778" i="2" s="1"/>
  <c r="K777" i="2"/>
  <c r="H777" i="2"/>
  <c r="C777" i="2"/>
  <c r="A777" i="2"/>
  <c r="G777" i="2" s="1"/>
  <c r="M776" i="2"/>
  <c r="L776" i="2"/>
  <c r="H776" i="2"/>
  <c r="F776" i="2"/>
  <c r="E776" i="2"/>
  <c r="D776" i="2"/>
  <c r="A776" i="2"/>
  <c r="K776" i="2" s="1"/>
  <c r="M775" i="2"/>
  <c r="K775" i="2"/>
  <c r="J775" i="2"/>
  <c r="E775" i="2"/>
  <c r="C775" i="2"/>
  <c r="B775" i="2"/>
  <c r="A775" i="2"/>
  <c r="I775" i="2" s="1"/>
  <c r="M774" i="2"/>
  <c r="K774" i="2"/>
  <c r="J774" i="2"/>
  <c r="H774" i="2"/>
  <c r="G774" i="2"/>
  <c r="F774" i="2"/>
  <c r="E774" i="2"/>
  <c r="C774" i="2"/>
  <c r="B774" i="2"/>
  <c r="A774" i="2"/>
  <c r="L774" i="2" s="1"/>
  <c r="M773" i="2"/>
  <c r="L773" i="2"/>
  <c r="K773" i="2"/>
  <c r="J773" i="2"/>
  <c r="H773" i="2"/>
  <c r="G773" i="2"/>
  <c r="F773" i="2"/>
  <c r="E773" i="2"/>
  <c r="D773" i="2"/>
  <c r="C773" i="2"/>
  <c r="B773" i="2"/>
  <c r="A773" i="2"/>
  <c r="I773" i="2" s="1"/>
  <c r="I772" i="2"/>
  <c r="D772" i="2"/>
  <c r="A772" i="2"/>
  <c r="A771" i="2"/>
  <c r="I771" i="2" s="1"/>
  <c r="L770" i="2"/>
  <c r="K770" i="2"/>
  <c r="J770" i="2"/>
  <c r="G770" i="2"/>
  <c r="F770" i="2"/>
  <c r="D770" i="2"/>
  <c r="C770" i="2"/>
  <c r="B770" i="2"/>
  <c r="A770" i="2"/>
  <c r="I770" i="2" s="1"/>
  <c r="K769" i="2"/>
  <c r="H769" i="2"/>
  <c r="C769" i="2"/>
  <c r="A769" i="2"/>
  <c r="G769" i="2" s="1"/>
  <c r="M768" i="2"/>
  <c r="L768" i="2"/>
  <c r="H768" i="2"/>
  <c r="F768" i="2"/>
  <c r="E768" i="2"/>
  <c r="D768" i="2"/>
  <c r="A768" i="2"/>
  <c r="K768" i="2" s="1"/>
  <c r="M767" i="2"/>
  <c r="K767" i="2"/>
  <c r="J767" i="2"/>
  <c r="E767" i="2"/>
  <c r="C767" i="2"/>
  <c r="B767" i="2"/>
  <c r="A767" i="2"/>
  <c r="I767" i="2" s="1"/>
  <c r="M766" i="2"/>
  <c r="K766" i="2"/>
  <c r="J766" i="2"/>
  <c r="H766" i="2"/>
  <c r="G766" i="2"/>
  <c r="F766" i="2"/>
  <c r="E766" i="2"/>
  <c r="C766" i="2"/>
  <c r="B766" i="2"/>
  <c r="A766" i="2"/>
  <c r="L766" i="2" s="1"/>
  <c r="M765" i="2"/>
  <c r="L765" i="2"/>
  <c r="K765" i="2"/>
  <c r="J765" i="2"/>
  <c r="H765" i="2"/>
  <c r="G765" i="2"/>
  <c r="F765" i="2"/>
  <c r="E765" i="2"/>
  <c r="D765" i="2"/>
  <c r="C765" i="2"/>
  <c r="B765" i="2"/>
  <c r="A765" i="2"/>
  <c r="I765" i="2" s="1"/>
  <c r="I764" i="2"/>
  <c r="D764" i="2"/>
  <c r="A764" i="2"/>
  <c r="A763" i="2"/>
  <c r="F763" i="2" s="1"/>
  <c r="L762" i="2"/>
  <c r="K762" i="2"/>
  <c r="J762" i="2"/>
  <c r="G762" i="2"/>
  <c r="F762" i="2"/>
  <c r="D762" i="2"/>
  <c r="C762" i="2"/>
  <c r="B762" i="2"/>
  <c r="A762" i="2"/>
  <c r="I762" i="2" s="1"/>
  <c r="K761" i="2"/>
  <c r="H761" i="2"/>
  <c r="C761" i="2"/>
  <c r="A761" i="2"/>
  <c r="G761" i="2" s="1"/>
  <c r="M760" i="2"/>
  <c r="L760" i="2"/>
  <c r="H760" i="2"/>
  <c r="F760" i="2"/>
  <c r="E760" i="2"/>
  <c r="D760" i="2"/>
  <c r="A760" i="2"/>
  <c r="K760" i="2" s="1"/>
  <c r="M759" i="2"/>
  <c r="K759" i="2"/>
  <c r="J759" i="2"/>
  <c r="E759" i="2"/>
  <c r="C759" i="2"/>
  <c r="B759" i="2"/>
  <c r="A759" i="2"/>
  <c r="I759" i="2" s="1"/>
  <c r="M758" i="2"/>
  <c r="K758" i="2"/>
  <c r="J758" i="2"/>
  <c r="H758" i="2"/>
  <c r="G758" i="2"/>
  <c r="F758" i="2"/>
  <c r="E758" i="2"/>
  <c r="C758" i="2"/>
  <c r="B758" i="2"/>
  <c r="A758" i="2"/>
  <c r="L758" i="2" s="1"/>
  <c r="M757" i="2"/>
  <c r="L757" i="2"/>
  <c r="K757" i="2"/>
  <c r="J757" i="2"/>
  <c r="H757" i="2"/>
  <c r="G757" i="2"/>
  <c r="F757" i="2"/>
  <c r="E757" i="2"/>
  <c r="D757" i="2"/>
  <c r="C757" i="2"/>
  <c r="B757" i="2"/>
  <c r="A757" i="2"/>
  <c r="I757" i="2" s="1"/>
  <c r="I756" i="2"/>
  <c r="D756" i="2"/>
  <c r="A756" i="2"/>
  <c r="A755" i="2"/>
  <c r="L754" i="2"/>
  <c r="K754" i="2"/>
  <c r="J754" i="2"/>
  <c r="G754" i="2"/>
  <c r="F754" i="2"/>
  <c r="D754" i="2"/>
  <c r="C754" i="2"/>
  <c r="B754" i="2"/>
  <c r="A754" i="2"/>
  <c r="I754" i="2" s="1"/>
  <c r="K753" i="2"/>
  <c r="H753" i="2"/>
  <c r="C753" i="2"/>
  <c r="A753" i="2"/>
  <c r="G753" i="2" s="1"/>
  <c r="M752" i="2"/>
  <c r="L752" i="2"/>
  <c r="H752" i="2"/>
  <c r="F752" i="2"/>
  <c r="E752" i="2"/>
  <c r="D752" i="2"/>
  <c r="A752" i="2"/>
  <c r="K752" i="2" s="1"/>
  <c r="M751" i="2"/>
  <c r="K751" i="2"/>
  <c r="J751" i="2"/>
  <c r="E751" i="2"/>
  <c r="C751" i="2"/>
  <c r="B751" i="2"/>
  <c r="A751" i="2"/>
  <c r="I751" i="2" s="1"/>
  <c r="M750" i="2"/>
  <c r="K750" i="2"/>
  <c r="J750" i="2"/>
  <c r="H750" i="2"/>
  <c r="G750" i="2"/>
  <c r="F750" i="2"/>
  <c r="E750" i="2"/>
  <c r="C750" i="2"/>
  <c r="B750" i="2"/>
  <c r="A750" i="2"/>
  <c r="L750" i="2" s="1"/>
  <c r="M749" i="2"/>
  <c r="L749" i="2"/>
  <c r="K749" i="2"/>
  <c r="J749" i="2"/>
  <c r="H749" i="2"/>
  <c r="G749" i="2"/>
  <c r="F749" i="2"/>
  <c r="E749" i="2"/>
  <c r="D749" i="2"/>
  <c r="C749" i="2"/>
  <c r="B749" i="2"/>
  <c r="A749" i="2"/>
  <c r="I749" i="2" s="1"/>
  <c r="I748" i="2"/>
  <c r="D748" i="2"/>
  <c r="A748" i="2"/>
  <c r="A747" i="2"/>
  <c r="I747" i="2" s="1"/>
  <c r="L746" i="2"/>
  <c r="K746" i="2"/>
  <c r="J746" i="2"/>
  <c r="G746" i="2"/>
  <c r="F746" i="2"/>
  <c r="D746" i="2"/>
  <c r="C746" i="2"/>
  <c r="B746" i="2"/>
  <c r="A746" i="2"/>
  <c r="I746" i="2" s="1"/>
  <c r="K745" i="2"/>
  <c r="H745" i="2"/>
  <c r="C745" i="2"/>
  <c r="A745" i="2"/>
  <c r="G745" i="2" s="1"/>
  <c r="M744" i="2"/>
  <c r="L744" i="2"/>
  <c r="H744" i="2"/>
  <c r="F744" i="2"/>
  <c r="E744" i="2"/>
  <c r="D744" i="2"/>
  <c r="A744" i="2"/>
  <c r="K744" i="2" s="1"/>
  <c r="M743" i="2"/>
  <c r="K743" i="2"/>
  <c r="J743" i="2"/>
  <c r="E743" i="2"/>
  <c r="C743" i="2"/>
  <c r="B743" i="2"/>
  <c r="A743" i="2"/>
  <c r="I743" i="2" s="1"/>
  <c r="M742" i="2"/>
  <c r="K742" i="2"/>
  <c r="J742" i="2"/>
  <c r="H742" i="2"/>
  <c r="G742" i="2"/>
  <c r="F742" i="2"/>
  <c r="E742" i="2"/>
  <c r="C742" i="2"/>
  <c r="B742" i="2"/>
  <c r="A742" i="2"/>
  <c r="L742" i="2" s="1"/>
  <c r="M741" i="2"/>
  <c r="L741" i="2"/>
  <c r="K741" i="2"/>
  <c r="J741" i="2"/>
  <c r="H741" i="2"/>
  <c r="G741" i="2"/>
  <c r="F741" i="2"/>
  <c r="E741" i="2"/>
  <c r="D741" i="2"/>
  <c r="C741" i="2"/>
  <c r="B741" i="2"/>
  <c r="A741" i="2"/>
  <c r="I741" i="2" s="1"/>
  <c r="I740" i="2"/>
  <c r="D740" i="2"/>
  <c r="A740" i="2"/>
  <c r="A739" i="2"/>
  <c r="I739" i="2" s="1"/>
  <c r="L738" i="2"/>
  <c r="K738" i="2"/>
  <c r="J738" i="2"/>
  <c r="G738" i="2"/>
  <c r="F738" i="2"/>
  <c r="D738" i="2"/>
  <c r="C738" i="2"/>
  <c r="B738" i="2"/>
  <c r="A738" i="2"/>
  <c r="I738" i="2" s="1"/>
  <c r="K737" i="2"/>
  <c r="H737" i="2"/>
  <c r="C737" i="2"/>
  <c r="A737" i="2"/>
  <c r="G737" i="2" s="1"/>
  <c r="M736" i="2"/>
  <c r="L736" i="2"/>
  <c r="H736" i="2"/>
  <c r="F736" i="2"/>
  <c r="E736" i="2"/>
  <c r="D736" i="2"/>
  <c r="A736" i="2"/>
  <c r="K736" i="2" s="1"/>
  <c r="M735" i="2"/>
  <c r="K735" i="2"/>
  <c r="J735" i="2"/>
  <c r="E735" i="2"/>
  <c r="C735" i="2"/>
  <c r="B735" i="2"/>
  <c r="A735" i="2"/>
  <c r="I735" i="2" s="1"/>
  <c r="M734" i="2"/>
  <c r="K734" i="2"/>
  <c r="J734" i="2"/>
  <c r="H734" i="2"/>
  <c r="G734" i="2"/>
  <c r="F734" i="2"/>
  <c r="E734" i="2"/>
  <c r="C734" i="2"/>
  <c r="B734" i="2"/>
  <c r="A734" i="2"/>
  <c r="L734" i="2" s="1"/>
  <c r="M733" i="2"/>
  <c r="L733" i="2"/>
  <c r="K733" i="2"/>
  <c r="J733" i="2"/>
  <c r="H733" i="2"/>
  <c r="G733" i="2"/>
  <c r="F733" i="2"/>
  <c r="E733" i="2"/>
  <c r="D733" i="2"/>
  <c r="C733" i="2"/>
  <c r="B733" i="2"/>
  <c r="A733" i="2"/>
  <c r="I733" i="2" s="1"/>
  <c r="I732" i="2"/>
  <c r="D732" i="2"/>
  <c r="A732" i="2"/>
  <c r="A731" i="2"/>
  <c r="F731" i="2" s="1"/>
  <c r="L730" i="2"/>
  <c r="K730" i="2"/>
  <c r="J730" i="2"/>
  <c r="G730" i="2"/>
  <c r="F730" i="2"/>
  <c r="D730" i="2"/>
  <c r="C730" i="2"/>
  <c r="B730" i="2"/>
  <c r="A730" i="2"/>
  <c r="I730" i="2" s="1"/>
  <c r="K729" i="2"/>
  <c r="H729" i="2"/>
  <c r="C729" i="2"/>
  <c r="A729" i="2"/>
  <c r="G729" i="2" s="1"/>
  <c r="M728" i="2"/>
  <c r="L728" i="2"/>
  <c r="H728" i="2"/>
  <c r="F728" i="2"/>
  <c r="E728" i="2"/>
  <c r="D728" i="2"/>
  <c r="A728" i="2"/>
  <c r="K728" i="2" s="1"/>
  <c r="M727" i="2"/>
  <c r="K727" i="2"/>
  <c r="J727" i="2"/>
  <c r="E727" i="2"/>
  <c r="C727" i="2"/>
  <c r="B727" i="2"/>
  <c r="A727" i="2"/>
  <c r="I727" i="2" s="1"/>
  <c r="M726" i="2"/>
  <c r="K726" i="2"/>
  <c r="J726" i="2"/>
  <c r="H726" i="2"/>
  <c r="G726" i="2"/>
  <c r="F726" i="2"/>
  <c r="E726" i="2"/>
  <c r="C726" i="2"/>
  <c r="B726" i="2"/>
  <c r="A726" i="2"/>
  <c r="L726" i="2" s="1"/>
  <c r="M725" i="2"/>
  <c r="L725" i="2"/>
  <c r="K725" i="2"/>
  <c r="J725" i="2"/>
  <c r="H725" i="2"/>
  <c r="G725" i="2"/>
  <c r="F725" i="2"/>
  <c r="E725" i="2"/>
  <c r="D725" i="2"/>
  <c r="C725" i="2"/>
  <c r="B725" i="2"/>
  <c r="A725" i="2"/>
  <c r="I725" i="2" s="1"/>
  <c r="I724" i="2"/>
  <c r="D724" i="2"/>
  <c r="A724" i="2"/>
  <c r="A723" i="2"/>
  <c r="I723" i="2" s="1"/>
  <c r="L722" i="2"/>
  <c r="K722" i="2"/>
  <c r="J722" i="2"/>
  <c r="G722" i="2"/>
  <c r="F722" i="2"/>
  <c r="D722" i="2"/>
  <c r="C722" i="2"/>
  <c r="B722" i="2"/>
  <c r="A722" i="2"/>
  <c r="I722" i="2" s="1"/>
  <c r="K721" i="2"/>
  <c r="H721" i="2"/>
  <c r="C721" i="2"/>
  <c r="A721" i="2"/>
  <c r="G721" i="2" s="1"/>
  <c r="M720" i="2"/>
  <c r="L720" i="2"/>
  <c r="H720" i="2"/>
  <c r="F720" i="2"/>
  <c r="E720" i="2"/>
  <c r="D720" i="2"/>
  <c r="A720" i="2"/>
  <c r="K720" i="2" s="1"/>
  <c r="M719" i="2"/>
  <c r="K719" i="2"/>
  <c r="J719" i="2"/>
  <c r="E719" i="2"/>
  <c r="C719" i="2"/>
  <c r="B719" i="2"/>
  <c r="A719" i="2"/>
  <c r="I719" i="2" s="1"/>
  <c r="M718" i="2"/>
  <c r="K718" i="2"/>
  <c r="J718" i="2"/>
  <c r="H718" i="2"/>
  <c r="G718" i="2"/>
  <c r="F718" i="2"/>
  <c r="E718" i="2"/>
  <c r="C718" i="2"/>
  <c r="B718" i="2"/>
  <c r="A718" i="2"/>
  <c r="L718" i="2" s="1"/>
  <c r="M717" i="2"/>
  <c r="L717" i="2"/>
  <c r="K717" i="2"/>
  <c r="J717" i="2"/>
  <c r="H717" i="2"/>
  <c r="G717" i="2"/>
  <c r="F717" i="2"/>
  <c r="E717" i="2"/>
  <c r="D717" i="2"/>
  <c r="C717" i="2"/>
  <c r="B717" i="2"/>
  <c r="A717" i="2"/>
  <c r="I717" i="2" s="1"/>
  <c r="I716" i="2"/>
  <c r="D716" i="2"/>
  <c r="A716" i="2"/>
  <c r="A715" i="2"/>
  <c r="F715" i="2" s="1"/>
  <c r="L714" i="2"/>
  <c r="K714" i="2"/>
  <c r="J714" i="2"/>
  <c r="G714" i="2"/>
  <c r="F714" i="2"/>
  <c r="D714" i="2"/>
  <c r="C714" i="2"/>
  <c r="B714" i="2"/>
  <c r="A714" i="2"/>
  <c r="I714" i="2" s="1"/>
  <c r="K713" i="2"/>
  <c r="H713" i="2"/>
  <c r="C713" i="2"/>
  <c r="A713" i="2"/>
  <c r="G713" i="2" s="1"/>
  <c r="M712" i="2"/>
  <c r="L712" i="2"/>
  <c r="H712" i="2"/>
  <c r="F712" i="2"/>
  <c r="E712" i="2"/>
  <c r="D712" i="2"/>
  <c r="A712" i="2"/>
  <c r="K712" i="2" s="1"/>
  <c r="M711" i="2"/>
  <c r="K711" i="2"/>
  <c r="J711" i="2"/>
  <c r="E711" i="2"/>
  <c r="C711" i="2"/>
  <c r="B711" i="2"/>
  <c r="A711" i="2"/>
  <c r="I711" i="2" s="1"/>
  <c r="M710" i="2"/>
  <c r="K710" i="2"/>
  <c r="J710" i="2"/>
  <c r="H710" i="2"/>
  <c r="G710" i="2"/>
  <c r="F710" i="2"/>
  <c r="E710" i="2"/>
  <c r="C710" i="2"/>
  <c r="B710" i="2"/>
  <c r="A710" i="2"/>
  <c r="L710" i="2" s="1"/>
  <c r="M709" i="2"/>
  <c r="L709" i="2"/>
  <c r="K709" i="2"/>
  <c r="J709" i="2"/>
  <c r="H709" i="2"/>
  <c r="G709" i="2"/>
  <c r="F709" i="2"/>
  <c r="E709" i="2"/>
  <c r="D709" i="2"/>
  <c r="C709" i="2"/>
  <c r="B709" i="2"/>
  <c r="A709" i="2"/>
  <c r="I709" i="2" s="1"/>
  <c r="I708" i="2"/>
  <c r="D708" i="2"/>
  <c r="A708" i="2"/>
  <c r="A707" i="2"/>
  <c r="I707" i="2" s="1"/>
  <c r="L706" i="2"/>
  <c r="K706" i="2"/>
  <c r="J706" i="2"/>
  <c r="G706" i="2"/>
  <c r="F706" i="2"/>
  <c r="D706" i="2"/>
  <c r="C706" i="2"/>
  <c r="B706" i="2"/>
  <c r="A706" i="2"/>
  <c r="I706" i="2" s="1"/>
  <c r="K705" i="2"/>
  <c r="H705" i="2"/>
  <c r="C705" i="2"/>
  <c r="A705" i="2"/>
  <c r="G705" i="2" s="1"/>
  <c r="M704" i="2"/>
  <c r="L704" i="2"/>
  <c r="H704" i="2"/>
  <c r="F704" i="2"/>
  <c r="E704" i="2"/>
  <c r="D704" i="2"/>
  <c r="A704" i="2"/>
  <c r="K704" i="2" s="1"/>
  <c r="M703" i="2"/>
  <c r="K703" i="2"/>
  <c r="J703" i="2"/>
  <c r="E703" i="2"/>
  <c r="C703" i="2"/>
  <c r="B703" i="2"/>
  <c r="A703" i="2"/>
  <c r="I703" i="2" s="1"/>
  <c r="M702" i="2"/>
  <c r="K702" i="2"/>
  <c r="J702" i="2"/>
  <c r="H702" i="2"/>
  <c r="G702" i="2"/>
  <c r="F702" i="2"/>
  <c r="E702" i="2"/>
  <c r="C702" i="2"/>
  <c r="B702" i="2"/>
  <c r="A702" i="2"/>
  <c r="L702" i="2" s="1"/>
  <c r="M701" i="2"/>
  <c r="L701" i="2"/>
  <c r="K701" i="2"/>
  <c r="J701" i="2"/>
  <c r="H701" i="2"/>
  <c r="G701" i="2"/>
  <c r="F701" i="2"/>
  <c r="E701" i="2"/>
  <c r="D701" i="2"/>
  <c r="C701" i="2"/>
  <c r="B701" i="2"/>
  <c r="A701" i="2"/>
  <c r="I701" i="2" s="1"/>
  <c r="I700" i="2"/>
  <c r="D700" i="2"/>
  <c r="A700" i="2"/>
  <c r="A699" i="2"/>
  <c r="F699" i="2" s="1"/>
  <c r="L698" i="2"/>
  <c r="K698" i="2"/>
  <c r="J698" i="2"/>
  <c r="G698" i="2"/>
  <c r="F698" i="2"/>
  <c r="D698" i="2"/>
  <c r="C698" i="2"/>
  <c r="B698" i="2"/>
  <c r="A698" i="2"/>
  <c r="I698" i="2" s="1"/>
  <c r="K697" i="2"/>
  <c r="H697" i="2"/>
  <c r="C697" i="2"/>
  <c r="A697" i="2"/>
  <c r="G697" i="2" s="1"/>
  <c r="M696" i="2"/>
  <c r="L696" i="2"/>
  <c r="H696" i="2"/>
  <c r="F696" i="2"/>
  <c r="E696" i="2"/>
  <c r="D696" i="2"/>
  <c r="A696" i="2"/>
  <c r="K696" i="2" s="1"/>
  <c r="M695" i="2"/>
  <c r="K695" i="2"/>
  <c r="J695" i="2"/>
  <c r="E695" i="2"/>
  <c r="C695" i="2"/>
  <c r="B695" i="2"/>
  <c r="A695" i="2"/>
  <c r="I695" i="2" s="1"/>
  <c r="M694" i="2"/>
  <c r="K694" i="2"/>
  <c r="J694" i="2"/>
  <c r="H694" i="2"/>
  <c r="G694" i="2"/>
  <c r="F694" i="2"/>
  <c r="E694" i="2"/>
  <c r="C694" i="2"/>
  <c r="B694" i="2"/>
  <c r="A694" i="2"/>
  <c r="L694" i="2" s="1"/>
  <c r="M693" i="2"/>
  <c r="L693" i="2"/>
  <c r="K693" i="2"/>
  <c r="J693" i="2"/>
  <c r="H693" i="2"/>
  <c r="G693" i="2"/>
  <c r="F693" i="2"/>
  <c r="E693" i="2"/>
  <c r="D693" i="2"/>
  <c r="C693" i="2"/>
  <c r="B693" i="2"/>
  <c r="A693" i="2"/>
  <c r="I693" i="2" s="1"/>
  <c r="I692" i="2"/>
  <c r="D692" i="2"/>
  <c r="A692" i="2"/>
  <c r="A691" i="2"/>
  <c r="I691" i="2" s="1"/>
  <c r="L690" i="2"/>
  <c r="K690" i="2"/>
  <c r="J690" i="2"/>
  <c r="G690" i="2"/>
  <c r="F690" i="2"/>
  <c r="D690" i="2"/>
  <c r="C690" i="2"/>
  <c r="B690" i="2"/>
  <c r="A690" i="2"/>
  <c r="I690" i="2" s="1"/>
  <c r="K689" i="2"/>
  <c r="H689" i="2"/>
  <c r="C689" i="2"/>
  <c r="A689" i="2"/>
  <c r="G689" i="2" s="1"/>
  <c r="M688" i="2"/>
  <c r="L688" i="2"/>
  <c r="H688" i="2"/>
  <c r="F688" i="2"/>
  <c r="E688" i="2"/>
  <c r="D688" i="2"/>
  <c r="A688" i="2"/>
  <c r="K688" i="2" s="1"/>
  <c r="M687" i="2"/>
  <c r="K687" i="2"/>
  <c r="J687" i="2"/>
  <c r="E687" i="2"/>
  <c r="C687" i="2"/>
  <c r="B687" i="2"/>
  <c r="A687" i="2"/>
  <c r="I687" i="2" s="1"/>
  <c r="M686" i="2"/>
  <c r="K686" i="2"/>
  <c r="J686" i="2"/>
  <c r="H686" i="2"/>
  <c r="G686" i="2"/>
  <c r="F686" i="2"/>
  <c r="E686" i="2"/>
  <c r="C686" i="2"/>
  <c r="B686" i="2"/>
  <c r="A686" i="2"/>
  <c r="L686" i="2" s="1"/>
  <c r="M685" i="2"/>
  <c r="L685" i="2"/>
  <c r="K685" i="2"/>
  <c r="J685" i="2"/>
  <c r="H685" i="2"/>
  <c r="G685" i="2"/>
  <c r="F685" i="2"/>
  <c r="E685" i="2"/>
  <c r="D685" i="2"/>
  <c r="C685" i="2"/>
  <c r="B685" i="2"/>
  <c r="A685" i="2"/>
  <c r="I685" i="2" s="1"/>
  <c r="I684" i="2"/>
  <c r="D684" i="2"/>
  <c r="A684" i="2"/>
  <c r="A683" i="2"/>
  <c r="I683" i="2" s="1"/>
  <c r="L682" i="2"/>
  <c r="K682" i="2"/>
  <c r="J682" i="2"/>
  <c r="G682" i="2"/>
  <c r="F682" i="2"/>
  <c r="D682" i="2"/>
  <c r="C682" i="2"/>
  <c r="B682" i="2"/>
  <c r="A682" i="2"/>
  <c r="I682" i="2" s="1"/>
  <c r="K681" i="2"/>
  <c r="H681" i="2"/>
  <c r="C681" i="2"/>
  <c r="A681" i="2"/>
  <c r="G681" i="2" s="1"/>
  <c r="M680" i="2"/>
  <c r="L680" i="2"/>
  <c r="H680" i="2"/>
  <c r="F680" i="2"/>
  <c r="E680" i="2"/>
  <c r="D680" i="2"/>
  <c r="A680" i="2"/>
  <c r="K680" i="2" s="1"/>
  <c r="M679" i="2"/>
  <c r="K679" i="2"/>
  <c r="J679" i="2"/>
  <c r="E679" i="2"/>
  <c r="C679" i="2"/>
  <c r="B679" i="2"/>
  <c r="A679" i="2"/>
  <c r="I679" i="2" s="1"/>
  <c r="M678" i="2"/>
  <c r="K678" i="2"/>
  <c r="J678" i="2"/>
  <c r="H678" i="2"/>
  <c r="G678" i="2"/>
  <c r="F678" i="2"/>
  <c r="E678" i="2"/>
  <c r="C678" i="2"/>
  <c r="B678" i="2"/>
  <c r="A678" i="2"/>
  <c r="L678" i="2" s="1"/>
  <c r="M677" i="2"/>
  <c r="L677" i="2"/>
  <c r="K677" i="2"/>
  <c r="J677" i="2"/>
  <c r="H677" i="2"/>
  <c r="G677" i="2"/>
  <c r="F677" i="2"/>
  <c r="E677" i="2"/>
  <c r="D677" i="2"/>
  <c r="C677" i="2"/>
  <c r="B677" i="2"/>
  <c r="A677" i="2"/>
  <c r="I677" i="2" s="1"/>
  <c r="I676" i="2"/>
  <c r="D676" i="2"/>
  <c r="A676" i="2"/>
  <c r="A675" i="2"/>
  <c r="I675" i="2" s="1"/>
  <c r="L674" i="2"/>
  <c r="K674" i="2"/>
  <c r="J674" i="2"/>
  <c r="G674" i="2"/>
  <c r="F674" i="2"/>
  <c r="D674" i="2"/>
  <c r="C674" i="2"/>
  <c r="B674" i="2"/>
  <c r="A674" i="2"/>
  <c r="I674" i="2" s="1"/>
  <c r="K673" i="2"/>
  <c r="H673" i="2"/>
  <c r="C673" i="2"/>
  <c r="A673" i="2"/>
  <c r="G673" i="2" s="1"/>
  <c r="M672" i="2"/>
  <c r="L672" i="2"/>
  <c r="H672" i="2"/>
  <c r="F672" i="2"/>
  <c r="E672" i="2"/>
  <c r="D672" i="2"/>
  <c r="A672" i="2"/>
  <c r="K672" i="2" s="1"/>
  <c r="M671" i="2"/>
  <c r="K671" i="2"/>
  <c r="J671" i="2"/>
  <c r="E671" i="2"/>
  <c r="C671" i="2"/>
  <c r="B671" i="2"/>
  <c r="A671" i="2"/>
  <c r="I671" i="2" s="1"/>
  <c r="M670" i="2"/>
  <c r="K670" i="2"/>
  <c r="J670" i="2"/>
  <c r="H670" i="2"/>
  <c r="G670" i="2"/>
  <c r="F670" i="2"/>
  <c r="E670" i="2"/>
  <c r="C670" i="2"/>
  <c r="B670" i="2"/>
  <c r="A670" i="2"/>
  <c r="L670" i="2" s="1"/>
  <c r="M669" i="2"/>
  <c r="L669" i="2"/>
  <c r="K669" i="2"/>
  <c r="J669" i="2"/>
  <c r="H669" i="2"/>
  <c r="G669" i="2"/>
  <c r="F669" i="2"/>
  <c r="E669" i="2"/>
  <c r="D669" i="2"/>
  <c r="C669" i="2"/>
  <c r="B669" i="2"/>
  <c r="A669" i="2"/>
  <c r="I669" i="2" s="1"/>
  <c r="I668" i="2"/>
  <c r="D668" i="2"/>
  <c r="A668" i="2"/>
  <c r="A667" i="2"/>
  <c r="I667" i="2" s="1"/>
  <c r="L666" i="2"/>
  <c r="K666" i="2"/>
  <c r="J666" i="2"/>
  <c r="G666" i="2"/>
  <c r="F666" i="2"/>
  <c r="D666" i="2"/>
  <c r="C666" i="2"/>
  <c r="B666" i="2"/>
  <c r="A666" i="2"/>
  <c r="I666" i="2" s="1"/>
  <c r="K665" i="2"/>
  <c r="H665" i="2"/>
  <c r="C665" i="2"/>
  <c r="A665" i="2"/>
  <c r="G665" i="2" s="1"/>
  <c r="M664" i="2"/>
  <c r="L664" i="2"/>
  <c r="H664" i="2"/>
  <c r="F664" i="2"/>
  <c r="E664" i="2"/>
  <c r="D664" i="2"/>
  <c r="A664" i="2"/>
  <c r="K664" i="2" s="1"/>
  <c r="M663" i="2"/>
  <c r="K663" i="2"/>
  <c r="J663" i="2"/>
  <c r="E663" i="2"/>
  <c r="C663" i="2"/>
  <c r="B663" i="2"/>
  <c r="A663" i="2"/>
  <c r="I663" i="2" s="1"/>
  <c r="M662" i="2"/>
  <c r="K662" i="2"/>
  <c r="J662" i="2"/>
  <c r="H662" i="2"/>
  <c r="G662" i="2"/>
  <c r="F662" i="2"/>
  <c r="E662" i="2"/>
  <c r="C662" i="2"/>
  <c r="B662" i="2"/>
  <c r="A662" i="2"/>
  <c r="L662" i="2" s="1"/>
  <c r="M661" i="2"/>
  <c r="L661" i="2"/>
  <c r="K661" i="2"/>
  <c r="J661" i="2"/>
  <c r="H661" i="2"/>
  <c r="G661" i="2"/>
  <c r="F661" i="2"/>
  <c r="E661" i="2"/>
  <c r="D661" i="2"/>
  <c r="C661" i="2"/>
  <c r="B661" i="2"/>
  <c r="A661" i="2"/>
  <c r="I661" i="2" s="1"/>
  <c r="I660" i="2"/>
  <c r="D660" i="2"/>
  <c r="A660" i="2"/>
  <c r="A659" i="2"/>
  <c r="F659" i="2" s="1"/>
  <c r="L658" i="2"/>
  <c r="K658" i="2"/>
  <c r="J658" i="2"/>
  <c r="G658" i="2"/>
  <c r="F658" i="2"/>
  <c r="D658" i="2"/>
  <c r="C658" i="2"/>
  <c r="B658" i="2"/>
  <c r="A658" i="2"/>
  <c r="I658" i="2" s="1"/>
  <c r="K657" i="2"/>
  <c r="H657" i="2"/>
  <c r="C657" i="2"/>
  <c r="A657" i="2"/>
  <c r="G657" i="2" s="1"/>
  <c r="M656" i="2"/>
  <c r="L656" i="2"/>
  <c r="H656" i="2"/>
  <c r="F656" i="2"/>
  <c r="E656" i="2"/>
  <c r="D656" i="2"/>
  <c r="A656" i="2"/>
  <c r="K656" i="2" s="1"/>
  <c r="M655" i="2"/>
  <c r="K655" i="2"/>
  <c r="J655" i="2"/>
  <c r="E655" i="2"/>
  <c r="C655" i="2"/>
  <c r="B655" i="2"/>
  <c r="A655" i="2"/>
  <c r="I655" i="2" s="1"/>
  <c r="M654" i="2"/>
  <c r="K654" i="2"/>
  <c r="J654" i="2"/>
  <c r="H654" i="2"/>
  <c r="G654" i="2"/>
  <c r="F654" i="2"/>
  <c r="E654" i="2"/>
  <c r="C654" i="2"/>
  <c r="B654" i="2"/>
  <c r="A654" i="2"/>
  <c r="L654" i="2" s="1"/>
  <c r="M653" i="2"/>
  <c r="L653" i="2"/>
  <c r="K653" i="2"/>
  <c r="J653" i="2"/>
  <c r="H653" i="2"/>
  <c r="G653" i="2"/>
  <c r="F653" i="2"/>
  <c r="E653" i="2"/>
  <c r="D653" i="2"/>
  <c r="C653" i="2"/>
  <c r="B653" i="2"/>
  <c r="A653" i="2"/>
  <c r="I653" i="2" s="1"/>
  <c r="I652" i="2"/>
  <c r="D652" i="2"/>
  <c r="A652" i="2"/>
  <c r="A651" i="2"/>
  <c r="F651" i="2" s="1"/>
  <c r="L650" i="2"/>
  <c r="K650" i="2"/>
  <c r="J650" i="2"/>
  <c r="G650" i="2"/>
  <c r="F650" i="2"/>
  <c r="D650" i="2"/>
  <c r="C650" i="2"/>
  <c r="B650" i="2"/>
  <c r="A650" i="2"/>
  <c r="I650" i="2" s="1"/>
  <c r="K649" i="2"/>
  <c r="H649" i="2"/>
  <c r="C649" i="2"/>
  <c r="A649" i="2"/>
  <c r="G649" i="2" s="1"/>
  <c r="M648" i="2"/>
  <c r="L648" i="2"/>
  <c r="H648" i="2"/>
  <c r="F648" i="2"/>
  <c r="E648" i="2"/>
  <c r="D648" i="2"/>
  <c r="A648" i="2"/>
  <c r="K648" i="2" s="1"/>
  <c r="M647" i="2"/>
  <c r="K647" i="2"/>
  <c r="J647" i="2"/>
  <c r="E647" i="2"/>
  <c r="C647" i="2"/>
  <c r="B647" i="2"/>
  <c r="A647" i="2"/>
  <c r="I647" i="2" s="1"/>
  <c r="M646" i="2"/>
  <c r="K646" i="2"/>
  <c r="J646" i="2"/>
  <c r="H646" i="2"/>
  <c r="G646" i="2"/>
  <c r="F646" i="2"/>
  <c r="E646" i="2"/>
  <c r="C646" i="2"/>
  <c r="B646" i="2"/>
  <c r="A646" i="2"/>
  <c r="L646" i="2" s="1"/>
  <c r="M645" i="2"/>
  <c r="L645" i="2"/>
  <c r="K645" i="2"/>
  <c r="J645" i="2"/>
  <c r="H645" i="2"/>
  <c r="G645" i="2"/>
  <c r="F645" i="2"/>
  <c r="E645" i="2"/>
  <c r="D645" i="2"/>
  <c r="C645" i="2"/>
  <c r="B645" i="2"/>
  <c r="A645" i="2"/>
  <c r="I645" i="2" s="1"/>
  <c r="I644" i="2"/>
  <c r="D644" i="2"/>
  <c r="A644" i="2"/>
  <c r="A643" i="2"/>
  <c r="I643" i="2" s="1"/>
  <c r="L642" i="2"/>
  <c r="K642" i="2"/>
  <c r="J642" i="2"/>
  <c r="G642" i="2"/>
  <c r="F642" i="2"/>
  <c r="D642" i="2"/>
  <c r="C642" i="2"/>
  <c r="B642" i="2"/>
  <c r="A642" i="2"/>
  <c r="I642" i="2" s="1"/>
  <c r="K641" i="2"/>
  <c r="H641" i="2"/>
  <c r="C641" i="2"/>
  <c r="A641" i="2"/>
  <c r="G641" i="2" s="1"/>
  <c r="M640" i="2"/>
  <c r="L640" i="2"/>
  <c r="H640" i="2"/>
  <c r="F640" i="2"/>
  <c r="E640" i="2"/>
  <c r="D640" i="2"/>
  <c r="A640" i="2"/>
  <c r="K640" i="2" s="1"/>
  <c r="M639" i="2"/>
  <c r="K639" i="2"/>
  <c r="J639" i="2"/>
  <c r="E639" i="2"/>
  <c r="C639" i="2"/>
  <c r="B639" i="2"/>
  <c r="A639" i="2"/>
  <c r="I639" i="2" s="1"/>
  <c r="M638" i="2"/>
  <c r="K638" i="2"/>
  <c r="J638" i="2"/>
  <c r="H638" i="2"/>
  <c r="G638" i="2"/>
  <c r="F638" i="2"/>
  <c r="E638" i="2"/>
  <c r="C638" i="2"/>
  <c r="B638" i="2"/>
  <c r="A638" i="2"/>
  <c r="L638" i="2" s="1"/>
  <c r="M637" i="2"/>
  <c r="L637" i="2"/>
  <c r="K637" i="2"/>
  <c r="J637" i="2"/>
  <c r="H637" i="2"/>
  <c r="G637" i="2"/>
  <c r="F637" i="2"/>
  <c r="E637" i="2"/>
  <c r="D637" i="2"/>
  <c r="C637" i="2"/>
  <c r="B637" i="2"/>
  <c r="A637" i="2"/>
  <c r="I637" i="2" s="1"/>
  <c r="I636" i="2"/>
  <c r="D636" i="2"/>
  <c r="A636" i="2"/>
  <c r="A635" i="2"/>
  <c r="F635" i="2" s="1"/>
  <c r="L634" i="2"/>
  <c r="K634" i="2"/>
  <c r="J634" i="2"/>
  <c r="G634" i="2"/>
  <c r="F634" i="2"/>
  <c r="D634" i="2"/>
  <c r="C634" i="2"/>
  <c r="B634" i="2"/>
  <c r="A634" i="2"/>
  <c r="I634" i="2" s="1"/>
  <c r="K633" i="2"/>
  <c r="H633" i="2"/>
  <c r="C633" i="2"/>
  <c r="A633" i="2"/>
  <c r="G633" i="2" s="1"/>
  <c r="M632" i="2"/>
  <c r="L632" i="2"/>
  <c r="H632" i="2"/>
  <c r="F632" i="2"/>
  <c r="E632" i="2"/>
  <c r="D632" i="2"/>
  <c r="A632" i="2"/>
  <c r="K632" i="2" s="1"/>
  <c r="M631" i="2"/>
  <c r="K631" i="2"/>
  <c r="J631" i="2"/>
  <c r="E631" i="2"/>
  <c r="C631" i="2"/>
  <c r="B631" i="2"/>
  <c r="A631" i="2"/>
  <c r="I631" i="2" s="1"/>
  <c r="M630" i="2"/>
  <c r="K630" i="2"/>
  <c r="J630" i="2"/>
  <c r="H630" i="2"/>
  <c r="G630" i="2"/>
  <c r="F630" i="2"/>
  <c r="E630" i="2"/>
  <c r="C630" i="2"/>
  <c r="B630" i="2"/>
  <c r="A630" i="2"/>
  <c r="L630" i="2" s="1"/>
  <c r="M629" i="2"/>
  <c r="L629" i="2"/>
  <c r="K629" i="2"/>
  <c r="J629" i="2"/>
  <c r="H629" i="2"/>
  <c r="G629" i="2"/>
  <c r="E629" i="2"/>
  <c r="D629" i="2"/>
  <c r="C629" i="2"/>
  <c r="B629" i="2"/>
  <c r="A629" i="2"/>
  <c r="I629" i="2" s="1"/>
  <c r="A628" i="2"/>
  <c r="A627" i="2"/>
  <c r="I627" i="2" s="1"/>
  <c r="L626" i="2"/>
  <c r="K626" i="2"/>
  <c r="J626" i="2"/>
  <c r="G626" i="2"/>
  <c r="F626" i="2"/>
  <c r="D626" i="2"/>
  <c r="C626" i="2"/>
  <c r="B626" i="2"/>
  <c r="A626" i="2"/>
  <c r="I626" i="2" s="1"/>
  <c r="K625" i="2"/>
  <c r="H625" i="2"/>
  <c r="C625" i="2"/>
  <c r="A625" i="2"/>
  <c r="G625" i="2" s="1"/>
  <c r="M624" i="2"/>
  <c r="L624" i="2"/>
  <c r="H624" i="2"/>
  <c r="F624" i="2"/>
  <c r="E624" i="2"/>
  <c r="D624" i="2"/>
  <c r="A624" i="2"/>
  <c r="K624" i="2" s="1"/>
  <c r="M623" i="2"/>
  <c r="K623" i="2"/>
  <c r="J623" i="2"/>
  <c r="E623" i="2"/>
  <c r="C623" i="2"/>
  <c r="B623" i="2"/>
  <c r="A623" i="2"/>
  <c r="I623" i="2" s="1"/>
  <c r="M622" i="2"/>
  <c r="K622" i="2"/>
  <c r="J622" i="2"/>
  <c r="H622" i="2"/>
  <c r="G622" i="2"/>
  <c r="F622" i="2"/>
  <c r="E622" i="2"/>
  <c r="C622" i="2"/>
  <c r="B622" i="2"/>
  <c r="A622" i="2"/>
  <c r="L622" i="2" s="1"/>
  <c r="M621" i="2"/>
  <c r="L621" i="2"/>
  <c r="K621" i="2"/>
  <c r="J621" i="2"/>
  <c r="H621" i="2"/>
  <c r="G621" i="2"/>
  <c r="E621" i="2"/>
  <c r="D621" i="2"/>
  <c r="C621" i="2"/>
  <c r="B621" i="2"/>
  <c r="A621" i="2"/>
  <c r="I621" i="2" s="1"/>
  <c r="L620" i="2"/>
  <c r="A620" i="2"/>
  <c r="I619" i="2"/>
  <c r="A619" i="2"/>
  <c r="L618" i="2"/>
  <c r="K618" i="2"/>
  <c r="J618" i="2"/>
  <c r="G618" i="2"/>
  <c r="F618" i="2"/>
  <c r="D618" i="2"/>
  <c r="C618" i="2"/>
  <c r="B618" i="2"/>
  <c r="A618" i="2"/>
  <c r="I618" i="2" s="1"/>
  <c r="K617" i="2"/>
  <c r="H617" i="2"/>
  <c r="C617" i="2"/>
  <c r="A617" i="2"/>
  <c r="G617" i="2" s="1"/>
  <c r="M616" i="2"/>
  <c r="L616" i="2"/>
  <c r="H616" i="2"/>
  <c r="F616" i="2"/>
  <c r="E616" i="2"/>
  <c r="D616" i="2"/>
  <c r="A616" i="2"/>
  <c r="K616" i="2" s="1"/>
  <c r="M615" i="2"/>
  <c r="K615" i="2"/>
  <c r="J615" i="2"/>
  <c r="E615" i="2"/>
  <c r="C615" i="2"/>
  <c r="B615" i="2"/>
  <c r="A615" i="2"/>
  <c r="I615" i="2" s="1"/>
  <c r="M614" i="2"/>
  <c r="K614" i="2"/>
  <c r="J614" i="2"/>
  <c r="H614" i="2"/>
  <c r="G614" i="2"/>
  <c r="F614" i="2"/>
  <c r="E614" i="2"/>
  <c r="C614" i="2"/>
  <c r="B614" i="2"/>
  <c r="A614" i="2"/>
  <c r="L614" i="2" s="1"/>
  <c r="M613" i="2"/>
  <c r="L613" i="2"/>
  <c r="K613" i="2"/>
  <c r="J613" i="2"/>
  <c r="H613" i="2"/>
  <c r="G613" i="2"/>
  <c r="E613" i="2"/>
  <c r="D613" i="2"/>
  <c r="C613" i="2"/>
  <c r="B613" i="2"/>
  <c r="A613" i="2"/>
  <c r="I613" i="2" s="1"/>
  <c r="L612" i="2"/>
  <c r="I612" i="2"/>
  <c r="A612" i="2"/>
  <c r="I611" i="2"/>
  <c r="F611" i="2"/>
  <c r="A611" i="2"/>
  <c r="L610" i="2"/>
  <c r="K610" i="2"/>
  <c r="J610" i="2"/>
  <c r="G610" i="2"/>
  <c r="F610" i="2"/>
  <c r="D610" i="2"/>
  <c r="C610" i="2"/>
  <c r="B610" i="2"/>
  <c r="A610" i="2"/>
  <c r="I610" i="2" s="1"/>
  <c r="K609" i="2"/>
  <c r="H609" i="2"/>
  <c r="C609" i="2"/>
  <c r="A609" i="2"/>
  <c r="G609" i="2" s="1"/>
  <c r="M608" i="2"/>
  <c r="L608" i="2"/>
  <c r="H608" i="2"/>
  <c r="F608" i="2"/>
  <c r="E608" i="2"/>
  <c r="D608" i="2"/>
  <c r="A608" i="2"/>
  <c r="K608" i="2" s="1"/>
  <c r="M607" i="2"/>
  <c r="K607" i="2"/>
  <c r="J607" i="2"/>
  <c r="E607" i="2"/>
  <c r="C607" i="2"/>
  <c r="B607" i="2"/>
  <c r="A607" i="2"/>
  <c r="I607" i="2" s="1"/>
  <c r="M606" i="2"/>
  <c r="L606" i="2"/>
  <c r="K606" i="2"/>
  <c r="J606" i="2"/>
  <c r="H606" i="2"/>
  <c r="G606" i="2"/>
  <c r="F606" i="2"/>
  <c r="E606" i="2"/>
  <c r="D606" i="2"/>
  <c r="C606" i="2"/>
  <c r="B606" i="2"/>
  <c r="A606" i="2"/>
  <c r="I606" i="2" s="1"/>
  <c r="M605" i="2"/>
  <c r="L605" i="2"/>
  <c r="K605" i="2"/>
  <c r="J605" i="2"/>
  <c r="H605" i="2"/>
  <c r="G605" i="2"/>
  <c r="E605" i="2"/>
  <c r="D605" i="2"/>
  <c r="C605" i="2"/>
  <c r="B605" i="2"/>
  <c r="A605" i="2"/>
  <c r="I605" i="2" s="1"/>
  <c r="L604" i="2"/>
  <c r="A604" i="2"/>
  <c r="I603" i="2"/>
  <c r="A603" i="2"/>
  <c r="L602" i="2"/>
  <c r="K602" i="2"/>
  <c r="J602" i="2"/>
  <c r="G602" i="2"/>
  <c r="F602" i="2"/>
  <c r="D602" i="2"/>
  <c r="C602" i="2"/>
  <c r="B602" i="2"/>
  <c r="A602" i="2"/>
  <c r="I602" i="2" s="1"/>
  <c r="K601" i="2"/>
  <c r="H601" i="2"/>
  <c r="C601" i="2"/>
  <c r="A601" i="2"/>
  <c r="G601" i="2" s="1"/>
  <c r="M600" i="2"/>
  <c r="L600" i="2"/>
  <c r="H600" i="2"/>
  <c r="F600" i="2"/>
  <c r="E600" i="2"/>
  <c r="D600" i="2"/>
  <c r="A600" i="2"/>
  <c r="K600" i="2" s="1"/>
  <c r="M599" i="2"/>
  <c r="K599" i="2"/>
  <c r="J599" i="2"/>
  <c r="E599" i="2"/>
  <c r="C599" i="2"/>
  <c r="B599" i="2"/>
  <c r="A599" i="2"/>
  <c r="I599" i="2" s="1"/>
  <c r="M598" i="2"/>
  <c r="L598" i="2"/>
  <c r="K598" i="2"/>
  <c r="J598" i="2"/>
  <c r="H598" i="2"/>
  <c r="G598" i="2"/>
  <c r="F598" i="2"/>
  <c r="E598" i="2"/>
  <c r="D598" i="2"/>
  <c r="C598" i="2"/>
  <c r="B598" i="2"/>
  <c r="A598" i="2"/>
  <c r="I598" i="2" s="1"/>
  <c r="M597" i="2"/>
  <c r="L597" i="2"/>
  <c r="K597" i="2"/>
  <c r="J597" i="2"/>
  <c r="H597" i="2"/>
  <c r="G597" i="2"/>
  <c r="E597" i="2"/>
  <c r="D597" i="2"/>
  <c r="C597" i="2"/>
  <c r="B597" i="2"/>
  <c r="A597" i="2"/>
  <c r="I597" i="2" s="1"/>
  <c r="A596" i="2"/>
  <c r="A595" i="2"/>
  <c r="F595" i="2" s="1"/>
  <c r="L594" i="2"/>
  <c r="K594" i="2"/>
  <c r="J594" i="2"/>
  <c r="G594" i="2"/>
  <c r="F594" i="2"/>
  <c r="D594" i="2"/>
  <c r="C594" i="2"/>
  <c r="B594" i="2"/>
  <c r="A594" i="2"/>
  <c r="I594" i="2" s="1"/>
  <c r="K593" i="2"/>
  <c r="H593" i="2"/>
  <c r="C593" i="2"/>
  <c r="A593" i="2"/>
  <c r="G593" i="2" s="1"/>
  <c r="M592" i="2"/>
  <c r="L592" i="2"/>
  <c r="H592" i="2"/>
  <c r="F592" i="2"/>
  <c r="E592" i="2"/>
  <c r="D592" i="2"/>
  <c r="A592" i="2"/>
  <c r="K592" i="2" s="1"/>
  <c r="M591" i="2"/>
  <c r="K591" i="2"/>
  <c r="J591" i="2"/>
  <c r="E591" i="2"/>
  <c r="C591" i="2"/>
  <c r="B591" i="2"/>
  <c r="A591" i="2"/>
  <c r="I591" i="2" s="1"/>
  <c r="M590" i="2"/>
  <c r="L590" i="2"/>
  <c r="K590" i="2"/>
  <c r="J590" i="2"/>
  <c r="H590" i="2"/>
  <c r="G590" i="2"/>
  <c r="F590" i="2"/>
  <c r="E590" i="2"/>
  <c r="D590" i="2"/>
  <c r="C590" i="2"/>
  <c r="B590" i="2"/>
  <c r="A590" i="2"/>
  <c r="I590" i="2" s="1"/>
  <c r="M589" i="2"/>
  <c r="L589" i="2"/>
  <c r="K589" i="2"/>
  <c r="J589" i="2"/>
  <c r="H589" i="2"/>
  <c r="G589" i="2"/>
  <c r="E589" i="2"/>
  <c r="D589" i="2"/>
  <c r="C589" i="2"/>
  <c r="B589" i="2"/>
  <c r="A589" i="2"/>
  <c r="I589" i="2" s="1"/>
  <c r="I588" i="2"/>
  <c r="D588" i="2"/>
  <c r="A588" i="2"/>
  <c r="A587" i="2"/>
  <c r="L586" i="2"/>
  <c r="K586" i="2"/>
  <c r="J586" i="2"/>
  <c r="G586" i="2"/>
  <c r="F586" i="2"/>
  <c r="D586" i="2"/>
  <c r="C586" i="2"/>
  <c r="B586" i="2"/>
  <c r="A586" i="2"/>
  <c r="I586" i="2" s="1"/>
  <c r="K585" i="2"/>
  <c r="H585" i="2"/>
  <c r="C585" i="2"/>
  <c r="A585" i="2"/>
  <c r="G585" i="2" s="1"/>
  <c r="M584" i="2"/>
  <c r="L584" i="2"/>
  <c r="H584" i="2"/>
  <c r="F584" i="2"/>
  <c r="E584" i="2"/>
  <c r="D584" i="2"/>
  <c r="A584" i="2"/>
  <c r="K584" i="2" s="1"/>
  <c r="M583" i="2"/>
  <c r="K583" i="2"/>
  <c r="J583" i="2"/>
  <c r="E583" i="2"/>
  <c r="C583" i="2"/>
  <c r="B583" i="2"/>
  <c r="A583" i="2"/>
  <c r="I583" i="2" s="1"/>
  <c r="M582" i="2"/>
  <c r="L582" i="2"/>
  <c r="K582" i="2"/>
  <c r="J582" i="2"/>
  <c r="H582" i="2"/>
  <c r="G582" i="2"/>
  <c r="F582" i="2"/>
  <c r="E582" i="2"/>
  <c r="D582" i="2"/>
  <c r="C582" i="2"/>
  <c r="B582" i="2"/>
  <c r="A582" i="2"/>
  <c r="I582" i="2" s="1"/>
  <c r="M581" i="2"/>
  <c r="L581" i="2"/>
  <c r="K581" i="2"/>
  <c r="J581" i="2"/>
  <c r="H581" i="2"/>
  <c r="G581" i="2"/>
  <c r="E581" i="2"/>
  <c r="D581" i="2"/>
  <c r="C581" i="2"/>
  <c r="B581" i="2"/>
  <c r="A581" i="2"/>
  <c r="I581" i="2" s="1"/>
  <c r="L580" i="2"/>
  <c r="I580" i="2"/>
  <c r="A580" i="2"/>
  <c r="I579" i="2"/>
  <c r="F579" i="2"/>
  <c r="A579" i="2"/>
  <c r="L578" i="2"/>
  <c r="K578" i="2"/>
  <c r="J578" i="2"/>
  <c r="G578" i="2"/>
  <c r="F578" i="2"/>
  <c r="D578" i="2"/>
  <c r="C578" i="2"/>
  <c r="B578" i="2"/>
  <c r="A578" i="2"/>
  <c r="I578" i="2" s="1"/>
  <c r="K577" i="2"/>
  <c r="H577" i="2"/>
  <c r="C577" i="2"/>
  <c r="A577" i="2"/>
  <c r="G577" i="2" s="1"/>
  <c r="M576" i="2"/>
  <c r="L576" i="2"/>
  <c r="H576" i="2"/>
  <c r="F576" i="2"/>
  <c r="E576" i="2"/>
  <c r="D576" i="2"/>
  <c r="A576" i="2"/>
  <c r="K576" i="2" s="1"/>
  <c r="M575" i="2"/>
  <c r="K575" i="2"/>
  <c r="J575" i="2"/>
  <c r="E575" i="2"/>
  <c r="C575" i="2"/>
  <c r="B575" i="2"/>
  <c r="A575" i="2"/>
  <c r="I575" i="2" s="1"/>
  <c r="M574" i="2"/>
  <c r="L574" i="2"/>
  <c r="K574" i="2"/>
  <c r="J574" i="2"/>
  <c r="H574" i="2"/>
  <c r="G574" i="2"/>
  <c r="F574" i="2"/>
  <c r="E574" i="2"/>
  <c r="D574" i="2"/>
  <c r="C574" i="2"/>
  <c r="B574" i="2"/>
  <c r="A574" i="2"/>
  <c r="I574" i="2" s="1"/>
  <c r="M573" i="2"/>
  <c r="L573" i="2"/>
  <c r="K573" i="2"/>
  <c r="J573" i="2"/>
  <c r="H573" i="2"/>
  <c r="G573" i="2"/>
  <c r="E573" i="2"/>
  <c r="D573" i="2"/>
  <c r="C573" i="2"/>
  <c r="B573" i="2"/>
  <c r="A573" i="2"/>
  <c r="I573" i="2" s="1"/>
  <c r="A572" i="2"/>
  <c r="L572" i="2" s="1"/>
  <c r="I571" i="2"/>
  <c r="A571" i="2"/>
  <c r="L570" i="2"/>
  <c r="K570" i="2"/>
  <c r="J570" i="2"/>
  <c r="G570" i="2"/>
  <c r="F570" i="2"/>
  <c r="D570" i="2"/>
  <c r="C570" i="2"/>
  <c r="B570" i="2"/>
  <c r="A570" i="2"/>
  <c r="I570" i="2" s="1"/>
  <c r="K569" i="2"/>
  <c r="H569" i="2"/>
  <c r="C569" i="2"/>
  <c r="A569" i="2"/>
  <c r="G569" i="2" s="1"/>
  <c r="M568" i="2"/>
  <c r="L568" i="2"/>
  <c r="H568" i="2"/>
  <c r="F568" i="2"/>
  <c r="E568" i="2"/>
  <c r="D568" i="2"/>
  <c r="A568" i="2"/>
  <c r="K568" i="2" s="1"/>
  <c r="M567" i="2"/>
  <c r="K567" i="2"/>
  <c r="J567" i="2"/>
  <c r="E567" i="2"/>
  <c r="C567" i="2"/>
  <c r="B567" i="2"/>
  <c r="A567" i="2"/>
  <c r="I567" i="2" s="1"/>
  <c r="M566" i="2"/>
  <c r="L566" i="2"/>
  <c r="K566" i="2"/>
  <c r="J566" i="2"/>
  <c r="H566" i="2"/>
  <c r="G566" i="2"/>
  <c r="F566" i="2"/>
  <c r="E566" i="2"/>
  <c r="D566" i="2"/>
  <c r="C566" i="2"/>
  <c r="B566" i="2"/>
  <c r="A566" i="2"/>
  <c r="I566" i="2" s="1"/>
  <c r="M565" i="2"/>
  <c r="L565" i="2"/>
  <c r="K565" i="2"/>
  <c r="J565" i="2"/>
  <c r="H565" i="2"/>
  <c r="G565" i="2"/>
  <c r="E565" i="2"/>
  <c r="D565" i="2"/>
  <c r="C565" i="2"/>
  <c r="B565" i="2"/>
  <c r="A565" i="2"/>
  <c r="I565" i="2" s="1"/>
  <c r="A564" i="2"/>
  <c r="L564" i="2" s="1"/>
  <c r="A563" i="2"/>
  <c r="L562" i="2"/>
  <c r="K562" i="2"/>
  <c r="J562" i="2"/>
  <c r="G562" i="2"/>
  <c r="F562" i="2"/>
  <c r="D562" i="2"/>
  <c r="C562" i="2"/>
  <c r="B562" i="2"/>
  <c r="A562" i="2"/>
  <c r="I562" i="2" s="1"/>
  <c r="K561" i="2"/>
  <c r="H561" i="2"/>
  <c r="C561" i="2"/>
  <c r="A561" i="2"/>
  <c r="G561" i="2" s="1"/>
  <c r="M560" i="2"/>
  <c r="L560" i="2"/>
  <c r="H560" i="2"/>
  <c r="F560" i="2"/>
  <c r="E560" i="2"/>
  <c r="D560" i="2"/>
  <c r="A560" i="2"/>
  <c r="K560" i="2" s="1"/>
  <c r="M559" i="2"/>
  <c r="K559" i="2"/>
  <c r="J559" i="2"/>
  <c r="E559" i="2"/>
  <c r="C559" i="2"/>
  <c r="B559" i="2"/>
  <c r="A559" i="2"/>
  <c r="I559" i="2" s="1"/>
  <c r="M558" i="2"/>
  <c r="L558" i="2"/>
  <c r="K558" i="2"/>
  <c r="J558" i="2"/>
  <c r="H558" i="2"/>
  <c r="G558" i="2"/>
  <c r="F558" i="2"/>
  <c r="E558" i="2"/>
  <c r="D558" i="2"/>
  <c r="C558" i="2"/>
  <c r="B558" i="2"/>
  <c r="A558" i="2"/>
  <c r="I558" i="2" s="1"/>
  <c r="M557" i="2"/>
  <c r="L557" i="2"/>
  <c r="K557" i="2"/>
  <c r="J557" i="2"/>
  <c r="H557" i="2"/>
  <c r="G557" i="2"/>
  <c r="E557" i="2"/>
  <c r="D557" i="2"/>
  <c r="C557" i="2"/>
  <c r="B557" i="2"/>
  <c r="A557" i="2"/>
  <c r="I557" i="2" s="1"/>
  <c r="L556" i="2"/>
  <c r="I556" i="2"/>
  <c r="D556" i="2"/>
  <c r="A556" i="2"/>
  <c r="A555" i="2"/>
  <c r="L554" i="2"/>
  <c r="K554" i="2"/>
  <c r="J554" i="2"/>
  <c r="G554" i="2"/>
  <c r="F554" i="2"/>
  <c r="D554" i="2"/>
  <c r="C554" i="2"/>
  <c r="B554" i="2"/>
  <c r="A554" i="2"/>
  <c r="I554" i="2" s="1"/>
  <c r="K553" i="2"/>
  <c r="H553" i="2"/>
  <c r="C553" i="2"/>
  <c r="A553" i="2"/>
  <c r="G553" i="2" s="1"/>
  <c r="M552" i="2"/>
  <c r="L552" i="2"/>
  <c r="H552" i="2"/>
  <c r="F552" i="2"/>
  <c r="E552" i="2"/>
  <c r="D552" i="2"/>
  <c r="A552" i="2"/>
  <c r="K552" i="2" s="1"/>
  <c r="M551" i="2"/>
  <c r="K551" i="2"/>
  <c r="J551" i="2"/>
  <c r="E551" i="2"/>
  <c r="C551" i="2"/>
  <c r="B551" i="2"/>
  <c r="A551" i="2"/>
  <c r="I551" i="2" s="1"/>
  <c r="M550" i="2"/>
  <c r="L550" i="2"/>
  <c r="K550" i="2"/>
  <c r="J550" i="2"/>
  <c r="H550" i="2"/>
  <c r="G550" i="2"/>
  <c r="F550" i="2"/>
  <c r="E550" i="2"/>
  <c r="D550" i="2"/>
  <c r="C550" i="2"/>
  <c r="B550" i="2"/>
  <c r="A550" i="2"/>
  <c r="I550" i="2" s="1"/>
  <c r="M549" i="2"/>
  <c r="L549" i="2"/>
  <c r="K549" i="2"/>
  <c r="J549" i="2"/>
  <c r="H549" i="2"/>
  <c r="G549" i="2"/>
  <c r="E549" i="2"/>
  <c r="D549" i="2"/>
  <c r="C549" i="2"/>
  <c r="B549" i="2"/>
  <c r="A549" i="2"/>
  <c r="I549" i="2" s="1"/>
  <c r="L548" i="2"/>
  <c r="I548" i="2"/>
  <c r="A548" i="2"/>
  <c r="I547" i="2"/>
  <c r="F547" i="2"/>
  <c r="A547" i="2"/>
  <c r="L546" i="2"/>
  <c r="K546" i="2"/>
  <c r="J546" i="2"/>
  <c r="G546" i="2"/>
  <c r="F546" i="2"/>
  <c r="D546" i="2"/>
  <c r="C546" i="2"/>
  <c r="B546" i="2"/>
  <c r="A546" i="2"/>
  <c r="I546" i="2" s="1"/>
  <c r="K545" i="2"/>
  <c r="H545" i="2"/>
  <c r="C545" i="2"/>
  <c r="A545" i="2"/>
  <c r="G545" i="2" s="1"/>
  <c r="M544" i="2"/>
  <c r="L544" i="2"/>
  <c r="H544" i="2"/>
  <c r="F544" i="2"/>
  <c r="E544" i="2"/>
  <c r="D544" i="2"/>
  <c r="A544" i="2"/>
  <c r="K544" i="2" s="1"/>
  <c r="M543" i="2"/>
  <c r="K543" i="2"/>
  <c r="J543" i="2"/>
  <c r="E543" i="2"/>
  <c r="C543" i="2"/>
  <c r="B543" i="2"/>
  <c r="A543" i="2"/>
  <c r="I543" i="2" s="1"/>
  <c r="M542" i="2"/>
  <c r="L542" i="2"/>
  <c r="K542" i="2"/>
  <c r="J542" i="2"/>
  <c r="H542" i="2"/>
  <c r="G542" i="2"/>
  <c r="F542" i="2"/>
  <c r="E542" i="2"/>
  <c r="D542" i="2"/>
  <c r="C542" i="2"/>
  <c r="B542" i="2"/>
  <c r="A542" i="2"/>
  <c r="I542" i="2" s="1"/>
  <c r="M541" i="2"/>
  <c r="L541" i="2"/>
  <c r="K541" i="2"/>
  <c r="J541" i="2"/>
  <c r="H541" i="2"/>
  <c r="G541" i="2"/>
  <c r="E541" i="2"/>
  <c r="D541" i="2"/>
  <c r="C541" i="2"/>
  <c r="B541" i="2"/>
  <c r="A541" i="2"/>
  <c r="I541" i="2" s="1"/>
  <c r="L540" i="2"/>
  <c r="A540" i="2"/>
  <c r="I539" i="2"/>
  <c r="A539" i="2"/>
  <c r="L538" i="2"/>
  <c r="K538" i="2"/>
  <c r="J538" i="2"/>
  <c r="G538" i="2"/>
  <c r="F538" i="2"/>
  <c r="D538" i="2"/>
  <c r="C538" i="2"/>
  <c r="B538" i="2"/>
  <c r="A538" i="2"/>
  <c r="I538" i="2" s="1"/>
  <c r="K537" i="2"/>
  <c r="H537" i="2"/>
  <c r="C537" i="2"/>
  <c r="A537" i="2"/>
  <c r="G537" i="2" s="1"/>
  <c r="M536" i="2"/>
  <c r="L536" i="2"/>
  <c r="H536" i="2"/>
  <c r="F536" i="2"/>
  <c r="E536" i="2"/>
  <c r="D536" i="2"/>
  <c r="A536" i="2"/>
  <c r="K536" i="2" s="1"/>
  <c r="M535" i="2"/>
  <c r="K535" i="2"/>
  <c r="J535" i="2"/>
  <c r="E535" i="2"/>
  <c r="C535" i="2"/>
  <c r="B535" i="2"/>
  <c r="A535" i="2"/>
  <c r="I535" i="2" s="1"/>
  <c r="M534" i="2"/>
  <c r="L534" i="2"/>
  <c r="K534" i="2"/>
  <c r="J534" i="2"/>
  <c r="H534" i="2"/>
  <c r="G534" i="2"/>
  <c r="F534" i="2"/>
  <c r="E534" i="2"/>
  <c r="D534" i="2"/>
  <c r="C534" i="2"/>
  <c r="B534" i="2"/>
  <c r="A534" i="2"/>
  <c r="I534" i="2" s="1"/>
  <c r="M533" i="2"/>
  <c r="L533" i="2"/>
  <c r="K533" i="2"/>
  <c r="J533" i="2"/>
  <c r="H533" i="2"/>
  <c r="G533" i="2"/>
  <c r="E533" i="2"/>
  <c r="D533" i="2"/>
  <c r="C533" i="2"/>
  <c r="B533" i="2"/>
  <c r="A533" i="2"/>
  <c r="I533" i="2" s="1"/>
  <c r="A532" i="2"/>
  <c r="A531" i="2"/>
  <c r="I531" i="2" s="1"/>
  <c r="L530" i="2"/>
  <c r="K530" i="2"/>
  <c r="J530" i="2"/>
  <c r="G530" i="2"/>
  <c r="F530" i="2"/>
  <c r="D530" i="2"/>
  <c r="C530" i="2"/>
  <c r="B530" i="2"/>
  <c r="A530" i="2"/>
  <c r="I530" i="2" s="1"/>
  <c r="K529" i="2"/>
  <c r="H529" i="2"/>
  <c r="C529" i="2"/>
  <c r="A529" i="2"/>
  <c r="G529" i="2" s="1"/>
  <c r="M528" i="2"/>
  <c r="L528" i="2"/>
  <c r="H528" i="2"/>
  <c r="F528" i="2"/>
  <c r="E528" i="2"/>
  <c r="D528" i="2"/>
  <c r="A528" i="2"/>
  <c r="K528" i="2" s="1"/>
  <c r="M527" i="2"/>
  <c r="K527" i="2"/>
  <c r="J527" i="2"/>
  <c r="E527" i="2"/>
  <c r="C527" i="2"/>
  <c r="B527" i="2"/>
  <c r="A527" i="2"/>
  <c r="I527" i="2" s="1"/>
  <c r="M526" i="2"/>
  <c r="L526" i="2"/>
  <c r="K526" i="2"/>
  <c r="J526" i="2"/>
  <c r="H526" i="2"/>
  <c r="G526" i="2"/>
  <c r="F526" i="2"/>
  <c r="E526" i="2"/>
  <c r="D526" i="2"/>
  <c r="C526" i="2"/>
  <c r="B526" i="2"/>
  <c r="A526" i="2"/>
  <c r="I526" i="2" s="1"/>
  <c r="M525" i="2"/>
  <c r="L525" i="2"/>
  <c r="K525" i="2"/>
  <c r="J525" i="2"/>
  <c r="H525" i="2"/>
  <c r="G525" i="2"/>
  <c r="E525" i="2"/>
  <c r="D525" i="2"/>
  <c r="C525" i="2"/>
  <c r="B525" i="2"/>
  <c r="A525" i="2"/>
  <c r="I525" i="2" s="1"/>
  <c r="A524" i="2"/>
  <c r="D524" i="2" s="1"/>
  <c r="I523" i="2"/>
  <c r="A523" i="2"/>
  <c r="L522" i="2"/>
  <c r="K522" i="2"/>
  <c r="J522" i="2"/>
  <c r="G522" i="2"/>
  <c r="F522" i="2"/>
  <c r="D522" i="2"/>
  <c r="C522" i="2"/>
  <c r="B522" i="2"/>
  <c r="A522" i="2"/>
  <c r="I522" i="2" s="1"/>
  <c r="K521" i="2"/>
  <c r="I521" i="2"/>
  <c r="H521" i="2"/>
  <c r="C521" i="2"/>
  <c r="A521" i="2"/>
  <c r="M520" i="2"/>
  <c r="L520" i="2"/>
  <c r="H520" i="2"/>
  <c r="F520" i="2"/>
  <c r="E520" i="2"/>
  <c r="D520" i="2"/>
  <c r="A520" i="2"/>
  <c r="K520" i="2" s="1"/>
  <c r="M519" i="2"/>
  <c r="K519" i="2"/>
  <c r="J519" i="2"/>
  <c r="E519" i="2"/>
  <c r="C519" i="2"/>
  <c r="B519" i="2"/>
  <c r="A519" i="2"/>
  <c r="I519" i="2" s="1"/>
  <c r="M518" i="2"/>
  <c r="L518" i="2"/>
  <c r="K518" i="2"/>
  <c r="J518" i="2"/>
  <c r="H518" i="2"/>
  <c r="G518" i="2"/>
  <c r="F518" i="2"/>
  <c r="E518" i="2"/>
  <c r="D518" i="2"/>
  <c r="C518" i="2"/>
  <c r="B518" i="2"/>
  <c r="A518" i="2"/>
  <c r="I518" i="2" s="1"/>
  <c r="M517" i="2"/>
  <c r="L517" i="2"/>
  <c r="K517" i="2"/>
  <c r="J517" i="2"/>
  <c r="H517" i="2"/>
  <c r="G517" i="2"/>
  <c r="E517" i="2"/>
  <c r="D517" i="2"/>
  <c r="C517" i="2"/>
  <c r="B517" i="2"/>
  <c r="A517" i="2"/>
  <c r="I517" i="2" s="1"/>
  <c r="L516" i="2"/>
  <c r="J516" i="2"/>
  <c r="A516" i="2"/>
  <c r="A515" i="2"/>
  <c r="I515" i="2" s="1"/>
  <c r="L514" i="2"/>
  <c r="K514" i="2"/>
  <c r="J514" i="2"/>
  <c r="G514" i="2"/>
  <c r="F514" i="2"/>
  <c r="D514" i="2"/>
  <c r="C514" i="2"/>
  <c r="B514" i="2"/>
  <c r="A514" i="2"/>
  <c r="I514" i="2" s="1"/>
  <c r="I513" i="2"/>
  <c r="H513" i="2"/>
  <c r="A513" i="2"/>
  <c r="M512" i="2"/>
  <c r="L512" i="2"/>
  <c r="H512" i="2"/>
  <c r="F512" i="2"/>
  <c r="E512" i="2"/>
  <c r="D512" i="2"/>
  <c r="A512" i="2"/>
  <c r="K512" i="2" s="1"/>
  <c r="M511" i="2"/>
  <c r="K511" i="2"/>
  <c r="J511" i="2"/>
  <c r="E511" i="2"/>
  <c r="C511" i="2"/>
  <c r="B511" i="2"/>
  <c r="A511" i="2"/>
  <c r="I511" i="2" s="1"/>
  <c r="M510" i="2"/>
  <c r="L510" i="2"/>
  <c r="K510" i="2"/>
  <c r="J510" i="2"/>
  <c r="H510" i="2"/>
  <c r="G510" i="2"/>
  <c r="F510" i="2"/>
  <c r="E510" i="2"/>
  <c r="D510" i="2"/>
  <c r="C510" i="2"/>
  <c r="B510" i="2"/>
  <c r="A510" i="2"/>
  <c r="I510" i="2" s="1"/>
  <c r="M509" i="2"/>
  <c r="L509" i="2"/>
  <c r="K509" i="2"/>
  <c r="J509" i="2"/>
  <c r="H509" i="2"/>
  <c r="G509" i="2"/>
  <c r="E509" i="2"/>
  <c r="D509" i="2"/>
  <c r="C509" i="2"/>
  <c r="B509" i="2"/>
  <c r="A509" i="2"/>
  <c r="I509" i="2" s="1"/>
  <c r="L508" i="2"/>
  <c r="J508" i="2"/>
  <c r="I508" i="2"/>
  <c r="D508" i="2"/>
  <c r="B508" i="2"/>
  <c r="A508" i="2"/>
  <c r="I507" i="2"/>
  <c r="G507" i="2"/>
  <c r="F507" i="2"/>
  <c r="A507" i="2"/>
  <c r="L506" i="2"/>
  <c r="K506" i="2"/>
  <c r="J506" i="2"/>
  <c r="G506" i="2"/>
  <c r="F506" i="2"/>
  <c r="D506" i="2"/>
  <c r="C506" i="2"/>
  <c r="B506" i="2"/>
  <c r="A506" i="2"/>
  <c r="I506" i="2" s="1"/>
  <c r="K505" i="2"/>
  <c r="I505" i="2"/>
  <c r="A505" i="2"/>
  <c r="M504" i="2"/>
  <c r="L504" i="2"/>
  <c r="H504" i="2"/>
  <c r="F504" i="2"/>
  <c r="E504" i="2"/>
  <c r="D504" i="2"/>
  <c r="A504" i="2"/>
  <c r="K504" i="2" s="1"/>
  <c r="M503" i="2"/>
  <c r="K503" i="2"/>
  <c r="J503" i="2"/>
  <c r="E503" i="2"/>
  <c r="C503" i="2"/>
  <c r="B503" i="2"/>
  <c r="A503" i="2"/>
  <c r="I503" i="2" s="1"/>
  <c r="M502" i="2"/>
  <c r="L502" i="2"/>
  <c r="K502" i="2"/>
  <c r="J502" i="2"/>
  <c r="H502" i="2"/>
  <c r="G502" i="2"/>
  <c r="F502" i="2"/>
  <c r="E502" i="2"/>
  <c r="D502" i="2"/>
  <c r="C502" i="2"/>
  <c r="B502" i="2"/>
  <c r="A502" i="2"/>
  <c r="I502" i="2" s="1"/>
  <c r="M501" i="2"/>
  <c r="L501" i="2"/>
  <c r="K501" i="2"/>
  <c r="J501" i="2"/>
  <c r="H501" i="2"/>
  <c r="G501" i="2"/>
  <c r="E501" i="2"/>
  <c r="D501" i="2"/>
  <c r="C501" i="2"/>
  <c r="B501" i="2"/>
  <c r="A501" i="2"/>
  <c r="I501" i="2" s="1"/>
  <c r="D500" i="2"/>
  <c r="A500" i="2"/>
  <c r="I499" i="2"/>
  <c r="G499" i="2"/>
  <c r="A499" i="2"/>
  <c r="L498" i="2"/>
  <c r="K498" i="2"/>
  <c r="J498" i="2"/>
  <c r="G498" i="2"/>
  <c r="F498" i="2"/>
  <c r="D498" i="2"/>
  <c r="C498" i="2"/>
  <c r="B498" i="2"/>
  <c r="A498" i="2"/>
  <c r="I498" i="2" s="1"/>
  <c r="A497" i="2"/>
  <c r="K497" i="2" s="1"/>
  <c r="M496" i="2"/>
  <c r="L496" i="2"/>
  <c r="H496" i="2"/>
  <c r="F496" i="2"/>
  <c r="E496" i="2"/>
  <c r="D496" i="2"/>
  <c r="A496" i="2"/>
  <c r="K496" i="2" s="1"/>
  <c r="M495" i="2"/>
  <c r="K495" i="2"/>
  <c r="J495" i="2"/>
  <c r="E495" i="2"/>
  <c r="C495" i="2"/>
  <c r="B495" i="2"/>
  <c r="A495" i="2"/>
  <c r="I495" i="2" s="1"/>
  <c r="M494" i="2"/>
  <c r="L494" i="2"/>
  <c r="K494" i="2"/>
  <c r="J494" i="2"/>
  <c r="H494" i="2"/>
  <c r="G494" i="2"/>
  <c r="F494" i="2"/>
  <c r="E494" i="2"/>
  <c r="D494" i="2"/>
  <c r="C494" i="2"/>
  <c r="B494" i="2"/>
  <c r="A494" i="2"/>
  <c r="I494" i="2" s="1"/>
  <c r="M493" i="2"/>
  <c r="L493" i="2"/>
  <c r="K493" i="2"/>
  <c r="J493" i="2"/>
  <c r="H493" i="2"/>
  <c r="G493" i="2"/>
  <c r="E493" i="2"/>
  <c r="D493" i="2"/>
  <c r="C493" i="2"/>
  <c r="B493" i="2"/>
  <c r="A493" i="2"/>
  <c r="I493" i="2" s="1"/>
  <c r="J492" i="2"/>
  <c r="I492" i="2"/>
  <c r="B492" i="2"/>
  <c r="A492" i="2"/>
  <c r="L492" i="2" s="1"/>
  <c r="A491" i="2"/>
  <c r="I491" i="2" s="1"/>
  <c r="L490" i="2"/>
  <c r="K490" i="2"/>
  <c r="J490" i="2"/>
  <c r="G490" i="2"/>
  <c r="F490" i="2"/>
  <c r="D490" i="2"/>
  <c r="C490" i="2"/>
  <c r="B490" i="2"/>
  <c r="A490" i="2"/>
  <c r="I490" i="2" s="1"/>
  <c r="I489" i="2"/>
  <c r="H489" i="2"/>
  <c r="C489" i="2"/>
  <c r="A489" i="2"/>
  <c r="M488" i="2"/>
  <c r="L488" i="2"/>
  <c r="H488" i="2"/>
  <c r="F488" i="2"/>
  <c r="E488" i="2"/>
  <c r="D488" i="2"/>
  <c r="A488" i="2"/>
  <c r="K488" i="2" s="1"/>
  <c r="M487" i="2"/>
  <c r="K487" i="2"/>
  <c r="J487" i="2"/>
  <c r="E487" i="2"/>
  <c r="C487" i="2"/>
  <c r="B487" i="2"/>
  <c r="A487" i="2"/>
  <c r="I487" i="2" s="1"/>
  <c r="M486" i="2"/>
  <c r="L486" i="2"/>
  <c r="K486" i="2"/>
  <c r="J486" i="2"/>
  <c r="H486" i="2"/>
  <c r="G486" i="2"/>
  <c r="F486" i="2"/>
  <c r="E486" i="2"/>
  <c r="D486" i="2"/>
  <c r="C486" i="2"/>
  <c r="B486" i="2"/>
  <c r="A486" i="2"/>
  <c r="I486" i="2" s="1"/>
  <c r="M485" i="2"/>
  <c r="L485" i="2"/>
  <c r="K485" i="2"/>
  <c r="J485" i="2"/>
  <c r="H485" i="2"/>
  <c r="G485" i="2"/>
  <c r="E485" i="2"/>
  <c r="D485" i="2"/>
  <c r="C485" i="2"/>
  <c r="B485" i="2"/>
  <c r="A485" i="2"/>
  <c r="I485" i="2" s="1"/>
  <c r="A484" i="2"/>
  <c r="A483" i="2"/>
  <c r="L482" i="2"/>
  <c r="K482" i="2"/>
  <c r="J482" i="2"/>
  <c r="G482" i="2"/>
  <c r="F482" i="2"/>
  <c r="D482" i="2"/>
  <c r="C482" i="2"/>
  <c r="B482" i="2"/>
  <c r="A482" i="2"/>
  <c r="I482" i="2" s="1"/>
  <c r="I481" i="2"/>
  <c r="H481" i="2"/>
  <c r="A481" i="2"/>
  <c r="K481" i="2" s="1"/>
  <c r="M480" i="2"/>
  <c r="L480" i="2"/>
  <c r="H480" i="2"/>
  <c r="F480" i="2"/>
  <c r="E480" i="2"/>
  <c r="D480" i="2"/>
  <c r="A480" i="2"/>
  <c r="K480" i="2" s="1"/>
  <c r="M479" i="2"/>
  <c r="K479" i="2"/>
  <c r="J479" i="2"/>
  <c r="E479" i="2"/>
  <c r="C479" i="2"/>
  <c r="B479" i="2"/>
  <c r="A479" i="2"/>
  <c r="I479" i="2" s="1"/>
  <c r="M478" i="2"/>
  <c r="L478" i="2"/>
  <c r="K478" i="2"/>
  <c r="J478" i="2"/>
  <c r="H478" i="2"/>
  <c r="G478" i="2"/>
  <c r="F478" i="2"/>
  <c r="E478" i="2"/>
  <c r="D478" i="2"/>
  <c r="C478" i="2"/>
  <c r="B478" i="2"/>
  <c r="A478" i="2"/>
  <c r="I478" i="2" s="1"/>
  <c r="M477" i="2"/>
  <c r="L477" i="2"/>
  <c r="K477" i="2"/>
  <c r="J477" i="2"/>
  <c r="H477" i="2"/>
  <c r="G477" i="2"/>
  <c r="E477" i="2"/>
  <c r="D477" i="2"/>
  <c r="C477" i="2"/>
  <c r="B477" i="2"/>
  <c r="A477" i="2"/>
  <c r="I477" i="2" s="1"/>
  <c r="L476" i="2"/>
  <c r="I476" i="2"/>
  <c r="D476" i="2"/>
  <c r="B476" i="2"/>
  <c r="A476" i="2"/>
  <c r="I475" i="2"/>
  <c r="G475" i="2"/>
  <c r="F475" i="2"/>
  <c r="A475" i="2"/>
  <c r="L474" i="2"/>
  <c r="K474" i="2"/>
  <c r="J474" i="2"/>
  <c r="G474" i="2"/>
  <c r="F474" i="2"/>
  <c r="D474" i="2"/>
  <c r="C474" i="2"/>
  <c r="B474" i="2"/>
  <c r="A474" i="2"/>
  <c r="I474" i="2" s="1"/>
  <c r="A473" i="2"/>
  <c r="I473" i="2" s="1"/>
  <c r="M472" i="2"/>
  <c r="L472" i="2"/>
  <c r="H472" i="2"/>
  <c r="F472" i="2"/>
  <c r="E472" i="2"/>
  <c r="D472" i="2"/>
  <c r="A472" i="2"/>
  <c r="K472" i="2" s="1"/>
  <c r="M471" i="2"/>
  <c r="K471" i="2"/>
  <c r="J471" i="2"/>
  <c r="E471" i="2"/>
  <c r="C471" i="2"/>
  <c r="B471" i="2"/>
  <c r="A471" i="2"/>
  <c r="I471" i="2" s="1"/>
  <c r="M470" i="2"/>
  <c r="L470" i="2"/>
  <c r="K470" i="2"/>
  <c r="J470" i="2"/>
  <c r="H470" i="2"/>
  <c r="G470" i="2"/>
  <c r="F470" i="2"/>
  <c r="E470" i="2"/>
  <c r="D470" i="2"/>
  <c r="C470" i="2"/>
  <c r="B470" i="2"/>
  <c r="A470" i="2"/>
  <c r="I470" i="2" s="1"/>
  <c r="M469" i="2"/>
  <c r="L469" i="2"/>
  <c r="K469" i="2"/>
  <c r="J469" i="2"/>
  <c r="H469" i="2"/>
  <c r="G469" i="2"/>
  <c r="E469" i="2"/>
  <c r="D469" i="2"/>
  <c r="C469" i="2"/>
  <c r="B469" i="2"/>
  <c r="A469" i="2"/>
  <c r="I469" i="2" s="1"/>
  <c r="I468" i="2"/>
  <c r="H468" i="2"/>
  <c r="B468" i="2"/>
  <c r="A468" i="2"/>
  <c r="L468" i="2" s="1"/>
  <c r="M467" i="2"/>
  <c r="I467" i="2"/>
  <c r="G467" i="2"/>
  <c r="F467" i="2"/>
  <c r="E467" i="2"/>
  <c r="A467" i="2"/>
  <c r="L466" i="2"/>
  <c r="K466" i="2"/>
  <c r="J466" i="2"/>
  <c r="G466" i="2"/>
  <c r="F466" i="2"/>
  <c r="D466" i="2"/>
  <c r="C466" i="2"/>
  <c r="B466" i="2"/>
  <c r="A466" i="2"/>
  <c r="I466" i="2" s="1"/>
  <c r="A465" i="2"/>
  <c r="K465" i="2" s="1"/>
  <c r="M464" i="2"/>
  <c r="L464" i="2"/>
  <c r="H464" i="2"/>
  <c r="F464" i="2"/>
  <c r="E464" i="2"/>
  <c r="D464" i="2"/>
  <c r="A464" i="2"/>
  <c r="K464" i="2" s="1"/>
  <c r="M463" i="2"/>
  <c r="A463" i="2"/>
  <c r="J463" i="2" s="1"/>
  <c r="M462" i="2"/>
  <c r="L462" i="2"/>
  <c r="K462" i="2"/>
  <c r="J462" i="2"/>
  <c r="H462" i="2"/>
  <c r="G462" i="2"/>
  <c r="F462" i="2"/>
  <c r="E462" i="2"/>
  <c r="D462" i="2"/>
  <c r="C462" i="2"/>
  <c r="B462" i="2"/>
  <c r="A462" i="2"/>
  <c r="I462" i="2" s="1"/>
  <c r="M461" i="2"/>
  <c r="L461" i="2"/>
  <c r="K461" i="2"/>
  <c r="J461" i="2"/>
  <c r="H461" i="2"/>
  <c r="G461" i="2"/>
  <c r="E461" i="2"/>
  <c r="D461" i="2"/>
  <c r="C461" i="2"/>
  <c r="B461" i="2"/>
  <c r="A461" i="2"/>
  <c r="I461" i="2" s="1"/>
  <c r="L460" i="2"/>
  <c r="J460" i="2"/>
  <c r="H460" i="2"/>
  <c r="D460" i="2"/>
  <c r="B460" i="2"/>
  <c r="A460" i="2"/>
  <c r="I459" i="2"/>
  <c r="G459" i="2"/>
  <c r="E459" i="2"/>
  <c r="A459" i="2"/>
  <c r="M459" i="2" s="1"/>
  <c r="L458" i="2"/>
  <c r="K458" i="2"/>
  <c r="J458" i="2"/>
  <c r="G458" i="2"/>
  <c r="F458" i="2"/>
  <c r="D458" i="2"/>
  <c r="C458" i="2"/>
  <c r="B458" i="2"/>
  <c r="A458" i="2"/>
  <c r="I458" i="2" s="1"/>
  <c r="H457" i="2"/>
  <c r="G457" i="2"/>
  <c r="A457" i="2"/>
  <c r="K457" i="2" s="1"/>
  <c r="M456" i="2"/>
  <c r="L456" i="2"/>
  <c r="H456" i="2"/>
  <c r="F456" i="2"/>
  <c r="E456" i="2"/>
  <c r="D456" i="2"/>
  <c r="A456" i="2"/>
  <c r="K456" i="2" s="1"/>
  <c r="M455" i="2"/>
  <c r="K455" i="2"/>
  <c r="J455" i="2"/>
  <c r="I455" i="2"/>
  <c r="E455" i="2"/>
  <c r="C455" i="2"/>
  <c r="B455" i="2"/>
  <c r="A455" i="2"/>
  <c r="M454" i="2"/>
  <c r="L454" i="2"/>
  <c r="K454" i="2"/>
  <c r="J454" i="2"/>
  <c r="H454" i="2"/>
  <c r="G454" i="2"/>
  <c r="F454" i="2"/>
  <c r="E454" i="2"/>
  <c r="D454" i="2"/>
  <c r="C454" i="2"/>
  <c r="B454" i="2"/>
  <c r="A454" i="2"/>
  <c r="I454" i="2" s="1"/>
  <c r="M453" i="2"/>
  <c r="L453" i="2"/>
  <c r="K453" i="2"/>
  <c r="J453" i="2"/>
  <c r="H453" i="2"/>
  <c r="G453" i="2"/>
  <c r="E453" i="2"/>
  <c r="D453" i="2"/>
  <c r="C453" i="2"/>
  <c r="B453" i="2"/>
  <c r="A453" i="2"/>
  <c r="I453" i="2" s="1"/>
  <c r="A452" i="2"/>
  <c r="H452" i="2" s="1"/>
  <c r="M451" i="2"/>
  <c r="G451" i="2"/>
  <c r="F451" i="2"/>
  <c r="E451" i="2"/>
  <c r="A451" i="2"/>
  <c r="L450" i="2"/>
  <c r="K450" i="2"/>
  <c r="J450" i="2"/>
  <c r="G450" i="2"/>
  <c r="F450" i="2"/>
  <c r="D450" i="2"/>
  <c r="C450" i="2"/>
  <c r="B450" i="2"/>
  <c r="A450" i="2"/>
  <c r="I450" i="2" s="1"/>
  <c r="K449" i="2"/>
  <c r="I449" i="2"/>
  <c r="A449" i="2"/>
  <c r="M448" i="2"/>
  <c r="L448" i="2"/>
  <c r="H448" i="2"/>
  <c r="F448" i="2"/>
  <c r="E448" i="2"/>
  <c r="D448" i="2"/>
  <c r="A448" i="2"/>
  <c r="K448" i="2" s="1"/>
  <c r="M447" i="2"/>
  <c r="I447" i="2"/>
  <c r="E447" i="2"/>
  <c r="B447" i="2"/>
  <c r="A447" i="2"/>
  <c r="K447" i="2" s="1"/>
  <c r="M446" i="2"/>
  <c r="L446" i="2"/>
  <c r="K446" i="2"/>
  <c r="J446" i="2"/>
  <c r="H446" i="2"/>
  <c r="G446" i="2"/>
  <c r="F446" i="2"/>
  <c r="E446" i="2"/>
  <c r="D446" i="2"/>
  <c r="C446" i="2"/>
  <c r="B446" i="2"/>
  <c r="A446" i="2"/>
  <c r="I446" i="2" s="1"/>
  <c r="M445" i="2"/>
  <c r="L445" i="2"/>
  <c r="K445" i="2"/>
  <c r="J445" i="2"/>
  <c r="H445" i="2"/>
  <c r="G445" i="2"/>
  <c r="E445" i="2"/>
  <c r="D445" i="2"/>
  <c r="C445" i="2"/>
  <c r="B445" i="2"/>
  <c r="A445" i="2"/>
  <c r="I445" i="2" s="1"/>
  <c r="L444" i="2"/>
  <c r="J444" i="2"/>
  <c r="I444" i="2"/>
  <c r="H444" i="2"/>
  <c r="D444" i="2"/>
  <c r="B444" i="2"/>
  <c r="A444" i="2"/>
  <c r="A443" i="2"/>
  <c r="F443" i="2" s="1"/>
  <c r="L442" i="2"/>
  <c r="K442" i="2"/>
  <c r="J442" i="2"/>
  <c r="G442" i="2"/>
  <c r="F442" i="2"/>
  <c r="D442" i="2"/>
  <c r="C442" i="2"/>
  <c r="B442" i="2"/>
  <c r="A442" i="2"/>
  <c r="I442" i="2" s="1"/>
  <c r="I441" i="2"/>
  <c r="G441" i="2"/>
  <c r="A441" i="2"/>
  <c r="M440" i="2"/>
  <c r="L440" i="2"/>
  <c r="H440" i="2"/>
  <c r="F440" i="2"/>
  <c r="E440" i="2"/>
  <c r="D440" i="2"/>
  <c r="A440" i="2"/>
  <c r="K440" i="2" s="1"/>
  <c r="M439" i="2"/>
  <c r="K439" i="2"/>
  <c r="J439" i="2"/>
  <c r="E439" i="2"/>
  <c r="C439" i="2"/>
  <c r="B439" i="2"/>
  <c r="A439" i="2"/>
  <c r="M438" i="2"/>
  <c r="L438" i="2"/>
  <c r="K438" i="2"/>
  <c r="J438" i="2"/>
  <c r="H438" i="2"/>
  <c r="G438" i="2"/>
  <c r="F438" i="2"/>
  <c r="E438" i="2"/>
  <c r="D438" i="2"/>
  <c r="C438" i="2"/>
  <c r="B438" i="2"/>
  <c r="A438" i="2"/>
  <c r="I438" i="2" s="1"/>
  <c r="M437" i="2"/>
  <c r="L437" i="2"/>
  <c r="K437" i="2"/>
  <c r="J437" i="2"/>
  <c r="H437" i="2"/>
  <c r="G437" i="2"/>
  <c r="E437" i="2"/>
  <c r="D437" i="2"/>
  <c r="C437" i="2"/>
  <c r="B437" i="2"/>
  <c r="A437" i="2"/>
  <c r="I437" i="2" s="1"/>
  <c r="I436" i="2"/>
  <c r="H436" i="2"/>
  <c r="B436" i="2"/>
  <c r="A436" i="2"/>
  <c r="L436" i="2" s="1"/>
  <c r="M435" i="2"/>
  <c r="I435" i="2"/>
  <c r="G435" i="2"/>
  <c r="F435" i="2"/>
  <c r="E435" i="2"/>
  <c r="A435" i="2"/>
  <c r="L434" i="2"/>
  <c r="K434" i="2"/>
  <c r="J434" i="2"/>
  <c r="G434" i="2"/>
  <c r="F434" i="2"/>
  <c r="D434" i="2"/>
  <c r="C434" i="2"/>
  <c r="B434" i="2"/>
  <c r="A434" i="2"/>
  <c r="I434" i="2" s="1"/>
  <c r="A433" i="2"/>
  <c r="I433" i="2" s="1"/>
  <c r="M432" i="2"/>
  <c r="L432" i="2"/>
  <c r="H432" i="2"/>
  <c r="F432" i="2"/>
  <c r="E432" i="2"/>
  <c r="D432" i="2"/>
  <c r="A432" i="2"/>
  <c r="K432" i="2" s="1"/>
  <c r="M431" i="2"/>
  <c r="A431" i="2"/>
  <c r="E431" i="2" s="1"/>
  <c r="M430" i="2"/>
  <c r="L430" i="2"/>
  <c r="K430" i="2"/>
  <c r="J430" i="2"/>
  <c r="H430" i="2"/>
  <c r="G430" i="2"/>
  <c r="F430" i="2"/>
  <c r="E430" i="2"/>
  <c r="D430" i="2"/>
  <c r="C430" i="2"/>
  <c r="B430" i="2"/>
  <c r="A430" i="2"/>
  <c r="I430" i="2" s="1"/>
  <c r="M429" i="2"/>
  <c r="L429" i="2"/>
  <c r="K429" i="2"/>
  <c r="H429" i="2"/>
  <c r="G429" i="2"/>
  <c r="E429" i="2"/>
  <c r="D429" i="2"/>
  <c r="C429" i="2"/>
  <c r="A429" i="2"/>
  <c r="J429" i="2" s="1"/>
  <c r="I428" i="2"/>
  <c r="H428" i="2"/>
  <c r="B428" i="2"/>
  <c r="A428" i="2"/>
  <c r="L428" i="2" s="1"/>
  <c r="M427" i="2"/>
  <c r="I427" i="2"/>
  <c r="G427" i="2"/>
  <c r="F427" i="2"/>
  <c r="E427" i="2"/>
  <c r="A427" i="2"/>
  <c r="L426" i="2"/>
  <c r="K426" i="2"/>
  <c r="J426" i="2"/>
  <c r="H426" i="2"/>
  <c r="G426" i="2"/>
  <c r="F426" i="2"/>
  <c r="D426" i="2"/>
  <c r="C426" i="2"/>
  <c r="B426" i="2"/>
  <c r="A426" i="2"/>
  <c r="I426" i="2" s="1"/>
  <c r="K425" i="2"/>
  <c r="I425" i="2"/>
  <c r="H425" i="2"/>
  <c r="G425" i="2"/>
  <c r="C425" i="2"/>
  <c r="A425" i="2"/>
  <c r="M424" i="2"/>
  <c r="L424" i="2"/>
  <c r="H424" i="2"/>
  <c r="F424" i="2"/>
  <c r="E424" i="2"/>
  <c r="D424" i="2"/>
  <c r="A424" i="2"/>
  <c r="K424" i="2" s="1"/>
  <c r="A423" i="2"/>
  <c r="C423" i="2" s="1"/>
  <c r="M422" i="2"/>
  <c r="L422" i="2"/>
  <c r="K422" i="2"/>
  <c r="J422" i="2"/>
  <c r="H422" i="2"/>
  <c r="G422" i="2"/>
  <c r="F422" i="2"/>
  <c r="E422" i="2"/>
  <c r="D422" i="2"/>
  <c r="C422" i="2"/>
  <c r="B422" i="2"/>
  <c r="A422" i="2"/>
  <c r="I422" i="2" s="1"/>
  <c r="M421" i="2"/>
  <c r="L421" i="2"/>
  <c r="K421" i="2"/>
  <c r="H421" i="2"/>
  <c r="G421" i="2"/>
  <c r="E421" i="2"/>
  <c r="D421" i="2"/>
  <c r="C421" i="2"/>
  <c r="A421" i="2"/>
  <c r="J421" i="2" s="1"/>
  <c r="J420" i="2"/>
  <c r="I420" i="2"/>
  <c r="A420" i="2"/>
  <c r="L420" i="2" s="1"/>
  <c r="G419" i="2"/>
  <c r="F419" i="2"/>
  <c r="A419" i="2"/>
  <c r="M419" i="2" s="1"/>
  <c r="L418" i="2"/>
  <c r="K418" i="2"/>
  <c r="J418" i="2"/>
  <c r="H418" i="2"/>
  <c r="G418" i="2"/>
  <c r="F418" i="2"/>
  <c r="D418" i="2"/>
  <c r="C418" i="2"/>
  <c r="B418" i="2"/>
  <c r="A418" i="2"/>
  <c r="I418" i="2" s="1"/>
  <c r="H417" i="2"/>
  <c r="G417" i="2"/>
  <c r="A417" i="2"/>
  <c r="K417" i="2" s="1"/>
  <c r="M416" i="2"/>
  <c r="L416" i="2"/>
  <c r="H416" i="2"/>
  <c r="F416" i="2"/>
  <c r="E416" i="2"/>
  <c r="D416" i="2"/>
  <c r="A416" i="2"/>
  <c r="K416" i="2" s="1"/>
  <c r="M415" i="2"/>
  <c r="K415" i="2"/>
  <c r="J415" i="2"/>
  <c r="I415" i="2"/>
  <c r="E415" i="2"/>
  <c r="C415" i="2"/>
  <c r="B415" i="2"/>
  <c r="A415" i="2"/>
  <c r="M414" i="2"/>
  <c r="L414" i="2"/>
  <c r="K414" i="2"/>
  <c r="J414" i="2"/>
  <c r="H414" i="2"/>
  <c r="G414" i="2"/>
  <c r="F414" i="2"/>
  <c r="E414" i="2"/>
  <c r="D414" i="2"/>
  <c r="C414" i="2"/>
  <c r="B414" i="2"/>
  <c r="A414" i="2"/>
  <c r="I414" i="2" s="1"/>
  <c r="M413" i="2"/>
  <c r="L413" i="2"/>
  <c r="K413" i="2"/>
  <c r="H413" i="2"/>
  <c r="G413" i="2"/>
  <c r="E413" i="2"/>
  <c r="D413" i="2"/>
  <c r="C413" i="2"/>
  <c r="A413" i="2"/>
  <c r="J413" i="2" s="1"/>
  <c r="L412" i="2"/>
  <c r="J412" i="2"/>
  <c r="H412" i="2"/>
  <c r="D412" i="2"/>
  <c r="B412" i="2"/>
  <c r="A412" i="2"/>
  <c r="I411" i="2"/>
  <c r="G411" i="2"/>
  <c r="E411" i="2"/>
  <c r="A411" i="2"/>
  <c r="M411" i="2" s="1"/>
  <c r="L410" i="2"/>
  <c r="K410" i="2"/>
  <c r="J410" i="2"/>
  <c r="H410" i="2"/>
  <c r="G410" i="2"/>
  <c r="F410" i="2"/>
  <c r="D410" i="2"/>
  <c r="C410" i="2"/>
  <c r="B410" i="2"/>
  <c r="A410" i="2"/>
  <c r="I410" i="2" s="1"/>
  <c r="I409" i="2"/>
  <c r="H409" i="2"/>
  <c r="C409" i="2"/>
  <c r="A409" i="2"/>
  <c r="K409" i="2" s="1"/>
  <c r="M408" i="2"/>
  <c r="L408" i="2"/>
  <c r="H408" i="2"/>
  <c r="F408" i="2"/>
  <c r="E408" i="2"/>
  <c r="D408" i="2"/>
  <c r="A408" i="2"/>
  <c r="K408" i="2" s="1"/>
  <c r="K407" i="2"/>
  <c r="E407" i="2"/>
  <c r="C407" i="2"/>
  <c r="A407" i="2"/>
  <c r="M407" i="2" s="1"/>
  <c r="M406" i="2"/>
  <c r="L406" i="2"/>
  <c r="K406" i="2"/>
  <c r="J406" i="2"/>
  <c r="H406" i="2"/>
  <c r="G406" i="2"/>
  <c r="F406" i="2"/>
  <c r="E406" i="2"/>
  <c r="D406" i="2"/>
  <c r="C406" i="2"/>
  <c r="B406" i="2"/>
  <c r="A406" i="2"/>
  <c r="I406" i="2" s="1"/>
  <c r="M405" i="2"/>
  <c r="L405" i="2"/>
  <c r="K405" i="2"/>
  <c r="H405" i="2"/>
  <c r="G405" i="2"/>
  <c r="E405" i="2"/>
  <c r="D405" i="2"/>
  <c r="C405" i="2"/>
  <c r="A405" i="2"/>
  <c r="J405" i="2" s="1"/>
  <c r="L404" i="2"/>
  <c r="I404" i="2"/>
  <c r="D404" i="2"/>
  <c r="A404" i="2"/>
  <c r="M403" i="2"/>
  <c r="I403" i="2"/>
  <c r="A403" i="2"/>
  <c r="L402" i="2"/>
  <c r="K402" i="2"/>
  <c r="J402" i="2"/>
  <c r="H402" i="2"/>
  <c r="G402" i="2"/>
  <c r="F402" i="2"/>
  <c r="D402" i="2"/>
  <c r="C402" i="2"/>
  <c r="B402" i="2"/>
  <c r="A402" i="2"/>
  <c r="I402" i="2" s="1"/>
  <c r="K401" i="2"/>
  <c r="I401" i="2"/>
  <c r="A401" i="2"/>
  <c r="M400" i="2"/>
  <c r="L400" i="2"/>
  <c r="H400" i="2"/>
  <c r="F400" i="2"/>
  <c r="E400" i="2"/>
  <c r="D400" i="2"/>
  <c r="A400" i="2"/>
  <c r="K400" i="2" s="1"/>
  <c r="M399" i="2"/>
  <c r="J399" i="2"/>
  <c r="I399" i="2"/>
  <c r="E399" i="2"/>
  <c r="B399" i="2"/>
  <c r="A399" i="2"/>
  <c r="K399" i="2" s="1"/>
  <c r="M398" i="2"/>
  <c r="L398" i="2"/>
  <c r="K398" i="2"/>
  <c r="J398" i="2"/>
  <c r="H398" i="2"/>
  <c r="G398" i="2"/>
  <c r="F398" i="2"/>
  <c r="E398" i="2"/>
  <c r="D398" i="2"/>
  <c r="C398" i="2"/>
  <c r="B398" i="2"/>
  <c r="A398" i="2"/>
  <c r="I398" i="2" s="1"/>
  <c r="M397" i="2"/>
  <c r="L397" i="2"/>
  <c r="K397" i="2"/>
  <c r="H397" i="2"/>
  <c r="G397" i="2"/>
  <c r="E397" i="2"/>
  <c r="D397" i="2"/>
  <c r="C397" i="2"/>
  <c r="A397" i="2"/>
  <c r="J397" i="2" s="1"/>
  <c r="A396" i="2"/>
  <c r="H396" i="2" s="1"/>
  <c r="M395" i="2"/>
  <c r="G395" i="2"/>
  <c r="F395" i="2"/>
  <c r="E395" i="2"/>
  <c r="A395" i="2"/>
  <c r="L394" i="2"/>
  <c r="K394" i="2"/>
  <c r="J394" i="2"/>
  <c r="H394" i="2"/>
  <c r="G394" i="2"/>
  <c r="F394" i="2"/>
  <c r="D394" i="2"/>
  <c r="C394" i="2"/>
  <c r="B394" i="2"/>
  <c r="A394" i="2"/>
  <c r="I394" i="2" s="1"/>
  <c r="K393" i="2"/>
  <c r="H393" i="2"/>
  <c r="G393" i="2"/>
  <c r="C393" i="2"/>
  <c r="A393" i="2"/>
  <c r="M392" i="2"/>
  <c r="L392" i="2"/>
  <c r="H392" i="2"/>
  <c r="F392" i="2"/>
  <c r="E392" i="2"/>
  <c r="D392" i="2"/>
  <c r="A392" i="2"/>
  <c r="K392" i="2" s="1"/>
  <c r="J391" i="2"/>
  <c r="I391" i="2"/>
  <c r="A391" i="2"/>
  <c r="M391" i="2" s="1"/>
  <c r="M390" i="2"/>
  <c r="L390" i="2"/>
  <c r="K390" i="2"/>
  <c r="J390" i="2"/>
  <c r="H390" i="2"/>
  <c r="G390" i="2"/>
  <c r="F390" i="2"/>
  <c r="E390" i="2"/>
  <c r="D390" i="2"/>
  <c r="C390" i="2"/>
  <c r="B390" i="2"/>
  <c r="A390" i="2"/>
  <c r="I390" i="2" s="1"/>
  <c r="M389" i="2"/>
  <c r="L389" i="2"/>
  <c r="K389" i="2"/>
  <c r="H389" i="2"/>
  <c r="G389" i="2"/>
  <c r="E389" i="2"/>
  <c r="D389" i="2"/>
  <c r="C389" i="2"/>
  <c r="A389" i="2"/>
  <c r="J389" i="2" s="1"/>
  <c r="A388" i="2"/>
  <c r="I388" i="2" s="1"/>
  <c r="I387" i="2"/>
  <c r="F387" i="2"/>
  <c r="A387" i="2"/>
  <c r="L386" i="2"/>
  <c r="K386" i="2"/>
  <c r="J386" i="2"/>
  <c r="H386" i="2"/>
  <c r="G386" i="2"/>
  <c r="F386" i="2"/>
  <c r="D386" i="2"/>
  <c r="C386" i="2"/>
  <c r="B386" i="2"/>
  <c r="A386" i="2"/>
  <c r="I386" i="2" s="1"/>
  <c r="I385" i="2"/>
  <c r="G385" i="2"/>
  <c r="A385" i="2"/>
  <c r="M384" i="2"/>
  <c r="L384" i="2"/>
  <c r="H384" i="2"/>
  <c r="F384" i="2"/>
  <c r="E384" i="2"/>
  <c r="D384" i="2"/>
  <c r="A384" i="2"/>
  <c r="K384" i="2" s="1"/>
  <c r="M383" i="2"/>
  <c r="K383" i="2"/>
  <c r="J383" i="2"/>
  <c r="E383" i="2"/>
  <c r="C383" i="2"/>
  <c r="B383" i="2"/>
  <c r="A383" i="2"/>
  <c r="M382" i="2"/>
  <c r="L382" i="2"/>
  <c r="K382" i="2"/>
  <c r="J382" i="2"/>
  <c r="H382" i="2"/>
  <c r="G382" i="2"/>
  <c r="F382" i="2"/>
  <c r="E382" i="2"/>
  <c r="D382" i="2"/>
  <c r="C382" i="2"/>
  <c r="B382" i="2"/>
  <c r="A382" i="2"/>
  <c r="I382" i="2" s="1"/>
  <c r="M381" i="2"/>
  <c r="L381" i="2"/>
  <c r="K381" i="2"/>
  <c r="H381" i="2"/>
  <c r="G381" i="2"/>
  <c r="E381" i="2"/>
  <c r="D381" i="2"/>
  <c r="C381" i="2"/>
  <c r="A381" i="2"/>
  <c r="J381" i="2" s="1"/>
  <c r="L380" i="2"/>
  <c r="J380" i="2"/>
  <c r="I380" i="2"/>
  <c r="H380" i="2"/>
  <c r="D380" i="2"/>
  <c r="B380" i="2"/>
  <c r="A380" i="2"/>
  <c r="A379" i="2"/>
  <c r="E379" i="2" s="1"/>
  <c r="L378" i="2"/>
  <c r="K378" i="2"/>
  <c r="J378" i="2"/>
  <c r="H378" i="2"/>
  <c r="G378" i="2"/>
  <c r="F378" i="2"/>
  <c r="D378" i="2"/>
  <c r="C378" i="2"/>
  <c r="B378" i="2"/>
  <c r="A378" i="2"/>
  <c r="I378" i="2" s="1"/>
  <c r="A377" i="2"/>
  <c r="I377" i="2" s="1"/>
  <c r="M376" i="2"/>
  <c r="L376" i="2"/>
  <c r="H376" i="2"/>
  <c r="F376" i="2"/>
  <c r="E376" i="2"/>
  <c r="D376" i="2"/>
  <c r="A376" i="2"/>
  <c r="K376" i="2" s="1"/>
  <c r="M375" i="2"/>
  <c r="K375" i="2"/>
  <c r="I375" i="2"/>
  <c r="C375" i="2"/>
  <c r="A375" i="2"/>
  <c r="M374" i="2"/>
  <c r="L374" i="2"/>
  <c r="K374" i="2"/>
  <c r="J374" i="2"/>
  <c r="H374" i="2"/>
  <c r="G374" i="2"/>
  <c r="F374" i="2"/>
  <c r="E374" i="2"/>
  <c r="D374" i="2"/>
  <c r="C374" i="2"/>
  <c r="B374" i="2"/>
  <c r="A374" i="2"/>
  <c r="I374" i="2" s="1"/>
  <c r="M373" i="2"/>
  <c r="L373" i="2"/>
  <c r="K373" i="2"/>
  <c r="H373" i="2"/>
  <c r="G373" i="2"/>
  <c r="E373" i="2"/>
  <c r="D373" i="2"/>
  <c r="C373" i="2"/>
  <c r="A373" i="2"/>
  <c r="J373" i="2" s="1"/>
  <c r="L372" i="2"/>
  <c r="H372" i="2"/>
  <c r="D372" i="2"/>
  <c r="A372" i="2"/>
  <c r="J372" i="2" s="1"/>
  <c r="A371" i="2"/>
  <c r="G371" i="2" s="1"/>
  <c r="L370" i="2"/>
  <c r="K370" i="2"/>
  <c r="J370" i="2"/>
  <c r="H370" i="2"/>
  <c r="G370" i="2"/>
  <c r="F370" i="2"/>
  <c r="D370" i="2"/>
  <c r="C370" i="2"/>
  <c r="B370" i="2"/>
  <c r="A370" i="2"/>
  <c r="I370" i="2" s="1"/>
  <c r="A369" i="2"/>
  <c r="K369" i="2" s="1"/>
  <c r="M368" i="2"/>
  <c r="L368" i="2"/>
  <c r="H368" i="2"/>
  <c r="F368" i="2"/>
  <c r="E368" i="2"/>
  <c r="D368" i="2"/>
  <c r="A368" i="2"/>
  <c r="K368" i="2" s="1"/>
  <c r="M367" i="2"/>
  <c r="A367" i="2"/>
  <c r="C367" i="2" s="1"/>
  <c r="M366" i="2"/>
  <c r="L366" i="2"/>
  <c r="K366" i="2"/>
  <c r="J366" i="2"/>
  <c r="H366" i="2"/>
  <c r="G366" i="2"/>
  <c r="F366" i="2"/>
  <c r="E366" i="2"/>
  <c r="D366" i="2"/>
  <c r="C366" i="2"/>
  <c r="B366" i="2"/>
  <c r="A366" i="2"/>
  <c r="I366" i="2" s="1"/>
  <c r="M365" i="2"/>
  <c r="L365" i="2"/>
  <c r="K365" i="2"/>
  <c r="H365" i="2"/>
  <c r="G365" i="2"/>
  <c r="E365" i="2"/>
  <c r="D365" i="2"/>
  <c r="C365" i="2"/>
  <c r="A365" i="2"/>
  <c r="J365" i="2" s="1"/>
  <c r="L364" i="2"/>
  <c r="J364" i="2"/>
  <c r="I364" i="2"/>
  <c r="E364" i="2"/>
  <c r="D364" i="2"/>
  <c r="B364" i="2"/>
  <c r="A364" i="2"/>
  <c r="M363" i="2"/>
  <c r="J363" i="2"/>
  <c r="I363" i="2"/>
  <c r="F363" i="2"/>
  <c r="E363" i="2"/>
  <c r="B363" i="2"/>
  <c r="A363" i="2"/>
  <c r="L362" i="2"/>
  <c r="K362" i="2"/>
  <c r="J362" i="2"/>
  <c r="H362" i="2"/>
  <c r="G362" i="2"/>
  <c r="F362" i="2"/>
  <c r="D362" i="2"/>
  <c r="C362" i="2"/>
  <c r="B362" i="2"/>
  <c r="A362" i="2"/>
  <c r="I362" i="2" s="1"/>
  <c r="L361" i="2"/>
  <c r="A361" i="2"/>
  <c r="M360" i="2"/>
  <c r="A360" i="2"/>
  <c r="E360" i="2" s="1"/>
  <c r="A359" i="2"/>
  <c r="C359" i="2" s="1"/>
  <c r="M358" i="2"/>
  <c r="L358" i="2"/>
  <c r="K358" i="2"/>
  <c r="J358" i="2"/>
  <c r="H358" i="2"/>
  <c r="G358" i="2"/>
  <c r="F358" i="2"/>
  <c r="E358" i="2"/>
  <c r="D358" i="2"/>
  <c r="C358" i="2"/>
  <c r="B358" i="2"/>
  <c r="A358" i="2"/>
  <c r="I358" i="2" s="1"/>
  <c r="M357" i="2"/>
  <c r="L357" i="2"/>
  <c r="K357" i="2"/>
  <c r="H357" i="2"/>
  <c r="G357" i="2"/>
  <c r="E357" i="2"/>
  <c r="D357" i="2"/>
  <c r="C357" i="2"/>
  <c r="A357" i="2"/>
  <c r="J357" i="2" s="1"/>
  <c r="L356" i="2"/>
  <c r="J356" i="2"/>
  <c r="H356" i="2"/>
  <c r="D356" i="2"/>
  <c r="A356" i="2"/>
  <c r="M355" i="2"/>
  <c r="J355" i="2"/>
  <c r="G355" i="2"/>
  <c r="E355" i="2"/>
  <c r="A355" i="2"/>
  <c r="L354" i="2"/>
  <c r="K354" i="2"/>
  <c r="J354" i="2"/>
  <c r="H354" i="2"/>
  <c r="G354" i="2"/>
  <c r="F354" i="2"/>
  <c r="D354" i="2"/>
  <c r="C354" i="2"/>
  <c r="B354" i="2"/>
  <c r="A354" i="2"/>
  <c r="I354" i="2" s="1"/>
  <c r="A353" i="2"/>
  <c r="G353" i="2" s="1"/>
  <c r="A352" i="2"/>
  <c r="H352" i="2" s="1"/>
  <c r="K351" i="2"/>
  <c r="J351" i="2"/>
  <c r="I351" i="2"/>
  <c r="F351" i="2"/>
  <c r="E351" i="2"/>
  <c r="C351" i="2"/>
  <c r="B351" i="2"/>
  <c r="A351" i="2"/>
  <c r="M350" i="2"/>
  <c r="L350" i="2"/>
  <c r="K350" i="2"/>
  <c r="J350" i="2"/>
  <c r="H350" i="2"/>
  <c r="G350" i="2"/>
  <c r="F350" i="2"/>
  <c r="E350" i="2"/>
  <c r="D350" i="2"/>
  <c r="C350" i="2"/>
  <c r="B350" i="2"/>
  <c r="A350" i="2"/>
  <c r="I350" i="2" s="1"/>
  <c r="K349" i="2"/>
  <c r="A349" i="2"/>
  <c r="M349" i="2" s="1"/>
  <c r="M348" i="2"/>
  <c r="J348" i="2"/>
  <c r="I348" i="2"/>
  <c r="H348" i="2"/>
  <c r="F348" i="2"/>
  <c r="E348" i="2"/>
  <c r="D348" i="2"/>
  <c r="B348" i="2"/>
  <c r="A348" i="2"/>
  <c r="M347" i="2"/>
  <c r="J347" i="2"/>
  <c r="F347" i="2"/>
  <c r="E347" i="2"/>
  <c r="B347" i="2"/>
  <c r="A347" i="2"/>
  <c r="I347" i="2" s="1"/>
  <c r="L346" i="2"/>
  <c r="K346" i="2"/>
  <c r="J346" i="2"/>
  <c r="H346" i="2"/>
  <c r="G346" i="2"/>
  <c r="F346" i="2"/>
  <c r="D346" i="2"/>
  <c r="C346" i="2"/>
  <c r="B346" i="2"/>
  <c r="A346" i="2"/>
  <c r="I346" i="2" s="1"/>
  <c r="K345" i="2"/>
  <c r="A345" i="2"/>
  <c r="M345" i="2" s="1"/>
  <c r="M344" i="2"/>
  <c r="J344" i="2"/>
  <c r="I344" i="2"/>
  <c r="H344" i="2"/>
  <c r="F344" i="2"/>
  <c r="E344" i="2"/>
  <c r="D344" i="2"/>
  <c r="B344" i="2"/>
  <c r="A344" i="2"/>
  <c r="M343" i="2"/>
  <c r="J343" i="2"/>
  <c r="F343" i="2"/>
  <c r="E343" i="2"/>
  <c r="B343" i="2"/>
  <c r="A343" i="2"/>
  <c r="I343" i="2" s="1"/>
  <c r="M342" i="2"/>
  <c r="L342" i="2"/>
  <c r="K342" i="2"/>
  <c r="J342" i="2"/>
  <c r="H342" i="2"/>
  <c r="G342" i="2"/>
  <c r="F342" i="2"/>
  <c r="E342" i="2"/>
  <c r="D342" i="2"/>
  <c r="C342" i="2"/>
  <c r="B342" i="2"/>
  <c r="A342" i="2"/>
  <c r="I342" i="2" s="1"/>
  <c r="M341" i="2"/>
  <c r="K341" i="2"/>
  <c r="I341" i="2"/>
  <c r="H341" i="2"/>
  <c r="G341" i="2"/>
  <c r="E341" i="2"/>
  <c r="D341" i="2"/>
  <c r="C341" i="2"/>
  <c r="A341" i="2"/>
  <c r="M340" i="2"/>
  <c r="J340" i="2"/>
  <c r="F340" i="2"/>
  <c r="E340" i="2"/>
  <c r="B340" i="2"/>
  <c r="A340" i="2"/>
  <c r="I340" i="2" s="1"/>
  <c r="M339" i="2"/>
  <c r="J339" i="2"/>
  <c r="I339" i="2"/>
  <c r="G339" i="2"/>
  <c r="E339" i="2"/>
  <c r="C339" i="2"/>
  <c r="B339" i="2"/>
  <c r="A339" i="2"/>
  <c r="L338" i="2"/>
  <c r="K338" i="2"/>
  <c r="J338" i="2"/>
  <c r="H338" i="2"/>
  <c r="G338" i="2"/>
  <c r="F338" i="2"/>
  <c r="D338" i="2"/>
  <c r="C338" i="2"/>
  <c r="B338" i="2"/>
  <c r="A338" i="2"/>
  <c r="I338" i="2" s="1"/>
  <c r="M337" i="2"/>
  <c r="K337" i="2"/>
  <c r="I337" i="2"/>
  <c r="H337" i="2"/>
  <c r="G337" i="2"/>
  <c r="E337" i="2"/>
  <c r="D337" i="2"/>
  <c r="C337" i="2"/>
  <c r="A337" i="2"/>
  <c r="M336" i="2"/>
  <c r="J336" i="2"/>
  <c r="F336" i="2"/>
  <c r="E336" i="2"/>
  <c r="B336" i="2"/>
  <c r="A336" i="2"/>
  <c r="I336" i="2" s="1"/>
  <c r="M335" i="2"/>
  <c r="J335" i="2"/>
  <c r="I335" i="2"/>
  <c r="G335" i="2"/>
  <c r="E335" i="2"/>
  <c r="C335" i="2"/>
  <c r="B335" i="2"/>
  <c r="A335" i="2"/>
  <c r="M334" i="2"/>
  <c r="L334" i="2"/>
  <c r="K334" i="2"/>
  <c r="J334" i="2"/>
  <c r="H334" i="2"/>
  <c r="G334" i="2"/>
  <c r="F334" i="2"/>
  <c r="E334" i="2"/>
  <c r="D334" i="2"/>
  <c r="C334" i="2"/>
  <c r="B334" i="2"/>
  <c r="A334" i="2"/>
  <c r="I334" i="2" s="1"/>
  <c r="M333" i="2"/>
  <c r="K333" i="2"/>
  <c r="G333" i="2"/>
  <c r="E333" i="2"/>
  <c r="C333" i="2"/>
  <c r="A333" i="2"/>
  <c r="I333" i="2" s="1"/>
  <c r="M332" i="2"/>
  <c r="J332" i="2"/>
  <c r="I332" i="2"/>
  <c r="H332" i="2"/>
  <c r="E332" i="2"/>
  <c r="D332" i="2"/>
  <c r="B332" i="2"/>
  <c r="A332" i="2"/>
  <c r="J331" i="2"/>
  <c r="A331" i="2"/>
  <c r="M331" i="2" s="1"/>
  <c r="L330" i="2"/>
  <c r="K330" i="2"/>
  <c r="J330" i="2"/>
  <c r="H330" i="2"/>
  <c r="G330" i="2"/>
  <c r="F330" i="2"/>
  <c r="D330" i="2"/>
  <c r="C330" i="2"/>
  <c r="B330" i="2"/>
  <c r="A330" i="2"/>
  <c r="I330" i="2" s="1"/>
  <c r="M329" i="2"/>
  <c r="K329" i="2"/>
  <c r="G329" i="2"/>
  <c r="E329" i="2"/>
  <c r="C329" i="2"/>
  <c r="A329" i="2"/>
  <c r="I329" i="2" s="1"/>
  <c r="M328" i="2"/>
  <c r="J328" i="2"/>
  <c r="I328" i="2"/>
  <c r="H328" i="2"/>
  <c r="E328" i="2"/>
  <c r="D328" i="2"/>
  <c r="B328" i="2"/>
  <c r="A328" i="2"/>
  <c r="J327" i="2"/>
  <c r="A327" i="2"/>
  <c r="G327" i="2" s="1"/>
  <c r="M326" i="2"/>
  <c r="L326" i="2"/>
  <c r="K326" i="2"/>
  <c r="J326" i="2"/>
  <c r="H326" i="2"/>
  <c r="G326" i="2"/>
  <c r="F326" i="2"/>
  <c r="E326" i="2"/>
  <c r="D326" i="2"/>
  <c r="C326" i="2"/>
  <c r="B326" i="2"/>
  <c r="A326" i="2"/>
  <c r="I326" i="2" s="1"/>
  <c r="M325" i="2"/>
  <c r="K325" i="2"/>
  <c r="I325" i="2"/>
  <c r="H325" i="2"/>
  <c r="E325" i="2"/>
  <c r="D325" i="2"/>
  <c r="C325" i="2"/>
  <c r="A325" i="2"/>
  <c r="J324" i="2"/>
  <c r="A324" i="2"/>
  <c r="D324" i="2" s="1"/>
  <c r="M323" i="2"/>
  <c r="J323" i="2"/>
  <c r="I323" i="2"/>
  <c r="G323" i="2"/>
  <c r="F323" i="2"/>
  <c r="E323" i="2"/>
  <c r="C323" i="2"/>
  <c r="B323" i="2"/>
  <c r="A323" i="2"/>
  <c r="L322" i="2"/>
  <c r="K322" i="2"/>
  <c r="J322" i="2"/>
  <c r="H322" i="2"/>
  <c r="G322" i="2"/>
  <c r="F322" i="2"/>
  <c r="D322" i="2"/>
  <c r="C322" i="2"/>
  <c r="B322" i="2"/>
  <c r="A322" i="2"/>
  <c r="I322" i="2" s="1"/>
  <c r="M321" i="2"/>
  <c r="K321" i="2"/>
  <c r="I321" i="2"/>
  <c r="H321" i="2"/>
  <c r="E321" i="2"/>
  <c r="D321" i="2"/>
  <c r="C321" i="2"/>
  <c r="A321" i="2"/>
  <c r="J320" i="2"/>
  <c r="A320" i="2"/>
  <c r="F320" i="2" s="1"/>
  <c r="M319" i="2"/>
  <c r="J319" i="2"/>
  <c r="I319" i="2"/>
  <c r="G319" i="2"/>
  <c r="F319" i="2"/>
  <c r="E319" i="2"/>
  <c r="C319" i="2"/>
  <c r="B319" i="2"/>
  <c r="A319" i="2"/>
  <c r="M318" i="2"/>
  <c r="L318" i="2"/>
  <c r="K318" i="2"/>
  <c r="J318" i="2"/>
  <c r="H318" i="2"/>
  <c r="G318" i="2"/>
  <c r="F318" i="2"/>
  <c r="E318" i="2"/>
  <c r="D318" i="2"/>
  <c r="C318" i="2"/>
  <c r="B318" i="2"/>
  <c r="A318" i="2"/>
  <c r="I318" i="2" s="1"/>
  <c r="K317" i="2"/>
  <c r="A317" i="2"/>
  <c r="H317" i="2" s="1"/>
  <c r="M316" i="2"/>
  <c r="J316" i="2"/>
  <c r="I316" i="2"/>
  <c r="H316" i="2"/>
  <c r="F316" i="2"/>
  <c r="E316" i="2"/>
  <c r="D316" i="2"/>
  <c r="B316" i="2"/>
  <c r="A316" i="2"/>
  <c r="M315" i="2"/>
  <c r="J315" i="2"/>
  <c r="F315" i="2"/>
  <c r="E315" i="2"/>
  <c r="B315" i="2"/>
  <c r="A315" i="2"/>
  <c r="I315" i="2" s="1"/>
  <c r="L314" i="2"/>
  <c r="K314" i="2"/>
  <c r="J314" i="2"/>
  <c r="H314" i="2"/>
  <c r="G314" i="2"/>
  <c r="F314" i="2"/>
  <c r="D314" i="2"/>
  <c r="C314" i="2"/>
  <c r="B314" i="2"/>
  <c r="A314" i="2"/>
  <c r="I314" i="2" s="1"/>
  <c r="K313" i="2"/>
  <c r="A313" i="2"/>
  <c r="H313" i="2" s="1"/>
  <c r="M312" i="2"/>
  <c r="J312" i="2"/>
  <c r="I312" i="2"/>
  <c r="H312" i="2"/>
  <c r="F312" i="2"/>
  <c r="E312" i="2"/>
  <c r="D312" i="2"/>
  <c r="B312" i="2"/>
  <c r="A312" i="2"/>
  <c r="M311" i="2"/>
  <c r="J311" i="2"/>
  <c r="F311" i="2"/>
  <c r="E311" i="2"/>
  <c r="B311" i="2"/>
  <c r="A311" i="2"/>
  <c r="I311" i="2" s="1"/>
  <c r="M310" i="2"/>
  <c r="L310" i="2"/>
  <c r="K310" i="2"/>
  <c r="J310" i="2"/>
  <c r="H310" i="2"/>
  <c r="G310" i="2"/>
  <c r="F310" i="2"/>
  <c r="E310" i="2"/>
  <c r="D310" i="2"/>
  <c r="C310" i="2"/>
  <c r="B310" i="2"/>
  <c r="A310" i="2"/>
  <c r="I310" i="2" s="1"/>
  <c r="M309" i="2"/>
  <c r="K309" i="2"/>
  <c r="I309" i="2"/>
  <c r="H309" i="2"/>
  <c r="G309" i="2"/>
  <c r="E309" i="2"/>
  <c r="D309" i="2"/>
  <c r="C309" i="2"/>
  <c r="A309" i="2"/>
  <c r="M308" i="2"/>
  <c r="J308" i="2"/>
  <c r="F308" i="2"/>
  <c r="E308" i="2"/>
  <c r="B308" i="2"/>
  <c r="A308" i="2"/>
  <c r="I308" i="2" s="1"/>
  <c r="M307" i="2"/>
  <c r="J307" i="2"/>
  <c r="I307" i="2"/>
  <c r="G307" i="2"/>
  <c r="E307" i="2"/>
  <c r="C307" i="2"/>
  <c r="B307" i="2"/>
  <c r="A307" i="2"/>
  <c r="L306" i="2"/>
  <c r="K306" i="2"/>
  <c r="J306" i="2"/>
  <c r="H306" i="2"/>
  <c r="G306" i="2"/>
  <c r="F306" i="2"/>
  <c r="D306" i="2"/>
  <c r="C306" i="2"/>
  <c r="B306" i="2"/>
  <c r="A306" i="2"/>
  <c r="I306" i="2" s="1"/>
  <c r="M305" i="2"/>
  <c r="K305" i="2"/>
  <c r="I305" i="2"/>
  <c r="H305" i="2"/>
  <c r="G305" i="2"/>
  <c r="E305" i="2"/>
  <c r="D305" i="2"/>
  <c r="C305" i="2"/>
  <c r="A305" i="2"/>
  <c r="M304" i="2"/>
  <c r="J304" i="2"/>
  <c r="F304" i="2"/>
  <c r="E304" i="2"/>
  <c r="B304" i="2"/>
  <c r="A304" i="2"/>
  <c r="I304" i="2" s="1"/>
  <c r="M303" i="2"/>
  <c r="J303" i="2"/>
  <c r="I303" i="2"/>
  <c r="G303" i="2"/>
  <c r="E303" i="2"/>
  <c r="C303" i="2"/>
  <c r="B303" i="2"/>
  <c r="A303" i="2"/>
  <c r="M302" i="2"/>
  <c r="L302" i="2"/>
  <c r="K302" i="2"/>
  <c r="J302" i="2"/>
  <c r="H302" i="2"/>
  <c r="G302" i="2"/>
  <c r="F302" i="2"/>
  <c r="E302" i="2"/>
  <c r="D302" i="2"/>
  <c r="C302" i="2"/>
  <c r="B302" i="2"/>
  <c r="A302" i="2"/>
  <c r="I302" i="2" s="1"/>
  <c r="M301" i="2"/>
  <c r="K301" i="2"/>
  <c r="G301" i="2"/>
  <c r="E301" i="2"/>
  <c r="C301" i="2"/>
  <c r="A301" i="2"/>
  <c r="I301" i="2" s="1"/>
  <c r="M300" i="2"/>
  <c r="J300" i="2"/>
  <c r="I300" i="2"/>
  <c r="H300" i="2"/>
  <c r="E300" i="2"/>
  <c r="D300" i="2"/>
  <c r="B300" i="2"/>
  <c r="A300" i="2"/>
  <c r="J299" i="2"/>
  <c r="A299" i="2"/>
  <c r="M299" i="2" s="1"/>
  <c r="L298" i="2"/>
  <c r="K298" i="2"/>
  <c r="J298" i="2"/>
  <c r="H298" i="2"/>
  <c r="G298" i="2"/>
  <c r="F298" i="2"/>
  <c r="D298" i="2"/>
  <c r="C298" i="2"/>
  <c r="B298" i="2"/>
  <c r="A298" i="2"/>
  <c r="I298" i="2" s="1"/>
  <c r="M297" i="2"/>
  <c r="K297" i="2"/>
  <c r="G297" i="2"/>
  <c r="E297" i="2"/>
  <c r="C297" i="2"/>
  <c r="A297" i="2"/>
  <c r="I297" i="2" s="1"/>
  <c r="M296" i="2"/>
  <c r="J296" i="2"/>
  <c r="I296" i="2"/>
  <c r="H296" i="2"/>
  <c r="E296" i="2"/>
  <c r="D296" i="2"/>
  <c r="B296" i="2"/>
  <c r="A296" i="2"/>
  <c r="J295" i="2"/>
  <c r="A295" i="2"/>
  <c r="M294" i="2"/>
  <c r="L294" i="2"/>
  <c r="K294" i="2"/>
  <c r="J294" i="2"/>
  <c r="H294" i="2"/>
  <c r="G294" i="2"/>
  <c r="F294" i="2"/>
  <c r="E294" i="2"/>
  <c r="D294" i="2"/>
  <c r="C294" i="2"/>
  <c r="B294" i="2"/>
  <c r="A294" i="2"/>
  <c r="I294" i="2" s="1"/>
  <c r="M293" i="2"/>
  <c r="K293" i="2"/>
  <c r="I293" i="2"/>
  <c r="H293" i="2"/>
  <c r="E293" i="2"/>
  <c r="D293" i="2"/>
  <c r="C293" i="2"/>
  <c r="A293" i="2"/>
  <c r="J292" i="2"/>
  <c r="A292" i="2"/>
  <c r="M292" i="2" s="1"/>
  <c r="M291" i="2"/>
  <c r="J291" i="2"/>
  <c r="I291" i="2"/>
  <c r="G291" i="2"/>
  <c r="F291" i="2"/>
  <c r="E291" i="2"/>
  <c r="C291" i="2"/>
  <c r="B291" i="2"/>
  <c r="A291" i="2"/>
  <c r="L290" i="2"/>
  <c r="K290" i="2"/>
  <c r="J290" i="2"/>
  <c r="H290" i="2"/>
  <c r="G290" i="2"/>
  <c r="F290" i="2"/>
  <c r="D290" i="2"/>
  <c r="C290" i="2"/>
  <c r="B290" i="2"/>
  <c r="A290" i="2"/>
  <c r="I290" i="2" s="1"/>
  <c r="M289" i="2"/>
  <c r="K289" i="2"/>
  <c r="I289" i="2"/>
  <c r="H289" i="2"/>
  <c r="E289" i="2"/>
  <c r="D289" i="2"/>
  <c r="C289" i="2"/>
  <c r="A289" i="2"/>
  <c r="J288" i="2"/>
  <c r="A288" i="2"/>
  <c r="F288" i="2" s="1"/>
  <c r="M287" i="2"/>
  <c r="J287" i="2"/>
  <c r="I287" i="2"/>
  <c r="G287" i="2"/>
  <c r="F287" i="2"/>
  <c r="E287" i="2"/>
  <c r="C287" i="2"/>
  <c r="B287" i="2"/>
  <c r="A287" i="2"/>
  <c r="M286" i="2"/>
  <c r="L286" i="2"/>
  <c r="K286" i="2"/>
  <c r="J286" i="2"/>
  <c r="H286" i="2"/>
  <c r="G286" i="2"/>
  <c r="F286" i="2"/>
  <c r="E286" i="2"/>
  <c r="D286" i="2"/>
  <c r="C286" i="2"/>
  <c r="B286" i="2"/>
  <c r="A286" i="2"/>
  <c r="I286" i="2" s="1"/>
  <c r="K285" i="2"/>
  <c r="A285" i="2"/>
  <c r="M285" i="2" s="1"/>
  <c r="M284" i="2"/>
  <c r="J284" i="2"/>
  <c r="I284" i="2"/>
  <c r="H284" i="2"/>
  <c r="F284" i="2"/>
  <c r="E284" i="2"/>
  <c r="D284" i="2"/>
  <c r="B284" i="2"/>
  <c r="A284" i="2"/>
  <c r="M283" i="2"/>
  <c r="J283" i="2"/>
  <c r="F283" i="2"/>
  <c r="E283" i="2"/>
  <c r="B283" i="2"/>
  <c r="A283" i="2"/>
  <c r="I283" i="2" s="1"/>
  <c r="L282" i="2"/>
  <c r="K282" i="2"/>
  <c r="J282" i="2"/>
  <c r="H282" i="2"/>
  <c r="G282" i="2"/>
  <c r="F282" i="2"/>
  <c r="D282" i="2"/>
  <c r="C282" i="2"/>
  <c r="B282" i="2"/>
  <c r="A282" i="2"/>
  <c r="I282" i="2" s="1"/>
  <c r="K281" i="2"/>
  <c r="A281" i="2"/>
  <c r="H281" i="2" s="1"/>
  <c r="M280" i="2"/>
  <c r="J280" i="2"/>
  <c r="I280" i="2"/>
  <c r="H280" i="2"/>
  <c r="F280" i="2"/>
  <c r="E280" i="2"/>
  <c r="D280" i="2"/>
  <c r="B280" i="2"/>
  <c r="A280" i="2"/>
  <c r="M279" i="2"/>
  <c r="J279" i="2"/>
  <c r="F279" i="2"/>
  <c r="E279" i="2"/>
  <c r="B279" i="2"/>
  <c r="A279" i="2"/>
  <c r="I279" i="2" s="1"/>
  <c r="M278" i="2"/>
  <c r="L278" i="2"/>
  <c r="K278" i="2"/>
  <c r="J278" i="2"/>
  <c r="H278" i="2"/>
  <c r="G278" i="2"/>
  <c r="F278" i="2"/>
  <c r="E278" i="2"/>
  <c r="D278" i="2"/>
  <c r="C278" i="2"/>
  <c r="B278" i="2"/>
  <c r="A278" i="2"/>
  <c r="I278" i="2" s="1"/>
  <c r="M277" i="2"/>
  <c r="K277" i="2"/>
  <c r="I277" i="2"/>
  <c r="H277" i="2"/>
  <c r="G277" i="2"/>
  <c r="E277" i="2"/>
  <c r="D277" i="2"/>
  <c r="C277" i="2"/>
  <c r="A277" i="2"/>
  <c r="M276" i="2"/>
  <c r="J276" i="2"/>
  <c r="F276" i="2"/>
  <c r="E276" i="2"/>
  <c r="B276" i="2"/>
  <c r="A276" i="2"/>
  <c r="I276" i="2" s="1"/>
  <c r="M275" i="2"/>
  <c r="J275" i="2"/>
  <c r="I275" i="2"/>
  <c r="G275" i="2"/>
  <c r="E275" i="2"/>
  <c r="C275" i="2"/>
  <c r="B275" i="2"/>
  <c r="A275" i="2"/>
  <c r="L274" i="2"/>
  <c r="K274" i="2"/>
  <c r="J274" i="2"/>
  <c r="H274" i="2"/>
  <c r="G274" i="2"/>
  <c r="F274" i="2"/>
  <c r="D274" i="2"/>
  <c r="C274" i="2"/>
  <c r="B274" i="2"/>
  <c r="A274" i="2"/>
  <c r="I274" i="2" s="1"/>
  <c r="M273" i="2"/>
  <c r="K273" i="2"/>
  <c r="I273" i="2"/>
  <c r="H273" i="2"/>
  <c r="G273" i="2"/>
  <c r="E273" i="2"/>
  <c r="D273" i="2"/>
  <c r="C273" i="2"/>
  <c r="A273" i="2"/>
  <c r="M272" i="2"/>
  <c r="J272" i="2"/>
  <c r="F272" i="2"/>
  <c r="E272" i="2"/>
  <c r="B272" i="2"/>
  <c r="A272" i="2"/>
  <c r="I272" i="2" s="1"/>
  <c r="M271" i="2"/>
  <c r="J271" i="2"/>
  <c r="I271" i="2"/>
  <c r="G271" i="2"/>
  <c r="E271" i="2"/>
  <c r="C271" i="2"/>
  <c r="B271" i="2"/>
  <c r="A271" i="2"/>
  <c r="L270" i="2"/>
  <c r="K270" i="2"/>
  <c r="J270" i="2"/>
  <c r="H270" i="2"/>
  <c r="G270" i="2"/>
  <c r="F270" i="2"/>
  <c r="D270" i="2"/>
  <c r="C270" i="2"/>
  <c r="B270" i="2"/>
  <c r="A270" i="2"/>
  <c r="M270" i="2" s="1"/>
  <c r="M269" i="2"/>
  <c r="K269" i="2"/>
  <c r="I269" i="2"/>
  <c r="H269" i="2"/>
  <c r="G269" i="2"/>
  <c r="E269" i="2"/>
  <c r="D269" i="2"/>
  <c r="C269" i="2"/>
  <c r="A269" i="2"/>
  <c r="M268" i="2"/>
  <c r="J268" i="2"/>
  <c r="F268" i="2"/>
  <c r="E268" i="2"/>
  <c r="B268" i="2"/>
  <c r="A268" i="2"/>
  <c r="I268" i="2" s="1"/>
  <c r="M267" i="2"/>
  <c r="J267" i="2"/>
  <c r="I267" i="2"/>
  <c r="G267" i="2"/>
  <c r="E267" i="2"/>
  <c r="C267" i="2"/>
  <c r="B267" i="2"/>
  <c r="A267" i="2"/>
  <c r="L266" i="2"/>
  <c r="K266" i="2"/>
  <c r="J266" i="2"/>
  <c r="H266" i="2"/>
  <c r="G266" i="2"/>
  <c r="F266" i="2"/>
  <c r="D266" i="2"/>
  <c r="C266" i="2"/>
  <c r="B266" i="2"/>
  <c r="A266" i="2"/>
  <c r="I266" i="2" s="1"/>
  <c r="M265" i="2"/>
  <c r="K265" i="2"/>
  <c r="I265" i="2"/>
  <c r="H265" i="2"/>
  <c r="G265" i="2"/>
  <c r="E265" i="2"/>
  <c r="D265" i="2"/>
  <c r="C265" i="2"/>
  <c r="A265" i="2"/>
  <c r="M264" i="2"/>
  <c r="J264" i="2"/>
  <c r="F264" i="2"/>
  <c r="E264" i="2"/>
  <c r="B264" i="2"/>
  <c r="A264" i="2"/>
  <c r="I264" i="2" s="1"/>
  <c r="M263" i="2"/>
  <c r="J263" i="2"/>
  <c r="I263" i="2"/>
  <c r="G263" i="2"/>
  <c r="E263" i="2"/>
  <c r="C263" i="2"/>
  <c r="B263" i="2"/>
  <c r="A263" i="2"/>
  <c r="L262" i="2"/>
  <c r="K262" i="2"/>
  <c r="J262" i="2"/>
  <c r="H262" i="2"/>
  <c r="G262" i="2"/>
  <c r="F262" i="2"/>
  <c r="D262" i="2"/>
  <c r="C262" i="2"/>
  <c r="B262" i="2"/>
  <c r="A262" i="2"/>
  <c r="M262" i="2" s="1"/>
  <c r="M261" i="2"/>
  <c r="K261" i="2"/>
  <c r="I261" i="2"/>
  <c r="H261" i="2"/>
  <c r="G261" i="2"/>
  <c r="E261" i="2"/>
  <c r="D261" i="2"/>
  <c r="C261" i="2"/>
  <c r="A261" i="2"/>
  <c r="M260" i="2"/>
  <c r="J260" i="2"/>
  <c r="F260" i="2"/>
  <c r="E260" i="2"/>
  <c r="B260" i="2"/>
  <c r="A260" i="2"/>
  <c r="I260" i="2" s="1"/>
  <c r="M259" i="2"/>
  <c r="J259" i="2"/>
  <c r="I259" i="2"/>
  <c r="G259" i="2"/>
  <c r="E259" i="2"/>
  <c r="C259" i="2"/>
  <c r="B259" i="2"/>
  <c r="A259" i="2"/>
  <c r="L258" i="2"/>
  <c r="K258" i="2"/>
  <c r="J258" i="2"/>
  <c r="H258" i="2"/>
  <c r="G258" i="2"/>
  <c r="F258" i="2"/>
  <c r="D258" i="2"/>
  <c r="C258" i="2"/>
  <c r="B258" i="2"/>
  <c r="A258" i="2"/>
  <c r="I258" i="2" s="1"/>
  <c r="M257" i="2"/>
  <c r="K257" i="2"/>
  <c r="I257" i="2"/>
  <c r="H257" i="2"/>
  <c r="G257" i="2"/>
  <c r="E257" i="2"/>
  <c r="D257" i="2"/>
  <c r="C257" i="2"/>
  <c r="A257" i="2"/>
  <c r="M256" i="2"/>
  <c r="J256" i="2"/>
  <c r="F256" i="2"/>
  <c r="E256" i="2"/>
  <c r="B256" i="2"/>
  <c r="A256" i="2"/>
  <c r="I256" i="2" s="1"/>
  <c r="M255" i="2"/>
  <c r="J255" i="2"/>
  <c r="I255" i="2"/>
  <c r="G255" i="2"/>
  <c r="E255" i="2"/>
  <c r="C255" i="2"/>
  <c r="B255" i="2"/>
  <c r="A255" i="2"/>
  <c r="L254" i="2"/>
  <c r="K254" i="2"/>
  <c r="J254" i="2"/>
  <c r="H254" i="2"/>
  <c r="G254" i="2"/>
  <c r="F254" i="2"/>
  <c r="D254" i="2"/>
  <c r="C254" i="2"/>
  <c r="B254" i="2"/>
  <c r="A254" i="2"/>
  <c r="M254" i="2" s="1"/>
  <c r="M253" i="2"/>
  <c r="K253" i="2"/>
  <c r="I253" i="2"/>
  <c r="H253" i="2"/>
  <c r="G253" i="2"/>
  <c r="E253" i="2"/>
  <c r="D253" i="2"/>
  <c r="C253" i="2"/>
  <c r="A253" i="2"/>
  <c r="M252" i="2"/>
  <c r="J252" i="2"/>
  <c r="F252" i="2"/>
  <c r="E252" i="2"/>
  <c r="B252" i="2"/>
  <c r="A252" i="2"/>
  <c r="I252" i="2" s="1"/>
  <c r="M251" i="2"/>
  <c r="J251" i="2"/>
  <c r="I251" i="2"/>
  <c r="G251" i="2"/>
  <c r="E251" i="2"/>
  <c r="C251" i="2"/>
  <c r="B251" i="2"/>
  <c r="A251" i="2"/>
  <c r="L250" i="2"/>
  <c r="K250" i="2"/>
  <c r="J250" i="2"/>
  <c r="H250" i="2"/>
  <c r="G250" i="2"/>
  <c r="F250" i="2"/>
  <c r="D250" i="2"/>
  <c r="C250" i="2"/>
  <c r="B250" i="2"/>
  <c r="A250" i="2"/>
  <c r="I250" i="2" s="1"/>
  <c r="M249" i="2"/>
  <c r="K249" i="2"/>
  <c r="I249" i="2"/>
  <c r="H249" i="2"/>
  <c r="G249" i="2"/>
  <c r="E249" i="2"/>
  <c r="D249" i="2"/>
  <c r="C249" i="2"/>
  <c r="A249" i="2"/>
  <c r="M248" i="2"/>
  <c r="J248" i="2"/>
  <c r="F248" i="2"/>
  <c r="E248" i="2"/>
  <c r="B248" i="2"/>
  <c r="A248" i="2"/>
  <c r="I248" i="2" s="1"/>
  <c r="M247" i="2"/>
  <c r="J247" i="2"/>
  <c r="I247" i="2"/>
  <c r="G247" i="2"/>
  <c r="E247" i="2"/>
  <c r="C247" i="2"/>
  <c r="B247" i="2"/>
  <c r="A247" i="2"/>
  <c r="L246" i="2"/>
  <c r="K246" i="2"/>
  <c r="J246" i="2"/>
  <c r="H246" i="2"/>
  <c r="G246" i="2"/>
  <c r="F246" i="2"/>
  <c r="D246" i="2"/>
  <c r="C246" i="2"/>
  <c r="B246" i="2"/>
  <c r="A246" i="2"/>
  <c r="M246" i="2" s="1"/>
  <c r="M245" i="2"/>
  <c r="K245" i="2"/>
  <c r="I245" i="2"/>
  <c r="H245" i="2"/>
  <c r="G245" i="2"/>
  <c r="E245" i="2"/>
  <c r="D245" i="2"/>
  <c r="C245" i="2"/>
  <c r="A245" i="2"/>
  <c r="M244" i="2"/>
  <c r="J244" i="2"/>
  <c r="F244" i="2"/>
  <c r="E244" i="2"/>
  <c r="B244" i="2"/>
  <c r="A244" i="2"/>
  <c r="I244" i="2" s="1"/>
  <c r="M243" i="2"/>
  <c r="J243" i="2"/>
  <c r="I243" i="2"/>
  <c r="G243" i="2"/>
  <c r="E243" i="2"/>
  <c r="C243" i="2"/>
  <c r="B243" i="2"/>
  <c r="A243" i="2"/>
  <c r="L242" i="2"/>
  <c r="K242" i="2"/>
  <c r="J242" i="2"/>
  <c r="H242" i="2"/>
  <c r="G242" i="2"/>
  <c r="F242" i="2"/>
  <c r="D242" i="2"/>
  <c r="C242" i="2"/>
  <c r="B242" i="2"/>
  <c r="A242" i="2"/>
  <c r="I242" i="2" s="1"/>
  <c r="M241" i="2"/>
  <c r="K241" i="2"/>
  <c r="I241" i="2"/>
  <c r="H241" i="2"/>
  <c r="G241" i="2"/>
  <c r="E241" i="2"/>
  <c r="D241" i="2"/>
  <c r="C241" i="2"/>
  <c r="A241" i="2"/>
  <c r="M240" i="2"/>
  <c r="J240" i="2"/>
  <c r="F240" i="2"/>
  <c r="E240" i="2"/>
  <c r="B240" i="2"/>
  <c r="A240" i="2"/>
  <c r="I240" i="2" s="1"/>
  <c r="M239" i="2"/>
  <c r="J239" i="2"/>
  <c r="I239" i="2"/>
  <c r="G239" i="2"/>
  <c r="E239" i="2"/>
  <c r="C239" i="2"/>
  <c r="B239" i="2"/>
  <c r="A239" i="2"/>
  <c r="L238" i="2"/>
  <c r="K238" i="2"/>
  <c r="J238" i="2"/>
  <c r="H238" i="2"/>
  <c r="G238" i="2"/>
  <c r="F238" i="2"/>
  <c r="D238" i="2"/>
  <c r="C238" i="2"/>
  <c r="B238" i="2"/>
  <c r="A238" i="2"/>
  <c r="M238" i="2" s="1"/>
  <c r="M237" i="2"/>
  <c r="K237" i="2"/>
  <c r="I237" i="2"/>
  <c r="H237" i="2"/>
  <c r="G237" i="2"/>
  <c r="E237" i="2"/>
  <c r="D237" i="2"/>
  <c r="C237" i="2"/>
  <c r="A237" i="2"/>
  <c r="M236" i="2"/>
  <c r="J236" i="2"/>
  <c r="F236" i="2"/>
  <c r="E236" i="2"/>
  <c r="B236" i="2"/>
  <c r="A236" i="2"/>
  <c r="I236" i="2" s="1"/>
  <c r="M235" i="2"/>
  <c r="J235" i="2"/>
  <c r="I235" i="2"/>
  <c r="G235" i="2"/>
  <c r="E235" i="2"/>
  <c r="C235" i="2"/>
  <c r="B235" i="2"/>
  <c r="A235" i="2"/>
  <c r="L234" i="2"/>
  <c r="K234" i="2"/>
  <c r="J234" i="2"/>
  <c r="H234" i="2"/>
  <c r="G234" i="2"/>
  <c r="F234" i="2"/>
  <c r="D234" i="2"/>
  <c r="C234" i="2"/>
  <c r="B234" i="2"/>
  <c r="A234" i="2"/>
  <c r="I234" i="2" s="1"/>
  <c r="M233" i="2"/>
  <c r="K233" i="2"/>
  <c r="I233" i="2"/>
  <c r="H233" i="2"/>
  <c r="G233" i="2"/>
  <c r="E233" i="2"/>
  <c r="D233" i="2"/>
  <c r="C233" i="2"/>
  <c r="A233" i="2"/>
  <c r="M232" i="2"/>
  <c r="J232" i="2"/>
  <c r="F232" i="2"/>
  <c r="E232" i="2"/>
  <c r="B232" i="2"/>
  <c r="A232" i="2"/>
  <c r="I232" i="2" s="1"/>
  <c r="M231" i="2"/>
  <c r="J231" i="2"/>
  <c r="I231" i="2"/>
  <c r="G231" i="2"/>
  <c r="E231" i="2"/>
  <c r="C231" i="2"/>
  <c r="B231" i="2"/>
  <c r="A231" i="2"/>
  <c r="L230" i="2"/>
  <c r="K230" i="2"/>
  <c r="J230" i="2"/>
  <c r="H230" i="2"/>
  <c r="G230" i="2"/>
  <c r="F230" i="2"/>
  <c r="D230" i="2"/>
  <c r="C230" i="2"/>
  <c r="B230" i="2"/>
  <c r="A230" i="2"/>
  <c r="M230" i="2" s="1"/>
  <c r="M229" i="2"/>
  <c r="K229" i="2"/>
  <c r="I229" i="2"/>
  <c r="H229" i="2"/>
  <c r="G229" i="2"/>
  <c r="E229" i="2"/>
  <c r="D229" i="2"/>
  <c r="C229" i="2"/>
  <c r="A229" i="2"/>
  <c r="M228" i="2"/>
  <c r="J228" i="2"/>
  <c r="F228" i="2"/>
  <c r="E228" i="2"/>
  <c r="B228" i="2"/>
  <c r="A228" i="2"/>
  <c r="I228" i="2" s="1"/>
  <c r="M227" i="2"/>
  <c r="J227" i="2"/>
  <c r="I227" i="2"/>
  <c r="G227" i="2"/>
  <c r="E227" i="2"/>
  <c r="C227" i="2"/>
  <c r="B227" i="2"/>
  <c r="A227" i="2"/>
  <c r="L226" i="2"/>
  <c r="K226" i="2"/>
  <c r="J226" i="2"/>
  <c r="H226" i="2"/>
  <c r="G226" i="2"/>
  <c r="F226" i="2"/>
  <c r="D226" i="2"/>
  <c r="C226" i="2"/>
  <c r="B226" i="2"/>
  <c r="A226" i="2"/>
  <c r="I226" i="2" s="1"/>
  <c r="M225" i="2"/>
  <c r="K225" i="2"/>
  <c r="I225" i="2"/>
  <c r="H225" i="2"/>
  <c r="G225" i="2"/>
  <c r="E225" i="2"/>
  <c r="D225" i="2"/>
  <c r="C225" i="2"/>
  <c r="A225" i="2"/>
  <c r="M224" i="2"/>
  <c r="J224" i="2"/>
  <c r="F224" i="2"/>
  <c r="E224" i="2"/>
  <c r="B224" i="2"/>
  <c r="A224" i="2"/>
  <c r="I224" i="2" s="1"/>
  <c r="M223" i="2"/>
  <c r="J223" i="2"/>
  <c r="I223" i="2"/>
  <c r="G223" i="2"/>
  <c r="E223" i="2"/>
  <c r="C223" i="2"/>
  <c r="B223" i="2"/>
  <c r="A223" i="2"/>
  <c r="L222" i="2"/>
  <c r="K222" i="2"/>
  <c r="J222" i="2"/>
  <c r="H222" i="2"/>
  <c r="G222" i="2"/>
  <c r="F222" i="2"/>
  <c r="D222" i="2"/>
  <c r="C222" i="2"/>
  <c r="B222" i="2"/>
  <c r="A222" i="2"/>
  <c r="M222" i="2" s="1"/>
  <c r="M221" i="2"/>
  <c r="K221" i="2"/>
  <c r="I221" i="2"/>
  <c r="H221" i="2"/>
  <c r="G221" i="2"/>
  <c r="E221" i="2"/>
  <c r="D221" i="2"/>
  <c r="C221" i="2"/>
  <c r="A221" i="2"/>
  <c r="M220" i="2"/>
  <c r="J220" i="2"/>
  <c r="F220" i="2"/>
  <c r="E220" i="2"/>
  <c r="B220" i="2"/>
  <c r="A220" i="2"/>
  <c r="I220" i="2" s="1"/>
  <c r="M219" i="2"/>
  <c r="J219" i="2"/>
  <c r="I219" i="2"/>
  <c r="G219" i="2"/>
  <c r="E219" i="2"/>
  <c r="C219" i="2"/>
  <c r="B219" i="2"/>
  <c r="A219" i="2"/>
  <c r="L218" i="2"/>
  <c r="K218" i="2"/>
  <c r="J218" i="2"/>
  <c r="H218" i="2"/>
  <c r="G218" i="2"/>
  <c r="F218" i="2"/>
  <c r="D218" i="2"/>
  <c r="C218" i="2"/>
  <c r="B218" i="2"/>
  <c r="A218" i="2"/>
  <c r="I218" i="2" s="1"/>
  <c r="M217" i="2"/>
  <c r="K217" i="2"/>
  <c r="I217" i="2"/>
  <c r="H217" i="2"/>
  <c r="G217" i="2"/>
  <c r="E217" i="2"/>
  <c r="D217" i="2"/>
  <c r="C217" i="2"/>
  <c r="A217" i="2"/>
  <c r="M216" i="2"/>
  <c r="J216" i="2"/>
  <c r="F216" i="2"/>
  <c r="E216" i="2"/>
  <c r="B216" i="2"/>
  <c r="A216" i="2"/>
  <c r="I216" i="2" s="1"/>
  <c r="M215" i="2"/>
  <c r="J215" i="2"/>
  <c r="I215" i="2"/>
  <c r="G215" i="2"/>
  <c r="E215" i="2"/>
  <c r="C215" i="2"/>
  <c r="B215" i="2"/>
  <c r="A215" i="2"/>
  <c r="L214" i="2"/>
  <c r="K214" i="2"/>
  <c r="J214" i="2"/>
  <c r="H214" i="2"/>
  <c r="G214" i="2"/>
  <c r="F214" i="2"/>
  <c r="D214" i="2"/>
  <c r="C214" i="2"/>
  <c r="B214" i="2"/>
  <c r="A214" i="2"/>
  <c r="M214" i="2" s="1"/>
  <c r="M213" i="2"/>
  <c r="K213" i="2"/>
  <c r="I213" i="2"/>
  <c r="H213" i="2"/>
  <c r="G213" i="2"/>
  <c r="E213" i="2"/>
  <c r="D213" i="2"/>
  <c r="C213" i="2"/>
  <c r="A213" i="2"/>
  <c r="M212" i="2"/>
  <c r="J212" i="2"/>
  <c r="F212" i="2"/>
  <c r="E212" i="2"/>
  <c r="B212" i="2"/>
  <c r="A212" i="2"/>
  <c r="I212" i="2" s="1"/>
  <c r="M211" i="2"/>
  <c r="J211" i="2"/>
  <c r="I211" i="2"/>
  <c r="G211" i="2"/>
  <c r="E211" i="2"/>
  <c r="C211" i="2"/>
  <c r="B211" i="2"/>
  <c r="A211" i="2"/>
  <c r="M210" i="2"/>
  <c r="L210" i="2"/>
  <c r="K210" i="2"/>
  <c r="J210" i="2"/>
  <c r="H210" i="2"/>
  <c r="G210" i="2"/>
  <c r="F210" i="2"/>
  <c r="E210" i="2"/>
  <c r="D210" i="2"/>
  <c r="C210" i="2"/>
  <c r="B210" i="2"/>
  <c r="A210" i="2"/>
  <c r="I210" i="2" s="1"/>
  <c r="M209" i="2"/>
  <c r="K209" i="2"/>
  <c r="H209" i="2"/>
  <c r="G209" i="2"/>
  <c r="E209" i="2"/>
  <c r="C209" i="2"/>
  <c r="A209" i="2"/>
  <c r="F209" i="2" s="1"/>
  <c r="M208" i="2"/>
  <c r="L208" i="2"/>
  <c r="J208" i="2"/>
  <c r="H208" i="2"/>
  <c r="E208" i="2"/>
  <c r="D208" i="2"/>
  <c r="B208" i="2"/>
  <c r="A208" i="2"/>
  <c r="K208" i="2" s="1"/>
  <c r="A207" i="2"/>
  <c r="H207" i="2" s="1"/>
  <c r="L206" i="2"/>
  <c r="K206" i="2"/>
  <c r="J206" i="2"/>
  <c r="H206" i="2"/>
  <c r="G206" i="2"/>
  <c r="F206" i="2"/>
  <c r="D206" i="2"/>
  <c r="C206" i="2"/>
  <c r="B206" i="2"/>
  <c r="A206" i="2"/>
  <c r="M206" i="2" s="1"/>
  <c r="L205" i="2"/>
  <c r="K205" i="2"/>
  <c r="G205" i="2"/>
  <c r="D205" i="2"/>
  <c r="C205" i="2"/>
  <c r="A205" i="2"/>
  <c r="J205" i="2" s="1"/>
  <c r="H204" i="2"/>
  <c r="A204" i="2"/>
  <c r="G204" i="2" s="1"/>
  <c r="M203" i="2"/>
  <c r="F203" i="2"/>
  <c r="E203" i="2"/>
  <c r="A203" i="2"/>
  <c r="L203" i="2" s="1"/>
  <c r="M202" i="2"/>
  <c r="L202" i="2"/>
  <c r="K202" i="2"/>
  <c r="J202" i="2"/>
  <c r="H202" i="2"/>
  <c r="G202" i="2"/>
  <c r="F202" i="2"/>
  <c r="E202" i="2"/>
  <c r="D202" i="2"/>
  <c r="C202" i="2"/>
  <c r="B202" i="2"/>
  <c r="A202" i="2"/>
  <c r="I202" i="2" s="1"/>
  <c r="M201" i="2"/>
  <c r="K201" i="2"/>
  <c r="H201" i="2"/>
  <c r="G201" i="2"/>
  <c r="E201" i="2"/>
  <c r="C201" i="2"/>
  <c r="A201" i="2"/>
  <c r="F201" i="2" s="1"/>
  <c r="M200" i="2"/>
  <c r="L200" i="2"/>
  <c r="J200" i="2"/>
  <c r="H200" i="2"/>
  <c r="F200" i="2"/>
  <c r="E200" i="2"/>
  <c r="D200" i="2"/>
  <c r="B200" i="2"/>
  <c r="A200" i="2"/>
  <c r="K200" i="2" s="1"/>
  <c r="A199" i="2"/>
  <c r="H199" i="2" s="1"/>
  <c r="L198" i="2"/>
  <c r="K198" i="2"/>
  <c r="J198" i="2"/>
  <c r="H198" i="2"/>
  <c r="G198" i="2"/>
  <c r="F198" i="2"/>
  <c r="D198" i="2"/>
  <c r="C198" i="2"/>
  <c r="B198" i="2"/>
  <c r="A198" i="2"/>
  <c r="M198" i="2" s="1"/>
  <c r="L197" i="2"/>
  <c r="K197" i="2"/>
  <c r="G197" i="2"/>
  <c r="D197" i="2"/>
  <c r="C197" i="2"/>
  <c r="A197" i="2"/>
  <c r="J197" i="2" s="1"/>
  <c r="H196" i="2"/>
  <c r="A196" i="2"/>
  <c r="G196" i="2" s="1"/>
  <c r="M195" i="2"/>
  <c r="F195" i="2"/>
  <c r="E195" i="2"/>
  <c r="A195" i="2"/>
  <c r="L195" i="2" s="1"/>
  <c r="L194" i="2"/>
  <c r="K194" i="2"/>
  <c r="J194" i="2"/>
  <c r="H194" i="2"/>
  <c r="G194" i="2"/>
  <c r="F194" i="2"/>
  <c r="D194" i="2"/>
  <c r="C194" i="2"/>
  <c r="B194" i="2"/>
  <c r="A194" i="2"/>
  <c r="I194" i="2" s="1"/>
  <c r="M193" i="2"/>
  <c r="K193" i="2"/>
  <c r="H193" i="2"/>
  <c r="G193" i="2"/>
  <c r="E193" i="2"/>
  <c r="C193" i="2"/>
  <c r="A193" i="2"/>
  <c r="F193" i="2" s="1"/>
  <c r="M192" i="2"/>
  <c r="L192" i="2"/>
  <c r="J192" i="2"/>
  <c r="H192" i="2"/>
  <c r="F192" i="2"/>
  <c r="E192" i="2"/>
  <c r="D192" i="2"/>
  <c r="B192" i="2"/>
  <c r="A192" i="2"/>
  <c r="K192" i="2" s="1"/>
  <c r="A191" i="2"/>
  <c r="H191" i="2" s="1"/>
  <c r="L190" i="2"/>
  <c r="K190" i="2"/>
  <c r="J190" i="2"/>
  <c r="H190" i="2"/>
  <c r="G190" i="2"/>
  <c r="F190" i="2"/>
  <c r="D190" i="2"/>
  <c r="C190" i="2"/>
  <c r="B190" i="2"/>
  <c r="A190" i="2"/>
  <c r="M190" i="2" s="1"/>
  <c r="L189" i="2"/>
  <c r="K189" i="2"/>
  <c r="G189" i="2"/>
  <c r="D189" i="2"/>
  <c r="C189" i="2"/>
  <c r="A189" i="2"/>
  <c r="J189" i="2" s="1"/>
  <c r="H188" i="2"/>
  <c r="A188" i="2"/>
  <c r="G188" i="2" s="1"/>
  <c r="M187" i="2"/>
  <c r="F187" i="2"/>
  <c r="E187" i="2"/>
  <c r="A187" i="2"/>
  <c r="L187" i="2" s="1"/>
  <c r="L186" i="2"/>
  <c r="K186" i="2"/>
  <c r="J186" i="2"/>
  <c r="H186" i="2"/>
  <c r="G186" i="2"/>
  <c r="F186" i="2"/>
  <c r="D186" i="2"/>
  <c r="C186" i="2"/>
  <c r="B186" i="2"/>
  <c r="A186" i="2"/>
  <c r="I186" i="2" s="1"/>
  <c r="M185" i="2"/>
  <c r="K185" i="2"/>
  <c r="H185" i="2"/>
  <c r="G185" i="2"/>
  <c r="E185" i="2"/>
  <c r="C185" i="2"/>
  <c r="A185" i="2"/>
  <c r="F185" i="2" s="1"/>
  <c r="M184" i="2"/>
  <c r="L184" i="2"/>
  <c r="J184" i="2"/>
  <c r="H184" i="2"/>
  <c r="E184" i="2"/>
  <c r="D184" i="2"/>
  <c r="B184" i="2"/>
  <c r="A184" i="2"/>
  <c r="K184" i="2" s="1"/>
  <c r="A183" i="2"/>
  <c r="H183" i="2" s="1"/>
  <c r="L182" i="2"/>
  <c r="K182" i="2"/>
  <c r="J182" i="2"/>
  <c r="H182" i="2"/>
  <c r="G182" i="2"/>
  <c r="F182" i="2"/>
  <c r="D182" i="2"/>
  <c r="C182" i="2"/>
  <c r="B182" i="2"/>
  <c r="A182" i="2"/>
  <c r="M182" i="2" s="1"/>
  <c r="L181" i="2"/>
  <c r="K181" i="2"/>
  <c r="G181" i="2"/>
  <c r="D181" i="2"/>
  <c r="C181" i="2"/>
  <c r="A181" i="2"/>
  <c r="J181" i="2" s="1"/>
  <c r="H180" i="2"/>
  <c r="A180" i="2"/>
  <c r="G180" i="2" s="1"/>
  <c r="M179" i="2"/>
  <c r="F179" i="2"/>
  <c r="E179" i="2"/>
  <c r="A179" i="2"/>
  <c r="L179" i="2" s="1"/>
  <c r="L178" i="2"/>
  <c r="K178" i="2"/>
  <c r="J178" i="2"/>
  <c r="H178" i="2"/>
  <c r="G178" i="2"/>
  <c r="F178" i="2"/>
  <c r="D178" i="2"/>
  <c r="C178" i="2"/>
  <c r="B178" i="2"/>
  <c r="A178" i="2"/>
  <c r="I178" i="2" s="1"/>
  <c r="M177" i="2"/>
  <c r="K177" i="2"/>
  <c r="H177" i="2"/>
  <c r="G177" i="2"/>
  <c r="E177" i="2"/>
  <c r="C177" i="2"/>
  <c r="A177" i="2"/>
  <c r="F177" i="2" s="1"/>
  <c r="M176" i="2"/>
  <c r="L176" i="2"/>
  <c r="J176" i="2"/>
  <c r="H176" i="2"/>
  <c r="E176" i="2"/>
  <c r="D176" i="2"/>
  <c r="B176" i="2"/>
  <c r="A176" i="2"/>
  <c r="K176" i="2" s="1"/>
  <c r="A175" i="2"/>
  <c r="H175" i="2" s="1"/>
  <c r="L174" i="2"/>
  <c r="K174" i="2"/>
  <c r="J174" i="2"/>
  <c r="H174" i="2"/>
  <c r="G174" i="2"/>
  <c r="F174" i="2"/>
  <c r="D174" i="2"/>
  <c r="C174" i="2"/>
  <c r="B174" i="2"/>
  <c r="A174" i="2"/>
  <c r="M174" i="2" s="1"/>
  <c r="L173" i="2"/>
  <c r="K173" i="2"/>
  <c r="G173" i="2"/>
  <c r="D173" i="2"/>
  <c r="C173" i="2"/>
  <c r="A173" i="2"/>
  <c r="J173" i="2" s="1"/>
  <c r="H172" i="2"/>
  <c r="A172" i="2"/>
  <c r="G172" i="2" s="1"/>
  <c r="M171" i="2"/>
  <c r="F171" i="2"/>
  <c r="E171" i="2"/>
  <c r="A171" i="2"/>
  <c r="L171" i="2" s="1"/>
  <c r="L170" i="2"/>
  <c r="K170" i="2"/>
  <c r="J170" i="2"/>
  <c r="H170" i="2"/>
  <c r="G170" i="2"/>
  <c r="F170" i="2"/>
  <c r="D170" i="2"/>
  <c r="C170" i="2"/>
  <c r="B170" i="2"/>
  <c r="A170" i="2"/>
  <c r="I170" i="2" s="1"/>
  <c r="M169" i="2"/>
  <c r="K169" i="2"/>
  <c r="H169" i="2"/>
  <c r="G169" i="2"/>
  <c r="E169" i="2"/>
  <c r="C169" i="2"/>
  <c r="A169" i="2"/>
  <c r="F169" i="2" s="1"/>
  <c r="M168" i="2"/>
  <c r="L168" i="2"/>
  <c r="J168" i="2"/>
  <c r="H168" i="2"/>
  <c r="E168" i="2"/>
  <c r="D168" i="2"/>
  <c r="B168" i="2"/>
  <c r="A168" i="2"/>
  <c r="K168" i="2" s="1"/>
  <c r="A167" i="2"/>
  <c r="H167" i="2" s="1"/>
  <c r="L166" i="2"/>
  <c r="K166" i="2"/>
  <c r="J166" i="2"/>
  <c r="H166" i="2"/>
  <c r="G166" i="2"/>
  <c r="F166" i="2"/>
  <c r="D166" i="2"/>
  <c r="C166" i="2"/>
  <c r="B166" i="2"/>
  <c r="A166" i="2"/>
  <c r="M166" i="2" s="1"/>
  <c r="L165" i="2"/>
  <c r="K165" i="2"/>
  <c r="G165" i="2"/>
  <c r="D165" i="2"/>
  <c r="C165" i="2"/>
  <c r="A165" i="2"/>
  <c r="J165" i="2" s="1"/>
  <c r="H164" i="2"/>
  <c r="A164" i="2"/>
  <c r="G164" i="2" s="1"/>
  <c r="M163" i="2"/>
  <c r="F163" i="2"/>
  <c r="E163" i="2"/>
  <c r="A163" i="2"/>
  <c r="L163" i="2" s="1"/>
  <c r="L162" i="2"/>
  <c r="K162" i="2"/>
  <c r="J162" i="2"/>
  <c r="H162" i="2"/>
  <c r="G162" i="2"/>
  <c r="F162" i="2"/>
  <c r="D162" i="2"/>
  <c r="C162" i="2"/>
  <c r="B162" i="2"/>
  <c r="A162" i="2"/>
  <c r="I162" i="2" s="1"/>
  <c r="M161" i="2"/>
  <c r="K161" i="2"/>
  <c r="H161" i="2"/>
  <c r="G161" i="2"/>
  <c r="E161" i="2"/>
  <c r="C161" i="2"/>
  <c r="A161" i="2"/>
  <c r="F161" i="2" s="1"/>
  <c r="M160" i="2"/>
  <c r="L160" i="2"/>
  <c r="J160" i="2"/>
  <c r="H160" i="2"/>
  <c r="E160" i="2"/>
  <c r="D160" i="2"/>
  <c r="B160" i="2"/>
  <c r="A160" i="2"/>
  <c r="K160" i="2" s="1"/>
  <c r="A159" i="2"/>
  <c r="H159" i="2" s="1"/>
  <c r="L158" i="2"/>
  <c r="K158" i="2"/>
  <c r="J158" i="2"/>
  <c r="H158" i="2"/>
  <c r="G158" i="2"/>
  <c r="F158" i="2"/>
  <c r="D158" i="2"/>
  <c r="C158" i="2"/>
  <c r="B158" i="2"/>
  <c r="A158" i="2"/>
  <c r="M158" i="2" s="1"/>
  <c r="L157" i="2"/>
  <c r="K157" i="2"/>
  <c r="G157" i="2"/>
  <c r="D157" i="2"/>
  <c r="C157" i="2"/>
  <c r="A157" i="2"/>
  <c r="J157" i="2" s="1"/>
  <c r="H156" i="2"/>
  <c r="A156" i="2"/>
  <c r="G156" i="2" s="1"/>
  <c r="M155" i="2"/>
  <c r="F155" i="2"/>
  <c r="E155" i="2"/>
  <c r="A155" i="2"/>
  <c r="L155" i="2" s="1"/>
  <c r="L154" i="2"/>
  <c r="K154" i="2"/>
  <c r="J154" i="2"/>
  <c r="H154" i="2"/>
  <c r="G154" i="2"/>
  <c r="F154" i="2"/>
  <c r="D154" i="2"/>
  <c r="C154" i="2"/>
  <c r="B154" i="2"/>
  <c r="A154" i="2"/>
  <c r="I154" i="2" s="1"/>
  <c r="M153" i="2"/>
  <c r="K153" i="2"/>
  <c r="H153" i="2"/>
  <c r="G153" i="2"/>
  <c r="E153" i="2"/>
  <c r="C153" i="2"/>
  <c r="A153" i="2"/>
  <c r="F153" i="2" s="1"/>
  <c r="M152" i="2"/>
  <c r="L152" i="2"/>
  <c r="J152" i="2"/>
  <c r="H152" i="2"/>
  <c r="E152" i="2"/>
  <c r="D152" i="2"/>
  <c r="B152" i="2"/>
  <c r="A152" i="2"/>
  <c r="K152" i="2" s="1"/>
  <c r="A151" i="2"/>
  <c r="H151" i="2" s="1"/>
  <c r="L150" i="2"/>
  <c r="K150" i="2"/>
  <c r="J150" i="2"/>
  <c r="H150" i="2"/>
  <c r="G150" i="2"/>
  <c r="F150" i="2"/>
  <c r="D150" i="2"/>
  <c r="C150" i="2"/>
  <c r="B150" i="2"/>
  <c r="A150" i="2"/>
  <c r="M150" i="2" s="1"/>
  <c r="L149" i="2"/>
  <c r="K149" i="2"/>
  <c r="G149" i="2"/>
  <c r="D149" i="2"/>
  <c r="C149" i="2"/>
  <c r="A149" i="2"/>
  <c r="J149" i="2" s="1"/>
  <c r="H148" i="2"/>
  <c r="A148" i="2"/>
  <c r="G148" i="2" s="1"/>
  <c r="M147" i="2"/>
  <c r="F147" i="2"/>
  <c r="E147" i="2"/>
  <c r="A147" i="2"/>
  <c r="L147" i="2" s="1"/>
  <c r="L146" i="2"/>
  <c r="K146" i="2"/>
  <c r="J146" i="2"/>
  <c r="H146" i="2"/>
  <c r="G146" i="2"/>
  <c r="F146" i="2"/>
  <c r="D146" i="2"/>
  <c r="C146" i="2"/>
  <c r="B146" i="2"/>
  <c r="A146" i="2"/>
  <c r="I146" i="2" s="1"/>
  <c r="M145" i="2"/>
  <c r="K145" i="2"/>
  <c r="H145" i="2"/>
  <c r="G145" i="2"/>
  <c r="E145" i="2"/>
  <c r="C145" i="2"/>
  <c r="A145" i="2"/>
  <c r="F145" i="2" s="1"/>
  <c r="M144" i="2"/>
  <c r="L144" i="2"/>
  <c r="J144" i="2"/>
  <c r="H144" i="2"/>
  <c r="E144" i="2"/>
  <c r="D144" i="2"/>
  <c r="B144" i="2"/>
  <c r="A144" i="2"/>
  <c r="K144" i="2" s="1"/>
  <c r="A143" i="2"/>
  <c r="H143" i="2" s="1"/>
  <c r="L142" i="2"/>
  <c r="K142" i="2"/>
  <c r="J142" i="2"/>
  <c r="H142" i="2"/>
  <c r="G142" i="2"/>
  <c r="F142" i="2"/>
  <c r="D142" i="2"/>
  <c r="C142" i="2"/>
  <c r="B142" i="2"/>
  <c r="A142" i="2"/>
  <c r="M142" i="2" s="1"/>
  <c r="L141" i="2"/>
  <c r="K141" i="2"/>
  <c r="G141" i="2"/>
  <c r="D141" i="2"/>
  <c r="C141" i="2"/>
  <c r="A141" i="2"/>
  <c r="J141" i="2" s="1"/>
  <c r="H140" i="2"/>
  <c r="A140" i="2"/>
  <c r="G140" i="2" s="1"/>
  <c r="M139" i="2"/>
  <c r="F139" i="2"/>
  <c r="E139" i="2"/>
  <c r="A139" i="2"/>
  <c r="L139" i="2" s="1"/>
  <c r="L138" i="2"/>
  <c r="K138" i="2"/>
  <c r="J138" i="2"/>
  <c r="H138" i="2"/>
  <c r="G138" i="2"/>
  <c r="F138" i="2"/>
  <c r="D138" i="2"/>
  <c r="C138" i="2"/>
  <c r="B138" i="2"/>
  <c r="A138" i="2"/>
  <c r="I138" i="2" s="1"/>
  <c r="M137" i="2"/>
  <c r="K137" i="2"/>
  <c r="H137" i="2"/>
  <c r="G137" i="2"/>
  <c r="E137" i="2"/>
  <c r="C137" i="2"/>
  <c r="A137" i="2"/>
  <c r="F137" i="2" s="1"/>
  <c r="M136" i="2"/>
  <c r="L136" i="2"/>
  <c r="J136" i="2"/>
  <c r="H136" i="2"/>
  <c r="E136" i="2"/>
  <c r="D136" i="2"/>
  <c r="B136" i="2"/>
  <c r="A136" i="2"/>
  <c r="K136" i="2" s="1"/>
  <c r="A135" i="2"/>
  <c r="H135" i="2" s="1"/>
  <c r="L134" i="2"/>
  <c r="K134" i="2"/>
  <c r="J134" i="2"/>
  <c r="H134" i="2"/>
  <c r="G134" i="2"/>
  <c r="F134" i="2"/>
  <c r="D134" i="2"/>
  <c r="C134" i="2"/>
  <c r="B134" i="2"/>
  <c r="A134" i="2"/>
  <c r="M134" i="2" s="1"/>
  <c r="L133" i="2"/>
  <c r="K133" i="2"/>
  <c r="G133" i="2"/>
  <c r="D133" i="2"/>
  <c r="C133" i="2"/>
  <c r="A133" i="2"/>
  <c r="J133" i="2" s="1"/>
  <c r="H132" i="2"/>
  <c r="A132" i="2"/>
  <c r="G132" i="2" s="1"/>
  <c r="M131" i="2"/>
  <c r="F131" i="2"/>
  <c r="E131" i="2"/>
  <c r="A131" i="2"/>
  <c r="L131" i="2" s="1"/>
  <c r="L130" i="2"/>
  <c r="K130" i="2"/>
  <c r="J130" i="2"/>
  <c r="H130" i="2"/>
  <c r="G130" i="2"/>
  <c r="F130" i="2"/>
  <c r="D130" i="2"/>
  <c r="C130" i="2"/>
  <c r="B130" i="2"/>
  <c r="A130" i="2"/>
  <c r="I130" i="2" s="1"/>
  <c r="M129" i="2"/>
  <c r="K129" i="2"/>
  <c r="H129" i="2"/>
  <c r="G129" i="2"/>
  <c r="E129" i="2"/>
  <c r="C129" i="2"/>
  <c r="A129" i="2"/>
  <c r="F129" i="2" s="1"/>
  <c r="M128" i="2"/>
  <c r="L128" i="2"/>
  <c r="J128" i="2"/>
  <c r="H128" i="2"/>
  <c r="E128" i="2"/>
  <c r="D128" i="2"/>
  <c r="B128" i="2"/>
  <c r="A128" i="2"/>
  <c r="K128" i="2" s="1"/>
  <c r="A127" i="2"/>
  <c r="H127" i="2" s="1"/>
  <c r="L126" i="2"/>
  <c r="K126" i="2"/>
  <c r="J126" i="2"/>
  <c r="H126" i="2"/>
  <c r="G126" i="2"/>
  <c r="F126" i="2"/>
  <c r="D126" i="2"/>
  <c r="C126" i="2"/>
  <c r="B126" i="2"/>
  <c r="A126" i="2"/>
  <c r="M126" i="2" s="1"/>
  <c r="L125" i="2"/>
  <c r="K125" i="2"/>
  <c r="G125" i="2"/>
  <c r="D125" i="2"/>
  <c r="C125" i="2"/>
  <c r="A125" i="2"/>
  <c r="J125" i="2" s="1"/>
  <c r="H124" i="2"/>
  <c r="A124" i="2"/>
  <c r="G124" i="2" s="1"/>
  <c r="M123" i="2"/>
  <c r="F123" i="2"/>
  <c r="E123" i="2"/>
  <c r="A123" i="2"/>
  <c r="L123" i="2" s="1"/>
  <c r="L122" i="2"/>
  <c r="K122" i="2"/>
  <c r="J122" i="2"/>
  <c r="H122" i="2"/>
  <c r="G122" i="2"/>
  <c r="F122" i="2"/>
  <c r="D122" i="2"/>
  <c r="C122" i="2"/>
  <c r="B122" i="2"/>
  <c r="A122" i="2"/>
  <c r="I122" i="2" s="1"/>
  <c r="M121" i="2"/>
  <c r="K121" i="2"/>
  <c r="H121" i="2"/>
  <c r="G121" i="2"/>
  <c r="E121" i="2"/>
  <c r="C121" i="2"/>
  <c r="A121" i="2"/>
  <c r="F121" i="2" s="1"/>
  <c r="M120" i="2"/>
  <c r="L120" i="2"/>
  <c r="J120" i="2"/>
  <c r="H120" i="2"/>
  <c r="E120" i="2"/>
  <c r="D120" i="2"/>
  <c r="B120" i="2"/>
  <c r="A120" i="2"/>
  <c r="K120" i="2" s="1"/>
  <c r="A119" i="2"/>
  <c r="H119" i="2" s="1"/>
  <c r="L118" i="2"/>
  <c r="K118" i="2"/>
  <c r="J118" i="2"/>
  <c r="H118" i="2"/>
  <c r="G118" i="2"/>
  <c r="F118" i="2"/>
  <c r="D118" i="2"/>
  <c r="C118" i="2"/>
  <c r="B118" i="2"/>
  <c r="A118" i="2"/>
  <c r="M118" i="2" s="1"/>
  <c r="L117" i="2"/>
  <c r="K117" i="2"/>
  <c r="G117" i="2"/>
  <c r="D117" i="2"/>
  <c r="C117" i="2"/>
  <c r="A117" i="2"/>
  <c r="J117" i="2" s="1"/>
  <c r="H116" i="2"/>
  <c r="A116" i="2"/>
  <c r="G116" i="2" s="1"/>
  <c r="M115" i="2"/>
  <c r="F115" i="2"/>
  <c r="E115" i="2"/>
  <c r="A115" i="2"/>
  <c r="L115" i="2" s="1"/>
  <c r="L114" i="2"/>
  <c r="K114" i="2"/>
  <c r="J114" i="2"/>
  <c r="H114" i="2"/>
  <c r="G114" i="2"/>
  <c r="F114" i="2"/>
  <c r="D114" i="2"/>
  <c r="C114" i="2"/>
  <c r="B114" i="2"/>
  <c r="A114" i="2"/>
  <c r="I114" i="2" s="1"/>
  <c r="M113" i="2"/>
  <c r="K113" i="2"/>
  <c r="H113" i="2"/>
  <c r="G113" i="2"/>
  <c r="E113" i="2"/>
  <c r="C113" i="2"/>
  <c r="A113" i="2"/>
  <c r="F113" i="2" s="1"/>
  <c r="M112" i="2"/>
  <c r="L112" i="2"/>
  <c r="J112" i="2"/>
  <c r="H112" i="2"/>
  <c r="E112" i="2"/>
  <c r="D112" i="2"/>
  <c r="B112" i="2"/>
  <c r="A112" i="2"/>
  <c r="K112" i="2" s="1"/>
  <c r="A111" i="2"/>
  <c r="H111" i="2" s="1"/>
  <c r="L110" i="2"/>
  <c r="K110" i="2"/>
  <c r="J110" i="2"/>
  <c r="H110" i="2"/>
  <c r="G110" i="2"/>
  <c r="F110" i="2"/>
  <c r="D110" i="2"/>
  <c r="C110" i="2"/>
  <c r="B110" i="2"/>
  <c r="A110" i="2"/>
  <c r="M110" i="2" s="1"/>
  <c r="L109" i="2"/>
  <c r="K109" i="2"/>
  <c r="G109" i="2"/>
  <c r="D109" i="2"/>
  <c r="C109" i="2"/>
  <c r="A109" i="2"/>
  <c r="J109" i="2" s="1"/>
  <c r="H108" i="2"/>
  <c r="A108" i="2"/>
  <c r="G108" i="2" s="1"/>
  <c r="M107" i="2"/>
  <c r="F107" i="2"/>
  <c r="E107" i="2"/>
  <c r="A107" i="2"/>
  <c r="L107" i="2" s="1"/>
  <c r="M106" i="2"/>
  <c r="L106" i="2"/>
  <c r="K106" i="2"/>
  <c r="J106" i="2"/>
  <c r="H106" i="2"/>
  <c r="G106" i="2"/>
  <c r="F106" i="2"/>
  <c r="E106" i="2"/>
  <c r="D106" i="2"/>
  <c r="C106" i="2"/>
  <c r="B106" i="2"/>
  <c r="A106" i="2"/>
  <c r="I106" i="2" s="1"/>
  <c r="M105" i="2"/>
  <c r="K105" i="2"/>
  <c r="H105" i="2"/>
  <c r="G105" i="2"/>
  <c r="E105" i="2"/>
  <c r="C105" i="2"/>
  <c r="A105" i="2"/>
  <c r="F105" i="2" s="1"/>
  <c r="M104" i="2"/>
  <c r="L104" i="2"/>
  <c r="J104" i="2"/>
  <c r="H104" i="2"/>
  <c r="E104" i="2"/>
  <c r="D104" i="2"/>
  <c r="B104" i="2"/>
  <c r="A104" i="2"/>
  <c r="K104" i="2" s="1"/>
  <c r="A103" i="2"/>
  <c r="H103" i="2" s="1"/>
  <c r="L102" i="2"/>
  <c r="K102" i="2"/>
  <c r="J102" i="2"/>
  <c r="H102" i="2"/>
  <c r="G102" i="2"/>
  <c r="F102" i="2"/>
  <c r="D102" i="2"/>
  <c r="C102" i="2"/>
  <c r="B102" i="2"/>
  <c r="A102" i="2"/>
  <c r="M102" i="2" s="1"/>
  <c r="L101" i="2"/>
  <c r="K101" i="2"/>
  <c r="G101" i="2"/>
  <c r="D101" i="2"/>
  <c r="C101" i="2"/>
  <c r="A101" i="2"/>
  <c r="J101" i="2" s="1"/>
  <c r="H100" i="2"/>
  <c r="A100" i="2"/>
  <c r="G100" i="2" s="1"/>
  <c r="M99" i="2"/>
  <c r="F99" i="2"/>
  <c r="E99" i="2"/>
  <c r="A99" i="2"/>
  <c r="L99" i="2" s="1"/>
  <c r="M98" i="2"/>
  <c r="L98" i="2"/>
  <c r="K98" i="2"/>
  <c r="J98" i="2"/>
  <c r="H98" i="2"/>
  <c r="G98" i="2"/>
  <c r="F98" i="2"/>
  <c r="E98" i="2"/>
  <c r="D98" i="2"/>
  <c r="C98" i="2"/>
  <c r="B98" i="2"/>
  <c r="A98" i="2"/>
  <c r="I98" i="2" s="1"/>
  <c r="M97" i="2"/>
  <c r="K97" i="2"/>
  <c r="H97" i="2"/>
  <c r="G97" i="2"/>
  <c r="E97" i="2"/>
  <c r="C97" i="2"/>
  <c r="A97" i="2"/>
  <c r="F97" i="2" s="1"/>
  <c r="M96" i="2"/>
  <c r="L96" i="2"/>
  <c r="J96" i="2"/>
  <c r="H96" i="2"/>
  <c r="E96" i="2"/>
  <c r="D96" i="2"/>
  <c r="B96" i="2"/>
  <c r="A96" i="2"/>
  <c r="K96" i="2" s="1"/>
  <c r="A95" i="2"/>
  <c r="H95" i="2" s="1"/>
  <c r="L94" i="2"/>
  <c r="K94" i="2"/>
  <c r="J94" i="2"/>
  <c r="H94" i="2"/>
  <c r="G94" i="2"/>
  <c r="F94" i="2"/>
  <c r="D94" i="2"/>
  <c r="C94" i="2"/>
  <c r="B94" i="2"/>
  <c r="A94" i="2"/>
  <c r="M94" i="2" s="1"/>
  <c r="L93" i="2"/>
  <c r="K93" i="2"/>
  <c r="G93" i="2"/>
  <c r="D93" i="2"/>
  <c r="C93" i="2"/>
  <c r="A93" i="2"/>
  <c r="J93" i="2" s="1"/>
  <c r="H92" i="2"/>
  <c r="A92" i="2"/>
  <c r="G92" i="2" s="1"/>
  <c r="M91" i="2"/>
  <c r="F91" i="2"/>
  <c r="E91" i="2"/>
  <c r="A91" i="2"/>
  <c r="L91" i="2" s="1"/>
  <c r="M90" i="2"/>
  <c r="L90" i="2"/>
  <c r="K90" i="2"/>
  <c r="J90" i="2"/>
  <c r="H90" i="2"/>
  <c r="G90" i="2"/>
  <c r="F90" i="2"/>
  <c r="E90" i="2"/>
  <c r="D90" i="2"/>
  <c r="C90" i="2"/>
  <c r="B90" i="2"/>
  <c r="A90" i="2"/>
  <c r="I90" i="2" s="1"/>
  <c r="M89" i="2"/>
  <c r="K89" i="2"/>
  <c r="H89" i="2"/>
  <c r="G89" i="2"/>
  <c r="E89" i="2"/>
  <c r="C89" i="2"/>
  <c r="A89" i="2"/>
  <c r="F89" i="2" s="1"/>
  <c r="M88" i="2"/>
  <c r="L88" i="2"/>
  <c r="J88" i="2"/>
  <c r="H88" i="2"/>
  <c r="E88" i="2"/>
  <c r="D88" i="2"/>
  <c r="B88" i="2"/>
  <c r="A88" i="2"/>
  <c r="K88" i="2" s="1"/>
  <c r="A87" i="2"/>
  <c r="H87" i="2" s="1"/>
  <c r="L86" i="2"/>
  <c r="K86" i="2"/>
  <c r="J86" i="2"/>
  <c r="H86" i="2"/>
  <c r="G86" i="2"/>
  <c r="F86" i="2"/>
  <c r="D86" i="2"/>
  <c r="C86" i="2"/>
  <c r="B86" i="2"/>
  <c r="A86" i="2"/>
  <c r="M86" i="2" s="1"/>
  <c r="L85" i="2"/>
  <c r="K85" i="2"/>
  <c r="G85" i="2"/>
  <c r="D85" i="2"/>
  <c r="C85" i="2"/>
  <c r="A85" i="2"/>
  <c r="J85" i="2" s="1"/>
  <c r="H84" i="2"/>
  <c r="A84" i="2"/>
  <c r="G84" i="2" s="1"/>
  <c r="M83" i="2"/>
  <c r="F83" i="2"/>
  <c r="E83" i="2"/>
  <c r="A83" i="2"/>
  <c r="L83" i="2" s="1"/>
  <c r="M82" i="2"/>
  <c r="L82" i="2"/>
  <c r="K82" i="2"/>
  <c r="J82" i="2"/>
  <c r="H82" i="2"/>
  <c r="G82" i="2"/>
  <c r="F82" i="2"/>
  <c r="E82" i="2"/>
  <c r="D82" i="2"/>
  <c r="C82" i="2"/>
  <c r="B82" i="2"/>
  <c r="A82" i="2"/>
  <c r="I82" i="2" s="1"/>
  <c r="M81" i="2"/>
  <c r="K81" i="2"/>
  <c r="H81" i="2"/>
  <c r="G81" i="2"/>
  <c r="E81" i="2"/>
  <c r="C81" i="2"/>
  <c r="A81" i="2"/>
  <c r="F81" i="2" s="1"/>
  <c r="M80" i="2"/>
  <c r="L80" i="2"/>
  <c r="J80" i="2"/>
  <c r="H80" i="2"/>
  <c r="E80" i="2"/>
  <c r="D80" i="2"/>
  <c r="B80" i="2"/>
  <c r="A80" i="2"/>
  <c r="K80" i="2" s="1"/>
  <c r="A79" i="2"/>
  <c r="H79" i="2" s="1"/>
  <c r="L78" i="2"/>
  <c r="K78" i="2"/>
  <c r="J78" i="2"/>
  <c r="H78" i="2"/>
  <c r="G78" i="2"/>
  <c r="F78" i="2"/>
  <c r="D78" i="2"/>
  <c r="C78" i="2"/>
  <c r="B78" i="2"/>
  <c r="A78" i="2"/>
  <c r="M78" i="2" s="1"/>
  <c r="L77" i="2"/>
  <c r="K77" i="2"/>
  <c r="G77" i="2"/>
  <c r="D77" i="2"/>
  <c r="C77" i="2"/>
  <c r="A77" i="2"/>
  <c r="J77" i="2" s="1"/>
  <c r="H76" i="2"/>
  <c r="A76" i="2"/>
  <c r="G76" i="2" s="1"/>
  <c r="M75" i="2"/>
  <c r="F75" i="2"/>
  <c r="E75" i="2"/>
  <c r="A75" i="2"/>
  <c r="L75" i="2" s="1"/>
  <c r="L74" i="2"/>
  <c r="K74" i="2"/>
  <c r="J74" i="2"/>
  <c r="H74" i="2"/>
  <c r="G74" i="2"/>
  <c r="F74" i="2"/>
  <c r="D74" i="2"/>
  <c r="C74" i="2"/>
  <c r="B74" i="2"/>
  <c r="A74" i="2"/>
  <c r="I74" i="2" s="1"/>
  <c r="M73" i="2"/>
  <c r="K73" i="2"/>
  <c r="H73" i="2"/>
  <c r="G73" i="2"/>
  <c r="E73" i="2"/>
  <c r="C73" i="2"/>
  <c r="A73" i="2"/>
  <c r="F73" i="2" s="1"/>
  <c r="M72" i="2"/>
  <c r="L72" i="2"/>
  <c r="J72" i="2"/>
  <c r="H72" i="2"/>
  <c r="E72" i="2"/>
  <c r="D72" i="2"/>
  <c r="B72" i="2"/>
  <c r="A72" i="2"/>
  <c r="K72" i="2" s="1"/>
  <c r="A71" i="2"/>
  <c r="H71" i="2" s="1"/>
  <c r="L70" i="2"/>
  <c r="K70" i="2"/>
  <c r="J70" i="2"/>
  <c r="H70" i="2"/>
  <c r="G70" i="2"/>
  <c r="F70" i="2"/>
  <c r="D70" i="2"/>
  <c r="C70" i="2"/>
  <c r="B70" i="2"/>
  <c r="A70" i="2"/>
  <c r="M70" i="2" s="1"/>
  <c r="L69" i="2"/>
  <c r="K69" i="2"/>
  <c r="G69" i="2"/>
  <c r="D69" i="2"/>
  <c r="C69" i="2"/>
  <c r="A69" i="2"/>
  <c r="J69" i="2" s="1"/>
  <c r="H68" i="2"/>
  <c r="A68" i="2"/>
  <c r="G68" i="2" s="1"/>
  <c r="M67" i="2"/>
  <c r="F67" i="2"/>
  <c r="E67" i="2"/>
  <c r="A67" i="2"/>
  <c r="L67" i="2" s="1"/>
  <c r="L66" i="2"/>
  <c r="K66" i="2"/>
  <c r="J66" i="2"/>
  <c r="H66" i="2"/>
  <c r="G66" i="2"/>
  <c r="F66" i="2"/>
  <c r="D66" i="2"/>
  <c r="C66" i="2"/>
  <c r="B66" i="2"/>
  <c r="A66" i="2"/>
  <c r="I66" i="2" s="1"/>
  <c r="M65" i="2"/>
  <c r="L65" i="2"/>
  <c r="K65" i="2"/>
  <c r="H65" i="2"/>
  <c r="G65" i="2"/>
  <c r="E65" i="2"/>
  <c r="D65" i="2"/>
  <c r="C65" i="2"/>
  <c r="A65" i="2"/>
  <c r="F65" i="2" s="1"/>
  <c r="M64" i="2"/>
  <c r="L64" i="2"/>
  <c r="J64" i="2"/>
  <c r="H64" i="2"/>
  <c r="E64" i="2"/>
  <c r="D64" i="2"/>
  <c r="B64" i="2"/>
  <c r="A64" i="2"/>
  <c r="K64" i="2" s="1"/>
  <c r="A63" i="2"/>
  <c r="H63" i="2" s="1"/>
  <c r="L62" i="2"/>
  <c r="K62" i="2"/>
  <c r="J62" i="2"/>
  <c r="H62" i="2"/>
  <c r="G62" i="2"/>
  <c r="F62" i="2"/>
  <c r="D62" i="2"/>
  <c r="C62" i="2"/>
  <c r="B62" i="2"/>
  <c r="A62" i="2"/>
  <c r="M62" i="2" s="1"/>
  <c r="L61" i="2"/>
  <c r="K61" i="2"/>
  <c r="G61" i="2"/>
  <c r="D61" i="2"/>
  <c r="C61" i="2"/>
  <c r="A61" i="2"/>
  <c r="J61" i="2" s="1"/>
  <c r="H60" i="2"/>
  <c r="A60" i="2"/>
  <c r="G60" i="2" s="1"/>
  <c r="M59" i="2"/>
  <c r="F59" i="2"/>
  <c r="E59" i="2"/>
  <c r="A59" i="2"/>
  <c r="L59" i="2" s="1"/>
  <c r="L58" i="2"/>
  <c r="K58" i="2"/>
  <c r="J58" i="2"/>
  <c r="H58" i="2"/>
  <c r="G58" i="2"/>
  <c r="F58" i="2"/>
  <c r="D58" i="2"/>
  <c r="C58" i="2"/>
  <c r="B58" i="2"/>
  <c r="A58" i="2"/>
  <c r="I58" i="2" s="1"/>
  <c r="M57" i="2"/>
  <c r="L57" i="2"/>
  <c r="K57" i="2"/>
  <c r="H57" i="2"/>
  <c r="G57" i="2"/>
  <c r="E57" i="2"/>
  <c r="D57" i="2"/>
  <c r="C57" i="2"/>
  <c r="A57" i="2"/>
  <c r="F57" i="2" s="1"/>
  <c r="M56" i="2"/>
  <c r="L56" i="2"/>
  <c r="J56" i="2"/>
  <c r="H56" i="2"/>
  <c r="E56" i="2"/>
  <c r="D56" i="2"/>
  <c r="B56" i="2"/>
  <c r="A56" i="2"/>
  <c r="K56" i="2" s="1"/>
  <c r="A55" i="2"/>
  <c r="H55" i="2" s="1"/>
  <c r="L54" i="2"/>
  <c r="K54" i="2"/>
  <c r="J54" i="2"/>
  <c r="H54" i="2"/>
  <c r="G54" i="2"/>
  <c r="F54" i="2"/>
  <c r="D54" i="2"/>
  <c r="C54" i="2"/>
  <c r="B54" i="2"/>
  <c r="A54" i="2"/>
  <c r="M54" i="2" s="1"/>
  <c r="L53" i="2"/>
  <c r="K53" i="2"/>
  <c r="G53" i="2"/>
  <c r="D53" i="2"/>
  <c r="C53" i="2"/>
  <c r="A53" i="2"/>
  <c r="J53" i="2" s="1"/>
  <c r="I52" i="2"/>
  <c r="H52" i="2"/>
  <c r="A52" i="2"/>
  <c r="G52" i="2" s="1"/>
  <c r="M51" i="2"/>
  <c r="F51" i="2"/>
  <c r="E51" i="2"/>
  <c r="A51" i="2"/>
  <c r="L51" i="2" s="1"/>
  <c r="L50" i="2"/>
  <c r="K50" i="2"/>
  <c r="J50" i="2"/>
  <c r="H50" i="2"/>
  <c r="G50" i="2"/>
  <c r="F50" i="2"/>
  <c r="D50" i="2"/>
  <c r="C50" i="2"/>
  <c r="B50" i="2"/>
  <c r="A50" i="2"/>
  <c r="I50" i="2" s="1"/>
  <c r="M49" i="2"/>
  <c r="L49" i="2"/>
  <c r="K49" i="2"/>
  <c r="H49" i="2"/>
  <c r="G49" i="2"/>
  <c r="E49" i="2"/>
  <c r="D49" i="2"/>
  <c r="C49" i="2"/>
  <c r="A49" i="2"/>
  <c r="F49" i="2" s="1"/>
  <c r="M48" i="2"/>
  <c r="L48" i="2"/>
  <c r="J48" i="2"/>
  <c r="H48" i="2"/>
  <c r="E48" i="2"/>
  <c r="D48" i="2"/>
  <c r="B48" i="2"/>
  <c r="A48" i="2"/>
  <c r="K48" i="2" s="1"/>
  <c r="A47" i="2"/>
  <c r="H47" i="2" s="1"/>
  <c r="L46" i="2"/>
  <c r="K46" i="2"/>
  <c r="J46" i="2"/>
  <c r="H46" i="2"/>
  <c r="G46" i="2"/>
  <c r="F46" i="2"/>
  <c r="D46" i="2"/>
  <c r="C46" i="2"/>
  <c r="B46" i="2"/>
  <c r="A46" i="2"/>
  <c r="M46" i="2" s="1"/>
  <c r="L45" i="2"/>
  <c r="K45" i="2"/>
  <c r="G45" i="2"/>
  <c r="D45" i="2"/>
  <c r="C45" i="2"/>
  <c r="A45" i="2"/>
  <c r="J45" i="2" s="1"/>
  <c r="H44" i="2"/>
  <c r="A44" i="2"/>
  <c r="G44" i="2" s="1"/>
  <c r="M43" i="2"/>
  <c r="F43" i="2"/>
  <c r="E43" i="2"/>
  <c r="A43" i="2"/>
  <c r="L43" i="2" s="1"/>
  <c r="L42" i="2"/>
  <c r="K42" i="2"/>
  <c r="J42" i="2"/>
  <c r="H42" i="2"/>
  <c r="G42" i="2"/>
  <c r="F42" i="2"/>
  <c r="D42" i="2"/>
  <c r="C42" i="2"/>
  <c r="B42" i="2"/>
  <c r="A42" i="2"/>
  <c r="I42" i="2" s="1"/>
  <c r="M41" i="2"/>
  <c r="L41" i="2"/>
  <c r="K41" i="2"/>
  <c r="H41" i="2"/>
  <c r="G41" i="2"/>
  <c r="E41" i="2"/>
  <c r="D41" i="2"/>
  <c r="C41" i="2"/>
  <c r="A41" i="2"/>
  <c r="F41" i="2" s="1"/>
  <c r="M40" i="2"/>
  <c r="L40" i="2"/>
  <c r="J40" i="2"/>
  <c r="H40" i="2"/>
  <c r="E40" i="2"/>
  <c r="D40" i="2"/>
  <c r="B40" i="2"/>
  <c r="A40" i="2"/>
  <c r="K40" i="2" s="1"/>
  <c r="A39" i="2"/>
  <c r="H39" i="2" s="1"/>
  <c r="L38" i="2"/>
  <c r="K38" i="2"/>
  <c r="J38" i="2"/>
  <c r="H38" i="2"/>
  <c r="G38" i="2"/>
  <c r="F38" i="2"/>
  <c r="D38" i="2"/>
  <c r="C38" i="2"/>
  <c r="B38" i="2"/>
  <c r="A38" i="2"/>
  <c r="M38" i="2" s="1"/>
  <c r="L37" i="2"/>
  <c r="K37" i="2"/>
  <c r="G37" i="2"/>
  <c r="D37" i="2"/>
  <c r="C37" i="2"/>
  <c r="A37" i="2"/>
  <c r="J37" i="2" s="1"/>
  <c r="H36" i="2"/>
  <c r="A36" i="2"/>
  <c r="G36" i="2" s="1"/>
  <c r="M35" i="2"/>
  <c r="F35" i="2"/>
  <c r="E35" i="2"/>
  <c r="A35" i="2"/>
  <c r="L35" i="2" s="1"/>
  <c r="L34" i="2"/>
  <c r="K34" i="2"/>
  <c r="J34" i="2"/>
  <c r="H34" i="2"/>
  <c r="G34" i="2"/>
  <c r="F34" i="2"/>
  <c r="D34" i="2"/>
  <c r="C34" i="2"/>
  <c r="B34" i="2"/>
  <c r="A34" i="2"/>
  <c r="I34" i="2" s="1"/>
  <c r="M33" i="2"/>
  <c r="L33" i="2"/>
  <c r="K33" i="2"/>
  <c r="H33" i="2"/>
  <c r="G33" i="2"/>
  <c r="E33" i="2"/>
  <c r="D33" i="2"/>
  <c r="C33" i="2"/>
  <c r="A33" i="2"/>
  <c r="F33" i="2" s="1"/>
  <c r="M32" i="2"/>
  <c r="L32" i="2"/>
  <c r="J32" i="2"/>
  <c r="H32" i="2"/>
  <c r="E32" i="2"/>
  <c r="D32" i="2"/>
  <c r="B32" i="2"/>
  <c r="A32" i="2"/>
  <c r="K32" i="2" s="1"/>
  <c r="A31" i="2"/>
  <c r="H31" i="2" s="1"/>
  <c r="L30" i="2"/>
  <c r="K30" i="2"/>
  <c r="J30" i="2"/>
  <c r="H30" i="2"/>
  <c r="G30" i="2"/>
  <c r="F30" i="2"/>
  <c r="D30" i="2"/>
  <c r="C30" i="2"/>
  <c r="B30" i="2"/>
  <c r="A30" i="2"/>
  <c r="M30" i="2" s="1"/>
  <c r="L29" i="2"/>
  <c r="K29" i="2"/>
  <c r="G29" i="2"/>
  <c r="D29" i="2"/>
  <c r="C29" i="2"/>
  <c r="A29" i="2"/>
  <c r="J29" i="2" s="1"/>
  <c r="H28" i="2"/>
  <c r="A28" i="2"/>
  <c r="G28" i="2" s="1"/>
  <c r="M27" i="2"/>
  <c r="F27" i="2"/>
  <c r="E27" i="2"/>
  <c r="A27" i="2"/>
  <c r="L27" i="2" s="1"/>
  <c r="L26" i="2"/>
  <c r="K26" i="2"/>
  <c r="J26" i="2"/>
  <c r="H26" i="2"/>
  <c r="G26" i="2"/>
  <c r="F26" i="2"/>
  <c r="D26" i="2"/>
  <c r="C26" i="2"/>
  <c r="B26" i="2"/>
  <c r="A26" i="2"/>
  <c r="I26" i="2" s="1"/>
  <c r="M25" i="2"/>
  <c r="L25" i="2"/>
  <c r="K25" i="2"/>
  <c r="H25" i="2"/>
  <c r="G25" i="2"/>
  <c r="E25" i="2"/>
  <c r="D25" i="2"/>
  <c r="C25" i="2"/>
  <c r="A25" i="2"/>
  <c r="F25" i="2" s="1"/>
  <c r="M24" i="2"/>
  <c r="L24" i="2"/>
  <c r="J24" i="2"/>
  <c r="H24" i="2"/>
  <c r="E24" i="2"/>
  <c r="D24" i="2"/>
  <c r="B24" i="2"/>
  <c r="A24" i="2"/>
  <c r="K24" i="2" s="1"/>
  <c r="A23" i="2"/>
  <c r="H23" i="2" s="1"/>
  <c r="L22" i="2"/>
  <c r="K22" i="2"/>
  <c r="J22" i="2"/>
  <c r="H22" i="2"/>
  <c r="G22" i="2"/>
  <c r="F22" i="2"/>
  <c r="D22" i="2"/>
  <c r="C22" i="2"/>
  <c r="B22" i="2"/>
  <c r="A22" i="2"/>
  <c r="M22" i="2" s="1"/>
  <c r="L21" i="2"/>
  <c r="K21" i="2"/>
  <c r="G21" i="2"/>
  <c r="D21" i="2"/>
  <c r="C21" i="2"/>
  <c r="A21" i="2"/>
  <c r="J21" i="2" s="1"/>
  <c r="H20" i="2"/>
  <c r="A20" i="2"/>
  <c r="G20" i="2" s="1"/>
  <c r="M19" i="2"/>
  <c r="F19" i="2"/>
  <c r="E19" i="2"/>
  <c r="A19" i="2"/>
  <c r="L19" i="2" s="1"/>
  <c r="L18" i="2"/>
  <c r="K18" i="2"/>
  <c r="J18" i="2"/>
  <c r="H18" i="2"/>
  <c r="G18" i="2"/>
  <c r="F18" i="2"/>
  <c r="D18" i="2"/>
  <c r="C18" i="2"/>
  <c r="B18" i="2"/>
  <c r="A18" i="2"/>
  <c r="I18" i="2" s="1"/>
  <c r="M17" i="2"/>
  <c r="L17" i="2"/>
  <c r="K17" i="2"/>
  <c r="H17" i="2"/>
  <c r="G17" i="2"/>
  <c r="E17" i="2"/>
  <c r="D17" i="2"/>
  <c r="C17" i="2"/>
  <c r="A17" i="2"/>
  <c r="F17" i="2" s="1"/>
  <c r="J16" i="2"/>
  <c r="A16" i="2"/>
  <c r="K16" i="2" s="1"/>
  <c r="A15" i="2"/>
  <c r="H15" i="2" s="1"/>
  <c r="A14" i="2"/>
  <c r="M14" i="2" s="1"/>
  <c r="A13" i="2"/>
  <c r="J13" i="2" s="1"/>
  <c r="A12" i="2"/>
  <c r="G12" i="2" s="1"/>
  <c r="A11" i="2"/>
  <c r="L11" i="2" s="1"/>
  <c r="A10" i="2"/>
  <c r="I10" i="2" s="1"/>
  <c r="A9" i="2"/>
  <c r="F9" i="2" s="1"/>
  <c r="A8" i="2"/>
  <c r="K8" i="2" s="1"/>
  <c r="A7" i="2"/>
  <c r="H7" i="2" s="1"/>
  <c r="A6" i="2"/>
  <c r="M6" i="2" s="1"/>
  <c r="A5" i="2"/>
  <c r="J5" i="2" s="1"/>
  <c r="A4" i="2"/>
  <c r="G4" i="2" s="1"/>
  <c r="A3" i="2"/>
  <c r="L3" i="2" s="1"/>
  <c r="A2" i="2"/>
  <c r="I2" i="2" s="1"/>
  <c r="C16" i="6" l="1"/>
  <c r="J16" i="6"/>
  <c r="C15" i="6"/>
  <c r="F15" i="6"/>
  <c r="G15" i="6"/>
  <c r="E14" i="6"/>
  <c r="L14" i="6"/>
  <c r="C14" i="6"/>
  <c r="G16" i="4"/>
  <c r="E15" i="3"/>
  <c r="F13" i="4"/>
  <c r="I16" i="4"/>
  <c r="F15" i="3"/>
  <c r="I13" i="4"/>
  <c r="J16" i="4"/>
  <c r="J14" i="5"/>
  <c r="C16" i="5"/>
  <c r="L16" i="2"/>
  <c r="M15" i="3"/>
  <c r="M16" i="2"/>
  <c r="G15" i="4"/>
  <c r="D15" i="5"/>
  <c r="B16" i="3"/>
  <c r="B13" i="5"/>
  <c r="F15" i="5"/>
  <c r="J14" i="3"/>
  <c r="B14" i="3"/>
  <c r="D14" i="2"/>
  <c r="C14" i="3"/>
  <c r="L14" i="3"/>
  <c r="H15" i="3"/>
  <c r="J16" i="3"/>
  <c r="B15" i="4"/>
  <c r="K15" i="4"/>
  <c r="B14" i="5"/>
  <c r="M14" i="5"/>
  <c r="K15" i="5"/>
  <c r="M14" i="6"/>
  <c r="J15" i="6"/>
  <c r="K16" i="6"/>
  <c r="C13" i="2"/>
  <c r="D13" i="2"/>
  <c r="F14" i="2"/>
  <c r="B16" i="2"/>
  <c r="D14" i="3"/>
  <c r="M14" i="3"/>
  <c r="J15" i="3"/>
  <c r="K16" i="3"/>
  <c r="C15" i="4"/>
  <c r="L15" i="4"/>
  <c r="C14" i="5"/>
  <c r="L15" i="5"/>
  <c r="K15" i="6"/>
  <c r="M16" i="6"/>
  <c r="L14" i="2"/>
  <c r="G13" i="2"/>
  <c r="G14" i="2"/>
  <c r="D16" i="2"/>
  <c r="E14" i="3"/>
  <c r="K15" i="3"/>
  <c r="M16" i="3"/>
  <c r="D15" i="4"/>
  <c r="M15" i="4"/>
  <c r="D14" i="5"/>
  <c r="C15" i="5"/>
  <c r="M15" i="5"/>
  <c r="D14" i="6"/>
  <c r="B15" i="6"/>
  <c r="L15" i="6"/>
  <c r="K14" i="2"/>
  <c r="B14" i="2"/>
  <c r="C14" i="2"/>
  <c r="K14" i="3"/>
  <c r="J15" i="4"/>
  <c r="L14" i="5"/>
  <c r="K13" i="2"/>
  <c r="H14" i="2"/>
  <c r="E16" i="2"/>
  <c r="F14" i="3"/>
  <c r="E15" i="4"/>
  <c r="E14" i="5"/>
  <c r="L13" i="2"/>
  <c r="J14" i="2"/>
  <c r="H16" i="2"/>
  <c r="G14" i="3"/>
  <c r="F15" i="4"/>
  <c r="H14" i="5"/>
  <c r="E15" i="5"/>
  <c r="G14" i="6"/>
  <c r="D15" i="6"/>
  <c r="D15" i="7" s="1"/>
  <c r="B16" i="6"/>
  <c r="F12" i="5"/>
  <c r="C6" i="6"/>
  <c r="F10" i="2"/>
  <c r="D6" i="4"/>
  <c r="D6" i="6"/>
  <c r="M8" i="6"/>
  <c r="F12" i="4"/>
  <c r="E12" i="4"/>
  <c r="E12" i="5"/>
  <c r="G12" i="6"/>
  <c r="G12" i="7" s="1"/>
  <c r="K12" i="4"/>
  <c r="G12" i="5"/>
  <c r="L12" i="4"/>
  <c r="J12" i="5"/>
  <c r="M12" i="4"/>
  <c r="K12" i="5"/>
  <c r="F12" i="3"/>
  <c r="B12" i="5"/>
  <c r="L12" i="5"/>
  <c r="C12" i="4"/>
  <c r="C12" i="5"/>
  <c r="M12" i="5"/>
  <c r="H12" i="2"/>
  <c r="D12" i="4"/>
  <c r="D12" i="5"/>
  <c r="F12" i="6"/>
  <c r="H9" i="2"/>
  <c r="B7" i="3"/>
  <c r="M7" i="3"/>
  <c r="G11" i="5"/>
  <c r="F4" i="3"/>
  <c r="B7" i="4"/>
  <c r="H7" i="4"/>
  <c r="E9" i="2"/>
  <c r="K7" i="4"/>
  <c r="K5" i="2"/>
  <c r="F7" i="5"/>
  <c r="E6" i="3"/>
  <c r="E8" i="3"/>
  <c r="F4" i="5"/>
  <c r="D9" i="6"/>
  <c r="D9" i="7" s="1"/>
  <c r="H6" i="2"/>
  <c r="C10" i="2"/>
  <c r="F6" i="3"/>
  <c r="J4" i="5"/>
  <c r="J8" i="5"/>
  <c r="K6" i="3"/>
  <c r="H9" i="3"/>
  <c r="L6" i="4"/>
  <c r="C9" i="4"/>
  <c r="D4" i="5"/>
  <c r="E9" i="4"/>
  <c r="E9" i="5"/>
  <c r="E6" i="6"/>
  <c r="G11" i="6"/>
  <c r="E8" i="2"/>
  <c r="C6" i="5"/>
  <c r="B6" i="3"/>
  <c r="G7" i="3"/>
  <c r="B11" i="3"/>
  <c r="F7" i="4"/>
  <c r="D10" i="4"/>
  <c r="J6" i="5"/>
  <c r="L5" i="2"/>
  <c r="J6" i="2"/>
  <c r="H8" i="2"/>
  <c r="G9" i="2"/>
  <c r="D10" i="2"/>
  <c r="E11" i="2"/>
  <c r="C6" i="3"/>
  <c r="L6" i="3"/>
  <c r="H7" i="3"/>
  <c r="J8" i="3"/>
  <c r="L9" i="3"/>
  <c r="C11" i="3"/>
  <c r="C4" i="4"/>
  <c r="F5" i="4"/>
  <c r="C7" i="4"/>
  <c r="L7" i="4"/>
  <c r="H9" i="4"/>
  <c r="E10" i="4"/>
  <c r="B11" i="4"/>
  <c r="E4" i="5"/>
  <c r="I5" i="5"/>
  <c r="K6" i="5"/>
  <c r="G7" i="5"/>
  <c r="K8" i="5"/>
  <c r="G10" i="5"/>
  <c r="J11" i="5"/>
  <c r="B7" i="6"/>
  <c r="B7" i="7" s="1"/>
  <c r="L7" i="6"/>
  <c r="H11" i="6"/>
  <c r="K6" i="2"/>
  <c r="F11" i="2"/>
  <c r="D6" i="3"/>
  <c r="M6" i="3"/>
  <c r="J7" i="3"/>
  <c r="K8" i="3"/>
  <c r="M9" i="3"/>
  <c r="D11" i="3"/>
  <c r="D4" i="4"/>
  <c r="D7" i="4"/>
  <c r="M7" i="4"/>
  <c r="J9" i="4"/>
  <c r="F10" i="4"/>
  <c r="C11" i="4"/>
  <c r="L6" i="5"/>
  <c r="H7" i="5"/>
  <c r="H10" i="5"/>
  <c r="K11" i="5"/>
  <c r="C7" i="6"/>
  <c r="J11" i="6"/>
  <c r="J8" i="2"/>
  <c r="H4" i="2"/>
  <c r="B6" i="2"/>
  <c r="L6" i="2"/>
  <c r="L8" i="2"/>
  <c r="K9" i="2"/>
  <c r="G10" i="2"/>
  <c r="M11" i="2"/>
  <c r="K7" i="3"/>
  <c r="M8" i="3"/>
  <c r="F11" i="3"/>
  <c r="E4" i="4"/>
  <c r="E7" i="4"/>
  <c r="K9" i="4"/>
  <c r="G10" i="4"/>
  <c r="H11" i="4"/>
  <c r="G4" i="5"/>
  <c r="B6" i="5"/>
  <c r="M6" i="5"/>
  <c r="K7" i="5"/>
  <c r="D9" i="5"/>
  <c r="L11" i="5"/>
  <c r="G6" i="6"/>
  <c r="D7" i="6"/>
  <c r="B8" i="6"/>
  <c r="B8" i="7" s="1"/>
  <c r="E9" i="6"/>
  <c r="B11" i="6"/>
  <c r="K11" i="6"/>
  <c r="M8" i="2"/>
  <c r="L9" i="2"/>
  <c r="H10" i="2"/>
  <c r="C10" i="3"/>
  <c r="G11" i="3"/>
  <c r="F4" i="4"/>
  <c r="L9" i="4"/>
  <c r="H10" i="4"/>
  <c r="J11" i="4"/>
  <c r="L7" i="5"/>
  <c r="F4" i="6"/>
  <c r="H6" i="6"/>
  <c r="F7" i="6"/>
  <c r="C8" i="6"/>
  <c r="C8" i="7" s="1"/>
  <c r="F9" i="6"/>
  <c r="C11" i="6"/>
  <c r="L11" i="6"/>
  <c r="C6" i="2"/>
  <c r="D6" i="2"/>
  <c r="M9" i="2"/>
  <c r="J10" i="2"/>
  <c r="G6" i="3"/>
  <c r="C7" i="3"/>
  <c r="D9" i="3"/>
  <c r="H10" i="3"/>
  <c r="J11" i="3"/>
  <c r="K4" i="4"/>
  <c r="I6" i="4"/>
  <c r="G7" i="4"/>
  <c r="B9" i="4"/>
  <c r="M9" i="4"/>
  <c r="K10" i="4"/>
  <c r="K11" i="4"/>
  <c r="K4" i="5"/>
  <c r="D6" i="5"/>
  <c r="C7" i="5"/>
  <c r="M7" i="5"/>
  <c r="F9" i="5"/>
  <c r="B11" i="5"/>
  <c r="G4" i="6"/>
  <c r="K6" i="6"/>
  <c r="G7" i="6"/>
  <c r="E8" i="6"/>
  <c r="H9" i="6"/>
  <c r="D11" i="6"/>
  <c r="M11" i="6"/>
  <c r="D5" i="2"/>
  <c r="F6" i="2"/>
  <c r="B8" i="2"/>
  <c r="C9" i="2"/>
  <c r="K10" i="2"/>
  <c r="H6" i="3"/>
  <c r="E7" i="3"/>
  <c r="B8" i="3"/>
  <c r="E9" i="3"/>
  <c r="K10" i="3"/>
  <c r="K11" i="3"/>
  <c r="L4" i="4"/>
  <c r="L10" i="4"/>
  <c r="B4" i="5"/>
  <c r="L4" i="5"/>
  <c r="E6" i="5"/>
  <c r="D7" i="5"/>
  <c r="L9" i="5"/>
  <c r="C11" i="5"/>
  <c r="L6" i="6"/>
  <c r="H7" i="6"/>
  <c r="J8" i="6"/>
  <c r="L9" i="6"/>
  <c r="L9" i="7" s="1"/>
  <c r="E11" i="6"/>
  <c r="K7" i="6"/>
  <c r="C5" i="2"/>
  <c r="G5" i="2"/>
  <c r="G6" i="2"/>
  <c r="D8" i="2"/>
  <c r="D9" i="2"/>
  <c r="B10" i="2"/>
  <c r="L10" i="2"/>
  <c r="J6" i="3"/>
  <c r="F7" i="3"/>
  <c r="C8" i="3"/>
  <c r="F9" i="3"/>
  <c r="L11" i="3"/>
  <c r="M4" i="4"/>
  <c r="J7" i="4"/>
  <c r="D9" i="4"/>
  <c r="C10" i="4"/>
  <c r="M10" i="4"/>
  <c r="C4" i="5"/>
  <c r="M4" i="5"/>
  <c r="H6" i="5"/>
  <c r="E7" i="5"/>
  <c r="C8" i="5"/>
  <c r="M9" i="5"/>
  <c r="D11" i="5"/>
  <c r="M6" i="6"/>
  <c r="M6" i="7" s="1"/>
  <c r="J7" i="6"/>
  <c r="K8" i="6"/>
  <c r="M9" i="6"/>
  <c r="F11" i="6"/>
  <c r="B3" i="6"/>
  <c r="K3" i="6"/>
  <c r="K3" i="5"/>
  <c r="E3" i="2"/>
  <c r="G3" i="3"/>
  <c r="J3" i="3"/>
  <c r="F3" i="2"/>
  <c r="K3" i="3"/>
  <c r="B3" i="4"/>
  <c r="L3" i="5"/>
  <c r="C3" i="6"/>
  <c r="L3" i="6"/>
  <c r="M3" i="2"/>
  <c r="L3" i="3"/>
  <c r="C3" i="4"/>
  <c r="D3" i="6"/>
  <c r="M3" i="6"/>
  <c r="B3" i="3"/>
  <c r="H3" i="4"/>
  <c r="B3" i="5"/>
  <c r="E3" i="6"/>
  <c r="C3" i="3"/>
  <c r="J3" i="4"/>
  <c r="C3" i="5"/>
  <c r="F3" i="6"/>
  <c r="D3" i="3"/>
  <c r="K3" i="4"/>
  <c r="D3" i="5"/>
  <c r="G3" i="6"/>
  <c r="F3" i="3"/>
  <c r="G3" i="5"/>
  <c r="H3" i="6"/>
  <c r="J3" i="5"/>
  <c r="J3" i="6"/>
  <c r="J2" i="2"/>
  <c r="D2" i="4"/>
  <c r="E2" i="4"/>
  <c r="F2" i="4"/>
  <c r="B2" i="2"/>
  <c r="C2" i="2"/>
  <c r="G2" i="4"/>
  <c r="D2" i="2"/>
  <c r="H2" i="4"/>
  <c r="F2" i="2"/>
  <c r="K2" i="4"/>
  <c r="G2" i="2"/>
  <c r="C2" i="3"/>
  <c r="L2" i="4"/>
  <c r="H2" i="2"/>
  <c r="H2" i="3"/>
  <c r="C2" i="4"/>
  <c r="M2" i="4"/>
  <c r="K2" i="3"/>
  <c r="H2" i="6"/>
  <c r="K2" i="2"/>
  <c r="L2" i="2"/>
  <c r="H2" i="5"/>
  <c r="I47" i="2"/>
  <c r="I111" i="2"/>
  <c r="I143" i="2"/>
  <c r="I151" i="2"/>
  <c r="I199" i="2"/>
  <c r="H484" i="2"/>
  <c r="G484" i="2"/>
  <c r="F484" i="2"/>
  <c r="M484" i="2"/>
  <c r="E484" i="2"/>
  <c r="K484" i="2"/>
  <c r="C484" i="2"/>
  <c r="M587" i="2"/>
  <c r="E587" i="2"/>
  <c r="L587" i="2"/>
  <c r="D587" i="2"/>
  <c r="K587" i="2"/>
  <c r="C587" i="2"/>
  <c r="J587" i="2"/>
  <c r="B587" i="2"/>
  <c r="H587" i="2"/>
  <c r="G587" i="2"/>
  <c r="M755" i="2"/>
  <c r="E755" i="2"/>
  <c r="L755" i="2"/>
  <c r="D755" i="2"/>
  <c r="K755" i="2"/>
  <c r="C755" i="2"/>
  <c r="J755" i="2"/>
  <c r="B755" i="2"/>
  <c r="H755" i="2"/>
  <c r="G755" i="2"/>
  <c r="M779" i="2"/>
  <c r="E779" i="2"/>
  <c r="L779" i="2"/>
  <c r="D779" i="2"/>
  <c r="K779" i="2"/>
  <c r="C779" i="2"/>
  <c r="J779" i="2"/>
  <c r="B779" i="2"/>
  <c r="H779" i="2"/>
  <c r="G779" i="2"/>
  <c r="K460" i="3"/>
  <c r="C460" i="3"/>
  <c r="J460" i="3"/>
  <c r="B460" i="3"/>
  <c r="L460" i="3"/>
  <c r="I460" i="3"/>
  <c r="H460" i="3"/>
  <c r="G460" i="3"/>
  <c r="E460" i="3"/>
  <c r="F460" i="3"/>
  <c r="D460" i="3"/>
  <c r="I28" i="2"/>
  <c r="I44" i="2"/>
  <c r="B55" i="2"/>
  <c r="J87" i="2"/>
  <c r="I92" i="2"/>
  <c r="I100" i="2"/>
  <c r="J111" i="2"/>
  <c r="I116" i="2"/>
  <c r="I124" i="2"/>
  <c r="J127" i="2"/>
  <c r="B135" i="2"/>
  <c r="J191" i="2"/>
  <c r="H295" i="2"/>
  <c r="L295" i="2"/>
  <c r="D295" i="2"/>
  <c r="K299" i="2"/>
  <c r="L313" i="2"/>
  <c r="F361" i="2"/>
  <c r="M361" i="2"/>
  <c r="E361" i="2"/>
  <c r="J361" i="2"/>
  <c r="B361" i="2"/>
  <c r="C369" i="2"/>
  <c r="F643" i="2"/>
  <c r="F707" i="2"/>
  <c r="F739" i="2"/>
  <c r="G114" i="3"/>
  <c r="M114" i="3"/>
  <c r="E114" i="3"/>
  <c r="J114" i="3"/>
  <c r="B114" i="3"/>
  <c r="H114" i="3"/>
  <c r="F114" i="3"/>
  <c r="D114" i="3"/>
  <c r="C114" i="3"/>
  <c r="L114" i="3"/>
  <c r="K114" i="3"/>
  <c r="G306" i="3"/>
  <c r="F306" i="3"/>
  <c r="M306" i="3"/>
  <c r="E306" i="3"/>
  <c r="L306" i="3"/>
  <c r="D306" i="3"/>
  <c r="J306" i="3"/>
  <c r="B306" i="3"/>
  <c r="K306" i="3"/>
  <c r="H306" i="3"/>
  <c r="C306" i="3"/>
  <c r="M460" i="3"/>
  <c r="B20" i="2"/>
  <c r="E21" i="2"/>
  <c r="M21" i="2"/>
  <c r="C23" i="2"/>
  <c r="F24" i="2"/>
  <c r="B28" i="2"/>
  <c r="C31" i="2"/>
  <c r="F32" i="2"/>
  <c r="I33" i="2"/>
  <c r="G35" i="2"/>
  <c r="B36" i="2"/>
  <c r="E37" i="2"/>
  <c r="M37" i="2"/>
  <c r="B44" i="2"/>
  <c r="E45" i="2"/>
  <c r="M45" i="2"/>
  <c r="C47" i="2"/>
  <c r="F48" i="2"/>
  <c r="B52" i="2"/>
  <c r="E53" i="2"/>
  <c r="M53" i="2"/>
  <c r="C55" i="2"/>
  <c r="K55" i="2"/>
  <c r="F56" i="2"/>
  <c r="I57" i="2"/>
  <c r="B60" i="2"/>
  <c r="E61" i="2"/>
  <c r="M61" i="2"/>
  <c r="C63" i="2"/>
  <c r="K63" i="2"/>
  <c r="F64" i="2"/>
  <c r="G67" i="2"/>
  <c r="J68" i="2"/>
  <c r="K71" i="2"/>
  <c r="F72" i="2"/>
  <c r="I73" i="2"/>
  <c r="G75" i="2"/>
  <c r="B76" i="2"/>
  <c r="J76" i="2"/>
  <c r="E77" i="2"/>
  <c r="M77" i="2"/>
  <c r="C79" i="2"/>
  <c r="K79" i="2"/>
  <c r="F80" i="2"/>
  <c r="I81" i="2"/>
  <c r="G83" i="2"/>
  <c r="B84" i="2"/>
  <c r="J84" i="2"/>
  <c r="E85" i="2"/>
  <c r="M85" i="2"/>
  <c r="C87" i="2"/>
  <c r="K87" i="2"/>
  <c r="F88" i="2"/>
  <c r="I89" i="2"/>
  <c r="G91" i="2"/>
  <c r="B92" i="2"/>
  <c r="J92" i="2"/>
  <c r="E93" i="2"/>
  <c r="M93" i="2"/>
  <c r="C95" i="2"/>
  <c r="K95" i="2"/>
  <c r="F96" i="2"/>
  <c r="I97" i="2"/>
  <c r="G99" i="2"/>
  <c r="B100" i="2"/>
  <c r="J100" i="2"/>
  <c r="E101" i="2"/>
  <c r="M101" i="2"/>
  <c r="C103" i="2"/>
  <c r="K103" i="2"/>
  <c r="F104" i="2"/>
  <c r="I105" i="2"/>
  <c r="G107" i="2"/>
  <c r="B108" i="2"/>
  <c r="J108" i="2"/>
  <c r="E109" i="2"/>
  <c r="M109" i="2"/>
  <c r="C111" i="2"/>
  <c r="K111" i="2"/>
  <c r="F112" i="2"/>
  <c r="I113" i="2"/>
  <c r="G115" i="2"/>
  <c r="B116" i="2"/>
  <c r="J116" i="2"/>
  <c r="E117" i="2"/>
  <c r="M117" i="2"/>
  <c r="C119" i="2"/>
  <c r="K119" i="2"/>
  <c r="F120" i="2"/>
  <c r="I121" i="2"/>
  <c r="G123" i="2"/>
  <c r="B124" i="2"/>
  <c r="J124" i="2"/>
  <c r="E125" i="2"/>
  <c r="M125" i="2"/>
  <c r="C127" i="2"/>
  <c r="K127" i="2"/>
  <c r="F128" i="2"/>
  <c r="I129" i="2"/>
  <c r="G131" i="2"/>
  <c r="B132" i="2"/>
  <c r="J132" i="2"/>
  <c r="E133" i="2"/>
  <c r="M133" i="2"/>
  <c r="C135" i="2"/>
  <c r="K135" i="2"/>
  <c r="F136" i="2"/>
  <c r="I137" i="2"/>
  <c r="G139" i="2"/>
  <c r="B140" i="2"/>
  <c r="J140" i="2"/>
  <c r="E141" i="2"/>
  <c r="M141" i="2"/>
  <c r="C143" i="2"/>
  <c r="K143" i="2"/>
  <c r="F144" i="2"/>
  <c r="I145" i="2"/>
  <c r="G147" i="2"/>
  <c r="B148" i="2"/>
  <c r="J148" i="2"/>
  <c r="E149" i="2"/>
  <c r="M149" i="2"/>
  <c r="C151" i="2"/>
  <c r="K151" i="2"/>
  <c r="F152" i="2"/>
  <c r="I153" i="2"/>
  <c r="G155" i="2"/>
  <c r="B156" i="2"/>
  <c r="J156" i="2"/>
  <c r="E157" i="2"/>
  <c r="M157" i="2"/>
  <c r="C159" i="2"/>
  <c r="K159" i="2"/>
  <c r="F160" i="2"/>
  <c r="I161" i="2"/>
  <c r="G163" i="2"/>
  <c r="B164" i="2"/>
  <c r="J164" i="2"/>
  <c r="E165" i="2"/>
  <c r="M165" i="2"/>
  <c r="C167" i="2"/>
  <c r="K167" i="2"/>
  <c r="F168" i="2"/>
  <c r="I169" i="2"/>
  <c r="G171" i="2"/>
  <c r="B172" i="2"/>
  <c r="J172" i="2"/>
  <c r="E173" i="2"/>
  <c r="M173" i="2"/>
  <c r="C175" i="2"/>
  <c r="K175" i="2"/>
  <c r="F176" i="2"/>
  <c r="I177" i="2"/>
  <c r="G179" i="2"/>
  <c r="B180" i="2"/>
  <c r="J180" i="2"/>
  <c r="E181" i="2"/>
  <c r="M181" i="2"/>
  <c r="C183" i="2"/>
  <c r="K183" i="2"/>
  <c r="F184" i="2"/>
  <c r="I185" i="2"/>
  <c r="G187" i="2"/>
  <c r="B188" i="2"/>
  <c r="J188" i="2"/>
  <c r="E189" i="2"/>
  <c r="M189" i="2"/>
  <c r="C191" i="2"/>
  <c r="K191" i="2"/>
  <c r="I193" i="2"/>
  <c r="G195" i="2"/>
  <c r="B196" i="2"/>
  <c r="J196" i="2"/>
  <c r="E197" i="2"/>
  <c r="M197" i="2"/>
  <c r="C199" i="2"/>
  <c r="K199" i="2"/>
  <c r="I201" i="2"/>
  <c r="G203" i="2"/>
  <c r="B204" i="2"/>
  <c r="J204" i="2"/>
  <c r="E205" i="2"/>
  <c r="M205" i="2"/>
  <c r="C207" i="2"/>
  <c r="K207" i="2"/>
  <c r="F208" i="2"/>
  <c r="I209" i="2"/>
  <c r="H212" i="2"/>
  <c r="H216" i="2"/>
  <c r="H220" i="2"/>
  <c r="H224" i="2"/>
  <c r="H228" i="2"/>
  <c r="H232" i="2"/>
  <c r="H236" i="2"/>
  <c r="H240" i="2"/>
  <c r="H244" i="2"/>
  <c r="H248" i="2"/>
  <c r="H252" i="2"/>
  <c r="H256" i="2"/>
  <c r="H260" i="2"/>
  <c r="H264" i="2"/>
  <c r="H268" i="2"/>
  <c r="H272" i="2"/>
  <c r="H276" i="2"/>
  <c r="G279" i="2"/>
  <c r="C281" i="2"/>
  <c r="M281" i="2"/>
  <c r="G283" i="2"/>
  <c r="C285" i="2"/>
  <c r="B288" i="2"/>
  <c r="M288" i="2"/>
  <c r="B292" i="2"/>
  <c r="B295" i="2"/>
  <c r="M295" i="2"/>
  <c r="H297" i="2"/>
  <c r="B299" i="2"/>
  <c r="H301" i="2"/>
  <c r="H304" i="2"/>
  <c r="H308" i="2"/>
  <c r="G311" i="2"/>
  <c r="C313" i="2"/>
  <c r="M313" i="2"/>
  <c r="G315" i="2"/>
  <c r="C317" i="2"/>
  <c r="M317" i="2"/>
  <c r="B320" i="2"/>
  <c r="M320" i="2"/>
  <c r="B324" i="2"/>
  <c r="M324" i="2"/>
  <c r="B327" i="2"/>
  <c r="M327" i="2"/>
  <c r="H329" i="2"/>
  <c r="B331" i="2"/>
  <c r="H333" i="2"/>
  <c r="H336" i="2"/>
  <c r="H340" i="2"/>
  <c r="G343" i="2"/>
  <c r="C345" i="2"/>
  <c r="G347" i="2"/>
  <c r="C349" i="2"/>
  <c r="E352" i="2"/>
  <c r="D353" i="2"/>
  <c r="L355" i="2"/>
  <c r="D355" i="2"/>
  <c r="K355" i="2"/>
  <c r="C355" i="2"/>
  <c r="H355" i="2"/>
  <c r="G356" i="2"/>
  <c r="F356" i="2"/>
  <c r="K356" i="2"/>
  <c r="C356" i="2"/>
  <c r="M356" i="2"/>
  <c r="D360" i="2"/>
  <c r="C361" i="2"/>
  <c r="B367" i="2"/>
  <c r="G369" i="2"/>
  <c r="F371" i="2"/>
  <c r="I372" i="2"/>
  <c r="H375" i="2"/>
  <c r="G375" i="2"/>
  <c r="F375" i="2"/>
  <c r="L375" i="2"/>
  <c r="D375" i="2"/>
  <c r="C377" i="2"/>
  <c r="F385" i="2"/>
  <c r="M385" i="2"/>
  <c r="E385" i="2"/>
  <c r="L385" i="2"/>
  <c r="D385" i="2"/>
  <c r="J385" i="2"/>
  <c r="B385" i="2"/>
  <c r="L387" i="2"/>
  <c r="D387" i="2"/>
  <c r="K387" i="2"/>
  <c r="C387" i="2"/>
  <c r="J387" i="2"/>
  <c r="B387" i="2"/>
  <c r="H387" i="2"/>
  <c r="D388" i="2"/>
  <c r="K391" i="2"/>
  <c r="B396" i="2"/>
  <c r="G404" i="2"/>
  <c r="F404" i="2"/>
  <c r="M404" i="2"/>
  <c r="E404" i="2"/>
  <c r="K404" i="2"/>
  <c r="C404" i="2"/>
  <c r="I407" i="2"/>
  <c r="I417" i="2"/>
  <c r="I419" i="2"/>
  <c r="J428" i="2"/>
  <c r="B431" i="2"/>
  <c r="G433" i="2"/>
  <c r="J436" i="2"/>
  <c r="F441" i="2"/>
  <c r="M441" i="2"/>
  <c r="E441" i="2"/>
  <c r="L441" i="2"/>
  <c r="D441" i="2"/>
  <c r="J441" i="2"/>
  <c r="B441" i="2"/>
  <c r="E443" i="2"/>
  <c r="J447" i="2"/>
  <c r="B452" i="2"/>
  <c r="I457" i="2"/>
  <c r="B463" i="2"/>
  <c r="G465" i="2"/>
  <c r="J468" i="2"/>
  <c r="C473" i="2"/>
  <c r="D484" i="2"/>
  <c r="F491" i="2"/>
  <c r="H497" i="2"/>
  <c r="H500" i="2"/>
  <c r="G500" i="2"/>
  <c r="F500" i="2"/>
  <c r="M500" i="2"/>
  <c r="E500" i="2"/>
  <c r="K500" i="2"/>
  <c r="C500" i="2"/>
  <c r="G513" i="2"/>
  <c r="F513" i="2"/>
  <c r="M513" i="2"/>
  <c r="E513" i="2"/>
  <c r="L513" i="2"/>
  <c r="D513" i="2"/>
  <c r="J513" i="2"/>
  <c r="B513" i="2"/>
  <c r="G515" i="2"/>
  <c r="B524" i="2"/>
  <c r="F531" i="2"/>
  <c r="M539" i="2"/>
  <c r="E539" i="2"/>
  <c r="L539" i="2"/>
  <c r="D539" i="2"/>
  <c r="K539" i="2"/>
  <c r="C539" i="2"/>
  <c r="J539" i="2"/>
  <c r="B539" i="2"/>
  <c r="H539" i="2"/>
  <c r="G539" i="2"/>
  <c r="I564" i="2"/>
  <c r="D572" i="2"/>
  <c r="H580" i="2"/>
  <c r="G580" i="2"/>
  <c r="F580" i="2"/>
  <c r="M580" i="2"/>
  <c r="E580" i="2"/>
  <c r="K580" i="2"/>
  <c r="C580" i="2"/>
  <c r="J580" i="2"/>
  <c r="B580" i="2"/>
  <c r="I587" i="2"/>
  <c r="M603" i="2"/>
  <c r="E603" i="2"/>
  <c r="L603" i="2"/>
  <c r="D603" i="2"/>
  <c r="K603" i="2"/>
  <c r="C603" i="2"/>
  <c r="J603" i="2"/>
  <c r="B603" i="2"/>
  <c r="H603" i="2"/>
  <c r="G603" i="2"/>
  <c r="M619" i="2"/>
  <c r="E619" i="2"/>
  <c r="L619" i="2"/>
  <c r="D619" i="2"/>
  <c r="K619" i="2"/>
  <c r="C619" i="2"/>
  <c r="J619" i="2"/>
  <c r="B619" i="2"/>
  <c r="H619" i="2"/>
  <c r="G619" i="2"/>
  <c r="F627" i="2"/>
  <c r="I635" i="2"/>
  <c r="I651" i="2"/>
  <c r="I659" i="2"/>
  <c r="I699" i="2"/>
  <c r="I715" i="2"/>
  <c r="I731" i="2"/>
  <c r="I755" i="2"/>
  <c r="I763" i="2"/>
  <c r="I779" i="2"/>
  <c r="I787" i="2"/>
  <c r="H796" i="2"/>
  <c r="G796" i="2"/>
  <c r="F796" i="2"/>
  <c r="M796" i="2"/>
  <c r="E796" i="2"/>
  <c r="K796" i="2"/>
  <c r="C796" i="2"/>
  <c r="J796" i="2"/>
  <c r="B796" i="2"/>
  <c r="H804" i="2"/>
  <c r="G804" i="2"/>
  <c r="F804" i="2"/>
  <c r="M804" i="2"/>
  <c r="E804" i="2"/>
  <c r="K804" i="2"/>
  <c r="C804" i="2"/>
  <c r="J804" i="2"/>
  <c r="B804" i="2"/>
  <c r="H812" i="2"/>
  <c r="G812" i="2"/>
  <c r="F812" i="2"/>
  <c r="M812" i="2"/>
  <c r="E812" i="2"/>
  <c r="K812" i="2"/>
  <c r="C812" i="2"/>
  <c r="J812" i="2"/>
  <c r="B812" i="2"/>
  <c r="H820" i="2"/>
  <c r="G820" i="2"/>
  <c r="F820" i="2"/>
  <c r="M820" i="2"/>
  <c r="E820" i="2"/>
  <c r="K820" i="2"/>
  <c r="C820" i="2"/>
  <c r="J820" i="2"/>
  <c r="B820" i="2"/>
  <c r="H828" i="2"/>
  <c r="G828" i="2"/>
  <c r="F828" i="2"/>
  <c r="M828" i="2"/>
  <c r="E828" i="2"/>
  <c r="K828" i="2"/>
  <c r="C828" i="2"/>
  <c r="J828" i="2"/>
  <c r="B828" i="2"/>
  <c r="H836" i="2"/>
  <c r="G836" i="2"/>
  <c r="F836" i="2"/>
  <c r="M836" i="2"/>
  <c r="E836" i="2"/>
  <c r="K836" i="2"/>
  <c r="C836" i="2"/>
  <c r="J836" i="2"/>
  <c r="B836" i="2"/>
  <c r="H844" i="2"/>
  <c r="G844" i="2"/>
  <c r="F844" i="2"/>
  <c r="M844" i="2"/>
  <c r="E844" i="2"/>
  <c r="K844" i="2"/>
  <c r="C844" i="2"/>
  <c r="J844" i="2"/>
  <c r="B844" i="2"/>
  <c r="H852" i="2"/>
  <c r="G852" i="2"/>
  <c r="F852" i="2"/>
  <c r="M852" i="2"/>
  <c r="E852" i="2"/>
  <c r="K852" i="2"/>
  <c r="C852" i="2"/>
  <c r="J852" i="2"/>
  <c r="B852" i="2"/>
  <c r="H860" i="2"/>
  <c r="G860" i="2"/>
  <c r="F860" i="2"/>
  <c r="M860" i="2"/>
  <c r="E860" i="2"/>
  <c r="K860" i="2"/>
  <c r="C860" i="2"/>
  <c r="J860" i="2"/>
  <c r="B860" i="2"/>
  <c r="H868" i="2"/>
  <c r="G868" i="2"/>
  <c r="F868" i="2"/>
  <c r="M868" i="2"/>
  <c r="E868" i="2"/>
  <c r="K868" i="2"/>
  <c r="C868" i="2"/>
  <c r="J868" i="2"/>
  <c r="B868" i="2"/>
  <c r="H876" i="2"/>
  <c r="G876" i="2"/>
  <c r="F876" i="2"/>
  <c r="M876" i="2"/>
  <c r="E876" i="2"/>
  <c r="K876" i="2"/>
  <c r="C876" i="2"/>
  <c r="J876" i="2"/>
  <c r="B876" i="2"/>
  <c r="H884" i="2"/>
  <c r="G884" i="2"/>
  <c r="F884" i="2"/>
  <c r="M884" i="2"/>
  <c r="E884" i="2"/>
  <c r="K884" i="2"/>
  <c r="C884" i="2"/>
  <c r="J884" i="2"/>
  <c r="B884" i="2"/>
  <c r="H892" i="2"/>
  <c r="G892" i="2"/>
  <c r="F892" i="2"/>
  <c r="M892" i="2"/>
  <c r="E892" i="2"/>
  <c r="K892" i="2"/>
  <c r="C892" i="2"/>
  <c r="J892" i="2"/>
  <c r="B892" i="2"/>
  <c r="H900" i="2"/>
  <c r="G900" i="2"/>
  <c r="F900" i="2"/>
  <c r="M900" i="2"/>
  <c r="E900" i="2"/>
  <c r="K900" i="2"/>
  <c r="C900" i="2"/>
  <c r="J900" i="2"/>
  <c r="B900" i="2"/>
  <c r="H908" i="2"/>
  <c r="G908" i="2"/>
  <c r="F908" i="2"/>
  <c r="M908" i="2"/>
  <c r="E908" i="2"/>
  <c r="K908" i="2"/>
  <c r="C908" i="2"/>
  <c r="J908" i="2"/>
  <c r="B908" i="2"/>
  <c r="H916" i="2"/>
  <c r="G916" i="2"/>
  <c r="F916" i="2"/>
  <c r="M916" i="2"/>
  <c r="E916" i="2"/>
  <c r="K916" i="2"/>
  <c r="C916" i="2"/>
  <c r="J916" i="2"/>
  <c r="B916" i="2"/>
  <c r="H924" i="2"/>
  <c r="G924" i="2"/>
  <c r="F924" i="2"/>
  <c r="M924" i="2"/>
  <c r="E924" i="2"/>
  <c r="K924" i="2"/>
  <c r="C924" i="2"/>
  <c r="J924" i="2"/>
  <c r="B924" i="2"/>
  <c r="H932" i="2"/>
  <c r="G932" i="2"/>
  <c r="F932" i="2"/>
  <c r="M932" i="2"/>
  <c r="E932" i="2"/>
  <c r="K932" i="2"/>
  <c r="C932" i="2"/>
  <c r="J932" i="2"/>
  <c r="B932" i="2"/>
  <c r="H940" i="2"/>
  <c r="G940" i="2"/>
  <c r="F940" i="2"/>
  <c r="M940" i="2"/>
  <c r="E940" i="2"/>
  <c r="K940" i="2"/>
  <c r="C940" i="2"/>
  <c r="J940" i="2"/>
  <c r="B940" i="2"/>
  <c r="H948" i="2"/>
  <c r="G948" i="2"/>
  <c r="F948" i="2"/>
  <c r="M948" i="2"/>
  <c r="E948" i="2"/>
  <c r="K948" i="2"/>
  <c r="C948" i="2"/>
  <c r="J948" i="2"/>
  <c r="B948" i="2"/>
  <c r="H956" i="2"/>
  <c r="G956" i="2"/>
  <c r="F956" i="2"/>
  <c r="M956" i="2"/>
  <c r="E956" i="2"/>
  <c r="K956" i="2"/>
  <c r="C956" i="2"/>
  <c r="J956" i="2"/>
  <c r="B956" i="2"/>
  <c r="H964" i="2"/>
  <c r="G964" i="2"/>
  <c r="F964" i="2"/>
  <c r="M964" i="2"/>
  <c r="E964" i="2"/>
  <c r="K964" i="2"/>
  <c r="C964" i="2"/>
  <c r="J964" i="2"/>
  <c r="B964" i="2"/>
  <c r="H972" i="2"/>
  <c r="G972" i="2"/>
  <c r="F972" i="2"/>
  <c r="M972" i="2"/>
  <c r="E972" i="2"/>
  <c r="K972" i="2"/>
  <c r="C972" i="2"/>
  <c r="J972" i="2"/>
  <c r="B972" i="2"/>
  <c r="H980" i="2"/>
  <c r="G980" i="2"/>
  <c r="F980" i="2"/>
  <c r="M980" i="2"/>
  <c r="E980" i="2"/>
  <c r="K980" i="2"/>
  <c r="C980" i="2"/>
  <c r="J980" i="2"/>
  <c r="B980" i="2"/>
  <c r="H988" i="2"/>
  <c r="G988" i="2"/>
  <c r="F988" i="2"/>
  <c r="M988" i="2"/>
  <c r="E988" i="2"/>
  <c r="K988" i="2"/>
  <c r="C988" i="2"/>
  <c r="J988" i="2"/>
  <c r="B988" i="2"/>
  <c r="H996" i="2"/>
  <c r="G996" i="2"/>
  <c r="F996" i="2"/>
  <c r="M996" i="2"/>
  <c r="E996" i="2"/>
  <c r="K996" i="2"/>
  <c r="C996" i="2"/>
  <c r="J996" i="2"/>
  <c r="B996" i="2"/>
  <c r="H5" i="3"/>
  <c r="G5" i="3"/>
  <c r="F5" i="3"/>
  <c r="M5" i="3"/>
  <c r="E5" i="3"/>
  <c r="K5" i="3"/>
  <c r="C5" i="3"/>
  <c r="J5" i="3"/>
  <c r="B5" i="3"/>
  <c r="H13" i="3"/>
  <c r="G13" i="3"/>
  <c r="F13" i="3"/>
  <c r="M13" i="3"/>
  <c r="E13" i="3"/>
  <c r="K13" i="3"/>
  <c r="C13" i="3"/>
  <c r="J13" i="3"/>
  <c r="B13" i="3"/>
  <c r="H21" i="3"/>
  <c r="G21" i="3"/>
  <c r="F21" i="3"/>
  <c r="M21" i="3"/>
  <c r="E21" i="3"/>
  <c r="K21" i="3"/>
  <c r="C21" i="3"/>
  <c r="J21" i="3"/>
  <c r="B21" i="3"/>
  <c r="H29" i="3"/>
  <c r="G29" i="3"/>
  <c r="F29" i="3"/>
  <c r="M29" i="3"/>
  <c r="E29" i="3"/>
  <c r="K29" i="3"/>
  <c r="C29" i="3"/>
  <c r="J29" i="3"/>
  <c r="B29" i="3"/>
  <c r="H37" i="3"/>
  <c r="G37" i="3"/>
  <c r="F37" i="3"/>
  <c r="M37" i="3"/>
  <c r="E37" i="3"/>
  <c r="K37" i="3"/>
  <c r="C37" i="3"/>
  <c r="J37" i="3"/>
  <c r="B37" i="3"/>
  <c r="H45" i="3"/>
  <c r="G45" i="3"/>
  <c r="F45" i="3"/>
  <c r="M45" i="3"/>
  <c r="E45" i="3"/>
  <c r="K45" i="3"/>
  <c r="C45" i="3"/>
  <c r="J45" i="3"/>
  <c r="B45" i="3"/>
  <c r="H53" i="3"/>
  <c r="G53" i="3"/>
  <c r="F53" i="3"/>
  <c r="M53" i="3"/>
  <c r="E53" i="3"/>
  <c r="K53" i="3"/>
  <c r="C53" i="3"/>
  <c r="J53" i="3"/>
  <c r="B53" i="3"/>
  <c r="D61" i="3"/>
  <c r="G84" i="3"/>
  <c r="I114" i="3"/>
  <c r="G146" i="3"/>
  <c r="M146" i="3"/>
  <c r="E146" i="3"/>
  <c r="J146" i="3"/>
  <c r="B146" i="3"/>
  <c r="L146" i="3"/>
  <c r="K146" i="3"/>
  <c r="I146" i="3"/>
  <c r="H146" i="3"/>
  <c r="D146" i="3"/>
  <c r="C146" i="3"/>
  <c r="M149" i="3"/>
  <c r="H213" i="3"/>
  <c r="F213" i="3"/>
  <c r="M213" i="3"/>
  <c r="E213" i="3"/>
  <c r="K213" i="3"/>
  <c r="C213" i="3"/>
  <c r="L213" i="3"/>
  <c r="J213" i="3"/>
  <c r="I213" i="3"/>
  <c r="D213" i="3"/>
  <c r="B213" i="3"/>
  <c r="G242" i="3"/>
  <c r="M242" i="3"/>
  <c r="E242" i="3"/>
  <c r="L242" i="3"/>
  <c r="D242" i="3"/>
  <c r="J242" i="3"/>
  <c r="B242" i="3"/>
  <c r="I242" i="3"/>
  <c r="H242" i="3"/>
  <c r="F242" i="3"/>
  <c r="C242" i="3"/>
  <c r="I306" i="3"/>
  <c r="M386" i="3"/>
  <c r="E386" i="3"/>
  <c r="L386" i="3"/>
  <c r="D386" i="3"/>
  <c r="G386" i="3"/>
  <c r="F386" i="3"/>
  <c r="C386" i="3"/>
  <c r="B386" i="3"/>
  <c r="J386" i="3"/>
  <c r="K386" i="3"/>
  <c r="I386" i="3"/>
  <c r="H386" i="3"/>
  <c r="J619" i="3"/>
  <c r="B619" i="3"/>
  <c r="H619" i="3"/>
  <c r="G619" i="3"/>
  <c r="L619" i="3"/>
  <c r="K619" i="3"/>
  <c r="I619" i="3"/>
  <c r="F619" i="3"/>
  <c r="D619" i="3"/>
  <c r="E619" i="3"/>
  <c r="C619" i="3"/>
  <c r="I7" i="2"/>
  <c r="I15" i="2"/>
  <c r="I71" i="2"/>
  <c r="I95" i="2"/>
  <c r="I119" i="2"/>
  <c r="I175" i="2"/>
  <c r="I183" i="2"/>
  <c r="I191" i="2"/>
  <c r="H359" i="2"/>
  <c r="G359" i="2"/>
  <c r="L359" i="2"/>
  <c r="D359" i="2"/>
  <c r="H423" i="2"/>
  <c r="G423" i="2"/>
  <c r="F423" i="2"/>
  <c r="L423" i="2"/>
  <c r="D423" i="2"/>
  <c r="M667" i="2"/>
  <c r="E667" i="2"/>
  <c r="L667" i="2"/>
  <c r="D667" i="2"/>
  <c r="K667" i="2"/>
  <c r="C667" i="2"/>
  <c r="J667" i="2"/>
  <c r="B667" i="2"/>
  <c r="H667" i="2"/>
  <c r="G667" i="2"/>
  <c r="L145" i="3"/>
  <c r="D145" i="3"/>
  <c r="J145" i="3"/>
  <c r="B145" i="3"/>
  <c r="G145" i="3"/>
  <c r="M145" i="3"/>
  <c r="K145" i="3"/>
  <c r="I145" i="3"/>
  <c r="H145" i="3"/>
  <c r="E145" i="3"/>
  <c r="C145" i="3"/>
  <c r="G234" i="3"/>
  <c r="M234" i="3"/>
  <c r="E234" i="3"/>
  <c r="L234" i="3"/>
  <c r="D234" i="3"/>
  <c r="J234" i="3"/>
  <c r="B234" i="3"/>
  <c r="I234" i="3"/>
  <c r="H234" i="3"/>
  <c r="F234" i="3"/>
  <c r="C234" i="3"/>
  <c r="K404" i="3"/>
  <c r="C404" i="3"/>
  <c r="J404" i="3"/>
  <c r="B404" i="3"/>
  <c r="I404" i="3"/>
  <c r="H404" i="3"/>
  <c r="G404" i="3"/>
  <c r="F404" i="3"/>
  <c r="D404" i="3"/>
  <c r="L404" i="3"/>
  <c r="E404" i="3"/>
  <c r="I4" i="2"/>
  <c r="B7" i="2"/>
  <c r="B23" i="2"/>
  <c r="J47" i="2"/>
  <c r="I68" i="2"/>
  <c r="B71" i="2"/>
  <c r="B79" i="2"/>
  <c r="I132" i="2"/>
  <c r="J135" i="2"/>
  <c r="I140" i="2"/>
  <c r="J143" i="2"/>
  <c r="I156" i="2"/>
  <c r="B159" i="2"/>
  <c r="J175" i="2"/>
  <c r="J199" i="2"/>
  <c r="L281" i="2"/>
  <c r="J285" i="2"/>
  <c r="B285" i="2"/>
  <c r="F285" i="2"/>
  <c r="L285" i="2"/>
  <c r="L288" i="2"/>
  <c r="G292" i="2"/>
  <c r="K292" i="2"/>
  <c r="C292" i="2"/>
  <c r="L299" i="2"/>
  <c r="D299" i="2"/>
  <c r="H299" i="2"/>
  <c r="L324" i="2"/>
  <c r="L331" i="2"/>
  <c r="D331" i="2"/>
  <c r="H331" i="2"/>
  <c r="F345" i="2"/>
  <c r="J345" i="2"/>
  <c r="B345" i="2"/>
  <c r="J349" i="2"/>
  <c r="B349" i="2"/>
  <c r="F349" i="2"/>
  <c r="L379" i="2"/>
  <c r="D379" i="2"/>
  <c r="K379" i="2"/>
  <c r="C379" i="2"/>
  <c r="J379" i="2"/>
  <c r="B379" i="2"/>
  <c r="H379" i="2"/>
  <c r="B388" i="2"/>
  <c r="F515" i="2"/>
  <c r="M595" i="2"/>
  <c r="E595" i="2"/>
  <c r="L595" i="2"/>
  <c r="D595" i="2"/>
  <c r="K595" i="2"/>
  <c r="C595" i="2"/>
  <c r="J595" i="2"/>
  <c r="B595" i="2"/>
  <c r="H595" i="2"/>
  <c r="G595" i="2"/>
  <c r="M228" i="3"/>
  <c r="E228" i="3"/>
  <c r="K228" i="3"/>
  <c r="C228" i="3"/>
  <c r="J228" i="3"/>
  <c r="B228" i="3"/>
  <c r="H228" i="3"/>
  <c r="L228" i="3"/>
  <c r="I228" i="3"/>
  <c r="F228" i="3"/>
  <c r="D228" i="3"/>
  <c r="F735" i="3"/>
  <c r="M735" i="3"/>
  <c r="E735" i="3"/>
  <c r="L735" i="3"/>
  <c r="D735" i="3"/>
  <c r="K735" i="3"/>
  <c r="C735" i="3"/>
  <c r="J735" i="3"/>
  <c r="I735" i="3"/>
  <c r="G735" i="3"/>
  <c r="H735" i="3"/>
  <c r="B735" i="3"/>
  <c r="G3" i="2"/>
  <c r="B4" i="2"/>
  <c r="J4" i="2"/>
  <c r="E5" i="2"/>
  <c r="M5" i="2"/>
  <c r="C7" i="2"/>
  <c r="K7" i="2"/>
  <c r="F8" i="2"/>
  <c r="I9" i="2"/>
  <c r="G11" i="2"/>
  <c r="B12" i="2"/>
  <c r="J12" i="2"/>
  <c r="E13" i="2"/>
  <c r="M13" i="2"/>
  <c r="C15" i="2"/>
  <c r="K15" i="2"/>
  <c r="F16" i="2"/>
  <c r="I17" i="2"/>
  <c r="G19" i="2"/>
  <c r="J20" i="2"/>
  <c r="K23" i="2"/>
  <c r="I25" i="2"/>
  <c r="G27" i="2"/>
  <c r="J28" i="2"/>
  <c r="E29" i="2"/>
  <c r="M29" i="2"/>
  <c r="K31" i="2"/>
  <c r="J36" i="2"/>
  <c r="C39" i="2"/>
  <c r="K39" i="2"/>
  <c r="F40" i="2"/>
  <c r="I41" i="2"/>
  <c r="G43" i="2"/>
  <c r="J44" i="2"/>
  <c r="K47" i="2"/>
  <c r="I49" i="2"/>
  <c r="G51" i="2"/>
  <c r="J52" i="2"/>
  <c r="G59" i="2"/>
  <c r="J60" i="2"/>
  <c r="I65" i="2"/>
  <c r="B68" i="2"/>
  <c r="E69" i="2"/>
  <c r="M69" i="2"/>
  <c r="C71" i="2"/>
  <c r="E2" i="2"/>
  <c r="M2" i="2"/>
  <c r="H3" i="2"/>
  <c r="C4" i="2"/>
  <c r="K4" i="2"/>
  <c r="F5" i="2"/>
  <c r="I6" i="2"/>
  <c r="D7" i="2"/>
  <c r="L7" i="2"/>
  <c r="G8" i="2"/>
  <c r="B9" i="2"/>
  <c r="J9" i="2"/>
  <c r="E10" i="2"/>
  <c r="M10" i="2"/>
  <c r="H11" i="2"/>
  <c r="C12" i="2"/>
  <c r="K12" i="2"/>
  <c r="F13" i="2"/>
  <c r="I14" i="2"/>
  <c r="D15" i="2"/>
  <c r="L15" i="2"/>
  <c r="G16" i="2"/>
  <c r="B17" i="2"/>
  <c r="J17" i="2"/>
  <c r="E18" i="2"/>
  <c r="M18" i="2"/>
  <c r="H19" i="2"/>
  <c r="C20" i="2"/>
  <c r="K20" i="2"/>
  <c r="F21" i="2"/>
  <c r="I22" i="2"/>
  <c r="D23" i="2"/>
  <c r="L23" i="2"/>
  <c r="G24" i="2"/>
  <c r="B25" i="2"/>
  <c r="J25" i="2"/>
  <c r="E26" i="2"/>
  <c r="M26" i="2"/>
  <c r="H27" i="2"/>
  <c r="C28" i="2"/>
  <c r="K28" i="2"/>
  <c r="F29" i="2"/>
  <c r="I30" i="2"/>
  <c r="D31" i="2"/>
  <c r="L31" i="2"/>
  <c r="G32" i="2"/>
  <c r="B33" i="2"/>
  <c r="J33" i="2"/>
  <c r="E34" i="2"/>
  <c r="M34" i="2"/>
  <c r="H35" i="2"/>
  <c r="C36" i="2"/>
  <c r="K36" i="2"/>
  <c r="F37" i="2"/>
  <c r="I38" i="2"/>
  <c r="D39" i="2"/>
  <c r="L39" i="2"/>
  <c r="G40" i="2"/>
  <c r="B41" i="2"/>
  <c r="J41" i="2"/>
  <c r="E42" i="2"/>
  <c r="M42" i="2"/>
  <c r="H43" i="2"/>
  <c r="C44" i="2"/>
  <c r="K44" i="2"/>
  <c r="F45" i="2"/>
  <c r="I46" i="2"/>
  <c r="D47" i="2"/>
  <c r="L47" i="2"/>
  <c r="G48" i="2"/>
  <c r="B49" i="2"/>
  <c r="J49" i="2"/>
  <c r="E50" i="2"/>
  <c r="M50" i="2"/>
  <c r="H51" i="2"/>
  <c r="C52" i="2"/>
  <c r="K52" i="2"/>
  <c r="F53" i="2"/>
  <c r="I54" i="2"/>
  <c r="D55" i="2"/>
  <c r="L55" i="2"/>
  <c r="G56" i="2"/>
  <c r="B57" i="2"/>
  <c r="J57" i="2"/>
  <c r="E58" i="2"/>
  <c r="M58" i="2"/>
  <c r="H59" i="2"/>
  <c r="C60" i="2"/>
  <c r="K60" i="2"/>
  <c r="F61" i="2"/>
  <c r="I62" i="2"/>
  <c r="D63" i="2"/>
  <c r="L63" i="2"/>
  <c r="G64" i="2"/>
  <c r="B65" i="2"/>
  <c r="J65" i="2"/>
  <c r="E66" i="2"/>
  <c r="M66" i="2"/>
  <c r="H67" i="2"/>
  <c r="C68" i="2"/>
  <c r="K68" i="2"/>
  <c r="F69" i="2"/>
  <c r="I70" i="2"/>
  <c r="D71" i="2"/>
  <c r="L71" i="2"/>
  <c r="G72" i="2"/>
  <c r="B73" i="2"/>
  <c r="J73" i="2"/>
  <c r="E74" i="2"/>
  <c r="M74" i="2"/>
  <c r="H75" i="2"/>
  <c r="C76" i="2"/>
  <c r="K76" i="2"/>
  <c r="F77" i="2"/>
  <c r="I78" i="2"/>
  <c r="D79" i="2"/>
  <c r="L79" i="2"/>
  <c r="G80" i="2"/>
  <c r="B81" i="2"/>
  <c r="J81" i="2"/>
  <c r="H83" i="2"/>
  <c r="C84" i="2"/>
  <c r="K84" i="2"/>
  <c r="F85" i="2"/>
  <c r="I86" i="2"/>
  <c r="D87" i="2"/>
  <c r="L87" i="2"/>
  <c r="G88" i="2"/>
  <c r="B89" i="2"/>
  <c r="J89" i="2"/>
  <c r="H91" i="2"/>
  <c r="C92" i="2"/>
  <c r="K92" i="2"/>
  <c r="F93" i="2"/>
  <c r="I94" i="2"/>
  <c r="D95" i="2"/>
  <c r="L95" i="2"/>
  <c r="G96" i="2"/>
  <c r="B97" i="2"/>
  <c r="J97" i="2"/>
  <c r="H99" i="2"/>
  <c r="C100" i="2"/>
  <c r="K100" i="2"/>
  <c r="F101" i="2"/>
  <c r="I102" i="2"/>
  <c r="D103" i="2"/>
  <c r="L103" i="2"/>
  <c r="G104" i="2"/>
  <c r="B105" i="2"/>
  <c r="J105" i="2"/>
  <c r="H107" i="2"/>
  <c r="C108" i="2"/>
  <c r="K108" i="2"/>
  <c r="F109" i="2"/>
  <c r="I110" i="2"/>
  <c r="D111" i="2"/>
  <c r="L111" i="2"/>
  <c r="G112" i="2"/>
  <c r="B113" i="2"/>
  <c r="J113" i="2"/>
  <c r="E114" i="2"/>
  <c r="M114" i="2"/>
  <c r="H115" i="2"/>
  <c r="C116" i="2"/>
  <c r="K116" i="2"/>
  <c r="F117" i="2"/>
  <c r="I118" i="2"/>
  <c r="D119" i="2"/>
  <c r="L119" i="2"/>
  <c r="G120" i="2"/>
  <c r="B121" i="2"/>
  <c r="J121" i="2"/>
  <c r="E122" i="2"/>
  <c r="M122" i="2"/>
  <c r="H123" i="2"/>
  <c r="C124" i="2"/>
  <c r="K124" i="2"/>
  <c r="F125" i="2"/>
  <c r="I126" i="2"/>
  <c r="D127" i="2"/>
  <c r="L127" i="2"/>
  <c r="G128" i="2"/>
  <c r="B129" i="2"/>
  <c r="J129" i="2"/>
  <c r="E130" i="2"/>
  <c r="M130" i="2"/>
  <c r="H131" i="2"/>
  <c r="C132" i="2"/>
  <c r="K132" i="2"/>
  <c r="F133" i="2"/>
  <c r="I134" i="2"/>
  <c r="D135" i="2"/>
  <c r="L135" i="2"/>
  <c r="G136" i="2"/>
  <c r="B137" i="2"/>
  <c r="J137" i="2"/>
  <c r="E138" i="2"/>
  <c r="M138" i="2"/>
  <c r="H139" i="2"/>
  <c r="C140" i="2"/>
  <c r="K140" i="2"/>
  <c r="F141" i="2"/>
  <c r="I142" i="2"/>
  <c r="D143" i="2"/>
  <c r="L143" i="2"/>
  <c r="G144" i="2"/>
  <c r="B145" i="2"/>
  <c r="J145" i="2"/>
  <c r="E146" i="2"/>
  <c r="M146" i="2"/>
  <c r="H147" i="2"/>
  <c r="C148" i="2"/>
  <c r="K148" i="2"/>
  <c r="F149" i="2"/>
  <c r="I150" i="2"/>
  <c r="D151" i="2"/>
  <c r="L151" i="2"/>
  <c r="G152" i="2"/>
  <c r="B153" i="2"/>
  <c r="J153" i="2"/>
  <c r="E154" i="2"/>
  <c r="M154" i="2"/>
  <c r="H155" i="2"/>
  <c r="C156" i="2"/>
  <c r="K156" i="2"/>
  <c r="F157" i="2"/>
  <c r="I158" i="2"/>
  <c r="D159" i="2"/>
  <c r="L159" i="2"/>
  <c r="G160" i="2"/>
  <c r="B161" i="2"/>
  <c r="J161" i="2"/>
  <c r="E162" i="2"/>
  <c r="M162" i="2"/>
  <c r="H163" i="2"/>
  <c r="C164" i="2"/>
  <c r="K164" i="2"/>
  <c r="F165" i="2"/>
  <c r="I166" i="2"/>
  <c r="D167" i="2"/>
  <c r="L167" i="2"/>
  <c r="G168" i="2"/>
  <c r="B169" i="2"/>
  <c r="J169" i="2"/>
  <c r="E170" i="2"/>
  <c r="M170" i="2"/>
  <c r="H171" i="2"/>
  <c r="C172" i="2"/>
  <c r="K172" i="2"/>
  <c r="F173" i="2"/>
  <c r="I174" i="2"/>
  <c r="D175" i="2"/>
  <c r="L175" i="2"/>
  <c r="G176" i="2"/>
  <c r="B177" i="2"/>
  <c r="J177" i="2"/>
  <c r="E178" i="2"/>
  <c r="M178" i="2"/>
  <c r="H179" i="2"/>
  <c r="C180" i="2"/>
  <c r="K180" i="2"/>
  <c r="F181" i="2"/>
  <c r="I182" i="2"/>
  <c r="D183" i="2"/>
  <c r="L183" i="2"/>
  <c r="G184" i="2"/>
  <c r="B185" i="2"/>
  <c r="J185" i="2"/>
  <c r="E186" i="2"/>
  <c r="M186" i="2"/>
  <c r="H187" i="2"/>
  <c r="C188" i="2"/>
  <c r="K188" i="2"/>
  <c r="F189" i="2"/>
  <c r="I190" i="2"/>
  <c r="D191" i="2"/>
  <c r="L191" i="2"/>
  <c r="G192" i="2"/>
  <c r="B193" i="2"/>
  <c r="J193" i="2"/>
  <c r="E194" i="2"/>
  <c r="M194" i="2"/>
  <c r="H195" i="2"/>
  <c r="C196" i="2"/>
  <c r="K196" i="2"/>
  <c r="F197" i="2"/>
  <c r="I198" i="2"/>
  <c r="D199" i="2"/>
  <c r="L199" i="2"/>
  <c r="G200" i="2"/>
  <c r="B201" i="2"/>
  <c r="J201" i="2"/>
  <c r="H203" i="2"/>
  <c r="C204" i="2"/>
  <c r="K204" i="2"/>
  <c r="F205" i="2"/>
  <c r="I206" i="2"/>
  <c r="D207" i="2"/>
  <c r="L207" i="2"/>
  <c r="G208" i="2"/>
  <c r="B209" i="2"/>
  <c r="J209" i="2"/>
  <c r="L211" i="2"/>
  <c r="D211" i="2"/>
  <c r="H211" i="2"/>
  <c r="K211" i="2"/>
  <c r="H215" i="2"/>
  <c r="L215" i="2"/>
  <c r="D215" i="2"/>
  <c r="K215" i="2"/>
  <c r="L219" i="2"/>
  <c r="D219" i="2"/>
  <c r="H219" i="2"/>
  <c r="K219" i="2"/>
  <c r="H223" i="2"/>
  <c r="L223" i="2"/>
  <c r="D223" i="2"/>
  <c r="K223" i="2"/>
  <c r="L227" i="2"/>
  <c r="D227" i="2"/>
  <c r="H227" i="2"/>
  <c r="K227" i="2"/>
  <c r="H231" i="2"/>
  <c r="L231" i="2"/>
  <c r="D231" i="2"/>
  <c r="K231" i="2"/>
  <c r="L235" i="2"/>
  <c r="D235" i="2"/>
  <c r="H235" i="2"/>
  <c r="K235" i="2"/>
  <c r="H239" i="2"/>
  <c r="L239" i="2"/>
  <c r="D239" i="2"/>
  <c r="K239" i="2"/>
  <c r="L243" i="2"/>
  <c r="D243" i="2"/>
  <c r="H243" i="2"/>
  <c r="K243" i="2"/>
  <c r="H247" i="2"/>
  <c r="L247" i="2"/>
  <c r="D247" i="2"/>
  <c r="K247" i="2"/>
  <c r="L251" i="2"/>
  <c r="D251" i="2"/>
  <c r="H251" i="2"/>
  <c r="K251" i="2"/>
  <c r="H255" i="2"/>
  <c r="L255" i="2"/>
  <c r="D255" i="2"/>
  <c r="K255" i="2"/>
  <c r="L259" i="2"/>
  <c r="D259" i="2"/>
  <c r="H259" i="2"/>
  <c r="K259" i="2"/>
  <c r="H263" i="2"/>
  <c r="L263" i="2"/>
  <c r="D263" i="2"/>
  <c r="K263" i="2"/>
  <c r="L267" i="2"/>
  <c r="D267" i="2"/>
  <c r="H267" i="2"/>
  <c r="K267" i="2"/>
  <c r="H271" i="2"/>
  <c r="L271" i="2"/>
  <c r="D271" i="2"/>
  <c r="K271" i="2"/>
  <c r="L275" i="2"/>
  <c r="D275" i="2"/>
  <c r="H275" i="2"/>
  <c r="K275" i="2"/>
  <c r="D281" i="2"/>
  <c r="D285" i="2"/>
  <c r="D288" i="2"/>
  <c r="F289" i="2"/>
  <c r="J289" i="2"/>
  <c r="B289" i="2"/>
  <c r="L289" i="2"/>
  <c r="D292" i="2"/>
  <c r="J293" i="2"/>
  <c r="B293" i="2"/>
  <c r="F293" i="2"/>
  <c r="L293" i="2"/>
  <c r="C295" i="2"/>
  <c r="K296" i="2"/>
  <c r="C296" i="2"/>
  <c r="G296" i="2"/>
  <c r="L296" i="2"/>
  <c r="C299" i="2"/>
  <c r="G300" i="2"/>
  <c r="K300" i="2"/>
  <c r="C300" i="2"/>
  <c r="L300" i="2"/>
  <c r="H303" i="2"/>
  <c r="L303" i="2"/>
  <c r="D303" i="2"/>
  <c r="K303" i="2"/>
  <c r="L307" i="2"/>
  <c r="D307" i="2"/>
  <c r="H307" i="2"/>
  <c r="K307" i="2"/>
  <c r="D313" i="2"/>
  <c r="D317" i="2"/>
  <c r="D320" i="2"/>
  <c r="F321" i="2"/>
  <c r="J321" i="2"/>
  <c r="B321" i="2"/>
  <c r="L321" i="2"/>
  <c r="J325" i="2"/>
  <c r="B325" i="2"/>
  <c r="F325" i="2"/>
  <c r="L325" i="2"/>
  <c r="C327" i="2"/>
  <c r="K328" i="2"/>
  <c r="C328" i="2"/>
  <c r="G328" i="2"/>
  <c r="L328" i="2"/>
  <c r="C331" i="2"/>
  <c r="G332" i="2"/>
  <c r="K332" i="2"/>
  <c r="C332" i="2"/>
  <c r="L332" i="2"/>
  <c r="H335" i="2"/>
  <c r="L335" i="2"/>
  <c r="D335" i="2"/>
  <c r="K335" i="2"/>
  <c r="L339" i="2"/>
  <c r="D339" i="2"/>
  <c r="H339" i="2"/>
  <c r="K339" i="2"/>
  <c r="D345" i="2"/>
  <c r="D349" i="2"/>
  <c r="F352" i="2"/>
  <c r="B355" i="2"/>
  <c r="B356" i="2"/>
  <c r="E359" i="2"/>
  <c r="D361" i="2"/>
  <c r="L363" i="2"/>
  <c r="D363" i="2"/>
  <c r="K363" i="2"/>
  <c r="C363" i="2"/>
  <c r="H363" i="2"/>
  <c r="G364" i="2"/>
  <c r="F364" i="2"/>
  <c r="K364" i="2"/>
  <c r="C364" i="2"/>
  <c r="M364" i="2"/>
  <c r="H369" i="2"/>
  <c r="B375" i="2"/>
  <c r="G377" i="2"/>
  <c r="F379" i="2"/>
  <c r="H383" i="2"/>
  <c r="G383" i="2"/>
  <c r="F383" i="2"/>
  <c r="L383" i="2"/>
  <c r="D383" i="2"/>
  <c r="C385" i="2"/>
  <c r="E387" i="2"/>
  <c r="H388" i="2"/>
  <c r="F393" i="2"/>
  <c r="M393" i="2"/>
  <c r="E393" i="2"/>
  <c r="L393" i="2"/>
  <c r="D393" i="2"/>
  <c r="J393" i="2"/>
  <c r="B393" i="2"/>
  <c r="L395" i="2"/>
  <c r="D395" i="2"/>
  <c r="K395" i="2"/>
  <c r="C395" i="2"/>
  <c r="J395" i="2"/>
  <c r="B395" i="2"/>
  <c r="H395" i="2"/>
  <c r="D396" i="2"/>
  <c r="B404" i="2"/>
  <c r="J407" i="2"/>
  <c r="G412" i="2"/>
  <c r="F412" i="2"/>
  <c r="M412" i="2"/>
  <c r="E412" i="2"/>
  <c r="K412" i="2"/>
  <c r="C412" i="2"/>
  <c r="E423" i="2"/>
  <c r="C431" i="2"/>
  <c r="H433" i="2"/>
  <c r="H439" i="2"/>
  <c r="G439" i="2"/>
  <c r="F439" i="2"/>
  <c r="L439" i="2"/>
  <c r="D439" i="2"/>
  <c r="C441" i="2"/>
  <c r="L451" i="2"/>
  <c r="D451" i="2"/>
  <c r="K451" i="2"/>
  <c r="C451" i="2"/>
  <c r="J451" i="2"/>
  <c r="B451" i="2"/>
  <c r="H451" i="2"/>
  <c r="D452" i="2"/>
  <c r="G460" i="2"/>
  <c r="F460" i="2"/>
  <c r="M460" i="2"/>
  <c r="E460" i="2"/>
  <c r="K460" i="2"/>
  <c r="C460" i="2"/>
  <c r="C463" i="2"/>
  <c r="H465" i="2"/>
  <c r="H473" i="2"/>
  <c r="H476" i="2"/>
  <c r="G476" i="2"/>
  <c r="F476" i="2"/>
  <c r="M476" i="2"/>
  <c r="E476" i="2"/>
  <c r="K476" i="2"/>
  <c r="C476" i="2"/>
  <c r="I484" i="2"/>
  <c r="G489" i="2"/>
  <c r="F489" i="2"/>
  <c r="M489" i="2"/>
  <c r="E489" i="2"/>
  <c r="L489" i="2"/>
  <c r="D489" i="2"/>
  <c r="J489" i="2"/>
  <c r="B489" i="2"/>
  <c r="G491" i="2"/>
  <c r="I497" i="2"/>
  <c r="B500" i="2"/>
  <c r="M507" i="2"/>
  <c r="E507" i="2"/>
  <c r="L507" i="2"/>
  <c r="D507" i="2"/>
  <c r="K507" i="2"/>
  <c r="C507" i="2"/>
  <c r="J507" i="2"/>
  <c r="B507" i="2"/>
  <c r="H507" i="2"/>
  <c r="C513" i="2"/>
  <c r="F539" i="2"/>
  <c r="M547" i="2"/>
  <c r="E547" i="2"/>
  <c r="L547" i="2"/>
  <c r="D547" i="2"/>
  <c r="K547" i="2"/>
  <c r="C547" i="2"/>
  <c r="J547" i="2"/>
  <c r="B547" i="2"/>
  <c r="H547" i="2"/>
  <c r="G547" i="2"/>
  <c r="I572" i="2"/>
  <c r="D580" i="2"/>
  <c r="H588" i="2"/>
  <c r="G588" i="2"/>
  <c r="F588" i="2"/>
  <c r="M588" i="2"/>
  <c r="E588" i="2"/>
  <c r="K588" i="2"/>
  <c r="C588" i="2"/>
  <c r="J588" i="2"/>
  <c r="B588" i="2"/>
  <c r="I595" i="2"/>
  <c r="F603" i="2"/>
  <c r="M611" i="2"/>
  <c r="E611" i="2"/>
  <c r="L611" i="2"/>
  <c r="D611" i="2"/>
  <c r="K611" i="2"/>
  <c r="C611" i="2"/>
  <c r="J611" i="2"/>
  <c r="B611" i="2"/>
  <c r="H611" i="2"/>
  <c r="G611" i="2"/>
  <c r="F619" i="2"/>
  <c r="H636" i="2"/>
  <c r="G636" i="2"/>
  <c r="F636" i="2"/>
  <c r="M636" i="2"/>
  <c r="E636" i="2"/>
  <c r="K636" i="2"/>
  <c r="C636" i="2"/>
  <c r="J636" i="2"/>
  <c r="B636" i="2"/>
  <c r="H644" i="2"/>
  <c r="G644" i="2"/>
  <c r="F644" i="2"/>
  <c r="M644" i="2"/>
  <c r="E644" i="2"/>
  <c r="K644" i="2"/>
  <c r="C644" i="2"/>
  <c r="J644" i="2"/>
  <c r="B644" i="2"/>
  <c r="H652" i="2"/>
  <c r="G652" i="2"/>
  <c r="F652" i="2"/>
  <c r="M652" i="2"/>
  <c r="E652" i="2"/>
  <c r="K652" i="2"/>
  <c r="C652" i="2"/>
  <c r="J652" i="2"/>
  <c r="B652" i="2"/>
  <c r="H660" i="2"/>
  <c r="G660" i="2"/>
  <c r="F660" i="2"/>
  <c r="M660" i="2"/>
  <c r="E660" i="2"/>
  <c r="K660" i="2"/>
  <c r="C660" i="2"/>
  <c r="J660" i="2"/>
  <c r="B660" i="2"/>
  <c r="H668" i="2"/>
  <c r="G668" i="2"/>
  <c r="F668" i="2"/>
  <c r="M668" i="2"/>
  <c r="E668" i="2"/>
  <c r="K668" i="2"/>
  <c r="C668" i="2"/>
  <c r="J668" i="2"/>
  <c r="B668" i="2"/>
  <c r="H676" i="2"/>
  <c r="G676" i="2"/>
  <c r="F676" i="2"/>
  <c r="M676" i="2"/>
  <c r="E676" i="2"/>
  <c r="K676" i="2"/>
  <c r="C676" i="2"/>
  <c r="J676" i="2"/>
  <c r="B676" i="2"/>
  <c r="H684" i="2"/>
  <c r="G684" i="2"/>
  <c r="F684" i="2"/>
  <c r="M684" i="2"/>
  <c r="E684" i="2"/>
  <c r="K684" i="2"/>
  <c r="C684" i="2"/>
  <c r="J684" i="2"/>
  <c r="B684" i="2"/>
  <c r="H692" i="2"/>
  <c r="G692" i="2"/>
  <c r="F692" i="2"/>
  <c r="M692" i="2"/>
  <c r="E692" i="2"/>
  <c r="K692" i="2"/>
  <c r="C692" i="2"/>
  <c r="J692" i="2"/>
  <c r="B692" i="2"/>
  <c r="H700" i="2"/>
  <c r="G700" i="2"/>
  <c r="F700" i="2"/>
  <c r="M700" i="2"/>
  <c r="E700" i="2"/>
  <c r="K700" i="2"/>
  <c r="C700" i="2"/>
  <c r="J700" i="2"/>
  <c r="B700" i="2"/>
  <c r="H708" i="2"/>
  <c r="G708" i="2"/>
  <c r="F708" i="2"/>
  <c r="M708" i="2"/>
  <c r="E708" i="2"/>
  <c r="K708" i="2"/>
  <c r="C708" i="2"/>
  <c r="J708" i="2"/>
  <c r="B708" i="2"/>
  <c r="H716" i="2"/>
  <c r="G716" i="2"/>
  <c r="F716" i="2"/>
  <c r="M716" i="2"/>
  <c r="E716" i="2"/>
  <c r="K716" i="2"/>
  <c r="C716" i="2"/>
  <c r="J716" i="2"/>
  <c r="B716" i="2"/>
  <c r="H724" i="2"/>
  <c r="G724" i="2"/>
  <c r="F724" i="2"/>
  <c r="M724" i="2"/>
  <c r="E724" i="2"/>
  <c r="K724" i="2"/>
  <c r="C724" i="2"/>
  <c r="J724" i="2"/>
  <c r="B724" i="2"/>
  <c r="H732" i="2"/>
  <c r="G732" i="2"/>
  <c r="F732" i="2"/>
  <c r="M732" i="2"/>
  <c r="E732" i="2"/>
  <c r="K732" i="2"/>
  <c r="C732" i="2"/>
  <c r="J732" i="2"/>
  <c r="B732" i="2"/>
  <c r="H740" i="2"/>
  <c r="G740" i="2"/>
  <c r="F740" i="2"/>
  <c r="M740" i="2"/>
  <c r="E740" i="2"/>
  <c r="K740" i="2"/>
  <c r="C740" i="2"/>
  <c r="J740" i="2"/>
  <c r="B740" i="2"/>
  <c r="H748" i="2"/>
  <c r="G748" i="2"/>
  <c r="F748" i="2"/>
  <c r="M748" i="2"/>
  <c r="E748" i="2"/>
  <c r="K748" i="2"/>
  <c r="C748" i="2"/>
  <c r="J748" i="2"/>
  <c r="B748" i="2"/>
  <c r="H756" i="2"/>
  <c r="G756" i="2"/>
  <c r="F756" i="2"/>
  <c r="M756" i="2"/>
  <c r="E756" i="2"/>
  <c r="K756" i="2"/>
  <c r="C756" i="2"/>
  <c r="J756" i="2"/>
  <c r="B756" i="2"/>
  <c r="H764" i="2"/>
  <c r="G764" i="2"/>
  <c r="F764" i="2"/>
  <c r="M764" i="2"/>
  <c r="E764" i="2"/>
  <c r="K764" i="2"/>
  <c r="C764" i="2"/>
  <c r="J764" i="2"/>
  <c r="B764" i="2"/>
  <c r="H772" i="2"/>
  <c r="G772" i="2"/>
  <c r="F772" i="2"/>
  <c r="M772" i="2"/>
  <c r="E772" i="2"/>
  <c r="K772" i="2"/>
  <c r="C772" i="2"/>
  <c r="J772" i="2"/>
  <c r="B772" i="2"/>
  <c r="H780" i="2"/>
  <c r="G780" i="2"/>
  <c r="F780" i="2"/>
  <c r="M780" i="2"/>
  <c r="E780" i="2"/>
  <c r="K780" i="2"/>
  <c r="C780" i="2"/>
  <c r="J780" i="2"/>
  <c r="B780" i="2"/>
  <c r="H788" i="2"/>
  <c r="G788" i="2"/>
  <c r="F788" i="2"/>
  <c r="M788" i="2"/>
  <c r="E788" i="2"/>
  <c r="K788" i="2"/>
  <c r="C788" i="2"/>
  <c r="J788" i="2"/>
  <c r="B788" i="2"/>
  <c r="D796" i="2"/>
  <c r="D804" i="2"/>
  <c r="D812" i="2"/>
  <c r="D820" i="2"/>
  <c r="D828" i="2"/>
  <c r="D836" i="2"/>
  <c r="D844" i="2"/>
  <c r="D852" i="2"/>
  <c r="D860" i="2"/>
  <c r="D868" i="2"/>
  <c r="D876" i="2"/>
  <c r="D884" i="2"/>
  <c r="D892" i="2"/>
  <c r="D900" i="2"/>
  <c r="D908" i="2"/>
  <c r="D916" i="2"/>
  <c r="D924" i="2"/>
  <c r="D932" i="2"/>
  <c r="D940" i="2"/>
  <c r="D948" i="2"/>
  <c r="D956" i="2"/>
  <c r="D964" i="2"/>
  <c r="D972" i="2"/>
  <c r="D980" i="2"/>
  <c r="D988" i="2"/>
  <c r="D996" i="2"/>
  <c r="D5" i="3"/>
  <c r="D13" i="3"/>
  <c r="D21" i="3"/>
  <c r="D29" i="3"/>
  <c r="D37" i="3"/>
  <c r="D45" i="3"/>
  <c r="D53" i="3"/>
  <c r="I61" i="3"/>
  <c r="M82" i="3"/>
  <c r="E82" i="3"/>
  <c r="J82" i="3"/>
  <c r="B82" i="3"/>
  <c r="K82" i="3"/>
  <c r="I82" i="3"/>
  <c r="H82" i="3"/>
  <c r="G82" i="3"/>
  <c r="D82" i="3"/>
  <c r="C82" i="3"/>
  <c r="J115" i="3"/>
  <c r="B115" i="3"/>
  <c r="H115" i="3"/>
  <c r="M115" i="3"/>
  <c r="E115" i="3"/>
  <c r="G115" i="3"/>
  <c r="F115" i="3"/>
  <c r="D115" i="3"/>
  <c r="C115" i="3"/>
  <c r="L115" i="3"/>
  <c r="K115" i="3"/>
  <c r="F146" i="3"/>
  <c r="G213" i="3"/>
  <c r="K242" i="3"/>
  <c r="H269" i="3"/>
  <c r="G269" i="3"/>
  <c r="F269" i="3"/>
  <c r="M269" i="3"/>
  <c r="E269" i="3"/>
  <c r="K269" i="3"/>
  <c r="C269" i="3"/>
  <c r="L269" i="3"/>
  <c r="J269" i="3"/>
  <c r="D269" i="3"/>
  <c r="B269" i="3"/>
  <c r="M490" i="3"/>
  <c r="E490" i="3"/>
  <c r="L490" i="3"/>
  <c r="D490" i="3"/>
  <c r="J490" i="3"/>
  <c r="I490" i="3"/>
  <c r="H490" i="3"/>
  <c r="G490" i="3"/>
  <c r="C490" i="3"/>
  <c r="F490" i="3"/>
  <c r="B490" i="3"/>
  <c r="G528" i="3"/>
  <c r="F528" i="3"/>
  <c r="J528" i="3"/>
  <c r="I528" i="3"/>
  <c r="H528" i="3"/>
  <c r="E528" i="3"/>
  <c r="M528" i="3"/>
  <c r="C528" i="3"/>
  <c r="L528" i="3"/>
  <c r="D528" i="3"/>
  <c r="B528" i="3"/>
  <c r="M619" i="3"/>
  <c r="H653" i="3"/>
  <c r="G653" i="3"/>
  <c r="F653" i="3"/>
  <c r="M653" i="3"/>
  <c r="E653" i="3"/>
  <c r="L653" i="3"/>
  <c r="K653" i="3"/>
  <c r="J653" i="3"/>
  <c r="I653" i="3"/>
  <c r="C653" i="3"/>
  <c r="D653" i="3"/>
  <c r="B653" i="3"/>
  <c r="F24" i="4"/>
  <c r="M24" i="4"/>
  <c r="E24" i="4"/>
  <c r="L24" i="4"/>
  <c r="D24" i="4"/>
  <c r="K24" i="4"/>
  <c r="C24" i="4"/>
  <c r="H24" i="4"/>
  <c r="J24" i="4"/>
  <c r="I24" i="4"/>
  <c r="B24" i="4"/>
  <c r="G24" i="4"/>
  <c r="F562" i="4"/>
  <c r="M562" i="4"/>
  <c r="E562" i="4"/>
  <c r="J562" i="4"/>
  <c r="I562" i="4"/>
  <c r="H562" i="4"/>
  <c r="G562" i="4"/>
  <c r="C562" i="4"/>
  <c r="L562" i="4"/>
  <c r="B562" i="4"/>
  <c r="K562" i="4"/>
  <c r="D562" i="4"/>
  <c r="F353" i="2"/>
  <c r="M353" i="2"/>
  <c r="E353" i="2"/>
  <c r="J353" i="2"/>
  <c r="B353" i="2"/>
  <c r="L371" i="2"/>
  <c r="D371" i="2"/>
  <c r="K371" i="2"/>
  <c r="C371" i="2"/>
  <c r="J371" i="2"/>
  <c r="B371" i="2"/>
  <c r="H371" i="2"/>
  <c r="M21" i="4"/>
  <c r="E21" i="4"/>
  <c r="L21" i="4"/>
  <c r="D21" i="4"/>
  <c r="K21" i="4"/>
  <c r="C21" i="4"/>
  <c r="J21" i="4"/>
  <c r="B21" i="4"/>
  <c r="G21" i="4"/>
  <c r="I21" i="4"/>
  <c r="H21" i="4"/>
  <c r="F21" i="4"/>
  <c r="J7" i="2"/>
  <c r="J23" i="2"/>
  <c r="B39" i="2"/>
  <c r="B63" i="2"/>
  <c r="I84" i="2"/>
  <c r="B95" i="2"/>
  <c r="B103" i="2"/>
  <c r="B111" i="2"/>
  <c r="B119" i="2"/>
  <c r="B183" i="2"/>
  <c r="B191" i="2"/>
  <c r="I204" i="2"/>
  <c r="L317" i="2"/>
  <c r="G324" i="2"/>
  <c r="K324" i="2"/>
  <c r="C324" i="2"/>
  <c r="K327" i="2"/>
  <c r="K331" i="2"/>
  <c r="K360" i="2"/>
  <c r="C360" i="2"/>
  <c r="J360" i="2"/>
  <c r="B360" i="2"/>
  <c r="G360" i="2"/>
  <c r="H367" i="2"/>
  <c r="G367" i="2"/>
  <c r="F367" i="2"/>
  <c r="L367" i="2"/>
  <c r="D367" i="2"/>
  <c r="C433" i="2"/>
  <c r="L443" i="2"/>
  <c r="D443" i="2"/>
  <c r="K443" i="2"/>
  <c r="C443" i="2"/>
  <c r="J443" i="2"/>
  <c r="B443" i="2"/>
  <c r="H443" i="2"/>
  <c r="C465" i="2"/>
  <c r="C497" i="2"/>
  <c r="H524" i="2"/>
  <c r="G524" i="2"/>
  <c r="F524" i="2"/>
  <c r="M524" i="2"/>
  <c r="E524" i="2"/>
  <c r="K524" i="2"/>
  <c r="C524" i="2"/>
  <c r="F145" i="3"/>
  <c r="H781" i="3"/>
  <c r="G781" i="3"/>
  <c r="F781" i="3"/>
  <c r="M781" i="3"/>
  <c r="E781" i="3"/>
  <c r="L781" i="3"/>
  <c r="K781" i="3"/>
  <c r="J781" i="3"/>
  <c r="I781" i="3"/>
  <c r="C781" i="3"/>
  <c r="D781" i="3"/>
  <c r="B781" i="3"/>
  <c r="I11" i="2"/>
  <c r="L12" i="2"/>
  <c r="M15" i="2"/>
  <c r="I43" i="2"/>
  <c r="M47" i="2"/>
  <c r="L52" i="2"/>
  <c r="E55" i="2"/>
  <c r="M63" i="2"/>
  <c r="I67" i="2"/>
  <c r="D68" i="2"/>
  <c r="L68" i="2"/>
  <c r="E71" i="2"/>
  <c r="M71" i="2"/>
  <c r="I83" i="2"/>
  <c r="D84" i="2"/>
  <c r="L84" i="2"/>
  <c r="E87" i="2"/>
  <c r="M87" i="2"/>
  <c r="I91" i="2"/>
  <c r="E95" i="2"/>
  <c r="M95" i="2"/>
  <c r="I99" i="2"/>
  <c r="L100" i="2"/>
  <c r="E103" i="2"/>
  <c r="I107" i="2"/>
  <c r="D108" i="2"/>
  <c r="L108" i="2"/>
  <c r="E111" i="2"/>
  <c r="M111" i="2"/>
  <c r="I115" i="2"/>
  <c r="D116" i="2"/>
  <c r="E119" i="2"/>
  <c r="M119" i="2"/>
  <c r="I123" i="2"/>
  <c r="D124" i="2"/>
  <c r="L124" i="2"/>
  <c r="E127" i="2"/>
  <c r="M127" i="2"/>
  <c r="I131" i="2"/>
  <c r="D132" i="2"/>
  <c r="L132" i="2"/>
  <c r="E135" i="2"/>
  <c r="M135" i="2"/>
  <c r="I139" i="2"/>
  <c r="D140" i="2"/>
  <c r="L140" i="2"/>
  <c r="E143" i="2"/>
  <c r="M143" i="2"/>
  <c r="I147" i="2"/>
  <c r="D148" i="2"/>
  <c r="L148" i="2"/>
  <c r="E151" i="2"/>
  <c r="M151" i="2"/>
  <c r="I155" i="2"/>
  <c r="D156" i="2"/>
  <c r="L156" i="2"/>
  <c r="E159" i="2"/>
  <c r="M159" i="2"/>
  <c r="I163" i="2"/>
  <c r="D164" i="2"/>
  <c r="L164" i="2"/>
  <c r="E167" i="2"/>
  <c r="M167" i="2"/>
  <c r="I171" i="2"/>
  <c r="D172" i="2"/>
  <c r="L172" i="2"/>
  <c r="E175" i="2"/>
  <c r="M175" i="2"/>
  <c r="I179" i="2"/>
  <c r="D180" i="2"/>
  <c r="L180" i="2"/>
  <c r="E183" i="2"/>
  <c r="M183" i="2"/>
  <c r="I187" i="2"/>
  <c r="D188" i="2"/>
  <c r="L188" i="2"/>
  <c r="E191" i="2"/>
  <c r="M191" i="2"/>
  <c r="I195" i="2"/>
  <c r="D196" i="2"/>
  <c r="L196" i="2"/>
  <c r="E199" i="2"/>
  <c r="M199" i="2"/>
  <c r="I203" i="2"/>
  <c r="D204" i="2"/>
  <c r="L204" i="2"/>
  <c r="E207" i="2"/>
  <c r="M207" i="2"/>
  <c r="E281" i="2"/>
  <c r="E285" i="2"/>
  <c r="E288" i="2"/>
  <c r="E292" i="2"/>
  <c r="E295" i="2"/>
  <c r="E299" i="2"/>
  <c r="E313" i="2"/>
  <c r="E317" i="2"/>
  <c r="E320" i="2"/>
  <c r="E324" i="2"/>
  <c r="E327" i="2"/>
  <c r="E331" i="2"/>
  <c r="E345" i="2"/>
  <c r="E349" i="2"/>
  <c r="H353" i="2"/>
  <c r="F359" i="2"/>
  <c r="F360" i="2"/>
  <c r="G361" i="2"/>
  <c r="E367" i="2"/>
  <c r="I369" i="2"/>
  <c r="I371" i="2"/>
  <c r="H377" i="2"/>
  <c r="G379" i="2"/>
  <c r="H391" i="2"/>
  <c r="G391" i="2"/>
  <c r="F391" i="2"/>
  <c r="L391" i="2"/>
  <c r="D391" i="2"/>
  <c r="F401" i="2"/>
  <c r="M401" i="2"/>
  <c r="E401" i="2"/>
  <c r="L401" i="2"/>
  <c r="D401" i="2"/>
  <c r="J401" i="2"/>
  <c r="B401" i="2"/>
  <c r="L403" i="2"/>
  <c r="D403" i="2"/>
  <c r="K403" i="2"/>
  <c r="C403" i="2"/>
  <c r="J403" i="2"/>
  <c r="B403" i="2"/>
  <c r="H403" i="2"/>
  <c r="G420" i="2"/>
  <c r="F420" i="2"/>
  <c r="M420" i="2"/>
  <c r="E420" i="2"/>
  <c r="K420" i="2"/>
  <c r="C420" i="2"/>
  <c r="I423" i="2"/>
  <c r="G443" i="2"/>
  <c r="F449" i="2"/>
  <c r="M449" i="2"/>
  <c r="E449" i="2"/>
  <c r="L449" i="2"/>
  <c r="D449" i="2"/>
  <c r="J449" i="2"/>
  <c r="B449" i="2"/>
  <c r="E463" i="2"/>
  <c r="I465" i="2"/>
  <c r="M483" i="2"/>
  <c r="E483" i="2"/>
  <c r="L483" i="2"/>
  <c r="D483" i="2"/>
  <c r="K483" i="2"/>
  <c r="C483" i="2"/>
  <c r="J483" i="2"/>
  <c r="B483" i="2"/>
  <c r="H483" i="2"/>
  <c r="J484" i="2"/>
  <c r="H516" i="2"/>
  <c r="G516" i="2"/>
  <c r="F516" i="2"/>
  <c r="M516" i="2"/>
  <c r="E516" i="2"/>
  <c r="K516" i="2"/>
  <c r="C516" i="2"/>
  <c r="I524" i="2"/>
  <c r="H532" i="2"/>
  <c r="G532" i="2"/>
  <c r="F532" i="2"/>
  <c r="M532" i="2"/>
  <c r="E532" i="2"/>
  <c r="K532" i="2"/>
  <c r="C532" i="2"/>
  <c r="J532" i="2"/>
  <c r="B532" i="2"/>
  <c r="M555" i="2"/>
  <c r="E555" i="2"/>
  <c r="L555" i="2"/>
  <c r="D555" i="2"/>
  <c r="K555" i="2"/>
  <c r="C555" i="2"/>
  <c r="J555" i="2"/>
  <c r="B555" i="2"/>
  <c r="H555" i="2"/>
  <c r="G555" i="2"/>
  <c r="H596" i="2"/>
  <c r="G596" i="2"/>
  <c r="F596" i="2"/>
  <c r="M596" i="2"/>
  <c r="E596" i="2"/>
  <c r="K596" i="2"/>
  <c r="C596" i="2"/>
  <c r="J596" i="2"/>
  <c r="B596" i="2"/>
  <c r="H628" i="2"/>
  <c r="G628" i="2"/>
  <c r="F628" i="2"/>
  <c r="M628" i="2"/>
  <c r="E628" i="2"/>
  <c r="K628" i="2"/>
  <c r="C628" i="2"/>
  <c r="J628" i="2"/>
  <c r="B628" i="2"/>
  <c r="F69" i="3"/>
  <c r="K69" i="3"/>
  <c r="C69" i="3"/>
  <c r="G69" i="3"/>
  <c r="E69" i="3"/>
  <c r="D69" i="3"/>
  <c r="M69" i="3"/>
  <c r="B69" i="3"/>
  <c r="J69" i="3"/>
  <c r="I69" i="3"/>
  <c r="J147" i="3"/>
  <c r="B147" i="3"/>
  <c r="H147" i="3"/>
  <c r="M147" i="3"/>
  <c r="E147" i="3"/>
  <c r="L147" i="3"/>
  <c r="K147" i="3"/>
  <c r="I147" i="3"/>
  <c r="G147" i="3"/>
  <c r="D147" i="3"/>
  <c r="C147" i="3"/>
  <c r="H189" i="3"/>
  <c r="F189" i="3"/>
  <c r="M189" i="3"/>
  <c r="E189" i="3"/>
  <c r="K189" i="3"/>
  <c r="C189" i="3"/>
  <c r="I189" i="3"/>
  <c r="G189" i="3"/>
  <c r="D189" i="3"/>
  <c r="B189" i="3"/>
  <c r="L189" i="3"/>
  <c r="J211" i="3"/>
  <c r="B211" i="3"/>
  <c r="H211" i="3"/>
  <c r="G211" i="3"/>
  <c r="M211" i="3"/>
  <c r="E211" i="3"/>
  <c r="I211" i="3"/>
  <c r="F211" i="3"/>
  <c r="D211" i="3"/>
  <c r="C211" i="3"/>
  <c r="L211" i="3"/>
  <c r="M236" i="3"/>
  <c r="E236" i="3"/>
  <c r="K236" i="3"/>
  <c r="C236" i="3"/>
  <c r="J236" i="3"/>
  <c r="B236" i="3"/>
  <c r="H236" i="3"/>
  <c r="L236" i="3"/>
  <c r="I236" i="3"/>
  <c r="F236" i="3"/>
  <c r="D236" i="3"/>
  <c r="G250" i="3"/>
  <c r="F250" i="3"/>
  <c r="M250" i="3"/>
  <c r="E250" i="3"/>
  <c r="L250" i="3"/>
  <c r="D250" i="3"/>
  <c r="J250" i="3"/>
  <c r="B250" i="3"/>
  <c r="K250" i="3"/>
  <c r="I250" i="3"/>
  <c r="H250" i="3"/>
  <c r="C250" i="3"/>
  <c r="F671" i="3"/>
  <c r="M671" i="3"/>
  <c r="E671" i="3"/>
  <c r="L671" i="3"/>
  <c r="D671" i="3"/>
  <c r="K671" i="3"/>
  <c r="C671" i="3"/>
  <c r="J671" i="3"/>
  <c r="I671" i="3"/>
  <c r="G671" i="3"/>
  <c r="H671" i="3"/>
  <c r="B671" i="3"/>
  <c r="F184" i="4"/>
  <c r="M184" i="4"/>
  <c r="E184" i="4"/>
  <c r="J184" i="4"/>
  <c r="I184" i="4"/>
  <c r="H184" i="4"/>
  <c r="G184" i="4"/>
  <c r="D184" i="4"/>
  <c r="L184" i="4"/>
  <c r="B184" i="4"/>
  <c r="C184" i="4"/>
  <c r="K184" i="4"/>
  <c r="I23" i="2"/>
  <c r="I39" i="2"/>
  <c r="I55" i="2"/>
  <c r="I103" i="2"/>
  <c r="I167" i="2"/>
  <c r="K352" i="2"/>
  <c r="C352" i="2"/>
  <c r="J352" i="2"/>
  <c r="B352" i="2"/>
  <c r="G352" i="2"/>
  <c r="G388" i="2"/>
  <c r="F388" i="2"/>
  <c r="M388" i="2"/>
  <c r="E388" i="2"/>
  <c r="K388" i="2"/>
  <c r="C388" i="2"/>
  <c r="F433" i="2"/>
  <c r="M433" i="2"/>
  <c r="E433" i="2"/>
  <c r="L433" i="2"/>
  <c r="D433" i="2"/>
  <c r="J433" i="2"/>
  <c r="B433" i="2"/>
  <c r="M515" i="2"/>
  <c r="E515" i="2"/>
  <c r="L515" i="2"/>
  <c r="D515" i="2"/>
  <c r="K515" i="2"/>
  <c r="C515" i="2"/>
  <c r="J515" i="2"/>
  <c r="B515" i="2"/>
  <c r="H515" i="2"/>
  <c r="M643" i="2"/>
  <c r="E643" i="2"/>
  <c r="L643" i="2"/>
  <c r="D643" i="2"/>
  <c r="K643" i="2"/>
  <c r="C643" i="2"/>
  <c r="J643" i="2"/>
  <c r="B643" i="2"/>
  <c r="H643" i="2"/>
  <c r="G643" i="2"/>
  <c r="M675" i="2"/>
  <c r="E675" i="2"/>
  <c r="L675" i="2"/>
  <c r="D675" i="2"/>
  <c r="K675" i="2"/>
  <c r="C675" i="2"/>
  <c r="J675" i="2"/>
  <c r="B675" i="2"/>
  <c r="H675" i="2"/>
  <c r="G675" i="2"/>
  <c r="M683" i="2"/>
  <c r="E683" i="2"/>
  <c r="L683" i="2"/>
  <c r="D683" i="2"/>
  <c r="K683" i="2"/>
  <c r="C683" i="2"/>
  <c r="J683" i="2"/>
  <c r="B683" i="2"/>
  <c r="H683" i="2"/>
  <c r="G683" i="2"/>
  <c r="M699" i="2"/>
  <c r="E699" i="2"/>
  <c r="L699" i="2"/>
  <c r="D699" i="2"/>
  <c r="K699" i="2"/>
  <c r="C699" i="2"/>
  <c r="J699" i="2"/>
  <c r="B699" i="2"/>
  <c r="H699" i="2"/>
  <c r="G699" i="2"/>
  <c r="M715" i="2"/>
  <c r="E715" i="2"/>
  <c r="L715" i="2"/>
  <c r="D715" i="2"/>
  <c r="K715" i="2"/>
  <c r="C715" i="2"/>
  <c r="J715" i="2"/>
  <c r="B715" i="2"/>
  <c r="H715" i="2"/>
  <c r="G715" i="2"/>
  <c r="M771" i="2"/>
  <c r="E771" i="2"/>
  <c r="L771" i="2"/>
  <c r="D771" i="2"/>
  <c r="K771" i="2"/>
  <c r="C771" i="2"/>
  <c r="J771" i="2"/>
  <c r="B771" i="2"/>
  <c r="H771" i="2"/>
  <c r="G771" i="2"/>
  <c r="M787" i="2"/>
  <c r="E787" i="2"/>
  <c r="L787" i="2"/>
  <c r="D787" i="2"/>
  <c r="K787" i="2"/>
  <c r="C787" i="2"/>
  <c r="J787" i="2"/>
  <c r="B787" i="2"/>
  <c r="H787" i="2"/>
  <c r="G787" i="2"/>
  <c r="H149" i="3"/>
  <c r="F149" i="3"/>
  <c r="K149" i="3"/>
  <c r="C149" i="3"/>
  <c r="L149" i="3"/>
  <c r="J149" i="3"/>
  <c r="I149" i="3"/>
  <c r="G149" i="3"/>
  <c r="D149" i="3"/>
  <c r="B149" i="3"/>
  <c r="M572" i="3"/>
  <c r="E572" i="3"/>
  <c r="K572" i="3"/>
  <c r="C572" i="3"/>
  <c r="J572" i="3"/>
  <c r="B572" i="3"/>
  <c r="H572" i="3"/>
  <c r="G572" i="3"/>
  <c r="F572" i="3"/>
  <c r="D572" i="3"/>
  <c r="L572" i="3"/>
  <c r="I572" i="3"/>
  <c r="I12" i="2"/>
  <c r="B31" i="2"/>
  <c r="J39" i="2"/>
  <c r="I76" i="2"/>
  <c r="J79" i="2"/>
  <c r="B87" i="2"/>
  <c r="I148" i="2"/>
  <c r="J151" i="2"/>
  <c r="J207" i="2"/>
  <c r="L349" i="2"/>
  <c r="C353" i="2"/>
  <c r="G396" i="2"/>
  <c r="F396" i="2"/>
  <c r="M396" i="2"/>
  <c r="E396" i="2"/>
  <c r="K396" i="2"/>
  <c r="C396" i="2"/>
  <c r="B423" i="2"/>
  <c r="H431" i="2"/>
  <c r="G431" i="2"/>
  <c r="F431" i="2"/>
  <c r="L431" i="2"/>
  <c r="D431" i="2"/>
  <c r="G452" i="2"/>
  <c r="F452" i="2"/>
  <c r="M452" i="2"/>
  <c r="E452" i="2"/>
  <c r="K452" i="2"/>
  <c r="C452" i="2"/>
  <c r="G473" i="2"/>
  <c r="F473" i="2"/>
  <c r="M473" i="2"/>
  <c r="E473" i="2"/>
  <c r="L473" i="2"/>
  <c r="D473" i="2"/>
  <c r="J473" i="2"/>
  <c r="B473" i="2"/>
  <c r="M491" i="2"/>
  <c r="E491" i="2"/>
  <c r="L491" i="2"/>
  <c r="D491" i="2"/>
  <c r="K491" i="2"/>
  <c r="C491" i="2"/>
  <c r="J491" i="2"/>
  <c r="B491" i="2"/>
  <c r="H491" i="2"/>
  <c r="H572" i="2"/>
  <c r="G572" i="2"/>
  <c r="F572" i="2"/>
  <c r="M572" i="2"/>
  <c r="E572" i="2"/>
  <c r="K572" i="2"/>
  <c r="C572" i="2"/>
  <c r="J572" i="2"/>
  <c r="B572" i="2"/>
  <c r="K84" i="3"/>
  <c r="C84" i="3"/>
  <c r="H84" i="3"/>
  <c r="F84" i="3"/>
  <c r="E84" i="3"/>
  <c r="D84" i="3"/>
  <c r="M84" i="3"/>
  <c r="B84" i="3"/>
  <c r="J84" i="3"/>
  <c r="I84" i="3"/>
  <c r="M548" i="3"/>
  <c r="E548" i="3"/>
  <c r="K548" i="3"/>
  <c r="C548" i="3"/>
  <c r="J548" i="3"/>
  <c r="B548" i="3"/>
  <c r="L548" i="3"/>
  <c r="I548" i="3"/>
  <c r="H548" i="3"/>
  <c r="F548" i="3"/>
  <c r="G548" i="3"/>
  <c r="D548" i="3"/>
  <c r="I3" i="2"/>
  <c r="D4" i="2"/>
  <c r="L4" i="2"/>
  <c r="E7" i="2"/>
  <c r="L20" i="2"/>
  <c r="D28" i="2"/>
  <c r="L28" i="2"/>
  <c r="E31" i="2"/>
  <c r="D44" i="2"/>
  <c r="L44" i="2"/>
  <c r="E47" i="2"/>
  <c r="I51" i="2"/>
  <c r="M55" i="2"/>
  <c r="D60" i="2"/>
  <c r="E63" i="2"/>
  <c r="I75" i="2"/>
  <c r="D76" i="2"/>
  <c r="L76" i="2"/>
  <c r="E79" i="2"/>
  <c r="M79" i="2"/>
  <c r="D92" i="2"/>
  <c r="L92" i="2"/>
  <c r="D100" i="2"/>
  <c r="M103" i="2"/>
  <c r="L116" i="2"/>
  <c r="B3" i="2"/>
  <c r="J3" i="2"/>
  <c r="E4" i="2"/>
  <c r="M4" i="2"/>
  <c r="H5" i="2"/>
  <c r="F7" i="2"/>
  <c r="I8" i="2"/>
  <c r="B11" i="2"/>
  <c r="J11" i="2"/>
  <c r="E12" i="2"/>
  <c r="M12" i="2"/>
  <c r="H13" i="2"/>
  <c r="F15" i="2"/>
  <c r="I16" i="2"/>
  <c r="B19" i="2"/>
  <c r="J19" i="2"/>
  <c r="E20" i="2"/>
  <c r="M20" i="2"/>
  <c r="H21" i="2"/>
  <c r="F23" i="2"/>
  <c r="I24" i="2"/>
  <c r="B27" i="2"/>
  <c r="J27" i="2"/>
  <c r="E28" i="2"/>
  <c r="M28" i="2"/>
  <c r="H29" i="2"/>
  <c r="F31" i="2"/>
  <c r="I32" i="2"/>
  <c r="B35" i="2"/>
  <c r="J35" i="2"/>
  <c r="E36" i="2"/>
  <c r="M36" i="2"/>
  <c r="H37" i="2"/>
  <c r="F39" i="2"/>
  <c r="I40" i="2"/>
  <c r="B43" i="2"/>
  <c r="J43" i="2"/>
  <c r="E44" i="2"/>
  <c r="M44" i="2"/>
  <c r="H45" i="2"/>
  <c r="F47" i="2"/>
  <c r="I48" i="2"/>
  <c r="B51" i="2"/>
  <c r="J51" i="2"/>
  <c r="E52" i="2"/>
  <c r="M52" i="2"/>
  <c r="H53" i="2"/>
  <c r="F55" i="2"/>
  <c r="I56" i="2"/>
  <c r="B59" i="2"/>
  <c r="J59" i="2"/>
  <c r="E60" i="2"/>
  <c r="M60" i="2"/>
  <c r="H61" i="2"/>
  <c r="F63" i="2"/>
  <c r="I64" i="2"/>
  <c r="B67" i="2"/>
  <c r="J67" i="2"/>
  <c r="E68" i="2"/>
  <c r="M68" i="2"/>
  <c r="H69" i="2"/>
  <c r="F71" i="2"/>
  <c r="I72" i="2"/>
  <c r="D73" i="2"/>
  <c r="L73" i="2"/>
  <c r="B75" i="2"/>
  <c r="J75" i="2"/>
  <c r="E76" i="2"/>
  <c r="M76" i="2"/>
  <c r="H77" i="2"/>
  <c r="F79" i="2"/>
  <c r="I80" i="2"/>
  <c r="D81" i="2"/>
  <c r="L81" i="2"/>
  <c r="B83" i="2"/>
  <c r="J83" i="2"/>
  <c r="E84" i="2"/>
  <c r="M84" i="2"/>
  <c r="H85" i="2"/>
  <c r="F87" i="2"/>
  <c r="I88" i="2"/>
  <c r="D89" i="2"/>
  <c r="L89" i="2"/>
  <c r="B91" i="2"/>
  <c r="J91" i="2"/>
  <c r="E92" i="2"/>
  <c r="M92" i="2"/>
  <c r="H93" i="2"/>
  <c r="F95" i="2"/>
  <c r="I96" i="2"/>
  <c r="D97" i="2"/>
  <c r="L97" i="2"/>
  <c r="B99" i="2"/>
  <c r="J99" i="2"/>
  <c r="E100" i="2"/>
  <c r="M100" i="2"/>
  <c r="H101" i="2"/>
  <c r="F103" i="2"/>
  <c r="I104" i="2"/>
  <c r="D105" i="2"/>
  <c r="L105" i="2"/>
  <c r="B107" i="2"/>
  <c r="J107" i="2"/>
  <c r="E108" i="2"/>
  <c r="M108" i="2"/>
  <c r="H109" i="2"/>
  <c r="F111" i="2"/>
  <c r="I112" i="2"/>
  <c r="D113" i="2"/>
  <c r="L113" i="2"/>
  <c r="B115" i="2"/>
  <c r="J115" i="2"/>
  <c r="E116" i="2"/>
  <c r="M116" i="2"/>
  <c r="H117" i="2"/>
  <c r="F119" i="2"/>
  <c r="I120" i="2"/>
  <c r="D121" i="2"/>
  <c r="L121" i="2"/>
  <c r="B123" i="2"/>
  <c r="J123" i="2"/>
  <c r="E124" i="2"/>
  <c r="M124" i="2"/>
  <c r="H125" i="2"/>
  <c r="F127" i="2"/>
  <c r="I128" i="2"/>
  <c r="D129" i="2"/>
  <c r="L129" i="2"/>
  <c r="B131" i="2"/>
  <c r="J131" i="2"/>
  <c r="E132" i="2"/>
  <c r="M132" i="2"/>
  <c r="H133" i="2"/>
  <c r="F135" i="2"/>
  <c r="I136" i="2"/>
  <c r="D137" i="2"/>
  <c r="L137" i="2"/>
  <c r="B139" i="2"/>
  <c r="J139" i="2"/>
  <c r="E140" i="2"/>
  <c r="M140" i="2"/>
  <c r="H141" i="2"/>
  <c r="F143" i="2"/>
  <c r="I144" i="2"/>
  <c r="D145" i="2"/>
  <c r="L145" i="2"/>
  <c r="B147" i="2"/>
  <c r="J147" i="2"/>
  <c r="E148" i="2"/>
  <c r="M148" i="2"/>
  <c r="H149" i="2"/>
  <c r="F151" i="2"/>
  <c r="I152" i="2"/>
  <c r="D153" i="2"/>
  <c r="L153" i="2"/>
  <c r="B155" i="2"/>
  <c r="J155" i="2"/>
  <c r="E156" i="2"/>
  <c r="M156" i="2"/>
  <c r="H157" i="2"/>
  <c r="F159" i="2"/>
  <c r="I160" i="2"/>
  <c r="D161" i="2"/>
  <c r="L161" i="2"/>
  <c r="B163" i="2"/>
  <c r="J163" i="2"/>
  <c r="E164" i="2"/>
  <c r="M164" i="2"/>
  <c r="H165" i="2"/>
  <c r="F167" i="2"/>
  <c r="I168" i="2"/>
  <c r="D169" i="2"/>
  <c r="L169" i="2"/>
  <c r="B171" i="2"/>
  <c r="J171" i="2"/>
  <c r="E172" i="2"/>
  <c r="M172" i="2"/>
  <c r="H173" i="2"/>
  <c r="F175" i="2"/>
  <c r="I176" i="2"/>
  <c r="D177" i="2"/>
  <c r="L177" i="2"/>
  <c r="B179" i="2"/>
  <c r="J179" i="2"/>
  <c r="E180" i="2"/>
  <c r="M180" i="2"/>
  <c r="H181" i="2"/>
  <c r="F183" i="2"/>
  <c r="I184" i="2"/>
  <c r="D185" i="2"/>
  <c r="L185" i="2"/>
  <c r="B187" i="2"/>
  <c r="J187" i="2"/>
  <c r="E188" i="2"/>
  <c r="M188" i="2"/>
  <c r="H189" i="2"/>
  <c r="F191" i="2"/>
  <c r="I192" i="2"/>
  <c r="D193" i="2"/>
  <c r="L193" i="2"/>
  <c r="B195" i="2"/>
  <c r="J195" i="2"/>
  <c r="E196" i="2"/>
  <c r="M196" i="2"/>
  <c r="H197" i="2"/>
  <c r="F199" i="2"/>
  <c r="I200" i="2"/>
  <c r="D201" i="2"/>
  <c r="L201" i="2"/>
  <c r="B203" i="2"/>
  <c r="J203" i="2"/>
  <c r="E204" i="2"/>
  <c r="M204" i="2"/>
  <c r="H205" i="2"/>
  <c r="F207" i="2"/>
  <c r="I208" i="2"/>
  <c r="D209" i="2"/>
  <c r="L209" i="2"/>
  <c r="G212" i="2"/>
  <c r="K212" i="2"/>
  <c r="C212" i="2"/>
  <c r="L212" i="2"/>
  <c r="K216" i="2"/>
  <c r="C216" i="2"/>
  <c r="G216" i="2"/>
  <c r="L216" i="2"/>
  <c r="G220" i="2"/>
  <c r="K220" i="2"/>
  <c r="C220" i="2"/>
  <c r="L220" i="2"/>
  <c r="K224" i="2"/>
  <c r="C224" i="2"/>
  <c r="G224" i="2"/>
  <c r="L224" i="2"/>
  <c r="G228" i="2"/>
  <c r="K228" i="2"/>
  <c r="C228" i="2"/>
  <c r="L228" i="2"/>
  <c r="K232" i="2"/>
  <c r="C232" i="2"/>
  <c r="G232" i="2"/>
  <c r="L232" i="2"/>
  <c r="G236" i="2"/>
  <c r="K236" i="2"/>
  <c r="C236" i="2"/>
  <c r="L236" i="2"/>
  <c r="K240" i="2"/>
  <c r="C240" i="2"/>
  <c r="G240" i="2"/>
  <c r="L240" i="2"/>
  <c r="G244" i="2"/>
  <c r="K244" i="2"/>
  <c r="C244" i="2"/>
  <c r="L244" i="2"/>
  <c r="K248" i="2"/>
  <c r="C248" i="2"/>
  <c r="G248" i="2"/>
  <c r="L248" i="2"/>
  <c r="G252" i="2"/>
  <c r="K252" i="2"/>
  <c r="C252" i="2"/>
  <c r="L252" i="2"/>
  <c r="K256" i="2"/>
  <c r="C256" i="2"/>
  <c r="G256" i="2"/>
  <c r="L256" i="2"/>
  <c r="G260" i="2"/>
  <c r="K260" i="2"/>
  <c r="C260" i="2"/>
  <c r="L260" i="2"/>
  <c r="K264" i="2"/>
  <c r="C264" i="2"/>
  <c r="G264" i="2"/>
  <c r="L264" i="2"/>
  <c r="G268" i="2"/>
  <c r="K268" i="2"/>
  <c r="C268" i="2"/>
  <c r="L268" i="2"/>
  <c r="K272" i="2"/>
  <c r="C272" i="2"/>
  <c r="G272" i="2"/>
  <c r="L272" i="2"/>
  <c r="G276" i="2"/>
  <c r="K276" i="2"/>
  <c r="C276" i="2"/>
  <c r="L276" i="2"/>
  <c r="H279" i="2"/>
  <c r="L279" i="2"/>
  <c r="D279" i="2"/>
  <c r="K279" i="2"/>
  <c r="G281" i="2"/>
  <c r="L283" i="2"/>
  <c r="D283" i="2"/>
  <c r="H283" i="2"/>
  <c r="K283" i="2"/>
  <c r="G285" i="2"/>
  <c r="F292" i="2"/>
  <c r="F295" i="2"/>
  <c r="F297" i="2"/>
  <c r="J297" i="2"/>
  <c r="B297" i="2"/>
  <c r="L297" i="2"/>
  <c r="F299" i="2"/>
  <c r="J301" i="2"/>
  <c r="B301" i="2"/>
  <c r="F301" i="2"/>
  <c r="L301" i="2"/>
  <c r="K304" i="2"/>
  <c r="C304" i="2"/>
  <c r="G304" i="2"/>
  <c r="L304" i="2"/>
  <c r="G308" i="2"/>
  <c r="K308" i="2"/>
  <c r="C308" i="2"/>
  <c r="L308" i="2"/>
  <c r="H311" i="2"/>
  <c r="L311" i="2"/>
  <c r="D311" i="2"/>
  <c r="K311" i="2"/>
  <c r="G313" i="2"/>
  <c r="L315" i="2"/>
  <c r="D315" i="2"/>
  <c r="H315" i="2"/>
  <c r="K315" i="2"/>
  <c r="G317" i="2"/>
  <c r="F324" i="2"/>
  <c r="F327" i="2"/>
  <c r="F329" i="2"/>
  <c r="J329" i="2"/>
  <c r="B329" i="2"/>
  <c r="L329" i="2"/>
  <c r="F331" i="2"/>
  <c r="J333" i="2"/>
  <c r="B333" i="2"/>
  <c r="F333" i="2"/>
  <c r="L333" i="2"/>
  <c r="K336" i="2"/>
  <c r="C336" i="2"/>
  <c r="G336" i="2"/>
  <c r="L336" i="2"/>
  <c r="G340" i="2"/>
  <c r="K340" i="2"/>
  <c r="C340" i="2"/>
  <c r="L340" i="2"/>
  <c r="H343" i="2"/>
  <c r="L343" i="2"/>
  <c r="D343" i="2"/>
  <c r="K343" i="2"/>
  <c r="G345" i="2"/>
  <c r="L347" i="2"/>
  <c r="D347" i="2"/>
  <c r="H347" i="2"/>
  <c r="K347" i="2"/>
  <c r="G349" i="2"/>
  <c r="I352" i="2"/>
  <c r="I353" i="2"/>
  <c r="F355" i="2"/>
  <c r="E356" i="2"/>
  <c r="I359" i="2"/>
  <c r="H360" i="2"/>
  <c r="H361" i="2"/>
  <c r="I367" i="2"/>
  <c r="M371" i="2"/>
  <c r="E375" i="2"/>
  <c r="I379" i="2"/>
  <c r="H385" i="2"/>
  <c r="G387" i="2"/>
  <c r="J388" i="2"/>
  <c r="B391" i="2"/>
  <c r="I396" i="2"/>
  <c r="H399" i="2"/>
  <c r="G399" i="2"/>
  <c r="F399" i="2"/>
  <c r="L399" i="2"/>
  <c r="D399" i="2"/>
  <c r="C401" i="2"/>
  <c r="E403" i="2"/>
  <c r="H404" i="2"/>
  <c r="F409" i="2"/>
  <c r="M409" i="2"/>
  <c r="E409" i="2"/>
  <c r="L409" i="2"/>
  <c r="D409" i="2"/>
  <c r="J409" i="2"/>
  <c r="B409" i="2"/>
  <c r="L411" i="2"/>
  <c r="D411" i="2"/>
  <c r="K411" i="2"/>
  <c r="C411" i="2"/>
  <c r="J411" i="2"/>
  <c r="B411" i="2"/>
  <c r="H411" i="2"/>
  <c r="B420" i="2"/>
  <c r="J423" i="2"/>
  <c r="G428" i="2"/>
  <c r="F428" i="2"/>
  <c r="M428" i="2"/>
  <c r="E428" i="2"/>
  <c r="K428" i="2"/>
  <c r="C428" i="2"/>
  <c r="I431" i="2"/>
  <c r="K433" i="2"/>
  <c r="G436" i="2"/>
  <c r="F436" i="2"/>
  <c r="M436" i="2"/>
  <c r="E436" i="2"/>
  <c r="K436" i="2"/>
  <c r="C436" i="2"/>
  <c r="H441" i="2"/>
  <c r="I443" i="2"/>
  <c r="H447" i="2"/>
  <c r="G447" i="2"/>
  <c r="F447" i="2"/>
  <c r="L447" i="2"/>
  <c r="D447" i="2"/>
  <c r="C449" i="2"/>
  <c r="I452" i="2"/>
  <c r="L459" i="2"/>
  <c r="D459" i="2"/>
  <c r="K459" i="2"/>
  <c r="C459" i="2"/>
  <c r="J459" i="2"/>
  <c r="B459" i="2"/>
  <c r="H459" i="2"/>
  <c r="I463" i="2"/>
  <c r="G468" i="2"/>
  <c r="F468" i="2"/>
  <c r="M468" i="2"/>
  <c r="E468" i="2"/>
  <c r="K468" i="2"/>
  <c r="C468" i="2"/>
  <c r="K473" i="2"/>
  <c r="F483" i="2"/>
  <c r="L484" i="2"/>
  <c r="H492" i="2"/>
  <c r="G492" i="2"/>
  <c r="F492" i="2"/>
  <c r="M492" i="2"/>
  <c r="E492" i="2"/>
  <c r="K492" i="2"/>
  <c r="C492" i="2"/>
  <c r="I500" i="2"/>
  <c r="G505" i="2"/>
  <c r="F505" i="2"/>
  <c r="M505" i="2"/>
  <c r="E505" i="2"/>
  <c r="L505" i="2"/>
  <c r="D505" i="2"/>
  <c r="J505" i="2"/>
  <c r="B505" i="2"/>
  <c r="B516" i="2"/>
  <c r="M523" i="2"/>
  <c r="E523" i="2"/>
  <c r="L523" i="2"/>
  <c r="D523" i="2"/>
  <c r="K523" i="2"/>
  <c r="C523" i="2"/>
  <c r="J523" i="2"/>
  <c r="B523" i="2"/>
  <c r="H523" i="2"/>
  <c r="J524" i="2"/>
  <c r="D532" i="2"/>
  <c r="H540" i="2"/>
  <c r="G540" i="2"/>
  <c r="F540" i="2"/>
  <c r="M540" i="2"/>
  <c r="E540" i="2"/>
  <c r="K540" i="2"/>
  <c r="C540" i="2"/>
  <c r="J540" i="2"/>
  <c r="B540" i="2"/>
  <c r="F555" i="2"/>
  <c r="M563" i="2"/>
  <c r="E563" i="2"/>
  <c r="L563" i="2"/>
  <c r="D563" i="2"/>
  <c r="K563" i="2"/>
  <c r="C563" i="2"/>
  <c r="J563" i="2"/>
  <c r="B563" i="2"/>
  <c r="H563" i="2"/>
  <c r="G563" i="2"/>
  <c r="D596" i="2"/>
  <c r="H604" i="2"/>
  <c r="G604" i="2"/>
  <c r="F604" i="2"/>
  <c r="M604" i="2"/>
  <c r="E604" i="2"/>
  <c r="K604" i="2"/>
  <c r="C604" i="2"/>
  <c r="J604" i="2"/>
  <c r="B604" i="2"/>
  <c r="H620" i="2"/>
  <c r="G620" i="2"/>
  <c r="F620" i="2"/>
  <c r="M620" i="2"/>
  <c r="E620" i="2"/>
  <c r="K620" i="2"/>
  <c r="C620" i="2"/>
  <c r="J620" i="2"/>
  <c r="B620" i="2"/>
  <c r="D628" i="2"/>
  <c r="L796" i="2"/>
  <c r="L804" i="2"/>
  <c r="L812" i="2"/>
  <c r="L820" i="2"/>
  <c r="L828" i="2"/>
  <c r="L836" i="2"/>
  <c r="L844" i="2"/>
  <c r="L852" i="2"/>
  <c r="L860" i="2"/>
  <c r="L868" i="2"/>
  <c r="L876" i="2"/>
  <c r="L884" i="2"/>
  <c r="L892" i="2"/>
  <c r="L900" i="2"/>
  <c r="L908" i="2"/>
  <c r="L916" i="2"/>
  <c r="L924" i="2"/>
  <c r="L932" i="2"/>
  <c r="L940" i="2"/>
  <c r="L948" i="2"/>
  <c r="L956" i="2"/>
  <c r="L964" i="2"/>
  <c r="L972" i="2"/>
  <c r="L980" i="2"/>
  <c r="L988" i="2"/>
  <c r="L996" i="2"/>
  <c r="L5" i="3"/>
  <c r="L13" i="3"/>
  <c r="L21" i="3"/>
  <c r="L29" i="3"/>
  <c r="L37" i="3"/>
  <c r="L45" i="3"/>
  <c r="H69" i="3"/>
  <c r="M116" i="3"/>
  <c r="E116" i="3"/>
  <c r="K116" i="3"/>
  <c r="C116" i="3"/>
  <c r="H116" i="3"/>
  <c r="G116" i="3"/>
  <c r="F116" i="3"/>
  <c r="D116" i="3"/>
  <c r="B116" i="3"/>
  <c r="L116" i="3"/>
  <c r="J116" i="3"/>
  <c r="F147" i="3"/>
  <c r="J189" i="3"/>
  <c r="M204" i="3"/>
  <c r="E204" i="3"/>
  <c r="K204" i="3"/>
  <c r="C204" i="3"/>
  <c r="J204" i="3"/>
  <c r="B204" i="3"/>
  <c r="H204" i="3"/>
  <c r="I204" i="3"/>
  <c r="G204" i="3"/>
  <c r="F204" i="3"/>
  <c r="D204" i="3"/>
  <c r="K211" i="3"/>
  <c r="G226" i="3"/>
  <c r="M226" i="3"/>
  <c r="E226" i="3"/>
  <c r="L226" i="3"/>
  <c r="D226" i="3"/>
  <c r="J226" i="3"/>
  <c r="B226" i="3"/>
  <c r="I226" i="3"/>
  <c r="H226" i="3"/>
  <c r="F226" i="3"/>
  <c r="C226" i="3"/>
  <c r="G236" i="3"/>
  <c r="M324" i="3"/>
  <c r="E324" i="3"/>
  <c r="L324" i="3"/>
  <c r="D324" i="3"/>
  <c r="K324" i="3"/>
  <c r="C324" i="3"/>
  <c r="J324" i="3"/>
  <c r="B324" i="3"/>
  <c r="H324" i="3"/>
  <c r="G324" i="3"/>
  <c r="F324" i="3"/>
  <c r="F525" i="3"/>
  <c r="M525" i="3"/>
  <c r="E525" i="3"/>
  <c r="I525" i="3"/>
  <c r="H525" i="3"/>
  <c r="G525" i="3"/>
  <c r="D525" i="3"/>
  <c r="L525" i="3"/>
  <c r="B525" i="3"/>
  <c r="J525" i="3"/>
  <c r="C525" i="3"/>
  <c r="H166" i="4"/>
  <c r="G166" i="4"/>
  <c r="J166" i="4"/>
  <c r="I166" i="4"/>
  <c r="F166" i="4"/>
  <c r="E166" i="4"/>
  <c r="D166" i="4"/>
  <c r="L166" i="4"/>
  <c r="B166" i="4"/>
  <c r="M166" i="4"/>
  <c r="K166" i="4"/>
  <c r="C166" i="4"/>
  <c r="I79" i="2"/>
  <c r="I87" i="2"/>
  <c r="I135" i="2"/>
  <c r="I207" i="2"/>
  <c r="F369" i="2"/>
  <c r="M369" i="2"/>
  <c r="E369" i="2"/>
  <c r="L369" i="2"/>
  <c r="D369" i="2"/>
  <c r="J369" i="2"/>
  <c r="B369" i="2"/>
  <c r="F465" i="2"/>
  <c r="M465" i="2"/>
  <c r="E465" i="2"/>
  <c r="L465" i="2"/>
  <c r="D465" i="2"/>
  <c r="J465" i="2"/>
  <c r="B465" i="2"/>
  <c r="G497" i="2"/>
  <c r="F497" i="2"/>
  <c r="M497" i="2"/>
  <c r="E497" i="2"/>
  <c r="L497" i="2"/>
  <c r="D497" i="2"/>
  <c r="J497" i="2"/>
  <c r="B497" i="2"/>
  <c r="H564" i="2"/>
  <c r="G564" i="2"/>
  <c r="F564" i="2"/>
  <c r="M564" i="2"/>
  <c r="E564" i="2"/>
  <c r="K564" i="2"/>
  <c r="C564" i="2"/>
  <c r="J564" i="2"/>
  <c r="B564" i="2"/>
  <c r="M635" i="2"/>
  <c r="E635" i="2"/>
  <c r="L635" i="2"/>
  <c r="D635" i="2"/>
  <c r="K635" i="2"/>
  <c r="C635" i="2"/>
  <c r="J635" i="2"/>
  <c r="B635" i="2"/>
  <c r="H635" i="2"/>
  <c r="G635" i="2"/>
  <c r="M659" i="2"/>
  <c r="E659" i="2"/>
  <c r="L659" i="2"/>
  <c r="D659" i="2"/>
  <c r="K659" i="2"/>
  <c r="C659" i="2"/>
  <c r="J659" i="2"/>
  <c r="B659" i="2"/>
  <c r="H659" i="2"/>
  <c r="G659" i="2"/>
  <c r="M691" i="2"/>
  <c r="E691" i="2"/>
  <c r="L691" i="2"/>
  <c r="D691" i="2"/>
  <c r="K691" i="2"/>
  <c r="C691" i="2"/>
  <c r="J691" i="2"/>
  <c r="B691" i="2"/>
  <c r="H691" i="2"/>
  <c r="G691" i="2"/>
  <c r="M739" i="2"/>
  <c r="E739" i="2"/>
  <c r="L739" i="2"/>
  <c r="D739" i="2"/>
  <c r="K739" i="2"/>
  <c r="C739" i="2"/>
  <c r="J739" i="2"/>
  <c r="B739" i="2"/>
  <c r="H739" i="2"/>
  <c r="G739" i="2"/>
  <c r="M747" i="2"/>
  <c r="E747" i="2"/>
  <c r="L747" i="2"/>
  <c r="D747" i="2"/>
  <c r="K747" i="2"/>
  <c r="C747" i="2"/>
  <c r="J747" i="2"/>
  <c r="B747" i="2"/>
  <c r="H747" i="2"/>
  <c r="G747" i="2"/>
  <c r="F591" i="3"/>
  <c r="L591" i="3"/>
  <c r="D591" i="3"/>
  <c r="K591" i="3"/>
  <c r="C591" i="3"/>
  <c r="J591" i="3"/>
  <c r="I591" i="3"/>
  <c r="H591" i="3"/>
  <c r="G591" i="3"/>
  <c r="B591" i="3"/>
  <c r="M591" i="3"/>
  <c r="E591" i="3"/>
  <c r="G171" i="4"/>
  <c r="F171" i="4"/>
  <c r="H171" i="4"/>
  <c r="E171" i="4"/>
  <c r="D171" i="4"/>
  <c r="M171" i="4"/>
  <c r="C171" i="4"/>
  <c r="L171" i="4"/>
  <c r="B171" i="4"/>
  <c r="J171" i="4"/>
  <c r="I171" i="4"/>
  <c r="K171" i="4"/>
  <c r="J15" i="2"/>
  <c r="I20" i="2"/>
  <c r="J31" i="2"/>
  <c r="B47" i="2"/>
  <c r="I60" i="2"/>
  <c r="J95" i="2"/>
  <c r="J103" i="2"/>
  <c r="J119" i="2"/>
  <c r="B127" i="2"/>
  <c r="J167" i="2"/>
  <c r="I172" i="2"/>
  <c r="B175" i="2"/>
  <c r="B207" i="2"/>
  <c r="K288" i="2"/>
  <c r="C288" i="2"/>
  <c r="G288" i="2"/>
  <c r="L292" i="2"/>
  <c r="K295" i="2"/>
  <c r="K320" i="2"/>
  <c r="C320" i="2"/>
  <c r="G320" i="2"/>
  <c r="D352" i="2"/>
  <c r="E371" i="2"/>
  <c r="F377" i="2"/>
  <c r="M377" i="2"/>
  <c r="E377" i="2"/>
  <c r="L377" i="2"/>
  <c r="D377" i="2"/>
  <c r="J377" i="2"/>
  <c r="B377" i="2"/>
  <c r="B484" i="2"/>
  <c r="M531" i="2"/>
  <c r="E531" i="2"/>
  <c r="L531" i="2"/>
  <c r="D531" i="2"/>
  <c r="K531" i="2"/>
  <c r="C531" i="2"/>
  <c r="J531" i="2"/>
  <c r="B531" i="2"/>
  <c r="H531" i="2"/>
  <c r="G531" i="2"/>
  <c r="D564" i="2"/>
  <c r="M627" i="2"/>
  <c r="E627" i="2"/>
  <c r="L627" i="2"/>
  <c r="D627" i="2"/>
  <c r="K627" i="2"/>
  <c r="C627" i="2"/>
  <c r="J627" i="2"/>
  <c r="B627" i="2"/>
  <c r="H627" i="2"/>
  <c r="G627" i="2"/>
  <c r="F667" i="2"/>
  <c r="F675" i="2"/>
  <c r="F683" i="2"/>
  <c r="F691" i="2"/>
  <c r="F771" i="2"/>
  <c r="F779" i="2"/>
  <c r="D12" i="2"/>
  <c r="E23" i="2"/>
  <c r="D36" i="2"/>
  <c r="M39" i="2"/>
  <c r="L60" i="2"/>
  <c r="C3" i="2"/>
  <c r="I5" i="2"/>
  <c r="G7" i="2"/>
  <c r="C11" i="2"/>
  <c r="I13" i="2"/>
  <c r="G15" i="2"/>
  <c r="C19" i="2"/>
  <c r="K19" i="2"/>
  <c r="F20" i="2"/>
  <c r="I21" i="2"/>
  <c r="I29" i="2"/>
  <c r="G31" i="2"/>
  <c r="C43" i="2"/>
  <c r="K43" i="2"/>
  <c r="F44" i="2"/>
  <c r="I45" i="2"/>
  <c r="G47" i="2"/>
  <c r="K51" i="2"/>
  <c r="I61" i="2"/>
  <c r="K67" i="2"/>
  <c r="I69" i="2"/>
  <c r="G71" i="2"/>
  <c r="C75" i="2"/>
  <c r="K83" i="2"/>
  <c r="F84" i="2"/>
  <c r="K91" i="2"/>
  <c r="F92" i="2"/>
  <c r="I93" i="2"/>
  <c r="G95" i="2"/>
  <c r="C99" i="2"/>
  <c r="F100" i="2"/>
  <c r="C107" i="2"/>
  <c r="F108" i="2"/>
  <c r="I109" i="2"/>
  <c r="G111" i="2"/>
  <c r="C115" i="2"/>
  <c r="K115" i="2"/>
  <c r="F116" i="2"/>
  <c r="I117" i="2"/>
  <c r="G119" i="2"/>
  <c r="C123" i="2"/>
  <c r="F124" i="2"/>
  <c r="I125" i="2"/>
  <c r="G127" i="2"/>
  <c r="K131" i="2"/>
  <c r="I133" i="2"/>
  <c r="G135" i="2"/>
  <c r="C139" i="2"/>
  <c r="K139" i="2"/>
  <c r="F140" i="2"/>
  <c r="I141" i="2"/>
  <c r="G143" i="2"/>
  <c r="C147" i="2"/>
  <c r="K147" i="2"/>
  <c r="F148" i="2"/>
  <c r="I149" i="2"/>
  <c r="G151" i="2"/>
  <c r="C155" i="2"/>
  <c r="K155" i="2"/>
  <c r="F156" i="2"/>
  <c r="I157" i="2"/>
  <c r="G159" i="2"/>
  <c r="C163" i="2"/>
  <c r="K163" i="2"/>
  <c r="F164" i="2"/>
  <c r="I165" i="2"/>
  <c r="G167" i="2"/>
  <c r="C171" i="2"/>
  <c r="K171" i="2"/>
  <c r="F172" i="2"/>
  <c r="I173" i="2"/>
  <c r="G175" i="2"/>
  <c r="C179" i="2"/>
  <c r="K179" i="2"/>
  <c r="F180" i="2"/>
  <c r="I181" i="2"/>
  <c r="G183" i="2"/>
  <c r="C187" i="2"/>
  <c r="K187" i="2"/>
  <c r="F188" i="2"/>
  <c r="I189" i="2"/>
  <c r="G191" i="2"/>
  <c r="C195" i="2"/>
  <c r="K195" i="2"/>
  <c r="F196" i="2"/>
  <c r="I197" i="2"/>
  <c r="G199" i="2"/>
  <c r="C203" i="2"/>
  <c r="K203" i="2"/>
  <c r="F204" i="2"/>
  <c r="I205" i="2"/>
  <c r="G207" i="2"/>
  <c r="H285" i="2"/>
  <c r="H288" i="2"/>
  <c r="H292" i="2"/>
  <c r="G295" i="2"/>
  <c r="G299" i="2"/>
  <c r="H320" i="2"/>
  <c r="H324" i="2"/>
  <c r="G331" i="2"/>
  <c r="H345" i="2"/>
  <c r="H349" i="2"/>
  <c r="L352" i="2"/>
  <c r="K353" i="2"/>
  <c r="J359" i="2"/>
  <c r="I360" i="2"/>
  <c r="I361" i="2"/>
  <c r="J367" i="2"/>
  <c r="G372" i="2"/>
  <c r="F372" i="2"/>
  <c r="M372" i="2"/>
  <c r="E372" i="2"/>
  <c r="K372" i="2"/>
  <c r="C372" i="2"/>
  <c r="K377" i="2"/>
  <c r="M379" i="2"/>
  <c r="L388" i="2"/>
  <c r="C391" i="2"/>
  <c r="J396" i="2"/>
  <c r="G401" i="2"/>
  <c r="F403" i="2"/>
  <c r="H407" i="2"/>
  <c r="G407" i="2"/>
  <c r="F407" i="2"/>
  <c r="L407" i="2"/>
  <c r="D407" i="2"/>
  <c r="F417" i="2"/>
  <c r="M417" i="2"/>
  <c r="E417" i="2"/>
  <c r="L417" i="2"/>
  <c r="D417" i="2"/>
  <c r="J417" i="2"/>
  <c r="B417" i="2"/>
  <c r="L419" i="2"/>
  <c r="D419" i="2"/>
  <c r="K419" i="2"/>
  <c r="C419" i="2"/>
  <c r="J419" i="2"/>
  <c r="B419" i="2"/>
  <c r="H419" i="2"/>
  <c r="D420" i="2"/>
  <c r="K423" i="2"/>
  <c r="J431" i="2"/>
  <c r="M443" i="2"/>
  <c r="G449" i="2"/>
  <c r="J452" i="2"/>
  <c r="F457" i="2"/>
  <c r="M457" i="2"/>
  <c r="E457" i="2"/>
  <c r="L457" i="2"/>
  <c r="D457" i="2"/>
  <c r="J457" i="2"/>
  <c r="B457" i="2"/>
  <c r="G481" i="2"/>
  <c r="F481" i="2"/>
  <c r="M481" i="2"/>
  <c r="E481" i="2"/>
  <c r="L481" i="2"/>
  <c r="D481" i="2"/>
  <c r="J481" i="2"/>
  <c r="B481" i="2"/>
  <c r="G483" i="2"/>
  <c r="M499" i="2"/>
  <c r="E499" i="2"/>
  <c r="L499" i="2"/>
  <c r="D499" i="2"/>
  <c r="K499" i="2"/>
  <c r="C499" i="2"/>
  <c r="J499" i="2"/>
  <c r="B499" i="2"/>
  <c r="H499" i="2"/>
  <c r="J500" i="2"/>
  <c r="C505" i="2"/>
  <c r="K513" i="2"/>
  <c r="D516" i="2"/>
  <c r="F523" i="2"/>
  <c r="L524" i="2"/>
  <c r="I532" i="2"/>
  <c r="D540" i="2"/>
  <c r="H548" i="2"/>
  <c r="G548" i="2"/>
  <c r="F548" i="2"/>
  <c r="M548" i="2"/>
  <c r="E548" i="2"/>
  <c r="K548" i="2"/>
  <c r="C548" i="2"/>
  <c r="J548" i="2"/>
  <c r="B548" i="2"/>
  <c r="I555" i="2"/>
  <c r="F563" i="2"/>
  <c r="M571" i="2"/>
  <c r="E571" i="2"/>
  <c r="L571" i="2"/>
  <c r="D571" i="2"/>
  <c r="K571" i="2"/>
  <c r="C571" i="2"/>
  <c r="J571" i="2"/>
  <c r="B571" i="2"/>
  <c r="H571" i="2"/>
  <c r="G571" i="2"/>
  <c r="L588" i="2"/>
  <c r="I596" i="2"/>
  <c r="D604" i="2"/>
  <c r="H612" i="2"/>
  <c r="G612" i="2"/>
  <c r="F612" i="2"/>
  <c r="M612" i="2"/>
  <c r="E612" i="2"/>
  <c r="K612" i="2"/>
  <c r="C612" i="2"/>
  <c r="J612" i="2"/>
  <c r="B612" i="2"/>
  <c r="D620" i="2"/>
  <c r="I628" i="2"/>
  <c r="L636" i="2"/>
  <c r="L644" i="2"/>
  <c r="L652" i="2"/>
  <c r="L660" i="2"/>
  <c r="L668" i="2"/>
  <c r="L676" i="2"/>
  <c r="L684" i="2"/>
  <c r="L692" i="2"/>
  <c r="L700" i="2"/>
  <c r="L708" i="2"/>
  <c r="L716" i="2"/>
  <c r="L724" i="2"/>
  <c r="L732" i="2"/>
  <c r="L740" i="2"/>
  <c r="L748" i="2"/>
  <c r="L756" i="2"/>
  <c r="L764" i="2"/>
  <c r="L772" i="2"/>
  <c r="L780" i="2"/>
  <c r="L788" i="2"/>
  <c r="M60" i="3"/>
  <c r="E60" i="3"/>
  <c r="L60" i="3"/>
  <c r="D60" i="3"/>
  <c r="K60" i="3"/>
  <c r="C60" i="3"/>
  <c r="J60" i="3"/>
  <c r="B60" i="3"/>
  <c r="H60" i="3"/>
  <c r="G60" i="3"/>
  <c r="L69" i="3"/>
  <c r="F77" i="3"/>
  <c r="K77" i="3"/>
  <c r="C77" i="3"/>
  <c r="G77" i="3"/>
  <c r="E77" i="3"/>
  <c r="D77" i="3"/>
  <c r="M77" i="3"/>
  <c r="B77" i="3"/>
  <c r="J77" i="3"/>
  <c r="I77" i="3"/>
  <c r="M148" i="3"/>
  <c r="E148" i="3"/>
  <c r="K148" i="3"/>
  <c r="C148" i="3"/>
  <c r="H148" i="3"/>
  <c r="L148" i="3"/>
  <c r="J148" i="3"/>
  <c r="I148" i="3"/>
  <c r="G148" i="3"/>
  <c r="D148" i="3"/>
  <c r="B148" i="3"/>
  <c r="G186" i="3"/>
  <c r="M186" i="3"/>
  <c r="E186" i="3"/>
  <c r="L186" i="3"/>
  <c r="D186" i="3"/>
  <c r="J186" i="3"/>
  <c r="B186" i="3"/>
  <c r="K186" i="3"/>
  <c r="I186" i="3"/>
  <c r="F186" i="3"/>
  <c r="C186" i="3"/>
  <c r="M244" i="3"/>
  <c r="E244" i="3"/>
  <c r="K244" i="3"/>
  <c r="C244" i="3"/>
  <c r="J244" i="3"/>
  <c r="B244" i="3"/>
  <c r="H244" i="3"/>
  <c r="L244" i="3"/>
  <c r="I244" i="3"/>
  <c r="F244" i="3"/>
  <c r="D244" i="3"/>
  <c r="H277" i="3"/>
  <c r="G277" i="3"/>
  <c r="F277" i="3"/>
  <c r="M277" i="3"/>
  <c r="E277" i="3"/>
  <c r="K277" i="3"/>
  <c r="C277" i="3"/>
  <c r="J277" i="3"/>
  <c r="I277" i="3"/>
  <c r="D277" i="3"/>
  <c r="B277" i="3"/>
  <c r="M300" i="3"/>
  <c r="E300" i="3"/>
  <c r="L300" i="3"/>
  <c r="D300" i="3"/>
  <c r="K300" i="3"/>
  <c r="C300" i="3"/>
  <c r="J300" i="3"/>
  <c r="B300" i="3"/>
  <c r="H300" i="3"/>
  <c r="G300" i="3"/>
  <c r="F300" i="3"/>
  <c r="F341" i="3"/>
  <c r="I341" i="3"/>
  <c r="H341" i="3"/>
  <c r="G341" i="3"/>
  <c r="E341" i="3"/>
  <c r="L341" i="3"/>
  <c r="C341" i="3"/>
  <c r="M341" i="3"/>
  <c r="K341" i="3"/>
  <c r="D341" i="3"/>
  <c r="B341" i="3"/>
  <c r="H565" i="3"/>
  <c r="F565" i="3"/>
  <c r="M565" i="3"/>
  <c r="E565" i="3"/>
  <c r="J565" i="3"/>
  <c r="I565" i="3"/>
  <c r="G565" i="3"/>
  <c r="D565" i="3"/>
  <c r="B565" i="3"/>
  <c r="L565" i="3"/>
  <c r="K565" i="3"/>
  <c r="C565" i="3"/>
  <c r="G626" i="3"/>
  <c r="M626" i="3"/>
  <c r="E626" i="3"/>
  <c r="L626" i="3"/>
  <c r="D626" i="3"/>
  <c r="J626" i="3"/>
  <c r="I626" i="3"/>
  <c r="H626" i="3"/>
  <c r="F626" i="3"/>
  <c r="B626" i="3"/>
  <c r="K626" i="3"/>
  <c r="C626" i="3"/>
  <c r="M636" i="3"/>
  <c r="E636" i="3"/>
  <c r="K636" i="3"/>
  <c r="C636" i="3"/>
  <c r="J636" i="3"/>
  <c r="B636" i="3"/>
  <c r="H636" i="3"/>
  <c r="G636" i="3"/>
  <c r="F636" i="3"/>
  <c r="D636" i="3"/>
  <c r="L636" i="3"/>
  <c r="I636" i="3"/>
  <c r="H685" i="3"/>
  <c r="G685" i="3"/>
  <c r="F685" i="3"/>
  <c r="M685" i="3"/>
  <c r="E685" i="3"/>
  <c r="L685" i="3"/>
  <c r="K685" i="3"/>
  <c r="J685" i="3"/>
  <c r="I685" i="3"/>
  <c r="C685" i="3"/>
  <c r="D685" i="3"/>
  <c r="B685" i="3"/>
  <c r="G858" i="3"/>
  <c r="F858" i="3"/>
  <c r="M858" i="3"/>
  <c r="E858" i="3"/>
  <c r="L858" i="3"/>
  <c r="D858" i="3"/>
  <c r="K858" i="3"/>
  <c r="J858" i="3"/>
  <c r="I858" i="3"/>
  <c r="C858" i="3"/>
  <c r="H858" i="3"/>
  <c r="B858" i="3"/>
  <c r="G890" i="3"/>
  <c r="F890" i="3"/>
  <c r="M890" i="3"/>
  <c r="E890" i="3"/>
  <c r="L890" i="3"/>
  <c r="D890" i="3"/>
  <c r="K890" i="3"/>
  <c r="J890" i="3"/>
  <c r="I890" i="3"/>
  <c r="C890" i="3"/>
  <c r="H890" i="3"/>
  <c r="B890" i="3"/>
  <c r="F8" i="4"/>
  <c r="M8" i="4"/>
  <c r="E8" i="4"/>
  <c r="L8" i="4"/>
  <c r="D8" i="4"/>
  <c r="K8" i="4"/>
  <c r="C8" i="4"/>
  <c r="H8" i="4"/>
  <c r="J8" i="4"/>
  <c r="G8" i="4"/>
  <c r="I8" i="4"/>
  <c r="B8" i="4"/>
  <c r="H46" i="4"/>
  <c r="G46" i="4"/>
  <c r="F46" i="4"/>
  <c r="M46" i="4"/>
  <c r="E46" i="4"/>
  <c r="J46" i="4"/>
  <c r="B46" i="4"/>
  <c r="K46" i="4"/>
  <c r="I46" i="4"/>
  <c r="D46" i="4"/>
  <c r="C46" i="4"/>
  <c r="L46" i="4"/>
  <c r="G203" i="4"/>
  <c r="F203" i="4"/>
  <c r="H203" i="4"/>
  <c r="E203" i="4"/>
  <c r="D203" i="4"/>
  <c r="M203" i="4"/>
  <c r="C203" i="4"/>
  <c r="L203" i="4"/>
  <c r="B203" i="4"/>
  <c r="J203" i="4"/>
  <c r="K203" i="4"/>
  <c r="I203" i="4"/>
  <c r="I31" i="2"/>
  <c r="I63" i="2"/>
  <c r="I127" i="2"/>
  <c r="I159" i="2"/>
  <c r="M359" i="2"/>
  <c r="M651" i="2"/>
  <c r="E651" i="2"/>
  <c r="L651" i="2"/>
  <c r="D651" i="2"/>
  <c r="K651" i="2"/>
  <c r="C651" i="2"/>
  <c r="J651" i="2"/>
  <c r="B651" i="2"/>
  <c r="H651" i="2"/>
  <c r="G651" i="2"/>
  <c r="M707" i="2"/>
  <c r="E707" i="2"/>
  <c r="L707" i="2"/>
  <c r="D707" i="2"/>
  <c r="K707" i="2"/>
  <c r="C707" i="2"/>
  <c r="J707" i="2"/>
  <c r="B707" i="2"/>
  <c r="H707" i="2"/>
  <c r="G707" i="2"/>
  <c r="M723" i="2"/>
  <c r="E723" i="2"/>
  <c r="L723" i="2"/>
  <c r="D723" i="2"/>
  <c r="K723" i="2"/>
  <c r="C723" i="2"/>
  <c r="J723" i="2"/>
  <c r="B723" i="2"/>
  <c r="H723" i="2"/>
  <c r="G723" i="2"/>
  <c r="M731" i="2"/>
  <c r="E731" i="2"/>
  <c r="L731" i="2"/>
  <c r="D731" i="2"/>
  <c r="K731" i="2"/>
  <c r="C731" i="2"/>
  <c r="J731" i="2"/>
  <c r="B731" i="2"/>
  <c r="H731" i="2"/>
  <c r="G731" i="2"/>
  <c r="M763" i="2"/>
  <c r="E763" i="2"/>
  <c r="L763" i="2"/>
  <c r="D763" i="2"/>
  <c r="K763" i="2"/>
  <c r="C763" i="2"/>
  <c r="J763" i="2"/>
  <c r="B763" i="2"/>
  <c r="H763" i="2"/>
  <c r="G763" i="2"/>
  <c r="G408" i="3"/>
  <c r="F408" i="3"/>
  <c r="I408" i="3"/>
  <c r="H408" i="3"/>
  <c r="E408" i="3"/>
  <c r="D408" i="3"/>
  <c r="L408" i="3"/>
  <c r="B408" i="3"/>
  <c r="M408" i="3"/>
  <c r="K408" i="3"/>
  <c r="J408" i="3"/>
  <c r="C408" i="3"/>
  <c r="M988" i="3"/>
  <c r="E988" i="3"/>
  <c r="L988" i="3"/>
  <c r="D988" i="3"/>
  <c r="K988" i="3"/>
  <c r="C988" i="3"/>
  <c r="J988" i="3"/>
  <c r="B988" i="3"/>
  <c r="G988" i="3"/>
  <c r="H988" i="3"/>
  <c r="I988" i="3"/>
  <c r="F988" i="3"/>
  <c r="B15" i="2"/>
  <c r="I36" i="2"/>
  <c r="J55" i="2"/>
  <c r="J63" i="2"/>
  <c r="J71" i="2"/>
  <c r="I108" i="2"/>
  <c r="B143" i="2"/>
  <c r="B151" i="2"/>
  <c r="J159" i="2"/>
  <c r="I164" i="2"/>
  <c r="B167" i="2"/>
  <c r="I180" i="2"/>
  <c r="J183" i="2"/>
  <c r="I188" i="2"/>
  <c r="I196" i="2"/>
  <c r="B199" i="2"/>
  <c r="F281" i="2"/>
  <c r="J281" i="2"/>
  <c r="B281" i="2"/>
  <c r="F313" i="2"/>
  <c r="J313" i="2"/>
  <c r="B313" i="2"/>
  <c r="J317" i="2"/>
  <c r="B317" i="2"/>
  <c r="F317" i="2"/>
  <c r="L320" i="2"/>
  <c r="H327" i="2"/>
  <c r="L327" i="2"/>
  <c r="D327" i="2"/>
  <c r="L345" i="2"/>
  <c r="B359" i="2"/>
  <c r="H463" i="2"/>
  <c r="G463" i="2"/>
  <c r="F463" i="2"/>
  <c r="L463" i="2"/>
  <c r="D463" i="2"/>
  <c r="F587" i="2"/>
  <c r="F723" i="2"/>
  <c r="F747" i="2"/>
  <c r="F755" i="2"/>
  <c r="H61" i="3"/>
  <c r="G61" i="3"/>
  <c r="F61" i="3"/>
  <c r="M61" i="3"/>
  <c r="E61" i="3"/>
  <c r="K61" i="3"/>
  <c r="C61" i="3"/>
  <c r="J61" i="3"/>
  <c r="B61" i="3"/>
  <c r="K234" i="3"/>
  <c r="M308" i="3"/>
  <c r="E308" i="3"/>
  <c r="L308" i="3"/>
  <c r="D308" i="3"/>
  <c r="K308" i="3"/>
  <c r="C308" i="3"/>
  <c r="J308" i="3"/>
  <c r="B308" i="3"/>
  <c r="H308" i="3"/>
  <c r="I308" i="3"/>
  <c r="G308" i="3"/>
  <c r="F308" i="3"/>
  <c r="M434" i="3"/>
  <c r="E434" i="3"/>
  <c r="L434" i="3"/>
  <c r="D434" i="3"/>
  <c r="I434" i="3"/>
  <c r="H434" i="3"/>
  <c r="G434" i="3"/>
  <c r="F434" i="3"/>
  <c r="B434" i="3"/>
  <c r="J434" i="3"/>
  <c r="C434" i="3"/>
  <c r="H749" i="3"/>
  <c r="G749" i="3"/>
  <c r="F749" i="3"/>
  <c r="M749" i="3"/>
  <c r="E749" i="3"/>
  <c r="L749" i="3"/>
  <c r="K749" i="3"/>
  <c r="J749" i="3"/>
  <c r="I749" i="3"/>
  <c r="C749" i="3"/>
  <c r="D749" i="3"/>
  <c r="B749" i="3"/>
  <c r="M7" i="2"/>
  <c r="E15" i="2"/>
  <c r="I19" i="2"/>
  <c r="D20" i="2"/>
  <c r="M23" i="2"/>
  <c r="I27" i="2"/>
  <c r="M31" i="2"/>
  <c r="I35" i="2"/>
  <c r="L36" i="2"/>
  <c r="E39" i="2"/>
  <c r="D52" i="2"/>
  <c r="I59" i="2"/>
  <c r="K3" i="2"/>
  <c r="F4" i="2"/>
  <c r="K11" i="2"/>
  <c r="F12" i="2"/>
  <c r="G23" i="2"/>
  <c r="C27" i="2"/>
  <c r="K27" i="2"/>
  <c r="F28" i="2"/>
  <c r="C35" i="2"/>
  <c r="K35" i="2"/>
  <c r="F36" i="2"/>
  <c r="I37" i="2"/>
  <c r="G39" i="2"/>
  <c r="C51" i="2"/>
  <c r="F52" i="2"/>
  <c r="I53" i="2"/>
  <c r="G55" i="2"/>
  <c r="C59" i="2"/>
  <c r="K59" i="2"/>
  <c r="F60" i="2"/>
  <c r="G63" i="2"/>
  <c r="C67" i="2"/>
  <c r="F68" i="2"/>
  <c r="K75" i="2"/>
  <c r="F76" i="2"/>
  <c r="I77" i="2"/>
  <c r="G79" i="2"/>
  <c r="C83" i="2"/>
  <c r="I85" i="2"/>
  <c r="G87" i="2"/>
  <c r="C91" i="2"/>
  <c r="K99" i="2"/>
  <c r="I101" i="2"/>
  <c r="G103" i="2"/>
  <c r="K107" i="2"/>
  <c r="K123" i="2"/>
  <c r="C131" i="2"/>
  <c r="F132" i="2"/>
  <c r="D3" i="2"/>
  <c r="B5" i="2"/>
  <c r="E6" i="2"/>
  <c r="C8" i="2"/>
  <c r="D11" i="2"/>
  <c r="B13" i="2"/>
  <c r="E14" i="2"/>
  <c r="C16" i="2"/>
  <c r="D19" i="2"/>
  <c r="B21" i="2"/>
  <c r="E22" i="2"/>
  <c r="C24" i="2"/>
  <c r="D27" i="2"/>
  <c r="B29" i="2"/>
  <c r="E30" i="2"/>
  <c r="C32" i="2"/>
  <c r="D35" i="2"/>
  <c r="B37" i="2"/>
  <c r="E38" i="2"/>
  <c r="C40" i="2"/>
  <c r="D43" i="2"/>
  <c r="B45" i="2"/>
  <c r="E46" i="2"/>
  <c r="C48" i="2"/>
  <c r="D51" i="2"/>
  <c r="B53" i="2"/>
  <c r="E54" i="2"/>
  <c r="C56" i="2"/>
  <c r="D59" i="2"/>
  <c r="B61" i="2"/>
  <c r="E62" i="2"/>
  <c r="C64" i="2"/>
  <c r="D67" i="2"/>
  <c r="B69" i="2"/>
  <c r="E70" i="2"/>
  <c r="C72" i="2"/>
  <c r="D75" i="2"/>
  <c r="B77" i="2"/>
  <c r="E78" i="2"/>
  <c r="C80" i="2"/>
  <c r="D83" i="2"/>
  <c r="B85" i="2"/>
  <c r="E86" i="2"/>
  <c r="C88" i="2"/>
  <c r="D91" i="2"/>
  <c r="B93" i="2"/>
  <c r="E94" i="2"/>
  <c r="C96" i="2"/>
  <c r="D99" i="2"/>
  <c r="B101" i="2"/>
  <c r="E102" i="2"/>
  <c r="C104" i="2"/>
  <c r="D107" i="2"/>
  <c r="B109" i="2"/>
  <c r="E110" i="2"/>
  <c r="C112" i="2"/>
  <c r="D115" i="2"/>
  <c r="B117" i="2"/>
  <c r="E118" i="2"/>
  <c r="C120" i="2"/>
  <c r="D123" i="2"/>
  <c r="B125" i="2"/>
  <c r="E126" i="2"/>
  <c r="C128" i="2"/>
  <c r="D131" i="2"/>
  <c r="B133" i="2"/>
  <c r="E134" i="2"/>
  <c r="C136" i="2"/>
  <c r="D139" i="2"/>
  <c r="B141" i="2"/>
  <c r="E142" i="2"/>
  <c r="C144" i="2"/>
  <c r="D147" i="2"/>
  <c r="B149" i="2"/>
  <c r="E150" i="2"/>
  <c r="C152" i="2"/>
  <c r="D155" i="2"/>
  <c r="B157" i="2"/>
  <c r="E158" i="2"/>
  <c r="C160" i="2"/>
  <c r="D163" i="2"/>
  <c r="B165" i="2"/>
  <c r="E166" i="2"/>
  <c r="C168" i="2"/>
  <c r="D171" i="2"/>
  <c r="B173" i="2"/>
  <c r="E174" i="2"/>
  <c r="C176" i="2"/>
  <c r="D179" i="2"/>
  <c r="B181" i="2"/>
  <c r="E182" i="2"/>
  <c r="C184" i="2"/>
  <c r="D187" i="2"/>
  <c r="B189" i="2"/>
  <c r="E190" i="2"/>
  <c r="C192" i="2"/>
  <c r="D195" i="2"/>
  <c r="B197" i="2"/>
  <c r="E198" i="2"/>
  <c r="C200" i="2"/>
  <c r="D203" i="2"/>
  <c r="B205" i="2"/>
  <c r="E206" i="2"/>
  <c r="C208" i="2"/>
  <c r="F211" i="2"/>
  <c r="D212" i="2"/>
  <c r="J213" i="2"/>
  <c r="B213" i="2"/>
  <c r="F213" i="2"/>
  <c r="L213" i="2"/>
  <c r="F215" i="2"/>
  <c r="D216" i="2"/>
  <c r="F217" i="2"/>
  <c r="J217" i="2"/>
  <c r="B217" i="2"/>
  <c r="L217" i="2"/>
  <c r="F219" i="2"/>
  <c r="D220" i="2"/>
  <c r="J221" i="2"/>
  <c r="B221" i="2"/>
  <c r="F221" i="2"/>
  <c r="L221" i="2"/>
  <c r="F223" i="2"/>
  <c r="D224" i="2"/>
  <c r="F225" i="2"/>
  <c r="J225" i="2"/>
  <c r="B225" i="2"/>
  <c r="L225" i="2"/>
  <c r="F227" i="2"/>
  <c r="D228" i="2"/>
  <c r="J229" i="2"/>
  <c r="B229" i="2"/>
  <c r="F229" i="2"/>
  <c r="L229" i="2"/>
  <c r="F231" i="2"/>
  <c r="D232" i="2"/>
  <c r="F233" i="2"/>
  <c r="J233" i="2"/>
  <c r="B233" i="2"/>
  <c r="L233" i="2"/>
  <c r="F235" i="2"/>
  <c r="D236" i="2"/>
  <c r="J237" i="2"/>
  <c r="B237" i="2"/>
  <c r="F237" i="2"/>
  <c r="L237" i="2"/>
  <c r="F239" i="2"/>
  <c r="D240" i="2"/>
  <c r="F241" i="2"/>
  <c r="J241" i="2"/>
  <c r="B241" i="2"/>
  <c r="L241" i="2"/>
  <c r="F243" i="2"/>
  <c r="D244" i="2"/>
  <c r="J245" i="2"/>
  <c r="B245" i="2"/>
  <c r="F245" i="2"/>
  <c r="L245" i="2"/>
  <c r="F247" i="2"/>
  <c r="D248" i="2"/>
  <c r="F249" i="2"/>
  <c r="J249" i="2"/>
  <c r="B249" i="2"/>
  <c r="L249" i="2"/>
  <c r="F251" i="2"/>
  <c r="D252" i="2"/>
  <c r="J253" i="2"/>
  <c r="B253" i="2"/>
  <c r="F253" i="2"/>
  <c r="L253" i="2"/>
  <c r="F255" i="2"/>
  <c r="D256" i="2"/>
  <c r="F257" i="2"/>
  <c r="J257" i="2"/>
  <c r="B257" i="2"/>
  <c r="L257" i="2"/>
  <c r="F259" i="2"/>
  <c r="D260" i="2"/>
  <c r="J261" i="2"/>
  <c r="B261" i="2"/>
  <c r="F261" i="2"/>
  <c r="L261" i="2"/>
  <c r="F263" i="2"/>
  <c r="D264" i="2"/>
  <c r="F265" i="2"/>
  <c r="J265" i="2"/>
  <c r="B265" i="2"/>
  <c r="L265" i="2"/>
  <c r="F267" i="2"/>
  <c r="D268" i="2"/>
  <c r="J269" i="2"/>
  <c r="B269" i="2"/>
  <c r="F269" i="2"/>
  <c r="L269" i="2"/>
  <c r="F271" i="2"/>
  <c r="D272" i="2"/>
  <c r="F273" i="2"/>
  <c r="J273" i="2"/>
  <c r="B273" i="2"/>
  <c r="L273" i="2"/>
  <c r="F275" i="2"/>
  <c r="D276" i="2"/>
  <c r="J277" i="2"/>
  <c r="B277" i="2"/>
  <c r="F277" i="2"/>
  <c r="L277" i="2"/>
  <c r="C279" i="2"/>
  <c r="K280" i="2"/>
  <c r="C280" i="2"/>
  <c r="G280" i="2"/>
  <c r="L280" i="2"/>
  <c r="I281" i="2"/>
  <c r="C283" i="2"/>
  <c r="G284" i="2"/>
  <c r="K284" i="2"/>
  <c r="C284" i="2"/>
  <c r="L284" i="2"/>
  <c r="I285" i="2"/>
  <c r="H287" i="2"/>
  <c r="L287" i="2"/>
  <c r="D287" i="2"/>
  <c r="K287" i="2"/>
  <c r="I288" i="2"/>
  <c r="G289" i="2"/>
  <c r="L291" i="2"/>
  <c r="D291" i="2"/>
  <c r="H291" i="2"/>
  <c r="K291" i="2"/>
  <c r="I292" i="2"/>
  <c r="G293" i="2"/>
  <c r="I295" i="2"/>
  <c r="F296" i="2"/>
  <c r="D297" i="2"/>
  <c r="I299" i="2"/>
  <c r="F300" i="2"/>
  <c r="D301" i="2"/>
  <c r="F303" i="2"/>
  <c r="D304" i="2"/>
  <c r="F305" i="2"/>
  <c r="J305" i="2"/>
  <c r="B305" i="2"/>
  <c r="L305" i="2"/>
  <c r="F307" i="2"/>
  <c r="D308" i="2"/>
  <c r="J309" i="2"/>
  <c r="B309" i="2"/>
  <c r="F309" i="2"/>
  <c r="L309" i="2"/>
  <c r="C311" i="2"/>
  <c r="K312" i="2"/>
  <c r="C312" i="2"/>
  <c r="G312" i="2"/>
  <c r="L312" i="2"/>
  <c r="I313" i="2"/>
  <c r="C315" i="2"/>
  <c r="G316" i="2"/>
  <c r="K316" i="2"/>
  <c r="C316" i="2"/>
  <c r="L316" i="2"/>
  <c r="I317" i="2"/>
  <c r="H319" i="2"/>
  <c r="L319" i="2"/>
  <c r="D319" i="2"/>
  <c r="K319" i="2"/>
  <c r="I320" i="2"/>
  <c r="G321" i="2"/>
  <c r="L323" i="2"/>
  <c r="D323" i="2"/>
  <c r="H323" i="2"/>
  <c r="K323" i="2"/>
  <c r="I324" i="2"/>
  <c r="G325" i="2"/>
  <c r="I327" i="2"/>
  <c r="F328" i="2"/>
  <c r="D329" i="2"/>
  <c r="I331" i="2"/>
  <c r="F332" i="2"/>
  <c r="D333" i="2"/>
  <c r="F335" i="2"/>
  <c r="D336" i="2"/>
  <c r="F337" i="2"/>
  <c r="J337" i="2"/>
  <c r="B337" i="2"/>
  <c r="L337" i="2"/>
  <c r="F339" i="2"/>
  <c r="D340" i="2"/>
  <c r="J341" i="2"/>
  <c r="B341" i="2"/>
  <c r="F341" i="2"/>
  <c r="L341" i="2"/>
  <c r="C343" i="2"/>
  <c r="K344" i="2"/>
  <c r="C344" i="2"/>
  <c r="G344" i="2"/>
  <c r="L344" i="2"/>
  <c r="I345" i="2"/>
  <c r="C347" i="2"/>
  <c r="G348" i="2"/>
  <c r="K348" i="2"/>
  <c r="C348" i="2"/>
  <c r="L348" i="2"/>
  <c r="I349" i="2"/>
  <c r="H351" i="2"/>
  <c r="G351" i="2"/>
  <c r="L351" i="2"/>
  <c r="D351" i="2"/>
  <c r="M351" i="2"/>
  <c r="M352" i="2"/>
  <c r="L353" i="2"/>
  <c r="I355" i="2"/>
  <c r="I356" i="2"/>
  <c r="K359" i="2"/>
  <c r="L360" i="2"/>
  <c r="K361" i="2"/>
  <c r="G363" i="2"/>
  <c r="H364" i="2"/>
  <c r="K367" i="2"/>
  <c r="B372" i="2"/>
  <c r="J375" i="2"/>
  <c r="G380" i="2"/>
  <c r="F380" i="2"/>
  <c r="M380" i="2"/>
  <c r="E380" i="2"/>
  <c r="K380" i="2"/>
  <c r="C380" i="2"/>
  <c r="I383" i="2"/>
  <c r="K385" i="2"/>
  <c r="M387" i="2"/>
  <c r="E391" i="2"/>
  <c r="I393" i="2"/>
  <c r="I395" i="2"/>
  <c r="L396" i="2"/>
  <c r="C399" i="2"/>
  <c r="H401" i="2"/>
  <c r="G403" i="2"/>
  <c r="J404" i="2"/>
  <c r="B407" i="2"/>
  <c r="G409" i="2"/>
  <c r="F411" i="2"/>
  <c r="I412" i="2"/>
  <c r="H415" i="2"/>
  <c r="G415" i="2"/>
  <c r="F415" i="2"/>
  <c r="L415" i="2"/>
  <c r="D415" i="2"/>
  <c r="C417" i="2"/>
  <c r="E419" i="2"/>
  <c r="H420" i="2"/>
  <c r="M423" i="2"/>
  <c r="F425" i="2"/>
  <c r="M425" i="2"/>
  <c r="E425" i="2"/>
  <c r="L425" i="2"/>
  <c r="D425" i="2"/>
  <c r="J425" i="2"/>
  <c r="B425" i="2"/>
  <c r="L427" i="2"/>
  <c r="D427" i="2"/>
  <c r="K427" i="2"/>
  <c r="C427" i="2"/>
  <c r="J427" i="2"/>
  <c r="B427" i="2"/>
  <c r="H427" i="2"/>
  <c r="D428" i="2"/>
  <c r="K431" i="2"/>
  <c r="L435" i="2"/>
  <c r="D435" i="2"/>
  <c r="K435" i="2"/>
  <c r="C435" i="2"/>
  <c r="J435" i="2"/>
  <c r="B435" i="2"/>
  <c r="H435" i="2"/>
  <c r="D436" i="2"/>
  <c r="I439" i="2"/>
  <c r="K441" i="2"/>
  <c r="G444" i="2"/>
  <c r="F444" i="2"/>
  <c r="M444" i="2"/>
  <c r="E444" i="2"/>
  <c r="K444" i="2"/>
  <c r="C444" i="2"/>
  <c r="C447" i="2"/>
  <c r="H449" i="2"/>
  <c r="I451" i="2"/>
  <c r="L452" i="2"/>
  <c r="H455" i="2"/>
  <c r="G455" i="2"/>
  <c r="F455" i="2"/>
  <c r="L455" i="2"/>
  <c r="D455" i="2"/>
  <c r="C457" i="2"/>
  <c r="F459" i="2"/>
  <c r="I460" i="2"/>
  <c r="K463" i="2"/>
  <c r="L467" i="2"/>
  <c r="D467" i="2"/>
  <c r="K467" i="2"/>
  <c r="C467" i="2"/>
  <c r="J467" i="2"/>
  <c r="B467" i="2"/>
  <c r="H467" i="2"/>
  <c r="D468" i="2"/>
  <c r="M475" i="2"/>
  <c r="E475" i="2"/>
  <c r="L475" i="2"/>
  <c r="D475" i="2"/>
  <c r="K475" i="2"/>
  <c r="C475" i="2"/>
  <c r="J475" i="2"/>
  <c r="B475" i="2"/>
  <c r="H475" i="2"/>
  <c r="J476" i="2"/>
  <c r="C481" i="2"/>
  <c r="I483" i="2"/>
  <c r="K489" i="2"/>
  <c r="D492" i="2"/>
  <c r="F499" i="2"/>
  <c r="L500" i="2"/>
  <c r="H505" i="2"/>
  <c r="H508" i="2"/>
  <c r="G508" i="2"/>
  <c r="F508" i="2"/>
  <c r="M508" i="2"/>
  <c r="E508" i="2"/>
  <c r="K508" i="2"/>
  <c r="C508" i="2"/>
  <c r="I516" i="2"/>
  <c r="G521" i="2"/>
  <c r="F521" i="2"/>
  <c r="M521" i="2"/>
  <c r="E521" i="2"/>
  <c r="L521" i="2"/>
  <c r="D521" i="2"/>
  <c r="J521" i="2"/>
  <c r="B521" i="2"/>
  <c r="G523" i="2"/>
  <c r="L532" i="2"/>
  <c r="I540" i="2"/>
  <c r="D548" i="2"/>
  <c r="H556" i="2"/>
  <c r="G556" i="2"/>
  <c r="F556" i="2"/>
  <c r="M556" i="2"/>
  <c r="E556" i="2"/>
  <c r="K556" i="2"/>
  <c r="C556" i="2"/>
  <c r="J556" i="2"/>
  <c r="B556" i="2"/>
  <c r="I563" i="2"/>
  <c r="F571" i="2"/>
  <c r="M579" i="2"/>
  <c r="E579" i="2"/>
  <c r="L579" i="2"/>
  <c r="D579" i="2"/>
  <c r="K579" i="2"/>
  <c r="C579" i="2"/>
  <c r="J579" i="2"/>
  <c r="B579" i="2"/>
  <c r="H579" i="2"/>
  <c r="G579" i="2"/>
  <c r="L596" i="2"/>
  <c r="I604" i="2"/>
  <c r="D612" i="2"/>
  <c r="I620" i="2"/>
  <c r="L628" i="2"/>
  <c r="M795" i="2"/>
  <c r="E795" i="2"/>
  <c r="L795" i="2"/>
  <c r="D795" i="2"/>
  <c r="K795" i="2"/>
  <c r="C795" i="2"/>
  <c r="J795" i="2"/>
  <c r="B795" i="2"/>
  <c r="H795" i="2"/>
  <c r="G795" i="2"/>
  <c r="M803" i="2"/>
  <c r="E803" i="2"/>
  <c r="L803" i="2"/>
  <c r="D803" i="2"/>
  <c r="K803" i="2"/>
  <c r="C803" i="2"/>
  <c r="J803" i="2"/>
  <c r="B803" i="2"/>
  <c r="H803" i="2"/>
  <c r="G803" i="2"/>
  <c r="M811" i="2"/>
  <c r="E811" i="2"/>
  <c r="L811" i="2"/>
  <c r="D811" i="2"/>
  <c r="K811" i="2"/>
  <c r="C811" i="2"/>
  <c r="J811" i="2"/>
  <c r="B811" i="2"/>
  <c r="H811" i="2"/>
  <c r="G811" i="2"/>
  <c r="M819" i="2"/>
  <c r="E819" i="2"/>
  <c r="L819" i="2"/>
  <c r="D819" i="2"/>
  <c r="K819" i="2"/>
  <c r="C819" i="2"/>
  <c r="J819" i="2"/>
  <c r="B819" i="2"/>
  <c r="H819" i="2"/>
  <c r="G819" i="2"/>
  <c r="M827" i="2"/>
  <c r="E827" i="2"/>
  <c r="L827" i="2"/>
  <c r="D827" i="2"/>
  <c r="K827" i="2"/>
  <c r="C827" i="2"/>
  <c r="J827" i="2"/>
  <c r="B827" i="2"/>
  <c r="H827" i="2"/>
  <c r="G827" i="2"/>
  <c r="M835" i="2"/>
  <c r="E835" i="2"/>
  <c r="L835" i="2"/>
  <c r="D835" i="2"/>
  <c r="K835" i="2"/>
  <c r="C835" i="2"/>
  <c r="J835" i="2"/>
  <c r="B835" i="2"/>
  <c r="H835" i="2"/>
  <c r="G835" i="2"/>
  <c r="M843" i="2"/>
  <c r="E843" i="2"/>
  <c r="L843" i="2"/>
  <c r="D843" i="2"/>
  <c r="K843" i="2"/>
  <c r="C843" i="2"/>
  <c r="J843" i="2"/>
  <c r="B843" i="2"/>
  <c r="H843" i="2"/>
  <c r="G843" i="2"/>
  <c r="M851" i="2"/>
  <c r="E851" i="2"/>
  <c r="L851" i="2"/>
  <c r="D851" i="2"/>
  <c r="K851" i="2"/>
  <c r="C851" i="2"/>
  <c r="J851" i="2"/>
  <c r="B851" i="2"/>
  <c r="H851" i="2"/>
  <c r="G851" i="2"/>
  <c r="M859" i="2"/>
  <c r="E859" i="2"/>
  <c r="L859" i="2"/>
  <c r="D859" i="2"/>
  <c r="K859" i="2"/>
  <c r="C859" i="2"/>
  <c r="J859" i="2"/>
  <c r="B859" i="2"/>
  <c r="H859" i="2"/>
  <c r="G859" i="2"/>
  <c r="M867" i="2"/>
  <c r="E867" i="2"/>
  <c r="L867" i="2"/>
  <c r="D867" i="2"/>
  <c r="K867" i="2"/>
  <c r="C867" i="2"/>
  <c r="J867" i="2"/>
  <c r="B867" i="2"/>
  <c r="H867" i="2"/>
  <c r="G867" i="2"/>
  <c r="M875" i="2"/>
  <c r="E875" i="2"/>
  <c r="L875" i="2"/>
  <c r="D875" i="2"/>
  <c r="K875" i="2"/>
  <c r="C875" i="2"/>
  <c r="J875" i="2"/>
  <c r="B875" i="2"/>
  <c r="H875" i="2"/>
  <c r="G875" i="2"/>
  <c r="M883" i="2"/>
  <c r="E883" i="2"/>
  <c r="L883" i="2"/>
  <c r="D883" i="2"/>
  <c r="K883" i="2"/>
  <c r="C883" i="2"/>
  <c r="J883" i="2"/>
  <c r="B883" i="2"/>
  <c r="H883" i="2"/>
  <c r="G883" i="2"/>
  <c r="M891" i="2"/>
  <c r="E891" i="2"/>
  <c r="L891" i="2"/>
  <c r="D891" i="2"/>
  <c r="K891" i="2"/>
  <c r="C891" i="2"/>
  <c r="J891" i="2"/>
  <c r="B891" i="2"/>
  <c r="H891" i="2"/>
  <c r="G891" i="2"/>
  <c r="M899" i="2"/>
  <c r="E899" i="2"/>
  <c r="L899" i="2"/>
  <c r="D899" i="2"/>
  <c r="K899" i="2"/>
  <c r="C899" i="2"/>
  <c r="J899" i="2"/>
  <c r="B899" i="2"/>
  <c r="H899" i="2"/>
  <c r="G899" i="2"/>
  <c r="M907" i="2"/>
  <c r="E907" i="2"/>
  <c r="L907" i="2"/>
  <c r="D907" i="2"/>
  <c r="K907" i="2"/>
  <c r="C907" i="2"/>
  <c r="J907" i="2"/>
  <c r="B907" i="2"/>
  <c r="H907" i="2"/>
  <c r="G907" i="2"/>
  <c r="M915" i="2"/>
  <c r="E915" i="2"/>
  <c r="L915" i="2"/>
  <c r="D915" i="2"/>
  <c r="K915" i="2"/>
  <c r="C915" i="2"/>
  <c r="J915" i="2"/>
  <c r="B915" i="2"/>
  <c r="H915" i="2"/>
  <c r="G915" i="2"/>
  <c r="M923" i="2"/>
  <c r="E923" i="2"/>
  <c r="L923" i="2"/>
  <c r="D923" i="2"/>
  <c r="K923" i="2"/>
  <c r="C923" i="2"/>
  <c r="J923" i="2"/>
  <c r="B923" i="2"/>
  <c r="H923" i="2"/>
  <c r="G923" i="2"/>
  <c r="M931" i="2"/>
  <c r="E931" i="2"/>
  <c r="L931" i="2"/>
  <c r="D931" i="2"/>
  <c r="K931" i="2"/>
  <c r="C931" i="2"/>
  <c r="J931" i="2"/>
  <c r="B931" i="2"/>
  <c r="H931" i="2"/>
  <c r="G931" i="2"/>
  <c r="M939" i="2"/>
  <c r="E939" i="2"/>
  <c r="L939" i="2"/>
  <c r="D939" i="2"/>
  <c r="K939" i="2"/>
  <c r="C939" i="2"/>
  <c r="J939" i="2"/>
  <c r="B939" i="2"/>
  <c r="H939" i="2"/>
  <c r="G939" i="2"/>
  <c r="M947" i="2"/>
  <c r="E947" i="2"/>
  <c r="L947" i="2"/>
  <c r="D947" i="2"/>
  <c r="K947" i="2"/>
  <c r="C947" i="2"/>
  <c r="J947" i="2"/>
  <c r="B947" i="2"/>
  <c r="H947" i="2"/>
  <c r="G947" i="2"/>
  <c r="M955" i="2"/>
  <c r="E955" i="2"/>
  <c r="L955" i="2"/>
  <c r="D955" i="2"/>
  <c r="K955" i="2"/>
  <c r="C955" i="2"/>
  <c r="J955" i="2"/>
  <c r="B955" i="2"/>
  <c r="H955" i="2"/>
  <c r="G955" i="2"/>
  <c r="M963" i="2"/>
  <c r="E963" i="2"/>
  <c r="L963" i="2"/>
  <c r="D963" i="2"/>
  <c r="K963" i="2"/>
  <c r="C963" i="2"/>
  <c r="J963" i="2"/>
  <c r="B963" i="2"/>
  <c r="H963" i="2"/>
  <c r="G963" i="2"/>
  <c r="M971" i="2"/>
  <c r="E971" i="2"/>
  <c r="L971" i="2"/>
  <c r="D971" i="2"/>
  <c r="K971" i="2"/>
  <c r="C971" i="2"/>
  <c r="J971" i="2"/>
  <c r="B971" i="2"/>
  <c r="H971" i="2"/>
  <c r="G971" i="2"/>
  <c r="M979" i="2"/>
  <c r="E979" i="2"/>
  <c r="L979" i="2"/>
  <c r="D979" i="2"/>
  <c r="K979" i="2"/>
  <c r="C979" i="2"/>
  <c r="J979" i="2"/>
  <c r="B979" i="2"/>
  <c r="H979" i="2"/>
  <c r="G979" i="2"/>
  <c r="M987" i="2"/>
  <c r="E987" i="2"/>
  <c r="L987" i="2"/>
  <c r="D987" i="2"/>
  <c r="K987" i="2"/>
  <c r="C987" i="2"/>
  <c r="J987" i="2"/>
  <c r="B987" i="2"/>
  <c r="H987" i="2"/>
  <c r="G987" i="2"/>
  <c r="M995" i="2"/>
  <c r="E995" i="2"/>
  <c r="L995" i="2"/>
  <c r="D995" i="2"/>
  <c r="K995" i="2"/>
  <c r="C995" i="2"/>
  <c r="J995" i="2"/>
  <c r="B995" i="2"/>
  <c r="H995" i="2"/>
  <c r="G995" i="2"/>
  <c r="M4" i="3"/>
  <c r="E4" i="3"/>
  <c r="L4" i="3"/>
  <c r="D4" i="3"/>
  <c r="K4" i="3"/>
  <c r="C4" i="3"/>
  <c r="J4" i="3"/>
  <c r="B4" i="3"/>
  <c r="H4" i="3"/>
  <c r="G4" i="3"/>
  <c r="M12" i="3"/>
  <c r="E12" i="3"/>
  <c r="L12" i="3"/>
  <c r="D12" i="3"/>
  <c r="K12" i="3"/>
  <c r="C12" i="3"/>
  <c r="J12" i="3"/>
  <c r="B12" i="3"/>
  <c r="H12" i="3"/>
  <c r="G12" i="3"/>
  <c r="M20" i="3"/>
  <c r="E20" i="3"/>
  <c r="L20" i="3"/>
  <c r="D20" i="3"/>
  <c r="K20" i="3"/>
  <c r="C20" i="3"/>
  <c r="J20" i="3"/>
  <c r="B20" i="3"/>
  <c r="H20" i="3"/>
  <c r="G20" i="3"/>
  <c r="M28" i="3"/>
  <c r="E28" i="3"/>
  <c r="L28" i="3"/>
  <c r="D28" i="3"/>
  <c r="K28" i="3"/>
  <c r="C28" i="3"/>
  <c r="J28" i="3"/>
  <c r="B28" i="3"/>
  <c r="H28" i="3"/>
  <c r="G28" i="3"/>
  <c r="M36" i="3"/>
  <c r="E36" i="3"/>
  <c r="L36" i="3"/>
  <c r="D36" i="3"/>
  <c r="K36" i="3"/>
  <c r="C36" i="3"/>
  <c r="J36" i="3"/>
  <c r="B36" i="3"/>
  <c r="H36" i="3"/>
  <c r="G36" i="3"/>
  <c r="M44" i="3"/>
  <c r="E44" i="3"/>
  <c r="L44" i="3"/>
  <c r="D44" i="3"/>
  <c r="K44" i="3"/>
  <c r="C44" i="3"/>
  <c r="J44" i="3"/>
  <c r="B44" i="3"/>
  <c r="H44" i="3"/>
  <c r="G44" i="3"/>
  <c r="M52" i="3"/>
  <c r="E52" i="3"/>
  <c r="L52" i="3"/>
  <c r="D52" i="3"/>
  <c r="K52" i="3"/>
  <c r="C52" i="3"/>
  <c r="J52" i="3"/>
  <c r="B52" i="3"/>
  <c r="H52" i="3"/>
  <c r="G52" i="3"/>
  <c r="L113" i="3"/>
  <c r="D113" i="3"/>
  <c r="J113" i="3"/>
  <c r="B113" i="3"/>
  <c r="G113" i="3"/>
  <c r="H113" i="3"/>
  <c r="F113" i="3"/>
  <c r="E113" i="3"/>
  <c r="C113" i="3"/>
  <c r="M113" i="3"/>
  <c r="K113" i="3"/>
  <c r="H117" i="3"/>
  <c r="F117" i="3"/>
  <c r="K117" i="3"/>
  <c r="C117" i="3"/>
  <c r="G117" i="3"/>
  <c r="E117" i="3"/>
  <c r="D117" i="3"/>
  <c r="B117" i="3"/>
  <c r="L117" i="3"/>
  <c r="J117" i="3"/>
  <c r="I300" i="3"/>
  <c r="J341" i="3"/>
  <c r="F357" i="3"/>
  <c r="I357" i="3"/>
  <c r="H357" i="3"/>
  <c r="G357" i="3"/>
  <c r="E357" i="3"/>
  <c r="L357" i="3"/>
  <c r="C357" i="3"/>
  <c r="K357" i="3"/>
  <c r="J357" i="3"/>
  <c r="D357" i="3"/>
  <c r="B357" i="3"/>
  <c r="F453" i="3"/>
  <c r="M453" i="3"/>
  <c r="E453" i="3"/>
  <c r="J453" i="3"/>
  <c r="I453" i="3"/>
  <c r="H453" i="3"/>
  <c r="G453" i="3"/>
  <c r="C453" i="3"/>
  <c r="L453" i="3"/>
  <c r="K453" i="3"/>
  <c r="D453" i="3"/>
  <c r="B453" i="3"/>
  <c r="H507" i="3"/>
  <c r="G507" i="3"/>
  <c r="E507" i="3"/>
  <c r="D507" i="3"/>
  <c r="M507" i="3"/>
  <c r="C507" i="3"/>
  <c r="L507" i="3"/>
  <c r="B507" i="3"/>
  <c r="J507" i="3"/>
  <c r="K507" i="3"/>
  <c r="I507" i="3"/>
  <c r="F507" i="3"/>
  <c r="G554" i="3"/>
  <c r="M554" i="3"/>
  <c r="E554" i="3"/>
  <c r="L554" i="3"/>
  <c r="D554" i="3"/>
  <c r="K554" i="3"/>
  <c r="J554" i="3"/>
  <c r="I554" i="3"/>
  <c r="H554" i="3"/>
  <c r="C554" i="3"/>
  <c r="F554" i="3"/>
  <c r="B554" i="3"/>
  <c r="J627" i="3"/>
  <c r="B627" i="3"/>
  <c r="H627" i="3"/>
  <c r="G627" i="3"/>
  <c r="K627" i="3"/>
  <c r="I627" i="3"/>
  <c r="F627" i="3"/>
  <c r="E627" i="3"/>
  <c r="C627" i="3"/>
  <c r="M627" i="3"/>
  <c r="L627" i="3"/>
  <c r="D627" i="3"/>
  <c r="M676" i="3"/>
  <c r="E676" i="3"/>
  <c r="L676" i="3"/>
  <c r="D676" i="3"/>
  <c r="K676" i="3"/>
  <c r="C676" i="3"/>
  <c r="J676" i="3"/>
  <c r="B676" i="3"/>
  <c r="I676" i="3"/>
  <c r="H676" i="3"/>
  <c r="F676" i="3"/>
  <c r="G676" i="3"/>
  <c r="F703" i="3"/>
  <c r="M703" i="3"/>
  <c r="E703" i="3"/>
  <c r="L703" i="3"/>
  <c r="D703" i="3"/>
  <c r="K703" i="3"/>
  <c r="C703" i="3"/>
  <c r="J703" i="3"/>
  <c r="I703" i="3"/>
  <c r="G703" i="3"/>
  <c r="H703" i="3"/>
  <c r="B703" i="3"/>
  <c r="M836" i="3"/>
  <c r="E836" i="3"/>
  <c r="L836" i="3"/>
  <c r="D836" i="3"/>
  <c r="K836" i="3"/>
  <c r="C836" i="3"/>
  <c r="J836" i="3"/>
  <c r="B836" i="3"/>
  <c r="I836" i="3"/>
  <c r="H836" i="3"/>
  <c r="F836" i="3"/>
  <c r="G836" i="3"/>
  <c r="M868" i="3"/>
  <c r="E868" i="3"/>
  <c r="L868" i="3"/>
  <c r="D868" i="3"/>
  <c r="K868" i="3"/>
  <c r="C868" i="3"/>
  <c r="J868" i="3"/>
  <c r="B868" i="3"/>
  <c r="I868" i="3"/>
  <c r="H868" i="3"/>
  <c r="F868" i="3"/>
  <c r="G868" i="3"/>
  <c r="I529" i="2"/>
  <c r="I537" i="2"/>
  <c r="I545" i="2"/>
  <c r="I553" i="2"/>
  <c r="I561" i="2"/>
  <c r="I569" i="2"/>
  <c r="I577" i="2"/>
  <c r="I585" i="2"/>
  <c r="I593" i="2"/>
  <c r="I601" i="2"/>
  <c r="I609" i="2"/>
  <c r="I617" i="2"/>
  <c r="I625" i="2"/>
  <c r="I633" i="2"/>
  <c r="I641" i="2"/>
  <c r="I649" i="2"/>
  <c r="I657" i="2"/>
  <c r="I665" i="2"/>
  <c r="I673" i="2"/>
  <c r="I681" i="2"/>
  <c r="I689" i="2"/>
  <c r="I697" i="2"/>
  <c r="I705" i="2"/>
  <c r="I713" i="2"/>
  <c r="I721" i="2"/>
  <c r="I729" i="2"/>
  <c r="I737" i="2"/>
  <c r="I745" i="2"/>
  <c r="I753" i="2"/>
  <c r="I761" i="2"/>
  <c r="I769" i="2"/>
  <c r="I777" i="2"/>
  <c r="I785" i="2"/>
  <c r="I793" i="2"/>
  <c r="I801" i="2"/>
  <c r="I809" i="2"/>
  <c r="I817" i="2"/>
  <c r="I825" i="2"/>
  <c r="I833" i="2"/>
  <c r="I841" i="2"/>
  <c r="I849" i="2"/>
  <c r="I857" i="2"/>
  <c r="I865" i="2"/>
  <c r="I873" i="2"/>
  <c r="I881" i="2"/>
  <c r="I889" i="2"/>
  <c r="I897" i="2"/>
  <c r="I905" i="2"/>
  <c r="I913" i="2"/>
  <c r="I921" i="2"/>
  <c r="I929" i="2"/>
  <c r="I937" i="2"/>
  <c r="I945" i="2"/>
  <c r="I953" i="2"/>
  <c r="I961" i="2"/>
  <c r="I969" i="2"/>
  <c r="I977" i="2"/>
  <c r="I985" i="2"/>
  <c r="I993" i="2"/>
  <c r="I2" i="3"/>
  <c r="I10" i="3"/>
  <c r="I18" i="3"/>
  <c r="I26" i="3"/>
  <c r="I34" i="3"/>
  <c r="I42" i="3"/>
  <c r="I50" i="3"/>
  <c r="I58" i="3"/>
  <c r="K68" i="3"/>
  <c r="C68" i="3"/>
  <c r="H68" i="3"/>
  <c r="L68" i="3"/>
  <c r="K76" i="3"/>
  <c r="C76" i="3"/>
  <c r="H76" i="3"/>
  <c r="L76" i="3"/>
  <c r="H83" i="3"/>
  <c r="M83" i="3"/>
  <c r="E83" i="3"/>
  <c r="K83" i="3"/>
  <c r="L137" i="3"/>
  <c r="D137" i="3"/>
  <c r="J137" i="3"/>
  <c r="B137" i="3"/>
  <c r="G137" i="3"/>
  <c r="G138" i="3"/>
  <c r="M138" i="3"/>
  <c r="E138" i="3"/>
  <c r="J138" i="3"/>
  <c r="B138" i="3"/>
  <c r="J139" i="3"/>
  <c r="B139" i="3"/>
  <c r="H139" i="3"/>
  <c r="M139" i="3"/>
  <c r="E139" i="3"/>
  <c r="M140" i="3"/>
  <c r="E140" i="3"/>
  <c r="K140" i="3"/>
  <c r="C140" i="3"/>
  <c r="H140" i="3"/>
  <c r="H141" i="3"/>
  <c r="F141" i="3"/>
  <c r="K141" i="3"/>
  <c r="C141" i="3"/>
  <c r="M141" i="3"/>
  <c r="H205" i="3"/>
  <c r="F205" i="3"/>
  <c r="M205" i="3"/>
  <c r="E205" i="3"/>
  <c r="K205" i="3"/>
  <c r="C205" i="3"/>
  <c r="M220" i="3"/>
  <c r="E220" i="3"/>
  <c r="K220" i="3"/>
  <c r="C220" i="3"/>
  <c r="J220" i="3"/>
  <c r="B220" i="3"/>
  <c r="H220" i="3"/>
  <c r="J227" i="3"/>
  <c r="B227" i="3"/>
  <c r="H227" i="3"/>
  <c r="G227" i="3"/>
  <c r="M227" i="3"/>
  <c r="E227" i="3"/>
  <c r="J235" i="3"/>
  <c r="B235" i="3"/>
  <c r="H235" i="3"/>
  <c r="G235" i="3"/>
  <c r="M235" i="3"/>
  <c r="E235" i="3"/>
  <c r="J243" i="3"/>
  <c r="B243" i="3"/>
  <c r="H243" i="3"/>
  <c r="G243" i="3"/>
  <c r="M243" i="3"/>
  <c r="E243" i="3"/>
  <c r="M260" i="3"/>
  <c r="E260" i="3"/>
  <c r="L260" i="3"/>
  <c r="D260" i="3"/>
  <c r="K260" i="3"/>
  <c r="C260" i="3"/>
  <c r="J260" i="3"/>
  <c r="B260" i="3"/>
  <c r="H260" i="3"/>
  <c r="G266" i="3"/>
  <c r="F266" i="3"/>
  <c r="M266" i="3"/>
  <c r="E266" i="3"/>
  <c r="L266" i="3"/>
  <c r="D266" i="3"/>
  <c r="J266" i="3"/>
  <c r="B266" i="3"/>
  <c r="H293" i="3"/>
  <c r="G293" i="3"/>
  <c r="F293" i="3"/>
  <c r="M293" i="3"/>
  <c r="E293" i="3"/>
  <c r="K293" i="3"/>
  <c r="C293" i="3"/>
  <c r="H317" i="3"/>
  <c r="G317" i="3"/>
  <c r="F317" i="3"/>
  <c r="M317" i="3"/>
  <c r="E317" i="3"/>
  <c r="K317" i="3"/>
  <c r="C317" i="3"/>
  <c r="G338" i="3"/>
  <c r="F338" i="3"/>
  <c r="M338" i="3"/>
  <c r="E338" i="3"/>
  <c r="L338" i="3"/>
  <c r="D338" i="3"/>
  <c r="J338" i="3"/>
  <c r="B338" i="3"/>
  <c r="K364" i="3"/>
  <c r="C364" i="3"/>
  <c r="H364" i="3"/>
  <c r="G364" i="3"/>
  <c r="F364" i="3"/>
  <c r="E364" i="3"/>
  <c r="L364" i="3"/>
  <c r="B364" i="3"/>
  <c r="J369" i="3"/>
  <c r="B369" i="3"/>
  <c r="F369" i="3"/>
  <c r="E369" i="3"/>
  <c r="M369" i="3"/>
  <c r="D369" i="3"/>
  <c r="L369" i="3"/>
  <c r="C369" i="3"/>
  <c r="I369" i="3"/>
  <c r="H379" i="3"/>
  <c r="G379" i="3"/>
  <c r="E379" i="3"/>
  <c r="D379" i="3"/>
  <c r="M379" i="3"/>
  <c r="C379" i="3"/>
  <c r="L379" i="3"/>
  <c r="B379" i="3"/>
  <c r="J379" i="3"/>
  <c r="K420" i="3"/>
  <c r="C420" i="3"/>
  <c r="J420" i="3"/>
  <c r="B420" i="3"/>
  <c r="G420" i="3"/>
  <c r="F420" i="3"/>
  <c r="E420" i="3"/>
  <c r="D420" i="3"/>
  <c r="L420" i="3"/>
  <c r="M450" i="3"/>
  <c r="E450" i="3"/>
  <c r="L450" i="3"/>
  <c r="D450" i="3"/>
  <c r="G450" i="3"/>
  <c r="F450" i="3"/>
  <c r="C450" i="3"/>
  <c r="B450" i="3"/>
  <c r="J450" i="3"/>
  <c r="G472" i="3"/>
  <c r="F472" i="3"/>
  <c r="I472" i="3"/>
  <c r="H472" i="3"/>
  <c r="E472" i="3"/>
  <c r="D472" i="3"/>
  <c r="L472" i="3"/>
  <c r="B472" i="3"/>
  <c r="L495" i="3"/>
  <c r="D495" i="3"/>
  <c r="K495" i="3"/>
  <c r="C495" i="3"/>
  <c r="G495" i="3"/>
  <c r="F495" i="3"/>
  <c r="E495" i="3"/>
  <c r="B495" i="3"/>
  <c r="J495" i="3"/>
  <c r="J563" i="3"/>
  <c r="B563" i="3"/>
  <c r="H563" i="3"/>
  <c r="G563" i="3"/>
  <c r="K563" i="3"/>
  <c r="I563" i="3"/>
  <c r="F563" i="3"/>
  <c r="E563" i="3"/>
  <c r="C563" i="3"/>
  <c r="G578" i="3"/>
  <c r="M578" i="3"/>
  <c r="E578" i="3"/>
  <c r="L578" i="3"/>
  <c r="D578" i="3"/>
  <c r="H578" i="3"/>
  <c r="F578" i="3"/>
  <c r="C578" i="3"/>
  <c r="B578" i="3"/>
  <c r="K578" i="3"/>
  <c r="G642" i="3"/>
  <c r="M642" i="3"/>
  <c r="E642" i="3"/>
  <c r="L642" i="3"/>
  <c r="D642" i="3"/>
  <c r="H642" i="3"/>
  <c r="F642" i="3"/>
  <c r="C642" i="3"/>
  <c r="B642" i="3"/>
  <c r="K642" i="3"/>
  <c r="M772" i="3"/>
  <c r="E772" i="3"/>
  <c r="L772" i="3"/>
  <c r="D772" i="3"/>
  <c r="K772" i="3"/>
  <c r="C772" i="3"/>
  <c r="J772" i="3"/>
  <c r="B772" i="3"/>
  <c r="I772" i="3"/>
  <c r="H772" i="3"/>
  <c r="F772" i="3"/>
  <c r="G794" i="3"/>
  <c r="F794" i="3"/>
  <c r="M794" i="3"/>
  <c r="E794" i="3"/>
  <c r="L794" i="3"/>
  <c r="D794" i="3"/>
  <c r="K794" i="3"/>
  <c r="J794" i="3"/>
  <c r="I794" i="3"/>
  <c r="C794" i="3"/>
  <c r="M844" i="3"/>
  <c r="E844" i="3"/>
  <c r="L844" i="3"/>
  <c r="D844" i="3"/>
  <c r="K844" i="3"/>
  <c r="C844" i="3"/>
  <c r="J844" i="3"/>
  <c r="B844" i="3"/>
  <c r="I844" i="3"/>
  <c r="H844" i="3"/>
  <c r="G844" i="3"/>
  <c r="F844" i="3"/>
  <c r="F895" i="3"/>
  <c r="M895" i="3"/>
  <c r="E895" i="3"/>
  <c r="L895" i="3"/>
  <c r="D895" i="3"/>
  <c r="K895" i="3"/>
  <c r="C895" i="3"/>
  <c r="J895" i="3"/>
  <c r="I895" i="3"/>
  <c r="G895" i="3"/>
  <c r="H933" i="3"/>
  <c r="G933" i="3"/>
  <c r="F933" i="3"/>
  <c r="M933" i="3"/>
  <c r="E933" i="3"/>
  <c r="J933" i="3"/>
  <c r="B933" i="3"/>
  <c r="L933" i="3"/>
  <c r="K933" i="3"/>
  <c r="I933" i="3"/>
  <c r="C933" i="3"/>
  <c r="M964" i="3"/>
  <c r="E964" i="3"/>
  <c r="L964" i="3"/>
  <c r="D964" i="3"/>
  <c r="K964" i="3"/>
  <c r="C964" i="3"/>
  <c r="J964" i="3"/>
  <c r="B964" i="3"/>
  <c r="G964" i="3"/>
  <c r="I964" i="3"/>
  <c r="F964" i="3"/>
  <c r="F40" i="4"/>
  <c r="M40" i="4"/>
  <c r="E40" i="4"/>
  <c r="L40" i="4"/>
  <c r="D40" i="4"/>
  <c r="K40" i="4"/>
  <c r="C40" i="4"/>
  <c r="H40" i="4"/>
  <c r="J40" i="4"/>
  <c r="I40" i="4"/>
  <c r="B40" i="4"/>
  <c r="G251" i="4"/>
  <c r="F251" i="4"/>
  <c r="H251" i="4"/>
  <c r="E251" i="4"/>
  <c r="D251" i="4"/>
  <c r="M251" i="4"/>
  <c r="C251" i="4"/>
  <c r="L251" i="4"/>
  <c r="B251" i="4"/>
  <c r="J251" i="4"/>
  <c r="I251" i="4"/>
  <c r="G740" i="4"/>
  <c r="F740" i="4"/>
  <c r="M740" i="4"/>
  <c r="E740" i="4"/>
  <c r="L740" i="4"/>
  <c r="D740" i="4"/>
  <c r="K740" i="4"/>
  <c r="C740" i="4"/>
  <c r="J740" i="4"/>
  <c r="H740" i="4"/>
  <c r="B740" i="4"/>
  <c r="I740" i="4"/>
  <c r="I214" i="2"/>
  <c r="E218" i="2"/>
  <c r="M218" i="2"/>
  <c r="I222" i="2"/>
  <c r="E226" i="2"/>
  <c r="M226" i="2"/>
  <c r="I230" i="2"/>
  <c r="E234" i="2"/>
  <c r="M234" i="2"/>
  <c r="I238" i="2"/>
  <c r="E242" i="2"/>
  <c r="M242" i="2"/>
  <c r="I246" i="2"/>
  <c r="E250" i="2"/>
  <c r="M250" i="2"/>
  <c r="I254" i="2"/>
  <c r="E258" i="2"/>
  <c r="M258" i="2"/>
  <c r="I262" i="2"/>
  <c r="E266" i="2"/>
  <c r="M266" i="2"/>
  <c r="I270" i="2"/>
  <c r="E274" i="2"/>
  <c r="M274" i="2"/>
  <c r="E282" i="2"/>
  <c r="M282" i="2"/>
  <c r="E290" i="2"/>
  <c r="M290" i="2"/>
  <c r="E298" i="2"/>
  <c r="M298" i="2"/>
  <c r="E306" i="2"/>
  <c r="M306" i="2"/>
  <c r="E314" i="2"/>
  <c r="M314" i="2"/>
  <c r="E322" i="2"/>
  <c r="M322" i="2"/>
  <c r="E330" i="2"/>
  <c r="M330" i="2"/>
  <c r="E338" i="2"/>
  <c r="M338" i="2"/>
  <c r="E346" i="2"/>
  <c r="M346" i="2"/>
  <c r="E354" i="2"/>
  <c r="M354" i="2"/>
  <c r="F357" i="2"/>
  <c r="E362" i="2"/>
  <c r="M362" i="2"/>
  <c r="F365" i="2"/>
  <c r="G368" i="2"/>
  <c r="E370" i="2"/>
  <c r="M370" i="2"/>
  <c r="F373" i="2"/>
  <c r="G376" i="2"/>
  <c r="E378" i="2"/>
  <c r="M378" i="2"/>
  <c r="F381" i="2"/>
  <c r="G384" i="2"/>
  <c r="E386" i="2"/>
  <c r="M386" i="2"/>
  <c r="F389" i="2"/>
  <c r="G392" i="2"/>
  <c r="E394" i="2"/>
  <c r="M394" i="2"/>
  <c r="F397" i="2"/>
  <c r="G400" i="2"/>
  <c r="E402" i="2"/>
  <c r="M402" i="2"/>
  <c r="F405" i="2"/>
  <c r="G408" i="2"/>
  <c r="E410" i="2"/>
  <c r="M410" i="2"/>
  <c r="F413" i="2"/>
  <c r="G416" i="2"/>
  <c r="E418" i="2"/>
  <c r="M418" i="2"/>
  <c r="F421" i="2"/>
  <c r="G424" i="2"/>
  <c r="E426" i="2"/>
  <c r="M426" i="2"/>
  <c r="F429" i="2"/>
  <c r="G432" i="2"/>
  <c r="E434" i="2"/>
  <c r="M434" i="2"/>
  <c r="F437" i="2"/>
  <c r="G440" i="2"/>
  <c r="E442" i="2"/>
  <c r="M442" i="2"/>
  <c r="F445" i="2"/>
  <c r="G448" i="2"/>
  <c r="E450" i="2"/>
  <c r="M450" i="2"/>
  <c r="F453" i="2"/>
  <c r="G456" i="2"/>
  <c r="E458" i="2"/>
  <c r="M458" i="2"/>
  <c r="F461" i="2"/>
  <c r="G464" i="2"/>
  <c r="E466" i="2"/>
  <c r="M466" i="2"/>
  <c r="F469" i="2"/>
  <c r="D471" i="2"/>
  <c r="L471" i="2"/>
  <c r="G472" i="2"/>
  <c r="E474" i="2"/>
  <c r="M474" i="2"/>
  <c r="F477" i="2"/>
  <c r="D479" i="2"/>
  <c r="L479" i="2"/>
  <c r="G480" i="2"/>
  <c r="E482" i="2"/>
  <c r="M482" i="2"/>
  <c r="F485" i="2"/>
  <c r="D487" i="2"/>
  <c r="L487" i="2"/>
  <c r="G488" i="2"/>
  <c r="E490" i="2"/>
  <c r="M490" i="2"/>
  <c r="F493" i="2"/>
  <c r="D495" i="2"/>
  <c r="L495" i="2"/>
  <c r="G496" i="2"/>
  <c r="E498" i="2"/>
  <c r="M498" i="2"/>
  <c r="F501" i="2"/>
  <c r="D503" i="2"/>
  <c r="L503" i="2"/>
  <c r="G504" i="2"/>
  <c r="E506" i="2"/>
  <c r="M506" i="2"/>
  <c r="F509" i="2"/>
  <c r="D511" i="2"/>
  <c r="L511" i="2"/>
  <c r="G512" i="2"/>
  <c r="E514" i="2"/>
  <c r="M514" i="2"/>
  <c r="F517" i="2"/>
  <c r="D519" i="2"/>
  <c r="L519" i="2"/>
  <c r="G520" i="2"/>
  <c r="E522" i="2"/>
  <c r="M522" i="2"/>
  <c r="F525" i="2"/>
  <c r="D527" i="2"/>
  <c r="L527" i="2"/>
  <c r="G528" i="2"/>
  <c r="B529" i="2"/>
  <c r="J529" i="2"/>
  <c r="E530" i="2"/>
  <c r="M530" i="2"/>
  <c r="F533" i="2"/>
  <c r="D535" i="2"/>
  <c r="L535" i="2"/>
  <c r="G536" i="2"/>
  <c r="B537" i="2"/>
  <c r="J537" i="2"/>
  <c r="E538" i="2"/>
  <c r="M538" i="2"/>
  <c r="F541" i="2"/>
  <c r="D543" i="2"/>
  <c r="L543" i="2"/>
  <c r="G544" i="2"/>
  <c r="B545" i="2"/>
  <c r="J545" i="2"/>
  <c r="E546" i="2"/>
  <c r="M546" i="2"/>
  <c r="F549" i="2"/>
  <c r="D551" i="2"/>
  <c r="L551" i="2"/>
  <c r="G552" i="2"/>
  <c r="B553" i="2"/>
  <c r="J553" i="2"/>
  <c r="E554" i="2"/>
  <c r="M554" i="2"/>
  <c r="F557" i="2"/>
  <c r="D559" i="2"/>
  <c r="L559" i="2"/>
  <c r="G560" i="2"/>
  <c r="B561" i="2"/>
  <c r="J561" i="2"/>
  <c r="E562" i="2"/>
  <c r="M562" i="2"/>
  <c r="F565" i="2"/>
  <c r="D567" i="2"/>
  <c r="L567" i="2"/>
  <c r="G568" i="2"/>
  <c r="B569" i="2"/>
  <c r="J569" i="2"/>
  <c r="E570" i="2"/>
  <c r="M570" i="2"/>
  <c r="F573" i="2"/>
  <c r="D575" i="2"/>
  <c r="L575" i="2"/>
  <c r="G576" i="2"/>
  <c r="B577" i="2"/>
  <c r="J577" i="2"/>
  <c r="E578" i="2"/>
  <c r="M578" i="2"/>
  <c r="F581" i="2"/>
  <c r="D583" i="2"/>
  <c r="L583" i="2"/>
  <c r="G584" i="2"/>
  <c r="B585" i="2"/>
  <c r="J585" i="2"/>
  <c r="E586" i="2"/>
  <c r="M586" i="2"/>
  <c r="F589" i="2"/>
  <c r="D591" i="2"/>
  <c r="L591" i="2"/>
  <c r="G592" i="2"/>
  <c r="B593" i="2"/>
  <c r="J593" i="2"/>
  <c r="E594" i="2"/>
  <c r="M594" i="2"/>
  <c r="F597" i="2"/>
  <c r="D599" i="2"/>
  <c r="L599" i="2"/>
  <c r="G600" i="2"/>
  <c r="B601" i="2"/>
  <c r="J601" i="2"/>
  <c r="E602" i="2"/>
  <c r="M602" i="2"/>
  <c r="F605" i="2"/>
  <c r="D607" i="2"/>
  <c r="L607" i="2"/>
  <c r="G608" i="2"/>
  <c r="B609" i="2"/>
  <c r="J609" i="2"/>
  <c r="E610" i="2"/>
  <c r="M610" i="2"/>
  <c r="F613" i="2"/>
  <c r="I614" i="2"/>
  <c r="D615" i="2"/>
  <c r="L615" i="2"/>
  <c r="G616" i="2"/>
  <c r="B617" i="2"/>
  <c r="J617" i="2"/>
  <c r="E618" i="2"/>
  <c r="M618" i="2"/>
  <c r="F621" i="2"/>
  <c r="I622" i="2"/>
  <c r="D623" i="2"/>
  <c r="L623" i="2"/>
  <c r="G624" i="2"/>
  <c r="B625" i="2"/>
  <c r="J625" i="2"/>
  <c r="E626" i="2"/>
  <c r="M626" i="2"/>
  <c r="F629" i="2"/>
  <c r="I630" i="2"/>
  <c r="D631" i="2"/>
  <c r="L631" i="2"/>
  <c r="G632" i="2"/>
  <c r="B633" i="2"/>
  <c r="J633" i="2"/>
  <c r="E634" i="2"/>
  <c r="M634" i="2"/>
  <c r="I638" i="2"/>
  <c r="D639" i="2"/>
  <c r="L639" i="2"/>
  <c r="G640" i="2"/>
  <c r="B641" i="2"/>
  <c r="J641" i="2"/>
  <c r="E642" i="2"/>
  <c r="M642" i="2"/>
  <c r="I646" i="2"/>
  <c r="D647" i="2"/>
  <c r="L647" i="2"/>
  <c r="G648" i="2"/>
  <c r="B649" i="2"/>
  <c r="J649" i="2"/>
  <c r="E650" i="2"/>
  <c r="M650" i="2"/>
  <c r="I654" i="2"/>
  <c r="D655" i="2"/>
  <c r="L655" i="2"/>
  <c r="G656" i="2"/>
  <c r="B657" i="2"/>
  <c r="J657" i="2"/>
  <c r="E658" i="2"/>
  <c r="M658" i="2"/>
  <c r="I662" i="2"/>
  <c r="D663" i="2"/>
  <c r="L663" i="2"/>
  <c r="G664" i="2"/>
  <c r="B665" i="2"/>
  <c r="J665" i="2"/>
  <c r="E666" i="2"/>
  <c r="M666" i="2"/>
  <c r="I670" i="2"/>
  <c r="D671" i="2"/>
  <c r="L671" i="2"/>
  <c r="G672" i="2"/>
  <c r="B673" i="2"/>
  <c r="J673" i="2"/>
  <c r="E674" i="2"/>
  <c r="M674" i="2"/>
  <c r="I678" i="2"/>
  <c r="D679" i="2"/>
  <c r="L679" i="2"/>
  <c r="G680" i="2"/>
  <c r="B681" i="2"/>
  <c r="J681" i="2"/>
  <c r="E682" i="2"/>
  <c r="M682" i="2"/>
  <c r="I686" i="2"/>
  <c r="D687" i="2"/>
  <c r="L687" i="2"/>
  <c r="G688" i="2"/>
  <c r="B689" i="2"/>
  <c r="J689" i="2"/>
  <c r="E690" i="2"/>
  <c r="M690" i="2"/>
  <c r="I694" i="2"/>
  <c r="D695" i="2"/>
  <c r="L695" i="2"/>
  <c r="G696" i="2"/>
  <c r="B697" i="2"/>
  <c r="J697" i="2"/>
  <c r="E698" i="2"/>
  <c r="M698" i="2"/>
  <c r="I702" i="2"/>
  <c r="D703" i="2"/>
  <c r="L703" i="2"/>
  <c r="G704" i="2"/>
  <c r="B705" i="2"/>
  <c r="J705" i="2"/>
  <c r="E706" i="2"/>
  <c r="M706" i="2"/>
  <c r="I710" i="2"/>
  <c r="D711" i="2"/>
  <c r="L711" i="2"/>
  <c r="G712" i="2"/>
  <c r="B713" i="2"/>
  <c r="J713" i="2"/>
  <c r="E714" i="2"/>
  <c r="M714" i="2"/>
  <c r="I718" i="2"/>
  <c r="D719" i="2"/>
  <c r="L719" i="2"/>
  <c r="G720" i="2"/>
  <c r="B721" i="2"/>
  <c r="J721" i="2"/>
  <c r="E722" i="2"/>
  <c r="M722" i="2"/>
  <c r="I726" i="2"/>
  <c r="D727" i="2"/>
  <c r="L727" i="2"/>
  <c r="G728" i="2"/>
  <c r="B729" i="2"/>
  <c r="J729" i="2"/>
  <c r="E730" i="2"/>
  <c r="M730" i="2"/>
  <c r="I734" i="2"/>
  <c r="D735" i="2"/>
  <c r="L735" i="2"/>
  <c r="G736" i="2"/>
  <c r="B737" i="2"/>
  <c r="J737" i="2"/>
  <c r="E738" i="2"/>
  <c r="M738" i="2"/>
  <c r="I742" i="2"/>
  <c r="D743" i="2"/>
  <c r="L743" i="2"/>
  <c r="G744" i="2"/>
  <c r="B745" i="2"/>
  <c r="J745" i="2"/>
  <c r="E746" i="2"/>
  <c r="M746" i="2"/>
  <c r="I750" i="2"/>
  <c r="D751" i="2"/>
  <c r="L751" i="2"/>
  <c r="G752" i="2"/>
  <c r="B753" i="2"/>
  <c r="J753" i="2"/>
  <c r="E754" i="2"/>
  <c r="M754" i="2"/>
  <c r="I758" i="2"/>
  <c r="D759" i="2"/>
  <c r="L759" i="2"/>
  <c r="G760" i="2"/>
  <c r="B761" i="2"/>
  <c r="J761" i="2"/>
  <c r="E762" i="2"/>
  <c r="M762" i="2"/>
  <c r="I766" i="2"/>
  <c r="D767" i="2"/>
  <c r="L767" i="2"/>
  <c r="G768" i="2"/>
  <c r="B769" i="2"/>
  <c r="J769" i="2"/>
  <c r="E770" i="2"/>
  <c r="M770" i="2"/>
  <c r="I774" i="2"/>
  <c r="D775" i="2"/>
  <c r="L775" i="2"/>
  <c r="G776" i="2"/>
  <c r="B777" i="2"/>
  <c r="J777" i="2"/>
  <c r="E778" i="2"/>
  <c r="M778" i="2"/>
  <c r="I782" i="2"/>
  <c r="D783" i="2"/>
  <c r="L783" i="2"/>
  <c r="G784" i="2"/>
  <c r="B785" i="2"/>
  <c r="J785" i="2"/>
  <c r="E786" i="2"/>
  <c r="M786" i="2"/>
  <c r="F789" i="2"/>
  <c r="I790" i="2"/>
  <c r="D791" i="2"/>
  <c r="L791" i="2"/>
  <c r="G792" i="2"/>
  <c r="B793" i="2"/>
  <c r="J793" i="2"/>
  <c r="E794" i="2"/>
  <c r="M794" i="2"/>
  <c r="I798" i="2"/>
  <c r="D799" i="2"/>
  <c r="L799" i="2"/>
  <c r="G800" i="2"/>
  <c r="B801" i="2"/>
  <c r="J801" i="2"/>
  <c r="E802" i="2"/>
  <c r="M802" i="2"/>
  <c r="I806" i="2"/>
  <c r="D807" i="2"/>
  <c r="L807" i="2"/>
  <c r="G808" i="2"/>
  <c r="B809" i="2"/>
  <c r="J809" i="2"/>
  <c r="E810" i="2"/>
  <c r="M810" i="2"/>
  <c r="I814" i="2"/>
  <c r="D815" i="2"/>
  <c r="L815" i="2"/>
  <c r="G816" i="2"/>
  <c r="B817" i="2"/>
  <c r="J817" i="2"/>
  <c r="E818" i="2"/>
  <c r="M818" i="2"/>
  <c r="I822" i="2"/>
  <c r="D823" i="2"/>
  <c r="L823" i="2"/>
  <c r="G824" i="2"/>
  <c r="B825" i="2"/>
  <c r="J825" i="2"/>
  <c r="E826" i="2"/>
  <c r="M826" i="2"/>
  <c r="I830" i="2"/>
  <c r="D831" i="2"/>
  <c r="L831" i="2"/>
  <c r="G832" i="2"/>
  <c r="B833" i="2"/>
  <c r="J833" i="2"/>
  <c r="E834" i="2"/>
  <c r="M834" i="2"/>
  <c r="I838" i="2"/>
  <c r="D839" i="2"/>
  <c r="L839" i="2"/>
  <c r="G840" i="2"/>
  <c r="B841" i="2"/>
  <c r="J841" i="2"/>
  <c r="E842" i="2"/>
  <c r="M842" i="2"/>
  <c r="I846" i="2"/>
  <c r="D847" i="2"/>
  <c r="L847" i="2"/>
  <c r="G848" i="2"/>
  <c r="B849" i="2"/>
  <c r="J849" i="2"/>
  <c r="E850" i="2"/>
  <c r="M850" i="2"/>
  <c r="I854" i="2"/>
  <c r="D855" i="2"/>
  <c r="L855" i="2"/>
  <c r="G856" i="2"/>
  <c r="B857" i="2"/>
  <c r="J857" i="2"/>
  <c r="E858" i="2"/>
  <c r="M858" i="2"/>
  <c r="I862" i="2"/>
  <c r="D863" i="2"/>
  <c r="L863" i="2"/>
  <c r="G864" i="2"/>
  <c r="B865" i="2"/>
  <c r="J865" i="2"/>
  <c r="E866" i="2"/>
  <c r="M866" i="2"/>
  <c r="I870" i="2"/>
  <c r="D871" i="2"/>
  <c r="L871" i="2"/>
  <c r="G872" i="2"/>
  <c r="B873" i="2"/>
  <c r="J873" i="2"/>
  <c r="E874" i="2"/>
  <c r="M874" i="2"/>
  <c r="I878" i="2"/>
  <c r="D879" i="2"/>
  <c r="L879" i="2"/>
  <c r="G880" i="2"/>
  <c r="B881" i="2"/>
  <c r="J881" i="2"/>
  <c r="E882" i="2"/>
  <c r="M882" i="2"/>
  <c r="I886" i="2"/>
  <c r="D887" i="2"/>
  <c r="L887" i="2"/>
  <c r="G888" i="2"/>
  <c r="B889" i="2"/>
  <c r="J889" i="2"/>
  <c r="E890" i="2"/>
  <c r="M890" i="2"/>
  <c r="I894" i="2"/>
  <c r="D895" i="2"/>
  <c r="L895" i="2"/>
  <c r="G896" i="2"/>
  <c r="B897" i="2"/>
  <c r="J897" i="2"/>
  <c r="E898" i="2"/>
  <c r="M898" i="2"/>
  <c r="I902" i="2"/>
  <c r="D903" i="2"/>
  <c r="L903" i="2"/>
  <c r="G904" i="2"/>
  <c r="B905" i="2"/>
  <c r="J905" i="2"/>
  <c r="E906" i="2"/>
  <c r="M906" i="2"/>
  <c r="I910" i="2"/>
  <c r="D911" i="2"/>
  <c r="L911" i="2"/>
  <c r="G912" i="2"/>
  <c r="B913" i="2"/>
  <c r="J913" i="2"/>
  <c r="E914" i="2"/>
  <c r="M914" i="2"/>
  <c r="I918" i="2"/>
  <c r="D919" i="2"/>
  <c r="L919" i="2"/>
  <c r="G920" i="2"/>
  <c r="B921" i="2"/>
  <c r="J921" i="2"/>
  <c r="E922" i="2"/>
  <c r="M922" i="2"/>
  <c r="I926" i="2"/>
  <c r="D927" i="2"/>
  <c r="L927" i="2"/>
  <c r="G928" i="2"/>
  <c r="B929" i="2"/>
  <c r="J929" i="2"/>
  <c r="E930" i="2"/>
  <c r="M930" i="2"/>
  <c r="I934" i="2"/>
  <c r="D935" i="2"/>
  <c r="L935" i="2"/>
  <c r="G936" i="2"/>
  <c r="B937" i="2"/>
  <c r="J937" i="2"/>
  <c r="E938" i="2"/>
  <c r="M938" i="2"/>
  <c r="I942" i="2"/>
  <c r="D943" i="2"/>
  <c r="L943" i="2"/>
  <c r="G944" i="2"/>
  <c r="B945" i="2"/>
  <c r="J945" i="2"/>
  <c r="E946" i="2"/>
  <c r="M946" i="2"/>
  <c r="I950" i="2"/>
  <c r="D951" i="2"/>
  <c r="L951" i="2"/>
  <c r="G952" i="2"/>
  <c r="B953" i="2"/>
  <c r="J953" i="2"/>
  <c r="E954" i="2"/>
  <c r="M954" i="2"/>
  <c r="I958" i="2"/>
  <c r="D959" i="2"/>
  <c r="L959" i="2"/>
  <c r="G960" i="2"/>
  <c r="B961" i="2"/>
  <c r="J961" i="2"/>
  <c r="E962" i="2"/>
  <c r="M962" i="2"/>
  <c r="I966" i="2"/>
  <c r="D967" i="2"/>
  <c r="L967" i="2"/>
  <c r="G968" i="2"/>
  <c r="B969" i="2"/>
  <c r="J969" i="2"/>
  <c r="E970" i="2"/>
  <c r="M970" i="2"/>
  <c r="I974" i="2"/>
  <c r="D975" i="2"/>
  <c r="L975" i="2"/>
  <c r="G976" i="2"/>
  <c r="B977" i="2"/>
  <c r="J977" i="2"/>
  <c r="E978" i="2"/>
  <c r="M978" i="2"/>
  <c r="I982" i="2"/>
  <c r="D983" i="2"/>
  <c r="L983" i="2"/>
  <c r="G984" i="2"/>
  <c r="B985" i="2"/>
  <c r="J985" i="2"/>
  <c r="E986" i="2"/>
  <c r="M986" i="2"/>
  <c r="I990" i="2"/>
  <c r="D991" i="2"/>
  <c r="L991" i="2"/>
  <c r="G992" i="2"/>
  <c r="B993" i="2"/>
  <c r="J993" i="2"/>
  <c r="E994" i="2"/>
  <c r="M994" i="2"/>
  <c r="I998" i="2"/>
  <c r="D999" i="2"/>
  <c r="L999" i="2"/>
  <c r="G1000" i="2"/>
  <c r="B2" i="3"/>
  <c r="J2" i="3"/>
  <c r="E3" i="3"/>
  <c r="M3" i="3"/>
  <c r="I7" i="3"/>
  <c r="D8" i="3"/>
  <c r="L8" i="3"/>
  <c r="G9" i="3"/>
  <c r="B10" i="3"/>
  <c r="J10" i="3"/>
  <c r="E11" i="3"/>
  <c r="M11" i="3"/>
  <c r="I15" i="3"/>
  <c r="D16" i="3"/>
  <c r="L16" i="3"/>
  <c r="G17" i="3"/>
  <c r="B18" i="3"/>
  <c r="J18" i="3"/>
  <c r="E19" i="3"/>
  <c r="M19" i="3"/>
  <c r="I23" i="3"/>
  <c r="D24" i="3"/>
  <c r="L24" i="3"/>
  <c r="G25" i="3"/>
  <c r="B26" i="3"/>
  <c r="J26" i="3"/>
  <c r="E27" i="3"/>
  <c r="M27" i="3"/>
  <c r="I31" i="3"/>
  <c r="D32" i="3"/>
  <c r="L32" i="3"/>
  <c r="G33" i="3"/>
  <c r="B34" i="3"/>
  <c r="J34" i="3"/>
  <c r="E35" i="3"/>
  <c r="M35" i="3"/>
  <c r="I39" i="3"/>
  <c r="D40" i="3"/>
  <c r="L40" i="3"/>
  <c r="G41" i="3"/>
  <c r="B42" i="3"/>
  <c r="J42" i="3"/>
  <c r="E43" i="3"/>
  <c r="M43" i="3"/>
  <c r="I47" i="3"/>
  <c r="D48" i="3"/>
  <c r="L48" i="3"/>
  <c r="G49" i="3"/>
  <c r="B50" i="3"/>
  <c r="J50" i="3"/>
  <c r="E51" i="3"/>
  <c r="M51" i="3"/>
  <c r="I55" i="3"/>
  <c r="D56" i="3"/>
  <c r="L56" i="3"/>
  <c r="G57" i="3"/>
  <c r="B58" i="3"/>
  <c r="J58" i="3"/>
  <c r="E59" i="3"/>
  <c r="M59" i="3"/>
  <c r="I63" i="3"/>
  <c r="D64" i="3"/>
  <c r="L64" i="3"/>
  <c r="G66" i="3"/>
  <c r="D67" i="3"/>
  <c r="B68" i="3"/>
  <c r="M68" i="3"/>
  <c r="G72" i="3"/>
  <c r="L72" i="3"/>
  <c r="D72" i="3"/>
  <c r="K72" i="3"/>
  <c r="G74" i="3"/>
  <c r="D75" i="3"/>
  <c r="B76" i="3"/>
  <c r="M76" i="3"/>
  <c r="F81" i="3"/>
  <c r="B83" i="3"/>
  <c r="L83" i="3"/>
  <c r="H89" i="3"/>
  <c r="H90" i="3"/>
  <c r="G91" i="3"/>
  <c r="L121" i="3"/>
  <c r="D121" i="3"/>
  <c r="J121" i="3"/>
  <c r="B121" i="3"/>
  <c r="G121" i="3"/>
  <c r="G122" i="3"/>
  <c r="M122" i="3"/>
  <c r="E122" i="3"/>
  <c r="J122" i="3"/>
  <c r="B122" i="3"/>
  <c r="J123" i="3"/>
  <c r="B123" i="3"/>
  <c r="H123" i="3"/>
  <c r="M123" i="3"/>
  <c r="E123" i="3"/>
  <c r="M124" i="3"/>
  <c r="E124" i="3"/>
  <c r="K124" i="3"/>
  <c r="C124" i="3"/>
  <c r="H124" i="3"/>
  <c r="H125" i="3"/>
  <c r="F125" i="3"/>
  <c r="K125" i="3"/>
  <c r="C125" i="3"/>
  <c r="M125" i="3"/>
  <c r="L129" i="3"/>
  <c r="D129" i="3"/>
  <c r="J129" i="3"/>
  <c r="B129" i="3"/>
  <c r="G129" i="3"/>
  <c r="G130" i="3"/>
  <c r="M130" i="3"/>
  <c r="E130" i="3"/>
  <c r="J130" i="3"/>
  <c r="B130" i="3"/>
  <c r="J131" i="3"/>
  <c r="B131" i="3"/>
  <c r="H131" i="3"/>
  <c r="M131" i="3"/>
  <c r="E131" i="3"/>
  <c r="M132" i="3"/>
  <c r="E132" i="3"/>
  <c r="K132" i="3"/>
  <c r="C132" i="3"/>
  <c r="H132" i="3"/>
  <c r="H133" i="3"/>
  <c r="F133" i="3"/>
  <c r="K133" i="3"/>
  <c r="C133" i="3"/>
  <c r="M133" i="3"/>
  <c r="C137" i="3"/>
  <c r="C138" i="3"/>
  <c r="C139" i="3"/>
  <c r="B140" i="3"/>
  <c r="B141" i="3"/>
  <c r="F153" i="3"/>
  <c r="F154" i="3"/>
  <c r="F155" i="3"/>
  <c r="F156" i="3"/>
  <c r="E157" i="3"/>
  <c r="L177" i="3"/>
  <c r="D177" i="3"/>
  <c r="J177" i="3"/>
  <c r="B177" i="3"/>
  <c r="G177" i="3"/>
  <c r="G178" i="3"/>
  <c r="M178" i="3"/>
  <c r="E178" i="3"/>
  <c r="J178" i="3"/>
  <c r="B178" i="3"/>
  <c r="J179" i="3"/>
  <c r="B179" i="3"/>
  <c r="H179" i="3"/>
  <c r="M179" i="3"/>
  <c r="E179" i="3"/>
  <c r="M180" i="3"/>
  <c r="E180" i="3"/>
  <c r="K180" i="3"/>
  <c r="C180" i="3"/>
  <c r="H180" i="3"/>
  <c r="H181" i="3"/>
  <c r="F181" i="3"/>
  <c r="K181" i="3"/>
  <c r="C181" i="3"/>
  <c r="M181" i="3"/>
  <c r="H194" i="3"/>
  <c r="H197" i="3"/>
  <c r="F197" i="3"/>
  <c r="M197" i="3"/>
  <c r="E197" i="3"/>
  <c r="K197" i="3"/>
  <c r="C197" i="3"/>
  <c r="B205" i="3"/>
  <c r="M212" i="3"/>
  <c r="E212" i="3"/>
  <c r="K212" i="3"/>
  <c r="C212" i="3"/>
  <c r="J212" i="3"/>
  <c r="B212" i="3"/>
  <c r="H212" i="3"/>
  <c r="J219" i="3"/>
  <c r="B219" i="3"/>
  <c r="H219" i="3"/>
  <c r="G219" i="3"/>
  <c r="M219" i="3"/>
  <c r="E219" i="3"/>
  <c r="D220" i="3"/>
  <c r="G221" i="3"/>
  <c r="C227" i="3"/>
  <c r="C235" i="3"/>
  <c r="C243" i="3"/>
  <c r="H253" i="3"/>
  <c r="G253" i="3"/>
  <c r="F253" i="3"/>
  <c r="M253" i="3"/>
  <c r="E253" i="3"/>
  <c r="K253" i="3"/>
  <c r="C253" i="3"/>
  <c r="F260" i="3"/>
  <c r="C266" i="3"/>
  <c r="M284" i="3"/>
  <c r="E284" i="3"/>
  <c r="L284" i="3"/>
  <c r="D284" i="3"/>
  <c r="K284" i="3"/>
  <c r="C284" i="3"/>
  <c r="J284" i="3"/>
  <c r="B284" i="3"/>
  <c r="H284" i="3"/>
  <c r="G290" i="3"/>
  <c r="F290" i="3"/>
  <c r="M290" i="3"/>
  <c r="E290" i="3"/>
  <c r="L290" i="3"/>
  <c r="D290" i="3"/>
  <c r="J290" i="3"/>
  <c r="B290" i="3"/>
  <c r="B293" i="3"/>
  <c r="G314" i="3"/>
  <c r="F314" i="3"/>
  <c r="M314" i="3"/>
  <c r="E314" i="3"/>
  <c r="L314" i="3"/>
  <c r="D314" i="3"/>
  <c r="J314" i="3"/>
  <c r="B314" i="3"/>
  <c r="B317" i="3"/>
  <c r="M332" i="3"/>
  <c r="E332" i="3"/>
  <c r="L332" i="3"/>
  <c r="D332" i="3"/>
  <c r="K332" i="3"/>
  <c r="C332" i="3"/>
  <c r="J332" i="3"/>
  <c r="B332" i="3"/>
  <c r="H332" i="3"/>
  <c r="C338" i="3"/>
  <c r="L343" i="3"/>
  <c r="D343" i="3"/>
  <c r="I343" i="3"/>
  <c r="H343" i="3"/>
  <c r="G343" i="3"/>
  <c r="F343" i="3"/>
  <c r="M343" i="3"/>
  <c r="C343" i="3"/>
  <c r="G360" i="3"/>
  <c r="E360" i="3"/>
  <c r="M360" i="3"/>
  <c r="D360" i="3"/>
  <c r="L360" i="3"/>
  <c r="C360" i="3"/>
  <c r="K360" i="3"/>
  <c r="B360" i="3"/>
  <c r="I360" i="3"/>
  <c r="D364" i="3"/>
  <c r="G369" i="3"/>
  <c r="H371" i="3"/>
  <c r="G371" i="3"/>
  <c r="F371" i="3"/>
  <c r="E371" i="3"/>
  <c r="M371" i="3"/>
  <c r="D371" i="3"/>
  <c r="K371" i="3"/>
  <c r="B371" i="3"/>
  <c r="F379" i="3"/>
  <c r="K396" i="3"/>
  <c r="C396" i="3"/>
  <c r="J396" i="3"/>
  <c r="B396" i="3"/>
  <c r="L396" i="3"/>
  <c r="I396" i="3"/>
  <c r="H396" i="3"/>
  <c r="G396" i="3"/>
  <c r="E396" i="3"/>
  <c r="H420" i="3"/>
  <c r="M426" i="3"/>
  <c r="E426" i="3"/>
  <c r="L426" i="3"/>
  <c r="D426" i="3"/>
  <c r="J426" i="3"/>
  <c r="I426" i="3"/>
  <c r="H426" i="3"/>
  <c r="G426" i="3"/>
  <c r="C426" i="3"/>
  <c r="H450" i="3"/>
  <c r="C472" i="3"/>
  <c r="H483" i="3"/>
  <c r="G483" i="3"/>
  <c r="J483" i="3"/>
  <c r="I483" i="3"/>
  <c r="F483" i="3"/>
  <c r="E483" i="3"/>
  <c r="M483" i="3"/>
  <c r="C483" i="3"/>
  <c r="G488" i="3"/>
  <c r="F488" i="3"/>
  <c r="E488" i="3"/>
  <c r="D488" i="3"/>
  <c r="M488" i="3"/>
  <c r="C488" i="3"/>
  <c r="L488" i="3"/>
  <c r="B488" i="3"/>
  <c r="J488" i="3"/>
  <c r="H495" i="3"/>
  <c r="M556" i="3"/>
  <c r="E556" i="3"/>
  <c r="K556" i="3"/>
  <c r="C556" i="3"/>
  <c r="J556" i="3"/>
  <c r="B556" i="3"/>
  <c r="L556" i="3"/>
  <c r="I556" i="3"/>
  <c r="H556" i="3"/>
  <c r="G556" i="3"/>
  <c r="D556" i="3"/>
  <c r="D563" i="3"/>
  <c r="I578" i="3"/>
  <c r="I642" i="3"/>
  <c r="G666" i="3"/>
  <c r="F666" i="3"/>
  <c r="M666" i="3"/>
  <c r="E666" i="3"/>
  <c r="L666" i="3"/>
  <c r="D666" i="3"/>
  <c r="K666" i="3"/>
  <c r="J666" i="3"/>
  <c r="I666" i="3"/>
  <c r="C666" i="3"/>
  <c r="G698" i="3"/>
  <c r="F698" i="3"/>
  <c r="M698" i="3"/>
  <c r="E698" i="3"/>
  <c r="L698" i="3"/>
  <c r="D698" i="3"/>
  <c r="K698" i="3"/>
  <c r="J698" i="3"/>
  <c r="I698" i="3"/>
  <c r="C698" i="3"/>
  <c r="M748" i="3"/>
  <c r="E748" i="3"/>
  <c r="L748" i="3"/>
  <c r="D748" i="3"/>
  <c r="K748" i="3"/>
  <c r="C748" i="3"/>
  <c r="J748" i="3"/>
  <c r="B748" i="3"/>
  <c r="I748" i="3"/>
  <c r="H748" i="3"/>
  <c r="G748" i="3"/>
  <c r="F748" i="3"/>
  <c r="G772" i="3"/>
  <c r="B794" i="3"/>
  <c r="F799" i="3"/>
  <c r="M799" i="3"/>
  <c r="E799" i="3"/>
  <c r="L799" i="3"/>
  <c r="D799" i="3"/>
  <c r="K799" i="3"/>
  <c r="C799" i="3"/>
  <c r="J799" i="3"/>
  <c r="I799" i="3"/>
  <c r="G799" i="3"/>
  <c r="H845" i="3"/>
  <c r="G845" i="3"/>
  <c r="F845" i="3"/>
  <c r="M845" i="3"/>
  <c r="E845" i="3"/>
  <c r="L845" i="3"/>
  <c r="K845" i="3"/>
  <c r="J845" i="3"/>
  <c r="I845" i="3"/>
  <c r="C845" i="3"/>
  <c r="B895" i="3"/>
  <c r="F919" i="3"/>
  <c r="M919" i="3"/>
  <c r="E919" i="3"/>
  <c r="L919" i="3"/>
  <c r="D919" i="3"/>
  <c r="K919" i="3"/>
  <c r="C919" i="3"/>
  <c r="H919" i="3"/>
  <c r="J919" i="3"/>
  <c r="I919" i="3"/>
  <c r="B919" i="3"/>
  <c r="D933" i="3"/>
  <c r="H964" i="3"/>
  <c r="H30" i="4"/>
  <c r="G30" i="4"/>
  <c r="F30" i="4"/>
  <c r="M30" i="4"/>
  <c r="E30" i="4"/>
  <c r="J30" i="4"/>
  <c r="B30" i="4"/>
  <c r="K30" i="4"/>
  <c r="I30" i="4"/>
  <c r="D30" i="4"/>
  <c r="C30" i="4"/>
  <c r="G40" i="4"/>
  <c r="F216" i="4"/>
  <c r="M216" i="4"/>
  <c r="E216" i="4"/>
  <c r="J216" i="4"/>
  <c r="I216" i="4"/>
  <c r="H216" i="4"/>
  <c r="G216" i="4"/>
  <c r="D216" i="4"/>
  <c r="L216" i="4"/>
  <c r="B216" i="4"/>
  <c r="K216" i="4"/>
  <c r="K251" i="4"/>
  <c r="M535" i="4"/>
  <c r="E535" i="4"/>
  <c r="L535" i="4"/>
  <c r="D535" i="4"/>
  <c r="G535" i="4"/>
  <c r="F535" i="4"/>
  <c r="C535" i="4"/>
  <c r="B535" i="4"/>
  <c r="J535" i="4"/>
  <c r="I535" i="4"/>
  <c r="K535" i="4"/>
  <c r="H535" i="4"/>
  <c r="I368" i="2"/>
  <c r="I376" i="2"/>
  <c r="I384" i="2"/>
  <c r="I392" i="2"/>
  <c r="I400" i="2"/>
  <c r="I408" i="2"/>
  <c r="I416" i="2"/>
  <c r="I424" i="2"/>
  <c r="I432" i="2"/>
  <c r="I440" i="2"/>
  <c r="I448" i="2"/>
  <c r="I456" i="2"/>
  <c r="I464" i="2"/>
  <c r="F471" i="2"/>
  <c r="I472" i="2"/>
  <c r="F479" i="2"/>
  <c r="I480" i="2"/>
  <c r="F487" i="2"/>
  <c r="I488" i="2"/>
  <c r="F495" i="2"/>
  <c r="I496" i="2"/>
  <c r="F503" i="2"/>
  <c r="I504" i="2"/>
  <c r="F511" i="2"/>
  <c r="I512" i="2"/>
  <c r="F519" i="2"/>
  <c r="I520" i="2"/>
  <c r="F527" i="2"/>
  <c r="I528" i="2"/>
  <c r="D529" i="2"/>
  <c r="L529" i="2"/>
  <c r="F535" i="2"/>
  <c r="I536" i="2"/>
  <c r="D537" i="2"/>
  <c r="L537" i="2"/>
  <c r="F543" i="2"/>
  <c r="I544" i="2"/>
  <c r="D545" i="2"/>
  <c r="L545" i="2"/>
  <c r="F551" i="2"/>
  <c r="I552" i="2"/>
  <c r="D553" i="2"/>
  <c r="L553" i="2"/>
  <c r="F559" i="2"/>
  <c r="I560" i="2"/>
  <c r="D561" i="2"/>
  <c r="L561" i="2"/>
  <c r="F567" i="2"/>
  <c r="I568" i="2"/>
  <c r="D569" i="2"/>
  <c r="L569" i="2"/>
  <c r="F575" i="2"/>
  <c r="I576" i="2"/>
  <c r="D577" i="2"/>
  <c r="L577" i="2"/>
  <c r="F583" i="2"/>
  <c r="I584" i="2"/>
  <c r="D585" i="2"/>
  <c r="L585" i="2"/>
  <c r="F591" i="2"/>
  <c r="I592" i="2"/>
  <c r="D593" i="2"/>
  <c r="L593" i="2"/>
  <c r="F599" i="2"/>
  <c r="I600" i="2"/>
  <c r="D601" i="2"/>
  <c r="L601" i="2"/>
  <c r="F607" i="2"/>
  <c r="I608" i="2"/>
  <c r="D609" i="2"/>
  <c r="L609" i="2"/>
  <c r="F615" i="2"/>
  <c r="I616" i="2"/>
  <c r="D617" i="2"/>
  <c r="L617" i="2"/>
  <c r="F623" i="2"/>
  <c r="I624" i="2"/>
  <c r="D625" i="2"/>
  <c r="L625" i="2"/>
  <c r="F631" i="2"/>
  <c r="I632" i="2"/>
  <c r="D633" i="2"/>
  <c r="L633" i="2"/>
  <c r="F639" i="2"/>
  <c r="I640" i="2"/>
  <c r="D641" i="2"/>
  <c r="L641" i="2"/>
  <c r="F647" i="2"/>
  <c r="I648" i="2"/>
  <c r="D649" i="2"/>
  <c r="L649" i="2"/>
  <c r="F655" i="2"/>
  <c r="I656" i="2"/>
  <c r="D657" i="2"/>
  <c r="L657" i="2"/>
  <c r="F663" i="2"/>
  <c r="I664" i="2"/>
  <c r="D665" i="2"/>
  <c r="L665" i="2"/>
  <c r="F671" i="2"/>
  <c r="I672" i="2"/>
  <c r="D673" i="2"/>
  <c r="L673" i="2"/>
  <c r="F679" i="2"/>
  <c r="I680" i="2"/>
  <c r="D681" i="2"/>
  <c r="L681" i="2"/>
  <c r="F687" i="2"/>
  <c r="I688" i="2"/>
  <c r="D689" i="2"/>
  <c r="L689" i="2"/>
  <c r="F695" i="2"/>
  <c r="I696" i="2"/>
  <c r="D697" i="2"/>
  <c r="L697" i="2"/>
  <c r="F703" i="2"/>
  <c r="I704" i="2"/>
  <c r="D705" i="2"/>
  <c r="L705" i="2"/>
  <c r="F711" i="2"/>
  <c r="I712" i="2"/>
  <c r="D713" i="2"/>
  <c r="L713" i="2"/>
  <c r="F719" i="2"/>
  <c r="I720" i="2"/>
  <c r="D721" i="2"/>
  <c r="L721" i="2"/>
  <c r="F727" i="2"/>
  <c r="I728" i="2"/>
  <c r="D729" i="2"/>
  <c r="L729" i="2"/>
  <c r="F735" i="2"/>
  <c r="I736" i="2"/>
  <c r="D737" i="2"/>
  <c r="L737" i="2"/>
  <c r="F743" i="2"/>
  <c r="I744" i="2"/>
  <c r="D745" i="2"/>
  <c r="L745" i="2"/>
  <c r="F751" i="2"/>
  <c r="I752" i="2"/>
  <c r="D753" i="2"/>
  <c r="L753" i="2"/>
  <c r="F759" i="2"/>
  <c r="I760" i="2"/>
  <c r="D761" i="2"/>
  <c r="L761" i="2"/>
  <c r="F767" i="2"/>
  <c r="I768" i="2"/>
  <c r="D769" i="2"/>
  <c r="L769" i="2"/>
  <c r="F775" i="2"/>
  <c r="I776" i="2"/>
  <c r="D777" i="2"/>
  <c r="L777" i="2"/>
  <c r="F783" i="2"/>
  <c r="I784" i="2"/>
  <c r="D785" i="2"/>
  <c r="L785" i="2"/>
  <c r="F791" i="2"/>
  <c r="I792" i="2"/>
  <c r="D793" i="2"/>
  <c r="L793" i="2"/>
  <c r="F799" i="2"/>
  <c r="I800" i="2"/>
  <c r="D801" i="2"/>
  <c r="L801" i="2"/>
  <c r="F807" i="2"/>
  <c r="I808" i="2"/>
  <c r="D809" i="2"/>
  <c r="L809" i="2"/>
  <c r="F815" i="2"/>
  <c r="I816" i="2"/>
  <c r="D817" i="2"/>
  <c r="L817" i="2"/>
  <c r="F823" i="2"/>
  <c r="I824" i="2"/>
  <c r="D825" i="2"/>
  <c r="L825" i="2"/>
  <c r="F831" i="2"/>
  <c r="I832" i="2"/>
  <c r="D833" i="2"/>
  <c r="L833" i="2"/>
  <c r="F839" i="2"/>
  <c r="I840" i="2"/>
  <c r="D841" i="2"/>
  <c r="L841" i="2"/>
  <c r="F847" i="2"/>
  <c r="I848" i="2"/>
  <c r="D849" i="2"/>
  <c r="L849" i="2"/>
  <c r="F855" i="2"/>
  <c r="I856" i="2"/>
  <c r="D857" i="2"/>
  <c r="L857" i="2"/>
  <c r="F863" i="2"/>
  <c r="I864" i="2"/>
  <c r="D865" i="2"/>
  <c r="L865" i="2"/>
  <c r="F871" i="2"/>
  <c r="I872" i="2"/>
  <c r="D873" i="2"/>
  <c r="L873" i="2"/>
  <c r="F879" i="2"/>
  <c r="I880" i="2"/>
  <c r="D881" i="2"/>
  <c r="L881" i="2"/>
  <c r="F887" i="2"/>
  <c r="I888" i="2"/>
  <c r="D889" i="2"/>
  <c r="L889" i="2"/>
  <c r="F895" i="2"/>
  <c r="I896" i="2"/>
  <c r="D897" i="2"/>
  <c r="L897" i="2"/>
  <c r="F903" i="2"/>
  <c r="I904" i="2"/>
  <c r="D905" i="2"/>
  <c r="L905" i="2"/>
  <c r="F911" i="2"/>
  <c r="I912" i="2"/>
  <c r="D913" i="2"/>
  <c r="L913" i="2"/>
  <c r="F919" i="2"/>
  <c r="I920" i="2"/>
  <c r="D921" i="2"/>
  <c r="L921" i="2"/>
  <c r="F927" i="2"/>
  <c r="I928" i="2"/>
  <c r="D929" i="2"/>
  <c r="L929" i="2"/>
  <c r="F935" i="2"/>
  <c r="I936" i="2"/>
  <c r="D937" i="2"/>
  <c r="L937" i="2"/>
  <c r="F943" i="2"/>
  <c r="I944" i="2"/>
  <c r="D945" i="2"/>
  <c r="L945" i="2"/>
  <c r="F951" i="2"/>
  <c r="I952" i="2"/>
  <c r="D953" i="2"/>
  <c r="L953" i="2"/>
  <c r="F959" i="2"/>
  <c r="I960" i="2"/>
  <c r="D961" i="2"/>
  <c r="L961" i="2"/>
  <c r="F967" i="2"/>
  <c r="I968" i="2"/>
  <c r="D969" i="2"/>
  <c r="L969" i="2"/>
  <c r="F975" i="2"/>
  <c r="I976" i="2"/>
  <c r="D977" i="2"/>
  <c r="L977" i="2"/>
  <c r="F983" i="2"/>
  <c r="I984" i="2"/>
  <c r="D985" i="2"/>
  <c r="L985" i="2"/>
  <c r="F991" i="2"/>
  <c r="I992" i="2"/>
  <c r="D993" i="2"/>
  <c r="L993" i="2"/>
  <c r="F999" i="2"/>
  <c r="I1000" i="2"/>
  <c r="D2" i="3"/>
  <c r="L2" i="3"/>
  <c r="F8" i="3"/>
  <c r="I9" i="3"/>
  <c r="D10" i="3"/>
  <c r="L10" i="3"/>
  <c r="F16" i="3"/>
  <c r="I17" i="3"/>
  <c r="D18" i="3"/>
  <c r="L18" i="3"/>
  <c r="F24" i="3"/>
  <c r="I25" i="3"/>
  <c r="D26" i="3"/>
  <c r="L26" i="3"/>
  <c r="F32" i="3"/>
  <c r="I33" i="3"/>
  <c r="D34" i="3"/>
  <c r="L34" i="3"/>
  <c r="F40" i="3"/>
  <c r="I41" i="3"/>
  <c r="D42" i="3"/>
  <c r="L42" i="3"/>
  <c r="F48" i="3"/>
  <c r="I49" i="3"/>
  <c r="D50" i="3"/>
  <c r="L50" i="3"/>
  <c r="F56" i="3"/>
  <c r="I57" i="3"/>
  <c r="D58" i="3"/>
  <c r="L58" i="3"/>
  <c r="F64" i="3"/>
  <c r="J65" i="3"/>
  <c r="B65" i="3"/>
  <c r="G65" i="3"/>
  <c r="L65" i="3"/>
  <c r="G67" i="3"/>
  <c r="E68" i="3"/>
  <c r="J73" i="3"/>
  <c r="B73" i="3"/>
  <c r="G73" i="3"/>
  <c r="L73" i="3"/>
  <c r="G75" i="3"/>
  <c r="E76" i="3"/>
  <c r="G80" i="3"/>
  <c r="L80" i="3"/>
  <c r="D80" i="3"/>
  <c r="K80" i="3"/>
  <c r="D83" i="3"/>
  <c r="L105" i="3"/>
  <c r="D105" i="3"/>
  <c r="J105" i="3"/>
  <c r="B105" i="3"/>
  <c r="G105" i="3"/>
  <c r="G106" i="3"/>
  <c r="M106" i="3"/>
  <c r="E106" i="3"/>
  <c r="J106" i="3"/>
  <c r="B106" i="3"/>
  <c r="J107" i="3"/>
  <c r="B107" i="3"/>
  <c r="H107" i="3"/>
  <c r="M107" i="3"/>
  <c r="E107" i="3"/>
  <c r="M108" i="3"/>
  <c r="E108" i="3"/>
  <c r="K108" i="3"/>
  <c r="C108" i="3"/>
  <c r="H108" i="3"/>
  <c r="H109" i="3"/>
  <c r="F109" i="3"/>
  <c r="K109" i="3"/>
  <c r="C109" i="3"/>
  <c r="M109" i="3"/>
  <c r="F137" i="3"/>
  <c r="F138" i="3"/>
  <c r="F139" i="3"/>
  <c r="F140" i="3"/>
  <c r="E141" i="3"/>
  <c r="I153" i="3"/>
  <c r="I154" i="3"/>
  <c r="I155" i="3"/>
  <c r="I156" i="3"/>
  <c r="I157" i="3"/>
  <c r="M196" i="3"/>
  <c r="E196" i="3"/>
  <c r="K196" i="3"/>
  <c r="C196" i="3"/>
  <c r="J196" i="3"/>
  <c r="B196" i="3"/>
  <c r="H196" i="3"/>
  <c r="J203" i="3"/>
  <c r="B203" i="3"/>
  <c r="H203" i="3"/>
  <c r="G203" i="3"/>
  <c r="M203" i="3"/>
  <c r="E203" i="3"/>
  <c r="G205" i="3"/>
  <c r="G218" i="3"/>
  <c r="M218" i="3"/>
  <c r="E218" i="3"/>
  <c r="L218" i="3"/>
  <c r="D218" i="3"/>
  <c r="J218" i="3"/>
  <c r="B218" i="3"/>
  <c r="G220" i="3"/>
  <c r="J221" i="3"/>
  <c r="F227" i="3"/>
  <c r="F235" i="3"/>
  <c r="F243" i="3"/>
  <c r="I260" i="3"/>
  <c r="I266" i="3"/>
  <c r="M268" i="3"/>
  <c r="E268" i="3"/>
  <c r="L268" i="3"/>
  <c r="D268" i="3"/>
  <c r="K268" i="3"/>
  <c r="C268" i="3"/>
  <c r="J268" i="3"/>
  <c r="B268" i="3"/>
  <c r="H268" i="3"/>
  <c r="G274" i="3"/>
  <c r="F274" i="3"/>
  <c r="M274" i="3"/>
  <c r="E274" i="3"/>
  <c r="L274" i="3"/>
  <c r="D274" i="3"/>
  <c r="J274" i="3"/>
  <c r="B274" i="3"/>
  <c r="I293" i="3"/>
  <c r="H301" i="3"/>
  <c r="G301" i="3"/>
  <c r="F301" i="3"/>
  <c r="M301" i="3"/>
  <c r="E301" i="3"/>
  <c r="K301" i="3"/>
  <c r="C301" i="3"/>
  <c r="I317" i="3"/>
  <c r="H325" i="3"/>
  <c r="G325" i="3"/>
  <c r="F325" i="3"/>
  <c r="M325" i="3"/>
  <c r="E325" i="3"/>
  <c r="K325" i="3"/>
  <c r="C325" i="3"/>
  <c r="I338" i="3"/>
  <c r="M340" i="3"/>
  <c r="E340" i="3"/>
  <c r="L340" i="3"/>
  <c r="D340" i="3"/>
  <c r="K340" i="3"/>
  <c r="C340" i="3"/>
  <c r="J340" i="3"/>
  <c r="B340" i="3"/>
  <c r="H340" i="3"/>
  <c r="J364" i="3"/>
  <c r="K369" i="3"/>
  <c r="K379" i="3"/>
  <c r="H419" i="3"/>
  <c r="G419" i="3"/>
  <c r="J419" i="3"/>
  <c r="I419" i="3"/>
  <c r="F419" i="3"/>
  <c r="E419" i="3"/>
  <c r="M419" i="3"/>
  <c r="C419" i="3"/>
  <c r="M420" i="3"/>
  <c r="G424" i="3"/>
  <c r="F424" i="3"/>
  <c r="E424" i="3"/>
  <c r="D424" i="3"/>
  <c r="M424" i="3"/>
  <c r="C424" i="3"/>
  <c r="L424" i="3"/>
  <c r="B424" i="3"/>
  <c r="J424" i="3"/>
  <c r="L431" i="3"/>
  <c r="D431" i="3"/>
  <c r="K431" i="3"/>
  <c r="C431" i="3"/>
  <c r="G431" i="3"/>
  <c r="F431" i="3"/>
  <c r="E431" i="3"/>
  <c r="B431" i="3"/>
  <c r="J431" i="3"/>
  <c r="K450" i="3"/>
  <c r="F461" i="3"/>
  <c r="M461" i="3"/>
  <c r="E461" i="3"/>
  <c r="I461" i="3"/>
  <c r="H461" i="3"/>
  <c r="G461" i="3"/>
  <c r="D461" i="3"/>
  <c r="L461" i="3"/>
  <c r="B461" i="3"/>
  <c r="G464" i="3"/>
  <c r="F464" i="3"/>
  <c r="J464" i="3"/>
  <c r="I464" i="3"/>
  <c r="H464" i="3"/>
  <c r="E464" i="3"/>
  <c r="M464" i="3"/>
  <c r="C464" i="3"/>
  <c r="K472" i="3"/>
  <c r="F477" i="3"/>
  <c r="M477" i="3"/>
  <c r="E477" i="3"/>
  <c r="G477" i="3"/>
  <c r="D477" i="3"/>
  <c r="C477" i="3"/>
  <c r="L477" i="3"/>
  <c r="B477" i="3"/>
  <c r="J477" i="3"/>
  <c r="L479" i="3"/>
  <c r="D479" i="3"/>
  <c r="K479" i="3"/>
  <c r="C479" i="3"/>
  <c r="I479" i="3"/>
  <c r="H479" i="3"/>
  <c r="G479" i="3"/>
  <c r="F479" i="3"/>
  <c r="B479" i="3"/>
  <c r="H491" i="3"/>
  <c r="G491" i="3"/>
  <c r="I491" i="3"/>
  <c r="F491" i="3"/>
  <c r="E491" i="3"/>
  <c r="D491" i="3"/>
  <c r="L491" i="3"/>
  <c r="B491" i="3"/>
  <c r="M495" i="3"/>
  <c r="K524" i="3"/>
  <c r="C524" i="3"/>
  <c r="J524" i="3"/>
  <c r="B524" i="3"/>
  <c r="L524" i="3"/>
  <c r="I524" i="3"/>
  <c r="H524" i="3"/>
  <c r="G524" i="3"/>
  <c r="E524" i="3"/>
  <c r="F543" i="3"/>
  <c r="L543" i="3"/>
  <c r="D543" i="3"/>
  <c r="K543" i="3"/>
  <c r="C543" i="3"/>
  <c r="H543" i="3"/>
  <c r="G543" i="3"/>
  <c r="E543" i="3"/>
  <c r="B543" i="3"/>
  <c r="M543" i="3"/>
  <c r="H557" i="3"/>
  <c r="F557" i="3"/>
  <c r="M557" i="3"/>
  <c r="E557" i="3"/>
  <c r="K557" i="3"/>
  <c r="J557" i="3"/>
  <c r="I557" i="3"/>
  <c r="G557" i="3"/>
  <c r="C557" i="3"/>
  <c r="M563" i="3"/>
  <c r="J579" i="3"/>
  <c r="B579" i="3"/>
  <c r="H579" i="3"/>
  <c r="G579" i="3"/>
  <c r="F579" i="3"/>
  <c r="E579" i="3"/>
  <c r="D579" i="3"/>
  <c r="C579" i="3"/>
  <c r="L579" i="3"/>
  <c r="H581" i="3"/>
  <c r="F581" i="3"/>
  <c r="M581" i="3"/>
  <c r="E581" i="3"/>
  <c r="G581" i="3"/>
  <c r="D581" i="3"/>
  <c r="C581" i="3"/>
  <c r="B581" i="3"/>
  <c r="K581" i="3"/>
  <c r="F583" i="3"/>
  <c r="L583" i="3"/>
  <c r="D583" i="3"/>
  <c r="K583" i="3"/>
  <c r="C583" i="3"/>
  <c r="M583" i="3"/>
  <c r="J583" i="3"/>
  <c r="I583" i="3"/>
  <c r="H583" i="3"/>
  <c r="E583" i="3"/>
  <c r="M620" i="3"/>
  <c r="E620" i="3"/>
  <c r="K620" i="3"/>
  <c r="C620" i="3"/>
  <c r="J620" i="3"/>
  <c r="B620" i="3"/>
  <c r="L620" i="3"/>
  <c r="I620" i="3"/>
  <c r="H620" i="3"/>
  <c r="G620" i="3"/>
  <c r="D620" i="3"/>
  <c r="H629" i="3"/>
  <c r="F629" i="3"/>
  <c r="M629" i="3"/>
  <c r="E629" i="3"/>
  <c r="J629" i="3"/>
  <c r="I629" i="3"/>
  <c r="G629" i="3"/>
  <c r="D629" i="3"/>
  <c r="B629" i="3"/>
  <c r="J643" i="3"/>
  <c r="B643" i="3"/>
  <c r="H643" i="3"/>
  <c r="G643" i="3"/>
  <c r="F643" i="3"/>
  <c r="E643" i="3"/>
  <c r="D643" i="3"/>
  <c r="C643" i="3"/>
  <c r="L643" i="3"/>
  <c r="H645" i="3"/>
  <c r="F645" i="3"/>
  <c r="M645" i="3"/>
  <c r="E645" i="3"/>
  <c r="G645" i="3"/>
  <c r="D645" i="3"/>
  <c r="C645" i="3"/>
  <c r="B645" i="3"/>
  <c r="K645" i="3"/>
  <c r="F647" i="3"/>
  <c r="L647" i="3"/>
  <c r="D647" i="3"/>
  <c r="K647" i="3"/>
  <c r="C647" i="3"/>
  <c r="M647" i="3"/>
  <c r="J647" i="3"/>
  <c r="I647" i="3"/>
  <c r="H647" i="3"/>
  <c r="E647" i="3"/>
  <c r="M740" i="3"/>
  <c r="E740" i="3"/>
  <c r="L740" i="3"/>
  <c r="D740" i="3"/>
  <c r="K740" i="3"/>
  <c r="C740" i="3"/>
  <c r="J740" i="3"/>
  <c r="B740" i="3"/>
  <c r="I740" i="3"/>
  <c r="H740" i="3"/>
  <c r="F740" i="3"/>
  <c r="G762" i="3"/>
  <c r="F762" i="3"/>
  <c r="M762" i="3"/>
  <c r="E762" i="3"/>
  <c r="L762" i="3"/>
  <c r="D762" i="3"/>
  <c r="K762" i="3"/>
  <c r="J762" i="3"/>
  <c r="I762" i="3"/>
  <c r="C762" i="3"/>
  <c r="M812" i="3"/>
  <c r="E812" i="3"/>
  <c r="L812" i="3"/>
  <c r="D812" i="3"/>
  <c r="K812" i="3"/>
  <c r="C812" i="3"/>
  <c r="J812" i="3"/>
  <c r="B812" i="3"/>
  <c r="I812" i="3"/>
  <c r="H812" i="3"/>
  <c r="G812" i="3"/>
  <c r="F812" i="3"/>
  <c r="F863" i="3"/>
  <c r="M863" i="3"/>
  <c r="E863" i="3"/>
  <c r="L863" i="3"/>
  <c r="D863" i="3"/>
  <c r="K863" i="3"/>
  <c r="C863" i="3"/>
  <c r="J863" i="3"/>
  <c r="I863" i="3"/>
  <c r="G863" i="3"/>
  <c r="H957" i="3"/>
  <c r="G957" i="3"/>
  <c r="F957" i="3"/>
  <c r="M957" i="3"/>
  <c r="E957" i="3"/>
  <c r="J957" i="3"/>
  <c r="B957" i="3"/>
  <c r="L957" i="3"/>
  <c r="K957" i="3"/>
  <c r="D957" i="3"/>
  <c r="M980" i="3"/>
  <c r="E980" i="3"/>
  <c r="L980" i="3"/>
  <c r="D980" i="3"/>
  <c r="K980" i="3"/>
  <c r="C980" i="3"/>
  <c r="J980" i="3"/>
  <c r="B980" i="3"/>
  <c r="G980" i="3"/>
  <c r="I980" i="3"/>
  <c r="H980" i="3"/>
  <c r="F980" i="3"/>
  <c r="H14" i="4"/>
  <c r="G14" i="4"/>
  <c r="F14" i="4"/>
  <c r="M14" i="4"/>
  <c r="E14" i="4"/>
  <c r="J14" i="4"/>
  <c r="B14" i="4"/>
  <c r="K14" i="4"/>
  <c r="I14" i="4"/>
  <c r="D14" i="4"/>
  <c r="C14" i="4"/>
  <c r="H174" i="4"/>
  <c r="G174" i="4"/>
  <c r="F174" i="4"/>
  <c r="E174" i="4"/>
  <c r="D174" i="4"/>
  <c r="M174" i="4"/>
  <c r="C174" i="4"/>
  <c r="L174" i="4"/>
  <c r="B174" i="4"/>
  <c r="J174" i="4"/>
  <c r="K174" i="4"/>
  <c r="I174" i="4"/>
  <c r="G227" i="4"/>
  <c r="F227" i="4"/>
  <c r="J227" i="4"/>
  <c r="I227" i="4"/>
  <c r="H227" i="4"/>
  <c r="E227" i="4"/>
  <c r="D227" i="4"/>
  <c r="L227" i="4"/>
  <c r="B227" i="4"/>
  <c r="M227" i="4"/>
  <c r="K227" i="4"/>
  <c r="C227" i="4"/>
  <c r="G243" i="4"/>
  <c r="F243" i="4"/>
  <c r="H243" i="4"/>
  <c r="E243" i="4"/>
  <c r="D243" i="4"/>
  <c r="M243" i="4"/>
  <c r="C243" i="4"/>
  <c r="L243" i="4"/>
  <c r="B243" i="4"/>
  <c r="J243" i="4"/>
  <c r="K243" i="4"/>
  <c r="I357" i="2"/>
  <c r="I365" i="2"/>
  <c r="B368" i="2"/>
  <c r="J368" i="2"/>
  <c r="I373" i="2"/>
  <c r="B376" i="2"/>
  <c r="J376" i="2"/>
  <c r="I381" i="2"/>
  <c r="B384" i="2"/>
  <c r="J384" i="2"/>
  <c r="I389" i="2"/>
  <c r="B392" i="2"/>
  <c r="J392" i="2"/>
  <c r="I397" i="2"/>
  <c r="B400" i="2"/>
  <c r="J400" i="2"/>
  <c r="I405" i="2"/>
  <c r="B408" i="2"/>
  <c r="J408" i="2"/>
  <c r="I413" i="2"/>
  <c r="B416" i="2"/>
  <c r="J416" i="2"/>
  <c r="I421" i="2"/>
  <c r="B424" i="2"/>
  <c r="J424" i="2"/>
  <c r="I429" i="2"/>
  <c r="B432" i="2"/>
  <c r="J432" i="2"/>
  <c r="H434" i="2"/>
  <c r="B440" i="2"/>
  <c r="J440" i="2"/>
  <c r="H442" i="2"/>
  <c r="B448" i="2"/>
  <c r="J448" i="2"/>
  <c r="H450" i="2"/>
  <c r="B456" i="2"/>
  <c r="J456" i="2"/>
  <c r="H458" i="2"/>
  <c r="B464" i="2"/>
  <c r="J464" i="2"/>
  <c r="H466" i="2"/>
  <c r="G471" i="2"/>
  <c r="B472" i="2"/>
  <c r="J472" i="2"/>
  <c r="H474" i="2"/>
  <c r="G479" i="2"/>
  <c r="B480" i="2"/>
  <c r="J480" i="2"/>
  <c r="H482" i="2"/>
  <c r="G487" i="2"/>
  <c r="B488" i="2"/>
  <c r="J488" i="2"/>
  <c r="H490" i="2"/>
  <c r="G495" i="2"/>
  <c r="B496" i="2"/>
  <c r="J496" i="2"/>
  <c r="H498" i="2"/>
  <c r="G503" i="2"/>
  <c r="B504" i="2"/>
  <c r="J504" i="2"/>
  <c r="H506" i="2"/>
  <c r="G511" i="2"/>
  <c r="B512" i="2"/>
  <c r="J512" i="2"/>
  <c r="H514" i="2"/>
  <c r="G519" i="2"/>
  <c r="B520" i="2"/>
  <c r="J520" i="2"/>
  <c r="H522" i="2"/>
  <c r="G527" i="2"/>
  <c r="B528" i="2"/>
  <c r="J528" i="2"/>
  <c r="E529" i="2"/>
  <c r="M529" i="2"/>
  <c r="H530" i="2"/>
  <c r="G535" i="2"/>
  <c r="B536" i="2"/>
  <c r="J536" i="2"/>
  <c r="E537" i="2"/>
  <c r="M537" i="2"/>
  <c r="H538" i="2"/>
  <c r="G543" i="2"/>
  <c r="B544" i="2"/>
  <c r="J544" i="2"/>
  <c r="E545" i="2"/>
  <c r="M545" i="2"/>
  <c r="H546" i="2"/>
  <c r="G551" i="2"/>
  <c r="B552" i="2"/>
  <c r="J552" i="2"/>
  <c r="E553" i="2"/>
  <c r="M553" i="2"/>
  <c r="H554" i="2"/>
  <c r="G559" i="2"/>
  <c r="B560" i="2"/>
  <c r="J560" i="2"/>
  <c r="E561" i="2"/>
  <c r="M561" i="2"/>
  <c r="H562" i="2"/>
  <c r="G567" i="2"/>
  <c r="B568" i="2"/>
  <c r="J568" i="2"/>
  <c r="E569" i="2"/>
  <c r="M569" i="2"/>
  <c r="H570" i="2"/>
  <c r="G575" i="2"/>
  <c r="B576" i="2"/>
  <c r="J576" i="2"/>
  <c r="E577" i="2"/>
  <c r="M577" i="2"/>
  <c r="H578" i="2"/>
  <c r="G583" i="2"/>
  <c r="B584" i="2"/>
  <c r="J584" i="2"/>
  <c r="E585" i="2"/>
  <c r="M585" i="2"/>
  <c r="H586" i="2"/>
  <c r="G591" i="2"/>
  <c r="B592" i="2"/>
  <c r="J592" i="2"/>
  <c r="E593" i="2"/>
  <c r="M593" i="2"/>
  <c r="H594" i="2"/>
  <c r="G599" i="2"/>
  <c r="B600" i="2"/>
  <c r="J600" i="2"/>
  <c r="E601" i="2"/>
  <c r="M601" i="2"/>
  <c r="H602" i="2"/>
  <c r="G607" i="2"/>
  <c r="B608" i="2"/>
  <c r="J608" i="2"/>
  <c r="E609" i="2"/>
  <c r="M609" i="2"/>
  <c r="H610" i="2"/>
  <c r="D614" i="2"/>
  <c r="G615" i="2"/>
  <c r="B616" i="2"/>
  <c r="J616" i="2"/>
  <c r="E617" i="2"/>
  <c r="M617" i="2"/>
  <c r="H618" i="2"/>
  <c r="D622" i="2"/>
  <c r="G623" i="2"/>
  <c r="B624" i="2"/>
  <c r="J624" i="2"/>
  <c r="E625" i="2"/>
  <c r="M625" i="2"/>
  <c r="H626" i="2"/>
  <c r="D630" i="2"/>
  <c r="G631" i="2"/>
  <c r="B632" i="2"/>
  <c r="J632" i="2"/>
  <c r="E633" i="2"/>
  <c r="M633" i="2"/>
  <c r="H634" i="2"/>
  <c r="D638" i="2"/>
  <c r="G639" i="2"/>
  <c r="B640" i="2"/>
  <c r="J640" i="2"/>
  <c r="E641" i="2"/>
  <c r="M641" i="2"/>
  <c r="H642" i="2"/>
  <c r="D646" i="2"/>
  <c r="G647" i="2"/>
  <c r="B648" i="2"/>
  <c r="J648" i="2"/>
  <c r="E649" i="2"/>
  <c r="M649" i="2"/>
  <c r="H650" i="2"/>
  <c r="D654" i="2"/>
  <c r="G655" i="2"/>
  <c r="B656" i="2"/>
  <c r="J656" i="2"/>
  <c r="E657" i="2"/>
  <c r="M657" i="2"/>
  <c r="H658" i="2"/>
  <c r="D662" i="2"/>
  <c r="G663" i="2"/>
  <c r="B664" i="2"/>
  <c r="J664" i="2"/>
  <c r="E665" i="2"/>
  <c r="M665" i="2"/>
  <c r="H666" i="2"/>
  <c r="D670" i="2"/>
  <c r="G671" i="2"/>
  <c r="B672" i="2"/>
  <c r="J672" i="2"/>
  <c r="E673" i="2"/>
  <c r="M673" i="2"/>
  <c r="H674" i="2"/>
  <c r="D678" i="2"/>
  <c r="G679" i="2"/>
  <c r="B680" i="2"/>
  <c r="J680" i="2"/>
  <c r="E681" i="2"/>
  <c r="M681" i="2"/>
  <c r="H682" i="2"/>
  <c r="D686" i="2"/>
  <c r="G687" i="2"/>
  <c r="B688" i="2"/>
  <c r="J688" i="2"/>
  <c r="E689" i="2"/>
  <c r="M689" i="2"/>
  <c r="H690" i="2"/>
  <c r="D694" i="2"/>
  <c r="G695" i="2"/>
  <c r="B696" i="2"/>
  <c r="J696" i="2"/>
  <c r="E697" i="2"/>
  <c r="M697" i="2"/>
  <c r="H698" i="2"/>
  <c r="D702" i="2"/>
  <c r="G703" i="2"/>
  <c r="B704" i="2"/>
  <c r="J704" i="2"/>
  <c r="E705" i="2"/>
  <c r="M705" i="2"/>
  <c r="H706" i="2"/>
  <c r="D710" i="2"/>
  <c r="G711" i="2"/>
  <c r="B712" i="2"/>
  <c r="J712" i="2"/>
  <c r="E713" i="2"/>
  <c r="M713" i="2"/>
  <c r="H714" i="2"/>
  <c r="D718" i="2"/>
  <c r="G719" i="2"/>
  <c r="B720" i="2"/>
  <c r="J720" i="2"/>
  <c r="E721" i="2"/>
  <c r="M721" i="2"/>
  <c r="H722" i="2"/>
  <c r="D726" i="2"/>
  <c r="G727" i="2"/>
  <c r="B728" i="2"/>
  <c r="J728" i="2"/>
  <c r="E729" i="2"/>
  <c r="M729" i="2"/>
  <c r="H730" i="2"/>
  <c r="D734" i="2"/>
  <c r="G735" i="2"/>
  <c r="B736" i="2"/>
  <c r="J736" i="2"/>
  <c r="E737" i="2"/>
  <c r="M737" i="2"/>
  <c r="H738" i="2"/>
  <c r="D742" i="2"/>
  <c r="G743" i="2"/>
  <c r="B744" i="2"/>
  <c r="J744" i="2"/>
  <c r="E745" i="2"/>
  <c r="M745" i="2"/>
  <c r="H746" i="2"/>
  <c r="D750" i="2"/>
  <c r="G751" i="2"/>
  <c r="B752" i="2"/>
  <c r="J752" i="2"/>
  <c r="E753" i="2"/>
  <c r="M753" i="2"/>
  <c r="H754" i="2"/>
  <c r="D758" i="2"/>
  <c r="G759" i="2"/>
  <c r="B760" i="2"/>
  <c r="J760" i="2"/>
  <c r="E761" i="2"/>
  <c r="M761" i="2"/>
  <c r="H762" i="2"/>
  <c r="D766" i="2"/>
  <c r="G767" i="2"/>
  <c r="B768" i="2"/>
  <c r="J768" i="2"/>
  <c r="E769" i="2"/>
  <c r="M769" i="2"/>
  <c r="H770" i="2"/>
  <c r="D774" i="2"/>
  <c r="G775" i="2"/>
  <c r="B776" i="2"/>
  <c r="J776" i="2"/>
  <c r="E777" i="2"/>
  <c r="M777" i="2"/>
  <c r="H778" i="2"/>
  <c r="D782" i="2"/>
  <c r="G783" i="2"/>
  <c r="B784" i="2"/>
  <c r="J784" i="2"/>
  <c r="E785" i="2"/>
  <c r="M785" i="2"/>
  <c r="H786" i="2"/>
  <c r="D790" i="2"/>
  <c r="G791" i="2"/>
  <c r="B792" i="2"/>
  <c r="J792" i="2"/>
  <c r="E793" i="2"/>
  <c r="M793" i="2"/>
  <c r="H794" i="2"/>
  <c r="D798" i="2"/>
  <c r="G799" i="2"/>
  <c r="B800" i="2"/>
  <c r="J800" i="2"/>
  <c r="E801" i="2"/>
  <c r="M801" i="2"/>
  <c r="H802" i="2"/>
  <c r="D806" i="2"/>
  <c r="G807" i="2"/>
  <c r="B808" i="2"/>
  <c r="J808" i="2"/>
  <c r="E809" i="2"/>
  <c r="M809" i="2"/>
  <c r="H810" i="2"/>
  <c r="D814" i="2"/>
  <c r="G815" i="2"/>
  <c r="B816" i="2"/>
  <c r="J816" i="2"/>
  <c r="E817" i="2"/>
  <c r="M817" i="2"/>
  <c r="H818" i="2"/>
  <c r="D822" i="2"/>
  <c r="G823" i="2"/>
  <c r="B824" i="2"/>
  <c r="J824" i="2"/>
  <c r="E825" i="2"/>
  <c r="M825" i="2"/>
  <c r="H826" i="2"/>
  <c r="D830" i="2"/>
  <c r="G831" i="2"/>
  <c r="B832" i="2"/>
  <c r="J832" i="2"/>
  <c r="E833" i="2"/>
  <c r="M833" i="2"/>
  <c r="H834" i="2"/>
  <c r="D838" i="2"/>
  <c r="G839" i="2"/>
  <c r="B840" i="2"/>
  <c r="J840" i="2"/>
  <c r="E841" i="2"/>
  <c r="M841" i="2"/>
  <c r="H842" i="2"/>
  <c r="D846" i="2"/>
  <c r="G847" i="2"/>
  <c r="B848" i="2"/>
  <c r="J848" i="2"/>
  <c r="E849" i="2"/>
  <c r="M849" i="2"/>
  <c r="H850" i="2"/>
  <c r="D854" i="2"/>
  <c r="G855" i="2"/>
  <c r="B856" i="2"/>
  <c r="J856" i="2"/>
  <c r="E857" i="2"/>
  <c r="M857" i="2"/>
  <c r="H858" i="2"/>
  <c r="D862" i="2"/>
  <c r="G863" i="2"/>
  <c r="B864" i="2"/>
  <c r="J864" i="2"/>
  <c r="E865" i="2"/>
  <c r="M865" i="2"/>
  <c r="H866" i="2"/>
  <c r="D870" i="2"/>
  <c r="G871" i="2"/>
  <c r="B872" i="2"/>
  <c r="J872" i="2"/>
  <c r="E873" i="2"/>
  <c r="M873" i="2"/>
  <c r="H874" i="2"/>
  <c r="D878" i="2"/>
  <c r="G879" i="2"/>
  <c r="B880" i="2"/>
  <c r="J880" i="2"/>
  <c r="E881" i="2"/>
  <c r="M881" i="2"/>
  <c r="H882" i="2"/>
  <c r="D886" i="2"/>
  <c r="G887" i="2"/>
  <c r="B888" i="2"/>
  <c r="J888" i="2"/>
  <c r="E889" i="2"/>
  <c r="M889" i="2"/>
  <c r="H890" i="2"/>
  <c r="D894" i="2"/>
  <c r="G895" i="2"/>
  <c r="B896" i="2"/>
  <c r="J896" i="2"/>
  <c r="E897" i="2"/>
  <c r="M897" i="2"/>
  <c r="H898" i="2"/>
  <c r="D902" i="2"/>
  <c r="G903" i="2"/>
  <c r="B904" i="2"/>
  <c r="J904" i="2"/>
  <c r="E905" i="2"/>
  <c r="M905" i="2"/>
  <c r="H906" i="2"/>
  <c r="D910" i="2"/>
  <c r="G911" i="2"/>
  <c r="B912" i="2"/>
  <c r="J912" i="2"/>
  <c r="E913" i="2"/>
  <c r="M913" i="2"/>
  <c r="H914" i="2"/>
  <c r="D918" i="2"/>
  <c r="G919" i="2"/>
  <c r="B920" i="2"/>
  <c r="J920" i="2"/>
  <c r="E921" i="2"/>
  <c r="M921" i="2"/>
  <c r="H922" i="2"/>
  <c r="D926" i="2"/>
  <c r="G927" i="2"/>
  <c r="B928" i="2"/>
  <c r="J928" i="2"/>
  <c r="E929" i="2"/>
  <c r="M929" i="2"/>
  <c r="H930" i="2"/>
  <c r="D934" i="2"/>
  <c r="G935" i="2"/>
  <c r="B936" i="2"/>
  <c r="J936" i="2"/>
  <c r="E937" i="2"/>
  <c r="M937" i="2"/>
  <c r="H938" i="2"/>
  <c r="D942" i="2"/>
  <c r="G943" i="2"/>
  <c r="B944" i="2"/>
  <c r="J944" i="2"/>
  <c r="E945" i="2"/>
  <c r="M945" i="2"/>
  <c r="H946" i="2"/>
  <c r="D950" i="2"/>
  <c r="G951" i="2"/>
  <c r="B952" i="2"/>
  <c r="J952" i="2"/>
  <c r="E953" i="2"/>
  <c r="M953" i="2"/>
  <c r="H954" i="2"/>
  <c r="D958" i="2"/>
  <c r="G959" i="2"/>
  <c r="B960" i="2"/>
  <c r="J960" i="2"/>
  <c r="E961" i="2"/>
  <c r="M961" i="2"/>
  <c r="H962" i="2"/>
  <c r="D966" i="2"/>
  <c r="G967" i="2"/>
  <c r="B968" i="2"/>
  <c r="J968" i="2"/>
  <c r="E969" i="2"/>
  <c r="M969" i="2"/>
  <c r="H970" i="2"/>
  <c r="D974" i="2"/>
  <c r="G975" i="2"/>
  <c r="B976" i="2"/>
  <c r="J976" i="2"/>
  <c r="E977" i="2"/>
  <c r="M977" i="2"/>
  <c r="H978" i="2"/>
  <c r="D982" i="2"/>
  <c r="G983" i="2"/>
  <c r="B984" i="2"/>
  <c r="J984" i="2"/>
  <c r="E985" i="2"/>
  <c r="M985" i="2"/>
  <c r="H986" i="2"/>
  <c r="D990" i="2"/>
  <c r="G991" i="2"/>
  <c r="B992" i="2"/>
  <c r="J992" i="2"/>
  <c r="E993" i="2"/>
  <c r="M993" i="2"/>
  <c r="H994" i="2"/>
  <c r="D998" i="2"/>
  <c r="G999" i="2"/>
  <c r="B1000" i="2"/>
  <c r="J1000" i="2"/>
  <c r="E2" i="3"/>
  <c r="M2" i="3"/>
  <c r="H3" i="3"/>
  <c r="D7" i="3"/>
  <c r="G8" i="3"/>
  <c r="B9" i="3"/>
  <c r="J9" i="3"/>
  <c r="E10" i="3"/>
  <c r="M10" i="3"/>
  <c r="H11" i="3"/>
  <c r="D15" i="3"/>
  <c r="G16" i="3"/>
  <c r="B17" i="3"/>
  <c r="J17" i="3"/>
  <c r="E18" i="3"/>
  <c r="M18" i="3"/>
  <c r="H19" i="3"/>
  <c r="D23" i="3"/>
  <c r="G24" i="3"/>
  <c r="B25" i="3"/>
  <c r="J25" i="3"/>
  <c r="E26" i="3"/>
  <c r="M26" i="3"/>
  <c r="H27" i="3"/>
  <c r="D31" i="3"/>
  <c r="G32" i="3"/>
  <c r="B33" i="3"/>
  <c r="J33" i="3"/>
  <c r="E34" i="3"/>
  <c r="M34" i="3"/>
  <c r="H35" i="3"/>
  <c r="D39" i="3"/>
  <c r="G40" i="3"/>
  <c r="B41" i="3"/>
  <c r="J41" i="3"/>
  <c r="E42" i="3"/>
  <c r="M42" i="3"/>
  <c r="H43" i="3"/>
  <c r="D47" i="3"/>
  <c r="G48" i="3"/>
  <c r="B49" i="3"/>
  <c r="J49" i="3"/>
  <c r="E50" i="3"/>
  <c r="M50" i="3"/>
  <c r="H51" i="3"/>
  <c r="D55" i="3"/>
  <c r="G56" i="3"/>
  <c r="B57" i="3"/>
  <c r="J57" i="3"/>
  <c r="E58" i="3"/>
  <c r="M58" i="3"/>
  <c r="H59" i="3"/>
  <c r="D63" i="3"/>
  <c r="G64" i="3"/>
  <c r="C65" i="3"/>
  <c r="M65" i="3"/>
  <c r="I67" i="3"/>
  <c r="F68" i="3"/>
  <c r="E72" i="3"/>
  <c r="C73" i="3"/>
  <c r="M73" i="3"/>
  <c r="I75" i="3"/>
  <c r="F76" i="3"/>
  <c r="B80" i="3"/>
  <c r="M80" i="3"/>
  <c r="F83" i="3"/>
  <c r="H85" i="3"/>
  <c r="F85" i="3"/>
  <c r="K85" i="3"/>
  <c r="C85" i="3"/>
  <c r="M85" i="3"/>
  <c r="L97" i="3"/>
  <c r="D97" i="3"/>
  <c r="J97" i="3"/>
  <c r="B97" i="3"/>
  <c r="G97" i="3"/>
  <c r="G98" i="3"/>
  <c r="M98" i="3"/>
  <c r="E98" i="3"/>
  <c r="J98" i="3"/>
  <c r="B98" i="3"/>
  <c r="J99" i="3"/>
  <c r="B99" i="3"/>
  <c r="H99" i="3"/>
  <c r="M99" i="3"/>
  <c r="E99" i="3"/>
  <c r="M100" i="3"/>
  <c r="E100" i="3"/>
  <c r="K100" i="3"/>
  <c r="C100" i="3"/>
  <c r="H100" i="3"/>
  <c r="H101" i="3"/>
  <c r="F101" i="3"/>
  <c r="K101" i="3"/>
  <c r="C101" i="3"/>
  <c r="M101" i="3"/>
  <c r="C105" i="3"/>
  <c r="C106" i="3"/>
  <c r="C107" i="3"/>
  <c r="B108" i="3"/>
  <c r="B109" i="3"/>
  <c r="F121" i="3"/>
  <c r="F122" i="3"/>
  <c r="F123" i="3"/>
  <c r="F124" i="3"/>
  <c r="E125" i="3"/>
  <c r="F129" i="3"/>
  <c r="F130" i="3"/>
  <c r="F131" i="3"/>
  <c r="F132" i="3"/>
  <c r="E133" i="3"/>
  <c r="H137" i="3"/>
  <c r="H138" i="3"/>
  <c r="G139" i="3"/>
  <c r="G140" i="3"/>
  <c r="G141" i="3"/>
  <c r="K153" i="3"/>
  <c r="K154" i="3"/>
  <c r="K155" i="3"/>
  <c r="J156" i="3"/>
  <c r="J157" i="3"/>
  <c r="F177" i="3"/>
  <c r="F178" i="3"/>
  <c r="F179" i="3"/>
  <c r="F180" i="3"/>
  <c r="E181" i="3"/>
  <c r="M188" i="3"/>
  <c r="E188" i="3"/>
  <c r="K188" i="3"/>
  <c r="C188" i="3"/>
  <c r="J188" i="3"/>
  <c r="B188" i="3"/>
  <c r="H188" i="3"/>
  <c r="J195" i="3"/>
  <c r="B195" i="3"/>
  <c r="H195" i="3"/>
  <c r="G195" i="3"/>
  <c r="M195" i="3"/>
  <c r="E195" i="3"/>
  <c r="D196" i="3"/>
  <c r="G197" i="3"/>
  <c r="C203" i="3"/>
  <c r="I205" i="3"/>
  <c r="G210" i="3"/>
  <c r="M210" i="3"/>
  <c r="E210" i="3"/>
  <c r="L210" i="3"/>
  <c r="D210" i="3"/>
  <c r="J210" i="3"/>
  <c r="B210" i="3"/>
  <c r="G212" i="3"/>
  <c r="C218" i="3"/>
  <c r="F219" i="3"/>
  <c r="I220" i="3"/>
  <c r="I227" i="3"/>
  <c r="I235" i="3"/>
  <c r="I243" i="3"/>
  <c r="I253" i="3"/>
  <c r="H261" i="3"/>
  <c r="G261" i="3"/>
  <c r="F261" i="3"/>
  <c r="M261" i="3"/>
  <c r="E261" i="3"/>
  <c r="K261" i="3"/>
  <c r="C261" i="3"/>
  <c r="K266" i="3"/>
  <c r="F268" i="3"/>
  <c r="C274" i="3"/>
  <c r="I284" i="3"/>
  <c r="I290" i="3"/>
  <c r="M292" i="3"/>
  <c r="E292" i="3"/>
  <c r="L292" i="3"/>
  <c r="D292" i="3"/>
  <c r="K292" i="3"/>
  <c r="C292" i="3"/>
  <c r="J292" i="3"/>
  <c r="B292" i="3"/>
  <c r="H292" i="3"/>
  <c r="J293" i="3"/>
  <c r="G298" i="3"/>
  <c r="F298" i="3"/>
  <c r="M298" i="3"/>
  <c r="E298" i="3"/>
  <c r="L298" i="3"/>
  <c r="D298" i="3"/>
  <c r="J298" i="3"/>
  <c r="B298" i="3"/>
  <c r="B301" i="3"/>
  <c r="I314" i="3"/>
  <c r="M316" i="3"/>
  <c r="E316" i="3"/>
  <c r="L316" i="3"/>
  <c r="D316" i="3"/>
  <c r="K316" i="3"/>
  <c r="C316" i="3"/>
  <c r="J316" i="3"/>
  <c r="B316" i="3"/>
  <c r="H316" i="3"/>
  <c r="J317" i="3"/>
  <c r="G322" i="3"/>
  <c r="F322" i="3"/>
  <c r="M322" i="3"/>
  <c r="E322" i="3"/>
  <c r="L322" i="3"/>
  <c r="D322" i="3"/>
  <c r="J322" i="3"/>
  <c r="B322" i="3"/>
  <c r="B325" i="3"/>
  <c r="I332" i="3"/>
  <c r="K338" i="3"/>
  <c r="F340" i="3"/>
  <c r="J343" i="3"/>
  <c r="L359" i="3"/>
  <c r="D359" i="3"/>
  <c r="I359" i="3"/>
  <c r="H359" i="3"/>
  <c r="G359" i="3"/>
  <c r="F359" i="3"/>
  <c r="M359" i="3"/>
  <c r="C359" i="3"/>
  <c r="J360" i="3"/>
  <c r="M364" i="3"/>
  <c r="J371" i="3"/>
  <c r="F389" i="3"/>
  <c r="M389" i="3"/>
  <c r="E389" i="3"/>
  <c r="J389" i="3"/>
  <c r="I389" i="3"/>
  <c r="H389" i="3"/>
  <c r="G389" i="3"/>
  <c r="C389" i="3"/>
  <c r="M396" i="3"/>
  <c r="B419" i="3"/>
  <c r="H424" i="3"/>
  <c r="K426" i="3"/>
  <c r="H431" i="3"/>
  <c r="C461" i="3"/>
  <c r="B464" i="3"/>
  <c r="L471" i="3"/>
  <c r="D471" i="3"/>
  <c r="K471" i="3"/>
  <c r="C471" i="3"/>
  <c r="J471" i="3"/>
  <c r="I471" i="3"/>
  <c r="H471" i="3"/>
  <c r="G471" i="3"/>
  <c r="E471" i="3"/>
  <c r="M472" i="3"/>
  <c r="H477" i="3"/>
  <c r="E479" i="3"/>
  <c r="K483" i="3"/>
  <c r="K488" i="3"/>
  <c r="C491" i="3"/>
  <c r="M498" i="3"/>
  <c r="E498" i="3"/>
  <c r="L498" i="3"/>
  <c r="D498" i="3"/>
  <c r="I498" i="3"/>
  <c r="H498" i="3"/>
  <c r="G498" i="3"/>
  <c r="F498" i="3"/>
  <c r="B498" i="3"/>
  <c r="M514" i="3"/>
  <c r="E514" i="3"/>
  <c r="L514" i="3"/>
  <c r="D514" i="3"/>
  <c r="G514" i="3"/>
  <c r="F514" i="3"/>
  <c r="C514" i="3"/>
  <c r="B514" i="3"/>
  <c r="J514" i="3"/>
  <c r="D524" i="3"/>
  <c r="I543" i="3"/>
  <c r="B557" i="3"/>
  <c r="I579" i="3"/>
  <c r="I581" i="3"/>
  <c r="B583" i="3"/>
  <c r="M612" i="3"/>
  <c r="E612" i="3"/>
  <c r="K612" i="3"/>
  <c r="C612" i="3"/>
  <c r="J612" i="3"/>
  <c r="B612" i="3"/>
  <c r="L612" i="3"/>
  <c r="I612" i="3"/>
  <c r="H612" i="3"/>
  <c r="F612" i="3"/>
  <c r="G618" i="3"/>
  <c r="M618" i="3"/>
  <c r="E618" i="3"/>
  <c r="L618" i="3"/>
  <c r="D618" i="3"/>
  <c r="K618" i="3"/>
  <c r="J618" i="3"/>
  <c r="I618" i="3"/>
  <c r="H618" i="3"/>
  <c r="C618" i="3"/>
  <c r="F620" i="3"/>
  <c r="C629" i="3"/>
  <c r="I643" i="3"/>
  <c r="I645" i="3"/>
  <c r="B647" i="3"/>
  <c r="M716" i="3"/>
  <c r="E716" i="3"/>
  <c r="L716" i="3"/>
  <c r="D716" i="3"/>
  <c r="K716" i="3"/>
  <c r="C716" i="3"/>
  <c r="J716" i="3"/>
  <c r="B716" i="3"/>
  <c r="I716" i="3"/>
  <c r="H716" i="3"/>
  <c r="G716" i="3"/>
  <c r="F716" i="3"/>
  <c r="G740" i="3"/>
  <c r="B762" i="3"/>
  <c r="F767" i="3"/>
  <c r="M767" i="3"/>
  <c r="E767" i="3"/>
  <c r="L767" i="3"/>
  <c r="D767" i="3"/>
  <c r="K767" i="3"/>
  <c r="C767" i="3"/>
  <c r="J767" i="3"/>
  <c r="I767" i="3"/>
  <c r="G767" i="3"/>
  <c r="H813" i="3"/>
  <c r="G813" i="3"/>
  <c r="F813" i="3"/>
  <c r="M813" i="3"/>
  <c r="E813" i="3"/>
  <c r="L813" i="3"/>
  <c r="K813" i="3"/>
  <c r="J813" i="3"/>
  <c r="I813" i="3"/>
  <c r="C813" i="3"/>
  <c r="B863" i="3"/>
  <c r="M900" i="3"/>
  <c r="E900" i="3"/>
  <c r="L900" i="3"/>
  <c r="D900" i="3"/>
  <c r="K900" i="3"/>
  <c r="C900" i="3"/>
  <c r="J900" i="3"/>
  <c r="B900" i="3"/>
  <c r="G900" i="3"/>
  <c r="I900" i="3"/>
  <c r="F900" i="3"/>
  <c r="F943" i="3"/>
  <c r="M943" i="3"/>
  <c r="E943" i="3"/>
  <c r="L943" i="3"/>
  <c r="D943" i="3"/>
  <c r="K943" i="3"/>
  <c r="C943" i="3"/>
  <c r="H943" i="3"/>
  <c r="J943" i="3"/>
  <c r="G943" i="3"/>
  <c r="C957" i="3"/>
  <c r="F999" i="3"/>
  <c r="M999" i="3"/>
  <c r="E999" i="3"/>
  <c r="L999" i="3"/>
  <c r="D999" i="3"/>
  <c r="K999" i="3"/>
  <c r="C999" i="3"/>
  <c r="H999" i="3"/>
  <c r="J999" i="3"/>
  <c r="I999" i="3"/>
  <c r="G999" i="3"/>
  <c r="B999" i="3"/>
  <c r="L14" i="4"/>
  <c r="I243" i="4"/>
  <c r="L396" i="4"/>
  <c r="D396" i="4"/>
  <c r="K396" i="4"/>
  <c r="C396" i="4"/>
  <c r="J396" i="4"/>
  <c r="I396" i="4"/>
  <c r="H396" i="4"/>
  <c r="G396" i="4"/>
  <c r="E396" i="4"/>
  <c r="B396" i="4"/>
  <c r="F396" i="4"/>
  <c r="M396" i="4"/>
  <c r="E214" i="2"/>
  <c r="E222" i="2"/>
  <c r="E230" i="2"/>
  <c r="E238" i="2"/>
  <c r="E246" i="2"/>
  <c r="E254" i="2"/>
  <c r="E262" i="2"/>
  <c r="E270" i="2"/>
  <c r="B357" i="2"/>
  <c r="B365" i="2"/>
  <c r="C368" i="2"/>
  <c r="B373" i="2"/>
  <c r="C376" i="2"/>
  <c r="B381" i="2"/>
  <c r="C384" i="2"/>
  <c r="B389" i="2"/>
  <c r="C392" i="2"/>
  <c r="B397" i="2"/>
  <c r="C400" i="2"/>
  <c r="B405" i="2"/>
  <c r="C408" i="2"/>
  <c r="B413" i="2"/>
  <c r="C416" i="2"/>
  <c r="B421" i="2"/>
  <c r="C424" i="2"/>
  <c r="B429" i="2"/>
  <c r="C432" i="2"/>
  <c r="C440" i="2"/>
  <c r="C448" i="2"/>
  <c r="C456" i="2"/>
  <c r="C464" i="2"/>
  <c r="H471" i="2"/>
  <c r="C472" i="2"/>
  <c r="H479" i="2"/>
  <c r="C480" i="2"/>
  <c r="H487" i="2"/>
  <c r="C488" i="2"/>
  <c r="H495" i="2"/>
  <c r="C496" i="2"/>
  <c r="H503" i="2"/>
  <c r="C504" i="2"/>
  <c r="H511" i="2"/>
  <c r="C512" i="2"/>
  <c r="H519" i="2"/>
  <c r="C520" i="2"/>
  <c r="H527" i="2"/>
  <c r="C528" i="2"/>
  <c r="F529" i="2"/>
  <c r="H535" i="2"/>
  <c r="C536" i="2"/>
  <c r="F537" i="2"/>
  <c r="H543" i="2"/>
  <c r="C544" i="2"/>
  <c r="F545" i="2"/>
  <c r="H551" i="2"/>
  <c r="C552" i="2"/>
  <c r="F553" i="2"/>
  <c r="H559" i="2"/>
  <c r="C560" i="2"/>
  <c r="F561" i="2"/>
  <c r="H567" i="2"/>
  <c r="C568" i="2"/>
  <c r="F569" i="2"/>
  <c r="H575" i="2"/>
  <c r="C576" i="2"/>
  <c r="F577" i="2"/>
  <c r="H583" i="2"/>
  <c r="C584" i="2"/>
  <c r="F585" i="2"/>
  <c r="H591" i="2"/>
  <c r="C592" i="2"/>
  <c r="F593" i="2"/>
  <c r="H599" i="2"/>
  <c r="C600" i="2"/>
  <c r="F601" i="2"/>
  <c r="H607" i="2"/>
  <c r="C608" i="2"/>
  <c r="F609" i="2"/>
  <c r="H615" i="2"/>
  <c r="C616" i="2"/>
  <c r="F617" i="2"/>
  <c r="H623" i="2"/>
  <c r="C624" i="2"/>
  <c r="F625" i="2"/>
  <c r="H631" i="2"/>
  <c r="C632" i="2"/>
  <c r="F633" i="2"/>
  <c r="H639" i="2"/>
  <c r="C640" i="2"/>
  <c r="F641" i="2"/>
  <c r="H647" i="2"/>
  <c r="C648" i="2"/>
  <c r="F649" i="2"/>
  <c r="H655" i="2"/>
  <c r="C656" i="2"/>
  <c r="F657" i="2"/>
  <c r="H663" i="2"/>
  <c r="C664" i="2"/>
  <c r="F665" i="2"/>
  <c r="H671" i="2"/>
  <c r="C672" i="2"/>
  <c r="F673" i="2"/>
  <c r="H679" i="2"/>
  <c r="C680" i="2"/>
  <c r="F681" i="2"/>
  <c r="H687" i="2"/>
  <c r="C688" i="2"/>
  <c r="F689" i="2"/>
  <c r="H695" i="2"/>
  <c r="C696" i="2"/>
  <c r="F697" i="2"/>
  <c r="H703" i="2"/>
  <c r="C704" i="2"/>
  <c r="F705" i="2"/>
  <c r="H711" i="2"/>
  <c r="C712" i="2"/>
  <c r="F713" i="2"/>
  <c r="H719" i="2"/>
  <c r="C720" i="2"/>
  <c r="F721" i="2"/>
  <c r="H727" i="2"/>
  <c r="C728" i="2"/>
  <c r="F729" i="2"/>
  <c r="H735" i="2"/>
  <c r="C736" i="2"/>
  <c r="F737" i="2"/>
  <c r="H743" i="2"/>
  <c r="C744" i="2"/>
  <c r="F745" i="2"/>
  <c r="H751" i="2"/>
  <c r="C752" i="2"/>
  <c r="F753" i="2"/>
  <c r="H759" i="2"/>
  <c r="C760" i="2"/>
  <c r="F761" i="2"/>
  <c r="H767" i="2"/>
  <c r="C768" i="2"/>
  <c r="F769" i="2"/>
  <c r="H775" i="2"/>
  <c r="C776" i="2"/>
  <c r="F777" i="2"/>
  <c r="H783" i="2"/>
  <c r="C784" i="2"/>
  <c r="F785" i="2"/>
  <c r="H791" i="2"/>
  <c r="C792" i="2"/>
  <c r="F793" i="2"/>
  <c r="H799" i="2"/>
  <c r="C800" i="2"/>
  <c r="F801" i="2"/>
  <c r="H807" i="2"/>
  <c r="C808" i="2"/>
  <c r="F809" i="2"/>
  <c r="H815" i="2"/>
  <c r="C816" i="2"/>
  <c r="F817" i="2"/>
  <c r="H823" i="2"/>
  <c r="C824" i="2"/>
  <c r="F825" i="2"/>
  <c r="H831" i="2"/>
  <c r="C832" i="2"/>
  <c r="F833" i="2"/>
  <c r="H839" i="2"/>
  <c r="C840" i="2"/>
  <c r="F841" i="2"/>
  <c r="H847" i="2"/>
  <c r="C848" i="2"/>
  <c r="F849" i="2"/>
  <c r="H855" i="2"/>
  <c r="C856" i="2"/>
  <c r="F857" i="2"/>
  <c r="H863" i="2"/>
  <c r="C864" i="2"/>
  <c r="F865" i="2"/>
  <c r="H871" i="2"/>
  <c r="C872" i="2"/>
  <c r="F873" i="2"/>
  <c r="H879" i="2"/>
  <c r="C880" i="2"/>
  <c r="F881" i="2"/>
  <c r="H887" i="2"/>
  <c r="C888" i="2"/>
  <c r="F889" i="2"/>
  <c r="H895" i="2"/>
  <c r="C896" i="2"/>
  <c r="F897" i="2"/>
  <c r="H903" i="2"/>
  <c r="C904" i="2"/>
  <c r="F905" i="2"/>
  <c r="H911" i="2"/>
  <c r="C912" i="2"/>
  <c r="F913" i="2"/>
  <c r="H919" i="2"/>
  <c r="C920" i="2"/>
  <c r="F921" i="2"/>
  <c r="H927" i="2"/>
  <c r="C928" i="2"/>
  <c r="F929" i="2"/>
  <c r="H935" i="2"/>
  <c r="C936" i="2"/>
  <c r="F937" i="2"/>
  <c r="H943" i="2"/>
  <c r="C944" i="2"/>
  <c r="F945" i="2"/>
  <c r="H951" i="2"/>
  <c r="C952" i="2"/>
  <c r="F953" i="2"/>
  <c r="H959" i="2"/>
  <c r="C960" i="2"/>
  <c r="F961" i="2"/>
  <c r="H967" i="2"/>
  <c r="C968" i="2"/>
  <c r="F969" i="2"/>
  <c r="H975" i="2"/>
  <c r="C976" i="2"/>
  <c r="F977" i="2"/>
  <c r="H983" i="2"/>
  <c r="C984" i="2"/>
  <c r="F985" i="2"/>
  <c r="H991" i="2"/>
  <c r="C992" i="2"/>
  <c r="F993" i="2"/>
  <c r="H999" i="2"/>
  <c r="C1000" i="2"/>
  <c r="F2" i="3"/>
  <c r="H8" i="3"/>
  <c r="C9" i="3"/>
  <c r="F10" i="3"/>
  <c r="H16" i="3"/>
  <c r="C17" i="3"/>
  <c r="F18" i="3"/>
  <c r="H24" i="3"/>
  <c r="C25" i="3"/>
  <c r="F26" i="3"/>
  <c r="H32" i="3"/>
  <c r="C33" i="3"/>
  <c r="F34" i="3"/>
  <c r="H40" i="3"/>
  <c r="C41" i="3"/>
  <c r="F42" i="3"/>
  <c r="H48" i="3"/>
  <c r="C49" i="3"/>
  <c r="F50" i="3"/>
  <c r="H56" i="3"/>
  <c r="C57" i="3"/>
  <c r="K57" i="3"/>
  <c r="F58" i="3"/>
  <c r="H64" i="3"/>
  <c r="D65" i="3"/>
  <c r="M66" i="3"/>
  <c r="E66" i="3"/>
  <c r="J66" i="3"/>
  <c r="B66" i="3"/>
  <c r="L66" i="3"/>
  <c r="G68" i="3"/>
  <c r="D73" i="3"/>
  <c r="M74" i="3"/>
  <c r="E74" i="3"/>
  <c r="J74" i="3"/>
  <c r="B74" i="3"/>
  <c r="L74" i="3"/>
  <c r="G76" i="3"/>
  <c r="C80" i="3"/>
  <c r="J81" i="3"/>
  <c r="B81" i="3"/>
  <c r="G81" i="3"/>
  <c r="L81" i="3"/>
  <c r="G83" i="3"/>
  <c r="L89" i="3"/>
  <c r="D89" i="3"/>
  <c r="J89" i="3"/>
  <c r="B89" i="3"/>
  <c r="G89" i="3"/>
  <c r="G90" i="3"/>
  <c r="M90" i="3"/>
  <c r="E90" i="3"/>
  <c r="J90" i="3"/>
  <c r="B90" i="3"/>
  <c r="J91" i="3"/>
  <c r="B91" i="3"/>
  <c r="H91" i="3"/>
  <c r="M91" i="3"/>
  <c r="E91" i="3"/>
  <c r="M92" i="3"/>
  <c r="E92" i="3"/>
  <c r="K92" i="3"/>
  <c r="C92" i="3"/>
  <c r="H92" i="3"/>
  <c r="H93" i="3"/>
  <c r="F93" i="3"/>
  <c r="K93" i="3"/>
  <c r="C93" i="3"/>
  <c r="M93" i="3"/>
  <c r="E105" i="3"/>
  <c r="D106" i="3"/>
  <c r="D107" i="3"/>
  <c r="D108" i="3"/>
  <c r="D109" i="3"/>
  <c r="I137" i="3"/>
  <c r="I138" i="3"/>
  <c r="I139" i="3"/>
  <c r="I140" i="3"/>
  <c r="I141" i="3"/>
  <c r="L161" i="3"/>
  <c r="D161" i="3"/>
  <c r="J161" i="3"/>
  <c r="B161" i="3"/>
  <c r="G161" i="3"/>
  <c r="G162" i="3"/>
  <c r="M162" i="3"/>
  <c r="E162" i="3"/>
  <c r="J162" i="3"/>
  <c r="B162" i="3"/>
  <c r="J163" i="3"/>
  <c r="B163" i="3"/>
  <c r="H163" i="3"/>
  <c r="M163" i="3"/>
  <c r="E163" i="3"/>
  <c r="M164" i="3"/>
  <c r="E164" i="3"/>
  <c r="K164" i="3"/>
  <c r="C164" i="3"/>
  <c r="H164" i="3"/>
  <c r="H165" i="3"/>
  <c r="F165" i="3"/>
  <c r="K165" i="3"/>
  <c r="C165" i="3"/>
  <c r="M165" i="3"/>
  <c r="L169" i="3"/>
  <c r="D169" i="3"/>
  <c r="J169" i="3"/>
  <c r="B169" i="3"/>
  <c r="G169" i="3"/>
  <c r="G170" i="3"/>
  <c r="M170" i="3"/>
  <c r="E170" i="3"/>
  <c r="J170" i="3"/>
  <c r="B170" i="3"/>
  <c r="J171" i="3"/>
  <c r="B171" i="3"/>
  <c r="H171" i="3"/>
  <c r="M171" i="3"/>
  <c r="E171" i="3"/>
  <c r="M172" i="3"/>
  <c r="E172" i="3"/>
  <c r="K172" i="3"/>
  <c r="C172" i="3"/>
  <c r="H172" i="3"/>
  <c r="H173" i="3"/>
  <c r="F173" i="3"/>
  <c r="K173" i="3"/>
  <c r="C173" i="3"/>
  <c r="M173" i="3"/>
  <c r="H177" i="3"/>
  <c r="H178" i="3"/>
  <c r="G179" i="3"/>
  <c r="G180" i="3"/>
  <c r="G181" i="3"/>
  <c r="J187" i="3"/>
  <c r="B187" i="3"/>
  <c r="H187" i="3"/>
  <c r="G187" i="3"/>
  <c r="M187" i="3"/>
  <c r="E187" i="3"/>
  <c r="F196" i="3"/>
  <c r="I197" i="3"/>
  <c r="G202" i="3"/>
  <c r="M202" i="3"/>
  <c r="E202" i="3"/>
  <c r="L202" i="3"/>
  <c r="D202" i="3"/>
  <c r="J202" i="3"/>
  <c r="B202" i="3"/>
  <c r="D203" i="3"/>
  <c r="J205" i="3"/>
  <c r="I212" i="3"/>
  <c r="F218" i="3"/>
  <c r="I219" i="3"/>
  <c r="L220" i="3"/>
  <c r="K227" i="3"/>
  <c r="H229" i="3"/>
  <c r="F229" i="3"/>
  <c r="M229" i="3"/>
  <c r="E229" i="3"/>
  <c r="K229" i="3"/>
  <c r="C229" i="3"/>
  <c r="K235" i="3"/>
  <c r="H237" i="3"/>
  <c r="F237" i="3"/>
  <c r="M237" i="3"/>
  <c r="E237" i="3"/>
  <c r="K237" i="3"/>
  <c r="C237" i="3"/>
  <c r="K243" i="3"/>
  <c r="H245" i="3"/>
  <c r="F245" i="3"/>
  <c r="M245" i="3"/>
  <c r="E245" i="3"/>
  <c r="K245" i="3"/>
  <c r="C245" i="3"/>
  <c r="M252" i="3"/>
  <c r="E252" i="3"/>
  <c r="L252" i="3"/>
  <c r="D252" i="3"/>
  <c r="K252" i="3"/>
  <c r="C252" i="3"/>
  <c r="J252" i="3"/>
  <c r="B252" i="3"/>
  <c r="H252" i="3"/>
  <c r="G258" i="3"/>
  <c r="F258" i="3"/>
  <c r="M258" i="3"/>
  <c r="E258" i="3"/>
  <c r="L258" i="3"/>
  <c r="D258" i="3"/>
  <c r="J258" i="3"/>
  <c r="B258" i="3"/>
  <c r="G268" i="3"/>
  <c r="H274" i="3"/>
  <c r="H285" i="3"/>
  <c r="G285" i="3"/>
  <c r="F285" i="3"/>
  <c r="M285" i="3"/>
  <c r="E285" i="3"/>
  <c r="K285" i="3"/>
  <c r="C285" i="3"/>
  <c r="K290" i="3"/>
  <c r="L293" i="3"/>
  <c r="D301" i="3"/>
  <c r="L317" i="3"/>
  <c r="D325" i="3"/>
  <c r="H333" i="3"/>
  <c r="G333" i="3"/>
  <c r="F333" i="3"/>
  <c r="M333" i="3"/>
  <c r="E333" i="3"/>
  <c r="K333" i="3"/>
  <c r="C333" i="3"/>
  <c r="G340" i="3"/>
  <c r="K348" i="3"/>
  <c r="C348" i="3"/>
  <c r="H348" i="3"/>
  <c r="G348" i="3"/>
  <c r="F348" i="3"/>
  <c r="E348" i="3"/>
  <c r="L348" i="3"/>
  <c r="B348" i="3"/>
  <c r="J353" i="3"/>
  <c r="B353" i="3"/>
  <c r="F353" i="3"/>
  <c r="E353" i="3"/>
  <c r="M353" i="3"/>
  <c r="D353" i="3"/>
  <c r="L353" i="3"/>
  <c r="C353" i="3"/>
  <c r="I353" i="3"/>
  <c r="F397" i="3"/>
  <c r="M397" i="3"/>
  <c r="E397" i="3"/>
  <c r="I397" i="3"/>
  <c r="H397" i="3"/>
  <c r="G397" i="3"/>
  <c r="D397" i="3"/>
  <c r="L397" i="3"/>
  <c r="B397" i="3"/>
  <c r="G400" i="3"/>
  <c r="F400" i="3"/>
  <c r="J400" i="3"/>
  <c r="I400" i="3"/>
  <c r="H400" i="3"/>
  <c r="E400" i="3"/>
  <c r="M400" i="3"/>
  <c r="C400" i="3"/>
  <c r="F413" i="3"/>
  <c r="M413" i="3"/>
  <c r="E413" i="3"/>
  <c r="G413" i="3"/>
  <c r="D413" i="3"/>
  <c r="C413" i="3"/>
  <c r="L413" i="3"/>
  <c r="B413" i="3"/>
  <c r="J413" i="3"/>
  <c r="L415" i="3"/>
  <c r="D415" i="3"/>
  <c r="K415" i="3"/>
  <c r="C415" i="3"/>
  <c r="I415" i="3"/>
  <c r="H415" i="3"/>
  <c r="G415" i="3"/>
  <c r="F415" i="3"/>
  <c r="B415" i="3"/>
  <c r="D419" i="3"/>
  <c r="I424" i="3"/>
  <c r="H427" i="3"/>
  <c r="G427" i="3"/>
  <c r="I427" i="3"/>
  <c r="F427" i="3"/>
  <c r="E427" i="3"/>
  <c r="D427" i="3"/>
  <c r="L427" i="3"/>
  <c r="B427" i="3"/>
  <c r="I431" i="3"/>
  <c r="J461" i="3"/>
  <c r="D464" i="3"/>
  <c r="K468" i="3"/>
  <c r="C468" i="3"/>
  <c r="J468" i="3"/>
  <c r="B468" i="3"/>
  <c r="I468" i="3"/>
  <c r="H468" i="3"/>
  <c r="G468" i="3"/>
  <c r="F468" i="3"/>
  <c r="D468" i="3"/>
  <c r="I477" i="3"/>
  <c r="J479" i="3"/>
  <c r="J491" i="3"/>
  <c r="F524" i="3"/>
  <c r="J543" i="3"/>
  <c r="J555" i="3"/>
  <c r="B555" i="3"/>
  <c r="H555" i="3"/>
  <c r="G555" i="3"/>
  <c r="L555" i="3"/>
  <c r="K555" i="3"/>
  <c r="I555" i="3"/>
  <c r="F555" i="3"/>
  <c r="D555" i="3"/>
  <c r="D557" i="3"/>
  <c r="G562" i="3"/>
  <c r="M562" i="3"/>
  <c r="E562" i="3"/>
  <c r="L562" i="3"/>
  <c r="D562" i="3"/>
  <c r="J562" i="3"/>
  <c r="I562" i="3"/>
  <c r="H562" i="3"/>
  <c r="F562" i="3"/>
  <c r="B562" i="3"/>
  <c r="K579" i="3"/>
  <c r="J581" i="3"/>
  <c r="G583" i="3"/>
  <c r="F607" i="3"/>
  <c r="L607" i="3"/>
  <c r="D607" i="3"/>
  <c r="K607" i="3"/>
  <c r="C607" i="3"/>
  <c r="H607" i="3"/>
  <c r="G607" i="3"/>
  <c r="E607" i="3"/>
  <c r="B607" i="3"/>
  <c r="M607" i="3"/>
  <c r="H621" i="3"/>
  <c r="F621" i="3"/>
  <c r="M621" i="3"/>
  <c r="E621" i="3"/>
  <c r="K621" i="3"/>
  <c r="J621" i="3"/>
  <c r="I621" i="3"/>
  <c r="G621" i="3"/>
  <c r="C621" i="3"/>
  <c r="K629" i="3"/>
  <c r="K643" i="3"/>
  <c r="J645" i="3"/>
  <c r="G647" i="3"/>
  <c r="H717" i="3"/>
  <c r="G717" i="3"/>
  <c r="F717" i="3"/>
  <c r="M717" i="3"/>
  <c r="E717" i="3"/>
  <c r="L717" i="3"/>
  <c r="K717" i="3"/>
  <c r="J717" i="3"/>
  <c r="I717" i="3"/>
  <c r="C717" i="3"/>
  <c r="H762" i="3"/>
  <c r="M804" i="3"/>
  <c r="E804" i="3"/>
  <c r="L804" i="3"/>
  <c r="D804" i="3"/>
  <c r="K804" i="3"/>
  <c r="C804" i="3"/>
  <c r="J804" i="3"/>
  <c r="B804" i="3"/>
  <c r="I804" i="3"/>
  <c r="H804" i="3"/>
  <c r="F804" i="3"/>
  <c r="G826" i="3"/>
  <c r="F826" i="3"/>
  <c r="M826" i="3"/>
  <c r="E826" i="3"/>
  <c r="L826" i="3"/>
  <c r="D826" i="3"/>
  <c r="K826" i="3"/>
  <c r="J826" i="3"/>
  <c r="I826" i="3"/>
  <c r="C826" i="3"/>
  <c r="H863" i="3"/>
  <c r="M876" i="3"/>
  <c r="E876" i="3"/>
  <c r="L876" i="3"/>
  <c r="D876" i="3"/>
  <c r="K876" i="3"/>
  <c r="C876" i="3"/>
  <c r="J876" i="3"/>
  <c r="B876" i="3"/>
  <c r="I876" i="3"/>
  <c r="H876" i="3"/>
  <c r="G876" i="3"/>
  <c r="F876" i="3"/>
  <c r="M924" i="3"/>
  <c r="E924" i="3"/>
  <c r="L924" i="3"/>
  <c r="D924" i="3"/>
  <c r="K924" i="3"/>
  <c r="C924" i="3"/>
  <c r="J924" i="3"/>
  <c r="B924" i="3"/>
  <c r="G924" i="3"/>
  <c r="H924" i="3"/>
  <c r="H949" i="3"/>
  <c r="G949" i="3"/>
  <c r="F949" i="3"/>
  <c r="M949" i="3"/>
  <c r="E949" i="3"/>
  <c r="J949" i="3"/>
  <c r="B949" i="3"/>
  <c r="K949" i="3"/>
  <c r="I949" i="3"/>
  <c r="D949" i="3"/>
  <c r="C949" i="3"/>
  <c r="I957" i="3"/>
  <c r="M37" i="4"/>
  <c r="E37" i="4"/>
  <c r="L37" i="4"/>
  <c r="D37" i="4"/>
  <c r="K37" i="4"/>
  <c r="C37" i="4"/>
  <c r="J37" i="4"/>
  <c r="B37" i="4"/>
  <c r="G37" i="4"/>
  <c r="I37" i="4"/>
  <c r="H37" i="4"/>
  <c r="F37" i="4"/>
  <c r="F192" i="4"/>
  <c r="M192" i="4"/>
  <c r="E192" i="4"/>
  <c r="H192" i="4"/>
  <c r="G192" i="4"/>
  <c r="D192" i="4"/>
  <c r="C192" i="4"/>
  <c r="L192" i="4"/>
  <c r="B192" i="4"/>
  <c r="J192" i="4"/>
  <c r="K192" i="4"/>
  <c r="H246" i="4"/>
  <c r="G246" i="4"/>
  <c r="J246" i="4"/>
  <c r="I246" i="4"/>
  <c r="F246" i="4"/>
  <c r="E246" i="4"/>
  <c r="D246" i="4"/>
  <c r="L246" i="4"/>
  <c r="B246" i="4"/>
  <c r="M246" i="4"/>
  <c r="K246" i="4"/>
  <c r="C246" i="4"/>
  <c r="E65" i="3"/>
  <c r="H67" i="3"/>
  <c r="M67" i="3"/>
  <c r="E67" i="3"/>
  <c r="K67" i="3"/>
  <c r="I68" i="3"/>
  <c r="E73" i="3"/>
  <c r="H75" i="3"/>
  <c r="M75" i="3"/>
  <c r="E75" i="3"/>
  <c r="K75" i="3"/>
  <c r="I76" i="3"/>
  <c r="E80" i="3"/>
  <c r="I83" i="3"/>
  <c r="K137" i="3"/>
  <c r="K138" i="3"/>
  <c r="K139" i="3"/>
  <c r="J140" i="3"/>
  <c r="J141" i="3"/>
  <c r="L153" i="3"/>
  <c r="D153" i="3"/>
  <c r="J153" i="3"/>
  <c r="B153" i="3"/>
  <c r="G153" i="3"/>
  <c r="G154" i="3"/>
  <c r="M154" i="3"/>
  <c r="E154" i="3"/>
  <c r="J154" i="3"/>
  <c r="B154" i="3"/>
  <c r="J155" i="3"/>
  <c r="B155" i="3"/>
  <c r="H155" i="3"/>
  <c r="M155" i="3"/>
  <c r="E155" i="3"/>
  <c r="M156" i="3"/>
  <c r="E156" i="3"/>
  <c r="K156" i="3"/>
  <c r="C156" i="3"/>
  <c r="H156" i="3"/>
  <c r="H157" i="3"/>
  <c r="F157" i="3"/>
  <c r="K157" i="3"/>
  <c r="C157" i="3"/>
  <c r="M157" i="3"/>
  <c r="G194" i="3"/>
  <c r="M194" i="3"/>
  <c r="E194" i="3"/>
  <c r="L194" i="3"/>
  <c r="D194" i="3"/>
  <c r="J194" i="3"/>
  <c r="B194" i="3"/>
  <c r="L205" i="3"/>
  <c r="H221" i="3"/>
  <c r="F221" i="3"/>
  <c r="M221" i="3"/>
  <c r="E221" i="3"/>
  <c r="K221" i="3"/>
  <c r="C221" i="3"/>
  <c r="L227" i="3"/>
  <c r="L235" i="3"/>
  <c r="L243" i="3"/>
  <c r="I268" i="3"/>
  <c r="I274" i="3"/>
  <c r="M276" i="3"/>
  <c r="E276" i="3"/>
  <c r="L276" i="3"/>
  <c r="D276" i="3"/>
  <c r="K276" i="3"/>
  <c r="C276" i="3"/>
  <c r="J276" i="3"/>
  <c r="B276" i="3"/>
  <c r="H276" i="3"/>
  <c r="G282" i="3"/>
  <c r="F282" i="3"/>
  <c r="M282" i="3"/>
  <c r="E282" i="3"/>
  <c r="L282" i="3"/>
  <c r="D282" i="3"/>
  <c r="J282" i="3"/>
  <c r="B282" i="3"/>
  <c r="I301" i="3"/>
  <c r="H309" i="3"/>
  <c r="G309" i="3"/>
  <c r="F309" i="3"/>
  <c r="M309" i="3"/>
  <c r="E309" i="3"/>
  <c r="K309" i="3"/>
  <c r="C309" i="3"/>
  <c r="I325" i="3"/>
  <c r="G330" i="3"/>
  <c r="F330" i="3"/>
  <c r="M330" i="3"/>
  <c r="E330" i="3"/>
  <c r="L330" i="3"/>
  <c r="D330" i="3"/>
  <c r="J330" i="3"/>
  <c r="B330" i="3"/>
  <c r="B333" i="3"/>
  <c r="I340" i="3"/>
  <c r="G344" i="3"/>
  <c r="E344" i="3"/>
  <c r="M344" i="3"/>
  <c r="D344" i="3"/>
  <c r="L344" i="3"/>
  <c r="C344" i="3"/>
  <c r="K344" i="3"/>
  <c r="B344" i="3"/>
  <c r="I344" i="3"/>
  <c r="D348" i="3"/>
  <c r="G353" i="3"/>
  <c r="H355" i="3"/>
  <c r="G355" i="3"/>
  <c r="F355" i="3"/>
  <c r="E355" i="3"/>
  <c r="M355" i="3"/>
  <c r="D355" i="3"/>
  <c r="K355" i="3"/>
  <c r="B355" i="3"/>
  <c r="C397" i="3"/>
  <c r="B400" i="3"/>
  <c r="L407" i="3"/>
  <c r="D407" i="3"/>
  <c r="K407" i="3"/>
  <c r="C407" i="3"/>
  <c r="J407" i="3"/>
  <c r="I407" i="3"/>
  <c r="H407" i="3"/>
  <c r="G407" i="3"/>
  <c r="E407" i="3"/>
  <c r="H413" i="3"/>
  <c r="E415" i="3"/>
  <c r="K419" i="3"/>
  <c r="K424" i="3"/>
  <c r="C427" i="3"/>
  <c r="M431" i="3"/>
  <c r="H443" i="3"/>
  <c r="G443" i="3"/>
  <c r="E443" i="3"/>
  <c r="D443" i="3"/>
  <c r="M443" i="3"/>
  <c r="C443" i="3"/>
  <c r="L443" i="3"/>
  <c r="B443" i="3"/>
  <c r="J443" i="3"/>
  <c r="K461" i="3"/>
  <c r="K464" i="3"/>
  <c r="E468" i="3"/>
  <c r="K477" i="3"/>
  <c r="M479" i="3"/>
  <c r="K484" i="3"/>
  <c r="C484" i="3"/>
  <c r="J484" i="3"/>
  <c r="B484" i="3"/>
  <c r="G484" i="3"/>
  <c r="F484" i="3"/>
  <c r="E484" i="3"/>
  <c r="D484" i="3"/>
  <c r="L484" i="3"/>
  <c r="K491" i="3"/>
  <c r="F517" i="3"/>
  <c r="M517" i="3"/>
  <c r="E517" i="3"/>
  <c r="J517" i="3"/>
  <c r="I517" i="3"/>
  <c r="H517" i="3"/>
  <c r="G517" i="3"/>
  <c r="C517" i="3"/>
  <c r="M524" i="3"/>
  <c r="C555" i="3"/>
  <c r="L557" i="3"/>
  <c r="C562" i="3"/>
  <c r="M579" i="3"/>
  <c r="L581" i="3"/>
  <c r="I607" i="3"/>
  <c r="B621" i="3"/>
  <c r="L629" i="3"/>
  <c r="M643" i="3"/>
  <c r="L645" i="3"/>
  <c r="M652" i="3"/>
  <c r="E652" i="3"/>
  <c r="L652" i="3"/>
  <c r="D652" i="3"/>
  <c r="K652" i="3"/>
  <c r="C652" i="3"/>
  <c r="J652" i="3"/>
  <c r="B652" i="3"/>
  <c r="I652" i="3"/>
  <c r="H652" i="3"/>
  <c r="G652" i="3"/>
  <c r="F652" i="3"/>
  <c r="M684" i="3"/>
  <c r="E684" i="3"/>
  <c r="L684" i="3"/>
  <c r="D684" i="3"/>
  <c r="K684" i="3"/>
  <c r="C684" i="3"/>
  <c r="J684" i="3"/>
  <c r="B684" i="3"/>
  <c r="I684" i="3"/>
  <c r="H684" i="3"/>
  <c r="G684" i="3"/>
  <c r="F684" i="3"/>
  <c r="M708" i="3"/>
  <c r="E708" i="3"/>
  <c r="L708" i="3"/>
  <c r="D708" i="3"/>
  <c r="K708" i="3"/>
  <c r="C708" i="3"/>
  <c r="J708" i="3"/>
  <c r="B708" i="3"/>
  <c r="I708" i="3"/>
  <c r="H708" i="3"/>
  <c r="F708" i="3"/>
  <c r="B717" i="3"/>
  <c r="G730" i="3"/>
  <c r="F730" i="3"/>
  <c r="M730" i="3"/>
  <c r="E730" i="3"/>
  <c r="L730" i="3"/>
  <c r="D730" i="3"/>
  <c r="K730" i="3"/>
  <c r="J730" i="3"/>
  <c r="I730" i="3"/>
  <c r="C730" i="3"/>
  <c r="M780" i="3"/>
  <c r="E780" i="3"/>
  <c r="L780" i="3"/>
  <c r="D780" i="3"/>
  <c r="K780" i="3"/>
  <c r="C780" i="3"/>
  <c r="J780" i="3"/>
  <c r="B780" i="3"/>
  <c r="I780" i="3"/>
  <c r="H780" i="3"/>
  <c r="G780" i="3"/>
  <c r="F780" i="3"/>
  <c r="G804" i="3"/>
  <c r="B826" i="3"/>
  <c r="F831" i="3"/>
  <c r="M831" i="3"/>
  <c r="E831" i="3"/>
  <c r="L831" i="3"/>
  <c r="D831" i="3"/>
  <c r="K831" i="3"/>
  <c r="C831" i="3"/>
  <c r="J831" i="3"/>
  <c r="I831" i="3"/>
  <c r="G831" i="3"/>
  <c r="H877" i="3"/>
  <c r="G877" i="3"/>
  <c r="F877" i="3"/>
  <c r="M877" i="3"/>
  <c r="E877" i="3"/>
  <c r="L877" i="3"/>
  <c r="K877" i="3"/>
  <c r="J877" i="3"/>
  <c r="I877" i="3"/>
  <c r="C877" i="3"/>
  <c r="M916" i="3"/>
  <c r="E916" i="3"/>
  <c r="L916" i="3"/>
  <c r="D916" i="3"/>
  <c r="K916" i="3"/>
  <c r="C916" i="3"/>
  <c r="J916" i="3"/>
  <c r="B916" i="3"/>
  <c r="G916" i="3"/>
  <c r="I916" i="3"/>
  <c r="H916" i="3"/>
  <c r="F916" i="3"/>
  <c r="F924" i="3"/>
  <c r="F935" i="3"/>
  <c r="M935" i="3"/>
  <c r="E935" i="3"/>
  <c r="L935" i="3"/>
  <c r="D935" i="3"/>
  <c r="K935" i="3"/>
  <c r="C935" i="3"/>
  <c r="H935" i="3"/>
  <c r="J935" i="3"/>
  <c r="I935" i="3"/>
  <c r="G935" i="3"/>
  <c r="B935" i="3"/>
  <c r="L949" i="3"/>
  <c r="F983" i="3"/>
  <c r="M983" i="3"/>
  <c r="E983" i="3"/>
  <c r="L983" i="3"/>
  <c r="D983" i="3"/>
  <c r="K983" i="3"/>
  <c r="C983" i="3"/>
  <c r="H983" i="3"/>
  <c r="J983" i="3"/>
  <c r="I983" i="3"/>
  <c r="B983" i="3"/>
  <c r="H997" i="3"/>
  <c r="G997" i="3"/>
  <c r="F997" i="3"/>
  <c r="M997" i="3"/>
  <c r="E997" i="3"/>
  <c r="J997" i="3"/>
  <c r="B997" i="3"/>
  <c r="L997" i="3"/>
  <c r="K997" i="3"/>
  <c r="I997" i="3"/>
  <c r="C997" i="3"/>
  <c r="H230" i="4"/>
  <c r="G230" i="4"/>
  <c r="J230" i="4"/>
  <c r="I230" i="4"/>
  <c r="F230" i="4"/>
  <c r="E230" i="4"/>
  <c r="D230" i="4"/>
  <c r="L230" i="4"/>
  <c r="B230" i="4"/>
  <c r="M230" i="4"/>
  <c r="C230" i="4"/>
  <c r="L332" i="4"/>
  <c r="D332" i="4"/>
  <c r="K332" i="4"/>
  <c r="C332" i="4"/>
  <c r="J332" i="4"/>
  <c r="I332" i="4"/>
  <c r="E332" i="4"/>
  <c r="B332" i="4"/>
  <c r="M332" i="4"/>
  <c r="H332" i="4"/>
  <c r="G332" i="4"/>
  <c r="F332" i="4"/>
  <c r="F70" i="3"/>
  <c r="I71" i="3"/>
  <c r="F78" i="3"/>
  <c r="F86" i="3"/>
  <c r="D88" i="3"/>
  <c r="L88" i="3"/>
  <c r="F94" i="3"/>
  <c r="I95" i="3"/>
  <c r="D96" i="3"/>
  <c r="L96" i="3"/>
  <c r="F102" i="3"/>
  <c r="I103" i="3"/>
  <c r="D104" i="3"/>
  <c r="L104" i="3"/>
  <c r="F110" i="3"/>
  <c r="I111" i="3"/>
  <c r="D112" i="3"/>
  <c r="L112" i="3"/>
  <c r="F118" i="3"/>
  <c r="I119" i="3"/>
  <c r="D120" i="3"/>
  <c r="L120" i="3"/>
  <c r="I127" i="3"/>
  <c r="D128" i="3"/>
  <c r="L128" i="3"/>
  <c r="F134" i="3"/>
  <c r="I135" i="3"/>
  <c r="D136" i="3"/>
  <c r="L136" i="3"/>
  <c r="F142" i="3"/>
  <c r="I143" i="3"/>
  <c r="D144" i="3"/>
  <c r="L144" i="3"/>
  <c r="F150" i="3"/>
  <c r="I151" i="3"/>
  <c r="D152" i="3"/>
  <c r="L152" i="3"/>
  <c r="F158" i="3"/>
  <c r="I159" i="3"/>
  <c r="D160" i="3"/>
  <c r="L160" i="3"/>
  <c r="I167" i="3"/>
  <c r="D168" i="3"/>
  <c r="L168" i="3"/>
  <c r="F174" i="3"/>
  <c r="I175" i="3"/>
  <c r="D176" i="3"/>
  <c r="L176" i="3"/>
  <c r="F182" i="3"/>
  <c r="I183" i="3"/>
  <c r="D184" i="3"/>
  <c r="L184" i="3"/>
  <c r="G185" i="3"/>
  <c r="F190" i="3"/>
  <c r="I191" i="3"/>
  <c r="D192" i="3"/>
  <c r="L192" i="3"/>
  <c r="G193" i="3"/>
  <c r="F198" i="3"/>
  <c r="I199" i="3"/>
  <c r="D200" i="3"/>
  <c r="L200" i="3"/>
  <c r="G201" i="3"/>
  <c r="F206" i="3"/>
  <c r="I207" i="3"/>
  <c r="D208" i="3"/>
  <c r="L208" i="3"/>
  <c r="G209" i="3"/>
  <c r="F214" i="3"/>
  <c r="I215" i="3"/>
  <c r="D216" i="3"/>
  <c r="L216" i="3"/>
  <c r="G217" i="3"/>
  <c r="I223" i="3"/>
  <c r="G225" i="3"/>
  <c r="I231" i="3"/>
  <c r="G233" i="3"/>
  <c r="I239" i="3"/>
  <c r="G241" i="3"/>
  <c r="I247" i="3"/>
  <c r="G249" i="3"/>
  <c r="E251" i="3"/>
  <c r="M251" i="3"/>
  <c r="I255" i="3"/>
  <c r="G257" i="3"/>
  <c r="E259" i="3"/>
  <c r="M259" i="3"/>
  <c r="I263" i="3"/>
  <c r="G265" i="3"/>
  <c r="E267" i="3"/>
  <c r="M267" i="3"/>
  <c r="I271" i="3"/>
  <c r="G273" i="3"/>
  <c r="E275" i="3"/>
  <c r="M275" i="3"/>
  <c r="I279" i="3"/>
  <c r="G281" i="3"/>
  <c r="E283" i="3"/>
  <c r="M283" i="3"/>
  <c r="I287" i="3"/>
  <c r="G289" i="3"/>
  <c r="E291" i="3"/>
  <c r="M291" i="3"/>
  <c r="I295" i="3"/>
  <c r="G297" i="3"/>
  <c r="E299" i="3"/>
  <c r="M299" i="3"/>
  <c r="I303" i="3"/>
  <c r="G305" i="3"/>
  <c r="E307" i="3"/>
  <c r="M307" i="3"/>
  <c r="F310" i="3"/>
  <c r="I311" i="3"/>
  <c r="G313" i="3"/>
  <c r="E315" i="3"/>
  <c r="M315" i="3"/>
  <c r="I319" i="3"/>
  <c r="G321" i="3"/>
  <c r="E323" i="3"/>
  <c r="M323" i="3"/>
  <c r="F326" i="3"/>
  <c r="I327" i="3"/>
  <c r="G329" i="3"/>
  <c r="E331" i="3"/>
  <c r="M331" i="3"/>
  <c r="F334" i="3"/>
  <c r="I335" i="3"/>
  <c r="G337" i="3"/>
  <c r="E339" i="3"/>
  <c r="M339" i="3"/>
  <c r="M346" i="3"/>
  <c r="E346" i="3"/>
  <c r="J346" i="3"/>
  <c r="F347" i="3"/>
  <c r="H349" i="3"/>
  <c r="F354" i="3"/>
  <c r="M362" i="3"/>
  <c r="E362" i="3"/>
  <c r="J362" i="3"/>
  <c r="H365" i="3"/>
  <c r="F370" i="3"/>
  <c r="G373" i="3"/>
  <c r="M378" i="3"/>
  <c r="E378" i="3"/>
  <c r="L378" i="3"/>
  <c r="D378" i="3"/>
  <c r="K378" i="3"/>
  <c r="G380" i="3"/>
  <c r="E384" i="3"/>
  <c r="G391" i="3"/>
  <c r="E403" i="3"/>
  <c r="F405" i="3"/>
  <c r="M405" i="3"/>
  <c r="E405" i="3"/>
  <c r="K405" i="3"/>
  <c r="G410" i="3"/>
  <c r="K412" i="3"/>
  <c r="C412" i="3"/>
  <c r="J412" i="3"/>
  <c r="B412" i="3"/>
  <c r="M412" i="3"/>
  <c r="G416" i="3"/>
  <c r="F416" i="3"/>
  <c r="K416" i="3"/>
  <c r="L423" i="3"/>
  <c r="D423" i="3"/>
  <c r="K423" i="3"/>
  <c r="C423" i="3"/>
  <c r="M423" i="3"/>
  <c r="H435" i="3"/>
  <c r="G435" i="3"/>
  <c r="K435" i="3"/>
  <c r="G437" i="3"/>
  <c r="M442" i="3"/>
  <c r="E442" i="3"/>
  <c r="L442" i="3"/>
  <c r="D442" i="3"/>
  <c r="K442" i="3"/>
  <c r="G444" i="3"/>
  <c r="E448" i="3"/>
  <c r="G455" i="3"/>
  <c r="E467" i="3"/>
  <c r="F469" i="3"/>
  <c r="M469" i="3"/>
  <c r="E469" i="3"/>
  <c r="K469" i="3"/>
  <c r="G474" i="3"/>
  <c r="K476" i="3"/>
  <c r="C476" i="3"/>
  <c r="J476" i="3"/>
  <c r="B476" i="3"/>
  <c r="M476" i="3"/>
  <c r="G480" i="3"/>
  <c r="F480" i="3"/>
  <c r="K480" i="3"/>
  <c r="L487" i="3"/>
  <c r="D487" i="3"/>
  <c r="K487" i="3"/>
  <c r="C487" i="3"/>
  <c r="M487" i="3"/>
  <c r="H499" i="3"/>
  <c r="G499" i="3"/>
  <c r="K499" i="3"/>
  <c r="G501" i="3"/>
  <c r="M506" i="3"/>
  <c r="E506" i="3"/>
  <c r="L506" i="3"/>
  <c r="D506" i="3"/>
  <c r="K506" i="3"/>
  <c r="G508" i="3"/>
  <c r="E512" i="3"/>
  <c r="G519" i="3"/>
  <c r="H532" i="3"/>
  <c r="F535" i="3"/>
  <c r="L535" i="3"/>
  <c r="D535" i="3"/>
  <c r="K535" i="3"/>
  <c r="C535" i="3"/>
  <c r="H538" i="3"/>
  <c r="F539" i="3"/>
  <c r="G541" i="3"/>
  <c r="M564" i="3"/>
  <c r="E564" i="3"/>
  <c r="K564" i="3"/>
  <c r="C564" i="3"/>
  <c r="J564" i="3"/>
  <c r="B564" i="3"/>
  <c r="H567" i="3"/>
  <c r="G570" i="3"/>
  <c r="M570" i="3"/>
  <c r="E570" i="3"/>
  <c r="L570" i="3"/>
  <c r="D570" i="3"/>
  <c r="J571" i="3"/>
  <c r="B571" i="3"/>
  <c r="H571" i="3"/>
  <c r="G571" i="3"/>
  <c r="M571" i="3"/>
  <c r="H573" i="3"/>
  <c r="F573" i="3"/>
  <c r="M573" i="3"/>
  <c r="E573" i="3"/>
  <c r="L573" i="3"/>
  <c r="H596" i="3"/>
  <c r="F599" i="3"/>
  <c r="L599" i="3"/>
  <c r="D599" i="3"/>
  <c r="K599" i="3"/>
  <c r="C599" i="3"/>
  <c r="H602" i="3"/>
  <c r="F603" i="3"/>
  <c r="G605" i="3"/>
  <c r="M628" i="3"/>
  <c r="E628" i="3"/>
  <c r="K628" i="3"/>
  <c r="C628" i="3"/>
  <c r="J628" i="3"/>
  <c r="B628" i="3"/>
  <c r="H631" i="3"/>
  <c r="G634" i="3"/>
  <c r="M634" i="3"/>
  <c r="E634" i="3"/>
  <c r="L634" i="3"/>
  <c r="D634" i="3"/>
  <c r="J635" i="3"/>
  <c r="B635" i="3"/>
  <c r="H635" i="3"/>
  <c r="G635" i="3"/>
  <c r="M635" i="3"/>
  <c r="H637" i="3"/>
  <c r="F637" i="3"/>
  <c r="M637" i="3"/>
  <c r="E637" i="3"/>
  <c r="L637" i="3"/>
  <c r="I658" i="3"/>
  <c r="H661" i="3"/>
  <c r="G661" i="3"/>
  <c r="F661" i="3"/>
  <c r="M661" i="3"/>
  <c r="E661" i="3"/>
  <c r="G674" i="3"/>
  <c r="F674" i="3"/>
  <c r="M674" i="3"/>
  <c r="E674" i="3"/>
  <c r="L674" i="3"/>
  <c r="D674" i="3"/>
  <c r="I677" i="3"/>
  <c r="F679" i="3"/>
  <c r="M679" i="3"/>
  <c r="E679" i="3"/>
  <c r="L679" i="3"/>
  <c r="D679" i="3"/>
  <c r="K679" i="3"/>
  <c r="C679" i="3"/>
  <c r="I690" i="3"/>
  <c r="H693" i="3"/>
  <c r="G693" i="3"/>
  <c r="F693" i="3"/>
  <c r="M693" i="3"/>
  <c r="E693" i="3"/>
  <c r="G706" i="3"/>
  <c r="F706" i="3"/>
  <c r="M706" i="3"/>
  <c r="E706" i="3"/>
  <c r="L706" i="3"/>
  <c r="D706" i="3"/>
  <c r="I709" i="3"/>
  <c r="F711" i="3"/>
  <c r="M711" i="3"/>
  <c r="E711" i="3"/>
  <c r="L711" i="3"/>
  <c r="D711" i="3"/>
  <c r="K711" i="3"/>
  <c r="C711" i="3"/>
  <c r="I722" i="3"/>
  <c r="H725" i="3"/>
  <c r="G725" i="3"/>
  <c r="F725" i="3"/>
  <c r="M725" i="3"/>
  <c r="E725" i="3"/>
  <c r="G738" i="3"/>
  <c r="F738" i="3"/>
  <c r="M738" i="3"/>
  <c r="E738" i="3"/>
  <c r="L738" i="3"/>
  <c r="D738" i="3"/>
  <c r="I741" i="3"/>
  <c r="F743" i="3"/>
  <c r="M743" i="3"/>
  <c r="E743" i="3"/>
  <c r="L743" i="3"/>
  <c r="D743" i="3"/>
  <c r="K743" i="3"/>
  <c r="C743" i="3"/>
  <c r="I754" i="3"/>
  <c r="H757" i="3"/>
  <c r="G757" i="3"/>
  <c r="F757" i="3"/>
  <c r="M757" i="3"/>
  <c r="E757" i="3"/>
  <c r="G770" i="3"/>
  <c r="F770" i="3"/>
  <c r="M770" i="3"/>
  <c r="E770" i="3"/>
  <c r="L770" i="3"/>
  <c r="D770" i="3"/>
  <c r="I773" i="3"/>
  <c r="F775" i="3"/>
  <c r="M775" i="3"/>
  <c r="E775" i="3"/>
  <c r="L775" i="3"/>
  <c r="D775" i="3"/>
  <c r="K775" i="3"/>
  <c r="C775" i="3"/>
  <c r="I786" i="3"/>
  <c r="H789" i="3"/>
  <c r="G789" i="3"/>
  <c r="F789" i="3"/>
  <c r="M789" i="3"/>
  <c r="E789" i="3"/>
  <c r="G802" i="3"/>
  <c r="F802" i="3"/>
  <c r="M802" i="3"/>
  <c r="E802" i="3"/>
  <c r="L802" i="3"/>
  <c r="D802" i="3"/>
  <c r="I805" i="3"/>
  <c r="F807" i="3"/>
  <c r="M807" i="3"/>
  <c r="E807" i="3"/>
  <c r="L807" i="3"/>
  <c r="D807" i="3"/>
  <c r="K807" i="3"/>
  <c r="C807" i="3"/>
  <c r="I818" i="3"/>
  <c r="H821" i="3"/>
  <c r="G821" i="3"/>
  <c r="F821" i="3"/>
  <c r="M821" i="3"/>
  <c r="E821" i="3"/>
  <c r="G834" i="3"/>
  <c r="F834" i="3"/>
  <c r="M834" i="3"/>
  <c r="E834" i="3"/>
  <c r="L834" i="3"/>
  <c r="D834" i="3"/>
  <c r="I837" i="3"/>
  <c r="F839" i="3"/>
  <c r="M839" i="3"/>
  <c r="E839" i="3"/>
  <c r="L839" i="3"/>
  <c r="D839" i="3"/>
  <c r="K839" i="3"/>
  <c r="C839" i="3"/>
  <c r="I850" i="3"/>
  <c r="H853" i="3"/>
  <c r="G853" i="3"/>
  <c r="F853" i="3"/>
  <c r="M853" i="3"/>
  <c r="E853" i="3"/>
  <c r="G866" i="3"/>
  <c r="F866" i="3"/>
  <c r="M866" i="3"/>
  <c r="E866" i="3"/>
  <c r="L866" i="3"/>
  <c r="D866" i="3"/>
  <c r="I869" i="3"/>
  <c r="F871" i="3"/>
  <c r="M871" i="3"/>
  <c r="E871" i="3"/>
  <c r="L871" i="3"/>
  <c r="D871" i="3"/>
  <c r="K871" i="3"/>
  <c r="C871" i="3"/>
  <c r="I882" i="3"/>
  <c r="H885" i="3"/>
  <c r="G885" i="3"/>
  <c r="F885" i="3"/>
  <c r="M885" i="3"/>
  <c r="E885" i="3"/>
  <c r="G898" i="3"/>
  <c r="F898" i="3"/>
  <c r="M898" i="3"/>
  <c r="E898" i="3"/>
  <c r="L898" i="3"/>
  <c r="D898" i="3"/>
  <c r="H909" i="3"/>
  <c r="G909" i="3"/>
  <c r="F909" i="3"/>
  <c r="M909" i="3"/>
  <c r="E909" i="3"/>
  <c r="J909" i="3"/>
  <c r="B909" i="3"/>
  <c r="M940" i="3"/>
  <c r="E940" i="3"/>
  <c r="L940" i="3"/>
  <c r="D940" i="3"/>
  <c r="K940" i="3"/>
  <c r="C940" i="3"/>
  <c r="J940" i="3"/>
  <c r="B940" i="3"/>
  <c r="G940" i="3"/>
  <c r="F959" i="3"/>
  <c r="M959" i="3"/>
  <c r="E959" i="3"/>
  <c r="L959" i="3"/>
  <c r="D959" i="3"/>
  <c r="K959" i="3"/>
  <c r="C959" i="3"/>
  <c r="H959" i="3"/>
  <c r="H973" i="3"/>
  <c r="G973" i="3"/>
  <c r="F973" i="3"/>
  <c r="M973" i="3"/>
  <c r="E973" i="3"/>
  <c r="J973" i="3"/>
  <c r="B973" i="3"/>
  <c r="M5" i="4"/>
  <c r="E5" i="4"/>
  <c r="L5" i="4"/>
  <c r="D5" i="4"/>
  <c r="K5" i="4"/>
  <c r="C5" i="4"/>
  <c r="J5" i="4"/>
  <c r="B5" i="4"/>
  <c r="G5" i="4"/>
  <c r="H198" i="4"/>
  <c r="G198" i="4"/>
  <c r="J198" i="4"/>
  <c r="I198" i="4"/>
  <c r="F198" i="4"/>
  <c r="E198" i="4"/>
  <c r="D198" i="4"/>
  <c r="L198" i="4"/>
  <c r="B198" i="4"/>
  <c r="H206" i="4"/>
  <c r="G206" i="4"/>
  <c r="F206" i="4"/>
  <c r="E206" i="4"/>
  <c r="D206" i="4"/>
  <c r="M206" i="4"/>
  <c r="C206" i="4"/>
  <c r="L206" i="4"/>
  <c r="B206" i="4"/>
  <c r="J206" i="4"/>
  <c r="H238" i="4"/>
  <c r="G238" i="4"/>
  <c r="J238" i="4"/>
  <c r="I238" i="4"/>
  <c r="F238" i="4"/>
  <c r="E238" i="4"/>
  <c r="D238" i="4"/>
  <c r="L238" i="4"/>
  <c r="B238" i="4"/>
  <c r="G259" i="4"/>
  <c r="F259" i="4"/>
  <c r="H259" i="4"/>
  <c r="E259" i="4"/>
  <c r="D259" i="4"/>
  <c r="M259" i="4"/>
  <c r="C259" i="4"/>
  <c r="L259" i="4"/>
  <c r="B259" i="4"/>
  <c r="J259" i="4"/>
  <c r="L348" i="4"/>
  <c r="D348" i="4"/>
  <c r="K348" i="4"/>
  <c r="C348" i="4"/>
  <c r="J348" i="4"/>
  <c r="I348" i="4"/>
  <c r="E348" i="4"/>
  <c r="B348" i="4"/>
  <c r="M348" i="4"/>
  <c r="H348" i="4"/>
  <c r="G348" i="4"/>
  <c r="F348" i="4"/>
  <c r="G429" i="4"/>
  <c r="F429" i="4"/>
  <c r="E429" i="4"/>
  <c r="D429" i="4"/>
  <c r="M429" i="4"/>
  <c r="C429" i="4"/>
  <c r="L429" i="4"/>
  <c r="B429" i="4"/>
  <c r="J429" i="4"/>
  <c r="I429" i="4"/>
  <c r="H429" i="4"/>
  <c r="G477" i="4"/>
  <c r="F477" i="4"/>
  <c r="E477" i="4"/>
  <c r="D477" i="4"/>
  <c r="M477" i="4"/>
  <c r="C477" i="4"/>
  <c r="L477" i="4"/>
  <c r="B477" i="4"/>
  <c r="J477" i="4"/>
  <c r="I477" i="4"/>
  <c r="K477" i="4"/>
  <c r="H477" i="4"/>
  <c r="M519" i="4"/>
  <c r="E519" i="4"/>
  <c r="L519" i="4"/>
  <c r="D519" i="4"/>
  <c r="G519" i="4"/>
  <c r="F519" i="4"/>
  <c r="C519" i="4"/>
  <c r="B519" i="4"/>
  <c r="J519" i="4"/>
  <c r="I519" i="4"/>
  <c r="H519" i="4"/>
  <c r="I185" i="3"/>
  <c r="I193" i="3"/>
  <c r="I201" i="3"/>
  <c r="I209" i="3"/>
  <c r="I217" i="3"/>
  <c r="I225" i="3"/>
  <c r="I233" i="3"/>
  <c r="I241" i="3"/>
  <c r="I249" i="3"/>
  <c r="G251" i="3"/>
  <c r="I257" i="3"/>
  <c r="G259" i="3"/>
  <c r="I265" i="3"/>
  <c r="G267" i="3"/>
  <c r="I273" i="3"/>
  <c r="G275" i="3"/>
  <c r="I281" i="3"/>
  <c r="G283" i="3"/>
  <c r="I289" i="3"/>
  <c r="G291" i="3"/>
  <c r="I297" i="3"/>
  <c r="G299" i="3"/>
  <c r="I305" i="3"/>
  <c r="G307" i="3"/>
  <c r="I313" i="3"/>
  <c r="G315" i="3"/>
  <c r="I321" i="3"/>
  <c r="G323" i="3"/>
  <c r="I329" i="3"/>
  <c r="G331" i="3"/>
  <c r="I337" i="3"/>
  <c r="G339" i="3"/>
  <c r="J349" i="3"/>
  <c r="L351" i="3"/>
  <c r="D351" i="3"/>
  <c r="J351" i="3"/>
  <c r="H354" i="3"/>
  <c r="J365" i="3"/>
  <c r="L367" i="3"/>
  <c r="D367" i="3"/>
  <c r="J367" i="3"/>
  <c r="H370" i="3"/>
  <c r="I373" i="3"/>
  <c r="L375" i="3"/>
  <c r="D375" i="3"/>
  <c r="K375" i="3"/>
  <c r="C375" i="3"/>
  <c r="M375" i="3"/>
  <c r="I380" i="3"/>
  <c r="I384" i="3"/>
  <c r="H387" i="3"/>
  <c r="G387" i="3"/>
  <c r="K387" i="3"/>
  <c r="I391" i="3"/>
  <c r="M394" i="3"/>
  <c r="E394" i="3"/>
  <c r="L394" i="3"/>
  <c r="D394" i="3"/>
  <c r="K394" i="3"/>
  <c r="I403" i="3"/>
  <c r="I410" i="3"/>
  <c r="F421" i="3"/>
  <c r="M421" i="3"/>
  <c r="E421" i="3"/>
  <c r="K421" i="3"/>
  <c r="K428" i="3"/>
  <c r="C428" i="3"/>
  <c r="J428" i="3"/>
  <c r="B428" i="3"/>
  <c r="M428" i="3"/>
  <c r="G432" i="3"/>
  <c r="F432" i="3"/>
  <c r="K432" i="3"/>
  <c r="I437" i="3"/>
  <c r="L439" i="3"/>
  <c r="D439" i="3"/>
  <c r="K439" i="3"/>
  <c r="C439" i="3"/>
  <c r="M439" i="3"/>
  <c r="I444" i="3"/>
  <c r="I448" i="3"/>
  <c r="H451" i="3"/>
  <c r="G451" i="3"/>
  <c r="K451" i="3"/>
  <c r="I455" i="3"/>
  <c r="M458" i="3"/>
  <c r="E458" i="3"/>
  <c r="L458" i="3"/>
  <c r="D458" i="3"/>
  <c r="K458" i="3"/>
  <c r="I467" i="3"/>
  <c r="I474" i="3"/>
  <c r="F485" i="3"/>
  <c r="M485" i="3"/>
  <c r="E485" i="3"/>
  <c r="K485" i="3"/>
  <c r="K492" i="3"/>
  <c r="C492" i="3"/>
  <c r="J492" i="3"/>
  <c r="B492" i="3"/>
  <c r="M492" i="3"/>
  <c r="G496" i="3"/>
  <c r="F496" i="3"/>
  <c r="K496" i="3"/>
  <c r="I501" i="3"/>
  <c r="L503" i="3"/>
  <c r="D503" i="3"/>
  <c r="K503" i="3"/>
  <c r="C503" i="3"/>
  <c r="M503" i="3"/>
  <c r="I508" i="3"/>
  <c r="I512" i="3"/>
  <c r="H515" i="3"/>
  <c r="G515" i="3"/>
  <c r="K515" i="3"/>
  <c r="I519" i="3"/>
  <c r="M522" i="3"/>
  <c r="E522" i="3"/>
  <c r="L522" i="3"/>
  <c r="D522" i="3"/>
  <c r="K522" i="3"/>
  <c r="J538" i="3"/>
  <c r="K539" i="3"/>
  <c r="J541" i="3"/>
  <c r="F551" i="3"/>
  <c r="L551" i="3"/>
  <c r="D551" i="3"/>
  <c r="K551" i="3"/>
  <c r="C551" i="3"/>
  <c r="J567" i="3"/>
  <c r="M580" i="3"/>
  <c r="E580" i="3"/>
  <c r="K580" i="3"/>
  <c r="C580" i="3"/>
  <c r="J580" i="3"/>
  <c r="B580" i="3"/>
  <c r="G586" i="3"/>
  <c r="M586" i="3"/>
  <c r="E586" i="3"/>
  <c r="L586" i="3"/>
  <c r="D586" i="3"/>
  <c r="J587" i="3"/>
  <c r="B587" i="3"/>
  <c r="H587" i="3"/>
  <c r="G587" i="3"/>
  <c r="M587" i="3"/>
  <c r="H589" i="3"/>
  <c r="F589" i="3"/>
  <c r="M589" i="3"/>
  <c r="E589" i="3"/>
  <c r="L589" i="3"/>
  <c r="J602" i="3"/>
  <c r="K603" i="3"/>
  <c r="J605" i="3"/>
  <c r="F615" i="3"/>
  <c r="L615" i="3"/>
  <c r="D615" i="3"/>
  <c r="K615" i="3"/>
  <c r="C615" i="3"/>
  <c r="J631" i="3"/>
  <c r="M644" i="3"/>
  <c r="E644" i="3"/>
  <c r="K644" i="3"/>
  <c r="C644" i="3"/>
  <c r="J644" i="3"/>
  <c r="B644" i="3"/>
  <c r="G650" i="3"/>
  <c r="F650" i="3"/>
  <c r="M650" i="3"/>
  <c r="E650" i="3"/>
  <c r="L650" i="3"/>
  <c r="D650" i="3"/>
  <c r="F655" i="3"/>
  <c r="M655" i="3"/>
  <c r="E655" i="3"/>
  <c r="L655" i="3"/>
  <c r="D655" i="3"/>
  <c r="K655" i="3"/>
  <c r="C655" i="3"/>
  <c r="H669" i="3"/>
  <c r="G669" i="3"/>
  <c r="F669" i="3"/>
  <c r="M669" i="3"/>
  <c r="E669" i="3"/>
  <c r="K677" i="3"/>
  <c r="G682" i="3"/>
  <c r="F682" i="3"/>
  <c r="M682" i="3"/>
  <c r="E682" i="3"/>
  <c r="L682" i="3"/>
  <c r="D682" i="3"/>
  <c r="F687" i="3"/>
  <c r="M687" i="3"/>
  <c r="E687" i="3"/>
  <c r="L687" i="3"/>
  <c r="D687" i="3"/>
  <c r="K687" i="3"/>
  <c r="C687" i="3"/>
  <c r="H701" i="3"/>
  <c r="G701" i="3"/>
  <c r="F701" i="3"/>
  <c r="M701" i="3"/>
  <c r="E701" i="3"/>
  <c r="K709" i="3"/>
  <c r="G714" i="3"/>
  <c r="F714" i="3"/>
  <c r="M714" i="3"/>
  <c r="E714" i="3"/>
  <c r="L714" i="3"/>
  <c r="D714" i="3"/>
  <c r="F719" i="3"/>
  <c r="M719" i="3"/>
  <c r="E719" i="3"/>
  <c r="L719" i="3"/>
  <c r="D719" i="3"/>
  <c r="K719" i="3"/>
  <c r="C719" i="3"/>
  <c r="H733" i="3"/>
  <c r="G733" i="3"/>
  <c r="F733" i="3"/>
  <c r="M733" i="3"/>
  <c r="E733" i="3"/>
  <c r="K741" i="3"/>
  <c r="G746" i="3"/>
  <c r="F746" i="3"/>
  <c r="M746" i="3"/>
  <c r="E746" i="3"/>
  <c r="L746" i="3"/>
  <c r="D746" i="3"/>
  <c r="F751" i="3"/>
  <c r="M751" i="3"/>
  <c r="E751" i="3"/>
  <c r="L751" i="3"/>
  <c r="D751" i="3"/>
  <c r="K751" i="3"/>
  <c r="C751" i="3"/>
  <c r="H765" i="3"/>
  <c r="G765" i="3"/>
  <c r="F765" i="3"/>
  <c r="M765" i="3"/>
  <c r="E765" i="3"/>
  <c r="K773" i="3"/>
  <c r="G778" i="3"/>
  <c r="F778" i="3"/>
  <c r="M778" i="3"/>
  <c r="E778" i="3"/>
  <c r="L778" i="3"/>
  <c r="D778" i="3"/>
  <c r="F783" i="3"/>
  <c r="M783" i="3"/>
  <c r="E783" i="3"/>
  <c r="L783" i="3"/>
  <c r="D783" i="3"/>
  <c r="K783" i="3"/>
  <c r="C783" i="3"/>
  <c r="H797" i="3"/>
  <c r="G797" i="3"/>
  <c r="F797" i="3"/>
  <c r="M797" i="3"/>
  <c r="E797" i="3"/>
  <c r="K805" i="3"/>
  <c r="G810" i="3"/>
  <c r="F810" i="3"/>
  <c r="M810" i="3"/>
  <c r="E810" i="3"/>
  <c r="L810" i="3"/>
  <c r="D810" i="3"/>
  <c r="F815" i="3"/>
  <c r="M815" i="3"/>
  <c r="E815" i="3"/>
  <c r="L815" i="3"/>
  <c r="D815" i="3"/>
  <c r="K815" i="3"/>
  <c r="C815" i="3"/>
  <c r="H829" i="3"/>
  <c r="G829" i="3"/>
  <c r="F829" i="3"/>
  <c r="M829" i="3"/>
  <c r="E829" i="3"/>
  <c r="K837" i="3"/>
  <c r="G842" i="3"/>
  <c r="F842" i="3"/>
  <c r="M842" i="3"/>
  <c r="E842" i="3"/>
  <c r="L842" i="3"/>
  <c r="D842" i="3"/>
  <c r="F847" i="3"/>
  <c r="M847" i="3"/>
  <c r="E847" i="3"/>
  <c r="L847" i="3"/>
  <c r="D847" i="3"/>
  <c r="K847" i="3"/>
  <c r="C847" i="3"/>
  <c r="H861" i="3"/>
  <c r="G861" i="3"/>
  <c r="F861" i="3"/>
  <c r="M861" i="3"/>
  <c r="E861" i="3"/>
  <c r="K869" i="3"/>
  <c r="G874" i="3"/>
  <c r="F874" i="3"/>
  <c r="M874" i="3"/>
  <c r="E874" i="3"/>
  <c r="L874" i="3"/>
  <c r="D874" i="3"/>
  <c r="F879" i="3"/>
  <c r="M879" i="3"/>
  <c r="E879" i="3"/>
  <c r="L879" i="3"/>
  <c r="D879" i="3"/>
  <c r="K879" i="3"/>
  <c r="C879" i="3"/>
  <c r="H893" i="3"/>
  <c r="G893" i="3"/>
  <c r="F893" i="3"/>
  <c r="M893" i="3"/>
  <c r="E893" i="3"/>
  <c r="F911" i="3"/>
  <c r="M911" i="3"/>
  <c r="E911" i="3"/>
  <c r="L911" i="3"/>
  <c r="D911" i="3"/>
  <c r="K911" i="3"/>
  <c r="C911" i="3"/>
  <c r="H911" i="3"/>
  <c r="H925" i="3"/>
  <c r="G925" i="3"/>
  <c r="F925" i="3"/>
  <c r="M925" i="3"/>
  <c r="E925" i="3"/>
  <c r="J925" i="3"/>
  <c r="B925" i="3"/>
  <c r="M956" i="3"/>
  <c r="E956" i="3"/>
  <c r="L956" i="3"/>
  <c r="D956" i="3"/>
  <c r="K956" i="3"/>
  <c r="C956" i="3"/>
  <c r="J956" i="3"/>
  <c r="B956" i="3"/>
  <c r="G956" i="3"/>
  <c r="F975" i="3"/>
  <c r="M975" i="3"/>
  <c r="E975" i="3"/>
  <c r="L975" i="3"/>
  <c r="D975" i="3"/>
  <c r="K975" i="3"/>
  <c r="C975" i="3"/>
  <c r="H975" i="3"/>
  <c r="H989" i="3"/>
  <c r="G989" i="3"/>
  <c r="F989" i="3"/>
  <c r="M989" i="3"/>
  <c r="E989" i="3"/>
  <c r="J989" i="3"/>
  <c r="B989" i="3"/>
  <c r="G195" i="4"/>
  <c r="F195" i="4"/>
  <c r="J195" i="4"/>
  <c r="I195" i="4"/>
  <c r="H195" i="4"/>
  <c r="E195" i="4"/>
  <c r="D195" i="4"/>
  <c r="L195" i="4"/>
  <c r="B195" i="4"/>
  <c r="H254" i="4"/>
  <c r="G254" i="4"/>
  <c r="J254" i="4"/>
  <c r="I254" i="4"/>
  <c r="F254" i="4"/>
  <c r="E254" i="4"/>
  <c r="D254" i="4"/>
  <c r="L254" i="4"/>
  <c r="B254" i="4"/>
  <c r="L316" i="4"/>
  <c r="D316" i="4"/>
  <c r="K316" i="4"/>
  <c r="C316" i="4"/>
  <c r="J316" i="4"/>
  <c r="I316" i="4"/>
  <c r="E316" i="4"/>
  <c r="B316" i="4"/>
  <c r="M316" i="4"/>
  <c r="H316" i="4"/>
  <c r="G316" i="4"/>
  <c r="F316" i="4"/>
  <c r="F546" i="4"/>
  <c r="M546" i="4"/>
  <c r="E546" i="4"/>
  <c r="J546" i="4"/>
  <c r="I546" i="4"/>
  <c r="H546" i="4"/>
  <c r="G546" i="4"/>
  <c r="C546" i="4"/>
  <c r="L546" i="4"/>
  <c r="B546" i="4"/>
  <c r="D546" i="4"/>
  <c r="M583" i="4"/>
  <c r="E583" i="4"/>
  <c r="L583" i="4"/>
  <c r="D583" i="4"/>
  <c r="G583" i="4"/>
  <c r="F583" i="4"/>
  <c r="C583" i="4"/>
  <c r="B583" i="4"/>
  <c r="J583" i="4"/>
  <c r="I583" i="4"/>
  <c r="K583" i="4"/>
  <c r="H583" i="4"/>
  <c r="D71" i="3"/>
  <c r="G88" i="3"/>
  <c r="D95" i="3"/>
  <c r="G96" i="3"/>
  <c r="D103" i="3"/>
  <c r="G104" i="3"/>
  <c r="D111" i="3"/>
  <c r="G112" i="3"/>
  <c r="D119" i="3"/>
  <c r="G120" i="3"/>
  <c r="D127" i="3"/>
  <c r="G128" i="3"/>
  <c r="D135" i="3"/>
  <c r="G136" i="3"/>
  <c r="D143" i="3"/>
  <c r="G144" i="3"/>
  <c r="D151" i="3"/>
  <c r="G152" i="3"/>
  <c r="D159" i="3"/>
  <c r="G160" i="3"/>
  <c r="D167" i="3"/>
  <c r="G168" i="3"/>
  <c r="I174" i="3"/>
  <c r="D175" i="3"/>
  <c r="L175" i="3"/>
  <c r="G176" i="3"/>
  <c r="I182" i="3"/>
  <c r="B185" i="3"/>
  <c r="J185" i="3"/>
  <c r="I190" i="3"/>
  <c r="B193" i="3"/>
  <c r="J193" i="3"/>
  <c r="I198" i="3"/>
  <c r="B201" i="3"/>
  <c r="J201" i="3"/>
  <c r="I206" i="3"/>
  <c r="B209" i="3"/>
  <c r="J209" i="3"/>
  <c r="I214" i="3"/>
  <c r="B217" i="3"/>
  <c r="J217" i="3"/>
  <c r="I222" i="3"/>
  <c r="D223" i="3"/>
  <c r="L223" i="3"/>
  <c r="G224" i="3"/>
  <c r="B225" i="3"/>
  <c r="J225" i="3"/>
  <c r="I230" i="3"/>
  <c r="D231" i="3"/>
  <c r="L231" i="3"/>
  <c r="B233" i="3"/>
  <c r="J233" i="3"/>
  <c r="I238" i="3"/>
  <c r="D239" i="3"/>
  <c r="L239" i="3"/>
  <c r="B241" i="3"/>
  <c r="J241" i="3"/>
  <c r="I246" i="3"/>
  <c r="D247" i="3"/>
  <c r="L247" i="3"/>
  <c r="B249" i="3"/>
  <c r="J249" i="3"/>
  <c r="H251" i="3"/>
  <c r="I254" i="3"/>
  <c r="D255" i="3"/>
  <c r="L255" i="3"/>
  <c r="B257" i="3"/>
  <c r="J257" i="3"/>
  <c r="H259" i="3"/>
  <c r="I262" i="3"/>
  <c r="D263" i="3"/>
  <c r="L263" i="3"/>
  <c r="B265" i="3"/>
  <c r="J265" i="3"/>
  <c r="H267" i="3"/>
  <c r="I270" i="3"/>
  <c r="D271" i="3"/>
  <c r="L271" i="3"/>
  <c r="B273" i="3"/>
  <c r="J273" i="3"/>
  <c r="H275" i="3"/>
  <c r="I278" i="3"/>
  <c r="D279" i="3"/>
  <c r="L279" i="3"/>
  <c r="B281" i="3"/>
  <c r="J281" i="3"/>
  <c r="H283" i="3"/>
  <c r="I286" i="3"/>
  <c r="D287" i="3"/>
  <c r="L287" i="3"/>
  <c r="B289" i="3"/>
  <c r="J289" i="3"/>
  <c r="H291" i="3"/>
  <c r="I294" i="3"/>
  <c r="D295" i="3"/>
  <c r="L295" i="3"/>
  <c r="B297" i="3"/>
  <c r="J297" i="3"/>
  <c r="H299" i="3"/>
  <c r="I302" i="3"/>
  <c r="D303" i="3"/>
  <c r="L303" i="3"/>
  <c r="B305" i="3"/>
  <c r="J305" i="3"/>
  <c r="H307" i="3"/>
  <c r="I310" i="3"/>
  <c r="D311" i="3"/>
  <c r="L311" i="3"/>
  <c r="B313" i="3"/>
  <c r="J313" i="3"/>
  <c r="H315" i="3"/>
  <c r="I318" i="3"/>
  <c r="D319" i="3"/>
  <c r="L319" i="3"/>
  <c r="B321" i="3"/>
  <c r="J321" i="3"/>
  <c r="H323" i="3"/>
  <c r="I326" i="3"/>
  <c r="D327" i="3"/>
  <c r="L327" i="3"/>
  <c r="B329" i="3"/>
  <c r="J329" i="3"/>
  <c r="H331" i="3"/>
  <c r="I334" i="3"/>
  <c r="D335" i="3"/>
  <c r="L335" i="3"/>
  <c r="B337" i="3"/>
  <c r="J337" i="3"/>
  <c r="H339" i="3"/>
  <c r="J347" i="3"/>
  <c r="B349" i="3"/>
  <c r="K349" i="3"/>
  <c r="B351" i="3"/>
  <c r="K351" i="3"/>
  <c r="K356" i="3"/>
  <c r="C356" i="3"/>
  <c r="J356" i="3"/>
  <c r="D362" i="3"/>
  <c r="J363" i="3"/>
  <c r="B365" i="3"/>
  <c r="K365" i="3"/>
  <c r="B367" i="3"/>
  <c r="K367" i="3"/>
  <c r="K372" i="3"/>
  <c r="C372" i="3"/>
  <c r="J372" i="3"/>
  <c r="B372" i="3"/>
  <c r="M372" i="3"/>
  <c r="B375" i="3"/>
  <c r="G376" i="3"/>
  <c r="F376" i="3"/>
  <c r="K376" i="3"/>
  <c r="F378" i="3"/>
  <c r="L383" i="3"/>
  <c r="D383" i="3"/>
  <c r="K383" i="3"/>
  <c r="C383" i="3"/>
  <c r="M383" i="3"/>
  <c r="B387" i="3"/>
  <c r="L387" i="3"/>
  <c r="B394" i="3"/>
  <c r="H395" i="3"/>
  <c r="G395" i="3"/>
  <c r="K395" i="3"/>
  <c r="M402" i="3"/>
  <c r="E402" i="3"/>
  <c r="L402" i="3"/>
  <c r="D402" i="3"/>
  <c r="K402" i="3"/>
  <c r="D405" i="3"/>
  <c r="F412" i="3"/>
  <c r="D416" i="3"/>
  <c r="B421" i="3"/>
  <c r="L421" i="3"/>
  <c r="F423" i="3"/>
  <c r="D428" i="3"/>
  <c r="F429" i="3"/>
  <c r="M429" i="3"/>
  <c r="E429" i="3"/>
  <c r="K429" i="3"/>
  <c r="B432" i="3"/>
  <c r="L432" i="3"/>
  <c r="D435" i="3"/>
  <c r="K436" i="3"/>
  <c r="C436" i="3"/>
  <c r="J436" i="3"/>
  <c r="B436" i="3"/>
  <c r="M436" i="3"/>
  <c r="B439" i="3"/>
  <c r="G440" i="3"/>
  <c r="F440" i="3"/>
  <c r="K440" i="3"/>
  <c r="F442" i="3"/>
  <c r="L447" i="3"/>
  <c r="D447" i="3"/>
  <c r="K447" i="3"/>
  <c r="C447" i="3"/>
  <c r="M447" i="3"/>
  <c r="B451" i="3"/>
  <c r="L451" i="3"/>
  <c r="B458" i="3"/>
  <c r="H459" i="3"/>
  <c r="G459" i="3"/>
  <c r="K459" i="3"/>
  <c r="M466" i="3"/>
  <c r="E466" i="3"/>
  <c r="L466" i="3"/>
  <c r="D466" i="3"/>
  <c r="K466" i="3"/>
  <c r="D469" i="3"/>
  <c r="F476" i="3"/>
  <c r="D480" i="3"/>
  <c r="B485" i="3"/>
  <c r="L485" i="3"/>
  <c r="F487" i="3"/>
  <c r="D492" i="3"/>
  <c r="F493" i="3"/>
  <c r="M493" i="3"/>
  <c r="E493" i="3"/>
  <c r="K493" i="3"/>
  <c r="B496" i="3"/>
  <c r="L496" i="3"/>
  <c r="D499" i="3"/>
  <c r="K500" i="3"/>
  <c r="C500" i="3"/>
  <c r="J500" i="3"/>
  <c r="B500" i="3"/>
  <c r="M500" i="3"/>
  <c r="B503" i="3"/>
  <c r="G504" i="3"/>
  <c r="F504" i="3"/>
  <c r="K504" i="3"/>
  <c r="F506" i="3"/>
  <c r="L511" i="3"/>
  <c r="D511" i="3"/>
  <c r="K511" i="3"/>
  <c r="C511" i="3"/>
  <c r="M511" i="3"/>
  <c r="B515" i="3"/>
  <c r="L515" i="3"/>
  <c r="B522" i="3"/>
  <c r="H523" i="3"/>
  <c r="G523" i="3"/>
  <c r="K523" i="3"/>
  <c r="G530" i="3"/>
  <c r="M530" i="3"/>
  <c r="E530" i="3"/>
  <c r="L530" i="3"/>
  <c r="D530" i="3"/>
  <c r="J531" i="3"/>
  <c r="B531" i="3"/>
  <c r="H531" i="3"/>
  <c r="G531" i="3"/>
  <c r="M531" i="3"/>
  <c r="H533" i="3"/>
  <c r="F533" i="3"/>
  <c r="M533" i="3"/>
  <c r="E533" i="3"/>
  <c r="L533" i="3"/>
  <c r="G535" i="3"/>
  <c r="B551" i="3"/>
  <c r="F559" i="3"/>
  <c r="L559" i="3"/>
  <c r="D559" i="3"/>
  <c r="K559" i="3"/>
  <c r="C559" i="3"/>
  <c r="E571" i="3"/>
  <c r="D573" i="3"/>
  <c r="D580" i="3"/>
  <c r="B586" i="3"/>
  <c r="C587" i="3"/>
  <c r="M588" i="3"/>
  <c r="E588" i="3"/>
  <c r="K588" i="3"/>
  <c r="C588" i="3"/>
  <c r="J588" i="3"/>
  <c r="B588" i="3"/>
  <c r="B589" i="3"/>
  <c r="G594" i="3"/>
  <c r="M594" i="3"/>
  <c r="E594" i="3"/>
  <c r="L594" i="3"/>
  <c r="D594" i="3"/>
  <c r="J595" i="3"/>
  <c r="B595" i="3"/>
  <c r="H595" i="3"/>
  <c r="G595" i="3"/>
  <c r="M595" i="3"/>
  <c r="H597" i="3"/>
  <c r="F597" i="3"/>
  <c r="M597" i="3"/>
  <c r="E597" i="3"/>
  <c r="L597" i="3"/>
  <c r="G599" i="3"/>
  <c r="B615" i="3"/>
  <c r="F623" i="3"/>
  <c r="L623" i="3"/>
  <c r="D623" i="3"/>
  <c r="K623" i="3"/>
  <c r="C623" i="3"/>
  <c r="G628" i="3"/>
  <c r="F634" i="3"/>
  <c r="E635" i="3"/>
  <c r="D637" i="3"/>
  <c r="D644" i="3"/>
  <c r="B650" i="3"/>
  <c r="B655" i="3"/>
  <c r="M660" i="3"/>
  <c r="E660" i="3"/>
  <c r="L660" i="3"/>
  <c r="D660" i="3"/>
  <c r="K660" i="3"/>
  <c r="C660" i="3"/>
  <c r="J660" i="3"/>
  <c r="B660" i="3"/>
  <c r="B669" i="3"/>
  <c r="B682" i="3"/>
  <c r="B687" i="3"/>
  <c r="M692" i="3"/>
  <c r="E692" i="3"/>
  <c r="L692" i="3"/>
  <c r="D692" i="3"/>
  <c r="K692" i="3"/>
  <c r="C692" i="3"/>
  <c r="J692" i="3"/>
  <c r="B692" i="3"/>
  <c r="B701" i="3"/>
  <c r="H706" i="3"/>
  <c r="H711" i="3"/>
  <c r="B714" i="3"/>
  <c r="B719" i="3"/>
  <c r="M724" i="3"/>
  <c r="E724" i="3"/>
  <c r="L724" i="3"/>
  <c r="D724" i="3"/>
  <c r="K724" i="3"/>
  <c r="C724" i="3"/>
  <c r="J724" i="3"/>
  <c r="B724" i="3"/>
  <c r="D725" i="3"/>
  <c r="B733" i="3"/>
  <c r="H738" i="3"/>
  <c r="H743" i="3"/>
  <c r="B746" i="3"/>
  <c r="B751" i="3"/>
  <c r="M756" i="3"/>
  <c r="E756" i="3"/>
  <c r="L756" i="3"/>
  <c r="D756" i="3"/>
  <c r="K756" i="3"/>
  <c r="C756" i="3"/>
  <c r="J756" i="3"/>
  <c r="B756" i="3"/>
  <c r="D757" i="3"/>
  <c r="B765" i="3"/>
  <c r="H770" i="3"/>
  <c r="H775" i="3"/>
  <c r="B778" i="3"/>
  <c r="B783" i="3"/>
  <c r="M788" i="3"/>
  <c r="E788" i="3"/>
  <c r="L788" i="3"/>
  <c r="D788" i="3"/>
  <c r="K788" i="3"/>
  <c r="C788" i="3"/>
  <c r="J788" i="3"/>
  <c r="B788" i="3"/>
  <c r="D789" i="3"/>
  <c r="B797" i="3"/>
  <c r="H802" i="3"/>
  <c r="H807" i="3"/>
  <c r="B810" i="3"/>
  <c r="B815" i="3"/>
  <c r="M820" i="3"/>
  <c r="E820" i="3"/>
  <c r="L820" i="3"/>
  <c r="D820" i="3"/>
  <c r="K820" i="3"/>
  <c r="C820" i="3"/>
  <c r="J820" i="3"/>
  <c r="B820" i="3"/>
  <c r="D821" i="3"/>
  <c r="B829" i="3"/>
  <c r="H834" i="3"/>
  <c r="H839" i="3"/>
  <c r="B842" i="3"/>
  <c r="B847" i="3"/>
  <c r="M852" i="3"/>
  <c r="E852" i="3"/>
  <c r="L852" i="3"/>
  <c r="D852" i="3"/>
  <c r="K852" i="3"/>
  <c r="C852" i="3"/>
  <c r="J852" i="3"/>
  <c r="B852" i="3"/>
  <c r="D853" i="3"/>
  <c r="B861" i="3"/>
  <c r="H866" i="3"/>
  <c r="H871" i="3"/>
  <c r="B874" i="3"/>
  <c r="B879" i="3"/>
  <c r="M884" i="3"/>
  <c r="E884" i="3"/>
  <c r="L884" i="3"/>
  <c r="D884" i="3"/>
  <c r="K884" i="3"/>
  <c r="C884" i="3"/>
  <c r="J884" i="3"/>
  <c r="B884" i="3"/>
  <c r="D885" i="3"/>
  <c r="B893" i="3"/>
  <c r="H898" i="3"/>
  <c r="H901" i="3"/>
  <c r="G901" i="3"/>
  <c r="F901" i="3"/>
  <c r="M901" i="3"/>
  <c r="E901" i="3"/>
  <c r="J901" i="3"/>
  <c r="B901" i="3"/>
  <c r="I909" i="3"/>
  <c r="B911" i="3"/>
  <c r="C925" i="3"/>
  <c r="M932" i="3"/>
  <c r="E932" i="3"/>
  <c r="L932" i="3"/>
  <c r="D932" i="3"/>
  <c r="K932" i="3"/>
  <c r="C932" i="3"/>
  <c r="J932" i="3"/>
  <c r="B932" i="3"/>
  <c r="G932" i="3"/>
  <c r="I940" i="3"/>
  <c r="F951" i="3"/>
  <c r="M951" i="3"/>
  <c r="E951" i="3"/>
  <c r="L951" i="3"/>
  <c r="D951" i="3"/>
  <c r="K951" i="3"/>
  <c r="C951" i="3"/>
  <c r="H951" i="3"/>
  <c r="F956" i="3"/>
  <c r="I959" i="3"/>
  <c r="H965" i="3"/>
  <c r="G965" i="3"/>
  <c r="F965" i="3"/>
  <c r="M965" i="3"/>
  <c r="E965" i="3"/>
  <c r="J965" i="3"/>
  <c r="B965" i="3"/>
  <c r="I973" i="3"/>
  <c r="B975" i="3"/>
  <c r="C989" i="3"/>
  <c r="M996" i="3"/>
  <c r="E996" i="3"/>
  <c r="L996" i="3"/>
  <c r="D996" i="3"/>
  <c r="K996" i="3"/>
  <c r="C996" i="3"/>
  <c r="J996" i="3"/>
  <c r="B996" i="3"/>
  <c r="G996" i="3"/>
  <c r="I5" i="4"/>
  <c r="F16" i="4"/>
  <c r="M16" i="4"/>
  <c r="E16" i="4"/>
  <c r="L16" i="4"/>
  <c r="D16" i="4"/>
  <c r="K16" i="4"/>
  <c r="C16" i="4"/>
  <c r="H16" i="4"/>
  <c r="F32" i="4"/>
  <c r="M32" i="4"/>
  <c r="E32" i="4"/>
  <c r="L32" i="4"/>
  <c r="D32" i="4"/>
  <c r="K32" i="4"/>
  <c r="C32" i="4"/>
  <c r="H32" i="4"/>
  <c r="F48" i="4"/>
  <c r="M48" i="4"/>
  <c r="E48" i="4"/>
  <c r="L48" i="4"/>
  <c r="D48" i="4"/>
  <c r="K48" i="4"/>
  <c r="C48" i="4"/>
  <c r="J48" i="4"/>
  <c r="H48" i="4"/>
  <c r="C195" i="4"/>
  <c r="C254" i="4"/>
  <c r="H262" i="4"/>
  <c r="G262" i="4"/>
  <c r="J262" i="4"/>
  <c r="I262" i="4"/>
  <c r="F262" i="4"/>
  <c r="E262" i="4"/>
  <c r="D262" i="4"/>
  <c r="L262" i="4"/>
  <c r="B262" i="4"/>
  <c r="F394" i="4"/>
  <c r="M394" i="4"/>
  <c r="E394" i="4"/>
  <c r="G394" i="4"/>
  <c r="D394" i="4"/>
  <c r="C394" i="4"/>
  <c r="L394" i="4"/>
  <c r="B394" i="4"/>
  <c r="J394" i="4"/>
  <c r="I394" i="4"/>
  <c r="K394" i="4"/>
  <c r="H394" i="4"/>
  <c r="G453" i="4"/>
  <c r="F453" i="4"/>
  <c r="E453" i="4"/>
  <c r="D453" i="4"/>
  <c r="M453" i="4"/>
  <c r="C453" i="4"/>
  <c r="L453" i="4"/>
  <c r="B453" i="4"/>
  <c r="J453" i="4"/>
  <c r="I453" i="4"/>
  <c r="H453" i="4"/>
  <c r="K546" i="4"/>
  <c r="H642" i="4"/>
  <c r="F642" i="4"/>
  <c r="M642" i="4"/>
  <c r="E642" i="4"/>
  <c r="K642" i="4"/>
  <c r="J642" i="4"/>
  <c r="I642" i="4"/>
  <c r="G642" i="4"/>
  <c r="C642" i="4"/>
  <c r="B642" i="4"/>
  <c r="L642" i="4"/>
  <c r="D642" i="4"/>
  <c r="I251" i="3"/>
  <c r="I259" i="3"/>
  <c r="I267" i="3"/>
  <c r="I275" i="3"/>
  <c r="I283" i="3"/>
  <c r="I291" i="3"/>
  <c r="I299" i="3"/>
  <c r="I307" i="3"/>
  <c r="I315" i="3"/>
  <c r="I323" i="3"/>
  <c r="I331" i="3"/>
  <c r="I339" i="3"/>
  <c r="M354" i="3"/>
  <c r="E354" i="3"/>
  <c r="J354" i="3"/>
  <c r="M370" i="3"/>
  <c r="E370" i="3"/>
  <c r="J370" i="3"/>
  <c r="F373" i="3"/>
  <c r="M373" i="3"/>
  <c r="E373" i="3"/>
  <c r="K373" i="3"/>
  <c r="K380" i="3"/>
  <c r="C380" i="3"/>
  <c r="J380" i="3"/>
  <c r="B380" i="3"/>
  <c r="M380" i="3"/>
  <c r="G384" i="3"/>
  <c r="F384" i="3"/>
  <c r="K384" i="3"/>
  <c r="L391" i="3"/>
  <c r="D391" i="3"/>
  <c r="K391" i="3"/>
  <c r="C391" i="3"/>
  <c r="M391" i="3"/>
  <c r="H403" i="3"/>
  <c r="G403" i="3"/>
  <c r="K403" i="3"/>
  <c r="M410" i="3"/>
  <c r="E410" i="3"/>
  <c r="L410" i="3"/>
  <c r="D410" i="3"/>
  <c r="K410" i="3"/>
  <c r="F437" i="3"/>
  <c r="M437" i="3"/>
  <c r="E437" i="3"/>
  <c r="K437" i="3"/>
  <c r="K444" i="3"/>
  <c r="C444" i="3"/>
  <c r="J444" i="3"/>
  <c r="B444" i="3"/>
  <c r="M444" i="3"/>
  <c r="G448" i="3"/>
  <c r="F448" i="3"/>
  <c r="K448" i="3"/>
  <c r="L455" i="3"/>
  <c r="D455" i="3"/>
  <c r="K455" i="3"/>
  <c r="C455" i="3"/>
  <c r="M455" i="3"/>
  <c r="H467" i="3"/>
  <c r="G467" i="3"/>
  <c r="K467" i="3"/>
  <c r="M474" i="3"/>
  <c r="E474" i="3"/>
  <c r="L474" i="3"/>
  <c r="D474" i="3"/>
  <c r="K474" i="3"/>
  <c r="F501" i="3"/>
  <c r="M501" i="3"/>
  <c r="E501" i="3"/>
  <c r="K501" i="3"/>
  <c r="K508" i="3"/>
  <c r="C508" i="3"/>
  <c r="J508" i="3"/>
  <c r="B508" i="3"/>
  <c r="M508" i="3"/>
  <c r="G512" i="3"/>
  <c r="F512" i="3"/>
  <c r="K512" i="3"/>
  <c r="L519" i="3"/>
  <c r="D519" i="3"/>
  <c r="K519" i="3"/>
  <c r="C519" i="3"/>
  <c r="M519" i="3"/>
  <c r="M532" i="3"/>
  <c r="E532" i="3"/>
  <c r="K532" i="3"/>
  <c r="C532" i="3"/>
  <c r="J532" i="3"/>
  <c r="B532" i="3"/>
  <c r="G538" i="3"/>
  <c r="M538" i="3"/>
  <c r="E538" i="3"/>
  <c r="L538" i="3"/>
  <c r="D538" i="3"/>
  <c r="J539" i="3"/>
  <c r="B539" i="3"/>
  <c r="H539" i="3"/>
  <c r="G539" i="3"/>
  <c r="M539" i="3"/>
  <c r="H541" i="3"/>
  <c r="F541" i="3"/>
  <c r="M541" i="3"/>
  <c r="E541" i="3"/>
  <c r="L541" i="3"/>
  <c r="F567" i="3"/>
  <c r="L567" i="3"/>
  <c r="D567" i="3"/>
  <c r="K567" i="3"/>
  <c r="C567" i="3"/>
  <c r="M596" i="3"/>
  <c r="E596" i="3"/>
  <c r="K596" i="3"/>
  <c r="C596" i="3"/>
  <c r="J596" i="3"/>
  <c r="B596" i="3"/>
  <c r="G602" i="3"/>
  <c r="M602" i="3"/>
  <c r="E602" i="3"/>
  <c r="L602" i="3"/>
  <c r="D602" i="3"/>
  <c r="J603" i="3"/>
  <c r="B603" i="3"/>
  <c r="H603" i="3"/>
  <c r="G603" i="3"/>
  <c r="M603" i="3"/>
  <c r="H605" i="3"/>
  <c r="F605" i="3"/>
  <c r="M605" i="3"/>
  <c r="E605" i="3"/>
  <c r="L605" i="3"/>
  <c r="F631" i="3"/>
  <c r="L631" i="3"/>
  <c r="D631" i="3"/>
  <c r="K631" i="3"/>
  <c r="C631" i="3"/>
  <c r="G658" i="3"/>
  <c r="F658" i="3"/>
  <c r="M658" i="3"/>
  <c r="E658" i="3"/>
  <c r="L658" i="3"/>
  <c r="D658" i="3"/>
  <c r="F663" i="3"/>
  <c r="M663" i="3"/>
  <c r="E663" i="3"/>
  <c r="L663" i="3"/>
  <c r="D663" i="3"/>
  <c r="K663" i="3"/>
  <c r="C663" i="3"/>
  <c r="H677" i="3"/>
  <c r="G677" i="3"/>
  <c r="F677" i="3"/>
  <c r="M677" i="3"/>
  <c r="E677" i="3"/>
  <c r="G690" i="3"/>
  <c r="F690" i="3"/>
  <c r="M690" i="3"/>
  <c r="E690" i="3"/>
  <c r="L690" i="3"/>
  <c r="D690" i="3"/>
  <c r="F695" i="3"/>
  <c r="M695" i="3"/>
  <c r="E695" i="3"/>
  <c r="L695" i="3"/>
  <c r="D695" i="3"/>
  <c r="K695" i="3"/>
  <c r="C695" i="3"/>
  <c r="H709" i="3"/>
  <c r="G709" i="3"/>
  <c r="F709" i="3"/>
  <c r="M709" i="3"/>
  <c r="E709" i="3"/>
  <c r="G722" i="3"/>
  <c r="F722" i="3"/>
  <c r="M722" i="3"/>
  <c r="E722" i="3"/>
  <c r="L722" i="3"/>
  <c r="D722" i="3"/>
  <c r="F727" i="3"/>
  <c r="M727" i="3"/>
  <c r="E727" i="3"/>
  <c r="L727" i="3"/>
  <c r="D727" i="3"/>
  <c r="K727" i="3"/>
  <c r="C727" i="3"/>
  <c r="H741" i="3"/>
  <c r="G741" i="3"/>
  <c r="F741" i="3"/>
  <c r="M741" i="3"/>
  <c r="E741" i="3"/>
  <c r="G754" i="3"/>
  <c r="F754" i="3"/>
  <c r="M754" i="3"/>
  <c r="E754" i="3"/>
  <c r="L754" i="3"/>
  <c r="D754" i="3"/>
  <c r="F759" i="3"/>
  <c r="M759" i="3"/>
  <c r="E759" i="3"/>
  <c r="L759" i="3"/>
  <c r="D759" i="3"/>
  <c r="K759" i="3"/>
  <c r="C759" i="3"/>
  <c r="H773" i="3"/>
  <c r="G773" i="3"/>
  <c r="F773" i="3"/>
  <c r="M773" i="3"/>
  <c r="E773" i="3"/>
  <c r="G786" i="3"/>
  <c r="F786" i="3"/>
  <c r="M786" i="3"/>
  <c r="E786" i="3"/>
  <c r="L786" i="3"/>
  <c r="D786" i="3"/>
  <c r="F791" i="3"/>
  <c r="M791" i="3"/>
  <c r="E791" i="3"/>
  <c r="L791" i="3"/>
  <c r="D791" i="3"/>
  <c r="K791" i="3"/>
  <c r="C791" i="3"/>
  <c r="H805" i="3"/>
  <c r="G805" i="3"/>
  <c r="F805" i="3"/>
  <c r="M805" i="3"/>
  <c r="E805" i="3"/>
  <c r="G818" i="3"/>
  <c r="F818" i="3"/>
  <c r="M818" i="3"/>
  <c r="E818" i="3"/>
  <c r="L818" i="3"/>
  <c r="D818" i="3"/>
  <c r="F823" i="3"/>
  <c r="M823" i="3"/>
  <c r="E823" i="3"/>
  <c r="L823" i="3"/>
  <c r="D823" i="3"/>
  <c r="K823" i="3"/>
  <c r="C823" i="3"/>
  <c r="H837" i="3"/>
  <c r="G837" i="3"/>
  <c r="F837" i="3"/>
  <c r="M837" i="3"/>
  <c r="E837" i="3"/>
  <c r="G850" i="3"/>
  <c r="F850" i="3"/>
  <c r="M850" i="3"/>
  <c r="E850" i="3"/>
  <c r="L850" i="3"/>
  <c r="D850" i="3"/>
  <c r="F855" i="3"/>
  <c r="M855" i="3"/>
  <c r="E855" i="3"/>
  <c r="L855" i="3"/>
  <c r="D855" i="3"/>
  <c r="K855" i="3"/>
  <c r="C855" i="3"/>
  <c r="H869" i="3"/>
  <c r="G869" i="3"/>
  <c r="F869" i="3"/>
  <c r="M869" i="3"/>
  <c r="E869" i="3"/>
  <c r="G882" i="3"/>
  <c r="F882" i="3"/>
  <c r="M882" i="3"/>
  <c r="E882" i="3"/>
  <c r="L882" i="3"/>
  <c r="D882" i="3"/>
  <c r="F887" i="3"/>
  <c r="M887" i="3"/>
  <c r="E887" i="3"/>
  <c r="L887" i="3"/>
  <c r="D887" i="3"/>
  <c r="K887" i="3"/>
  <c r="C887" i="3"/>
  <c r="M908" i="3"/>
  <c r="E908" i="3"/>
  <c r="L908" i="3"/>
  <c r="D908" i="3"/>
  <c r="K908" i="3"/>
  <c r="C908" i="3"/>
  <c r="J908" i="3"/>
  <c r="B908" i="3"/>
  <c r="G908" i="3"/>
  <c r="F927" i="3"/>
  <c r="M927" i="3"/>
  <c r="E927" i="3"/>
  <c r="L927" i="3"/>
  <c r="D927" i="3"/>
  <c r="K927" i="3"/>
  <c r="C927" i="3"/>
  <c r="H927" i="3"/>
  <c r="H941" i="3"/>
  <c r="G941" i="3"/>
  <c r="F941" i="3"/>
  <c r="M941" i="3"/>
  <c r="E941" i="3"/>
  <c r="J941" i="3"/>
  <c r="B941" i="3"/>
  <c r="M972" i="3"/>
  <c r="E972" i="3"/>
  <c r="L972" i="3"/>
  <c r="D972" i="3"/>
  <c r="K972" i="3"/>
  <c r="C972" i="3"/>
  <c r="J972" i="3"/>
  <c r="B972" i="3"/>
  <c r="G972" i="3"/>
  <c r="F991" i="3"/>
  <c r="M991" i="3"/>
  <c r="E991" i="3"/>
  <c r="L991" i="3"/>
  <c r="D991" i="3"/>
  <c r="K991" i="3"/>
  <c r="C991" i="3"/>
  <c r="H991" i="3"/>
  <c r="H6" i="4"/>
  <c r="G6" i="4"/>
  <c r="F6" i="4"/>
  <c r="M6" i="4"/>
  <c r="E6" i="4"/>
  <c r="J6" i="4"/>
  <c r="B6" i="4"/>
  <c r="H54" i="4"/>
  <c r="G54" i="4"/>
  <c r="F54" i="4"/>
  <c r="M54" i="4"/>
  <c r="E54" i="4"/>
  <c r="L54" i="4"/>
  <c r="D54" i="4"/>
  <c r="J54" i="4"/>
  <c r="B54" i="4"/>
  <c r="F56" i="4"/>
  <c r="M56" i="4"/>
  <c r="E56" i="4"/>
  <c r="L56" i="4"/>
  <c r="D56" i="4"/>
  <c r="K56" i="4"/>
  <c r="C56" i="4"/>
  <c r="J56" i="4"/>
  <c r="B56" i="4"/>
  <c r="H56" i="4"/>
  <c r="H62" i="4"/>
  <c r="G62" i="4"/>
  <c r="F62" i="4"/>
  <c r="M62" i="4"/>
  <c r="E62" i="4"/>
  <c r="L62" i="4"/>
  <c r="D62" i="4"/>
  <c r="J62" i="4"/>
  <c r="B62" i="4"/>
  <c r="F64" i="4"/>
  <c r="M64" i="4"/>
  <c r="E64" i="4"/>
  <c r="L64" i="4"/>
  <c r="D64" i="4"/>
  <c r="K64" i="4"/>
  <c r="C64" i="4"/>
  <c r="J64" i="4"/>
  <c r="B64" i="4"/>
  <c r="H64" i="4"/>
  <c r="H70" i="4"/>
  <c r="G70" i="4"/>
  <c r="F70" i="4"/>
  <c r="M70" i="4"/>
  <c r="E70" i="4"/>
  <c r="L70" i="4"/>
  <c r="D70" i="4"/>
  <c r="J70" i="4"/>
  <c r="B70" i="4"/>
  <c r="F72" i="4"/>
  <c r="M72" i="4"/>
  <c r="E72" i="4"/>
  <c r="L72" i="4"/>
  <c r="D72" i="4"/>
  <c r="K72" i="4"/>
  <c r="C72" i="4"/>
  <c r="J72" i="4"/>
  <c r="B72" i="4"/>
  <c r="H72" i="4"/>
  <c r="H78" i="4"/>
  <c r="G78" i="4"/>
  <c r="F78" i="4"/>
  <c r="M78" i="4"/>
  <c r="E78" i="4"/>
  <c r="L78" i="4"/>
  <c r="D78" i="4"/>
  <c r="J78" i="4"/>
  <c r="B78" i="4"/>
  <c r="F80" i="4"/>
  <c r="M80" i="4"/>
  <c r="E80" i="4"/>
  <c r="L80" i="4"/>
  <c r="D80" i="4"/>
  <c r="K80" i="4"/>
  <c r="C80" i="4"/>
  <c r="J80" i="4"/>
  <c r="B80" i="4"/>
  <c r="H80" i="4"/>
  <c r="H86" i="4"/>
  <c r="G86" i="4"/>
  <c r="F86" i="4"/>
  <c r="M86" i="4"/>
  <c r="E86" i="4"/>
  <c r="L86" i="4"/>
  <c r="D86" i="4"/>
  <c r="J86" i="4"/>
  <c r="B86" i="4"/>
  <c r="F88" i="4"/>
  <c r="M88" i="4"/>
  <c r="E88" i="4"/>
  <c r="L88" i="4"/>
  <c r="D88" i="4"/>
  <c r="K88" i="4"/>
  <c r="C88" i="4"/>
  <c r="J88" i="4"/>
  <c r="B88" i="4"/>
  <c r="H88" i="4"/>
  <c r="H94" i="4"/>
  <c r="G94" i="4"/>
  <c r="F94" i="4"/>
  <c r="M94" i="4"/>
  <c r="E94" i="4"/>
  <c r="L94" i="4"/>
  <c r="D94" i="4"/>
  <c r="J94" i="4"/>
  <c r="B94" i="4"/>
  <c r="F96" i="4"/>
  <c r="M96" i="4"/>
  <c r="E96" i="4"/>
  <c r="L96" i="4"/>
  <c r="D96" i="4"/>
  <c r="K96" i="4"/>
  <c r="C96" i="4"/>
  <c r="J96" i="4"/>
  <c r="B96" i="4"/>
  <c r="H96" i="4"/>
  <c r="H102" i="4"/>
  <c r="G102" i="4"/>
  <c r="F102" i="4"/>
  <c r="M102" i="4"/>
  <c r="E102" i="4"/>
  <c r="L102" i="4"/>
  <c r="D102" i="4"/>
  <c r="J102" i="4"/>
  <c r="B102" i="4"/>
  <c r="F104" i="4"/>
  <c r="M104" i="4"/>
  <c r="E104" i="4"/>
  <c r="L104" i="4"/>
  <c r="D104" i="4"/>
  <c r="K104" i="4"/>
  <c r="C104" i="4"/>
  <c r="J104" i="4"/>
  <c r="B104" i="4"/>
  <c r="H104" i="4"/>
  <c r="H110" i="4"/>
  <c r="G110" i="4"/>
  <c r="F110" i="4"/>
  <c r="M110" i="4"/>
  <c r="E110" i="4"/>
  <c r="L110" i="4"/>
  <c r="D110" i="4"/>
  <c r="J110" i="4"/>
  <c r="B110" i="4"/>
  <c r="F112" i="4"/>
  <c r="M112" i="4"/>
  <c r="E112" i="4"/>
  <c r="L112" i="4"/>
  <c r="D112" i="4"/>
  <c r="K112" i="4"/>
  <c r="C112" i="4"/>
  <c r="J112" i="4"/>
  <c r="B112" i="4"/>
  <c r="H112" i="4"/>
  <c r="H118" i="4"/>
  <c r="G118" i="4"/>
  <c r="F118" i="4"/>
  <c r="M118" i="4"/>
  <c r="E118" i="4"/>
  <c r="L118" i="4"/>
  <c r="D118" i="4"/>
  <c r="J118" i="4"/>
  <c r="B118" i="4"/>
  <c r="F120" i="4"/>
  <c r="M120" i="4"/>
  <c r="E120" i="4"/>
  <c r="L120" i="4"/>
  <c r="D120" i="4"/>
  <c r="K120" i="4"/>
  <c r="C120" i="4"/>
  <c r="J120" i="4"/>
  <c r="B120" i="4"/>
  <c r="H120" i="4"/>
  <c r="H126" i="4"/>
  <c r="G126" i="4"/>
  <c r="F126" i="4"/>
  <c r="M126" i="4"/>
  <c r="E126" i="4"/>
  <c r="L126" i="4"/>
  <c r="D126" i="4"/>
  <c r="J126" i="4"/>
  <c r="B126" i="4"/>
  <c r="F128" i="4"/>
  <c r="M128" i="4"/>
  <c r="E128" i="4"/>
  <c r="L128" i="4"/>
  <c r="D128" i="4"/>
  <c r="K128" i="4"/>
  <c r="C128" i="4"/>
  <c r="J128" i="4"/>
  <c r="B128" i="4"/>
  <c r="H128" i="4"/>
  <c r="H134" i="4"/>
  <c r="G134" i="4"/>
  <c r="F134" i="4"/>
  <c r="M134" i="4"/>
  <c r="E134" i="4"/>
  <c r="L134" i="4"/>
  <c r="D134" i="4"/>
  <c r="J134" i="4"/>
  <c r="B134" i="4"/>
  <c r="F136" i="4"/>
  <c r="M136" i="4"/>
  <c r="E136" i="4"/>
  <c r="L136" i="4"/>
  <c r="D136" i="4"/>
  <c r="K136" i="4"/>
  <c r="C136" i="4"/>
  <c r="J136" i="4"/>
  <c r="B136" i="4"/>
  <c r="H136" i="4"/>
  <c r="H142" i="4"/>
  <c r="G142" i="4"/>
  <c r="F142" i="4"/>
  <c r="M142" i="4"/>
  <c r="E142" i="4"/>
  <c r="L142" i="4"/>
  <c r="D142" i="4"/>
  <c r="J142" i="4"/>
  <c r="B142" i="4"/>
  <c r="F144" i="4"/>
  <c r="M144" i="4"/>
  <c r="E144" i="4"/>
  <c r="L144" i="4"/>
  <c r="D144" i="4"/>
  <c r="K144" i="4"/>
  <c r="C144" i="4"/>
  <c r="J144" i="4"/>
  <c r="B144" i="4"/>
  <c r="H144" i="4"/>
  <c r="H150" i="4"/>
  <c r="G150" i="4"/>
  <c r="F150" i="4"/>
  <c r="M150" i="4"/>
  <c r="E150" i="4"/>
  <c r="L150" i="4"/>
  <c r="D150" i="4"/>
  <c r="J150" i="4"/>
  <c r="B150" i="4"/>
  <c r="F152" i="4"/>
  <c r="M152" i="4"/>
  <c r="E152" i="4"/>
  <c r="L152" i="4"/>
  <c r="D152" i="4"/>
  <c r="K152" i="4"/>
  <c r="C152" i="4"/>
  <c r="J152" i="4"/>
  <c r="B152" i="4"/>
  <c r="H152" i="4"/>
  <c r="H158" i="4"/>
  <c r="G158" i="4"/>
  <c r="F158" i="4"/>
  <c r="M158" i="4"/>
  <c r="E158" i="4"/>
  <c r="L158" i="4"/>
  <c r="D158" i="4"/>
  <c r="J158" i="4"/>
  <c r="B158" i="4"/>
  <c r="F160" i="4"/>
  <c r="M160" i="4"/>
  <c r="E160" i="4"/>
  <c r="L160" i="4"/>
  <c r="D160" i="4"/>
  <c r="K160" i="4"/>
  <c r="C160" i="4"/>
  <c r="J160" i="4"/>
  <c r="B160" i="4"/>
  <c r="H160" i="4"/>
  <c r="G421" i="4"/>
  <c r="F421" i="4"/>
  <c r="E421" i="4"/>
  <c r="D421" i="4"/>
  <c r="M421" i="4"/>
  <c r="C421" i="4"/>
  <c r="L421" i="4"/>
  <c r="B421" i="4"/>
  <c r="J421" i="4"/>
  <c r="I421" i="4"/>
  <c r="K421" i="4"/>
  <c r="H421" i="4"/>
  <c r="M447" i="4"/>
  <c r="E447" i="4"/>
  <c r="L447" i="4"/>
  <c r="D447" i="4"/>
  <c r="J447" i="4"/>
  <c r="I447" i="4"/>
  <c r="H447" i="4"/>
  <c r="G447" i="4"/>
  <c r="C447" i="4"/>
  <c r="B447" i="4"/>
  <c r="F447" i="4"/>
  <c r="G485" i="4"/>
  <c r="F485" i="4"/>
  <c r="E485" i="4"/>
  <c r="D485" i="4"/>
  <c r="M485" i="4"/>
  <c r="C485" i="4"/>
  <c r="L485" i="4"/>
  <c r="B485" i="4"/>
  <c r="J485" i="4"/>
  <c r="I485" i="4"/>
  <c r="H485" i="4"/>
  <c r="H602" i="4"/>
  <c r="F602" i="4"/>
  <c r="M602" i="4"/>
  <c r="E602" i="4"/>
  <c r="K602" i="4"/>
  <c r="J602" i="4"/>
  <c r="I602" i="4"/>
  <c r="G602" i="4"/>
  <c r="C602" i="4"/>
  <c r="B602" i="4"/>
  <c r="L602" i="4"/>
  <c r="D602" i="4"/>
  <c r="C174" i="3"/>
  <c r="C182" i="3"/>
  <c r="D185" i="3"/>
  <c r="C190" i="3"/>
  <c r="D193" i="3"/>
  <c r="C198" i="3"/>
  <c r="D201" i="3"/>
  <c r="C206" i="3"/>
  <c r="D209" i="3"/>
  <c r="C214" i="3"/>
  <c r="D217" i="3"/>
  <c r="C222" i="3"/>
  <c r="D225" i="3"/>
  <c r="C230" i="3"/>
  <c r="D233" i="3"/>
  <c r="C238" i="3"/>
  <c r="D241" i="3"/>
  <c r="C246" i="3"/>
  <c r="D249" i="3"/>
  <c r="B251" i="3"/>
  <c r="C254" i="3"/>
  <c r="D257" i="3"/>
  <c r="B259" i="3"/>
  <c r="C262" i="3"/>
  <c r="D265" i="3"/>
  <c r="B267" i="3"/>
  <c r="C270" i="3"/>
  <c r="D273" i="3"/>
  <c r="B275" i="3"/>
  <c r="C278" i="3"/>
  <c r="D281" i="3"/>
  <c r="B283" i="3"/>
  <c r="C286" i="3"/>
  <c r="D289" i="3"/>
  <c r="B291" i="3"/>
  <c r="C294" i="3"/>
  <c r="D297" i="3"/>
  <c r="B299" i="3"/>
  <c r="C302" i="3"/>
  <c r="D305" i="3"/>
  <c r="B307" i="3"/>
  <c r="C310" i="3"/>
  <c r="D313" i="3"/>
  <c r="B315" i="3"/>
  <c r="C318" i="3"/>
  <c r="D321" i="3"/>
  <c r="B323" i="3"/>
  <c r="C326" i="3"/>
  <c r="D329" i="3"/>
  <c r="B331" i="3"/>
  <c r="C334" i="3"/>
  <c r="D337" i="3"/>
  <c r="B339" i="3"/>
  <c r="J345" i="3"/>
  <c r="B345" i="3"/>
  <c r="K345" i="3"/>
  <c r="G346" i="3"/>
  <c r="C347" i="3"/>
  <c r="L347" i="3"/>
  <c r="D349" i="3"/>
  <c r="M349" i="3"/>
  <c r="E351" i="3"/>
  <c r="J352" i="3"/>
  <c r="B354" i="3"/>
  <c r="K354" i="3"/>
  <c r="D356" i="3"/>
  <c r="M356" i="3"/>
  <c r="J361" i="3"/>
  <c r="B361" i="3"/>
  <c r="K361" i="3"/>
  <c r="G362" i="3"/>
  <c r="C363" i="3"/>
  <c r="L363" i="3"/>
  <c r="D365" i="3"/>
  <c r="M365" i="3"/>
  <c r="E367" i="3"/>
  <c r="J368" i="3"/>
  <c r="B370" i="3"/>
  <c r="K370" i="3"/>
  <c r="E372" i="3"/>
  <c r="B373" i="3"/>
  <c r="L373" i="3"/>
  <c r="F375" i="3"/>
  <c r="C376" i="3"/>
  <c r="M376" i="3"/>
  <c r="H378" i="3"/>
  <c r="D380" i="3"/>
  <c r="F381" i="3"/>
  <c r="M381" i="3"/>
  <c r="E381" i="3"/>
  <c r="K381" i="3"/>
  <c r="E383" i="3"/>
  <c r="B384" i="3"/>
  <c r="L384" i="3"/>
  <c r="D387" i="3"/>
  <c r="K388" i="3"/>
  <c r="C388" i="3"/>
  <c r="J388" i="3"/>
  <c r="B388" i="3"/>
  <c r="M388" i="3"/>
  <c r="B391" i="3"/>
  <c r="G392" i="3"/>
  <c r="F392" i="3"/>
  <c r="K392" i="3"/>
  <c r="F394" i="3"/>
  <c r="C395" i="3"/>
  <c r="M395" i="3"/>
  <c r="L399" i="3"/>
  <c r="D399" i="3"/>
  <c r="K399" i="3"/>
  <c r="C399" i="3"/>
  <c r="M399" i="3"/>
  <c r="C402" i="3"/>
  <c r="B403" i="3"/>
  <c r="L403" i="3"/>
  <c r="H405" i="3"/>
  <c r="B410" i="3"/>
  <c r="H411" i="3"/>
  <c r="G411" i="3"/>
  <c r="K411" i="3"/>
  <c r="H412" i="3"/>
  <c r="H416" i="3"/>
  <c r="M418" i="3"/>
  <c r="E418" i="3"/>
  <c r="L418" i="3"/>
  <c r="D418" i="3"/>
  <c r="K418" i="3"/>
  <c r="D421" i="3"/>
  <c r="H423" i="3"/>
  <c r="F428" i="3"/>
  <c r="C429" i="3"/>
  <c r="D432" i="3"/>
  <c r="F435" i="3"/>
  <c r="E436" i="3"/>
  <c r="B437" i="3"/>
  <c r="L437" i="3"/>
  <c r="F439" i="3"/>
  <c r="C440" i="3"/>
  <c r="M440" i="3"/>
  <c r="H442" i="3"/>
  <c r="D444" i="3"/>
  <c r="F445" i="3"/>
  <c r="M445" i="3"/>
  <c r="E445" i="3"/>
  <c r="K445" i="3"/>
  <c r="E447" i="3"/>
  <c r="B448" i="3"/>
  <c r="L448" i="3"/>
  <c r="D451" i="3"/>
  <c r="K452" i="3"/>
  <c r="C452" i="3"/>
  <c r="J452" i="3"/>
  <c r="B452" i="3"/>
  <c r="M452" i="3"/>
  <c r="B455" i="3"/>
  <c r="G456" i="3"/>
  <c r="F456" i="3"/>
  <c r="K456" i="3"/>
  <c r="F458" i="3"/>
  <c r="C459" i="3"/>
  <c r="M459" i="3"/>
  <c r="L463" i="3"/>
  <c r="D463" i="3"/>
  <c r="K463" i="3"/>
  <c r="C463" i="3"/>
  <c r="M463" i="3"/>
  <c r="C466" i="3"/>
  <c r="B467" i="3"/>
  <c r="L467" i="3"/>
  <c r="H469" i="3"/>
  <c r="B474" i="3"/>
  <c r="H475" i="3"/>
  <c r="G475" i="3"/>
  <c r="K475" i="3"/>
  <c r="H476" i="3"/>
  <c r="H480" i="3"/>
  <c r="M482" i="3"/>
  <c r="E482" i="3"/>
  <c r="L482" i="3"/>
  <c r="D482" i="3"/>
  <c r="K482" i="3"/>
  <c r="D485" i="3"/>
  <c r="H487" i="3"/>
  <c r="F492" i="3"/>
  <c r="C493" i="3"/>
  <c r="D496" i="3"/>
  <c r="F499" i="3"/>
  <c r="E500" i="3"/>
  <c r="B501" i="3"/>
  <c r="L501" i="3"/>
  <c r="F503" i="3"/>
  <c r="C504" i="3"/>
  <c r="M504" i="3"/>
  <c r="H506" i="3"/>
  <c r="D508" i="3"/>
  <c r="F509" i="3"/>
  <c r="M509" i="3"/>
  <c r="E509" i="3"/>
  <c r="K509" i="3"/>
  <c r="E511" i="3"/>
  <c r="B512" i="3"/>
  <c r="L512" i="3"/>
  <c r="D515" i="3"/>
  <c r="K516" i="3"/>
  <c r="C516" i="3"/>
  <c r="J516" i="3"/>
  <c r="B516" i="3"/>
  <c r="M516" i="3"/>
  <c r="B519" i="3"/>
  <c r="G520" i="3"/>
  <c r="F520" i="3"/>
  <c r="K520" i="3"/>
  <c r="F522" i="3"/>
  <c r="C523" i="3"/>
  <c r="M523" i="3"/>
  <c r="L527" i="3"/>
  <c r="D527" i="3"/>
  <c r="K527" i="3"/>
  <c r="C527" i="3"/>
  <c r="M527" i="3"/>
  <c r="C530" i="3"/>
  <c r="D531" i="3"/>
  <c r="D532" i="3"/>
  <c r="C533" i="3"/>
  <c r="I535" i="3"/>
  <c r="B538" i="3"/>
  <c r="C539" i="3"/>
  <c r="M540" i="3"/>
  <c r="E540" i="3"/>
  <c r="K540" i="3"/>
  <c r="C540" i="3"/>
  <c r="J540" i="3"/>
  <c r="B540" i="3"/>
  <c r="B541" i="3"/>
  <c r="G546" i="3"/>
  <c r="M546" i="3"/>
  <c r="E546" i="3"/>
  <c r="L546" i="3"/>
  <c r="D546" i="3"/>
  <c r="J547" i="3"/>
  <c r="B547" i="3"/>
  <c r="H547" i="3"/>
  <c r="G547" i="3"/>
  <c r="M547" i="3"/>
  <c r="H549" i="3"/>
  <c r="F549" i="3"/>
  <c r="M549" i="3"/>
  <c r="E549" i="3"/>
  <c r="L549" i="3"/>
  <c r="G551" i="3"/>
  <c r="E559" i="3"/>
  <c r="I564" i="3"/>
  <c r="B567" i="3"/>
  <c r="I570" i="3"/>
  <c r="I571" i="3"/>
  <c r="I573" i="3"/>
  <c r="F575" i="3"/>
  <c r="L575" i="3"/>
  <c r="D575" i="3"/>
  <c r="K575" i="3"/>
  <c r="C575" i="3"/>
  <c r="G580" i="3"/>
  <c r="F586" i="3"/>
  <c r="E587" i="3"/>
  <c r="F588" i="3"/>
  <c r="D589" i="3"/>
  <c r="C594" i="3"/>
  <c r="D595" i="3"/>
  <c r="D596" i="3"/>
  <c r="C597" i="3"/>
  <c r="I599" i="3"/>
  <c r="B602" i="3"/>
  <c r="C603" i="3"/>
  <c r="M604" i="3"/>
  <c r="E604" i="3"/>
  <c r="K604" i="3"/>
  <c r="C604" i="3"/>
  <c r="J604" i="3"/>
  <c r="B604" i="3"/>
  <c r="B605" i="3"/>
  <c r="G610" i="3"/>
  <c r="M610" i="3"/>
  <c r="E610" i="3"/>
  <c r="L610" i="3"/>
  <c r="D610" i="3"/>
  <c r="J611" i="3"/>
  <c r="B611" i="3"/>
  <c r="H611" i="3"/>
  <c r="G611" i="3"/>
  <c r="M611" i="3"/>
  <c r="H613" i="3"/>
  <c r="F613" i="3"/>
  <c r="M613" i="3"/>
  <c r="E613" i="3"/>
  <c r="L613" i="3"/>
  <c r="G615" i="3"/>
  <c r="E623" i="3"/>
  <c r="I628" i="3"/>
  <c r="B631" i="3"/>
  <c r="I634" i="3"/>
  <c r="I635" i="3"/>
  <c r="I637" i="3"/>
  <c r="F639" i="3"/>
  <c r="L639" i="3"/>
  <c r="D639" i="3"/>
  <c r="K639" i="3"/>
  <c r="C639" i="3"/>
  <c r="G644" i="3"/>
  <c r="H650" i="3"/>
  <c r="H655" i="3"/>
  <c r="B658" i="3"/>
  <c r="G660" i="3"/>
  <c r="J661" i="3"/>
  <c r="B663" i="3"/>
  <c r="M668" i="3"/>
  <c r="E668" i="3"/>
  <c r="L668" i="3"/>
  <c r="D668" i="3"/>
  <c r="K668" i="3"/>
  <c r="C668" i="3"/>
  <c r="J668" i="3"/>
  <c r="B668" i="3"/>
  <c r="D669" i="3"/>
  <c r="J674" i="3"/>
  <c r="B677" i="3"/>
  <c r="J679" i="3"/>
  <c r="H682" i="3"/>
  <c r="H687" i="3"/>
  <c r="B690" i="3"/>
  <c r="G692" i="3"/>
  <c r="J693" i="3"/>
  <c r="B695" i="3"/>
  <c r="M700" i="3"/>
  <c r="E700" i="3"/>
  <c r="L700" i="3"/>
  <c r="D700" i="3"/>
  <c r="K700" i="3"/>
  <c r="C700" i="3"/>
  <c r="J700" i="3"/>
  <c r="B700" i="3"/>
  <c r="D701" i="3"/>
  <c r="J706" i="3"/>
  <c r="B709" i="3"/>
  <c r="J711" i="3"/>
  <c r="H714" i="3"/>
  <c r="H719" i="3"/>
  <c r="B722" i="3"/>
  <c r="G724" i="3"/>
  <c r="J725" i="3"/>
  <c r="B727" i="3"/>
  <c r="M732" i="3"/>
  <c r="E732" i="3"/>
  <c r="L732" i="3"/>
  <c r="D732" i="3"/>
  <c r="K732" i="3"/>
  <c r="C732" i="3"/>
  <c r="J732" i="3"/>
  <c r="B732" i="3"/>
  <c r="D733" i="3"/>
  <c r="J738" i="3"/>
  <c r="B741" i="3"/>
  <c r="J743" i="3"/>
  <c r="H746" i="3"/>
  <c r="H751" i="3"/>
  <c r="B754" i="3"/>
  <c r="G756" i="3"/>
  <c r="J757" i="3"/>
  <c r="B759" i="3"/>
  <c r="M764" i="3"/>
  <c r="E764" i="3"/>
  <c r="L764" i="3"/>
  <c r="D764" i="3"/>
  <c r="K764" i="3"/>
  <c r="C764" i="3"/>
  <c r="J764" i="3"/>
  <c r="B764" i="3"/>
  <c r="D765" i="3"/>
  <c r="J770" i="3"/>
  <c r="B773" i="3"/>
  <c r="J775" i="3"/>
  <c r="H778" i="3"/>
  <c r="H783" i="3"/>
  <c r="B786" i="3"/>
  <c r="G788" i="3"/>
  <c r="J789" i="3"/>
  <c r="B791" i="3"/>
  <c r="M796" i="3"/>
  <c r="E796" i="3"/>
  <c r="L796" i="3"/>
  <c r="D796" i="3"/>
  <c r="K796" i="3"/>
  <c r="C796" i="3"/>
  <c r="J796" i="3"/>
  <c r="B796" i="3"/>
  <c r="D797" i="3"/>
  <c r="J802" i="3"/>
  <c r="B805" i="3"/>
  <c r="J807" i="3"/>
  <c r="H810" i="3"/>
  <c r="H815" i="3"/>
  <c r="B818" i="3"/>
  <c r="G820" i="3"/>
  <c r="J821" i="3"/>
  <c r="B823" i="3"/>
  <c r="M828" i="3"/>
  <c r="E828" i="3"/>
  <c r="L828" i="3"/>
  <c r="D828" i="3"/>
  <c r="K828" i="3"/>
  <c r="C828" i="3"/>
  <c r="J828" i="3"/>
  <c r="B828" i="3"/>
  <c r="D829" i="3"/>
  <c r="J834" i="3"/>
  <c r="B837" i="3"/>
  <c r="J839" i="3"/>
  <c r="H842" i="3"/>
  <c r="H847" i="3"/>
  <c r="B850" i="3"/>
  <c r="G852" i="3"/>
  <c r="J853" i="3"/>
  <c r="B855" i="3"/>
  <c r="M860" i="3"/>
  <c r="E860" i="3"/>
  <c r="L860" i="3"/>
  <c r="D860" i="3"/>
  <c r="K860" i="3"/>
  <c r="C860" i="3"/>
  <c r="J860" i="3"/>
  <c r="B860" i="3"/>
  <c r="D861" i="3"/>
  <c r="J866" i="3"/>
  <c r="B869" i="3"/>
  <c r="J871" i="3"/>
  <c r="H874" i="3"/>
  <c r="H879" i="3"/>
  <c r="B882" i="3"/>
  <c r="G884" i="3"/>
  <c r="J885" i="3"/>
  <c r="B887" i="3"/>
  <c r="M892" i="3"/>
  <c r="E892" i="3"/>
  <c r="L892" i="3"/>
  <c r="D892" i="3"/>
  <c r="K892" i="3"/>
  <c r="C892" i="3"/>
  <c r="J892" i="3"/>
  <c r="B892" i="3"/>
  <c r="D893" i="3"/>
  <c r="J898" i="3"/>
  <c r="D901" i="3"/>
  <c r="F903" i="3"/>
  <c r="M903" i="3"/>
  <c r="E903" i="3"/>
  <c r="L903" i="3"/>
  <c r="D903" i="3"/>
  <c r="K903" i="3"/>
  <c r="C903" i="3"/>
  <c r="H903" i="3"/>
  <c r="F908" i="3"/>
  <c r="L909" i="3"/>
  <c r="I911" i="3"/>
  <c r="H917" i="3"/>
  <c r="G917" i="3"/>
  <c r="F917" i="3"/>
  <c r="M917" i="3"/>
  <c r="E917" i="3"/>
  <c r="J917" i="3"/>
  <c r="B917" i="3"/>
  <c r="I925" i="3"/>
  <c r="B927" i="3"/>
  <c r="H932" i="3"/>
  <c r="C941" i="3"/>
  <c r="M948" i="3"/>
  <c r="E948" i="3"/>
  <c r="L948" i="3"/>
  <c r="D948" i="3"/>
  <c r="K948" i="3"/>
  <c r="C948" i="3"/>
  <c r="J948" i="3"/>
  <c r="B948" i="3"/>
  <c r="G948" i="3"/>
  <c r="G951" i="3"/>
  <c r="I956" i="3"/>
  <c r="F967" i="3"/>
  <c r="M967" i="3"/>
  <c r="E967" i="3"/>
  <c r="L967" i="3"/>
  <c r="D967" i="3"/>
  <c r="K967" i="3"/>
  <c r="C967" i="3"/>
  <c r="H967" i="3"/>
  <c r="F972" i="3"/>
  <c r="L973" i="3"/>
  <c r="I975" i="3"/>
  <c r="H981" i="3"/>
  <c r="G981" i="3"/>
  <c r="F981" i="3"/>
  <c r="M981" i="3"/>
  <c r="E981" i="3"/>
  <c r="J981" i="3"/>
  <c r="B981" i="3"/>
  <c r="I989" i="3"/>
  <c r="B991" i="3"/>
  <c r="C6" i="4"/>
  <c r="M13" i="4"/>
  <c r="E13" i="4"/>
  <c r="L13" i="4"/>
  <c r="D13" i="4"/>
  <c r="K13" i="4"/>
  <c r="C13" i="4"/>
  <c r="J13" i="4"/>
  <c r="B13" i="4"/>
  <c r="G13" i="4"/>
  <c r="H22" i="4"/>
  <c r="G22" i="4"/>
  <c r="F22" i="4"/>
  <c r="M22" i="4"/>
  <c r="E22" i="4"/>
  <c r="J22" i="4"/>
  <c r="B22" i="4"/>
  <c r="M29" i="4"/>
  <c r="E29" i="4"/>
  <c r="L29" i="4"/>
  <c r="D29" i="4"/>
  <c r="K29" i="4"/>
  <c r="C29" i="4"/>
  <c r="J29" i="4"/>
  <c r="B29" i="4"/>
  <c r="G29" i="4"/>
  <c r="H38" i="4"/>
  <c r="G38" i="4"/>
  <c r="F38" i="4"/>
  <c r="M38" i="4"/>
  <c r="E38" i="4"/>
  <c r="J38" i="4"/>
  <c r="B38" i="4"/>
  <c r="M45" i="4"/>
  <c r="E45" i="4"/>
  <c r="L45" i="4"/>
  <c r="D45" i="4"/>
  <c r="K45" i="4"/>
  <c r="C45" i="4"/>
  <c r="J45" i="4"/>
  <c r="B45" i="4"/>
  <c r="G45" i="4"/>
  <c r="C54" i="4"/>
  <c r="G56" i="4"/>
  <c r="C62" i="4"/>
  <c r="G64" i="4"/>
  <c r="C70" i="4"/>
  <c r="G72" i="4"/>
  <c r="C78" i="4"/>
  <c r="G80" i="4"/>
  <c r="C86" i="4"/>
  <c r="G88" i="4"/>
  <c r="C94" i="4"/>
  <c r="G96" i="4"/>
  <c r="C102" i="4"/>
  <c r="G104" i="4"/>
  <c r="C110" i="4"/>
  <c r="G112" i="4"/>
  <c r="C118" i="4"/>
  <c r="G120" i="4"/>
  <c r="C126" i="4"/>
  <c r="G128" i="4"/>
  <c r="C134" i="4"/>
  <c r="G136" i="4"/>
  <c r="C142" i="4"/>
  <c r="G144" i="4"/>
  <c r="C150" i="4"/>
  <c r="G152" i="4"/>
  <c r="C158" i="4"/>
  <c r="G160" i="4"/>
  <c r="M195" i="4"/>
  <c r="F224" i="4"/>
  <c r="M224" i="4"/>
  <c r="E224" i="4"/>
  <c r="H224" i="4"/>
  <c r="G224" i="4"/>
  <c r="D224" i="4"/>
  <c r="C224" i="4"/>
  <c r="L224" i="4"/>
  <c r="B224" i="4"/>
  <c r="J224" i="4"/>
  <c r="G235" i="4"/>
  <c r="F235" i="4"/>
  <c r="H235" i="4"/>
  <c r="E235" i="4"/>
  <c r="D235" i="4"/>
  <c r="M235" i="4"/>
  <c r="C235" i="4"/>
  <c r="L235" i="4"/>
  <c r="B235" i="4"/>
  <c r="J235" i="4"/>
  <c r="M254" i="4"/>
  <c r="K262" i="4"/>
  <c r="K447" i="4"/>
  <c r="K485" i="4"/>
  <c r="I906" i="3"/>
  <c r="I914" i="3"/>
  <c r="I922" i="3"/>
  <c r="I930" i="3"/>
  <c r="I938" i="3"/>
  <c r="I946" i="3"/>
  <c r="I954" i="3"/>
  <c r="I962" i="3"/>
  <c r="I970" i="3"/>
  <c r="I978" i="3"/>
  <c r="I986" i="3"/>
  <c r="I994" i="3"/>
  <c r="I3" i="4"/>
  <c r="I11" i="4"/>
  <c r="I19" i="4"/>
  <c r="I27" i="4"/>
  <c r="I35" i="4"/>
  <c r="I43" i="4"/>
  <c r="I51" i="4"/>
  <c r="I59" i="4"/>
  <c r="I67" i="4"/>
  <c r="I75" i="4"/>
  <c r="I83" i="4"/>
  <c r="I91" i="4"/>
  <c r="I99" i="4"/>
  <c r="I107" i="4"/>
  <c r="I115" i="4"/>
  <c r="I123" i="4"/>
  <c r="I131" i="4"/>
  <c r="I139" i="4"/>
  <c r="I147" i="4"/>
  <c r="I155" i="4"/>
  <c r="L170" i="4"/>
  <c r="D170" i="4"/>
  <c r="K170" i="4"/>
  <c r="C170" i="4"/>
  <c r="M170" i="4"/>
  <c r="M173" i="4"/>
  <c r="E173" i="4"/>
  <c r="L173" i="4"/>
  <c r="D173" i="4"/>
  <c r="K173" i="4"/>
  <c r="K191" i="4"/>
  <c r="C191" i="4"/>
  <c r="J191" i="4"/>
  <c r="B191" i="4"/>
  <c r="M191" i="4"/>
  <c r="L202" i="4"/>
  <c r="D202" i="4"/>
  <c r="K202" i="4"/>
  <c r="C202" i="4"/>
  <c r="M202" i="4"/>
  <c r="M205" i="4"/>
  <c r="E205" i="4"/>
  <c r="L205" i="4"/>
  <c r="D205" i="4"/>
  <c r="K205" i="4"/>
  <c r="K223" i="4"/>
  <c r="C223" i="4"/>
  <c r="J223" i="4"/>
  <c r="B223" i="4"/>
  <c r="M223" i="4"/>
  <c r="L234" i="4"/>
  <c r="D234" i="4"/>
  <c r="K234" i="4"/>
  <c r="C234" i="4"/>
  <c r="M234" i="4"/>
  <c r="L242" i="4"/>
  <c r="D242" i="4"/>
  <c r="K242" i="4"/>
  <c r="C242" i="4"/>
  <c r="M242" i="4"/>
  <c r="L250" i="4"/>
  <c r="D250" i="4"/>
  <c r="K250" i="4"/>
  <c r="C250" i="4"/>
  <c r="M250" i="4"/>
  <c r="L258" i="4"/>
  <c r="D258" i="4"/>
  <c r="K258" i="4"/>
  <c r="C258" i="4"/>
  <c r="M258" i="4"/>
  <c r="L266" i="4"/>
  <c r="D266" i="4"/>
  <c r="K266" i="4"/>
  <c r="C266" i="4"/>
  <c r="G266" i="4"/>
  <c r="G267" i="4"/>
  <c r="F267" i="4"/>
  <c r="J267" i="4"/>
  <c r="B267" i="4"/>
  <c r="M267" i="4"/>
  <c r="F314" i="4"/>
  <c r="M314" i="4"/>
  <c r="E314" i="4"/>
  <c r="G314" i="4"/>
  <c r="D314" i="4"/>
  <c r="J314" i="4"/>
  <c r="I314" i="4"/>
  <c r="F330" i="4"/>
  <c r="M330" i="4"/>
  <c r="E330" i="4"/>
  <c r="G330" i="4"/>
  <c r="D330" i="4"/>
  <c r="J330" i="4"/>
  <c r="I330" i="4"/>
  <c r="F346" i="4"/>
  <c r="M346" i="4"/>
  <c r="E346" i="4"/>
  <c r="G346" i="4"/>
  <c r="D346" i="4"/>
  <c r="J346" i="4"/>
  <c r="I346" i="4"/>
  <c r="F362" i="4"/>
  <c r="M362" i="4"/>
  <c r="E362" i="4"/>
  <c r="G362" i="4"/>
  <c r="D362" i="4"/>
  <c r="C362" i="4"/>
  <c r="J362" i="4"/>
  <c r="I362" i="4"/>
  <c r="L364" i="4"/>
  <c r="D364" i="4"/>
  <c r="K364" i="4"/>
  <c r="C364" i="4"/>
  <c r="J364" i="4"/>
  <c r="I364" i="4"/>
  <c r="H364" i="4"/>
  <c r="E364" i="4"/>
  <c r="B364" i="4"/>
  <c r="M415" i="4"/>
  <c r="E415" i="4"/>
  <c r="L415" i="4"/>
  <c r="D415" i="4"/>
  <c r="J415" i="4"/>
  <c r="I415" i="4"/>
  <c r="H415" i="4"/>
  <c r="G415" i="4"/>
  <c r="C415" i="4"/>
  <c r="B415" i="4"/>
  <c r="M471" i="4"/>
  <c r="E471" i="4"/>
  <c r="L471" i="4"/>
  <c r="D471" i="4"/>
  <c r="J471" i="4"/>
  <c r="I471" i="4"/>
  <c r="H471" i="4"/>
  <c r="G471" i="4"/>
  <c r="C471" i="4"/>
  <c r="B471" i="4"/>
  <c r="L492" i="4"/>
  <c r="D492" i="4"/>
  <c r="K492" i="4"/>
  <c r="C492" i="4"/>
  <c r="G492" i="4"/>
  <c r="F492" i="4"/>
  <c r="E492" i="4"/>
  <c r="B492" i="4"/>
  <c r="J492" i="4"/>
  <c r="I492" i="4"/>
  <c r="M527" i="4"/>
  <c r="E527" i="4"/>
  <c r="L527" i="4"/>
  <c r="D527" i="4"/>
  <c r="G527" i="4"/>
  <c r="F527" i="4"/>
  <c r="C527" i="4"/>
  <c r="B527" i="4"/>
  <c r="J527" i="4"/>
  <c r="I527" i="4"/>
  <c r="F554" i="4"/>
  <c r="M554" i="4"/>
  <c r="E554" i="4"/>
  <c r="J554" i="4"/>
  <c r="I554" i="4"/>
  <c r="H554" i="4"/>
  <c r="G554" i="4"/>
  <c r="C554" i="4"/>
  <c r="L554" i="4"/>
  <c r="B554" i="4"/>
  <c r="M591" i="4"/>
  <c r="E591" i="4"/>
  <c r="L591" i="4"/>
  <c r="D591" i="4"/>
  <c r="G591" i="4"/>
  <c r="F591" i="4"/>
  <c r="C591" i="4"/>
  <c r="B591" i="4"/>
  <c r="J591" i="4"/>
  <c r="I591" i="4"/>
  <c r="G631" i="4"/>
  <c r="M631" i="4"/>
  <c r="E631" i="4"/>
  <c r="L631" i="4"/>
  <c r="D631" i="4"/>
  <c r="K631" i="4"/>
  <c r="J631" i="4"/>
  <c r="I631" i="4"/>
  <c r="H631" i="4"/>
  <c r="C631" i="4"/>
  <c r="B631" i="4"/>
  <c r="J640" i="4"/>
  <c r="B640" i="4"/>
  <c r="H640" i="4"/>
  <c r="G640" i="4"/>
  <c r="L640" i="4"/>
  <c r="K640" i="4"/>
  <c r="I640" i="4"/>
  <c r="F640" i="4"/>
  <c r="D640" i="4"/>
  <c r="C640" i="4"/>
  <c r="G788" i="4"/>
  <c r="F788" i="4"/>
  <c r="M788" i="4"/>
  <c r="E788" i="4"/>
  <c r="L788" i="4"/>
  <c r="D788" i="4"/>
  <c r="K788" i="4"/>
  <c r="C788" i="4"/>
  <c r="J788" i="4"/>
  <c r="H788" i="4"/>
  <c r="B788" i="4"/>
  <c r="L143" i="5"/>
  <c r="D143" i="5"/>
  <c r="K143" i="5"/>
  <c r="C143" i="5"/>
  <c r="I143" i="5"/>
  <c r="H143" i="5"/>
  <c r="G143" i="5"/>
  <c r="F143" i="5"/>
  <c r="E143" i="5"/>
  <c r="J143" i="5"/>
  <c r="B143" i="5"/>
  <c r="J461" i="5"/>
  <c r="B461" i="5"/>
  <c r="F461" i="5"/>
  <c r="G461" i="5"/>
  <c r="E461" i="5"/>
  <c r="D461" i="5"/>
  <c r="M461" i="5"/>
  <c r="C461" i="5"/>
  <c r="K461" i="5"/>
  <c r="L461" i="5"/>
  <c r="I461" i="5"/>
  <c r="H461" i="5"/>
  <c r="L683" i="5"/>
  <c r="D683" i="5"/>
  <c r="K683" i="5"/>
  <c r="C683" i="5"/>
  <c r="J683" i="5"/>
  <c r="B683" i="5"/>
  <c r="H683" i="5"/>
  <c r="M683" i="5"/>
  <c r="I683" i="5"/>
  <c r="G683" i="5"/>
  <c r="E683" i="5"/>
  <c r="F683" i="5"/>
  <c r="F993" i="5"/>
  <c r="M993" i="5"/>
  <c r="E993" i="5"/>
  <c r="L993" i="5"/>
  <c r="D993" i="5"/>
  <c r="K993" i="5"/>
  <c r="C993" i="5"/>
  <c r="J993" i="5"/>
  <c r="B993" i="5"/>
  <c r="G993" i="5"/>
  <c r="I993" i="5"/>
  <c r="H993" i="5"/>
  <c r="H591" i="4"/>
  <c r="G623" i="4"/>
  <c r="M623" i="4"/>
  <c r="E623" i="4"/>
  <c r="L623" i="4"/>
  <c r="D623" i="4"/>
  <c r="K623" i="4"/>
  <c r="J623" i="4"/>
  <c r="I623" i="4"/>
  <c r="H623" i="4"/>
  <c r="C623" i="4"/>
  <c r="B623" i="4"/>
  <c r="F631" i="4"/>
  <c r="H634" i="4"/>
  <c r="F634" i="4"/>
  <c r="M634" i="4"/>
  <c r="E634" i="4"/>
  <c r="K634" i="4"/>
  <c r="J634" i="4"/>
  <c r="I634" i="4"/>
  <c r="G634" i="4"/>
  <c r="C634" i="4"/>
  <c r="B634" i="4"/>
  <c r="E640" i="4"/>
  <c r="G708" i="4"/>
  <c r="F708" i="4"/>
  <c r="M708" i="4"/>
  <c r="E708" i="4"/>
  <c r="L708" i="4"/>
  <c r="D708" i="4"/>
  <c r="K708" i="4"/>
  <c r="C708" i="4"/>
  <c r="J708" i="4"/>
  <c r="H708" i="4"/>
  <c r="B708" i="4"/>
  <c r="I788" i="4"/>
  <c r="G836" i="4"/>
  <c r="F836" i="4"/>
  <c r="M836" i="4"/>
  <c r="E836" i="4"/>
  <c r="L836" i="4"/>
  <c r="D836" i="4"/>
  <c r="K836" i="4"/>
  <c r="C836" i="4"/>
  <c r="J836" i="4"/>
  <c r="H836" i="4"/>
  <c r="B836" i="4"/>
  <c r="G868" i="4"/>
  <c r="F868" i="4"/>
  <c r="M868" i="4"/>
  <c r="E868" i="4"/>
  <c r="L868" i="4"/>
  <c r="D868" i="4"/>
  <c r="K868" i="4"/>
  <c r="C868" i="4"/>
  <c r="J868" i="4"/>
  <c r="H868" i="4"/>
  <c r="B868" i="4"/>
  <c r="G900" i="4"/>
  <c r="F900" i="4"/>
  <c r="M900" i="4"/>
  <c r="E900" i="4"/>
  <c r="L900" i="4"/>
  <c r="D900" i="4"/>
  <c r="K900" i="4"/>
  <c r="C900" i="4"/>
  <c r="J900" i="4"/>
  <c r="H900" i="4"/>
  <c r="B900" i="4"/>
  <c r="G932" i="4"/>
  <c r="F932" i="4"/>
  <c r="M932" i="4"/>
  <c r="E932" i="4"/>
  <c r="L932" i="4"/>
  <c r="D932" i="4"/>
  <c r="K932" i="4"/>
  <c r="C932" i="4"/>
  <c r="J932" i="4"/>
  <c r="H932" i="4"/>
  <c r="B932" i="4"/>
  <c r="M143" i="5"/>
  <c r="L507" i="5"/>
  <c r="D507" i="5"/>
  <c r="H507" i="5"/>
  <c r="F507" i="5"/>
  <c r="E507" i="5"/>
  <c r="C507" i="5"/>
  <c r="M507" i="5"/>
  <c r="B507" i="5"/>
  <c r="J507" i="5"/>
  <c r="K507" i="5"/>
  <c r="I507" i="5"/>
  <c r="G507" i="5"/>
  <c r="K608" i="5"/>
  <c r="C608" i="5"/>
  <c r="J608" i="5"/>
  <c r="B608" i="5"/>
  <c r="G608" i="5"/>
  <c r="L608" i="5"/>
  <c r="I608" i="5"/>
  <c r="H608" i="5"/>
  <c r="F608" i="5"/>
  <c r="D608" i="5"/>
  <c r="M608" i="5"/>
  <c r="E608" i="5"/>
  <c r="E49" i="4"/>
  <c r="M49" i="4"/>
  <c r="H50" i="4"/>
  <c r="C51" i="4"/>
  <c r="K51" i="4"/>
  <c r="F52" i="4"/>
  <c r="I53" i="4"/>
  <c r="E57" i="4"/>
  <c r="M57" i="4"/>
  <c r="H58" i="4"/>
  <c r="C59" i="4"/>
  <c r="K59" i="4"/>
  <c r="F60" i="4"/>
  <c r="I61" i="4"/>
  <c r="E65" i="4"/>
  <c r="M65" i="4"/>
  <c r="H66" i="4"/>
  <c r="C67" i="4"/>
  <c r="K67" i="4"/>
  <c r="F68" i="4"/>
  <c r="I69" i="4"/>
  <c r="E73" i="4"/>
  <c r="M73" i="4"/>
  <c r="H74" i="4"/>
  <c r="C75" i="4"/>
  <c r="K75" i="4"/>
  <c r="F76" i="4"/>
  <c r="I77" i="4"/>
  <c r="E81" i="4"/>
  <c r="M81" i="4"/>
  <c r="H82" i="4"/>
  <c r="C83" i="4"/>
  <c r="K83" i="4"/>
  <c r="F84" i="4"/>
  <c r="I85" i="4"/>
  <c r="E89" i="4"/>
  <c r="M89" i="4"/>
  <c r="H90" i="4"/>
  <c r="C91" i="4"/>
  <c r="K91" i="4"/>
  <c r="F92" i="4"/>
  <c r="I93" i="4"/>
  <c r="E97" i="4"/>
  <c r="M97" i="4"/>
  <c r="H98" i="4"/>
  <c r="C99" i="4"/>
  <c r="K99" i="4"/>
  <c r="F100" i="4"/>
  <c r="I101" i="4"/>
  <c r="E105" i="4"/>
  <c r="M105" i="4"/>
  <c r="H106" i="4"/>
  <c r="C107" i="4"/>
  <c r="K107" i="4"/>
  <c r="F108" i="4"/>
  <c r="I109" i="4"/>
  <c r="E113" i="4"/>
  <c r="M113" i="4"/>
  <c r="H114" i="4"/>
  <c r="C115" i="4"/>
  <c r="K115" i="4"/>
  <c r="F116" i="4"/>
  <c r="I117" i="4"/>
  <c r="E121" i="4"/>
  <c r="M121" i="4"/>
  <c r="H122" i="4"/>
  <c r="C123" i="4"/>
  <c r="K123" i="4"/>
  <c r="F124" i="4"/>
  <c r="I125" i="4"/>
  <c r="E129" i="4"/>
  <c r="M129" i="4"/>
  <c r="H130" i="4"/>
  <c r="C131" i="4"/>
  <c r="K131" i="4"/>
  <c r="F132" i="4"/>
  <c r="I133" i="4"/>
  <c r="E137" i="4"/>
  <c r="M137" i="4"/>
  <c r="H138" i="4"/>
  <c r="C139" i="4"/>
  <c r="K139" i="4"/>
  <c r="F140" i="4"/>
  <c r="I141" i="4"/>
  <c r="E145" i="4"/>
  <c r="M145" i="4"/>
  <c r="H146" i="4"/>
  <c r="C147" i="4"/>
  <c r="K147" i="4"/>
  <c r="F148" i="4"/>
  <c r="I149" i="4"/>
  <c r="E153" i="4"/>
  <c r="M153" i="4"/>
  <c r="H154" i="4"/>
  <c r="C155" i="4"/>
  <c r="K155" i="4"/>
  <c r="F156" i="4"/>
  <c r="I157" i="4"/>
  <c r="E161" i="4"/>
  <c r="M161" i="4"/>
  <c r="E163" i="4"/>
  <c r="G165" i="4"/>
  <c r="K167" i="4"/>
  <c r="C167" i="4"/>
  <c r="J167" i="4"/>
  <c r="B167" i="4"/>
  <c r="M167" i="4"/>
  <c r="E170" i="4"/>
  <c r="C173" i="4"/>
  <c r="H176" i="4"/>
  <c r="L178" i="4"/>
  <c r="D178" i="4"/>
  <c r="K178" i="4"/>
  <c r="C178" i="4"/>
  <c r="M178" i="4"/>
  <c r="M181" i="4"/>
  <c r="E181" i="4"/>
  <c r="L181" i="4"/>
  <c r="D181" i="4"/>
  <c r="K181" i="4"/>
  <c r="G183" i="4"/>
  <c r="H187" i="4"/>
  <c r="F190" i="4"/>
  <c r="E191" i="4"/>
  <c r="G194" i="4"/>
  <c r="G197" i="4"/>
  <c r="K199" i="4"/>
  <c r="C199" i="4"/>
  <c r="J199" i="4"/>
  <c r="B199" i="4"/>
  <c r="M199" i="4"/>
  <c r="E202" i="4"/>
  <c r="C205" i="4"/>
  <c r="H208" i="4"/>
  <c r="L210" i="4"/>
  <c r="D210" i="4"/>
  <c r="K210" i="4"/>
  <c r="C210" i="4"/>
  <c r="M210" i="4"/>
  <c r="M213" i="4"/>
  <c r="E213" i="4"/>
  <c r="L213" i="4"/>
  <c r="D213" i="4"/>
  <c r="K213" i="4"/>
  <c r="G215" i="4"/>
  <c r="H219" i="4"/>
  <c r="F222" i="4"/>
  <c r="E223" i="4"/>
  <c r="G226" i="4"/>
  <c r="G229" i="4"/>
  <c r="K231" i="4"/>
  <c r="C231" i="4"/>
  <c r="J231" i="4"/>
  <c r="B231" i="4"/>
  <c r="M231" i="4"/>
  <c r="E234" i="4"/>
  <c r="G237" i="4"/>
  <c r="K239" i="4"/>
  <c r="C239" i="4"/>
  <c r="J239" i="4"/>
  <c r="B239" i="4"/>
  <c r="M239" i="4"/>
  <c r="E242" i="4"/>
  <c r="G245" i="4"/>
  <c r="K247" i="4"/>
  <c r="C247" i="4"/>
  <c r="J247" i="4"/>
  <c r="B247" i="4"/>
  <c r="M247" i="4"/>
  <c r="E250" i="4"/>
  <c r="G253" i="4"/>
  <c r="K255" i="4"/>
  <c r="C255" i="4"/>
  <c r="J255" i="4"/>
  <c r="B255" i="4"/>
  <c r="M255" i="4"/>
  <c r="E258" i="4"/>
  <c r="G261" i="4"/>
  <c r="K263" i="4"/>
  <c r="C263" i="4"/>
  <c r="J263" i="4"/>
  <c r="B263" i="4"/>
  <c r="M263" i="4"/>
  <c r="E266" i="4"/>
  <c r="D267" i="4"/>
  <c r="K271" i="4"/>
  <c r="C271" i="4"/>
  <c r="J271" i="4"/>
  <c r="B271" i="4"/>
  <c r="F271" i="4"/>
  <c r="M271" i="4"/>
  <c r="E271" i="4"/>
  <c r="J277" i="4"/>
  <c r="J282" i="4"/>
  <c r="I285" i="4"/>
  <c r="L286" i="4"/>
  <c r="J290" i="4"/>
  <c r="I293" i="4"/>
  <c r="L294" i="4"/>
  <c r="J298" i="4"/>
  <c r="I301" i="4"/>
  <c r="L302" i="4"/>
  <c r="C314" i="4"/>
  <c r="C330" i="4"/>
  <c r="C346" i="4"/>
  <c r="H362" i="4"/>
  <c r="G364" i="4"/>
  <c r="F370" i="4"/>
  <c r="M370" i="4"/>
  <c r="E370" i="4"/>
  <c r="G370" i="4"/>
  <c r="D370" i="4"/>
  <c r="C370" i="4"/>
  <c r="J370" i="4"/>
  <c r="I370" i="4"/>
  <c r="L372" i="4"/>
  <c r="D372" i="4"/>
  <c r="K372" i="4"/>
  <c r="C372" i="4"/>
  <c r="J372" i="4"/>
  <c r="I372" i="4"/>
  <c r="H372" i="4"/>
  <c r="E372" i="4"/>
  <c r="B372" i="4"/>
  <c r="M407" i="4"/>
  <c r="E407" i="4"/>
  <c r="L407" i="4"/>
  <c r="D407" i="4"/>
  <c r="J407" i="4"/>
  <c r="I407" i="4"/>
  <c r="H407" i="4"/>
  <c r="G407" i="4"/>
  <c r="C407" i="4"/>
  <c r="B407" i="4"/>
  <c r="K415" i="4"/>
  <c r="M439" i="4"/>
  <c r="E439" i="4"/>
  <c r="L439" i="4"/>
  <c r="D439" i="4"/>
  <c r="J439" i="4"/>
  <c r="I439" i="4"/>
  <c r="H439" i="4"/>
  <c r="G439" i="4"/>
  <c r="C439" i="4"/>
  <c r="B439" i="4"/>
  <c r="G445" i="4"/>
  <c r="F445" i="4"/>
  <c r="E445" i="4"/>
  <c r="D445" i="4"/>
  <c r="M445" i="4"/>
  <c r="C445" i="4"/>
  <c r="L445" i="4"/>
  <c r="B445" i="4"/>
  <c r="J445" i="4"/>
  <c r="I445" i="4"/>
  <c r="M463" i="4"/>
  <c r="E463" i="4"/>
  <c r="L463" i="4"/>
  <c r="D463" i="4"/>
  <c r="J463" i="4"/>
  <c r="I463" i="4"/>
  <c r="H463" i="4"/>
  <c r="G463" i="4"/>
  <c r="C463" i="4"/>
  <c r="B463" i="4"/>
  <c r="K471" i="4"/>
  <c r="M492" i="4"/>
  <c r="H504" i="4"/>
  <c r="G504" i="4"/>
  <c r="E504" i="4"/>
  <c r="D504" i="4"/>
  <c r="M504" i="4"/>
  <c r="C504" i="4"/>
  <c r="L504" i="4"/>
  <c r="B504" i="4"/>
  <c r="J504" i="4"/>
  <c r="I504" i="4"/>
  <c r="K527" i="4"/>
  <c r="M543" i="4"/>
  <c r="E543" i="4"/>
  <c r="L543" i="4"/>
  <c r="D543" i="4"/>
  <c r="G543" i="4"/>
  <c r="F543" i="4"/>
  <c r="C543" i="4"/>
  <c r="B543" i="4"/>
  <c r="J543" i="4"/>
  <c r="I543" i="4"/>
  <c r="K554" i="4"/>
  <c r="F570" i="4"/>
  <c r="M570" i="4"/>
  <c r="E570" i="4"/>
  <c r="J570" i="4"/>
  <c r="I570" i="4"/>
  <c r="H570" i="4"/>
  <c r="G570" i="4"/>
  <c r="C570" i="4"/>
  <c r="L570" i="4"/>
  <c r="B570" i="4"/>
  <c r="K591" i="4"/>
  <c r="M599" i="4"/>
  <c r="E599" i="4"/>
  <c r="L599" i="4"/>
  <c r="D599" i="4"/>
  <c r="G599" i="4"/>
  <c r="F599" i="4"/>
  <c r="C599" i="4"/>
  <c r="B599" i="4"/>
  <c r="J599" i="4"/>
  <c r="I599" i="4"/>
  <c r="G615" i="4"/>
  <c r="M615" i="4"/>
  <c r="E615" i="4"/>
  <c r="L615" i="4"/>
  <c r="D615" i="4"/>
  <c r="K615" i="4"/>
  <c r="J615" i="4"/>
  <c r="I615" i="4"/>
  <c r="H615" i="4"/>
  <c r="C615" i="4"/>
  <c r="B615" i="4"/>
  <c r="J632" i="4"/>
  <c r="B632" i="4"/>
  <c r="H632" i="4"/>
  <c r="G632" i="4"/>
  <c r="L632" i="4"/>
  <c r="K632" i="4"/>
  <c r="I632" i="4"/>
  <c r="F632" i="4"/>
  <c r="D632" i="4"/>
  <c r="C632" i="4"/>
  <c r="M640" i="4"/>
  <c r="G756" i="4"/>
  <c r="F756" i="4"/>
  <c r="M756" i="4"/>
  <c r="E756" i="4"/>
  <c r="L756" i="4"/>
  <c r="D756" i="4"/>
  <c r="K756" i="4"/>
  <c r="C756" i="4"/>
  <c r="J756" i="4"/>
  <c r="H756" i="4"/>
  <c r="B756" i="4"/>
  <c r="L151" i="5"/>
  <c r="D151" i="5"/>
  <c r="K151" i="5"/>
  <c r="C151" i="5"/>
  <c r="H151" i="5"/>
  <c r="G151" i="5"/>
  <c r="F151" i="5"/>
  <c r="E151" i="5"/>
  <c r="B151" i="5"/>
  <c r="J151" i="5"/>
  <c r="I151" i="5"/>
  <c r="F433" i="5"/>
  <c r="J433" i="5"/>
  <c r="B433" i="5"/>
  <c r="G433" i="5"/>
  <c r="E433" i="5"/>
  <c r="D433" i="5"/>
  <c r="M433" i="5"/>
  <c r="C433" i="5"/>
  <c r="K433" i="5"/>
  <c r="L433" i="5"/>
  <c r="I433" i="5"/>
  <c r="H433" i="5"/>
  <c r="G796" i="5"/>
  <c r="F796" i="5"/>
  <c r="M796" i="5"/>
  <c r="E796" i="5"/>
  <c r="L796" i="5"/>
  <c r="D796" i="5"/>
  <c r="K796" i="5"/>
  <c r="C796" i="5"/>
  <c r="H796" i="5"/>
  <c r="J796" i="5"/>
  <c r="I796" i="5"/>
  <c r="B796" i="5"/>
  <c r="I377" i="3"/>
  <c r="I385" i="3"/>
  <c r="I393" i="3"/>
  <c r="I401" i="3"/>
  <c r="I409" i="3"/>
  <c r="I417" i="3"/>
  <c r="I425" i="3"/>
  <c r="I433" i="3"/>
  <c r="I441" i="3"/>
  <c r="I449" i="3"/>
  <c r="I457" i="3"/>
  <c r="I465" i="3"/>
  <c r="I473" i="3"/>
  <c r="I481" i="3"/>
  <c r="I489" i="3"/>
  <c r="I497" i="3"/>
  <c r="I505" i="3"/>
  <c r="I513" i="3"/>
  <c r="I521" i="3"/>
  <c r="I529" i="3"/>
  <c r="F536" i="3"/>
  <c r="I537" i="3"/>
  <c r="F544" i="3"/>
  <c r="I545" i="3"/>
  <c r="F552" i="3"/>
  <c r="I553" i="3"/>
  <c r="F560" i="3"/>
  <c r="I561" i="3"/>
  <c r="F568" i="3"/>
  <c r="I569" i="3"/>
  <c r="F576" i="3"/>
  <c r="I577" i="3"/>
  <c r="F584" i="3"/>
  <c r="I585" i="3"/>
  <c r="F592" i="3"/>
  <c r="I593" i="3"/>
  <c r="F600" i="3"/>
  <c r="I601" i="3"/>
  <c r="F608" i="3"/>
  <c r="I609" i="3"/>
  <c r="F616" i="3"/>
  <c r="I617" i="3"/>
  <c r="F624" i="3"/>
  <c r="I625" i="3"/>
  <c r="F632" i="3"/>
  <c r="I633" i="3"/>
  <c r="F640" i="3"/>
  <c r="I641" i="3"/>
  <c r="F648" i="3"/>
  <c r="I649" i="3"/>
  <c r="G651" i="3"/>
  <c r="F656" i="3"/>
  <c r="I657" i="3"/>
  <c r="G659" i="3"/>
  <c r="F664" i="3"/>
  <c r="I665" i="3"/>
  <c r="G667" i="3"/>
  <c r="F672" i="3"/>
  <c r="I673" i="3"/>
  <c r="G675" i="3"/>
  <c r="F680" i="3"/>
  <c r="I681" i="3"/>
  <c r="G683" i="3"/>
  <c r="F688" i="3"/>
  <c r="I689" i="3"/>
  <c r="G691" i="3"/>
  <c r="F696" i="3"/>
  <c r="I697" i="3"/>
  <c r="G699" i="3"/>
  <c r="F704" i="3"/>
  <c r="I705" i="3"/>
  <c r="G707" i="3"/>
  <c r="F712" i="3"/>
  <c r="I713" i="3"/>
  <c r="G715" i="3"/>
  <c r="F720" i="3"/>
  <c r="I721" i="3"/>
  <c r="G723" i="3"/>
  <c r="F728" i="3"/>
  <c r="I729" i="3"/>
  <c r="G731" i="3"/>
  <c r="F736" i="3"/>
  <c r="I737" i="3"/>
  <c r="G739" i="3"/>
  <c r="F744" i="3"/>
  <c r="I745" i="3"/>
  <c r="G747" i="3"/>
  <c r="F752" i="3"/>
  <c r="I753" i="3"/>
  <c r="G755" i="3"/>
  <c r="F760" i="3"/>
  <c r="I761" i="3"/>
  <c r="G763" i="3"/>
  <c r="F768" i="3"/>
  <c r="I769" i="3"/>
  <c r="G771" i="3"/>
  <c r="F776" i="3"/>
  <c r="I777" i="3"/>
  <c r="G779" i="3"/>
  <c r="F784" i="3"/>
  <c r="I785" i="3"/>
  <c r="G787" i="3"/>
  <c r="F792" i="3"/>
  <c r="I793" i="3"/>
  <c r="G795" i="3"/>
  <c r="F800" i="3"/>
  <c r="I801" i="3"/>
  <c r="G803" i="3"/>
  <c r="F808" i="3"/>
  <c r="I809" i="3"/>
  <c r="G811" i="3"/>
  <c r="F816" i="3"/>
  <c r="I817" i="3"/>
  <c r="G819" i="3"/>
  <c r="F824" i="3"/>
  <c r="I825" i="3"/>
  <c r="G827" i="3"/>
  <c r="F832" i="3"/>
  <c r="I833" i="3"/>
  <c r="G835" i="3"/>
  <c r="F840" i="3"/>
  <c r="I841" i="3"/>
  <c r="G843" i="3"/>
  <c r="F848" i="3"/>
  <c r="I849" i="3"/>
  <c r="G851" i="3"/>
  <c r="F856" i="3"/>
  <c r="I857" i="3"/>
  <c r="G859" i="3"/>
  <c r="F864" i="3"/>
  <c r="I865" i="3"/>
  <c r="G867" i="3"/>
  <c r="F872" i="3"/>
  <c r="I873" i="3"/>
  <c r="G875" i="3"/>
  <c r="F880" i="3"/>
  <c r="I881" i="3"/>
  <c r="G883" i="3"/>
  <c r="F888" i="3"/>
  <c r="I889" i="3"/>
  <c r="G891" i="3"/>
  <c r="F896" i="3"/>
  <c r="I897" i="3"/>
  <c r="G899" i="3"/>
  <c r="F904" i="3"/>
  <c r="I905" i="3"/>
  <c r="D906" i="3"/>
  <c r="L906" i="3"/>
  <c r="G907" i="3"/>
  <c r="F912" i="3"/>
  <c r="I913" i="3"/>
  <c r="D914" i="3"/>
  <c r="L914" i="3"/>
  <c r="G915" i="3"/>
  <c r="F920" i="3"/>
  <c r="I921" i="3"/>
  <c r="D922" i="3"/>
  <c r="L922" i="3"/>
  <c r="G923" i="3"/>
  <c r="F928" i="3"/>
  <c r="I929" i="3"/>
  <c r="D930" i="3"/>
  <c r="L930" i="3"/>
  <c r="G931" i="3"/>
  <c r="F936" i="3"/>
  <c r="I937" i="3"/>
  <c r="D938" i="3"/>
  <c r="L938" i="3"/>
  <c r="G939" i="3"/>
  <c r="F944" i="3"/>
  <c r="I945" i="3"/>
  <c r="D946" i="3"/>
  <c r="L946" i="3"/>
  <c r="G947" i="3"/>
  <c r="F952" i="3"/>
  <c r="I953" i="3"/>
  <c r="D954" i="3"/>
  <c r="L954" i="3"/>
  <c r="G955" i="3"/>
  <c r="F960" i="3"/>
  <c r="I961" i="3"/>
  <c r="D962" i="3"/>
  <c r="L962" i="3"/>
  <c r="G963" i="3"/>
  <c r="F968" i="3"/>
  <c r="I969" i="3"/>
  <c r="D970" i="3"/>
  <c r="L970" i="3"/>
  <c r="G971" i="3"/>
  <c r="F976" i="3"/>
  <c r="I977" i="3"/>
  <c r="D978" i="3"/>
  <c r="L978" i="3"/>
  <c r="G979" i="3"/>
  <c r="F984" i="3"/>
  <c r="I985" i="3"/>
  <c r="D986" i="3"/>
  <c r="L986" i="3"/>
  <c r="G987" i="3"/>
  <c r="F992" i="3"/>
  <c r="I993" i="3"/>
  <c r="D994" i="3"/>
  <c r="L994" i="3"/>
  <c r="G995" i="3"/>
  <c r="F1000" i="3"/>
  <c r="I2" i="4"/>
  <c r="D3" i="4"/>
  <c r="L3" i="4"/>
  <c r="G4" i="4"/>
  <c r="F9" i="4"/>
  <c r="I10" i="4"/>
  <c r="D11" i="4"/>
  <c r="L11" i="4"/>
  <c r="G12" i="4"/>
  <c r="I18" i="4"/>
  <c r="D19" i="4"/>
  <c r="L19" i="4"/>
  <c r="G20" i="4"/>
  <c r="I26" i="4"/>
  <c r="D27" i="4"/>
  <c r="L27" i="4"/>
  <c r="G28" i="4"/>
  <c r="I34" i="4"/>
  <c r="D35" i="4"/>
  <c r="L35" i="4"/>
  <c r="G36" i="4"/>
  <c r="I42" i="4"/>
  <c r="D43" i="4"/>
  <c r="L43" i="4"/>
  <c r="G44" i="4"/>
  <c r="I50" i="4"/>
  <c r="D51" i="4"/>
  <c r="L51" i="4"/>
  <c r="G52" i="4"/>
  <c r="I58" i="4"/>
  <c r="D59" i="4"/>
  <c r="L59" i="4"/>
  <c r="G60" i="4"/>
  <c r="I66" i="4"/>
  <c r="D67" i="4"/>
  <c r="L67" i="4"/>
  <c r="G68" i="4"/>
  <c r="I74" i="4"/>
  <c r="D75" i="4"/>
  <c r="L75" i="4"/>
  <c r="G76" i="4"/>
  <c r="I82" i="4"/>
  <c r="D83" i="4"/>
  <c r="L83" i="4"/>
  <c r="G84" i="4"/>
  <c r="I90" i="4"/>
  <c r="D91" i="4"/>
  <c r="L91" i="4"/>
  <c r="G92" i="4"/>
  <c r="I98" i="4"/>
  <c r="D99" i="4"/>
  <c r="L99" i="4"/>
  <c r="G100" i="4"/>
  <c r="I106" i="4"/>
  <c r="D107" i="4"/>
  <c r="L107" i="4"/>
  <c r="G108" i="4"/>
  <c r="I114" i="4"/>
  <c r="D115" i="4"/>
  <c r="L115" i="4"/>
  <c r="G116" i="4"/>
  <c r="I122" i="4"/>
  <c r="D123" i="4"/>
  <c r="L123" i="4"/>
  <c r="G124" i="4"/>
  <c r="I130" i="4"/>
  <c r="D131" i="4"/>
  <c r="L131" i="4"/>
  <c r="G132" i="4"/>
  <c r="I138" i="4"/>
  <c r="D139" i="4"/>
  <c r="L139" i="4"/>
  <c r="G140" i="4"/>
  <c r="I146" i="4"/>
  <c r="D147" i="4"/>
  <c r="L147" i="4"/>
  <c r="G148" i="4"/>
  <c r="I154" i="4"/>
  <c r="D155" i="4"/>
  <c r="L155" i="4"/>
  <c r="G156" i="4"/>
  <c r="K162" i="4"/>
  <c r="C162" i="4"/>
  <c r="J162" i="4"/>
  <c r="F168" i="4"/>
  <c r="M168" i="4"/>
  <c r="E168" i="4"/>
  <c r="K168" i="4"/>
  <c r="F170" i="4"/>
  <c r="F173" i="4"/>
  <c r="I176" i="4"/>
  <c r="G179" i="4"/>
  <c r="F179" i="4"/>
  <c r="K179" i="4"/>
  <c r="H182" i="4"/>
  <c r="G182" i="4"/>
  <c r="K182" i="4"/>
  <c r="I187" i="4"/>
  <c r="I190" i="4"/>
  <c r="F191" i="4"/>
  <c r="F200" i="4"/>
  <c r="M200" i="4"/>
  <c r="E200" i="4"/>
  <c r="K200" i="4"/>
  <c r="F202" i="4"/>
  <c r="F205" i="4"/>
  <c r="I208" i="4"/>
  <c r="G211" i="4"/>
  <c r="F211" i="4"/>
  <c r="K211" i="4"/>
  <c r="H214" i="4"/>
  <c r="G214" i="4"/>
  <c r="K214" i="4"/>
  <c r="I219" i="4"/>
  <c r="I222" i="4"/>
  <c r="F223" i="4"/>
  <c r="F232" i="4"/>
  <c r="M232" i="4"/>
  <c r="E232" i="4"/>
  <c r="K232" i="4"/>
  <c r="F234" i="4"/>
  <c r="F240" i="4"/>
  <c r="M240" i="4"/>
  <c r="E240" i="4"/>
  <c r="K240" i="4"/>
  <c r="F242" i="4"/>
  <c r="F248" i="4"/>
  <c r="M248" i="4"/>
  <c r="E248" i="4"/>
  <c r="K248" i="4"/>
  <c r="F250" i="4"/>
  <c r="F256" i="4"/>
  <c r="M256" i="4"/>
  <c r="E256" i="4"/>
  <c r="K256" i="4"/>
  <c r="F258" i="4"/>
  <c r="F264" i="4"/>
  <c r="M264" i="4"/>
  <c r="E264" i="4"/>
  <c r="K264" i="4"/>
  <c r="F266" i="4"/>
  <c r="E267" i="4"/>
  <c r="M269" i="4"/>
  <c r="E269" i="4"/>
  <c r="L269" i="4"/>
  <c r="D269" i="4"/>
  <c r="H269" i="4"/>
  <c r="H270" i="4"/>
  <c r="G270" i="4"/>
  <c r="K270" i="4"/>
  <c r="C270" i="4"/>
  <c r="J270" i="4"/>
  <c r="B270" i="4"/>
  <c r="K279" i="4"/>
  <c r="C279" i="4"/>
  <c r="J279" i="4"/>
  <c r="B279" i="4"/>
  <c r="F279" i="4"/>
  <c r="M279" i="4"/>
  <c r="E279" i="4"/>
  <c r="H314" i="4"/>
  <c r="H330" i="4"/>
  <c r="H346" i="4"/>
  <c r="K362" i="4"/>
  <c r="M364" i="4"/>
  <c r="G413" i="4"/>
  <c r="F413" i="4"/>
  <c r="E413" i="4"/>
  <c r="D413" i="4"/>
  <c r="M413" i="4"/>
  <c r="C413" i="4"/>
  <c r="L413" i="4"/>
  <c r="B413" i="4"/>
  <c r="J413" i="4"/>
  <c r="I413" i="4"/>
  <c r="G469" i="4"/>
  <c r="F469" i="4"/>
  <c r="E469" i="4"/>
  <c r="D469" i="4"/>
  <c r="M469" i="4"/>
  <c r="C469" i="4"/>
  <c r="L469" i="4"/>
  <c r="B469" i="4"/>
  <c r="J469" i="4"/>
  <c r="I469" i="4"/>
  <c r="F514" i="4"/>
  <c r="M514" i="4"/>
  <c r="E514" i="4"/>
  <c r="J514" i="4"/>
  <c r="I514" i="4"/>
  <c r="H514" i="4"/>
  <c r="G514" i="4"/>
  <c r="C514" i="4"/>
  <c r="L514" i="4"/>
  <c r="B514" i="4"/>
  <c r="M551" i="4"/>
  <c r="E551" i="4"/>
  <c r="L551" i="4"/>
  <c r="D551" i="4"/>
  <c r="G551" i="4"/>
  <c r="F551" i="4"/>
  <c r="C551" i="4"/>
  <c r="B551" i="4"/>
  <c r="J551" i="4"/>
  <c r="I551" i="4"/>
  <c r="F578" i="4"/>
  <c r="M578" i="4"/>
  <c r="E578" i="4"/>
  <c r="J578" i="4"/>
  <c r="I578" i="4"/>
  <c r="H578" i="4"/>
  <c r="G578" i="4"/>
  <c r="C578" i="4"/>
  <c r="L578" i="4"/>
  <c r="B578" i="4"/>
  <c r="J624" i="4"/>
  <c r="B624" i="4"/>
  <c r="H624" i="4"/>
  <c r="G624" i="4"/>
  <c r="L624" i="4"/>
  <c r="K624" i="4"/>
  <c r="I624" i="4"/>
  <c r="F624" i="4"/>
  <c r="D624" i="4"/>
  <c r="C624" i="4"/>
  <c r="H626" i="4"/>
  <c r="F626" i="4"/>
  <c r="M626" i="4"/>
  <c r="E626" i="4"/>
  <c r="K626" i="4"/>
  <c r="J626" i="4"/>
  <c r="I626" i="4"/>
  <c r="G626" i="4"/>
  <c r="C626" i="4"/>
  <c r="B626" i="4"/>
  <c r="G676" i="4"/>
  <c r="F676" i="4"/>
  <c r="M676" i="4"/>
  <c r="E676" i="4"/>
  <c r="L676" i="4"/>
  <c r="D676" i="4"/>
  <c r="K676" i="4"/>
  <c r="C676" i="4"/>
  <c r="J676" i="4"/>
  <c r="H676" i="4"/>
  <c r="B676" i="4"/>
  <c r="G804" i="4"/>
  <c r="F804" i="4"/>
  <c r="M804" i="4"/>
  <c r="E804" i="4"/>
  <c r="L804" i="4"/>
  <c r="D804" i="4"/>
  <c r="K804" i="4"/>
  <c r="C804" i="4"/>
  <c r="J804" i="4"/>
  <c r="H804" i="4"/>
  <c r="B804" i="4"/>
  <c r="G186" i="5"/>
  <c r="M186" i="5"/>
  <c r="E186" i="5"/>
  <c r="L186" i="5"/>
  <c r="D186" i="5"/>
  <c r="J186" i="5"/>
  <c r="I186" i="5"/>
  <c r="H186" i="5"/>
  <c r="F186" i="5"/>
  <c r="C186" i="5"/>
  <c r="K186" i="5"/>
  <c r="B186" i="5"/>
  <c r="G250" i="5"/>
  <c r="M250" i="5"/>
  <c r="E250" i="5"/>
  <c r="L250" i="5"/>
  <c r="D250" i="5"/>
  <c r="J250" i="5"/>
  <c r="B250" i="5"/>
  <c r="K250" i="5"/>
  <c r="I250" i="5"/>
  <c r="H250" i="5"/>
  <c r="F250" i="5"/>
  <c r="C250" i="5"/>
  <c r="M292" i="5"/>
  <c r="E292" i="5"/>
  <c r="L292" i="5"/>
  <c r="D292" i="5"/>
  <c r="K292" i="5"/>
  <c r="C292" i="5"/>
  <c r="J292" i="5"/>
  <c r="B292" i="5"/>
  <c r="H292" i="5"/>
  <c r="I292" i="5"/>
  <c r="G292" i="5"/>
  <c r="F292" i="5"/>
  <c r="K504" i="5"/>
  <c r="C504" i="5"/>
  <c r="G504" i="5"/>
  <c r="F504" i="5"/>
  <c r="E504" i="5"/>
  <c r="D504" i="5"/>
  <c r="M504" i="5"/>
  <c r="B504" i="5"/>
  <c r="J504" i="5"/>
  <c r="L504" i="5"/>
  <c r="I504" i="5"/>
  <c r="H504" i="5"/>
  <c r="L571" i="5"/>
  <c r="D571" i="5"/>
  <c r="K571" i="5"/>
  <c r="C571" i="5"/>
  <c r="H571" i="5"/>
  <c r="M571" i="5"/>
  <c r="J571" i="5"/>
  <c r="I571" i="5"/>
  <c r="G571" i="5"/>
  <c r="E571" i="5"/>
  <c r="F571" i="5"/>
  <c r="B571" i="5"/>
  <c r="B377" i="3"/>
  <c r="B385" i="3"/>
  <c r="B393" i="3"/>
  <c r="B401" i="3"/>
  <c r="B409" i="3"/>
  <c r="B417" i="3"/>
  <c r="B425" i="3"/>
  <c r="B433" i="3"/>
  <c r="B441" i="3"/>
  <c r="B449" i="3"/>
  <c r="B457" i="3"/>
  <c r="B465" i="3"/>
  <c r="B473" i="3"/>
  <c r="B481" i="3"/>
  <c r="B489" i="3"/>
  <c r="B497" i="3"/>
  <c r="B505" i="3"/>
  <c r="B513" i="3"/>
  <c r="B521" i="3"/>
  <c r="B529" i="3"/>
  <c r="G536" i="3"/>
  <c r="B537" i="3"/>
  <c r="G544" i="3"/>
  <c r="B545" i="3"/>
  <c r="G552" i="3"/>
  <c r="B553" i="3"/>
  <c r="G560" i="3"/>
  <c r="B561" i="3"/>
  <c r="G568" i="3"/>
  <c r="B569" i="3"/>
  <c r="G576" i="3"/>
  <c r="B577" i="3"/>
  <c r="G584" i="3"/>
  <c r="B585" i="3"/>
  <c r="G592" i="3"/>
  <c r="B593" i="3"/>
  <c r="G600" i="3"/>
  <c r="B601" i="3"/>
  <c r="G608" i="3"/>
  <c r="B609" i="3"/>
  <c r="G616" i="3"/>
  <c r="B617" i="3"/>
  <c r="G624" i="3"/>
  <c r="B625" i="3"/>
  <c r="G632" i="3"/>
  <c r="B633" i="3"/>
  <c r="G640" i="3"/>
  <c r="B641" i="3"/>
  <c r="G648" i="3"/>
  <c r="B649" i="3"/>
  <c r="H651" i="3"/>
  <c r="G656" i="3"/>
  <c r="B657" i="3"/>
  <c r="H659" i="3"/>
  <c r="G664" i="3"/>
  <c r="B665" i="3"/>
  <c r="H667" i="3"/>
  <c r="G672" i="3"/>
  <c r="B673" i="3"/>
  <c r="H675" i="3"/>
  <c r="G680" i="3"/>
  <c r="B681" i="3"/>
  <c r="H683" i="3"/>
  <c r="G688" i="3"/>
  <c r="B689" i="3"/>
  <c r="H691" i="3"/>
  <c r="G696" i="3"/>
  <c r="B697" i="3"/>
  <c r="H699" i="3"/>
  <c r="G704" i="3"/>
  <c r="B705" i="3"/>
  <c r="H707" i="3"/>
  <c r="G712" i="3"/>
  <c r="B713" i="3"/>
  <c r="H715" i="3"/>
  <c r="G720" i="3"/>
  <c r="B721" i="3"/>
  <c r="H723" i="3"/>
  <c r="G728" i="3"/>
  <c r="B729" i="3"/>
  <c r="H731" i="3"/>
  <c r="G736" i="3"/>
  <c r="B737" i="3"/>
  <c r="H739" i="3"/>
  <c r="G744" i="3"/>
  <c r="B745" i="3"/>
  <c r="H747" i="3"/>
  <c r="G752" i="3"/>
  <c r="B753" i="3"/>
  <c r="H755" i="3"/>
  <c r="G760" i="3"/>
  <c r="B761" i="3"/>
  <c r="H763" i="3"/>
  <c r="G768" i="3"/>
  <c r="B769" i="3"/>
  <c r="H771" i="3"/>
  <c r="G776" i="3"/>
  <c r="B777" i="3"/>
  <c r="H779" i="3"/>
  <c r="G784" i="3"/>
  <c r="B785" i="3"/>
  <c r="H787" i="3"/>
  <c r="G792" i="3"/>
  <c r="B793" i="3"/>
  <c r="H795" i="3"/>
  <c r="G800" i="3"/>
  <c r="B801" i="3"/>
  <c r="H803" i="3"/>
  <c r="G808" i="3"/>
  <c r="B809" i="3"/>
  <c r="H811" i="3"/>
  <c r="G816" i="3"/>
  <c r="B817" i="3"/>
  <c r="H819" i="3"/>
  <c r="G824" i="3"/>
  <c r="B825" i="3"/>
  <c r="H827" i="3"/>
  <c r="G832" i="3"/>
  <c r="B833" i="3"/>
  <c r="H835" i="3"/>
  <c r="G840" i="3"/>
  <c r="B841" i="3"/>
  <c r="H843" i="3"/>
  <c r="G848" i="3"/>
  <c r="B849" i="3"/>
  <c r="H851" i="3"/>
  <c r="G856" i="3"/>
  <c r="B857" i="3"/>
  <c r="H859" i="3"/>
  <c r="G864" i="3"/>
  <c r="B865" i="3"/>
  <c r="H867" i="3"/>
  <c r="G872" i="3"/>
  <c r="B873" i="3"/>
  <c r="H875" i="3"/>
  <c r="G880" i="3"/>
  <c r="B881" i="3"/>
  <c r="H883" i="3"/>
  <c r="G888" i="3"/>
  <c r="B889" i="3"/>
  <c r="H891" i="3"/>
  <c r="G896" i="3"/>
  <c r="B897" i="3"/>
  <c r="H899" i="3"/>
  <c r="G904" i="3"/>
  <c r="B905" i="3"/>
  <c r="E906" i="3"/>
  <c r="M906" i="3"/>
  <c r="H907" i="3"/>
  <c r="G912" i="3"/>
  <c r="B913" i="3"/>
  <c r="E914" i="3"/>
  <c r="M914" i="3"/>
  <c r="H915" i="3"/>
  <c r="G920" i="3"/>
  <c r="B921" i="3"/>
  <c r="E922" i="3"/>
  <c r="M922" i="3"/>
  <c r="H923" i="3"/>
  <c r="G928" i="3"/>
  <c r="B929" i="3"/>
  <c r="E930" i="3"/>
  <c r="M930" i="3"/>
  <c r="H931" i="3"/>
  <c r="G936" i="3"/>
  <c r="B937" i="3"/>
  <c r="E938" i="3"/>
  <c r="M938" i="3"/>
  <c r="H939" i="3"/>
  <c r="G944" i="3"/>
  <c r="B945" i="3"/>
  <c r="E946" i="3"/>
  <c r="M946" i="3"/>
  <c r="H947" i="3"/>
  <c r="G952" i="3"/>
  <c r="B953" i="3"/>
  <c r="E954" i="3"/>
  <c r="M954" i="3"/>
  <c r="H955" i="3"/>
  <c r="G960" i="3"/>
  <c r="B961" i="3"/>
  <c r="E962" i="3"/>
  <c r="M962" i="3"/>
  <c r="H963" i="3"/>
  <c r="G968" i="3"/>
  <c r="B969" i="3"/>
  <c r="E970" i="3"/>
  <c r="M970" i="3"/>
  <c r="H971" i="3"/>
  <c r="G976" i="3"/>
  <c r="B977" i="3"/>
  <c r="E978" i="3"/>
  <c r="M978" i="3"/>
  <c r="H979" i="3"/>
  <c r="G984" i="3"/>
  <c r="B985" i="3"/>
  <c r="E986" i="3"/>
  <c r="M986" i="3"/>
  <c r="H987" i="3"/>
  <c r="G992" i="3"/>
  <c r="B993" i="3"/>
  <c r="E994" i="3"/>
  <c r="M994" i="3"/>
  <c r="H995" i="3"/>
  <c r="G1000" i="3"/>
  <c r="B2" i="4"/>
  <c r="E3" i="4"/>
  <c r="M3" i="4"/>
  <c r="H4" i="4"/>
  <c r="G9" i="4"/>
  <c r="B10" i="4"/>
  <c r="E11" i="4"/>
  <c r="M11" i="4"/>
  <c r="H12" i="4"/>
  <c r="G17" i="4"/>
  <c r="B18" i="4"/>
  <c r="J18" i="4"/>
  <c r="E19" i="4"/>
  <c r="M19" i="4"/>
  <c r="H20" i="4"/>
  <c r="G25" i="4"/>
  <c r="B26" i="4"/>
  <c r="J26" i="4"/>
  <c r="E27" i="4"/>
  <c r="M27" i="4"/>
  <c r="H28" i="4"/>
  <c r="G33" i="4"/>
  <c r="B34" i="4"/>
  <c r="J34" i="4"/>
  <c r="E35" i="4"/>
  <c r="M35" i="4"/>
  <c r="H36" i="4"/>
  <c r="G41" i="4"/>
  <c r="B42" i="4"/>
  <c r="J42" i="4"/>
  <c r="E43" i="4"/>
  <c r="M43" i="4"/>
  <c r="H44" i="4"/>
  <c r="G49" i="4"/>
  <c r="B50" i="4"/>
  <c r="J50" i="4"/>
  <c r="E51" i="4"/>
  <c r="M51" i="4"/>
  <c r="H52" i="4"/>
  <c r="C53" i="4"/>
  <c r="G57" i="4"/>
  <c r="B58" i="4"/>
  <c r="J58" i="4"/>
  <c r="E59" i="4"/>
  <c r="M59" i="4"/>
  <c r="H60" i="4"/>
  <c r="C61" i="4"/>
  <c r="G65" i="4"/>
  <c r="B66" i="4"/>
  <c r="J66" i="4"/>
  <c r="E67" i="4"/>
  <c r="M67" i="4"/>
  <c r="H68" i="4"/>
  <c r="C69" i="4"/>
  <c r="G73" i="4"/>
  <c r="B74" i="4"/>
  <c r="J74" i="4"/>
  <c r="E75" i="4"/>
  <c r="M75" i="4"/>
  <c r="H76" i="4"/>
  <c r="C77" i="4"/>
  <c r="G81" i="4"/>
  <c r="B82" i="4"/>
  <c r="J82" i="4"/>
  <c r="E83" i="4"/>
  <c r="M83" i="4"/>
  <c r="H84" i="4"/>
  <c r="C85" i="4"/>
  <c r="G89" i="4"/>
  <c r="B90" i="4"/>
  <c r="J90" i="4"/>
  <c r="E91" i="4"/>
  <c r="M91" i="4"/>
  <c r="H92" i="4"/>
  <c r="C93" i="4"/>
  <c r="G97" i="4"/>
  <c r="B98" i="4"/>
  <c r="J98" i="4"/>
  <c r="E99" i="4"/>
  <c r="M99" i="4"/>
  <c r="H100" i="4"/>
  <c r="C101" i="4"/>
  <c r="G105" i="4"/>
  <c r="B106" i="4"/>
  <c r="J106" i="4"/>
  <c r="E107" i="4"/>
  <c r="M107" i="4"/>
  <c r="H108" i="4"/>
  <c r="C109" i="4"/>
  <c r="G113" i="4"/>
  <c r="B114" i="4"/>
  <c r="J114" i="4"/>
  <c r="E115" i="4"/>
  <c r="M115" i="4"/>
  <c r="H116" i="4"/>
  <c r="C117" i="4"/>
  <c r="G121" i="4"/>
  <c r="B122" i="4"/>
  <c r="J122" i="4"/>
  <c r="E123" i="4"/>
  <c r="M123" i="4"/>
  <c r="H124" i="4"/>
  <c r="C125" i="4"/>
  <c r="G129" i="4"/>
  <c r="B130" i="4"/>
  <c r="J130" i="4"/>
  <c r="E131" i="4"/>
  <c r="M131" i="4"/>
  <c r="H132" i="4"/>
  <c r="C133" i="4"/>
  <c r="G137" i="4"/>
  <c r="B138" i="4"/>
  <c r="J138" i="4"/>
  <c r="E139" i="4"/>
  <c r="M139" i="4"/>
  <c r="H140" i="4"/>
  <c r="C141" i="4"/>
  <c r="G145" i="4"/>
  <c r="B146" i="4"/>
  <c r="J146" i="4"/>
  <c r="E147" i="4"/>
  <c r="M147" i="4"/>
  <c r="H148" i="4"/>
  <c r="C149" i="4"/>
  <c r="G153" i="4"/>
  <c r="B154" i="4"/>
  <c r="J154" i="4"/>
  <c r="E155" i="4"/>
  <c r="M155" i="4"/>
  <c r="H156" i="4"/>
  <c r="C157" i="4"/>
  <c r="G161" i="4"/>
  <c r="B162" i="4"/>
  <c r="L162" i="4"/>
  <c r="H163" i="4"/>
  <c r="E167" i="4"/>
  <c r="B168" i="4"/>
  <c r="L168" i="4"/>
  <c r="G170" i="4"/>
  <c r="G173" i="4"/>
  <c r="K175" i="4"/>
  <c r="C175" i="4"/>
  <c r="J175" i="4"/>
  <c r="B175" i="4"/>
  <c r="M175" i="4"/>
  <c r="E178" i="4"/>
  <c r="B179" i="4"/>
  <c r="L179" i="4"/>
  <c r="C181" i="4"/>
  <c r="B182" i="4"/>
  <c r="L182" i="4"/>
  <c r="L186" i="4"/>
  <c r="D186" i="4"/>
  <c r="K186" i="4"/>
  <c r="C186" i="4"/>
  <c r="M186" i="4"/>
  <c r="M189" i="4"/>
  <c r="E189" i="4"/>
  <c r="L189" i="4"/>
  <c r="D189" i="4"/>
  <c r="K189" i="4"/>
  <c r="G191" i="4"/>
  <c r="E199" i="4"/>
  <c r="B200" i="4"/>
  <c r="L200" i="4"/>
  <c r="G202" i="4"/>
  <c r="G205" i="4"/>
  <c r="K207" i="4"/>
  <c r="C207" i="4"/>
  <c r="J207" i="4"/>
  <c r="B207" i="4"/>
  <c r="M207" i="4"/>
  <c r="E210" i="4"/>
  <c r="B211" i="4"/>
  <c r="L211" i="4"/>
  <c r="C213" i="4"/>
  <c r="B214" i="4"/>
  <c r="L214" i="4"/>
  <c r="L218" i="4"/>
  <c r="D218" i="4"/>
  <c r="K218" i="4"/>
  <c r="C218" i="4"/>
  <c r="M218" i="4"/>
  <c r="M221" i="4"/>
  <c r="E221" i="4"/>
  <c r="L221" i="4"/>
  <c r="D221" i="4"/>
  <c r="K221" i="4"/>
  <c r="G223" i="4"/>
  <c r="E231" i="4"/>
  <c r="B232" i="4"/>
  <c r="L232" i="4"/>
  <c r="G234" i="4"/>
  <c r="E239" i="4"/>
  <c r="B240" i="4"/>
  <c r="L240" i="4"/>
  <c r="G242" i="4"/>
  <c r="E247" i="4"/>
  <c r="B248" i="4"/>
  <c r="L248" i="4"/>
  <c r="G250" i="4"/>
  <c r="E255" i="4"/>
  <c r="B256" i="4"/>
  <c r="L256" i="4"/>
  <c r="G258" i="4"/>
  <c r="E263" i="4"/>
  <c r="B264" i="4"/>
  <c r="L264" i="4"/>
  <c r="H266" i="4"/>
  <c r="H267" i="4"/>
  <c r="B269" i="4"/>
  <c r="D270" i="4"/>
  <c r="G271" i="4"/>
  <c r="L274" i="4"/>
  <c r="D274" i="4"/>
  <c r="K274" i="4"/>
  <c r="C274" i="4"/>
  <c r="G274" i="4"/>
  <c r="F274" i="4"/>
  <c r="H278" i="4"/>
  <c r="G278" i="4"/>
  <c r="K278" i="4"/>
  <c r="C278" i="4"/>
  <c r="J278" i="4"/>
  <c r="B278" i="4"/>
  <c r="D279" i="4"/>
  <c r="K287" i="4"/>
  <c r="C287" i="4"/>
  <c r="J287" i="4"/>
  <c r="B287" i="4"/>
  <c r="F287" i="4"/>
  <c r="M287" i="4"/>
  <c r="E287" i="4"/>
  <c r="K295" i="4"/>
  <c r="C295" i="4"/>
  <c r="J295" i="4"/>
  <c r="B295" i="4"/>
  <c r="F295" i="4"/>
  <c r="M295" i="4"/>
  <c r="E295" i="4"/>
  <c r="K303" i="4"/>
  <c r="C303" i="4"/>
  <c r="J303" i="4"/>
  <c r="B303" i="4"/>
  <c r="F303" i="4"/>
  <c r="M303" i="4"/>
  <c r="E303" i="4"/>
  <c r="K314" i="4"/>
  <c r="F322" i="4"/>
  <c r="M322" i="4"/>
  <c r="E322" i="4"/>
  <c r="G322" i="4"/>
  <c r="D322" i="4"/>
  <c r="J322" i="4"/>
  <c r="I322" i="4"/>
  <c r="K330" i="4"/>
  <c r="F338" i="4"/>
  <c r="M338" i="4"/>
  <c r="E338" i="4"/>
  <c r="G338" i="4"/>
  <c r="D338" i="4"/>
  <c r="J338" i="4"/>
  <c r="I338" i="4"/>
  <c r="K346" i="4"/>
  <c r="F354" i="4"/>
  <c r="M354" i="4"/>
  <c r="E354" i="4"/>
  <c r="G354" i="4"/>
  <c r="D354" i="4"/>
  <c r="J354" i="4"/>
  <c r="I354" i="4"/>
  <c r="L362" i="4"/>
  <c r="H370" i="4"/>
  <c r="G372" i="4"/>
  <c r="F378" i="4"/>
  <c r="M378" i="4"/>
  <c r="E378" i="4"/>
  <c r="G378" i="4"/>
  <c r="D378" i="4"/>
  <c r="C378" i="4"/>
  <c r="J378" i="4"/>
  <c r="I378" i="4"/>
  <c r="L380" i="4"/>
  <c r="D380" i="4"/>
  <c r="K380" i="4"/>
  <c r="C380" i="4"/>
  <c r="J380" i="4"/>
  <c r="I380" i="4"/>
  <c r="H380" i="4"/>
  <c r="E380" i="4"/>
  <c r="B380" i="4"/>
  <c r="M399" i="4"/>
  <c r="E399" i="4"/>
  <c r="L399" i="4"/>
  <c r="D399" i="4"/>
  <c r="J399" i="4"/>
  <c r="I399" i="4"/>
  <c r="H399" i="4"/>
  <c r="G399" i="4"/>
  <c r="C399" i="4"/>
  <c r="B399" i="4"/>
  <c r="K407" i="4"/>
  <c r="H413" i="4"/>
  <c r="M431" i="4"/>
  <c r="E431" i="4"/>
  <c r="L431" i="4"/>
  <c r="D431" i="4"/>
  <c r="J431" i="4"/>
  <c r="I431" i="4"/>
  <c r="H431" i="4"/>
  <c r="G431" i="4"/>
  <c r="C431" i="4"/>
  <c r="B431" i="4"/>
  <c r="K439" i="4"/>
  <c r="K445" i="4"/>
  <c r="M455" i="4"/>
  <c r="E455" i="4"/>
  <c r="L455" i="4"/>
  <c r="D455" i="4"/>
  <c r="J455" i="4"/>
  <c r="I455" i="4"/>
  <c r="H455" i="4"/>
  <c r="G455" i="4"/>
  <c r="C455" i="4"/>
  <c r="B455" i="4"/>
  <c r="K463" i="4"/>
  <c r="H469" i="4"/>
  <c r="M487" i="4"/>
  <c r="E487" i="4"/>
  <c r="L487" i="4"/>
  <c r="D487" i="4"/>
  <c r="J487" i="4"/>
  <c r="I487" i="4"/>
  <c r="H487" i="4"/>
  <c r="G487" i="4"/>
  <c r="C487" i="4"/>
  <c r="B487" i="4"/>
  <c r="K504" i="4"/>
  <c r="D514" i="4"/>
  <c r="F522" i="4"/>
  <c r="M522" i="4"/>
  <c r="E522" i="4"/>
  <c r="J522" i="4"/>
  <c r="I522" i="4"/>
  <c r="H522" i="4"/>
  <c r="G522" i="4"/>
  <c r="C522" i="4"/>
  <c r="L522" i="4"/>
  <c r="B522" i="4"/>
  <c r="K543" i="4"/>
  <c r="H551" i="4"/>
  <c r="M559" i="4"/>
  <c r="E559" i="4"/>
  <c r="L559" i="4"/>
  <c r="D559" i="4"/>
  <c r="G559" i="4"/>
  <c r="F559" i="4"/>
  <c r="C559" i="4"/>
  <c r="B559" i="4"/>
  <c r="J559" i="4"/>
  <c r="I559" i="4"/>
  <c r="K570" i="4"/>
  <c r="D578" i="4"/>
  <c r="F586" i="4"/>
  <c r="M586" i="4"/>
  <c r="E586" i="4"/>
  <c r="J586" i="4"/>
  <c r="I586" i="4"/>
  <c r="H586" i="4"/>
  <c r="G586" i="4"/>
  <c r="C586" i="4"/>
  <c r="L586" i="4"/>
  <c r="B586" i="4"/>
  <c r="K599" i="4"/>
  <c r="G607" i="4"/>
  <c r="M607" i="4"/>
  <c r="E607" i="4"/>
  <c r="L607" i="4"/>
  <c r="D607" i="4"/>
  <c r="K607" i="4"/>
  <c r="J607" i="4"/>
  <c r="I607" i="4"/>
  <c r="H607" i="4"/>
  <c r="C607" i="4"/>
  <c r="B607" i="4"/>
  <c r="J616" i="4"/>
  <c r="B616" i="4"/>
  <c r="H616" i="4"/>
  <c r="G616" i="4"/>
  <c r="L616" i="4"/>
  <c r="K616" i="4"/>
  <c r="I616" i="4"/>
  <c r="F616" i="4"/>
  <c r="D616" i="4"/>
  <c r="C616" i="4"/>
  <c r="H618" i="4"/>
  <c r="F618" i="4"/>
  <c r="M618" i="4"/>
  <c r="E618" i="4"/>
  <c r="K618" i="4"/>
  <c r="J618" i="4"/>
  <c r="I618" i="4"/>
  <c r="G618" i="4"/>
  <c r="C618" i="4"/>
  <c r="B618" i="4"/>
  <c r="E624" i="4"/>
  <c r="D626" i="4"/>
  <c r="M632" i="4"/>
  <c r="G647" i="4"/>
  <c r="M647" i="4"/>
  <c r="E647" i="4"/>
  <c r="L647" i="4"/>
  <c r="D647" i="4"/>
  <c r="K647" i="4"/>
  <c r="J647" i="4"/>
  <c r="I647" i="4"/>
  <c r="H647" i="4"/>
  <c r="C647" i="4"/>
  <c r="B647" i="4"/>
  <c r="I676" i="4"/>
  <c r="G724" i="4"/>
  <c r="F724" i="4"/>
  <c r="M724" i="4"/>
  <c r="E724" i="4"/>
  <c r="L724" i="4"/>
  <c r="D724" i="4"/>
  <c r="K724" i="4"/>
  <c r="C724" i="4"/>
  <c r="J724" i="4"/>
  <c r="H724" i="4"/>
  <c r="B724" i="4"/>
  <c r="I804" i="4"/>
  <c r="L363" i="5"/>
  <c r="D363" i="5"/>
  <c r="F363" i="5"/>
  <c r="E363" i="5"/>
  <c r="M363" i="5"/>
  <c r="C363" i="5"/>
  <c r="K363" i="5"/>
  <c r="B363" i="5"/>
  <c r="I363" i="5"/>
  <c r="J363" i="5"/>
  <c r="H363" i="5"/>
  <c r="G363" i="5"/>
  <c r="I651" i="3"/>
  <c r="I659" i="3"/>
  <c r="I667" i="3"/>
  <c r="I675" i="3"/>
  <c r="I683" i="3"/>
  <c r="I691" i="3"/>
  <c r="I699" i="3"/>
  <c r="I707" i="3"/>
  <c r="I715" i="3"/>
  <c r="I723" i="3"/>
  <c r="I731" i="3"/>
  <c r="I739" i="3"/>
  <c r="I747" i="3"/>
  <c r="I755" i="3"/>
  <c r="I763" i="3"/>
  <c r="I771" i="3"/>
  <c r="I779" i="3"/>
  <c r="I787" i="3"/>
  <c r="I795" i="3"/>
  <c r="I803" i="3"/>
  <c r="I811" i="3"/>
  <c r="I819" i="3"/>
  <c r="I827" i="3"/>
  <c r="I835" i="3"/>
  <c r="I843" i="3"/>
  <c r="I851" i="3"/>
  <c r="I859" i="3"/>
  <c r="I867" i="3"/>
  <c r="I875" i="3"/>
  <c r="I883" i="3"/>
  <c r="I891" i="3"/>
  <c r="I899" i="3"/>
  <c r="F906" i="3"/>
  <c r="I907" i="3"/>
  <c r="F914" i="3"/>
  <c r="I915" i="3"/>
  <c r="F922" i="3"/>
  <c r="I923" i="3"/>
  <c r="F930" i="3"/>
  <c r="I931" i="3"/>
  <c r="F938" i="3"/>
  <c r="I939" i="3"/>
  <c r="F946" i="3"/>
  <c r="I947" i="3"/>
  <c r="F954" i="3"/>
  <c r="I955" i="3"/>
  <c r="F962" i="3"/>
  <c r="I963" i="3"/>
  <c r="F970" i="3"/>
  <c r="I971" i="3"/>
  <c r="F978" i="3"/>
  <c r="I979" i="3"/>
  <c r="F986" i="3"/>
  <c r="I987" i="3"/>
  <c r="F994" i="3"/>
  <c r="I995" i="3"/>
  <c r="F3" i="4"/>
  <c r="I4" i="4"/>
  <c r="F11" i="4"/>
  <c r="I12" i="4"/>
  <c r="F19" i="4"/>
  <c r="I20" i="4"/>
  <c r="F27" i="4"/>
  <c r="I28" i="4"/>
  <c r="F35" i="4"/>
  <c r="I36" i="4"/>
  <c r="F43" i="4"/>
  <c r="I44" i="4"/>
  <c r="F51" i="4"/>
  <c r="I52" i="4"/>
  <c r="F59" i="4"/>
  <c r="I60" i="4"/>
  <c r="F67" i="4"/>
  <c r="I68" i="4"/>
  <c r="F75" i="4"/>
  <c r="I76" i="4"/>
  <c r="F83" i="4"/>
  <c r="I84" i="4"/>
  <c r="F91" i="4"/>
  <c r="I92" i="4"/>
  <c r="F99" i="4"/>
  <c r="I100" i="4"/>
  <c r="F107" i="4"/>
  <c r="I108" i="4"/>
  <c r="F115" i="4"/>
  <c r="I116" i="4"/>
  <c r="F123" i="4"/>
  <c r="I124" i="4"/>
  <c r="F131" i="4"/>
  <c r="I132" i="4"/>
  <c r="F139" i="4"/>
  <c r="I140" i="4"/>
  <c r="F147" i="4"/>
  <c r="I148" i="4"/>
  <c r="F155" i="4"/>
  <c r="I156" i="4"/>
  <c r="H170" i="4"/>
  <c r="H173" i="4"/>
  <c r="F176" i="4"/>
  <c r="M176" i="4"/>
  <c r="E176" i="4"/>
  <c r="K176" i="4"/>
  <c r="G187" i="4"/>
  <c r="F187" i="4"/>
  <c r="K187" i="4"/>
  <c r="H190" i="4"/>
  <c r="G190" i="4"/>
  <c r="K190" i="4"/>
  <c r="H191" i="4"/>
  <c r="H202" i="4"/>
  <c r="H205" i="4"/>
  <c r="F208" i="4"/>
  <c r="M208" i="4"/>
  <c r="E208" i="4"/>
  <c r="K208" i="4"/>
  <c r="G219" i="4"/>
  <c r="F219" i="4"/>
  <c r="K219" i="4"/>
  <c r="H222" i="4"/>
  <c r="G222" i="4"/>
  <c r="K222" i="4"/>
  <c r="H223" i="4"/>
  <c r="H234" i="4"/>
  <c r="H242" i="4"/>
  <c r="H250" i="4"/>
  <c r="H258" i="4"/>
  <c r="I266" i="4"/>
  <c r="I267" i="4"/>
  <c r="M277" i="4"/>
  <c r="E277" i="4"/>
  <c r="L277" i="4"/>
  <c r="D277" i="4"/>
  <c r="H277" i="4"/>
  <c r="G277" i="4"/>
  <c r="L282" i="4"/>
  <c r="D282" i="4"/>
  <c r="K282" i="4"/>
  <c r="C282" i="4"/>
  <c r="G282" i="4"/>
  <c r="F282" i="4"/>
  <c r="H286" i="4"/>
  <c r="G286" i="4"/>
  <c r="K286" i="4"/>
  <c r="C286" i="4"/>
  <c r="J286" i="4"/>
  <c r="B286" i="4"/>
  <c r="L290" i="4"/>
  <c r="D290" i="4"/>
  <c r="K290" i="4"/>
  <c r="C290" i="4"/>
  <c r="G290" i="4"/>
  <c r="F290" i="4"/>
  <c r="H294" i="4"/>
  <c r="G294" i="4"/>
  <c r="K294" i="4"/>
  <c r="C294" i="4"/>
  <c r="J294" i="4"/>
  <c r="B294" i="4"/>
  <c r="L298" i="4"/>
  <c r="D298" i="4"/>
  <c r="K298" i="4"/>
  <c r="C298" i="4"/>
  <c r="G298" i="4"/>
  <c r="F298" i="4"/>
  <c r="H302" i="4"/>
  <c r="G302" i="4"/>
  <c r="K302" i="4"/>
  <c r="C302" i="4"/>
  <c r="J302" i="4"/>
  <c r="B302" i="4"/>
  <c r="F306" i="4"/>
  <c r="M306" i="4"/>
  <c r="E306" i="4"/>
  <c r="G306" i="4"/>
  <c r="D306" i="4"/>
  <c r="J306" i="4"/>
  <c r="I306" i="4"/>
  <c r="L314" i="4"/>
  <c r="L324" i="4"/>
  <c r="D324" i="4"/>
  <c r="K324" i="4"/>
  <c r="C324" i="4"/>
  <c r="J324" i="4"/>
  <c r="I324" i="4"/>
  <c r="E324" i="4"/>
  <c r="B324" i="4"/>
  <c r="L330" i="4"/>
  <c r="L340" i="4"/>
  <c r="D340" i="4"/>
  <c r="K340" i="4"/>
  <c r="C340" i="4"/>
  <c r="J340" i="4"/>
  <c r="I340" i="4"/>
  <c r="E340" i="4"/>
  <c r="B340" i="4"/>
  <c r="L346" i="4"/>
  <c r="L356" i="4"/>
  <c r="D356" i="4"/>
  <c r="K356" i="4"/>
  <c r="C356" i="4"/>
  <c r="J356" i="4"/>
  <c r="I356" i="4"/>
  <c r="E356" i="4"/>
  <c r="B356" i="4"/>
  <c r="G405" i="4"/>
  <c r="F405" i="4"/>
  <c r="E405" i="4"/>
  <c r="D405" i="4"/>
  <c r="M405" i="4"/>
  <c r="C405" i="4"/>
  <c r="L405" i="4"/>
  <c r="B405" i="4"/>
  <c r="J405" i="4"/>
  <c r="I405" i="4"/>
  <c r="G437" i="4"/>
  <c r="F437" i="4"/>
  <c r="E437" i="4"/>
  <c r="D437" i="4"/>
  <c r="M437" i="4"/>
  <c r="C437" i="4"/>
  <c r="L437" i="4"/>
  <c r="B437" i="4"/>
  <c r="J437" i="4"/>
  <c r="I437" i="4"/>
  <c r="G461" i="4"/>
  <c r="F461" i="4"/>
  <c r="E461" i="4"/>
  <c r="D461" i="4"/>
  <c r="M461" i="4"/>
  <c r="C461" i="4"/>
  <c r="L461" i="4"/>
  <c r="B461" i="4"/>
  <c r="J461" i="4"/>
  <c r="I461" i="4"/>
  <c r="F530" i="4"/>
  <c r="M530" i="4"/>
  <c r="E530" i="4"/>
  <c r="J530" i="4"/>
  <c r="I530" i="4"/>
  <c r="H530" i="4"/>
  <c r="G530" i="4"/>
  <c r="C530" i="4"/>
  <c r="L530" i="4"/>
  <c r="B530" i="4"/>
  <c r="M567" i="4"/>
  <c r="E567" i="4"/>
  <c r="L567" i="4"/>
  <c r="D567" i="4"/>
  <c r="G567" i="4"/>
  <c r="F567" i="4"/>
  <c r="C567" i="4"/>
  <c r="B567" i="4"/>
  <c r="J567" i="4"/>
  <c r="I567" i="4"/>
  <c r="F594" i="4"/>
  <c r="M594" i="4"/>
  <c r="E594" i="4"/>
  <c r="J594" i="4"/>
  <c r="I594" i="4"/>
  <c r="H594" i="4"/>
  <c r="G594" i="4"/>
  <c r="C594" i="4"/>
  <c r="L594" i="4"/>
  <c r="B594" i="4"/>
  <c r="H610" i="4"/>
  <c r="F610" i="4"/>
  <c r="M610" i="4"/>
  <c r="E610" i="4"/>
  <c r="K610" i="4"/>
  <c r="J610" i="4"/>
  <c r="I610" i="4"/>
  <c r="G610" i="4"/>
  <c r="C610" i="4"/>
  <c r="B610" i="4"/>
  <c r="H650" i="4"/>
  <c r="F650" i="4"/>
  <c r="M650" i="4"/>
  <c r="E650" i="4"/>
  <c r="K650" i="4"/>
  <c r="J650" i="4"/>
  <c r="I650" i="4"/>
  <c r="G650" i="4"/>
  <c r="C650" i="4"/>
  <c r="B650" i="4"/>
  <c r="G772" i="4"/>
  <c r="F772" i="4"/>
  <c r="M772" i="4"/>
  <c r="E772" i="4"/>
  <c r="L772" i="4"/>
  <c r="D772" i="4"/>
  <c r="K772" i="4"/>
  <c r="C772" i="4"/>
  <c r="J772" i="4"/>
  <c r="H772" i="4"/>
  <c r="B772" i="4"/>
  <c r="G852" i="4"/>
  <c r="F852" i="4"/>
  <c r="M852" i="4"/>
  <c r="E852" i="4"/>
  <c r="L852" i="4"/>
  <c r="D852" i="4"/>
  <c r="K852" i="4"/>
  <c r="C852" i="4"/>
  <c r="J852" i="4"/>
  <c r="H852" i="4"/>
  <c r="B852" i="4"/>
  <c r="G884" i="4"/>
  <c r="F884" i="4"/>
  <c r="M884" i="4"/>
  <c r="E884" i="4"/>
  <c r="L884" i="4"/>
  <c r="D884" i="4"/>
  <c r="K884" i="4"/>
  <c r="C884" i="4"/>
  <c r="J884" i="4"/>
  <c r="H884" i="4"/>
  <c r="B884" i="4"/>
  <c r="G916" i="4"/>
  <c r="F916" i="4"/>
  <c r="M916" i="4"/>
  <c r="E916" i="4"/>
  <c r="L916" i="4"/>
  <c r="D916" i="4"/>
  <c r="K916" i="4"/>
  <c r="C916" i="4"/>
  <c r="J916" i="4"/>
  <c r="H916" i="4"/>
  <c r="B916" i="4"/>
  <c r="G948" i="4"/>
  <c r="F948" i="4"/>
  <c r="M948" i="4"/>
  <c r="E948" i="4"/>
  <c r="L948" i="4"/>
  <c r="D948" i="4"/>
  <c r="K948" i="4"/>
  <c r="C948" i="4"/>
  <c r="J948" i="4"/>
  <c r="H948" i="4"/>
  <c r="B948" i="4"/>
  <c r="K108" i="5"/>
  <c r="C108" i="5"/>
  <c r="G108" i="5"/>
  <c r="F108" i="5"/>
  <c r="E108" i="5"/>
  <c r="M108" i="5"/>
  <c r="D108" i="5"/>
  <c r="L108" i="5"/>
  <c r="B108" i="5"/>
  <c r="J108" i="5"/>
  <c r="I108" i="5"/>
  <c r="H108" i="5"/>
  <c r="M162" i="5"/>
  <c r="E162" i="5"/>
  <c r="L162" i="5"/>
  <c r="D162" i="5"/>
  <c r="I162" i="5"/>
  <c r="H162" i="5"/>
  <c r="G162" i="5"/>
  <c r="F162" i="5"/>
  <c r="C162" i="5"/>
  <c r="J162" i="5"/>
  <c r="B162" i="5"/>
  <c r="F207" i="5"/>
  <c r="L207" i="5"/>
  <c r="D207" i="5"/>
  <c r="K207" i="5"/>
  <c r="C207" i="5"/>
  <c r="M207" i="5"/>
  <c r="J207" i="5"/>
  <c r="I207" i="5"/>
  <c r="H207" i="5"/>
  <c r="G207" i="5"/>
  <c r="E207" i="5"/>
  <c r="B207" i="5"/>
  <c r="H543" i="5"/>
  <c r="G543" i="5"/>
  <c r="L543" i="5"/>
  <c r="D543" i="5"/>
  <c r="K543" i="5"/>
  <c r="J543" i="5"/>
  <c r="I543" i="5"/>
  <c r="F543" i="5"/>
  <c r="C543" i="5"/>
  <c r="M543" i="5"/>
  <c r="E543" i="5"/>
  <c r="B543" i="5"/>
  <c r="B651" i="3"/>
  <c r="B659" i="3"/>
  <c r="B667" i="3"/>
  <c r="B675" i="3"/>
  <c r="B683" i="3"/>
  <c r="B691" i="3"/>
  <c r="B699" i="3"/>
  <c r="B707" i="3"/>
  <c r="B715" i="3"/>
  <c r="B723" i="3"/>
  <c r="B731" i="3"/>
  <c r="B739" i="3"/>
  <c r="B747" i="3"/>
  <c r="B755" i="3"/>
  <c r="B763" i="3"/>
  <c r="B771" i="3"/>
  <c r="B779" i="3"/>
  <c r="B787" i="3"/>
  <c r="B795" i="3"/>
  <c r="B803" i="3"/>
  <c r="B811" i="3"/>
  <c r="B819" i="3"/>
  <c r="B827" i="3"/>
  <c r="B835" i="3"/>
  <c r="B843" i="3"/>
  <c r="B851" i="3"/>
  <c r="B859" i="3"/>
  <c r="B867" i="3"/>
  <c r="B875" i="3"/>
  <c r="B883" i="3"/>
  <c r="B891" i="3"/>
  <c r="B899" i="3"/>
  <c r="B907" i="3"/>
  <c r="B915" i="3"/>
  <c r="B923" i="3"/>
  <c r="B931" i="3"/>
  <c r="B939" i="3"/>
  <c r="B947" i="3"/>
  <c r="B955" i="3"/>
  <c r="B963" i="3"/>
  <c r="B971" i="3"/>
  <c r="B979" i="3"/>
  <c r="B987" i="3"/>
  <c r="B995" i="3"/>
  <c r="B4" i="4"/>
  <c r="B12" i="4"/>
  <c r="D18" i="4"/>
  <c r="B20" i="4"/>
  <c r="D26" i="4"/>
  <c r="B28" i="4"/>
  <c r="D34" i="4"/>
  <c r="B36" i="4"/>
  <c r="D42" i="4"/>
  <c r="B44" i="4"/>
  <c r="D50" i="4"/>
  <c r="B52" i="4"/>
  <c r="D58" i="4"/>
  <c r="B60" i="4"/>
  <c r="D66" i="4"/>
  <c r="B68" i="4"/>
  <c r="D74" i="4"/>
  <c r="B76" i="4"/>
  <c r="D82" i="4"/>
  <c r="B84" i="4"/>
  <c r="D90" i="4"/>
  <c r="B92" i="4"/>
  <c r="D98" i="4"/>
  <c r="B100" i="4"/>
  <c r="D106" i="4"/>
  <c r="B108" i="4"/>
  <c r="D114" i="4"/>
  <c r="B116" i="4"/>
  <c r="D122" i="4"/>
  <c r="B124" i="4"/>
  <c r="D130" i="4"/>
  <c r="B132" i="4"/>
  <c r="D138" i="4"/>
  <c r="B140" i="4"/>
  <c r="D146" i="4"/>
  <c r="B148" i="4"/>
  <c r="D154" i="4"/>
  <c r="B156" i="4"/>
  <c r="E162" i="4"/>
  <c r="J163" i="4"/>
  <c r="M165" i="4"/>
  <c r="E165" i="4"/>
  <c r="L165" i="4"/>
  <c r="D165" i="4"/>
  <c r="K165" i="4"/>
  <c r="D168" i="4"/>
  <c r="I170" i="4"/>
  <c r="I173" i="4"/>
  <c r="B176" i="4"/>
  <c r="L176" i="4"/>
  <c r="D179" i="4"/>
  <c r="D182" i="4"/>
  <c r="K183" i="4"/>
  <c r="C183" i="4"/>
  <c r="J183" i="4"/>
  <c r="B183" i="4"/>
  <c r="M183" i="4"/>
  <c r="B187" i="4"/>
  <c r="L187" i="4"/>
  <c r="B190" i="4"/>
  <c r="L190" i="4"/>
  <c r="I191" i="4"/>
  <c r="L194" i="4"/>
  <c r="D194" i="4"/>
  <c r="K194" i="4"/>
  <c r="C194" i="4"/>
  <c r="M194" i="4"/>
  <c r="M197" i="4"/>
  <c r="E197" i="4"/>
  <c r="L197" i="4"/>
  <c r="D197" i="4"/>
  <c r="K197" i="4"/>
  <c r="D200" i="4"/>
  <c r="I202" i="4"/>
  <c r="I205" i="4"/>
  <c r="B208" i="4"/>
  <c r="L208" i="4"/>
  <c r="D211" i="4"/>
  <c r="D214" i="4"/>
  <c r="K215" i="4"/>
  <c r="C215" i="4"/>
  <c r="J215" i="4"/>
  <c r="B215" i="4"/>
  <c r="M215" i="4"/>
  <c r="B219" i="4"/>
  <c r="L219" i="4"/>
  <c r="B222" i="4"/>
  <c r="L222" i="4"/>
  <c r="I223" i="4"/>
  <c r="L226" i="4"/>
  <c r="D226" i="4"/>
  <c r="K226" i="4"/>
  <c r="C226" i="4"/>
  <c r="M226" i="4"/>
  <c r="M229" i="4"/>
  <c r="E229" i="4"/>
  <c r="L229" i="4"/>
  <c r="D229" i="4"/>
  <c r="K229" i="4"/>
  <c r="D232" i="4"/>
  <c r="I234" i="4"/>
  <c r="M237" i="4"/>
  <c r="E237" i="4"/>
  <c r="L237" i="4"/>
  <c r="D237" i="4"/>
  <c r="K237" i="4"/>
  <c r="D240" i="4"/>
  <c r="I242" i="4"/>
  <c r="M245" i="4"/>
  <c r="E245" i="4"/>
  <c r="L245" i="4"/>
  <c r="D245" i="4"/>
  <c r="K245" i="4"/>
  <c r="D248" i="4"/>
  <c r="I250" i="4"/>
  <c r="M253" i="4"/>
  <c r="E253" i="4"/>
  <c r="L253" i="4"/>
  <c r="D253" i="4"/>
  <c r="K253" i="4"/>
  <c r="D256" i="4"/>
  <c r="I258" i="4"/>
  <c r="M261" i="4"/>
  <c r="E261" i="4"/>
  <c r="L261" i="4"/>
  <c r="D261" i="4"/>
  <c r="K261" i="4"/>
  <c r="D264" i="4"/>
  <c r="J266" i="4"/>
  <c r="K267" i="4"/>
  <c r="F269" i="4"/>
  <c r="F270" i="4"/>
  <c r="B277" i="4"/>
  <c r="H279" i="4"/>
  <c r="B282" i="4"/>
  <c r="M285" i="4"/>
  <c r="E285" i="4"/>
  <c r="L285" i="4"/>
  <c r="D285" i="4"/>
  <c r="H285" i="4"/>
  <c r="G285" i="4"/>
  <c r="D286" i="4"/>
  <c r="B290" i="4"/>
  <c r="M293" i="4"/>
  <c r="E293" i="4"/>
  <c r="L293" i="4"/>
  <c r="D293" i="4"/>
  <c r="H293" i="4"/>
  <c r="G293" i="4"/>
  <c r="D294" i="4"/>
  <c r="B298" i="4"/>
  <c r="M301" i="4"/>
  <c r="E301" i="4"/>
  <c r="L301" i="4"/>
  <c r="D301" i="4"/>
  <c r="H301" i="4"/>
  <c r="G301" i="4"/>
  <c r="D302" i="4"/>
  <c r="B306" i="4"/>
  <c r="L308" i="4"/>
  <c r="D308" i="4"/>
  <c r="K308" i="4"/>
  <c r="C308" i="4"/>
  <c r="J308" i="4"/>
  <c r="I308" i="4"/>
  <c r="E308" i="4"/>
  <c r="B308" i="4"/>
  <c r="F324" i="4"/>
  <c r="F340" i="4"/>
  <c r="F356" i="4"/>
  <c r="F386" i="4"/>
  <c r="M386" i="4"/>
  <c r="E386" i="4"/>
  <c r="G386" i="4"/>
  <c r="D386" i="4"/>
  <c r="C386" i="4"/>
  <c r="J386" i="4"/>
  <c r="I386" i="4"/>
  <c r="L388" i="4"/>
  <c r="D388" i="4"/>
  <c r="K388" i="4"/>
  <c r="C388" i="4"/>
  <c r="J388" i="4"/>
  <c r="I388" i="4"/>
  <c r="H388" i="4"/>
  <c r="E388" i="4"/>
  <c r="B388" i="4"/>
  <c r="H405" i="4"/>
  <c r="M423" i="4"/>
  <c r="E423" i="4"/>
  <c r="L423" i="4"/>
  <c r="D423" i="4"/>
  <c r="J423" i="4"/>
  <c r="I423" i="4"/>
  <c r="H423" i="4"/>
  <c r="G423" i="4"/>
  <c r="C423" i="4"/>
  <c r="B423" i="4"/>
  <c r="H437" i="4"/>
  <c r="H461" i="4"/>
  <c r="M479" i="4"/>
  <c r="E479" i="4"/>
  <c r="L479" i="4"/>
  <c r="D479" i="4"/>
  <c r="J479" i="4"/>
  <c r="I479" i="4"/>
  <c r="H479" i="4"/>
  <c r="G479" i="4"/>
  <c r="C479" i="4"/>
  <c r="B479" i="4"/>
  <c r="M511" i="4"/>
  <c r="E511" i="4"/>
  <c r="L511" i="4"/>
  <c r="D511" i="4"/>
  <c r="G511" i="4"/>
  <c r="F511" i="4"/>
  <c r="C511" i="4"/>
  <c r="B511" i="4"/>
  <c r="J511" i="4"/>
  <c r="I511" i="4"/>
  <c r="D530" i="4"/>
  <c r="F538" i="4"/>
  <c r="M538" i="4"/>
  <c r="E538" i="4"/>
  <c r="J538" i="4"/>
  <c r="I538" i="4"/>
  <c r="H538" i="4"/>
  <c r="G538" i="4"/>
  <c r="C538" i="4"/>
  <c r="L538" i="4"/>
  <c r="B538" i="4"/>
  <c r="H567" i="4"/>
  <c r="M575" i="4"/>
  <c r="E575" i="4"/>
  <c r="L575" i="4"/>
  <c r="D575" i="4"/>
  <c r="G575" i="4"/>
  <c r="F575" i="4"/>
  <c r="C575" i="4"/>
  <c r="B575" i="4"/>
  <c r="J575" i="4"/>
  <c r="I575" i="4"/>
  <c r="D594" i="4"/>
  <c r="J608" i="4"/>
  <c r="B608" i="4"/>
  <c r="H608" i="4"/>
  <c r="G608" i="4"/>
  <c r="L608" i="4"/>
  <c r="K608" i="4"/>
  <c r="I608" i="4"/>
  <c r="F608" i="4"/>
  <c r="D608" i="4"/>
  <c r="C608" i="4"/>
  <c r="D610" i="4"/>
  <c r="G639" i="4"/>
  <c r="M639" i="4"/>
  <c r="E639" i="4"/>
  <c r="L639" i="4"/>
  <c r="D639" i="4"/>
  <c r="K639" i="4"/>
  <c r="J639" i="4"/>
  <c r="I639" i="4"/>
  <c r="H639" i="4"/>
  <c r="C639" i="4"/>
  <c r="B639" i="4"/>
  <c r="J648" i="4"/>
  <c r="B648" i="4"/>
  <c r="H648" i="4"/>
  <c r="G648" i="4"/>
  <c r="L648" i="4"/>
  <c r="K648" i="4"/>
  <c r="I648" i="4"/>
  <c r="F648" i="4"/>
  <c r="D648" i="4"/>
  <c r="C648" i="4"/>
  <c r="D650" i="4"/>
  <c r="G692" i="4"/>
  <c r="F692" i="4"/>
  <c r="M692" i="4"/>
  <c r="E692" i="4"/>
  <c r="L692" i="4"/>
  <c r="D692" i="4"/>
  <c r="K692" i="4"/>
  <c r="C692" i="4"/>
  <c r="J692" i="4"/>
  <c r="H692" i="4"/>
  <c r="B692" i="4"/>
  <c r="I772" i="4"/>
  <c r="G820" i="4"/>
  <c r="F820" i="4"/>
  <c r="M820" i="4"/>
  <c r="E820" i="4"/>
  <c r="L820" i="4"/>
  <c r="D820" i="4"/>
  <c r="K820" i="4"/>
  <c r="C820" i="4"/>
  <c r="J820" i="4"/>
  <c r="H820" i="4"/>
  <c r="B820" i="4"/>
  <c r="I852" i="4"/>
  <c r="I884" i="4"/>
  <c r="I916" i="4"/>
  <c r="H99" i="5"/>
  <c r="F99" i="5"/>
  <c r="E99" i="5"/>
  <c r="M99" i="5"/>
  <c r="D99" i="5"/>
  <c r="L99" i="5"/>
  <c r="C99" i="5"/>
  <c r="K99" i="5"/>
  <c r="B99" i="5"/>
  <c r="I99" i="5"/>
  <c r="G99" i="5"/>
  <c r="F133" i="5"/>
  <c r="M133" i="5"/>
  <c r="H133" i="5"/>
  <c r="G133" i="5"/>
  <c r="E133" i="5"/>
  <c r="D133" i="5"/>
  <c r="L133" i="5"/>
  <c r="C133" i="5"/>
  <c r="K133" i="5"/>
  <c r="I133" i="5"/>
  <c r="B133" i="5"/>
  <c r="K162" i="5"/>
  <c r="H181" i="5"/>
  <c r="F181" i="5"/>
  <c r="M181" i="5"/>
  <c r="E181" i="5"/>
  <c r="K181" i="5"/>
  <c r="J181" i="5"/>
  <c r="I181" i="5"/>
  <c r="G181" i="5"/>
  <c r="D181" i="5"/>
  <c r="L181" i="5"/>
  <c r="C181" i="5"/>
  <c r="B181" i="5"/>
  <c r="A415" i="7"/>
  <c r="G415" i="6"/>
  <c r="F415" i="6"/>
  <c r="M415" i="6"/>
  <c r="E415" i="6"/>
  <c r="L415" i="6"/>
  <c r="D415" i="6"/>
  <c r="K415" i="6"/>
  <c r="C415" i="6"/>
  <c r="J415" i="6"/>
  <c r="I415" i="6"/>
  <c r="H415" i="6"/>
  <c r="B415" i="6"/>
  <c r="A615" i="7"/>
  <c r="G615" i="6"/>
  <c r="F615" i="6"/>
  <c r="M615" i="6"/>
  <c r="E615" i="6"/>
  <c r="L615" i="6"/>
  <c r="D615" i="6"/>
  <c r="K615" i="6"/>
  <c r="C615" i="6"/>
  <c r="J615" i="6"/>
  <c r="I615" i="6"/>
  <c r="H615" i="6"/>
  <c r="B615" i="6"/>
  <c r="I275" i="4"/>
  <c r="I283" i="4"/>
  <c r="H288" i="4"/>
  <c r="I291" i="4"/>
  <c r="H296" i="4"/>
  <c r="I299" i="4"/>
  <c r="G309" i="4"/>
  <c r="F309" i="4"/>
  <c r="K309" i="4"/>
  <c r="G317" i="4"/>
  <c r="F317" i="4"/>
  <c r="K317" i="4"/>
  <c r="G325" i="4"/>
  <c r="F325" i="4"/>
  <c r="K325" i="4"/>
  <c r="G333" i="4"/>
  <c r="F333" i="4"/>
  <c r="K333" i="4"/>
  <c r="G341" i="4"/>
  <c r="F341" i="4"/>
  <c r="K341" i="4"/>
  <c r="G349" i="4"/>
  <c r="F349" i="4"/>
  <c r="K349" i="4"/>
  <c r="G357" i="4"/>
  <c r="F357" i="4"/>
  <c r="K357" i="4"/>
  <c r="G365" i="4"/>
  <c r="F365" i="4"/>
  <c r="K365" i="4"/>
  <c r="G373" i="4"/>
  <c r="F373" i="4"/>
  <c r="K373" i="4"/>
  <c r="G381" i="4"/>
  <c r="F381" i="4"/>
  <c r="K381" i="4"/>
  <c r="G389" i="4"/>
  <c r="F389" i="4"/>
  <c r="K389" i="4"/>
  <c r="G397" i="4"/>
  <c r="F397" i="4"/>
  <c r="K397" i="4"/>
  <c r="H400" i="4"/>
  <c r="G400" i="4"/>
  <c r="K400" i="4"/>
  <c r="H401" i="4"/>
  <c r="G402" i="4"/>
  <c r="H408" i="4"/>
  <c r="G408" i="4"/>
  <c r="K408" i="4"/>
  <c r="H409" i="4"/>
  <c r="G410" i="4"/>
  <c r="H416" i="4"/>
  <c r="G416" i="4"/>
  <c r="K416" i="4"/>
  <c r="H417" i="4"/>
  <c r="G418" i="4"/>
  <c r="H424" i="4"/>
  <c r="G424" i="4"/>
  <c r="K424" i="4"/>
  <c r="H425" i="4"/>
  <c r="G426" i="4"/>
  <c r="H432" i="4"/>
  <c r="G432" i="4"/>
  <c r="K432" i="4"/>
  <c r="H433" i="4"/>
  <c r="G434" i="4"/>
  <c r="H440" i="4"/>
  <c r="G440" i="4"/>
  <c r="K440" i="4"/>
  <c r="H441" i="4"/>
  <c r="G442" i="4"/>
  <c r="H448" i="4"/>
  <c r="G448" i="4"/>
  <c r="K448" i="4"/>
  <c r="H449" i="4"/>
  <c r="G450" i="4"/>
  <c r="H456" i="4"/>
  <c r="G456" i="4"/>
  <c r="K456" i="4"/>
  <c r="H457" i="4"/>
  <c r="G458" i="4"/>
  <c r="H464" i="4"/>
  <c r="G464" i="4"/>
  <c r="K464" i="4"/>
  <c r="H465" i="4"/>
  <c r="G466" i="4"/>
  <c r="H472" i="4"/>
  <c r="G472" i="4"/>
  <c r="K472" i="4"/>
  <c r="H473" i="4"/>
  <c r="G474" i="4"/>
  <c r="H480" i="4"/>
  <c r="G480" i="4"/>
  <c r="K480" i="4"/>
  <c r="H481" i="4"/>
  <c r="G482" i="4"/>
  <c r="H488" i="4"/>
  <c r="G488" i="4"/>
  <c r="K488" i="4"/>
  <c r="H489" i="4"/>
  <c r="G490" i="4"/>
  <c r="H493" i="4"/>
  <c r="M495" i="4"/>
  <c r="E495" i="4"/>
  <c r="L495" i="4"/>
  <c r="D495" i="4"/>
  <c r="K495" i="4"/>
  <c r="G497" i="4"/>
  <c r="H500" i="4"/>
  <c r="E501" i="4"/>
  <c r="G508" i="4"/>
  <c r="F512" i="4"/>
  <c r="G516" i="4"/>
  <c r="F520" i="4"/>
  <c r="G524" i="4"/>
  <c r="F528" i="4"/>
  <c r="G532" i="4"/>
  <c r="F536" i="4"/>
  <c r="G540" i="4"/>
  <c r="F544" i="4"/>
  <c r="G548" i="4"/>
  <c r="F552" i="4"/>
  <c r="G556" i="4"/>
  <c r="F560" i="4"/>
  <c r="G564" i="4"/>
  <c r="F568" i="4"/>
  <c r="G572" i="4"/>
  <c r="F576" i="4"/>
  <c r="G580" i="4"/>
  <c r="F584" i="4"/>
  <c r="G588" i="4"/>
  <c r="F592" i="4"/>
  <c r="G596" i="4"/>
  <c r="F600" i="4"/>
  <c r="I604" i="4"/>
  <c r="M609" i="4"/>
  <c r="E609" i="4"/>
  <c r="K609" i="4"/>
  <c r="C609" i="4"/>
  <c r="J609" i="4"/>
  <c r="B609" i="4"/>
  <c r="I612" i="4"/>
  <c r="M617" i="4"/>
  <c r="E617" i="4"/>
  <c r="K617" i="4"/>
  <c r="C617" i="4"/>
  <c r="J617" i="4"/>
  <c r="B617" i="4"/>
  <c r="I620" i="4"/>
  <c r="M625" i="4"/>
  <c r="E625" i="4"/>
  <c r="K625" i="4"/>
  <c r="C625" i="4"/>
  <c r="J625" i="4"/>
  <c r="B625" i="4"/>
  <c r="I628" i="4"/>
  <c r="M633" i="4"/>
  <c r="E633" i="4"/>
  <c r="K633" i="4"/>
  <c r="C633" i="4"/>
  <c r="J633" i="4"/>
  <c r="B633" i="4"/>
  <c r="I636" i="4"/>
  <c r="M641" i="4"/>
  <c r="E641" i="4"/>
  <c r="K641" i="4"/>
  <c r="C641" i="4"/>
  <c r="J641" i="4"/>
  <c r="B641" i="4"/>
  <c r="I644" i="4"/>
  <c r="M649" i="4"/>
  <c r="E649" i="4"/>
  <c r="K649" i="4"/>
  <c r="C649" i="4"/>
  <c r="J649" i="4"/>
  <c r="B649" i="4"/>
  <c r="J652" i="4"/>
  <c r="I657" i="4"/>
  <c r="H663" i="4"/>
  <c r="G663" i="4"/>
  <c r="F663" i="4"/>
  <c r="M663" i="4"/>
  <c r="E663" i="4"/>
  <c r="L663" i="4"/>
  <c r="D663" i="4"/>
  <c r="J671" i="4"/>
  <c r="F673" i="4"/>
  <c r="M673" i="4"/>
  <c r="E673" i="4"/>
  <c r="L673" i="4"/>
  <c r="D673" i="4"/>
  <c r="K673" i="4"/>
  <c r="C673" i="4"/>
  <c r="J673" i="4"/>
  <c r="B673" i="4"/>
  <c r="H679" i="4"/>
  <c r="G679" i="4"/>
  <c r="F679" i="4"/>
  <c r="M679" i="4"/>
  <c r="E679" i="4"/>
  <c r="L679" i="4"/>
  <c r="D679" i="4"/>
  <c r="J687" i="4"/>
  <c r="F689" i="4"/>
  <c r="M689" i="4"/>
  <c r="E689" i="4"/>
  <c r="L689" i="4"/>
  <c r="D689" i="4"/>
  <c r="K689" i="4"/>
  <c r="C689" i="4"/>
  <c r="J689" i="4"/>
  <c r="B689" i="4"/>
  <c r="H695" i="4"/>
  <c r="G695" i="4"/>
  <c r="F695" i="4"/>
  <c r="M695" i="4"/>
  <c r="E695" i="4"/>
  <c r="L695" i="4"/>
  <c r="D695" i="4"/>
  <c r="J703" i="4"/>
  <c r="F705" i="4"/>
  <c r="M705" i="4"/>
  <c r="E705" i="4"/>
  <c r="L705" i="4"/>
  <c r="D705" i="4"/>
  <c r="K705" i="4"/>
  <c r="C705" i="4"/>
  <c r="J705" i="4"/>
  <c r="B705" i="4"/>
  <c r="H711" i="4"/>
  <c r="G711" i="4"/>
  <c r="F711" i="4"/>
  <c r="M711" i="4"/>
  <c r="E711" i="4"/>
  <c r="L711" i="4"/>
  <c r="D711" i="4"/>
  <c r="J719" i="4"/>
  <c r="F721" i="4"/>
  <c r="M721" i="4"/>
  <c r="E721" i="4"/>
  <c r="L721" i="4"/>
  <c r="D721" i="4"/>
  <c r="K721" i="4"/>
  <c r="C721" i="4"/>
  <c r="J721" i="4"/>
  <c r="B721" i="4"/>
  <c r="H727" i="4"/>
  <c r="G727" i="4"/>
  <c r="F727" i="4"/>
  <c r="M727" i="4"/>
  <c r="E727" i="4"/>
  <c r="L727" i="4"/>
  <c r="D727" i="4"/>
  <c r="J735" i="4"/>
  <c r="F737" i="4"/>
  <c r="M737" i="4"/>
  <c r="E737" i="4"/>
  <c r="L737" i="4"/>
  <c r="D737" i="4"/>
  <c r="K737" i="4"/>
  <c r="C737" i="4"/>
  <c r="J737" i="4"/>
  <c r="B737" i="4"/>
  <c r="H743" i="4"/>
  <c r="G743" i="4"/>
  <c r="F743" i="4"/>
  <c r="M743" i="4"/>
  <c r="E743" i="4"/>
  <c r="L743" i="4"/>
  <c r="D743" i="4"/>
  <c r="J751" i="4"/>
  <c r="F753" i="4"/>
  <c r="M753" i="4"/>
  <c r="E753" i="4"/>
  <c r="L753" i="4"/>
  <c r="D753" i="4"/>
  <c r="K753" i="4"/>
  <c r="C753" i="4"/>
  <c r="J753" i="4"/>
  <c r="B753" i="4"/>
  <c r="H759" i="4"/>
  <c r="G759" i="4"/>
  <c r="F759" i="4"/>
  <c r="M759" i="4"/>
  <c r="E759" i="4"/>
  <c r="L759" i="4"/>
  <c r="D759" i="4"/>
  <c r="J767" i="4"/>
  <c r="F769" i="4"/>
  <c r="M769" i="4"/>
  <c r="E769" i="4"/>
  <c r="L769" i="4"/>
  <c r="D769" i="4"/>
  <c r="K769" i="4"/>
  <c r="C769" i="4"/>
  <c r="J769" i="4"/>
  <c r="B769" i="4"/>
  <c r="H775" i="4"/>
  <c r="G775" i="4"/>
  <c r="F775" i="4"/>
  <c r="M775" i="4"/>
  <c r="E775" i="4"/>
  <c r="L775" i="4"/>
  <c r="D775" i="4"/>
  <c r="J783" i="4"/>
  <c r="F785" i="4"/>
  <c r="M785" i="4"/>
  <c r="E785" i="4"/>
  <c r="L785" i="4"/>
  <c r="D785" i="4"/>
  <c r="K785" i="4"/>
  <c r="C785" i="4"/>
  <c r="J785" i="4"/>
  <c r="B785" i="4"/>
  <c r="H791" i="4"/>
  <c r="G791" i="4"/>
  <c r="F791" i="4"/>
  <c r="M791" i="4"/>
  <c r="E791" i="4"/>
  <c r="L791" i="4"/>
  <c r="D791" i="4"/>
  <c r="J799" i="4"/>
  <c r="F801" i="4"/>
  <c r="M801" i="4"/>
  <c r="E801" i="4"/>
  <c r="L801" i="4"/>
  <c r="D801" i="4"/>
  <c r="K801" i="4"/>
  <c r="C801" i="4"/>
  <c r="J801" i="4"/>
  <c r="B801" i="4"/>
  <c r="H807" i="4"/>
  <c r="G807" i="4"/>
  <c r="F807" i="4"/>
  <c r="M807" i="4"/>
  <c r="E807" i="4"/>
  <c r="L807" i="4"/>
  <c r="D807" i="4"/>
  <c r="J815" i="4"/>
  <c r="F817" i="4"/>
  <c r="M817" i="4"/>
  <c r="E817" i="4"/>
  <c r="L817" i="4"/>
  <c r="D817" i="4"/>
  <c r="K817" i="4"/>
  <c r="C817" i="4"/>
  <c r="J817" i="4"/>
  <c r="B817" i="4"/>
  <c r="H823" i="4"/>
  <c r="G823" i="4"/>
  <c r="F823" i="4"/>
  <c r="M823" i="4"/>
  <c r="E823" i="4"/>
  <c r="L823" i="4"/>
  <c r="D823" i="4"/>
  <c r="J831" i="4"/>
  <c r="F833" i="4"/>
  <c r="M833" i="4"/>
  <c r="E833" i="4"/>
  <c r="L833" i="4"/>
  <c r="D833" i="4"/>
  <c r="K833" i="4"/>
  <c r="C833" i="4"/>
  <c r="J833" i="4"/>
  <c r="B833" i="4"/>
  <c r="H839" i="4"/>
  <c r="G839" i="4"/>
  <c r="F839" i="4"/>
  <c r="M839" i="4"/>
  <c r="E839" i="4"/>
  <c r="L839" i="4"/>
  <c r="D839" i="4"/>
  <c r="J847" i="4"/>
  <c r="F849" i="4"/>
  <c r="M849" i="4"/>
  <c r="E849" i="4"/>
  <c r="L849" i="4"/>
  <c r="D849" i="4"/>
  <c r="K849" i="4"/>
  <c r="C849" i="4"/>
  <c r="J849" i="4"/>
  <c r="B849" i="4"/>
  <c r="H855" i="4"/>
  <c r="G855" i="4"/>
  <c r="F855" i="4"/>
  <c r="M855" i="4"/>
  <c r="E855" i="4"/>
  <c r="L855" i="4"/>
  <c r="D855" i="4"/>
  <c r="J863" i="4"/>
  <c r="F865" i="4"/>
  <c r="M865" i="4"/>
  <c r="E865" i="4"/>
  <c r="L865" i="4"/>
  <c r="D865" i="4"/>
  <c r="K865" i="4"/>
  <c r="C865" i="4"/>
  <c r="J865" i="4"/>
  <c r="B865" i="4"/>
  <c r="H871" i="4"/>
  <c r="G871" i="4"/>
  <c r="F871" i="4"/>
  <c r="M871" i="4"/>
  <c r="E871" i="4"/>
  <c r="L871" i="4"/>
  <c r="D871" i="4"/>
  <c r="J879" i="4"/>
  <c r="F881" i="4"/>
  <c r="M881" i="4"/>
  <c r="E881" i="4"/>
  <c r="L881" i="4"/>
  <c r="D881" i="4"/>
  <c r="K881" i="4"/>
  <c r="C881" i="4"/>
  <c r="J881" i="4"/>
  <c r="B881" i="4"/>
  <c r="H887" i="4"/>
  <c r="G887" i="4"/>
  <c r="F887" i="4"/>
  <c r="M887" i="4"/>
  <c r="E887" i="4"/>
  <c r="L887" i="4"/>
  <c r="D887" i="4"/>
  <c r="J895" i="4"/>
  <c r="F897" i="4"/>
  <c r="M897" i="4"/>
  <c r="E897" i="4"/>
  <c r="L897" i="4"/>
  <c r="D897" i="4"/>
  <c r="K897" i="4"/>
  <c r="C897" i="4"/>
  <c r="J897" i="4"/>
  <c r="B897" i="4"/>
  <c r="H903" i="4"/>
  <c r="G903" i="4"/>
  <c r="F903" i="4"/>
  <c r="M903" i="4"/>
  <c r="E903" i="4"/>
  <c r="L903" i="4"/>
  <c r="D903" i="4"/>
  <c r="J911" i="4"/>
  <c r="F913" i="4"/>
  <c r="M913" i="4"/>
  <c r="E913" i="4"/>
  <c r="L913" i="4"/>
  <c r="D913" i="4"/>
  <c r="K913" i="4"/>
  <c r="C913" i="4"/>
  <c r="J913" i="4"/>
  <c r="B913" i="4"/>
  <c r="H919" i="4"/>
  <c r="G919" i="4"/>
  <c r="F919" i="4"/>
  <c r="M919" i="4"/>
  <c r="E919" i="4"/>
  <c r="L919" i="4"/>
  <c r="D919" i="4"/>
  <c r="J927" i="4"/>
  <c r="F929" i="4"/>
  <c r="M929" i="4"/>
  <c r="E929" i="4"/>
  <c r="L929" i="4"/>
  <c r="D929" i="4"/>
  <c r="K929" i="4"/>
  <c r="C929" i="4"/>
  <c r="J929" i="4"/>
  <c r="B929" i="4"/>
  <c r="H935" i="4"/>
  <c r="G935" i="4"/>
  <c r="F935" i="4"/>
  <c r="M935" i="4"/>
  <c r="E935" i="4"/>
  <c r="L935" i="4"/>
  <c r="D935" i="4"/>
  <c r="J943" i="4"/>
  <c r="F945" i="4"/>
  <c r="M945" i="4"/>
  <c r="E945" i="4"/>
  <c r="L945" i="4"/>
  <c r="D945" i="4"/>
  <c r="K945" i="4"/>
  <c r="C945" i="4"/>
  <c r="J945" i="4"/>
  <c r="B945" i="4"/>
  <c r="H951" i="4"/>
  <c r="G951" i="4"/>
  <c r="F951" i="4"/>
  <c r="M951" i="4"/>
  <c r="E951" i="4"/>
  <c r="L951" i="4"/>
  <c r="D951" i="4"/>
  <c r="J959" i="4"/>
  <c r="F961" i="4"/>
  <c r="M961" i="4"/>
  <c r="E961" i="4"/>
  <c r="L961" i="4"/>
  <c r="D961" i="4"/>
  <c r="K961" i="4"/>
  <c r="C961" i="4"/>
  <c r="J961" i="4"/>
  <c r="B961" i="4"/>
  <c r="G964" i="4"/>
  <c r="F964" i="4"/>
  <c r="M964" i="4"/>
  <c r="E964" i="4"/>
  <c r="L964" i="4"/>
  <c r="D964" i="4"/>
  <c r="K964" i="4"/>
  <c r="C964" i="4"/>
  <c r="G980" i="4"/>
  <c r="F980" i="4"/>
  <c r="M980" i="4"/>
  <c r="E980" i="4"/>
  <c r="L980" i="4"/>
  <c r="D980" i="4"/>
  <c r="K980" i="4"/>
  <c r="C980" i="4"/>
  <c r="G996" i="4"/>
  <c r="F996" i="4"/>
  <c r="M996" i="4"/>
  <c r="E996" i="4"/>
  <c r="L996" i="4"/>
  <c r="D996" i="4"/>
  <c r="K996" i="4"/>
  <c r="C996" i="4"/>
  <c r="G13" i="5"/>
  <c r="F13" i="5"/>
  <c r="M13" i="5"/>
  <c r="E13" i="5"/>
  <c r="L13" i="5"/>
  <c r="D13" i="5"/>
  <c r="K13" i="5"/>
  <c r="C13" i="5"/>
  <c r="G29" i="5"/>
  <c r="F29" i="5"/>
  <c r="M29" i="5"/>
  <c r="E29" i="5"/>
  <c r="L29" i="5"/>
  <c r="D29" i="5"/>
  <c r="K29" i="5"/>
  <c r="C29" i="5"/>
  <c r="G45" i="5"/>
  <c r="F45" i="5"/>
  <c r="M45" i="5"/>
  <c r="E45" i="5"/>
  <c r="L45" i="5"/>
  <c r="D45" i="5"/>
  <c r="K45" i="5"/>
  <c r="C45" i="5"/>
  <c r="G61" i="5"/>
  <c r="F61" i="5"/>
  <c r="M61" i="5"/>
  <c r="E61" i="5"/>
  <c r="L61" i="5"/>
  <c r="D61" i="5"/>
  <c r="K61" i="5"/>
  <c r="C61" i="5"/>
  <c r="G77" i="5"/>
  <c r="F77" i="5"/>
  <c r="M77" i="5"/>
  <c r="E77" i="5"/>
  <c r="L77" i="5"/>
  <c r="D77" i="5"/>
  <c r="K77" i="5"/>
  <c r="C77" i="5"/>
  <c r="G93" i="5"/>
  <c r="F93" i="5"/>
  <c r="M93" i="5"/>
  <c r="E93" i="5"/>
  <c r="L93" i="5"/>
  <c r="D93" i="5"/>
  <c r="K93" i="5"/>
  <c r="C93" i="5"/>
  <c r="L135" i="5"/>
  <c r="D135" i="5"/>
  <c r="K135" i="5"/>
  <c r="C135" i="5"/>
  <c r="J135" i="5"/>
  <c r="I135" i="5"/>
  <c r="H135" i="5"/>
  <c r="G135" i="5"/>
  <c r="F135" i="5"/>
  <c r="K140" i="5"/>
  <c r="C140" i="5"/>
  <c r="J140" i="5"/>
  <c r="B140" i="5"/>
  <c r="H140" i="5"/>
  <c r="G140" i="5"/>
  <c r="F140" i="5"/>
  <c r="E140" i="5"/>
  <c r="D140" i="5"/>
  <c r="M180" i="5"/>
  <c r="E180" i="5"/>
  <c r="K180" i="5"/>
  <c r="C180" i="5"/>
  <c r="J180" i="5"/>
  <c r="B180" i="5"/>
  <c r="L180" i="5"/>
  <c r="I180" i="5"/>
  <c r="H180" i="5"/>
  <c r="G180" i="5"/>
  <c r="F180" i="5"/>
  <c r="J195" i="5"/>
  <c r="B195" i="5"/>
  <c r="H195" i="5"/>
  <c r="G195" i="5"/>
  <c r="I195" i="5"/>
  <c r="F195" i="5"/>
  <c r="E195" i="5"/>
  <c r="D195" i="5"/>
  <c r="C195" i="5"/>
  <c r="H237" i="5"/>
  <c r="F237" i="5"/>
  <c r="M237" i="5"/>
  <c r="E237" i="5"/>
  <c r="K237" i="5"/>
  <c r="C237" i="5"/>
  <c r="J237" i="5"/>
  <c r="I237" i="5"/>
  <c r="G237" i="5"/>
  <c r="D237" i="5"/>
  <c r="B237" i="5"/>
  <c r="G330" i="5"/>
  <c r="F330" i="5"/>
  <c r="M330" i="5"/>
  <c r="E330" i="5"/>
  <c r="L330" i="5"/>
  <c r="D330" i="5"/>
  <c r="J330" i="5"/>
  <c r="B330" i="5"/>
  <c r="K330" i="5"/>
  <c r="I330" i="5"/>
  <c r="H330" i="5"/>
  <c r="F865" i="5"/>
  <c r="M865" i="5"/>
  <c r="E865" i="5"/>
  <c r="L865" i="5"/>
  <c r="D865" i="5"/>
  <c r="K865" i="5"/>
  <c r="C865" i="5"/>
  <c r="J865" i="5"/>
  <c r="B865" i="5"/>
  <c r="G865" i="5"/>
  <c r="I865" i="5"/>
  <c r="H865" i="5"/>
  <c r="A471" i="7"/>
  <c r="G471" i="6"/>
  <c r="F471" i="6"/>
  <c r="M471" i="6"/>
  <c r="E471" i="6"/>
  <c r="L471" i="6"/>
  <c r="D471" i="6"/>
  <c r="K471" i="6"/>
  <c r="C471" i="6"/>
  <c r="J471" i="6"/>
  <c r="I471" i="6"/>
  <c r="H471" i="6"/>
  <c r="B471" i="6"/>
  <c r="A556" i="7"/>
  <c r="F556" i="6"/>
  <c r="M556" i="6"/>
  <c r="E556" i="6"/>
  <c r="L556" i="6"/>
  <c r="D556" i="6"/>
  <c r="K556" i="6"/>
  <c r="C556" i="6"/>
  <c r="J556" i="6"/>
  <c r="B556" i="6"/>
  <c r="I556" i="6"/>
  <c r="H556" i="6"/>
  <c r="G556" i="6"/>
  <c r="I272" i="4"/>
  <c r="B275" i="4"/>
  <c r="J275" i="4"/>
  <c r="I280" i="4"/>
  <c r="B283" i="4"/>
  <c r="J283" i="4"/>
  <c r="I288" i="4"/>
  <c r="B291" i="4"/>
  <c r="J291" i="4"/>
  <c r="I296" i="4"/>
  <c r="B299" i="4"/>
  <c r="J299" i="4"/>
  <c r="I304" i="4"/>
  <c r="B309" i="4"/>
  <c r="L309" i="4"/>
  <c r="K313" i="4"/>
  <c r="C313" i="4"/>
  <c r="J313" i="4"/>
  <c r="B313" i="4"/>
  <c r="M313" i="4"/>
  <c r="B317" i="4"/>
  <c r="L317" i="4"/>
  <c r="K321" i="4"/>
  <c r="C321" i="4"/>
  <c r="J321" i="4"/>
  <c r="B321" i="4"/>
  <c r="M321" i="4"/>
  <c r="B325" i="4"/>
  <c r="L325" i="4"/>
  <c r="K329" i="4"/>
  <c r="C329" i="4"/>
  <c r="J329" i="4"/>
  <c r="B329" i="4"/>
  <c r="M329" i="4"/>
  <c r="B333" i="4"/>
  <c r="L333" i="4"/>
  <c r="K337" i="4"/>
  <c r="C337" i="4"/>
  <c r="J337" i="4"/>
  <c r="B337" i="4"/>
  <c r="M337" i="4"/>
  <c r="B341" i="4"/>
  <c r="L341" i="4"/>
  <c r="K345" i="4"/>
  <c r="C345" i="4"/>
  <c r="J345" i="4"/>
  <c r="B345" i="4"/>
  <c r="M345" i="4"/>
  <c r="B349" i="4"/>
  <c r="L349" i="4"/>
  <c r="K353" i="4"/>
  <c r="C353" i="4"/>
  <c r="J353" i="4"/>
  <c r="B353" i="4"/>
  <c r="M353" i="4"/>
  <c r="B357" i="4"/>
  <c r="L357" i="4"/>
  <c r="K361" i="4"/>
  <c r="C361" i="4"/>
  <c r="J361" i="4"/>
  <c r="B361" i="4"/>
  <c r="M361" i="4"/>
  <c r="B365" i="4"/>
  <c r="L365" i="4"/>
  <c r="K369" i="4"/>
  <c r="C369" i="4"/>
  <c r="J369" i="4"/>
  <c r="B369" i="4"/>
  <c r="M369" i="4"/>
  <c r="B373" i="4"/>
  <c r="L373" i="4"/>
  <c r="K377" i="4"/>
  <c r="C377" i="4"/>
  <c r="J377" i="4"/>
  <c r="B377" i="4"/>
  <c r="M377" i="4"/>
  <c r="B381" i="4"/>
  <c r="L381" i="4"/>
  <c r="K385" i="4"/>
  <c r="C385" i="4"/>
  <c r="J385" i="4"/>
  <c r="B385" i="4"/>
  <c r="M385" i="4"/>
  <c r="B389" i="4"/>
  <c r="L389" i="4"/>
  <c r="K393" i="4"/>
  <c r="C393" i="4"/>
  <c r="J393" i="4"/>
  <c r="B393" i="4"/>
  <c r="M393" i="4"/>
  <c r="B397" i="4"/>
  <c r="L397" i="4"/>
  <c r="B400" i="4"/>
  <c r="L400" i="4"/>
  <c r="L404" i="4"/>
  <c r="D404" i="4"/>
  <c r="K404" i="4"/>
  <c r="C404" i="4"/>
  <c r="M404" i="4"/>
  <c r="B408" i="4"/>
  <c r="L408" i="4"/>
  <c r="L412" i="4"/>
  <c r="D412" i="4"/>
  <c r="K412" i="4"/>
  <c r="C412" i="4"/>
  <c r="M412" i="4"/>
  <c r="B416" i="4"/>
  <c r="L416" i="4"/>
  <c r="L420" i="4"/>
  <c r="D420" i="4"/>
  <c r="K420" i="4"/>
  <c r="C420" i="4"/>
  <c r="M420" i="4"/>
  <c r="B424" i="4"/>
  <c r="L424" i="4"/>
  <c r="L428" i="4"/>
  <c r="D428" i="4"/>
  <c r="K428" i="4"/>
  <c r="C428" i="4"/>
  <c r="M428" i="4"/>
  <c r="B432" i="4"/>
  <c r="L432" i="4"/>
  <c r="L436" i="4"/>
  <c r="D436" i="4"/>
  <c r="K436" i="4"/>
  <c r="C436" i="4"/>
  <c r="M436" i="4"/>
  <c r="B440" i="4"/>
  <c r="L440" i="4"/>
  <c r="L444" i="4"/>
  <c r="D444" i="4"/>
  <c r="K444" i="4"/>
  <c r="C444" i="4"/>
  <c r="M444" i="4"/>
  <c r="B448" i="4"/>
  <c r="L448" i="4"/>
  <c r="L452" i="4"/>
  <c r="D452" i="4"/>
  <c r="K452" i="4"/>
  <c r="C452" i="4"/>
  <c r="M452" i="4"/>
  <c r="B456" i="4"/>
  <c r="L456" i="4"/>
  <c r="L460" i="4"/>
  <c r="D460" i="4"/>
  <c r="K460" i="4"/>
  <c r="C460" i="4"/>
  <c r="M460" i="4"/>
  <c r="B464" i="4"/>
  <c r="L464" i="4"/>
  <c r="L468" i="4"/>
  <c r="D468" i="4"/>
  <c r="K468" i="4"/>
  <c r="C468" i="4"/>
  <c r="M468" i="4"/>
  <c r="B472" i="4"/>
  <c r="L472" i="4"/>
  <c r="L476" i="4"/>
  <c r="D476" i="4"/>
  <c r="K476" i="4"/>
  <c r="C476" i="4"/>
  <c r="M476" i="4"/>
  <c r="B480" i="4"/>
  <c r="L480" i="4"/>
  <c r="L484" i="4"/>
  <c r="D484" i="4"/>
  <c r="K484" i="4"/>
  <c r="C484" i="4"/>
  <c r="M484" i="4"/>
  <c r="B488" i="4"/>
  <c r="L488" i="4"/>
  <c r="H496" i="4"/>
  <c r="G496" i="4"/>
  <c r="K496" i="4"/>
  <c r="M503" i="4"/>
  <c r="E503" i="4"/>
  <c r="L503" i="4"/>
  <c r="D503" i="4"/>
  <c r="K503" i="4"/>
  <c r="D609" i="4"/>
  <c r="D633" i="4"/>
  <c r="D641" i="4"/>
  <c r="D649" i="4"/>
  <c r="B663" i="4"/>
  <c r="H967" i="4"/>
  <c r="G967" i="4"/>
  <c r="F967" i="4"/>
  <c r="M967" i="4"/>
  <c r="E967" i="4"/>
  <c r="L967" i="4"/>
  <c r="D967" i="4"/>
  <c r="F977" i="4"/>
  <c r="M977" i="4"/>
  <c r="E977" i="4"/>
  <c r="L977" i="4"/>
  <c r="D977" i="4"/>
  <c r="K977" i="4"/>
  <c r="C977" i="4"/>
  <c r="J977" i="4"/>
  <c r="B977" i="4"/>
  <c r="H983" i="4"/>
  <c r="G983" i="4"/>
  <c r="F983" i="4"/>
  <c r="M983" i="4"/>
  <c r="E983" i="4"/>
  <c r="L983" i="4"/>
  <c r="D983" i="4"/>
  <c r="F993" i="4"/>
  <c r="M993" i="4"/>
  <c r="E993" i="4"/>
  <c r="L993" i="4"/>
  <c r="D993" i="4"/>
  <c r="K993" i="4"/>
  <c r="C993" i="4"/>
  <c r="J993" i="4"/>
  <c r="B993" i="4"/>
  <c r="H999" i="4"/>
  <c r="G999" i="4"/>
  <c r="F999" i="4"/>
  <c r="M999" i="4"/>
  <c r="E999" i="4"/>
  <c r="L999" i="4"/>
  <c r="D999" i="4"/>
  <c r="F10" i="5"/>
  <c r="M10" i="5"/>
  <c r="E10" i="5"/>
  <c r="L10" i="5"/>
  <c r="D10" i="5"/>
  <c r="K10" i="5"/>
  <c r="C10" i="5"/>
  <c r="J10" i="5"/>
  <c r="B10" i="5"/>
  <c r="H16" i="5"/>
  <c r="G16" i="5"/>
  <c r="F16" i="5"/>
  <c r="M16" i="5"/>
  <c r="E16" i="5"/>
  <c r="L16" i="5"/>
  <c r="D16" i="5"/>
  <c r="F26" i="5"/>
  <c r="M26" i="5"/>
  <c r="E26" i="5"/>
  <c r="L26" i="5"/>
  <c r="D26" i="5"/>
  <c r="K26" i="5"/>
  <c r="C26" i="5"/>
  <c r="J26" i="5"/>
  <c r="B26" i="5"/>
  <c r="H32" i="5"/>
  <c r="G32" i="5"/>
  <c r="F32" i="5"/>
  <c r="M32" i="5"/>
  <c r="E32" i="5"/>
  <c r="L32" i="5"/>
  <c r="D32" i="5"/>
  <c r="F42" i="5"/>
  <c r="M42" i="5"/>
  <c r="E42" i="5"/>
  <c r="L42" i="5"/>
  <c r="D42" i="5"/>
  <c r="K42" i="5"/>
  <c r="C42" i="5"/>
  <c r="J42" i="5"/>
  <c r="B42" i="5"/>
  <c r="H48" i="5"/>
  <c r="G48" i="5"/>
  <c r="F48" i="5"/>
  <c r="M48" i="5"/>
  <c r="E48" i="5"/>
  <c r="L48" i="5"/>
  <c r="D48" i="5"/>
  <c r="F58" i="5"/>
  <c r="M58" i="5"/>
  <c r="E58" i="5"/>
  <c r="L58" i="5"/>
  <c r="D58" i="5"/>
  <c r="K58" i="5"/>
  <c r="C58" i="5"/>
  <c r="J58" i="5"/>
  <c r="B58" i="5"/>
  <c r="H64" i="5"/>
  <c r="G64" i="5"/>
  <c r="F64" i="5"/>
  <c r="M64" i="5"/>
  <c r="E64" i="5"/>
  <c r="L64" i="5"/>
  <c r="D64" i="5"/>
  <c r="F74" i="5"/>
  <c r="M74" i="5"/>
  <c r="E74" i="5"/>
  <c r="L74" i="5"/>
  <c r="D74" i="5"/>
  <c r="K74" i="5"/>
  <c r="C74" i="5"/>
  <c r="J74" i="5"/>
  <c r="B74" i="5"/>
  <c r="H80" i="5"/>
  <c r="G80" i="5"/>
  <c r="F80" i="5"/>
  <c r="M80" i="5"/>
  <c r="E80" i="5"/>
  <c r="L80" i="5"/>
  <c r="D80" i="5"/>
  <c r="F90" i="5"/>
  <c r="M90" i="5"/>
  <c r="E90" i="5"/>
  <c r="L90" i="5"/>
  <c r="D90" i="5"/>
  <c r="K90" i="5"/>
  <c r="C90" i="5"/>
  <c r="J90" i="5"/>
  <c r="B90" i="5"/>
  <c r="G96" i="5"/>
  <c r="I96" i="5"/>
  <c r="H96" i="5"/>
  <c r="F96" i="5"/>
  <c r="E96" i="5"/>
  <c r="M96" i="5"/>
  <c r="D96" i="5"/>
  <c r="H115" i="5"/>
  <c r="F115" i="5"/>
  <c r="E115" i="5"/>
  <c r="M115" i="5"/>
  <c r="D115" i="5"/>
  <c r="L115" i="5"/>
  <c r="C115" i="5"/>
  <c r="K115" i="5"/>
  <c r="B115" i="5"/>
  <c r="H155" i="5"/>
  <c r="G155" i="5"/>
  <c r="I155" i="5"/>
  <c r="F155" i="5"/>
  <c r="E155" i="5"/>
  <c r="D155" i="5"/>
  <c r="M155" i="5"/>
  <c r="C155" i="5"/>
  <c r="G178" i="5"/>
  <c r="M178" i="5"/>
  <c r="E178" i="5"/>
  <c r="L178" i="5"/>
  <c r="D178" i="5"/>
  <c r="K178" i="5"/>
  <c r="J178" i="5"/>
  <c r="I178" i="5"/>
  <c r="H178" i="5"/>
  <c r="F178" i="5"/>
  <c r="M188" i="5"/>
  <c r="E188" i="5"/>
  <c r="K188" i="5"/>
  <c r="C188" i="5"/>
  <c r="J188" i="5"/>
  <c r="B188" i="5"/>
  <c r="I188" i="5"/>
  <c r="H188" i="5"/>
  <c r="G188" i="5"/>
  <c r="F188" i="5"/>
  <c r="D188" i="5"/>
  <c r="H229" i="5"/>
  <c r="F229" i="5"/>
  <c r="M229" i="5"/>
  <c r="E229" i="5"/>
  <c r="K229" i="5"/>
  <c r="C229" i="5"/>
  <c r="L229" i="5"/>
  <c r="J229" i="5"/>
  <c r="I229" i="5"/>
  <c r="G229" i="5"/>
  <c r="D229" i="5"/>
  <c r="G242" i="5"/>
  <c r="M242" i="5"/>
  <c r="E242" i="5"/>
  <c r="L242" i="5"/>
  <c r="D242" i="5"/>
  <c r="J242" i="5"/>
  <c r="B242" i="5"/>
  <c r="K242" i="5"/>
  <c r="I242" i="5"/>
  <c r="H242" i="5"/>
  <c r="M276" i="5"/>
  <c r="E276" i="5"/>
  <c r="L276" i="5"/>
  <c r="D276" i="5"/>
  <c r="K276" i="5"/>
  <c r="C276" i="5"/>
  <c r="J276" i="5"/>
  <c r="B276" i="5"/>
  <c r="H276" i="5"/>
  <c r="I276" i="5"/>
  <c r="G282" i="5"/>
  <c r="F282" i="5"/>
  <c r="M282" i="5"/>
  <c r="E282" i="5"/>
  <c r="L282" i="5"/>
  <c r="D282" i="5"/>
  <c r="J282" i="5"/>
  <c r="B282" i="5"/>
  <c r="K282" i="5"/>
  <c r="I282" i="5"/>
  <c r="H282" i="5"/>
  <c r="H301" i="5"/>
  <c r="G301" i="5"/>
  <c r="F301" i="5"/>
  <c r="M301" i="5"/>
  <c r="E301" i="5"/>
  <c r="K301" i="5"/>
  <c r="C301" i="5"/>
  <c r="L301" i="5"/>
  <c r="J301" i="5"/>
  <c r="I301" i="5"/>
  <c r="M324" i="5"/>
  <c r="E324" i="5"/>
  <c r="L324" i="5"/>
  <c r="D324" i="5"/>
  <c r="K324" i="5"/>
  <c r="C324" i="5"/>
  <c r="J324" i="5"/>
  <c r="B324" i="5"/>
  <c r="H324" i="5"/>
  <c r="I324" i="5"/>
  <c r="F361" i="5"/>
  <c r="E361" i="5"/>
  <c r="M361" i="5"/>
  <c r="D361" i="5"/>
  <c r="L361" i="5"/>
  <c r="C361" i="5"/>
  <c r="K361" i="5"/>
  <c r="B361" i="5"/>
  <c r="I361" i="5"/>
  <c r="J361" i="5"/>
  <c r="H361" i="5"/>
  <c r="H399" i="5"/>
  <c r="I399" i="5"/>
  <c r="G399" i="5"/>
  <c r="F399" i="5"/>
  <c r="E399" i="5"/>
  <c r="L399" i="5"/>
  <c r="C399" i="5"/>
  <c r="M399" i="5"/>
  <c r="K399" i="5"/>
  <c r="J399" i="5"/>
  <c r="D399" i="5"/>
  <c r="L411" i="5"/>
  <c r="D411" i="5"/>
  <c r="F411" i="5"/>
  <c r="E411" i="5"/>
  <c r="M411" i="5"/>
  <c r="C411" i="5"/>
  <c r="K411" i="5"/>
  <c r="B411" i="5"/>
  <c r="I411" i="5"/>
  <c r="J411" i="5"/>
  <c r="H411" i="5"/>
  <c r="G411" i="5"/>
  <c r="L499" i="5"/>
  <c r="D499" i="5"/>
  <c r="H499" i="5"/>
  <c r="I499" i="5"/>
  <c r="G499" i="5"/>
  <c r="F499" i="5"/>
  <c r="E499" i="5"/>
  <c r="M499" i="5"/>
  <c r="B499" i="5"/>
  <c r="K499" i="5"/>
  <c r="J499" i="5"/>
  <c r="G516" i="5"/>
  <c r="F516" i="5"/>
  <c r="K516" i="5"/>
  <c r="C516" i="5"/>
  <c r="J516" i="5"/>
  <c r="I516" i="5"/>
  <c r="H516" i="5"/>
  <c r="E516" i="5"/>
  <c r="B516" i="5"/>
  <c r="M516" i="5"/>
  <c r="L516" i="5"/>
  <c r="D516" i="5"/>
  <c r="F633" i="5"/>
  <c r="M633" i="5"/>
  <c r="E633" i="5"/>
  <c r="L633" i="5"/>
  <c r="D633" i="5"/>
  <c r="J633" i="5"/>
  <c r="B633" i="5"/>
  <c r="K633" i="5"/>
  <c r="I633" i="5"/>
  <c r="H633" i="5"/>
  <c r="C633" i="5"/>
  <c r="G636" i="5"/>
  <c r="F636" i="5"/>
  <c r="M636" i="5"/>
  <c r="E636" i="5"/>
  <c r="K636" i="5"/>
  <c r="C636" i="5"/>
  <c r="L636" i="5"/>
  <c r="J636" i="5"/>
  <c r="I636" i="5"/>
  <c r="H636" i="5"/>
  <c r="B636" i="5"/>
  <c r="F793" i="5"/>
  <c r="M793" i="5"/>
  <c r="E793" i="5"/>
  <c r="L793" i="5"/>
  <c r="D793" i="5"/>
  <c r="K793" i="5"/>
  <c r="C793" i="5"/>
  <c r="J793" i="5"/>
  <c r="B793" i="5"/>
  <c r="G793" i="5"/>
  <c r="H793" i="5"/>
  <c r="G812" i="5"/>
  <c r="F812" i="5"/>
  <c r="M812" i="5"/>
  <c r="E812" i="5"/>
  <c r="L812" i="5"/>
  <c r="D812" i="5"/>
  <c r="K812" i="5"/>
  <c r="C812" i="5"/>
  <c r="H812" i="5"/>
  <c r="J812" i="5"/>
  <c r="B812" i="5"/>
  <c r="F34" i="6"/>
  <c r="M34" i="6"/>
  <c r="E34" i="6"/>
  <c r="A34" i="7"/>
  <c r="L34" i="6"/>
  <c r="D34" i="6"/>
  <c r="K34" i="6"/>
  <c r="C34" i="6"/>
  <c r="J34" i="6"/>
  <c r="B34" i="6"/>
  <c r="G34" i="6"/>
  <c r="I34" i="6"/>
  <c r="H34" i="6"/>
  <c r="A530" i="7"/>
  <c r="H530" i="6"/>
  <c r="G530" i="6"/>
  <c r="F530" i="6"/>
  <c r="M530" i="6"/>
  <c r="E530" i="6"/>
  <c r="L530" i="6"/>
  <c r="D530" i="6"/>
  <c r="K530" i="6"/>
  <c r="J530" i="6"/>
  <c r="I530" i="6"/>
  <c r="C530" i="6"/>
  <c r="B530" i="6"/>
  <c r="K401" i="4"/>
  <c r="C401" i="4"/>
  <c r="J401" i="4"/>
  <c r="B401" i="4"/>
  <c r="M401" i="4"/>
  <c r="K409" i="4"/>
  <c r="C409" i="4"/>
  <c r="J409" i="4"/>
  <c r="B409" i="4"/>
  <c r="M409" i="4"/>
  <c r="K417" i="4"/>
  <c r="C417" i="4"/>
  <c r="J417" i="4"/>
  <c r="B417" i="4"/>
  <c r="M417" i="4"/>
  <c r="K425" i="4"/>
  <c r="C425" i="4"/>
  <c r="J425" i="4"/>
  <c r="B425" i="4"/>
  <c r="M425" i="4"/>
  <c r="K433" i="4"/>
  <c r="C433" i="4"/>
  <c r="J433" i="4"/>
  <c r="B433" i="4"/>
  <c r="M433" i="4"/>
  <c r="K441" i="4"/>
  <c r="C441" i="4"/>
  <c r="J441" i="4"/>
  <c r="B441" i="4"/>
  <c r="M441" i="4"/>
  <c r="K449" i="4"/>
  <c r="C449" i="4"/>
  <c r="J449" i="4"/>
  <c r="B449" i="4"/>
  <c r="M449" i="4"/>
  <c r="K457" i="4"/>
  <c r="C457" i="4"/>
  <c r="J457" i="4"/>
  <c r="B457" i="4"/>
  <c r="M457" i="4"/>
  <c r="K465" i="4"/>
  <c r="C465" i="4"/>
  <c r="J465" i="4"/>
  <c r="B465" i="4"/>
  <c r="M465" i="4"/>
  <c r="K473" i="4"/>
  <c r="C473" i="4"/>
  <c r="J473" i="4"/>
  <c r="B473" i="4"/>
  <c r="M473" i="4"/>
  <c r="K481" i="4"/>
  <c r="C481" i="4"/>
  <c r="J481" i="4"/>
  <c r="B481" i="4"/>
  <c r="M481" i="4"/>
  <c r="K489" i="4"/>
  <c r="C489" i="4"/>
  <c r="J489" i="4"/>
  <c r="B489" i="4"/>
  <c r="M489" i="4"/>
  <c r="G493" i="4"/>
  <c r="F493" i="4"/>
  <c r="K493" i="4"/>
  <c r="L500" i="4"/>
  <c r="D500" i="4"/>
  <c r="K500" i="4"/>
  <c r="C500" i="4"/>
  <c r="M500" i="4"/>
  <c r="H512" i="4"/>
  <c r="G512" i="4"/>
  <c r="K512" i="4"/>
  <c r="H520" i="4"/>
  <c r="G520" i="4"/>
  <c r="K520" i="4"/>
  <c r="H528" i="4"/>
  <c r="G528" i="4"/>
  <c r="K528" i="4"/>
  <c r="H536" i="4"/>
  <c r="G536" i="4"/>
  <c r="K536" i="4"/>
  <c r="H544" i="4"/>
  <c r="G544" i="4"/>
  <c r="K544" i="4"/>
  <c r="H552" i="4"/>
  <c r="G552" i="4"/>
  <c r="K552" i="4"/>
  <c r="H560" i="4"/>
  <c r="G560" i="4"/>
  <c r="K560" i="4"/>
  <c r="H568" i="4"/>
  <c r="G568" i="4"/>
  <c r="K568" i="4"/>
  <c r="H576" i="4"/>
  <c r="G576" i="4"/>
  <c r="K576" i="4"/>
  <c r="H584" i="4"/>
  <c r="G584" i="4"/>
  <c r="K584" i="4"/>
  <c r="H592" i="4"/>
  <c r="G592" i="4"/>
  <c r="K592" i="4"/>
  <c r="H600" i="4"/>
  <c r="G600" i="4"/>
  <c r="K600" i="4"/>
  <c r="F604" i="4"/>
  <c r="L604" i="4"/>
  <c r="D604" i="4"/>
  <c r="K604" i="4"/>
  <c r="C604" i="4"/>
  <c r="F612" i="4"/>
  <c r="L612" i="4"/>
  <c r="D612" i="4"/>
  <c r="K612" i="4"/>
  <c r="C612" i="4"/>
  <c r="F620" i="4"/>
  <c r="L620" i="4"/>
  <c r="D620" i="4"/>
  <c r="K620" i="4"/>
  <c r="C620" i="4"/>
  <c r="F628" i="4"/>
  <c r="L628" i="4"/>
  <c r="D628" i="4"/>
  <c r="K628" i="4"/>
  <c r="C628" i="4"/>
  <c r="F636" i="4"/>
  <c r="L636" i="4"/>
  <c r="D636" i="4"/>
  <c r="K636" i="4"/>
  <c r="C636" i="4"/>
  <c r="F644" i="4"/>
  <c r="L644" i="4"/>
  <c r="D644" i="4"/>
  <c r="K644" i="4"/>
  <c r="C644" i="4"/>
  <c r="G652" i="4"/>
  <c r="F652" i="4"/>
  <c r="L652" i="4"/>
  <c r="D652" i="4"/>
  <c r="K652" i="4"/>
  <c r="C652" i="4"/>
  <c r="G668" i="4"/>
  <c r="F668" i="4"/>
  <c r="M668" i="4"/>
  <c r="E668" i="4"/>
  <c r="L668" i="4"/>
  <c r="D668" i="4"/>
  <c r="K668" i="4"/>
  <c r="C668" i="4"/>
  <c r="G684" i="4"/>
  <c r="F684" i="4"/>
  <c r="M684" i="4"/>
  <c r="E684" i="4"/>
  <c r="L684" i="4"/>
  <c r="D684" i="4"/>
  <c r="K684" i="4"/>
  <c r="C684" i="4"/>
  <c r="G700" i="4"/>
  <c r="F700" i="4"/>
  <c r="M700" i="4"/>
  <c r="E700" i="4"/>
  <c r="L700" i="4"/>
  <c r="D700" i="4"/>
  <c r="K700" i="4"/>
  <c r="C700" i="4"/>
  <c r="G716" i="4"/>
  <c r="F716" i="4"/>
  <c r="M716" i="4"/>
  <c r="E716" i="4"/>
  <c r="L716" i="4"/>
  <c r="D716" i="4"/>
  <c r="K716" i="4"/>
  <c r="C716" i="4"/>
  <c r="G732" i="4"/>
  <c r="F732" i="4"/>
  <c r="M732" i="4"/>
  <c r="E732" i="4"/>
  <c r="L732" i="4"/>
  <c r="D732" i="4"/>
  <c r="K732" i="4"/>
  <c r="C732" i="4"/>
  <c r="G748" i="4"/>
  <c r="F748" i="4"/>
  <c r="M748" i="4"/>
  <c r="E748" i="4"/>
  <c r="L748" i="4"/>
  <c r="D748" i="4"/>
  <c r="K748" i="4"/>
  <c r="C748" i="4"/>
  <c r="G764" i="4"/>
  <c r="F764" i="4"/>
  <c r="M764" i="4"/>
  <c r="E764" i="4"/>
  <c r="L764" i="4"/>
  <c r="D764" i="4"/>
  <c r="K764" i="4"/>
  <c r="C764" i="4"/>
  <c r="G780" i="4"/>
  <c r="F780" i="4"/>
  <c r="M780" i="4"/>
  <c r="E780" i="4"/>
  <c r="L780" i="4"/>
  <c r="D780" i="4"/>
  <c r="K780" i="4"/>
  <c r="C780" i="4"/>
  <c r="G796" i="4"/>
  <c r="F796" i="4"/>
  <c r="M796" i="4"/>
  <c r="E796" i="4"/>
  <c r="L796" i="4"/>
  <c r="D796" i="4"/>
  <c r="K796" i="4"/>
  <c r="C796" i="4"/>
  <c r="G812" i="4"/>
  <c r="F812" i="4"/>
  <c r="M812" i="4"/>
  <c r="E812" i="4"/>
  <c r="L812" i="4"/>
  <c r="D812" i="4"/>
  <c r="K812" i="4"/>
  <c r="C812" i="4"/>
  <c r="G828" i="4"/>
  <c r="F828" i="4"/>
  <c r="M828" i="4"/>
  <c r="E828" i="4"/>
  <c r="L828" i="4"/>
  <c r="D828" i="4"/>
  <c r="K828" i="4"/>
  <c r="C828" i="4"/>
  <c r="G844" i="4"/>
  <c r="F844" i="4"/>
  <c r="M844" i="4"/>
  <c r="E844" i="4"/>
  <c r="L844" i="4"/>
  <c r="D844" i="4"/>
  <c r="K844" i="4"/>
  <c r="C844" i="4"/>
  <c r="G860" i="4"/>
  <c r="F860" i="4"/>
  <c r="M860" i="4"/>
  <c r="E860" i="4"/>
  <c r="L860" i="4"/>
  <c r="D860" i="4"/>
  <c r="K860" i="4"/>
  <c r="C860" i="4"/>
  <c r="G876" i="4"/>
  <c r="F876" i="4"/>
  <c r="M876" i="4"/>
  <c r="E876" i="4"/>
  <c r="L876" i="4"/>
  <c r="D876" i="4"/>
  <c r="K876" i="4"/>
  <c r="C876" i="4"/>
  <c r="G892" i="4"/>
  <c r="F892" i="4"/>
  <c r="M892" i="4"/>
  <c r="E892" i="4"/>
  <c r="L892" i="4"/>
  <c r="D892" i="4"/>
  <c r="K892" i="4"/>
  <c r="C892" i="4"/>
  <c r="G908" i="4"/>
  <c r="F908" i="4"/>
  <c r="M908" i="4"/>
  <c r="E908" i="4"/>
  <c r="L908" i="4"/>
  <c r="D908" i="4"/>
  <c r="K908" i="4"/>
  <c r="C908" i="4"/>
  <c r="G924" i="4"/>
  <c r="F924" i="4"/>
  <c r="M924" i="4"/>
  <c r="E924" i="4"/>
  <c r="L924" i="4"/>
  <c r="D924" i="4"/>
  <c r="K924" i="4"/>
  <c r="C924" i="4"/>
  <c r="G940" i="4"/>
  <c r="F940" i="4"/>
  <c r="M940" i="4"/>
  <c r="E940" i="4"/>
  <c r="L940" i="4"/>
  <c r="D940" i="4"/>
  <c r="K940" i="4"/>
  <c r="C940" i="4"/>
  <c r="G956" i="4"/>
  <c r="F956" i="4"/>
  <c r="M956" i="4"/>
  <c r="E956" i="4"/>
  <c r="L956" i="4"/>
  <c r="D956" i="4"/>
  <c r="K956" i="4"/>
  <c r="C956" i="4"/>
  <c r="F101" i="5"/>
  <c r="H101" i="5"/>
  <c r="G101" i="5"/>
  <c r="E101" i="5"/>
  <c r="M101" i="5"/>
  <c r="D101" i="5"/>
  <c r="L101" i="5"/>
  <c r="C101" i="5"/>
  <c r="J105" i="5"/>
  <c r="B105" i="5"/>
  <c r="I105" i="5"/>
  <c r="H105" i="5"/>
  <c r="G105" i="5"/>
  <c r="F105" i="5"/>
  <c r="E105" i="5"/>
  <c r="G112" i="5"/>
  <c r="I112" i="5"/>
  <c r="H112" i="5"/>
  <c r="F112" i="5"/>
  <c r="E112" i="5"/>
  <c r="M112" i="5"/>
  <c r="D112" i="5"/>
  <c r="H131" i="5"/>
  <c r="F131" i="5"/>
  <c r="E131" i="5"/>
  <c r="M131" i="5"/>
  <c r="D131" i="5"/>
  <c r="L131" i="5"/>
  <c r="C131" i="5"/>
  <c r="K131" i="5"/>
  <c r="B131" i="5"/>
  <c r="G144" i="5"/>
  <c r="F144" i="5"/>
  <c r="H144" i="5"/>
  <c r="E144" i="5"/>
  <c r="D144" i="5"/>
  <c r="M144" i="5"/>
  <c r="C144" i="5"/>
  <c r="L144" i="5"/>
  <c r="B144" i="5"/>
  <c r="H163" i="5"/>
  <c r="G163" i="5"/>
  <c r="F163" i="5"/>
  <c r="E163" i="5"/>
  <c r="D163" i="5"/>
  <c r="M163" i="5"/>
  <c r="C163" i="5"/>
  <c r="L163" i="5"/>
  <c r="B163" i="5"/>
  <c r="M170" i="5"/>
  <c r="E170" i="5"/>
  <c r="L170" i="5"/>
  <c r="D170" i="5"/>
  <c r="H170" i="5"/>
  <c r="G170" i="5"/>
  <c r="F170" i="5"/>
  <c r="C170" i="5"/>
  <c r="B170" i="5"/>
  <c r="H189" i="5"/>
  <c r="F189" i="5"/>
  <c r="M189" i="5"/>
  <c r="E189" i="5"/>
  <c r="J189" i="5"/>
  <c r="I189" i="5"/>
  <c r="G189" i="5"/>
  <c r="D189" i="5"/>
  <c r="C189" i="5"/>
  <c r="H197" i="5"/>
  <c r="F197" i="5"/>
  <c r="M197" i="5"/>
  <c r="E197" i="5"/>
  <c r="I197" i="5"/>
  <c r="G197" i="5"/>
  <c r="D197" i="5"/>
  <c r="C197" i="5"/>
  <c r="B197" i="5"/>
  <c r="F215" i="5"/>
  <c r="L215" i="5"/>
  <c r="D215" i="5"/>
  <c r="K215" i="5"/>
  <c r="C215" i="5"/>
  <c r="J215" i="5"/>
  <c r="I215" i="5"/>
  <c r="H215" i="5"/>
  <c r="G215" i="5"/>
  <c r="E215" i="5"/>
  <c r="G314" i="5"/>
  <c r="F314" i="5"/>
  <c r="M314" i="5"/>
  <c r="E314" i="5"/>
  <c r="L314" i="5"/>
  <c r="D314" i="5"/>
  <c r="J314" i="5"/>
  <c r="B314" i="5"/>
  <c r="K314" i="5"/>
  <c r="I314" i="5"/>
  <c r="H314" i="5"/>
  <c r="G324" i="5"/>
  <c r="H333" i="5"/>
  <c r="G333" i="5"/>
  <c r="F333" i="5"/>
  <c r="M333" i="5"/>
  <c r="E333" i="5"/>
  <c r="K333" i="5"/>
  <c r="C333" i="5"/>
  <c r="L333" i="5"/>
  <c r="J333" i="5"/>
  <c r="I333" i="5"/>
  <c r="L467" i="5"/>
  <c r="D467" i="5"/>
  <c r="H467" i="5"/>
  <c r="I467" i="5"/>
  <c r="G467" i="5"/>
  <c r="F467" i="5"/>
  <c r="E467" i="5"/>
  <c r="M467" i="5"/>
  <c r="B467" i="5"/>
  <c r="K467" i="5"/>
  <c r="J467" i="5"/>
  <c r="F497" i="5"/>
  <c r="J497" i="5"/>
  <c r="B497" i="5"/>
  <c r="G497" i="5"/>
  <c r="E497" i="5"/>
  <c r="D497" i="5"/>
  <c r="M497" i="5"/>
  <c r="C497" i="5"/>
  <c r="K497" i="5"/>
  <c r="L497" i="5"/>
  <c r="I497" i="5"/>
  <c r="F537" i="5"/>
  <c r="M537" i="5"/>
  <c r="E537" i="5"/>
  <c r="J537" i="5"/>
  <c r="B537" i="5"/>
  <c r="L537" i="5"/>
  <c r="K537" i="5"/>
  <c r="I537" i="5"/>
  <c r="H537" i="5"/>
  <c r="D537" i="5"/>
  <c r="G537" i="5"/>
  <c r="C537" i="5"/>
  <c r="G580" i="5"/>
  <c r="F580" i="5"/>
  <c r="K580" i="5"/>
  <c r="C580" i="5"/>
  <c r="J580" i="5"/>
  <c r="I580" i="5"/>
  <c r="H580" i="5"/>
  <c r="E580" i="5"/>
  <c r="B580" i="5"/>
  <c r="M580" i="5"/>
  <c r="A13" i="7"/>
  <c r="G13" i="6"/>
  <c r="F13" i="6"/>
  <c r="M13" i="6"/>
  <c r="E13" i="6"/>
  <c r="L13" i="6"/>
  <c r="D13" i="6"/>
  <c r="K13" i="6"/>
  <c r="C13" i="6"/>
  <c r="H13" i="6"/>
  <c r="I13" i="6"/>
  <c r="J13" i="6"/>
  <c r="B13" i="6"/>
  <c r="A201" i="7"/>
  <c r="M201" i="6"/>
  <c r="E201" i="6"/>
  <c r="K201" i="6"/>
  <c r="C201" i="6"/>
  <c r="J201" i="6"/>
  <c r="B201" i="6"/>
  <c r="L201" i="6"/>
  <c r="I201" i="6"/>
  <c r="H201" i="6"/>
  <c r="G201" i="6"/>
  <c r="F201" i="6"/>
  <c r="A211" i="8"/>
  <c r="F211" i="7"/>
  <c r="M211" i="7"/>
  <c r="E211" i="7"/>
  <c r="L211" i="7"/>
  <c r="D211" i="7"/>
  <c r="K211" i="7"/>
  <c r="C211" i="7"/>
  <c r="J211" i="7"/>
  <c r="B211" i="7"/>
  <c r="I211" i="7"/>
  <c r="H211" i="7"/>
  <c r="G211" i="7"/>
  <c r="A127" i="8"/>
  <c r="J127" i="7"/>
  <c r="B127" i="7"/>
  <c r="H127" i="7"/>
  <c r="G127" i="7"/>
  <c r="F127" i="7"/>
  <c r="L127" i="7"/>
  <c r="K127" i="7"/>
  <c r="I127" i="7"/>
  <c r="E127" i="7"/>
  <c r="D127" i="7"/>
  <c r="M127" i="7"/>
  <c r="C127" i="7"/>
  <c r="D401" i="4"/>
  <c r="F402" i="4"/>
  <c r="M402" i="4"/>
  <c r="E402" i="4"/>
  <c r="K402" i="4"/>
  <c r="D409" i="4"/>
  <c r="F410" i="4"/>
  <c r="M410" i="4"/>
  <c r="E410" i="4"/>
  <c r="K410" i="4"/>
  <c r="D417" i="4"/>
  <c r="F418" i="4"/>
  <c r="M418" i="4"/>
  <c r="E418" i="4"/>
  <c r="K418" i="4"/>
  <c r="D425" i="4"/>
  <c r="F426" i="4"/>
  <c r="M426" i="4"/>
  <c r="E426" i="4"/>
  <c r="K426" i="4"/>
  <c r="D433" i="4"/>
  <c r="F434" i="4"/>
  <c r="M434" i="4"/>
  <c r="E434" i="4"/>
  <c r="K434" i="4"/>
  <c r="D441" i="4"/>
  <c r="F442" i="4"/>
  <c r="M442" i="4"/>
  <c r="E442" i="4"/>
  <c r="K442" i="4"/>
  <c r="D449" i="4"/>
  <c r="F450" i="4"/>
  <c r="M450" i="4"/>
  <c r="E450" i="4"/>
  <c r="K450" i="4"/>
  <c r="D457" i="4"/>
  <c r="F458" i="4"/>
  <c r="M458" i="4"/>
  <c r="E458" i="4"/>
  <c r="K458" i="4"/>
  <c r="D465" i="4"/>
  <c r="F466" i="4"/>
  <c r="M466" i="4"/>
  <c r="E466" i="4"/>
  <c r="K466" i="4"/>
  <c r="D473" i="4"/>
  <c r="F474" i="4"/>
  <c r="M474" i="4"/>
  <c r="E474" i="4"/>
  <c r="K474" i="4"/>
  <c r="D481" i="4"/>
  <c r="F482" i="4"/>
  <c r="M482" i="4"/>
  <c r="E482" i="4"/>
  <c r="K482" i="4"/>
  <c r="D489" i="4"/>
  <c r="F490" i="4"/>
  <c r="M490" i="4"/>
  <c r="E490" i="4"/>
  <c r="K490" i="4"/>
  <c r="B493" i="4"/>
  <c r="L493" i="4"/>
  <c r="K497" i="4"/>
  <c r="C497" i="4"/>
  <c r="J497" i="4"/>
  <c r="B497" i="4"/>
  <c r="M497" i="4"/>
  <c r="B500" i="4"/>
  <c r="G501" i="4"/>
  <c r="F501" i="4"/>
  <c r="K501" i="4"/>
  <c r="L508" i="4"/>
  <c r="D508" i="4"/>
  <c r="K508" i="4"/>
  <c r="C508" i="4"/>
  <c r="M508" i="4"/>
  <c r="B512" i="4"/>
  <c r="L512" i="4"/>
  <c r="L516" i="4"/>
  <c r="D516" i="4"/>
  <c r="K516" i="4"/>
  <c r="C516" i="4"/>
  <c r="M516" i="4"/>
  <c r="B520" i="4"/>
  <c r="L520" i="4"/>
  <c r="L524" i="4"/>
  <c r="D524" i="4"/>
  <c r="K524" i="4"/>
  <c r="C524" i="4"/>
  <c r="M524" i="4"/>
  <c r="B528" i="4"/>
  <c r="L528" i="4"/>
  <c r="L532" i="4"/>
  <c r="D532" i="4"/>
  <c r="K532" i="4"/>
  <c r="C532" i="4"/>
  <c r="M532" i="4"/>
  <c r="B536" i="4"/>
  <c r="L536" i="4"/>
  <c r="L540" i="4"/>
  <c r="D540" i="4"/>
  <c r="K540" i="4"/>
  <c r="C540" i="4"/>
  <c r="M540" i="4"/>
  <c r="B544" i="4"/>
  <c r="L544" i="4"/>
  <c r="L548" i="4"/>
  <c r="D548" i="4"/>
  <c r="K548" i="4"/>
  <c r="C548" i="4"/>
  <c r="M548" i="4"/>
  <c r="B552" i="4"/>
  <c r="L552" i="4"/>
  <c r="L556" i="4"/>
  <c r="D556" i="4"/>
  <c r="K556" i="4"/>
  <c r="C556" i="4"/>
  <c r="M556" i="4"/>
  <c r="B560" i="4"/>
  <c r="L560" i="4"/>
  <c r="L564" i="4"/>
  <c r="D564" i="4"/>
  <c r="K564" i="4"/>
  <c r="C564" i="4"/>
  <c r="M564" i="4"/>
  <c r="B568" i="4"/>
  <c r="L568" i="4"/>
  <c r="L572" i="4"/>
  <c r="D572" i="4"/>
  <c r="K572" i="4"/>
  <c r="C572" i="4"/>
  <c r="M572" i="4"/>
  <c r="B576" i="4"/>
  <c r="L576" i="4"/>
  <c r="L580" i="4"/>
  <c r="D580" i="4"/>
  <c r="K580" i="4"/>
  <c r="C580" i="4"/>
  <c r="M580" i="4"/>
  <c r="B584" i="4"/>
  <c r="L584" i="4"/>
  <c r="L588" i="4"/>
  <c r="D588" i="4"/>
  <c r="K588" i="4"/>
  <c r="C588" i="4"/>
  <c r="M588" i="4"/>
  <c r="B592" i="4"/>
  <c r="L592" i="4"/>
  <c r="L596" i="4"/>
  <c r="D596" i="4"/>
  <c r="K596" i="4"/>
  <c r="C596" i="4"/>
  <c r="M596" i="4"/>
  <c r="B600" i="4"/>
  <c r="L600" i="4"/>
  <c r="B604" i="4"/>
  <c r="B612" i="4"/>
  <c r="B620" i="4"/>
  <c r="B628" i="4"/>
  <c r="B636" i="4"/>
  <c r="B644" i="4"/>
  <c r="B652" i="4"/>
  <c r="F657" i="4"/>
  <c r="M657" i="4"/>
  <c r="E657" i="4"/>
  <c r="K657" i="4"/>
  <c r="C657" i="4"/>
  <c r="J657" i="4"/>
  <c r="B657" i="4"/>
  <c r="F665" i="4"/>
  <c r="M665" i="4"/>
  <c r="E665" i="4"/>
  <c r="L665" i="4"/>
  <c r="D665" i="4"/>
  <c r="K665" i="4"/>
  <c r="C665" i="4"/>
  <c r="J665" i="4"/>
  <c r="B665" i="4"/>
  <c r="B668" i="4"/>
  <c r="H671" i="4"/>
  <c r="G671" i="4"/>
  <c r="F671" i="4"/>
  <c r="M671" i="4"/>
  <c r="E671" i="4"/>
  <c r="L671" i="4"/>
  <c r="D671" i="4"/>
  <c r="F681" i="4"/>
  <c r="M681" i="4"/>
  <c r="E681" i="4"/>
  <c r="L681" i="4"/>
  <c r="D681" i="4"/>
  <c r="K681" i="4"/>
  <c r="C681" i="4"/>
  <c r="J681" i="4"/>
  <c r="B681" i="4"/>
  <c r="B684" i="4"/>
  <c r="H687" i="4"/>
  <c r="G687" i="4"/>
  <c r="F687" i="4"/>
  <c r="M687" i="4"/>
  <c r="E687" i="4"/>
  <c r="L687" i="4"/>
  <c r="D687" i="4"/>
  <c r="F697" i="4"/>
  <c r="M697" i="4"/>
  <c r="E697" i="4"/>
  <c r="L697" i="4"/>
  <c r="D697" i="4"/>
  <c r="K697" i="4"/>
  <c r="C697" i="4"/>
  <c r="J697" i="4"/>
  <c r="B697" i="4"/>
  <c r="B700" i="4"/>
  <c r="H703" i="4"/>
  <c r="G703" i="4"/>
  <c r="F703" i="4"/>
  <c r="M703" i="4"/>
  <c r="E703" i="4"/>
  <c r="L703" i="4"/>
  <c r="D703" i="4"/>
  <c r="F713" i="4"/>
  <c r="M713" i="4"/>
  <c r="E713" i="4"/>
  <c r="L713" i="4"/>
  <c r="D713" i="4"/>
  <c r="K713" i="4"/>
  <c r="C713" i="4"/>
  <c r="J713" i="4"/>
  <c r="B713" i="4"/>
  <c r="B716" i="4"/>
  <c r="H719" i="4"/>
  <c r="G719" i="4"/>
  <c r="F719" i="4"/>
  <c r="M719" i="4"/>
  <c r="E719" i="4"/>
  <c r="L719" i="4"/>
  <c r="D719" i="4"/>
  <c r="F729" i="4"/>
  <c r="M729" i="4"/>
  <c r="E729" i="4"/>
  <c r="L729" i="4"/>
  <c r="D729" i="4"/>
  <c r="K729" i="4"/>
  <c r="C729" i="4"/>
  <c r="J729" i="4"/>
  <c r="B729" i="4"/>
  <c r="B732" i="4"/>
  <c r="H735" i="4"/>
  <c r="G735" i="4"/>
  <c r="F735" i="4"/>
  <c r="M735" i="4"/>
  <c r="E735" i="4"/>
  <c r="L735" i="4"/>
  <c r="D735" i="4"/>
  <c r="F745" i="4"/>
  <c r="M745" i="4"/>
  <c r="E745" i="4"/>
  <c r="L745" i="4"/>
  <c r="D745" i="4"/>
  <c r="K745" i="4"/>
  <c r="C745" i="4"/>
  <c r="J745" i="4"/>
  <c r="B745" i="4"/>
  <c r="B748" i="4"/>
  <c r="H751" i="4"/>
  <c r="G751" i="4"/>
  <c r="F751" i="4"/>
  <c r="M751" i="4"/>
  <c r="E751" i="4"/>
  <c r="L751" i="4"/>
  <c r="D751" i="4"/>
  <c r="F761" i="4"/>
  <c r="M761" i="4"/>
  <c r="E761" i="4"/>
  <c r="L761" i="4"/>
  <c r="D761" i="4"/>
  <c r="K761" i="4"/>
  <c r="C761" i="4"/>
  <c r="J761" i="4"/>
  <c r="B761" i="4"/>
  <c r="B764" i="4"/>
  <c r="H767" i="4"/>
  <c r="G767" i="4"/>
  <c r="F767" i="4"/>
  <c r="M767" i="4"/>
  <c r="E767" i="4"/>
  <c r="L767" i="4"/>
  <c r="D767" i="4"/>
  <c r="F777" i="4"/>
  <c r="M777" i="4"/>
  <c r="E777" i="4"/>
  <c r="L777" i="4"/>
  <c r="D777" i="4"/>
  <c r="K777" i="4"/>
  <c r="C777" i="4"/>
  <c r="J777" i="4"/>
  <c r="B777" i="4"/>
  <c r="B780" i="4"/>
  <c r="H783" i="4"/>
  <c r="G783" i="4"/>
  <c r="F783" i="4"/>
  <c r="M783" i="4"/>
  <c r="E783" i="4"/>
  <c r="L783" i="4"/>
  <c r="D783" i="4"/>
  <c r="F793" i="4"/>
  <c r="M793" i="4"/>
  <c r="E793" i="4"/>
  <c r="L793" i="4"/>
  <c r="D793" i="4"/>
  <c r="K793" i="4"/>
  <c r="C793" i="4"/>
  <c r="J793" i="4"/>
  <c r="B793" i="4"/>
  <c r="B796" i="4"/>
  <c r="H799" i="4"/>
  <c r="G799" i="4"/>
  <c r="F799" i="4"/>
  <c r="M799" i="4"/>
  <c r="E799" i="4"/>
  <c r="L799" i="4"/>
  <c r="D799" i="4"/>
  <c r="F809" i="4"/>
  <c r="M809" i="4"/>
  <c r="E809" i="4"/>
  <c r="L809" i="4"/>
  <c r="D809" i="4"/>
  <c r="K809" i="4"/>
  <c r="C809" i="4"/>
  <c r="J809" i="4"/>
  <c r="B809" i="4"/>
  <c r="B812" i="4"/>
  <c r="H815" i="4"/>
  <c r="G815" i="4"/>
  <c r="F815" i="4"/>
  <c r="M815" i="4"/>
  <c r="E815" i="4"/>
  <c r="L815" i="4"/>
  <c r="D815" i="4"/>
  <c r="F825" i="4"/>
  <c r="M825" i="4"/>
  <c r="E825" i="4"/>
  <c r="L825" i="4"/>
  <c r="D825" i="4"/>
  <c r="K825" i="4"/>
  <c r="C825" i="4"/>
  <c r="J825" i="4"/>
  <c r="B825" i="4"/>
  <c r="B828" i="4"/>
  <c r="H831" i="4"/>
  <c r="G831" i="4"/>
  <c r="F831" i="4"/>
  <c r="M831" i="4"/>
  <c r="E831" i="4"/>
  <c r="L831" i="4"/>
  <c r="D831" i="4"/>
  <c r="F841" i="4"/>
  <c r="M841" i="4"/>
  <c r="E841" i="4"/>
  <c r="L841" i="4"/>
  <c r="D841" i="4"/>
  <c r="K841" i="4"/>
  <c r="C841" i="4"/>
  <c r="J841" i="4"/>
  <c r="B841" i="4"/>
  <c r="B844" i="4"/>
  <c r="H847" i="4"/>
  <c r="G847" i="4"/>
  <c r="F847" i="4"/>
  <c r="M847" i="4"/>
  <c r="E847" i="4"/>
  <c r="L847" i="4"/>
  <c r="D847" i="4"/>
  <c r="F857" i="4"/>
  <c r="M857" i="4"/>
  <c r="E857" i="4"/>
  <c r="L857" i="4"/>
  <c r="D857" i="4"/>
  <c r="K857" i="4"/>
  <c r="C857" i="4"/>
  <c r="J857" i="4"/>
  <c r="B857" i="4"/>
  <c r="B860" i="4"/>
  <c r="H863" i="4"/>
  <c r="G863" i="4"/>
  <c r="F863" i="4"/>
  <c r="M863" i="4"/>
  <c r="E863" i="4"/>
  <c r="L863" i="4"/>
  <c r="D863" i="4"/>
  <c r="F873" i="4"/>
  <c r="M873" i="4"/>
  <c r="E873" i="4"/>
  <c r="L873" i="4"/>
  <c r="D873" i="4"/>
  <c r="K873" i="4"/>
  <c r="C873" i="4"/>
  <c r="J873" i="4"/>
  <c r="B873" i="4"/>
  <c r="B876" i="4"/>
  <c r="H879" i="4"/>
  <c r="G879" i="4"/>
  <c r="F879" i="4"/>
  <c r="M879" i="4"/>
  <c r="E879" i="4"/>
  <c r="L879" i="4"/>
  <c r="D879" i="4"/>
  <c r="F889" i="4"/>
  <c r="M889" i="4"/>
  <c r="E889" i="4"/>
  <c r="L889" i="4"/>
  <c r="D889" i="4"/>
  <c r="K889" i="4"/>
  <c r="C889" i="4"/>
  <c r="J889" i="4"/>
  <c r="B889" i="4"/>
  <c r="B892" i="4"/>
  <c r="H895" i="4"/>
  <c r="G895" i="4"/>
  <c r="F895" i="4"/>
  <c r="M895" i="4"/>
  <c r="E895" i="4"/>
  <c r="L895" i="4"/>
  <c r="D895" i="4"/>
  <c r="F905" i="4"/>
  <c r="M905" i="4"/>
  <c r="E905" i="4"/>
  <c r="L905" i="4"/>
  <c r="D905" i="4"/>
  <c r="K905" i="4"/>
  <c r="C905" i="4"/>
  <c r="J905" i="4"/>
  <c r="B905" i="4"/>
  <c r="B908" i="4"/>
  <c r="H911" i="4"/>
  <c r="G911" i="4"/>
  <c r="F911" i="4"/>
  <c r="M911" i="4"/>
  <c r="E911" i="4"/>
  <c r="L911" i="4"/>
  <c r="D911" i="4"/>
  <c r="F921" i="4"/>
  <c r="M921" i="4"/>
  <c r="E921" i="4"/>
  <c r="L921" i="4"/>
  <c r="D921" i="4"/>
  <c r="K921" i="4"/>
  <c r="C921" i="4"/>
  <c r="J921" i="4"/>
  <c r="B921" i="4"/>
  <c r="B924" i="4"/>
  <c r="H927" i="4"/>
  <c r="G927" i="4"/>
  <c r="F927" i="4"/>
  <c r="M927" i="4"/>
  <c r="E927" i="4"/>
  <c r="L927" i="4"/>
  <c r="D927" i="4"/>
  <c r="F937" i="4"/>
  <c r="M937" i="4"/>
  <c r="E937" i="4"/>
  <c r="L937" i="4"/>
  <c r="D937" i="4"/>
  <c r="K937" i="4"/>
  <c r="C937" i="4"/>
  <c r="J937" i="4"/>
  <c r="B937" i="4"/>
  <c r="B940" i="4"/>
  <c r="H943" i="4"/>
  <c r="G943" i="4"/>
  <c r="F943" i="4"/>
  <c r="M943" i="4"/>
  <c r="E943" i="4"/>
  <c r="L943" i="4"/>
  <c r="D943" i="4"/>
  <c r="F953" i="4"/>
  <c r="M953" i="4"/>
  <c r="E953" i="4"/>
  <c r="L953" i="4"/>
  <c r="D953" i="4"/>
  <c r="K953" i="4"/>
  <c r="C953" i="4"/>
  <c r="J953" i="4"/>
  <c r="B953" i="4"/>
  <c r="B956" i="4"/>
  <c r="H959" i="4"/>
  <c r="G959" i="4"/>
  <c r="F959" i="4"/>
  <c r="M959" i="4"/>
  <c r="E959" i="4"/>
  <c r="L959" i="4"/>
  <c r="D959" i="4"/>
  <c r="G972" i="4"/>
  <c r="F972" i="4"/>
  <c r="M972" i="4"/>
  <c r="E972" i="4"/>
  <c r="L972" i="4"/>
  <c r="D972" i="4"/>
  <c r="K972" i="4"/>
  <c r="C972" i="4"/>
  <c r="G988" i="4"/>
  <c r="F988" i="4"/>
  <c r="M988" i="4"/>
  <c r="E988" i="4"/>
  <c r="L988" i="4"/>
  <c r="D988" i="4"/>
  <c r="K988" i="4"/>
  <c r="C988" i="4"/>
  <c r="G5" i="5"/>
  <c r="F5" i="5"/>
  <c r="M5" i="5"/>
  <c r="E5" i="5"/>
  <c r="L5" i="5"/>
  <c r="D5" i="5"/>
  <c r="K5" i="5"/>
  <c r="C5" i="5"/>
  <c r="G21" i="5"/>
  <c r="F21" i="5"/>
  <c r="M21" i="5"/>
  <c r="E21" i="5"/>
  <c r="L21" i="5"/>
  <c r="D21" i="5"/>
  <c r="K21" i="5"/>
  <c r="C21" i="5"/>
  <c r="G37" i="5"/>
  <c r="F37" i="5"/>
  <c r="M37" i="5"/>
  <c r="E37" i="5"/>
  <c r="L37" i="5"/>
  <c r="D37" i="5"/>
  <c r="K37" i="5"/>
  <c r="C37" i="5"/>
  <c r="G53" i="5"/>
  <c r="F53" i="5"/>
  <c r="M53" i="5"/>
  <c r="E53" i="5"/>
  <c r="L53" i="5"/>
  <c r="D53" i="5"/>
  <c r="K53" i="5"/>
  <c r="C53" i="5"/>
  <c r="G69" i="5"/>
  <c r="F69" i="5"/>
  <c r="M69" i="5"/>
  <c r="E69" i="5"/>
  <c r="L69" i="5"/>
  <c r="D69" i="5"/>
  <c r="K69" i="5"/>
  <c r="C69" i="5"/>
  <c r="G85" i="5"/>
  <c r="F85" i="5"/>
  <c r="M85" i="5"/>
  <c r="E85" i="5"/>
  <c r="L85" i="5"/>
  <c r="D85" i="5"/>
  <c r="K85" i="5"/>
  <c r="C85" i="5"/>
  <c r="J96" i="5"/>
  <c r="B101" i="5"/>
  <c r="L103" i="5"/>
  <c r="D103" i="5"/>
  <c r="H103" i="5"/>
  <c r="G103" i="5"/>
  <c r="F103" i="5"/>
  <c r="E103" i="5"/>
  <c r="M103" i="5"/>
  <c r="C103" i="5"/>
  <c r="C105" i="5"/>
  <c r="B112" i="5"/>
  <c r="J115" i="5"/>
  <c r="K124" i="5"/>
  <c r="C124" i="5"/>
  <c r="G124" i="5"/>
  <c r="F124" i="5"/>
  <c r="E124" i="5"/>
  <c r="M124" i="5"/>
  <c r="D124" i="5"/>
  <c r="L124" i="5"/>
  <c r="B124" i="5"/>
  <c r="G131" i="5"/>
  <c r="G136" i="5"/>
  <c r="F136" i="5"/>
  <c r="I136" i="5"/>
  <c r="H136" i="5"/>
  <c r="E136" i="5"/>
  <c r="D136" i="5"/>
  <c r="M136" i="5"/>
  <c r="C136" i="5"/>
  <c r="I144" i="5"/>
  <c r="I163" i="5"/>
  <c r="I170" i="5"/>
  <c r="J179" i="5"/>
  <c r="B179" i="5"/>
  <c r="H179" i="5"/>
  <c r="G179" i="5"/>
  <c r="L179" i="5"/>
  <c r="K179" i="5"/>
  <c r="I179" i="5"/>
  <c r="F179" i="5"/>
  <c r="E179" i="5"/>
  <c r="B189" i="5"/>
  <c r="J197" i="5"/>
  <c r="B215" i="5"/>
  <c r="M220" i="5"/>
  <c r="E220" i="5"/>
  <c r="K220" i="5"/>
  <c r="C220" i="5"/>
  <c r="J220" i="5"/>
  <c r="B220" i="5"/>
  <c r="H220" i="5"/>
  <c r="L220" i="5"/>
  <c r="I220" i="5"/>
  <c r="G220" i="5"/>
  <c r="F220" i="5"/>
  <c r="D220" i="5"/>
  <c r="G258" i="5"/>
  <c r="M258" i="5"/>
  <c r="E258" i="5"/>
  <c r="L258" i="5"/>
  <c r="D258" i="5"/>
  <c r="J258" i="5"/>
  <c r="B258" i="5"/>
  <c r="K258" i="5"/>
  <c r="I258" i="5"/>
  <c r="H258" i="5"/>
  <c r="F258" i="5"/>
  <c r="C258" i="5"/>
  <c r="J267" i="5"/>
  <c r="B267" i="5"/>
  <c r="H267" i="5"/>
  <c r="G267" i="5"/>
  <c r="M267" i="5"/>
  <c r="E267" i="5"/>
  <c r="L267" i="5"/>
  <c r="K267" i="5"/>
  <c r="I267" i="5"/>
  <c r="F267" i="5"/>
  <c r="D267" i="5"/>
  <c r="H285" i="5"/>
  <c r="G285" i="5"/>
  <c r="F285" i="5"/>
  <c r="M285" i="5"/>
  <c r="E285" i="5"/>
  <c r="K285" i="5"/>
  <c r="C285" i="5"/>
  <c r="L285" i="5"/>
  <c r="J285" i="5"/>
  <c r="I285" i="5"/>
  <c r="M308" i="5"/>
  <c r="E308" i="5"/>
  <c r="L308" i="5"/>
  <c r="D308" i="5"/>
  <c r="K308" i="5"/>
  <c r="C308" i="5"/>
  <c r="J308" i="5"/>
  <c r="B308" i="5"/>
  <c r="H308" i="5"/>
  <c r="I308" i="5"/>
  <c r="H351" i="5"/>
  <c r="I351" i="5"/>
  <c r="G351" i="5"/>
  <c r="F351" i="5"/>
  <c r="E351" i="5"/>
  <c r="L351" i="5"/>
  <c r="C351" i="5"/>
  <c r="M351" i="5"/>
  <c r="K351" i="5"/>
  <c r="J351" i="5"/>
  <c r="M374" i="5"/>
  <c r="E374" i="5"/>
  <c r="H374" i="5"/>
  <c r="G374" i="5"/>
  <c r="F374" i="5"/>
  <c r="D374" i="5"/>
  <c r="K374" i="5"/>
  <c r="B374" i="5"/>
  <c r="L374" i="5"/>
  <c r="J374" i="5"/>
  <c r="I374" i="5"/>
  <c r="F409" i="5"/>
  <c r="E409" i="5"/>
  <c r="M409" i="5"/>
  <c r="D409" i="5"/>
  <c r="L409" i="5"/>
  <c r="C409" i="5"/>
  <c r="K409" i="5"/>
  <c r="B409" i="5"/>
  <c r="I409" i="5"/>
  <c r="J409" i="5"/>
  <c r="H409" i="5"/>
  <c r="G409" i="5"/>
  <c r="M422" i="5"/>
  <c r="E422" i="5"/>
  <c r="H422" i="5"/>
  <c r="G422" i="5"/>
  <c r="F422" i="5"/>
  <c r="D422" i="5"/>
  <c r="K422" i="5"/>
  <c r="B422" i="5"/>
  <c r="L422" i="5"/>
  <c r="J422" i="5"/>
  <c r="I422" i="5"/>
  <c r="C422" i="5"/>
  <c r="C467" i="5"/>
  <c r="K472" i="5"/>
  <c r="C472" i="5"/>
  <c r="G472" i="5"/>
  <c r="F472" i="5"/>
  <c r="E472" i="5"/>
  <c r="D472" i="5"/>
  <c r="M472" i="5"/>
  <c r="B472" i="5"/>
  <c r="J472" i="5"/>
  <c r="L472" i="5"/>
  <c r="L475" i="5"/>
  <c r="D475" i="5"/>
  <c r="H475" i="5"/>
  <c r="F475" i="5"/>
  <c r="E475" i="5"/>
  <c r="C475" i="5"/>
  <c r="M475" i="5"/>
  <c r="B475" i="5"/>
  <c r="J475" i="5"/>
  <c r="K475" i="5"/>
  <c r="I475" i="5"/>
  <c r="G532" i="5"/>
  <c r="F532" i="5"/>
  <c r="K532" i="5"/>
  <c r="C532" i="5"/>
  <c r="H532" i="5"/>
  <c r="E532" i="5"/>
  <c r="D532" i="5"/>
  <c r="B532" i="5"/>
  <c r="L532" i="5"/>
  <c r="M532" i="5"/>
  <c r="J532" i="5"/>
  <c r="F729" i="5"/>
  <c r="M729" i="5"/>
  <c r="E729" i="5"/>
  <c r="L729" i="5"/>
  <c r="D729" i="5"/>
  <c r="K729" i="5"/>
  <c r="C729" i="5"/>
  <c r="J729" i="5"/>
  <c r="B729" i="5"/>
  <c r="G729" i="5"/>
  <c r="H729" i="5"/>
  <c r="D201" i="6"/>
  <c r="H169" i="4"/>
  <c r="H177" i="4"/>
  <c r="H185" i="4"/>
  <c r="H193" i="4"/>
  <c r="H201" i="4"/>
  <c r="H209" i="4"/>
  <c r="H217" i="4"/>
  <c r="H225" i="4"/>
  <c r="H233" i="4"/>
  <c r="I236" i="4"/>
  <c r="H241" i="4"/>
  <c r="I244" i="4"/>
  <c r="H249" i="4"/>
  <c r="I252" i="4"/>
  <c r="H257" i="4"/>
  <c r="I260" i="4"/>
  <c r="H265" i="4"/>
  <c r="I268" i="4"/>
  <c r="E272" i="4"/>
  <c r="M272" i="4"/>
  <c r="H273" i="4"/>
  <c r="F275" i="4"/>
  <c r="I276" i="4"/>
  <c r="E280" i="4"/>
  <c r="M280" i="4"/>
  <c r="H281" i="4"/>
  <c r="F283" i="4"/>
  <c r="I284" i="4"/>
  <c r="E288" i="4"/>
  <c r="M288" i="4"/>
  <c r="H289" i="4"/>
  <c r="F291" i="4"/>
  <c r="I292" i="4"/>
  <c r="E296" i="4"/>
  <c r="M296" i="4"/>
  <c r="H297" i="4"/>
  <c r="F299" i="4"/>
  <c r="I300" i="4"/>
  <c r="E304" i="4"/>
  <c r="M304" i="4"/>
  <c r="H305" i="4"/>
  <c r="H309" i="4"/>
  <c r="M311" i="4"/>
  <c r="E311" i="4"/>
  <c r="L311" i="4"/>
  <c r="D311" i="4"/>
  <c r="K311" i="4"/>
  <c r="G313" i="4"/>
  <c r="H317" i="4"/>
  <c r="M319" i="4"/>
  <c r="E319" i="4"/>
  <c r="L319" i="4"/>
  <c r="D319" i="4"/>
  <c r="K319" i="4"/>
  <c r="G321" i="4"/>
  <c r="H325" i="4"/>
  <c r="M327" i="4"/>
  <c r="E327" i="4"/>
  <c r="L327" i="4"/>
  <c r="D327" i="4"/>
  <c r="K327" i="4"/>
  <c r="G329" i="4"/>
  <c r="H333" i="4"/>
  <c r="M335" i="4"/>
  <c r="E335" i="4"/>
  <c r="L335" i="4"/>
  <c r="D335" i="4"/>
  <c r="K335" i="4"/>
  <c r="G337" i="4"/>
  <c r="H341" i="4"/>
  <c r="M343" i="4"/>
  <c r="E343" i="4"/>
  <c r="L343" i="4"/>
  <c r="D343" i="4"/>
  <c r="K343" i="4"/>
  <c r="G345" i="4"/>
  <c r="H349" i="4"/>
  <c r="M351" i="4"/>
  <c r="E351" i="4"/>
  <c r="L351" i="4"/>
  <c r="D351" i="4"/>
  <c r="K351" i="4"/>
  <c r="G353" i="4"/>
  <c r="H357" i="4"/>
  <c r="M359" i="4"/>
  <c r="E359" i="4"/>
  <c r="L359" i="4"/>
  <c r="D359" i="4"/>
  <c r="K359" i="4"/>
  <c r="G361" i="4"/>
  <c r="H365" i="4"/>
  <c r="M367" i="4"/>
  <c r="E367" i="4"/>
  <c r="L367" i="4"/>
  <c r="D367" i="4"/>
  <c r="K367" i="4"/>
  <c r="G369" i="4"/>
  <c r="H373" i="4"/>
  <c r="M375" i="4"/>
  <c r="E375" i="4"/>
  <c r="L375" i="4"/>
  <c r="D375" i="4"/>
  <c r="K375" i="4"/>
  <c r="G377" i="4"/>
  <c r="H381" i="4"/>
  <c r="M383" i="4"/>
  <c r="E383" i="4"/>
  <c r="L383" i="4"/>
  <c r="D383" i="4"/>
  <c r="K383" i="4"/>
  <c r="G385" i="4"/>
  <c r="H389" i="4"/>
  <c r="M391" i="4"/>
  <c r="E391" i="4"/>
  <c r="L391" i="4"/>
  <c r="D391" i="4"/>
  <c r="K391" i="4"/>
  <c r="G393" i="4"/>
  <c r="H397" i="4"/>
  <c r="F400" i="4"/>
  <c r="E401" i="4"/>
  <c r="B402" i="4"/>
  <c r="L402" i="4"/>
  <c r="G404" i="4"/>
  <c r="F408" i="4"/>
  <c r="E409" i="4"/>
  <c r="B410" i="4"/>
  <c r="L410" i="4"/>
  <c r="G412" i="4"/>
  <c r="F416" i="4"/>
  <c r="E417" i="4"/>
  <c r="B418" i="4"/>
  <c r="L418" i="4"/>
  <c r="G420" i="4"/>
  <c r="F424" i="4"/>
  <c r="E425" i="4"/>
  <c r="B426" i="4"/>
  <c r="L426" i="4"/>
  <c r="G428" i="4"/>
  <c r="F432" i="4"/>
  <c r="E433" i="4"/>
  <c r="B434" i="4"/>
  <c r="L434" i="4"/>
  <c r="G436" i="4"/>
  <c r="F440" i="4"/>
  <c r="E441" i="4"/>
  <c r="B442" i="4"/>
  <c r="L442" i="4"/>
  <c r="G444" i="4"/>
  <c r="F448" i="4"/>
  <c r="E449" i="4"/>
  <c r="B450" i="4"/>
  <c r="L450" i="4"/>
  <c r="G452" i="4"/>
  <c r="F456" i="4"/>
  <c r="E457" i="4"/>
  <c r="B458" i="4"/>
  <c r="L458" i="4"/>
  <c r="G460" i="4"/>
  <c r="F464" i="4"/>
  <c r="E465" i="4"/>
  <c r="B466" i="4"/>
  <c r="L466" i="4"/>
  <c r="G468" i="4"/>
  <c r="F472" i="4"/>
  <c r="E473" i="4"/>
  <c r="B474" i="4"/>
  <c r="L474" i="4"/>
  <c r="G476" i="4"/>
  <c r="F480" i="4"/>
  <c r="E481" i="4"/>
  <c r="B482" i="4"/>
  <c r="L482" i="4"/>
  <c r="G484" i="4"/>
  <c r="F488" i="4"/>
  <c r="E489" i="4"/>
  <c r="B490" i="4"/>
  <c r="L490" i="4"/>
  <c r="C493" i="4"/>
  <c r="M493" i="4"/>
  <c r="H495" i="4"/>
  <c r="E496" i="4"/>
  <c r="D497" i="4"/>
  <c r="F498" i="4"/>
  <c r="M498" i="4"/>
  <c r="E498" i="4"/>
  <c r="K498" i="4"/>
  <c r="E500" i="4"/>
  <c r="B501" i="4"/>
  <c r="L501" i="4"/>
  <c r="G503" i="4"/>
  <c r="K505" i="4"/>
  <c r="C505" i="4"/>
  <c r="J505" i="4"/>
  <c r="B505" i="4"/>
  <c r="M505" i="4"/>
  <c r="B508" i="4"/>
  <c r="G509" i="4"/>
  <c r="F509" i="4"/>
  <c r="K509" i="4"/>
  <c r="C512" i="4"/>
  <c r="M512" i="4"/>
  <c r="B516" i="4"/>
  <c r="G517" i="4"/>
  <c r="F517" i="4"/>
  <c r="K517" i="4"/>
  <c r="C520" i="4"/>
  <c r="M520" i="4"/>
  <c r="B524" i="4"/>
  <c r="G525" i="4"/>
  <c r="F525" i="4"/>
  <c r="K525" i="4"/>
  <c r="C528" i="4"/>
  <c r="M528" i="4"/>
  <c r="B532" i="4"/>
  <c r="G533" i="4"/>
  <c r="F533" i="4"/>
  <c r="K533" i="4"/>
  <c r="C536" i="4"/>
  <c r="M536" i="4"/>
  <c r="B540" i="4"/>
  <c r="G541" i="4"/>
  <c r="F541" i="4"/>
  <c r="K541" i="4"/>
  <c r="C544" i="4"/>
  <c r="M544" i="4"/>
  <c r="B548" i="4"/>
  <c r="G549" i="4"/>
  <c r="F549" i="4"/>
  <c r="K549" i="4"/>
  <c r="C552" i="4"/>
  <c r="M552" i="4"/>
  <c r="B556" i="4"/>
  <c r="G557" i="4"/>
  <c r="F557" i="4"/>
  <c r="K557" i="4"/>
  <c r="C560" i="4"/>
  <c r="M560" i="4"/>
  <c r="B564" i="4"/>
  <c r="G565" i="4"/>
  <c r="F565" i="4"/>
  <c r="K565" i="4"/>
  <c r="C568" i="4"/>
  <c r="M568" i="4"/>
  <c r="B572" i="4"/>
  <c r="G573" i="4"/>
  <c r="F573" i="4"/>
  <c r="K573" i="4"/>
  <c r="C576" i="4"/>
  <c r="M576" i="4"/>
  <c r="B580" i="4"/>
  <c r="G581" i="4"/>
  <c r="F581" i="4"/>
  <c r="K581" i="4"/>
  <c r="C584" i="4"/>
  <c r="M584" i="4"/>
  <c r="B588" i="4"/>
  <c r="G589" i="4"/>
  <c r="F589" i="4"/>
  <c r="K589" i="4"/>
  <c r="C592" i="4"/>
  <c r="M592" i="4"/>
  <c r="B596" i="4"/>
  <c r="G597" i="4"/>
  <c r="F597" i="4"/>
  <c r="K597" i="4"/>
  <c r="C600" i="4"/>
  <c r="M600" i="4"/>
  <c r="E604" i="4"/>
  <c r="I609" i="4"/>
  <c r="E612" i="4"/>
  <c r="I617" i="4"/>
  <c r="E620" i="4"/>
  <c r="I625" i="4"/>
  <c r="E628" i="4"/>
  <c r="I633" i="4"/>
  <c r="E636" i="4"/>
  <c r="I641" i="4"/>
  <c r="E644" i="4"/>
  <c r="I649" i="4"/>
  <c r="E652" i="4"/>
  <c r="K656" i="4"/>
  <c r="C656" i="4"/>
  <c r="J656" i="4"/>
  <c r="B656" i="4"/>
  <c r="H656" i="4"/>
  <c r="G656" i="4"/>
  <c r="D657" i="4"/>
  <c r="G660" i="4"/>
  <c r="F660" i="4"/>
  <c r="L660" i="4"/>
  <c r="D660" i="4"/>
  <c r="K660" i="4"/>
  <c r="C660" i="4"/>
  <c r="K663" i="4"/>
  <c r="G665" i="4"/>
  <c r="H668" i="4"/>
  <c r="B671" i="4"/>
  <c r="K679" i="4"/>
  <c r="G681" i="4"/>
  <c r="H684" i="4"/>
  <c r="B687" i="4"/>
  <c r="K695" i="4"/>
  <c r="G697" i="4"/>
  <c r="H700" i="4"/>
  <c r="B703" i="4"/>
  <c r="K711" i="4"/>
  <c r="G713" i="4"/>
  <c r="H716" i="4"/>
  <c r="B719" i="4"/>
  <c r="K727" i="4"/>
  <c r="G729" i="4"/>
  <c r="H732" i="4"/>
  <c r="B735" i="4"/>
  <c r="K743" i="4"/>
  <c r="G745" i="4"/>
  <c r="H748" i="4"/>
  <c r="B751" i="4"/>
  <c r="K759" i="4"/>
  <c r="G761" i="4"/>
  <c r="H764" i="4"/>
  <c r="B767" i="4"/>
  <c r="K775" i="4"/>
  <c r="G777" i="4"/>
  <c r="H780" i="4"/>
  <c r="B783" i="4"/>
  <c r="K791" i="4"/>
  <c r="G793" i="4"/>
  <c r="H796" i="4"/>
  <c r="B799" i="4"/>
  <c r="K807" i="4"/>
  <c r="G809" i="4"/>
  <c r="H812" i="4"/>
  <c r="B815" i="4"/>
  <c r="K823" i="4"/>
  <c r="G825" i="4"/>
  <c r="H828" i="4"/>
  <c r="B831" i="4"/>
  <c r="G841" i="4"/>
  <c r="H844" i="4"/>
  <c r="B847" i="4"/>
  <c r="G857" i="4"/>
  <c r="H860" i="4"/>
  <c r="B863" i="4"/>
  <c r="G873" i="4"/>
  <c r="H876" i="4"/>
  <c r="B879" i="4"/>
  <c r="G889" i="4"/>
  <c r="H892" i="4"/>
  <c r="B895" i="4"/>
  <c r="G905" i="4"/>
  <c r="H908" i="4"/>
  <c r="B911" i="4"/>
  <c r="G921" i="4"/>
  <c r="H924" i="4"/>
  <c r="B927" i="4"/>
  <c r="G937" i="4"/>
  <c r="H940" i="4"/>
  <c r="B943" i="4"/>
  <c r="G953" i="4"/>
  <c r="H956" i="4"/>
  <c r="B959" i="4"/>
  <c r="J967" i="4"/>
  <c r="F969" i="4"/>
  <c r="M969" i="4"/>
  <c r="E969" i="4"/>
  <c r="L969" i="4"/>
  <c r="D969" i="4"/>
  <c r="K969" i="4"/>
  <c r="C969" i="4"/>
  <c r="J969" i="4"/>
  <c r="B969" i="4"/>
  <c r="B972" i="4"/>
  <c r="H975" i="4"/>
  <c r="G975" i="4"/>
  <c r="F975" i="4"/>
  <c r="M975" i="4"/>
  <c r="E975" i="4"/>
  <c r="L975" i="4"/>
  <c r="D975" i="4"/>
  <c r="J983" i="4"/>
  <c r="F985" i="4"/>
  <c r="M985" i="4"/>
  <c r="E985" i="4"/>
  <c r="L985" i="4"/>
  <c r="D985" i="4"/>
  <c r="K985" i="4"/>
  <c r="C985" i="4"/>
  <c r="J985" i="4"/>
  <c r="B985" i="4"/>
  <c r="B988" i="4"/>
  <c r="H991" i="4"/>
  <c r="G991" i="4"/>
  <c r="F991" i="4"/>
  <c r="M991" i="4"/>
  <c r="E991" i="4"/>
  <c r="L991" i="4"/>
  <c r="D991" i="4"/>
  <c r="J999" i="4"/>
  <c r="F2" i="5"/>
  <c r="M2" i="5"/>
  <c r="E2" i="5"/>
  <c r="L2" i="5"/>
  <c r="D2" i="5"/>
  <c r="K2" i="5"/>
  <c r="C2" i="5"/>
  <c r="J2" i="5"/>
  <c r="B2" i="5"/>
  <c r="B5" i="5"/>
  <c r="H8" i="5"/>
  <c r="G8" i="5"/>
  <c r="F8" i="5"/>
  <c r="M8" i="5"/>
  <c r="E8" i="5"/>
  <c r="L8" i="5"/>
  <c r="D8" i="5"/>
  <c r="J16" i="5"/>
  <c r="F18" i="5"/>
  <c r="M18" i="5"/>
  <c r="E18" i="5"/>
  <c r="L18" i="5"/>
  <c r="D18" i="5"/>
  <c r="K18" i="5"/>
  <c r="C18" i="5"/>
  <c r="J18" i="5"/>
  <c r="B18" i="5"/>
  <c r="B21" i="5"/>
  <c r="H24" i="5"/>
  <c r="G24" i="5"/>
  <c r="F24" i="5"/>
  <c r="M24" i="5"/>
  <c r="E24" i="5"/>
  <c r="L24" i="5"/>
  <c r="D24" i="5"/>
  <c r="J32" i="5"/>
  <c r="F34" i="5"/>
  <c r="M34" i="5"/>
  <c r="E34" i="5"/>
  <c r="L34" i="5"/>
  <c r="D34" i="5"/>
  <c r="K34" i="5"/>
  <c r="C34" i="5"/>
  <c r="J34" i="5"/>
  <c r="B34" i="5"/>
  <c r="B37" i="5"/>
  <c r="H40" i="5"/>
  <c r="G40" i="5"/>
  <c r="F40" i="5"/>
  <c r="M40" i="5"/>
  <c r="E40" i="5"/>
  <c r="L40" i="5"/>
  <c r="D40" i="5"/>
  <c r="J48" i="5"/>
  <c r="F50" i="5"/>
  <c r="M50" i="5"/>
  <c r="E50" i="5"/>
  <c r="L50" i="5"/>
  <c r="D50" i="5"/>
  <c r="K50" i="5"/>
  <c r="C50" i="5"/>
  <c r="J50" i="5"/>
  <c r="B50" i="5"/>
  <c r="B53" i="5"/>
  <c r="H56" i="5"/>
  <c r="G56" i="5"/>
  <c r="F56" i="5"/>
  <c r="M56" i="5"/>
  <c r="E56" i="5"/>
  <c r="L56" i="5"/>
  <c r="D56" i="5"/>
  <c r="J64" i="5"/>
  <c r="F66" i="5"/>
  <c r="M66" i="5"/>
  <c r="E66" i="5"/>
  <c r="L66" i="5"/>
  <c r="D66" i="5"/>
  <c r="K66" i="5"/>
  <c r="C66" i="5"/>
  <c r="J66" i="5"/>
  <c r="B66" i="5"/>
  <c r="B69" i="5"/>
  <c r="H72" i="5"/>
  <c r="G72" i="5"/>
  <c r="F72" i="5"/>
  <c r="M72" i="5"/>
  <c r="E72" i="5"/>
  <c r="L72" i="5"/>
  <c r="D72" i="5"/>
  <c r="J80" i="5"/>
  <c r="F82" i="5"/>
  <c r="M82" i="5"/>
  <c r="E82" i="5"/>
  <c r="L82" i="5"/>
  <c r="D82" i="5"/>
  <c r="K82" i="5"/>
  <c r="C82" i="5"/>
  <c r="J82" i="5"/>
  <c r="B82" i="5"/>
  <c r="B85" i="5"/>
  <c r="H88" i="5"/>
  <c r="G88" i="5"/>
  <c r="F88" i="5"/>
  <c r="M88" i="5"/>
  <c r="E88" i="5"/>
  <c r="L88" i="5"/>
  <c r="D88" i="5"/>
  <c r="K96" i="5"/>
  <c r="I101" i="5"/>
  <c r="B103" i="5"/>
  <c r="D105" i="5"/>
  <c r="C112" i="5"/>
  <c r="F117" i="5"/>
  <c r="H117" i="5"/>
  <c r="G117" i="5"/>
  <c r="E117" i="5"/>
  <c r="M117" i="5"/>
  <c r="D117" i="5"/>
  <c r="L117" i="5"/>
  <c r="C117" i="5"/>
  <c r="J121" i="5"/>
  <c r="B121" i="5"/>
  <c r="I121" i="5"/>
  <c r="H121" i="5"/>
  <c r="G121" i="5"/>
  <c r="F121" i="5"/>
  <c r="E121" i="5"/>
  <c r="H124" i="5"/>
  <c r="G128" i="5"/>
  <c r="I128" i="5"/>
  <c r="H128" i="5"/>
  <c r="F128" i="5"/>
  <c r="E128" i="5"/>
  <c r="M128" i="5"/>
  <c r="D128" i="5"/>
  <c r="I131" i="5"/>
  <c r="B136" i="5"/>
  <c r="J144" i="5"/>
  <c r="M154" i="5"/>
  <c r="E154" i="5"/>
  <c r="L154" i="5"/>
  <c r="D154" i="5"/>
  <c r="J154" i="5"/>
  <c r="I154" i="5"/>
  <c r="H154" i="5"/>
  <c r="G154" i="5"/>
  <c r="F154" i="5"/>
  <c r="L155" i="5"/>
  <c r="J163" i="5"/>
  <c r="J170" i="5"/>
  <c r="C179" i="5"/>
  <c r="J187" i="5"/>
  <c r="B187" i="5"/>
  <c r="H187" i="5"/>
  <c r="G187" i="5"/>
  <c r="K187" i="5"/>
  <c r="I187" i="5"/>
  <c r="F187" i="5"/>
  <c r="E187" i="5"/>
  <c r="D187" i="5"/>
  <c r="K189" i="5"/>
  <c r="G194" i="5"/>
  <c r="M194" i="5"/>
  <c r="E194" i="5"/>
  <c r="L194" i="5"/>
  <c r="D194" i="5"/>
  <c r="I194" i="5"/>
  <c r="H194" i="5"/>
  <c r="F194" i="5"/>
  <c r="C194" i="5"/>
  <c r="B194" i="5"/>
  <c r="K197" i="5"/>
  <c r="M215" i="5"/>
  <c r="H221" i="5"/>
  <c r="F221" i="5"/>
  <c r="M221" i="5"/>
  <c r="E221" i="5"/>
  <c r="K221" i="5"/>
  <c r="C221" i="5"/>
  <c r="L221" i="5"/>
  <c r="J221" i="5"/>
  <c r="I221" i="5"/>
  <c r="G221" i="5"/>
  <c r="J259" i="5"/>
  <c r="B259" i="5"/>
  <c r="H259" i="5"/>
  <c r="G259" i="5"/>
  <c r="M259" i="5"/>
  <c r="E259" i="5"/>
  <c r="L259" i="5"/>
  <c r="K259" i="5"/>
  <c r="I259" i="5"/>
  <c r="F259" i="5"/>
  <c r="C267" i="5"/>
  <c r="B285" i="5"/>
  <c r="F308" i="5"/>
  <c r="B351" i="5"/>
  <c r="C374" i="5"/>
  <c r="L435" i="5"/>
  <c r="D435" i="5"/>
  <c r="H435" i="5"/>
  <c r="I435" i="5"/>
  <c r="G435" i="5"/>
  <c r="F435" i="5"/>
  <c r="E435" i="5"/>
  <c r="M435" i="5"/>
  <c r="B435" i="5"/>
  <c r="K435" i="5"/>
  <c r="J435" i="5"/>
  <c r="F465" i="5"/>
  <c r="J465" i="5"/>
  <c r="B465" i="5"/>
  <c r="G465" i="5"/>
  <c r="E465" i="5"/>
  <c r="D465" i="5"/>
  <c r="M465" i="5"/>
  <c r="C465" i="5"/>
  <c r="K465" i="5"/>
  <c r="L465" i="5"/>
  <c r="I465" i="5"/>
  <c r="H472" i="5"/>
  <c r="G475" i="5"/>
  <c r="J493" i="5"/>
  <c r="B493" i="5"/>
  <c r="F493" i="5"/>
  <c r="G493" i="5"/>
  <c r="E493" i="5"/>
  <c r="D493" i="5"/>
  <c r="M493" i="5"/>
  <c r="C493" i="5"/>
  <c r="K493" i="5"/>
  <c r="L493" i="5"/>
  <c r="F697" i="5"/>
  <c r="M697" i="5"/>
  <c r="E697" i="5"/>
  <c r="L697" i="5"/>
  <c r="D697" i="5"/>
  <c r="J697" i="5"/>
  <c r="B697" i="5"/>
  <c r="G697" i="5"/>
  <c r="K697" i="5"/>
  <c r="I697" i="5"/>
  <c r="C697" i="5"/>
  <c r="G732" i="5"/>
  <c r="F732" i="5"/>
  <c r="M732" i="5"/>
  <c r="E732" i="5"/>
  <c r="L732" i="5"/>
  <c r="D732" i="5"/>
  <c r="K732" i="5"/>
  <c r="C732" i="5"/>
  <c r="H732" i="5"/>
  <c r="J732" i="5"/>
  <c r="I732" i="5"/>
  <c r="B732" i="5"/>
  <c r="G748" i="5"/>
  <c r="F748" i="5"/>
  <c r="M748" i="5"/>
  <c r="E748" i="5"/>
  <c r="L748" i="5"/>
  <c r="D748" i="5"/>
  <c r="K748" i="5"/>
  <c r="C748" i="5"/>
  <c r="H748" i="5"/>
  <c r="J748" i="5"/>
  <c r="B748" i="5"/>
  <c r="I748" i="5"/>
  <c r="G876" i="5"/>
  <c r="F876" i="5"/>
  <c r="M876" i="5"/>
  <c r="E876" i="5"/>
  <c r="L876" i="5"/>
  <c r="D876" i="5"/>
  <c r="K876" i="5"/>
  <c r="C876" i="5"/>
  <c r="H876" i="5"/>
  <c r="J876" i="5"/>
  <c r="B876" i="5"/>
  <c r="F929" i="5"/>
  <c r="M929" i="5"/>
  <c r="E929" i="5"/>
  <c r="L929" i="5"/>
  <c r="D929" i="5"/>
  <c r="K929" i="5"/>
  <c r="C929" i="5"/>
  <c r="J929" i="5"/>
  <c r="B929" i="5"/>
  <c r="G929" i="5"/>
  <c r="I929" i="5"/>
  <c r="B236" i="4"/>
  <c r="B244" i="4"/>
  <c r="B252" i="4"/>
  <c r="B260" i="4"/>
  <c r="B268" i="4"/>
  <c r="B276" i="4"/>
  <c r="B284" i="4"/>
  <c r="B292" i="4"/>
  <c r="B300" i="4"/>
  <c r="I305" i="4"/>
  <c r="I309" i="4"/>
  <c r="B311" i="4"/>
  <c r="H312" i="4"/>
  <c r="G312" i="4"/>
  <c r="K312" i="4"/>
  <c r="H313" i="4"/>
  <c r="I317" i="4"/>
  <c r="B319" i="4"/>
  <c r="H320" i="4"/>
  <c r="G320" i="4"/>
  <c r="K320" i="4"/>
  <c r="H321" i="4"/>
  <c r="I325" i="4"/>
  <c r="B327" i="4"/>
  <c r="H328" i="4"/>
  <c r="G328" i="4"/>
  <c r="K328" i="4"/>
  <c r="H329" i="4"/>
  <c r="I333" i="4"/>
  <c r="B335" i="4"/>
  <c r="H336" i="4"/>
  <c r="G336" i="4"/>
  <c r="K336" i="4"/>
  <c r="H337" i="4"/>
  <c r="I341" i="4"/>
  <c r="B343" i="4"/>
  <c r="H344" i="4"/>
  <c r="G344" i="4"/>
  <c r="K344" i="4"/>
  <c r="H345" i="4"/>
  <c r="I349" i="4"/>
  <c r="B351" i="4"/>
  <c r="H352" i="4"/>
  <c r="G352" i="4"/>
  <c r="K352" i="4"/>
  <c r="H353" i="4"/>
  <c r="I357" i="4"/>
  <c r="B359" i="4"/>
  <c r="H360" i="4"/>
  <c r="G360" i="4"/>
  <c r="K360" i="4"/>
  <c r="H361" i="4"/>
  <c r="I365" i="4"/>
  <c r="B367" i="4"/>
  <c r="H368" i="4"/>
  <c r="G368" i="4"/>
  <c r="K368" i="4"/>
  <c r="H369" i="4"/>
  <c r="I373" i="4"/>
  <c r="B375" i="4"/>
  <c r="H376" i="4"/>
  <c r="G376" i="4"/>
  <c r="K376" i="4"/>
  <c r="H377" i="4"/>
  <c r="I381" i="4"/>
  <c r="B383" i="4"/>
  <c r="H384" i="4"/>
  <c r="G384" i="4"/>
  <c r="K384" i="4"/>
  <c r="H385" i="4"/>
  <c r="I389" i="4"/>
  <c r="H392" i="4"/>
  <c r="G392" i="4"/>
  <c r="K392" i="4"/>
  <c r="H393" i="4"/>
  <c r="I397" i="4"/>
  <c r="I400" i="4"/>
  <c r="F401" i="4"/>
  <c r="C402" i="4"/>
  <c r="H404" i="4"/>
  <c r="I408" i="4"/>
  <c r="F409" i="4"/>
  <c r="C410" i="4"/>
  <c r="H412" i="4"/>
  <c r="I416" i="4"/>
  <c r="F417" i="4"/>
  <c r="C418" i="4"/>
  <c r="H420" i="4"/>
  <c r="I424" i="4"/>
  <c r="F425" i="4"/>
  <c r="C426" i="4"/>
  <c r="H428" i="4"/>
  <c r="I432" i="4"/>
  <c r="F433" i="4"/>
  <c r="C434" i="4"/>
  <c r="H436" i="4"/>
  <c r="I440" i="4"/>
  <c r="F441" i="4"/>
  <c r="C442" i="4"/>
  <c r="H444" i="4"/>
  <c r="I448" i="4"/>
  <c r="F449" i="4"/>
  <c r="C450" i="4"/>
  <c r="H452" i="4"/>
  <c r="I456" i="4"/>
  <c r="F457" i="4"/>
  <c r="C458" i="4"/>
  <c r="H460" i="4"/>
  <c r="I464" i="4"/>
  <c r="F465" i="4"/>
  <c r="C466" i="4"/>
  <c r="H468" i="4"/>
  <c r="I472" i="4"/>
  <c r="F473" i="4"/>
  <c r="C474" i="4"/>
  <c r="H476" i="4"/>
  <c r="I480" i="4"/>
  <c r="F481" i="4"/>
  <c r="C482" i="4"/>
  <c r="H484" i="4"/>
  <c r="I488" i="4"/>
  <c r="F489" i="4"/>
  <c r="C490" i="4"/>
  <c r="D493" i="4"/>
  <c r="I495" i="4"/>
  <c r="F496" i="4"/>
  <c r="E497" i="4"/>
  <c r="B498" i="4"/>
  <c r="L498" i="4"/>
  <c r="F500" i="4"/>
  <c r="C501" i="4"/>
  <c r="M501" i="4"/>
  <c r="H503" i="4"/>
  <c r="D505" i="4"/>
  <c r="F506" i="4"/>
  <c r="M506" i="4"/>
  <c r="E506" i="4"/>
  <c r="K506" i="4"/>
  <c r="E508" i="4"/>
  <c r="B509" i="4"/>
  <c r="L509" i="4"/>
  <c r="D512" i="4"/>
  <c r="K513" i="4"/>
  <c r="C513" i="4"/>
  <c r="J513" i="4"/>
  <c r="B513" i="4"/>
  <c r="M513" i="4"/>
  <c r="E516" i="4"/>
  <c r="B517" i="4"/>
  <c r="L517" i="4"/>
  <c r="D520" i="4"/>
  <c r="K521" i="4"/>
  <c r="C521" i="4"/>
  <c r="J521" i="4"/>
  <c r="B521" i="4"/>
  <c r="M521" i="4"/>
  <c r="E524" i="4"/>
  <c r="B525" i="4"/>
  <c r="L525" i="4"/>
  <c r="D528" i="4"/>
  <c r="K529" i="4"/>
  <c r="C529" i="4"/>
  <c r="J529" i="4"/>
  <c r="B529" i="4"/>
  <c r="M529" i="4"/>
  <c r="E532" i="4"/>
  <c r="B533" i="4"/>
  <c r="L533" i="4"/>
  <c r="D536" i="4"/>
  <c r="K537" i="4"/>
  <c r="C537" i="4"/>
  <c r="J537" i="4"/>
  <c r="B537" i="4"/>
  <c r="M537" i="4"/>
  <c r="E540" i="4"/>
  <c r="B541" i="4"/>
  <c r="L541" i="4"/>
  <c r="D544" i="4"/>
  <c r="K545" i="4"/>
  <c r="C545" i="4"/>
  <c r="J545" i="4"/>
  <c r="B545" i="4"/>
  <c r="M545" i="4"/>
  <c r="E548" i="4"/>
  <c r="B549" i="4"/>
  <c r="L549" i="4"/>
  <c r="D552" i="4"/>
  <c r="K553" i="4"/>
  <c r="C553" i="4"/>
  <c r="J553" i="4"/>
  <c r="B553" i="4"/>
  <c r="M553" i="4"/>
  <c r="E556" i="4"/>
  <c r="B557" i="4"/>
  <c r="L557" i="4"/>
  <c r="D560" i="4"/>
  <c r="K561" i="4"/>
  <c r="C561" i="4"/>
  <c r="J561" i="4"/>
  <c r="B561" i="4"/>
  <c r="M561" i="4"/>
  <c r="E564" i="4"/>
  <c r="B565" i="4"/>
  <c r="L565" i="4"/>
  <c r="D568" i="4"/>
  <c r="K569" i="4"/>
  <c r="C569" i="4"/>
  <c r="J569" i="4"/>
  <c r="B569" i="4"/>
  <c r="M569" i="4"/>
  <c r="E572" i="4"/>
  <c r="B573" i="4"/>
  <c r="L573" i="4"/>
  <c r="D576" i="4"/>
  <c r="K577" i="4"/>
  <c r="C577" i="4"/>
  <c r="J577" i="4"/>
  <c r="B577" i="4"/>
  <c r="M577" i="4"/>
  <c r="E580" i="4"/>
  <c r="B581" i="4"/>
  <c r="L581" i="4"/>
  <c r="D584" i="4"/>
  <c r="K585" i="4"/>
  <c r="C585" i="4"/>
  <c r="J585" i="4"/>
  <c r="B585" i="4"/>
  <c r="M585" i="4"/>
  <c r="E588" i="4"/>
  <c r="B589" i="4"/>
  <c r="L589" i="4"/>
  <c r="D592" i="4"/>
  <c r="K593" i="4"/>
  <c r="C593" i="4"/>
  <c r="J593" i="4"/>
  <c r="B593" i="4"/>
  <c r="M593" i="4"/>
  <c r="E596" i="4"/>
  <c r="L597" i="4"/>
  <c r="D600" i="4"/>
  <c r="K601" i="4"/>
  <c r="C601" i="4"/>
  <c r="J601" i="4"/>
  <c r="B601" i="4"/>
  <c r="M601" i="4"/>
  <c r="G604" i="4"/>
  <c r="L609" i="4"/>
  <c r="G612" i="4"/>
  <c r="L617" i="4"/>
  <c r="G620" i="4"/>
  <c r="L625" i="4"/>
  <c r="G628" i="4"/>
  <c r="L633" i="4"/>
  <c r="G636" i="4"/>
  <c r="L641" i="4"/>
  <c r="G644" i="4"/>
  <c r="L649" i="4"/>
  <c r="H652" i="4"/>
  <c r="H655" i="4"/>
  <c r="G655" i="4"/>
  <c r="M655" i="4"/>
  <c r="E655" i="4"/>
  <c r="L655" i="4"/>
  <c r="D655" i="4"/>
  <c r="G657" i="4"/>
  <c r="H665" i="4"/>
  <c r="I668" i="4"/>
  <c r="C671" i="4"/>
  <c r="H681" i="4"/>
  <c r="I684" i="4"/>
  <c r="C687" i="4"/>
  <c r="H697" i="4"/>
  <c r="I700" i="4"/>
  <c r="C703" i="4"/>
  <c r="H713" i="4"/>
  <c r="I716" i="4"/>
  <c r="C719" i="4"/>
  <c r="H729" i="4"/>
  <c r="I732" i="4"/>
  <c r="C735" i="4"/>
  <c r="H745" i="4"/>
  <c r="I748" i="4"/>
  <c r="C751" i="4"/>
  <c r="H761" i="4"/>
  <c r="I764" i="4"/>
  <c r="C767" i="4"/>
  <c r="H777" i="4"/>
  <c r="I780" i="4"/>
  <c r="C783" i="4"/>
  <c r="H793" i="4"/>
  <c r="I796" i="4"/>
  <c r="C799" i="4"/>
  <c r="H809" i="4"/>
  <c r="I812" i="4"/>
  <c r="C815" i="4"/>
  <c r="H825" i="4"/>
  <c r="I828" i="4"/>
  <c r="C831" i="4"/>
  <c r="H841" i="4"/>
  <c r="I844" i="4"/>
  <c r="C847" i="4"/>
  <c r="H857" i="4"/>
  <c r="I860" i="4"/>
  <c r="C863" i="4"/>
  <c r="H873" i="4"/>
  <c r="I876" i="4"/>
  <c r="C879" i="4"/>
  <c r="H889" i="4"/>
  <c r="I892" i="4"/>
  <c r="C895" i="4"/>
  <c r="H905" i="4"/>
  <c r="I908" i="4"/>
  <c r="C911" i="4"/>
  <c r="H921" i="4"/>
  <c r="I924" i="4"/>
  <c r="C927" i="4"/>
  <c r="H937" i="4"/>
  <c r="I940" i="4"/>
  <c r="C943" i="4"/>
  <c r="H953" i="4"/>
  <c r="I956" i="4"/>
  <c r="C959" i="4"/>
  <c r="K967" i="4"/>
  <c r="G969" i="4"/>
  <c r="H972" i="4"/>
  <c r="B975" i="4"/>
  <c r="K983" i="4"/>
  <c r="G985" i="4"/>
  <c r="H988" i="4"/>
  <c r="B991" i="4"/>
  <c r="K999" i="4"/>
  <c r="G2" i="5"/>
  <c r="H5" i="5"/>
  <c r="B8" i="5"/>
  <c r="K16" i="5"/>
  <c r="G18" i="5"/>
  <c r="H21" i="5"/>
  <c r="B24" i="5"/>
  <c r="K32" i="5"/>
  <c r="G34" i="5"/>
  <c r="H37" i="5"/>
  <c r="B40" i="5"/>
  <c r="K48" i="5"/>
  <c r="G50" i="5"/>
  <c r="H53" i="5"/>
  <c r="B56" i="5"/>
  <c r="K64" i="5"/>
  <c r="G66" i="5"/>
  <c r="H69" i="5"/>
  <c r="B72" i="5"/>
  <c r="K80" i="5"/>
  <c r="G82" i="5"/>
  <c r="H85" i="5"/>
  <c r="B88" i="5"/>
  <c r="L96" i="5"/>
  <c r="J101" i="5"/>
  <c r="I103" i="5"/>
  <c r="K105" i="5"/>
  <c r="J112" i="5"/>
  <c r="B117" i="5"/>
  <c r="L119" i="5"/>
  <c r="D119" i="5"/>
  <c r="H119" i="5"/>
  <c r="G119" i="5"/>
  <c r="F119" i="5"/>
  <c r="E119" i="5"/>
  <c r="M119" i="5"/>
  <c r="C119" i="5"/>
  <c r="C121" i="5"/>
  <c r="I124" i="5"/>
  <c r="B128" i="5"/>
  <c r="J131" i="5"/>
  <c r="J136" i="5"/>
  <c r="K144" i="5"/>
  <c r="H147" i="5"/>
  <c r="G147" i="5"/>
  <c r="J147" i="5"/>
  <c r="I147" i="5"/>
  <c r="F147" i="5"/>
  <c r="E147" i="5"/>
  <c r="D147" i="5"/>
  <c r="B154" i="5"/>
  <c r="K163" i="5"/>
  <c r="K170" i="5"/>
  <c r="D179" i="5"/>
  <c r="C187" i="5"/>
  <c r="L189" i="5"/>
  <c r="J194" i="5"/>
  <c r="L197" i="5"/>
  <c r="B221" i="5"/>
  <c r="C259" i="5"/>
  <c r="M268" i="5"/>
  <c r="E268" i="5"/>
  <c r="K268" i="5"/>
  <c r="C268" i="5"/>
  <c r="J268" i="5"/>
  <c r="B268" i="5"/>
  <c r="H268" i="5"/>
  <c r="L268" i="5"/>
  <c r="I268" i="5"/>
  <c r="G268" i="5"/>
  <c r="D285" i="5"/>
  <c r="G298" i="5"/>
  <c r="F298" i="5"/>
  <c r="M298" i="5"/>
  <c r="E298" i="5"/>
  <c r="L298" i="5"/>
  <c r="D298" i="5"/>
  <c r="J298" i="5"/>
  <c r="B298" i="5"/>
  <c r="K298" i="5"/>
  <c r="I298" i="5"/>
  <c r="H298" i="5"/>
  <c r="G308" i="5"/>
  <c r="H317" i="5"/>
  <c r="G317" i="5"/>
  <c r="F317" i="5"/>
  <c r="M317" i="5"/>
  <c r="E317" i="5"/>
  <c r="K317" i="5"/>
  <c r="C317" i="5"/>
  <c r="L317" i="5"/>
  <c r="J317" i="5"/>
  <c r="I317" i="5"/>
  <c r="M340" i="5"/>
  <c r="E340" i="5"/>
  <c r="L340" i="5"/>
  <c r="D340" i="5"/>
  <c r="K340" i="5"/>
  <c r="C340" i="5"/>
  <c r="J340" i="5"/>
  <c r="B340" i="5"/>
  <c r="H340" i="5"/>
  <c r="I340" i="5"/>
  <c r="D351" i="5"/>
  <c r="K392" i="5"/>
  <c r="C392" i="5"/>
  <c r="I392" i="5"/>
  <c r="H392" i="5"/>
  <c r="G392" i="5"/>
  <c r="F392" i="5"/>
  <c r="M392" i="5"/>
  <c r="D392" i="5"/>
  <c r="L392" i="5"/>
  <c r="J392" i="5"/>
  <c r="E392" i="5"/>
  <c r="B392" i="5"/>
  <c r="K424" i="5"/>
  <c r="C424" i="5"/>
  <c r="I424" i="5"/>
  <c r="H424" i="5"/>
  <c r="G424" i="5"/>
  <c r="F424" i="5"/>
  <c r="M424" i="5"/>
  <c r="D424" i="5"/>
  <c r="L424" i="5"/>
  <c r="J424" i="5"/>
  <c r="C435" i="5"/>
  <c r="K440" i="5"/>
  <c r="C440" i="5"/>
  <c r="G440" i="5"/>
  <c r="F440" i="5"/>
  <c r="E440" i="5"/>
  <c r="D440" i="5"/>
  <c r="M440" i="5"/>
  <c r="B440" i="5"/>
  <c r="J440" i="5"/>
  <c r="L440" i="5"/>
  <c r="L443" i="5"/>
  <c r="D443" i="5"/>
  <c r="H443" i="5"/>
  <c r="F443" i="5"/>
  <c r="E443" i="5"/>
  <c r="C443" i="5"/>
  <c r="M443" i="5"/>
  <c r="B443" i="5"/>
  <c r="J443" i="5"/>
  <c r="K443" i="5"/>
  <c r="I443" i="5"/>
  <c r="H465" i="5"/>
  <c r="I472" i="5"/>
  <c r="H493" i="5"/>
  <c r="H551" i="5"/>
  <c r="G551" i="5"/>
  <c r="L551" i="5"/>
  <c r="D551" i="5"/>
  <c r="J551" i="5"/>
  <c r="I551" i="5"/>
  <c r="F551" i="5"/>
  <c r="E551" i="5"/>
  <c r="B551" i="5"/>
  <c r="M551" i="5"/>
  <c r="K551" i="5"/>
  <c r="H697" i="5"/>
  <c r="G860" i="5"/>
  <c r="F860" i="5"/>
  <c r="M860" i="5"/>
  <c r="E860" i="5"/>
  <c r="L860" i="5"/>
  <c r="D860" i="5"/>
  <c r="K860" i="5"/>
  <c r="C860" i="5"/>
  <c r="H860" i="5"/>
  <c r="J860" i="5"/>
  <c r="I860" i="5"/>
  <c r="B860" i="5"/>
  <c r="I876" i="5"/>
  <c r="H929" i="5"/>
  <c r="A77" i="7"/>
  <c r="G77" i="6"/>
  <c r="F77" i="6"/>
  <c r="M77" i="6"/>
  <c r="E77" i="6"/>
  <c r="L77" i="6"/>
  <c r="D77" i="6"/>
  <c r="K77" i="6"/>
  <c r="C77" i="6"/>
  <c r="H77" i="6"/>
  <c r="I77" i="6"/>
  <c r="A98" i="7"/>
  <c r="F98" i="6"/>
  <c r="M98" i="6"/>
  <c r="E98" i="6"/>
  <c r="L98" i="6"/>
  <c r="D98" i="6"/>
  <c r="K98" i="6"/>
  <c r="C98" i="6"/>
  <c r="J98" i="6"/>
  <c r="B98" i="6"/>
  <c r="G98" i="6"/>
  <c r="I98" i="6"/>
  <c r="H98" i="6"/>
  <c r="A108" i="7"/>
  <c r="F108" i="6"/>
  <c r="L108" i="6"/>
  <c r="D108" i="6"/>
  <c r="I108" i="6"/>
  <c r="H108" i="6"/>
  <c r="G108" i="6"/>
  <c r="E108" i="6"/>
  <c r="C108" i="6"/>
  <c r="J108" i="6"/>
  <c r="M108" i="6"/>
  <c r="B108" i="6"/>
  <c r="A169" i="7"/>
  <c r="M169" i="6"/>
  <c r="E169" i="6"/>
  <c r="K169" i="6"/>
  <c r="C169" i="6"/>
  <c r="J169" i="6"/>
  <c r="B169" i="6"/>
  <c r="L169" i="6"/>
  <c r="I169" i="6"/>
  <c r="H169" i="6"/>
  <c r="G169" i="6"/>
  <c r="F169" i="6"/>
  <c r="D169" i="6"/>
  <c r="H307" i="4"/>
  <c r="I310" i="4"/>
  <c r="H315" i="4"/>
  <c r="I318" i="4"/>
  <c r="H323" i="4"/>
  <c r="I326" i="4"/>
  <c r="H331" i="4"/>
  <c r="I334" i="4"/>
  <c r="H339" i="4"/>
  <c r="I342" i="4"/>
  <c r="H347" i="4"/>
  <c r="I350" i="4"/>
  <c r="H355" i="4"/>
  <c r="I358" i="4"/>
  <c r="H363" i="4"/>
  <c r="I366" i="4"/>
  <c r="H371" i="4"/>
  <c r="I374" i="4"/>
  <c r="H379" i="4"/>
  <c r="I382" i="4"/>
  <c r="H387" i="4"/>
  <c r="I390" i="4"/>
  <c r="H395" i="4"/>
  <c r="H403" i="4"/>
  <c r="I406" i="4"/>
  <c r="H411" i="4"/>
  <c r="I414" i="4"/>
  <c r="H419" i="4"/>
  <c r="I422" i="4"/>
  <c r="H427" i="4"/>
  <c r="I430" i="4"/>
  <c r="H435" i="4"/>
  <c r="I438" i="4"/>
  <c r="H443" i="4"/>
  <c r="I446" i="4"/>
  <c r="H451" i="4"/>
  <c r="I454" i="4"/>
  <c r="H459" i="4"/>
  <c r="I462" i="4"/>
  <c r="H467" i="4"/>
  <c r="I470" i="4"/>
  <c r="H475" i="4"/>
  <c r="I478" i="4"/>
  <c r="H483" i="4"/>
  <c r="I486" i="4"/>
  <c r="I494" i="4"/>
  <c r="I502" i="4"/>
  <c r="I510" i="4"/>
  <c r="H515" i="4"/>
  <c r="I518" i="4"/>
  <c r="H523" i="4"/>
  <c r="I526" i="4"/>
  <c r="H531" i="4"/>
  <c r="I534" i="4"/>
  <c r="H539" i="4"/>
  <c r="I542" i="4"/>
  <c r="H547" i="4"/>
  <c r="I550" i="4"/>
  <c r="H555" i="4"/>
  <c r="I558" i="4"/>
  <c r="H563" i="4"/>
  <c r="I566" i="4"/>
  <c r="H571" i="4"/>
  <c r="I574" i="4"/>
  <c r="H579" i="4"/>
  <c r="I582" i="4"/>
  <c r="H587" i="4"/>
  <c r="I590" i="4"/>
  <c r="H595" i="4"/>
  <c r="I598" i="4"/>
  <c r="H603" i="4"/>
  <c r="F605" i="4"/>
  <c r="I606" i="4"/>
  <c r="H611" i="4"/>
  <c r="F613" i="4"/>
  <c r="I614" i="4"/>
  <c r="H619" i="4"/>
  <c r="F621" i="4"/>
  <c r="I622" i="4"/>
  <c r="H627" i="4"/>
  <c r="F629" i="4"/>
  <c r="I630" i="4"/>
  <c r="H635" i="4"/>
  <c r="F637" i="4"/>
  <c r="I638" i="4"/>
  <c r="H643" i="4"/>
  <c r="F645" i="4"/>
  <c r="I646" i="4"/>
  <c r="H651" i="4"/>
  <c r="F653" i="4"/>
  <c r="I654" i="4"/>
  <c r="E658" i="4"/>
  <c r="M658" i="4"/>
  <c r="H659" i="4"/>
  <c r="F661" i="4"/>
  <c r="I662" i="4"/>
  <c r="G664" i="4"/>
  <c r="E666" i="4"/>
  <c r="M666" i="4"/>
  <c r="H667" i="4"/>
  <c r="F669" i="4"/>
  <c r="I670" i="4"/>
  <c r="G672" i="4"/>
  <c r="E674" i="4"/>
  <c r="M674" i="4"/>
  <c r="H675" i="4"/>
  <c r="F677" i="4"/>
  <c r="I678" i="4"/>
  <c r="G680" i="4"/>
  <c r="E682" i="4"/>
  <c r="M682" i="4"/>
  <c r="H683" i="4"/>
  <c r="F685" i="4"/>
  <c r="I686" i="4"/>
  <c r="G688" i="4"/>
  <c r="E690" i="4"/>
  <c r="M690" i="4"/>
  <c r="H691" i="4"/>
  <c r="F693" i="4"/>
  <c r="I694" i="4"/>
  <c r="G696" i="4"/>
  <c r="E698" i="4"/>
  <c r="M698" i="4"/>
  <c r="H699" i="4"/>
  <c r="F701" i="4"/>
  <c r="I702" i="4"/>
  <c r="G704" i="4"/>
  <c r="E706" i="4"/>
  <c r="M706" i="4"/>
  <c r="H707" i="4"/>
  <c r="F709" i="4"/>
  <c r="I710" i="4"/>
  <c r="G712" i="4"/>
  <c r="E714" i="4"/>
  <c r="M714" i="4"/>
  <c r="H715" i="4"/>
  <c r="F717" i="4"/>
  <c r="I718" i="4"/>
  <c r="G720" i="4"/>
  <c r="E722" i="4"/>
  <c r="M722" i="4"/>
  <c r="H723" i="4"/>
  <c r="F725" i="4"/>
  <c r="I726" i="4"/>
  <c r="G728" i="4"/>
  <c r="E730" i="4"/>
  <c r="M730" i="4"/>
  <c r="H731" i="4"/>
  <c r="F733" i="4"/>
  <c r="I734" i="4"/>
  <c r="G736" i="4"/>
  <c r="E738" i="4"/>
  <c r="M738" i="4"/>
  <c r="H739" i="4"/>
  <c r="F741" i="4"/>
  <c r="I742" i="4"/>
  <c r="G744" i="4"/>
  <c r="E746" i="4"/>
  <c r="M746" i="4"/>
  <c r="H747" i="4"/>
  <c r="F749" i="4"/>
  <c r="I750" i="4"/>
  <c r="G752" i="4"/>
  <c r="E754" i="4"/>
  <c r="M754" i="4"/>
  <c r="H755" i="4"/>
  <c r="F757" i="4"/>
  <c r="I758" i="4"/>
  <c r="G760" i="4"/>
  <c r="E762" i="4"/>
  <c r="M762" i="4"/>
  <c r="H763" i="4"/>
  <c r="F765" i="4"/>
  <c r="I766" i="4"/>
  <c r="G768" i="4"/>
  <c r="E770" i="4"/>
  <c r="M770" i="4"/>
  <c r="H771" i="4"/>
  <c r="F773" i="4"/>
  <c r="I774" i="4"/>
  <c r="G776" i="4"/>
  <c r="E778" i="4"/>
  <c r="M778" i="4"/>
  <c r="H779" i="4"/>
  <c r="F781" i="4"/>
  <c r="I782" i="4"/>
  <c r="G784" i="4"/>
  <c r="E786" i="4"/>
  <c r="M786" i="4"/>
  <c r="H787" i="4"/>
  <c r="F789" i="4"/>
  <c r="I790" i="4"/>
  <c r="G792" i="4"/>
  <c r="E794" i="4"/>
  <c r="M794" i="4"/>
  <c r="H795" i="4"/>
  <c r="F797" i="4"/>
  <c r="I798" i="4"/>
  <c r="G800" i="4"/>
  <c r="E802" i="4"/>
  <c r="M802" i="4"/>
  <c r="H803" i="4"/>
  <c r="F805" i="4"/>
  <c r="I806" i="4"/>
  <c r="G808" i="4"/>
  <c r="E810" i="4"/>
  <c r="M810" i="4"/>
  <c r="H811" i="4"/>
  <c r="F813" i="4"/>
  <c r="I814" i="4"/>
  <c r="G816" i="4"/>
  <c r="E818" i="4"/>
  <c r="M818" i="4"/>
  <c r="H819" i="4"/>
  <c r="F821" i="4"/>
  <c r="I822" i="4"/>
  <c r="G824" i="4"/>
  <c r="E826" i="4"/>
  <c r="M826" i="4"/>
  <c r="H827" i="4"/>
  <c r="F829" i="4"/>
  <c r="I830" i="4"/>
  <c r="G832" i="4"/>
  <c r="E834" i="4"/>
  <c r="M834" i="4"/>
  <c r="H835" i="4"/>
  <c r="F837" i="4"/>
  <c r="I838" i="4"/>
  <c r="G840" i="4"/>
  <c r="E842" i="4"/>
  <c r="M842" i="4"/>
  <c r="H843" i="4"/>
  <c r="F845" i="4"/>
  <c r="I846" i="4"/>
  <c r="G848" i="4"/>
  <c r="E850" i="4"/>
  <c r="M850" i="4"/>
  <c r="H851" i="4"/>
  <c r="F853" i="4"/>
  <c r="I854" i="4"/>
  <c r="G856" i="4"/>
  <c r="E858" i="4"/>
  <c r="M858" i="4"/>
  <c r="H859" i="4"/>
  <c r="F861" i="4"/>
  <c r="I862" i="4"/>
  <c r="G864" i="4"/>
  <c r="E866" i="4"/>
  <c r="M866" i="4"/>
  <c r="H867" i="4"/>
  <c r="F869" i="4"/>
  <c r="I870" i="4"/>
  <c r="G872" i="4"/>
  <c r="E874" i="4"/>
  <c r="M874" i="4"/>
  <c r="H875" i="4"/>
  <c r="F877" i="4"/>
  <c r="I878" i="4"/>
  <c r="G880" i="4"/>
  <c r="E882" i="4"/>
  <c r="M882" i="4"/>
  <c r="H883" i="4"/>
  <c r="F885" i="4"/>
  <c r="I886" i="4"/>
  <c r="G888" i="4"/>
  <c r="E890" i="4"/>
  <c r="M890" i="4"/>
  <c r="H891" i="4"/>
  <c r="F893" i="4"/>
  <c r="I894" i="4"/>
  <c r="G896" i="4"/>
  <c r="E898" i="4"/>
  <c r="M898" i="4"/>
  <c r="H899" i="4"/>
  <c r="F901" i="4"/>
  <c r="I902" i="4"/>
  <c r="G904" i="4"/>
  <c r="E906" i="4"/>
  <c r="M906" i="4"/>
  <c r="H907" i="4"/>
  <c r="F909" i="4"/>
  <c r="I910" i="4"/>
  <c r="G912" i="4"/>
  <c r="E914" i="4"/>
  <c r="M914" i="4"/>
  <c r="H915" i="4"/>
  <c r="F917" i="4"/>
  <c r="I918" i="4"/>
  <c r="G920" i="4"/>
  <c r="E922" i="4"/>
  <c r="M922" i="4"/>
  <c r="H923" i="4"/>
  <c r="F925" i="4"/>
  <c r="I926" i="4"/>
  <c r="G928" i="4"/>
  <c r="E930" i="4"/>
  <c r="M930" i="4"/>
  <c r="H931" i="4"/>
  <c r="F933" i="4"/>
  <c r="I934" i="4"/>
  <c r="G936" i="4"/>
  <c r="E938" i="4"/>
  <c r="M938" i="4"/>
  <c r="H939" i="4"/>
  <c r="F941" i="4"/>
  <c r="I942" i="4"/>
  <c r="G944" i="4"/>
  <c r="E946" i="4"/>
  <c r="M946" i="4"/>
  <c r="H947" i="4"/>
  <c r="F949" i="4"/>
  <c r="I950" i="4"/>
  <c r="G952" i="4"/>
  <c r="E954" i="4"/>
  <c r="M954" i="4"/>
  <c r="H955" i="4"/>
  <c r="F957" i="4"/>
  <c r="I958" i="4"/>
  <c r="G960" i="4"/>
  <c r="E962" i="4"/>
  <c r="M962" i="4"/>
  <c r="F965" i="4"/>
  <c r="I966" i="4"/>
  <c r="G968" i="4"/>
  <c r="E970" i="4"/>
  <c r="M970" i="4"/>
  <c r="H971" i="4"/>
  <c r="F973" i="4"/>
  <c r="I974" i="4"/>
  <c r="G976" i="4"/>
  <c r="E978" i="4"/>
  <c r="M978" i="4"/>
  <c r="H979" i="4"/>
  <c r="F981" i="4"/>
  <c r="I982" i="4"/>
  <c r="G984" i="4"/>
  <c r="E986" i="4"/>
  <c r="M986" i="4"/>
  <c r="H987" i="4"/>
  <c r="F989" i="4"/>
  <c r="I990" i="4"/>
  <c r="G992" i="4"/>
  <c r="E994" i="4"/>
  <c r="M994" i="4"/>
  <c r="H995" i="4"/>
  <c r="F997" i="4"/>
  <c r="I998" i="4"/>
  <c r="G1000" i="4"/>
  <c r="E3" i="5"/>
  <c r="M3" i="5"/>
  <c r="H4" i="5"/>
  <c r="F6" i="5"/>
  <c r="I7" i="5"/>
  <c r="G9" i="5"/>
  <c r="E11" i="5"/>
  <c r="M11" i="5"/>
  <c r="H12" i="5"/>
  <c r="F14" i="5"/>
  <c r="I15" i="5"/>
  <c r="G17" i="5"/>
  <c r="E19" i="5"/>
  <c r="M19" i="5"/>
  <c r="H20" i="5"/>
  <c r="F22" i="5"/>
  <c r="I23" i="5"/>
  <c r="G25" i="5"/>
  <c r="E27" i="5"/>
  <c r="M27" i="5"/>
  <c r="H28" i="5"/>
  <c r="F30" i="5"/>
  <c r="I31" i="5"/>
  <c r="G33" i="5"/>
  <c r="E35" i="5"/>
  <c r="M35" i="5"/>
  <c r="H36" i="5"/>
  <c r="F38" i="5"/>
  <c r="I39" i="5"/>
  <c r="G41" i="5"/>
  <c r="E43" i="5"/>
  <c r="M43" i="5"/>
  <c r="H44" i="5"/>
  <c r="F46" i="5"/>
  <c r="I47" i="5"/>
  <c r="G49" i="5"/>
  <c r="E51" i="5"/>
  <c r="M51" i="5"/>
  <c r="H52" i="5"/>
  <c r="F54" i="5"/>
  <c r="I55" i="5"/>
  <c r="G57" i="5"/>
  <c r="E59" i="5"/>
  <c r="M59" i="5"/>
  <c r="H60" i="5"/>
  <c r="F62" i="5"/>
  <c r="I63" i="5"/>
  <c r="G65" i="5"/>
  <c r="E67" i="5"/>
  <c r="M67" i="5"/>
  <c r="H68" i="5"/>
  <c r="F70" i="5"/>
  <c r="I71" i="5"/>
  <c r="G73" i="5"/>
  <c r="E75" i="5"/>
  <c r="M75" i="5"/>
  <c r="H76" i="5"/>
  <c r="F78" i="5"/>
  <c r="I79" i="5"/>
  <c r="G81" i="5"/>
  <c r="E83" i="5"/>
  <c r="M83" i="5"/>
  <c r="H84" i="5"/>
  <c r="F86" i="5"/>
  <c r="I87" i="5"/>
  <c r="G89" i="5"/>
  <c r="E91" i="5"/>
  <c r="M91" i="5"/>
  <c r="H92" i="5"/>
  <c r="F94" i="5"/>
  <c r="I95" i="5"/>
  <c r="F98" i="5"/>
  <c r="G100" i="5"/>
  <c r="I104" i="5"/>
  <c r="M106" i="5"/>
  <c r="E106" i="5"/>
  <c r="J106" i="5"/>
  <c r="F107" i="5"/>
  <c r="H109" i="5"/>
  <c r="H111" i="5"/>
  <c r="F114" i="5"/>
  <c r="G116" i="5"/>
  <c r="I120" i="5"/>
  <c r="M122" i="5"/>
  <c r="E122" i="5"/>
  <c r="J122" i="5"/>
  <c r="F123" i="5"/>
  <c r="H125" i="5"/>
  <c r="H127" i="5"/>
  <c r="F130" i="5"/>
  <c r="G132" i="5"/>
  <c r="H138" i="5"/>
  <c r="E139" i="5"/>
  <c r="F141" i="5"/>
  <c r="M141" i="5"/>
  <c r="E141" i="5"/>
  <c r="K141" i="5"/>
  <c r="G146" i="5"/>
  <c r="K148" i="5"/>
  <c r="C148" i="5"/>
  <c r="J148" i="5"/>
  <c r="B148" i="5"/>
  <c r="M148" i="5"/>
  <c r="G152" i="5"/>
  <c r="F152" i="5"/>
  <c r="K152" i="5"/>
  <c r="I157" i="5"/>
  <c r="L159" i="5"/>
  <c r="D159" i="5"/>
  <c r="K159" i="5"/>
  <c r="C159" i="5"/>
  <c r="M159" i="5"/>
  <c r="I164" i="5"/>
  <c r="H165" i="5"/>
  <c r="I168" i="5"/>
  <c r="H171" i="5"/>
  <c r="G171" i="5"/>
  <c r="K171" i="5"/>
  <c r="H172" i="5"/>
  <c r="G173" i="5"/>
  <c r="J183" i="5"/>
  <c r="I191" i="5"/>
  <c r="M196" i="5"/>
  <c r="E196" i="5"/>
  <c r="K196" i="5"/>
  <c r="C196" i="5"/>
  <c r="J196" i="5"/>
  <c r="B196" i="5"/>
  <c r="H199" i="5"/>
  <c r="G202" i="5"/>
  <c r="M202" i="5"/>
  <c r="E202" i="5"/>
  <c r="L202" i="5"/>
  <c r="D202" i="5"/>
  <c r="J203" i="5"/>
  <c r="B203" i="5"/>
  <c r="H203" i="5"/>
  <c r="G203" i="5"/>
  <c r="M203" i="5"/>
  <c r="H205" i="5"/>
  <c r="F205" i="5"/>
  <c r="M205" i="5"/>
  <c r="E205" i="5"/>
  <c r="L205" i="5"/>
  <c r="J219" i="5"/>
  <c r="B219" i="5"/>
  <c r="H219" i="5"/>
  <c r="G219" i="5"/>
  <c r="M219" i="5"/>
  <c r="E219" i="5"/>
  <c r="M228" i="5"/>
  <c r="E228" i="5"/>
  <c r="K228" i="5"/>
  <c r="C228" i="5"/>
  <c r="J228" i="5"/>
  <c r="B228" i="5"/>
  <c r="H228" i="5"/>
  <c r="I234" i="5"/>
  <c r="K243" i="5"/>
  <c r="H245" i="5"/>
  <c r="F245" i="5"/>
  <c r="M245" i="5"/>
  <c r="E245" i="5"/>
  <c r="K245" i="5"/>
  <c r="C245" i="5"/>
  <c r="I251" i="5"/>
  <c r="I260" i="5"/>
  <c r="G266" i="5"/>
  <c r="M266" i="5"/>
  <c r="E266" i="5"/>
  <c r="L266" i="5"/>
  <c r="D266" i="5"/>
  <c r="J266" i="5"/>
  <c r="B266" i="5"/>
  <c r="J269" i="5"/>
  <c r="H367" i="5"/>
  <c r="I367" i="5"/>
  <c r="G367" i="5"/>
  <c r="F367" i="5"/>
  <c r="E367" i="5"/>
  <c r="L367" i="5"/>
  <c r="C367" i="5"/>
  <c r="K560" i="5"/>
  <c r="C560" i="5"/>
  <c r="J560" i="5"/>
  <c r="B560" i="5"/>
  <c r="G560" i="5"/>
  <c r="H560" i="5"/>
  <c r="F560" i="5"/>
  <c r="E560" i="5"/>
  <c r="D560" i="5"/>
  <c r="M560" i="5"/>
  <c r="G572" i="5"/>
  <c r="F572" i="5"/>
  <c r="K572" i="5"/>
  <c r="C572" i="5"/>
  <c r="L572" i="5"/>
  <c r="J572" i="5"/>
  <c r="I572" i="5"/>
  <c r="H572" i="5"/>
  <c r="D572" i="5"/>
  <c r="H623" i="5"/>
  <c r="G623" i="5"/>
  <c r="F623" i="5"/>
  <c r="L623" i="5"/>
  <c r="D623" i="5"/>
  <c r="K623" i="5"/>
  <c r="J623" i="5"/>
  <c r="I623" i="5"/>
  <c r="E623" i="5"/>
  <c r="B623" i="5"/>
  <c r="G652" i="5"/>
  <c r="F652" i="5"/>
  <c r="M652" i="5"/>
  <c r="E652" i="5"/>
  <c r="K652" i="5"/>
  <c r="C652" i="5"/>
  <c r="I652" i="5"/>
  <c r="H652" i="5"/>
  <c r="D652" i="5"/>
  <c r="B652" i="5"/>
  <c r="F801" i="5"/>
  <c r="M801" i="5"/>
  <c r="E801" i="5"/>
  <c r="L801" i="5"/>
  <c r="D801" i="5"/>
  <c r="K801" i="5"/>
  <c r="C801" i="5"/>
  <c r="J801" i="5"/>
  <c r="B801" i="5"/>
  <c r="G801" i="5"/>
  <c r="I801" i="5"/>
  <c r="G948" i="5"/>
  <c r="F948" i="5"/>
  <c r="M948" i="5"/>
  <c r="E948" i="5"/>
  <c r="L948" i="5"/>
  <c r="D948" i="5"/>
  <c r="K948" i="5"/>
  <c r="C948" i="5"/>
  <c r="H948" i="5"/>
  <c r="I948" i="5"/>
  <c r="F969" i="5"/>
  <c r="M969" i="5"/>
  <c r="E969" i="5"/>
  <c r="L969" i="5"/>
  <c r="D969" i="5"/>
  <c r="K969" i="5"/>
  <c r="C969" i="5"/>
  <c r="J969" i="5"/>
  <c r="B969" i="5"/>
  <c r="G969" i="5"/>
  <c r="I969" i="5"/>
  <c r="H969" i="5"/>
  <c r="A50" i="7"/>
  <c r="F50" i="6"/>
  <c r="M50" i="6"/>
  <c r="E50" i="6"/>
  <c r="L50" i="6"/>
  <c r="D50" i="6"/>
  <c r="K50" i="6"/>
  <c r="C50" i="6"/>
  <c r="J50" i="6"/>
  <c r="B50" i="6"/>
  <c r="G50" i="6"/>
  <c r="H50" i="6"/>
  <c r="A106" i="7"/>
  <c r="F106" i="6"/>
  <c r="H106" i="6"/>
  <c r="G106" i="6"/>
  <c r="E106" i="6"/>
  <c r="M106" i="6"/>
  <c r="D106" i="6"/>
  <c r="L106" i="6"/>
  <c r="C106" i="6"/>
  <c r="I106" i="6"/>
  <c r="K106" i="6"/>
  <c r="B106" i="6"/>
  <c r="A372" i="7"/>
  <c r="F372" i="6"/>
  <c r="M372" i="6"/>
  <c r="E372" i="6"/>
  <c r="L372" i="6"/>
  <c r="D372" i="6"/>
  <c r="K372" i="6"/>
  <c r="C372" i="6"/>
  <c r="J372" i="6"/>
  <c r="B372" i="6"/>
  <c r="I372" i="6"/>
  <c r="H372" i="6"/>
  <c r="A498" i="7"/>
  <c r="H498" i="6"/>
  <c r="G498" i="6"/>
  <c r="F498" i="6"/>
  <c r="M498" i="6"/>
  <c r="E498" i="6"/>
  <c r="L498" i="6"/>
  <c r="D498" i="6"/>
  <c r="K498" i="6"/>
  <c r="J498" i="6"/>
  <c r="I498" i="6"/>
  <c r="C498" i="6"/>
  <c r="B498" i="6"/>
  <c r="A620" i="7"/>
  <c r="F620" i="6"/>
  <c r="M620" i="6"/>
  <c r="E620" i="6"/>
  <c r="L620" i="6"/>
  <c r="D620" i="6"/>
  <c r="K620" i="6"/>
  <c r="C620" i="6"/>
  <c r="J620" i="6"/>
  <c r="B620" i="6"/>
  <c r="I620" i="6"/>
  <c r="H620" i="6"/>
  <c r="G620" i="6"/>
  <c r="A644" i="7"/>
  <c r="F644" i="6"/>
  <c r="M644" i="6"/>
  <c r="E644" i="6"/>
  <c r="L644" i="6"/>
  <c r="D644" i="6"/>
  <c r="K644" i="6"/>
  <c r="C644" i="6"/>
  <c r="J644" i="6"/>
  <c r="B644" i="6"/>
  <c r="I644" i="6"/>
  <c r="H644" i="6"/>
  <c r="G644" i="6"/>
  <c r="A147" i="8"/>
  <c r="F147" i="7"/>
  <c r="M147" i="7"/>
  <c r="E147" i="7"/>
  <c r="L147" i="7"/>
  <c r="D147" i="7"/>
  <c r="K147" i="7"/>
  <c r="C147" i="7"/>
  <c r="J147" i="7"/>
  <c r="B147" i="7"/>
  <c r="I147" i="7"/>
  <c r="H147" i="7"/>
  <c r="G147" i="7"/>
  <c r="B310" i="4"/>
  <c r="B318" i="4"/>
  <c r="B326" i="4"/>
  <c r="B334" i="4"/>
  <c r="B342" i="4"/>
  <c r="B350" i="4"/>
  <c r="B358" i="4"/>
  <c r="B366" i="4"/>
  <c r="B374" i="4"/>
  <c r="B382" i="4"/>
  <c r="B390" i="4"/>
  <c r="B406" i="4"/>
  <c r="B414" i="4"/>
  <c r="B422" i="4"/>
  <c r="B430" i="4"/>
  <c r="B438" i="4"/>
  <c r="B446" i="4"/>
  <c r="B454" i="4"/>
  <c r="B462" i="4"/>
  <c r="B470" i="4"/>
  <c r="B478" i="4"/>
  <c r="B486" i="4"/>
  <c r="B494" i="4"/>
  <c r="B502" i="4"/>
  <c r="B510" i="4"/>
  <c r="B518" i="4"/>
  <c r="B526" i="4"/>
  <c r="B534" i="4"/>
  <c r="B542" i="4"/>
  <c r="B550" i="4"/>
  <c r="B558" i="4"/>
  <c r="B566" i="4"/>
  <c r="B574" i="4"/>
  <c r="B582" i="4"/>
  <c r="B590" i="4"/>
  <c r="B598" i="4"/>
  <c r="G605" i="4"/>
  <c r="B606" i="4"/>
  <c r="G613" i="4"/>
  <c r="B614" i="4"/>
  <c r="G621" i="4"/>
  <c r="B622" i="4"/>
  <c r="G629" i="4"/>
  <c r="B630" i="4"/>
  <c r="G637" i="4"/>
  <c r="B638" i="4"/>
  <c r="G645" i="4"/>
  <c r="B646" i="4"/>
  <c r="G653" i="4"/>
  <c r="B654" i="4"/>
  <c r="F658" i="4"/>
  <c r="G661" i="4"/>
  <c r="B662" i="4"/>
  <c r="H664" i="4"/>
  <c r="F666" i="4"/>
  <c r="G669" i="4"/>
  <c r="B670" i="4"/>
  <c r="H672" i="4"/>
  <c r="F674" i="4"/>
  <c r="G677" i="4"/>
  <c r="B678" i="4"/>
  <c r="H680" i="4"/>
  <c r="F682" i="4"/>
  <c r="G685" i="4"/>
  <c r="B686" i="4"/>
  <c r="H688" i="4"/>
  <c r="F690" i="4"/>
  <c r="G693" i="4"/>
  <c r="B694" i="4"/>
  <c r="H696" i="4"/>
  <c r="F698" i="4"/>
  <c r="G701" i="4"/>
  <c r="B702" i="4"/>
  <c r="H704" i="4"/>
  <c r="F706" i="4"/>
  <c r="G709" i="4"/>
  <c r="B710" i="4"/>
  <c r="H712" i="4"/>
  <c r="F714" i="4"/>
  <c r="G717" i="4"/>
  <c r="B718" i="4"/>
  <c r="H720" i="4"/>
  <c r="F722" i="4"/>
  <c r="G725" i="4"/>
  <c r="B726" i="4"/>
  <c r="H728" i="4"/>
  <c r="F730" i="4"/>
  <c r="G733" i="4"/>
  <c r="B734" i="4"/>
  <c r="H736" i="4"/>
  <c r="F738" i="4"/>
  <c r="G741" i="4"/>
  <c r="B742" i="4"/>
  <c r="H744" i="4"/>
  <c r="F746" i="4"/>
  <c r="G749" i="4"/>
  <c r="B750" i="4"/>
  <c r="H752" i="4"/>
  <c r="F754" i="4"/>
  <c r="G757" i="4"/>
  <c r="B758" i="4"/>
  <c r="H760" i="4"/>
  <c r="F762" i="4"/>
  <c r="G765" i="4"/>
  <c r="B766" i="4"/>
  <c r="H768" i="4"/>
  <c r="F770" i="4"/>
  <c r="G773" i="4"/>
  <c r="B774" i="4"/>
  <c r="H776" i="4"/>
  <c r="F778" i="4"/>
  <c r="G781" i="4"/>
  <c r="B782" i="4"/>
  <c r="H784" i="4"/>
  <c r="F786" i="4"/>
  <c r="G789" i="4"/>
  <c r="B790" i="4"/>
  <c r="H792" i="4"/>
  <c r="F794" i="4"/>
  <c r="G797" i="4"/>
  <c r="B798" i="4"/>
  <c r="H800" i="4"/>
  <c r="F802" i="4"/>
  <c r="G805" i="4"/>
  <c r="B806" i="4"/>
  <c r="H808" i="4"/>
  <c r="F810" i="4"/>
  <c r="G813" i="4"/>
  <c r="B814" i="4"/>
  <c r="H816" i="4"/>
  <c r="F818" i="4"/>
  <c r="G821" i="4"/>
  <c r="B822" i="4"/>
  <c r="H824" i="4"/>
  <c r="F826" i="4"/>
  <c r="G829" i="4"/>
  <c r="B830" i="4"/>
  <c r="H832" i="4"/>
  <c r="F834" i="4"/>
  <c r="G837" i="4"/>
  <c r="B838" i="4"/>
  <c r="H840" i="4"/>
  <c r="F842" i="4"/>
  <c r="G845" i="4"/>
  <c r="B846" i="4"/>
  <c r="H848" i="4"/>
  <c r="F850" i="4"/>
  <c r="G853" i="4"/>
  <c r="B854" i="4"/>
  <c r="H856" i="4"/>
  <c r="F858" i="4"/>
  <c r="G861" i="4"/>
  <c r="B862" i="4"/>
  <c r="H864" i="4"/>
  <c r="F866" i="4"/>
  <c r="G869" i="4"/>
  <c r="B870" i="4"/>
  <c r="H872" i="4"/>
  <c r="F874" i="4"/>
  <c r="G877" i="4"/>
  <c r="B878" i="4"/>
  <c r="H880" i="4"/>
  <c r="F882" i="4"/>
  <c r="G885" i="4"/>
  <c r="B886" i="4"/>
  <c r="H888" i="4"/>
  <c r="F890" i="4"/>
  <c r="G893" i="4"/>
  <c r="B894" i="4"/>
  <c r="H896" i="4"/>
  <c r="F898" i="4"/>
  <c r="G901" i="4"/>
  <c r="B902" i="4"/>
  <c r="H904" i="4"/>
  <c r="F906" i="4"/>
  <c r="G909" i="4"/>
  <c r="B910" i="4"/>
  <c r="H912" i="4"/>
  <c r="F914" i="4"/>
  <c r="G917" i="4"/>
  <c r="B918" i="4"/>
  <c r="H920" i="4"/>
  <c r="F922" i="4"/>
  <c r="G925" i="4"/>
  <c r="B926" i="4"/>
  <c r="H928" i="4"/>
  <c r="F930" i="4"/>
  <c r="G933" i="4"/>
  <c r="B934" i="4"/>
  <c r="H936" i="4"/>
  <c r="F938" i="4"/>
  <c r="G941" i="4"/>
  <c r="B942" i="4"/>
  <c r="H944" i="4"/>
  <c r="F946" i="4"/>
  <c r="G949" i="4"/>
  <c r="B950" i="4"/>
  <c r="H952" i="4"/>
  <c r="F954" i="4"/>
  <c r="G957" i="4"/>
  <c r="B958" i="4"/>
  <c r="H960" i="4"/>
  <c r="F962" i="4"/>
  <c r="G965" i="4"/>
  <c r="B966" i="4"/>
  <c r="H968" i="4"/>
  <c r="F970" i="4"/>
  <c r="G973" i="4"/>
  <c r="B974" i="4"/>
  <c r="H976" i="4"/>
  <c r="F978" i="4"/>
  <c r="G981" i="4"/>
  <c r="B982" i="4"/>
  <c r="H984" i="4"/>
  <c r="F986" i="4"/>
  <c r="G989" i="4"/>
  <c r="B990" i="4"/>
  <c r="H992" i="4"/>
  <c r="F994" i="4"/>
  <c r="G997" i="4"/>
  <c r="B998" i="4"/>
  <c r="H1000" i="4"/>
  <c r="F3" i="5"/>
  <c r="G6" i="5"/>
  <c r="B7" i="5"/>
  <c r="H9" i="5"/>
  <c r="F11" i="5"/>
  <c r="G14" i="5"/>
  <c r="B15" i="5"/>
  <c r="H17" i="5"/>
  <c r="F19" i="5"/>
  <c r="G22" i="5"/>
  <c r="B23" i="5"/>
  <c r="H25" i="5"/>
  <c r="F27" i="5"/>
  <c r="G30" i="5"/>
  <c r="B31" i="5"/>
  <c r="H33" i="5"/>
  <c r="F35" i="5"/>
  <c r="G38" i="5"/>
  <c r="B39" i="5"/>
  <c r="H41" i="5"/>
  <c r="F43" i="5"/>
  <c r="G46" i="5"/>
  <c r="B47" i="5"/>
  <c r="H49" i="5"/>
  <c r="F51" i="5"/>
  <c r="G54" i="5"/>
  <c r="B55" i="5"/>
  <c r="H57" i="5"/>
  <c r="F59" i="5"/>
  <c r="G62" i="5"/>
  <c r="B63" i="5"/>
  <c r="H65" i="5"/>
  <c r="F67" i="5"/>
  <c r="G70" i="5"/>
  <c r="B71" i="5"/>
  <c r="H73" i="5"/>
  <c r="F75" i="5"/>
  <c r="G78" i="5"/>
  <c r="B79" i="5"/>
  <c r="H81" i="5"/>
  <c r="F83" i="5"/>
  <c r="G86" i="5"/>
  <c r="B87" i="5"/>
  <c r="H89" i="5"/>
  <c r="F91" i="5"/>
  <c r="G94" i="5"/>
  <c r="B95" i="5"/>
  <c r="J97" i="5"/>
  <c r="B97" i="5"/>
  <c r="K97" i="5"/>
  <c r="G98" i="5"/>
  <c r="J104" i="5"/>
  <c r="B106" i="5"/>
  <c r="K106" i="5"/>
  <c r="G107" i="5"/>
  <c r="I109" i="5"/>
  <c r="J113" i="5"/>
  <c r="B113" i="5"/>
  <c r="K113" i="5"/>
  <c r="G114" i="5"/>
  <c r="J120" i="5"/>
  <c r="B122" i="5"/>
  <c r="K122" i="5"/>
  <c r="G123" i="5"/>
  <c r="I125" i="5"/>
  <c r="J129" i="5"/>
  <c r="B129" i="5"/>
  <c r="K129" i="5"/>
  <c r="G130" i="5"/>
  <c r="F139" i="5"/>
  <c r="B141" i="5"/>
  <c r="L141" i="5"/>
  <c r="H146" i="5"/>
  <c r="D148" i="5"/>
  <c r="F149" i="5"/>
  <c r="M149" i="5"/>
  <c r="E149" i="5"/>
  <c r="K149" i="5"/>
  <c r="B152" i="5"/>
  <c r="L152" i="5"/>
  <c r="K156" i="5"/>
  <c r="C156" i="5"/>
  <c r="J156" i="5"/>
  <c r="B156" i="5"/>
  <c r="M156" i="5"/>
  <c r="B159" i="5"/>
  <c r="G160" i="5"/>
  <c r="F160" i="5"/>
  <c r="K160" i="5"/>
  <c r="L167" i="5"/>
  <c r="D167" i="5"/>
  <c r="K167" i="5"/>
  <c r="C167" i="5"/>
  <c r="M167" i="5"/>
  <c r="B171" i="5"/>
  <c r="L171" i="5"/>
  <c r="I173" i="5"/>
  <c r="F175" i="5"/>
  <c r="L175" i="5"/>
  <c r="D175" i="5"/>
  <c r="K175" i="5"/>
  <c r="C175" i="5"/>
  <c r="I199" i="5"/>
  <c r="M204" i="5"/>
  <c r="E204" i="5"/>
  <c r="K204" i="5"/>
  <c r="C204" i="5"/>
  <c r="J204" i="5"/>
  <c r="B204" i="5"/>
  <c r="G210" i="5"/>
  <c r="M210" i="5"/>
  <c r="E210" i="5"/>
  <c r="L210" i="5"/>
  <c r="D210" i="5"/>
  <c r="J211" i="5"/>
  <c r="B211" i="5"/>
  <c r="H211" i="5"/>
  <c r="G211" i="5"/>
  <c r="M211" i="5"/>
  <c r="H213" i="5"/>
  <c r="F213" i="5"/>
  <c r="M213" i="5"/>
  <c r="E213" i="5"/>
  <c r="L213" i="5"/>
  <c r="C219" i="5"/>
  <c r="J227" i="5"/>
  <c r="B227" i="5"/>
  <c r="H227" i="5"/>
  <c r="G227" i="5"/>
  <c r="M227" i="5"/>
  <c r="E227" i="5"/>
  <c r="M236" i="5"/>
  <c r="E236" i="5"/>
  <c r="K236" i="5"/>
  <c r="C236" i="5"/>
  <c r="J236" i="5"/>
  <c r="B236" i="5"/>
  <c r="H236" i="5"/>
  <c r="B245" i="5"/>
  <c r="H253" i="5"/>
  <c r="F253" i="5"/>
  <c r="M253" i="5"/>
  <c r="E253" i="5"/>
  <c r="K253" i="5"/>
  <c r="C253" i="5"/>
  <c r="C266" i="5"/>
  <c r="G274" i="5"/>
  <c r="M274" i="5"/>
  <c r="E274" i="5"/>
  <c r="L274" i="5"/>
  <c r="D274" i="5"/>
  <c r="J274" i="5"/>
  <c r="B274" i="5"/>
  <c r="H277" i="5"/>
  <c r="G277" i="5"/>
  <c r="F277" i="5"/>
  <c r="M277" i="5"/>
  <c r="E277" i="5"/>
  <c r="K277" i="5"/>
  <c r="C277" i="5"/>
  <c r="M284" i="5"/>
  <c r="E284" i="5"/>
  <c r="L284" i="5"/>
  <c r="D284" i="5"/>
  <c r="K284" i="5"/>
  <c r="C284" i="5"/>
  <c r="J284" i="5"/>
  <c r="B284" i="5"/>
  <c r="H284" i="5"/>
  <c r="H293" i="5"/>
  <c r="G293" i="5"/>
  <c r="F293" i="5"/>
  <c r="M293" i="5"/>
  <c r="E293" i="5"/>
  <c r="K293" i="5"/>
  <c r="C293" i="5"/>
  <c r="M300" i="5"/>
  <c r="E300" i="5"/>
  <c r="L300" i="5"/>
  <c r="D300" i="5"/>
  <c r="K300" i="5"/>
  <c r="C300" i="5"/>
  <c r="J300" i="5"/>
  <c r="B300" i="5"/>
  <c r="H300" i="5"/>
  <c r="H309" i="5"/>
  <c r="G309" i="5"/>
  <c r="F309" i="5"/>
  <c r="M309" i="5"/>
  <c r="E309" i="5"/>
  <c r="K309" i="5"/>
  <c r="C309" i="5"/>
  <c r="M316" i="5"/>
  <c r="E316" i="5"/>
  <c r="L316" i="5"/>
  <c r="D316" i="5"/>
  <c r="K316" i="5"/>
  <c r="C316" i="5"/>
  <c r="J316" i="5"/>
  <c r="B316" i="5"/>
  <c r="H316" i="5"/>
  <c r="H325" i="5"/>
  <c r="G325" i="5"/>
  <c r="F325" i="5"/>
  <c r="M325" i="5"/>
  <c r="E325" i="5"/>
  <c r="K325" i="5"/>
  <c r="C325" i="5"/>
  <c r="M332" i="5"/>
  <c r="E332" i="5"/>
  <c r="L332" i="5"/>
  <c r="D332" i="5"/>
  <c r="K332" i="5"/>
  <c r="C332" i="5"/>
  <c r="J332" i="5"/>
  <c r="B332" i="5"/>
  <c r="H332" i="5"/>
  <c r="H341" i="5"/>
  <c r="G341" i="5"/>
  <c r="F341" i="5"/>
  <c r="M341" i="5"/>
  <c r="E341" i="5"/>
  <c r="K341" i="5"/>
  <c r="C341" i="5"/>
  <c r="K360" i="5"/>
  <c r="C360" i="5"/>
  <c r="I360" i="5"/>
  <c r="H360" i="5"/>
  <c r="G360" i="5"/>
  <c r="F360" i="5"/>
  <c r="M360" i="5"/>
  <c r="D360" i="5"/>
  <c r="F377" i="5"/>
  <c r="E377" i="5"/>
  <c r="M377" i="5"/>
  <c r="D377" i="5"/>
  <c r="L377" i="5"/>
  <c r="C377" i="5"/>
  <c r="K377" i="5"/>
  <c r="B377" i="5"/>
  <c r="I377" i="5"/>
  <c r="L379" i="5"/>
  <c r="D379" i="5"/>
  <c r="F379" i="5"/>
  <c r="E379" i="5"/>
  <c r="M379" i="5"/>
  <c r="C379" i="5"/>
  <c r="K379" i="5"/>
  <c r="B379" i="5"/>
  <c r="I379" i="5"/>
  <c r="M390" i="5"/>
  <c r="E390" i="5"/>
  <c r="H390" i="5"/>
  <c r="G390" i="5"/>
  <c r="F390" i="5"/>
  <c r="D390" i="5"/>
  <c r="K390" i="5"/>
  <c r="B390" i="5"/>
  <c r="H415" i="5"/>
  <c r="I415" i="5"/>
  <c r="G415" i="5"/>
  <c r="F415" i="5"/>
  <c r="E415" i="5"/>
  <c r="L415" i="5"/>
  <c r="C415" i="5"/>
  <c r="H439" i="5"/>
  <c r="L439" i="5"/>
  <c r="D439" i="5"/>
  <c r="I439" i="5"/>
  <c r="G439" i="5"/>
  <c r="F439" i="5"/>
  <c r="E439" i="5"/>
  <c r="M439" i="5"/>
  <c r="B439" i="5"/>
  <c r="G460" i="5"/>
  <c r="K460" i="5"/>
  <c r="C460" i="5"/>
  <c r="I460" i="5"/>
  <c r="H460" i="5"/>
  <c r="F460" i="5"/>
  <c r="E460" i="5"/>
  <c r="M460" i="5"/>
  <c r="B460" i="5"/>
  <c r="H471" i="5"/>
  <c r="L471" i="5"/>
  <c r="D471" i="5"/>
  <c r="I471" i="5"/>
  <c r="G471" i="5"/>
  <c r="F471" i="5"/>
  <c r="E471" i="5"/>
  <c r="M471" i="5"/>
  <c r="B471" i="5"/>
  <c r="G492" i="5"/>
  <c r="K492" i="5"/>
  <c r="C492" i="5"/>
  <c r="I492" i="5"/>
  <c r="H492" i="5"/>
  <c r="F492" i="5"/>
  <c r="E492" i="5"/>
  <c r="M492" i="5"/>
  <c r="B492" i="5"/>
  <c r="H503" i="5"/>
  <c r="L503" i="5"/>
  <c r="D503" i="5"/>
  <c r="I503" i="5"/>
  <c r="G503" i="5"/>
  <c r="F503" i="5"/>
  <c r="E503" i="5"/>
  <c r="M503" i="5"/>
  <c r="B503" i="5"/>
  <c r="K544" i="5"/>
  <c r="C544" i="5"/>
  <c r="J544" i="5"/>
  <c r="B544" i="5"/>
  <c r="G544" i="5"/>
  <c r="L544" i="5"/>
  <c r="I544" i="5"/>
  <c r="H544" i="5"/>
  <c r="F544" i="5"/>
  <c r="D544" i="5"/>
  <c r="I560" i="5"/>
  <c r="H567" i="5"/>
  <c r="G567" i="5"/>
  <c r="L567" i="5"/>
  <c r="D567" i="5"/>
  <c r="F567" i="5"/>
  <c r="E567" i="5"/>
  <c r="C567" i="5"/>
  <c r="B567" i="5"/>
  <c r="K567" i="5"/>
  <c r="B572" i="5"/>
  <c r="L595" i="5"/>
  <c r="D595" i="5"/>
  <c r="K595" i="5"/>
  <c r="C595" i="5"/>
  <c r="H595" i="5"/>
  <c r="G595" i="5"/>
  <c r="F595" i="5"/>
  <c r="E595" i="5"/>
  <c r="B595" i="5"/>
  <c r="M595" i="5"/>
  <c r="K600" i="5"/>
  <c r="C600" i="5"/>
  <c r="J600" i="5"/>
  <c r="B600" i="5"/>
  <c r="G600" i="5"/>
  <c r="M600" i="5"/>
  <c r="L600" i="5"/>
  <c r="I600" i="5"/>
  <c r="H600" i="5"/>
  <c r="E600" i="5"/>
  <c r="F609" i="5"/>
  <c r="M609" i="5"/>
  <c r="E609" i="5"/>
  <c r="J609" i="5"/>
  <c r="B609" i="5"/>
  <c r="K609" i="5"/>
  <c r="I609" i="5"/>
  <c r="H609" i="5"/>
  <c r="G609" i="5"/>
  <c r="C609" i="5"/>
  <c r="C623" i="5"/>
  <c r="J652" i="5"/>
  <c r="F737" i="5"/>
  <c r="M737" i="5"/>
  <c r="E737" i="5"/>
  <c r="L737" i="5"/>
  <c r="D737" i="5"/>
  <c r="K737" i="5"/>
  <c r="C737" i="5"/>
  <c r="J737" i="5"/>
  <c r="B737" i="5"/>
  <c r="G737" i="5"/>
  <c r="I737" i="5"/>
  <c r="H801" i="5"/>
  <c r="G884" i="5"/>
  <c r="F884" i="5"/>
  <c r="M884" i="5"/>
  <c r="E884" i="5"/>
  <c r="L884" i="5"/>
  <c r="D884" i="5"/>
  <c r="K884" i="5"/>
  <c r="C884" i="5"/>
  <c r="H884" i="5"/>
  <c r="I884" i="5"/>
  <c r="F905" i="5"/>
  <c r="M905" i="5"/>
  <c r="E905" i="5"/>
  <c r="L905" i="5"/>
  <c r="D905" i="5"/>
  <c r="K905" i="5"/>
  <c r="C905" i="5"/>
  <c r="J905" i="5"/>
  <c r="B905" i="5"/>
  <c r="G905" i="5"/>
  <c r="I905" i="5"/>
  <c r="H905" i="5"/>
  <c r="B948" i="5"/>
  <c r="I50" i="6"/>
  <c r="A53" i="7"/>
  <c r="G53" i="6"/>
  <c r="F53" i="6"/>
  <c r="M53" i="6"/>
  <c r="E53" i="6"/>
  <c r="L53" i="6"/>
  <c r="D53" i="6"/>
  <c r="K53" i="6"/>
  <c r="C53" i="6"/>
  <c r="H53" i="6"/>
  <c r="J53" i="6"/>
  <c r="I53" i="6"/>
  <c r="B53" i="6"/>
  <c r="A69" i="7"/>
  <c r="G69" i="6"/>
  <c r="F69" i="6"/>
  <c r="M69" i="6"/>
  <c r="E69" i="6"/>
  <c r="L69" i="6"/>
  <c r="D69" i="6"/>
  <c r="K69" i="6"/>
  <c r="C69" i="6"/>
  <c r="H69" i="6"/>
  <c r="J69" i="6"/>
  <c r="B69" i="6"/>
  <c r="J106" i="6"/>
  <c r="A137" i="7"/>
  <c r="M137" i="6"/>
  <c r="E137" i="6"/>
  <c r="K137" i="6"/>
  <c r="C137" i="6"/>
  <c r="J137" i="6"/>
  <c r="B137" i="6"/>
  <c r="L137" i="6"/>
  <c r="I137" i="6"/>
  <c r="H137" i="6"/>
  <c r="G137" i="6"/>
  <c r="F137" i="6"/>
  <c r="A351" i="7"/>
  <c r="G351" i="6"/>
  <c r="F351" i="6"/>
  <c r="M351" i="6"/>
  <c r="E351" i="6"/>
  <c r="L351" i="6"/>
  <c r="D351" i="6"/>
  <c r="K351" i="6"/>
  <c r="C351" i="6"/>
  <c r="J351" i="6"/>
  <c r="I351" i="6"/>
  <c r="H351" i="6"/>
  <c r="B351" i="6"/>
  <c r="G372" i="6"/>
  <c r="A383" i="7"/>
  <c r="G383" i="6"/>
  <c r="F383" i="6"/>
  <c r="M383" i="6"/>
  <c r="E383" i="6"/>
  <c r="L383" i="6"/>
  <c r="D383" i="6"/>
  <c r="K383" i="6"/>
  <c r="C383" i="6"/>
  <c r="J383" i="6"/>
  <c r="I383" i="6"/>
  <c r="H383" i="6"/>
  <c r="B383" i="6"/>
  <c r="A655" i="7"/>
  <c r="G655" i="6"/>
  <c r="F655" i="6"/>
  <c r="M655" i="6"/>
  <c r="E655" i="6"/>
  <c r="L655" i="6"/>
  <c r="D655" i="6"/>
  <c r="K655" i="6"/>
  <c r="C655" i="6"/>
  <c r="J655" i="6"/>
  <c r="I655" i="6"/>
  <c r="H655" i="6"/>
  <c r="B655" i="6"/>
  <c r="A706" i="7"/>
  <c r="H706" i="6"/>
  <c r="G706" i="6"/>
  <c r="F706" i="6"/>
  <c r="M706" i="6"/>
  <c r="E706" i="6"/>
  <c r="L706" i="6"/>
  <c r="D706" i="6"/>
  <c r="K706" i="6"/>
  <c r="C706" i="6"/>
  <c r="J706" i="6"/>
  <c r="I706" i="6"/>
  <c r="B706" i="6"/>
  <c r="I664" i="4"/>
  <c r="I672" i="4"/>
  <c r="I680" i="4"/>
  <c r="I688" i="4"/>
  <c r="I696" i="4"/>
  <c r="I704" i="4"/>
  <c r="I712" i="4"/>
  <c r="I720" i="4"/>
  <c r="I728" i="4"/>
  <c r="I736" i="4"/>
  <c r="I744" i="4"/>
  <c r="I752" i="4"/>
  <c r="I760" i="4"/>
  <c r="I768" i="4"/>
  <c r="I776" i="4"/>
  <c r="I784" i="4"/>
  <c r="I792" i="4"/>
  <c r="I800" i="4"/>
  <c r="I808" i="4"/>
  <c r="I816" i="4"/>
  <c r="I824" i="4"/>
  <c r="I832" i="4"/>
  <c r="I840" i="4"/>
  <c r="I848" i="4"/>
  <c r="I856" i="4"/>
  <c r="I864" i="4"/>
  <c r="I872" i="4"/>
  <c r="I880" i="4"/>
  <c r="I888" i="4"/>
  <c r="I896" i="4"/>
  <c r="I904" i="4"/>
  <c r="I912" i="4"/>
  <c r="I920" i="4"/>
  <c r="I928" i="4"/>
  <c r="I936" i="4"/>
  <c r="I944" i="4"/>
  <c r="I952" i="4"/>
  <c r="I960" i="4"/>
  <c r="I968" i="4"/>
  <c r="I976" i="4"/>
  <c r="I984" i="4"/>
  <c r="I992" i="4"/>
  <c r="I1000" i="4"/>
  <c r="I9" i="5"/>
  <c r="I17" i="5"/>
  <c r="I25" i="5"/>
  <c r="I33" i="5"/>
  <c r="I41" i="5"/>
  <c r="I49" i="5"/>
  <c r="I57" i="5"/>
  <c r="I65" i="5"/>
  <c r="I73" i="5"/>
  <c r="I81" i="5"/>
  <c r="I89" i="5"/>
  <c r="J109" i="5"/>
  <c r="L111" i="5"/>
  <c r="D111" i="5"/>
  <c r="J111" i="5"/>
  <c r="J125" i="5"/>
  <c r="L127" i="5"/>
  <c r="D127" i="5"/>
  <c r="J127" i="5"/>
  <c r="F157" i="5"/>
  <c r="M157" i="5"/>
  <c r="E157" i="5"/>
  <c r="K157" i="5"/>
  <c r="K164" i="5"/>
  <c r="C164" i="5"/>
  <c r="J164" i="5"/>
  <c r="B164" i="5"/>
  <c r="M164" i="5"/>
  <c r="G168" i="5"/>
  <c r="F168" i="5"/>
  <c r="K168" i="5"/>
  <c r="F183" i="5"/>
  <c r="L183" i="5"/>
  <c r="D183" i="5"/>
  <c r="K183" i="5"/>
  <c r="C183" i="5"/>
  <c r="M212" i="5"/>
  <c r="E212" i="5"/>
  <c r="K212" i="5"/>
  <c r="C212" i="5"/>
  <c r="J212" i="5"/>
  <c r="B212" i="5"/>
  <c r="G218" i="5"/>
  <c r="M218" i="5"/>
  <c r="E218" i="5"/>
  <c r="L218" i="5"/>
  <c r="D218" i="5"/>
  <c r="J218" i="5"/>
  <c r="B218" i="5"/>
  <c r="J235" i="5"/>
  <c r="B235" i="5"/>
  <c r="H235" i="5"/>
  <c r="G235" i="5"/>
  <c r="M235" i="5"/>
  <c r="E235" i="5"/>
  <c r="M244" i="5"/>
  <c r="E244" i="5"/>
  <c r="K244" i="5"/>
  <c r="C244" i="5"/>
  <c r="J244" i="5"/>
  <c r="B244" i="5"/>
  <c r="H244" i="5"/>
  <c r="H261" i="5"/>
  <c r="F261" i="5"/>
  <c r="M261" i="5"/>
  <c r="E261" i="5"/>
  <c r="K261" i="5"/>
  <c r="C261" i="5"/>
  <c r="G290" i="5"/>
  <c r="F290" i="5"/>
  <c r="M290" i="5"/>
  <c r="E290" i="5"/>
  <c r="L290" i="5"/>
  <c r="D290" i="5"/>
  <c r="J290" i="5"/>
  <c r="B290" i="5"/>
  <c r="G306" i="5"/>
  <c r="F306" i="5"/>
  <c r="M306" i="5"/>
  <c r="E306" i="5"/>
  <c r="L306" i="5"/>
  <c r="D306" i="5"/>
  <c r="J306" i="5"/>
  <c r="B306" i="5"/>
  <c r="G322" i="5"/>
  <c r="F322" i="5"/>
  <c r="M322" i="5"/>
  <c r="E322" i="5"/>
  <c r="L322" i="5"/>
  <c r="D322" i="5"/>
  <c r="J322" i="5"/>
  <c r="B322" i="5"/>
  <c r="G338" i="5"/>
  <c r="F338" i="5"/>
  <c r="M338" i="5"/>
  <c r="E338" i="5"/>
  <c r="L338" i="5"/>
  <c r="D338" i="5"/>
  <c r="J338" i="5"/>
  <c r="B338" i="5"/>
  <c r="K408" i="5"/>
  <c r="C408" i="5"/>
  <c r="I408" i="5"/>
  <c r="H408" i="5"/>
  <c r="G408" i="5"/>
  <c r="F408" i="5"/>
  <c r="M408" i="5"/>
  <c r="D408" i="5"/>
  <c r="F425" i="5"/>
  <c r="E425" i="5"/>
  <c r="M425" i="5"/>
  <c r="D425" i="5"/>
  <c r="L425" i="5"/>
  <c r="C425" i="5"/>
  <c r="K425" i="5"/>
  <c r="B425" i="5"/>
  <c r="I425" i="5"/>
  <c r="L427" i="5"/>
  <c r="D427" i="5"/>
  <c r="F427" i="5"/>
  <c r="E427" i="5"/>
  <c r="M427" i="5"/>
  <c r="C427" i="5"/>
  <c r="K427" i="5"/>
  <c r="B427" i="5"/>
  <c r="I427" i="5"/>
  <c r="K432" i="5"/>
  <c r="C432" i="5"/>
  <c r="G432" i="5"/>
  <c r="I432" i="5"/>
  <c r="H432" i="5"/>
  <c r="F432" i="5"/>
  <c r="E432" i="5"/>
  <c r="M432" i="5"/>
  <c r="B432" i="5"/>
  <c r="G436" i="5"/>
  <c r="K436" i="5"/>
  <c r="C436" i="5"/>
  <c r="F436" i="5"/>
  <c r="E436" i="5"/>
  <c r="D436" i="5"/>
  <c r="M436" i="5"/>
  <c r="B436" i="5"/>
  <c r="J436" i="5"/>
  <c r="F457" i="5"/>
  <c r="J457" i="5"/>
  <c r="B457" i="5"/>
  <c r="I457" i="5"/>
  <c r="H457" i="5"/>
  <c r="G457" i="5"/>
  <c r="E457" i="5"/>
  <c r="M457" i="5"/>
  <c r="C457" i="5"/>
  <c r="K464" i="5"/>
  <c r="C464" i="5"/>
  <c r="G464" i="5"/>
  <c r="I464" i="5"/>
  <c r="H464" i="5"/>
  <c r="F464" i="5"/>
  <c r="E464" i="5"/>
  <c r="M464" i="5"/>
  <c r="B464" i="5"/>
  <c r="G468" i="5"/>
  <c r="K468" i="5"/>
  <c r="C468" i="5"/>
  <c r="F468" i="5"/>
  <c r="E468" i="5"/>
  <c r="D468" i="5"/>
  <c r="M468" i="5"/>
  <c r="B468" i="5"/>
  <c r="J468" i="5"/>
  <c r="F489" i="5"/>
  <c r="J489" i="5"/>
  <c r="B489" i="5"/>
  <c r="I489" i="5"/>
  <c r="H489" i="5"/>
  <c r="G489" i="5"/>
  <c r="E489" i="5"/>
  <c r="M489" i="5"/>
  <c r="C489" i="5"/>
  <c r="K496" i="5"/>
  <c r="C496" i="5"/>
  <c r="G496" i="5"/>
  <c r="I496" i="5"/>
  <c r="H496" i="5"/>
  <c r="F496" i="5"/>
  <c r="E496" i="5"/>
  <c r="M496" i="5"/>
  <c r="B496" i="5"/>
  <c r="G500" i="5"/>
  <c r="K500" i="5"/>
  <c r="C500" i="5"/>
  <c r="F500" i="5"/>
  <c r="E500" i="5"/>
  <c r="D500" i="5"/>
  <c r="M500" i="5"/>
  <c r="B500" i="5"/>
  <c r="J500" i="5"/>
  <c r="L579" i="5"/>
  <c r="D579" i="5"/>
  <c r="K579" i="5"/>
  <c r="C579" i="5"/>
  <c r="H579" i="5"/>
  <c r="J579" i="5"/>
  <c r="I579" i="5"/>
  <c r="G579" i="5"/>
  <c r="F579" i="5"/>
  <c r="B579" i="5"/>
  <c r="H607" i="5"/>
  <c r="G607" i="5"/>
  <c r="L607" i="5"/>
  <c r="D607" i="5"/>
  <c r="K607" i="5"/>
  <c r="J607" i="5"/>
  <c r="I607" i="5"/>
  <c r="F607" i="5"/>
  <c r="C607" i="5"/>
  <c r="F625" i="5"/>
  <c r="M625" i="5"/>
  <c r="E625" i="5"/>
  <c r="L625" i="5"/>
  <c r="D625" i="5"/>
  <c r="J625" i="5"/>
  <c r="B625" i="5"/>
  <c r="K625" i="5"/>
  <c r="I625" i="5"/>
  <c r="G625" i="5"/>
  <c r="L675" i="5"/>
  <c r="D675" i="5"/>
  <c r="K675" i="5"/>
  <c r="C675" i="5"/>
  <c r="J675" i="5"/>
  <c r="B675" i="5"/>
  <c r="H675" i="5"/>
  <c r="M675" i="5"/>
  <c r="I675" i="5"/>
  <c r="F675" i="5"/>
  <c r="G820" i="5"/>
  <c r="F820" i="5"/>
  <c r="M820" i="5"/>
  <c r="E820" i="5"/>
  <c r="L820" i="5"/>
  <c r="D820" i="5"/>
  <c r="K820" i="5"/>
  <c r="C820" i="5"/>
  <c r="H820" i="5"/>
  <c r="I820" i="5"/>
  <c r="F841" i="5"/>
  <c r="M841" i="5"/>
  <c r="E841" i="5"/>
  <c r="L841" i="5"/>
  <c r="D841" i="5"/>
  <c r="K841" i="5"/>
  <c r="C841" i="5"/>
  <c r="J841" i="5"/>
  <c r="B841" i="5"/>
  <c r="G841" i="5"/>
  <c r="I841" i="5"/>
  <c r="H841" i="5"/>
  <c r="F985" i="5"/>
  <c r="M985" i="5"/>
  <c r="E985" i="5"/>
  <c r="L985" i="5"/>
  <c r="D985" i="5"/>
  <c r="K985" i="5"/>
  <c r="C985" i="5"/>
  <c r="J985" i="5"/>
  <c r="B985" i="5"/>
  <c r="G985" i="5"/>
  <c r="H985" i="5"/>
  <c r="D137" i="6"/>
  <c r="A268" i="7"/>
  <c r="F268" i="6"/>
  <c r="M268" i="6"/>
  <c r="E268" i="6"/>
  <c r="L268" i="6"/>
  <c r="D268" i="6"/>
  <c r="K268" i="6"/>
  <c r="C268" i="6"/>
  <c r="J268" i="6"/>
  <c r="I268" i="6"/>
  <c r="H268" i="6"/>
  <c r="G268" i="6"/>
  <c r="A298" i="7"/>
  <c r="H298" i="6"/>
  <c r="G298" i="6"/>
  <c r="F298" i="6"/>
  <c r="M298" i="6"/>
  <c r="E298" i="6"/>
  <c r="K298" i="6"/>
  <c r="J298" i="6"/>
  <c r="I298" i="6"/>
  <c r="D298" i="6"/>
  <c r="C298" i="6"/>
  <c r="L298" i="6"/>
  <c r="B298" i="6"/>
  <c r="A458" i="7"/>
  <c r="H458" i="6"/>
  <c r="G458" i="6"/>
  <c r="F458" i="6"/>
  <c r="M458" i="6"/>
  <c r="E458" i="6"/>
  <c r="L458" i="6"/>
  <c r="D458" i="6"/>
  <c r="K458" i="6"/>
  <c r="J458" i="6"/>
  <c r="I458" i="6"/>
  <c r="C458" i="6"/>
  <c r="B458" i="6"/>
  <c r="A562" i="7"/>
  <c r="H562" i="6"/>
  <c r="G562" i="6"/>
  <c r="F562" i="6"/>
  <c r="M562" i="6"/>
  <c r="E562" i="6"/>
  <c r="L562" i="6"/>
  <c r="D562" i="6"/>
  <c r="K562" i="6"/>
  <c r="J562" i="6"/>
  <c r="I562" i="6"/>
  <c r="C562" i="6"/>
  <c r="B562" i="6"/>
  <c r="H658" i="4"/>
  <c r="B664" i="4"/>
  <c r="J664" i="4"/>
  <c r="H666" i="4"/>
  <c r="B672" i="4"/>
  <c r="J672" i="4"/>
  <c r="H674" i="4"/>
  <c r="B680" i="4"/>
  <c r="J680" i="4"/>
  <c r="H682" i="4"/>
  <c r="B688" i="4"/>
  <c r="J688" i="4"/>
  <c r="H690" i="4"/>
  <c r="B696" i="4"/>
  <c r="J696" i="4"/>
  <c r="H698" i="4"/>
  <c r="B704" i="4"/>
  <c r="J704" i="4"/>
  <c r="H706" i="4"/>
  <c r="B712" i="4"/>
  <c r="J712" i="4"/>
  <c r="H714" i="4"/>
  <c r="B720" i="4"/>
  <c r="J720" i="4"/>
  <c r="H722" i="4"/>
  <c r="B728" i="4"/>
  <c r="J728" i="4"/>
  <c r="H730" i="4"/>
  <c r="B736" i="4"/>
  <c r="J736" i="4"/>
  <c r="H738" i="4"/>
  <c r="B744" i="4"/>
  <c r="J744" i="4"/>
  <c r="H746" i="4"/>
  <c r="B752" i="4"/>
  <c r="J752" i="4"/>
  <c r="H754" i="4"/>
  <c r="B760" i="4"/>
  <c r="J760" i="4"/>
  <c r="H762" i="4"/>
  <c r="B768" i="4"/>
  <c r="J768" i="4"/>
  <c r="H770" i="4"/>
  <c r="B776" i="4"/>
  <c r="J776" i="4"/>
  <c r="H778" i="4"/>
  <c r="B784" i="4"/>
  <c r="J784" i="4"/>
  <c r="H786" i="4"/>
  <c r="B792" i="4"/>
  <c r="J792" i="4"/>
  <c r="H794" i="4"/>
  <c r="B800" i="4"/>
  <c r="J800" i="4"/>
  <c r="H802" i="4"/>
  <c r="B808" i="4"/>
  <c r="J808" i="4"/>
  <c r="H810" i="4"/>
  <c r="B816" i="4"/>
  <c r="J816" i="4"/>
  <c r="H818" i="4"/>
  <c r="B824" i="4"/>
  <c r="J824" i="4"/>
  <c r="H826" i="4"/>
  <c r="B832" i="4"/>
  <c r="J832" i="4"/>
  <c r="H834" i="4"/>
  <c r="B840" i="4"/>
  <c r="J840" i="4"/>
  <c r="H842" i="4"/>
  <c r="B848" i="4"/>
  <c r="J848" i="4"/>
  <c r="H850" i="4"/>
  <c r="B856" i="4"/>
  <c r="J856" i="4"/>
  <c r="H858" i="4"/>
  <c r="B864" i="4"/>
  <c r="J864" i="4"/>
  <c r="H866" i="4"/>
  <c r="B872" i="4"/>
  <c r="J872" i="4"/>
  <c r="H874" i="4"/>
  <c r="B880" i="4"/>
  <c r="J880" i="4"/>
  <c r="H882" i="4"/>
  <c r="B888" i="4"/>
  <c r="J888" i="4"/>
  <c r="H890" i="4"/>
  <c r="B896" i="4"/>
  <c r="J896" i="4"/>
  <c r="H898" i="4"/>
  <c r="B904" i="4"/>
  <c r="J904" i="4"/>
  <c r="H906" i="4"/>
  <c r="B912" i="4"/>
  <c r="J912" i="4"/>
  <c r="H914" i="4"/>
  <c r="B920" i="4"/>
  <c r="J920" i="4"/>
  <c r="H922" i="4"/>
  <c r="B928" i="4"/>
  <c r="J928" i="4"/>
  <c r="H930" i="4"/>
  <c r="B936" i="4"/>
  <c r="J936" i="4"/>
  <c r="H938" i="4"/>
  <c r="B944" i="4"/>
  <c r="J944" i="4"/>
  <c r="H946" i="4"/>
  <c r="B952" i="4"/>
  <c r="J952" i="4"/>
  <c r="H954" i="4"/>
  <c r="B960" i="4"/>
  <c r="J960" i="4"/>
  <c r="H962" i="4"/>
  <c r="B968" i="4"/>
  <c r="J968" i="4"/>
  <c r="H970" i="4"/>
  <c r="B976" i="4"/>
  <c r="J976" i="4"/>
  <c r="H978" i="4"/>
  <c r="B984" i="4"/>
  <c r="J984" i="4"/>
  <c r="H986" i="4"/>
  <c r="B992" i="4"/>
  <c r="J992" i="4"/>
  <c r="H994" i="4"/>
  <c r="B1000" i="4"/>
  <c r="J1000" i="4"/>
  <c r="H3" i="5"/>
  <c r="B9" i="5"/>
  <c r="J9" i="5"/>
  <c r="H11" i="5"/>
  <c r="B17" i="5"/>
  <c r="J17" i="5"/>
  <c r="H19" i="5"/>
  <c r="B25" i="5"/>
  <c r="J25" i="5"/>
  <c r="H27" i="5"/>
  <c r="B33" i="5"/>
  <c r="J33" i="5"/>
  <c r="H35" i="5"/>
  <c r="B41" i="5"/>
  <c r="J41" i="5"/>
  <c r="H43" i="5"/>
  <c r="B49" i="5"/>
  <c r="J49" i="5"/>
  <c r="H51" i="5"/>
  <c r="B57" i="5"/>
  <c r="J57" i="5"/>
  <c r="H59" i="5"/>
  <c r="B65" i="5"/>
  <c r="J65" i="5"/>
  <c r="H67" i="5"/>
  <c r="B73" i="5"/>
  <c r="J73" i="5"/>
  <c r="H75" i="5"/>
  <c r="B81" i="5"/>
  <c r="J81" i="5"/>
  <c r="H83" i="5"/>
  <c r="B89" i="5"/>
  <c r="J89" i="5"/>
  <c r="H91" i="5"/>
  <c r="K100" i="5"/>
  <c r="C100" i="5"/>
  <c r="J100" i="5"/>
  <c r="J107" i="5"/>
  <c r="B109" i="5"/>
  <c r="K109" i="5"/>
  <c r="B111" i="5"/>
  <c r="K111" i="5"/>
  <c r="K116" i="5"/>
  <c r="C116" i="5"/>
  <c r="J116" i="5"/>
  <c r="J123" i="5"/>
  <c r="B125" i="5"/>
  <c r="K125" i="5"/>
  <c r="B127" i="5"/>
  <c r="K127" i="5"/>
  <c r="K132" i="5"/>
  <c r="C132" i="5"/>
  <c r="J132" i="5"/>
  <c r="M138" i="5"/>
  <c r="E138" i="5"/>
  <c r="L138" i="5"/>
  <c r="D138" i="5"/>
  <c r="K138" i="5"/>
  <c r="B157" i="5"/>
  <c r="L157" i="5"/>
  <c r="D164" i="5"/>
  <c r="F165" i="5"/>
  <c r="M165" i="5"/>
  <c r="E165" i="5"/>
  <c r="K165" i="5"/>
  <c r="B168" i="5"/>
  <c r="L168" i="5"/>
  <c r="K172" i="5"/>
  <c r="C172" i="5"/>
  <c r="J172" i="5"/>
  <c r="B172" i="5"/>
  <c r="M172" i="5"/>
  <c r="B183" i="5"/>
  <c r="F191" i="5"/>
  <c r="L191" i="5"/>
  <c r="D191" i="5"/>
  <c r="K191" i="5"/>
  <c r="C191" i="5"/>
  <c r="D212" i="5"/>
  <c r="C218" i="5"/>
  <c r="G226" i="5"/>
  <c r="M226" i="5"/>
  <c r="E226" i="5"/>
  <c r="L226" i="5"/>
  <c r="D226" i="5"/>
  <c r="J226" i="5"/>
  <c r="B226" i="5"/>
  <c r="C235" i="5"/>
  <c r="J243" i="5"/>
  <c r="B243" i="5"/>
  <c r="H243" i="5"/>
  <c r="G243" i="5"/>
  <c r="M243" i="5"/>
  <c r="E243" i="5"/>
  <c r="D244" i="5"/>
  <c r="M252" i="5"/>
  <c r="E252" i="5"/>
  <c r="K252" i="5"/>
  <c r="C252" i="5"/>
  <c r="J252" i="5"/>
  <c r="B252" i="5"/>
  <c r="H252" i="5"/>
  <c r="B261" i="5"/>
  <c r="H269" i="5"/>
  <c r="F269" i="5"/>
  <c r="M269" i="5"/>
  <c r="E269" i="5"/>
  <c r="K269" i="5"/>
  <c r="C269" i="5"/>
  <c r="G284" i="5"/>
  <c r="C290" i="5"/>
  <c r="D293" i="5"/>
  <c r="G300" i="5"/>
  <c r="C306" i="5"/>
  <c r="D309" i="5"/>
  <c r="G316" i="5"/>
  <c r="C322" i="5"/>
  <c r="D325" i="5"/>
  <c r="G332" i="5"/>
  <c r="C338" i="5"/>
  <c r="D341" i="5"/>
  <c r="F345" i="5"/>
  <c r="E345" i="5"/>
  <c r="M345" i="5"/>
  <c r="D345" i="5"/>
  <c r="L345" i="5"/>
  <c r="C345" i="5"/>
  <c r="K345" i="5"/>
  <c r="B345" i="5"/>
  <c r="I345" i="5"/>
  <c r="L347" i="5"/>
  <c r="D347" i="5"/>
  <c r="F347" i="5"/>
  <c r="E347" i="5"/>
  <c r="M347" i="5"/>
  <c r="C347" i="5"/>
  <c r="K347" i="5"/>
  <c r="B347" i="5"/>
  <c r="I347" i="5"/>
  <c r="M358" i="5"/>
  <c r="E358" i="5"/>
  <c r="H358" i="5"/>
  <c r="G358" i="5"/>
  <c r="F358" i="5"/>
  <c r="D358" i="5"/>
  <c r="K358" i="5"/>
  <c r="B358" i="5"/>
  <c r="E360" i="5"/>
  <c r="J367" i="5"/>
  <c r="H377" i="5"/>
  <c r="H379" i="5"/>
  <c r="H383" i="5"/>
  <c r="I383" i="5"/>
  <c r="G383" i="5"/>
  <c r="F383" i="5"/>
  <c r="E383" i="5"/>
  <c r="L383" i="5"/>
  <c r="C383" i="5"/>
  <c r="I390" i="5"/>
  <c r="B408" i="5"/>
  <c r="D415" i="5"/>
  <c r="G425" i="5"/>
  <c r="G427" i="5"/>
  <c r="D432" i="5"/>
  <c r="H436" i="5"/>
  <c r="J439" i="5"/>
  <c r="D457" i="5"/>
  <c r="J460" i="5"/>
  <c r="D464" i="5"/>
  <c r="H468" i="5"/>
  <c r="J471" i="5"/>
  <c r="D489" i="5"/>
  <c r="J492" i="5"/>
  <c r="D496" i="5"/>
  <c r="H500" i="5"/>
  <c r="J503" i="5"/>
  <c r="L531" i="5"/>
  <c r="D531" i="5"/>
  <c r="K531" i="5"/>
  <c r="C531" i="5"/>
  <c r="H531" i="5"/>
  <c r="G531" i="5"/>
  <c r="F531" i="5"/>
  <c r="E531" i="5"/>
  <c r="B531" i="5"/>
  <c r="M531" i="5"/>
  <c r="M544" i="5"/>
  <c r="F561" i="5"/>
  <c r="M561" i="5"/>
  <c r="E561" i="5"/>
  <c r="J561" i="5"/>
  <c r="B561" i="5"/>
  <c r="H561" i="5"/>
  <c r="G561" i="5"/>
  <c r="D561" i="5"/>
  <c r="C561" i="5"/>
  <c r="L561" i="5"/>
  <c r="J567" i="5"/>
  <c r="M572" i="5"/>
  <c r="E579" i="5"/>
  <c r="J595" i="5"/>
  <c r="F600" i="5"/>
  <c r="B607" i="5"/>
  <c r="L609" i="5"/>
  <c r="H615" i="5"/>
  <c r="G615" i="5"/>
  <c r="L615" i="5"/>
  <c r="D615" i="5"/>
  <c r="J615" i="5"/>
  <c r="I615" i="5"/>
  <c r="F615" i="5"/>
  <c r="E615" i="5"/>
  <c r="B615" i="5"/>
  <c r="C625" i="5"/>
  <c r="H639" i="5"/>
  <c r="G639" i="5"/>
  <c r="F639" i="5"/>
  <c r="L639" i="5"/>
  <c r="D639" i="5"/>
  <c r="I639" i="5"/>
  <c r="E639" i="5"/>
  <c r="C639" i="5"/>
  <c r="B639" i="5"/>
  <c r="M639" i="5"/>
  <c r="E675" i="5"/>
  <c r="F713" i="5"/>
  <c r="M713" i="5"/>
  <c r="E713" i="5"/>
  <c r="L713" i="5"/>
  <c r="D713" i="5"/>
  <c r="J713" i="5"/>
  <c r="B713" i="5"/>
  <c r="G713" i="5"/>
  <c r="K713" i="5"/>
  <c r="I713" i="5"/>
  <c r="C713" i="5"/>
  <c r="G756" i="5"/>
  <c r="F756" i="5"/>
  <c r="M756" i="5"/>
  <c r="E756" i="5"/>
  <c r="L756" i="5"/>
  <c r="D756" i="5"/>
  <c r="K756" i="5"/>
  <c r="C756" i="5"/>
  <c r="H756" i="5"/>
  <c r="I756" i="5"/>
  <c r="F777" i="5"/>
  <c r="M777" i="5"/>
  <c r="E777" i="5"/>
  <c r="L777" i="5"/>
  <c r="D777" i="5"/>
  <c r="K777" i="5"/>
  <c r="C777" i="5"/>
  <c r="J777" i="5"/>
  <c r="B777" i="5"/>
  <c r="G777" i="5"/>
  <c r="I777" i="5"/>
  <c r="H777" i="5"/>
  <c r="B820" i="5"/>
  <c r="F921" i="5"/>
  <c r="M921" i="5"/>
  <c r="E921" i="5"/>
  <c r="L921" i="5"/>
  <c r="D921" i="5"/>
  <c r="K921" i="5"/>
  <c r="C921" i="5"/>
  <c r="J921" i="5"/>
  <c r="B921" i="5"/>
  <c r="G921" i="5"/>
  <c r="H921" i="5"/>
  <c r="I985" i="5"/>
  <c r="G988" i="5"/>
  <c r="F988" i="5"/>
  <c r="M988" i="5"/>
  <c r="E988" i="5"/>
  <c r="L988" i="5"/>
  <c r="D988" i="5"/>
  <c r="K988" i="5"/>
  <c r="C988" i="5"/>
  <c r="H988" i="5"/>
  <c r="J988" i="5"/>
  <c r="I988" i="5"/>
  <c r="B988" i="5"/>
  <c r="A5" i="7"/>
  <c r="G5" i="6"/>
  <c r="F5" i="6"/>
  <c r="M5" i="6"/>
  <c r="E5" i="6"/>
  <c r="L5" i="6"/>
  <c r="D5" i="6"/>
  <c r="K5" i="6"/>
  <c r="C5" i="6"/>
  <c r="H5" i="6"/>
  <c r="J5" i="6"/>
  <c r="B5" i="6"/>
  <c r="A58" i="7"/>
  <c r="F58" i="6"/>
  <c r="M58" i="6"/>
  <c r="E58" i="6"/>
  <c r="L58" i="6"/>
  <c r="D58" i="6"/>
  <c r="K58" i="6"/>
  <c r="C58" i="6"/>
  <c r="J58" i="6"/>
  <c r="B58" i="6"/>
  <c r="G58" i="6"/>
  <c r="I58" i="6"/>
  <c r="A233" i="7"/>
  <c r="M233" i="6"/>
  <c r="E233" i="6"/>
  <c r="K233" i="6"/>
  <c r="C233" i="6"/>
  <c r="J233" i="6"/>
  <c r="B233" i="6"/>
  <c r="L233" i="6"/>
  <c r="I233" i="6"/>
  <c r="H233" i="6"/>
  <c r="G233" i="6"/>
  <c r="F233" i="6"/>
  <c r="B268" i="6"/>
  <c r="A305" i="8"/>
  <c r="H305" i="7"/>
  <c r="G305" i="7"/>
  <c r="F305" i="7"/>
  <c r="M305" i="7"/>
  <c r="E305" i="7"/>
  <c r="L305" i="7"/>
  <c r="D305" i="7"/>
  <c r="K305" i="7"/>
  <c r="J305" i="7"/>
  <c r="I305" i="7"/>
  <c r="C305" i="7"/>
  <c r="B305" i="7"/>
  <c r="A358" i="8"/>
  <c r="F358" i="7"/>
  <c r="M358" i="7"/>
  <c r="E358" i="7"/>
  <c r="L358" i="7"/>
  <c r="D358" i="7"/>
  <c r="K358" i="7"/>
  <c r="C358" i="7"/>
  <c r="J358" i="7"/>
  <c r="B358" i="7"/>
  <c r="I358" i="7"/>
  <c r="H358" i="7"/>
  <c r="G358" i="7"/>
  <c r="C664" i="4"/>
  <c r="C672" i="4"/>
  <c r="C680" i="4"/>
  <c r="C688" i="4"/>
  <c r="C696" i="4"/>
  <c r="C704" i="4"/>
  <c r="C712" i="4"/>
  <c r="C720" i="4"/>
  <c r="C728" i="4"/>
  <c r="C736" i="4"/>
  <c r="C744" i="4"/>
  <c r="C752" i="4"/>
  <c r="C760" i="4"/>
  <c r="C768" i="4"/>
  <c r="C776" i="4"/>
  <c r="C784" i="4"/>
  <c r="C792" i="4"/>
  <c r="C800" i="4"/>
  <c r="C808" i="4"/>
  <c r="C816" i="4"/>
  <c r="C824" i="4"/>
  <c r="C832" i="4"/>
  <c r="C840" i="4"/>
  <c r="C848" i="4"/>
  <c r="C856" i="4"/>
  <c r="C864" i="4"/>
  <c r="C872" i="4"/>
  <c r="C880" i="4"/>
  <c r="C888" i="4"/>
  <c r="C896" i="4"/>
  <c r="C904" i="4"/>
  <c r="C912" i="4"/>
  <c r="C920" i="4"/>
  <c r="C928" i="4"/>
  <c r="C936" i="4"/>
  <c r="C944" i="4"/>
  <c r="C952" i="4"/>
  <c r="C960" i="4"/>
  <c r="C968" i="4"/>
  <c r="C976" i="4"/>
  <c r="C984" i="4"/>
  <c r="C992" i="4"/>
  <c r="C1000" i="4"/>
  <c r="C9" i="5"/>
  <c r="C17" i="5"/>
  <c r="C25" i="5"/>
  <c r="C33" i="5"/>
  <c r="C41" i="5"/>
  <c r="C49" i="5"/>
  <c r="C57" i="5"/>
  <c r="C65" i="5"/>
  <c r="C73" i="5"/>
  <c r="C81" i="5"/>
  <c r="C89" i="5"/>
  <c r="M98" i="5"/>
  <c r="E98" i="5"/>
  <c r="J98" i="5"/>
  <c r="C109" i="5"/>
  <c r="L109" i="5"/>
  <c r="C111" i="5"/>
  <c r="M111" i="5"/>
  <c r="M114" i="5"/>
  <c r="E114" i="5"/>
  <c r="J114" i="5"/>
  <c r="C125" i="5"/>
  <c r="L125" i="5"/>
  <c r="C127" i="5"/>
  <c r="M127" i="5"/>
  <c r="M130" i="5"/>
  <c r="E130" i="5"/>
  <c r="J130" i="5"/>
  <c r="H139" i="5"/>
  <c r="G139" i="5"/>
  <c r="K139" i="5"/>
  <c r="M146" i="5"/>
  <c r="E146" i="5"/>
  <c r="L146" i="5"/>
  <c r="D146" i="5"/>
  <c r="K146" i="5"/>
  <c r="C157" i="5"/>
  <c r="E164" i="5"/>
  <c r="C168" i="5"/>
  <c r="M168" i="5"/>
  <c r="H173" i="5"/>
  <c r="F173" i="5"/>
  <c r="M173" i="5"/>
  <c r="E173" i="5"/>
  <c r="L173" i="5"/>
  <c r="E183" i="5"/>
  <c r="F199" i="5"/>
  <c r="L199" i="5"/>
  <c r="D199" i="5"/>
  <c r="K199" i="5"/>
  <c r="C199" i="5"/>
  <c r="F212" i="5"/>
  <c r="F218" i="5"/>
  <c r="G234" i="5"/>
  <c r="M234" i="5"/>
  <c r="E234" i="5"/>
  <c r="L234" i="5"/>
  <c r="D234" i="5"/>
  <c r="J234" i="5"/>
  <c r="B234" i="5"/>
  <c r="D235" i="5"/>
  <c r="F244" i="5"/>
  <c r="J251" i="5"/>
  <c r="B251" i="5"/>
  <c r="H251" i="5"/>
  <c r="G251" i="5"/>
  <c r="M251" i="5"/>
  <c r="E251" i="5"/>
  <c r="M260" i="5"/>
  <c r="E260" i="5"/>
  <c r="K260" i="5"/>
  <c r="C260" i="5"/>
  <c r="J260" i="5"/>
  <c r="B260" i="5"/>
  <c r="H260" i="5"/>
  <c r="D261" i="5"/>
  <c r="H290" i="5"/>
  <c r="H306" i="5"/>
  <c r="H322" i="5"/>
  <c r="H338" i="5"/>
  <c r="K376" i="5"/>
  <c r="C376" i="5"/>
  <c r="I376" i="5"/>
  <c r="H376" i="5"/>
  <c r="G376" i="5"/>
  <c r="F376" i="5"/>
  <c r="M376" i="5"/>
  <c r="D376" i="5"/>
  <c r="F393" i="5"/>
  <c r="E393" i="5"/>
  <c r="M393" i="5"/>
  <c r="D393" i="5"/>
  <c r="L393" i="5"/>
  <c r="C393" i="5"/>
  <c r="K393" i="5"/>
  <c r="B393" i="5"/>
  <c r="I393" i="5"/>
  <c r="L395" i="5"/>
  <c r="D395" i="5"/>
  <c r="F395" i="5"/>
  <c r="E395" i="5"/>
  <c r="M395" i="5"/>
  <c r="C395" i="5"/>
  <c r="K395" i="5"/>
  <c r="B395" i="5"/>
  <c r="I395" i="5"/>
  <c r="M406" i="5"/>
  <c r="E406" i="5"/>
  <c r="H406" i="5"/>
  <c r="G406" i="5"/>
  <c r="F406" i="5"/>
  <c r="D406" i="5"/>
  <c r="K406" i="5"/>
  <c r="B406" i="5"/>
  <c r="E408" i="5"/>
  <c r="J415" i="5"/>
  <c r="H425" i="5"/>
  <c r="H427" i="5"/>
  <c r="J432" i="5"/>
  <c r="I436" i="5"/>
  <c r="K439" i="5"/>
  <c r="H447" i="5"/>
  <c r="L447" i="5"/>
  <c r="D447" i="5"/>
  <c r="F447" i="5"/>
  <c r="E447" i="5"/>
  <c r="C447" i="5"/>
  <c r="M447" i="5"/>
  <c r="B447" i="5"/>
  <c r="J447" i="5"/>
  <c r="J453" i="5"/>
  <c r="B453" i="5"/>
  <c r="F453" i="5"/>
  <c r="I453" i="5"/>
  <c r="H453" i="5"/>
  <c r="G453" i="5"/>
  <c r="E453" i="5"/>
  <c r="M453" i="5"/>
  <c r="C453" i="5"/>
  <c r="K457" i="5"/>
  <c r="L460" i="5"/>
  <c r="J464" i="5"/>
  <c r="I468" i="5"/>
  <c r="K471" i="5"/>
  <c r="H479" i="5"/>
  <c r="L479" i="5"/>
  <c r="D479" i="5"/>
  <c r="F479" i="5"/>
  <c r="E479" i="5"/>
  <c r="C479" i="5"/>
  <c r="M479" i="5"/>
  <c r="B479" i="5"/>
  <c r="J479" i="5"/>
  <c r="J485" i="5"/>
  <c r="B485" i="5"/>
  <c r="F485" i="5"/>
  <c r="I485" i="5"/>
  <c r="H485" i="5"/>
  <c r="G485" i="5"/>
  <c r="E485" i="5"/>
  <c r="M485" i="5"/>
  <c r="C485" i="5"/>
  <c r="K489" i="5"/>
  <c r="L492" i="5"/>
  <c r="J496" i="5"/>
  <c r="I500" i="5"/>
  <c r="K503" i="5"/>
  <c r="H511" i="5"/>
  <c r="L511" i="5"/>
  <c r="D511" i="5"/>
  <c r="F511" i="5"/>
  <c r="E511" i="5"/>
  <c r="C511" i="5"/>
  <c r="M511" i="5"/>
  <c r="B511" i="5"/>
  <c r="J511" i="5"/>
  <c r="L515" i="5"/>
  <c r="D515" i="5"/>
  <c r="K515" i="5"/>
  <c r="C515" i="5"/>
  <c r="H515" i="5"/>
  <c r="J515" i="5"/>
  <c r="I515" i="5"/>
  <c r="G515" i="5"/>
  <c r="F515" i="5"/>
  <c r="B515" i="5"/>
  <c r="I531" i="5"/>
  <c r="K536" i="5"/>
  <c r="C536" i="5"/>
  <c r="J536" i="5"/>
  <c r="B536" i="5"/>
  <c r="G536" i="5"/>
  <c r="M536" i="5"/>
  <c r="L536" i="5"/>
  <c r="I536" i="5"/>
  <c r="H536" i="5"/>
  <c r="E536" i="5"/>
  <c r="F545" i="5"/>
  <c r="M545" i="5"/>
  <c r="E545" i="5"/>
  <c r="J545" i="5"/>
  <c r="B545" i="5"/>
  <c r="K545" i="5"/>
  <c r="I545" i="5"/>
  <c r="H545" i="5"/>
  <c r="G545" i="5"/>
  <c r="C545" i="5"/>
  <c r="I561" i="5"/>
  <c r="M567" i="5"/>
  <c r="M579" i="5"/>
  <c r="G596" i="5"/>
  <c r="F596" i="5"/>
  <c r="K596" i="5"/>
  <c r="C596" i="5"/>
  <c r="H596" i="5"/>
  <c r="E596" i="5"/>
  <c r="D596" i="5"/>
  <c r="B596" i="5"/>
  <c r="L596" i="5"/>
  <c r="F601" i="5"/>
  <c r="M601" i="5"/>
  <c r="E601" i="5"/>
  <c r="J601" i="5"/>
  <c r="B601" i="5"/>
  <c r="L601" i="5"/>
  <c r="K601" i="5"/>
  <c r="I601" i="5"/>
  <c r="H601" i="5"/>
  <c r="D601" i="5"/>
  <c r="E607" i="5"/>
  <c r="C615" i="5"/>
  <c r="H625" i="5"/>
  <c r="G628" i="5"/>
  <c r="F628" i="5"/>
  <c r="M628" i="5"/>
  <c r="E628" i="5"/>
  <c r="K628" i="5"/>
  <c r="C628" i="5"/>
  <c r="L628" i="5"/>
  <c r="J628" i="5"/>
  <c r="I628" i="5"/>
  <c r="D628" i="5"/>
  <c r="L635" i="5"/>
  <c r="D635" i="5"/>
  <c r="K635" i="5"/>
  <c r="C635" i="5"/>
  <c r="J635" i="5"/>
  <c r="B635" i="5"/>
  <c r="H635" i="5"/>
  <c r="I635" i="5"/>
  <c r="G635" i="5"/>
  <c r="F635" i="5"/>
  <c r="E635" i="5"/>
  <c r="F649" i="5"/>
  <c r="M649" i="5"/>
  <c r="E649" i="5"/>
  <c r="L649" i="5"/>
  <c r="D649" i="5"/>
  <c r="J649" i="5"/>
  <c r="B649" i="5"/>
  <c r="I649" i="5"/>
  <c r="H649" i="5"/>
  <c r="G649" i="5"/>
  <c r="C649" i="5"/>
  <c r="G675" i="5"/>
  <c r="H679" i="5"/>
  <c r="G679" i="5"/>
  <c r="F679" i="5"/>
  <c r="L679" i="5"/>
  <c r="D679" i="5"/>
  <c r="M679" i="5"/>
  <c r="K679" i="5"/>
  <c r="J679" i="5"/>
  <c r="I679" i="5"/>
  <c r="C679" i="5"/>
  <c r="H713" i="5"/>
  <c r="B756" i="5"/>
  <c r="J820" i="5"/>
  <c r="F857" i="5"/>
  <c r="M857" i="5"/>
  <c r="E857" i="5"/>
  <c r="L857" i="5"/>
  <c r="D857" i="5"/>
  <c r="K857" i="5"/>
  <c r="C857" i="5"/>
  <c r="J857" i="5"/>
  <c r="B857" i="5"/>
  <c r="G857" i="5"/>
  <c r="H857" i="5"/>
  <c r="I921" i="5"/>
  <c r="G924" i="5"/>
  <c r="F924" i="5"/>
  <c r="M924" i="5"/>
  <c r="E924" i="5"/>
  <c r="L924" i="5"/>
  <c r="D924" i="5"/>
  <c r="K924" i="5"/>
  <c r="C924" i="5"/>
  <c r="H924" i="5"/>
  <c r="J924" i="5"/>
  <c r="I924" i="5"/>
  <c r="B924" i="5"/>
  <c r="G940" i="5"/>
  <c r="F940" i="5"/>
  <c r="M940" i="5"/>
  <c r="E940" i="5"/>
  <c r="L940" i="5"/>
  <c r="D940" i="5"/>
  <c r="K940" i="5"/>
  <c r="C940" i="5"/>
  <c r="H940" i="5"/>
  <c r="J940" i="5"/>
  <c r="B940" i="5"/>
  <c r="I5" i="6"/>
  <c r="D233" i="6"/>
  <c r="A263" i="7"/>
  <c r="G263" i="6"/>
  <c r="F263" i="6"/>
  <c r="M263" i="6"/>
  <c r="E263" i="6"/>
  <c r="L263" i="6"/>
  <c r="D263" i="6"/>
  <c r="K263" i="6"/>
  <c r="J263" i="6"/>
  <c r="I263" i="6"/>
  <c r="H263" i="6"/>
  <c r="C263" i="6"/>
  <c r="B263" i="6"/>
  <c r="A276" i="7"/>
  <c r="F276" i="6"/>
  <c r="M276" i="6"/>
  <c r="E276" i="6"/>
  <c r="L276" i="6"/>
  <c r="D276" i="6"/>
  <c r="K276" i="6"/>
  <c r="C276" i="6"/>
  <c r="J276" i="6"/>
  <c r="I276" i="6"/>
  <c r="H276" i="6"/>
  <c r="G276" i="6"/>
  <c r="B276" i="6"/>
  <c r="A827" i="7"/>
  <c r="F827" i="6"/>
  <c r="K827" i="6"/>
  <c r="C827" i="6"/>
  <c r="J827" i="6"/>
  <c r="B827" i="6"/>
  <c r="M827" i="6"/>
  <c r="L827" i="6"/>
  <c r="I827" i="6"/>
  <c r="H827" i="6"/>
  <c r="G827" i="6"/>
  <c r="E827" i="6"/>
  <c r="D827" i="6"/>
  <c r="I223" i="5"/>
  <c r="I231" i="5"/>
  <c r="I239" i="5"/>
  <c r="I247" i="5"/>
  <c r="I255" i="5"/>
  <c r="I263" i="5"/>
  <c r="I271" i="5"/>
  <c r="E275" i="5"/>
  <c r="M275" i="5"/>
  <c r="I279" i="5"/>
  <c r="E283" i="5"/>
  <c r="M283" i="5"/>
  <c r="I287" i="5"/>
  <c r="E291" i="5"/>
  <c r="M291" i="5"/>
  <c r="I295" i="5"/>
  <c r="E299" i="5"/>
  <c r="M299" i="5"/>
  <c r="I303" i="5"/>
  <c r="E307" i="5"/>
  <c r="M307" i="5"/>
  <c r="I311" i="5"/>
  <c r="E315" i="5"/>
  <c r="M315" i="5"/>
  <c r="I319" i="5"/>
  <c r="E323" i="5"/>
  <c r="M323" i="5"/>
  <c r="I327" i="5"/>
  <c r="E331" i="5"/>
  <c r="M331" i="5"/>
  <c r="I335" i="5"/>
  <c r="E339" i="5"/>
  <c r="M339" i="5"/>
  <c r="I343" i="5"/>
  <c r="E348" i="5"/>
  <c r="J349" i="5"/>
  <c r="B349" i="5"/>
  <c r="K349" i="5"/>
  <c r="J356" i="5"/>
  <c r="F357" i="5"/>
  <c r="E364" i="5"/>
  <c r="J365" i="5"/>
  <c r="B365" i="5"/>
  <c r="K365" i="5"/>
  <c r="J372" i="5"/>
  <c r="F373" i="5"/>
  <c r="E380" i="5"/>
  <c r="J381" i="5"/>
  <c r="B381" i="5"/>
  <c r="K381" i="5"/>
  <c r="J388" i="5"/>
  <c r="F389" i="5"/>
  <c r="E396" i="5"/>
  <c r="J397" i="5"/>
  <c r="B397" i="5"/>
  <c r="K397" i="5"/>
  <c r="J404" i="5"/>
  <c r="F405" i="5"/>
  <c r="E412" i="5"/>
  <c r="J413" i="5"/>
  <c r="B413" i="5"/>
  <c r="K413" i="5"/>
  <c r="J420" i="5"/>
  <c r="F421" i="5"/>
  <c r="E428" i="5"/>
  <c r="J429" i="5"/>
  <c r="B429" i="5"/>
  <c r="K429" i="5"/>
  <c r="H520" i="5"/>
  <c r="H521" i="5"/>
  <c r="L523" i="5"/>
  <c r="D523" i="5"/>
  <c r="K523" i="5"/>
  <c r="C523" i="5"/>
  <c r="H523" i="5"/>
  <c r="G524" i="5"/>
  <c r="F524" i="5"/>
  <c r="K524" i="5"/>
  <c r="C524" i="5"/>
  <c r="M524" i="5"/>
  <c r="F527" i="5"/>
  <c r="K552" i="5"/>
  <c r="C552" i="5"/>
  <c r="J552" i="5"/>
  <c r="B552" i="5"/>
  <c r="G552" i="5"/>
  <c r="F553" i="5"/>
  <c r="M553" i="5"/>
  <c r="E553" i="5"/>
  <c r="J553" i="5"/>
  <c r="B553" i="5"/>
  <c r="G555" i="5"/>
  <c r="H556" i="5"/>
  <c r="H559" i="5"/>
  <c r="G559" i="5"/>
  <c r="L559" i="5"/>
  <c r="D559" i="5"/>
  <c r="M559" i="5"/>
  <c r="H584" i="5"/>
  <c r="H585" i="5"/>
  <c r="L587" i="5"/>
  <c r="D587" i="5"/>
  <c r="K587" i="5"/>
  <c r="C587" i="5"/>
  <c r="H587" i="5"/>
  <c r="G588" i="5"/>
  <c r="F588" i="5"/>
  <c r="K588" i="5"/>
  <c r="C588" i="5"/>
  <c r="M588" i="5"/>
  <c r="F591" i="5"/>
  <c r="K616" i="5"/>
  <c r="C616" i="5"/>
  <c r="J616" i="5"/>
  <c r="B616" i="5"/>
  <c r="G616" i="5"/>
  <c r="F617" i="5"/>
  <c r="M617" i="5"/>
  <c r="E617" i="5"/>
  <c r="J617" i="5"/>
  <c r="B617" i="5"/>
  <c r="G619" i="5"/>
  <c r="H620" i="5"/>
  <c r="L627" i="5"/>
  <c r="D627" i="5"/>
  <c r="K627" i="5"/>
  <c r="C627" i="5"/>
  <c r="J627" i="5"/>
  <c r="B627" i="5"/>
  <c r="H627" i="5"/>
  <c r="H631" i="5"/>
  <c r="G631" i="5"/>
  <c r="F631" i="5"/>
  <c r="L631" i="5"/>
  <c r="D631" i="5"/>
  <c r="F641" i="5"/>
  <c r="M641" i="5"/>
  <c r="E641" i="5"/>
  <c r="L641" i="5"/>
  <c r="D641" i="5"/>
  <c r="J641" i="5"/>
  <c r="B641" i="5"/>
  <c r="G644" i="5"/>
  <c r="F644" i="5"/>
  <c r="M644" i="5"/>
  <c r="E644" i="5"/>
  <c r="K644" i="5"/>
  <c r="C644" i="5"/>
  <c r="I663" i="5"/>
  <c r="I676" i="5"/>
  <c r="G692" i="5"/>
  <c r="F692" i="5"/>
  <c r="M692" i="5"/>
  <c r="E692" i="5"/>
  <c r="K692" i="5"/>
  <c r="C692" i="5"/>
  <c r="H692" i="5"/>
  <c r="L699" i="5"/>
  <c r="D699" i="5"/>
  <c r="K699" i="5"/>
  <c r="C699" i="5"/>
  <c r="J699" i="5"/>
  <c r="B699" i="5"/>
  <c r="H699" i="5"/>
  <c r="M699" i="5"/>
  <c r="E699" i="5"/>
  <c r="G708" i="5"/>
  <c r="F708" i="5"/>
  <c r="M708" i="5"/>
  <c r="E708" i="5"/>
  <c r="K708" i="5"/>
  <c r="C708" i="5"/>
  <c r="H708" i="5"/>
  <c r="F721" i="5"/>
  <c r="M721" i="5"/>
  <c r="E721" i="5"/>
  <c r="L721" i="5"/>
  <c r="D721" i="5"/>
  <c r="K721" i="5"/>
  <c r="C721" i="5"/>
  <c r="J721" i="5"/>
  <c r="B721" i="5"/>
  <c r="G721" i="5"/>
  <c r="G740" i="5"/>
  <c r="F740" i="5"/>
  <c r="M740" i="5"/>
  <c r="E740" i="5"/>
  <c r="L740" i="5"/>
  <c r="D740" i="5"/>
  <c r="K740" i="5"/>
  <c r="C740" i="5"/>
  <c r="H740" i="5"/>
  <c r="F785" i="5"/>
  <c r="M785" i="5"/>
  <c r="E785" i="5"/>
  <c r="L785" i="5"/>
  <c r="D785" i="5"/>
  <c r="K785" i="5"/>
  <c r="C785" i="5"/>
  <c r="J785" i="5"/>
  <c r="B785" i="5"/>
  <c r="G785" i="5"/>
  <c r="G804" i="5"/>
  <c r="F804" i="5"/>
  <c r="M804" i="5"/>
  <c r="E804" i="5"/>
  <c r="L804" i="5"/>
  <c r="D804" i="5"/>
  <c r="K804" i="5"/>
  <c r="C804" i="5"/>
  <c r="H804" i="5"/>
  <c r="F849" i="5"/>
  <c r="M849" i="5"/>
  <c r="E849" i="5"/>
  <c r="L849" i="5"/>
  <c r="D849" i="5"/>
  <c r="K849" i="5"/>
  <c r="C849" i="5"/>
  <c r="J849" i="5"/>
  <c r="B849" i="5"/>
  <c r="G849" i="5"/>
  <c r="G868" i="5"/>
  <c r="F868" i="5"/>
  <c r="M868" i="5"/>
  <c r="E868" i="5"/>
  <c r="L868" i="5"/>
  <c r="D868" i="5"/>
  <c r="K868" i="5"/>
  <c r="C868" i="5"/>
  <c r="H868" i="5"/>
  <c r="F913" i="5"/>
  <c r="M913" i="5"/>
  <c r="E913" i="5"/>
  <c r="L913" i="5"/>
  <c r="D913" i="5"/>
  <c r="K913" i="5"/>
  <c r="C913" i="5"/>
  <c r="J913" i="5"/>
  <c r="B913" i="5"/>
  <c r="G913" i="5"/>
  <c r="G932" i="5"/>
  <c r="F932" i="5"/>
  <c r="M932" i="5"/>
  <c r="E932" i="5"/>
  <c r="L932" i="5"/>
  <c r="D932" i="5"/>
  <c r="K932" i="5"/>
  <c r="C932" i="5"/>
  <c r="H932" i="5"/>
  <c r="F977" i="5"/>
  <c r="M977" i="5"/>
  <c r="E977" i="5"/>
  <c r="L977" i="5"/>
  <c r="D977" i="5"/>
  <c r="K977" i="5"/>
  <c r="C977" i="5"/>
  <c r="J977" i="5"/>
  <c r="B977" i="5"/>
  <c r="G977" i="5"/>
  <c r="G996" i="5"/>
  <c r="F996" i="5"/>
  <c r="M996" i="5"/>
  <c r="E996" i="5"/>
  <c r="L996" i="5"/>
  <c r="D996" i="5"/>
  <c r="K996" i="5"/>
  <c r="C996" i="5"/>
  <c r="H996" i="5"/>
  <c r="F42" i="6"/>
  <c r="A42" i="7"/>
  <c r="M42" i="6"/>
  <c r="E42" i="6"/>
  <c r="L42" i="6"/>
  <c r="D42" i="6"/>
  <c r="K42" i="6"/>
  <c r="C42" i="6"/>
  <c r="J42" i="6"/>
  <c r="B42" i="6"/>
  <c r="G42" i="6"/>
  <c r="A61" i="7"/>
  <c r="G61" i="6"/>
  <c r="F61" i="6"/>
  <c r="M61" i="6"/>
  <c r="E61" i="6"/>
  <c r="L61" i="6"/>
  <c r="D61" i="6"/>
  <c r="K61" i="6"/>
  <c r="C61" i="6"/>
  <c r="H61" i="6"/>
  <c r="A123" i="8"/>
  <c r="F123" i="7"/>
  <c r="L123" i="7"/>
  <c r="D123" i="7"/>
  <c r="K123" i="7"/>
  <c r="C123" i="7"/>
  <c r="J123" i="7"/>
  <c r="B123" i="7"/>
  <c r="M123" i="7"/>
  <c r="I123" i="7"/>
  <c r="H123" i="7"/>
  <c r="G123" i="7"/>
  <c r="E123" i="7"/>
  <c r="A145" i="7"/>
  <c r="M145" i="6"/>
  <c r="E145" i="6"/>
  <c r="K145" i="6"/>
  <c r="C145" i="6"/>
  <c r="J145" i="6"/>
  <c r="B145" i="6"/>
  <c r="L145" i="6"/>
  <c r="I145" i="6"/>
  <c r="H145" i="6"/>
  <c r="G145" i="6"/>
  <c r="F145" i="6"/>
  <c r="A155" i="8"/>
  <c r="F155" i="7"/>
  <c r="M155" i="7"/>
  <c r="E155" i="7"/>
  <c r="L155" i="7"/>
  <c r="D155" i="7"/>
  <c r="K155" i="7"/>
  <c r="C155" i="7"/>
  <c r="J155" i="7"/>
  <c r="B155" i="7"/>
  <c r="I155" i="7"/>
  <c r="G155" i="7"/>
  <c r="H155" i="7"/>
  <c r="A177" i="7"/>
  <c r="M177" i="6"/>
  <c r="E177" i="6"/>
  <c r="K177" i="6"/>
  <c r="C177" i="6"/>
  <c r="J177" i="6"/>
  <c r="B177" i="6"/>
  <c r="L177" i="6"/>
  <c r="I177" i="6"/>
  <c r="H177" i="6"/>
  <c r="G177" i="6"/>
  <c r="F177" i="6"/>
  <c r="A209" i="7"/>
  <c r="M209" i="6"/>
  <c r="E209" i="6"/>
  <c r="K209" i="6"/>
  <c r="C209" i="6"/>
  <c r="J209" i="6"/>
  <c r="B209" i="6"/>
  <c r="L209" i="6"/>
  <c r="I209" i="6"/>
  <c r="H209" i="6"/>
  <c r="G209" i="6"/>
  <c r="F209" i="6"/>
  <c r="M241" i="6"/>
  <c r="E241" i="6"/>
  <c r="K241" i="6"/>
  <c r="C241" i="6"/>
  <c r="A241" i="7"/>
  <c r="J241" i="6"/>
  <c r="B241" i="6"/>
  <c r="L241" i="6"/>
  <c r="I241" i="6"/>
  <c r="H241" i="6"/>
  <c r="G241" i="6"/>
  <c r="F241" i="6"/>
  <c r="A330" i="7"/>
  <c r="H330" i="6"/>
  <c r="G330" i="6"/>
  <c r="F330" i="6"/>
  <c r="M330" i="6"/>
  <c r="E330" i="6"/>
  <c r="J330" i="6"/>
  <c r="I330" i="6"/>
  <c r="D330" i="6"/>
  <c r="C330" i="6"/>
  <c r="B330" i="6"/>
  <c r="K330" i="6"/>
  <c r="A612" i="7"/>
  <c r="F612" i="6"/>
  <c r="M612" i="6"/>
  <c r="E612" i="6"/>
  <c r="L612" i="6"/>
  <c r="D612" i="6"/>
  <c r="K612" i="6"/>
  <c r="C612" i="6"/>
  <c r="J612" i="6"/>
  <c r="B612" i="6"/>
  <c r="I612" i="6"/>
  <c r="H612" i="6"/>
  <c r="A802" i="7"/>
  <c r="K802" i="6"/>
  <c r="C802" i="6"/>
  <c r="H802" i="6"/>
  <c r="J802" i="6"/>
  <c r="I802" i="6"/>
  <c r="G802" i="6"/>
  <c r="F802" i="6"/>
  <c r="E802" i="6"/>
  <c r="D802" i="6"/>
  <c r="M802" i="6"/>
  <c r="L802" i="6"/>
  <c r="I137" i="5"/>
  <c r="I145" i="5"/>
  <c r="I153" i="5"/>
  <c r="I161" i="5"/>
  <c r="I169" i="5"/>
  <c r="F176" i="5"/>
  <c r="I177" i="5"/>
  <c r="F184" i="5"/>
  <c r="I185" i="5"/>
  <c r="F192" i="5"/>
  <c r="I193" i="5"/>
  <c r="F200" i="5"/>
  <c r="I201" i="5"/>
  <c r="F208" i="5"/>
  <c r="I209" i="5"/>
  <c r="F216" i="5"/>
  <c r="I217" i="5"/>
  <c r="C223" i="5"/>
  <c r="K223" i="5"/>
  <c r="F224" i="5"/>
  <c r="I225" i="5"/>
  <c r="C231" i="5"/>
  <c r="K231" i="5"/>
  <c r="F232" i="5"/>
  <c r="I233" i="5"/>
  <c r="C239" i="5"/>
  <c r="K239" i="5"/>
  <c r="F240" i="5"/>
  <c r="I241" i="5"/>
  <c r="C247" i="5"/>
  <c r="K247" i="5"/>
  <c r="F248" i="5"/>
  <c r="I249" i="5"/>
  <c r="C255" i="5"/>
  <c r="K255" i="5"/>
  <c r="F256" i="5"/>
  <c r="I257" i="5"/>
  <c r="C263" i="5"/>
  <c r="K263" i="5"/>
  <c r="F264" i="5"/>
  <c r="I265" i="5"/>
  <c r="C271" i="5"/>
  <c r="K271" i="5"/>
  <c r="F272" i="5"/>
  <c r="I273" i="5"/>
  <c r="G275" i="5"/>
  <c r="C279" i="5"/>
  <c r="K279" i="5"/>
  <c r="F280" i="5"/>
  <c r="I281" i="5"/>
  <c r="G283" i="5"/>
  <c r="C287" i="5"/>
  <c r="K287" i="5"/>
  <c r="F288" i="5"/>
  <c r="I289" i="5"/>
  <c r="G291" i="5"/>
  <c r="C295" i="5"/>
  <c r="K295" i="5"/>
  <c r="F296" i="5"/>
  <c r="I297" i="5"/>
  <c r="G299" i="5"/>
  <c r="C303" i="5"/>
  <c r="K303" i="5"/>
  <c r="F304" i="5"/>
  <c r="I305" i="5"/>
  <c r="G307" i="5"/>
  <c r="C311" i="5"/>
  <c r="K311" i="5"/>
  <c r="F312" i="5"/>
  <c r="I313" i="5"/>
  <c r="G315" i="5"/>
  <c r="C319" i="5"/>
  <c r="K319" i="5"/>
  <c r="F320" i="5"/>
  <c r="I321" i="5"/>
  <c r="G323" i="5"/>
  <c r="C327" i="5"/>
  <c r="K327" i="5"/>
  <c r="F328" i="5"/>
  <c r="I329" i="5"/>
  <c r="G331" i="5"/>
  <c r="C335" i="5"/>
  <c r="K335" i="5"/>
  <c r="F336" i="5"/>
  <c r="I337" i="5"/>
  <c r="G339" i="5"/>
  <c r="C343" i="5"/>
  <c r="K343" i="5"/>
  <c r="F344" i="5"/>
  <c r="H348" i="5"/>
  <c r="D349" i="5"/>
  <c r="M349" i="5"/>
  <c r="K352" i="5"/>
  <c r="C352" i="5"/>
  <c r="J352" i="5"/>
  <c r="G353" i="5"/>
  <c r="G355" i="5"/>
  <c r="C356" i="5"/>
  <c r="L356" i="5"/>
  <c r="H357" i="5"/>
  <c r="J359" i="5"/>
  <c r="H364" i="5"/>
  <c r="D365" i="5"/>
  <c r="M365" i="5"/>
  <c r="K368" i="5"/>
  <c r="C368" i="5"/>
  <c r="J368" i="5"/>
  <c r="G369" i="5"/>
  <c r="G371" i="5"/>
  <c r="C372" i="5"/>
  <c r="L372" i="5"/>
  <c r="H373" i="5"/>
  <c r="J375" i="5"/>
  <c r="H380" i="5"/>
  <c r="D381" i="5"/>
  <c r="M381" i="5"/>
  <c r="K384" i="5"/>
  <c r="C384" i="5"/>
  <c r="J384" i="5"/>
  <c r="G385" i="5"/>
  <c r="G387" i="5"/>
  <c r="C388" i="5"/>
  <c r="L388" i="5"/>
  <c r="H389" i="5"/>
  <c r="J391" i="5"/>
  <c r="H396" i="5"/>
  <c r="D397" i="5"/>
  <c r="M397" i="5"/>
  <c r="K400" i="5"/>
  <c r="C400" i="5"/>
  <c r="J400" i="5"/>
  <c r="G401" i="5"/>
  <c r="G403" i="5"/>
  <c r="C404" i="5"/>
  <c r="L404" i="5"/>
  <c r="H405" i="5"/>
  <c r="J407" i="5"/>
  <c r="H412" i="5"/>
  <c r="D413" i="5"/>
  <c r="M413" i="5"/>
  <c r="K416" i="5"/>
  <c r="C416" i="5"/>
  <c r="J416" i="5"/>
  <c r="G417" i="5"/>
  <c r="G419" i="5"/>
  <c r="C420" i="5"/>
  <c r="L420" i="5"/>
  <c r="H421" i="5"/>
  <c r="J423" i="5"/>
  <c r="H428" i="5"/>
  <c r="D429" i="5"/>
  <c r="M429" i="5"/>
  <c r="G431" i="5"/>
  <c r="H445" i="5"/>
  <c r="H449" i="5"/>
  <c r="H452" i="5"/>
  <c r="H456" i="5"/>
  <c r="G459" i="5"/>
  <c r="G463" i="5"/>
  <c r="H477" i="5"/>
  <c r="H481" i="5"/>
  <c r="H484" i="5"/>
  <c r="H488" i="5"/>
  <c r="G491" i="5"/>
  <c r="G495" i="5"/>
  <c r="H509" i="5"/>
  <c r="L520" i="5"/>
  <c r="K521" i="5"/>
  <c r="E523" i="5"/>
  <c r="D524" i="5"/>
  <c r="J527" i="5"/>
  <c r="I528" i="5"/>
  <c r="I529" i="5"/>
  <c r="L539" i="5"/>
  <c r="D539" i="5"/>
  <c r="K539" i="5"/>
  <c r="C539" i="5"/>
  <c r="H539" i="5"/>
  <c r="G540" i="5"/>
  <c r="F540" i="5"/>
  <c r="K540" i="5"/>
  <c r="C540" i="5"/>
  <c r="M540" i="5"/>
  <c r="E552" i="5"/>
  <c r="D553" i="5"/>
  <c r="J555" i="5"/>
  <c r="J556" i="5"/>
  <c r="C559" i="5"/>
  <c r="I563" i="5"/>
  <c r="I564" i="5"/>
  <c r="K568" i="5"/>
  <c r="C568" i="5"/>
  <c r="J568" i="5"/>
  <c r="B568" i="5"/>
  <c r="G568" i="5"/>
  <c r="F569" i="5"/>
  <c r="M569" i="5"/>
  <c r="E569" i="5"/>
  <c r="J569" i="5"/>
  <c r="B569" i="5"/>
  <c r="H575" i="5"/>
  <c r="G575" i="5"/>
  <c r="L575" i="5"/>
  <c r="D575" i="5"/>
  <c r="M575" i="5"/>
  <c r="L584" i="5"/>
  <c r="K585" i="5"/>
  <c r="E587" i="5"/>
  <c r="D588" i="5"/>
  <c r="J591" i="5"/>
  <c r="I592" i="5"/>
  <c r="I593" i="5"/>
  <c r="I599" i="5"/>
  <c r="L603" i="5"/>
  <c r="D603" i="5"/>
  <c r="K603" i="5"/>
  <c r="C603" i="5"/>
  <c r="H603" i="5"/>
  <c r="G604" i="5"/>
  <c r="F604" i="5"/>
  <c r="K604" i="5"/>
  <c r="C604" i="5"/>
  <c r="M604" i="5"/>
  <c r="E616" i="5"/>
  <c r="D617" i="5"/>
  <c r="J619" i="5"/>
  <c r="J620" i="5"/>
  <c r="F627" i="5"/>
  <c r="C631" i="5"/>
  <c r="G641" i="5"/>
  <c r="L643" i="5"/>
  <c r="D643" i="5"/>
  <c r="K643" i="5"/>
  <c r="C643" i="5"/>
  <c r="J643" i="5"/>
  <c r="B643" i="5"/>
  <c r="H643" i="5"/>
  <c r="D644" i="5"/>
  <c r="H647" i="5"/>
  <c r="G647" i="5"/>
  <c r="F647" i="5"/>
  <c r="L647" i="5"/>
  <c r="D647" i="5"/>
  <c r="F657" i="5"/>
  <c r="M657" i="5"/>
  <c r="E657" i="5"/>
  <c r="L657" i="5"/>
  <c r="D657" i="5"/>
  <c r="J657" i="5"/>
  <c r="B657" i="5"/>
  <c r="G660" i="5"/>
  <c r="F660" i="5"/>
  <c r="M660" i="5"/>
  <c r="E660" i="5"/>
  <c r="K660" i="5"/>
  <c r="C660" i="5"/>
  <c r="K663" i="5"/>
  <c r="J671" i="5"/>
  <c r="D692" i="5"/>
  <c r="G699" i="5"/>
  <c r="D708" i="5"/>
  <c r="I721" i="5"/>
  <c r="G724" i="5"/>
  <c r="F724" i="5"/>
  <c r="M724" i="5"/>
  <c r="E724" i="5"/>
  <c r="L724" i="5"/>
  <c r="D724" i="5"/>
  <c r="K724" i="5"/>
  <c r="C724" i="5"/>
  <c r="H724" i="5"/>
  <c r="I740" i="5"/>
  <c r="F769" i="5"/>
  <c r="M769" i="5"/>
  <c r="E769" i="5"/>
  <c r="L769" i="5"/>
  <c r="D769" i="5"/>
  <c r="K769" i="5"/>
  <c r="C769" i="5"/>
  <c r="J769" i="5"/>
  <c r="B769" i="5"/>
  <c r="G769" i="5"/>
  <c r="I785" i="5"/>
  <c r="G788" i="5"/>
  <c r="F788" i="5"/>
  <c r="M788" i="5"/>
  <c r="E788" i="5"/>
  <c r="L788" i="5"/>
  <c r="D788" i="5"/>
  <c r="K788" i="5"/>
  <c r="C788" i="5"/>
  <c r="H788" i="5"/>
  <c r="I804" i="5"/>
  <c r="F833" i="5"/>
  <c r="M833" i="5"/>
  <c r="E833" i="5"/>
  <c r="L833" i="5"/>
  <c r="D833" i="5"/>
  <c r="K833" i="5"/>
  <c r="C833" i="5"/>
  <c r="J833" i="5"/>
  <c r="B833" i="5"/>
  <c r="G833" i="5"/>
  <c r="I849" i="5"/>
  <c r="G852" i="5"/>
  <c r="F852" i="5"/>
  <c r="M852" i="5"/>
  <c r="E852" i="5"/>
  <c r="L852" i="5"/>
  <c r="D852" i="5"/>
  <c r="K852" i="5"/>
  <c r="C852" i="5"/>
  <c r="H852" i="5"/>
  <c r="I868" i="5"/>
  <c r="F897" i="5"/>
  <c r="M897" i="5"/>
  <c r="E897" i="5"/>
  <c r="L897" i="5"/>
  <c r="D897" i="5"/>
  <c r="K897" i="5"/>
  <c r="C897" i="5"/>
  <c r="J897" i="5"/>
  <c r="B897" i="5"/>
  <c r="G897" i="5"/>
  <c r="I913" i="5"/>
  <c r="G916" i="5"/>
  <c r="F916" i="5"/>
  <c r="M916" i="5"/>
  <c r="E916" i="5"/>
  <c r="L916" i="5"/>
  <c r="D916" i="5"/>
  <c r="K916" i="5"/>
  <c r="C916" i="5"/>
  <c r="H916" i="5"/>
  <c r="I932" i="5"/>
  <c r="F961" i="5"/>
  <c r="M961" i="5"/>
  <c r="E961" i="5"/>
  <c r="L961" i="5"/>
  <c r="D961" i="5"/>
  <c r="K961" i="5"/>
  <c r="C961" i="5"/>
  <c r="J961" i="5"/>
  <c r="B961" i="5"/>
  <c r="G961" i="5"/>
  <c r="I977" i="5"/>
  <c r="G980" i="5"/>
  <c r="F980" i="5"/>
  <c r="M980" i="5"/>
  <c r="E980" i="5"/>
  <c r="L980" i="5"/>
  <c r="D980" i="5"/>
  <c r="K980" i="5"/>
  <c r="C980" i="5"/>
  <c r="H980" i="5"/>
  <c r="I996" i="5"/>
  <c r="A26" i="7"/>
  <c r="F26" i="6"/>
  <c r="M26" i="6"/>
  <c r="E26" i="6"/>
  <c r="L26" i="6"/>
  <c r="D26" i="6"/>
  <c r="K26" i="6"/>
  <c r="C26" i="6"/>
  <c r="J26" i="6"/>
  <c r="B26" i="6"/>
  <c r="G26" i="6"/>
  <c r="I42" i="6"/>
  <c r="A45" i="7"/>
  <c r="G45" i="6"/>
  <c r="F45" i="6"/>
  <c r="M45" i="6"/>
  <c r="E45" i="6"/>
  <c r="L45" i="6"/>
  <c r="D45" i="6"/>
  <c r="K45" i="6"/>
  <c r="C45" i="6"/>
  <c r="H45" i="6"/>
  <c r="I61" i="6"/>
  <c r="A90" i="7"/>
  <c r="F90" i="6"/>
  <c r="M90" i="6"/>
  <c r="E90" i="6"/>
  <c r="L90" i="6"/>
  <c r="D90" i="6"/>
  <c r="K90" i="6"/>
  <c r="C90" i="6"/>
  <c r="J90" i="6"/>
  <c r="B90" i="6"/>
  <c r="G90" i="6"/>
  <c r="M121" i="6"/>
  <c r="E121" i="6"/>
  <c r="K121" i="6"/>
  <c r="C121" i="6"/>
  <c r="J121" i="6"/>
  <c r="B121" i="6"/>
  <c r="A121" i="7"/>
  <c r="L121" i="6"/>
  <c r="I121" i="6"/>
  <c r="H121" i="6"/>
  <c r="G121" i="6"/>
  <c r="F121" i="6"/>
  <c r="A153" i="7"/>
  <c r="M153" i="6"/>
  <c r="E153" i="6"/>
  <c r="K153" i="6"/>
  <c r="C153" i="6"/>
  <c r="J153" i="6"/>
  <c r="B153" i="6"/>
  <c r="L153" i="6"/>
  <c r="I153" i="6"/>
  <c r="H153" i="6"/>
  <c r="G153" i="6"/>
  <c r="F153" i="6"/>
  <c r="M185" i="6"/>
  <c r="E185" i="6"/>
  <c r="A185" i="7"/>
  <c r="K185" i="6"/>
  <c r="C185" i="6"/>
  <c r="J185" i="6"/>
  <c r="B185" i="6"/>
  <c r="L185" i="6"/>
  <c r="I185" i="6"/>
  <c r="H185" i="6"/>
  <c r="G185" i="6"/>
  <c r="F185" i="6"/>
  <c r="A217" i="7"/>
  <c r="M217" i="6"/>
  <c r="E217" i="6"/>
  <c r="K217" i="6"/>
  <c r="C217" i="6"/>
  <c r="J217" i="6"/>
  <c r="B217" i="6"/>
  <c r="L217" i="6"/>
  <c r="I217" i="6"/>
  <c r="H217" i="6"/>
  <c r="G217" i="6"/>
  <c r="F217" i="6"/>
  <c r="A281" i="7"/>
  <c r="M281" i="6"/>
  <c r="E281" i="6"/>
  <c r="L281" i="6"/>
  <c r="D281" i="6"/>
  <c r="K281" i="6"/>
  <c r="C281" i="6"/>
  <c r="J281" i="6"/>
  <c r="B281" i="6"/>
  <c r="I281" i="6"/>
  <c r="H281" i="6"/>
  <c r="G281" i="6"/>
  <c r="F281" i="6"/>
  <c r="A410" i="7"/>
  <c r="H410" i="6"/>
  <c r="G410" i="6"/>
  <c r="F410" i="6"/>
  <c r="M410" i="6"/>
  <c r="E410" i="6"/>
  <c r="L410" i="6"/>
  <c r="D410" i="6"/>
  <c r="K410" i="6"/>
  <c r="J410" i="6"/>
  <c r="I410" i="6"/>
  <c r="C410" i="6"/>
  <c r="A466" i="7"/>
  <c r="H466" i="6"/>
  <c r="G466" i="6"/>
  <c r="F466" i="6"/>
  <c r="M466" i="6"/>
  <c r="E466" i="6"/>
  <c r="L466" i="6"/>
  <c r="D466" i="6"/>
  <c r="K466" i="6"/>
  <c r="J466" i="6"/>
  <c r="I466" i="6"/>
  <c r="C466" i="6"/>
  <c r="A770" i="7"/>
  <c r="H770" i="6"/>
  <c r="G770" i="6"/>
  <c r="F770" i="6"/>
  <c r="M770" i="6"/>
  <c r="E770" i="6"/>
  <c r="L770" i="6"/>
  <c r="D770" i="6"/>
  <c r="K770" i="6"/>
  <c r="C770" i="6"/>
  <c r="J770" i="6"/>
  <c r="I770" i="6"/>
  <c r="A795" i="7"/>
  <c r="K795" i="6"/>
  <c r="C795" i="6"/>
  <c r="I795" i="6"/>
  <c r="H795" i="6"/>
  <c r="G795" i="6"/>
  <c r="F795" i="6"/>
  <c r="E795" i="6"/>
  <c r="M795" i="6"/>
  <c r="D795" i="6"/>
  <c r="L795" i="6"/>
  <c r="J795" i="6"/>
  <c r="B137" i="5"/>
  <c r="B145" i="5"/>
  <c r="B153" i="5"/>
  <c r="B161" i="5"/>
  <c r="B169" i="5"/>
  <c r="G176" i="5"/>
  <c r="B177" i="5"/>
  <c r="G184" i="5"/>
  <c r="B185" i="5"/>
  <c r="G192" i="5"/>
  <c r="B193" i="5"/>
  <c r="G200" i="5"/>
  <c r="B201" i="5"/>
  <c r="G208" i="5"/>
  <c r="B209" i="5"/>
  <c r="G216" i="5"/>
  <c r="B217" i="5"/>
  <c r="D223" i="5"/>
  <c r="L223" i="5"/>
  <c r="G224" i="5"/>
  <c r="B225" i="5"/>
  <c r="D231" i="5"/>
  <c r="L231" i="5"/>
  <c r="G232" i="5"/>
  <c r="B233" i="5"/>
  <c r="D239" i="5"/>
  <c r="L239" i="5"/>
  <c r="G240" i="5"/>
  <c r="B241" i="5"/>
  <c r="D247" i="5"/>
  <c r="L247" i="5"/>
  <c r="G248" i="5"/>
  <c r="B249" i="5"/>
  <c r="D255" i="5"/>
  <c r="L255" i="5"/>
  <c r="G256" i="5"/>
  <c r="B257" i="5"/>
  <c r="D263" i="5"/>
  <c r="L263" i="5"/>
  <c r="G264" i="5"/>
  <c r="B265" i="5"/>
  <c r="D271" i="5"/>
  <c r="L271" i="5"/>
  <c r="G272" i="5"/>
  <c r="B273" i="5"/>
  <c r="H275" i="5"/>
  <c r="D279" i="5"/>
  <c r="L279" i="5"/>
  <c r="G280" i="5"/>
  <c r="B281" i="5"/>
  <c r="H283" i="5"/>
  <c r="D287" i="5"/>
  <c r="L287" i="5"/>
  <c r="G288" i="5"/>
  <c r="B289" i="5"/>
  <c r="H291" i="5"/>
  <c r="D295" i="5"/>
  <c r="L295" i="5"/>
  <c r="G296" i="5"/>
  <c r="B297" i="5"/>
  <c r="H299" i="5"/>
  <c r="D303" i="5"/>
  <c r="L303" i="5"/>
  <c r="G304" i="5"/>
  <c r="B305" i="5"/>
  <c r="H307" i="5"/>
  <c r="D311" i="5"/>
  <c r="L311" i="5"/>
  <c r="G312" i="5"/>
  <c r="B313" i="5"/>
  <c r="H315" i="5"/>
  <c r="D319" i="5"/>
  <c r="L319" i="5"/>
  <c r="G320" i="5"/>
  <c r="B321" i="5"/>
  <c r="H323" i="5"/>
  <c r="D327" i="5"/>
  <c r="L327" i="5"/>
  <c r="G328" i="5"/>
  <c r="B329" i="5"/>
  <c r="H331" i="5"/>
  <c r="D335" i="5"/>
  <c r="L335" i="5"/>
  <c r="G336" i="5"/>
  <c r="B337" i="5"/>
  <c r="H339" i="5"/>
  <c r="D343" i="5"/>
  <c r="L343" i="5"/>
  <c r="G344" i="5"/>
  <c r="I348" i="5"/>
  <c r="E349" i="5"/>
  <c r="M350" i="5"/>
  <c r="E350" i="5"/>
  <c r="J350" i="5"/>
  <c r="B352" i="5"/>
  <c r="L352" i="5"/>
  <c r="H353" i="5"/>
  <c r="D356" i="5"/>
  <c r="M356" i="5"/>
  <c r="B359" i="5"/>
  <c r="K359" i="5"/>
  <c r="I364" i="5"/>
  <c r="E365" i="5"/>
  <c r="M366" i="5"/>
  <c r="E366" i="5"/>
  <c r="J366" i="5"/>
  <c r="B368" i="5"/>
  <c r="L368" i="5"/>
  <c r="H369" i="5"/>
  <c r="D372" i="5"/>
  <c r="M372" i="5"/>
  <c r="B375" i="5"/>
  <c r="K375" i="5"/>
  <c r="I380" i="5"/>
  <c r="E381" i="5"/>
  <c r="M382" i="5"/>
  <c r="E382" i="5"/>
  <c r="J382" i="5"/>
  <c r="B384" i="5"/>
  <c r="L384" i="5"/>
  <c r="H385" i="5"/>
  <c r="D388" i="5"/>
  <c r="M388" i="5"/>
  <c r="B391" i="5"/>
  <c r="K391" i="5"/>
  <c r="I396" i="5"/>
  <c r="E397" i="5"/>
  <c r="M398" i="5"/>
  <c r="E398" i="5"/>
  <c r="J398" i="5"/>
  <c r="B400" i="5"/>
  <c r="L400" i="5"/>
  <c r="H401" i="5"/>
  <c r="D404" i="5"/>
  <c r="M404" i="5"/>
  <c r="B407" i="5"/>
  <c r="K407" i="5"/>
  <c r="I412" i="5"/>
  <c r="E413" i="5"/>
  <c r="M414" i="5"/>
  <c r="E414" i="5"/>
  <c r="J414" i="5"/>
  <c r="B416" i="5"/>
  <c r="L416" i="5"/>
  <c r="H417" i="5"/>
  <c r="D420" i="5"/>
  <c r="M420" i="5"/>
  <c r="B423" i="5"/>
  <c r="K423" i="5"/>
  <c r="I428" i="5"/>
  <c r="E429" i="5"/>
  <c r="M430" i="5"/>
  <c r="E430" i="5"/>
  <c r="I430" i="5"/>
  <c r="K430" i="5"/>
  <c r="J437" i="5"/>
  <c r="B437" i="5"/>
  <c r="F437" i="5"/>
  <c r="L437" i="5"/>
  <c r="F441" i="5"/>
  <c r="J441" i="5"/>
  <c r="B441" i="5"/>
  <c r="L441" i="5"/>
  <c r="G444" i="5"/>
  <c r="K444" i="5"/>
  <c r="C444" i="5"/>
  <c r="L444" i="5"/>
  <c r="K448" i="5"/>
  <c r="C448" i="5"/>
  <c r="G448" i="5"/>
  <c r="L448" i="5"/>
  <c r="L451" i="5"/>
  <c r="D451" i="5"/>
  <c r="H451" i="5"/>
  <c r="K451" i="5"/>
  <c r="H455" i="5"/>
  <c r="L455" i="5"/>
  <c r="D455" i="5"/>
  <c r="K455" i="5"/>
  <c r="J469" i="5"/>
  <c r="B469" i="5"/>
  <c r="F469" i="5"/>
  <c r="L469" i="5"/>
  <c r="F473" i="5"/>
  <c r="J473" i="5"/>
  <c r="B473" i="5"/>
  <c r="L473" i="5"/>
  <c r="G476" i="5"/>
  <c r="K476" i="5"/>
  <c r="C476" i="5"/>
  <c r="L476" i="5"/>
  <c r="K480" i="5"/>
  <c r="C480" i="5"/>
  <c r="G480" i="5"/>
  <c r="L480" i="5"/>
  <c r="L483" i="5"/>
  <c r="D483" i="5"/>
  <c r="H483" i="5"/>
  <c r="K483" i="5"/>
  <c r="H487" i="5"/>
  <c r="L487" i="5"/>
  <c r="D487" i="5"/>
  <c r="K487" i="5"/>
  <c r="J501" i="5"/>
  <c r="B501" i="5"/>
  <c r="F501" i="5"/>
  <c r="L501" i="5"/>
  <c r="F505" i="5"/>
  <c r="J505" i="5"/>
  <c r="B505" i="5"/>
  <c r="L505" i="5"/>
  <c r="G508" i="5"/>
  <c r="K508" i="5"/>
  <c r="C508" i="5"/>
  <c r="L508" i="5"/>
  <c r="K512" i="5"/>
  <c r="C512" i="5"/>
  <c r="J512" i="5"/>
  <c r="B512" i="5"/>
  <c r="G512" i="5"/>
  <c r="F513" i="5"/>
  <c r="M513" i="5"/>
  <c r="E513" i="5"/>
  <c r="J513" i="5"/>
  <c r="B513" i="5"/>
  <c r="H519" i="5"/>
  <c r="G519" i="5"/>
  <c r="L519" i="5"/>
  <c r="D519" i="5"/>
  <c r="M519" i="5"/>
  <c r="F523" i="5"/>
  <c r="E524" i="5"/>
  <c r="B539" i="5"/>
  <c r="B540" i="5"/>
  <c r="L547" i="5"/>
  <c r="D547" i="5"/>
  <c r="K547" i="5"/>
  <c r="C547" i="5"/>
  <c r="H547" i="5"/>
  <c r="G548" i="5"/>
  <c r="F548" i="5"/>
  <c r="K548" i="5"/>
  <c r="C548" i="5"/>
  <c r="M548" i="5"/>
  <c r="F552" i="5"/>
  <c r="G553" i="5"/>
  <c r="E559" i="5"/>
  <c r="D568" i="5"/>
  <c r="C569" i="5"/>
  <c r="B575" i="5"/>
  <c r="K576" i="5"/>
  <c r="C576" i="5"/>
  <c r="J576" i="5"/>
  <c r="B576" i="5"/>
  <c r="G576" i="5"/>
  <c r="F577" i="5"/>
  <c r="M577" i="5"/>
  <c r="E577" i="5"/>
  <c r="J577" i="5"/>
  <c r="B577" i="5"/>
  <c r="H583" i="5"/>
  <c r="G583" i="5"/>
  <c r="L583" i="5"/>
  <c r="D583" i="5"/>
  <c r="M583" i="5"/>
  <c r="F587" i="5"/>
  <c r="E588" i="5"/>
  <c r="B603" i="5"/>
  <c r="B604" i="5"/>
  <c r="L611" i="5"/>
  <c r="D611" i="5"/>
  <c r="K611" i="5"/>
  <c r="C611" i="5"/>
  <c r="H611" i="5"/>
  <c r="G612" i="5"/>
  <c r="F612" i="5"/>
  <c r="K612" i="5"/>
  <c r="C612" i="5"/>
  <c r="M612" i="5"/>
  <c r="F616" i="5"/>
  <c r="G617" i="5"/>
  <c r="G627" i="5"/>
  <c r="E631" i="5"/>
  <c r="H641" i="5"/>
  <c r="E643" i="5"/>
  <c r="H644" i="5"/>
  <c r="B647" i="5"/>
  <c r="L651" i="5"/>
  <c r="D651" i="5"/>
  <c r="K651" i="5"/>
  <c r="C651" i="5"/>
  <c r="J651" i="5"/>
  <c r="B651" i="5"/>
  <c r="H651" i="5"/>
  <c r="H655" i="5"/>
  <c r="G655" i="5"/>
  <c r="F655" i="5"/>
  <c r="L655" i="5"/>
  <c r="D655" i="5"/>
  <c r="C657" i="5"/>
  <c r="B660" i="5"/>
  <c r="F665" i="5"/>
  <c r="M665" i="5"/>
  <c r="E665" i="5"/>
  <c r="L665" i="5"/>
  <c r="D665" i="5"/>
  <c r="J665" i="5"/>
  <c r="B665" i="5"/>
  <c r="G668" i="5"/>
  <c r="F668" i="5"/>
  <c r="M668" i="5"/>
  <c r="E668" i="5"/>
  <c r="K668" i="5"/>
  <c r="C668" i="5"/>
  <c r="F689" i="5"/>
  <c r="M689" i="5"/>
  <c r="E689" i="5"/>
  <c r="L689" i="5"/>
  <c r="D689" i="5"/>
  <c r="J689" i="5"/>
  <c r="B689" i="5"/>
  <c r="G689" i="5"/>
  <c r="I692" i="5"/>
  <c r="I699" i="5"/>
  <c r="F705" i="5"/>
  <c r="M705" i="5"/>
  <c r="E705" i="5"/>
  <c r="L705" i="5"/>
  <c r="D705" i="5"/>
  <c r="J705" i="5"/>
  <c r="B705" i="5"/>
  <c r="G705" i="5"/>
  <c r="I708" i="5"/>
  <c r="G716" i="5"/>
  <c r="F716" i="5"/>
  <c r="M716" i="5"/>
  <c r="E716" i="5"/>
  <c r="L716" i="5"/>
  <c r="D716" i="5"/>
  <c r="K716" i="5"/>
  <c r="C716" i="5"/>
  <c r="H716" i="5"/>
  <c r="B724" i="5"/>
  <c r="J740" i="5"/>
  <c r="F761" i="5"/>
  <c r="M761" i="5"/>
  <c r="E761" i="5"/>
  <c r="L761" i="5"/>
  <c r="D761" i="5"/>
  <c r="K761" i="5"/>
  <c r="C761" i="5"/>
  <c r="J761" i="5"/>
  <c r="B761" i="5"/>
  <c r="G761" i="5"/>
  <c r="H769" i="5"/>
  <c r="G780" i="5"/>
  <c r="F780" i="5"/>
  <c r="M780" i="5"/>
  <c r="E780" i="5"/>
  <c r="L780" i="5"/>
  <c r="D780" i="5"/>
  <c r="K780" i="5"/>
  <c r="C780" i="5"/>
  <c r="H780" i="5"/>
  <c r="B788" i="5"/>
  <c r="J804" i="5"/>
  <c r="F825" i="5"/>
  <c r="M825" i="5"/>
  <c r="E825" i="5"/>
  <c r="L825" i="5"/>
  <c r="D825" i="5"/>
  <c r="K825" i="5"/>
  <c r="C825" i="5"/>
  <c r="J825" i="5"/>
  <c r="B825" i="5"/>
  <c r="G825" i="5"/>
  <c r="H833" i="5"/>
  <c r="G844" i="5"/>
  <c r="F844" i="5"/>
  <c r="M844" i="5"/>
  <c r="E844" i="5"/>
  <c r="L844" i="5"/>
  <c r="D844" i="5"/>
  <c r="K844" i="5"/>
  <c r="C844" i="5"/>
  <c r="H844" i="5"/>
  <c r="B852" i="5"/>
  <c r="J868" i="5"/>
  <c r="F889" i="5"/>
  <c r="M889" i="5"/>
  <c r="E889" i="5"/>
  <c r="L889" i="5"/>
  <c r="D889" i="5"/>
  <c r="K889" i="5"/>
  <c r="C889" i="5"/>
  <c r="J889" i="5"/>
  <c r="B889" i="5"/>
  <c r="G889" i="5"/>
  <c r="H897" i="5"/>
  <c r="G908" i="5"/>
  <c r="F908" i="5"/>
  <c r="M908" i="5"/>
  <c r="E908" i="5"/>
  <c r="L908" i="5"/>
  <c r="D908" i="5"/>
  <c r="K908" i="5"/>
  <c r="C908" i="5"/>
  <c r="H908" i="5"/>
  <c r="B916" i="5"/>
  <c r="J932" i="5"/>
  <c r="F953" i="5"/>
  <c r="M953" i="5"/>
  <c r="E953" i="5"/>
  <c r="L953" i="5"/>
  <c r="D953" i="5"/>
  <c r="K953" i="5"/>
  <c r="C953" i="5"/>
  <c r="J953" i="5"/>
  <c r="B953" i="5"/>
  <c r="G953" i="5"/>
  <c r="H961" i="5"/>
  <c r="G972" i="5"/>
  <c r="F972" i="5"/>
  <c r="M972" i="5"/>
  <c r="E972" i="5"/>
  <c r="L972" i="5"/>
  <c r="D972" i="5"/>
  <c r="K972" i="5"/>
  <c r="C972" i="5"/>
  <c r="H972" i="5"/>
  <c r="B980" i="5"/>
  <c r="J996" i="5"/>
  <c r="A18" i="7"/>
  <c r="F18" i="6"/>
  <c r="M18" i="6"/>
  <c r="E18" i="6"/>
  <c r="L18" i="6"/>
  <c r="D18" i="6"/>
  <c r="K18" i="6"/>
  <c r="C18" i="6"/>
  <c r="J18" i="6"/>
  <c r="B18" i="6"/>
  <c r="G18" i="6"/>
  <c r="H26" i="6"/>
  <c r="A37" i="7"/>
  <c r="G37" i="6"/>
  <c r="F37" i="6"/>
  <c r="M37" i="6"/>
  <c r="E37" i="6"/>
  <c r="L37" i="6"/>
  <c r="D37" i="6"/>
  <c r="K37" i="6"/>
  <c r="C37" i="6"/>
  <c r="H37" i="6"/>
  <c r="B45" i="6"/>
  <c r="J61" i="6"/>
  <c r="A82" i="7"/>
  <c r="F82" i="6"/>
  <c r="M82" i="6"/>
  <c r="E82" i="6"/>
  <c r="L82" i="6"/>
  <c r="D82" i="6"/>
  <c r="K82" i="6"/>
  <c r="C82" i="6"/>
  <c r="J82" i="6"/>
  <c r="B82" i="6"/>
  <c r="G82" i="6"/>
  <c r="H90" i="6"/>
  <c r="A101" i="7"/>
  <c r="G101" i="6"/>
  <c r="F101" i="6"/>
  <c r="M101" i="6"/>
  <c r="E101" i="6"/>
  <c r="L101" i="6"/>
  <c r="D101" i="6"/>
  <c r="K101" i="6"/>
  <c r="C101" i="6"/>
  <c r="H101" i="6"/>
  <c r="D121" i="6"/>
  <c r="D153" i="6"/>
  <c r="D185" i="6"/>
  <c r="D217" i="6"/>
  <c r="A271" i="7"/>
  <c r="G271" i="6"/>
  <c r="F271" i="6"/>
  <c r="M271" i="6"/>
  <c r="E271" i="6"/>
  <c r="L271" i="6"/>
  <c r="D271" i="6"/>
  <c r="J271" i="6"/>
  <c r="I271" i="6"/>
  <c r="H271" i="6"/>
  <c r="C271" i="6"/>
  <c r="B271" i="6"/>
  <c r="K271" i="6"/>
  <c r="A346" i="7"/>
  <c r="H346" i="6"/>
  <c r="G346" i="6"/>
  <c r="F346" i="6"/>
  <c r="M346" i="6"/>
  <c r="E346" i="6"/>
  <c r="L346" i="6"/>
  <c r="D346" i="6"/>
  <c r="K346" i="6"/>
  <c r="J346" i="6"/>
  <c r="I346" i="6"/>
  <c r="C346" i="6"/>
  <c r="A378" i="7"/>
  <c r="H378" i="6"/>
  <c r="G378" i="6"/>
  <c r="F378" i="6"/>
  <c r="M378" i="6"/>
  <c r="E378" i="6"/>
  <c r="L378" i="6"/>
  <c r="D378" i="6"/>
  <c r="K378" i="6"/>
  <c r="J378" i="6"/>
  <c r="I378" i="6"/>
  <c r="C378" i="6"/>
  <c r="B410" i="6"/>
  <c r="B466" i="6"/>
  <c r="A727" i="7"/>
  <c r="G727" i="6"/>
  <c r="F727" i="6"/>
  <c r="M727" i="6"/>
  <c r="E727" i="6"/>
  <c r="L727" i="6"/>
  <c r="D727" i="6"/>
  <c r="K727" i="6"/>
  <c r="C727" i="6"/>
  <c r="J727" i="6"/>
  <c r="B727" i="6"/>
  <c r="I727" i="6"/>
  <c r="A839" i="7"/>
  <c r="J839" i="6"/>
  <c r="B839" i="6"/>
  <c r="G839" i="6"/>
  <c r="F839" i="6"/>
  <c r="L839" i="6"/>
  <c r="K839" i="6"/>
  <c r="I839" i="6"/>
  <c r="H839" i="6"/>
  <c r="E839" i="6"/>
  <c r="D839" i="6"/>
  <c r="M839" i="6"/>
  <c r="A606" i="8"/>
  <c r="F606" i="7"/>
  <c r="M606" i="7"/>
  <c r="E606" i="7"/>
  <c r="L606" i="7"/>
  <c r="D606" i="7"/>
  <c r="K606" i="7"/>
  <c r="C606" i="7"/>
  <c r="J606" i="7"/>
  <c r="B606" i="7"/>
  <c r="I606" i="7"/>
  <c r="H606" i="7"/>
  <c r="G606" i="7"/>
  <c r="I275" i="5"/>
  <c r="I283" i="5"/>
  <c r="I291" i="5"/>
  <c r="I299" i="5"/>
  <c r="I307" i="5"/>
  <c r="I315" i="5"/>
  <c r="I323" i="5"/>
  <c r="I331" i="5"/>
  <c r="I339" i="5"/>
  <c r="J348" i="5"/>
  <c r="J357" i="5"/>
  <c r="B357" i="5"/>
  <c r="K357" i="5"/>
  <c r="J364" i="5"/>
  <c r="J373" i="5"/>
  <c r="B373" i="5"/>
  <c r="K373" i="5"/>
  <c r="J380" i="5"/>
  <c r="J389" i="5"/>
  <c r="B389" i="5"/>
  <c r="K389" i="5"/>
  <c r="J396" i="5"/>
  <c r="J405" i="5"/>
  <c r="B405" i="5"/>
  <c r="K405" i="5"/>
  <c r="J412" i="5"/>
  <c r="J421" i="5"/>
  <c r="B421" i="5"/>
  <c r="K421" i="5"/>
  <c r="J428" i="5"/>
  <c r="K520" i="5"/>
  <c r="C520" i="5"/>
  <c r="J520" i="5"/>
  <c r="B520" i="5"/>
  <c r="G520" i="5"/>
  <c r="F521" i="5"/>
  <c r="M521" i="5"/>
  <c r="E521" i="5"/>
  <c r="J521" i="5"/>
  <c r="B521" i="5"/>
  <c r="H527" i="5"/>
  <c r="G527" i="5"/>
  <c r="L527" i="5"/>
  <c r="D527" i="5"/>
  <c r="M527" i="5"/>
  <c r="L555" i="5"/>
  <c r="D555" i="5"/>
  <c r="K555" i="5"/>
  <c r="C555" i="5"/>
  <c r="H555" i="5"/>
  <c r="G556" i="5"/>
  <c r="F556" i="5"/>
  <c r="K556" i="5"/>
  <c r="C556" i="5"/>
  <c r="M556" i="5"/>
  <c r="K584" i="5"/>
  <c r="C584" i="5"/>
  <c r="J584" i="5"/>
  <c r="B584" i="5"/>
  <c r="G584" i="5"/>
  <c r="F585" i="5"/>
  <c r="M585" i="5"/>
  <c r="E585" i="5"/>
  <c r="J585" i="5"/>
  <c r="B585" i="5"/>
  <c r="H591" i="5"/>
  <c r="G591" i="5"/>
  <c r="L591" i="5"/>
  <c r="D591" i="5"/>
  <c r="M591" i="5"/>
  <c r="L619" i="5"/>
  <c r="D619" i="5"/>
  <c r="K619" i="5"/>
  <c r="C619" i="5"/>
  <c r="H619" i="5"/>
  <c r="G620" i="5"/>
  <c r="F620" i="5"/>
  <c r="M620" i="5"/>
  <c r="K620" i="5"/>
  <c r="C620" i="5"/>
  <c r="L659" i="5"/>
  <c r="D659" i="5"/>
  <c r="K659" i="5"/>
  <c r="C659" i="5"/>
  <c r="J659" i="5"/>
  <c r="B659" i="5"/>
  <c r="H659" i="5"/>
  <c r="H663" i="5"/>
  <c r="G663" i="5"/>
  <c r="F663" i="5"/>
  <c r="L663" i="5"/>
  <c r="D663" i="5"/>
  <c r="F673" i="5"/>
  <c r="M673" i="5"/>
  <c r="E673" i="5"/>
  <c r="L673" i="5"/>
  <c r="D673" i="5"/>
  <c r="J673" i="5"/>
  <c r="B673" i="5"/>
  <c r="G676" i="5"/>
  <c r="F676" i="5"/>
  <c r="M676" i="5"/>
  <c r="E676" i="5"/>
  <c r="K676" i="5"/>
  <c r="C676" i="5"/>
  <c r="G684" i="5"/>
  <c r="F684" i="5"/>
  <c r="M684" i="5"/>
  <c r="E684" i="5"/>
  <c r="K684" i="5"/>
  <c r="C684" i="5"/>
  <c r="H684" i="5"/>
  <c r="L691" i="5"/>
  <c r="D691" i="5"/>
  <c r="K691" i="5"/>
  <c r="C691" i="5"/>
  <c r="J691" i="5"/>
  <c r="B691" i="5"/>
  <c r="H691" i="5"/>
  <c r="M691" i="5"/>
  <c r="E691" i="5"/>
  <c r="G700" i="5"/>
  <c r="F700" i="5"/>
  <c r="M700" i="5"/>
  <c r="E700" i="5"/>
  <c r="K700" i="5"/>
  <c r="C700" i="5"/>
  <c r="H700" i="5"/>
  <c r="L707" i="5"/>
  <c r="D707" i="5"/>
  <c r="K707" i="5"/>
  <c r="C707" i="5"/>
  <c r="J707" i="5"/>
  <c r="B707" i="5"/>
  <c r="H707" i="5"/>
  <c r="M707" i="5"/>
  <c r="E707" i="5"/>
  <c r="F753" i="5"/>
  <c r="M753" i="5"/>
  <c r="E753" i="5"/>
  <c r="L753" i="5"/>
  <c r="D753" i="5"/>
  <c r="K753" i="5"/>
  <c r="C753" i="5"/>
  <c r="J753" i="5"/>
  <c r="B753" i="5"/>
  <c r="G753" i="5"/>
  <c r="G772" i="5"/>
  <c r="F772" i="5"/>
  <c r="M772" i="5"/>
  <c r="E772" i="5"/>
  <c r="L772" i="5"/>
  <c r="D772" i="5"/>
  <c r="K772" i="5"/>
  <c r="C772" i="5"/>
  <c r="H772" i="5"/>
  <c r="F817" i="5"/>
  <c r="M817" i="5"/>
  <c r="E817" i="5"/>
  <c r="L817" i="5"/>
  <c r="D817" i="5"/>
  <c r="K817" i="5"/>
  <c r="C817" i="5"/>
  <c r="J817" i="5"/>
  <c r="B817" i="5"/>
  <c r="G817" i="5"/>
  <c r="G836" i="5"/>
  <c r="F836" i="5"/>
  <c r="M836" i="5"/>
  <c r="E836" i="5"/>
  <c r="L836" i="5"/>
  <c r="D836" i="5"/>
  <c r="K836" i="5"/>
  <c r="C836" i="5"/>
  <c r="H836" i="5"/>
  <c r="F881" i="5"/>
  <c r="M881" i="5"/>
  <c r="E881" i="5"/>
  <c r="L881" i="5"/>
  <c r="D881" i="5"/>
  <c r="K881" i="5"/>
  <c r="C881" i="5"/>
  <c r="J881" i="5"/>
  <c r="B881" i="5"/>
  <c r="G881" i="5"/>
  <c r="G900" i="5"/>
  <c r="F900" i="5"/>
  <c r="M900" i="5"/>
  <c r="E900" i="5"/>
  <c r="L900" i="5"/>
  <c r="D900" i="5"/>
  <c r="K900" i="5"/>
  <c r="C900" i="5"/>
  <c r="H900" i="5"/>
  <c r="F945" i="5"/>
  <c r="M945" i="5"/>
  <c r="E945" i="5"/>
  <c r="L945" i="5"/>
  <c r="D945" i="5"/>
  <c r="K945" i="5"/>
  <c r="C945" i="5"/>
  <c r="J945" i="5"/>
  <c r="B945" i="5"/>
  <c r="G945" i="5"/>
  <c r="G964" i="5"/>
  <c r="F964" i="5"/>
  <c r="M964" i="5"/>
  <c r="E964" i="5"/>
  <c r="L964" i="5"/>
  <c r="D964" i="5"/>
  <c r="K964" i="5"/>
  <c r="C964" i="5"/>
  <c r="H964" i="5"/>
  <c r="A10" i="7"/>
  <c r="F10" i="6"/>
  <c r="M10" i="6"/>
  <c r="E10" i="6"/>
  <c r="L10" i="6"/>
  <c r="D10" i="6"/>
  <c r="K10" i="6"/>
  <c r="C10" i="6"/>
  <c r="J10" i="6"/>
  <c r="B10" i="6"/>
  <c r="G10" i="6"/>
  <c r="A29" i="7"/>
  <c r="G29" i="6"/>
  <c r="F29" i="6"/>
  <c r="M29" i="6"/>
  <c r="E29" i="6"/>
  <c r="L29" i="6"/>
  <c r="D29" i="6"/>
  <c r="K29" i="6"/>
  <c r="C29" i="6"/>
  <c r="H29" i="6"/>
  <c r="A74" i="7"/>
  <c r="F74" i="6"/>
  <c r="M74" i="6"/>
  <c r="E74" i="6"/>
  <c r="L74" i="6"/>
  <c r="D74" i="6"/>
  <c r="K74" i="6"/>
  <c r="C74" i="6"/>
  <c r="J74" i="6"/>
  <c r="B74" i="6"/>
  <c r="G74" i="6"/>
  <c r="A93" i="7"/>
  <c r="G93" i="6"/>
  <c r="F93" i="6"/>
  <c r="M93" i="6"/>
  <c r="E93" i="6"/>
  <c r="L93" i="6"/>
  <c r="D93" i="6"/>
  <c r="K93" i="6"/>
  <c r="C93" i="6"/>
  <c r="H93" i="6"/>
  <c r="A129" i="7"/>
  <c r="M129" i="6"/>
  <c r="E129" i="6"/>
  <c r="K129" i="6"/>
  <c r="C129" i="6"/>
  <c r="J129" i="6"/>
  <c r="B129" i="6"/>
  <c r="L129" i="6"/>
  <c r="I129" i="6"/>
  <c r="H129" i="6"/>
  <c r="G129" i="6"/>
  <c r="F129" i="6"/>
  <c r="A161" i="7"/>
  <c r="M161" i="6"/>
  <c r="E161" i="6"/>
  <c r="K161" i="6"/>
  <c r="C161" i="6"/>
  <c r="J161" i="6"/>
  <c r="B161" i="6"/>
  <c r="L161" i="6"/>
  <c r="I161" i="6"/>
  <c r="H161" i="6"/>
  <c r="G161" i="6"/>
  <c r="F161" i="6"/>
  <c r="M193" i="6"/>
  <c r="E193" i="6"/>
  <c r="K193" i="6"/>
  <c r="C193" i="6"/>
  <c r="J193" i="6"/>
  <c r="B193" i="6"/>
  <c r="A193" i="7"/>
  <c r="L193" i="6"/>
  <c r="I193" i="6"/>
  <c r="H193" i="6"/>
  <c r="G193" i="6"/>
  <c r="F193" i="6"/>
  <c r="A203" i="8"/>
  <c r="F203" i="7"/>
  <c r="M203" i="7"/>
  <c r="E203" i="7"/>
  <c r="L203" i="7"/>
  <c r="D203" i="7"/>
  <c r="K203" i="7"/>
  <c r="C203" i="7"/>
  <c r="J203" i="7"/>
  <c r="B203" i="7"/>
  <c r="I203" i="7"/>
  <c r="H203" i="7"/>
  <c r="G203" i="7"/>
  <c r="A225" i="7"/>
  <c r="M225" i="6"/>
  <c r="E225" i="6"/>
  <c r="K225" i="6"/>
  <c r="C225" i="6"/>
  <c r="J225" i="6"/>
  <c r="B225" i="6"/>
  <c r="L225" i="6"/>
  <c r="I225" i="6"/>
  <c r="H225" i="6"/>
  <c r="G225" i="6"/>
  <c r="F225" i="6"/>
  <c r="A257" i="8"/>
  <c r="H257" i="7"/>
  <c r="G257" i="7"/>
  <c r="F257" i="7"/>
  <c r="M257" i="7"/>
  <c r="E257" i="7"/>
  <c r="L257" i="7"/>
  <c r="D257" i="7"/>
  <c r="K257" i="7"/>
  <c r="J257" i="7"/>
  <c r="I257" i="7"/>
  <c r="C257" i="7"/>
  <c r="B257" i="7"/>
  <c r="A273" i="7"/>
  <c r="M273" i="6"/>
  <c r="E273" i="6"/>
  <c r="L273" i="6"/>
  <c r="D273" i="6"/>
  <c r="K273" i="6"/>
  <c r="C273" i="6"/>
  <c r="J273" i="6"/>
  <c r="B273" i="6"/>
  <c r="I273" i="6"/>
  <c r="H273" i="6"/>
  <c r="G273" i="6"/>
  <c r="A306" i="7"/>
  <c r="H306" i="6"/>
  <c r="G306" i="6"/>
  <c r="F306" i="6"/>
  <c r="M306" i="6"/>
  <c r="E306" i="6"/>
  <c r="J306" i="6"/>
  <c r="I306" i="6"/>
  <c r="D306" i="6"/>
  <c r="C306" i="6"/>
  <c r="B306" i="6"/>
  <c r="K306" i="6"/>
  <c r="A492" i="7"/>
  <c r="F492" i="6"/>
  <c r="M492" i="6"/>
  <c r="E492" i="6"/>
  <c r="L492" i="6"/>
  <c r="D492" i="6"/>
  <c r="K492" i="6"/>
  <c r="C492" i="6"/>
  <c r="J492" i="6"/>
  <c r="B492" i="6"/>
  <c r="I492" i="6"/>
  <c r="H492" i="6"/>
  <c r="F524" i="6"/>
  <c r="M524" i="6"/>
  <c r="E524" i="6"/>
  <c r="L524" i="6"/>
  <c r="D524" i="6"/>
  <c r="K524" i="6"/>
  <c r="C524" i="6"/>
  <c r="J524" i="6"/>
  <c r="B524" i="6"/>
  <c r="I524" i="6"/>
  <c r="H524" i="6"/>
  <c r="A610" i="7"/>
  <c r="H610" i="6"/>
  <c r="G610" i="6"/>
  <c r="F610" i="6"/>
  <c r="M610" i="6"/>
  <c r="E610" i="6"/>
  <c r="L610" i="6"/>
  <c r="D610" i="6"/>
  <c r="K610" i="6"/>
  <c r="J610" i="6"/>
  <c r="I610" i="6"/>
  <c r="C610" i="6"/>
  <c r="A618" i="7"/>
  <c r="H618" i="6"/>
  <c r="G618" i="6"/>
  <c r="F618" i="6"/>
  <c r="M618" i="6"/>
  <c r="E618" i="6"/>
  <c r="L618" i="6"/>
  <c r="D618" i="6"/>
  <c r="K618" i="6"/>
  <c r="J618" i="6"/>
  <c r="I618" i="6"/>
  <c r="C618" i="6"/>
  <c r="B618" i="6"/>
  <c r="A623" i="7"/>
  <c r="G623" i="6"/>
  <c r="F623" i="6"/>
  <c r="M623" i="6"/>
  <c r="E623" i="6"/>
  <c r="L623" i="6"/>
  <c r="D623" i="6"/>
  <c r="K623" i="6"/>
  <c r="C623" i="6"/>
  <c r="J623" i="6"/>
  <c r="I623" i="6"/>
  <c r="H623" i="6"/>
  <c r="B623" i="6"/>
  <c r="A703" i="7"/>
  <c r="G703" i="6"/>
  <c r="F703" i="6"/>
  <c r="M703" i="6"/>
  <c r="E703" i="6"/>
  <c r="L703" i="6"/>
  <c r="D703" i="6"/>
  <c r="K703" i="6"/>
  <c r="C703" i="6"/>
  <c r="J703" i="6"/>
  <c r="B703" i="6"/>
  <c r="I703" i="6"/>
  <c r="H703" i="6"/>
  <c r="H727" i="6"/>
  <c r="A833" i="7"/>
  <c r="H833" i="6"/>
  <c r="M833" i="6"/>
  <c r="E833" i="6"/>
  <c r="L833" i="6"/>
  <c r="D833" i="6"/>
  <c r="K833" i="6"/>
  <c r="J833" i="6"/>
  <c r="I833" i="6"/>
  <c r="G833" i="6"/>
  <c r="F833" i="6"/>
  <c r="C833" i="6"/>
  <c r="C839" i="6"/>
  <c r="A318" i="8"/>
  <c r="G318" i="7"/>
  <c r="F318" i="7"/>
  <c r="M318" i="7"/>
  <c r="E318" i="7"/>
  <c r="L318" i="7"/>
  <c r="D318" i="7"/>
  <c r="K318" i="7"/>
  <c r="C318" i="7"/>
  <c r="J318" i="7"/>
  <c r="I318" i="7"/>
  <c r="H318" i="7"/>
  <c r="B318" i="7"/>
  <c r="A524" i="7"/>
  <c r="B275" i="5"/>
  <c r="B283" i="5"/>
  <c r="B291" i="5"/>
  <c r="B299" i="5"/>
  <c r="B307" i="5"/>
  <c r="B315" i="5"/>
  <c r="B323" i="5"/>
  <c r="B331" i="5"/>
  <c r="B339" i="5"/>
  <c r="I344" i="5"/>
  <c r="B348" i="5"/>
  <c r="K348" i="5"/>
  <c r="G349" i="5"/>
  <c r="J353" i="5"/>
  <c r="L355" i="5"/>
  <c r="D355" i="5"/>
  <c r="J355" i="5"/>
  <c r="F356" i="5"/>
  <c r="C357" i="5"/>
  <c r="L357" i="5"/>
  <c r="B364" i="5"/>
  <c r="K364" i="5"/>
  <c r="G365" i="5"/>
  <c r="J369" i="5"/>
  <c r="L371" i="5"/>
  <c r="D371" i="5"/>
  <c r="J371" i="5"/>
  <c r="F372" i="5"/>
  <c r="C373" i="5"/>
  <c r="L373" i="5"/>
  <c r="B380" i="5"/>
  <c r="K380" i="5"/>
  <c r="G381" i="5"/>
  <c r="J385" i="5"/>
  <c r="L387" i="5"/>
  <c r="D387" i="5"/>
  <c r="J387" i="5"/>
  <c r="F388" i="5"/>
  <c r="C389" i="5"/>
  <c r="L389" i="5"/>
  <c r="B396" i="5"/>
  <c r="K396" i="5"/>
  <c r="G397" i="5"/>
  <c r="J401" i="5"/>
  <c r="L403" i="5"/>
  <c r="D403" i="5"/>
  <c r="J403" i="5"/>
  <c r="F404" i="5"/>
  <c r="C405" i="5"/>
  <c r="L405" i="5"/>
  <c r="B412" i="5"/>
  <c r="K412" i="5"/>
  <c r="G413" i="5"/>
  <c r="J417" i="5"/>
  <c r="L419" i="5"/>
  <c r="D419" i="5"/>
  <c r="J419" i="5"/>
  <c r="F420" i="5"/>
  <c r="C421" i="5"/>
  <c r="L421" i="5"/>
  <c r="B428" i="5"/>
  <c r="K428" i="5"/>
  <c r="G429" i="5"/>
  <c r="H431" i="5"/>
  <c r="L431" i="5"/>
  <c r="D431" i="5"/>
  <c r="K431" i="5"/>
  <c r="J445" i="5"/>
  <c r="B445" i="5"/>
  <c r="F445" i="5"/>
  <c r="L445" i="5"/>
  <c r="F449" i="5"/>
  <c r="J449" i="5"/>
  <c r="B449" i="5"/>
  <c r="L449" i="5"/>
  <c r="G452" i="5"/>
  <c r="K452" i="5"/>
  <c r="C452" i="5"/>
  <c r="L452" i="5"/>
  <c r="K456" i="5"/>
  <c r="C456" i="5"/>
  <c r="G456" i="5"/>
  <c r="L456" i="5"/>
  <c r="L459" i="5"/>
  <c r="D459" i="5"/>
  <c r="H459" i="5"/>
  <c r="K459" i="5"/>
  <c r="H463" i="5"/>
  <c r="L463" i="5"/>
  <c r="D463" i="5"/>
  <c r="K463" i="5"/>
  <c r="J477" i="5"/>
  <c r="B477" i="5"/>
  <c r="F477" i="5"/>
  <c r="L477" i="5"/>
  <c r="F481" i="5"/>
  <c r="J481" i="5"/>
  <c r="B481" i="5"/>
  <c r="L481" i="5"/>
  <c r="G484" i="5"/>
  <c r="K484" i="5"/>
  <c r="C484" i="5"/>
  <c r="L484" i="5"/>
  <c r="K488" i="5"/>
  <c r="C488" i="5"/>
  <c r="G488" i="5"/>
  <c r="L488" i="5"/>
  <c r="L491" i="5"/>
  <c r="D491" i="5"/>
  <c r="H491" i="5"/>
  <c r="K491" i="5"/>
  <c r="H495" i="5"/>
  <c r="L495" i="5"/>
  <c r="D495" i="5"/>
  <c r="K495" i="5"/>
  <c r="J509" i="5"/>
  <c r="B509" i="5"/>
  <c r="F509" i="5"/>
  <c r="L509" i="5"/>
  <c r="D520" i="5"/>
  <c r="C521" i="5"/>
  <c r="I523" i="5"/>
  <c r="I524" i="5"/>
  <c r="B527" i="5"/>
  <c r="K528" i="5"/>
  <c r="C528" i="5"/>
  <c r="J528" i="5"/>
  <c r="B528" i="5"/>
  <c r="G528" i="5"/>
  <c r="F529" i="5"/>
  <c r="M529" i="5"/>
  <c r="E529" i="5"/>
  <c r="J529" i="5"/>
  <c r="B529" i="5"/>
  <c r="H535" i="5"/>
  <c r="G535" i="5"/>
  <c r="L535" i="5"/>
  <c r="D535" i="5"/>
  <c r="M535" i="5"/>
  <c r="F539" i="5"/>
  <c r="E540" i="5"/>
  <c r="I552" i="5"/>
  <c r="I553" i="5"/>
  <c r="B555" i="5"/>
  <c r="B556" i="5"/>
  <c r="I559" i="5"/>
  <c r="L563" i="5"/>
  <c r="D563" i="5"/>
  <c r="K563" i="5"/>
  <c r="C563" i="5"/>
  <c r="H563" i="5"/>
  <c r="G564" i="5"/>
  <c r="F564" i="5"/>
  <c r="K564" i="5"/>
  <c r="C564" i="5"/>
  <c r="M564" i="5"/>
  <c r="F568" i="5"/>
  <c r="G569" i="5"/>
  <c r="D584" i="5"/>
  <c r="C585" i="5"/>
  <c r="I587" i="5"/>
  <c r="I588" i="5"/>
  <c r="B591" i="5"/>
  <c r="K592" i="5"/>
  <c r="C592" i="5"/>
  <c r="J592" i="5"/>
  <c r="B592" i="5"/>
  <c r="G592" i="5"/>
  <c r="F593" i="5"/>
  <c r="M593" i="5"/>
  <c r="E593" i="5"/>
  <c r="J593" i="5"/>
  <c r="B593" i="5"/>
  <c r="H599" i="5"/>
  <c r="G599" i="5"/>
  <c r="L599" i="5"/>
  <c r="D599" i="5"/>
  <c r="M599" i="5"/>
  <c r="F603" i="5"/>
  <c r="E604" i="5"/>
  <c r="I616" i="5"/>
  <c r="I617" i="5"/>
  <c r="B619" i="5"/>
  <c r="B620" i="5"/>
  <c r="M627" i="5"/>
  <c r="J631" i="5"/>
  <c r="K641" i="5"/>
  <c r="G643" i="5"/>
  <c r="J644" i="5"/>
  <c r="E647" i="5"/>
  <c r="H657" i="5"/>
  <c r="E659" i="5"/>
  <c r="H660" i="5"/>
  <c r="B663" i="5"/>
  <c r="L667" i="5"/>
  <c r="D667" i="5"/>
  <c r="K667" i="5"/>
  <c r="C667" i="5"/>
  <c r="J667" i="5"/>
  <c r="B667" i="5"/>
  <c r="H667" i="5"/>
  <c r="H671" i="5"/>
  <c r="G671" i="5"/>
  <c r="F671" i="5"/>
  <c r="L671" i="5"/>
  <c r="D671" i="5"/>
  <c r="C673" i="5"/>
  <c r="B676" i="5"/>
  <c r="F681" i="5"/>
  <c r="M681" i="5"/>
  <c r="E681" i="5"/>
  <c r="L681" i="5"/>
  <c r="D681" i="5"/>
  <c r="J681" i="5"/>
  <c r="B681" i="5"/>
  <c r="B684" i="5"/>
  <c r="F691" i="5"/>
  <c r="L692" i="5"/>
  <c r="B700" i="5"/>
  <c r="F707" i="5"/>
  <c r="L708" i="5"/>
  <c r="F745" i="5"/>
  <c r="M745" i="5"/>
  <c r="E745" i="5"/>
  <c r="L745" i="5"/>
  <c r="D745" i="5"/>
  <c r="K745" i="5"/>
  <c r="C745" i="5"/>
  <c r="J745" i="5"/>
  <c r="B745" i="5"/>
  <c r="G745" i="5"/>
  <c r="H753" i="5"/>
  <c r="G764" i="5"/>
  <c r="F764" i="5"/>
  <c r="M764" i="5"/>
  <c r="E764" i="5"/>
  <c r="L764" i="5"/>
  <c r="D764" i="5"/>
  <c r="K764" i="5"/>
  <c r="C764" i="5"/>
  <c r="H764" i="5"/>
  <c r="B772" i="5"/>
  <c r="F809" i="5"/>
  <c r="M809" i="5"/>
  <c r="E809" i="5"/>
  <c r="L809" i="5"/>
  <c r="D809" i="5"/>
  <c r="K809" i="5"/>
  <c r="C809" i="5"/>
  <c r="J809" i="5"/>
  <c r="B809" i="5"/>
  <c r="G809" i="5"/>
  <c r="H817" i="5"/>
  <c r="G828" i="5"/>
  <c r="F828" i="5"/>
  <c r="M828" i="5"/>
  <c r="E828" i="5"/>
  <c r="L828" i="5"/>
  <c r="D828" i="5"/>
  <c r="K828" i="5"/>
  <c r="C828" i="5"/>
  <c r="H828" i="5"/>
  <c r="B836" i="5"/>
  <c r="F873" i="5"/>
  <c r="M873" i="5"/>
  <c r="E873" i="5"/>
  <c r="L873" i="5"/>
  <c r="D873" i="5"/>
  <c r="K873" i="5"/>
  <c r="C873" i="5"/>
  <c r="J873" i="5"/>
  <c r="B873" i="5"/>
  <c r="G873" i="5"/>
  <c r="H881" i="5"/>
  <c r="G892" i="5"/>
  <c r="F892" i="5"/>
  <c r="M892" i="5"/>
  <c r="E892" i="5"/>
  <c r="L892" i="5"/>
  <c r="D892" i="5"/>
  <c r="K892" i="5"/>
  <c r="C892" i="5"/>
  <c r="H892" i="5"/>
  <c r="B900" i="5"/>
  <c r="F937" i="5"/>
  <c r="M937" i="5"/>
  <c r="E937" i="5"/>
  <c r="L937" i="5"/>
  <c r="D937" i="5"/>
  <c r="K937" i="5"/>
  <c r="C937" i="5"/>
  <c r="J937" i="5"/>
  <c r="B937" i="5"/>
  <c r="G937" i="5"/>
  <c r="H945" i="5"/>
  <c r="G956" i="5"/>
  <c r="F956" i="5"/>
  <c r="M956" i="5"/>
  <c r="E956" i="5"/>
  <c r="L956" i="5"/>
  <c r="D956" i="5"/>
  <c r="K956" i="5"/>
  <c r="C956" i="5"/>
  <c r="H956" i="5"/>
  <c r="B964" i="5"/>
  <c r="A2" i="7"/>
  <c r="F2" i="6"/>
  <c r="M2" i="6"/>
  <c r="E2" i="6"/>
  <c r="L2" i="6"/>
  <c r="D2" i="6"/>
  <c r="K2" i="6"/>
  <c r="C2" i="6"/>
  <c r="J2" i="6"/>
  <c r="B2" i="6"/>
  <c r="G2" i="6"/>
  <c r="H10" i="6"/>
  <c r="A21" i="7"/>
  <c r="G21" i="6"/>
  <c r="F21" i="6"/>
  <c r="M21" i="6"/>
  <c r="E21" i="6"/>
  <c r="L21" i="6"/>
  <c r="D21" i="6"/>
  <c r="K21" i="6"/>
  <c r="C21" i="6"/>
  <c r="H21" i="6"/>
  <c r="B29" i="6"/>
  <c r="J45" i="6"/>
  <c r="A66" i="7"/>
  <c r="F66" i="6"/>
  <c r="M66" i="6"/>
  <c r="E66" i="6"/>
  <c r="L66" i="6"/>
  <c r="D66" i="6"/>
  <c r="K66" i="6"/>
  <c r="C66" i="6"/>
  <c r="J66" i="6"/>
  <c r="B66" i="6"/>
  <c r="G66" i="6"/>
  <c r="H74" i="6"/>
  <c r="A85" i="7"/>
  <c r="G85" i="6"/>
  <c r="F85" i="6"/>
  <c r="M85" i="6"/>
  <c r="E85" i="6"/>
  <c r="L85" i="6"/>
  <c r="D85" i="6"/>
  <c r="K85" i="6"/>
  <c r="C85" i="6"/>
  <c r="H85" i="6"/>
  <c r="B93" i="6"/>
  <c r="I101" i="6"/>
  <c r="A112" i="7"/>
  <c r="J112" i="6"/>
  <c r="B112" i="6"/>
  <c r="H112" i="6"/>
  <c r="I112" i="6"/>
  <c r="G112" i="6"/>
  <c r="F112" i="6"/>
  <c r="E112" i="6"/>
  <c r="D112" i="6"/>
  <c r="K112" i="6"/>
  <c r="D129" i="6"/>
  <c r="D161" i="6"/>
  <c r="D193" i="6"/>
  <c r="D225" i="6"/>
  <c r="F273" i="6"/>
  <c r="A404" i="7"/>
  <c r="F404" i="6"/>
  <c r="M404" i="6"/>
  <c r="E404" i="6"/>
  <c r="L404" i="6"/>
  <c r="D404" i="6"/>
  <c r="K404" i="6"/>
  <c r="C404" i="6"/>
  <c r="J404" i="6"/>
  <c r="B404" i="6"/>
  <c r="I404" i="6"/>
  <c r="H404" i="6"/>
  <c r="A460" i="7"/>
  <c r="F460" i="6"/>
  <c r="M460" i="6"/>
  <c r="E460" i="6"/>
  <c r="L460" i="6"/>
  <c r="D460" i="6"/>
  <c r="K460" i="6"/>
  <c r="C460" i="6"/>
  <c r="J460" i="6"/>
  <c r="B460" i="6"/>
  <c r="I460" i="6"/>
  <c r="H460" i="6"/>
  <c r="A503" i="7"/>
  <c r="G503" i="6"/>
  <c r="F503" i="6"/>
  <c r="M503" i="6"/>
  <c r="E503" i="6"/>
  <c r="L503" i="6"/>
  <c r="D503" i="6"/>
  <c r="K503" i="6"/>
  <c r="C503" i="6"/>
  <c r="J503" i="6"/>
  <c r="I503" i="6"/>
  <c r="H503" i="6"/>
  <c r="B503" i="6"/>
  <c r="G524" i="6"/>
  <c r="A535" i="7"/>
  <c r="G535" i="6"/>
  <c r="F535" i="6"/>
  <c r="M535" i="6"/>
  <c r="E535" i="6"/>
  <c r="L535" i="6"/>
  <c r="D535" i="6"/>
  <c r="K535" i="6"/>
  <c r="C535" i="6"/>
  <c r="J535" i="6"/>
  <c r="I535" i="6"/>
  <c r="H535" i="6"/>
  <c r="B535" i="6"/>
  <c r="B610" i="6"/>
  <c r="A650" i="7"/>
  <c r="H650" i="6"/>
  <c r="G650" i="6"/>
  <c r="F650" i="6"/>
  <c r="M650" i="6"/>
  <c r="E650" i="6"/>
  <c r="L650" i="6"/>
  <c r="D650" i="6"/>
  <c r="K650" i="6"/>
  <c r="J650" i="6"/>
  <c r="I650" i="6"/>
  <c r="C650" i="6"/>
  <c r="A682" i="7"/>
  <c r="H682" i="6"/>
  <c r="G682" i="6"/>
  <c r="F682" i="6"/>
  <c r="M682" i="6"/>
  <c r="E682" i="6"/>
  <c r="L682" i="6"/>
  <c r="D682" i="6"/>
  <c r="K682" i="6"/>
  <c r="C682" i="6"/>
  <c r="J682" i="6"/>
  <c r="I682" i="6"/>
  <c r="B682" i="6"/>
  <c r="A746" i="7"/>
  <c r="H746" i="6"/>
  <c r="G746" i="6"/>
  <c r="F746" i="6"/>
  <c r="M746" i="6"/>
  <c r="E746" i="6"/>
  <c r="L746" i="6"/>
  <c r="D746" i="6"/>
  <c r="K746" i="6"/>
  <c r="C746" i="6"/>
  <c r="J746" i="6"/>
  <c r="I746" i="6"/>
  <c r="B746" i="6"/>
  <c r="A767" i="7"/>
  <c r="G767" i="6"/>
  <c r="F767" i="6"/>
  <c r="M767" i="6"/>
  <c r="E767" i="6"/>
  <c r="L767" i="6"/>
  <c r="D767" i="6"/>
  <c r="K767" i="6"/>
  <c r="C767" i="6"/>
  <c r="J767" i="6"/>
  <c r="B767" i="6"/>
  <c r="I767" i="6"/>
  <c r="H767" i="6"/>
  <c r="B833" i="6"/>
  <c r="A270" i="8"/>
  <c r="G270" i="7"/>
  <c r="F270" i="7"/>
  <c r="M270" i="7"/>
  <c r="E270" i="7"/>
  <c r="L270" i="7"/>
  <c r="D270" i="7"/>
  <c r="K270" i="7"/>
  <c r="C270" i="7"/>
  <c r="J270" i="7"/>
  <c r="I270" i="7"/>
  <c r="H270" i="7"/>
  <c r="B270" i="7"/>
  <c r="I687" i="5"/>
  <c r="I695" i="5"/>
  <c r="I703" i="5"/>
  <c r="I711" i="5"/>
  <c r="E715" i="5"/>
  <c r="M715" i="5"/>
  <c r="I719" i="5"/>
  <c r="E723" i="5"/>
  <c r="M723" i="5"/>
  <c r="I727" i="5"/>
  <c r="E731" i="5"/>
  <c r="M731" i="5"/>
  <c r="I735" i="5"/>
  <c r="E739" i="5"/>
  <c r="M739" i="5"/>
  <c r="I743" i="5"/>
  <c r="E747" i="5"/>
  <c r="M747" i="5"/>
  <c r="I751" i="5"/>
  <c r="E755" i="5"/>
  <c r="M755" i="5"/>
  <c r="I759" i="5"/>
  <c r="E763" i="5"/>
  <c r="M763" i="5"/>
  <c r="I767" i="5"/>
  <c r="E771" i="5"/>
  <c r="M771" i="5"/>
  <c r="I775" i="5"/>
  <c r="E779" i="5"/>
  <c r="M779" i="5"/>
  <c r="I783" i="5"/>
  <c r="E787" i="5"/>
  <c r="M787" i="5"/>
  <c r="I791" i="5"/>
  <c r="E795" i="5"/>
  <c r="M795" i="5"/>
  <c r="I799" i="5"/>
  <c r="E803" i="5"/>
  <c r="M803" i="5"/>
  <c r="I807" i="5"/>
  <c r="E811" i="5"/>
  <c r="M811" i="5"/>
  <c r="I815" i="5"/>
  <c r="E819" i="5"/>
  <c r="M819" i="5"/>
  <c r="I823" i="5"/>
  <c r="E827" i="5"/>
  <c r="M827" i="5"/>
  <c r="I831" i="5"/>
  <c r="E835" i="5"/>
  <c r="M835" i="5"/>
  <c r="I839" i="5"/>
  <c r="E843" i="5"/>
  <c r="M843" i="5"/>
  <c r="I847" i="5"/>
  <c r="E851" i="5"/>
  <c r="M851" i="5"/>
  <c r="I855" i="5"/>
  <c r="E859" i="5"/>
  <c r="M859" i="5"/>
  <c r="I863" i="5"/>
  <c r="E867" i="5"/>
  <c r="M867" i="5"/>
  <c r="I871" i="5"/>
  <c r="E875" i="5"/>
  <c r="M875" i="5"/>
  <c r="I879" i="5"/>
  <c r="E883" i="5"/>
  <c r="M883" i="5"/>
  <c r="I887" i="5"/>
  <c r="E891" i="5"/>
  <c r="M891" i="5"/>
  <c r="I895" i="5"/>
  <c r="E899" i="5"/>
  <c r="M899" i="5"/>
  <c r="I903" i="5"/>
  <c r="E907" i="5"/>
  <c r="M907" i="5"/>
  <c r="I911" i="5"/>
  <c r="E915" i="5"/>
  <c r="M915" i="5"/>
  <c r="I919" i="5"/>
  <c r="E923" i="5"/>
  <c r="M923" i="5"/>
  <c r="I927" i="5"/>
  <c r="E931" i="5"/>
  <c r="M931" i="5"/>
  <c r="I935" i="5"/>
  <c r="E939" i="5"/>
  <c r="M939" i="5"/>
  <c r="I943" i="5"/>
  <c r="E947" i="5"/>
  <c r="M947" i="5"/>
  <c r="I951" i="5"/>
  <c r="E955" i="5"/>
  <c r="M955" i="5"/>
  <c r="I959" i="5"/>
  <c r="E963" i="5"/>
  <c r="M963" i="5"/>
  <c r="I967" i="5"/>
  <c r="E971" i="5"/>
  <c r="M971" i="5"/>
  <c r="I975" i="5"/>
  <c r="E979" i="5"/>
  <c r="M979" i="5"/>
  <c r="I983" i="5"/>
  <c r="E987" i="5"/>
  <c r="M987" i="5"/>
  <c r="I991" i="5"/>
  <c r="E995" i="5"/>
  <c r="M995" i="5"/>
  <c r="I999" i="5"/>
  <c r="E4" i="6"/>
  <c r="M4" i="6"/>
  <c r="A8" i="8"/>
  <c r="J8" i="7"/>
  <c r="K8" i="7"/>
  <c r="E8" i="7"/>
  <c r="I8" i="6"/>
  <c r="I8" i="7" s="1"/>
  <c r="E12" i="6"/>
  <c r="E12" i="7" s="1"/>
  <c r="M12" i="6"/>
  <c r="M12" i="7" s="1"/>
  <c r="A16" i="8"/>
  <c r="J16" i="7"/>
  <c r="B16" i="7"/>
  <c r="H16" i="7"/>
  <c r="M16" i="7"/>
  <c r="K16" i="7"/>
  <c r="E16" i="7"/>
  <c r="C16" i="7"/>
  <c r="I16" i="6"/>
  <c r="I16" i="7" s="1"/>
  <c r="E20" i="6"/>
  <c r="M20" i="6"/>
  <c r="A24" i="8"/>
  <c r="J24" i="7"/>
  <c r="B24" i="7"/>
  <c r="I24" i="7"/>
  <c r="H24" i="7"/>
  <c r="G24" i="7"/>
  <c r="F24" i="7"/>
  <c r="M24" i="7"/>
  <c r="L24" i="7"/>
  <c r="K24" i="7"/>
  <c r="E24" i="7"/>
  <c r="D24" i="7"/>
  <c r="I24" i="6"/>
  <c r="E28" i="6"/>
  <c r="M28" i="6"/>
  <c r="A32" i="8"/>
  <c r="J32" i="7"/>
  <c r="B32" i="7"/>
  <c r="I32" i="7"/>
  <c r="H32" i="7"/>
  <c r="G32" i="7"/>
  <c r="F32" i="7"/>
  <c r="M32" i="7"/>
  <c r="L32" i="7"/>
  <c r="K32" i="7"/>
  <c r="E32" i="7"/>
  <c r="I32" i="6"/>
  <c r="E36" i="6"/>
  <c r="M36" i="6"/>
  <c r="A40" i="8"/>
  <c r="J40" i="7"/>
  <c r="B40" i="7"/>
  <c r="I40" i="7"/>
  <c r="H40" i="7"/>
  <c r="G40" i="7"/>
  <c r="F40" i="7"/>
  <c r="C40" i="7"/>
  <c r="M40" i="7"/>
  <c r="L40" i="7"/>
  <c r="K40" i="7"/>
  <c r="I40" i="6"/>
  <c r="E44" i="6"/>
  <c r="M44" i="6"/>
  <c r="A48" i="8"/>
  <c r="J48" i="7"/>
  <c r="B48" i="7"/>
  <c r="I48" i="7"/>
  <c r="H48" i="7"/>
  <c r="G48" i="7"/>
  <c r="F48" i="7"/>
  <c r="D48" i="7"/>
  <c r="C48" i="7"/>
  <c r="M48" i="7"/>
  <c r="L48" i="7"/>
  <c r="I48" i="6"/>
  <c r="E52" i="6"/>
  <c r="M52" i="6"/>
  <c r="A56" i="8"/>
  <c r="J56" i="7"/>
  <c r="B56" i="7"/>
  <c r="I56" i="7"/>
  <c r="H56" i="7"/>
  <c r="G56" i="7"/>
  <c r="F56" i="7"/>
  <c r="E56" i="7"/>
  <c r="D56" i="7"/>
  <c r="C56" i="7"/>
  <c r="M56" i="7"/>
  <c r="I56" i="6"/>
  <c r="E60" i="6"/>
  <c r="M60" i="6"/>
  <c r="A64" i="8"/>
  <c r="J64" i="7"/>
  <c r="B64" i="7"/>
  <c r="I64" i="7"/>
  <c r="H64" i="7"/>
  <c r="G64" i="7"/>
  <c r="F64" i="7"/>
  <c r="K64" i="7"/>
  <c r="E64" i="7"/>
  <c r="D64" i="7"/>
  <c r="C64" i="7"/>
  <c r="I64" i="6"/>
  <c r="E68" i="6"/>
  <c r="M68" i="6"/>
  <c r="A72" i="8"/>
  <c r="M72" i="7"/>
  <c r="E72" i="7"/>
  <c r="K72" i="7"/>
  <c r="C72" i="7"/>
  <c r="J72" i="7"/>
  <c r="B72" i="7"/>
  <c r="I72" i="7"/>
  <c r="G72" i="7"/>
  <c r="F72" i="7"/>
  <c r="D72" i="7"/>
  <c r="L72" i="7"/>
  <c r="H72" i="7"/>
  <c r="I72" i="6"/>
  <c r="E76" i="6"/>
  <c r="M76" i="6"/>
  <c r="A80" i="8"/>
  <c r="M80" i="7"/>
  <c r="E80" i="7"/>
  <c r="K80" i="7"/>
  <c r="C80" i="7"/>
  <c r="J80" i="7"/>
  <c r="B80" i="7"/>
  <c r="I80" i="7"/>
  <c r="L80" i="7"/>
  <c r="H80" i="7"/>
  <c r="G80" i="7"/>
  <c r="D80" i="7"/>
  <c r="I80" i="6"/>
  <c r="E84" i="6"/>
  <c r="M84" i="6"/>
  <c r="A88" i="8"/>
  <c r="M88" i="7"/>
  <c r="E88" i="7"/>
  <c r="K88" i="7"/>
  <c r="C88" i="7"/>
  <c r="J88" i="7"/>
  <c r="B88" i="7"/>
  <c r="I88" i="7"/>
  <c r="G88" i="7"/>
  <c r="F88" i="7"/>
  <c r="D88" i="7"/>
  <c r="L88" i="7"/>
  <c r="H88" i="7"/>
  <c r="I88" i="6"/>
  <c r="E92" i="6"/>
  <c r="M92" i="6"/>
  <c r="A96" i="8"/>
  <c r="M96" i="7"/>
  <c r="E96" i="7"/>
  <c r="K96" i="7"/>
  <c r="C96" i="7"/>
  <c r="J96" i="7"/>
  <c r="B96" i="7"/>
  <c r="I96" i="7"/>
  <c r="L96" i="7"/>
  <c r="H96" i="7"/>
  <c r="G96" i="7"/>
  <c r="F96" i="7"/>
  <c r="D96" i="7"/>
  <c r="I96" i="6"/>
  <c r="E100" i="6"/>
  <c r="M100" i="6"/>
  <c r="A104" i="8"/>
  <c r="M104" i="7"/>
  <c r="E104" i="7"/>
  <c r="K104" i="7"/>
  <c r="C104" i="7"/>
  <c r="J104" i="7"/>
  <c r="B104" i="7"/>
  <c r="I104" i="7"/>
  <c r="G104" i="7"/>
  <c r="F104" i="7"/>
  <c r="D104" i="7"/>
  <c r="L104" i="7"/>
  <c r="H104" i="7"/>
  <c r="I104" i="6"/>
  <c r="E114" i="6"/>
  <c r="A119" i="7"/>
  <c r="G119" i="6"/>
  <c r="M119" i="6"/>
  <c r="E119" i="6"/>
  <c r="L119" i="6"/>
  <c r="D119" i="6"/>
  <c r="A120" i="7"/>
  <c r="J120" i="6"/>
  <c r="B120" i="6"/>
  <c r="H120" i="6"/>
  <c r="G120" i="6"/>
  <c r="M120" i="6"/>
  <c r="A122" i="7"/>
  <c r="H122" i="6"/>
  <c r="F122" i="6"/>
  <c r="M122" i="6"/>
  <c r="E122" i="6"/>
  <c r="L122" i="6"/>
  <c r="G127" i="6"/>
  <c r="M127" i="6"/>
  <c r="E127" i="6"/>
  <c r="L127" i="6"/>
  <c r="D127" i="6"/>
  <c r="A128" i="7"/>
  <c r="J128" i="6"/>
  <c r="B128" i="6"/>
  <c r="H128" i="6"/>
  <c r="G128" i="6"/>
  <c r="M128" i="6"/>
  <c r="A130" i="7"/>
  <c r="H130" i="6"/>
  <c r="F130" i="6"/>
  <c r="M130" i="6"/>
  <c r="E130" i="6"/>
  <c r="L130" i="6"/>
  <c r="A135" i="7"/>
  <c r="G135" i="6"/>
  <c r="M135" i="6"/>
  <c r="E135" i="6"/>
  <c r="L135" i="6"/>
  <c r="D135" i="6"/>
  <c r="A136" i="7"/>
  <c r="J136" i="6"/>
  <c r="B136" i="6"/>
  <c r="H136" i="6"/>
  <c r="G136" i="6"/>
  <c r="M136" i="6"/>
  <c r="A138" i="7"/>
  <c r="H138" i="6"/>
  <c r="F138" i="6"/>
  <c r="M138" i="6"/>
  <c r="E138" i="6"/>
  <c r="L138" i="6"/>
  <c r="A143" i="7"/>
  <c r="G143" i="6"/>
  <c r="M143" i="6"/>
  <c r="E143" i="6"/>
  <c r="L143" i="6"/>
  <c r="D143" i="6"/>
  <c r="A144" i="7"/>
  <c r="J144" i="6"/>
  <c r="B144" i="6"/>
  <c r="H144" i="6"/>
  <c r="G144" i="6"/>
  <c r="M144" i="6"/>
  <c r="A146" i="7"/>
  <c r="H146" i="6"/>
  <c r="F146" i="6"/>
  <c r="M146" i="6"/>
  <c r="E146" i="6"/>
  <c r="L146" i="6"/>
  <c r="A151" i="7"/>
  <c r="G151" i="6"/>
  <c r="M151" i="6"/>
  <c r="E151" i="6"/>
  <c r="L151" i="6"/>
  <c r="D151" i="6"/>
  <c r="A152" i="7"/>
  <c r="J152" i="6"/>
  <c r="B152" i="6"/>
  <c r="H152" i="6"/>
  <c r="G152" i="6"/>
  <c r="M152" i="6"/>
  <c r="A154" i="7"/>
  <c r="H154" i="6"/>
  <c r="F154" i="6"/>
  <c r="M154" i="6"/>
  <c r="E154" i="6"/>
  <c r="L154" i="6"/>
  <c r="A159" i="7"/>
  <c r="G159" i="6"/>
  <c r="M159" i="6"/>
  <c r="E159" i="6"/>
  <c r="L159" i="6"/>
  <c r="D159" i="6"/>
  <c r="A160" i="7"/>
  <c r="J160" i="6"/>
  <c r="B160" i="6"/>
  <c r="H160" i="6"/>
  <c r="G160" i="6"/>
  <c r="M160" i="6"/>
  <c r="A162" i="7"/>
  <c r="H162" i="6"/>
  <c r="F162" i="6"/>
  <c r="M162" i="6"/>
  <c r="E162" i="6"/>
  <c r="L162" i="6"/>
  <c r="A167" i="7"/>
  <c r="G167" i="6"/>
  <c r="M167" i="6"/>
  <c r="E167" i="6"/>
  <c r="L167" i="6"/>
  <c r="D167" i="6"/>
  <c r="A168" i="7"/>
  <c r="J168" i="6"/>
  <c r="B168" i="6"/>
  <c r="H168" i="6"/>
  <c r="G168" i="6"/>
  <c r="M168" i="6"/>
  <c r="A170" i="7"/>
  <c r="H170" i="6"/>
  <c r="F170" i="6"/>
  <c r="M170" i="6"/>
  <c r="E170" i="6"/>
  <c r="L170" i="6"/>
  <c r="A175" i="7"/>
  <c r="G175" i="6"/>
  <c r="M175" i="6"/>
  <c r="E175" i="6"/>
  <c r="L175" i="6"/>
  <c r="D175" i="6"/>
  <c r="A176" i="7"/>
  <c r="J176" i="6"/>
  <c r="B176" i="6"/>
  <c r="H176" i="6"/>
  <c r="G176" i="6"/>
  <c r="M176" i="6"/>
  <c r="A178" i="7"/>
  <c r="H178" i="6"/>
  <c r="F178" i="6"/>
  <c r="M178" i="6"/>
  <c r="E178" i="6"/>
  <c r="L178" i="6"/>
  <c r="A183" i="7"/>
  <c r="G183" i="6"/>
  <c r="M183" i="6"/>
  <c r="E183" i="6"/>
  <c r="L183" i="6"/>
  <c r="D183" i="6"/>
  <c r="A184" i="7"/>
  <c r="J184" i="6"/>
  <c r="B184" i="6"/>
  <c r="H184" i="6"/>
  <c r="G184" i="6"/>
  <c r="M184" i="6"/>
  <c r="A186" i="7"/>
  <c r="H186" i="6"/>
  <c r="F186" i="6"/>
  <c r="M186" i="6"/>
  <c r="E186" i="6"/>
  <c r="L186" i="6"/>
  <c r="A190" i="8"/>
  <c r="G190" i="7"/>
  <c r="F190" i="7"/>
  <c r="M190" i="7"/>
  <c r="E190" i="7"/>
  <c r="L190" i="7"/>
  <c r="D190" i="7"/>
  <c r="K190" i="7"/>
  <c r="C190" i="7"/>
  <c r="J190" i="7"/>
  <c r="I190" i="7"/>
  <c r="H190" i="7"/>
  <c r="B190" i="7"/>
  <c r="A191" i="7"/>
  <c r="G191" i="6"/>
  <c r="M191" i="6"/>
  <c r="E191" i="6"/>
  <c r="L191" i="6"/>
  <c r="D191" i="6"/>
  <c r="A192" i="7"/>
  <c r="J192" i="6"/>
  <c r="B192" i="6"/>
  <c r="H192" i="6"/>
  <c r="G192" i="6"/>
  <c r="M192" i="6"/>
  <c r="A194" i="7"/>
  <c r="H194" i="6"/>
  <c r="F194" i="6"/>
  <c r="M194" i="6"/>
  <c r="E194" i="6"/>
  <c r="L194" i="6"/>
  <c r="A199" i="7"/>
  <c r="G199" i="6"/>
  <c r="M199" i="6"/>
  <c r="E199" i="6"/>
  <c r="L199" i="6"/>
  <c r="D199" i="6"/>
  <c r="A200" i="7"/>
  <c r="J200" i="6"/>
  <c r="B200" i="6"/>
  <c r="H200" i="6"/>
  <c r="G200" i="6"/>
  <c r="M200" i="6"/>
  <c r="A202" i="7"/>
  <c r="H202" i="6"/>
  <c r="F202" i="6"/>
  <c r="M202" i="6"/>
  <c r="E202" i="6"/>
  <c r="L202" i="6"/>
  <c r="A207" i="7"/>
  <c r="G207" i="6"/>
  <c r="M207" i="6"/>
  <c r="E207" i="6"/>
  <c r="L207" i="6"/>
  <c r="D207" i="6"/>
  <c r="A208" i="7"/>
  <c r="J208" i="6"/>
  <c r="B208" i="6"/>
  <c r="H208" i="6"/>
  <c r="G208" i="6"/>
  <c r="M208" i="6"/>
  <c r="A210" i="7"/>
  <c r="H210" i="6"/>
  <c r="F210" i="6"/>
  <c r="M210" i="6"/>
  <c r="E210" i="6"/>
  <c r="L210" i="6"/>
  <c r="A215" i="7"/>
  <c r="G215" i="6"/>
  <c r="M215" i="6"/>
  <c r="E215" i="6"/>
  <c r="L215" i="6"/>
  <c r="D215" i="6"/>
  <c r="A216" i="7"/>
  <c r="J216" i="6"/>
  <c r="B216" i="6"/>
  <c r="H216" i="6"/>
  <c r="G216" i="6"/>
  <c r="M216" i="6"/>
  <c r="A218" i="7"/>
  <c r="H218" i="6"/>
  <c r="F218" i="6"/>
  <c r="M218" i="6"/>
  <c r="E218" i="6"/>
  <c r="L218" i="6"/>
  <c r="A223" i="7"/>
  <c r="G223" i="6"/>
  <c r="M223" i="6"/>
  <c r="E223" i="6"/>
  <c r="L223" i="6"/>
  <c r="D223" i="6"/>
  <c r="A224" i="7"/>
  <c r="J224" i="6"/>
  <c r="B224" i="6"/>
  <c r="H224" i="6"/>
  <c r="G224" i="6"/>
  <c r="M224" i="6"/>
  <c r="A226" i="7"/>
  <c r="H226" i="6"/>
  <c r="F226" i="6"/>
  <c r="M226" i="6"/>
  <c r="E226" i="6"/>
  <c r="L226" i="6"/>
  <c r="A231" i="7"/>
  <c r="G231" i="6"/>
  <c r="M231" i="6"/>
  <c r="E231" i="6"/>
  <c r="L231" i="6"/>
  <c r="D231" i="6"/>
  <c r="A232" i="7"/>
  <c r="J232" i="6"/>
  <c r="B232" i="6"/>
  <c r="H232" i="6"/>
  <c r="G232" i="6"/>
  <c r="M232" i="6"/>
  <c r="A234" i="7"/>
  <c r="H234" i="6"/>
  <c r="F234" i="6"/>
  <c r="M234" i="6"/>
  <c r="E234" i="6"/>
  <c r="L234" i="6"/>
  <c r="A239" i="7"/>
  <c r="G239" i="6"/>
  <c r="M239" i="6"/>
  <c r="E239" i="6"/>
  <c r="L239" i="6"/>
  <c r="D239" i="6"/>
  <c r="A240" i="7"/>
  <c r="J240" i="6"/>
  <c r="B240" i="6"/>
  <c r="H240" i="6"/>
  <c r="G240" i="6"/>
  <c r="M240" i="6"/>
  <c r="A242" i="7"/>
  <c r="H242" i="6"/>
  <c r="F242" i="6"/>
  <c r="M242" i="6"/>
  <c r="E242" i="6"/>
  <c r="L242" i="6"/>
  <c r="A255" i="7"/>
  <c r="G255" i="6"/>
  <c r="F255" i="6"/>
  <c r="M255" i="6"/>
  <c r="E255" i="6"/>
  <c r="L255" i="6"/>
  <c r="D255" i="6"/>
  <c r="I258" i="6"/>
  <c r="A260" i="7"/>
  <c r="F260" i="6"/>
  <c r="M260" i="6"/>
  <c r="E260" i="6"/>
  <c r="L260" i="6"/>
  <c r="D260" i="6"/>
  <c r="K260" i="6"/>
  <c r="C260" i="6"/>
  <c r="A265" i="7"/>
  <c r="M265" i="6"/>
  <c r="E265" i="6"/>
  <c r="L265" i="6"/>
  <c r="D265" i="6"/>
  <c r="K265" i="6"/>
  <c r="C265" i="6"/>
  <c r="J265" i="6"/>
  <c r="B265" i="6"/>
  <c r="A290" i="7"/>
  <c r="H290" i="6"/>
  <c r="G290" i="6"/>
  <c r="F290" i="6"/>
  <c r="M290" i="6"/>
  <c r="E290" i="6"/>
  <c r="A343" i="7"/>
  <c r="G343" i="6"/>
  <c r="F343" i="6"/>
  <c r="M343" i="6"/>
  <c r="E343" i="6"/>
  <c r="L343" i="6"/>
  <c r="D343" i="6"/>
  <c r="K343" i="6"/>
  <c r="C343" i="6"/>
  <c r="A375" i="7"/>
  <c r="G375" i="6"/>
  <c r="F375" i="6"/>
  <c r="M375" i="6"/>
  <c r="E375" i="6"/>
  <c r="L375" i="6"/>
  <c r="D375" i="6"/>
  <c r="K375" i="6"/>
  <c r="C375" i="6"/>
  <c r="A407" i="7"/>
  <c r="G407" i="6"/>
  <c r="F407" i="6"/>
  <c r="M407" i="6"/>
  <c r="E407" i="6"/>
  <c r="L407" i="6"/>
  <c r="D407" i="6"/>
  <c r="K407" i="6"/>
  <c r="C407" i="6"/>
  <c r="A450" i="7"/>
  <c r="H450" i="6"/>
  <c r="G450" i="6"/>
  <c r="F450" i="6"/>
  <c r="M450" i="6"/>
  <c r="E450" i="6"/>
  <c r="L450" i="6"/>
  <c r="D450" i="6"/>
  <c r="A452" i="7"/>
  <c r="F452" i="6"/>
  <c r="M452" i="6"/>
  <c r="E452" i="6"/>
  <c r="L452" i="6"/>
  <c r="D452" i="6"/>
  <c r="K452" i="6"/>
  <c r="C452" i="6"/>
  <c r="J452" i="6"/>
  <c r="B452" i="6"/>
  <c r="A455" i="7"/>
  <c r="G455" i="6"/>
  <c r="F455" i="6"/>
  <c r="M455" i="6"/>
  <c r="E455" i="6"/>
  <c r="L455" i="6"/>
  <c r="D455" i="6"/>
  <c r="K455" i="6"/>
  <c r="C455" i="6"/>
  <c r="A463" i="7"/>
  <c r="G463" i="6"/>
  <c r="F463" i="6"/>
  <c r="M463" i="6"/>
  <c r="E463" i="6"/>
  <c r="L463" i="6"/>
  <c r="D463" i="6"/>
  <c r="K463" i="6"/>
  <c r="C463" i="6"/>
  <c r="A495" i="7"/>
  <c r="G495" i="6"/>
  <c r="F495" i="6"/>
  <c r="M495" i="6"/>
  <c r="E495" i="6"/>
  <c r="L495" i="6"/>
  <c r="D495" i="6"/>
  <c r="K495" i="6"/>
  <c r="C495" i="6"/>
  <c r="A527" i="7"/>
  <c r="G527" i="6"/>
  <c r="F527" i="6"/>
  <c r="M527" i="6"/>
  <c r="E527" i="6"/>
  <c r="L527" i="6"/>
  <c r="D527" i="6"/>
  <c r="K527" i="6"/>
  <c r="C527" i="6"/>
  <c r="B554" i="6"/>
  <c r="A559" i="7"/>
  <c r="G559" i="6"/>
  <c r="F559" i="6"/>
  <c r="M559" i="6"/>
  <c r="E559" i="6"/>
  <c r="L559" i="6"/>
  <c r="D559" i="6"/>
  <c r="K559" i="6"/>
  <c r="C559" i="6"/>
  <c r="B594" i="6"/>
  <c r="B599" i="6"/>
  <c r="A602" i="7"/>
  <c r="H602" i="6"/>
  <c r="G602" i="6"/>
  <c r="F602" i="6"/>
  <c r="M602" i="6"/>
  <c r="E602" i="6"/>
  <c r="L602" i="6"/>
  <c r="D602" i="6"/>
  <c r="A604" i="7"/>
  <c r="F604" i="6"/>
  <c r="M604" i="6"/>
  <c r="E604" i="6"/>
  <c r="L604" i="6"/>
  <c r="D604" i="6"/>
  <c r="K604" i="6"/>
  <c r="C604" i="6"/>
  <c r="J604" i="6"/>
  <c r="B604" i="6"/>
  <c r="A607" i="7"/>
  <c r="G607" i="6"/>
  <c r="F607" i="6"/>
  <c r="M607" i="6"/>
  <c r="E607" i="6"/>
  <c r="L607" i="6"/>
  <c r="D607" i="6"/>
  <c r="K607" i="6"/>
  <c r="C607" i="6"/>
  <c r="B642" i="6"/>
  <c r="A647" i="7"/>
  <c r="G647" i="6"/>
  <c r="F647" i="6"/>
  <c r="M647" i="6"/>
  <c r="E647" i="6"/>
  <c r="L647" i="6"/>
  <c r="D647" i="6"/>
  <c r="K647" i="6"/>
  <c r="C647" i="6"/>
  <c r="A687" i="7"/>
  <c r="G687" i="6"/>
  <c r="F687" i="6"/>
  <c r="M687" i="6"/>
  <c r="E687" i="6"/>
  <c r="L687" i="6"/>
  <c r="D687" i="6"/>
  <c r="K687" i="6"/>
  <c r="C687" i="6"/>
  <c r="J687" i="6"/>
  <c r="B687" i="6"/>
  <c r="A730" i="7"/>
  <c r="H730" i="6"/>
  <c r="G730" i="6"/>
  <c r="F730" i="6"/>
  <c r="M730" i="6"/>
  <c r="E730" i="6"/>
  <c r="L730" i="6"/>
  <c r="D730" i="6"/>
  <c r="K730" i="6"/>
  <c r="C730" i="6"/>
  <c r="A751" i="7"/>
  <c r="G751" i="6"/>
  <c r="F751" i="6"/>
  <c r="M751" i="6"/>
  <c r="E751" i="6"/>
  <c r="L751" i="6"/>
  <c r="D751" i="6"/>
  <c r="K751" i="6"/>
  <c r="C751" i="6"/>
  <c r="J751" i="6"/>
  <c r="B751" i="6"/>
  <c r="A791" i="7"/>
  <c r="G791" i="6"/>
  <c r="F791" i="6"/>
  <c r="M791" i="6"/>
  <c r="E791" i="6"/>
  <c r="L791" i="6"/>
  <c r="D791" i="6"/>
  <c r="K791" i="6"/>
  <c r="C791" i="6"/>
  <c r="J791" i="6"/>
  <c r="B791" i="6"/>
  <c r="A793" i="7"/>
  <c r="M793" i="6"/>
  <c r="E793" i="6"/>
  <c r="H793" i="6"/>
  <c r="G793" i="6"/>
  <c r="F793" i="6"/>
  <c r="D793" i="6"/>
  <c r="L793" i="6"/>
  <c r="C793" i="6"/>
  <c r="K793" i="6"/>
  <c r="B793" i="6"/>
  <c r="A865" i="7"/>
  <c r="H865" i="6"/>
  <c r="F865" i="6"/>
  <c r="M865" i="6"/>
  <c r="E865" i="6"/>
  <c r="L865" i="6"/>
  <c r="D865" i="6"/>
  <c r="K865" i="6"/>
  <c r="J865" i="6"/>
  <c r="I865" i="6"/>
  <c r="G865" i="6"/>
  <c r="C865" i="6"/>
  <c r="F875" i="6"/>
  <c r="L875" i="6"/>
  <c r="D875" i="6"/>
  <c r="K875" i="6"/>
  <c r="C875" i="6"/>
  <c r="J875" i="6"/>
  <c r="B875" i="6"/>
  <c r="A875" i="7"/>
  <c r="M875" i="6"/>
  <c r="I875" i="6"/>
  <c r="H875" i="6"/>
  <c r="G875" i="6"/>
  <c r="E875" i="6"/>
  <c r="A886" i="7"/>
  <c r="G886" i="6"/>
  <c r="M886" i="6"/>
  <c r="E886" i="6"/>
  <c r="L886" i="6"/>
  <c r="D886" i="6"/>
  <c r="K886" i="6"/>
  <c r="C886" i="6"/>
  <c r="J886" i="6"/>
  <c r="I886" i="6"/>
  <c r="H886" i="6"/>
  <c r="F886" i="6"/>
  <c r="A4" i="7"/>
  <c r="K56" i="7"/>
  <c r="A283" i="8"/>
  <c r="F283" i="7"/>
  <c r="M283" i="7"/>
  <c r="E283" i="7"/>
  <c r="L283" i="7"/>
  <c r="D283" i="7"/>
  <c r="K283" i="7"/>
  <c r="C283" i="7"/>
  <c r="J283" i="7"/>
  <c r="B283" i="7"/>
  <c r="I283" i="7"/>
  <c r="H283" i="7"/>
  <c r="I438" i="5"/>
  <c r="I446" i="5"/>
  <c r="I454" i="5"/>
  <c r="I462" i="5"/>
  <c r="I470" i="5"/>
  <c r="I478" i="5"/>
  <c r="I486" i="5"/>
  <c r="I494" i="5"/>
  <c r="I502" i="5"/>
  <c r="I510" i="5"/>
  <c r="F517" i="5"/>
  <c r="I518" i="5"/>
  <c r="F525" i="5"/>
  <c r="I526" i="5"/>
  <c r="F533" i="5"/>
  <c r="I534" i="5"/>
  <c r="F541" i="5"/>
  <c r="I542" i="5"/>
  <c r="F549" i="5"/>
  <c r="I550" i="5"/>
  <c r="F557" i="5"/>
  <c r="I558" i="5"/>
  <c r="F565" i="5"/>
  <c r="I566" i="5"/>
  <c r="F573" i="5"/>
  <c r="I574" i="5"/>
  <c r="F581" i="5"/>
  <c r="I582" i="5"/>
  <c r="F589" i="5"/>
  <c r="I590" i="5"/>
  <c r="F597" i="5"/>
  <c r="I598" i="5"/>
  <c r="F605" i="5"/>
  <c r="I606" i="5"/>
  <c r="F613" i="5"/>
  <c r="I614" i="5"/>
  <c r="F621" i="5"/>
  <c r="I622" i="5"/>
  <c r="G624" i="5"/>
  <c r="F629" i="5"/>
  <c r="I630" i="5"/>
  <c r="G632" i="5"/>
  <c r="F637" i="5"/>
  <c r="I638" i="5"/>
  <c r="G640" i="5"/>
  <c r="F645" i="5"/>
  <c r="I646" i="5"/>
  <c r="G648" i="5"/>
  <c r="F653" i="5"/>
  <c r="I654" i="5"/>
  <c r="G656" i="5"/>
  <c r="F661" i="5"/>
  <c r="I662" i="5"/>
  <c r="G664" i="5"/>
  <c r="F669" i="5"/>
  <c r="I670" i="5"/>
  <c r="G672" i="5"/>
  <c r="F677" i="5"/>
  <c r="I678" i="5"/>
  <c r="G680" i="5"/>
  <c r="F685" i="5"/>
  <c r="I686" i="5"/>
  <c r="D687" i="5"/>
  <c r="L687" i="5"/>
  <c r="G688" i="5"/>
  <c r="F693" i="5"/>
  <c r="I694" i="5"/>
  <c r="D695" i="5"/>
  <c r="L695" i="5"/>
  <c r="G696" i="5"/>
  <c r="F701" i="5"/>
  <c r="I702" i="5"/>
  <c r="D703" i="5"/>
  <c r="L703" i="5"/>
  <c r="G704" i="5"/>
  <c r="F709" i="5"/>
  <c r="I710" i="5"/>
  <c r="D711" i="5"/>
  <c r="L711" i="5"/>
  <c r="G712" i="5"/>
  <c r="H715" i="5"/>
  <c r="F717" i="5"/>
  <c r="I718" i="5"/>
  <c r="D719" i="5"/>
  <c r="L719" i="5"/>
  <c r="G720" i="5"/>
  <c r="H723" i="5"/>
  <c r="F725" i="5"/>
  <c r="I726" i="5"/>
  <c r="D727" i="5"/>
  <c r="L727" i="5"/>
  <c r="G728" i="5"/>
  <c r="H731" i="5"/>
  <c r="F733" i="5"/>
  <c r="I734" i="5"/>
  <c r="D735" i="5"/>
  <c r="L735" i="5"/>
  <c r="G736" i="5"/>
  <c r="H739" i="5"/>
  <c r="F741" i="5"/>
  <c r="I742" i="5"/>
  <c r="D743" i="5"/>
  <c r="L743" i="5"/>
  <c r="G744" i="5"/>
  <c r="H747" i="5"/>
  <c r="F749" i="5"/>
  <c r="I750" i="5"/>
  <c r="D751" i="5"/>
  <c r="L751" i="5"/>
  <c r="G752" i="5"/>
  <c r="H755" i="5"/>
  <c r="F757" i="5"/>
  <c r="I758" i="5"/>
  <c r="D759" i="5"/>
  <c r="L759" i="5"/>
  <c r="G760" i="5"/>
  <c r="H763" i="5"/>
  <c r="F765" i="5"/>
  <c r="I766" i="5"/>
  <c r="D767" i="5"/>
  <c r="L767" i="5"/>
  <c r="G768" i="5"/>
  <c r="H771" i="5"/>
  <c r="F773" i="5"/>
  <c r="I774" i="5"/>
  <c r="D775" i="5"/>
  <c r="L775" i="5"/>
  <c r="G776" i="5"/>
  <c r="H779" i="5"/>
  <c r="F781" i="5"/>
  <c r="I782" i="5"/>
  <c r="D783" i="5"/>
  <c r="L783" i="5"/>
  <c r="G784" i="5"/>
  <c r="H787" i="5"/>
  <c r="F789" i="5"/>
  <c r="I790" i="5"/>
  <c r="D791" i="5"/>
  <c r="L791" i="5"/>
  <c r="G792" i="5"/>
  <c r="H795" i="5"/>
  <c r="F797" i="5"/>
  <c r="I798" i="5"/>
  <c r="D799" i="5"/>
  <c r="L799" i="5"/>
  <c r="G800" i="5"/>
  <c r="H803" i="5"/>
  <c r="F805" i="5"/>
  <c r="I806" i="5"/>
  <c r="D807" i="5"/>
  <c r="L807" i="5"/>
  <c r="G808" i="5"/>
  <c r="H811" i="5"/>
  <c r="F813" i="5"/>
  <c r="I814" i="5"/>
  <c r="D815" i="5"/>
  <c r="L815" i="5"/>
  <c r="G816" i="5"/>
  <c r="H819" i="5"/>
  <c r="F821" i="5"/>
  <c r="I822" i="5"/>
  <c r="D823" i="5"/>
  <c r="L823" i="5"/>
  <c r="G824" i="5"/>
  <c r="H827" i="5"/>
  <c r="F829" i="5"/>
  <c r="I830" i="5"/>
  <c r="D831" i="5"/>
  <c r="L831" i="5"/>
  <c r="G832" i="5"/>
  <c r="H835" i="5"/>
  <c r="F837" i="5"/>
  <c r="I838" i="5"/>
  <c r="D839" i="5"/>
  <c r="L839" i="5"/>
  <c r="G840" i="5"/>
  <c r="H843" i="5"/>
  <c r="F845" i="5"/>
  <c r="I846" i="5"/>
  <c r="D847" i="5"/>
  <c r="L847" i="5"/>
  <c r="G848" i="5"/>
  <c r="H851" i="5"/>
  <c r="F853" i="5"/>
  <c r="I854" i="5"/>
  <c r="D855" i="5"/>
  <c r="L855" i="5"/>
  <c r="G856" i="5"/>
  <c r="H859" i="5"/>
  <c r="F861" i="5"/>
  <c r="I862" i="5"/>
  <c r="D863" i="5"/>
  <c r="L863" i="5"/>
  <c r="G864" i="5"/>
  <c r="H867" i="5"/>
  <c r="F869" i="5"/>
  <c r="I870" i="5"/>
  <c r="D871" i="5"/>
  <c r="L871" i="5"/>
  <c r="G872" i="5"/>
  <c r="H875" i="5"/>
  <c r="F877" i="5"/>
  <c r="I878" i="5"/>
  <c r="D879" i="5"/>
  <c r="L879" i="5"/>
  <c r="G880" i="5"/>
  <c r="H883" i="5"/>
  <c r="F885" i="5"/>
  <c r="I886" i="5"/>
  <c r="D887" i="5"/>
  <c r="L887" i="5"/>
  <c r="G888" i="5"/>
  <c r="H891" i="5"/>
  <c r="F893" i="5"/>
  <c r="I894" i="5"/>
  <c r="D895" i="5"/>
  <c r="L895" i="5"/>
  <c r="G896" i="5"/>
  <c r="H899" i="5"/>
  <c r="F901" i="5"/>
  <c r="I902" i="5"/>
  <c r="D903" i="5"/>
  <c r="L903" i="5"/>
  <c r="G904" i="5"/>
  <c r="H907" i="5"/>
  <c r="F909" i="5"/>
  <c r="I910" i="5"/>
  <c r="D911" i="5"/>
  <c r="L911" i="5"/>
  <c r="G912" i="5"/>
  <c r="H915" i="5"/>
  <c r="F917" i="5"/>
  <c r="I918" i="5"/>
  <c r="D919" i="5"/>
  <c r="L919" i="5"/>
  <c r="G920" i="5"/>
  <c r="H923" i="5"/>
  <c r="F925" i="5"/>
  <c r="I926" i="5"/>
  <c r="D927" i="5"/>
  <c r="L927" i="5"/>
  <c r="G928" i="5"/>
  <c r="H931" i="5"/>
  <c r="F933" i="5"/>
  <c r="I934" i="5"/>
  <c r="D935" i="5"/>
  <c r="L935" i="5"/>
  <c r="G936" i="5"/>
  <c r="H939" i="5"/>
  <c r="F941" i="5"/>
  <c r="I942" i="5"/>
  <c r="D943" i="5"/>
  <c r="L943" i="5"/>
  <c r="G944" i="5"/>
  <c r="H947" i="5"/>
  <c r="F949" i="5"/>
  <c r="I950" i="5"/>
  <c r="D951" i="5"/>
  <c r="L951" i="5"/>
  <c r="G952" i="5"/>
  <c r="H955" i="5"/>
  <c r="F957" i="5"/>
  <c r="I958" i="5"/>
  <c r="D959" i="5"/>
  <c r="L959" i="5"/>
  <c r="G960" i="5"/>
  <c r="H963" i="5"/>
  <c r="F965" i="5"/>
  <c r="I966" i="5"/>
  <c r="D967" i="5"/>
  <c r="L967" i="5"/>
  <c r="G968" i="5"/>
  <c r="H971" i="5"/>
  <c r="F973" i="5"/>
  <c r="I974" i="5"/>
  <c r="D975" i="5"/>
  <c r="L975" i="5"/>
  <c r="G976" i="5"/>
  <c r="H979" i="5"/>
  <c r="F981" i="5"/>
  <c r="I982" i="5"/>
  <c r="D983" i="5"/>
  <c r="L983" i="5"/>
  <c r="G984" i="5"/>
  <c r="H987" i="5"/>
  <c r="F989" i="5"/>
  <c r="I990" i="5"/>
  <c r="D991" i="5"/>
  <c r="L991" i="5"/>
  <c r="G992" i="5"/>
  <c r="H995" i="5"/>
  <c r="F997" i="5"/>
  <c r="I998" i="5"/>
  <c r="D999" i="5"/>
  <c r="L999" i="5"/>
  <c r="G1000" i="5"/>
  <c r="H4" i="6"/>
  <c r="F6" i="6"/>
  <c r="A7" i="8"/>
  <c r="G7" i="7"/>
  <c r="F7" i="7"/>
  <c r="L7" i="7"/>
  <c r="D7" i="7"/>
  <c r="K7" i="7"/>
  <c r="C7" i="7"/>
  <c r="J7" i="7"/>
  <c r="I7" i="6"/>
  <c r="D8" i="6"/>
  <c r="D8" i="7" s="1"/>
  <c r="L8" i="6"/>
  <c r="L8" i="7" s="1"/>
  <c r="G9" i="6"/>
  <c r="H12" i="6"/>
  <c r="H12" i="7" s="1"/>
  <c r="F14" i="6"/>
  <c r="A15" i="8"/>
  <c r="G15" i="7"/>
  <c r="F15" i="7"/>
  <c r="L15" i="7"/>
  <c r="K15" i="7"/>
  <c r="C15" i="7"/>
  <c r="H15" i="7"/>
  <c r="B15" i="7"/>
  <c r="I15" i="6"/>
  <c r="I15" i="7" s="1"/>
  <c r="D16" i="6"/>
  <c r="D16" i="7" s="1"/>
  <c r="L16" i="6"/>
  <c r="L16" i="7" s="1"/>
  <c r="G17" i="6"/>
  <c r="H20" i="6"/>
  <c r="F22" i="6"/>
  <c r="A23" i="8"/>
  <c r="G23" i="7"/>
  <c r="F23" i="7"/>
  <c r="M23" i="7"/>
  <c r="E23" i="7"/>
  <c r="L23" i="7"/>
  <c r="D23" i="7"/>
  <c r="K23" i="7"/>
  <c r="C23" i="7"/>
  <c r="I23" i="7"/>
  <c r="H23" i="7"/>
  <c r="B23" i="7"/>
  <c r="I23" i="6"/>
  <c r="D24" i="6"/>
  <c r="L24" i="6"/>
  <c r="G25" i="6"/>
  <c r="H28" i="6"/>
  <c r="F30" i="6"/>
  <c r="A31" i="8"/>
  <c r="G31" i="7"/>
  <c r="F31" i="7"/>
  <c r="M31" i="7"/>
  <c r="E31" i="7"/>
  <c r="L31" i="7"/>
  <c r="D31" i="7"/>
  <c r="K31" i="7"/>
  <c r="C31" i="7"/>
  <c r="J31" i="7"/>
  <c r="I31" i="7"/>
  <c r="H31" i="7"/>
  <c r="B31" i="7"/>
  <c r="I31" i="6"/>
  <c r="D32" i="6"/>
  <c r="L32" i="6"/>
  <c r="G33" i="6"/>
  <c r="H36" i="6"/>
  <c r="F38" i="6"/>
  <c r="A39" i="8"/>
  <c r="G39" i="7"/>
  <c r="F39" i="7"/>
  <c r="M39" i="7"/>
  <c r="E39" i="7"/>
  <c r="L39" i="7"/>
  <c r="D39" i="7"/>
  <c r="K39" i="7"/>
  <c r="C39" i="7"/>
  <c r="J39" i="7"/>
  <c r="I39" i="7"/>
  <c r="H39" i="7"/>
  <c r="B39" i="7"/>
  <c r="I39" i="6"/>
  <c r="D40" i="6"/>
  <c r="L40" i="6"/>
  <c r="G41" i="6"/>
  <c r="H44" i="6"/>
  <c r="F46" i="6"/>
  <c r="I47" i="6"/>
  <c r="D48" i="6"/>
  <c r="L48" i="6"/>
  <c r="G49" i="6"/>
  <c r="H52" i="6"/>
  <c r="F54" i="6"/>
  <c r="I55" i="6"/>
  <c r="D56" i="6"/>
  <c r="L56" i="6"/>
  <c r="G57" i="6"/>
  <c r="H60" i="6"/>
  <c r="F62" i="6"/>
  <c r="A63" i="8"/>
  <c r="G63" i="7"/>
  <c r="F63" i="7"/>
  <c r="M63" i="7"/>
  <c r="E63" i="7"/>
  <c r="L63" i="7"/>
  <c r="D63" i="7"/>
  <c r="K63" i="7"/>
  <c r="C63" i="7"/>
  <c r="J63" i="7"/>
  <c r="I63" i="7"/>
  <c r="I63" i="6"/>
  <c r="D64" i="6"/>
  <c r="L64" i="6"/>
  <c r="G65" i="6"/>
  <c r="H68" i="6"/>
  <c r="F70" i="6"/>
  <c r="A71" i="8"/>
  <c r="J71" i="7"/>
  <c r="B71" i="7"/>
  <c r="H71" i="7"/>
  <c r="G71" i="7"/>
  <c r="F71" i="7"/>
  <c r="D71" i="7"/>
  <c r="C71" i="7"/>
  <c r="M71" i="7"/>
  <c r="L71" i="7"/>
  <c r="K71" i="7"/>
  <c r="I71" i="7"/>
  <c r="I71" i="6"/>
  <c r="D72" i="6"/>
  <c r="L72" i="6"/>
  <c r="G73" i="6"/>
  <c r="H76" i="6"/>
  <c r="F78" i="6"/>
  <c r="A79" i="8"/>
  <c r="J79" i="7"/>
  <c r="B79" i="7"/>
  <c r="H79" i="7"/>
  <c r="G79" i="7"/>
  <c r="F79" i="7"/>
  <c r="L79" i="7"/>
  <c r="K79" i="7"/>
  <c r="I79" i="7"/>
  <c r="E79" i="7"/>
  <c r="D79" i="7"/>
  <c r="M79" i="7"/>
  <c r="C79" i="7"/>
  <c r="I79" i="6"/>
  <c r="D80" i="6"/>
  <c r="L80" i="6"/>
  <c r="G81" i="6"/>
  <c r="H84" i="6"/>
  <c r="F86" i="6"/>
  <c r="A87" i="8"/>
  <c r="J87" i="7"/>
  <c r="B87" i="7"/>
  <c r="H87" i="7"/>
  <c r="G87" i="7"/>
  <c r="F87" i="7"/>
  <c r="D87" i="7"/>
  <c r="C87" i="7"/>
  <c r="M87" i="7"/>
  <c r="L87" i="7"/>
  <c r="K87" i="7"/>
  <c r="I87" i="6"/>
  <c r="D88" i="6"/>
  <c r="L88" i="6"/>
  <c r="G89" i="6"/>
  <c r="H92" i="6"/>
  <c r="F94" i="6"/>
  <c r="A95" i="8"/>
  <c r="J95" i="7"/>
  <c r="B95" i="7"/>
  <c r="H95" i="7"/>
  <c r="G95" i="7"/>
  <c r="F95" i="7"/>
  <c r="L95" i="7"/>
  <c r="K95" i="7"/>
  <c r="I95" i="7"/>
  <c r="E95" i="7"/>
  <c r="D95" i="7"/>
  <c r="M95" i="7"/>
  <c r="C95" i="7"/>
  <c r="I95" i="6"/>
  <c r="D96" i="6"/>
  <c r="L96" i="6"/>
  <c r="G97" i="6"/>
  <c r="H100" i="6"/>
  <c r="F102" i="6"/>
  <c r="A103" i="8"/>
  <c r="J103" i="7"/>
  <c r="B103" i="7"/>
  <c r="H103" i="7"/>
  <c r="G103" i="7"/>
  <c r="F103" i="7"/>
  <c r="D103" i="7"/>
  <c r="C103" i="7"/>
  <c r="M103" i="7"/>
  <c r="L103" i="7"/>
  <c r="E103" i="7"/>
  <c r="I103" i="6"/>
  <c r="D104" i="6"/>
  <c r="L104" i="6"/>
  <c r="A113" i="7"/>
  <c r="M113" i="6"/>
  <c r="E113" i="6"/>
  <c r="K113" i="6"/>
  <c r="C113" i="6"/>
  <c r="L113" i="6"/>
  <c r="A116" i="7"/>
  <c r="F116" i="6"/>
  <c r="L116" i="6"/>
  <c r="D116" i="6"/>
  <c r="K116" i="6"/>
  <c r="F119" i="6"/>
  <c r="E120" i="6"/>
  <c r="D122" i="6"/>
  <c r="F127" i="6"/>
  <c r="E128" i="6"/>
  <c r="D130" i="6"/>
  <c r="F135" i="6"/>
  <c r="E136" i="6"/>
  <c r="D138" i="6"/>
  <c r="F143" i="6"/>
  <c r="E144" i="6"/>
  <c r="D146" i="6"/>
  <c r="F151" i="6"/>
  <c r="E152" i="6"/>
  <c r="D154" i="6"/>
  <c r="F159" i="6"/>
  <c r="E160" i="6"/>
  <c r="D162" i="6"/>
  <c r="F167" i="6"/>
  <c r="E168" i="6"/>
  <c r="D170" i="6"/>
  <c r="F175" i="6"/>
  <c r="E176" i="6"/>
  <c r="D178" i="6"/>
  <c r="F183" i="6"/>
  <c r="E184" i="6"/>
  <c r="D186" i="6"/>
  <c r="F191" i="6"/>
  <c r="E192" i="6"/>
  <c r="D194" i="6"/>
  <c r="F199" i="6"/>
  <c r="E200" i="6"/>
  <c r="D202" i="6"/>
  <c r="F207" i="6"/>
  <c r="E208" i="6"/>
  <c r="D210" i="6"/>
  <c r="F215" i="6"/>
  <c r="E216" i="6"/>
  <c r="D218" i="6"/>
  <c r="F223" i="6"/>
  <c r="E224" i="6"/>
  <c r="D226" i="6"/>
  <c r="F231" i="6"/>
  <c r="E232" i="6"/>
  <c r="D234" i="6"/>
  <c r="F239" i="6"/>
  <c r="E240" i="6"/>
  <c r="D242" i="6"/>
  <c r="A250" i="7"/>
  <c r="H250" i="6"/>
  <c r="G250" i="6"/>
  <c r="F250" i="6"/>
  <c r="M250" i="6"/>
  <c r="E250" i="6"/>
  <c r="H255" i="6"/>
  <c r="H260" i="6"/>
  <c r="H265" i="6"/>
  <c r="A279" i="7"/>
  <c r="G279" i="6"/>
  <c r="F279" i="6"/>
  <c r="M279" i="6"/>
  <c r="E279" i="6"/>
  <c r="L279" i="6"/>
  <c r="D279" i="6"/>
  <c r="A284" i="7"/>
  <c r="F284" i="6"/>
  <c r="M284" i="6"/>
  <c r="E284" i="6"/>
  <c r="L284" i="6"/>
  <c r="D284" i="6"/>
  <c r="K284" i="6"/>
  <c r="C284" i="6"/>
  <c r="A289" i="7"/>
  <c r="M289" i="6"/>
  <c r="E289" i="6"/>
  <c r="L289" i="6"/>
  <c r="D289" i="6"/>
  <c r="K289" i="6"/>
  <c r="C289" i="6"/>
  <c r="J289" i="6"/>
  <c r="B289" i="6"/>
  <c r="D290" i="6"/>
  <c r="A314" i="7"/>
  <c r="H314" i="6"/>
  <c r="G314" i="6"/>
  <c r="F314" i="6"/>
  <c r="M314" i="6"/>
  <c r="E314" i="6"/>
  <c r="A322" i="7"/>
  <c r="H322" i="6"/>
  <c r="G322" i="6"/>
  <c r="F322" i="6"/>
  <c r="M322" i="6"/>
  <c r="E322" i="6"/>
  <c r="A338" i="7"/>
  <c r="H338" i="6"/>
  <c r="G338" i="6"/>
  <c r="F338" i="6"/>
  <c r="M338" i="6"/>
  <c r="E338" i="6"/>
  <c r="I343" i="6"/>
  <c r="A348" i="7"/>
  <c r="F348" i="6"/>
  <c r="M348" i="6"/>
  <c r="E348" i="6"/>
  <c r="L348" i="6"/>
  <c r="D348" i="6"/>
  <c r="K348" i="6"/>
  <c r="C348" i="6"/>
  <c r="J348" i="6"/>
  <c r="B348" i="6"/>
  <c r="A354" i="7"/>
  <c r="H354" i="6"/>
  <c r="G354" i="6"/>
  <c r="F354" i="6"/>
  <c r="M354" i="6"/>
  <c r="E354" i="6"/>
  <c r="L354" i="6"/>
  <c r="D354" i="6"/>
  <c r="I375" i="6"/>
  <c r="A380" i="7"/>
  <c r="F380" i="6"/>
  <c r="M380" i="6"/>
  <c r="E380" i="6"/>
  <c r="L380" i="6"/>
  <c r="D380" i="6"/>
  <c r="K380" i="6"/>
  <c r="C380" i="6"/>
  <c r="J380" i="6"/>
  <c r="B380" i="6"/>
  <c r="A386" i="7"/>
  <c r="H386" i="6"/>
  <c r="G386" i="6"/>
  <c r="F386" i="6"/>
  <c r="M386" i="6"/>
  <c r="E386" i="6"/>
  <c r="L386" i="6"/>
  <c r="D386" i="6"/>
  <c r="I407" i="6"/>
  <c r="A412" i="7"/>
  <c r="F412" i="6"/>
  <c r="M412" i="6"/>
  <c r="E412" i="6"/>
  <c r="L412" i="6"/>
  <c r="D412" i="6"/>
  <c r="K412" i="6"/>
  <c r="C412" i="6"/>
  <c r="J412" i="6"/>
  <c r="B412" i="6"/>
  <c r="A418" i="7"/>
  <c r="H418" i="6"/>
  <c r="G418" i="6"/>
  <c r="F418" i="6"/>
  <c r="M418" i="6"/>
  <c r="E418" i="6"/>
  <c r="L418" i="6"/>
  <c r="D418" i="6"/>
  <c r="I450" i="6"/>
  <c r="I452" i="6"/>
  <c r="I455" i="6"/>
  <c r="I463" i="6"/>
  <c r="A468" i="7"/>
  <c r="F468" i="6"/>
  <c r="M468" i="6"/>
  <c r="E468" i="6"/>
  <c r="L468" i="6"/>
  <c r="D468" i="6"/>
  <c r="K468" i="6"/>
  <c r="C468" i="6"/>
  <c r="J468" i="6"/>
  <c r="B468" i="6"/>
  <c r="A474" i="7"/>
  <c r="H474" i="6"/>
  <c r="G474" i="6"/>
  <c r="F474" i="6"/>
  <c r="M474" i="6"/>
  <c r="E474" i="6"/>
  <c r="L474" i="6"/>
  <c r="D474" i="6"/>
  <c r="I495" i="6"/>
  <c r="A500" i="7"/>
  <c r="F500" i="6"/>
  <c r="M500" i="6"/>
  <c r="E500" i="6"/>
  <c r="L500" i="6"/>
  <c r="D500" i="6"/>
  <c r="K500" i="6"/>
  <c r="C500" i="6"/>
  <c r="J500" i="6"/>
  <c r="B500" i="6"/>
  <c r="A506" i="7"/>
  <c r="H506" i="6"/>
  <c r="G506" i="6"/>
  <c r="F506" i="6"/>
  <c r="M506" i="6"/>
  <c r="E506" i="6"/>
  <c r="L506" i="6"/>
  <c r="D506" i="6"/>
  <c r="I527" i="6"/>
  <c r="A532" i="7"/>
  <c r="F532" i="6"/>
  <c r="M532" i="6"/>
  <c r="E532" i="6"/>
  <c r="L532" i="6"/>
  <c r="D532" i="6"/>
  <c r="K532" i="6"/>
  <c r="C532" i="6"/>
  <c r="J532" i="6"/>
  <c r="B532" i="6"/>
  <c r="A538" i="7"/>
  <c r="H538" i="6"/>
  <c r="G538" i="6"/>
  <c r="F538" i="6"/>
  <c r="M538" i="6"/>
  <c r="E538" i="6"/>
  <c r="L538" i="6"/>
  <c r="D538" i="6"/>
  <c r="A564" i="7"/>
  <c r="F564" i="6"/>
  <c r="M564" i="6"/>
  <c r="E564" i="6"/>
  <c r="L564" i="6"/>
  <c r="D564" i="6"/>
  <c r="K564" i="6"/>
  <c r="C564" i="6"/>
  <c r="J564" i="6"/>
  <c r="B564" i="6"/>
  <c r="A567" i="7"/>
  <c r="G567" i="6"/>
  <c r="F567" i="6"/>
  <c r="M567" i="6"/>
  <c r="E567" i="6"/>
  <c r="L567" i="6"/>
  <c r="D567" i="6"/>
  <c r="K567" i="6"/>
  <c r="C567" i="6"/>
  <c r="I602" i="6"/>
  <c r="I604" i="6"/>
  <c r="I607" i="6"/>
  <c r="A626" i="7"/>
  <c r="H626" i="6"/>
  <c r="G626" i="6"/>
  <c r="F626" i="6"/>
  <c r="M626" i="6"/>
  <c r="E626" i="6"/>
  <c r="L626" i="6"/>
  <c r="D626" i="6"/>
  <c r="A652" i="7"/>
  <c r="F652" i="6"/>
  <c r="M652" i="6"/>
  <c r="E652" i="6"/>
  <c r="L652" i="6"/>
  <c r="D652" i="6"/>
  <c r="K652" i="6"/>
  <c r="C652" i="6"/>
  <c r="J652" i="6"/>
  <c r="B652" i="6"/>
  <c r="A658" i="7"/>
  <c r="H658" i="6"/>
  <c r="G658" i="6"/>
  <c r="F658" i="6"/>
  <c r="M658" i="6"/>
  <c r="E658" i="6"/>
  <c r="L658" i="6"/>
  <c r="D658" i="6"/>
  <c r="A679" i="7"/>
  <c r="G679" i="6"/>
  <c r="F679" i="6"/>
  <c r="M679" i="6"/>
  <c r="E679" i="6"/>
  <c r="L679" i="6"/>
  <c r="D679" i="6"/>
  <c r="K679" i="6"/>
  <c r="C679" i="6"/>
  <c r="J679" i="6"/>
  <c r="B679" i="6"/>
  <c r="A722" i="7"/>
  <c r="H722" i="6"/>
  <c r="G722" i="6"/>
  <c r="F722" i="6"/>
  <c r="M722" i="6"/>
  <c r="E722" i="6"/>
  <c r="L722" i="6"/>
  <c r="D722" i="6"/>
  <c r="K722" i="6"/>
  <c r="C722" i="6"/>
  <c r="J730" i="6"/>
  <c r="A743" i="7"/>
  <c r="G743" i="6"/>
  <c r="F743" i="6"/>
  <c r="M743" i="6"/>
  <c r="E743" i="6"/>
  <c r="L743" i="6"/>
  <c r="D743" i="6"/>
  <c r="K743" i="6"/>
  <c r="C743" i="6"/>
  <c r="J743" i="6"/>
  <c r="B743" i="6"/>
  <c r="A809" i="7"/>
  <c r="H809" i="6"/>
  <c r="M809" i="6"/>
  <c r="E809" i="6"/>
  <c r="J809" i="6"/>
  <c r="I809" i="6"/>
  <c r="G809" i="6"/>
  <c r="F809" i="6"/>
  <c r="D809" i="6"/>
  <c r="C809" i="6"/>
  <c r="A834" i="7"/>
  <c r="K834" i="6"/>
  <c r="C834" i="6"/>
  <c r="H834" i="6"/>
  <c r="G834" i="6"/>
  <c r="L834" i="6"/>
  <c r="J834" i="6"/>
  <c r="I834" i="6"/>
  <c r="F834" i="6"/>
  <c r="E834" i="6"/>
  <c r="D834" i="6"/>
  <c r="A969" i="7"/>
  <c r="H969" i="6"/>
  <c r="G969" i="6"/>
  <c r="F969" i="6"/>
  <c r="M969" i="6"/>
  <c r="E969" i="6"/>
  <c r="L969" i="6"/>
  <c r="D969" i="6"/>
  <c r="K969" i="6"/>
  <c r="J969" i="6"/>
  <c r="I969" i="6"/>
  <c r="C969" i="6"/>
  <c r="B969" i="6"/>
  <c r="D32" i="7"/>
  <c r="M64" i="7"/>
  <c r="A91" i="7"/>
  <c r="K103" i="7"/>
  <c r="I715" i="5"/>
  <c r="I723" i="5"/>
  <c r="I731" i="5"/>
  <c r="I739" i="5"/>
  <c r="I747" i="5"/>
  <c r="I755" i="5"/>
  <c r="I763" i="5"/>
  <c r="I771" i="5"/>
  <c r="I779" i="5"/>
  <c r="I787" i="5"/>
  <c r="I795" i="5"/>
  <c r="I803" i="5"/>
  <c r="I811" i="5"/>
  <c r="I819" i="5"/>
  <c r="I827" i="5"/>
  <c r="I835" i="5"/>
  <c r="I843" i="5"/>
  <c r="I851" i="5"/>
  <c r="I859" i="5"/>
  <c r="I867" i="5"/>
  <c r="I875" i="5"/>
  <c r="I883" i="5"/>
  <c r="I891" i="5"/>
  <c r="I899" i="5"/>
  <c r="I907" i="5"/>
  <c r="I915" i="5"/>
  <c r="I923" i="5"/>
  <c r="I931" i="5"/>
  <c r="I939" i="5"/>
  <c r="I947" i="5"/>
  <c r="I955" i="5"/>
  <c r="I963" i="5"/>
  <c r="I971" i="5"/>
  <c r="I979" i="5"/>
  <c r="I987" i="5"/>
  <c r="I995" i="5"/>
  <c r="I4" i="6"/>
  <c r="A12" i="8"/>
  <c r="F12" i="7"/>
  <c r="I12" i="6"/>
  <c r="I12" i="7" s="1"/>
  <c r="A20" i="8"/>
  <c r="F20" i="7"/>
  <c r="M20" i="7"/>
  <c r="E20" i="7"/>
  <c r="L20" i="7"/>
  <c r="D20" i="7"/>
  <c r="K20" i="7"/>
  <c r="C20" i="7"/>
  <c r="J20" i="7"/>
  <c r="B20" i="7"/>
  <c r="G20" i="7"/>
  <c r="I20" i="6"/>
  <c r="A28" i="8"/>
  <c r="F28" i="7"/>
  <c r="M28" i="7"/>
  <c r="E28" i="7"/>
  <c r="L28" i="7"/>
  <c r="D28" i="7"/>
  <c r="K28" i="7"/>
  <c r="C28" i="7"/>
  <c r="J28" i="7"/>
  <c r="B28" i="7"/>
  <c r="H28" i="7"/>
  <c r="G28" i="7"/>
  <c r="I28" i="6"/>
  <c r="A36" i="8"/>
  <c r="F36" i="7"/>
  <c r="M36" i="7"/>
  <c r="E36" i="7"/>
  <c r="L36" i="7"/>
  <c r="D36" i="7"/>
  <c r="K36" i="7"/>
  <c r="C36" i="7"/>
  <c r="J36" i="7"/>
  <c r="B36" i="7"/>
  <c r="I36" i="7"/>
  <c r="H36" i="7"/>
  <c r="G36" i="7"/>
  <c r="I36" i="6"/>
  <c r="A44" i="8"/>
  <c r="F44" i="7"/>
  <c r="M44" i="7"/>
  <c r="E44" i="7"/>
  <c r="L44" i="7"/>
  <c r="D44" i="7"/>
  <c r="K44" i="7"/>
  <c r="C44" i="7"/>
  <c r="J44" i="7"/>
  <c r="B44" i="7"/>
  <c r="I44" i="7"/>
  <c r="H44" i="7"/>
  <c r="G44" i="7"/>
  <c r="I44" i="6"/>
  <c r="A52" i="8"/>
  <c r="F52" i="7"/>
  <c r="M52" i="7"/>
  <c r="E52" i="7"/>
  <c r="L52" i="7"/>
  <c r="D52" i="7"/>
  <c r="K52" i="7"/>
  <c r="C52" i="7"/>
  <c r="J52" i="7"/>
  <c r="B52" i="7"/>
  <c r="I52" i="7"/>
  <c r="H52" i="7"/>
  <c r="G52" i="7"/>
  <c r="I52" i="6"/>
  <c r="I60" i="6"/>
  <c r="A68" i="8"/>
  <c r="I68" i="7"/>
  <c r="G68" i="7"/>
  <c r="F68" i="7"/>
  <c r="M68" i="7"/>
  <c r="E68" i="7"/>
  <c r="K68" i="7"/>
  <c r="J68" i="7"/>
  <c r="H68" i="7"/>
  <c r="D68" i="7"/>
  <c r="C68" i="7"/>
  <c r="L68" i="7"/>
  <c r="B68" i="7"/>
  <c r="I68" i="6"/>
  <c r="A76" i="8"/>
  <c r="I76" i="7"/>
  <c r="G76" i="7"/>
  <c r="F76" i="7"/>
  <c r="M76" i="7"/>
  <c r="E76" i="7"/>
  <c r="C76" i="7"/>
  <c r="B76" i="7"/>
  <c r="L76" i="7"/>
  <c r="K76" i="7"/>
  <c r="J76" i="7"/>
  <c r="H76" i="7"/>
  <c r="D76" i="7"/>
  <c r="I76" i="6"/>
  <c r="A84" i="8"/>
  <c r="I84" i="7"/>
  <c r="G84" i="7"/>
  <c r="F84" i="7"/>
  <c r="M84" i="7"/>
  <c r="E84" i="7"/>
  <c r="K84" i="7"/>
  <c r="J84" i="7"/>
  <c r="H84" i="7"/>
  <c r="D84" i="7"/>
  <c r="C84" i="7"/>
  <c r="L84" i="7"/>
  <c r="I84" i="6"/>
  <c r="A92" i="8"/>
  <c r="I92" i="7"/>
  <c r="G92" i="7"/>
  <c r="F92" i="7"/>
  <c r="M92" i="7"/>
  <c r="E92" i="7"/>
  <c r="C92" i="7"/>
  <c r="B92" i="7"/>
  <c r="L92" i="7"/>
  <c r="K92" i="7"/>
  <c r="J92" i="7"/>
  <c r="H92" i="7"/>
  <c r="D92" i="7"/>
  <c r="I92" i="6"/>
  <c r="A100" i="8"/>
  <c r="I100" i="7"/>
  <c r="G100" i="7"/>
  <c r="F100" i="7"/>
  <c r="M100" i="7"/>
  <c r="E100" i="7"/>
  <c r="K100" i="7"/>
  <c r="J100" i="7"/>
  <c r="H100" i="7"/>
  <c r="D100" i="7"/>
  <c r="C100" i="7"/>
  <c r="I100" i="6"/>
  <c r="A114" i="7"/>
  <c r="H114" i="6"/>
  <c r="F114" i="6"/>
  <c r="K114" i="6"/>
  <c r="A258" i="7"/>
  <c r="H258" i="6"/>
  <c r="G258" i="6"/>
  <c r="F258" i="6"/>
  <c r="M258" i="6"/>
  <c r="E258" i="6"/>
  <c r="A287" i="7"/>
  <c r="G287" i="6"/>
  <c r="F287" i="6"/>
  <c r="M287" i="6"/>
  <c r="E287" i="6"/>
  <c r="L287" i="6"/>
  <c r="D287" i="6"/>
  <c r="A292" i="7"/>
  <c r="F292" i="6"/>
  <c r="M292" i="6"/>
  <c r="E292" i="6"/>
  <c r="L292" i="6"/>
  <c r="D292" i="6"/>
  <c r="K292" i="6"/>
  <c r="C292" i="6"/>
  <c r="A297" i="7"/>
  <c r="M297" i="6"/>
  <c r="E297" i="6"/>
  <c r="L297" i="6"/>
  <c r="D297" i="6"/>
  <c r="K297" i="6"/>
  <c r="C297" i="6"/>
  <c r="J297" i="6"/>
  <c r="B297" i="6"/>
  <c r="A359" i="7"/>
  <c r="G359" i="6"/>
  <c r="F359" i="6"/>
  <c r="M359" i="6"/>
  <c r="E359" i="6"/>
  <c r="L359" i="6"/>
  <c r="D359" i="6"/>
  <c r="K359" i="6"/>
  <c r="C359" i="6"/>
  <c r="A391" i="7"/>
  <c r="G391" i="6"/>
  <c r="F391" i="6"/>
  <c r="M391" i="6"/>
  <c r="E391" i="6"/>
  <c r="L391" i="6"/>
  <c r="D391" i="6"/>
  <c r="K391" i="6"/>
  <c r="C391" i="6"/>
  <c r="A423" i="7"/>
  <c r="G423" i="6"/>
  <c r="F423" i="6"/>
  <c r="M423" i="6"/>
  <c r="E423" i="6"/>
  <c r="L423" i="6"/>
  <c r="D423" i="6"/>
  <c r="K423" i="6"/>
  <c r="C423" i="6"/>
  <c r="A479" i="7"/>
  <c r="G479" i="6"/>
  <c r="F479" i="6"/>
  <c r="M479" i="6"/>
  <c r="E479" i="6"/>
  <c r="L479" i="6"/>
  <c r="D479" i="6"/>
  <c r="K479" i="6"/>
  <c r="C479" i="6"/>
  <c r="A511" i="7"/>
  <c r="G511" i="6"/>
  <c r="F511" i="6"/>
  <c r="M511" i="6"/>
  <c r="E511" i="6"/>
  <c r="L511" i="6"/>
  <c r="D511" i="6"/>
  <c r="K511" i="6"/>
  <c r="C511" i="6"/>
  <c r="A543" i="7"/>
  <c r="G543" i="6"/>
  <c r="F543" i="6"/>
  <c r="M543" i="6"/>
  <c r="E543" i="6"/>
  <c r="L543" i="6"/>
  <c r="D543" i="6"/>
  <c r="K543" i="6"/>
  <c r="C543" i="6"/>
  <c r="A570" i="7"/>
  <c r="H570" i="6"/>
  <c r="G570" i="6"/>
  <c r="F570" i="6"/>
  <c r="M570" i="6"/>
  <c r="E570" i="6"/>
  <c r="L570" i="6"/>
  <c r="D570" i="6"/>
  <c r="F572" i="6"/>
  <c r="M572" i="6"/>
  <c r="E572" i="6"/>
  <c r="L572" i="6"/>
  <c r="D572" i="6"/>
  <c r="K572" i="6"/>
  <c r="C572" i="6"/>
  <c r="A572" i="7"/>
  <c r="J572" i="6"/>
  <c r="B572" i="6"/>
  <c r="A575" i="7"/>
  <c r="G575" i="6"/>
  <c r="F575" i="6"/>
  <c r="M575" i="6"/>
  <c r="E575" i="6"/>
  <c r="L575" i="6"/>
  <c r="D575" i="6"/>
  <c r="K575" i="6"/>
  <c r="C575" i="6"/>
  <c r="A631" i="7"/>
  <c r="G631" i="6"/>
  <c r="F631" i="6"/>
  <c r="M631" i="6"/>
  <c r="E631" i="6"/>
  <c r="L631" i="6"/>
  <c r="D631" i="6"/>
  <c r="K631" i="6"/>
  <c r="C631" i="6"/>
  <c r="A663" i="7"/>
  <c r="G663" i="6"/>
  <c r="F663" i="6"/>
  <c r="M663" i="6"/>
  <c r="E663" i="6"/>
  <c r="L663" i="6"/>
  <c r="D663" i="6"/>
  <c r="K663" i="6"/>
  <c r="C663" i="6"/>
  <c r="A698" i="7"/>
  <c r="H698" i="6"/>
  <c r="G698" i="6"/>
  <c r="F698" i="6"/>
  <c r="M698" i="6"/>
  <c r="E698" i="6"/>
  <c r="L698" i="6"/>
  <c r="D698" i="6"/>
  <c r="K698" i="6"/>
  <c r="C698" i="6"/>
  <c r="A719" i="7"/>
  <c r="G719" i="6"/>
  <c r="F719" i="6"/>
  <c r="M719" i="6"/>
  <c r="E719" i="6"/>
  <c r="L719" i="6"/>
  <c r="D719" i="6"/>
  <c r="K719" i="6"/>
  <c r="C719" i="6"/>
  <c r="J719" i="6"/>
  <c r="B719" i="6"/>
  <c r="A762" i="7"/>
  <c r="H762" i="6"/>
  <c r="G762" i="6"/>
  <c r="F762" i="6"/>
  <c r="M762" i="6"/>
  <c r="E762" i="6"/>
  <c r="L762" i="6"/>
  <c r="D762" i="6"/>
  <c r="K762" i="6"/>
  <c r="C762" i="6"/>
  <c r="A786" i="7"/>
  <c r="H786" i="6"/>
  <c r="G786" i="6"/>
  <c r="F786" i="6"/>
  <c r="M786" i="6"/>
  <c r="E786" i="6"/>
  <c r="L786" i="6"/>
  <c r="D786" i="6"/>
  <c r="K786" i="6"/>
  <c r="C786" i="6"/>
  <c r="A841" i="7"/>
  <c r="H841" i="6"/>
  <c r="M841" i="6"/>
  <c r="E841" i="6"/>
  <c r="L841" i="6"/>
  <c r="D841" i="6"/>
  <c r="J841" i="6"/>
  <c r="I841" i="6"/>
  <c r="G841" i="6"/>
  <c r="F841" i="6"/>
  <c r="C841" i="6"/>
  <c r="B841" i="6"/>
  <c r="H7" i="7"/>
  <c r="H20" i="7"/>
  <c r="D27" i="7"/>
  <c r="D40" i="7"/>
  <c r="I67" i="7"/>
  <c r="F80" i="7"/>
  <c r="A107" i="8"/>
  <c r="F107" i="7"/>
  <c r="L107" i="7"/>
  <c r="D107" i="7"/>
  <c r="K107" i="7"/>
  <c r="C107" i="7"/>
  <c r="J107" i="7"/>
  <c r="B107" i="7"/>
  <c r="M107" i="7"/>
  <c r="I107" i="7"/>
  <c r="H107" i="7"/>
  <c r="G107" i="7"/>
  <c r="A134" i="8"/>
  <c r="G134" i="7"/>
  <c r="F134" i="7"/>
  <c r="M134" i="7"/>
  <c r="E134" i="7"/>
  <c r="L134" i="7"/>
  <c r="D134" i="7"/>
  <c r="K134" i="7"/>
  <c r="C134" i="7"/>
  <c r="J134" i="7"/>
  <c r="I134" i="7"/>
  <c r="H134" i="7"/>
  <c r="I624" i="5"/>
  <c r="I632" i="5"/>
  <c r="I640" i="5"/>
  <c r="I648" i="5"/>
  <c r="I656" i="5"/>
  <c r="I664" i="5"/>
  <c r="I672" i="5"/>
  <c r="I680" i="5"/>
  <c r="F687" i="5"/>
  <c r="I688" i="5"/>
  <c r="F695" i="5"/>
  <c r="I696" i="5"/>
  <c r="F703" i="5"/>
  <c r="I704" i="5"/>
  <c r="F711" i="5"/>
  <c r="I712" i="5"/>
  <c r="B715" i="5"/>
  <c r="J715" i="5"/>
  <c r="F719" i="5"/>
  <c r="I720" i="5"/>
  <c r="B723" i="5"/>
  <c r="J723" i="5"/>
  <c r="F727" i="5"/>
  <c r="I728" i="5"/>
  <c r="B731" i="5"/>
  <c r="J731" i="5"/>
  <c r="F735" i="5"/>
  <c r="I736" i="5"/>
  <c r="B739" i="5"/>
  <c r="J739" i="5"/>
  <c r="F743" i="5"/>
  <c r="I744" i="5"/>
  <c r="B747" i="5"/>
  <c r="J747" i="5"/>
  <c r="F751" i="5"/>
  <c r="I752" i="5"/>
  <c r="B755" i="5"/>
  <c r="J755" i="5"/>
  <c r="F759" i="5"/>
  <c r="I760" i="5"/>
  <c r="B763" i="5"/>
  <c r="J763" i="5"/>
  <c r="F767" i="5"/>
  <c r="I768" i="5"/>
  <c r="B771" i="5"/>
  <c r="J771" i="5"/>
  <c r="F775" i="5"/>
  <c r="I776" i="5"/>
  <c r="B779" i="5"/>
  <c r="J779" i="5"/>
  <c r="F783" i="5"/>
  <c r="I784" i="5"/>
  <c r="B787" i="5"/>
  <c r="J787" i="5"/>
  <c r="F791" i="5"/>
  <c r="I792" i="5"/>
  <c r="B795" i="5"/>
  <c r="J795" i="5"/>
  <c r="F799" i="5"/>
  <c r="I800" i="5"/>
  <c r="B803" i="5"/>
  <c r="J803" i="5"/>
  <c r="F807" i="5"/>
  <c r="I808" i="5"/>
  <c r="B811" i="5"/>
  <c r="J811" i="5"/>
  <c r="F815" i="5"/>
  <c r="I816" i="5"/>
  <c r="B819" i="5"/>
  <c r="J819" i="5"/>
  <c r="F823" i="5"/>
  <c r="I824" i="5"/>
  <c r="B827" i="5"/>
  <c r="J827" i="5"/>
  <c r="F831" i="5"/>
  <c r="I832" i="5"/>
  <c r="B835" i="5"/>
  <c r="J835" i="5"/>
  <c r="F839" i="5"/>
  <c r="I840" i="5"/>
  <c r="B843" i="5"/>
  <c r="J843" i="5"/>
  <c r="F847" i="5"/>
  <c r="I848" i="5"/>
  <c r="B851" i="5"/>
  <c r="J851" i="5"/>
  <c r="F855" i="5"/>
  <c r="I856" i="5"/>
  <c r="B859" i="5"/>
  <c r="J859" i="5"/>
  <c r="F863" i="5"/>
  <c r="I864" i="5"/>
  <c r="B867" i="5"/>
  <c r="J867" i="5"/>
  <c r="F871" i="5"/>
  <c r="I872" i="5"/>
  <c r="B875" i="5"/>
  <c r="J875" i="5"/>
  <c r="F879" i="5"/>
  <c r="I880" i="5"/>
  <c r="B883" i="5"/>
  <c r="J883" i="5"/>
  <c r="F887" i="5"/>
  <c r="I888" i="5"/>
  <c r="B891" i="5"/>
  <c r="J891" i="5"/>
  <c r="F895" i="5"/>
  <c r="I896" i="5"/>
  <c r="B899" i="5"/>
  <c r="J899" i="5"/>
  <c r="F903" i="5"/>
  <c r="I904" i="5"/>
  <c r="B907" i="5"/>
  <c r="J907" i="5"/>
  <c r="F911" i="5"/>
  <c r="I912" i="5"/>
  <c r="B915" i="5"/>
  <c r="J915" i="5"/>
  <c r="F919" i="5"/>
  <c r="I920" i="5"/>
  <c r="B923" i="5"/>
  <c r="J923" i="5"/>
  <c r="F927" i="5"/>
  <c r="I928" i="5"/>
  <c r="B931" i="5"/>
  <c r="J931" i="5"/>
  <c r="F935" i="5"/>
  <c r="I936" i="5"/>
  <c r="B939" i="5"/>
  <c r="J939" i="5"/>
  <c r="F943" i="5"/>
  <c r="I944" i="5"/>
  <c r="B947" i="5"/>
  <c r="J947" i="5"/>
  <c r="F951" i="5"/>
  <c r="I952" i="5"/>
  <c r="B955" i="5"/>
  <c r="J955" i="5"/>
  <c r="F959" i="5"/>
  <c r="I960" i="5"/>
  <c r="B963" i="5"/>
  <c r="J963" i="5"/>
  <c r="F967" i="5"/>
  <c r="I968" i="5"/>
  <c r="B971" i="5"/>
  <c r="J971" i="5"/>
  <c r="F975" i="5"/>
  <c r="I976" i="5"/>
  <c r="B979" i="5"/>
  <c r="J979" i="5"/>
  <c r="F983" i="5"/>
  <c r="I984" i="5"/>
  <c r="B987" i="5"/>
  <c r="J987" i="5"/>
  <c r="F991" i="5"/>
  <c r="I992" i="5"/>
  <c r="B995" i="5"/>
  <c r="J995" i="5"/>
  <c r="F999" i="5"/>
  <c r="I1000" i="5"/>
  <c r="B4" i="6"/>
  <c r="J4" i="6"/>
  <c r="F8" i="6"/>
  <c r="F8" i="7" s="1"/>
  <c r="A9" i="8"/>
  <c r="M9" i="7"/>
  <c r="E9" i="7"/>
  <c r="I9" i="7"/>
  <c r="H9" i="7"/>
  <c r="G9" i="7"/>
  <c r="I9" i="6"/>
  <c r="B12" i="6"/>
  <c r="B12" i="7" s="1"/>
  <c r="J12" i="6"/>
  <c r="J12" i="7" s="1"/>
  <c r="F16" i="6"/>
  <c r="F16" i="7" s="1"/>
  <c r="A17" i="8"/>
  <c r="M17" i="7"/>
  <c r="E17" i="7"/>
  <c r="L17" i="7"/>
  <c r="D17" i="7"/>
  <c r="K17" i="7"/>
  <c r="C17" i="7"/>
  <c r="J17" i="7"/>
  <c r="B17" i="7"/>
  <c r="I17" i="7"/>
  <c r="H17" i="7"/>
  <c r="I17" i="6"/>
  <c r="B20" i="6"/>
  <c r="J20" i="6"/>
  <c r="F24" i="6"/>
  <c r="A25" i="8"/>
  <c r="M25" i="7"/>
  <c r="E25" i="7"/>
  <c r="L25" i="7"/>
  <c r="D25" i="7"/>
  <c r="K25" i="7"/>
  <c r="C25" i="7"/>
  <c r="J25" i="7"/>
  <c r="B25" i="7"/>
  <c r="I25" i="7"/>
  <c r="F25" i="7"/>
  <c r="I25" i="6"/>
  <c r="B28" i="6"/>
  <c r="J28" i="6"/>
  <c r="F32" i="6"/>
  <c r="A33" i="8"/>
  <c r="M33" i="7"/>
  <c r="E33" i="7"/>
  <c r="L33" i="7"/>
  <c r="D33" i="7"/>
  <c r="K33" i="7"/>
  <c r="C33" i="7"/>
  <c r="J33" i="7"/>
  <c r="B33" i="7"/>
  <c r="I33" i="7"/>
  <c r="G33" i="7"/>
  <c r="F33" i="7"/>
  <c r="I33" i="6"/>
  <c r="B36" i="6"/>
  <c r="J36" i="6"/>
  <c r="F40" i="6"/>
  <c r="A41" i="8"/>
  <c r="M41" i="7"/>
  <c r="E41" i="7"/>
  <c r="L41" i="7"/>
  <c r="D41" i="7"/>
  <c r="K41" i="7"/>
  <c r="C41" i="7"/>
  <c r="J41" i="7"/>
  <c r="B41" i="7"/>
  <c r="I41" i="7"/>
  <c r="H41" i="7"/>
  <c r="G41" i="7"/>
  <c r="F41" i="7"/>
  <c r="I41" i="6"/>
  <c r="B44" i="6"/>
  <c r="J44" i="6"/>
  <c r="F48" i="6"/>
  <c r="A49" i="8"/>
  <c r="M49" i="7"/>
  <c r="E49" i="7"/>
  <c r="L49" i="7"/>
  <c r="D49" i="7"/>
  <c r="K49" i="7"/>
  <c r="C49" i="7"/>
  <c r="J49" i="7"/>
  <c r="B49" i="7"/>
  <c r="I49" i="7"/>
  <c r="H49" i="7"/>
  <c r="G49" i="7"/>
  <c r="F49" i="7"/>
  <c r="I49" i="6"/>
  <c r="B52" i="6"/>
  <c r="J52" i="6"/>
  <c r="F56" i="6"/>
  <c r="A57" i="8"/>
  <c r="M57" i="7"/>
  <c r="E57" i="7"/>
  <c r="L57" i="7"/>
  <c r="D57" i="7"/>
  <c r="K57" i="7"/>
  <c r="C57" i="7"/>
  <c r="J57" i="7"/>
  <c r="B57" i="7"/>
  <c r="I57" i="7"/>
  <c r="H57" i="7"/>
  <c r="G57" i="7"/>
  <c r="F57" i="7"/>
  <c r="I57" i="6"/>
  <c r="B60" i="6"/>
  <c r="J60" i="6"/>
  <c r="F64" i="6"/>
  <c r="A65" i="8"/>
  <c r="M65" i="7"/>
  <c r="L65" i="7"/>
  <c r="D65" i="7"/>
  <c r="F65" i="7"/>
  <c r="E65" i="7"/>
  <c r="C65" i="7"/>
  <c r="K65" i="7"/>
  <c r="B65" i="7"/>
  <c r="J65" i="7"/>
  <c r="I65" i="7"/>
  <c r="H65" i="7"/>
  <c r="G65" i="7"/>
  <c r="I65" i="6"/>
  <c r="B68" i="6"/>
  <c r="J68" i="6"/>
  <c r="F72" i="6"/>
  <c r="A73" i="8"/>
  <c r="H73" i="7"/>
  <c r="F73" i="7"/>
  <c r="M73" i="7"/>
  <c r="E73" i="7"/>
  <c r="L73" i="7"/>
  <c r="D73" i="7"/>
  <c r="J73" i="7"/>
  <c r="I73" i="7"/>
  <c r="G73" i="7"/>
  <c r="C73" i="7"/>
  <c r="B73" i="7"/>
  <c r="K73" i="7"/>
  <c r="I73" i="6"/>
  <c r="B76" i="6"/>
  <c r="J76" i="6"/>
  <c r="F80" i="6"/>
  <c r="A81" i="8"/>
  <c r="H81" i="7"/>
  <c r="F81" i="7"/>
  <c r="M81" i="7"/>
  <c r="E81" i="7"/>
  <c r="L81" i="7"/>
  <c r="D81" i="7"/>
  <c r="B81" i="7"/>
  <c r="K81" i="7"/>
  <c r="J81" i="7"/>
  <c r="I81" i="7"/>
  <c r="G81" i="7"/>
  <c r="I81" i="6"/>
  <c r="B84" i="6"/>
  <c r="J84" i="6"/>
  <c r="F88" i="6"/>
  <c r="A89" i="8"/>
  <c r="H89" i="7"/>
  <c r="F89" i="7"/>
  <c r="M89" i="7"/>
  <c r="E89" i="7"/>
  <c r="L89" i="7"/>
  <c r="D89" i="7"/>
  <c r="J89" i="7"/>
  <c r="I89" i="7"/>
  <c r="G89" i="7"/>
  <c r="C89" i="7"/>
  <c r="B89" i="7"/>
  <c r="K89" i="7"/>
  <c r="I89" i="6"/>
  <c r="B92" i="6"/>
  <c r="J92" i="6"/>
  <c r="F96" i="6"/>
  <c r="A97" i="8"/>
  <c r="H97" i="7"/>
  <c r="F97" i="7"/>
  <c r="M97" i="7"/>
  <c r="E97" i="7"/>
  <c r="L97" i="7"/>
  <c r="D97" i="7"/>
  <c r="B97" i="7"/>
  <c r="K97" i="7"/>
  <c r="J97" i="7"/>
  <c r="I97" i="7"/>
  <c r="I97" i="6"/>
  <c r="B100" i="6"/>
  <c r="J100" i="6"/>
  <c r="F104" i="6"/>
  <c r="K105" i="6"/>
  <c r="A105" i="7"/>
  <c r="I105" i="6"/>
  <c r="B114" i="6"/>
  <c r="L114" i="6"/>
  <c r="I119" i="6"/>
  <c r="I120" i="6"/>
  <c r="I122" i="6"/>
  <c r="A124" i="7"/>
  <c r="F124" i="6"/>
  <c r="L124" i="6"/>
  <c r="D124" i="6"/>
  <c r="K124" i="6"/>
  <c r="C124" i="6"/>
  <c r="I127" i="6"/>
  <c r="I128" i="6"/>
  <c r="I130" i="6"/>
  <c r="A132" i="7"/>
  <c r="F132" i="6"/>
  <c r="L132" i="6"/>
  <c r="D132" i="6"/>
  <c r="K132" i="6"/>
  <c r="C132" i="6"/>
  <c r="I135" i="6"/>
  <c r="I136" i="6"/>
  <c r="I138" i="6"/>
  <c r="A140" i="7"/>
  <c r="F140" i="6"/>
  <c r="L140" i="6"/>
  <c r="D140" i="6"/>
  <c r="K140" i="6"/>
  <c r="C140" i="6"/>
  <c r="I143" i="6"/>
  <c r="I144" i="6"/>
  <c r="I146" i="6"/>
  <c r="A148" i="7"/>
  <c r="F148" i="6"/>
  <c r="L148" i="6"/>
  <c r="D148" i="6"/>
  <c r="K148" i="6"/>
  <c r="C148" i="6"/>
  <c r="I151" i="6"/>
  <c r="I152" i="6"/>
  <c r="I154" i="6"/>
  <c r="A156" i="7"/>
  <c r="F156" i="6"/>
  <c r="L156" i="6"/>
  <c r="D156" i="6"/>
  <c r="K156" i="6"/>
  <c r="C156" i="6"/>
  <c r="I159" i="6"/>
  <c r="I160" i="6"/>
  <c r="I162" i="6"/>
  <c r="A164" i="7"/>
  <c r="F164" i="6"/>
  <c r="L164" i="6"/>
  <c r="D164" i="6"/>
  <c r="K164" i="6"/>
  <c r="C164" i="6"/>
  <c r="I167" i="6"/>
  <c r="I168" i="6"/>
  <c r="I170" i="6"/>
  <c r="A172" i="7"/>
  <c r="F172" i="6"/>
  <c r="L172" i="6"/>
  <c r="D172" i="6"/>
  <c r="K172" i="6"/>
  <c r="C172" i="6"/>
  <c r="I175" i="6"/>
  <c r="I176" i="6"/>
  <c r="I178" i="6"/>
  <c r="A180" i="7"/>
  <c r="F180" i="6"/>
  <c r="L180" i="6"/>
  <c r="D180" i="6"/>
  <c r="K180" i="6"/>
  <c r="C180" i="6"/>
  <c r="I183" i="6"/>
  <c r="I184" i="6"/>
  <c r="I186" i="6"/>
  <c r="A188" i="7"/>
  <c r="F188" i="6"/>
  <c r="L188" i="6"/>
  <c r="D188" i="6"/>
  <c r="K188" i="6"/>
  <c r="C188" i="6"/>
  <c r="I191" i="6"/>
  <c r="I192" i="6"/>
  <c r="I194" i="6"/>
  <c r="A196" i="7"/>
  <c r="F196" i="6"/>
  <c r="L196" i="6"/>
  <c r="D196" i="6"/>
  <c r="K196" i="6"/>
  <c r="C196" i="6"/>
  <c r="I199" i="6"/>
  <c r="I200" i="6"/>
  <c r="I202" i="6"/>
  <c r="A204" i="7"/>
  <c r="F204" i="6"/>
  <c r="L204" i="6"/>
  <c r="D204" i="6"/>
  <c r="K204" i="6"/>
  <c r="C204" i="6"/>
  <c r="I207" i="6"/>
  <c r="I208" i="6"/>
  <c r="I210" i="6"/>
  <c r="A212" i="7"/>
  <c r="F212" i="6"/>
  <c r="L212" i="6"/>
  <c r="D212" i="6"/>
  <c r="K212" i="6"/>
  <c r="C212" i="6"/>
  <c r="I215" i="6"/>
  <c r="I216" i="6"/>
  <c r="I218" i="6"/>
  <c r="A220" i="7"/>
  <c r="F220" i="6"/>
  <c r="L220" i="6"/>
  <c r="D220" i="6"/>
  <c r="K220" i="6"/>
  <c r="C220" i="6"/>
  <c r="I223" i="6"/>
  <c r="I224" i="6"/>
  <c r="I226" i="6"/>
  <c r="A228" i="7"/>
  <c r="F228" i="6"/>
  <c r="L228" i="6"/>
  <c r="D228" i="6"/>
  <c r="K228" i="6"/>
  <c r="C228" i="6"/>
  <c r="I231" i="6"/>
  <c r="I232" i="6"/>
  <c r="I234" i="6"/>
  <c r="A236" i="7"/>
  <c r="F236" i="6"/>
  <c r="L236" i="6"/>
  <c r="D236" i="6"/>
  <c r="K236" i="6"/>
  <c r="C236" i="6"/>
  <c r="I239" i="6"/>
  <c r="I240" i="6"/>
  <c r="I242" i="6"/>
  <c r="A244" i="7"/>
  <c r="F244" i="6"/>
  <c r="M244" i="6"/>
  <c r="L244" i="6"/>
  <c r="D244" i="6"/>
  <c r="K244" i="6"/>
  <c r="C244" i="6"/>
  <c r="J255" i="6"/>
  <c r="B258" i="6"/>
  <c r="J260" i="6"/>
  <c r="A266" i="7"/>
  <c r="H266" i="6"/>
  <c r="G266" i="6"/>
  <c r="F266" i="6"/>
  <c r="M266" i="6"/>
  <c r="E266" i="6"/>
  <c r="B287" i="6"/>
  <c r="J290" i="6"/>
  <c r="B292" i="6"/>
  <c r="A295" i="7"/>
  <c r="G295" i="6"/>
  <c r="F295" i="6"/>
  <c r="M295" i="6"/>
  <c r="E295" i="6"/>
  <c r="L295" i="6"/>
  <c r="D295" i="6"/>
  <c r="F297" i="6"/>
  <c r="A300" i="7"/>
  <c r="F300" i="6"/>
  <c r="M300" i="6"/>
  <c r="E300" i="6"/>
  <c r="L300" i="6"/>
  <c r="D300" i="6"/>
  <c r="K300" i="6"/>
  <c r="C300" i="6"/>
  <c r="M305" i="6"/>
  <c r="E305" i="6"/>
  <c r="L305" i="6"/>
  <c r="D305" i="6"/>
  <c r="K305" i="6"/>
  <c r="C305" i="6"/>
  <c r="J305" i="6"/>
  <c r="B305" i="6"/>
  <c r="A324" i="7"/>
  <c r="F324" i="6"/>
  <c r="M324" i="6"/>
  <c r="E324" i="6"/>
  <c r="L324" i="6"/>
  <c r="D324" i="6"/>
  <c r="K324" i="6"/>
  <c r="C324" i="6"/>
  <c r="A329" i="7"/>
  <c r="M329" i="6"/>
  <c r="E329" i="6"/>
  <c r="L329" i="6"/>
  <c r="D329" i="6"/>
  <c r="K329" i="6"/>
  <c r="C329" i="6"/>
  <c r="J329" i="6"/>
  <c r="B329" i="6"/>
  <c r="A345" i="8"/>
  <c r="G345" i="7"/>
  <c r="F345" i="7"/>
  <c r="M345" i="7"/>
  <c r="E345" i="7"/>
  <c r="L345" i="7"/>
  <c r="D345" i="7"/>
  <c r="K345" i="7"/>
  <c r="C345" i="7"/>
  <c r="J345" i="7"/>
  <c r="I345" i="7"/>
  <c r="H345" i="7"/>
  <c r="B345" i="7"/>
  <c r="A356" i="7"/>
  <c r="F356" i="6"/>
  <c r="M356" i="6"/>
  <c r="E356" i="6"/>
  <c r="L356" i="6"/>
  <c r="D356" i="6"/>
  <c r="K356" i="6"/>
  <c r="C356" i="6"/>
  <c r="J356" i="6"/>
  <c r="B356" i="6"/>
  <c r="B359" i="6"/>
  <c r="A362" i="7"/>
  <c r="H362" i="6"/>
  <c r="G362" i="6"/>
  <c r="F362" i="6"/>
  <c r="M362" i="6"/>
  <c r="E362" i="6"/>
  <c r="L362" i="6"/>
  <c r="D362" i="6"/>
  <c r="F388" i="6"/>
  <c r="M388" i="6"/>
  <c r="E388" i="6"/>
  <c r="L388" i="6"/>
  <c r="D388" i="6"/>
  <c r="A388" i="7"/>
  <c r="K388" i="6"/>
  <c r="C388" i="6"/>
  <c r="J388" i="6"/>
  <c r="B388" i="6"/>
  <c r="B391" i="6"/>
  <c r="A394" i="7"/>
  <c r="H394" i="6"/>
  <c r="G394" i="6"/>
  <c r="F394" i="6"/>
  <c r="M394" i="6"/>
  <c r="E394" i="6"/>
  <c r="L394" i="6"/>
  <c r="D394" i="6"/>
  <c r="A420" i="7"/>
  <c r="F420" i="6"/>
  <c r="M420" i="6"/>
  <c r="E420" i="6"/>
  <c r="L420" i="6"/>
  <c r="D420" i="6"/>
  <c r="K420" i="6"/>
  <c r="C420" i="6"/>
  <c r="J420" i="6"/>
  <c r="B420" i="6"/>
  <c r="B423" i="6"/>
  <c r="A426" i="7"/>
  <c r="H426" i="6"/>
  <c r="G426" i="6"/>
  <c r="F426" i="6"/>
  <c r="M426" i="6"/>
  <c r="E426" i="6"/>
  <c r="L426" i="6"/>
  <c r="D426" i="6"/>
  <c r="A428" i="7"/>
  <c r="F428" i="6"/>
  <c r="M428" i="6"/>
  <c r="E428" i="6"/>
  <c r="L428" i="6"/>
  <c r="D428" i="6"/>
  <c r="K428" i="6"/>
  <c r="C428" i="6"/>
  <c r="J428" i="6"/>
  <c r="B428" i="6"/>
  <c r="A431" i="7"/>
  <c r="G431" i="6"/>
  <c r="F431" i="6"/>
  <c r="M431" i="6"/>
  <c r="E431" i="6"/>
  <c r="L431" i="6"/>
  <c r="D431" i="6"/>
  <c r="K431" i="6"/>
  <c r="C431" i="6"/>
  <c r="A476" i="7"/>
  <c r="F476" i="6"/>
  <c r="M476" i="6"/>
  <c r="E476" i="6"/>
  <c r="L476" i="6"/>
  <c r="D476" i="6"/>
  <c r="K476" i="6"/>
  <c r="C476" i="6"/>
  <c r="J476" i="6"/>
  <c r="B476" i="6"/>
  <c r="B479" i="6"/>
  <c r="A482" i="7"/>
  <c r="H482" i="6"/>
  <c r="G482" i="6"/>
  <c r="F482" i="6"/>
  <c r="M482" i="6"/>
  <c r="E482" i="6"/>
  <c r="L482" i="6"/>
  <c r="D482" i="6"/>
  <c r="A508" i="7"/>
  <c r="F508" i="6"/>
  <c r="M508" i="6"/>
  <c r="E508" i="6"/>
  <c r="L508" i="6"/>
  <c r="D508" i="6"/>
  <c r="K508" i="6"/>
  <c r="C508" i="6"/>
  <c r="J508" i="6"/>
  <c r="B508" i="6"/>
  <c r="B511" i="6"/>
  <c r="A514" i="7"/>
  <c r="H514" i="6"/>
  <c r="G514" i="6"/>
  <c r="F514" i="6"/>
  <c r="M514" i="6"/>
  <c r="E514" i="6"/>
  <c r="L514" i="6"/>
  <c r="D514" i="6"/>
  <c r="A540" i="7"/>
  <c r="F540" i="6"/>
  <c r="M540" i="6"/>
  <c r="E540" i="6"/>
  <c r="L540" i="6"/>
  <c r="D540" i="6"/>
  <c r="K540" i="6"/>
  <c r="C540" i="6"/>
  <c r="J540" i="6"/>
  <c r="B540" i="6"/>
  <c r="B543" i="6"/>
  <c r="A546" i="7"/>
  <c r="H546" i="6"/>
  <c r="G546" i="6"/>
  <c r="F546" i="6"/>
  <c r="M546" i="6"/>
  <c r="E546" i="6"/>
  <c r="L546" i="6"/>
  <c r="D546" i="6"/>
  <c r="B570" i="6"/>
  <c r="G572" i="6"/>
  <c r="B575" i="6"/>
  <c r="A578" i="7"/>
  <c r="H578" i="6"/>
  <c r="G578" i="6"/>
  <c r="F578" i="6"/>
  <c r="M578" i="6"/>
  <c r="E578" i="6"/>
  <c r="L578" i="6"/>
  <c r="D578" i="6"/>
  <c r="A580" i="7"/>
  <c r="F580" i="6"/>
  <c r="M580" i="6"/>
  <c r="E580" i="6"/>
  <c r="L580" i="6"/>
  <c r="D580" i="6"/>
  <c r="K580" i="6"/>
  <c r="C580" i="6"/>
  <c r="J580" i="6"/>
  <c r="B580" i="6"/>
  <c r="A583" i="7"/>
  <c r="G583" i="6"/>
  <c r="F583" i="6"/>
  <c r="M583" i="6"/>
  <c r="E583" i="6"/>
  <c r="L583" i="6"/>
  <c r="D583" i="6"/>
  <c r="K583" i="6"/>
  <c r="C583" i="6"/>
  <c r="A628" i="7"/>
  <c r="F628" i="6"/>
  <c r="M628" i="6"/>
  <c r="E628" i="6"/>
  <c r="L628" i="6"/>
  <c r="D628" i="6"/>
  <c r="K628" i="6"/>
  <c r="C628" i="6"/>
  <c r="J628" i="6"/>
  <c r="B628" i="6"/>
  <c r="B631" i="6"/>
  <c r="A634" i="7"/>
  <c r="H634" i="6"/>
  <c r="G634" i="6"/>
  <c r="F634" i="6"/>
  <c r="M634" i="6"/>
  <c r="E634" i="6"/>
  <c r="L634" i="6"/>
  <c r="D634" i="6"/>
  <c r="A660" i="7"/>
  <c r="F660" i="6"/>
  <c r="M660" i="6"/>
  <c r="E660" i="6"/>
  <c r="L660" i="6"/>
  <c r="D660" i="6"/>
  <c r="K660" i="6"/>
  <c r="C660" i="6"/>
  <c r="J660" i="6"/>
  <c r="B660" i="6"/>
  <c r="B663" i="6"/>
  <c r="A666" i="7"/>
  <c r="H666" i="6"/>
  <c r="G666" i="6"/>
  <c r="F666" i="6"/>
  <c r="M666" i="6"/>
  <c r="E666" i="6"/>
  <c r="L666" i="6"/>
  <c r="D666" i="6"/>
  <c r="A674" i="7"/>
  <c r="H674" i="6"/>
  <c r="G674" i="6"/>
  <c r="F674" i="6"/>
  <c r="M674" i="6"/>
  <c r="E674" i="6"/>
  <c r="L674" i="6"/>
  <c r="D674" i="6"/>
  <c r="K674" i="6"/>
  <c r="C674" i="6"/>
  <c r="A695" i="7"/>
  <c r="G695" i="6"/>
  <c r="F695" i="6"/>
  <c r="M695" i="6"/>
  <c r="E695" i="6"/>
  <c r="L695" i="6"/>
  <c r="D695" i="6"/>
  <c r="K695" i="6"/>
  <c r="C695" i="6"/>
  <c r="J695" i="6"/>
  <c r="B695" i="6"/>
  <c r="B698" i="6"/>
  <c r="H719" i="6"/>
  <c r="A738" i="7"/>
  <c r="H738" i="6"/>
  <c r="G738" i="6"/>
  <c r="F738" i="6"/>
  <c r="M738" i="6"/>
  <c r="E738" i="6"/>
  <c r="L738" i="6"/>
  <c r="D738" i="6"/>
  <c r="K738" i="6"/>
  <c r="C738" i="6"/>
  <c r="A759" i="7"/>
  <c r="G759" i="6"/>
  <c r="F759" i="6"/>
  <c r="M759" i="6"/>
  <c r="E759" i="6"/>
  <c r="L759" i="6"/>
  <c r="D759" i="6"/>
  <c r="K759" i="6"/>
  <c r="C759" i="6"/>
  <c r="J759" i="6"/>
  <c r="B759" i="6"/>
  <c r="B762" i="6"/>
  <c r="A783" i="7"/>
  <c r="G783" i="6"/>
  <c r="F783" i="6"/>
  <c r="M783" i="6"/>
  <c r="E783" i="6"/>
  <c r="L783" i="6"/>
  <c r="D783" i="6"/>
  <c r="K783" i="6"/>
  <c r="C783" i="6"/>
  <c r="J783" i="6"/>
  <c r="B783" i="6"/>
  <c r="B786" i="6"/>
  <c r="K841" i="6"/>
  <c r="A894" i="7"/>
  <c r="G894" i="6"/>
  <c r="M894" i="6"/>
  <c r="E894" i="6"/>
  <c r="L894" i="6"/>
  <c r="D894" i="6"/>
  <c r="K894" i="6"/>
  <c r="C894" i="6"/>
  <c r="J894" i="6"/>
  <c r="I894" i="6"/>
  <c r="H894" i="6"/>
  <c r="F894" i="6"/>
  <c r="B894" i="6"/>
  <c r="A907" i="7"/>
  <c r="F907" i="6"/>
  <c r="M907" i="6"/>
  <c r="E907" i="6"/>
  <c r="L907" i="6"/>
  <c r="D907" i="6"/>
  <c r="K907" i="6"/>
  <c r="C907" i="6"/>
  <c r="J907" i="6"/>
  <c r="B907" i="6"/>
  <c r="I907" i="6"/>
  <c r="H907" i="6"/>
  <c r="A923" i="7"/>
  <c r="F923" i="6"/>
  <c r="M923" i="6"/>
  <c r="E923" i="6"/>
  <c r="L923" i="6"/>
  <c r="D923" i="6"/>
  <c r="K923" i="6"/>
  <c r="C923" i="6"/>
  <c r="J923" i="6"/>
  <c r="B923" i="6"/>
  <c r="I923" i="6"/>
  <c r="H923" i="6"/>
  <c r="A939" i="7"/>
  <c r="F939" i="6"/>
  <c r="M939" i="6"/>
  <c r="E939" i="6"/>
  <c r="L939" i="6"/>
  <c r="D939" i="6"/>
  <c r="K939" i="6"/>
  <c r="C939" i="6"/>
  <c r="J939" i="6"/>
  <c r="B939" i="6"/>
  <c r="I939" i="6"/>
  <c r="H939" i="6"/>
  <c r="A955" i="7"/>
  <c r="F955" i="6"/>
  <c r="M955" i="6"/>
  <c r="E955" i="6"/>
  <c r="L955" i="6"/>
  <c r="D955" i="6"/>
  <c r="K955" i="6"/>
  <c r="C955" i="6"/>
  <c r="J955" i="6"/>
  <c r="B955" i="6"/>
  <c r="I955" i="6"/>
  <c r="H955" i="6"/>
  <c r="I7" i="7"/>
  <c r="I20" i="7"/>
  <c r="E40" i="7"/>
  <c r="A47" i="7"/>
  <c r="A60" i="7"/>
  <c r="C81" i="7"/>
  <c r="I517" i="5"/>
  <c r="I525" i="5"/>
  <c r="I533" i="5"/>
  <c r="I541" i="5"/>
  <c r="I549" i="5"/>
  <c r="I557" i="5"/>
  <c r="I565" i="5"/>
  <c r="I573" i="5"/>
  <c r="I581" i="5"/>
  <c r="I589" i="5"/>
  <c r="I597" i="5"/>
  <c r="I605" i="5"/>
  <c r="I613" i="5"/>
  <c r="I621" i="5"/>
  <c r="B624" i="5"/>
  <c r="J624" i="5"/>
  <c r="I629" i="5"/>
  <c r="B632" i="5"/>
  <c r="J632" i="5"/>
  <c r="I637" i="5"/>
  <c r="B640" i="5"/>
  <c r="J640" i="5"/>
  <c r="I645" i="5"/>
  <c r="B648" i="5"/>
  <c r="J648" i="5"/>
  <c r="I653" i="5"/>
  <c r="B656" i="5"/>
  <c r="J656" i="5"/>
  <c r="I661" i="5"/>
  <c r="B664" i="5"/>
  <c r="J664" i="5"/>
  <c r="I669" i="5"/>
  <c r="B672" i="5"/>
  <c r="J672" i="5"/>
  <c r="I677" i="5"/>
  <c r="B680" i="5"/>
  <c r="J680" i="5"/>
  <c r="I685" i="5"/>
  <c r="G687" i="5"/>
  <c r="B688" i="5"/>
  <c r="J688" i="5"/>
  <c r="I693" i="5"/>
  <c r="G695" i="5"/>
  <c r="B696" i="5"/>
  <c r="J696" i="5"/>
  <c r="I701" i="5"/>
  <c r="G703" i="5"/>
  <c r="B704" i="5"/>
  <c r="J704" i="5"/>
  <c r="I709" i="5"/>
  <c r="G711" i="5"/>
  <c r="B712" i="5"/>
  <c r="J712" i="5"/>
  <c r="C715" i="5"/>
  <c r="K715" i="5"/>
  <c r="I717" i="5"/>
  <c r="G719" i="5"/>
  <c r="B720" i="5"/>
  <c r="J720" i="5"/>
  <c r="C723" i="5"/>
  <c r="K723" i="5"/>
  <c r="I725" i="5"/>
  <c r="G727" i="5"/>
  <c r="B728" i="5"/>
  <c r="J728" i="5"/>
  <c r="C731" i="5"/>
  <c r="K731" i="5"/>
  <c r="I733" i="5"/>
  <c r="G735" i="5"/>
  <c r="B736" i="5"/>
  <c r="J736" i="5"/>
  <c r="C739" i="5"/>
  <c r="K739" i="5"/>
  <c r="I741" i="5"/>
  <c r="G743" i="5"/>
  <c r="B744" i="5"/>
  <c r="J744" i="5"/>
  <c r="C747" i="5"/>
  <c r="K747" i="5"/>
  <c r="I749" i="5"/>
  <c r="G751" i="5"/>
  <c r="B752" i="5"/>
  <c r="J752" i="5"/>
  <c r="C755" i="5"/>
  <c r="K755" i="5"/>
  <c r="I757" i="5"/>
  <c r="G759" i="5"/>
  <c r="B760" i="5"/>
  <c r="J760" i="5"/>
  <c r="C763" i="5"/>
  <c r="K763" i="5"/>
  <c r="I765" i="5"/>
  <c r="G767" i="5"/>
  <c r="B768" i="5"/>
  <c r="J768" i="5"/>
  <c r="C771" i="5"/>
  <c r="K771" i="5"/>
  <c r="I773" i="5"/>
  <c r="G775" i="5"/>
  <c r="B776" i="5"/>
  <c r="J776" i="5"/>
  <c r="C779" i="5"/>
  <c r="K779" i="5"/>
  <c r="I781" i="5"/>
  <c r="G783" i="5"/>
  <c r="B784" i="5"/>
  <c r="J784" i="5"/>
  <c r="C787" i="5"/>
  <c r="K787" i="5"/>
  <c r="I789" i="5"/>
  <c r="G791" i="5"/>
  <c r="B792" i="5"/>
  <c r="J792" i="5"/>
  <c r="C795" i="5"/>
  <c r="K795" i="5"/>
  <c r="I797" i="5"/>
  <c r="G799" i="5"/>
  <c r="B800" i="5"/>
  <c r="J800" i="5"/>
  <c r="C803" i="5"/>
  <c r="K803" i="5"/>
  <c r="I805" i="5"/>
  <c r="G807" i="5"/>
  <c r="B808" i="5"/>
  <c r="J808" i="5"/>
  <c r="C811" i="5"/>
  <c r="K811" i="5"/>
  <c r="I813" i="5"/>
  <c r="G815" i="5"/>
  <c r="B816" i="5"/>
  <c r="J816" i="5"/>
  <c r="C819" i="5"/>
  <c r="K819" i="5"/>
  <c r="I821" i="5"/>
  <c r="G823" i="5"/>
  <c r="B824" i="5"/>
  <c r="J824" i="5"/>
  <c r="C827" i="5"/>
  <c r="K827" i="5"/>
  <c r="I829" i="5"/>
  <c r="G831" i="5"/>
  <c r="B832" i="5"/>
  <c r="J832" i="5"/>
  <c r="C835" i="5"/>
  <c r="K835" i="5"/>
  <c r="I837" i="5"/>
  <c r="G839" i="5"/>
  <c r="B840" i="5"/>
  <c r="J840" i="5"/>
  <c r="C843" i="5"/>
  <c r="K843" i="5"/>
  <c r="I845" i="5"/>
  <c r="G847" i="5"/>
  <c r="B848" i="5"/>
  <c r="J848" i="5"/>
  <c r="C851" i="5"/>
  <c r="K851" i="5"/>
  <c r="I853" i="5"/>
  <c r="G855" i="5"/>
  <c r="B856" i="5"/>
  <c r="J856" i="5"/>
  <c r="C859" i="5"/>
  <c r="K859" i="5"/>
  <c r="I861" i="5"/>
  <c r="G863" i="5"/>
  <c r="B864" i="5"/>
  <c r="J864" i="5"/>
  <c r="C867" i="5"/>
  <c r="K867" i="5"/>
  <c r="I869" i="5"/>
  <c r="G871" i="5"/>
  <c r="B872" i="5"/>
  <c r="J872" i="5"/>
  <c r="C875" i="5"/>
  <c r="K875" i="5"/>
  <c r="I877" i="5"/>
  <c r="G879" i="5"/>
  <c r="B880" i="5"/>
  <c r="J880" i="5"/>
  <c r="C883" i="5"/>
  <c r="K883" i="5"/>
  <c r="I885" i="5"/>
  <c r="G887" i="5"/>
  <c r="B888" i="5"/>
  <c r="J888" i="5"/>
  <c r="C891" i="5"/>
  <c r="K891" i="5"/>
  <c r="I893" i="5"/>
  <c r="G895" i="5"/>
  <c r="B896" i="5"/>
  <c r="J896" i="5"/>
  <c r="C899" i="5"/>
  <c r="K899" i="5"/>
  <c r="I901" i="5"/>
  <c r="G903" i="5"/>
  <c r="B904" i="5"/>
  <c r="J904" i="5"/>
  <c r="C907" i="5"/>
  <c r="K907" i="5"/>
  <c r="I909" i="5"/>
  <c r="G911" i="5"/>
  <c r="B912" i="5"/>
  <c r="J912" i="5"/>
  <c r="C915" i="5"/>
  <c r="K915" i="5"/>
  <c r="I917" i="5"/>
  <c r="G919" i="5"/>
  <c r="B920" i="5"/>
  <c r="J920" i="5"/>
  <c r="C923" i="5"/>
  <c r="K923" i="5"/>
  <c r="I925" i="5"/>
  <c r="G927" i="5"/>
  <c r="B928" i="5"/>
  <c r="J928" i="5"/>
  <c r="C931" i="5"/>
  <c r="K931" i="5"/>
  <c r="I933" i="5"/>
  <c r="G935" i="5"/>
  <c r="B936" i="5"/>
  <c r="J936" i="5"/>
  <c r="C939" i="5"/>
  <c r="K939" i="5"/>
  <c r="I941" i="5"/>
  <c r="G943" i="5"/>
  <c r="B944" i="5"/>
  <c r="J944" i="5"/>
  <c r="C947" i="5"/>
  <c r="K947" i="5"/>
  <c r="I949" i="5"/>
  <c r="G951" i="5"/>
  <c r="B952" i="5"/>
  <c r="J952" i="5"/>
  <c r="C955" i="5"/>
  <c r="K955" i="5"/>
  <c r="I957" i="5"/>
  <c r="G959" i="5"/>
  <c r="B960" i="5"/>
  <c r="J960" i="5"/>
  <c r="C963" i="5"/>
  <c r="K963" i="5"/>
  <c r="I965" i="5"/>
  <c r="G967" i="5"/>
  <c r="B968" i="5"/>
  <c r="J968" i="5"/>
  <c r="C971" i="5"/>
  <c r="K971" i="5"/>
  <c r="I973" i="5"/>
  <c r="G975" i="5"/>
  <c r="B976" i="5"/>
  <c r="J976" i="5"/>
  <c r="C979" i="5"/>
  <c r="K979" i="5"/>
  <c r="I981" i="5"/>
  <c r="G983" i="5"/>
  <c r="B984" i="5"/>
  <c r="J984" i="5"/>
  <c r="C987" i="5"/>
  <c r="K987" i="5"/>
  <c r="I989" i="5"/>
  <c r="G991" i="5"/>
  <c r="B992" i="5"/>
  <c r="J992" i="5"/>
  <c r="C995" i="5"/>
  <c r="K995" i="5"/>
  <c r="I997" i="5"/>
  <c r="G999" i="5"/>
  <c r="B1000" i="5"/>
  <c r="J1000" i="5"/>
  <c r="C4" i="6"/>
  <c r="K4" i="6"/>
  <c r="A6" i="8"/>
  <c r="L6" i="7"/>
  <c r="D6" i="7"/>
  <c r="K6" i="7"/>
  <c r="C6" i="7"/>
  <c r="I6" i="7"/>
  <c r="H6" i="7"/>
  <c r="G6" i="7"/>
  <c r="F6" i="7"/>
  <c r="E6" i="7"/>
  <c r="I6" i="6"/>
  <c r="G8" i="6"/>
  <c r="G8" i="7" s="1"/>
  <c r="B9" i="6"/>
  <c r="B9" i="7" s="1"/>
  <c r="J9" i="6"/>
  <c r="J9" i="7" s="1"/>
  <c r="C12" i="6"/>
  <c r="C12" i="7" s="1"/>
  <c r="K12" i="6"/>
  <c r="K12" i="7" s="1"/>
  <c r="A14" i="8"/>
  <c r="L14" i="7"/>
  <c r="D14" i="7"/>
  <c r="K14" i="7"/>
  <c r="C14" i="7"/>
  <c r="J14" i="7"/>
  <c r="B14" i="7"/>
  <c r="I14" i="7"/>
  <c r="H14" i="7"/>
  <c r="M14" i="7"/>
  <c r="G14" i="7"/>
  <c r="F14" i="7"/>
  <c r="I14" i="6"/>
  <c r="G16" i="6"/>
  <c r="G16" i="7" s="1"/>
  <c r="B17" i="6"/>
  <c r="J17" i="6"/>
  <c r="C20" i="6"/>
  <c r="K20" i="6"/>
  <c r="A22" i="8"/>
  <c r="L22" i="7"/>
  <c r="D22" i="7"/>
  <c r="K22" i="7"/>
  <c r="C22" i="7"/>
  <c r="J22" i="7"/>
  <c r="B22" i="7"/>
  <c r="I22" i="7"/>
  <c r="H22" i="7"/>
  <c r="M22" i="7"/>
  <c r="G22" i="7"/>
  <c r="I22" i="6"/>
  <c r="G24" i="6"/>
  <c r="B25" i="6"/>
  <c r="J25" i="6"/>
  <c r="C28" i="6"/>
  <c r="K28" i="6"/>
  <c r="A30" i="8"/>
  <c r="L30" i="7"/>
  <c r="D30" i="7"/>
  <c r="K30" i="7"/>
  <c r="C30" i="7"/>
  <c r="J30" i="7"/>
  <c r="B30" i="7"/>
  <c r="I30" i="7"/>
  <c r="H30" i="7"/>
  <c r="E30" i="7"/>
  <c r="M30" i="7"/>
  <c r="I30" i="6"/>
  <c r="G32" i="6"/>
  <c r="B33" i="6"/>
  <c r="J33" i="6"/>
  <c r="C36" i="6"/>
  <c r="K36" i="6"/>
  <c r="A38" i="8"/>
  <c r="L38" i="7"/>
  <c r="D38" i="7"/>
  <c r="K38" i="7"/>
  <c r="C38" i="7"/>
  <c r="J38" i="7"/>
  <c r="B38" i="7"/>
  <c r="I38" i="7"/>
  <c r="H38" i="7"/>
  <c r="F38" i="7"/>
  <c r="E38" i="7"/>
  <c r="I38" i="6"/>
  <c r="G40" i="6"/>
  <c r="B41" i="6"/>
  <c r="J41" i="6"/>
  <c r="C44" i="6"/>
  <c r="K44" i="6"/>
  <c r="A46" i="8"/>
  <c r="L46" i="7"/>
  <c r="D46" i="7"/>
  <c r="K46" i="7"/>
  <c r="C46" i="7"/>
  <c r="J46" i="7"/>
  <c r="B46" i="7"/>
  <c r="I46" i="7"/>
  <c r="H46" i="7"/>
  <c r="G46" i="7"/>
  <c r="F46" i="7"/>
  <c r="E46" i="7"/>
  <c r="I46" i="6"/>
  <c r="G48" i="6"/>
  <c r="B49" i="6"/>
  <c r="J49" i="6"/>
  <c r="C52" i="6"/>
  <c r="K52" i="6"/>
  <c r="A54" i="8"/>
  <c r="L54" i="7"/>
  <c r="D54" i="7"/>
  <c r="K54" i="7"/>
  <c r="C54" i="7"/>
  <c r="J54" i="7"/>
  <c r="B54" i="7"/>
  <c r="I54" i="7"/>
  <c r="H54" i="7"/>
  <c r="M54" i="7"/>
  <c r="G54" i="7"/>
  <c r="F54" i="7"/>
  <c r="E54" i="7"/>
  <c r="I54" i="6"/>
  <c r="G56" i="6"/>
  <c r="B57" i="6"/>
  <c r="J57" i="6"/>
  <c r="C60" i="6"/>
  <c r="K60" i="6"/>
  <c r="A62" i="8"/>
  <c r="L62" i="7"/>
  <c r="D62" i="7"/>
  <c r="K62" i="7"/>
  <c r="C62" i="7"/>
  <c r="J62" i="7"/>
  <c r="B62" i="7"/>
  <c r="I62" i="7"/>
  <c r="H62" i="7"/>
  <c r="M62" i="7"/>
  <c r="G62" i="7"/>
  <c r="F62" i="7"/>
  <c r="E62" i="7"/>
  <c r="I62" i="6"/>
  <c r="G64" i="6"/>
  <c r="B65" i="6"/>
  <c r="J65" i="6"/>
  <c r="C68" i="6"/>
  <c r="K68" i="6"/>
  <c r="A70" i="8"/>
  <c r="G70" i="7"/>
  <c r="M70" i="7"/>
  <c r="E70" i="7"/>
  <c r="L70" i="7"/>
  <c r="D70" i="7"/>
  <c r="K70" i="7"/>
  <c r="C70" i="7"/>
  <c r="J70" i="7"/>
  <c r="I70" i="7"/>
  <c r="F70" i="7"/>
  <c r="B70" i="7"/>
  <c r="I70" i="6"/>
  <c r="G72" i="6"/>
  <c r="B73" i="6"/>
  <c r="J73" i="6"/>
  <c r="C76" i="6"/>
  <c r="K76" i="6"/>
  <c r="A78" i="8"/>
  <c r="G78" i="7"/>
  <c r="M78" i="7"/>
  <c r="E78" i="7"/>
  <c r="L78" i="7"/>
  <c r="D78" i="7"/>
  <c r="K78" i="7"/>
  <c r="C78" i="7"/>
  <c r="I78" i="7"/>
  <c r="H78" i="7"/>
  <c r="F78" i="7"/>
  <c r="B78" i="7"/>
  <c r="J78" i="7"/>
  <c r="I78" i="6"/>
  <c r="G80" i="6"/>
  <c r="B81" i="6"/>
  <c r="J81" i="6"/>
  <c r="C84" i="6"/>
  <c r="K84" i="6"/>
  <c r="A86" i="8"/>
  <c r="G86" i="7"/>
  <c r="M86" i="7"/>
  <c r="E86" i="7"/>
  <c r="L86" i="7"/>
  <c r="D86" i="7"/>
  <c r="K86" i="7"/>
  <c r="C86" i="7"/>
  <c r="J86" i="7"/>
  <c r="I86" i="7"/>
  <c r="H86" i="7"/>
  <c r="F86" i="7"/>
  <c r="B86" i="7"/>
  <c r="I86" i="6"/>
  <c r="G88" i="6"/>
  <c r="B89" i="6"/>
  <c r="J89" i="6"/>
  <c r="C92" i="6"/>
  <c r="K92" i="6"/>
  <c r="A94" i="8"/>
  <c r="G94" i="7"/>
  <c r="M94" i="7"/>
  <c r="E94" i="7"/>
  <c r="L94" i="7"/>
  <c r="D94" i="7"/>
  <c r="K94" i="7"/>
  <c r="C94" i="7"/>
  <c r="I94" i="7"/>
  <c r="H94" i="7"/>
  <c r="F94" i="7"/>
  <c r="B94" i="7"/>
  <c r="J94" i="7"/>
  <c r="I94" i="6"/>
  <c r="G96" i="6"/>
  <c r="B97" i="6"/>
  <c r="J97" i="6"/>
  <c r="C100" i="6"/>
  <c r="K100" i="6"/>
  <c r="A102" i="8"/>
  <c r="G102" i="7"/>
  <c r="M102" i="7"/>
  <c r="E102" i="7"/>
  <c r="L102" i="7"/>
  <c r="D102" i="7"/>
  <c r="K102" i="7"/>
  <c r="C102" i="7"/>
  <c r="J102" i="7"/>
  <c r="I102" i="7"/>
  <c r="H102" i="7"/>
  <c r="F102" i="7"/>
  <c r="B102" i="7"/>
  <c r="I102" i="6"/>
  <c r="G104" i="6"/>
  <c r="B105" i="6"/>
  <c r="J105" i="6"/>
  <c r="A110" i="7"/>
  <c r="L110" i="6"/>
  <c r="D110" i="6"/>
  <c r="J110" i="6"/>
  <c r="B110" i="6"/>
  <c r="M110" i="6"/>
  <c r="C114" i="6"/>
  <c r="M114" i="6"/>
  <c r="J119" i="6"/>
  <c r="K120" i="6"/>
  <c r="J122" i="6"/>
  <c r="B124" i="6"/>
  <c r="J127" i="6"/>
  <c r="K128" i="6"/>
  <c r="J130" i="6"/>
  <c r="B132" i="6"/>
  <c r="J135" i="6"/>
  <c r="K136" i="6"/>
  <c r="J138" i="6"/>
  <c r="B140" i="6"/>
  <c r="J143" i="6"/>
  <c r="K144" i="6"/>
  <c r="J146" i="6"/>
  <c r="B148" i="6"/>
  <c r="J151" i="6"/>
  <c r="K152" i="6"/>
  <c r="J154" i="6"/>
  <c r="B156" i="6"/>
  <c r="J159" i="6"/>
  <c r="K160" i="6"/>
  <c r="J162" i="6"/>
  <c r="B164" i="6"/>
  <c r="J167" i="6"/>
  <c r="K168" i="6"/>
  <c r="J170" i="6"/>
  <c r="B172" i="6"/>
  <c r="J175" i="6"/>
  <c r="K176" i="6"/>
  <c r="J178" i="6"/>
  <c r="B180" i="6"/>
  <c r="J183" i="6"/>
  <c r="K184" i="6"/>
  <c r="J186" i="6"/>
  <c r="B188" i="6"/>
  <c r="J191" i="6"/>
  <c r="K192" i="6"/>
  <c r="J194" i="6"/>
  <c r="B196" i="6"/>
  <c r="J199" i="6"/>
  <c r="K200" i="6"/>
  <c r="J202" i="6"/>
  <c r="B204" i="6"/>
  <c r="J207" i="6"/>
  <c r="K208" i="6"/>
  <c r="J210" i="6"/>
  <c r="B212" i="6"/>
  <c r="J215" i="6"/>
  <c r="K216" i="6"/>
  <c r="J218" i="6"/>
  <c r="B220" i="6"/>
  <c r="J223" i="6"/>
  <c r="K224" i="6"/>
  <c r="J226" i="6"/>
  <c r="B228" i="6"/>
  <c r="J231" i="6"/>
  <c r="K232" i="6"/>
  <c r="J234" i="6"/>
  <c r="B236" i="6"/>
  <c r="J239" i="6"/>
  <c r="K240" i="6"/>
  <c r="J242" i="6"/>
  <c r="B244" i="6"/>
  <c r="M249" i="6"/>
  <c r="E249" i="6"/>
  <c r="L249" i="6"/>
  <c r="D249" i="6"/>
  <c r="K249" i="6"/>
  <c r="C249" i="6"/>
  <c r="J249" i="6"/>
  <c r="B249" i="6"/>
  <c r="A249" i="7"/>
  <c r="K255" i="6"/>
  <c r="C258" i="6"/>
  <c r="B266" i="6"/>
  <c r="A274" i="7"/>
  <c r="H274" i="6"/>
  <c r="G274" i="6"/>
  <c r="F274" i="6"/>
  <c r="M274" i="6"/>
  <c r="E274" i="6"/>
  <c r="H279" i="6"/>
  <c r="H284" i="6"/>
  <c r="C287" i="6"/>
  <c r="K290" i="6"/>
  <c r="G292" i="6"/>
  <c r="B295" i="6"/>
  <c r="G297" i="6"/>
  <c r="B300" i="6"/>
  <c r="A303" i="7"/>
  <c r="G303" i="6"/>
  <c r="F303" i="6"/>
  <c r="M303" i="6"/>
  <c r="E303" i="6"/>
  <c r="L303" i="6"/>
  <c r="D303" i="6"/>
  <c r="F305" i="6"/>
  <c r="A308" i="7"/>
  <c r="F308" i="6"/>
  <c r="M308" i="6"/>
  <c r="E308" i="6"/>
  <c r="L308" i="6"/>
  <c r="D308" i="6"/>
  <c r="K308" i="6"/>
  <c r="C308" i="6"/>
  <c r="A313" i="7"/>
  <c r="M313" i="6"/>
  <c r="E313" i="6"/>
  <c r="L313" i="6"/>
  <c r="D313" i="6"/>
  <c r="K313" i="6"/>
  <c r="C313" i="6"/>
  <c r="J313" i="6"/>
  <c r="B313" i="6"/>
  <c r="A316" i="7"/>
  <c r="F316" i="6"/>
  <c r="M316" i="6"/>
  <c r="E316" i="6"/>
  <c r="L316" i="6"/>
  <c r="D316" i="6"/>
  <c r="K316" i="6"/>
  <c r="C316" i="6"/>
  <c r="M321" i="6"/>
  <c r="E321" i="6"/>
  <c r="L321" i="6"/>
  <c r="D321" i="6"/>
  <c r="A321" i="7"/>
  <c r="K321" i="6"/>
  <c r="C321" i="6"/>
  <c r="J321" i="6"/>
  <c r="B321" i="6"/>
  <c r="B324" i="6"/>
  <c r="A326" i="8"/>
  <c r="G326" i="7"/>
  <c r="F326" i="7"/>
  <c r="M326" i="7"/>
  <c r="E326" i="7"/>
  <c r="L326" i="7"/>
  <c r="D326" i="7"/>
  <c r="K326" i="7"/>
  <c r="C326" i="7"/>
  <c r="J326" i="7"/>
  <c r="I326" i="7"/>
  <c r="H326" i="7"/>
  <c r="A327" i="7"/>
  <c r="G327" i="6"/>
  <c r="F327" i="6"/>
  <c r="M327" i="6"/>
  <c r="E327" i="6"/>
  <c r="L327" i="6"/>
  <c r="D327" i="6"/>
  <c r="F329" i="6"/>
  <c r="F332" i="6"/>
  <c r="A332" i="7"/>
  <c r="M332" i="6"/>
  <c r="E332" i="6"/>
  <c r="L332" i="6"/>
  <c r="D332" i="6"/>
  <c r="K332" i="6"/>
  <c r="C332" i="6"/>
  <c r="A337" i="7"/>
  <c r="M337" i="6"/>
  <c r="E337" i="6"/>
  <c r="L337" i="6"/>
  <c r="D337" i="6"/>
  <c r="K337" i="6"/>
  <c r="C337" i="6"/>
  <c r="J337" i="6"/>
  <c r="B337" i="6"/>
  <c r="D338" i="6"/>
  <c r="I348" i="6"/>
  <c r="I354" i="6"/>
  <c r="G356" i="6"/>
  <c r="H359" i="6"/>
  <c r="B362" i="6"/>
  <c r="A367" i="7"/>
  <c r="G367" i="6"/>
  <c r="F367" i="6"/>
  <c r="M367" i="6"/>
  <c r="E367" i="6"/>
  <c r="L367" i="6"/>
  <c r="D367" i="6"/>
  <c r="K367" i="6"/>
  <c r="C367" i="6"/>
  <c r="I380" i="6"/>
  <c r="I386" i="6"/>
  <c r="G388" i="6"/>
  <c r="H391" i="6"/>
  <c r="B394" i="6"/>
  <c r="A399" i="7"/>
  <c r="G399" i="6"/>
  <c r="F399" i="6"/>
  <c r="M399" i="6"/>
  <c r="E399" i="6"/>
  <c r="L399" i="6"/>
  <c r="D399" i="6"/>
  <c r="K399" i="6"/>
  <c r="C399" i="6"/>
  <c r="I412" i="6"/>
  <c r="I418" i="6"/>
  <c r="G420" i="6"/>
  <c r="H423" i="6"/>
  <c r="B426" i="6"/>
  <c r="G428" i="6"/>
  <c r="B431" i="6"/>
  <c r="A434" i="7"/>
  <c r="H434" i="6"/>
  <c r="G434" i="6"/>
  <c r="F434" i="6"/>
  <c r="M434" i="6"/>
  <c r="E434" i="6"/>
  <c r="L434" i="6"/>
  <c r="D434" i="6"/>
  <c r="A436" i="7"/>
  <c r="F436" i="6"/>
  <c r="M436" i="6"/>
  <c r="E436" i="6"/>
  <c r="L436" i="6"/>
  <c r="D436" i="6"/>
  <c r="K436" i="6"/>
  <c r="C436" i="6"/>
  <c r="J436" i="6"/>
  <c r="B436" i="6"/>
  <c r="A439" i="7"/>
  <c r="G439" i="6"/>
  <c r="F439" i="6"/>
  <c r="M439" i="6"/>
  <c r="E439" i="6"/>
  <c r="L439" i="6"/>
  <c r="D439" i="6"/>
  <c r="K439" i="6"/>
  <c r="C439" i="6"/>
  <c r="I468" i="6"/>
  <c r="I474" i="6"/>
  <c r="G476" i="6"/>
  <c r="H479" i="6"/>
  <c r="B482" i="6"/>
  <c r="A487" i="7"/>
  <c r="G487" i="6"/>
  <c r="F487" i="6"/>
  <c r="M487" i="6"/>
  <c r="E487" i="6"/>
  <c r="L487" i="6"/>
  <c r="D487" i="6"/>
  <c r="K487" i="6"/>
  <c r="C487" i="6"/>
  <c r="I500" i="6"/>
  <c r="I506" i="6"/>
  <c r="G508" i="6"/>
  <c r="H511" i="6"/>
  <c r="B514" i="6"/>
  <c r="A519" i="7"/>
  <c r="G519" i="6"/>
  <c r="F519" i="6"/>
  <c r="M519" i="6"/>
  <c r="E519" i="6"/>
  <c r="L519" i="6"/>
  <c r="D519" i="6"/>
  <c r="K519" i="6"/>
  <c r="C519" i="6"/>
  <c r="I532" i="6"/>
  <c r="I538" i="6"/>
  <c r="G540" i="6"/>
  <c r="H543" i="6"/>
  <c r="B546" i="6"/>
  <c r="A551" i="7"/>
  <c r="G551" i="6"/>
  <c r="F551" i="6"/>
  <c r="M551" i="6"/>
  <c r="E551" i="6"/>
  <c r="L551" i="6"/>
  <c r="D551" i="6"/>
  <c r="K551" i="6"/>
  <c r="C551" i="6"/>
  <c r="I564" i="6"/>
  <c r="I567" i="6"/>
  <c r="C570" i="6"/>
  <c r="H572" i="6"/>
  <c r="H575" i="6"/>
  <c r="B578" i="6"/>
  <c r="G580" i="6"/>
  <c r="B583" i="6"/>
  <c r="A586" i="7"/>
  <c r="H586" i="6"/>
  <c r="G586" i="6"/>
  <c r="F586" i="6"/>
  <c r="M586" i="6"/>
  <c r="E586" i="6"/>
  <c r="L586" i="6"/>
  <c r="D586" i="6"/>
  <c r="A588" i="7"/>
  <c r="F588" i="6"/>
  <c r="M588" i="6"/>
  <c r="E588" i="6"/>
  <c r="L588" i="6"/>
  <c r="D588" i="6"/>
  <c r="K588" i="6"/>
  <c r="C588" i="6"/>
  <c r="J588" i="6"/>
  <c r="B588" i="6"/>
  <c r="A591" i="7"/>
  <c r="G591" i="6"/>
  <c r="F591" i="6"/>
  <c r="M591" i="6"/>
  <c r="E591" i="6"/>
  <c r="L591" i="6"/>
  <c r="D591" i="6"/>
  <c r="K591" i="6"/>
  <c r="C591" i="6"/>
  <c r="I626" i="6"/>
  <c r="G628" i="6"/>
  <c r="H631" i="6"/>
  <c r="B634" i="6"/>
  <c r="A639" i="7"/>
  <c r="G639" i="6"/>
  <c r="F639" i="6"/>
  <c r="M639" i="6"/>
  <c r="E639" i="6"/>
  <c r="L639" i="6"/>
  <c r="D639" i="6"/>
  <c r="K639" i="6"/>
  <c r="C639" i="6"/>
  <c r="I652" i="6"/>
  <c r="I658" i="6"/>
  <c r="G660" i="6"/>
  <c r="H663" i="6"/>
  <c r="B666" i="6"/>
  <c r="A671" i="7"/>
  <c r="G671" i="6"/>
  <c r="F671" i="6"/>
  <c r="M671" i="6"/>
  <c r="E671" i="6"/>
  <c r="L671" i="6"/>
  <c r="D671" i="6"/>
  <c r="K671" i="6"/>
  <c r="C671" i="6"/>
  <c r="J671" i="6"/>
  <c r="B671" i="6"/>
  <c r="B674" i="6"/>
  <c r="H695" i="6"/>
  <c r="I698" i="6"/>
  <c r="A714" i="7"/>
  <c r="H714" i="6"/>
  <c r="G714" i="6"/>
  <c r="F714" i="6"/>
  <c r="M714" i="6"/>
  <c r="E714" i="6"/>
  <c r="L714" i="6"/>
  <c r="D714" i="6"/>
  <c r="K714" i="6"/>
  <c r="C714" i="6"/>
  <c r="I719" i="6"/>
  <c r="A735" i="7"/>
  <c r="G735" i="6"/>
  <c r="F735" i="6"/>
  <c r="M735" i="6"/>
  <c r="E735" i="6"/>
  <c r="L735" i="6"/>
  <c r="D735" i="6"/>
  <c r="K735" i="6"/>
  <c r="C735" i="6"/>
  <c r="J735" i="6"/>
  <c r="B735" i="6"/>
  <c r="B738" i="6"/>
  <c r="H759" i="6"/>
  <c r="I762" i="6"/>
  <c r="A778" i="7"/>
  <c r="H778" i="6"/>
  <c r="G778" i="6"/>
  <c r="F778" i="6"/>
  <c r="M778" i="6"/>
  <c r="E778" i="6"/>
  <c r="L778" i="6"/>
  <c r="D778" i="6"/>
  <c r="K778" i="6"/>
  <c r="C778" i="6"/>
  <c r="H783" i="6"/>
  <c r="I786" i="6"/>
  <c r="L809" i="6"/>
  <c r="A835" i="7"/>
  <c r="F835" i="6"/>
  <c r="K835" i="6"/>
  <c r="C835" i="6"/>
  <c r="J835" i="6"/>
  <c r="B835" i="6"/>
  <c r="L835" i="6"/>
  <c r="I835" i="6"/>
  <c r="H835" i="6"/>
  <c r="G835" i="6"/>
  <c r="E835" i="6"/>
  <c r="D835" i="6"/>
  <c r="A843" i="7"/>
  <c r="F843" i="6"/>
  <c r="L843" i="6"/>
  <c r="D843" i="6"/>
  <c r="K843" i="6"/>
  <c r="C843" i="6"/>
  <c r="J843" i="6"/>
  <c r="B843" i="6"/>
  <c r="M843" i="6"/>
  <c r="I843" i="6"/>
  <c r="H843" i="6"/>
  <c r="G843" i="6"/>
  <c r="E843" i="6"/>
  <c r="A854" i="7"/>
  <c r="G854" i="6"/>
  <c r="M854" i="6"/>
  <c r="E854" i="6"/>
  <c r="L854" i="6"/>
  <c r="D854" i="6"/>
  <c r="K854" i="6"/>
  <c r="C854" i="6"/>
  <c r="J854" i="6"/>
  <c r="I854" i="6"/>
  <c r="H854" i="6"/>
  <c r="F854" i="6"/>
  <c r="A863" i="7"/>
  <c r="J863" i="6"/>
  <c r="B863" i="6"/>
  <c r="H863" i="6"/>
  <c r="G863" i="6"/>
  <c r="F863" i="6"/>
  <c r="M863" i="6"/>
  <c r="L863" i="6"/>
  <c r="K863" i="6"/>
  <c r="I863" i="6"/>
  <c r="E863" i="6"/>
  <c r="D863" i="6"/>
  <c r="G907" i="6"/>
  <c r="G923" i="6"/>
  <c r="G939" i="6"/>
  <c r="G955" i="6"/>
  <c r="A974" i="7"/>
  <c r="G974" i="6"/>
  <c r="F974" i="6"/>
  <c r="M974" i="6"/>
  <c r="E974" i="6"/>
  <c r="L974" i="6"/>
  <c r="D974" i="6"/>
  <c r="K974" i="6"/>
  <c r="C974" i="6"/>
  <c r="J974" i="6"/>
  <c r="I974" i="6"/>
  <c r="H974" i="6"/>
  <c r="B974" i="6"/>
  <c r="A998" i="7"/>
  <c r="G998" i="6"/>
  <c r="F998" i="6"/>
  <c r="M998" i="6"/>
  <c r="E998" i="6"/>
  <c r="L998" i="6"/>
  <c r="D998" i="6"/>
  <c r="K998" i="6"/>
  <c r="C998" i="6"/>
  <c r="J998" i="6"/>
  <c r="I998" i="6"/>
  <c r="H998" i="6"/>
  <c r="B998" i="6"/>
  <c r="M8" i="7"/>
  <c r="E22" i="7"/>
  <c r="I28" i="7"/>
  <c r="E48" i="7"/>
  <c r="A55" i="7"/>
  <c r="H70" i="7"/>
  <c r="C97" i="7"/>
  <c r="E438" i="5"/>
  <c r="E446" i="5"/>
  <c r="E454" i="5"/>
  <c r="E462" i="5"/>
  <c r="E470" i="5"/>
  <c r="E478" i="5"/>
  <c r="E486" i="5"/>
  <c r="E494" i="5"/>
  <c r="E502" i="5"/>
  <c r="E510" i="5"/>
  <c r="B517" i="5"/>
  <c r="E518" i="5"/>
  <c r="B525" i="5"/>
  <c r="E526" i="5"/>
  <c r="B533" i="5"/>
  <c r="E534" i="5"/>
  <c r="B541" i="5"/>
  <c r="E542" i="5"/>
  <c r="B549" i="5"/>
  <c r="E550" i="5"/>
  <c r="B557" i="5"/>
  <c r="E558" i="5"/>
  <c r="B565" i="5"/>
  <c r="E566" i="5"/>
  <c r="B573" i="5"/>
  <c r="E574" i="5"/>
  <c r="B581" i="5"/>
  <c r="E582" i="5"/>
  <c r="B589" i="5"/>
  <c r="E590" i="5"/>
  <c r="B597" i="5"/>
  <c r="E598" i="5"/>
  <c r="B605" i="5"/>
  <c r="E606" i="5"/>
  <c r="B613" i="5"/>
  <c r="E614" i="5"/>
  <c r="B621" i="5"/>
  <c r="E622" i="5"/>
  <c r="C624" i="5"/>
  <c r="B629" i="5"/>
  <c r="E630" i="5"/>
  <c r="C632" i="5"/>
  <c r="B637" i="5"/>
  <c r="E638" i="5"/>
  <c r="C640" i="5"/>
  <c r="B645" i="5"/>
  <c r="E646" i="5"/>
  <c r="C648" i="5"/>
  <c r="B653" i="5"/>
  <c r="E654" i="5"/>
  <c r="C656" i="5"/>
  <c r="B661" i="5"/>
  <c r="E662" i="5"/>
  <c r="C664" i="5"/>
  <c r="B669" i="5"/>
  <c r="E670" i="5"/>
  <c r="C672" i="5"/>
  <c r="B677" i="5"/>
  <c r="E678" i="5"/>
  <c r="C680" i="5"/>
  <c r="B685" i="5"/>
  <c r="E686" i="5"/>
  <c r="C688" i="5"/>
  <c r="B693" i="5"/>
  <c r="E694" i="5"/>
  <c r="C696" i="5"/>
  <c r="B701" i="5"/>
  <c r="E702" i="5"/>
  <c r="C704" i="5"/>
  <c r="B709" i="5"/>
  <c r="E710" i="5"/>
  <c r="C712" i="5"/>
  <c r="D715" i="5"/>
  <c r="B717" i="5"/>
  <c r="E718" i="5"/>
  <c r="C720" i="5"/>
  <c r="D723" i="5"/>
  <c r="B725" i="5"/>
  <c r="E726" i="5"/>
  <c r="C728" i="5"/>
  <c r="D731" i="5"/>
  <c r="B733" i="5"/>
  <c r="E734" i="5"/>
  <c r="C736" i="5"/>
  <c r="D739" i="5"/>
  <c r="B741" i="5"/>
  <c r="E742" i="5"/>
  <c r="C744" i="5"/>
  <c r="D747" i="5"/>
  <c r="B749" i="5"/>
  <c r="E750" i="5"/>
  <c r="C752" i="5"/>
  <c r="D755" i="5"/>
  <c r="B757" i="5"/>
  <c r="E758" i="5"/>
  <c r="C760" i="5"/>
  <c r="D763" i="5"/>
  <c r="B765" i="5"/>
  <c r="E766" i="5"/>
  <c r="C768" i="5"/>
  <c r="D771" i="5"/>
  <c r="B773" i="5"/>
  <c r="E774" i="5"/>
  <c r="C776" i="5"/>
  <c r="D779" i="5"/>
  <c r="B781" i="5"/>
  <c r="E782" i="5"/>
  <c r="C784" i="5"/>
  <c r="D787" i="5"/>
  <c r="B789" i="5"/>
  <c r="E790" i="5"/>
  <c r="C792" i="5"/>
  <c r="D795" i="5"/>
  <c r="B797" i="5"/>
  <c r="E798" i="5"/>
  <c r="C800" i="5"/>
  <c r="D803" i="5"/>
  <c r="B805" i="5"/>
  <c r="E806" i="5"/>
  <c r="C808" i="5"/>
  <c r="D811" i="5"/>
  <c r="B813" i="5"/>
  <c r="E814" i="5"/>
  <c r="C816" i="5"/>
  <c r="D819" i="5"/>
  <c r="B821" i="5"/>
  <c r="E822" i="5"/>
  <c r="C824" i="5"/>
  <c r="D827" i="5"/>
  <c r="B829" i="5"/>
  <c r="E830" i="5"/>
  <c r="C832" i="5"/>
  <c r="D835" i="5"/>
  <c r="B837" i="5"/>
  <c r="E838" i="5"/>
  <c r="C840" i="5"/>
  <c r="D843" i="5"/>
  <c r="B845" i="5"/>
  <c r="E846" i="5"/>
  <c r="C848" i="5"/>
  <c r="D851" i="5"/>
  <c r="B853" i="5"/>
  <c r="E854" i="5"/>
  <c r="C856" i="5"/>
  <c r="D859" i="5"/>
  <c r="B861" i="5"/>
  <c r="E862" i="5"/>
  <c r="C864" i="5"/>
  <c r="D867" i="5"/>
  <c r="B869" i="5"/>
  <c r="E870" i="5"/>
  <c r="C872" i="5"/>
  <c r="D875" i="5"/>
  <c r="B877" i="5"/>
  <c r="E878" i="5"/>
  <c r="C880" i="5"/>
  <c r="D883" i="5"/>
  <c r="B885" i="5"/>
  <c r="E886" i="5"/>
  <c r="C888" i="5"/>
  <c r="D891" i="5"/>
  <c r="B893" i="5"/>
  <c r="E894" i="5"/>
  <c r="C896" i="5"/>
  <c r="D899" i="5"/>
  <c r="B901" i="5"/>
  <c r="E902" i="5"/>
  <c r="C904" i="5"/>
  <c r="D907" i="5"/>
  <c r="B909" i="5"/>
  <c r="E910" i="5"/>
  <c r="C912" i="5"/>
  <c r="D915" i="5"/>
  <c r="B917" i="5"/>
  <c r="E918" i="5"/>
  <c r="C920" i="5"/>
  <c r="D923" i="5"/>
  <c r="B925" i="5"/>
  <c r="E926" i="5"/>
  <c r="C928" i="5"/>
  <c r="D931" i="5"/>
  <c r="B933" i="5"/>
  <c r="E934" i="5"/>
  <c r="C936" i="5"/>
  <c r="D939" i="5"/>
  <c r="B941" i="5"/>
  <c r="E942" i="5"/>
  <c r="C944" i="5"/>
  <c r="D947" i="5"/>
  <c r="B949" i="5"/>
  <c r="E950" i="5"/>
  <c r="C952" i="5"/>
  <c r="D955" i="5"/>
  <c r="B957" i="5"/>
  <c r="E958" i="5"/>
  <c r="C960" i="5"/>
  <c r="D963" i="5"/>
  <c r="B965" i="5"/>
  <c r="E966" i="5"/>
  <c r="C968" i="5"/>
  <c r="D971" i="5"/>
  <c r="B973" i="5"/>
  <c r="E974" i="5"/>
  <c r="C976" i="5"/>
  <c r="D979" i="5"/>
  <c r="B981" i="5"/>
  <c r="E982" i="5"/>
  <c r="C984" i="5"/>
  <c r="D987" i="5"/>
  <c r="B989" i="5"/>
  <c r="E990" i="5"/>
  <c r="C992" i="5"/>
  <c r="D995" i="5"/>
  <c r="B997" i="5"/>
  <c r="E998" i="5"/>
  <c r="C1000" i="5"/>
  <c r="A3" i="8"/>
  <c r="K3" i="7"/>
  <c r="C3" i="7"/>
  <c r="J3" i="7"/>
  <c r="B3" i="7"/>
  <c r="H3" i="7"/>
  <c r="G3" i="7"/>
  <c r="M3" i="7"/>
  <c r="L3" i="7"/>
  <c r="F3" i="7"/>
  <c r="E3" i="7"/>
  <c r="D3" i="7"/>
  <c r="I3" i="6"/>
  <c r="I3" i="7" s="1"/>
  <c r="D4" i="6"/>
  <c r="B6" i="6"/>
  <c r="B6" i="7" s="1"/>
  <c r="J6" i="6"/>
  <c r="J6" i="7" s="1"/>
  <c r="E7" i="6"/>
  <c r="E7" i="7" s="1"/>
  <c r="M7" i="6"/>
  <c r="M7" i="7" s="1"/>
  <c r="H8" i="6"/>
  <c r="H8" i="7" s="1"/>
  <c r="C9" i="6"/>
  <c r="C9" i="7" s="1"/>
  <c r="K9" i="6"/>
  <c r="K9" i="7" s="1"/>
  <c r="A11" i="8"/>
  <c r="K11" i="7"/>
  <c r="C11" i="7"/>
  <c r="J11" i="7"/>
  <c r="B11" i="7"/>
  <c r="H11" i="7"/>
  <c r="G11" i="7"/>
  <c r="M11" i="7"/>
  <c r="L11" i="7"/>
  <c r="F11" i="7"/>
  <c r="E11" i="7"/>
  <c r="D11" i="7"/>
  <c r="I11" i="6"/>
  <c r="I11" i="7" s="1"/>
  <c r="D12" i="6"/>
  <c r="D12" i="7" s="1"/>
  <c r="L12" i="6"/>
  <c r="L12" i="7" s="1"/>
  <c r="B14" i="6"/>
  <c r="J14" i="6"/>
  <c r="E15" i="6"/>
  <c r="E15" i="7" s="1"/>
  <c r="M15" i="6"/>
  <c r="M15" i="7" s="1"/>
  <c r="H16" i="6"/>
  <c r="C17" i="6"/>
  <c r="K17" i="6"/>
  <c r="A19" i="8"/>
  <c r="K19" i="7"/>
  <c r="C19" i="7"/>
  <c r="J19" i="7"/>
  <c r="B19" i="7"/>
  <c r="I19" i="7"/>
  <c r="H19" i="7"/>
  <c r="G19" i="7"/>
  <c r="M19" i="7"/>
  <c r="L19" i="7"/>
  <c r="F19" i="7"/>
  <c r="E19" i="7"/>
  <c r="I19" i="6"/>
  <c r="D20" i="6"/>
  <c r="L20" i="6"/>
  <c r="B22" i="6"/>
  <c r="B22" i="9" s="1"/>
  <c r="J22" i="6"/>
  <c r="E23" i="6"/>
  <c r="M23" i="6"/>
  <c r="H24" i="6"/>
  <c r="C25" i="6"/>
  <c r="K25" i="6"/>
  <c r="A27" i="8"/>
  <c r="K27" i="7"/>
  <c r="C27" i="7"/>
  <c r="J27" i="7"/>
  <c r="B27" i="7"/>
  <c r="I27" i="7"/>
  <c r="H27" i="7"/>
  <c r="G27" i="7"/>
  <c r="M27" i="7"/>
  <c r="L27" i="7"/>
  <c r="F27" i="7"/>
  <c r="I27" i="6"/>
  <c r="D28" i="6"/>
  <c r="L28" i="6"/>
  <c r="B30" i="6"/>
  <c r="J30" i="6"/>
  <c r="E31" i="6"/>
  <c r="M31" i="6"/>
  <c r="H32" i="6"/>
  <c r="C33" i="6"/>
  <c r="K33" i="6"/>
  <c r="A35" i="8"/>
  <c r="K35" i="7"/>
  <c r="C35" i="7"/>
  <c r="J35" i="7"/>
  <c r="B35" i="7"/>
  <c r="I35" i="7"/>
  <c r="H35" i="7"/>
  <c r="G35" i="7"/>
  <c r="D35" i="7"/>
  <c r="M35" i="7"/>
  <c r="L35" i="7"/>
  <c r="I35" i="6"/>
  <c r="D36" i="6"/>
  <c r="L36" i="6"/>
  <c r="B38" i="6"/>
  <c r="J38" i="6"/>
  <c r="E39" i="6"/>
  <c r="M39" i="6"/>
  <c r="H40" i="6"/>
  <c r="C41" i="6"/>
  <c r="K41" i="6"/>
  <c r="A43" i="8"/>
  <c r="K43" i="7"/>
  <c r="C43" i="7"/>
  <c r="J43" i="7"/>
  <c r="B43" i="7"/>
  <c r="I43" i="7"/>
  <c r="H43" i="7"/>
  <c r="G43" i="7"/>
  <c r="E43" i="7"/>
  <c r="D43" i="7"/>
  <c r="M43" i="7"/>
  <c r="I43" i="6"/>
  <c r="D44" i="6"/>
  <c r="L44" i="6"/>
  <c r="B46" i="6"/>
  <c r="J46" i="6"/>
  <c r="E47" i="6"/>
  <c r="H48" i="6"/>
  <c r="C49" i="6"/>
  <c r="K49" i="6"/>
  <c r="A51" i="8"/>
  <c r="K51" i="7"/>
  <c r="C51" i="7"/>
  <c r="J51" i="7"/>
  <c r="B51" i="7"/>
  <c r="I51" i="7"/>
  <c r="H51" i="7"/>
  <c r="G51" i="7"/>
  <c r="F51" i="7"/>
  <c r="E51" i="7"/>
  <c r="D51" i="7"/>
  <c r="I51" i="6"/>
  <c r="D52" i="6"/>
  <c r="L52" i="6"/>
  <c r="B54" i="6"/>
  <c r="J54" i="6"/>
  <c r="E55" i="6"/>
  <c r="H56" i="6"/>
  <c r="C57" i="6"/>
  <c r="K57" i="6"/>
  <c r="A59" i="8"/>
  <c r="K59" i="7"/>
  <c r="C59" i="7"/>
  <c r="J59" i="7"/>
  <c r="B59" i="7"/>
  <c r="I59" i="7"/>
  <c r="H59" i="7"/>
  <c r="G59" i="7"/>
  <c r="L59" i="7"/>
  <c r="F59" i="7"/>
  <c r="E59" i="7"/>
  <c r="D59" i="7"/>
  <c r="I59" i="6"/>
  <c r="D60" i="6"/>
  <c r="B62" i="6"/>
  <c r="J62" i="6"/>
  <c r="E63" i="6"/>
  <c r="M63" i="6"/>
  <c r="H64" i="6"/>
  <c r="C65" i="6"/>
  <c r="K65" i="6"/>
  <c r="A67" i="8"/>
  <c r="F67" i="7"/>
  <c r="L67" i="7"/>
  <c r="D67" i="7"/>
  <c r="K67" i="7"/>
  <c r="C67" i="7"/>
  <c r="J67" i="7"/>
  <c r="B67" i="7"/>
  <c r="H67" i="7"/>
  <c r="G67" i="7"/>
  <c r="E67" i="7"/>
  <c r="I67" i="6"/>
  <c r="D68" i="6"/>
  <c r="L68" i="6"/>
  <c r="B70" i="6"/>
  <c r="J70" i="6"/>
  <c r="E71" i="6"/>
  <c r="M71" i="6"/>
  <c r="H72" i="6"/>
  <c r="C73" i="6"/>
  <c r="K73" i="6"/>
  <c r="A75" i="8"/>
  <c r="F75" i="7"/>
  <c r="L75" i="7"/>
  <c r="D75" i="7"/>
  <c r="K75" i="7"/>
  <c r="C75" i="7"/>
  <c r="J75" i="7"/>
  <c r="B75" i="7"/>
  <c r="M75" i="7"/>
  <c r="I75" i="7"/>
  <c r="H75" i="7"/>
  <c r="G75" i="7"/>
  <c r="E75" i="7"/>
  <c r="I75" i="6"/>
  <c r="D76" i="6"/>
  <c r="L76" i="6"/>
  <c r="B78" i="6"/>
  <c r="J78" i="6"/>
  <c r="E79" i="6"/>
  <c r="M79" i="6"/>
  <c r="H80" i="6"/>
  <c r="C81" i="6"/>
  <c r="K81" i="6"/>
  <c r="A83" i="8"/>
  <c r="F83" i="7"/>
  <c r="L83" i="7"/>
  <c r="D83" i="7"/>
  <c r="K83" i="7"/>
  <c r="C83" i="7"/>
  <c r="J83" i="7"/>
  <c r="B83" i="7"/>
  <c r="H83" i="7"/>
  <c r="G83" i="7"/>
  <c r="E83" i="7"/>
  <c r="I83" i="7"/>
  <c r="I83" i="6"/>
  <c r="D84" i="6"/>
  <c r="L84" i="6"/>
  <c r="B86" i="6"/>
  <c r="J86" i="6"/>
  <c r="E87" i="6"/>
  <c r="M87" i="6"/>
  <c r="H88" i="6"/>
  <c r="C89" i="6"/>
  <c r="K89" i="6"/>
  <c r="D92" i="6"/>
  <c r="L92" i="6"/>
  <c r="B94" i="6"/>
  <c r="J94" i="6"/>
  <c r="E95" i="6"/>
  <c r="M95" i="6"/>
  <c r="H96" i="6"/>
  <c r="C97" i="6"/>
  <c r="K97" i="6"/>
  <c r="A99" i="8"/>
  <c r="F99" i="7"/>
  <c r="L99" i="7"/>
  <c r="D99" i="7"/>
  <c r="K99" i="7"/>
  <c r="C99" i="7"/>
  <c r="J99" i="7"/>
  <c r="B99" i="7"/>
  <c r="H99" i="7"/>
  <c r="G99" i="7"/>
  <c r="E99" i="7"/>
  <c r="M99" i="7"/>
  <c r="I99" i="7"/>
  <c r="I99" i="6"/>
  <c r="D100" i="6"/>
  <c r="L100" i="6"/>
  <c r="B102" i="6"/>
  <c r="J102" i="6"/>
  <c r="E103" i="6"/>
  <c r="M103" i="6"/>
  <c r="H104" i="6"/>
  <c r="C105" i="6"/>
  <c r="L105" i="6"/>
  <c r="C110" i="6"/>
  <c r="G111" i="6"/>
  <c r="M111" i="6"/>
  <c r="E111" i="6"/>
  <c r="A111" i="7"/>
  <c r="K111" i="6"/>
  <c r="G113" i="6"/>
  <c r="D114" i="6"/>
  <c r="G116" i="6"/>
  <c r="K119" i="6"/>
  <c r="L120" i="6"/>
  <c r="K122" i="6"/>
  <c r="E124" i="6"/>
  <c r="K127" i="6"/>
  <c r="L128" i="6"/>
  <c r="K130" i="6"/>
  <c r="E132" i="6"/>
  <c r="K135" i="6"/>
  <c r="L136" i="6"/>
  <c r="K138" i="6"/>
  <c r="E140" i="6"/>
  <c r="K143" i="6"/>
  <c r="L144" i="6"/>
  <c r="K146" i="6"/>
  <c r="E148" i="6"/>
  <c r="K151" i="6"/>
  <c r="L152" i="6"/>
  <c r="K154" i="6"/>
  <c r="E156" i="6"/>
  <c r="K159" i="6"/>
  <c r="L160" i="6"/>
  <c r="K162" i="6"/>
  <c r="E164" i="6"/>
  <c r="K167" i="6"/>
  <c r="L168" i="6"/>
  <c r="K170" i="6"/>
  <c r="E172" i="6"/>
  <c r="K175" i="6"/>
  <c r="L176" i="6"/>
  <c r="K178" i="6"/>
  <c r="E180" i="6"/>
  <c r="K183" i="6"/>
  <c r="L184" i="6"/>
  <c r="K186" i="6"/>
  <c r="E188" i="6"/>
  <c r="K191" i="6"/>
  <c r="L192" i="6"/>
  <c r="K194" i="6"/>
  <c r="E196" i="6"/>
  <c r="K199" i="6"/>
  <c r="L200" i="6"/>
  <c r="K202" i="6"/>
  <c r="E204" i="6"/>
  <c r="K207" i="6"/>
  <c r="L208" i="6"/>
  <c r="K210" i="6"/>
  <c r="E212" i="6"/>
  <c r="K215" i="6"/>
  <c r="L216" i="6"/>
  <c r="K218" i="6"/>
  <c r="E220" i="6"/>
  <c r="K223" i="6"/>
  <c r="L224" i="6"/>
  <c r="K226" i="6"/>
  <c r="E228" i="6"/>
  <c r="K231" i="6"/>
  <c r="L232" i="6"/>
  <c r="K234" i="6"/>
  <c r="E236" i="6"/>
  <c r="K239" i="6"/>
  <c r="L240" i="6"/>
  <c r="K242" i="6"/>
  <c r="E244" i="6"/>
  <c r="A247" i="7"/>
  <c r="G247" i="6"/>
  <c r="F247" i="6"/>
  <c r="M247" i="6"/>
  <c r="E247" i="6"/>
  <c r="L247" i="6"/>
  <c r="D247" i="6"/>
  <c r="F249" i="6"/>
  <c r="I250" i="6"/>
  <c r="A252" i="7"/>
  <c r="F252" i="6"/>
  <c r="M252" i="6"/>
  <c r="E252" i="6"/>
  <c r="L252" i="6"/>
  <c r="D252" i="6"/>
  <c r="K252" i="6"/>
  <c r="C252" i="6"/>
  <c r="M257" i="6"/>
  <c r="E257" i="6"/>
  <c r="L257" i="6"/>
  <c r="D257" i="6"/>
  <c r="K257" i="6"/>
  <c r="C257" i="6"/>
  <c r="J257" i="6"/>
  <c r="B257" i="6"/>
  <c r="D258" i="6"/>
  <c r="C266" i="6"/>
  <c r="B274" i="6"/>
  <c r="I279" i="6"/>
  <c r="A282" i="7"/>
  <c r="H282" i="6"/>
  <c r="G282" i="6"/>
  <c r="F282" i="6"/>
  <c r="M282" i="6"/>
  <c r="E282" i="6"/>
  <c r="I284" i="6"/>
  <c r="H287" i="6"/>
  <c r="I289" i="6"/>
  <c r="L290" i="6"/>
  <c r="H292" i="6"/>
  <c r="C295" i="6"/>
  <c r="H297" i="6"/>
  <c r="G300" i="6"/>
  <c r="B303" i="6"/>
  <c r="G305" i="6"/>
  <c r="B308" i="6"/>
  <c r="A311" i="7"/>
  <c r="G311" i="6"/>
  <c r="F311" i="6"/>
  <c r="M311" i="6"/>
  <c r="E311" i="6"/>
  <c r="L311" i="6"/>
  <c r="D311" i="6"/>
  <c r="F313" i="6"/>
  <c r="I314" i="6"/>
  <c r="B316" i="6"/>
  <c r="A319" i="7"/>
  <c r="G319" i="6"/>
  <c r="F319" i="6"/>
  <c r="M319" i="6"/>
  <c r="E319" i="6"/>
  <c r="L319" i="6"/>
  <c r="D319" i="6"/>
  <c r="F321" i="6"/>
  <c r="I322" i="6"/>
  <c r="G324" i="6"/>
  <c r="B327" i="6"/>
  <c r="G329" i="6"/>
  <c r="B332" i="6"/>
  <c r="A335" i="7"/>
  <c r="G335" i="6"/>
  <c r="F335" i="6"/>
  <c r="M335" i="6"/>
  <c r="E335" i="6"/>
  <c r="L335" i="6"/>
  <c r="D335" i="6"/>
  <c r="F337" i="6"/>
  <c r="I338" i="6"/>
  <c r="A340" i="7"/>
  <c r="F340" i="6"/>
  <c r="M340" i="6"/>
  <c r="E340" i="6"/>
  <c r="L340" i="6"/>
  <c r="D340" i="6"/>
  <c r="K340" i="6"/>
  <c r="C340" i="6"/>
  <c r="J354" i="6"/>
  <c r="H356" i="6"/>
  <c r="I359" i="6"/>
  <c r="C362" i="6"/>
  <c r="A364" i="7"/>
  <c r="F364" i="6"/>
  <c r="M364" i="6"/>
  <c r="E364" i="6"/>
  <c r="L364" i="6"/>
  <c r="D364" i="6"/>
  <c r="K364" i="6"/>
  <c r="C364" i="6"/>
  <c r="J364" i="6"/>
  <c r="B364" i="6"/>
  <c r="B367" i="6"/>
  <c r="A370" i="7"/>
  <c r="H370" i="6"/>
  <c r="G370" i="6"/>
  <c r="F370" i="6"/>
  <c r="M370" i="6"/>
  <c r="E370" i="6"/>
  <c r="L370" i="6"/>
  <c r="D370" i="6"/>
  <c r="J386" i="6"/>
  <c r="H388" i="6"/>
  <c r="I391" i="6"/>
  <c r="C394" i="6"/>
  <c r="A396" i="7"/>
  <c r="F396" i="6"/>
  <c r="M396" i="6"/>
  <c r="E396" i="6"/>
  <c r="L396" i="6"/>
  <c r="D396" i="6"/>
  <c r="K396" i="6"/>
  <c r="C396" i="6"/>
  <c r="J396" i="6"/>
  <c r="B396" i="6"/>
  <c r="B399" i="6"/>
  <c r="A402" i="7"/>
  <c r="H402" i="6"/>
  <c r="G402" i="6"/>
  <c r="F402" i="6"/>
  <c r="M402" i="6"/>
  <c r="E402" i="6"/>
  <c r="L402" i="6"/>
  <c r="D402" i="6"/>
  <c r="J418" i="6"/>
  <c r="H420" i="6"/>
  <c r="I423" i="6"/>
  <c r="C426" i="6"/>
  <c r="H428" i="6"/>
  <c r="H431" i="6"/>
  <c r="B434" i="6"/>
  <c r="G436" i="6"/>
  <c r="B439" i="6"/>
  <c r="A442" i="7"/>
  <c r="H442" i="6"/>
  <c r="G442" i="6"/>
  <c r="F442" i="6"/>
  <c r="M442" i="6"/>
  <c r="E442" i="6"/>
  <c r="L442" i="6"/>
  <c r="D442" i="6"/>
  <c r="F444" i="6"/>
  <c r="M444" i="6"/>
  <c r="E444" i="6"/>
  <c r="L444" i="6"/>
  <c r="D444" i="6"/>
  <c r="K444" i="6"/>
  <c r="C444" i="6"/>
  <c r="J444" i="6"/>
  <c r="B444" i="6"/>
  <c r="A444" i="7"/>
  <c r="A447" i="7"/>
  <c r="G447" i="6"/>
  <c r="F447" i="6"/>
  <c r="M447" i="6"/>
  <c r="E447" i="6"/>
  <c r="L447" i="6"/>
  <c r="D447" i="6"/>
  <c r="K447" i="6"/>
  <c r="C447" i="6"/>
  <c r="J474" i="6"/>
  <c r="H476" i="6"/>
  <c r="I479" i="6"/>
  <c r="C482" i="6"/>
  <c r="A484" i="7"/>
  <c r="F484" i="6"/>
  <c r="M484" i="6"/>
  <c r="E484" i="6"/>
  <c r="L484" i="6"/>
  <c r="D484" i="6"/>
  <c r="K484" i="6"/>
  <c r="C484" i="6"/>
  <c r="J484" i="6"/>
  <c r="B484" i="6"/>
  <c r="A490" i="7"/>
  <c r="H490" i="6"/>
  <c r="G490" i="6"/>
  <c r="F490" i="6"/>
  <c r="M490" i="6"/>
  <c r="E490" i="6"/>
  <c r="L490" i="6"/>
  <c r="D490" i="6"/>
  <c r="H508" i="6"/>
  <c r="I511" i="6"/>
  <c r="C514" i="6"/>
  <c r="A516" i="7"/>
  <c r="F516" i="6"/>
  <c r="M516" i="6"/>
  <c r="E516" i="6"/>
  <c r="L516" i="6"/>
  <c r="D516" i="6"/>
  <c r="K516" i="6"/>
  <c r="C516" i="6"/>
  <c r="J516" i="6"/>
  <c r="B516" i="6"/>
  <c r="A522" i="7"/>
  <c r="H522" i="6"/>
  <c r="G522" i="6"/>
  <c r="F522" i="6"/>
  <c r="M522" i="6"/>
  <c r="E522" i="6"/>
  <c r="L522" i="6"/>
  <c r="D522" i="6"/>
  <c r="H540" i="6"/>
  <c r="I543" i="6"/>
  <c r="C546" i="6"/>
  <c r="A548" i="7"/>
  <c r="F548" i="6"/>
  <c r="M548" i="6"/>
  <c r="E548" i="6"/>
  <c r="L548" i="6"/>
  <c r="D548" i="6"/>
  <c r="K548" i="6"/>
  <c r="C548" i="6"/>
  <c r="J548" i="6"/>
  <c r="B548" i="6"/>
  <c r="A554" i="7"/>
  <c r="H554" i="6"/>
  <c r="G554" i="6"/>
  <c r="F554" i="6"/>
  <c r="M554" i="6"/>
  <c r="E554" i="6"/>
  <c r="L554" i="6"/>
  <c r="D554" i="6"/>
  <c r="J567" i="6"/>
  <c r="I570" i="6"/>
  <c r="I572" i="6"/>
  <c r="I575" i="6"/>
  <c r="C578" i="6"/>
  <c r="H580" i="6"/>
  <c r="H583" i="6"/>
  <c r="A594" i="7"/>
  <c r="H594" i="6"/>
  <c r="G594" i="6"/>
  <c r="F594" i="6"/>
  <c r="M594" i="6"/>
  <c r="E594" i="6"/>
  <c r="L594" i="6"/>
  <c r="D594" i="6"/>
  <c r="A596" i="7"/>
  <c r="F596" i="6"/>
  <c r="M596" i="6"/>
  <c r="E596" i="6"/>
  <c r="L596" i="6"/>
  <c r="D596" i="6"/>
  <c r="K596" i="6"/>
  <c r="C596" i="6"/>
  <c r="J596" i="6"/>
  <c r="B596" i="6"/>
  <c r="A599" i="7"/>
  <c r="G599" i="6"/>
  <c r="F599" i="6"/>
  <c r="M599" i="6"/>
  <c r="E599" i="6"/>
  <c r="L599" i="6"/>
  <c r="D599" i="6"/>
  <c r="K599" i="6"/>
  <c r="C599" i="6"/>
  <c r="J626" i="6"/>
  <c r="H628" i="6"/>
  <c r="I631" i="6"/>
  <c r="C634" i="6"/>
  <c r="A636" i="7"/>
  <c r="F636" i="6"/>
  <c r="M636" i="6"/>
  <c r="E636" i="6"/>
  <c r="L636" i="6"/>
  <c r="D636" i="6"/>
  <c r="K636" i="6"/>
  <c r="C636" i="6"/>
  <c r="J636" i="6"/>
  <c r="B636" i="6"/>
  <c r="A642" i="7"/>
  <c r="H642" i="6"/>
  <c r="G642" i="6"/>
  <c r="F642" i="6"/>
  <c r="M642" i="6"/>
  <c r="E642" i="6"/>
  <c r="L642" i="6"/>
  <c r="D642" i="6"/>
  <c r="H660" i="6"/>
  <c r="I663" i="6"/>
  <c r="C666" i="6"/>
  <c r="A668" i="7"/>
  <c r="F668" i="6"/>
  <c r="M668" i="6"/>
  <c r="E668" i="6"/>
  <c r="L668" i="6"/>
  <c r="D668" i="6"/>
  <c r="K668" i="6"/>
  <c r="C668" i="6"/>
  <c r="J668" i="6"/>
  <c r="B668" i="6"/>
  <c r="I674" i="6"/>
  <c r="A690" i="7"/>
  <c r="H690" i="6"/>
  <c r="G690" i="6"/>
  <c r="F690" i="6"/>
  <c r="M690" i="6"/>
  <c r="E690" i="6"/>
  <c r="L690" i="6"/>
  <c r="D690" i="6"/>
  <c r="K690" i="6"/>
  <c r="C690" i="6"/>
  <c r="I695" i="6"/>
  <c r="J698" i="6"/>
  <c r="A711" i="7"/>
  <c r="G711" i="6"/>
  <c r="F711" i="6"/>
  <c r="M711" i="6"/>
  <c r="E711" i="6"/>
  <c r="L711" i="6"/>
  <c r="D711" i="6"/>
  <c r="K711" i="6"/>
  <c r="C711" i="6"/>
  <c r="J711" i="6"/>
  <c r="B711" i="6"/>
  <c r="B714" i="6"/>
  <c r="H735" i="6"/>
  <c r="I738" i="6"/>
  <c r="A754" i="7"/>
  <c r="H754" i="6"/>
  <c r="G754" i="6"/>
  <c r="F754" i="6"/>
  <c r="M754" i="6"/>
  <c r="E754" i="6"/>
  <c r="L754" i="6"/>
  <c r="D754" i="6"/>
  <c r="K754" i="6"/>
  <c r="C754" i="6"/>
  <c r="I759" i="6"/>
  <c r="J762" i="6"/>
  <c r="A775" i="7"/>
  <c r="G775" i="6"/>
  <c r="F775" i="6"/>
  <c r="M775" i="6"/>
  <c r="E775" i="6"/>
  <c r="L775" i="6"/>
  <c r="D775" i="6"/>
  <c r="K775" i="6"/>
  <c r="C775" i="6"/>
  <c r="J775" i="6"/>
  <c r="B775" i="6"/>
  <c r="B778" i="6"/>
  <c r="I783" i="6"/>
  <c r="J786" i="6"/>
  <c r="M835" i="6"/>
  <c r="A838" i="7"/>
  <c r="G838" i="6"/>
  <c r="L838" i="6"/>
  <c r="D838" i="6"/>
  <c r="K838" i="6"/>
  <c r="C838" i="6"/>
  <c r="M838" i="6"/>
  <c r="J838" i="6"/>
  <c r="I838" i="6"/>
  <c r="H838" i="6"/>
  <c r="F838" i="6"/>
  <c r="E838" i="6"/>
  <c r="B854" i="6"/>
  <c r="C863" i="6"/>
  <c r="A985" i="7"/>
  <c r="H985" i="6"/>
  <c r="G985" i="6"/>
  <c r="F985" i="6"/>
  <c r="M985" i="6"/>
  <c r="E985" i="6"/>
  <c r="L985" i="6"/>
  <c r="D985" i="6"/>
  <c r="K985" i="6"/>
  <c r="J985" i="6"/>
  <c r="I985" i="6"/>
  <c r="C985" i="6"/>
  <c r="B985" i="6"/>
  <c r="F9" i="7"/>
  <c r="J15" i="7"/>
  <c r="F22" i="7"/>
  <c r="F35" i="7"/>
  <c r="K48" i="7"/>
  <c r="E71" i="7"/>
  <c r="B84" i="7"/>
  <c r="G97" i="7"/>
  <c r="A593" i="8"/>
  <c r="G593" i="7"/>
  <c r="F593" i="7"/>
  <c r="M593" i="7"/>
  <c r="E593" i="7"/>
  <c r="L593" i="7"/>
  <c r="D593" i="7"/>
  <c r="K593" i="7"/>
  <c r="C593" i="7"/>
  <c r="J593" i="7"/>
  <c r="I593" i="7"/>
  <c r="H593" i="7"/>
  <c r="A676" i="8"/>
  <c r="M676" i="7"/>
  <c r="E676" i="7"/>
  <c r="L676" i="7"/>
  <c r="D676" i="7"/>
  <c r="K676" i="7"/>
  <c r="C676" i="7"/>
  <c r="J676" i="7"/>
  <c r="B676" i="7"/>
  <c r="I676" i="7"/>
  <c r="H676" i="7"/>
  <c r="G676" i="7"/>
  <c r="F676" i="7"/>
  <c r="I676" i="6"/>
  <c r="A684" i="8"/>
  <c r="M684" i="7"/>
  <c r="E684" i="7"/>
  <c r="L684" i="7"/>
  <c r="D684" i="7"/>
  <c r="K684" i="7"/>
  <c r="C684" i="7"/>
  <c r="J684" i="7"/>
  <c r="B684" i="7"/>
  <c r="I684" i="7"/>
  <c r="H684" i="7"/>
  <c r="G684" i="7"/>
  <c r="F684" i="7"/>
  <c r="I684" i="6"/>
  <c r="A692" i="8"/>
  <c r="M692" i="7"/>
  <c r="E692" i="7"/>
  <c r="L692" i="7"/>
  <c r="D692" i="7"/>
  <c r="K692" i="7"/>
  <c r="C692" i="7"/>
  <c r="J692" i="7"/>
  <c r="B692" i="7"/>
  <c r="I692" i="7"/>
  <c r="H692" i="7"/>
  <c r="G692" i="7"/>
  <c r="F692" i="7"/>
  <c r="I692" i="6"/>
  <c r="I700" i="6"/>
  <c r="A708" i="8"/>
  <c r="F708" i="7"/>
  <c r="M708" i="7"/>
  <c r="E708" i="7"/>
  <c r="L708" i="7"/>
  <c r="D708" i="7"/>
  <c r="K708" i="7"/>
  <c r="C708" i="7"/>
  <c r="J708" i="7"/>
  <c r="B708" i="7"/>
  <c r="I708" i="7"/>
  <c r="G708" i="7"/>
  <c r="I708" i="6"/>
  <c r="A716" i="8"/>
  <c r="F716" i="7"/>
  <c r="M716" i="7"/>
  <c r="E716" i="7"/>
  <c r="L716" i="7"/>
  <c r="D716" i="7"/>
  <c r="K716" i="7"/>
  <c r="C716" i="7"/>
  <c r="J716" i="7"/>
  <c r="B716" i="7"/>
  <c r="H716" i="7"/>
  <c r="G716" i="7"/>
  <c r="I716" i="7"/>
  <c r="I716" i="6"/>
  <c r="A724" i="8"/>
  <c r="F724" i="7"/>
  <c r="M724" i="7"/>
  <c r="E724" i="7"/>
  <c r="L724" i="7"/>
  <c r="D724" i="7"/>
  <c r="K724" i="7"/>
  <c r="C724" i="7"/>
  <c r="J724" i="7"/>
  <c r="B724" i="7"/>
  <c r="G724" i="7"/>
  <c r="I724" i="7"/>
  <c r="H724" i="7"/>
  <c r="I724" i="6"/>
  <c r="A732" i="8"/>
  <c r="F732" i="7"/>
  <c r="M732" i="7"/>
  <c r="E732" i="7"/>
  <c r="L732" i="7"/>
  <c r="D732" i="7"/>
  <c r="K732" i="7"/>
  <c r="C732" i="7"/>
  <c r="J732" i="7"/>
  <c r="B732" i="7"/>
  <c r="H732" i="7"/>
  <c r="G732" i="7"/>
  <c r="I732" i="7"/>
  <c r="I732" i="6"/>
  <c r="A740" i="8"/>
  <c r="F740" i="7"/>
  <c r="M740" i="7"/>
  <c r="E740" i="7"/>
  <c r="L740" i="7"/>
  <c r="D740" i="7"/>
  <c r="K740" i="7"/>
  <c r="C740" i="7"/>
  <c r="J740" i="7"/>
  <c r="B740" i="7"/>
  <c r="I740" i="7"/>
  <c r="H740" i="7"/>
  <c r="G740" i="7"/>
  <c r="I740" i="6"/>
  <c r="A748" i="8"/>
  <c r="F748" i="7"/>
  <c r="M748" i="7"/>
  <c r="E748" i="7"/>
  <c r="L748" i="7"/>
  <c r="D748" i="7"/>
  <c r="K748" i="7"/>
  <c r="C748" i="7"/>
  <c r="J748" i="7"/>
  <c r="B748" i="7"/>
  <c r="I748" i="7"/>
  <c r="H748" i="7"/>
  <c r="G748" i="7"/>
  <c r="I748" i="6"/>
  <c r="I756" i="6"/>
  <c r="A764" i="8"/>
  <c r="F764" i="7"/>
  <c r="M764" i="7"/>
  <c r="E764" i="7"/>
  <c r="L764" i="7"/>
  <c r="D764" i="7"/>
  <c r="K764" i="7"/>
  <c r="C764" i="7"/>
  <c r="J764" i="7"/>
  <c r="B764" i="7"/>
  <c r="I764" i="7"/>
  <c r="H764" i="7"/>
  <c r="G764" i="7"/>
  <c r="I764" i="6"/>
  <c r="A772" i="8"/>
  <c r="F772" i="7"/>
  <c r="M772" i="7"/>
  <c r="E772" i="7"/>
  <c r="L772" i="7"/>
  <c r="D772" i="7"/>
  <c r="K772" i="7"/>
  <c r="C772" i="7"/>
  <c r="J772" i="7"/>
  <c r="B772" i="7"/>
  <c r="I772" i="7"/>
  <c r="H772" i="7"/>
  <c r="G772" i="7"/>
  <c r="I772" i="6"/>
  <c r="A780" i="8"/>
  <c r="F780" i="7"/>
  <c r="M780" i="7"/>
  <c r="E780" i="7"/>
  <c r="L780" i="7"/>
  <c r="D780" i="7"/>
  <c r="K780" i="7"/>
  <c r="C780" i="7"/>
  <c r="J780" i="7"/>
  <c r="B780" i="7"/>
  <c r="I780" i="7"/>
  <c r="H780" i="7"/>
  <c r="G780" i="7"/>
  <c r="I780" i="6"/>
  <c r="A788" i="8"/>
  <c r="F788" i="7"/>
  <c r="M788" i="7"/>
  <c r="E788" i="7"/>
  <c r="L788" i="7"/>
  <c r="D788" i="7"/>
  <c r="K788" i="7"/>
  <c r="C788" i="7"/>
  <c r="J788" i="7"/>
  <c r="B788" i="7"/>
  <c r="G788" i="7"/>
  <c r="I788" i="7"/>
  <c r="H788" i="7"/>
  <c r="I788" i="6"/>
  <c r="A800" i="7"/>
  <c r="J800" i="6"/>
  <c r="B800" i="6"/>
  <c r="K800" i="6"/>
  <c r="A803" i="7"/>
  <c r="F803" i="6"/>
  <c r="K803" i="6"/>
  <c r="C803" i="6"/>
  <c r="L803" i="6"/>
  <c r="A810" i="7"/>
  <c r="K810" i="6"/>
  <c r="C810" i="6"/>
  <c r="H810" i="6"/>
  <c r="L810" i="6"/>
  <c r="G862" i="6"/>
  <c r="A862" i="7"/>
  <c r="M862" i="6"/>
  <c r="E862" i="6"/>
  <c r="L862" i="6"/>
  <c r="D862" i="6"/>
  <c r="K862" i="6"/>
  <c r="C862" i="6"/>
  <c r="A871" i="7"/>
  <c r="J871" i="6"/>
  <c r="B871" i="6"/>
  <c r="H871" i="6"/>
  <c r="G871" i="6"/>
  <c r="F871" i="6"/>
  <c r="A873" i="7"/>
  <c r="H873" i="6"/>
  <c r="F873" i="6"/>
  <c r="M873" i="6"/>
  <c r="E873" i="6"/>
  <c r="L873" i="6"/>
  <c r="D873" i="6"/>
  <c r="A905" i="7"/>
  <c r="H905" i="6"/>
  <c r="G905" i="6"/>
  <c r="F905" i="6"/>
  <c r="M905" i="6"/>
  <c r="E905" i="6"/>
  <c r="L905" i="6"/>
  <c r="D905" i="6"/>
  <c r="A910" i="7"/>
  <c r="G910" i="6"/>
  <c r="F910" i="6"/>
  <c r="M910" i="6"/>
  <c r="E910" i="6"/>
  <c r="L910" i="6"/>
  <c r="D910" i="6"/>
  <c r="K910" i="6"/>
  <c r="C910" i="6"/>
  <c r="A921" i="7"/>
  <c r="H921" i="6"/>
  <c r="G921" i="6"/>
  <c r="F921" i="6"/>
  <c r="M921" i="6"/>
  <c r="E921" i="6"/>
  <c r="L921" i="6"/>
  <c r="D921" i="6"/>
  <c r="A926" i="7"/>
  <c r="G926" i="6"/>
  <c r="F926" i="6"/>
  <c r="M926" i="6"/>
  <c r="E926" i="6"/>
  <c r="L926" i="6"/>
  <c r="D926" i="6"/>
  <c r="K926" i="6"/>
  <c r="C926" i="6"/>
  <c r="A937" i="7"/>
  <c r="H937" i="6"/>
  <c r="G937" i="6"/>
  <c r="F937" i="6"/>
  <c r="M937" i="6"/>
  <c r="E937" i="6"/>
  <c r="L937" i="6"/>
  <c r="D937" i="6"/>
  <c r="A942" i="7"/>
  <c r="G942" i="6"/>
  <c r="F942" i="6"/>
  <c r="M942" i="6"/>
  <c r="E942" i="6"/>
  <c r="L942" i="6"/>
  <c r="D942" i="6"/>
  <c r="K942" i="6"/>
  <c r="C942" i="6"/>
  <c r="A953" i="7"/>
  <c r="H953" i="6"/>
  <c r="G953" i="6"/>
  <c r="F953" i="6"/>
  <c r="M953" i="6"/>
  <c r="E953" i="6"/>
  <c r="L953" i="6"/>
  <c r="D953" i="6"/>
  <c r="A958" i="7"/>
  <c r="G958" i="6"/>
  <c r="F958" i="6"/>
  <c r="M958" i="6"/>
  <c r="E958" i="6"/>
  <c r="L958" i="6"/>
  <c r="D958" i="6"/>
  <c r="K958" i="6"/>
  <c r="C958" i="6"/>
  <c r="A139" i="7"/>
  <c r="B214" i="7"/>
  <c r="I222" i="7"/>
  <c r="G227" i="7"/>
  <c r="G253" i="7"/>
  <c r="A262" i="7"/>
  <c r="A275" i="7"/>
  <c r="F288" i="7"/>
  <c r="F301" i="7"/>
  <c r="H374" i="7"/>
  <c r="A537" i="7"/>
  <c r="A664" i="8"/>
  <c r="F664" i="7"/>
  <c r="H664" i="7"/>
  <c r="G664" i="7"/>
  <c r="E664" i="7"/>
  <c r="M664" i="7"/>
  <c r="D664" i="7"/>
  <c r="L664" i="7"/>
  <c r="C664" i="7"/>
  <c r="K664" i="7"/>
  <c r="J664" i="7"/>
  <c r="I664" i="7"/>
  <c r="B664" i="7"/>
  <c r="I345" i="6"/>
  <c r="A353" i="8"/>
  <c r="G353" i="7"/>
  <c r="F353" i="7"/>
  <c r="M353" i="7"/>
  <c r="E353" i="7"/>
  <c r="L353" i="7"/>
  <c r="D353" i="7"/>
  <c r="K353" i="7"/>
  <c r="C353" i="7"/>
  <c r="J353" i="7"/>
  <c r="I353" i="7"/>
  <c r="I353" i="6"/>
  <c r="A361" i="8"/>
  <c r="G361" i="7"/>
  <c r="F361" i="7"/>
  <c r="M361" i="7"/>
  <c r="E361" i="7"/>
  <c r="L361" i="7"/>
  <c r="D361" i="7"/>
  <c r="K361" i="7"/>
  <c r="C361" i="7"/>
  <c r="B361" i="7"/>
  <c r="I361" i="6"/>
  <c r="A369" i="8"/>
  <c r="G369" i="7"/>
  <c r="F369" i="7"/>
  <c r="M369" i="7"/>
  <c r="E369" i="7"/>
  <c r="L369" i="7"/>
  <c r="D369" i="7"/>
  <c r="K369" i="7"/>
  <c r="C369" i="7"/>
  <c r="H369" i="7"/>
  <c r="B369" i="7"/>
  <c r="I369" i="7"/>
  <c r="I369" i="6"/>
  <c r="A377" i="8"/>
  <c r="G377" i="7"/>
  <c r="F377" i="7"/>
  <c r="M377" i="7"/>
  <c r="E377" i="7"/>
  <c r="L377" i="7"/>
  <c r="D377" i="7"/>
  <c r="K377" i="7"/>
  <c r="C377" i="7"/>
  <c r="I377" i="7"/>
  <c r="H377" i="7"/>
  <c r="B377" i="7"/>
  <c r="J377" i="7"/>
  <c r="I377" i="6"/>
  <c r="A385" i="8"/>
  <c r="G385" i="7"/>
  <c r="F385" i="7"/>
  <c r="M385" i="7"/>
  <c r="E385" i="7"/>
  <c r="L385" i="7"/>
  <c r="D385" i="7"/>
  <c r="K385" i="7"/>
  <c r="C385" i="7"/>
  <c r="J385" i="7"/>
  <c r="I385" i="7"/>
  <c r="H385" i="7"/>
  <c r="B385" i="7"/>
  <c r="I385" i="6"/>
  <c r="A393" i="8"/>
  <c r="G393" i="7"/>
  <c r="F393" i="7"/>
  <c r="M393" i="7"/>
  <c r="E393" i="7"/>
  <c r="L393" i="7"/>
  <c r="D393" i="7"/>
  <c r="K393" i="7"/>
  <c r="C393" i="7"/>
  <c r="J393" i="7"/>
  <c r="I393" i="7"/>
  <c r="H393" i="7"/>
  <c r="B393" i="7"/>
  <c r="I393" i="6"/>
  <c r="I401" i="6"/>
  <c r="A409" i="8"/>
  <c r="G409" i="7"/>
  <c r="F409" i="7"/>
  <c r="M409" i="7"/>
  <c r="E409" i="7"/>
  <c r="L409" i="7"/>
  <c r="D409" i="7"/>
  <c r="K409" i="7"/>
  <c r="C409" i="7"/>
  <c r="J409" i="7"/>
  <c r="I409" i="7"/>
  <c r="I409" i="6"/>
  <c r="A417" i="8"/>
  <c r="G417" i="7"/>
  <c r="F417" i="7"/>
  <c r="M417" i="7"/>
  <c r="E417" i="7"/>
  <c r="L417" i="7"/>
  <c r="D417" i="7"/>
  <c r="K417" i="7"/>
  <c r="C417" i="7"/>
  <c r="J417" i="7"/>
  <c r="H417" i="7"/>
  <c r="B417" i="7"/>
  <c r="I417" i="6"/>
  <c r="A425" i="8"/>
  <c r="G425" i="7"/>
  <c r="F425" i="7"/>
  <c r="M425" i="7"/>
  <c r="E425" i="7"/>
  <c r="L425" i="7"/>
  <c r="D425" i="7"/>
  <c r="K425" i="7"/>
  <c r="C425" i="7"/>
  <c r="B425" i="7"/>
  <c r="J425" i="7"/>
  <c r="I425" i="7"/>
  <c r="H425" i="7"/>
  <c r="I425" i="6"/>
  <c r="A433" i="8"/>
  <c r="G433" i="7"/>
  <c r="F433" i="7"/>
  <c r="M433" i="7"/>
  <c r="E433" i="7"/>
  <c r="L433" i="7"/>
  <c r="D433" i="7"/>
  <c r="K433" i="7"/>
  <c r="C433" i="7"/>
  <c r="H433" i="7"/>
  <c r="B433" i="7"/>
  <c r="J433" i="7"/>
  <c r="I433" i="7"/>
  <c r="I433" i="6"/>
  <c r="A441" i="8"/>
  <c r="G441" i="7"/>
  <c r="F441" i="7"/>
  <c r="M441" i="7"/>
  <c r="E441" i="7"/>
  <c r="L441" i="7"/>
  <c r="D441" i="7"/>
  <c r="K441" i="7"/>
  <c r="C441" i="7"/>
  <c r="I441" i="7"/>
  <c r="H441" i="7"/>
  <c r="B441" i="7"/>
  <c r="J441" i="7"/>
  <c r="I441" i="6"/>
  <c r="A449" i="8"/>
  <c r="G449" i="7"/>
  <c r="F449" i="7"/>
  <c r="M449" i="7"/>
  <c r="E449" i="7"/>
  <c r="L449" i="7"/>
  <c r="D449" i="7"/>
  <c r="K449" i="7"/>
  <c r="C449" i="7"/>
  <c r="J449" i="7"/>
  <c r="I449" i="7"/>
  <c r="H449" i="7"/>
  <c r="B449" i="7"/>
  <c r="I449" i="6"/>
  <c r="I457" i="6"/>
  <c r="A465" i="8"/>
  <c r="G465" i="7"/>
  <c r="F465" i="7"/>
  <c r="M465" i="7"/>
  <c r="E465" i="7"/>
  <c r="L465" i="7"/>
  <c r="D465" i="7"/>
  <c r="K465" i="7"/>
  <c r="C465" i="7"/>
  <c r="J465" i="7"/>
  <c r="I465" i="7"/>
  <c r="H465" i="7"/>
  <c r="B465" i="7"/>
  <c r="I465" i="6"/>
  <c r="A473" i="8"/>
  <c r="G473" i="7"/>
  <c r="F473" i="7"/>
  <c r="M473" i="7"/>
  <c r="E473" i="7"/>
  <c r="L473" i="7"/>
  <c r="D473" i="7"/>
  <c r="K473" i="7"/>
  <c r="C473" i="7"/>
  <c r="J473" i="7"/>
  <c r="I473" i="7"/>
  <c r="H473" i="7"/>
  <c r="B473" i="7"/>
  <c r="I473" i="6"/>
  <c r="A481" i="8"/>
  <c r="G481" i="7"/>
  <c r="F481" i="7"/>
  <c r="M481" i="7"/>
  <c r="E481" i="7"/>
  <c r="L481" i="7"/>
  <c r="D481" i="7"/>
  <c r="K481" i="7"/>
  <c r="C481" i="7"/>
  <c r="J481" i="7"/>
  <c r="I481" i="7"/>
  <c r="H481" i="7"/>
  <c r="B481" i="7"/>
  <c r="I481" i="6"/>
  <c r="A489" i="8"/>
  <c r="G489" i="7"/>
  <c r="F489" i="7"/>
  <c r="M489" i="7"/>
  <c r="E489" i="7"/>
  <c r="L489" i="7"/>
  <c r="D489" i="7"/>
  <c r="K489" i="7"/>
  <c r="C489" i="7"/>
  <c r="B489" i="7"/>
  <c r="J489" i="7"/>
  <c r="I489" i="7"/>
  <c r="I489" i="6"/>
  <c r="A497" i="8"/>
  <c r="G497" i="7"/>
  <c r="F497" i="7"/>
  <c r="M497" i="7"/>
  <c r="E497" i="7"/>
  <c r="L497" i="7"/>
  <c r="D497" i="7"/>
  <c r="K497" i="7"/>
  <c r="C497" i="7"/>
  <c r="H497" i="7"/>
  <c r="B497" i="7"/>
  <c r="I497" i="6"/>
  <c r="A505" i="8"/>
  <c r="G505" i="7"/>
  <c r="F505" i="7"/>
  <c r="M505" i="7"/>
  <c r="E505" i="7"/>
  <c r="L505" i="7"/>
  <c r="D505" i="7"/>
  <c r="K505" i="7"/>
  <c r="C505" i="7"/>
  <c r="I505" i="7"/>
  <c r="H505" i="7"/>
  <c r="B505" i="7"/>
  <c r="I505" i="6"/>
  <c r="A513" i="8"/>
  <c r="G513" i="7"/>
  <c r="F513" i="7"/>
  <c r="M513" i="7"/>
  <c r="E513" i="7"/>
  <c r="L513" i="7"/>
  <c r="D513" i="7"/>
  <c r="K513" i="7"/>
  <c r="C513" i="7"/>
  <c r="J513" i="7"/>
  <c r="I513" i="7"/>
  <c r="H513" i="7"/>
  <c r="B513" i="7"/>
  <c r="I513" i="6"/>
  <c r="A521" i="8"/>
  <c r="G521" i="7"/>
  <c r="F521" i="7"/>
  <c r="M521" i="7"/>
  <c r="E521" i="7"/>
  <c r="L521" i="7"/>
  <c r="D521" i="7"/>
  <c r="K521" i="7"/>
  <c r="C521" i="7"/>
  <c r="J521" i="7"/>
  <c r="I521" i="7"/>
  <c r="H521" i="7"/>
  <c r="B521" i="7"/>
  <c r="I521" i="6"/>
  <c r="A529" i="8"/>
  <c r="G529" i="7"/>
  <c r="F529" i="7"/>
  <c r="M529" i="7"/>
  <c r="E529" i="7"/>
  <c r="L529" i="7"/>
  <c r="D529" i="7"/>
  <c r="K529" i="7"/>
  <c r="C529" i="7"/>
  <c r="J529" i="7"/>
  <c r="I529" i="7"/>
  <c r="H529" i="7"/>
  <c r="B529" i="7"/>
  <c r="I529" i="6"/>
  <c r="I537" i="6"/>
  <c r="A545" i="8"/>
  <c r="G545" i="7"/>
  <c r="F545" i="7"/>
  <c r="M545" i="7"/>
  <c r="E545" i="7"/>
  <c r="L545" i="7"/>
  <c r="D545" i="7"/>
  <c r="K545" i="7"/>
  <c r="C545" i="7"/>
  <c r="J545" i="7"/>
  <c r="I545" i="6"/>
  <c r="A553" i="8"/>
  <c r="G553" i="7"/>
  <c r="F553" i="7"/>
  <c r="M553" i="7"/>
  <c r="E553" i="7"/>
  <c r="L553" i="7"/>
  <c r="D553" i="7"/>
  <c r="K553" i="7"/>
  <c r="C553" i="7"/>
  <c r="B553" i="7"/>
  <c r="H553" i="7"/>
  <c r="I553" i="6"/>
  <c r="A561" i="8"/>
  <c r="G561" i="7"/>
  <c r="F561" i="7"/>
  <c r="M561" i="7"/>
  <c r="E561" i="7"/>
  <c r="L561" i="7"/>
  <c r="D561" i="7"/>
  <c r="K561" i="7"/>
  <c r="C561" i="7"/>
  <c r="H561" i="7"/>
  <c r="B561" i="7"/>
  <c r="J561" i="7"/>
  <c r="I561" i="7"/>
  <c r="I561" i="6"/>
  <c r="A569" i="8"/>
  <c r="G569" i="7"/>
  <c r="F569" i="7"/>
  <c r="M569" i="7"/>
  <c r="E569" i="7"/>
  <c r="L569" i="7"/>
  <c r="D569" i="7"/>
  <c r="K569" i="7"/>
  <c r="C569" i="7"/>
  <c r="I569" i="7"/>
  <c r="H569" i="7"/>
  <c r="B569" i="7"/>
  <c r="J569" i="7"/>
  <c r="I569" i="6"/>
  <c r="A577" i="8"/>
  <c r="G577" i="7"/>
  <c r="F577" i="7"/>
  <c r="M577" i="7"/>
  <c r="E577" i="7"/>
  <c r="L577" i="7"/>
  <c r="D577" i="7"/>
  <c r="K577" i="7"/>
  <c r="C577" i="7"/>
  <c r="J577" i="7"/>
  <c r="I577" i="7"/>
  <c r="H577" i="7"/>
  <c r="B577" i="7"/>
  <c r="I577" i="6"/>
  <c r="I585" i="6"/>
  <c r="I593" i="6"/>
  <c r="A601" i="8"/>
  <c r="G601" i="7"/>
  <c r="F601" i="7"/>
  <c r="M601" i="7"/>
  <c r="E601" i="7"/>
  <c r="L601" i="7"/>
  <c r="D601" i="7"/>
  <c r="K601" i="7"/>
  <c r="C601" i="7"/>
  <c r="J601" i="7"/>
  <c r="I601" i="7"/>
  <c r="B601" i="7"/>
  <c r="I601" i="6"/>
  <c r="A609" i="8"/>
  <c r="G609" i="7"/>
  <c r="F609" i="7"/>
  <c r="M609" i="7"/>
  <c r="E609" i="7"/>
  <c r="L609" i="7"/>
  <c r="D609" i="7"/>
  <c r="K609" i="7"/>
  <c r="C609" i="7"/>
  <c r="J609" i="7"/>
  <c r="I609" i="7"/>
  <c r="H609" i="7"/>
  <c r="B609" i="7"/>
  <c r="I609" i="6"/>
  <c r="A617" i="8"/>
  <c r="G617" i="7"/>
  <c r="F617" i="7"/>
  <c r="M617" i="7"/>
  <c r="E617" i="7"/>
  <c r="L617" i="7"/>
  <c r="D617" i="7"/>
  <c r="K617" i="7"/>
  <c r="C617" i="7"/>
  <c r="B617" i="7"/>
  <c r="J617" i="7"/>
  <c r="I617" i="7"/>
  <c r="H617" i="7"/>
  <c r="I617" i="6"/>
  <c r="A625" i="8"/>
  <c r="G625" i="7"/>
  <c r="F625" i="7"/>
  <c r="M625" i="7"/>
  <c r="E625" i="7"/>
  <c r="L625" i="7"/>
  <c r="D625" i="7"/>
  <c r="K625" i="7"/>
  <c r="C625" i="7"/>
  <c r="H625" i="7"/>
  <c r="B625" i="7"/>
  <c r="J625" i="7"/>
  <c r="I625" i="7"/>
  <c r="I625" i="6"/>
  <c r="A633" i="8"/>
  <c r="G633" i="7"/>
  <c r="F633" i="7"/>
  <c r="M633" i="7"/>
  <c r="E633" i="7"/>
  <c r="L633" i="7"/>
  <c r="D633" i="7"/>
  <c r="K633" i="7"/>
  <c r="C633" i="7"/>
  <c r="I633" i="7"/>
  <c r="H633" i="7"/>
  <c r="B633" i="7"/>
  <c r="I633" i="6"/>
  <c r="A641" i="8"/>
  <c r="G641" i="7"/>
  <c r="F641" i="7"/>
  <c r="M641" i="7"/>
  <c r="E641" i="7"/>
  <c r="L641" i="7"/>
  <c r="D641" i="7"/>
  <c r="K641" i="7"/>
  <c r="C641" i="7"/>
  <c r="J641" i="7"/>
  <c r="I641" i="7"/>
  <c r="H641" i="7"/>
  <c r="B641" i="7"/>
  <c r="I641" i="6"/>
  <c r="A649" i="8"/>
  <c r="G649" i="7"/>
  <c r="F649" i="7"/>
  <c r="M649" i="7"/>
  <c r="E649" i="7"/>
  <c r="L649" i="7"/>
  <c r="D649" i="7"/>
  <c r="K649" i="7"/>
  <c r="C649" i="7"/>
  <c r="J649" i="7"/>
  <c r="I649" i="7"/>
  <c r="H649" i="7"/>
  <c r="B649" i="7"/>
  <c r="I649" i="6"/>
  <c r="A657" i="8"/>
  <c r="G657" i="7"/>
  <c r="F657" i="7"/>
  <c r="M657" i="7"/>
  <c r="E657" i="7"/>
  <c r="L657" i="7"/>
  <c r="D657" i="7"/>
  <c r="K657" i="7"/>
  <c r="C657" i="7"/>
  <c r="J657" i="7"/>
  <c r="I657" i="7"/>
  <c r="H657" i="7"/>
  <c r="B657" i="7"/>
  <c r="I657" i="6"/>
  <c r="A665" i="8"/>
  <c r="K665" i="7"/>
  <c r="J665" i="7"/>
  <c r="B665" i="7"/>
  <c r="I665" i="7"/>
  <c r="E665" i="7"/>
  <c r="D665" i="7"/>
  <c r="C665" i="7"/>
  <c r="M665" i="7"/>
  <c r="L665" i="7"/>
  <c r="F665" i="7"/>
  <c r="H665" i="7"/>
  <c r="G665" i="7"/>
  <c r="I665" i="6"/>
  <c r="A673" i="8"/>
  <c r="L673" i="7"/>
  <c r="D673" i="7"/>
  <c r="K673" i="7"/>
  <c r="C673" i="7"/>
  <c r="J673" i="7"/>
  <c r="B673" i="7"/>
  <c r="I673" i="7"/>
  <c r="H673" i="7"/>
  <c r="G673" i="7"/>
  <c r="F673" i="7"/>
  <c r="E673" i="7"/>
  <c r="M673" i="7"/>
  <c r="I673" i="6"/>
  <c r="B676" i="6"/>
  <c r="J676" i="6"/>
  <c r="A681" i="8"/>
  <c r="L681" i="7"/>
  <c r="D681" i="7"/>
  <c r="K681" i="7"/>
  <c r="C681" i="7"/>
  <c r="J681" i="7"/>
  <c r="B681" i="7"/>
  <c r="I681" i="7"/>
  <c r="M681" i="7"/>
  <c r="H681" i="7"/>
  <c r="F681" i="7"/>
  <c r="E681" i="7"/>
  <c r="I681" i="6"/>
  <c r="B684" i="6"/>
  <c r="J684" i="6"/>
  <c r="A689" i="8"/>
  <c r="L689" i="7"/>
  <c r="D689" i="7"/>
  <c r="K689" i="7"/>
  <c r="C689" i="7"/>
  <c r="J689" i="7"/>
  <c r="B689" i="7"/>
  <c r="I689" i="7"/>
  <c r="H689" i="7"/>
  <c r="G689" i="7"/>
  <c r="F689" i="7"/>
  <c r="E689" i="7"/>
  <c r="M689" i="7"/>
  <c r="I689" i="6"/>
  <c r="B692" i="6"/>
  <c r="J692" i="6"/>
  <c r="A697" i="8"/>
  <c r="M697" i="7"/>
  <c r="E697" i="7"/>
  <c r="L697" i="7"/>
  <c r="D697" i="7"/>
  <c r="K697" i="7"/>
  <c r="C697" i="7"/>
  <c r="J697" i="7"/>
  <c r="B697" i="7"/>
  <c r="I697" i="7"/>
  <c r="H697" i="7"/>
  <c r="G697" i="7"/>
  <c r="F697" i="7"/>
  <c r="I697" i="6"/>
  <c r="B700" i="6"/>
  <c r="J700" i="6"/>
  <c r="A705" i="8"/>
  <c r="M705" i="7"/>
  <c r="E705" i="7"/>
  <c r="L705" i="7"/>
  <c r="D705" i="7"/>
  <c r="K705" i="7"/>
  <c r="C705" i="7"/>
  <c r="J705" i="7"/>
  <c r="B705" i="7"/>
  <c r="I705" i="7"/>
  <c r="H705" i="7"/>
  <c r="G705" i="7"/>
  <c r="F705" i="7"/>
  <c r="I705" i="6"/>
  <c r="B708" i="6"/>
  <c r="J708" i="6"/>
  <c r="A713" i="8"/>
  <c r="M713" i="7"/>
  <c r="E713" i="7"/>
  <c r="L713" i="7"/>
  <c r="D713" i="7"/>
  <c r="K713" i="7"/>
  <c r="C713" i="7"/>
  <c r="J713" i="7"/>
  <c r="B713" i="7"/>
  <c r="I713" i="7"/>
  <c r="H713" i="7"/>
  <c r="G713" i="7"/>
  <c r="F713" i="7"/>
  <c r="I713" i="6"/>
  <c r="B716" i="6"/>
  <c r="J716" i="6"/>
  <c r="A721" i="8"/>
  <c r="M721" i="7"/>
  <c r="E721" i="7"/>
  <c r="L721" i="7"/>
  <c r="D721" i="7"/>
  <c r="K721" i="7"/>
  <c r="C721" i="7"/>
  <c r="J721" i="7"/>
  <c r="B721" i="7"/>
  <c r="I721" i="7"/>
  <c r="F721" i="7"/>
  <c r="I721" i="6"/>
  <c r="B724" i="6"/>
  <c r="J724" i="6"/>
  <c r="A729" i="8"/>
  <c r="M729" i="7"/>
  <c r="E729" i="7"/>
  <c r="L729" i="7"/>
  <c r="D729" i="7"/>
  <c r="K729" i="7"/>
  <c r="C729" i="7"/>
  <c r="J729" i="7"/>
  <c r="B729" i="7"/>
  <c r="I729" i="7"/>
  <c r="F729" i="7"/>
  <c r="H729" i="7"/>
  <c r="G729" i="7"/>
  <c r="I729" i="6"/>
  <c r="B732" i="6"/>
  <c r="J732" i="6"/>
  <c r="A737" i="8"/>
  <c r="M737" i="7"/>
  <c r="E737" i="7"/>
  <c r="L737" i="7"/>
  <c r="D737" i="7"/>
  <c r="K737" i="7"/>
  <c r="C737" i="7"/>
  <c r="J737" i="7"/>
  <c r="B737" i="7"/>
  <c r="I737" i="7"/>
  <c r="G737" i="7"/>
  <c r="F737" i="7"/>
  <c r="H737" i="7"/>
  <c r="I737" i="6"/>
  <c r="B740" i="6"/>
  <c r="J740" i="6"/>
  <c r="A745" i="8"/>
  <c r="M745" i="7"/>
  <c r="E745" i="7"/>
  <c r="L745" i="7"/>
  <c r="D745" i="7"/>
  <c r="K745" i="7"/>
  <c r="C745" i="7"/>
  <c r="J745" i="7"/>
  <c r="B745" i="7"/>
  <c r="I745" i="7"/>
  <c r="H745" i="7"/>
  <c r="G745" i="7"/>
  <c r="F745" i="7"/>
  <c r="I745" i="6"/>
  <c r="B748" i="6"/>
  <c r="J748" i="6"/>
  <c r="A753" i="8"/>
  <c r="M753" i="7"/>
  <c r="E753" i="7"/>
  <c r="L753" i="7"/>
  <c r="D753" i="7"/>
  <c r="K753" i="7"/>
  <c r="C753" i="7"/>
  <c r="J753" i="7"/>
  <c r="B753" i="7"/>
  <c r="I753" i="7"/>
  <c r="H753" i="7"/>
  <c r="G753" i="7"/>
  <c r="F753" i="7"/>
  <c r="I753" i="6"/>
  <c r="B756" i="6"/>
  <c r="J756" i="6"/>
  <c r="A761" i="8"/>
  <c r="M761" i="7"/>
  <c r="E761" i="7"/>
  <c r="L761" i="7"/>
  <c r="D761" i="7"/>
  <c r="K761" i="7"/>
  <c r="C761" i="7"/>
  <c r="J761" i="7"/>
  <c r="B761" i="7"/>
  <c r="I761" i="7"/>
  <c r="H761" i="7"/>
  <c r="G761" i="7"/>
  <c r="F761" i="7"/>
  <c r="I761" i="6"/>
  <c r="B764" i="6"/>
  <c r="J764" i="6"/>
  <c r="A769" i="8"/>
  <c r="M769" i="7"/>
  <c r="E769" i="7"/>
  <c r="L769" i="7"/>
  <c r="D769" i="7"/>
  <c r="K769" i="7"/>
  <c r="C769" i="7"/>
  <c r="J769" i="7"/>
  <c r="B769" i="7"/>
  <c r="I769" i="7"/>
  <c r="H769" i="7"/>
  <c r="G769" i="7"/>
  <c r="I769" i="6"/>
  <c r="B772" i="6"/>
  <c r="J772" i="6"/>
  <c r="A777" i="8"/>
  <c r="M777" i="7"/>
  <c r="E777" i="7"/>
  <c r="L777" i="7"/>
  <c r="D777" i="7"/>
  <c r="K777" i="7"/>
  <c r="C777" i="7"/>
  <c r="J777" i="7"/>
  <c r="B777" i="7"/>
  <c r="I777" i="7"/>
  <c r="H777" i="7"/>
  <c r="G777" i="7"/>
  <c r="F777" i="7"/>
  <c r="I777" i="6"/>
  <c r="B780" i="6"/>
  <c r="J780" i="6"/>
  <c r="A785" i="8"/>
  <c r="M785" i="7"/>
  <c r="E785" i="7"/>
  <c r="L785" i="7"/>
  <c r="D785" i="7"/>
  <c r="K785" i="7"/>
  <c r="C785" i="7"/>
  <c r="J785" i="7"/>
  <c r="B785" i="7"/>
  <c r="I785" i="7"/>
  <c r="H785" i="7"/>
  <c r="G785" i="7"/>
  <c r="F785" i="7"/>
  <c r="I785" i="6"/>
  <c r="B788" i="6"/>
  <c r="J788" i="6"/>
  <c r="H790" i="6"/>
  <c r="G792" i="6"/>
  <c r="A796" i="7"/>
  <c r="F796" i="6"/>
  <c r="J796" i="6"/>
  <c r="A798" i="7"/>
  <c r="L798" i="6"/>
  <c r="D798" i="6"/>
  <c r="J798" i="6"/>
  <c r="F799" i="6"/>
  <c r="C800" i="6"/>
  <c r="L800" i="6"/>
  <c r="B803" i="6"/>
  <c r="M803" i="6"/>
  <c r="A806" i="7"/>
  <c r="G806" i="6"/>
  <c r="L806" i="6"/>
  <c r="D806" i="6"/>
  <c r="K806" i="6"/>
  <c r="B810" i="6"/>
  <c r="M810" i="6"/>
  <c r="I817" i="6"/>
  <c r="I818" i="6"/>
  <c r="I822" i="6"/>
  <c r="I823" i="6"/>
  <c r="A851" i="7"/>
  <c r="F851" i="6"/>
  <c r="L851" i="6"/>
  <c r="D851" i="6"/>
  <c r="K851" i="6"/>
  <c r="C851" i="6"/>
  <c r="J851" i="6"/>
  <c r="B851" i="6"/>
  <c r="K855" i="6"/>
  <c r="J857" i="6"/>
  <c r="B862" i="6"/>
  <c r="C871" i="6"/>
  <c r="B873" i="6"/>
  <c r="A883" i="7"/>
  <c r="F883" i="6"/>
  <c r="L883" i="6"/>
  <c r="D883" i="6"/>
  <c r="K883" i="6"/>
  <c r="C883" i="6"/>
  <c r="J883" i="6"/>
  <c r="B883" i="6"/>
  <c r="K887" i="6"/>
  <c r="J889" i="6"/>
  <c r="B905" i="6"/>
  <c r="B910" i="6"/>
  <c r="B921" i="6"/>
  <c r="B926" i="6"/>
  <c r="B937" i="6"/>
  <c r="B942" i="6"/>
  <c r="B953" i="6"/>
  <c r="B958" i="6"/>
  <c r="A979" i="7"/>
  <c r="F979" i="6"/>
  <c r="M979" i="6"/>
  <c r="E979" i="6"/>
  <c r="L979" i="6"/>
  <c r="D979" i="6"/>
  <c r="K979" i="6"/>
  <c r="C979" i="6"/>
  <c r="J979" i="6"/>
  <c r="B979" i="6"/>
  <c r="A993" i="7"/>
  <c r="H993" i="6"/>
  <c r="G993" i="6"/>
  <c r="F993" i="6"/>
  <c r="M993" i="6"/>
  <c r="E993" i="6"/>
  <c r="L993" i="6"/>
  <c r="D993" i="6"/>
  <c r="A206" i="7"/>
  <c r="A219" i="7"/>
  <c r="H227" i="7"/>
  <c r="F245" i="7"/>
  <c r="E293" i="7"/>
  <c r="J361" i="7"/>
  <c r="H409" i="7"/>
  <c r="D445" i="7"/>
  <c r="A457" i="7"/>
  <c r="A550" i="7"/>
  <c r="L597" i="7"/>
  <c r="F632" i="7"/>
  <c r="H721" i="7"/>
  <c r="A756" i="7"/>
  <c r="A118" i="8"/>
  <c r="G118" i="7"/>
  <c r="M118" i="7"/>
  <c r="E118" i="7"/>
  <c r="L118" i="7"/>
  <c r="D118" i="7"/>
  <c r="K118" i="7"/>
  <c r="C118" i="7"/>
  <c r="J118" i="7"/>
  <c r="I118" i="7"/>
  <c r="I118" i="6"/>
  <c r="A126" i="8"/>
  <c r="G126" i="7"/>
  <c r="M126" i="7"/>
  <c r="E126" i="7"/>
  <c r="L126" i="7"/>
  <c r="D126" i="7"/>
  <c r="K126" i="7"/>
  <c r="C126" i="7"/>
  <c r="I126" i="7"/>
  <c r="H126" i="7"/>
  <c r="F126" i="7"/>
  <c r="B126" i="7"/>
  <c r="I126" i="6"/>
  <c r="I134" i="6"/>
  <c r="I142" i="6"/>
  <c r="A150" i="8"/>
  <c r="G150" i="7"/>
  <c r="F150" i="7"/>
  <c r="M150" i="7"/>
  <c r="E150" i="7"/>
  <c r="L150" i="7"/>
  <c r="D150" i="7"/>
  <c r="K150" i="7"/>
  <c r="C150" i="7"/>
  <c r="J150" i="7"/>
  <c r="I150" i="6"/>
  <c r="A158" i="8"/>
  <c r="G158" i="7"/>
  <c r="F158" i="7"/>
  <c r="M158" i="7"/>
  <c r="E158" i="7"/>
  <c r="L158" i="7"/>
  <c r="D158" i="7"/>
  <c r="K158" i="7"/>
  <c r="C158" i="7"/>
  <c r="B158" i="7"/>
  <c r="I158" i="6"/>
  <c r="A166" i="8"/>
  <c r="G166" i="7"/>
  <c r="F166" i="7"/>
  <c r="M166" i="7"/>
  <c r="E166" i="7"/>
  <c r="L166" i="7"/>
  <c r="D166" i="7"/>
  <c r="K166" i="7"/>
  <c r="C166" i="7"/>
  <c r="H166" i="7"/>
  <c r="B166" i="7"/>
  <c r="I166" i="6"/>
  <c r="A174" i="8"/>
  <c r="G174" i="7"/>
  <c r="F174" i="7"/>
  <c r="M174" i="7"/>
  <c r="E174" i="7"/>
  <c r="L174" i="7"/>
  <c r="D174" i="7"/>
  <c r="K174" i="7"/>
  <c r="C174" i="7"/>
  <c r="I174" i="7"/>
  <c r="H174" i="7"/>
  <c r="B174" i="7"/>
  <c r="I174" i="6"/>
  <c r="A182" i="8"/>
  <c r="G182" i="7"/>
  <c r="F182" i="7"/>
  <c r="M182" i="7"/>
  <c r="E182" i="7"/>
  <c r="L182" i="7"/>
  <c r="D182" i="7"/>
  <c r="K182" i="7"/>
  <c r="C182" i="7"/>
  <c r="J182" i="7"/>
  <c r="I182" i="7"/>
  <c r="H182" i="7"/>
  <c r="B182" i="7"/>
  <c r="I182" i="6"/>
  <c r="I190" i="6"/>
  <c r="I198" i="6"/>
  <c r="I206" i="6"/>
  <c r="A214" i="8"/>
  <c r="G214" i="7"/>
  <c r="F214" i="7"/>
  <c r="M214" i="7"/>
  <c r="E214" i="7"/>
  <c r="L214" i="7"/>
  <c r="D214" i="7"/>
  <c r="K214" i="7"/>
  <c r="C214" i="7"/>
  <c r="J214" i="7"/>
  <c r="I214" i="6"/>
  <c r="A222" i="8"/>
  <c r="G222" i="7"/>
  <c r="F222" i="7"/>
  <c r="M222" i="7"/>
  <c r="E222" i="7"/>
  <c r="L222" i="7"/>
  <c r="D222" i="7"/>
  <c r="K222" i="7"/>
  <c r="C222" i="7"/>
  <c r="B222" i="7"/>
  <c r="I222" i="6"/>
  <c r="A230" i="8"/>
  <c r="G230" i="7"/>
  <c r="F230" i="7"/>
  <c r="M230" i="7"/>
  <c r="E230" i="7"/>
  <c r="L230" i="7"/>
  <c r="D230" i="7"/>
  <c r="K230" i="7"/>
  <c r="C230" i="7"/>
  <c r="H230" i="7"/>
  <c r="B230" i="7"/>
  <c r="I230" i="6"/>
  <c r="A238" i="8"/>
  <c r="G238" i="7"/>
  <c r="F238" i="7"/>
  <c r="M238" i="7"/>
  <c r="E238" i="7"/>
  <c r="L238" i="7"/>
  <c r="D238" i="7"/>
  <c r="K238" i="7"/>
  <c r="C238" i="7"/>
  <c r="I238" i="7"/>
  <c r="H238" i="7"/>
  <c r="B238" i="7"/>
  <c r="I238" i="6"/>
  <c r="A246" i="8"/>
  <c r="G246" i="7"/>
  <c r="F246" i="7"/>
  <c r="M246" i="7"/>
  <c r="E246" i="7"/>
  <c r="L246" i="7"/>
  <c r="D246" i="7"/>
  <c r="K246" i="7"/>
  <c r="C246" i="7"/>
  <c r="J246" i="7"/>
  <c r="I246" i="7"/>
  <c r="H246" i="7"/>
  <c r="B246" i="7"/>
  <c r="I246" i="6"/>
  <c r="G248" i="6"/>
  <c r="I254" i="6"/>
  <c r="G256" i="6"/>
  <c r="I262" i="6"/>
  <c r="G264" i="6"/>
  <c r="I270" i="6"/>
  <c r="G272" i="6"/>
  <c r="A278" i="8"/>
  <c r="G278" i="7"/>
  <c r="F278" i="7"/>
  <c r="M278" i="7"/>
  <c r="E278" i="7"/>
  <c r="L278" i="7"/>
  <c r="D278" i="7"/>
  <c r="K278" i="7"/>
  <c r="C278" i="7"/>
  <c r="J278" i="7"/>
  <c r="I278" i="6"/>
  <c r="G280" i="6"/>
  <c r="A286" i="8"/>
  <c r="G286" i="7"/>
  <c r="F286" i="7"/>
  <c r="M286" i="7"/>
  <c r="E286" i="7"/>
  <c r="L286" i="7"/>
  <c r="D286" i="7"/>
  <c r="K286" i="7"/>
  <c r="C286" i="7"/>
  <c r="B286" i="7"/>
  <c r="I286" i="6"/>
  <c r="G288" i="6"/>
  <c r="A294" i="8"/>
  <c r="G294" i="7"/>
  <c r="F294" i="7"/>
  <c r="M294" i="7"/>
  <c r="E294" i="7"/>
  <c r="L294" i="7"/>
  <c r="D294" i="7"/>
  <c r="K294" i="7"/>
  <c r="C294" i="7"/>
  <c r="H294" i="7"/>
  <c r="B294" i="7"/>
  <c r="I294" i="6"/>
  <c r="G296" i="6"/>
  <c r="A302" i="8"/>
  <c r="G302" i="7"/>
  <c r="F302" i="7"/>
  <c r="M302" i="7"/>
  <c r="E302" i="7"/>
  <c r="L302" i="7"/>
  <c r="D302" i="7"/>
  <c r="K302" i="7"/>
  <c r="C302" i="7"/>
  <c r="I302" i="7"/>
  <c r="H302" i="7"/>
  <c r="B302" i="7"/>
  <c r="I302" i="6"/>
  <c r="G304" i="6"/>
  <c r="A310" i="8"/>
  <c r="G310" i="7"/>
  <c r="F310" i="7"/>
  <c r="M310" i="7"/>
  <c r="E310" i="7"/>
  <c r="L310" i="7"/>
  <c r="D310" i="7"/>
  <c r="K310" i="7"/>
  <c r="C310" i="7"/>
  <c r="J310" i="7"/>
  <c r="I310" i="7"/>
  <c r="H310" i="7"/>
  <c r="B310" i="7"/>
  <c r="I310" i="6"/>
  <c r="G312" i="6"/>
  <c r="I318" i="6"/>
  <c r="G320" i="6"/>
  <c r="I326" i="6"/>
  <c r="G328" i="6"/>
  <c r="A334" i="8"/>
  <c r="F334" i="7"/>
  <c r="M334" i="7"/>
  <c r="E334" i="7"/>
  <c r="L334" i="7"/>
  <c r="D334" i="7"/>
  <c r="K334" i="7"/>
  <c r="C334" i="7"/>
  <c r="J334" i="7"/>
  <c r="B334" i="7"/>
  <c r="I334" i="7"/>
  <c r="H334" i="7"/>
  <c r="G334" i="7"/>
  <c r="I334" i="6"/>
  <c r="G336" i="6"/>
  <c r="A342" i="8"/>
  <c r="F342" i="7"/>
  <c r="M342" i="7"/>
  <c r="E342" i="7"/>
  <c r="L342" i="7"/>
  <c r="D342" i="7"/>
  <c r="K342" i="7"/>
  <c r="C342" i="7"/>
  <c r="J342" i="7"/>
  <c r="B342" i="7"/>
  <c r="I342" i="7"/>
  <c r="H342" i="7"/>
  <c r="G342" i="7"/>
  <c r="I342" i="6"/>
  <c r="G344" i="6"/>
  <c r="B345" i="6"/>
  <c r="J345" i="6"/>
  <c r="A350" i="8"/>
  <c r="F350" i="7"/>
  <c r="M350" i="7"/>
  <c r="E350" i="7"/>
  <c r="L350" i="7"/>
  <c r="D350" i="7"/>
  <c r="K350" i="7"/>
  <c r="C350" i="7"/>
  <c r="J350" i="7"/>
  <c r="B350" i="7"/>
  <c r="I350" i="7"/>
  <c r="H350" i="7"/>
  <c r="G350" i="7"/>
  <c r="I350" i="6"/>
  <c r="G352" i="6"/>
  <c r="B353" i="6"/>
  <c r="J353" i="6"/>
  <c r="I358" i="6"/>
  <c r="G360" i="6"/>
  <c r="B361" i="6"/>
  <c r="J361" i="6"/>
  <c r="A366" i="8"/>
  <c r="F366" i="7"/>
  <c r="M366" i="7"/>
  <c r="E366" i="7"/>
  <c r="L366" i="7"/>
  <c r="D366" i="7"/>
  <c r="K366" i="7"/>
  <c r="C366" i="7"/>
  <c r="J366" i="7"/>
  <c r="B366" i="7"/>
  <c r="I366" i="7"/>
  <c r="I366" i="6"/>
  <c r="G368" i="6"/>
  <c r="B369" i="6"/>
  <c r="J369" i="6"/>
  <c r="A374" i="8"/>
  <c r="F374" i="7"/>
  <c r="M374" i="7"/>
  <c r="E374" i="7"/>
  <c r="L374" i="7"/>
  <c r="D374" i="7"/>
  <c r="K374" i="7"/>
  <c r="C374" i="7"/>
  <c r="J374" i="7"/>
  <c r="B374" i="7"/>
  <c r="G374" i="7"/>
  <c r="I374" i="6"/>
  <c r="G376" i="6"/>
  <c r="B377" i="6"/>
  <c r="J377" i="6"/>
  <c r="A382" i="8"/>
  <c r="F382" i="7"/>
  <c r="M382" i="7"/>
  <c r="E382" i="7"/>
  <c r="L382" i="7"/>
  <c r="D382" i="7"/>
  <c r="K382" i="7"/>
  <c r="C382" i="7"/>
  <c r="J382" i="7"/>
  <c r="B382" i="7"/>
  <c r="H382" i="7"/>
  <c r="G382" i="7"/>
  <c r="I382" i="7"/>
  <c r="I382" i="6"/>
  <c r="G384" i="6"/>
  <c r="B385" i="6"/>
  <c r="J385" i="6"/>
  <c r="A390" i="8"/>
  <c r="F390" i="7"/>
  <c r="M390" i="7"/>
  <c r="E390" i="7"/>
  <c r="L390" i="7"/>
  <c r="D390" i="7"/>
  <c r="K390" i="7"/>
  <c r="C390" i="7"/>
  <c r="J390" i="7"/>
  <c r="B390" i="7"/>
  <c r="I390" i="7"/>
  <c r="H390" i="7"/>
  <c r="G390" i="7"/>
  <c r="I390" i="6"/>
  <c r="G392" i="6"/>
  <c r="B393" i="6"/>
  <c r="J393" i="6"/>
  <c r="A398" i="8"/>
  <c r="F398" i="7"/>
  <c r="M398" i="7"/>
  <c r="E398" i="7"/>
  <c r="L398" i="7"/>
  <c r="D398" i="7"/>
  <c r="K398" i="7"/>
  <c r="C398" i="7"/>
  <c r="J398" i="7"/>
  <c r="B398" i="7"/>
  <c r="I398" i="7"/>
  <c r="H398" i="7"/>
  <c r="G398" i="7"/>
  <c r="I398" i="6"/>
  <c r="G400" i="6"/>
  <c r="B401" i="6"/>
  <c r="J401" i="6"/>
  <c r="A406" i="8"/>
  <c r="F406" i="7"/>
  <c r="M406" i="7"/>
  <c r="E406" i="7"/>
  <c r="L406" i="7"/>
  <c r="D406" i="7"/>
  <c r="K406" i="7"/>
  <c r="C406" i="7"/>
  <c r="J406" i="7"/>
  <c r="B406" i="7"/>
  <c r="I406" i="7"/>
  <c r="H406" i="7"/>
  <c r="G406" i="7"/>
  <c r="I406" i="6"/>
  <c r="G408" i="6"/>
  <c r="B409" i="6"/>
  <c r="J409" i="6"/>
  <c r="I414" i="6"/>
  <c r="G416" i="6"/>
  <c r="B417" i="6"/>
  <c r="J417" i="6"/>
  <c r="A422" i="8"/>
  <c r="F422" i="7"/>
  <c r="M422" i="7"/>
  <c r="E422" i="7"/>
  <c r="L422" i="7"/>
  <c r="D422" i="7"/>
  <c r="K422" i="7"/>
  <c r="C422" i="7"/>
  <c r="J422" i="7"/>
  <c r="B422" i="7"/>
  <c r="I422" i="7"/>
  <c r="I422" i="6"/>
  <c r="G424" i="6"/>
  <c r="B425" i="6"/>
  <c r="J425" i="6"/>
  <c r="A430" i="8"/>
  <c r="F430" i="7"/>
  <c r="M430" i="7"/>
  <c r="E430" i="7"/>
  <c r="L430" i="7"/>
  <c r="D430" i="7"/>
  <c r="K430" i="7"/>
  <c r="C430" i="7"/>
  <c r="J430" i="7"/>
  <c r="B430" i="7"/>
  <c r="H430" i="7"/>
  <c r="G430" i="7"/>
  <c r="I430" i="6"/>
  <c r="G432" i="6"/>
  <c r="B433" i="6"/>
  <c r="J433" i="6"/>
  <c r="A438" i="8"/>
  <c r="F438" i="7"/>
  <c r="M438" i="7"/>
  <c r="E438" i="7"/>
  <c r="L438" i="7"/>
  <c r="D438" i="7"/>
  <c r="K438" i="7"/>
  <c r="C438" i="7"/>
  <c r="J438" i="7"/>
  <c r="B438" i="7"/>
  <c r="G438" i="7"/>
  <c r="I438" i="7"/>
  <c r="H438" i="7"/>
  <c r="I438" i="6"/>
  <c r="G440" i="6"/>
  <c r="B441" i="6"/>
  <c r="J441" i="6"/>
  <c r="A446" i="8"/>
  <c r="F446" i="7"/>
  <c r="M446" i="7"/>
  <c r="E446" i="7"/>
  <c r="L446" i="7"/>
  <c r="D446" i="7"/>
  <c r="K446" i="7"/>
  <c r="C446" i="7"/>
  <c r="J446" i="7"/>
  <c r="B446" i="7"/>
  <c r="H446" i="7"/>
  <c r="G446" i="7"/>
  <c r="I446" i="7"/>
  <c r="I446" i="6"/>
  <c r="G448" i="6"/>
  <c r="B449" i="6"/>
  <c r="J449" i="6"/>
  <c r="A454" i="8"/>
  <c r="F454" i="7"/>
  <c r="M454" i="7"/>
  <c r="E454" i="7"/>
  <c r="L454" i="7"/>
  <c r="D454" i="7"/>
  <c r="K454" i="7"/>
  <c r="C454" i="7"/>
  <c r="J454" i="7"/>
  <c r="B454" i="7"/>
  <c r="I454" i="7"/>
  <c r="H454" i="7"/>
  <c r="G454" i="7"/>
  <c r="I454" i="6"/>
  <c r="G456" i="6"/>
  <c r="B457" i="6"/>
  <c r="J457" i="6"/>
  <c r="A462" i="8"/>
  <c r="F462" i="7"/>
  <c r="M462" i="7"/>
  <c r="E462" i="7"/>
  <c r="L462" i="7"/>
  <c r="D462" i="7"/>
  <c r="K462" i="7"/>
  <c r="C462" i="7"/>
  <c r="J462" i="7"/>
  <c r="B462" i="7"/>
  <c r="I462" i="7"/>
  <c r="H462" i="7"/>
  <c r="G462" i="7"/>
  <c r="I462" i="6"/>
  <c r="G464" i="6"/>
  <c r="B465" i="6"/>
  <c r="J465" i="6"/>
  <c r="I470" i="6"/>
  <c r="G472" i="6"/>
  <c r="B473" i="6"/>
  <c r="J473" i="6"/>
  <c r="A478" i="8"/>
  <c r="F478" i="7"/>
  <c r="M478" i="7"/>
  <c r="E478" i="7"/>
  <c r="L478" i="7"/>
  <c r="D478" i="7"/>
  <c r="K478" i="7"/>
  <c r="C478" i="7"/>
  <c r="J478" i="7"/>
  <c r="B478" i="7"/>
  <c r="I478" i="7"/>
  <c r="H478" i="7"/>
  <c r="G478" i="7"/>
  <c r="I478" i="6"/>
  <c r="G480" i="6"/>
  <c r="B481" i="6"/>
  <c r="J481" i="6"/>
  <c r="A486" i="8"/>
  <c r="F486" i="7"/>
  <c r="M486" i="7"/>
  <c r="E486" i="7"/>
  <c r="L486" i="7"/>
  <c r="D486" i="7"/>
  <c r="K486" i="7"/>
  <c r="C486" i="7"/>
  <c r="J486" i="7"/>
  <c r="B486" i="7"/>
  <c r="I486" i="7"/>
  <c r="H486" i="7"/>
  <c r="G486" i="7"/>
  <c r="I486" i="6"/>
  <c r="G488" i="6"/>
  <c r="B489" i="6"/>
  <c r="J489" i="6"/>
  <c r="A494" i="8"/>
  <c r="F494" i="7"/>
  <c r="M494" i="7"/>
  <c r="E494" i="7"/>
  <c r="L494" i="7"/>
  <c r="D494" i="7"/>
  <c r="K494" i="7"/>
  <c r="C494" i="7"/>
  <c r="J494" i="7"/>
  <c r="B494" i="7"/>
  <c r="I494" i="7"/>
  <c r="H494" i="7"/>
  <c r="G494" i="7"/>
  <c r="I494" i="6"/>
  <c r="G496" i="6"/>
  <c r="B497" i="6"/>
  <c r="J497" i="6"/>
  <c r="A502" i="8"/>
  <c r="F502" i="7"/>
  <c r="M502" i="7"/>
  <c r="E502" i="7"/>
  <c r="L502" i="7"/>
  <c r="D502" i="7"/>
  <c r="K502" i="7"/>
  <c r="C502" i="7"/>
  <c r="J502" i="7"/>
  <c r="B502" i="7"/>
  <c r="G502" i="7"/>
  <c r="I502" i="7"/>
  <c r="I502" i="6"/>
  <c r="G504" i="6"/>
  <c r="B505" i="6"/>
  <c r="J505" i="6"/>
  <c r="A510" i="8"/>
  <c r="F510" i="7"/>
  <c r="M510" i="7"/>
  <c r="E510" i="7"/>
  <c r="L510" i="7"/>
  <c r="D510" i="7"/>
  <c r="K510" i="7"/>
  <c r="C510" i="7"/>
  <c r="J510" i="7"/>
  <c r="B510" i="7"/>
  <c r="H510" i="7"/>
  <c r="G510" i="7"/>
  <c r="I510" i="6"/>
  <c r="G512" i="6"/>
  <c r="B513" i="6"/>
  <c r="J513" i="6"/>
  <c r="A518" i="8"/>
  <c r="F518" i="7"/>
  <c r="M518" i="7"/>
  <c r="E518" i="7"/>
  <c r="L518" i="7"/>
  <c r="D518" i="7"/>
  <c r="K518" i="7"/>
  <c r="C518" i="7"/>
  <c r="J518" i="7"/>
  <c r="B518" i="7"/>
  <c r="I518" i="7"/>
  <c r="H518" i="7"/>
  <c r="G518" i="7"/>
  <c r="I518" i="6"/>
  <c r="G520" i="6"/>
  <c r="B521" i="6"/>
  <c r="J521" i="6"/>
  <c r="A526" i="8"/>
  <c r="F526" i="7"/>
  <c r="M526" i="7"/>
  <c r="E526" i="7"/>
  <c r="L526" i="7"/>
  <c r="D526" i="7"/>
  <c r="K526" i="7"/>
  <c r="C526" i="7"/>
  <c r="J526" i="7"/>
  <c r="B526" i="7"/>
  <c r="I526" i="7"/>
  <c r="H526" i="7"/>
  <c r="G526" i="7"/>
  <c r="I526" i="6"/>
  <c r="G528" i="6"/>
  <c r="B529" i="6"/>
  <c r="J529" i="6"/>
  <c r="A534" i="8"/>
  <c r="F534" i="7"/>
  <c r="M534" i="7"/>
  <c r="E534" i="7"/>
  <c r="L534" i="7"/>
  <c r="D534" i="7"/>
  <c r="K534" i="7"/>
  <c r="C534" i="7"/>
  <c r="J534" i="7"/>
  <c r="B534" i="7"/>
  <c r="I534" i="7"/>
  <c r="H534" i="7"/>
  <c r="G534" i="7"/>
  <c r="I534" i="6"/>
  <c r="G536" i="6"/>
  <c r="B537" i="6"/>
  <c r="J537" i="6"/>
  <c r="A542" i="8"/>
  <c r="F542" i="7"/>
  <c r="M542" i="7"/>
  <c r="E542" i="7"/>
  <c r="L542" i="7"/>
  <c r="D542" i="7"/>
  <c r="K542" i="7"/>
  <c r="C542" i="7"/>
  <c r="J542" i="7"/>
  <c r="B542" i="7"/>
  <c r="I542" i="7"/>
  <c r="H542" i="7"/>
  <c r="G542" i="7"/>
  <c r="I542" i="6"/>
  <c r="G544" i="6"/>
  <c r="B545" i="6"/>
  <c r="J545" i="6"/>
  <c r="I550" i="6"/>
  <c r="G552" i="6"/>
  <c r="B553" i="6"/>
  <c r="J553" i="6"/>
  <c r="A558" i="8"/>
  <c r="F558" i="7"/>
  <c r="M558" i="7"/>
  <c r="E558" i="7"/>
  <c r="L558" i="7"/>
  <c r="D558" i="7"/>
  <c r="K558" i="7"/>
  <c r="C558" i="7"/>
  <c r="J558" i="7"/>
  <c r="B558" i="7"/>
  <c r="I558" i="6"/>
  <c r="G560" i="6"/>
  <c r="B561" i="6"/>
  <c r="J561" i="6"/>
  <c r="A566" i="8"/>
  <c r="F566" i="7"/>
  <c r="M566" i="7"/>
  <c r="E566" i="7"/>
  <c r="L566" i="7"/>
  <c r="D566" i="7"/>
  <c r="K566" i="7"/>
  <c r="C566" i="7"/>
  <c r="J566" i="7"/>
  <c r="B566" i="7"/>
  <c r="G566" i="7"/>
  <c r="H566" i="7"/>
  <c r="I566" i="6"/>
  <c r="G568" i="6"/>
  <c r="B569" i="6"/>
  <c r="J569" i="6"/>
  <c r="A574" i="8"/>
  <c r="F574" i="7"/>
  <c r="M574" i="7"/>
  <c r="E574" i="7"/>
  <c r="L574" i="7"/>
  <c r="D574" i="7"/>
  <c r="K574" i="7"/>
  <c r="C574" i="7"/>
  <c r="J574" i="7"/>
  <c r="B574" i="7"/>
  <c r="H574" i="7"/>
  <c r="G574" i="7"/>
  <c r="I574" i="7"/>
  <c r="I574" i="6"/>
  <c r="G576" i="6"/>
  <c r="B577" i="6"/>
  <c r="J577" i="6"/>
  <c r="A582" i="8"/>
  <c r="F582" i="7"/>
  <c r="M582" i="7"/>
  <c r="E582" i="7"/>
  <c r="L582" i="7"/>
  <c r="D582" i="7"/>
  <c r="K582" i="7"/>
  <c r="C582" i="7"/>
  <c r="J582" i="7"/>
  <c r="B582" i="7"/>
  <c r="I582" i="7"/>
  <c r="H582" i="7"/>
  <c r="G582" i="7"/>
  <c r="I582" i="6"/>
  <c r="G584" i="6"/>
  <c r="B585" i="6"/>
  <c r="J585" i="6"/>
  <c r="A590" i="8"/>
  <c r="F590" i="7"/>
  <c r="M590" i="7"/>
  <c r="E590" i="7"/>
  <c r="L590" i="7"/>
  <c r="D590" i="7"/>
  <c r="K590" i="7"/>
  <c r="C590" i="7"/>
  <c r="J590" i="7"/>
  <c r="B590" i="7"/>
  <c r="I590" i="7"/>
  <c r="H590" i="7"/>
  <c r="G590" i="7"/>
  <c r="I590" i="6"/>
  <c r="G592" i="6"/>
  <c r="B593" i="6"/>
  <c r="J593" i="6"/>
  <c r="I598" i="6"/>
  <c r="G600" i="6"/>
  <c r="B601" i="6"/>
  <c r="J601" i="6"/>
  <c r="I606" i="6"/>
  <c r="G608" i="6"/>
  <c r="B609" i="6"/>
  <c r="J609" i="6"/>
  <c r="A614" i="8"/>
  <c r="F614" i="7"/>
  <c r="M614" i="7"/>
  <c r="E614" i="7"/>
  <c r="L614" i="7"/>
  <c r="D614" i="7"/>
  <c r="K614" i="7"/>
  <c r="C614" i="7"/>
  <c r="J614" i="7"/>
  <c r="B614" i="7"/>
  <c r="I614" i="7"/>
  <c r="G614" i="7"/>
  <c r="I614" i="6"/>
  <c r="G616" i="6"/>
  <c r="B617" i="6"/>
  <c r="J617" i="6"/>
  <c r="A622" i="8"/>
  <c r="F622" i="7"/>
  <c r="M622" i="7"/>
  <c r="E622" i="7"/>
  <c r="L622" i="7"/>
  <c r="D622" i="7"/>
  <c r="K622" i="7"/>
  <c r="C622" i="7"/>
  <c r="J622" i="7"/>
  <c r="B622" i="7"/>
  <c r="I622" i="7"/>
  <c r="H622" i="7"/>
  <c r="G622" i="7"/>
  <c r="I622" i="6"/>
  <c r="G624" i="6"/>
  <c r="B625" i="6"/>
  <c r="J625" i="6"/>
  <c r="A630" i="8"/>
  <c r="F630" i="7"/>
  <c r="M630" i="7"/>
  <c r="E630" i="7"/>
  <c r="L630" i="7"/>
  <c r="D630" i="7"/>
  <c r="K630" i="7"/>
  <c r="C630" i="7"/>
  <c r="J630" i="7"/>
  <c r="B630" i="7"/>
  <c r="G630" i="7"/>
  <c r="I630" i="7"/>
  <c r="H630" i="7"/>
  <c r="I630" i="6"/>
  <c r="G632" i="6"/>
  <c r="B633" i="6"/>
  <c r="J633" i="6"/>
  <c r="A638" i="8"/>
  <c r="F638" i="7"/>
  <c r="M638" i="7"/>
  <c r="E638" i="7"/>
  <c r="L638" i="7"/>
  <c r="D638" i="7"/>
  <c r="K638" i="7"/>
  <c r="C638" i="7"/>
  <c r="J638" i="7"/>
  <c r="B638" i="7"/>
  <c r="H638" i="7"/>
  <c r="G638" i="7"/>
  <c r="I638" i="7"/>
  <c r="I638" i="6"/>
  <c r="G640" i="6"/>
  <c r="B641" i="6"/>
  <c r="J641" i="6"/>
  <c r="A646" i="8"/>
  <c r="F646" i="7"/>
  <c r="M646" i="7"/>
  <c r="E646" i="7"/>
  <c r="L646" i="7"/>
  <c r="D646" i="7"/>
  <c r="K646" i="7"/>
  <c r="C646" i="7"/>
  <c r="J646" i="7"/>
  <c r="B646" i="7"/>
  <c r="I646" i="7"/>
  <c r="H646" i="7"/>
  <c r="G646" i="7"/>
  <c r="I646" i="6"/>
  <c r="G648" i="6"/>
  <c r="B649" i="6"/>
  <c r="J649" i="6"/>
  <c r="A654" i="8"/>
  <c r="F654" i="7"/>
  <c r="M654" i="7"/>
  <c r="E654" i="7"/>
  <c r="L654" i="7"/>
  <c r="D654" i="7"/>
  <c r="K654" i="7"/>
  <c r="C654" i="7"/>
  <c r="J654" i="7"/>
  <c r="B654" i="7"/>
  <c r="I654" i="7"/>
  <c r="H654" i="7"/>
  <c r="G654" i="7"/>
  <c r="I654" i="6"/>
  <c r="G656" i="6"/>
  <c r="B657" i="6"/>
  <c r="J657" i="6"/>
  <c r="A662" i="8"/>
  <c r="H662" i="7"/>
  <c r="F662" i="7"/>
  <c r="E662" i="7"/>
  <c r="M662" i="7"/>
  <c r="D662" i="7"/>
  <c r="L662" i="7"/>
  <c r="C662" i="7"/>
  <c r="K662" i="7"/>
  <c r="B662" i="7"/>
  <c r="J662" i="7"/>
  <c r="I662" i="7"/>
  <c r="G662" i="7"/>
  <c r="I662" i="6"/>
  <c r="G664" i="6"/>
  <c r="B665" i="6"/>
  <c r="J665" i="6"/>
  <c r="A670" i="8"/>
  <c r="K670" i="7"/>
  <c r="C670" i="7"/>
  <c r="J670" i="7"/>
  <c r="B670" i="7"/>
  <c r="I670" i="7"/>
  <c r="H670" i="7"/>
  <c r="M670" i="7"/>
  <c r="L670" i="7"/>
  <c r="G670" i="7"/>
  <c r="F670" i="7"/>
  <c r="E670" i="7"/>
  <c r="D670" i="7"/>
  <c r="I670" i="6"/>
  <c r="G672" i="6"/>
  <c r="B673" i="6"/>
  <c r="J673" i="6"/>
  <c r="C676" i="6"/>
  <c r="K676" i="6"/>
  <c r="A678" i="8"/>
  <c r="K678" i="7"/>
  <c r="C678" i="7"/>
  <c r="J678" i="7"/>
  <c r="B678" i="7"/>
  <c r="I678" i="7"/>
  <c r="H678" i="7"/>
  <c r="G678" i="7"/>
  <c r="F678" i="7"/>
  <c r="E678" i="7"/>
  <c r="D678" i="7"/>
  <c r="L678" i="7"/>
  <c r="I678" i="6"/>
  <c r="G680" i="6"/>
  <c r="B681" i="6"/>
  <c r="J681" i="6"/>
  <c r="C684" i="6"/>
  <c r="K684" i="6"/>
  <c r="A686" i="8"/>
  <c r="K686" i="7"/>
  <c r="C686" i="7"/>
  <c r="J686" i="7"/>
  <c r="B686" i="7"/>
  <c r="I686" i="7"/>
  <c r="H686" i="7"/>
  <c r="M686" i="7"/>
  <c r="L686" i="7"/>
  <c r="G686" i="7"/>
  <c r="F686" i="7"/>
  <c r="E686" i="7"/>
  <c r="D686" i="7"/>
  <c r="I686" i="6"/>
  <c r="G688" i="6"/>
  <c r="B689" i="6"/>
  <c r="J689" i="6"/>
  <c r="C692" i="6"/>
  <c r="K692" i="6"/>
  <c r="A694" i="8"/>
  <c r="L694" i="7"/>
  <c r="D694" i="7"/>
  <c r="K694" i="7"/>
  <c r="C694" i="7"/>
  <c r="J694" i="7"/>
  <c r="B694" i="7"/>
  <c r="I694" i="7"/>
  <c r="H694" i="7"/>
  <c r="M694" i="7"/>
  <c r="G694" i="7"/>
  <c r="F694" i="7"/>
  <c r="E694" i="7"/>
  <c r="I694" i="6"/>
  <c r="G696" i="6"/>
  <c r="B697" i="6"/>
  <c r="J697" i="6"/>
  <c r="C700" i="6"/>
  <c r="K700" i="6"/>
  <c r="A702" i="8"/>
  <c r="L702" i="7"/>
  <c r="D702" i="7"/>
  <c r="K702" i="7"/>
  <c r="C702" i="7"/>
  <c r="J702" i="7"/>
  <c r="B702" i="7"/>
  <c r="I702" i="7"/>
  <c r="H702" i="7"/>
  <c r="M702" i="7"/>
  <c r="G702" i="7"/>
  <c r="F702" i="7"/>
  <c r="E702" i="7"/>
  <c r="I702" i="6"/>
  <c r="G704" i="6"/>
  <c r="B705" i="6"/>
  <c r="J705" i="6"/>
  <c r="C708" i="6"/>
  <c r="K708" i="6"/>
  <c r="A710" i="8"/>
  <c r="L710" i="7"/>
  <c r="D710" i="7"/>
  <c r="K710" i="7"/>
  <c r="C710" i="7"/>
  <c r="J710" i="7"/>
  <c r="B710" i="7"/>
  <c r="I710" i="7"/>
  <c r="H710" i="7"/>
  <c r="M710" i="7"/>
  <c r="G710" i="7"/>
  <c r="F710" i="7"/>
  <c r="E710" i="7"/>
  <c r="I710" i="6"/>
  <c r="G712" i="6"/>
  <c r="B713" i="6"/>
  <c r="J713" i="6"/>
  <c r="C716" i="6"/>
  <c r="K716" i="6"/>
  <c r="A718" i="8"/>
  <c r="L718" i="7"/>
  <c r="D718" i="7"/>
  <c r="K718" i="7"/>
  <c r="C718" i="7"/>
  <c r="J718" i="7"/>
  <c r="B718" i="7"/>
  <c r="I718" i="7"/>
  <c r="H718" i="7"/>
  <c r="M718" i="7"/>
  <c r="G718" i="7"/>
  <c r="F718" i="7"/>
  <c r="E718" i="7"/>
  <c r="I718" i="6"/>
  <c r="G720" i="6"/>
  <c r="B721" i="6"/>
  <c r="J721" i="6"/>
  <c r="C724" i="6"/>
  <c r="K724" i="6"/>
  <c r="A726" i="8"/>
  <c r="L726" i="7"/>
  <c r="D726" i="7"/>
  <c r="K726" i="7"/>
  <c r="C726" i="7"/>
  <c r="J726" i="7"/>
  <c r="B726" i="7"/>
  <c r="I726" i="7"/>
  <c r="H726" i="7"/>
  <c r="M726" i="7"/>
  <c r="G726" i="7"/>
  <c r="F726" i="7"/>
  <c r="E726" i="7"/>
  <c r="I726" i="6"/>
  <c r="G728" i="6"/>
  <c r="B729" i="6"/>
  <c r="J729" i="6"/>
  <c r="C732" i="6"/>
  <c r="K732" i="6"/>
  <c r="A734" i="8"/>
  <c r="L734" i="7"/>
  <c r="D734" i="7"/>
  <c r="K734" i="7"/>
  <c r="C734" i="7"/>
  <c r="J734" i="7"/>
  <c r="B734" i="7"/>
  <c r="I734" i="7"/>
  <c r="H734" i="7"/>
  <c r="E734" i="7"/>
  <c r="F734" i="7"/>
  <c r="I734" i="6"/>
  <c r="G736" i="6"/>
  <c r="B737" i="6"/>
  <c r="J737" i="6"/>
  <c r="C740" i="6"/>
  <c r="K740" i="6"/>
  <c r="A742" i="8"/>
  <c r="L742" i="7"/>
  <c r="D742" i="7"/>
  <c r="K742" i="7"/>
  <c r="C742" i="7"/>
  <c r="J742" i="7"/>
  <c r="B742" i="7"/>
  <c r="I742" i="7"/>
  <c r="H742" i="7"/>
  <c r="F742" i="7"/>
  <c r="E742" i="7"/>
  <c r="M742" i="7"/>
  <c r="G742" i="7"/>
  <c r="I742" i="6"/>
  <c r="G744" i="6"/>
  <c r="B745" i="6"/>
  <c r="J745" i="6"/>
  <c r="C748" i="6"/>
  <c r="K748" i="6"/>
  <c r="A750" i="8"/>
  <c r="L750" i="7"/>
  <c r="D750" i="7"/>
  <c r="K750" i="7"/>
  <c r="C750" i="7"/>
  <c r="J750" i="7"/>
  <c r="B750" i="7"/>
  <c r="I750" i="7"/>
  <c r="H750" i="7"/>
  <c r="G750" i="7"/>
  <c r="F750" i="7"/>
  <c r="E750" i="7"/>
  <c r="M750" i="7"/>
  <c r="I750" i="6"/>
  <c r="G752" i="6"/>
  <c r="B753" i="6"/>
  <c r="J753" i="6"/>
  <c r="C756" i="6"/>
  <c r="K756" i="6"/>
  <c r="A758" i="8"/>
  <c r="L758" i="7"/>
  <c r="D758" i="7"/>
  <c r="K758" i="7"/>
  <c r="C758" i="7"/>
  <c r="J758" i="7"/>
  <c r="B758" i="7"/>
  <c r="I758" i="7"/>
  <c r="H758" i="7"/>
  <c r="M758" i="7"/>
  <c r="G758" i="7"/>
  <c r="F758" i="7"/>
  <c r="E758" i="7"/>
  <c r="I758" i="6"/>
  <c r="G760" i="6"/>
  <c r="B761" i="6"/>
  <c r="J761" i="6"/>
  <c r="C764" i="6"/>
  <c r="K764" i="6"/>
  <c r="A766" i="8"/>
  <c r="L766" i="7"/>
  <c r="D766" i="7"/>
  <c r="K766" i="7"/>
  <c r="C766" i="7"/>
  <c r="J766" i="7"/>
  <c r="B766" i="7"/>
  <c r="I766" i="7"/>
  <c r="H766" i="7"/>
  <c r="M766" i="7"/>
  <c r="G766" i="7"/>
  <c r="F766" i="7"/>
  <c r="E766" i="7"/>
  <c r="I766" i="6"/>
  <c r="G768" i="6"/>
  <c r="B769" i="6"/>
  <c r="J769" i="6"/>
  <c r="C772" i="6"/>
  <c r="K772" i="6"/>
  <c r="A774" i="8"/>
  <c r="L774" i="7"/>
  <c r="D774" i="7"/>
  <c r="K774" i="7"/>
  <c r="C774" i="7"/>
  <c r="J774" i="7"/>
  <c r="B774" i="7"/>
  <c r="I774" i="7"/>
  <c r="H774" i="7"/>
  <c r="M774" i="7"/>
  <c r="G774" i="7"/>
  <c r="F774" i="7"/>
  <c r="E774" i="7"/>
  <c r="I774" i="6"/>
  <c r="G776" i="6"/>
  <c r="B777" i="6"/>
  <c r="J777" i="6"/>
  <c r="C780" i="6"/>
  <c r="K780" i="6"/>
  <c r="A782" i="8"/>
  <c r="L782" i="7"/>
  <c r="D782" i="7"/>
  <c r="K782" i="7"/>
  <c r="C782" i="7"/>
  <c r="J782" i="7"/>
  <c r="B782" i="7"/>
  <c r="I782" i="7"/>
  <c r="H782" i="7"/>
  <c r="M782" i="7"/>
  <c r="G782" i="7"/>
  <c r="E782" i="7"/>
  <c r="I782" i="6"/>
  <c r="G784" i="6"/>
  <c r="B785" i="6"/>
  <c r="J785" i="6"/>
  <c r="C788" i="6"/>
  <c r="K788" i="6"/>
  <c r="A790" i="8"/>
  <c r="L790" i="7"/>
  <c r="D790" i="7"/>
  <c r="K790" i="7"/>
  <c r="C790" i="7"/>
  <c r="J790" i="7"/>
  <c r="B790" i="7"/>
  <c r="I790" i="7"/>
  <c r="H790" i="7"/>
  <c r="M790" i="7"/>
  <c r="G790" i="7"/>
  <c r="F790" i="7"/>
  <c r="E790" i="7"/>
  <c r="I790" i="6"/>
  <c r="H792" i="6"/>
  <c r="A794" i="7"/>
  <c r="H794" i="6"/>
  <c r="J794" i="6"/>
  <c r="H799" i="6"/>
  <c r="D800" i="6"/>
  <c r="M800" i="6"/>
  <c r="D803" i="6"/>
  <c r="B806" i="6"/>
  <c r="M806" i="6"/>
  <c r="D810" i="6"/>
  <c r="A811" i="7"/>
  <c r="F811" i="6"/>
  <c r="K811" i="6"/>
  <c r="C811" i="6"/>
  <c r="L811" i="6"/>
  <c r="J817" i="6"/>
  <c r="J818" i="6"/>
  <c r="J822" i="6"/>
  <c r="K823" i="6"/>
  <c r="A847" i="7"/>
  <c r="J847" i="6"/>
  <c r="B847" i="6"/>
  <c r="H847" i="6"/>
  <c r="G847" i="6"/>
  <c r="F847" i="6"/>
  <c r="A849" i="7"/>
  <c r="H849" i="6"/>
  <c r="F849" i="6"/>
  <c r="M849" i="6"/>
  <c r="E849" i="6"/>
  <c r="L849" i="6"/>
  <c r="D849" i="6"/>
  <c r="E851" i="6"/>
  <c r="L855" i="6"/>
  <c r="F862" i="6"/>
  <c r="A870" i="7"/>
  <c r="G870" i="6"/>
  <c r="M870" i="6"/>
  <c r="E870" i="6"/>
  <c r="L870" i="6"/>
  <c r="D870" i="6"/>
  <c r="K870" i="6"/>
  <c r="C870" i="6"/>
  <c r="D871" i="6"/>
  <c r="C873" i="6"/>
  <c r="A879" i="7"/>
  <c r="J879" i="6"/>
  <c r="B879" i="6"/>
  <c r="H879" i="6"/>
  <c r="G879" i="6"/>
  <c r="F879" i="6"/>
  <c r="A881" i="7"/>
  <c r="H881" i="6"/>
  <c r="F881" i="6"/>
  <c r="M881" i="6"/>
  <c r="E881" i="6"/>
  <c r="L881" i="6"/>
  <c r="D881" i="6"/>
  <c r="E883" i="6"/>
  <c r="L887" i="6"/>
  <c r="A899" i="7"/>
  <c r="F899" i="6"/>
  <c r="M899" i="6"/>
  <c r="E899" i="6"/>
  <c r="L899" i="6"/>
  <c r="D899" i="6"/>
  <c r="K899" i="6"/>
  <c r="C899" i="6"/>
  <c r="J899" i="6"/>
  <c r="B899" i="6"/>
  <c r="C905" i="6"/>
  <c r="H910" i="6"/>
  <c r="A915" i="7"/>
  <c r="F915" i="6"/>
  <c r="M915" i="6"/>
  <c r="E915" i="6"/>
  <c r="L915" i="6"/>
  <c r="D915" i="6"/>
  <c r="K915" i="6"/>
  <c r="C915" i="6"/>
  <c r="J915" i="6"/>
  <c r="B915" i="6"/>
  <c r="C921" i="6"/>
  <c r="H926" i="6"/>
  <c r="A931" i="7"/>
  <c r="F931" i="6"/>
  <c r="M931" i="6"/>
  <c r="E931" i="6"/>
  <c r="L931" i="6"/>
  <c r="D931" i="6"/>
  <c r="K931" i="6"/>
  <c r="C931" i="6"/>
  <c r="J931" i="6"/>
  <c r="B931" i="6"/>
  <c r="C937" i="6"/>
  <c r="H942" i="6"/>
  <c r="A947" i="7"/>
  <c r="F947" i="6"/>
  <c r="M947" i="6"/>
  <c r="E947" i="6"/>
  <c r="L947" i="6"/>
  <c r="D947" i="6"/>
  <c r="K947" i="6"/>
  <c r="C947" i="6"/>
  <c r="J947" i="6"/>
  <c r="B947" i="6"/>
  <c r="C953" i="6"/>
  <c r="H958" i="6"/>
  <c r="A963" i="7"/>
  <c r="F963" i="6"/>
  <c r="M963" i="6"/>
  <c r="E963" i="6"/>
  <c r="L963" i="6"/>
  <c r="D963" i="6"/>
  <c r="K963" i="6"/>
  <c r="C963" i="6"/>
  <c r="J963" i="6"/>
  <c r="B963" i="6"/>
  <c r="G979" i="6"/>
  <c r="B993" i="6"/>
  <c r="F118" i="7"/>
  <c r="H158" i="7"/>
  <c r="J166" i="7"/>
  <c r="I214" i="7"/>
  <c r="E237" i="7"/>
  <c r="G245" i="7"/>
  <c r="A254" i="7"/>
  <c r="A267" i="7"/>
  <c r="J302" i="7"/>
  <c r="B353" i="7"/>
  <c r="H422" i="7"/>
  <c r="A470" i="7"/>
  <c r="J505" i="7"/>
  <c r="A585" i="7"/>
  <c r="F645" i="7"/>
  <c r="D757" i="7"/>
  <c r="G109" i="6"/>
  <c r="A115" i="8"/>
  <c r="F115" i="7"/>
  <c r="L115" i="7"/>
  <c r="D115" i="7"/>
  <c r="K115" i="7"/>
  <c r="C115" i="7"/>
  <c r="J115" i="7"/>
  <c r="B115" i="7"/>
  <c r="H115" i="7"/>
  <c r="G115" i="7"/>
  <c r="E115" i="7"/>
  <c r="I115" i="6"/>
  <c r="G117" i="6"/>
  <c r="B118" i="6"/>
  <c r="J118" i="6"/>
  <c r="I123" i="6"/>
  <c r="G125" i="6"/>
  <c r="B126" i="6"/>
  <c r="J126" i="6"/>
  <c r="A131" i="8"/>
  <c r="F131" i="7"/>
  <c r="M131" i="7"/>
  <c r="E131" i="7"/>
  <c r="L131" i="7"/>
  <c r="D131" i="7"/>
  <c r="K131" i="7"/>
  <c r="C131" i="7"/>
  <c r="J131" i="7"/>
  <c r="B131" i="7"/>
  <c r="I131" i="7"/>
  <c r="H131" i="7"/>
  <c r="G131" i="7"/>
  <c r="I131" i="6"/>
  <c r="G133" i="6"/>
  <c r="B134" i="6"/>
  <c r="J134" i="6"/>
  <c r="G141" i="6"/>
  <c r="B142" i="6"/>
  <c r="J142" i="6"/>
  <c r="G149" i="6"/>
  <c r="B150" i="6"/>
  <c r="J150" i="6"/>
  <c r="I155" i="6"/>
  <c r="G157" i="6"/>
  <c r="B158" i="6"/>
  <c r="J158" i="6"/>
  <c r="A163" i="8"/>
  <c r="F163" i="7"/>
  <c r="M163" i="7"/>
  <c r="E163" i="7"/>
  <c r="L163" i="7"/>
  <c r="D163" i="7"/>
  <c r="K163" i="7"/>
  <c r="C163" i="7"/>
  <c r="J163" i="7"/>
  <c r="B163" i="7"/>
  <c r="I163" i="6"/>
  <c r="G165" i="6"/>
  <c r="B166" i="6"/>
  <c r="J166" i="6"/>
  <c r="A171" i="8"/>
  <c r="F171" i="7"/>
  <c r="M171" i="7"/>
  <c r="E171" i="7"/>
  <c r="L171" i="7"/>
  <c r="D171" i="7"/>
  <c r="K171" i="7"/>
  <c r="C171" i="7"/>
  <c r="J171" i="7"/>
  <c r="B171" i="7"/>
  <c r="G171" i="7"/>
  <c r="I171" i="6"/>
  <c r="G173" i="6"/>
  <c r="B174" i="6"/>
  <c r="J174" i="6"/>
  <c r="A179" i="8"/>
  <c r="F179" i="7"/>
  <c r="M179" i="7"/>
  <c r="E179" i="7"/>
  <c r="L179" i="7"/>
  <c r="D179" i="7"/>
  <c r="K179" i="7"/>
  <c r="C179" i="7"/>
  <c r="J179" i="7"/>
  <c r="B179" i="7"/>
  <c r="H179" i="7"/>
  <c r="G179" i="7"/>
  <c r="I179" i="6"/>
  <c r="G181" i="6"/>
  <c r="B182" i="6"/>
  <c r="J182" i="6"/>
  <c r="A187" i="8"/>
  <c r="F187" i="7"/>
  <c r="M187" i="7"/>
  <c r="E187" i="7"/>
  <c r="L187" i="7"/>
  <c r="D187" i="7"/>
  <c r="K187" i="7"/>
  <c r="C187" i="7"/>
  <c r="J187" i="7"/>
  <c r="B187" i="7"/>
  <c r="I187" i="7"/>
  <c r="H187" i="7"/>
  <c r="G187" i="7"/>
  <c r="I187" i="6"/>
  <c r="G189" i="6"/>
  <c r="B190" i="6"/>
  <c r="J190" i="6"/>
  <c r="A195" i="8"/>
  <c r="F195" i="7"/>
  <c r="M195" i="7"/>
  <c r="E195" i="7"/>
  <c r="L195" i="7"/>
  <c r="D195" i="7"/>
  <c r="K195" i="7"/>
  <c r="C195" i="7"/>
  <c r="J195" i="7"/>
  <c r="B195" i="7"/>
  <c r="I195" i="7"/>
  <c r="H195" i="7"/>
  <c r="G195" i="7"/>
  <c r="I195" i="6"/>
  <c r="G197" i="6"/>
  <c r="B198" i="6"/>
  <c r="J198" i="6"/>
  <c r="I203" i="6"/>
  <c r="G205" i="6"/>
  <c r="B206" i="6"/>
  <c r="J206" i="6"/>
  <c r="I211" i="6"/>
  <c r="G213" i="6"/>
  <c r="B214" i="6"/>
  <c r="J214" i="6"/>
  <c r="G221" i="6"/>
  <c r="B222" i="6"/>
  <c r="J222" i="6"/>
  <c r="A227" i="8"/>
  <c r="F227" i="7"/>
  <c r="M227" i="7"/>
  <c r="E227" i="7"/>
  <c r="L227" i="7"/>
  <c r="D227" i="7"/>
  <c r="K227" i="7"/>
  <c r="C227" i="7"/>
  <c r="J227" i="7"/>
  <c r="B227" i="7"/>
  <c r="I227" i="6"/>
  <c r="G229" i="6"/>
  <c r="B230" i="6"/>
  <c r="J230" i="6"/>
  <c r="A235" i="8"/>
  <c r="F235" i="7"/>
  <c r="M235" i="7"/>
  <c r="E235" i="7"/>
  <c r="L235" i="7"/>
  <c r="D235" i="7"/>
  <c r="K235" i="7"/>
  <c r="C235" i="7"/>
  <c r="J235" i="7"/>
  <c r="B235" i="7"/>
  <c r="G235" i="7"/>
  <c r="I235" i="6"/>
  <c r="G237" i="6"/>
  <c r="B238" i="6"/>
  <c r="J238" i="6"/>
  <c r="A243" i="8"/>
  <c r="F243" i="7"/>
  <c r="M243" i="7"/>
  <c r="E243" i="7"/>
  <c r="L243" i="7"/>
  <c r="D243" i="7"/>
  <c r="K243" i="7"/>
  <c r="C243" i="7"/>
  <c r="J243" i="7"/>
  <c r="B243" i="7"/>
  <c r="H243" i="7"/>
  <c r="G243" i="7"/>
  <c r="I243" i="6"/>
  <c r="G245" i="6"/>
  <c r="B246" i="6"/>
  <c r="J246" i="6"/>
  <c r="H248" i="6"/>
  <c r="A251" i="8"/>
  <c r="F251" i="7"/>
  <c r="M251" i="7"/>
  <c r="E251" i="7"/>
  <c r="L251" i="7"/>
  <c r="D251" i="7"/>
  <c r="K251" i="7"/>
  <c r="C251" i="7"/>
  <c r="J251" i="7"/>
  <c r="B251" i="7"/>
  <c r="I251" i="7"/>
  <c r="H251" i="7"/>
  <c r="G251" i="7"/>
  <c r="I251" i="6"/>
  <c r="G253" i="6"/>
  <c r="B254" i="6"/>
  <c r="J254" i="6"/>
  <c r="H256" i="6"/>
  <c r="A259" i="8"/>
  <c r="F259" i="7"/>
  <c r="M259" i="7"/>
  <c r="E259" i="7"/>
  <c r="L259" i="7"/>
  <c r="D259" i="7"/>
  <c r="K259" i="7"/>
  <c r="C259" i="7"/>
  <c r="J259" i="7"/>
  <c r="B259" i="7"/>
  <c r="I259" i="7"/>
  <c r="H259" i="7"/>
  <c r="G259" i="7"/>
  <c r="I259" i="6"/>
  <c r="G261" i="6"/>
  <c r="B262" i="6"/>
  <c r="J262" i="6"/>
  <c r="H264" i="6"/>
  <c r="G269" i="6"/>
  <c r="B270" i="6"/>
  <c r="J270" i="6"/>
  <c r="H272" i="6"/>
  <c r="G277" i="6"/>
  <c r="B278" i="6"/>
  <c r="J278" i="6"/>
  <c r="H280" i="6"/>
  <c r="G285" i="6"/>
  <c r="B286" i="6"/>
  <c r="J286" i="6"/>
  <c r="H288" i="6"/>
  <c r="A291" i="8"/>
  <c r="F291" i="7"/>
  <c r="M291" i="7"/>
  <c r="E291" i="7"/>
  <c r="L291" i="7"/>
  <c r="D291" i="7"/>
  <c r="K291" i="7"/>
  <c r="C291" i="7"/>
  <c r="J291" i="7"/>
  <c r="B291" i="7"/>
  <c r="I291" i="6"/>
  <c r="G293" i="6"/>
  <c r="B294" i="6"/>
  <c r="J294" i="6"/>
  <c r="H296" i="6"/>
  <c r="A299" i="8"/>
  <c r="F299" i="7"/>
  <c r="M299" i="7"/>
  <c r="E299" i="7"/>
  <c r="L299" i="7"/>
  <c r="D299" i="7"/>
  <c r="K299" i="7"/>
  <c r="C299" i="7"/>
  <c r="J299" i="7"/>
  <c r="B299" i="7"/>
  <c r="G299" i="7"/>
  <c r="I299" i="6"/>
  <c r="G301" i="6"/>
  <c r="B302" i="6"/>
  <c r="J302" i="6"/>
  <c r="H304" i="6"/>
  <c r="A307" i="8"/>
  <c r="F307" i="7"/>
  <c r="M307" i="7"/>
  <c r="E307" i="7"/>
  <c r="L307" i="7"/>
  <c r="D307" i="7"/>
  <c r="K307" i="7"/>
  <c r="C307" i="7"/>
  <c r="J307" i="7"/>
  <c r="B307" i="7"/>
  <c r="H307" i="7"/>
  <c r="G307" i="7"/>
  <c r="I307" i="6"/>
  <c r="G309" i="6"/>
  <c r="B310" i="6"/>
  <c r="J310" i="6"/>
  <c r="H312" i="6"/>
  <c r="A315" i="8"/>
  <c r="F315" i="7"/>
  <c r="M315" i="7"/>
  <c r="E315" i="7"/>
  <c r="L315" i="7"/>
  <c r="D315" i="7"/>
  <c r="K315" i="7"/>
  <c r="C315" i="7"/>
  <c r="J315" i="7"/>
  <c r="B315" i="7"/>
  <c r="I315" i="7"/>
  <c r="H315" i="7"/>
  <c r="G315" i="7"/>
  <c r="I315" i="6"/>
  <c r="G317" i="6"/>
  <c r="B318" i="6"/>
  <c r="J318" i="6"/>
  <c r="H320" i="6"/>
  <c r="A323" i="8"/>
  <c r="F323" i="7"/>
  <c r="M323" i="7"/>
  <c r="E323" i="7"/>
  <c r="L323" i="7"/>
  <c r="D323" i="7"/>
  <c r="K323" i="7"/>
  <c r="C323" i="7"/>
  <c r="J323" i="7"/>
  <c r="B323" i="7"/>
  <c r="I323" i="7"/>
  <c r="H323" i="7"/>
  <c r="G323" i="7"/>
  <c r="I323" i="6"/>
  <c r="G325" i="6"/>
  <c r="B326" i="6"/>
  <c r="J326" i="6"/>
  <c r="H328" i="6"/>
  <c r="A331" i="8"/>
  <c r="M331" i="7"/>
  <c r="E331" i="7"/>
  <c r="L331" i="7"/>
  <c r="D331" i="7"/>
  <c r="K331" i="7"/>
  <c r="C331" i="7"/>
  <c r="J331" i="7"/>
  <c r="B331" i="7"/>
  <c r="I331" i="7"/>
  <c r="H331" i="7"/>
  <c r="G331" i="7"/>
  <c r="F331" i="7"/>
  <c r="I331" i="6"/>
  <c r="G333" i="6"/>
  <c r="B334" i="6"/>
  <c r="J334" i="6"/>
  <c r="H336" i="6"/>
  <c r="A339" i="8"/>
  <c r="M339" i="7"/>
  <c r="E339" i="7"/>
  <c r="L339" i="7"/>
  <c r="D339" i="7"/>
  <c r="K339" i="7"/>
  <c r="C339" i="7"/>
  <c r="J339" i="7"/>
  <c r="B339" i="7"/>
  <c r="I339" i="7"/>
  <c r="H339" i="7"/>
  <c r="G339" i="7"/>
  <c r="F339" i="7"/>
  <c r="I339" i="6"/>
  <c r="G341" i="6"/>
  <c r="B342" i="6"/>
  <c r="J342" i="6"/>
  <c r="H344" i="6"/>
  <c r="C345" i="6"/>
  <c r="K345" i="6"/>
  <c r="A347" i="8"/>
  <c r="M347" i="7"/>
  <c r="E347" i="7"/>
  <c r="L347" i="7"/>
  <c r="D347" i="7"/>
  <c r="K347" i="7"/>
  <c r="C347" i="7"/>
  <c r="J347" i="7"/>
  <c r="B347" i="7"/>
  <c r="I347" i="7"/>
  <c r="H347" i="7"/>
  <c r="G347" i="7"/>
  <c r="F347" i="7"/>
  <c r="I347" i="6"/>
  <c r="G349" i="6"/>
  <c r="B350" i="6"/>
  <c r="J350" i="6"/>
  <c r="H352" i="6"/>
  <c r="C353" i="6"/>
  <c r="K353" i="6"/>
  <c r="A355" i="8"/>
  <c r="M355" i="7"/>
  <c r="E355" i="7"/>
  <c r="L355" i="7"/>
  <c r="D355" i="7"/>
  <c r="K355" i="7"/>
  <c r="C355" i="7"/>
  <c r="J355" i="7"/>
  <c r="B355" i="7"/>
  <c r="I355" i="7"/>
  <c r="H355" i="7"/>
  <c r="G355" i="7"/>
  <c r="F355" i="7"/>
  <c r="I355" i="6"/>
  <c r="G357" i="6"/>
  <c r="B358" i="6"/>
  <c r="J358" i="6"/>
  <c r="H360" i="6"/>
  <c r="C361" i="6"/>
  <c r="K361" i="6"/>
  <c r="A363" i="8"/>
  <c r="M363" i="7"/>
  <c r="E363" i="7"/>
  <c r="L363" i="7"/>
  <c r="D363" i="7"/>
  <c r="K363" i="7"/>
  <c r="C363" i="7"/>
  <c r="J363" i="7"/>
  <c r="B363" i="7"/>
  <c r="I363" i="7"/>
  <c r="H363" i="7"/>
  <c r="G363" i="7"/>
  <c r="F363" i="7"/>
  <c r="I363" i="6"/>
  <c r="G365" i="6"/>
  <c r="B366" i="6"/>
  <c r="J366" i="6"/>
  <c r="H368" i="6"/>
  <c r="C369" i="6"/>
  <c r="K369" i="6"/>
  <c r="A371" i="8"/>
  <c r="M371" i="7"/>
  <c r="E371" i="7"/>
  <c r="L371" i="7"/>
  <c r="D371" i="7"/>
  <c r="K371" i="7"/>
  <c r="C371" i="7"/>
  <c r="J371" i="7"/>
  <c r="B371" i="7"/>
  <c r="I371" i="7"/>
  <c r="H371" i="7"/>
  <c r="G371" i="7"/>
  <c r="I371" i="6"/>
  <c r="G373" i="6"/>
  <c r="B374" i="6"/>
  <c r="J374" i="6"/>
  <c r="H376" i="6"/>
  <c r="C377" i="6"/>
  <c r="K377" i="6"/>
  <c r="A379" i="8"/>
  <c r="M379" i="7"/>
  <c r="E379" i="7"/>
  <c r="L379" i="7"/>
  <c r="D379" i="7"/>
  <c r="K379" i="7"/>
  <c r="C379" i="7"/>
  <c r="J379" i="7"/>
  <c r="B379" i="7"/>
  <c r="I379" i="7"/>
  <c r="F379" i="7"/>
  <c r="I379" i="6"/>
  <c r="G381" i="6"/>
  <c r="B382" i="6"/>
  <c r="J382" i="6"/>
  <c r="H384" i="6"/>
  <c r="C385" i="6"/>
  <c r="K385" i="6"/>
  <c r="A387" i="8"/>
  <c r="M387" i="7"/>
  <c r="E387" i="7"/>
  <c r="L387" i="7"/>
  <c r="D387" i="7"/>
  <c r="K387" i="7"/>
  <c r="C387" i="7"/>
  <c r="J387" i="7"/>
  <c r="B387" i="7"/>
  <c r="I387" i="7"/>
  <c r="G387" i="7"/>
  <c r="F387" i="7"/>
  <c r="I387" i="6"/>
  <c r="G389" i="6"/>
  <c r="B390" i="6"/>
  <c r="J390" i="6"/>
  <c r="H392" i="6"/>
  <c r="C393" i="6"/>
  <c r="K393" i="6"/>
  <c r="A395" i="8"/>
  <c r="M395" i="7"/>
  <c r="E395" i="7"/>
  <c r="L395" i="7"/>
  <c r="D395" i="7"/>
  <c r="K395" i="7"/>
  <c r="C395" i="7"/>
  <c r="J395" i="7"/>
  <c r="B395" i="7"/>
  <c r="I395" i="7"/>
  <c r="H395" i="7"/>
  <c r="G395" i="7"/>
  <c r="F395" i="7"/>
  <c r="I395" i="6"/>
  <c r="G397" i="6"/>
  <c r="B398" i="6"/>
  <c r="J398" i="6"/>
  <c r="H400" i="6"/>
  <c r="C401" i="6"/>
  <c r="K401" i="6"/>
  <c r="A403" i="8"/>
  <c r="M403" i="7"/>
  <c r="E403" i="7"/>
  <c r="L403" i="7"/>
  <c r="D403" i="7"/>
  <c r="K403" i="7"/>
  <c r="C403" i="7"/>
  <c r="J403" i="7"/>
  <c r="B403" i="7"/>
  <c r="I403" i="7"/>
  <c r="H403" i="7"/>
  <c r="G403" i="7"/>
  <c r="F403" i="7"/>
  <c r="I403" i="6"/>
  <c r="G405" i="6"/>
  <c r="B406" i="6"/>
  <c r="J406" i="6"/>
  <c r="H408" i="6"/>
  <c r="C409" i="6"/>
  <c r="K409" i="6"/>
  <c r="A411" i="8"/>
  <c r="M411" i="7"/>
  <c r="E411" i="7"/>
  <c r="L411" i="7"/>
  <c r="D411" i="7"/>
  <c r="K411" i="7"/>
  <c r="C411" i="7"/>
  <c r="J411" i="7"/>
  <c r="B411" i="7"/>
  <c r="I411" i="7"/>
  <c r="H411" i="7"/>
  <c r="G411" i="7"/>
  <c r="F411" i="7"/>
  <c r="I411" i="6"/>
  <c r="G413" i="6"/>
  <c r="B414" i="6"/>
  <c r="J414" i="6"/>
  <c r="H416" i="6"/>
  <c r="C417" i="6"/>
  <c r="K417" i="6"/>
  <c r="A419" i="8"/>
  <c r="M419" i="7"/>
  <c r="E419" i="7"/>
  <c r="L419" i="7"/>
  <c r="D419" i="7"/>
  <c r="K419" i="7"/>
  <c r="C419" i="7"/>
  <c r="J419" i="7"/>
  <c r="B419" i="7"/>
  <c r="I419" i="7"/>
  <c r="H419" i="7"/>
  <c r="G419" i="7"/>
  <c r="F419" i="7"/>
  <c r="I419" i="6"/>
  <c r="G421" i="6"/>
  <c r="B422" i="6"/>
  <c r="J422" i="6"/>
  <c r="H424" i="6"/>
  <c r="C425" i="6"/>
  <c r="K425" i="6"/>
  <c r="A427" i="8"/>
  <c r="M427" i="7"/>
  <c r="E427" i="7"/>
  <c r="L427" i="7"/>
  <c r="D427" i="7"/>
  <c r="K427" i="7"/>
  <c r="C427" i="7"/>
  <c r="J427" i="7"/>
  <c r="B427" i="7"/>
  <c r="I427" i="7"/>
  <c r="H427" i="7"/>
  <c r="I427" i="6"/>
  <c r="B430" i="6"/>
  <c r="J430" i="6"/>
  <c r="H432" i="6"/>
  <c r="C433" i="6"/>
  <c r="K433" i="6"/>
  <c r="A435" i="8"/>
  <c r="M435" i="7"/>
  <c r="E435" i="7"/>
  <c r="L435" i="7"/>
  <c r="D435" i="7"/>
  <c r="K435" i="7"/>
  <c r="C435" i="7"/>
  <c r="J435" i="7"/>
  <c r="B435" i="7"/>
  <c r="I435" i="7"/>
  <c r="F435" i="7"/>
  <c r="I435" i="6"/>
  <c r="B438" i="6"/>
  <c r="J438" i="6"/>
  <c r="H440" i="6"/>
  <c r="C441" i="6"/>
  <c r="K441" i="6"/>
  <c r="A443" i="8"/>
  <c r="M443" i="7"/>
  <c r="E443" i="7"/>
  <c r="L443" i="7"/>
  <c r="D443" i="7"/>
  <c r="K443" i="7"/>
  <c r="C443" i="7"/>
  <c r="J443" i="7"/>
  <c r="B443" i="7"/>
  <c r="I443" i="7"/>
  <c r="F443" i="7"/>
  <c r="H443" i="7"/>
  <c r="G443" i="7"/>
  <c r="I443" i="6"/>
  <c r="B446" i="6"/>
  <c r="J446" i="6"/>
  <c r="H448" i="6"/>
  <c r="C449" i="6"/>
  <c r="K449" i="6"/>
  <c r="A451" i="8"/>
  <c r="M451" i="7"/>
  <c r="E451" i="7"/>
  <c r="L451" i="7"/>
  <c r="D451" i="7"/>
  <c r="K451" i="7"/>
  <c r="C451" i="7"/>
  <c r="J451" i="7"/>
  <c r="B451" i="7"/>
  <c r="I451" i="7"/>
  <c r="G451" i="7"/>
  <c r="F451" i="7"/>
  <c r="H451" i="7"/>
  <c r="I451" i="6"/>
  <c r="B454" i="6"/>
  <c r="J454" i="6"/>
  <c r="H456" i="6"/>
  <c r="C457" i="6"/>
  <c r="K457" i="6"/>
  <c r="A459" i="8"/>
  <c r="M459" i="7"/>
  <c r="E459" i="7"/>
  <c r="L459" i="7"/>
  <c r="D459" i="7"/>
  <c r="K459" i="7"/>
  <c r="C459" i="7"/>
  <c r="J459" i="7"/>
  <c r="B459" i="7"/>
  <c r="I459" i="7"/>
  <c r="H459" i="7"/>
  <c r="G459" i="7"/>
  <c r="F459" i="7"/>
  <c r="I459" i="6"/>
  <c r="G461" i="6"/>
  <c r="B462" i="6"/>
  <c r="J462" i="6"/>
  <c r="H464" i="6"/>
  <c r="C465" i="6"/>
  <c r="K465" i="6"/>
  <c r="A467" i="8"/>
  <c r="M467" i="7"/>
  <c r="E467" i="7"/>
  <c r="L467" i="7"/>
  <c r="D467" i="7"/>
  <c r="K467" i="7"/>
  <c r="C467" i="7"/>
  <c r="J467" i="7"/>
  <c r="B467" i="7"/>
  <c r="I467" i="7"/>
  <c r="H467" i="7"/>
  <c r="G467" i="7"/>
  <c r="F467" i="7"/>
  <c r="I467" i="6"/>
  <c r="G469" i="6"/>
  <c r="B470" i="6"/>
  <c r="J470" i="6"/>
  <c r="H472" i="6"/>
  <c r="C473" i="6"/>
  <c r="K473" i="6"/>
  <c r="A475" i="8"/>
  <c r="M475" i="7"/>
  <c r="E475" i="7"/>
  <c r="L475" i="7"/>
  <c r="D475" i="7"/>
  <c r="K475" i="7"/>
  <c r="C475" i="7"/>
  <c r="J475" i="7"/>
  <c r="B475" i="7"/>
  <c r="I475" i="7"/>
  <c r="H475" i="7"/>
  <c r="G475" i="7"/>
  <c r="F475" i="7"/>
  <c r="I475" i="6"/>
  <c r="G477" i="6"/>
  <c r="B478" i="6"/>
  <c r="J478" i="6"/>
  <c r="H480" i="6"/>
  <c r="C481" i="6"/>
  <c r="K481" i="6"/>
  <c r="A483" i="8"/>
  <c r="M483" i="7"/>
  <c r="E483" i="7"/>
  <c r="L483" i="7"/>
  <c r="D483" i="7"/>
  <c r="K483" i="7"/>
  <c r="C483" i="7"/>
  <c r="J483" i="7"/>
  <c r="B483" i="7"/>
  <c r="I483" i="7"/>
  <c r="H483" i="7"/>
  <c r="G483" i="7"/>
  <c r="I483" i="6"/>
  <c r="G485" i="6"/>
  <c r="B486" i="6"/>
  <c r="J486" i="6"/>
  <c r="H488" i="6"/>
  <c r="C489" i="6"/>
  <c r="K489" i="6"/>
  <c r="A491" i="8"/>
  <c r="M491" i="7"/>
  <c r="E491" i="7"/>
  <c r="L491" i="7"/>
  <c r="D491" i="7"/>
  <c r="K491" i="7"/>
  <c r="C491" i="7"/>
  <c r="J491" i="7"/>
  <c r="B491" i="7"/>
  <c r="I491" i="7"/>
  <c r="H491" i="7"/>
  <c r="G491" i="7"/>
  <c r="F491" i="7"/>
  <c r="I491" i="6"/>
  <c r="G493" i="6"/>
  <c r="B494" i="6"/>
  <c r="J494" i="6"/>
  <c r="H496" i="6"/>
  <c r="C497" i="6"/>
  <c r="K497" i="6"/>
  <c r="A499" i="8"/>
  <c r="M499" i="7"/>
  <c r="E499" i="7"/>
  <c r="L499" i="7"/>
  <c r="D499" i="7"/>
  <c r="K499" i="7"/>
  <c r="C499" i="7"/>
  <c r="J499" i="7"/>
  <c r="B499" i="7"/>
  <c r="I499" i="7"/>
  <c r="H499" i="7"/>
  <c r="G499" i="7"/>
  <c r="F499" i="7"/>
  <c r="I499" i="6"/>
  <c r="G501" i="6"/>
  <c r="B502" i="6"/>
  <c r="J502" i="6"/>
  <c r="H504" i="6"/>
  <c r="C505" i="6"/>
  <c r="K505" i="6"/>
  <c r="A507" i="8"/>
  <c r="M507" i="7"/>
  <c r="E507" i="7"/>
  <c r="L507" i="7"/>
  <c r="D507" i="7"/>
  <c r="K507" i="7"/>
  <c r="C507" i="7"/>
  <c r="J507" i="7"/>
  <c r="B507" i="7"/>
  <c r="I507" i="7"/>
  <c r="F507" i="7"/>
  <c r="H507" i="7"/>
  <c r="G507" i="7"/>
  <c r="I507" i="6"/>
  <c r="G509" i="6"/>
  <c r="B510" i="6"/>
  <c r="J510" i="6"/>
  <c r="H512" i="6"/>
  <c r="C513" i="6"/>
  <c r="K513" i="6"/>
  <c r="A515" i="8"/>
  <c r="M515" i="7"/>
  <c r="E515" i="7"/>
  <c r="L515" i="7"/>
  <c r="D515" i="7"/>
  <c r="K515" i="7"/>
  <c r="C515" i="7"/>
  <c r="J515" i="7"/>
  <c r="B515" i="7"/>
  <c r="I515" i="7"/>
  <c r="G515" i="7"/>
  <c r="F515" i="7"/>
  <c r="I515" i="6"/>
  <c r="G517" i="6"/>
  <c r="B518" i="6"/>
  <c r="J518" i="6"/>
  <c r="H520" i="6"/>
  <c r="C521" i="6"/>
  <c r="K521" i="6"/>
  <c r="A523" i="8"/>
  <c r="M523" i="7"/>
  <c r="E523" i="7"/>
  <c r="L523" i="7"/>
  <c r="D523" i="7"/>
  <c r="K523" i="7"/>
  <c r="C523" i="7"/>
  <c r="J523" i="7"/>
  <c r="B523" i="7"/>
  <c r="I523" i="7"/>
  <c r="H523" i="7"/>
  <c r="G523" i="7"/>
  <c r="F523" i="7"/>
  <c r="I523" i="6"/>
  <c r="G525" i="6"/>
  <c r="B526" i="6"/>
  <c r="J526" i="6"/>
  <c r="H528" i="6"/>
  <c r="C529" i="6"/>
  <c r="K529" i="6"/>
  <c r="A531" i="8"/>
  <c r="M531" i="7"/>
  <c r="E531" i="7"/>
  <c r="L531" i="7"/>
  <c r="D531" i="7"/>
  <c r="K531" i="7"/>
  <c r="C531" i="7"/>
  <c r="J531" i="7"/>
  <c r="B531" i="7"/>
  <c r="I531" i="7"/>
  <c r="H531" i="7"/>
  <c r="G531" i="7"/>
  <c r="F531" i="7"/>
  <c r="I531" i="6"/>
  <c r="G533" i="6"/>
  <c r="B534" i="6"/>
  <c r="J534" i="6"/>
  <c r="H536" i="6"/>
  <c r="C537" i="6"/>
  <c r="K537" i="6"/>
  <c r="A539" i="8"/>
  <c r="M539" i="7"/>
  <c r="E539" i="7"/>
  <c r="L539" i="7"/>
  <c r="D539" i="7"/>
  <c r="K539" i="7"/>
  <c r="C539" i="7"/>
  <c r="J539" i="7"/>
  <c r="B539" i="7"/>
  <c r="I539" i="7"/>
  <c r="H539" i="7"/>
  <c r="G539" i="7"/>
  <c r="F539" i="7"/>
  <c r="I539" i="6"/>
  <c r="G541" i="6"/>
  <c r="B542" i="6"/>
  <c r="J542" i="6"/>
  <c r="H544" i="6"/>
  <c r="C545" i="6"/>
  <c r="K545" i="6"/>
  <c r="A547" i="8"/>
  <c r="M547" i="7"/>
  <c r="E547" i="7"/>
  <c r="L547" i="7"/>
  <c r="D547" i="7"/>
  <c r="K547" i="7"/>
  <c r="C547" i="7"/>
  <c r="J547" i="7"/>
  <c r="B547" i="7"/>
  <c r="I547" i="7"/>
  <c r="H547" i="7"/>
  <c r="G547" i="7"/>
  <c r="F547" i="7"/>
  <c r="I547" i="6"/>
  <c r="G549" i="6"/>
  <c r="B550" i="6"/>
  <c r="J550" i="6"/>
  <c r="H552" i="6"/>
  <c r="C553" i="6"/>
  <c r="K553" i="6"/>
  <c r="A555" i="8"/>
  <c r="M555" i="7"/>
  <c r="E555" i="7"/>
  <c r="L555" i="7"/>
  <c r="D555" i="7"/>
  <c r="K555" i="7"/>
  <c r="C555" i="7"/>
  <c r="J555" i="7"/>
  <c r="B555" i="7"/>
  <c r="I555" i="7"/>
  <c r="H555" i="7"/>
  <c r="G555" i="7"/>
  <c r="F555" i="7"/>
  <c r="I555" i="6"/>
  <c r="G557" i="6"/>
  <c r="B558" i="6"/>
  <c r="J558" i="6"/>
  <c r="H560" i="6"/>
  <c r="C561" i="6"/>
  <c r="K561" i="6"/>
  <c r="A563" i="8"/>
  <c r="M563" i="7"/>
  <c r="E563" i="7"/>
  <c r="L563" i="7"/>
  <c r="D563" i="7"/>
  <c r="K563" i="7"/>
  <c r="C563" i="7"/>
  <c r="J563" i="7"/>
  <c r="B563" i="7"/>
  <c r="I563" i="7"/>
  <c r="H563" i="7"/>
  <c r="I563" i="6"/>
  <c r="B566" i="6"/>
  <c r="J566" i="6"/>
  <c r="H568" i="6"/>
  <c r="C569" i="6"/>
  <c r="K569" i="6"/>
  <c r="A571" i="8"/>
  <c r="M571" i="7"/>
  <c r="E571" i="7"/>
  <c r="L571" i="7"/>
  <c r="D571" i="7"/>
  <c r="K571" i="7"/>
  <c r="C571" i="7"/>
  <c r="J571" i="7"/>
  <c r="B571" i="7"/>
  <c r="I571" i="7"/>
  <c r="F571" i="7"/>
  <c r="I571" i="6"/>
  <c r="B574" i="6"/>
  <c r="J574" i="6"/>
  <c r="H576" i="6"/>
  <c r="C577" i="6"/>
  <c r="K577" i="6"/>
  <c r="A579" i="8"/>
  <c r="M579" i="7"/>
  <c r="E579" i="7"/>
  <c r="L579" i="7"/>
  <c r="D579" i="7"/>
  <c r="K579" i="7"/>
  <c r="C579" i="7"/>
  <c r="J579" i="7"/>
  <c r="B579" i="7"/>
  <c r="I579" i="7"/>
  <c r="G579" i="7"/>
  <c r="F579" i="7"/>
  <c r="H579" i="7"/>
  <c r="I579" i="6"/>
  <c r="B582" i="6"/>
  <c r="J582" i="6"/>
  <c r="H584" i="6"/>
  <c r="C585" i="6"/>
  <c r="K585" i="6"/>
  <c r="A587" i="8"/>
  <c r="M587" i="7"/>
  <c r="E587" i="7"/>
  <c r="L587" i="7"/>
  <c r="D587" i="7"/>
  <c r="K587" i="7"/>
  <c r="C587" i="7"/>
  <c r="J587" i="7"/>
  <c r="B587" i="7"/>
  <c r="I587" i="7"/>
  <c r="H587" i="7"/>
  <c r="G587" i="7"/>
  <c r="F587" i="7"/>
  <c r="I587" i="6"/>
  <c r="B590" i="6"/>
  <c r="J590" i="6"/>
  <c r="H592" i="6"/>
  <c r="C593" i="6"/>
  <c r="K593" i="6"/>
  <c r="A595" i="8"/>
  <c r="M595" i="7"/>
  <c r="E595" i="7"/>
  <c r="L595" i="7"/>
  <c r="D595" i="7"/>
  <c r="K595" i="7"/>
  <c r="C595" i="7"/>
  <c r="J595" i="7"/>
  <c r="B595" i="7"/>
  <c r="I595" i="7"/>
  <c r="H595" i="7"/>
  <c r="G595" i="7"/>
  <c r="F595" i="7"/>
  <c r="I595" i="6"/>
  <c r="B598" i="6"/>
  <c r="J598" i="6"/>
  <c r="H600" i="6"/>
  <c r="C601" i="6"/>
  <c r="K601" i="6"/>
  <c r="A603" i="8"/>
  <c r="M603" i="7"/>
  <c r="E603" i="7"/>
  <c r="L603" i="7"/>
  <c r="D603" i="7"/>
  <c r="K603" i="7"/>
  <c r="C603" i="7"/>
  <c r="J603" i="7"/>
  <c r="B603" i="7"/>
  <c r="I603" i="7"/>
  <c r="H603" i="7"/>
  <c r="G603" i="7"/>
  <c r="F603" i="7"/>
  <c r="I603" i="6"/>
  <c r="B606" i="6"/>
  <c r="J606" i="6"/>
  <c r="H608" i="6"/>
  <c r="C609" i="6"/>
  <c r="K609" i="6"/>
  <c r="A611" i="8"/>
  <c r="M611" i="7"/>
  <c r="E611" i="7"/>
  <c r="L611" i="7"/>
  <c r="D611" i="7"/>
  <c r="K611" i="7"/>
  <c r="C611" i="7"/>
  <c r="J611" i="7"/>
  <c r="B611" i="7"/>
  <c r="I611" i="7"/>
  <c r="H611" i="7"/>
  <c r="G611" i="7"/>
  <c r="I611" i="6"/>
  <c r="B614" i="6"/>
  <c r="J614" i="6"/>
  <c r="H616" i="6"/>
  <c r="C617" i="6"/>
  <c r="K617" i="6"/>
  <c r="A619" i="8"/>
  <c r="M619" i="7"/>
  <c r="E619" i="7"/>
  <c r="L619" i="7"/>
  <c r="D619" i="7"/>
  <c r="K619" i="7"/>
  <c r="C619" i="7"/>
  <c r="J619" i="7"/>
  <c r="B619" i="7"/>
  <c r="I619" i="7"/>
  <c r="H619" i="7"/>
  <c r="I619" i="6"/>
  <c r="B622" i="6"/>
  <c r="J622" i="6"/>
  <c r="H624" i="6"/>
  <c r="C625" i="6"/>
  <c r="K625" i="6"/>
  <c r="A627" i="8"/>
  <c r="M627" i="7"/>
  <c r="E627" i="7"/>
  <c r="L627" i="7"/>
  <c r="D627" i="7"/>
  <c r="K627" i="7"/>
  <c r="C627" i="7"/>
  <c r="J627" i="7"/>
  <c r="B627" i="7"/>
  <c r="I627" i="7"/>
  <c r="G627" i="7"/>
  <c r="F627" i="7"/>
  <c r="I627" i="6"/>
  <c r="G629" i="6"/>
  <c r="B630" i="6"/>
  <c r="J630" i="6"/>
  <c r="H632" i="6"/>
  <c r="C633" i="6"/>
  <c r="K633" i="6"/>
  <c r="A635" i="8"/>
  <c r="M635" i="7"/>
  <c r="E635" i="7"/>
  <c r="L635" i="7"/>
  <c r="D635" i="7"/>
  <c r="K635" i="7"/>
  <c r="C635" i="7"/>
  <c r="J635" i="7"/>
  <c r="B635" i="7"/>
  <c r="I635" i="7"/>
  <c r="F635" i="7"/>
  <c r="H635" i="7"/>
  <c r="G635" i="7"/>
  <c r="I635" i="6"/>
  <c r="G637" i="6"/>
  <c r="B638" i="6"/>
  <c r="J638" i="6"/>
  <c r="H640" i="6"/>
  <c r="C641" i="6"/>
  <c r="K641" i="6"/>
  <c r="A643" i="8"/>
  <c r="M643" i="7"/>
  <c r="E643" i="7"/>
  <c r="L643" i="7"/>
  <c r="D643" i="7"/>
  <c r="K643" i="7"/>
  <c r="C643" i="7"/>
  <c r="J643" i="7"/>
  <c r="B643" i="7"/>
  <c r="I643" i="7"/>
  <c r="G643" i="7"/>
  <c r="F643" i="7"/>
  <c r="H643" i="7"/>
  <c r="I643" i="6"/>
  <c r="G645" i="6"/>
  <c r="B646" i="6"/>
  <c r="J646" i="6"/>
  <c r="H648" i="6"/>
  <c r="C649" i="6"/>
  <c r="K649" i="6"/>
  <c r="A651" i="8"/>
  <c r="M651" i="7"/>
  <c r="E651" i="7"/>
  <c r="L651" i="7"/>
  <c r="D651" i="7"/>
  <c r="K651" i="7"/>
  <c r="C651" i="7"/>
  <c r="J651" i="7"/>
  <c r="B651" i="7"/>
  <c r="I651" i="7"/>
  <c r="H651" i="7"/>
  <c r="G651" i="7"/>
  <c r="F651" i="7"/>
  <c r="I651" i="6"/>
  <c r="G653" i="6"/>
  <c r="B654" i="6"/>
  <c r="J654" i="6"/>
  <c r="H656" i="6"/>
  <c r="C657" i="6"/>
  <c r="K657" i="6"/>
  <c r="A659" i="8"/>
  <c r="M659" i="7"/>
  <c r="E659" i="7"/>
  <c r="L659" i="7"/>
  <c r="D659" i="7"/>
  <c r="K659" i="7"/>
  <c r="C659" i="7"/>
  <c r="J659" i="7"/>
  <c r="B659" i="7"/>
  <c r="I659" i="7"/>
  <c r="H659" i="7"/>
  <c r="G659" i="7"/>
  <c r="F659" i="7"/>
  <c r="I659" i="6"/>
  <c r="G661" i="6"/>
  <c r="B662" i="6"/>
  <c r="J662" i="6"/>
  <c r="H664" i="6"/>
  <c r="C665" i="6"/>
  <c r="K665" i="6"/>
  <c r="A667" i="8"/>
  <c r="J667" i="7"/>
  <c r="B667" i="7"/>
  <c r="I667" i="7"/>
  <c r="H667" i="7"/>
  <c r="G667" i="7"/>
  <c r="F667" i="7"/>
  <c r="E667" i="7"/>
  <c r="D667" i="7"/>
  <c r="C667" i="7"/>
  <c r="M667" i="7"/>
  <c r="L667" i="7"/>
  <c r="K667" i="7"/>
  <c r="I667" i="6"/>
  <c r="G669" i="6"/>
  <c r="B670" i="6"/>
  <c r="J670" i="6"/>
  <c r="H672" i="6"/>
  <c r="C673" i="6"/>
  <c r="K673" i="6"/>
  <c r="A675" i="8"/>
  <c r="J675" i="7"/>
  <c r="B675" i="7"/>
  <c r="I675" i="7"/>
  <c r="H675" i="7"/>
  <c r="G675" i="7"/>
  <c r="M675" i="7"/>
  <c r="L675" i="7"/>
  <c r="K675" i="7"/>
  <c r="F675" i="7"/>
  <c r="C675" i="7"/>
  <c r="E675" i="7"/>
  <c r="D675" i="7"/>
  <c r="I675" i="6"/>
  <c r="D676" i="6"/>
  <c r="L676" i="6"/>
  <c r="G677" i="6"/>
  <c r="B678" i="6"/>
  <c r="J678" i="6"/>
  <c r="H680" i="6"/>
  <c r="C681" i="6"/>
  <c r="K681" i="6"/>
  <c r="A683" i="8"/>
  <c r="J683" i="7"/>
  <c r="B683" i="7"/>
  <c r="I683" i="7"/>
  <c r="H683" i="7"/>
  <c r="G683" i="7"/>
  <c r="F683" i="7"/>
  <c r="E683" i="7"/>
  <c r="D683" i="7"/>
  <c r="C683" i="7"/>
  <c r="M683" i="7"/>
  <c r="L683" i="7"/>
  <c r="K683" i="7"/>
  <c r="I683" i="6"/>
  <c r="D684" i="6"/>
  <c r="L684" i="6"/>
  <c r="G685" i="6"/>
  <c r="B686" i="6"/>
  <c r="J686" i="6"/>
  <c r="H688" i="6"/>
  <c r="C689" i="6"/>
  <c r="K689" i="6"/>
  <c r="A691" i="8"/>
  <c r="J691" i="7"/>
  <c r="B691" i="7"/>
  <c r="I691" i="7"/>
  <c r="H691" i="7"/>
  <c r="G691" i="7"/>
  <c r="M691" i="7"/>
  <c r="L691" i="7"/>
  <c r="K691" i="7"/>
  <c r="F691" i="7"/>
  <c r="D691" i="7"/>
  <c r="C691" i="7"/>
  <c r="E691" i="7"/>
  <c r="I691" i="6"/>
  <c r="D692" i="6"/>
  <c r="L692" i="6"/>
  <c r="G693" i="6"/>
  <c r="B694" i="6"/>
  <c r="J694" i="6"/>
  <c r="H696" i="6"/>
  <c r="C697" i="6"/>
  <c r="K697" i="6"/>
  <c r="A699" i="8"/>
  <c r="K699" i="7"/>
  <c r="C699" i="7"/>
  <c r="J699" i="7"/>
  <c r="B699" i="7"/>
  <c r="I699" i="7"/>
  <c r="H699" i="7"/>
  <c r="G699" i="7"/>
  <c r="L699" i="7"/>
  <c r="F699" i="7"/>
  <c r="E699" i="7"/>
  <c r="D699" i="7"/>
  <c r="I699" i="6"/>
  <c r="D700" i="6"/>
  <c r="L700" i="6"/>
  <c r="G701" i="6"/>
  <c r="B702" i="6"/>
  <c r="J702" i="6"/>
  <c r="H704" i="6"/>
  <c r="C705" i="6"/>
  <c r="K705" i="6"/>
  <c r="A707" i="8"/>
  <c r="K707" i="7"/>
  <c r="C707" i="7"/>
  <c r="J707" i="7"/>
  <c r="B707" i="7"/>
  <c r="I707" i="7"/>
  <c r="H707" i="7"/>
  <c r="G707" i="7"/>
  <c r="M707" i="7"/>
  <c r="L707" i="7"/>
  <c r="F707" i="7"/>
  <c r="E707" i="7"/>
  <c r="D707" i="7"/>
  <c r="I707" i="6"/>
  <c r="D708" i="6"/>
  <c r="L708" i="6"/>
  <c r="G709" i="6"/>
  <c r="B710" i="6"/>
  <c r="J710" i="6"/>
  <c r="H712" i="6"/>
  <c r="C713" i="6"/>
  <c r="K713" i="6"/>
  <c r="A715" i="8"/>
  <c r="K715" i="7"/>
  <c r="C715" i="7"/>
  <c r="J715" i="7"/>
  <c r="B715" i="7"/>
  <c r="I715" i="7"/>
  <c r="H715" i="7"/>
  <c r="G715" i="7"/>
  <c r="M715" i="7"/>
  <c r="L715" i="7"/>
  <c r="F715" i="7"/>
  <c r="E715" i="7"/>
  <c r="D715" i="7"/>
  <c r="I715" i="6"/>
  <c r="D716" i="6"/>
  <c r="L716" i="6"/>
  <c r="G717" i="6"/>
  <c r="B718" i="6"/>
  <c r="J718" i="6"/>
  <c r="H720" i="6"/>
  <c r="C721" i="6"/>
  <c r="K721" i="6"/>
  <c r="A723" i="8"/>
  <c r="K723" i="7"/>
  <c r="C723" i="7"/>
  <c r="J723" i="7"/>
  <c r="B723" i="7"/>
  <c r="I723" i="7"/>
  <c r="H723" i="7"/>
  <c r="G723" i="7"/>
  <c r="M723" i="7"/>
  <c r="L723" i="7"/>
  <c r="F723" i="7"/>
  <c r="E723" i="7"/>
  <c r="D723" i="7"/>
  <c r="I723" i="6"/>
  <c r="D724" i="6"/>
  <c r="L724" i="6"/>
  <c r="G725" i="6"/>
  <c r="B726" i="6"/>
  <c r="J726" i="6"/>
  <c r="H728" i="6"/>
  <c r="C729" i="6"/>
  <c r="K729" i="6"/>
  <c r="A731" i="8"/>
  <c r="K731" i="7"/>
  <c r="C731" i="7"/>
  <c r="J731" i="7"/>
  <c r="B731" i="7"/>
  <c r="I731" i="7"/>
  <c r="H731" i="7"/>
  <c r="G731" i="7"/>
  <c r="M731" i="7"/>
  <c r="L731" i="7"/>
  <c r="F731" i="7"/>
  <c r="D731" i="7"/>
  <c r="I731" i="6"/>
  <c r="D732" i="6"/>
  <c r="L732" i="6"/>
  <c r="G733" i="6"/>
  <c r="B734" i="6"/>
  <c r="J734" i="6"/>
  <c r="H736" i="6"/>
  <c r="C737" i="6"/>
  <c r="K737" i="6"/>
  <c r="A739" i="8"/>
  <c r="K739" i="7"/>
  <c r="C739" i="7"/>
  <c r="J739" i="7"/>
  <c r="B739" i="7"/>
  <c r="I739" i="7"/>
  <c r="H739" i="7"/>
  <c r="G739" i="7"/>
  <c r="D739" i="7"/>
  <c r="M739" i="7"/>
  <c r="L739" i="7"/>
  <c r="F739" i="7"/>
  <c r="E739" i="7"/>
  <c r="I739" i="6"/>
  <c r="D740" i="6"/>
  <c r="L740" i="6"/>
  <c r="G741" i="6"/>
  <c r="B742" i="6"/>
  <c r="J742" i="6"/>
  <c r="H744" i="6"/>
  <c r="C745" i="6"/>
  <c r="K745" i="6"/>
  <c r="A747" i="8"/>
  <c r="K747" i="7"/>
  <c r="C747" i="7"/>
  <c r="J747" i="7"/>
  <c r="B747" i="7"/>
  <c r="I747" i="7"/>
  <c r="H747" i="7"/>
  <c r="G747" i="7"/>
  <c r="E747" i="7"/>
  <c r="D747" i="7"/>
  <c r="F747" i="7"/>
  <c r="M747" i="7"/>
  <c r="I747" i="6"/>
  <c r="D748" i="6"/>
  <c r="L748" i="6"/>
  <c r="G749" i="6"/>
  <c r="B750" i="6"/>
  <c r="J750" i="6"/>
  <c r="H752" i="6"/>
  <c r="C753" i="6"/>
  <c r="K753" i="6"/>
  <c r="A755" i="8"/>
  <c r="K755" i="7"/>
  <c r="C755" i="7"/>
  <c r="J755" i="7"/>
  <c r="B755" i="7"/>
  <c r="I755" i="7"/>
  <c r="H755" i="7"/>
  <c r="G755" i="7"/>
  <c r="F755" i="7"/>
  <c r="E755" i="7"/>
  <c r="D755" i="7"/>
  <c r="M755" i="7"/>
  <c r="L755" i="7"/>
  <c r="I755" i="6"/>
  <c r="D756" i="6"/>
  <c r="L756" i="6"/>
  <c r="G757" i="6"/>
  <c r="B758" i="6"/>
  <c r="J758" i="6"/>
  <c r="H760" i="6"/>
  <c r="C761" i="6"/>
  <c r="K761" i="6"/>
  <c r="A763" i="8"/>
  <c r="K763" i="7"/>
  <c r="C763" i="7"/>
  <c r="J763" i="7"/>
  <c r="B763" i="7"/>
  <c r="I763" i="7"/>
  <c r="H763" i="7"/>
  <c r="G763" i="7"/>
  <c r="L763" i="7"/>
  <c r="F763" i="7"/>
  <c r="E763" i="7"/>
  <c r="D763" i="7"/>
  <c r="M763" i="7"/>
  <c r="I763" i="6"/>
  <c r="D764" i="6"/>
  <c r="L764" i="6"/>
  <c r="G765" i="6"/>
  <c r="B766" i="6"/>
  <c r="J766" i="6"/>
  <c r="H768" i="6"/>
  <c r="C769" i="6"/>
  <c r="K769" i="6"/>
  <c r="A771" i="8"/>
  <c r="K771" i="7"/>
  <c r="C771" i="7"/>
  <c r="J771" i="7"/>
  <c r="B771" i="7"/>
  <c r="I771" i="7"/>
  <c r="H771" i="7"/>
  <c r="G771" i="7"/>
  <c r="M771" i="7"/>
  <c r="L771" i="7"/>
  <c r="F771" i="7"/>
  <c r="E771" i="7"/>
  <c r="D771" i="7"/>
  <c r="I771" i="6"/>
  <c r="D772" i="6"/>
  <c r="L772" i="6"/>
  <c r="G773" i="6"/>
  <c r="B774" i="6"/>
  <c r="J774" i="6"/>
  <c r="H776" i="6"/>
  <c r="C777" i="6"/>
  <c r="K777" i="6"/>
  <c r="A779" i="8"/>
  <c r="K779" i="7"/>
  <c r="C779" i="7"/>
  <c r="J779" i="7"/>
  <c r="B779" i="7"/>
  <c r="I779" i="7"/>
  <c r="H779" i="7"/>
  <c r="G779" i="7"/>
  <c r="M779" i="7"/>
  <c r="L779" i="7"/>
  <c r="F779" i="7"/>
  <c r="E779" i="7"/>
  <c r="I779" i="6"/>
  <c r="D780" i="6"/>
  <c r="L780" i="6"/>
  <c r="B782" i="6"/>
  <c r="J782" i="6"/>
  <c r="H784" i="6"/>
  <c r="C785" i="6"/>
  <c r="K785" i="6"/>
  <c r="A787" i="8"/>
  <c r="K787" i="7"/>
  <c r="C787" i="7"/>
  <c r="J787" i="7"/>
  <c r="B787" i="7"/>
  <c r="I787" i="7"/>
  <c r="H787" i="7"/>
  <c r="G787" i="7"/>
  <c r="M787" i="7"/>
  <c r="L787" i="7"/>
  <c r="F787" i="7"/>
  <c r="E787" i="7"/>
  <c r="D787" i="7"/>
  <c r="I787" i="6"/>
  <c r="D788" i="6"/>
  <c r="L788" i="6"/>
  <c r="B790" i="6"/>
  <c r="J790" i="6"/>
  <c r="B794" i="6"/>
  <c r="K794" i="6"/>
  <c r="C796" i="6"/>
  <c r="L796" i="6"/>
  <c r="C798" i="6"/>
  <c r="M798" i="6"/>
  <c r="E800" i="6"/>
  <c r="A801" i="7"/>
  <c r="M801" i="6"/>
  <c r="E801" i="6"/>
  <c r="J801" i="6"/>
  <c r="E803" i="6"/>
  <c r="C806" i="6"/>
  <c r="A807" i="7"/>
  <c r="J807" i="6"/>
  <c r="B807" i="6"/>
  <c r="G807" i="6"/>
  <c r="L807" i="6"/>
  <c r="E810" i="6"/>
  <c r="B811" i="6"/>
  <c r="M811" i="6"/>
  <c r="A814" i="7"/>
  <c r="G814" i="6"/>
  <c r="L814" i="6"/>
  <c r="D814" i="6"/>
  <c r="K814" i="6"/>
  <c r="C814" i="6"/>
  <c r="A815" i="7"/>
  <c r="J815" i="6"/>
  <c r="B815" i="6"/>
  <c r="G815" i="6"/>
  <c r="F815" i="6"/>
  <c r="M815" i="6"/>
  <c r="C847" i="6"/>
  <c r="B849" i="6"/>
  <c r="G851" i="6"/>
  <c r="A859" i="7"/>
  <c r="F859" i="6"/>
  <c r="L859" i="6"/>
  <c r="D859" i="6"/>
  <c r="K859" i="6"/>
  <c r="C859" i="6"/>
  <c r="J859" i="6"/>
  <c r="B859" i="6"/>
  <c r="H862" i="6"/>
  <c r="B870" i="6"/>
  <c r="E871" i="6"/>
  <c r="G873" i="6"/>
  <c r="C879" i="6"/>
  <c r="B881" i="6"/>
  <c r="G883" i="6"/>
  <c r="A891" i="7"/>
  <c r="F891" i="6"/>
  <c r="L891" i="6"/>
  <c r="D891" i="6"/>
  <c r="K891" i="6"/>
  <c r="C891" i="6"/>
  <c r="J891" i="6"/>
  <c r="B891" i="6"/>
  <c r="G899" i="6"/>
  <c r="I905" i="6"/>
  <c r="I910" i="6"/>
  <c r="G915" i="6"/>
  <c r="I921" i="6"/>
  <c r="I926" i="6"/>
  <c r="G931" i="6"/>
  <c r="I937" i="6"/>
  <c r="I942" i="6"/>
  <c r="G947" i="6"/>
  <c r="I953" i="6"/>
  <c r="I958" i="6"/>
  <c r="G963" i="6"/>
  <c r="A966" i="7"/>
  <c r="G966" i="6"/>
  <c r="F966" i="6"/>
  <c r="M966" i="6"/>
  <c r="E966" i="6"/>
  <c r="L966" i="6"/>
  <c r="D966" i="6"/>
  <c r="K966" i="6"/>
  <c r="C966" i="6"/>
  <c r="A977" i="7"/>
  <c r="H977" i="6"/>
  <c r="G977" i="6"/>
  <c r="F977" i="6"/>
  <c r="M977" i="6"/>
  <c r="E977" i="6"/>
  <c r="L977" i="6"/>
  <c r="D977" i="6"/>
  <c r="H979" i="6"/>
  <c r="A982" i="7"/>
  <c r="G982" i="6"/>
  <c r="F982" i="6"/>
  <c r="M982" i="6"/>
  <c r="E982" i="6"/>
  <c r="L982" i="6"/>
  <c r="D982" i="6"/>
  <c r="K982" i="6"/>
  <c r="C982" i="6"/>
  <c r="A987" i="7"/>
  <c r="F987" i="6"/>
  <c r="M987" i="6"/>
  <c r="E987" i="6"/>
  <c r="L987" i="6"/>
  <c r="D987" i="6"/>
  <c r="K987" i="6"/>
  <c r="C987" i="6"/>
  <c r="J987" i="6"/>
  <c r="B987" i="6"/>
  <c r="C993" i="6"/>
  <c r="I115" i="7"/>
  <c r="H118" i="7"/>
  <c r="G125" i="7"/>
  <c r="B150" i="7"/>
  <c r="I158" i="7"/>
  <c r="G163" i="7"/>
  <c r="I171" i="7"/>
  <c r="G189" i="7"/>
  <c r="A198" i="7"/>
  <c r="F237" i="7"/>
  <c r="I294" i="7"/>
  <c r="I307" i="7"/>
  <c r="H353" i="7"/>
  <c r="G366" i="7"/>
  <c r="A401" i="7"/>
  <c r="H435" i="7"/>
  <c r="F483" i="7"/>
  <c r="I553" i="7"/>
  <c r="G563" i="7"/>
  <c r="A598" i="7"/>
  <c r="J633" i="7"/>
  <c r="M699" i="7"/>
  <c r="E731" i="7"/>
  <c r="A248" i="8"/>
  <c r="M248" i="7"/>
  <c r="E248" i="7"/>
  <c r="L248" i="7"/>
  <c r="D248" i="7"/>
  <c r="K248" i="7"/>
  <c r="C248" i="7"/>
  <c r="J248" i="7"/>
  <c r="B248" i="7"/>
  <c r="I248" i="7"/>
  <c r="G248" i="7"/>
  <c r="F248" i="7"/>
  <c r="I248" i="6"/>
  <c r="A256" i="8"/>
  <c r="M256" i="7"/>
  <c r="E256" i="7"/>
  <c r="L256" i="7"/>
  <c r="D256" i="7"/>
  <c r="K256" i="7"/>
  <c r="C256" i="7"/>
  <c r="J256" i="7"/>
  <c r="B256" i="7"/>
  <c r="I256" i="7"/>
  <c r="H256" i="7"/>
  <c r="G256" i="7"/>
  <c r="F256" i="7"/>
  <c r="I256" i="6"/>
  <c r="A264" i="8"/>
  <c r="M264" i="7"/>
  <c r="E264" i="7"/>
  <c r="L264" i="7"/>
  <c r="D264" i="7"/>
  <c r="K264" i="7"/>
  <c r="C264" i="7"/>
  <c r="J264" i="7"/>
  <c r="B264" i="7"/>
  <c r="I264" i="7"/>
  <c r="H264" i="7"/>
  <c r="G264" i="7"/>
  <c r="F264" i="7"/>
  <c r="I264" i="6"/>
  <c r="A272" i="8"/>
  <c r="M272" i="7"/>
  <c r="E272" i="7"/>
  <c r="L272" i="7"/>
  <c r="D272" i="7"/>
  <c r="K272" i="7"/>
  <c r="C272" i="7"/>
  <c r="J272" i="7"/>
  <c r="B272" i="7"/>
  <c r="I272" i="7"/>
  <c r="H272" i="7"/>
  <c r="G272" i="7"/>
  <c r="F272" i="7"/>
  <c r="I272" i="6"/>
  <c r="A280" i="8"/>
  <c r="M280" i="7"/>
  <c r="E280" i="7"/>
  <c r="L280" i="7"/>
  <c r="D280" i="7"/>
  <c r="K280" i="7"/>
  <c r="C280" i="7"/>
  <c r="J280" i="7"/>
  <c r="B280" i="7"/>
  <c r="I280" i="7"/>
  <c r="H280" i="7"/>
  <c r="G280" i="7"/>
  <c r="I280" i="6"/>
  <c r="A288" i="8"/>
  <c r="M288" i="7"/>
  <c r="E288" i="7"/>
  <c r="L288" i="7"/>
  <c r="D288" i="7"/>
  <c r="K288" i="7"/>
  <c r="C288" i="7"/>
  <c r="J288" i="7"/>
  <c r="B288" i="7"/>
  <c r="I288" i="7"/>
  <c r="H288" i="7"/>
  <c r="I288" i="6"/>
  <c r="A296" i="8"/>
  <c r="M296" i="7"/>
  <c r="E296" i="7"/>
  <c r="L296" i="7"/>
  <c r="D296" i="7"/>
  <c r="K296" i="7"/>
  <c r="C296" i="7"/>
  <c r="J296" i="7"/>
  <c r="B296" i="7"/>
  <c r="I296" i="7"/>
  <c r="I296" i="6"/>
  <c r="A304" i="8"/>
  <c r="M304" i="7"/>
  <c r="E304" i="7"/>
  <c r="L304" i="7"/>
  <c r="D304" i="7"/>
  <c r="K304" i="7"/>
  <c r="C304" i="7"/>
  <c r="J304" i="7"/>
  <c r="B304" i="7"/>
  <c r="I304" i="7"/>
  <c r="F304" i="7"/>
  <c r="I304" i="6"/>
  <c r="A312" i="8"/>
  <c r="M312" i="7"/>
  <c r="E312" i="7"/>
  <c r="L312" i="7"/>
  <c r="D312" i="7"/>
  <c r="K312" i="7"/>
  <c r="C312" i="7"/>
  <c r="J312" i="7"/>
  <c r="B312" i="7"/>
  <c r="I312" i="7"/>
  <c r="G312" i="7"/>
  <c r="F312" i="7"/>
  <c r="I312" i="6"/>
  <c r="A320" i="8"/>
  <c r="M320" i="7"/>
  <c r="E320" i="7"/>
  <c r="L320" i="7"/>
  <c r="D320" i="7"/>
  <c r="K320" i="7"/>
  <c r="C320" i="7"/>
  <c r="J320" i="7"/>
  <c r="B320" i="7"/>
  <c r="I320" i="7"/>
  <c r="H320" i="7"/>
  <c r="G320" i="7"/>
  <c r="F320" i="7"/>
  <c r="I320" i="6"/>
  <c r="A328" i="8"/>
  <c r="L328" i="7"/>
  <c r="D328" i="7"/>
  <c r="J328" i="7"/>
  <c r="B328" i="7"/>
  <c r="I328" i="7"/>
  <c r="H328" i="7"/>
  <c r="K328" i="7"/>
  <c r="G328" i="7"/>
  <c r="F328" i="7"/>
  <c r="E328" i="7"/>
  <c r="C328" i="7"/>
  <c r="M328" i="7"/>
  <c r="I328" i="6"/>
  <c r="A336" i="8"/>
  <c r="L336" i="7"/>
  <c r="D336" i="7"/>
  <c r="K336" i="7"/>
  <c r="C336" i="7"/>
  <c r="J336" i="7"/>
  <c r="B336" i="7"/>
  <c r="I336" i="7"/>
  <c r="H336" i="7"/>
  <c r="G336" i="7"/>
  <c r="F336" i="7"/>
  <c r="E336" i="7"/>
  <c r="M336" i="7"/>
  <c r="I336" i="6"/>
  <c r="A344" i="8"/>
  <c r="L344" i="7"/>
  <c r="D344" i="7"/>
  <c r="K344" i="7"/>
  <c r="C344" i="7"/>
  <c r="J344" i="7"/>
  <c r="B344" i="7"/>
  <c r="I344" i="7"/>
  <c r="H344" i="7"/>
  <c r="M344" i="7"/>
  <c r="G344" i="7"/>
  <c r="F344" i="7"/>
  <c r="E344" i="7"/>
  <c r="I344" i="6"/>
  <c r="D345" i="6"/>
  <c r="L345" i="6"/>
  <c r="A352" i="8"/>
  <c r="L352" i="7"/>
  <c r="D352" i="7"/>
  <c r="K352" i="7"/>
  <c r="C352" i="7"/>
  <c r="J352" i="7"/>
  <c r="B352" i="7"/>
  <c r="I352" i="7"/>
  <c r="H352" i="7"/>
  <c r="M352" i="7"/>
  <c r="G352" i="7"/>
  <c r="F352" i="7"/>
  <c r="E352" i="7"/>
  <c r="I352" i="6"/>
  <c r="D353" i="6"/>
  <c r="L353" i="6"/>
  <c r="A360" i="8"/>
  <c r="L360" i="7"/>
  <c r="D360" i="7"/>
  <c r="K360" i="7"/>
  <c r="C360" i="7"/>
  <c r="J360" i="7"/>
  <c r="B360" i="7"/>
  <c r="I360" i="7"/>
  <c r="H360" i="7"/>
  <c r="M360" i="7"/>
  <c r="G360" i="7"/>
  <c r="F360" i="7"/>
  <c r="E360" i="7"/>
  <c r="I360" i="6"/>
  <c r="D361" i="6"/>
  <c r="L361" i="6"/>
  <c r="A368" i="8"/>
  <c r="L368" i="7"/>
  <c r="D368" i="7"/>
  <c r="K368" i="7"/>
  <c r="C368" i="7"/>
  <c r="J368" i="7"/>
  <c r="B368" i="7"/>
  <c r="I368" i="7"/>
  <c r="H368" i="7"/>
  <c r="M368" i="7"/>
  <c r="G368" i="7"/>
  <c r="F368" i="7"/>
  <c r="E368" i="7"/>
  <c r="I368" i="6"/>
  <c r="D369" i="6"/>
  <c r="L369" i="6"/>
  <c r="A376" i="8"/>
  <c r="L376" i="7"/>
  <c r="D376" i="7"/>
  <c r="K376" i="7"/>
  <c r="C376" i="7"/>
  <c r="J376" i="7"/>
  <c r="B376" i="7"/>
  <c r="I376" i="7"/>
  <c r="H376" i="7"/>
  <c r="M376" i="7"/>
  <c r="G376" i="7"/>
  <c r="F376" i="7"/>
  <c r="E376" i="7"/>
  <c r="I376" i="6"/>
  <c r="D377" i="6"/>
  <c r="L377" i="6"/>
  <c r="A384" i="8"/>
  <c r="L384" i="7"/>
  <c r="D384" i="7"/>
  <c r="K384" i="7"/>
  <c r="C384" i="7"/>
  <c r="J384" i="7"/>
  <c r="B384" i="7"/>
  <c r="I384" i="7"/>
  <c r="H384" i="7"/>
  <c r="E384" i="7"/>
  <c r="M384" i="7"/>
  <c r="G384" i="7"/>
  <c r="I384" i="6"/>
  <c r="D385" i="6"/>
  <c r="L385" i="6"/>
  <c r="A392" i="8"/>
  <c r="L392" i="7"/>
  <c r="D392" i="7"/>
  <c r="K392" i="7"/>
  <c r="C392" i="7"/>
  <c r="J392" i="7"/>
  <c r="B392" i="7"/>
  <c r="I392" i="7"/>
  <c r="H392" i="7"/>
  <c r="F392" i="7"/>
  <c r="E392" i="7"/>
  <c r="I392" i="6"/>
  <c r="D393" i="6"/>
  <c r="L393" i="6"/>
  <c r="A400" i="8"/>
  <c r="L400" i="7"/>
  <c r="D400" i="7"/>
  <c r="K400" i="7"/>
  <c r="C400" i="7"/>
  <c r="J400" i="7"/>
  <c r="B400" i="7"/>
  <c r="I400" i="7"/>
  <c r="H400" i="7"/>
  <c r="G400" i="7"/>
  <c r="F400" i="7"/>
  <c r="E400" i="7"/>
  <c r="I400" i="6"/>
  <c r="D401" i="6"/>
  <c r="L401" i="6"/>
  <c r="A408" i="8"/>
  <c r="L408" i="7"/>
  <c r="D408" i="7"/>
  <c r="K408" i="7"/>
  <c r="C408" i="7"/>
  <c r="J408" i="7"/>
  <c r="B408" i="7"/>
  <c r="I408" i="7"/>
  <c r="H408" i="7"/>
  <c r="M408" i="7"/>
  <c r="G408" i="7"/>
  <c r="F408" i="7"/>
  <c r="E408" i="7"/>
  <c r="I408" i="6"/>
  <c r="D409" i="6"/>
  <c r="L409" i="6"/>
  <c r="A416" i="8"/>
  <c r="L416" i="7"/>
  <c r="D416" i="7"/>
  <c r="K416" i="7"/>
  <c r="C416" i="7"/>
  <c r="J416" i="7"/>
  <c r="B416" i="7"/>
  <c r="I416" i="7"/>
  <c r="H416" i="7"/>
  <c r="M416" i="7"/>
  <c r="G416" i="7"/>
  <c r="F416" i="7"/>
  <c r="E416" i="7"/>
  <c r="I416" i="6"/>
  <c r="D417" i="6"/>
  <c r="L417" i="6"/>
  <c r="A424" i="8"/>
  <c r="L424" i="7"/>
  <c r="D424" i="7"/>
  <c r="K424" i="7"/>
  <c r="C424" i="7"/>
  <c r="J424" i="7"/>
  <c r="B424" i="7"/>
  <c r="I424" i="7"/>
  <c r="H424" i="7"/>
  <c r="M424" i="7"/>
  <c r="G424" i="7"/>
  <c r="F424" i="7"/>
  <c r="E424" i="7"/>
  <c r="I424" i="6"/>
  <c r="D425" i="6"/>
  <c r="L425" i="6"/>
  <c r="A432" i="8"/>
  <c r="L432" i="7"/>
  <c r="D432" i="7"/>
  <c r="K432" i="7"/>
  <c r="C432" i="7"/>
  <c r="J432" i="7"/>
  <c r="B432" i="7"/>
  <c r="I432" i="7"/>
  <c r="H432" i="7"/>
  <c r="M432" i="7"/>
  <c r="G432" i="7"/>
  <c r="F432" i="7"/>
  <c r="I432" i="6"/>
  <c r="D433" i="6"/>
  <c r="L433" i="6"/>
  <c r="A440" i="8"/>
  <c r="L440" i="7"/>
  <c r="D440" i="7"/>
  <c r="K440" i="7"/>
  <c r="C440" i="7"/>
  <c r="J440" i="7"/>
  <c r="B440" i="7"/>
  <c r="I440" i="7"/>
  <c r="H440" i="7"/>
  <c r="M440" i="7"/>
  <c r="I440" i="6"/>
  <c r="D441" i="6"/>
  <c r="L441" i="6"/>
  <c r="A448" i="8"/>
  <c r="L448" i="7"/>
  <c r="D448" i="7"/>
  <c r="K448" i="7"/>
  <c r="C448" i="7"/>
  <c r="J448" i="7"/>
  <c r="B448" i="7"/>
  <c r="I448" i="7"/>
  <c r="H448" i="7"/>
  <c r="E448" i="7"/>
  <c r="F448" i="7"/>
  <c r="I448" i="6"/>
  <c r="D449" i="6"/>
  <c r="L449" i="6"/>
  <c r="A456" i="8"/>
  <c r="L456" i="7"/>
  <c r="D456" i="7"/>
  <c r="K456" i="7"/>
  <c r="C456" i="7"/>
  <c r="J456" i="7"/>
  <c r="B456" i="7"/>
  <c r="I456" i="7"/>
  <c r="H456" i="7"/>
  <c r="F456" i="7"/>
  <c r="E456" i="7"/>
  <c r="M456" i="7"/>
  <c r="G456" i="7"/>
  <c r="I456" i="6"/>
  <c r="D457" i="6"/>
  <c r="L457" i="6"/>
  <c r="A464" i="8"/>
  <c r="L464" i="7"/>
  <c r="D464" i="7"/>
  <c r="K464" i="7"/>
  <c r="C464" i="7"/>
  <c r="J464" i="7"/>
  <c r="B464" i="7"/>
  <c r="I464" i="7"/>
  <c r="H464" i="7"/>
  <c r="G464" i="7"/>
  <c r="F464" i="7"/>
  <c r="E464" i="7"/>
  <c r="M464" i="7"/>
  <c r="I464" i="6"/>
  <c r="D465" i="6"/>
  <c r="L465" i="6"/>
  <c r="A472" i="8"/>
  <c r="L472" i="7"/>
  <c r="D472" i="7"/>
  <c r="K472" i="7"/>
  <c r="C472" i="7"/>
  <c r="J472" i="7"/>
  <c r="B472" i="7"/>
  <c r="I472" i="7"/>
  <c r="H472" i="7"/>
  <c r="M472" i="7"/>
  <c r="G472" i="7"/>
  <c r="F472" i="7"/>
  <c r="E472" i="7"/>
  <c r="I472" i="6"/>
  <c r="D473" i="6"/>
  <c r="L473" i="6"/>
  <c r="A480" i="8"/>
  <c r="L480" i="7"/>
  <c r="D480" i="7"/>
  <c r="K480" i="7"/>
  <c r="C480" i="7"/>
  <c r="J480" i="7"/>
  <c r="B480" i="7"/>
  <c r="I480" i="7"/>
  <c r="H480" i="7"/>
  <c r="M480" i="7"/>
  <c r="G480" i="7"/>
  <c r="F480" i="7"/>
  <c r="E480" i="7"/>
  <c r="I480" i="6"/>
  <c r="D481" i="6"/>
  <c r="L481" i="6"/>
  <c r="A488" i="8"/>
  <c r="L488" i="7"/>
  <c r="D488" i="7"/>
  <c r="K488" i="7"/>
  <c r="C488" i="7"/>
  <c r="J488" i="7"/>
  <c r="B488" i="7"/>
  <c r="I488" i="7"/>
  <c r="H488" i="7"/>
  <c r="M488" i="7"/>
  <c r="G488" i="7"/>
  <c r="F488" i="7"/>
  <c r="I488" i="6"/>
  <c r="D489" i="6"/>
  <c r="L489" i="6"/>
  <c r="A496" i="8"/>
  <c r="L496" i="7"/>
  <c r="D496" i="7"/>
  <c r="K496" i="7"/>
  <c r="C496" i="7"/>
  <c r="J496" i="7"/>
  <c r="B496" i="7"/>
  <c r="I496" i="7"/>
  <c r="H496" i="7"/>
  <c r="M496" i="7"/>
  <c r="G496" i="7"/>
  <c r="E496" i="7"/>
  <c r="I496" i="6"/>
  <c r="D497" i="6"/>
  <c r="L497" i="6"/>
  <c r="A504" i="8"/>
  <c r="L504" i="7"/>
  <c r="D504" i="7"/>
  <c r="K504" i="7"/>
  <c r="C504" i="7"/>
  <c r="J504" i="7"/>
  <c r="B504" i="7"/>
  <c r="I504" i="7"/>
  <c r="H504" i="7"/>
  <c r="M504" i="7"/>
  <c r="G504" i="7"/>
  <c r="F504" i="7"/>
  <c r="E504" i="7"/>
  <c r="I504" i="6"/>
  <c r="D505" i="6"/>
  <c r="L505" i="6"/>
  <c r="A512" i="8"/>
  <c r="L512" i="7"/>
  <c r="D512" i="7"/>
  <c r="K512" i="7"/>
  <c r="C512" i="7"/>
  <c r="J512" i="7"/>
  <c r="B512" i="7"/>
  <c r="I512" i="7"/>
  <c r="H512" i="7"/>
  <c r="E512" i="7"/>
  <c r="M512" i="7"/>
  <c r="G512" i="7"/>
  <c r="F512" i="7"/>
  <c r="I512" i="6"/>
  <c r="D513" i="6"/>
  <c r="L513" i="6"/>
  <c r="A520" i="8"/>
  <c r="L520" i="7"/>
  <c r="D520" i="7"/>
  <c r="K520" i="7"/>
  <c r="C520" i="7"/>
  <c r="J520" i="7"/>
  <c r="B520" i="7"/>
  <c r="I520" i="7"/>
  <c r="H520" i="7"/>
  <c r="F520" i="7"/>
  <c r="E520" i="7"/>
  <c r="M520" i="7"/>
  <c r="G520" i="7"/>
  <c r="I520" i="6"/>
  <c r="D521" i="6"/>
  <c r="L521" i="6"/>
  <c r="A528" i="8"/>
  <c r="L528" i="7"/>
  <c r="D528" i="7"/>
  <c r="K528" i="7"/>
  <c r="C528" i="7"/>
  <c r="J528" i="7"/>
  <c r="B528" i="7"/>
  <c r="I528" i="7"/>
  <c r="H528" i="7"/>
  <c r="G528" i="7"/>
  <c r="F528" i="7"/>
  <c r="E528" i="7"/>
  <c r="I528" i="6"/>
  <c r="D529" i="6"/>
  <c r="L529" i="6"/>
  <c r="A536" i="8"/>
  <c r="L536" i="7"/>
  <c r="D536" i="7"/>
  <c r="K536" i="7"/>
  <c r="C536" i="7"/>
  <c r="J536" i="7"/>
  <c r="B536" i="7"/>
  <c r="I536" i="7"/>
  <c r="H536" i="7"/>
  <c r="M536" i="7"/>
  <c r="G536" i="7"/>
  <c r="F536" i="7"/>
  <c r="E536" i="7"/>
  <c r="I536" i="6"/>
  <c r="D537" i="6"/>
  <c r="L537" i="6"/>
  <c r="A544" i="8"/>
  <c r="L544" i="7"/>
  <c r="D544" i="7"/>
  <c r="K544" i="7"/>
  <c r="C544" i="7"/>
  <c r="J544" i="7"/>
  <c r="B544" i="7"/>
  <c r="I544" i="7"/>
  <c r="H544" i="7"/>
  <c r="M544" i="7"/>
  <c r="G544" i="7"/>
  <c r="F544" i="7"/>
  <c r="E544" i="7"/>
  <c r="I544" i="6"/>
  <c r="D545" i="6"/>
  <c r="L545" i="6"/>
  <c r="A552" i="8"/>
  <c r="L552" i="7"/>
  <c r="D552" i="7"/>
  <c r="K552" i="7"/>
  <c r="C552" i="7"/>
  <c r="J552" i="7"/>
  <c r="B552" i="7"/>
  <c r="I552" i="7"/>
  <c r="H552" i="7"/>
  <c r="M552" i="7"/>
  <c r="G552" i="7"/>
  <c r="F552" i="7"/>
  <c r="E552" i="7"/>
  <c r="I552" i="6"/>
  <c r="D553" i="6"/>
  <c r="L553" i="6"/>
  <c r="A560" i="8"/>
  <c r="L560" i="7"/>
  <c r="D560" i="7"/>
  <c r="K560" i="7"/>
  <c r="C560" i="7"/>
  <c r="J560" i="7"/>
  <c r="B560" i="7"/>
  <c r="I560" i="7"/>
  <c r="H560" i="7"/>
  <c r="M560" i="7"/>
  <c r="G560" i="7"/>
  <c r="F560" i="7"/>
  <c r="E560" i="7"/>
  <c r="I560" i="6"/>
  <c r="D561" i="6"/>
  <c r="L561" i="6"/>
  <c r="A568" i="8"/>
  <c r="L568" i="7"/>
  <c r="D568" i="7"/>
  <c r="K568" i="7"/>
  <c r="C568" i="7"/>
  <c r="J568" i="7"/>
  <c r="B568" i="7"/>
  <c r="I568" i="7"/>
  <c r="H568" i="7"/>
  <c r="M568" i="7"/>
  <c r="G568" i="7"/>
  <c r="F568" i="7"/>
  <c r="I568" i="6"/>
  <c r="D569" i="6"/>
  <c r="L569" i="6"/>
  <c r="A576" i="8"/>
  <c r="L576" i="7"/>
  <c r="D576" i="7"/>
  <c r="K576" i="7"/>
  <c r="C576" i="7"/>
  <c r="J576" i="7"/>
  <c r="B576" i="7"/>
  <c r="I576" i="7"/>
  <c r="H576" i="7"/>
  <c r="E576" i="7"/>
  <c r="M576" i="7"/>
  <c r="I576" i="6"/>
  <c r="D577" i="6"/>
  <c r="L577" i="6"/>
  <c r="A584" i="8"/>
  <c r="L584" i="7"/>
  <c r="D584" i="7"/>
  <c r="K584" i="7"/>
  <c r="C584" i="7"/>
  <c r="J584" i="7"/>
  <c r="B584" i="7"/>
  <c r="I584" i="7"/>
  <c r="H584" i="7"/>
  <c r="F584" i="7"/>
  <c r="E584" i="7"/>
  <c r="I584" i="6"/>
  <c r="D585" i="6"/>
  <c r="L585" i="6"/>
  <c r="A592" i="8"/>
  <c r="L592" i="7"/>
  <c r="D592" i="7"/>
  <c r="K592" i="7"/>
  <c r="C592" i="7"/>
  <c r="J592" i="7"/>
  <c r="B592" i="7"/>
  <c r="I592" i="7"/>
  <c r="H592" i="7"/>
  <c r="G592" i="7"/>
  <c r="F592" i="7"/>
  <c r="E592" i="7"/>
  <c r="M592" i="7"/>
  <c r="I592" i="6"/>
  <c r="D593" i="6"/>
  <c r="L593" i="6"/>
  <c r="A600" i="8"/>
  <c r="L600" i="7"/>
  <c r="D600" i="7"/>
  <c r="K600" i="7"/>
  <c r="C600" i="7"/>
  <c r="J600" i="7"/>
  <c r="B600" i="7"/>
  <c r="I600" i="7"/>
  <c r="H600" i="7"/>
  <c r="M600" i="7"/>
  <c r="G600" i="7"/>
  <c r="F600" i="7"/>
  <c r="E600" i="7"/>
  <c r="I600" i="6"/>
  <c r="D601" i="6"/>
  <c r="L601" i="6"/>
  <c r="A608" i="8"/>
  <c r="L608" i="7"/>
  <c r="D608" i="7"/>
  <c r="K608" i="7"/>
  <c r="C608" i="7"/>
  <c r="J608" i="7"/>
  <c r="B608" i="7"/>
  <c r="I608" i="7"/>
  <c r="H608" i="7"/>
  <c r="M608" i="7"/>
  <c r="G608" i="7"/>
  <c r="F608" i="7"/>
  <c r="E608" i="7"/>
  <c r="I608" i="6"/>
  <c r="D609" i="6"/>
  <c r="L609" i="6"/>
  <c r="A616" i="8"/>
  <c r="L616" i="7"/>
  <c r="D616" i="7"/>
  <c r="K616" i="7"/>
  <c r="C616" i="7"/>
  <c r="J616" i="7"/>
  <c r="B616" i="7"/>
  <c r="I616" i="7"/>
  <c r="H616" i="7"/>
  <c r="M616" i="7"/>
  <c r="G616" i="7"/>
  <c r="F616" i="7"/>
  <c r="E616" i="7"/>
  <c r="I616" i="6"/>
  <c r="D617" i="6"/>
  <c r="L617" i="6"/>
  <c r="A624" i="8"/>
  <c r="L624" i="7"/>
  <c r="D624" i="7"/>
  <c r="K624" i="7"/>
  <c r="C624" i="7"/>
  <c r="J624" i="7"/>
  <c r="B624" i="7"/>
  <c r="I624" i="7"/>
  <c r="H624" i="7"/>
  <c r="M624" i="7"/>
  <c r="G624" i="7"/>
  <c r="I624" i="6"/>
  <c r="D625" i="6"/>
  <c r="L625" i="6"/>
  <c r="A632" i="8"/>
  <c r="L632" i="7"/>
  <c r="D632" i="7"/>
  <c r="K632" i="7"/>
  <c r="C632" i="7"/>
  <c r="J632" i="7"/>
  <c r="B632" i="7"/>
  <c r="I632" i="7"/>
  <c r="H632" i="7"/>
  <c r="M632" i="7"/>
  <c r="E632" i="7"/>
  <c r="I632" i="6"/>
  <c r="D633" i="6"/>
  <c r="L633" i="6"/>
  <c r="A640" i="8"/>
  <c r="L640" i="7"/>
  <c r="D640" i="7"/>
  <c r="K640" i="7"/>
  <c r="C640" i="7"/>
  <c r="J640" i="7"/>
  <c r="B640" i="7"/>
  <c r="I640" i="7"/>
  <c r="H640" i="7"/>
  <c r="E640" i="7"/>
  <c r="G640" i="7"/>
  <c r="F640" i="7"/>
  <c r="I640" i="6"/>
  <c r="D641" i="6"/>
  <c r="L641" i="6"/>
  <c r="A648" i="8"/>
  <c r="L648" i="7"/>
  <c r="D648" i="7"/>
  <c r="K648" i="7"/>
  <c r="C648" i="7"/>
  <c r="J648" i="7"/>
  <c r="B648" i="7"/>
  <c r="I648" i="7"/>
  <c r="H648" i="7"/>
  <c r="F648" i="7"/>
  <c r="E648" i="7"/>
  <c r="M648" i="7"/>
  <c r="G648" i="7"/>
  <c r="I648" i="6"/>
  <c r="D649" i="6"/>
  <c r="L649" i="6"/>
  <c r="A656" i="8"/>
  <c r="L656" i="7"/>
  <c r="D656" i="7"/>
  <c r="K656" i="7"/>
  <c r="C656" i="7"/>
  <c r="J656" i="7"/>
  <c r="B656" i="7"/>
  <c r="I656" i="7"/>
  <c r="H656" i="7"/>
  <c r="G656" i="7"/>
  <c r="F656" i="7"/>
  <c r="E656" i="7"/>
  <c r="M656" i="7"/>
  <c r="I656" i="6"/>
  <c r="D657" i="6"/>
  <c r="L657" i="6"/>
  <c r="I664" i="6"/>
  <c r="D665" i="6"/>
  <c r="L665" i="6"/>
  <c r="A672" i="8"/>
  <c r="I672" i="7"/>
  <c r="H672" i="7"/>
  <c r="G672" i="7"/>
  <c r="F672" i="7"/>
  <c r="E672" i="7"/>
  <c r="D672" i="7"/>
  <c r="C672" i="7"/>
  <c r="B672" i="7"/>
  <c r="M672" i="7"/>
  <c r="L672" i="7"/>
  <c r="K672" i="7"/>
  <c r="I672" i="6"/>
  <c r="D673" i="6"/>
  <c r="L673" i="6"/>
  <c r="E676" i="6"/>
  <c r="M676" i="6"/>
  <c r="A680" i="8"/>
  <c r="I680" i="7"/>
  <c r="H680" i="7"/>
  <c r="G680" i="7"/>
  <c r="F680" i="7"/>
  <c r="M680" i="7"/>
  <c r="L680" i="7"/>
  <c r="K680" i="7"/>
  <c r="J680" i="7"/>
  <c r="E680" i="7"/>
  <c r="D680" i="7"/>
  <c r="C680" i="7"/>
  <c r="B680" i="7"/>
  <c r="I680" i="6"/>
  <c r="D681" i="6"/>
  <c r="L681" i="6"/>
  <c r="E684" i="6"/>
  <c r="M684" i="6"/>
  <c r="A688" i="8"/>
  <c r="I688" i="7"/>
  <c r="H688" i="7"/>
  <c r="G688" i="7"/>
  <c r="F688" i="7"/>
  <c r="E688" i="7"/>
  <c r="D688" i="7"/>
  <c r="C688" i="7"/>
  <c r="B688" i="7"/>
  <c r="M688" i="7"/>
  <c r="I688" i="6"/>
  <c r="D689" i="6"/>
  <c r="L689" i="6"/>
  <c r="E692" i="6"/>
  <c r="M692" i="6"/>
  <c r="A696" i="8"/>
  <c r="J696" i="7"/>
  <c r="B696" i="7"/>
  <c r="I696" i="7"/>
  <c r="H696" i="7"/>
  <c r="G696" i="7"/>
  <c r="F696" i="7"/>
  <c r="E696" i="7"/>
  <c r="D696" i="7"/>
  <c r="C696" i="7"/>
  <c r="M696" i="7"/>
  <c r="L696" i="7"/>
  <c r="I696" i="6"/>
  <c r="D697" i="6"/>
  <c r="L697" i="6"/>
  <c r="E700" i="6"/>
  <c r="M700" i="6"/>
  <c r="A704" i="8"/>
  <c r="J704" i="7"/>
  <c r="B704" i="7"/>
  <c r="I704" i="7"/>
  <c r="H704" i="7"/>
  <c r="G704" i="7"/>
  <c r="F704" i="7"/>
  <c r="K704" i="7"/>
  <c r="E704" i="7"/>
  <c r="D704" i="7"/>
  <c r="C704" i="7"/>
  <c r="M704" i="7"/>
  <c r="L704" i="7"/>
  <c r="I704" i="6"/>
  <c r="D705" i="6"/>
  <c r="L705" i="6"/>
  <c r="E708" i="6"/>
  <c r="M708" i="6"/>
  <c r="A712" i="8"/>
  <c r="J712" i="7"/>
  <c r="B712" i="7"/>
  <c r="I712" i="7"/>
  <c r="H712" i="7"/>
  <c r="G712" i="7"/>
  <c r="F712" i="7"/>
  <c r="L712" i="7"/>
  <c r="K712" i="7"/>
  <c r="E712" i="7"/>
  <c r="D712" i="7"/>
  <c r="C712" i="7"/>
  <c r="I712" i="6"/>
  <c r="D713" i="6"/>
  <c r="L713" i="6"/>
  <c r="E716" i="6"/>
  <c r="M716" i="6"/>
  <c r="A720" i="8"/>
  <c r="J720" i="7"/>
  <c r="B720" i="7"/>
  <c r="I720" i="7"/>
  <c r="H720" i="7"/>
  <c r="G720" i="7"/>
  <c r="F720" i="7"/>
  <c r="M720" i="7"/>
  <c r="L720" i="7"/>
  <c r="K720" i="7"/>
  <c r="E720" i="7"/>
  <c r="D720" i="7"/>
  <c r="C720" i="7"/>
  <c r="I720" i="6"/>
  <c r="D721" i="6"/>
  <c r="L721" i="6"/>
  <c r="E724" i="6"/>
  <c r="M724" i="6"/>
  <c r="A728" i="8"/>
  <c r="J728" i="7"/>
  <c r="B728" i="7"/>
  <c r="I728" i="7"/>
  <c r="H728" i="7"/>
  <c r="G728" i="7"/>
  <c r="F728" i="7"/>
  <c r="M728" i="7"/>
  <c r="L728" i="7"/>
  <c r="K728" i="7"/>
  <c r="E728" i="7"/>
  <c r="D728" i="7"/>
  <c r="C728" i="7"/>
  <c r="I728" i="6"/>
  <c r="D729" i="6"/>
  <c r="L729" i="6"/>
  <c r="E732" i="6"/>
  <c r="M732" i="6"/>
  <c r="A736" i="8"/>
  <c r="J736" i="7"/>
  <c r="B736" i="7"/>
  <c r="I736" i="7"/>
  <c r="H736" i="7"/>
  <c r="G736" i="7"/>
  <c r="F736" i="7"/>
  <c r="M736" i="7"/>
  <c r="L736" i="7"/>
  <c r="K736" i="7"/>
  <c r="E736" i="7"/>
  <c r="D736" i="7"/>
  <c r="C736" i="7"/>
  <c r="I736" i="6"/>
  <c r="D737" i="6"/>
  <c r="L737" i="6"/>
  <c r="E740" i="6"/>
  <c r="M740" i="6"/>
  <c r="A744" i="8"/>
  <c r="J744" i="7"/>
  <c r="B744" i="7"/>
  <c r="I744" i="7"/>
  <c r="H744" i="7"/>
  <c r="G744" i="7"/>
  <c r="F744" i="7"/>
  <c r="C744" i="7"/>
  <c r="M744" i="7"/>
  <c r="L744" i="7"/>
  <c r="K744" i="7"/>
  <c r="I744" i="6"/>
  <c r="D745" i="6"/>
  <c r="L745" i="6"/>
  <c r="E748" i="6"/>
  <c r="M748" i="6"/>
  <c r="A752" i="8"/>
  <c r="J752" i="7"/>
  <c r="B752" i="7"/>
  <c r="I752" i="7"/>
  <c r="H752" i="7"/>
  <c r="G752" i="7"/>
  <c r="F752" i="7"/>
  <c r="D752" i="7"/>
  <c r="C752" i="7"/>
  <c r="M752" i="7"/>
  <c r="L752" i="7"/>
  <c r="K752" i="7"/>
  <c r="E752" i="7"/>
  <c r="I752" i="6"/>
  <c r="D753" i="6"/>
  <c r="L753" i="6"/>
  <c r="E756" i="6"/>
  <c r="M756" i="6"/>
  <c r="A760" i="8"/>
  <c r="J760" i="7"/>
  <c r="B760" i="7"/>
  <c r="I760" i="7"/>
  <c r="H760" i="7"/>
  <c r="G760" i="7"/>
  <c r="F760" i="7"/>
  <c r="E760" i="7"/>
  <c r="D760" i="7"/>
  <c r="C760" i="7"/>
  <c r="K760" i="7"/>
  <c r="M760" i="7"/>
  <c r="L760" i="7"/>
  <c r="I760" i="6"/>
  <c r="D761" i="6"/>
  <c r="L761" i="6"/>
  <c r="E764" i="6"/>
  <c r="M764" i="6"/>
  <c r="A768" i="8"/>
  <c r="J768" i="7"/>
  <c r="B768" i="7"/>
  <c r="I768" i="7"/>
  <c r="H768" i="7"/>
  <c r="G768" i="7"/>
  <c r="F768" i="7"/>
  <c r="K768" i="7"/>
  <c r="E768" i="7"/>
  <c r="D768" i="7"/>
  <c r="C768" i="7"/>
  <c r="M768" i="7"/>
  <c r="L768" i="7"/>
  <c r="I768" i="6"/>
  <c r="D769" i="6"/>
  <c r="L769" i="6"/>
  <c r="E772" i="6"/>
  <c r="M772" i="6"/>
  <c r="A776" i="8"/>
  <c r="J776" i="7"/>
  <c r="B776" i="7"/>
  <c r="I776" i="7"/>
  <c r="H776" i="7"/>
  <c r="G776" i="7"/>
  <c r="F776" i="7"/>
  <c r="L776" i="7"/>
  <c r="K776" i="7"/>
  <c r="E776" i="7"/>
  <c r="D776" i="7"/>
  <c r="C776" i="7"/>
  <c r="M776" i="7"/>
  <c r="I776" i="6"/>
  <c r="D777" i="6"/>
  <c r="L777" i="6"/>
  <c r="E780" i="6"/>
  <c r="M780" i="6"/>
  <c r="A784" i="8"/>
  <c r="J784" i="7"/>
  <c r="B784" i="7"/>
  <c r="I784" i="7"/>
  <c r="H784" i="7"/>
  <c r="G784" i="7"/>
  <c r="F784" i="7"/>
  <c r="M784" i="7"/>
  <c r="L784" i="7"/>
  <c r="K784" i="7"/>
  <c r="E784" i="7"/>
  <c r="D784" i="7"/>
  <c r="C784" i="7"/>
  <c r="I784" i="6"/>
  <c r="D785" i="6"/>
  <c r="L785" i="6"/>
  <c r="E788" i="6"/>
  <c r="M788" i="6"/>
  <c r="A792" i="7"/>
  <c r="J792" i="6"/>
  <c r="B792" i="6"/>
  <c r="K792" i="6"/>
  <c r="A799" i="7"/>
  <c r="G799" i="6"/>
  <c r="J799" i="6"/>
  <c r="F800" i="6"/>
  <c r="G803" i="6"/>
  <c r="F810" i="6"/>
  <c r="A817" i="7"/>
  <c r="H817" i="6"/>
  <c r="M817" i="6"/>
  <c r="E817" i="6"/>
  <c r="L817" i="6"/>
  <c r="D817" i="6"/>
  <c r="A818" i="7"/>
  <c r="K818" i="6"/>
  <c r="C818" i="6"/>
  <c r="H818" i="6"/>
  <c r="G818" i="6"/>
  <c r="M818" i="6"/>
  <c r="A822" i="7"/>
  <c r="G822" i="6"/>
  <c r="L822" i="6"/>
  <c r="D822" i="6"/>
  <c r="K822" i="6"/>
  <c r="C822" i="6"/>
  <c r="A823" i="7"/>
  <c r="J823" i="6"/>
  <c r="B823" i="6"/>
  <c r="G823" i="6"/>
  <c r="F823" i="6"/>
  <c r="M823" i="6"/>
  <c r="A846" i="7"/>
  <c r="G846" i="6"/>
  <c r="M846" i="6"/>
  <c r="E846" i="6"/>
  <c r="L846" i="6"/>
  <c r="D846" i="6"/>
  <c r="K846" i="6"/>
  <c r="C846" i="6"/>
  <c r="A855" i="7"/>
  <c r="J855" i="6"/>
  <c r="B855" i="6"/>
  <c r="H855" i="6"/>
  <c r="G855" i="6"/>
  <c r="F855" i="6"/>
  <c r="A857" i="7"/>
  <c r="H857" i="6"/>
  <c r="F857" i="6"/>
  <c r="M857" i="6"/>
  <c r="E857" i="6"/>
  <c r="L857" i="6"/>
  <c r="D857" i="6"/>
  <c r="I862" i="6"/>
  <c r="I871" i="6"/>
  <c r="I873" i="6"/>
  <c r="A878" i="7"/>
  <c r="G878" i="6"/>
  <c r="M878" i="6"/>
  <c r="E878" i="6"/>
  <c r="L878" i="6"/>
  <c r="D878" i="6"/>
  <c r="K878" i="6"/>
  <c r="C878" i="6"/>
  <c r="A887" i="7"/>
  <c r="J887" i="6"/>
  <c r="B887" i="6"/>
  <c r="H887" i="6"/>
  <c r="G887" i="6"/>
  <c r="F887" i="6"/>
  <c r="A889" i="7"/>
  <c r="H889" i="6"/>
  <c r="F889" i="6"/>
  <c r="M889" i="6"/>
  <c r="E889" i="6"/>
  <c r="L889" i="6"/>
  <c r="D889" i="6"/>
  <c r="A897" i="7"/>
  <c r="H897" i="6"/>
  <c r="G897" i="6"/>
  <c r="F897" i="6"/>
  <c r="M897" i="6"/>
  <c r="E897" i="6"/>
  <c r="L897" i="6"/>
  <c r="D897" i="6"/>
  <c r="A902" i="7"/>
  <c r="G902" i="6"/>
  <c r="F902" i="6"/>
  <c r="M902" i="6"/>
  <c r="E902" i="6"/>
  <c r="L902" i="6"/>
  <c r="D902" i="6"/>
  <c r="K902" i="6"/>
  <c r="C902" i="6"/>
  <c r="J905" i="6"/>
  <c r="J910" i="6"/>
  <c r="A913" i="7"/>
  <c r="H913" i="6"/>
  <c r="G913" i="6"/>
  <c r="F913" i="6"/>
  <c r="M913" i="6"/>
  <c r="E913" i="6"/>
  <c r="L913" i="6"/>
  <c r="D913" i="6"/>
  <c r="A918" i="7"/>
  <c r="G918" i="6"/>
  <c r="F918" i="6"/>
  <c r="M918" i="6"/>
  <c r="E918" i="6"/>
  <c r="L918" i="6"/>
  <c r="D918" i="6"/>
  <c r="K918" i="6"/>
  <c r="C918" i="6"/>
  <c r="J921" i="6"/>
  <c r="J926" i="6"/>
  <c r="A929" i="7"/>
  <c r="H929" i="6"/>
  <c r="G929" i="6"/>
  <c r="F929" i="6"/>
  <c r="M929" i="6"/>
  <c r="E929" i="6"/>
  <c r="L929" i="6"/>
  <c r="D929" i="6"/>
  <c r="A934" i="7"/>
  <c r="G934" i="6"/>
  <c r="F934" i="6"/>
  <c r="M934" i="6"/>
  <c r="E934" i="6"/>
  <c r="L934" i="6"/>
  <c r="D934" i="6"/>
  <c r="K934" i="6"/>
  <c r="C934" i="6"/>
  <c r="J937" i="6"/>
  <c r="J942" i="6"/>
  <c r="A945" i="7"/>
  <c r="H945" i="6"/>
  <c r="G945" i="6"/>
  <c r="F945" i="6"/>
  <c r="M945" i="6"/>
  <c r="E945" i="6"/>
  <c r="L945" i="6"/>
  <c r="D945" i="6"/>
  <c r="A950" i="7"/>
  <c r="G950" i="6"/>
  <c r="F950" i="6"/>
  <c r="M950" i="6"/>
  <c r="E950" i="6"/>
  <c r="L950" i="6"/>
  <c r="D950" i="6"/>
  <c r="K950" i="6"/>
  <c r="C950" i="6"/>
  <c r="J953" i="6"/>
  <c r="J958" i="6"/>
  <c r="A961" i="7"/>
  <c r="H961" i="6"/>
  <c r="G961" i="6"/>
  <c r="F961" i="6"/>
  <c r="M961" i="6"/>
  <c r="E961" i="6"/>
  <c r="L961" i="6"/>
  <c r="D961" i="6"/>
  <c r="M115" i="7"/>
  <c r="A142" i="7"/>
  <c r="H150" i="7"/>
  <c r="J158" i="7"/>
  <c r="H163" i="7"/>
  <c r="H286" i="7"/>
  <c r="J294" i="7"/>
  <c r="H299" i="7"/>
  <c r="H312" i="7"/>
  <c r="H366" i="7"/>
  <c r="G379" i="7"/>
  <c r="A414" i="7"/>
  <c r="M448" i="7"/>
  <c r="F496" i="7"/>
  <c r="J553" i="7"/>
  <c r="I566" i="7"/>
  <c r="G576" i="7"/>
  <c r="H601" i="7"/>
  <c r="F611" i="7"/>
  <c r="E624" i="7"/>
  <c r="M678" i="7"/>
  <c r="A700" i="7"/>
  <c r="G734" i="7"/>
  <c r="A109" i="8"/>
  <c r="L109" i="7"/>
  <c r="D109" i="7"/>
  <c r="J109" i="7"/>
  <c r="B109" i="7"/>
  <c r="I109" i="7"/>
  <c r="H109" i="7"/>
  <c r="F109" i="7"/>
  <c r="E109" i="7"/>
  <c r="C109" i="7"/>
  <c r="I109" i="6"/>
  <c r="A117" i="8"/>
  <c r="L117" i="7"/>
  <c r="D117" i="7"/>
  <c r="J117" i="7"/>
  <c r="B117" i="7"/>
  <c r="I117" i="7"/>
  <c r="H117" i="7"/>
  <c r="M117" i="7"/>
  <c r="K117" i="7"/>
  <c r="G117" i="7"/>
  <c r="F117" i="7"/>
  <c r="I117" i="6"/>
  <c r="D118" i="6"/>
  <c r="L118" i="6"/>
  <c r="A125" i="8"/>
  <c r="L125" i="7"/>
  <c r="D125" i="7"/>
  <c r="J125" i="7"/>
  <c r="B125" i="7"/>
  <c r="I125" i="7"/>
  <c r="H125" i="7"/>
  <c r="F125" i="7"/>
  <c r="E125" i="7"/>
  <c r="C125" i="7"/>
  <c r="I125" i="6"/>
  <c r="D126" i="6"/>
  <c r="L126" i="6"/>
  <c r="A133" i="8"/>
  <c r="L133" i="7"/>
  <c r="D133" i="7"/>
  <c r="K133" i="7"/>
  <c r="C133" i="7"/>
  <c r="J133" i="7"/>
  <c r="B133" i="7"/>
  <c r="I133" i="7"/>
  <c r="H133" i="7"/>
  <c r="G133" i="7"/>
  <c r="F133" i="7"/>
  <c r="E133" i="7"/>
  <c r="I133" i="6"/>
  <c r="D134" i="6"/>
  <c r="A141" i="8"/>
  <c r="L141" i="7"/>
  <c r="D141" i="7"/>
  <c r="K141" i="7"/>
  <c r="C141" i="7"/>
  <c r="J141" i="7"/>
  <c r="B141" i="7"/>
  <c r="I141" i="7"/>
  <c r="H141" i="7"/>
  <c r="M141" i="7"/>
  <c r="G141" i="7"/>
  <c r="F141" i="7"/>
  <c r="E141" i="7"/>
  <c r="I141" i="6"/>
  <c r="D142" i="6"/>
  <c r="A149" i="8"/>
  <c r="L149" i="7"/>
  <c r="D149" i="7"/>
  <c r="K149" i="7"/>
  <c r="C149" i="7"/>
  <c r="J149" i="7"/>
  <c r="B149" i="7"/>
  <c r="I149" i="7"/>
  <c r="H149" i="7"/>
  <c r="M149" i="7"/>
  <c r="G149" i="7"/>
  <c r="F149" i="7"/>
  <c r="E149" i="7"/>
  <c r="I149" i="6"/>
  <c r="D150" i="6"/>
  <c r="L150" i="6"/>
  <c r="A157" i="8"/>
  <c r="L157" i="7"/>
  <c r="D157" i="7"/>
  <c r="K157" i="7"/>
  <c r="C157" i="7"/>
  <c r="J157" i="7"/>
  <c r="B157" i="7"/>
  <c r="I157" i="7"/>
  <c r="H157" i="7"/>
  <c r="M157" i="7"/>
  <c r="G157" i="7"/>
  <c r="F157" i="7"/>
  <c r="I157" i="6"/>
  <c r="D158" i="6"/>
  <c r="L158" i="6"/>
  <c r="A165" i="8"/>
  <c r="L165" i="7"/>
  <c r="D165" i="7"/>
  <c r="K165" i="7"/>
  <c r="C165" i="7"/>
  <c r="J165" i="7"/>
  <c r="B165" i="7"/>
  <c r="I165" i="7"/>
  <c r="H165" i="7"/>
  <c r="M165" i="7"/>
  <c r="G165" i="7"/>
  <c r="I165" i="6"/>
  <c r="D166" i="6"/>
  <c r="L166" i="6"/>
  <c r="A173" i="8"/>
  <c r="L173" i="7"/>
  <c r="D173" i="7"/>
  <c r="K173" i="7"/>
  <c r="C173" i="7"/>
  <c r="J173" i="7"/>
  <c r="B173" i="7"/>
  <c r="I173" i="7"/>
  <c r="H173" i="7"/>
  <c r="M173" i="7"/>
  <c r="I173" i="6"/>
  <c r="D174" i="6"/>
  <c r="L174" i="6"/>
  <c r="A181" i="8"/>
  <c r="L181" i="7"/>
  <c r="D181" i="7"/>
  <c r="K181" i="7"/>
  <c r="C181" i="7"/>
  <c r="J181" i="7"/>
  <c r="B181" i="7"/>
  <c r="I181" i="7"/>
  <c r="H181" i="7"/>
  <c r="E181" i="7"/>
  <c r="I181" i="6"/>
  <c r="D182" i="6"/>
  <c r="L182" i="6"/>
  <c r="A189" i="8"/>
  <c r="L189" i="7"/>
  <c r="D189" i="7"/>
  <c r="K189" i="7"/>
  <c r="C189" i="7"/>
  <c r="J189" i="7"/>
  <c r="B189" i="7"/>
  <c r="I189" i="7"/>
  <c r="H189" i="7"/>
  <c r="F189" i="7"/>
  <c r="E189" i="7"/>
  <c r="I189" i="6"/>
  <c r="D190" i="6"/>
  <c r="L190" i="6"/>
  <c r="A197" i="8"/>
  <c r="L197" i="7"/>
  <c r="D197" i="7"/>
  <c r="K197" i="7"/>
  <c r="C197" i="7"/>
  <c r="J197" i="7"/>
  <c r="B197" i="7"/>
  <c r="I197" i="7"/>
  <c r="H197" i="7"/>
  <c r="G197" i="7"/>
  <c r="F197" i="7"/>
  <c r="E197" i="7"/>
  <c r="I197" i="6"/>
  <c r="D198" i="6"/>
  <c r="A205" i="8"/>
  <c r="L205" i="7"/>
  <c r="D205" i="7"/>
  <c r="K205" i="7"/>
  <c r="C205" i="7"/>
  <c r="J205" i="7"/>
  <c r="B205" i="7"/>
  <c r="I205" i="7"/>
  <c r="H205" i="7"/>
  <c r="M205" i="7"/>
  <c r="G205" i="7"/>
  <c r="F205" i="7"/>
  <c r="E205" i="7"/>
  <c r="I205" i="6"/>
  <c r="D206" i="6"/>
  <c r="A213" i="8"/>
  <c r="L213" i="7"/>
  <c r="D213" i="7"/>
  <c r="K213" i="7"/>
  <c r="C213" i="7"/>
  <c r="J213" i="7"/>
  <c r="B213" i="7"/>
  <c r="I213" i="7"/>
  <c r="H213" i="7"/>
  <c r="M213" i="7"/>
  <c r="G213" i="7"/>
  <c r="F213" i="7"/>
  <c r="E213" i="7"/>
  <c r="I213" i="6"/>
  <c r="D214" i="6"/>
  <c r="L214" i="6"/>
  <c r="A221" i="8"/>
  <c r="L221" i="7"/>
  <c r="D221" i="7"/>
  <c r="K221" i="7"/>
  <c r="C221" i="7"/>
  <c r="J221" i="7"/>
  <c r="B221" i="7"/>
  <c r="I221" i="7"/>
  <c r="H221" i="7"/>
  <c r="M221" i="7"/>
  <c r="G221" i="7"/>
  <c r="F221" i="7"/>
  <c r="I221" i="6"/>
  <c r="D222" i="6"/>
  <c r="L222" i="6"/>
  <c r="A229" i="8"/>
  <c r="L229" i="7"/>
  <c r="D229" i="7"/>
  <c r="K229" i="7"/>
  <c r="C229" i="7"/>
  <c r="J229" i="7"/>
  <c r="B229" i="7"/>
  <c r="I229" i="7"/>
  <c r="H229" i="7"/>
  <c r="M229" i="7"/>
  <c r="G229" i="7"/>
  <c r="I229" i="6"/>
  <c r="D230" i="6"/>
  <c r="L230" i="6"/>
  <c r="A237" i="8"/>
  <c r="L237" i="7"/>
  <c r="D237" i="7"/>
  <c r="K237" i="7"/>
  <c r="C237" i="7"/>
  <c r="J237" i="7"/>
  <c r="B237" i="7"/>
  <c r="I237" i="7"/>
  <c r="H237" i="7"/>
  <c r="M237" i="7"/>
  <c r="I237" i="6"/>
  <c r="D238" i="6"/>
  <c r="L238" i="6"/>
  <c r="A245" i="8"/>
  <c r="L245" i="7"/>
  <c r="D245" i="7"/>
  <c r="K245" i="7"/>
  <c r="C245" i="7"/>
  <c r="J245" i="7"/>
  <c r="B245" i="7"/>
  <c r="I245" i="7"/>
  <c r="H245" i="7"/>
  <c r="E245" i="7"/>
  <c r="I245" i="6"/>
  <c r="D246" i="6"/>
  <c r="L246" i="6"/>
  <c r="B248" i="6"/>
  <c r="J248" i="6"/>
  <c r="A253" i="8"/>
  <c r="L253" i="7"/>
  <c r="D253" i="7"/>
  <c r="K253" i="7"/>
  <c r="C253" i="7"/>
  <c r="J253" i="7"/>
  <c r="B253" i="7"/>
  <c r="I253" i="7"/>
  <c r="H253" i="7"/>
  <c r="F253" i="7"/>
  <c r="E253" i="7"/>
  <c r="I253" i="6"/>
  <c r="D254" i="6"/>
  <c r="B256" i="6"/>
  <c r="J256" i="6"/>
  <c r="A261" i="8"/>
  <c r="L261" i="7"/>
  <c r="D261" i="7"/>
  <c r="K261" i="7"/>
  <c r="C261" i="7"/>
  <c r="J261" i="7"/>
  <c r="B261" i="7"/>
  <c r="I261" i="7"/>
  <c r="H261" i="7"/>
  <c r="G261" i="7"/>
  <c r="F261" i="7"/>
  <c r="E261" i="7"/>
  <c r="I261" i="6"/>
  <c r="D262" i="6"/>
  <c r="B264" i="6"/>
  <c r="J264" i="6"/>
  <c r="A269" i="8"/>
  <c r="L269" i="7"/>
  <c r="D269" i="7"/>
  <c r="K269" i="7"/>
  <c r="C269" i="7"/>
  <c r="J269" i="7"/>
  <c r="B269" i="7"/>
  <c r="I269" i="7"/>
  <c r="H269" i="7"/>
  <c r="M269" i="7"/>
  <c r="G269" i="7"/>
  <c r="F269" i="7"/>
  <c r="E269" i="7"/>
  <c r="I269" i="6"/>
  <c r="D270" i="6"/>
  <c r="B272" i="6"/>
  <c r="J272" i="6"/>
  <c r="A277" i="8"/>
  <c r="L277" i="7"/>
  <c r="D277" i="7"/>
  <c r="K277" i="7"/>
  <c r="C277" i="7"/>
  <c r="J277" i="7"/>
  <c r="B277" i="7"/>
  <c r="I277" i="7"/>
  <c r="H277" i="7"/>
  <c r="M277" i="7"/>
  <c r="G277" i="7"/>
  <c r="F277" i="7"/>
  <c r="E277" i="7"/>
  <c r="I277" i="6"/>
  <c r="D278" i="6"/>
  <c r="L278" i="6"/>
  <c r="B280" i="6"/>
  <c r="J280" i="6"/>
  <c r="A285" i="8"/>
  <c r="L285" i="7"/>
  <c r="D285" i="7"/>
  <c r="K285" i="7"/>
  <c r="C285" i="7"/>
  <c r="J285" i="7"/>
  <c r="B285" i="7"/>
  <c r="I285" i="7"/>
  <c r="H285" i="7"/>
  <c r="M285" i="7"/>
  <c r="G285" i="7"/>
  <c r="F285" i="7"/>
  <c r="I285" i="6"/>
  <c r="D286" i="6"/>
  <c r="L286" i="6"/>
  <c r="B288" i="6"/>
  <c r="J288" i="6"/>
  <c r="A293" i="8"/>
  <c r="L293" i="7"/>
  <c r="D293" i="7"/>
  <c r="K293" i="7"/>
  <c r="C293" i="7"/>
  <c r="J293" i="7"/>
  <c r="B293" i="7"/>
  <c r="I293" i="7"/>
  <c r="H293" i="7"/>
  <c r="M293" i="7"/>
  <c r="G293" i="7"/>
  <c r="I293" i="6"/>
  <c r="D294" i="6"/>
  <c r="L294" i="6"/>
  <c r="B296" i="6"/>
  <c r="J296" i="6"/>
  <c r="A301" i="8"/>
  <c r="L301" i="7"/>
  <c r="D301" i="7"/>
  <c r="K301" i="7"/>
  <c r="C301" i="7"/>
  <c r="J301" i="7"/>
  <c r="B301" i="7"/>
  <c r="I301" i="7"/>
  <c r="H301" i="7"/>
  <c r="M301" i="7"/>
  <c r="I301" i="6"/>
  <c r="D302" i="6"/>
  <c r="L302" i="6"/>
  <c r="B304" i="6"/>
  <c r="J304" i="6"/>
  <c r="A309" i="8"/>
  <c r="L309" i="7"/>
  <c r="D309" i="7"/>
  <c r="K309" i="7"/>
  <c r="C309" i="7"/>
  <c r="J309" i="7"/>
  <c r="B309" i="7"/>
  <c r="I309" i="7"/>
  <c r="H309" i="7"/>
  <c r="E309" i="7"/>
  <c r="I309" i="6"/>
  <c r="D310" i="6"/>
  <c r="L310" i="6"/>
  <c r="B312" i="6"/>
  <c r="J312" i="6"/>
  <c r="K315" i="6"/>
  <c r="A317" i="8"/>
  <c r="L317" i="7"/>
  <c r="D317" i="7"/>
  <c r="K317" i="7"/>
  <c r="C317" i="7"/>
  <c r="J317" i="7"/>
  <c r="B317" i="7"/>
  <c r="I317" i="7"/>
  <c r="H317" i="7"/>
  <c r="F317" i="7"/>
  <c r="E317" i="7"/>
  <c r="I317" i="6"/>
  <c r="D318" i="6"/>
  <c r="B320" i="6"/>
  <c r="J320" i="6"/>
  <c r="C323" i="6"/>
  <c r="K323" i="6"/>
  <c r="A325" i="8"/>
  <c r="L325" i="7"/>
  <c r="D325" i="7"/>
  <c r="K325" i="7"/>
  <c r="C325" i="7"/>
  <c r="J325" i="7"/>
  <c r="B325" i="7"/>
  <c r="I325" i="7"/>
  <c r="H325" i="7"/>
  <c r="G325" i="7"/>
  <c r="F325" i="7"/>
  <c r="E325" i="7"/>
  <c r="I325" i="6"/>
  <c r="D326" i="6"/>
  <c r="L326" i="6"/>
  <c r="B328" i="6"/>
  <c r="J328" i="6"/>
  <c r="A333" i="8"/>
  <c r="K333" i="7"/>
  <c r="C333" i="7"/>
  <c r="J333" i="7"/>
  <c r="B333" i="7"/>
  <c r="I333" i="7"/>
  <c r="H333" i="7"/>
  <c r="G333" i="7"/>
  <c r="E333" i="7"/>
  <c r="D333" i="7"/>
  <c r="M333" i="7"/>
  <c r="L333" i="7"/>
  <c r="F333" i="7"/>
  <c r="I333" i="6"/>
  <c r="D334" i="6"/>
  <c r="L334" i="6"/>
  <c r="B336" i="6"/>
  <c r="J336" i="6"/>
  <c r="A341" i="8"/>
  <c r="K341" i="7"/>
  <c r="C341" i="7"/>
  <c r="J341" i="7"/>
  <c r="B341" i="7"/>
  <c r="I341" i="7"/>
  <c r="H341" i="7"/>
  <c r="G341" i="7"/>
  <c r="F341" i="7"/>
  <c r="E341" i="7"/>
  <c r="D341" i="7"/>
  <c r="M341" i="7"/>
  <c r="L341" i="7"/>
  <c r="I341" i="6"/>
  <c r="D342" i="6"/>
  <c r="L342" i="6"/>
  <c r="B344" i="6"/>
  <c r="J344" i="6"/>
  <c r="E345" i="6"/>
  <c r="M345" i="6"/>
  <c r="A349" i="8"/>
  <c r="K349" i="7"/>
  <c r="C349" i="7"/>
  <c r="J349" i="7"/>
  <c r="B349" i="7"/>
  <c r="I349" i="7"/>
  <c r="H349" i="7"/>
  <c r="G349" i="7"/>
  <c r="L349" i="7"/>
  <c r="F349" i="7"/>
  <c r="E349" i="7"/>
  <c r="D349" i="7"/>
  <c r="M349" i="7"/>
  <c r="I349" i="6"/>
  <c r="D350" i="6"/>
  <c r="L350" i="6"/>
  <c r="B352" i="6"/>
  <c r="J352" i="6"/>
  <c r="E353" i="6"/>
  <c r="M353" i="6"/>
  <c r="A357" i="8"/>
  <c r="K357" i="7"/>
  <c r="C357" i="7"/>
  <c r="J357" i="7"/>
  <c r="B357" i="7"/>
  <c r="I357" i="7"/>
  <c r="H357" i="7"/>
  <c r="G357" i="7"/>
  <c r="M357" i="7"/>
  <c r="L357" i="7"/>
  <c r="F357" i="7"/>
  <c r="E357" i="7"/>
  <c r="D357" i="7"/>
  <c r="I357" i="6"/>
  <c r="D358" i="6"/>
  <c r="B360" i="6"/>
  <c r="J360" i="6"/>
  <c r="E361" i="6"/>
  <c r="M361" i="6"/>
  <c r="A365" i="8"/>
  <c r="K365" i="7"/>
  <c r="C365" i="7"/>
  <c r="J365" i="7"/>
  <c r="B365" i="7"/>
  <c r="I365" i="7"/>
  <c r="H365" i="7"/>
  <c r="G365" i="7"/>
  <c r="M365" i="7"/>
  <c r="L365" i="7"/>
  <c r="F365" i="7"/>
  <c r="E365" i="7"/>
  <c r="I365" i="6"/>
  <c r="D366" i="6"/>
  <c r="L366" i="6"/>
  <c r="B368" i="6"/>
  <c r="J368" i="6"/>
  <c r="E369" i="6"/>
  <c r="M369" i="6"/>
  <c r="A373" i="8"/>
  <c r="K373" i="7"/>
  <c r="C373" i="7"/>
  <c r="J373" i="7"/>
  <c r="B373" i="7"/>
  <c r="I373" i="7"/>
  <c r="H373" i="7"/>
  <c r="G373" i="7"/>
  <c r="M373" i="7"/>
  <c r="L373" i="7"/>
  <c r="F373" i="7"/>
  <c r="E373" i="7"/>
  <c r="D373" i="7"/>
  <c r="I373" i="6"/>
  <c r="D374" i="6"/>
  <c r="L374" i="6"/>
  <c r="B376" i="6"/>
  <c r="J376" i="6"/>
  <c r="E377" i="6"/>
  <c r="M377" i="6"/>
  <c r="A381" i="8"/>
  <c r="K381" i="7"/>
  <c r="C381" i="7"/>
  <c r="J381" i="7"/>
  <c r="B381" i="7"/>
  <c r="I381" i="7"/>
  <c r="H381" i="7"/>
  <c r="G381" i="7"/>
  <c r="M381" i="7"/>
  <c r="L381" i="7"/>
  <c r="F381" i="7"/>
  <c r="E381" i="7"/>
  <c r="D381" i="7"/>
  <c r="I381" i="6"/>
  <c r="D382" i="6"/>
  <c r="L382" i="6"/>
  <c r="B384" i="6"/>
  <c r="J384" i="6"/>
  <c r="E385" i="6"/>
  <c r="M385" i="6"/>
  <c r="A389" i="8"/>
  <c r="K389" i="7"/>
  <c r="C389" i="7"/>
  <c r="J389" i="7"/>
  <c r="B389" i="7"/>
  <c r="I389" i="7"/>
  <c r="H389" i="7"/>
  <c r="G389" i="7"/>
  <c r="D389" i="7"/>
  <c r="M389" i="7"/>
  <c r="L389" i="7"/>
  <c r="F389" i="7"/>
  <c r="E389" i="7"/>
  <c r="I389" i="6"/>
  <c r="D390" i="6"/>
  <c r="L390" i="6"/>
  <c r="B392" i="6"/>
  <c r="J392" i="6"/>
  <c r="E393" i="6"/>
  <c r="M393" i="6"/>
  <c r="A397" i="8"/>
  <c r="K397" i="7"/>
  <c r="C397" i="7"/>
  <c r="J397" i="7"/>
  <c r="B397" i="7"/>
  <c r="I397" i="7"/>
  <c r="H397" i="7"/>
  <c r="G397" i="7"/>
  <c r="E397" i="7"/>
  <c r="D397" i="7"/>
  <c r="M397" i="7"/>
  <c r="L397" i="7"/>
  <c r="I397" i="6"/>
  <c r="D398" i="6"/>
  <c r="L398" i="6"/>
  <c r="B400" i="6"/>
  <c r="J400" i="6"/>
  <c r="E401" i="6"/>
  <c r="A405" i="8"/>
  <c r="K405" i="7"/>
  <c r="C405" i="7"/>
  <c r="J405" i="7"/>
  <c r="B405" i="7"/>
  <c r="I405" i="7"/>
  <c r="H405" i="7"/>
  <c r="G405" i="7"/>
  <c r="F405" i="7"/>
  <c r="E405" i="7"/>
  <c r="D405" i="7"/>
  <c r="I405" i="6"/>
  <c r="D406" i="6"/>
  <c r="L406" i="6"/>
  <c r="B408" i="6"/>
  <c r="J408" i="6"/>
  <c r="E409" i="6"/>
  <c r="M409" i="6"/>
  <c r="A413" i="8"/>
  <c r="K413" i="7"/>
  <c r="C413" i="7"/>
  <c r="J413" i="7"/>
  <c r="B413" i="7"/>
  <c r="I413" i="7"/>
  <c r="H413" i="7"/>
  <c r="G413" i="7"/>
  <c r="L413" i="7"/>
  <c r="F413" i="7"/>
  <c r="E413" i="7"/>
  <c r="D413" i="7"/>
  <c r="I413" i="6"/>
  <c r="D414" i="6"/>
  <c r="B416" i="6"/>
  <c r="J416" i="6"/>
  <c r="E417" i="6"/>
  <c r="M417" i="6"/>
  <c r="A421" i="8"/>
  <c r="K421" i="7"/>
  <c r="C421" i="7"/>
  <c r="J421" i="7"/>
  <c r="B421" i="7"/>
  <c r="I421" i="7"/>
  <c r="H421" i="7"/>
  <c r="G421" i="7"/>
  <c r="M421" i="7"/>
  <c r="L421" i="7"/>
  <c r="F421" i="7"/>
  <c r="E421" i="7"/>
  <c r="D421" i="7"/>
  <c r="I421" i="6"/>
  <c r="D422" i="6"/>
  <c r="L422" i="6"/>
  <c r="B424" i="6"/>
  <c r="J424" i="6"/>
  <c r="E425" i="6"/>
  <c r="M425" i="6"/>
  <c r="C427" i="6"/>
  <c r="K427" i="6"/>
  <c r="A429" i="8"/>
  <c r="K429" i="7"/>
  <c r="C429" i="7"/>
  <c r="J429" i="7"/>
  <c r="B429" i="7"/>
  <c r="I429" i="7"/>
  <c r="H429" i="7"/>
  <c r="G429" i="7"/>
  <c r="M429" i="7"/>
  <c r="L429" i="7"/>
  <c r="F429" i="7"/>
  <c r="E429" i="7"/>
  <c r="D429" i="7"/>
  <c r="I429" i="6"/>
  <c r="D430" i="6"/>
  <c r="L430" i="6"/>
  <c r="B432" i="6"/>
  <c r="J432" i="6"/>
  <c r="E433" i="6"/>
  <c r="M433" i="6"/>
  <c r="C435" i="6"/>
  <c r="K435" i="6"/>
  <c r="A437" i="8"/>
  <c r="K437" i="7"/>
  <c r="C437" i="7"/>
  <c r="J437" i="7"/>
  <c r="B437" i="7"/>
  <c r="I437" i="7"/>
  <c r="H437" i="7"/>
  <c r="G437" i="7"/>
  <c r="M437" i="7"/>
  <c r="L437" i="7"/>
  <c r="F437" i="7"/>
  <c r="E437" i="7"/>
  <c r="D437" i="7"/>
  <c r="I437" i="6"/>
  <c r="D438" i="6"/>
  <c r="L438" i="6"/>
  <c r="B440" i="6"/>
  <c r="J440" i="6"/>
  <c r="E441" i="6"/>
  <c r="M441" i="6"/>
  <c r="C443" i="6"/>
  <c r="K443" i="6"/>
  <c r="A445" i="8"/>
  <c r="K445" i="7"/>
  <c r="C445" i="7"/>
  <c r="J445" i="7"/>
  <c r="B445" i="7"/>
  <c r="I445" i="7"/>
  <c r="H445" i="7"/>
  <c r="G445" i="7"/>
  <c r="M445" i="7"/>
  <c r="L445" i="7"/>
  <c r="F445" i="7"/>
  <c r="I445" i="6"/>
  <c r="D446" i="6"/>
  <c r="L446" i="6"/>
  <c r="B448" i="6"/>
  <c r="J448" i="6"/>
  <c r="E449" i="6"/>
  <c r="M449" i="6"/>
  <c r="C451" i="6"/>
  <c r="K451" i="6"/>
  <c r="A453" i="8"/>
  <c r="K453" i="7"/>
  <c r="C453" i="7"/>
  <c r="J453" i="7"/>
  <c r="B453" i="7"/>
  <c r="I453" i="7"/>
  <c r="H453" i="7"/>
  <c r="G453" i="7"/>
  <c r="D453" i="7"/>
  <c r="M453" i="7"/>
  <c r="I453" i="6"/>
  <c r="D454" i="6"/>
  <c r="L454" i="6"/>
  <c r="B456" i="6"/>
  <c r="J456" i="6"/>
  <c r="E457" i="6"/>
  <c r="C459" i="6"/>
  <c r="K459" i="6"/>
  <c r="A461" i="8"/>
  <c r="K461" i="7"/>
  <c r="C461" i="7"/>
  <c r="J461" i="7"/>
  <c r="B461" i="7"/>
  <c r="I461" i="7"/>
  <c r="H461" i="7"/>
  <c r="G461" i="7"/>
  <c r="E461" i="7"/>
  <c r="D461" i="7"/>
  <c r="F461" i="7"/>
  <c r="I461" i="6"/>
  <c r="D462" i="6"/>
  <c r="L462" i="6"/>
  <c r="B464" i="6"/>
  <c r="J464" i="6"/>
  <c r="E465" i="6"/>
  <c r="M465" i="6"/>
  <c r="A469" i="8"/>
  <c r="K469" i="7"/>
  <c r="C469" i="7"/>
  <c r="J469" i="7"/>
  <c r="B469" i="7"/>
  <c r="I469" i="7"/>
  <c r="H469" i="7"/>
  <c r="G469" i="7"/>
  <c r="F469" i="7"/>
  <c r="E469" i="7"/>
  <c r="D469" i="7"/>
  <c r="M469" i="7"/>
  <c r="L469" i="7"/>
  <c r="I469" i="6"/>
  <c r="D470" i="6"/>
  <c r="B472" i="6"/>
  <c r="J472" i="6"/>
  <c r="E473" i="6"/>
  <c r="M473" i="6"/>
  <c r="A477" i="8"/>
  <c r="K477" i="7"/>
  <c r="C477" i="7"/>
  <c r="J477" i="7"/>
  <c r="B477" i="7"/>
  <c r="I477" i="7"/>
  <c r="H477" i="7"/>
  <c r="G477" i="7"/>
  <c r="L477" i="7"/>
  <c r="F477" i="7"/>
  <c r="E477" i="7"/>
  <c r="D477" i="7"/>
  <c r="M477" i="7"/>
  <c r="I477" i="6"/>
  <c r="D478" i="6"/>
  <c r="L478" i="6"/>
  <c r="B480" i="6"/>
  <c r="J480" i="6"/>
  <c r="E481" i="6"/>
  <c r="M481" i="6"/>
  <c r="A485" i="8"/>
  <c r="K485" i="7"/>
  <c r="C485" i="7"/>
  <c r="J485" i="7"/>
  <c r="B485" i="7"/>
  <c r="I485" i="7"/>
  <c r="H485" i="7"/>
  <c r="G485" i="7"/>
  <c r="M485" i="7"/>
  <c r="L485" i="7"/>
  <c r="F485" i="7"/>
  <c r="E485" i="7"/>
  <c r="D485" i="7"/>
  <c r="I485" i="6"/>
  <c r="D486" i="6"/>
  <c r="L486" i="6"/>
  <c r="B488" i="6"/>
  <c r="J488" i="6"/>
  <c r="E489" i="6"/>
  <c r="M489" i="6"/>
  <c r="A493" i="8"/>
  <c r="K493" i="7"/>
  <c r="C493" i="7"/>
  <c r="J493" i="7"/>
  <c r="B493" i="7"/>
  <c r="I493" i="7"/>
  <c r="H493" i="7"/>
  <c r="G493" i="7"/>
  <c r="M493" i="7"/>
  <c r="L493" i="7"/>
  <c r="F493" i="7"/>
  <c r="E493" i="7"/>
  <c r="I493" i="6"/>
  <c r="D494" i="6"/>
  <c r="L494" i="6"/>
  <c r="B496" i="6"/>
  <c r="J496" i="6"/>
  <c r="E497" i="6"/>
  <c r="M497" i="6"/>
  <c r="A501" i="8"/>
  <c r="K501" i="7"/>
  <c r="C501" i="7"/>
  <c r="J501" i="7"/>
  <c r="B501" i="7"/>
  <c r="I501" i="7"/>
  <c r="H501" i="7"/>
  <c r="G501" i="7"/>
  <c r="M501" i="7"/>
  <c r="L501" i="7"/>
  <c r="F501" i="7"/>
  <c r="I501" i="6"/>
  <c r="D502" i="6"/>
  <c r="L502" i="6"/>
  <c r="B504" i="6"/>
  <c r="J504" i="6"/>
  <c r="E505" i="6"/>
  <c r="M505" i="6"/>
  <c r="A509" i="8"/>
  <c r="K509" i="7"/>
  <c r="C509" i="7"/>
  <c r="J509" i="7"/>
  <c r="B509" i="7"/>
  <c r="I509" i="7"/>
  <c r="H509" i="7"/>
  <c r="G509" i="7"/>
  <c r="M509" i="7"/>
  <c r="L509" i="7"/>
  <c r="E509" i="7"/>
  <c r="D509" i="7"/>
  <c r="I509" i="6"/>
  <c r="D510" i="6"/>
  <c r="L510" i="6"/>
  <c r="B512" i="6"/>
  <c r="J512" i="6"/>
  <c r="E513" i="6"/>
  <c r="M513" i="6"/>
  <c r="A517" i="8"/>
  <c r="K517" i="7"/>
  <c r="C517" i="7"/>
  <c r="J517" i="7"/>
  <c r="B517" i="7"/>
  <c r="I517" i="7"/>
  <c r="H517" i="7"/>
  <c r="G517" i="7"/>
  <c r="D517" i="7"/>
  <c r="M517" i="7"/>
  <c r="L517" i="7"/>
  <c r="F517" i="7"/>
  <c r="E517" i="7"/>
  <c r="I517" i="6"/>
  <c r="D518" i="6"/>
  <c r="L518" i="6"/>
  <c r="B520" i="6"/>
  <c r="J520" i="6"/>
  <c r="E521" i="6"/>
  <c r="M521" i="6"/>
  <c r="A525" i="8"/>
  <c r="K525" i="7"/>
  <c r="C525" i="7"/>
  <c r="J525" i="7"/>
  <c r="B525" i="7"/>
  <c r="I525" i="7"/>
  <c r="H525" i="7"/>
  <c r="G525" i="7"/>
  <c r="E525" i="7"/>
  <c r="D525" i="7"/>
  <c r="M525" i="7"/>
  <c r="L525" i="7"/>
  <c r="F525" i="7"/>
  <c r="I525" i="6"/>
  <c r="D526" i="6"/>
  <c r="L526" i="6"/>
  <c r="B528" i="6"/>
  <c r="J528" i="6"/>
  <c r="E529" i="6"/>
  <c r="M529" i="6"/>
  <c r="A533" i="8"/>
  <c r="K533" i="7"/>
  <c r="C533" i="7"/>
  <c r="J533" i="7"/>
  <c r="B533" i="7"/>
  <c r="I533" i="7"/>
  <c r="H533" i="7"/>
  <c r="G533" i="7"/>
  <c r="F533" i="7"/>
  <c r="E533" i="7"/>
  <c r="D533" i="7"/>
  <c r="M533" i="7"/>
  <c r="L533" i="7"/>
  <c r="I533" i="6"/>
  <c r="D534" i="6"/>
  <c r="L534" i="6"/>
  <c r="B536" i="6"/>
  <c r="J536" i="6"/>
  <c r="E537" i="6"/>
  <c r="A541" i="8"/>
  <c r="K541" i="7"/>
  <c r="C541" i="7"/>
  <c r="J541" i="7"/>
  <c r="B541" i="7"/>
  <c r="I541" i="7"/>
  <c r="H541" i="7"/>
  <c r="G541" i="7"/>
  <c r="L541" i="7"/>
  <c r="F541" i="7"/>
  <c r="E541" i="7"/>
  <c r="D541" i="7"/>
  <c r="I541" i="6"/>
  <c r="D542" i="6"/>
  <c r="L542" i="6"/>
  <c r="B544" i="6"/>
  <c r="J544" i="6"/>
  <c r="E545" i="6"/>
  <c r="M545" i="6"/>
  <c r="A549" i="8"/>
  <c r="K549" i="7"/>
  <c r="C549" i="7"/>
  <c r="J549" i="7"/>
  <c r="B549" i="7"/>
  <c r="I549" i="7"/>
  <c r="H549" i="7"/>
  <c r="G549" i="7"/>
  <c r="M549" i="7"/>
  <c r="L549" i="7"/>
  <c r="F549" i="7"/>
  <c r="E549" i="7"/>
  <c r="D549" i="7"/>
  <c r="I549" i="6"/>
  <c r="D550" i="6"/>
  <c r="B552" i="6"/>
  <c r="J552" i="6"/>
  <c r="E553" i="6"/>
  <c r="M553" i="6"/>
  <c r="A557" i="8"/>
  <c r="K557" i="7"/>
  <c r="C557" i="7"/>
  <c r="J557" i="7"/>
  <c r="B557" i="7"/>
  <c r="I557" i="7"/>
  <c r="H557" i="7"/>
  <c r="G557" i="7"/>
  <c r="M557" i="7"/>
  <c r="L557" i="7"/>
  <c r="F557" i="7"/>
  <c r="E557" i="7"/>
  <c r="D557" i="7"/>
  <c r="I557" i="6"/>
  <c r="D558" i="6"/>
  <c r="L558" i="6"/>
  <c r="B560" i="6"/>
  <c r="J560" i="6"/>
  <c r="E561" i="6"/>
  <c r="M561" i="6"/>
  <c r="A565" i="8"/>
  <c r="K565" i="7"/>
  <c r="C565" i="7"/>
  <c r="J565" i="7"/>
  <c r="B565" i="7"/>
  <c r="I565" i="7"/>
  <c r="H565" i="7"/>
  <c r="G565" i="7"/>
  <c r="M565" i="7"/>
  <c r="L565" i="7"/>
  <c r="F565" i="7"/>
  <c r="E565" i="7"/>
  <c r="D565" i="7"/>
  <c r="I565" i="6"/>
  <c r="D566" i="6"/>
  <c r="L566" i="6"/>
  <c r="B568" i="6"/>
  <c r="J568" i="6"/>
  <c r="E569" i="6"/>
  <c r="M569" i="6"/>
  <c r="C571" i="6"/>
  <c r="K571" i="6"/>
  <c r="A573" i="8"/>
  <c r="K573" i="7"/>
  <c r="C573" i="7"/>
  <c r="J573" i="7"/>
  <c r="B573" i="7"/>
  <c r="I573" i="7"/>
  <c r="H573" i="7"/>
  <c r="G573" i="7"/>
  <c r="M573" i="7"/>
  <c r="L573" i="7"/>
  <c r="F573" i="7"/>
  <c r="E573" i="7"/>
  <c r="D573" i="7"/>
  <c r="I573" i="6"/>
  <c r="D574" i="6"/>
  <c r="L574" i="6"/>
  <c r="B576" i="6"/>
  <c r="J576" i="6"/>
  <c r="E577" i="6"/>
  <c r="M577" i="6"/>
  <c r="C579" i="6"/>
  <c r="K579" i="6"/>
  <c r="A581" i="8"/>
  <c r="K581" i="7"/>
  <c r="C581" i="7"/>
  <c r="J581" i="7"/>
  <c r="B581" i="7"/>
  <c r="I581" i="7"/>
  <c r="H581" i="7"/>
  <c r="G581" i="7"/>
  <c r="D581" i="7"/>
  <c r="M581" i="7"/>
  <c r="L581" i="7"/>
  <c r="F581" i="7"/>
  <c r="I581" i="6"/>
  <c r="D582" i="6"/>
  <c r="L582" i="6"/>
  <c r="B584" i="6"/>
  <c r="J584" i="6"/>
  <c r="E585" i="6"/>
  <c r="C587" i="6"/>
  <c r="K587" i="6"/>
  <c r="A589" i="8"/>
  <c r="K589" i="7"/>
  <c r="C589" i="7"/>
  <c r="J589" i="7"/>
  <c r="B589" i="7"/>
  <c r="I589" i="7"/>
  <c r="H589" i="7"/>
  <c r="G589" i="7"/>
  <c r="E589" i="7"/>
  <c r="D589" i="7"/>
  <c r="M589" i="7"/>
  <c r="I589" i="6"/>
  <c r="D590" i="6"/>
  <c r="L590" i="6"/>
  <c r="B592" i="6"/>
  <c r="J592" i="6"/>
  <c r="E593" i="6"/>
  <c r="C595" i="6"/>
  <c r="K595" i="6"/>
  <c r="A597" i="8"/>
  <c r="K597" i="7"/>
  <c r="C597" i="7"/>
  <c r="J597" i="7"/>
  <c r="B597" i="7"/>
  <c r="I597" i="7"/>
  <c r="H597" i="7"/>
  <c r="G597" i="7"/>
  <c r="F597" i="7"/>
  <c r="E597" i="7"/>
  <c r="D597" i="7"/>
  <c r="I597" i="6"/>
  <c r="D598" i="6"/>
  <c r="B600" i="6"/>
  <c r="J600" i="6"/>
  <c r="E601" i="6"/>
  <c r="M601" i="6"/>
  <c r="C603" i="6"/>
  <c r="K603" i="6"/>
  <c r="A605" i="8"/>
  <c r="K605" i="7"/>
  <c r="C605" i="7"/>
  <c r="J605" i="7"/>
  <c r="B605" i="7"/>
  <c r="I605" i="7"/>
  <c r="H605" i="7"/>
  <c r="G605" i="7"/>
  <c r="L605" i="7"/>
  <c r="F605" i="7"/>
  <c r="E605" i="7"/>
  <c r="D605" i="7"/>
  <c r="M605" i="7"/>
  <c r="I605" i="6"/>
  <c r="D606" i="6"/>
  <c r="B608" i="6"/>
  <c r="J608" i="6"/>
  <c r="E609" i="6"/>
  <c r="M609" i="6"/>
  <c r="C611" i="6"/>
  <c r="K611" i="6"/>
  <c r="A613" i="8"/>
  <c r="K613" i="7"/>
  <c r="C613" i="7"/>
  <c r="J613" i="7"/>
  <c r="B613" i="7"/>
  <c r="I613" i="7"/>
  <c r="H613" i="7"/>
  <c r="G613" i="7"/>
  <c r="M613" i="7"/>
  <c r="L613" i="7"/>
  <c r="F613" i="7"/>
  <c r="E613" i="7"/>
  <c r="D613" i="7"/>
  <c r="I613" i="6"/>
  <c r="D614" i="6"/>
  <c r="L614" i="6"/>
  <c r="B616" i="6"/>
  <c r="J616" i="6"/>
  <c r="E617" i="6"/>
  <c r="M617" i="6"/>
  <c r="C619" i="6"/>
  <c r="K619" i="6"/>
  <c r="A621" i="8"/>
  <c r="K621" i="7"/>
  <c r="C621" i="7"/>
  <c r="J621" i="7"/>
  <c r="B621" i="7"/>
  <c r="I621" i="7"/>
  <c r="H621" i="7"/>
  <c r="G621" i="7"/>
  <c r="M621" i="7"/>
  <c r="L621" i="7"/>
  <c r="F621" i="7"/>
  <c r="E621" i="7"/>
  <c r="D621" i="7"/>
  <c r="I621" i="6"/>
  <c r="D622" i="6"/>
  <c r="L622" i="6"/>
  <c r="B624" i="6"/>
  <c r="J624" i="6"/>
  <c r="E625" i="6"/>
  <c r="M625" i="6"/>
  <c r="A629" i="8"/>
  <c r="K629" i="7"/>
  <c r="C629" i="7"/>
  <c r="J629" i="7"/>
  <c r="B629" i="7"/>
  <c r="I629" i="7"/>
  <c r="H629" i="7"/>
  <c r="G629" i="7"/>
  <c r="M629" i="7"/>
  <c r="L629" i="7"/>
  <c r="F629" i="7"/>
  <c r="E629" i="7"/>
  <c r="I629" i="6"/>
  <c r="D630" i="6"/>
  <c r="L630" i="6"/>
  <c r="B632" i="6"/>
  <c r="J632" i="6"/>
  <c r="E633" i="6"/>
  <c r="M633" i="6"/>
  <c r="A637" i="8"/>
  <c r="K637" i="7"/>
  <c r="C637" i="7"/>
  <c r="J637" i="7"/>
  <c r="B637" i="7"/>
  <c r="I637" i="7"/>
  <c r="H637" i="7"/>
  <c r="G637" i="7"/>
  <c r="M637" i="7"/>
  <c r="L637" i="7"/>
  <c r="I637" i="6"/>
  <c r="D638" i="6"/>
  <c r="L638" i="6"/>
  <c r="B640" i="6"/>
  <c r="J640" i="6"/>
  <c r="E641" i="6"/>
  <c r="M641" i="6"/>
  <c r="A645" i="8"/>
  <c r="K645" i="7"/>
  <c r="C645" i="7"/>
  <c r="J645" i="7"/>
  <c r="B645" i="7"/>
  <c r="I645" i="7"/>
  <c r="H645" i="7"/>
  <c r="G645" i="7"/>
  <c r="D645" i="7"/>
  <c r="M645" i="7"/>
  <c r="E645" i="7"/>
  <c r="I645" i="6"/>
  <c r="D646" i="6"/>
  <c r="L646" i="6"/>
  <c r="B648" i="6"/>
  <c r="J648" i="6"/>
  <c r="E649" i="6"/>
  <c r="M649" i="6"/>
  <c r="A653" i="8"/>
  <c r="K653" i="7"/>
  <c r="C653" i="7"/>
  <c r="J653" i="7"/>
  <c r="B653" i="7"/>
  <c r="I653" i="7"/>
  <c r="H653" i="7"/>
  <c r="G653" i="7"/>
  <c r="E653" i="7"/>
  <c r="D653" i="7"/>
  <c r="L653" i="7"/>
  <c r="F653" i="7"/>
  <c r="I653" i="6"/>
  <c r="D654" i="6"/>
  <c r="L654" i="6"/>
  <c r="B656" i="6"/>
  <c r="J656" i="6"/>
  <c r="E657" i="6"/>
  <c r="M657" i="6"/>
  <c r="A661" i="8"/>
  <c r="K661" i="7"/>
  <c r="C661" i="7"/>
  <c r="J661" i="7"/>
  <c r="B661" i="7"/>
  <c r="I661" i="7"/>
  <c r="H661" i="7"/>
  <c r="G661" i="7"/>
  <c r="F661" i="7"/>
  <c r="E661" i="7"/>
  <c r="D661" i="7"/>
  <c r="M661" i="7"/>
  <c r="L661" i="7"/>
  <c r="I661" i="6"/>
  <c r="D662" i="6"/>
  <c r="L662" i="6"/>
  <c r="B664" i="6"/>
  <c r="E665" i="6"/>
  <c r="M665" i="6"/>
  <c r="A669" i="8"/>
  <c r="H669" i="7"/>
  <c r="G669" i="7"/>
  <c r="F669" i="7"/>
  <c r="M669" i="7"/>
  <c r="E669" i="7"/>
  <c r="L669" i="7"/>
  <c r="K669" i="7"/>
  <c r="J669" i="7"/>
  <c r="I669" i="7"/>
  <c r="D669" i="7"/>
  <c r="B669" i="7"/>
  <c r="I669" i="6"/>
  <c r="D670" i="6"/>
  <c r="L670" i="6"/>
  <c r="B672" i="6"/>
  <c r="J672" i="6"/>
  <c r="E673" i="6"/>
  <c r="M673" i="6"/>
  <c r="F676" i="6"/>
  <c r="A677" i="8"/>
  <c r="H677" i="7"/>
  <c r="G677" i="7"/>
  <c r="F677" i="7"/>
  <c r="M677" i="7"/>
  <c r="E677" i="7"/>
  <c r="D677" i="7"/>
  <c r="C677" i="7"/>
  <c r="B677" i="7"/>
  <c r="L677" i="7"/>
  <c r="K677" i="7"/>
  <c r="J677" i="7"/>
  <c r="I677" i="7"/>
  <c r="I677" i="6"/>
  <c r="D678" i="6"/>
  <c r="L678" i="6"/>
  <c r="B680" i="6"/>
  <c r="J680" i="6"/>
  <c r="E681" i="6"/>
  <c r="M681" i="6"/>
  <c r="F684" i="6"/>
  <c r="A685" i="8"/>
  <c r="H685" i="7"/>
  <c r="G685" i="7"/>
  <c r="F685" i="7"/>
  <c r="M685" i="7"/>
  <c r="E685" i="7"/>
  <c r="L685" i="7"/>
  <c r="K685" i="7"/>
  <c r="J685" i="7"/>
  <c r="I685" i="7"/>
  <c r="D685" i="7"/>
  <c r="C685" i="7"/>
  <c r="B685" i="7"/>
  <c r="I685" i="6"/>
  <c r="D686" i="6"/>
  <c r="L686" i="6"/>
  <c r="B688" i="6"/>
  <c r="J688" i="6"/>
  <c r="E689" i="6"/>
  <c r="M689" i="6"/>
  <c r="F692" i="6"/>
  <c r="A693" i="8"/>
  <c r="H693" i="7"/>
  <c r="G693" i="7"/>
  <c r="F693" i="7"/>
  <c r="M693" i="7"/>
  <c r="E693" i="7"/>
  <c r="D693" i="7"/>
  <c r="C693" i="7"/>
  <c r="B693" i="7"/>
  <c r="L693" i="7"/>
  <c r="K693" i="7"/>
  <c r="J693" i="7"/>
  <c r="I693" i="7"/>
  <c r="I693" i="6"/>
  <c r="D694" i="6"/>
  <c r="L694" i="6"/>
  <c r="B696" i="6"/>
  <c r="J696" i="6"/>
  <c r="E697" i="6"/>
  <c r="M697" i="6"/>
  <c r="A701" i="8"/>
  <c r="I701" i="7"/>
  <c r="H701" i="7"/>
  <c r="G701" i="7"/>
  <c r="F701" i="7"/>
  <c r="M701" i="7"/>
  <c r="E701" i="7"/>
  <c r="D701" i="7"/>
  <c r="C701" i="7"/>
  <c r="B701" i="7"/>
  <c r="L701" i="7"/>
  <c r="K701" i="7"/>
  <c r="J701" i="7"/>
  <c r="I701" i="6"/>
  <c r="D702" i="6"/>
  <c r="L702" i="6"/>
  <c r="B704" i="6"/>
  <c r="J704" i="6"/>
  <c r="E705" i="6"/>
  <c r="M705" i="6"/>
  <c r="F708" i="6"/>
  <c r="A709" i="8"/>
  <c r="I709" i="7"/>
  <c r="H709" i="7"/>
  <c r="G709" i="7"/>
  <c r="F709" i="7"/>
  <c r="M709" i="7"/>
  <c r="E709" i="7"/>
  <c r="J709" i="7"/>
  <c r="D709" i="7"/>
  <c r="C709" i="7"/>
  <c r="B709" i="7"/>
  <c r="L709" i="7"/>
  <c r="I709" i="6"/>
  <c r="D710" i="6"/>
  <c r="L710" i="6"/>
  <c r="B712" i="6"/>
  <c r="J712" i="6"/>
  <c r="E713" i="6"/>
  <c r="M713" i="6"/>
  <c r="F716" i="6"/>
  <c r="A717" i="8"/>
  <c r="I717" i="7"/>
  <c r="H717" i="7"/>
  <c r="G717" i="7"/>
  <c r="F717" i="7"/>
  <c r="M717" i="7"/>
  <c r="E717" i="7"/>
  <c r="K717" i="7"/>
  <c r="J717" i="7"/>
  <c r="D717" i="7"/>
  <c r="C717" i="7"/>
  <c r="B717" i="7"/>
  <c r="L717" i="7"/>
  <c r="I717" i="6"/>
  <c r="D718" i="6"/>
  <c r="L718" i="6"/>
  <c r="B720" i="6"/>
  <c r="J720" i="6"/>
  <c r="E721" i="6"/>
  <c r="M721" i="6"/>
  <c r="F724" i="6"/>
  <c r="A725" i="8"/>
  <c r="I725" i="7"/>
  <c r="H725" i="7"/>
  <c r="G725" i="7"/>
  <c r="F725" i="7"/>
  <c r="M725" i="7"/>
  <c r="E725" i="7"/>
  <c r="L725" i="7"/>
  <c r="K725" i="7"/>
  <c r="J725" i="7"/>
  <c r="D725" i="7"/>
  <c r="C725" i="7"/>
  <c r="B725" i="7"/>
  <c r="I725" i="6"/>
  <c r="D726" i="6"/>
  <c r="L726" i="6"/>
  <c r="B728" i="6"/>
  <c r="J728" i="6"/>
  <c r="E729" i="6"/>
  <c r="M729" i="6"/>
  <c r="F732" i="6"/>
  <c r="A733" i="8"/>
  <c r="I733" i="7"/>
  <c r="H733" i="7"/>
  <c r="G733" i="7"/>
  <c r="F733" i="7"/>
  <c r="M733" i="7"/>
  <c r="E733" i="7"/>
  <c r="L733" i="7"/>
  <c r="K733" i="7"/>
  <c r="J733" i="7"/>
  <c r="D733" i="7"/>
  <c r="C733" i="7"/>
  <c r="B733" i="7"/>
  <c r="I733" i="6"/>
  <c r="D734" i="6"/>
  <c r="L734" i="6"/>
  <c r="B736" i="6"/>
  <c r="J736" i="6"/>
  <c r="E737" i="6"/>
  <c r="M737" i="6"/>
  <c r="F740" i="6"/>
  <c r="A741" i="8"/>
  <c r="I741" i="7"/>
  <c r="H741" i="7"/>
  <c r="G741" i="7"/>
  <c r="F741" i="7"/>
  <c r="M741" i="7"/>
  <c r="E741" i="7"/>
  <c r="L741" i="7"/>
  <c r="K741" i="7"/>
  <c r="J741" i="7"/>
  <c r="D741" i="7"/>
  <c r="C741" i="7"/>
  <c r="B741" i="7"/>
  <c r="I741" i="6"/>
  <c r="D742" i="6"/>
  <c r="L742" i="6"/>
  <c r="B744" i="6"/>
  <c r="J744" i="6"/>
  <c r="E745" i="6"/>
  <c r="M745" i="6"/>
  <c r="F748" i="6"/>
  <c r="A749" i="8"/>
  <c r="I749" i="7"/>
  <c r="H749" i="7"/>
  <c r="G749" i="7"/>
  <c r="F749" i="7"/>
  <c r="M749" i="7"/>
  <c r="E749" i="7"/>
  <c r="B749" i="7"/>
  <c r="L749" i="7"/>
  <c r="K749" i="7"/>
  <c r="J749" i="7"/>
  <c r="D749" i="7"/>
  <c r="C749" i="7"/>
  <c r="I749" i="6"/>
  <c r="D750" i="6"/>
  <c r="L750" i="6"/>
  <c r="B752" i="6"/>
  <c r="J752" i="6"/>
  <c r="E753" i="6"/>
  <c r="M753" i="6"/>
  <c r="A757" i="8"/>
  <c r="I757" i="7"/>
  <c r="H757" i="7"/>
  <c r="G757" i="7"/>
  <c r="F757" i="7"/>
  <c r="M757" i="7"/>
  <c r="E757" i="7"/>
  <c r="C757" i="7"/>
  <c r="B757" i="7"/>
  <c r="L757" i="7"/>
  <c r="K757" i="7"/>
  <c r="I757" i="6"/>
  <c r="D758" i="6"/>
  <c r="L758" i="6"/>
  <c r="B760" i="6"/>
  <c r="J760" i="6"/>
  <c r="E761" i="6"/>
  <c r="M761" i="6"/>
  <c r="F764" i="6"/>
  <c r="A765" i="8"/>
  <c r="I765" i="7"/>
  <c r="H765" i="7"/>
  <c r="G765" i="7"/>
  <c r="F765" i="7"/>
  <c r="M765" i="7"/>
  <c r="E765" i="7"/>
  <c r="D765" i="7"/>
  <c r="C765" i="7"/>
  <c r="B765" i="7"/>
  <c r="K765" i="7"/>
  <c r="J765" i="7"/>
  <c r="I765" i="6"/>
  <c r="D766" i="6"/>
  <c r="L766" i="6"/>
  <c r="B768" i="6"/>
  <c r="J768" i="6"/>
  <c r="E769" i="6"/>
  <c r="M769" i="6"/>
  <c r="F772" i="6"/>
  <c r="A773" i="8"/>
  <c r="I773" i="7"/>
  <c r="H773" i="7"/>
  <c r="G773" i="7"/>
  <c r="F773" i="7"/>
  <c r="M773" i="7"/>
  <c r="E773" i="7"/>
  <c r="J773" i="7"/>
  <c r="D773" i="7"/>
  <c r="C773" i="7"/>
  <c r="B773" i="7"/>
  <c r="K773" i="7"/>
  <c r="L773" i="7"/>
  <c r="I773" i="6"/>
  <c r="D774" i="6"/>
  <c r="L774" i="6"/>
  <c r="B776" i="6"/>
  <c r="J776" i="6"/>
  <c r="E777" i="6"/>
  <c r="M777" i="6"/>
  <c r="F780" i="6"/>
  <c r="A781" i="8"/>
  <c r="I781" i="7"/>
  <c r="H781" i="7"/>
  <c r="G781" i="7"/>
  <c r="F781" i="7"/>
  <c r="M781" i="7"/>
  <c r="E781" i="7"/>
  <c r="K781" i="7"/>
  <c r="J781" i="7"/>
  <c r="D781" i="7"/>
  <c r="C781" i="7"/>
  <c r="B781" i="7"/>
  <c r="L781" i="7"/>
  <c r="I781" i="6"/>
  <c r="D782" i="6"/>
  <c r="L782" i="6"/>
  <c r="B784" i="6"/>
  <c r="J784" i="6"/>
  <c r="E785" i="6"/>
  <c r="M785" i="6"/>
  <c r="C787" i="6"/>
  <c r="K787" i="6"/>
  <c r="F788" i="6"/>
  <c r="A789" i="8"/>
  <c r="I789" i="7"/>
  <c r="H789" i="7"/>
  <c r="G789" i="7"/>
  <c r="F789" i="7"/>
  <c r="M789" i="7"/>
  <c r="E789" i="7"/>
  <c r="L789" i="7"/>
  <c r="K789" i="7"/>
  <c r="J789" i="7"/>
  <c r="D789" i="7"/>
  <c r="C789" i="7"/>
  <c r="B789" i="7"/>
  <c r="I789" i="6"/>
  <c r="D790" i="6"/>
  <c r="L790" i="6"/>
  <c r="C792" i="6"/>
  <c r="L792" i="6"/>
  <c r="D794" i="6"/>
  <c r="M794" i="6"/>
  <c r="E796" i="6"/>
  <c r="F798" i="6"/>
  <c r="B799" i="6"/>
  <c r="K799" i="6"/>
  <c r="G800" i="6"/>
  <c r="C801" i="6"/>
  <c r="L801" i="6"/>
  <c r="H803" i="6"/>
  <c r="F806" i="6"/>
  <c r="D807" i="6"/>
  <c r="A808" i="7"/>
  <c r="M808" i="6"/>
  <c r="E808" i="6"/>
  <c r="J808" i="6"/>
  <c r="B808" i="6"/>
  <c r="L808" i="6"/>
  <c r="G810" i="6"/>
  <c r="E811" i="6"/>
  <c r="B817" i="6"/>
  <c r="B818" i="6"/>
  <c r="A819" i="7"/>
  <c r="F819" i="6"/>
  <c r="K819" i="6"/>
  <c r="C819" i="6"/>
  <c r="J819" i="6"/>
  <c r="B819" i="6"/>
  <c r="B822" i="6"/>
  <c r="C823" i="6"/>
  <c r="A825" i="7"/>
  <c r="H825" i="6"/>
  <c r="M825" i="6"/>
  <c r="E825" i="6"/>
  <c r="L825" i="6"/>
  <c r="D825" i="6"/>
  <c r="A826" i="7"/>
  <c r="K826" i="6"/>
  <c r="C826" i="6"/>
  <c r="H826" i="6"/>
  <c r="G826" i="6"/>
  <c r="M826" i="6"/>
  <c r="A830" i="7"/>
  <c r="G830" i="6"/>
  <c r="L830" i="6"/>
  <c r="D830" i="6"/>
  <c r="K830" i="6"/>
  <c r="C830" i="6"/>
  <c r="A831" i="7"/>
  <c r="J831" i="6"/>
  <c r="B831" i="6"/>
  <c r="G831" i="6"/>
  <c r="F831" i="6"/>
  <c r="M831" i="6"/>
  <c r="B846" i="6"/>
  <c r="E847" i="6"/>
  <c r="G849" i="6"/>
  <c r="I851" i="6"/>
  <c r="C855" i="6"/>
  <c r="B857" i="6"/>
  <c r="J862" i="6"/>
  <c r="A867" i="7"/>
  <c r="F867" i="6"/>
  <c r="L867" i="6"/>
  <c r="D867" i="6"/>
  <c r="K867" i="6"/>
  <c r="C867" i="6"/>
  <c r="J867" i="6"/>
  <c r="B867" i="6"/>
  <c r="H870" i="6"/>
  <c r="K871" i="6"/>
  <c r="J873" i="6"/>
  <c r="B878" i="6"/>
  <c r="E879" i="6"/>
  <c r="G881" i="6"/>
  <c r="I883" i="6"/>
  <c r="C887" i="6"/>
  <c r="B889" i="6"/>
  <c r="G891" i="6"/>
  <c r="B897" i="6"/>
  <c r="I899" i="6"/>
  <c r="B902" i="6"/>
  <c r="K905" i="6"/>
  <c r="B913" i="6"/>
  <c r="I915" i="6"/>
  <c r="B918" i="6"/>
  <c r="K921" i="6"/>
  <c r="B929" i="6"/>
  <c r="I931" i="6"/>
  <c r="B934" i="6"/>
  <c r="K937" i="6"/>
  <c r="B945" i="6"/>
  <c r="I947" i="6"/>
  <c r="B950" i="6"/>
  <c r="K953" i="6"/>
  <c r="B961" i="6"/>
  <c r="I963" i="6"/>
  <c r="H966" i="6"/>
  <c r="A971" i="7"/>
  <c r="F971" i="6"/>
  <c r="M971" i="6"/>
  <c r="E971" i="6"/>
  <c r="L971" i="6"/>
  <c r="D971" i="6"/>
  <c r="K971" i="6"/>
  <c r="C971" i="6"/>
  <c r="J971" i="6"/>
  <c r="B971" i="6"/>
  <c r="H982" i="6"/>
  <c r="H987" i="6"/>
  <c r="A990" i="7"/>
  <c r="G990" i="6"/>
  <c r="F990" i="6"/>
  <c r="M990" i="6"/>
  <c r="E990" i="6"/>
  <c r="L990" i="6"/>
  <c r="D990" i="6"/>
  <c r="K990" i="6"/>
  <c r="C990" i="6"/>
  <c r="J993" i="6"/>
  <c r="A995" i="7"/>
  <c r="F995" i="6"/>
  <c r="M995" i="6"/>
  <c r="E995" i="6"/>
  <c r="L995" i="6"/>
  <c r="D995" i="6"/>
  <c r="K995" i="6"/>
  <c r="C995" i="6"/>
  <c r="J995" i="6"/>
  <c r="B995" i="6"/>
  <c r="K109" i="7"/>
  <c r="M125" i="7"/>
  <c r="M133" i="7"/>
  <c r="I150" i="7"/>
  <c r="I163" i="7"/>
  <c r="E173" i="7"/>
  <c r="G181" i="7"/>
  <c r="F229" i="7"/>
  <c r="J238" i="7"/>
  <c r="B278" i="7"/>
  <c r="I286" i="7"/>
  <c r="G291" i="7"/>
  <c r="I299" i="7"/>
  <c r="G304" i="7"/>
  <c r="G317" i="7"/>
  <c r="J369" i="7"/>
  <c r="H379" i="7"/>
  <c r="G392" i="7"/>
  <c r="F427" i="7"/>
  <c r="E440" i="7"/>
  <c r="M461" i="7"/>
  <c r="I497" i="7"/>
  <c r="F509" i="7"/>
  <c r="B545" i="7"/>
  <c r="L589" i="7"/>
  <c r="H614" i="7"/>
  <c r="F624" i="7"/>
  <c r="E637" i="7"/>
  <c r="H708" i="7"/>
  <c r="M734" i="7"/>
  <c r="F769" i="7"/>
  <c r="A816" i="8"/>
  <c r="M816" i="7"/>
  <c r="E816" i="7"/>
  <c r="L816" i="7"/>
  <c r="D816" i="7"/>
  <c r="K816" i="7"/>
  <c r="C816" i="7"/>
  <c r="J816" i="7"/>
  <c r="B816" i="7"/>
  <c r="I816" i="7"/>
  <c r="H816" i="7"/>
  <c r="G816" i="7"/>
  <c r="F816" i="7"/>
  <c r="I816" i="6"/>
  <c r="A824" i="8"/>
  <c r="M824" i="7"/>
  <c r="E824" i="7"/>
  <c r="L824" i="7"/>
  <c r="D824" i="7"/>
  <c r="K824" i="7"/>
  <c r="C824" i="7"/>
  <c r="J824" i="7"/>
  <c r="B824" i="7"/>
  <c r="I824" i="7"/>
  <c r="H824" i="7"/>
  <c r="G824" i="7"/>
  <c r="F824" i="7"/>
  <c r="I824" i="6"/>
  <c r="A832" i="8"/>
  <c r="M832" i="7"/>
  <c r="E832" i="7"/>
  <c r="L832" i="7"/>
  <c r="D832" i="7"/>
  <c r="K832" i="7"/>
  <c r="C832" i="7"/>
  <c r="J832" i="7"/>
  <c r="B832" i="7"/>
  <c r="I832" i="7"/>
  <c r="H832" i="7"/>
  <c r="G832" i="7"/>
  <c r="F832" i="7"/>
  <c r="I832" i="6"/>
  <c r="A840" i="8"/>
  <c r="M840" i="7"/>
  <c r="E840" i="7"/>
  <c r="L840" i="7"/>
  <c r="D840" i="7"/>
  <c r="K840" i="7"/>
  <c r="C840" i="7"/>
  <c r="J840" i="7"/>
  <c r="B840" i="7"/>
  <c r="I840" i="7"/>
  <c r="F840" i="7"/>
  <c r="H840" i="7"/>
  <c r="I840" i="6"/>
  <c r="G842" i="6"/>
  <c r="A848" i="8"/>
  <c r="M848" i="7"/>
  <c r="E848" i="7"/>
  <c r="L848" i="7"/>
  <c r="D848" i="7"/>
  <c r="K848" i="7"/>
  <c r="C848" i="7"/>
  <c r="J848" i="7"/>
  <c r="B848" i="7"/>
  <c r="I848" i="7"/>
  <c r="G848" i="7"/>
  <c r="F848" i="7"/>
  <c r="H848" i="7"/>
  <c r="I848" i="6"/>
  <c r="G850" i="6"/>
  <c r="A856" i="8"/>
  <c r="M856" i="7"/>
  <c r="E856" i="7"/>
  <c r="L856" i="7"/>
  <c r="D856" i="7"/>
  <c r="K856" i="7"/>
  <c r="C856" i="7"/>
  <c r="J856" i="7"/>
  <c r="B856" i="7"/>
  <c r="I856" i="7"/>
  <c r="H856" i="7"/>
  <c r="G856" i="7"/>
  <c r="F856" i="7"/>
  <c r="I856" i="6"/>
  <c r="G858" i="6"/>
  <c r="A864" i="8"/>
  <c r="M864" i="7"/>
  <c r="E864" i="7"/>
  <c r="L864" i="7"/>
  <c r="D864" i="7"/>
  <c r="K864" i="7"/>
  <c r="C864" i="7"/>
  <c r="J864" i="7"/>
  <c r="B864" i="7"/>
  <c r="I864" i="7"/>
  <c r="H864" i="7"/>
  <c r="G864" i="7"/>
  <c r="F864" i="7"/>
  <c r="I864" i="6"/>
  <c r="G866" i="6"/>
  <c r="A872" i="8"/>
  <c r="M872" i="7"/>
  <c r="E872" i="7"/>
  <c r="L872" i="7"/>
  <c r="D872" i="7"/>
  <c r="K872" i="7"/>
  <c r="C872" i="7"/>
  <c r="J872" i="7"/>
  <c r="B872" i="7"/>
  <c r="I872" i="7"/>
  <c r="H872" i="7"/>
  <c r="G872" i="7"/>
  <c r="F872" i="7"/>
  <c r="I872" i="6"/>
  <c r="G874" i="6"/>
  <c r="A880" i="8"/>
  <c r="M880" i="7"/>
  <c r="E880" i="7"/>
  <c r="L880" i="7"/>
  <c r="D880" i="7"/>
  <c r="K880" i="7"/>
  <c r="C880" i="7"/>
  <c r="J880" i="7"/>
  <c r="B880" i="7"/>
  <c r="I880" i="7"/>
  <c r="H880" i="7"/>
  <c r="G880" i="7"/>
  <c r="F880" i="7"/>
  <c r="I880" i="6"/>
  <c r="G882" i="6"/>
  <c r="A888" i="8"/>
  <c r="M888" i="7"/>
  <c r="E888" i="7"/>
  <c r="L888" i="7"/>
  <c r="D888" i="7"/>
  <c r="K888" i="7"/>
  <c r="C888" i="7"/>
  <c r="J888" i="7"/>
  <c r="B888" i="7"/>
  <c r="I888" i="7"/>
  <c r="H888" i="7"/>
  <c r="G888" i="7"/>
  <c r="I888" i="6"/>
  <c r="G890" i="6"/>
  <c r="F895" i="6"/>
  <c r="A896" i="8"/>
  <c r="M896" i="7"/>
  <c r="E896" i="7"/>
  <c r="L896" i="7"/>
  <c r="D896" i="7"/>
  <c r="K896" i="7"/>
  <c r="C896" i="7"/>
  <c r="J896" i="7"/>
  <c r="B896" i="7"/>
  <c r="I896" i="7"/>
  <c r="G896" i="7"/>
  <c r="F896" i="7"/>
  <c r="I896" i="6"/>
  <c r="G898" i="6"/>
  <c r="F903" i="6"/>
  <c r="A904" i="8"/>
  <c r="M904" i="7"/>
  <c r="E904" i="7"/>
  <c r="L904" i="7"/>
  <c r="D904" i="7"/>
  <c r="K904" i="7"/>
  <c r="C904" i="7"/>
  <c r="J904" i="7"/>
  <c r="B904" i="7"/>
  <c r="I904" i="7"/>
  <c r="F904" i="7"/>
  <c r="G904" i="7"/>
  <c r="H904" i="7"/>
  <c r="I904" i="6"/>
  <c r="G906" i="6"/>
  <c r="F911" i="6"/>
  <c r="A912" i="8"/>
  <c r="M912" i="7"/>
  <c r="E912" i="7"/>
  <c r="L912" i="7"/>
  <c r="D912" i="7"/>
  <c r="K912" i="7"/>
  <c r="C912" i="7"/>
  <c r="J912" i="7"/>
  <c r="B912" i="7"/>
  <c r="I912" i="7"/>
  <c r="G912" i="7"/>
  <c r="F912" i="7"/>
  <c r="H912" i="7"/>
  <c r="I912" i="6"/>
  <c r="G914" i="6"/>
  <c r="F919" i="6"/>
  <c r="A920" i="8"/>
  <c r="M920" i="7"/>
  <c r="E920" i="7"/>
  <c r="L920" i="7"/>
  <c r="D920" i="7"/>
  <c r="K920" i="7"/>
  <c r="C920" i="7"/>
  <c r="J920" i="7"/>
  <c r="B920" i="7"/>
  <c r="I920" i="7"/>
  <c r="H920" i="7"/>
  <c r="G920" i="7"/>
  <c r="F920" i="7"/>
  <c r="I920" i="6"/>
  <c r="G922" i="6"/>
  <c r="F927" i="6"/>
  <c r="A928" i="8"/>
  <c r="M928" i="7"/>
  <c r="E928" i="7"/>
  <c r="L928" i="7"/>
  <c r="D928" i="7"/>
  <c r="K928" i="7"/>
  <c r="C928" i="7"/>
  <c r="J928" i="7"/>
  <c r="B928" i="7"/>
  <c r="I928" i="7"/>
  <c r="H928" i="7"/>
  <c r="G928" i="7"/>
  <c r="F928" i="7"/>
  <c r="I928" i="6"/>
  <c r="G930" i="6"/>
  <c r="F935" i="6"/>
  <c r="A936" i="8"/>
  <c r="M936" i="7"/>
  <c r="E936" i="7"/>
  <c r="L936" i="7"/>
  <c r="D936" i="7"/>
  <c r="K936" i="7"/>
  <c r="C936" i="7"/>
  <c r="J936" i="7"/>
  <c r="B936" i="7"/>
  <c r="I936" i="7"/>
  <c r="H936" i="7"/>
  <c r="G936" i="7"/>
  <c r="F936" i="7"/>
  <c r="I936" i="6"/>
  <c r="G938" i="6"/>
  <c r="F943" i="6"/>
  <c r="A944" i="8"/>
  <c r="M944" i="7"/>
  <c r="E944" i="7"/>
  <c r="L944" i="7"/>
  <c r="D944" i="7"/>
  <c r="K944" i="7"/>
  <c r="C944" i="7"/>
  <c r="J944" i="7"/>
  <c r="B944" i="7"/>
  <c r="I944" i="7"/>
  <c r="H944" i="7"/>
  <c r="G944" i="7"/>
  <c r="I944" i="6"/>
  <c r="G946" i="6"/>
  <c r="F951" i="6"/>
  <c r="A952" i="8"/>
  <c r="M952" i="7"/>
  <c r="E952" i="7"/>
  <c r="L952" i="7"/>
  <c r="D952" i="7"/>
  <c r="K952" i="7"/>
  <c r="C952" i="7"/>
  <c r="J952" i="7"/>
  <c r="B952" i="7"/>
  <c r="I952" i="7"/>
  <c r="H952" i="7"/>
  <c r="F952" i="7"/>
  <c r="G952" i="7"/>
  <c r="I952" i="6"/>
  <c r="G954" i="6"/>
  <c r="F959" i="6"/>
  <c r="A960" i="8"/>
  <c r="M960" i="7"/>
  <c r="E960" i="7"/>
  <c r="L960" i="7"/>
  <c r="D960" i="7"/>
  <c r="K960" i="7"/>
  <c r="C960" i="7"/>
  <c r="J960" i="7"/>
  <c r="B960" i="7"/>
  <c r="I960" i="7"/>
  <c r="H960" i="7"/>
  <c r="G960" i="7"/>
  <c r="F960" i="7"/>
  <c r="I960" i="6"/>
  <c r="G962" i="6"/>
  <c r="F967" i="6"/>
  <c r="A968" i="8"/>
  <c r="M968" i="7"/>
  <c r="E968" i="7"/>
  <c r="L968" i="7"/>
  <c r="D968" i="7"/>
  <c r="K968" i="7"/>
  <c r="C968" i="7"/>
  <c r="J968" i="7"/>
  <c r="B968" i="7"/>
  <c r="I968" i="7"/>
  <c r="F968" i="7"/>
  <c r="H968" i="7"/>
  <c r="G968" i="7"/>
  <c r="I968" i="6"/>
  <c r="G970" i="6"/>
  <c r="F975" i="6"/>
  <c r="A976" i="8"/>
  <c r="M976" i="7"/>
  <c r="E976" i="7"/>
  <c r="L976" i="7"/>
  <c r="D976" i="7"/>
  <c r="K976" i="7"/>
  <c r="C976" i="7"/>
  <c r="J976" i="7"/>
  <c r="B976" i="7"/>
  <c r="I976" i="7"/>
  <c r="G976" i="7"/>
  <c r="F976" i="7"/>
  <c r="H976" i="7"/>
  <c r="I976" i="6"/>
  <c r="G978" i="6"/>
  <c r="A984" i="8"/>
  <c r="M984" i="7"/>
  <c r="E984" i="7"/>
  <c r="L984" i="7"/>
  <c r="D984" i="7"/>
  <c r="K984" i="7"/>
  <c r="C984" i="7"/>
  <c r="J984" i="7"/>
  <c r="B984" i="7"/>
  <c r="I984" i="7"/>
  <c r="H984" i="7"/>
  <c r="G984" i="7"/>
  <c r="F984" i="7"/>
  <c r="I984" i="6"/>
  <c r="G986" i="6"/>
  <c r="A992" i="8"/>
  <c r="M992" i="7"/>
  <c r="E992" i="7"/>
  <c r="L992" i="7"/>
  <c r="D992" i="7"/>
  <c r="K992" i="7"/>
  <c r="C992" i="7"/>
  <c r="J992" i="7"/>
  <c r="B992" i="7"/>
  <c r="I992" i="7"/>
  <c r="H992" i="7"/>
  <c r="G992" i="7"/>
  <c r="F992" i="7"/>
  <c r="I992" i="6"/>
  <c r="G994" i="6"/>
  <c r="A1000" i="8"/>
  <c r="H1000" i="7"/>
  <c r="G1000" i="7"/>
  <c r="F1000" i="7"/>
  <c r="M1000" i="7"/>
  <c r="E1000" i="7"/>
  <c r="L1000" i="7"/>
  <c r="D1000" i="7"/>
  <c r="I1000" i="7"/>
  <c r="K1000" i="7"/>
  <c r="J1000" i="7"/>
  <c r="C1000" i="7"/>
  <c r="B1000" i="7"/>
  <c r="I1000" i="6"/>
  <c r="B980" i="7"/>
  <c r="A797" i="8"/>
  <c r="L797" i="7"/>
  <c r="D797" i="7"/>
  <c r="K797" i="7"/>
  <c r="J797" i="7"/>
  <c r="B797" i="7"/>
  <c r="H797" i="7"/>
  <c r="C797" i="7"/>
  <c r="M797" i="7"/>
  <c r="I797" i="7"/>
  <c r="G797" i="7"/>
  <c r="F797" i="7"/>
  <c r="I797" i="6"/>
  <c r="F804" i="6"/>
  <c r="A805" i="8"/>
  <c r="L805" i="7"/>
  <c r="D805" i="7"/>
  <c r="K805" i="7"/>
  <c r="C805" i="7"/>
  <c r="J805" i="7"/>
  <c r="B805" i="7"/>
  <c r="I805" i="7"/>
  <c r="H805" i="7"/>
  <c r="M805" i="7"/>
  <c r="G805" i="7"/>
  <c r="F805" i="7"/>
  <c r="E805" i="7"/>
  <c r="I805" i="6"/>
  <c r="F812" i="6"/>
  <c r="A813" i="8"/>
  <c r="L813" i="7"/>
  <c r="D813" i="7"/>
  <c r="K813" i="7"/>
  <c r="C813" i="7"/>
  <c r="J813" i="7"/>
  <c r="B813" i="7"/>
  <c r="I813" i="7"/>
  <c r="H813" i="7"/>
  <c r="M813" i="7"/>
  <c r="G813" i="7"/>
  <c r="F813" i="7"/>
  <c r="E813" i="7"/>
  <c r="I813" i="6"/>
  <c r="B816" i="6"/>
  <c r="J816" i="6"/>
  <c r="F820" i="6"/>
  <c r="A821" i="8"/>
  <c r="L821" i="7"/>
  <c r="D821" i="7"/>
  <c r="K821" i="7"/>
  <c r="C821" i="7"/>
  <c r="J821" i="7"/>
  <c r="B821" i="7"/>
  <c r="I821" i="7"/>
  <c r="H821" i="7"/>
  <c r="M821" i="7"/>
  <c r="G821" i="7"/>
  <c r="F821" i="7"/>
  <c r="E821" i="7"/>
  <c r="I821" i="6"/>
  <c r="B824" i="6"/>
  <c r="J824" i="6"/>
  <c r="F828" i="6"/>
  <c r="A829" i="8"/>
  <c r="L829" i="7"/>
  <c r="D829" i="7"/>
  <c r="K829" i="7"/>
  <c r="C829" i="7"/>
  <c r="J829" i="7"/>
  <c r="B829" i="7"/>
  <c r="I829" i="7"/>
  <c r="H829" i="7"/>
  <c r="M829" i="7"/>
  <c r="G829" i="7"/>
  <c r="F829" i="7"/>
  <c r="E829" i="7"/>
  <c r="I829" i="6"/>
  <c r="B832" i="6"/>
  <c r="J832" i="6"/>
  <c r="F836" i="6"/>
  <c r="A837" i="8"/>
  <c r="L837" i="7"/>
  <c r="D837" i="7"/>
  <c r="K837" i="7"/>
  <c r="C837" i="7"/>
  <c r="J837" i="7"/>
  <c r="B837" i="7"/>
  <c r="I837" i="7"/>
  <c r="H837" i="7"/>
  <c r="M837" i="7"/>
  <c r="G837" i="7"/>
  <c r="F837" i="7"/>
  <c r="E837" i="7"/>
  <c r="I837" i="6"/>
  <c r="B840" i="6"/>
  <c r="J840" i="6"/>
  <c r="H842" i="6"/>
  <c r="F844" i="6"/>
  <c r="A845" i="8"/>
  <c r="L845" i="7"/>
  <c r="D845" i="7"/>
  <c r="K845" i="7"/>
  <c r="C845" i="7"/>
  <c r="J845" i="7"/>
  <c r="B845" i="7"/>
  <c r="I845" i="7"/>
  <c r="H845" i="7"/>
  <c r="E845" i="7"/>
  <c r="M845" i="7"/>
  <c r="G845" i="7"/>
  <c r="F845" i="7"/>
  <c r="I845" i="6"/>
  <c r="B848" i="6"/>
  <c r="J848" i="6"/>
  <c r="H850" i="6"/>
  <c r="F852" i="6"/>
  <c r="A853" i="8"/>
  <c r="L853" i="7"/>
  <c r="D853" i="7"/>
  <c r="K853" i="7"/>
  <c r="C853" i="7"/>
  <c r="J853" i="7"/>
  <c r="B853" i="7"/>
  <c r="I853" i="7"/>
  <c r="H853" i="7"/>
  <c r="F853" i="7"/>
  <c r="E853" i="7"/>
  <c r="M853" i="7"/>
  <c r="I853" i="6"/>
  <c r="B856" i="6"/>
  <c r="J856" i="6"/>
  <c r="H858" i="6"/>
  <c r="F860" i="6"/>
  <c r="A861" i="8"/>
  <c r="L861" i="7"/>
  <c r="D861" i="7"/>
  <c r="K861" i="7"/>
  <c r="C861" i="7"/>
  <c r="J861" i="7"/>
  <c r="B861" i="7"/>
  <c r="I861" i="7"/>
  <c r="H861" i="7"/>
  <c r="G861" i="7"/>
  <c r="F861" i="7"/>
  <c r="E861" i="7"/>
  <c r="M861" i="7"/>
  <c r="I861" i="6"/>
  <c r="B864" i="6"/>
  <c r="J864" i="6"/>
  <c r="H866" i="6"/>
  <c r="F868" i="6"/>
  <c r="A869" i="8"/>
  <c r="L869" i="7"/>
  <c r="D869" i="7"/>
  <c r="K869" i="7"/>
  <c r="C869" i="7"/>
  <c r="J869" i="7"/>
  <c r="B869" i="7"/>
  <c r="I869" i="7"/>
  <c r="H869" i="7"/>
  <c r="M869" i="7"/>
  <c r="G869" i="7"/>
  <c r="F869" i="7"/>
  <c r="E869" i="7"/>
  <c r="I869" i="6"/>
  <c r="B872" i="6"/>
  <c r="J872" i="6"/>
  <c r="H874" i="6"/>
  <c r="F876" i="6"/>
  <c r="A877" i="8"/>
  <c r="L877" i="7"/>
  <c r="D877" i="7"/>
  <c r="K877" i="7"/>
  <c r="C877" i="7"/>
  <c r="J877" i="7"/>
  <c r="B877" i="7"/>
  <c r="I877" i="7"/>
  <c r="H877" i="7"/>
  <c r="M877" i="7"/>
  <c r="G877" i="7"/>
  <c r="F877" i="7"/>
  <c r="E877" i="7"/>
  <c r="I877" i="6"/>
  <c r="B880" i="6"/>
  <c r="J880" i="6"/>
  <c r="H882" i="6"/>
  <c r="F884" i="6"/>
  <c r="A885" i="8"/>
  <c r="L885" i="7"/>
  <c r="D885" i="7"/>
  <c r="K885" i="7"/>
  <c r="C885" i="7"/>
  <c r="J885" i="7"/>
  <c r="B885" i="7"/>
  <c r="I885" i="7"/>
  <c r="H885" i="7"/>
  <c r="M885" i="7"/>
  <c r="G885" i="7"/>
  <c r="F885" i="7"/>
  <c r="E885" i="7"/>
  <c r="I885" i="6"/>
  <c r="B888" i="6"/>
  <c r="J888" i="6"/>
  <c r="H890" i="6"/>
  <c r="F892" i="6"/>
  <c r="A893" i="8"/>
  <c r="L893" i="7"/>
  <c r="D893" i="7"/>
  <c r="K893" i="7"/>
  <c r="C893" i="7"/>
  <c r="J893" i="7"/>
  <c r="B893" i="7"/>
  <c r="I893" i="7"/>
  <c r="H893" i="7"/>
  <c r="M893" i="7"/>
  <c r="G893" i="7"/>
  <c r="F893" i="7"/>
  <c r="E893" i="7"/>
  <c r="I893" i="6"/>
  <c r="G895" i="6"/>
  <c r="B896" i="6"/>
  <c r="J896" i="6"/>
  <c r="H898" i="6"/>
  <c r="A901" i="8"/>
  <c r="L901" i="7"/>
  <c r="D901" i="7"/>
  <c r="K901" i="7"/>
  <c r="C901" i="7"/>
  <c r="J901" i="7"/>
  <c r="B901" i="7"/>
  <c r="I901" i="7"/>
  <c r="H901" i="7"/>
  <c r="M901" i="7"/>
  <c r="G901" i="7"/>
  <c r="F901" i="7"/>
  <c r="I901" i="6"/>
  <c r="G903" i="6"/>
  <c r="B904" i="6"/>
  <c r="J904" i="6"/>
  <c r="H906" i="6"/>
  <c r="A909" i="8"/>
  <c r="L909" i="7"/>
  <c r="D909" i="7"/>
  <c r="K909" i="7"/>
  <c r="C909" i="7"/>
  <c r="J909" i="7"/>
  <c r="B909" i="7"/>
  <c r="I909" i="7"/>
  <c r="H909" i="7"/>
  <c r="E909" i="7"/>
  <c r="F909" i="7"/>
  <c r="I909" i="6"/>
  <c r="G911" i="6"/>
  <c r="B912" i="6"/>
  <c r="J912" i="6"/>
  <c r="H914" i="6"/>
  <c r="A917" i="8"/>
  <c r="L917" i="7"/>
  <c r="D917" i="7"/>
  <c r="K917" i="7"/>
  <c r="C917" i="7"/>
  <c r="J917" i="7"/>
  <c r="B917" i="7"/>
  <c r="I917" i="7"/>
  <c r="H917" i="7"/>
  <c r="F917" i="7"/>
  <c r="E917" i="7"/>
  <c r="G917" i="7"/>
  <c r="M917" i="7"/>
  <c r="I917" i="6"/>
  <c r="G919" i="6"/>
  <c r="B920" i="6"/>
  <c r="J920" i="6"/>
  <c r="H922" i="6"/>
  <c r="A925" i="8"/>
  <c r="L925" i="7"/>
  <c r="D925" i="7"/>
  <c r="K925" i="7"/>
  <c r="C925" i="7"/>
  <c r="J925" i="7"/>
  <c r="B925" i="7"/>
  <c r="I925" i="7"/>
  <c r="H925" i="7"/>
  <c r="G925" i="7"/>
  <c r="F925" i="7"/>
  <c r="E925" i="7"/>
  <c r="M925" i="7"/>
  <c r="I925" i="6"/>
  <c r="G927" i="6"/>
  <c r="B928" i="6"/>
  <c r="J928" i="6"/>
  <c r="H930" i="6"/>
  <c r="A933" i="8"/>
  <c r="L933" i="7"/>
  <c r="D933" i="7"/>
  <c r="K933" i="7"/>
  <c r="C933" i="7"/>
  <c r="J933" i="7"/>
  <c r="B933" i="7"/>
  <c r="I933" i="7"/>
  <c r="H933" i="7"/>
  <c r="M933" i="7"/>
  <c r="G933" i="7"/>
  <c r="F933" i="7"/>
  <c r="E933" i="7"/>
  <c r="I933" i="6"/>
  <c r="G935" i="6"/>
  <c r="B936" i="6"/>
  <c r="J936" i="6"/>
  <c r="H938" i="6"/>
  <c r="A941" i="8"/>
  <c r="L941" i="7"/>
  <c r="D941" i="7"/>
  <c r="K941" i="7"/>
  <c r="C941" i="7"/>
  <c r="J941" i="7"/>
  <c r="B941" i="7"/>
  <c r="I941" i="7"/>
  <c r="H941" i="7"/>
  <c r="M941" i="7"/>
  <c r="G941" i="7"/>
  <c r="F941" i="7"/>
  <c r="E941" i="7"/>
  <c r="I941" i="6"/>
  <c r="G943" i="6"/>
  <c r="B944" i="6"/>
  <c r="J944" i="6"/>
  <c r="H946" i="6"/>
  <c r="A949" i="8"/>
  <c r="L949" i="7"/>
  <c r="D949" i="7"/>
  <c r="K949" i="7"/>
  <c r="C949" i="7"/>
  <c r="J949" i="7"/>
  <c r="B949" i="7"/>
  <c r="I949" i="7"/>
  <c r="H949" i="7"/>
  <c r="M949" i="7"/>
  <c r="G949" i="7"/>
  <c r="F949" i="7"/>
  <c r="E949" i="7"/>
  <c r="I949" i="6"/>
  <c r="G951" i="6"/>
  <c r="B952" i="6"/>
  <c r="J952" i="6"/>
  <c r="H954" i="6"/>
  <c r="A957" i="8"/>
  <c r="L957" i="7"/>
  <c r="D957" i="7"/>
  <c r="K957" i="7"/>
  <c r="C957" i="7"/>
  <c r="J957" i="7"/>
  <c r="B957" i="7"/>
  <c r="I957" i="7"/>
  <c r="H957" i="7"/>
  <c r="M957" i="7"/>
  <c r="G957" i="7"/>
  <c r="I957" i="6"/>
  <c r="G959" i="6"/>
  <c r="B960" i="6"/>
  <c r="J960" i="6"/>
  <c r="H962" i="6"/>
  <c r="F964" i="6"/>
  <c r="A965" i="8"/>
  <c r="L965" i="7"/>
  <c r="D965" i="7"/>
  <c r="K965" i="7"/>
  <c r="C965" i="7"/>
  <c r="J965" i="7"/>
  <c r="B965" i="7"/>
  <c r="I965" i="7"/>
  <c r="H965" i="7"/>
  <c r="M965" i="7"/>
  <c r="F965" i="7"/>
  <c r="E965" i="7"/>
  <c r="G965" i="7"/>
  <c r="I965" i="6"/>
  <c r="G967" i="6"/>
  <c r="B968" i="6"/>
  <c r="J968" i="6"/>
  <c r="H970" i="6"/>
  <c r="A973" i="8"/>
  <c r="L973" i="7"/>
  <c r="D973" i="7"/>
  <c r="K973" i="7"/>
  <c r="C973" i="7"/>
  <c r="J973" i="7"/>
  <c r="B973" i="7"/>
  <c r="I973" i="7"/>
  <c r="H973" i="7"/>
  <c r="E973" i="7"/>
  <c r="M973" i="7"/>
  <c r="G973" i="7"/>
  <c r="F973" i="7"/>
  <c r="I973" i="6"/>
  <c r="G975" i="6"/>
  <c r="B976" i="6"/>
  <c r="J976" i="6"/>
  <c r="H978" i="6"/>
  <c r="A981" i="8"/>
  <c r="L981" i="7"/>
  <c r="D981" i="7"/>
  <c r="K981" i="7"/>
  <c r="C981" i="7"/>
  <c r="J981" i="7"/>
  <c r="B981" i="7"/>
  <c r="I981" i="7"/>
  <c r="H981" i="7"/>
  <c r="F981" i="7"/>
  <c r="E981" i="7"/>
  <c r="M981" i="7"/>
  <c r="G981" i="7"/>
  <c r="I981" i="6"/>
  <c r="G983" i="6"/>
  <c r="B984" i="6"/>
  <c r="J984" i="6"/>
  <c r="H986" i="6"/>
  <c r="A989" i="8"/>
  <c r="L989" i="7"/>
  <c r="D989" i="7"/>
  <c r="K989" i="7"/>
  <c r="C989" i="7"/>
  <c r="J989" i="7"/>
  <c r="B989" i="7"/>
  <c r="I989" i="7"/>
  <c r="H989" i="7"/>
  <c r="G989" i="7"/>
  <c r="F989" i="7"/>
  <c r="E989" i="7"/>
  <c r="M989" i="7"/>
  <c r="I989" i="6"/>
  <c r="G991" i="6"/>
  <c r="B992" i="6"/>
  <c r="J992" i="6"/>
  <c r="H994" i="6"/>
  <c r="A997" i="8"/>
  <c r="F997" i="7"/>
  <c r="M997" i="7"/>
  <c r="E997" i="7"/>
  <c r="K997" i="7"/>
  <c r="C997" i="7"/>
  <c r="B997" i="7"/>
  <c r="L997" i="7"/>
  <c r="J997" i="7"/>
  <c r="I997" i="7"/>
  <c r="G997" i="7"/>
  <c r="D997" i="7"/>
  <c r="H997" i="7"/>
  <c r="I997" i="6"/>
  <c r="G999" i="6"/>
  <c r="B1000" i="6"/>
  <c r="J1000" i="6"/>
  <c r="G853" i="7"/>
  <c r="A842" i="8"/>
  <c r="K842" i="7"/>
  <c r="C842" i="7"/>
  <c r="J842" i="7"/>
  <c r="B842" i="7"/>
  <c r="I842" i="7"/>
  <c r="H842" i="7"/>
  <c r="G842" i="7"/>
  <c r="M842" i="7"/>
  <c r="L842" i="7"/>
  <c r="F842" i="7"/>
  <c r="E842" i="7"/>
  <c r="D842" i="7"/>
  <c r="I842" i="6"/>
  <c r="A850" i="8"/>
  <c r="K850" i="7"/>
  <c r="C850" i="7"/>
  <c r="J850" i="7"/>
  <c r="B850" i="7"/>
  <c r="I850" i="7"/>
  <c r="H850" i="7"/>
  <c r="G850" i="7"/>
  <c r="D850" i="7"/>
  <c r="M850" i="7"/>
  <c r="L850" i="7"/>
  <c r="F850" i="7"/>
  <c r="E850" i="7"/>
  <c r="I850" i="6"/>
  <c r="A858" i="8"/>
  <c r="K858" i="7"/>
  <c r="C858" i="7"/>
  <c r="J858" i="7"/>
  <c r="B858" i="7"/>
  <c r="I858" i="7"/>
  <c r="H858" i="7"/>
  <c r="G858" i="7"/>
  <c r="E858" i="7"/>
  <c r="D858" i="7"/>
  <c r="M858" i="7"/>
  <c r="L858" i="7"/>
  <c r="F858" i="7"/>
  <c r="I858" i="6"/>
  <c r="A866" i="8"/>
  <c r="K866" i="7"/>
  <c r="C866" i="7"/>
  <c r="J866" i="7"/>
  <c r="B866" i="7"/>
  <c r="I866" i="7"/>
  <c r="H866" i="7"/>
  <c r="G866" i="7"/>
  <c r="F866" i="7"/>
  <c r="E866" i="7"/>
  <c r="D866" i="7"/>
  <c r="M866" i="7"/>
  <c r="L866" i="7"/>
  <c r="I866" i="6"/>
  <c r="A874" i="8"/>
  <c r="K874" i="7"/>
  <c r="C874" i="7"/>
  <c r="J874" i="7"/>
  <c r="B874" i="7"/>
  <c r="I874" i="7"/>
  <c r="H874" i="7"/>
  <c r="G874" i="7"/>
  <c r="L874" i="7"/>
  <c r="F874" i="7"/>
  <c r="E874" i="7"/>
  <c r="D874" i="7"/>
  <c r="I874" i="6"/>
  <c r="A882" i="8"/>
  <c r="K882" i="7"/>
  <c r="C882" i="7"/>
  <c r="J882" i="7"/>
  <c r="B882" i="7"/>
  <c r="I882" i="7"/>
  <c r="H882" i="7"/>
  <c r="G882" i="7"/>
  <c r="M882" i="7"/>
  <c r="L882" i="7"/>
  <c r="F882" i="7"/>
  <c r="E882" i="7"/>
  <c r="D882" i="7"/>
  <c r="I882" i="6"/>
  <c r="A890" i="8"/>
  <c r="K890" i="7"/>
  <c r="C890" i="7"/>
  <c r="J890" i="7"/>
  <c r="B890" i="7"/>
  <c r="I890" i="7"/>
  <c r="H890" i="7"/>
  <c r="G890" i="7"/>
  <c r="M890" i="7"/>
  <c r="L890" i="7"/>
  <c r="F890" i="7"/>
  <c r="E890" i="7"/>
  <c r="D890" i="7"/>
  <c r="I890" i="6"/>
  <c r="H895" i="6"/>
  <c r="A898" i="8"/>
  <c r="K898" i="7"/>
  <c r="C898" i="7"/>
  <c r="J898" i="7"/>
  <c r="B898" i="7"/>
  <c r="I898" i="7"/>
  <c r="H898" i="7"/>
  <c r="G898" i="7"/>
  <c r="M898" i="7"/>
  <c r="L898" i="7"/>
  <c r="F898" i="7"/>
  <c r="E898" i="7"/>
  <c r="D898" i="7"/>
  <c r="I898" i="6"/>
  <c r="H903" i="6"/>
  <c r="A906" i="8"/>
  <c r="K906" i="7"/>
  <c r="C906" i="7"/>
  <c r="J906" i="7"/>
  <c r="B906" i="7"/>
  <c r="I906" i="7"/>
  <c r="H906" i="7"/>
  <c r="G906" i="7"/>
  <c r="M906" i="7"/>
  <c r="L906" i="7"/>
  <c r="F906" i="7"/>
  <c r="E906" i="7"/>
  <c r="D906" i="7"/>
  <c r="I906" i="6"/>
  <c r="H911" i="6"/>
  <c r="A914" i="8"/>
  <c r="K914" i="7"/>
  <c r="C914" i="7"/>
  <c r="J914" i="7"/>
  <c r="B914" i="7"/>
  <c r="I914" i="7"/>
  <c r="H914" i="7"/>
  <c r="G914" i="7"/>
  <c r="D914" i="7"/>
  <c r="M914" i="7"/>
  <c r="L914" i="7"/>
  <c r="F914" i="7"/>
  <c r="E914" i="7"/>
  <c r="I914" i="6"/>
  <c r="H919" i="6"/>
  <c r="A922" i="8"/>
  <c r="K922" i="7"/>
  <c r="C922" i="7"/>
  <c r="J922" i="7"/>
  <c r="B922" i="7"/>
  <c r="I922" i="7"/>
  <c r="H922" i="7"/>
  <c r="G922" i="7"/>
  <c r="E922" i="7"/>
  <c r="D922" i="7"/>
  <c r="I922" i="6"/>
  <c r="H927" i="6"/>
  <c r="A930" i="8"/>
  <c r="K930" i="7"/>
  <c r="C930" i="7"/>
  <c r="J930" i="7"/>
  <c r="B930" i="7"/>
  <c r="I930" i="7"/>
  <c r="H930" i="7"/>
  <c r="G930" i="7"/>
  <c r="F930" i="7"/>
  <c r="E930" i="7"/>
  <c r="D930" i="7"/>
  <c r="L930" i="7"/>
  <c r="M930" i="7"/>
  <c r="I930" i="6"/>
  <c r="H935" i="6"/>
  <c r="A938" i="8"/>
  <c r="K938" i="7"/>
  <c r="C938" i="7"/>
  <c r="J938" i="7"/>
  <c r="B938" i="7"/>
  <c r="I938" i="7"/>
  <c r="H938" i="7"/>
  <c r="G938" i="7"/>
  <c r="L938" i="7"/>
  <c r="F938" i="7"/>
  <c r="E938" i="7"/>
  <c r="D938" i="7"/>
  <c r="M938" i="7"/>
  <c r="I938" i="6"/>
  <c r="H943" i="6"/>
  <c r="A946" i="8"/>
  <c r="K946" i="7"/>
  <c r="C946" i="7"/>
  <c r="J946" i="7"/>
  <c r="B946" i="7"/>
  <c r="I946" i="7"/>
  <c r="H946" i="7"/>
  <c r="G946" i="7"/>
  <c r="M946" i="7"/>
  <c r="L946" i="7"/>
  <c r="F946" i="7"/>
  <c r="E946" i="7"/>
  <c r="D946" i="7"/>
  <c r="I946" i="6"/>
  <c r="H951" i="6"/>
  <c r="A954" i="8"/>
  <c r="K954" i="7"/>
  <c r="C954" i="7"/>
  <c r="J954" i="7"/>
  <c r="B954" i="7"/>
  <c r="I954" i="7"/>
  <c r="H954" i="7"/>
  <c r="G954" i="7"/>
  <c r="M954" i="7"/>
  <c r="L954" i="7"/>
  <c r="F954" i="7"/>
  <c r="E954" i="7"/>
  <c r="D954" i="7"/>
  <c r="I954" i="6"/>
  <c r="H959" i="6"/>
  <c r="A962" i="8"/>
  <c r="K962" i="7"/>
  <c r="C962" i="7"/>
  <c r="J962" i="7"/>
  <c r="B962" i="7"/>
  <c r="I962" i="7"/>
  <c r="H962" i="7"/>
  <c r="G962" i="7"/>
  <c r="M962" i="7"/>
  <c r="L962" i="7"/>
  <c r="F962" i="7"/>
  <c r="E962" i="7"/>
  <c r="D962" i="7"/>
  <c r="I962" i="6"/>
  <c r="H967" i="6"/>
  <c r="A970" i="8"/>
  <c r="K970" i="7"/>
  <c r="C970" i="7"/>
  <c r="J970" i="7"/>
  <c r="B970" i="7"/>
  <c r="I970" i="7"/>
  <c r="H970" i="7"/>
  <c r="G970" i="7"/>
  <c r="M970" i="7"/>
  <c r="L970" i="7"/>
  <c r="D970" i="7"/>
  <c r="I970" i="6"/>
  <c r="H975" i="6"/>
  <c r="A978" i="8"/>
  <c r="K978" i="7"/>
  <c r="C978" i="7"/>
  <c r="J978" i="7"/>
  <c r="B978" i="7"/>
  <c r="I978" i="7"/>
  <c r="H978" i="7"/>
  <c r="G978" i="7"/>
  <c r="D978" i="7"/>
  <c r="M978" i="7"/>
  <c r="F978" i="7"/>
  <c r="E978" i="7"/>
  <c r="L978" i="7"/>
  <c r="I978" i="6"/>
  <c r="A986" i="8"/>
  <c r="K986" i="7"/>
  <c r="C986" i="7"/>
  <c r="J986" i="7"/>
  <c r="B986" i="7"/>
  <c r="I986" i="7"/>
  <c r="H986" i="7"/>
  <c r="G986" i="7"/>
  <c r="E986" i="7"/>
  <c r="D986" i="7"/>
  <c r="M986" i="7"/>
  <c r="L986" i="7"/>
  <c r="F986" i="7"/>
  <c r="I986" i="6"/>
  <c r="A994" i="8"/>
  <c r="M994" i="7"/>
  <c r="E994" i="7"/>
  <c r="J994" i="7"/>
  <c r="B994" i="7"/>
  <c r="G994" i="7"/>
  <c r="F994" i="7"/>
  <c r="D994" i="7"/>
  <c r="C994" i="7"/>
  <c r="L994" i="7"/>
  <c r="K994" i="7"/>
  <c r="I994" i="7"/>
  <c r="H994" i="7"/>
  <c r="I994" i="6"/>
  <c r="E797" i="7"/>
  <c r="F888" i="7"/>
  <c r="L922" i="7"/>
  <c r="E957" i="7"/>
  <c r="A895" i="8"/>
  <c r="J895" i="7"/>
  <c r="B895" i="7"/>
  <c r="I895" i="7"/>
  <c r="H895" i="7"/>
  <c r="G895" i="7"/>
  <c r="F895" i="7"/>
  <c r="M895" i="7"/>
  <c r="L895" i="7"/>
  <c r="K895" i="7"/>
  <c r="E895" i="7"/>
  <c r="D895" i="7"/>
  <c r="C895" i="7"/>
  <c r="I895" i="6"/>
  <c r="A903" i="8"/>
  <c r="J903" i="7"/>
  <c r="B903" i="7"/>
  <c r="I903" i="7"/>
  <c r="H903" i="7"/>
  <c r="G903" i="7"/>
  <c r="F903" i="7"/>
  <c r="M903" i="7"/>
  <c r="L903" i="7"/>
  <c r="K903" i="7"/>
  <c r="E903" i="7"/>
  <c r="D903" i="7"/>
  <c r="C903" i="7"/>
  <c r="I903" i="6"/>
  <c r="A911" i="8"/>
  <c r="J911" i="7"/>
  <c r="B911" i="7"/>
  <c r="I911" i="7"/>
  <c r="H911" i="7"/>
  <c r="G911" i="7"/>
  <c r="F911" i="7"/>
  <c r="M911" i="7"/>
  <c r="L911" i="7"/>
  <c r="K911" i="7"/>
  <c r="E911" i="7"/>
  <c r="D911" i="7"/>
  <c r="C911" i="7"/>
  <c r="I911" i="6"/>
  <c r="A919" i="8"/>
  <c r="J919" i="7"/>
  <c r="B919" i="7"/>
  <c r="I919" i="7"/>
  <c r="H919" i="7"/>
  <c r="G919" i="7"/>
  <c r="F919" i="7"/>
  <c r="C919" i="7"/>
  <c r="M919" i="7"/>
  <c r="L919" i="7"/>
  <c r="K919" i="7"/>
  <c r="E919" i="7"/>
  <c r="D919" i="7"/>
  <c r="I919" i="6"/>
  <c r="A927" i="8"/>
  <c r="J927" i="7"/>
  <c r="B927" i="7"/>
  <c r="I927" i="7"/>
  <c r="H927" i="7"/>
  <c r="G927" i="7"/>
  <c r="F927" i="7"/>
  <c r="D927" i="7"/>
  <c r="C927" i="7"/>
  <c r="M927" i="7"/>
  <c r="L927" i="7"/>
  <c r="K927" i="7"/>
  <c r="E927" i="7"/>
  <c r="I927" i="6"/>
  <c r="A935" i="8"/>
  <c r="J935" i="7"/>
  <c r="B935" i="7"/>
  <c r="I935" i="7"/>
  <c r="H935" i="7"/>
  <c r="G935" i="7"/>
  <c r="F935" i="7"/>
  <c r="E935" i="7"/>
  <c r="D935" i="7"/>
  <c r="C935" i="7"/>
  <c r="M935" i="7"/>
  <c r="I935" i="6"/>
  <c r="A943" i="8"/>
  <c r="J943" i="7"/>
  <c r="B943" i="7"/>
  <c r="I943" i="7"/>
  <c r="H943" i="7"/>
  <c r="G943" i="7"/>
  <c r="F943" i="7"/>
  <c r="K943" i="7"/>
  <c r="E943" i="7"/>
  <c r="D943" i="7"/>
  <c r="C943" i="7"/>
  <c r="L943" i="7"/>
  <c r="M943" i="7"/>
  <c r="I943" i="6"/>
  <c r="A951" i="8"/>
  <c r="J951" i="7"/>
  <c r="B951" i="7"/>
  <c r="I951" i="7"/>
  <c r="H951" i="7"/>
  <c r="G951" i="7"/>
  <c r="F951" i="7"/>
  <c r="L951" i="7"/>
  <c r="K951" i="7"/>
  <c r="E951" i="7"/>
  <c r="D951" i="7"/>
  <c r="C951" i="7"/>
  <c r="M951" i="7"/>
  <c r="I951" i="6"/>
  <c r="A959" i="8"/>
  <c r="J959" i="7"/>
  <c r="B959" i="7"/>
  <c r="I959" i="7"/>
  <c r="H959" i="7"/>
  <c r="G959" i="7"/>
  <c r="F959" i="7"/>
  <c r="M959" i="7"/>
  <c r="L959" i="7"/>
  <c r="K959" i="7"/>
  <c r="E959" i="7"/>
  <c r="D959" i="7"/>
  <c r="C959" i="7"/>
  <c r="I959" i="6"/>
  <c r="A967" i="8"/>
  <c r="J967" i="7"/>
  <c r="B967" i="7"/>
  <c r="I967" i="7"/>
  <c r="H967" i="7"/>
  <c r="G967" i="7"/>
  <c r="F967" i="7"/>
  <c r="M967" i="7"/>
  <c r="L967" i="7"/>
  <c r="K967" i="7"/>
  <c r="E967" i="7"/>
  <c r="D967" i="7"/>
  <c r="I967" i="6"/>
  <c r="A975" i="8"/>
  <c r="J975" i="7"/>
  <c r="B975" i="7"/>
  <c r="I975" i="7"/>
  <c r="H975" i="7"/>
  <c r="G975" i="7"/>
  <c r="F975" i="7"/>
  <c r="M975" i="7"/>
  <c r="L975" i="7"/>
  <c r="K975" i="7"/>
  <c r="E975" i="7"/>
  <c r="D975" i="7"/>
  <c r="C975" i="7"/>
  <c r="I975" i="6"/>
  <c r="A983" i="8"/>
  <c r="J983" i="7"/>
  <c r="B983" i="7"/>
  <c r="I983" i="7"/>
  <c r="H983" i="7"/>
  <c r="G983" i="7"/>
  <c r="F983" i="7"/>
  <c r="C983" i="7"/>
  <c r="M983" i="7"/>
  <c r="L983" i="7"/>
  <c r="D983" i="7"/>
  <c r="K983" i="7"/>
  <c r="I983" i="6"/>
  <c r="D984" i="6"/>
  <c r="L984" i="6"/>
  <c r="B986" i="6"/>
  <c r="J986" i="6"/>
  <c r="A991" i="8"/>
  <c r="J991" i="7"/>
  <c r="B991" i="7"/>
  <c r="I991" i="7"/>
  <c r="H991" i="7"/>
  <c r="G991" i="7"/>
  <c r="F991" i="7"/>
  <c r="D991" i="7"/>
  <c r="C991" i="7"/>
  <c r="M991" i="7"/>
  <c r="K991" i="7"/>
  <c r="E991" i="7"/>
  <c r="I991" i="6"/>
  <c r="D992" i="6"/>
  <c r="L992" i="6"/>
  <c r="B994" i="6"/>
  <c r="J994" i="6"/>
  <c r="A999" i="8"/>
  <c r="M999" i="7"/>
  <c r="E999" i="7"/>
  <c r="L999" i="7"/>
  <c r="D999" i="7"/>
  <c r="K999" i="7"/>
  <c r="C999" i="7"/>
  <c r="J999" i="7"/>
  <c r="B999" i="7"/>
  <c r="I999" i="7"/>
  <c r="H999" i="7"/>
  <c r="G999" i="7"/>
  <c r="F999" i="7"/>
  <c r="I999" i="6"/>
  <c r="D1000" i="6"/>
  <c r="L1000" i="6"/>
  <c r="H896" i="7"/>
  <c r="M922" i="7"/>
  <c r="F957" i="7"/>
  <c r="L991" i="7"/>
  <c r="A804" i="8"/>
  <c r="I804" i="7"/>
  <c r="H804" i="7"/>
  <c r="G804" i="7"/>
  <c r="F804" i="7"/>
  <c r="M804" i="7"/>
  <c r="E804" i="7"/>
  <c r="C804" i="7"/>
  <c r="B804" i="7"/>
  <c r="L804" i="7"/>
  <c r="D804" i="7"/>
  <c r="I804" i="6"/>
  <c r="A812" i="8"/>
  <c r="I812" i="7"/>
  <c r="H812" i="7"/>
  <c r="G812" i="7"/>
  <c r="F812" i="7"/>
  <c r="M812" i="7"/>
  <c r="E812" i="7"/>
  <c r="D812" i="7"/>
  <c r="C812" i="7"/>
  <c r="B812" i="7"/>
  <c r="J812" i="7"/>
  <c r="L812" i="7"/>
  <c r="K812" i="7"/>
  <c r="I812" i="6"/>
  <c r="E816" i="6"/>
  <c r="M816" i="6"/>
  <c r="A820" i="8"/>
  <c r="I820" i="7"/>
  <c r="H820" i="7"/>
  <c r="G820" i="7"/>
  <c r="F820" i="7"/>
  <c r="M820" i="7"/>
  <c r="E820" i="7"/>
  <c r="J820" i="7"/>
  <c r="D820" i="7"/>
  <c r="C820" i="7"/>
  <c r="B820" i="7"/>
  <c r="L820" i="7"/>
  <c r="K820" i="7"/>
  <c r="I820" i="6"/>
  <c r="E824" i="6"/>
  <c r="M824" i="6"/>
  <c r="A828" i="8"/>
  <c r="I828" i="7"/>
  <c r="H828" i="7"/>
  <c r="G828" i="7"/>
  <c r="F828" i="7"/>
  <c r="M828" i="7"/>
  <c r="E828" i="7"/>
  <c r="K828" i="7"/>
  <c r="J828" i="7"/>
  <c r="D828" i="7"/>
  <c r="C828" i="7"/>
  <c r="B828" i="7"/>
  <c r="L828" i="7"/>
  <c r="I828" i="6"/>
  <c r="E832" i="6"/>
  <c r="M832" i="6"/>
  <c r="A836" i="8"/>
  <c r="I836" i="7"/>
  <c r="H836" i="7"/>
  <c r="G836" i="7"/>
  <c r="F836" i="7"/>
  <c r="M836" i="7"/>
  <c r="E836" i="7"/>
  <c r="L836" i="7"/>
  <c r="K836" i="7"/>
  <c r="J836" i="7"/>
  <c r="D836" i="7"/>
  <c r="C836" i="7"/>
  <c r="B836" i="7"/>
  <c r="I836" i="6"/>
  <c r="E840" i="6"/>
  <c r="M840" i="6"/>
  <c r="C842" i="6"/>
  <c r="K842" i="6"/>
  <c r="A844" i="8"/>
  <c r="I844" i="7"/>
  <c r="H844" i="7"/>
  <c r="G844" i="7"/>
  <c r="F844" i="7"/>
  <c r="M844" i="7"/>
  <c r="E844" i="7"/>
  <c r="L844" i="7"/>
  <c r="K844" i="7"/>
  <c r="J844" i="7"/>
  <c r="D844" i="7"/>
  <c r="C844" i="7"/>
  <c r="B844" i="7"/>
  <c r="I844" i="6"/>
  <c r="E848" i="6"/>
  <c r="M848" i="6"/>
  <c r="C850" i="6"/>
  <c r="K850" i="6"/>
  <c r="A852" i="8"/>
  <c r="I852" i="7"/>
  <c r="H852" i="7"/>
  <c r="G852" i="7"/>
  <c r="F852" i="7"/>
  <c r="M852" i="7"/>
  <c r="E852" i="7"/>
  <c r="L852" i="7"/>
  <c r="K852" i="7"/>
  <c r="J852" i="7"/>
  <c r="B852" i="7"/>
  <c r="I852" i="6"/>
  <c r="E856" i="6"/>
  <c r="M856" i="6"/>
  <c r="C858" i="6"/>
  <c r="K858" i="6"/>
  <c r="A860" i="8"/>
  <c r="I860" i="7"/>
  <c r="H860" i="7"/>
  <c r="G860" i="7"/>
  <c r="F860" i="7"/>
  <c r="M860" i="7"/>
  <c r="E860" i="7"/>
  <c r="B860" i="7"/>
  <c r="L860" i="7"/>
  <c r="K860" i="7"/>
  <c r="D860" i="7"/>
  <c r="C860" i="7"/>
  <c r="J860" i="7"/>
  <c r="I860" i="6"/>
  <c r="E864" i="6"/>
  <c r="M864" i="6"/>
  <c r="C866" i="6"/>
  <c r="K866" i="6"/>
  <c r="A868" i="8"/>
  <c r="I868" i="7"/>
  <c r="H868" i="7"/>
  <c r="G868" i="7"/>
  <c r="F868" i="7"/>
  <c r="M868" i="7"/>
  <c r="E868" i="7"/>
  <c r="C868" i="7"/>
  <c r="B868" i="7"/>
  <c r="L868" i="7"/>
  <c r="K868" i="7"/>
  <c r="J868" i="7"/>
  <c r="D868" i="7"/>
  <c r="I868" i="6"/>
  <c r="E872" i="6"/>
  <c r="M872" i="6"/>
  <c r="C874" i="6"/>
  <c r="K874" i="6"/>
  <c r="A876" i="8"/>
  <c r="I876" i="7"/>
  <c r="H876" i="7"/>
  <c r="G876" i="7"/>
  <c r="F876" i="7"/>
  <c r="M876" i="7"/>
  <c r="E876" i="7"/>
  <c r="D876" i="7"/>
  <c r="C876" i="7"/>
  <c r="B876" i="7"/>
  <c r="L876" i="7"/>
  <c r="K876" i="7"/>
  <c r="J876" i="7"/>
  <c r="I876" i="6"/>
  <c r="E880" i="6"/>
  <c r="M880" i="6"/>
  <c r="C882" i="6"/>
  <c r="K882" i="6"/>
  <c r="A884" i="8"/>
  <c r="I884" i="7"/>
  <c r="H884" i="7"/>
  <c r="G884" i="7"/>
  <c r="F884" i="7"/>
  <c r="M884" i="7"/>
  <c r="E884" i="7"/>
  <c r="J884" i="7"/>
  <c r="D884" i="7"/>
  <c r="C884" i="7"/>
  <c r="B884" i="7"/>
  <c r="L884" i="7"/>
  <c r="K884" i="7"/>
  <c r="I884" i="6"/>
  <c r="E888" i="6"/>
  <c r="M888" i="6"/>
  <c r="C890" i="6"/>
  <c r="K890" i="6"/>
  <c r="A892" i="8"/>
  <c r="I892" i="7"/>
  <c r="H892" i="7"/>
  <c r="G892" i="7"/>
  <c r="F892" i="7"/>
  <c r="M892" i="7"/>
  <c r="E892" i="7"/>
  <c r="K892" i="7"/>
  <c r="J892" i="7"/>
  <c r="D892" i="7"/>
  <c r="C892" i="7"/>
  <c r="B892" i="7"/>
  <c r="L892" i="7"/>
  <c r="I892" i="6"/>
  <c r="L893" i="6"/>
  <c r="B895" i="6"/>
  <c r="J895" i="6"/>
  <c r="E896" i="6"/>
  <c r="M896" i="6"/>
  <c r="C898" i="6"/>
  <c r="K898" i="6"/>
  <c r="A900" i="8"/>
  <c r="I900" i="7"/>
  <c r="H900" i="7"/>
  <c r="G900" i="7"/>
  <c r="F900" i="7"/>
  <c r="M900" i="7"/>
  <c r="E900" i="7"/>
  <c r="L900" i="7"/>
  <c r="K900" i="7"/>
  <c r="J900" i="7"/>
  <c r="D900" i="7"/>
  <c r="C900" i="7"/>
  <c r="I900" i="6"/>
  <c r="D901" i="6"/>
  <c r="L901" i="6"/>
  <c r="B903" i="6"/>
  <c r="J903" i="6"/>
  <c r="E904" i="6"/>
  <c r="M904" i="6"/>
  <c r="C906" i="6"/>
  <c r="K906" i="6"/>
  <c r="A908" i="8"/>
  <c r="I908" i="7"/>
  <c r="H908" i="7"/>
  <c r="G908" i="7"/>
  <c r="F908" i="7"/>
  <c r="M908" i="7"/>
  <c r="E908" i="7"/>
  <c r="L908" i="7"/>
  <c r="K908" i="7"/>
  <c r="J908" i="7"/>
  <c r="D908" i="7"/>
  <c r="C908" i="7"/>
  <c r="B908" i="7"/>
  <c r="I908" i="6"/>
  <c r="D909" i="6"/>
  <c r="L909" i="6"/>
  <c r="B911" i="6"/>
  <c r="J911" i="6"/>
  <c r="E912" i="6"/>
  <c r="M912" i="6"/>
  <c r="C914" i="6"/>
  <c r="K914" i="6"/>
  <c r="A916" i="8"/>
  <c r="I916" i="7"/>
  <c r="H916" i="7"/>
  <c r="G916" i="7"/>
  <c r="F916" i="7"/>
  <c r="M916" i="7"/>
  <c r="E916" i="7"/>
  <c r="L916" i="7"/>
  <c r="K916" i="7"/>
  <c r="J916" i="7"/>
  <c r="D916" i="7"/>
  <c r="C916" i="7"/>
  <c r="B916" i="7"/>
  <c r="I916" i="6"/>
  <c r="D917" i="6"/>
  <c r="L917" i="6"/>
  <c r="B919" i="6"/>
  <c r="J919" i="6"/>
  <c r="E920" i="6"/>
  <c r="M920" i="6"/>
  <c r="C922" i="6"/>
  <c r="K922" i="6"/>
  <c r="A924" i="8"/>
  <c r="I924" i="7"/>
  <c r="H924" i="7"/>
  <c r="G924" i="7"/>
  <c r="F924" i="7"/>
  <c r="M924" i="7"/>
  <c r="E924" i="7"/>
  <c r="B924" i="7"/>
  <c r="L924" i="7"/>
  <c r="K924" i="7"/>
  <c r="J924" i="7"/>
  <c r="D924" i="7"/>
  <c r="C924" i="7"/>
  <c r="I924" i="6"/>
  <c r="D925" i="6"/>
  <c r="L925" i="6"/>
  <c r="B927" i="6"/>
  <c r="J927" i="6"/>
  <c r="E928" i="6"/>
  <c r="M928" i="6"/>
  <c r="C930" i="6"/>
  <c r="K930" i="6"/>
  <c r="A932" i="8"/>
  <c r="I932" i="7"/>
  <c r="H932" i="7"/>
  <c r="G932" i="7"/>
  <c r="F932" i="7"/>
  <c r="M932" i="7"/>
  <c r="E932" i="7"/>
  <c r="C932" i="7"/>
  <c r="B932" i="7"/>
  <c r="L932" i="7"/>
  <c r="K932" i="7"/>
  <c r="J932" i="7"/>
  <c r="I932" i="6"/>
  <c r="D933" i="6"/>
  <c r="L933" i="6"/>
  <c r="B935" i="6"/>
  <c r="J935" i="6"/>
  <c r="E936" i="6"/>
  <c r="M936" i="6"/>
  <c r="C938" i="6"/>
  <c r="K938" i="6"/>
  <c r="A940" i="8"/>
  <c r="I940" i="7"/>
  <c r="H940" i="7"/>
  <c r="G940" i="7"/>
  <c r="F940" i="7"/>
  <c r="M940" i="7"/>
  <c r="E940" i="7"/>
  <c r="D940" i="7"/>
  <c r="C940" i="7"/>
  <c r="B940" i="7"/>
  <c r="L940" i="7"/>
  <c r="K940" i="7"/>
  <c r="J940" i="7"/>
  <c r="I940" i="6"/>
  <c r="D941" i="6"/>
  <c r="L941" i="6"/>
  <c r="B943" i="6"/>
  <c r="J943" i="6"/>
  <c r="E944" i="6"/>
  <c r="M944" i="6"/>
  <c r="C946" i="6"/>
  <c r="K946" i="6"/>
  <c r="A948" i="8"/>
  <c r="I948" i="7"/>
  <c r="H948" i="7"/>
  <c r="G948" i="7"/>
  <c r="F948" i="7"/>
  <c r="M948" i="7"/>
  <c r="E948" i="7"/>
  <c r="J948" i="7"/>
  <c r="D948" i="7"/>
  <c r="C948" i="7"/>
  <c r="B948" i="7"/>
  <c r="L948" i="7"/>
  <c r="I948" i="6"/>
  <c r="D949" i="6"/>
  <c r="L949" i="6"/>
  <c r="B951" i="6"/>
  <c r="J951" i="6"/>
  <c r="E952" i="6"/>
  <c r="M952" i="6"/>
  <c r="C954" i="6"/>
  <c r="K954" i="6"/>
  <c r="A956" i="8"/>
  <c r="I956" i="7"/>
  <c r="H956" i="7"/>
  <c r="G956" i="7"/>
  <c r="F956" i="7"/>
  <c r="M956" i="7"/>
  <c r="E956" i="7"/>
  <c r="K956" i="7"/>
  <c r="J956" i="7"/>
  <c r="D956" i="7"/>
  <c r="C956" i="7"/>
  <c r="B956" i="7"/>
  <c r="L956" i="7"/>
  <c r="I956" i="6"/>
  <c r="D957" i="6"/>
  <c r="L957" i="6"/>
  <c r="B959" i="6"/>
  <c r="J959" i="6"/>
  <c r="E960" i="6"/>
  <c r="M960" i="6"/>
  <c r="C962" i="6"/>
  <c r="K962" i="6"/>
  <c r="A964" i="8"/>
  <c r="I964" i="7"/>
  <c r="H964" i="7"/>
  <c r="G964" i="7"/>
  <c r="F964" i="7"/>
  <c r="M964" i="7"/>
  <c r="E964" i="7"/>
  <c r="L964" i="7"/>
  <c r="K964" i="7"/>
  <c r="J964" i="7"/>
  <c r="D964" i="7"/>
  <c r="C964" i="7"/>
  <c r="B964" i="7"/>
  <c r="I964" i="6"/>
  <c r="D965" i="6"/>
  <c r="L965" i="6"/>
  <c r="B967" i="6"/>
  <c r="J967" i="6"/>
  <c r="E968" i="6"/>
  <c r="M968" i="6"/>
  <c r="C970" i="6"/>
  <c r="K970" i="6"/>
  <c r="A972" i="8"/>
  <c r="I972" i="7"/>
  <c r="H972" i="7"/>
  <c r="G972" i="7"/>
  <c r="F972" i="7"/>
  <c r="M972" i="7"/>
  <c r="E972" i="7"/>
  <c r="L972" i="7"/>
  <c r="K972" i="7"/>
  <c r="J972" i="7"/>
  <c r="D972" i="7"/>
  <c r="C972" i="7"/>
  <c r="B972" i="7"/>
  <c r="I972" i="6"/>
  <c r="D973" i="6"/>
  <c r="L973" i="6"/>
  <c r="B975" i="6"/>
  <c r="J975" i="6"/>
  <c r="E976" i="6"/>
  <c r="M976" i="6"/>
  <c r="C978" i="6"/>
  <c r="K978" i="6"/>
  <c r="A980" i="8"/>
  <c r="I980" i="7"/>
  <c r="H980" i="7"/>
  <c r="G980" i="7"/>
  <c r="F980" i="7"/>
  <c r="M980" i="7"/>
  <c r="E980" i="7"/>
  <c r="L980" i="7"/>
  <c r="K980" i="7"/>
  <c r="J980" i="7"/>
  <c r="D980" i="7"/>
  <c r="I980" i="6"/>
  <c r="D981" i="6"/>
  <c r="L981" i="6"/>
  <c r="B983" i="6"/>
  <c r="J983" i="6"/>
  <c r="E984" i="6"/>
  <c r="M984" i="6"/>
  <c r="C986" i="6"/>
  <c r="K986" i="6"/>
  <c r="A988" i="8"/>
  <c r="I988" i="7"/>
  <c r="H988" i="7"/>
  <c r="G988" i="7"/>
  <c r="F988" i="7"/>
  <c r="M988" i="7"/>
  <c r="E988" i="7"/>
  <c r="B988" i="7"/>
  <c r="L988" i="7"/>
  <c r="K988" i="7"/>
  <c r="J988" i="7"/>
  <c r="D988" i="7"/>
  <c r="C988" i="7"/>
  <c r="I988" i="6"/>
  <c r="D989" i="6"/>
  <c r="L989" i="6"/>
  <c r="B991" i="6"/>
  <c r="J991" i="6"/>
  <c r="E992" i="6"/>
  <c r="M992" i="6"/>
  <c r="C994" i="6"/>
  <c r="K994" i="6"/>
  <c r="A996" i="8"/>
  <c r="K996" i="7"/>
  <c r="C996" i="7"/>
  <c r="J996" i="7"/>
  <c r="B996" i="7"/>
  <c r="H996" i="7"/>
  <c r="D996" i="7"/>
  <c r="M996" i="7"/>
  <c r="L996" i="7"/>
  <c r="I996" i="7"/>
  <c r="G996" i="7"/>
  <c r="F996" i="7"/>
  <c r="E996" i="7"/>
  <c r="I996" i="6"/>
  <c r="D997" i="6"/>
  <c r="L997" i="6"/>
  <c r="B999" i="6"/>
  <c r="J999" i="6"/>
  <c r="E1000" i="6"/>
  <c r="M1000" i="6"/>
  <c r="K804" i="7"/>
  <c r="B900" i="7"/>
  <c r="D932" i="7"/>
  <c r="B6" i="9"/>
  <c r="B8" i="9"/>
  <c r="B7" i="9"/>
  <c r="B14" i="9"/>
  <c r="B12" i="9"/>
  <c r="B23" i="9" l="1"/>
  <c r="B19" i="9"/>
  <c r="P804" i="8"/>
  <c r="H804" i="8"/>
  <c r="O804" i="8"/>
  <c r="G804" i="8"/>
  <c r="N804" i="8"/>
  <c r="F804" i="8"/>
  <c r="M804" i="8"/>
  <c r="E804" i="8"/>
  <c r="L804" i="8"/>
  <c r="K804" i="8"/>
  <c r="I804" i="8"/>
  <c r="D804" i="8"/>
  <c r="J804" i="8"/>
  <c r="B804" i="8"/>
  <c r="O970" i="8"/>
  <c r="G970" i="8"/>
  <c r="I970" i="8"/>
  <c r="H970" i="8"/>
  <c r="P970" i="8"/>
  <c r="F970" i="8"/>
  <c r="N970" i="8"/>
  <c r="E970" i="8"/>
  <c r="J970" i="8"/>
  <c r="D970" i="8"/>
  <c r="B970" i="8"/>
  <c r="M970" i="8"/>
  <c r="L970" i="8"/>
  <c r="K970" i="8"/>
  <c r="J965" i="8"/>
  <c r="K965" i="8"/>
  <c r="I965" i="8"/>
  <c r="H965" i="8"/>
  <c r="P965" i="8"/>
  <c r="G965" i="8"/>
  <c r="L965" i="8"/>
  <c r="F965" i="8"/>
  <c r="E965" i="8"/>
  <c r="D965" i="8"/>
  <c r="B965" i="8"/>
  <c r="O965" i="8"/>
  <c r="N965" i="8"/>
  <c r="M965" i="8"/>
  <c r="A198" i="8"/>
  <c r="G198" i="7"/>
  <c r="F198" i="7"/>
  <c r="M198" i="7"/>
  <c r="E198" i="7"/>
  <c r="L198" i="7"/>
  <c r="D198" i="7"/>
  <c r="K198" i="7"/>
  <c r="C198" i="7"/>
  <c r="J198" i="7"/>
  <c r="I198" i="7"/>
  <c r="H198" i="7"/>
  <c r="B198" i="7"/>
  <c r="L763" i="8"/>
  <c r="D763" i="8"/>
  <c r="K763" i="8"/>
  <c r="B763" i="8"/>
  <c r="J763" i="8"/>
  <c r="I763" i="8"/>
  <c r="O763" i="8"/>
  <c r="N763" i="8"/>
  <c r="M763" i="8"/>
  <c r="H763" i="8"/>
  <c r="G763" i="8"/>
  <c r="P763" i="8"/>
  <c r="F763" i="8"/>
  <c r="E763" i="8"/>
  <c r="P307" i="8"/>
  <c r="H307" i="8"/>
  <c r="O307" i="8"/>
  <c r="G307" i="8"/>
  <c r="M307" i="8"/>
  <c r="E307" i="8"/>
  <c r="L307" i="8"/>
  <c r="D307" i="8"/>
  <c r="N307" i="8"/>
  <c r="K307" i="8"/>
  <c r="I307" i="8"/>
  <c r="F307" i="8"/>
  <c r="J307" i="8"/>
  <c r="B307" i="8"/>
  <c r="A883" i="8"/>
  <c r="F883" i="7"/>
  <c r="M883" i="7"/>
  <c r="E883" i="7"/>
  <c r="L883" i="7"/>
  <c r="D883" i="7"/>
  <c r="K883" i="7"/>
  <c r="C883" i="7"/>
  <c r="J883" i="7"/>
  <c r="B883" i="7"/>
  <c r="I883" i="7"/>
  <c r="H883" i="7"/>
  <c r="G883" i="7"/>
  <c r="A937" i="8"/>
  <c r="H937" i="7"/>
  <c r="G937" i="7"/>
  <c r="F937" i="7"/>
  <c r="M937" i="7"/>
  <c r="E937" i="7"/>
  <c r="L937" i="7"/>
  <c r="D937" i="7"/>
  <c r="B937" i="7"/>
  <c r="K937" i="7"/>
  <c r="J937" i="7"/>
  <c r="I937" i="7"/>
  <c r="C937" i="7"/>
  <c r="A548" i="8"/>
  <c r="H548" i="7"/>
  <c r="G548" i="7"/>
  <c r="F548" i="7"/>
  <c r="M548" i="7"/>
  <c r="E548" i="7"/>
  <c r="L548" i="7"/>
  <c r="D548" i="7"/>
  <c r="C548" i="7"/>
  <c r="B548" i="7"/>
  <c r="J548" i="7"/>
  <c r="I548" i="7"/>
  <c r="K548" i="7"/>
  <c r="A340" i="8"/>
  <c r="H340" i="7"/>
  <c r="G340" i="7"/>
  <c r="F340" i="7"/>
  <c r="M340" i="7"/>
  <c r="E340" i="7"/>
  <c r="L340" i="7"/>
  <c r="D340" i="7"/>
  <c r="K340" i="7"/>
  <c r="J340" i="7"/>
  <c r="I340" i="7"/>
  <c r="C340" i="7"/>
  <c r="B340" i="7"/>
  <c r="A714" i="8"/>
  <c r="H714" i="7"/>
  <c r="G714" i="7"/>
  <c r="F714" i="7"/>
  <c r="M714" i="7"/>
  <c r="E714" i="7"/>
  <c r="L714" i="7"/>
  <c r="D714" i="7"/>
  <c r="I714" i="7"/>
  <c r="C714" i="7"/>
  <c r="B714" i="7"/>
  <c r="K714" i="7"/>
  <c r="J714" i="7"/>
  <c r="I63" i="8"/>
  <c r="P63" i="8"/>
  <c r="H63" i="8"/>
  <c r="O63" i="8"/>
  <c r="G63" i="8"/>
  <c r="N63" i="8"/>
  <c r="F63" i="8"/>
  <c r="M63" i="8"/>
  <c r="E63" i="8"/>
  <c r="L63" i="8"/>
  <c r="D63" i="8"/>
  <c r="K63" i="8"/>
  <c r="B63" i="8"/>
  <c r="J63" i="8"/>
  <c r="A875" i="8"/>
  <c r="F875" i="7"/>
  <c r="M875" i="7"/>
  <c r="E875" i="7"/>
  <c r="L875" i="7"/>
  <c r="D875" i="7"/>
  <c r="K875" i="7"/>
  <c r="C875" i="7"/>
  <c r="J875" i="7"/>
  <c r="B875" i="7"/>
  <c r="I875" i="7"/>
  <c r="H875" i="7"/>
  <c r="G875" i="7"/>
  <c r="A450" i="8"/>
  <c r="J450" i="7"/>
  <c r="B450" i="7"/>
  <c r="I450" i="7"/>
  <c r="H450" i="7"/>
  <c r="G450" i="7"/>
  <c r="F450" i="7"/>
  <c r="M450" i="7"/>
  <c r="L450" i="7"/>
  <c r="K450" i="7"/>
  <c r="E450" i="7"/>
  <c r="D450" i="7"/>
  <c r="C450" i="7"/>
  <c r="A242" i="8"/>
  <c r="K242" i="7"/>
  <c r="C242" i="7"/>
  <c r="J242" i="7"/>
  <c r="B242" i="7"/>
  <c r="I242" i="7"/>
  <c r="H242" i="7"/>
  <c r="G242" i="7"/>
  <c r="M242" i="7"/>
  <c r="L242" i="7"/>
  <c r="F242" i="7"/>
  <c r="E242" i="7"/>
  <c r="D242" i="7"/>
  <c r="A223" i="8"/>
  <c r="J223" i="7"/>
  <c r="B223" i="7"/>
  <c r="I223" i="7"/>
  <c r="H223" i="7"/>
  <c r="G223" i="7"/>
  <c r="F223" i="7"/>
  <c r="L223" i="7"/>
  <c r="K223" i="7"/>
  <c r="E223" i="7"/>
  <c r="D223" i="7"/>
  <c r="C223" i="7"/>
  <c r="M223" i="7"/>
  <c r="A210" i="8"/>
  <c r="K210" i="7"/>
  <c r="C210" i="7"/>
  <c r="J210" i="7"/>
  <c r="B210" i="7"/>
  <c r="I210" i="7"/>
  <c r="H210" i="7"/>
  <c r="G210" i="7"/>
  <c r="L210" i="7"/>
  <c r="F210" i="7"/>
  <c r="E210" i="7"/>
  <c r="D210" i="7"/>
  <c r="M210" i="7"/>
  <c r="A200" i="8"/>
  <c r="M200" i="7"/>
  <c r="E200" i="7"/>
  <c r="L200" i="7"/>
  <c r="D200" i="7"/>
  <c r="K200" i="7"/>
  <c r="C200" i="7"/>
  <c r="J200" i="7"/>
  <c r="B200" i="7"/>
  <c r="I200" i="7"/>
  <c r="H200" i="7"/>
  <c r="G200" i="7"/>
  <c r="F200" i="7"/>
  <c r="A120" i="8"/>
  <c r="M120" i="7"/>
  <c r="E120" i="7"/>
  <c r="K120" i="7"/>
  <c r="C120" i="7"/>
  <c r="J120" i="7"/>
  <c r="B120" i="7"/>
  <c r="I120" i="7"/>
  <c r="G120" i="7"/>
  <c r="F120" i="7"/>
  <c r="D120" i="7"/>
  <c r="L120" i="7"/>
  <c r="H120" i="7"/>
  <c r="J56" i="8"/>
  <c r="I56" i="8"/>
  <c r="P56" i="8"/>
  <c r="H56" i="8"/>
  <c r="O56" i="8"/>
  <c r="G56" i="8"/>
  <c r="N56" i="8"/>
  <c r="F56" i="8"/>
  <c r="M56" i="8"/>
  <c r="E56" i="8"/>
  <c r="L56" i="8"/>
  <c r="D56" i="8"/>
  <c r="K56" i="8"/>
  <c r="B56" i="8"/>
  <c r="J8" i="8"/>
  <c r="I8" i="8"/>
  <c r="P8" i="8"/>
  <c r="H8" i="8"/>
  <c r="O8" i="8"/>
  <c r="G8" i="8"/>
  <c r="N8" i="8"/>
  <c r="F8" i="8"/>
  <c r="K8" i="8"/>
  <c r="B8" i="8"/>
  <c r="M8" i="8"/>
  <c r="L8" i="8"/>
  <c r="E8" i="8"/>
  <c r="D8" i="8"/>
  <c r="K318" i="8"/>
  <c r="B318" i="8"/>
  <c r="J318" i="8"/>
  <c r="P318" i="8"/>
  <c r="H318" i="8"/>
  <c r="O318" i="8"/>
  <c r="G318" i="8"/>
  <c r="I318" i="8"/>
  <c r="F318" i="8"/>
  <c r="D318" i="8"/>
  <c r="L318" i="8"/>
  <c r="N318" i="8"/>
  <c r="M318" i="8"/>
  <c r="E318" i="8"/>
  <c r="A623" i="8"/>
  <c r="I623" i="7"/>
  <c r="H623" i="7"/>
  <c r="G623" i="7"/>
  <c r="F623" i="7"/>
  <c r="M623" i="7"/>
  <c r="E623" i="7"/>
  <c r="K623" i="7"/>
  <c r="J623" i="7"/>
  <c r="D623" i="7"/>
  <c r="C623" i="7"/>
  <c r="B623" i="7"/>
  <c r="L623" i="7"/>
  <c r="A273" i="8"/>
  <c r="H273" i="7"/>
  <c r="G273" i="7"/>
  <c r="F273" i="7"/>
  <c r="M273" i="7"/>
  <c r="E273" i="7"/>
  <c r="L273" i="7"/>
  <c r="D273" i="7"/>
  <c r="B273" i="7"/>
  <c r="K273" i="7"/>
  <c r="I273" i="7"/>
  <c r="C273" i="7"/>
  <c r="J273" i="7"/>
  <c r="P123" i="8"/>
  <c r="H123" i="8"/>
  <c r="O123" i="8"/>
  <c r="G123" i="8"/>
  <c r="M123" i="8"/>
  <c r="E123" i="8"/>
  <c r="L123" i="8"/>
  <c r="D123" i="8"/>
  <c r="I123" i="8"/>
  <c r="F123" i="8"/>
  <c r="B123" i="8"/>
  <c r="N123" i="8"/>
  <c r="K123" i="8"/>
  <c r="J123" i="8"/>
  <c r="A263" i="8"/>
  <c r="J263" i="7"/>
  <c r="B263" i="7"/>
  <c r="I263" i="7"/>
  <c r="H263" i="7"/>
  <c r="G263" i="7"/>
  <c r="F263" i="7"/>
  <c r="D263" i="7"/>
  <c r="C263" i="7"/>
  <c r="M263" i="7"/>
  <c r="L263" i="7"/>
  <c r="K263" i="7"/>
  <c r="E263" i="7"/>
  <c r="N305" i="8"/>
  <c r="F305" i="8"/>
  <c r="M305" i="8"/>
  <c r="E305" i="8"/>
  <c r="K305" i="8"/>
  <c r="B305" i="8"/>
  <c r="J305" i="8"/>
  <c r="L305" i="8"/>
  <c r="I305" i="8"/>
  <c r="G305" i="8"/>
  <c r="D305" i="8"/>
  <c r="O305" i="8"/>
  <c r="P305" i="8"/>
  <c r="H305" i="8"/>
  <c r="A298" i="8"/>
  <c r="K298" i="7"/>
  <c r="C298" i="7"/>
  <c r="J298" i="7"/>
  <c r="B298" i="7"/>
  <c r="I298" i="7"/>
  <c r="H298" i="7"/>
  <c r="G298" i="7"/>
  <c r="M298" i="7"/>
  <c r="L298" i="7"/>
  <c r="F298" i="7"/>
  <c r="E298" i="7"/>
  <c r="D298" i="7"/>
  <c r="A655" i="8"/>
  <c r="I655" i="7"/>
  <c r="H655" i="7"/>
  <c r="G655" i="7"/>
  <c r="F655" i="7"/>
  <c r="M655" i="7"/>
  <c r="E655" i="7"/>
  <c r="B655" i="7"/>
  <c r="L655" i="7"/>
  <c r="K655" i="7"/>
  <c r="J655" i="7"/>
  <c r="D655" i="7"/>
  <c r="C655" i="7"/>
  <c r="A644" i="8"/>
  <c r="H644" i="7"/>
  <c r="G644" i="7"/>
  <c r="F644" i="7"/>
  <c r="M644" i="7"/>
  <c r="E644" i="7"/>
  <c r="L644" i="7"/>
  <c r="D644" i="7"/>
  <c r="K644" i="7"/>
  <c r="J644" i="7"/>
  <c r="I644" i="7"/>
  <c r="C644" i="7"/>
  <c r="B644" i="7"/>
  <c r="N850" i="8"/>
  <c r="F850" i="8"/>
  <c r="L850" i="8"/>
  <c r="D850" i="8"/>
  <c r="G850" i="8"/>
  <c r="P850" i="8"/>
  <c r="E850" i="8"/>
  <c r="O850" i="8"/>
  <c r="B850" i="8"/>
  <c r="M850" i="8"/>
  <c r="K850" i="8"/>
  <c r="H850" i="8"/>
  <c r="J850" i="8"/>
  <c r="I850" i="8"/>
  <c r="P885" i="8"/>
  <c r="H885" i="8"/>
  <c r="M885" i="8"/>
  <c r="E885" i="8"/>
  <c r="L885" i="8"/>
  <c r="D885" i="8"/>
  <c r="G885" i="8"/>
  <c r="F885" i="8"/>
  <c r="B885" i="8"/>
  <c r="K885" i="8"/>
  <c r="N885" i="8"/>
  <c r="J885" i="8"/>
  <c r="I885" i="8"/>
  <c r="O885" i="8"/>
  <c r="J669" i="8"/>
  <c r="I669" i="8"/>
  <c r="P669" i="8"/>
  <c r="H669" i="8"/>
  <c r="O669" i="8"/>
  <c r="G669" i="8"/>
  <c r="N669" i="8"/>
  <c r="M669" i="8"/>
  <c r="L669" i="8"/>
  <c r="K669" i="8"/>
  <c r="F669" i="8"/>
  <c r="E669" i="8"/>
  <c r="D669" i="8"/>
  <c r="B669" i="8"/>
  <c r="O710" i="8"/>
  <c r="G710" i="8"/>
  <c r="N710" i="8"/>
  <c r="F710" i="8"/>
  <c r="M710" i="8"/>
  <c r="B710" i="8"/>
  <c r="L710" i="8"/>
  <c r="K710" i="8"/>
  <c r="J710" i="8"/>
  <c r="I710" i="8"/>
  <c r="E710" i="8"/>
  <c r="D710" i="8"/>
  <c r="H710" i="8"/>
  <c r="P710" i="8"/>
  <c r="K294" i="8"/>
  <c r="B294" i="8"/>
  <c r="J294" i="8"/>
  <c r="P294" i="8"/>
  <c r="H294" i="8"/>
  <c r="O294" i="8"/>
  <c r="G294" i="8"/>
  <c r="N294" i="8"/>
  <c r="I294" i="8"/>
  <c r="D294" i="8"/>
  <c r="L294" i="8"/>
  <c r="F294" i="8"/>
  <c r="M294" i="8"/>
  <c r="E294" i="8"/>
  <c r="A806" i="8"/>
  <c r="G806" i="7"/>
  <c r="F806" i="7"/>
  <c r="M806" i="7"/>
  <c r="E806" i="7"/>
  <c r="L806" i="7"/>
  <c r="D806" i="7"/>
  <c r="K806" i="7"/>
  <c r="C806" i="7"/>
  <c r="J806" i="7"/>
  <c r="I806" i="7"/>
  <c r="H806" i="7"/>
  <c r="B806" i="7"/>
  <c r="M732" i="8"/>
  <c r="E732" i="8"/>
  <c r="L732" i="8"/>
  <c r="D732" i="8"/>
  <c r="K732" i="8"/>
  <c r="B732" i="8"/>
  <c r="J732" i="8"/>
  <c r="P732" i="8"/>
  <c r="O732" i="8"/>
  <c r="N732" i="8"/>
  <c r="I732" i="8"/>
  <c r="H732" i="8"/>
  <c r="G732" i="8"/>
  <c r="F732" i="8"/>
  <c r="M593" i="8"/>
  <c r="E593" i="8"/>
  <c r="L593" i="8"/>
  <c r="D593" i="8"/>
  <c r="K593" i="8"/>
  <c r="B593" i="8"/>
  <c r="J593" i="8"/>
  <c r="I593" i="8"/>
  <c r="N593" i="8"/>
  <c r="H593" i="8"/>
  <c r="G593" i="8"/>
  <c r="F593" i="8"/>
  <c r="P593" i="8"/>
  <c r="O593" i="8"/>
  <c r="A444" i="8"/>
  <c r="H444" i="7"/>
  <c r="G444" i="7"/>
  <c r="F444" i="7"/>
  <c r="M444" i="7"/>
  <c r="E444" i="7"/>
  <c r="L444" i="7"/>
  <c r="D444" i="7"/>
  <c r="K444" i="7"/>
  <c r="J444" i="7"/>
  <c r="I444" i="7"/>
  <c r="C444" i="7"/>
  <c r="B444" i="7"/>
  <c r="A487" i="8"/>
  <c r="I487" i="7"/>
  <c r="H487" i="7"/>
  <c r="G487" i="7"/>
  <c r="F487" i="7"/>
  <c r="M487" i="7"/>
  <c r="E487" i="7"/>
  <c r="J487" i="7"/>
  <c r="D487" i="7"/>
  <c r="C487" i="7"/>
  <c r="B487" i="7"/>
  <c r="K487" i="7"/>
  <c r="L487" i="7"/>
  <c r="P54" i="8"/>
  <c r="H54" i="8"/>
  <c r="O54" i="8"/>
  <c r="G54" i="8"/>
  <c r="N54" i="8"/>
  <c r="F54" i="8"/>
  <c r="M54" i="8"/>
  <c r="E54" i="8"/>
  <c r="L54" i="8"/>
  <c r="D54" i="8"/>
  <c r="K54" i="8"/>
  <c r="B54" i="8"/>
  <c r="J54" i="8"/>
  <c r="I54" i="8"/>
  <c r="A113" i="8"/>
  <c r="H113" i="7"/>
  <c r="F113" i="7"/>
  <c r="M113" i="7"/>
  <c r="E113" i="7"/>
  <c r="L113" i="7"/>
  <c r="D113" i="7"/>
  <c r="B113" i="7"/>
  <c r="K113" i="7"/>
  <c r="J113" i="7"/>
  <c r="C113" i="7"/>
  <c r="G113" i="7"/>
  <c r="I113" i="7"/>
  <c r="A232" i="8"/>
  <c r="M232" i="7"/>
  <c r="E232" i="7"/>
  <c r="L232" i="7"/>
  <c r="D232" i="7"/>
  <c r="K232" i="7"/>
  <c r="C232" i="7"/>
  <c r="J232" i="7"/>
  <c r="B232" i="7"/>
  <c r="I232" i="7"/>
  <c r="H232" i="7"/>
  <c r="G232" i="7"/>
  <c r="F232" i="7"/>
  <c r="A191" i="8"/>
  <c r="J191" i="7"/>
  <c r="B191" i="7"/>
  <c r="I191" i="7"/>
  <c r="H191" i="7"/>
  <c r="G191" i="7"/>
  <c r="F191" i="7"/>
  <c r="C191" i="7"/>
  <c r="M191" i="7"/>
  <c r="L191" i="7"/>
  <c r="K191" i="7"/>
  <c r="E191" i="7"/>
  <c r="D191" i="7"/>
  <c r="A492" i="8"/>
  <c r="H492" i="7"/>
  <c r="G492" i="7"/>
  <c r="F492" i="7"/>
  <c r="M492" i="7"/>
  <c r="E492" i="7"/>
  <c r="L492" i="7"/>
  <c r="D492" i="7"/>
  <c r="I492" i="7"/>
  <c r="C492" i="7"/>
  <c r="B492" i="7"/>
  <c r="K492" i="7"/>
  <c r="J492" i="7"/>
  <c r="A346" i="8"/>
  <c r="J346" i="7"/>
  <c r="B346" i="7"/>
  <c r="I346" i="7"/>
  <c r="H346" i="7"/>
  <c r="G346" i="7"/>
  <c r="F346" i="7"/>
  <c r="E346" i="7"/>
  <c r="D346" i="7"/>
  <c r="C346" i="7"/>
  <c r="M346" i="7"/>
  <c r="L346" i="7"/>
  <c r="K346" i="7"/>
  <c r="A217" i="8"/>
  <c r="H217" i="7"/>
  <c r="G217" i="7"/>
  <c r="F217" i="7"/>
  <c r="M217" i="7"/>
  <c r="E217" i="7"/>
  <c r="L217" i="7"/>
  <c r="D217" i="7"/>
  <c r="C217" i="7"/>
  <c r="B217" i="7"/>
  <c r="K217" i="7"/>
  <c r="J217" i="7"/>
  <c r="I217" i="7"/>
  <c r="O948" i="8"/>
  <c r="G948" i="8"/>
  <c r="N948" i="8"/>
  <c r="F948" i="8"/>
  <c r="M948" i="8"/>
  <c r="E948" i="8"/>
  <c r="K948" i="8"/>
  <c r="B948" i="8"/>
  <c r="P948" i="8"/>
  <c r="L948" i="8"/>
  <c r="J948" i="8"/>
  <c r="I948" i="8"/>
  <c r="H948" i="8"/>
  <c r="D948" i="8"/>
  <c r="L911" i="8"/>
  <c r="D911" i="8"/>
  <c r="K911" i="8"/>
  <c r="B911" i="8"/>
  <c r="J911" i="8"/>
  <c r="I911" i="8"/>
  <c r="F911" i="8"/>
  <c r="P911" i="8"/>
  <c r="E911" i="8"/>
  <c r="M911" i="8"/>
  <c r="N911" i="8"/>
  <c r="H911" i="8"/>
  <c r="G911" i="8"/>
  <c r="O911" i="8"/>
  <c r="M882" i="8"/>
  <c r="E882" i="8"/>
  <c r="J882" i="8"/>
  <c r="I882" i="8"/>
  <c r="N882" i="8"/>
  <c r="L882" i="8"/>
  <c r="K882" i="8"/>
  <c r="F882" i="8"/>
  <c r="G882" i="8"/>
  <c r="D882" i="8"/>
  <c r="B882" i="8"/>
  <c r="P882" i="8"/>
  <c r="H882" i="8"/>
  <c r="O882" i="8"/>
  <c r="J957" i="8"/>
  <c r="L957" i="8"/>
  <c r="B957" i="8"/>
  <c r="K957" i="8"/>
  <c r="I957" i="8"/>
  <c r="H957" i="8"/>
  <c r="D957" i="8"/>
  <c r="P957" i="8"/>
  <c r="O957" i="8"/>
  <c r="N957" i="8"/>
  <c r="M957" i="8"/>
  <c r="E957" i="8"/>
  <c r="G957" i="8"/>
  <c r="F957" i="8"/>
  <c r="J925" i="8"/>
  <c r="I925" i="8"/>
  <c r="P925" i="8"/>
  <c r="H925" i="8"/>
  <c r="O925" i="8"/>
  <c r="G925" i="8"/>
  <c r="F925" i="8"/>
  <c r="B925" i="8"/>
  <c r="N925" i="8"/>
  <c r="M925" i="8"/>
  <c r="E925" i="8"/>
  <c r="K925" i="8"/>
  <c r="D925" i="8"/>
  <c r="L925" i="8"/>
  <c r="I845" i="8"/>
  <c r="O845" i="8"/>
  <c r="G845" i="8"/>
  <c r="F845" i="8"/>
  <c r="P845" i="8"/>
  <c r="E845" i="8"/>
  <c r="N845" i="8"/>
  <c r="D845" i="8"/>
  <c r="M845" i="8"/>
  <c r="B845" i="8"/>
  <c r="L845" i="8"/>
  <c r="K845" i="8"/>
  <c r="H845" i="8"/>
  <c r="J845" i="8"/>
  <c r="M992" i="8"/>
  <c r="E992" i="8"/>
  <c r="H992" i="8"/>
  <c r="P992" i="8"/>
  <c r="G992" i="8"/>
  <c r="O992" i="8"/>
  <c r="F992" i="8"/>
  <c r="N992" i="8"/>
  <c r="D992" i="8"/>
  <c r="I992" i="8"/>
  <c r="B992" i="8"/>
  <c r="J992" i="8"/>
  <c r="K992" i="8"/>
  <c r="L992" i="8"/>
  <c r="L864" i="8"/>
  <c r="D864" i="8"/>
  <c r="K864" i="8"/>
  <c r="B864" i="8"/>
  <c r="J864" i="8"/>
  <c r="O864" i="8"/>
  <c r="G864" i="8"/>
  <c r="H864" i="8"/>
  <c r="F864" i="8"/>
  <c r="E864" i="8"/>
  <c r="P864" i="8"/>
  <c r="N864" i="8"/>
  <c r="I864" i="8"/>
  <c r="M864" i="8"/>
  <c r="L824" i="8"/>
  <c r="D824" i="8"/>
  <c r="K824" i="8"/>
  <c r="B824" i="8"/>
  <c r="J824" i="8"/>
  <c r="I824" i="8"/>
  <c r="P824" i="8"/>
  <c r="O824" i="8"/>
  <c r="M824" i="8"/>
  <c r="H824" i="8"/>
  <c r="E824" i="8"/>
  <c r="N824" i="8"/>
  <c r="G824" i="8"/>
  <c r="F824" i="8"/>
  <c r="N781" i="8"/>
  <c r="F781" i="8"/>
  <c r="M781" i="8"/>
  <c r="E781" i="8"/>
  <c r="K781" i="8"/>
  <c r="B781" i="8"/>
  <c r="H781" i="8"/>
  <c r="G781" i="8"/>
  <c r="D781" i="8"/>
  <c r="P781" i="8"/>
  <c r="O781" i="8"/>
  <c r="L781" i="8"/>
  <c r="J781" i="8"/>
  <c r="I781" i="8"/>
  <c r="N749" i="8"/>
  <c r="F749" i="8"/>
  <c r="M749" i="8"/>
  <c r="E749" i="8"/>
  <c r="L749" i="8"/>
  <c r="D749" i="8"/>
  <c r="K749" i="8"/>
  <c r="B749" i="8"/>
  <c r="P749" i="8"/>
  <c r="O749" i="8"/>
  <c r="J749" i="8"/>
  <c r="I749" i="8"/>
  <c r="H749" i="8"/>
  <c r="G749" i="8"/>
  <c r="J709" i="8"/>
  <c r="I709" i="8"/>
  <c r="P709" i="8"/>
  <c r="H709" i="8"/>
  <c r="O709" i="8"/>
  <c r="G709" i="8"/>
  <c r="N709" i="8"/>
  <c r="F709" i="8"/>
  <c r="M709" i="8"/>
  <c r="L709" i="8"/>
  <c r="K709" i="8"/>
  <c r="E709" i="8"/>
  <c r="D709" i="8"/>
  <c r="B709" i="8"/>
  <c r="I637" i="8"/>
  <c r="P637" i="8"/>
  <c r="H637" i="8"/>
  <c r="O637" i="8"/>
  <c r="G637" i="8"/>
  <c r="N637" i="8"/>
  <c r="F637" i="8"/>
  <c r="M637" i="8"/>
  <c r="E637" i="8"/>
  <c r="K637" i="8"/>
  <c r="J637" i="8"/>
  <c r="D637" i="8"/>
  <c r="B637" i="8"/>
  <c r="L637" i="8"/>
  <c r="I589" i="8"/>
  <c r="P589" i="8"/>
  <c r="H589" i="8"/>
  <c r="O589" i="8"/>
  <c r="G589" i="8"/>
  <c r="N589" i="8"/>
  <c r="F589" i="8"/>
  <c r="M589" i="8"/>
  <c r="E589" i="8"/>
  <c r="J589" i="8"/>
  <c r="D589" i="8"/>
  <c r="B589" i="8"/>
  <c r="L589" i="8"/>
  <c r="K589" i="8"/>
  <c r="I565" i="8"/>
  <c r="P565" i="8"/>
  <c r="H565" i="8"/>
  <c r="O565" i="8"/>
  <c r="G565" i="8"/>
  <c r="N565" i="8"/>
  <c r="F565" i="8"/>
  <c r="M565" i="8"/>
  <c r="E565" i="8"/>
  <c r="D565" i="8"/>
  <c r="B565" i="8"/>
  <c r="K565" i="8"/>
  <c r="J565" i="8"/>
  <c r="L565" i="8"/>
  <c r="I509" i="8"/>
  <c r="P509" i="8"/>
  <c r="H509" i="8"/>
  <c r="O509" i="8"/>
  <c r="G509" i="8"/>
  <c r="N509" i="8"/>
  <c r="F509" i="8"/>
  <c r="M509" i="8"/>
  <c r="E509" i="8"/>
  <c r="L509" i="8"/>
  <c r="K509" i="8"/>
  <c r="J509" i="8"/>
  <c r="D509" i="8"/>
  <c r="B509" i="8"/>
  <c r="I469" i="8"/>
  <c r="O469" i="8"/>
  <c r="G469" i="8"/>
  <c r="N469" i="8"/>
  <c r="F469" i="8"/>
  <c r="M469" i="8"/>
  <c r="E469" i="8"/>
  <c r="J469" i="8"/>
  <c r="H469" i="8"/>
  <c r="D469" i="8"/>
  <c r="B469" i="8"/>
  <c r="P469" i="8"/>
  <c r="L469" i="8"/>
  <c r="K469" i="8"/>
  <c r="O445" i="8"/>
  <c r="G445" i="8"/>
  <c r="N445" i="8"/>
  <c r="F445" i="8"/>
  <c r="M445" i="8"/>
  <c r="E445" i="8"/>
  <c r="L445" i="8"/>
  <c r="D445" i="8"/>
  <c r="K445" i="8"/>
  <c r="B445" i="8"/>
  <c r="I445" i="8"/>
  <c r="H445" i="8"/>
  <c r="J445" i="8"/>
  <c r="P445" i="8"/>
  <c r="O397" i="8"/>
  <c r="G397" i="8"/>
  <c r="N397" i="8"/>
  <c r="F397" i="8"/>
  <c r="M397" i="8"/>
  <c r="E397" i="8"/>
  <c r="L397" i="8"/>
  <c r="D397" i="8"/>
  <c r="K397" i="8"/>
  <c r="B397" i="8"/>
  <c r="P397" i="8"/>
  <c r="J397" i="8"/>
  <c r="I397" i="8"/>
  <c r="H397" i="8"/>
  <c r="O381" i="8"/>
  <c r="G381" i="8"/>
  <c r="N381" i="8"/>
  <c r="F381" i="8"/>
  <c r="M381" i="8"/>
  <c r="E381" i="8"/>
  <c r="L381" i="8"/>
  <c r="D381" i="8"/>
  <c r="K381" i="8"/>
  <c r="B381" i="8"/>
  <c r="I381" i="8"/>
  <c r="H381" i="8"/>
  <c r="P381" i="8"/>
  <c r="J381" i="8"/>
  <c r="J277" i="8"/>
  <c r="I277" i="8"/>
  <c r="O277" i="8"/>
  <c r="G277" i="8"/>
  <c r="N277" i="8"/>
  <c r="F277" i="8"/>
  <c r="P277" i="8"/>
  <c r="M277" i="8"/>
  <c r="H277" i="8"/>
  <c r="B277" i="8"/>
  <c r="K277" i="8"/>
  <c r="E277" i="8"/>
  <c r="L277" i="8"/>
  <c r="D277" i="8"/>
  <c r="J253" i="8"/>
  <c r="I253" i="8"/>
  <c r="O253" i="8"/>
  <c r="G253" i="8"/>
  <c r="N253" i="8"/>
  <c r="F253" i="8"/>
  <c r="H253" i="8"/>
  <c r="E253" i="8"/>
  <c r="P253" i="8"/>
  <c r="K253" i="8"/>
  <c r="M253" i="8"/>
  <c r="D253" i="8"/>
  <c r="B253" i="8"/>
  <c r="L253" i="8"/>
  <c r="M205" i="8"/>
  <c r="E205" i="8"/>
  <c r="I205" i="8"/>
  <c r="H205" i="8"/>
  <c r="G205" i="8"/>
  <c r="O205" i="8"/>
  <c r="D205" i="8"/>
  <c r="N205" i="8"/>
  <c r="B205" i="8"/>
  <c r="J205" i="8"/>
  <c r="P205" i="8"/>
  <c r="L205" i="8"/>
  <c r="K205" i="8"/>
  <c r="F205" i="8"/>
  <c r="J133" i="8"/>
  <c r="I133" i="8"/>
  <c r="O133" i="8"/>
  <c r="G133" i="8"/>
  <c r="N133" i="8"/>
  <c r="F133" i="8"/>
  <c r="K133" i="8"/>
  <c r="B133" i="8"/>
  <c r="E133" i="8"/>
  <c r="D133" i="8"/>
  <c r="P133" i="8"/>
  <c r="M133" i="8"/>
  <c r="L133" i="8"/>
  <c r="H133" i="8"/>
  <c r="A700" i="8"/>
  <c r="F700" i="7"/>
  <c r="M700" i="7"/>
  <c r="E700" i="7"/>
  <c r="L700" i="7"/>
  <c r="D700" i="7"/>
  <c r="K700" i="7"/>
  <c r="C700" i="7"/>
  <c r="J700" i="7"/>
  <c r="B700" i="7"/>
  <c r="I700" i="7"/>
  <c r="H700" i="7"/>
  <c r="G700" i="7"/>
  <c r="A950" i="8"/>
  <c r="G950" i="7"/>
  <c r="F950" i="7"/>
  <c r="M950" i="7"/>
  <c r="E950" i="7"/>
  <c r="L950" i="7"/>
  <c r="D950" i="7"/>
  <c r="K950" i="7"/>
  <c r="C950" i="7"/>
  <c r="B950" i="7"/>
  <c r="J950" i="7"/>
  <c r="I950" i="7"/>
  <c r="H950" i="7"/>
  <c r="A945" i="8"/>
  <c r="H945" i="7"/>
  <c r="G945" i="7"/>
  <c r="F945" i="7"/>
  <c r="M945" i="7"/>
  <c r="E945" i="7"/>
  <c r="L945" i="7"/>
  <c r="D945" i="7"/>
  <c r="C945" i="7"/>
  <c r="B945" i="7"/>
  <c r="K945" i="7"/>
  <c r="J945" i="7"/>
  <c r="I945" i="7"/>
  <c r="A889" i="8"/>
  <c r="H889" i="7"/>
  <c r="G889" i="7"/>
  <c r="F889" i="7"/>
  <c r="M889" i="7"/>
  <c r="E889" i="7"/>
  <c r="L889" i="7"/>
  <c r="D889" i="7"/>
  <c r="I889" i="7"/>
  <c r="C889" i="7"/>
  <c r="B889" i="7"/>
  <c r="K889" i="7"/>
  <c r="J889" i="7"/>
  <c r="A857" i="8"/>
  <c r="H857" i="7"/>
  <c r="G857" i="7"/>
  <c r="F857" i="7"/>
  <c r="M857" i="7"/>
  <c r="E857" i="7"/>
  <c r="L857" i="7"/>
  <c r="D857" i="7"/>
  <c r="K857" i="7"/>
  <c r="J857" i="7"/>
  <c r="I857" i="7"/>
  <c r="C857" i="7"/>
  <c r="B857" i="7"/>
  <c r="A818" i="8"/>
  <c r="K818" i="7"/>
  <c r="C818" i="7"/>
  <c r="J818" i="7"/>
  <c r="B818" i="7"/>
  <c r="I818" i="7"/>
  <c r="H818" i="7"/>
  <c r="G818" i="7"/>
  <c r="M818" i="7"/>
  <c r="L818" i="7"/>
  <c r="F818" i="7"/>
  <c r="E818" i="7"/>
  <c r="D818" i="7"/>
  <c r="A792" i="8"/>
  <c r="J792" i="7"/>
  <c r="B792" i="7"/>
  <c r="I792" i="7"/>
  <c r="H792" i="7"/>
  <c r="G792" i="7"/>
  <c r="F792" i="7"/>
  <c r="M792" i="7"/>
  <c r="L792" i="7"/>
  <c r="K792" i="7"/>
  <c r="E792" i="7"/>
  <c r="D792" i="7"/>
  <c r="C792" i="7"/>
  <c r="I760" i="8"/>
  <c r="P760" i="8"/>
  <c r="H760" i="8"/>
  <c r="O760" i="8"/>
  <c r="G760" i="8"/>
  <c r="N760" i="8"/>
  <c r="F760" i="8"/>
  <c r="L760" i="8"/>
  <c r="K760" i="8"/>
  <c r="J760" i="8"/>
  <c r="E760" i="8"/>
  <c r="D760" i="8"/>
  <c r="M760" i="8"/>
  <c r="B760" i="8"/>
  <c r="I720" i="8"/>
  <c r="P720" i="8"/>
  <c r="H720" i="8"/>
  <c r="O720" i="8"/>
  <c r="G720" i="8"/>
  <c r="N720" i="8"/>
  <c r="F720" i="8"/>
  <c r="D720" i="8"/>
  <c r="B720" i="8"/>
  <c r="M720" i="8"/>
  <c r="L720" i="8"/>
  <c r="K720" i="8"/>
  <c r="J720" i="8"/>
  <c r="E720" i="8"/>
  <c r="L640" i="8"/>
  <c r="D640" i="8"/>
  <c r="K640" i="8"/>
  <c r="B640" i="8"/>
  <c r="J640" i="8"/>
  <c r="I640" i="8"/>
  <c r="P640" i="8"/>
  <c r="H640" i="8"/>
  <c r="G640" i="8"/>
  <c r="F640" i="8"/>
  <c r="E640" i="8"/>
  <c r="O640" i="8"/>
  <c r="N640" i="8"/>
  <c r="M640" i="8"/>
  <c r="L576" i="8"/>
  <c r="D576" i="8"/>
  <c r="K576" i="8"/>
  <c r="B576" i="8"/>
  <c r="J576" i="8"/>
  <c r="I576" i="8"/>
  <c r="P576" i="8"/>
  <c r="H576" i="8"/>
  <c r="M576" i="8"/>
  <c r="G576" i="8"/>
  <c r="F576" i="8"/>
  <c r="E576" i="8"/>
  <c r="O576" i="8"/>
  <c r="N576" i="8"/>
  <c r="M336" i="8"/>
  <c r="E336" i="8"/>
  <c r="L336" i="8"/>
  <c r="D336" i="8"/>
  <c r="J336" i="8"/>
  <c r="I336" i="8"/>
  <c r="P336" i="8"/>
  <c r="H336" i="8"/>
  <c r="N336" i="8"/>
  <c r="K336" i="8"/>
  <c r="F336" i="8"/>
  <c r="B336" i="8"/>
  <c r="O336" i="8"/>
  <c r="G336" i="8"/>
  <c r="M296" i="8"/>
  <c r="E296" i="8"/>
  <c r="L296" i="8"/>
  <c r="D296" i="8"/>
  <c r="J296" i="8"/>
  <c r="I296" i="8"/>
  <c r="B296" i="8"/>
  <c r="P296" i="8"/>
  <c r="K296" i="8"/>
  <c r="F296" i="8"/>
  <c r="N296" i="8"/>
  <c r="H296" i="8"/>
  <c r="O296" i="8"/>
  <c r="G296" i="8"/>
  <c r="M248" i="8"/>
  <c r="E248" i="8"/>
  <c r="L248" i="8"/>
  <c r="D248" i="8"/>
  <c r="J248" i="8"/>
  <c r="I248" i="8"/>
  <c r="B248" i="8"/>
  <c r="P248" i="8"/>
  <c r="K248" i="8"/>
  <c r="F248" i="8"/>
  <c r="O248" i="8"/>
  <c r="N248" i="8"/>
  <c r="H248" i="8"/>
  <c r="G248" i="8"/>
  <c r="A814" i="8"/>
  <c r="G814" i="7"/>
  <c r="F814" i="7"/>
  <c r="M814" i="7"/>
  <c r="E814" i="7"/>
  <c r="L814" i="7"/>
  <c r="D814" i="7"/>
  <c r="K814" i="7"/>
  <c r="C814" i="7"/>
  <c r="J814" i="7"/>
  <c r="I814" i="7"/>
  <c r="H814" i="7"/>
  <c r="B814" i="7"/>
  <c r="A807" i="8"/>
  <c r="J807" i="7"/>
  <c r="B807" i="7"/>
  <c r="I807" i="7"/>
  <c r="H807" i="7"/>
  <c r="G807" i="7"/>
  <c r="F807" i="7"/>
  <c r="E807" i="7"/>
  <c r="D807" i="7"/>
  <c r="C807" i="7"/>
  <c r="L807" i="7"/>
  <c r="K807" i="7"/>
  <c r="M807" i="7"/>
  <c r="L739" i="8"/>
  <c r="D739" i="8"/>
  <c r="K739" i="8"/>
  <c r="B739" i="8"/>
  <c r="J739" i="8"/>
  <c r="I739" i="8"/>
  <c r="G739" i="8"/>
  <c r="F739" i="8"/>
  <c r="E739" i="8"/>
  <c r="P739" i="8"/>
  <c r="O739" i="8"/>
  <c r="N739" i="8"/>
  <c r="M739" i="8"/>
  <c r="H739" i="8"/>
  <c r="P683" i="8"/>
  <c r="H683" i="8"/>
  <c r="O683" i="8"/>
  <c r="G683" i="8"/>
  <c r="N683" i="8"/>
  <c r="F683" i="8"/>
  <c r="M683" i="8"/>
  <c r="E683" i="8"/>
  <c r="L683" i="8"/>
  <c r="D683" i="8"/>
  <c r="B683" i="8"/>
  <c r="J683" i="8"/>
  <c r="I683" i="8"/>
  <c r="K683" i="8"/>
  <c r="O611" i="8"/>
  <c r="G611" i="8"/>
  <c r="N611" i="8"/>
  <c r="F611" i="8"/>
  <c r="M611" i="8"/>
  <c r="E611" i="8"/>
  <c r="L611" i="8"/>
  <c r="D611" i="8"/>
  <c r="K611" i="8"/>
  <c r="B611" i="8"/>
  <c r="P611" i="8"/>
  <c r="J611" i="8"/>
  <c r="I611" i="8"/>
  <c r="H611" i="8"/>
  <c r="O475" i="8"/>
  <c r="G475" i="8"/>
  <c r="M475" i="8"/>
  <c r="E475" i="8"/>
  <c r="L475" i="8"/>
  <c r="D475" i="8"/>
  <c r="K475" i="8"/>
  <c r="B475" i="8"/>
  <c r="P475" i="8"/>
  <c r="N475" i="8"/>
  <c r="J475" i="8"/>
  <c r="I475" i="8"/>
  <c r="H475" i="8"/>
  <c r="F475" i="8"/>
  <c r="O459" i="8"/>
  <c r="G459" i="8"/>
  <c r="M459" i="8"/>
  <c r="E459" i="8"/>
  <c r="L459" i="8"/>
  <c r="D459" i="8"/>
  <c r="K459" i="8"/>
  <c r="B459" i="8"/>
  <c r="P459" i="8"/>
  <c r="N459" i="8"/>
  <c r="J459" i="8"/>
  <c r="I459" i="8"/>
  <c r="H459" i="8"/>
  <c r="F459" i="8"/>
  <c r="M427" i="8"/>
  <c r="E427" i="8"/>
  <c r="L427" i="8"/>
  <c r="D427" i="8"/>
  <c r="K427" i="8"/>
  <c r="B427" i="8"/>
  <c r="J427" i="8"/>
  <c r="I427" i="8"/>
  <c r="O427" i="8"/>
  <c r="N427" i="8"/>
  <c r="H427" i="8"/>
  <c r="P427" i="8"/>
  <c r="G427" i="8"/>
  <c r="F427" i="8"/>
  <c r="M411" i="8"/>
  <c r="E411" i="8"/>
  <c r="L411" i="8"/>
  <c r="D411" i="8"/>
  <c r="K411" i="8"/>
  <c r="B411" i="8"/>
  <c r="J411" i="8"/>
  <c r="I411" i="8"/>
  <c r="G411" i="8"/>
  <c r="F411" i="8"/>
  <c r="P411" i="8"/>
  <c r="O411" i="8"/>
  <c r="H411" i="8"/>
  <c r="N411" i="8"/>
  <c r="M395" i="8"/>
  <c r="E395" i="8"/>
  <c r="L395" i="8"/>
  <c r="D395" i="8"/>
  <c r="K395" i="8"/>
  <c r="B395" i="8"/>
  <c r="J395" i="8"/>
  <c r="I395" i="8"/>
  <c r="N395" i="8"/>
  <c r="H395" i="8"/>
  <c r="F395" i="8"/>
  <c r="P395" i="8"/>
  <c r="O395" i="8"/>
  <c r="G395" i="8"/>
  <c r="M371" i="8"/>
  <c r="E371" i="8"/>
  <c r="L371" i="8"/>
  <c r="D371" i="8"/>
  <c r="K371" i="8"/>
  <c r="B371" i="8"/>
  <c r="J371" i="8"/>
  <c r="I371" i="8"/>
  <c r="H371" i="8"/>
  <c r="G371" i="8"/>
  <c r="P371" i="8"/>
  <c r="F371" i="8"/>
  <c r="N371" i="8"/>
  <c r="O371" i="8"/>
  <c r="M355" i="8"/>
  <c r="E355" i="8"/>
  <c r="L355" i="8"/>
  <c r="D355" i="8"/>
  <c r="K355" i="8"/>
  <c r="B355" i="8"/>
  <c r="J355" i="8"/>
  <c r="I355" i="8"/>
  <c r="O355" i="8"/>
  <c r="N355" i="8"/>
  <c r="G355" i="8"/>
  <c r="F355" i="8"/>
  <c r="P355" i="8"/>
  <c r="H355" i="8"/>
  <c r="P339" i="8"/>
  <c r="H339" i="8"/>
  <c r="O339" i="8"/>
  <c r="G339" i="8"/>
  <c r="M339" i="8"/>
  <c r="E339" i="8"/>
  <c r="L339" i="8"/>
  <c r="D339" i="8"/>
  <c r="K339" i="8"/>
  <c r="B339" i="8"/>
  <c r="J339" i="8"/>
  <c r="I339" i="8"/>
  <c r="N339" i="8"/>
  <c r="F339" i="8"/>
  <c r="P195" i="8"/>
  <c r="H195" i="8"/>
  <c r="O195" i="8"/>
  <c r="G195" i="8"/>
  <c r="M195" i="8"/>
  <c r="E195" i="8"/>
  <c r="L195" i="8"/>
  <c r="D195" i="8"/>
  <c r="I195" i="8"/>
  <c r="N195" i="8"/>
  <c r="K195" i="8"/>
  <c r="J195" i="8"/>
  <c r="F195" i="8"/>
  <c r="B195" i="8"/>
  <c r="P171" i="8"/>
  <c r="H171" i="8"/>
  <c r="O171" i="8"/>
  <c r="G171" i="8"/>
  <c r="M171" i="8"/>
  <c r="E171" i="8"/>
  <c r="L171" i="8"/>
  <c r="D171" i="8"/>
  <c r="I171" i="8"/>
  <c r="K171" i="8"/>
  <c r="J171" i="8"/>
  <c r="F171" i="8"/>
  <c r="B171" i="8"/>
  <c r="N171" i="8"/>
  <c r="A585" i="8"/>
  <c r="G585" i="7"/>
  <c r="F585" i="7"/>
  <c r="M585" i="7"/>
  <c r="E585" i="7"/>
  <c r="L585" i="7"/>
  <c r="D585" i="7"/>
  <c r="K585" i="7"/>
  <c r="C585" i="7"/>
  <c r="J585" i="7"/>
  <c r="I585" i="7"/>
  <c r="H585" i="7"/>
  <c r="B585" i="7"/>
  <c r="A879" i="8"/>
  <c r="J879" i="7"/>
  <c r="B879" i="7"/>
  <c r="I879" i="7"/>
  <c r="H879" i="7"/>
  <c r="G879" i="7"/>
  <c r="F879" i="7"/>
  <c r="K879" i="7"/>
  <c r="E879" i="7"/>
  <c r="D879" i="7"/>
  <c r="C879" i="7"/>
  <c r="M879" i="7"/>
  <c r="L879" i="7"/>
  <c r="K686" i="8"/>
  <c r="B686" i="8"/>
  <c r="J686" i="8"/>
  <c r="I686" i="8"/>
  <c r="P686" i="8"/>
  <c r="H686" i="8"/>
  <c r="O686" i="8"/>
  <c r="G686" i="8"/>
  <c r="D686" i="8"/>
  <c r="N686" i="8"/>
  <c r="M686" i="8"/>
  <c r="L686" i="8"/>
  <c r="F686" i="8"/>
  <c r="E686" i="8"/>
  <c r="J646" i="8"/>
  <c r="I646" i="8"/>
  <c r="P646" i="8"/>
  <c r="H646" i="8"/>
  <c r="O646" i="8"/>
  <c r="G646" i="8"/>
  <c r="N646" i="8"/>
  <c r="F646" i="8"/>
  <c r="D646" i="8"/>
  <c r="B646" i="8"/>
  <c r="M646" i="8"/>
  <c r="L646" i="8"/>
  <c r="K646" i="8"/>
  <c r="E646" i="8"/>
  <c r="N222" i="8"/>
  <c r="F222" i="8"/>
  <c r="M222" i="8"/>
  <c r="E222" i="8"/>
  <c r="J222" i="8"/>
  <c r="O222" i="8"/>
  <c r="G222" i="8"/>
  <c r="B222" i="8"/>
  <c r="L222" i="8"/>
  <c r="K222" i="8"/>
  <c r="D222" i="8"/>
  <c r="P222" i="8"/>
  <c r="I222" i="8"/>
  <c r="H222" i="8"/>
  <c r="K158" i="8"/>
  <c r="B158" i="8"/>
  <c r="J158" i="8"/>
  <c r="P158" i="8"/>
  <c r="H158" i="8"/>
  <c r="O158" i="8"/>
  <c r="G158" i="8"/>
  <c r="L158" i="8"/>
  <c r="D158" i="8"/>
  <c r="N158" i="8"/>
  <c r="M158" i="8"/>
  <c r="I158" i="8"/>
  <c r="F158" i="8"/>
  <c r="E158" i="8"/>
  <c r="A798" i="8"/>
  <c r="G798" i="7"/>
  <c r="F798" i="7"/>
  <c r="M798" i="7"/>
  <c r="E798" i="7"/>
  <c r="K798" i="7"/>
  <c r="C798" i="7"/>
  <c r="D798" i="7"/>
  <c r="B798" i="7"/>
  <c r="L798" i="7"/>
  <c r="J798" i="7"/>
  <c r="I798" i="7"/>
  <c r="H798" i="7"/>
  <c r="M609" i="8"/>
  <c r="E609" i="8"/>
  <c r="L609" i="8"/>
  <c r="D609" i="8"/>
  <c r="K609" i="8"/>
  <c r="B609" i="8"/>
  <c r="J609" i="8"/>
  <c r="I609" i="8"/>
  <c r="F609" i="8"/>
  <c r="P609" i="8"/>
  <c r="O609" i="8"/>
  <c r="G609" i="8"/>
  <c r="N609" i="8"/>
  <c r="H609" i="8"/>
  <c r="M545" i="8"/>
  <c r="E545" i="8"/>
  <c r="L545" i="8"/>
  <c r="D545" i="8"/>
  <c r="K545" i="8"/>
  <c r="B545" i="8"/>
  <c r="J545" i="8"/>
  <c r="I545" i="8"/>
  <c r="G545" i="8"/>
  <c r="F545" i="8"/>
  <c r="P545" i="8"/>
  <c r="O545" i="8"/>
  <c r="N545" i="8"/>
  <c r="H545" i="8"/>
  <c r="M505" i="8"/>
  <c r="E505" i="8"/>
  <c r="L505" i="8"/>
  <c r="D505" i="8"/>
  <c r="K505" i="8"/>
  <c r="B505" i="8"/>
  <c r="J505" i="8"/>
  <c r="I505" i="8"/>
  <c r="H505" i="8"/>
  <c r="G505" i="8"/>
  <c r="F505" i="8"/>
  <c r="P505" i="8"/>
  <c r="O505" i="8"/>
  <c r="N505" i="8"/>
  <c r="K441" i="8"/>
  <c r="B441" i="8"/>
  <c r="J441" i="8"/>
  <c r="I441" i="8"/>
  <c r="P441" i="8"/>
  <c r="H441" i="8"/>
  <c r="O441" i="8"/>
  <c r="G441" i="8"/>
  <c r="E441" i="8"/>
  <c r="D441" i="8"/>
  <c r="N441" i="8"/>
  <c r="M441" i="8"/>
  <c r="L441" i="8"/>
  <c r="F441" i="8"/>
  <c r="K377" i="8"/>
  <c r="B377" i="8"/>
  <c r="J377" i="8"/>
  <c r="I377" i="8"/>
  <c r="P377" i="8"/>
  <c r="H377" i="8"/>
  <c r="O377" i="8"/>
  <c r="G377" i="8"/>
  <c r="E377" i="8"/>
  <c r="D377" i="8"/>
  <c r="N377" i="8"/>
  <c r="M377" i="8"/>
  <c r="F377" i="8"/>
  <c r="L377" i="8"/>
  <c r="K361" i="8"/>
  <c r="B361" i="8"/>
  <c r="J361" i="8"/>
  <c r="I361" i="8"/>
  <c r="P361" i="8"/>
  <c r="H361" i="8"/>
  <c r="O361" i="8"/>
  <c r="G361" i="8"/>
  <c r="L361" i="8"/>
  <c r="F361" i="8"/>
  <c r="D361" i="8"/>
  <c r="N361" i="8"/>
  <c r="M361" i="8"/>
  <c r="E361" i="8"/>
  <c r="A262" i="8"/>
  <c r="G262" i="7"/>
  <c r="F262" i="7"/>
  <c r="M262" i="7"/>
  <c r="E262" i="7"/>
  <c r="L262" i="7"/>
  <c r="D262" i="7"/>
  <c r="K262" i="7"/>
  <c r="C262" i="7"/>
  <c r="J262" i="7"/>
  <c r="I262" i="7"/>
  <c r="H262" i="7"/>
  <c r="B262" i="7"/>
  <c r="A926" i="8"/>
  <c r="G926" i="7"/>
  <c r="F926" i="7"/>
  <c r="M926" i="7"/>
  <c r="E926" i="7"/>
  <c r="L926" i="7"/>
  <c r="D926" i="7"/>
  <c r="K926" i="7"/>
  <c r="C926" i="7"/>
  <c r="J926" i="7"/>
  <c r="I926" i="7"/>
  <c r="H926" i="7"/>
  <c r="B926" i="7"/>
  <c r="A921" i="8"/>
  <c r="H921" i="7"/>
  <c r="G921" i="7"/>
  <c r="F921" i="7"/>
  <c r="M921" i="7"/>
  <c r="E921" i="7"/>
  <c r="L921" i="7"/>
  <c r="D921" i="7"/>
  <c r="K921" i="7"/>
  <c r="J921" i="7"/>
  <c r="I921" i="7"/>
  <c r="C921" i="7"/>
  <c r="B921" i="7"/>
  <c r="A873" i="8"/>
  <c r="H873" i="7"/>
  <c r="G873" i="7"/>
  <c r="F873" i="7"/>
  <c r="M873" i="7"/>
  <c r="E873" i="7"/>
  <c r="L873" i="7"/>
  <c r="D873" i="7"/>
  <c r="B873" i="7"/>
  <c r="K873" i="7"/>
  <c r="I873" i="7"/>
  <c r="C873" i="7"/>
  <c r="J873" i="7"/>
  <c r="A803" i="8"/>
  <c r="F803" i="7"/>
  <c r="M803" i="7"/>
  <c r="E803" i="7"/>
  <c r="L803" i="7"/>
  <c r="D803" i="7"/>
  <c r="K803" i="7"/>
  <c r="C803" i="7"/>
  <c r="J803" i="7"/>
  <c r="B803" i="7"/>
  <c r="I803" i="7"/>
  <c r="H803" i="7"/>
  <c r="G803" i="7"/>
  <c r="M780" i="8"/>
  <c r="E780" i="8"/>
  <c r="L780" i="8"/>
  <c r="D780" i="8"/>
  <c r="J780" i="8"/>
  <c r="I780" i="8"/>
  <c r="H780" i="8"/>
  <c r="G780" i="8"/>
  <c r="F780" i="8"/>
  <c r="O780" i="8"/>
  <c r="N780" i="8"/>
  <c r="K780" i="8"/>
  <c r="B780" i="8"/>
  <c r="P780" i="8"/>
  <c r="I708" i="8"/>
  <c r="P708" i="8"/>
  <c r="H708" i="8"/>
  <c r="O708" i="8"/>
  <c r="G708" i="8"/>
  <c r="N708" i="8"/>
  <c r="F708" i="8"/>
  <c r="M708" i="8"/>
  <c r="E708" i="8"/>
  <c r="L708" i="8"/>
  <c r="K708" i="8"/>
  <c r="J708" i="8"/>
  <c r="D708" i="8"/>
  <c r="B708" i="8"/>
  <c r="A442" i="8"/>
  <c r="J442" i="7"/>
  <c r="B442" i="7"/>
  <c r="I442" i="7"/>
  <c r="H442" i="7"/>
  <c r="G442" i="7"/>
  <c r="F442" i="7"/>
  <c r="M442" i="7"/>
  <c r="L442" i="7"/>
  <c r="K442" i="7"/>
  <c r="E442" i="7"/>
  <c r="D442" i="7"/>
  <c r="C442" i="7"/>
  <c r="A370" i="8"/>
  <c r="J370" i="7"/>
  <c r="B370" i="7"/>
  <c r="I370" i="7"/>
  <c r="H370" i="7"/>
  <c r="G370" i="7"/>
  <c r="F370" i="7"/>
  <c r="M370" i="7"/>
  <c r="L370" i="7"/>
  <c r="K370" i="7"/>
  <c r="E370" i="7"/>
  <c r="D370" i="7"/>
  <c r="C370" i="7"/>
  <c r="A335" i="8"/>
  <c r="I335" i="7"/>
  <c r="H335" i="7"/>
  <c r="G335" i="7"/>
  <c r="F335" i="7"/>
  <c r="M335" i="7"/>
  <c r="E335" i="7"/>
  <c r="B335" i="7"/>
  <c r="L335" i="7"/>
  <c r="K335" i="7"/>
  <c r="C335" i="7"/>
  <c r="J335" i="7"/>
  <c r="D335" i="7"/>
  <c r="A282" i="8"/>
  <c r="K282" i="7"/>
  <c r="C282" i="7"/>
  <c r="J282" i="7"/>
  <c r="B282" i="7"/>
  <c r="I282" i="7"/>
  <c r="H282" i="7"/>
  <c r="G282" i="7"/>
  <c r="M282" i="7"/>
  <c r="L282" i="7"/>
  <c r="F282" i="7"/>
  <c r="E282" i="7"/>
  <c r="D282" i="7"/>
  <c r="M67" i="8"/>
  <c r="E67" i="8"/>
  <c r="L67" i="8"/>
  <c r="D67" i="8"/>
  <c r="K67" i="8"/>
  <c r="B67" i="8"/>
  <c r="J67" i="8"/>
  <c r="I67" i="8"/>
  <c r="P67" i="8"/>
  <c r="H67" i="8"/>
  <c r="O67" i="8"/>
  <c r="G67" i="8"/>
  <c r="N67" i="8"/>
  <c r="F67" i="8"/>
  <c r="A854" i="8"/>
  <c r="G854" i="7"/>
  <c r="F854" i="7"/>
  <c r="M854" i="7"/>
  <c r="E854" i="7"/>
  <c r="L854" i="7"/>
  <c r="D854" i="7"/>
  <c r="K854" i="7"/>
  <c r="C854" i="7"/>
  <c r="J854" i="7"/>
  <c r="I854" i="7"/>
  <c r="H854" i="7"/>
  <c r="B854" i="7"/>
  <c r="A591" i="8"/>
  <c r="I591" i="7"/>
  <c r="H591" i="7"/>
  <c r="G591" i="7"/>
  <c r="F591" i="7"/>
  <c r="M591" i="7"/>
  <c r="E591" i="7"/>
  <c r="B591" i="7"/>
  <c r="L591" i="7"/>
  <c r="K591" i="7"/>
  <c r="J591" i="7"/>
  <c r="D591" i="7"/>
  <c r="C591" i="7"/>
  <c r="K326" i="8"/>
  <c r="B326" i="8"/>
  <c r="J326" i="8"/>
  <c r="P326" i="8"/>
  <c r="H326" i="8"/>
  <c r="O326" i="8"/>
  <c r="G326" i="8"/>
  <c r="N326" i="8"/>
  <c r="F326" i="8"/>
  <c r="M326" i="8"/>
  <c r="L326" i="8"/>
  <c r="E326" i="8"/>
  <c r="D326" i="8"/>
  <c r="I326" i="8"/>
  <c r="A783" i="8"/>
  <c r="G783" i="7"/>
  <c r="F783" i="7"/>
  <c r="M783" i="7"/>
  <c r="E783" i="7"/>
  <c r="L783" i="7"/>
  <c r="D783" i="7"/>
  <c r="K783" i="7"/>
  <c r="C783" i="7"/>
  <c r="H783" i="7"/>
  <c r="B783" i="7"/>
  <c r="J783" i="7"/>
  <c r="I783" i="7"/>
  <c r="A660" i="8"/>
  <c r="H660" i="7"/>
  <c r="G660" i="7"/>
  <c r="F660" i="7"/>
  <c r="M660" i="7"/>
  <c r="E660" i="7"/>
  <c r="L660" i="7"/>
  <c r="D660" i="7"/>
  <c r="K660" i="7"/>
  <c r="J660" i="7"/>
  <c r="I660" i="7"/>
  <c r="C660" i="7"/>
  <c r="B660" i="7"/>
  <c r="A634" i="8"/>
  <c r="J634" i="7"/>
  <c r="B634" i="7"/>
  <c r="I634" i="7"/>
  <c r="H634" i="7"/>
  <c r="G634" i="7"/>
  <c r="F634" i="7"/>
  <c r="M634" i="7"/>
  <c r="L634" i="7"/>
  <c r="K634" i="7"/>
  <c r="E634" i="7"/>
  <c r="D634" i="7"/>
  <c r="C634" i="7"/>
  <c r="A420" i="8"/>
  <c r="H420" i="7"/>
  <c r="G420" i="7"/>
  <c r="F420" i="7"/>
  <c r="M420" i="7"/>
  <c r="E420" i="7"/>
  <c r="L420" i="7"/>
  <c r="D420" i="7"/>
  <c r="C420" i="7"/>
  <c r="B420" i="7"/>
  <c r="K420" i="7"/>
  <c r="J420" i="7"/>
  <c r="I420" i="7"/>
  <c r="A394" i="8"/>
  <c r="J394" i="7"/>
  <c r="B394" i="7"/>
  <c r="I394" i="7"/>
  <c r="H394" i="7"/>
  <c r="G394" i="7"/>
  <c r="F394" i="7"/>
  <c r="C394" i="7"/>
  <c r="M394" i="7"/>
  <c r="L394" i="7"/>
  <c r="K394" i="7"/>
  <c r="E394" i="7"/>
  <c r="D394" i="7"/>
  <c r="A236" i="8"/>
  <c r="I236" i="7"/>
  <c r="H236" i="7"/>
  <c r="G236" i="7"/>
  <c r="F236" i="7"/>
  <c r="M236" i="7"/>
  <c r="E236" i="7"/>
  <c r="L236" i="7"/>
  <c r="K236" i="7"/>
  <c r="J236" i="7"/>
  <c r="D236" i="7"/>
  <c r="C236" i="7"/>
  <c r="B236" i="7"/>
  <c r="A172" i="8"/>
  <c r="I172" i="7"/>
  <c r="H172" i="7"/>
  <c r="G172" i="7"/>
  <c r="F172" i="7"/>
  <c r="M172" i="7"/>
  <c r="E172" i="7"/>
  <c r="L172" i="7"/>
  <c r="K172" i="7"/>
  <c r="J172" i="7"/>
  <c r="D172" i="7"/>
  <c r="C172" i="7"/>
  <c r="B172" i="7"/>
  <c r="K65" i="8"/>
  <c r="B65" i="8"/>
  <c r="J65" i="8"/>
  <c r="I65" i="8"/>
  <c r="P65" i="8"/>
  <c r="H65" i="8"/>
  <c r="O65" i="8"/>
  <c r="G65" i="8"/>
  <c r="N65" i="8"/>
  <c r="F65" i="8"/>
  <c r="M65" i="8"/>
  <c r="E65" i="8"/>
  <c r="L65" i="8"/>
  <c r="D65" i="8"/>
  <c r="K134" i="8"/>
  <c r="B134" i="8"/>
  <c r="J134" i="8"/>
  <c r="P134" i="8"/>
  <c r="H134" i="8"/>
  <c r="O134" i="8"/>
  <c r="G134" i="8"/>
  <c r="L134" i="8"/>
  <c r="D134" i="8"/>
  <c r="M134" i="8"/>
  <c r="I134" i="8"/>
  <c r="F134" i="8"/>
  <c r="E134" i="8"/>
  <c r="N134" i="8"/>
  <c r="A786" i="8"/>
  <c r="H786" i="7"/>
  <c r="G786" i="7"/>
  <c r="F786" i="7"/>
  <c r="M786" i="7"/>
  <c r="E786" i="7"/>
  <c r="L786" i="7"/>
  <c r="D786" i="7"/>
  <c r="J786" i="7"/>
  <c r="I786" i="7"/>
  <c r="C786" i="7"/>
  <c r="B786" i="7"/>
  <c r="K786" i="7"/>
  <c r="A663" i="8"/>
  <c r="K663" i="7"/>
  <c r="C663" i="7"/>
  <c r="L663" i="7"/>
  <c r="B663" i="7"/>
  <c r="J663" i="7"/>
  <c r="I663" i="7"/>
  <c r="H663" i="7"/>
  <c r="G663" i="7"/>
  <c r="E663" i="7"/>
  <c r="D663" i="7"/>
  <c r="M663" i="7"/>
  <c r="F663" i="7"/>
  <c r="A423" i="8"/>
  <c r="I423" i="7"/>
  <c r="H423" i="7"/>
  <c r="G423" i="7"/>
  <c r="F423" i="7"/>
  <c r="M423" i="7"/>
  <c r="E423" i="7"/>
  <c r="J423" i="7"/>
  <c r="D423" i="7"/>
  <c r="C423" i="7"/>
  <c r="B423" i="7"/>
  <c r="L423" i="7"/>
  <c r="K423" i="7"/>
  <c r="A258" i="8"/>
  <c r="K258" i="7"/>
  <c r="C258" i="7"/>
  <c r="J258" i="7"/>
  <c r="B258" i="7"/>
  <c r="I258" i="7"/>
  <c r="H258" i="7"/>
  <c r="G258" i="7"/>
  <c r="E258" i="7"/>
  <c r="D258" i="7"/>
  <c r="M258" i="7"/>
  <c r="L258" i="7"/>
  <c r="F258" i="7"/>
  <c r="I100" i="8"/>
  <c r="P100" i="8"/>
  <c r="H100" i="8"/>
  <c r="N100" i="8"/>
  <c r="F100" i="8"/>
  <c r="M100" i="8"/>
  <c r="E100" i="8"/>
  <c r="J100" i="8"/>
  <c r="K100" i="8"/>
  <c r="G100" i="8"/>
  <c r="D100" i="8"/>
  <c r="B100" i="8"/>
  <c r="O100" i="8"/>
  <c r="L100" i="8"/>
  <c r="A834" i="8"/>
  <c r="K834" i="7"/>
  <c r="C834" i="7"/>
  <c r="J834" i="7"/>
  <c r="B834" i="7"/>
  <c r="I834" i="7"/>
  <c r="H834" i="7"/>
  <c r="G834" i="7"/>
  <c r="M834" i="7"/>
  <c r="L834" i="7"/>
  <c r="F834" i="7"/>
  <c r="D834" i="7"/>
  <c r="E834" i="7"/>
  <c r="A722" i="8"/>
  <c r="H722" i="7"/>
  <c r="G722" i="7"/>
  <c r="F722" i="7"/>
  <c r="M722" i="7"/>
  <c r="E722" i="7"/>
  <c r="L722" i="7"/>
  <c r="D722" i="7"/>
  <c r="J722" i="7"/>
  <c r="I722" i="7"/>
  <c r="C722" i="7"/>
  <c r="B722" i="7"/>
  <c r="K722" i="7"/>
  <c r="A500" i="8"/>
  <c r="H500" i="7"/>
  <c r="G500" i="7"/>
  <c r="F500" i="7"/>
  <c r="M500" i="7"/>
  <c r="E500" i="7"/>
  <c r="L500" i="7"/>
  <c r="D500" i="7"/>
  <c r="J500" i="7"/>
  <c r="I500" i="7"/>
  <c r="C500" i="7"/>
  <c r="B500" i="7"/>
  <c r="K500" i="7"/>
  <c r="L95" i="8"/>
  <c r="D95" i="8"/>
  <c r="K95" i="8"/>
  <c r="B95" i="8"/>
  <c r="I95" i="8"/>
  <c r="P95" i="8"/>
  <c r="H95" i="8"/>
  <c r="M95" i="8"/>
  <c r="E95" i="8"/>
  <c r="O95" i="8"/>
  <c r="N95" i="8"/>
  <c r="J95" i="8"/>
  <c r="G95" i="8"/>
  <c r="F95" i="8"/>
  <c r="A791" i="8"/>
  <c r="G791" i="7"/>
  <c r="F791" i="7"/>
  <c r="M791" i="7"/>
  <c r="E791" i="7"/>
  <c r="L791" i="7"/>
  <c r="D791" i="7"/>
  <c r="K791" i="7"/>
  <c r="C791" i="7"/>
  <c r="I791" i="7"/>
  <c r="H791" i="7"/>
  <c r="B791" i="7"/>
  <c r="J791" i="7"/>
  <c r="A687" i="8"/>
  <c r="F687" i="7"/>
  <c r="M687" i="7"/>
  <c r="E687" i="7"/>
  <c r="L687" i="7"/>
  <c r="D687" i="7"/>
  <c r="K687" i="7"/>
  <c r="C687" i="7"/>
  <c r="B687" i="7"/>
  <c r="J687" i="7"/>
  <c r="I687" i="7"/>
  <c r="H687" i="7"/>
  <c r="G687" i="7"/>
  <c r="A559" i="8"/>
  <c r="I559" i="7"/>
  <c r="H559" i="7"/>
  <c r="G559" i="7"/>
  <c r="F559" i="7"/>
  <c r="M559" i="7"/>
  <c r="E559" i="7"/>
  <c r="K559" i="7"/>
  <c r="J559" i="7"/>
  <c r="D559" i="7"/>
  <c r="C559" i="7"/>
  <c r="B559" i="7"/>
  <c r="L559" i="7"/>
  <c r="A407" i="8"/>
  <c r="I407" i="7"/>
  <c r="H407" i="7"/>
  <c r="G407" i="7"/>
  <c r="F407" i="7"/>
  <c r="M407" i="7"/>
  <c r="E407" i="7"/>
  <c r="C407" i="7"/>
  <c r="B407" i="7"/>
  <c r="L407" i="7"/>
  <c r="K407" i="7"/>
  <c r="J407" i="7"/>
  <c r="D407" i="7"/>
  <c r="A290" i="8"/>
  <c r="K290" i="7"/>
  <c r="C290" i="7"/>
  <c r="J290" i="7"/>
  <c r="B290" i="7"/>
  <c r="I290" i="7"/>
  <c r="H290" i="7"/>
  <c r="G290" i="7"/>
  <c r="M290" i="7"/>
  <c r="L290" i="7"/>
  <c r="F290" i="7"/>
  <c r="E290" i="7"/>
  <c r="D290" i="7"/>
  <c r="A184" i="8"/>
  <c r="M184" i="7"/>
  <c r="E184" i="7"/>
  <c r="L184" i="7"/>
  <c r="D184" i="7"/>
  <c r="K184" i="7"/>
  <c r="C184" i="7"/>
  <c r="J184" i="7"/>
  <c r="B184" i="7"/>
  <c r="I184" i="7"/>
  <c r="G184" i="7"/>
  <c r="F184" i="7"/>
  <c r="H184" i="7"/>
  <c r="A175" i="8"/>
  <c r="J175" i="7"/>
  <c r="B175" i="7"/>
  <c r="I175" i="7"/>
  <c r="H175" i="7"/>
  <c r="G175" i="7"/>
  <c r="F175" i="7"/>
  <c r="M175" i="7"/>
  <c r="L175" i="7"/>
  <c r="K175" i="7"/>
  <c r="E175" i="7"/>
  <c r="D175" i="7"/>
  <c r="C175" i="7"/>
  <c r="A162" i="8"/>
  <c r="K162" i="7"/>
  <c r="C162" i="7"/>
  <c r="J162" i="7"/>
  <c r="B162" i="7"/>
  <c r="I162" i="7"/>
  <c r="H162" i="7"/>
  <c r="G162" i="7"/>
  <c r="M162" i="7"/>
  <c r="L162" i="7"/>
  <c r="F162" i="7"/>
  <c r="E162" i="7"/>
  <c r="D162" i="7"/>
  <c r="A152" i="8"/>
  <c r="M152" i="7"/>
  <c r="E152" i="7"/>
  <c r="L152" i="7"/>
  <c r="D152" i="7"/>
  <c r="K152" i="7"/>
  <c r="C152" i="7"/>
  <c r="J152" i="7"/>
  <c r="B152" i="7"/>
  <c r="I152" i="7"/>
  <c r="H152" i="7"/>
  <c r="G152" i="7"/>
  <c r="F152" i="7"/>
  <c r="A143" i="8"/>
  <c r="J143" i="7"/>
  <c r="B143" i="7"/>
  <c r="I143" i="7"/>
  <c r="H143" i="7"/>
  <c r="G143" i="7"/>
  <c r="F143" i="7"/>
  <c r="E143" i="7"/>
  <c r="D143" i="7"/>
  <c r="C143" i="7"/>
  <c r="M143" i="7"/>
  <c r="L143" i="7"/>
  <c r="K143" i="7"/>
  <c r="A130" i="8"/>
  <c r="K130" i="7"/>
  <c r="C130" i="7"/>
  <c r="J130" i="7"/>
  <c r="I130" i="7"/>
  <c r="H130" i="7"/>
  <c r="G130" i="7"/>
  <c r="E130" i="7"/>
  <c r="D130" i="7"/>
  <c r="B130" i="7"/>
  <c r="M130" i="7"/>
  <c r="L130" i="7"/>
  <c r="F130" i="7"/>
  <c r="J24" i="8"/>
  <c r="I24" i="8"/>
  <c r="P24" i="8"/>
  <c r="H24" i="8"/>
  <c r="O24" i="8"/>
  <c r="G24" i="8"/>
  <c r="N24" i="8"/>
  <c r="F24" i="8"/>
  <c r="M24" i="8"/>
  <c r="E24" i="8"/>
  <c r="K24" i="8"/>
  <c r="B24" i="8"/>
  <c r="L24" i="8"/>
  <c r="D24" i="8"/>
  <c r="J16" i="8"/>
  <c r="I16" i="8"/>
  <c r="P16" i="8"/>
  <c r="H16" i="8"/>
  <c r="O16" i="8"/>
  <c r="G16" i="8"/>
  <c r="N16" i="8"/>
  <c r="F16" i="8"/>
  <c r="K16" i="8"/>
  <c r="B16" i="8"/>
  <c r="M16" i="8"/>
  <c r="L16" i="8"/>
  <c r="E16" i="8"/>
  <c r="D16" i="8"/>
  <c r="A535" i="8"/>
  <c r="I535" i="7"/>
  <c r="H535" i="7"/>
  <c r="G535" i="7"/>
  <c r="F535" i="7"/>
  <c r="M535" i="7"/>
  <c r="E535" i="7"/>
  <c r="C535" i="7"/>
  <c r="B535" i="7"/>
  <c r="L535" i="7"/>
  <c r="J535" i="7"/>
  <c r="D535" i="7"/>
  <c r="K535" i="7"/>
  <c r="B24" i="9"/>
  <c r="A610" i="8"/>
  <c r="J610" i="7"/>
  <c r="B610" i="7"/>
  <c r="I610" i="7"/>
  <c r="H610" i="7"/>
  <c r="G610" i="7"/>
  <c r="F610" i="7"/>
  <c r="K610" i="7"/>
  <c r="E610" i="7"/>
  <c r="D610" i="7"/>
  <c r="C610" i="7"/>
  <c r="M610" i="7"/>
  <c r="L610" i="7"/>
  <c r="A225" i="8"/>
  <c r="H225" i="7"/>
  <c r="G225" i="7"/>
  <c r="F225" i="7"/>
  <c r="M225" i="7"/>
  <c r="E225" i="7"/>
  <c r="L225" i="7"/>
  <c r="D225" i="7"/>
  <c r="I225" i="7"/>
  <c r="C225" i="7"/>
  <c r="B225" i="7"/>
  <c r="J225" i="7"/>
  <c r="K225" i="7"/>
  <c r="A29" i="8"/>
  <c r="I29" i="7"/>
  <c r="H29" i="7"/>
  <c r="G29" i="7"/>
  <c r="F29" i="7"/>
  <c r="M29" i="7"/>
  <c r="E29" i="7"/>
  <c r="L29" i="7"/>
  <c r="K29" i="7"/>
  <c r="J29" i="7"/>
  <c r="D29" i="7"/>
  <c r="C29" i="7"/>
  <c r="B29" i="7"/>
  <c r="A58" i="8"/>
  <c r="H58" i="7"/>
  <c r="G58" i="7"/>
  <c r="F58" i="7"/>
  <c r="M58" i="7"/>
  <c r="E58" i="7"/>
  <c r="L58" i="7"/>
  <c r="D58" i="7"/>
  <c r="B58" i="7"/>
  <c r="K58" i="7"/>
  <c r="J58" i="7"/>
  <c r="I58" i="7"/>
  <c r="C58" i="7"/>
  <c r="A53" i="8"/>
  <c r="I53" i="7"/>
  <c r="H53" i="7"/>
  <c r="G53" i="7"/>
  <c r="F53" i="7"/>
  <c r="M53" i="7"/>
  <c r="E53" i="7"/>
  <c r="C53" i="7"/>
  <c r="B53" i="7"/>
  <c r="L53" i="7"/>
  <c r="K53" i="7"/>
  <c r="J53" i="7"/>
  <c r="D53" i="7"/>
  <c r="A108" i="8"/>
  <c r="I108" i="7"/>
  <c r="G108" i="7"/>
  <c r="F108" i="7"/>
  <c r="M108" i="7"/>
  <c r="E108" i="7"/>
  <c r="C108" i="7"/>
  <c r="B108" i="7"/>
  <c r="L108" i="7"/>
  <c r="K108" i="7"/>
  <c r="J108" i="7"/>
  <c r="H108" i="7"/>
  <c r="D108" i="7"/>
  <c r="A77" i="8"/>
  <c r="L77" i="7"/>
  <c r="D77" i="7"/>
  <c r="J77" i="7"/>
  <c r="B77" i="7"/>
  <c r="I77" i="7"/>
  <c r="H77" i="7"/>
  <c r="F77" i="7"/>
  <c r="E77" i="7"/>
  <c r="C77" i="7"/>
  <c r="M77" i="7"/>
  <c r="K77" i="7"/>
  <c r="G77" i="7"/>
  <c r="I916" i="8"/>
  <c r="P916" i="8"/>
  <c r="H916" i="8"/>
  <c r="O916" i="8"/>
  <c r="G916" i="8"/>
  <c r="N916" i="8"/>
  <c r="F916" i="8"/>
  <c r="M916" i="8"/>
  <c r="J916" i="8"/>
  <c r="E916" i="8"/>
  <c r="B916" i="8"/>
  <c r="L916" i="8"/>
  <c r="K916" i="8"/>
  <c r="D916" i="8"/>
  <c r="O892" i="8"/>
  <c r="G892" i="8"/>
  <c r="L892" i="8"/>
  <c r="D892" i="8"/>
  <c r="K892" i="8"/>
  <c r="B892" i="8"/>
  <c r="E892" i="8"/>
  <c r="P892" i="8"/>
  <c r="N892" i="8"/>
  <c r="I892" i="8"/>
  <c r="J892" i="8"/>
  <c r="H892" i="8"/>
  <c r="F892" i="8"/>
  <c r="M892" i="8"/>
  <c r="L856" i="8"/>
  <c r="D856" i="8"/>
  <c r="J856" i="8"/>
  <c r="M856" i="8"/>
  <c r="K856" i="8"/>
  <c r="I856" i="8"/>
  <c r="H856" i="8"/>
  <c r="P856" i="8"/>
  <c r="N856" i="8"/>
  <c r="G856" i="8"/>
  <c r="B856" i="8"/>
  <c r="E856" i="8"/>
  <c r="O856" i="8"/>
  <c r="F856" i="8"/>
  <c r="A995" i="8"/>
  <c r="H995" i="7"/>
  <c r="M995" i="7"/>
  <c r="E995" i="7"/>
  <c r="D995" i="7"/>
  <c r="C995" i="7"/>
  <c r="L995" i="7"/>
  <c r="B995" i="7"/>
  <c r="K995" i="7"/>
  <c r="J995" i="7"/>
  <c r="I995" i="7"/>
  <c r="G995" i="7"/>
  <c r="F995" i="7"/>
  <c r="J440" i="8"/>
  <c r="I440" i="8"/>
  <c r="P440" i="8"/>
  <c r="H440" i="8"/>
  <c r="O440" i="8"/>
  <c r="G440" i="8"/>
  <c r="N440" i="8"/>
  <c r="F440" i="8"/>
  <c r="L440" i="8"/>
  <c r="K440" i="8"/>
  <c r="E440" i="8"/>
  <c r="B440" i="8"/>
  <c r="M440" i="8"/>
  <c r="D440" i="8"/>
  <c r="P438" i="8"/>
  <c r="H438" i="8"/>
  <c r="O438" i="8"/>
  <c r="G438" i="8"/>
  <c r="N438" i="8"/>
  <c r="F438" i="8"/>
  <c r="M438" i="8"/>
  <c r="E438" i="8"/>
  <c r="L438" i="8"/>
  <c r="D438" i="8"/>
  <c r="I438" i="8"/>
  <c r="B438" i="8"/>
  <c r="K438" i="8"/>
  <c r="J438" i="8"/>
  <c r="A690" i="8"/>
  <c r="G690" i="7"/>
  <c r="F690" i="7"/>
  <c r="M690" i="7"/>
  <c r="E690" i="7"/>
  <c r="L690" i="7"/>
  <c r="D690" i="7"/>
  <c r="K690" i="7"/>
  <c r="J690" i="7"/>
  <c r="I690" i="7"/>
  <c r="H690" i="7"/>
  <c r="C690" i="7"/>
  <c r="B690" i="7"/>
  <c r="A508" i="8"/>
  <c r="H508" i="7"/>
  <c r="G508" i="7"/>
  <c r="F508" i="7"/>
  <c r="M508" i="7"/>
  <c r="E508" i="7"/>
  <c r="L508" i="7"/>
  <c r="D508" i="7"/>
  <c r="K508" i="7"/>
  <c r="J508" i="7"/>
  <c r="I508" i="7"/>
  <c r="C508" i="7"/>
  <c r="B508" i="7"/>
  <c r="A698" i="8"/>
  <c r="H698" i="7"/>
  <c r="G698" i="7"/>
  <c r="F698" i="7"/>
  <c r="M698" i="7"/>
  <c r="E698" i="7"/>
  <c r="L698" i="7"/>
  <c r="D698" i="7"/>
  <c r="B698" i="7"/>
  <c r="K698" i="7"/>
  <c r="J698" i="7"/>
  <c r="I698" i="7"/>
  <c r="C698" i="7"/>
  <c r="N12" i="8"/>
  <c r="F12" i="8"/>
  <c r="M12" i="8"/>
  <c r="E12" i="8"/>
  <c r="L12" i="8"/>
  <c r="D12" i="8"/>
  <c r="K12" i="8"/>
  <c r="B12" i="8"/>
  <c r="J12" i="8"/>
  <c r="O12" i="8"/>
  <c r="G12" i="8"/>
  <c r="P12" i="8"/>
  <c r="I12" i="8"/>
  <c r="H12" i="8"/>
  <c r="A348" i="8"/>
  <c r="H348" i="7"/>
  <c r="G348" i="7"/>
  <c r="F348" i="7"/>
  <c r="M348" i="7"/>
  <c r="E348" i="7"/>
  <c r="L348" i="7"/>
  <c r="D348" i="7"/>
  <c r="B348" i="7"/>
  <c r="K348" i="7"/>
  <c r="J348" i="7"/>
  <c r="C348" i="7"/>
  <c r="I348" i="7"/>
  <c r="A452" i="8"/>
  <c r="H452" i="7"/>
  <c r="G452" i="7"/>
  <c r="F452" i="7"/>
  <c r="M452" i="7"/>
  <c r="E452" i="7"/>
  <c r="L452" i="7"/>
  <c r="D452" i="7"/>
  <c r="K452" i="7"/>
  <c r="J452" i="7"/>
  <c r="I452" i="7"/>
  <c r="C452" i="7"/>
  <c r="B452" i="7"/>
  <c r="A153" i="8"/>
  <c r="H153" i="7"/>
  <c r="G153" i="7"/>
  <c r="F153" i="7"/>
  <c r="M153" i="7"/>
  <c r="E153" i="7"/>
  <c r="L153" i="7"/>
  <c r="D153" i="7"/>
  <c r="C153" i="7"/>
  <c r="B153" i="7"/>
  <c r="K153" i="7"/>
  <c r="J153" i="7"/>
  <c r="I153" i="7"/>
  <c r="L967" i="8"/>
  <c r="D967" i="8"/>
  <c r="H967" i="8"/>
  <c r="P967" i="8"/>
  <c r="G967" i="8"/>
  <c r="O967" i="8"/>
  <c r="F967" i="8"/>
  <c r="N967" i="8"/>
  <c r="E967" i="8"/>
  <c r="M967" i="8"/>
  <c r="K967" i="8"/>
  <c r="J967" i="8"/>
  <c r="I967" i="8"/>
  <c r="B967" i="8"/>
  <c r="I980" i="8"/>
  <c r="N980" i="8"/>
  <c r="E980" i="8"/>
  <c r="M980" i="8"/>
  <c r="D980" i="8"/>
  <c r="L980" i="8"/>
  <c r="B980" i="8"/>
  <c r="K980" i="8"/>
  <c r="F980" i="8"/>
  <c r="P980" i="8"/>
  <c r="O980" i="8"/>
  <c r="J980" i="8"/>
  <c r="H980" i="8"/>
  <c r="G980" i="8"/>
  <c r="I924" i="8"/>
  <c r="P924" i="8"/>
  <c r="H924" i="8"/>
  <c r="O924" i="8"/>
  <c r="G924" i="8"/>
  <c r="N924" i="8"/>
  <c r="F924" i="8"/>
  <c r="E924" i="8"/>
  <c r="M924" i="8"/>
  <c r="K924" i="8"/>
  <c r="J924" i="8"/>
  <c r="D924" i="8"/>
  <c r="L924" i="8"/>
  <c r="B924" i="8"/>
  <c r="O884" i="8"/>
  <c r="G884" i="8"/>
  <c r="L884" i="8"/>
  <c r="D884" i="8"/>
  <c r="K884" i="8"/>
  <c r="B884" i="8"/>
  <c r="I884" i="8"/>
  <c r="H884" i="8"/>
  <c r="F884" i="8"/>
  <c r="N884" i="8"/>
  <c r="P884" i="8"/>
  <c r="E884" i="8"/>
  <c r="M884" i="8"/>
  <c r="J884" i="8"/>
  <c r="P844" i="8"/>
  <c r="H844" i="8"/>
  <c r="N844" i="8"/>
  <c r="F844" i="8"/>
  <c r="K844" i="8"/>
  <c r="J844" i="8"/>
  <c r="I844" i="8"/>
  <c r="G844" i="8"/>
  <c r="E844" i="8"/>
  <c r="D844" i="8"/>
  <c r="L844" i="8"/>
  <c r="M844" i="8"/>
  <c r="B844" i="8"/>
  <c r="O844" i="8"/>
  <c r="N858" i="8"/>
  <c r="F858" i="8"/>
  <c r="L858" i="8"/>
  <c r="D858" i="8"/>
  <c r="O858" i="8"/>
  <c r="B858" i="8"/>
  <c r="M858" i="8"/>
  <c r="K858" i="8"/>
  <c r="J858" i="8"/>
  <c r="I858" i="8"/>
  <c r="H858" i="8"/>
  <c r="E858" i="8"/>
  <c r="P858" i="8"/>
  <c r="G858" i="8"/>
  <c r="J989" i="8"/>
  <c r="P989" i="8"/>
  <c r="G989" i="8"/>
  <c r="O989" i="8"/>
  <c r="F989" i="8"/>
  <c r="N989" i="8"/>
  <c r="E989" i="8"/>
  <c r="M989" i="8"/>
  <c r="D989" i="8"/>
  <c r="L989" i="8"/>
  <c r="K989" i="8"/>
  <c r="I989" i="8"/>
  <c r="H989" i="8"/>
  <c r="B989" i="8"/>
  <c r="P877" i="8"/>
  <c r="H877" i="8"/>
  <c r="M877" i="8"/>
  <c r="E877" i="8"/>
  <c r="L877" i="8"/>
  <c r="K877" i="8"/>
  <c r="J877" i="8"/>
  <c r="F877" i="8"/>
  <c r="O877" i="8"/>
  <c r="N877" i="8"/>
  <c r="I877" i="8"/>
  <c r="G877" i="8"/>
  <c r="D877" i="8"/>
  <c r="B877" i="8"/>
  <c r="M1000" i="8"/>
  <c r="E1000" i="8"/>
  <c r="P1000" i="8"/>
  <c r="G1000" i="8"/>
  <c r="O1000" i="8"/>
  <c r="F1000" i="8"/>
  <c r="N1000" i="8"/>
  <c r="D1000" i="8"/>
  <c r="L1000" i="8"/>
  <c r="B1000" i="8"/>
  <c r="K1000" i="8"/>
  <c r="J1000" i="8"/>
  <c r="I1000" i="8"/>
  <c r="H1000" i="8"/>
  <c r="K872" i="8"/>
  <c r="B872" i="8"/>
  <c r="P872" i="8"/>
  <c r="H872" i="8"/>
  <c r="M872" i="8"/>
  <c r="L872" i="8"/>
  <c r="J872" i="8"/>
  <c r="F872" i="8"/>
  <c r="G872" i="8"/>
  <c r="E872" i="8"/>
  <c r="D872" i="8"/>
  <c r="I872" i="8"/>
  <c r="O872" i="8"/>
  <c r="N872" i="8"/>
  <c r="A990" i="8"/>
  <c r="G990" i="7"/>
  <c r="F990" i="7"/>
  <c r="M990" i="7"/>
  <c r="E990" i="7"/>
  <c r="L990" i="7"/>
  <c r="D990" i="7"/>
  <c r="K990" i="7"/>
  <c r="C990" i="7"/>
  <c r="J990" i="7"/>
  <c r="I990" i="7"/>
  <c r="H990" i="7"/>
  <c r="B990" i="7"/>
  <c r="A825" i="8"/>
  <c r="H825" i="7"/>
  <c r="G825" i="7"/>
  <c r="F825" i="7"/>
  <c r="M825" i="7"/>
  <c r="E825" i="7"/>
  <c r="L825" i="7"/>
  <c r="D825" i="7"/>
  <c r="I825" i="7"/>
  <c r="C825" i="7"/>
  <c r="B825" i="7"/>
  <c r="J825" i="7"/>
  <c r="K825" i="7"/>
  <c r="A819" i="8"/>
  <c r="F819" i="7"/>
  <c r="M819" i="7"/>
  <c r="E819" i="7"/>
  <c r="L819" i="7"/>
  <c r="D819" i="7"/>
  <c r="K819" i="7"/>
  <c r="C819" i="7"/>
  <c r="J819" i="7"/>
  <c r="B819" i="7"/>
  <c r="I819" i="7"/>
  <c r="H819" i="7"/>
  <c r="G819" i="7"/>
  <c r="I789" i="8"/>
  <c r="P789" i="8"/>
  <c r="H789" i="8"/>
  <c r="L789" i="8"/>
  <c r="K789" i="8"/>
  <c r="G789" i="8"/>
  <c r="F789" i="8"/>
  <c r="E789" i="8"/>
  <c r="D789" i="8"/>
  <c r="B789" i="8"/>
  <c r="O789" i="8"/>
  <c r="M789" i="8"/>
  <c r="J789" i="8"/>
  <c r="N789" i="8"/>
  <c r="N765" i="8"/>
  <c r="F765" i="8"/>
  <c r="M765" i="8"/>
  <c r="E765" i="8"/>
  <c r="L765" i="8"/>
  <c r="D765" i="8"/>
  <c r="K765" i="8"/>
  <c r="B765" i="8"/>
  <c r="P765" i="8"/>
  <c r="O765" i="8"/>
  <c r="J765" i="8"/>
  <c r="I765" i="8"/>
  <c r="H765" i="8"/>
  <c r="G765" i="8"/>
  <c r="J693" i="8"/>
  <c r="I693" i="8"/>
  <c r="P693" i="8"/>
  <c r="H693" i="8"/>
  <c r="O693" i="8"/>
  <c r="G693" i="8"/>
  <c r="N693" i="8"/>
  <c r="F693" i="8"/>
  <c r="D693" i="8"/>
  <c r="B693" i="8"/>
  <c r="M693" i="8"/>
  <c r="L693" i="8"/>
  <c r="K693" i="8"/>
  <c r="E693" i="8"/>
  <c r="I525" i="8"/>
  <c r="P525" i="8"/>
  <c r="H525" i="8"/>
  <c r="O525" i="8"/>
  <c r="G525" i="8"/>
  <c r="N525" i="8"/>
  <c r="F525" i="8"/>
  <c r="M525" i="8"/>
  <c r="E525" i="8"/>
  <c r="J525" i="8"/>
  <c r="D525" i="8"/>
  <c r="B525" i="8"/>
  <c r="L525" i="8"/>
  <c r="K525" i="8"/>
  <c r="I485" i="8"/>
  <c r="O485" i="8"/>
  <c r="G485" i="8"/>
  <c r="N485" i="8"/>
  <c r="F485" i="8"/>
  <c r="M485" i="8"/>
  <c r="E485" i="8"/>
  <c r="J485" i="8"/>
  <c r="H485" i="8"/>
  <c r="D485" i="8"/>
  <c r="B485" i="8"/>
  <c r="P485" i="8"/>
  <c r="L485" i="8"/>
  <c r="K485" i="8"/>
  <c r="J269" i="8"/>
  <c r="I269" i="8"/>
  <c r="O269" i="8"/>
  <c r="G269" i="8"/>
  <c r="N269" i="8"/>
  <c r="F269" i="8"/>
  <c r="H269" i="8"/>
  <c r="E269" i="8"/>
  <c r="P269" i="8"/>
  <c r="K269" i="8"/>
  <c r="B269" i="8"/>
  <c r="D269" i="8"/>
  <c r="M269" i="8"/>
  <c r="L269" i="8"/>
  <c r="J261" i="8"/>
  <c r="I261" i="8"/>
  <c r="O261" i="8"/>
  <c r="G261" i="8"/>
  <c r="N261" i="8"/>
  <c r="F261" i="8"/>
  <c r="P261" i="8"/>
  <c r="M261" i="8"/>
  <c r="H261" i="8"/>
  <c r="B261" i="8"/>
  <c r="L261" i="8"/>
  <c r="K261" i="8"/>
  <c r="E261" i="8"/>
  <c r="D261" i="8"/>
  <c r="M221" i="8"/>
  <c r="E221" i="8"/>
  <c r="L221" i="8"/>
  <c r="D221" i="8"/>
  <c r="I221" i="8"/>
  <c r="N221" i="8"/>
  <c r="F221" i="8"/>
  <c r="P221" i="8"/>
  <c r="K221" i="8"/>
  <c r="J221" i="8"/>
  <c r="B221" i="8"/>
  <c r="O221" i="8"/>
  <c r="H221" i="8"/>
  <c r="G221" i="8"/>
  <c r="M213" i="8"/>
  <c r="E213" i="8"/>
  <c r="I213" i="8"/>
  <c r="P213" i="8"/>
  <c r="F213" i="8"/>
  <c r="O213" i="8"/>
  <c r="D213" i="8"/>
  <c r="L213" i="8"/>
  <c r="K213" i="8"/>
  <c r="G213" i="8"/>
  <c r="N213" i="8"/>
  <c r="J213" i="8"/>
  <c r="H213" i="8"/>
  <c r="B213" i="8"/>
  <c r="J181" i="8"/>
  <c r="I181" i="8"/>
  <c r="O181" i="8"/>
  <c r="G181" i="8"/>
  <c r="N181" i="8"/>
  <c r="F181" i="8"/>
  <c r="K181" i="8"/>
  <c r="B181" i="8"/>
  <c r="L181" i="8"/>
  <c r="H181" i="8"/>
  <c r="E181" i="8"/>
  <c r="D181" i="8"/>
  <c r="P181" i="8"/>
  <c r="M181" i="8"/>
  <c r="A902" i="8"/>
  <c r="G902" i="7"/>
  <c r="F902" i="7"/>
  <c r="M902" i="7"/>
  <c r="E902" i="7"/>
  <c r="L902" i="7"/>
  <c r="D902" i="7"/>
  <c r="K902" i="7"/>
  <c r="C902" i="7"/>
  <c r="I902" i="7"/>
  <c r="H902" i="7"/>
  <c r="B902" i="7"/>
  <c r="J902" i="7"/>
  <c r="A897" i="8"/>
  <c r="H897" i="7"/>
  <c r="G897" i="7"/>
  <c r="F897" i="7"/>
  <c r="M897" i="7"/>
  <c r="E897" i="7"/>
  <c r="L897" i="7"/>
  <c r="D897" i="7"/>
  <c r="J897" i="7"/>
  <c r="I897" i="7"/>
  <c r="C897" i="7"/>
  <c r="B897" i="7"/>
  <c r="K897" i="7"/>
  <c r="I712" i="8"/>
  <c r="P712" i="8"/>
  <c r="H712" i="8"/>
  <c r="O712" i="8"/>
  <c r="G712" i="8"/>
  <c r="N712" i="8"/>
  <c r="F712" i="8"/>
  <c r="L712" i="8"/>
  <c r="K712" i="8"/>
  <c r="J712" i="8"/>
  <c r="E712" i="8"/>
  <c r="D712" i="8"/>
  <c r="M712" i="8"/>
  <c r="B712" i="8"/>
  <c r="L656" i="8"/>
  <c r="D656" i="8"/>
  <c r="K656" i="8"/>
  <c r="B656" i="8"/>
  <c r="J656" i="8"/>
  <c r="I656" i="8"/>
  <c r="P656" i="8"/>
  <c r="H656" i="8"/>
  <c r="E656" i="8"/>
  <c r="O656" i="8"/>
  <c r="N656" i="8"/>
  <c r="M656" i="8"/>
  <c r="G656" i="8"/>
  <c r="F656" i="8"/>
  <c r="L648" i="8"/>
  <c r="D648" i="8"/>
  <c r="K648" i="8"/>
  <c r="B648" i="8"/>
  <c r="J648" i="8"/>
  <c r="I648" i="8"/>
  <c r="P648" i="8"/>
  <c r="H648" i="8"/>
  <c r="O648" i="8"/>
  <c r="N648" i="8"/>
  <c r="M648" i="8"/>
  <c r="G648" i="8"/>
  <c r="F648" i="8"/>
  <c r="E648" i="8"/>
  <c r="M312" i="8"/>
  <c r="E312" i="8"/>
  <c r="L312" i="8"/>
  <c r="D312" i="8"/>
  <c r="J312" i="8"/>
  <c r="I312" i="8"/>
  <c r="B312" i="8"/>
  <c r="P312" i="8"/>
  <c r="N312" i="8"/>
  <c r="K312" i="8"/>
  <c r="F312" i="8"/>
  <c r="O312" i="8"/>
  <c r="G312" i="8"/>
  <c r="H312" i="8"/>
  <c r="M280" i="8"/>
  <c r="E280" i="8"/>
  <c r="L280" i="8"/>
  <c r="D280" i="8"/>
  <c r="J280" i="8"/>
  <c r="I280" i="8"/>
  <c r="B280" i="8"/>
  <c r="P280" i="8"/>
  <c r="K280" i="8"/>
  <c r="F280" i="8"/>
  <c r="O280" i="8"/>
  <c r="N280" i="8"/>
  <c r="H280" i="8"/>
  <c r="G280" i="8"/>
  <c r="A401" i="8"/>
  <c r="G401" i="7"/>
  <c r="F401" i="7"/>
  <c r="M401" i="7"/>
  <c r="E401" i="7"/>
  <c r="L401" i="7"/>
  <c r="D401" i="7"/>
  <c r="K401" i="7"/>
  <c r="C401" i="7"/>
  <c r="J401" i="7"/>
  <c r="I401" i="7"/>
  <c r="H401" i="7"/>
  <c r="B401" i="7"/>
  <c r="A859" i="8"/>
  <c r="F859" i="7"/>
  <c r="M859" i="7"/>
  <c r="E859" i="7"/>
  <c r="L859" i="7"/>
  <c r="D859" i="7"/>
  <c r="K859" i="7"/>
  <c r="C859" i="7"/>
  <c r="J859" i="7"/>
  <c r="B859" i="7"/>
  <c r="I859" i="7"/>
  <c r="H859" i="7"/>
  <c r="G859" i="7"/>
  <c r="L771" i="8"/>
  <c r="D771" i="8"/>
  <c r="K771" i="8"/>
  <c r="B771" i="8"/>
  <c r="J771" i="8"/>
  <c r="I771" i="8"/>
  <c r="G771" i="8"/>
  <c r="F771" i="8"/>
  <c r="E771" i="8"/>
  <c r="P771" i="8"/>
  <c r="O771" i="8"/>
  <c r="N771" i="8"/>
  <c r="M771" i="8"/>
  <c r="H771" i="8"/>
  <c r="L715" i="8"/>
  <c r="D715" i="8"/>
  <c r="K715" i="8"/>
  <c r="B715" i="8"/>
  <c r="J715" i="8"/>
  <c r="I715" i="8"/>
  <c r="O715" i="8"/>
  <c r="N715" i="8"/>
  <c r="M715" i="8"/>
  <c r="H715" i="8"/>
  <c r="G715" i="8"/>
  <c r="F715" i="8"/>
  <c r="E715" i="8"/>
  <c r="P715" i="8"/>
  <c r="O587" i="8"/>
  <c r="G587" i="8"/>
  <c r="N587" i="8"/>
  <c r="F587" i="8"/>
  <c r="M587" i="8"/>
  <c r="E587" i="8"/>
  <c r="L587" i="8"/>
  <c r="D587" i="8"/>
  <c r="K587" i="8"/>
  <c r="B587" i="8"/>
  <c r="P587" i="8"/>
  <c r="J587" i="8"/>
  <c r="I587" i="8"/>
  <c r="H587" i="8"/>
  <c r="O507" i="8"/>
  <c r="G507" i="8"/>
  <c r="N507" i="8"/>
  <c r="F507" i="8"/>
  <c r="M507" i="8"/>
  <c r="E507" i="8"/>
  <c r="L507" i="8"/>
  <c r="D507" i="8"/>
  <c r="K507" i="8"/>
  <c r="B507" i="8"/>
  <c r="P507" i="8"/>
  <c r="J507" i="8"/>
  <c r="I507" i="8"/>
  <c r="H507" i="8"/>
  <c r="O491" i="8"/>
  <c r="G491" i="8"/>
  <c r="M491" i="8"/>
  <c r="E491" i="8"/>
  <c r="L491" i="8"/>
  <c r="D491" i="8"/>
  <c r="K491" i="8"/>
  <c r="B491" i="8"/>
  <c r="P491" i="8"/>
  <c r="N491" i="8"/>
  <c r="J491" i="8"/>
  <c r="I491" i="8"/>
  <c r="H491" i="8"/>
  <c r="F491" i="8"/>
  <c r="P187" i="8"/>
  <c r="H187" i="8"/>
  <c r="O187" i="8"/>
  <c r="G187" i="8"/>
  <c r="M187" i="8"/>
  <c r="E187" i="8"/>
  <c r="L187" i="8"/>
  <c r="D187" i="8"/>
  <c r="I187" i="8"/>
  <c r="F187" i="8"/>
  <c r="B187" i="8"/>
  <c r="N187" i="8"/>
  <c r="K187" i="8"/>
  <c r="J187" i="8"/>
  <c r="P179" i="8"/>
  <c r="H179" i="8"/>
  <c r="O179" i="8"/>
  <c r="G179" i="8"/>
  <c r="M179" i="8"/>
  <c r="E179" i="8"/>
  <c r="L179" i="8"/>
  <c r="D179" i="8"/>
  <c r="I179" i="8"/>
  <c r="N179" i="8"/>
  <c r="K179" i="8"/>
  <c r="J179" i="8"/>
  <c r="F179" i="8"/>
  <c r="B179" i="8"/>
  <c r="P131" i="8"/>
  <c r="H131" i="8"/>
  <c r="O131" i="8"/>
  <c r="G131" i="8"/>
  <c r="M131" i="8"/>
  <c r="E131" i="8"/>
  <c r="L131" i="8"/>
  <c r="D131" i="8"/>
  <c r="I131" i="8"/>
  <c r="N131" i="8"/>
  <c r="K131" i="8"/>
  <c r="J131" i="8"/>
  <c r="F131" i="8"/>
  <c r="B131" i="8"/>
  <c r="A963" i="8"/>
  <c r="F963" i="7"/>
  <c r="M963" i="7"/>
  <c r="E963" i="7"/>
  <c r="L963" i="7"/>
  <c r="D963" i="7"/>
  <c r="K963" i="7"/>
  <c r="C963" i="7"/>
  <c r="J963" i="7"/>
  <c r="B963" i="7"/>
  <c r="G963" i="7"/>
  <c r="I963" i="7"/>
  <c r="H963" i="7"/>
  <c r="A931" i="8"/>
  <c r="F931" i="7"/>
  <c r="M931" i="7"/>
  <c r="E931" i="7"/>
  <c r="L931" i="7"/>
  <c r="D931" i="7"/>
  <c r="K931" i="7"/>
  <c r="C931" i="7"/>
  <c r="J931" i="7"/>
  <c r="B931" i="7"/>
  <c r="I931" i="7"/>
  <c r="H931" i="7"/>
  <c r="G931" i="7"/>
  <c r="A899" i="8"/>
  <c r="F899" i="7"/>
  <c r="M899" i="7"/>
  <c r="E899" i="7"/>
  <c r="L899" i="7"/>
  <c r="D899" i="7"/>
  <c r="K899" i="7"/>
  <c r="C899" i="7"/>
  <c r="J899" i="7"/>
  <c r="B899" i="7"/>
  <c r="G899" i="7"/>
  <c r="I899" i="7"/>
  <c r="H899" i="7"/>
  <c r="O774" i="8"/>
  <c r="G774" i="8"/>
  <c r="L774" i="8"/>
  <c r="H774" i="8"/>
  <c r="F774" i="8"/>
  <c r="P774" i="8"/>
  <c r="E774" i="8"/>
  <c r="N774" i="8"/>
  <c r="D774" i="8"/>
  <c r="K774" i="8"/>
  <c r="J774" i="8"/>
  <c r="I774" i="8"/>
  <c r="B774" i="8"/>
  <c r="M774" i="8"/>
  <c r="O726" i="8"/>
  <c r="G726" i="8"/>
  <c r="N726" i="8"/>
  <c r="F726" i="8"/>
  <c r="M726" i="8"/>
  <c r="E726" i="8"/>
  <c r="L726" i="8"/>
  <c r="D726" i="8"/>
  <c r="J726" i="8"/>
  <c r="I726" i="8"/>
  <c r="H726" i="8"/>
  <c r="B726" i="8"/>
  <c r="P726" i="8"/>
  <c r="K726" i="8"/>
  <c r="J638" i="8"/>
  <c r="I638" i="8"/>
  <c r="P638" i="8"/>
  <c r="H638" i="8"/>
  <c r="O638" i="8"/>
  <c r="G638" i="8"/>
  <c r="N638" i="8"/>
  <c r="F638" i="8"/>
  <c r="M638" i="8"/>
  <c r="L638" i="8"/>
  <c r="K638" i="8"/>
  <c r="E638" i="8"/>
  <c r="D638" i="8"/>
  <c r="B638" i="8"/>
  <c r="J542" i="8"/>
  <c r="I542" i="8"/>
  <c r="P542" i="8"/>
  <c r="H542" i="8"/>
  <c r="O542" i="8"/>
  <c r="G542" i="8"/>
  <c r="N542" i="8"/>
  <c r="F542" i="8"/>
  <c r="K542" i="8"/>
  <c r="E542" i="8"/>
  <c r="D542" i="8"/>
  <c r="B542" i="8"/>
  <c r="M542" i="8"/>
  <c r="L542" i="8"/>
  <c r="P350" i="8"/>
  <c r="H350" i="8"/>
  <c r="O350" i="8"/>
  <c r="G350" i="8"/>
  <c r="N350" i="8"/>
  <c r="F350" i="8"/>
  <c r="M350" i="8"/>
  <c r="E350" i="8"/>
  <c r="L350" i="8"/>
  <c r="D350" i="8"/>
  <c r="B350" i="8"/>
  <c r="K350" i="8"/>
  <c r="J350" i="8"/>
  <c r="I350" i="8"/>
  <c r="K334" i="8"/>
  <c r="B334" i="8"/>
  <c r="J334" i="8"/>
  <c r="P334" i="8"/>
  <c r="H334" i="8"/>
  <c r="O334" i="8"/>
  <c r="G334" i="8"/>
  <c r="N334" i="8"/>
  <c r="F334" i="8"/>
  <c r="M334" i="8"/>
  <c r="L334" i="8"/>
  <c r="D334" i="8"/>
  <c r="E334" i="8"/>
  <c r="I334" i="8"/>
  <c r="K238" i="8"/>
  <c r="B238" i="8"/>
  <c r="J238" i="8"/>
  <c r="P238" i="8"/>
  <c r="H238" i="8"/>
  <c r="O238" i="8"/>
  <c r="G238" i="8"/>
  <c r="I238" i="8"/>
  <c r="F238" i="8"/>
  <c r="L238" i="8"/>
  <c r="N238" i="8"/>
  <c r="E238" i="8"/>
  <c r="D238" i="8"/>
  <c r="M238" i="8"/>
  <c r="K174" i="8"/>
  <c r="B174" i="8"/>
  <c r="J174" i="8"/>
  <c r="P174" i="8"/>
  <c r="H174" i="8"/>
  <c r="O174" i="8"/>
  <c r="G174" i="8"/>
  <c r="L174" i="8"/>
  <c r="D174" i="8"/>
  <c r="I174" i="8"/>
  <c r="F174" i="8"/>
  <c r="E174" i="8"/>
  <c r="N174" i="8"/>
  <c r="M174" i="8"/>
  <c r="N681" i="8"/>
  <c r="F681" i="8"/>
  <c r="M681" i="8"/>
  <c r="E681" i="8"/>
  <c r="L681" i="8"/>
  <c r="D681" i="8"/>
  <c r="K681" i="8"/>
  <c r="B681" i="8"/>
  <c r="J681" i="8"/>
  <c r="O681" i="8"/>
  <c r="I681" i="8"/>
  <c r="H681" i="8"/>
  <c r="G681" i="8"/>
  <c r="P681" i="8"/>
  <c r="N673" i="8"/>
  <c r="F673" i="8"/>
  <c r="M673" i="8"/>
  <c r="E673" i="8"/>
  <c r="L673" i="8"/>
  <c r="D673" i="8"/>
  <c r="K673" i="8"/>
  <c r="B673" i="8"/>
  <c r="J673" i="8"/>
  <c r="G673" i="8"/>
  <c r="P673" i="8"/>
  <c r="O673" i="8"/>
  <c r="I673" i="8"/>
  <c r="H673" i="8"/>
  <c r="M641" i="8"/>
  <c r="E641" i="8"/>
  <c r="L641" i="8"/>
  <c r="D641" i="8"/>
  <c r="K641" i="8"/>
  <c r="B641" i="8"/>
  <c r="J641" i="8"/>
  <c r="I641" i="8"/>
  <c r="O641" i="8"/>
  <c r="N641" i="8"/>
  <c r="H641" i="8"/>
  <c r="G641" i="8"/>
  <c r="F641" i="8"/>
  <c r="P641" i="8"/>
  <c r="M561" i="8"/>
  <c r="E561" i="8"/>
  <c r="L561" i="8"/>
  <c r="D561" i="8"/>
  <c r="K561" i="8"/>
  <c r="B561" i="8"/>
  <c r="J561" i="8"/>
  <c r="I561" i="8"/>
  <c r="P561" i="8"/>
  <c r="O561" i="8"/>
  <c r="N561" i="8"/>
  <c r="H561" i="8"/>
  <c r="G561" i="8"/>
  <c r="F561" i="8"/>
  <c r="M489" i="8"/>
  <c r="E489" i="8"/>
  <c r="K489" i="8"/>
  <c r="B489" i="8"/>
  <c r="J489" i="8"/>
  <c r="I489" i="8"/>
  <c r="N489" i="8"/>
  <c r="L489" i="8"/>
  <c r="H489" i="8"/>
  <c r="G489" i="8"/>
  <c r="F489" i="8"/>
  <c r="P489" i="8"/>
  <c r="O489" i="8"/>
  <c r="D489" i="8"/>
  <c r="K417" i="8"/>
  <c r="B417" i="8"/>
  <c r="J417" i="8"/>
  <c r="I417" i="8"/>
  <c r="P417" i="8"/>
  <c r="H417" i="8"/>
  <c r="O417" i="8"/>
  <c r="G417" i="8"/>
  <c r="D417" i="8"/>
  <c r="N417" i="8"/>
  <c r="M417" i="8"/>
  <c r="L417" i="8"/>
  <c r="E417" i="8"/>
  <c r="F417" i="8"/>
  <c r="A910" i="8"/>
  <c r="G910" i="7"/>
  <c r="F910" i="7"/>
  <c r="M910" i="7"/>
  <c r="E910" i="7"/>
  <c r="L910" i="7"/>
  <c r="D910" i="7"/>
  <c r="K910" i="7"/>
  <c r="C910" i="7"/>
  <c r="J910" i="7"/>
  <c r="I910" i="7"/>
  <c r="H910" i="7"/>
  <c r="B910" i="7"/>
  <c r="A905" i="8"/>
  <c r="H905" i="7"/>
  <c r="G905" i="7"/>
  <c r="F905" i="7"/>
  <c r="M905" i="7"/>
  <c r="E905" i="7"/>
  <c r="L905" i="7"/>
  <c r="D905" i="7"/>
  <c r="K905" i="7"/>
  <c r="J905" i="7"/>
  <c r="I905" i="7"/>
  <c r="C905" i="7"/>
  <c r="B905" i="7"/>
  <c r="M740" i="8"/>
  <c r="E740" i="8"/>
  <c r="L740" i="8"/>
  <c r="D740" i="8"/>
  <c r="K740" i="8"/>
  <c r="B740" i="8"/>
  <c r="J740" i="8"/>
  <c r="H740" i="8"/>
  <c r="G740" i="8"/>
  <c r="F740" i="8"/>
  <c r="P740" i="8"/>
  <c r="O740" i="8"/>
  <c r="N740" i="8"/>
  <c r="I740" i="8"/>
  <c r="A775" i="8"/>
  <c r="G775" i="7"/>
  <c r="F775" i="7"/>
  <c r="M775" i="7"/>
  <c r="E775" i="7"/>
  <c r="L775" i="7"/>
  <c r="D775" i="7"/>
  <c r="K775" i="7"/>
  <c r="C775" i="7"/>
  <c r="B775" i="7"/>
  <c r="J775" i="7"/>
  <c r="I775" i="7"/>
  <c r="H775" i="7"/>
  <c r="A484" i="8"/>
  <c r="H484" i="7"/>
  <c r="G484" i="7"/>
  <c r="F484" i="7"/>
  <c r="M484" i="7"/>
  <c r="E484" i="7"/>
  <c r="L484" i="7"/>
  <c r="D484" i="7"/>
  <c r="C484" i="7"/>
  <c r="B484" i="7"/>
  <c r="K484" i="7"/>
  <c r="J484" i="7"/>
  <c r="I484" i="7"/>
  <c r="A402" i="8"/>
  <c r="J402" i="7"/>
  <c r="B402" i="7"/>
  <c r="I402" i="7"/>
  <c r="H402" i="7"/>
  <c r="G402" i="7"/>
  <c r="F402" i="7"/>
  <c r="D402" i="7"/>
  <c r="C402" i="7"/>
  <c r="M402" i="7"/>
  <c r="L402" i="7"/>
  <c r="K402" i="7"/>
  <c r="E402" i="7"/>
  <c r="M51" i="8"/>
  <c r="E51" i="8"/>
  <c r="L51" i="8"/>
  <c r="D51" i="8"/>
  <c r="K51" i="8"/>
  <c r="B51" i="8"/>
  <c r="J51" i="8"/>
  <c r="I51" i="8"/>
  <c r="P51" i="8"/>
  <c r="H51" i="8"/>
  <c r="O51" i="8"/>
  <c r="G51" i="8"/>
  <c r="N51" i="8"/>
  <c r="F51" i="8"/>
  <c r="A835" i="8"/>
  <c r="F835" i="7"/>
  <c r="M835" i="7"/>
  <c r="E835" i="7"/>
  <c r="L835" i="7"/>
  <c r="D835" i="7"/>
  <c r="K835" i="7"/>
  <c r="C835" i="7"/>
  <c r="J835" i="7"/>
  <c r="B835" i="7"/>
  <c r="G835" i="7"/>
  <c r="I835" i="7"/>
  <c r="H835" i="7"/>
  <c r="A519" i="8"/>
  <c r="I519" i="7"/>
  <c r="H519" i="7"/>
  <c r="G519" i="7"/>
  <c r="F519" i="7"/>
  <c r="M519" i="7"/>
  <c r="E519" i="7"/>
  <c r="L519" i="7"/>
  <c r="K519" i="7"/>
  <c r="J519" i="7"/>
  <c r="D519" i="7"/>
  <c r="C519" i="7"/>
  <c r="B519" i="7"/>
  <c r="A274" i="8"/>
  <c r="K274" i="7"/>
  <c r="C274" i="7"/>
  <c r="J274" i="7"/>
  <c r="B274" i="7"/>
  <c r="I274" i="7"/>
  <c r="H274" i="7"/>
  <c r="G274" i="7"/>
  <c r="L274" i="7"/>
  <c r="F274" i="7"/>
  <c r="E274" i="7"/>
  <c r="D274" i="7"/>
  <c r="M274" i="7"/>
  <c r="K94" i="8"/>
  <c r="B94" i="8"/>
  <c r="J94" i="8"/>
  <c r="P94" i="8"/>
  <c r="H94" i="8"/>
  <c r="O94" i="8"/>
  <c r="G94" i="8"/>
  <c r="L94" i="8"/>
  <c r="D94" i="8"/>
  <c r="N94" i="8"/>
  <c r="M94" i="8"/>
  <c r="I94" i="8"/>
  <c r="F94" i="8"/>
  <c r="E94" i="8"/>
  <c r="P70" i="8"/>
  <c r="H70" i="8"/>
  <c r="O70" i="8"/>
  <c r="G70" i="8"/>
  <c r="N70" i="8"/>
  <c r="F70" i="8"/>
  <c r="M70" i="8"/>
  <c r="E70" i="8"/>
  <c r="L70" i="8"/>
  <c r="D70" i="8"/>
  <c r="K70" i="8"/>
  <c r="B70" i="8"/>
  <c r="J70" i="8"/>
  <c r="I70" i="8"/>
  <c r="P46" i="8"/>
  <c r="H46" i="8"/>
  <c r="O46" i="8"/>
  <c r="G46" i="8"/>
  <c r="N46" i="8"/>
  <c r="F46" i="8"/>
  <c r="M46" i="8"/>
  <c r="E46" i="8"/>
  <c r="L46" i="8"/>
  <c r="D46" i="8"/>
  <c r="K46" i="8"/>
  <c r="B46" i="8"/>
  <c r="I46" i="8"/>
  <c r="J46" i="8"/>
  <c r="P6" i="8"/>
  <c r="H6" i="8"/>
  <c r="O6" i="8"/>
  <c r="G6" i="8"/>
  <c r="N6" i="8"/>
  <c r="F6" i="8"/>
  <c r="M6" i="8"/>
  <c r="E6" i="8"/>
  <c r="L6" i="8"/>
  <c r="D6" i="8"/>
  <c r="I6" i="8"/>
  <c r="K6" i="8"/>
  <c r="J6" i="8"/>
  <c r="B6" i="8"/>
  <c r="A546" i="8"/>
  <c r="J546" i="7"/>
  <c r="B546" i="7"/>
  <c r="I546" i="7"/>
  <c r="H546" i="7"/>
  <c r="G546" i="7"/>
  <c r="F546" i="7"/>
  <c r="K546" i="7"/>
  <c r="E546" i="7"/>
  <c r="D546" i="7"/>
  <c r="C546" i="7"/>
  <c r="M546" i="7"/>
  <c r="L546" i="7"/>
  <c r="A228" i="8"/>
  <c r="I228" i="7"/>
  <c r="H228" i="7"/>
  <c r="G228" i="7"/>
  <c r="F228" i="7"/>
  <c r="M228" i="7"/>
  <c r="E228" i="7"/>
  <c r="K228" i="7"/>
  <c r="J228" i="7"/>
  <c r="D228" i="7"/>
  <c r="C228" i="7"/>
  <c r="B228" i="7"/>
  <c r="L228" i="7"/>
  <c r="A164" i="8"/>
  <c r="I164" i="7"/>
  <c r="H164" i="7"/>
  <c r="G164" i="7"/>
  <c r="F164" i="7"/>
  <c r="M164" i="7"/>
  <c r="E164" i="7"/>
  <c r="K164" i="7"/>
  <c r="J164" i="7"/>
  <c r="D164" i="7"/>
  <c r="C164" i="7"/>
  <c r="B164" i="7"/>
  <c r="L164" i="7"/>
  <c r="K57" i="8"/>
  <c r="B57" i="8"/>
  <c r="J57" i="8"/>
  <c r="I57" i="8"/>
  <c r="P57" i="8"/>
  <c r="H57" i="8"/>
  <c r="O57" i="8"/>
  <c r="G57" i="8"/>
  <c r="N57" i="8"/>
  <c r="F57" i="8"/>
  <c r="M57" i="8"/>
  <c r="E57" i="8"/>
  <c r="L57" i="8"/>
  <c r="D57" i="8"/>
  <c r="K17" i="8"/>
  <c r="B17" i="8"/>
  <c r="J17" i="8"/>
  <c r="I17" i="8"/>
  <c r="P17" i="8"/>
  <c r="H17" i="8"/>
  <c r="O17" i="8"/>
  <c r="G17" i="8"/>
  <c r="N17" i="8"/>
  <c r="F17" i="8"/>
  <c r="L17" i="8"/>
  <c r="D17" i="8"/>
  <c r="M17" i="8"/>
  <c r="E17" i="8"/>
  <c r="K9" i="8"/>
  <c r="B9" i="8"/>
  <c r="J9" i="8"/>
  <c r="I9" i="8"/>
  <c r="P9" i="8"/>
  <c r="H9" i="8"/>
  <c r="O9" i="8"/>
  <c r="G9" i="8"/>
  <c r="L9" i="8"/>
  <c r="D9" i="8"/>
  <c r="E9" i="8"/>
  <c r="N9" i="8"/>
  <c r="M9" i="8"/>
  <c r="F9" i="8"/>
  <c r="A631" i="8"/>
  <c r="I631" i="7"/>
  <c r="H631" i="7"/>
  <c r="G631" i="7"/>
  <c r="F631" i="7"/>
  <c r="M631" i="7"/>
  <c r="E631" i="7"/>
  <c r="L631" i="7"/>
  <c r="K631" i="7"/>
  <c r="J631" i="7"/>
  <c r="D631" i="7"/>
  <c r="C631" i="7"/>
  <c r="B631" i="7"/>
  <c r="A391" i="8"/>
  <c r="I391" i="7"/>
  <c r="H391" i="7"/>
  <c r="G391" i="7"/>
  <c r="F391" i="7"/>
  <c r="M391" i="7"/>
  <c r="E391" i="7"/>
  <c r="L391" i="7"/>
  <c r="K391" i="7"/>
  <c r="J391" i="7"/>
  <c r="C391" i="7"/>
  <c r="B391" i="7"/>
  <c r="D391" i="7"/>
  <c r="I76" i="8"/>
  <c r="P76" i="8"/>
  <c r="H76" i="8"/>
  <c r="N76" i="8"/>
  <c r="F76" i="8"/>
  <c r="M76" i="8"/>
  <c r="E76" i="8"/>
  <c r="J76" i="8"/>
  <c r="G76" i="8"/>
  <c r="D76" i="8"/>
  <c r="B76" i="8"/>
  <c r="O76" i="8"/>
  <c r="L76" i="8"/>
  <c r="K76" i="8"/>
  <c r="A567" i="8"/>
  <c r="I567" i="7"/>
  <c r="H567" i="7"/>
  <c r="G567" i="7"/>
  <c r="F567" i="7"/>
  <c r="M567" i="7"/>
  <c r="E567" i="7"/>
  <c r="L567" i="7"/>
  <c r="K567" i="7"/>
  <c r="J567" i="7"/>
  <c r="D567" i="7"/>
  <c r="C567" i="7"/>
  <c r="B567" i="7"/>
  <c r="A474" i="8"/>
  <c r="J474" i="7"/>
  <c r="B474" i="7"/>
  <c r="I474" i="7"/>
  <c r="H474" i="7"/>
  <c r="G474" i="7"/>
  <c r="F474" i="7"/>
  <c r="E474" i="7"/>
  <c r="D474" i="7"/>
  <c r="C474" i="7"/>
  <c r="K474" i="7"/>
  <c r="L474" i="7"/>
  <c r="M474" i="7"/>
  <c r="A412" i="8"/>
  <c r="H412" i="7"/>
  <c r="G412" i="7"/>
  <c r="F412" i="7"/>
  <c r="M412" i="7"/>
  <c r="E412" i="7"/>
  <c r="L412" i="7"/>
  <c r="D412" i="7"/>
  <c r="B412" i="7"/>
  <c r="K412" i="7"/>
  <c r="J412" i="7"/>
  <c r="I412" i="7"/>
  <c r="C412" i="7"/>
  <c r="A116" i="8"/>
  <c r="I116" i="7"/>
  <c r="G116" i="7"/>
  <c r="F116" i="7"/>
  <c r="M116" i="7"/>
  <c r="E116" i="7"/>
  <c r="K116" i="7"/>
  <c r="J116" i="7"/>
  <c r="H116" i="7"/>
  <c r="D116" i="7"/>
  <c r="C116" i="7"/>
  <c r="B116" i="7"/>
  <c r="L116" i="7"/>
  <c r="L87" i="8"/>
  <c r="D87" i="8"/>
  <c r="K87" i="8"/>
  <c r="B87" i="8"/>
  <c r="I87" i="8"/>
  <c r="P87" i="8"/>
  <c r="H87" i="8"/>
  <c r="M87" i="8"/>
  <c r="E87" i="8"/>
  <c r="N87" i="8"/>
  <c r="J87" i="8"/>
  <c r="G87" i="8"/>
  <c r="F87" i="8"/>
  <c r="O87" i="8"/>
  <c r="I31" i="8"/>
  <c r="P31" i="8"/>
  <c r="H31" i="8"/>
  <c r="O31" i="8"/>
  <c r="G31" i="8"/>
  <c r="N31" i="8"/>
  <c r="F31" i="8"/>
  <c r="M31" i="8"/>
  <c r="E31" i="8"/>
  <c r="L31" i="8"/>
  <c r="D31" i="8"/>
  <c r="J31" i="8"/>
  <c r="B31" i="8"/>
  <c r="K31" i="8"/>
  <c r="A886" i="8"/>
  <c r="G886" i="7"/>
  <c r="F886" i="7"/>
  <c r="M886" i="7"/>
  <c r="E886" i="7"/>
  <c r="L886" i="7"/>
  <c r="D886" i="7"/>
  <c r="K886" i="7"/>
  <c r="C886" i="7"/>
  <c r="B886" i="7"/>
  <c r="I886" i="7"/>
  <c r="H886" i="7"/>
  <c r="J886" i="7"/>
  <c r="A647" i="8"/>
  <c r="I647" i="7"/>
  <c r="H647" i="7"/>
  <c r="G647" i="7"/>
  <c r="F647" i="7"/>
  <c r="M647" i="7"/>
  <c r="E647" i="7"/>
  <c r="L647" i="7"/>
  <c r="K647" i="7"/>
  <c r="J647" i="7"/>
  <c r="D647" i="7"/>
  <c r="C647" i="7"/>
  <c r="B647" i="7"/>
  <c r="A375" i="8"/>
  <c r="I375" i="7"/>
  <c r="H375" i="7"/>
  <c r="G375" i="7"/>
  <c r="F375" i="7"/>
  <c r="M375" i="7"/>
  <c r="E375" i="7"/>
  <c r="L375" i="7"/>
  <c r="K375" i="7"/>
  <c r="J375" i="7"/>
  <c r="D375" i="7"/>
  <c r="C375" i="7"/>
  <c r="B375" i="7"/>
  <c r="A265" i="8"/>
  <c r="H265" i="7"/>
  <c r="G265" i="7"/>
  <c r="F265" i="7"/>
  <c r="M265" i="7"/>
  <c r="E265" i="7"/>
  <c r="L265" i="7"/>
  <c r="D265" i="7"/>
  <c r="K265" i="7"/>
  <c r="J265" i="7"/>
  <c r="B265" i="7"/>
  <c r="C265" i="7"/>
  <c r="I265" i="7"/>
  <c r="A260" i="8"/>
  <c r="I260" i="7"/>
  <c r="H260" i="7"/>
  <c r="G260" i="7"/>
  <c r="F260" i="7"/>
  <c r="M260" i="7"/>
  <c r="E260" i="7"/>
  <c r="B260" i="7"/>
  <c r="L260" i="7"/>
  <c r="K260" i="7"/>
  <c r="D260" i="7"/>
  <c r="C260" i="7"/>
  <c r="J260" i="7"/>
  <c r="A255" i="8"/>
  <c r="J255" i="7"/>
  <c r="B255" i="7"/>
  <c r="I255" i="7"/>
  <c r="H255" i="7"/>
  <c r="G255" i="7"/>
  <c r="F255" i="7"/>
  <c r="C255" i="7"/>
  <c r="M255" i="7"/>
  <c r="L255" i="7"/>
  <c r="K255" i="7"/>
  <c r="E255" i="7"/>
  <c r="D255" i="7"/>
  <c r="A234" i="8"/>
  <c r="K234" i="7"/>
  <c r="C234" i="7"/>
  <c r="J234" i="7"/>
  <c r="B234" i="7"/>
  <c r="I234" i="7"/>
  <c r="H234" i="7"/>
  <c r="G234" i="7"/>
  <c r="M234" i="7"/>
  <c r="L234" i="7"/>
  <c r="F234" i="7"/>
  <c r="D234" i="7"/>
  <c r="E234" i="7"/>
  <c r="A224" i="8"/>
  <c r="M224" i="7"/>
  <c r="E224" i="7"/>
  <c r="L224" i="7"/>
  <c r="D224" i="7"/>
  <c r="K224" i="7"/>
  <c r="C224" i="7"/>
  <c r="J224" i="7"/>
  <c r="B224" i="7"/>
  <c r="I224" i="7"/>
  <c r="H224" i="7"/>
  <c r="G224" i="7"/>
  <c r="F224" i="7"/>
  <c r="A215" i="8"/>
  <c r="J215" i="7"/>
  <c r="B215" i="7"/>
  <c r="I215" i="7"/>
  <c r="H215" i="7"/>
  <c r="G215" i="7"/>
  <c r="F215" i="7"/>
  <c r="K215" i="7"/>
  <c r="E215" i="7"/>
  <c r="D215" i="7"/>
  <c r="C215" i="7"/>
  <c r="M215" i="7"/>
  <c r="L215" i="7"/>
  <c r="A202" i="8"/>
  <c r="K202" i="7"/>
  <c r="C202" i="7"/>
  <c r="J202" i="7"/>
  <c r="B202" i="7"/>
  <c r="I202" i="7"/>
  <c r="H202" i="7"/>
  <c r="G202" i="7"/>
  <c r="F202" i="7"/>
  <c r="E202" i="7"/>
  <c r="D202" i="7"/>
  <c r="M202" i="7"/>
  <c r="L202" i="7"/>
  <c r="A192" i="8"/>
  <c r="M192" i="7"/>
  <c r="E192" i="7"/>
  <c r="L192" i="7"/>
  <c r="D192" i="7"/>
  <c r="K192" i="7"/>
  <c r="C192" i="7"/>
  <c r="J192" i="7"/>
  <c r="B192" i="7"/>
  <c r="I192" i="7"/>
  <c r="H192" i="7"/>
  <c r="G192" i="7"/>
  <c r="F192" i="7"/>
  <c r="A122" i="8"/>
  <c r="K122" i="7"/>
  <c r="C122" i="7"/>
  <c r="I122" i="7"/>
  <c r="H122" i="7"/>
  <c r="G122" i="7"/>
  <c r="M122" i="7"/>
  <c r="L122" i="7"/>
  <c r="J122" i="7"/>
  <c r="F122" i="7"/>
  <c r="E122" i="7"/>
  <c r="D122" i="7"/>
  <c r="B122" i="7"/>
  <c r="J64" i="8"/>
  <c r="I64" i="8"/>
  <c r="P64" i="8"/>
  <c r="H64" i="8"/>
  <c r="O64" i="8"/>
  <c r="G64" i="8"/>
  <c r="N64" i="8"/>
  <c r="F64" i="8"/>
  <c r="M64" i="8"/>
  <c r="E64" i="8"/>
  <c r="L64" i="8"/>
  <c r="D64" i="8"/>
  <c r="K64" i="8"/>
  <c r="B64" i="8"/>
  <c r="J32" i="8"/>
  <c r="I32" i="8"/>
  <c r="P32" i="8"/>
  <c r="H32" i="8"/>
  <c r="O32" i="8"/>
  <c r="G32" i="8"/>
  <c r="N32" i="8"/>
  <c r="F32" i="8"/>
  <c r="M32" i="8"/>
  <c r="E32" i="8"/>
  <c r="K32" i="8"/>
  <c r="B32" i="8"/>
  <c r="L32" i="8"/>
  <c r="D32" i="8"/>
  <c r="A746" i="8"/>
  <c r="H746" i="7"/>
  <c r="G746" i="7"/>
  <c r="F746" i="7"/>
  <c r="M746" i="7"/>
  <c r="E746" i="7"/>
  <c r="L746" i="7"/>
  <c r="D746" i="7"/>
  <c r="K746" i="7"/>
  <c r="J746" i="7"/>
  <c r="I746" i="7"/>
  <c r="C746" i="7"/>
  <c r="B746" i="7"/>
  <c r="A85" i="8"/>
  <c r="L85" i="7"/>
  <c r="D85" i="7"/>
  <c r="J85" i="7"/>
  <c r="B85" i="7"/>
  <c r="I85" i="7"/>
  <c r="H85" i="7"/>
  <c r="M85" i="7"/>
  <c r="K85" i="7"/>
  <c r="G85" i="7"/>
  <c r="F85" i="7"/>
  <c r="E85" i="7"/>
  <c r="C85" i="7"/>
  <c r="A21" i="8"/>
  <c r="I21" i="7"/>
  <c r="H21" i="7"/>
  <c r="G21" i="7"/>
  <c r="F21" i="7"/>
  <c r="M21" i="7"/>
  <c r="E21" i="7"/>
  <c r="L21" i="7"/>
  <c r="K21" i="7"/>
  <c r="J21" i="7"/>
  <c r="D21" i="7"/>
  <c r="C21" i="7"/>
  <c r="B21" i="7"/>
  <c r="A129" i="8"/>
  <c r="H129" i="7"/>
  <c r="F129" i="7"/>
  <c r="M129" i="7"/>
  <c r="E129" i="7"/>
  <c r="L129" i="7"/>
  <c r="D129" i="7"/>
  <c r="B129" i="7"/>
  <c r="K129" i="7"/>
  <c r="J129" i="7"/>
  <c r="G129" i="7"/>
  <c r="C129" i="7"/>
  <c r="I129" i="7"/>
  <c r="A839" i="8"/>
  <c r="J839" i="7"/>
  <c r="B839" i="7"/>
  <c r="I839" i="7"/>
  <c r="H839" i="7"/>
  <c r="G839" i="7"/>
  <c r="F839" i="7"/>
  <c r="M839" i="7"/>
  <c r="L839" i="7"/>
  <c r="K839" i="7"/>
  <c r="E839" i="7"/>
  <c r="C839" i="7"/>
  <c r="D839" i="7"/>
  <c r="A185" i="8"/>
  <c r="H185" i="7"/>
  <c r="G185" i="7"/>
  <c r="F185" i="7"/>
  <c r="M185" i="7"/>
  <c r="E185" i="7"/>
  <c r="L185" i="7"/>
  <c r="D185" i="7"/>
  <c r="K185" i="7"/>
  <c r="J185" i="7"/>
  <c r="I185" i="7"/>
  <c r="C185" i="7"/>
  <c r="B185" i="7"/>
  <c r="A45" i="8"/>
  <c r="I45" i="7"/>
  <c r="H45" i="7"/>
  <c r="G45" i="7"/>
  <c r="F45" i="7"/>
  <c r="M45" i="7"/>
  <c r="E45" i="7"/>
  <c r="B45" i="7"/>
  <c r="L45" i="7"/>
  <c r="K45" i="7"/>
  <c r="J45" i="7"/>
  <c r="D45" i="7"/>
  <c r="C45" i="7"/>
  <c r="A612" i="8"/>
  <c r="H612" i="7"/>
  <c r="G612" i="7"/>
  <c r="F612" i="7"/>
  <c r="M612" i="7"/>
  <c r="E612" i="7"/>
  <c r="L612" i="7"/>
  <c r="D612" i="7"/>
  <c r="C612" i="7"/>
  <c r="B612" i="7"/>
  <c r="K612" i="7"/>
  <c r="J612" i="7"/>
  <c r="I612" i="7"/>
  <c r="A177" i="8"/>
  <c r="H177" i="7"/>
  <c r="G177" i="7"/>
  <c r="F177" i="7"/>
  <c r="M177" i="7"/>
  <c r="E177" i="7"/>
  <c r="L177" i="7"/>
  <c r="D177" i="7"/>
  <c r="K177" i="7"/>
  <c r="J177" i="7"/>
  <c r="I177" i="7"/>
  <c r="C177" i="7"/>
  <c r="B177" i="7"/>
  <c r="A61" i="8"/>
  <c r="I61" i="7"/>
  <c r="H61" i="7"/>
  <c r="G61" i="7"/>
  <c r="F61" i="7"/>
  <c r="M61" i="7"/>
  <c r="E61" i="7"/>
  <c r="D61" i="7"/>
  <c r="C61" i="7"/>
  <c r="B61" i="7"/>
  <c r="L61" i="7"/>
  <c r="K61" i="7"/>
  <c r="J61" i="7"/>
  <c r="A498" i="8"/>
  <c r="J498" i="7"/>
  <c r="B498" i="7"/>
  <c r="I498" i="7"/>
  <c r="H498" i="7"/>
  <c r="G498" i="7"/>
  <c r="F498" i="7"/>
  <c r="M498" i="7"/>
  <c r="L498" i="7"/>
  <c r="K498" i="7"/>
  <c r="E498" i="7"/>
  <c r="D498" i="7"/>
  <c r="C498" i="7"/>
  <c r="A106" i="8"/>
  <c r="K106" i="7"/>
  <c r="C106" i="7"/>
  <c r="I106" i="7"/>
  <c r="H106" i="7"/>
  <c r="G106" i="7"/>
  <c r="M106" i="7"/>
  <c r="L106" i="7"/>
  <c r="J106" i="7"/>
  <c r="F106" i="7"/>
  <c r="E106" i="7"/>
  <c r="D106" i="7"/>
  <c r="B106" i="7"/>
  <c r="K211" i="8"/>
  <c r="B211" i="8"/>
  <c r="O211" i="8"/>
  <c r="G211" i="8"/>
  <c r="N211" i="8"/>
  <c r="D211" i="8"/>
  <c r="M211" i="8"/>
  <c r="J211" i="8"/>
  <c r="I211" i="8"/>
  <c r="P211" i="8"/>
  <c r="E211" i="8"/>
  <c r="L211" i="8"/>
  <c r="H211" i="8"/>
  <c r="F211" i="8"/>
  <c r="P852" i="8"/>
  <c r="H852" i="8"/>
  <c r="N852" i="8"/>
  <c r="F852" i="8"/>
  <c r="I852" i="8"/>
  <c r="G852" i="8"/>
  <c r="E852" i="8"/>
  <c r="O852" i="8"/>
  <c r="D852" i="8"/>
  <c r="M852" i="8"/>
  <c r="L852" i="8"/>
  <c r="J852" i="8"/>
  <c r="B852" i="8"/>
  <c r="K852" i="8"/>
  <c r="M984" i="8"/>
  <c r="E984" i="8"/>
  <c r="I984" i="8"/>
  <c r="H984" i="8"/>
  <c r="P984" i="8"/>
  <c r="G984" i="8"/>
  <c r="O984" i="8"/>
  <c r="F984" i="8"/>
  <c r="N984" i="8"/>
  <c r="L984" i="8"/>
  <c r="K984" i="8"/>
  <c r="J984" i="8"/>
  <c r="D984" i="8"/>
  <c r="B984" i="8"/>
  <c r="L536" i="8"/>
  <c r="D536" i="8"/>
  <c r="K536" i="8"/>
  <c r="B536" i="8"/>
  <c r="J536" i="8"/>
  <c r="I536" i="8"/>
  <c r="P536" i="8"/>
  <c r="H536" i="8"/>
  <c r="N536" i="8"/>
  <c r="M536" i="8"/>
  <c r="G536" i="8"/>
  <c r="F536" i="8"/>
  <c r="E536" i="8"/>
  <c r="O536" i="8"/>
  <c r="L787" i="8"/>
  <c r="D787" i="8"/>
  <c r="K787" i="8"/>
  <c r="B787" i="8"/>
  <c r="I787" i="8"/>
  <c r="G787" i="8"/>
  <c r="F787" i="8"/>
  <c r="P787" i="8"/>
  <c r="E787" i="8"/>
  <c r="O787" i="8"/>
  <c r="N787" i="8"/>
  <c r="M787" i="8"/>
  <c r="J787" i="8"/>
  <c r="H787" i="8"/>
  <c r="A399" i="8"/>
  <c r="I399" i="7"/>
  <c r="H399" i="7"/>
  <c r="G399" i="7"/>
  <c r="F399" i="7"/>
  <c r="M399" i="7"/>
  <c r="E399" i="7"/>
  <c r="B399" i="7"/>
  <c r="L399" i="7"/>
  <c r="K399" i="7"/>
  <c r="J399" i="7"/>
  <c r="D399" i="7"/>
  <c r="C399" i="7"/>
  <c r="I797" i="8"/>
  <c r="P797" i="8"/>
  <c r="H797" i="8"/>
  <c r="O797" i="8"/>
  <c r="G797" i="8"/>
  <c r="J797" i="8"/>
  <c r="F797" i="8"/>
  <c r="D797" i="8"/>
  <c r="N797" i="8"/>
  <c r="B797" i="8"/>
  <c r="K797" i="8"/>
  <c r="M797" i="8"/>
  <c r="L797" i="8"/>
  <c r="E797" i="8"/>
  <c r="I661" i="8"/>
  <c r="P661" i="8"/>
  <c r="H661" i="8"/>
  <c r="O661" i="8"/>
  <c r="G661" i="8"/>
  <c r="N661" i="8"/>
  <c r="F661" i="8"/>
  <c r="M661" i="8"/>
  <c r="E661" i="8"/>
  <c r="L661" i="8"/>
  <c r="K661" i="8"/>
  <c r="J661" i="8"/>
  <c r="D661" i="8"/>
  <c r="B661" i="8"/>
  <c r="I573" i="8"/>
  <c r="P573" i="8"/>
  <c r="H573" i="8"/>
  <c r="O573" i="8"/>
  <c r="G573" i="8"/>
  <c r="N573" i="8"/>
  <c r="F573" i="8"/>
  <c r="M573" i="8"/>
  <c r="E573" i="8"/>
  <c r="L573" i="8"/>
  <c r="K573" i="8"/>
  <c r="J573" i="8"/>
  <c r="D573" i="8"/>
  <c r="B573" i="8"/>
  <c r="I501" i="8"/>
  <c r="P501" i="8"/>
  <c r="H501" i="8"/>
  <c r="O501" i="8"/>
  <c r="G501" i="8"/>
  <c r="N501" i="8"/>
  <c r="F501" i="8"/>
  <c r="M501" i="8"/>
  <c r="E501" i="8"/>
  <c r="D501" i="8"/>
  <c r="B501" i="8"/>
  <c r="J501" i="8"/>
  <c r="K501" i="8"/>
  <c r="L501" i="8"/>
  <c r="I784" i="8"/>
  <c r="P784" i="8"/>
  <c r="H784" i="8"/>
  <c r="N784" i="8"/>
  <c r="F784" i="8"/>
  <c r="M784" i="8"/>
  <c r="L784" i="8"/>
  <c r="K784" i="8"/>
  <c r="J784" i="8"/>
  <c r="G784" i="8"/>
  <c r="O784" i="8"/>
  <c r="E784" i="8"/>
  <c r="D784" i="8"/>
  <c r="B784" i="8"/>
  <c r="I752" i="8"/>
  <c r="P752" i="8"/>
  <c r="H752" i="8"/>
  <c r="O752" i="8"/>
  <c r="G752" i="8"/>
  <c r="N752" i="8"/>
  <c r="F752" i="8"/>
  <c r="D752" i="8"/>
  <c r="B752" i="8"/>
  <c r="M752" i="8"/>
  <c r="L752" i="8"/>
  <c r="J752" i="8"/>
  <c r="E752" i="8"/>
  <c r="K752" i="8"/>
  <c r="A987" i="8"/>
  <c r="F987" i="7"/>
  <c r="M987" i="7"/>
  <c r="E987" i="7"/>
  <c r="L987" i="7"/>
  <c r="D987" i="7"/>
  <c r="K987" i="7"/>
  <c r="C987" i="7"/>
  <c r="J987" i="7"/>
  <c r="B987" i="7"/>
  <c r="I987" i="7"/>
  <c r="H987" i="7"/>
  <c r="G987" i="7"/>
  <c r="A891" i="8"/>
  <c r="F891" i="7"/>
  <c r="M891" i="7"/>
  <c r="E891" i="7"/>
  <c r="L891" i="7"/>
  <c r="D891" i="7"/>
  <c r="K891" i="7"/>
  <c r="C891" i="7"/>
  <c r="J891" i="7"/>
  <c r="B891" i="7"/>
  <c r="G891" i="7"/>
  <c r="I891" i="7"/>
  <c r="H891" i="7"/>
  <c r="O635" i="8"/>
  <c r="G635" i="8"/>
  <c r="N635" i="8"/>
  <c r="F635" i="8"/>
  <c r="M635" i="8"/>
  <c r="E635" i="8"/>
  <c r="L635" i="8"/>
  <c r="D635" i="8"/>
  <c r="K635" i="8"/>
  <c r="B635" i="8"/>
  <c r="P635" i="8"/>
  <c r="J635" i="8"/>
  <c r="I635" i="8"/>
  <c r="H635" i="8"/>
  <c r="O539" i="8"/>
  <c r="G539" i="8"/>
  <c r="N539" i="8"/>
  <c r="F539" i="8"/>
  <c r="M539" i="8"/>
  <c r="E539" i="8"/>
  <c r="L539" i="8"/>
  <c r="D539" i="8"/>
  <c r="K539" i="8"/>
  <c r="B539" i="8"/>
  <c r="J539" i="8"/>
  <c r="I539" i="8"/>
  <c r="H539" i="8"/>
  <c r="P539" i="8"/>
  <c r="P331" i="8"/>
  <c r="H331" i="8"/>
  <c r="O331" i="8"/>
  <c r="G331" i="8"/>
  <c r="M331" i="8"/>
  <c r="E331" i="8"/>
  <c r="L331" i="8"/>
  <c r="D331" i="8"/>
  <c r="K331" i="8"/>
  <c r="B331" i="8"/>
  <c r="N331" i="8"/>
  <c r="F331" i="8"/>
  <c r="J331" i="8"/>
  <c r="I331" i="8"/>
  <c r="A870" i="8"/>
  <c r="G870" i="7"/>
  <c r="F870" i="7"/>
  <c r="M870" i="7"/>
  <c r="E870" i="7"/>
  <c r="L870" i="7"/>
  <c r="D870" i="7"/>
  <c r="K870" i="7"/>
  <c r="C870" i="7"/>
  <c r="J870" i="7"/>
  <c r="I870" i="7"/>
  <c r="H870" i="7"/>
  <c r="B870" i="7"/>
  <c r="A847" i="8"/>
  <c r="J847" i="7"/>
  <c r="B847" i="7"/>
  <c r="I847" i="7"/>
  <c r="H847" i="7"/>
  <c r="G847" i="7"/>
  <c r="F847" i="7"/>
  <c r="M847" i="7"/>
  <c r="L847" i="7"/>
  <c r="K847" i="7"/>
  <c r="D847" i="7"/>
  <c r="C847" i="7"/>
  <c r="E847" i="7"/>
  <c r="O750" i="8"/>
  <c r="G750" i="8"/>
  <c r="N750" i="8"/>
  <c r="F750" i="8"/>
  <c r="M750" i="8"/>
  <c r="E750" i="8"/>
  <c r="L750" i="8"/>
  <c r="D750" i="8"/>
  <c r="P750" i="8"/>
  <c r="K750" i="8"/>
  <c r="J750" i="8"/>
  <c r="I750" i="8"/>
  <c r="H750" i="8"/>
  <c r="B750" i="8"/>
  <c r="K702" i="8"/>
  <c r="B702" i="8"/>
  <c r="J702" i="8"/>
  <c r="I702" i="8"/>
  <c r="P702" i="8"/>
  <c r="H702" i="8"/>
  <c r="O702" i="8"/>
  <c r="G702" i="8"/>
  <c r="N702" i="8"/>
  <c r="M702" i="8"/>
  <c r="L702" i="8"/>
  <c r="F702" i="8"/>
  <c r="E702" i="8"/>
  <c r="D702" i="8"/>
  <c r="K678" i="8"/>
  <c r="B678" i="8"/>
  <c r="J678" i="8"/>
  <c r="I678" i="8"/>
  <c r="P678" i="8"/>
  <c r="H678" i="8"/>
  <c r="O678" i="8"/>
  <c r="G678" i="8"/>
  <c r="N678" i="8"/>
  <c r="M678" i="8"/>
  <c r="L678" i="8"/>
  <c r="F678" i="8"/>
  <c r="E678" i="8"/>
  <c r="D678" i="8"/>
  <c r="J630" i="8"/>
  <c r="I630" i="8"/>
  <c r="P630" i="8"/>
  <c r="H630" i="8"/>
  <c r="O630" i="8"/>
  <c r="G630" i="8"/>
  <c r="N630" i="8"/>
  <c r="F630" i="8"/>
  <c r="K630" i="8"/>
  <c r="E630" i="8"/>
  <c r="D630" i="8"/>
  <c r="B630" i="8"/>
  <c r="M630" i="8"/>
  <c r="L630" i="8"/>
  <c r="J534" i="8"/>
  <c r="I534" i="8"/>
  <c r="P534" i="8"/>
  <c r="H534" i="8"/>
  <c r="O534" i="8"/>
  <c r="G534" i="8"/>
  <c r="N534" i="8"/>
  <c r="F534" i="8"/>
  <c r="B534" i="8"/>
  <c r="M534" i="8"/>
  <c r="L534" i="8"/>
  <c r="K534" i="8"/>
  <c r="E534" i="8"/>
  <c r="D534" i="8"/>
  <c r="K342" i="8"/>
  <c r="B342" i="8"/>
  <c r="J342" i="8"/>
  <c r="P342" i="8"/>
  <c r="H342" i="8"/>
  <c r="O342" i="8"/>
  <c r="G342" i="8"/>
  <c r="N342" i="8"/>
  <c r="F342" i="8"/>
  <c r="I342" i="8"/>
  <c r="E342" i="8"/>
  <c r="L342" i="8"/>
  <c r="D342" i="8"/>
  <c r="M342" i="8"/>
  <c r="K302" i="8"/>
  <c r="B302" i="8"/>
  <c r="J302" i="8"/>
  <c r="P302" i="8"/>
  <c r="H302" i="8"/>
  <c r="O302" i="8"/>
  <c r="G302" i="8"/>
  <c r="I302" i="8"/>
  <c r="F302" i="8"/>
  <c r="L302" i="8"/>
  <c r="N302" i="8"/>
  <c r="E302" i="8"/>
  <c r="D302" i="8"/>
  <c r="M302" i="8"/>
  <c r="K126" i="8"/>
  <c r="B126" i="8"/>
  <c r="J126" i="8"/>
  <c r="P126" i="8"/>
  <c r="H126" i="8"/>
  <c r="O126" i="8"/>
  <c r="G126" i="8"/>
  <c r="L126" i="8"/>
  <c r="D126" i="8"/>
  <c r="E126" i="8"/>
  <c r="N126" i="8"/>
  <c r="M126" i="8"/>
  <c r="I126" i="8"/>
  <c r="F126" i="8"/>
  <c r="A550" i="8"/>
  <c r="F550" i="7"/>
  <c r="M550" i="7"/>
  <c r="E550" i="7"/>
  <c r="L550" i="7"/>
  <c r="D550" i="7"/>
  <c r="K550" i="7"/>
  <c r="C550" i="7"/>
  <c r="J550" i="7"/>
  <c r="B550" i="7"/>
  <c r="I550" i="7"/>
  <c r="H550" i="7"/>
  <c r="G550" i="7"/>
  <c r="A219" i="8"/>
  <c r="F219" i="7"/>
  <c r="M219" i="7"/>
  <c r="E219" i="7"/>
  <c r="L219" i="7"/>
  <c r="D219" i="7"/>
  <c r="K219" i="7"/>
  <c r="C219" i="7"/>
  <c r="J219" i="7"/>
  <c r="B219" i="7"/>
  <c r="I219" i="7"/>
  <c r="H219" i="7"/>
  <c r="G219" i="7"/>
  <c r="J721" i="8"/>
  <c r="I721" i="8"/>
  <c r="P721" i="8"/>
  <c r="H721" i="8"/>
  <c r="O721" i="8"/>
  <c r="G721" i="8"/>
  <c r="E721" i="8"/>
  <c r="D721" i="8"/>
  <c r="B721" i="8"/>
  <c r="N721" i="8"/>
  <c r="M721" i="8"/>
  <c r="F721" i="8"/>
  <c r="L721" i="8"/>
  <c r="K721" i="8"/>
  <c r="J713" i="8"/>
  <c r="I713" i="8"/>
  <c r="P713" i="8"/>
  <c r="H713" i="8"/>
  <c r="O713" i="8"/>
  <c r="G713" i="8"/>
  <c r="M713" i="8"/>
  <c r="L713" i="8"/>
  <c r="K713" i="8"/>
  <c r="F713" i="8"/>
  <c r="E713" i="8"/>
  <c r="N713" i="8"/>
  <c r="D713" i="8"/>
  <c r="B713" i="8"/>
  <c r="N705" i="8"/>
  <c r="F705" i="8"/>
  <c r="M705" i="8"/>
  <c r="E705" i="8"/>
  <c r="L705" i="8"/>
  <c r="D705" i="8"/>
  <c r="K705" i="8"/>
  <c r="B705" i="8"/>
  <c r="J705" i="8"/>
  <c r="P705" i="8"/>
  <c r="O705" i="8"/>
  <c r="I705" i="8"/>
  <c r="H705" i="8"/>
  <c r="G705" i="8"/>
  <c r="N697" i="8"/>
  <c r="F697" i="8"/>
  <c r="M697" i="8"/>
  <c r="E697" i="8"/>
  <c r="L697" i="8"/>
  <c r="D697" i="8"/>
  <c r="K697" i="8"/>
  <c r="B697" i="8"/>
  <c r="J697" i="8"/>
  <c r="H697" i="8"/>
  <c r="G697" i="8"/>
  <c r="P697" i="8"/>
  <c r="O697" i="8"/>
  <c r="I697" i="8"/>
  <c r="N689" i="8"/>
  <c r="F689" i="8"/>
  <c r="M689" i="8"/>
  <c r="E689" i="8"/>
  <c r="L689" i="8"/>
  <c r="D689" i="8"/>
  <c r="K689" i="8"/>
  <c r="B689" i="8"/>
  <c r="J689" i="8"/>
  <c r="P689" i="8"/>
  <c r="O689" i="8"/>
  <c r="I689" i="8"/>
  <c r="H689" i="8"/>
  <c r="G689" i="8"/>
  <c r="M617" i="8"/>
  <c r="E617" i="8"/>
  <c r="L617" i="8"/>
  <c r="D617" i="8"/>
  <c r="K617" i="8"/>
  <c r="B617" i="8"/>
  <c r="J617" i="8"/>
  <c r="I617" i="8"/>
  <c r="N617" i="8"/>
  <c r="H617" i="8"/>
  <c r="G617" i="8"/>
  <c r="F617" i="8"/>
  <c r="P617" i="8"/>
  <c r="O617" i="8"/>
  <c r="K449" i="8"/>
  <c r="B449" i="8"/>
  <c r="J449" i="8"/>
  <c r="I449" i="8"/>
  <c r="P449" i="8"/>
  <c r="H449" i="8"/>
  <c r="O449" i="8"/>
  <c r="G449" i="8"/>
  <c r="M449" i="8"/>
  <c r="L449" i="8"/>
  <c r="E449" i="8"/>
  <c r="D449" i="8"/>
  <c r="F449" i="8"/>
  <c r="N449" i="8"/>
  <c r="K385" i="8"/>
  <c r="B385" i="8"/>
  <c r="J385" i="8"/>
  <c r="I385" i="8"/>
  <c r="P385" i="8"/>
  <c r="H385" i="8"/>
  <c r="O385" i="8"/>
  <c r="G385" i="8"/>
  <c r="M385" i="8"/>
  <c r="L385" i="8"/>
  <c r="E385" i="8"/>
  <c r="D385" i="8"/>
  <c r="N385" i="8"/>
  <c r="F385" i="8"/>
  <c r="M664" i="8"/>
  <c r="E664" i="8"/>
  <c r="L664" i="8"/>
  <c r="D664" i="8"/>
  <c r="K664" i="8"/>
  <c r="B664" i="8"/>
  <c r="J664" i="8"/>
  <c r="I664" i="8"/>
  <c r="H664" i="8"/>
  <c r="G664" i="8"/>
  <c r="F664" i="8"/>
  <c r="P664" i="8"/>
  <c r="O664" i="8"/>
  <c r="N664" i="8"/>
  <c r="P788" i="8"/>
  <c r="H788" i="8"/>
  <c r="O788" i="8"/>
  <c r="G788" i="8"/>
  <c r="E788" i="8"/>
  <c r="N788" i="8"/>
  <c r="D788" i="8"/>
  <c r="L788" i="8"/>
  <c r="F788" i="8"/>
  <c r="B788" i="8"/>
  <c r="M788" i="8"/>
  <c r="K788" i="8"/>
  <c r="J788" i="8"/>
  <c r="I788" i="8"/>
  <c r="A838" i="8"/>
  <c r="G838" i="7"/>
  <c r="F838" i="7"/>
  <c r="M838" i="7"/>
  <c r="E838" i="7"/>
  <c r="L838" i="7"/>
  <c r="D838" i="7"/>
  <c r="K838" i="7"/>
  <c r="C838" i="7"/>
  <c r="I838" i="7"/>
  <c r="H838" i="7"/>
  <c r="B838" i="7"/>
  <c r="J838" i="7"/>
  <c r="A668" i="8"/>
  <c r="M668" i="7"/>
  <c r="E668" i="7"/>
  <c r="L668" i="7"/>
  <c r="D668" i="7"/>
  <c r="K668" i="7"/>
  <c r="C668" i="7"/>
  <c r="J668" i="7"/>
  <c r="B668" i="7"/>
  <c r="I668" i="7"/>
  <c r="H668" i="7"/>
  <c r="G668" i="7"/>
  <c r="F668" i="7"/>
  <c r="A522" i="8"/>
  <c r="J522" i="7"/>
  <c r="B522" i="7"/>
  <c r="I522" i="7"/>
  <c r="H522" i="7"/>
  <c r="G522" i="7"/>
  <c r="F522" i="7"/>
  <c r="C522" i="7"/>
  <c r="M522" i="7"/>
  <c r="L522" i="7"/>
  <c r="E522" i="7"/>
  <c r="D522" i="7"/>
  <c r="K522" i="7"/>
  <c r="A111" i="8"/>
  <c r="J111" i="7"/>
  <c r="B111" i="7"/>
  <c r="H111" i="7"/>
  <c r="G111" i="7"/>
  <c r="F111" i="7"/>
  <c r="L111" i="7"/>
  <c r="K111" i="7"/>
  <c r="I111" i="7"/>
  <c r="E111" i="7"/>
  <c r="D111" i="7"/>
  <c r="M111" i="7"/>
  <c r="C111" i="7"/>
  <c r="M35" i="8"/>
  <c r="E35" i="8"/>
  <c r="L35" i="8"/>
  <c r="D35" i="8"/>
  <c r="K35" i="8"/>
  <c r="B35" i="8"/>
  <c r="J35" i="8"/>
  <c r="I35" i="8"/>
  <c r="P35" i="8"/>
  <c r="H35" i="8"/>
  <c r="N35" i="8"/>
  <c r="F35" i="8"/>
  <c r="G35" i="8"/>
  <c r="O35" i="8"/>
  <c r="M3" i="8"/>
  <c r="E3" i="8"/>
  <c r="L3" i="8"/>
  <c r="D3" i="8"/>
  <c r="K3" i="8"/>
  <c r="B3" i="8"/>
  <c r="J3" i="8"/>
  <c r="I3" i="8"/>
  <c r="N3" i="8"/>
  <c r="F3" i="8"/>
  <c r="P3" i="8"/>
  <c r="O3" i="8"/>
  <c r="H3" i="8"/>
  <c r="G3" i="8"/>
  <c r="A588" i="8"/>
  <c r="H588" i="7"/>
  <c r="G588" i="7"/>
  <c r="F588" i="7"/>
  <c r="M588" i="7"/>
  <c r="E588" i="7"/>
  <c r="L588" i="7"/>
  <c r="D588" i="7"/>
  <c r="K588" i="7"/>
  <c r="J588" i="7"/>
  <c r="I588" i="7"/>
  <c r="B588" i="7"/>
  <c r="C588" i="7"/>
  <c r="A586" i="8"/>
  <c r="J586" i="7"/>
  <c r="B586" i="7"/>
  <c r="I586" i="7"/>
  <c r="H586" i="7"/>
  <c r="G586" i="7"/>
  <c r="F586" i="7"/>
  <c r="C586" i="7"/>
  <c r="M586" i="7"/>
  <c r="L586" i="7"/>
  <c r="K586" i="7"/>
  <c r="E586" i="7"/>
  <c r="D586" i="7"/>
  <c r="A316" i="8"/>
  <c r="I316" i="7"/>
  <c r="H316" i="7"/>
  <c r="G316" i="7"/>
  <c r="F316" i="7"/>
  <c r="M316" i="7"/>
  <c r="E316" i="7"/>
  <c r="L316" i="7"/>
  <c r="K316" i="7"/>
  <c r="J316" i="7"/>
  <c r="D316" i="7"/>
  <c r="C316" i="7"/>
  <c r="B316" i="7"/>
  <c r="P38" i="8"/>
  <c r="H38" i="8"/>
  <c r="O38" i="8"/>
  <c r="G38" i="8"/>
  <c r="N38" i="8"/>
  <c r="F38" i="8"/>
  <c r="M38" i="8"/>
  <c r="E38" i="8"/>
  <c r="L38" i="8"/>
  <c r="D38" i="8"/>
  <c r="K38" i="8"/>
  <c r="B38" i="8"/>
  <c r="I38" i="8"/>
  <c r="J38" i="8"/>
  <c r="A60" i="8"/>
  <c r="F60" i="7"/>
  <c r="M60" i="7"/>
  <c r="E60" i="7"/>
  <c r="L60" i="7"/>
  <c r="D60" i="7"/>
  <c r="K60" i="7"/>
  <c r="C60" i="7"/>
  <c r="J60" i="7"/>
  <c r="B60" i="7"/>
  <c r="I60" i="7"/>
  <c r="H60" i="7"/>
  <c r="G60" i="7"/>
  <c r="A955" i="8"/>
  <c r="F955" i="7"/>
  <c r="M955" i="7"/>
  <c r="E955" i="7"/>
  <c r="L955" i="7"/>
  <c r="D955" i="7"/>
  <c r="K955" i="7"/>
  <c r="C955" i="7"/>
  <c r="J955" i="7"/>
  <c r="B955" i="7"/>
  <c r="I955" i="7"/>
  <c r="H955" i="7"/>
  <c r="G955" i="7"/>
  <c r="A923" i="8"/>
  <c r="F923" i="7"/>
  <c r="M923" i="7"/>
  <c r="E923" i="7"/>
  <c r="L923" i="7"/>
  <c r="D923" i="7"/>
  <c r="K923" i="7"/>
  <c r="C923" i="7"/>
  <c r="J923" i="7"/>
  <c r="B923" i="7"/>
  <c r="I923" i="7"/>
  <c r="H923" i="7"/>
  <c r="G923" i="7"/>
  <c r="A476" i="8"/>
  <c r="H476" i="7"/>
  <c r="G476" i="7"/>
  <c r="F476" i="7"/>
  <c r="M476" i="7"/>
  <c r="E476" i="7"/>
  <c r="L476" i="7"/>
  <c r="D476" i="7"/>
  <c r="B476" i="7"/>
  <c r="K476" i="7"/>
  <c r="J476" i="7"/>
  <c r="I476" i="7"/>
  <c r="C476" i="7"/>
  <c r="A220" i="8"/>
  <c r="I220" i="7"/>
  <c r="H220" i="7"/>
  <c r="G220" i="7"/>
  <c r="F220" i="7"/>
  <c r="M220" i="7"/>
  <c r="E220" i="7"/>
  <c r="J220" i="7"/>
  <c r="D220" i="7"/>
  <c r="C220" i="7"/>
  <c r="B220" i="7"/>
  <c r="L220" i="7"/>
  <c r="K220" i="7"/>
  <c r="A156" i="8"/>
  <c r="I156" i="7"/>
  <c r="H156" i="7"/>
  <c r="G156" i="7"/>
  <c r="F156" i="7"/>
  <c r="M156" i="7"/>
  <c r="E156" i="7"/>
  <c r="J156" i="7"/>
  <c r="D156" i="7"/>
  <c r="C156" i="7"/>
  <c r="B156" i="7"/>
  <c r="L156" i="7"/>
  <c r="K156" i="7"/>
  <c r="K49" i="8"/>
  <c r="B49" i="8"/>
  <c r="J49" i="8"/>
  <c r="I49" i="8"/>
  <c r="P49" i="8"/>
  <c r="H49" i="8"/>
  <c r="O49" i="8"/>
  <c r="G49" i="8"/>
  <c r="N49" i="8"/>
  <c r="F49" i="8"/>
  <c r="L49" i="8"/>
  <c r="D49" i="8"/>
  <c r="M49" i="8"/>
  <c r="E49" i="8"/>
  <c r="K25" i="8"/>
  <c r="B25" i="8"/>
  <c r="J25" i="8"/>
  <c r="I25" i="8"/>
  <c r="P25" i="8"/>
  <c r="H25" i="8"/>
  <c r="O25" i="8"/>
  <c r="G25" i="8"/>
  <c r="N25" i="8"/>
  <c r="F25" i="8"/>
  <c r="L25" i="8"/>
  <c r="D25" i="8"/>
  <c r="M25" i="8"/>
  <c r="E25" i="8"/>
  <c r="A762" i="8"/>
  <c r="H762" i="7"/>
  <c r="G762" i="7"/>
  <c r="F762" i="7"/>
  <c r="M762" i="7"/>
  <c r="E762" i="7"/>
  <c r="L762" i="7"/>
  <c r="D762" i="7"/>
  <c r="B762" i="7"/>
  <c r="K762" i="7"/>
  <c r="J762" i="7"/>
  <c r="I762" i="7"/>
  <c r="C762" i="7"/>
  <c r="A575" i="8"/>
  <c r="I575" i="7"/>
  <c r="H575" i="7"/>
  <c r="G575" i="7"/>
  <c r="F575" i="7"/>
  <c r="M575" i="7"/>
  <c r="E575" i="7"/>
  <c r="L575" i="7"/>
  <c r="K575" i="7"/>
  <c r="J575" i="7"/>
  <c r="D575" i="7"/>
  <c r="B575" i="7"/>
  <c r="C575" i="7"/>
  <c r="A359" i="8"/>
  <c r="I359" i="7"/>
  <c r="H359" i="7"/>
  <c r="G359" i="7"/>
  <c r="F359" i="7"/>
  <c r="M359" i="7"/>
  <c r="E359" i="7"/>
  <c r="J359" i="7"/>
  <c r="D359" i="7"/>
  <c r="C359" i="7"/>
  <c r="B359" i="7"/>
  <c r="L359" i="7"/>
  <c r="K359" i="7"/>
  <c r="A287" i="8"/>
  <c r="J287" i="7"/>
  <c r="B287" i="7"/>
  <c r="I287" i="7"/>
  <c r="H287" i="7"/>
  <c r="G287" i="7"/>
  <c r="F287" i="7"/>
  <c r="L287" i="7"/>
  <c r="K287" i="7"/>
  <c r="E287" i="7"/>
  <c r="D287" i="7"/>
  <c r="C287" i="7"/>
  <c r="M287" i="7"/>
  <c r="N36" i="8"/>
  <c r="F36" i="8"/>
  <c r="M36" i="8"/>
  <c r="E36" i="8"/>
  <c r="L36" i="8"/>
  <c r="D36" i="8"/>
  <c r="K36" i="8"/>
  <c r="B36" i="8"/>
  <c r="J36" i="8"/>
  <c r="I36" i="8"/>
  <c r="O36" i="8"/>
  <c r="G36" i="8"/>
  <c r="H36" i="8"/>
  <c r="P36" i="8"/>
  <c r="A809" i="8"/>
  <c r="H809" i="7"/>
  <c r="G809" i="7"/>
  <c r="F809" i="7"/>
  <c r="M809" i="7"/>
  <c r="E809" i="7"/>
  <c r="L809" i="7"/>
  <c r="D809" i="7"/>
  <c r="B809" i="7"/>
  <c r="K809" i="7"/>
  <c r="J809" i="7"/>
  <c r="I809" i="7"/>
  <c r="C809" i="7"/>
  <c r="A386" i="8"/>
  <c r="J386" i="7"/>
  <c r="B386" i="7"/>
  <c r="I386" i="7"/>
  <c r="H386" i="7"/>
  <c r="G386" i="7"/>
  <c r="F386" i="7"/>
  <c r="M386" i="7"/>
  <c r="L386" i="7"/>
  <c r="K386" i="7"/>
  <c r="E386" i="7"/>
  <c r="D386" i="7"/>
  <c r="C386" i="7"/>
  <c r="A314" i="8"/>
  <c r="K314" i="7"/>
  <c r="C314" i="7"/>
  <c r="J314" i="7"/>
  <c r="B314" i="7"/>
  <c r="I314" i="7"/>
  <c r="H314" i="7"/>
  <c r="G314" i="7"/>
  <c r="D314" i="7"/>
  <c r="M314" i="7"/>
  <c r="L314" i="7"/>
  <c r="F314" i="7"/>
  <c r="E314" i="7"/>
  <c r="A865" i="8"/>
  <c r="H865" i="7"/>
  <c r="G865" i="7"/>
  <c r="F865" i="7"/>
  <c r="M865" i="7"/>
  <c r="E865" i="7"/>
  <c r="L865" i="7"/>
  <c r="D865" i="7"/>
  <c r="K865" i="7"/>
  <c r="J865" i="7"/>
  <c r="B865" i="7"/>
  <c r="I865" i="7"/>
  <c r="C865" i="7"/>
  <c r="A527" i="8"/>
  <c r="I527" i="7"/>
  <c r="H527" i="7"/>
  <c r="G527" i="7"/>
  <c r="F527" i="7"/>
  <c r="M527" i="7"/>
  <c r="E527" i="7"/>
  <c r="B527" i="7"/>
  <c r="L527" i="7"/>
  <c r="K527" i="7"/>
  <c r="C527" i="7"/>
  <c r="J527" i="7"/>
  <c r="D527" i="7"/>
  <c r="A343" i="8"/>
  <c r="I343" i="7"/>
  <c r="H343" i="7"/>
  <c r="G343" i="7"/>
  <c r="F343" i="7"/>
  <c r="M343" i="7"/>
  <c r="E343" i="7"/>
  <c r="C343" i="7"/>
  <c r="B343" i="7"/>
  <c r="L343" i="7"/>
  <c r="D343" i="7"/>
  <c r="K343" i="7"/>
  <c r="J343" i="7"/>
  <c r="A186" i="8"/>
  <c r="K186" i="7"/>
  <c r="C186" i="7"/>
  <c r="J186" i="7"/>
  <c r="B186" i="7"/>
  <c r="I186" i="7"/>
  <c r="H186" i="7"/>
  <c r="G186" i="7"/>
  <c r="D186" i="7"/>
  <c r="M186" i="7"/>
  <c r="E186" i="7"/>
  <c r="L186" i="7"/>
  <c r="F186" i="7"/>
  <c r="A176" i="8"/>
  <c r="M176" i="7"/>
  <c r="E176" i="7"/>
  <c r="L176" i="7"/>
  <c r="D176" i="7"/>
  <c r="K176" i="7"/>
  <c r="C176" i="7"/>
  <c r="J176" i="7"/>
  <c r="B176" i="7"/>
  <c r="I176" i="7"/>
  <c r="F176" i="7"/>
  <c r="H176" i="7"/>
  <c r="G176" i="7"/>
  <c r="A167" i="8"/>
  <c r="J167" i="7"/>
  <c r="B167" i="7"/>
  <c r="I167" i="7"/>
  <c r="H167" i="7"/>
  <c r="G167" i="7"/>
  <c r="F167" i="7"/>
  <c r="M167" i="7"/>
  <c r="L167" i="7"/>
  <c r="K167" i="7"/>
  <c r="E167" i="7"/>
  <c r="D167" i="7"/>
  <c r="C167" i="7"/>
  <c r="A154" i="8"/>
  <c r="K154" i="7"/>
  <c r="C154" i="7"/>
  <c r="J154" i="7"/>
  <c r="B154" i="7"/>
  <c r="I154" i="7"/>
  <c r="H154" i="7"/>
  <c r="G154" i="7"/>
  <c r="M154" i="7"/>
  <c r="L154" i="7"/>
  <c r="F154" i="7"/>
  <c r="E154" i="7"/>
  <c r="D154" i="7"/>
  <c r="A144" i="8"/>
  <c r="M144" i="7"/>
  <c r="E144" i="7"/>
  <c r="L144" i="7"/>
  <c r="D144" i="7"/>
  <c r="K144" i="7"/>
  <c r="C144" i="7"/>
  <c r="J144" i="7"/>
  <c r="B144" i="7"/>
  <c r="I144" i="7"/>
  <c r="H144" i="7"/>
  <c r="G144" i="7"/>
  <c r="F144" i="7"/>
  <c r="A135" i="8"/>
  <c r="J135" i="7"/>
  <c r="B135" i="7"/>
  <c r="I135" i="7"/>
  <c r="H135" i="7"/>
  <c r="G135" i="7"/>
  <c r="F135" i="7"/>
  <c r="D135" i="7"/>
  <c r="C135" i="7"/>
  <c r="M135" i="7"/>
  <c r="L135" i="7"/>
  <c r="K135" i="7"/>
  <c r="E135" i="7"/>
  <c r="A650" i="8"/>
  <c r="J650" i="7"/>
  <c r="B650" i="7"/>
  <c r="I650" i="7"/>
  <c r="H650" i="7"/>
  <c r="G650" i="7"/>
  <c r="F650" i="7"/>
  <c r="C650" i="7"/>
  <c r="M650" i="7"/>
  <c r="L650" i="7"/>
  <c r="D650" i="7"/>
  <c r="K650" i="7"/>
  <c r="E650" i="7"/>
  <c r="A460" i="8"/>
  <c r="H460" i="7"/>
  <c r="G460" i="7"/>
  <c r="F460" i="7"/>
  <c r="M460" i="7"/>
  <c r="E460" i="7"/>
  <c r="L460" i="7"/>
  <c r="D460" i="7"/>
  <c r="K460" i="7"/>
  <c r="J460" i="7"/>
  <c r="I460" i="7"/>
  <c r="C460" i="7"/>
  <c r="B460" i="7"/>
  <c r="A524" i="8"/>
  <c r="H524" i="7"/>
  <c r="G524" i="7"/>
  <c r="F524" i="7"/>
  <c r="M524" i="7"/>
  <c r="E524" i="7"/>
  <c r="L524" i="7"/>
  <c r="D524" i="7"/>
  <c r="K524" i="7"/>
  <c r="J524" i="7"/>
  <c r="I524" i="7"/>
  <c r="C524" i="7"/>
  <c r="B524" i="7"/>
  <c r="A703" i="8"/>
  <c r="G703" i="7"/>
  <c r="F703" i="7"/>
  <c r="M703" i="7"/>
  <c r="E703" i="7"/>
  <c r="L703" i="7"/>
  <c r="D703" i="7"/>
  <c r="K703" i="7"/>
  <c r="C703" i="7"/>
  <c r="J703" i="7"/>
  <c r="H703" i="7"/>
  <c r="B703" i="7"/>
  <c r="I703" i="7"/>
  <c r="A101" i="8"/>
  <c r="L101" i="7"/>
  <c r="D101" i="7"/>
  <c r="J101" i="7"/>
  <c r="B101" i="7"/>
  <c r="I101" i="7"/>
  <c r="H101" i="7"/>
  <c r="M101" i="7"/>
  <c r="K101" i="7"/>
  <c r="G101" i="7"/>
  <c r="F101" i="7"/>
  <c r="E101" i="7"/>
  <c r="C101" i="7"/>
  <c r="A37" i="8"/>
  <c r="I37" i="7"/>
  <c r="H37" i="7"/>
  <c r="G37" i="7"/>
  <c r="F37" i="7"/>
  <c r="M37" i="7"/>
  <c r="E37" i="7"/>
  <c r="L37" i="7"/>
  <c r="K37" i="7"/>
  <c r="J37" i="7"/>
  <c r="D37" i="7"/>
  <c r="B37" i="7"/>
  <c r="C37" i="7"/>
  <c r="A795" i="8"/>
  <c r="K795" i="7"/>
  <c r="C795" i="7"/>
  <c r="J795" i="7"/>
  <c r="B795" i="7"/>
  <c r="I795" i="7"/>
  <c r="H795" i="7"/>
  <c r="G795" i="7"/>
  <c r="M795" i="7"/>
  <c r="L795" i="7"/>
  <c r="E795" i="7"/>
  <c r="D795" i="7"/>
  <c r="F795" i="7"/>
  <c r="A466" i="8"/>
  <c r="J466" i="7"/>
  <c r="B466" i="7"/>
  <c r="I466" i="7"/>
  <c r="H466" i="7"/>
  <c r="G466" i="7"/>
  <c r="F466" i="7"/>
  <c r="D466" i="7"/>
  <c r="C466" i="7"/>
  <c r="M466" i="7"/>
  <c r="L466" i="7"/>
  <c r="K466" i="7"/>
  <c r="E466" i="7"/>
  <c r="A145" i="8"/>
  <c r="H145" i="7"/>
  <c r="G145" i="7"/>
  <c r="F145" i="7"/>
  <c r="M145" i="7"/>
  <c r="E145" i="7"/>
  <c r="L145" i="7"/>
  <c r="D145" i="7"/>
  <c r="B145" i="7"/>
  <c r="K145" i="7"/>
  <c r="J145" i="7"/>
  <c r="I145" i="7"/>
  <c r="C145" i="7"/>
  <c r="A276" i="8"/>
  <c r="I276" i="7"/>
  <c r="H276" i="7"/>
  <c r="G276" i="7"/>
  <c r="F276" i="7"/>
  <c r="M276" i="7"/>
  <c r="E276" i="7"/>
  <c r="D276" i="7"/>
  <c r="C276" i="7"/>
  <c r="B276" i="7"/>
  <c r="L276" i="7"/>
  <c r="K276" i="7"/>
  <c r="J276" i="7"/>
  <c r="P358" i="8"/>
  <c r="H358" i="8"/>
  <c r="O358" i="8"/>
  <c r="G358" i="8"/>
  <c r="N358" i="8"/>
  <c r="F358" i="8"/>
  <c r="M358" i="8"/>
  <c r="E358" i="8"/>
  <c r="L358" i="8"/>
  <c r="D358" i="8"/>
  <c r="K358" i="8"/>
  <c r="J358" i="8"/>
  <c r="B358" i="8"/>
  <c r="I358" i="8"/>
  <c r="A458" i="8"/>
  <c r="J458" i="7"/>
  <c r="B458" i="7"/>
  <c r="I458" i="7"/>
  <c r="H458" i="7"/>
  <c r="G458" i="7"/>
  <c r="F458" i="7"/>
  <c r="C458" i="7"/>
  <c r="M458" i="7"/>
  <c r="L458" i="7"/>
  <c r="K458" i="7"/>
  <c r="E458" i="7"/>
  <c r="D458" i="7"/>
  <c r="A706" i="8"/>
  <c r="H706" i="7"/>
  <c r="G706" i="7"/>
  <c r="F706" i="7"/>
  <c r="M706" i="7"/>
  <c r="E706" i="7"/>
  <c r="L706" i="7"/>
  <c r="D706" i="7"/>
  <c r="C706" i="7"/>
  <c r="B706" i="7"/>
  <c r="K706" i="7"/>
  <c r="J706" i="7"/>
  <c r="I706" i="7"/>
  <c r="A351" i="8"/>
  <c r="I351" i="7"/>
  <c r="H351" i="7"/>
  <c r="G351" i="7"/>
  <c r="F351" i="7"/>
  <c r="M351" i="7"/>
  <c r="E351" i="7"/>
  <c r="D351" i="7"/>
  <c r="C351" i="7"/>
  <c r="B351" i="7"/>
  <c r="K351" i="7"/>
  <c r="J351" i="7"/>
  <c r="L351" i="7"/>
  <c r="P147" i="8"/>
  <c r="H147" i="8"/>
  <c r="O147" i="8"/>
  <c r="G147" i="8"/>
  <c r="M147" i="8"/>
  <c r="E147" i="8"/>
  <c r="L147" i="8"/>
  <c r="D147" i="8"/>
  <c r="I147" i="8"/>
  <c r="J147" i="8"/>
  <c r="F147" i="8"/>
  <c r="B147" i="8"/>
  <c r="N147" i="8"/>
  <c r="K147" i="8"/>
  <c r="A13" i="8"/>
  <c r="I13" i="7"/>
  <c r="H13" i="7"/>
  <c r="G13" i="7"/>
  <c r="F13" i="7"/>
  <c r="M13" i="7"/>
  <c r="E13" i="7"/>
  <c r="K13" i="7"/>
  <c r="J13" i="7"/>
  <c r="D13" i="7"/>
  <c r="C13" i="7"/>
  <c r="B13" i="7"/>
  <c r="L13" i="7"/>
  <c r="A471" i="8"/>
  <c r="I471" i="7"/>
  <c r="H471" i="7"/>
  <c r="G471" i="7"/>
  <c r="F471" i="7"/>
  <c r="M471" i="7"/>
  <c r="E471" i="7"/>
  <c r="C471" i="7"/>
  <c r="B471" i="7"/>
  <c r="L471" i="7"/>
  <c r="K471" i="7"/>
  <c r="J471" i="7"/>
  <c r="D471" i="7"/>
  <c r="A415" i="8"/>
  <c r="I415" i="7"/>
  <c r="H415" i="7"/>
  <c r="G415" i="7"/>
  <c r="F415" i="7"/>
  <c r="M415" i="7"/>
  <c r="E415" i="7"/>
  <c r="D415" i="7"/>
  <c r="C415" i="7"/>
  <c r="B415" i="7"/>
  <c r="L415" i="7"/>
  <c r="K415" i="7"/>
  <c r="J415" i="7"/>
  <c r="A831" i="8"/>
  <c r="J831" i="7"/>
  <c r="B831" i="7"/>
  <c r="I831" i="7"/>
  <c r="H831" i="7"/>
  <c r="G831" i="7"/>
  <c r="F831" i="7"/>
  <c r="M831" i="7"/>
  <c r="L831" i="7"/>
  <c r="K831" i="7"/>
  <c r="E831" i="7"/>
  <c r="D831" i="7"/>
  <c r="C831" i="7"/>
  <c r="I549" i="8"/>
  <c r="P549" i="8"/>
  <c r="H549" i="8"/>
  <c r="O549" i="8"/>
  <c r="G549" i="8"/>
  <c r="N549" i="8"/>
  <c r="F549" i="8"/>
  <c r="M549" i="8"/>
  <c r="E549" i="8"/>
  <c r="K549" i="8"/>
  <c r="J549" i="8"/>
  <c r="D549" i="8"/>
  <c r="B549" i="8"/>
  <c r="L549" i="8"/>
  <c r="L560" i="8"/>
  <c r="D560" i="8"/>
  <c r="K560" i="8"/>
  <c r="B560" i="8"/>
  <c r="J560" i="8"/>
  <c r="I560" i="8"/>
  <c r="P560" i="8"/>
  <c r="H560" i="8"/>
  <c r="O560" i="8"/>
  <c r="N560" i="8"/>
  <c r="M560" i="8"/>
  <c r="G560" i="8"/>
  <c r="F560" i="8"/>
  <c r="E560" i="8"/>
  <c r="M435" i="8"/>
  <c r="E435" i="8"/>
  <c r="L435" i="8"/>
  <c r="D435" i="8"/>
  <c r="K435" i="8"/>
  <c r="B435" i="8"/>
  <c r="J435" i="8"/>
  <c r="I435" i="8"/>
  <c r="H435" i="8"/>
  <c r="G435" i="8"/>
  <c r="P435" i="8"/>
  <c r="N435" i="8"/>
  <c r="F435" i="8"/>
  <c r="O435" i="8"/>
  <c r="A254" i="8"/>
  <c r="G254" i="7"/>
  <c r="F254" i="7"/>
  <c r="M254" i="7"/>
  <c r="E254" i="7"/>
  <c r="L254" i="7"/>
  <c r="D254" i="7"/>
  <c r="K254" i="7"/>
  <c r="C254" i="7"/>
  <c r="J254" i="7"/>
  <c r="I254" i="7"/>
  <c r="H254" i="7"/>
  <c r="B254" i="7"/>
  <c r="O758" i="8"/>
  <c r="G758" i="8"/>
  <c r="N758" i="8"/>
  <c r="F758" i="8"/>
  <c r="M758" i="8"/>
  <c r="E758" i="8"/>
  <c r="L758" i="8"/>
  <c r="D758" i="8"/>
  <c r="J758" i="8"/>
  <c r="I758" i="8"/>
  <c r="H758" i="8"/>
  <c r="B758" i="8"/>
  <c r="P758" i="8"/>
  <c r="K758" i="8"/>
  <c r="K278" i="8"/>
  <c r="B278" i="8"/>
  <c r="J278" i="8"/>
  <c r="P278" i="8"/>
  <c r="H278" i="8"/>
  <c r="O278" i="8"/>
  <c r="G278" i="8"/>
  <c r="N278" i="8"/>
  <c r="I278" i="8"/>
  <c r="D278" i="8"/>
  <c r="M278" i="8"/>
  <c r="L278" i="8"/>
  <c r="F278" i="8"/>
  <c r="E278" i="8"/>
  <c r="M481" i="8"/>
  <c r="E481" i="8"/>
  <c r="K481" i="8"/>
  <c r="B481" i="8"/>
  <c r="J481" i="8"/>
  <c r="I481" i="8"/>
  <c r="F481" i="8"/>
  <c r="D481" i="8"/>
  <c r="P481" i="8"/>
  <c r="O481" i="8"/>
  <c r="N481" i="8"/>
  <c r="L481" i="8"/>
  <c r="H481" i="8"/>
  <c r="G481" i="8"/>
  <c r="A942" i="8"/>
  <c r="G942" i="7"/>
  <c r="F942" i="7"/>
  <c r="M942" i="7"/>
  <c r="E942" i="7"/>
  <c r="L942" i="7"/>
  <c r="D942" i="7"/>
  <c r="K942" i="7"/>
  <c r="C942" i="7"/>
  <c r="J942" i="7"/>
  <c r="I942" i="7"/>
  <c r="H942" i="7"/>
  <c r="B942" i="7"/>
  <c r="A636" i="8"/>
  <c r="H636" i="7"/>
  <c r="G636" i="7"/>
  <c r="F636" i="7"/>
  <c r="M636" i="7"/>
  <c r="E636" i="7"/>
  <c r="L636" i="7"/>
  <c r="D636" i="7"/>
  <c r="K636" i="7"/>
  <c r="J636" i="7"/>
  <c r="I636" i="7"/>
  <c r="C636" i="7"/>
  <c r="B636" i="7"/>
  <c r="M27" i="8"/>
  <c r="E27" i="8"/>
  <c r="L27" i="8"/>
  <c r="D27" i="8"/>
  <c r="K27" i="8"/>
  <c r="B27" i="8"/>
  <c r="J27" i="8"/>
  <c r="I27" i="8"/>
  <c r="P27" i="8"/>
  <c r="H27" i="8"/>
  <c r="N27" i="8"/>
  <c r="F27" i="8"/>
  <c r="O27" i="8"/>
  <c r="G27" i="8"/>
  <c r="A436" i="8"/>
  <c r="H436" i="7"/>
  <c r="G436" i="7"/>
  <c r="F436" i="7"/>
  <c r="M436" i="7"/>
  <c r="E436" i="7"/>
  <c r="L436" i="7"/>
  <c r="D436" i="7"/>
  <c r="J436" i="7"/>
  <c r="I436" i="7"/>
  <c r="C436" i="7"/>
  <c r="B436" i="7"/>
  <c r="K436" i="7"/>
  <c r="A482" i="8"/>
  <c r="J482" i="7"/>
  <c r="B482" i="7"/>
  <c r="I482" i="7"/>
  <c r="H482" i="7"/>
  <c r="G482" i="7"/>
  <c r="F482" i="7"/>
  <c r="K482" i="7"/>
  <c r="E482" i="7"/>
  <c r="D482" i="7"/>
  <c r="C482" i="7"/>
  <c r="M482" i="7"/>
  <c r="L482" i="7"/>
  <c r="A244" i="8"/>
  <c r="I244" i="7"/>
  <c r="H244" i="7"/>
  <c r="G244" i="7"/>
  <c r="F244" i="7"/>
  <c r="M244" i="7"/>
  <c r="E244" i="7"/>
  <c r="L244" i="7"/>
  <c r="K244" i="7"/>
  <c r="J244" i="7"/>
  <c r="D244" i="7"/>
  <c r="C244" i="7"/>
  <c r="B244" i="7"/>
  <c r="A180" i="8"/>
  <c r="I180" i="7"/>
  <c r="H180" i="7"/>
  <c r="G180" i="7"/>
  <c r="F180" i="7"/>
  <c r="M180" i="7"/>
  <c r="E180" i="7"/>
  <c r="L180" i="7"/>
  <c r="K180" i="7"/>
  <c r="J180" i="7"/>
  <c r="D180" i="7"/>
  <c r="C180" i="7"/>
  <c r="B180" i="7"/>
  <c r="N73" i="8"/>
  <c r="F73" i="8"/>
  <c r="K73" i="8"/>
  <c r="B73" i="8"/>
  <c r="J73" i="8"/>
  <c r="O73" i="8"/>
  <c r="G73" i="8"/>
  <c r="L73" i="8"/>
  <c r="I73" i="8"/>
  <c r="H73" i="8"/>
  <c r="E73" i="8"/>
  <c r="D73" i="8"/>
  <c r="P73" i="8"/>
  <c r="M73" i="8"/>
  <c r="I900" i="8"/>
  <c r="J900" i="8"/>
  <c r="O900" i="8"/>
  <c r="F900" i="8"/>
  <c r="N900" i="8"/>
  <c r="E900" i="8"/>
  <c r="K900" i="8"/>
  <c r="H900" i="8"/>
  <c r="G900" i="8"/>
  <c r="P900" i="8"/>
  <c r="B900" i="8"/>
  <c r="M900" i="8"/>
  <c r="D900" i="8"/>
  <c r="L900" i="8"/>
  <c r="I837" i="8"/>
  <c r="P837" i="8"/>
  <c r="H837" i="8"/>
  <c r="O837" i="8"/>
  <c r="G837" i="8"/>
  <c r="N837" i="8"/>
  <c r="F837" i="8"/>
  <c r="M837" i="8"/>
  <c r="L837" i="8"/>
  <c r="J837" i="8"/>
  <c r="E837" i="8"/>
  <c r="K837" i="8"/>
  <c r="D837" i="8"/>
  <c r="B837" i="8"/>
  <c r="A867" i="8"/>
  <c r="F867" i="7"/>
  <c r="M867" i="7"/>
  <c r="E867" i="7"/>
  <c r="L867" i="7"/>
  <c r="D867" i="7"/>
  <c r="K867" i="7"/>
  <c r="C867" i="7"/>
  <c r="J867" i="7"/>
  <c r="B867" i="7"/>
  <c r="I867" i="7"/>
  <c r="H867" i="7"/>
  <c r="G867" i="7"/>
  <c r="N733" i="8"/>
  <c r="F733" i="8"/>
  <c r="M733" i="8"/>
  <c r="E733" i="8"/>
  <c r="L733" i="8"/>
  <c r="D733" i="8"/>
  <c r="K733" i="8"/>
  <c r="B733" i="8"/>
  <c r="P733" i="8"/>
  <c r="O733" i="8"/>
  <c r="J733" i="8"/>
  <c r="I733" i="8"/>
  <c r="H733" i="8"/>
  <c r="G733" i="8"/>
  <c r="I461" i="8"/>
  <c r="O461" i="8"/>
  <c r="G461" i="8"/>
  <c r="N461" i="8"/>
  <c r="F461" i="8"/>
  <c r="M461" i="8"/>
  <c r="E461" i="8"/>
  <c r="P461" i="8"/>
  <c r="L461" i="8"/>
  <c r="K461" i="8"/>
  <c r="J461" i="8"/>
  <c r="H461" i="8"/>
  <c r="D461" i="8"/>
  <c r="B461" i="8"/>
  <c r="O357" i="8"/>
  <c r="G357" i="8"/>
  <c r="N357" i="8"/>
  <c r="F357" i="8"/>
  <c r="M357" i="8"/>
  <c r="E357" i="8"/>
  <c r="L357" i="8"/>
  <c r="D357" i="8"/>
  <c r="K357" i="8"/>
  <c r="B357" i="8"/>
  <c r="H357" i="8"/>
  <c r="P357" i="8"/>
  <c r="J357" i="8"/>
  <c r="I357" i="8"/>
  <c r="J341" i="8"/>
  <c r="I341" i="8"/>
  <c r="O341" i="8"/>
  <c r="G341" i="8"/>
  <c r="N341" i="8"/>
  <c r="F341" i="8"/>
  <c r="M341" i="8"/>
  <c r="E341" i="8"/>
  <c r="B341" i="8"/>
  <c r="P341" i="8"/>
  <c r="L341" i="8"/>
  <c r="D341" i="8"/>
  <c r="K341" i="8"/>
  <c r="H341" i="8"/>
  <c r="M229" i="8"/>
  <c r="E229" i="8"/>
  <c r="L229" i="8"/>
  <c r="D229" i="8"/>
  <c r="I229" i="8"/>
  <c r="N229" i="8"/>
  <c r="F229" i="8"/>
  <c r="J229" i="8"/>
  <c r="H229" i="8"/>
  <c r="B229" i="8"/>
  <c r="K229" i="8"/>
  <c r="P229" i="8"/>
  <c r="O229" i="8"/>
  <c r="G229" i="8"/>
  <c r="J448" i="8"/>
  <c r="I448" i="8"/>
  <c r="P448" i="8"/>
  <c r="H448" i="8"/>
  <c r="O448" i="8"/>
  <c r="G448" i="8"/>
  <c r="N448" i="8"/>
  <c r="F448" i="8"/>
  <c r="E448" i="8"/>
  <c r="D448" i="8"/>
  <c r="M448" i="8"/>
  <c r="L448" i="8"/>
  <c r="B448" i="8"/>
  <c r="K448" i="8"/>
  <c r="J376" i="8"/>
  <c r="I376" i="8"/>
  <c r="P376" i="8"/>
  <c r="H376" i="8"/>
  <c r="O376" i="8"/>
  <c r="G376" i="8"/>
  <c r="N376" i="8"/>
  <c r="F376" i="8"/>
  <c r="L376" i="8"/>
  <c r="K376" i="8"/>
  <c r="E376" i="8"/>
  <c r="M376" i="8"/>
  <c r="B376" i="8"/>
  <c r="D376" i="8"/>
  <c r="M344" i="8"/>
  <c r="E344" i="8"/>
  <c r="L344" i="8"/>
  <c r="D344" i="8"/>
  <c r="J344" i="8"/>
  <c r="I344" i="8"/>
  <c r="P344" i="8"/>
  <c r="H344" i="8"/>
  <c r="N344" i="8"/>
  <c r="K344" i="8"/>
  <c r="B344" i="8"/>
  <c r="O344" i="8"/>
  <c r="F344" i="8"/>
  <c r="G344" i="8"/>
  <c r="L747" i="8"/>
  <c r="D747" i="8"/>
  <c r="K747" i="8"/>
  <c r="B747" i="8"/>
  <c r="J747" i="8"/>
  <c r="I747" i="8"/>
  <c r="O747" i="8"/>
  <c r="N747" i="8"/>
  <c r="M747" i="8"/>
  <c r="H747" i="8"/>
  <c r="G747" i="8"/>
  <c r="F747" i="8"/>
  <c r="E747" i="8"/>
  <c r="P747" i="8"/>
  <c r="P691" i="8"/>
  <c r="H691" i="8"/>
  <c r="O691" i="8"/>
  <c r="G691" i="8"/>
  <c r="N691" i="8"/>
  <c r="F691" i="8"/>
  <c r="M691" i="8"/>
  <c r="E691" i="8"/>
  <c r="L691" i="8"/>
  <c r="D691" i="8"/>
  <c r="K691" i="8"/>
  <c r="J691" i="8"/>
  <c r="I691" i="8"/>
  <c r="B691" i="8"/>
  <c r="O651" i="8"/>
  <c r="G651" i="8"/>
  <c r="N651" i="8"/>
  <c r="F651" i="8"/>
  <c r="M651" i="8"/>
  <c r="E651" i="8"/>
  <c r="L651" i="8"/>
  <c r="D651" i="8"/>
  <c r="K651" i="8"/>
  <c r="B651" i="8"/>
  <c r="P651" i="8"/>
  <c r="J651" i="8"/>
  <c r="I651" i="8"/>
  <c r="H651" i="8"/>
  <c r="O555" i="8"/>
  <c r="G555" i="8"/>
  <c r="N555" i="8"/>
  <c r="F555" i="8"/>
  <c r="M555" i="8"/>
  <c r="E555" i="8"/>
  <c r="L555" i="8"/>
  <c r="D555" i="8"/>
  <c r="K555" i="8"/>
  <c r="B555" i="8"/>
  <c r="H555" i="8"/>
  <c r="P555" i="8"/>
  <c r="J555" i="8"/>
  <c r="I555" i="8"/>
  <c r="O523" i="8"/>
  <c r="G523" i="8"/>
  <c r="N523" i="8"/>
  <c r="F523" i="8"/>
  <c r="M523" i="8"/>
  <c r="E523" i="8"/>
  <c r="L523" i="8"/>
  <c r="D523" i="8"/>
  <c r="K523" i="8"/>
  <c r="B523" i="8"/>
  <c r="P523" i="8"/>
  <c r="J523" i="8"/>
  <c r="I523" i="8"/>
  <c r="H523" i="8"/>
  <c r="A470" i="8"/>
  <c r="F470" i="7"/>
  <c r="M470" i="7"/>
  <c r="E470" i="7"/>
  <c r="L470" i="7"/>
  <c r="D470" i="7"/>
  <c r="K470" i="7"/>
  <c r="C470" i="7"/>
  <c r="J470" i="7"/>
  <c r="B470" i="7"/>
  <c r="I470" i="7"/>
  <c r="H470" i="7"/>
  <c r="G470" i="7"/>
  <c r="A881" i="8"/>
  <c r="H881" i="7"/>
  <c r="G881" i="7"/>
  <c r="F881" i="7"/>
  <c r="M881" i="7"/>
  <c r="E881" i="7"/>
  <c r="L881" i="7"/>
  <c r="D881" i="7"/>
  <c r="C881" i="7"/>
  <c r="B881" i="7"/>
  <c r="K881" i="7"/>
  <c r="J881" i="7"/>
  <c r="I881" i="7"/>
  <c r="O932" i="8"/>
  <c r="G932" i="8"/>
  <c r="N932" i="8"/>
  <c r="F932" i="8"/>
  <c r="M932" i="8"/>
  <c r="E932" i="8"/>
  <c r="K932" i="8"/>
  <c r="J932" i="8"/>
  <c r="I932" i="8"/>
  <c r="H932" i="8"/>
  <c r="L932" i="8"/>
  <c r="D932" i="8"/>
  <c r="P932" i="8"/>
  <c r="B932" i="8"/>
  <c r="O876" i="8"/>
  <c r="G876" i="8"/>
  <c r="L876" i="8"/>
  <c r="D876" i="8"/>
  <c r="F876" i="8"/>
  <c r="P876" i="8"/>
  <c r="E876" i="8"/>
  <c r="N876" i="8"/>
  <c r="B876" i="8"/>
  <c r="J876" i="8"/>
  <c r="K876" i="8"/>
  <c r="I876" i="8"/>
  <c r="H876" i="8"/>
  <c r="M876" i="8"/>
  <c r="P836" i="8"/>
  <c r="H836" i="8"/>
  <c r="O836" i="8"/>
  <c r="G836" i="8"/>
  <c r="N836" i="8"/>
  <c r="F836" i="8"/>
  <c r="M836" i="8"/>
  <c r="E836" i="8"/>
  <c r="L836" i="8"/>
  <c r="K836" i="8"/>
  <c r="I836" i="8"/>
  <c r="D836" i="8"/>
  <c r="J836" i="8"/>
  <c r="B836" i="8"/>
  <c r="P828" i="8"/>
  <c r="H828" i="8"/>
  <c r="O828" i="8"/>
  <c r="G828" i="8"/>
  <c r="N828" i="8"/>
  <c r="F828" i="8"/>
  <c r="M828" i="8"/>
  <c r="E828" i="8"/>
  <c r="D828" i="8"/>
  <c r="B828" i="8"/>
  <c r="L828" i="8"/>
  <c r="I828" i="8"/>
  <c r="K828" i="8"/>
  <c r="J828" i="8"/>
  <c r="P820" i="8"/>
  <c r="H820" i="8"/>
  <c r="O820" i="8"/>
  <c r="G820" i="8"/>
  <c r="N820" i="8"/>
  <c r="F820" i="8"/>
  <c r="M820" i="8"/>
  <c r="E820" i="8"/>
  <c r="L820" i="8"/>
  <c r="K820" i="8"/>
  <c r="I820" i="8"/>
  <c r="D820" i="8"/>
  <c r="J820" i="8"/>
  <c r="B820" i="8"/>
  <c r="P812" i="8"/>
  <c r="H812" i="8"/>
  <c r="O812" i="8"/>
  <c r="G812" i="8"/>
  <c r="N812" i="8"/>
  <c r="F812" i="8"/>
  <c r="M812" i="8"/>
  <c r="E812" i="8"/>
  <c r="D812" i="8"/>
  <c r="B812" i="8"/>
  <c r="L812" i="8"/>
  <c r="I812" i="8"/>
  <c r="K812" i="8"/>
  <c r="J812" i="8"/>
  <c r="L999" i="8"/>
  <c r="D999" i="8"/>
  <c r="M999" i="8"/>
  <c r="B999" i="8"/>
  <c r="K999" i="8"/>
  <c r="J999" i="8"/>
  <c r="I999" i="8"/>
  <c r="N999" i="8"/>
  <c r="H999" i="8"/>
  <c r="G999" i="8"/>
  <c r="F999" i="8"/>
  <c r="E999" i="8"/>
  <c r="O999" i="8"/>
  <c r="P999" i="8"/>
  <c r="L975" i="8"/>
  <c r="D975" i="8"/>
  <c r="P975" i="8"/>
  <c r="G975" i="8"/>
  <c r="O975" i="8"/>
  <c r="F975" i="8"/>
  <c r="N975" i="8"/>
  <c r="E975" i="8"/>
  <c r="M975" i="8"/>
  <c r="B975" i="8"/>
  <c r="H975" i="8"/>
  <c r="K975" i="8"/>
  <c r="J975" i="8"/>
  <c r="I975" i="8"/>
  <c r="M938" i="8"/>
  <c r="E938" i="8"/>
  <c r="L938" i="8"/>
  <c r="D938" i="8"/>
  <c r="K938" i="8"/>
  <c r="B938" i="8"/>
  <c r="J938" i="8"/>
  <c r="I938" i="8"/>
  <c r="H938" i="8"/>
  <c r="G938" i="8"/>
  <c r="F938" i="8"/>
  <c r="P938" i="8"/>
  <c r="O938" i="8"/>
  <c r="N938" i="8"/>
  <c r="O898" i="8"/>
  <c r="G898" i="8"/>
  <c r="L898" i="8"/>
  <c r="B898" i="8"/>
  <c r="I898" i="8"/>
  <c r="H898" i="8"/>
  <c r="K898" i="8"/>
  <c r="J898" i="8"/>
  <c r="F898" i="8"/>
  <c r="P898" i="8"/>
  <c r="D898" i="8"/>
  <c r="E898" i="8"/>
  <c r="N898" i="8"/>
  <c r="M898" i="8"/>
  <c r="N866" i="8"/>
  <c r="F866" i="8"/>
  <c r="M866" i="8"/>
  <c r="E866" i="8"/>
  <c r="L866" i="8"/>
  <c r="D866" i="8"/>
  <c r="I866" i="8"/>
  <c r="J866" i="8"/>
  <c r="H866" i="8"/>
  <c r="G866" i="8"/>
  <c r="B866" i="8"/>
  <c r="P866" i="8"/>
  <c r="K866" i="8"/>
  <c r="O866" i="8"/>
  <c r="J981" i="8"/>
  <c r="H981" i="8"/>
  <c r="P981" i="8"/>
  <c r="G981" i="8"/>
  <c r="O981" i="8"/>
  <c r="F981" i="8"/>
  <c r="N981" i="8"/>
  <c r="E981" i="8"/>
  <c r="I981" i="8"/>
  <c r="D981" i="8"/>
  <c r="B981" i="8"/>
  <c r="M981" i="8"/>
  <c r="L981" i="8"/>
  <c r="K981" i="8"/>
  <c r="J901" i="8"/>
  <c r="M901" i="8"/>
  <c r="D901" i="8"/>
  <c r="I901" i="8"/>
  <c r="H901" i="8"/>
  <c r="K901" i="8"/>
  <c r="G901" i="8"/>
  <c r="F901" i="8"/>
  <c r="O901" i="8"/>
  <c r="P901" i="8"/>
  <c r="N901" i="8"/>
  <c r="L901" i="8"/>
  <c r="E901" i="8"/>
  <c r="B901" i="8"/>
  <c r="I869" i="8"/>
  <c r="P869" i="8"/>
  <c r="H869" i="8"/>
  <c r="O869" i="8"/>
  <c r="G869" i="8"/>
  <c r="L869" i="8"/>
  <c r="D869" i="8"/>
  <c r="M869" i="8"/>
  <c r="K869" i="8"/>
  <c r="J869" i="8"/>
  <c r="F869" i="8"/>
  <c r="E869" i="8"/>
  <c r="B869" i="8"/>
  <c r="N869" i="8"/>
  <c r="I829" i="8"/>
  <c r="P829" i="8"/>
  <c r="H829" i="8"/>
  <c r="O829" i="8"/>
  <c r="G829" i="8"/>
  <c r="N829" i="8"/>
  <c r="F829" i="8"/>
  <c r="E829" i="8"/>
  <c r="D829" i="8"/>
  <c r="M829" i="8"/>
  <c r="J829" i="8"/>
  <c r="B829" i="8"/>
  <c r="L829" i="8"/>
  <c r="K829" i="8"/>
  <c r="K888" i="8"/>
  <c r="B888" i="8"/>
  <c r="P888" i="8"/>
  <c r="H888" i="8"/>
  <c r="O888" i="8"/>
  <c r="G888" i="8"/>
  <c r="M888" i="8"/>
  <c r="L888" i="8"/>
  <c r="J888" i="8"/>
  <c r="E888" i="8"/>
  <c r="N888" i="8"/>
  <c r="I888" i="8"/>
  <c r="F888" i="8"/>
  <c r="D888" i="8"/>
  <c r="A826" i="8"/>
  <c r="K826" i="7"/>
  <c r="C826" i="7"/>
  <c r="J826" i="7"/>
  <c r="B826" i="7"/>
  <c r="I826" i="7"/>
  <c r="H826" i="7"/>
  <c r="G826" i="7"/>
  <c r="M826" i="7"/>
  <c r="L826" i="7"/>
  <c r="F826" i="7"/>
  <c r="E826" i="7"/>
  <c r="D826" i="7"/>
  <c r="A808" i="8"/>
  <c r="M808" i="7"/>
  <c r="E808" i="7"/>
  <c r="L808" i="7"/>
  <c r="D808" i="7"/>
  <c r="K808" i="7"/>
  <c r="C808" i="7"/>
  <c r="J808" i="7"/>
  <c r="B808" i="7"/>
  <c r="I808" i="7"/>
  <c r="H808" i="7"/>
  <c r="G808" i="7"/>
  <c r="F808" i="7"/>
  <c r="J677" i="8"/>
  <c r="I677" i="8"/>
  <c r="P677" i="8"/>
  <c r="H677" i="8"/>
  <c r="O677" i="8"/>
  <c r="G677" i="8"/>
  <c r="N677" i="8"/>
  <c r="F677" i="8"/>
  <c r="K677" i="8"/>
  <c r="E677" i="8"/>
  <c r="D677" i="8"/>
  <c r="B677" i="8"/>
  <c r="M677" i="8"/>
  <c r="L677" i="8"/>
  <c r="I629" i="8"/>
  <c r="P629" i="8"/>
  <c r="H629" i="8"/>
  <c r="O629" i="8"/>
  <c r="G629" i="8"/>
  <c r="N629" i="8"/>
  <c r="F629" i="8"/>
  <c r="M629" i="8"/>
  <c r="E629" i="8"/>
  <c r="B629" i="8"/>
  <c r="L629" i="8"/>
  <c r="K629" i="8"/>
  <c r="J629" i="8"/>
  <c r="D629" i="8"/>
  <c r="J157" i="8"/>
  <c r="I157" i="8"/>
  <c r="O157" i="8"/>
  <c r="G157" i="8"/>
  <c r="N157" i="8"/>
  <c r="F157" i="8"/>
  <c r="K157" i="8"/>
  <c r="B157" i="8"/>
  <c r="H157" i="8"/>
  <c r="E157" i="8"/>
  <c r="D157" i="8"/>
  <c r="P157" i="8"/>
  <c r="M157" i="8"/>
  <c r="L157" i="8"/>
  <c r="J149" i="8"/>
  <c r="I149" i="8"/>
  <c r="O149" i="8"/>
  <c r="G149" i="8"/>
  <c r="N149" i="8"/>
  <c r="F149" i="8"/>
  <c r="K149" i="8"/>
  <c r="B149" i="8"/>
  <c r="P149" i="8"/>
  <c r="M149" i="8"/>
  <c r="L149" i="8"/>
  <c r="H149" i="8"/>
  <c r="E149" i="8"/>
  <c r="D149" i="8"/>
  <c r="J117" i="8"/>
  <c r="I117" i="8"/>
  <c r="O117" i="8"/>
  <c r="G117" i="8"/>
  <c r="N117" i="8"/>
  <c r="F117" i="8"/>
  <c r="K117" i="8"/>
  <c r="B117" i="8"/>
  <c r="L117" i="8"/>
  <c r="H117" i="8"/>
  <c r="E117" i="8"/>
  <c r="D117" i="8"/>
  <c r="P117" i="8"/>
  <c r="M117" i="8"/>
  <c r="A934" i="8"/>
  <c r="G934" i="7"/>
  <c r="F934" i="7"/>
  <c r="M934" i="7"/>
  <c r="E934" i="7"/>
  <c r="L934" i="7"/>
  <c r="D934" i="7"/>
  <c r="K934" i="7"/>
  <c r="C934" i="7"/>
  <c r="J934" i="7"/>
  <c r="I934" i="7"/>
  <c r="H934" i="7"/>
  <c r="B934" i="7"/>
  <c r="A929" i="8"/>
  <c r="H929" i="7"/>
  <c r="G929" i="7"/>
  <c r="F929" i="7"/>
  <c r="M929" i="7"/>
  <c r="E929" i="7"/>
  <c r="L929" i="7"/>
  <c r="D929" i="7"/>
  <c r="K929" i="7"/>
  <c r="J929" i="7"/>
  <c r="I929" i="7"/>
  <c r="C929" i="7"/>
  <c r="B929" i="7"/>
  <c r="M704" i="8"/>
  <c r="E704" i="8"/>
  <c r="L704" i="8"/>
  <c r="D704" i="8"/>
  <c r="K704" i="8"/>
  <c r="B704" i="8"/>
  <c r="J704" i="8"/>
  <c r="I704" i="8"/>
  <c r="H704" i="8"/>
  <c r="G704" i="8"/>
  <c r="F704" i="8"/>
  <c r="P704" i="8"/>
  <c r="O704" i="8"/>
  <c r="N704" i="8"/>
  <c r="M688" i="8"/>
  <c r="E688" i="8"/>
  <c r="L688" i="8"/>
  <c r="D688" i="8"/>
  <c r="K688" i="8"/>
  <c r="B688" i="8"/>
  <c r="J688" i="8"/>
  <c r="I688" i="8"/>
  <c r="O688" i="8"/>
  <c r="N688" i="8"/>
  <c r="H688" i="8"/>
  <c r="G688" i="8"/>
  <c r="F688" i="8"/>
  <c r="P688" i="8"/>
  <c r="J392" i="8"/>
  <c r="I392" i="8"/>
  <c r="P392" i="8"/>
  <c r="H392" i="8"/>
  <c r="O392" i="8"/>
  <c r="G392" i="8"/>
  <c r="N392" i="8"/>
  <c r="F392" i="8"/>
  <c r="M392" i="8"/>
  <c r="L392" i="8"/>
  <c r="E392" i="8"/>
  <c r="D392" i="8"/>
  <c r="B392" i="8"/>
  <c r="K392" i="8"/>
  <c r="M256" i="8"/>
  <c r="E256" i="8"/>
  <c r="L256" i="8"/>
  <c r="D256" i="8"/>
  <c r="J256" i="8"/>
  <c r="I256" i="8"/>
  <c r="K256" i="8"/>
  <c r="H256" i="8"/>
  <c r="B256" i="8"/>
  <c r="N256" i="8"/>
  <c r="F256" i="8"/>
  <c r="G256" i="8"/>
  <c r="P256" i="8"/>
  <c r="O256" i="8"/>
  <c r="A982" i="8"/>
  <c r="G982" i="7"/>
  <c r="F982" i="7"/>
  <c r="M982" i="7"/>
  <c r="E982" i="7"/>
  <c r="L982" i="7"/>
  <c r="D982" i="7"/>
  <c r="K982" i="7"/>
  <c r="C982" i="7"/>
  <c r="J982" i="7"/>
  <c r="I982" i="7"/>
  <c r="H982" i="7"/>
  <c r="B982" i="7"/>
  <c r="L779" i="8"/>
  <c r="D779" i="8"/>
  <c r="K779" i="8"/>
  <c r="B779" i="8"/>
  <c r="I779" i="8"/>
  <c r="M779" i="8"/>
  <c r="J779" i="8"/>
  <c r="H779" i="8"/>
  <c r="G779" i="8"/>
  <c r="E779" i="8"/>
  <c r="P779" i="8"/>
  <c r="N779" i="8"/>
  <c r="F779" i="8"/>
  <c r="O779" i="8"/>
  <c r="L723" i="8"/>
  <c r="D723" i="8"/>
  <c r="K723" i="8"/>
  <c r="B723" i="8"/>
  <c r="J723" i="8"/>
  <c r="I723" i="8"/>
  <c r="G723" i="8"/>
  <c r="F723" i="8"/>
  <c r="E723" i="8"/>
  <c r="P723" i="8"/>
  <c r="O723" i="8"/>
  <c r="N723" i="8"/>
  <c r="M723" i="8"/>
  <c r="H723" i="8"/>
  <c r="O603" i="8"/>
  <c r="G603" i="8"/>
  <c r="N603" i="8"/>
  <c r="F603" i="8"/>
  <c r="M603" i="8"/>
  <c r="E603" i="8"/>
  <c r="L603" i="8"/>
  <c r="D603" i="8"/>
  <c r="I603" i="8"/>
  <c r="H603" i="8"/>
  <c r="B603" i="8"/>
  <c r="K603" i="8"/>
  <c r="J603" i="8"/>
  <c r="P603" i="8"/>
  <c r="M451" i="8"/>
  <c r="E451" i="8"/>
  <c r="L451" i="8"/>
  <c r="D451" i="8"/>
  <c r="K451" i="8"/>
  <c r="B451" i="8"/>
  <c r="J451" i="8"/>
  <c r="I451" i="8"/>
  <c r="F451" i="8"/>
  <c r="P451" i="8"/>
  <c r="O451" i="8"/>
  <c r="N451" i="8"/>
  <c r="G451" i="8"/>
  <c r="H451" i="8"/>
  <c r="M387" i="8"/>
  <c r="E387" i="8"/>
  <c r="L387" i="8"/>
  <c r="D387" i="8"/>
  <c r="K387" i="8"/>
  <c r="B387" i="8"/>
  <c r="J387" i="8"/>
  <c r="I387" i="8"/>
  <c r="F387" i="8"/>
  <c r="P387" i="8"/>
  <c r="O387" i="8"/>
  <c r="N387" i="8"/>
  <c r="G387" i="8"/>
  <c r="H387" i="8"/>
  <c r="A811" i="8"/>
  <c r="F811" i="7"/>
  <c r="M811" i="7"/>
  <c r="E811" i="7"/>
  <c r="L811" i="7"/>
  <c r="D811" i="7"/>
  <c r="K811" i="7"/>
  <c r="C811" i="7"/>
  <c r="J811" i="7"/>
  <c r="B811" i="7"/>
  <c r="I811" i="7"/>
  <c r="H811" i="7"/>
  <c r="G811" i="7"/>
  <c r="J622" i="8"/>
  <c r="I622" i="8"/>
  <c r="P622" i="8"/>
  <c r="H622" i="8"/>
  <c r="O622" i="8"/>
  <c r="G622" i="8"/>
  <c r="N622" i="8"/>
  <c r="F622" i="8"/>
  <c r="B622" i="8"/>
  <c r="M622" i="8"/>
  <c r="L622" i="8"/>
  <c r="K622" i="8"/>
  <c r="E622" i="8"/>
  <c r="D622" i="8"/>
  <c r="J614" i="8"/>
  <c r="I614" i="8"/>
  <c r="P614" i="8"/>
  <c r="H614" i="8"/>
  <c r="O614" i="8"/>
  <c r="G614" i="8"/>
  <c r="N614" i="8"/>
  <c r="F614" i="8"/>
  <c r="M614" i="8"/>
  <c r="L614" i="8"/>
  <c r="K614" i="8"/>
  <c r="E614" i="8"/>
  <c r="D614" i="8"/>
  <c r="B614" i="8"/>
  <c r="J526" i="8"/>
  <c r="I526" i="8"/>
  <c r="P526" i="8"/>
  <c r="H526" i="8"/>
  <c r="O526" i="8"/>
  <c r="G526" i="8"/>
  <c r="N526" i="8"/>
  <c r="F526" i="8"/>
  <c r="M526" i="8"/>
  <c r="L526" i="8"/>
  <c r="K526" i="8"/>
  <c r="E526" i="8"/>
  <c r="D526" i="8"/>
  <c r="B526" i="8"/>
  <c r="P406" i="8"/>
  <c r="H406" i="8"/>
  <c r="O406" i="8"/>
  <c r="G406" i="8"/>
  <c r="N406" i="8"/>
  <c r="F406" i="8"/>
  <c r="M406" i="8"/>
  <c r="E406" i="8"/>
  <c r="L406" i="8"/>
  <c r="D406" i="8"/>
  <c r="J406" i="8"/>
  <c r="I406" i="8"/>
  <c r="B406" i="8"/>
  <c r="K406" i="8"/>
  <c r="K286" i="8"/>
  <c r="B286" i="8"/>
  <c r="J286" i="8"/>
  <c r="P286" i="8"/>
  <c r="H286" i="8"/>
  <c r="O286" i="8"/>
  <c r="G286" i="8"/>
  <c r="I286" i="8"/>
  <c r="F286" i="8"/>
  <c r="L286" i="8"/>
  <c r="D286" i="8"/>
  <c r="E286" i="8"/>
  <c r="N286" i="8"/>
  <c r="M286" i="8"/>
  <c r="N214" i="8"/>
  <c r="F214" i="8"/>
  <c r="J214" i="8"/>
  <c r="L214" i="8"/>
  <c r="K214" i="8"/>
  <c r="H214" i="8"/>
  <c r="G214" i="8"/>
  <c r="M214" i="8"/>
  <c r="B214" i="8"/>
  <c r="D214" i="8"/>
  <c r="P214" i="8"/>
  <c r="O214" i="8"/>
  <c r="I214" i="8"/>
  <c r="E214" i="8"/>
  <c r="K150" i="8"/>
  <c r="B150" i="8"/>
  <c r="J150" i="8"/>
  <c r="P150" i="8"/>
  <c r="H150" i="8"/>
  <c r="O150" i="8"/>
  <c r="G150" i="8"/>
  <c r="L150" i="8"/>
  <c r="D150" i="8"/>
  <c r="F150" i="8"/>
  <c r="E150" i="8"/>
  <c r="N150" i="8"/>
  <c r="M150" i="8"/>
  <c r="I150" i="8"/>
  <c r="A457" i="8"/>
  <c r="G457" i="7"/>
  <c r="F457" i="7"/>
  <c r="M457" i="7"/>
  <c r="E457" i="7"/>
  <c r="L457" i="7"/>
  <c r="D457" i="7"/>
  <c r="K457" i="7"/>
  <c r="C457" i="7"/>
  <c r="J457" i="7"/>
  <c r="I457" i="7"/>
  <c r="H457" i="7"/>
  <c r="B457" i="7"/>
  <c r="A206" i="8"/>
  <c r="G206" i="7"/>
  <c r="F206" i="7"/>
  <c r="M206" i="7"/>
  <c r="E206" i="7"/>
  <c r="L206" i="7"/>
  <c r="D206" i="7"/>
  <c r="K206" i="7"/>
  <c r="C206" i="7"/>
  <c r="J206" i="7"/>
  <c r="I206" i="7"/>
  <c r="H206" i="7"/>
  <c r="B206" i="7"/>
  <c r="A993" i="8"/>
  <c r="J993" i="7"/>
  <c r="B993" i="7"/>
  <c r="I993" i="7"/>
  <c r="H993" i="7"/>
  <c r="G993" i="7"/>
  <c r="F993" i="7"/>
  <c r="E993" i="7"/>
  <c r="M993" i="7"/>
  <c r="L993" i="7"/>
  <c r="K993" i="7"/>
  <c r="C993" i="7"/>
  <c r="D993" i="7"/>
  <c r="A796" i="8"/>
  <c r="I796" i="7"/>
  <c r="F796" i="7"/>
  <c r="E796" i="7"/>
  <c r="M796" i="7"/>
  <c r="D796" i="7"/>
  <c r="L796" i="7"/>
  <c r="C796" i="7"/>
  <c r="K796" i="7"/>
  <c r="B796" i="7"/>
  <c r="H796" i="7"/>
  <c r="G796" i="7"/>
  <c r="J796" i="7"/>
  <c r="M649" i="8"/>
  <c r="E649" i="8"/>
  <c r="L649" i="8"/>
  <c r="D649" i="8"/>
  <c r="K649" i="8"/>
  <c r="B649" i="8"/>
  <c r="J649" i="8"/>
  <c r="I649" i="8"/>
  <c r="P649" i="8"/>
  <c r="O649" i="8"/>
  <c r="N649" i="8"/>
  <c r="H649" i="8"/>
  <c r="G649" i="8"/>
  <c r="F649" i="8"/>
  <c r="M569" i="8"/>
  <c r="E569" i="8"/>
  <c r="L569" i="8"/>
  <c r="D569" i="8"/>
  <c r="K569" i="8"/>
  <c r="B569" i="8"/>
  <c r="J569" i="8"/>
  <c r="I569" i="8"/>
  <c r="H569" i="8"/>
  <c r="G569" i="8"/>
  <c r="F569" i="8"/>
  <c r="N569" i="8"/>
  <c r="O569" i="8"/>
  <c r="P569" i="8"/>
  <c r="M513" i="8"/>
  <c r="E513" i="8"/>
  <c r="L513" i="8"/>
  <c r="D513" i="8"/>
  <c r="K513" i="8"/>
  <c r="B513" i="8"/>
  <c r="J513" i="8"/>
  <c r="I513" i="8"/>
  <c r="P513" i="8"/>
  <c r="O513" i="8"/>
  <c r="N513" i="8"/>
  <c r="H513" i="8"/>
  <c r="G513" i="8"/>
  <c r="F513" i="8"/>
  <c r="M465" i="8"/>
  <c r="E465" i="8"/>
  <c r="K465" i="8"/>
  <c r="B465" i="8"/>
  <c r="J465" i="8"/>
  <c r="I465" i="8"/>
  <c r="F465" i="8"/>
  <c r="D465" i="8"/>
  <c r="P465" i="8"/>
  <c r="O465" i="8"/>
  <c r="N465" i="8"/>
  <c r="G465" i="8"/>
  <c r="H465" i="8"/>
  <c r="L465" i="8"/>
  <c r="A537" i="8"/>
  <c r="G537" i="7"/>
  <c r="F537" i="7"/>
  <c r="M537" i="7"/>
  <c r="E537" i="7"/>
  <c r="L537" i="7"/>
  <c r="D537" i="7"/>
  <c r="K537" i="7"/>
  <c r="C537" i="7"/>
  <c r="J537" i="7"/>
  <c r="I537" i="7"/>
  <c r="H537" i="7"/>
  <c r="B537" i="7"/>
  <c r="A810" i="8"/>
  <c r="K810" i="7"/>
  <c r="C810" i="7"/>
  <c r="J810" i="7"/>
  <c r="B810" i="7"/>
  <c r="I810" i="7"/>
  <c r="H810" i="7"/>
  <c r="G810" i="7"/>
  <c r="L810" i="7"/>
  <c r="F810" i="7"/>
  <c r="E810" i="7"/>
  <c r="D810" i="7"/>
  <c r="M810" i="7"/>
  <c r="M748" i="8"/>
  <c r="E748" i="8"/>
  <c r="L748" i="8"/>
  <c r="D748" i="8"/>
  <c r="K748" i="8"/>
  <c r="B748" i="8"/>
  <c r="J748" i="8"/>
  <c r="P748" i="8"/>
  <c r="O748" i="8"/>
  <c r="N748" i="8"/>
  <c r="I748" i="8"/>
  <c r="H748" i="8"/>
  <c r="G748" i="8"/>
  <c r="F748" i="8"/>
  <c r="M716" i="8"/>
  <c r="E716" i="8"/>
  <c r="L716" i="8"/>
  <c r="D716" i="8"/>
  <c r="K716" i="8"/>
  <c r="B716" i="8"/>
  <c r="J716" i="8"/>
  <c r="P716" i="8"/>
  <c r="O716" i="8"/>
  <c r="N716" i="8"/>
  <c r="I716" i="8"/>
  <c r="H716" i="8"/>
  <c r="G716" i="8"/>
  <c r="F716" i="8"/>
  <c r="I676" i="8"/>
  <c r="P676" i="8"/>
  <c r="H676" i="8"/>
  <c r="O676" i="8"/>
  <c r="G676" i="8"/>
  <c r="N676" i="8"/>
  <c r="F676" i="8"/>
  <c r="M676" i="8"/>
  <c r="E676" i="8"/>
  <c r="B676" i="8"/>
  <c r="L676" i="8"/>
  <c r="D676" i="8"/>
  <c r="K676" i="8"/>
  <c r="J676" i="8"/>
  <c r="A711" i="8"/>
  <c r="G711" i="7"/>
  <c r="F711" i="7"/>
  <c r="M711" i="7"/>
  <c r="E711" i="7"/>
  <c r="L711" i="7"/>
  <c r="D711" i="7"/>
  <c r="K711" i="7"/>
  <c r="C711" i="7"/>
  <c r="B711" i="7"/>
  <c r="J711" i="7"/>
  <c r="I711" i="7"/>
  <c r="H711" i="7"/>
  <c r="A364" i="8"/>
  <c r="H364" i="7"/>
  <c r="G364" i="7"/>
  <c r="F364" i="7"/>
  <c r="M364" i="7"/>
  <c r="E364" i="7"/>
  <c r="L364" i="7"/>
  <c r="D364" i="7"/>
  <c r="I364" i="7"/>
  <c r="C364" i="7"/>
  <c r="B364" i="7"/>
  <c r="K364" i="7"/>
  <c r="J364" i="7"/>
  <c r="P75" i="8"/>
  <c r="H75" i="8"/>
  <c r="O75" i="8"/>
  <c r="G75" i="8"/>
  <c r="M75" i="8"/>
  <c r="E75" i="8"/>
  <c r="L75" i="8"/>
  <c r="D75" i="8"/>
  <c r="I75" i="8"/>
  <c r="N75" i="8"/>
  <c r="K75" i="8"/>
  <c r="J75" i="8"/>
  <c r="F75" i="8"/>
  <c r="B75" i="8"/>
  <c r="A639" i="8"/>
  <c r="I639" i="7"/>
  <c r="H639" i="7"/>
  <c r="G639" i="7"/>
  <c r="F639" i="7"/>
  <c r="M639" i="7"/>
  <c r="E639" i="7"/>
  <c r="L639" i="7"/>
  <c r="K639" i="7"/>
  <c r="J639" i="7"/>
  <c r="D639" i="7"/>
  <c r="C639" i="7"/>
  <c r="B639" i="7"/>
  <c r="A551" i="8"/>
  <c r="I551" i="7"/>
  <c r="H551" i="7"/>
  <c r="G551" i="7"/>
  <c r="F551" i="7"/>
  <c r="M551" i="7"/>
  <c r="E551" i="7"/>
  <c r="J551" i="7"/>
  <c r="D551" i="7"/>
  <c r="C551" i="7"/>
  <c r="B551" i="7"/>
  <c r="L551" i="7"/>
  <c r="K551" i="7"/>
  <c r="A332" i="8"/>
  <c r="H332" i="7"/>
  <c r="G332" i="7"/>
  <c r="F332" i="7"/>
  <c r="M332" i="7"/>
  <c r="E332" i="7"/>
  <c r="L332" i="7"/>
  <c r="D332" i="7"/>
  <c r="K332" i="7"/>
  <c r="J332" i="7"/>
  <c r="I332" i="7"/>
  <c r="C332" i="7"/>
  <c r="B332" i="7"/>
  <c r="A313" i="8"/>
  <c r="H313" i="7"/>
  <c r="G313" i="7"/>
  <c r="F313" i="7"/>
  <c r="M313" i="7"/>
  <c r="E313" i="7"/>
  <c r="L313" i="7"/>
  <c r="D313" i="7"/>
  <c r="K313" i="7"/>
  <c r="J313" i="7"/>
  <c r="I313" i="7"/>
  <c r="C313" i="7"/>
  <c r="B313" i="7"/>
  <c r="A308" i="8"/>
  <c r="I308" i="7"/>
  <c r="H308" i="7"/>
  <c r="G308" i="7"/>
  <c r="F308" i="7"/>
  <c r="M308" i="7"/>
  <c r="E308" i="7"/>
  <c r="L308" i="7"/>
  <c r="K308" i="7"/>
  <c r="J308" i="7"/>
  <c r="D308" i="7"/>
  <c r="C308" i="7"/>
  <c r="B308" i="7"/>
  <c r="A303" i="8"/>
  <c r="J303" i="7"/>
  <c r="B303" i="7"/>
  <c r="I303" i="7"/>
  <c r="H303" i="7"/>
  <c r="G303" i="7"/>
  <c r="F303" i="7"/>
  <c r="M303" i="7"/>
  <c r="L303" i="7"/>
  <c r="K303" i="7"/>
  <c r="E303" i="7"/>
  <c r="D303" i="7"/>
  <c r="C303" i="7"/>
  <c r="P30" i="8"/>
  <c r="H30" i="8"/>
  <c r="O30" i="8"/>
  <c r="G30" i="8"/>
  <c r="N30" i="8"/>
  <c r="F30" i="8"/>
  <c r="M30" i="8"/>
  <c r="E30" i="8"/>
  <c r="L30" i="8"/>
  <c r="D30" i="8"/>
  <c r="K30" i="8"/>
  <c r="B30" i="8"/>
  <c r="I30" i="8"/>
  <c r="J30" i="8"/>
  <c r="A47" i="8"/>
  <c r="G47" i="7"/>
  <c r="F47" i="7"/>
  <c r="M47" i="7"/>
  <c r="E47" i="7"/>
  <c r="L47" i="7"/>
  <c r="D47" i="7"/>
  <c r="K47" i="7"/>
  <c r="C47" i="7"/>
  <c r="J47" i="7"/>
  <c r="I47" i="7"/>
  <c r="H47" i="7"/>
  <c r="B47" i="7"/>
  <c r="A894" i="8"/>
  <c r="G894" i="7"/>
  <c r="F894" i="7"/>
  <c r="M894" i="7"/>
  <c r="E894" i="7"/>
  <c r="L894" i="7"/>
  <c r="D894" i="7"/>
  <c r="K894" i="7"/>
  <c r="C894" i="7"/>
  <c r="H894" i="7"/>
  <c r="B894" i="7"/>
  <c r="J894" i="7"/>
  <c r="I894" i="7"/>
  <c r="A695" i="8"/>
  <c r="G695" i="7"/>
  <c r="F695" i="7"/>
  <c r="M695" i="7"/>
  <c r="E695" i="7"/>
  <c r="L695" i="7"/>
  <c r="D695" i="7"/>
  <c r="K695" i="7"/>
  <c r="C695" i="7"/>
  <c r="J695" i="7"/>
  <c r="I695" i="7"/>
  <c r="H695" i="7"/>
  <c r="B695" i="7"/>
  <c r="A628" i="8"/>
  <c r="H628" i="7"/>
  <c r="G628" i="7"/>
  <c r="F628" i="7"/>
  <c r="M628" i="7"/>
  <c r="E628" i="7"/>
  <c r="L628" i="7"/>
  <c r="D628" i="7"/>
  <c r="J628" i="7"/>
  <c r="I628" i="7"/>
  <c r="C628" i="7"/>
  <c r="B628" i="7"/>
  <c r="K628" i="7"/>
  <c r="A431" i="8"/>
  <c r="I431" i="7"/>
  <c r="H431" i="7"/>
  <c r="G431" i="7"/>
  <c r="F431" i="7"/>
  <c r="M431" i="7"/>
  <c r="E431" i="7"/>
  <c r="K431" i="7"/>
  <c r="J431" i="7"/>
  <c r="D431" i="7"/>
  <c r="C431" i="7"/>
  <c r="B431" i="7"/>
  <c r="L431" i="7"/>
  <c r="A362" i="8"/>
  <c r="J362" i="7"/>
  <c r="B362" i="7"/>
  <c r="I362" i="7"/>
  <c r="H362" i="7"/>
  <c r="G362" i="7"/>
  <c r="F362" i="7"/>
  <c r="L362" i="7"/>
  <c r="K362" i="7"/>
  <c r="E362" i="7"/>
  <c r="D362" i="7"/>
  <c r="C362" i="7"/>
  <c r="M362" i="7"/>
  <c r="K345" i="8"/>
  <c r="J345" i="8"/>
  <c r="I345" i="8"/>
  <c r="P345" i="8"/>
  <c r="H345" i="8"/>
  <c r="F345" i="8"/>
  <c r="E345" i="8"/>
  <c r="O345" i="8"/>
  <c r="B345" i="8"/>
  <c r="N345" i="8"/>
  <c r="M345" i="8"/>
  <c r="G345" i="8"/>
  <c r="D345" i="8"/>
  <c r="L345" i="8"/>
  <c r="A212" i="8"/>
  <c r="I212" i="7"/>
  <c r="H212" i="7"/>
  <c r="G212" i="7"/>
  <c r="F212" i="7"/>
  <c r="M212" i="7"/>
  <c r="E212" i="7"/>
  <c r="D212" i="7"/>
  <c r="C212" i="7"/>
  <c r="B212" i="7"/>
  <c r="J212" i="7"/>
  <c r="K212" i="7"/>
  <c r="L212" i="7"/>
  <c r="A148" i="8"/>
  <c r="I148" i="7"/>
  <c r="H148" i="7"/>
  <c r="G148" i="7"/>
  <c r="F148" i="7"/>
  <c r="M148" i="7"/>
  <c r="E148" i="7"/>
  <c r="D148" i="7"/>
  <c r="C148" i="7"/>
  <c r="B148" i="7"/>
  <c r="L148" i="7"/>
  <c r="K148" i="7"/>
  <c r="J148" i="7"/>
  <c r="K41" i="8"/>
  <c r="B41" i="8"/>
  <c r="J41" i="8"/>
  <c r="I41" i="8"/>
  <c r="P41" i="8"/>
  <c r="H41" i="8"/>
  <c r="O41" i="8"/>
  <c r="G41" i="8"/>
  <c r="N41" i="8"/>
  <c r="F41" i="8"/>
  <c r="L41" i="8"/>
  <c r="D41" i="8"/>
  <c r="M41" i="8"/>
  <c r="E41" i="8"/>
  <c r="K33" i="8"/>
  <c r="B33" i="8"/>
  <c r="J33" i="8"/>
  <c r="I33" i="8"/>
  <c r="P33" i="8"/>
  <c r="H33" i="8"/>
  <c r="O33" i="8"/>
  <c r="G33" i="8"/>
  <c r="N33" i="8"/>
  <c r="F33" i="8"/>
  <c r="L33" i="8"/>
  <c r="D33" i="8"/>
  <c r="M33" i="8"/>
  <c r="E33" i="8"/>
  <c r="A297" i="8"/>
  <c r="H297" i="7"/>
  <c r="G297" i="7"/>
  <c r="F297" i="7"/>
  <c r="M297" i="7"/>
  <c r="E297" i="7"/>
  <c r="L297" i="7"/>
  <c r="D297" i="7"/>
  <c r="J297" i="7"/>
  <c r="I297" i="7"/>
  <c r="C297" i="7"/>
  <c r="B297" i="7"/>
  <c r="K297" i="7"/>
  <c r="A292" i="8"/>
  <c r="I292" i="7"/>
  <c r="H292" i="7"/>
  <c r="G292" i="7"/>
  <c r="F292" i="7"/>
  <c r="M292" i="7"/>
  <c r="E292" i="7"/>
  <c r="K292" i="7"/>
  <c r="J292" i="7"/>
  <c r="D292" i="7"/>
  <c r="C292" i="7"/>
  <c r="B292" i="7"/>
  <c r="L292" i="7"/>
  <c r="I84" i="8"/>
  <c r="P84" i="8"/>
  <c r="H84" i="8"/>
  <c r="N84" i="8"/>
  <c r="F84" i="8"/>
  <c r="M84" i="8"/>
  <c r="E84" i="8"/>
  <c r="J84" i="8"/>
  <c r="O84" i="8"/>
  <c r="L84" i="8"/>
  <c r="K84" i="8"/>
  <c r="G84" i="8"/>
  <c r="D84" i="8"/>
  <c r="B84" i="8"/>
  <c r="N20" i="8"/>
  <c r="F20" i="8"/>
  <c r="M20" i="8"/>
  <c r="E20" i="8"/>
  <c r="L20" i="8"/>
  <c r="D20" i="8"/>
  <c r="K20" i="8"/>
  <c r="B20" i="8"/>
  <c r="J20" i="8"/>
  <c r="I20" i="8"/>
  <c r="O20" i="8"/>
  <c r="G20" i="8"/>
  <c r="P20" i="8"/>
  <c r="H20" i="8"/>
  <c r="A679" i="8"/>
  <c r="F679" i="7"/>
  <c r="M679" i="7"/>
  <c r="E679" i="7"/>
  <c r="L679" i="7"/>
  <c r="D679" i="7"/>
  <c r="K679" i="7"/>
  <c r="C679" i="7"/>
  <c r="J679" i="7"/>
  <c r="I679" i="7"/>
  <c r="H679" i="7"/>
  <c r="G679" i="7"/>
  <c r="B679" i="7"/>
  <c r="A658" i="8"/>
  <c r="J658" i="7"/>
  <c r="B658" i="7"/>
  <c r="I658" i="7"/>
  <c r="H658" i="7"/>
  <c r="G658" i="7"/>
  <c r="F658" i="7"/>
  <c r="D658" i="7"/>
  <c r="C658" i="7"/>
  <c r="M658" i="7"/>
  <c r="E658" i="7"/>
  <c r="L658" i="7"/>
  <c r="K658" i="7"/>
  <c r="A564" i="8"/>
  <c r="H564" i="7"/>
  <c r="G564" i="7"/>
  <c r="F564" i="7"/>
  <c r="M564" i="7"/>
  <c r="E564" i="7"/>
  <c r="L564" i="7"/>
  <c r="D564" i="7"/>
  <c r="J564" i="7"/>
  <c r="I564" i="7"/>
  <c r="C564" i="7"/>
  <c r="B564" i="7"/>
  <c r="K564" i="7"/>
  <c r="A538" i="8"/>
  <c r="J538" i="7"/>
  <c r="B538" i="7"/>
  <c r="I538" i="7"/>
  <c r="H538" i="7"/>
  <c r="G538" i="7"/>
  <c r="F538" i="7"/>
  <c r="E538" i="7"/>
  <c r="D538" i="7"/>
  <c r="C538" i="7"/>
  <c r="M538" i="7"/>
  <c r="L538" i="7"/>
  <c r="K538" i="7"/>
  <c r="A468" i="8"/>
  <c r="H468" i="7"/>
  <c r="G468" i="7"/>
  <c r="F468" i="7"/>
  <c r="M468" i="7"/>
  <c r="E468" i="7"/>
  <c r="L468" i="7"/>
  <c r="D468" i="7"/>
  <c r="K468" i="7"/>
  <c r="J468" i="7"/>
  <c r="I468" i="7"/>
  <c r="C468" i="7"/>
  <c r="B468" i="7"/>
  <c r="A279" i="8"/>
  <c r="J279" i="7"/>
  <c r="B279" i="7"/>
  <c r="I279" i="7"/>
  <c r="H279" i="7"/>
  <c r="G279" i="7"/>
  <c r="F279" i="7"/>
  <c r="K279" i="7"/>
  <c r="E279" i="7"/>
  <c r="D279" i="7"/>
  <c r="C279" i="7"/>
  <c r="M279" i="7"/>
  <c r="L279" i="7"/>
  <c r="I23" i="8"/>
  <c r="P23" i="8"/>
  <c r="H23" i="8"/>
  <c r="O23" i="8"/>
  <c r="G23" i="8"/>
  <c r="N23" i="8"/>
  <c r="F23" i="8"/>
  <c r="M23" i="8"/>
  <c r="E23" i="8"/>
  <c r="L23" i="8"/>
  <c r="D23" i="8"/>
  <c r="J23" i="8"/>
  <c r="B23" i="8"/>
  <c r="K23" i="8"/>
  <c r="P283" i="8"/>
  <c r="H283" i="8"/>
  <c r="O283" i="8"/>
  <c r="G283" i="8"/>
  <c r="M283" i="8"/>
  <c r="E283" i="8"/>
  <c r="L283" i="8"/>
  <c r="D283" i="8"/>
  <c r="F283" i="8"/>
  <c r="B283" i="8"/>
  <c r="N283" i="8"/>
  <c r="I283" i="8"/>
  <c r="K283" i="8"/>
  <c r="J283" i="8"/>
  <c r="A751" i="8"/>
  <c r="G751" i="7"/>
  <c r="F751" i="7"/>
  <c r="M751" i="7"/>
  <c r="E751" i="7"/>
  <c r="L751" i="7"/>
  <c r="D751" i="7"/>
  <c r="K751" i="7"/>
  <c r="C751" i="7"/>
  <c r="J751" i="7"/>
  <c r="I751" i="7"/>
  <c r="H751" i="7"/>
  <c r="B751" i="7"/>
  <c r="A607" i="8"/>
  <c r="I607" i="7"/>
  <c r="H607" i="7"/>
  <c r="G607" i="7"/>
  <c r="F607" i="7"/>
  <c r="M607" i="7"/>
  <c r="E607" i="7"/>
  <c r="D607" i="7"/>
  <c r="C607" i="7"/>
  <c r="B607" i="7"/>
  <c r="L607" i="7"/>
  <c r="K607" i="7"/>
  <c r="J607" i="7"/>
  <c r="A495" i="8"/>
  <c r="I495" i="7"/>
  <c r="H495" i="7"/>
  <c r="G495" i="7"/>
  <c r="F495" i="7"/>
  <c r="M495" i="7"/>
  <c r="E495" i="7"/>
  <c r="K495" i="7"/>
  <c r="J495" i="7"/>
  <c r="D495" i="7"/>
  <c r="C495" i="7"/>
  <c r="B495" i="7"/>
  <c r="L495" i="7"/>
  <c r="A239" i="8"/>
  <c r="J239" i="7"/>
  <c r="B239" i="7"/>
  <c r="I239" i="7"/>
  <c r="H239" i="7"/>
  <c r="G239" i="7"/>
  <c r="F239" i="7"/>
  <c r="M239" i="7"/>
  <c r="L239" i="7"/>
  <c r="K239" i="7"/>
  <c r="E239" i="7"/>
  <c r="D239" i="7"/>
  <c r="C239" i="7"/>
  <c r="A226" i="8"/>
  <c r="K226" i="7"/>
  <c r="C226" i="7"/>
  <c r="J226" i="7"/>
  <c r="B226" i="7"/>
  <c r="I226" i="7"/>
  <c r="H226" i="7"/>
  <c r="G226" i="7"/>
  <c r="M226" i="7"/>
  <c r="L226" i="7"/>
  <c r="F226" i="7"/>
  <c r="E226" i="7"/>
  <c r="D226" i="7"/>
  <c r="A216" i="8"/>
  <c r="M216" i="7"/>
  <c r="E216" i="7"/>
  <c r="L216" i="7"/>
  <c r="D216" i="7"/>
  <c r="K216" i="7"/>
  <c r="C216" i="7"/>
  <c r="J216" i="7"/>
  <c r="B216" i="7"/>
  <c r="I216" i="7"/>
  <c r="H216" i="7"/>
  <c r="G216" i="7"/>
  <c r="F216" i="7"/>
  <c r="A207" i="8"/>
  <c r="J207" i="7"/>
  <c r="B207" i="7"/>
  <c r="I207" i="7"/>
  <c r="H207" i="7"/>
  <c r="G207" i="7"/>
  <c r="F207" i="7"/>
  <c r="E207" i="7"/>
  <c r="D207" i="7"/>
  <c r="C207" i="7"/>
  <c r="L207" i="7"/>
  <c r="K207" i="7"/>
  <c r="M207" i="7"/>
  <c r="A194" i="8"/>
  <c r="K194" i="7"/>
  <c r="C194" i="7"/>
  <c r="J194" i="7"/>
  <c r="B194" i="7"/>
  <c r="I194" i="7"/>
  <c r="H194" i="7"/>
  <c r="G194" i="7"/>
  <c r="E194" i="7"/>
  <c r="D194" i="7"/>
  <c r="L194" i="7"/>
  <c r="F194" i="7"/>
  <c r="M194" i="7"/>
  <c r="M80" i="8"/>
  <c r="E80" i="8"/>
  <c r="L80" i="8"/>
  <c r="D80" i="8"/>
  <c r="J80" i="8"/>
  <c r="I80" i="8"/>
  <c r="N80" i="8"/>
  <c r="F80" i="8"/>
  <c r="K80" i="8"/>
  <c r="H80" i="8"/>
  <c r="G80" i="8"/>
  <c r="B80" i="8"/>
  <c r="P80" i="8"/>
  <c r="O80" i="8"/>
  <c r="M72" i="8"/>
  <c r="E72" i="8"/>
  <c r="I72" i="8"/>
  <c r="L72" i="8"/>
  <c r="K72" i="8"/>
  <c r="J72" i="8"/>
  <c r="H72" i="8"/>
  <c r="G72" i="8"/>
  <c r="P72" i="8"/>
  <c r="F72" i="8"/>
  <c r="O72" i="8"/>
  <c r="D72" i="8"/>
  <c r="N72" i="8"/>
  <c r="B72" i="8"/>
  <c r="J40" i="8"/>
  <c r="I40" i="8"/>
  <c r="P40" i="8"/>
  <c r="H40" i="8"/>
  <c r="O40" i="8"/>
  <c r="G40" i="8"/>
  <c r="N40" i="8"/>
  <c r="F40" i="8"/>
  <c r="M40" i="8"/>
  <c r="E40" i="8"/>
  <c r="K40" i="8"/>
  <c r="B40" i="8"/>
  <c r="L40" i="8"/>
  <c r="D40" i="8"/>
  <c r="A306" i="8"/>
  <c r="K306" i="7"/>
  <c r="C306" i="7"/>
  <c r="J306" i="7"/>
  <c r="B306" i="7"/>
  <c r="I306" i="7"/>
  <c r="H306" i="7"/>
  <c r="G306" i="7"/>
  <c r="M306" i="7"/>
  <c r="L306" i="7"/>
  <c r="F306" i="7"/>
  <c r="E306" i="7"/>
  <c r="D306" i="7"/>
  <c r="A193" i="8"/>
  <c r="H193" i="7"/>
  <c r="G193" i="7"/>
  <c r="F193" i="7"/>
  <c r="M193" i="7"/>
  <c r="E193" i="7"/>
  <c r="L193" i="7"/>
  <c r="D193" i="7"/>
  <c r="K193" i="7"/>
  <c r="J193" i="7"/>
  <c r="I193" i="7"/>
  <c r="C193" i="7"/>
  <c r="B193" i="7"/>
  <c r="A93" i="8"/>
  <c r="L93" i="7"/>
  <c r="D93" i="7"/>
  <c r="J93" i="7"/>
  <c r="B93" i="7"/>
  <c r="I93" i="7"/>
  <c r="H93" i="7"/>
  <c r="F93" i="7"/>
  <c r="E93" i="7"/>
  <c r="C93" i="7"/>
  <c r="G93" i="7"/>
  <c r="M93" i="7"/>
  <c r="K93" i="7"/>
  <c r="A10" i="8"/>
  <c r="H10" i="7"/>
  <c r="G10" i="7"/>
  <c r="F10" i="7"/>
  <c r="M10" i="7"/>
  <c r="E10" i="7"/>
  <c r="L10" i="7"/>
  <c r="D10" i="7"/>
  <c r="I10" i="7"/>
  <c r="C10" i="7"/>
  <c r="B10" i="7"/>
  <c r="J10" i="7"/>
  <c r="K10" i="7"/>
  <c r="A378" i="8"/>
  <c r="J378" i="7"/>
  <c r="B378" i="7"/>
  <c r="I378" i="7"/>
  <c r="H378" i="7"/>
  <c r="G378" i="7"/>
  <c r="F378" i="7"/>
  <c r="M378" i="7"/>
  <c r="L378" i="7"/>
  <c r="K378" i="7"/>
  <c r="E378" i="7"/>
  <c r="C378" i="7"/>
  <c r="D378" i="7"/>
  <c r="A281" i="8"/>
  <c r="H281" i="7"/>
  <c r="G281" i="7"/>
  <c r="F281" i="7"/>
  <c r="M281" i="7"/>
  <c r="E281" i="7"/>
  <c r="L281" i="7"/>
  <c r="D281" i="7"/>
  <c r="C281" i="7"/>
  <c r="B281" i="7"/>
  <c r="K281" i="7"/>
  <c r="J281" i="7"/>
  <c r="I281" i="7"/>
  <c r="A42" i="8"/>
  <c r="H42" i="7"/>
  <c r="G42" i="7"/>
  <c r="F42" i="7"/>
  <c r="M42" i="7"/>
  <c r="E42" i="7"/>
  <c r="L42" i="7"/>
  <c r="D42" i="7"/>
  <c r="K42" i="7"/>
  <c r="J42" i="7"/>
  <c r="I42" i="7"/>
  <c r="C42" i="7"/>
  <c r="B42" i="7"/>
  <c r="A268" i="8"/>
  <c r="I268" i="7"/>
  <c r="H268" i="7"/>
  <c r="G268" i="7"/>
  <c r="F268" i="7"/>
  <c r="M268" i="7"/>
  <c r="E268" i="7"/>
  <c r="C268" i="7"/>
  <c r="B268" i="7"/>
  <c r="L268" i="7"/>
  <c r="K268" i="7"/>
  <c r="J268" i="7"/>
  <c r="D268" i="7"/>
  <c r="A69" i="8"/>
  <c r="L69" i="7"/>
  <c r="D69" i="7"/>
  <c r="J69" i="7"/>
  <c r="B69" i="7"/>
  <c r="I69" i="7"/>
  <c r="H69" i="7"/>
  <c r="M69" i="7"/>
  <c r="K69" i="7"/>
  <c r="G69" i="7"/>
  <c r="F69" i="7"/>
  <c r="E69" i="7"/>
  <c r="C69" i="7"/>
  <c r="A530" i="8"/>
  <c r="J530" i="7"/>
  <c r="B530" i="7"/>
  <c r="I530" i="7"/>
  <c r="H530" i="7"/>
  <c r="G530" i="7"/>
  <c r="F530" i="7"/>
  <c r="D530" i="7"/>
  <c r="C530" i="7"/>
  <c r="M530" i="7"/>
  <c r="L530" i="7"/>
  <c r="K530" i="7"/>
  <c r="E530" i="7"/>
  <c r="I996" i="8"/>
  <c r="L996" i="8"/>
  <c r="B996" i="8"/>
  <c r="K996" i="8"/>
  <c r="J996" i="8"/>
  <c r="H996" i="8"/>
  <c r="D996" i="8"/>
  <c r="P996" i="8"/>
  <c r="O996" i="8"/>
  <c r="N996" i="8"/>
  <c r="M996" i="8"/>
  <c r="E996" i="8"/>
  <c r="G996" i="8"/>
  <c r="F996" i="8"/>
  <c r="I972" i="8"/>
  <c r="O972" i="8"/>
  <c r="F972" i="8"/>
  <c r="N972" i="8"/>
  <c r="E972" i="8"/>
  <c r="M972" i="8"/>
  <c r="D972" i="8"/>
  <c r="L972" i="8"/>
  <c r="B972" i="8"/>
  <c r="P972" i="8"/>
  <c r="K972" i="8"/>
  <c r="J972" i="8"/>
  <c r="H972" i="8"/>
  <c r="G972" i="8"/>
  <c r="P860" i="8"/>
  <c r="H860" i="8"/>
  <c r="N860" i="8"/>
  <c r="F860" i="8"/>
  <c r="E860" i="8"/>
  <c r="O860" i="8"/>
  <c r="D860" i="8"/>
  <c r="M860" i="8"/>
  <c r="B860" i="8"/>
  <c r="L860" i="8"/>
  <c r="K860" i="8"/>
  <c r="G860" i="8"/>
  <c r="I860" i="8"/>
  <c r="J860" i="8"/>
  <c r="N725" i="8"/>
  <c r="F725" i="8"/>
  <c r="M725" i="8"/>
  <c r="E725" i="8"/>
  <c r="L725" i="8"/>
  <c r="D725" i="8"/>
  <c r="K725" i="8"/>
  <c r="B725" i="8"/>
  <c r="I725" i="8"/>
  <c r="H725" i="8"/>
  <c r="G725" i="8"/>
  <c r="P725" i="8"/>
  <c r="O725" i="8"/>
  <c r="J725" i="8"/>
  <c r="I645" i="8"/>
  <c r="P645" i="8"/>
  <c r="H645" i="8"/>
  <c r="O645" i="8"/>
  <c r="G645" i="8"/>
  <c r="N645" i="8"/>
  <c r="F645" i="8"/>
  <c r="M645" i="8"/>
  <c r="E645" i="8"/>
  <c r="L645" i="8"/>
  <c r="K645" i="8"/>
  <c r="J645" i="8"/>
  <c r="D645" i="8"/>
  <c r="B645" i="8"/>
  <c r="J245" i="8"/>
  <c r="I245" i="8"/>
  <c r="O245" i="8"/>
  <c r="G245" i="8"/>
  <c r="N245" i="8"/>
  <c r="F245" i="8"/>
  <c r="P245" i="8"/>
  <c r="M245" i="8"/>
  <c r="H245" i="8"/>
  <c r="B245" i="8"/>
  <c r="K245" i="8"/>
  <c r="E245" i="8"/>
  <c r="L245" i="8"/>
  <c r="D245" i="8"/>
  <c r="L552" i="8"/>
  <c r="D552" i="8"/>
  <c r="K552" i="8"/>
  <c r="B552" i="8"/>
  <c r="J552" i="8"/>
  <c r="I552" i="8"/>
  <c r="P552" i="8"/>
  <c r="H552" i="8"/>
  <c r="G552" i="8"/>
  <c r="F552" i="8"/>
  <c r="E552" i="8"/>
  <c r="O552" i="8"/>
  <c r="N552" i="8"/>
  <c r="M552" i="8"/>
  <c r="P243" i="8"/>
  <c r="H243" i="8"/>
  <c r="O243" i="8"/>
  <c r="G243" i="8"/>
  <c r="M243" i="8"/>
  <c r="E243" i="8"/>
  <c r="L243" i="8"/>
  <c r="D243" i="8"/>
  <c r="N243" i="8"/>
  <c r="K243" i="8"/>
  <c r="F243" i="8"/>
  <c r="I243" i="8"/>
  <c r="B243" i="8"/>
  <c r="J243" i="8"/>
  <c r="J654" i="8"/>
  <c r="I654" i="8"/>
  <c r="P654" i="8"/>
  <c r="H654" i="8"/>
  <c r="O654" i="8"/>
  <c r="G654" i="8"/>
  <c r="N654" i="8"/>
  <c r="F654" i="8"/>
  <c r="L654" i="8"/>
  <c r="K654" i="8"/>
  <c r="E654" i="8"/>
  <c r="D654" i="8"/>
  <c r="B654" i="8"/>
  <c r="M654" i="8"/>
  <c r="J478" i="8"/>
  <c r="P478" i="8"/>
  <c r="H478" i="8"/>
  <c r="O478" i="8"/>
  <c r="G478" i="8"/>
  <c r="N478" i="8"/>
  <c r="F478" i="8"/>
  <c r="B478" i="8"/>
  <c r="M478" i="8"/>
  <c r="L478" i="8"/>
  <c r="K478" i="8"/>
  <c r="I478" i="8"/>
  <c r="E478" i="8"/>
  <c r="D478" i="8"/>
  <c r="K78" i="8"/>
  <c r="B78" i="8"/>
  <c r="J78" i="8"/>
  <c r="P78" i="8"/>
  <c r="H78" i="8"/>
  <c r="O78" i="8"/>
  <c r="G78" i="8"/>
  <c r="L78" i="8"/>
  <c r="D78" i="8"/>
  <c r="N78" i="8"/>
  <c r="M78" i="8"/>
  <c r="I78" i="8"/>
  <c r="F78" i="8"/>
  <c r="E78" i="8"/>
  <c r="N68" i="8"/>
  <c r="F68" i="8"/>
  <c r="M68" i="8"/>
  <c r="E68" i="8"/>
  <c r="L68" i="8"/>
  <c r="D68" i="8"/>
  <c r="K68" i="8"/>
  <c r="B68" i="8"/>
  <c r="J68" i="8"/>
  <c r="I68" i="8"/>
  <c r="P68" i="8"/>
  <c r="H68" i="8"/>
  <c r="O68" i="8"/>
  <c r="G68" i="8"/>
  <c r="L919" i="8"/>
  <c r="D919" i="8"/>
  <c r="K919" i="8"/>
  <c r="B919" i="8"/>
  <c r="J919" i="8"/>
  <c r="I919" i="8"/>
  <c r="P919" i="8"/>
  <c r="M919" i="8"/>
  <c r="H919" i="8"/>
  <c r="G919" i="8"/>
  <c r="F919" i="8"/>
  <c r="E919" i="8"/>
  <c r="O919" i="8"/>
  <c r="N919" i="8"/>
  <c r="M890" i="8"/>
  <c r="E890" i="8"/>
  <c r="J890" i="8"/>
  <c r="I890" i="8"/>
  <c r="H890" i="8"/>
  <c r="G890" i="8"/>
  <c r="F890" i="8"/>
  <c r="N890" i="8"/>
  <c r="O890" i="8"/>
  <c r="L890" i="8"/>
  <c r="K890" i="8"/>
  <c r="D890" i="8"/>
  <c r="B890" i="8"/>
  <c r="P890" i="8"/>
  <c r="J909" i="8"/>
  <c r="I909" i="8"/>
  <c r="P909" i="8"/>
  <c r="H909" i="8"/>
  <c r="N909" i="8"/>
  <c r="B909" i="8"/>
  <c r="K909" i="8"/>
  <c r="G909" i="8"/>
  <c r="M909" i="8"/>
  <c r="L909" i="8"/>
  <c r="F909" i="8"/>
  <c r="D909" i="8"/>
  <c r="E909" i="8"/>
  <c r="O909" i="8"/>
  <c r="K880" i="8"/>
  <c r="B880" i="8"/>
  <c r="P880" i="8"/>
  <c r="H880" i="8"/>
  <c r="J880" i="8"/>
  <c r="I880" i="8"/>
  <c r="G880" i="8"/>
  <c r="N880" i="8"/>
  <c r="D880" i="8"/>
  <c r="O880" i="8"/>
  <c r="M880" i="8"/>
  <c r="L880" i="8"/>
  <c r="F880" i="8"/>
  <c r="E880" i="8"/>
  <c r="I541" i="8"/>
  <c r="P541" i="8"/>
  <c r="H541" i="8"/>
  <c r="O541" i="8"/>
  <c r="G541" i="8"/>
  <c r="N541" i="8"/>
  <c r="F541" i="8"/>
  <c r="M541" i="8"/>
  <c r="E541" i="8"/>
  <c r="B541" i="8"/>
  <c r="L541" i="8"/>
  <c r="K541" i="8"/>
  <c r="J541" i="8"/>
  <c r="D541" i="8"/>
  <c r="J141" i="8"/>
  <c r="I141" i="8"/>
  <c r="O141" i="8"/>
  <c r="G141" i="8"/>
  <c r="N141" i="8"/>
  <c r="F141" i="8"/>
  <c r="K141" i="8"/>
  <c r="B141" i="8"/>
  <c r="M141" i="8"/>
  <c r="L141" i="8"/>
  <c r="H141" i="8"/>
  <c r="E141" i="8"/>
  <c r="D141" i="8"/>
  <c r="P141" i="8"/>
  <c r="A414" i="8"/>
  <c r="F414" i="7"/>
  <c r="M414" i="7"/>
  <c r="E414" i="7"/>
  <c r="L414" i="7"/>
  <c r="D414" i="7"/>
  <c r="K414" i="7"/>
  <c r="C414" i="7"/>
  <c r="J414" i="7"/>
  <c r="B414" i="7"/>
  <c r="I414" i="7"/>
  <c r="H414" i="7"/>
  <c r="G414" i="7"/>
  <c r="A822" i="8"/>
  <c r="G822" i="7"/>
  <c r="F822" i="7"/>
  <c r="M822" i="7"/>
  <c r="E822" i="7"/>
  <c r="L822" i="7"/>
  <c r="D822" i="7"/>
  <c r="K822" i="7"/>
  <c r="C822" i="7"/>
  <c r="B822" i="7"/>
  <c r="J822" i="7"/>
  <c r="I822" i="7"/>
  <c r="H822" i="7"/>
  <c r="I744" i="8"/>
  <c r="P744" i="8"/>
  <c r="H744" i="8"/>
  <c r="O744" i="8"/>
  <c r="G744" i="8"/>
  <c r="N744" i="8"/>
  <c r="F744" i="8"/>
  <c r="L744" i="8"/>
  <c r="K744" i="8"/>
  <c r="J744" i="8"/>
  <c r="E744" i="8"/>
  <c r="D744" i="8"/>
  <c r="M744" i="8"/>
  <c r="B744" i="8"/>
  <c r="L584" i="8"/>
  <c r="D584" i="8"/>
  <c r="K584" i="8"/>
  <c r="B584" i="8"/>
  <c r="J584" i="8"/>
  <c r="I584" i="8"/>
  <c r="P584" i="8"/>
  <c r="H584" i="8"/>
  <c r="O584" i="8"/>
  <c r="N584" i="8"/>
  <c r="M584" i="8"/>
  <c r="G584" i="8"/>
  <c r="F584" i="8"/>
  <c r="E584" i="8"/>
  <c r="J384" i="8"/>
  <c r="I384" i="8"/>
  <c r="P384" i="8"/>
  <c r="H384" i="8"/>
  <c r="O384" i="8"/>
  <c r="G384" i="8"/>
  <c r="N384" i="8"/>
  <c r="F384" i="8"/>
  <c r="E384" i="8"/>
  <c r="D384" i="8"/>
  <c r="M384" i="8"/>
  <c r="L384" i="8"/>
  <c r="K384" i="8"/>
  <c r="B384" i="8"/>
  <c r="J368" i="8"/>
  <c r="I368" i="8"/>
  <c r="P368" i="8"/>
  <c r="H368" i="8"/>
  <c r="O368" i="8"/>
  <c r="G368" i="8"/>
  <c r="N368" i="8"/>
  <c r="F368" i="8"/>
  <c r="L368" i="8"/>
  <c r="K368" i="8"/>
  <c r="D368" i="8"/>
  <c r="B368" i="8"/>
  <c r="M368" i="8"/>
  <c r="E368" i="8"/>
  <c r="J352" i="8"/>
  <c r="I352" i="8"/>
  <c r="P352" i="8"/>
  <c r="H352" i="8"/>
  <c r="O352" i="8"/>
  <c r="G352" i="8"/>
  <c r="N352" i="8"/>
  <c r="F352" i="8"/>
  <c r="M352" i="8"/>
  <c r="K352" i="8"/>
  <c r="E352" i="8"/>
  <c r="D352" i="8"/>
  <c r="B352" i="8"/>
  <c r="L352" i="8"/>
  <c r="A815" i="8"/>
  <c r="J815" i="7"/>
  <c r="B815" i="7"/>
  <c r="I815" i="7"/>
  <c r="H815" i="7"/>
  <c r="G815" i="7"/>
  <c r="F815" i="7"/>
  <c r="K815" i="7"/>
  <c r="E815" i="7"/>
  <c r="D815" i="7"/>
  <c r="C815" i="7"/>
  <c r="M815" i="7"/>
  <c r="L815" i="7"/>
  <c r="P667" i="8"/>
  <c r="H667" i="8"/>
  <c r="O667" i="8"/>
  <c r="G667" i="8"/>
  <c r="N667" i="8"/>
  <c r="F667" i="8"/>
  <c r="M667" i="8"/>
  <c r="E667" i="8"/>
  <c r="L667" i="8"/>
  <c r="K667" i="8"/>
  <c r="J667" i="8"/>
  <c r="I667" i="8"/>
  <c r="D667" i="8"/>
  <c r="B667" i="8"/>
  <c r="J956" i="8"/>
  <c r="I956" i="8"/>
  <c r="P956" i="8"/>
  <c r="H956" i="8"/>
  <c r="O956" i="8"/>
  <c r="G956" i="8"/>
  <c r="B956" i="8"/>
  <c r="N956" i="8"/>
  <c r="M956" i="8"/>
  <c r="L956" i="8"/>
  <c r="K956" i="8"/>
  <c r="F956" i="8"/>
  <c r="E956" i="8"/>
  <c r="D956" i="8"/>
  <c r="L991" i="8"/>
  <c r="D991" i="8"/>
  <c r="N991" i="8"/>
  <c r="E991" i="8"/>
  <c r="M991" i="8"/>
  <c r="B991" i="8"/>
  <c r="K991" i="8"/>
  <c r="J991" i="8"/>
  <c r="F991" i="8"/>
  <c r="P991" i="8"/>
  <c r="O991" i="8"/>
  <c r="I991" i="8"/>
  <c r="H991" i="8"/>
  <c r="G991" i="8"/>
  <c r="M951" i="8"/>
  <c r="L951" i="8"/>
  <c r="D951" i="8"/>
  <c r="J951" i="8"/>
  <c r="N951" i="8"/>
  <c r="K951" i="8"/>
  <c r="I951" i="8"/>
  <c r="G951" i="8"/>
  <c r="E951" i="8"/>
  <c r="B951" i="8"/>
  <c r="P951" i="8"/>
  <c r="F951" i="8"/>
  <c r="H951" i="8"/>
  <c r="O951" i="8"/>
  <c r="L927" i="8"/>
  <c r="D927" i="8"/>
  <c r="K927" i="8"/>
  <c r="B927" i="8"/>
  <c r="J927" i="8"/>
  <c r="I927" i="8"/>
  <c r="H927" i="8"/>
  <c r="E927" i="8"/>
  <c r="P927" i="8"/>
  <c r="O927" i="8"/>
  <c r="N927" i="8"/>
  <c r="M927" i="8"/>
  <c r="G927" i="8"/>
  <c r="F927" i="8"/>
  <c r="L895" i="8"/>
  <c r="D895" i="8"/>
  <c r="K895" i="8"/>
  <c r="H895" i="8"/>
  <c r="P895" i="8"/>
  <c r="G895" i="8"/>
  <c r="M895" i="8"/>
  <c r="J895" i="8"/>
  <c r="I895" i="8"/>
  <c r="B895" i="8"/>
  <c r="O895" i="8"/>
  <c r="N895" i="8"/>
  <c r="F895" i="8"/>
  <c r="E895" i="8"/>
  <c r="O986" i="8"/>
  <c r="G986" i="8"/>
  <c r="P986" i="8"/>
  <c r="F986" i="8"/>
  <c r="N986" i="8"/>
  <c r="E986" i="8"/>
  <c r="M986" i="8"/>
  <c r="D986" i="8"/>
  <c r="L986" i="8"/>
  <c r="B986" i="8"/>
  <c r="H986" i="8"/>
  <c r="I986" i="8"/>
  <c r="J986" i="8"/>
  <c r="K986" i="8"/>
  <c r="M946" i="8"/>
  <c r="E946" i="8"/>
  <c r="L946" i="8"/>
  <c r="D946" i="8"/>
  <c r="K946" i="8"/>
  <c r="B946" i="8"/>
  <c r="I946" i="8"/>
  <c r="O946" i="8"/>
  <c r="N946" i="8"/>
  <c r="J946" i="8"/>
  <c r="H946" i="8"/>
  <c r="G946" i="8"/>
  <c r="P946" i="8"/>
  <c r="F946" i="8"/>
  <c r="O906" i="8"/>
  <c r="G906" i="8"/>
  <c r="N906" i="8"/>
  <c r="F906" i="8"/>
  <c r="M906" i="8"/>
  <c r="E906" i="8"/>
  <c r="I906" i="8"/>
  <c r="B906" i="8"/>
  <c r="P906" i="8"/>
  <c r="L906" i="8"/>
  <c r="K906" i="8"/>
  <c r="D906" i="8"/>
  <c r="H906" i="8"/>
  <c r="J906" i="8"/>
  <c r="P941" i="8"/>
  <c r="H941" i="8"/>
  <c r="O941" i="8"/>
  <c r="G941" i="8"/>
  <c r="N941" i="8"/>
  <c r="F941" i="8"/>
  <c r="L941" i="8"/>
  <c r="D941" i="8"/>
  <c r="J941" i="8"/>
  <c r="I941" i="8"/>
  <c r="E941" i="8"/>
  <c r="B941" i="8"/>
  <c r="K941" i="8"/>
  <c r="M941" i="8"/>
  <c r="I821" i="8"/>
  <c r="P821" i="8"/>
  <c r="H821" i="8"/>
  <c r="O821" i="8"/>
  <c r="G821" i="8"/>
  <c r="N821" i="8"/>
  <c r="F821" i="8"/>
  <c r="M821" i="8"/>
  <c r="L821" i="8"/>
  <c r="J821" i="8"/>
  <c r="E821" i="8"/>
  <c r="K821" i="8"/>
  <c r="D821" i="8"/>
  <c r="B821" i="8"/>
  <c r="I805" i="8"/>
  <c r="P805" i="8"/>
  <c r="H805" i="8"/>
  <c r="O805" i="8"/>
  <c r="G805" i="8"/>
  <c r="N805" i="8"/>
  <c r="F805" i="8"/>
  <c r="M805" i="8"/>
  <c r="L805" i="8"/>
  <c r="J805" i="8"/>
  <c r="E805" i="8"/>
  <c r="K805" i="8"/>
  <c r="D805" i="8"/>
  <c r="B805" i="8"/>
  <c r="M896" i="8"/>
  <c r="E896" i="8"/>
  <c r="O896" i="8"/>
  <c r="F896" i="8"/>
  <c r="K896" i="8"/>
  <c r="J896" i="8"/>
  <c r="L896" i="8"/>
  <c r="I896" i="8"/>
  <c r="H896" i="8"/>
  <c r="B896" i="8"/>
  <c r="D896" i="8"/>
  <c r="P896" i="8"/>
  <c r="G896" i="8"/>
  <c r="N896" i="8"/>
  <c r="L840" i="8"/>
  <c r="D840" i="8"/>
  <c r="J840" i="8"/>
  <c r="G840" i="8"/>
  <c r="P840" i="8"/>
  <c r="F840" i="8"/>
  <c r="O840" i="8"/>
  <c r="E840" i="8"/>
  <c r="N840" i="8"/>
  <c r="B840" i="8"/>
  <c r="M840" i="8"/>
  <c r="H840" i="8"/>
  <c r="K840" i="8"/>
  <c r="I840" i="8"/>
  <c r="N757" i="8"/>
  <c r="F757" i="8"/>
  <c r="M757" i="8"/>
  <c r="E757" i="8"/>
  <c r="L757" i="8"/>
  <c r="D757" i="8"/>
  <c r="K757" i="8"/>
  <c r="B757" i="8"/>
  <c r="I757" i="8"/>
  <c r="H757" i="8"/>
  <c r="G757" i="8"/>
  <c r="P757" i="8"/>
  <c r="O757" i="8"/>
  <c r="J757" i="8"/>
  <c r="N717" i="8"/>
  <c r="F717" i="8"/>
  <c r="M717" i="8"/>
  <c r="E717" i="8"/>
  <c r="L717" i="8"/>
  <c r="D717" i="8"/>
  <c r="K717" i="8"/>
  <c r="B717" i="8"/>
  <c r="P717" i="8"/>
  <c r="O717" i="8"/>
  <c r="J717" i="8"/>
  <c r="I717" i="8"/>
  <c r="H717" i="8"/>
  <c r="G717" i="8"/>
  <c r="I581" i="8"/>
  <c r="P581" i="8"/>
  <c r="H581" i="8"/>
  <c r="O581" i="8"/>
  <c r="G581" i="8"/>
  <c r="N581" i="8"/>
  <c r="F581" i="8"/>
  <c r="M581" i="8"/>
  <c r="E581" i="8"/>
  <c r="L581" i="8"/>
  <c r="K581" i="8"/>
  <c r="B581" i="8"/>
  <c r="J581" i="8"/>
  <c r="D581" i="8"/>
  <c r="I557" i="8"/>
  <c r="P557" i="8"/>
  <c r="H557" i="8"/>
  <c r="O557" i="8"/>
  <c r="G557" i="8"/>
  <c r="N557" i="8"/>
  <c r="F557" i="8"/>
  <c r="M557" i="8"/>
  <c r="E557" i="8"/>
  <c r="L557" i="8"/>
  <c r="K557" i="8"/>
  <c r="J557" i="8"/>
  <c r="D557" i="8"/>
  <c r="B557" i="8"/>
  <c r="O453" i="8"/>
  <c r="G453" i="8"/>
  <c r="N453" i="8"/>
  <c r="F453" i="8"/>
  <c r="M453" i="8"/>
  <c r="E453" i="8"/>
  <c r="L453" i="8"/>
  <c r="D453" i="8"/>
  <c r="K453" i="8"/>
  <c r="B453" i="8"/>
  <c r="P453" i="8"/>
  <c r="J453" i="8"/>
  <c r="I453" i="8"/>
  <c r="H453" i="8"/>
  <c r="O429" i="8"/>
  <c r="G429" i="8"/>
  <c r="N429" i="8"/>
  <c r="F429" i="8"/>
  <c r="M429" i="8"/>
  <c r="E429" i="8"/>
  <c r="L429" i="8"/>
  <c r="D429" i="8"/>
  <c r="K429" i="8"/>
  <c r="B429" i="8"/>
  <c r="P429" i="8"/>
  <c r="J429" i="8"/>
  <c r="H429" i="8"/>
  <c r="I429" i="8"/>
  <c r="O413" i="8"/>
  <c r="G413" i="8"/>
  <c r="N413" i="8"/>
  <c r="F413" i="8"/>
  <c r="M413" i="8"/>
  <c r="E413" i="8"/>
  <c r="L413" i="8"/>
  <c r="D413" i="8"/>
  <c r="K413" i="8"/>
  <c r="B413" i="8"/>
  <c r="J413" i="8"/>
  <c r="I413" i="8"/>
  <c r="H413" i="8"/>
  <c r="P413" i="8"/>
  <c r="O389" i="8"/>
  <c r="G389" i="8"/>
  <c r="N389" i="8"/>
  <c r="F389" i="8"/>
  <c r="M389" i="8"/>
  <c r="E389" i="8"/>
  <c r="L389" i="8"/>
  <c r="D389" i="8"/>
  <c r="K389" i="8"/>
  <c r="B389" i="8"/>
  <c r="P389" i="8"/>
  <c r="I389" i="8"/>
  <c r="H389" i="8"/>
  <c r="J389" i="8"/>
  <c r="O373" i="8"/>
  <c r="G373" i="8"/>
  <c r="N373" i="8"/>
  <c r="F373" i="8"/>
  <c r="M373" i="8"/>
  <c r="E373" i="8"/>
  <c r="L373" i="8"/>
  <c r="D373" i="8"/>
  <c r="K373" i="8"/>
  <c r="B373" i="8"/>
  <c r="P373" i="8"/>
  <c r="J373" i="8"/>
  <c r="I373" i="8"/>
  <c r="H373" i="8"/>
  <c r="J333" i="8"/>
  <c r="I333" i="8"/>
  <c r="O333" i="8"/>
  <c r="G333" i="8"/>
  <c r="N333" i="8"/>
  <c r="F333" i="8"/>
  <c r="M333" i="8"/>
  <c r="E333" i="8"/>
  <c r="P333" i="8"/>
  <c r="L333" i="8"/>
  <c r="H333" i="8"/>
  <c r="D333" i="8"/>
  <c r="K333" i="8"/>
  <c r="B333" i="8"/>
  <c r="J237" i="8"/>
  <c r="I237" i="8"/>
  <c r="O237" i="8"/>
  <c r="G237" i="8"/>
  <c r="N237" i="8"/>
  <c r="F237" i="8"/>
  <c r="H237" i="8"/>
  <c r="E237" i="8"/>
  <c r="P237" i="8"/>
  <c r="K237" i="8"/>
  <c r="B237" i="8"/>
  <c r="D237" i="8"/>
  <c r="M237" i="8"/>
  <c r="L237" i="8"/>
  <c r="J189" i="8"/>
  <c r="I189" i="8"/>
  <c r="O189" i="8"/>
  <c r="G189" i="8"/>
  <c r="N189" i="8"/>
  <c r="F189" i="8"/>
  <c r="K189" i="8"/>
  <c r="B189" i="8"/>
  <c r="P189" i="8"/>
  <c r="M189" i="8"/>
  <c r="L189" i="8"/>
  <c r="H189" i="8"/>
  <c r="E189" i="8"/>
  <c r="D189" i="8"/>
  <c r="J165" i="8"/>
  <c r="I165" i="8"/>
  <c r="O165" i="8"/>
  <c r="G165" i="8"/>
  <c r="N165" i="8"/>
  <c r="F165" i="8"/>
  <c r="K165" i="8"/>
  <c r="B165" i="8"/>
  <c r="P165" i="8"/>
  <c r="M165" i="8"/>
  <c r="L165" i="8"/>
  <c r="H165" i="8"/>
  <c r="E165" i="8"/>
  <c r="D165" i="8"/>
  <c r="A142" i="8"/>
  <c r="G142" i="7"/>
  <c r="F142" i="7"/>
  <c r="M142" i="7"/>
  <c r="E142" i="7"/>
  <c r="L142" i="7"/>
  <c r="D142" i="7"/>
  <c r="K142" i="7"/>
  <c r="C142" i="7"/>
  <c r="J142" i="7"/>
  <c r="I142" i="7"/>
  <c r="B142" i="7"/>
  <c r="H142" i="7"/>
  <c r="A823" i="8"/>
  <c r="J823" i="7"/>
  <c r="B823" i="7"/>
  <c r="I823" i="7"/>
  <c r="H823" i="7"/>
  <c r="G823" i="7"/>
  <c r="F823" i="7"/>
  <c r="L823" i="7"/>
  <c r="K823" i="7"/>
  <c r="E823" i="7"/>
  <c r="D823" i="7"/>
  <c r="C823" i="7"/>
  <c r="M823" i="7"/>
  <c r="A799" i="8"/>
  <c r="J799" i="7"/>
  <c r="B799" i="7"/>
  <c r="I799" i="7"/>
  <c r="H799" i="7"/>
  <c r="F799" i="7"/>
  <c r="G799" i="7"/>
  <c r="E799" i="7"/>
  <c r="D799" i="7"/>
  <c r="C799" i="7"/>
  <c r="K799" i="7"/>
  <c r="M799" i="7"/>
  <c r="L799" i="7"/>
  <c r="I776" i="8"/>
  <c r="N776" i="8"/>
  <c r="F776" i="8"/>
  <c r="J776" i="8"/>
  <c r="H776" i="8"/>
  <c r="G776" i="8"/>
  <c r="P776" i="8"/>
  <c r="E776" i="8"/>
  <c r="B776" i="8"/>
  <c r="O776" i="8"/>
  <c r="M776" i="8"/>
  <c r="L776" i="8"/>
  <c r="K776" i="8"/>
  <c r="D776" i="8"/>
  <c r="I736" i="8"/>
  <c r="P736" i="8"/>
  <c r="H736" i="8"/>
  <c r="O736" i="8"/>
  <c r="G736" i="8"/>
  <c r="N736" i="8"/>
  <c r="F736" i="8"/>
  <c r="D736" i="8"/>
  <c r="B736" i="8"/>
  <c r="M736" i="8"/>
  <c r="L736" i="8"/>
  <c r="K736" i="8"/>
  <c r="J736" i="8"/>
  <c r="E736" i="8"/>
  <c r="M696" i="8"/>
  <c r="E696" i="8"/>
  <c r="L696" i="8"/>
  <c r="D696" i="8"/>
  <c r="K696" i="8"/>
  <c r="B696" i="8"/>
  <c r="J696" i="8"/>
  <c r="I696" i="8"/>
  <c r="P696" i="8"/>
  <c r="O696" i="8"/>
  <c r="N696" i="8"/>
  <c r="H696" i="8"/>
  <c r="G696" i="8"/>
  <c r="F696" i="8"/>
  <c r="L624" i="8"/>
  <c r="D624" i="8"/>
  <c r="K624" i="8"/>
  <c r="B624" i="8"/>
  <c r="J624" i="8"/>
  <c r="I624" i="8"/>
  <c r="P624" i="8"/>
  <c r="H624" i="8"/>
  <c r="N624" i="8"/>
  <c r="M624" i="8"/>
  <c r="G624" i="8"/>
  <c r="F624" i="8"/>
  <c r="E624" i="8"/>
  <c r="O624" i="8"/>
  <c r="L616" i="8"/>
  <c r="D616" i="8"/>
  <c r="K616" i="8"/>
  <c r="B616" i="8"/>
  <c r="J616" i="8"/>
  <c r="I616" i="8"/>
  <c r="P616" i="8"/>
  <c r="H616" i="8"/>
  <c r="F616" i="8"/>
  <c r="E616" i="8"/>
  <c r="O616" i="8"/>
  <c r="M616" i="8"/>
  <c r="G616" i="8"/>
  <c r="N616" i="8"/>
  <c r="L608" i="8"/>
  <c r="D608" i="8"/>
  <c r="K608" i="8"/>
  <c r="B608" i="8"/>
  <c r="J608" i="8"/>
  <c r="I608" i="8"/>
  <c r="P608" i="8"/>
  <c r="H608" i="8"/>
  <c r="O608" i="8"/>
  <c r="N608" i="8"/>
  <c r="M608" i="8"/>
  <c r="G608" i="8"/>
  <c r="F608" i="8"/>
  <c r="E608" i="8"/>
  <c r="L600" i="8"/>
  <c r="D600" i="8"/>
  <c r="K600" i="8"/>
  <c r="B600" i="8"/>
  <c r="J600" i="8"/>
  <c r="I600" i="8"/>
  <c r="F600" i="8"/>
  <c r="E600" i="8"/>
  <c r="P600" i="8"/>
  <c r="O600" i="8"/>
  <c r="N600" i="8"/>
  <c r="G600" i="8"/>
  <c r="M600" i="8"/>
  <c r="H600" i="8"/>
  <c r="L592" i="8"/>
  <c r="D592" i="8"/>
  <c r="K592" i="8"/>
  <c r="B592" i="8"/>
  <c r="J592" i="8"/>
  <c r="I592" i="8"/>
  <c r="P592" i="8"/>
  <c r="H592" i="8"/>
  <c r="F592" i="8"/>
  <c r="E592" i="8"/>
  <c r="O592" i="8"/>
  <c r="G592" i="8"/>
  <c r="M592" i="8"/>
  <c r="N592" i="8"/>
  <c r="L488" i="8"/>
  <c r="D488" i="8"/>
  <c r="J488" i="8"/>
  <c r="I488" i="8"/>
  <c r="P488" i="8"/>
  <c r="H488" i="8"/>
  <c r="M488" i="8"/>
  <c r="K488" i="8"/>
  <c r="G488" i="8"/>
  <c r="F488" i="8"/>
  <c r="E488" i="8"/>
  <c r="O488" i="8"/>
  <c r="B488" i="8"/>
  <c r="N488" i="8"/>
  <c r="L480" i="8"/>
  <c r="D480" i="8"/>
  <c r="J480" i="8"/>
  <c r="I480" i="8"/>
  <c r="P480" i="8"/>
  <c r="H480" i="8"/>
  <c r="E480" i="8"/>
  <c r="B480" i="8"/>
  <c r="O480" i="8"/>
  <c r="N480" i="8"/>
  <c r="M480" i="8"/>
  <c r="K480" i="8"/>
  <c r="G480" i="8"/>
  <c r="F480" i="8"/>
  <c r="L472" i="8"/>
  <c r="D472" i="8"/>
  <c r="J472" i="8"/>
  <c r="I472" i="8"/>
  <c r="P472" i="8"/>
  <c r="H472" i="8"/>
  <c r="M472" i="8"/>
  <c r="K472" i="8"/>
  <c r="G472" i="8"/>
  <c r="F472" i="8"/>
  <c r="E472" i="8"/>
  <c r="O472" i="8"/>
  <c r="N472" i="8"/>
  <c r="B472" i="8"/>
  <c r="L464" i="8"/>
  <c r="D464" i="8"/>
  <c r="J464" i="8"/>
  <c r="I464" i="8"/>
  <c r="P464" i="8"/>
  <c r="H464" i="8"/>
  <c r="E464" i="8"/>
  <c r="B464" i="8"/>
  <c r="O464" i="8"/>
  <c r="N464" i="8"/>
  <c r="M464" i="8"/>
  <c r="K464" i="8"/>
  <c r="G464" i="8"/>
  <c r="F464" i="8"/>
  <c r="L456" i="8"/>
  <c r="D456" i="8"/>
  <c r="J456" i="8"/>
  <c r="I456" i="8"/>
  <c r="P456" i="8"/>
  <c r="H456" i="8"/>
  <c r="M456" i="8"/>
  <c r="K456" i="8"/>
  <c r="G456" i="8"/>
  <c r="F456" i="8"/>
  <c r="E456" i="8"/>
  <c r="N456" i="8"/>
  <c r="B456" i="8"/>
  <c r="O456" i="8"/>
  <c r="M320" i="8"/>
  <c r="E320" i="8"/>
  <c r="L320" i="8"/>
  <c r="D320" i="8"/>
  <c r="J320" i="8"/>
  <c r="I320" i="8"/>
  <c r="K320" i="8"/>
  <c r="H320" i="8"/>
  <c r="F320" i="8"/>
  <c r="B320" i="8"/>
  <c r="N320" i="8"/>
  <c r="G320" i="8"/>
  <c r="P320" i="8"/>
  <c r="O320" i="8"/>
  <c r="M288" i="8"/>
  <c r="E288" i="8"/>
  <c r="L288" i="8"/>
  <c r="D288" i="8"/>
  <c r="J288" i="8"/>
  <c r="I288" i="8"/>
  <c r="K288" i="8"/>
  <c r="H288" i="8"/>
  <c r="B288" i="8"/>
  <c r="N288" i="8"/>
  <c r="F288" i="8"/>
  <c r="G288" i="8"/>
  <c r="P288" i="8"/>
  <c r="O288" i="8"/>
  <c r="A598" i="8"/>
  <c r="F598" i="7"/>
  <c r="M598" i="7"/>
  <c r="E598" i="7"/>
  <c r="L598" i="7"/>
  <c r="D598" i="7"/>
  <c r="K598" i="7"/>
  <c r="C598" i="7"/>
  <c r="J598" i="7"/>
  <c r="B598" i="7"/>
  <c r="I598" i="7"/>
  <c r="H598" i="7"/>
  <c r="G598" i="7"/>
  <c r="A977" i="8"/>
  <c r="H977" i="7"/>
  <c r="G977" i="7"/>
  <c r="F977" i="7"/>
  <c r="M977" i="7"/>
  <c r="E977" i="7"/>
  <c r="L977" i="7"/>
  <c r="D977" i="7"/>
  <c r="K977" i="7"/>
  <c r="J977" i="7"/>
  <c r="I977" i="7"/>
  <c r="C977" i="7"/>
  <c r="B977" i="7"/>
  <c r="P699" i="8"/>
  <c r="H699" i="8"/>
  <c r="O699" i="8"/>
  <c r="G699" i="8"/>
  <c r="N699" i="8"/>
  <c r="F699" i="8"/>
  <c r="M699" i="8"/>
  <c r="E699" i="8"/>
  <c r="L699" i="8"/>
  <c r="D699" i="8"/>
  <c r="K699" i="8"/>
  <c r="J699" i="8"/>
  <c r="B699" i="8"/>
  <c r="I699" i="8"/>
  <c r="O579" i="8"/>
  <c r="G579" i="8"/>
  <c r="N579" i="8"/>
  <c r="F579" i="8"/>
  <c r="M579" i="8"/>
  <c r="E579" i="8"/>
  <c r="L579" i="8"/>
  <c r="D579" i="8"/>
  <c r="K579" i="8"/>
  <c r="B579" i="8"/>
  <c r="I579" i="8"/>
  <c r="H579" i="8"/>
  <c r="P579" i="8"/>
  <c r="J579" i="8"/>
  <c r="O483" i="8"/>
  <c r="G483" i="8"/>
  <c r="M483" i="8"/>
  <c r="E483" i="8"/>
  <c r="L483" i="8"/>
  <c r="D483" i="8"/>
  <c r="K483" i="8"/>
  <c r="B483" i="8"/>
  <c r="H483" i="8"/>
  <c r="F483" i="8"/>
  <c r="P483" i="8"/>
  <c r="N483" i="8"/>
  <c r="J483" i="8"/>
  <c r="I483" i="8"/>
  <c r="O467" i="8"/>
  <c r="G467" i="8"/>
  <c r="M467" i="8"/>
  <c r="E467" i="8"/>
  <c r="L467" i="8"/>
  <c r="D467" i="8"/>
  <c r="K467" i="8"/>
  <c r="B467" i="8"/>
  <c r="H467" i="8"/>
  <c r="F467" i="8"/>
  <c r="P467" i="8"/>
  <c r="N467" i="8"/>
  <c r="J467" i="8"/>
  <c r="I467" i="8"/>
  <c r="M419" i="8"/>
  <c r="E419" i="8"/>
  <c r="L419" i="8"/>
  <c r="D419" i="8"/>
  <c r="K419" i="8"/>
  <c r="B419" i="8"/>
  <c r="J419" i="8"/>
  <c r="I419" i="8"/>
  <c r="O419" i="8"/>
  <c r="N419" i="8"/>
  <c r="G419" i="8"/>
  <c r="F419" i="8"/>
  <c r="P419" i="8"/>
  <c r="H419" i="8"/>
  <c r="M403" i="8"/>
  <c r="E403" i="8"/>
  <c r="L403" i="8"/>
  <c r="D403" i="8"/>
  <c r="K403" i="8"/>
  <c r="B403" i="8"/>
  <c r="J403" i="8"/>
  <c r="I403" i="8"/>
  <c r="P403" i="8"/>
  <c r="N403" i="8"/>
  <c r="H403" i="8"/>
  <c r="G403" i="8"/>
  <c r="O403" i="8"/>
  <c r="F403" i="8"/>
  <c r="M363" i="8"/>
  <c r="E363" i="8"/>
  <c r="L363" i="8"/>
  <c r="D363" i="8"/>
  <c r="K363" i="8"/>
  <c r="B363" i="8"/>
  <c r="J363" i="8"/>
  <c r="I363" i="8"/>
  <c r="O363" i="8"/>
  <c r="N363" i="8"/>
  <c r="H363" i="8"/>
  <c r="G363" i="8"/>
  <c r="F363" i="8"/>
  <c r="P363" i="8"/>
  <c r="M347" i="8"/>
  <c r="E347" i="8"/>
  <c r="L347" i="8"/>
  <c r="D347" i="8"/>
  <c r="K347" i="8"/>
  <c r="B347" i="8"/>
  <c r="J347" i="8"/>
  <c r="H347" i="8"/>
  <c r="G347" i="8"/>
  <c r="P347" i="8"/>
  <c r="O347" i="8"/>
  <c r="N347" i="8"/>
  <c r="F347" i="8"/>
  <c r="I347" i="8"/>
  <c r="P323" i="8"/>
  <c r="H323" i="8"/>
  <c r="O323" i="8"/>
  <c r="G323" i="8"/>
  <c r="M323" i="8"/>
  <c r="E323" i="8"/>
  <c r="L323" i="8"/>
  <c r="D323" i="8"/>
  <c r="K323" i="8"/>
  <c r="N323" i="8"/>
  <c r="I323" i="8"/>
  <c r="F323" i="8"/>
  <c r="B323" i="8"/>
  <c r="J323" i="8"/>
  <c r="P259" i="8"/>
  <c r="H259" i="8"/>
  <c r="O259" i="8"/>
  <c r="G259" i="8"/>
  <c r="M259" i="8"/>
  <c r="E259" i="8"/>
  <c r="L259" i="8"/>
  <c r="D259" i="8"/>
  <c r="N259" i="8"/>
  <c r="K259" i="8"/>
  <c r="F259" i="8"/>
  <c r="J259" i="8"/>
  <c r="I259" i="8"/>
  <c r="B259" i="8"/>
  <c r="K227" i="8"/>
  <c r="B227" i="8"/>
  <c r="J227" i="8"/>
  <c r="O227" i="8"/>
  <c r="G227" i="8"/>
  <c r="L227" i="8"/>
  <c r="D227" i="8"/>
  <c r="H227" i="8"/>
  <c r="F227" i="8"/>
  <c r="P227" i="8"/>
  <c r="I227" i="8"/>
  <c r="N227" i="8"/>
  <c r="M227" i="8"/>
  <c r="E227" i="8"/>
  <c r="P115" i="8"/>
  <c r="H115" i="8"/>
  <c r="O115" i="8"/>
  <c r="G115" i="8"/>
  <c r="M115" i="8"/>
  <c r="E115" i="8"/>
  <c r="L115" i="8"/>
  <c r="D115" i="8"/>
  <c r="I115" i="8"/>
  <c r="N115" i="8"/>
  <c r="K115" i="8"/>
  <c r="J115" i="8"/>
  <c r="F115" i="8"/>
  <c r="B115" i="8"/>
  <c r="A849" i="8"/>
  <c r="H849" i="7"/>
  <c r="G849" i="7"/>
  <c r="F849" i="7"/>
  <c r="M849" i="7"/>
  <c r="E849" i="7"/>
  <c r="L849" i="7"/>
  <c r="D849" i="7"/>
  <c r="K849" i="7"/>
  <c r="J849" i="7"/>
  <c r="I849" i="7"/>
  <c r="C849" i="7"/>
  <c r="B849" i="7"/>
  <c r="J790" i="8"/>
  <c r="I790" i="8"/>
  <c r="G790" i="8"/>
  <c r="P790" i="8"/>
  <c r="F790" i="8"/>
  <c r="N790" i="8"/>
  <c r="D790" i="8"/>
  <c r="M790" i="8"/>
  <c r="K790" i="8"/>
  <c r="H790" i="8"/>
  <c r="E790" i="8"/>
  <c r="B790" i="8"/>
  <c r="O790" i="8"/>
  <c r="L790" i="8"/>
  <c r="O766" i="8"/>
  <c r="G766" i="8"/>
  <c r="N766" i="8"/>
  <c r="F766" i="8"/>
  <c r="M766" i="8"/>
  <c r="E766" i="8"/>
  <c r="L766" i="8"/>
  <c r="D766" i="8"/>
  <c r="P766" i="8"/>
  <c r="K766" i="8"/>
  <c r="J766" i="8"/>
  <c r="I766" i="8"/>
  <c r="H766" i="8"/>
  <c r="B766" i="8"/>
  <c r="O718" i="8"/>
  <c r="G718" i="8"/>
  <c r="N718" i="8"/>
  <c r="F718" i="8"/>
  <c r="M718" i="8"/>
  <c r="E718" i="8"/>
  <c r="L718" i="8"/>
  <c r="D718" i="8"/>
  <c r="P718" i="8"/>
  <c r="K718" i="8"/>
  <c r="J718" i="8"/>
  <c r="H718" i="8"/>
  <c r="B718" i="8"/>
  <c r="I718" i="8"/>
  <c r="J590" i="8"/>
  <c r="I590" i="8"/>
  <c r="P590" i="8"/>
  <c r="H590" i="8"/>
  <c r="O590" i="8"/>
  <c r="G590" i="8"/>
  <c r="N590" i="8"/>
  <c r="F590" i="8"/>
  <c r="M590" i="8"/>
  <c r="L590" i="8"/>
  <c r="K590" i="8"/>
  <c r="E590" i="8"/>
  <c r="D590" i="8"/>
  <c r="B590" i="8"/>
  <c r="J558" i="8"/>
  <c r="I558" i="8"/>
  <c r="P558" i="8"/>
  <c r="H558" i="8"/>
  <c r="O558" i="8"/>
  <c r="G558" i="8"/>
  <c r="N558" i="8"/>
  <c r="F558" i="8"/>
  <c r="D558" i="8"/>
  <c r="B558" i="8"/>
  <c r="M558" i="8"/>
  <c r="E558" i="8"/>
  <c r="L558" i="8"/>
  <c r="K558" i="8"/>
  <c r="J518" i="8"/>
  <c r="I518" i="8"/>
  <c r="P518" i="8"/>
  <c r="H518" i="8"/>
  <c r="O518" i="8"/>
  <c r="G518" i="8"/>
  <c r="N518" i="8"/>
  <c r="F518" i="8"/>
  <c r="E518" i="8"/>
  <c r="D518" i="8"/>
  <c r="B518" i="8"/>
  <c r="M518" i="8"/>
  <c r="L518" i="8"/>
  <c r="K518" i="8"/>
  <c r="J510" i="8"/>
  <c r="I510" i="8"/>
  <c r="P510" i="8"/>
  <c r="H510" i="8"/>
  <c r="O510" i="8"/>
  <c r="G510" i="8"/>
  <c r="N510" i="8"/>
  <c r="F510" i="8"/>
  <c r="M510" i="8"/>
  <c r="L510" i="8"/>
  <c r="K510" i="8"/>
  <c r="E510" i="8"/>
  <c r="D510" i="8"/>
  <c r="B510" i="8"/>
  <c r="J502" i="8"/>
  <c r="I502" i="8"/>
  <c r="P502" i="8"/>
  <c r="H502" i="8"/>
  <c r="O502" i="8"/>
  <c r="G502" i="8"/>
  <c r="N502" i="8"/>
  <c r="F502" i="8"/>
  <c r="L502" i="8"/>
  <c r="K502" i="8"/>
  <c r="E502" i="8"/>
  <c r="D502" i="8"/>
  <c r="B502" i="8"/>
  <c r="M502" i="8"/>
  <c r="J462" i="8"/>
  <c r="P462" i="8"/>
  <c r="H462" i="8"/>
  <c r="O462" i="8"/>
  <c r="G462" i="8"/>
  <c r="N462" i="8"/>
  <c r="F462" i="8"/>
  <c r="B462" i="8"/>
  <c r="M462" i="8"/>
  <c r="L462" i="8"/>
  <c r="K462" i="8"/>
  <c r="E462" i="8"/>
  <c r="D462" i="8"/>
  <c r="I462" i="8"/>
  <c r="P398" i="8"/>
  <c r="H398" i="8"/>
  <c r="O398" i="8"/>
  <c r="G398" i="8"/>
  <c r="N398" i="8"/>
  <c r="F398" i="8"/>
  <c r="M398" i="8"/>
  <c r="E398" i="8"/>
  <c r="L398" i="8"/>
  <c r="D398" i="8"/>
  <c r="J398" i="8"/>
  <c r="I398" i="8"/>
  <c r="B398" i="8"/>
  <c r="K398" i="8"/>
  <c r="P366" i="8"/>
  <c r="H366" i="8"/>
  <c r="O366" i="8"/>
  <c r="G366" i="8"/>
  <c r="N366" i="8"/>
  <c r="F366" i="8"/>
  <c r="M366" i="8"/>
  <c r="E366" i="8"/>
  <c r="L366" i="8"/>
  <c r="D366" i="8"/>
  <c r="K366" i="8"/>
  <c r="J366" i="8"/>
  <c r="I366" i="8"/>
  <c r="B366" i="8"/>
  <c r="K310" i="8"/>
  <c r="B310" i="8"/>
  <c r="J310" i="8"/>
  <c r="P310" i="8"/>
  <c r="H310" i="8"/>
  <c r="O310" i="8"/>
  <c r="G310" i="8"/>
  <c r="N310" i="8"/>
  <c r="L310" i="8"/>
  <c r="I310" i="8"/>
  <c r="D310" i="8"/>
  <c r="F310" i="8"/>
  <c r="E310" i="8"/>
  <c r="M310" i="8"/>
  <c r="K246" i="8"/>
  <c r="B246" i="8"/>
  <c r="J246" i="8"/>
  <c r="P246" i="8"/>
  <c r="H246" i="8"/>
  <c r="O246" i="8"/>
  <c r="G246" i="8"/>
  <c r="N246" i="8"/>
  <c r="I246" i="8"/>
  <c r="D246" i="8"/>
  <c r="M246" i="8"/>
  <c r="L246" i="8"/>
  <c r="F246" i="8"/>
  <c r="E246" i="8"/>
  <c r="K182" i="8"/>
  <c r="B182" i="8"/>
  <c r="J182" i="8"/>
  <c r="P182" i="8"/>
  <c r="H182" i="8"/>
  <c r="O182" i="8"/>
  <c r="G182" i="8"/>
  <c r="L182" i="8"/>
  <c r="D182" i="8"/>
  <c r="N182" i="8"/>
  <c r="M182" i="8"/>
  <c r="I182" i="8"/>
  <c r="F182" i="8"/>
  <c r="E182" i="8"/>
  <c r="A851" i="8"/>
  <c r="F851" i="7"/>
  <c r="M851" i="7"/>
  <c r="E851" i="7"/>
  <c r="L851" i="7"/>
  <c r="D851" i="7"/>
  <c r="K851" i="7"/>
  <c r="C851" i="7"/>
  <c r="J851" i="7"/>
  <c r="B851" i="7"/>
  <c r="I851" i="7"/>
  <c r="H851" i="7"/>
  <c r="G851" i="7"/>
  <c r="J769" i="8"/>
  <c r="I769" i="8"/>
  <c r="P769" i="8"/>
  <c r="H769" i="8"/>
  <c r="O769" i="8"/>
  <c r="G769" i="8"/>
  <c r="E769" i="8"/>
  <c r="D769" i="8"/>
  <c r="B769" i="8"/>
  <c r="N769" i="8"/>
  <c r="M769" i="8"/>
  <c r="K769" i="8"/>
  <c r="F769" i="8"/>
  <c r="L769" i="8"/>
  <c r="J761" i="8"/>
  <c r="I761" i="8"/>
  <c r="P761" i="8"/>
  <c r="H761" i="8"/>
  <c r="O761" i="8"/>
  <c r="G761" i="8"/>
  <c r="M761" i="8"/>
  <c r="L761" i="8"/>
  <c r="K761" i="8"/>
  <c r="F761" i="8"/>
  <c r="E761" i="8"/>
  <c r="B761" i="8"/>
  <c r="N761" i="8"/>
  <c r="D761" i="8"/>
  <c r="J753" i="8"/>
  <c r="I753" i="8"/>
  <c r="P753" i="8"/>
  <c r="H753" i="8"/>
  <c r="O753" i="8"/>
  <c r="G753" i="8"/>
  <c r="E753" i="8"/>
  <c r="D753" i="8"/>
  <c r="B753" i="8"/>
  <c r="N753" i="8"/>
  <c r="M753" i="8"/>
  <c r="L753" i="8"/>
  <c r="K753" i="8"/>
  <c r="F753" i="8"/>
  <c r="J745" i="8"/>
  <c r="I745" i="8"/>
  <c r="P745" i="8"/>
  <c r="H745" i="8"/>
  <c r="O745" i="8"/>
  <c r="G745" i="8"/>
  <c r="M745" i="8"/>
  <c r="L745" i="8"/>
  <c r="K745" i="8"/>
  <c r="F745" i="8"/>
  <c r="E745" i="8"/>
  <c r="N745" i="8"/>
  <c r="D745" i="8"/>
  <c r="B745" i="8"/>
  <c r="J737" i="8"/>
  <c r="I737" i="8"/>
  <c r="P737" i="8"/>
  <c r="H737" i="8"/>
  <c r="O737" i="8"/>
  <c r="G737" i="8"/>
  <c r="E737" i="8"/>
  <c r="D737" i="8"/>
  <c r="B737" i="8"/>
  <c r="N737" i="8"/>
  <c r="M737" i="8"/>
  <c r="L737" i="8"/>
  <c r="K737" i="8"/>
  <c r="F737" i="8"/>
  <c r="J729" i="8"/>
  <c r="I729" i="8"/>
  <c r="P729" i="8"/>
  <c r="H729" i="8"/>
  <c r="O729" i="8"/>
  <c r="G729" i="8"/>
  <c r="M729" i="8"/>
  <c r="L729" i="8"/>
  <c r="K729" i="8"/>
  <c r="F729" i="8"/>
  <c r="E729" i="8"/>
  <c r="N729" i="8"/>
  <c r="D729" i="8"/>
  <c r="B729" i="8"/>
  <c r="M625" i="8"/>
  <c r="E625" i="8"/>
  <c r="L625" i="8"/>
  <c r="D625" i="8"/>
  <c r="K625" i="8"/>
  <c r="B625" i="8"/>
  <c r="J625" i="8"/>
  <c r="I625" i="8"/>
  <c r="P625" i="8"/>
  <c r="O625" i="8"/>
  <c r="N625" i="8"/>
  <c r="H625" i="8"/>
  <c r="G625" i="8"/>
  <c r="F625" i="8"/>
  <c r="M497" i="8"/>
  <c r="E497" i="8"/>
  <c r="L497" i="8"/>
  <c r="D497" i="8"/>
  <c r="K497" i="8"/>
  <c r="B497" i="8"/>
  <c r="J497" i="8"/>
  <c r="I497" i="8"/>
  <c r="P497" i="8"/>
  <c r="O497" i="8"/>
  <c r="N497" i="8"/>
  <c r="G497" i="8"/>
  <c r="F497" i="8"/>
  <c r="H497" i="8"/>
  <c r="K425" i="8"/>
  <c r="B425" i="8"/>
  <c r="J425" i="8"/>
  <c r="I425" i="8"/>
  <c r="P425" i="8"/>
  <c r="H425" i="8"/>
  <c r="O425" i="8"/>
  <c r="G425" i="8"/>
  <c r="L425" i="8"/>
  <c r="F425" i="8"/>
  <c r="D425" i="8"/>
  <c r="N425" i="8"/>
  <c r="M425" i="8"/>
  <c r="E425" i="8"/>
  <c r="K393" i="8"/>
  <c r="B393" i="8"/>
  <c r="J393" i="8"/>
  <c r="I393" i="8"/>
  <c r="P393" i="8"/>
  <c r="H393" i="8"/>
  <c r="O393" i="8"/>
  <c r="G393" i="8"/>
  <c r="M393" i="8"/>
  <c r="L393" i="8"/>
  <c r="F393" i="8"/>
  <c r="N393" i="8"/>
  <c r="E393" i="8"/>
  <c r="D393" i="8"/>
  <c r="K353" i="8"/>
  <c r="B353" i="8"/>
  <c r="J353" i="8"/>
  <c r="I353" i="8"/>
  <c r="P353" i="8"/>
  <c r="H353" i="8"/>
  <c r="O353" i="8"/>
  <c r="G353" i="8"/>
  <c r="D353" i="8"/>
  <c r="N353" i="8"/>
  <c r="M353" i="8"/>
  <c r="L353" i="8"/>
  <c r="F353" i="8"/>
  <c r="E353" i="8"/>
  <c r="A800" i="8"/>
  <c r="M800" i="7"/>
  <c r="E800" i="7"/>
  <c r="L800" i="7"/>
  <c r="D800" i="7"/>
  <c r="K800" i="7"/>
  <c r="C800" i="7"/>
  <c r="J800" i="7"/>
  <c r="I800" i="7"/>
  <c r="H800" i="7"/>
  <c r="G800" i="7"/>
  <c r="F800" i="7"/>
  <c r="B800" i="7"/>
  <c r="M764" i="8"/>
  <c r="E764" i="8"/>
  <c r="L764" i="8"/>
  <c r="D764" i="8"/>
  <c r="K764" i="8"/>
  <c r="B764" i="8"/>
  <c r="J764" i="8"/>
  <c r="P764" i="8"/>
  <c r="O764" i="8"/>
  <c r="N764" i="8"/>
  <c r="I764" i="8"/>
  <c r="H764" i="8"/>
  <c r="G764" i="8"/>
  <c r="F764" i="8"/>
  <c r="A985" i="8"/>
  <c r="H985" i="7"/>
  <c r="G985" i="7"/>
  <c r="F985" i="7"/>
  <c r="M985" i="7"/>
  <c r="E985" i="7"/>
  <c r="L985" i="7"/>
  <c r="D985" i="7"/>
  <c r="K985" i="7"/>
  <c r="J985" i="7"/>
  <c r="I985" i="7"/>
  <c r="C985" i="7"/>
  <c r="B985" i="7"/>
  <c r="A599" i="8"/>
  <c r="I599" i="7"/>
  <c r="H599" i="7"/>
  <c r="G599" i="7"/>
  <c r="F599" i="7"/>
  <c r="M599" i="7"/>
  <c r="E599" i="7"/>
  <c r="C599" i="7"/>
  <c r="B599" i="7"/>
  <c r="L599" i="7"/>
  <c r="K599" i="7"/>
  <c r="J599" i="7"/>
  <c r="D599" i="7"/>
  <c r="A516" i="8"/>
  <c r="H516" i="7"/>
  <c r="G516" i="7"/>
  <c r="F516" i="7"/>
  <c r="M516" i="7"/>
  <c r="E516" i="7"/>
  <c r="L516" i="7"/>
  <c r="D516" i="7"/>
  <c r="K516" i="7"/>
  <c r="J516" i="7"/>
  <c r="I516" i="7"/>
  <c r="C516" i="7"/>
  <c r="B516" i="7"/>
  <c r="A396" i="8"/>
  <c r="H396" i="7"/>
  <c r="G396" i="7"/>
  <c r="F396" i="7"/>
  <c r="M396" i="7"/>
  <c r="E396" i="7"/>
  <c r="L396" i="7"/>
  <c r="D396" i="7"/>
  <c r="K396" i="7"/>
  <c r="J396" i="7"/>
  <c r="I396" i="7"/>
  <c r="C396" i="7"/>
  <c r="B396" i="7"/>
  <c r="A252" i="8"/>
  <c r="I252" i="7"/>
  <c r="H252" i="7"/>
  <c r="G252" i="7"/>
  <c r="F252" i="7"/>
  <c r="M252" i="7"/>
  <c r="E252" i="7"/>
  <c r="L252" i="7"/>
  <c r="K252" i="7"/>
  <c r="J252" i="7"/>
  <c r="B252" i="7"/>
  <c r="D252" i="7"/>
  <c r="C252" i="7"/>
  <c r="P83" i="8"/>
  <c r="H83" i="8"/>
  <c r="O83" i="8"/>
  <c r="G83" i="8"/>
  <c r="M83" i="8"/>
  <c r="E83" i="8"/>
  <c r="L83" i="8"/>
  <c r="D83" i="8"/>
  <c r="I83" i="8"/>
  <c r="J83" i="8"/>
  <c r="F83" i="8"/>
  <c r="B83" i="8"/>
  <c r="N83" i="8"/>
  <c r="K83" i="8"/>
  <c r="M11" i="8"/>
  <c r="E11" i="8"/>
  <c r="L11" i="8"/>
  <c r="D11" i="8"/>
  <c r="K11" i="8"/>
  <c r="B11" i="8"/>
  <c r="J11" i="8"/>
  <c r="I11" i="8"/>
  <c r="N11" i="8"/>
  <c r="F11" i="8"/>
  <c r="G11" i="8"/>
  <c r="P11" i="8"/>
  <c r="O11" i="8"/>
  <c r="H11" i="8"/>
  <c r="A974" i="8"/>
  <c r="G974" i="7"/>
  <c r="F974" i="7"/>
  <c r="M974" i="7"/>
  <c r="E974" i="7"/>
  <c r="L974" i="7"/>
  <c r="D974" i="7"/>
  <c r="K974" i="7"/>
  <c r="C974" i="7"/>
  <c r="J974" i="7"/>
  <c r="I974" i="7"/>
  <c r="H974" i="7"/>
  <c r="B974" i="7"/>
  <c r="A863" i="8"/>
  <c r="J863" i="7"/>
  <c r="B863" i="7"/>
  <c r="I863" i="7"/>
  <c r="H863" i="7"/>
  <c r="G863" i="7"/>
  <c r="F863" i="7"/>
  <c r="D863" i="7"/>
  <c r="C863" i="7"/>
  <c r="M863" i="7"/>
  <c r="L863" i="7"/>
  <c r="K863" i="7"/>
  <c r="E863" i="7"/>
  <c r="A735" i="8"/>
  <c r="G735" i="7"/>
  <c r="F735" i="7"/>
  <c r="M735" i="7"/>
  <c r="E735" i="7"/>
  <c r="L735" i="7"/>
  <c r="D735" i="7"/>
  <c r="K735" i="7"/>
  <c r="C735" i="7"/>
  <c r="J735" i="7"/>
  <c r="I735" i="7"/>
  <c r="H735" i="7"/>
  <c r="B735" i="7"/>
  <c r="A337" i="8"/>
  <c r="G337" i="7"/>
  <c r="F337" i="7"/>
  <c r="M337" i="7"/>
  <c r="E337" i="7"/>
  <c r="L337" i="7"/>
  <c r="D337" i="7"/>
  <c r="K337" i="7"/>
  <c r="C337" i="7"/>
  <c r="J337" i="7"/>
  <c r="I337" i="7"/>
  <c r="H337" i="7"/>
  <c r="B337" i="7"/>
  <c r="A327" i="8"/>
  <c r="J327" i="7"/>
  <c r="B327" i="7"/>
  <c r="I327" i="7"/>
  <c r="H327" i="7"/>
  <c r="G327" i="7"/>
  <c r="F327" i="7"/>
  <c r="D327" i="7"/>
  <c r="C327" i="7"/>
  <c r="M327" i="7"/>
  <c r="L327" i="7"/>
  <c r="K327" i="7"/>
  <c r="E327" i="7"/>
  <c r="K86" i="8"/>
  <c r="B86" i="8"/>
  <c r="J86" i="8"/>
  <c r="P86" i="8"/>
  <c r="H86" i="8"/>
  <c r="O86" i="8"/>
  <c r="G86" i="8"/>
  <c r="L86" i="8"/>
  <c r="D86" i="8"/>
  <c r="F86" i="8"/>
  <c r="E86" i="8"/>
  <c r="N86" i="8"/>
  <c r="M86" i="8"/>
  <c r="I86" i="8"/>
  <c r="P62" i="8"/>
  <c r="H62" i="8"/>
  <c r="O62" i="8"/>
  <c r="G62" i="8"/>
  <c r="N62" i="8"/>
  <c r="F62" i="8"/>
  <c r="M62" i="8"/>
  <c r="E62" i="8"/>
  <c r="L62" i="8"/>
  <c r="D62" i="8"/>
  <c r="K62" i="8"/>
  <c r="B62" i="8"/>
  <c r="J62" i="8"/>
  <c r="I62" i="8"/>
  <c r="P22" i="8"/>
  <c r="H22" i="8"/>
  <c r="O22" i="8"/>
  <c r="G22" i="8"/>
  <c r="N22" i="8"/>
  <c r="F22" i="8"/>
  <c r="M22" i="8"/>
  <c r="E22" i="8"/>
  <c r="L22" i="8"/>
  <c r="D22" i="8"/>
  <c r="K22" i="8"/>
  <c r="B22" i="8"/>
  <c r="I22" i="8"/>
  <c r="J22" i="8"/>
  <c r="A759" i="8"/>
  <c r="G759" i="7"/>
  <c r="F759" i="7"/>
  <c r="M759" i="7"/>
  <c r="E759" i="7"/>
  <c r="L759" i="7"/>
  <c r="D759" i="7"/>
  <c r="K759" i="7"/>
  <c r="C759" i="7"/>
  <c r="J759" i="7"/>
  <c r="I759" i="7"/>
  <c r="H759" i="7"/>
  <c r="B759" i="7"/>
  <c r="A583" i="8"/>
  <c r="I583" i="7"/>
  <c r="H583" i="7"/>
  <c r="G583" i="7"/>
  <c r="F583" i="7"/>
  <c r="M583" i="7"/>
  <c r="E583" i="7"/>
  <c r="L583" i="7"/>
  <c r="K583" i="7"/>
  <c r="J583" i="7"/>
  <c r="D583" i="7"/>
  <c r="C583" i="7"/>
  <c r="B583" i="7"/>
  <c r="A540" i="8"/>
  <c r="H540" i="7"/>
  <c r="G540" i="7"/>
  <c r="F540" i="7"/>
  <c r="M540" i="7"/>
  <c r="E540" i="7"/>
  <c r="L540" i="7"/>
  <c r="D540" i="7"/>
  <c r="B540" i="7"/>
  <c r="K540" i="7"/>
  <c r="C540" i="7"/>
  <c r="J540" i="7"/>
  <c r="I540" i="7"/>
  <c r="A514" i="8"/>
  <c r="J514" i="7"/>
  <c r="B514" i="7"/>
  <c r="I514" i="7"/>
  <c r="H514" i="7"/>
  <c r="G514" i="7"/>
  <c r="F514" i="7"/>
  <c r="M514" i="7"/>
  <c r="L514" i="7"/>
  <c r="K514" i="7"/>
  <c r="C514" i="7"/>
  <c r="E514" i="7"/>
  <c r="D514" i="7"/>
  <c r="A329" i="8"/>
  <c r="G329" i="7"/>
  <c r="M329" i="7"/>
  <c r="E329" i="7"/>
  <c r="L329" i="7"/>
  <c r="D329" i="7"/>
  <c r="K329" i="7"/>
  <c r="C329" i="7"/>
  <c r="J329" i="7"/>
  <c r="I329" i="7"/>
  <c r="H329" i="7"/>
  <c r="F329" i="7"/>
  <c r="B329" i="7"/>
  <c r="A324" i="8"/>
  <c r="I324" i="7"/>
  <c r="H324" i="7"/>
  <c r="G324" i="7"/>
  <c r="F324" i="7"/>
  <c r="M324" i="7"/>
  <c r="E324" i="7"/>
  <c r="B324" i="7"/>
  <c r="L324" i="7"/>
  <c r="K324" i="7"/>
  <c r="J324" i="7"/>
  <c r="D324" i="7"/>
  <c r="C324" i="7"/>
  <c r="A300" i="8"/>
  <c r="I300" i="7"/>
  <c r="H300" i="7"/>
  <c r="G300" i="7"/>
  <c r="F300" i="7"/>
  <c r="M300" i="7"/>
  <c r="E300" i="7"/>
  <c r="L300" i="7"/>
  <c r="K300" i="7"/>
  <c r="J300" i="7"/>
  <c r="D300" i="7"/>
  <c r="C300" i="7"/>
  <c r="B300" i="7"/>
  <c r="A295" i="8"/>
  <c r="J295" i="7"/>
  <c r="B295" i="7"/>
  <c r="I295" i="7"/>
  <c r="H295" i="7"/>
  <c r="G295" i="7"/>
  <c r="F295" i="7"/>
  <c r="M295" i="7"/>
  <c r="L295" i="7"/>
  <c r="K295" i="7"/>
  <c r="E295" i="7"/>
  <c r="D295" i="7"/>
  <c r="C295" i="7"/>
  <c r="A204" i="8"/>
  <c r="I204" i="7"/>
  <c r="H204" i="7"/>
  <c r="G204" i="7"/>
  <c r="F204" i="7"/>
  <c r="M204" i="7"/>
  <c r="E204" i="7"/>
  <c r="C204" i="7"/>
  <c r="B204" i="7"/>
  <c r="L204" i="7"/>
  <c r="K204" i="7"/>
  <c r="J204" i="7"/>
  <c r="D204" i="7"/>
  <c r="A140" i="8"/>
  <c r="I140" i="7"/>
  <c r="H140" i="7"/>
  <c r="G140" i="7"/>
  <c r="F140" i="7"/>
  <c r="M140" i="7"/>
  <c r="E140" i="7"/>
  <c r="C140" i="7"/>
  <c r="B140" i="7"/>
  <c r="L140" i="7"/>
  <c r="K140" i="7"/>
  <c r="J140" i="7"/>
  <c r="D140" i="7"/>
  <c r="P107" i="8"/>
  <c r="H107" i="8"/>
  <c r="O107" i="8"/>
  <c r="G107" i="8"/>
  <c r="M107" i="8"/>
  <c r="E107" i="8"/>
  <c r="L107" i="8"/>
  <c r="D107" i="8"/>
  <c r="I107" i="8"/>
  <c r="K107" i="8"/>
  <c r="J107" i="8"/>
  <c r="F107" i="8"/>
  <c r="B107" i="8"/>
  <c r="N107" i="8"/>
  <c r="A570" i="8"/>
  <c r="J570" i="7"/>
  <c r="B570" i="7"/>
  <c r="I570" i="7"/>
  <c r="H570" i="7"/>
  <c r="G570" i="7"/>
  <c r="F570" i="7"/>
  <c r="M570" i="7"/>
  <c r="L570" i="7"/>
  <c r="K570" i="7"/>
  <c r="E570" i="7"/>
  <c r="D570" i="7"/>
  <c r="C570" i="7"/>
  <c r="A114" i="8"/>
  <c r="K114" i="7"/>
  <c r="C114" i="7"/>
  <c r="I114" i="7"/>
  <c r="H114" i="7"/>
  <c r="G114" i="7"/>
  <c r="E114" i="7"/>
  <c r="D114" i="7"/>
  <c r="B114" i="7"/>
  <c r="M114" i="7"/>
  <c r="L114" i="7"/>
  <c r="J114" i="7"/>
  <c r="F114" i="7"/>
  <c r="N44" i="8"/>
  <c r="F44" i="8"/>
  <c r="M44" i="8"/>
  <c r="E44" i="8"/>
  <c r="L44" i="8"/>
  <c r="D44" i="8"/>
  <c r="K44" i="8"/>
  <c r="B44" i="8"/>
  <c r="J44" i="8"/>
  <c r="I44" i="8"/>
  <c r="O44" i="8"/>
  <c r="G44" i="8"/>
  <c r="P44" i="8"/>
  <c r="H44" i="8"/>
  <c r="A380" i="8"/>
  <c r="H380" i="7"/>
  <c r="G380" i="7"/>
  <c r="F380" i="7"/>
  <c r="M380" i="7"/>
  <c r="E380" i="7"/>
  <c r="L380" i="7"/>
  <c r="D380" i="7"/>
  <c r="K380" i="7"/>
  <c r="J380" i="7"/>
  <c r="I380" i="7"/>
  <c r="C380" i="7"/>
  <c r="B380" i="7"/>
  <c r="A322" i="8"/>
  <c r="K322" i="7"/>
  <c r="C322" i="7"/>
  <c r="J322" i="7"/>
  <c r="B322" i="7"/>
  <c r="I322" i="7"/>
  <c r="H322" i="7"/>
  <c r="G322" i="7"/>
  <c r="E322" i="7"/>
  <c r="D322" i="7"/>
  <c r="M322" i="7"/>
  <c r="L322" i="7"/>
  <c r="F322" i="7"/>
  <c r="A289" i="8"/>
  <c r="H289" i="7"/>
  <c r="G289" i="7"/>
  <c r="F289" i="7"/>
  <c r="M289" i="7"/>
  <c r="E289" i="7"/>
  <c r="L289" i="7"/>
  <c r="D289" i="7"/>
  <c r="I289" i="7"/>
  <c r="C289" i="7"/>
  <c r="B289" i="7"/>
  <c r="K289" i="7"/>
  <c r="J289" i="7"/>
  <c r="A284" i="8"/>
  <c r="I284" i="7"/>
  <c r="H284" i="7"/>
  <c r="G284" i="7"/>
  <c r="F284" i="7"/>
  <c r="M284" i="7"/>
  <c r="E284" i="7"/>
  <c r="J284" i="7"/>
  <c r="D284" i="7"/>
  <c r="C284" i="7"/>
  <c r="B284" i="7"/>
  <c r="L284" i="7"/>
  <c r="K284" i="7"/>
  <c r="A250" i="8"/>
  <c r="K250" i="7"/>
  <c r="C250" i="7"/>
  <c r="J250" i="7"/>
  <c r="B250" i="7"/>
  <c r="I250" i="7"/>
  <c r="H250" i="7"/>
  <c r="G250" i="7"/>
  <c r="D250" i="7"/>
  <c r="M250" i="7"/>
  <c r="L250" i="7"/>
  <c r="F250" i="7"/>
  <c r="E250" i="7"/>
  <c r="L79" i="8"/>
  <c r="D79" i="8"/>
  <c r="K79" i="8"/>
  <c r="B79" i="8"/>
  <c r="I79" i="8"/>
  <c r="P79" i="8"/>
  <c r="H79" i="8"/>
  <c r="M79" i="8"/>
  <c r="E79" i="8"/>
  <c r="F79" i="8"/>
  <c r="O79" i="8"/>
  <c r="N79" i="8"/>
  <c r="J79" i="8"/>
  <c r="G79" i="8"/>
  <c r="I15" i="8"/>
  <c r="P15" i="8"/>
  <c r="H15" i="8"/>
  <c r="O15" i="8"/>
  <c r="G15" i="8"/>
  <c r="N15" i="8"/>
  <c r="F15" i="8"/>
  <c r="M15" i="8"/>
  <c r="E15" i="8"/>
  <c r="J15" i="8"/>
  <c r="K15" i="8"/>
  <c r="D15" i="8"/>
  <c r="B15" i="8"/>
  <c r="L15" i="8"/>
  <c r="A463" i="8"/>
  <c r="I463" i="7"/>
  <c r="H463" i="7"/>
  <c r="G463" i="7"/>
  <c r="F463" i="7"/>
  <c r="M463" i="7"/>
  <c r="E463" i="7"/>
  <c r="B463" i="7"/>
  <c r="L463" i="7"/>
  <c r="K463" i="7"/>
  <c r="J463" i="7"/>
  <c r="D463" i="7"/>
  <c r="C463" i="7"/>
  <c r="K190" i="8"/>
  <c r="B190" i="8"/>
  <c r="J190" i="8"/>
  <c r="P190" i="8"/>
  <c r="H190" i="8"/>
  <c r="O190" i="8"/>
  <c r="G190" i="8"/>
  <c r="L190" i="8"/>
  <c r="D190" i="8"/>
  <c r="E190" i="8"/>
  <c r="N190" i="8"/>
  <c r="M190" i="8"/>
  <c r="I190" i="8"/>
  <c r="F190" i="8"/>
  <c r="A178" i="8"/>
  <c r="K178" i="7"/>
  <c r="C178" i="7"/>
  <c r="J178" i="7"/>
  <c r="B178" i="7"/>
  <c r="I178" i="7"/>
  <c r="H178" i="7"/>
  <c r="G178" i="7"/>
  <c r="M178" i="7"/>
  <c r="L178" i="7"/>
  <c r="F178" i="7"/>
  <c r="D178" i="7"/>
  <c r="E178" i="7"/>
  <c r="A168" i="8"/>
  <c r="M168" i="7"/>
  <c r="E168" i="7"/>
  <c r="L168" i="7"/>
  <c r="D168" i="7"/>
  <c r="K168" i="7"/>
  <c r="C168" i="7"/>
  <c r="J168" i="7"/>
  <c r="B168" i="7"/>
  <c r="I168" i="7"/>
  <c r="G168" i="7"/>
  <c r="F168" i="7"/>
  <c r="H168" i="7"/>
  <c r="A159" i="8"/>
  <c r="J159" i="7"/>
  <c r="B159" i="7"/>
  <c r="I159" i="7"/>
  <c r="H159" i="7"/>
  <c r="G159" i="7"/>
  <c r="F159" i="7"/>
  <c r="L159" i="7"/>
  <c r="K159" i="7"/>
  <c r="E159" i="7"/>
  <c r="D159" i="7"/>
  <c r="C159" i="7"/>
  <c r="M159" i="7"/>
  <c r="A146" i="8"/>
  <c r="K146" i="7"/>
  <c r="C146" i="7"/>
  <c r="J146" i="7"/>
  <c r="B146" i="7"/>
  <c r="I146" i="7"/>
  <c r="H146" i="7"/>
  <c r="G146" i="7"/>
  <c r="L146" i="7"/>
  <c r="F146" i="7"/>
  <c r="E146" i="7"/>
  <c r="D146" i="7"/>
  <c r="M146" i="7"/>
  <c r="A136" i="8"/>
  <c r="M136" i="7"/>
  <c r="E136" i="7"/>
  <c r="L136" i="7"/>
  <c r="D136" i="7"/>
  <c r="K136" i="7"/>
  <c r="C136" i="7"/>
  <c r="J136" i="7"/>
  <c r="B136" i="7"/>
  <c r="I136" i="7"/>
  <c r="H136" i="7"/>
  <c r="G136" i="7"/>
  <c r="F136" i="7"/>
  <c r="M104" i="8"/>
  <c r="E104" i="8"/>
  <c r="L104" i="8"/>
  <c r="D104" i="8"/>
  <c r="J104" i="8"/>
  <c r="I104" i="8"/>
  <c r="N104" i="8"/>
  <c r="F104" i="8"/>
  <c r="O104" i="8"/>
  <c r="K104" i="8"/>
  <c r="H104" i="8"/>
  <c r="G104" i="8"/>
  <c r="B104" i="8"/>
  <c r="P104" i="8"/>
  <c r="M96" i="8"/>
  <c r="E96" i="8"/>
  <c r="L96" i="8"/>
  <c r="D96" i="8"/>
  <c r="J96" i="8"/>
  <c r="I96" i="8"/>
  <c r="N96" i="8"/>
  <c r="F96" i="8"/>
  <c r="G96" i="8"/>
  <c r="B96" i="8"/>
  <c r="P96" i="8"/>
  <c r="O96" i="8"/>
  <c r="K96" i="8"/>
  <c r="H96" i="8"/>
  <c r="M88" i="8"/>
  <c r="E88" i="8"/>
  <c r="L88" i="8"/>
  <c r="D88" i="8"/>
  <c r="J88" i="8"/>
  <c r="I88" i="8"/>
  <c r="N88" i="8"/>
  <c r="F88" i="8"/>
  <c r="P88" i="8"/>
  <c r="O88" i="8"/>
  <c r="K88" i="8"/>
  <c r="H88" i="8"/>
  <c r="G88" i="8"/>
  <c r="B88" i="8"/>
  <c r="A767" i="8"/>
  <c r="G767" i="7"/>
  <c r="F767" i="7"/>
  <c r="M767" i="7"/>
  <c r="E767" i="7"/>
  <c r="L767" i="7"/>
  <c r="D767" i="7"/>
  <c r="K767" i="7"/>
  <c r="C767" i="7"/>
  <c r="J767" i="7"/>
  <c r="I767" i="7"/>
  <c r="H767" i="7"/>
  <c r="B767" i="7"/>
  <c r="A833" i="8"/>
  <c r="H833" i="7"/>
  <c r="G833" i="7"/>
  <c r="F833" i="7"/>
  <c r="M833" i="7"/>
  <c r="E833" i="7"/>
  <c r="L833" i="7"/>
  <c r="D833" i="7"/>
  <c r="J833" i="7"/>
  <c r="I833" i="7"/>
  <c r="C833" i="7"/>
  <c r="B833" i="7"/>
  <c r="K833" i="7"/>
  <c r="A618" i="8"/>
  <c r="J618" i="7"/>
  <c r="B618" i="7"/>
  <c r="I618" i="7"/>
  <c r="H618" i="7"/>
  <c r="G618" i="7"/>
  <c r="F618" i="7"/>
  <c r="L618" i="7"/>
  <c r="K618" i="7"/>
  <c r="E618" i="7"/>
  <c r="D618" i="7"/>
  <c r="C618" i="7"/>
  <c r="M618" i="7"/>
  <c r="N257" i="8"/>
  <c r="F257" i="8"/>
  <c r="M257" i="8"/>
  <c r="E257" i="8"/>
  <c r="K257" i="8"/>
  <c r="B257" i="8"/>
  <c r="J257" i="8"/>
  <c r="L257" i="8"/>
  <c r="I257" i="8"/>
  <c r="D257" i="8"/>
  <c r="O257" i="8"/>
  <c r="H257" i="8"/>
  <c r="G257" i="8"/>
  <c r="P257" i="8"/>
  <c r="A271" i="8"/>
  <c r="J271" i="7"/>
  <c r="B271" i="7"/>
  <c r="I271" i="7"/>
  <c r="H271" i="7"/>
  <c r="G271" i="7"/>
  <c r="F271" i="7"/>
  <c r="E271" i="7"/>
  <c r="D271" i="7"/>
  <c r="C271" i="7"/>
  <c r="M271" i="7"/>
  <c r="L271" i="7"/>
  <c r="K271" i="7"/>
  <c r="A233" i="8"/>
  <c r="H233" i="7"/>
  <c r="G233" i="7"/>
  <c r="F233" i="7"/>
  <c r="M233" i="7"/>
  <c r="E233" i="7"/>
  <c r="L233" i="7"/>
  <c r="D233" i="7"/>
  <c r="J233" i="7"/>
  <c r="I233" i="7"/>
  <c r="C233" i="7"/>
  <c r="B233" i="7"/>
  <c r="K233" i="7"/>
  <c r="A5" i="8"/>
  <c r="I5" i="7"/>
  <c r="H5" i="7"/>
  <c r="G5" i="7"/>
  <c r="F5" i="7"/>
  <c r="M5" i="7"/>
  <c r="E5" i="7"/>
  <c r="J5" i="7"/>
  <c r="D5" i="7"/>
  <c r="C5" i="7"/>
  <c r="B5" i="7"/>
  <c r="L5" i="7"/>
  <c r="K5" i="7"/>
  <c r="A383" i="8"/>
  <c r="I383" i="7"/>
  <c r="H383" i="7"/>
  <c r="G383" i="7"/>
  <c r="F383" i="7"/>
  <c r="M383" i="7"/>
  <c r="E383" i="7"/>
  <c r="L383" i="7"/>
  <c r="K383" i="7"/>
  <c r="J383" i="7"/>
  <c r="D383" i="7"/>
  <c r="C383" i="7"/>
  <c r="B383" i="7"/>
  <c r="A620" i="8"/>
  <c r="H620" i="7"/>
  <c r="G620" i="7"/>
  <c r="F620" i="7"/>
  <c r="M620" i="7"/>
  <c r="E620" i="7"/>
  <c r="L620" i="7"/>
  <c r="D620" i="7"/>
  <c r="I620" i="7"/>
  <c r="C620" i="7"/>
  <c r="B620" i="7"/>
  <c r="K620" i="7"/>
  <c r="J620" i="7"/>
  <c r="A169" i="8"/>
  <c r="H169" i="7"/>
  <c r="G169" i="7"/>
  <c r="F169" i="7"/>
  <c r="M169" i="7"/>
  <c r="E169" i="7"/>
  <c r="L169" i="7"/>
  <c r="D169" i="7"/>
  <c r="J169" i="7"/>
  <c r="I169" i="7"/>
  <c r="C169" i="7"/>
  <c r="B169" i="7"/>
  <c r="K169" i="7"/>
  <c r="L127" i="8"/>
  <c r="D127" i="8"/>
  <c r="K127" i="8"/>
  <c r="B127" i="8"/>
  <c r="I127" i="8"/>
  <c r="P127" i="8"/>
  <c r="H127" i="8"/>
  <c r="M127" i="8"/>
  <c r="E127" i="8"/>
  <c r="J127" i="8"/>
  <c r="G127" i="8"/>
  <c r="F127" i="8"/>
  <c r="O127" i="8"/>
  <c r="N127" i="8"/>
  <c r="O365" i="8"/>
  <c r="G365" i="8"/>
  <c r="N365" i="8"/>
  <c r="F365" i="8"/>
  <c r="M365" i="8"/>
  <c r="E365" i="8"/>
  <c r="L365" i="8"/>
  <c r="D365" i="8"/>
  <c r="K365" i="8"/>
  <c r="B365" i="8"/>
  <c r="P365" i="8"/>
  <c r="J365" i="8"/>
  <c r="H365" i="8"/>
  <c r="I365" i="8"/>
  <c r="P707" i="8"/>
  <c r="H707" i="8"/>
  <c r="O707" i="8"/>
  <c r="G707" i="8"/>
  <c r="N707" i="8"/>
  <c r="F707" i="8"/>
  <c r="M707" i="8"/>
  <c r="E707" i="8"/>
  <c r="L707" i="8"/>
  <c r="D707" i="8"/>
  <c r="I707" i="8"/>
  <c r="B707" i="8"/>
  <c r="K707" i="8"/>
  <c r="J707" i="8"/>
  <c r="P430" i="8"/>
  <c r="H430" i="8"/>
  <c r="O430" i="8"/>
  <c r="G430" i="8"/>
  <c r="N430" i="8"/>
  <c r="F430" i="8"/>
  <c r="M430" i="8"/>
  <c r="E430" i="8"/>
  <c r="L430" i="8"/>
  <c r="D430" i="8"/>
  <c r="K430" i="8"/>
  <c r="J430" i="8"/>
  <c r="I430" i="8"/>
  <c r="B430" i="8"/>
  <c r="N665" i="8"/>
  <c r="F665" i="8"/>
  <c r="M665" i="8"/>
  <c r="E665" i="8"/>
  <c r="L665" i="8"/>
  <c r="D665" i="8"/>
  <c r="K665" i="8"/>
  <c r="B665" i="8"/>
  <c r="J665" i="8"/>
  <c r="I665" i="8"/>
  <c r="H665" i="8"/>
  <c r="G665" i="8"/>
  <c r="P665" i="8"/>
  <c r="O665" i="8"/>
  <c r="M529" i="8"/>
  <c r="E529" i="8"/>
  <c r="L529" i="8"/>
  <c r="D529" i="8"/>
  <c r="K529" i="8"/>
  <c r="B529" i="8"/>
  <c r="J529" i="8"/>
  <c r="I529" i="8"/>
  <c r="N529" i="8"/>
  <c r="H529" i="8"/>
  <c r="G529" i="8"/>
  <c r="F529" i="8"/>
  <c r="P529" i="8"/>
  <c r="O529" i="8"/>
  <c r="A275" i="8"/>
  <c r="F275" i="7"/>
  <c r="M275" i="7"/>
  <c r="E275" i="7"/>
  <c r="L275" i="7"/>
  <c r="D275" i="7"/>
  <c r="K275" i="7"/>
  <c r="C275" i="7"/>
  <c r="J275" i="7"/>
  <c r="B275" i="7"/>
  <c r="I275" i="7"/>
  <c r="H275" i="7"/>
  <c r="G275" i="7"/>
  <c r="I692" i="8"/>
  <c r="P692" i="8"/>
  <c r="H692" i="8"/>
  <c r="O692" i="8"/>
  <c r="G692" i="8"/>
  <c r="N692" i="8"/>
  <c r="F692" i="8"/>
  <c r="M692" i="8"/>
  <c r="E692" i="8"/>
  <c r="L692" i="8"/>
  <c r="K692" i="8"/>
  <c r="J692" i="8"/>
  <c r="D692" i="8"/>
  <c r="B692" i="8"/>
  <c r="A490" i="8"/>
  <c r="J490" i="7"/>
  <c r="B490" i="7"/>
  <c r="I490" i="7"/>
  <c r="H490" i="7"/>
  <c r="G490" i="7"/>
  <c r="F490" i="7"/>
  <c r="L490" i="7"/>
  <c r="K490" i="7"/>
  <c r="E490" i="7"/>
  <c r="D490" i="7"/>
  <c r="C490" i="7"/>
  <c r="M490" i="7"/>
  <c r="A311" i="8"/>
  <c r="J311" i="7"/>
  <c r="B311" i="7"/>
  <c r="I311" i="7"/>
  <c r="H311" i="7"/>
  <c r="G311" i="7"/>
  <c r="F311" i="7"/>
  <c r="M311" i="7"/>
  <c r="L311" i="7"/>
  <c r="K311" i="7"/>
  <c r="E311" i="7"/>
  <c r="D311" i="7"/>
  <c r="C311" i="7"/>
  <c r="A998" i="8"/>
  <c r="J998" i="7"/>
  <c r="B998" i="7"/>
  <c r="I998" i="7"/>
  <c r="H998" i="7"/>
  <c r="F998" i="7"/>
  <c r="D998" i="7"/>
  <c r="C998" i="7"/>
  <c r="M998" i="7"/>
  <c r="L998" i="7"/>
  <c r="K998" i="7"/>
  <c r="G998" i="7"/>
  <c r="E998" i="7"/>
  <c r="A434" i="8"/>
  <c r="J434" i="7"/>
  <c r="B434" i="7"/>
  <c r="I434" i="7"/>
  <c r="H434" i="7"/>
  <c r="G434" i="7"/>
  <c r="F434" i="7"/>
  <c r="M434" i="7"/>
  <c r="L434" i="7"/>
  <c r="K434" i="7"/>
  <c r="E434" i="7"/>
  <c r="D434" i="7"/>
  <c r="C434" i="7"/>
  <c r="A479" i="8"/>
  <c r="I479" i="7"/>
  <c r="H479" i="7"/>
  <c r="G479" i="7"/>
  <c r="F479" i="7"/>
  <c r="M479" i="7"/>
  <c r="E479" i="7"/>
  <c r="D479" i="7"/>
  <c r="C479" i="7"/>
  <c r="B479" i="7"/>
  <c r="L479" i="7"/>
  <c r="K479" i="7"/>
  <c r="J479" i="7"/>
  <c r="N28" i="8"/>
  <c r="F28" i="8"/>
  <c r="M28" i="8"/>
  <c r="E28" i="8"/>
  <c r="L28" i="8"/>
  <c r="D28" i="8"/>
  <c r="K28" i="8"/>
  <c r="B28" i="8"/>
  <c r="J28" i="8"/>
  <c r="I28" i="8"/>
  <c r="O28" i="8"/>
  <c r="G28" i="8"/>
  <c r="P28" i="8"/>
  <c r="H28" i="8"/>
  <c r="A418" i="8"/>
  <c r="J418" i="7"/>
  <c r="B418" i="7"/>
  <c r="I418" i="7"/>
  <c r="H418" i="7"/>
  <c r="G418" i="7"/>
  <c r="F418" i="7"/>
  <c r="K418" i="7"/>
  <c r="E418" i="7"/>
  <c r="D418" i="7"/>
  <c r="C418" i="7"/>
  <c r="M418" i="7"/>
  <c r="L418" i="7"/>
  <c r="J943" i="8"/>
  <c r="I943" i="8"/>
  <c r="P943" i="8"/>
  <c r="H943" i="8"/>
  <c r="N943" i="8"/>
  <c r="F943" i="8"/>
  <c r="L943" i="8"/>
  <c r="K943" i="8"/>
  <c r="G943" i="8"/>
  <c r="E943" i="8"/>
  <c r="M943" i="8"/>
  <c r="D943" i="8"/>
  <c r="O943" i="8"/>
  <c r="B943" i="8"/>
  <c r="O978" i="8"/>
  <c r="G978" i="8"/>
  <c r="H978" i="8"/>
  <c r="P978" i="8"/>
  <c r="F978" i="8"/>
  <c r="N978" i="8"/>
  <c r="E978" i="8"/>
  <c r="M978" i="8"/>
  <c r="D978" i="8"/>
  <c r="L978" i="8"/>
  <c r="K978" i="8"/>
  <c r="J978" i="8"/>
  <c r="I978" i="8"/>
  <c r="B978" i="8"/>
  <c r="M930" i="8"/>
  <c r="E930" i="8"/>
  <c r="L930" i="8"/>
  <c r="D930" i="8"/>
  <c r="K930" i="8"/>
  <c r="B930" i="8"/>
  <c r="P930" i="8"/>
  <c r="O930" i="8"/>
  <c r="N930" i="8"/>
  <c r="J930" i="8"/>
  <c r="I930" i="8"/>
  <c r="F930" i="8"/>
  <c r="H930" i="8"/>
  <c r="G930" i="8"/>
  <c r="P949" i="8"/>
  <c r="H949" i="8"/>
  <c r="O949" i="8"/>
  <c r="G949" i="8"/>
  <c r="N949" i="8"/>
  <c r="F949" i="8"/>
  <c r="L949" i="8"/>
  <c r="D949" i="8"/>
  <c r="M949" i="8"/>
  <c r="K949" i="8"/>
  <c r="J949" i="8"/>
  <c r="B949" i="8"/>
  <c r="I949" i="8"/>
  <c r="E949" i="8"/>
  <c r="J917" i="8"/>
  <c r="I917" i="8"/>
  <c r="P917" i="8"/>
  <c r="H917" i="8"/>
  <c r="O917" i="8"/>
  <c r="G917" i="8"/>
  <c r="N917" i="8"/>
  <c r="K917" i="8"/>
  <c r="F917" i="8"/>
  <c r="M917" i="8"/>
  <c r="L917" i="8"/>
  <c r="E917" i="8"/>
  <c r="D917" i="8"/>
  <c r="B917" i="8"/>
  <c r="L832" i="8"/>
  <c r="D832" i="8"/>
  <c r="K832" i="8"/>
  <c r="B832" i="8"/>
  <c r="J832" i="8"/>
  <c r="I832" i="8"/>
  <c r="H832" i="8"/>
  <c r="G832" i="8"/>
  <c r="E832" i="8"/>
  <c r="P832" i="8"/>
  <c r="M832" i="8"/>
  <c r="O832" i="8"/>
  <c r="N832" i="8"/>
  <c r="F832" i="8"/>
  <c r="I605" i="8"/>
  <c r="P605" i="8"/>
  <c r="H605" i="8"/>
  <c r="O605" i="8"/>
  <c r="G605" i="8"/>
  <c r="N605" i="8"/>
  <c r="F605" i="8"/>
  <c r="K605" i="8"/>
  <c r="J605" i="8"/>
  <c r="E605" i="8"/>
  <c r="D605" i="8"/>
  <c r="B605" i="8"/>
  <c r="M605" i="8"/>
  <c r="L605" i="8"/>
  <c r="O421" i="8"/>
  <c r="G421" i="8"/>
  <c r="N421" i="8"/>
  <c r="F421" i="8"/>
  <c r="M421" i="8"/>
  <c r="E421" i="8"/>
  <c r="L421" i="8"/>
  <c r="D421" i="8"/>
  <c r="K421" i="8"/>
  <c r="B421" i="8"/>
  <c r="H421" i="8"/>
  <c r="P421" i="8"/>
  <c r="J421" i="8"/>
  <c r="I421" i="8"/>
  <c r="J360" i="8"/>
  <c r="I360" i="8"/>
  <c r="P360" i="8"/>
  <c r="H360" i="8"/>
  <c r="O360" i="8"/>
  <c r="G360" i="8"/>
  <c r="N360" i="8"/>
  <c r="F360" i="8"/>
  <c r="D360" i="8"/>
  <c r="B360" i="8"/>
  <c r="M360" i="8"/>
  <c r="L360" i="8"/>
  <c r="E360" i="8"/>
  <c r="K360" i="8"/>
  <c r="I988" i="8"/>
  <c r="M988" i="8"/>
  <c r="D988" i="8"/>
  <c r="L988" i="8"/>
  <c r="B988" i="8"/>
  <c r="K988" i="8"/>
  <c r="J988" i="8"/>
  <c r="N988" i="8"/>
  <c r="H988" i="8"/>
  <c r="G988" i="8"/>
  <c r="F988" i="8"/>
  <c r="E988" i="8"/>
  <c r="P988" i="8"/>
  <c r="O988" i="8"/>
  <c r="I964" i="8"/>
  <c r="P964" i="8"/>
  <c r="G964" i="8"/>
  <c r="O964" i="8"/>
  <c r="F964" i="8"/>
  <c r="N964" i="8"/>
  <c r="E964" i="8"/>
  <c r="M964" i="8"/>
  <c r="D964" i="8"/>
  <c r="H964" i="8"/>
  <c r="B964" i="8"/>
  <c r="L964" i="8"/>
  <c r="K964" i="8"/>
  <c r="J964" i="8"/>
  <c r="I908" i="8"/>
  <c r="P908" i="8"/>
  <c r="H908" i="8"/>
  <c r="O908" i="8"/>
  <c r="G908" i="8"/>
  <c r="D908" i="8"/>
  <c r="L908" i="8"/>
  <c r="K908" i="8"/>
  <c r="F908" i="8"/>
  <c r="E908" i="8"/>
  <c r="B908" i="8"/>
  <c r="N908" i="8"/>
  <c r="M908" i="8"/>
  <c r="J908" i="8"/>
  <c r="P868" i="8"/>
  <c r="H868" i="8"/>
  <c r="O868" i="8"/>
  <c r="G868" i="8"/>
  <c r="N868" i="8"/>
  <c r="F868" i="8"/>
  <c r="K868" i="8"/>
  <c r="B868" i="8"/>
  <c r="L868" i="8"/>
  <c r="J868" i="8"/>
  <c r="I868" i="8"/>
  <c r="E868" i="8"/>
  <c r="M868" i="8"/>
  <c r="D868" i="8"/>
  <c r="L983" i="8"/>
  <c r="D983" i="8"/>
  <c r="O983" i="8"/>
  <c r="F983" i="8"/>
  <c r="N983" i="8"/>
  <c r="E983" i="8"/>
  <c r="M983" i="8"/>
  <c r="B983" i="8"/>
  <c r="K983" i="8"/>
  <c r="P983" i="8"/>
  <c r="J983" i="8"/>
  <c r="I983" i="8"/>
  <c r="H983" i="8"/>
  <c r="G983" i="8"/>
  <c r="P954" i="8"/>
  <c r="H954" i="8"/>
  <c r="O954" i="8"/>
  <c r="G954" i="8"/>
  <c r="M954" i="8"/>
  <c r="E954" i="8"/>
  <c r="F954" i="8"/>
  <c r="D954" i="8"/>
  <c r="B954" i="8"/>
  <c r="L954" i="8"/>
  <c r="J954" i="8"/>
  <c r="I954" i="8"/>
  <c r="K954" i="8"/>
  <c r="N954" i="8"/>
  <c r="O914" i="8"/>
  <c r="G914" i="8"/>
  <c r="N914" i="8"/>
  <c r="F914" i="8"/>
  <c r="M914" i="8"/>
  <c r="E914" i="8"/>
  <c r="L914" i="8"/>
  <c r="D914" i="8"/>
  <c r="K914" i="8"/>
  <c r="H914" i="8"/>
  <c r="B914" i="8"/>
  <c r="I914" i="8"/>
  <c r="P914" i="8"/>
  <c r="J914" i="8"/>
  <c r="M874" i="8"/>
  <c r="E874" i="8"/>
  <c r="J874" i="8"/>
  <c r="O874" i="8"/>
  <c r="D874" i="8"/>
  <c r="N874" i="8"/>
  <c r="B874" i="8"/>
  <c r="L874" i="8"/>
  <c r="H874" i="8"/>
  <c r="P874" i="8"/>
  <c r="K874" i="8"/>
  <c r="I874" i="8"/>
  <c r="G874" i="8"/>
  <c r="F874" i="8"/>
  <c r="N842" i="8"/>
  <c r="F842" i="8"/>
  <c r="L842" i="8"/>
  <c r="D842" i="8"/>
  <c r="I842" i="8"/>
  <c r="H842" i="8"/>
  <c r="G842" i="8"/>
  <c r="P842" i="8"/>
  <c r="E842" i="8"/>
  <c r="O842" i="8"/>
  <c r="M842" i="8"/>
  <c r="J842" i="8"/>
  <c r="B842" i="8"/>
  <c r="K842" i="8"/>
  <c r="J973" i="8"/>
  <c r="I973" i="8"/>
  <c r="H973" i="8"/>
  <c r="P973" i="8"/>
  <c r="G973" i="8"/>
  <c r="O973" i="8"/>
  <c r="F973" i="8"/>
  <c r="N973" i="8"/>
  <c r="M973" i="8"/>
  <c r="L973" i="8"/>
  <c r="K973" i="8"/>
  <c r="B973" i="8"/>
  <c r="D973" i="8"/>
  <c r="E973" i="8"/>
  <c r="P893" i="8"/>
  <c r="H893" i="8"/>
  <c r="M893" i="8"/>
  <c r="E893" i="8"/>
  <c r="L893" i="8"/>
  <c r="D893" i="8"/>
  <c r="O893" i="8"/>
  <c r="N893" i="8"/>
  <c r="K893" i="8"/>
  <c r="G893" i="8"/>
  <c r="J893" i="8"/>
  <c r="I893" i="8"/>
  <c r="F893" i="8"/>
  <c r="B893" i="8"/>
  <c r="I861" i="8"/>
  <c r="O861" i="8"/>
  <c r="G861" i="8"/>
  <c r="L861" i="8"/>
  <c r="M861" i="8"/>
  <c r="K861" i="8"/>
  <c r="J861" i="8"/>
  <c r="H861" i="8"/>
  <c r="F861" i="8"/>
  <c r="E861" i="8"/>
  <c r="B861" i="8"/>
  <c r="N861" i="8"/>
  <c r="P861" i="8"/>
  <c r="D861" i="8"/>
  <c r="I813" i="8"/>
  <c r="P813" i="8"/>
  <c r="H813" i="8"/>
  <c r="O813" i="8"/>
  <c r="G813" i="8"/>
  <c r="N813" i="8"/>
  <c r="F813" i="8"/>
  <c r="E813" i="8"/>
  <c r="D813" i="8"/>
  <c r="M813" i="8"/>
  <c r="J813" i="8"/>
  <c r="L813" i="8"/>
  <c r="K813" i="8"/>
  <c r="B813" i="8"/>
  <c r="K944" i="8"/>
  <c r="B944" i="8"/>
  <c r="J944" i="8"/>
  <c r="I944" i="8"/>
  <c r="O944" i="8"/>
  <c r="G944" i="8"/>
  <c r="M944" i="8"/>
  <c r="L944" i="8"/>
  <c r="H944" i="8"/>
  <c r="F944" i="8"/>
  <c r="E944" i="8"/>
  <c r="N944" i="8"/>
  <c r="P944" i="8"/>
  <c r="D944" i="8"/>
  <c r="K936" i="8"/>
  <c r="B936" i="8"/>
  <c r="J936" i="8"/>
  <c r="I936" i="8"/>
  <c r="O936" i="8"/>
  <c r="D936" i="8"/>
  <c r="N936" i="8"/>
  <c r="M936" i="8"/>
  <c r="L936" i="8"/>
  <c r="H936" i="8"/>
  <c r="E936" i="8"/>
  <c r="G936" i="8"/>
  <c r="P936" i="8"/>
  <c r="F936" i="8"/>
  <c r="M928" i="8"/>
  <c r="E928" i="8"/>
  <c r="L928" i="8"/>
  <c r="D928" i="8"/>
  <c r="K928" i="8"/>
  <c r="B928" i="8"/>
  <c r="J928" i="8"/>
  <c r="I928" i="8"/>
  <c r="F928" i="8"/>
  <c r="N928" i="8"/>
  <c r="O928" i="8"/>
  <c r="H928" i="8"/>
  <c r="G928" i="8"/>
  <c r="P928" i="8"/>
  <c r="M920" i="8"/>
  <c r="E920" i="8"/>
  <c r="L920" i="8"/>
  <c r="D920" i="8"/>
  <c r="K920" i="8"/>
  <c r="B920" i="8"/>
  <c r="J920" i="8"/>
  <c r="N920" i="8"/>
  <c r="I920" i="8"/>
  <c r="P920" i="8"/>
  <c r="O920" i="8"/>
  <c r="F920" i="8"/>
  <c r="H920" i="8"/>
  <c r="G920" i="8"/>
  <c r="M912" i="8"/>
  <c r="E912" i="8"/>
  <c r="L912" i="8"/>
  <c r="D912" i="8"/>
  <c r="K912" i="8"/>
  <c r="B912" i="8"/>
  <c r="J912" i="8"/>
  <c r="I912" i="8"/>
  <c r="F912" i="8"/>
  <c r="N912" i="8"/>
  <c r="H912" i="8"/>
  <c r="G912" i="8"/>
  <c r="P912" i="8"/>
  <c r="O912" i="8"/>
  <c r="M904" i="8"/>
  <c r="E904" i="8"/>
  <c r="N904" i="8"/>
  <c r="D904" i="8"/>
  <c r="J904" i="8"/>
  <c r="I904" i="8"/>
  <c r="H904" i="8"/>
  <c r="G904" i="8"/>
  <c r="F904" i="8"/>
  <c r="O904" i="8"/>
  <c r="P904" i="8"/>
  <c r="L904" i="8"/>
  <c r="B904" i="8"/>
  <c r="K904" i="8"/>
  <c r="A971" i="8"/>
  <c r="F971" i="7"/>
  <c r="M971" i="7"/>
  <c r="E971" i="7"/>
  <c r="L971" i="7"/>
  <c r="D971" i="7"/>
  <c r="K971" i="7"/>
  <c r="C971" i="7"/>
  <c r="J971" i="7"/>
  <c r="B971" i="7"/>
  <c r="H971" i="7"/>
  <c r="G971" i="7"/>
  <c r="I971" i="7"/>
  <c r="A830" i="8"/>
  <c r="G830" i="7"/>
  <c r="F830" i="7"/>
  <c r="M830" i="7"/>
  <c r="E830" i="7"/>
  <c r="L830" i="7"/>
  <c r="D830" i="7"/>
  <c r="K830" i="7"/>
  <c r="C830" i="7"/>
  <c r="H830" i="7"/>
  <c r="B830" i="7"/>
  <c r="J830" i="7"/>
  <c r="I830" i="7"/>
  <c r="N773" i="8"/>
  <c r="F773" i="8"/>
  <c r="M773" i="8"/>
  <c r="E773" i="8"/>
  <c r="L773" i="8"/>
  <c r="D773" i="8"/>
  <c r="K773" i="8"/>
  <c r="B773" i="8"/>
  <c r="I773" i="8"/>
  <c r="H773" i="8"/>
  <c r="G773" i="8"/>
  <c r="P773" i="8"/>
  <c r="O773" i="8"/>
  <c r="J773" i="8"/>
  <c r="N741" i="8"/>
  <c r="F741" i="8"/>
  <c r="M741" i="8"/>
  <c r="E741" i="8"/>
  <c r="L741" i="8"/>
  <c r="D741" i="8"/>
  <c r="K741" i="8"/>
  <c r="B741" i="8"/>
  <c r="I741" i="8"/>
  <c r="H741" i="8"/>
  <c r="G741" i="8"/>
  <c r="P741" i="8"/>
  <c r="O741" i="8"/>
  <c r="J741" i="8"/>
  <c r="J701" i="8"/>
  <c r="I701" i="8"/>
  <c r="P701" i="8"/>
  <c r="H701" i="8"/>
  <c r="O701" i="8"/>
  <c r="G701" i="8"/>
  <c r="N701" i="8"/>
  <c r="F701" i="8"/>
  <c r="L701" i="8"/>
  <c r="K701" i="8"/>
  <c r="E701" i="8"/>
  <c r="D701" i="8"/>
  <c r="B701" i="8"/>
  <c r="M701" i="8"/>
  <c r="I653" i="8"/>
  <c r="P653" i="8"/>
  <c r="H653" i="8"/>
  <c r="O653" i="8"/>
  <c r="G653" i="8"/>
  <c r="N653" i="8"/>
  <c r="F653" i="8"/>
  <c r="M653" i="8"/>
  <c r="E653" i="8"/>
  <c r="D653" i="8"/>
  <c r="B653" i="8"/>
  <c r="L653" i="8"/>
  <c r="K653" i="8"/>
  <c r="J653" i="8"/>
  <c r="I613" i="8"/>
  <c r="P613" i="8"/>
  <c r="H613" i="8"/>
  <c r="O613" i="8"/>
  <c r="G613" i="8"/>
  <c r="N613" i="8"/>
  <c r="F613" i="8"/>
  <c r="M613" i="8"/>
  <c r="E613" i="8"/>
  <c r="J613" i="8"/>
  <c r="D613" i="8"/>
  <c r="B613" i="8"/>
  <c r="K613" i="8"/>
  <c r="L613" i="8"/>
  <c r="I597" i="8"/>
  <c r="P597" i="8"/>
  <c r="H597" i="8"/>
  <c r="O597" i="8"/>
  <c r="G597" i="8"/>
  <c r="N597" i="8"/>
  <c r="F597" i="8"/>
  <c r="B597" i="8"/>
  <c r="M597" i="8"/>
  <c r="L597" i="8"/>
  <c r="K597" i="8"/>
  <c r="E597" i="8"/>
  <c r="D597" i="8"/>
  <c r="J597" i="8"/>
  <c r="I533" i="8"/>
  <c r="P533" i="8"/>
  <c r="H533" i="8"/>
  <c r="O533" i="8"/>
  <c r="G533" i="8"/>
  <c r="N533" i="8"/>
  <c r="F533" i="8"/>
  <c r="M533" i="8"/>
  <c r="E533" i="8"/>
  <c r="L533" i="8"/>
  <c r="K533" i="8"/>
  <c r="J533" i="8"/>
  <c r="D533" i="8"/>
  <c r="B533" i="8"/>
  <c r="I517" i="8"/>
  <c r="P517" i="8"/>
  <c r="H517" i="8"/>
  <c r="O517" i="8"/>
  <c r="G517" i="8"/>
  <c r="N517" i="8"/>
  <c r="F517" i="8"/>
  <c r="M517" i="8"/>
  <c r="E517" i="8"/>
  <c r="L517" i="8"/>
  <c r="K517" i="8"/>
  <c r="J517" i="8"/>
  <c r="B517" i="8"/>
  <c r="D517" i="8"/>
  <c r="I493" i="8"/>
  <c r="P493" i="8"/>
  <c r="O493" i="8"/>
  <c r="G493" i="8"/>
  <c r="N493" i="8"/>
  <c r="F493" i="8"/>
  <c r="M493" i="8"/>
  <c r="E493" i="8"/>
  <c r="L493" i="8"/>
  <c r="K493" i="8"/>
  <c r="J493" i="8"/>
  <c r="H493" i="8"/>
  <c r="D493" i="8"/>
  <c r="B493" i="8"/>
  <c r="I477" i="8"/>
  <c r="O477" i="8"/>
  <c r="G477" i="8"/>
  <c r="N477" i="8"/>
  <c r="F477" i="8"/>
  <c r="M477" i="8"/>
  <c r="E477" i="8"/>
  <c r="P477" i="8"/>
  <c r="L477" i="8"/>
  <c r="K477" i="8"/>
  <c r="J477" i="8"/>
  <c r="H477" i="8"/>
  <c r="B477" i="8"/>
  <c r="D477" i="8"/>
  <c r="J325" i="8"/>
  <c r="I325" i="8"/>
  <c r="O325" i="8"/>
  <c r="G325" i="8"/>
  <c r="N325" i="8"/>
  <c r="F325" i="8"/>
  <c r="M325" i="8"/>
  <c r="E325" i="8"/>
  <c r="H325" i="8"/>
  <c r="D325" i="8"/>
  <c r="K325" i="8"/>
  <c r="P325" i="8"/>
  <c r="B325" i="8"/>
  <c r="L325" i="8"/>
  <c r="J301" i="8"/>
  <c r="I301" i="8"/>
  <c r="O301" i="8"/>
  <c r="G301" i="8"/>
  <c r="N301" i="8"/>
  <c r="F301" i="8"/>
  <c r="H301" i="8"/>
  <c r="E301" i="8"/>
  <c r="P301" i="8"/>
  <c r="K301" i="8"/>
  <c r="B301" i="8"/>
  <c r="D301" i="8"/>
  <c r="M301" i="8"/>
  <c r="L301" i="8"/>
  <c r="J293" i="8"/>
  <c r="I293" i="8"/>
  <c r="O293" i="8"/>
  <c r="G293" i="8"/>
  <c r="N293" i="8"/>
  <c r="F293" i="8"/>
  <c r="P293" i="8"/>
  <c r="M293" i="8"/>
  <c r="H293" i="8"/>
  <c r="B293" i="8"/>
  <c r="L293" i="8"/>
  <c r="K293" i="8"/>
  <c r="D293" i="8"/>
  <c r="E293" i="8"/>
  <c r="J125" i="8"/>
  <c r="I125" i="8"/>
  <c r="O125" i="8"/>
  <c r="G125" i="8"/>
  <c r="N125" i="8"/>
  <c r="F125" i="8"/>
  <c r="K125" i="8"/>
  <c r="B125" i="8"/>
  <c r="P125" i="8"/>
  <c r="M125" i="8"/>
  <c r="L125" i="8"/>
  <c r="H125" i="8"/>
  <c r="E125" i="8"/>
  <c r="D125" i="8"/>
  <c r="A961" i="8"/>
  <c r="H961" i="7"/>
  <c r="G961" i="7"/>
  <c r="F961" i="7"/>
  <c r="M961" i="7"/>
  <c r="E961" i="7"/>
  <c r="L961" i="7"/>
  <c r="D961" i="7"/>
  <c r="J961" i="7"/>
  <c r="I961" i="7"/>
  <c r="C961" i="7"/>
  <c r="B961" i="7"/>
  <c r="K961" i="7"/>
  <c r="M680" i="8"/>
  <c r="E680" i="8"/>
  <c r="L680" i="8"/>
  <c r="D680" i="8"/>
  <c r="K680" i="8"/>
  <c r="B680" i="8"/>
  <c r="J680" i="8"/>
  <c r="I680" i="8"/>
  <c r="G680" i="8"/>
  <c r="F680" i="8"/>
  <c r="P680" i="8"/>
  <c r="O680" i="8"/>
  <c r="N680" i="8"/>
  <c r="H680" i="8"/>
  <c r="L496" i="8"/>
  <c r="D496" i="8"/>
  <c r="K496" i="8"/>
  <c r="B496" i="8"/>
  <c r="J496" i="8"/>
  <c r="I496" i="8"/>
  <c r="P496" i="8"/>
  <c r="H496" i="8"/>
  <c r="O496" i="8"/>
  <c r="N496" i="8"/>
  <c r="M496" i="8"/>
  <c r="G496" i="8"/>
  <c r="F496" i="8"/>
  <c r="E496" i="8"/>
  <c r="J400" i="8"/>
  <c r="I400" i="8"/>
  <c r="P400" i="8"/>
  <c r="H400" i="8"/>
  <c r="O400" i="8"/>
  <c r="G400" i="8"/>
  <c r="N400" i="8"/>
  <c r="F400" i="8"/>
  <c r="B400" i="8"/>
  <c r="M400" i="8"/>
  <c r="L400" i="8"/>
  <c r="K400" i="8"/>
  <c r="D400" i="8"/>
  <c r="E400" i="8"/>
  <c r="M304" i="8"/>
  <c r="E304" i="8"/>
  <c r="L304" i="8"/>
  <c r="D304" i="8"/>
  <c r="J304" i="8"/>
  <c r="I304" i="8"/>
  <c r="K304" i="8"/>
  <c r="H304" i="8"/>
  <c r="F304" i="8"/>
  <c r="B304" i="8"/>
  <c r="N304" i="8"/>
  <c r="O304" i="8"/>
  <c r="G304" i="8"/>
  <c r="P304" i="8"/>
  <c r="M264" i="8"/>
  <c r="E264" i="8"/>
  <c r="L264" i="8"/>
  <c r="D264" i="8"/>
  <c r="J264" i="8"/>
  <c r="I264" i="8"/>
  <c r="B264" i="8"/>
  <c r="P264" i="8"/>
  <c r="K264" i="8"/>
  <c r="F264" i="8"/>
  <c r="N264" i="8"/>
  <c r="H264" i="8"/>
  <c r="O264" i="8"/>
  <c r="G264" i="8"/>
  <c r="A966" i="8"/>
  <c r="G966" i="7"/>
  <c r="F966" i="7"/>
  <c r="M966" i="7"/>
  <c r="E966" i="7"/>
  <c r="L966" i="7"/>
  <c r="D966" i="7"/>
  <c r="K966" i="7"/>
  <c r="C966" i="7"/>
  <c r="I966" i="7"/>
  <c r="H966" i="7"/>
  <c r="B966" i="7"/>
  <c r="J966" i="7"/>
  <c r="L755" i="8"/>
  <c r="D755" i="8"/>
  <c r="K755" i="8"/>
  <c r="B755" i="8"/>
  <c r="J755" i="8"/>
  <c r="I755" i="8"/>
  <c r="G755" i="8"/>
  <c r="F755" i="8"/>
  <c r="E755" i="8"/>
  <c r="P755" i="8"/>
  <c r="O755" i="8"/>
  <c r="H755" i="8"/>
  <c r="M755" i="8"/>
  <c r="N755" i="8"/>
  <c r="L731" i="8"/>
  <c r="D731" i="8"/>
  <c r="K731" i="8"/>
  <c r="B731" i="8"/>
  <c r="J731" i="8"/>
  <c r="I731" i="8"/>
  <c r="O731" i="8"/>
  <c r="N731" i="8"/>
  <c r="M731" i="8"/>
  <c r="H731" i="8"/>
  <c r="G731" i="8"/>
  <c r="P731" i="8"/>
  <c r="F731" i="8"/>
  <c r="E731" i="8"/>
  <c r="O627" i="8"/>
  <c r="G627" i="8"/>
  <c r="N627" i="8"/>
  <c r="F627" i="8"/>
  <c r="M627" i="8"/>
  <c r="E627" i="8"/>
  <c r="L627" i="8"/>
  <c r="D627" i="8"/>
  <c r="K627" i="8"/>
  <c r="B627" i="8"/>
  <c r="J627" i="8"/>
  <c r="I627" i="8"/>
  <c r="H627" i="8"/>
  <c r="P627" i="8"/>
  <c r="O571" i="8"/>
  <c r="G571" i="8"/>
  <c r="N571" i="8"/>
  <c r="F571" i="8"/>
  <c r="M571" i="8"/>
  <c r="E571" i="8"/>
  <c r="L571" i="8"/>
  <c r="D571" i="8"/>
  <c r="K571" i="8"/>
  <c r="B571" i="8"/>
  <c r="P571" i="8"/>
  <c r="J571" i="8"/>
  <c r="I571" i="8"/>
  <c r="H571" i="8"/>
  <c r="O515" i="8"/>
  <c r="G515" i="8"/>
  <c r="N515" i="8"/>
  <c r="F515" i="8"/>
  <c r="M515" i="8"/>
  <c r="E515" i="8"/>
  <c r="L515" i="8"/>
  <c r="D515" i="8"/>
  <c r="K515" i="8"/>
  <c r="B515" i="8"/>
  <c r="I515" i="8"/>
  <c r="H515" i="8"/>
  <c r="P515" i="8"/>
  <c r="J515" i="8"/>
  <c r="O499" i="8"/>
  <c r="G499" i="8"/>
  <c r="N499" i="8"/>
  <c r="F499" i="8"/>
  <c r="M499" i="8"/>
  <c r="E499" i="8"/>
  <c r="L499" i="8"/>
  <c r="D499" i="8"/>
  <c r="K499" i="8"/>
  <c r="B499" i="8"/>
  <c r="P499" i="8"/>
  <c r="J499" i="8"/>
  <c r="I499" i="8"/>
  <c r="H499" i="8"/>
  <c r="M379" i="8"/>
  <c r="E379" i="8"/>
  <c r="L379" i="8"/>
  <c r="D379" i="8"/>
  <c r="K379" i="8"/>
  <c r="B379" i="8"/>
  <c r="J379" i="8"/>
  <c r="I379" i="8"/>
  <c r="P379" i="8"/>
  <c r="O379" i="8"/>
  <c r="H379" i="8"/>
  <c r="G379" i="8"/>
  <c r="F379" i="8"/>
  <c r="N379" i="8"/>
  <c r="A947" i="8"/>
  <c r="F947" i="7"/>
  <c r="M947" i="7"/>
  <c r="E947" i="7"/>
  <c r="L947" i="7"/>
  <c r="D947" i="7"/>
  <c r="K947" i="7"/>
  <c r="C947" i="7"/>
  <c r="J947" i="7"/>
  <c r="B947" i="7"/>
  <c r="I947" i="7"/>
  <c r="H947" i="7"/>
  <c r="G947" i="7"/>
  <c r="A915" i="8"/>
  <c r="F915" i="7"/>
  <c r="M915" i="7"/>
  <c r="E915" i="7"/>
  <c r="L915" i="7"/>
  <c r="D915" i="7"/>
  <c r="K915" i="7"/>
  <c r="C915" i="7"/>
  <c r="J915" i="7"/>
  <c r="B915" i="7"/>
  <c r="I915" i="7"/>
  <c r="H915" i="7"/>
  <c r="G915" i="7"/>
  <c r="A794" i="8"/>
  <c r="H794" i="7"/>
  <c r="G794" i="7"/>
  <c r="F794" i="7"/>
  <c r="M794" i="7"/>
  <c r="E794" i="7"/>
  <c r="L794" i="7"/>
  <c r="D794" i="7"/>
  <c r="K794" i="7"/>
  <c r="J794" i="7"/>
  <c r="I794" i="7"/>
  <c r="C794" i="7"/>
  <c r="B794" i="7"/>
  <c r="O742" i="8"/>
  <c r="G742" i="8"/>
  <c r="N742" i="8"/>
  <c r="F742" i="8"/>
  <c r="M742" i="8"/>
  <c r="E742" i="8"/>
  <c r="L742" i="8"/>
  <c r="D742" i="8"/>
  <c r="J742" i="8"/>
  <c r="I742" i="8"/>
  <c r="H742" i="8"/>
  <c r="B742" i="8"/>
  <c r="P742" i="8"/>
  <c r="K742" i="8"/>
  <c r="K694" i="8"/>
  <c r="B694" i="8"/>
  <c r="J694" i="8"/>
  <c r="I694" i="8"/>
  <c r="P694" i="8"/>
  <c r="H694" i="8"/>
  <c r="O694" i="8"/>
  <c r="G694" i="8"/>
  <c r="L694" i="8"/>
  <c r="F694" i="8"/>
  <c r="E694" i="8"/>
  <c r="D694" i="8"/>
  <c r="N694" i="8"/>
  <c r="M694" i="8"/>
  <c r="K670" i="8"/>
  <c r="B670" i="8"/>
  <c r="J670" i="8"/>
  <c r="I670" i="8"/>
  <c r="P670" i="8"/>
  <c r="H670" i="8"/>
  <c r="O670" i="8"/>
  <c r="N670" i="8"/>
  <c r="M670" i="8"/>
  <c r="L670" i="8"/>
  <c r="G670" i="8"/>
  <c r="D670" i="8"/>
  <c r="F670" i="8"/>
  <c r="E670" i="8"/>
  <c r="J582" i="8"/>
  <c r="I582" i="8"/>
  <c r="P582" i="8"/>
  <c r="H582" i="8"/>
  <c r="O582" i="8"/>
  <c r="G582" i="8"/>
  <c r="N582" i="8"/>
  <c r="F582" i="8"/>
  <c r="E582" i="8"/>
  <c r="D582" i="8"/>
  <c r="B582" i="8"/>
  <c r="M582" i="8"/>
  <c r="L582" i="8"/>
  <c r="K582" i="8"/>
  <c r="J494" i="8"/>
  <c r="I494" i="8"/>
  <c r="P494" i="8"/>
  <c r="H494" i="8"/>
  <c r="O494" i="8"/>
  <c r="G494" i="8"/>
  <c r="N494" i="8"/>
  <c r="F494" i="8"/>
  <c r="D494" i="8"/>
  <c r="B494" i="8"/>
  <c r="M494" i="8"/>
  <c r="L494" i="8"/>
  <c r="E494" i="8"/>
  <c r="K494" i="8"/>
  <c r="J454" i="8"/>
  <c r="P454" i="8"/>
  <c r="O454" i="8"/>
  <c r="N454" i="8"/>
  <c r="F454" i="8"/>
  <c r="K454" i="8"/>
  <c r="I454" i="8"/>
  <c r="H454" i="8"/>
  <c r="G454" i="8"/>
  <c r="E454" i="8"/>
  <c r="B454" i="8"/>
  <c r="M454" i="8"/>
  <c r="D454" i="8"/>
  <c r="L454" i="8"/>
  <c r="P390" i="8"/>
  <c r="H390" i="8"/>
  <c r="O390" i="8"/>
  <c r="G390" i="8"/>
  <c r="N390" i="8"/>
  <c r="F390" i="8"/>
  <c r="M390" i="8"/>
  <c r="E390" i="8"/>
  <c r="L390" i="8"/>
  <c r="D390" i="8"/>
  <c r="K390" i="8"/>
  <c r="J390" i="8"/>
  <c r="B390" i="8"/>
  <c r="I390" i="8"/>
  <c r="P374" i="8"/>
  <c r="H374" i="8"/>
  <c r="O374" i="8"/>
  <c r="G374" i="8"/>
  <c r="N374" i="8"/>
  <c r="F374" i="8"/>
  <c r="M374" i="8"/>
  <c r="E374" i="8"/>
  <c r="L374" i="8"/>
  <c r="D374" i="8"/>
  <c r="I374" i="8"/>
  <c r="B374" i="8"/>
  <c r="K374" i="8"/>
  <c r="J374" i="8"/>
  <c r="N230" i="8"/>
  <c r="F230" i="8"/>
  <c r="M230" i="8"/>
  <c r="E230" i="8"/>
  <c r="J230" i="8"/>
  <c r="O230" i="8"/>
  <c r="G230" i="8"/>
  <c r="K230" i="8"/>
  <c r="I230" i="8"/>
  <c r="D230" i="8"/>
  <c r="B230" i="8"/>
  <c r="L230" i="8"/>
  <c r="P230" i="8"/>
  <c r="H230" i="8"/>
  <c r="K166" i="8"/>
  <c r="B166" i="8"/>
  <c r="J166" i="8"/>
  <c r="P166" i="8"/>
  <c r="H166" i="8"/>
  <c r="O166" i="8"/>
  <c r="G166" i="8"/>
  <c r="L166" i="8"/>
  <c r="D166" i="8"/>
  <c r="N166" i="8"/>
  <c r="M166" i="8"/>
  <c r="I166" i="8"/>
  <c r="F166" i="8"/>
  <c r="E166" i="8"/>
  <c r="K118" i="8"/>
  <c r="B118" i="8"/>
  <c r="J118" i="8"/>
  <c r="P118" i="8"/>
  <c r="H118" i="8"/>
  <c r="O118" i="8"/>
  <c r="G118" i="8"/>
  <c r="L118" i="8"/>
  <c r="D118" i="8"/>
  <c r="N118" i="8"/>
  <c r="M118" i="8"/>
  <c r="I118" i="8"/>
  <c r="F118" i="8"/>
  <c r="E118" i="8"/>
  <c r="A979" i="8"/>
  <c r="F979" i="7"/>
  <c r="M979" i="7"/>
  <c r="E979" i="7"/>
  <c r="L979" i="7"/>
  <c r="D979" i="7"/>
  <c r="K979" i="7"/>
  <c r="C979" i="7"/>
  <c r="J979" i="7"/>
  <c r="B979" i="7"/>
  <c r="I979" i="7"/>
  <c r="H979" i="7"/>
  <c r="G979" i="7"/>
  <c r="J785" i="8"/>
  <c r="I785" i="8"/>
  <c r="O785" i="8"/>
  <c r="G785" i="8"/>
  <c r="L785" i="8"/>
  <c r="K785" i="8"/>
  <c r="H785" i="8"/>
  <c r="F785" i="8"/>
  <c r="E785" i="8"/>
  <c r="P785" i="8"/>
  <c r="N785" i="8"/>
  <c r="B785" i="8"/>
  <c r="M785" i="8"/>
  <c r="D785" i="8"/>
  <c r="J777" i="8"/>
  <c r="O777" i="8"/>
  <c r="G777" i="8"/>
  <c r="P777" i="8"/>
  <c r="E777" i="8"/>
  <c r="N777" i="8"/>
  <c r="D777" i="8"/>
  <c r="M777" i="8"/>
  <c r="B777" i="8"/>
  <c r="L777" i="8"/>
  <c r="I777" i="8"/>
  <c r="H777" i="8"/>
  <c r="F777" i="8"/>
  <c r="K777" i="8"/>
  <c r="M657" i="8"/>
  <c r="E657" i="8"/>
  <c r="L657" i="8"/>
  <c r="D657" i="8"/>
  <c r="K657" i="8"/>
  <c r="B657" i="8"/>
  <c r="J657" i="8"/>
  <c r="I657" i="8"/>
  <c r="H657" i="8"/>
  <c r="G657" i="8"/>
  <c r="F657" i="8"/>
  <c r="P657" i="8"/>
  <c r="O657" i="8"/>
  <c r="N657" i="8"/>
  <c r="M601" i="8"/>
  <c r="E601" i="8"/>
  <c r="L601" i="8"/>
  <c r="D601" i="8"/>
  <c r="K601" i="8"/>
  <c r="B601" i="8"/>
  <c r="J601" i="8"/>
  <c r="G601" i="8"/>
  <c r="F601" i="8"/>
  <c r="P601" i="8"/>
  <c r="O601" i="8"/>
  <c r="N601" i="8"/>
  <c r="I601" i="8"/>
  <c r="H601" i="8"/>
  <c r="M577" i="8"/>
  <c r="E577" i="8"/>
  <c r="L577" i="8"/>
  <c r="D577" i="8"/>
  <c r="K577" i="8"/>
  <c r="B577" i="8"/>
  <c r="J577" i="8"/>
  <c r="I577" i="8"/>
  <c r="P577" i="8"/>
  <c r="O577" i="8"/>
  <c r="N577" i="8"/>
  <c r="H577" i="8"/>
  <c r="G577" i="8"/>
  <c r="F577" i="8"/>
  <c r="M553" i="8"/>
  <c r="E553" i="8"/>
  <c r="L553" i="8"/>
  <c r="D553" i="8"/>
  <c r="K553" i="8"/>
  <c r="B553" i="8"/>
  <c r="J553" i="8"/>
  <c r="I553" i="8"/>
  <c r="O553" i="8"/>
  <c r="N553" i="8"/>
  <c r="H553" i="8"/>
  <c r="G553" i="8"/>
  <c r="F553" i="8"/>
  <c r="P553" i="8"/>
  <c r="M521" i="8"/>
  <c r="E521" i="8"/>
  <c r="L521" i="8"/>
  <c r="D521" i="8"/>
  <c r="K521" i="8"/>
  <c r="B521" i="8"/>
  <c r="J521" i="8"/>
  <c r="I521" i="8"/>
  <c r="F521" i="8"/>
  <c r="P521" i="8"/>
  <c r="O521" i="8"/>
  <c r="N521" i="8"/>
  <c r="H521" i="8"/>
  <c r="G521" i="8"/>
  <c r="M473" i="8"/>
  <c r="E473" i="8"/>
  <c r="K473" i="8"/>
  <c r="B473" i="8"/>
  <c r="J473" i="8"/>
  <c r="I473" i="8"/>
  <c r="N473" i="8"/>
  <c r="L473" i="8"/>
  <c r="H473" i="8"/>
  <c r="G473" i="8"/>
  <c r="F473" i="8"/>
  <c r="O473" i="8"/>
  <c r="D473" i="8"/>
  <c r="P473" i="8"/>
  <c r="K409" i="8"/>
  <c r="B409" i="8"/>
  <c r="J409" i="8"/>
  <c r="I409" i="8"/>
  <c r="P409" i="8"/>
  <c r="H409" i="8"/>
  <c r="O409" i="8"/>
  <c r="G409" i="8"/>
  <c r="N409" i="8"/>
  <c r="M409" i="8"/>
  <c r="F409" i="8"/>
  <c r="E409" i="8"/>
  <c r="D409" i="8"/>
  <c r="L409" i="8"/>
  <c r="K369" i="8"/>
  <c r="B369" i="8"/>
  <c r="J369" i="8"/>
  <c r="I369" i="8"/>
  <c r="P369" i="8"/>
  <c r="H369" i="8"/>
  <c r="O369" i="8"/>
  <c r="G369" i="8"/>
  <c r="N369" i="8"/>
  <c r="L369" i="8"/>
  <c r="F369" i="8"/>
  <c r="E369" i="8"/>
  <c r="M369" i="8"/>
  <c r="D369" i="8"/>
  <c r="A139" i="8"/>
  <c r="F139" i="7"/>
  <c r="M139" i="7"/>
  <c r="E139" i="7"/>
  <c r="L139" i="7"/>
  <c r="D139" i="7"/>
  <c r="K139" i="7"/>
  <c r="C139" i="7"/>
  <c r="J139" i="7"/>
  <c r="B139" i="7"/>
  <c r="I139" i="7"/>
  <c r="H139" i="7"/>
  <c r="G139" i="7"/>
  <c r="A862" i="8"/>
  <c r="G862" i="7"/>
  <c r="F862" i="7"/>
  <c r="M862" i="7"/>
  <c r="E862" i="7"/>
  <c r="L862" i="7"/>
  <c r="D862" i="7"/>
  <c r="K862" i="7"/>
  <c r="C862" i="7"/>
  <c r="J862" i="7"/>
  <c r="I862" i="7"/>
  <c r="H862" i="7"/>
  <c r="B862" i="7"/>
  <c r="M724" i="8"/>
  <c r="E724" i="8"/>
  <c r="L724" i="8"/>
  <c r="D724" i="8"/>
  <c r="K724" i="8"/>
  <c r="B724" i="8"/>
  <c r="J724" i="8"/>
  <c r="H724" i="8"/>
  <c r="G724" i="8"/>
  <c r="F724" i="8"/>
  <c r="P724" i="8"/>
  <c r="N724" i="8"/>
  <c r="I724" i="8"/>
  <c r="O724" i="8"/>
  <c r="I684" i="8"/>
  <c r="P684" i="8"/>
  <c r="H684" i="8"/>
  <c r="O684" i="8"/>
  <c r="G684" i="8"/>
  <c r="N684" i="8"/>
  <c r="F684" i="8"/>
  <c r="M684" i="8"/>
  <c r="E684" i="8"/>
  <c r="K684" i="8"/>
  <c r="J684" i="8"/>
  <c r="D684" i="8"/>
  <c r="B684" i="8"/>
  <c r="L684" i="8"/>
  <c r="A754" i="8"/>
  <c r="H754" i="7"/>
  <c r="G754" i="7"/>
  <c r="F754" i="7"/>
  <c r="M754" i="7"/>
  <c r="E754" i="7"/>
  <c r="L754" i="7"/>
  <c r="D754" i="7"/>
  <c r="K754" i="7"/>
  <c r="J754" i="7"/>
  <c r="I754" i="7"/>
  <c r="C754" i="7"/>
  <c r="B754" i="7"/>
  <c r="A642" i="8"/>
  <c r="J642" i="7"/>
  <c r="B642" i="7"/>
  <c r="I642" i="7"/>
  <c r="H642" i="7"/>
  <c r="G642" i="7"/>
  <c r="F642" i="7"/>
  <c r="M642" i="7"/>
  <c r="L642" i="7"/>
  <c r="K642" i="7"/>
  <c r="E642" i="7"/>
  <c r="D642" i="7"/>
  <c r="C642" i="7"/>
  <c r="A554" i="8"/>
  <c r="J554" i="7"/>
  <c r="B554" i="7"/>
  <c r="I554" i="7"/>
  <c r="H554" i="7"/>
  <c r="G554" i="7"/>
  <c r="F554" i="7"/>
  <c r="L554" i="7"/>
  <c r="K554" i="7"/>
  <c r="E554" i="7"/>
  <c r="D554" i="7"/>
  <c r="C554" i="7"/>
  <c r="M554" i="7"/>
  <c r="A319" i="8"/>
  <c r="J319" i="7"/>
  <c r="B319" i="7"/>
  <c r="I319" i="7"/>
  <c r="H319" i="7"/>
  <c r="G319" i="7"/>
  <c r="F319" i="7"/>
  <c r="C319" i="7"/>
  <c r="M319" i="7"/>
  <c r="L319" i="7"/>
  <c r="K319" i="7"/>
  <c r="E319" i="7"/>
  <c r="D319" i="7"/>
  <c r="A247" i="8"/>
  <c r="J247" i="7"/>
  <c r="B247" i="7"/>
  <c r="I247" i="7"/>
  <c r="H247" i="7"/>
  <c r="G247" i="7"/>
  <c r="F247" i="7"/>
  <c r="M247" i="7"/>
  <c r="L247" i="7"/>
  <c r="K247" i="7"/>
  <c r="D247" i="7"/>
  <c r="C247" i="7"/>
  <c r="E247" i="7"/>
  <c r="P99" i="8"/>
  <c r="H99" i="8"/>
  <c r="O99" i="8"/>
  <c r="G99" i="8"/>
  <c r="M99" i="8"/>
  <c r="E99" i="8"/>
  <c r="L99" i="8"/>
  <c r="D99" i="8"/>
  <c r="I99" i="8"/>
  <c r="B99" i="8"/>
  <c r="N99" i="8"/>
  <c r="K99" i="8"/>
  <c r="J99" i="8"/>
  <c r="F99" i="8"/>
  <c r="M59" i="8"/>
  <c r="E59" i="8"/>
  <c r="L59" i="8"/>
  <c r="D59" i="8"/>
  <c r="K59" i="8"/>
  <c r="B59" i="8"/>
  <c r="J59" i="8"/>
  <c r="I59" i="8"/>
  <c r="P59" i="8"/>
  <c r="H59" i="8"/>
  <c r="O59" i="8"/>
  <c r="G59" i="8"/>
  <c r="N59" i="8"/>
  <c r="F59" i="8"/>
  <c r="M43" i="8"/>
  <c r="E43" i="8"/>
  <c r="L43" i="8"/>
  <c r="D43" i="8"/>
  <c r="K43" i="8"/>
  <c r="B43" i="8"/>
  <c r="J43" i="8"/>
  <c r="I43" i="8"/>
  <c r="P43" i="8"/>
  <c r="H43" i="8"/>
  <c r="N43" i="8"/>
  <c r="F43" i="8"/>
  <c r="O43" i="8"/>
  <c r="G43" i="8"/>
  <c r="M19" i="8"/>
  <c r="E19" i="8"/>
  <c r="L19" i="8"/>
  <c r="D19" i="8"/>
  <c r="K19" i="8"/>
  <c r="B19" i="8"/>
  <c r="J19" i="8"/>
  <c r="I19" i="8"/>
  <c r="P19" i="8"/>
  <c r="H19" i="8"/>
  <c r="N19" i="8"/>
  <c r="F19" i="8"/>
  <c r="O19" i="8"/>
  <c r="G19" i="8"/>
  <c r="A55" i="8"/>
  <c r="G55" i="7"/>
  <c r="F55" i="7"/>
  <c r="M55" i="7"/>
  <c r="E55" i="7"/>
  <c r="L55" i="7"/>
  <c r="D55" i="7"/>
  <c r="K55" i="7"/>
  <c r="C55" i="7"/>
  <c r="J55" i="7"/>
  <c r="I55" i="7"/>
  <c r="H55" i="7"/>
  <c r="B55" i="7"/>
  <c r="A843" i="8"/>
  <c r="F843" i="7"/>
  <c r="M843" i="7"/>
  <c r="E843" i="7"/>
  <c r="L843" i="7"/>
  <c r="D843" i="7"/>
  <c r="K843" i="7"/>
  <c r="C843" i="7"/>
  <c r="J843" i="7"/>
  <c r="B843" i="7"/>
  <c r="H843" i="7"/>
  <c r="G843" i="7"/>
  <c r="I843" i="7"/>
  <c r="A671" i="8"/>
  <c r="F671" i="7"/>
  <c r="M671" i="7"/>
  <c r="E671" i="7"/>
  <c r="L671" i="7"/>
  <c r="D671" i="7"/>
  <c r="K671" i="7"/>
  <c r="C671" i="7"/>
  <c r="B671" i="7"/>
  <c r="J671" i="7"/>
  <c r="H671" i="7"/>
  <c r="G671" i="7"/>
  <c r="I671" i="7"/>
  <c r="A439" i="8"/>
  <c r="I439" i="7"/>
  <c r="H439" i="7"/>
  <c r="G439" i="7"/>
  <c r="F439" i="7"/>
  <c r="M439" i="7"/>
  <c r="E439" i="7"/>
  <c r="L439" i="7"/>
  <c r="K439" i="7"/>
  <c r="J439" i="7"/>
  <c r="D439" i="7"/>
  <c r="C439" i="7"/>
  <c r="B439" i="7"/>
  <c r="A367" i="8"/>
  <c r="I367" i="7"/>
  <c r="H367" i="7"/>
  <c r="G367" i="7"/>
  <c r="F367" i="7"/>
  <c r="M367" i="7"/>
  <c r="E367" i="7"/>
  <c r="K367" i="7"/>
  <c r="J367" i="7"/>
  <c r="D367" i="7"/>
  <c r="C367" i="7"/>
  <c r="B367" i="7"/>
  <c r="L367" i="7"/>
  <c r="A249" i="8"/>
  <c r="H249" i="7"/>
  <c r="G249" i="7"/>
  <c r="F249" i="7"/>
  <c r="M249" i="7"/>
  <c r="E249" i="7"/>
  <c r="L249" i="7"/>
  <c r="D249" i="7"/>
  <c r="K249" i="7"/>
  <c r="J249" i="7"/>
  <c r="I249" i="7"/>
  <c r="C249" i="7"/>
  <c r="B249" i="7"/>
  <c r="A110" i="8"/>
  <c r="G110" i="7"/>
  <c r="M110" i="7"/>
  <c r="E110" i="7"/>
  <c r="L110" i="7"/>
  <c r="D110" i="7"/>
  <c r="K110" i="7"/>
  <c r="C110" i="7"/>
  <c r="I110" i="7"/>
  <c r="H110" i="7"/>
  <c r="F110" i="7"/>
  <c r="B110" i="7"/>
  <c r="J110" i="7"/>
  <c r="A674" i="8"/>
  <c r="G674" i="7"/>
  <c r="F674" i="7"/>
  <c r="M674" i="7"/>
  <c r="E674" i="7"/>
  <c r="L674" i="7"/>
  <c r="D674" i="7"/>
  <c r="K674" i="7"/>
  <c r="J674" i="7"/>
  <c r="I674" i="7"/>
  <c r="H674" i="7"/>
  <c r="C674" i="7"/>
  <c r="B674" i="7"/>
  <c r="A666" i="8"/>
  <c r="G666" i="7"/>
  <c r="F666" i="7"/>
  <c r="M666" i="7"/>
  <c r="E666" i="7"/>
  <c r="L666" i="7"/>
  <c r="D666" i="7"/>
  <c r="C666" i="7"/>
  <c r="B666" i="7"/>
  <c r="K666" i="7"/>
  <c r="J666" i="7"/>
  <c r="I666" i="7"/>
  <c r="H666" i="7"/>
  <c r="A428" i="8"/>
  <c r="H428" i="7"/>
  <c r="G428" i="7"/>
  <c r="F428" i="7"/>
  <c r="M428" i="7"/>
  <c r="E428" i="7"/>
  <c r="L428" i="7"/>
  <c r="D428" i="7"/>
  <c r="I428" i="7"/>
  <c r="C428" i="7"/>
  <c r="B428" i="7"/>
  <c r="K428" i="7"/>
  <c r="J428" i="7"/>
  <c r="A426" i="8"/>
  <c r="J426" i="7"/>
  <c r="B426" i="7"/>
  <c r="I426" i="7"/>
  <c r="H426" i="7"/>
  <c r="G426" i="7"/>
  <c r="F426" i="7"/>
  <c r="L426" i="7"/>
  <c r="K426" i="7"/>
  <c r="E426" i="7"/>
  <c r="D426" i="7"/>
  <c r="C426" i="7"/>
  <c r="M426" i="7"/>
  <c r="A266" i="8"/>
  <c r="K266" i="7"/>
  <c r="C266" i="7"/>
  <c r="J266" i="7"/>
  <c r="B266" i="7"/>
  <c r="I266" i="7"/>
  <c r="H266" i="7"/>
  <c r="G266" i="7"/>
  <c r="F266" i="7"/>
  <c r="E266" i="7"/>
  <c r="D266" i="7"/>
  <c r="M266" i="7"/>
  <c r="L266" i="7"/>
  <c r="A196" i="8"/>
  <c r="I196" i="7"/>
  <c r="H196" i="7"/>
  <c r="G196" i="7"/>
  <c r="F196" i="7"/>
  <c r="M196" i="7"/>
  <c r="E196" i="7"/>
  <c r="B196" i="7"/>
  <c r="L196" i="7"/>
  <c r="K196" i="7"/>
  <c r="J196" i="7"/>
  <c r="D196" i="7"/>
  <c r="C196" i="7"/>
  <c r="A132" i="8"/>
  <c r="I132" i="7"/>
  <c r="H132" i="7"/>
  <c r="G132" i="7"/>
  <c r="F132" i="7"/>
  <c r="M132" i="7"/>
  <c r="E132" i="7"/>
  <c r="B132" i="7"/>
  <c r="L132" i="7"/>
  <c r="K132" i="7"/>
  <c r="J132" i="7"/>
  <c r="D132" i="7"/>
  <c r="C132" i="7"/>
  <c r="A105" i="8"/>
  <c r="H105" i="7"/>
  <c r="F105" i="7"/>
  <c r="M105" i="7"/>
  <c r="E105" i="7"/>
  <c r="L105" i="7"/>
  <c r="D105" i="7"/>
  <c r="J105" i="7"/>
  <c r="I105" i="7"/>
  <c r="G105" i="7"/>
  <c r="C105" i="7"/>
  <c r="B105" i="7"/>
  <c r="K105" i="7"/>
  <c r="N97" i="8"/>
  <c r="F97" i="8"/>
  <c r="M97" i="8"/>
  <c r="E97" i="8"/>
  <c r="K97" i="8"/>
  <c r="B97" i="8"/>
  <c r="J97" i="8"/>
  <c r="O97" i="8"/>
  <c r="G97" i="8"/>
  <c r="L97" i="8"/>
  <c r="I97" i="8"/>
  <c r="H97" i="8"/>
  <c r="D97" i="8"/>
  <c r="P97" i="8"/>
  <c r="A719" i="8"/>
  <c r="G719" i="7"/>
  <c r="F719" i="7"/>
  <c r="M719" i="7"/>
  <c r="E719" i="7"/>
  <c r="L719" i="7"/>
  <c r="D719" i="7"/>
  <c r="K719" i="7"/>
  <c r="C719" i="7"/>
  <c r="H719" i="7"/>
  <c r="B719" i="7"/>
  <c r="J719" i="7"/>
  <c r="I719" i="7"/>
  <c r="A572" i="8"/>
  <c r="H572" i="7"/>
  <c r="G572" i="7"/>
  <c r="F572" i="7"/>
  <c r="M572" i="7"/>
  <c r="E572" i="7"/>
  <c r="L572" i="7"/>
  <c r="D572" i="7"/>
  <c r="K572" i="7"/>
  <c r="J572" i="7"/>
  <c r="I572" i="7"/>
  <c r="C572" i="7"/>
  <c r="B572" i="7"/>
  <c r="A543" i="8"/>
  <c r="I543" i="7"/>
  <c r="H543" i="7"/>
  <c r="G543" i="7"/>
  <c r="F543" i="7"/>
  <c r="M543" i="7"/>
  <c r="E543" i="7"/>
  <c r="D543" i="7"/>
  <c r="C543" i="7"/>
  <c r="B543" i="7"/>
  <c r="L543" i="7"/>
  <c r="K543" i="7"/>
  <c r="J543" i="7"/>
  <c r="A969" i="8"/>
  <c r="H969" i="7"/>
  <c r="G969" i="7"/>
  <c r="F969" i="7"/>
  <c r="M969" i="7"/>
  <c r="E969" i="7"/>
  <c r="L969" i="7"/>
  <c r="D969" i="7"/>
  <c r="K969" i="7"/>
  <c r="J969" i="7"/>
  <c r="I969" i="7"/>
  <c r="C969" i="7"/>
  <c r="B969" i="7"/>
  <c r="A743" i="8"/>
  <c r="G743" i="7"/>
  <c r="F743" i="7"/>
  <c r="M743" i="7"/>
  <c r="E743" i="7"/>
  <c r="L743" i="7"/>
  <c r="D743" i="7"/>
  <c r="K743" i="7"/>
  <c r="C743" i="7"/>
  <c r="J743" i="7"/>
  <c r="I743" i="7"/>
  <c r="H743" i="7"/>
  <c r="B743" i="7"/>
  <c r="A652" i="8"/>
  <c r="H652" i="7"/>
  <c r="G652" i="7"/>
  <c r="F652" i="7"/>
  <c r="M652" i="7"/>
  <c r="E652" i="7"/>
  <c r="L652" i="7"/>
  <c r="D652" i="7"/>
  <c r="K652" i="7"/>
  <c r="J652" i="7"/>
  <c r="I652" i="7"/>
  <c r="C652" i="7"/>
  <c r="B652" i="7"/>
  <c r="A626" i="8"/>
  <c r="J626" i="7"/>
  <c r="B626" i="7"/>
  <c r="I626" i="7"/>
  <c r="H626" i="7"/>
  <c r="G626" i="7"/>
  <c r="F626" i="7"/>
  <c r="M626" i="7"/>
  <c r="L626" i="7"/>
  <c r="K626" i="7"/>
  <c r="E626" i="7"/>
  <c r="D626" i="7"/>
  <c r="C626" i="7"/>
  <c r="A532" i="8"/>
  <c r="H532" i="7"/>
  <c r="G532" i="7"/>
  <c r="F532" i="7"/>
  <c r="M532" i="7"/>
  <c r="E532" i="7"/>
  <c r="L532" i="7"/>
  <c r="D532" i="7"/>
  <c r="K532" i="7"/>
  <c r="J532" i="7"/>
  <c r="C532" i="7"/>
  <c r="B532" i="7"/>
  <c r="I532" i="7"/>
  <c r="A354" i="8"/>
  <c r="J354" i="7"/>
  <c r="B354" i="7"/>
  <c r="I354" i="7"/>
  <c r="H354" i="7"/>
  <c r="G354" i="7"/>
  <c r="F354" i="7"/>
  <c r="K354" i="7"/>
  <c r="E354" i="7"/>
  <c r="D354" i="7"/>
  <c r="C354" i="7"/>
  <c r="M354" i="7"/>
  <c r="L354" i="7"/>
  <c r="L103" i="8"/>
  <c r="D103" i="8"/>
  <c r="K103" i="8"/>
  <c r="B103" i="8"/>
  <c r="I103" i="8"/>
  <c r="P103" i="8"/>
  <c r="H103" i="8"/>
  <c r="M103" i="8"/>
  <c r="E103" i="8"/>
  <c r="G103" i="8"/>
  <c r="F103" i="8"/>
  <c r="O103" i="8"/>
  <c r="N103" i="8"/>
  <c r="J103" i="8"/>
  <c r="I7" i="8"/>
  <c r="P7" i="8"/>
  <c r="H7" i="8"/>
  <c r="O7" i="8"/>
  <c r="G7" i="8"/>
  <c r="N7" i="8"/>
  <c r="F7" i="8"/>
  <c r="M7" i="8"/>
  <c r="E7" i="8"/>
  <c r="J7" i="8"/>
  <c r="B7" i="8"/>
  <c r="L7" i="8"/>
  <c r="K7" i="8"/>
  <c r="D7" i="8"/>
  <c r="A4" i="8"/>
  <c r="F4" i="7"/>
  <c r="M4" i="7"/>
  <c r="E4" i="7"/>
  <c r="L4" i="7"/>
  <c r="D4" i="7"/>
  <c r="K4" i="7"/>
  <c r="C4" i="7"/>
  <c r="J4" i="7"/>
  <c r="B4" i="7"/>
  <c r="I4" i="7"/>
  <c r="H4" i="7"/>
  <c r="G4" i="7"/>
  <c r="A793" i="8"/>
  <c r="M793" i="7"/>
  <c r="E793" i="7"/>
  <c r="L793" i="7"/>
  <c r="D793" i="7"/>
  <c r="K793" i="7"/>
  <c r="C793" i="7"/>
  <c r="J793" i="7"/>
  <c r="B793" i="7"/>
  <c r="I793" i="7"/>
  <c r="F793" i="7"/>
  <c r="H793" i="7"/>
  <c r="G793" i="7"/>
  <c r="A730" i="8"/>
  <c r="H730" i="7"/>
  <c r="G730" i="7"/>
  <c r="F730" i="7"/>
  <c r="M730" i="7"/>
  <c r="E730" i="7"/>
  <c r="L730" i="7"/>
  <c r="D730" i="7"/>
  <c r="K730" i="7"/>
  <c r="J730" i="7"/>
  <c r="I730" i="7"/>
  <c r="C730" i="7"/>
  <c r="B730" i="7"/>
  <c r="A604" i="8"/>
  <c r="H604" i="7"/>
  <c r="G604" i="7"/>
  <c r="F604" i="7"/>
  <c r="M604" i="7"/>
  <c r="E604" i="7"/>
  <c r="L604" i="7"/>
  <c r="D604" i="7"/>
  <c r="B604" i="7"/>
  <c r="K604" i="7"/>
  <c r="J604" i="7"/>
  <c r="I604" i="7"/>
  <c r="C604" i="7"/>
  <c r="A602" i="8"/>
  <c r="J602" i="7"/>
  <c r="B602" i="7"/>
  <c r="I602" i="7"/>
  <c r="H602" i="7"/>
  <c r="G602" i="7"/>
  <c r="F602" i="7"/>
  <c r="E602" i="7"/>
  <c r="D602" i="7"/>
  <c r="C602" i="7"/>
  <c r="M602" i="7"/>
  <c r="K602" i="7"/>
  <c r="L602" i="7"/>
  <c r="A455" i="8"/>
  <c r="I455" i="7"/>
  <c r="H455" i="7"/>
  <c r="G455" i="7"/>
  <c r="F455" i="7"/>
  <c r="M455" i="7"/>
  <c r="E455" i="7"/>
  <c r="L455" i="7"/>
  <c r="K455" i="7"/>
  <c r="J455" i="7"/>
  <c r="D455" i="7"/>
  <c r="C455" i="7"/>
  <c r="B455" i="7"/>
  <c r="A240" i="8"/>
  <c r="M240" i="7"/>
  <c r="E240" i="7"/>
  <c r="L240" i="7"/>
  <c r="D240" i="7"/>
  <c r="K240" i="7"/>
  <c r="C240" i="7"/>
  <c r="J240" i="7"/>
  <c r="B240" i="7"/>
  <c r="I240" i="7"/>
  <c r="F240" i="7"/>
  <c r="H240" i="7"/>
  <c r="G240" i="7"/>
  <c r="A231" i="8"/>
  <c r="J231" i="7"/>
  <c r="B231" i="7"/>
  <c r="I231" i="7"/>
  <c r="H231" i="7"/>
  <c r="G231" i="7"/>
  <c r="F231" i="7"/>
  <c r="M231" i="7"/>
  <c r="L231" i="7"/>
  <c r="K231" i="7"/>
  <c r="E231" i="7"/>
  <c r="D231" i="7"/>
  <c r="C231" i="7"/>
  <c r="A218" i="8"/>
  <c r="K218" i="7"/>
  <c r="C218" i="7"/>
  <c r="J218" i="7"/>
  <c r="B218" i="7"/>
  <c r="I218" i="7"/>
  <c r="H218" i="7"/>
  <c r="G218" i="7"/>
  <c r="M218" i="7"/>
  <c r="L218" i="7"/>
  <c r="F218" i="7"/>
  <c r="E218" i="7"/>
  <c r="D218" i="7"/>
  <c r="A208" i="8"/>
  <c r="M208" i="7"/>
  <c r="E208" i="7"/>
  <c r="L208" i="7"/>
  <c r="D208" i="7"/>
  <c r="K208" i="7"/>
  <c r="C208" i="7"/>
  <c r="J208" i="7"/>
  <c r="B208" i="7"/>
  <c r="I208" i="7"/>
  <c r="H208" i="7"/>
  <c r="G208" i="7"/>
  <c r="F208" i="7"/>
  <c r="A199" i="8"/>
  <c r="J199" i="7"/>
  <c r="B199" i="7"/>
  <c r="I199" i="7"/>
  <c r="H199" i="7"/>
  <c r="G199" i="7"/>
  <c r="F199" i="7"/>
  <c r="D199" i="7"/>
  <c r="C199" i="7"/>
  <c r="M199" i="7"/>
  <c r="E199" i="7"/>
  <c r="L199" i="7"/>
  <c r="K199" i="7"/>
  <c r="A119" i="8"/>
  <c r="J119" i="7"/>
  <c r="B119" i="7"/>
  <c r="H119" i="7"/>
  <c r="G119" i="7"/>
  <c r="F119" i="7"/>
  <c r="D119" i="7"/>
  <c r="C119" i="7"/>
  <c r="M119" i="7"/>
  <c r="L119" i="7"/>
  <c r="I119" i="7"/>
  <c r="E119" i="7"/>
  <c r="K119" i="7"/>
  <c r="J48" i="8"/>
  <c r="I48" i="8"/>
  <c r="P48" i="8"/>
  <c r="H48" i="8"/>
  <c r="O48" i="8"/>
  <c r="G48" i="8"/>
  <c r="N48" i="8"/>
  <c r="F48" i="8"/>
  <c r="M48" i="8"/>
  <c r="E48" i="8"/>
  <c r="K48" i="8"/>
  <c r="B48" i="8"/>
  <c r="D48" i="8"/>
  <c r="L48" i="8"/>
  <c r="A112" i="8"/>
  <c r="M112" i="7"/>
  <c r="E112" i="7"/>
  <c r="K112" i="7"/>
  <c r="C112" i="7"/>
  <c r="J112" i="7"/>
  <c r="B112" i="7"/>
  <c r="I112" i="7"/>
  <c r="L112" i="7"/>
  <c r="H112" i="7"/>
  <c r="G112" i="7"/>
  <c r="F112" i="7"/>
  <c r="D112" i="7"/>
  <c r="A66" i="8"/>
  <c r="K66" i="7"/>
  <c r="C66" i="7"/>
  <c r="I66" i="7"/>
  <c r="H66" i="7"/>
  <c r="G66" i="7"/>
  <c r="E66" i="7"/>
  <c r="D66" i="7"/>
  <c r="B66" i="7"/>
  <c r="M66" i="7"/>
  <c r="L66" i="7"/>
  <c r="J66" i="7"/>
  <c r="F66" i="7"/>
  <c r="A2" i="8"/>
  <c r="H2" i="7"/>
  <c r="G2" i="7"/>
  <c r="F2" i="7"/>
  <c r="M2" i="7"/>
  <c r="E2" i="7"/>
  <c r="L2" i="7"/>
  <c r="D2" i="7"/>
  <c r="C2" i="7"/>
  <c r="B2" i="7"/>
  <c r="K2" i="7"/>
  <c r="J2" i="7"/>
  <c r="I2" i="7"/>
  <c r="O203" i="8"/>
  <c r="H203" i="8"/>
  <c r="P203" i="8"/>
  <c r="G203" i="8"/>
  <c r="M203" i="8"/>
  <c r="E203" i="8"/>
  <c r="L203" i="8"/>
  <c r="D203" i="8"/>
  <c r="I203" i="8"/>
  <c r="N203" i="8"/>
  <c r="K203" i="8"/>
  <c r="J203" i="8"/>
  <c r="F203" i="8"/>
  <c r="B203" i="8"/>
  <c r="A161" i="8"/>
  <c r="H161" i="7"/>
  <c r="G161" i="7"/>
  <c r="F161" i="7"/>
  <c r="M161" i="7"/>
  <c r="E161" i="7"/>
  <c r="L161" i="7"/>
  <c r="D161" i="7"/>
  <c r="I161" i="7"/>
  <c r="C161" i="7"/>
  <c r="B161" i="7"/>
  <c r="K161" i="7"/>
  <c r="J161" i="7"/>
  <c r="J606" i="8"/>
  <c r="I606" i="8"/>
  <c r="P606" i="8"/>
  <c r="H606" i="8"/>
  <c r="O606" i="8"/>
  <c r="G606" i="8"/>
  <c r="L606" i="8"/>
  <c r="K606" i="8"/>
  <c r="F606" i="8"/>
  <c r="E606" i="8"/>
  <c r="D606" i="8"/>
  <c r="N606" i="8"/>
  <c r="M606" i="8"/>
  <c r="B606" i="8"/>
  <c r="A727" i="8"/>
  <c r="G727" i="7"/>
  <c r="F727" i="7"/>
  <c r="M727" i="7"/>
  <c r="E727" i="7"/>
  <c r="L727" i="7"/>
  <c r="D727" i="7"/>
  <c r="K727" i="7"/>
  <c r="C727" i="7"/>
  <c r="I727" i="7"/>
  <c r="H727" i="7"/>
  <c r="B727" i="7"/>
  <c r="J727" i="7"/>
  <c r="A121" i="8"/>
  <c r="H121" i="7"/>
  <c r="F121" i="7"/>
  <c r="M121" i="7"/>
  <c r="E121" i="7"/>
  <c r="L121" i="7"/>
  <c r="D121" i="7"/>
  <c r="J121" i="7"/>
  <c r="I121" i="7"/>
  <c r="G121" i="7"/>
  <c r="C121" i="7"/>
  <c r="B121" i="7"/>
  <c r="K121" i="7"/>
  <c r="A26" i="8"/>
  <c r="H26" i="7"/>
  <c r="G26" i="7"/>
  <c r="F26" i="7"/>
  <c r="M26" i="7"/>
  <c r="E26" i="7"/>
  <c r="L26" i="7"/>
  <c r="D26" i="7"/>
  <c r="K26" i="7"/>
  <c r="J26" i="7"/>
  <c r="I26" i="7"/>
  <c r="C26" i="7"/>
  <c r="B26" i="7"/>
  <c r="A802" i="8"/>
  <c r="K802" i="7"/>
  <c r="C802" i="7"/>
  <c r="J802" i="7"/>
  <c r="B802" i="7"/>
  <c r="I802" i="7"/>
  <c r="H802" i="7"/>
  <c r="G802" i="7"/>
  <c r="F802" i="7"/>
  <c r="E802" i="7"/>
  <c r="D802" i="7"/>
  <c r="M802" i="7"/>
  <c r="L802" i="7"/>
  <c r="A330" i="8"/>
  <c r="J330" i="7"/>
  <c r="B330" i="7"/>
  <c r="I330" i="7"/>
  <c r="H330" i="7"/>
  <c r="G330" i="7"/>
  <c r="F330" i="7"/>
  <c r="C330" i="7"/>
  <c r="M330" i="7"/>
  <c r="L330" i="7"/>
  <c r="D330" i="7"/>
  <c r="K330" i="7"/>
  <c r="E330" i="7"/>
  <c r="A241" i="8"/>
  <c r="H241" i="7"/>
  <c r="G241" i="7"/>
  <c r="F241" i="7"/>
  <c r="M241" i="7"/>
  <c r="E241" i="7"/>
  <c r="L241" i="7"/>
  <c r="D241" i="7"/>
  <c r="K241" i="7"/>
  <c r="J241" i="7"/>
  <c r="I241" i="7"/>
  <c r="C241" i="7"/>
  <c r="B241" i="7"/>
  <c r="A209" i="8"/>
  <c r="H209" i="7"/>
  <c r="G209" i="7"/>
  <c r="F209" i="7"/>
  <c r="M209" i="7"/>
  <c r="E209" i="7"/>
  <c r="L209" i="7"/>
  <c r="D209" i="7"/>
  <c r="B209" i="7"/>
  <c r="K209" i="7"/>
  <c r="J209" i="7"/>
  <c r="I209" i="7"/>
  <c r="C209" i="7"/>
  <c r="A827" i="8"/>
  <c r="F827" i="7"/>
  <c r="M827" i="7"/>
  <c r="E827" i="7"/>
  <c r="L827" i="7"/>
  <c r="D827" i="7"/>
  <c r="K827" i="7"/>
  <c r="C827" i="7"/>
  <c r="J827" i="7"/>
  <c r="B827" i="7"/>
  <c r="I827" i="7"/>
  <c r="H827" i="7"/>
  <c r="G827" i="7"/>
  <c r="A562" i="8"/>
  <c r="J562" i="7"/>
  <c r="B562" i="7"/>
  <c r="I562" i="7"/>
  <c r="H562" i="7"/>
  <c r="G562" i="7"/>
  <c r="F562" i="7"/>
  <c r="M562" i="7"/>
  <c r="L562" i="7"/>
  <c r="K562" i="7"/>
  <c r="E562" i="7"/>
  <c r="D562" i="7"/>
  <c r="C562" i="7"/>
  <c r="A372" i="8"/>
  <c r="H372" i="7"/>
  <c r="G372" i="7"/>
  <c r="F372" i="7"/>
  <c r="M372" i="7"/>
  <c r="E372" i="7"/>
  <c r="L372" i="7"/>
  <c r="D372" i="7"/>
  <c r="J372" i="7"/>
  <c r="I372" i="7"/>
  <c r="C372" i="7"/>
  <c r="B372" i="7"/>
  <c r="K372" i="7"/>
  <c r="A50" i="8"/>
  <c r="H50" i="7"/>
  <c r="G50" i="7"/>
  <c r="F50" i="7"/>
  <c r="M50" i="7"/>
  <c r="E50" i="7"/>
  <c r="L50" i="7"/>
  <c r="D50" i="7"/>
  <c r="K50" i="7"/>
  <c r="J50" i="7"/>
  <c r="I50" i="7"/>
  <c r="B50" i="7"/>
  <c r="C50" i="7"/>
  <c r="A98" i="8"/>
  <c r="K98" i="7"/>
  <c r="C98" i="7"/>
  <c r="I98" i="7"/>
  <c r="H98" i="7"/>
  <c r="G98" i="7"/>
  <c r="E98" i="7"/>
  <c r="D98" i="7"/>
  <c r="B98" i="7"/>
  <c r="M98" i="7"/>
  <c r="L98" i="7"/>
  <c r="J98" i="7"/>
  <c r="F98" i="7"/>
  <c r="A201" i="8"/>
  <c r="H201" i="7"/>
  <c r="G201" i="7"/>
  <c r="F201" i="7"/>
  <c r="M201" i="7"/>
  <c r="E201" i="7"/>
  <c r="L201" i="7"/>
  <c r="D201" i="7"/>
  <c r="K201" i="7"/>
  <c r="J201" i="7"/>
  <c r="I201" i="7"/>
  <c r="C201" i="7"/>
  <c r="B201" i="7"/>
  <c r="A34" i="8"/>
  <c r="H34" i="7"/>
  <c r="G34" i="7"/>
  <c r="F34" i="7"/>
  <c r="M34" i="7"/>
  <c r="E34" i="7"/>
  <c r="L34" i="7"/>
  <c r="D34" i="7"/>
  <c r="K34" i="7"/>
  <c r="J34" i="7"/>
  <c r="I34" i="7"/>
  <c r="C34" i="7"/>
  <c r="B34" i="7"/>
  <c r="A556" i="8"/>
  <c r="H556" i="7"/>
  <c r="G556" i="7"/>
  <c r="F556" i="7"/>
  <c r="M556" i="7"/>
  <c r="E556" i="7"/>
  <c r="L556" i="7"/>
  <c r="D556" i="7"/>
  <c r="I556" i="7"/>
  <c r="C556" i="7"/>
  <c r="B556" i="7"/>
  <c r="K556" i="7"/>
  <c r="J556" i="7"/>
  <c r="A615" i="8"/>
  <c r="I615" i="7"/>
  <c r="H615" i="7"/>
  <c r="G615" i="7"/>
  <c r="F615" i="7"/>
  <c r="M615" i="7"/>
  <c r="E615" i="7"/>
  <c r="J615" i="7"/>
  <c r="D615" i="7"/>
  <c r="C615" i="7"/>
  <c r="B615" i="7"/>
  <c r="L615" i="7"/>
  <c r="K615" i="7"/>
  <c r="J997" i="8"/>
  <c r="O997" i="8"/>
  <c r="F997" i="8"/>
  <c r="N997" i="8"/>
  <c r="E997" i="8"/>
  <c r="M997" i="8"/>
  <c r="D997" i="8"/>
  <c r="L997" i="8"/>
  <c r="B997" i="8"/>
  <c r="G997" i="8"/>
  <c r="P997" i="8"/>
  <c r="K997" i="8"/>
  <c r="I997" i="8"/>
  <c r="H997" i="8"/>
  <c r="I621" i="8"/>
  <c r="P621" i="8"/>
  <c r="H621" i="8"/>
  <c r="O621" i="8"/>
  <c r="G621" i="8"/>
  <c r="N621" i="8"/>
  <c r="F621" i="8"/>
  <c r="M621" i="8"/>
  <c r="E621" i="8"/>
  <c r="L621" i="8"/>
  <c r="K621" i="8"/>
  <c r="J621" i="8"/>
  <c r="D621" i="8"/>
  <c r="B621" i="8"/>
  <c r="L568" i="8"/>
  <c r="D568" i="8"/>
  <c r="K568" i="8"/>
  <c r="B568" i="8"/>
  <c r="J568" i="8"/>
  <c r="I568" i="8"/>
  <c r="P568" i="8"/>
  <c r="H568" i="8"/>
  <c r="E568" i="8"/>
  <c r="O568" i="8"/>
  <c r="N568" i="8"/>
  <c r="M568" i="8"/>
  <c r="G568" i="8"/>
  <c r="F568" i="8"/>
  <c r="L544" i="8"/>
  <c r="D544" i="8"/>
  <c r="K544" i="8"/>
  <c r="B544" i="8"/>
  <c r="J544" i="8"/>
  <c r="I544" i="8"/>
  <c r="P544" i="8"/>
  <c r="H544" i="8"/>
  <c r="O544" i="8"/>
  <c r="N544" i="8"/>
  <c r="M544" i="8"/>
  <c r="G544" i="8"/>
  <c r="F544" i="8"/>
  <c r="E544" i="8"/>
  <c r="M272" i="8"/>
  <c r="E272" i="8"/>
  <c r="L272" i="8"/>
  <c r="D272" i="8"/>
  <c r="J272" i="8"/>
  <c r="I272" i="8"/>
  <c r="K272" i="8"/>
  <c r="H272" i="8"/>
  <c r="B272" i="8"/>
  <c r="N272" i="8"/>
  <c r="P272" i="8"/>
  <c r="G272" i="8"/>
  <c r="F272" i="8"/>
  <c r="O272" i="8"/>
  <c r="P299" i="8"/>
  <c r="H299" i="8"/>
  <c r="O299" i="8"/>
  <c r="G299" i="8"/>
  <c r="M299" i="8"/>
  <c r="E299" i="8"/>
  <c r="L299" i="8"/>
  <c r="D299" i="8"/>
  <c r="F299" i="8"/>
  <c r="B299" i="8"/>
  <c r="N299" i="8"/>
  <c r="I299" i="8"/>
  <c r="K299" i="8"/>
  <c r="J299" i="8"/>
  <c r="O940" i="8"/>
  <c r="G940" i="8"/>
  <c r="N940" i="8"/>
  <c r="F940" i="8"/>
  <c r="M940" i="8"/>
  <c r="E940" i="8"/>
  <c r="K940" i="8"/>
  <c r="B940" i="8"/>
  <c r="I940" i="8"/>
  <c r="H940" i="8"/>
  <c r="D940" i="8"/>
  <c r="P940" i="8"/>
  <c r="L940" i="8"/>
  <c r="J940" i="8"/>
  <c r="L959" i="8"/>
  <c r="D959" i="8"/>
  <c r="I959" i="8"/>
  <c r="H959" i="8"/>
  <c r="P959" i="8"/>
  <c r="G959" i="8"/>
  <c r="O959" i="8"/>
  <c r="F959" i="8"/>
  <c r="J959" i="8"/>
  <c r="E959" i="8"/>
  <c r="B959" i="8"/>
  <c r="M959" i="8"/>
  <c r="K959" i="8"/>
  <c r="N959" i="8"/>
  <c r="J935" i="8"/>
  <c r="I935" i="8"/>
  <c r="P935" i="8"/>
  <c r="H935" i="8"/>
  <c r="E935" i="8"/>
  <c r="O935" i="8"/>
  <c r="D935" i="8"/>
  <c r="N935" i="8"/>
  <c r="B935" i="8"/>
  <c r="M935" i="8"/>
  <c r="L935" i="8"/>
  <c r="G935" i="8"/>
  <c r="F935" i="8"/>
  <c r="K935" i="8"/>
  <c r="L903" i="8"/>
  <c r="D903" i="8"/>
  <c r="J903" i="8"/>
  <c r="P903" i="8"/>
  <c r="G903" i="8"/>
  <c r="O903" i="8"/>
  <c r="F903" i="8"/>
  <c r="I903" i="8"/>
  <c r="H903" i="8"/>
  <c r="E903" i="8"/>
  <c r="N903" i="8"/>
  <c r="M903" i="8"/>
  <c r="K903" i="8"/>
  <c r="B903" i="8"/>
  <c r="O994" i="8"/>
  <c r="G994" i="8"/>
  <c r="N994" i="8"/>
  <c r="E994" i="8"/>
  <c r="M994" i="8"/>
  <c r="D994" i="8"/>
  <c r="L994" i="8"/>
  <c r="B994" i="8"/>
  <c r="K994" i="8"/>
  <c r="P994" i="8"/>
  <c r="J994" i="8"/>
  <c r="I994" i="8"/>
  <c r="H994" i="8"/>
  <c r="F994" i="8"/>
  <c r="O962" i="8"/>
  <c r="G962" i="8"/>
  <c r="J962" i="8"/>
  <c r="I962" i="8"/>
  <c r="H962" i="8"/>
  <c r="P962" i="8"/>
  <c r="F962" i="8"/>
  <c r="N962" i="8"/>
  <c r="M962" i="8"/>
  <c r="L962" i="8"/>
  <c r="K962" i="8"/>
  <c r="E962" i="8"/>
  <c r="D962" i="8"/>
  <c r="B962" i="8"/>
  <c r="O922" i="8"/>
  <c r="G922" i="8"/>
  <c r="N922" i="8"/>
  <c r="F922" i="8"/>
  <c r="M922" i="8"/>
  <c r="E922" i="8"/>
  <c r="L922" i="8"/>
  <c r="D922" i="8"/>
  <c r="B922" i="8"/>
  <c r="P922" i="8"/>
  <c r="K922" i="8"/>
  <c r="J922" i="8"/>
  <c r="I922" i="8"/>
  <c r="H922" i="8"/>
  <c r="P933" i="8"/>
  <c r="H933" i="8"/>
  <c r="O933" i="8"/>
  <c r="G933" i="8"/>
  <c r="N933" i="8"/>
  <c r="F933" i="8"/>
  <c r="J933" i="8"/>
  <c r="I933" i="8"/>
  <c r="E933" i="8"/>
  <c r="D933" i="8"/>
  <c r="B933" i="8"/>
  <c r="L933" i="8"/>
  <c r="M933" i="8"/>
  <c r="K933" i="8"/>
  <c r="I853" i="8"/>
  <c r="O853" i="8"/>
  <c r="G853" i="8"/>
  <c r="N853" i="8"/>
  <c r="D853" i="8"/>
  <c r="M853" i="8"/>
  <c r="B853" i="8"/>
  <c r="L853" i="8"/>
  <c r="K853" i="8"/>
  <c r="P853" i="8"/>
  <c r="J853" i="8"/>
  <c r="E853" i="8"/>
  <c r="H853" i="8"/>
  <c r="F853" i="8"/>
  <c r="M976" i="8"/>
  <c r="E976" i="8"/>
  <c r="J976" i="8"/>
  <c r="I976" i="8"/>
  <c r="H976" i="8"/>
  <c r="P976" i="8"/>
  <c r="G976" i="8"/>
  <c r="K976" i="8"/>
  <c r="F976" i="8"/>
  <c r="D976" i="8"/>
  <c r="B976" i="8"/>
  <c r="L976" i="8"/>
  <c r="O976" i="8"/>
  <c r="N976" i="8"/>
  <c r="M968" i="8"/>
  <c r="E968" i="8"/>
  <c r="K968" i="8"/>
  <c r="J968" i="8"/>
  <c r="I968" i="8"/>
  <c r="H968" i="8"/>
  <c r="B968" i="8"/>
  <c r="P968" i="8"/>
  <c r="O968" i="8"/>
  <c r="N968" i="8"/>
  <c r="L968" i="8"/>
  <c r="G968" i="8"/>
  <c r="F968" i="8"/>
  <c r="D968" i="8"/>
  <c r="M960" i="8"/>
  <c r="E960" i="8"/>
  <c r="L960" i="8"/>
  <c r="B960" i="8"/>
  <c r="K960" i="8"/>
  <c r="J960" i="8"/>
  <c r="I960" i="8"/>
  <c r="N960" i="8"/>
  <c r="H960" i="8"/>
  <c r="G960" i="8"/>
  <c r="F960" i="8"/>
  <c r="D960" i="8"/>
  <c r="O960" i="8"/>
  <c r="P960" i="8"/>
  <c r="N952" i="8"/>
  <c r="F952" i="8"/>
  <c r="M952" i="8"/>
  <c r="E952" i="8"/>
  <c r="K952" i="8"/>
  <c r="B952" i="8"/>
  <c r="J952" i="8"/>
  <c r="I952" i="8"/>
  <c r="H952" i="8"/>
  <c r="D952" i="8"/>
  <c r="O952" i="8"/>
  <c r="L952" i="8"/>
  <c r="G952" i="8"/>
  <c r="P952" i="8"/>
  <c r="L848" i="8"/>
  <c r="D848" i="8"/>
  <c r="J848" i="8"/>
  <c r="O848" i="8"/>
  <c r="E848" i="8"/>
  <c r="N848" i="8"/>
  <c r="B848" i="8"/>
  <c r="M848" i="8"/>
  <c r="K848" i="8"/>
  <c r="I848" i="8"/>
  <c r="H848" i="8"/>
  <c r="F848" i="8"/>
  <c r="P848" i="8"/>
  <c r="G848" i="8"/>
  <c r="L816" i="8"/>
  <c r="D816" i="8"/>
  <c r="K816" i="8"/>
  <c r="B816" i="8"/>
  <c r="J816" i="8"/>
  <c r="I816" i="8"/>
  <c r="H816" i="8"/>
  <c r="G816" i="8"/>
  <c r="E816" i="8"/>
  <c r="P816" i="8"/>
  <c r="M816" i="8"/>
  <c r="O816" i="8"/>
  <c r="N816" i="8"/>
  <c r="F816" i="8"/>
  <c r="J685" i="8"/>
  <c r="I685" i="8"/>
  <c r="P685" i="8"/>
  <c r="H685" i="8"/>
  <c r="O685" i="8"/>
  <c r="G685" i="8"/>
  <c r="N685" i="8"/>
  <c r="F685" i="8"/>
  <c r="M685" i="8"/>
  <c r="L685" i="8"/>
  <c r="K685" i="8"/>
  <c r="E685" i="8"/>
  <c r="D685" i="8"/>
  <c r="B685" i="8"/>
  <c r="O437" i="8"/>
  <c r="G437" i="8"/>
  <c r="N437" i="8"/>
  <c r="F437" i="8"/>
  <c r="M437" i="8"/>
  <c r="E437" i="8"/>
  <c r="L437" i="8"/>
  <c r="D437" i="8"/>
  <c r="K437" i="8"/>
  <c r="B437" i="8"/>
  <c r="P437" i="8"/>
  <c r="J437" i="8"/>
  <c r="I437" i="8"/>
  <c r="H437" i="8"/>
  <c r="O405" i="8"/>
  <c r="G405" i="8"/>
  <c r="N405" i="8"/>
  <c r="F405" i="8"/>
  <c r="M405" i="8"/>
  <c r="E405" i="8"/>
  <c r="L405" i="8"/>
  <c r="D405" i="8"/>
  <c r="K405" i="8"/>
  <c r="B405" i="8"/>
  <c r="J405" i="8"/>
  <c r="I405" i="8"/>
  <c r="H405" i="8"/>
  <c r="P405" i="8"/>
  <c r="O349" i="8"/>
  <c r="G349" i="8"/>
  <c r="N349" i="8"/>
  <c r="F349" i="8"/>
  <c r="M349" i="8"/>
  <c r="E349" i="8"/>
  <c r="L349" i="8"/>
  <c r="D349" i="8"/>
  <c r="K349" i="8"/>
  <c r="B349" i="8"/>
  <c r="J349" i="8"/>
  <c r="I349" i="8"/>
  <c r="H349" i="8"/>
  <c r="P349" i="8"/>
  <c r="J317" i="8"/>
  <c r="I317" i="8"/>
  <c r="O317" i="8"/>
  <c r="G317" i="8"/>
  <c r="N317" i="8"/>
  <c r="F317" i="8"/>
  <c r="H317" i="8"/>
  <c r="E317" i="8"/>
  <c r="B317" i="8"/>
  <c r="P317" i="8"/>
  <c r="K317" i="8"/>
  <c r="D317" i="8"/>
  <c r="L317" i="8"/>
  <c r="M317" i="8"/>
  <c r="J309" i="8"/>
  <c r="I309" i="8"/>
  <c r="O309" i="8"/>
  <c r="G309" i="8"/>
  <c r="N309" i="8"/>
  <c r="F309" i="8"/>
  <c r="P309" i="8"/>
  <c r="M309" i="8"/>
  <c r="K309" i="8"/>
  <c r="H309" i="8"/>
  <c r="B309" i="8"/>
  <c r="D309" i="8"/>
  <c r="L309" i="8"/>
  <c r="E309" i="8"/>
  <c r="J285" i="8"/>
  <c r="I285" i="8"/>
  <c r="O285" i="8"/>
  <c r="G285" i="8"/>
  <c r="N285" i="8"/>
  <c r="F285" i="8"/>
  <c r="H285" i="8"/>
  <c r="E285" i="8"/>
  <c r="P285" i="8"/>
  <c r="K285" i="8"/>
  <c r="M285" i="8"/>
  <c r="D285" i="8"/>
  <c r="B285" i="8"/>
  <c r="L285" i="8"/>
  <c r="J197" i="8"/>
  <c r="I197" i="8"/>
  <c r="O197" i="8"/>
  <c r="G197" i="8"/>
  <c r="N197" i="8"/>
  <c r="F197" i="8"/>
  <c r="K197" i="8"/>
  <c r="B197" i="8"/>
  <c r="E197" i="8"/>
  <c r="D197" i="8"/>
  <c r="P197" i="8"/>
  <c r="M197" i="8"/>
  <c r="L197" i="8"/>
  <c r="H197" i="8"/>
  <c r="J173" i="8"/>
  <c r="I173" i="8"/>
  <c r="O173" i="8"/>
  <c r="G173" i="8"/>
  <c r="N173" i="8"/>
  <c r="F173" i="8"/>
  <c r="K173" i="8"/>
  <c r="B173" i="8"/>
  <c r="D173" i="8"/>
  <c r="P173" i="8"/>
  <c r="M173" i="8"/>
  <c r="L173" i="8"/>
  <c r="H173" i="8"/>
  <c r="E173" i="8"/>
  <c r="J109" i="8"/>
  <c r="I109" i="8"/>
  <c r="O109" i="8"/>
  <c r="G109" i="8"/>
  <c r="N109" i="8"/>
  <c r="F109" i="8"/>
  <c r="K109" i="8"/>
  <c r="B109" i="8"/>
  <c r="D109" i="8"/>
  <c r="P109" i="8"/>
  <c r="M109" i="8"/>
  <c r="L109" i="8"/>
  <c r="H109" i="8"/>
  <c r="E109" i="8"/>
  <c r="A918" i="8"/>
  <c r="G918" i="7"/>
  <c r="F918" i="7"/>
  <c r="M918" i="7"/>
  <c r="E918" i="7"/>
  <c r="L918" i="7"/>
  <c r="D918" i="7"/>
  <c r="K918" i="7"/>
  <c r="C918" i="7"/>
  <c r="J918" i="7"/>
  <c r="I918" i="7"/>
  <c r="H918" i="7"/>
  <c r="B918" i="7"/>
  <c r="A913" i="8"/>
  <c r="H913" i="7"/>
  <c r="G913" i="7"/>
  <c r="F913" i="7"/>
  <c r="M913" i="7"/>
  <c r="E913" i="7"/>
  <c r="L913" i="7"/>
  <c r="D913" i="7"/>
  <c r="K913" i="7"/>
  <c r="J913" i="7"/>
  <c r="I913" i="7"/>
  <c r="C913" i="7"/>
  <c r="B913" i="7"/>
  <c r="A887" i="8"/>
  <c r="J887" i="7"/>
  <c r="B887" i="7"/>
  <c r="I887" i="7"/>
  <c r="H887" i="7"/>
  <c r="G887" i="7"/>
  <c r="F887" i="7"/>
  <c r="L887" i="7"/>
  <c r="K887" i="7"/>
  <c r="E887" i="7"/>
  <c r="D887" i="7"/>
  <c r="C887" i="7"/>
  <c r="M887" i="7"/>
  <c r="A878" i="8"/>
  <c r="G878" i="7"/>
  <c r="F878" i="7"/>
  <c r="M878" i="7"/>
  <c r="E878" i="7"/>
  <c r="L878" i="7"/>
  <c r="D878" i="7"/>
  <c r="K878" i="7"/>
  <c r="C878" i="7"/>
  <c r="J878" i="7"/>
  <c r="B878" i="7"/>
  <c r="I878" i="7"/>
  <c r="H878" i="7"/>
  <c r="A855" i="8"/>
  <c r="J855" i="7"/>
  <c r="B855" i="7"/>
  <c r="I855" i="7"/>
  <c r="H855" i="7"/>
  <c r="G855" i="7"/>
  <c r="F855" i="7"/>
  <c r="C855" i="7"/>
  <c r="M855" i="7"/>
  <c r="L855" i="7"/>
  <c r="K855" i="7"/>
  <c r="E855" i="7"/>
  <c r="D855" i="7"/>
  <c r="A846" i="8"/>
  <c r="G846" i="7"/>
  <c r="F846" i="7"/>
  <c r="M846" i="7"/>
  <c r="E846" i="7"/>
  <c r="L846" i="7"/>
  <c r="D846" i="7"/>
  <c r="K846" i="7"/>
  <c r="C846" i="7"/>
  <c r="J846" i="7"/>
  <c r="I846" i="7"/>
  <c r="H846" i="7"/>
  <c r="B846" i="7"/>
  <c r="A817" i="8"/>
  <c r="H817" i="7"/>
  <c r="G817" i="7"/>
  <c r="F817" i="7"/>
  <c r="M817" i="7"/>
  <c r="E817" i="7"/>
  <c r="L817" i="7"/>
  <c r="D817" i="7"/>
  <c r="C817" i="7"/>
  <c r="B817" i="7"/>
  <c r="K817" i="7"/>
  <c r="J817" i="7"/>
  <c r="I817" i="7"/>
  <c r="I768" i="8"/>
  <c r="P768" i="8"/>
  <c r="H768" i="8"/>
  <c r="O768" i="8"/>
  <c r="G768" i="8"/>
  <c r="N768" i="8"/>
  <c r="F768" i="8"/>
  <c r="D768" i="8"/>
  <c r="B768" i="8"/>
  <c r="M768" i="8"/>
  <c r="L768" i="8"/>
  <c r="K768" i="8"/>
  <c r="J768" i="8"/>
  <c r="E768" i="8"/>
  <c r="I728" i="8"/>
  <c r="P728" i="8"/>
  <c r="H728" i="8"/>
  <c r="O728" i="8"/>
  <c r="G728" i="8"/>
  <c r="N728" i="8"/>
  <c r="F728" i="8"/>
  <c r="L728" i="8"/>
  <c r="K728" i="8"/>
  <c r="J728" i="8"/>
  <c r="E728" i="8"/>
  <c r="D728" i="8"/>
  <c r="M728" i="8"/>
  <c r="B728" i="8"/>
  <c r="M672" i="8"/>
  <c r="E672" i="8"/>
  <c r="L672" i="8"/>
  <c r="D672" i="8"/>
  <c r="K672" i="8"/>
  <c r="B672" i="8"/>
  <c r="J672" i="8"/>
  <c r="P672" i="8"/>
  <c r="O672" i="8"/>
  <c r="N672" i="8"/>
  <c r="I672" i="8"/>
  <c r="G672" i="8"/>
  <c r="F672" i="8"/>
  <c r="H672" i="8"/>
  <c r="L632" i="8"/>
  <c r="D632" i="8"/>
  <c r="K632" i="8"/>
  <c r="B632" i="8"/>
  <c r="J632" i="8"/>
  <c r="I632" i="8"/>
  <c r="P632" i="8"/>
  <c r="H632" i="8"/>
  <c r="O632" i="8"/>
  <c r="N632" i="8"/>
  <c r="M632" i="8"/>
  <c r="E632" i="8"/>
  <c r="G632" i="8"/>
  <c r="F632" i="8"/>
  <c r="L528" i="8"/>
  <c r="D528" i="8"/>
  <c r="K528" i="8"/>
  <c r="B528" i="8"/>
  <c r="J528" i="8"/>
  <c r="I528" i="8"/>
  <c r="P528" i="8"/>
  <c r="H528" i="8"/>
  <c r="F528" i="8"/>
  <c r="E528" i="8"/>
  <c r="O528" i="8"/>
  <c r="N528" i="8"/>
  <c r="M528" i="8"/>
  <c r="G528" i="8"/>
  <c r="L520" i="8"/>
  <c r="D520" i="8"/>
  <c r="K520" i="8"/>
  <c r="B520" i="8"/>
  <c r="J520" i="8"/>
  <c r="I520" i="8"/>
  <c r="P520" i="8"/>
  <c r="H520" i="8"/>
  <c r="O520" i="8"/>
  <c r="N520" i="8"/>
  <c r="M520" i="8"/>
  <c r="G520" i="8"/>
  <c r="E520" i="8"/>
  <c r="F520" i="8"/>
  <c r="L512" i="8"/>
  <c r="D512" i="8"/>
  <c r="K512" i="8"/>
  <c r="B512" i="8"/>
  <c r="J512" i="8"/>
  <c r="I512" i="8"/>
  <c r="P512" i="8"/>
  <c r="H512" i="8"/>
  <c r="M512" i="8"/>
  <c r="G512" i="8"/>
  <c r="F512" i="8"/>
  <c r="E512" i="8"/>
  <c r="N512" i="8"/>
  <c r="O512" i="8"/>
  <c r="L504" i="8"/>
  <c r="D504" i="8"/>
  <c r="K504" i="8"/>
  <c r="B504" i="8"/>
  <c r="J504" i="8"/>
  <c r="I504" i="8"/>
  <c r="P504" i="8"/>
  <c r="H504" i="8"/>
  <c r="E504" i="8"/>
  <c r="O504" i="8"/>
  <c r="N504" i="8"/>
  <c r="M504" i="8"/>
  <c r="G504" i="8"/>
  <c r="F504" i="8"/>
  <c r="J432" i="8"/>
  <c r="I432" i="8"/>
  <c r="P432" i="8"/>
  <c r="H432" i="8"/>
  <c r="O432" i="8"/>
  <c r="G432" i="8"/>
  <c r="N432" i="8"/>
  <c r="F432" i="8"/>
  <c r="L432" i="8"/>
  <c r="K432" i="8"/>
  <c r="D432" i="8"/>
  <c r="B432" i="8"/>
  <c r="E432" i="8"/>
  <c r="M432" i="8"/>
  <c r="J424" i="8"/>
  <c r="I424" i="8"/>
  <c r="P424" i="8"/>
  <c r="H424" i="8"/>
  <c r="O424" i="8"/>
  <c r="G424" i="8"/>
  <c r="N424" i="8"/>
  <c r="F424" i="8"/>
  <c r="D424" i="8"/>
  <c r="B424" i="8"/>
  <c r="M424" i="8"/>
  <c r="L424" i="8"/>
  <c r="E424" i="8"/>
  <c r="K424" i="8"/>
  <c r="J416" i="8"/>
  <c r="I416" i="8"/>
  <c r="P416" i="8"/>
  <c r="H416" i="8"/>
  <c r="O416" i="8"/>
  <c r="G416" i="8"/>
  <c r="N416" i="8"/>
  <c r="F416" i="8"/>
  <c r="M416" i="8"/>
  <c r="K416" i="8"/>
  <c r="E416" i="8"/>
  <c r="D416" i="8"/>
  <c r="L416" i="8"/>
  <c r="B416" i="8"/>
  <c r="J408" i="8"/>
  <c r="I408" i="8"/>
  <c r="P408" i="8"/>
  <c r="H408" i="8"/>
  <c r="O408" i="8"/>
  <c r="G408" i="8"/>
  <c r="N408" i="8"/>
  <c r="F408" i="8"/>
  <c r="K408" i="8"/>
  <c r="E408" i="8"/>
  <c r="B408" i="8"/>
  <c r="M408" i="8"/>
  <c r="L408" i="8"/>
  <c r="D408" i="8"/>
  <c r="M328" i="8"/>
  <c r="E328" i="8"/>
  <c r="L328" i="8"/>
  <c r="D328" i="8"/>
  <c r="J328" i="8"/>
  <c r="I328" i="8"/>
  <c r="P328" i="8"/>
  <c r="H328" i="8"/>
  <c r="F328" i="8"/>
  <c r="B328" i="8"/>
  <c r="O328" i="8"/>
  <c r="G328" i="8"/>
  <c r="N328" i="8"/>
  <c r="K328" i="8"/>
  <c r="A801" i="8"/>
  <c r="H801" i="7"/>
  <c r="G801" i="7"/>
  <c r="F801" i="7"/>
  <c r="M801" i="7"/>
  <c r="E801" i="7"/>
  <c r="L801" i="7"/>
  <c r="D801" i="7"/>
  <c r="K801" i="7"/>
  <c r="J801" i="7"/>
  <c r="I801" i="7"/>
  <c r="C801" i="7"/>
  <c r="B801" i="7"/>
  <c r="P675" i="8"/>
  <c r="H675" i="8"/>
  <c r="O675" i="8"/>
  <c r="G675" i="8"/>
  <c r="N675" i="8"/>
  <c r="F675" i="8"/>
  <c r="M675" i="8"/>
  <c r="E675" i="8"/>
  <c r="L675" i="8"/>
  <c r="D675" i="8"/>
  <c r="K675" i="8"/>
  <c r="J675" i="8"/>
  <c r="I675" i="8"/>
  <c r="B675" i="8"/>
  <c r="O659" i="8"/>
  <c r="G659" i="8"/>
  <c r="N659" i="8"/>
  <c r="F659" i="8"/>
  <c r="M659" i="8"/>
  <c r="E659" i="8"/>
  <c r="L659" i="8"/>
  <c r="D659" i="8"/>
  <c r="K659" i="8"/>
  <c r="B659" i="8"/>
  <c r="P659" i="8"/>
  <c r="J659" i="8"/>
  <c r="I659" i="8"/>
  <c r="H659" i="8"/>
  <c r="O643" i="8"/>
  <c r="G643" i="8"/>
  <c r="N643" i="8"/>
  <c r="F643" i="8"/>
  <c r="M643" i="8"/>
  <c r="E643" i="8"/>
  <c r="L643" i="8"/>
  <c r="D643" i="8"/>
  <c r="K643" i="8"/>
  <c r="B643" i="8"/>
  <c r="H643" i="8"/>
  <c r="I643" i="8"/>
  <c r="J643" i="8"/>
  <c r="P643" i="8"/>
  <c r="O619" i="8"/>
  <c r="G619" i="8"/>
  <c r="N619" i="8"/>
  <c r="F619" i="8"/>
  <c r="M619" i="8"/>
  <c r="E619" i="8"/>
  <c r="L619" i="8"/>
  <c r="D619" i="8"/>
  <c r="K619" i="8"/>
  <c r="B619" i="8"/>
  <c r="P619" i="8"/>
  <c r="J619" i="8"/>
  <c r="I619" i="8"/>
  <c r="H619" i="8"/>
  <c r="N595" i="8"/>
  <c r="F595" i="8"/>
  <c r="L595" i="8"/>
  <c r="D595" i="8"/>
  <c r="I595" i="8"/>
  <c r="H595" i="8"/>
  <c r="G595" i="8"/>
  <c r="P595" i="8"/>
  <c r="E595" i="8"/>
  <c r="O595" i="8"/>
  <c r="B595" i="8"/>
  <c r="M595" i="8"/>
  <c r="K595" i="8"/>
  <c r="J595" i="8"/>
  <c r="O563" i="8"/>
  <c r="G563" i="8"/>
  <c r="N563" i="8"/>
  <c r="F563" i="8"/>
  <c r="M563" i="8"/>
  <c r="E563" i="8"/>
  <c r="L563" i="8"/>
  <c r="D563" i="8"/>
  <c r="K563" i="8"/>
  <c r="B563" i="8"/>
  <c r="P563" i="8"/>
  <c r="J563" i="8"/>
  <c r="I563" i="8"/>
  <c r="H563" i="8"/>
  <c r="O547" i="8"/>
  <c r="G547" i="8"/>
  <c r="N547" i="8"/>
  <c r="F547" i="8"/>
  <c r="M547" i="8"/>
  <c r="E547" i="8"/>
  <c r="L547" i="8"/>
  <c r="D547" i="8"/>
  <c r="K547" i="8"/>
  <c r="B547" i="8"/>
  <c r="P547" i="8"/>
  <c r="J547" i="8"/>
  <c r="I547" i="8"/>
  <c r="H547" i="8"/>
  <c r="O531" i="8"/>
  <c r="G531" i="8"/>
  <c r="N531" i="8"/>
  <c r="F531" i="8"/>
  <c r="M531" i="8"/>
  <c r="E531" i="8"/>
  <c r="L531" i="8"/>
  <c r="D531" i="8"/>
  <c r="K531" i="8"/>
  <c r="B531" i="8"/>
  <c r="P531" i="8"/>
  <c r="I531" i="8"/>
  <c r="H531" i="8"/>
  <c r="J531" i="8"/>
  <c r="M443" i="8"/>
  <c r="E443" i="8"/>
  <c r="L443" i="8"/>
  <c r="D443" i="8"/>
  <c r="K443" i="8"/>
  <c r="B443" i="8"/>
  <c r="J443" i="8"/>
  <c r="I443" i="8"/>
  <c r="P443" i="8"/>
  <c r="O443" i="8"/>
  <c r="H443" i="8"/>
  <c r="G443" i="8"/>
  <c r="F443" i="8"/>
  <c r="N443" i="8"/>
  <c r="P315" i="8"/>
  <c r="H315" i="8"/>
  <c r="O315" i="8"/>
  <c r="G315" i="8"/>
  <c r="M315" i="8"/>
  <c r="E315" i="8"/>
  <c r="L315" i="8"/>
  <c r="D315" i="8"/>
  <c r="F315" i="8"/>
  <c r="B315" i="8"/>
  <c r="N315" i="8"/>
  <c r="I315" i="8"/>
  <c r="K315" i="8"/>
  <c r="J315" i="8"/>
  <c r="P291" i="8"/>
  <c r="H291" i="8"/>
  <c r="O291" i="8"/>
  <c r="G291" i="8"/>
  <c r="M291" i="8"/>
  <c r="E291" i="8"/>
  <c r="L291" i="8"/>
  <c r="D291" i="8"/>
  <c r="N291" i="8"/>
  <c r="K291" i="8"/>
  <c r="F291" i="8"/>
  <c r="J291" i="8"/>
  <c r="I291" i="8"/>
  <c r="B291" i="8"/>
  <c r="P251" i="8"/>
  <c r="H251" i="8"/>
  <c r="O251" i="8"/>
  <c r="G251" i="8"/>
  <c r="M251" i="8"/>
  <c r="E251" i="8"/>
  <c r="L251" i="8"/>
  <c r="D251" i="8"/>
  <c r="F251" i="8"/>
  <c r="B251" i="8"/>
  <c r="N251" i="8"/>
  <c r="I251" i="8"/>
  <c r="K251" i="8"/>
  <c r="J251" i="8"/>
  <c r="P235" i="8"/>
  <c r="H235" i="8"/>
  <c r="O235" i="8"/>
  <c r="G235" i="8"/>
  <c r="M235" i="8"/>
  <c r="E235" i="8"/>
  <c r="L235" i="8"/>
  <c r="D235" i="8"/>
  <c r="F235" i="8"/>
  <c r="B235" i="8"/>
  <c r="N235" i="8"/>
  <c r="I235" i="8"/>
  <c r="K235" i="8"/>
  <c r="J235" i="8"/>
  <c r="P163" i="8"/>
  <c r="H163" i="8"/>
  <c r="O163" i="8"/>
  <c r="G163" i="8"/>
  <c r="M163" i="8"/>
  <c r="E163" i="8"/>
  <c r="L163" i="8"/>
  <c r="D163" i="8"/>
  <c r="I163" i="8"/>
  <c r="B163" i="8"/>
  <c r="N163" i="8"/>
  <c r="K163" i="8"/>
  <c r="J163" i="8"/>
  <c r="F163" i="8"/>
  <c r="A267" i="8"/>
  <c r="F267" i="7"/>
  <c r="M267" i="7"/>
  <c r="E267" i="7"/>
  <c r="L267" i="7"/>
  <c r="D267" i="7"/>
  <c r="K267" i="7"/>
  <c r="C267" i="7"/>
  <c r="J267" i="7"/>
  <c r="B267" i="7"/>
  <c r="I267" i="7"/>
  <c r="H267" i="7"/>
  <c r="G267" i="7"/>
  <c r="O782" i="8"/>
  <c r="G782" i="8"/>
  <c r="N782" i="8"/>
  <c r="F782" i="8"/>
  <c r="L782" i="8"/>
  <c r="D782" i="8"/>
  <c r="E782" i="8"/>
  <c r="B782" i="8"/>
  <c r="P782" i="8"/>
  <c r="M782" i="8"/>
  <c r="J782" i="8"/>
  <c r="I782" i="8"/>
  <c r="H782" i="8"/>
  <c r="K782" i="8"/>
  <c r="O734" i="8"/>
  <c r="G734" i="8"/>
  <c r="N734" i="8"/>
  <c r="F734" i="8"/>
  <c r="M734" i="8"/>
  <c r="E734" i="8"/>
  <c r="L734" i="8"/>
  <c r="D734" i="8"/>
  <c r="P734" i="8"/>
  <c r="K734" i="8"/>
  <c r="J734" i="8"/>
  <c r="I734" i="8"/>
  <c r="H734" i="8"/>
  <c r="B734" i="8"/>
  <c r="J662" i="8"/>
  <c r="P662" i="8"/>
  <c r="L662" i="8"/>
  <c r="B662" i="8"/>
  <c r="K662" i="8"/>
  <c r="I662" i="8"/>
  <c r="H662" i="8"/>
  <c r="G662" i="8"/>
  <c r="O662" i="8"/>
  <c r="N662" i="8"/>
  <c r="M662" i="8"/>
  <c r="E662" i="8"/>
  <c r="D662" i="8"/>
  <c r="F662" i="8"/>
  <c r="J574" i="8"/>
  <c r="I574" i="8"/>
  <c r="P574" i="8"/>
  <c r="H574" i="8"/>
  <c r="O574" i="8"/>
  <c r="G574" i="8"/>
  <c r="N574" i="8"/>
  <c r="F574" i="8"/>
  <c r="M574" i="8"/>
  <c r="L574" i="8"/>
  <c r="K574" i="8"/>
  <c r="E574" i="8"/>
  <c r="D574" i="8"/>
  <c r="B574" i="8"/>
  <c r="J566" i="8"/>
  <c r="I566" i="8"/>
  <c r="P566" i="8"/>
  <c r="H566" i="8"/>
  <c r="O566" i="8"/>
  <c r="G566" i="8"/>
  <c r="N566" i="8"/>
  <c r="F566" i="8"/>
  <c r="L566" i="8"/>
  <c r="K566" i="8"/>
  <c r="E566" i="8"/>
  <c r="D566" i="8"/>
  <c r="B566" i="8"/>
  <c r="M566" i="8"/>
  <c r="J486" i="8"/>
  <c r="P486" i="8"/>
  <c r="H486" i="8"/>
  <c r="O486" i="8"/>
  <c r="G486" i="8"/>
  <c r="N486" i="8"/>
  <c r="F486" i="8"/>
  <c r="K486" i="8"/>
  <c r="I486" i="8"/>
  <c r="E486" i="8"/>
  <c r="D486" i="8"/>
  <c r="B486" i="8"/>
  <c r="M486" i="8"/>
  <c r="L486" i="8"/>
  <c r="P446" i="8"/>
  <c r="H446" i="8"/>
  <c r="O446" i="8"/>
  <c r="G446" i="8"/>
  <c r="N446" i="8"/>
  <c r="F446" i="8"/>
  <c r="M446" i="8"/>
  <c r="E446" i="8"/>
  <c r="L446" i="8"/>
  <c r="D446" i="8"/>
  <c r="K446" i="8"/>
  <c r="I446" i="8"/>
  <c r="B446" i="8"/>
  <c r="J446" i="8"/>
  <c r="P422" i="8"/>
  <c r="H422" i="8"/>
  <c r="O422" i="8"/>
  <c r="G422" i="8"/>
  <c r="N422" i="8"/>
  <c r="F422" i="8"/>
  <c r="M422" i="8"/>
  <c r="E422" i="8"/>
  <c r="L422" i="8"/>
  <c r="D422" i="8"/>
  <c r="K422" i="8"/>
  <c r="J422" i="8"/>
  <c r="B422" i="8"/>
  <c r="I422" i="8"/>
  <c r="P382" i="8"/>
  <c r="H382" i="8"/>
  <c r="O382" i="8"/>
  <c r="G382" i="8"/>
  <c r="N382" i="8"/>
  <c r="F382" i="8"/>
  <c r="M382" i="8"/>
  <c r="E382" i="8"/>
  <c r="L382" i="8"/>
  <c r="D382" i="8"/>
  <c r="K382" i="8"/>
  <c r="I382" i="8"/>
  <c r="B382" i="8"/>
  <c r="J382" i="8"/>
  <c r="A756" i="8"/>
  <c r="F756" i="7"/>
  <c r="M756" i="7"/>
  <c r="E756" i="7"/>
  <c r="L756" i="7"/>
  <c r="D756" i="7"/>
  <c r="K756" i="7"/>
  <c r="C756" i="7"/>
  <c r="J756" i="7"/>
  <c r="B756" i="7"/>
  <c r="I756" i="7"/>
  <c r="H756" i="7"/>
  <c r="G756" i="7"/>
  <c r="M633" i="8"/>
  <c r="E633" i="8"/>
  <c r="L633" i="8"/>
  <c r="D633" i="8"/>
  <c r="K633" i="8"/>
  <c r="B633" i="8"/>
  <c r="J633" i="8"/>
  <c r="I633" i="8"/>
  <c r="G633" i="8"/>
  <c r="F633" i="8"/>
  <c r="P633" i="8"/>
  <c r="O633" i="8"/>
  <c r="N633" i="8"/>
  <c r="H633" i="8"/>
  <c r="K433" i="8"/>
  <c r="B433" i="8"/>
  <c r="J433" i="8"/>
  <c r="I433" i="8"/>
  <c r="P433" i="8"/>
  <c r="H433" i="8"/>
  <c r="O433" i="8"/>
  <c r="G433" i="8"/>
  <c r="N433" i="8"/>
  <c r="L433" i="8"/>
  <c r="F433" i="8"/>
  <c r="E433" i="8"/>
  <c r="M433" i="8"/>
  <c r="D433" i="8"/>
  <c r="A958" i="8"/>
  <c r="G958" i="7"/>
  <c r="F958" i="7"/>
  <c r="M958" i="7"/>
  <c r="E958" i="7"/>
  <c r="L958" i="7"/>
  <c r="D958" i="7"/>
  <c r="K958" i="7"/>
  <c r="C958" i="7"/>
  <c r="H958" i="7"/>
  <c r="B958" i="7"/>
  <c r="J958" i="7"/>
  <c r="I958" i="7"/>
  <c r="A953" i="8"/>
  <c r="H953" i="7"/>
  <c r="G953" i="7"/>
  <c r="F953" i="7"/>
  <c r="M953" i="7"/>
  <c r="E953" i="7"/>
  <c r="L953" i="7"/>
  <c r="D953" i="7"/>
  <c r="I953" i="7"/>
  <c r="C953" i="7"/>
  <c r="B953" i="7"/>
  <c r="K953" i="7"/>
  <c r="J953" i="7"/>
  <c r="A871" i="8"/>
  <c r="J871" i="7"/>
  <c r="B871" i="7"/>
  <c r="I871" i="7"/>
  <c r="H871" i="7"/>
  <c r="G871" i="7"/>
  <c r="F871" i="7"/>
  <c r="E871" i="7"/>
  <c r="D871" i="7"/>
  <c r="C871" i="7"/>
  <c r="M871" i="7"/>
  <c r="L871" i="7"/>
  <c r="K871" i="7"/>
  <c r="M772" i="8"/>
  <c r="E772" i="8"/>
  <c r="L772" i="8"/>
  <c r="D772" i="8"/>
  <c r="K772" i="8"/>
  <c r="B772" i="8"/>
  <c r="J772" i="8"/>
  <c r="H772" i="8"/>
  <c r="G772" i="8"/>
  <c r="F772" i="8"/>
  <c r="P772" i="8"/>
  <c r="I772" i="8"/>
  <c r="N772" i="8"/>
  <c r="O772" i="8"/>
  <c r="A596" i="8"/>
  <c r="H596" i="7"/>
  <c r="G596" i="7"/>
  <c r="F596" i="7"/>
  <c r="M596" i="7"/>
  <c r="E596" i="7"/>
  <c r="L596" i="7"/>
  <c r="D596" i="7"/>
  <c r="K596" i="7"/>
  <c r="J596" i="7"/>
  <c r="I596" i="7"/>
  <c r="C596" i="7"/>
  <c r="B596" i="7"/>
  <c r="A594" i="8"/>
  <c r="J594" i="7"/>
  <c r="B594" i="7"/>
  <c r="I594" i="7"/>
  <c r="H594" i="7"/>
  <c r="G594" i="7"/>
  <c r="F594" i="7"/>
  <c r="D594" i="7"/>
  <c r="C594" i="7"/>
  <c r="M594" i="7"/>
  <c r="L594" i="7"/>
  <c r="K594" i="7"/>
  <c r="E594" i="7"/>
  <c r="A447" i="8"/>
  <c r="I447" i="7"/>
  <c r="H447" i="7"/>
  <c r="G447" i="7"/>
  <c r="F447" i="7"/>
  <c r="M447" i="7"/>
  <c r="E447" i="7"/>
  <c r="L447" i="7"/>
  <c r="K447" i="7"/>
  <c r="J447" i="7"/>
  <c r="D447" i="7"/>
  <c r="C447" i="7"/>
  <c r="B447" i="7"/>
  <c r="A778" i="8"/>
  <c r="H778" i="7"/>
  <c r="G778" i="7"/>
  <c r="F778" i="7"/>
  <c r="M778" i="7"/>
  <c r="E778" i="7"/>
  <c r="L778" i="7"/>
  <c r="D778" i="7"/>
  <c r="I778" i="7"/>
  <c r="C778" i="7"/>
  <c r="B778" i="7"/>
  <c r="J778" i="7"/>
  <c r="K778" i="7"/>
  <c r="A321" i="8"/>
  <c r="H321" i="7"/>
  <c r="G321" i="7"/>
  <c r="F321" i="7"/>
  <c r="M321" i="7"/>
  <c r="E321" i="7"/>
  <c r="L321" i="7"/>
  <c r="D321" i="7"/>
  <c r="K321" i="7"/>
  <c r="J321" i="7"/>
  <c r="I321" i="7"/>
  <c r="C321" i="7"/>
  <c r="B321" i="7"/>
  <c r="K102" i="8"/>
  <c r="B102" i="8"/>
  <c r="J102" i="8"/>
  <c r="P102" i="8"/>
  <c r="H102" i="8"/>
  <c r="O102" i="8"/>
  <c r="G102" i="8"/>
  <c r="L102" i="8"/>
  <c r="D102" i="8"/>
  <c r="N102" i="8"/>
  <c r="M102" i="8"/>
  <c r="I102" i="8"/>
  <c r="F102" i="8"/>
  <c r="E102" i="8"/>
  <c r="P14" i="8"/>
  <c r="H14" i="8"/>
  <c r="O14" i="8"/>
  <c r="G14" i="8"/>
  <c r="N14" i="8"/>
  <c r="F14" i="8"/>
  <c r="M14" i="8"/>
  <c r="E14" i="8"/>
  <c r="L14" i="8"/>
  <c r="D14" i="8"/>
  <c r="I14" i="8"/>
  <c r="K14" i="8"/>
  <c r="J14" i="8"/>
  <c r="B14" i="8"/>
  <c r="A939" i="8"/>
  <c r="F939" i="7"/>
  <c r="M939" i="7"/>
  <c r="E939" i="7"/>
  <c r="L939" i="7"/>
  <c r="D939" i="7"/>
  <c r="K939" i="7"/>
  <c r="C939" i="7"/>
  <c r="J939" i="7"/>
  <c r="B939" i="7"/>
  <c r="I939" i="7"/>
  <c r="H939" i="7"/>
  <c r="G939" i="7"/>
  <c r="A907" i="8"/>
  <c r="F907" i="7"/>
  <c r="M907" i="7"/>
  <c r="E907" i="7"/>
  <c r="L907" i="7"/>
  <c r="D907" i="7"/>
  <c r="K907" i="7"/>
  <c r="C907" i="7"/>
  <c r="J907" i="7"/>
  <c r="B907" i="7"/>
  <c r="H907" i="7"/>
  <c r="G907" i="7"/>
  <c r="I907" i="7"/>
  <c r="A738" i="8"/>
  <c r="H738" i="7"/>
  <c r="G738" i="7"/>
  <c r="F738" i="7"/>
  <c r="M738" i="7"/>
  <c r="E738" i="7"/>
  <c r="L738" i="7"/>
  <c r="D738" i="7"/>
  <c r="K738" i="7"/>
  <c r="J738" i="7"/>
  <c r="I738" i="7"/>
  <c r="C738" i="7"/>
  <c r="B738" i="7"/>
  <c r="A580" i="8"/>
  <c r="H580" i="7"/>
  <c r="G580" i="7"/>
  <c r="F580" i="7"/>
  <c r="M580" i="7"/>
  <c r="E580" i="7"/>
  <c r="L580" i="7"/>
  <c r="D580" i="7"/>
  <c r="K580" i="7"/>
  <c r="J580" i="7"/>
  <c r="I580" i="7"/>
  <c r="C580" i="7"/>
  <c r="B580" i="7"/>
  <c r="A578" i="8"/>
  <c r="J578" i="7"/>
  <c r="B578" i="7"/>
  <c r="I578" i="7"/>
  <c r="H578" i="7"/>
  <c r="G578" i="7"/>
  <c r="F578" i="7"/>
  <c r="M578" i="7"/>
  <c r="L578" i="7"/>
  <c r="K578" i="7"/>
  <c r="E578" i="7"/>
  <c r="D578" i="7"/>
  <c r="C578" i="7"/>
  <c r="A388" i="8"/>
  <c r="H388" i="7"/>
  <c r="G388" i="7"/>
  <c r="F388" i="7"/>
  <c r="M388" i="7"/>
  <c r="E388" i="7"/>
  <c r="L388" i="7"/>
  <c r="D388" i="7"/>
  <c r="K388" i="7"/>
  <c r="J388" i="7"/>
  <c r="I388" i="7"/>
  <c r="C388" i="7"/>
  <c r="B388" i="7"/>
  <c r="A356" i="8"/>
  <c r="H356" i="7"/>
  <c r="G356" i="7"/>
  <c r="F356" i="7"/>
  <c r="M356" i="7"/>
  <c r="E356" i="7"/>
  <c r="L356" i="7"/>
  <c r="D356" i="7"/>
  <c r="C356" i="7"/>
  <c r="B356" i="7"/>
  <c r="I356" i="7"/>
  <c r="K356" i="7"/>
  <c r="J356" i="7"/>
  <c r="A188" i="8"/>
  <c r="I188" i="7"/>
  <c r="H188" i="7"/>
  <c r="G188" i="7"/>
  <c r="F188" i="7"/>
  <c r="M188" i="7"/>
  <c r="E188" i="7"/>
  <c r="L188" i="7"/>
  <c r="K188" i="7"/>
  <c r="J188" i="7"/>
  <c r="D188" i="7"/>
  <c r="C188" i="7"/>
  <c r="B188" i="7"/>
  <c r="A124" i="8"/>
  <c r="I124" i="7"/>
  <c r="G124" i="7"/>
  <c r="F124" i="7"/>
  <c r="M124" i="7"/>
  <c r="E124" i="7"/>
  <c r="C124" i="7"/>
  <c r="B124" i="7"/>
  <c r="L124" i="7"/>
  <c r="K124" i="7"/>
  <c r="J124" i="7"/>
  <c r="H124" i="7"/>
  <c r="D124" i="7"/>
  <c r="N89" i="8"/>
  <c r="F89" i="8"/>
  <c r="M89" i="8"/>
  <c r="E89" i="8"/>
  <c r="K89" i="8"/>
  <c r="B89" i="8"/>
  <c r="J89" i="8"/>
  <c r="O89" i="8"/>
  <c r="G89" i="8"/>
  <c r="D89" i="8"/>
  <c r="P89" i="8"/>
  <c r="L89" i="8"/>
  <c r="I89" i="8"/>
  <c r="H89" i="8"/>
  <c r="N81" i="8"/>
  <c r="F81" i="8"/>
  <c r="M81" i="8"/>
  <c r="E81" i="8"/>
  <c r="K81" i="8"/>
  <c r="B81" i="8"/>
  <c r="J81" i="8"/>
  <c r="O81" i="8"/>
  <c r="G81" i="8"/>
  <c r="P81" i="8"/>
  <c r="L81" i="8"/>
  <c r="I81" i="8"/>
  <c r="H81" i="8"/>
  <c r="D81" i="8"/>
  <c r="A841" i="8"/>
  <c r="H841" i="7"/>
  <c r="G841" i="7"/>
  <c r="F841" i="7"/>
  <c r="M841" i="7"/>
  <c r="E841" i="7"/>
  <c r="L841" i="7"/>
  <c r="D841" i="7"/>
  <c r="K841" i="7"/>
  <c r="J841" i="7"/>
  <c r="I841" i="7"/>
  <c r="C841" i="7"/>
  <c r="B841" i="7"/>
  <c r="A511" i="8"/>
  <c r="I511" i="7"/>
  <c r="H511" i="7"/>
  <c r="G511" i="7"/>
  <c r="F511" i="7"/>
  <c r="M511" i="7"/>
  <c r="E511" i="7"/>
  <c r="L511" i="7"/>
  <c r="K511" i="7"/>
  <c r="J511" i="7"/>
  <c r="D511" i="7"/>
  <c r="C511" i="7"/>
  <c r="B511" i="7"/>
  <c r="I92" i="8"/>
  <c r="P92" i="8"/>
  <c r="H92" i="8"/>
  <c r="N92" i="8"/>
  <c r="F92" i="8"/>
  <c r="M92" i="8"/>
  <c r="E92" i="8"/>
  <c r="J92" i="8"/>
  <c r="B92" i="8"/>
  <c r="O92" i="8"/>
  <c r="L92" i="8"/>
  <c r="K92" i="8"/>
  <c r="G92" i="8"/>
  <c r="D92" i="8"/>
  <c r="N52" i="8"/>
  <c r="F52" i="8"/>
  <c r="M52" i="8"/>
  <c r="E52" i="8"/>
  <c r="L52" i="8"/>
  <c r="D52" i="8"/>
  <c r="K52" i="8"/>
  <c r="B52" i="8"/>
  <c r="J52" i="8"/>
  <c r="I52" i="8"/>
  <c r="P52" i="8"/>
  <c r="H52" i="8"/>
  <c r="O52" i="8"/>
  <c r="G52" i="8"/>
  <c r="A91" i="8"/>
  <c r="F91" i="7"/>
  <c r="L91" i="7"/>
  <c r="D91" i="7"/>
  <c r="K91" i="7"/>
  <c r="C91" i="7"/>
  <c r="J91" i="7"/>
  <c r="B91" i="7"/>
  <c r="M91" i="7"/>
  <c r="I91" i="7"/>
  <c r="H91" i="7"/>
  <c r="G91" i="7"/>
  <c r="E91" i="7"/>
  <c r="A506" i="8"/>
  <c r="J506" i="7"/>
  <c r="B506" i="7"/>
  <c r="I506" i="7"/>
  <c r="H506" i="7"/>
  <c r="G506" i="7"/>
  <c r="F506" i="7"/>
  <c r="M506" i="7"/>
  <c r="L506" i="7"/>
  <c r="K506" i="7"/>
  <c r="E506" i="7"/>
  <c r="D506" i="7"/>
  <c r="C506" i="7"/>
  <c r="A338" i="8"/>
  <c r="J338" i="7"/>
  <c r="B338" i="7"/>
  <c r="I338" i="7"/>
  <c r="H338" i="7"/>
  <c r="G338" i="7"/>
  <c r="F338" i="7"/>
  <c r="D338" i="7"/>
  <c r="C338" i="7"/>
  <c r="M338" i="7"/>
  <c r="K338" i="7"/>
  <c r="E338" i="7"/>
  <c r="L338" i="7"/>
  <c r="I71" i="8"/>
  <c r="P71" i="8"/>
  <c r="H71" i="8"/>
  <c r="O71" i="8"/>
  <c r="G71" i="8"/>
  <c r="N71" i="8"/>
  <c r="F71" i="8"/>
  <c r="M71" i="8"/>
  <c r="E71" i="8"/>
  <c r="L71" i="8"/>
  <c r="D71" i="8"/>
  <c r="K71" i="8"/>
  <c r="B71" i="8"/>
  <c r="J71" i="8"/>
  <c r="I39" i="8"/>
  <c r="P39" i="8"/>
  <c r="H39" i="8"/>
  <c r="O39" i="8"/>
  <c r="G39" i="8"/>
  <c r="N39" i="8"/>
  <c r="F39" i="8"/>
  <c r="M39" i="8"/>
  <c r="E39" i="8"/>
  <c r="L39" i="8"/>
  <c r="D39" i="8"/>
  <c r="J39" i="8"/>
  <c r="K39" i="8"/>
  <c r="B39" i="8"/>
  <c r="A183" i="8"/>
  <c r="J183" i="7"/>
  <c r="B183" i="7"/>
  <c r="I183" i="7"/>
  <c r="H183" i="7"/>
  <c r="G183" i="7"/>
  <c r="F183" i="7"/>
  <c r="M183" i="7"/>
  <c r="L183" i="7"/>
  <c r="K183" i="7"/>
  <c r="E183" i="7"/>
  <c r="D183" i="7"/>
  <c r="C183" i="7"/>
  <c r="A170" i="8"/>
  <c r="K170" i="7"/>
  <c r="C170" i="7"/>
  <c r="J170" i="7"/>
  <c r="B170" i="7"/>
  <c r="I170" i="7"/>
  <c r="H170" i="7"/>
  <c r="G170" i="7"/>
  <c r="M170" i="7"/>
  <c r="L170" i="7"/>
  <c r="F170" i="7"/>
  <c r="E170" i="7"/>
  <c r="D170" i="7"/>
  <c r="A160" i="8"/>
  <c r="M160" i="7"/>
  <c r="E160" i="7"/>
  <c r="L160" i="7"/>
  <c r="D160" i="7"/>
  <c r="K160" i="7"/>
  <c r="C160" i="7"/>
  <c r="J160" i="7"/>
  <c r="B160" i="7"/>
  <c r="I160" i="7"/>
  <c r="H160" i="7"/>
  <c r="F160" i="7"/>
  <c r="G160" i="7"/>
  <c r="A151" i="8"/>
  <c r="J151" i="7"/>
  <c r="B151" i="7"/>
  <c r="I151" i="7"/>
  <c r="H151" i="7"/>
  <c r="G151" i="7"/>
  <c r="F151" i="7"/>
  <c r="K151" i="7"/>
  <c r="E151" i="7"/>
  <c r="D151" i="7"/>
  <c r="C151" i="7"/>
  <c r="M151" i="7"/>
  <c r="L151" i="7"/>
  <c r="A138" i="8"/>
  <c r="K138" i="7"/>
  <c r="C138" i="7"/>
  <c r="J138" i="7"/>
  <c r="B138" i="7"/>
  <c r="I138" i="7"/>
  <c r="H138" i="7"/>
  <c r="G138" i="7"/>
  <c r="F138" i="7"/>
  <c r="E138" i="7"/>
  <c r="D138" i="7"/>
  <c r="M138" i="7"/>
  <c r="L138" i="7"/>
  <c r="A128" i="8"/>
  <c r="M128" i="7"/>
  <c r="E128" i="7"/>
  <c r="K128" i="7"/>
  <c r="C128" i="7"/>
  <c r="J128" i="7"/>
  <c r="B128" i="7"/>
  <c r="I128" i="7"/>
  <c r="L128" i="7"/>
  <c r="H128" i="7"/>
  <c r="G128" i="7"/>
  <c r="F128" i="7"/>
  <c r="D128" i="7"/>
  <c r="K270" i="8"/>
  <c r="B270" i="8"/>
  <c r="J270" i="8"/>
  <c r="P270" i="8"/>
  <c r="H270" i="8"/>
  <c r="O270" i="8"/>
  <c r="G270" i="8"/>
  <c r="I270" i="8"/>
  <c r="F270" i="8"/>
  <c r="L270" i="8"/>
  <c r="N270" i="8"/>
  <c r="E270" i="8"/>
  <c r="D270" i="8"/>
  <c r="M270" i="8"/>
  <c r="A682" i="8"/>
  <c r="G682" i="7"/>
  <c r="F682" i="7"/>
  <c r="M682" i="7"/>
  <c r="E682" i="7"/>
  <c r="L682" i="7"/>
  <c r="D682" i="7"/>
  <c r="C682" i="7"/>
  <c r="B682" i="7"/>
  <c r="K682" i="7"/>
  <c r="J682" i="7"/>
  <c r="I682" i="7"/>
  <c r="H682" i="7"/>
  <c r="A503" i="8"/>
  <c r="I503" i="7"/>
  <c r="H503" i="7"/>
  <c r="G503" i="7"/>
  <c r="F503" i="7"/>
  <c r="M503" i="7"/>
  <c r="E503" i="7"/>
  <c r="L503" i="7"/>
  <c r="K503" i="7"/>
  <c r="J503" i="7"/>
  <c r="D503" i="7"/>
  <c r="C503" i="7"/>
  <c r="B503" i="7"/>
  <c r="A404" i="8"/>
  <c r="H404" i="7"/>
  <c r="G404" i="7"/>
  <c r="F404" i="7"/>
  <c r="M404" i="7"/>
  <c r="E404" i="7"/>
  <c r="L404" i="7"/>
  <c r="D404" i="7"/>
  <c r="K404" i="7"/>
  <c r="J404" i="7"/>
  <c r="C404" i="7"/>
  <c r="B404" i="7"/>
  <c r="I404" i="7"/>
  <c r="A74" i="8"/>
  <c r="K74" i="7"/>
  <c r="C74" i="7"/>
  <c r="I74" i="7"/>
  <c r="H74" i="7"/>
  <c r="G74" i="7"/>
  <c r="M74" i="7"/>
  <c r="L74" i="7"/>
  <c r="J74" i="7"/>
  <c r="F74" i="7"/>
  <c r="E74" i="7"/>
  <c r="B74" i="7"/>
  <c r="D74" i="7"/>
  <c r="A82" i="8"/>
  <c r="K82" i="7"/>
  <c r="C82" i="7"/>
  <c r="I82" i="7"/>
  <c r="H82" i="7"/>
  <c r="G82" i="7"/>
  <c r="E82" i="7"/>
  <c r="D82" i="7"/>
  <c r="B82" i="7"/>
  <c r="M82" i="7"/>
  <c r="L82" i="7"/>
  <c r="J82" i="7"/>
  <c r="F82" i="7"/>
  <c r="A18" i="8"/>
  <c r="H18" i="7"/>
  <c r="G18" i="7"/>
  <c r="F18" i="7"/>
  <c r="M18" i="7"/>
  <c r="E18" i="7"/>
  <c r="L18" i="7"/>
  <c r="D18" i="7"/>
  <c r="J18" i="7"/>
  <c r="I18" i="7"/>
  <c r="C18" i="7"/>
  <c r="B18" i="7"/>
  <c r="K18" i="7"/>
  <c r="A770" i="8"/>
  <c r="H770" i="7"/>
  <c r="G770" i="7"/>
  <c r="F770" i="7"/>
  <c r="M770" i="7"/>
  <c r="E770" i="7"/>
  <c r="L770" i="7"/>
  <c r="D770" i="7"/>
  <c r="C770" i="7"/>
  <c r="B770" i="7"/>
  <c r="K770" i="7"/>
  <c r="J770" i="7"/>
  <c r="I770" i="7"/>
  <c r="A410" i="8"/>
  <c r="J410" i="7"/>
  <c r="B410" i="7"/>
  <c r="I410" i="7"/>
  <c r="H410" i="7"/>
  <c r="G410" i="7"/>
  <c r="F410" i="7"/>
  <c r="E410" i="7"/>
  <c r="D410" i="7"/>
  <c r="C410" i="7"/>
  <c r="M410" i="7"/>
  <c r="L410" i="7"/>
  <c r="K410" i="7"/>
  <c r="A90" i="8"/>
  <c r="K90" i="7"/>
  <c r="C90" i="7"/>
  <c r="I90" i="7"/>
  <c r="H90" i="7"/>
  <c r="G90" i="7"/>
  <c r="M90" i="7"/>
  <c r="L90" i="7"/>
  <c r="J90" i="7"/>
  <c r="F90" i="7"/>
  <c r="E90" i="7"/>
  <c r="B90" i="7"/>
  <c r="D90" i="7"/>
  <c r="P155" i="8"/>
  <c r="H155" i="8"/>
  <c r="O155" i="8"/>
  <c r="G155" i="8"/>
  <c r="M155" i="8"/>
  <c r="E155" i="8"/>
  <c r="L155" i="8"/>
  <c r="D155" i="8"/>
  <c r="I155" i="8"/>
  <c r="N155" i="8"/>
  <c r="K155" i="8"/>
  <c r="J155" i="8"/>
  <c r="F155" i="8"/>
  <c r="B155" i="8"/>
  <c r="A137" i="8"/>
  <c r="H137" i="7"/>
  <c r="G137" i="7"/>
  <c r="F137" i="7"/>
  <c r="M137" i="7"/>
  <c r="E137" i="7"/>
  <c r="L137" i="7"/>
  <c r="D137" i="7"/>
  <c r="K137" i="7"/>
  <c r="J137" i="7"/>
  <c r="I137" i="7"/>
  <c r="C137" i="7"/>
  <c r="B137" i="7"/>
  <c r="B20" i="9" l="1"/>
  <c r="O330" i="8"/>
  <c r="G330" i="8"/>
  <c r="N330" i="8"/>
  <c r="F330" i="8"/>
  <c r="L330" i="8"/>
  <c r="D330" i="8"/>
  <c r="K330" i="8"/>
  <c r="B330" i="8"/>
  <c r="J330" i="8"/>
  <c r="P330" i="8"/>
  <c r="I330" i="8"/>
  <c r="H330" i="8"/>
  <c r="E330" i="8"/>
  <c r="M330" i="8"/>
  <c r="I132" i="8"/>
  <c r="P132" i="8"/>
  <c r="H132" i="8"/>
  <c r="N132" i="8"/>
  <c r="F132" i="8"/>
  <c r="M132" i="8"/>
  <c r="E132" i="8"/>
  <c r="J132" i="8"/>
  <c r="O132" i="8"/>
  <c r="L132" i="8"/>
  <c r="K132" i="8"/>
  <c r="G132" i="8"/>
  <c r="D132" i="8"/>
  <c r="B132" i="8"/>
  <c r="L18" i="8"/>
  <c r="D18" i="8"/>
  <c r="K18" i="8"/>
  <c r="B18" i="8"/>
  <c r="J18" i="8"/>
  <c r="I18" i="8"/>
  <c r="P18" i="8"/>
  <c r="H18" i="8"/>
  <c r="O18" i="8"/>
  <c r="G18" i="8"/>
  <c r="M18" i="8"/>
  <c r="E18" i="8"/>
  <c r="F18" i="8"/>
  <c r="N18" i="8"/>
  <c r="O170" i="8"/>
  <c r="G170" i="8"/>
  <c r="N170" i="8"/>
  <c r="F170" i="8"/>
  <c r="L170" i="8"/>
  <c r="D170" i="8"/>
  <c r="K170" i="8"/>
  <c r="B170" i="8"/>
  <c r="P170" i="8"/>
  <c r="H170" i="8"/>
  <c r="E170" i="8"/>
  <c r="M170" i="8"/>
  <c r="J170" i="8"/>
  <c r="I170" i="8"/>
  <c r="P91" i="8"/>
  <c r="H91" i="8"/>
  <c r="O91" i="8"/>
  <c r="G91" i="8"/>
  <c r="M91" i="8"/>
  <c r="E91" i="8"/>
  <c r="L91" i="8"/>
  <c r="D91" i="8"/>
  <c r="I91" i="8"/>
  <c r="N91" i="8"/>
  <c r="K91" i="8"/>
  <c r="J91" i="8"/>
  <c r="F91" i="8"/>
  <c r="B91" i="8"/>
  <c r="P580" i="8"/>
  <c r="H580" i="8"/>
  <c r="O580" i="8"/>
  <c r="G580" i="8"/>
  <c r="N580" i="8"/>
  <c r="F580" i="8"/>
  <c r="M580" i="8"/>
  <c r="E580" i="8"/>
  <c r="L580" i="8"/>
  <c r="D580" i="8"/>
  <c r="K580" i="8"/>
  <c r="J580" i="8"/>
  <c r="I580" i="8"/>
  <c r="B580" i="8"/>
  <c r="N321" i="8"/>
  <c r="F321" i="8"/>
  <c r="M321" i="8"/>
  <c r="E321" i="8"/>
  <c r="K321" i="8"/>
  <c r="B321" i="8"/>
  <c r="J321" i="8"/>
  <c r="L321" i="8"/>
  <c r="I321" i="8"/>
  <c r="G321" i="8"/>
  <c r="D321" i="8"/>
  <c r="O321" i="8"/>
  <c r="P321" i="8"/>
  <c r="H321" i="8"/>
  <c r="I878" i="8"/>
  <c r="N878" i="8"/>
  <c r="F878" i="8"/>
  <c r="H878" i="8"/>
  <c r="G878" i="8"/>
  <c r="P878" i="8"/>
  <c r="E878" i="8"/>
  <c r="L878" i="8"/>
  <c r="B878" i="8"/>
  <c r="O878" i="8"/>
  <c r="M878" i="8"/>
  <c r="D878" i="8"/>
  <c r="K878" i="8"/>
  <c r="J878" i="8"/>
  <c r="L34" i="8"/>
  <c r="D34" i="8"/>
  <c r="K34" i="8"/>
  <c r="B34" i="8"/>
  <c r="J34" i="8"/>
  <c r="I34" i="8"/>
  <c r="P34" i="8"/>
  <c r="H34" i="8"/>
  <c r="O34" i="8"/>
  <c r="G34" i="8"/>
  <c r="M34" i="8"/>
  <c r="E34" i="8"/>
  <c r="N34" i="8"/>
  <c r="F34" i="8"/>
  <c r="N241" i="8"/>
  <c r="F241" i="8"/>
  <c r="M241" i="8"/>
  <c r="E241" i="8"/>
  <c r="K241" i="8"/>
  <c r="B241" i="8"/>
  <c r="J241" i="8"/>
  <c r="L241" i="8"/>
  <c r="I241" i="8"/>
  <c r="D241" i="8"/>
  <c r="O241" i="8"/>
  <c r="G241" i="8"/>
  <c r="H241" i="8"/>
  <c r="P241" i="8"/>
  <c r="N602" i="8"/>
  <c r="F602" i="8"/>
  <c r="M602" i="8"/>
  <c r="E602" i="8"/>
  <c r="L602" i="8"/>
  <c r="D602" i="8"/>
  <c r="K602" i="8"/>
  <c r="B602" i="8"/>
  <c r="H602" i="8"/>
  <c r="G602" i="8"/>
  <c r="P602" i="8"/>
  <c r="O602" i="8"/>
  <c r="J602" i="8"/>
  <c r="I602" i="8"/>
  <c r="P572" i="8"/>
  <c r="H572" i="8"/>
  <c r="O572" i="8"/>
  <c r="G572" i="8"/>
  <c r="N572" i="8"/>
  <c r="F572" i="8"/>
  <c r="M572" i="8"/>
  <c r="E572" i="8"/>
  <c r="L572" i="8"/>
  <c r="D572" i="8"/>
  <c r="I572" i="8"/>
  <c r="B572" i="8"/>
  <c r="K572" i="8"/>
  <c r="J572" i="8"/>
  <c r="N105" i="8"/>
  <c r="F105" i="8"/>
  <c r="M105" i="8"/>
  <c r="E105" i="8"/>
  <c r="K105" i="8"/>
  <c r="B105" i="8"/>
  <c r="J105" i="8"/>
  <c r="O105" i="8"/>
  <c r="G105" i="8"/>
  <c r="P105" i="8"/>
  <c r="L105" i="8"/>
  <c r="I105" i="8"/>
  <c r="H105" i="8"/>
  <c r="D105" i="8"/>
  <c r="K110" i="8"/>
  <c r="B110" i="8"/>
  <c r="J110" i="8"/>
  <c r="P110" i="8"/>
  <c r="H110" i="8"/>
  <c r="O110" i="8"/>
  <c r="G110" i="8"/>
  <c r="L110" i="8"/>
  <c r="D110" i="8"/>
  <c r="I110" i="8"/>
  <c r="F110" i="8"/>
  <c r="E110" i="8"/>
  <c r="N110" i="8"/>
  <c r="M110" i="8"/>
  <c r="L319" i="8"/>
  <c r="D319" i="8"/>
  <c r="K319" i="8"/>
  <c r="B319" i="8"/>
  <c r="I319" i="8"/>
  <c r="P319" i="8"/>
  <c r="H319" i="8"/>
  <c r="J319" i="8"/>
  <c r="G319" i="8"/>
  <c r="E319" i="8"/>
  <c r="M319" i="8"/>
  <c r="O319" i="8"/>
  <c r="N319" i="8"/>
  <c r="F319" i="8"/>
  <c r="J862" i="8"/>
  <c r="P862" i="8"/>
  <c r="H862" i="8"/>
  <c r="M862" i="8"/>
  <c r="E862" i="8"/>
  <c r="K862" i="8"/>
  <c r="I862" i="8"/>
  <c r="G862" i="8"/>
  <c r="F862" i="8"/>
  <c r="O862" i="8"/>
  <c r="L862" i="8"/>
  <c r="D862" i="8"/>
  <c r="N862" i="8"/>
  <c r="B862" i="8"/>
  <c r="L271" i="8"/>
  <c r="D271" i="8"/>
  <c r="K271" i="8"/>
  <c r="B271" i="8"/>
  <c r="I271" i="8"/>
  <c r="P271" i="8"/>
  <c r="H271" i="8"/>
  <c r="J271" i="8"/>
  <c r="G271" i="8"/>
  <c r="M271" i="8"/>
  <c r="E271" i="8"/>
  <c r="F271" i="8"/>
  <c r="O271" i="8"/>
  <c r="N271" i="8"/>
  <c r="M833" i="8"/>
  <c r="E833" i="8"/>
  <c r="L833" i="8"/>
  <c r="D833" i="8"/>
  <c r="K833" i="8"/>
  <c r="B833" i="8"/>
  <c r="J833" i="8"/>
  <c r="I833" i="8"/>
  <c r="H833" i="8"/>
  <c r="F833" i="8"/>
  <c r="N833" i="8"/>
  <c r="P833" i="8"/>
  <c r="O833" i="8"/>
  <c r="G833" i="8"/>
  <c r="O178" i="8"/>
  <c r="G178" i="8"/>
  <c r="N178" i="8"/>
  <c r="F178" i="8"/>
  <c r="L178" i="8"/>
  <c r="D178" i="8"/>
  <c r="K178" i="8"/>
  <c r="B178" i="8"/>
  <c r="P178" i="8"/>
  <c r="H178" i="8"/>
  <c r="M178" i="8"/>
  <c r="J178" i="8"/>
  <c r="I178" i="8"/>
  <c r="E178" i="8"/>
  <c r="N380" i="8"/>
  <c r="F380" i="8"/>
  <c r="M380" i="8"/>
  <c r="E380" i="8"/>
  <c r="L380" i="8"/>
  <c r="D380" i="8"/>
  <c r="K380" i="8"/>
  <c r="B380" i="8"/>
  <c r="J380" i="8"/>
  <c r="P380" i="8"/>
  <c r="O380" i="8"/>
  <c r="I380" i="8"/>
  <c r="H380" i="8"/>
  <c r="G380" i="8"/>
  <c r="N570" i="8"/>
  <c r="F570" i="8"/>
  <c r="M570" i="8"/>
  <c r="E570" i="8"/>
  <c r="L570" i="8"/>
  <c r="D570" i="8"/>
  <c r="K570" i="8"/>
  <c r="B570" i="8"/>
  <c r="J570" i="8"/>
  <c r="P570" i="8"/>
  <c r="O570" i="8"/>
  <c r="I570" i="8"/>
  <c r="H570" i="8"/>
  <c r="G570" i="8"/>
  <c r="L204" i="8"/>
  <c r="D204" i="8"/>
  <c r="P204" i="8"/>
  <c r="H204" i="8"/>
  <c r="M204" i="8"/>
  <c r="K204" i="8"/>
  <c r="I204" i="8"/>
  <c r="G204" i="8"/>
  <c r="N204" i="8"/>
  <c r="B204" i="8"/>
  <c r="J204" i="8"/>
  <c r="F204" i="8"/>
  <c r="E204" i="8"/>
  <c r="O204" i="8"/>
  <c r="P759" i="8"/>
  <c r="H759" i="8"/>
  <c r="O759" i="8"/>
  <c r="G759" i="8"/>
  <c r="N759" i="8"/>
  <c r="F759" i="8"/>
  <c r="M759" i="8"/>
  <c r="E759" i="8"/>
  <c r="K759" i="8"/>
  <c r="J759" i="8"/>
  <c r="I759" i="8"/>
  <c r="D759" i="8"/>
  <c r="B759" i="8"/>
  <c r="L759" i="8"/>
  <c r="N985" i="8"/>
  <c r="F985" i="8"/>
  <c r="L985" i="8"/>
  <c r="B985" i="8"/>
  <c r="K985" i="8"/>
  <c r="J985" i="8"/>
  <c r="I985" i="8"/>
  <c r="D985" i="8"/>
  <c r="P985" i="8"/>
  <c r="O985" i="8"/>
  <c r="M985" i="8"/>
  <c r="H985" i="8"/>
  <c r="G985" i="8"/>
  <c r="E985" i="8"/>
  <c r="N977" i="8"/>
  <c r="F977" i="8"/>
  <c r="M977" i="8"/>
  <c r="D977" i="8"/>
  <c r="L977" i="8"/>
  <c r="B977" i="8"/>
  <c r="K977" i="8"/>
  <c r="J977" i="8"/>
  <c r="O977" i="8"/>
  <c r="I977" i="8"/>
  <c r="H977" i="8"/>
  <c r="G977" i="8"/>
  <c r="E977" i="8"/>
  <c r="P977" i="8"/>
  <c r="J822" i="8"/>
  <c r="I822" i="8"/>
  <c r="P822" i="8"/>
  <c r="H822" i="8"/>
  <c r="O822" i="8"/>
  <c r="G822" i="8"/>
  <c r="N822" i="8"/>
  <c r="M822" i="8"/>
  <c r="K822" i="8"/>
  <c r="F822" i="8"/>
  <c r="B822" i="8"/>
  <c r="L822" i="8"/>
  <c r="E822" i="8"/>
  <c r="D822" i="8"/>
  <c r="I268" i="8"/>
  <c r="P268" i="8"/>
  <c r="H268" i="8"/>
  <c r="N268" i="8"/>
  <c r="F268" i="8"/>
  <c r="M268" i="8"/>
  <c r="E268" i="8"/>
  <c r="G268" i="8"/>
  <c r="D268" i="8"/>
  <c r="O268" i="8"/>
  <c r="J268" i="8"/>
  <c r="L268" i="8"/>
  <c r="B268" i="8"/>
  <c r="K268" i="8"/>
  <c r="K607" i="8"/>
  <c r="B607" i="8"/>
  <c r="J607" i="8"/>
  <c r="I607" i="8"/>
  <c r="P607" i="8"/>
  <c r="H607" i="8"/>
  <c r="O607" i="8"/>
  <c r="M607" i="8"/>
  <c r="L607" i="8"/>
  <c r="G607" i="8"/>
  <c r="F607" i="8"/>
  <c r="E607" i="8"/>
  <c r="N607" i="8"/>
  <c r="D607" i="8"/>
  <c r="N538" i="8"/>
  <c r="F538" i="8"/>
  <c r="M538" i="8"/>
  <c r="E538" i="8"/>
  <c r="L538" i="8"/>
  <c r="D538" i="8"/>
  <c r="K538" i="8"/>
  <c r="B538" i="8"/>
  <c r="J538" i="8"/>
  <c r="G538" i="8"/>
  <c r="P538" i="8"/>
  <c r="O538" i="8"/>
  <c r="I538" i="8"/>
  <c r="H538" i="8"/>
  <c r="I292" i="8"/>
  <c r="P292" i="8"/>
  <c r="H292" i="8"/>
  <c r="N292" i="8"/>
  <c r="F292" i="8"/>
  <c r="M292" i="8"/>
  <c r="E292" i="8"/>
  <c r="O292" i="8"/>
  <c r="L292" i="8"/>
  <c r="G292" i="8"/>
  <c r="J292" i="8"/>
  <c r="D292" i="8"/>
  <c r="K292" i="8"/>
  <c r="B292" i="8"/>
  <c r="P628" i="8"/>
  <c r="H628" i="8"/>
  <c r="O628" i="8"/>
  <c r="G628" i="8"/>
  <c r="N628" i="8"/>
  <c r="F628" i="8"/>
  <c r="M628" i="8"/>
  <c r="E628" i="8"/>
  <c r="L628" i="8"/>
  <c r="D628" i="8"/>
  <c r="K628" i="8"/>
  <c r="J628" i="8"/>
  <c r="I628" i="8"/>
  <c r="B628" i="8"/>
  <c r="I244" i="8"/>
  <c r="P244" i="8"/>
  <c r="H244" i="8"/>
  <c r="N244" i="8"/>
  <c r="F244" i="8"/>
  <c r="M244" i="8"/>
  <c r="E244" i="8"/>
  <c r="O244" i="8"/>
  <c r="L244" i="8"/>
  <c r="G244" i="8"/>
  <c r="K244" i="8"/>
  <c r="J244" i="8"/>
  <c r="D244" i="8"/>
  <c r="B244" i="8"/>
  <c r="K831" i="8"/>
  <c r="B831" i="8"/>
  <c r="J831" i="8"/>
  <c r="I831" i="8"/>
  <c r="P831" i="8"/>
  <c r="H831" i="8"/>
  <c r="G831" i="8"/>
  <c r="F831" i="8"/>
  <c r="D831" i="8"/>
  <c r="O831" i="8"/>
  <c r="L831" i="8"/>
  <c r="N831" i="8"/>
  <c r="M831" i="8"/>
  <c r="E831" i="8"/>
  <c r="J101" i="8"/>
  <c r="I101" i="8"/>
  <c r="O101" i="8"/>
  <c r="G101" i="8"/>
  <c r="N101" i="8"/>
  <c r="F101" i="8"/>
  <c r="K101" i="8"/>
  <c r="B101" i="8"/>
  <c r="P101" i="8"/>
  <c r="M101" i="8"/>
  <c r="L101" i="8"/>
  <c r="H101" i="8"/>
  <c r="E101" i="8"/>
  <c r="D101" i="8"/>
  <c r="L167" i="8"/>
  <c r="D167" i="8"/>
  <c r="K167" i="8"/>
  <c r="B167" i="8"/>
  <c r="I167" i="8"/>
  <c r="P167" i="8"/>
  <c r="H167" i="8"/>
  <c r="M167" i="8"/>
  <c r="E167" i="8"/>
  <c r="G167" i="8"/>
  <c r="F167" i="8"/>
  <c r="O167" i="8"/>
  <c r="N167" i="8"/>
  <c r="J167" i="8"/>
  <c r="M809" i="8"/>
  <c r="E809" i="8"/>
  <c r="L809" i="8"/>
  <c r="D809" i="8"/>
  <c r="K809" i="8"/>
  <c r="B809" i="8"/>
  <c r="J809" i="8"/>
  <c r="P809" i="8"/>
  <c r="N809" i="8"/>
  <c r="I809" i="8"/>
  <c r="F809" i="8"/>
  <c r="G809" i="8"/>
  <c r="H809" i="8"/>
  <c r="O809" i="8"/>
  <c r="I359" i="8"/>
  <c r="P359" i="8"/>
  <c r="H359" i="8"/>
  <c r="O359" i="8"/>
  <c r="G359" i="8"/>
  <c r="N359" i="8"/>
  <c r="F359" i="8"/>
  <c r="M359" i="8"/>
  <c r="E359" i="8"/>
  <c r="K359" i="8"/>
  <c r="J359" i="8"/>
  <c r="D359" i="8"/>
  <c r="L359" i="8"/>
  <c r="B359" i="8"/>
  <c r="L220" i="8"/>
  <c r="D220" i="8"/>
  <c r="K220" i="8"/>
  <c r="P220" i="8"/>
  <c r="H220" i="8"/>
  <c r="M220" i="8"/>
  <c r="E220" i="8"/>
  <c r="O220" i="8"/>
  <c r="J220" i="8"/>
  <c r="I220" i="8"/>
  <c r="B220" i="8"/>
  <c r="F220" i="8"/>
  <c r="N220" i="8"/>
  <c r="G220" i="8"/>
  <c r="N891" i="8"/>
  <c r="F891" i="8"/>
  <c r="K891" i="8"/>
  <c r="B891" i="8"/>
  <c r="J891" i="8"/>
  <c r="G891" i="8"/>
  <c r="E891" i="8"/>
  <c r="P891" i="8"/>
  <c r="D891" i="8"/>
  <c r="L891" i="8"/>
  <c r="O891" i="8"/>
  <c r="M891" i="8"/>
  <c r="I891" i="8"/>
  <c r="H891" i="8"/>
  <c r="N177" i="8"/>
  <c r="F177" i="8"/>
  <c r="M177" i="8"/>
  <c r="E177" i="8"/>
  <c r="K177" i="8"/>
  <c r="B177" i="8"/>
  <c r="J177" i="8"/>
  <c r="O177" i="8"/>
  <c r="G177" i="8"/>
  <c r="H177" i="8"/>
  <c r="D177" i="8"/>
  <c r="P177" i="8"/>
  <c r="L177" i="8"/>
  <c r="I177" i="8"/>
  <c r="K746" i="8"/>
  <c r="B746" i="8"/>
  <c r="J746" i="8"/>
  <c r="I746" i="8"/>
  <c r="P746" i="8"/>
  <c r="H746" i="8"/>
  <c r="N746" i="8"/>
  <c r="M746" i="8"/>
  <c r="L746" i="8"/>
  <c r="G746" i="8"/>
  <c r="F746" i="8"/>
  <c r="O746" i="8"/>
  <c r="E746" i="8"/>
  <c r="D746" i="8"/>
  <c r="O215" i="8"/>
  <c r="G215" i="8"/>
  <c r="K215" i="8"/>
  <c r="B215" i="8"/>
  <c r="H215" i="8"/>
  <c r="F215" i="8"/>
  <c r="N215" i="8"/>
  <c r="D215" i="8"/>
  <c r="M215" i="8"/>
  <c r="I215" i="8"/>
  <c r="P215" i="8"/>
  <c r="L215" i="8"/>
  <c r="J215" i="8"/>
  <c r="E215" i="8"/>
  <c r="I886" i="8"/>
  <c r="N886" i="8"/>
  <c r="F886" i="8"/>
  <c r="M886" i="8"/>
  <c r="E886" i="8"/>
  <c r="D886" i="8"/>
  <c r="P886" i="8"/>
  <c r="B886" i="8"/>
  <c r="O886" i="8"/>
  <c r="J886" i="8"/>
  <c r="L886" i="8"/>
  <c r="K886" i="8"/>
  <c r="H886" i="8"/>
  <c r="G886" i="8"/>
  <c r="K567" i="8"/>
  <c r="B567" i="8"/>
  <c r="J567" i="8"/>
  <c r="I567" i="8"/>
  <c r="P567" i="8"/>
  <c r="H567" i="8"/>
  <c r="O567" i="8"/>
  <c r="G567" i="8"/>
  <c r="N567" i="8"/>
  <c r="M567" i="8"/>
  <c r="L567" i="8"/>
  <c r="F567" i="8"/>
  <c r="E567" i="8"/>
  <c r="D567" i="8"/>
  <c r="K631" i="8"/>
  <c r="B631" i="8"/>
  <c r="J631" i="8"/>
  <c r="I631" i="8"/>
  <c r="P631" i="8"/>
  <c r="H631" i="8"/>
  <c r="O631" i="8"/>
  <c r="G631" i="8"/>
  <c r="N631" i="8"/>
  <c r="M631" i="8"/>
  <c r="L631" i="8"/>
  <c r="F631" i="8"/>
  <c r="E631" i="8"/>
  <c r="D631" i="8"/>
  <c r="O835" i="8"/>
  <c r="G835" i="8"/>
  <c r="N835" i="8"/>
  <c r="F835" i="8"/>
  <c r="M835" i="8"/>
  <c r="E835" i="8"/>
  <c r="L835" i="8"/>
  <c r="D835" i="8"/>
  <c r="K835" i="8"/>
  <c r="J835" i="8"/>
  <c r="H835" i="8"/>
  <c r="B835" i="8"/>
  <c r="P835" i="8"/>
  <c r="I835" i="8"/>
  <c r="P484" i="8"/>
  <c r="H484" i="8"/>
  <c r="N484" i="8"/>
  <c r="F484" i="8"/>
  <c r="M484" i="8"/>
  <c r="E484" i="8"/>
  <c r="L484" i="8"/>
  <c r="D484" i="8"/>
  <c r="I484" i="8"/>
  <c r="G484" i="8"/>
  <c r="B484" i="8"/>
  <c r="O484" i="8"/>
  <c r="K484" i="8"/>
  <c r="J484" i="8"/>
  <c r="N905" i="8"/>
  <c r="F905" i="8"/>
  <c r="M905" i="8"/>
  <c r="E905" i="8"/>
  <c r="L905" i="8"/>
  <c r="D905" i="8"/>
  <c r="J905" i="8"/>
  <c r="G905" i="8"/>
  <c r="B905" i="8"/>
  <c r="K905" i="8"/>
  <c r="I905" i="8"/>
  <c r="H905" i="8"/>
  <c r="P905" i="8"/>
  <c r="O905" i="8"/>
  <c r="P963" i="8"/>
  <c r="H963" i="8"/>
  <c r="M963" i="8"/>
  <c r="D963" i="8"/>
  <c r="L963" i="8"/>
  <c r="B963" i="8"/>
  <c r="K963" i="8"/>
  <c r="J963" i="8"/>
  <c r="E963" i="8"/>
  <c r="O963" i="8"/>
  <c r="N963" i="8"/>
  <c r="F963" i="8"/>
  <c r="G963" i="8"/>
  <c r="I963" i="8"/>
  <c r="M825" i="8"/>
  <c r="E825" i="8"/>
  <c r="L825" i="8"/>
  <c r="D825" i="8"/>
  <c r="K825" i="8"/>
  <c r="B825" i="8"/>
  <c r="J825" i="8"/>
  <c r="P825" i="8"/>
  <c r="N825" i="8"/>
  <c r="I825" i="8"/>
  <c r="F825" i="8"/>
  <c r="O825" i="8"/>
  <c r="H825" i="8"/>
  <c r="G825" i="8"/>
  <c r="N348" i="8"/>
  <c r="F348" i="8"/>
  <c r="M348" i="8"/>
  <c r="E348" i="8"/>
  <c r="L348" i="8"/>
  <c r="D348" i="8"/>
  <c r="K348" i="8"/>
  <c r="B348" i="8"/>
  <c r="J348" i="8"/>
  <c r="O348" i="8"/>
  <c r="I348" i="8"/>
  <c r="G348" i="8"/>
  <c r="H348" i="8"/>
  <c r="P348" i="8"/>
  <c r="P508" i="8"/>
  <c r="H508" i="8"/>
  <c r="O508" i="8"/>
  <c r="G508" i="8"/>
  <c r="N508" i="8"/>
  <c r="F508" i="8"/>
  <c r="M508" i="8"/>
  <c r="E508" i="8"/>
  <c r="L508" i="8"/>
  <c r="D508" i="8"/>
  <c r="I508" i="8"/>
  <c r="B508" i="8"/>
  <c r="K508" i="8"/>
  <c r="J508" i="8"/>
  <c r="O290" i="8"/>
  <c r="G290" i="8"/>
  <c r="N290" i="8"/>
  <c r="F290" i="8"/>
  <c r="L290" i="8"/>
  <c r="D290" i="8"/>
  <c r="K290" i="8"/>
  <c r="B290" i="8"/>
  <c r="M290" i="8"/>
  <c r="J290" i="8"/>
  <c r="E290" i="8"/>
  <c r="P290" i="8"/>
  <c r="H290" i="8"/>
  <c r="I290" i="8"/>
  <c r="N634" i="8"/>
  <c r="F634" i="8"/>
  <c r="M634" i="8"/>
  <c r="E634" i="8"/>
  <c r="L634" i="8"/>
  <c r="D634" i="8"/>
  <c r="K634" i="8"/>
  <c r="B634" i="8"/>
  <c r="J634" i="8"/>
  <c r="O634" i="8"/>
  <c r="I634" i="8"/>
  <c r="H634" i="8"/>
  <c r="G634" i="8"/>
  <c r="P634" i="8"/>
  <c r="N818" i="8"/>
  <c r="F818" i="8"/>
  <c r="M818" i="8"/>
  <c r="E818" i="8"/>
  <c r="L818" i="8"/>
  <c r="D818" i="8"/>
  <c r="K818" i="8"/>
  <c r="B818" i="8"/>
  <c r="J818" i="8"/>
  <c r="I818" i="8"/>
  <c r="G818" i="8"/>
  <c r="O818" i="8"/>
  <c r="P818" i="8"/>
  <c r="H818" i="8"/>
  <c r="P492" i="8"/>
  <c r="H492" i="8"/>
  <c r="N492" i="8"/>
  <c r="F492" i="8"/>
  <c r="M492" i="8"/>
  <c r="E492" i="8"/>
  <c r="L492" i="8"/>
  <c r="D492" i="8"/>
  <c r="O492" i="8"/>
  <c r="K492" i="8"/>
  <c r="J492" i="8"/>
  <c r="I492" i="8"/>
  <c r="G492" i="8"/>
  <c r="B492" i="8"/>
  <c r="J806" i="8"/>
  <c r="I806" i="8"/>
  <c r="P806" i="8"/>
  <c r="H806" i="8"/>
  <c r="O806" i="8"/>
  <c r="G806" i="8"/>
  <c r="N806" i="8"/>
  <c r="M806" i="8"/>
  <c r="K806" i="8"/>
  <c r="F806" i="8"/>
  <c r="B806" i="8"/>
  <c r="E806" i="8"/>
  <c r="D806" i="8"/>
  <c r="L806" i="8"/>
  <c r="K655" i="8"/>
  <c r="B655" i="8"/>
  <c r="J655" i="8"/>
  <c r="I655" i="8"/>
  <c r="P655" i="8"/>
  <c r="H655" i="8"/>
  <c r="O655" i="8"/>
  <c r="G655" i="8"/>
  <c r="N655" i="8"/>
  <c r="M655" i="8"/>
  <c r="L655" i="8"/>
  <c r="F655" i="8"/>
  <c r="E655" i="8"/>
  <c r="D655" i="8"/>
  <c r="L263" i="8"/>
  <c r="D263" i="8"/>
  <c r="K263" i="8"/>
  <c r="B263" i="8"/>
  <c r="I263" i="8"/>
  <c r="P263" i="8"/>
  <c r="H263" i="8"/>
  <c r="O263" i="8"/>
  <c r="J263" i="8"/>
  <c r="E263" i="8"/>
  <c r="N263" i="8"/>
  <c r="M263" i="8"/>
  <c r="G263" i="8"/>
  <c r="F263" i="8"/>
  <c r="K623" i="8"/>
  <c r="B623" i="8"/>
  <c r="J623" i="8"/>
  <c r="I623" i="8"/>
  <c r="P623" i="8"/>
  <c r="H623" i="8"/>
  <c r="O623" i="8"/>
  <c r="G623" i="8"/>
  <c r="F623" i="8"/>
  <c r="E623" i="8"/>
  <c r="D623" i="8"/>
  <c r="N623" i="8"/>
  <c r="M623" i="8"/>
  <c r="L623" i="8"/>
  <c r="L450" i="8"/>
  <c r="D450" i="8"/>
  <c r="K450" i="8"/>
  <c r="B450" i="8"/>
  <c r="J450" i="8"/>
  <c r="I450" i="8"/>
  <c r="P450" i="8"/>
  <c r="H450" i="8"/>
  <c r="O450" i="8"/>
  <c r="M450" i="8"/>
  <c r="G450" i="8"/>
  <c r="F450" i="8"/>
  <c r="N450" i="8"/>
  <c r="E450" i="8"/>
  <c r="K714" i="8"/>
  <c r="B714" i="8"/>
  <c r="J714" i="8"/>
  <c r="I714" i="8"/>
  <c r="P714" i="8"/>
  <c r="H714" i="8"/>
  <c r="N714" i="8"/>
  <c r="M714" i="8"/>
  <c r="L714" i="8"/>
  <c r="G714" i="8"/>
  <c r="F714" i="8"/>
  <c r="O714" i="8"/>
  <c r="E714" i="8"/>
  <c r="D714" i="8"/>
  <c r="L119" i="8"/>
  <c r="D119" i="8"/>
  <c r="K119" i="8"/>
  <c r="B119" i="8"/>
  <c r="I119" i="8"/>
  <c r="P119" i="8"/>
  <c r="H119" i="8"/>
  <c r="M119" i="8"/>
  <c r="E119" i="8"/>
  <c r="O119" i="8"/>
  <c r="N119" i="8"/>
  <c r="J119" i="8"/>
  <c r="G119" i="8"/>
  <c r="F119" i="8"/>
  <c r="P604" i="8"/>
  <c r="H604" i="8"/>
  <c r="O604" i="8"/>
  <c r="G604" i="8"/>
  <c r="N604" i="8"/>
  <c r="F604" i="8"/>
  <c r="M604" i="8"/>
  <c r="E604" i="8"/>
  <c r="J604" i="8"/>
  <c r="I604" i="8"/>
  <c r="D604" i="8"/>
  <c r="B604" i="8"/>
  <c r="L604" i="8"/>
  <c r="K604" i="8"/>
  <c r="O90" i="8"/>
  <c r="G90" i="8"/>
  <c r="N90" i="8"/>
  <c r="F90" i="8"/>
  <c r="L90" i="8"/>
  <c r="D90" i="8"/>
  <c r="K90" i="8"/>
  <c r="B90" i="8"/>
  <c r="P90" i="8"/>
  <c r="H90" i="8"/>
  <c r="J90" i="8"/>
  <c r="I90" i="8"/>
  <c r="E90" i="8"/>
  <c r="M90" i="8"/>
  <c r="O682" i="8"/>
  <c r="G682" i="8"/>
  <c r="N682" i="8"/>
  <c r="F682" i="8"/>
  <c r="M682" i="8"/>
  <c r="E682" i="8"/>
  <c r="L682" i="8"/>
  <c r="D682" i="8"/>
  <c r="K682" i="8"/>
  <c r="B682" i="8"/>
  <c r="P682" i="8"/>
  <c r="J682" i="8"/>
  <c r="I682" i="8"/>
  <c r="H682" i="8"/>
  <c r="O138" i="8"/>
  <c r="G138" i="8"/>
  <c r="N138" i="8"/>
  <c r="F138" i="8"/>
  <c r="L138" i="8"/>
  <c r="D138" i="8"/>
  <c r="K138" i="8"/>
  <c r="B138" i="8"/>
  <c r="P138" i="8"/>
  <c r="H138" i="8"/>
  <c r="M138" i="8"/>
  <c r="J138" i="8"/>
  <c r="I138" i="8"/>
  <c r="E138" i="8"/>
  <c r="K511" i="8"/>
  <c r="B511" i="8"/>
  <c r="J511" i="8"/>
  <c r="I511" i="8"/>
  <c r="P511" i="8"/>
  <c r="H511" i="8"/>
  <c r="O511" i="8"/>
  <c r="G511" i="8"/>
  <c r="E511" i="8"/>
  <c r="D511" i="8"/>
  <c r="N511" i="8"/>
  <c r="M511" i="8"/>
  <c r="L511" i="8"/>
  <c r="F511" i="8"/>
  <c r="N356" i="8"/>
  <c r="F356" i="8"/>
  <c r="M356" i="8"/>
  <c r="E356" i="8"/>
  <c r="L356" i="8"/>
  <c r="D356" i="8"/>
  <c r="K356" i="8"/>
  <c r="B356" i="8"/>
  <c r="J356" i="8"/>
  <c r="O356" i="8"/>
  <c r="I356" i="8"/>
  <c r="H356" i="8"/>
  <c r="G356" i="8"/>
  <c r="P356" i="8"/>
  <c r="K958" i="8"/>
  <c r="B958" i="8"/>
  <c r="O958" i="8"/>
  <c r="F958" i="8"/>
  <c r="N958" i="8"/>
  <c r="E958" i="8"/>
  <c r="M958" i="8"/>
  <c r="D958" i="8"/>
  <c r="L958" i="8"/>
  <c r="G958" i="8"/>
  <c r="P958" i="8"/>
  <c r="J958" i="8"/>
  <c r="I958" i="8"/>
  <c r="H958" i="8"/>
  <c r="M817" i="8"/>
  <c r="E817" i="8"/>
  <c r="L817" i="8"/>
  <c r="D817" i="8"/>
  <c r="K817" i="8"/>
  <c r="B817" i="8"/>
  <c r="J817" i="8"/>
  <c r="I817" i="8"/>
  <c r="H817" i="8"/>
  <c r="F817" i="8"/>
  <c r="N817" i="8"/>
  <c r="O817" i="8"/>
  <c r="G817" i="8"/>
  <c r="P817" i="8"/>
  <c r="N562" i="8"/>
  <c r="F562" i="8"/>
  <c r="M562" i="8"/>
  <c r="E562" i="8"/>
  <c r="L562" i="8"/>
  <c r="D562" i="8"/>
  <c r="K562" i="8"/>
  <c r="B562" i="8"/>
  <c r="J562" i="8"/>
  <c r="H562" i="8"/>
  <c r="G562" i="8"/>
  <c r="P562" i="8"/>
  <c r="I562" i="8"/>
  <c r="O562" i="8"/>
  <c r="P727" i="8"/>
  <c r="H727" i="8"/>
  <c r="O727" i="8"/>
  <c r="G727" i="8"/>
  <c r="N727" i="8"/>
  <c r="F727" i="8"/>
  <c r="M727" i="8"/>
  <c r="E727" i="8"/>
  <c r="K727" i="8"/>
  <c r="J727" i="8"/>
  <c r="I727" i="8"/>
  <c r="D727" i="8"/>
  <c r="B727" i="8"/>
  <c r="L727" i="8"/>
  <c r="O231" i="8"/>
  <c r="G231" i="8"/>
  <c r="N231" i="8"/>
  <c r="F231" i="8"/>
  <c r="K231" i="8"/>
  <c r="B231" i="8"/>
  <c r="P231" i="8"/>
  <c r="H231" i="8"/>
  <c r="L231" i="8"/>
  <c r="J231" i="8"/>
  <c r="E231" i="8"/>
  <c r="D231" i="8"/>
  <c r="M231" i="8"/>
  <c r="I231" i="8"/>
  <c r="P743" i="8"/>
  <c r="H743" i="8"/>
  <c r="O743" i="8"/>
  <c r="G743" i="8"/>
  <c r="N743" i="8"/>
  <c r="F743" i="8"/>
  <c r="M743" i="8"/>
  <c r="E743" i="8"/>
  <c r="K743" i="8"/>
  <c r="J743" i="8"/>
  <c r="I743" i="8"/>
  <c r="D743" i="8"/>
  <c r="B743" i="8"/>
  <c r="L743" i="8"/>
  <c r="N428" i="8"/>
  <c r="F428" i="8"/>
  <c r="M428" i="8"/>
  <c r="E428" i="8"/>
  <c r="L428" i="8"/>
  <c r="D428" i="8"/>
  <c r="K428" i="8"/>
  <c r="B428" i="8"/>
  <c r="J428" i="8"/>
  <c r="H428" i="8"/>
  <c r="G428" i="8"/>
  <c r="P428" i="8"/>
  <c r="I428" i="8"/>
  <c r="O428" i="8"/>
  <c r="O843" i="8"/>
  <c r="G843" i="8"/>
  <c r="M843" i="8"/>
  <c r="E843" i="8"/>
  <c r="P843" i="8"/>
  <c r="D843" i="8"/>
  <c r="N843" i="8"/>
  <c r="B843" i="8"/>
  <c r="L843" i="8"/>
  <c r="K843" i="8"/>
  <c r="J843" i="8"/>
  <c r="F843" i="8"/>
  <c r="I843" i="8"/>
  <c r="H843" i="8"/>
  <c r="N961" i="8"/>
  <c r="F961" i="8"/>
  <c r="P961" i="8"/>
  <c r="G961" i="8"/>
  <c r="O961" i="8"/>
  <c r="E961" i="8"/>
  <c r="M961" i="8"/>
  <c r="D961" i="8"/>
  <c r="L961" i="8"/>
  <c r="B961" i="8"/>
  <c r="K961" i="8"/>
  <c r="J961" i="8"/>
  <c r="I961" i="8"/>
  <c r="H961" i="8"/>
  <c r="K998" i="8"/>
  <c r="B998" i="8"/>
  <c r="I998" i="8"/>
  <c r="H998" i="8"/>
  <c r="P998" i="8"/>
  <c r="G998" i="8"/>
  <c r="O998" i="8"/>
  <c r="F998" i="8"/>
  <c r="J998" i="8"/>
  <c r="E998" i="8"/>
  <c r="D998" i="8"/>
  <c r="M998" i="8"/>
  <c r="L998" i="8"/>
  <c r="N998" i="8"/>
  <c r="I383" i="8"/>
  <c r="P383" i="8"/>
  <c r="H383" i="8"/>
  <c r="O383" i="8"/>
  <c r="G383" i="8"/>
  <c r="N383" i="8"/>
  <c r="F383" i="8"/>
  <c r="M383" i="8"/>
  <c r="E383" i="8"/>
  <c r="L383" i="8"/>
  <c r="K383" i="8"/>
  <c r="J383" i="8"/>
  <c r="B383" i="8"/>
  <c r="D383" i="8"/>
  <c r="O146" i="8"/>
  <c r="G146" i="8"/>
  <c r="N146" i="8"/>
  <c r="F146" i="8"/>
  <c r="L146" i="8"/>
  <c r="D146" i="8"/>
  <c r="K146" i="8"/>
  <c r="B146" i="8"/>
  <c r="P146" i="8"/>
  <c r="H146" i="8"/>
  <c r="M146" i="8"/>
  <c r="J146" i="8"/>
  <c r="I146" i="8"/>
  <c r="E146" i="8"/>
  <c r="I284" i="8"/>
  <c r="P284" i="8"/>
  <c r="H284" i="8"/>
  <c r="N284" i="8"/>
  <c r="F284" i="8"/>
  <c r="M284" i="8"/>
  <c r="E284" i="8"/>
  <c r="G284" i="8"/>
  <c r="D284" i="8"/>
  <c r="O284" i="8"/>
  <c r="J284" i="8"/>
  <c r="B284" i="8"/>
  <c r="L284" i="8"/>
  <c r="K284" i="8"/>
  <c r="N514" i="8"/>
  <c r="F514" i="8"/>
  <c r="M514" i="8"/>
  <c r="E514" i="8"/>
  <c r="L514" i="8"/>
  <c r="D514" i="8"/>
  <c r="K514" i="8"/>
  <c r="B514" i="8"/>
  <c r="J514" i="8"/>
  <c r="P514" i="8"/>
  <c r="O514" i="8"/>
  <c r="I514" i="8"/>
  <c r="H514" i="8"/>
  <c r="G514" i="8"/>
  <c r="P735" i="8"/>
  <c r="H735" i="8"/>
  <c r="O735" i="8"/>
  <c r="G735" i="8"/>
  <c r="N735" i="8"/>
  <c r="F735" i="8"/>
  <c r="M735" i="8"/>
  <c r="E735" i="8"/>
  <c r="B735" i="8"/>
  <c r="L735" i="8"/>
  <c r="K735" i="8"/>
  <c r="I735" i="8"/>
  <c r="D735" i="8"/>
  <c r="J735" i="8"/>
  <c r="N396" i="8"/>
  <c r="F396" i="8"/>
  <c r="M396" i="8"/>
  <c r="E396" i="8"/>
  <c r="L396" i="8"/>
  <c r="D396" i="8"/>
  <c r="K396" i="8"/>
  <c r="B396" i="8"/>
  <c r="J396" i="8"/>
  <c r="P396" i="8"/>
  <c r="I396" i="8"/>
  <c r="H396" i="8"/>
  <c r="G396" i="8"/>
  <c r="O396" i="8"/>
  <c r="K823" i="8"/>
  <c r="B823" i="8"/>
  <c r="J823" i="8"/>
  <c r="I823" i="8"/>
  <c r="P823" i="8"/>
  <c r="H823" i="8"/>
  <c r="O823" i="8"/>
  <c r="N823" i="8"/>
  <c r="L823" i="8"/>
  <c r="G823" i="8"/>
  <c r="D823" i="8"/>
  <c r="F823" i="8"/>
  <c r="E823" i="8"/>
  <c r="M823" i="8"/>
  <c r="J93" i="8"/>
  <c r="I93" i="8"/>
  <c r="O93" i="8"/>
  <c r="G93" i="8"/>
  <c r="N93" i="8"/>
  <c r="F93" i="8"/>
  <c r="K93" i="8"/>
  <c r="B93" i="8"/>
  <c r="H93" i="8"/>
  <c r="E93" i="8"/>
  <c r="D93" i="8"/>
  <c r="P93" i="8"/>
  <c r="M93" i="8"/>
  <c r="L93" i="8"/>
  <c r="J226" i="8"/>
  <c r="I226" i="8"/>
  <c r="N226" i="8"/>
  <c r="F226" i="8"/>
  <c r="K226" i="8"/>
  <c r="B226" i="8"/>
  <c r="G226" i="8"/>
  <c r="E226" i="8"/>
  <c r="P226" i="8"/>
  <c r="O226" i="8"/>
  <c r="H226" i="8"/>
  <c r="M226" i="8"/>
  <c r="L226" i="8"/>
  <c r="D226" i="8"/>
  <c r="I332" i="8"/>
  <c r="P332" i="8"/>
  <c r="H332" i="8"/>
  <c r="N332" i="8"/>
  <c r="F332" i="8"/>
  <c r="M332" i="8"/>
  <c r="E332" i="8"/>
  <c r="L332" i="8"/>
  <c r="D332" i="8"/>
  <c r="J332" i="8"/>
  <c r="G332" i="8"/>
  <c r="K332" i="8"/>
  <c r="O332" i="8"/>
  <c r="B332" i="8"/>
  <c r="N993" i="8"/>
  <c r="F993" i="8"/>
  <c r="K993" i="8"/>
  <c r="J993" i="8"/>
  <c r="I993" i="8"/>
  <c r="H993" i="8"/>
  <c r="L993" i="8"/>
  <c r="G993" i="8"/>
  <c r="E993" i="8"/>
  <c r="D993" i="8"/>
  <c r="B993" i="8"/>
  <c r="P993" i="8"/>
  <c r="O993" i="8"/>
  <c r="M993" i="8"/>
  <c r="J470" i="8"/>
  <c r="P470" i="8"/>
  <c r="H470" i="8"/>
  <c r="O470" i="8"/>
  <c r="G470" i="8"/>
  <c r="N470" i="8"/>
  <c r="F470" i="8"/>
  <c r="K470" i="8"/>
  <c r="I470" i="8"/>
  <c r="E470" i="8"/>
  <c r="D470" i="8"/>
  <c r="B470" i="8"/>
  <c r="M470" i="8"/>
  <c r="L470" i="8"/>
  <c r="K254" i="8"/>
  <c r="B254" i="8"/>
  <c r="J254" i="8"/>
  <c r="P254" i="8"/>
  <c r="H254" i="8"/>
  <c r="O254" i="8"/>
  <c r="G254" i="8"/>
  <c r="I254" i="8"/>
  <c r="F254" i="8"/>
  <c r="L254" i="8"/>
  <c r="D254" i="8"/>
  <c r="E254" i="8"/>
  <c r="N254" i="8"/>
  <c r="M254" i="8"/>
  <c r="N466" i="8"/>
  <c r="F466" i="8"/>
  <c r="L466" i="8"/>
  <c r="D466" i="8"/>
  <c r="K466" i="8"/>
  <c r="B466" i="8"/>
  <c r="J466" i="8"/>
  <c r="G466" i="8"/>
  <c r="E466" i="8"/>
  <c r="P466" i="8"/>
  <c r="O466" i="8"/>
  <c r="M466" i="8"/>
  <c r="I466" i="8"/>
  <c r="H466" i="8"/>
  <c r="L135" i="8"/>
  <c r="D135" i="8"/>
  <c r="K135" i="8"/>
  <c r="B135" i="8"/>
  <c r="I135" i="8"/>
  <c r="P135" i="8"/>
  <c r="H135" i="8"/>
  <c r="M135" i="8"/>
  <c r="E135" i="8"/>
  <c r="O135" i="8"/>
  <c r="N135" i="8"/>
  <c r="J135" i="8"/>
  <c r="G135" i="8"/>
  <c r="F135" i="8"/>
  <c r="M865" i="8"/>
  <c r="E865" i="8"/>
  <c r="L865" i="8"/>
  <c r="D865" i="8"/>
  <c r="K865" i="8"/>
  <c r="B865" i="8"/>
  <c r="P865" i="8"/>
  <c r="H865" i="8"/>
  <c r="I865" i="8"/>
  <c r="G865" i="8"/>
  <c r="F865" i="8"/>
  <c r="J865" i="8"/>
  <c r="O865" i="8"/>
  <c r="N865" i="8"/>
  <c r="P588" i="8"/>
  <c r="H588" i="8"/>
  <c r="O588" i="8"/>
  <c r="G588" i="8"/>
  <c r="N588" i="8"/>
  <c r="F588" i="8"/>
  <c r="M588" i="8"/>
  <c r="E588" i="8"/>
  <c r="L588" i="8"/>
  <c r="D588" i="8"/>
  <c r="K588" i="8"/>
  <c r="I588" i="8"/>
  <c r="B588" i="8"/>
  <c r="J588" i="8"/>
  <c r="J838" i="8"/>
  <c r="I838" i="8"/>
  <c r="P838" i="8"/>
  <c r="H838" i="8"/>
  <c r="O838" i="8"/>
  <c r="G838" i="8"/>
  <c r="N838" i="8"/>
  <c r="M838" i="8"/>
  <c r="K838" i="8"/>
  <c r="F838" i="8"/>
  <c r="B838" i="8"/>
  <c r="D838" i="8"/>
  <c r="L838" i="8"/>
  <c r="E838" i="8"/>
  <c r="N870" i="8"/>
  <c r="F870" i="8"/>
  <c r="K870" i="8"/>
  <c r="J870" i="8"/>
  <c r="I870" i="8"/>
  <c r="O870" i="8"/>
  <c r="E870" i="8"/>
  <c r="P870" i="8"/>
  <c r="M870" i="8"/>
  <c r="L870" i="8"/>
  <c r="H870" i="8"/>
  <c r="G870" i="8"/>
  <c r="B870" i="8"/>
  <c r="D870" i="8"/>
  <c r="O106" i="8"/>
  <c r="G106" i="8"/>
  <c r="N106" i="8"/>
  <c r="F106" i="8"/>
  <c r="L106" i="8"/>
  <c r="D106" i="8"/>
  <c r="K106" i="8"/>
  <c r="B106" i="8"/>
  <c r="P106" i="8"/>
  <c r="H106" i="8"/>
  <c r="E106" i="8"/>
  <c r="M106" i="8"/>
  <c r="J106" i="8"/>
  <c r="I106" i="8"/>
  <c r="N129" i="8"/>
  <c r="F129" i="8"/>
  <c r="M129" i="8"/>
  <c r="E129" i="8"/>
  <c r="K129" i="8"/>
  <c r="B129" i="8"/>
  <c r="J129" i="8"/>
  <c r="O129" i="8"/>
  <c r="G129" i="8"/>
  <c r="P129" i="8"/>
  <c r="L129" i="8"/>
  <c r="I129" i="8"/>
  <c r="H129" i="8"/>
  <c r="D129" i="8"/>
  <c r="O122" i="8"/>
  <c r="G122" i="8"/>
  <c r="N122" i="8"/>
  <c r="F122" i="8"/>
  <c r="L122" i="8"/>
  <c r="D122" i="8"/>
  <c r="K122" i="8"/>
  <c r="B122" i="8"/>
  <c r="P122" i="8"/>
  <c r="H122" i="8"/>
  <c r="M122" i="8"/>
  <c r="J122" i="8"/>
  <c r="I122" i="8"/>
  <c r="E122" i="8"/>
  <c r="N265" i="8"/>
  <c r="F265" i="8"/>
  <c r="M265" i="8"/>
  <c r="E265" i="8"/>
  <c r="K265" i="8"/>
  <c r="B265" i="8"/>
  <c r="J265" i="8"/>
  <c r="D265" i="8"/>
  <c r="L265" i="8"/>
  <c r="G265" i="8"/>
  <c r="P265" i="8"/>
  <c r="O265" i="8"/>
  <c r="I265" i="8"/>
  <c r="H265" i="8"/>
  <c r="I116" i="8"/>
  <c r="P116" i="8"/>
  <c r="H116" i="8"/>
  <c r="N116" i="8"/>
  <c r="F116" i="8"/>
  <c r="M116" i="8"/>
  <c r="E116" i="8"/>
  <c r="J116" i="8"/>
  <c r="D116" i="8"/>
  <c r="B116" i="8"/>
  <c r="O116" i="8"/>
  <c r="L116" i="8"/>
  <c r="K116" i="8"/>
  <c r="G116" i="8"/>
  <c r="N546" i="8"/>
  <c r="F546" i="8"/>
  <c r="M546" i="8"/>
  <c r="E546" i="8"/>
  <c r="L546" i="8"/>
  <c r="D546" i="8"/>
  <c r="K546" i="8"/>
  <c r="B546" i="8"/>
  <c r="J546" i="8"/>
  <c r="O546" i="8"/>
  <c r="I546" i="8"/>
  <c r="H546" i="8"/>
  <c r="G546" i="8"/>
  <c r="P546" i="8"/>
  <c r="O29" i="8"/>
  <c r="G29" i="8"/>
  <c r="N29" i="8"/>
  <c r="F29" i="8"/>
  <c r="M29" i="8"/>
  <c r="E29" i="8"/>
  <c r="L29" i="8"/>
  <c r="D29" i="8"/>
  <c r="K29" i="8"/>
  <c r="B29" i="8"/>
  <c r="J29" i="8"/>
  <c r="P29" i="8"/>
  <c r="H29" i="8"/>
  <c r="I29" i="8"/>
  <c r="K535" i="8"/>
  <c r="B535" i="8"/>
  <c r="J535" i="8"/>
  <c r="I535" i="8"/>
  <c r="P535" i="8"/>
  <c r="H535" i="8"/>
  <c r="O535" i="8"/>
  <c r="G535" i="8"/>
  <c r="F535" i="8"/>
  <c r="E535" i="8"/>
  <c r="D535" i="8"/>
  <c r="L535" i="8"/>
  <c r="N535" i="8"/>
  <c r="M535" i="8"/>
  <c r="O162" i="8"/>
  <c r="G162" i="8"/>
  <c r="N162" i="8"/>
  <c r="F162" i="8"/>
  <c r="L162" i="8"/>
  <c r="D162" i="8"/>
  <c r="K162" i="8"/>
  <c r="B162" i="8"/>
  <c r="P162" i="8"/>
  <c r="H162" i="8"/>
  <c r="M162" i="8"/>
  <c r="J162" i="8"/>
  <c r="I162" i="8"/>
  <c r="E162" i="8"/>
  <c r="N834" i="8"/>
  <c r="F834" i="8"/>
  <c r="M834" i="8"/>
  <c r="E834" i="8"/>
  <c r="L834" i="8"/>
  <c r="D834" i="8"/>
  <c r="K834" i="8"/>
  <c r="B834" i="8"/>
  <c r="J834" i="8"/>
  <c r="I834" i="8"/>
  <c r="G834" i="8"/>
  <c r="O834" i="8"/>
  <c r="P834" i="8"/>
  <c r="H834" i="8"/>
  <c r="I423" i="8"/>
  <c r="P423" i="8"/>
  <c r="H423" i="8"/>
  <c r="O423" i="8"/>
  <c r="G423" i="8"/>
  <c r="N423" i="8"/>
  <c r="F423" i="8"/>
  <c r="M423" i="8"/>
  <c r="E423" i="8"/>
  <c r="K423" i="8"/>
  <c r="J423" i="8"/>
  <c r="D423" i="8"/>
  <c r="L423" i="8"/>
  <c r="B423" i="8"/>
  <c r="I236" i="8"/>
  <c r="P236" i="8"/>
  <c r="H236" i="8"/>
  <c r="N236" i="8"/>
  <c r="F236" i="8"/>
  <c r="M236" i="8"/>
  <c r="E236" i="8"/>
  <c r="G236" i="8"/>
  <c r="D236" i="8"/>
  <c r="O236" i="8"/>
  <c r="J236" i="8"/>
  <c r="L236" i="8"/>
  <c r="B236" i="8"/>
  <c r="K236" i="8"/>
  <c r="K262" i="8"/>
  <c r="B262" i="8"/>
  <c r="J262" i="8"/>
  <c r="P262" i="8"/>
  <c r="H262" i="8"/>
  <c r="O262" i="8"/>
  <c r="G262" i="8"/>
  <c r="N262" i="8"/>
  <c r="I262" i="8"/>
  <c r="D262" i="8"/>
  <c r="L262" i="8"/>
  <c r="F262" i="8"/>
  <c r="M262" i="8"/>
  <c r="E262" i="8"/>
  <c r="I700" i="8"/>
  <c r="P700" i="8"/>
  <c r="H700" i="8"/>
  <c r="O700" i="8"/>
  <c r="G700" i="8"/>
  <c r="N700" i="8"/>
  <c r="F700" i="8"/>
  <c r="M700" i="8"/>
  <c r="E700" i="8"/>
  <c r="D700" i="8"/>
  <c r="B700" i="8"/>
  <c r="L700" i="8"/>
  <c r="K700" i="8"/>
  <c r="J700" i="8"/>
  <c r="J210" i="8"/>
  <c r="N210" i="8"/>
  <c r="F210" i="8"/>
  <c r="H210" i="8"/>
  <c r="G210" i="8"/>
  <c r="O210" i="8"/>
  <c r="D210" i="8"/>
  <c r="M210" i="8"/>
  <c r="B210" i="8"/>
  <c r="I210" i="8"/>
  <c r="E210" i="8"/>
  <c r="P210" i="8"/>
  <c r="L210" i="8"/>
  <c r="K210" i="8"/>
  <c r="K738" i="8"/>
  <c r="B738" i="8"/>
  <c r="J738" i="8"/>
  <c r="I738" i="8"/>
  <c r="P738" i="8"/>
  <c r="H738" i="8"/>
  <c r="F738" i="8"/>
  <c r="E738" i="8"/>
  <c r="D738" i="8"/>
  <c r="O738" i="8"/>
  <c r="N738" i="8"/>
  <c r="G738" i="8"/>
  <c r="M738" i="8"/>
  <c r="L738" i="8"/>
  <c r="K778" i="8"/>
  <c r="B778" i="8"/>
  <c r="J778" i="8"/>
  <c r="P778" i="8"/>
  <c r="H778" i="8"/>
  <c r="N778" i="8"/>
  <c r="M778" i="8"/>
  <c r="L778" i="8"/>
  <c r="I778" i="8"/>
  <c r="O778" i="8"/>
  <c r="G778" i="8"/>
  <c r="F778" i="8"/>
  <c r="E778" i="8"/>
  <c r="D778" i="8"/>
  <c r="L66" i="8"/>
  <c r="D66" i="8"/>
  <c r="K66" i="8"/>
  <c r="B66" i="8"/>
  <c r="J66" i="8"/>
  <c r="I66" i="8"/>
  <c r="P66" i="8"/>
  <c r="H66" i="8"/>
  <c r="O66" i="8"/>
  <c r="G66" i="8"/>
  <c r="N66" i="8"/>
  <c r="F66" i="8"/>
  <c r="M66" i="8"/>
  <c r="E66" i="8"/>
  <c r="N249" i="8"/>
  <c r="F249" i="8"/>
  <c r="M249" i="8"/>
  <c r="E249" i="8"/>
  <c r="K249" i="8"/>
  <c r="B249" i="8"/>
  <c r="J249" i="8"/>
  <c r="D249" i="8"/>
  <c r="L249" i="8"/>
  <c r="G249" i="8"/>
  <c r="O249" i="8"/>
  <c r="I249" i="8"/>
  <c r="P249" i="8"/>
  <c r="H249" i="8"/>
  <c r="N794" i="8"/>
  <c r="F794" i="8"/>
  <c r="M794" i="8"/>
  <c r="E794" i="8"/>
  <c r="L794" i="8"/>
  <c r="D794" i="8"/>
  <c r="P794" i="8"/>
  <c r="O794" i="8"/>
  <c r="J794" i="8"/>
  <c r="I794" i="8"/>
  <c r="B794" i="8"/>
  <c r="G794" i="8"/>
  <c r="H794" i="8"/>
  <c r="K794" i="8"/>
  <c r="O74" i="8"/>
  <c r="G74" i="8"/>
  <c r="N74" i="8"/>
  <c r="F74" i="8"/>
  <c r="L74" i="8"/>
  <c r="D74" i="8"/>
  <c r="K74" i="8"/>
  <c r="B74" i="8"/>
  <c r="P74" i="8"/>
  <c r="H74" i="8"/>
  <c r="M74" i="8"/>
  <c r="J74" i="8"/>
  <c r="I74" i="8"/>
  <c r="E74" i="8"/>
  <c r="P907" i="8"/>
  <c r="H907" i="8"/>
  <c r="O907" i="8"/>
  <c r="G907" i="8"/>
  <c r="N907" i="8"/>
  <c r="F907" i="8"/>
  <c r="E907" i="8"/>
  <c r="M907" i="8"/>
  <c r="L907" i="8"/>
  <c r="B907" i="8"/>
  <c r="J907" i="8"/>
  <c r="K907" i="8"/>
  <c r="I907" i="8"/>
  <c r="D907" i="8"/>
  <c r="I447" i="8"/>
  <c r="P447" i="8"/>
  <c r="H447" i="8"/>
  <c r="O447" i="8"/>
  <c r="G447" i="8"/>
  <c r="N447" i="8"/>
  <c r="F447" i="8"/>
  <c r="M447" i="8"/>
  <c r="E447" i="8"/>
  <c r="L447" i="8"/>
  <c r="K447" i="8"/>
  <c r="J447" i="8"/>
  <c r="B447" i="8"/>
  <c r="D447" i="8"/>
  <c r="M756" i="8"/>
  <c r="E756" i="8"/>
  <c r="L756" i="8"/>
  <c r="D756" i="8"/>
  <c r="K756" i="8"/>
  <c r="B756" i="8"/>
  <c r="J756" i="8"/>
  <c r="H756" i="8"/>
  <c r="G756" i="8"/>
  <c r="F756" i="8"/>
  <c r="P756" i="8"/>
  <c r="O756" i="8"/>
  <c r="N756" i="8"/>
  <c r="I756" i="8"/>
  <c r="N913" i="8"/>
  <c r="F913" i="8"/>
  <c r="M913" i="8"/>
  <c r="E913" i="8"/>
  <c r="L913" i="8"/>
  <c r="D913" i="8"/>
  <c r="K913" i="8"/>
  <c r="B913" i="8"/>
  <c r="J913" i="8"/>
  <c r="G913" i="8"/>
  <c r="P913" i="8"/>
  <c r="H913" i="8"/>
  <c r="O913" i="8"/>
  <c r="I913" i="8"/>
  <c r="O98" i="8"/>
  <c r="G98" i="8"/>
  <c r="N98" i="8"/>
  <c r="F98" i="8"/>
  <c r="L98" i="8"/>
  <c r="D98" i="8"/>
  <c r="K98" i="8"/>
  <c r="B98" i="8"/>
  <c r="P98" i="8"/>
  <c r="H98" i="8"/>
  <c r="M98" i="8"/>
  <c r="J98" i="8"/>
  <c r="I98" i="8"/>
  <c r="E98" i="8"/>
  <c r="N802" i="8"/>
  <c r="F802" i="8"/>
  <c r="M802" i="8"/>
  <c r="E802" i="8"/>
  <c r="L802" i="8"/>
  <c r="D802" i="8"/>
  <c r="K802" i="8"/>
  <c r="J802" i="8"/>
  <c r="I802" i="8"/>
  <c r="G802" i="8"/>
  <c r="B802" i="8"/>
  <c r="O802" i="8"/>
  <c r="P802" i="8"/>
  <c r="H802" i="8"/>
  <c r="M112" i="8"/>
  <c r="E112" i="8"/>
  <c r="L112" i="8"/>
  <c r="D112" i="8"/>
  <c r="J112" i="8"/>
  <c r="I112" i="8"/>
  <c r="N112" i="8"/>
  <c r="F112" i="8"/>
  <c r="P112" i="8"/>
  <c r="O112" i="8"/>
  <c r="K112" i="8"/>
  <c r="H112" i="8"/>
  <c r="G112" i="8"/>
  <c r="B112" i="8"/>
  <c r="L199" i="8"/>
  <c r="D199" i="8"/>
  <c r="K199" i="8"/>
  <c r="B199" i="8"/>
  <c r="I199" i="8"/>
  <c r="P199" i="8"/>
  <c r="H199" i="8"/>
  <c r="M199" i="8"/>
  <c r="E199" i="8"/>
  <c r="O199" i="8"/>
  <c r="N199" i="8"/>
  <c r="J199" i="8"/>
  <c r="G199" i="8"/>
  <c r="F199" i="8"/>
  <c r="K730" i="8"/>
  <c r="B730" i="8"/>
  <c r="J730" i="8"/>
  <c r="I730" i="8"/>
  <c r="P730" i="8"/>
  <c r="H730" i="8"/>
  <c r="N730" i="8"/>
  <c r="M730" i="8"/>
  <c r="L730" i="8"/>
  <c r="G730" i="8"/>
  <c r="F730" i="8"/>
  <c r="O730" i="8"/>
  <c r="E730" i="8"/>
  <c r="D730" i="8"/>
  <c r="P532" i="8"/>
  <c r="H532" i="8"/>
  <c r="O532" i="8"/>
  <c r="G532" i="8"/>
  <c r="N532" i="8"/>
  <c r="F532" i="8"/>
  <c r="M532" i="8"/>
  <c r="E532" i="8"/>
  <c r="L532" i="8"/>
  <c r="D532" i="8"/>
  <c r="J532" i="8"/>
  <c r="I532" i="8"/>
  <c r="B532" i="8"/>
  <c r="K532" i="8"/>
  <c r="I196" i="8"/>
  <c r="P196" i="8"/>
  <c r="H196" i="8"/>
  <c r="N196" i="8"/>
  <c r="F196" i="8"/>
  <c r="M196" i="8"/>
  <c r="E196" i="8"/>
  <c r="J196" i="8"/>
  <c r="O196" i="8"/>
  <c r="L196" i="8"/>
  <c r="K196" i="8"/>
  <c r="G196" i="8"/>
  <c r="D196" i="8"/>
  <c r="B196" i="8"/>
  <c r="I367" i="8"/>
  <c r="P367" i="8"/>
  <c r="H367" i="8"/>
  <c r="O367" i="8"/>
  <c r="G367" i="8"/>
  <c r="N367" i="8"/>
  <c r="F367" i="8"/>
  <c r="M367" i="8"/>
  <c r="E367" i="8"/>
  <c r="D367" i="8"/>
  <c r="B367" i="8"/>
  <c r="L367" i="8"/>
  <c r="J367" i="8"/>
  <c r="K367" i="8"/>
  <c r="N642" i="8"/>
  <c r="F642" i="8"/>
  <c r="M642" i="8"/>
  <c r="E642" i="8"/>
  <c r="L642" i="8"/>
  <c r="D642" i="8"/>
  <c r="K642" i="8"/>
  <c r="B642" i="8"/>
  <c r="J642" i="8"/>
  <c r="P642" i="8"/>
  <c r="O642" i="8"/>
  <c r="I642" i="8"/>
  <c r="H642" i="8"/>
  <c r="G642" i="8"/>
  <c r="P915" i="8"/>
  <c r="H915" i="8"/>
  <c r="O915" i="8"/>
  <c r="G915" i="8"/>
  <c r="N915" i="8"/>
  <c r="F915" i="8"/>
  <c r="M915" i="8"/>
  <c r="E915" i="8"/>
  <c r="L915" i="8"/>
  <c r="I915" i="8"/>
  <c r="D915" i="8"/>
  <c r="K915" i="8"/>
  <c r="B915" i="8"/>
  <c r="J915" i="8"/>
  <c r="J830" i="8"/>
  <c r="I830" i="8"/>
  <c r="P830" i="8"/>
  <c r="H830" i="8"/>
  <c r="O830" i="8"/>
  <c r="G830" i="8"/>
  <c r="F830" i="8"/>
  <c r="E830" i="8"/>
  <c r="B830" i="8"/>
  <c r="N830" i="8"/>
  <c r="K830" i="8"/>
  <c r="M830" i="8"/>
  <c r="L830" i="8"/>
  <c r="D830" i="8"/>
  <c r="I300" i="8"/>
  <c r="P300" i="8"/>
  <c r="H300" i="8"/>
  <c r="N300" i="8"/>
  <c r="F300" i="8"/>
  <c r="M300" i="8"/>
  <c r="E300" i="8"/>
  <c r="G300" i="8"/>
  <c r="D300" i="8"/>
  <c r="O300" i="8"/>
  <c r="J300" i="8"/>
  <c r="L300" i="8"/>
  <c r="B300" i="8"/>
  <c r="K300" i="8"/>
  <c r="O851" i="8"/>
  <c r="G851" i="8"/>
  <c r="M851" i="8"/>
  <c r="E851" i="8"/>
  <c r="L851" i="8"/>
  <c r="K851" i="8"/>
  <c r="J851" i="8"/>
  <c r="I851" i="8"/>
  <c r="H851" i="8"/>
  <c r="F851" i="8"/>
  <c r="B851" i="8"/>
  <c r="N851" i="8"/>
  <c r="P851" i="8"/>
  <c r="D851" i="8"/>
  <c r="N281" i="8"/>
  <c r="F281" i="8"/>
  <c r="M281" i="8"/>
  <c r="E281" i="8"/>
  <c r="K281" i="8"/>
  <c r="B281" i="8"/>
  <c r="J281" i="8"/>
  <c r="D281" i="8"/>
  <c r="L281" i="8"/>
  <c r="G281" i="8"/>
  <c r="O281" i="8"/>
  <c r="I281" i="8"/>
  <c r="P281" i="8"/>
  <c r="H281" i="8"/>
  <c r="O194" i="8"/>
  <c r="G194" i="8"/>
  <c r="N194" i="8"/>
  <c r="F194" i="8"/>
  <c r="L194" i="8"/>
  <c r="D194" i="8"/>
  <c r="K194" i="8"/>
  <c r="B194" i="8"/>
  <c r="P194" i="8"/>
  <c r="H194" i="8"/>
  <c r="I194" i="8"/>
  <c r="E194" i="8"/>
  <c r="M194" i="8"/>
  <c r="J194" i="8"/>
  <c r="N658" i="8"/>
  <c r="F658" i="8"/>
  <c r="M658" i="8"/>
  <c r="E658" i="8"/>
  <c r="L658" i="8"/>
  <c r="D658" i="8"/>
  <c r="K658" i="8"/>
  <c r="B658" i="8"/>
  <c r="J658" i="8"/>
  <c r="P658" i="8"/>
  <c r="O658" i="8"/>
  <c r="I658" i="8"/>
  <c r="H658" i="8"/>
  <c r="G658" i="8"/>
  <c r="I894" i="8"/>
  <c r="N894" i="8"/>
  <c r="F894" i="8"/>
  <c r="M894" i="8"/>
  <c r="E894" i="8"/>
  <c r="L894" i="8"/>
  <c r="K894" i="8"/>
  <c r="J894" i="8"/>
  <c r="D894" i="8"/>
  <c r="G894" i="8"/>
  <c r="B894" i="8"/>
  <c r="H894" i="8"/>
  <c r="O894" i="8"/>
  <c r="P894" i="8"/>
  <c r="L303" i="8"/>
  <c r="D303" i="8"/>
  <c r="K303" i="8"/>
  <c r="B303" i="8"/>
  <c r="I303" i="8"/>
  <c r="P303" i="8"/>
  <c r="H303" i="8"/>
  <c r="J303" i="8"/>
  <c r="G303" i="8"/>
  <c r="M303" i="8"/>
  <c r="E303" i="8"/>
  <c r="F303" i="8"/>
  <c r="O303" i="8"/>
  <c r="N303" i="8"/>
  <c r="N810" i="8"/>
  <c r="F810" i="8"/>
  <c r="M810" i="8"/>
  <c r="E810" i="8"/>
  <c r="L810" i="8"/>
  <c r="D810" i="8"/>
  <c r="K810" i="8"/>
  <c r="B810" i="8"/>
  <c r="O810" i="8"/>
  <c r="J810" i="8"/>
  <c r="G810" i="8"/>
  <c r="P810" i="8"/>
  <c r="I810" i="8"/>
  <c r="H810" i="8"/>
  <c r="O811" i="8"/>
  <c r="G811" i="8"/>
  <c r="N811" i="8"/>
  <c r="F811" i="8"/>
  <c r="M811" i="8"/>
  <c r="E811" i="8"/>
  <c r="L811" i="8"/>
  <c r="D811" i="8"/>
  <c r="B811" i="8"/>
  <c r="P811" i="8"/>
  <c r="K811" i="8"/>
  <c r="H811" i="8"/>
  <c r="J811" i="8"/>
  <c r="I811" i="8"/>
  <c r="L929" i="8"/>
  <c r="K929" i="8"/>
  <c r="J929" i="8"/>
  <c r="F929" i="8"/>
  <c r="P929" i="8"/>
  <c r="E929" i="8"/>
  <c r="O929" i="8"/>
  <c r="D929" i="8"/>
  <c r="N929" i="8"/>
  <c r="B929" i="8"/>
  <c r="M929" i="8"/>
  <c r="G929" i="8"/>
  <c r="I929" i="8"/>
  <c r="H929" i="8"/>
  <c r="L808" i="8"/>
  <c r="D808" i="8"/>
  <c r="K808" i="8"/>
  <c r="B808" i="8"/>
  <c r="J808" i="8"/>
  <c r="I808" i="8"/>
  <c r="P808" i="8"/>
  <c r="O808" i="8"/>
  <c r="M808" i="8"/>
  <c r="H808" i="8"/>
  <c r="E808" i="8"/>
  <c r="N808" i="8"/>
  <c r="G808" i="8"/>
  <c r="F808" i="8"/>
  <c r="N436" i="8"/>
  <c r="F436" i="8"/>
  <c r="M436" i="8"/>
  <c r="E436" i="8"/>
  <c r="L436" i="8"/>
  <c r="D436" i="8"/>
  <c r="K436" i="8"/>
  <c r="B436" i="8"/>
  <c r="J436" i="8"/>
  <c r="P436" i="8"/>
  <c r="O436" i="8"/>
  <c r="H436" i="8"/>
  <c r="G436" i="8"/>
  <c r="I436" i="8"/>
  <c r="I942" i="8"/>
  <c r="P942" i="8"/>
  <c r="H942" i="8"/>
  <c r="O942" i="8"/>
  <c r="G942" i="8"/>
  <c r="M942" i="8"/>
  <c r="E942" i="8"/>
  <c r="K942" i="8"/>
  <c r="J942" i="8"/>
  <c r="F942" i="8"/>
  <c r="D942" i="8"/>
  <c r="B942" i="8"/>
  <c r="L942" i="8"/>
  <c r="N942" i="8"/>
  <c r="K471" i="8"/>
  <c r="B471" i="8"/>
  <c r="I471" i="8"/>
  <c r="P471" i="8"/>
  <c r="H471" i="8"/>
  <c r="O471" i="8"/>
  <c r="G471" i="8"/>
  <c r="L471" i="8"/>
  <c r="J471" i="8"/>
  <c r="F471" i="8"/>
  <c r="E471" i="8"/>
  <c r="D471" i="8"/>
  <c r="N471" i="8"/>
  <c r="M471" i="8"/>
  <c r="I351" i="8"/>
  <c r="P351" i="8"/>
  <c r="H351" i="8"/>
  <c r="O351" i="8"/>
  <c r="G351" i="8"/>
  <c r="N351" i="8"/>
  <c r="F351" i="8"/>
  <c r="M351" i="8"/>
  <c r="E351" i="8"/>
  <c r="K351" i="8"/>
  <c r="J351" i="8"/>
  <c r="B351" i="8"/>
  <c r="L351" i="8"/>
  <c r="D351" i="8"/>
  <c r="P524" i="8"/>
  <c r="H524" i="8"/>
  <c r="O524" i="8"/>
  <c r="G524" i="8"/>
  <c r="N524" i="8"/>
  <c r="F524" i="8"/>
  <c r="M524" i="8"/>
  <c r="E524" i="8"/>
  <c r="L524" i="8"/>
  <c r="D524" i="8"/>
  <c r="K524" i="8"/>
  <c r="B524" i="8"/>
  <c r="I524" i="8"/>
  <c r="J524" i="8"/>
  <c r="O186" i="8"/>
  <c r="G186" i="8"/>
  <c r="N186" i="8"/>
  <c r="F186" i="8"/>
  <c r="L186" i="8"/>
  <c r="D186" i="8"/>
  <c r="K186" i="8"/>
  <c r="B186" i="8"/>
  <c r="P186" i="8"/>
  <c r="H186" i="8"/>
  <c r="M186" i="8"/>
  <c r="J186" i="8"/>
  <c r="I186" i="8"/>
  <c r="E186" i="8"/>
  <c r="K762" i="8"/>
  <c r="B762" i="8"/>
  <c r="J762" i="8"/>
  <c r="I762" i="8"/>
  <c r="P762" i="8"/>
  <c r="H762" i="8"/>
  <c r="N762" i="8"/>
  <c r="M762" i="8"/>
  <c r="L762" i="8"/>
  <c r="G762" i="8"/>
  <c r="F762" i="8"/>
  <c r="O762" i="8"/>
  <c r="E762" i="8"/>
  <c r="D762" i="8"/>
  <c r="P923" i="8"/>
  <c r="H923" i="8"/>
  <c r="O923" i="8"/>
  <c r="G923" i="8"/>
  <c r="N923" i="8"/>
  <c r="F923" i="8"/>
  <c r="M923" i="8"/>
  <c r="E923" i="8"/>
  <c r="D923" i="8"/>
  <c r="L923" i="8"/>
  <c r="J923" i="8"/>
  <c r="K923" i="8"/>
  <c r="I923" i="8"/>
  <c r="B923" i="8"/>
  <c r="L111" i="8"/>
  <c r="D111" i="8"/>
  <c r="K111" i="8"/>
  <c r="B111" i="8"/>
  <c r="I111" i="8"/>
  <c r="P111" i="8"/>
  <c r="H111" i="8"/>
  <c r="M111" i="8"/>
  <c r="E111" i="8"/>
  <c r="O111" i="8"/>
  <c r="N111" i="8"/>
  <c r="J111" i="8"/>
  <c r="G111" i="8"/>
  <c r="F111" i="8"/>
  <c r="K219" i="8"/>
  <c r="B219" i="8"/>
  <c r="O219" i="8"/>
  <c r="G219" i="8"/>
  <c r="L219" i="8"/>
  <c r="D219" i="8"/>
  <c r="E219" i="8"/>
  <c r="P219" i="8"/>
  <c r="M219" i="8"/>
  <c r="J219" i="8"/>
  <c r="F219" i="8"/>
  <c r="N219" i="8"/>
  <c r="I219" i="8"/>
  <c r="H219" i="8"/>
  <c r="O45" i="8"/>
  <c r="G45" i="8"/>
  <c r="N45" i="8"/>
  <c r="F45" i="8"/>
  <c r="M45" i="8"/>
  <c r="E45" i="8"/>
  <c r="L45" i="8"/>
  <c r="D45" i="8"/>
  <c r="K45" i="8"/>
  <c r="B45" i="8"/>
  <c r="J45" i="8"/>
  <c r="P45" i="8"/>
  <c r="H45" i="8"/>
  <c r="I45" i="8"/>
  <c r="N234" i="8"/>
  <c r="F234" i="8"/>
  <c r="L234" i="8"/>
  <c r="D234" i="8"/>
  <c r="K234" i="8"/>
  <c r="B234" i="8"/>
  <c r="H234" i="8"/>
  <c r="G234" i="8"/>
  <c r="O234" i="8"/>
  <c r="I234" i="8"/>
  <c r="P234" i="8"/>
  <c r="M234" i="8"/>
  <c r="E234" i="8"/>
  <c r="J234" i="8"/>
  <c r="K401" i="8"/>
  <c r="B401" i="8"/>
  <c r="J401" i="8"/>
  <c r="I401" i="8"/>
  <c r="P401" i="8"/>
  <c r="H401" i="8"/>
  <c r="O401" i="8"/>
  <c r="G401" i="8"/>
  <c r="F401" i="8"/>
  <c r="E401" i="8"/>
  <c r="N401" i="8"/>
  <c r="L401" i="8"/>
  <c r="D401" i="8"/>
  <c r="M401" i="8"/>
  <c r="K902" i="8"/>
  <c r="B902" i="8"/>
  <c r="P902" i="8"/>
  <c r="G902" i="8"/>
  <c r="M902" i="8"/>
  <c r="D902" i="8"/>
  <c r="L902" i="8"/>
  <c r="I902" i="8"/>
  <c r="H902" i="8"/>
  <c r="F902" i="8"/>
  <c r="O902" i="8"/>
  <c r="E902" i="8"/>
  <c r="N902" i="8"/>
  <c r="J902" i="8"/>
  <c r="I108" i="8"/>
  <c r="P108" i="8"/>
  <c r="H108" i="8"/>
  <c r="N108" i="8"/>
  <c r="F108" i="8"/>
  <c r="M108" i="8"/>
  <c r="E108" i="8"/>
  <c r="J108" i="8"/>
  <c r="O108" i="8"/>
  <c r="L108" i="8"/>
  <c r="K108" i="8"/>
  <c r="G108" i="8"/>
  <c r="D108" i="8"/>
  <c r="B108" i="8"/>
  <c r="O130" i="8"/>
  <c r="G130" i="8"/>
  <c r="N130" i="8"/>
  <c r="F130" i="8"/>
  <c r="L130" i="8"/>
  <c r="D130" i="8"/>
  <c r="K130" i="8"/>
  <c r="B130" i="8"/>
  <c r="P130" i="8"/>
  <c r="H130" i="8"/>
  <c r="I130" i="8"/>
  <c r="E130" i="8"/>
  <c r="M130" i="8"/>
  <c r="J130" i="8"/>
  <c r="K559" i="8"/>
  <c r="B559" i="8"/>
  <c r="J559" i="8"/>
  <c r="I559" i="8"/>
  <c r="P559" i="8"/>
  <c r="H559" i="8"/>
  <c r="O559" i="8"/>
  <c r="G559" i="8"/>
  <c r="L559" i="8"/>
  <c r="F559" i="8"/>
  <c r="E559" i="8"/>
  <c r="D559" i="8"/>
  <c r="N559" i="8"/>
  <c r="M559" i="8"/>
  <c r="P783" i="8"/>
  <c r="H783" i="8"/>
  <c r="O783" i="8"/>
  <c r="G783" i="8"/>
  <c r="M783" i="8"/>
  <c r="E783" i="8"/>
  <c r="B783" i="8"/>
  <c r="N783" i="8"/>
  <c r="L783" i="8"/>
  <c r="K783" i="8"/>
  <c r="J783" i="8"/>
  <c r="I783" i="8"/>
  <c r="F783" i="8"/>
  <c r="D783" i="8"/>
  <c r="J854" i="8"/>
  <c r="P854" i="8"/>
  <c r="H854" i="8"/>
  <c r="K854" i="8"/>
  <c r="I854" i="8"/>
  <c r="G854" i="8"/>
  <c r="F854" i="8"/>
  <c r="E854" i="8"/>
  <c r="D854" i="8"/>
  <c r="O854" i="8"/>
  <c r="L854" i="8"/>
  <c r="N854" i="8"/>
  <c r="M854" i="8"/>
  <c r="B854" i="8"/>
  <c r="L335" i="8"/>
  <c r="D335" i="8"/>
  <c r="K335" i="8"/>
  <c r="B335" i="8"/>
  <c r="I335" i="8"/>
  <c r="P335" i="8"/>
  <c r="H335" i="8"/>
  <c r="O335" i="8"/>
  <c r="G335" i="8"/>
  <c r="F335" i="8"/>
  <c r="E335" i="8"/>
  <c r="J335" i="8"/>
  <c r="N335" i="8"/>
  <c r="M335" i="8"/>
  <c r="L873" i="8"/>
  <c r="D873" i="8"/>
  <c r="I873" i="8"/>
  <c r="H873" i="8"/>
  <c r="G873" i="8"/>
  <c r="P873" i="8"/>
  <c r="F873" i="8"/>
  <c r="M873" i="8"/>
  <c r="N873" i="8"/>
  <c r="K873" i="8"/>
  <c r="J873" i="8"/>
  <c r="E873" i="8"/>
  <c r="O873" i="8"/>
  <c r="B873" i="8"/>
  <c r="J798" i="8"/>
  <c r="I798" i="8"/>
  <c r="P798" i="8"/>
  <c r="H798" i="8"/>
  <c r="F798" i="8"/>
  <c r="E798" i="8"/>
  <c r="N798" i="8"/>
  <c r="B798" i="8"/>
  <c r="M798" i="8"/>
  <c r="G798" i="8"/>
  <c r="L798" i="8"/>
  <c r="K798" i="8"/>
  <c r="D798" i="8"/>
  <c r="O798" i="8"/>
  <c r="L889" i="8"/>
  <c r="D889" i="8"/>
  <c r="I889" i="8"/>
  <c r="P889" i="8"/>
  <c r="H889" i="8"/>
  <c r="K889" i="8"/>
  <c r="J889" i="8"/>
  <c r="G889" i="8"/>
  <c r="O889" i="8"/>
  <c r="B889" i="8"/>
  <c r="E889" i="8"/>
  <c r="N889" i="8"/>
  <c r="F889" i="8"/>
  <c r="M889" i="8"/>
  <c r="L232" i="8"/>
  <c r="D232" i="8"/>
  <c r="J232" i="8"/>
  <c r="I232" i="8"/>
  <c r="M232" i="8"/>
  <c r="K232" i="8"/>
  <c r="F232" i="8"/>
  <c r="N232" i="8"/>
  <c r="P232" i="8"/>
  <c r="H232" i="8"/>
  <c r="G232" i="8"/>
  <c r="O232" i="8"/>
  <c r="E232" i="8"/>
  <c r="B232" i="8"/>
  <c r="K487" i="8"/>
  <c r="B487" i="8"/>
  <c r="I487" i="8"/>
  <c r="P487" i="8"/>
  <c r="H487" i="8"/>
  <c r="O487" i="8"/>
  <c r="G487" i="8"/>
  <c r="L487" i="8"/>
  <c r="J487" i="8"/>
  <c r="F487" i="8"/>
  <c r="E487" i="8"/>
  <c r="D487" i="8"/>
  <c r="N487" i="8"/>
  <c r="M487" i="8"/>
  <c r="P548" i="8"/>
  <c r="H548" i="8"/>
  <c r="O548" i="8"/>
  <c r="G548" i="8"/>
  <c r="N548" i="8"/>
  <c r="F548" i="8"/>
  <c r="M548" i="8"/>
  <c r="E548" i="8"/>
  <c r="L548" i="8"/>
  <c r="D548" i="8"/>
  <c r="B548" i="8"/>
  <c r="K548" i="8"/>
  <c r="J548" i="8"/>
  <c r="I548" i="8"/>
  <c r="J887" i="8"/>
  <c r="O887" i="8"/>
  <c r="G887" i="8"/>
  <c r="N887" i="8"/>
  <c r="F887" i="8"/>
  <c r="P887" i="8"/>
  <c r="B887" i="8"/>
  <c r="M887" i="8"/>
  <c r="L887" i="8"/>
  <c r="H887" i="8"/>
  <c r="I887" i="8"/>
  <c r="E887" i="8"/>
  <c r="D887" i="8"/>
  <c r="K887" i="8"/>
  <c r="L295" i="8"/>
  <c r="D295" i="8"/>
  <c r="K295" i="8"/>
  <c r="B295" i="8"/>
  <c r="I295" i="8"/>
  <c r="P295" i="8"/>
  <c r="H295" i="8"/>
  <c r="O295" i="8"/>
  <c r="J295" i="8"/>
  <c r="E295" i="8"/>
  <c r="N295" i="8"/>
  <c r="M295" i="8"/>
  <c r="G295" i="8"/>
  <c r="F295" i="8"/>
  <c r="K770" i="8"/>
  <c r="B770" i="8"/>
  <c r="J770" i="8"/>
  <c r="I770" i="8"/>
  <c r="P770" i="8"/>
  <c r="H770" i="8"/>
  <c r="F770" i="8"/>
  <c r="E770" i="8"/>
  <c r="D770" i="8"/>
  <c r="O770" i="8"/>
  <c r="N770" i="8"/>
  <c r="M770" i="8"/>
  <c r="G770" i="8"/>
  <c r="L770" i="8"/>
  <c r="M160" i="8"/>
  <c r="E160" i="8"/>
  <c r="L160" i="8"/>
  <c r="D160" i="8"/>
  <c r="J160" i="8"/>
  <c r="I160" i="8"/>
  <c r="N160" i="8"/>
  <c r="F160" i="8"/>
  <c r="G160" i="8"/>
  <c r="B160" i="8"/>
  <c r="P160" i="8"/>
  <c r="O160" i="8"/>
  <c r="K160" i="8"/>
  <c r="H160" i="8"/>
  <c r="N506" i="8"/>
  <c r="F506" i="8"/>
  <c r="M506" i="8"/>
  <c r="E506" i="8"/>
  <c r="L506" i="8"/>
  <c r="D506" i="8"/>
  <c r="K506" i="8"/>
  <c r="B506" i="8"/>
  <c r="J506" i="8"/>
  <c r="P506" i="8"/>
  <c r="O506" i="8"/>
  <c r="I506" i="8"/>
  <c r="H506" i="8"/>
  <c r="G506" i="8"/>
  <c r="N578" i="8"/>
  <c r="F578" i="8"/>
  <c r="M578" i="8"/>
  <c r="E578" i="8"/>
  <c r="L578" i="8"/>
  <c r="D578" i="8"/>
  <c r="K578" i="8"/>
  <c r="B578" i="8"/>
  <c r="J578" i="8"/>
  <c r="P578" i="8"/>
  <c r="O578" i="8"/>
  <c r="I578" i="8"/>
  <c r="H578" i="8"/>
  <c r="G578" i="8"/>
  <c r="K855" i="8"/>
  <c r="B855" i="8"/>
  <c r="I855" i="8"/>
  <c r="P855" i="8"/>
  <c r="F855" i="8"/>
  <c r="O855" i="8"/>
  <c r="E855" i="8"/>
  <c r="N855" i="8"/>
  <c r="D855" i="8"/>
  <c r="M855" i="8"/>
  <c r="L855" i="8"/>
  <c r="J855" i="8"/>
  <c r="G855" i="8"/>
  <c r="H855" i="8"/>
  <c r="P556" i="8"/>
  <c r="H556" i="8"/>
  <c r="O556" i="8"/>
  <c r="G556" i="8"/>
  <c r="N556" i="8"/>
  <c r="F556" i="8"/>
  <c r="M556" i="8"/>
  <c r="E556" i="8"/>
  <c r="L556" i="8"/>
  <c r="D556" i="8"/>
  <c r="K556" i="8"/>
  <c r="J556" i="8"/>
  <c r="I556" i="8"/>
  <c r="B556" i="8"/>
  <c r="I209" i="8"/>
  <c r="M209" i="8"/>
  <c r="E209" i="8"/>
  <c r="L209" i="8"/>
  <c r="K209" i="8"/>
  <c r="H209" i="8"/>
  <c r="G209" i="8"/>
  <c r="N209" i="8"/>
  <c r="B209" i="8"/>
  <c r="P209" i="8"/>
  <c r="O209" i="8"/>
  <c r="J209" i="8"/>
  <c r="F209" i="8"/>
  <c r="D209" i="8"/>
  <c r="K455" i="8"/>
  <c r="B455" i="8"/>
  <c r="I455" i="8"/>
  <c r="P455" i="8"/>
  <c r="H455" i="8"/>
  <c r="O455" i="8"/>
  <c r="G455" i="8"/>
  <c r="L455" i="8"/>
  <c r="J455" i="8"/>
  <c r="F455" i="8"/>
  <c r="E455" i="8"/>
  <c r="D455" i="8"/>
  <c r="N455" i="8"/>
  <c r="M455" i="8"/>
  <c r="K543" i="8"/>
  <c r="B543" i="8"/>
  <c r="J543" i="8"/>
  <c r="I543" i="8"/>
  <c r="P543" i="8"/>
  <c r="H543" i="8"/>
  <c r="O543" i="8"/>
  <c r="G543" i="8"/>
  <c r="N543" i="8"/>
  <c r="M543" i="8"/>
  <c r="L543" i="8"/>
  <c r="F543" i="8"/>
  <c r="E543" i="8"/>
  <c r="D543" i="8"/>
  <c r="O674" i="8"/>
  <c r="G674" i="8"/>
  <c r="N674" i="8"/>
  <c r="F674" i="8"/>
  <c r="M674" i="8"/>
  <c r="E674" i="8"/>
  <c r="L674" i="8"/>
  <c r="D674" i="8"/>
  <c r="K674" i="8"/>
  <c r="B674" i="8"/>
  <c r="J674" i="8"/>
  <c r="I674" i="8"/>
  <c r="H674" i="8"/>
  <c r="P674" i="8"/>
  <c r="L247" i="8"/>
  <c r="D247" i="8"/>
  <c r="K247" i="8"/>
  <c r="B247" i="8"/>
  <c r="I247" i="8"/>
  <c r="P247" i="8"/>
  <c r="H247" i="8"/>
  <c r="O247" i="8"/>
  <c r="J247" i="8"/>
  <c r="E247" i="8"/>
  <c r="M247" i="8"/>
  <c r="G247" i="8"/>
  <c r="N247" i="8"/>
  <c r="F247" i="8"/>
  <c r="N490" i="8"/>
  <c r="F490" i="8"/>
  <c r="L490" i="8"/>
  <c r="D490" i="8"/>
  <c r="K490" i="8"/>
  <c r="B490" i="8"/>
  <c r="J490" i="8"/>
  <c r="O490" i="8"/>
  <c r="M490" i="8"/>
  <c r="I490" i="8"/>
  <c r="H490" i="8"/>
  <c r="G490" i="8"/>
  <c r="P490" i="8"/>
  <c r="E490" i="8"/>
  <c r="M233" i="8"/>
  <c r="E233" i="8"/>
  <c r="K233" i="8"/>
  <c r="B233" i="8"/>
  <c r="J233" i="8"/>
  <c r="I233" i="8"/>
  <c r="H233" i="8"/>
  <c r="P233" i="8"/>
  <c r="D233" i="8"/>
  <c r="L233" i="8"/>
  <c r="F233" i="8"/>
  <c r="G233" i="8"/>
  <c r="O233" i="8"/>
  <c r="N233" i="8"/>
  <c r="N618" i="8"/>
  <c r="F618" i="8"/>
  <c r="M618" i="8"/>
  <c r="E618" i="8"/>
  <c r="L618" i="8"/>
  <c r="D618" i="8"/>
  <c r="K618" i="8"/>
  <c r="B618" i="8"/>
  <c r="J618" i="8"/>
  <c r="P618" i="8"/>
  <c r="O618" i="8"/>
  <c r="I618" i="8"/>
  <c r="H618" i="8"/>
  <c r="G618" i="8"/>
  <c r="M168" i="8"/>
  <c r="E168" i="8"/>
  <c r="L168" i="8"/>
  <c r="D168" i="8"/>
  <c r="J168" i="8"/>
  <c r="I168" i="8"/>
  <c r="N168" i="8"/>
  <c r="F168" i="8"/>
  <c r="O168" i="8"/>
  <c r="K168" i="8"/>
  <c r="H168" i="8"/>
  <c r="G168" i="8"/>
  <c r="B168" i="8"/>
  <c r="P168" i="8"/>
  <c r="K463" i="8"/>
  <c r="B463" i="8"/>
  <c r="I463" i="8"/>
  <c r="P463" i="8"/>
  <c r="H463" i="8"/>
  <c r="O463" i="8"/>
  <c r="G463" i="8"/>
  <c r="D463" i="8"/>
  <c r="N463" i="8"/>
  <c r="M463" i="8"/>
  <c r="L463" i="8"/>
  <c r="J463" i="8"/>
  <c r="F463" i="8"/>
  <c r="E463" i="8"/>
  <c r="O322" i="8"/>
  <c r="G322" i="8"/>
  <c r="N322" i="8"/>
  <c r="F322" i="8"/>
  <c r="L322" i="8"/>
  <c r="D322" i="8"/>
  <c r="K322" i="8"/>
  <c r="B322" i="8"/>
  <c r="M322" i="8"/>
  <c r="J322" i="8"/>
  <c r="H322" i="8"/>
  <c r="E322" i="8"/>
  <c r="P322" i="8"/>
  <c r="I322" i="8"/>
  <c r="O114" i="8"/>
  <c r="G114" i="8"/>
  <c r="N114" i="8"/>
  <c r="F114" i="8"/>
  <c r="L114" i="8"/>
  <c r="D114" i="8"/>
  <c r="K114" i="8"/>
  <c r="B114" i="8"/>
  <c r="P114" i="8"/>
  <c r="H114" i="8"/>
  <c r="M114" i="8"/>
  <c r="J114" i="8"/>
  <c r="I114" i="8"/>
  <c r="E114" i="8"/>
  <c r="I140" i="8"/>
  <c r="P140" i="8"/>
  <c r="H140" i="8"/>
  <c r="N140" i="8"/>
  <c r="F140" i="8"/>
  <c r="M140" i="8"/>
  <c r="E140" i="8"/>
  <c r="J140" i="8"/>
  <c r="G140" i="8"/>
  <c r="D140" i="8"/>
  <c r="B140" i="8"/>
  <c r="O140" i="8"/>
  <c r="L140" i="8"/>
  <c r="K140" i="8"/>
  <c r="K583" i="8"/>
  <c r="B583" i="8"/>
  <c r="J583" i="8"/>
  <c r="I583" i="8"/>
  <c r="P583" i="8"/>
  <c r="H583" i="8"/>
  <c r="O583" i="8"/>
  <c r="G583" i="8"/>
  <c r="M583" i="8"/>
  <c r="L583" i="8"/>
  <c r="F583" i="8"/>
  <c r="E583" i="8"/>
  <c r="D583" i="8"/>
  <c r="N583" i="8"/>
  <c r="K974" i="8"/>
  <c r="B974" i="8"/>
  <c r="M974" i="8"/>
  <c r="D974" i="8"/>
  <c r="L974" i="8"/>
  <c r="J974" i="8"/>
  <c r="I974" i="8"/>
  <c r="E974" i="8"/>
  <c r="P974" i="8"/>
  <c r="O974" i="8"/>
  <c r="N974" i="8"/>
  <c r="H974" i="8"/>
  <c r="G974" i="8"/>
  <c r="F974" i="8"/>
  <c r="K599" i="8"/>
  <c r="B599" i="8"/>
  <c r="J599" i="8"/>
  <c r="I599" i="8"/>
  <c r="P599" i="8"/>
  <c r="H599" i="8"/>
  <c r="E599" i="8"/>
  <c r="D599" i="8"/>
  <c r="O599" i="8"/>
  <c r="N599" i="8"/>
  <c r="M599" i="8"/>
  <c r="L599" i="8"/>
  <c r="G599" i="8"/>
  <c r="F599" i="8"/>
  <c r="L800" i="8"/>
  <c r="D800" i="8"/>
  <c r="K800" i="8"/>
  <c r="B800" i="8"/>
  <c r="J800" i="8"/>
  <c r="O800" i="8"/>
  <c r="N800" i="8"/>
  <c r="I800" i="8"/>
  <c r="H800" i="8"/>
  <c r="P800" i="8"/>
  <c r="E800" i="8"/>
  <c r="M800" i="8"/>
  <c r="G800" i="8"/>
  <c r="F800" i="8"/>
  <c r="M849" i="8"/>
  <c r="E849" i="8"/>
  <c r="K849" i="8"/>
  <c r="B849" i="8"/>
  <c r="J849" i="8"/>
  <c r="I849" i="8"/>
  <c r="H849" i="8"/>
  <c r="G849" i="8"/>
  <c r="P849" i="8"/>
  <c r="O849" i="8"/>
  <c r="L849" i="8"/>
  <c r="F849" i="8"/>
  <c r="N849" i="8"/>
  <c r="D849" i="8"/>
  <c r="O69" i="8"/>
  <c r="G69" i="8"/>
  <c r="N69" i="8"/>
  <c r="F69" i="8"/>
  <c r="M69" i="8"/>
  <c r="E69" i="8"/>
  <c r="L69" i="8"/>
  <c r="D69" i="8"/>
  <c r="K69" i="8"/>
  <c r="B69" i="8"/>
  <c r="J69" i="8"/>
  <c r="I69" i="8"/>
  <c r="P69" i="8"/>
  <c r="H69" i="8"/>
  <c r="O306" i="8"/>
  <c r="G306" i="8"/>
  <c r="N306" i="8"/>
  <c r="F306" i="8"/>
  <c r="L306" i="8"/>
  <c r="D306" i="8"/>
  <c r="K306" i="8"/>
  <c r="B306" i="8"/>
  <c r="M306" i="8"/>
  <c r="J306" i="8"/>
  <c r="H306" i="8"/>
  <c r="E306" i="8"/>
  <c r="P306" i="8"/>
  <c r="I306" i="8"/>
  <c r="K495" i="8"/>
  <c r="B495" i="8"/>
  <c r="J495" i="8"/>
  <c r="I495" i="8"/>
  <c r="P495" i="8"/>
  <c r="H495" i="8"/>
  <c r="O495" i="8"/>
  <c r="G495" i="8"/>
  <c r="L495" i="8"/>
  <c r="F495" i="8"/>
  <c r="E495" i="8"/>
  <c r="D495" i="8"/>
  <c r="N495" i="8"/>
  <c r="M495" i="8"/>
  <c r="P468" i="8"/>
  <c r="H468" i="8"/>
  <c r="N468" i="8"/>
  <c r="F468" i="8"/>
  <c r="M468" i="8"/>
  <c r="E468" i="8"/>
  <c r="L468" i="8"/>
  <c r="D468" i="8"/>
  <c r="I468" i="8"/>
  <c r="G468" i="8"/>
  <c r="B468" i="8"/>
  <c r="O468" i="8"/>
  <c r="K468" i="8"/>
  <c r="J468" i="8"/>
  <c r="L212" i="8"/>
  <c r="D212" i="8"/>
  <c r="P212" i="8"/>
  <c r="H212" i="8"/>
  <c r="J212" i="8"/>
  <c r="I212" i="8"/>
  <c r="F212" i="8"/>
  <c r="O212" i="8"/>
  <c r="E212" i="8"/>
  <c r="K212" i="8"/>
  <c r="B212" i="8"/>
  <c r="N212" i="8"/>
  <c r="M212" i="8"/>
  <c r="G212" i="8"/>
  <c r="I431" i="8"/>
  <c r="P431" i="8"/>
  <c r="H431" i="8"/>
  <c r="O431" i="8"/>
  <c r="G431" i="8"/>
  <c r="N431" i="8"/>
  <c r="F431" i="8"/>
  <c r="M431" i="8"/>
  <c r="E431" i="8"/>
  <c r="D431" i="8"/>
  <c r="B431" i="8"/>
  <c r="L431" i="8"/>
  <c r="K431" i="8"/>
  <c r="J431" i="8"/>
  <c r="K639" i="8"/>
  <c r="B639" i="8"/>
  <c r="J639" i="8"/>
  <c r="I639" i="8"/>
  <c r="P639" i="8"/>
  <c r="H639" i="8"/>
  <c r="O639" i="8"/>
  <c r="G639" i="8"/>
  <c r="D639" i="8"/>
  <c r="N639" i="8"/>
  <c r="M639" i="8"/>
  <c r="F639" i="8"/>
  <c r="E639" i="8"/>
  <c r="L639" i="8"/>
  <c r="P711" i="8"/>
  <c r="H711" i="8"/>
  <c r="O711" i="8"/>
  <c r="G711" i="8"/>
  <c r="N711" i="8"/>
  <c r="F711" i="8"/>
  <c r="M711" i="8"/>
  <c r="K711" i="8"/>
  <c r="J711" i="8"/>
  <c r="I711" i="8"/>
  <c r="E711" i="8"/>
  <c r="D711" i="8"/>
  <c r="L711" i="8"/>
  <c r="B711" i="8"/>
  <c r="M457" i="8"/>
  <c r="E457" i="8"/>
  <c r="K457" i="8"/>
  <c r="B457" i="8"/>
  <c r="J457" i="8"/>
  <c r="I457" i="8"/>
  <c r="N457" i="8"/>
  <c r="L457" i="8"/>
  <c r="H457" i="8"/>
  <c r="G457" i="8"/>
  <c r="F457" i="8"/>
  <c r="P457" i="8"/>
  <c r="O457" i="8"/>
  <c r="D457" i="8"/>
  <c r="I180" i="8"/>
  <c r="P180" i="8"/>
  <c r="H180" i="8"/>
  <c r="N180" i="8"/>
  <c r="F180" i="8"/>
  <c r="M180" i="8"/>
  <c r="E180" i="8"/>
  <c r="J180" i="8"/>
  <c r="D180" i="8"/>
  <c r="B180" i="8"/>
  <c r="O180" i="8"/>
  <c r="L180" i="8"/>
  <c r="K180" i="8"/>
  <c r="G180" i="8"/>
  <c r="O37" i="8"/>
  <c r="G37" i="8"/>
  <c r="N37" i="8"/>
  <c r="F37" i="8"/>
  <c r="M37" i="8"/>
  <c r="E37" i="8"/>
  <c r="L37" i="8"/>
  <c r="D37" i="8"/>
  <c r="K37" i="8"/>
  <c r="B37" i="8"/>
  <c r="J37" i="8"/>
  <c r="P37" i="8"/>
  <c r="H37" i="8"/>
  <c r="I37" i="8"/>
  <c r="O154" i="8"/>
  <c r="G154" i="8"/>
  <c r="N154" i="8"/>
  <c r="F154" i="8"/>
  <c r="L154" i="8"/>
  <c r="D154" i="8"/>
  <c r="K154" i="8"/>
  <c r="B154" i="8"/>
  <c r="P154" i="8"/>
  <c r="H154" i="8"/>
  <c r="J154" i="8"/>
  <c r="I154" i="8"/>
  <c r="E154" i="8"/>
  <c r="M154" i="8"/>
  <c r="L386" i="8"/>
  <c r="D386" i="8"/>
  <c r="K386" i="8"/>
  <c r="B386" i="8"/>
  <c r="J386" i="8"/>
  <c r="I386" i="8"/>
  <c r="P386" i="8"/>
  <c r="H386" i="8"/>
  <c r="O386" i="8"/>
  <c r="M386" i="8"/>
  <c r="G386" i="8"/>
  <c r="F386" i="8"/>
  <c r="E386" i="8"/>
  <c r="N386" i="8"/>
  <c r="L287" i="8"/>
  <c r="D287" i="8"/>
  <c r="K287" i="8"/>
  <c r="B287" i="8"/>
  <c r="I287" i="8"/>
  <c r="P287" i="8"/>
  <c r="H287" i="8"/>
  <c r="J287" i="8"/>
  <c r="G287" i="8"/>
  <c r="M287" i="8"/>
  <c r="O287" i="8"/>
  <c r="F287" i="8"/>
  <c r="E287" i="8"/>
  <c r="N287" i="8"/>
  <c r="I156" i="8"/>
  <c r="P156" i="8"/>
  <c r="H156" i="8"/>
  <c r="N156" i="8"/>
  <c r="F156" i="8"/>
  <c r="M156" i="8"/>
  <c r="E156" i="8"/>
  <c r="J156" i="8"/>
  <c r="B156" i="8"/>
  <c r="O156" i="8"/>
  <c r="L156" i="8"/>
  <c r="K156" i="8"/>
  <c r="G156" i="8"/>
  <c r="D156" i="8"/>
  <c r="O61" i="8"/>
  <c r="G61" i="8"/>
  <c r="N61" i="8"/>
  <c r="F61" i="8"/>
  <c r="M61" i="8"/>
  <c r="E61" i="8"/>
  <c r="L61" i="8"/>
  <c r="D61" i="8"/>
  <c r="K61" i="8"/>
  <c r="B61" i="8"/>
  <c r="J61" i="8"/>
  <c r="I61" i="8"/>
  <c r="P61" i="8"/>
  <c r="H61" i="8"/>
  <c r="J85" i="8"/>
  <c r="I85" i="8"/>
  <c r="O85" i="8"/>
  <c r="G85" i="8"/>
  <c r="N85" i="8"/>
  <c r="F85" i="8"/>
  <c r="K85" i="8"/>
  <c r="B85" i="8"/>
  <c r="P85" i="8"/>
  <c r="M85" i="8"/>
  <c r="L85" i="8"/>
  <c r="H85" i="8"/>
  <c r="E85" i="8"/>
  <c r="D85" i="8"/>
  <c r="O202" i="8"/>
  <c r="G202" i="8"/>
  <c r="N202" i="8"/>
  <c r="F202" i="8"/>
  <c r="L202" i="8"/>
  <c r="D202" i="8"/>
  <c r="K202" i="8"/>
  <c r="B202" i="8"/>
  <c r="P202" i="8"/>
  <c r="H202" i="8"/>
  <c r="M202" i="8"/>
  <c r="J202" i="8"/>
  <c r="I202" i="8"/>
  <c r="E202" i="8"/>
  <c r="K647" i="8"/>
  <c r="B647" i="8"/>
  <c r="J647" i="8"/>
  <c r="I647" i="8"/>
  <c r="P647" i="8"/>
  <c r="H647" i="8"/>
  <c r="O647" i="8"/>
  <c r="G647" i="8"/>
  <c r="L647" i="8"/>
  <c r="F647" i="8"/>
  <c r="E647" i="8"/>
  <c r="D647" i="8"/>
  <c r="N647" i="8"/>
  <c r="M647" i="8"/>
  <c r="N474" i="8"/>
  <c r="F474" i="8"/>
  <c r="L474" i="8"/>
  <c r="D474" i="8"/>
  <c r="K474" i="8"/>
  <c r="B474" i="8"/>
  <c r="J474" i="8"/>
  <c r="O474" i="8"/>
  <c r="M474" i="8"/>
  <c r="I474" i="8"/>
  <c r="H474" i="8"/>
  <c r="G474" i="8"/>
  <c r="P474" i="8"/>
  <c r="E474" i="8"/>
  <c r="I391" i="8"/>
  <c r="P391" i="8"/>
  <c r="H391" i="8"/>
  <c r="O391" i="8"/>
  <c r="G391" i="8"/>
  <c r="N391" i="8"/>
  <c r="F391" i="8"/>
  <c r="M391" i="8"/>
  <c r="E391" i="8"/>
  <c r="J391" i="8"/>
  <c r="D391" i="8"/>
  <c r="L391" i="8"/>
  <c r="K391" i="8"/>
  <c r="B391" i="8"/>
  <c r="K519" i="8"/>
  <c r="B519" i="8"/>
  <c r="J519" i="8"/>
  <c r="I519" i="8"/>
  <c r="P519" i="8"/>
  <c r="H519" i="8"/>
  <c r="O519" i="8"/>
  <c r="G519" i="8"/>
  <c r="M519" i="8"/>
  <c r="L519" i="8"/>
  <c r="F519" i="8"/>
  <c r="E519" i="8"/>
  <c r="D519" i="8"/>
  <c r="N519" i="8"/>
  <c r="L402" i="8"/>
  <c r="D402" i="8"/>
  <c r="K402" i="8"/>
  <c r="B402" i="8"/>
  <c r="J402" i="8"/>
  <c r="I402" i="8"/>
  <c r="P402" i="8"/>
  <c r="H402" i="8"/>
  <c r="N402" i="8"/>
  <c r="M402" i="8"/>
  <c r="F402" i="8"/>
  <c r="E402" i="8"/>
  <c r="G402" i="8"/>
  <c r="O402" i="8"/>
  <c r="N931" i="8"/>
  <c r="F931" i="8"/>
  <c r="M931" i="8"/>
  <c r="E931" i="8"/>
  <c r="L931" i="8"/>
  <c r="D931" i="8"/>
  <c r="O931" i="8"/>
  <c r="K931" i="8"/>
  <c r="J931" i="8"/>
  <c r="I931" i="8"/>
  <c r="H931" i="8"/>
  <c r="B931" i="8"/>
  <c r="P931" i="8"/>
  <c r="G931" i="8"/>
  <c r="O819" i="8"/>
  <c r="G819" i="8"/>
  <c r="N819" i="8"/>
  <c r="F819" i="8"/>
  <c r="M819" i="8"/>
  <c r="E819" i="8"/>
  <c r="L819" i="8"/>
  <c r="D819" i="8"/>
  <c r="K819" i="8"/>
  <c r="J819" i="8"/>
  <c r="H819" i="8"/>
  <c r="B819" i="8"/>
  <c r="P819" i="8"/>
  <c r="I819" i="8"/>
  <c r="N452" i="8"/>
  <c r="F452" i="8"/>
  <c r="M452" i="8"/>
  <c r="E452" i="8"/>
  <c r="L452" i="8"/>
  <c r="D452" i="8"/>
  <c r="K452" i="8"/>
  <c r="B452" i="8"/>
  <c r="J452" i="8"/>
  <c r="I452" i="8"/>
  <c r="H452" i="8"/>
  <c r="G452" i="8"/>
  <c r="P452" i="8"/>
  <c r="O452" i="8"/>
  <c r="O698" i="8"/>
  <c r="G698" i="8"/>
  <c r="N698" i="8"/>
  <c r="F698" i="8"/>
  <c r="M698" i="8"/>
  <c r="E698" i="8"/>
  <c r="L698" i="8"/>
  <c r="D698" i="8"/>
  <c r="K698" i="8"/>
  <c r="B698" i="8"/>
  <c r="P698" i="8"/>
  <c r="J698" i="8"/>
  <c r="I698" i="8"/>
  <c r="H698" i="8"/>
  <c r="N610" i="8"/>
  <c r="F610" i="8"/>
  <c r="M610" i="8"/>
  <c r="E610" i="8"/>
  <c r="L610" i="8"/>
  <c r="D610" i="8"/>
  <c r="K610" i="8"/>
  <c r="B610" i="8"/>
  <c r="J610" i="8"/>
  <c r="I610" i="8"/>
  <c r="H610" i="8"/>
  <c r="G610" i="8"/>
  <c r="P610" i="8"/>
  <c r="O610" i="8"/>
  <c r="M184" i="8"/>
  <c r="E184" i="8"/>
  <c r="L184" i="8"/>
  <c r="D184" i="8"/>
  <c r="J184" i="8"/>
  <c r="I184" i="8"/>
  <c r="N184" i="8"/>
  <c r="F184" i="8"/>
  <c r="H184" i="8"/>
  <c r="G184" i="8"/>
  <c r="B184" i="8"/>
  <c r="P184" i="8"/>
  <c r="O184" i="8"/>
  <c r="K184" i="8"/>
  <c r="K786" i="8"/>
  <c r="B786" i="8"/>
  <c r="J786" i="8"/>
  <c r="P786" i="8"/>
  <c r="H786" i="8"/>
  <c r="I786" i="8"/>
  <c r="G786" i="8"/>
  <c r="F786" i="8"/>
  <c r="E786" i="8"/>
  <c r="O786" i="8"/>
  <c r="D786" i="8"/>
  <c r="N786" i="8"/>
  <c r="M786" i="8"/>
  <c r="L786" i="8"/>
  <c r="N420" i="8"/>
  <c r="F420" i="8"/>
  <c r="M420" i="8"/>
  <c r="E420" i="8"/>
  <c r="L420" i="8"/>
  <c r="D420" i="8"/>
  <c r="K420" i="8"/>
  <c r="B420" i="8"/>
  <c r="J420" i="8"/>
  <c r="O420" i="8"/>
  <c r="I420" i="8"/>
  <c r="H420" i="8"/>
  <c r="G420" i="8"/>
  <c r="P420" i="8"/>
  <c r="L792" i="8"/>
  <c r="D792" i="8"/>
  <c r="K792" i="8"/>
  <c r="B792" i="8"/>
  <c r="I792" i="8"/>
  <c r="H792" i="8"/>
  <c r="P792" i="8"/>
  <c r="F792" i="8"/>
  <c r="O792" i="8"/>
  <c r="E792" i="8"/>
  <c r="J792" i="8"/>
  <c r="N792" i="8"/>
  <c r="M792" i="8"/>
  <c r="G792" i="8"/>
  <c r="L346" i="8"/>
  <c r="D346" i="8"/>
  <c r="K346" i="8"/>
  <c r="B346" i="8"/>
  <c r="J346" i="8"/>
  <c r="I346" i="8"/>
  <c r="G346" i="8"/>
  <c r="F346" i="8"/>
  <c r="P346" i="8"/>
  <c r="O346" i="8"/>
  <c r="N346" i="8"/>
  <c r="M346" i="8"/>
  <c r="E346" i="8"/>
  <c r="H346" i="8"/>
  <c r="P644" i="8"/>
  <c r="H644" i="8"/>
  <c r="O644" i="8"/>
  <c r="G644" i="8"/>
  <c r="N644" i="8"/>
  <c r="F644" i="8"/>
  <c r="M644" i="8"/>
  <c r="E644" i="8"/>
  <c r="L644" i="8"/>
  <c r="D644" i="8"/>
  <c r="K644" i="8"/>
  <c r="J644" i="8"/>
  <c r="I644" i="8"/>
  <c r="B644" i="8"/>
  <c r="N273" i="8"/>
  <c r="F273" i="8"/>
  <c r="M273" i="8"/>
  <c r="E273" i="8"/>
  <c r="K273" i="8"/>
  <c r="B273" i="8"/>
  <c r="J273" i="8"/>
  <c r="L273" i="8"/>
  <c r="I273" i="8"/>
  <c r="D273" i="8"/>
  <c r="O273" i="8"/>
  <c r="G273" i="8"/>
  <c r="H273" i="8"/>
  <c r="P273" i="8"/>
  <c r="O242" i="8"/>
  <c r="G242" i="8"/>
  <c r="N242" i="8"/>
  <c r="F242" i="8"/>
  <c r="L242" i="8"/>
  <c r="D242" i="8"/>
  <c r="K242" i="8"/>
  <c r="B242" i="8"/>
  <c r="M242" i="8"/>
  <c r="J242" i="8"/>
  <c r="E242" i="8"/>
  <c r="P242" i="8"/>
  <c r="I242" i="8"/>
  <c r="H242" i="8"/>
  <c r="L354" i="8"/>
  <c r="D354" i="8"/>
  <c r="K354" i="8"/>
  <c r="B354" i="8"/>
  <c r="J354" i="8"/>
  <c r="I354" i="8"/>
  <c r="P354" i="8"/>
  <c r="H354" i="8"/>
  <c r="G354" i="8"/>
  <c r="F354" i="8"/>
  <c r="O354" i="8"/>
  <c r="M354" i="8"/>
  <c r="E354" i="8"/>
  <c r="N354" i="8"/>
  <c r="N554" i="8"/>
  <c r="F554" i="8"/>
  <c r="M554" i="8"/>
  <c r="E554" i="8"/>
  <c r="L554" i="8"/>
  <c r="D554" i="8"/>
  <c r="K554" i="8"/>
  <c r="B554" i="8"/>
  <c r="J554" i="8"/>
  <c r="P554" i="8"/>
  <c r="O554" i="8"/>
  <c r="I554" i="8"/>
  <c r="G554" i="8"/>
  <c r="H554" i="8"/>
  <c r="K503" i="8"/>
  <c r="B503" i="8"/>
  <c r="J503" i="8"/>
  <c r="I503" i="8"/>
  <c r="P503" i="8"/>
  <c r="H503" i="8"/>
  <c r="O503" i="8"/>
  <c r="G503" i="8"/>
  <c r="N503" i="8"/>
  <c r="M503" i="8"/>
  <c r="L503" i="8"/>
  <c r="F503" i="8"/>
  <c r="E503" i="8"/>
  <c r="D503" i="8"/>
  <c r="M128" i="8"/>
  <c r="E128" i="8"/>
  <c r="L128" i="8"/>
  <c r="D128" i="8"/>
  <c r="J128" i="8"/>
  <c r="I128" i="8"/>
  <c r="N128" i="8"/>
  <c r="F128" i="8"/>
  <c r="P128" i="8"/>
  <c r="O128" i="8"/>
  <c r="K128" i="8"/>
  <c r="H128" i="8"/>
  <c r="G128" i="8"/>
  <c r="B128" i="8"/>
  <c r="I188" i="8"/>
  <c r="P188" i="8"/>
  <c r="H188" i="8"/>
  <c r="N188" i="8"/>
  <c r="F188" i="8"/>
  <c r="M188" i="8"/>
  <c r="E188" i="8"/>
  <c r="J188" i="8"/>
  <c r="L188" i="8"/>
  <c r="K188" i="8"/>
  <c r="G188" i="8"/>
  <c r="D188" i="8"/>
  <c r="B188" i="8"/>
  <c r="O188" i="8"/>
  <c r="P596" i="8"/>
  <c r="H596" i="8"/>
  <c r="O596" i="8"/>
  <c r="G596" i="8"/>
  <c r="M596" i="8"/>
  <c r="E596" i="8"/>
  <c r="D596" i="8"/>
  <c r="B596" i="8"/>
  <c r="N596" i="8"/>
  <c r="L596" i="8"/>
  <c r="K596" i="8"/>
  <c r="J596" i="8"/>
  <c r="I596" i="8"/>
  <c r="F596" i="8"/>
  <c r="O953" i="8"/>
  <c r="G953" i="8"/>
  <c r="N953" i="8"/>
  <c r="F953" i="8"/>
  <c r="L953" i="8"/>
  <c r="D953" i="8"/>
  <c r="I953" i="8"/>
  <c r="H953" i="8"/>
  <c r="E953" i="8"/>
  <c r="P953" i="8"/>
  <c r="M953" i="8"/>
  <c r="K953" i="8"/>
  <c r="J953" i="8"/>
  <c r="B953" i="8"/>
  <c r="N372" i="8"/>
  <c r="F372" i="8"/>
  <c r="M372" i="8"/>
  <c r="E372" i="8"/>
  <c r="L372" i="8"/>
  <c r="D372" i="8"/>
  <c r="K372" i="8"/>
  <c r="B372" i="8"/>
  <c r="J372" i="8"/>
  <c r="P372" i="8"/>
  <c r="O372" i="8"/>
  <c r="H372" i="8"/>
  <c r="G372" i="8"/>
  <c r="I372" i="8"/>
  <c r="N121" i="8"/>
  <c r="F121" i="8"/>
  <c r="M121" i="8"/>
  <c r="E121" i="8"/>
  <c r="K121" i="8"/>
  <c r="B121" i="8"/>
  <c r="J121" i="8"/>
  <c r="O121" i="8"/>
  <c r="G121" i="8"/>
  <c r="P121" i="8"/>
  <c r="L121" i="8"/>
  <c r="I121" i="8"/>
  <c r="H121" i="8"/>
  <c r="D121" i="8"/>
  <c r="N161" i="8"/>
  <c r="F161" i="8"/>
  <c r="M161" i="8"/>
  <c r="E161" i="8"/>
  <c r="K161" i="8"/>
  <c r="B161" i="8"/>
  <c r="J161" i="8"/>
  <c r="O161" i="8"/>
  <c r="G161" i="8"/>
  <c r="L161" i="8"/>
  <c r="I161" i="8"/>
  <c r="H161" i="8"/>
  <c r="D161" i="8"/>
  <c r="P161" i="8"/>
  <c r="J218" i="8"/>
  <c r="N218" i="8"/>
  <c r="F218" i="8"/>
  <c r="K218" i="8"/>
  <c r="B218" i="8"/>
  <c r="G218" i="8"/>
  <c r="E218" i="8"/>
  <c r="O218" i="8"/>
  <c r="M218" i="8"/>
  <c r="H218" i="8"/>
  <c r="P218" i="8"/>
  <c r="L218" i="8"/>
  <c r="I218" i="8"/>
  <c r="D218" i="8"/>
  <c r="N4" i="8"/>
  <c r="F4" i="8"/>
  <c r="M4" i="8"/>
  <c r="E4" i="8"/>
  <c r="L4" i="8"/>
  <c r="D4" i="8"/>
  <c r="K4" i="8"/>
  <c r="B4" i="8"/>
  <c r="J4" i="8"/>
  <c r="O4" i="8"/>
  <c r="G4" i="8"/>
  <c r="P4" i="8"/>
  <c r="I4" i="8"/>
  <c r="H4" i="8"/>
  <c r="P652" i="8"/>
  <c r="H652" i="8"/>
  <c r="O652" i="8"/>
  <c r="G652" i="8"/>
  <c r="N652" i="8"/>
  <c r="F652" i="8"/>
  <c r="M652" i="8"/>
  <c r="E652" i="8"/>
  <c r="L652" i="8"/>
  <c r="D652" i="8"/>
  <c r="K652" i="8"/>
  <c r="J652" i="8"/>
  <c r="I652" i="8"/>
  <c r="B652" i="8"/>
  <c r="L426" i="8"/>
  <c r="D426" i="8"/>
  <c r="K426" i="8"/>
  <c r="B426" i="8"/>
  <c r="J426" i="8"/>
  <c r="I426" i="8"/>
  <c r="P426" i="8"/>
  <c r="H426" i="8"/>
  <c r="O426" i="8"/>
  <c r="N426" i="8"/>
  <c r="G426" i="8"/>
  <c r="F426" i="8"/>
  <c r="E426" i="8"/>
  <c r="M426" i="8"/>
  <c r="L671" i="8"/>
  <c r="D671" i="8"/>
  <c r="K671" i="8"/>
  <c r="B671" i="8"/>
  <c r="J671" i="8"/>
  <c r="I671" i="8"/>
  <c r="P671" i="8"/>
  <c r="O671" i="8"/>
  <c r="N671" i="8"/>
  <c r="M671" i="8"/>
  <c r="H671" i="8"/>
  <c r="G671" i="8"/>
  <c r="F671" i="8"/>
  <c r="E671" i="8"/>
  <c r="L418" i="8"/>
  <c r="D418" i="8"/>
  <c r="K418" i="8"/>
  <c r="B418" i="8"/>
  <c r="J418" i="8"/>
  <c r="I418" i="8"/>
  <c r="P418" i="8"/>
  <c r="H418" i="8"/>
  <c r="G418" i="8"/>
  <c r="F418" i="8"/>
  <c r="O418" i="8"/>
  <c r="N418" i="8"/>
  <c r="M418" i="8"/>
  <c r="E418" i="8"/>
  <c r="L434" i="8"/>
  <c r="D434" i="8"/>
  <c r="K434" i="8"/>
  <c r="B434" i="8"/>
  <c r="J434" i="8"/>
  <c r="I434" i="8"/>
  <c r="P434" i="8"/>
  <c r="H434" i="8"/>
  <c r="E434" i="8"/>
  <c r="O434" i="8"/>
  <c r="N434" i="8"/>
  <c r="M434" i="8"/>
  <c r="F434" i="8"/>
  <c r="G434" i="8"/>
  <c r="P620" i="8"/>
  <c r="H620" i="8"/>
  <c r="O620" i="8"/>
  <c r="G620" i="8"/>
  <c r="N620" i="8"/>
  <c r="F620" i="8"/>
  <c r="M620" i="8"/>
  <c r="E620" i="8"/>
  <c r="L620" i="8"/>
  <c r="D620" i="8"/>
  <c r="J620" i="8"/>
  <c r="I620" i="8"/>
  <c r="B620" i="8"/>
  <c r="K620" i="8"/>
  <c r="M136" i="8"/>
  <c r="E136" i="8"/>
  <c r="L136" i="8"/>
  <c r="D136" i="8"/>
  <c r="J136" i="8"/>
  <c r="I136" i="8"/>
  <c r="N136" i="8"/>
  <c r="F136" i="8"/>
  <c r="B136" i="8"/>
  <c r="P136" i="8"/>
  <c r="O136" i="8"/>
  <c r="K136" i="8"/>
  <c r="H136" i="8"/>
  <c r="G136" i="8"/>
  <c r="O250" i="8"/>
  <c r="G250" i="8"/>
  <c r="N250" i="8"/>
  <c r="F250" i="8"/>
  <c r="L250" i="8"/>
  <c r="D250" i="8"/>
  <c r="K250" i="8"/>
  <c r="B250" i="8"/>
  <c r="E250" i="8"/>
  <c r="M250" i="8"/>
  <c r="H250" i="8"/>
  <c r="P250" i="8"/>
  <c r="J250" i="8"/>
  <c r="I250" i="8"/>
  <c r="N329" i="8"/>
  <c r="F329" i="8"/>
  <c r="M329" i="8"/>
  <c r="E329" i="8"/>
  <c r="K329" i="8"/>
  <c r="B329" i="8"/>
  <c r="J329" i="8"/>
  <c r="I329" i="8"/>
  <c r="L329" i="8"/>
  <c r="H329" i="8"/>
  <c r="D329" i="8"/>
  <c r="O329" i="8"/>
  <c r="P329" i="8"/>
  <c r="G329" i="8"/>
  <c r="N337" i="8"/>
  <c r="F337" i="8"/>
  <c r="M337" i="8"/>
  <c r="E337" i="8"/>
  <c r="K337" i="8"/>
  <c r="B337" i="8"/>
  <c r="J337" i="8"/>
  <c r="I337" i="8"/>
  <c r="P337" i="8"/>
  <c r="L337" i="8"/>
  <c r="H337" i="8"/>
  <c r="O337" i="8"/>
  <c r="G337" i="8"/>
  <c r="D337" i="8"/>
  <c r="I252" i="8"/>
  <c r="P252" i="8"/>
  <c r="H252" i="8"/>
  <c r="N252" i="8"/>
  <c r="F252" i="8"/>
  <c r="M252" i="8"/>
  <c r="E252" i="8"/>
  <c r="G252" i="8"/>
  <c r="D252" i="8"/>
  <c r="O252" i="8"/>
  <c r="J252" i="8"/>
  <c r="B252" i="8"/>
  <c r="L252" i="8"/>
  <c r="K252" i="8"/>
  <c r="K799" i="8"/>
  <c r="B799" i="8"/>
  <c r="J799" i="8"/>
  <c r="I799" i="8"/>
  <c r="P799" i="8"/>
  <c r="E799" i="8"/>
  <c r="O799" i="8"/>
  <c r="D799" i="8"/>
  <c r="M799" i="8"/>
  <c r="L799" i="8"/>
  <c r="F799" i="8"/>
  <c r="N799" i="8"/>
  <c r="H799" i="8"/>
  <c r="G799" i="8"/>
  <c r="L10" i="8"/>
  <c r="D10" i="8"/>
  <c r="K10" i="8"/>
  <c r="B10" i="8"/>
  <c r="J10" i="8"/>
  <c r="I10" i="8"/>
  <c r="P10" i="8"/>
  <c r="H10" i="8"/>
  <c r="M10" i="8"/>
  <c r="E10" i="8"/>
  <c r="O10" i="8"/>
  <c r="N10" i="8"/>
  <c r="G10" i="8"/>
  <c r="F10" i="8"/>
  <c r="P216" i="8"/>
  <c r="H216" i="8"/>
  <c r="L216" i="8"/>
  <c r="D216" i="8"/>
  <c r="N216" i="8"/>
  <c r="B216" i="8"/>
  <c r="M216" i="8"/>
  <c r="J216" i="8"/>
  <c r="I216" i="8"/>
  <c r="O216" i="8"/>
  <c r="E216" i="8"/>
  <c r="K216" i="8"/>
  <c r="G216" i="8"/>
  <c r="F216" i="8"/>
  <c r="N313" i="8"/>
  <c r="F313" i="8"/>
  <c r="M313" i="8"/>
  <c r="E313" i="8"/>
  <c r="K313" i="8"/>
  <c r="B313" i="8"/>
  <c r="J313" i="8"/>
  <c r="D313" i="8"/>
  <c r="O313" i="8"/>
  <c r="L313" i="8"/>
  <c r="G313" i="8"/>
  <c r="P313" i="8"/>
  <c r="H313" i="8"/>
  <c r="I313" i="8"/>
  <c r="P796" i="8"/>
  <c r="H796" i="8"/>
  <c r="O796" i="8"/>
  <c r="G796" i="8"/>
  <c r="N796" i="8"/>
  <c r="F796" i="8"/>
  <c r="K796" i="8"/>
  <c r="J796" i="8"/>
  <c r="E796" i="8"/>
  <c r="D796" i="8"/>
  <c r="L796" i="8"/>
  <c r="I796" i="8"/>
  <c r="B796" i="8"/>
  <c r="M796" i="8"/>
  <c r="L881" i="8"/>
  <c r="D881" i="8"/>
  <c r="I881" i="8"/>
  <c r="P881" i="8"/>
  <c r="F881" i="8"/>
  <c r="O881" i="8"/>
  <c r="E881" i="8"/>
  <c r="N881" i="8"/>
  <c r="B881" i="8"/>
  <c r="J881" i="8"/>
  <c r="M881" i="8"/>
  <c r="K881" i="8"/>
  <c r="H881" i="8"/>
  <c r="G881" i="8"/>
  <c r="O867" i="8"/>
  <c r="G867" i="8"/>
  <c r="N867" i="8"/>
  <c r="F867" i="8"/>
  <c r="M867" i="8"/>
  <c r="E867" i="8"/>
  <c r="J867" i="8"/>
  <c r="K867" i="8"/>
  <c r="I867" i="8"/>
  <c r="H867" i="8"/>
  <c r="D867" i="8"/>
  <c r="B867" i="8"/>
  <c r="L867" i="8"/>
  <c r="P867" i="8"/>
  <c r="N458" i="8"/>
  <c r="F458" i="8"/>
  <c r="L458" i="8"/>
  <c r="D458" i="8"/>
  <c r="K458" i="8"/>
  <c r="B458" i="8"/>
  <c r="J458" i="8"/>
  <c r="O458" i="8"/>
  <c r="M458" i="8"/>
  <c r="I458" i="8"/>
  <c r="H458" i="8"/>
  <c r="G458" i="8"/>
  <c r="P458" i="8"/>
  <c r="E458" i="8"/>
  <c r="N145" i="8"/>
  <c r="F145" i="8"/>
  <c r="M145" i="8"/>
  <c r="E145" i="8"/>
  <c r="K145" i="8"/>
  <c r="B145" i="8"/>
  <c r="J145" i="8"/>
  <c r="O145" i="8"/>
  <c r="G145" i="8"/>
  <c r="P145" i="8"/>
  <c r="L145" i="8"/>
  <c r="I145" i="8"/>
  <c r="H145" i="8"/>
  <c r="D145" i="8"/>
  <c r="N650" i="8"/>
  <c r="F650" i="8"/>
  <c r="M650" i="8"/>
  <c r="E650" i="8"/>
  <c r="L650" i="8"/>
  <c r="D650" i="8"/>
  <c r="K650" i="8"/>
  <c r="B650" i="8"/>
  <c r="J650" i="8"/>
  <c r="H650" i="8"/>
  <c r="G650" i="8"/>
  <c r="O650" i="8"/>
  <c r="I650" i="8"/>
  <c r="P650" i="8"/>
  <c r="K527" i="8"/>
  <c r="B527" i="8"/>
  <c r="J527" i="8"/>
  <c r="I527" i="8"/>
  <c r="P527" i="8"/>
  <c r="H527" i="8"/>
  <c r="O527" i="8"/>
  <c r="G527" i="8"/>
  <c r="N527" i="8"/>
  <c r="M527" i="8"/>
  <c r="L527" i="8"/>
  <c r="F527" i="8"/>
  <c r="E527" i="8"/>
  <c r="D527" i="8"/>
  <c r="N60" i="8"/>
  <c r="F60" i="8"/>
  <c r="M60" i="8"/>
  <c r="E60" i="8"/>
  <c r="L60" i="8"/>
  <c r="D60" i="8"/>
  <c r="K60" i="8"/>
  <c r="B60" i="8"/>
  <c r="J60" i="8"/>
  <c r="I60" i="8"/>
  <c r="P60" i="8"/>
  <c r="H60" i="8"/>
  <c r="O60" i="8"/>
  <c r="G60" i="8"/>
  <c r="N586" i="8"/>
  <c r="F586" i="8"/>
  <c r="M586" i="8"/>
  <c r="E586" i="8"/>
  <c r="L586" i="8"/>
  <c r="D586" i="8"/>
  <c r="K586" i="8"/>
  <c r="B586" i="8"/>
  <c r="J586" i="8"/>
  <c r="I586" i="8"/>
  <c r="H586" i="8"/>
  <c r="G586" i="8"/>
  <c r="P586" i="8"/>
  <c r="O586" i="8"/>
  <c r="I668" i="8"/>
  <c r="P668" i="8"/>
  <c r="H668" i="8"/>
  <c r="O668" i="8"/>
  <c r="G668" i="8"/>
  <c r="N668" i="8"/>
  <c r="F668" i="8"/>
  <c r="M668" i="8"/>
  <c r="L668" i="8"/>
  <c r="K668" i="8"/>
  <c r="J668" i="8"/>
  <c r="E668" i="8"/>
  <c r="D668" i="8"/>
  <c r="B668" i="8"/>
  <c r="K847" i="8"/>
  <c r="B847" i="8"/>
  <c r="I847" i="8"/>
  <c r="H847" i="8"/>
  <c r="G847" i="8"/>
  <c r="P847" i="8"/>
  <c r="F847" i="8"/>
  <c r="O847" i="8"/>
  <c r="E847" i="8"/>
  <c r="D847" i="8"/>
  <c r="N847" i="8"/>
  <c r="J847" i="8"/>
  <c r="M847" i="8"/>
  <c r="L847" i="8"/>
  <c r="K839" i="8"/>
  <c r="L839" i="8"/>
  <c r="B839" i="8"/>
  <c r="J839" i="8"/>
  <c r="I839" i="8"/>
  <c r="H839" i="8"/>
  <c r="P839" i="8"/>
  <c r="O839" i="8"/>
  <c r="M839" i="8"/>
  <c r="G839" i="8"/>
  <c r="D839" i="8"/>
  <c r="N839" i="8"/>
  <c r="F839" i="8"/>
  <c r="E839" i="8"/>
  <c r="I260" i="8"/>
  <c r="P260" i="8"/>
  <c r="H260" i="8"/>
  <c r="N260" i="8"/>
  <c r="F260" i="8"/>
  <c r="M260" i="8"/>
  <c r="E260" i="8"/>
  <c r="O260" i="8"/>
  <c r="L260" i="8"/>
  <c r="G260" i="8"/>
  <c r="J260" i="8"/>
  <c r="D260" i="8"/>
  <c r="K260" i="8"/>
  <c r="B260" i="8"/>
  <c r="L228" i="8"/>
  <c r="D228" i="8"/>
  <c r="K228" i="8"/>
  <c r="B228" i="8"/>
  <c r="P228" i="8"/>
  <c r="H228" i="8"/>
  <c r="M228" i="8"/>
  <c r="E228" i="8"/>
  <c r="I228" i="8"/>
  <c r="G228" i="8"/>
  <c r="J228" i="8"/>
  <c r="N228" i="8"/>
  <c r="F228" i="8"/>
  <c r="O228" i="8"/>
  <c r="L58" i="8"/>
  <c r="D58" i="8"/>
  <c r="K58" i="8"/>
  <c r="B58" i="8"/>
  <c r="J58" i="8"/>
  <c r="I58" i="8"/>
  <c r="P58" i="8"/>
  <c r="H58" i="8"/>
  <c r="O58" i="8"/>
  <c r="G58" i="8"/>
  <c r="N58" i="8"/>
  <c r="F58" i="8"/>
  <c r="M58" i="8"/>
  <c r="E58" i="8"/>
  <c r="M152" i="8"/>
  <c r="E152" i="8"/>
  <c r="L152" i="8"/>
  <c r="D152" i="8"/>
  <c r="J152" i="8"/>
  <c r="I152" i="8"/>
  <c r="N152" i="8"/>
  <c r="F152" i="8"/>
  <c r="P152" i="8"/>
  <c r="O152" i="8"/>
  <c r="K152" i="8"/>
  <c r="H152" i="8"/>
  <c r="G152" i="8"/>
  <c r="B152" i="8"/>
  <c r="K791" i="8"/>
  <c r="B791" i="8"/>
  <c r="J791" i="8"/>
  <c r="N791" i="8"/>
  <c r="D791" i="8"/>
  <c r="M791" i="8"/>
  <c r="I791" i="8"/>
  <c r="H791" i="8"/>
  <c r="O791" i="8"/>
  <c r="P791" i="8"/>
  <c r="L791" i="8"/>
  <c r="G791" i="8"/>
  <c r="F791" i="8"/>
  <c r="E791" i="8"/>
  <c r="K722" i="8"/>
  <c r="B722" i="8"/>
  <c r="J722" i="8"/>
  <c r="I722" i="8"/>
  <c r="P722" i="8"/>
  <c r="H722" i="8"/>
  <c r="F722" i="8"/>
  <c r="E722" i="8"/>
  <c r="D722" i="8"/>
  <c r="O722" i="8"/>
  <c r="N722" i="8"/>
  <c r="M722" i="8"/>
  <c r="L722" i="8"/>
  <c r="G722" i="8"/>
  <c r="O258" i="8"/>
  <c r="G258" i="8"/>
  <c r="N258" i="8"/>
  <c r="F258" i="8"/>
  <c r="L258" i="8"/>
  <c r="D258" i="8"/>
  <c r="K258" i="8"/>
  <c r="B258" i="8"/>
  <c r="M258" i="8"/>
  <c r="J258" i="8"/>
  <c r="E258" i="8"/>
  <c r="P258" i="8"/>
  <c r="H258" i="8"/>
  <c r="I258" i="8"/>
  <c r="I172" i="8"/>
  <c r="P172" i="8"/>
  <c r="H172" i="8"/>
  <c r="N172" i="8"/>
  <c r="F172" i="8"/>
  <c r="M172" i="8"/>
  <c r="E172" i="8"/>
  <c r="J172" i="8"/>
  <c r="O172" i="8"/>
  <c r="L172" i="8"/>
  <c r="K172" i="8"/>
  <c r="G172" i="8"/>
  <c r="D172" i="8"/>
  <c r="B172" i="8"/>
  <c r="L442" i="8"/>
  <c r="D442" i="8"/>
  <c r="K442" i="8"/>
  <c r="B442" i="8"/>
  <c r="J442" i="8"/>
  <c r="I442" i="8"/>
  <c r="P442" i="8"/>
  <c r="H442" i="8"/>
  <c r="M442" i="8"/>
  <c r="G442" i="8"/>
  <c r="E442" i="8"/>
  <c r="O442" i="8"/>
  <c r="N442" i="8"/>
  <c r="F442" i="8"/>
  <c r="K926" i="8"/>
  <c r="B926" i="8"/>
  <c r="J926" i="8"/>
  <c r="I926" i="8"/>
  <c r="P926" i="8"/>
  <c r="H926" i="8"/>
  <c r="G926" i="8"/>
  <c r="D926" i="8"/>
  <c r="O926" i="8"/>
  <c r="F926" i="8"/>
  <c r="E926" i="8"/>
  <c r="N926" i="8"/>
  <c r="L926" i="8"/>
  <c r="M926" i="8"/>
  <c r="M585" i="8"/>
  <c r="E585" i="8"/>
  <c r="L585" i="8"/>
  <c r="D585" i="8"/>
  <c r="K585" i="8"/>
  <c r="B585" i="8"/>
  <c r="J585" i="8"/>
  <c r="I585" i="8"/>
  <c r="F585" i="8"/>
  <c r="P585" i="8"/>
  <c r="O585" i="8"/>
  <c r="N585" i="8"/>
  <c r="G585" i="8"/>
  <c r="H585" i="8"/>
  <c r="J814" i="8"/>
  <c r="I814" i="8"/>
  <c r="P814" i="8"/>
  <c r="H814" i="8"/>
  <c r="O814" i="8"/>
  <c r="G814" i="8"/>
  <c r="F814" i="8"/>
  <c r="E814" i="8"/>
  <c r="B814" i="8"/>
  <c r="N814" i="8"/>
  <c r="K814" i="8"/>
  <c r="M814" i="8"/>
  <c r="L814" i="8"/>
  <c r="D814" i="8"/>
  <c r="I950" i="8"/>
  <c r="P950" i="8"/>
  <c r="H950" i="8"/>
  <c r="O950" i="8"/>
  <c r="G950" i="8"/>
  <c r="M950" i="8"/>
  <c r="E950" i="8"/>
  <c r="B950" i="8"/>
  <c r="N950" i="8"/>
  <c r="L950" i="8"/>
  <c r="K950" i="8"/>
  <c r="D950" i="8"/>
  <c r="F950" i="8"/>
  <c r="J950" i="8"/>
  <c r="M200" i="8"/>
  <c r="E200" i="8"/>
  <c r="L200" i="8"/>
  <c r="D200" i="8"/>
  <c r="J200" i="8"/>
  <c r="I200" i="8"/>
  <c r="N200" i="8"/>
  <c r="F200" i="8"/>
  <c r="B200" i="8"/>
  <c r="P200" i="8"/>
  <c r="O200" i="8"/>
  <c r="K200" i="8"/>
  <c r="H200" i="8"/>
  <c r="G200" i="8"/>
  <c r="N883" i="8"/>
  <c r="F883" i="8"/>
  <c r="K883" i="8"/>
  <c r="B883" i="8"/>
  <c r="J883" i="8"/>
  <c r="L883" i="8"/>
  <c r="I883" i="8"/>
  <c r="H883" i="8"/>
  <c r="P883" i="8"/>
  <c r="D883" i="8"/>
  <c r="O883" i="8"/>
  <c r="M883" i="8"/>
  <c r="G883" i="8"/>
  <c r="E883" i="8"/>
  <c r="J598" i="8"/>
  <c r="I598" i="8"/>
  <c r="P598" i="8"/>
  <c r="H598" i="8"/>
  <c r="O598" i="8"/>
  <c r="G598" i="8"/>
  <c r="D598" i="8"/>
  <c r="B598" i="8"/>
  <c r="N598" i="8"/>
  <c r="M598" i="8"/>
  <c r="L598" i="8"/>
  <c r="K598" i="8"/>
  <c r="F598" i="8"/>
  <c r="E598" i="8"/>
  <c r="K815" i="8"/>
  <c r="B815" i="8"/>
  <c r="J815" i="8"/>
  <c r="I815" i="8"/>
  <c r="P815" i="8"/>
  <c r="H815" i="8"/>
  <c r="G815" i="8"/>
  <c r="F815" i="8"/>
  <c r="D815" i="8"/>
  <c r="O815" i="8"/>
  <c r="L815" i="8"/>
  <c r="E815" i="8"/>
  <c r="M815" i="8"/>
  <c r="N815" i="8"/>
  <c r="P414" i="8"/>
  <c r="H414" i="8"/>
  <c r="O414" i="8"/>
  <c r="G414" i="8"/>
  <c r="N414" i="8"/>
  <c r="F414" i="8"/>
  <c r="M414" i="8"/>
  <c r="E414" i="8"/>
  <c r="L414" i="8"/>
  <c r="D414" i="8"/>
  <c r="B414" i="8"/>
  <c r="K414" i="8"/>
  <c r="J414" i="8"/>
  <c r="I414" i="8"/>
  <c r="L42" i="8"/>
  <c r="D42" i="8"/>
  <c r="K42" i="8"/>
  <c r="B42" i="8"/>
  <c r="J42" i="8"/>
  <c r="I42" i="8"/>
  <c r="P42" i="8"/>
  <c r="H42" i="8"/>
  <c r="O42" i="8"/>
  <c r="G42" i="8"/>
  <c r="M42" i="8"/>
  <c r="E42" i="8"/>
  <c r="N42" i="8"/>
  <c r="F42" i="8"/>
  <c r="P751" i="8"/>
  <c r="H751" i="8"/>
  <c r="O751" i="8"/>
  <c r="G751" i="8"/>
  <c r="N751" i="8"/>
  <c r="F751" i="8"/>
  <c r="M751" i="8"/>
  <c r="E751" i="8"/>
  <c r="B751" i="8"/>
  <c r="L751" i="8"/>
  <c r="K751" i="8"/>
  <c r="J751" i="8"/>
  <c r="I751" i="8"/>
  <c r="D751" i="8"/>
  <c r="P564" i="8"/>
  <c r="H564" i="8"/>
  <c r="O564" i="8"/>
  <c r="G564" i="8"/>
  <c r="N564" i="8"/>
  <c r="F564" i="8"/>
  <c r="M564" i="8"/>
  <c r="E564" i="8"/>
  <c r="L564" i="8"/>
  <c r="D564" i="8"/>
  <c r="K564" i="8"/>
  <c r="J564" i="8"/>
  <c r="I564" i="8"/>
  <c r="B564" i="8"/>
  <c r="N297" i="8"/>
  <c r="F297" i="8"/>
  <c r="M297" i="8"/>
  <c r="E297" i="8"/>
  <c r="K297" i="8"/>
  <c r="B297" i="8"/>
  <c r="J297" i="8"/>
  <c r="D297" i="8"/>
  <c r="L297" i="8"/>
  <c r="G297" i="8"/>
  <c r="P297" i="8"/>
  <c r="O297" i="8"/>
  <c r="I297" i="8"/>
  <c r="H297" i="8"/>
  <c r="L695" i="8"/>
  <c r="D695" i="8"/>
  <c r="K695" i="8"/>
  <c r="B695" i="8"/>
  <c r="J695" i="8"/>
  <c r="I695" i="8"/>
  <c r="P695" i="8"/>
  <c r="H695" i="8"/>
  <c r="O695" i="8"/>
  <c r="N695" i="8"/>
  <c r="M695" i="8"/>
  <c r="G695" i="8"/>
  <c r="F695" i="8"/>
  <c r="E695" i="8"/>
  <c r="K982" i="8"/>
  <c r="B982" i="8"/>
  <c r="L982" i="8"/>
  <c r="J982" i="8"/>
  <c r="I982" i="8"/>
  <c r="H982" i="8"/>
  <c r="M982" i="8"/>
  <c r="G982" i="8"/>
  <c r="F982" i="8"/>
  <c r="E982" i="8"/>
  <c r="D982" i="8"/>
  <c r="N982" i="8"/>
  <c r="O982" i="8"/>
  <c r="P982" i="8"/>
  <c r="N482" i="8"/>
  <c r="F482" i="8"/>
  <c r="L482" i="8"/>
  <c r="D482" i="8"/>
  <c r="K482" i="8"/>
  <c r="B482" i="8"/>
  <c r="J482" i="8"/>
  <c r="G482" i="8"/>
  <c r="E482" i="8"/>
  <c r="P482" i="8"/>
  <c r="O482" i="8"/>
  <c r="H482" i="8"/>
  <c r="I482" i="8"/>
  <c r="M482" i="8"/>
  <c r="P636" i="8"/>
  <c r="H636" i="8"/>
  <c r="O636" i="8"/>
  <c r="G636" i="8"/>
  <c r="N636" i="8"/>
  <c r="F636" i="8"/>
  <c r="M636" i="8"/>
  <c r="E636" i="8"/>
  <c r="L636" i="8"/>
  <c r="D636" i="8"/>
  <c r="B636" i="8"/>
  <c r="K636" i="8"/>
  <c r="J636" i="8"/>
  <c r="I636" i="8"/>
  <c r="I415" i="8"/>
  <c r="P415" i="8"/>
  <c r="H415" i="8"/>
  <c r="O415" i="8"/>
  <c r="G415" i="8"/>
  <c r="N415" i="8"/>
  <c r="F415" i="8"/>
  <c r="M415" i="8"/>
  <c r="E415" i="8"/>
  <c r="K415" i="8"/>
  <c r="J415" i="8"/>
  <c r="B415" i="8"/>
  <c r="D415" i="8"/>
  <c r="L415" i="8"/>
  <c r="L703" i="8"/>
  <c r="D703" i="8"/>
  <c r="K703" i="8"/>
  <c r="B703" i="8"/>
  <c r="J703" i="8"/>
  <c r="I703" i="8"/>
  <c r="P703" i="8"/>
  <c r="H703" i="8"/>
  <c r="E703" i="8"/>
  <c r="O703" i="8"/>
  <c r="N703" i="8"/>
  <c r="M703" i="8"/>
  <c r="G703" i="8"/>
  <c r="F703" i="8"/>
  <c r="M176" i="8"/>
  <c r="E176" i="8"/>
  <c r="L176" i="8"/>
  <c r="D176" i="8"/>
  <c r="J176" i="8"/>
  <c r="I176" i="8"/>
  <c r="N176" i="8"/>
  <c r="F176" i="8"/>
  <c r="P176" i="8"/>
  <c r="O176" i="8"/>
  <c r="K176" i="8"/>
  <c r="H176" i="8"/>
  <c r="G176" i="8"/>
  <c r="B176" i="8"/>
  <c r="K575" i="8"/>
  <c r="B575" i="8"/>
  <c r="J575" i="8"/>
  <c r="I575" i="8"/>
  <c r="P575" i="8"/>
  <c r="H575" i="8"/>
  <c r="O575" i="8"/>
  <c r="G575" i="8"/>
  <c r="E575" i="8"/>
  <c r="D575" i="8"/>
  <c r="N575" i="8"/>
  <c r="M575" i="8"/>
  <c r="L575" i="8"/>
  <c r="F575" i="8"/>
  <c r="P476" i="8"/>
  <c r="H476" i="8"/>
  <c r="N476" i="8"/>
  <c r="F476" i="8"/>
  <c r="M476" i="8"/>
  <c r="E476" i="8"/>
  <c r="L476" i="8"/>
  <c r="D476" i="8"/>
  <c r="O476" i="8"/>
  <c r="K476" i="8"/>
  <c r="J476" i="8"/>
  <c r="I476" i="8"/>
  <c r="G476" i="8"/>
  <c r="B476" i="8"/>
  <c r="P987" i="8"/>
  <c r="H987" i="8"/>
  <c r="J987" i="8"/>
  <c r="I987" i="8"/>
  <c r="G987" i="8"/>
  <c r="O987" i="8"/>
  <c r="F987" i="8"/>
  <c r="K987" i="8"/>
  <c r="E987" i="8"/>
  <c r="D987" i="8"/>
  <c r="B987" i="8"/>
  <c r="N987" i="8"/>
  <c r="M987" i="8"/>
  <c r="L987" i="8"/>
  <c r="P612" i="8"/>
  <c r="H612" i="8"/>
  <c r="O612" i="8"/>
  <c r="G612" i="8"/>
  <c r="N612" i="8"/>
  <c r="F612" i="8"/>
  <c r="M612" i="8"/>
  <c r="E612" i="8"/>
  <c r="L612" i="8"/>
  <c r="D612" i="8"/>
  <c r="K612" i="8"/>
  <c r="J612" i="8"/>
  <c r="I612" i="8"/>
  <c r="B612" i="8"/>
  <c r="P224" i="8"/>
  <c r="H224" i="8"/>
  <c r="O224" i="8"/>
  <c r="G224" i="8"/>
  <c r="L224" i="8"/>
  <c r="D224" i="8"/>
  <c r="I224" i="8"/>
  <c r="E224" i="8"/>
  <c r="B224" i="8"/>
  <c r="N224" i="8"/>
  <c r="M224" i="8"/>
  <c r="F224" i="8"/>
  <c r="K224" i="8"/>
  <c r="J224" i="8"/>
  <c r="P775" i="8"/>
  <c r="H775" i="8"/>
  <c r="M775" i="8"/>
  <c r="E775" i="8"/>
  <c r="N775" i="8"/>
  <c r="B775" i="8"/>
  <c r="L775" i="8"/>
  <c r="K775" i="8"/>
  <c r="J775" i="8"/>
  <c r="O775" i="8"/>
  <c r="I775" i="8"/>
  <c r="G775" i="8"/>
  <c r="F775" i="8"/>
  <c r="D775" i="8"/>
  <c r="K910" i="8"/>
  <c r="B910" i="8"/>
  <c r="J910" i="8"/>
  <c r="I910" i="8"/>
  <c r="M910" i="8"/>
  <c r="G910" i="8"/>
  <c r="F910" i="8"/>
  <c r="P910" i="8"/>
  <c r="O910" i="8"/>
  <c r="N910" i="8"/>
  <c r="E910" i="8"/>
  <c r="L910" i="8"/>
  <c r="H910" i="8"/>
  <c r="D910" i="8"/>
  <c r="O859" i="8"/>
  <c r="G859" i="8"/>
  <c r="M859" i="8"/>
  <c r="E859" i="8"/>
  <c r="J859" i="8"/>
  <c r="I859" i="8"/>
  <c r="H859" i="8"/>
  <c r="F859" i="8"/>
  <c r="P859" i="8"/>
  <c r="N859" i="8"/>
  <c r="K859" i="8"/>
  <c r="D859" i="8"/>
  <c r="L859" i="8"/>
  <c r="B859" i="8"/>
  <c r="N897" i="8"/>
  <c r="F897" i="8"/>
  <c r="I897" i="8"/>
  <c r="O897" i="8"/>
  <c r="E897" i="8"/>
  <c r="M897" i="8"/>
  <c r="D897" i="8"/>
  <c r="K897" i="8"/>
  <c r="J897" i="8"/>
  <c r="H897" i="8"/>
  <c r="P897" i="8"/>
  <c r="L897" i="8"/>
  <c r="G897" i="8"/>
  <c r="B897" i="8"/>
  <c r="K990" i="8"/>
  <c r="B990" i="8"/>
  <c r="J990" i="8"/>
  <c r="I990" i="8"/>
  <c r="H990" i="8"/>
  <c r="P990" i="8"/>
  <c r="G990" i="8"/>
  <c r="O990" i="8"/>
  <c r="N990" i="8"/>
  <c r="M990" i="8"/>
  <c r="L990" i="8"/>
  <c r="F990" i="8"/>
  <c r="E990" i="8"/>
  <c r="D990" i="8"/>
  <c r="O690" i="8"/>
  <c r="G690" i="8"/>
  <c r="N690" i="8"/>
  <c r="F690" i="8"/>
  <c r="M690" i="8"/>
  <c r="E690" i="8"/>
  <c r="L690" i="8"/>
  <c r="D690" i="8"/>
  <c r="K690" i="8"/>
  <c r="B690" i="8"/>
  <c r="H690" i="8"/>
  <c r="P690" i="8"/>
  <c r="J690" i="8"/>
  <c r="I690" i="8"/>
  <c r="J77" i="8"/>
  <c r="I77" i="8"/>
  <c r="O77" i="8"/>
  <c r="G77" i="8"/>
  <c r="N77" i="8"/>
  <c r="F77" i="8"/>
  <c r="K77" i="8"/>
  <c r="B77" i="8"/>
  <c r="M77" i="8"/>
  <c r="L77" i="8"/>
  <c r="H77" i="8"/>
  <c r="E77" i="8"/>
  <c r="D77" i="8"/>
  <c r="P77" i="8"/>
  <c r="I407" i="8"/>
  <c r="P407" i="8"/>
  <c r="H407" i="8"/>
  <c r="O407" i="8"/>
  <c r="G407" i="8"/>
  <c r="N407" i="8"/>
  <c r="F407" i="8"/>
  <c r="M407" i="8"/>
  <c r="E407" i="8"/>
  <c r="B407" i="8"/>
  <c r="L407" i="8"/>
  <c r="K407" i="8"/>
  <c r="J407" i="8"/>
  <c r="D407" i="8"/>
  <c r="P660" i="8"/>
  <c r="H660" i="8"/>
  <c r="O660" i="8"/>
  <c r="G660" i="8"/>
  <c r="N660" i="8"/>
  <c r="F660" i="8"/>
  <c r="M660" i="8"/>
  <c r="E660" i="8"/>
  <c r="L660" i="8"/>
  <c r="D660" i="8"/>
  <c r="I660" i="8"/>
  <c r="B660" i="8"/>
  <c r="K660" i="8"/>
  <c r="J660" i="8"/>
  <c r="K591" i="8"/>
  <c r="B591" i="8"/>
  <c r="J591" i="8"/>
  <c r="I591" i="8"/>
  <c r="P591" i="8"/>
  <c r="H591" i="8"/>
  <c r="O591" i="8"/>
  <c r="G591" i="8"/>
  <c r="N591" i="8"/>
  <c r="M591" i="8"/>
  <c r="L591" i="8"/>
  <c r="F591" i="8"/>
  <c r="E591" i="8"/>
  <c r="D591" i="8"/>
  <c r="O282" i="8"/>
  <c r="G282" i="8"/>
  <c r="N282" i="8"/>
  <c r="F282" i="8"/>
  <c r="L282" i="8"/>
  <c r="D282" i="8"/>
  <c r="K282" i="8"/>
  <c r="B282" i="8"/>
  <c r="E282" i="8"/>
  <c r="M282" i="8"/>
  <c r="H282" i="8"/>
  <c r="P282" i="8"/>
  <c r="J282" i="8"/>
  <c r="I282" i="8"/>
  <c r="O803" i="8"/>
  <c r="G803" i="8"/>
  <c r="N803" i="8"/>
  <c r="F803" i="8"/>
  <c r="M803" i="8"/>
  <c r="E803" i="8"/>
  <c r="L803" i="8"/>
  <c r="D803" i="8"/>
  <c r="K803" i="8"/>
  <c r="J803" i="8"/>
  <c r="H803" i="8"/>
  <c r="B803" i="8"/>
  <c r="P803" i="8"/>
  <c r="I803" i="8"/>
  <c r="M857" i="8"/>
  <c r="E857" i="8"/>
  <c r="K857" i="8"/>
  <c r="B857" i="8"/>
  <c r="H857" i="8"/>
  <c r="G857" i="8"/>
  <c r="P857" i="8"/>
  <c r="F857" i="8"/>
  <c r="O857" i="8"/>
  <c r="D857" i="8"/>
  <c r="N857" i="8"/>
  <c r="I857" i="8"/>
  <c r="L857" i="8"/>
  <c r="J857" i="8"/>
  <c r="L191" i="8"/>
  <c r="D191" i="8"/>
  <c r="K191" i="8"/>
  <c r="B191" i="8"/>
  <c r="I191" i="8"/>
  <c r="P191" i="8"/>
  <c r="H191" i="8"/>
  <c r="M191" i="8"/>
  <c r="E191" i="8"/>
  <c r="J191" i="8"/>
  <c r="G191" i="8"/>
  <c r="F191" i="8"/>
  <c r="O191" i="8"/>
  <c r="N191" i="8"/>
  <c r="O298" i="8"/>
  <c r="G298" i="8"/>
  <c r="N298" i="8"/>
  <c r="F298" i="8"/>
  <c r="L298" i="8"/>
  <c r="D298" i="8"/>
  <c r="K298" i="8"/>
  <c r="B298" i="8"/>
  <c r="E298" i="8"/>
  <c r="M298" i="8"/>
  <c r="H298" i="8"/>
  <c r="P298" i="8"/>
  <c r="J298" i="8"/>
  <c r="I298" i="8"/>
  <c r="N875" i="8"/>
  <c r="F875" i="8"/>
  <c r="K875" i="8"/>
  <c r="B875" i="8"/>
  <c r="J875" i="8"/>
  <c r="I875" i="8"/>
  <c r="H875" i="8"/>
  <c r="O875" i="8"/>
  <c r="D875" i="8"/>
  <c r="E875" i="8"/>
  <c r="P875" i="8"/>
  <c r="G875" i="8"/>
  <c r="M875" i="8"/>
  <c r="L875" i="8"/>
  <c r="I340" i="8"/>
  <c r="P340" i="8"/>
  <c r="H340" i="8"/>
  <c r="N340" i="8"/>
  <c r="F340" i="8"/>
  <c r="M340" i="8"/>
  <c r="E340" i="8"/>
  <c r="L340" i="8"/>
  <c r="D340" i="8"/>
  <c r="O340" i="8"/>
  <c r="J340" i="8"/>
  <c r="G340" i="8"/>
  <c r="B340" i="8"/>
  <c r="K340" i="8"/>
  <c r="K198" i="8"/>
  <c r="B198" i="8"/>
  <c r="J198" i="8"/>
  <c r="P198" i="8"/>
  <c r="H198" i="8"/>
  <c r="O198" i="8"/>
  <c r="G198" i="8"/>
  <c r="L198" i="8"/>
  <c r="D198" i="8"/>
  <c r="M198" i="8"/>
  <c r="I198" i="8"/>
  <c r="F198" i="8"/>
  <c r="E198" i="8"/>
  <c r="N198" i="8"/>
  <c r="O82" i="8"/>
  <c r="G82" i="8"/>
  <c r="N82" i="8"/>
  <c r="F82" i="8"/>
  <c r="L82" i="8"/>
  <c r="D82" i="8"/>
  <c r="K82" i="8"/>
  <c r="B82" i="8"/>
  <c r="P82" i="8"/>
  <c r="H82" i="8"/>
  <c r="M82" i="8"/>
  <c r="J82" i="8"/>
  <c r="I82" i="8"/>
  <c r="E82" i="8"/>
  <c r="P267" i="8"/>
  <c r="H267" i="8"/>
  <c r="O267" i="8"/>
  <c r="G267" i="8"/>
  <c r="M267" i="8"/>
  <c r="E267" i="8"/>
  <c r="L267" i="8"/>
  <c r="D267" i="8"/>
  <c r="F267" i="8"/>
  <c r="B267" i="8"/>
  <c r="N267" i="8"/>
  <c r="I267" i="8"/>
  <c r="K267" i="8"/>
  <c r="J267" i="8"/>
  <c r="N201" i="8"/>
  <c r="F201" i="8"/>
  <c r="M201" i="8"/>
  <c r="E201" i="8"/>
  <c r="K201" i="8"/>
  <c r="B201" i="8"/>
  <c r="J201" i="8"/>
  <c r="O201" i="8"/>
  <c r="G201" i="8"/>
  <c r="I201" i="8"/>
  <c r="H201" i="8"/>
  <c r="D201" i="8"/>
  <c r="P201" i="8"/>
  <c r="L201" i="8"/>
  <c r="P719" i="8"/>
  <c r="H719" i="8"/>
  <c r="O719" i="8"/>
  <c r="G719" i="8"/>
  <c r="N719" i="8"/>
  <c r="F719" i="8"/>
  <c r="M719" i="8"/>
  <c r="E719" i="8"/>
  <c r="B719" i="8"/>
  <c r="L719" i="8"/>
  <c r="K719" i="8"/>
  <c r="J719" i="8"/>
  <c r="I719" i="8"/>
  <c r="D719" i="8"/>
  <c r="P139" i="8"/>
  <c r="H139" i="8"/>
  <c r="O139" i="8"/>
  <c r="G139" i="8"/>
  <c r="M139" i="8"/>
  <c r="E139" i="8"/>
  <c r="L139" i="8"/>
  <c r="D139" i="8"/>
  <c r="I139" i="8"/>
  <c r="N139" i="8"/>
  <c r="K139" i="8"/>
  <c r="J139" i="8"/>
  <c r="F139" i="8"/>
  <c r="B139" i="8"/>
  <c r="P767" i="8"/>
  <c r="H767" i="8"/>
  <c r="O767" i="8"/>
  <c r="G767" i="8"/>
  <c r="N767" i="8"/>
  <c r="F767" i="8"/>
  <c r="M767" i="8"/>
  <c r="E767" i="8"/>
  <c r="B767" i="8"/>
  <c r="L767" i="8"/>
  <c r="K767" i="8"/>
  <c r="J767" i="8"/>
  <c r="I767" i="8"/>
  <c r="D767" i="8"/>
  <c r="L410" i="8"/>
  <c r="D410" i="8"/>
  <c r="K410" i="8"/>
  <c r="B410" i="8"/>
  <c r="J410" i="8"/>
  <c r="I410" i="8"/>
  <c r="P410" i="8"/>
  <c r="H410" i="8"/>
  <c r="N410" i="8"/>
  <c r="M410" i="8"/>
  <c r="G410" i="8"/>
  <c r="O410" i="8"/>
  <c r="F410" i="8"/>
  <c r="E410" i="8"/>
  <c r="L151" i="8"/>
  <c r="D151" i="8"/>
  <c r="K151" i="8"/>
  <c r="B151" i="8"/>
  <c r="I151" i="8"/>
  <c r="P151" i="8"/>
  <c r="H151" i="8"/>
  <c r="M151" i="8"/>
  <c r="E151" i="8"/>
  <c r="N151" i="8"/>
  <c r="J151" i="8"/>
  <c r="G151" i="8"/>
  <c r="F151" i="8"/>
  <c r="O151" i="8"/>
  <c r="O338" i="8"/>
  <c r="G338" i="8"/>
  <c r="N338" i="8"/>
  <c r="F338" i="8"/>
  <c r="L338" i="8"/>
  <c r="D338" i="8"/>
  <c r="K338" i="8"/>
  <c r="B338" i="8"/>
  <c r="J338" i="8"/>
  <c r="E338" i="8"/>
  <c r="P338" i="8"/>
  <c r="H338" i="8"/>
  <c r="I338" i="8"/>
  <c r="M338" i="8"/>
  <c r="M841" i="8"/>
  <c r="E841" i="8"/>
  <c r="K841" i="8"/>
  <c r="B841" i="8"/>
  <c r="N841" i="8"/>
  <c r="L841" i="8"/>
  <c r="J841" i="8"/>
  <c r="I841" i="8"/>
  <c r="H841" i="8"/>
  <c r="G841" i="8"/>
  <c r="D841" i="8"/>
  <c r="O841" i="8"/>
  <c r="P841" i="8"/>
  <c r="F841" i="8"/>
  <c r="N388" i="8"/>
  <c r="F388" i="8"/>
  <c r="M388" i="8"/>
  <c r="E388" i="8"/>
  <c r="L388" i="8"/>
  <c r="D388" i="8"/>
  <c r="K388" i="8"/>
  <c r="B388" i="8"/>
  <c r="J388" i="8"/>
  <c r="I388" i="8"/>
  <c r="H388" i="8"/>
  <c r="O388" i="8"/>
  <c r="G388" i="8"/>
  <c r="P388" i="8"/>
  <c r="M801" i="8"/>
  <c r="E801" i="8"/>
  <c r="L801" i="8"/>
  <c r="D801" i="8"/>
  <c r="K801" i="8"/>
  <c r="B801" i="8"/>
  <c r="N801" i="8"/>
  <c r="J801" i="8"/>
  <c r="H801" i="8"/>
  <c r="G801" i="8"/>
  <c r="O801" i="8"/>
  <c r="P801" i="8"/>
  <c r="I801" i="8"/>
  <c r="F801" i="8"/>
  <c r="J846" i="8"/>
  <c r="P846" i="8"/>
  <c r="H846" i="8"/>
  <c r="M846" i="8"/>
  <c r="B846" i="8"/>
  <c r="L846" i="8"/>
  <c r="K846" i="8"/>
  <c r="I846" i="8"/>
  <c r="N846" i="8"/>
  <c r="G846" i="8"/>
  <c r="D846" i="8"/>
  <c r="O846" i="8"/>
  <c r="F846" i="8"/>
  <c r="E846" i="8"/>
  <c r="K615" i="8"/>
  <c r="B615" i="8"/>
  <c r="J615" i="8"/>
  <c r="I615" i="8"/>
  <c r="P615" i="8"/>
  <c r="H615" i="8"/>
  <c r="O615" i="8"/>
  <c r="G615" i="8"/>
  <c r="N615" i="8"/>
  <c r="M615" i="8"/>
  <c r="L615" i="8"/>
  <c r="F615" i="8"/>
  <c r="E615" i="8"/>
  <c r="D615" i="8"/>
  <c r="O827" i="8"/>
  <c r="G827" i="8"/>
  <c r="N827" i="8"/>
  <c r="F827" i="8"/>
  <c r="M827" i="8"/>
  <c r="E827" i="8"/>
  <c r="L827" i="8"/>
  <c r="D827" i="8"/>
  <c r="B827" i="8"/>
  <c r="P827" i="8"/>
  <c r="K827" i="8"/>
  <c r="H827" i="8"/>
  <c r="J827" i="8"/>
  <c r="I827" i="8"/>
  <c r="M240" i="8"/>
  <c r="E240" i="8"/>
  <c r="L240" i="8"/>
  <c r="D240" i="8"/>
  <c r="J240" i="8"/>
  <c r="I240" i="8"/>
  <c r="K240" i="8"/>
  <c r="H240" i="8"/>
  <c r="B240" i="8"/>
  <c r="N240" i="8"/>
  <c r="P240" i="8"/>
  <c r="G240" i="8"/>
  <c r="F240" i="8"/>
  <c r="O240" i="8"/>
  <c r="N969" i="8"/>
  <c r="F969" i="8"/>
  <c r="O969" i="8"/>
  <c r="E969" i="8"/>
  <c r="M969" i="8"/>
  <c r="D969" i="8"/>
  <c r="L969" i="8"/>
  <c r="B969" i="8"/>
  <c r="K969" i="8"/>
  <c r="G969" i="8"/>
  <c r="P969" i="8"/>
  <c r="I969" i="8"/>
  <c r="H969" i="8"/>
  <c r="J969" i="8"/>
  <c r="O666" i="8"/>
  <c r="G666" i="8"/>
  <c r="N666" i="8"/>
  <c r="F666" i="8"/>
  <c r="M666" i="8"/>
  <c r="E666" i="8"/>
  <c r="L666" i="8"/>
  <c r="D666" i="8"/>
  <c r="K666" i="8"/>
  <c r="J666" i="8"/>
  <c r="I666" i="8"/>
  <c r="H666" i="8"/>
  <c r="B666" i="8"/>
  <c r="P666" i="8"/>
  <c r="I55" i="8"/>
  <c r="P55" i="8"/>
  <c r="H55" i="8"/>
  <c r="O55" i="8"/>
  <c r="G55" i="8"/>
  <c r="N55" i="8"/>
  <c r="F55" i="8"/>
  <c r="M55" i="8"/>
  <c r="E55" i="8"/>
  <c r="L55" i="8"/>
  <c r="D55" i="8"/>
  <c r="K55" i="8"/>
  <c r="B55" i="8"/>
  <c r="J55" i="8"/>
  <c r="P979" i="8"/>
  <c r="H979" i="8"/>
  <c r="K979" i="8"/>
  <c r="J979" i="8"/>
  <c r="I979" i="8"/>
  <c r="G979" i="8"/>
  <c r="B979" i="8"/>
  <c r="O979" i="8"/>
  <c r="N979" i="8"/>
  <c r="M979" i="8"/>
  <c r="L979" i="8"/>
  <c r="E979" i="8"/>
  <c r="D979" i="8"/>
  <c r="F979" i="8"/>
  <c r="K966" i="8"/>
  <c r="B966" i="8"/>
  <c r="N966" i="8"/>
  <c r="E966" i="8"/>
  <c r="M966" i="8"/>
  <c r="D966" i="8"/>
  <c r="L966" i="8"/>
  <c r="J966" i="8"/>
  <c r="O966" i="8"/>
  <c r="I966" i="8"/>
  <c r="H966" i="8"/>
  <c r="G966" i="8"/>
  <c r="F966" i="8"/>
  <c r="P966" i="8"/>
  <c r="L311" i="8"/>
  <c r="D311" i="8"/>
  <c r="K311" i="8"/>
  <c r="B311" i="8"/>
  <c r="I311" i="8"/>
  <c r="P311" i="8"/>
  <c r="H311" i="8"/>
  <c r="O311" i="8"/>
  <c r="M311" i="8"/>
  <c r="J311" i="8"/>
  <c r="E311" i="8"/>
  <c r="G311" i="8"/>
  <c r="F311" i="8"/>
  <c r="N311" i="8"/>
  <c r="P275" i="8"/>
  <c r="H275" i="8"/>
  <c r="O275" i="8"/>
  <c r="G275" i="8"/>
  <c r="M275" i="8"/>
  <c r="E275" i="8"/>
  <c r="L275" i="8"/>
  <c r="D275" i="8"/>
  <c r="N275" i="8"/>
  <c r="K275" i="8"/>
  <c r="F275" i="8"/>
  <c r="I275" i="8"/>
  <c r="B275" i="8"/>
  <c r="J275" i="8"/>
  <c r="O5" i="8"/>
  <c r="G5" i="8"/>
  <c r="N5" i="8"/>
  <c r="F5" i="8"/>
  <c r="M5" i="8"/>
  <c r="E5" i="8"/>
  <c r="L5" i="8"/>
  <c r="D5" i="8"/>
  <c r="K5" i="8"/>
  <c r="B5" i="8"/>
  <c r="P5" i="8"/>
  <c r="H5" i="8"/>
  <c r="J5" i="8"/>
  <c r="I5" i="8"/>
  <c r="L159" i="8"/>
  <c r="D159" i="8"/>
  <c r="K159" i="8"/>
  <c r="B159" i="8"/>
  <c r="I159" i="8"/>
  <c r="P159" i="8"/>
  <c r="H159" i="8"/>
  <c r="M159" i="8"/>
  <c r="E159" i="8"/>
  <c r="O159" i="8"/>
  <c r="N159" i="8"/>
  <c r="J159" i="8"/>
  <c r="G159" i="8"/>
  <c r="F159" i="8"/>
  <c r="N289" i="8"/>
  <c r="F289" i="8"/>
  <c r="M289" i="8"/>
  <c r="E289" i="8"/>
  <c r="K289" i="8"/>
  <c r="B289" i="8"/>
  <c r="J289" i="8"/>
  <c r="L289" i="8"/>
  <c r="I289" i="8"/>
  <c r="D289" i="8"/>
  <c r="O289" i="8"/>
  <c r="H289" i="8"/>
  <c r="G289" i="8"/>
  <c r="P289" i="8"/>
  <c r="P540" i="8"/>
  <c r="H540" i="8"/>
  <c r="O540" i="8"/>
  <c r="G540" i="8"/>
  <c r="N540" i="8"/>
  <c r="F540" i="8"/>
  <c r="M540" i="8"/>
  <c r="E540" i="8"/>
  <c r="L540" i="8"/>
  <c r="D540" i="8"/>
  <c r="K540" i="8"/>
  <c r="J540" i="8"/>
  <c r="I540" i="8"/>
  <c r="B540" i="8"/>
  <c r="K863" i="8"/>
  <c r="B863" i="8"/>
  <c r="I863" i="8"/>
  <c r="N863" i="8"/>
  <c r="F863" i="8"/>
  <c r="H863" i="8"/>
  <c r="G863" i="8"/>
  <c r="E863" i="8"/>
  <c r="P863" i="8"/>
  <c r="D863" i="8"/>
  <c r="O863" i="8"/>
  <c r="J863" i="8"/>
  <c r="M863" i="8"/>
  <c r="L863" i="8"/>
  <c r="P516" i="8"/>
  <c r="H516" i="8"/>
  <c r="O516" i="8"/>
  <c r="G516" i="8"/>
  <c r="N516" i="8"/>
  <c r="F516" i="8"/>
  <c r="M516" i="8"/>
  <c r="E516" i="8"/>
  <c r="L516" i="8"/>
  <c r="D516" i="8"/>
  <c r="K516" i="8"/>
  <c r="J516" i="8"/>
  <c r="I516" i="8"/>
  <c r="B516" i="8"/>
  <c r="K142" i="8"/>
  <c r="B142" i="8"/>
  <c r="J142" i="8"/>
  <c r="P142" i="8"/>
  <c r="H142" i="8"/>
  <c r="O142" i="8"/>
  <c r="G142" i="8"/>
  <c r="L142" i="8"/>
  <c r="D142" i="8"/>
  <c r="N142" i="8"/>
  <c r="M142" i="8"/>
  <c r="I142" i="8"/>
  <c r="F142" i="8"/>
  <c r="E142" i="8"/>
  <c r="N530" i="8"/>
  <c r="F530" i="8"/>
  <c r="M530" i="8"/>
  <c r="E530" i="8"/>
  <c r="L530" i="8"/>
  <c r="D530" i="8"/>
  <c r="K530" i="8"/>
  <c r="B530" i="8"/>
  <c r="J530" i="8"/>
  <c r="P530" i="8"/>
  <c r="O530" i="8"/>
  <c r="I530" i="8"/>
  <c r="H530" i="8"/>
  <c r="G530" i="8"/>
  <c r="N193" i="8"/>
  <c r="F193" i="8"/>
  <c r="M193" i="8"/>
  <c r="E193" i="8"/>
  <c r="K193" i="8"/>
  <c r="B193" i="8"/>
  <c r="J193" i="8"/>
  <c r="O193" i="8"/>
  <c r="G193" i="8"/>
  <c r="P193" i="8"/>
  <c r="L193" i="8"/>
  <c r="I193" i="8"/>
  <c r="H193" i="8"/>
  <c r="D193" i="8"/>
  <c r="L239" i="8"/>
  <c r="D239" i="8"/>
  <c r="K239" i="8"/>
  <c r="B239" i="8"/>
  <c r="I239" i="8"/>
  <c r="P239" i="8"/>
  <c r="H239" i="8"/>
  <c r="J239" i="8"/>
  <c r="G239" i="8"/>
  <c r="M239" i="8"/>
  <c r="E239" i="8"/>
  <c r="F239" i="8"/>
  <c r="O239" i="8"/>
  <c r="N239" i="8"/>
  <c r="L279" i="8"/>
  <c r="D279" i="8"/>
  <c r="K279" i="8"/>
  <c r="B279" i="8"/>
  <c r="I279" i="8"/>
  <c r="P279" i="8"/>
  <c r="H279" i="8"/>
  <c r="O279" i="8"/>
  <c r="J279" i="8"/>
  <c r="E279" i="8"/>
  <c r="M279" i="8"/>
  <c r="G279" i="8"/>
  <c r="N279" i="8"/>
  <c r="F279" i="8"/>
  <c r="I148" i="8"/>
  <c r="P148" i="8"/>
  <c r="H148" i="8"/>
  <c r="N148" i="8"/>
  <c r="F148" i="8"/>
  <c r="M148" i="8"/>
  <c r="E148" i="8"/>
  <c r="J148" i="8"/>
  <c r="O148" i="8"/>
  <c r="L148" i="8"/>
  <c r="K148" i="8"/>
  <c r="G148" i="8"/>
  <c r="D148" i="8"/>
  <c r="B148" i="8"/>
  <c r="L362" i="8"/>
  <c r="D362" i="8"/>
  <c r="K362" i="8"/>
  <c r="B362" i="8"/>
  <c r="J362" i="8"/>
  <c r="I362" i="8"/>
  <c r="P362" i="8"/>
  <c r="H362" i="8"/>
  <c r="O362" i="8"/>
  <c r="N362" i="8"/>
  <c r="G362" i="8"/>
  <c r="F362" i="8"/>
  <c r="E362" i="8"/>
  <c r="M362" i="8"/>
  <c r="K551" i="8"/>
  <c r="B551" i="8"/>
  <c r="J551" i="8"/>
  <c r="I551" i="8"/>
  <c r="P551" i="8"/>
  <c r="H551" i="8"/>
  <c r="O551" i="8"/>
  <c r="G551" i="8"/>
  <c r="D551" i="8"/>
  <c r="N551" i="8"/>
  <c r="M551" i="8"/>
  <c r="L551" i="8"/>
  <c r="F551" i="8"/>
  <c r="E551" i="8"/>
  <c r="N364" i="8"/>
  <c r="F364" i="8"/>
  <c r="M364" i="8"/>
  <c r="E364" i="8"/>
  <c r="L364" i="8"/>
  <c r="D364" i="8"/>
  <c r="K364" i="8"/>
  <c r="B364" i="8"/>
  <c r="J364" i="8"/>
  <c r="H364" i="8"/>
  <c r="G364" i="8"/>
  <c r="P364" i="8"/>
  <c r="O364" i="8"/>
  <c r="I364" i="8"/>
  <c r="N206" i="8"/>
  <c r="F206" i="8"/>
  <c r="J206" i="8"/>
  <c r="O206" i="8"/>
  <c r="D206" i="8"/>
  <c r="M206" i="8"/>
  <c r="B206" i="8"/>
  <c r="K206" i="8"/>
  <c r="I206" i="8"/>
  <c r="P206" i="8"/>
  <c r="E206" i="8"/>
  <c r="H206" i="8"/>
  <c r="G206" i="8"/>
  <c r="L206" i="8"/>
  <c r="O795" i="8"/>
  <c r="G795" i="8"/>
  <c r="N795" i="8"/>
  <c r="F795" i="8"/>
  <c r="M795" i="8"/>
  <c r="E795" i="8"/>
  <c r="L795" i="8"/>
  <c r="K795" i="8"/>
  <c r="I795" i="8"/>
  <c r="H795" i="8"/>
  <c r="P795" i="8"/>
  <c r="J795" i="8"/>
  <c r="D795" i="8"/>
  <c r="B795" i="8"/>
  <c r="M144" i="8"/>
  <c r="E144" i="8"/>
  <c r="L144" i="8"/>
  <c r="D144" i="8"/>
  <c r="J144" i="8"/>
  <c r="I144" i="8"/>
  <c r="N144" i="8"/>
  <c r="F144" i="8"/>
  <c r="K144" i="8"/>
  <c r="H144" i="8"/>
  <c r="G144" i="8"/>
  <c r="B144" i="8"/>
  <c r="P144" i="8"/>
  <c r="O144" i="8"/>
  <c r="O314" i="8"/>
  <c r="G314" i="8"/>
  <c r="N314" i="8"/>
  <c r="F314" i="8"/>
  <c r="L314" i="8"/>
  <c r="D314" i="8"/>
  <c r="K314" i="8"/>
  <c r="B314" i="8"/>
  <c r="E314" i="8"/>
  <c r="P314" i="8"/>
  <c r="M314" i="8"/>
  <c r="H314" i="8"/>
  <c r="I314" i="8"/>
  <c r="J314" i="8"/>
  <c r="I399" i="8"/>
  <c r="P399" i="8"/>
  <c r="H399" i="8"/>
  <c r="O399" i="8"/>
  <c r="G399" i="8"/>
  <c r="N399" i="8"/>
  <c r="F399" i="8"/>
  <c r="M399" i="8"/>
  <c r="E399" i="8"/>
  <c r="L399" i="8"/>
  <c r="J399" i="8"/>
  <c r="D399" i="8"/>
  <c r="B399" i="8"/>
  <c r="K399" i="8"/>
  <c r="N498" i="8"/>
  <c r="F498" i="8"/>
  <c r="M498" i="8"/>
  <c r="E498" i="8"/>
  <c r="L498" i="8"/>
  <c r="D498" i="8"/>
  <c r="K498" i="8"/>
  <c r="B498" i="8"/>
  <c r="J498" i="8"/>
  <c r="H498" i="8"/>
  <c r="G498" i="8"/>
  <c r="P498" i="8"/>
  <c r="O498" i="8"/>
  <c r="I498" i="8"/>
  <c r="O21" i="8"/>
  <c r="G21" i="8"/>
  <c r="N21" i="8"/>
  <c r="F21" i="8"/>
  <c r="M21" i="8"/>
  <c r="E21" i="8"/>
  <c r="L21" i="8"/>
  <c r="D21" i="8"/>
  <c r="K21" i="8"/>
  <c r="B21" i="8"/>
  <c r="J21" i="8"/>
  <c r="P21" i="8"/>
  <c r="H21" i="8"/>
  <c r="I21" i="8"/>
  <c r="M192" i="8"/>
  <c r="E192" i="8"/>
  <c r="L192" i="8"/>
  <c r="D192" i="8"/>
  <c r="J192" i="8"/>
  <c r="I192" i="8"/>
  <c r="N192" i="8"/>
  <c r="F192" i="8"/>
  <c r="P192" i="8"/>
  <c r="O192" i="8"/>
  <c r="K192" i="8"/>
  <c r="H192" i="8"/>
  <c r="G192" i="8"/>
  <c r="B192" i="8"/>
  <c r="I375" i="8"/>
  <c r="P375" i="8"/>
  <c r="H375" i="8"/>
  <c r="O375" i="8"/>
  <c r="G375" i="8"/>
  <c r="N375" i="8"/>
  <c r="F375" i="8"/>
  <c r="M375" i="8"/>
  <c r="E375" i="8"/>
  <c r="L375" i="8"/>
  <c r="K375" i="8"/>
  <c r="D375" i="8"/>
  <c r="B375" i="8"/>
  <c r="J375" i="8"/>
  <c r="N412" i="8"/>
  <c r="F412" i="8"/>
  <c r="M412" i="8"/>
  <c r="E412" i="8"/>
  <c r="L412" i="8"/>
  <c r="D412" i="8"/>
  <c r="K412" i="8"/>
  <c r="B412" i="8"/>
  <c r="J412" i="8"/>
  <c r="O412" i="8"/>
  <c r="I412" i="8"/>
  <c r="G412" i="8"/>
  <c r="P412" i="8"/>
  <c r="H412" i="8"/>
  <c r="O274" i="8"/>
  <c r="G274" i="8"/>
  <c r="N274" i="8"/>
  <c r="F274" i="8"/>
  <c r="L274" i="8"/>
  <c r="D274" i="8"/>
  <c r="K274" i="8"/>
  <c r="B274" i="8"/>
  <c r="M274" i="8"/>
  <c r="J274" i="8"/>
  <c r="E274" i="8"/>
  <c r="P274" i="8"/>
  <c r="I274" i="8"/>
  <c r="H274" i="8"/>
  <c r="P899" i="8"/>
  <c r="H899" i="8"/>
  <c r="O899" i="8"/>
  <c r="F899" i="8"/>
  <c r="L899" i="8"/>
  <c r="B899" i="8"/>
  <c r="K899" i="8"/>
  <c r="J899" i="8"/>
  <c r="I899" i="8"/>
  <c r="G899" i="8"/>
  <c r="N899" i="8"/>
  <c r="M899" i="8"/>
  <c r="E899" i="8"/>
  <c r="D899" i="8"/>
  <c r="N153" i="8"/>
  <c r="F153" i="8"/>
  <c r="M153" i="8"/>
  <c r="E153" i="8"/>
  <c r="K153" i="8"/>
  <c r="B153" i="8"/>
  <c r="J153" i="8"/>
  <c r="O153" i="8"/>
  <c r="G153" i="8"/>
  <c r="D153" i="8"/>
  <c r="P153" i="8"/>
  <c r="L153" i="8"/>
  <c r="I153" i="8"/>
  <c r="H153" i="8"/>
  <c r="P995" i="8"/>
  <c r="H995" i="8"/>
  <c r="I995" i="8"/>
  <c r="G995" i="8"/>
  <c r="O995" i="8"/>
  <c r="F995" i="8"/>
  <c r="N995" i="8"/>
  <c r="E995" i="8"/>
  <c r="M995" i="8"/>
  <c r="L995" i="8"/>
  <c r="K995" i="8"/>
  <c r="J995" i="8"/>
  <c r="D995" i="8"/>
  <c r="B995" i="8"/>
  <c r="I225" i="8"/>
  <c r="P225" i="8"/>
  <c r="H225" i="8"/>
  <c r="M225" i="8"/>
  <c r="E225" i="8"/>
  <c r="J225" i="8"/>
  <c r="F225" i="8"/>
  <c r="D225" i="8"/>
  <c r="O225" i="8"/>
  <c r="N225" i="8"/>
  <c r="G225" i="8"/>
  <c r="L225" i="8"/>
  <c r="K225" i="8"/>
  <c r="B225" i="8"/>
  <c r="L175" i="8"/>
  <c r="D175" i="8"/>
  <c r="K175" i="8"/>
  <c r="B175" i="8"/>
  <c r="I175" i="8"/>
  <c r="P175" i="8"/>
  <c r="H175" i="8"/>
  <c r="M175" i="8"/>
  <c r="E175" i="8"/>
  <c r="O175" i="8"/>
  <c r="N175" i="8"/>
  <c r="J175" i="8"/>
  <c r="G175" i="8"/>
  <c r="F175" i="8"/>
  <c r="L663" i="8"/>
  <c r="D663" i="8"/>
  <c r="K663" i="8"/>
  <c r="B663" i="8"/>
  <c r="J663" i="8"/>
  <c r="I663" i="8"/>
  <c r="H663" i="8"/>
  <c r="G663" i="8"/>
  <c r="F663" i="8"/>
  <c r="E663" i="8"/>
  <c r="P663" i="8"/>
  <c r="N663" i="8"/>
  <c r="M663" i="8"/>
  <c r="O663" i="8"/>
  <c r="L394" i="8"/>
  <c r="D394" i="8"/>
  <c r="K394" i="8"/>
  <c r="B394" i="8"/>
  <c r="J394" i="8"/>
  <c r="I394" i="8"/>
  <c r="P394" i="8"/>
  <c r="H394" i="8"/>
  <c r="F394" i="8"/>
  <c r="E394" i="8"/>
  <c r="O394" i="8"/>
  <c r="N394" i="8"/>
  <c r="G394" i="8"/>
  <c r="M394" i="8"/>
  <c r="I217" i="8"/>
  <c r="M217" i="8"/>
  <c r="E217" i="8"/>
  <c r="J217" i="8"/>
  <c r="H217" i="8"/>
  <c r="P217" i="8"/>
  <c r="F217" i="8"/>
  <c r="O217" i="8"/>
  <c r="D217" i="8"/>
  <c r="K217" i="8"/>
  <c r="N217" i="8"/>
  <c r="L217" i="8"/>
  <c r="G217" i="8"/>
  <c r="B217" i="8"/>
  <c r="O223" i="8"/>
  <c r="G223" i="8"/>
  <c r="N223" i="8"/>
  <c r="F223" i="8"/>
  <c r="K223" i="8"/>
  <c r="B223" i="8"/>
  <c r="P223" i="8"/>
  <c r="H223" i="8"/>
  <c r="D223" i="8"/>
  <c r="M223" i="8"/>
  <c r="L223" i="8"/>
  <c r="E223" i="8"/>
  <c r="J223" i="8"/>
  <c r="I223" i="8"/>
  <c r="L183" i="8"/>
  <c r="D183" i="8"/>
  <c r="K183" i="8"/>
  <c r="B183" i="8"/>
  <c r="I183" i="8"/>
  <c r="P183" i="8"/>
  <c r="H183" i="8"/>
  <c r="M183" i="8"/>
  <c r="E183" i="8"/>
  <c r="O183" i="8"/>
  <c r="N183" i="8"/>
  <c r="J183" i="8"/>
  <c r="G183" i="8"/>
  <c r="F183" i="8"/>
  <c r="N137" i="8"/>
  <c r="F137" i="8"/>
  <c r="M137" i="8"/>
  <c r="E137" i="8"/>
  <c r="K137" i="8"/>
  <c r="B137" i="8"/>
  <c r="J137" i="8"/>
  <c r="O137" i="8"/>
  <c r="G137" i="8"/>
  <c r="I137" i="8"/>
  <c r="H137" i="8"/>
  <c r="D137" i="8"/>
  <c r="P137" i="8"/>
  <c r="L137" i="8"/>
  <c r="N404" i="8"/>
  <c r="F404" i="8"/>
  <c r="M404" i="8"/>
  <c r="E404" i="8"/>
  <c r="L404" i="8"/>
  <c r="D404" i="8"/>
  <c r="K404" i="8"/>
  <c r="B404" i="8"/>
  <c r="J404" i="8"/>
  <c r="G404" i="8"/>
  <c r="P404" i="8"/>
  <c r="O404" i="8"/>
  <c r="I404" i="8"/>
  <c r="H404" i="8"/>
  <c r="I124" i="8"/>
  <c r="P124" i="8"/>
  <c r="H124" i="8"/>
  <c r="N124" i="8"/>
  <c r="F124" i="8"/>
  <c r="M124" i="8"/>
  <c r="E124" i="8"/>
  <c r="J124" i="8"/>
  <c r="L124" i="8"/>
  <c r="K124" i="8"/>
  <c r="G124" i="8"/>
  <c r="D124" i="8"/>
  <c r="B124" i="8"/>
  <c r="O124" i="8"/>
  <c r="N939" i="8"/>
  <c r="F939" i="8"/>
  <c r="M939" i="8"/>
  <c r="E939" i="8"/>
  <c r="L939" i="8"/>
  <c r="D939" i="8"/>
  <c r="I939" i="8"/>
  <c r="H939" i="8"/>
  <c r="G939" i="8"/>
  <c r="B939" i="8"/>
  <c r="P939" i="8"/>
  <c r="J939" i="8"/>
  <c r="K939" i="8"/>
  <c r="O939" i="8"/>
  <c r="N594" i="8"/>
  <c r="F594" i="8"/>
  <c r="M594" i="8"/>
  <c r="E594" i="8"/>
  <c r="L594" i="8"/>
  <c r="D594" i="8"/>
  <c r="K594" i="8"/>
  <c r="B594" i="8"/>
  <c r="J594" i="8"/>
  <c r="P594" i="8"/>
  <c r="O594" i="8"/>
  <c r="I594" i="8"/>
  <c r="H594" i="8"/>
  <c r="G594" i="8"/>
  <c r="J871" i="8"/>
  <c r="O871" i="8"/>
  <c r="G871" i="8"/>
  <c r="F871" i="8"/>
  <c r="P871" i="8"/>
  <c r="E871" i="8"/>
  <c r="N871" i="8"/>
  <c r="D871" i="8"/>
  <c r="K871" i="8"/>
  <c r="M871" i="8"/>
  <c r="L871" i="8"/>
  <c r="I871" i="8"/>
  <c r="B871" i="8"/>
  <c r="H871" i="8"/>
  <c r="K918" i="8"/>
  <c r="B918" i="8"/>
  <c r="J918" i="8"/>
  <c r="I918" i="8"/>
  <c r="P918" i="8"/>
  <c r="H918" i="8"/>
  <c r="O918" i="8"/>
  <c r="L918" i="8"/>
  <c r="G918" i="8"/>
  <c r="F918" i="8"/>
  <c r="M918" i="8"/>
  <c r="E918" i="8"/>
  <c r="D918" i="8"/>
  <c r="N918" i="8"/>
  <c r="L50" i="8"/>
  <c r="D50" i="8"/>
  <c r="K50" i="8"/>
  <c r="B50" i="8"/>
  <c r="J50" i="8"/>
  <c r="I50" i="8"/>
  <c r="P50" i="8"/>
  <c r="H50" i="8"/>
  <c r="O50" i="8"/>
  <c r="G50" i="8"/>
  <c r="N50" i="8"/>
  <c r="M50" i="8"/>
  <c r="E50" i="8"/>
  <c r="F50" i="8"/>
  <c r="L26" i="8"/>
  <c r="D26" i="8"/>
  <c r="K26" i="8"/>
  <c r="B26" i="8"/>
  <c r="J26" i="8"/>
  <c r="I26" i="8"/>
  <c r="P26" i="8"/>
  <c r="H26" i="8"/>
  <c r="O26" i="8"/>
  <c r="G26" i="8"/>
  <c r="M26" i="8"/>
  <c r="E26" i="8"/>
  <c r="N26" i="8"/>
  <c r="F26" i="8"/>
  <c r="L2" i="8"/>
  <c r="D2" i="8"/>
  <c r="K2" i="8"/>
  <c r="B2" i="8"/>
  <c r="J2" i="8"/>
  <c r="I2" i="8"/>
  <c r="P2" i="8"/>
  <c r="H2" i="8"/>
  <c r="M2" i="8"/>
  <c r="E2" i="8"/>
  <c r="N2" i="8"/>
  <c r="G2" i="8"/>
  <c r="F2" i="8"/>
  <c r="O2" i="8"/>
  <c r="P208" i="8"/>
  <c r="H208" i="8"/>
  <c r="L208" i="8"/>
  <c r="D208" i="8"/>
  <c r="F208" i="8"/>
  <c r="O208" i="8"/>
  <c r="E208" i="8"/>
  <c r="M208" i="8"/>
  <c r="K208" i="8"/>
  <c r="G208" i="8"/>
  <c r="I208" i="8"/>
  <c r="B208" i="8"/>
  <c r="N208" i="8"/>
  <c r="J208" i="8"/>
  <c r="M793" i="8"/>
  <c r="E793" i="8"/>
  <c r="L793" i="8"/>
  <c r="D793" i="8"/>
  <c r="K793" i="8"/>
  <c r="F793" i="8"/>
  <c r="P793" i="8"/>
  <c r="B793" i="8"/>
  <c r="N793" i="8"/>
  <c r="J793" i="8"/>
  <c r="G793" i="8"/>
  <c r="O793" i="8"/>
  <c r="I793" i="8"/>
  <c r="H793" i="8"/>
  <c r="N626" i="8"/>
  <c r="F626" i="8"/>
  <c r="M626" i="8"/>
  <c r="E626" i="8"/>
  <c r="L626" i="8"/>
  <c r="D626" i="8"/>
  <c r="K626" i="8"/>
  <c r="B626" i="8"/>
  <c r="J626" i="8"/>
  <c r="G626" i="8"/>
  <c r="P626" i="8"/>
  <c r="O626" i="8"/>
  <c r="I626" i="8"/>
  <c r="H626" i="8"/>
  <c r="O266" i="8"/>
  <c r="G266" i="8"/>
  <c r="N266" i="8"/>
  <c r="F266" i="8"/>
  <c r="L266" i="8"/>
  <c r="D266" i="8"/>
  <c r="K266" i="8"/>
  <c r="B266" i="8"/>
  <c r="E266" i="8"/>
  <c r="M266" i="8"/>
  <c r="H266" i="8"/>
  <c r="P266" i="8"/>
  <c r="J266" i="8"/>
  <c r="I266" i="8"/>
  <c r="I439" i="8"/>
  <c r="P439" i="8"/>
  <c r="H439" i="8"/>
  <c r="O439" i="8"/>
  <c r="G439" i="8"/>
  <c r="N439" i="8"/>
  <c r="F439" i="8"/>
  <c r="M439" i="8"/>
  <c r="E439" i="8"/>
  <c r="L439" i="8"/>
  <c r="K439" i="8"/>
  <c r="D439" i="8"/>
  <c r="B439" i="8"/>
  <c r="J439" i="8"/>
  <c r="K754" i="8"/>
  <c r="B754" i="8"/>
  <c r="J754" i="8"/>
  <c r="I754" i="8"/>
  <c r="P754" i="8"/>
  <c r="H754" i="8"/>
  <c r="F754" i="8"/>
  <c r="E754" i="8"/>
  <c r="D754" i="8"/>
  <c r="O754" i="8"/>
  <c r="N754" i="8"/>
  <c r="M754" i="8"/>
  <c r="L754" i="8"/>
  <c r="G754" i="8"/>
  <c r="N947" i="8"/>
  <c r="F947" i="8"/>
  <c r="M947" i="8"/>
  <c r="E947" i="8"/>
  <c r="L947" i="8"/>
  <c r="D947" i="8"/>
  <c r="J947" i="8"/>
  <c r="P947" i="8"/>
  <c r="O947" i="8"/>
  <c r="K947" i="8"/>
  <c r="I947" i="8"/>
  <c r="H947" i="8"/>
  <c r="B947" i="8"/>
  <c r="G947" i="8"/>
  <c r="P971" i="8"/>
  <c r="H971" i="8"/>
  <c r="L971" i="8"/>
  <c r="B971" i="8"/>
  <c r="K971" i="8"/>
  <c r="J971" i="8"/>
  <c r="I971" i="8"/>
  <c r="M971" i="8"/>
  <c r="G971" i="8"/>
  <c r="F971" i="8"/>
  <c r="E971" i="8"/>
  <c r="D971" i="8"/>
  <c r="O971" i="8"/>
  <c r="N971" i="8"/>
  <c r="K479" i="8"/>
  <c r="B479" i="8"/>
  <c r="I479" i="8"/>
  <c r="P479" i="8"/>
  <c r="H479" i="8"/>
  <c r="O479" i="8"/>
  <c r="G479" i="8"/>
  <c r="D479" i="8"/>
  <c r="N479" i="8"/>
  <c r="M479" i="8"/>
  <c r="L479" i="8"/>
  <c r="F479" i="8"/>
  <c r="E479" i="8"/>
  <c r="J479" i="8"/>
  <c r="N169" i="8"/>
  <c r="F169" i="8"/>
  <c r="M169" i="8"/>
  <c r="E169" i="8"/>
  <c r="K169" i="8"/>
  <c r="B169" i="8"/>
  <c r="J169" i="8"/>
  <c r="O169" i="8"/>
  <c r="G169" i="8"/>
  <c r="P169" i="8"/>
  <c r="L169" i="8"/>
  <c r="I169" i="8"/>
  <c r="H169" i="8"/>
  <c r="D169" i="8"/>
  <c r="I324" i="8"/>
  <c r="P324" i="8"/>
  <c r="H324" i="8"/>
  <c r="N324" i="8"/>
  <c r="F324" i="8"/>
  <c r="M324" i="8"/>
  <c r="E324" i="8"/>
  <c r="L324" i="8"/>
  <c r="D324" i="8"/>
  <c r="O324" i="8"/>
  <c r="K324" i="8"/>
  <c r="B324" i="8"/>
  <c r="J324" i="8"/>
  <c r="G324" i="8"/>
  <c r="L327" i="8"/>
  <c r="D327" i="8"/>
  <c r="K327" i="8"/>
  <c r="B327" i="8"/>
  <c r="I327" i="8"/>
  <c r="P327" i="8"/>
  <c r="H327" i="8"/>
  <c r="O327" i="8"/>
  <c r="G327" i="8"/>
  <c r="M327" i="8"/>
  <c r="J327" i="8"/>
  <c r="E327" i="8"/>
  <c r="N327" i="8"/>
  <c r="F327" i="8"/>
  <c r="L378" i="8"/>
  <c r="D378" i="8"/>
  <c r="K378" i="8"/>
  <c r="B378" i="8"/>
  <c r="J378" i="8"/>
  <c r="I378" i="8"/>
  <c r="P378" i="8"/>
  <c r="H378" i="8"/>
  <c r="M378" i="8"/>
  <c r="G378" i="8"/>
  <c r="E378" i="8"/>
  <c r="N378" i="8"/>
  <c r="F378" i="8"/>
  <c r="O378" i="8"/>
  <c r="O207" i="8"/>
  <c r="G207" i="8"/>
  <c r="K207" i="8"/>
  <c r="B207" i="8"/>
  <c r="J207" i="8"/>
  <c r="I207" i="8"/>
  <c r="F207" i="8"/>
  <c r="P207" i="8"/>
  <c r="E207" i="8"/>
  <c r="L207" i="8"/>
  <c r="N207" i="8"/>
  <c r="M207" i="8"/>
  <c r="H207" i="8"/>
  <c r="D207" i="8"/>
  <c r="L679" i="8"/>
  <c r="D679" i="8"/>
  <c r="K679" i="8"/>
  <c r="B679" i="8"/>
  <c r="J679" i="8"/>
  <c r="I679" i="8"/>
  <c r="P679" i="8"/>
  <c r="H679" i="8"/>
  <c r="O679" i="8"/>
  <c r="N679" i="8"/>
  <c r="M679" i="8"/>
  <c r="G679" i="8"/>
  <c r="F679" i="8"/>
  <c r="E679" i="8"/>
  <c r="I47" i="8"/>
  <c r="P47" i="8"/>
  <c r="H47" i="8"/>
  <c r="O47" i="8"/>
  <c r="G47" i="8"/>
  <c r="N47" i="8"/>
  <c r="F47" i="8"/>
  <c r="M47" i="8"/>
  <c r="E47" i="8"/>
  <c r="L47" i="8"/>
  <c r="D47" i="8"/>
  <c r="J47" i="8"/>
  <c r="K47" i="8"/>
  <c r="B47" i="8"/>
  <c r="I308" i="8"/>
  <c r="P308" i="8"/>
  <c r="H308" i="8"/>
  <c r="N308" i="8"/>
  <c r="F308" i="8"/>
  <c r="M308" i="8"/>
  <c r="E308" i="8"/>
  <c r="O308" i="8"/>
  <c r="L308" i="8"/>
  <c r="J308" i="8"/>
  <c r="G308" i="8"/>
  <c r="K308" i="8"/>
  <c r="D308" i="8"/>
  <c r="B308" i="8"/>
  <c r="M537" i="8"/>
  <c r="E537" i="8"/>
  <c r="L537" i="8"/>
  <c r="D537" i="8"/>
  <c r="K537" i="8"/>
  <c r="B537" i="8"/>
  <c r="J537" i="8"/>
  <c r="I537" i="8"/>
  <c r="P537" i="8"/>
  <c r="O537" i="8"/>
  <c r="N537" i="8"/>
  <c r="H537" i="8"/>
  <c r="G537" i="8"/>
  <c r="F537" i="8"/>
  <c r="I934" i="8"/>
  <c r="P934" i="8"/>
  <c r="H934" i="8"/>
  <c r="O934" i="8"/>
  <c r="G934" i="8"/>
  <c r="F934" i="8"/>
  <c r="E934" i="8"/>
  <c r="D934" i="8"/>
  <c r="N934" i="8"/>
  <c r="B934" i="8"/>
  <c r="M934" i="8"/>
  <c r="J934" i="8"/>
  <c r="L934" i="8"/>
  <c r="K934" i="8"/>
  <c r="N826" i="8"/>
  <c r="F826" i="8"/>
  <c r="M826" i="8"/>
  <c r="E826" i="8"/>
  <c r="L826" i="8"/>
  <c r="D826" i="8"/>
  <c r="K826" i="8"/>
  <c r="B826" i="8"/>
  <c r="O826" i="8"/>
  <c r="J826" i="8"/>
  <c r="G826" i="8"/>
  <c r="H826" i="8"/>
  <c r="P826" i="8"/>
  <c r="I826" i="8"/>
  <c r="O13" i="8"/>
  <c r="G13" i="8"/>
  <c r="N13" i="8"/>
  <c r="F13" i="8"/>
  <c r="M13" i="8"/>
  <c r="E13" i="8"/>
  <c r="L13" i="8"/>
  <c r="D13" i="8"/>
  <c r="K13" i="8"/>
  <c r="B13" i="8"/>
  <c r="P13" i="8"/>
  <c r="H13" i="8"/>
  <c r="I13" i="8"/>
  <c r="J13" i="8"/>
  <c r="O706" i="8"/>
  <c r="G706" i="8"/>
  <c r="N706" i="8"/>
  <c r="F706" i="8"/>
  <c r="M706" i="8"/>
  <c r="E706" i="8"/>
  <c r="L706" i="8"/>
  <c r="D706" i="8"/>
  <c r="K706" i="8"/>
  <c r="B706" i="8"/>
  <c r="P706" i="8"/>
  <c r="J706" i="8"/>
  <c r="H706" i="8"/>
  <c r="I706" i="8"/>
  <c r="I276" i="8"/>
  <c r="P276" i="8"/>
  <c r="H276" i="8"/>
  <c r="N276" i="8"/>
  <c r="F276" i="8"/>
  <c r="M276" i="8"/>
  <c r="E276" i="8"/>
  <c r="O276" i="8"/>
  <c r="L276" i="8"/>
  <c r="G276" i="8"/>
  <c r="K276" i="8"/>
  <c r="J276" i="8"/>
  <c r="B276" i="8"/>
  <c r="D276" i="8"/>
  <c r="P460" i="8"/>
  <c r="H460" i="8"/>
  <c r="N460" i="8"/>
  <c r="F460" i="8"/>
  <c r="M460" i="8"/>
  <c r="E460" i="8"/>
  <c r="L460" i="8"/>
  <c r="D460" i="8"/>
  <c r="O460" i="8"/>
  <c r="K460" i="8"/>
  <c r="J460" i="8"/>
  <c r="I460" i="8"/>
  <c r="G460" i="8"/>
  <c r="B460" i="8"/>
  <c r="L343" i="8"/>
  <c r="D343" i="8"/>
  <c r="K343" i="8"/>
  <c r="B343" i="8"/>
  <c r="I343" i="8"/>
  <c r="P343" i="8"/>
  <c r="H343" i="8"/>
  <c r="O343" i="8"/>
  <c r="G343" i="8"/>
  <c r="N343" i="8"/>
  <c r="M343" i="8"/>
  <c r="F343" i="8"/>
  <c r="E343" i="8"/>
  <c r="J343" i="8"/>
  <c r="I955" i="8"/>
  <c r="P955" i="8"/>
  <c r="H955" i="8"/>
  <c r="N955" i="8"/>
  <c r="F955" i="8"/>
  <c r="D955" i="8"/>
  <c r="O955" i="8"/>
  <c r="B955" i="8"/>
  <c r="M955" i="8"/>
  <c r="L955" i="8"/>
  <c r="K955" i="8"/>
  <c r="J955" i="8"/>
  <c r="G955" i="8"/>
  <c r="E955" i="8"/>
  <c r="I316" i="8"/>
  <c r="P316" i="8"/>
  <c r="H316" i="8"/>
  <c r="N316" i="8"/>
  <c r="F316" i="8"/>
  <c r="M316" i="8"/>
  <c r="E316" i="8"/>
  <c r="G316" i="8"/>
  <c r="D316" i="8"/>
  <c r="O316" i="8"/>
  <c r="J316" i="8"/>
  <c r="L316" i="8"/>
  <c r="B316" i="8"/>
  <c r="K316" i="8"/>
  <c r="N522" i="8"/>
  <c r="F522" i="8"/>
  <c r="M522" i="8"/>
  <c r="E522" i="8"/>
  <c r="L522" i="8"/>
  <c r="D522" i="8"/>
  <c r="K522" i="8"/>
  <c r="B522" i="8"/>
  <c r="J522" i="8"/>
  <c r="I522" i="8"/>
  <c r="H522" i="8"/>
  <c r="G522" i="8"/>
  <c r="P522" i="8"/>
  <c r="O522" i="8"/>
  <c r="J550" i="8"/>
  <c r="I550" i="8"/>
  <c r="P550" i="8"/>
  <c r="H550" i="8"/>
  <c r="O550" i="8"/>
  <c r="G550" i="8"/>
  <c r="N550" i="8"/>
  <c r="F550" i="8"/>
  <c r="M550" i="8"/>
  <c r="L550" i="8"/>
  <c r="K550" i="8"/>
  <c r="E550" i="8"/>
  <c r="D550" i="8"/>
  <c r="B550" i="8"/>
  <c r="N185" i="8"/>
  <c r="F185" i="8"/>
  <c r="M185" i="8"/>
  <c r="E185" i="8"/>
  <c r="K185" i="8"/>
  <c r="B185" i="8"/>
  <c r="J185" i="8"/>
  <c r="O185" i="8"/>
  <c r="G185" i="8"/>
  <c r="P185" i="8"/>
  <c r="L185" i="8"/>
  <c r="I185" i="8"/>
  <c r="H185" i="8"/>
  <c r="D185" i="8"/>
  <c r="L255" i="8"/>
  <c r="D255" i="8"/>
  <c r="K255" i="8"/>
  <c r="B255" i="8"/>
  <c r="I255" i="8"/>
  <c r="P255" i="8"/>
  <c r="H255" i="8"/>
  <c r="J255" i="8"/>
  <c r="G255" i="8"/>
  <c r="M255" i="8"/>
  <c r="O255" i="8"/>
  <c r="F255" i="8"/>
  <c r="E255" i="8"/>
  <c r="N255" i="8"/>
  <c r="I164" i="8"/>
  <c r="P164" i="8"/>
  <c r="H164" i="8"/>
  <c r="N164" i="8"/>
  <c r="F164" i="8"/>
  <c r="M164" i="8"/>
  <c r="E164" i="8"/>
  <c r="J164" i="8"/>
  <c r="K164" i="8"/>
  <c r="G164" i="8"/>
  <c r="D164" i="8"/>
  <c r="B164" i="8"/>
  <c r="O164" i="8"/>
  <c r="L164" i="8"/>
  <c r="O53" i="8"/>
  <c r="G53" i="8"/>
  <c r="N53" i="8"/>
  <c r="F53" i="8"/>
  <c r="M53" i="8"/>
  <c r="E53" i="8"/>
  <c r="L53" i="8"/>
  <c r="D53" i="8"/>
  <c r="K53" i="8"/>
  <c r="B53" i="8"/>
  <c r="J53" i="8"/>
  <c r="I53" i="8"/>
  <c r="P53" i="8"/>
  <c r="H53" i="8"/>
  <c r="L143" i="8"/>
  <c r="D143" i="8"/>
  <c r="K143" i="8"/>
  <c r="B143" i="8"/>
  <c r="I143" i="8"/>
  <c r="P143" i="8"/>
  <c r="H143" i="8"/>
  <c r="M143" i="8"/>
  <c r="E143" i="8"/>
  <c r="F143" i="8"/>
  <c r="O143" i="8"/>
  <c r="N143" i="8"/>
  <c r="J143" i="8"/>
  <c r="G143" i="8"/>
  <c r="L687" i="8"/>
  <c r="D687" i="8"/>
  <c r="K687" i="8"/>
  <c r="B687" i="8"/>
  <c r="J687" i="8"/>
  <c r="I687" i="8"/>
  <c r="P687" i="8"/>
  <c r="H687" i="8"/>
  <c r="G687" i="8"/>
  <c r="F687" i="8"/>
  <c r="E687" i="8"/>
  <c r="M687" i="8"/>
  <c r="O687" i="8"/>
  <c r="N687" i="8"/>
  <c r="P500" i="8"/>
  <c r="H500" i="8"/>
  <c r="O500" i="8"/>
  <c r="G500" i="8"/>
  <c r="N500" i="8"/>
  <c r="F500" i="8"/>
  <c r="M500" i="8"/>
  <c r="E500" i="8"/>
  <c r="L500" i="8"/>
  <c r="D500" i="8"/>
  <c r="K500" i="8"/>
  <c r="J500" i="8"/>
  <c r="I500" i="8"/>
  <c r="B500" i="8"/>
  <c r="L370" i="8"/>
  <c r="D370" i="8"/>
  <c r="K370" i="8"/>
  <c r="B370" i="8"/>
  <c r="J370" i="8"/>
  <c r="I370" i="8"/>
  <c r="P370" i="8"/>
  <c r="H370" i="8"/>
  <c r="E370" i="8"/>
  <c r="O370" i="8"/>
  <c r="N370" i="8"/>
  <c r="M370" i="8"/>
  <c r="G370" i="8"/>
  <c r="F370" i="8"/>
  <c r="N921" i="8"/>
  <c r="F921" i="8"/>
  <c r="M921" i="8"/>
  <c r="E921" i="8"/>
  <c r="L921" i="8"/>
  <c r="D921" i="8"/>
  <c r="K921" i="8"/>
  <c r="B921" i="8"/>
  <c r="O921" i="8"/>
  <c r="J921" i="8"/>
  <c r="G921" i="8"/>
  <c r="P921" i="8"/>
  <c r="I921" i="8"/>
  <c r="H921" i="8"/>
  <c r="J879" i="8"/>
  <c r="O879" i="8"/>
  <c r="G879" i="8"/>
  <c r="N879" i="8"/>
  <c r="D879" i="8"/>
  <c r="M879" i="8"/>
  <c r="B879" i="8"/>
  <c r="L879" i="8"/>
  <c r="H879" i="8"/>
  <c r="I879" i="8"/>
  <c r="F879" i="8"/>
  <c r="E879" i="8"/>
  <c r="K879" i="8"/>
  <c r="P879" i="8"/>
  <c r="K807" i="8"/>
  <c r="B807" i="8"/>
  <c r="J807" i="8"/>
  <c r="I807" i="8"/>
  <c r="P807" i="8"/>
  <c r="H807" i="8"/>
  <c r="O807" i="8"/>
  <c r="N807" i="8"/>
  <c r="L807" i="8"/>
  <c r="G807" i="8"/>
  <c r="D807" i="8"/>
  <c r="M807" i="8"/>
  <c r="E807" i="8"/>
  <c r="F807" i="8"/>
  <c r="L945" i="8"/>
  <c r="D945" i="8"/>
  <c r="K945" i="8"/>
  <c r="B945" i="8"/>
  <c r="J945" i="8"/>
  <c r="P945" i="8"/>
  <c r="H945" i="8"/>
  <c r="N945" i="8"/>
  <c r="M945" i="8"/>
  <c r="I945" i="8"/>
  <c r="G945" i="8"/>
  <c r="O945" i="8"/>
  <c r="F945" i="8"/>
  <c r="E945" i="8"/>
  <c r="N113" i="8"/>
  <c r="F113" i="8"/>
  <c r="M113" i="8"/>
  <c r="E113" i="8"/>
  <c r="K113" i="8"/>
  <c r="B113" i="8"/>
  <c r="J113" i="8"/>
  <c r="O113" i="8"/>
  <c r="G113" i="8"/>
  <c r="H113" i="8"/>
  <c r="D113" i="8"/>
  <c r="P113" i="8"/>
  <c r="L113" i="8"/>
  <c r="I113" i="8"/>
  <c r="N444" i="8"/>
  <c r="F444" i="8"/>
  <c r="M444" i="8"/>
  <c r="E444" i="8"/>
  <c r="L444" i="8"/>
  <c r="D444" i="8"/>
  <c r="K444" i="8"/>
  <c r="B444" i="8"/>
  <c r="J444" i="8"/>
  <c r="P444" i="8"/>
  <c r="O444" i="8"/>
  <c r="I444" i="8"/>
  <c r="H444" i="8"/>
  <c r="G444" i="8"/>
  <c r="M120" i="8"/>
  <c r="E120" i="8"/>
  <c r="L120" i="8"/>
  <c r="D120" i="8"/>
  <c r="J120" i="8"/>
  <c r="I120" i="8"/>
  <c r="N120" i="8"/>
  <c r="F120" i="8"/>
  <c r="H120" i="8"/>
  <c r="G120" i="8"/>
  <c r="B120" i="8"/>
  <c r="P120" i="8"/>
  <c r="O120" i="8"/>
  <c r="K120" i="8"/>
  <c r="L937" i="8"/>
  <c r="D937" i="8"/>
  <c r="K937" i="8"/>
  <c r="B937" i="8"/>
  <c r="J937" i="8"/>
  <c r="N937" i="8"/>
  <c r="M937" i="8"/>
  <c r="I937" i="8"/>
  <c r="H937" i="8"/>
  <c r="O937" i="8"/>
  <c r="G937" i="8"/>
  <c r="P937" i="8"/>
  <c r="F937" i="8"/>
  <c r="E937" i="8"/>
  <c r="B21" i="9" l="1"/>
  <c r="F31" i="9"/>
  <c r="F30" i="9"/>
  <c r="F29" i="9"/>
  <c r="F28" i="9"/>
  <c r="B16" i="9"/>
  <c r="B11" i="9"/>
  <c r="B15" i="9"/>
  <c r="B13" i="9"/>
</calcChain>
</file>

<file path=xl/sharedStrings.xml><?xml version="1.0" encoding="utf-8"?>
<sst xmlns="http://schemas.openxmlformats.org/spreadsheetml/2006/main" count="281" uniqueCount="93">
  <si>
    <t>S.No</t>
  </si>
  <si>
    <t>Target Name</t>
  </si>
  <si>
    <t>Target Category</t>
  </si>
  <si>
    <t>Target Address</t>
  </si>
  <si>
    <t>City</t>
  </si>
  <si>
    <t>Provence</t>
  </si>
  <si>
    <t>Client</t>
  </si>
  <si>
    <t>Brand Name</t>
  </si>
  <si>
    <t>Product Name</t>
  </si>
  <si>
    <t>Case Submission Date</t>
  </si>
  <si>
    <t>Case Status</t>
  </si>
  <si>
    <t>Status Date</t>
  </si>
  <si>
    <t>Remarks</t>
  </si>
  <si>
    <t>Due Date</t>
  </si>
  <si>
    <t>Case Approved Date</t>
  </si>
  <si>
    <t>Due Date Override</t>
  </si>
  <si>
    <t>In-Depth Due Date</t>
  </si>
  <si>
    <t>Amount</t>
  </si>
  <si>
    <t>Amount Override</t>
  </si>
  <si>
    <t>Case Approve Date</t>
  </si>
  <si>
    <t>In-Depth Date</t>
  </si>
  <si>
    <t>Enforcement Date</t>
  </si>
  <si>
    <t>CORE CASE OVERVIEW</t>
  </si>
  <si>
    <t>Total Cases</t>
  </si>
  <si>
    <t>Approved Cases</t>
  </si>
  <si>
    <t>Rejected Cases</t>
  </si>
  <si>
    <t>In-Hand Cases</t>
  </si>
  <si>
    <t>Approval Rate (%)</t>
  </si>
  <si>
    <t>Rejection Rate (%)</t>
  </si>
  <si>
    <t>Active Pipeline Cases</t>
  </si>
  <si>
    <t>FINANCIAL SNAPSHOT</t>
  </si>
  <si>
    <t>Approved Revenue (Invoiced)</t>
  </si>
  <si>
    <t>Pending Revenue (In-Hand × $1,500)</t>
  </si>
  <si>
    <t>Potential Revenue (Approved + In-Hand)</t>
  </si>
  <si>
    <t>Total Loss (Rejected × $1,500)</t>
  </si>
  <si>
    <t>Average Revenue per Approved Case</t>
  </si>
  <si>
    <t>Outstanding Invoice Amount</t>
  </si>
  <si>
    <t>AGING &amp; RISK INDICATORS</t>
  </si>
  <si>
    <t>Overdue In-Depth Cases</t>
  </si>
  <si>
    <t>Overdue Enforcement Cases</t>
  </si>
  <si>
    <t>Overdue Invoices</t>
  </si>
  <si>
    <t>Oldest Pending Case (Days)</t>
  </si>
  <si>
    <t>Cases Pending &gt; 7 Days</t>
  </si>
  <si>
    <t>Cases Pending &gt; 14 Days</t>
  </si>
  <si>
    <t>PROVINCE-WISE BREAKDOWN</t>
  </si>
  <si>
    <t>Province</t>
  </si>
  <si>
    <t>Total</t>
  </si>
  <si>
    <t>Approved</t>
  </si>
  <si>
    <t>In-Hand</t>
  </si>
  <si>
    <t>Rejected</t>
  </si>
  <si>
    <t>Approved Revenue</t>
  </si>
  <si>
    <t>Pending Value</t>
  </si>
  <si>
    <t>Sindh</t>
  </si>
  <si>
    <t>Punjab</t>
  </si>
  <si>
    <t>KPK</t>
  </si>
  <si>
    <t>Balochistan</t>
  </si>
  <si>
    <t>Factory</t>
  </si>
  <si>
    <t>Lahore</t>
  </si>
  <si>
    <t>SafeMark</t>
  </si>
  <si>
    <t>Hugo Boss</t>
  </si>
  <si>
    <t>New Balance</t>
  </si>
  <si>
    <t>Gucci</t>
  </si>
  <si>
    <t>Tommy Hilfiger</t>
  </si>
  <si>
    <t>Reebok</t>
  </si>
  <si>
    <t>AA</t>
  </si>
  <si>
    <t>OneWorld</t>
  </si>
  <si>
    <t>Karachi</t>
  </si>
  <si>
    <t>Marfani Traders</t>
  </si>
  <si>
    <t>Sami Garments Factory</t>
  </si>
  <si>
    <t>Faisal Shoes Manufacturing</t>
  </si>
  <si>
    <t>A.K Jeans</t>
  </si>
  <si>
    <t>Scarf Case</t>
  </si>
  <si>
    <t>kashif Printing</t>
  </si>
  <si>
    <t>Shop</t>
  </si>
  <si>
    <t>WholeSale</t>
  </si>
  <si>
    <t>Customs</t>
  </si>
  <si>
    <t>Distributor</t>
  </si>
  <si>
    <t>Godown No. S-19 West Warf, New Lipton Gali ,Karachi</t>
  </si>
  <si>
    <t>Plot No.L-27 Sector 12B Industrial Area ,New Karachi</t>
  </si>
  <si>
    <t>Plot No.C-62 Taksali Androne Lahore</t>
  </si>
  <si>
    <t>Shop No.79, Al karim Market , New Anarkali ,Lahore</t>
  </si>
  <si>
    <t>Mugal Pura dry port Lahore</t>
  </si>
  <si>
    <t>Plot No.D-43 Androne lahore</t>
  </si>
  <si>
    <t>Wd-40</t>
  </si>
  <si>
    <t>Champion</t>
  </si>
  <si>
    <t>Calvin Klein</t>
  </si>
  <si>
    <t>Levis</t>
  </si>
  <si>
    <t>Guess</t>
  </si>
  <si>
    <t>Fluid</t>
  </si>
  <si>
    <t>Garments</t>
  </si>
  <si>
    <t>Shoes</t>
  </si>
  <si>
    <t>Jeans</t>
  </si>
  <si>
    <t>scarf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</si>
</sst>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dd/mm/yy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</font>
    <font>
      <b/>
      <sz val="12"/>
      <name val="HP Simplified"/>
      <family val="2"/>
    </font>
    <font>
      <sz val="11"/>
      <color theme="1"/>
      <name val="HP Simplified"/>
      <family val="2"/>
    </font>
    <font>
      <sz val="10"/>
      <color theme="1"/>
      <name val="HP Simplified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left" vertical="center"/>
    </xf>
    <xf numFmtId="165" fontId="0" fillId="0" borderId="0" xfId="0" applyNumberFormat="1" applyAlignment="1">
      <alignment vertical="center"/>
    </xf>
    <xf numFmtId="165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right" vertical="center"/>
    </xf>
    <xf numFmtId="165" fontId="0" fillId="0" borderId="1" xfId="0" applyNumberFormat="1" applyBorder="1"/>
    <xf numFmtId="14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165" fontId="5" fillId="0" borderId="2" xfId="0" applyNumberFormat="1" applyFont="1" applyBorder="1" applyAlignment="1">
      <alignment horizontal="left" vertical="center"/>
    </xf>
    <xf numFmtId="164" fontId="0" fillId="0" borderId="1" xfId="0" applyNumberFormat="1" applyBorder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6"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5" style="4" customWidth="1"/>
    <col min="2" max="2" width="23.36328125" customWidth="1"/>
    <col min="3" max="3" width="15.7265625" customWidth="1"/>
    <col min="4" max="4" width="41.54296875" customWidth="1"/>
    <col min="5" max="5" width="9.6328125" customWidth="1"/>
    <col min="6" max="6" width="10.453125" customWidth="1"/>
    <col min="7" max="7" width="11.81640625" customWidth="1"/>
    <col min="8" max="8" width="14.453125" customWidth="1"/>
    <col min="9" max="9" width="14" customWidth="1"/>
    <col min="10" max="10" width="22" customWidth="1"/>
    <col min="11" max="12" width="13" customWidth="1"/>
    <col min="13" max="13" width="15.08984375" customWidth="1"/>
  </cols>
  <sheetData>
    <row r="1" spans="1:13" ht="21.5" customHeight="1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</row>
    <row r="2" spans="1:13" s="5" customFormat="1" ht="20" customHeight="1" x14ac:dyDescent="0.35">
      <c r="A2" s="31">
        <v>1</v>
      </c>
      <c r="B2" s="32" t="s">
        <v>67</v>
      </c>
      <c r="C2" s="33" t="s">
        <v>73</v>
      </c>
      <c r="D2" s="32" t="s">
        <v>77</v>
      </c>
      <c r="E2" s="32" t="s">
        <v>66</v>
      </c>
      <c r="F2" s="33" t="s">
        <v>52</v>
      </c>
      <c r="G2" s="33" t="s">
        <v>65</v>
      </c>
      <c r="H2" s="32" t="s">
        <v>83</v>
      </c>
      <c r="I2" s="32" t="s">
        <v>88</v>
      </c>
      <c r="J2" s="34">
        <v>45966</v>
      </c>
      <c r="K2" s="33" t="s">
        <v>47</v>
      </c>
      <c r="L2" s="34">
        <v>46003</v>
      </c>
    </row>
    <row r="3" spans="1:13" s="5" customFormat="1" ht="20" customHeight="1" x14ac:dyDescent="0.35">
      <c r="A3" s="17">
        <v>2</v>
      </c>
      <c r="B3" s="13" t="s">
        <v>68</v>
      </c>
      <c r="C3" s="18" t="s">
        <v>56</v>
      </c>
      <c r="D3" s="13" t="s">
        <v>78</v>
      </c>
      <c r="E3" s="13" t="s">
        <v>66</v>
      </c>
      <c r="F3" s="18" t="s">
        <v>52</v>
      </c>
      <c r="G3" s="18" t="s">
        <v>58</v>
      </c>
      <c r="H3" s="13" t="s">
        <v>63</v>
      </c>
      <c r="I3" s="13" t="s">
        <v>89</v>
      </c>
      <c r="J3" s="14">
        <v>46031</v>
      </c>
      <c r="K3" s="18" t="s">
        <v>47</v>
      </c>
      <c r="L3" s="14">
        <v>46035</v>
      </c>
    </row>
    <row r="4" spans="1:13" s="5" customFormat="1" ht="20" customHeight="1" x14ac:dyDescent="0.35">
      <c r="A4" s="17">
        <v>3</v>
      </c>
      <c r="B4" s="13" t="s">
        <v>68</v>
      </c>
      <c r="C4" s="18" t="s">
        <v>56</v>
      </c>
      <c r="D4" s="13" t="s">
        <v>78</v>
      </c>
      <c r="E4" s="13" t="s">
        <v>66</v>
      </c>
      <c r="F4" s="18" t="s">
        <v>52</v>
      </c>
      <c r="G4" s="18" t="s">
        <v>58</v>
      </c>
      <c r="H4" s="13" t="s">
        <v>84</v>
      </c>
      <c r="I4" s="13" t="s">
        <v>89</v>
      </c>
      <c r="J4" s="14">
        <v>46031</v>
      </c>
      <c r="K4" s="18" t="s">
        <v>47</v>
      </c>
      <c r="L4" s="14">
        <v>46035</v>
      </c>
    </row>
    <row r="5" spans="1:13" s="5" customFormat="1" ht="20" customHeight="1" x14ac:dyDescent="0.35">
      <c r="A5" s="17">
        <v>4</v>
      </c>
      <c r="B5" s="13" t="s">
        <v>68</v>
      </c>
      <c r="C5" s="18" t="s">
        <v>56</v>
      </c>
      <c r="D5" s="13" t="s">
        <v>78</v>
      </c>
      <c r="E5" s="13" t="s">
        <v>66</v>
      </c>
      <c r="F5" s="18" t="s">
        <v>52</v>
      </c>
      <c r="G5" s="18" t="s">
        <v>58</v>
      </c>
      <c r="H5" s="13" t="s">
        <v>59</v>
      </c>
      <c r="I5" s="13" t="s">
        <v>89</v>
      </c>
      <c r="J5" s="14">
        <v>46031</v>
      </c>
      <c r="K5" s="18" t="s">
        <v>47</v>
      </c>
      <c r="L5" s="14">
        <v>46035</v>
      </c>
    </row>
    <row r="6" spans="1:13" s="5" customFormat="1" ht="20" customHeight="1" x14ac:dyDescent="0.35">
      <c r="A6" s="17">
        <v>5</v>
      </c>
      <c r="B6" s="13" t="s">
        <v>69</v>
      </c>
      <c r="C6" s="18" t="s">
        <v>56</v>
      </c>
      <c r="D6" s="13" t="s">
        <v>79</v>
      </c>
      <c r="E6" s="13" t="s">
        <v>57</v>
      </c>
      <c r="F6" s="18" t="s">
        <v>53</v>
      </c>
      <c r="G6" s="18" t="s">
        <v>58</v>
      </c>
      <c r="H6" s="13" t="s">
        <v>62</v>
      </c>
      <c r="I6" s="13" t="s">
        <v>90</v>
      </c>
      <c r="J6" s="14">
        <v>46031</v>
      </c>
      <c r="K6" s="18" t="s">
        <v>47</v>
      </c>
      <c r="L6" s="14">
        <v>46039</v>
      </c>
    </row>
    <row r="7" spans="1:13" s="5" customFormat="1" ht="20" customHeight="1" x14ac:dyDescent="0.35">
      <c r="A7" s="17">
        <v>6</v>
      </c>
      <c r="B7" s="13" t="s">
        <v>69</v>
      </c>
      <c r="C7" s="18" t="s">
        <v>56</v>
      </c>
      <c r="D7" s="13" t="s">
        <v>79</v>
      </c>
      <c r="E7" s="13" t="s">
        <v>57</v>
      </c>
      <c r="F7" s="18" t="s">
        <v>53</v>
      </c>
      <c r="G7" s="18" t="s">
        <v>58</v>
      </c>
      <c r="H7" s="13" t="s">
        <v>85</v>
      </c>
      <c r="I7" s="13" t="s">
        <v>90</v>
      </c>
      <c r="J7" s="14">
        <v>46031</v>
      </c>
      <c r="K7" s="18" t="s">
        <v>47</v>
      </c>
      <c r="L7" s="14">
        <v>46040</v>
      </c>
    </row>
    <row r="8" spans="1:13" s="5" customFormat="1" ht="20" customHeight="1" x14ac:dyDescent="0.35">
      <c r="A8" s="17">
        <v>7</v>
      </c>
      <c r="B8" s="13" t="s">
        <v>69</v>
      </c>
      <c r="C8" s="18" t="s">
        <v>56</v>
      </c>
      <c r="D8" s="13" t="s">
        <v>79</v>
      </c>
      <c r="E8" s="13" t="s">
        <v>57</v>
      </c>
      <c r="F8" s="18" t="s">
        <v>53</v>
      </c>
      <c r="G8" s="18" t="s">
        <v>58</v>
      </c>
      <c r="H8" s="13" t="s">
        <v>63</v>
      </c>
      <c r="I8" s="13" t="s">
        <v>90</v>
      </c>
      <c r="J8" s="14">
        <v>46027</v>
      </c>
      <c r="K8" s="18" t="s">
        <v>47</v>
      </c>
      <c r="L8" s="14">
        <v>46029</v>
      </c>
    </row>
    <row r="9" spans="1:13" s="5" customFormat="1" ht="20" customHeight="1" x14ac:dyDescent="0.35">
      <c r="A9" s="17">
        <v>8</v>
      </c>
      <c r="B9" s="13" t="s">
        <v>69</v>
      </c>
      <c r="C9" s="18" t="s">
        <v>56</v>
      </c>
      <c r="D9" s="13" t="s">
        <v>79</v>
      </c>
      <c r="E9" s="13" t="s">
        <v>57</v>
      </c>
      <c r="F9" s="18" t="s">
        <v>53</v>
      </c>
      <c r="G9" s="18" t="s">
        <v>64</v>
      </c>
      <c r="H9" s="13" t="s">
        <v>61</v>
      </c>
      <c r="I9" s="13" t="s">
        <v>90</v>
      </c>
      <c r="J9" s="14">
        <v>46029</v>
      </c>
      <c r="K9" s="18" t="s">
        <v>47</v>
      </c>
      <c r="L9" s="14">
        <v>46041</v>
      </c>
    </row>
    <row r="10" spans="1:13" s="5" customFormat="1" ht="20" customHeight="1" x14ac:dyDescent="0.35">
      <c r="A10" s="17">
        <v>9</v>
      </c>
      <c r="B10" s="13" t="s">
        <v>69</v>
      </c>
      <c r="C10" s="18" t="s">
        <v>56</v>
      </c>
      <c r="D10" s="13" t="s">
        <v>79</v>
      </c>
      <c r="E10" s="13" t="s">
        <v>57</v>
      </c>
      <c r="F10" s="18" t="s">
        <v>53</v>
      </c>
      <c r="G10" s="18" t="s">
        <v>58</v>
      </c>
      <c r="H10" s="13" t="s">
        <v>60</v>
      </c>
      <c r="I10" s="13" t="s">
        <v>90</v>
      </c>
      <c r="J10" s="14">
        <v>46027</v>
      </c>
      <c r="K10" s="18" t="s">
        <v>47</v>
      </c>
      <c r="L10" s="14">
        <v>46029</v>
      </c>
    </row>
    <row r="11" spans="1:13" s="5" customFormat="1" ht="20" customHeight="1" x14ac:dyDescent="0.35">
      <c r="A11" s="17">
        <v>10</v>
      </c>
      <c r="B11" s="13" t="s">
        <v>69</v>
      </c>
      <c r="C11" s="18" t="s">
        <v>56</v>
      </c>
      <c r="D11" s="13" t="s">
        <v>79</v>
      </c>
      <c r="E11" s="13" t="s">
        <v>57</v>
      </c>
      <c r="F11" s="18" t="s">
        <v>53</v>
      </c>
      <c r="G11" s="18" t="s">
        <v>58</v>
      </c>
      <c r="H11" s="13" t="s">
        <v>59</v>
      </c>
      <c r="I11" s="13" t="s">
        <v>90</v>
      </c>
      <c r="J11" s="14">
        <v>46027</v>
      </c>
      <c r="K11" s="18" t="s">
        <v>47</v>
      </c>
      <c r="L11" s="14">
        <v>46029</v>
      </c>
    </row>
    <row r="12" spans="1:13" s="5" customFormat="1" ht="20" customHeight="1" x14ac:dyDescent="0.35">
      <c r="A12" s="17">
        <v>11</v>
      </c>
      <c r="B12" s="13" t="s">
        <v>70</v>
      </c>
      <c r="C12" s="18" t="s">
        <v>74</v>
      </c>
      <c r="D12" s="13" t="s">
        <v>80</v>
      </c>
      <c r="E12" s="13" t="s">
        <v>57</v>
      </c>
      <c r="F12" s="18" t="s">
        <v>53</v>
      </c>
      <c r="G12" s="18" t="s">
        <v>58</v>
      </c>
      <c r="H12" s="13" t="s">
        <v>62</v>
      </c>
      <c r="I12" s="13" t="s">
        <v>91</v>
      </c>
      <c r="J12" s="14">
        <v>46031</v>
      </c>
      <c r="K12" s="18" t="s">
        <v>47</v>
      </c>
      <c r="L12" s="14">
        <v>46045</v>
      </c>
    </row>
    <row r="13" spans="1:13" s="5" customFormat="1" ht="20" customHeight="1" x14ac:dyDescent="0.35">
      <c r="A13" s="17">
        <v>12</v>
      </c>
      <c r="B13" s="13" t="s">
        <v>70</v>
      </c>
      <c r="C13" s="18" t="s">
        <v>74</v>
      </c>
      <c r="D13" s="13" t="s">
        <v>80</v>
      </c>
      <c r="E13" s="13" t="s">
        <v>57</v>
      </c>
      <c r="F13" s="18" t="s">
        <v>53</v>
      </c>
      <c r="G13" s="18" t="s">
        <v>58</v>
      </c>
      <c r="H13" s="13" t="s">
        <v>86</v>
      </c>
      <c r="I13" s="13" t="s">
        <v>91</v>
      </c>
      <c r="J13" s="14">
        <v>46031</v>
      </c>
      <c r="K13" s="18" t="s">
        <v>47</v>
      </c>
      <c r="L13" s="14">
        <v>46038</v>
      </c>
    </row>
    <row r="14" spans="1:13" s="5" customFormat="1" ht="20" customHeight="1" x14ac:dyDescent="0.35">
      <c r="A14" s="17">
        <v>13</v>
      </c>
      <c r="B14" s="13" t="s">
        <v>70</v>
      </c>
      <c r="C14" s="18" t="s">
        <v>74</v>
      </c>
      <c r="D14" s="13" t="s">
        <v>80</v>
      </c>
      <c r="E14" s="13" t="s">
        <v>57</v>
      </c>
      <c r="F14" s="18" t="s">
        <v>53</v>
      </c>
      <c r="G14" s="18" t="s">
        <v>58</v>
      </c>
      <c r="H14" s="13" t="s">
        <v>87</v>
      </c>
      <c r="I14" s="13" t="s">
        <v>91</v>
      </c>
      <c r="J14" s="14">
        <v>46031</v>
      </c>
      <c r="K14" s="18" t="s">
        <v>49</v>
      </c>
      <c r="L14" s="14"/>
    </row>
    <row r="15" spans="1:13" s="5" customFormat="1" ht="20" customHeight="1" x14ac:dyDescent="0.35">
      <c r="A15" s="17">
        <v>14</v>
      </c>
      <c r="B15" s="13" t="s">
        <v>71</v>
      </c>
      <c r="C15" s="18" t="s">
        <v>75</v>
      </c>
      <c r="D15" s="13" t="s">
        <v>81</v>
      </c>
      <c r="E15" s="13" t="s">
        <v>57</v>
      </c>
      <c r="F15" s="18" t="s">
        <v>53</v>
      </c>
      <c r="G15" s="18" t="s">
        <v>64</v>
      </c>
      <c r="H15" s="13" t="s">
        <v>61</v>
      </c>
      <c r="I15" s="13" t="s">
        <v>92</v>
      </c>
      <c r="J15" s="14">
        <v>45975</v>
      </c>
      <c r="K15" s="18" t="s">
        <v>47</v>
      </c>
      <c r="L15" s="14">
        <v>46035</v>
      </c>
    </row>
    <row r="16" spans="1:13" s="5" customFormat="1" ht="20" customHeight="1" x14ac:dyDescent="0.35">
      <c r="A16" s="17">
        <v>15</v>
      </c>
      <c r="B16" s="13" t="s">
        <v>72</v>
      </c>
      <c r="C16" s="18" t="s">
        <v>76</v>
      </c>
      <c r="D16" s="13" t="s">
        <v>82</v>
      </c>
      <c r="E16" s="13" t="s">
        <v>57</v>
      </c>
      <c r="F16" s="18" t="s">
        <v>53</v>
      </c>
      <c r="G16" s="18" t="s">
        <v>65</v>
      </c>
      <c r="H16" s="13" t="s">
        <v>83</v>
      </c>
      <c r="I16" s="13" t="s">
        <v>88</v>
      </c>
      <c r="J16" s="14">
        <v>45824</v>
      </c>
      <c r="K16" s="18" t="s">
        <v>47</v>
      </c>
      <c r="L16" s="14">
        <v>46193</v>
      </c>
    </row>
    <row r="17" spans="1:12" s="5" customFormat="1" ht="20" customHeight="1" x14ac:dyDescent="0.35">
      <c r="A17" s="10"/>
      <c r="J17" s="15"/>
      <c r="L17" s="15"/>
    </row>
    <row r="18" spans="1:12" s="5" customFormat="1" ht="20" customHeight="1" x14ac:dyDescent="0.35">
      <c r="A18" s="10"/>
      <c r="J18" s="15"/>
      <c r="L18" s="15"/>
    </row>
    <row r="19" spans="1:12" s="5" customFormat="1" ht="20" customHeight="1" x14ac:dyDescent="0.35">
      <c r="A19" s="10"/>
      <c r="J19" s="15"/>
      <c r="L19" s="15"/>
    </row>
    <row r="20" spans="1:12" s="5" customFormat="1" ht="20" customHeight="1" x14ac:dyDescent="0.35">
      <c r="A20" s="10"/>
      <c r="J20" s="15"/>
      <c r="L20" s="15"/>
    </row>
    <row r="21" spans="1:12" x14ac:dyDescent="0.35">
      <c r="J21" s="16"/>
      <c r="L21" s="16"/>
    </row>
    <row r="22" spans="1:12" x14ac:dyDescent="0.35">
      <c r="J22" s="16"/>
      <c r="L22" s="16"/>
    </row>
    <row r="23" spans="1:12" x14ac:dyDescent="0.35">
      <c r="J23" s="16"/>
      <c r="L23" s="16"/>
    </row>
    <row r="24" spans="1:12" x14ac:dyDescent="0.35">
      <c r="J24" s="16"/>
      <c r="L24" s="16"/>
    </row>
    <row r="25" spans="1:12" x14ac:dyDescent="0.35">
      <c r="J25" s="16"/>
      <c r="L25" s="16"/>
    </row>
    <row r="26" spans="1:12" x14ac:dyDescent="0.35">
      <c r="J26" s="16"/>
      <c r="L26" s="16"/>
    </row>
    <row r="27" spans="1:12" x14ac:dyDescent="0.35">
      <c r="J27" s="16"/>
      <c r="L27" s="16"/>
    </row>
    <row r="28" spans="1:12" x14ac:dyDescent="0.35">
      <c r="J28" s="16"/>
      <c r="L28" s="16"/>
    </row>
    <row r="29" spans="1:12" x14ac:dyDescent="0.35">
      <c r="J29" s="16"/>
      <c r="L29" s="16"/>
    </row>
    <row r="30" spans="1:12" x14ac:dyDescent="0.35">
      <c r="J30" s="16"/>
      <c r="L30" s="16"/>
    </row>
    <row r="31" spans="1:12" x14ac:dyDescent="0.35">
      <c r="J31" s="16"/>
      <c r="L31" s="16"/>
    </row>
    <row r="32" spans="1:12" x14ac:dyDescent="0.35">
      <c r="J32" s="16"/>
    </row>
    <row r="33" spans="10:10" x14ac:dyDescent="0.35">
      <c r="J33" s="16"/>
    </row>
    <row r="34" spans="10:10" x14ac:dyDescent="0.35">
      <c r="J34" s="16"/>
    </row>
    <row r="35" spans="10:10" x14ac:dyDescent="0.35">
      <c r="J35" s="16"/>
    </row>
  </sheetData>
  <dataValidations count="4">
    <dataValidation type="list" sqref="C2:C1000" xr:uid="{00000000-0002-0000-0000-000000000000}">
      <formula1>"Shop,WholeSale,Distributor,Factory,Customs"</formula1>
    </dataValidation>
    <dataValidation type="list" sqref="F2:F1000" xr:uid="{00000000-0002-0000-0000-000001000000}">
      <formula1>"Sindh,Punjab,KPK,Balochistan"</formula1>
    </dataValidation>
    <dataValidation type="list" sqref="G2:G1000" xr:uid="{00000000-0002-0000-0000-000002000000}">
      <formula1>"OneWorld,SafeMark,AA"</formula1>
    </dataValidation>
    <dataValidation type="list" sqref="K2:K1000" xr:uid="{00000000-0002-0000-0000-000003000000}">
      <formula1>"In-Hand,Approved,Rejected"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>
      <pane ySplit="1" topLeftCell="A2" activePane="bottomLeft" state="frozen"/>
      <selection pane="bottomLeft" activeCell="J16" sqref="J16"/>
    </sheetView>
  </sheetViews>
  <sheetFormatPr defaultRowHeight="14.5" x14ac:dyDescent="0.35"/>
  <cols>
    <col min="1" max="1" width="5.7265625" style="10" customWidth="1"/>
    <col min="2" max="2" width="23.26953125" customWidth="1"/>
    <col min="3" max="3" width="15.6328125" customWidth="1"/>
    <col min="4" max="4" width="48.08984375" customWidth="1"/>
    <col min="5" max="7" width="10" customWidth="1"/>
    <col min="8" max="8" width="12" customWidth="1"/>
    <col min="9" max="9" width="14" customWidth="1"/>
    <col min="10" max="10" width="20.08984375" customWidth="1"/>
    <col min="11" max="11" width="13" style="4" customWidth="1"/>
    <col min="12" max="12" width="13" customWidth="1"/>
    <col min="13" max="13" width="10" customWidth="1"/>
  </cols>
  <sheetData>
    <row r="1" spans="1:13" ht="23.5" customHeight="1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</row>
    <row r="2" spans="1:13" ht="20" customHeight="1" x14ac:dyDescent="0.35">
      <c r="A2" s="17">
        <f>IF('All Cases - Enter Cases'!$F2="Sindh",'All Cases - Enter Cases'!A2,"")</f>
        <v>1</v>
      </c>
      <c r="B2" s="23" t="str">
        <f>IF($A2&lt;&gt;"",'All Cases - Enter Cases'!B2,"")</f>
        <v>Marfani Traders</v>
      </c>
      <c r="C2" s="23" t="str">
        <f>IF($A2&lt;&gt;"",'All Cases - Enter Cases'!C2,"")</f>
        <v>Shop</v>
      </c>
      <c r="D2" s="23" t="str">
        <f>IF($A2&lt;&gt;"",'All Cases - Enter Cases'!D2,"")</f>
        <v>Godown No. S-19 West Warf, New Lipton Gali ,Karachi</v>
      </c>
      <c r="E2" s="23" t="str">
        <f>IF($A2&lt;&gt;"",'All Cases - Enter Cases'!E2,"")</f>
        <v>Karachi</v>
      </c>
      <c r="F2" s="23" t="str">
        <f>IF($A2&lt;&gt;"",'All Cases - Enter Cases'!F2,"")</f>
        <v>Sindh</v>
      </c>
      <c r="G2" s="23" t="str">
        <f>IF($A2&lt;&gt;"",'All Cases - Enter Cases'!G2,"")</f>
        <v>OneWorld</v>
      </c>
      <c r="H2" s="23" t="str">
        <f>IF($A2&lt;&gt;"",'All Cases - Enter Cases'!H2,"")</f>
        <v>Wd-40</v>
      </c>
      <c r="I2" s="23" t="str">
        <f>IF($A2&lt;&gt;"",'All Cases - Enter Cases'!I2,"")</f>
        <v>Fluid</v>
      </c>
      <c r="J2" s="28">
        <f>IF($A2&lt;&gt;"",'All Cases - Enter Cases'!J2,"")</f>
        <v>45966</v>
      </c>
      <c r="K2" s="21" t="str">
        <f>IF($A2&lt;&gt;"",'All Cases - Enter Cases'!K2,"")</f>
        <v>Approved</v>
      </c>
      <c r="L2" s="28">
        <f>IF($A2&lt;&gt;"",'All Cases - Enter Cases'!L2,"")</f>
        <v>46003</v>
      </c>
      <c r="M2" s="23">
        <f>IF($A2&lt;&gt;"",'All Cases - Enter Cases'!M2,"")</f>
        <v>0</v>
      </c>
    </row>
    <row r="3" spans="1:13" ht="20" customHeight="1" x14ac:dyDescent="0.35">
      <c r="A3" s="17">
        <f>IF('All Cases - Enter Cases'!$F3="Sindh",'All Cases - Enter Cases'!A3,"")</f>
        <v>2</v>
      </c>
      <c r="B3" s="23" t="str">
        <f>IF($A3&lt;&gt;"",'All Cases - Enter Cases'!B3,"")</f>
        <v>Sami Garments Factory</v>
      </c>
      <c r="C3" s="23" t="str">
        <f>IF($A3&lt;&gt;"",'All Cases - Enter Cases'!C3,"")</f>
        <v>Factory</v>
      </c>
      <c r="D3" s="23" t="str">
        <f>IF($A3&lt;&gt;"",'All Cases - Enter Cases'!D3,"")</f>
        <v>Plot No.L-27 Sector 12B Industrial Area ,New Karachi</v>
      </c>
      <c r="E3" s="23" t="str">
        <f>IF($A3&lt;&gt;"",'All Cases - Enter Cases'!E3,"")</f>
        <v>Karachi</v>
      </c>
      <c r="F3" s="23" t="str">
        <f>IF($A3&lt;&gt;"",'All Cases - Enter Cases'!F3,"")</f>
        <v>Sindh</v>
      </c>
      <c r="G3" s="23" t="str">
        <f>IF($A3&lt;&gt;"",'All Cases - Enter Cases'!G3,"")</f>
        <v>SafeMark</v>
      </c>
      <c r="H3" s="23" t="str">
        <f>IF($A3&lt;&gt;"",'All Cases - Enter Cases'!H3,"")</f>
        <v>Reebok</v>
      </c>
      <c r="I3" s="23" t="str">
        <f>IF($A3&lt;&gt;"",'All Cases - Enter Cases'!I3,"")</f>
        <v>Garments</v>
      </c>
      <c r="J3" s="28">
        <f>IF($A3&lt;&gt;"",'All Cases - Enter Cases'!J3,"")</f>
        <v>46031</v>
      </c>
      <c r="K3" s="21" t="str">
        <f>IF($A3&lt;&gt;"",'All Cases - Enter Cases'!K3,"")</f>
        <v>Approved</v>
      </c>
      <c r="L3" s="28">
        <f>IF($A3&lt;&gt;"",'All Cases - Enter Cases'!L3,"")</f>
        <v>46035</v>
      </c>
      <c r="M3" s="23">
        <f>IF($A3&lt;&gt;"",'All Cases - Enter Cases'!M3,"")</f>
        <v>0</v>
      </c>
    </row>
    <row r="4" spans="1:13" ht="20" customHeight="1" x14ac:dyDescent="0.35">
      <c r="A4" s="17">
        <f>IF('All Cases - Enter Cases'!$F4="Sindh",'All Cases - Enter Cases'!A4,"")</f>
        <v>3</v>
      </c>
      <c r="B4" s="23" t="str">
        <f>IF($A4&lt;&gt;"",'All Cases - Enter Cases'!B4,"")</f>
        <v>Sami Garments Factory</v>
      </c>
      <c r="C4" s="23" t="str">
        <f>IF($A4&lt;&gt;"",'All Cases - Enter Cases'!C4,"")</f>
        <v>Factory</v>
      </c>
      <c r="D4" s="23" t="str">
        <f>IF($A4&lt;&gt;"",'All Cases - Enter Cases'!D4,"")</f>
        <v>Plot No.L-27 Sector 12B Industrial Area ,New Karachi</v>
      </c>
      <c r="E4" s="23" t="str">
        <f>IF($A4&lt;&gt;"",'All Cases - Enter Cases'!E4,"")</f>
        <v>Karachi</v>
      </c>
      <c r="F4" s="23" t="str">
        <f>IF($A4&lt;&gt;"",'All Cases - Enter Cases'!F4,"")</f>
        <v>Sindh</v>
      </c>
      <c r="G4" s="23" t="str">
        <f>IF($A4&lt;&gt;"",'All Cases - Enter Cases'!G4,"")</f>
        <v>SafeMark</v>
      </c>
      <c r="H4" s="23" t="str">
        <f>IF($A4&lt;&gt;"",'All Cases - Enter Cases'!H4,"")</f>
        <v>Champion</v>
      </c>
      <c r="I4" s="23" t="str">
        <f>IF($A4&lt;&gt;"",'All Cases - Enter Cases'!I4,"")</f>
        <v>Garments</v>
      </c>
      <c r="J4" s="28">
        <f>IF($A4&lt;&gt;"",'All Cases - Enter Cases'!J4,"")</f>
        <v>46031</v>
      </c>
      <c r="K4" s="21" t="str">
        <f>IF($A4&lt;&gt;"",'All Cases - Enter Cases'!K4,"")</f>
        <v>Approved</v>
      </c>
      <c r="L4" s="28">
        <f>IF($A4&lt;&gt;"",'All Cases - Enter Cases'!L4,"")</f>
        <v>46035</v>
      </c>
      <c r="M4" s="23">
        <f>IF($A4&lt;&gt;"",'All Cases - Enter Cases'!M4,"")</f>
        <v>0</v>
      </c>
    </row>
    <row r="5" spans="1:13" ht="20" customHeight="1" x14ac:dyDescent="0.35">
      <c r="A5" s="17">
        <f>IF('All Cases - Enter Cases'!$F5="Sindh",'All Cases - Enter Cases'!A5,"")</f>
        <v>4</v>
      </c>
      <c r="B5" s="23" t="str">
        <f>IF($A5&lt;&gt;"",'All Cases - Enter Cases'!B5,"")</f>
        <v>Sami Garments Factory</v>
      </c>
      <c r="C5" s="23" t="str">
        <f>IF($A5&lt;&gt;"",'All Cases - Enter Cases'!C5,"")</f>
        <v>Factory</v>
      </c>
      <c r="D5" s="23" t="str">
        <f>IF($A5&lt;&gt;"",'All Cases - Enter Cases'!D5,"")</f>
        <v>Plot No.L-27 Sector 12B Industrial Area ,New Karachi</v>
      </c>
      <c r="E5" s="23" t="str">
        <f>IF($A5&lt;&gt;"",'All Cases - Enter Cases'!E5,"")</f>
        <v>Karachi</v>
      </c>
      <c r="F5" s="23" t="str">
        <f>IF($A5&lt;&gt;"",'All Cases - Enter Cases'!F5,"")</f>
        <v>Sindh</v>
      </c>
      <c r="G5" s="23" t="str">
        <f>IF($A5&lt;&gt;"",'All Cases - Enter Cases'!G5,"")</f>
        <v>SafeMark</v>
      </c>
      <c r="H5" s="23" t="str">
        <f>IF($A5&lt;&gt;"",'All Cases - Enter Cases'!H5,"")</f>
        <v>Hugo Boss</v>
      </c>
      <c r="I5" s="23" t="str">
        <f>IF($A5&lt;&gt;"",'All Cases - Enter Cases'!I5,"")</f>
        <v>Garments</v>
      </c>
      <c r="J5" s="28">
        <f>IF($A5&lt;&gt;"",'All Cases - Enter Cases'!J5,"")</f>
        <v>46031</v>
      </c>
      <c r="K5" s="21" t="str">
        <f>IF($A5&lt;&gt;"",'All Cases - Enter Cases'!K5,"")</f>
        <v>Approved</v>
      </c>
      <c r="L5" s="28">
        <f>IF($A5&lt;&gt;"",'All Cases - Enter Cases'!L5,"")</f>
        <v>46035</v>
      </c>
      <c r="M5" s="23">
        <f>IF($A5&lt;&gt;"",'All Cases - Enter Cases'!M5,"")</f>
        <v>0</v>
      </c>
    </row>
    <row r="6" spans="1:13" ht="20" customHeight="1" x14ac:dyDescent="0.35">
      <c r="A6" s="17" t="str">
        <f>IF('All Cases - Enter Cases'!$F6="Sindh",'All Cases - Enter Cases'!A6,"")</f>
        <v/>
      </c>
      <c r="B6" s="23" t="str">
        <f>IF($A6&lt;&gt;"",'All Cases - Enter Cases'!B6,"")</f>
        <v/>
      </c>
      <c r="C6" s="23" t="str">
        <f>IF($A6&lt;&gt;"",'All Cases - Enter Cases'!C6,"")</f>
        <v/>
      </c>
      <c r="D6" s="23" t="str">
        <f>IF($A6&lt;&gt;"",'All Cases - Enter Cases'!D6,"")</f>
        <v/>
      </c>
      <c r="E6" s="23" t="str">
        <f>IF($A6&lt;&gt;"",'All Cases - Enter Cases'!E6,"")</f>
        <v/>
      </c>
      <c r="F6" s="23" t="str">
        <f>IF($A6&lt;&gt;"",'All Cases - Enter Cases'!F6,"")</f>
        <v/>
      </c>
      <c r="G6" s="23" t="str">
        <f>IF($A6&lt;&gt;"",'All Cases - Enter Cases'!G6,"")</f>
        <v/>
      </c>
      <c r="H6" s="23" t="str">
        <f>IF($A6&lt;&gt;"",'All Cases - Enter Cases'!H6,"")</f>
        <v/>
      </c>
      <c r="I6" s="23" t="str">
        <f>IF($A6&lt;&gt;"",'All Cases - Enter Cases'!I6,"")</f>
        <v/>
      </c>
      <c r="J6" s="28" t="str">
        <f>IF($A6&lt;&gt;"",'All Cases - Enter Cases'!J6,"")</f>
        <v/>
      </c>
      <c r="K6" s="21" t="str">
        <f>IF($A6&lt;&gt;"",'All Cases - Enter Cases'!K6,"")</f>
        <v/>
      </c>
      <c r="L6" s="28" t="str">
        <f>IF($A6&lt;&gt;"",'All Cases - Enter Cases'!L6,"")</f>
        <v/>
      </c>
      <c r="M6" s="23" t="str">
        <f>IF($A6&lt;&gt;"",'All Cases - Enter Cases'!M6,"")</f>
        <v/>
      </c>
    </row>
    <row r="7" spans="1:13" ht="20" customHeight="1" x14ac:dyDescent="0.35">
      <c r="A7" s="17" t="str">
        <f>IF('All Cases - Enter Cases'!$F7="Sindh",'All Cases - Enter Cases'!A7,"")</f>
        <v/>
      </c>
      <c r="B7" s="23" t="str">
        <f>IF($A7&lt;&gt;"",'All Cases - Enter Cases'!B7,"")</f>
        <v/>
      </c>
      <c r="C7" s="23" t="str">
        <f>IF($A7&lt;&gt;"",'All Cases - Enter Cases'!C7,"")</f>
        <v/>
      </c>
      <c r="D7" s="23" t="str">
        <f>IF($A7&lt;&gt;"",'All Cases - Enter Cases'!D7,"")</f>
        <v/>
      </c>
      <c r="E7" s="23" t="str">
        <f>IF($A7&lt;&gt;"",'All Cases - Enter Cases'!E7,"")</f>
        <v/>
      </c>
      <c r="F7" s="23" t="str">
        <f>IF($A7&lt;&gt;"",'All Cases - Enter Cases'!F7,"")</f>
        <v/>
      </c>
      <c r="G7" s="23" t="str">
        <f>IF($A7&lt;&gt;"",'All Cases - Enter Cases'!G7,"")</f>
        <v/>
      </c>
      <c r="H7" s="23" t="str">
        <f>IF($A7&lt;&gt;"",'All Cases - Enter Cases'!H7,"")</f>
        <v/>
      </c>
      <c r="I7" s="23" t="str">
        <f>IF($A7&lt;&gt;"",'All Cases - Enter Cases'!I7,"")</f>
        <v/>
      </c>
      <c r="J7" s="28" t="str">
        <f>IF($A7&lt;&gt;"",'All Cases - Enter Cases'!J7,"")</f>
        <v/>
      </c>
      <c r="K7" s="21" t="str">
        <f>IF($A7&lt;&gt;"",'All Cases - Enter Cases'!K7,"")</f>
        <v/>
      </c>
      <c r="L7" s="28" t="str">
        <f>IF($A7&lt;&gt;"",'All Cases - Enter Cases'!L7,"")</f>
        <v/>
      </c>
      <c r="M7" s="23" t="str">
        <f>IF($A7&lt;&gt;"",'All Cases - Enter Cases'!M7,"")</f>
        <v/>
      </c>
    </row>
    <row r="8" spans="1:13" ht="20" customHeight="1" x14ac:dyDescent="0.35">
      <c r="A8" s="17" t="str">
        <f>IF('All Cases - Enter Cases'!$F8="Sindh",'All Cases - Enter Cases'!A8,"")</f>
        <v/>
      </c>
      <c r="B8" s="23" t="str">
        <f>IF($A8&lt;&gt;"",'All Cases - Enter Cases'!B8,"")</f>
        <v/>
      </c>
      <c r="C8" s="23" t="str">
        <f>IF($A8&lt;&gt;"",'All Cases - Enter Cases'!C8,"")</f>
        <v/>
      </c>
      <c r="D8" s="23" t="str">
        <f>IF($A8&lt;&gt;"",'All Cases - Enter Cases'!D8,"")</f>
        <v/>
      </c>
      <c r="E8" s="23" t="str">
        <f>IF($A8&lt;&gt;"",'All Cases - Enter Cases'!E8,"")</f>
        <v/>
      </c>
      <c r="F8" s="23" t="str">
        <f>IF($A8&lt;&gt;"",'All Cases - Enter Cases'!F8,"")</f>
        <v/>
      </c>
      <c r="G8" s="23" t="str">
        <f>IF($A8&lt;&gt;"",'All Cases - Enter Cases'!G8,"")</f>
        <v/>
      </c>
      <c r="H8" s="23" t="str">
        <f>IF($A8&lt;&gt;"",'All Cases - Enter Cases'!H8,"")</f>
        <v/>
      </c>
      <c r="I8" s="23" t="str">
        <f>IF($A8&lt;&gt;"",'All Cases - Enter Cases'!I8,"")</f>
        <v/>
      </c>
      <c r="J8" s="28" t="str">
        <f>IF($A8&lt;&gt;"",'All Cases - Enter Cases'!J8,"")</f>
        <v/>
      </c>
      <c r="K8" s="21" t="str">
        <f>IF($A8&lt;&gt;"",'All Cases - Enter Cases'!K8,"")</f>
        <v/>
      </c>
      <c r="L8" s="28" t="str">
        <f>IF($A8&lt;&gt;"",'All Cases - Enter Cases'!L8,"")</f>
        <v/>
      </c>
      <c r="M8" s="23" t="str">
        <f>IF($A8&lt;&gt;"",'All Cases - Enter Cases'!M8,"")</f>
        <v/>
      </c>
    </row>
    <row r="9" spans="1:13" ht="20" customHeight="1" x14ac:dyDescent="0.35">
      <c r="A9" s="17" t="str">
        <f>IF('All Cases - Enter Cases'!$F9="Sindh",'All Cases - Enter Cases'!A9,"")</f>
        <v/>
      </c>
      <c r="B9" s="23" t="str">
        <f>IF($A9&lt;&gt;"",'All Cases - Enter Cases'!B9,"")</f>
        <v/>
      </c>
      <c r="C9" s="23" t="str">
        <f>IF($A9&lt;&gt;"",'All Cases - Enter Cases'!C9,"")</f>
        <v/>
      </c>
      <c r="D9" s="23" t="str">
        <f>IF($A9&lt;&gt;"",'All Cases - Enter Cases'!D9,"")</f>
        <v/>
      </c>
      <c r="E9" s="23" t="str">
        <f>IF($A9&lt;&gt;"",'All Cases - Enter Cases'!E9,"")</f>
        <v/>
      </c>
      <c r="F9" s="23" t="str">
        <f>IF($A9&lt;&gt;"",'All Cases - Enter Cases'!F9,"")</f>
        <v/>
      </c>
      <c r="G9" s="23" t="str">
        <f>IF($A9&lt;&gt;"",'All Cases - Enter Cases'!G9,"")</f>
        <v/>
      </c>
      <c r="H9" s="23" t="str">
        <f>IF($A9&lt;&gt;"",'All Cases - Enter Cases'!H9,"")</f>
        <v/>
      </c>
      <c r="I9" s="23" t="str">
        <f>IF($A9&lt;&gt;"",'All Cases - Enter Cases'!I9,"")</f>
        <v/>
      </c>
      <c r="J9" s="28" t="str">
        <f>IF($A9&lt;&gt;"",'All Cases - Enter Cases'!J9,"")</f>
        <v/>
      </c>
      <c r="K9" s="21" t="str">
        <f>IF($A9&lt;&gt;"",'All Cases - Enter Cases'!K9,"")</f>
        <v/>
      </c>
      <c r="L9" s="28" t="str">
        <f>IF($A9&lt;&gt;"",'All Cases - Enter Cases'!L9,"")</f>
        <v/>
      </c>
      <c r="M9" s="23" t="str">
        <f>IF($A9&lt;&gt;"",'All Cases - Enter Cases'!M9,"")</f>
        <v/>
      </c>
    </row>
    <row r="10" spans="1:13" ht="20" customHeight="1" x14ac:dyDescent="0.35">
      <c r="A10" s="17" t="str">
        <f>IF('All Cases - Enter Cases'!$F10="Sindh",'All Cases - Enter Cases'!A10,"")</f>
        <v/>
      </c>
      <c r="B10" s="23" t="str">
        <f>IF($A10&lt;&gt;"",'All Cases - Enter Cases'!B10,"")</f>
        <v/>
      </c>
      <c r="C10" s="23" t="str">
        <f>IF($A10&lt;&gt;"",'All Cases - Enter Cases'!C10,"")</f>
        <v/>
      </c>
      <c r="D10" s="23" t="str">
        <f>IF($A10&lt;&gt;"",'All Cases - Enter Cases'!D10,"")</f>
        <v/>
      </c>
      <c r="E10" s="23" t="str">
        <f>IF($A10&lt;&gt;"",'All Cases - Enter Cases'!E10,"")</f>
        <v/>
      </c>
      <c r="F10" s="23" t="str">
        <f>IF($A10&lt;&gt;"",'All Cases - Enter Cases'!F10,"")</f>
        <v/>
      </c>
      <c r="G10" s="23" t="str">
        <f>IF($A10&lt;&gt;"",'All Cases - Enter Cases'!G10,"")</f>
        <v/>
      </c>
      <c r="H10" s="23" t="str">
        <f>IF($A10&lt;&gt;"",'All Cases - Enter Cases'!H10,"")</f>
        <v/>
      </c>
      <c r="I10" s="23" t="str">
        <f>IF($A10&lt;&gt;"",'All Cases - Enter Cases'!I10,"")</f>
        <v/>
      </c>
      <c r="J10" s="28" t="str">
        <f>IF($A10&lt;&gt;"",'All Cases - Enter Cases'!J10,"")</f>
        <v/>
      </c>
      <c r="K10" s="21" t="str">
        <f>IF($A10&lt;&gt;"",'All Cases - Enter Cases'!K10,"")</f>
        <v/>
      </c>
      <c r="L10" s="28" t="str">
        <f>IF($A10&lt;&gt;"",'All Cases - Enter Cases'!L10,"")</f>
        <v/>
      </c>
      <c r="M10" s="23" t="str">
        <f>IF($A10&lt;&gt;"",'All Cases - Enter Cases'!M10,"")</f>
        <v/>
      </c>
    </row>
    <row r="11" spans="1:13" ht="20" customHeight="1" x14ac:dyDescent="0.35">
      <c r="A11" s="17" t="str">
        <f>IF('All Cases - Enter Cases'!$F11="Sindh",'All Cases - Enter Cases'!A11,"")</f>
        <v/>
      </c>
      <c r="B11" s="23" t="str">
        <f>IF($A11&lt;&gt;"",'All Cases - Enter Cases'!B11,"")</f>
        <v/>
      </c>
      <c r="C11" s="23" t="str">
        <f>IF($A11&lt;&gt;"",'All Cases - Enter Cases'!C11,"")</f>
        <v/>
      </c>
      <c r="D11" s="23" t="str">
        <f>IF($A11&lt;&gt;"",'All Cases - Enter Cases'!D11,"")</f>
        <v/>
      </c>
      <c r="E11" s="23" t="str">
        <f>IF($A11&lt;&gt;"",'All Cases - Enter Cases'!E11,"")</f>
        <v/>
      </c>
      <c r="F11" s="23" t="str">
        <f>IF($A11&lt;&gt;"",'All Cases - Enter Cases'!F11,"")</f>
        <v/>
      </c>
      <c r="G11" s="23" t="str">
        <f>IF($A11&lt;&gt;"",'All Cases - Enter Cases'!G11,"")</f>
        <v/>
      </c>
      <c r="H11" s="23" t="str">
        <f>IF($A11&lt;&gt;"",'All Cases - Enter Cases'!H11,"")</f>
        <v/>
      </c>
      <c r="I11" s="23" t="str">
        <f>IF($A11&lt;&gt;"",'All Cases - Enter Cases'!I11,"")</f>
        <v/>
      </c>
      <c r="J11" s="28" t="str">
        <f>IF($A11&lt;&gt;"",'All Cases - Enter Cases'!J11,"")</f>
        <v/>
      </c>
      <c r="K11" s="21" t="str">
        <f>IF($A11&lt;&gt;"",'All Cases - Enter Cases'!K11,"")</f>
        <v/>
      </c>
      <c r="L11" s="28" t="str">
        <f>IF($A11&lt;&gt;"",'All Cases - Enter Cases'!L11,"")</f>
        <v/>
      </c>
      <c r="M11" s="23" t="str">
        <f>IF($A11&lt;&gt;"",'All Cases - Enter Cases'!M11,"")</f>
        <v/>
      </c>
    </row>
    <row r="12" spans="1:13" ht="20" customHeight="1" x14ac:dyDescent="0.35">
      <c r="A12" s="17" t="str">
        <f>IF('All Cases - Enter Cases'!$F12="Sindh",'All Cases - Enter Cases'!A12,"")</f>
        <v/>
      </c>
      <c r="B12" s="23" t="str">
        <f>IF($A12&lt;&gt;"",'All Cases - Enter Cases'!B12,"")</f>
        <v/>
      </c>
      <c r="C12" s="23" t="str">
        <f>IF($A12&lt;&gt;"",'All Cases - Enter Cases'!C12,"")</f>
        <v/>
      </c>
      <c r="D12" s="23" t="str">
        <f>IF($A12&lt;&gt;"",'All Cases - Enter Cases'!D12,"")</f>
        <v/>
      </c>
      <c r="E12" s="23" t="str">
        <f>IF($A12&lt;&gt;"",'All Cases - Enter Cases'!E12,"")</f>
        <v/>
      </c>
      <c r="F12" s="23" t="str">
        <f>IF($A12&lt;&gt;"",'All Cases - Enter Cases'!F12,"")</f>
        <v/>
      </c>
      <c r="G12" s="23" t="str">
        <f>IF($A12&lt;&gt;"",'All Cases - Enter Cases'!G12,"")</f>
        <v/>
      </c>
      <c r="H12" s="23" t="str">
        <f>IF($A12&lt;&gt;"",'All Cases - Enter Cases'!H12,"")</f>
        <v/>
      </c>
      <c r="I12" s="23" t="str">
        <f>IF($A12&lt;&gt;"",'All Cases - Enter Cases'!I12,"")</f>
        <v/>
      </c>
      <c r="J12" s="28" t="str">
        <f>IF($A12&lt;&gt;"",'All Cases - Enter Cases'!J12,"")</f>
        <v/>
      </c>
      <c r="K12" s="21" t="str">
        <f>IF($A12&lt;&gt;"",'All Cases - Enter Cases'!K12,"")</f>
        <v/>
      </c>
      <c r="L12" s="28" t="str">
        <f>IF($A12&lt;&gt;"",'All Cases - Enter Cases'!L12,"")</f>
        <v/>
      </c>
      <c r="M12" s="23" t="str">
        <f>IF($A12&lt;&gt;"",'All Cases - Enter Cases'!M12,"")</f>
        <v/>
      </c>
    </row>
    <row r="13" spans="1:13" ht="20" customHeight="1" x14ac:dyDescent="0.35">
      <c r="A13" s="10" t="str">
        <f>IF('All Cases - Enter Cases'!$F13="Sindh",'All Cases - Enter Cases'!A13,"")</f>
        <v/>
      </c>
      <c r="B13" t="str">
        <f>IF($A13&lt;&gt;"",'All Cases - Enter Cases'!B13,"")</f>
        <v/>
      </c>
      <c r="C13" t="str">
        <f>IF($A13&lt;&gt;"",'All Cases - Enter Cases'!C13,"")</f>
        <v/>
      </c>
      <c r="D13" t="str">
        <f>IF($A13&lt;&gt;"",'All Cases - Enter Cases'!D13,"")</f>
        <v/>
      </c>
      <c r="E13" t="str">
        <f>IF($A13&lt;&gt;"",'All Cases - Enter Cases'!E13,"")</f>
        <v/>
      </c>
      <c r="F13" t="str">
        <f>IF($A13&lt;&gt;"",'All Cases - Enter Cases'!F13,"")</f>
        <v/>
      </c>
      <c r="G13" t="str">
        <f>IF($A13&lt;&gt;"",'All Cases - Enter Cases'!G13,"")</f>
        <v/>
      </c>
      <c r="H13" t="str">
        <f>IF($A13&lt;&gt;"",'All Cases - Enter Cases'!H13,"")</f>
        <v/>
      </c>
      <c r="I13" t="str">
        <f>IF($A13&lt;&gt;"",'All Cases - Enter Cases'!I13,"")</f>
        <v/>
      </c>
      <c r="J13" s="11" t="str">
        <f>IF($A13&lt;&gt;"",'All Cases - Enter Cases'!J13,"")</f>
        <v/>
      </c>
      <c r="K13" s="4" t="str">
        <f>IF($A13&lt;&gt;"",'All Cases - Enter Cases'!K13,"")</f>
        <v/>
      </c>
      <c r="L13" s="11" t="str">
        <f>IF($A13&lt;&gt;"",'All Cases - Enter Cases'!L13,"")</f>
        <v/>
      </c>
      <c r="M13" t="str">
        <f>IF($A13&lt;&gt;"",'All Cases - Enter Cases'!M13,"")</f>
        <v/>
      </c>
    </row>
    <row r="14" spans="1:13" ht="20" customHeight="1" x14ac:dyDescent="0.35">
      <c r="A14" s="10" t="str">
        <f>IF('All Cases - Enter Cases'!$F14="Sindh",'All Cases - Enter Cases'!A14,"")</f>
        <v/>
      </c>
      <c r="B14" t="str">
        <f>IF($A14&lt;&gt;"",'All Cases - Enter Cases'!B14,"")</f>
        <v/>
      </c>
      <c r="C14" t="str">
        <f>IF($A14&lt;&gt;"",'All Cases - Enter Cases'!C14,"")</f>
        <v/>
      </c>
      <c r="D14" t="str">
        <f>IF($A14&lt;&gt;"",'All Cases - Enter Cases'!D14,"")</f>
        <v/>
      </c>
      <c r="E14" t="str">
        <f>IF($A14&lt;&gt;"",'All Cases - Enter Cases'!E14,"")</f>
        <v/>
      </c>
      <c r="F14" t="str">
        <f>IF($A14&lt;&gt;"",'All Cases - Enter Cases'!F14,"")</f>
        <v/>
      </c>
      <c r="G14" t="str">
        <f>IF($A14&lt;&gt;"",'All Cases - Enter Cases'!G14,"")</f>
        <v/>
      </c>
      <c r="H14" t="str">
        <f>IF($A14&lt;&gt;"",'All Cases - Enter Cases'!H14,"")</f>
        <v/>
      </c>
      <c r="I14" t="str">
        <f>IF($A14&lt;&gt;"",'All Cases - Enter Cases'!I14,"")</f>
        <v/>
      </c>
      <c r="J14" s="11" t="str">
        <f>IF($A14&lt;&gt;"",'All Cases - Enter Cases'!J14,"")</f>
        <v/>
      </c>
      <c r="K14" s="4" t="str">
        <f>IF($A14&lt;&gt;"",'All Cases - Enter Cases'!K14,"")</f>
        <v/>
      </c>
      <c r="L14" s="11" t="str">
        <f>IF($A14&lt;&gt;"",'All Cases - Enter Cases'!L14,"")</f>
        <v/>
      </c>
      <c r="M14" t="str">
        <f>IF($A14&lt;&gt;"",'All Cases - Enter Cases'!M14,"")</f>
        <v/>
      </c>
    </row>
    <row r="15" spans="1:13" ht="20" customHeight="1" x14ac:dyDescent="0.35">
      <c r="A15" s="10" t="str">
        <f>IF('All Cases - Enter Cases'!$F15="Sindh",'All Cases - Enter Cases'!A15,"")</f>
        <v/>
      </c>
      <c r="B15" t="str">
        <f>IF($A15&lt;&gt;"",'All Cases - Enter Cases'!B15,"")</f>
        <v/>
      </c>
      <c r="C15" t="str">
        <f>IF($A15&lt;&gt;"",'All Cases - Enter Cases'!C15,"")</f>
        <v/>
      </c>
      <c r="D15" t="str">
        <f>IF($A15&lt;&gt;"",'All Cases - Enter Cases'!D15,"")</f>
        <v/>
      </c>
      <c r="E15" t="str">
        <f>IF($A15&lt;&gt;"",'All Cases - Enter Cases'!E15,"")</f>
        <v/>
      </c>
      <c r="F15" t="str">
        <f>IF($A15&lt;&gt;"",'All Cases - Enter Cases'!F15,"")</f>
        <v/>
      </c>
      <c r="G15" t="str">
        <f>IF($A15&lt;&gt;"",'All Cases - Enter Cases'!G15,"")</f>
        <v/>
      </c>
      <c r="H15" t="str">
        <f>IF($A15&lt;&gt;"",'All Cases - Enter Cases'!H15,"")</f>
        <v/>
      </c>
      <c r="I15" t="str">
        <f>IF($A15&lt;&gt;"",'All Cases - Enter Cases'!I15,"")</f>
        <v/>
      </c>
      <c r="J15" s="11" t="str">
        <f>IF($A15&lt;&gt;"",'All Cases - Enter Cases'!J15,"")</f>
        <v/>
      </c>
      <c r="K15" s="4" t="str">
        <f>IF($A15&lt;&gt;"",'All Cases - Enter Cases'!K15,"")</f>
        <v/>
      </c>
      <c r="L15" s="11" t="str">
        <f>IF($A15&lt;&gt;"",'All Cases - Enter Cases'!L15,"")</f>
        <v/>
      </c>
      <c r="M15" t="str">
        <f>IF($A15&lt;&gt;"",'All Cases - Enter Cases'!M15,"")</f>
        <v/>
      </c>
    </row>
    <row r="16" spans="1:13" ht="20" customHeight="1" x14ac:dyDescent="0.35">
      <c r="A16" s="10" t="str">
        <f>IF('All Cases - Enter Cases'!$F16="Sindh",'All Cases - Enter Cases'!A16,"")</f>
        <v/>
      </c>
      <c r="B16" t="str">
        <f>IF($A16&lt;&gt;"",'All Cases - Enter Cases'!B16,"")</f>
        <v/>
      </c>
      <c r="C16" t="str">
        <f>IF($A16&lt;&gt;"",'All Cases - Enter Cases'!C16,"")</f>
        <v/>
      </c>
      <c r="D16" t="str">
        <f>IF($A16&lt;&gt;"",'All Cases - Enter Cases'!D16,"")</f>
        <v/>
      </c>
      <c r="E16" t="str">
        <f>IF($A16&lt;&gt;"",'All Cases - Enter Cases'!E16,"")</f>
        <v/>
      </c>
      <c r="F16" t="str">
        <f>IF($A16&lt;&gt;"",'All Cases - Enter Cases'!F16,"")</f>
        <v/>
      </c>
      <c r="G16" t="str">
        <f>IF($A16&lt;&gt;"",'All Cases - Enter Cases'!G16,"")</f>
        <v/>
      </c>
      <c r="H16" t="str">
        <f>IF($A16&lt;&gt;"",'All Cases - Enter Cases'!H16,"")</f>
        <v/>
      </c>
      <c r="I16" t="str">
        <f>IF($A16&lt;&gt;"",'All Cases - Enter Cases'!I16,"")</f>
        <v/>
      </c>
      <c r="J16" s="11" t="str">
        <f>IF($A16&lt;&gt;"",'All Cases - Enter Cases'!J16,"")</f>
        <v/>
      </c>
      <c r="K16" s="4" t="str">
        <f>IF($A16&lt;&gt;"",'All Cases - Enter Cases'!K16,"")</f>
        <v/>
      </c>
      <c r="L16" s="11" t="str">
        <f>IF($A16&lt;&gt;"",'All Cases - Enter Cases'!L16,"")</f>
        <v/>
      </c>
      <c r="M16" t="str">
        <f>IF($A16&lt;&gt;"",'All Cases - Enter Cases'!M16,"")</f>
        <v/>
      </c>
    </row>
    <row r="17" spans="1:13" ht="20" customHeight="1" x14ac:dyDescent="0.35">
      <c r="A17" s="10" t="str">
        <f>IF('All Cases - Enter Cases'!$F17="Sindh",'All Cases - Enter Cases'!A17,"")</f>
        <v/>
      </c>
      <c r="B17" t="str">
        <f>IF($A17&lt;&gt;"",'All Cases - Enter Cases'!B17,"")</f>
        <v/>
      </c>
      <c r="C17" t="str">
        <f>IF($A17&lt;&gt;"",'All Cases - Enter Cases'!C17,"")</f>
        <v/>
      </c>
      <c r="D17" t="str">
        <f>IF($A17&lt;&gt;"",'All Cases - Enter Cases'!D17,"")</f>
        <v/>
      </c>
      <c r="E17" t="str">
        <f>IF($A17&lt;&gt;"",'All Cases - Enter Cases'!E17,"")</f>
        <v/>
      </c>
      <c r="F17" t="str">
        <f>IF($A17&lt;&gt;"",'All Cases - Enter Cases'!F17,"")</f>
        <v/>
      </c>
      <c r="G17" t="str">
        <f>IF($A17&lt;&gt;"",'All Cases - Enter Cases'!G17,"")</f>
        <v/>
      </c>
      <c r="H17" t="str">
        <f>IF($A17&lt;&gt;"",'All Cases - Enter Cases'!H17,"")</f>
        <v/>
      </c>
      <c r="I17" t="str">
        <f>IF($A17&lt;&gt;"",'All Cases - Enter Cases'!I17,"")</f>
        <v/>
      </c>
      <c r="J17" t="str">
        <f>IF($A17&lt;&gt;"",'All Cases - Enter Cases'!J17,"")</f>
        <v/>
      </c>
      <c r="K17" s="4" t="str">
        <f>IF($A17&lt;&gt;"",'All Cases - Enter Cases'!K17,"")</f>
        <v/>
      </c>
      <c r="L17" s="11" t="str">
        <f>IF($A17&lt;&gt;"",'All Cases - Enter Cases'!L17,"")</f>
        <v/>
      </c>
      <c r="M17" t="str">
        <f>IF($A17&lt;&gt;"",'All Cases - Enter Cases'!M17,"")</f>
        <v/>
      </c>
    </row>
    <row r="18" spans="1:13" ht="20" customHeight="1" x14ac:dyDescent="0.35">
      <c r="A18" s="10" t="str">
        <f>IF('All Cases - Enter Cases'!$F18="Sindh",'All Cases - Enter Cases'!A18,"")</f>
        <v/>
      </c>
      <c r="B18" t="str">
        <f>IF($A18&lt;&gt;"",'All Cases - Enter Cases'!B18,"")</f>
        <v/>
      </c>
      <c r="C18" t="str">
        <f>IF($A18&lt;&gt;"",'All Cases - Enter Cases'!C18,"")</f>
        <v/>
      </c>
      <c r="D18" t="str">
        <f>IF($A18&lt;&gt;"",'All Cases - Enter Cases'!D18,"")</f>
        <v/>
      </c>
      <c r="E18" t="str">
        <f>IF($A18&lt;&gt;"",'All Cases - Enter Cases'!E18,"")</f>
        <v/>
      </c>
      <c r="F18" t="str">
        <f>IF($A18&lt;&gt;"",'All Cases - Enter Cases'!F18,"")</f>
        <v/>
      </c>
      <c r="G18" t="str">
        <f>IF($A18&lt;&gt;"",'All Cases - Enter Cases'!G18,"")</f>
        <v/>
      </c>
      <c r="H18" t="str">
        <f>IF($A18&lt;&gt;"",'All Cases - Enter Cases'!H18,"")</f>
        <v/>
      </c>
      <c r="I18" t="str">
        <f>IF($A18&lt;&gt;"",'All Cases - Enter Cases'!I18,"")</f>
        <v/>
      </c>
      <c r="J18" t="str">
        <f>IF($A18&lt;&gt;"",'All Cases - Enter Cases'!J18,"")</f>
        <v/>
      </c>
      <c r="K18" s="4" t="str">
        <f>IF($A18&lt;&gt;"",'All Cases - Enter Cases'!K18,"")</f>
        <v/>
      </c>
      <c r="L18" s="11" t="str">
        <f>IF($A18&lt;&gt;"",'All Cases - Enter Cases'!L18,"")</f>
        <v/>
      </c>
      <c r="M18" t="str">
        <f>IF($A18&lt;&gt;"",'All Cases - Enter Cases'!M18,"")</f>
        <v/>
      </c>
    </row>
    <row r="19" spans="1:13" ht="20" customHeight="1" x14ac:dyDescent="0.35">
      <c r="A19" s="10" t="str">
        <f>IF('All Cases - Enter Cases'!$F19="Sindh",'All Cases - Enter Cases'!A19,"")</f>
        <v/>
      </c>
      <c r="B19" t="str">
        <f>IF($A19&lt;&gt;"",'All Cases - Enter Cases'!B19,"")</f>
        <v/>
      </c>
      <c r="C19" t="str">
        <f>IF($A19&lt;&gt;"",'All Cases - Enter Cases'!C19,"")</f>
        <v/>
      </c>
      <c r="D19" t="str">
        <f>IF($A19&lt;&gt;"",'All Cases - Enter Cases'!D19,"")</f>
        <v/>
      </c>
      <c r="E19" t="str">
        <f>IF($A19&lt;&gt;"",'All Cases - Enter Cases'!E19,"")</f>
        <v/>
      </c>
      <c r="F19" t="str">
        <f>IF($A19&lt;&gt;"",'All Cases - Enter Cases'!F19,"")</f>
        <v/>
      </c>
      <c r="G19" t="str">
        <f>IF($A19&lt;&gt;"",'All Cases - Enter Cases'!G19,"")</f>
        <v/>
      </c>
      <c r="H19" t="str">
        <f>IF($A19&lt;&gt;"",'All Cases - Enter Cases'!H19,"")</f>
        <v/>
      </c>
      <c r="I19" t="str">
        <f>IF($A19&lt;&gt;"",'All Cases - Enter Cases'!I19,"")</f>
        <v/>
      </c>
      <c r="J19" t="str">
        <f>IF($A19&lt;&gt;"",'All Cases - Enter Cases'!J19,"")</f>
        <v/>
      </c>
      <c r="K19" s="4" t="str">
        <f>IF($A19&lt;&gt;"",'All Cases - Enter Cases'!K19,"")</f>
        <v/>
      </c>
      <c r="L19" s="11" t="str">
        <f>IF($A19&lt;&gt;"",'All Cases - Enter Cases'!L19,"")</f>
        <v/>
      </c>
      <c r="M19" t="str">
        <f>IF($A19&lt;&gt;"",'All Cases - Enter Cases'!M19,"")</f>
        <v/>
      </c>
    </row>
    <row r="20" spans="1:13" ht="20" customHeight="1" x14ac:dyDescent="0.35">
      <c r="A20" s="10" t="str">
        <f>IF('All Cases - Enter Cases'!$F20="Sindh",'All Cases - Enter Cases'!A20,"")</f>
        <v/>
      </c>
      <c r="B20" t="str">
        <f>IF($A20&lt;&gt;"",'All Cases - Enter Cases'!B20,"")</f>
        <v/>
      </c>
      <c r="C20" t="str">
        <f>IF($A20&lt;&gt;"",'All Cases - Enter Cases'!C20,"")</f>
        <v/>
      </c>
      <c r="D20" t="str">
        <f>IF($A20&lt;&gt;"",'All Cases - Enter Cases'!D20,"")</f>
        <v/>
      </c>
      <c r="E20" t="str">
        <f>IF($A20&lt;&gt;"",'All Cases - Enter Cases'!E20,"")</f>
        <v/>
      </c>
      <c r="F20" t="str">
        <f>IF($A20&lt;&gt;"",'All Cases - Enter Cases'!F20,"")</f>
        <v/>
      </c>
      <c r="G20" t="str">
        <f>IF($A20&lt;&gt;"",'All Cases - Enter Cases'!G20,"")</f>
        <v/>
      </c>
      <c r="H20" t="str">
        <f>IF($A20&lt;&gt;"",'All Cases - Enter Cases'!H20,"")</f>
        <v/>
      </c>
      <c r="I20" t="str">
        <f>IF($A20&lt;&gt;"",'All Cases - Enter Cases'!I20,"")</f>
        <v/>
      </c>
      <c r="J20" t="str">
        <f>IF($A20&lt;&gt;"",'All Cases - Enter Cases'!J20,"")</f>
        <v/>
      </c>
      <c r="K20" s="4" t="str">
        <f>IF($A20&lt;&gt;"",'All Cases - Enter Cases'!K20,"")</f>
        <v/>
      </c>
      <c r="L20" s="11" t="str">
        <f>IF($A20&lt;&gt;"",'All Cases - Enter Cases'!L20,"")</f>
        <v/>
      </c>
      <c r="M20" t="str">
        <f>IF($A20&lt;&gt;"",'All Cases - Enter Cases'!M20,"")</f>
        <v/>
      </c>
    </row>
    <row r="21" spans="1:13" ht="20" customHeight="1" x14ac:dyDescent="0.35">
      <c r="A21" s="10" t="str">
        <f>IF('All Cases - Enter Cases'!$F21="Sindh",'All Cases - Enter Cases'!A21,"")</f>
        <v/>
      </c>
      <c r="B21" t="str">
        <f>IF($A21&lt;&gt;"",'All Cases - Enter Cases'!B21,"")</f>
        <v/>
      </c>
      <c r="C21" t="str">
        <f>IF($A21&lt;&gt;"",'All Cases - Enter Cases'!C21,"")</f>
        <v/>
      </c>
      <c r="D21" t="str">
        <f>IF($A21&lt;&gt;"",'All Cases - Enter Cases'!D21,"")</f>
        <v/>
      </c>
      <c r="E21" t="str">
        <f>IF($A21&lt;&gt;"",'All Cases - Enter Cases'!E21,"")</f>
        <v/>
      </c>
      <c r="F21" t="str">
        <f>IF($A21&lt;&gt;"",'All Cases - Enter Cases'!F21,"")</f>
        <v/>
      </c>
      <c r="G21" t="str">
        <f>IF($A21&lt;&gt;"",'All Cases - Enter Cases'!G21,"")</f>
        <v/>
      </c>
      <c r="H21" t="str">
        <f>IF($A21&lt;&gt;"",'All Cases - Enter Cases'!H21,"")</f>
        <v/>
      </c>
      <c r="I21" t="str">
        <f>IF($A21&lt;&gt;"",'All Cases - Enter Cases'!I21,"")</f>
        <v/>
      </c>
      <c r="J21" t="str">
        <f>IF($A21&lt;&gt;"",'All Cases - Enter Cases'!J21,"")</f>
        <v/>
      </c>
      <c r="K21" s="4" t="str">
        <f>IF($A21&lt;&gt;"",'All Cases - Enter Cases'!K21,"")</f>
        <v/>
      </c>
      <c r="L21" s="11" t="str">
        <f>IF($A21&lt;&gt;"",'All Cases - Enter Cases'!L21,"")</f>
        <v/>
      </c>
      <c r="M21" t="str">
        <f>IF($A21&lt;&gt;"",'All Cases - Enter Cases'!M21,"")</f>
        <v/>
      </c>
    </row>
    <row r="22" spans="1:13" ht="20" customHeight="1" x14ac:dyDescent="0.35">
      <c r="A22" s="10" t="str">
        <f>IF('All Cases - Enter Cases'!$F22="Sindh",'All Cases - Enter Cases'!A22,"")</f>
        <v/>
      </c>
      <c r="B22" t="str">
        <f>IF($A22&lt;&gt;"",'All Cases - Enter Cases'!B22,"")</f>
        <v/>
      </c>
      <c r="C22" t="str">
        <f>IF($A22&lt;&gt;"",'All Cases - Enter Cases'!C22,"")</f>
        <v/>
      </c>
      <c r="D22" t="str">
        <f>IF($A22&lt;&gt;"",'All Cases - Enter Cases'!D22,"")</f>
        <v/>
      </c>
      <c r="E22" t="str">
        <f>IF($A22&lt;&gt;"",'All Cases - Enter Cases'!E22,"")</f>
        <v/>
      </c>
      <c r="F22" t="str">
        <f>IF($A22&lt;&gt;"",'All Cases - Enter Cases'!F22,"")</f>
        <v/>
      </c>
      <c r="G22" t="str">
        <f>IF($A22&lt;&gt;"",'All Cases - Enter Cases'!G22,"")</f>
        <v/>
      </c>
      <c r="H22" t="str">
        <f>IF($A22&lt;&gt;"",'All Cases - Enter Cases'!H22,"")</f>
        <v/>
      </c>
      <c r="I22" t="str">
        <f>IF($A22&lt;&gt;"",'All Cases - Enter Cases'!I22,"")</f>
        <v/>
      </c>
      <c r="J22" t="str">
        <f>IF($A22&lt;&gt;"",'All Cases - Enter Cases'!J22,"")</f>
        <v/>
      </c>
      <c r="K22" s="4" t="str">
        <f>IF($A22&lt;&gt;"",'All Cases - Enter Cases'!K22,"")</f>
        <v/>
      </c>
      <c r="L22" s="11" t="str">
        <f>IF($A22&lt;&gt;"",'All Cases - Enter Cases'!L22,"")</f>
        <v/>
      </c>
      <c r="M22" t="str">
        <f>IF($A22&lt;&gt;"",'All Cases - Enter Cases'!M22,"")</f>
        <v/>
      </c>
    </row>
    <row r="23" spans="1:13" ht="20" customHeight="1" x14ac:dyDescent="0.35">
      <c r="A23" s="10" t="str">
        <f>IF('All Cases - Enter Cases'!$F23="Sindh",'All Cases - Enter Cases'!A23,"")</f>
        <v/>
      </c>
      <c r="B23" t="str">
        <f>IF($A23&lt;&gt;"",'All Cases - Enter Cases'!B23,"")</f>
        <v/>
      </c>
      <c r="C23" t="str">
        <f>IF($A23&lt;&gt;"",'All Cases - Enter Cases'!C23,"")</f>
        <v/>
      </c>
      <c r="D23" t="str">
        <f>IF($A23&lt;&gt;"",'All Cases - Enter Cases'!D23,"")</f>
        <v/>
      </c>
      <c r="E23" t="str">
        <f>IF($A23&lt;&gt;"",'All Cases - Enter Cases'!E23,"")</f>
        <v/>
      </c>
      <c r="F23" t="str">
        <f>IF($A23&lt;&gt;"",'All Cases - Enter Cases'!F23,"")</f>
        <v/>
      </c>
      <c r="G23" t="str">
        <f>IF($A23&lt;&gt;"",'All Cases - Enter Cases'!G23,"")</f>
        <v/>
      </c>
      <c r="H23" t="str">
        <f>IF($A23&lt;&gt;"",'All Cases - Enter Cases'!H23,"")</f>
        <v/>
      </c>
      <c r="I23" t="str">
        <f>IF($A23&lt;&gt;"",'All Cases - Enter Cases'!I23,"")</f>
        <v/>
      </c>
      <c r="J23" t="str">
        <f>IF($A23&lt;&gt;"",'All Cases - Enter Cases'!J23,"")</f>
        <v/>
      </c>
      <c r="K23" s="4" t="str">
        <f>IF($A23&lt;&gt;"",'All Cases - Enter Cases'!K23,"")</f>
        <v/>
      </c>
      <c r="L23" s="11" t="str">
        <f>IF($A23&lt;&gt;"",'All Cases - Enter Cases'!L23,"")</f>
        <v/>
      </c>
      <c r="M23" t="str">
        <f>IF($A23&lt;&gt;"",'All Cases - Enter Cases'!M23,"")</f>
        <v/>
      </c>
    </row>
    <row r="24" spans="1:13" ht="20" customHeight="1" x14ac:dyDescent="0.35">
      <c r="A24" s="10" t="str">
        <f>IF('All Cases - Enter Cases'!$F24="Sindh",'All Cases - Enter Cases'!A24,"")</f>
        <v/>
      </c>
      <c r="B24" t="str">
        <f>IF($A24&lt;&gt;"",'All Cases - Enter Cases'!B24,"")</f>
        <v/>
      </c>
      <c r="C24" t="str">
        <f>IF($A24&lt;&gt;"",'All Cases - Enter Cases'!C24,"")</f>
        <v/>
      </c>
      <c r="D24" t="str">
        <f>IF($A24&lt;&gt;"",'All Cases - Enter Cases'!D24,"")</f>
        <v/>
      </c>
      <c r="E24" t="str">
        <f>IF($A24&lt;&gt;"",'All Cases - Enter Cases'!E24,"")</f>
        <v/>
      </c>
      <c r="F24" t="str">
        <f>IF($A24&lt;&gt;"",'All Cases - Enter Cases'!F24,"")</f>
        <v/>
      </c>
      <c r="G24" t="str">
        <f>IF($A24&lt;&gt;"",'All Cases - Enter Cases'!G24,"")</f>
        <v/>
      </c>
      <c r="H24" t="str">
        <f>IF($A24&lt;&gt;"",'All Cases - Enter Cases'!H24,"")</f>
        <v/>
      </c>
      <c r="I24" t="str">
        <f>IF($A24&lt;&gt;"",'All Cases - Enter Cases'!I24,"")</f>
        <v/>
      </c>
      <c r="J24" t="str">
        <f>IF($A24&lt;&gt;"",'All Cases - Enter Cases'!J24,"")</f>
        <v/>
      </c>
      <c r="K24" s="4" t="str">
        <f>IF($A24&lt;&gt;"",'All Cases - Enter Cases'!K24,"")</f>
        <v/>
      </c>
      <c r="L24" s="11" t="str">
        <f>IF($A24&lt;&gt;"",'All Cases - Enter Cases'!L24,"")</f>
        <v/>
      </c>
      <c r="M24" t="str">
        <f>IF($A24&lt;&gt;"",'All Cases - Enter Cases'!M24,"")</f>
        <v/>
      </c>
    </row>
    <row r="25" spans="1:13" ht="20" customHeight="1" x14ac:dyDescent="0.35">
      <c r="A25" s="10" t="str">
        <f>IF('All Cases - Enter Cases'!$F25="Sindh",'All Cases - Enter Cases'!A25,"")</f>
        <v/>
      </c>
      <c r="B25" t="str">
        <f>IF($A25&lt;&gt;"",'All Cases - Enter Cases'!B25,"")</f>
        <v/>
      </c>
      <c r="C25" t="str">
        <f>IF($A25&lt;&gt;"",'All Cases - Enter Cases'!C25,"")</f>
        <v/>
      </c>
      <c r="D25" t="str">
        <f>IF($A25&lt;&gt;"",'All Cases - Enter Cases'!D25,"")</f>
        <v/>
      </c>
      <c r="E25" t="str">
        <f>IF($A25&lt;&gt;"",'All Cases - Enter Cases'!E25,"")</f>
        <v/>
      </c>
      <c r="F25" t="str">
        <f>IF($A25&lt;&gt;"",'All Cases - Enter Cases'!F25,"")</f>
        <v/>
      </c>
      <c r="G25" t="str">
        <f>IF($A25&lt;&gt;"",'All Cases - Enter Cases'!G25,"")</f>
        <v/>
      </c>
      <c r="H25" t="str">
        <f>IF($A25&lt;&gt;"",'All Cases - Enter Cases'!H25,"")</f>
        <v/>
      </c>
      <c r="I25" t="str">
        <f>IF($A25&lt;&gt;"",'All Cases - Enter Cases'!I25,"")</f>
        <v/>
      </c>
      <c r="J25" t="str">
        <f>IF($A25&lt;&gt;"",'All Cases - Enter Cases'!J25,"")</f>
        <v/>
      </c>
      <c r="K25" s="4" t="str">
        <f>IF($A25&lt;&gt;"",'All Cases - Enter Cases'!K25,"")</f>
        <v/>
      </c>
      <c r="L25" s="11" t="str">
        <f>IF($A25&lt;&gt;"",'All Cases - Enter Cases'!L25,"")</f>
        <v/>
      </c>
      <c r="M25" t="str">
        <f>IF($A25&lt;&gt;"",'All Cases - Enter Cases'!M25,"")</f>
        <v/>
      </c>
    </row>
    <row r="26" spans="1:13" ht="20" customHeight="1" x14ac:dyDescent="0.35">
      <c r="A26" s="10" t="str">
        <f>IF('All Cases - Enter Cases'!$F26="Sindh",'All Cases - Enter Cases'!A26,"")</f>
        <v/>
      </c>
      <c r="B26" t="str">
        <f>IF($A26&lt;&gt;"",'All Cases - Enter Cases'!B26,"")</f>
        <v/>
      </c>
      <c r="C26" t="str">
        <f>IF($A26&lt;&gt;"",'All Cases - Enter Cases'!C26,"")</f>
        <v/>
      </c>
      <c r="D26" t="str">
        <f>IF($A26&lt;&gt;"",'All Cases - Enter Cases'!D26,"")</f>
        <v/>
      </c>
      <c r="E26" t="str">
        <f>IF($A26&lt;&gt;"",'All Cases - Enter Cases'!E26,"")</f>
        <v/>
      </c>
      <c r="F26" t="str">
        <f>IF($A26&lt;&gt;"",'All Cases - Enter Cases'!F26,"")</f>
        <v/>
      </c>
      <c r="G26" t="str">
        <f>IF($A26&lt;&gt;"",'All Cases - Enter Cases'!G26,"")</f>
        <v/>
      </c>
      <c r="H26" t="str">
        <f>IF($A26&lt;&gt;"",'All Cases - Enter Cases'!H26,"")</f>
        <v/>
      </c>
      <c r="I26" t="str">
        <f>IF($A26&lt;&gt;"",'All Cases - Enter Cases'!I26,"")</f>
        <v/>
      </c>
      <c r="J26" t="str">
        <f>IF($A26&lt;&gt;"",'All Cases - Enter Cases'!J26,"")</f>
        <v/>
      </c>
      <c r="K26" s="4" t="str">
        <f>IF($A26&lt;&gt;"",'All Cases - Enter Cases'!K26,"")</f>
        <v/>
      </c>
      <c r="L26" s="11" t="str">
        <f>IF($A26&lt;&gt;"",'All Cases - Enter Cases'!L26,"")</f>
        <v/>
      </c>
      <c r="M26" t="str">
        <f>IF($A26&lt;&gt;"",'All Cases - Enter Cases'!M26,"")</f>
        <v/>
      </c>
    </row>
    <row r="27" spans="1:13" x14ac:dyDescent="0.35">
      <c r="A27" s="10" t="str">
        <f>IF('All Cases - Enter Cases'!$F27="Sindh",'All Cases - Enter Cases'!A27,"")</f>
        <v/>
      </c>
      <c r="B27" t="str">
        <f>IF($A27&lt;&gt;"",'All Cases - Enter Cases'!B27,"")</f>
        <v/>
      </c>
      <c r="C27" t="str">
        <f>IF($A27&lt;&gt;"",'All Cases - Enter Cases'!C27,"")</f>
        <v/>
      </c>
      <c r="D27" t="str">
        <f>IF($A27&lt;&gt;"",'All Cases - Enter Cases'!D27,"")</f>
        <v/>
      </c>
      <c r="E27" t="str">
        <f>IF($A27&lt;&gt;"",'All Cases - Enter Cases'!E27,"")</f>
        <v/>
      </c>
      <c r="F27" t="str">
        <f>IF($A27&lt;&gt;"",'All Cases - Enter Cases'!F27,"")</f>
        <v/>
      </c>
      <c r="G27" t="str">
        <f>IF($A27&lt;&gt;"",'All Cases - Enter Cases'!G27,"")</f>
        <v/>
      </c>
      <c r="H27" t="str">
        <f>IF($A27&lt;&gt;"",'All Cases - Enter Cases'!H27,"")</f>
        <v/>
      </c>
      <c r="I27" t="str">
        <f>IF($A27&lt;&gt;"",'All Cases - Enter Cases'!I27,"")</f>
        <v/>
      </c>
      <c r="J27" t="str">
        <f>IF($A27&lt;&gt;"",'All Cases - Enter Cases'!J27,"")</f>
        <v/>
      </c>
      <c r="K27" s="4" t="str">
        <f>IF($A27&lt;&gt;"",'All Cases - Enter Cases'!K27,"")</f>
        <v/>
      </c>
      <c r="L27" s="11" t="str">
        <f>IF($A27&lt;&gt;"",'All Cases - Enter Cases'!L27,"")</f>
        <v/>
      </c>
      <c r="M27" t="str">
        <f>IF($A27&lt;&gt;"",'All Cases - Enter Cases'!M27,"")</f>
        <v/>
      </c>
    </row>
    <row r="28" spans="1:13" x14ac:dyDescent="0.35">
      <c r="A28" s="10" t="str">
        <f>IF('All Cases - Enter Cases'!$F28="Sindh",'All Cases - Enter Cases'!A28,"")</f>
        <v/>
      </c>
      <c r="B28" t="str">
        <f>IF($A28&lt;&gt;"",'All Cases - Enter Cases'!B28,"")</f>
        <v/>
      </c>
      <c r="C28" t="str">
        <f>IF($A28&lt;&gt;"",'All Cases - Enter Cases'!C28,"")</f>
        <v/>
      </c>
      <c r="D28" t="str">
        <f>IF($A28&lt;&gt;"",'All Cases - Enter Cases'!D28,"")</f>
        <v/>
      </c>
      <c r="E28" t="str">
        <f>IF($A28&lt;&gt;"",'All Cases - Enter Cases'!E28,"")</f>
        <v/>
      </c>
      <c r="F28" t="str">
        <f>IF($A28&lt;&gt;"",'All Cases - Enter Cases'!F28,"")</f>
        <v/>
      </c>
      <c r="G28" t="str">
        <f>IF($A28&lt;&gt;"",'All Cases - Enter Cases'!G28,"")</f>
        <v/>
      </c>
      <c r="H28" t="str">
        <f>IF($A28&lt;&gt;"",'All Cases - Enter Cases'!H28,"")</f>
        <v/>
      </c>
      <c r="I28" t="str">
        <f>IF($A28&lt;&gt;"",'All Cases - Enter Cases'!I28,"")</f>
        <v/>
      </c>
      <c r="J28" t="str">
        <f>IF($A28&lt;&gt;"",'All Cases - Enter Cases'!J28,"")</f>
        <v/>
      </c>
      <c r="K28" s="4" t="str">
        <f>IF($A28&lt;&gt;"",'All Cases - Enter Cases'!K28,"")</f>
        <v/>
      </c>
      <c r="L28" s="11" t="str">
        <f>IF($A28&lt;&gt;"",'All Cases - Enter Cases'!L28,"")</f>
        <v/>
      </c>
      <c r="M28" t="str">
        <f>IF($A28&lt;&gt;"",'All Cases - Enter Cases'!M28,"")</f>
        <v/>
      </c>
    </row>
    <row r="29" spans="1:13" x14ac:dyDescent="0.35">
      <c r="A29" s="10" t="str">
        <f>IF('All Cases - Enter Cases'!$F29="Sindh",'All Cases - Enter Cases'!A29,"")</f>
        <v/>
      </c>
      <c r="B29" t="str">
        <f>IF($A29&lt;&gt;"",'All Cases - Enter Cases'!B29,"")</f>
        <v/>
      </c>
      <c r="C29" t="str">
        <f>IF($A29&lt;&gt;"",'All Cases - Enter Cases'!C29,"")</f>
        <v/>
      </c>
      <c r="D29" t="str">
        <f>IF($A29&lt;&gt;"",'All Cases - Enter Cases'!D29,"")</f>
        <v/>
      </c>
      <c r="E29" t="str">
        <f>IF($A29&lt;&gt;"",'All Cases - Enter Cases'!E29,"")</f>
        <v/>
      </c>
      <c r="F29" t="str">
        <f>IF($A29&lt;&gt;"",'All Cases - Enter Cases'!F29,"")</f>
        <v/>
      </c>
      <c r="G29" t="str">
        <f>IF($A29&lt;&gt;"",'All Cases - Enter Cases'!G29,"")</f>
        <v/>
      </c>
      <c r="H29" t="str">
        <f>IF($A29&lt;&gt;"",'All Cases - Enter Cases'!H29,"")</f>
        <v/>
      </c>
      <c r="I29" t="str">
        <f>IF($A29&lt;&gt;"",'All Cases - Enter Cases'!I29,"")</f>
        <v/>
      </c>
      <c r="J29" t="str">
        <f>IF($A29&lt;&gt;"",'All Cases - Enter Cases'!J29,"")</f>
        <v/>
      </c>
      <c r="K29" s="4" t="str">
        <f>IF($A29&lt;&gt;"",'All Cases - Enter Cases'!K29,"")</f>
        <v/>
      </c>
      <c r="L29" s="11" t="str">
        <f>IF($A29&lt;&gt;"",'All Cases - Enter Cases'!L29,"")</f>
        <v/>
      </c>
      <c r="M29" t="str">
        <f>IF($A29&lt;&gt;"",'All Cases - Enter Cases'!M29,"")</f>
        <v/>
      </c>
    </row>
    <row r="30" spans="1:13" x14ac:dyDescent="0.35">
      <c r="A30" s="10" t="str">
        <f>IF('All Cases - Enter Cases'!$F30="Sindh",'All Cases - Enter Cases'!A30,"")</f>
        <v/>
      </c>
      <c r="B30" t="str">
        <f>IF($A30&lt;&gt;"",'All Cases - Enter Cases'!B30,"")</f>
        <v/>
      </c>
      <c r="C30" t="str">
        <f>IF($A30&lt;&gt;"",'All Cases - Enter Cases'!C30,"")</f>
        <v/>
      </c>
      <c r="D30" t="str">
        <f>IF($A30&lt;&gt;"",'All Cases - Enter Cases'!D30,"")</f>
        <v/>
      </c>
      <c r="E30" t="str">
        <f>IF($A30&lt;&gt;"",'All Cases - Enter Cases'!E30,"")</f>
        <v/>
      </c>
      <c r="F30" t="str">
        <f>IF($A30&lt;&gt;"",'All Cases - Enter Cases'!F30,"")</f>
        <v/>
      </c>
      <c r="G30" t="str">
        <f>IF($A30&lt;&gt;"",'All Cases - Enter Cases'!G30,"")</f>
        <v/>
      </c>
      <c r="H30" t="str">
        <f>IF($A30&lt;&gt;"",'All Cases - Enter Cases'!H30,"")</f>
        <v/>
      </c>
      <c r="I30" t="str">
        <f>IF($A30&lt;&gt;"",'All Cases - Enter Cases'!I30,"")</f>
        <v/>
      </c>
      <c r="J30" t="str">
        <f>IF($A30&lt;&gt;"",'All Cases - Enter Cases'!J30,"")</f>
        <v/>
      </c>
      <c r="K30" s="4" t="str">
        <f>IF($A30&lt;&gt;"",'All Cases - Enter Cases'!K30,"")</f>
        <v/>
      </c>
      <c r="L30" s="11" t="str">
        <f>IF($A30&lt;&gt;"",'All Cases - Enter Cases'!L30,"")</f>
        <v/>
      </c>
      <c r="M30" t="str">
        <f>IF($A30&lt;&gt;"",'All Cases - Enter Cases'!M30,"")</f>
        <v/>
      </c>
    </row>
    <row r="31" spans="1:13" x14ac:dyDescent="0.35">
      <c r="A31" s="10" t="str">
        <f>IF('All Cases - Enter Cases'!$F31="Sindh",'All Cases - Enter Cases'!A31,"")</f>
        <v/>
      </c>
      <c r="B31" t="str">
        <f>IF($A31&lt;&gt;"",'All Cases - Enter Cases'!B31,"")</f>
        <v/>
      </c>
      <c r="C31" t="str">
        <f>IF($A31&lt;&gt;"",'All Cases - Enter Cases'!C31,"")</f>
        <v/>
      </c>
      <c r="D31" t="str">
        <f>IF($A31&lt;&gt;"",'All Cases - Enter Cases'!D31,"")</f>
        <v/>
      </c>
      <c r="E31" t="str">
        <f>IF($A31&lt;&gt;"",'All Cases - Enter Cases'!E31,"")</f>
        <v/>
      </c>
      <c r="F31" t="str">
        <f>IF($A31&lt;&gt;"",'All Cases - Enter Cases'!F31,"")</f>
        <v/>
      </c>
      <c r="G31" t="str">
        <f>IF($A31&lt;&gt;"",'All Cases - Enter Cases'!G31,"")</f>
        <v/>
      </c>
      <c r="H31" t="str">
        <f>IF($A31&lt;&gt;"",'All Cases - Enter Cases'!H31,"")</f>
        <v/>
      </c>
      <c r="I31" t="str">
        <f>IF($A31&lt;&gt;"",'All Cases - Enter Cases'!I31,"")</f>
        <v/>
      </c>
      <c r="J31" t="str">
        <f>IF($A31&lt;&gt;"",'All Cases - Enter Cases'!J31,"")</f>
        <v/>
      </c>
      <c r="K31" s="4" t="str">
        <f>IF($A31&lt;&gt;"",'All Cases - Enter Cases'!K31,"")</f>
        <v/>
      </c>
      <c r="L31" s="11" t="str">
        <f>IF($A31&lt;&gt;"",'All Cases - Enter Cases'!L31,"")</f>
        <v/>
      </c>
      <c r="M31" t="str">
        <f>IF($A31&lt;&gt;"",'All Cases - Enter Cases'!M31,"")</f>
        <v/>
      </c>
    </row>
    <row r="32" spans="1:13" x14ac:dyDescent="0.35">
      <c r="A32" s="10" t="str">
        <f>IF('All Cases - Enter Cases'!$F32="Sindh",'All Cases - Enter Cases'!A32,"")</f>
        <v/>
      </c>
      <c r="B32" t="str">
        <f>IF($A32&lt;&gt;"",'All Cases - Enter Cases'!B32,"")</f>
        <v/>
      </c>
      <c r="C32" t="str">
        <f>IF($A32&lt;&gt;"",'All Cases - Enter Cases'!C32,"")</f>
        <v/>
      </c>
      <c r="D32" t="str">
        <f>IF($A32&lt;&gt;"",'All Cases - Enter Cases'!D32,"")</f>
        <v/>
      </c>
      <c r="E32" t="str">
        <f>IF($A32&lt;&gt;"",'All Cases - Enter Cases'!E32,"")</f>
        <v/>
      </c>
      <c r="F32" t="str">
        <f>IF($A32&lt;&gt;"",'All Cases - Enter Cases'!F32,"")</f>
        <v/>
      </c>
      <c r="G32" t="str">
        <f>IF($A32&lt;&gt;"",'All Cases - Enter Cases'!G32,"")</f>
        <v/>
      </c>
      <c r="H32" t="str">
        <f>IF($A32&lt;&gt;"",'All Cases - Enter Cases'!H32,"")</f>
        <v/>
      </c>
      <c r="I32" t="str">
        <f>IF($A32&lt;&gt;"",'All Cases - Enter Cases'!I32,"")</f>
        <v/>
      </c>
      <c r="J32" t="str">
        <f>IF($A32&lt;&gt;"",'All Cases - Enter Cases'!J32,"")</f>
        <v/>
      </c>
      <c r="K32" s="4" t="str">
        <f>IF($A32&lt;&gt;"",'All Cases - Enter Cases'!K32,"")</f>
        <v/>
      </c>
      <c r="L32" s="11" t="str">
        <f>IF($A32&lt;&gt;"",'All Cases - Enter Cases'!L32,"")</f>
        <v/>
      </c>
      <c r="M32" t="str">
        <f>IF($A32&lt;&gt;"",'All Cases - Enter Cases'!M32,"")</f>
        <v/>
      </c>
    </row>
    <row r="33" spans="1:13" x14ac:dyDescent="0.35">
      <c r="A33" s="10" t="str">
        <f>IF('All Cases - Enter Cases'!$F33="Sindh",'All Cases - Enter Cases'!A33,"")</f>
        <v/>
      </c>
      <c r="B33" t="str">
        <f>IF($A33&lt;&gt;"",'All Cases - Enter Cases'!B33,"")</f>
        <v/>
      </c>
      <c r="C33" t="str">
        <f>IF($A33&lt;&gt;"",'All Cases - Enter Cases'!C33,"")</f>
        <v/>
      </c>
      <c r="D33" t="str">
        <f>IF($A33&lt;&gt;"",'All Cases - Enter Cases'!D33,"")</f>
        <v/>
      </c>
      <c r="E33" t="str">
        <f>IF($A33&lt;&gt;"",'All Cases - Enter Cases'!E33,"")</f>
        <v/>
      </c>
      <c r="F33" t="str">
        <f>IF($A33&lt;&gt;"",'All Cases - Enter Cases'!F33,"")</f>
        <v/>
      </c>
      <c r="G33" t="str">
        <f>IF($A33&lt;&gt;"",'All Cases - Enter Cases'!G33,"")</f>
        <v/>
      </c>
      <c r="H33" t="str">
        <f>IF($A33&lt;&gt;"",'All Cases - Enter Cases'!H33,"")</f>
        <v/>
      </c>
      <c r="I33" t="str">
        <f>IF($A33&lt;&gt;"",'All Cases - Enter Cases'!I33,"")</f>
        <v/>
      </c>
      <c r="J33" t="str">
        <f>IF($A33&lt;&gt;"",'All Cases - Enter Cases'!J33,"")</f>
        <v/>
      </c>
      <c r="K33" s="4" t="str">
        <f>IF($A33&lt;&gt;"",'All Cases - Enter Cases'!K33,"")</f>
        <v/>
      </c>
      <c r="L33" s="11" t="str">
        <f>IF($A33&lt;&gt;"",'All Cases - Enter Cases'!L33,"")</f>
        <v/>
      </c>
      <c r="M33" t="str">
        <f>IF($A33&lt;&gt;"",'All Cases - Enter Cases'!M33,"")</f>
        <v/>
      </c>
    </row>
    <row r="34" spans="1:13" x14ac:dyDescent="0.35">
      <c r="A34" s="10" t="str">
        <f>IF('All Cases - Enter Cases'!$F34="Sindh",'All Cases - Enter Cases'!A34,"")</f>
        <v/>
      </c>
      <c r="B34" t="str">
        <f>IF($A34&lt;&gt;"",'All Cases - Enter Cases'!B34,"")</f>
        <v/>
      </c>
      <c r="C34" t="str">
        <f>IF($A34&lt;&gt;"",'All Cases - Enter Cases'!C34,"")</f>
        <v/>
      </c>
      <c r="D34" t="str">
        <f>IF($A34&lt;&gt;"",'All Cases - Enter Cases'!D34,"")</f>
        <v/>
      </c>
      <c r="E34" t="str">
        <f>IF($A34&lt;&gt;"",'All Cases - Enter Cases'!E34,"")</f>
        <v/>
      </c>
      <c r="F34" t="str">
        <f>IF($A34&lt;&gt;"",'All Cases - Enter Cases'!F34,"")</f>
        <v/>
      </c>
      <c r="G34" t="str">
        <f>IF($A34&lt;&gt;"",'All Cases - Enter Cases'!G34,"")</f>
        <v/>
      </c>
      <c r="H34" t="str">
        <f>IF($A34&lt;&gt;"",'All Cases - Enter Cases'!H34,"")</f>
        <v/>
      </c>
      <c r="I34" t="str">
        <f>IF($A34&lt;&gt;"",'All Cases - Enter Cases'!I34,"")</f>
        <v/>
      </c>
      <c r="J34" t="str">
        <f>IF($A34&lt;&gt;"",'All Cases - Enter Cases'!J34,"")</f>
        <v/>
      </c>
      <c r="K34" s="4" t="str">
        <f>IF($A34&lt;&gt;"",'All Cases - Enter Cases'!K34,"")</f>
        <v/>
      </c>
      <c r="L34" s="11" t="str">
        <f>IF($A34&lt;&gt;"",'All Cases - Enter Cases'!L34,"")</f>
        <v/>
      </c>
      <c r="M34" t="str">
        <f>IF($A34&lt;&gt;"",'All Cases - Enter Cases'!M34,"")</f>
        <v/>
      </c>
    </row>
    <row r="35" spans="1:13" x14ac:dyDescent="0.35">
      <c r="A35" s="10" t="str">
        <f>IF('All Cases - Enter Cases'!$F35="Sindh",'All Cases - Enter Cases'!A35,"")</f>
        <v/>
      </c>
      <c r="B35" t="str">
        <f>IF($A35&lt;&gt;"",'All Cases - Enter Cases'!B35,"")</f>
        <v/>
      </c>
      <c r="C35" t="str">
        <f>IF($A35&lt;&gt;"",'All Cases - Enter Cases'!C35,"")</f>
        <v/>
      </c>
      <c r="D35" t="str">
        <f>IF($A35&lt;&gt;"",'All Cases - Enter Cases'!D35,"")</f>
        <v/>
      </c>
      <c r="E35" t="str">
        <f>IF($A35&lt;&gt;"",'All Cases - Enter Cases'!E35,"")</f>
        <v/>
      </c>
      <c r="F35" t="str">
        <f>IF($A35&lt;&gt;"",'All Cases - Enter Cases'!F35,"")</f>
        <v/>
      </c>
      <c r="G35" t="str">
        <f>IF($A35&lt;&gt;"",'All Cases - Enter Cases'!G35,"")</f>
        <v/>
      </c>
      <c r="H35" t="str">
        <f>IF($A35&lt;&gt;"",'All Cases - Enter Cases'!H35,"")</f>
        <v/>
      </c>
      <c r="I35" t="str">
        <f>IF($A35&lt;&gt;"",'All Cases - Enter Cases'!I35,"")</f>
        <v/>
      </c>
      <c r="J35" t="str">
        <f>IF($A35&lt;&gt;"",'All Cases - Enter Cases'!J35,"")</f>
        <v/>
      </c>
      <c r="K35" s="4" t="str">
        <f>IF($A35&lt;&gt;"",'All Cases - Enter Cases'!K35,"")</f>
        <v/>
      </c>
      <c r="L35" s="11" t="str">
        <f>IF($A35&lt;&gt;"",'All Cases - Enter Cases'!L35,"")</f>
        <v/>
      </c>
      <c r="M35" t="str">
        <f>IF($A35&lt;&gt;"",'All Cases - Enter Cases'!M35,"")</f>
        <v/>
      </c>
    </row>
    <row r="36" spans="1:13" x14ac:dyDescent="0.35">
      <c r="A36" s="10" t="str">
        <f>IF('All Cases - Enter Cases'!$F36="Sindh",'All Cases - Enter Cases'!A36,"")</f>
        <v/>
      </c>
      <c r="B36" t="str">
        <f>IF($A36&lt;&gt;"",'All Cases - Enter Cases'!B36,"")</f>
        <v/>
      </c>
      <c r="C36" t="str">
        <f>IF($A36&lt;&gt;"",'All Cases - Enter Cases'!C36,"")</f>
        <v/>
      </c>
      <c r="D36" t="str">
        <f>IF($A36&lt;&gt;"",'All Cases - Enter Cases'!D36,"")</f>
        <v/>
      </c>
      <c r="E36" t="str">
        <f>IF($A36&lt;&gt;"",'All Cases - Enter Cases'!E36,"")</f>
        <v/>
      </c>
      <c r="F36" t="str">
        <f>IF($A36&lt;&gt;"",'All Cases - Enter Cases'!F36,"")</f>
        <v/>
      </c>
      <c r="G36" t="str">
        <f>IF($A36&lt;&gt;"",'All Cases - Enter Cases'!G36,"")</f>
        <v/>
      </c>
      <c r="H36" t="str">
        <f>IF($A36&lt;&gt;"",'All Cases - Enter Cases'!H36,"")</f>
        <v/>
      </c>
      <c r="I36" t="str">
        <f>IF($A36&lt;&gt;"",'All Cases - Enter Cases'!I36,"")</f>
        <v/>
      </c>
      <c r="J36" t="str">
        <f>IF($A36&lt;&gt;"",'All Cases - Enter Cases'!J36,"")</f>
        <v/>
      </c>
      <c r="K36" s="4" t="str">
        <f>IF($A36&lt;&gt;"",'All Cases - Enter Cases'!K36,"")</f>
        <v/>
      </c>
      <c r="L36" t="str">
        <f>IF($A36&lt;&gt;"",'All Cases - Enter Cases'!L36,"")</f>
        <v/>
      </c>
      <c r="M36" t="str">
        <f>IF($A36&lt;&gt;"",'All Cases - Enter Cases'!M36,"")</f>
        <v/>
      </c>
    </row>
    <row r="37" spans="1:13" x14ac:dyDescent="0.35">
      <c r="A37" s="10" t="str">
        <f>IF('All Cases - Enter Cases'!$F37="Sindh",'All Cases - Enter Cases'!A37,"")</f>
        <v/>
      </c>
      <c r="B37" t="str">
        <f>IF($A37&lt;&gt;"",'All Cases - Enter Cases'!B37,"")</f>
        <v/>
      </c>
      <c r="C37" t="str">
        <f>IF($A37&lt;&gt;"",'All Cases - Enter Cases'!C37,"")</f>
        <v/>
      </c>
      <c r="D37" t="str">
        <f>IF($A37&lt;&gt;"",'All Cases - Enter Cases'!D37,"")</f>
        <v/>
      </c>
      <c r="E37" t="str">
        <f>IF($A37&lt;&gt;"",'All Cases - Enter Cases'!E37,"")</f>
        <v/>
      </c>
      <c r="F37" t="str">
        <f>IF($A37&lt;&gt;"",'All Cases - Enter Cases'!F37,"")</f>
        <v/>
      </c>
      <c r="G37" t="str">
        <f>IF($A37&lt;&gt;"",'All Cases - Enter Cases'!G37,"")</f>
        <v/>
      </c>
      <c r="H37" t="str">
        <f>IF($A37&lt;&gt;"",'All Cases - Enter Cases'!H37,"")</f>
        <v/>
      </c>
      <c r="I37" t="str">
        <f>IF($A37&lt;&gt;"",'All Cases - Enter Cases'!I37,"")</f>
        <v/>
      </c>
      <c r="J37" t="str">
        <f>IF($A37&lt;&gt;"",'All Cases - Enter Cases'!J37,"")</f>
        <v/>
      </c>
      <c r="K37" s="4" t="str">
        <f>IF($A37&lt;&gt;"",'All Cases - Enter Cases'!K37,"")</f>
        <v/>
      </c>
      <c r="L37" t="str">
        <f>IF($A37&lt;&gt;"",'All Cases - Enter Cases'!L37,"")</f>
        <v/>
      </c>
      <c r="M37" t="str">
        <f>IF($A37&lt;&gt;"",'All Cases - Enter Cases'!M37,"")</f>
        <v/>
      </c>
    </row>
    <row r="38" spans="1:13" x14ac:dyDescent="0.35">
      <c r="A38" s="10" t="str">
        <f>IF('All Cases - Enter Cases'!$F38="Sindh",'All Cases - Enter Cases'!A38,"")</f>
        <v/>
      </c>
      <c r="B38" t="str">
        <f>IF($A38&lt;&gt;"",'All Cases - Enter Cases'!B38,"")</f>
        <v/>
      </c>
      <c r="C38" t="str">
        <f>IF($A38&lt;&gt;"",'All Cases - Enter Cases'!C38,"")</f>
        <v/>
      </c>
      <c r="D38" t="str">
        <f>IF($A38&lt;&gt;"",'All Cases - Enter Cases'!D38,"")</f>
        <v/>
      </c>
      <c r="E38" t="str">
        <f>IF($A38&lt;&gt;"",'All Cases - Enter Cases'!E38,"")</f>
        <v/>
      </c>
      <c r="F38" t="str">
        <f>IF($A38&lt;&gt;"",'All Cases - Enter Cases'!F38,"")</f>
        <v/>
      </c>
      <c r="G38" t="str">
        <f>IF($A38&lt;&gt;"",'All Cases - Enter Cases'!G38,"")</f>
        <v/>
      </c>
      <c r="H38" t="str">
        <f>IF($A38&lt;&gt;"",'All Cases - Enter Cases'!H38,"")</f>
        <v/>
      </c>
      <c r="I38" t="str">
        <f>IF($A38&lt;&gt;"",'All Cases - Enter Cases'!I38,"")</f>
        <v/>
      </c>
      <c r="J38" t="str">
        <f>IF($A38&lt;&gt;"",'All Cases - Enter Cases'!J38,"")</f>
        <v/>
      </c>
      <c r="K38" s="4" t="str">
        <f>IF($A38&lt;&gt;"",'All Cases - Enter Cases'!K38,"")</f>
        <v/>
      </c>
      <c r="L38" t="str">
        <f>IF($A38&lt;&gt;"",'All Cases - Enter Cases'!L38,"")</f>
        <v/>
      </c>
      <c r="M38" t="str">
        <f>IF($A38&lt;&gt;"",'All Cases - Enter Cases'!M38,"")</f>
        <v/>
      </c>
    </row>
    <row r="39" spans="1:13" x14ac:dyDescent="0.35">
      <c r="A39" s="10" t="str">
        <f>IF('All Cases - Enter Cases'!$F39="Sindh",'All Cases - Enter Cases'!A39,"")</f>
        <v/>
      </c>
      <c r="B39" t="str">
        <f>IF($A39&lt;&gt;"",'All Cases - Enter Cases'!B39,"")</f>
        <v/>
      </c>
      <c r="C39" t="str">
        <f>IF($A39&lt;&gt;"",'All Cases - Enter Cases'!C39,"")</f>
        <v/>
      </c>
      <c r="D39" t="str">
        <f>IF($A39&lt;&gt;"",'All Cases - Enter Cases'!D39,"")</f>
        <v/>
      </c>
      <c r="E39" t="str">
        <f>IF($A39&lt;&gt;"",'All Cases - Enter Cases'!E39,"")</f>
        <v/>
      </c>
      <c r="F39" t="str">
        <f>IF($A39&lt;&gt;"",'All Cases - Enter Cases'!F39,"")</f>
        <v/>
      </c>
      <c r="G39" t="str">
        <f>IF($A39&lt;&gt;"",'All Cases - Enter Cases'!G39,"")</f>
        <v/>
      </c>
      <c r="H39" t="str">
        <f>IF($A39&lt;&gt;"",'All Cases - Enter Cases'!H39,"")</f>
        <v/>
      </c>
      <c r="I39" t="str">
        <f>IF($A39&lt;&gt;"",'All Cases - Enter Cases'!I39,"")</f>
        <v/>
      </c>
      <c r="J39" t="str">
        <f>IF($A39&lt;&gt;"",'All Cases - Enter Cases'!J39,"")</f>
        <v/>
      </c>
      <c r="K39" s="4" t="str">
        <f>IF($A39&lt;&gt;"",'All Cases - Enter Cases'!K39,"")</f>
        <v/>
      </c>
      <c r="L39" t="str">
        <f>IF($A39&lt;&gt;"",'All Cases - Enter Cases'!L39,"")</f>
        <v/>
      </c>
      <c r="M39" t="str">
        <f>IF($A39&lt;&gt;"",'All Cases - Enter Cases'!M39,"")</f>
        <v/>
      </c>
    </row>
    <row r="40" spans="1:13" x14ac:dyDescent="0.35">
      <c r="A40" s="10" t="str">
        <f>IF('All Cases - Enter Cases'!$F40="Sindh",'All Cases - Enter Cases'!A40,"")</f>
        <v/>
      </c>
      <c r="B40" t="str">
        <f>IF($A40&lt;&gt;"",'All Cases - Enter Cases'!B40,"")</f>
        <v/>
      </c>
      <c r="C40" t="str">
        <f>IF($A40&lt;&gt;"",'All Cases - Enter Cases'!C40,"")</f>
        <v/>
      </c>
      <c r="D40" t="str">
        <f>IF($A40&lt;&gt;"",'All Cases - Enter Cases'!D40,"")</f>
        <v/>
      </c>
      <c r="E40" t="str">
        <f>IF($A40&lt;&gt;"",'All Cases - Enter Cases'!E40,"")</f>
        <v/>
      </c>
      <c r="F40" t="str">
        <f>IF($A40&lt;&gt;"",'All Cases - Enter Cases'!F40,"")</f>
        <v/>
      </c>
      <c r="G40" t="str">
        <f>IF($A40&lt;&gt;"",'All Cases - Enter Cases'!G40,"")</f>
        <v/>
      </c>
      <c r="H40" t="str">
        <f>IF($A40&lt;&gt;"",'All Cases - Enter Cases'!H40,"")</f>
        <v/>
      </c>
      <c r="I40" t="str">
        <f>IF($A40&lt;&gt;"",'All Cases - Enter Cases'!I40,"")</f>
        <v/>
      </c>
      <c r="J40" t="str">
        <f>IF($A40&lt;&gt;"",'All Cases - Enter Cases'!J40,"")</f>
        <v/>
      </c>
      <c r="K40" s="4" t="str">
        <f>IF($A40&lt;&gt;"",'All Cases - Enter Cases'!K40,"")</f>
        <v/>
      </c>
      <c r="L40" t="str">
        <f>IF($A40&lt;&gt;"",'All Cases - Enter Cases'!L40,"")</f>
        <v/>
      </c>
      <c r="M40" t="str">
        <f>IF($A40&lt;&gt;"",'All Cases - Enter Cases'!M40,"")</f>
        <v/>
      </c>
    </row>
    <row r="41" spans="1:13" x14ac:dyDescent="0.35">
      <c r="A41" s="10" t="str">
        <f>IF('All Cases - Enter Cases'!$F41="Sindh",'All Cases - Enter Cases'!A41,"")</f>
        <v/>
      </c>
      <c r="B41" t="str">
        <f>IF($A41&lt;&gt;"",'All Cases - Enter Cases'!B41,"")</f>
        <v/>
      </c>
      <c r="C41" t="str">
        <f>IF($A41&lt;&gt;"",'All Cases - Enter Cases'!C41,"")</f>
        <v/>
      </c>
      <c r="D41" t="str">
        <f>IF($A41&lt;&gt;"",'All Cases - Enter Cases'!D41,"")</f>
        <v/>
      </c>
      <c r="E41" t="str">
        <f>IF($A41&lt;&gt;"",'All Cases - Enter Cases'!E41,"")</f>
        <v/>
      </c>
      <c r="F41" t="str">
        <f>IF($A41&lt;&gt;"",'All Cases - Enter Cases'!F41,"")</f>
        <v/>
      </c>
      <c r="G41" t="str">
        <f>IF($A41&lt;&gt;"",'All Cases - Enter Cases'!G41,"")</f>
        <v/>
      </c>
      <c r="H41" t="str">
        <f>IF($A41&lt;&gt;"",'All Cases - Enter Cases'!H41,"")</f>
        <v/>
      </c>
      <c r="I41" t="str">
        <f>IF($A41&lt;&gt;"",'All Cases - Enter Cases'!I41,"")</f>
        <v/>
      </c>
      <c r="J41" t="str">
        <f>IF($A41&lt;&gt;"",'All Cases - Enter Cases'!J41,"")</f>
        <v/>
      </c>
      <c r="K41" s="4" t="str">
        <f>IF($A41&lt;&gt;"",'All Cases - Enter Cases'!K41,"")</f>
        <v/>
      </c>
      <c r="L41" t="str">
        <f>IF($A41&lt;&gt;"",'All Cases - Enter Cases'!L41,"")</f>
        <v/>
      </c>
      <c r="M41" t="str">
        <f>IF($A41&lt;&gt;"",'All Cases - Enter Cases'!M41,"")</f>
        <v/>
      </c>
    </row>
    <row r="42" spans="1:13" x14ac:dyDescent="0.35">
      <c r="A42" s="10" t="str">
        <f>IF('All Cases - Enter Cases'!$F42="Sindh",'All Cases - Enter Cases'!A42,"")</f>
        <v/>
      </c>
      <c r="B42" t="str">
        <f>IF($A42&lt;&gt;"",'All Cases - Enter Cases'!B42,"")</f>
        <v/>
      </c>
      <c r="C42" t="str">
        <f>IF($A42&lt;&gt;"",'All Cases - Enter Cases'!C42,"")</f>
        <v/>
      </c>
      <c r="D42" t="str">
        <f>IF($A42&lt;&gt;"",'All Cases - Enter Cases'!D42,"")</f>
        <v/>
      </c>
      <c r="E42" t="str">
        <f>IF($A42&lt;&gt;"",'All Cases - Enter Cases'!E42,"")</f>
        <v/>
      </c>
      <c r="F42" t="str">
        <f>IF($A42&lt;&gt;"",'All Cases - Enter Cases'!F42,"")</f>
        <v/>
      </c>
      <c r="G42" t="str">
        <f>IF($A42&lt;&gt;"",'All Cases - Enter Cases'!G42,"")</f>
        <v/>
      </c>
      <c r="H42" t="str">
        <f>IF($A42&lt;&gt;"",'All Cases - Enter Cases'!H42,"")</f>
        <v/>
      </c>
      <c r="I42" t="str">
        <f>IF($A42&lt;&gt;"",'All Cases - Enter Cases'!I42,"")</f>
        <v/>
      </c>
      <c r="J42" t="str">
        <f>IF($A42&lt;&gt;"",'All Cases - Enter Cases'!J42,"")</f>
        <v/>
      </c>
      <c r="K42" s="4" t="str">
        <f>IF($A42&lt;&gt;"",'All Cases - Enter Cases'!K42,"")</f>
        <v/>
      </c>
      <c r="L42" t="str">
        <f>IF($A42&lt;&gt;"",'All Cases - Enter Cases'!L42,"")</f>
        <v/>
      </c>
      <c r="M42" t="str">
        <f>IF($A42&lt;&gt;"",'All Cases - Enter Cases'!M42,"")</f>
        <v/>
      </c>
    </row>
    <row r="43" spans="1:13" x14ac:dyDescent="0.35">
      <c r="A43" s="10" t="str">
        <f>IF('All Cases - Enter Cases'!$F43="Sindh",'All Cases - Enter Cases'!A43,"")</f>
        <v/>
      </c>
      <c r="B43" t="str">
        <f>IF($A43&lt;&gt;"",'All Cases - Enter Cases'!B43,"")</f>
        <v/>
      </c>
      <c r="C43" t="str">
        <f>IF($A43&lt;&gt;"",'All Cases - Enter Cases'!C43,"")</f>
        <v/>
      </c>
      <c r="D43" t="str">
        <f>IF($A43&lt;&gt;"",'All Cases - Enter Cases'!D43,"")</f>
        <v/>
      </c>
      <c r="E43" t="str">
        <f>IF($A43&lt;&gt;"",'All Cases - Enter Cases'!E43,"")</f>
        <v/>
      </c>
      <c r="F43" t="str">
        <f>IF($A43&lt;&gt;"",'All Cases - Enter Cases'!F43,"")</f>
        <v/>
      </c>
      <c r="G43" t="str">
        <f>IF($A43&lt;&gt;"",'All Cases - Enter Cases'!G43,"")</f>
        <v/>
      </c>
      <c r="H43" t="str">
        <f>IF($A43&lt;&gt;"",'All Cases - Enter Cases'!H43,"")</f>
        <v/>
      </c>
      <c r="I43" t="str">
        <f>IF($A43&lt;&gt;"",'All Cases - Enter Cases'!I43,"")</f>
        <v/>
      </c>
      <c r="J43" t="str">
        <f>IF($A43&lt;&gt;"",'All Cases - Enter Cases'!J43,"")</f>
        <v/>
      </c>
      <c r="K43" s="4" t="str">
        <f>IF($A43&lt;&gt;"",'All Cases - Enter Cases'!K43,"")</f>
        <v/>
      </c>
      <c r="L43" t="str">
        <f>IF($A43&lt;&gt;"",'All Cases - Enter Cases'!L43,"")</f>
        <v/>
      </c>
      <c r="M43" t="str">
        <f>IF($A43&lt;&gt;"",'All Cases - Enter Cases'!M43,"")</f>
        <v/>
      </c>
    </row>
    <row r="44" spans="1:13" x14ac:dyDescent="0.35">
      <c r="A44" s="10" t="str">
        <f>IF('All Cases - Enter Cases'!$F44="Sindh",'All Cases - Enter Cases'!A44,"")</f>
        <v/>
      </c>
      <c r="B44" t="str">
        <f>IF($A44&lt;&gt;"",'All Cases - Enter Cases'!B44,"")</f>
        <v/>
      </c>
      <c r="C44" t="str">
        <f>IF($A44&lt;&gt;"",'All Cases - Enter Cases'!C44,"")</f>
        <v/>
      </c>
      <c r="D44" t="str">
        <f>IF($A44&lt;&gt;"",'All Cases - Enter Cases'!D44,"")</f>
        <v/>
      </c>
      <c r="E44" t="str">
        <f>IF($A44&lt;&gt;"",'All Cases - Enter Cases'!E44,"")</f>
        <v/>
      </c>
      <c r="F44" t="str">
        <f>IF($A44&lt;&gt;"",'All Cases - Enter Cases'!F44,"")</f>
        <v/>
      </c>
      <c r="G44" t="str">
        <f>IF($A44&lt;&gt;"",'All Cases - Enter Cases'!G44,"")</f>
        <v/>
      </c>
      <c r="H44" t="str">
        <f>IF($A44&lt;&gt;"",'All Cases - Enter Cases'!H44,"")</f>
        <v/>
      </c>
      <c r="I44" t="str">
        <f>IF($A44&lt;&gt;"",'All Cases - Enter Cases'!I44,"")</f>
        <v/>
      </c>
      <c r="J44" t="str">
        <f>IF($A44&lt;&gt;"",'All Cases - Enter Cases'!J44,"")</f>
        <v/>
      </c>
      <c r="K44" s="4" t="str">
        <f>IF($A44&lt;&gt;"",'All Cases - Enter Cases'!K44,"")</f>
        <v/>
      </c>
      <c r="L44" t="str">
        <f>IF($A44&lt;&gt;"",'All Cases - Enter Cases'!L44,"")</f>
        <v/>
      </c>
      <c r="M44" t="str">
        <f>IF($A44&lt;&gt;"",'All Cases - Enter Cases'!M44,"")</f>
        <v/>
      </c>
    </row>
    <row r="45" spans="1:13" x14ac:dyDescent="0.35">
      <c r="A45" s="10" t="str">
        <f>IF('All Cases - Enter Cases'!$F45="Sindh",'All Cases - Enter Cases'!A45,"")</f>
        <v/>
      </c>
      <c r="B45" t="str">
        <f>IF($A45&lt;&gt;"",'All Cases - Enter Cases'!B45,"")</f>
        <v/>
      </c>
      <c r="C45" t="str">
        <f>IF($A45&lt;&gt;"",'All Cases - Enter Cases'!C45,"")</f>
        <v/>
      </c>
      <c r="D45" t="str">
        <f>IF($A45&lt;&gt;"",'All Cases - Enter Cases'!D45,"")</f>
        <v/>
      </c>
      <c r="E45" t="str">
        <f>IF($A45&lt;&gt;"",'All Cases - Enter Cases'!E45,"")</f>
        <v/>
      </c>
      <c r="F45" t="str">
        <f>IF($A45&lt;&gt;"",'All Cases - Enter Cases'!F45,"")</f>
        <v/>
      </c>
      <c r="G45" t="str">
        <f>IF($A45&lt;&gt;"",'All Cases - Enter Cases'!G45,"")</f>
        <v/>
      </c>
      <c r="H45" t="str">
        <f>IF($A45&lt;&gt;"",'All Cases - Enter Cases'!H45,"")</f>
        <v/>
      </c>
      <c r="I45" t="str">
        <f>IF($A45&lt;&gt;"",'All Cases - Enter Cases'!I45,"")</f>
        <v/>
      </c>
      <c r="J45" t="str">
        <f>IF($A45&lt;&gt;"",'All Cases - Enter Cases'!J45,"")</f>
        <v/>
      </c>
      <c r="K45" s="4" t="str">
        <f>IF($A45&lt;&gt;"",'All Cases - Enter Cases'!K45,"")</f>
        <v/>
      </c>
      <c r="L45" t="str">
        <f>IF($A45&lt;&gt;"",'All Cases - Enter Cases'!L45,"")</f>
        <v/>
      </c>
      <c r="M45" t="str">
        <f>IF($A45&lt;&gt;"",'All Cases - Enter Cases'!M45,"")</f>
        <v/>
      </c>
    </row>
    <row r="46" spans="1:13" x14ac:dyDescent="0.35">
      <c r="A46" s="10" t="str">
        <f>IF('All Cases - Enter Cases'!$F46="Sindh",'All Cases - Enter Cases'!A46,"")</f>
        <v/>
      </c>
      <c r="B46" t="str">
        <f>IF($A46&lt;&gt;"",'All Cases - Enter Cases'!B46,"")</f>
        <v/>
      </c>
      <c r="C46" t="str">
        <f>IF($A46&lt;&gt;"",'All Cases - Enter Cases'!C46,"")</f>
        <v/>
      </c>
      <c r="D46" t="str">
        <f>IF($A46&lt;&gt;"",'All Cases - Enter Cases'!D46,"")</f>
        <v/>
      </c>
      <c r="E46" t="str">
        <f>IF($A46&lt;&gt;"",'All Cases - Enter Cases'!E46,"")</f>
        <v/>
      </c>
      <c r="F46" t="str">
        <f>IF($A46&lt;&gt;"",'All Cases - Enter Cases'!F46,"")</f>
        <v/>
      </c>
      <c r="G46" t="str">
        <f>IF($A46&lt;&gt;"",'All Cases - Enter Cases'!G46,"")</f>
        <v/>
      </c>
      <c r="H46" t="str">
        <f>IF($A46&lt;&gt;"",'All Cases - Enter Cases'!H46,"")</f>
        <v/>
      </c>
      <c r="I46" t="str">
        <f>IF($A46&lt;&gt;"",'All Cases - Enter Cases'!I46,"")</f>
        <v/>
      </c>
      <c r="J46" t="str">
        <f>IF($A46&lt;&gt;"",'All Cases - Enter Cases'!J46,"")</f>
        <v/>
      </c>
      <c r="K46" s="4" t="str">
        <f>IF($A46&lt;&gt;"",'All Cases - Enter Cases'!K46,"")</f>
        <v/>
      </c>
      <c r="L46" t="str">
        <f>IF($A46&lt;&gt;"",'All Cases - Enter Cases'!L46,"")</f>
        <v/>
      </c>
      <c r="M46" t="str">
        <f>IF($A46&lt;&gt;"",'All Cases - Enter Cases'!M46,"")</f>
        <v/>
      </c>
    </row>
    <row r="47" spans="1:13" x14ac:dyDescent="0.35">
      <c r="A47" s="10" t="str">
        <f>IF('All Cases - Enter Cases'!$F47="Sindh",'All Cases - Enter Cases'!A47,"")</f>
        <v/>
      </c>
      <c r="B47" t="str">
        <f>IF($A47&lt;&gt;"",'All Cases - Enter Cases'!B47,"")</f>
        <v/>
      </c>
      <c r="C47" t="str">
        <f>IF($A47&lt;&gt;"",'All Cases - Enter Cases'!C47,"")</f>
        <v/>
      </c>
      <c r="D47" t="str">
        <f>IF($A47&lt;&gt;"",'All Cases - Enter Cases'!D47,"")</f>
        <v/>
      </c>
      <c r="E47" t="str">
        <f>IF($A47&lt;&gt;"",'All Cases - Enter Cases'!E47,"")</f>
        <v/>
      </c>
      <c r="F47" t="str">
        <f>IF($A47&lt;&gt;"",'All Cases - Enter Cases'!F47,"")</f>
        <v/>
      </c>
      <c r="G47" t="str">
        <f>IF($A47&lt;&gt;"",'All Cases - Enter Cases'!G47,"")</f>
        <v/>
      </c>
      <c r="H47" t="str">
        <f>IF($A47&lt;&gt;"",'All Cases - Enter Cases'!H47,"")</f>
        <v/>
      </c>
      <c r="I47" t="str">
        <f>IF($A47&lt;&gt;"",'All Cases - Enter Cases'!I47,"")</f>
        <v/>
      </c>
      <c r="J47" t="str">
        <f>IF($A47&lt;&gt;"",'All Cases - Enter Cases'!J47,"")</f>
        <v/>
      </c>
      <c r="K47" s="4" t="str">
        <f>IF($A47&lt;&gt;"",'All Cases - Enter Cases'!K47,"")</f>
        <v/>
      </c>
      <c r="L47" t="str">
        <f>IF($A47&lt;&gt;"",'All Cases - Enter Cases'!L47,"")</f>
        <v/>
      </c>
      <c r="M47" t="str">
        <f>IF($A47&lt;&gt;"",'All Cases - Enter Cases'!M47,"")</f>
        <v/>
      </c>
    </row>
    <row r="48" spans="1:13" x14ac:dyDescent="0.35">
      <c r="A48" s="10" t="str">
        <f>IF('All Cases - Enter Cases'!$F48="Sindh",'All Cases - Enter Cases'!A48,"")</f>
        <v/>
      </c>
      <c r="B48" t="str">
        <f>IF($A48&lt;&gt;"",'All Cases - Enter Cases'!B48,"")</f>
        <v/>
      </c>
      <c r="C48" t="str">
        <f>IF($A48&lt;&gt;"",'All Cases - Enter Cases'!C48,"")</f>
        <v/>
      </c>
      <c r="D48" t="str">
        <f>IF($A48&lt;&gt;"",'All Cases - Enter Cases'!D48,"")</f>
        <v/>
      </c>
      <c r="E48" t="str">
        <f>IF($A48&lt;&gt;"",'All Cases - Enter Cases'!E48,"")</f>
        <v/>
      </c>
      <c r="F48" t="str">
        <f>IF($A48&lt;&gt;"",'All Cases - Enter Cases'!F48,"")</f>
        <v/>
      </c>
      <c r="G48" t="str">
        <f>IF($A48&lt;&gt;"",'All Cases - Enter Cases'!G48,"")</f>
        <v/>
      </c>
      <c r="H48" t="str">
        <f>IF($A48&lt;&gt;"",'All Cases - Enter Cases'!H48,"")</f>
        <v/>
      </c>
      <c r="I48" t="str">
        <f>IF($A48&lt;&gt;"",'All Cases - Enter Cases'!I48,"")</f>
        <v/>
      </c>
      <c r="J48" t="str">
        <f>IF($A48&lt;&gt;"",'All Cases - Enter Cases'!J48,"")</f>
        <v/>
      </c>
      <c r="K48" s="4" t="str">
        <f>IF($A48&lt;&gt;"",'All Cases - Enter Cases'!K48,"")</f>
        <v/>
      </c>
      <c r="L48" t="str">
        <f>IF($A48&lt;&gt;"",'All Cases - Enter Cases'!L48,"")</f>
        <v/>
      </c>
      <c r="M48" t="str">
        <f>IF($A48&lt;&gt;"",'All Cases - Enter Cases'!M48,"")</f>
        <v/>
      </c>
    </row>
    <row r="49" spans="1:13" x14ac:dyDescent="0.35">
      <c r="A49" s="10" t="str">
        <f>IF('All Cases - Enter Cases'!$F49="Sindh",'All Cases - Enter Cases'!A49,"")</f>
        <v/>
      </c>
      <c r="B49" t="str">
        <f>IF($A49&lt;&gt;"",'All Cases - Enter Cases'!B49,"")</f>
        <v/>
      </c>
      <c r="C49" t="str">
        <f>IF($A49&lt;&gt;"",'All Cases - Enter Cases'!C49,"")</f>
        <v/>
      </c>
      <c r="D49" t="str">
        <f>IF($A49&lt;&gt;"",'All Cases - Enter Cases'!D49,"")</f>
        <v/>
      </c>
      <c r="E49" t="str">
        <f>IF($A49&lt;&gt;"",'All Cases - Enter Cases'!E49,"")</f>
        <v/>
      </c>
      <c r="F49" t="str">
        <f>IF($A49&lt;&gt;"",'All Cases - Enter Cases'!F49,"")</f>
        <v/>
      </c>
      <c r="G49" t="str">
        <f>IF($A49&lt;&gt;"",'All Cases - Enter Cases'!G49,"")</f>
        <v/>
      </c>
      <c r="H49" t="str">
        <f>IF($A49&lt;&gt;"",'All Cases - Enter Cases'!H49,"")</f>
        <v/>
      </c>
      <c r="I49" t="str">
        <f>IF($A49&lt;&gt;"",'All Cases - Enter Cases'!I49,"")</f>
        <v/>
      </c>
      <c r="J49" t="str">
        <f>IF($A49&lt;&gt;"",'All Cases - Enter Cases'!J49,"")</f>
        <v/>
      </c>
      <c r="K49" s="4" t="str">
        <f>IF($A49&lt;&gt;"",'All Cases - Enter Cases'!K49,"")</f>
        <v/>
      </c>
      <c r="L49" t="str">
        <f>IF($A49&lt;&gt;"",'All Cases - Enter Cases'!L49,"")</f>
        <v/>
      </c>
      <c r="M49" t="str">
        <f>IF($A49&lt;&gt;"",'All Cases - Enter Cases'!M49,"")</f>
        <v/>
      </c>
    </row>
    <row r="50" spans="1:13" x14ac:dyDescent="0.35">
      <c r="A50" s="10" t="str">
        <f>IF('All Cases - Enter Cases'!$F50="Sindh",'All Cases - Enter Cases'!A50,"")</f>
        <v/>
      </c>
      <c r="B50" t="str">
        <f>IF($A50&lt;&gt;"",'All Cases - Enter Cases'!B50,"")</f>
        <v/>
      </c>
      <c r="C50" t="str">
        <f>IF($A50&lt;&gt;"",'All Cases - Enter Cases'!C50,"")</f>
        <v/>
      </c>
      <c r="D50" t="str">
        <f>IF($A50&lt;&gt;"",'All Cases - Enter Cases'!D50,"")</f>
        <v/>
      </c>
      <c r="E50" t="str">
        <f>IF($A50&lt;&gt;"",'All Cases - Enter Cases'!E50,"")</f>
        <v/>
      </c>
      <c r="F50" t="str">
        <f>IF($A50&lt;&gt;"",'All Cases - Enter Cases'!F50,"")</f>
        <v/>
      </c>
      <c r="G50" t="str">
        <f>IF($A50&lt;&gt;"",'All Cases - Enter Cases'!G50,"")</f>
        <v/>
      </c>
      <c r="H50" t="str">
        <f>IF($A50&lt;&gt;"",'All Cases - Enter Cases'!H50,"")</f>
        <v/>
      </c>
      <c r="I50" t="str">
        <f>IF($A50&lt;&gt;"",'All Cases - Enter Cases'!I50,"")</f>
        <v/>
      </c>
      <c r="J50" t="str">
        <f>IF($A50&lt;&gt;"",'All Cases - Enter Cases'!J50,"")</f>
        <v/>
      </c>
      <c r="K50" s="4" t="str">
        <f>IF($A50&lt;&gt;"",'All Cases - Enter Cases'!K50,"")</f>
        <v/>
      </c>
      <c r="L50" t="str">
        <f>IF($A50&lt;&gt;"",'All Cases - Enter Cases'!L50,"")</f>
        <v/>
      </c>
      <c r="M50" t="str">
        <f>IF($A50&lt;&gt;"",'All Cases - Enter Cases'!M50,"")</f>
        <v/>
      </c>
    </row>
    <row r="51" spans="1:13" x14ac:dyDescent="0.35">
      <c r="A51" s="10" t="str">
        <f>IF('All Cases - Enter Cases'!$F51="Sindh",'All Cases - Enter Cases'!A51,"")</f>
        <v/>
      </c>
      <c r="B51" t="str">
        <f>IF($A51&lt;&gt;"",'All Cases - Enter Cases'!B51,"")</f>
        <v/>
      </c>
      <c r="C51" t="str">
        <f>IF($A51&lt;&gt;"",'All Cases - Enter Cases'!C51,"")</f>
        <v/>
      </c>
      <c r="D51" t="str">
        <f>IF($A51&lt;&gt;"",'All Cases - Enter Cases'!D51,"")</f>
        <v/>
      </c>
      <c r="E51" t="str">
        <f>IF($A51&lt;&gt;"",'All Cases - Enter Cases'!E51,"")</f>
        <v/>
      </c>
      <c r="F51" t="str">
        <f>IF($A51&lt;&gt;"",'All Cases - Enter Cases'!F51,"")</f>
        <v/>
      </c>
      <c r="G51" t="str">
        <f>IF($A51&lt;&gt;"",'All Cases - Enter Cases'!G51,"")</f>
        <v/>
      </c>
      <c r="H51" t="str">
        <f>IF($A51&lt;&gt;"",'All Cases - Enter Cases'!H51,"")</f>
        <v/>
      </c>
      <c r="I51" t="str">
        <f>IF($A51&lt;&gt;"",'All Cases - Enter Cases'!I51,"")</f>
        <v/>
      </c>
      <c r="J51" t="str">
        <f>IF($A51&lt;&gt;"",'All Cases - Enter Cases'!J51,"")</f>
        <v/>
      </c>
      <c r="K51" s="4" t="str">
        <f>IF($A51&lt;&gt;"",'All Cases - Enter Cases'!K51,"")</f>
        <v/>
      </c>
      <c r="L51" t="str">
        <f>IF($A51&lt;&gt;"",'All Cases - Enter Cases'!L51,"")</f>
        <v/>
      </c>
      <c r="M51" t="str">
        <f>IF($A51&lt;&gt;"",'All Cases - Enter Cases'!M51,"")</f>
        <v/>
      </c>
    </row>
    <row r="52" spans="1:13" x14ac:dyDescent="0.35">
      <c r="A52" s="10" t="str">
        <f>IF('All Cases - Enter Cases'!$F52="Sindh",'All Cases - Enter Cases'!A52,"")</f>
        <v/>
      </c>
      <c r="B52" t="str">
        <f>IF($A52&lt;&gt;"",'All Cases - Enter Cases'!B52,"")</f>
        <v/>
      </c>
      <c r="C52" t="str">
        <f>IF($A52&lt;&gt;"",'All Cases - Enter Cases'!C52,"")</f>
        <v/>
      </c>
      <c r="D52" t="str">
        <f>IF($A52&lt;&gt;"",'All Cases - Enter Cases'!D52,"")</f>
        <v/>
      </c>
      <c r="E52" t="str">
        <f>IF($A52&lt;&gt;"",'All Cases - Enter Cases'!E52,"")</f>
        <v/>
      </c>
      <c r="F52" t="str">
        <f>IF($A52&lt;&gt;"",'All Cases - Enter Cases'!F52,"")</f>
        <v/>
      </c>
      <c r="G52" t="str">
        <f>IF($A52&lt;&gt;"",'All Cases - Enter Cases'!G52,"")</f>
        <v/>
      </c>
      <c r="H52" t="str">
        <f>IF($A52&lt;&gt;"",'All Cases - Enter Cases'!H52,"")</f>
        <v/>
      </c>
      <c r="I52" t="str">
        <f>IF($A52&lt;&gt;"",'All Cases - Enter Cases'!I52,"")</f>
        <v/>
      </c>
      <c r="J52" t="str">
        <f>IF($A52&lt;&gt;"",'All Cases - Enter Cases'!J52,"")</f>
        <v/>
      </c>
      <c r="K52" s="4" t="str">
        <f>IF($A52&lt;&gt;"",'All Cases - Enter Cases'!K52,"")</f>
        <v/>
      </c>
      <c r="L52" t="str">
        <f>IF($A52&lt;&gt;"",'All Cases - Enter Cases'!L52,"")</f>
        <v/>
      </c>
      <c r="M52" t="str">
        <f>IF($A52&lt;&gt;"",'All Cases - Enter Cases'!M52,"")</f>
        <v/>
      </c>
    </row>
    <row r="53" spans="1:13" x14ac:dyDescent="0.35">
      <c r="A53" s="10" t="str">
        <f>IF('All Cases - Enter Cases'!$F53="Sindh",'All Cases - Enter Cases'!A53,"")</f>
        <v/>
      </c>
      <c r="B53" t="str">
        <f>IF($A53&lt;&gt;"",'All Cases - Enter Cases'!B53,"")</f>
        <v/>
      </c>
      <c r="C53" t="str">
        <f>IF($A53&lt;&gt;"",'All Cases - Enter Cases'!C53,"")</f>
        <v/>
      </c>
      <c r="D53" t="str">
        <f>IF($A53&lt;&gt;"",'All Cases - Enter Cases'!D53,"")</f>
        <v/>
      </c>
      <c r="E53" t="str">
        <f>IF($A53&lt;&gt;"",'All Cases - Enter Cases'!E53,"")</f>
        <v/>
      </c>
      <c r="F53" t="str">
        <f>IF($A53&lt;&gt;"",'All Cases - Enter Cases'!F53,"")</f>
        <v/>
      </c>
      <c r="G53" t="str">
        <f>IF($A53&lt;&gt;"",'All Cases - Enter Cases'!G53,"")</f>
        <v/>
      </c>
      <c r="H53" t="str">
        <f>IF($A53&lt;&gt;"",'All Cases - Enter Cases'!H53,"")</f>
        <v/>
      </c>
      <c r="I53" t="str">
        <f>IF($A53&lt;&gt;"",'All Cases - Enter Cases'!I53,"")</f>
        <v/>
      </c>
      <c r="J53" t="str">
        <f>IF($A53&lt;&gt;"",'All Cases - Enter Cases'!J53,"")</f>
        <v/>
      </c>
      <c r="K53" s="4" t="str">
        <f>IF($A53&lt;&gt;"",'All Cases - Enter Cases'!K53,"")</f>
        <v/>
      </c>
      <c r="L53" t="str">
        <f>IF($A53&lt;&gt;"",'All Cases - Enter Cases'!L53,"")</f>
        <v/>
      </c>
      <c r="M53" t="str">
        <f>IF($A53&lt;&gt;"",'All Cases - Enter Cases'!M53,"")</f>
        <v/>
      </c>
    </row>
    <row r="54" spans="1:13" x14ac:dyDescent="0.35">
      <c r="A54" s="10" t="str">
        <f>IF('All Cases - Enter Cases'!$F54="Sindh",'All Cases - Enter Cases'!A54,"")</f>
        <v/>
      </c>
      <c r="B54" t="str">
        <f>IF($A54&lt;&gt;"",'All Cases - Enter Cases'!B54,"")</f>
        <v/>
      </c>
      <c r="C54" t="str">
        <f>IF($A54&lt;&gt;"",'All Cases - Enter Cases'!C54,"")</f>
        <v/>
      </c>
      <c r="D54" t="str">
        <f>IF($A54&lt;&gt;"",'All Cases - Enter Cases'!D54,"")</f>
        <v/>
      </c>
      <c r="E54" t="str">
        <f>IF($A54&lt;&gt;"",'All Cases - Enter Cases'!E54,"")</f>
        <v/>
      </c>
      <c r="F54" t="str">
        <f>IF($A54&lt;&gt;"",'All Cases - Enter Cases'!F54,"")</f>
        <v/>
      </c>
      <c r="G54" t="str">
        <f>IF($A54&lt;&gt;"",'All Cases - Enter Cases'!G54,"")</f>
        <v/>
      </c>
      <c r="H54" t="str">
        <f>IF($A54&lt;&gt;"",'All Cases - Enter Cases'!H54,"")</f>
        <v/>
      </c>
      <c r="I54" t="str">
        <f>IF($A54&lt;&gt;"",'All Cases - Enter Cases'!I54,"")</f>
        <v/>
      </c>
      <c r="J54" t="str">
        <f>IF($A54&lt;&gt;"",'All Cases - Enter Cases'!J54,"")</f>
        <v/>
      </c>
      <c r="K54" s="4" t="str">
        <f>IF($A54&lt;&gt;"",'All Cases - Enter Cases'!K54,"")</f>
        <v/>
      </c>
      <c r="L54" t="str">
        <f>IF($A54&lt;&gt;"",'All Cases - Enter Cases'!L54,"")</f>
        <v/>
      </c>
      <c r="M54" t="str">
        <f>IF($A54&lt;&gt;"",'All Cases - Enter Cases'!M54,"")</f>
        <v/>
      </c>
    </row>
    <row r="55" spans="1:13" x14ac:dyDescent="0.35">
      <c r="A55" s="10" t="str">
        <f>IF('All Cases - Enter Cases'!$F55="Sindh",'All Cases - Enter Cases'!A55,"")</f>
        <v/>
      </c>
      <c r="B55" t="str">
        <f>IF($A55&lt;&gt;"",'All Cases - Enter Cases'!B55,"")</f>
        <v/>
      </c>
      <c r="C55" t="str">
        <f>IF($A55&lt;&gt;"",'All Cases - Enter Cases'!C55,"")</f>
        <v/>
      </c>
      <c r="D55" t="str">
        <f>IF($A55&lt;&gt;"",'All Cases - Enter Cases'!D55,"")</f>
        <v/>
      </c>
      <c r="E55" t="str">
        <f>IF($A55&lt;&gt;"",'All Cases - Enter Cases'!E55,"")</f>
        <v/>
      </c>
      <c r="F55" t="str">
        <f>IF($A55&lt;&gt;"",'All Cases - Enter Cases'!F55,"")</f>
        <v/>
      </c>
      <c r="G55" t="str">
        <f>IF($A55&lt;&gt;"",'All Cases - Enter Cases'!G55,"")</f>
        <v/>
      </c>
      <c r="H55" t="str">
        <f>IF($A55&lt;&gt;"",'All Cases - Enter Cases'!H55,"")</f>
        <v/>
      </c>
      <c r="I55" t="str">
        <f>IF($A55&lt;&gt;"",'All Cases - Enter Cases'!I55,"")</f>
        <v/>
      </c>
      <c r="J55" t="str">
        <f>IF($A55&lt;&gt;"",'All Cases - Enter Cases'!J55,"")</f>
        <v/>
      </c>
      <c r="K55" s="4" t="str">
        <f>IF($A55&lt;&gt;"",'All Cases - Enter Cases'!K55,"")</f>
        <v/>
      </c>
      <c r="L55" t="str">
        <f>IF($A55&lt;&gt;"",'All Cases - Enter Cases'!L55,"")</f>
        <v/>
      </c>
      <c r="M55" t="str">
        <f>IF($A55&lt;&gt;"",'All Cases - Enter Cases'!M55,"")</f>
        <v/>
      </c>
    </row>
    <row r="56" spans="1:13" x14ac:dyDescent="0.35">
      <c r="A56" s="10" t="str">
        <f>IF('All Cases - Enter Cases'!$F56="Sindh",'All Cases - Enter Cases'!A56,"")</f>
        <v/>
      </c>
      <c r="B56" t="str">
        <f>IF($A56&lt;&gt;"",'All Cases - Enter Cases'!B56,"")</f>
        <v/>
      </c>
      <c r="C56" t="str">
        <f>IF($A56&lt;&gt;"",'All Cases - Enter Cases'!C56,"")</f>
        <v/>
      </c>
      <c r="D56" t="str">
        <f>IF($A56&lt;&gt;"",'All Cases - Enter Cases'!D56,"")</f>
        <v/>
      </c>
      <c r="E56" t="str">
        <f>IF($A56&lt;&gt;"",'All Cases - Enter Cases'!E56,"")</f>
        <v/>
      </c>
      <c r="F56" t="str">
        <f>IF($A56&lt;&gt;"",'All Cases - Enter Cases'!F56,"")</f>
        <v/>
      </c>
      <c r="G56" t="str">
        <f>IF($A56&lt;&gt;"",'All Cases - Enter Cases'!G56,"")</f>
        <v/>
      </c>
      <c r="H56" t="str">
        <f>IF($A56&lt;&gt;"",'All Cases - Enter Cases'!H56,"")</f>
        <v/>
      </c>
      <c r="I56" t="str">
        <f>IF($A56&lt;&gt;"",'All Cases - Enter Cases'!I56,"")</f>
        <v/>
      </c>
      <c r="J56" t="str">
        <f>IF($A56&lt;&gt;"",'All Cases - Enter Cases'!J56,"")</f>
        <v/>
      </c>
      <c r="K56" s="4" t="str">
        <f>IF($A56&lt;&gt;"",'All Cases - Enter Cases'!K56,"")</f>
        <v/>
      </c>
      <c r="L56" t="str">
        <f>IF($A56&lt;&gt;"",'All Cases - Enter Cases'!L56,"")</f>
        <v/>
      </c>
      <c r="M56" t="str">
        <f>IF($A56&lt;&gt;"",'All Cases - Enter Cases'!M56,"")</f>
        <v/>
      </c>
    </row>
    <row r="57" spans="1:13" x14ac:dyDescent="0.35">
      <c r="A57" s="10" t="str">
        <f>IF('All Cases - Enter Cases'!$F57="Sindh",'All Cases - Enter Cases'!A57,"")</f>
        <v/>
      </c>
      <c r="B57" t="str">
        <f>IF($A57&lt;&gt;"",'All Cases - Enter Cases'!B57,"")</f>
        <v/>
      </c>
      <c r="C57" t="str">
        <f>IF($A57&lt;&gt;"",'All Cases - Enter Cases'!C57,"")</f>
        <v/>
      </c>
      <c r="D57" t="str">
        <f>IF($A57&lt;&gt;"",'All Cases - Enter Cases'!D57,"")</f>
        <v/>
      </c>
      <c r="E57" t="str">
        <f>IF($A57&lt;&gt;"",'All Cases - Enter Cases'!E57,"")</f>
        <v/>
      </c>
      <c r="F57" t="str">
        <f>IF($A57&lt;&gt;"",'All Cases - Enter Cases'!F57,"")</f>
        <v/>
      </c>
      <c r="G57" t="str">
        <f>IF($A57&lt;&gt;"",'All Cases - Enter Cases'!G57,"")</f>
        <v/>
      </c>
      <c r="H57" t="str">
        <f>IF($A57&lt;&gt;"",'All Cases - Enter Cases'!H57,"")</f>
        <v/>
      </c>
      <c r="I57" t="str">
        <f>IF($A57&lt;&gt;"",'All Cases - Enter Cases'!I57,"")</f>
        <v/>
      </c>
      <c r="J57" t="str">
        <f>IF($A57&lt;&gt;"",'All Cases - Enter Cases'!J57,"")</f>
        <v/>
      </c>
      <c r="K57" s="4" t="str">
        <f>IF($A57&lt;&gt;"",'All Cases - Enter Cases'!K57,"")</f>
        <v/>
      </c>
      <c r="L57" t="str">
        <f>IF($A57&lt;&gt;"",'All Cases - Enter Cases'!L57,"")</f>
        <v/>
      </c>
      <c r="M57" t="str">
        <f>IF($A57&lt;&gt;"",'All Cases - Enter Cases'!M57,"")</f>
        <v/>
      </c>
    </row>
    <row r="58" spans="1:13" x14ac:dyDescent="0.35">
      <c r="A58" s="10" t="str">
        <f>IF('All Cases - Enter Cases'!$F58="Sindh",'All Cases - Enter Cases'!A58,"")</f>
        <v/>
      </c>
      <c r="B58" t="str">
        <f>IF($A58&lt;&gt;"",'All Cases - Enter Cases'!B58,"")</f>
        <v/>
      </c>
      <c r="C58" t="str">
        <f>IF($A58&lt;&gt;"",'All Cases - Enter Cases'!C58,"")</f>
        <v/>
      </c>
      <c r="D58" t="str">
        <f>IF($A58&lt;&gt;"",'All Cases - Enter Cases'!D58,"")</f>
        <v/>
      </c>
      <c r="E58" t="str">
        <f>IF($A58&lt;&gt;"",'All Cases - Enter Cases'!E58,"")</f>
        <v/>
      </c>
      <c r="F58" t="str">
        <f>IF($A58&lt;&gt;"",'All Cases - Enter Cases'!F58,"")</f>
        <v/>
      </c>
      <c r="G58" t="str">
        <f>IF($A58&lt;&gt;"",'All Cases - Enter Cases'!G58,"")</f>
        <v/>
      </c>
      <c r="H58" t="str">
        <f>IF($A58&lt;&gt;"",'All Cases - Enter Cases'!H58,"")</f>
        <v/>
      </c>
      <c r="I58" t="str">
        <f>IF($A58&lt;&gt;"",'All Cases - Enter Cases'!I58,"")</f>
        <v/>
      </c>
      <c r="J58" t="str">
        <f>IF($A58&lt;&gt;"",'All Cases - Enter Cases'!J58,"")</f>
        <v/>
      </c>
      <c r="K58" s="4" t="str">
        <f>IF($A58&lt;&gt;"",'All Cases - Enter Cases'!K58,"")</f>
        <v/>
      </c>
      <c r="L58" t="str">
        <f>IF($A58&lt;&gt;"",'All Cases - Enter Cases'!L58,"")</f>
        <v/>
      </c>
      <c r="M58" t="str">
        <f>IF($A58&lt;&gt;"",'All Cases - Enter Cases'!M58,"")</f>
        <v/>
      </c>
    </row>
    <row r="59" spans="1:13" x14ac:dyDescent="0.35">
      <c r="A59" s="10" t="str">
        <f>IF('All Cases - Enter Cases'!$F59="Sindh",'All Cases - Enter Cases'!A59,"")</f>
        <v/>
      </c>
      <c r="B59" t="str">
        <f>IF($A59&lt;&gt;"",'All Cases - Enter Cases'!B59,"")</f>
        <v/>
      </c>
      <c r="C59" t="str">
        <f>IF($A59&lt;&gt;"",'All Cases - Enter Cases'!C59,"")</f>
        <v/>
      </c>
      <c r="D59" t="str">
        <f>IF($A59&lt;&gt;"",'All Cases - Enter Cases'!D59,"")</f>
        <v/>
      </c>
      <c r="E59" t="str">
        <f>IF($A59&lt;&gt;"",'All Cases - Enter Cases'!E59,"")</f>
        <v/>
      </c>
      <c r="F59" t="str">
        <f>IF($A59&lt;&gt;"",'All Cases - Enter Cases'!F59,"")</f>
        <v/>
      </c>
      <c r="G59" t="str">
        <f>IF($A59&lt;&gt;"",'All Cases - Enter Cases'!G59,"")</f>
        <v/>
      </c>
      <c r="H59" t="str">
        <f>IF($A59&lt;&gt;"",'All Cases - Enter Cases'!H59,"")</f>
        <v/>
      </c>
      <c r="I59" t="str">
        <f>IF($A59&lt;&gt;"",'All Cases - Enter Cases'!I59,"")</f>
        <v/>
      </c>
      <c r="J59" t="str">
        <f>IF($A59&lt;&gt;"",'All Cases - Enter Cases'!J59,"")</f>
        <v/>
      </c>
      <c r="K59" s="4" t="str">
        <f>IF($A59&lt;&gt;"",'All Cases - Enter Cases'!K59,"")</f>
        <v/>
      </c>
      <c r="L59" t="str">
        <f>IF($A59&lt;&gt;"",'All Cases - Enter Cases'!L59,"")</f>
        <v/>
      </c>
      <c r="M59" t="str">
        <f>IF($A59&lt;&gt;"",'All Cases - Enter Cases'!M59,"")</f>
        <v/>
      </c>
    </row>
    <row r="60" spans="1:13" x14ac:dyDescent="0.35">
      <c r="A60" s="10" t="str">
        <f>IF('All Cases - Enter Cases'!$F60="Sindh",'All Cases - Enter Cases'!A60,"")</f>
        <v/>
      </c>
      <c r="B60" t="str">
        <f>IF($A60&lt;&gt;"",'All Cases - Enter Cases'!B60,"")</f>
        <v/>
      </c>
      <c r="C60" t="str">
        <f>IF($A60&lt;&gt;"",'All Cases - Enter Cases'!C60,"")</f>
        <v/>
      </c>
      <c r="D60" t="str">
        <f>IF($A60&lt;&gt;"",'All Cases - Enter Cases'!D60,"")</f>
        <v/>
      </c>
      <c r="E60" t="str">
        <f>IF($A60&lt;&gt;"",'All Cases - Enter Cases'!E60,"")</f>
        <v/>
      </c>
      <c r="F60" t="str">
        <f>IF($A60&lt;&gt;"",'All Cases - Enter Cases'!F60,"")</f>
        <v/>
      </c>
      <c r="G60" t="str">
        <f>IF($A60&lt;&gt;"",'All Cases - Enter Cases'!G60,"")</f>
        <v/>
      </c>
      <c r="H60" t="str">
        <f>IF($A60&lt;&gt;"",'All Cases - Enter Cases'!H60,"")</f>
        <v/>
      </c>
      <c r="I60" t="str">
        <f>IF($A60&lt;&gt;"",'All Cases - Enter Cases'!I60,"")</f>
        <v/>
      </c>
      <c r="J60" t="str">
        <f>IF($A60&lt;&gt;"",'All Cases - Enter Cases'!J60,"")</f>
        <v/>
      </c>
      <c r="K60" s="4" t="str">
        <f>IF($A60&lt;&gt;"",'All Cases - Enter Cases'!K60,"")</f>
        <v/>
      </c>
      <c r="L60" t="str">
        <f>IF($A60&lt;&gt;"",'All Cases - Enter Cases'!L60,"")</f>
        <v/>
      </c>
      <c r="M60" t="str">
        <f>IF($A60&lt;&gt;"",'All Cases - Enter Cases'!M60,"")</f>
        <v/>
      </c>
    </row>
    <row r="61" spans="1:13" x14ac:dyDescent="0.35">
      <c r="A61" s="10" t="str">
        <f>IF('All Cases - Enter Cases'!$F61="Sindh",'All Cases - Enter Cases'!A61,"")</f>
        <v/>
      </c>
      <c r="B61" t="str">
        <f>IF($A61&lt;&gt;"",'All Cases - Enter Cases'!B61,"")</f>
        <v/>
      </c>
      <c r="C61" t="str">
        <f>IF($A61&lt;&gt;"",'All Cases - Enter Cases'!C61,"")</f>
        <v/>
      </c>
      <c r="D61" t="str">
        <f>IF($A61&lt;&gt;"",'All Cases - Enter Cases'!D61,"")</f>
        <v/>
      </c>
      <c r="E61" t="str">
        <f>IF($A61&lt;&gt;"",'All Cases - Enter Cases'!E61,"")</f>
        <v/>
      </c>
      <c r="F61" t="str">
        <f>IF($A61&lt;&gt;"",'All Cases - Enter Cases'!F61,"")</f>
        <v/>
      </c>
      <c r="G61" t="str">
        <f>IF($A61&lt;&gt;"",'All Cases - Enter Cases'!G61,"")</f>
        <v/>
      </c>
      <c r="H61" t="str">
        <f>IF($A61&lt;&gt;"",'All Cases - Enter Cases'!H61,"")</f>
        <v/>
      </c>
      <c r="I61" t="str">
        <f>IF($A61&lt;&gt;"",'All Cases - Enter Cases'!I61,"")</f>
        <v/>
      </c>
      <c r="J61" t="str">
        <f>IF($A61&lt;&gt;"",'All Cases - Enter Cases'!J61,"")</f>
        <v/>
      </c>
      <c r="K61" s="4" t="str">
        <f>IF($A61&lt;&gt;"",'All Cases - Enter Cases'!K61,"")</f>
        <v/>
      </c>
      <c r="L61" t="str">
        <f>IF($A61&lt;&gt;"",'All Cases - Enter Cases'!L61,"")</f>
        <v/>
      </c>
      <c r="M61" t="str">
        <f>IF($A61&lt;&gt;"",'All Cases - Enter Cases'!M61,"")</f>
        <v/>
      </c>
    </row>
    <row r="62" spans="1:13" x14ac:dyDescent="0.35">
      <c r="A62" s="10" t="str">
        <f>IF('All Cases - Enter Cases'!$F62="Sindh",'All Cases - Enter Cases'!A62,"")</f>
        <v/>
      </c>
      <c r="B62" t="str">
        <f>IF($A62&lt;&gt;"",'All Cases - Enter Cases'!B62,"")</f>
        <v/>
      </c>
      <c r="C62" t="str">
        <f>IF($A62&lt;&gt;"",'All Cases - Enter Cases'!C62,"")</f>
        <v/>
      </c>
      <c r="D62" t="str">
        <f>IF($A62&lt;&gt;"",'All Cases - Enter Cases'!D62,"")</f>
        <v/>
      </c>
      <c r="E62" t="str">
        <f>IF($A62&lt;&gt;"",'All Cases - Enter Cases'!E62,"")</f>
        <v/>
      </c>
      <c r="F62" t="str">
        <f>IF($A62&lt;&gt;"",'All Cases - Enter Cases'!F62,"")</f>
        <v/>
      </c>
      <c r="G62" t="str">
        <f>IF($A62&lt;&gt;"",'All Cases - Enter Cases'!G62,"")</f>
        <v/>
      </c>
      <c r="H62" t="str">
        <f>IF($A62&lt;&gt;"",'All Cases - Enter Cases'!H62,"")</f>
        <v/>
      </c>
      <c r="I62" t="str">
        <f>IF($A62&lt;&gt;"",'All Cases - Enter Cases'!I62,"")</f>
        <v/>
      </c>
      <c r="J62" t="str">
        <f>IF($A62&lt;&gt;"",'All Cases - Enter Cases'!J62,"")</f>
        <v/>
      </c>
      <c r="K62" s="4" t="str">
        <f>IF($A62&lt;&gt;"",'All Cases - Enter Cases'!K62,"")</f>
        <v/>
      </c>
      <c r="L62" t="str">
        <f>IF($A62&lt;&gt;"",'All Cases - Enter Cases'!L62,"")</f>
        <v/>
      </c>
      <c r="M62" t="str">
        <f>IF($A62&lt;&gt;"",'All Cases - Enter Cases'!M62,"")</f>
        <v/>
      </c>
    </row>
    <row r="63" spans="1:13" x14ac:dyDescent="0.35">
      <c r="A63" s="10" t="str">
        <f>IF('All Cases - Enter Cases'!$F63="Sindh",'All Cases - Enter Cases'!A63,"")</f>
        <v/>
      </c>
      <c r="B63" t="str">
        <f>IF($A63&lt;&gt;"",'All Cases - Enter Cases'!B63,"")</f>
        <v/>
      </c>
      <c r="C63" t="str">
        <f>IF($A63&lt;&gt;"",'All Cases - Enter Cases'!C63,"")</f>
        <v/>
      </c>
      <c r="D63" t="str">
        <f>IF($A63&lt;&gt;"",'All Cases - Enter Cases'!D63,"")</f>
        <v/>
      </c>
      <c r="E63" t="str">
        <f>IF($A63&lt;&gt;"",'All Cases - Enter Cases'!E63,"")</f>
        <v/>
      </c>
      <c r="F63" t="str">
        <f>IF($A63&lt;&gt;"",'All Cases - Enter Cases'!F63,"")</f>
        <v/>
      </c>
      <c r="G63" t="str">
        <f>IF($A63&lt;&gt;"",'All Cases - Enter Cases'!G63,"")</f>
        <v/>
      </c>
      <c r="H63" t="str">
        <f>IF($A63&lt;&gt;"",'All Cases - Enter Cases'!H63,"")</f>
        <v/>
      </c>
      <c r="I63" t="str">
        <f>IF($A63&lt;&gt;"",'All Cases - Enter Cases'!I63,"")</f>
        <v/>
      </c>
      <c r="J63" t="str">
        <f>IF($A63&lt;&gt;"",'All Cases - Enter Cases'!J63,"")</f>
        <v/>
      </c>
      <c r="K63" s="4" t="str">
        <f>IF($A63&lt;&gt;"",'All Cases - Enter Cases'!K63,"")</f>
        <v/>
      </c>
      <c r="L63" t="str">
        <f>IF($A63&lt;&gt;"",'All Cases - Enter Cases'!L63,"")</f>
        <v/>
      </c>
      <c r="M63" t="str">
        <f>IF($A63&lt;&gt;"",'All Cases - Enter Cases'!M63,"")</f>
        <v/>
      </c>
    </row>
    <row r="64" spans="1:13" x14ac:dyDescent="0.35">
      <c r="A64" s="10" t="str">
        <f>IF('All Cases - Enter Cases'!$F64="Sindh",'All Cases - Enter Cases'!A64,"")</f>
        <v/>
      </c>
      <c r="B64" t="str">
        <f>IF($A64&lt;&gt;"",'All Cases - Enter Cases'!B64,"")</f>
        <v/>
      </c>
      <c r="C64" t="str">
        <f>IF($A64&lt;&gt;"",'All Cases - Enter Cases'!C64,"")</f>
        <v/>
      </c>
      <c r="D64" t="str">
        <f>IF($A64&lt;&gt;"",'All Cases - Enter Cases'!D64,"")</f>
        <v/>
      </c>
      <c r="E64" t="str">
        <f>IF($A64&lt;&gt;"",'All Cases - Enter Cases'!E64,"")</f>
        <v/>
      </c>
      <c r="F64" t="str">
        <f>IF($A64&lt;&gt;"",'All Cases - Enter Cases'!F64,"")</f>
        <v/>
      </c>
      <c r="G64" t="str">
        <f>IF($A64&lt;&gt;"",'All Cases - Enter Cases'!G64,"")</f>
        <v/>
      </c>
      <c r="H64" t="str">
        <f>IF($A64&lt;&gt;"",'All Cases - Enter Cases'!H64,"")</f>
        <v/>
      </c>
      <c r="I64" t="str">
        <f>IF($A64&lt;&gt;"",'All Cases - Enter Cases'!I64,"")</f>
        <v/>
      </c>
      <c r="J64" t="str">
        <f>IF($A64&lt;&gt;"",'All Cases - Enter Cases'!J64,"")</f>
        <v/>
      </c>
      <c r="K64" s="4" t="str">
        <f>IF($A64&lt;&gt;"",'All Cases - Enter Cases'!K64,"")</f>
        <v/>
      </c>
      <c r="L64" t="str">
        <f>IF($A64&lt;&gt;"",'All Cases - Enter Cases'!L64,"")</f>
        <v/>
      </c>
      <c r="M64" t="str">
        <f>IF($A64&lt;&gt;"",'All Cases - Enter Cases'!M64,"")</f>
        <v/>
      </c>
    </row>
    <row r="65" spans="1:13" x14ac:dyDescent="0.35">
      <c r="A65" s="10" t="str">
        <f>IF('All Cases - Enter Cases'!$F65="Sindh",'All Cases - Enter Cases'!A65,"")</f>
        <v/>
      </c>
      <c r="B65" t="str">
        <f>IF($A65&lt;&gt;"",'All Cases - Enter Cases'!B65,"")</f>
        <v/>
      </c>
      <c r="C65" t="str">
        <f>IF($A65&lt;&gt;"",'All Cases - Enter Cases'!C65,"")</f>
        <v/>
      </c>
      <c r="D65" t="str">
        <f>IF($A65&lt;&gt;"",'All Cases - Enter Cases'!D65,"")</f>
        <v/>
      </c>
      <c r="E65" t="str">
        <f>IF($A65&lt;&gt;"",'All Cases - Enter Cases'!E65,"")</f>
        <v/>
      </c>
      <c r="F65" t="str">
        <f>IF($A65&lt;&gt;"",'All Cases - Enter Cases'!F65,"")</f>
        <v/>
      </c>
      <c r="G65" t="str">
        <f>IF($A65&lt;&gt;"",'All Cases - Enter Cases'!G65,"")</f>
        <v/>
      </c>
      <c r="H65" t="str">
        <f>IF($A65&lt;&gt;"",'All Cases - Enter Cases'!H65,"")</f>
        <v/>
      </c>
      <c r="I65" t="str">
        <f>IF($A65&lt;&gt;"",'All Cases - Enter Cases'!I65,"")</f>
        <v/>
      </c>
      <c r="J65" t="str">
        <f>IF($A65&lt;&gt;"",'All Cases - Enter Cases'!J65,"")</f>
        <v/>
      </c>
      <c r="K65" s="4" t="str">
        <f>IF($A65&lt;&gt;"",'All Cases - Enter Cases'!K65,"")</f>
        <v/>
      </c>
      <c r="L65" t="str">
        <f>IF($A65&lt;&gt;"",'All Cases - Enter Cases'!L65,"")</f>
        <v/>
      </c>
      <c r="M65" t="str">
        <f>IF($A65&lt;&gt;"",'All Cases - Enter Cases'!M65,"")</f>
        <v/>
      </c>
    </row>
    <row r="66" spans="1:13" x14ac:dyDescent="0.35">
      <c r="A66" s="10" t="str">
        <f>IF('All Cases - Enter Cases'!$F66="Sindh",'All Cases - Enter Cases'!A66,"")</f>
        <v/>
      </c>
      <c r="B66" t="str">
        <f>IF($A66&lt;&gt;"",'All Cases - Enter Cases'!B66,"")</f>
        <v/>
      </c>
      <c r="C66" t="str">
        <f>IF($A66&lt;&gt;"",'All Cases - Enter Cases'!C66,"")</f>
        <v/>
      </c>
      <c r="D66" t="str">
        <f>IF($A66&lt;&gt;"",'All Cases - Enter Cases'!D66,"")</f>
        <v/>
      </c>
      <c r="E66" t="str">
        <f>IF($A66&lt;&gt;"",'All Cases - Enter Cases'!E66,"")</f>
        <v/>
      </c>
      <c r="F66" t="str">
        <f>IF($A66&lt;&gt;"",'All Cases - Enter Cases'!F66,"")</f>
        <v/>
      </c>
      <c r="G66" t="str">
        <f>IF($A66&lt;&gt;"",'All Cases - Enter Cases'!G66,"")</f>
        <v/>
      </c>
      <c r="H66" t="str">
        <f>IF($A66&lt;&gt;"",'All Cases - Enter Cases'!H66,"")</f>
        <v/>
      </c>
      <c r="I66" t="str">
        <f>IF($A66&lt;&gt;"",'All Cases - Enter Cases'!I66,"")</f>
        <v/>
      </c>
      <c r="J66" t="str">
        <f>IF($A66&lt;&gt;"",'All Cases - Enter Cases'!J66,"")</f>
        <v/>
      </c>
      <c r="K66" s="4" t="str">
        <f>IF($A66&lt;&gt;"",'All Cases - Enter Cases'!K66,"")</f>
        <v/>
      </c>
      <c r="L66" t="str">
        <f>IF($A66&lt;&gt;"",'All Cases - Enter Cases'!L66,"")</f>
        <v/>
      </c>
      <c r="M66" t="str">
        <f>IF($A66&lt;&gt;"",'All Cases - Enter Cases'!M66,"")</f>
        <v/>
      </c>
    </row>
    <row r="67" spans="1:13" x14ac:dyDescent="0.35">
      <c r="A67" s="10" t="str">
        <f>IF('All Cases - Enter Cases'!$F67="Sindh",'All Cases - Enter Cases'!A67,"")</f>
        <v/>
      </c>
      <c r="B67" t="str">
        <f>IF($A67&lt;&gt;"",'All Cases - Enter Cases'!B67,"")</f>
        <v/>
      </c>
      <c r="C67" t="str">
        <f>IF($A67&lt;&gt;"",'All Cases - Enter Cases'!C67,"")</f>
        <v/>
      </c>
      <c r="D67" t="str">
        <f>IF($A67&lt;&gt;"",'All Cases - Enter Cases'!D67,"")</f>
        <v/>
      </c>
      <c r="E67" t="str">
        <f>IF($A67&lt;&gt;"",'All Cases - Enter Cases'!E67,"")</f>
        <v/>
      </c>
      <c r="F67" t="str">
        <f>IF($A67&lt;&gt;"",'All Cases - Enter Cases'!F67,"")</f>
        <v/>
      </c>
      <c r="G67" t="str">
        <f>IF($A67&lt;&gt;"",'All Cases - Enter Cases'!G67,"")</f>
        <v/>
      </c>
      <c r="H67" t="str">
        <f>IF($A67&lt;&gt;"",'All Cases - Enter Cases'!H67,"")</f>
        <v/>
      </c>
      <c r="I67" t="str">
        <f>IF($A67&lt;&gt;"",'All Cases - Enter Cases'!I67,"")</f>
        <v/>
      </c>
      <c r="J67" t="str">
        <f>IF($A67&lt;&gt;"",'All Cases - Enter Cases'!J67,"")</f>
        <v/>
      </c>
      <c r="K67" s="4" t="str">
        <f>IF($A67&lt;&gt;"",'All Cases - Enter Cases'!K67,"")</f>
        <v/>
      </c>
      <c r="L67" t="str">
        <f>IF($A67&lt;&gt;"",'All Cases - Enter Cases'!L67,"")</f>
        <v/>
      </c>
      <c r="M67" t="str">
        <f>IF($A67&lt;&gt;"",'All Cases - Enter Cases'!M67,"")</f>
        <v/>
      </c>
    </row>
    <row r="68" spans="1:13" x14ac:dyDescent="0.35">
      <c r="A68" s="10" t="str">
        <f>IF('All Cases - Enter Cases'!$F68="Sindh",'All Cases - Enter Cases'!A68,"")</f>
        <v/>
      </c>
      <c r="B68" t="str">
        <f>IF($A68&lt;&gt;"",'All Cases - Enter Cases'!B68,"")</f>
        <v/>
      </c>
      <c r="C68" t="str">
        <f>IF($A68&lt;&gt;"",'All Cases - Enter Cases'!C68,"")</f>
        <v/>
      </c>
      <c r="D68" t="str">
        <f>IF($A68&lt;&gt;"",'All Cases - Enter Cases'!D68,"")</f>
        <v/>
      </c>
      <c r="E68" t="str">
        <f>IF($A68&lt;&gt;"",'All Cases - Enter Cases'!E68,"")</f>
        <v/>
      </c>
      <c r="F68" t="str">
        <f>IF($A68&lt;&gt;"",'All Cases - Enter Cases'!F68,"")</f>
        <v/>
      </c>
      <c r="G68" t="str">
        <f>IF($A68&lt;&gt;"",'All Cases - Enter Cases'!G68,"")</f>
        <v/>
      </c>
      <c r="H68" t="str">
        <f>IF($A68&lt;&gt;"",'All Cases - Enter Cases'!H68,"")</f>
        <v/>
      </c>
      <c r="I68" t="str">
        <f>IF($A68&lt;&gt;"",'All Cases - Enter Cases'!I68,"")</f>
        <v/>
      </c>
      <c r="J68" t="str">
        <f>IF($A68&lt;&gt;"",'All Cases - Enter Cases'!J68,"")</f>
        <v/>
      </c>
      <c r="K68" s="4" t="str">
        <f>IF($A68&lt;&gt;"",'All Cases - Enter Cases'!K68,"")</f>
        <v/>
      </c>
      <c r="L68" t="str">
        <f>IF($A68&lt;&gt;"",'All Cases - Enter Cases'!L68,"")</f>
        <v/>
      </c>
      <c r="M68" t="str">
        <f>IF($A68&lt;&gt;"",'All Cases - Enter Cases'!M68,"")</f>
        <v/>
      </c>
    </row>
    <row r="69" spans="1:13" x14ac:dyDescent="0.35">
      <c r="A69" s="10" t="str">
        <f>IF('All Cases - Enter Cases'!$F69="Sindh",'All Cases - Enter Cases'!A69,"")</f>
        <v/>
      </c>
      <c r="B69" t="str">
        <f>IF($A69&lt;&gt;"",'All Cases - Enter Cases'!B69,"")</f>
        <v/>
      </c>
      <c r="C69" t="str">
        <f>IF($A69&lt;&gt;"",'All Cases - Enter Cases'!C69,"")</f>
        <v/>
      </c>
      <c r="D69" t="str">
        <f>IF($A69&lt;&gt;"",'All Cases - Enter Cases'!D69,"")</f>
        <v/>
      </c>
      <c r="E69" t="str">
        <f>IF($A69&lt;&gt;"",'All Cases - Enter Cases'!E69,"")</f>
        <v/>
      </c>
      <c r="F69" t="str">
        <f>IF($A69&lt;&gt;"",'All Cases - Enter Cases'!F69,"")</f>
        <v/>
      </c>
      <c r="G69" t="str">
        <f>IF($A69&lt;&gt;"",'All Cases - Enter Cases'!G69,"")</f>
        <v/>
      </c>
      <c r="H69" t="str">
        <f>IF($A69&lt;&gt;"",'All Cases - Enter Cases'!H69,"")</f>
        <v/>
      </c>
      <c r="I69" t="str">
        <f>IF($A69&lt;&gt;"",'All Cases - Enter Cases'!I69,"")</f>
        <v/>
      </c>
      <c r="J69" t="str">
        <f>IF($A69&lt;&gt;"",'All Cases - Enter Cases'!J69,"")</f>
        <v/>
      </c>
      <c r="K69" s="4" t="str">
        <f>IF($A69&lt;&gt;"",'All Cases - Enter Cases'!K69,"")</f>
        <v/>
      </c>
      <c r="L69" t="str">
        <f>IF($A69&lt;&gt;"",'All Cases - Enter Cases'!L69,"")</f>
        <v/>
      </c>
      <c r="M69" t="str">
        <f>IF($A69&lt;&gt;"",'All Cases - Enter Cases'!M69,"")</f>
        <v/>
      </c>
    </row>
    <row r="70" spans="1:13" x14ac:dyDescent="0.35">
      <c r="A70" s="10" t="str">
        <f>IF('All Cases - Enter Cases'!$F70="Sindh",'All Cases - Enter Cases'!A70,"")</f>
        <v/>
      </c>
      <c r="B70" t="str">
        <f>IF($A70&lt;&gt;"",'All Cases - Enter Cases'!B70,"")</f>
        <v/>
      </c>
      <c r="C70" t="str">
        <f>IF($A70&lt;&gt;"",'All Cases - Enter Cases'!C70,"")</f>
        <v/>
      </c>
      <c r="D70" t="str">
        <f>IF($A70&lt;&gt;"",'All Cases - Enter Cases'!D70,"")</f>
        <v/>
      </c>
      <c r="E70" t="str">
        <f>IF($A70&lt;&gt;"",'All Cases - Enter Cases'!E70,"")</f>
        <v/>
      </c>
      <c r="F70" t="str">
        <f>IF($A70&lt;&gt;"",'All Cases - Enter Cases'!F70,"")</f>
        <v/>
      </c>
      <c r="G70" t="str">
        <f>IF($A70&lt;&gt;"",'All Cases - Enter Cases'!G70,"")</f>
        <v/>
      </c>
      <c r="H70" t="str">
        <f>IF($A70&lt;&gt;"",'All Cases - Enter Cases'!H70,"")</f>
        <v/>
      </c>
      <c r="I70" t="str">
        <f>IF($A70&lt;&gt;"",'All Cases - Enter Cases'!I70,"")</f>
        <v/>
      </c>
      <c r="J70" t="str">
        <f>IF($A70&lt;&gt;"",'All Cases - Enter Cases'!J70,"")</f>
        <v/>
      </c>
      <c r="K70" s="4" t="str">
        <f>IF($A70&lt;&gt;"",'All Cases - Enter Cases'!K70,"")</f>
        <v/>
      </c>
      <c r="L70" t="str">
        <f>IF($A70&lt;&gt;"",'All Cases - Enter Cases'!L70,"")</f>
        <v/>
      </c>
      <c r="M70" t="str">
        <f>IF($A70&lt;&gt;"",'All Cases - Enter Cases'!M70,"")</f>
        <v/>
      </c>
    </row>
    <row r="71" spans="1:13" x14ac:dyDescent="0.35">
      <c r="A71" s="10" t="str">
        <f>IF('All Cases - Enter Cases'!$F71="Sindh",'All Cases - Enter Cases'!A71,"")</f>
        <v/>
      </c>
      <c r="B71" t="str">
        <f>IF($A71&lt;&gt;"",'All Cases - Enter Cases'!B71,"")</f>
        <v/>
      </c>
      <c r="C71" t="str">
        <f>IF($A71&lt;&gt;"",'All Cases - Enter Cases'!C71,"")</f>
        <v/>
      </c>
      <c r="D71" t="str">
        <f>IF($A71&lt;&gt;"",'All Cases - Enter Cases'!D71,"")</f>
        <v/>
      </c>
      <c r="E71" t="str">
        <f>IF($A71&lt;&gt;"",'All Cases - Enter Cases'!E71,"")</f>
        <v/>
      </c>
      <c r="F71" t="str">
        <f>IF($A71&lt;&gt;"",'All Cases - Enter Cases'!F71,"")</f>
        <v/>
      </c>
      <c r="G71" t="str">
        <f>IF($A71&lt;&gt;"",'All Cases - Enter Cases'!G71,"")</f>
        <v/>
      </c>
      <c r="H71" t="str">
        <f>IF($A71&lt;&gt;"",'All Cases - Enter Cases'!H71,"")</f>
        <v/>
      </c>
      <c r="I71" t="str">
        <f>IF($A71&lt;&gt;"",'All Cases - Enter Cases'!I71,"")</f>
        <v/>
      </c>
      <c r="J71" t="str">
        <f>IF($A71&lt;&gt;"",'All Cases - Enter Cases'!J71,"")</f>
        <v/>
      </c>
      <c r="K71" s="4" t="str">
        <f>IF($A71&lt;&gt;"",'All Cases - Enter Cases'!K71,"")</f>
        <v/>
      </c>
      <c r="L71" t="str">
        <f>IF($A71&lt;&gt;"",'All Cases - Enter Cases'!L71,"")</f>
        <v/>
      </c>
      <c r="M71" t="str">
        <f>IF($A71&lt;&gt;"",'All Cases - Enter Cases'!M71,"")</f>
        <v/>
      </c>
    </row>
    <row r="72" spans="1:13" x14ac:dyDescent="0.35">
      <c r="A72" s="10" t="str">
        <f>IF('All Cases - Enter Cases'!$F72="Sindh",'All Cases - Enter Cases'!A72,"")</f>
        <v/>
      </c>
      <c r="B72" t="str">
        <f>IF($A72&lt;&gt;"",'All Cases - Enter Cases'!B72,"")</f>
        <v/>
      </c>
      <c r="C72" t="str">
        <f>IF($A72&lt;&gt;"",'All Cases - Enter Cases'!C72,"")</f>
        <v/>
      </c>
      <c r="D72" t="str">
        <f>IF($A72&lt;&gt;"",'All Cases - Enter Cases'!D72,"")</f>
        <v/>
      </c>
      <c r="E72" t="str">
        <f>IF($A72&lt;&gt;"",'All Cases - Enter Cases'!E72,"")</f>
        <v/>
      </c>
      <c r="F72" t="str">
        <f>IF($A72&lt;&gt;"",'All Cases - Enter Cases'!F72,"")</f>
        <v/>
      </c>
      <c r="G72" t="str">
        <f>IF($A72&lt;&gt;"",'All Cases - Enter Cases'!G72,"")</f>
        <v/>
      </c>
      <c r="H72" t="str">
        <f>IF($A72&lt;&gt;"",'All Cases - Enter Cases'!H72,"")</f>
        <v/>
      </c>
      <c r="I72" t="str">
        <f>IF($A72&lt;&gt;"",'All Cases - Enter Cases'!I72,"")</f>
        <v/>
      </c>
      <c r="J72" t="str">
        <f>IF($A72&lt;&gt;"",'All Cases - Enter Cases'!J72,"")</f>
        <v/>
      </c>
      <c r="K72" s="4" t="str">
        <f>IF($A72&lt;&gt;"",'All Cases - Enter Cases'!K72,"")</f>
        <v/>
      </c>
      <c r="L72" t="str">
        <f>IF($A72&lt;&gt;"",'All Cases - Enter Cases'!L72,"")</f>
        <v/>
      </c>
      <c r="M72" t="str">
        <f>IF($A72&lt;&gt;"",'All Cases - Enter Cases'!M72,"")</f>
        <v/>
      </c>
    </row>
    <row r="73" spans="1:13" x14ac:dyDescent="0.35">
      <c r="A73" s="10" t="str">
        <f>IF('All Cases - Enter Cases'!$F73="Sindh",'All Cases - Enter Cases'!A73,"")</f>
        <v/>
      </c>
      <c r="B73" t="str">
        <f>IF($A73&lt;&gt;"",'All Cases - Enter Cases'!B73,"")</f>
        <v/>
      </c>
      <c r="C73" t="str">
        <f>IF($A73&lt;&gt;"",'All Cases - Enter Cases'!C73,"")</f>
        <v/>
      </c>
      <c r="D73" t="str">
        <f>IF($A73&lt;&gt;"",'All Cases - Enter Cases'!D73,"")</f>
        <v/>
      </c>
      <c r="E73" t="str">
        <f>IF($A73&lt;&gt;"",'All Cases - Enter Cases'!E73,"")</f>
        <v/>
      </c>
      <c r="F73" t="str">
        <f>IF($A73&lt;&gt;"",'All Cases - Enter Cases'!F73,"")</f>
        <v/>
      </c>
      <c r="G73" t="str">
        <f>IF($A73&lt;&gt;"",'All Cases - Enter Cases'!G73,"")</f>
        <v/>
      </c>
      <c r="H73" t="str">
        <f>IF($A73&lt;&gt;"",'All Cases - Enter Cases'!H73,"")</f>
        <v/>
      </c>
      <c r="I73" t="str">
        <f>IF($A73&lt;&gt;"",'All Cases - Enter Cases'!I73,"")</f>
        <v/>
      </c>
      <c r="J73" t="str">
        <f>IF($A73&lt;&gt;"",'All Cases - Enter Cases'!J73,"")</f>
        <v/>
      </c>
      <c r="K73" s="4" t="str">
        <f>IF($A73&lt;&gt;"",'All Cases - Enter Cases'!K73,"")</f>
        <v/>
      </c>
      <c r="L73" t="str">
        <f>IF($A73&lt;&gt;"",'All Cases - Enter Cases'!L73,"")</f>
        <v/>
      </c>
      <c r="M73" t="str">
        <f>IF($A73&lt;&gt;"",'All Cases - Enter Cases'!M73,"")</f>
        <v/>
      </c>
    </row>
    <row r="74" spans="1:13" x14ac:dyDescent="0.35">
      <c r="A74" s="10" t="str">
        <f>IF('All Cases - Enter Cases'!$F74="Sindh",'All Cases - Enter Cases'!A74,"")</f>
        <v/>
      </c>
      <c r="B74" t="str">
        <f>IF($A74&lt;&gt;"",'All Cases - Enter Cases'!B74,"")</f>
        <v/>
      </c>
      <c r="C74" t="str">
        <f>IF($A74&lt;&gt;"",'All Cases - Enter Cases'!C74,"")</f>
        <v/>
      </c>
      <c r="D74" t="str">
        <f>IF($A74&lt;&gt;"",'All Cases - Enter Cases'!D74,"")</f>
        <v/>
      </c>
      <c r="E74" t="str">
        <f>IF($A74&lt;&gt;"",'All Cases - Enter Cases'!E74,"")</f>
        <v/>
      </c>
      <c r="F74" t="str">
        <f>IF($A74&lt;&gt;"",'All Cases - Enter Cases'!F74,"")</f>
        <v/>
      </c>
      <c r="G74" t="str">
        <f>IF($A74&lt;&gt;"",'All Cases - Enter Cases'!G74,"")</f>
        <v/>
      </c>
      <c r="H74" t="str">
        <f>IF($A74&lt;&gt;"",'All Cases - Enter Cases'!H74,"")</f>
        <v/>
      </c>
      <c r="I74" t="str">
        <f>IF($A74&lt;&gt;"",'All Cases - Enter Cases'!I74,"")</f>
        <v/>
      </c>
      <c r="J74" t="str">
        <f>IF($A74&lt;&gt;"",'All Cases - Enter Cases'!J74,"")</f>
        <v/>
      </c>
      <c r="K74" s="4" t="str">
        <f>IF($A74&lt;&gt;"",'All Cases - Enter Cases'!K74,"")</f>
        <v/>
      </c>
      <c r="L74" t="str">
        <f>IF($A74&lt;&gt;"",'All Cases - Enter Cases'!L74,"")</f>
        <v/>
      </c>
      <c r="M74" t="str">
        <f>IF($A74&lt;&gt;"",'All Cases - Enter Cases'!M74,"")</f>
        <v/>
      </c>
    </row>
    <row r="75" spans="1:13" x14ac:dyDescent="0.35">
      <c r="A75" s="10" t="str">
        <f>IF('All Cases - Enter Cases'!$F75="Sindh",'All Cases - Enter Cases'!A75,"")</f>
        <v/>
      </c>
      <c r="B75" t="str">
        <f>IF($A75&lt;&gt;"",'All Cases - Enter Cases'!B75,"")</f>
        <v/>
      </c>
      <c r="C75" t="str">
        <f>IF($A75&lt;&gt;"",'All Cases - Enter Cases'!C75,"")</f>
        <v/>
      </c>
      <c r="D75" t="str">
        <f>IF($A75&lt;&gt;"",'All Cases - Enter Cases'!D75,"")</f>
        <v/>
      </c>
      <c r="E75" t="str">
        <f>IF($A75&lt;&gt;"",'All Cases - Enter Cases'!E75,"")</f>
        <v/>
      </c>
      <c r="F75" t="str">
        <f>IF($A75&lt;&gt;"",'All Cases - Enter Cases'!F75,"")</f>
        <v/>
      </c>
      <c r="G75" t="str">
        <f>IF($A75&lt;&gt;"",'All Cases - Enter Cases'!G75,"")</f>
        <v/>
      </c>
      <c r="H75" t="str">
        <f>IF($A75&lt;&gt;"",'All Cases - Enter Cases'!H75,"")</f>
        <v/>
      </c>
      <c r="I75" t="str">
        <f>IF($A75&lt;&gt;"",'All Cases - Enter Cases'!I75,"")</f>
        <v/>
      </c>
      <c r="J75" t="str">
        <f>IF($A75&lt;&gt;"",'All Cases - Enter Cases'!J75,"")</f>
        <v/>
      </c>
      <c r="K75" s="4" t="str">
        <f>IF($A75&lt;&gt;"",'All Cases - Enter Cases'!K75,"")</f>
        <v/>
      </c>
      <c r="L75" t="str">
        <f>IF($A75&lt;&gt;"",'All Cases - Enter Cases'!L75,"")</f>
        <v/>
      </c>
      <c r="M75" t="str">
        <f>IF($A75&lt;&gt;"",'All Cases - Enter Cases'!M75,"")</f>
        <v/>
      </c>
    </row>
    <row r="76" spans="1:13" x14ac:dyDescent="0.35">
      <c r="A76" s="10" t="str">
        <f>IF('All Cases - Enter Cases'!$F76="Sindh",'All Cases - Enter Cases'!A76,"")</f>
        <v/>
      </c>
      <c r="B76" t="str">
        <f>IF($A76&lt;&gt;"",'All Cases - Enter Cases'!B76,"")</f>
        <v/>
      </c>
      <c r="C76" t="str">
        <f>IF($A76&lt;&gt;"",'All Cases - Enter Cases'!C76,"")</f>
        <v/>
      </c>
      <c r="D76" t="str">
        <f>IF($A76&lt;&gt;"",'All Cases - Enter Cases'!D76,"")</f>
        <v/>
      </c>
      <c r="E76" t="str">
        <f>IF($A76&lt;&gt;"",'All Cases - Enter Cases'!E76,"")</f>
        <v/>
      </c>
      <c r="F76" t="str">
        <f>IF($A76&lt;&gt;"",'All Cases - Enter Cases'!F76,"")</f>
        <v/>
      </c>
      <c r="G76" t="str">
        <f>IF($A76&lt;&gt;"",'All Cases - Enter Cases'!G76,"")</f>
        <v/>
      </c>
      <c r="H76" t="str">
        <f>IF($A76&lt;&gt;"",'All Cases - Enter Cases'!H76,"")</f>
        <v/>
      </c>
      <c r="I76" t="str">
        <f>IF($A76&lt;&gt;"",'All Cases - Enter Cases'!I76,"")</f>
        <v/>
      </c>
      <c r="J76" t="str">
        <f>IF($A76&lt;&gt;"",'All Cases - Enter Cases'!J76,"")</f>
        <v/>
      </c>
      <c r="K76" s="4" t="str">
        <f>IF($A76&lt;&gt;"",'All Cases - Enter Cases'!K76,"")</f>
        <v/>
      </c>
      <c r="L76" t="str">
        <f>IF($A76&lt;&gt;"",'All Cases - Enter Cases'!L76,"")</f>
        <v/>
      </c>
      <c r="M76" t="str">
        <f>IF($A76&lt;&gt;"",'All Cases - Enter Cases'!M76,"")</f>
        <v/>
      </c>
    </row>
    <row r="77" spans="1:13" x14ac:dyDescent="0.35">
      <c r="A77" s="10" t="str">
        <f>IF('All Cases - Enter Cases'!$F77="Sindh",'All Cases - Enter Cases'!A77,"")</f>
        <v/>
      </c>
      <c r="B77" t="str">
        <f>IF($A77&lt;&gt;"",'All Cases - Enter Cases'!B77,"")</f>
        <v/>
      </c>
      <c r="C77" t="str">
        <f>IF($A77&lt;&gt;"",'All Cases - Enter Cases'!C77,"")</f>
        <v/>
      </c>
      <c r="D77" t="str">
        <f>IF($A77&lt;&gt;"",'All Cases - Enter Cases'!D77,"")</f>
        <v/>
      </c>
      <c r="E77" t="str">
        <f>IF($A77&lt;&gt;"",'All Cases - Enter Cases'!E77,"")</f>
        <v/>
      </c>
      <c r="F77" t="str">
        <f>IF($A77&lt;&gt;"",'All Cases - Enter Cases'!F77,"")</f>
        <v/>
      </c>
      <c r="G77" t="str">
        <f>IF($A77&lt;&gt;"",'All Cases - Enter Cases'!G77,"")</f>
        <v/>
      </c>
      <c r="H77" t="str">
        <f>IF($A77&lt;&gt;"",'All Cases - Enter Cases'!H77,"")</f>
        <v/>
      </c>
      <c r="I77" t="str">
        <f>IF($A77&lt;&gt;"",'All Cases - Enter Cases'!I77,"")</f>
        <v/>
      </c>
      <c r="J77" t="str">
        <f>IF($A77&lt;&gt;"",'All Cases - Enter Cases'!J77,"")</f>
        <v/>
      </c>
      <c r="K77" s="4" t="str">
        <f>IF($A77&lt;&gt;"",'All Cases - Enter Cases'!K77,"")</f>
        <v/>
      </c>
      <c r="L77" t="str">
        <f>IF($A77&lt;&gt;"",'All Cases - Enter Cases'!L77,"")</f>
        <v/>
      </c>
      <c r="M77" t="str">
        <f>IF($A77&lt;&gt;"",'All Cases - Enter Cases'!M77,"")</f>
        <v/>
      </c>
    </row>
    <row r="78" spans="1:13" x14ac:dyDescent="0.35">
      <c r="A78" s="10" t="str">
        <f>IF('All Cases - Enter Cases'!$F78="Sindh",'All Cases - Enter Cases'!A78,"")</f>
        <v/>
      </c>
      <c r="B78" t="str">
        <f>IF($A78&lt;&gt;"",'All Cases - Enter Cases'!B78,"")</f>
        <v/>
      </c>
      <c r="C78" t="str">
        <f>IF($A78&lt;&gt;"",'All Cases - Enter Cases'!C78,"")</f>
        <v/>
      </c>
      <c r="D78" t="str">
        <f>IF($A78&lt;&gt;"",'All Cases - Enter Cases'!D78,"")</f>
        <v/>
      </c>
      <c r="E78" t="str">
        <f>IF($A78&lt;&gt;"",'All Cases - Enter Cases'!E78,"")</f>
        <v/>
      </c>
      <c r="F78" t="str">
        <f>IF($A78&lt;&gt;"",'All Cases - Enter Cases'!F78,"")</f>
        <v/>
      </c>
      <c r="G78" t="str">
        <f>IF($A78&lt;&gt;"",'All Cases - Enter Cases'!G78,"")</f>
        <v/>
      </c>
      <c r="H78" t="str">
        <f>IF($A78&lt;&gt;"",'All Cases - Enter Cases'!H78,"")</f>
        <v/>
      </c>
      <c r="I78" t="str">
        <f>IF($A78&lt;&gt;"",'All Cases - Enter Cases'!I78,"")</f>
        <v/>
      </c>
      <c r="J78" t="str">
        <f>IF($A78&lt;&gt;"",'All Cases - Enter Cases'!J78,"")</f>
        <v/>
      </c>
      <c r="K78" s="4" t="str">
        <f>IF($A78&lt;&gt;"",'All Cases - Enter Cases'!K78,"")</f>
        <v/>
      </c>
      <c r="L78" t="str">
        <f>IF($A78&lt;&gt;"",'All Cases - Enter Cases'!L78,"")</f>
        <v/>
      </c>
      <c r="M78" t="str">
        <f>IF($A78&lt;&gt;"",'All Cases - Enter Cases'!M78,"")</f>
        <v/>
      </c>
    </row>
    <row r="79" spans="1:13" x14ac:dyDescent="0.35">
      <c r="A79" s="10" t="str">
        <f>IF('All Cases - Enter Cases'!$F79="Sindh",'All Cases - Enter Cases'!A79,"")</f>
        <v/>
      </c>
      <c r="B79" t="str">
        <f>IF($A79&lt;&gt;"",'All Cases - Enter Cases'!B79,"")</f>
        <v/>
      </c>
      <c r="C79" t="str">
        <f>IF($A79&lt;&gt;"",'All Cases - Enter Cases'!C79,"")</f>
        <v/>
      </c>
      <c r="D79" t="str">
        <f>IF($A79&lt;&gt;"",'All Cases - Enter Cases'!D79,"")</f>
        <v/>
      </c>
      <c r="E79" t="str">
        <f>IF($A79&lt;&gt;"",'All Cases - Enter Cases'!E79,"")</f>
        <v/>
      </c>
      <c r="F79" t="str">
        <f>IF($A79&lt;&gt;"",'All Cases - Enter Cases'!F79,"")</f>
        <v/>
      </c>
      <c r="G79" t="str">
        <f>IF($A79&lt;&gt;"",'All Cases - Enter Cases'!G79,"")</f>
        <v/>
      </c>
      <c r="H79" t="str">
        <f>IF($A79&lt;&gt;"",'All Cases - Enter Cases'!H79,"")</f>
        <v/>
      </c>
      <c r="I79" t="str">
        <f>IF($A79&lt;&gt;"",'All Cases - Enter Cases'!I79,"")</f>
        <v/>
      </c>
      <c r="J79" t="str">
        <f>IF($A79&lt;&gt;"",'All Cases - Enter Cases'!J79,"")</f>
        <v/>
      </c>
      <c r="K79" s="4" t="str">
        <f>IF($A79&lt;&gt;"",'All Cases - Enter Cases'!K79,"")</f>
        <v/>
      </c>
      <c r="L79" t="str">
        <f>IF($A79&lt;&gt;"",'All Cases - Enter Cases'!L79,"")</f>
        <v/>
      </c>
      <c r="M79" t="str">
        <f>IF($A79&lt;&gt;"",'All Cases - Enter Cases'!M79,"")</f>
        <v/>
      </c>
    </row>
    <row r="80" spans="1:13" x14ac:dyDescent="0.35">
      <c r="A80" s="10" t="str">
        <f>IF('All Cases - Enter Cases'!$F80="Sindh",'All Cases - Enter Cases'!A80,"")</f>
        <v/>
      </c>
      <c r="B80" t="str">
        <f>IF($A80&lt;&gt;"",'All Cases - Enter Cases'!B80,"")</f>
        <v/>
      </c>
      <c r="C80" t="str">
        <f>IF($A80&lt;&gt;"",'All Cases - Enter Cases'!C80,"")</f>
        <v/>
      </c>
      <c r="D80" t="str">
        <f>IF($A80&lt;&gt;"",'All Cases - Enter Cases'!D80,"")</f>
        <v/>
      </c>
      <c r="E80" t="str">
        <f>IF($A80&lt;&gt;"",'All Cases - Enter Cases'!E80,"")</f>
        <v/>
      </c>
      <c r="F80" t="str">
        <f>IF($A80&lt;&gt;"",'All Cases - Enter Cases'!F80,"")</f>
        <v/>
      </c>
      <c r="G80" t="str">
        <f>IF($A80&lt;&gt;"",'All Cases - Enter Cases'!G80,"")</f>
        <v/>
      </c>
      <c r="H80" t="str">
        <f>IF($A80&lt;&gt;"",'All Cases - Enter Cases'!H80,"")</f>
        <v/>
      </c>
      <c r="I80" t="str">
        <f>IF($A80&lt;&gt;"",'All Cases - Enter Cases'!I80,"")</f>
        <v/>
      </c>
      <c r="J80" t="str">
        <f>IF($A80&lt;&gt;"",'All Cases - Enter Cases'!J80,"")</f>
        <v/>
      </c>
      <c r="K80" s="4" t="str">
        <f>IF($A80&lt;&gt;"",'All Cases - Enter Cases'!K80,"")</f>
        <v/>
      </c>
      <c r="L80" t="str">
        <f>IF($A80&lt;&gt;"",'All Cases - Enter Cases'!L80,"")</f>
        <v/>
      </c>
      <c r="M80" t="str">
        <f>IF($A80&lt;&gt;"",'All Cases - Enter Cases'!M80,"")</f>
        <v/>
      </c>
    </row>
    <row r="81" spans="1:13" x14ac:dyDescent="0.35">
      <c r="A81" s="10" t="str">
        <f>IF('All Cases - Enter Cases'!$F81="Sindh",'All Cases - Enter Cases'!A81,"")</f>
        <v/>
      </c>
      <c r="B81" t="str">
        <f>IF($A81&lt;&gt;"",'All Cases - Enter Cases'!B81,"")</f>
        <v/>
      </c>
      <c r="C81" t="str">
        <f>IF($A81&lt;&gt;"",'All Cases - Enter Cases'!C81,"")</f>
        <v/>
      </c>
      <c r="D81" t="str">
        <f>IF($A81&lt;&gt;"",'All Cases - Enter Cases'!D81,"")</f>
        <v/>
      </c>
      <c r="E81" t="str">
        <f>IF($A81&lt;&gt;"",'All Cases - Enter Cases'!E81,"")</f>
        <v/>
      </c>
      <c r="F81" t="str">
        <f>IF($A81&lt;&gt;"",'All Cases - Enter Cases'!F81,"")</f>
        <v/>
      </c>
      <c r="G81" t="str">
        <f>IF($A81&lt;&gt;"",'All Cases - Enter Cases'!G81,"")</f>
        <v/>
      </c>
      <c r="H81" t="str">
        <f>IF($A81&lt;&gt;"",'All Cases - Enter Cases'!H81,"")</f>
        <v/>
      </c>
      <c r="I81" t="str">
        <f>IF($A81&lt;&gt;"",'All Cases - Enter Cases'!I81,"")</f>
        <v/>
      </c>
      <c r="J81" t="str">
        <f>IF($A81&lt;&gt;"",'All Cases - Enter Cases'!J81,"")</f>
        <v/>
      </c>
      <c r="K81" s="4" t="str">
        <f>IF($A81&lt;&gt;"",'All Cases - Enter Cases'!K81,"")</f>
        <v/>
      </c>
      <c r="L81" t="str">
        <f>IF($A81&lt;&gt;"",'All Cases - Enter Cases'!L81,"")</f>
        <v/>
      </c>
      <c r="M81" t="str">
        <f>IF($A81&lt;&gt;"",'All Cases - Enter Cases'!M81,"")</f>
        <v/>
      </c>
    </row>
    <row r="82" spans="1:13" x14ac:dyDescent="0.35">
      <c r="A82" s="10" t="str">
        <f>IF('All Cases - Enter Cases'!$F82="Sindh",'All Cases - Enter Cases'!A82,"")</f>
        <v/>
      </c>
      <c r="B82" t="str">
        <f>IF($A82&lt;&gt;"",'All Cases - Enter Cases'!B82,"")</f>
        <v/>
      </c>
      <c r="C82" t="str">
        <f>IF($A82&lt;&gt;"",'All Cases - Enter Cases'!C82,"")</f>
        <v/>
      </c>
      <c r="D82" t="str">
        <f>IF($A82&lt;&gt;"",'All Cases - Enter Cases'!D82,"")</f>
        <v/>
      </c>
      <c r="E82" t="str">
        <f>IF($A82&lt;&gt;"",'All Cases - Enter Cases'!E82,"")</f>
        <v/>
      </c>
      <c r="F82" t="str">
        <f>IF($A82&lt;&gt;"",'All Cases - Enter Cases'!F82,"")</f>
        <v/>
      </c>
      <c r="G82" t="str">
        <f>IF($A82&lt;&gt;"",'All Cases - Enter Cases'!G82,"")</f>
        <v/>
      </c>
      <c r="H82" t="str">
        <f>IF($A82&lt;&gt;"",'All Cases - Enter Cases'!H82,"")</f>
        <v/>
      </c>
      <c r="I82" t="str">
        <f>IF($A82&lt;&gt;"",'All Cases - Enter Cases'!I82,"")</f>
        <v/>
      </c>
      <c r="J82" t="str">
        <f>IF($A82&lt;&gt;"",'All Cases - Enter Cases'!J82,"")</f>
        <v/>
      </c>
      <c r="K82" s="4" t="str">
        <f>IF($A82&lt;&gt;"",'All Cases - Enter Cases'!K82,"")</f>
        <v/>
      </c>
      <c r="L82" t="str">
        <f>IF($A82&lt;&gt;"",'All Cases - Enter Cases'!L82,"")</f>
        <v/>
      </c>
      <c r="M82" t="str">
        <f>IF($A82&lt;&gt;"",'All Cases - Enter Cases'!M82,"")</f>
        <v/>
      </c>
    </row>
    <row r="83" spans="1:13" x14ac:dyDescent="0.35">
      <c r="A83" s="10" t="str">
        <f>IF('All Cases - Enter Cases'!$F83="Sindh",'All Cases - Enter Cases'!A83,"")</f>
        <v/>
      </c>
      <c r="B83" t="str">
        <f>IF($A83&lt;&gt;"",'All Cases - Enter Cases'!B83,"")</f>
        <v/>
      </c>
      <c r="C83" t="str">
        <f>IF($A83&lt;&gt;"",'All Cases - Enter Cases'!C83,"")</f>
        <v/>
      </c>
      <c r="D83" t="str">
        <f>IF($A83&lt;&gt;"",'All Cases - Enter Cases'!D83,"")</f>
        <v/>
      </c>
      <c r="E83" t="str">
        <f>IF($A83&lt;&gt;"",'All Cases - Enter Cases'!E83,"")</f>
        <v/>
      </c>
      <c r="F83" t="str">
        <f>IF($A83&lt;&gt;"",'All Cases - Enter Cases'!F83,"")</f>
        <v/>
      </c>
      <c r="G83" t="str">
        <f>IF($A83&lt;&gt;"",'All Cases - Enter Cases'!G83,"")</f>
        <v/>
      </c>
      <c r="H83" t="str">
        <f>IF($A83&lt;&gt;"",'All Cases - Enter Cases'!H83,"")</f>
        <v/>
      </c>
      <c r="I83" t="str">
        <f>IF($A83&lt;&gt;"",'All Cases - Enter Cases'!I83,"")</f>
        <v/>
      </c>
      <c r="J83" t="str">
        <f>IF($A83&lt;&gt;"",'All Cases - Enter Cases'!J83,"")</f>
        <v/>
      </c>
      <c r="K83" s="4" t="str">
        <f>IF($A83&lt;&gt;"",'All Cases - Enter Cases'!K83,"")</f>
        <v/>
      </c>
      <c r="L83" t="str">
        <f>IF($A83&lt;&gt;"",'All Cases - Enter Cases'!L83,"")</f>
        <v/>
      </c>
      <c r="M83" t="str">
        <f>IF($A83&lt;&gt;"",'All Cases - Enter Cases'!M83,"")</f>
        <v/>
      </c>
    </row>
    <row r="84" spans="1:13" x14ac:dyDescent="0.35">
      <c r="A84" s="10" t="str">
        <f>IF('All Cases - Enter Cases'!$F84="Sindh",'All Cases - Enter Cases'!A84,"")</f>
        <v/>
      </c>
      <c r="B84" t="str">
        <f>IF($A84&lt;&gt;"",'All Cases - Enter Cases'!B84,"")</f>
        <v/>
      </c>
      <c r="C84" t="str">
        <f>IF($A84&lt;&gt;"",'All Cases - Enter Cases'!C84,"")</f>
        <v/>
      </c>
      <c r="D84" t="str">
        <f>IF($A84&lt;&gt;"",'All Cases - Enter Cases'!D84,"")</f>
        <v/>
      </c>
      <c r="E84" t="str">
        <f>IF($A84&lt;&gt;"",'All Cases - Enter Cases'!E84,"")</f>
        <v/>
      </c>
      <c r="F84" t="str">
        <f>IF($A84&lt;&gt;"",'All Cases - Enter Cases'!F84,"")</f>
        <v/>
      </c>
      <c r="G84" t="str">
        <f>IF($A84&lt;&gt;"",'All Cases - Enter Cases'!G84,"")</f>
        <v/>
      </c>
      <c r="H84" t="str">
        <f>IF($A84&lt;&gt;"",'All Cases - Enter Cases'!H84,"")</f>
        <v/>
      </c>
      <c r="I84" t="str">
        <f>IF($A84&lt;&gt;"",'All Cases - Enter Cases'!I84,"")</f>
        <v/>
      </c>
      <c r="J84" t="str">
        <f>IF($A84&lt;&gt;"",'All Cases - Enter Cases'!J84,"")</f>
        <v/>
      </c>
      <c r="K84" s="4" t="str">
        <f>IF($A84&lt;&gt;"",'All Cases - Enter Cases'!K84,"")</f>
        <v/>
      </c>
      <c r="L84" t="str">
        <f>IF($A84&lt;&gt;"",'All Cases - Enter Cases'!L84,"")</f>
        <v/>
      </c>
      <c r="M84" t="str">
        <f>IF($A84&lt;&gt;"",'All Cases - Enter Cases'!M84,"")</f>
        <v/>
      </c>
    </row>
    <row r="85" spans="1:13" x14ac:dyDescent="0.35">
      <c r="A85" s="10" t="str">
        <f>IF('All Cases - Enter Cases'!$F85="Sindh",'All Cases - Enter Cases'!A85,"")</f>
        <v/>
      </c>
      <c r="B85" t="str">
        <f>IF($A85&lt;&gt;"",'All Cases - Enter Cases'!B85,"")</f>
        <v/>
      </c>
      <c r="C85" t="str">
        <f>IF($A85&lt;&gt;"",'All Cases - Enter Cases'!C85,"")</f>
        <v/>
      </c>
      <c r="D85" t="str">
        <f>IF($A85&lt;&gt;"",'All Cases - Enter Cases'!D85,"")</f>
        <v/>
      </c>
      <c r="E85" t="str">
        <f>IF($A85&lt;&gt;"",'All Cases - Enter Cases'!E85,"")</f>
        <v/>
      </c>
      <c r="F85" t="str">
        <f>IF($A85&lt;&gt;"",'All Cases - Enter Cases'!F85,"")</f>
        <v/>
      </c>
      <c r="G85" t="str">
        <f>IF($A85&lt;&gt;"",'All Cases - Enter Cases'!G85,"")</f>
        <v/>
      </c>
      <c r="H85" t="str">
        <f>IF($A85&lt;&gt;"",'All Cases - Enter Cases'!H85,"")</f>
        <v/>
      </c>
      <c r="I85" t="str">
        <f>IF($A85&lt;&gt;"",'All Cases - Enter Cases'!I85,"")</f>
        <v/>
      </c>
      <c r="J85" t="str">
        <f>IF($A85&lt;&gt;"",'All Cases - Enter Cases'!J85,"")</f>
        <v/>
      </c>
      <c r="K85" s="4" t="str">
        <f>IF($A85&lt;&gt;"",'All Cases - Enter Cases'!K85,"")</f>
        <v/>
      </c>
      <c r="L85" t="str">
        <f>IF($A85&lt;&gt;"",'All Cases - Enter Cases'!L85,"")</f>
        <v/>
      </c>
      <c r="M85" t="str">
        <f>IF($A85&lt;&gt;"",'All Cases - Enter Cases'!M85,"")</f>
        <v/>
      </c>
    </row>
    <row r="86" spans="1:13" x14ac:dyDescent="0.35">
      <c r="A86" s="10" t="str">
        <f>IF('All Cases - Enter Cases'!$F86="Sindh",'All Cases - Enter Cases'!A86,"")</f>
        <v/>
      </c>
      <c r="B86" t="str">
        <f>IF($A86&lt;&gt;"",'All Cases - Enter Cases'!B86,"")</f>
        <v/>
      </c>
      <c r="C86" t="str">
        <f>IF($A86&lt;&gt;"",'All Cases - Enter Cases'!C86,"")</f>
        <v/>
      </c>
      <c r="D86" t="str">
        <f>IF($A86&lt;&gt;"",'All Cases - Enter Cases'!D86,"")</f>
        <v/>
      </c>
      <c r="E86" t="str">
        <f>IF($A86&lt;&gt;"",'All Cases - Enter Cases'!E86,"")</f>
        <v/>
      </c>
      <c r="F86" t="str">
        <f>IF($A86&lt;&gt;"",'All Cases - Enter Cases'!F86,"")</f>
        <v/>
      </c>
      <c r="G86" t="str">
        <f>IF($A86&lt;&gt;"",'All Cases - Enter Cases'!G86,"")</f>
        <v/>
      </c>
      <c r="H86" t="str">
        <f>IF($A86&lt;&gt;"",'All Cases - Enter Cases'!H86,"")</f>
        <v/>
      </c>
      <c r="I86" t="str">
        <f>IF($A86&lt;&gt;"",'All Cases - Enter Cases'!I86,"")</f>
        <v/>
      </c>
      <c r="J86" t="str">
        <f>IF($A86&lt;&gt;"",'All Cases - Enter Cases'!J86,"")</f>
        <v/>
      </c>
      <c r="K86" s="4" t="str">
        <f>IF($A86&lt;&gt;"",'All Cases - Enter Cases'!K86,"")</f>
        <v/>
      </c>
      <c r="L86" t="str">
        <f>IF($A86&lt;&gt;"",'All Cases - Enter Cases'!L86,"")</f>
        <v/>
      </c>
      <c r="M86" t="str">
        <f>IF($A86&lt;&gt;"",'All Cases - Enter Cases'!M86,"")</f>
        <v/>
      </c>
    </row>
    <row r="87" spans="1:13" x14ac:dyDescent="0.35">
      <c r="A87" s="10" t="str">
        <f>IF('All Cases - Enter Cases'!$F87="Sindh",'All Cases - Enter Cases'!A87,"")</f>
        <v/>
      </c>
      <c r="B87" t="str">
        <f>IF($A87&lt;&gt;"",'All Cases - Enter Cases'!B87,"")</f>
        <v/>
      </c>
      <c r="C87" t="str">
        <f>IF($A87&lt;&gt;"",'All Cases - Enter Cases'!C87,"")</f>
        <v/>
      </c>
      <c r="D87" t="str">
        <f>IF($A87&lt;&gt;"",'All Cases - Enter Cases'!D87,"")</f>
        <v/>
      </c>
      <c r="E87" t="str">
        <f>IF($A87&lt;&gt;"",'All Cases - Enter Cases'!E87,"")</f>
        <v/>
      </c>
      <c r="F87" t="str">
        <f>IF($A87&lt;&gt;"",'All Cases - Enter Cases'!F87,"")</f>
        <v/>
      </c>
      <c r="G87" t="str">
        <f>IF($A87&lt;&gt;"",'All Cases - Enter Cases'!G87,"")</f>
        <v/>
      </c>
      <c r="H87" t="str">
        <f>IF($A87&lt;&gt;"",'All Cases - Enter Cases'!H87,"")</f>
        <v/>
      </c>
      <c r="I87" t="str">
        <f>IF($A87&lt;&gt;"",'All Cases - Enter Cases'!I87,"")</f>
        <v/>
      </c>
      <c r="J87" t="str">
        <f>IF($A87&lt;&gt;"",'All Cases - Enter Cases'!J87,"")</f>
        <v/>
      </c>
      <c r="K87" s="4" t="str">
        <f>IF($A87&lt;&gt;"",'All Cases - Enter Cases'!K87,"")</f>
        <v/>
      </c>
      <c r="L87" t="str">
        <f>IF($A87&lt;&gt;"",'All Cases - Enter Cases'!L87,"")</f>
        <v/>
      </c>
      <c r="M87" t="str">
        <f>IF($A87&lt;&gt;"",'All Cases - Enter Cases'!M87,"")</f>
        <v/>
      </c>
    </row>
    <row r="88" spans="1:13" x14ac:dyDescent="0.35">
      <c r="A88" s="10" t="str">
        <f>IF('All Cases - Enter Cases'!$F88="Sindh",'All Cases - Enter Cases'!A88,"")</f>
        <v/>
      </c>
      <c r="B88" t="str">
        <f>IF($A88&lt;&gt;"",'All Cases - Enter Cases'!B88,"")</f>
        <v/>
      </c>
      <c r="C88" t="str">
        <f>IF($A88&lt;&gt;"",'All Cases - Enter Cases'!C88,"")</f>
        <v/>
      </c>
      <c r="D88" t="str">
        <f>IF($A88&lt;&gt;"",'All Cases - Enter Cases'!D88,"")</f>
        <v/>
      </c>
      <c r="E88" t="str">
        <f>IF($A88&lt;&gt;"",'All Cases - Enter Cases'!E88,"")</f>
        <v/>
      </c>
      <c r="F88" t="str">
        <f>IF($A88&lt;&gt;"",'All Cases - Enter Cases'!F88,"")</f>
        <v/>
      </c>
      <c r="G88" t="str">
        <f>IF($A88&lt;&gt;"",'All Cases - Enter Cases'!G88,"")</f>
        <v/>
      </c>
      <c r="H88" t="str">
        <f>IF($A88&lt;&gt;"",'All Cases - Enter Cases'!H88,"")</f>
        <v/>
      </c>
      <c r="I88" t="str">
        <f>IF($A88&lt;&gt;"",'All Cases - Enter Cases'!I88,"")</f>
        <v/>
      </c>
      <c r="J88" t="str">
        <f>IF($A88&lt;&gt;"",'All Cases - Enter Cases'!J88,"")</f>
        <v/>
      </c>
      <c r="K88" s="4" t="str">
        <f>IF($A88&lt;&gt;"",'All Cases - Enter Cases'!K88,"")</f>
        <v/>
      </c>
      <c r="L88" t="str">
        <f>IF($A88&lt;&gt;"",'All Cases - Enter Cases'!L88,"")</f>
        <v/>
      </c>
      <c r="M88" t="str">
        <f>IF($A88&lt;&gt;"",'All Cases - Enter Cases'!M88,"")</f>
        <v/>
      </c>
    </row>
    <row r="89" spans="1:13" x14ac:dyDescent="0.35">
      <c r="A89" s="10" t="str">
        <f>IF('All Cases - Enter Cases'!$F89="Sindh",'All Cases - Enter Cases'!A89,"")</f>
        <v/>
      </c>
      <c r="B89" t="str">
        <f>IF($A89&lt;&gt;"",'All Cases - Enter Cases'!B89,"")</f>
        <v/>
      </c>
      <c r="C89" t="str">
        <f>IF($A89&lt;&gt;"",'All Cases - Enter Cases'!C89,"")</f>
        <v/>
      </c>
      <c r="D89" t="str">
        <f>IF($A89&lt;&gt;"",'All Cases - Enter Cases'!D89,"")</f>
        <v/>
      </c>
      <c r="E89" t="str">
        <f>IF($A89&lt;&gt;"",'All Cases - Enter Cases'!E89,"")</f>
        <v/>
      </c>
      <c r="F89" t="str">
        <f>IF($A89&lt;&gt;"",'All Cases - Enter Cases'!F89,"")</f>
        <v/>
      </c>
      <c r="G89" t="str">
        <f>IF($A89&lt;&gt;"",'All Cases - Enter Cases'!G89,"")</f>
        <v/>
      </c>
      <c r="H89" t="str">
        <f>IF($A89&lt;&gt;"",'All Cases - Enter Cases'!H89,"")</f>
        <v/>
      </c>
      <c r="I89" t="str">
        <f>IF($A89&lt;&gt;"",'All Cases - Enter Cases'!I89,"")</f>
        <v/>
      </c>
      <c r="J89" t="str">
        <f>IF($A89&lt;&gt;"",'All Cases - Enter Cases'!J89,"")</f>
        <v/>
      </c>
      <c r="K89" s="4" t="str">
        <f>IF($A89&lt;&gt;"",'All Cases - Enter Cases'!K89,"")</f>
        <v/>
      </c>
      <c r="L89" t="str">
        <f>IF($A89&lt;&gt;"",'All Cases - Enter Cases'!L89,"")</f>
        <v/>
      </c>
      <c r="M89" t="str">
        <f>IF($A89&lt;&gt;"",'All Cases - Enter Cases'!M89,"")</f>
        <v/>
      </c>
    </row>
    <row r="90" spans="1:13" x14ac:dyDescent="0.35">
      <c r="A90" s="10" t="str">
        <f>IF('All Cases - Enter Cases'!$F90="Sindh",'All Cases - Enter Cases'!A90,"")</f>
        <v/>
      </c>
      <c r="B90" t="str">
        <f>IF($A90&lt;&gt;"",'All Cases - Enter Cases'!B90,"")</f>
        <v/>
      </c>
      <c r="C90" t="str">
        <f>IF($A90&lt;&gt;"",'All Cases - Enter Cases'!C90,"")</f>
        <v/>
      </c>
      <c r="D90" t="str">
        <f>IF($A90&lt;&gt;"",'All Cases - Enter Cases'!D90,"")</f>
        <v/>
      </c>
      <c r="E90" t="str">
        <f>IF($A90&lt;&gt;"",'All Cases - Enter Cases'!E90,"")</f>
        <v/>
      </c>
      <c r="F90" t="str">
        <f>IF($A90&lt;&gt;"",'All Cases - Enter Cases'!F90,"")</f>
        <v/>
      </c>
      <c r="G90" t="str">
        <f>IF($A90&lt;&gt;"",'All Cases - Enter Cases'!G90,"")</f>
        <v/>
      </c>
      <c r="H90" t="str">
        <f>IF($A90&lt;&gt;"",'All Cases - Enter Cases'!H90,"")</f>
        <v/>
      </c>
      <c r="I90" t="str">
        <f>IF($A90&lt;&gt;"",'All Cases - Enter Cases'!I90,"")</f>
        <v/>
      </c>
      <c r="J90" t="str">
        <f>IF($A90&lt;&gt;"",'All Cases - Enter Cases'!J90,"")</f>
        <v/>
      </c>
      <c r="K90" s="4" t="str">
        <f>IF($A90&lt;&gt;"",'All Cases - Enter Cases'!K90,"")</f>
        <v/>
      </c>
      <c r="L90" t="str">
        <f>IF($A90&lt;&gt;"",'All Cases - Enter Cases'!L90,"")</f>
        <v/>
      </c>
      <c r="M90" t="str">
        <f>IF($A90&lt;&gt;"",'All Cases - Enter Cases'!M90,"")</f>
        <v/>
      </c>
    </row>
    <row r="91" spans="1:13" x14ac:dyDescent="0.35">
      <c r="A91" s="10" t="str">
        <f>IF('All Cases - Enter Cases'!$F91="Sindh",'All Cases - Enter Cases'!A91,"")</f>
        <v/>
      </c>
      <c r="B91" t="str">
        <f>IF($A91&lt;&gt;"",'All Cases - Enter Cases'!B91,"")</f>
        <v/>
      </c>
      <c r="C91" t="str">
        <f>IF($A91&lt;&gt;"",'All Cases - Enter Cases'!C91,"")</f>
        <v/>
      </c>
      <c r="D91" t="str">
        <f>IF($A91&lt;&gt;"",'All Cases - Enter Cases'!D91,"")</f>
        <v/>
      </c>
      <c r="E91" t="str">
        <f>IF($A91&lt;&gt;"",'All Cases - Enter Cases'!E91,"")</f>
        <v/>
      </c>
      <c r="F91" t="str">
        <f>IF($A91&lt;&gt;"",'All Cases - Enter Cases'!F91,"")</f>
        <v/>
      </c>
      <c r="G91" t="str">
        <f>IF($A91&lt;&gt;"",'All Cases - Enter Cases'!G91,"")</f>
        <v/>
      </c>
      <c r="H91" t="str">
        <f>IF($A91&lt;&gt;"",'All Cases - Enter Cases'!H91,"")</f>
        <v/>
      </c>
      <c r="I91" t="str">
        <f>IF($A91&lt;&gt;"",'All Cases - Enter Cases'!I91,"")</f>
        <v/>
      </c>
      <c r="J91" t="str">
        <f>IF($A91&lt;&gt;"",'All Cases - Enter Cases'!J91,"")</f>
        <v/>
      </c>
      <c r="K91" s="4" t="str">
        <f>IF($A91&lt;&gt;"",'All Cases - Enter Cases'!K91,"")</f>
        <v/>
      </c>
      <c r="L91" t="str">
        <f>IF($A91&lt;&gt;"",'All Cases - Enter Cases'!L91,"")</f>
        <v/>
      </c>
      <c r="M91" t="str">
        <f>IF($A91&lt;&gt;"",'All Cases - Enter Cases'!M91,"")</f>
        <v/>
      </c>
    </row>
    <row r="92" spans="1:13" x14ac:dyDescent="0.35">
      <c r="A92" s="10" t="str">
        <f>IF('All Cases - Enter Cases'!$F92="Sindh",'All Cases - Enter Cases'!A92,"")</f>
        <v/>
      </c>
      <c r="B92" t="str">
        <f>IF($A92&lt;&gt;"",'All Cases - Enter Cases'!B92,"")</f>
        <v/>
      </c>
      <c r="C92" t="str">
        <f>IF($A92&lt;&gt;"",'All Cases - Enter Cases'!C92,"")</f>
        <v/>
      </c>
      <c r="D92" t="str">
        <f>IF($A92&lt;&gt;"",'All Cases - Enter Cases'!D92,"")</f>
        <v/>
      </c>
      <c r="E92" t="str">
        <f>IF($A92&lt;&gt;"",'All Cases - Enter Cases'!E92,"")</f>
        <v/>
      </c>
      <c r="F92" t="str">
        <f>IF($A92&lt;&gt;"",'All Cases - Enter Cases'!F92,"")</f>
        <v/>
      </c>
      <c r="G92" t="str">
        <f>IF($A92&lt;&gt;"",'All Cases - Enter Cases'!G92,"")</f>
        <v/>
      </c>
      <c r="H92" t="str">
        <f>IF($A92&lt;&gt;"",'All Cases - Enter Cases'!H92,"")</f>
        <v/>
      </c>
      <c r="I92" t="str">
        <f>IF($A92&lt;&gt;"",'All Cases - Enter Cases'!I92,"")</f>
        <v/>
      </c>
      <c r="J92" t="str">
        <f>IF($A92&lt;&gt;"",'All Cases - Enter Cases'!J92,"")</f>
        <v/>
      </c>
      <c r="K92" s="4" t="str">
        <f>IF($A92&lt;&gt;"",'All Cases - Enter Cases'!K92,"")</f>
        <v/>
      </c>
      <c r="L92" t="str">
        <f>IF($A92&lt;&gt;"",'All Cases - Enter Cases'!L92,"")</f>
        <v/>
      </c>
      <c r="M92" t="str">
        <f>IF($A92&lt;&gt;"",'All Cases - Enter Cases'!M92,"")</f>
        <v/>
      </c>
    </row>
    <row r="93" spans="1:13" x14ac:dyDescent="0.35">
      <c r="A93" s="10" t="str">
        <f>IF('All Cases - Enter Cases'!$F93="Sindh",'All Cases - Enter Cases'!A93,"")</f>
        <v/>
      </c>
      <c r="B93" t="str">
        <f>IF($A93&lt;&gt;"",'All Cases - Enter Cases'!B93,"")</f>
        <v/>
      </c>
      <c r="C93" t="str">
        <f>IF($A93&lt;&gt;"",'All Cases - Enter Cases'!C93,"")</f>
        <v/>
      </c>
      <c r="D93" t="str">
        <f>IF($A93&lt;&gt;"",'All Cases - Enter Cases'!D93,"")</f>
        <v/>
      </c>
      <c r="E93" t="str">
        <f>IF($A93&lt;&gt;"",'All Cases - Enter Cases'!E93,"")</f>
        <v/>
      </c>
      <c r="F93" t="str">
        <f>IF($A93&lt;&gt;"",'All Cases - Enter Cases'!F93,"")</f>
        <v/>
      </c>
      <c r="G93" t="str">
        <f>IF($A93&lt;&gt;"",'All Cases - Enter Cases'!G93,"")</f>
        <v/>
      </c>
      <c r="H93" t="str">
        <f>IF($A93&lt;&gt;"",'All Cases - Enter Cases'!H93,"")</f>
        <v/>
      </c>
      <c r="I93" t="str">
        <f>IF($A93&lt;&gt;"",'All Cases - Enter Cases'!I93,"")</f>
        <v/>
      </c>
      <c r="J93" t="str">
        <f>IF($A93&lt;&gt;"",'All Cases - Enter Cases'!J93,"")</f>
        <v/>
      </c>
      <c r="K93" s="4" t="str">
        <f>IF($A93&lt;&gt;"",'All Cases - Enter Cases'!K93,"")</f>
        <v/>
      </c>
      <c r="L93" t="str">
        <f>IF($A93&lt;&gt;"",'All Cases - Enter Cases'!L93,"")</f>
        <v/>
      </c>
      <c r="M93" t="str">
        <f>IF($A93&lt;&gt;"",'All Cases - Enter Cases'!M93,"")</f>
        <v/>
      </c>
    </row>
    <row r="94" spans="1:13" x14ac:dyDescent="0.35">
      <c r="A94" s="10" t="str">
        <f>IF('All Cases - Enter Cases'!$F94="Sindh",'All Cases - Enter Cases'!A94,"")</f>
        <v/>
      </c>
      <c r="B94" t="str">
        <f>IF($A94&lt;&gt;"",'All Cases - Enter Cases'!B94,"")</f>
        <v/>
      </c>
      <c r="C94" t="str">
        <f>IF($A94&lt;&gt;"",'All Cases - Enter Cases'!C94,"")</f>
        <v/>
      </c>
      <c r="D94" t="str">
        <f>IF($A94&lt;&gt;"",'All Cases - Enter Cases'!D94,"")</f>
        <v/>
      </c>
      <c r="E94" t="str">
        <f>IF($A94&lt;&gt;"",'All Cases - Enter Cases'!E94,"")</f>
        <v/>
      </c>
      <c r="F94" t="str">
        <f>IF($A94&lt;&gt;"",'All Cases - Enter Cases'!F94,"")</f>
        <v/>
      </c>
      <c r="G94" t="str">
        <f>IF($A94&lt;&gt;"",'All Cases - Enter Cases'!G94,"")</f>
        <v/>
      </c>
      <c r="H94" t="str">
        <f>IF($A94&lt;&gt;"",'All Cases - Enter Cases'!H94,"")</f>
        <v/>
      </c>
      <c r="I94" t="str">
        <f>IF($A94&lt;&gt;"",'All Cases - Enter Cases'!I94,"")</f>
        <v/>
      </c>
      <c r="J94" t="str">
        <f>IF($A94&lt;&gt;"",'All Cases - Enter Cases'!J94,"")</f>
        <v/>
      </c>
      <c r="K94" s="4" t="str">
        <f>IF($A94&lt;&gt;"",'All Cases - Enter Cases'!K94,"")</f>
        <v/>
      </c>
      <c r="L94" t="str">
        <f>IF($A94&lt;&gt;"",'All Cases - Enter Cases'!L94,"")</f>
        <v/>
      </c>
      <c r="M94" t="str">
        <f>IF($A94&lt;&gt;"",'All Cases - Enter Cases'!M94,"")</f>
        <v/>
      </c>
    </row>
    <row r="95" spans="1:13" x14ac:dyDescent="0.35">
      <c r="A95" s="10" t="str">
        <f>IF('All Cases - Enter Cases'!$F95="Sindh",'All Cases - Enter Cases'!A95,"")</f>
        <v/>
      </c>
      <c r="B95" t="str">
        <f>IF($A95&lt;&gt;"",'All Cases - Enter Cases'!B95,"")</f>
        <v/>
      </c>
      <c r="C95" t="str">
        <f>IF($A95&lt;&gt;"",'All Cases - Enter Cases'!C95,"")</f>
        <v/>
      </c>
      <c r="D95" t="str">
        <f>IF($A95&lt;&gt;"",'All Cases - Enter Cases'!D95,"")</f>
        <v/>
      </c>
      <c r="E95" t="str">
        <f>IF($A95&lt;&gt;"",'All Cases - Enter Cases'!E95,"")</f>
        <v/>
      </c>
      <c r="F95" t="str">
        <f>IF($A95&lt;&gt;"",'All Cases - Enter Cases'!F95,"")</f>
        <v/>
      </c>
      <c r="G95" t="str">
        <f>IF($A95&lt;&gt;"",'All Cases - Enter Cases'!G95,"")</f>
        <v/>
      </c>
      <c r="H95" t="str">
        <f>IF($A95&lt;&gt;"",'All Cases - Enter Cases'!H95,"")</f>
        <v/>
      </c>
      <c r="I95" t="str">
        <f>IF($A95&lt;&gt;"",'All Cases - Enter Cases'!I95,"")</f>
        <v/>
      </c>
      <c r="J95" t="str">
        <f>IF($A95&lt;&gt;"",'All Cases - Enter Cases'!J95,"")</f>
        <v/>
      </c>
      <c r="K95" s="4" t="str">
        <f>IF($A95&lt;&gt;"",'All Cases - Enter Cases'!K95,"")</f>
        <v/>
      </c>
      <c r="L95" t="str">
        <f>IF($A95&lt;&gt;"",'All Cases - Enter Cases'!L95,"")</f>
        <v/>
      </c>
      <c r="M95" t="str">
        <f>IF($A95&lt;&gt;"",'All Cases - Enter Cases'!M95,"")</f>
        <v/>
      </c>
    </row>
    <row r="96" spans="1:13" x14ac:dyDescent="0.35">
      <c r="A96" s="10" t="str">
        <f>IF('All Cases - Enter Cases'!$F96="Sindh",'All Cases - Enter Cases'!A96,"")</f>
        <v/>
      </c>
      <c r="B96" t="str">
        <f>IF($A96&lt;&gt;"",'All Cases - Enter Cases'!B96,"")</f>
        <v/>
      </c>
      <c r="C96" t="str">
        <f>IF($A96&lt;&gt;"",'All Cases - Enter Cases'!C96,"")</f>
        <v/>
      </c>
      <c r="D96" t="str">
        <f>IF($A96&lt;&gt;"",'All Cases - Enter Cases'!D96,"")</f>
        <v/>
      </c>
      <c r="E96" t="str">
        <f>IF($A96&lt;&gt;"",'All Cases - Enter Cases'!E96,"")</f>
        <v/>
      </c>
      <c r="F96" t="str">
        <f>IF($A96&lt;&gt;"",'All Cases - Enter Cases'!F96,"")</f>
        <v/>
      </c>
      <c r="G96" t="str">
        <f>IF($A96&lt;&gt;"",'All Cases - Enter Cases'!G96,"")</f>
        <v/>
      </c>
      <c r="H96" t="str">
        <f>IF($A96&lt;&gt;"",'All Cases - Enter Cases'!H96,"")</f>
        <v/>
      </c>
      <c r="I96" t="str">
        <f>IF($A96&lt;&gt;"",'All Cases - Enter Cases'!I96,"")</f>
        <v/>
      </c>
      <c r="J96" t="str">
        <f>IF($A96&lt;&gt;"",'All Cases - Enter Cases'!J96,"")</f>
        <v/>
      </c>
      <c r="K96" s="4" t="str">
        <f>IF($A96&lt;&gt;"",'All Cases - Enter Cases'!K96,"")</f>
        <v/>
      </c>
      <c r="L96" t="str">
        <f>IF($A96&lt;&gt;"",'All Cases - Enter Cases'!L96,"")</f>
        <v/>
      </c>
      <c r="M96" t="str">
        <f>IF($A96&lt;&gt;"",'All Cases - Enter Cases'!M96,"")</f>
        <v/>
      </c>
    </row>
    <row r="97" spans="1:13" x14ac:dyDescent="0.35">
      <c r="A97" s="10" t="str">
        <f>IF('All Cases - Enter Cases'!$F97="Sindh",'All Cases - Enter Cases'!A97,"")</f>
        <v/>
      </c>
      <c r="B97" t="str">
        <f>IF($A97&lt;&gt;"",'All Cases - Enter Cases'!B97,"")</f>
        <v/>
      </c>
      <c r="C97" t="str">
        <f>IF($A97&lt;&gt;"",'All Cases - Enter Cases'!C97,"")</f>
        <v/>
      </c>
      <c r="D97" t="str">
        <f>IF($A97&lt;&gt;"",'All Cases - Enter Cases'!D97,"")</f>
        <v/>
      </c>
      <c r="E97" t="str">
        <f>IF($A97&lt;&gt;"",'All Cases - Enter Cases'!E97,"")</f>
        <v/>
      </c>
      <c r="F97" t="str">
        <f>IF($A97&lt;&gt;"",'All Cases - Enter Cases'!F97,"")</f>
        <v/>
      </c>
      <c r="G97" t="str">
        <f>IF($A97&lt;&gt;"",'All Cases - Enter Cases'!G97,"")</f>
        <v/>
      </c>
      <c r="H97" t="str">
        <f>IF($A97&lt;&gt;"",'All Cases - Enter Cases'!H97,"")</f>
        <v/>
      </c>
      <c r="I97" t="str">
        <f>IF($A97&lt;&gt;"",'All Cases - Enter Cases'!I97,"")</f>
        <v/>
      </c>
      <c r="J97" t="str">
        <f>IF($A97&lt;&gt;"",'All Cases - Enter Cases'!J97,"")</f>
        <v/>
      </c>
      <c r="K97" s="4" t="str">
        <f>IF($A97&lt;&gt;"",'All Cases - Enter Cases'!K97,"")</f>
        <v/>
      </c>
      <c r="L97" t="str">
        <f>IF($A97&lt;&gt;"",'All Cases - Enter Cases'!L97,"")</f>
        <v/>
      </c>
      <c r="M97" t="str">
        <f>IF($A97&lt;&gt;"",'All Cases - Enter Cases'!M97,"")</f>
        <v/>
      </c>
    </row>
    <row r="98" spans="1:13" x14ac:dyDescent="0.35">
      <c r="A98" s="10" t="str">
        <f>IF('All Cases - Enter Cases'!$F98="Sindh",'All Cases - Enter Cases'!A98,"")</f>
        <v/>
      </c>
      <c r="B98" t="str">
        <f>IF($A98&lt;&gt;"",'All Cases - Enter Cases'!B98,"")</f>
        <v/>
      </c>
      <c r="C98" t="str">
        <f>IF($A98&lt;&gt;"",'All Cases - Enter Cases'!C98,"")</f>
        <v/>
      </c>
      <c r="D98" t="str">
        <f>IF($A98&lt;&gt;"",'All Cases - Enter Cases'!D98,"")</f>
        <v/>
      </c>
      <c r="E98" t="str">
        <f>IF($A98&lt;&gt;"",'All Cases - Enter Cases'!E98,"")</f>
        <v/>
      </c>
      <c r="F98" t="str">
        <f>IF($A98&lt;&gt;"",'All Cases - Enter Cases'!F98,"")</f>
        <v/>
      </c>
      <c r="G98" t="str">
        <f>IF($A98&lt;&gt;"",'All Cases - Enter Cases'!G98,"")</f>
        <v/>
      </c>
      <c r="H98" t="str">
        <f>IF($A98&lt;&gt;"",'All Cases - Enter Cases'!H98,"")</f>
        <v/>
      </c>
      <c r="I98" t="str">
        <f>IF($A98&lt;&gt;"",'All Cases - Enter Cases'!I98,"")</f>
        <v/>
      </c>
      <c r="J98" t="str">
        <f>IF($A98&lt;&gt;"",'All Cases - Enter Cases'!J98,"")</f>
        <v/>
      </c>
      <c r="K98" s="4" t="str">
        <f>IF($A98&lt;&gt;"",'All Cases - Enter Cases'!K98,"")</f>
        <v/>
      </c>
      <c r="L98" t="str">
        <f>IF($A98&lt;&gt;"",'All Cases - Enter Cases'!L98,"")</f>
        <v/>
      </c>
      <c r="M98" t="str">
        <f>IF($A98&lt;&gt;"",'All Cases - Enter Cases'!M98,"")</f>
        <v/>
      </c>
    </row>
    <row r="99" spans="1:13" x14ac:dyDescent="0.35">
      <c r="A99" s="10" t="str">
        <f>IF('All Cases - Enter Cases'!$F99="Sindh",'All Cases - Enter Cases'!A99,"")</f>
        <v/>
      </c>
      <c r="B99" t="str">
        <f>IF($A99&lt;&gt;"",'All Cases - Enter Cases'!B99,"")</f>
        <v/>
      </c>
      <c r="C99" t="str">
        <f>IF($A99&lt;&gt;"",'All Cases - Enter Cases'!C99,"")</f>
        <v/>
      </c>
      <c r="D99" t="str">
        <f>IF($A99&lt;&gt;"",'All Cases - Enter Cases'!D99,"")</f>
        <v/>
      </c>
      <c r="E99" t="str">
        <f>IF($A99&lt;&gt;"",'All Cases - Enter Cases'!E99,"")</f>
        <v/>
      </c>
      <c r="F99" t="str">
        <f>IF($A99&lt;&gt;"",'All Cases - Enter Cases'!F99,"")</f>
        <v/>
      </c>
      <c r="G99" t="str">
        <f>IF($A99&lt;&gt;"",'All Cases - Enter Cases'!G99,"")</f>
        <v/>
      </c>
      <c r="H99" t="str">
        <f>IF($A99&lt;&gt;"",'All Cases - Enter Cases'!H99,"")</f>
        <v/>
      </c>
      <c r="I99" t="str">
        <f>IF($A99&lt;&gt;"",'All Cases - Enter Cases'!I99,"")</f>
        <v/>
      </c>
      <c r="J99" t="str">
        <f>IF($A99&lt;&gt;"",'All Cases - Enter Cases'!J99,"")</f>
        <v/>
      </c>
      <c r="K99" s="4" t="str">
        <f>IF($A99&lt;&gt;"",'All Cases - Enter Cases'!K99,"")</f>
        <v/>
      </c>
      <c r="L99" t="str">
        <f>IF($A99&lt;&gt;"",'All Cases - Enter Cases'!L99,"")</f>
        <v/>
      </c>
      <c r="M99" t="str">
        <f>IF($A99&lt;&gt;"",'All Cases - Enter Cases'!M99,"")</f>
        <v/>
      </c>
    </row>
    <row r="100" spans="1:13" x14ac:dyDescent="0.35">
      <c r="A100" s="10" t="str">
        <f>IF('All Cases - Enter Cases'!$F100="Sindh",'All Cases - Enter Cases'!A100,"")</f>
        <v/>
      </c>
      <c r="B100" t="str">
        <f>IF($A100&lt;&gt;"",'All Cases - Enter Cases'!B100,"")</f>
        <v/>
      </c>
      <c r="C100" t="str">
        <f>IF($A100&lt;&gt;"",'All Cases - Enter Cases'!C100,"")</f>
        <v/>
      </c>
      <c r="D100" t="str">
        <f>IF($A100&lt;&gt;"",'All Cases - Enter Cases'!D100,"")</f>
        <v/>
      </c>
      <c r="E100" t="str">
        <f>IF($A100&lt;&gt;"",'All Cases - Enter Cases'!E100,"")</f>
        <v/>
      </c>
      <c r="F100" t="str">
        <f>IF($A100&lt;&gt;"",'All Cases - Enter Cases'!F100,"")</f>
        <v/>
      </c>
      <c r="G100" t="str">
        <f>IF($A100&lt;&gt;"",'All Cases - Enter Cases'!G100,"")</f>
        <v/>
      </c>
      <c r="H100" t="str">
        <f>IF($A100&lt;&gt;"",'All Cases - Enter Cases'!H100,"")</f>
        <v/>
      </c>
      <c r="I100" t="str">
        <f>IF($A100&lt;&gt;"",'All Cases - Enter Cases'!I100,"")</f>
        <v/>
      </c>
      <c r="J100" t="str">
        <f>IF($A100&lt;&gt;"",'All Cases - Enter Cases'!J100,"")</f>
        <v/>
      </c>
      <c r="K100" s="4" t="str">
        <f>IF($A100&lt;&gt;"",'All Cases - Enter Cases'!K100,"")</f>
        <v/>
      </c>
      <c r="L100" t="str">
        <f>IF($A100&lt;&gt;"",'All Cases - Enter Cases'!L100,"")</f>
        <v/>
      </c>
      <c r="M100" t="str">
        <f>IF($A100&lt;&gt;"",'All Cases - Enter Cases'!M100,"")</f>
        <v/>
      </c>
    </row>
    <row r="101" spans="1:13" x14ac:dyDescent="0.35">
      <c r="A101" s="10" t="str">
        <f>IF('All Cases - Enter Cases'!$F101="Sindh",'All Cases - Enter Cases'!A101,"")</f>
        <v/>
      </c>
      <c r="B101" t="str">
        <f>IF($A101&lt;&gt;"",'All Cases - Enter Cases'!B101,"")</f>
        <v/>
      </c>
      <c r="C101" t="str">
        <f>IF($A101&lt;&gt;"",'All Cases - Enter Cases'!C101,"")</f>
        <v/>
      </c>
      <c r="D101" t="str">
        <f>IF($A101&lt;&gt;"",'All Cases - Enter Cases'!D101,"")</f>
        <v/>
      </c>
      <c r="E101" t="str">
        <f>IF($A101&lt;&gt;"",'All Cases - Enter Cases'!E101,"")</f>
        <v/>
      </c>
      <c r="F101" t="str">
        <f>IF($A101&lt;&gt;"",'All Cases - Enter Cases'!F101,"")</f>
        <v/>
      </c>
      <c r="G101" t="str">
        <f>IF($A101&lt;&gt;"",'All Cases - Enter Cases'!G101,"")</f>
        <v/>
      </c>
      <c r="H101" t="str">
        <f>IF($A101&lt;&gt;"",'All Cases - Enter Cases'!H101,"")</f>
        <v/>
      </c>
      <c r="I101" t="str">
        <f>IF($A101&lt;&gt;"",'All Cases - Enter Cases'!I101,"")</f>
        <v/>
      </c>
      <c r="J101" t="str">
        <f>IF($A101&lt;&gt;"",'All Cases - Enter Cases'!J101,"")</f>
        <v/>
      </c>
      <c r="K101" s="4" t="str">
        <f>IF($A101&lt;&gt;"",'All Cases - Enter Cases'!K101,"")</f>
        <v/>
      </c>
      <c r="L101" t="str">
        <f>IF($A101&lt;&gt;"",'All Cases - Enter Cases'!L101,"")</f>
        <v/>
      </c>
      <c r="M101" t="str">
        <f>IF($A101&lt;&gt;"",'All Cases - Enter Cases'!M101,"")</f>
        <v/>
      </c>
    </row>
    <row r="102" spans="1:13" x14ac:dyDescent="0.35">
      <c r="A102" s="10" t="str">
        <f>IF('All Cases - Enter Cases'!$F102="Sindh",'All Cases - Enter Cases'!A102,"")</f>
        <v/>
      </c>
      <c r="B102" t="str">
        <f>IF($A102&lt;&gt;"",'All Cases - Enter Cases'!B102,"")</f>
        <v/>
      </c>
      <c r="C102" t="str">
        <f>IF($A102&lt;&gt;"",'All Cases - Enter Cases'!C102,"")</f>
        <v/>
      </c>
      <c r="D102" t="str">
        <f>IF($A102&lt;&gt;"",'All Cases - Enter Cases'!D102,"")</f>
        <v/>
      </c>
      <c r="E102" t="str">
        <f>IF($A102&lt;&gt;"",'All Cases - Enter Cases'!E102,"")</f>
        <v/>
      </c>
      <c r="F102" t="str">
        <f>IF($A102&lt;&gt;"",'All Cases - Enter Cases'!F102,"")</f>
        <v/>
      </c>
      <c r="G102" t="str">
        <f>IF($A102&lt;&gt;"",'All Cases - Enter Cases'!G102,"")</f>
        <v/>
      </c>
      <c r="H102" t="str">
        <f>IF($A102&lt;&gt;"",'All Cases - Enter Cases'!H102,"")</f>
        <v/>
      </c>
      <c r="I102" t="str">
        <f>IF($A102&lt;&gt;"",'All Cases - Enter Cases'!I102,"")</f>
        <v/>
      </c>
      <c r="J102" t="str">
        <f>IF($A102&lt;&gt;"",'All Cases - Enter Cases'!J102,"")</f>
        <v/>
      </c>
      <c r="K102" s="4" t="str">
        <f>IF($A102&lt;&gt;"",'All Cases - Enter Cases'!K102,"")</f>
        <v/>
      </c>
      <c r="L102" t="str">
        <f>IF($A102&lt;&gt;"",'All Cases - Enter Cases'!L102,"")</f>
        <v/>
      </c>
      <c r="M102" t="str">
        <f>IF($A102&lt;&gt;"",'All Cases - Enter Cases'!M102,"")</f>
        <v/>
      </c>
    </row>
    <row r="103" spans="1:13" x14ac:dyDescent="0.35">
      <c r="A103" s="10" t="str">
        <f>IF('All Cases - Enter Cases'!$F103="Sindh",'All Cases - Enter Cases'!A103,"")</f>
        <v/>
      </c>
      <c r="B103" t="str">
        <f>IF($A103&lt;&gt;"",'All Cases - Enter Cases'!B103,"")</f>
        <v/>
      </c>
      <c r="C103" t="str">
        <f>IF($A103&lt;&gt;"",'All Cases - Enter Cases'!C103,"")</f>
        <v/>
      </c>
      <c r="D103" t="str">
        <f>IF($A103&lt;&gt;"",'All Cases - Enter Cases'!D103,"")</f>
        <v/>
      </c>
      <c r="E103" t="str">
        <f>IF($A103&lt;&gt;"",'All Cases - Enter Cases'!E103,"")</f>
        <v/>
      </c>
      <c r="F103" t="str">
        <f>IF($A103&lt;&gt;"",'All Cases - Enter Cases'!F103,"")</f>
        <v/>
      </c>
      <c r="G103" t="str">
        <f>IF($A103&lt;&gt;"",'All Cases - Enter Cases'!G103,"")</f>
        <v/>
      </c>
      <c r="H103" t="str">
        <f>IF($A103&lt;&gt;"",'All Cases - Enter Cases'!H103,"")</f>
        <v/>
      </c>
      <c r="I103" t="str">
        <f>IF($A103&lt;&gt;"",'All Cases - Enter Cases'!I103,"")</f>
        <v/>
      </c>
      <c r="J103" t="str">
        <f>IF($A103&lt;&gt;"",'All Cases - Enter Cases'!J103,"")</f>
        <v/>
      </c>
      <c r="K103" s="4" t="str">
        <f>IF($A103&lt;&gt;"",'All Cases - Enter Cases'!K103,"")</f>
        <v/>
      </c>
      <c r="L103" t="str">
        <f>IF($A103&lt;&gt;"",'All Cases - Enter Cases'!L103,"")</f>
        <v/>
      </c>
      <c r="M103" t="str">
        <f>IF($A103&lt;&gt;"",'All Cases - Enter Cases'!M103,"")</f>
        <v/>
      </c>
    </row>
    <row r="104" spans="1:13" x14ac:dyDescent="0.35">
      <c r="A104" s="10" t="str">
        <f>IF('All Cases - Enter Cases'!$F104="Sindh",'All Cases - Enter Cases'!A104,"")</f>
        <v/>
      </c>
      <c r="B104" t="str">
        <f>IF($A104&lt;&gt;"",'All Cases - Enter Cases'!B104,"")</f>
        <v/>
      </c>
      <c r="C104" t="str">
        <f>IF($A104&lt;&gt;"",'All Cases - Enter Cases'!C104,"")</f>
        <v/>
      </c>
      <c r="D104" t="str">
        <f>IF($A104&lt;&gt;"",'All Cases - Enter Cases'!D104,"")</f>
        <v/>
      </c>
      <c r="E104" t="str">
        <f>IF($A104&lt;&gt;"",'All Cases - Enter Cases'!E104,"")</f>
        <v/>
      </c>
      <c r="F104" t="str">
        <f>IF($A104&lt;&gt;"",'All Cases - Enter Cases'!F104,"")</f>
        <v/>
      </c>
      <c r="G104" t="str">
        <f>IF($A104&lt;&gt;"",'All Cases - Enter Cases'!G104,"")</f>
        <v/>
      </c>
      <c r="H104" t="str">
        <f>IF($A104&lt;&gt;"",'All Cases - Enter Cases'!H104,"")</f>
        <v/>
      </c>
      <c r="I104" t="str">
        <f>IF($A104&lt;&gt;"",'All Cases - Enter Cases'!I104,"")</f>
        <v/>
      </c>
      <c r="J104" t="str">
        <f>IF($A104&lt;&gt;"",'All Cases - Enter Cases'!J104,"")</f>
        <v/>
      </c>
      <c r="K104" s="4" t="str">
        <f>IF($A104&lt;&gt;"",'All Cases - Enter Cases'!K104,"")</f>
        <v/>
      </c>
      <c r="L104" t="str">
        <f>IF($A104&lt;&gt;"",'All Cases - Enter Cases'!L104,"")</f>
        <v/>
      </c>
      <c r="M104" t="str">
        <f>IF($A104&lt;&gt;"",'All Cases - Enter Cases'!M104,"")</f>
        <v/>
      </c>
    </row>
    <row r="105" spans="1:13" x14ac:dyDescent="0.35">
      <c r="A105" s="10" t="str">
        <f>IF('All Cases - Enter Cases'!$F105="Sindh",'All Cases - Enter Cases'!A105,"")</f>
        <v/>
      </c>
      <c r="B105" t="str">
        <f>IF($A105&lt;&gt;"",'All Cases - Enter Cases'!B105,"")</f>
        <v/>
      </c>
      <c r="C105" t="str">
        <f>IF($A105&lt;&gt;"",'All Cases - Enter Cases'!C105,"")</f>
        <v/>
      </c>
      <c r="D105" t="str">
        <f>IF($A105&lt;&gt;"",'All Cases - Enter Cases'!D105,"")</f>
        <v/>
      </c>
      <c r="E105" t="str">
        <f>IF($A105&lt;&gt;"",'All Cases - Enter Cases'!E105,"")</f>
        <v/>
      </c>
      <c r="F105" t="str">
        <f>IF($A105&lt;&gt;"",'All Cases - Enter Cases'!F105,"")</f>
        <v/>
      </c>
      <c r="G105" t="str">
        <f>IF($A105&lt;&gt;"",'All Cases - Enter Cases'!G105,"")</f>
        <v/>
      </c>
      <c r="H105" t="str">
        <f>IF($A105&lt;&gt;"",'All Cases - Enter Cases'!H105,"")</f>
        <v/>
      </c>
      <c r="I105" t="str">
        <f>IF($A105&lt;&gt;"",'All Cases - Enter Cases'!I105,"")</f>
        <v/>
      </c>
      <c r="J105" t="str">
        <f>IF($A105&lt;&gt;"",'All Cases - Enter Cases'!J105,"")</f>
        <v/>
      </c>
      <c r="K105" s="4" t="str">
        <f>IF($A105&lt;&gt;"",'All Cases - Enter Cases'!K105,"")</f>
        <v/>
      </c>
      <c r="L105" t="str">
        <f>IF($A105&lt;&gt;"",'All Cases - Enter Cases'!L105,"")</f>
        <v/>
      </c>
      <c r="M105" t="str">
        <f>IF($A105&lt;&gt;"",'All Cases - Enter Cases'!M105,"")</f>
        <v/>
      </c>
    </row>
    <row r="106" spans="1:13" x14ac:dyDescent="0.35">
      <c r="A106" s="10" t="str">
        <f>IF('All Cases - Enter Cases'!$F106="Sindh",'All Cases - Enter Cases'!A106,"")</f>
        <v/>
      </c>
      <c r="B106" t="str">
        <f>IF($A106&lt;&gt;"",'All Cases - Enter Cases'!B106,"")</f>
        <v/>
      </c>
      <c r="C106" t="str">
        <f>IF($A106&lt;&gt;"",'All Cases - Enter Cases'!C106,"")</f>
        <v/>
      </c>
      <c r="D106" t="str">
        <f>IF($A106&lt;&gt;"",'All Cases - Enter Cases'!D106,"")</f>
        <v/>
      </c>
      <c r="E106" t="str">
        <f>IF($A106&lt;&gt;"",'All Cases - Enter Cases'!E106,"")</f>
        <v/>
      </c>
      <c r="F106" t="str">
        <f>IF($A106&lt;&gt;"",'All Cases - Enter Cases'!F106,"")</f>
        <v/>
      </c>
      <c r="G106" t="str">
        <f>IF($A106&lt;&gt;"",'All Cases - Enter Cases'!G106,"")</f>
        <v/>
      </c>
      <c r="H106" t="str">
        <f>IF($A106&lt;&gt;"",'All Cases - Enter Cases'!H106,"")</f>
        <v/>
      </c>
      <c r="I106" t="str">
        <f>IF($A106&lt;&gt;"",'All Cases - Enter Cases'!I106,"")</f>
        <v/>
      </c>
      <c r="J106" t="str">
        <f>IF($A106&lt;&gt;"",'All Cases - Enter Cases'!J106,"")</f>
        <v/>
      </c>
      <c r="K106" s="4" t="str">
        <f>IF($A106&lt;&gt;"",'All Cases - Enter Cases'!K106,"")</f>
        <v/>
      </c>
      <c r="L106" t="str">
        <f>IF($A106&lt;&gt;"",'All Cases - Enter Cases'!L106,"")</f>
        <v/>
      </c>
      <c r="M106" t="str">
        <f>IF($A106&lt;&gt;"",'All Cases - Enter Cases'!M106,"")</f>
        <v/>
      </c>
    </row>
    <row r="107" spans="1:13" x14ac:dyDescent="0.35">
      <c r="A107" s="10" t="str">
        <f>IF('All Cases - Enter Cases'!$F107="Sindh",'All Cases - Enter Cases'!A107,"")</f>
        <v/>
      </c>
      <c r="B107" t="str">
        <f>IF($A107&lt;&gt;"",'All Cases - Enter Cases'!B107,"")</f>
        <v/>
      </c>
      <c r="C107" t="str">
        <f>IF($A107&lt;&gt;"",'All Cases - Enter Cases'!C107,"")</f>
        <v/>
      </c>
      <c r="D107" t="str">
        <f>IF($A107&lt;&gt;"",'All Cases - Enter Cases'!D107,"")</f>
        <v/>
      </c>
      <c r="E107" t="str">
        <f>IF($A107&lt;&gt;"",'All Cases - Enter Cases'!E107,"")</f>
        <v/>
      </c>
      <c r="F107" t="str">
        <f>IF($A107&lt;&gt;"",'All Cases - Enter Cases'!F107,"")</f>
        <v/>
      </c>
      <c r="G107" t="str">
        <f>IF($A107&lt;&gt;"",'All Cases - Enter Cases'!G107,"")</f>
        <v/>
      </c>
      <c r="H107" t="str">
        <f>IF($A107&lt;&gt;"",'All Cases - Enter Cases'!H107,"")</f>
        <v/>
      </c>
      <c r="I107" t="str">
        <f>IF($A107&lt;&gt;"",'All Cases - Enter Cases'!I107,"")</f>
        <v/>
      </c>
      <c r="J107" t="str">
        <f>IF($A107&lt;&gt;"",'All Cases - Enter Cases'!J107,"")</f>
        <v/>
      </c>
      <c r="K107" s="4" t="str">
        <f>IF($A107&lt;&gt;"",'All Cases - Enter Cases'!K107,"")</f>
        <v/>
      </c>
      <c r="L107" t="str">
        <f>IF($A107&lt;&gt;"",'All Cases - Enter Cases'!L107,"")</f>
        <v/>
      </c>
      <c r="M107" t="str">
        <f>IF($A107&lt;&gt;"",'All Cases - Enter Cases'!M107,"")</f>
        <v/>
      </c>
    </row>
    <row r="108" spans="1:13" x14ac:dyDescent="0.35">
      <c r="A108" s="10" t="str">
        <f>IF('All Cases - Enter Cases'!$F108="Sindh",'All Cases - Enter Cases'!A108,"")</f>
        <v/>
      </c>
      <c r="B108" t="str">
        <f>IF($A108&lt;&gt;"",'All Cases - Enter Cases'!B108,"")</f>
        <v/>
      </c>
      <c r="C108" t="str">
        <f>IF($A108&lt;&gt;"",'All Cases - Enter Cases'!C108,"")</f>
        <v/>
      </c>
      <c r="D108" t="str">
        <f>IF($A108&lt;&gt;"",'All Cases - Enter Cases'!D108,"")</f>
        <v/>
      </c>
      <c r="E108" t="str">
        <f>IF($A108&lt;&gt;"",'All Cases - Enter Cases'!E108,"")</f>
        <v/>
      </c>
      <c r="F108" t="str">
        <f>IF($A108&lt;&gt;"",'All Cases - Enter Cases'!F108,"")</f>
        <v/>
      </c>
      <c r="G108" t="str">
        <f>IF($A108&lt;&gt;"",'All Cases - Enter Cases'!G108,"")</f>
        <v/>
      </c>
      <c r="H108" t="str">
        <f>IF($A108&lt;&gt;"",'All Cases - Enter Cases'!H108,"")</f>
        <v/>
      </c>
      <c r="I108" t="str">
        <f>IF($A108&lt;&gt;"",'All Cases - Enter Cases'!I108,"")</f>
        <v/>
      </c>
      <c r="J108" t="str">
        <f>IF($A108&lt;&gt;"",'All Cases - Enter Cases'!J108,"")</f>
        <v/>
      </c>
      <c r="K108" s="4" t="str">
        <f>IF($A108&lt;&gt;"",'All Cases - Enter Cases'!K108,"")</f>
        <v/>
      </c>
      <c r="L108" t="str">
        <f>IF($A108&lt;&gt;"",'All Cases - Enter Cases'!L108,"")</f>
        <v/>
      </c>
      <c r="M108" t="str">
        <f>IF($A108&lt;&gt;"",'All Cases - Enter Cases'!M108,"")</f>
        <v/>
      </c>
    </row>
    <row r="109" spans="1:13" x14ac:dyDescent="0.35">
      <c r="A109" s="10" t="str">
        <f>IF('All Cases - Enter Cases'!$F109="Sindh",'All Cases - Enter Cases'!A109,"")</f>
        <v/>
      </c>
      <c r="B109" t="str">
        <f>IF($A109&lt;&gt;"",'All Cases - Enter Cases'!B109,"")</f>
        <v/>
      </c>
      <c r="C109" t="str">
        <f>IF($A109&lt;&gt;"",'All Cases - Enter Cases'!C109,"")</f>
        <v/>
      </c>
      <c r="D109" t="str">
        <f>IF($A109&lt;&gt;"",'All Cases - Enter Cases'!D109,"")</f>
        <v/>
      </c>
      <c r="E109" t="str">
        <f>IF($A109&lt;&gt;"",'All Cases - Enter Cases'!E109,"")</f>
        <v/>
      </c>
      <c r="F109" t="str">
        <f>IF($A109&lt;&gt;"",'All Cases - Enter Cases'!F109,"")</f>
        <v/>
      </c>
      <c r="G109" t="str">
        <f>IF($A109&lt;&gt;"",'All Cases - Enter Cases'!G109,"")</f>
        <v/>
      </c>
      <c r="H109" t="str">
        <f>IF($A109&lt;&gt;"",'All Cases - Enter Cases'!H109,"")</f>
        <v/>
      </c>
      <c r="I109" t="str">
        <f>IF($A109&lt;&gt;"",'All Cases - Enter Cases'!I109,"")</f>
        <v/>
      </c>
      <c r="J109" t="str">
        <f>IF($A109&lt;&gt;"",'All Cases - Enter Cases'!J109,"")</f>
        <v/>
      </c>
      <c r="K109" s="4" t="str">
        <f>IF($A109&lt;&gt;"",'All Cases - Enter Cases'!K109,"")</f>
        <v/>
      </c>
      <c r="L109" t="str">
        <f>IF($A109&lt;&gt;"",'All Cases - Enter Cases'!L109,"")</f>
        <v/>
      </c>
      <c r="M109" t="str">
        <f>IF($A109&lt;&gt;"",'All Cases - Enter Cases'!M109,"")</f>
        <v/>
      </c>
    </row>
    <row r="110" spans="1:13" x14ac:dyDescent="0.35">
      <c r="A110" s="10" t="str">
        <f>IF('All Cases - Enter Cases'!$F110="Sindh",'All Cases - Enter Cases'!A110,"")</f>
        <v/>
      </c>
      <c r="B110" t="str">
        <f>IF($A110&lt;&gt;"",'All Cases - Enter Cases'!B110,"")</f>
        <v/>
      </c>
      <c r="C110" t="str">
        <f>IF($A110&lt;&gt;"",'All Cases - Enter Cases'!C110,"")</f>
        <v/>
      </c>
      <c r="D110" t="str">
        <f>IF($A110&lt;&gt;"",'All Cases - Enter Cases'!D110,"")</f>
        <v/>
      </c>
      <c r="E110" t="str">
        <f>IF($A110&lt;&gt;"",'All Cases - Enter Cases'!E110,"")</f>
        <v/>
      </c>
      <c r="F110" t="str">
        <f>IF($A110&lt;&gt;"",'All Cases - Enter Cases'!F110,"")</f>
        <v/>
      </c>
      <c r="G110" t="str">
        <f>IF($A110&lt;&gt;"",'All Cases - Enter Cases'!G110,"")</f>
        <v/>
      </c>
      <c r="H110" t="str">
        <f>IF($A110&lt;&gt;"",'All Cases - Enter Cases'!H110,"")</f>
        <v/>
      </c>
      <c r="I110" t="str">
        <f>IF($A110&lt;&gt;"",'All Cases - Enter Cases'!I110,"")</f>
        <v/>
      </c>
      <c r="J110" t="str">
        <f>IF($A110&lt;&gt;"",'All Cases - Enter Cases'!J110,"")</f>
        <v/>
      </c>
      <c r="K110" s="4" t="str">
        <f>IF($A110&lt;&gt;"",'All Cases - Enter Cases'!K110,"")</f>
        <v/>
      </c>
      <c r="L110" t="str">
        <f>IF($A110&lt;&gt;"",'All Cases - Enter Cases'!L110,"")</f>
        <v/>
      </c>
      <c r="M110" t="str">
        <f>IF($A110&lt;&gt;"",'All Cases - Enter Cases'!M110,"")</f>
        <v/>
      </c>
    </row>
    <row r="111" spans="1:13" x14ac:dyDescent="0.35">
      <c r="A111" s="10" t="str">
        <f>IF('All Cases - Enter Cases'!$F111="Sindh",'All Cases - Enter Cases'!A111,"")</f>
        <v/>
      </c>
      <c r="B111" t="str">
        <f>IF($A111&lt;&gt;"",'All Cases - Enter Cases'!B111,"")</f>
        <v/>
      </c>
      <c r="C111" t="str">
        <f>IF($A111&lt;&gt;"",'All Cases - Enter Cases'!C111,"")</f>
        <v/>
      </c>
      <c r="D111" t="str">
        <f>IF($A111&lt;&gt;"",'All Cases - Enter Cases'!D111,"")</f>
        <v/>
      </c>
      <c r="E111" t="str">
        <f>IF($A111&lt;&gt;"",'All Cases - Enter Cases'!E111,"")</f>
        <v/>
      </c>
      <c r="F111" t="str">
        <f>IF($A111&lt;&gt;"",'All Cases - Enter Cases'!F111,"")</f>
        <v/>
      </c>
      <c r="G111" t="str">
        <f>IF($A111&lt;&gt;"",'All Cases - Enter Cases'!G111,"")</f>
        <v/>
      </c>
      <c r="H111" t="str">
        <f>IF($A111&lt;&gt;"",'All Cases - Enter Cases'!H111,"")</f>
        <v/>
      </c>
      <c r="I111" t="str">
        <f>IF($A111&lt;&gt;"",'All Cases - Enter Cases'!I111,"")</f>
        <v/>
      </c>
      <c r="J111" t="str">
        <f>IF($A111&lt;&gt;"",'All Cases - Enter Cases'!J111,"")</f>
        <v/>
      </c>
      <c r="K111" s="4" t="str">
        <f>IF($A111&lt;&gt;"",'All Cases - Enter Cases'!K111,"")</f>
        <v/>
      </c>
      <c r="L111" t="str">
        <f>IF($A111&lt;&gt;"",'All Cases - Enter Cases'!L111,"")</f>
        <v/>
      </c>
      <c r="M111" t="str">
        <f>IF($A111&lt;&gt;"",'All Cases - Enter Cases'!M111,"")</f>
        <v/>
      </c>
    </row>
    <row r="112" spans="1:13" x14ac:dyDescent="0.35">
      <c r="A112" s="10" t="str">
        <f>IF('All Cases - Enter Cases'!$F112="Sindh",'All Cases - Enter Cases'!A112,"")</f>
        <v/>
      </c>
      <c r="B112" t="str">
        <f>IF($A112&lt;&gt;"",'All Cases - Enter Cases'!B112,"")</f>
        <v/>
      </c>
      <c r="C112" t="str">
        <f>IF($A112&lt;&gt;"",'All Cases - Enter Cases'!C112,"")</f>
        <v/>
      </c>
      <c r="D112" t="str">
        <f>IF($A112&lt;&gt;"",'All Cases - Enter Cases'!D112,"")</f>
        <v/>
      </c>
      <c r="E112" t="str">
        <f>IF($A112&lt;&gt;"",'All Cases - Enter Cases'!E112,"")</f>
        <v/>
      </c>
      <c r="F112" t="str">
        <f>IF($A112&lt;&gt;"",'All Cases - Enter Cases'!F112,"")</f>
        <v/>
      </c>
      <c r="G112" t="str">
        <f>IF($A112&lt;&gt;"",'All Cases - Enter Cases'!G112,"")</f>
        <v/>
      </c>
      <c r="H112" t="str">
        <f>IF($A112&lt;&gt;"",'All Cases - Enter Cases'!H112,"")</f>
        <v/>
      </c>
      <c r="I112" t="str">
        <f>IF($A112&lt;&gt;"",'All Cases - Enter Cases'!I112,"")</f>
        <v/>
      </c>
      <c r="J112" t="str">
        <f>IF($A112&lt;&gt;"",'All Cases - Enter Cases'!J112,"")</f>
        <v/>
      </c>
      <c r="K112" s="4" t="str">
        <f>IF($A112&lt;&gt;"",'All Cases - Enter Cases'!K112,"")</f>
        <v/>
      </c>
      <c r="L112" t="str">
        <f>IF($A112&lt;&gt;"",'All Cases - Enter Cases'!L112,"")</f>
        <v/>
      </c>
      <c r="M112" t="str">
        <f>IF($A112&lt;&gt;"",'All Cases - Enter Cases'!M112,"")</f>
        <v/>
      </c>
    </row>
    <row r="113" spans="1:13" x14ac:dyDescent="0.35">
      <c r="A113" s="10" t="str">
        <f>IF('All Cases - Enter Cases'!$F113="Sindh",'All Cases - Enter Cases'!A113,"")</f>
        <v/>
      </c>
      <c r="B113" t="str">
        <f>IF($A113&lt;&gt;"",'All Cases - Enter Cases'!B113,"")</f>
        <v/>
      </c>
      <c r="C113" t="str">
        <f>IF($A113&lt;&gt;"",'All Cases - Enter Cases'!C113,"")</f>
        <v/>
      </c>
      <c r="D113" t="str">
        <f>IF($A113&lt;&gt;"",'All Cases - Enter Cases'!D113,"")</f>
        <v/>
      </c>
      <c r="E113" t="str">
        <f>IF($A113&lt;&gt;"",'All Cases - Enter Cases'!E113,"")</f>
        <v/>
      </c>
      <c r="F113" t="str">
        <f>IF($A113&lt;&gt;"",'All Cases - Enter Cases'!F113,"")</f>
        <v/>
      </c>
      <c r="G113" t="str">
        <f>IF($A113&lt;&gt;"",'All Cases - Enter Cases'!G113,"")</f>
        <v/>
      </c>
      <c r="H113" t="str">
        <f>IF($A113&lt;&gt;"",'All Cases - Enter Cases'!H113,"")</f>
        <v/>
      </c>
      <c r="I113" t="str">
        <f>IF($A113&lt;&gt;"",'All Cases - Enter Cases'!I113,"")</f>
        <v/>
      </c>
      <c r="J113" t="str">
        <f>IF($A113&lt;&gt;"",'All Cases - Enter Cases'!J113,"")</f>
        <v/>
      </c>
      <c r="K113" s="4" t="str">
        <f>IF($A113&lt;&gt;"",'All Cases - Enter Cases'!K113,"")</f>
        <v/>
      </c>
      <c r="L113" t="str">
        <f>IF($A113&lt;&gt;"",'All Cases - Enter Cases'!L113,"")</f>
        <v/>
      </c>
      <c r="M113" t="str">
        <f>IF($A113&lt;&gt;"",'All Cases - Enter Cases'!M113,"")</f>
        <v/>
      </c>
    </row>
    <row r="114" spans="1:13" x14ac:dyDescent="0.35">
      <c r="A114" s="10" t="str">
        <f>IF('All Cases - Enter Cases'!$F114="Sindh",'All Cases - Enter Cases'!A114,"")</f>
        <v/>
      </c>
      <c r="B114" t="str">
        <f>IF($A114&lt;&gt;"",'All Cases - Enter Cases'!B114,"")</f>
        <v/>
      </c>
      <c r="C114" t="str">
        <f>IF($A114&lt;&gt;"",'All Cases - Enter Cases'!C114,"")</f>
        <v/>
      </c>
      <c r="D114" t="str">
        <f>IF($A114&lt;&gt;"",'All Cases - Enter Cases'!D114,"")</f>
        <v/>
      </c>
      <c r="E114" t="str">
        <f>IF($A114&lt;&gt;"",'All Cases - Enter Cases'!E114,"")</f>
        <v/>
      </c>
      <c r="F114" t="str">
        <f>IF($A114&lt;&gt;"",'All Cases - Enter Cases'!F114,"")</f>
        <v/>
      </c>
      <c r="G114" t="str">
        <f>IF($A114&lt;&gt;"",'All Cases - Enter Cases'!G114,"")</f>
        <v/>
      </c>
      <c r="H114" t="str">
        <f>IF($A114&lt;&gt;"",'All Cases - Enter Cases'!H114,"")</f>
        <v/>
      </c>
      <c r="I114" t="str">
        <f>IF($A114&lt;&gt;"",'All Cases - Enter Cases'!I114,"")</f>
        <v/>
      </c>
      <c r="J114" t="str">
        <f>IF($A114&lt;&gt;"",'All Cases - Enter Cases'!J114,"")</f>
        <v/>
      </c>
      <c r="K114" s="4" t="str">
        <f>IF($A114&lt;&gt;"",'All Cases - Enter Cases'!K114,"")</f>
        <v/>
      </c>
      <c r="L114" t="str">
        <f>IF($A114&lt;&gt;"",'All Cases - Enter Cases'!L114,"")</f>
        <v/>
      </c>
      <c r="M114" t="str">
        <f>IF($A114&lt;&gt;"",'All Cases - Enter Cases'!M114,"")</f>
        <v/>
      </c>
    </row>
    <row r="115" spans="1:13" x14ac:dyDescent="0.35">
      <c r="A115" s="10" t="str">
        <f>IF('All Cases - Enter Cases'!$F115="Sindh",'All Cases - Enter Cases'!A115,"")</f>
        <v/>
      </c>
      <c r="B115" t="str">
        <f>IF($A115&lt;&gt;"",'All Cases - Enter Cases'!B115,"")</f>
        <v/>
      </c>
      <c r="C115" t="str">
        <f>IF($A115&lt;&gt;"",'All Cases - Enter Cases'!C115,"")</f>
        <v/>
      </c>
      <c r="D115" t="str">
        <f>IF($A115&lt;&gt;"",'All Cases - Enter Cases'!D115,"")</f>
        <v/>
      </c>
      <c r="E115" t="str">
        <f>IF($A115&lt;&gt;"",'All Cases - Enter Cases'!E115,"")</f>
        <v/>
      </c>
      <c r="F115" t="str">
        <f>IF($A115&lt;&gt;"",'All Cases - Enter Cases'!F115,"")</f>
        <v/>
      </c>
      <c r="G115" t="str">
        <f>IF($A115&lt;&gt;"",'All Cases - Enter Cases'!G115,"")</f>
        <v/>
      </c>
      <c r="H115" t="str">
        <f>IF($A115&lt;&gt;"",'All Cases - Enter Cases'!H115,"")</f>
        <v/>
      </c>
      <c r="I115" t="str">
        <f>IF($A115&lt;&gt;"",'All Cases - Enter Cases'!I115,"")</f>
        <v/>
      </c>
      <c r="J115" t="str">
        <f>IF($A115&lt;&gt;"",'All Cases - Enter Cases'!J115,"")</f>
        <v/>
      </c>
      <c r="K115" s="4" t="str">
        <f>IF($A115&lt;&gt;"",'All Cases - Enter Cases'!K115,"")</f>
        <v/>
      </c>
      <c r="L115" t="str">
        <f>IF($A115&lt;&gt;"",'All Cases - Enter Cases'!L115,"")</f>
        <v/>
      </c>
      <c r="M115" t="str">
        <f>IF($A115&lt;&gt;"",'All Cases - Enter Cases'!M115,"")</f>
        <v/>
      </c>
    </row>
    <row r="116" spans="1:13" x14ac:dyDescent="0.35">
      <c r="A116" s="10" t="str">
        <f>IF('All Cases - Enter Cases'!$F116="Sindh",'All Cases - Enter Cases'!A116,"")</f>
        <v/>
      </c>
      <c r="B116" t="str">
        <f>IF($A116&lt;&gt;"",'All Cases - Enter Cases'!B116,"")</f>
        <v/>
      </c>
      <c r="C116" t="str">
        <f>IF($A116&lt;&gt;"",'All Cases - Enter Cases'!C116,"")</f>
        <v/>
      </c>
      <c r="D116" t="str">
        <f>IF($A116&lt;&gt;"",'All Cases - Enter Cases'!D116,"")</f>
        <v/>
      </c>
      <c r="E116" t="str">
        <f>IF($A116&lt;&gt;"",'All Cases - Enter Cases'!E116,"")</f>
        <v/>
      </c>
      <c r="F116" t="str">
        <f>IF($A116&lt;&gt;"",'All Cases - Enter Cases'!F116,"")</f>
        <v/>
      </c>
      <c r="G116" t="str">
        <f>IF($A116&lt;&gt;"",'All Cases - Enter Cases'!G116,"")</f>
        <v/>
      </c>
      <c r="H116" t="str">
        <f>IF($A116&lt;&gt;"",'All Cases - Enter Cases'!H116,"")</f>
        <v/>
      </c>
      <c r="I116" t="str">
        <f>IF($A116&lt;&gt;"",'All Cases - Enter Cases'!I116,"")</f>
        <v/>
      </c>
      <c r="J116" t="str">
        <f>IF($A116&lt;&gt;"",'All Cases - Enter Cases'!J116,"")</f>
        <v/>
      </c>
      <c r="K116" s="4" t="str">
        <f>IF($A116&lt;&gt;"",'All Cases - Enter Cases'!K116,"")</f>
        <v/>
      </c>
      <c r="L116" t="str">
        <f>IF($A116&lt;&gt;"",'All Cases - Enter Cases'!L116,"")</f>
        <v/>
      </c>
      <c r="M116" t="str">
        <f>IF($A116&lt;&gt;"",'All Cases - Enter Cases'!M116,"")</f>
        <v/>
      </c>
    </row>
    <row r="117" spans="1:13" x14ac:dyDescent="0.35">
      <c r="A117" s="10" t="str">
        <f>IF('All Cases - Enter Cases'!$F117="Sindh",'All Cases - Enter Cases'!A117,"")</f>
        <v/>
      </c>
      <c r="B117" t="str">
        <f>IF($A117&lt;&gt;"",'All Cases - Enter Cases'!B117,"")</f>
        <v/>
      </c>
      <c r="C117" t="str">
        <f>IF($A117&lt;&gt;"",'All Cases - Enter Cases'!C117,"")</f>
        <v/>
      </c>
      <c r="D117" t="str">
        <f>IF($A117&lt;&gt;"",'All Cases - Enter Cases'!D117,"")</f>
        <v/>
      </c>
      <c r="E117" t="str">
        <f>IF($A117&lt;&gt;"",'All Cases - Enter Cases'!E117,"")</f>
        <v/>
      </c>
      <c r="F117" t="str">
        <f>IF($A117&lt;&gt;"",'All Cases - Enter Cases'!F117,"")</f>
        <v/>
      </c>
      <c r="G117" t="str">
        <f>IF($A117&lt;&gt;"",'All Cases - Enter Cases'!G117,"")</f>
        <v/>
      </c>
      <c r="H117" t="str">
        <f>IF($A117&lt;&gt;"",'All Cases - Enter Cases'!H117,"")</f>
        <v/>
      </c>
      <c r="I117" t="str">
        <f>IF($A117&lt;&gt;"",'All Cases - Enter Cases'!I117,"")</f>
        <v/>
      </c>
      <c r="J117" t="str">
        <f>IF($A117&lt;&gt;"",'All Cases - Enter Cases'!J117,"")</f>
        <v/>
      </c>
      <c r="K117" s="4" t="str">
        <f>IF($A117&lt;&gt;"",'All Cases - Enter Cases'!K117,"")</f>
        <v/>
      </c>
      <c r="L117" t="str">
        <f>IF($A117&lt;&gt;"",'All Cases - Enter Cases'!L117,"")</f>
        <v/>
      </c>
      <c r="M117" t="str">
        <f>IF($A117&lt;&gt;"",'All Cases - Enter Cases'!M117,"")</f>
        <v/>
      </c>
    </row>
    <row r="118" spans="1:13" x14ac:dyDescent="0.35">
      <c r="A118" s="10" t="str">
        <f>IF('All Cases - Enter Cases'!$F118="Sindh",'All Cases - Enter Cases'!A118,"")</f>
        <v/>
      </c>
      <c r="B118" t="str">
        <f>IF($A118&lt;&gt;"",'All Cases - Enter Cases'!B118,"")</f>
        <v/>
      </c>
      <c r="C118" t="str">
        <f>IF($A118&lt;&gt;"",'All Cases - Enter Cases'!C118,"")</f>
        <v/>
      </c>
      <c r="D118" t="str">
        <f>IF($A118&lt;&gt;"",'All Cases - Enter Cases'!D118,"")</f>
        <v/>
      </c>
      <c r="E118" t="str">
        <f>IF($A118&lt;&gt;"",'All Cases - Enter Cases'!E118,"")</f>
        <v/>
      </c>
      <c r="F118" t="str">
        <f>IF($A118&lt;&gt;"",'All Cases - Enter Cases'!F118,"")</f>
        <v/>
      </c>
      <c r="G118" t="str">
        <f>IF($A118&lt;&gt;"",'All Cases - Enter Cases'!G118,"")</f>
        <v/>
      </c>
      <c r="H118" t="str">
        <f>IF($A118&lt;&gt;"",'All Cases - Enter Cases'!H118,"")</f>
        <v/>
      </c>
      <c r="I118" t="str">
        <f>IF($A118&lt;&gt;"",'All Cases - Enter Cases'!I118,"")</f>
        <v/>
      </c>
      <c r="J118" t="str">
        <f>IF($A118&lt;&gt;"",'All Cases - Enter Cases'!J118,"")</f>
        <v/>
      </c>
      <c r="K118" s="4" t="str">
        <f>IF($A118&lt;&gt;"",'All Cases - Enter Cases'!K118,"")</f>
        <v/>
      </c>
      <c r="L118" t="str">
        <f>IF($A118&lt;&gt;"",'All Cases - Enter Cases'!L118,"")</f>
        <v/>
      </c>
      <c r="M118" t="str">
        <f>IF($A118&lt;&gt;"",'All Cases - Enter Cases'!M118,"")</f>
        <v/>
      </c>
    </row>
    <row r="119" spans="1:13" x14ac:dyDescent="0.35">
      <c r="A119" s="10" t="str">
        <f>IF('All Cases - Enter Cases'!$F119="Sindh",'All Cases - Enter Cases'!A119,"")</f>
        <v/>
      </c>
      <c r="B119" t="str">
        <f>IF($A119&lt;&gt;"",'All Cases - Enter Cases'!B119,"")</f>
        <v/>
      </c>
      <c r="C119" t="str">
        <f>IF($A119&lt;&gt;"",'All Cases - Enter Cases'!C119,"")</f>
        <v/>
      </c>
      <c r="D119" t="str">
        <f>IF($A119&lt;&gt;"",'All Cases - Enter Cases'!D119,"")</f>
        <v/>
      </c>
      <c r="E119" t="str">
        <f>IF($A119&lt;&gt;"",'All Cases - Enter Cases'!E119,"")</f>
        <v/>
      </c>
      <c r="F119" t="str">
        <f>IF($A119&lt;&gt;"",'All Cases - Enter Cases'!F119,"")</f>
        <v/>
      </c>
      <c r="G119" t="str">
        <f>IF($A119&lt;&gt;"",'All Cases - Enter Cases'!G119,"")</f>
        <v/>
      </c>
      <c r="H119" t="str">
        <f>IF($A119&lt;&gt;"",'All Cases - Enter Cases'!H119,"")</f>
        <v/>
      </c>
      <c r="I119" t="str">
        <f>IF($A119&lt;&gt;"",'All Cases - Enter Cases'!I119,"")</f>
        <v/>
      </c>
      <c r="J119" t="str">
        <f>IF($A119&lt;&gt;"",'All Cases - Enter Cases'!J119,"")</f>
        <v/>
      </c>
      <c r="K119" s="4" t="str">
        <f>IF($A119&lt;&gt;"",'All Cases - Enter Cases'!K119,"")</f>
        <v/>
      </c>
      <c r="L119" t="str">
        <f>IF($A119&lt;&gt;"",'All Cases - Enter Cases'!L119,"")</f>
        <v/>
      </c>
      <c r="M119" t="str">
        <f>IF($A119&lt;&gt;"",'All Cases - Enter Cases'!M119,"")</f>
        <v/>
      </c>
    </row>
    <row r="120" spans="1:13" x14ac:dyDescent="0.35">
      <c r="A120" s="10" t="str">
        <f>IF('All Cases - Enter Cases'!$F120="Sindh",'All Cases - Enter Cases'!A120,"")</f>
        <v/>
      </c>
      <c r="B120" t="str">
        <f>IF($A120&lt;&gt;"",'All Cases - Enter Cases'!B120,"")</f>
        <v/>
      </c>
      <c r="C120" t="str">
        <f>IF($A120&lt;&gt;"",'All Cases - Enter Cases'!C120,"")</f>
        <v/>
      </c>
      <c r="D120" t="str">
        <f>IF($A120&lt;&gt;"",'All Cases - Enter Cases'!D120,"")</f>
        <v/>
      </c>
      <c r="E120" t="str">
        <f>IF($A120&lt;&gt;"",'All Cases - Enter Cases'!E120,"")</f>
        <v/>
      </c>
      <c r="F120" t="str">
        <f>IF($A120&lt;&gt;"",'All Cases - Enter Cases'!F120,"")</f>
        <v/>
      </c>
      <c r="G120" t="str">
        <f>IF($A120&lt;&gt;"",'All Cases - Enter Cases'!G120,"")</f>
        <v/>
      </c>
      <c r="H120" t="str">
        <f>IF($A120&lt;&gt;"",'All Cases - Enter Cases'!H120,"")</f>
        <v/>
      </c>
      <c r="I120" t="str">
        <f>IF($A120&lt;&gt;"",'All Cases - Enter Cases'!I120,"")</f>
        <v/>
      </c>
      <c r="J120" t="str">
        <f>IF($A120&lt;&gt;"",'All Cases - Enter Cases'!J120,"")</f>
        <v/>
      </c>
      <c r="K120" s="4" t="str">
        <f>IF($A120&lt;&gt;"",'All Cases - Enter Cases'!K120,"")</f>
        <v/>
      </c>
      <c r="L120" t="str">
        <f>IF($A120&lt;&gt;"",'All Cases - Enter Cases'!L120,"")</f>
        <v/>
      </c>
      <c r="M120" t="str">
        <f>IF($A120&lt;&gt;"",'All Cases - Enter Cases'!M120,"")</f>
        <v/>
      </c>
    </row>
    <row r="121" spans="1:13" x14ac:dyDescent="0.35">
      <c r="A121" s="10" t="str">
        <f>IF('All Cases - Enter Cases'!$F121="Sindh",'All Cases - Enter Cases'!A121,"")</f>
        <v/>
      </c>
      <c r="B121" t="str">
        <f>IF($A121&lt;&gt;"",'All Cases - Enter Cases'!B121,"")</f>
        <v/>
      </c>
      <c r="C121" t="str">
        <f>IF($A121&lt;&gt;"",'All Cases - Enter Cases'!C121,"")</f>
        <v/>
      </c>
      <c r="D121" t="str">
        <f>IF($A121&lt;&gt;"",'All Cases - Enter Cases'!D121,"")</f>
        <v/>
      </c>
      <c r="E121" t="str">
        <f>IF($A121&lt;&gt;"",'All Cases - Enter Cases'!E121,"")</f>
        <v/>
      </c>
      <c r="F121" t="str">
        <f>IF($A121&lt;&gt;"",'All Cases - Enter Cases'!F121,"")</f>
        <v/>
      </c>
      <c r="G121" t="str">
        <f>IF($A121&lt;&gt;"",'All Cases - Enter Cases'!G121,"")</f>
        <v/>
      </c>
      <c r="H121" t="str">
        <f>IF($A121&lt;&gt;"",'All Cases - Enter Cases'!H121,"")</f>
        <v/>
      </c>
      <c r="I121" t="str">
        <f>IF($A121&lt;&gt;"",'All Cases - Enter Cases'!I121,"")</f>
        <v/>
      </c>
      <c r="J121" t="str">
        <f>IF($A121&lt;&gt;"",'All Cases - Enter Cases'!J121,"")</f>
        <v/>
      </c>
      <c r="K121" s="4" t="str">
        <f>IF($A121&lt;&gt;"",'All Cases - Enter Cases'!K121,"")</f>
        <v/>
      </c>
      <c r="L121" t="str">
        <f>IF($A121&lt;&gt;"",'All Cases - Enter Cases'!L121,"")</f>
        <v/>
      </c>
      <c r="M121" t="str">
        <f>IF($A121&lt;&gt;"",'All Cases - Enter Cases'!M121,"")</f>
        <v/>
      </c>
    </row>
    <row r="122" spans="1:13" x14ac:dyDescent="0.35">
      <c r="A122" s="10" t="str">
        <f>IF('All Cases - Enter Cases'!$F122="Sindh",'All Cases - Enter Cases'!A122,"")</f>
        <v/>
      </c>
      <c r="B122" t="str">
        <f>IF($A122&lt;&gt;"",'All Cases - Enter Cases'!B122,"")</f>
        <v/>
      </c>
      <c r="C122" t="str">
        <f>IF($A122&lt;&gt;"",'All Cases - Enter Cases'!C122,"")</f>
        <v/>
      </c>
      <c r="D122" t="str">
        <f>IF($A122&lt;&gt;"",'All Cases - Enter Cases'!D122,"")</f>
        <v/>
      </c>
      <c r="E122" t="str">
        <f>IF($A122&lt;&gt;"",'All Cases - Enter Cases'!E122,"")</f>
        <v/>
      </c>
      <c r="F122" t="str">
        <f>IF($A122&lt;&gt;"",'All Cases - Enter Cases'!F122,"")</f>
        <v/>
      </c>
      <c r="G122" t="str">
        <f>IF($A122&lt;&gt;"",'All Cases - Enter Cases'!G122,"")</f>
        <v/>
      </c>
      <c r="H122" t="str">
        <f>IF($A122&lt;&gt;"",'All Cases - Enter Cases'!H122,"")</f>
        <v/>
      </c>
      <c r="I122" t="str">
        <f>IF($A122&lt;&gt;"",'All Cases - Enter Cases'!I122,"")</f>
        <v/>
      </c>
      <c r="J122" t="str">
        <f>IF($A122&lt;&gt;"",'All Cases - Enter Cases'!J122,"")</f>
        <v/>
      </c>
      <c r="K122" s="4" t="str">
        <f>IF($A122&lt;&gt;"",'All Cases - Enter Cases'!K122,"")</f>
        <v/>
      </c>
      <c r="L122" t="str">
        <f>IF($A122&lt;&gt;"",'All Cases - Enter Cases'!L122,"")</f>
        <v/>
      </c>
      <c r="M122" t="str">
        <f>IF($A122&lt;&gt;"",'All Cases - Enter Cases'!M122,"")</f>
        <v/>
      </c>
    </row>
    <row r="123" spans="1:13" x14ac:dyDescent="0.35">
      <c r="A123" s="10" t="str">
        <f>IF('All Cases - Enter Cases'!$F123="Sindh",'All Cases - Enter Cases'!A123,"")</f>
        <v/>
      </c>
      <c r="B123" t="str">
        <f>IF($A123&lt;&gt;"",'All Cases - Enter Cases'!B123,"")</f>
        <v/>
      </c>
      <c r="C123" t="str">
        <f>IF($A123&lt;&gt;"",'All Cases - Enter Cases'!C123,"")</f>
        <v/>
      </c>
      <c r="D123" t="str">
        <f>IF($A123&lt;&gt;"",'All Cases - Enter Cases'!D123,"")</f>
        <v/>
      </c>
      <c r="E123" t="str">
        <f>IF($A123&lt;&gt;"",'All Cases - Enter Cases'!E123,"")</f>
        <v/>
      </c>
      <c r="F123" t="str">
        <f>IF($A123&lt;&gt;"",'All Cases - Enter Cases'!F123,"")</f>
        <v/>
      </c>
      <c r="G123" t="str">
        <f>IF($A123&lt;&gt;"",'All Cases - Enter Cases'!G123,"")</f>
        <v/>
      </c>
      <c r="H123" t="str">
        <f>IF($A123&lt;&gt;"",'All Cases - Enter Cases'!H123,"")</f>
        <v/>
      </c>
      <c r="I123" t="str">
        <f>IF($A123&lt;&gt;"",'All Cases - Enter Cases'!I123,"")</f>
        <v/>
      </c>
      <c r="J123" t="str">
        <f>IF($A123&lt;&gt;"",'All Cases - Enter Cases'!J123,"")</f>
        <v/>
      </c>
      <c r="K123" s="4" t="str">
        <f>IF($A123&lt;&gt;"",'All Cases - Enter Cases'!K123,"")</f>
        <v/>
      </c>
      <c r="L123" t="str">
        <f>IF($A123&lt;&gt;"",'All Cases - Enter Cases'!L123,"")</f>
        <v/>
      </c>
      <c r="M123" t="str">
        <f>IF($A123&lt;&gt;"",'All Cases - Enter Cases'!M123,"")</f>
        <v/>
      </c>
    </row>
    <row r="124" spans="1:13" x14ac:dyDescent="0.35">
      <c r="A124" s="10" t="str">
        <f>IF('All Cases - Enter Cases'!$F124="Sindh",'All Cases - Enter Cases'!A124,"")</f>
        <v/>
      </c>
      <c r="B124" t="str">
        <f>IF($A124&lt;&gt;"",'All Cases - Enter Cases'!B124,"")</f>
        <v/>
      </c>
      <c r="C124" t="str">
        <f>IF($A124&lt;&gt;"",'All Cases - Enter Cases'!C124,"")</f>
        <v/>
      </c>
      <c r="D124" t="str">
        <f>IF($A124&lt;&gt;"",'All Cases - Enter Cases'!D124,"")</f>
        <v/>
      </c>
      <c r="E124" t="str">
        <f>IF($A124&lt;&gt;"",'All Cases - Enter Cases'!E124,"")</f>
        <v/>
      </c>
      <c r="F124" t="str">
        <f>IF($A124&lt;&gt;"",'All Cases - Enter Cases'!F124,"")</f>
        <v/>
      </c>
      <c r="G124" t="str">
        <f>IF($A124&lt;&gt;"",'All Cases - Enter Cases'!G124,"")</f>
        <v/>
      </c>
      <c r="H124" t="str">
        <f>IF($A124&lt;&gt;"",'All Cases - Enter Cases'!H124,"")</f>
        <v/>
      </c>
      <c r="I124" t="str">
        <f>IF($A124&lt;&gt;"",'All Cases - Enter Cases'!I124,"")</f>
        <v/>
      </c>
      <c r="J124" t="str">
        <f>IF($A124&lt;&gt;"",'All Cases - Enter Cases'!J124,"")</f>
        <v/>
      </c>
      <c r="K124" s="4" t="str">
        <f>IF($A124&lt;&gt;"",'All Cases - Enter Cases'!K124,"")</f>
        <v/>
      </c>
      <c r="L124" t="str">
        <f>IF($A124&lt;&gt;"",'All Cases - Enter Cases'!L124,"")</f>
        <v/>
      </c>
      <c r="M124" t="str">
        <f>IF($A124&lt;&gt;"",'All Cases - Enter Cases'!M124,"")</f>
        <v/>
      </c>
    </row>
    <row r="125" spans="1:13" x14ac:dyDescent="0.35">
      <c r="A125" s="10" t="str">
        <f>IF('All Cases - Enter Cases'!$F125="Sindh",'All Cases - Enter Cases'!A125,"")</f>
        <v/>
      </c>
      <c r="B125" t="str">
        <f>IF($A125&lt;&gt;"",'All Cases - Enter Cases'!B125,"")</f>
        <v/>
      </c>
      <c r="C125" t="str">
        <f>IF($A125&lt;&gt;"",'All Cases - Enter Cases'!C125,"")</f>
        <v/>
      </c>
      <c r="D125" t="str">
        <f>IF($A125&lt;&gt;"",'All Cases - Enter Cases'!D125,"")</f>
        <v/>
      </c>
      <c r="E125" t="str">
        <f>IF($A125&lt;&gt;"",'All Cases - Enter Cases'!E125,"")</f>
        <v/>
      </c>
      <c r="F125" t="str">
        <f>IF($A125&lt;&gt;"",'All Cases - Enter Cases'!F125,"")</f>
        <v/>
      </c>
      <c r="G125" t="str">
        <f>IF($A125&lt;&gt;"",'All Cases - Enter Cases'!G125,"")</f>
        <v/>
      </c>
      <c r="H125" t="str">
        <f>IF($A125&lt;&gt;"",'All Cases - Enter Cases'!H125,"")</f>
        <v/>
      </c>
      <c r="I125" t="str">
        <f>IF($A125&lt;&gt;"",'All Cases - Enter Cases'!I125,"")</f>
        <v/>
      </c>
      <c r="J125" t="str">
        <f>IF($A125&lt;&gt;"",'All Cases - Enter Cases'!J125,"")</f>
        <v/>
      </c>
      <c r="K125" s="4" t="str">
        <f>IF($A125&lt;&gt;"",'All Cases - Enter Cases'!K125,"")</f>
        <v/>
      </c>
      <c r="L125" t="str">
        <f>IF($A125&lt;&gt;"",'All Cases - Enter Cases'!L125,"")</f>
        <v/>
      </c>
      <c r="M125" t="str">
        <f>IF($A125&lt;&gt;"",'All Cases - Enter Cases'!M125,"")</f>
        <v/>
      </c>
    </row>
    <row r="126" spans="1:13" x14ac:dyDescent="0.35">
      <c r="A126" s="10" t="str">
        <f>IF('All Cases - Enter Cases'!$F126="Sindh",'All Cases - Enter Cases'!A126,"")</f>
        <v/>
      </c>
      <c r="B126" t="str">
        <f>IF($A126&lt;&gt;"",'All Cases - Enter Cases'!B126,"")</f>
        <v/>
      </c>
      <c r="C126" t="str">
        <f>IF($A126&lt;&gt;"",'All Cases - Enter Cases'!C126,"")</f>
        <v/>
      </c>
      <c r="D126" t="str">
        <f>IF($A126&lt;&gt;"",'All Cases - Enter Cases'!D126,"")</f>
        <v/>
      </c>
      <c r="E126" t="str">
        <f>IF($A126&lt;&gt;"",'All Cases - Enter Cases'!E126,"")</f>
        <v/>
      </c>
      <c r="F126" t="str">
        <f>IF($A126&lt;&gt;"",'All Cases - Enter Cases'!F126,"")</f>
        <v/>
      </c>
      <c r="G126" t="str">
        <f>IF($A126&lt;&gt;"",'All Cases - Enter Cases'!G126,"")</f>
        <v/>
      </c>
      <c r="H126" t="str">
        <f>IF($A126&lt;&gt;"",'All Cases - Enter Cases'!H126,"")</f>
        <v/>
      </c>
      <c r="I126" t="str">
        <f>IF($A126&lt;&gt;"",'All Cases - Enter Cases'!I126,"")</f>
        <v/>
      </c>
      <c r="J126" t="str">
        <f>IF($A126&lt;&gt;"",'All Cases - Enter Cases'!J126,"")</f>
        <v/>
      </c>
      <c r="K126" s="4" t="str">
        <f>IF($A126&lt;&gt;"",'All Cases - Enter Cases'!K126,"")</f>
        <v/>
      </c>
      <c r="L126" t="str">
        <f>IF($A126&lt;&gt;"",'All Cases - Enter Cases'!L126,"")</f>
        <v/>
      </c>
      <c r="M126" t="str">
        <f>IF($A126&lt;&gt;"",'All Cases - Enter Cases'!M126,"")</f>
        <v/>
      </c>
    </row>
    <row r="127" spans="1:13" x14ac:dyDescent="0.35">
      <c r="A127" s="10" t="str">
        <f>IF('All Cases - Enter Cases'!$F127="Sindh",'All Cases - Enter Cases'!A127,"")</f>
        <v/>
      </c>
      <c r="B127" t="str">
        <f>IF($A127&lt;&gt;"",'All Cases - Enter Cases'!B127,"")</f>
        <v/>
      </c>
      <c r="C127" t="str">
        <f>IF($A127&lt;&gt;"",'All Cases - Enter Cases'!C127,"")</f>
        <v/>
      </c>
      <c r="D127" t="str">
        <f>IF($A127&lt;&gt;"",'All Cases - Enter Cases'!D127,"")</f>
        <v/>
      </c>
      <c r="E127" t="str">
        <f>IF($A127&lt;&gt;"",'All Cases - Enter Cases'!E127,"")</f>
        <v/>
      </c>
      <c r="F127" t="str">
        <f>IF($A127&lt;&gt;"",'All Cases - Enter Cases'!F127,"")</f>
        <v/>
      </c>
      <c r="G127" t="str">
        <f>IF($A127&lt;&gt;"",'All Cases - Enter Cases'!G127,"")</f>
        <v/>
      </c>
      <c r="H127" t="str">
        <f>IF($A127&lt;&gt;"",'All Cases - Enter Cases'!H127,"")</f>
        <v/>
      </c>
      <c r="I127" t="str">
        <f>IF($A127&lt;&gt;"",'All Cases - Enter Cases'!I127,"")</f>
        <v/>
      </c>
      <c r="J127" t="str">
        <f>IF($A127&lt;&gt;"",'All Cases - Enter Cases'!J127,"")</f>
        <v/>
      </c>
      <c r="K127" s="4" t="str">
        <f>IF($A127&lt;&gt;"",'All Cases - Enter Cases'!K127,"")</f>
        <v/>
      </c>
      <c r="L127" t="str">
        <f>IF($A127&lt;&gt;"",'All Cases - Enter Cases'!L127,"")</f>
        <v/>
      </c>
      <c r="M127" t="str">
        <f>IF($A127&lt;&gt;"",'All Cases - Enter Cases'!M127,"")</f>
        <v/>
      </c>
    </row>
    <row r="128" spans="1:13" x14ac:dyDescent="0.35">
      <c r="A128" s="10" t="str">
        <f>IF('All Cases - Enter Cases'!$F128="Sindh",'All Cases - Enter Cases'!A128,"")</f>
        <v/>
      </c>
      <c r="B128" t="str">
        <f>IF($A128&lt;&gt;"",'All Cases - Enter Cases'!B128,"")</f>
        <v/>
      </c>
      <c r="C128" t="str">
        <f>IF($A128&lt;&gt;"",'All Cases - Enter Cases'!C128,"")</f>
        <v/>
      </c>
      <c r="D128" t="str">
        <f>IF($A128&lt;&gt;"",'All Cases - Enter Cases'!D128,"")</f>
        <v/>
      </c>
      <c r="E128" t="str">
        <f>IF($A128&lt;&gt;"",'All Cases - Enter Cases'!E128,"")</f>
        <v/>
      </c>
      <c r="F128" t="str">
        <f>IF($A128&lt;&gt;"",'All Cases - Enter Cases'!F128,"")</f>
        <v/>
      </c>
      <c r="G128" t="str">
        <f>IF($A128&lt;&gt;"",'All Cases - Enter Cases'!G128,"")</f>
        <v/>
      </c>
      <c r="H128" t="str">
        <f>IF($A128&lt;&gt;"",'All Cases - Enter Cases'!H128,"")</f>
        <v/>
      </c>
      <c r="I128" t="str">
        <f>IF($A128&lt;&gt;"",'All Cases - Enter Cases'!I128,"")</f>
        <v/>
      </c>
      <c r="J128" t="str">
        <f>IF($A128&lt;&gt;"",'All Cases - Enter Cases'!J128,"")</f>
        <v/>
      </c>
      <c r="K128" s="4" t="str">
        <f>IF($A128&lt;&gt;"",'All Cases - Enter Cases'!K128,"")</f>
        <v/>
      </c>
      <c r="L128" t="str">
        <f>IF($A128&lt;&gt;"",'All Cases - Enter Cases'!L128,"")</f>
        <v/>
      </c>
      <c r="M128" t="str">
        <f>IF($A128&lt;&gt;"",'All Cases - Enter Cases'!M128,"")</f>
        <v/>
      </c>
    </row>
    <row r="129" spans="1:13" x14ac:dyDescent="0.35">
      <c r="A129" s="10" t="str">
        <f>IF('All Cases - Enter Cases'!$F129="Sindh",'All Cases - Enter Cases'!A129,"")</f>
        <v/>
      </c>
      <c r="B129" t="str">
        <f>IF($A129&lt;&gt;"",'All Cases - Enter Cases'!B129,"")</f>
        <v/>
      </c>
      <c r="C129" t="str">
        <f>IF($A129&lt;&gt;"",'All Cases - Enter Cases'!C129,"")</f>
        <v/>
      </c>
      <c r="D129" t="str">
        <f>IF($A129&lt;&gt;"",'All Cases - Enter Cases'!D129,"")</f>
        <v/>
      </c>
      <c r="E129" t="str">
        <f>IF($A129&lt;&gt;"",'All Cases - Enter Cases'!E129,"")</f>
        <v/>
      </c>
      <c r="F129" t="str">
        <f>IF($A129&lt;&gt;"",'All Cases - Enter Cases'!F129,"")</f>
        <v/>
      </c>
      <c r="G129" t="str">
        <f>IF($A129&lt;&gt;"",'All Cases - Enter Cases'!G129,"")</f>
        <v/>
      </c>
      <c r="H129" t="str">
        <f>IF($A129&lt;&gt;"",'All Cases - Enter Cases'!H129,"")</f>
        <v/>
      </c>
      <c r="I129" t="str">
        <f>IF($A129&lt;&gt;"",'All Cases - Enter Cases'!I129,"")</f>
        <v/>
      </c>
      <c r="J129" t="str">
        <f>IF($A129&lt;&gt;"",'All Cases - Enter Cases'!J129,"")</f>
        <v/>
      </c>
      <c r="K129" s="4" t="str">
        <f>IF($A129&lt;&gt;"",'All Cases - Enter Cases'!K129,"")</f>
        <v/>
      </c>
      <c r="L129" t="str">
        <f>IF($A129&lt;&gt;"",'All Cases - Enter Cases'!L129,"")</f>
        <v/>
      </c>
      <c r="M129" t="str">
        <f>IF($A129&lt;&gt;"",'All Cases - Enter Cases'!M129,"")</f>
        <v/>
      </c>
    </row>
    <row r="130" spans="1:13" x14ac:dyDescent="0.35">
      <c r="A130" s="10" t="str">
        <f>IF('All Cases - Enter Cases'!$F130="Sindh",'All Cases - Enter Cases'!A130,"")</f>
        <v/>
      </c>
      <c r="B130" t="str">
        <f>IF($A130&lt;&gt;"",'All Cases - Enter Cases'!B130,"")</f>
        <v/>
      </c>
      <c r="C130" t="str">
        <f>IF($A130&lt;&gt;"",'All Cases - Enter Cases'!C130,"")</f>
        <v/>
      </c>
      <c r="D130" t="str">
        <f>IF($A130&lt;&gt;"",'All Cases - Enter Cases'!D130,"")</f>
        <v/>
      </c>
      <c r="E130" t="str">
        <f>IF($A130&lt;&gt;"",'All Cases - Enter Cases'!E130,"")</f>
        <v/>
      </c>
      <c r="F130" t="str">
        <f>IF($A130&lt;&gt;"",'All Cases - Enter Cases'!F130,"")</f>
        <v/>
      </c>
      <c r="G130" t="str">
        <f>IF($A130&lt;&gt;"",'All Cases - Enter Cases'!G130,"")</f>
        <v/>
      </c>
      <c r="H130" t="str">
        <f>IF($A130&lt;&gt;"",'All Cases - Enter Cases'!H130,"")</f>
        <v/>
      </c>
      <c r="I130" t="str">
        <f>IF($A130&lt;&gt;"",'All Cases - Enter Cases'!I130,"")</f>
        <v/>
      </c>
      <c r="J130" t="str">
        <f>IF($A130&lt;&gt;"",'All Cases - Enter Cases'!J130,"")</f>
        <v/>
      </c>
      <c r="K130" s="4" t="str">
        <f>IF($A130&lt;&gt;"",'All Cases - Enter Cases'!K130,"")</f>
        <v/>
      </c>
      <c r="L130" t="str">
        <f>IF($A130&lt;&gt;"",'All Cases - Enter Cases'!L130,"")</f>
        <v/>
      </c>
      <c r="M130" t="str">
        <f>IF($A130&lt;&gt;"",'All Cases - Enter Cases'!M130,"")</f>
        <v/>
      </c>
    </row>
    <row r="131" spans="1:13" x14ac:dyDescent="0.35">
      <c r="A131" s="10" t="str">
        <f>IF('All Cases - Enter Cases'!$F131="Sindh",'All Cases - Enter Cases'!A131,"")</f>
        <v/>
      </c>
      <c r="B131" t="str">
        <f>IF($A131&lt;&gt;"",'All Cases - Enter Cases'!B131,"")</f>
        <v/>
      </c>
      <c r="C131" t="str">
        <f>IF($A131&lt;&gt;"",'All Cases - Enter Cases'!C131,"")</f>
        <v/>
      </c>
      <c r="D131" t="str">
        <f>IF($A131&lt;&gt;"",'All Cases - Enter Cases'!D131,"")</f>
        <v/>
      </c>
      <c r="E131" t="str">
        <f>IF($A131&lt;&gt;"",'All Cases - Enter Cases'!E131,"")</f>
        <v/>
      </c>
      <c r="F131" t="str">
        <f>IF($A131&lt;&gt;"",'All Cases - Enter Cases'!F131,"")</f>
        <v/>
      </c>
      <c r="G131" t="str">
        <f>IF($A131&lt;&gt;"",'All Cases - Enter Cases'!G131,"")</f>
        <v/>
      </c>
      <c r="H131" t="str">
        <f>IF($A131&lt;&gt;"",'All Cases - Enter Cases'!H131,"")</f>
        <v/>
      </c>
      <c r="I131" t="str">
        <f>IF($A131&lt;&gt;"",'All Cases - Enter Cases'!I131,"")</f>
        <v/>
      </c>
      <c r="J131" t="str">
        <f>IF($A131&lt;&gt;"",'All Cases - Enter Cases'!J131,"")</f>
        <v/>
      </c>
      <c r="K131" s="4" t="str">
        <f>IF($A131&lt;&gt;"",'All Cases - Enter Cases'!K131,"")</f>
        <v/>
      </c>
      <c r="L131" t="str">
        <f>IF($A131&lt;&gt;"",'All Cases - Enter Cases'!L131,"")</f>
        <v/>
      </c>
      <c r="M131" t="str">
        <f>IF($A131&lt;&gt;"",'All Cases - Enter Cases'!M131,"")</f>
        <v/>
      </c>
    </row>
    <row r="132" spans="1:13" x14ac:dyDescent="0.35">
      <c r="A132" s="10" t="str">
        <f>IF('All Cases - Enter Cases'!$F132="Sindh",'All Cases - Enter Cases'!A132,"")</f>
        <v/>
      </c>
      <c r="B132" t="str">
        <f>IF($A132&lt;&gt;"",'All Cases - Enter Cases'!B132,"")</f>
        <v/>
      </c>
      <c r="C132" t="str">
        <f>IF($A132&lt;&gt;"",'All Cases - Enter Cases'!C132,"")</f>
        <v/>
      </c>
      <c r="D132" t="str">
        <f>IF($A132&lt;&gt;"",'All Cases - Enter Cases'!D132,"")</f>
        <v/>
      </c>
      <c r="E132" t="str">
        <f>IF($A132&lt;&gt;"",'All Cases - Enter Cases'!E132,"")</f>
        <v/>
      </c>
      <c r="F132" t="str">
        <f>IF($A132&lt;&gt;"",'All Cases - Enter Cases'!F132,"")</f>
        <v/>
      </c>
      <c r="G132" t="str">
        <f>IF($A132&lt;&gt;"",'All Cases - Enter Cases'!G132,"")</f>
        <v/>
      </c>
      <c r="H132" t="str">
        <f>IF($A132&lt;&gt;"",'All Cases - Enter Cases'!H132,"")</f>
        <v/>
      </c>
      <c r="I132" t="str">
        <f>IF($A132&lt;&gt;"",'All Cases - Enter Cases'!I132,"")</f>
        <v/>
      </c>
      <c r="J132" t="str">
        <f>IF($A132&lt;&gt;"",'All Cases - Enter Cases'!J132,"")</f>
        <v/>
      </c>
      <c r="K132" s="4" t="str">
        <f>IF($A132&lt;&gt;"",'All Cases - Enter Cases'!K132,"")</f>
        <v/>
      </c>
      <c r="L132" t="str">
        <f>IF($A132&lt;&gt;"",'All Cases - Enter Cases'!L132,"")</f>
        <v/>
      </c>
      <c r="M132" t="str">
        <f>IF($A132&lt;&gt;"",'All Cases - Enter Cases'!M132,"")</f>
        <v/>
      </c>
    </row>
    <row r="133" spans="1:13" x14ac:dyDescent="0.35">
      <c r="A133" s="10" t="str">
        <f>IF('All Cases - Enter Cases'!$F133="Sindh",'All Cases - Enter Cases'!A133,"")</f>
        <v/>
      </c>
      <c r="B133" t="str">
        <f>IF($A133&lt;&gt;"",'All Cases - Enter Cases'!B133,"")</f>
        <v/>
      </c>
      <c r="C133" t="str">
        <f>IF($A133&lt;&gt;"",'All Cases - Enter Cases'!C133,"")</f>
        <v/>
      </c>
      <c r="D133" t="str">
        <f>IF($A133&lt;&gt;"",'All Cases - Enter Cases'!D133,"")</f>
        <v/>
      </c>
      <c r="E133" t="str">
        <f>IF($A133&lt;&gt;"",'All Cases - Enter Cases'!E133,"")</f>
        <v/>
      </c>
      <c r="F133" t="str">
        <f>IF($A133&lt;&gt;"",'All Cases - Enter Cases'!F133,"")</f>
        <v/>
      </c>
      <c r="G133" t="str">
        <f>IF($A133&lt;&gt;"",'All Cases - Enter Cases'!G133,"")</f>
        <v/>
      </c>
      <c r="H133" t="str">
        <f>IF($A133&lt;&gt;"",'All Cases - Enter Cases'!H133,"")</f>
        <v/>
      </c>
      <c r="I133" t="str">
        <f>IF($A133&lt;&gt;"",'All Cases - Enter Cases'!I133,"")</f>
        <v/>
      </c>
      <c r="J133" t="str">
        <f>IF($A133&lt;&gt;"",'All Cases - Enter Cases'!J133,"")</f>
        <v/>
      </c>
      <c r="K133" s="4" t="str">
        <f>IF($A133&lt;&gt;"",'All Cases - Enter Cases'!K133,"")</f>
        <v/>
      </c>
      <c r="L133" t="str">
        <f>IF($A133&lt;&gt;"",'All Cases - Enter Cases'!L133,"")</f>
        <v/>
      </c>
      <c r="M133" t="str">
        <f>IF($A133&lt;&gt;"",'All Cases - Enter Cases'!M133,"")</f>
        <v/>
      </c>
    </row>
    <row r="134" spans="1:13" x14ac:dyDescent="0.35">
      <c r="A134" s="10" t="str">
        <f>IF('All Cases - Enter Cases'!$F134="Sindh",'All Cases - Enter Cases'!A134,"")</f>
        <v/>
      </c>
      <c r="B134" t="str">
        <f>IF($A134&lt;&gt;"",'All Cases - Enter Cases'!B134,"")</f>
        <v/>
      </c>
      <c r="C134" t="str">
        <f>IF($A134&lt;&gt;"",'All Cases - Enter Cases'!C134,"")</f>
        <v/>
      </c>
      <c r="D134" t="str">
        <f>IF($A134&lt;&gt;"",'All Cases - Enter Cases'!D134,"")</f>
        <v/>
      </c>
      <c r="E134" t="str">
        <f>IF($A134&lt;&gt;"",'All Cases - Enter Cases'!E134,"")</f>
        <v/>
      </c>
      <c r="F134" t="str">
        <f>IF($A134&lt;&gt;"",'All Cases - Enter Cases'!F134,"")</f>
        <v/>
      </c>
      <c r="G134" t="str">
        <f>IF($A134&lt;&gt;"",'All Cases - Enter Cases'!G134,"")</f>
        <v/>
      </c>
      <c r="H134" t="str">
        <f>IF($A134&lt;&gt;"",'All Cases - Enter Cases'!H134,"")</f>
        <v/>
      </c>
      <c r="I134" t="str">
        <f>IF($A134&lt;&gt;"",'All Cases - Enter Cases'!I134,"")</f>
        <v/>
      </c>
      <c r="J134" t="str">
        <f>IF($A134&lt;&gt;"",'All Cases - Enter Cases'!J134,"")</f>
        <v/>
      </c>
      <c r="K134" s="4" t="str">
        <f>IF($A134&lt;&gt;"",'All Cases - Enter Cases'!K134,"")</f>
        <v/>
      </c>
      <c r="L134" t="str">
        <f>IF($A134&lt;&gt;"",'All Cases - Enter Cases'!L134,"")</f>
        <v/>
      </c>
      <c r="M134" t="str">
        <f>IF($A134&lt;&gt;"",'All Cases - Enter Cases'!M134,"")</f>
        <v/>
      </c>
    </row>
    <row r="135" spans="1:13" x14ac:dyDescent="0.35">
      <c r="A135" s="10" t="str">
        <f>IF('All Cases - Enter Cases'!$F135="Sindh",'All Cases - Enter Cases'!A135,"")</f>
        <v/>
      </c>
      <c r="B135" t="str">
        <f>IF($A135&lt;&gt;"",'All Cases - Enter Cases'!B135,"")</f>
        <v/>
      </c>
      <c r="C135" t="str">
        <f>IF($A135&lt;&gt;"",'All Cases - Enter Cases'!C135,"")</f>
        <v/>
      </c>
      <c r="D135" t="str">
        <f>IF($A135&lt;&gt;"",'All Cases - Enter Cases'!D135,"")</f>
        <v/>
      </c>
      <c r="E135" t="str">
        <f>IF($A135&lt;&gt;"",'All Cases - Enter Cases'!E135,"")</f>
        <v/>
      </c>
      <c r="F135" t="str">
        <f>IF($A135&lt;&gt;"",'All Cases - Enter Cases'!F135,"")</f>
        <v/>
      </c>
      <c r="G135" t="str">
        <f>IF($A135&lt;&gt;"",'All Cases - Enter Cases'!G135,"")</f>
        <v/>
      </c>
      <c r="H135" t="str">
        <f>IF($A135&lt;&gt;"",'All Cases - Enter Cases'!H135,"")</f>
        <v/>
      </c>
      <c r="I135" t="str">
        <f>IF($A135&lt;&gt;"",'All Cases - Enter Cases'!I135,"")</f>
        <v/>
      </c>
      <c r="J135" t="str">
        <f>IF($A135&lt;&gt;"",'All Cases - Enter Cases'!J135,"")</f>
        <v/>
      </c>
      <c r="K135" s="4" t="str">
        <f>IF($A135&lt;&gt;"",'All Cases - Enter Cases'!K135,"")</f>
        <v/>
      </c>
      <c r="L135" t="str">
        <f>IF($A135&lt;&gt;"",'All Cases - Enter Cases'!L135,"")</f>
        <v/>
      </c>
      <c r="M135" t="str">
        <f>IF($A135&lt;&gt;"",'All Cases - Enter Cases'!M135,"")</f>
        <v/>
      </c>
    </row>
    <row r="136" spans="1:13" x14ac:dyDescent="0.35">
      <c r="A136" s="10" t="str">
        <f>IF('All Cases - Enter Cases'!$F136="Sindh",'All Cases - Enter Cases'!A136,"")</f>
        <v/>
      </c>
      <c r="B136" t="str">
        <f>IF($A136&lt;&gt;"",'All Cases - Enter Cases'!B136,"")</f>
        <v/>
      </c>
      <c r="C136" t="str">
        <f>IF($A136&lt;&gt;"",'All Cases - Enter Cases'!C136,"")</f>
        <v/>
      </c>
      <c r="D136" t="str">
        <f>IF($A136&lt;&gt;"",'All Cases - Enter Cases'!D136,"")</f>
        <v/>
      </c>
      <c r="E136" t="str">
        <f>IF($A136&lt;&gt;"",'All Cases - Enter Cases'!E136,"")</f>
        <v/>
      </c>
      <c r="F136" t="str">
        <f>IF($A136&lt;&gt;"",'All Cases - Enter Cases'!F136,"")</f>
        <v/>
      </c>
      <c r="G136" t="str">
        <f>IF($A136&lt;&gt;"",'All Cases - Enter Cases'!G136,"")</f>
        <v/>
      </c>
      <c r="H136" t="str">
        <f>IF($A136&lt;&gt;"",'All Cases - Enter Cases'!H136,"")</f>
        <v/>
      </c>
      <c r="I136" t="str">
        <f>IF($A136&lt;&gt;"",'All Cases - Enter Cases'!I136,"")</f>
        <v/>
      </c>
      <c r="J136" t="str">
        <f>IF($A136&lt;&gt;"",'All Cases - Enter Cases'!J136,"")</f>
        <v/>
      </c>
      <c r="K136" s="4" t="str">
        <f>IF($A136&lt;&gt;"",'All Cases - Enter Cases'!K136,"")</f>
        <v/>
      </c>
      <c r="L136" t="str">
        <f>IF($A136&lt;&gt;"",'All Cases - Enter Cases'!L136,"")</f>
        <v/>
      </c>
      <c r="M136" t="str">
        <f>IF($A136&lt;&gt;"",'All Cases - Enter Cases'!M136,"")</f>
        <v/>
      </c>
    </row>
    <row r="137" spans="1:13" x14ac:dyDescent="0.35">
      <c r="A137" s="10" t="str">
        <f>IF('All Cases - Enter Cases'!$F137="Sindh",'All Cases - Enter Cases'!A137,"")</f>
        <v/>
      </c>
      <c r="B137" t="str">
        <f>IF($A137&lt;&gt;"",'All Cases - Enter Cases'!B137,"")</f>
        <v/>
      </c>
      <c r="C137" t="str">
        <f>IF($A137&lt;&gt;"",'All Cases - Enter Cases'!C137,"")</f>
        <v/>
      </c>
      <c r="D137" t="str">
        <f>IF($A137&lt;&gt;"",'All Cases - Enter Cases'!D137,"")</f>
        <v/>
      </c>
      <c r="E137" t="str">
        <f>IF($A137&lt;&gt;"",'All Cases - Enter Cases'!E137,"")</f>
        <v/>
      </c>
      <c r="F137" t="str">
        <f>IF($A137&lt;&gt;"",'All Cases - Enter Cases'!F137,"")</f>
        <v/>
      </c>
      <c r="G137" t="str">
        <f>IF($A137&lt;&gt;"",'All Cases - Enter Cases'!G137,"")</f>
        <v/>
      </c>
      <c r="H137" t="str">
        <f>IF($A137&lt;&gt;"",'All Cases - Enter Cases'!H137,"")</f>
        <v/>
      </c>
      <c r="I137" t="str">
        <f>IF($A137&lt;&gt;"",'All Cases - Enter Cases'!I137,"")</f>
        <v/>
      </c>
      <c r="J137" t="str">
        <f>IF($A137&lt;&gt;"",'All Cases - Enter Cases'!J137,"")</f>
        <v/>
      </c>
      <c r="K137" s="4" t="str">
        <f>IF($A137&lt;&gt;"",'All Cases - Enter Cases'!K137,"")</f>
        <v/>
      </c>
      <c r="L137" t="str">
        <f>IF($A137&lt;&gt;"",'All Cases - Enter Cases'!L137,"")</f>
        <v/>
      </c>
      <c r="M137" t="str">
        <f>IF($A137&lt;&gt;"",'All Cases - Enter Cases'!M137,"")</f>
        <v/>
      </c>
    </row>
    <row r="138" spans="1:13" x14ac:dyDescent="0.35">
      <c r="A138" s="10" t="str">
        <f>IF('All Cases - Enter Cases'!$F138="Sindh",'All Cases - Enter Cases'!A138,"")</f>
        <v/>
      </c>
      <c r="B138" t="str">
        <f>IF($A138&lt;&gt;"",'All Cases - Enter Cases'!B138,"")</f>
        <v/>
      </c>
      <c r="C138" t="str">
        <f>IF($A138&lt;&gt;"",'All Cases - Enter Cases'!C138,"")</f>
        <v/>
      </c>
      <c r="D138" t="str">
        <f>IF($A138&lt;&gt;"",'All Cases - Enter Cases'!D138,"")</f>
        <v/>
      </c>
      <c r="E138" t="str">
        <f>IF($A138&lt;&gt;"",'All Cases - Enter Cases'!E138,"")</f>
        <v/>
      </c>
      <c r="F138" t="str">
        <f>IF($A138&lt;&gt;"",'All Cases - Enter Cases'!F138,"")</f>
        <v/>
      </c>
      <c r="G138" t="str">
        <f>IF($A138&lt;&gt;"",'All Cases - Enter Cases'!G138,"")</f>
        <v/>
      </c>
      <c r="H138" t="str">
        <f>IF($A138&lt;&gt;"",'All Cases - Enter Cases'!H138,"")</f>
        <v/>
      </c>
      <c r="I138" t="str">
        <f>IF($A138&lt;&gt;"",'All Cases - Enter Cases'!I138,"")</f>
        <v/>
      </c>
      <c r="J138" t="str">
        <f>IF($A138&lt;&gt;"",'All Cases - Enter Cases'!J138,"")</f>
        <v/>
      </c>
      <c r="K138" s="4" t="str">
        <f>IF($A138&lt;&gt;"",'All Cases - Enter Cases'!K138,"")</f>
        <v/>
      </c>
      <c r="L138" t="str">
        <f>IF($A138&lt;&gt;"",'All Cases - Enter Cases'!L138,"")</f>
        <v/>
      </c>
      <c r="M138" t="str">
        <f>IF($A138&lt;&gt;"",'All Cases - Enter Cases'!M138,"")</f>
        <v/>
      </c>
    </row>
    <row r="139" spans="1:13" x14ac:dyDescent="0.35">
      <c r="A139" s="10" t="str">
        <f>IF('All Cases - Enter Cases'!$F139="Sindh",'All Cases - Enter Cases'!A139,"")</f>
        <v/>
      </c>
      <c r="B139" t="str">
        <f>IF($A139&lt;&gt;"",'All Cases - Enter Cases'!B139,"")</f>
        <v/>
      </c>
      <c r="C139" t="str">
        <f>IF($A139&lt;&gt;"",'All Cases - Enter Cases'!C139,"")</f>
        <v/>
      </c>
      <c r="D139" t="str">
        <f>IF($A139&lt;&gt;"",'All Cases - Enter Cases'!D139,"")</f>
        <v/>
      </c>
      <c r="E139" t="str">
        <f>IF($A139&lt;&gt;"",'All Cases - Enter Cases'!E139,"")</f>
        <v/>
      </c>
      <c r="F139" t="str">
        <f>IF($A139&lt;&gt;"",'All Cases - Enter Cases'!F139,"")</f>
        <v/>
      </c>
      <c r="G139" t="str">
        <f>IF($A139&lt;&gt;"",'All Cases - Enter Cases'!G139,"")</f>
        <v/>
      </c>
      <c r="H139" t="str">
        <f>IF($A139&lt;&gt;"",'All Cases - Enter Cases'!H139,"")</f>
        <v/>
      </c>
      <c r="I139" t="str">
        <f>IF($A139&lt;&gt;"",'All Cases - Enter Cases'!I139,"")</f>
        <v/>
      </c>
      <c r="J139" t="str">
        <f>IF($A139&lt;&gt;"",'All Cases - Enter Cases'!J139,"")</f>
        <v/>
      </c>
      <c r="K139" s="4" t="str">
        <f>IF($A139&lt;&gt;"",'All Cases - Enter Cases'!K139,"")</f>
        <v/>
      </c>
      <c r="L139" t="str">
        <f>IF($A139&lt;&gt;"",'All Cases - Enter Cases'!L139,"")</f>
        <v/>
      </c>
      <c r="M139" t="str">
        <f>IF($A139&lt;&gt;"",'All Cases - Enter Cases'!M139,"")</f>
        <v/>
      </c>
    </row>
    <row r="140" spans="1:13" x14ac:dyDescent="0.35">
      <c r="A140" s="10" t="str">
        <f>IF('All Cases - Enter Cases'!$F140="Sindh",'All Cases - Enter Cases'!A140,"")</f>
        <v/>
      </c>
      <c r="B140" t="str">
        <f>IF($A140&lt;&gt;"",'All Cases - Enter Cases'!B140,"")</f>
        <v/>
      </c>
      <c r="C140" t="str">
        <f>IF($A140&lt;&gt;"",'All Cases - Enter Cases'!C140,"")</f>
        <v/>
      </c>
      <c r="D140" t="str">
        <f>IF($A140&lt;&gt;"",'All Cases - Enter Cases'!D140,"")</f>
        <v/>
      </c>
      <c r="E140" t="str">
        <f>IF($A140&lt;&gt;"",'All Cases - Enter Cases'!E140,"")</f>
        <v/>
      </c>
      <c r="F140" t="str">
        <f>IF($A140&lt;&gt;"",'All Cases - Enter Cases'!F140,"")</f>
        <v/>
      </c>
      <c r="G140" t="str">
        <f>IF($A140&lt;&gt;"",'All Cases - Enter Cases'!G140,"")</f>
        <v/>
      </c>
      <c r="H140" t="str">
        <f>IF($A140&lt;&gt;"",'All Cases - Enter Cases'!H140,"")</f>
        <v/>
      </c>
      <c r="I140" t="str">
        <f>IF($A140&lt;&gt;"",'All Cases - Enter Cases'!I140,"")</f>
        <v/>
      </c>
      <c r="J140" t="str">
        <f>IF($A140&lt;&gt;"",'All Cases - Enter Cases'!J140,"")</f>
        <v/>
      </c>
      <c r="K140" s="4" t="str">
        <f>IF($A140&lt;&gt;"",'All Cases - Enter Cases'!K140,"")</f>
        <v/>
      </c>
      <c r="L140" t="str">
        <f>IF($A140&lt;&gt;"",'All Cases - Enter Cases'!L140,"")</f>
        <v/>
      </c>
      <c r="M140" t="str">
        <f>IF($A140&lt;&gt;"",'All Cases - Enter Cases'!M140,"")</f>
        <v/>
      </c>
    </row>
    <row r="141" spans="1:13" x14ac:dyDescent="0.35">
      <c r="A141" s="10" t="str">
        <f>IF('All Cases - Enter Cases'!$F141="Sindh",'All Cases - Enter Cases'!A141,"")</f>
        <v/>
      </c>
      <c r="B141" t="str">
        <f>IF($A141&lt;&gt;"",'All Cases - Enter Cases'!B141,"")</f>
        <v/>
      </c>
      <c r="C141" t="str">
        <f>IF($A141&lt;&gt;"",'All Cases - Enter Cases'!C141,"")</f>
        <v/>
      </c>
      <c r="D141" t="str">
        <f>IF($A141&lt;&gt;"",'All Cases - Enter Cases'!D141,"")</f>
        <v/>
      </c>
      <c r="E141" t="str">
        <f>IF($A141&lt;&gt;"",'All Cases - Enter Cases'!E141,"")</f>
        <v/>
      </c>
      <c r="F141" t="str">
        <f>IF($A141&lt;&gt;"",'All Cases - Enter Cases'!F141,"")</f>
        <v/>
      </c>
      <c r="G141" t="str">
        <f>IF($A141&lt;&gt;"",'All Cases - Enter Cases'!G141,"")</f>
        <v/>
      </c>
      <c r="H141" t="str">
        <f>IF($A141&lt;&gt;"",'All Cases - Enter Cases'!H141,"")</f>
        <v/>
      </c>
      <c r="I141" t="str">
        <f>IF($A141&lt;&gt;"",'All Cases - Enter Cases'!I141,"")</f>
        <v/>
      </c>
      <c r="J141" t="str">
        <f>IF($A141&lt;&gt;"",'All Cases - Enter Cases'!J141,"")</f>
        <v/>
      </c>
      <c r="K141" s="4" t="str">
        <f>IF($A141&lt;&gt;"",'All Cases - Enter Cases'!K141,"")</f>
        <v/>
      </c>
      <c r="L141" t="str">
        <f>IF($A141&lt;&gt;"",'All Cases - Enter Cases'!L141,"")</f>
        <v/>
      </c>
      <c r="M141" t="str">
        <f>IF($A141&lt;&gt;"",'All Cases - Enter Cases'!M141,"")</f>
        <v/>
      </c>
    </row>
    <row r="142" spans="1:13" x14ac:dyDescent="0.35">
      <c r="A142" s="10" t="str">
        <f>IF('All Cases - Enter Cases'!$F142="Sindh",'All Cases - Enter Cases'!A142,"")</f>
        <v/>
      </c>
      <c r="B142" t="str">
        <f>IF($A142&lt;&gt;"",'All Cases - Enter Cases'!B142,"")</f>
        <v/>
      </c>
      <c r="C142" t="str">
        <f>IF($A142&lt;&gt;"",'All Cases - Enter Cases'!C142,"")</f>
        <v/>
      </c>
      <c r="D142" t="str">
        <f>IF($A142&lt;&gt;"",'All Cases - Enter Cases'!D142,"")</f>
        <v/>
      </c>
      <c r="E142" t="str">
        <f>IF($A142&lt;&gt;"",'All Cases - Enter Cases'!E142,"")</f>
        <v/>
      </c>
      <c r="F142" t="str">
        <f>IF($A142&lt;&gt;"",'All Cases - Enter Cases'!F142,"")</f>
        <v/>
      </c>
      <c r="G142" t="str">
        <f>IF($A142&lt;&gt;"",'All Cases - Enter Cases'!G142,"")</f>
        <v/>
      </c>
      <c r="H142" t="str">
        <f>IF($A142&lt;&gt;"",'All Cases - Enter Cases'!H142,"")</f>
        <v/>
      </c>
      <c r="I142" t="str">
        <f>IF($A142&lt;&gt;"",'All Cases - Enter Cases'!I142,"")</f>
        <v/>
      </c>
      <c r="J142" t="str">
        <f>IF($A142&lt;&gt;"",'All Cases - Enter Cases'!J142,"")</f>
        <v/>
      </c>
      <c r="K142" s="4" t="str">
        <f>IF($A142&lt;&gt;"",'All Cases - Enter Cases'!K142,"")</f>
        <v/>
      </c>
      <c r="L142" t="str">
        <f>IF($A142&lt;&gt;"",'All Cases - Enter Cases'!L142,"")</f>
        <v/>
      </c>
      <c r="M142" t="str">
        <f>IF($A142&lt;&gt;"",'All Cases - Enter Cases'!M142,"")</f>
        <v/>
      </c>
    </row>
    <row r="143" spans="1:13" x14ac:dyDescent="0.35">
      <c r="A143" s="10" t="str">
        <f>IF('All Cases - Enter Cases'!$F143="Sindh",'All Cases - Enter Cases'!A143,"")</f>
        <v/>
      </c>
      <c r="B143" t="str">
        <f>IF($A143&lt;&gt;"",'All Cases - Enter Cases'!B143,"")</f>
        <v/>
      </c>
      <c r="C143" t="str">
        <f>IF($A143&lt;&gt;"",'All Cases - Enter Cases'!C143,"")</f>
        <v/>
      </c>
      <c r="D143" t="str">
        <f>IF($A143&lt;&gt;"",'All Cases - Enter Cases'!D143,"")</f>
        <v/>
      </c>
      <c r="E143" t="str">
        <f>IF($A143&lt;&gt;"",'All Cases - Enter Cases'!E143,"")</f>
        <v/>
      </c>
      <c r="F143" t="str">
        <f>IF($A143&lt;&gt;"",'All Cases - Enter Cases'!F143,"")</f>
        <v/>
      </c>
      <c r="G143" t="str">
        <f>IF($A143&lt;&gt;"",'All Cases - Enter Cases'!G143,"")</f>
        <v/>
      </c>
      <c r="H143" t="str">
        <f>IF($A143&lt;&gt;"",'All Cases - Enter Cases'!H143,"")</f>
        <v/>
      </c>
      <c r="I143" t="str">
        <f>IF($A143&lt;&gt;"",'All Cases - Enter Cases'!I143,"")</f>
        <v/>
      </c>
      <c r="J143" t="str">
        <f>IF($A143&lt;&gt;"",'All Cases - Enter Cases'!J143,"")</f>
        <v/>
      </c>
      <c r="K143" s="4" t="str">
        <f>IF($A143&lt;&gt;"",'All Cases - Enter Cases'!K143,"")</f>
        <v/>
      </c>
      <c r="L143" t="str">
        <f>IF($A143&lt;&gt;"",'All Cases - Enter Cases'!L143,"")</f>
        <v/>
      </c>
      <c r="M143" t="str">
        <f>IF($A143&lt;&gt;"",'All Cases - Enter Cases'!M143,"")</f>
        <v/>
      </c>
    </row>
    <row r="144" spans="1:13" x14ac:dyDescent="0.35">
      <c r="A144" s="10" t="str">
        <f>IF('All Cases - Enter Cases'!$F144="Sindh",'All Cases - Enter Cases'!A144,"")</f>
        <v/>
      </c>
      <c r="B144" t="str">
        <f>IF($A144&lt;&gt;"",'All Cases - Enter Cases'!B144,"")</f>
        <v/>
      </c>
      <c r="C144" t="str">
        <f>IF($A144&lt;&gt;"",'All Cases - Enter Cases'!C144,"")</f>
        <v/>
      </c>
      <c r="D144" t="str">
        <f>IF($A144&lt;&gt;"",'All Cases - Enter Cases'!D144,"")</f>
        <v/>
      </c>
      <c r="E144" t="str">
        <f>IF($A144&lt;&gt;"",'All Cases - Enter Cases'!E144,"")</f>
        <v/>
      </c>
      <c r="F144" t="str">
        <f>IF($A144&lt;&gt;"",'All Cases - Enter Cases'!F144,"")</f>
        <v/>
      </c>
      <c r="G144" t="str">
        <f>IF($A144&lt;&gt;"",'All Cases - Enter Cases'!G144,"")</f>
        <v/>
      </c>
      <c r="H144" t="str">
        <f>IF($A144&lt;&gt;"",'All Cases - Enter Cases'!H144,"")</f>
        <v/>
      </c>
      <c r="I144" t="str">
        <f>IF($A144&lt;&gt;"",'All Cases - Enter Cases'!I144,"")</f>
        <v/>
      </c>
      <c r="J144" t="str">
        <f>IF($A144&lt;&gt;"",'All Cases - Enter Cases'!J144,"")</f>
        <v/>
      </c>
      <c r="K144" s="4" t="str">
        <f>IF($A144&lt;&gt;"",'All Cases - Enter Cases'!K144,"")</f>
        <v/>
      </c>
      <c r="L144" t="str">
        <f>IF($A144&lt;&gt;"",'All Cases - Enter Cases'!L144,"")</f>
        <v/>
      </c>
      <c r="M144" t="str">
        <f>IF($A144&lt;&gt;"",'All Cases - Enter Cases'!M144,"")</f>
        <v/>
      </c>
    </row>
    <row r="145" spans="1:13" x14ac:dyDescent="0.35">
      <c r="A145" s="10" t="str">
        <f>IF('All Cases - Enter Cases'!$F145="Sindh",'All Cases - Enter Cases'!A145,"")</f>
        <v/>
      </c>
      <c r="B145" t="str">
        <f>IF($A145&lt;&gt;"",'All Cases - Enter Cases'!B145,"")</f>
        <v/>
      </c>
      <c r="C145" t="str">
        <f>IF($A145&lt;&gt;"",'All Cases - Enter Cases'!C145,"")</f>
        <v/>
      </c>
      <c r="D145" t="str">
        <f>IF($A145&lt;&gt;"",'All Cases - Enter Cases'!D145,"")</f>
        <v/>
      </c>
      <c r="E145" t="str">
        <f>IF($A145&lt;&gt;"",'All Cases - Enter Cases'!E145,"")</f>
        <v/>
      </c>
      <c r="F145" t="str">
        <f>IF($A145&lt;&gt;"",'All Cases - Enter Cases'!F145,"")</f>
        <v/>
      </c>
      <c r="G145" t="str">
        <f>IF($A145&lt;&gt;"",'All Cases - Enter Cases'!G145,"")</f>
        <v/>
      </c>
      <c r="H145" t="str">
        <f>IF($A145&lt;&gt;"",'All Cases - Enter Cases'!H145,"")</f>
        <v/>
      </c>
      <c r="I145" t="str">
        <f>IF($A145&lt;&gt;"",'All Cases - Enter Cases'!I145,"")</f>
        <v/>
      </c>
      <c r="J145" t="str">
        <f>IF($A145&lt;&gt;"",'All Cases - Enter Cases'!J145,"")</f>
        <v/>
      </c>
      <c r="K145" s="4" t="str">
        <f>IF($A145&lt;&gt;"",'All Cases - Enter Cases'!K145,"")</f>
        <v/>
      </c>
      <c r="L145" t="str">
        <f>IF($A145&lt;&gt;"",'All Cases - Enter Cases'!L145,"")</f>
        <v/>
      </c>
      <c r="M145" t="str">
        <f>IF($A145&lt;&gt;"",'All Cases - Enter Cases'!M145,"")</f>
        <v/>
      </c>
    </row>
    <row r="146" spans="1:13" x14ac:dyDescent="0.35">
      <c r="A146" s="10" t="str">
        <f>IF('All Cases - Enter Cases'!$F146="Sindh",'All Cases - Enter Cases'!A146,"")</f>
        <v/>
      </c>
      <c r="B146" t="str">
        <f>IF($A146&lt;&gt;"",'All Cases - Enter Cases'!B146,"")</f>
        <v/>
      </c>
      <c r="C146" t="str">
        <f>IF($A146&lt;&gt;"",'All Cases - Enter Cases'!C146,"")</f>
        <v/>
      </c>
      <c r="D146" t="str">
        <f>IF($A146&lt;&gt;"",'All Cases - Enter Cases'!D146,"")</f>
        <v/>
      </c>
      <c r="E146" t="str">
        <f>IF($A146&lt;&gt;"",'All Cases - Enter Cases'!E146,"")</f>
        <v/>
      </c>
      <c r="F146" t="str">
        <f>IF($A146&lt;&gt;"",'All Cases - Enter Cases'!F146,"")</f>
        <v/>
      </c>
      <c r="G146" t="str">
        <f>IF($A146&lt;&gt;"",'All Cases - Enter Cases'!G146,"")</f>
        <v/>
      </c>
      <c r="H146" t="str">
        <f>IF($A146&lt;&gt;"",'All Cases - Enter Cases'!H146,"")</f>
        <v/>
      </c>
      <c r="I146" t="str">
        <f>IF($A146&lt;&gt;"",'All Cases - Enter Cases'!I146,"")</f>
        <v/>
      </c>
      <c r="J146" t="str">
        <f>IF($A146&lt;&gt;"",'All Cases - Enter Cases'!J146,"")</f>
        <v/>
      </c>
      <c r="K146" s="4" t="str">
        <f>IF($A146&lt;&gt;"",'All Cases - Enter Cases'!K146,"")</f>
        <v/>
      </c>
      <c r="L146" t="str">
        <f>IF($A146&lt;&gt;"",'All Cases - Enter Cases'!L146,"")</f>
        <v/>
      </c>
      <c r="M146" t="str">
        <f>IF($A146&lt;&gt;"",'All Cases - Enter Cases'!M146,"")</f>
        <v/>
      </c>
    </row>
    <row r="147" spans="1:13" x14ac:dyDescent="0.35">
      <c r="A147" s="10" t="str">
        <f>IF('All Cases - Enter Cases'!$F147="Sindh",'All Cases - Enter Cases'!A147,"")</f>
        <v/>
      </c>
      <c r="B147" t="str">
        <f>IF($A147&lt;&gt;"",'All Cases - Enter Cases'!B147,"")</f>
        <v/>
      </c>
      <c r="C147" t="str">
        <f>IF($A147&lt;&gt;"",'All Cases - Enter Cases'!C147,"")</f>
        <v/>
      </c>
      <c r="D147" t="str">
        <f>IF($A147&lt;&gt;"",'All Cases - Enter Cases'!D147,"")</f>
        <v/>
      </c>
      <c r="E147" t="str">
        <f>IF($A147&lt;&gt;"",'All Cases - Enter Cases'!E147,"")</f>
        <v/>
      </c>
      <c r="F147" t="str">
        <f>IF($A147&lt;&gt;"",'All Cases - Enter Cases'!F147,"")</f>
        <v/>
      </c>
      <c r="G147" t="str">
        <f>IF($A147&lt;&gt;"",'All Cases - Enter Cases'!G147,"")</f>
        <v/>
      </c>
      <c r="H147" t="str">
        <f>IF($A147&lt;&gt;"",'All Cases - Enter Cases'!H147,"")</f>
        <v/>
      </c>
      <c r="I147" t="str">
        <f>IF($A147&lt;&gt;"",'All Cases - Enter Cases'!I147,"")</f>
        <v/>
      </c>
      <c r="J147" t="str">
        <f>IF($A147&lt;&gt;"",'All Cases - Enter Cases'!J147,"")</f>
        <v/>
      </c>
      <c r="K147" s="4" t="str">
        <f>IF($A147&lt;&gt;"",'All Cases - Enter Cases'!K147,"")</f>
        <v/>
      </c>
      <c r="L147" t="str">
        <f>IF($A147&lt;&gt;"",'All Cases - Enter Cases'!L147,"")</f>
        <v/>
      </c>
      <c r="M147" t="str">
        <f>IF($A147&lt;&gt;"",'All Cases - Enter Cases'!M147,"")</f>
        <v/>
      </c>
    </row>
    <row r="148" spans="1:13" x14ac:dyDescent="0.35">
      <c r="A148" s="10" t="str">
        <f>IF('All Cases - Enter Cases'!$F148="Sindh",'All Cases - Enter Cases'!A148,"")</f>
        <v/>
      </c>
      <c r="B148" t="str">
        <f>IF($A148&lt;&gt;"",'All Cases - Enter Cases'!B148,"")</f>
        <v/>
      </c>
      <c r="C148" t="str">
        <f>IF($A148&lt;&gt;"",'All Cases - Enter Cases'!C148,"")</f>
        <v/>
      </c>
      <c r="D148" t="str">
        <f>IF($A148&lt;&gt;"",'All Cases - Enter Cases'!D148,"")</f>
        <v/>
      </c>
      <c r="E148" t="str">
        <f>IF($A148&lt;&gt;"",'All Cases - Enter Cases'!E148,"")</f>
        <v/>
      </c>
      <c r="F148" t="str">
        <f>IF($A148&lt;&gt;"",'All Cases - Enter Cases'!F148,"")</f>
        <v/>
      </c>
      <c r="G148" t="str">
        <f>IF($A148&lt;&gt;"",'All Cases - Enter Cases'!G148,"")</f>
        <v/>
      </c>
      <c r="H148" t="str">
        <f>IF($A148&lt;&gt;"",'All Cases - Enter Cases'!H148,"")</f>
        <v/>
      </c>
      <c r="I148" t="str">
        <f>IF($A148&lt;&gt;"",'All Cases - Enter Cases'!I148,"")</f>
        <v/>
      </c>
      <c r="J148" t="str">
        <f>IF($A148&lt;&gt;"",'All Cases - Enter Cases'!J148,"")</f>
        <v/>
      </c>
      <c r="K148" s="4" t="str">
        <f>IF($A148&lt;&gt;"",'All Cases - Enter Cases'!K148,"")</f>
        <v/>
      </c>
      <c r="L148" t="str">
        <f>IF($A148&lt;&gt;"",'All Cases - Enter Cases'!L148,"")</f>
        <v/>
      </c>
      <c r="M148" t="str">
        <f>IF($A148&lt;&gt;"",'All Cases - Enter Cases'!M148,"")</f>
        <v/>
      </c>
    </row>
    <row r="149" spans="1:13" x14ac:dyDescent="0.35">
      <c r="A149" s="10" t="str">
        <f>IF('All Cases - Enter Cases'!$F149="Sindh",'All Cases - Enter Cases'!A149,"")</f>
        <v/>
      </c>
      <c r="B149" t="str">
        <f>IF($A149&lt;&gt;"",'All Cases - Enter Cases'!B149,"")</f>
        <v/>
      </c>
      <c r="C149" t="str">
        <f>IF($A149&lt;&gt;"",'All Cases - Enter Cases'!C149,"")</f>
        <v/>
      </c>
      <c r="D149" t="str">
        <f>IF($A149&lt;&gt;"",'All Cases - Enter Cases'!D149,"")</f>
        <v/>
      </c>
      <c r="E149" t="str">
        <f>IF($A149&lt;&gt;"",'All Cases - Enter Cases'!E149,"")</f>
        <v/>
      </c>
      <c r="F149" t="str">
        <f>IF($A149&lt;&gt;"",'All Cases - Enter Cases'!F149,"")</f>
        <v/>
      </c>
      <c r="G149" t="str">
        <f>IF($A149&lt;&gt;"",'All Cases - Enter Cases'!G149,"")</f>
        <v/>
      </c>
      <c r="H149" t="str">
        <f>IF($A149&lt;&gt;"",'All Cases - Enter Cases'!H149,"")</f>
        <v/>
      </c>
      <c r="I149" t="str">
        <f>IF($A149&lt;&gt;"",'All Cases - Enter Cases'!I149,"")</f>
        <v/>
      </c>
      <c r="J149" t="str">
        <f>IF($A149&lt;&gt;"",'All Cases - Enter Cases'!J149,"")</f>
        <v/>
      </c>
      <c r="K149" s="4" t="str">
        <f>IF($A149&lt;&gt;"",'All Cases - Enter Cases'!K149,"")</f>
        <v/>
      </c>
      <c r="L149" t="str">
        <f>IF($A149&lt;&gt;"",'All Cases - Enter Cases'!L149,"")</f>
        <v/>
      </c>
      <c r="M149" t="str">
        <f>IF($A149&lt;&gt;"",'All Cases - Enter Cases'!M149,"")</f>
        <v/>
      </c>
    </row>
    <row r="150" spans="1:13" x14ac:dyDescent="0.35">
      <c r="A150" s="10" t="str">
        <f>IF('All Cases - Enter Cases'!$F150="Sindh",'All Cases - Enter Cases'!A150,"")</f>
        <v/>
      </c>
      <c r="B150" t="str">
        <f>IF($A150&lt;&gt;"",'All Cases - Enter Cases'!B150,"")</f>
        <v/>
      </c>
      <c r="C150" t="str">
        <f>IF($A150&lt;&gt;"",'All Cases - Enter Cases'!C150,"")</f>
        <v/>
      </c>
      <c r="D150" t="str">
        <f>IF($A150&lt;&gt;"",'All Cases - Enter Cases'!D150,"")</f>
        <v/>
      </c>
      <c r="E150" t="str">
        <f>IF($A150&lt;&gt;"",'All Cases - Enter Cases'!E150,"")</f>
        <v/>
      </c>
      <c r="F150" t="str">
        <f>IF($A150&lt;&gt;"",'All Cases - Enter Cases'!F150,"")</f>
        <v/>
      </c>
      <c r="G150" t="str">
        <f>IF($A150&lt;&gt;"",'All Cases - Enter Cases'!G150,"")</f>
        <v/>
      </c>
      <c r="H150" t="str">
        <f>IF($A150&lt;&gt;"",'All Cases - Enter Cases'!H150,"")</f>
        <v/>
      </c>
      <c r="I150" t="str">
        <f>IF($A150&lt;&gt;"",'All Cases - Enter Cases'!I150,"")</f>
        <v/>
      </c>
      <c r="J150" t="str">
        <f>IF($A150&lt;&gt;"",'All Cases - Enter Cases'!J150,"")</f>
        <v/>
      </c>
      <c r="K150" s="4" t="str">
        <f>IF($A150&lt;&gt;"",'All Cases - Enter Cases'!K150,"")</f>
        <v/>
      </c>
      <c r="L150" t="str">
        <f>IF($A150&lt;&gt;"",'All Cases - Enter Cases'!L150,"")</f>
        <v/>
      </c>
      <c r="M150" t="str">
        <f>IF($A150&lt;&gt;"",'All Cases - Enter Cases'!M150,"")</f>
        <v/>
      </c>
    </row>
    <row r="151" spans="1:13" x14ac:dyDescent="0.35">
      <c r="A151" s="10" t="str">
        <f>IF('All Cases - Enter Cases'!$F151="Sindh",'All Cases - Enter Cases'!A151,"")</f>
        <v/>
      </c>
      <c r="B151" t="str">
        <f>IF($A151&lt;&gt;"",'All Cases - Enter Cases'!B151,"")</f>
        <v/>
      </c>
      <c r="C151" t="str">
        <f>IF($A151&lt;&gt;"",'All Cases - Enter Cases'!C151,"")</f>
        <v/>
      </c>
      <c r="D151" t="str">
        <f>IF($A151&lt;&gt;"",'All Cases - Enter Cases'!D151,"")</f>
        <v/>
      </c>
      <c r="E151" t="str">
        <f>IF($A151&lt;&gt;"",'All Cases - Enter Cases'!E151,"")</f>
        <v/>
      </c>
      <c r="F151" t="str">
        <f>IF($A151&lt;&gt;"",'All Cases - Enter Cases'!F151,"")</f>
        <v/>
      </c>
      <c r="G151" t="str">
        <f>IF($A151&lt;&gt;"",'All Cases - Enter Cases'!G151,"")</f>
        <v/>
      </c>
      <c r="H151" t="str">
        <f>IF($A151&lt;&gt;"",'All Cases - Enter Cases'!H151,"")</f>
        <v/>
      </c>
      <c r="I151" t="str">
        <f>IF($A151&lt;&gt;"",'All Cases - Enter Cases'!I151,"")</f>
        <v/>
      </c>
      <c r="J151" t="str">
        <f>IF($A151&lt;&gt;"",'All Cases - Enter Cases'!J151,"")</f>
        <v/>
      </c>
      <c r="K151" s="4" t="str">
        <f>IF($A151&lt;&gt;"",'All Cases - Enter Cases'!K151,"")</f>
        <v/>
      </c>
      <c r="L151" t="str">
        <f>IF($A151&lt;&gt;"",'All Cases - Enter Cases'!L151,"")</f>
        <v/>
      </c>
      <c r="M151" t="str">
        <f>IF($A151&lt;&gt;"",'All Cases - Enter Cases'!M151,"")</f>
        <v/>
      </c>
    </row>
    <row r="152" spans="1:13" x14ac:dyDescent="0.35">
      <c r="A152" s="10" t="str">
        <f>IF('All Cases - Enter Cases'!$F152="Sindh",'All Cases - Enter Cases'!A152,"")</f>
        <v/>
      </c>
      <c r="B152" t="str">
        <f>IF($A152&lt;&gt;"",'All Cases - Enter Cases'!B152,"")</f>
        <v/>
      </c>
      <c r="C152" t="str">
        <f>IF($A152&lt;&gt;"",'All Cases - Enter Cases'!C152,"")</f>
        <v/>
      </c>
      <c r="D152" t="str">
        <f>IF($A152&lt;&gt;"",'All Cases - Enter Cases'!D152,"")</f>
        <v/>
      </c>
      <c r="E152" t="str">
        <f>IF($A152&lt;&gt;"",'All Cases - Enter Cases'!E152,"")</f>
        <v/>
      </c>
      <c r="F152" t="str">
        <f>IF($A152&lt;&gt;"",'All Cases - Enter Cases'!F152,"")</f>
        <v/>
      </c>
      <c r="G152" t="str">
        <f>IF($A152&lt;&gt;"",'All Cases - Enter Cases'!G152,"")</f>
        <v/>
      </c>
      <c r="H152" t="str">
        <f>IF($A152&lt;&gt;"",'All Cases - Enter Cases'!H152,"")</f>
        <v/>
      </c>
      <c r="I152" t="str">
        <f>IF($A152&lt;&gt;"",'All Cases - Enter Cases'!I152,"")</f>
        <v/>
      </c>
      <c r="J152" t="str">
        <f>IF($A152&lt;&gt;"",'All Cases - Enter Cases'!J152,"")</f>
        <v/>
      </c>
      <c r="K152" s="4" t="str">
        <f>IF($A152&lt;&gt;"",'All Cases - Enter Cases'!K152,"")</f>
        <v/>
      </c>
      <c r="L152" t="str">
        <f>IF($A152&lt;&gt;"",'All Cases - Enter Cases'!L152,"")</f>
        <v/>
      </c>
      <c r="M152" t="str">
        <f>IF($A152&lt;&gt;"",'All Cases - Enter Cases'!M152,"")</f>
        <v/>
      </c>
    </row>
    <row r="153" spans="1:13" x14ac:dyDescent="0.35">
      <c r="A153" s="10" t="str">
        <f>IF('All Cases - Enter Cases'!$F153="Sindh",'All Cases - Enter Cases'!A153,"")</f>
        <v/>
      </c>
      <c r="B153" t="str">
        <f>IF($A153&lt;&gt;"",'All Cases - Enter Cases'!B153,"")</f>
        <v/>
      </c>
      <c r="C153" t="str">
        <f>IF($A153&lt;&gt;"",'All Cases - Enter Cases'!C153,"")</f>
        <v/>
      </c>
      <c r="D153" t="str">
        <f>IF($A153&lt;&gt;"",'All Cases - Enter Cases'!D153,"")</f>
        <v/>
      </c>
      <c r="E153" t="str">
        <f>IF($A153&lt;&gt;"",'All Cases - Enter Cases'!E153,"")</f>
        <v/>
      </c>
      <c r="F153" t="str">
        <f>IF($A153&lt;&gt;"",'All Cases - Enter Cases'!F153,"")</f>
        <v/>
      </c>
      <c r="G153" t="str">
        <f>IF($A153&lt;&gt;"",'All Cases - Enter Cases'!G153,"")</f>
        <v/>
      </c>
      <c r="H153" t="str">
        <f>IF($A153&lt;&gt;"",'All Cases - Enter Cases'!H153,"")</f>
        <v/>
      </c>
      <c r="I153" t="str">
        <f>IF($A153&lt;&gt;"",'All Cases - Enter Cases'!I153,"")</f>
        <v/>
      </c>
      <c r="J153" t="str">
        <f>IF($A153&lt;&gt;"",'All Cases - Enter Cases'!J153,"")</f>
        <v/>
      </c>
      <c r="K153" s="4" t="str">
        <f>IF($A153&lt;&gt;"",'All Cases - Enter Cases'!K153,"")</f>
        <v/>
      </c>
      <c r="L153" t="str">
        <f>IF($A153&lt;&gt;"",'All Cases - Enter Cases'!L153,"")</f>
        <v/>
      </c>
      <c r="M153" t="str">
        <f>IF($A153&lt;&gt;"",'All Cases - Enter Cases'!M153,"")</f>
        <v/>
      </c>
    </row>
    <row r="154" spans="1:13" x14ac:dyDescent="0.35">
      <c r="A154" s="10" t="str">
        <f>IF('All Cases - Enter Cases'!$F154="Sindh",'All Cases - Enter Cases'!A154,"")</f>
        <v/>
      </c>
      <c r="B154" t="str">
        <f>IF($A154&lt;&gt;"",'All Cases - Enter Cases'!B154,"")</f>
        <v/>
      </c>
      <c r="C154" t="str">
        <f>IF($A154&lt;&gt;"",'All Cases - Enter Cases'!C154,"")</f>
        <v/>
      </c>
      <c r="D154" t="str">
        <f>IF($A154&lt;&gt;"",'All Cases - Enter Cases'!D154,"")</f>
        <v/>
      </c>
      <c r="E154" t="str">
        <f>IF($A154&lt;&gt;"",'All Cases - Enter Cases'!E154,"")</f>
        <v/>
      </c>
      <c r="F154" t="str">
        <f>IF($A154&lt;&gt;"",'All Cases - Enter Cases'!F154,"")</f>
        <v/>
      </c>
      <c r="G154" t="str">
        <f>IF($A154&lt;&gt;"",'All Cases - Enter Cases'!G154,"")</f>
        <v/>
      </c>
      <c r="H154" t="str">
        <f>IF($A154&lt;&gt;"",'All Cases - Enter Cases'!H154,"")</f>
        <v/>
      </c>
      <c r="I154" t="str">
        <f>IF($A154&lt;&gt;"",'All Cases - Enter Cases'!I154,"")</f>
        <v/>
      </c>
      <c r="J154" t="str">
        <f>IF($A154&lt;&gt;"",'All Cases - Enter Cases'!J154,"")</f>
        <v/>
      </c>
      <c r="K154" s="4" t="str">
        <f>IF($A154&lt;&gt;"",'All Cases - Enter Cases'!K154,"")</f>
        <v/>
      </c>
      <c r="L154" t="str">
        <f>IF($A154&lt;&gt;"",'All Cases - Enter Cases'!L154,"")</f>
        <v/>
      </c>
      <c r="M154" t="str">
        <f>IF($A154&lt;&gt;"",'All Cases - Enter Cases'!M154,"")</f>
        <v/>
      </c>
    </row>
    <row r="155" spans="1:13" x14ac:dyDescent="0.35">
      <c r="A155" s="10" t="str">
        <f>IF('All Cases - Enter Cases'!$F155="Sindh",'All Cases - Enter Cases'!A155,"")</f>
        <v/>
      </c>
      <c r="B155" t="str">
        <f>IF($A155&lt;&gt;"",'All Cases - Enter Cases'!B155,"")</f>
        <v/>
      </c>
      <c r="C155" t="str">
        <f>IF($A155&lt;&gt;"",'All Cases - Enter Cases'!C155,"")</f>
        <v/>
      </c>
      <c r="D155" t="str">
        <f>IF($A155&lt;&gt;"",'All Cases - Enter Cases'!D155,"")</f>
        <v/>
      </c>
      <c r="E155" t="str">
        <f>IF($A155&lt;&gt;"",'All Cases - Enter Cases'!E155,"")</f>
        <v/>
      </c>
      <c r="F155" t="str">
        <f>IF($A155&lt;&gt;"",'All Cases - Enter Cases'!F155,"")</f>
        <v/>
      </c>
      <c r="G155" t="str">
        <f>IF($A155&lt;&gt;"",'All Cases - Enter Cases'!G155,"")</f>
        <v/>
      </c>
      <c r="H155" t="str">
        <f>IF($A155&lt;&gt;"",'All Cases - Enter Cases'!H155,"")</f>
        <v/>
      </c>
      <c r="I155" t="str">
        <f>IF($A155&lt;&gt;"",'All Cases - Enter Cases'!I155,"")</f>
        <v/>
      </c>
      <c r="J155" t="str">
        <f>IF($A155&lt;&gt;"",'All Cases - Enter Cases'!J155,"")</f>
        <v/>
      </c>
      <c r="K155" s="4" t="str">
        <f>IF($A155&lt;&gt;"",'All Cases - Enter Cases'!K155,"")</f>
        <v/>
      </c>
      <c r="L155" t="str">
        <f>IF($A155&lt;&gt;"",'All Cases - Enter Cases'!L155,"")</f>
        <v/>
      </c>
      <c r="M155" t="str">
        <f>IF($A155&lt;&gt;"",'All Cases - Enter Cases'!M155,"")</f>
        <v/>
      </c>
    </row>
    <row r="156" spans="1:13" x14ac:dyDescent="0.35">
      <c r="A156" s="10" t="str">
        <f>IF('All Cases - Enter Cases'!$F156="Sindh",'All Cases - Enter Cases'!A156,"")</f>
        <v/>
      </c>
      <c r="B156" t="str">
        <f>IF($A156&lt;&gt;"",'All Cases - Enter Cases'!B156,"")</f>
        <v/>
      </c>
      <c r="C156" t="str">
        <f>IF($A156&lt;&gt;"",'All Cases - Enter Cases'!C156,"")</f>
        <v/>
      </c>
      <c r="D156" t="str">
        <f>IF($A156&lt;&gt;"",'All Cases - Enter Cases'!D156,"")</f>
        <v/>
      </c>
      <c r="E156" t="str">
        <f>IF($A156&lt;&gt;"",'All Cases - Enter Cases'!E156,"")</f>
        <v/>
      </c>
      <c r="F156" t="str">
        <f>IF($A156&lt;&gt;"",'All Cases - Enter Cases'!F156,"")</f>
        <v/>
      </c>
      <c r="G156" t="str">
        <f>IF($A156&lt;&gt;"",'All Cases - Enter Cases'!G156,"")</f>
        <v/>
      </c>
      <c r="H156" t="str">
        <f>IF($A156&lt;&gt;"",'All Cases - Enter Cases'!H156,"")</f>
        <v/>
      </c>
      <c r="I156" t="str">
        <f>IF($A156&lt;&gt;"",'All Cases - Enter Cases'!I156,"")</f>
        <v/>
      </c>
      <c r="J156" t="str">
        <f>IF($A156&lt;&gt;"",'All Cases - Enter Cases'!J156,"")</f>
        <v/>
      </c>
      <c r="K156" s="4" t="str">
        <f>IF($A156&lt;&gt;"",'All Cases - Enter Cases'!K156,"")</f>
        <v/>
      </c>
      <c r="L156" t="str">
        <f>IF($A156&lt;&gt;"",'All Cases - Enter Cases'!L156,"")</f>
        <v/>
      </c>
      <c r="M156" t="str">
        <f>IF($A156&lt;&gt;"",'All Cases - Enter Cases'!M156,"")</f>
        <v/>
      </c>
    </row>
    <row r="157" spans="1:13" x14ac:dyDescent="0.35">
      <c r="A157" s="10" t="str">
        <f>IF('All Cases - Enter Cases'!$F157="Sindh",'All Cases - Enter Cases'!A157,"")</f>
        <v/>
      </c>
      <c r="B157" t="str">
        <f>IF($A157&lt;&gt;"",'All Cases - Enter Cases'!B157,"")</f>
        <v/>
      </c>
      <c r="C157" t="str">
        <f>IF($A157&lt;&gt;"",'All Cases - Enter Cases'!C157,"")</f>
        <v/>
      </c>
      <c r="D157" t="str">
        <f>IF($A157&lt;&gt;"",'All Cases - Enter Cases'!D157,"")</f>
        <v/>
      </c>
      <c r="E157" t="str">
        <f>IF($A157&lt;&gt;"",'All Cases - Enter Cases'!E157,"")</f>
        <v/>
      </c>
      <c r="F157" t="str">
        <f>IF($A157&lt;&gt;"",'All Cases - Enter Cases'!F157,"")</f>
        <v/>
      </c>
      <c r="G157" t="str">
        <f>IF($A157&lt;&gt;"",'All Cases - Enter Cases'!G157,"")</f>
        <v/>
      </c>
      <c r="H157" t="str">
        <f>IF($A157&lt;&gt;"",'All Cases - Enter Cases'!H157,"")</f>
        <v/>
      </c>
      <c r="I157" t="str">
        <f>IF($A157&lt;&gt;"",'All Cases - Enter Cases'!I157,"")</f>
        <v/>
      </c>
      <c r="J157" t="str">
        <f>IF($A157&lt;&gt;"",'All Cases - Enter Cases'!J157,"")</f>
        <v/>
      </c>
      <c r="K157" s="4" t="str">
        <f>IF($A157&lt;&gt;"",'All Cases - Enter Cases'!K157,"")</f>
        <v/>
      </c>
      <c r="L157" t="str">
        <f>IF($A157&lt;&gt;"",'All Cases - Enter Cases'!L157,"")</f>
        <v/>
      </c>
      <c r="M157" t="str">
        <f>IF($A157&lt;&gt;"",'All Cases - Enter Cases'!M157,"")</f>
        <v/>
      </c>
    </row>
    <row r="158" spans="1:13" x14ac:dyDescent="0.35">
      <c r="A158" s="10" t="str">
        <f>IF('All Cases - Enter Cases'!$F158="Sindh",'All Cases - Enter Cases'!A158,"")</f>
        <v/>
      </c>
      <c r="B158" t="str">
        <f>IF($A158&lt;&gt;"",'All Cases - Enter Cases'!B158,"")</f>
        <v/>
      </c>
      <c r="C158" t="str">
        <f>IF($A158&lt;&gt;"",'All Cases - Enter Cases'!C158,"")</f>
        <v/>
      </c>
      <c r="D158" t="str">
        <f>IF($A158&lt;&gt;"",'All Cases - Enter Cases'!D158,"")</f>
        <v/>
      </c>
      <c r="E158" t="str">
        <f>IF($A158&lt;&gt;"",'All Cases - Enter Cases'!E158,"")</f>
        <v/>
      </c>
      <c r="F158" t="str">
        <f>IF($A158&lt;&gt;"",'All Cases - Enter Cases'!F158,"")</f>
        <v/>
      </c>
      <c r="G158" t="str">
        <f>IF($A158&lt;&gt;"",'All Cases - Enter Cases'!G158,"")</f>
        <v/>
      </c>
      <c r="H158" t="str">
        <f>IF($A158&lt;&gt;"",'All Cases - Enter Cases'!H158,"")</f>
        <v/>
      </c>
      <c r="I158" t="str">
        <f>IF($A158&lt;&gt;"",'All Cases - Enter Cases'!I158,"")</f>
        <v/>
      </c>
      <c r="J158" t="str">
        <f>IF($A158&lt;&gt;"",'All Cases - Enter Cases'!J158,"")</f>
        <v/>
      </c>
      <c r="K158" s="4" t="str">
        <f>IF($A158&lt;&gt;"",'All Cases - Enter Cases'!K158,"")</f>
        <v/>
      </c>
      <c r="L158" t="str">
        <f>IF($A158&lt;&gt;"",'All Cases - Enter Cases'!L158,"")</f>
        <v/>
      </c>
      <c r="M158" t="str">
        <f>IF($A158&lt;&gt;"",'All Cases - Enter Cases'!M158,"")</f>
        <v/>
      </c>
    </row>
    <row r="159" spans="1:13" x14ac:dyDescent="0.35">
      <c r="A159" s="10" t="str">
        <f>IF('All Cases - Enter Cases'!$F159="Sindh",'All Cases - Enter Cases'!A159,"")</f>
        <v/>
      </c>
      <c r="B159" t="str">
        <f>IF($A159&lt;&gt;"",'All Cases - Enter Cases'!B159,"")</f>
        <v/>
      </c>
      <c r="C159" t="str">
        <f>IF($A159&lt;&gt;"",'All Cases - Enter Cases'!C159,"")</f>
        <v/>
      </c>
      <c r="D159" t="str">
        <f>IF($A159&lt;&gt;"",'All Cases - Enter Cases'!D159,"")</f>
        <v/>
      </c>
      <c r="E159" t="str">
        <f>IF($A159&lt;&gt;"",'All Cases - Enter Cases'!E159,"")</f>
        <v/>
      </c>
      <c r="F159" t="str">
        <f>IF($A159&lt;&gt;"",'All Cases - Enter Cases'!F159,"")</f>
        <v/>
      </c>
      <c r="G159" t="str">
        <f>IF($A159&lt;&gt;"",'All Cases - Enter Cases'!G159,"")</f>
        <v/>
      </c>
      <c r="H159" t="str">
        <f>IF($A159&lt;&gt;"",'All Cases - Enter Cases'!H159,"")</f>
        <v/>
      </c>
      <c r="I159" t="str">
        <f>IF($A159&lt;&gt;"",'All Cases - Enter Cases'!I159,"")</f>
        <v/>
      </c>
      <c r="J159" t="str">
        <f>IF($A159&lt;&gt;"",'All Cases - Enter Cases'!J159,"")</f>
        <v/>
      </c>
      <c r="K159" s="4" t="str">
        <f>IF($A159&lt;&gt;"",'All Cases - Enter Cases'!K159,"")</f>
        <v/>
      </c>
      <c r="L159" t="str">
        <f>IF($A159&lt;&gt;"",'All Cases - Enter Cases'!L159,"")</f>
        <v/>
      </c>
      <c r="M159" t="str">
        <f>IF($A159&lt;&gt;"",'All Cases - Enter Cases'!M159,"")</f>
        <v/>
      </c>
    </row>
    <row r="160" spans="1:13" x14ac:dyDescent="0.35">
      <c r="A160" s="10" t="str">
        <f>IF('All Cases - Enter Cases'!$F160="Sindh",'All Cases - Enter Cases'!A160,"")</f>
        <v/>
      </c>
      <c r="B160" t="str">
        <f>IF($A160&lt;&gt;"",'All Cases - Enter Cases'!B160,"")</f>
        <v/>
      </c>
      <c r="C160" t="str">
        <f>IF($A160&lt;&gt;"",'All Cases - Enter Cases'!C160,"")</f>
        <v/>
      </c>
      <c r="D160" t="str">
        <f>IF($A160&lt;&gt;"",'All Cases - Enter Cases'!D160,"")</f>
        <v/>
      </c>
      <c r="E160" t="str">
        <f>IF($A160&lt;&gt;"",'All Cases - Enter Cases'!E160,"")</f>
        <v/>
      </c>
      <c r="F160" t="str">
        <f>IF($A160&lt;&gt;"",'All Cases - Enter Cases'!F160,"")</f>
        <v/>
      </c>
      <c r="G160" t="str">
        <f>IF($A160&lt;&gt;"",'All Cases - Enter Cases'!G160,"")</f>
        <v/>
      </c>
      <c r="H160" t="str">
        <f>IF($A160&lt;&gt;"",'All Cases - Enter Cases'!H160,"")</f>
        <v/>
      </c>
      <c r="I160" t="str">
        <f>IF($A160&lt;&gt;"",'All Cases - Enter Cases'!I160,"")</f>
        <v/>
      </c>
      <c r="J160" t="str">
        <f>IF($A160&lt;&gt;"",'All Cases - Enter Cases'!J160,"")</f>
        <v/>
      </c>
      <c r="K160" s="4" t="str">
        <f>IF($A160&lt;&gt;"",'All Cases - Enter Cases'!K160,"")</f>
        <v/>
      </c>
      <c r="L160" t="str">
        <f>IF($A160&lt;&gt;"",'All Cases - Enter Cases'!L160,"")</f>
        <v/>
      </c>
      <c r="M160" t="str">
        <f>IF($A160&lt;&gt;"",'All Cases - Enter Cases'!M160,"")</f>
        <v/>
      </c>
    </row>
    <row r="161" spans="1:13" x14ac:dyDescent="0.35">
      <c r="A161" s="10" t="str">
        <f>IF('All Cases - Enter Cases'!$F161="Sindh",'All Cases - Enter Cases'!A161,"")</f>
        <v/>
      </c>
      <c r="B161" t="str">
        <f>IF($A161&lt;&gt;"",'All Cases - Enter Cases'!B161,"")</f>
        <v/>
      </c>
      <c r="C161" t="str">
        <f>IF($A161&lt;&gt;"",'All Cases - Enter Cases'!C161,"")</f>
        <v/>
      </c>
      <c r="D161" t="str">
        <f>IF($A161&lt;&gt;"",'All Cases - Enter Cases'!D161,"")</f>
        <v/>
      </c>
      <c r="E161" t="str">
        <f>IF($A161&lt;&gt;"",'All Cases - Enter Cases'!E161,"")</f>
        <v/>
      </c>
      <c r="F161" t="str">
        <f>IF($A161&lt;&gt;"",'All Cases - Enter Cases'!F161,"")</f>
        <v/>
      </c>
      <c r="G161" t="str">
        <f>IF($A161&lt;&gt;"",'All Cases - Enter Cases'!G161,"")</f>
        <v/>
      </c>
      <c r="H161" t="str">
        <f>IF($A161&lt;&gt;"",'All Cases - Enter Cases'!H161,"")</f>
        <v/>
      </c>
      <c r="I161" t="str">
        <f>IF($A161&lt;&gt;"",'All Cases - Enter Cases'!I161,"")</f>
        <v/>
      </c>
      <c r="J161" t="str">
        <f>IF($A161&lt;&gt;"",'All Cases - Enter Cases'!J161,"")</f>
        <v/>
      </c>
      <c r="K161" s="4" t="str">
        <f>IF($A161&lt;&gt;"",'All Cases - Enter Cases'!K161,"")</f>
        <v/>
      </c>
      <c r="L161" t="str">
        <f>IF($A161&lt;&gt;"",'All Cases - Enter Cases'!L161,"")</f>
        <v/>
      </c>
      <c r="M161" t="str">
        <f>IF($A161&lt;&gt;"",'All Cases - Enter Cases'!M161,"")</f>
        <v/>
      </c>
    </row>
    <row r="162" spans="1:13" x14ac:dyDescent="0.35">
      <c r="A162" s="10" t="str">
        <f>IF('All Cases - Enter Cases'!$F162="Sindh",'All Cases - Enter Cases'!A162,"")</f>
        <v/>
      </c>
      <c r="B162" t="str">
        <f>IF($A162&lt;&gt;"",'All Cases - Enter Cases'!B162,"")</f>
        <v/>
      </c>
      <c r="C162" t="str">
        <f>IF($A162&lt;&gt;"",'All Cases - Enter Cases'!C162,"")</f>
        <v/>
      </c>
      <c r="D162" t="str">
        <f>IF($A162&lt;&gt;"",'All Cases - Enter Cases'!D162,"")</f>
        <v/>
      </c>
      <c r="E162" t="str">
        <f>IF($A162&lt;&gt;"",'All Cases - Enter Cases'!E162,"")</f>
        <v/>
      </c>
      <c r="F162" t="str">
        <f>IF($A162&lt;&gt;"",'All Cases - Enter Cases'!F162,"")</f>
        <v/>
      </c>
      <c r="G162" t="str">
        <f>IF($A162&lt;&gt;"",'All Cases - Enter Cases'!G162,"")</f>
        <v/>
      </c>
      <c r="H162" t="str">
        <f>IF($A162&lt;&gt;"",'All Cases - Enter Cases'!H162,"")</f>
        <v/>
      </c>
      <c r="I162" t="str">
        <f>IF($A162&lt;&gt;"",'All Cases - Enter Cases'!I162,"")</f>
        <v/>
      </c>
      <c r="J162" t="str">
        <f>IF($A162&lt;&gt;"",'All Cases - Enter Cases'!J162,"")</f>
        <v/>
      </c>
      <c r="K162" s="4" t="str">
        <f>IF($A162&lt;&gt;"",'All Cases - Enter Cases'!K162,"")</f>
        <v/>
      </c>
      <c r="L162" t="str">
        <f>IF($A162&lt;&gt;"",'All Cases - Enter Cases'!L162,"")</f>
        <v/>
      </c>
      <c r="M162" t="str">
        <f>IF($A162&lt;&gt;"",'All Cases - Enter Cases'!M162,"")</f>
        <v/>
      </c>
    </row>
    <row r="163" spans="1:13" x14ac:dyDescent="0.35">
      <c r="A163" s="10" t="str">
        <f>IF('All Cases - Enter Cases'!$F163="Sindh",'All Cases - Enter Cases'!A163,"")</f>
        <v/>
      </c>
      <c r="B163" t="str">
        <f>IF($A163&lt;&gt;"",'All Cases - Enter Cases'!B163,"")</f>
        <v/>
      </c>
      <c r="C163" t="str">
        <f>IF($A163&lt;&gt;"",'All Cases - Enter Cases'!C163,"")</f>
        <v/>
      </c>
      <c r="D163" t="str">
        <f>IF($A163&lt;&gt;"",'All Cases - Enter Cases'!D163,"")</f>
        <v/>
      </c>
      <c r="E163" t="str">
        <f>IF($A163&lt;&gt;"",'All Cases - Enter Cases'!E163,"")</f>
        <v/>
      </c>
      <c r="F163" t="str">
        <f>IF($A163&lt;&gt;"",'All Cases - Enter Cases'!F163,"")</f>
        <v/>
      </c>
      <c r="G163" t="str">
        <f>IF($A163&lt;&gt;"",'All Cases - Enter Cases'!G163,"")</f>
        <v/>
      </c>
      <c r="H163" t="str">
        <f>IF($A163&lt;&gt;"",'All Cases - Enter Cases'!H163,"")</f>
        <v/>
      </c>
      <c r="I163" t="str">
        <f>IF($A163&lt;&gt;"",'All Cases - Enter Cases'!I163,"")</f>
        <v/>
      </c>
      <c r="J163" t="str">
        <f>IF($A163&lt;&gt;"",'All Cases - Enter Cases'!J163,"")</f>
        <v/>
      </c>
      <c r="K163" s="4" t="str">
        <f>IF($A163&lt;&gt;"",'All Cases - Enter Cases'!K163,"")</f>
        <v/>
      </c>
      <c r="L163" t="str">
        <f>IF($A163&lt;&gt;"",'All Cases - Enter Cases'!L163,"")</f>
        <v/>
      </c>
      <c r="M163" t="str">
        <f>IF($A163&lt;&gt;"",'All Cases - Enter Cases'!M163,"")</f>
        <v/>
      </c>
    </row>
    <row r="164" spans="1:13" x14ac:dyDescent="0.35">
      <c r="A164" s="10" t="str">
        <f>IF('All Cases - Enter Cases'!$F164="Sindh",'All Cases - Enter Cases'!A164,"")</f>
        <v/>
      </c>
      <c r="B164" t="str">
        <f>IF($A164&lt;&gt;"",'All Cases - Enter Cases'!B164,"")</f>
        <v/>
      </c>
      <c r="C164" t="str">
        <f>IF($A164&lt;&gt;"",'All Cases - Enter Cases'!C164,"")</f>
        <v/>
      </c>
      <c r="D164" t="str">
        <f>IF($A164&lt;&gt;"",'All Cases - Enter Cases'!D164,"")</f>
        <v/>
      </c>
      <c r="E164" t="str">
        <f>IF($A164&lt;&gt;"",'All Cases - Enter Cases'!E164,"")</f>
        <v/>
      </c>
      <c r="F164" t="str">
        <f>IF($A164&lt;&gt;"",'All Cases - Enter Cases'!F164,"")</f>
        <v/>
      </c>
      <c r="G164" t="str">
        <f>IF($A164&lt;&gt;"",'All Cases - Enter Cases'!G164,"")</f>
        <v/>
      </c>
      <c r="H164" t="str">
        <f>IF($A164&lt;&gt;"",'All Cases - Enter Cases'!H164,"")</f>
        <v/>
      </c>
      <c r="I164" t="str">
        <f>IF($A164&lt;&gt;"",'All Cases - Enter Cases'!I164,"")</f>
        <v/>
      </c>
      <c r="J164" t="str">
        <f>IF($A164&lt;&gt;"",'All Cases - Enter Cases'!J164,"")</f>
        <v/>
      </c>
      <c r="K164" s="4" t="str">
        <f>IF($A164&lt;&gt;"",'All Cases - Enter Cases'!K164,"")</f>
        <v/>
      </c>
      <c r="L164" t="str">
        <f>IF($A164&lt;&gt;"",'All Cases - Enter Cases'!L164,"")</f>
        <v/>
      </c>
      <c r="M164" t="str">
        <f>IF($A164&lt;&gt;"",'All Cases - Enter Cases'!M164,"")</f>
        <v/>
      </c>
    </row>
    <row r="165" spans="1:13" x14ac:dyDescent="0.35">
      <c r="A165" s="10" t="str">
        <f>IF('All Cases - Enter Cases'!$F165="Sindh",'All Cases - Enter Cases'!A165,"")</f>
        <v/>
      </c>
      <c r="B165" t="str">
        <f>IF($A165&lt;&gt;"",'All Cases - Enter Cases'!B165,"")</f>
        <v/>
      </c>
      <c r="C165" t="str">
        <f>IF($A165&lt;&gt;"",'All Cases - Enter Cases'!C165,"")</f>
        <v/>
      </c>
      <c r="D165" t="str">
        <f>IF($A165&lt;&gt;"",'All Cases - Enter Cases'!D165,"")</f>
        <v/>
      </c>
      <c r="E165" t="str">
        <f>IF($A165&lt;&gt;"",'All Cases - Enter Cases'!E165,"")</f>
        <v/>
      </c>
      <c r="F165" t="str">
        <f>IF($A165&lt;&gt;"",'All Cases - Enter Cases'!F165,"")</f>
        <v/>
      </c>
      <c r="G165" t="str">
        <f>IF($A165&lt;&gt;"",'All Cases - Enter Cases'!G165,"")</f>
        <v/>
      </c>
      <c r="H165" t="str">
        <f>IF($A165&lt;&gt;"",'All Cases - Enter Cases'!H165,"")</f>
        <v/>
      </c>
      <c r="I165" t="str">
        <f>IF($A165&lt;&gt;"",'All Cases - Enter Cases'!I165,"")</f>
        <v/>
      </c>
      <c r="J165" t="str">
        <f>IF($A165&lt;&gt;"",'All Cases - Enter Cases'!J165,"")</f>
        <v/>
      </c>
      <c r="K165" s="4" t="str">
        <f>IF($A165&lt;&gt;"",'All Cases - Enter Cases'!K165,"")</f>
        <v/>
      </c>
      <c r="L165" t="str">
        <f>IF($A165&lt;&gt;"",'All Cases - Enter Cases'!L165,"")</f>
        <v/>
      </c>
      <c r="M165" t="str">
        <f>IF($A165&lt;&gt;"",'All Cases - Enter Cases'!M165,"")</f>
        <v/>
      </c>
    </row>
    <row r="166" spans="1:13" x14ac:dyDescent="0.35">
      <c r="A166" s="10" t="str">
        <f>IF('All Cases - Enter Cases'!$F166="Sindh",'All Cases - Enter Cases'!A166,"")</f>
        <v/>
      </c>
      <c r="B166" t="str">
        <f>IF($A166&lt;&gt;"",'All Cases - Enter Cases'!B166,"")</f>
        <v/>
      </c>
      <c r="C166" t="str">
        <f>IF($A166&lt;&gt;"",'All Cases - Enter Cases'!C166,"")</f>
        <v/>
      </c>
      <c r="D166" t="str">
        <f>IF($A166&lt;&gt;"",'All Cases - Enter Cases'!D166,"")</f>
        <v/>
      </c>
      <c r="E166" t="str">
        <f>IF($A166&lt;&gt;"",'All Cases - Enter Cases'!E166,"")</f>
        <v/>
      </c>
      <c r="F166" t="str">
        <f>IF($A166&lt;&gt;"",'All Cases - Enter Cases'!F166,"")</f>
        <v/>
      </c>
      <c r="G166" t="str">
        <f>IF($A166&lt;&gt;"",'All Cases - Enter Cases'!G166,"")</f>
        <v/>
      </c>
      <c r="H166" t="str">
        <f>IF($A166&lt;&gt;"",'All Cases - Enter Cases'!H166,"")</f>
        <v/>
      </c>
      <c r="I166" t="str">
        <f>IF($A166&lt;&gt;"",'All Cases - Enter Cases'!I166,"")</f>
        <v/>
      </c>
      <c r="J166" t="str">
        <f>IF($A166&lt;&gt;"",'All Cases - Enter Cases'!J166,"")</f>
        <v/>
      </c>
      <c r="K166" s="4" t="str">
        <f>IF($A166&lt;&gt;"",'All Cases - Enter Cases'!K166,"")</f>
        <v/>
      </c>
      <c r="L166" t="str">
        <f>IF($A166&lt;&gt;"",'All Cases - Enter Cases'!L166,"")</f>
        <v/>
      </c>
      <c r="M166" t="str">
        <f>IF($A166&lt;&gt;"",'All Cases - Enter Cases'!M166,"")</f>
        <v/>
      </c>
    </row>
    <row r="167" spans="1:13" x14ac:dyDescent="0.35">
      <c r="A167" s="10" t="str">
        <f>IF('All Cases - Enter Cases'!$F167="Sindh",'All Cases - Enter Cases'!A167,"")</f>
        <v/>
      </c>
      <c r="B167" t="str">
        <f>IF($A167&lt;&gt;"",'All Cases - Enter Cases'!B167,"")</f>
        <v/>
      </c>
      <c r="C167" t="str">
        <f>IF($A167&lt;&gt;"",'All Cases - Enter Cases'!C167,"")</f>
        <v/>
      </c>
      <c r="D167" t="str">
        <f>IF($A167&lt;&gt;"",'All Cases - Enter Cases'!D167,"")</f>
        <v/>
      </c>
      <c r="E167" t="str">
        <f>IF($A167&lt;&gt;"",'All Cases - Enter Cases'!E167,"")</f>
        <v/>
      </c>
      <c r="F167" t="str">
        <f>IF($A167&lt;&gt;"",'All Cases - Enter Cases'!F167,"")</f>
        <v/>
      </c>
      <c r="G167" t="str">
        <f>IF($A167&lt;&gt;"",'All Cases - Enter Cases'!G167,"")</f>
        <v/>
      </c>
      <c r="H167" t="str">
        <f>IF($A167&lt;&gt;"",'All Cases - Enter Cases'!H167,"")</f>
        <v/>
      </c>
      <c r="I167" t="str">
        <f>IF($A167&lt;&gt;"",'All Cases - Enter Cases'!I167,"")</f>
        <v/>
      </c>
      <c r="J167" t="str">
        <f>IF($A167&lt;&gt;"",'All Cases - Enter Cases'!J167,"")</f>
        <v/>
      </c>
      <c r="K167" s="4" t="str">
        <f>IF($A167&lt;&gt;"",'All Cases - Enter Cases'!K167,"")</f>
        <v/>
      </c>
      <c r="L167" t="str">
        <f>IF($A167&lt;&gt;"",'All Cases - Enter Cases'!L167,"")</f>
        <v/>
      </c>
      <c r="M167" t="str">
        <f>IF($A167&lt;&gt;"",'All Cases - Enter Cases'!M167,"")</f>
        <v/>
      </c>
    </row>
    <row r="168" spans="1:13" x14ac:dyDescent="0.35">
      <c r="A168" s="10" t="str">
        <f>IF('All Cases - Enter Cases'!$F168="Sindh",'All Cases - Enter Cases'!A168,"")</f>
        <v/>
      </c>
      <c r="B168" t="str">
        <f>IF($A168&lt;&gt;"",'All Cases - Enter Cases'!B168,"")</f>
        <v/>
      </c>
      <c r="C168" t="str">
        <f>IF($A168&lt;&gt;"",'All Cases - Enter Cases'!C168,"")</f>
        <v/>
      </c>
      <c r="D168" t="str">
        <f>IF($A168&lt;&gt;"",'All Cases - Enter Cases'!D168,"")</f>
        <v/>
      </c>
      <c r="E168" t="str">
        <f>IF($A168&lt;&gt;"",'All Cases - Enter Cases'!E168,"")</f>
        <v/>
      </c>
      <c r="F168" t="str">
        <f>IF($A168&lt;&gt;"",'All Cases - Enter Cases'!F168,"")</f>
        <v/>
      </c>
      <c r="G168" t="str">
        <f>IF($A168&lt;&gt;"",'All Cases - Enter Cases'!G168,"")</f>
        <v/>
      </c>
      <c r="H168" t="str">
        <f>IF($A168&lt;&gt;"",'All Cases - Enter Cases'!H168,"")</f>
        <v/>
      </c>
      <c r="I168" t="str">
        <f>IF($A168&lt;&gt;"",'All Cases - Enter Cases'!I168,"")</f>
        <v/>
      </c>
      <c r="J168" t="str">
        <f>IF($A168&lt;&gt;"",'All Cases - Enter Cases'!J168,"")</f>
        <v/>
      </c>
      <c r="K168" s="4" t="str">
        <f>IF($A168&lt;&gt;"",'All Cases - Enter Cases'!K168,"")</f>
        <v/>
      </c>
      <c r="L168" t="str">
        <f>IF($A168&lt;&gt;"",'All Cases - Enter Cases'!L168,"")</f>
        <v/>
      </c>
      <c r="M168" t="str">
        <f>IF($A168&lt;&gt;"",'All Cases - Enter Cases'!M168,"")</f>
        <v/>
      </c>
    </row>
    <row r="169" spans="1:13" x14ac:dyDescent="0.35">
      <c r="A169" s="10" t="str">
        <f>IF('All Cases - Enter Cases'!$F169="Sindh",'All Cases - Enter Cases'!A169,"")</f>
        <v/>
      </c>
      <c r="B169" t="str">
        <f>IF($A169&lt;&gt;"",'All Cases - Enter Cases'!B169,"")</f>
        <v/>
      </c>
      <c r="C169" t="str">
        <f>IF($A169&lt;&gt;"",'All Cases - Enter Cases'!C169,"")</f>
        <v/>
      </c>
      <c r="D169" t="str">
        <f>IF($A169&lt;&gt;"",'All Cases - Enter Cases'!D169,"")</f>
        <v/>
      </c>
      <c r="E169" t="str">
        <f>IF($A169&lt;&gt;"",'All Cases - Enter Cases'!E169,"")</f>
        <v/>
      </c>
      <c r="F169" t="str">
        <f>IF($A169&lt;&gt;"",'All Cases - Enter Cases'!F169,"")</f>
        <v/>
      </c>
      <c r="G169" t="str">
        <f>IF($A169&lt;&gt;"",'All Cases - Enter Cases'!G169,"")</f>
        <v/>
      </c>
      <c r="H169" t="str">
        <f>IF($A169&lt;&gt;"",'All Cases - Enter Cases'!H169,"")</f>
        <v/>
      </c>
      <c r="I169" t="str">
        <f>IF($A169&lt;&gt;"",'All Cases - Enter Cases'!I169,"")</f>
        <v/>
      </c>
      <c r="J169" t="str">
        <f>IF($A169&lt;&gt;"",'All Cases - Enter Cases'!J169,"")</f>
        <v/>
      </c>
      <c r="K169" s="4" t="str">
        <f>IF($A169&lt;&gt;"",'All Cases - Enter Cases'!K169,"")</f>
        <v/>
      </c>
      <c r="L169" t="str">
        <f>IF($A169&lt;&gt;"",'All Cases - Enter Cases'!L169,"")</f>
        <v/>
      </c>
      <c r="M169" t="str">
        <f>IF($A169&lt;&gt;"",'All Cases - Enter Cases'!M169,"")</f>
        <v/>
      </c>
    </row>
    <row r="170" spans="1:13" x14ac:dyDescent="0.35">
      <c r="A170" s="10" t="str">
        <f>IF('All Cases - Enter Cases'!$F170="Sindh",'All Cases - Enter Cases'!A170,"")</f>
        <v/>
      </c>
      <c r="B170" t="str">
        <f>IF($A170&lt;&gt;"",'All Cases - Enter Cases'!B170,"")</f>
        <v/>
      </c>
      <c r="C170" t="str">
        <f>IF($A170&lt;&gt;"",'All Cases - Enter Cases'!C170,"")</f>
        <v/>
      </c>
      <c r="D170" t="str">
        <f>IF($A170&lt;&gt;"",'All Cases - Enter Cases'!D170,"")</f>
        <v/>
      </c>
      <c r="E170" t="str">
        <f>IF($A170&lt;&gt;"",'All Cases - Enter Cases'!E170,"")</f>
        <v/>
      </c>
      <c r="F170" t="str">
        <f>IF($A170&lt;&gt;"",'All Cases - Enter Cases'!F170,"")</f>
        <v/>
      </c>
      <c r="G170" t="str">
        <f>IF($A170&lt;&gt;"",'All Cases - Enter Cases'!G170,"")</f>
        <v/>
      </c>
      <c r="H170" t="str">
        <f>IF($A170&lt;&gt;"",'All Cases - Enter Cases'!H170,"")</f>
        <v/>
      </c>
      <c r="I170" t="str">
        <f>IF($A170&lt;&gt;"",'All Cases - Enter Cases'!I170,"")</f>
        <v/>
      </c>
      <c r="J170" t="str">
        <f>IF($A170&lt;&gt;"",'All Cases - Enter Cases'!J170,"")</f>
        <v/>
      </c>
      <c r="K170" s="4" t="str">
        <f>IF($A170&lt;&gt;"",'All Cases - Enter Cases'!K170,"")</f>
        <v/>
      </c>
      <c r="L170" t="str">
        <f>IF($A170&lt;&gt;"",'All Cases - Enter Cases'!L170,"")</f>
        <v/>
      </c>
      <c r="M170" t="str">
        <f>IF($A170&lt;&gt;"",'All Cases - Enter Cases'!M170,"")</f>
        <v/>
      </c>
    </row>
    <row r="171" spans="1:13" x14ac:dyDescent="0.35">
      <c r="A171" s="10" t="str">
        <f>IF('All Cases - Enter Cases'!$F171="Sindh",'All Cases - Enter Cases'!A171,"")</f>
        <v/>
      </c>
      <c r="B171" t="str">
        <f>IF($A171&lt;&gt;"",'All Cases - Enter Cases'!B171,"")</f>
        <v/>
      </c>
      <c r="C171" t="str">
        <f>IF($A171&lt;&gt;"",'All Cases - Enter Cases'!C171,"")</f>
        <v/>
      </c>
      <c r="D171" t="str">
        <f>IF($A171&lt;&gt;"",'All Cases - Enter Cases'!D171,"")</f>
        <v/>
      </c>
      <c r="E171" t="str">
        <f>IF($A171&lt;&gt;"",'All Cases - Enter Cases'!E171,"")</f>
        <v/>
      </c>
      <c r="F171" t="str">
        <f>IF($A171&lt;&gt;"",'All Cases - Enter Cases'!F171,"")</f>
        <v/>
      </c>
      <c r="G171" t="str">
        <f>IF($A171&lt;&gt;"",'All Cases - Enter Cases'!G171,"")</f>
        <v/>
      </c>
      <c r="H171" t="str">
        <f>IF($A171&lt;&gt;"",'All Cases - Enter Cases'!H171,"")</f>
        <v/>
      </c>
      <c r="I171" t="str">
        <f>IF($A171&lt;&gt;"",'All Cases - Enter Cases'!I171,"")</f>
        <v/>
      </c>
      <c r="J171" t="str">
        <f>IF($A171&lt;&gt;"",'All Cases - Enter Cases'!J171,"")</f>
        <v/>
      </c>
      <c r="K171" s="4" t="str">
        <f>IF($A171&lt;&gt;"",'All Cases - Enter Cases'!K171,"")</f>
        <v/>
      </c>
      <c r="L171" t="str">
        <f>IF($A171&lt;&gt;"",'All Cases - Enter Cases'!L171,"")</f>
        <v/>
      </c>
      <c r="M171" t="str">
        <f>IF($A171&lt;&gt;"",'All Cases - Enter Cases'!M171,"")</f>
        <v/>
      </c>
    </row>
    <row r="172" spans="1:13" x14ac:dyDescent="0.35">
      <c r="A172" s="10" t="str">
        <f>IF('All Cases - Enter Cases'!$F172="Sindh",'All Cases - Enter Cases'!A172,"")</f>
        <v/>
      </c>
      <c r="B172" t="str">
        <f>IF($A172&lt;&gt;"",'All Cases - Enter Cases'!B172,"")</f>
        <v/>
      </c>
      <c r="C172" t="str">
        <f>IF($A172&lt;&gt;"",'All Cases - Enter Cases'!C172,"")</f>
        <v/>
      </c>
      <c r="D172" t="str">
        <f>IF($A172&lt;&gt;"",'All Cases - Enter Cases'!D172,"")</f>
        <v/>
      </c>
      <c r="E172" t="str">
        <f>IF($A172&lt;&gt;"",'All Cases - Enter Cases'!E172,"")</f>
        <v/>
      </c>
      <c r="F172" t="str">
        <f>IF($A172&lt;&gt;"",'All Cases - Enter Cases'!F172,"")</f>
        <v/>
      </c>
      <c r="G172" t="str">
        <f>IF($A172&lt;&gt;"",'All Cases - Enter Cases'!G172,"")</f>
        <v/>
      </c>
      <c r="H172" t="str">
        <f>IF($A172&lt;&gt;"",'All Cases - Enter Cases'!H172,"")</f>
        <v/>
      </c>
      <c r="I172" t="str">
        <f>IF($A172&lt;&gt;"",'All Cases - Enter Cases'!I172,"")</f>
        <v/>
      </c>
      <c r="J172" t="str">
        <f>IF($A172&lt;&gt;"",'All Cases - Enter Cases'!J172,"")</f>
        <v/>
      </c>
      <c r="K172" s="4" t="str">
        <f>IF($A172&lt;&gt;"",'All Cases - Enter Cases'!K172,"")</f>
        <v/>
      </c>
      <c r="L172" t="str">
        <f>IF($A172&lt;&gt;"",'All Cases - Enter Cases'!L172,"")</f>
        <v/>
      </c>
      <c r="M172" t="str">
        <f>IF($A172&lt;&gt;"",'All Cases - Enter Cases'!M172,"")</f>
        <v/>
      </c>
    </row>
    <row r="173" spans="1:13" x14ac:dyDescent="0.35">
      <c r="A173" s="10" t="str">
        <f>IF('All Cases - Enter Cases'!$F173="Sindh",'All Cases - Enter Cases'!A173,"")</f>
        <v/>
      </c>
      <c r="B173" t="str">
        <f>IF($A173&lt;&gt;"",'All Cases - Enter Cases'!B173,"")</f>
        <v/>
      </c>
      <c r="C173" t="str">
        <f>IF($A173&lt;&gt;"",'All Cases - Enter Cases'!C173,"")</f>
        <v/>
      </c>
      <c r="D173" t="str">
        <f>IF($A173&lt;&gt;"",'All Cases - Enter Cases'!D173,"")</f>
        <v/>
      </c>
      <c r="E173" t="str">
        <f>IF($A173&lt;&gt;"",'All Cases - Enter Cases'!E173,"")</f>
        <v/>
      </c>
      <c r="F173" t="str">
        <f>IF($A173&lt;&gt;"",'All Cases - Enter Cases'!F173,"")</f>
        <v/>
      </c>
      <c r="G173" t="str">
        <f>IF($A173&lt;&gt;"",'All Cases - Enter Cases'!G173,"")</f>
        <v/>
      </c>
      <c r="H173" t="str">
        <f>IF($A173&lt;&gt;"",'All Cases - Enter Cases'!H173,"")</f>
        <v/>
      </c>
      <c r="I173" t="str">
        <f>IF($A173&lt;&gt;"",'All Cases - Enter Cases'!I173,"")</f>
        <v/>
      </c>
      <c r="J173" t="str">
        <f>IF($A173&lt;&gt;"",'All Cases - Enter Cases'!J173,"")</f>
        <v/>
      </c>
      <c r="K173" s="4" t="str">
        <f>IF($A173&lt;&gt;"",'All Cases - Enter Cases'!K173,"")</f>
        <v/>
      </c>
      <c r="L173" t="str">
        <f>IF($A173&lt;&gt;"",'All Cases - Enter Cases'!L173,"")</f>
        <v/>
      </c>
      <c r="M173" t="str">
        <f>IF($A173&lt;&gt;"",'All Cases - Enter Cases'!M173,"")</f>
        <v/>
      </c>
    </row>
    <row r="174" spans="1:13" x14ac:dyDescent="0.35">
      <c r="A174" s="10" t="str">
        <f>IF('All Cases - Enter Cases'!$F174="Sindh",'All Cases - Enter Cases'!A174,"")</f>
        <v/>
      </c>
      <c r="B174" t="str">
        <f>IF($A174&lt;&gt;"",'All Cases - Enter Cases'!B174,"")</f>
        <v/>
      </c>
      <c r="C174" t="str">
        <f>IF($A174&lt;&gt;"",'All Cases - Enter Cases'!C174,"")</f>
        <v/>
      </c>
      <c r="D174" t="str">
        <f>IF($A174&lt;&gt;"",'All Cases - Enter Cases'!D174,"")</f>
        <v/>
      </c>
      <c r="E174" t="str">
        <f>IF($A174&lt;&gt;"",'All Cases - Enter Cases'!E174,"")</f>
        <v/>
      </c>
      <c r="F174" t="str">
        <f>IF($A174&lt;&gt;"",'All Cases - Enter Cases'!F174,"")</f>
        <v/>
      </c>
      <c r="G174" t="str">
        <f>IF($A174&lt;&gt;"",'All Cases - Enter Cases'!G174,"")</f>
        <v/>
      </c>
      <c r="H174" t="str">
        <f>IF($A174&lt;&gt;"",'All Cases - Enter Cases'!H174,"")</f>
        <v/>
      </c>
      <c r="I174" t="str">
        <f>IF($A174&lt;&gt;"",'All Cases - Enter Cases'!I174,"")</f>
        <v/>
      </c>
      <c r="J174" t="str">
        <f>IF($A174&lt;&gt;"",'All Cases - Enter Cases'!J174,"")</f>
        <v/>
      </c>
      <c r="K174" s="4" t="str">
        <f>IF($A174&lt;&gt;"",'All Cases - Enter Cases'!K174,"")</f>
        <v/>
      </c>
      <c r="L174" t="str">
        <f>IF($A174&lt;&gt;"",'All Cases - Enter Cases'!L174,"")</f>
        <v/>
      </c>
      <c r="M174" t="str">
        <f>IF($A174&lt;&gt;"",'All Cases - Enter Cases'!M174,"")</f>
        <v/>
      </c>
    </row>
    <row r="175" spans="1:13" x14ac:dyDescent="0.35">
      <c r="A175" s="10" t="str">
        <f>IF('All Cases - Enter Cases'!$F175="Sindh",'All Cases - Enter Cases'!A175,"")</f>
        <v/>
      </c>
      <c r="B175" t="str">
        <f>IF($A175&lt;&gt;"",'All Cases - Enter Cases'!B175,"")</f>
        <v/>
      </c>
      <c r="C175" t="str">
        <f>IF($A175&lt;&gt;"",'All Cases - Enter Cases'!C175,"")</f>
        <v/>
      </c>
      <c r="D175" t="str">
        <f>IF($A175&lt;&gt;"",'All Cases - Enter Cases'!D175,"")</f>
        <v/>
      </c>
      <c r="E175" t="str">
        <f>IF($A175&lt;&gt;"",'All Cases - Enter Cases'!E175,"")</f>
        <v/>
      </c>
      <c r="F175" t="str">
        <f>IF($A175&lt;&gt;"",'All Cases - Enter Cases'!F175,"")</f>
        <v/>
      </c>
      <c r="G175" t="str">
        <f>IF($A175&lt;&gt;"",'All Cases - Enter Cases'!G175,"")</f>
        <v/>
      </c>
      <c r="H175" t="str">
        <f>IF($A175&lt;&gt;"",'All Cases - Enter Cases'!H175,"")</f>
        <v/>
      </c>
      <c r="I175" t="str">
        <f>IF($A175&lt;&gt;"",'All Cases - Enter Cases'!I175,"")</f>
        <v/>
      </c>
      <c r="J175" t="str">
        <f>IF($A175&lt;&gt;"",'All Cases - Enter Cases'!J175,"")</f>
        <v/>
      </c>
      <c r="K175" s="4" t="str">
        <f>IF($A175&lt;&gt;"",'All Cases - Enter Cases'!K175,"")</f>
        <v/>
      </c>
      <c r="L175" t="str">
        <f>IF($A175&lt;&gt;"",'All Cases - Enter Cases'!L175,"")</f>
        <v/>
      </c>
      <c r="M175" t="str">
        <f>IF($A175&lt;&gt;"",'All Cases - Enter Cases'!M175,"")</f>
        <v/>
      </c>
    </row>
    <row r="176" spans="1:13" x14ac:dyDescent="0.35">
      <c r="A176" s="10" t="str">
        <f>IF('All Cases - Enter Cases'!$F176="Sindh",'All Cases - Enter Cases'!A176,"")</f>
        <v/>
      </c>
      <c r="B176" t="str">
        <f>IF($A176&lt;&gt;"",'All Cases - Enter Cases'!B176,"")</f>
        <v/>
      </c>
      <c r="C176" t="str">
        <f>IF($A176&lt;&gt;"",'All Cases - Enter Cases'!C176,"")</f>
        <v/>
      </c>
      <c r="D176" t="str">
        <f>IF($A176&lt;&gt;"",'All Cases - Enter Cases'!D176,"")</f>
        <v/>
      </c>
      <c r="E176" t="str">
        <f>IF($A176&lt;&gt;"",'All Cases - Enter Cases'!E176,"")</f>
        <v/>
      </c>
      <c r="F176" t="str">
        <f>IF($A176&lt;&gt;"",'All Cases - Enter Cases'!F176,"")</f>
        <v/>
      </c>
      <c r="G176" t="str">
        <f>IF($A176&lt;&gt;"",'All Cases - Enter Cases'!G176,"")</f>
        <v/>
      </c>
      <c r="H176" t="str">
        <f>IF($A176&lt;&gt;"",'All Cases - Enter Cases'!H176,"")</f>
        <v/>
      </c>
      <c r="I176" t="str">
        <f>IF($A176&lt;&gt;"",'All Cases - Enter Cases'!I176,"")</f>
        <v/>
      </c>
      <c r="J176" t="str">
        <f>IF($A176&lt;&gt;"",'All Cases - Enter Cases'!J176,"")</f>
        <v/>
      </c>
      <c r="K176" s="4" t="str">
        <f>IF($A176&lt;&gt;"",'All Cases - Enter Cases'!K176,"")</f>
        <v/>
      </c>
      <c r="L176" t="str">
        <f>IF($A176&lt;&gt;"",'All Cases - Enter Cases'!L176,"")</f>
        <v/>
      </c>
      <c r="M176" t="str">
        <f>IF($A176&lt;&gt;"",'All Cases - Enter Cases'!M176,"")</f>
        <v/>
      </c>
    </row>
    <row r="177" spans="1:13" x14ac:dyDescent="0.35">
      <c r="A177" s="10" t="str">
        <f>IF('All Cases - Enter Cases'!$F177="Sindh",'All Cases - Enter Cases'!A177,"")</f>
        <v/>
      </c>
      <c r="B177" t="str">
        <f>IF($A177&lt;&gt;"",'All Cases - Enter Cases'!B177,"")</f>
        <v/>
      </c>
      <c r="C177" t="str">
        <f>IF($A177&lt;&gt;"",'All Cases - Enter Cases'!C177,"")</f>
        <v/>
      </c>
      <c r="D177" t="str">
        <f>IF($A177&lt;&gt;"",'All Cases - Enter Cases'!D177,"")</f>
        <v/>
      </c>
      <c r="E177" t="str">
        <f>IF($A177&lt;&gt;"",'All Cases - Enter Cases'!E177,"")</f>
        <v/>
      </c>
      <c r="F177" t="str">
        <f>IF($A177&lt;&gt;"",'All Cases - Enter Cases'!F177,"")</f>
        <v/>
      </c>
      <c r="G177" t="str">
        <f>IF($A177&lt;&gt;"",'All Cases - Enter Cases'!G177,"")</f>
        <v/>
      </c>
      <c r="H177" t="str">
        <f>IF($A177&lt;&gt;"",'All Cases - Enter Cases'!H177,"")</f>
        <v/>
      </c>
      <c r="I177" t="str">
        <f>IF($A177&lt;&gt;"",'All Cases - Enter Cases'!I177,"")</f>
        <v/>
      </c>
      <c r="J177" t="str">
        <f>IF($A177&lt;&gt;"",'All Cases - Enter Cases'!J177,"")</f>
        <v/>
      </c>
      <c r="K177" s="4" t="str">
        <f>IF($A177&lt;&gt;"",'All Cases - Enter Cases'!K177,"")</f>
        <v/>
      </c>
      <c r="L177" t="str">
        <f>IF($A177&lt;&gt;"",'All Cases - Enter Cases'!L177,"")</f>
        <v/>
      </c>
      <c r="M177" t="str">
        <f>IF($A177&lt;&gt;"",'All Cases - Enter Cases'!M177,"")</f>
        <v/>
      </c>
    </row>
    <row r="178" spans="1:13" x14ac:dyDescent="0.35">
      <c r="A178" s="10" t="str">
        <f>IF('All Cases - Enter Cases'!$F178="Sindh",'All Cases - Enter Cases'!A178,"")</f>
        <v/>
      </c>
      <c r="B178" t="str">
        <f>IF($A178&lt;&gt;"",'All Cases - Enter Cases'!B178,"")</f>
        <v/>
      </c>
      <c r="C178" t="str">
        <f>IF($A178&lt;&gt;"",'All Cases - Enter Cases'!C178,"")</f>
        <v/>
      </c>
      <c r="D178" t="str">
        <f>IF($A178&lt;&gt;"",'All Cases - Enter Cases'!D178,"")</f>
        <v/>
      </c>
      <c r="E178" t="str">
        <f>IF($A178&lt;&gt;"",'All Cases - Enter Cases'!E178,"")</f>
        <v/>
      </c>
      <c r="F178" t="str">
        <f>IF($A178&lt;&gt;"",'All Cases - Enter Cases'!F178,"")</f>
        <v/>
      </c>
      <c r="G178" t="str">
        <f>IF($A178&lt;&gt;"",'All Cases - Enter Cases'!G178,"")</f>
        <v/>
      </c>
      <c r="H178" t="str">
        <f>IF($A178&lt;&gt;"",'All Cases - Enter Cases'!H178,"")</f>
        <v/>
      </c>
      <c r="I178" t="str">
        <f>IF($A178&lt;&gt;"",'All Cases - Enter Cases'!I178,"")</f>
        <v/>
      </c>
      <c r="J178" t="str">
        <f>IF($A178&lt;&gt;"",'All Cases - Enter Cases'!J178,"")</f>
        <v/>
      </c>
      <c r="K178" s="4" t="str">
        <f>IF($A178&lt;&gt;"",'All Cases - Enter Cases'!K178,"")</f>
        <v/>
      </c>
      <c r="L178" t="str">
        <f>IF($A178&lt;&gt;"",'All Cases - Enter Cases'!L178,"")</f>
        <v/>
      </c>
      <c r="M178" t="str">
        <f>IF($A178&lt;&gt;"",'All Cases - Enter Cases'!M178,"")</f>
        <v/>
      </c>
    </row>
    <row r="179" spans="1:13" x14ac:dyDescent="0.35">
      <c r="A179" s="10" t="str">
        <f>IF('All Cases - Enter Cases'!$F179="Sindh",'All Cases - Enter Cases'!A179,"")</f>
        <v/>
      </c>
      <c r="B179" t="str">
        <f>IF($A179&lt;&gt;"",'All Cases - Enter Cases'!B179,"")</f>
        <v/>
      </c>
      <c r="C179" t="str">
        <f>IF($A179&lt;&gt;"",'All Cases - Enter Cases'!C179,"")</f>
        <v/>
      </c>
      <c r="D179" t="str">
        <f>IF($A179&lt;&gt;"",'All Cases - Enter Cases'!D179,"")</f>
        <v/>
      </c>
      <c r="E179" t="str">
        <f>IF($A179&lt;&gt;"",'All Cases - Enter Cases'!E179,"")</f>
        <v/>
      </c>
      <c r="F179" t="str">
        <f>IF($A179&lt;&gt;"",'All Cases - Enter Cases'!F179,"")</f>
        <v/>
      </c>
      <c r="G179" t="str">
        <f>IF($A179&lt;&gt;"",'All Cases - Enter Cases'!G179,"")</f>
        <v/>
      </c>
      <c r="H179" t="str">
        <f>IF($A179&lt;&gt;"",'All Cases - Enter Cases'!H179,"")</f>
        <v/>
      </c>
      <c r="I179" t="str">
        <f>IF($A179&lt;&gt;"",'All Cases - Enter Cases'!I179,"")</f>
        <v/>
      </c>
      <c r="J179" t="str">
        <f>IF($A179&lt;&gt;"",'All Cases - Enter Cases'!J179,"")</f>
        <v/>
      </c>
      <c r="K179" s="4" t="str">
        <f>IF($A179&lt;&gt;"",'All Cases - Enter Cases'!K179,"")</f>
        <v/>
      </c>
      <c r="L179" t="str">
        <f>IF($A179&lt;&gt;"",'All Cases - Enter Cases'!L179,"")</f>
        <v/>
      </c>
      <c r="M179" t="str">
        <f>IF($A179&lt;&gt;"",'All Cases - Enter Cases'!M179,"")</f>
        <v/>
      </c>
    </row>
    <row r="180" spans="1:13" x14ac:dyDescent="0.35">
      <c r="A180" s="10" t="str">
        <f>IF('All Cases - Enter Cases'!$F180="Sindh",'All Cases - Enter Cases'!A180,"")</f>
        <v/>
      </c>
      <c r="B180" t="str">
        <f>IF($A180&lt;&gt;"",'All Cases - Enter Cases'!B180,"")</f>
        <v/>
      </c>
      <c r="C180" t="str">
        <f>IF($A180&lt;&gt;"",'All Cases - Enter Cases'!C180,"")</f>
        <v/>
      </c>
      <c r="D180" t="str">
        <f>IF($A180&lt;&gt;"",'All Cases - Enter Cases'!D180,"")</f>
        <v/>
      </c>
      <c r="E180" t="str">
        <f>IF($A180&lt;&gt;"",'All Cases - Enter Cases'!E180,"")</f>
        <v/>
      </c>
      <c r="F180" t="str">
        <f>IF($A180&lt;&gt;"",'All Cases - Enter Cases'!F180,"")</f>
        <v/>
      </c>
      <c r="G180" t="str">
        <f>IF($A180&lt;&gt;"",'All Cases - Enter Cases'!G180,"")</f>
        <v/>
      </c>
      <c r="H180" t="str">
        <f>IF($A180&lt;&gt;"",'All Cases - Enter Cases'!H180,"")</f>
        <v/>
      </c>
      <c r="I180" t="str">
        <f>IF($A180&lt;&gt;"",'All Cases - Enter Cases'!I180,"")</f>
        <v/>
      </c>
      <c r="J180" t="str">
        <f>IF($A180&lt;&gt;"",'All Cases - Enter Cases'!J180,"")</f>
        <v/>
      </c>
      <c r="K180" s="4" t="str">
        <f>IF($A180&lt;&gt;"",'All Cases - Enter Cases'!K180,"")</f>
        <v/>
      </c>
      <c r="L180" t="str">
        <f>IF($A180&lt;&gt;"",'All Cases - Enter Cases'!L180,"")</f>
        <v/>
      </c>
      <c r="M180" t="str">
        <f>IF($A180&lt;&gt;"",'All Cases - Enter Cases'!M180,"")</f>
        <v/>
      </c>
    </row>
    <row r="181" spans="1:13" x14ac:dyDescent="0.35">
      <c r="A181" s="10" t="str">
        <f>IF('All Cases - Enter Cases'!$F181="Sindh",'All Cases - Enter Cases'!A181,"")</f>
        <v/>
      </c>
      <c r="B181" t="str">
        <f>IF($A181&lt;&gt;"",'All Cases - Enter Cases'!B181,"")</f>
        <v/>
      </c>
      <c r="C181" t="str">
        <f>IF($A181&lt;&gt;"",'All Cases - Enter Cases'!C181,"")</f>
        <v/>
      </c>
      <c r="D181" t="str">
        <f>IF($A181&lt;&gt;"",'All Cases - Enter Cases'!D181,"")</f>
        <v/>
      </c>
      <c r="E181" t="str">
        <f>IF($A181&lt;&gt;"",'All Cases - Enter Cases'!E181,"")</f>
        <v/>
      </c>
      <c r="F181" t="str">
        <f>IF($A181&lt;&gt;"",'All Cases - Enter Cases'!F181,"")</f>
        <v/>
      </c>
      <c r="G181" t="str">
        <f>IF($A181&lt;&gt;"",'All Cases - Enter Cases'!G181,"")</f>
        <v/>
      </c>
      <c r="H181" t="str">
        <f>IF($A181&lt;&gt;"",'All Cases - Enter Cases'!H181,"")</f>
        <v/>
      </c>
      <c r="I181" t="str">
        <f>IF($A181&lt;&gt;"",'All Cases - Enter Cases'!I181,"")</f>
        <v/>
      </c>
      <c r="J181" t="str">
        <f>IF($A181&lt;&gt;"",'All Cases - Enter Cases'!J181,"")</f>
        <v/>
      </c>
      <c r="K181" s="4" t="str">
        <f>IF($A181&lt;&gt;"",'All Cases - Enter Cases'!K181,"")</f>
        <v/>
      </c>
      <c r="L181" t="str">
        <f>IF($A181&lt;&gt;"",'All Cases - Enter Cases'!L181,"")</f>
        <v/>
      </c>
      <c r="M181" t="str">
        <f>IF($A181&lt;&gt;"",'All Cases - Enter Cases'!M181,"")</f>
        <v/>
      </c>
    </row>
    <row r="182" spans="1:13" x14ac:dyDescent="0.35">
      <c r="A182" s="10" t="str">
        <f>IF('All Cases - Enter Cases'!$F182="Sindh",'All Cases - Enter Cases'!A182,"")</f>
        <v/>
      </c>
      <c r="B182" t="str">
        <f>IF($A182&lt;&gt;"",'All Cases - Enter Cases'!B182,"")</f>
        <v/>
      </c>
      <c r="C182" t="str">
        <f>IF($A182&lt;&gt;"",'All Cases - Enter Cases'!C182,"")</f>
        <v/>
      </c>
      <c r="D182" t="str">
        <f>IF($A182&lt;&gt;"",'All Cases - Enter Cases'!D182,"")</f>
        <v/>
      </c>
      <c r="E182" t="str">
        <f>IF($A182&lt;&gt;"",'All Cases - Enter Cases'!E182,"")</f>
        <v/>
      </c>
      <c r="F182" t="str">
        <f>IF($A182&lt;&gt;"",'All Cases - Enter Cases'!F182,"")</f>
        <v/>
      </c>
      <c r="G182" t="str">
        <f>IF($A182&lt;&gt;"",'All Cases - Enter Cases'!G182,"")</f>
        <v/>
      </c>
      <c r="H182" t="str">
        <f>IF($A182&lt;&gt;"",'All Cases - Enter Cases'!H182,"")</f>
        <v/>
      </c>
      <c r="I182" t="str">
        <f>IF($A182&lt;&gt;"",'All Cases - Enter Cases'!I182,"")</f>
        <v/>
      </c>
      <c r="J182" t="str">
        <f>IF($A182&lt;&gt;"",'All Cases - Enter Cases'!J182,"")</f>
        <v/>
      </c>
      <c r="K182" s="4" t="str">
        <f>IF($A182&lt;&gt;"",'All Cases - Enter Cases'!K182,"")</f>
        <v/>
      </c>
      <c r="L182" t="str">
        <f>IF($A182&lt;&gt;"",'All Cases - Enter Cases'!L182,"")</f>
        <v/>
      </c>
      <c r="M182" t="str">
        <f>IF($A182&lt;&gt;"",'All Cases - Enter Cases'!M182,"")</f>
        <v/>
      </c>
    </row>
    <row r="183" spans="1:13" x14ac:dyDescent="0.35">
      <c r="A183" s="10" t="str">
        <f>IF('All Cases - Enter Cases'!$F183="Sindh",'All Cases - Enter Cases'!A183,"")</f>
        <v/>
      </c>
      <c r="B183" t="str">
        <f>IF($A183&lt;&gt;"",'All Cases - Enter Cases'!B183,"")</f>
        <v/>
      </c>
      <c r="C183" t="str">
        <f>IF($A183&lt;&gt;"",'All Cases - Enter Cases'!C183,"")</f>
        <v/>
      </c>
      <c r="D183" t="str">
        <f>IF($A183&lt;&gt;"",'All Cases - Enter Cases'!D183,"")</f>
        <v/>
      </c>
      <c r="E183" t="str">
        <f>IF($A183&lt;&gt;"",'All Cases - Enter Cases'!E183,"")</f>
        <v/>
      </c>
      <c r="F183" t="str">
        <f>IF($A183&lt;&gt;"",'All Cases - Enter Cases'!F183,"")</f>
        <v/>
      </c>
      <c r="G183" t="str">
        <f>IF($A183&lt;&gt;"",'All Cases - Enter Cases'!G183,"")</f>
        <v/>
      </c>
      <c r="H183" t="str">
        <f>IF($A183&lt;&gt;"",'All Cases - Enter Cases'!H183,"")</f>
        <v/>
      </c>
      <c r="I183" t="str">
        <f>IF($A183&lt;&gt;"",'All Cases - Enter Cases'!I183,"")</f>
        <v/>
      </c>
      <c r="J183" t="str">
        <f>IF($A183&lt;&gt;"",'All Cases - Enter Cases'!J183,"")</f>
        <v/>
      </c>
      <c r="K183" s="4" t="str">
        <f>IF($A183&lt;&gt;"",'All Cases - Enter Cases'!K183,"")</f>
        <v/>
      </c>
      <c r="L183" t="str">
        <f>IF($A183&lt;&gt;"",'All Cases - Enter Cases'!L183,"")</f>
        <v/>
      </c>
      <c r="M183" t="str">
        <f>IF($A183&lt;&gt;"",'All Cases - Enter Cases'!M183,"")</f>
        <v/>
      </c>
    </row>
    <row r="184" spans="1:13" x14ac:dyDescent="0.35">
      <c r="A184" s="10" t="str">
        <f>IF('All Cases - Enter Cases'!$F184="Sindh",'All Cases - Enter Cases'!A184,"")</f>
        <v/>
      </c>
      <c r="B184" t="str">
        <f>IF($A184&lt;&gt;"",'All Cases - Enter Cases'!B184,"")</f>
        <v/>
      </c>
      <c r="C184" t="str">
        <f>IF($A184&lt;&gt;"",'All Cases - Enter Cases'!C184,"")</f>
        <v/>
      </c>
      <c r="D184" t="str">
        <f>IF($A184&lt;&gt;"",'All Cases - Enter Cases'!D184,"")</f>
        <v/>
      </c>
      <c r="E184" t="str">
        <f>IF($A184&lt;&gt;"",'All Cases - Enter Cases'!E184,"")</f>
        <v/>
      </c>
      <c r="F184" t="str">
        <f>IF($A184&lt;&gt;"",'All Cases - Enter Cases'!F184,"")</f>
        <v/>
      </c>
      <c r="G184" t="str">
        <f>IF($A184&lt;&gt;"",'All Cases - Enter Cases'!G184,"")</f>
        <v/>
      </c>
      <c r="H184" t="str">
        <f>IF($A184&lt;&gt;"",'All Cases - Enter Cases'!H184,"")</f>
        <v/>
      </c>
      <c r="I184" t="str">
        <f>IF($A184&lt;&gt;"",'All Cases - Enter Cases'!I184,"")</f>
        <v/>
      </c>
      <c r="J184" t="str">
        <f>IF($A184&lt;&gt;"",'All Cases - Enter Cases'!J184,"")</f>
        <v/>
      </c>
      <c r="K184" s="4" t="str">
        <f>IF($A184&lt;&gt;"",'All Cases - Enter Cases'!K184,"")</f>
        <v/>
      </c>
      <c r="L184" t="str">
        <f>IF($A184&lt;&gt;"",'All Cases - Enter Cases'!L184,"")</f>
        <v/>
      </c>
      <c r="M184" t="str">
        <f>IF($A184&lt;&gt;"",'All Cases - Enter Cases'!M184,"")</f>
        <v/>
      </c>
    </row>
    <row r="185" spans="1:13" x14ac:dyDescent="0.35">
      <c r="A185" s="10" t="str">
        <f>IF('All Cases - Enter Cases'!$F185="Sindh",'All Cases - Enter Cases'!A185,"")</f>
        <v/>
      </c>
      <c r="B185" t="str">
        <f>IF($A185&lt;&gt;"",'All Cases - Enter Cases'!B185,"")</f>
        <v/>
      </c>
      <c r="C185" t="str">
        <f>IF($A185&lt;&gt;"",'All Cases - Enter Cases'!C185,"")</f>
        <v/>
      </c>
      <c r="D185" t="str">
        <f>IF($A185&lt;&gt;"",'All Cases - Enter Cases'!D185,"")</f>
        <v/>
      </c>
      <c r="E185" t="str">
        <f>IF($A185&lt;&gt;"",'All Cases - Enter Cases'!E185,"")</f>
        <v/>
      </c>
      <c r="F185" t="str">
        <f>IF($A185&lt;&gt;"",'All Cases - Enter Cases'!F185,"")</f>
        <v/>
      </c>
      <c r="G185" t="str">
        <f>IF($A185&lt;&gt;"",'All Cases - Enter Cases'!G185,"")</f>
        <v/>
      </c>
      <c r="H185" t="str">
        <f>IF($A185&lt;&gt;"",'All Cases - Enter Cases'!H185,"")</f>
        <v/>
      </c>
      <c r="I185" t="str">
        <f>IF($A185&lt;&gt;"",'All Cases - Enter Cases'!I185,"")</f>
        <v/>
      </c>
      <c r="J185" t="str">
        <f>IF($A185&lt;&gt;"",'All Cases - Enter Cases'!J185,"")</f>
        <v/>
      </c>
      <c r="K185" s="4" t="str">
        <f>IF($A185&lt;&gt;"",'All Cases - Enter Cases'!K185,"")</f>
        <v/>
      </c>
      <c r="L185" t="str">
        <f>IF($A185&lt;&gt;"",'All Cases - Enter Cases'!L185,"")</f>
        <v/>
      </c>
      <c r="M185" t="str">
        <f>IF($A185&lt;&gt;"",'All Cases - Enter Cases'!M185,"")</f>
        <v/>
      </c>
    </row>
    <row r="186" spans="1:13" x14ac:dyDescent="0.35">
      <c r="A186" s="10" t="str">
        <f>IF('All Cases - Enter Cases'!$F186="Sindh",'All Cases - Enter Cases'!A186,"")</f>
        <v/>
      </c>
      <c r="B186" t="str">
        <f>IF($A186&lt;&gt;"",'All Cases - Enter Cases'!B186,"")</f>
        <v/>
      </c>
      <c r="C186" t="str">
        <f>IF($A186&lt;&gt;"",'All Cases - Enter Cases'!C186,"")</f>
        <v/>
      </c>
      <c r="D186" t="str">
        <f>IF($A186&lt;&gt;"",'All Cases - Enter Cases'!D186,"")</f>
        <v/>
      </c>
      <c r="E186" t="str">
        <f>IF($A186&lt;&gt;"",'All Cases - Enter Cases'!E186,"")</f>
        <v/>
      </c>
      <c r="F186" t="str">
        <f>IF($A186&lt;&gt;"",'All Cases - Enter Cases'!F186,"")</f>
        <v/>
      </c>
      <c r="G186" t="str">
        <f>IF($A186&lt;&gt;"",'All Cases - Enter Cases'!G186,"")</f>
        <v/>
      </c>
      <c r="H186" t="str">
        <f>IF($A186&lt;&gt;"",'All Cases - Enter Cases'!H186,"")</f>
        <v/>
      </c>
      <c r="I186" t="str">
        <f>IF($A186&lt;&gt;"",'All Cases - Enter Cases'!I186,"")</f>
        <v/>
      </c>
      <c r="J186" t="str">
        <f>IF($A186&lt;&gt;"",'All Cases - Enter Cases'!J186,"")</f>
        <v/>
      </c>
      <c r="K186" s="4" t="str">
        <f>IF($A186&lt;&gt;"",'All Cases - Enter Cases'!K186,"")</f>
        <v/>
      </c>
      <c r="L186" t="str">
        <f>IF($A186&lt;&gt;"",'All Cases - Enter Cases'!L186,"")</f>
        <v/>
      </c>
      <c r="M186" t="str">
        <f>IF($A186&lt;&gt;"",'All Cases - Enter Cases'!M186,"")</f>
        <v/>
      </c>
    </row>
    <row r="187" spans="1:13" x14ac:dyDescent="0.35">
      <c r="A187" s="10" t="str">
        <f>IF('All Cases - Enter Cases'!$F187="Sindh",'All Cases - Enter Cases'!A187,"")</f>
        <v/>
      </c>
      <c r="B187" t="str">
        <f>IF($A187&lt;&gt;"",'All Cases - Enter Cases'!B187,"")</f>
        <v/>
      </c>
      <c r="C187" t="str">
        <f>IF($A187&lt;&gt;"",'All Cases - Enter Cases'!C187,"")</f>
        <v/>
      </c>
      <c r="D187" t="str">
        <f>IF($A187&lt;&gt;"",'All Cases - Enter Cases'!D187,"")</f>
        <v/>
      </c>
      <c r="E187" t="str">
        <f>IF($A187&lt;&gt;"",'All Cases - Enter Cases'!E187,"")</f>
        <v/>
      </c>
      <c r="F187" t="str">
        <f>IF($A187&lt;&gt;"",'All Cases - Enter Cases'!F187,"")</f>
        <v/>
      </c>
      <c r="G187" t="str">
        <f>IF($A187&lt;&gt;"",'All Cases - Enter Cases'!G187,"")</f>
        <v/>
      </c>
      <c r="H187" t="str">
        <f>IF($A187&lt;&gt;"",'All Cases - Enter Cases'!H187,"")</f>
        <v/>
      </c>
      <c r="I187" t="str">
        <f>IF($A187&lt;&gt;"",'All Cases - Enter Cases'!I187,"")</f>
        <v/>
      </c>
      <c r="J187" t="str">
        <f>IF($A187&lt;&gt;"",'All Cases - Enter Cases'!J187,"")</f>
        <v/>
      </c>
      <c r="K187" s="4" t="str">
        <f>IF($A187&lt;&gt;"",'All Cases - Enter Cases'!K187,"")</f>
        <v/>
      </c>
      <c r="L187" t="str">
        <f>IF($A187&lt;&gt;"",'All Cases - Enter Cases'!L187,"")</f>
        <v/>
      </c>
      <c r="M187" t="str">
        <f>IF($A187&lt;&gt;"",'All Cases - Enter Cases'!M187,"")</f>
        <v/>
      </c>
    </row>
    <row r="188" spans="1:13" x14ac:dyDescent="0.35">
      <c r="A188" s="10" t="str">
        <f>IF('All Cases - Enter Cases'!$F188="Sindh",'All Cases - Enter Cases'!A188,"")</f>
        <v/>
      </c>
      <c r="B188" t="str">
        <f>IF($A188&lt;&gt;"",'All Cases - Enter Cases'!B188,"")</f>
        <v/>
      </c>
      <c r="C188" t="str">
        <f>IF($A188&lt;&gt;"",'All Cases - Enter Cases'!C188,"")</f>
        <v/>
      </c>
      <c r="D188" t="str">
        <f>IF($A188&lt;&gt;"",'All Cases - Enter Cases'!D188,"")</f>
        <v/>
      </c>
      <c r="E188" t="str">
        <f>IF($A188&lt;&gt;"",'All Cases - Enter Cases'!E188,"")</f>
        <v/>
      </c>
      <c r="F188" t="str">
        <f>IF($A188&lt;&gt;"",'All Cases - Enter Cases'!F188,"")</f>
        <v/>
      </c>
      <c r="G188" t="str">
        <f>IF($A188&lt;&gt;"",'All Cases - Enter Cases'!G188,"")</f>
        <v/>
      </c>
      <c r="H188" t="str">
        <f>IF($A188&lt;&gt;"",'All Cases - Enter Cases'!H188,"")</f>
        <v/>
      </c>
      <c r="I188" t="str">
        <f>IF($A188&lt;&gt;"",'All Cases - Enter Cases'!I188,"")</f>
        <v/>
      </c>
      <c r="J188" t="str">
        <f>IF($A188&lt;&gt;"",'All Cases - Enter Cases'!J188,"")</f>
        <v/>
      </c>
      <c r="K188" s="4" t="str">
        <f>IF($A188&lt;&gt;"",'All Cases - Enter Cases'!K188,"")</f>
        <v/>
      </c>
      <c r="L188" t="str">
        <f>IF($A188&lt;&gt;"",'All Cases - Enter Cases'!L188,"")</f>
        <v/>
      </c>
      <c r="M188" t="str">
        <f>IF($A188&lt;&gt;"",'All Cases - Enter Cases'!M188,"")</f>
        <v/>
      </c>
    </row>
    <row r="189" spans="1:13" x14ac:dyDescent="0.35">
      <c r="A189" s="10" t="str">
        <f>IF('All Cases - Enter Cases'!$F189="Sindh",'All Cases - Enter Cases'!A189,"")</f>
        <v/>
      </c>
      <c r="B189" t="str">
        <f>IF($A189&lt;&gt;"",'All Cases - Enter Cases'!B189,"")</f>
        <v/>
      </c>
      <c r="C189" t="str">
        <f>IF($A189&lt;&gt;"",'All Cases - Enter Cases'!C189,"")</f>
        <v/>
      </c>
      <c r="D189" t="str">
        <f>IF($A189&lt;&gt;"",'All Cases - Enter Cases'!D189,"")</f>
        <v/>
      </c>
      <c r="E189" t="str">
        <f>IF($A189&lt;&gt;"",'All Cases - Enter Cases'!E189,"")</f>
        <v/>
      </c>
      <c r="F189" t="str">
        <f>IF($A189&lt;&gt;"",'All Cases - Enter Cases'!F189,"")</f>
        <v/>
      </c>
      <c r="G189" t="str">
        <f>IF($A189&lt;&gt;"",'All Cases - Enter Cases'!G189,"")</f>
        <v/>
      </c>
      <c r="H189" t="str">
        <f>IF($A189&lt;&gt;"",'All Cases - Enter Cases'!H189,"")</f>
        <v/>
      </c>
      <c r="I189" t="str">
        <f>IF($A189&lt;&gt;"",'All Cases - Enter Cases'!I189,"")</f>
        <v/>
      </c>
      <c r="J189" t="str">
        <f>IF($A189&lt;&gt;"",'All Cases - Enter Cases'!J189,"")</f>
        <v/>
      </c>
      <c r="K189" s="4" t="str">
        <f>IF($A189&lt;&gt;"",'All Cases - Enter Cases'!K189,"")</f>
        <v/>
      </c>
      <c r="L189" t="str">
        <f>IF($A189&lt;&gt;"",'All Cases - Enter Cases'!L189,"")</f>
        <v/>
      </c>
      <c r="M189" t="str">
        <f>IF($A189&lt;&gt;"",'All Cases - Enter Cases'!M189,"")</f>
        <v/>
      </c>
    </row>
    <row r="190" spans="1:13" x14ac:dyDescent="0.35">
      <c r="A190" s="10" t="str">
        <f>IF('All Cases - Enter Cases'!$F190="Sindh",'All Cases - Enter Cases'!A190,"")</f>
        <v/>
      </c>
      <c r="B190" t="str">
        <f>IF($A190&lt;&gt;"",'All Cases - Enter Cases'!B190,"")</f>
        <v/>
      </c>
      <c r="C190" t="str">
        <f>IF($A190&lt;&gt;"",'All Cases - Enter Cases'!C190,"")</f>
        <v/>
      </c>
      <c r="D190" t="str">
        <f>IF($A190&lt;&gt;"",'All Cases - Enter Cases'!D190,"")</f>
        <v/>
      </c>
      <c r="E190" t="str">
        <f>IF($A190&lt;&gt;"",'All Cases - Enter Cases'!E190,"")</f>
        <v/>
      </c>
      <c r="F190" t="str">
        <f>IF($A190&lt;&gt;"",'All Cases - Enter Cases'!F190,"")</f>
        <v/>
      </c>
      <c r="G190" t="str">
        <f>IF($A190&lt;&gt;"",'All Cases - Enter Cases'!G190,"")</f>
        <v/>
      </c>
      <c r="H190" t="str">
        <f>IF($A190&lt;&gt;"",'All Cases - Enter Cases'!H190,"")</f>
        <v/>
      </c>
      <c r="I190" t="str">
        <f>IF($A190&lt;&gt;"",'All Cases - Enter Cases'!I190,"")</f>
        <v/>
      </c>
      <c r="J190" t="str">
        <f>IF($A190&lt;&gt;"",'All Cases - Enter Cases'!J190,"")</f>
        <v/>
      </c>
      <c r="K190" s="4" t="str">
        <f>IF($A190&lt;&gt;"",'All Cases - Enter Cases'!K190,"")</f>
        <v/>
      </c>
      <c r="L190" t="str">
        <f>IF($A190&lt;&gt;"",'All Cases - Enter Cases'!L190,"")</f>
        <v/>
      </c>
      <c r="M190" t="str">
        <f>IF($A190&lt;&gt;"",'All Cases - Enter Cases'!M190,"")</f>
        <v/>
      </c>
    </row>
    <row r="191" spans="1:13" x14ac:dyDescent="0.35">
      <c r="A191" s="10" t="str">
        <f>IF('All Cases - Enter Cases'!$F191="Sindh",'All Cases - Enter Cases'!A191,"")</f>
        <v/>
      </c>
      <c r="B191" t="str">
        <f>IF($A191&lt;&gt;"",'All Cases - Enter Cases'!B191,"")</f>
        <v/>
      </c>
      <c r="C191" t="str">
        <f>IF($A191&lt;&gt;"",'All Cases - Enter Cases'!C191,"")</f>
        <v/>
      </c>
      <c r="D191" t="str">
        <f>IF($A191&lt;&gt;"",'All Cases - Enter Cases'!D191,"")</f>
        <v/>
      </c>
      <c r="E191" t="str">
        <f>IF($A191&lt;&gt;"",'All Cases - Enter Cases'!E191,"")</f>
        <v/>
      </c>
      <c r="F191" t="str">
        <f>IF($A191&lt;&gt;"",'All Cases - Enter Cases'!F191,"")</f>
        <v/>
      </c>
      <c r="G191" t="str">
        <f>IF($A191&lt;&gt;"",'All Cases - Enter Cases'!G191,"")</f>
        <v/>
      </c>
      <c r="H191" t="str">
        <f>IF($A191&lt;&gt;"",'All Cases - Enter Cases'!H191,"")</f>
        <v/>
      </c>
      <c r="I191" t="str">
        <f>IF($A191&lt;&gt;"",'All Cases - Enter Cases'!I191,"")</f>
        <v/>
      </c>
      <c r="J191" t="str">
        <f>IF($A191&lt;&gt;"",'All Cases - Enter Cases'!J191,"")</f>
        <v/>
      </c>
      <c r="K191" s="4" t="str">
        <f>IF($A191&lt;&gt;"",'All Cases - Enter Cases'!K191,"")</f>
        <v/>
      </c>
      <c r="L191" t="str">
        <f>IF($A191&lt;&gt;"",'All Cases - Enter Cases'!L191,"")</f>
        <v/>
      </c>
      <c r="M191" t="str">
        <f>IF($A191&lt;&gt;"",'All Cases - Enter Cases'!M191,"")</f>
        <v/>
      </c>
    </row>
    <row r="192" spans="1:13" x14ac:dyDescent="0.35">
      <c r="A192" s="10" t="str">
        <f>IF('All Cases - Enter Cases'!$F192="Sindh",'All Cases - Enter Cases'!A192,"")</f>
        <v/>
      </c>
      <c r="B192" t="str">
        <f>IF($A192&lt;&gt;"",'All Cases - Enter Cases'!B192,"")</f>
        <v/>
      </c>
      <c r="C192" t="str">
        <f>IF($A192&lt;&gt;"",'All Cases - Enter Cases'!C192,"")</f>
        <v/>
      </c>
      <c r="D192" t="str">
        <f>IF($A192&lt;&gt;"",'All Cases - Enter Cases'!D192,"")</f>
        <v/>
      </c>
      <c r="E192" t="str">
        <f>IF($A192&lt;&gt;"",'All Cases - Enter Cases'!E192,"")</f>
        <v/>
      </c>
      <c r="F192" t="str">
        <f>IF($A192&lt;&gt;"",'All Cases - Enter Cases'!F192,"")</f>
        <v/>
      </c>
      <c r="G192" t="str">
        <f>IF($A192&lt;&gt;"",'All Cases - Enter Cases'!G192,"")</f>
        <v/>
      </c>
      <c r="H192" t="str">
        <f>IF($A192&lt;&gt;"",'All Cases - Enter Cases'!H192,"")</f>
        <v/>
      </c>
      <c r="I192" t="str">
        <f>IF($A192&lt;&gt;"",'All Cases - Enter Cases'!I192,"")</f>
        <v/>
      </c>
      <c r="J192" t="str">
        <f>IF($A192&lt;&gt;"",'All Cases - Enter Cases'!J192,"")</f>
        <v/>
      </c>
      <c r="K192" s="4" t="str">
        <f>IF($A192&lt;&gt;"",'All Cases - Enter Cases'!K192,"")</f>
        <v/>
      </c>
      <c r="L192" t="str">
        <f>IF($A192&lt;&gt;"",'All Cases - Enter Cases'!L192,"")</f>
        <v/>
      </c>
      <c r="M192" t="str">
        <f>IF($A192&lt;&gt;"",'All Cases - Enter Cases'!M192,"")</f>
        <v/>
      </c>
    </row>
    <row r="193" spans="1:13" x14ac:dyDescent="0.35">
      <c r="A193" s="10" t="str">
        <f>IF('All Cases - Enter Cases'!$F193="Sindh",'All Cases - Enter Cases'!A193,"")</f>
        <v/>
      </c>
      <c r="B193" t="str">
        <f>IF($A193&lt;&gt;"",'All Cases - Enter Cases'!B193,"")</f>
        <v/>
      </c>
      <c r="C193" t="str">
        <f>IF($A193&lt;&gt;"",'All Cases - Enter Cases'!C193,"")</f>
        <v/>
      </c>
      <c r="D193" t="str">
        <f>IF($A193&lt;&gt;"",'All Cases - Enter Cases'!D193,"")</f>
        <v/>
      </c>
      <c r="E193" t="str">
        <f>IF($A193&lt;&gt;"",'All Cases - Enter Cases'!E193,"")</f>
        <v/>
      </c>
      <c r="F193" t="str">
        <f>IF($A193&lt;&gt;"",'All Cases - Enter Cases'!F193,"")</f>
        <v/>
      </c>
      <c r="G193" t="str">
        <f>IF($A193&lt;&gt;"",'All Cases - Enter Cases'!G193,"")</f>
        <v/>
      </c>
      <c r="H193" t="str">
        <f>IF($A193&lt;&gt;"",'All Cases - Enter Cases'!H193,"")</f>
        <v/>
      </c>
      <c r="I193" t="str">
        <f>IF($A193&lt;&gt;"",'All Cases - Enter Cases'!I193,"")</f>
        <v/>
      </c>
      <c r="J193" t="str">
        <f>IF($A193&lt;&gt;"",'All Cases - Enter Cases'!J193,"")</f>
        <v/>
      </c>
      <c r="K193" s="4" t="str">
        <f>IF($A193&lt;&gt;"",'All Cases - Enter Cases'!K193,"")</f>
        <v/>
      </c>
      <c r="L193" t="str">
        <f>IF($A193&lt;&gt;"",'All Cases - Enter Cases'!L193,"")</f>
        <v/>
      </c>
      <c r="M193" t="str">
        <f>IF($A193&lt;&gt;"",'All Cases - Enter Cases'!M193,"")</f>
        <v/>
      </c>
    </row>
    <row r="194" spans="1:13" x14ac:dyDescent="0.35">
      <c r="A194" s="10" t="str">
        <f>IF('All Cases - Enter Cases'!$F194="Sindh",'All Cases - Enter Cases'!A194,"")</f>
        <v/>
      </c>
      <c r="B194" t="str">
        <f>IF($A194&lt;&gt;"",'All Cases - Enter Cases'!B194,"")</f>
        <v/>
      </c>
      <c r="C194" t="str">
        <f>IF($A194&lt;&gt;"",'All Cases - Enter Cases'!C194,"")</f>
        <v/>
      </c>
      <c r="D194" t="str">
        <f>IF($A194&lt;&gt;"",'All Cases - Enter Cases'!D194,"")</f>
        <v/>
      </c>
      <c r="E194" t="str">
        <f>IF($A194&lt;&gt;"",'All Cases - Enter Cases'!E194,"")</f>
        <v/>
      </c>
      <c r="F194" t="str">
        <f>IF($A194&lt;&gt;"",'All Cases - Enter Cases'!F194,"")</f>
        <v/>
      </c>
      <c r="G194" t="str">
        <f>IF($A194&lt;&gt;"",'All Cases - Enter Cases'!G194,"")</f>
        <v/>
      </c>
      <c r="H194" t="str">
        <f>IF($A194&lt;&gt;"",'All Cases - Enter Cases'!H194,"")</f>
        <v/>
      </c>
      <c r="I194" t="str">
        <f>IF($A194&lt;&gt;"",'All Cases - Enter Cases'!I194,"")</f>
        <v/>
      </c>
      <c r="J194" t="str">
        <f>IF($A194&lt;&gt;"",'All Cases - Enter Cases'!J194,"")</f>
        <v/>
      </c>
      <c r="K194" s="4" t="str">
        <f>IF($A194&lt;&gt;"",'All Cases - Enter Cases'!K194,"")</f>
        <v/>
      </c>
      <c r="L194" t="str">
        <f>IF($A194&lt;&gt;"",'All Cases - Enter Cases'!L194,"")</f>
        <v/>
      </c>
      <c r="M194" t="str">
        <f>IF($A194&lt;&gt;"",'All Cases - Enter Cases'!M194,"")</f>
        <v/>
      </c>
    </row>
    <row r="195" spans="1:13" x14ac:dyDescent="0.35">
      <c r="A195" s="10" t="str">
        <f>IF('All Cases - Enter Cases'!$F195="Sindh",'All Cases - Enter Cases'!A195,"")</f>
        <v/>
      </c>
      <c r="B195" t="str">
        <f>IF($A195&lt;&gt;"",'All Cases - Enter Cases'!B195,"")</f>
        <v/>
      </c>
      <c r="C195" t="str">
        <f>IF($A195&lt;&gt;"",'All Cases - Enter Cases'!C195,"")</f>
        <v/>
      </c>
      <c r="D195" t="str">
        <f>IF($A195&lt;&gt;"",'All Cases - Enter Cases'!D195,"")</f>
        <v/>
      </c>
      <c r="E195" t="str">
        <f>IF($A195&lt;&gt;"",'All Cases - Enter Cases'!E195,"")</f>
        <v/>
      </c>
      <c r="F195" t="str">
        <f>IF($A195&lt;&gt;"",'All Cases - Enter Cases'!F195,"")</f>
        <v/>
      </c>
      <c r="G195" t="str">
        <f>IF($A195&lt;&gt;"",'All Cases - Enter Cases'!G195,"")</f>
        <v/>
      </c>
      <c r="H195" t="str">
        <f>IF($A195&lt;&gt;"",'All Cases - Enter Cases'!H195,"")</f>
        <v/>
      </c>
      <c r="I195" t="str">
        <f>IF($A195&lt;&gt;"",'All Cases - Enter Cases'!I195,"")</f>
        <v/>
      </c>
      <c r="J195" t="str">
        <f>IF($A195&lt;&gt;"",'All Cases - Enter Cases'!J195,"")</f>
        <v/>
      </c>
      <c r="K195" s="4" t="str">
        <f>IF($A195&lt;&gt;"",'All Cases - Enter Cases'!K195,"")</f>
        <v/>
      </c>
      <c r="L195" t="str">
        <f>IF($A195&lt;&gt;"",'All Cases - Enter Cases'!L195,"")</f>
        <v/>
      </c>
      <c r="M195" t="str">
        <f>IF($A195&lt;&gt;"",'All Cases - Enter Cases'!M195,"")</f>
        <v/>
      </c>
    </row>
    <row r="196" spans="1:13" x14ac:dyDescent="0.35">
      <c r="A196" s="10" t="str">
        <f>IF('All Cases - Enter Cases'!$F196="Sindh",'All Cases - Enter Cases'!A196,"")</f>
        <v/>
      </c>
      <c r="B196" t="str">
        <f>IF($A196&lt;&gt;"",'All Cases - Enter Cases'!B196,"")</f>
        <v/>
      </c>
      <c r="C196" t="str">
        <f>IF($A196&lt;&gt;"",'All Cases - Enter Cases'!C196,"")</f>
        <v/>
      </c>
      <c r="D196" t="str">
        <f>IF($A196&lt;&gt;"",'All Cases - Enter Cases'!D196,"")</f>
        <v/>
      </c>
      <c r="E196" t="str">
        <f>IF($A196&lt;&gt;"",'All Cases - Enter Cases'!E196,"")</f>
        <v/>
      </c>
      <c r="F196" t="str">
        <f>IF($A196&lt;&gt;"",'All Cases - Enter Cases'!F196,"")</f>
        <v/>
      </c>
      <c r="G196" t="str">
        <f>IF($A196&lt;&gt;"",'All Cases - Enter Cases'!G196,"")</f>
        <v/>
      </c>
      <c r="H196" t="str">
        <f>IF($A196&lt;&gt;"",'All Cases - Enter Cases'!H196,"")</f>
        <v/>
      </c>
      <c r="I196" t="str">
        <f>IF($A196&lt;&gt;"",'All Cases - Enter Cases'!I196,"")</f>
        <v/>
      </c>
      <c r="J196" t="str">
        <f>IF($A196&lt;&gt;"",'All Cases - Enter Cases'!J196,"")</f>
        <v/>
      </c>
      <c r="K196" s="4" t="str">
        <f>IF($A196&lt;&gt;"",'All Cases - Enter Cases'!K196,"")</f>
        <v/>
      </c>
      <c r="L196" t="str">
        <f>IF($A196&lt;&gt;"",'All Cases - Enter Cases'!L196,"")</f>
        <v/>
      </c>
      <c r="M196" t="str">
        <f>IF($A196&lt;&gt;"",'All Cases - Enter Cases'!M196,"")</f>
        <v/>
      </c>
    </row>
    <row r="197" spans="1:13" x14ac:dyDescent="0.35">
      <c r="A197" s="10" t="str">
        <f>IF('All Cases - Enter Cases'!$F197="Sindh",'All Cases - Enter Cases'!A197,"")</f>
        <v/>
      </c>
      <c r="B197" t="str">
        <f>IF($A197&lt;&gt;"",'All Cases - Enter Cases'!B197,"")</f>
        <v/>
      </c>
      <c r="C197" t="str">
        <f>IF($A197&lt;&gt;"",'All Cases - Enter Cases'!C197,"")</f>
        <v/>
      </c>
      <c r="D197" t="str">
        <f>IF($A197&lt;&gt;"",'All Cases - Enter Cases'!D197,"")</f>
        <v/>
      </c>
      <c r="E197" t="str">
        <f>IF($A197&lt;&gt;"",'All Cases - Enter Cases'!E197,"")</f>
        <v/>
      </c>
      <c r="F197" t="str">
        <f>IF($A197&lt;&gt;"",'All Cases - Enter Cases'!F197,"")</f>
        <v/>
      </c>
      <c r="G197" t="str">
        <f>IF($A197&lt;&gt;"",'All Cases - Enter Cases'!G197,"")</f>
        <v/>
      </c>
      <c r="H197" t="str">
        <f>IF($A197&lt;&gt;"",'All Cases - Enter Cases'!H197,"")</f>
        <v/>
      </c>
      <c r="I197" t="str">
        <f>IF($A197&lt;&gt;"",'All Cases - Enter Cases'!I197,"")</f>
        <v/>
      </c>
      <c r="J197" t="str">
        <f>IF($A197&lt;&gt;"",'All Cases - Enter Cases'!J197,"")</f>
        <v/>
      </c>
      <c r="K197" s="4" t="str">
        <f>IF($A197&lt;&gt;"",'All Cases - Enter Cases'!K197,"")</f>
        <v/>
      </c>
      <c r="L197" t="str">
        <f>IF($A197&lt;&gt;"",'All Cases - Enter Cases'!L197,"")</f>
        <v/>
      </c>
      <c r="M197" t="str">
        <f>IF($A197&lt;&gt;"",'All Cases - Enter Cases'!M197,"")</f>
        <v/>
      </c>
    </row>
    <row r="198" spans="1:13" x14ac:dyDescent="0.35">
      <c r="A198" s="10" t="str">
        <f>IF('All Cases - Enter Cases'!$F198="Sindh",'All Cases - Enter Cases'!A198,"")</f>
        <v/>
      </c>
      <c r="B198" t="str">
        <f>IF($A198&lt;&gt;"",'All Cases - Enter Cases'!B198,"")</f>
        <v/>
      </c>
      <c r="C198" t="str">
        <f>IF($A198&lt;&gt;"",'All Cases - Enter Cases'!C198,"")</f>
        <v/>
      </c>
      <c r="D198" t="str">
        <f>IF($A198&lt;&gt;"",'All Cases - Enter Cases'!D198,"")</f>
        <v/>
      </c>
      <c r="E198" t="str">
        <f>IF($A198&lt;&gt;"",'All Cases - Enter Cases'!E198,"")</f>
        <v/>
      </c>
      <c r="F198" t="str">
        <f>IF($A198&lt;&gt;"",'All Cases - Enter Cases'!F198,"")</f>
        <v/>
      </c>
      <c r="G198" t="str">
        <f>IF($A198&lt;&gt;"",'All Cases - Enter Cases'!G198,"")</f>
        <v/>
      </c>
      <c r="H198" t="str">
        <f>IF($A198&lt;&gt;"",'All Cases - Enter Cases'!H198,"")</f>
        <v/>
      </c>
      <c r="I198" t="str">
        <f>IF($A198&lt;&gt;"",'All Cases - Enter Cases'!I198,"")</f>
        <v/>
      </c>
      <c r="J198" t="str">
        <f>IF($A198&lt;&gt;"",'All Cases - Enter Cases'!J198,"")</f>
        <v/>
      </c>
      <c r="K198" s="4" t="str">
        <f>IF($A198&lt;&gt;"",'All Cases - Enter Cases'!K198,"")</f>
        <v/>
      </c>
      <c r="L198" t="str">
        <f>IF($A198&lt;&gt;"",'All Cases - Enter Cases'!L198,"")</f>
        <v/>
      </c>
      <c r="M198" t="str">
        <f>IF($A198&lt;&gt;"",'All Cases - Enter Cases'!M198,"")</f>
        <v/>
      </c>
    </row>
    <row r="199" spans="1:13" x14ac:dyDescent="0.35">
      <c r="A199" s="10" t="str">
        <f>IF('All Cases - Enter Cases'!$F199="Sindh",'All Cases - Enter Cases'!A199,"")</f>
        <v/>
      </c>
      <c r="B199" t="str">
        <f>IF($A199&lt;&gt;"",'All Cases - Enter Cases'!B199,"")</f>
        <v/>
      </c>
      <c r="C199" t="str">
        <f>IF($A199&lt;&gt;"",'All Cases - Enter Cases'!C199,"")</f>
        <v/>
      </c>
      <c r="D199" t="str">
        <f>IF($A199&lt;&gt;"",'All Cases - Enter Cases'!D199,"")</f>
        <v/>
      </c>
      <c r="E199" t="str">
        <f>IF($A199&lt;&gt;"",'All Cases - Enter Cases'!E199,"")</f>
        <v/>
      </c>
      <c r="F199" t="str">
        <f>IF($A199&lt;&gt;"",'All Cases - Enter Cases'!F199,"")</f>
        <v/>
      </c>
      <c r="G199" t="str">
        <f>IF($A199&lt;&gt;"",'All Cases - Enter Cases'!G199,"")</f>
        <v/>
      </c>
      <c r="H199" t="str">
        <f>IF($A199&lt;&gt;"",'All Cases - Enter Cases'!H199,"")</f>
        <v/>
      </c>
      <c r="I199" t="str">
        <f>IF($A199&lt;&gt;"",'All Cases - Enter Cases'!I199,"")</f>
        <v/>
      </c>
      <c r="J199" t="str">
        <f>IF($A199&lt;&gt;"",'All Cases - Enter Cases'!J199,"")</f>
        <v/>
      </c>
      <c r="K199" s="4" t="str">
        <f>IF($A199&lt;&gt;"",'All Cases - Enter Cases'!K199,"")</f>
        <v/>
      </c>
      <c r="L199" t="str">
        <f>IF($A199&lt;&gt;"",'All Cases - Enter Cases'!L199,"")</f>
        <v/>
      </c>
      <c r="M199" t="str">
        <f>IF($A199&lt;&gt;"",'All Cases - Enter Cases'!M199,"")</f>
        <v/>
      </c>
    </row>
    <row r="200" spans="1:13" x14ac:dyDescent="0.35">
      <c r="A200" s="10" t="str">
        <f>IF('All Cases - Enter Cases'!$F200="Sindh",'All Cases - Enter Cases'!A200,"")</f>
        <v/>
      </c>
      <c r="B200" t="str">
        <f>IF($A200&lt;&gt;"",'All Cases - Enter Cases'!B200,"")</f>
        <v/>
      </c>
      <c r="C200" t="str">
        <f>IF($A200&lt;&gt;"",'All Cases - Enter Cases'!C200,"")</f>
        <v/>
      </c>
      <c r="D200" t="str">
        <f>IF($A200&lt;&gt;"",'All Cases - Enter Cases'!D200,"")</f>
        <v/>
      </c>
      <c r="E200" t="str">
        <f>IF($A200&lt;&gt;"",'All Cases - Enter Cases'!E200,"")</f>
        <v/>
      </c>
      <c r="F200" t="str">
        <f>IF($A200&lt;&gt;"",'All Cases - Enter Cases'!F200,"")</f>
        <v/>
      </c>
      <c r="G200" t="str">
        <f>IF($A200&lt;&gt;"",'All Cases - Enter Cases'!G200,"")</f>
        <v/>
      </c>
      <c r="H200" t="str">
        <f>IF($A200&lt;&gt;"",'All Cases - Enter Cases'!H200,"")</f>
        <v/>
      </c>
      <c r="I200" t="str">
        <f>IF($A200&lt;&gt;"",'All Cases - Enter Cases'!I200,"")</f>
        <v/>
      </c>
      <c r="J200" t="str">
        <f>IF($A200&lt;&gt;"",'All Cases - Enter Cases'!J200,"")</f>
        <v/>
      </c>
      <c r="K200" s="4" t="str">
        <f>IF($A200&lt;&gt;"",'All Cases - Enter Cases'!K200,"")</f>
        <v/>
      </c>
      <c r="L200" t="str">
        <f>IF($A200&lt;&gt;"",'All Cases - Enter Cases'!L200,"")</f>
        <v/>
      </c>
      <c r="M200" t="str">
        <f>IF($A200&lt;&gt;"",'All Cases - Enter Cases'!M200,"")</f>
        <v/>
      </c>
    </row>
    <row r="201" spans="1:13" x14ac:dyDescent="0.35">
      <c r="A201" s="10" t="str">
        <f>IF('All Cases - Enter Cases'!$F201="Sindh",'All Cases - Enter Cases'!A201,"")</f>
        <v/>
      </c>
      <c r="B201" t="str">
        <f>IF($A201&lt;&gt;"",'All Cases - Enter Cases'!B201,"")</f>
        <v/>
      </c>
      <c r="C201" t="str">
        <f>IF($A201&lt;&gt;"",'All Cases - Enter Cases'!C201,"")</f>
        <v/>
      </c>
      <c r="D201" t="str">
        <f>IF($A201&lt;&gt;"",'All Cases - Enter Cases'!D201,"")</f>
        <v/>
      </c>
      <c r="E201" t="str">
        <f>IF($A201&lt;&gt;"",'All Cases - Enter Cases'!E201,"")</f>
        <v/>
      </c>
      <c r="F201" t="str">
        <f>IF($A201&lt;&gt;"",'All Cases - Enter Cases'!F201,"")</f>
        <v/>
      </c>
      <c r="G201" t="str">
        <f>IF($A201&lt;&gt;"",'All Cases - Enter Cases'!G201,"")</f>
        <v/>
      </c>
      <c r="H201" t="str">
        <f>IF($A201&lt;&gt;"",'All Cases - Enter Cases'!H201,"")</f>
        <v/>
      </c>
      <c r="I201" t="str">
        <f>IF($A201&lt;&gt;"",'All Cases - Enter Cases'!I201,"")</f>
        <v/>
      </c>
      <c r="J201" t="str">
        <f>IF($A201&lt;&gt;"",'All Cases - Enter Cases'!J201,"")</f>
        <v/>
      </c>
      <c r="K201" s="4" t="str">
        <f>IF($A201&lt;&gt;"",'All Cases - Enter Cases'!K201,"")</f>
        <v/>
      </c>
      <c r="L201" t="str">
        <f>IF($A201&lt;&gt;"",'All Cases - Enter Cases'!L201,"")</f>
        <v/>
      </c>
      <c r="M201" t="str">
        <f>IF($A201&lt;&gt;"",'All Cases - Enter Cases'!M201,"")</f>
        <v/>
      </c>
    </row>
    <row r="202" spans="1:13" x14ac:dyDescent="0.35">
      <c r="A202" s="10" t="str">
        <f>IF('All Cases - Enter Cases'!$F202="Sindh",'All Cases - Enter Cases'!A202,"")</f>
        <v/>
      </c>
      <c r="B202" t="str">
        <f>IF($A202&lt;&gt;"",'All Cases - Enter Cases'!B202,"")</f>
        <v/>
      </c>
      <c r="C202" t="str">
        <f>IF($A202&lt;&gt;"",'All Cases - Enter Cases'!C202,"")</f>
        <v/>
      </c>
      <c r="D202" t="str">
        <f>IF($A202&lt;&gt;"",'All Cases - Enter Cases'!D202,"")</f>
        <v/>
      </c>
      <c r="E202" t="str">
        <f>IF($A202&lt;&gt;"",'All Cases - Enter Cases'!E202,"")</f>
        <v/>
      </c>
      <c r="F202" t="str">
        <f>IF($A202&lt;&gt;"",'All Cases - Enter Cases'!F202,"")</f>
        <v/>
      </c>
      <c r="G202" t="str">
        <f>IF($A202&lt;&gt;"",'All Cases - Enter Cases'!G202,"")</f>
        <v/>
      </c>
      <c r="H202" t="str">
        <f>IF($A202&lt;&gt;"",'All Cases - Enter Cases'!H202,"")</f>
        <v/>
      </c>
      <c r="I202" t="str">
        <f>IF($A202&lt;&gt;"",'All Cases - Enter Cases'!I202,"")</f>
        <v/>
      </c>
      <c r="J202" t="str">
        <f>IF($A202&lt;&gt;"",'All Cases - Enter Cases'!J202,"")</f>
        <v/>
      </c>
      <c r="K202" s="4" t="str">
        <f>IF($A202&lt;&gt;"",'All Cases - Enter Cases'!K202,"")</f>
        <v/>
      </c>
      <c r="L202" t="str">
        <f>IF($A202&lt;&gt;"",'All Cases - Enter Cases'!L202,"")</f>
        <v/>
      </c>
      <c r="M202" t="str">
        <f>IF($A202&lt;&gt;"",'All Cases - Enter Cases'!M202,"")</f>
        <v/>
      </c>
    </row>
    <row r="203" spans="1:13" x14ac:dyDescent="0.35">
      <c r="A203" s="10" t="str">
        <f>IF('All Cases - Enter Cases'!$F203="Sindh",'All Cases - Enter Cases'!A203,"")</f>
        <v/>
      </c>
      <c r="B203" t="str">
        <f>IF($A203&lt;&gt;"",'All Cases - Enter Cases'!B203,"")</f>
        <v/>
      </c>
      <c r="C203" t="str">
        <f>IF($A203&lt;&gt;"",'All Cases - Enter Cases'!C203,"")</f>
        <v/>
      </c>
      <c r="D203" t="str">
        <f>IF($A203&lt;&gt;"",'All Cases - Enter Cases'!D203,"")</f>
        <v/>
      </c>
      <c r="E203" t="str">
        <f>IF($A203&lt;&gt;"",'All Cases - Enter Cases'!E203,"")</f>
        <v/>
      </c>
      <c r="F203" t="str">
        <f>IF($A203&lt;&gt;"",'All Cases - Enter Cases'!F203,"")</f>
        <v/>
      </c>
      <c r="G203" t="str">
        <f>IF($A203&lt;&gt;"",'All Cases - Enter Cases'!G203,"")</f>
        <v/>
      </c>
      <c r="H203" t="str">
        <f>IF($A203&lt;&gt;"",'All Cases - Enter Cases'!H203,"")</f>
        <v/>
      </c>
      <c r="I203" t="str">
        <f>IF($A203&lt;&gt;"",'All Cases - Enter Cases'!I203,"")</f>
        <v/>
      </c>
      <c r="J203" t="str">
        <f>IF($A203&lt;&gt;"",'All Cases - Enter Cases'!J203,"")</f>
        <v/>
      </c>
      <c r="K203" s="4" t="str">
        <f>IF($A203&lt;&gt;"",'All Cases - Enter Cases'!K203,"")</f>
        <v/>
      </c>
      <c r="L203" t="str">
        <f>IF($A203&lt;&gt;"",'All Cases - Enter Cases'!L203,"")</f>
        <v/>
      </c>
      <c r="M203" t="str">
        <f>IF($A203&lt;&gt;"",'All Cases - Enter Cases'!M203,"")</f>
        <v/>
      </c>
    </row>
    <row r="204" spans="1:13" x14ac:dyDescent="0.35">
      <c r="A204" s="10" t="str">
        <f>IF('All Cases - Enter Cases'!$F204="Sindh",'All Cases - Enter Cases'!A204,"")</f>
        <v/>
      </c>
      <c r="B204" t="str">
        <f>IF($A204&lt;&gt;"",'All Cases - Enter Cases'!B204,"")</f>
        <v/>
      </c>
      <c r="C204" t="str">
        <f>IF($A204&lt;&gt;"",'All Cases - Enter Cases'!C204,"")</f>
        <v/>
      </c>
      <c r="D204" t="str">
        <f>IF($A204&lt;&gt;"",'All Cases - Enter Cases'!D204,"")</f>
        <v/>
      </c>
      <c r="E204" t="str">
        <f>IF($A204&lt;&gt;"",'All Cases - Enter Cases'!E204,"")</f>
        <v/>
      </c>
      <c r="F204" t="str">
        <f>IF($A204&lt;&gt;"",'All Cases - Enter Cases'!F204,"")</f>
        <v/>
      </c>
      <c r="G204" t="str">
        <f>IF($A204&lt;&gt;"",'All Cases - Enter Cases'!G204,"")</f>
        <v/>
      </c>
      <c r="H204" t="str">
        <f>IF($A204&lt;&gt;"",'All Cases - Enter Cases'!H204,"")</f>
        <v/>
      </c>
      <c r="I204" t="str">
        <f>IF($A204&lt;&gt;"",'All Cases - Enter Cases'!I204,"")</f>
        <v/>
      </c>
      <c r="J204" t="str">
        <f>IF($A204&lt;&gt;"",'All Cases - Enter Cases'!J204,"")</f>
        <v/>
      </c>
      <c r="K204" s="4" t="str">
        <f>IF($A204&lt;&gt;"",'All Cases - Enter Cases'!K204,"")</f>
        <v/>
      </c>
      <c r="L204" t="str">
        <f>IF($A204&lt;&gt;"",'All Cases - Enter Cases'!L204,"")</f>
        <v/>
      </c>
      <c r="M204" t="str">
        <f>IF($A204&lt;&gt;"",'All Cases - Enter Cases'!M204,"")</f>
        <v/>
      </c>
    </row>
    <row r="205" spans="1:13" x14ac:dyDescent="0.35">
      <c r="A205" s="10" t="str">
        <f>IF('All Cases - Enter Cases'!$F205="Sindh",'All Cases - Enter Cases'!A205,"")</f>
        <v/>
      </c>
      <c r="B205" t="str">
        <f>IF($A205&lt;&gt;"",'All Cases - Enter Cases'!B205,"")</f>
        <v/>
      </c>
      <c r="C205" t="str">
        <f>IF($A205&lt;&gt;"",'All Cases - Enter Cases'!C205,"")</f>
        <v/>
      </c>
      <c r="D205" t="str">
        <f>IF($A205&lt;&gt;"",'All Cases - Enter Cases'!D205,"")</f>
        <v/>
      </c>
      <c r="E205" t="str">
        <f>IF($A205&lt;&gt;"",'All Cases - Enter Cases'!E205,"")</f>
        <v/>
      </c>
      <c r="F205" t="str">
        <f>IF($A205&lt;&gt;"",'All Cases - Enter Cases'!F205,"")</f>
        <v/>
      </c>
      <c r="G205" t="str">
        <f>IF($A205&lt;&gt;"",'All Cases - Enter Cases'!G205,"")</f>
        <v/>
      </c>
      <c r="H205" t="str">
        <f>IF($A205&lt;&gt;"",'All Cases - Enter Cases'!H205,"")</f>
        <v/>
      </c>
      <c r="I205" t="str">
        <f>IF($A205&lt;&gt;"",'All Cases - Enter Cases'!I205,"")</f>
        <v/>
      </c>
      <c r="J205" t="str">
        <f>IF($A205&lt;&gt;"",'All Cases - Enter Cases'!J205,"")</f>
        <v/>
      </c>
      <c r="K205" s="4" t="str">
        <f>IF($A205&lt;&gt;"",'All Cases - Enter Cases'!K205,"")</f>
        <v/>
      </c>
      <c r="L205" t="str">
        <f>IF($A205&lt;&gt;"",'All Cases - Enter Cases'!L205,"")</f>
        <v/>
      </c>
      <c r="M205" t="str">
        <f>IF($A205&lt;&gt;"",'All Cases - Enter Cases'!M205,"")</f>
        <v/>
      </c>
    </row>
    <row r="206" spans="1:13" x14ac:dyDescent="0.35">
      <c r="A206" s="10" t="str">
        <f>IF('All Cases - Enter Cases'!$F206="Sindh",'All Cases - Enter Cases'!A206,"")</f>
        <v/>
      </c>
      <c r="B206" t="str">
        <f>IF($A206&lt;&gt;"",'All Cases - Enter Cases'!B206,"")</f>
        <v/>
      </c>
      <c r="C206" t="str">
        <f>IF($A206&lt;&gt;"",'All Cases - Enter Cases'!C206,"")</f>
        <v/>
      </c>
      <c r="D206" t="str">
        <f>IF($A206&lt;&gt;"",'All Cases - Enter Cases'!D206,"")</f>
        <v/>
      </c>
      <c r="E206" t="str">
        <f>IF($A206&lt;&gt;"",'All Cases - Enter Cases'!E206,"")</f>
        <v/>
      </c>
      <c r="F206" t="str">
        <f>IF($A206&lt;&gt;"",'All Cases - Enter Cases'!F206,"")</f>
        <v/>
      </c>
      <c r="G206" t="str">
        <f>IF($A206&lt;&gt;"",'All Cases - Enter Cases'!G206,"")</f>
        <v/>
      </c>
      <c r="H206" t="str">
        <f>IF($A206&lt;&gt;"",'All Cases - Enter Cases'!H206,"")</f>
        <v/>
      </c>
      <c r="I206" t="str">
        <f>IF($A206&lt;&gt;"",'All Cases - Enter Cases'!I206,"")</f>
        <v/>
      </c>
      <c r="J206" t="str">
        <f>IF($A206&lt;&gt;"",'All Cases - Enter Cases'!J206,"")</f>
        <v/>
      </c>
      <c r="K206" s="4" t="str">
        <f>IF($A206&lt;&gt;"",'All Cases - Enter Cases'!K206,"")</f>
        <v/>
      </c>
      <c r="L206" t="str">
        <f>IF($A206&lt;&gt;"",'All Cases - Enter Cases'!L206,"")</f>
        <v/>
      </c>
      <c r="M206" t="str">
        <f>IF($A206&lt;&gt;"",'All Cases - Enter Cases'!M206,"")</f>
        <v/>
      </c>
    </row>
    <row r="207" spans="1:13" x14ac:dyDescent="0.35">
      <c r="A207" s="10" t="str">
        <f>IF('All Cases - Enter Cases'!$F207="Sindh",'All Cases - Enter Cases'!A207,"")</f>
        <v/>
      </c>
      <c r="B207" t="str">
        <f>IF($A207&lt;&gt;"",'All Cases - Enter Cases'!B207,"")</f>
        <v/>
      </c>
      <c r="C207" t="str">
        <f>IF($A207&lt;&gt;"",'All Cases - Enter Cases'!C207,"")</f>
        <v/>
      </c>
      <c r="D207" t="str">
        <f>IF($A207&lt;&gt;"",'All Cases - Enter Cases'!D207,"")</f>
        <v/>
      </c>
      <c r="E207" t="str">
        <f>IF($A207&lt;&gt;"",'All Cases - Enter Cases'!E207,"")</f>
        <v/>
      </c>
      <c r="F207" t="str">
        <f>IF($A207&lt;&gt;"",'All Cases - Enter Cases'!F207,"")</f>
        <v/>
      </c>
      <c r="G207" t="str">
        <f>IF($A207&lt;&gt;"",'All Cases - Enter Cases'!G207,"")</f>
        <v/>
      </c>
      <c r="H207" t="str">
        <f>IF($A207&lt;&gt;"",'All Cases - Enter Cases'!H207,"")</f>
        <v/>
      </c>
      <c r="I207" t="str">
        <f>IF($A207&lt;&gt;"",'All Cases - Enter Cases'!I207,"")</f>
        <v/>
      </c>
      <c r="J207" t="str">
        <f>IF($A207&lt;&gt;"",'All Cases - Enter Cases'!J207,"")</f>
        <v/>
      </c>
      <c r="K207" s="4" t="str">
        <f>IF($A207&lt;&gt;"",'All Cases - Enter Cases'!K207,"")</f>
        <v/>
      </c>
      <c r="L207" t="str">
        <f>IF($A207&lt;&gt;"",'All Cases - Enter Cases'!L207,"")</f>
        <v/>
      </c>
      <c r="M207" t="str">
        <f>IF($A207&lt;&gt;"",'All Cases - Enter Cases'!M207,"")</f>
        <v/>
      </c>
    </row>
    <row r="208" spans="1:13" x14ac:dyDescent="0.35">
      <c r="A208" s="10" t="str">
        <f>IF('All Cases - Enter Cases'!$F208="Sindh",'All Cases - Enter Cases'!A208,"")</f>
        <v/>
      </c>
      <c r="B208" t="str">
        <f>IF($A208&lt;&gt;"",'All Cases - Enter Cases'!B208,"")</f>
        <v/>
      </c>
      <c r="C208" t="str">
        <f>IF($A208&lt;&gt;"",'All Cases - Enter Cases'!C208,"")</f>
        <v/>
      </c>
      <c r="D208" t="str">
        <f>IF($A208&lt;&gt;"",'All Cases - Enter Cases'!D208,"")</f>
        <v/>
      </c>
      <c r="E208" t="str">
        <f>IF($A208&lt;&gt;"",'All Cases - Enter Cases'!E208,"")</f>
        <v/>
      </c>
      <c r="F208" t="str">
        <f>IF($A208&lt;&gt;"",'All Cases - Enter Cases'!F208,"")</f>
        <v/>
      </c>
      <c r="G208" t="str">
        <f>IF($A208&lt;&gt;"",'All Cases - Enter Cases'!G208,"")</f>
        <v/>
      </c>
      <c r="H208" t="str">
        <f>IF($A208&lt;&gt;"",'All Cases - Enter Cases'!H208,"")</f>
        <v/>
      </c>
      <c r="I208" t="str">
        <f>IF($A208&lt;&gt;"",'All Cases - Enter Cases'!I208,"")</f>
        <v/>
      </c>
      <c r="J208" t="str">
        <f>IF($A208&lt;&gt;"",'All Cases - Enter Cases'!J208,"")</f>
        <v/>
      </c>
      <c r="K208" s="4" t="str">
        <f>IF($A208&lt;&gt;"",'All Cases - Enter Cases'!K208,"")</f>
        <v/>
      </c>
      <c r="L208" t="str">
        <f>IF($A208&lt;&gt;"",'All Cases - Enter Cases'!L208,"")</f>
        <v/>
      </c>
      <c r="M208" t="str">
        <f>IF($A208&lt;&gt;"",'All Cases - Enter Cases'!M208,"")</f>
        <v/>
      </c>
    </row>
    <row r="209" spans="1:13" x14ac:dyDescent="0.35">
      <c r="A209" s="10" t="str">
        <f>IF('All Cases - Enter Cases'!$F209="Sindh",'All Cases - Enter Cases'!A209,"")</f>
        <v/>
      </c>
      <c r="B209" t="str">
        <f>IF($A209&lt;&gt;"",'All Cases - Enter Cases'!B209,"")</f>
        <v/>
      </c>
      <c r="C209" t="str">
        <f>IF($A209&lt;&gt;"",'All Cases - Enter Cases'!C209,"")</f>
        <v/>
      </c>
      <c r="D209" t="str">
        <f>IF($A209&lt;&gt;"",'All Cases - Enter Cases'!D209,"")</f>
        <v/>
      </c>
      <c r="E209" t="str">
        <f>IF($A209&lt;&gt;"",'All Cases - Enter Cases'!E209,"")</f>
        <v/>
      </c>
      <c r="F209" t="str">
        <f>IF($A209&lt;&gt;"",'All Cases - Enter Cases'!F209,"")</f>
        <v/>
      </c>
      <c r="G209" t="str">
        <f>IF($A209&lt;&gt;"",'All Cases - Enter Cases'!G209,"")</f>
        <v/>
      </c>
      <c r="H209" t="str">
        <f>IF($A209&lt;&gt;"",'All Cases - Enter Cases'!H209,"")</f>
        <v/>
      </c>
      <c r="I209" t="str">
        <f>IF($A209&lt;&gt;"",'All Cases - Enter Cases'!I209,"")</f>
        <v/>
      </c>
      <c r="J209" t="str">
        <f>IF($A209&lt;&gt;"",'All Cases - Enter Cases'!J209,"")</f>
        <v/>
      </c>
      <c r="K209" s="4" t="str">
        <f>IF($A209&lt;&gt;"",'All Cases - Enter Cases'!K209,"")</f>
        <v/>
      </c>
      <c r="L209" t="str">
        <f>IF($A209&lt;&gt;"",'All Cases - Enter Cases'!L209,"")</f>
        <v/>
      </c>
      <c r="M209" t="str">
        <f>IF($A209&lt;&gt;"",'All Cases - Enter Cases'!M209,"")</f>
        <v/>
      </c>
    </row>
    <row r="210" spans="1:13" x14ac:dyDescent="0.35">
      <c r="A210" s="10" t="str">
        <f>IF('All Cases - Enter Cases'!$F210="Sindh",'All Cases - Enter Cases'!A210,"")</f>
        <v/>
      </c>
      <c r="B210" t="str">
        <f>IF($A210&lt;&gt;"",'All Cases - Enter Cases'!B210,"")</f>
        <v/>
      </c>
      <c r="C210" t="str">
        <f>IF($A210&lt;&gt;"",'All Cases - Enter Cases'!C210,"")</f>
        <v/>
      </c>
      <c r="D210" t="str">
        <f>IF($A210&lt;&gt;"",'All Cases - Enter Cases'!D210,"")</f>
        <v/>
      </c>
      <c r="E210" t="str">
        <f>IF($A210&lt;&gt;"",'All Cases - Enter Cases'!E210,"")</f>
        <v/>
      </c>
      <c r="F210" t="str">
        <f>IF($A210&lt;&gt;"",'All Cases - Enter Cases'!F210,"")</f>
        <v/>
      </c>
      <c r="G210" t="str">
        <f>IF($A210&lt;&gt;"",'All Cases - Enter Cases'!G210,"")</f>
        <v/>
      </c>
      <c r="H210" t="str">
        <f>IF($A210&lt;&gt;"",'All Cases - Enter Cases'!H210,"")</f>
        <v/>
      </c>
      <c r="I210" t="str">
        <f>IF($A210&lt;&gt;"",'All Cases - Enter Cases'!I210,"")</f>
        <v/>
      </c>
      <c r="J210" t="str">
        <f>IF($A210&lt;&gt;"",'All Cases - Enter Cases'!J210,"")</f>
        <v/>
      </c>
      <c r="K210" s="4" t="str">
        <f>IF($A210&lt;&gt;"",'All Cases - Enter Cases'!K210,"")</f>
        <v/>
      </c>
      <c r="L210" t="str">
        <f>IF($A210&lt;&gt;"",'All Cases - Enter Cases'!L210,"")</f>
        <v/>
      </c>
      <c r="M210" t="str">
        <f>IF($A210&lt;&gt;"",'All Cases - Enter Cases'!M210,"")</f>
        <v/>
      </c>
    </row>
    <row r="211" spans="1:13" x14ac:dyDescent="0.35">
      <c r="A211" s="10" t="str">
        <f>IF('All Cases - Enter Cases'!$F211="Sindh",'All Cases - Enter Cases'!A211,"")</f>
        <v/>
      </c>
      <c r="B211" t="str">
        <f>IF($A211&lt;&gt;"",'All Cases - Enter Cases'!B211,"")</f>
        <v/>
      </c>
      <c r="C211" t="str">
        <f>IF($A211&lt;&gt;"",'All Cases - Enter Cases'!C211,"")</f>
        <v/>
      </c>
      <c r="D211" t="str">
        <f>IF($A211&lt;&gt;"",'All Cases - Enter Cases'!D211,"")</f>
        <v/>
      </c>
      <c r="E211" t="str">
        <f>IF($A211&lt;&gt;"",'All Cases - Enter Cases'!E211,"")</f>
        <v/>
      </c>
      <c r="F211" t="str">
        <f>IF($A211&lt;&gt;"",'All Cases - Enter Cases'!F211,"")</f>
        <v/>
      </c>
      <c r="G211" t="str">
        <f>IF($A211&lt;&gt;"",'All Cases - Enter Cases'!G211,"")</f>
        <v/>
      </c>
      <c r="H211" t="str">
        <f>IF($A211&lt;&gt;"",'All Cases - Enter Cases'!H211,"")</f>
        <v/>
      </c>
      <c r="I211" t="str">
        <f>IF($A211&lt;&gt;"",'All Cases - Enter Cases'!I211,"")</f>
        <v/>
      </c>
      <c r="J211" t="str">
        <f>IF($A211&lt;&gt;"",'All Cases - Enter Cases'!J211,"")</f>
        <v/>
      </c>
      <c r="K211" s="4" t="str">
        <f>IF($A211&lt;&gt;"",'All Cases - Enter Cases'!K211,"")</f>
        <v/>
      </c>
      <c r="L211" t="str">
        <f>IF($A211&lt;&gt;"",'All Cases - Enter Cases'!L211,"")</f>
        <v/>
      </c>
      <c r="M211" t="str">
        <f>IF($A211&lt;&gt;"",'All Cases - Enter Cases'!M211,"")</f>
        <v/>
      </c>
    </row>
    <row r="212" spans="1:13" x14ac:dyDescent="0.35">
      <c r="A212" s="10" t="str">
        <f>IF('All Cases - Enter Cases'!$F212="Sindh",'All Cases - Enter Cases'!A212,"")</f>
        <v/>
      </c>
      <c r="B212" t="str">
        <f>IF($A212&lt;&gt;"",'All Cases - Enter Cases'!B212,"")</f>
        <v/>
      </c>
      <c r="C212" t="str">
        <f>IF($A212&lt;&gt;"",'All Cases - Enter Cases'!C212,"")</f>
        <v/>
      </c>
      <c r="D212" t="str">
        <f>IF($A212&lt;&gt;"",'All Cases - Enter Cases'!D212,"")</f>
        <v/>
      </c>
      <c r="E212" t="str">
        <f>IF($A212&lt;&gt;"",'All Cases - Enter Cases'!E212,"")</f>
        <v/>
      </c>
      <c r="F212" t="str">
        <f>IF($A212&lt;&gt;"",'All Cases - Enter Cases'!F212,"")</f>
        <v/>
      </c>
      <c r="G212" t="str">
        <f>IF($A212&lt;&gt;"",'All Cases - Enter Cases'!G212,"")</f>
        <v/>
      </c>
      <c r="H212" t="str">
        <f>IF($A212&lt;&gt;"",'All Cases - Enter Cases'!H212,"")</f>
        <v/>
      </c>
      <c r="I212" t="str">
        <f>IF($A212&lt;&gt;"",'All Cases - Enter Cases'!I212,"")</f>
        <v/>
      </c>
      <c r="J212" t="str">
        <f>IF($A212&lt;&gt;"",'All Cases - Enter Cases'!J212,"")</f>
        <v/>
      </c>
      <c r="K212" s="4" t="str">
        <f>IF($A212&lt;&gt;"",'All Cases - Enter Cases'!K212,"")</f>
        <v/>
      </c>
      <c r="L212" t="str">
        <f>IF($A212&lt;&gt;"",'All Cases - Enter Cases'!L212,"")</f>
        <v/>
      </c>
      <c r="M212" t="str">
        <f>IF($A212&lt;&gt;"",'All Cases - Enter Cases'!M212,"")</f>
        <v/>
      </c>
    </row>
    <row r="213" spans="1:13" x14ac:dyDescent="0.35">
      <c r="A213" s="10" t="str">
        <f>IF('All Cases - Enter Cases'!$F213="Sindh",'All Cases - Enter Cases'!A213,"")</f>
        <v/>
      </c>
      <c r="B213" t="str">
        <f>IF($A213&lt;&gt;"",'All Cases - Enter Cases'!B213,"")</f>
        <v/>
      </c>
      <c r="C213" t="str">
        <f>IF($A213&lt;&gt;"",'All Cases - Enter Cases'!C213,"")</f>
        <v/>
      </c>
      <c r="D213" t="str">
        <f>IF($A213&lt;&gt;"",'All Cases - Enter Cases'!D213,"")</f>
        <v/>
      </c>
      <c r="E213" t="str">
        <f>IF($A213&lt;&gt;"",'All Cases - Enter Cases'!E213,"")</f>
        <v/>
      </c>
      <c r="F213" t="str">
        <f>IF($A213&lt;&gt;"",'All Cases - Enter Cases'!F213,"")</f>
        <v/>
      </c>
      <c r="G213" t="str">
        <f>IF($A213&lt;&gt;"",'All Cases - Enter Cases'!G213,"")</f>
        <v/>
      </c>
      <c r="H213" t="str">
        <f>IF($A213&lt;&gt;"",'All Cases - Enter Cases'!H213,"")</f>
        <v/>
      </c>
      <c r="I213" t="str">
        <f>IF($A213&lt;&gt;"",'All Cases - Enter Cases'!I213,"")</f>
        <v/>
      </c>
      <c r="J213" t="str">
        <f>IF($A213&lt;&gt;"",'All Cases - Enter Cases'!J213,"")</f>
        <v/>
      </c>
      <c r="K213" s="4" t="str">
        <f>IF($A213&lt;&gt;"",'All Cases - Enter Cases'!K213,"")</f>
        <v/>
      </c>
      <c r="L213" t="str">
        <f>IF($A213&lt;&gt;"",'All Cases - Enter Cases'!L213,"")</f>
        <v/>
      </c>
      <c r="M213" t="str">
        <f>IF($A213&lt;&gt;"",'All Cases - Enter Cases'!M213,"")</f>
        <v/>
      </c>
    </row>
    <row r="214" spans="1:13" x14ac:dyDescent="0.35">
      <c r="A214" s="10" t="str">
        <f>IF('All Cases - Enter Cases'!$F214="Sindh",'All Cases - Enter Cases'!A214,"")</f>
        <v/>
      </c>
      <c r="B214" t="str">
        <f>IF($A214&lt;&gt;"",'All Cases - Enter Cases'!B214,"")</f>
        <v/>
      </c>
      <c r="C214" t="str">
        <f>IF($A214&lt;&gt;"",'All Cases - Enter Cases'!C214,"")</f>
        <v/>
      </c>
      <c r="D214" t="str">
        <f>IF($A214&lt;&gt;"",'All Cases - Enter Cases'!D214,"")</f>
        <v/>
      </c>
      <c r="E214" t="str">
        <f>IF($A214&lt;&gt;"",'All Cases - Enter Cases'!E214,"")</f>
        <v/>
      </c>
      <c r="F214" t="str">
        <f>IF($A214&lt;&gt;"",'All Cases - Enter Cases'!F214,"")</f>
        <v/>
      </c>
      <c r="G214" t="str">
        <f>IF($A214&lt;&gt;"",'All Cases - Enter Cases'!G214,"")</f>
        <v/>
      </c>
      <c r="H214" t="str">
        <f>IF($A214&lt;&gt;"",'All Cases - Enter Cases'!H214,"")</f>
        <v/>
      </c>
      <c r="I214" t="str">
        <f>IF($A214&lt;&gt;"",'All Cases - Enter Cases'!I214,"")</f>
        <v/>
      </c>
      <c r="J214" t="str">
        <f>IF($A214&lt;&gt;"",'All Cases - Enter Cases'!J214,"")</f>
        <v/>
      </c>
      <c r="K214" s="4" t="str">
        <f>IF($A214&lt;&gt;"",'All Cases - Enter Cases'!K214,"")</f>
        <v/>
      </c>
      <c r="L214" t="str">
        <f>IF($A214&lt;&gt;"",'All Cases - Enter Cases'!L214,"")</f>
        <v/>
      </c>
      <c r="M214" t="str">
        <f>IF($A214&lt;&gt;"",'All Cases - Enter Cases'!M214,"")</f>
        <v/>
      </c>
    </row>
    <row r="215" spans="1:13" x14ac:dyDescent="0.35">
      <c r="A215" s="10" t="str">
        <f>IF('All Cases - Enter Cases'!$F215="Sindh",'All Cases - Enter Cases'!A215,"")</f>
        <v/>
      </c>
      <c r="B215" t="str">
        <f>IF($A215&lt;&gt;"",'All Cases - Enter Cases'!B215,"")</f>
        <v/>
      </c>
      <c r="C215" t="str">
        <f>IF($A215&lt;&gt;"",'All Cases - Enter Cases'!C215,"")</f>
        <v/>
      </c>
      <c r="D215" t="str">
        <f>IF($A215&lt;&gt;"",'All Cases - Enter Cases'!D215,"")</f>
        <v/>
      </c>
      <c r="E215" t="str">
        <f>IF($A215&lt;&gt;"",'All Cases - Enter Cases'!E215,"")</f>
        <v/>
      </c>
      <c r="F215" t="str">
        <f>IF($A215&lt;&gt;"",'All Cases - Enter Cases'!F215,"")</f>
        <v/>
      </c>
      <c r="G215" t="str">
        <f>IF($A215&lt;&gt;"",'All Cases - Enter Cases'!G215,"")</f>
        <v/>
      </c>
      <c r="H215" t="str">
        <f>IF($A215&lt;&gt;"",'All Cases - Enter Cases'!H215,"")</f>
        <v/>
      </c>
      <c r="I215" t="str">
        <f>IF($A215&lt;&gt;"",'All Cases - Enter Cases'!I215,"")</f>
        <v/>
      </c>
      <c r="J215" t="str">
        <f>IF($A215&lt;&gt;"",'All Cases - Enter Cases'!J215,"")</f>
        <v/>
      </c>
      <c r="K215" s="4" t="str">
        <f>IF($A215&lt;&gt;"",'All Cases - Enter Cases'!K215,"")</f>
        <v/>
      </c>
      <c r="L215" t="str">
        <f>IF($A215&lt;&gt;"",'All Cases - Enter Cases'!L215,"")</f>
        <v/>
      </c>
      <c r="M215" t="str">
        <f>IF($A215&lt;&gt;"",'All Cases - Enter Cases'!M215,"")</f>
        <v/>
      </c>
    </row>
    <row r="216" spans="1:13" x14ac:dyDescent="0.35">
      <c r="A216" s="10" t="str">
        <f>IF('All Cases - Enter Cases'!$F216="Sindh",'All Cases - Enter Cases'!A216,"")</f>
        <v/>
      </c>
      <c r="B216" t="str">
        <f>IF($A216&lt;&gt;"",'All Cases - Enter Cases'!B216,"")</f>
        <v/>
      </c>
      <c r="C216" t="str">
        <f>IF($A216&lt;&gt;"",'All Cases - Enter Cases'!C216,"")</f>
        <v/>
      </c>
      <c r="D216" t="str">
        <f>IF($A216&lt;&gt;"",'All Cases - Enter Cases'!D216,"")</f>
        <v/>
      </c>
      <c r="E216" t="str">
        <f>IF($A216&lt;&gt;"",'All Cases - Enter Cases'!E216,"")</f>
        <v/>
      </c>
      <c r="F216" t="str">
        <f>IF($A216&lt;&gt;"",'All Cases - Enter Cases'!F216,"")</f>
        <v/>
      </c>
      <c r="G216" t="str">
        <f>IF($A216&lt;&gt;"",'All Cases - Enter Cases'!G216,"")</f>
        <v/>
      </c>
      <c r="H216" t="str">
        <f>IF($A216&lt;&gt;"",'All Cases - Enter Cases'!H216,"")</f>
        <v/>
      </c>
      <c r="I216" t="str">
        <f>IF($A216&lt;&gt;"",'All Cases - Enter Cases'!I216,"")</f>
        <v/>
      </c>
      <c r="J216" t="str">
        <f>IF($A216&lt;&gt;"",'All Cases - Enter Cases'!J216,"")</f>
        <v/>
      </c>
      <c r="K216" s="4" t="str">
        <f>IF($A216&lt;&gt;"",'All Cases - Enter Cases'!K216,"")</f>
        <v/>
      </c>
      <c r="L216" t="str">
        <f>IF($A216&lt;&gt;"",'All Cases - Enter Cases'!L216,"")</f>
        <v/>
      </c>
      <c r="M216" t="str">
        <f>IF($A216&lt;&gt;"",'All Cases - Enter Cases'!M216,"")</f>
        <v/>
      </c>
    </row>
    <row r="217" spans="1:13" x14ac:dyDescent="0.35">
      <c r="A217" s="10" t="str">
        <f>IF('All Cases - Enter Cases'!$F217="Sindh",'All Cases - Enter Cases'!A217,"")</f>
        <v/>
      </c>
      <c r="B217" t="str">
        <f>IF($A217&lt;&gt;"",'All Cases - Enter Cases'!B217,"")</f>
        <v/>
      </c>
      <c r="C217" t="str">
        <f>IF($A217&lt;&gt;"",'All Cases - Enter Cases'!C217,"")</f>
        <v/>
      </c>
      <c r="D217" t="str">
        <f>IF($A217&lt;&gt;"",'All Cases - Enter Cases'!D217,"")</f>
        <v/>
      </c>
      <c r="E217" t="str">
        <f>IF($A217&lt;&gt;"",'All Cases - Enter Cases'!E217,"")</f>
        <v/>
      </c>
      <c r="F217" t="str">
        <f>IF($A217&lt;&gt;"",'All Cases - Enter Cases'!F217,"")</f>
        <v/>
      </c>
      <c r="G217" t="str">
        <f>IF($A217&lt;&gt;"",'All Cases - Enter Cases'!G217,"")</f>
        <v/>
      </c>
      <c r="H217" t="str">
        <f>IF($A217&lt;&gt;"",'All Cases - Enter Cases'!H217,"")</f>
        <v/>
      </c>
      <c r="I217" t="str">
        <f>IF($A217&lt;&gt;"",'All Cases - Enter Cases'!I217,"")</f>
        <v/>
      </c>
      <c r="J217" t="str">
        <f>IF($A217&lt;&gt;"",'All Cases - Enter Cases'!J217,"")</f>
        <v/>
      </c>
      <c r="K217" s="4" t="str">
        <f>IF($A217&lt;&gt;"",'All Cases - Enter Cases'!K217,"")</f>
        <v/>
      </c>
      <c r="L217" t="str">
        <f>IF($A217&lt;&gt;"",'All Cases - Enter Cases'!L217,"")</f>
        <v/>
      </c>
      <c r="M217" t="str">
        <f>IF($A217&lt;&gt;"",'All Cases - Enter Cases'!M217,"")</f>
        <v/>
      </c>
    </row>
    <row r="218" spans="1:13" x14ac:dyDescent="0.35">
      <c r="A218" s="10" t="str">
        <f>IF('All Cases - Enter Cases'!$F218="Sindh",'All Cases - Enter Cases'!A218,"")</f>
        <v/>
      </c>
      <c r="B218" t="str">
        <f>IF($A218&lt;&gt;"",'All Cases - Enter Cases'!B218,"")</f>
        <v/>
      </c>
      <c r="C218" t="str">
        <f>IF($A218&lt;&gt;"",'All Cases - Enter Cases'!C218,"")</f>
        <v/>
      </c>
      <c r="D218" t="str">
        <f>IF($A218&lt;&gt;"",'All Cases - Enter Cases'!D218,"")</f>
        <v/>
      </c>
      <c r="E218" t="str">
        <f>IF($A218&lt;&gt;"",'All Cases - Enter Cases'!E218,"")</f>
        <v/>
      </c>
      <c r="F218" t="str">
        <f>IF($A218&lt;&gt;"",'All Cases - Enter Cases'!F218,"")</f>
        <v/>
      </c>
      <c r="G218" t="str">
        <f>IF($A218&lt;&gt;"",'All Cases - Enter Cases'!G218,"")</f>
        <v/>
      </c>
      <c r="H218" t="str">
        <f>IF($A218&lt;&gt;"",'All Cases - Enter Cases'!H218,"")</f>
        <v/>
      </c>
      <c r="I218" t="str">
        <f>IF($A218&lt;&gt;"",'All Cases - Enter Cases'!I218,"")</f>
        <v/>
      </c>
      <c r="J218" t="str">
        <f>IF($A218&lt;&gt;"",'All Cases - Enter Cases'!J218,"")</f>
        <v/>
      </c>
      <c r="K218" s="4" t="str">
        <f>IF($A218&lt;&gt;"",'All Cases - Enter Cases'!K218,"")</f>
        <v/>
      </c>
      <c r="L218" t="str">
        <f>IF($A218&lt;&gt;"",'All Cases - Enter Cases'!L218,"")</f>
        <v/>
      </c>
      <c r="M218" t="str">
        <f>IF($A218&lt;&gt;"",'All Cases - Enter Cases'!M218,"")</f>
        <v/>
      </c>
    </row>
    <row r="219" spans="1:13" x14ac:dyDescent="0.35">
      <c r="A219" s="10" t="str">
        <f>IF('All Cases - Enter Cases'!$F219="Sindh",'All Cases - Enter Cases'!A219,"")</f>
        <v/>
      </c>
      <c r="B219" t="str">
        <f>IF($A219&lt;&gt;"",'All Cases - Enter Cases'!B219,"")</f>
        <v/>
      </c>
      <c r="C219" t="str">
        <f>IF($A219&lt;&gt;"",'All Cases - Enter Cases'!C219,"")</f>
        <v/>
      </c>
      <c r="D219" t="str">
        <f>IF($A219&lt;&gt;"",'All Cases - Enter Cases'!D219,"")</f>
        <v/>
      </c>
      <c r="E219" t="str">
        <f>IF($A219&lt;&gt;"",'All Cases - Enter Cases'!E219,"")</f>
        <v/>
      </c>
      <c r="F219" t="str">
        <f>IF($A219&lt;&gt;"",'All Cases - Enter Cases'!F219,"")</f>
        <v/>
      </c>
      <c r="G219" t="str">
        <f>IF($A219&lt;&gt;"",'All Cases - Enter Cases'!G219,"")</f>
        <v/>
      </c>
      <c r="H219" t="str">
        <f>IF($A219&lt;&gt;"",'All Cases - Enter Cases'!H219,"")</f>
        <v/>
      </c>
      <c r="I219" t="str">
        <f>IF($A219&lt;&gt;"",'All Cases - Enter Cases'!I219,"")</f>
        <v/>
      </c>
      <c r="J219" t="str">
        <f>IF($A219&lt;&gt;"",'All Cases - Enter Cases'!J219,"")</f>
        <v/>
      </c>
      <c r="K219" s="4" t="str">
        <f>IF($A219&lt;&gt;"",'All Cases - Enter Cases'!K219,"")</f>
        <v/>
      </c>
      <c r="L219" t="str">
        <f>IF($A219&lt;&gt;"",'All Cases - Enter Cases'!L219,"")</f>
        <v/>
      </c>
      <c r="M219" t="str">
        <f>IF($A219&lt;&gt;"",'All Cases - Enter Cases'!M219,"")</f>
        <v/>
      </c>
    </row>
    <row r="220" spans="1:13" x14ac:dyDescent="0.35">
      <c r="A220" s="10" t="str">
        <f>IF('All Cases - Enter Cases'!$F220="Sindh",'All Cases - Enter Cases'!A220,"")</f>
        <v/>
      </c>
      <c r="B220" t="str">
        <f>IF($A220&lt;&gt;"",'All Cases - Enter Cases'!B220,"")</f>
        <v/>
      </c>
      <c r="C220" t="str">
        <f>IF($A220&lt;&gt;"",'All Cases - Enter Cases'!C220,"")</f>
        <v/>
      </c>
      <c r="D220" t="str">
        <f>IF($A220&lt;&gt;"",'All Cases - Enter Cases'!D220,"")</f>
        <v/>
      </c>
      <c r="E220" t="str">
        <f>IF($A220&lt;&gt;"",'All Cases - Enter Cases'!E220,"")</f>
        <v/>
      </c>
      <c r="F220" t="str">
        <f>IF($A220&lt;&gt;"",'All Cases - Enter Cases'!F220,"")</f>
        <v/>
      </c>
      <c r="G220" t="str">
        <f>IF($A220&lt;&gt;"",'All Cases - Enter Cases'!G220,"")</f>
        <v/>
      </c>
      <c r="H220" t="str">
        <f>IF($A220&lt;&gt;"",'All Cases - Enter Cases'!H220,"")</f>
        <v/>
      </c>
      <c r="I220" t="str">
        <f>IF($A220&lt;&gt;"",'All Cases - Enter Cases'!I220,"")</f>
        <v/>
      </c>
      <c r="J220" t="str">
        <f>IF($A220&lt;&gt;"",'All Cases - Enter Cases'!J220,"")</f>
        <v/>
      </c>
      <c r="K220" s="4" t="str">
        <f>IF($A220&lt;&gt;"",'All Cases - Enter Cases'!K220,"")</f>
        <v/>
      </c>
      <c r="L220" t="str">
        <f>IF($A220&lt;&gt;"",'All Cases - Enter Cases'!L220,"")</f>
        <v/>
      </c>
      <c r="M220" t="str">
        <f>IF($A220&lt;&gt;"",'All Cases - Enter Cases'!M220,"")</f>
        <v/>
      </c>
    </row>
    <row r="221" spans="1:13" x14ac:dyDescent="0.35">
      <c r="A221" s="10" t="str">
        <f>IF('All Cases - Enter Cases'!$F221="Sindh",'All Cases - Enter Cases'!A221,"")</f>
        <v/>
      </c>
      <c r="B221" t="str">
        <f>IF($A221&lt;&gt;"",'All Cases - Enter Cases'!B221,"")</f>
        <v/>
      </c>
      <c r="C221" t="str">
        <f>IF($A221&lt;&gt;"",'All Cases - Enter Cases'!C221,"")</f>
        <v/>
      </c>
      <c r="D221" t="str">
        <f>IF($A221&lt;&gt;"",'All Cases - Enter Cases'!D221,"")</f>
        <v/>
      </c>
      <c r="E221" t="str">
        <f>IF($A221&lt;&gt;"",'All Cases - Enter Cases'!E221,"")</f>
        <v/>
      </c>
      <c r="F221" t="str">
        <f>IF($A221&lt;&gt;"",'All Cases - Enter Cases'!F221,"")</f>
        <v/>
      </c>
      <c r="G221" t="str">
        <f>IF($A221&lt;&gt;"",'All Cases - Enter Cases'!G221,"")</f>
        <v/>
      </c>
      <c r="H221" t="str">
        <f>IF($A221&lt;&gt;"",'All Cases - Enter Cases'!H221,"")</f>
        <v/>
      </c>
      <c r="I221" t="str">
        <f>IF($A221&lt;&gt;"",'All Cases - Enter Cases'!I221,"")</f>
        <v/>
      </c>
      <c r="J221" t="str">
        <f>IF($A221&lt;&gt;"",'All Cases - Enter Cases'!J221,"")</f>
        <v/>
      </c>
      <c r="K221" s="4" t="str">
        <f>IF($A221&lt;&gt;"",'All Cases - Enter Cases'!K221,"")</f>
        <v/>
      </c>
      <c r="L221" t="str">
        <f>IF($A221&lt;&gt;"",'All Cases - Enter Cases'!L221,"")</f>
        <v/>
      </c>
      <c r="M221" t="str">
        <f>IF($A221&lt;&gt;"",'All Cases - Enter Cases'!M221,"")</f>
        <v/>
      </c>
    </row>
    <row r="222" spans="1:13" x14ac:dyDescent="0.35">
      <c r="A222" s="10" t="str">
        <f>IF('All Cases - Enter Cases'!$F222="Sindh",'All Cases - Enter Cases'!A222,"")</f>
        <v/>
      </c>
      <c r="B222" t="str">
        <f>IF($A222&lt;&gt;"",'All Cases - Enter Cases'!B222,"")</f>
        <v/>
      </c>
      <c r="C222" t="str">
        <f>IF($A222&lt;&gt;"",'All Cases - Enter Cases'!C222,"")</f>
        <v/>
      </c>
      <c r="D222" t="str">
        <f>IF($A222&lt;&gt;"",'All Cases - Enter Cases'!D222,"")</f>
        <v/>
      </c>
      <c r="E222" t="str">
        <f>IF($A222&lt;&gt;"",'All Cases - Enter Cases'!E222,"")</f>
        <v/>
      </c>
      <c r="F222" t="str">
        <f>IF($A222&lt;&gt;"",'All Cases - Enter Cases'!F222,"")</f>
        <v/>
      </c>
      <c r="G222" t="str">
        <f>IF($A222&lt;&gt;"",'All Cases - Enter Cases'!G222,"")</f>
        <v/>
      </c>
      <c r="H222" t="str">
        <f>IF($A222&lt;&gt;"",'All Cases - Enter Cases'!H222,"")</f>
        <v/>
      </c>
      <c r="I222" t="str">
        <f>IF($A222&lt;&gt;"",'All Cases - Enter Cases'!I222,"")</f>
        <v/>
      </c>
      <c r="J222" t="str">
        <f>IF($A222&lt;&gt;"",'All Cases - Enter Cases'!J222,"")</f>
        <v/>
      </c>
      <c r="K222" s="4" t="str">
        <f>IF($A222&lt;&gt;"",'All Cases - Enter Cases'!K222,"")</f>
        <v/>
      </c>
      <c r="L222" t="str">
        <f>IF($A222&lt;&gt;"",'All Cases - Enter Cases'!L222,"")</f>
        <v/>
      </c>
      <c r="M222" t="str">
        <f>IF($A222&lt;&gt;"",'All Cases - Enter Cases'!M222,"")</f>
        <v/>
      </c>
    </row>
    <row r="223" spans="1:13" x14ac:dyDescent="0.35">
      <c r="A223" s="10" t="str">
        <f>IF('All Cases - Enter Cases'!$F223="Sindh",'All Cases - Enter Cases'!A223,"")</f>
        <v/>
      </c>
      <c r="B223" t="str">
        <f>IF($A223&lt;&gt;"",'All Cases - Enter Cases'!B223,"")</f>
        <v/>
      </c>
      <c r="C223" t="str">
        <f>IF($A223&lt;&gt;"",'All Cases - Enter Cases'!C223,"")</f>
        <v/>
      </c>
      <c r="D223" t="str">
        <f>IF($A223&lt;&gt;"",'All Cases - Enter Cases'!D223,"")</f>
        <v/>
      </c>
      <c r="E223" t="str">
        <f>IF($A223&lt;&gt;"",'All Cases - Enter Cases'!E223,"")</f>
        <v/>
      </c>
      <c r="F223" t="str">
        <f>IF($A223&lt;&gt;"",'All Cases - Enter Cases'!F223,"")</f>
        <v/>
      </c>
      <c r="G223" t="str">
        <f>IF($A223&lt;&gt;"",'All Cases - Enter Cases'!G223,"")</f>
        <v/>
      </c>
      <c r="H223" t="str">
        <f>IF($A223&lt;&gt;"",'All Cases - Enter Cases'!H223,"")</f>
        <v/>
      </c>
      <c r="I223" t="str">
        <f>IF($A223&lt;&gt;"",'All Cases - Enter Cases'!I223,"")</f>
        <v/>
      </c>
      <c r="J223" t="str">
        <f>IF($A223&lt;&gt;"",'All Cases - Enter Cases'!J223,"")</f>
        <v/>
      </c>
      <c r="K223" s="4" t="str">
        <f>IF($A223&lt;&gt;"",'All Cases - Enter Cases'!K223,"")</f>
        <v/>
      </c>
      <c r="L223" t="str">
        <f>IF($A223&lt;&gt;"",'All Cases - Enter Cases'!L223,"")</f>
        <v/>
      </c>
      <c r="M223" t="str">
        <f>IF($A223&lt;&gt;"",'All Cases - Enter Cases'!M223,"")</f>
        <v/>
      </c>
    </row>
    <row r="224" spans="1:13" x14ac:dyDescent="0.35">
      <c r="A224" s="10" t="str">
        <f>IF('All Cases - Enter Cases'!$F224="Sindh",'All Cases - Enter Cases'!A224,"")</f>
        <v/>
      </c>
      <c r="B224" t="str">
        <f>IF($A224&lt;&gt;"",'All Cases - Enter Cases'!B224,"")</f>
        <v/>
      </c>
      <c r="C224" t="str">
        <f>IF($A224&lt;&gt;"",'All Cases - Enter Cases'!C224,"")</f>
        <v/>
      </c>
      <c r="D224" t="str">
        <f>IF($A224&lt;&gt;"",'All Cases - Enter Cases'!D224,"")</f>
        <v/>
      </c>
      <c r="E224" t="str">
        <f>IF($A224&lt;&gt;"",'All Cases - Enter Cases'!E224,"")</f>
        <v/>
      </c>
      <c r="F224" t="str">
        <f>IF($A224&lt;&gt;"",'All Cases - Enter Cases'!F224,"")</f>
        <v/>
      </c>
      <c r="G224" t="str">
        <f>IF($A224&lt;&gt;"",'All Cases - Enter Cases'!G224,"")</f>
        <v/>
      </c>
      <c r="H224" t="str">
        <f>IF($A224&lt;&gt;"",'All Cases - Enter Cases'!H224,"")</f>
        <v/>
      </c>
      <c r="I224" t="str">
        <f>IF($A224&lt;&gt;"",'All Cases - Enter Cases'!I224,"")</f>
        <v/>
      </c>
      <c r="J224" t="str">
        <f>IF($A224&lt;&gt;"",'All Cases - Enter Cases'!J224,"")</f>
        <v/>
      </c>
      <c r="K224" s="4" t="str">
        <f>IF($A224&lt;&gt;"",'All Cases - Enter Cases'!K224,"")</f>
        <v/>
      </c>
      <c r="L224" t="str">
        <f>IF($A224&lt;&gt;"",'All Cases - Enter Cases'!L224,"")</f>
        <v/>
      </c>
      <c r="M224" t="str">
        <f>IF($A224&lt;&gt;"",'All Cases - Enter Cases'!M224,"")</f>
        <v/>
      </c>
    </row>
    <row r="225" spans="1:13" x14ac:dyDescent="0.35">
      <c r="A225" s="10" t="str">
        <f>IF('All Cases - Enter Cases'!$F225="Sindh",'All Cases - Enter Cases'!A225,"")</f>
        <v/>
      </c>
      <c r="B225" t="str">
        <f>IF($A225&lt;&gt;"",'All Cases - Enter Cases'!B225,"")</f>
        <v/>
      </c>
      <c r="C225" t="str">
        <f>IF($A225&lt;&gt;"",'All Cases - Enter Cases'!C225,"")</f>
        <v/>
      </c>
      <c r="D225" t="str">
        <f>IF($A225&lt;&gt;"",'All Cases - Enter Cases'!D225,"")</f>
        <v/>
      </c>
      <c r="E225" t="str">
        <f>IF($A225&lt;&gt;"",'All Cases - Enter Cases'!E225,"")</f>
        <v/>
      </c>
      <c r="F225" t="str">
        <f>IF($A225&lt;&gt;"",'All Cases - Enter Cases'!F225,"")</f>
        <v/>
      </c>
      <c r="G225" t="str">
        <f>IF($A225&lt;&gt;"",'All Cases - Enter Cases'!G225,"")</f>
        <v/>
      </c>
      <c r="H225" t="str">
        <f>IF($A225&lt;&gt;"",'All Cases - Enter Cases'!H225,"")</f>
        <v/>
      </c>
      <c r="I225" t="str">
        <f>IF($A225&lt;&gt;"",'All Cases - Enter Cases'!I225,"")</f>
        <v/>
      </c>
      <c r="J225" t="str">
        <f>IF($A225&lt;&gt;"",'All Cases - Enter Cases'!J225,"")</f>
        <v/>
      </c>
      <c r="K225" s="4" t="str">
        <f>IF($A225&lt;&gt;"",'All Cases - Enter Cases'!K225,"")</f>
        <v/>
      </c>
      <c r="L225" t="str">
        <f>IF($A225&lt;&gt;"",'All Cases - Enter Cases'!L225,"")</f>
        <v/>
      </c>
      <c r="M225" t="str">
        <f>IF($A225&lt;&gt;"",'All Cases - Enter Cases'!M225,"")</f>
        <v/>
      </c>
    </row>
    <row r="226" spans="1:13" x14ac:dyDescent="0.35">
      <c r="A226" s="10" t="str">
        <f>IF('All Cases - Enter Cases'!$F226="Sindh",'All Cases - Enter Cases'!A226,"")</f>
        <v/>
      </c>
      <c r="B226" t="str">
        <f>IF($A226&lt;&gt;"",'All Cases - Enter Cases'!B226,"")</f>
        <v/>
      </c>
      <c r="C226" t="str">
        <f>IF($A226&lt;&gt;"",'All Cases - Enter Cases'!C226,"")</f>
        <v/>
      </c>
      <c r="D226" t="str">
        <f>IF($A226&lt;&gt;"",'All Cases - Enter Cases'!D226,"")</f>
        <v/>
      </c>
      <c r="E226" t="str">
        <f>IF($A226&lt;&gt;"",'All Cases - Enter Cases'!E226,"")</f>
        <v/>
      </c>
      <c r="F226" t="str">
        <f>IF($A226&lt;&gt;"",'All Cases - Enter Cases'!F226,"")</f>
        <v/>
      </c>
      <c r="G226" t="str">
        <f>IF($A226&lt;&gt;"",'All Cases - Enter Cases'!G226,"")</f>
        <v/>
      </c>
      <c r="H226" t="str">
        <f>IF($A226&lt;&gt;"",'All Cases - Enter Cases'!H226,"")</f>
        <v/>
      </c>
      <c r="I226" t="str">
        <f>IF($A226&lt;&gt;"",'All Cases - Enter Cases'!I226,"")</f>
        <v/>
      </c>
      <c r="J226" t="str">
        <f>IF($A226&lt;&gt;"",'All Cases - Enter Cases'!J226,"")</f>
        <v/>
      </c>
      <c r="K226" s="4" t="str">
        <f>IF($A226&lt;&gt;"",'All Cases - Enter Cases'!K226,"")</f>
        <v/>
      </c>
      <c r="L226" t="str">
        <f>IF($A226&lt;&gt;"",'All Cases - Enter Cases'!L226,"")</f>
        <v/>
      </c>
      <c r="M226" t="str">
        <f>IF($A226&lt;&gt;"",'All Cases - Enter Cases'!M226,"")</f>
        <v/>
      </c>
    </row>
    <row r="227" spans="1:13" x14ac:dyDescent="0.35">
      <c r="A227" s="10" t="str">
        <f>IF('All Cases - Enter Cases'!$F227="Sindh",'All Cases - Enter Cases'!A227,"")</f>
        <v/>
      </c>
      <c r="B227" t="str">
        <f>IF($A227&lt;&gt;"",'All Cases - Enter Cases'!B227,"")</f>
        <v/>
      </c>
      <c r="C227" t="str">
        <f>IF($A227&lt;&gt;"",'All Cases - Enter Cases'!C227,"")</f>
        <v/>
      </c>
      <c r="D227" t="str">
        <f>IF($A227&lt;&gt;"",'All Cases - Enter Cases'!D227,"")</f>
        <v/>
      </c>
      <c r="E227" t="str">
        <f>IF($A227&lt;&gt;"",'All Cases - Enter Cases'!E227,"")</f>
        <v/>
      </c>
      <c r="F227" t="str">
        <f>IF($A227&lt;&gt;"",'All Cases - Enter Cases'!F227,"")</f>
        <v/>
      </c>
      <c r="G227" t="str">
        <f>IF($A227&lt;&gt;"",'All Cases - Enter Cases'!G227,"")</f>
        <v/>
      </c>
      <c r="H227" t="str">
        <f>IF($A227&lt;&gt;"",'All Cases - Enter Cases'!H227,"")</f>
        <v/>
      </c>
      <c r="I227" t="str">
        <f>IF($A227&lt;&gt;"",'All Cases - Enter Cases'!I227,"")</f>
        <v/>
      </c>
      <c r="J227" t="str">
        <f>IF($A227&lt;&gt;"",'All Cases - Enter Cases'!J227,"")</f>
        <v/>
      </c>
      <c r="K227" s="4" t="str">
        <f>IF($A227&lt;&gt;"",'All Cases - Enter Cases'!K227,"")</f>
        <v/>
      </c>
      <c r="L227" t="str">
        <f>IF($A227&lt;&gt;"",'All Cases - Enter Cases'!L227,"")</f>
        <v/>
      </c>
      <c r="M227" t="str">
        <f>IF($A227&lt;&gt;"",'All Cases - Enter Cases'!M227,"")</f>
        <v/>
      </c>
    </row>
    <row r="228" spans="1:13" x14ac:dyDescent="0.35">
      <c r="A228" s="10" t="str">
        <f>IF('All Cases - Enter Cases'!$F228="Sindh",'All Cases - Enter Cases'!A228,"")</f>
        <v/>
      </c>
      <c r="B228" t="str">
        <f>IF($A228&lt;&gt;"",'All Cases - Enter Cases'!B228,"")</f>
        <v/>
      </c>
      <c r="C228" t="str">
        <f>IF($A228&lt;&gt;"",'All Cases - Enter Cases'!C228,"")</f>
        <v/>
      </c>
      <c r="D228" t="str">
        <f>IF($A228&lt;&gt;"",'All Cases - Enter Cases'!D228,"")</f>
        <v/>
      </c>
      <c r="E228" t="str">
        <f>IF($A228&lt;&gt;"",'All Cases - Enter Cases'!E228,"")</f>
        <v/>
      </c>
      <c r="F228" t="str">
        <f>IF($A228&lt;&gt;"",'All Cases - Enter Cases'!F228,"")</f>
        <v/>
      </c>
      <c r="G228" t="str">
        <f>IF($A228&lt;&gt;"",'All Cases - Enter Cases'!G228,"")</f>
        <v/>
      </c>
      <c r="H228" t="str">
        <f>IF($A228&lt;&gt;"",'All Cases - Enter Cases'!H228,"")</f>
        <v/>
      </c>
      <c r="I228" t="str">
        <f>IF($A228&lt;&gt;"",'All Cases - Enter Cases'!I228,"")</f>
        <v/>
      </c>
      <c r="J228" t="str">
        <f>IF($A228&lt;&gt;"",'All Cases - Enter Cases'!J228,"")</f>
        <v/>
      </c>
      <c r="K228" s="4" t="str">
        <f>IF($A228&lt;&gt;"",'All Cases - Enter Cases'!K228,"")</f>
        <v/>
      </c>
      <c r="L228" t="str">
        <f>IF($A228&lt;&gt;"",'All Cases - Enter Cases'!L228,"")</f>
        <v/>
      </c>
      <c r="M228" t="str">
        <f>IF($A228&lt;&gt;"",'All Cases - Enter Cases'!M228,"")</f>
        <v/>
      </c>
    </row>
    <row r="229" spans="1:13" x14ac:dyDescent="0.35">
      <c r="A229" s="10" t="str">
        <f>IF('All Cases - Enter Cases'!$F229="Sindh",'All Cases - Enter Cases'!A229,"")</f>
        <v/>
      </c>
      <c r="B229" t="str">
        <f>IF($A229&lt;&gt;"",'All Cases - Enter Cases'!B229,"")</f>
        <v/>
      </c>
      <c r="C229" t="str">
        <f>IF($A229&lt;&gt;"",'All Cases - Enter Cases'!C229,"")</f>
        <v/>
      </c>
      <c r="D229" t="str">
        <f>IF($A229&lt;&gt;"",'All Cases - Enter Cases'!D229,"")</f>
        <v/>
      </c>
      <c r="E229" t="str">
        <f>IF($A229&lt;&gt;"",'All Cases - Enter Cases'!E229,"")</f>
        <v/>
      </c>
      <c r="F229" t="str">
        <f>IF($A229&lt;&gt;"",'All Cases - Enter Cases'!F229,"")</f>
        <v/>
      </c>
      <c r="G229" t="str">
        <f>IF($A229&lt;&gt;"",'All Cases - Enter Cases'!G229,"")</f>
        <v/>
      </c>
      <c r="H229" t="str">
        <f>IF($A229&lt;&gt;"",'All Cases - Enter Cases'!H229,"")</f>
        <v/>
      </c>
      <c r="I229" t="str">
        <f>IF($A229&lt;&gt;"",'All Cases - Enter Cases'!I229,"")</f>
        <v/>
      </c>
      <c r="J229" t="str">
        <f>IF($A229&lt;&gt;"",'All Cases - Enter Cases'!J229,"")</f>
        <v/>
      </c>
      <c r="K229" s="4" t="str">
        <f>IF($A229&lt;&gt;"",'All Cases - Enter Cases'!K229,"")</f>
        <v/>
      </c>
      <c r="L229" t="str">
        <f>IF($A229&lt;&gt;"",'All Cases - Enter Cases'!L229,"")</f>
        <v/>
      </c>
      <c r="M229" t="str">
        <f>IF($A229&lt;&gt;"",'All Cases - Enter Cases'!M229,"")</f>
        <v/>
      </c>
    </row>
    <row r="230" spans="1:13" x14ac:dyDescent="0.35">
      <c r="A230" s="10" t="str">
        <f>IF('All Cases - Enter Cases'!$F230="Sindh",'All Cases - Enter Cases'!A230,"")</f>
        <v/>
      </c>
      <c r="B230" t="str">
        <f>IF($A230&lt;&gt;"",'All Cases - Enter Cases'!B230,"")</f>
        <v/>
      </c>
      <c r="C230" t="str">
        <f>IF($A230&lt;&gt;"",'All Cases - Enter Cases'!C230,"")</f>
        <v/>
      </c>
      <c r="D230" t="str">
        <f>IF($A230&lt;&gt;"",'All Cases - Enter Cases'!D230,"")</f>
        <v/>
      </c>
      <c r="E230" t="str">
        <f>IF($A230&lt;&gt;"",'All Cases - Enter Cases'!E230,"")</f>
        <v/>
      </c>
      <c r="F230" t="str">
        <f>IF($A230&lt;&gt;"",'All Cases - Enter Cases'!F230,"")</f>
        <v/>
      </c>
      <c r="G230" t="str">
        <f>IF($A230&lt;&gt;"",'All Cases - Enter Cases'!G230,"")</f>
        <v/>
      </c>
      <c r="H230" t="str">
        <f>IF($A230&lt;&gt;"",'All Cases - Enter Cases'!H230,"")</f>
        <v/>
      </c>
      <c r="I230" t="str">
        <f>IF($A230&lt;&gt;"",'All Cases - Enter Cases'!I230,"")</f>
        <v/>
      </c>
      <c r="J230" t="str">
        <f>IF($A230&lt;&gt;"",'All Cases - Enter Cases'!J230,"")</f>
        <v/>
      </c>
      <c r="K230" s="4" t="str">
        <f>IF($A230&lt;&gt;"",'All Cases - Enter Cases'!K230,"")</f>
        <v/>
      </c>
      <c r="L230" t="str">
        <f>IF($A230&lt;&gt;"",'All Cases - Enter Cases'!L230,"")</f>
        <v/>
      </c>
      <c r="M230" t="str">
        <f>IF($A230&lt;&gt;"",'All Cases - Enter Cases'!M230,"")</f>
        <v/>
      </c>
    </row>
    <row r="231" spans="1:13" x14ac:dyDescent="0.35">
      <c r="A231" s="10" t="str">
        <f>IF('All Cases - Enter Cases'!$F231="Sindh",'All Cases - Enter Cases'!A231,"")</f>
        <v/>
      </c>
      <c r="B231" t="str">
        <f>IF($A231&lt;&gt;"",'All Cases - Enter Cases'!B231,"")</f>
        <v/>
      </c>
      <c r="C231" t="str">
        <f>IF($A231&lt;&gt;"",'All Cases - Enter Cases'!C231,"")</f>
        <v/>
      </c>
      <c r="D231" t="str">
        <f>IF($A231&lt;&gt;"",'All Cases - Enter Cases'!D231,"")</f>
        <v/>
      </c>
      <c r="E231" t="str">
        <f>IF($A231&lt;&gt;"",'All Cases - Enter Cases'!E231,"")</f>
        <v/>
      </c>
      <c r="F231" t="str">
        <f>IF($A231&lt;&gt;"",'All Cases - Enter Cases'!F231,"")</f>
        <v/>
      </c>
      <c r="G231" t="str">
        <f>IF($A231&lt;&gt;"",'All Cases - Enter Cases'!G231,"")</f>
        <v/>
      </c>
      <c r="H231" t="str">
        <f>IF($A231&lt;&gt;"",'All Cases - Enter Cases'!H231,"")</f>
        <v/>
      </c>
      <c r="I231" t="str">
        <f>IF($A231&lt;&gt;"",'All Cases - Enter Cases'!I231,"")</f>
        <v/>
      </c>
      <c r="J231" t="str">
        <f>IF($A231&lt;&gt;"",'All Cases - Enter Cases'!J231,"")</f>
        <v/>
      </c>
      <c r="K231" s="4" t="str">
        <f>IF($A231&lt;&gt;"",'All Cases - Enter Cases'!K231,"")</f>
        <v/>
      </c>
      <c r="L231" t="str">
        <f>IF($A231&lt;&gt;"",'All Cases - Enter Cases'!L231,"")</f>
        <v/>
      </c>
      <c r="M231" t="str">
        <f>IF($A231&lt;&gt;"",'All Cases - Enter Cases'!M231,"")</f>
        <v/>
      </c>
    </row>
    <row r="232" spans="1:13" x14ac:dyDescent="0.35">
      <c r="A232" s="10" t="str">
        <f>IF('All Cases - Enter Cases'!$F232="Sindh",'All Cases - Enter Cases'!A232,"")</f>
        <v/>
      </c>
      <c r="B232" t="str">
        <f>IF($A232&lt;&gt;"",'All Cases - Enter Cases'!B232,"")</f>
        <v/>
      </c>
      <c r="C232" t="str">
        <f>IF($A232&lt;&gt;"",'All Cases - Enter Cases'!C232,"")</f>
        <v/>
      </c>
      <c r="D232" t="str">
        <f>IF($A232&lt;&gt;"",'All Cases - Enter Cases'!D232,"")</f>
        <v/>
      </c>
      <c r="E232" t="str">
        <f>IF($A232&lt;&gt;"",'All Cases - Enter Cases'!E232,"")</f>
        <v/>
      </c>
      <c r="F232" t="str">
        <f>IF($A232&lt;&gt;"",'All Cases - Enter Cases'!F232,"")</f>
        <v/>
      </c>
      <c r="G232" t="str">
        <f>IF($A232&lt;&gt;"",'All Cases - Enter Cases'!G232,"")</f>
        <v/>
      </c>
      <c r="H232" t="str">
        <f>IF($A232&lt;&gt;"",'All Cases - Enter Cases'!H232,"")</f>
        <v/>
      </c>
      <c r="I232" t="str">
        <f>IF($A232&lt;&gt;"",'All Cases - Enter Cases'!I232,"")</f>
        <v/>
      </c>
      <c r="J232" t="str">
        <f>IF($A232&lt;&gt;"",'All Cases - Enter Cases'!J232,"")</f>
        <v/>
      </c>
      <c r="K232" s="4" t="str">
        <f>IF($A232&lt;&gt;"",'All Cases - Enter Cases'!K232,"")</f>
        <v/>
      </c>
      <c r="L232" t="str">
        <f>IF($A232&lt;&gt;"",'All Cases - Enter Cases'!L232,"")</f>
        <v/>
      </c>
      <c r="M232" t="str">
        <f>IF($A232&lt;&gt;"",'All Cases - Enter Cases'!M232,"")</f>
        <v/>
      </c>
    </row>
    <row r="233" spans="1:13" x14ac:dyDescent="0.35">
      <c r="A233" s="10" t="str">
        <f>IF('All Cases - Enter Cases'!$F233="Sindh",'All Cases - Enter Cases'!A233,"")</f>
        <v/>
      </c>
      <c r="B233" t="str">
        <f>IF($A233&lt;&gt;"",'All Cases - Enter Cases'!B233,"")</f>
        <v/>
      </c>
      <c r="C233" t="str">
        <f>IF($A233&lt;&gt;"",'All Cases - Enter Cases'!C233,"")</f>
        <v/>
      </c>
      <c r="D233" t="str">
        <f>IF($A233&lt;&gt;"",'All Cases - Enter Cases'!D233,"")</f>
        <v/>
      </c>
      <c r="E233" t="str">
        <f>IF($A233&lt;&gt;"",'All Cases - Enter Cases'!E233,"")</f>
        <v/>
      </c>
      <c r="F233" t="str">
        <f>IF($A233&lt;&gt;"",'All Cases - Enter Cases'!F233,"")</f>
        <v/>
      </c>
      <c r="G233" t="str">
        <f>IF($A233&lt;&gt;"",'All Cases - Enter Cases'!G233,"")</f>
        <v/>
      </c>
      <c r="H233" t="str">
        <f>IF($A233&lt;&gt;"",'All Cases - Enter Cases'!H233,"")</f>
        <v/>
      </c>
      <c r="I233" t="str">
        <f>IF($A233&lt;&gt;"",'All Cases - Enter Cases'!I233,"")</f>
        <v/>
      </c>
      <c r="J233" t="str">
        <f>IF($A233&lt;&gt;"",'All Cases - Enter Cases'!J233,"")</f>
        <v/>
      </c>
      <c r="K233" s="4" t="str">
        <f>IF($A233&lt;&gt;"",'All Cases - Enter Cases'!K233,"")</f>
        <v/>
      </c>
      <c r="L233" t="str">
        <f>IF($A233&lt;&gt;"",'All Cases - Enter Cases'!L233,"")</f>
        <v/>
      </c>
      <c r="M233" t="str">
        <f>IF($A233&lt;&gt;"",'All Cases - Enter Cases'!M233,"")</f>
        <v/>
      </c>
    </row>
    <row r="234" spans="1:13" x14ac:dyDescent="0.35">
      <c r="A234" s="10" t="str">
        <f>IF('All Cases - Enter Cases'!$F234="Sindh",'All Cases - Enter Cases'!A234,"")</f>
        <v/>
      </c>
      <c r="B234" t="str">
        <f>IF($A234&lt;&gt;"",'All Cases - Enter Cases'!B234,"")</f>
        <v/>
      </c>
      <c r="C234" t="str">
        <f>IF($A234&lt;&gt;"",'All Cases - Enter Cases'!C234,"")</f>
        <v/>
      </c>
      <c r="D234" t="str">
        <f>IF($A234&lt;&gt;"",'All Cases - Enter Cases'!D234,"")</f>
        <v/>
      </c>
      <c r="E234" t="str">
        <f>IF($A234&lt;&gt;"",'All Cases - Enter Cases'!E234,"")</f>
        <v/>
      </c>
      <c r="F234" t="str">
        <f>IF($A234&lt;&gt;"",'All Cases - Enter Cases'!F234,"")</f>
        <v/>
      </c>
      <c r="G234" t="str">
        <f>IF($A234&lt;&gt;"",'All Cases - Enter Cases'!G234,"")</f>
        <v/>
      </c>
      <c r="H234" t="str">
        <f>IF($A234&lt;&gt;"",'All Cases - Enter Cases'!H234,"")</f>
        <v/>
      </c>
      <c r="I234" t="str">
        <f>IF($A234&lt;&gt;"",'All Cases - Enter Cases'!I234,"")</f>
        <v/>
      </c>
      <c r="J234" t="str">
        <f>IF($A234&lt;&gt;"",'All Cases - Enter Cases'!J234,"")</f>
        <v/>
      </c>
      <c r="K234" s="4" t="str">
        <f>IF($A234&lt;&gt;"",'All Cases - Enter Cases'!K234,"")</f>
        <v/>
      </c>
      <c r="L234" t="str">
        <f>IF($A234&lt;&gt;"",'All Cases - Enter Cases'!L234,"")</f>
        <v/>
      </c>
      <c r="M234" t="str">
        <f>IF($A234&lt;&gt;"",'All Cases - Enter Cases'!M234,"")</f>
        <v/>
      </c>
    </row>
    <row r="235" spans="1:13" x14ac:dyDescent="0.35">
      <c r="A235" s="10" t="str">
        <f>IF('All Cases - Enter Cases'!$F235="Sindh",'All Cases - Enter Cases'!A235,"")</f>
        <v/>
      </c>
      <c r="B235" t="str">
        <f>IF($A235&lt;&gt;"",'All Cases - Enter Cases'!B235,"")</f>
        <v/>
      </c>
      <c r="C235" t="str">
        <f>IF($A235&lt;&gt;"",'All Cases - Enter Cases'!C235,"")</f>
        <v/>
      </c>
      <c r="D235" t="str">
        <f>IF($A235&lt;&gt;"",'All Cases - Enter Cases'!D235,"")</f>
        <v/>
      </c>
      <c r="E235" t="str">
        <f>IF($A235&lt;&gt;"",'All Cases - Enter Cases'!E235,"")</f>
        <v/>
      </c>
      <c r="F235" t="str">
        <f>IF($A235&lt;&gt;"",'All Cases - Enter Cases'!F235,"")</f>
        <v/>
      </c>
      <c r="G235" t="str">
        <f>IF($A235&lt;&gt;"",'All Cases - Enter Cases'!G235,"")</f>
        <v/>
      </c>
      <c r="H235" t="str">
        <f>IF($A235&lt;&gt;"",'All Cases - Enter Cases'!H235,"")</f>
        <v/>
      </c>
      <c r="I235" t="str">
        <f>IF($A235&lt;&gt;"",'All Cases - Enter Cases'!I235,"")</f>
        <v/>
      </c>
      <c r="J235" t="str">
        <f>IF($A235&lt;&gt;"",'All Cases - Enter Cases'!J235,"")</f>
        <v/>
      </c>
      <c r="K235" s="4" t="str">
        <f>IF($A235&lt;&gt;"",'All Cases - Enter Cases'!K235,"")</f>
        <v/>
      </c>
      <c r="L235" t="str">
        <f>IF($A235&lt;&gt;"",'All Cases - Enter Cases'!L235,"")</f>
        <v/>
      </c>
      <c r="M235" t="str">
        <f>IF($A235&lt;&gt;"",'All Cases - Enter Cases'!M235,"")</f>
        <v/>
      </c>
    </row>
    <row r="236" spans="1:13" x14ac:dyDescent="0.35">
      <c r="A236" s="10" t="str">
        <f>IF('All Cases - Enter Cases'!$F236="Sindh",'All Cases - Enter Cases'!A236,"")</f>
        <v/>
      </c>
      <c r="B236" t="str">
        <f>IF($A236&lt;&gt;"",'All Cases - Enter Cases'!B236,"")</f>
        <v/>
      </c>
      <c r="C236" t="str">
        <f>IF($A236&lt;&gt;"",'All Cases - Enter Cases'!C236,"")</f>
        <v/>
      </c>
      <c r="D236" t="str">
        <f>IF($A236&lt;&gt;"",'All Cases - Enter Cases'!D236,"")</f>
        <v/>
      </c>
      <c r="E236" t="str">
        <f>IF($A236&lt;&gt;"",'All Cases - Enter Cases'!E236,"")</f>
        <v/>
      </c>
      <c r="F236" t="str">
        <f>IF($A236&lt;&gt;"",'All Cases - Enter Cases'!F236,"")</f>
        <v/>
      </c>
      <c r="G236" t="str">
        <f>IF($A236&lt;&gt;"",'All Cases - Enter Cases'!G236,"")</f>
        <v/>
      </c>
      <c r="H236" t="str">
        <f>IF($A236&lt;&gt;"",'All Cases - Enter Cases'!H236,"")</f>
        <v/>
      </c>
      <c r="I236" t="str">
        <f>IF($A236&lt;&gt;"",'All Cases - Enter Cases'!I236,"")</f>
        <v/>
      </c>
      <c r="J236" t="str">
        <f>IF($A236&lt;&gt;"",'All Cases - Enter Cases'!J236,"")</f>
        <v/>
      </c>
      <c r="K236" s="4" t="str">
        <f>IF($A236&lt;&gt;"",'All Cases - Enter Cases'!K236,"")</f>
        <v/>
      </c>
      <c r="L236" t="str">
        <f>IF($A236&lt;&gt;"",'All Cases - Enter Cases'!L236,"")</f>
        <v/>
      </c>
      <c r="M236" t="str">
        <f>IF($A236&lt;&gt;"",'All Cases - Enter Cases'!M236,"")</f>
        <v/>
      </c>
    </row>
    <row r="237" spans="1:13" x14ac:dyDescent="0.35">
      <c r="A237" s="10" t="str">
        <f>IF('All Cases - Enter Cases'!$F237="Sindh",'All Cases - Enter Cases'!A237,"")</f>
        <v/>
      </c>
      <c r="B237" t="str">
        <f>IF($A237&lt;&gt;"",'All Cases - Enter Cases'!B237,"")</f>
        <v/>
      </c>
      <c r="C237" t="str">
        <f>IF($A237&lt;&gt;"",'All Cases - Enter Cases'!C237,"")</f>
        <v/>
      </c>
      <c r="D237" t="str">
        <f>IF($A237&lt;&gt;"",'All Cases - Enter Cases'!D237,"")</f>
        <v/>
      </c>
      <c r="E237" t="str">
        <f>IF($A237&lt;&gt;"",'All Cases - Enter Cases'!E237,"")</f>
        <v/>
      </c>
      <c r="F237" t="str">
        <f>IF($A237&lt;&gt;"",'All Cases - Enter Cases'!F237,"")</f>
        <v/>
      </c>
      <c r="G237" t="str">
        <f>IF($A237&lt;&gt;"",'All Cases - Enter Cases'!G237,"")</f>
        <v/>
      </c>
      <c r="H237" t="str">
        <f>IF($A237&lt;&gt;"",'All Cases - Enter Cases'!H237,"")</f>
        <v/>
      </c>
      <c r="I237" t="str">
        <f>IF($A237&lt;&gt;"",'All Cases - Enter Cases'!I237,"")</f>
        <v/>
      </c>
      <c r="J237" t="str">
        <f>IF($A237&lt;&gt;"",'All Cases - Enter Cases'!J237,"")</f>
        <v/>
      </c>
      <c r="K237" s="4" t="str">
        <f>IF($A237&lt;&gt;"",'All Cases - Enter Cases'!K237,"")</f>
        <v/>
      </c>
      <c r="L237" t="str">
        <f>IF($A237&lt;&gt;"",'All Cases - Enter Cases'!L237,"")</f>
        <v/>
      </c>
      <c r="M237" t="str">
        <f>IF($A237&lt;&gt;"",'All Cases - Enter Cases'!M237,"")</f>
        <v/>
      </c>
    </row>
    <row r="238" spans="1:13" x14ac:dyDescent="0.35">
      <c r="A238" s="10" t="str">
        <f>IF('All Cases - Enter Cases'!$F238="Sindh",'All Cases - Enter Cases'!A238,"")</f>
        <v/>
      </c>
      <c r="B238" t="str">
        <f>IF($A238&lt;&gt;"",'All Cases - Enter Cases'!B238,"")</f>
        <v/>
      </c>
      <c r="C238" t="str">
        <f>IF($A238&lt;&gt;"",'All Cases - Enter Cases'!C238,"")</f>
        <v/>
      </c>
      <c r="D238" t="str">
        <f>IF($A238&lt;&gt;"",'All Cases - Enter Cases'!D238,"")</f>
        <v/>
      </c>
      <c r="E238" t="str">
        <f>IF($A238&lt;&gt;"",'All Cases - Enter Cases'!E238,"")</f>
        <v/>
      </c>
      <c r="F238" t="str">
        <f>IF($A238&lt;&gt;"",'All Cases - Enter Cases'!F238,"")</f>
        <v/>
      </c>
      <c r="G238" t="str">
        <f>IF($A238&lt;&gt;"",'All Cases - Enter Cases'!G238,"")</f>
        <v/>
      </c>
      <c r="H238" t="str">
        <f>IF($A238&lt;&gt;"",'All Cases - Enter Cases'!H238,"")</f>
        <v/>
      </c>
      <c r="I238" t="str">
        <f>IF($A238&lt;&gt;"",'All Cases - Enter Cases'!I238,"")</f>
        <v/>
      </c>
      <c r="J238" t="str">
        <f>IF($A238&lt;&gt;"",'All Cases - Enter Cases'!J238,"")</f>
        <v/>
      </c>
      <c r="K238" s="4" t="str">
        <f>IF($A238&lt;&gt;"",'All Cases - Enter Cases'!K238,"")</f>
        <v/>
      </c>
      <c r="L238" t="str">
        <f>IF($A238&lt;&gt;"",'All Cases - Enter Cases'!L238,"")</f>
        <v/>
      </c>
      <c r="M238" t="str">
        <f>IF($A238&lt;&gt;"",'All Cases - Enter Cases'!M238,"")</f>
        <v/>
      </c>
    </row>
    <row r="239" spans="1:13" x14ac:dyDescent="0.35">
      <c r="A239" s="10" t="str">
        <f>IF('All Cases - Enter Cases'!$F239="Sindh",'All Cases - Enter Cases'!A239,"")</f>
        <v/>
      </c>
      <c r="B239" t="str">
        <f>IF($A239&lt;&gt;"",'All Cases - Enter Cases'!B239,"")</f>
        <v/>
      </c>
      <c r="C239" t="str">
        <f>IF($A239&lt;&gt;"",'All Cases - Enter Cases'!C239,"")</f>
        <v/>
      </c>
      <c r="D239" t="str">
        <f>IF($A239&lt;&gt;"",'All Cases - Enter Cases'!D239,"")</f>
        <v/>
      </c>
      <c r="E239" t="str">
        <f>IF($A239&lt;&gt;"",'All Cases - Enter Cases'!E239,"")</f>
        <v/>
      </c>
      <c r="F239" t="str">
        <f>IF($A239&lt;&gt;"",'All Cases - Enter Cases'!F239,"")</f>
        <v/>
      </c>
      <c r="G239" t="str">
        <f>IF($A239&lt;&gt;"",'All Cases - Enter Cases'!G239,"")</f>
        <v/>
      </c>
      <c r="H239" t="str">
        <f>IF($A239&lt;&gt;"",'All Cases - Enter Cases'!H239,"")</f>
        <v/>
      </c>
      <c r="I239" t="str">
        <f>IF($A239&lt;&gt;"",'All Cases - Enter Cases'!I239,"")</f>
        <v/>
      </c>
      <c r="J239" t="str">
        <f>IF($A239&lt;&gt;"",'All Cases - Enter Cases'!J239,"")</f>
        <v/>
      </c>
      <c r="K239" s="4" t="str">
        <f>IF($A239&lt;&gt;"",'All Cases - Enter Cases'!K239,"")</f>
        <v/>
      </c>
      <c r="L239" t="str">
        <f>IF($A239&lt;&gt;"",'All Cases - Enter Cases'!L239,"")</f>
        <v/>
      </c>
      <c r="M239" t="str">
        <f>IF($A239&lt;&gt;"",'All Cases - Enter Cases'!M239,"")</f>
        <v/>
      </c>
    </row>
    <row r="240" spans="1:13" x14ac:dyDescent="0.35">
      <c r="A240" s="10" t="str">
        <f>IF('All Cases - Enter Cases'!$F240="Sindh",'All Cases - Enter Cases'!A240,"")</f>
        <v/>
      </c>
      <c r="B240" t="str">
        <f>IF($A240&lt;&gt;"",'All Cases - Enter Cases'!B240,"")</f>
        <v/>
      </c>
      <c r="C240" t="str">
        <f>IF($A240&lt;&gt;"",'All Cases - Enter Cases'!C240,"")</f>
        <v/>
      </c>
      <c r="D240" t="str">
        <f>IF($A240&lt;&gt;"",'All Cases - Enter Cases'!D240,"")</f>
        <v/>
      </c>
      <c r="E240" t="str">
        <f>IF($A240&lt;&gt;"",'All Cases - Enter Cases'!E240,"")</f>
        <v/>
      </c>
      <c r="F240" t="str">
        <f>IF($A240&lt;&gt;"",'All Cases - Enter Cases'!F240,"")</f>
        <v/>
      </c>
      <c r="G240" t="str">
        <f>IF($A240&lt;&gt;"",'All Cases - Enter Cases'!G240,"")</f>
        <v/>
      </c>
      <c r="H240" t="str">
        <f>IF($A240&lt;&gt;"",'All Cases - Enter Cases'!H240,"")</f>
        <v/>
      </c>
      <c r="I240" t="str">
        <f>IF($A240&lt;&gt;"",'All Cases - Enter Cases'!I240,"")</f>
        <v/>
      </c>
      <c r="J240" t="str">
        <f>IF($A240&lt;&gt;"",'All Cases - Enter Cases'!J240,"")</f>
        <v/>
      </c>
      <c r="K240" s="4" t="str">
        <f>IF($A240&lt;&gt;"",'All Cases - Enter Cases'!K240,"")</f>
        <v/>
      </c>
      <c r="L240" t="str">
        <f>IF($A240&lt;&gt;"",'All Cases - Enter Cases'!L240,"")</f>
        <v/>
      </c>
      <c r="M240" t="str">
        <f>IF($A240&lt;&gt;"",'All Cases - Enter Cases'!M240,"")</f>
        <v/>
      </c>
    </row>
    <row r="241" spans="1:13" x14ac:dyDescent="0.35">
      <c r="A241" s="10" t="str">
        <f>IF('All Cases - Enter Cases'!$F241="Sindh",'All Cases - Enter Cases'!A241,"")</f>
        <v/>
      </c>
      <c r="B241" t="str">
        <f>IF($A241&lt;&gt;"",'All Cases - Enter Cases'!B241,"")</f>
        <v/>
      </c>
      <c r="C241" t="str">
        <f>IF($A241&lt;&gt;"",'All Cases - Enter Cases'!C241,"")</f>
        <v/>
      </c>
      <c r="D241" t="str">
        <f>IF($A241&lt;&gt;"",'All Cases - Enter Cases'!D241,"")</f>
        <v/>
      </c>
      <c r="E241" t="str">
        <f>IF($A241&lt;&gt;"",'All Cases - Enter Cases'!E241,"")</f>
        <v/>
      </c>
      <c r="F241" t="str">
        <f>IF($A241&lt;&gt;"",'All Cases - Enter Cases'!F241,"")</f>
        <v/>
      </c>
      <c r="G241" t="str">
        <f>IF($A241&lt;&gt;"",'All Cases - Enter Cases'!G241,"")</f>
        <v/>
      </c>
      <c r="H241" t="str">
        <f>IF($A241&lt;&gt;"",'All Cases - Enter Cases'!H241,"")</f>
        <v/>
      </c>
      <c r="I241" t="str">
        <f>IF($A241&lt;&gt;"",'All Cases - Enter Cases'!I241,"")</f>
        <v/>
      </c>
      <c r="J241" t="str">
        <f>IF($A241&lt;&gt;"",'All Cases - Enter Cases'!J241,"")</f>
        <v/>
      </c>
      <c r="K241" s="4" t="str">
        <f>IF($A241&lt;&gt;"",'All Cases - Enter Cases'!K241,"")</f>
        <v/>
      </c>
      <c r="L241" t="str">
        <f>IF($A241&lt;&gt;"",'All Cases - Enter Cases'!L241,"")</f>
        <v/>
      </c>
      <c r="M241" t="str">
        <f>IF($A241&lt;&gt;"",'All Cases - Enter Cases'!M241,"")</f>
        <v/>
      </c>
    </row>
    <row r="242" spans="1:13" x14ac:dyDescent="0.35">
      <c r="A242" s="10" t="str">
        <f>IF('All Cases - Enter Cases'!$F242="Sindh",'All Cases - Enter Cases'!A242,"")</f>
        <v/>
      </c>
      <c r="B242" t="str">
        <f>IF($A242&lt;&gt;"",'All Cases - Enter Cases'!B242,"")</f>
        <v/>
      </c>
      <c r="C242" t="str">
        <f>IF($A242&lt;&gt;"",'All Cases - Enter Cases'!C242,"")</f>
        <v/>
      </c>
      <c r="D242" t="str">
        <f>IF($A242&lt;&gt;"",'All Cases - Enter Cases'!D242,"")</f>
        <v/>
      </c>
      <c r="E242" t="str">
        <f>IF($A242&lt;&gt;"",'All Cases - Enter Cases'!E242,"")</f>
        <v/>
      </c>
      <c r="F242" t="str">
        <f>IF($A242&lt;&gt;"",'All Cases - Enter Cases'!F242,"")</f>
        <v/>
      </c>
      <c r="G242" t="str">
        <f>IF($A242&lt;&gt;"",'All Cases - Enter Cases'!G242,"")</f>
        <v/>
      </c>
      <c r="H242" t="str">
        <f>IF($A242&lt;&gt;"",'All Cases - Enter Cases'!H242,"")</f>
        <v/>
      </c>
      <c r="I242" t="str">
        <f>IF($A242&lt;&gt;"",'All Cases - Enter Cases'!I242,"")</f>
        <v/>
      </c>
      <c r="J242" t="str">
        <f>IF($A242&lt;&gt;"",'All Cases - Enter Cases'!J242,"")</f>
        <v/>
      </c>
      <c r="K242" s="4" t="str">
        <f>IF($A242&lt;&gt;"",'All Cases - Enter Cases'!K242,"")</f>
        <v/>
      </c>
      <c r="L242" t="str">
        <f>IF($A242&lt;&gt;"",'All Cases - Enter Cases'!L242,"")</f>
        <v/>
      </c>
      <c r="M242" t="str">
        <f>IF($A242&lt;&gt;"",'All Cases - Enter Cases'!M242,"")</f>
        <v/>
      </c>
    </row>
    <row r="243" spans="1:13" x14ac:dyDescent="0.35">
      <c r="A243" s="10" t="str">
        <f>IF('All Cases - Enter Cases'!$F243="Sindh",'All Cases - Enter Cases'!A243,"")</f>
        <v/>
      </c>
      <c r="B243" t="str">
        <f>IF($A243&lt;&gt;"",'All Cases - Enter Cases'!B243,"")</f>
        <v/>
      </c>
      <c r="C243" t="str">
        <f>IF($A243&lt;&gt;"",'All Cases - Enter Cases'!C243,"")</f>
        <v/>
      </c>
      <c r="D243" t="str">
        <f>IF($A243&lt;&gt;"",'All Cases - Enter Cases'!D243,"")</f>
        <v/>
      </c>
      <c r="E243" t="str">
        <f>IF($A243&lt;&gt;"",'All Cases - Enter Cases'!E243,"")</f>
        <v/>
      </c>
      <c r="F243" t="str">
        <f>IF($A243&lt;&gt;"",'All Cases - Enter Cases'!F243,"")</f>
        <v/>
      </c>
      <c r="G243" t="str">
        <f>IF($A243&lt;&gt;"",'All Cases - Enter Cases'!G243,"")</f>
        <v/>
      </c>
      <c r="H243" t="str">
        <f>IF($A243&lt;&gt;"",'All Cases - Enter Cases'!H243,"")</f>
        <v/>
      </c>
      <c r="I243" t="str">
        <f>IF($A243&lt;&gt;"",'All Cases - Enter Cases'!I243,"")</f>
        <v/>
      </c>
      <c r="J243" t="str">
        <f>IF($A243&lt;&gt;"",'All Cases - Enter Cases'!J243,"")</f>
        <v/>
      </c>
      <c r="K243" s="4" t="str">
        <f>IF($A243&lt;&gt;"",'All Cases - Enter Cases'!K243,"")</f>
        <v/>
      </c>
      <c r="L243" t="str">
        <f>IF($A243&lt;&gt;"",'All Cases - Enter Cases'!L243,"")</f>
        <v/>
      </c>
      <c r="M243" t="str">
        <f>IF($A243&lt;&gt;"",'All Cases - Enter Cases'!M243,"")</f>
        <v/>
      </c>
    </row>
    <row r="244" spans="1:13" x14ac:dyDescent="0.35">
      <c r="A244" s="10" t="str">
        <f>IF('All Cases - Enter Cases'!$F244="Sindh",'All Cases - Enter Cases'!A244,"")</f>
        <v/>
      </c>
      <c r="B244" t="str">
        <f>IF($A244&lt;&gt;"",'All Cases - Enter Cases'!B244,"")</f>
        <v/>
      </c>
      <c r="C244" t="str">
        <f>IF($A244&lt;&gt;"",'All Cases - Enter Cases'!C244,"")</f>
        <v/>
      </c>
      <c r="D244" t="str">
        <f>IF($A244&lt;&gt;"",'All Cases - Enter Cases'!D244,"")</f>
        <v/>
      </c>
      <c r="E244" t="str">
        <f>IF($A244&lt;&gt;"",'All Cases - Enter Cases'!E244,"")</f>
        <v/>
      </c>
      <c r="F244" t="str">
        <f>IF($A244&lt;&gt;"",'All Cases - Enter Cases'!F244,"")</f>
        <v/>
      </c>
      <c r="G244" t="str">
        <f>IF($A244&lt;&gt;"",'All Cases - Enter Cases'!G244,"")</f>
        <v/>
      </c>
      <c r="H244" t="str">
        <f>IF($A244&lt;&gt;"",'All Cases - Enter Cases'!H244,"")</f>
        <v/>
      </c>
      <c r="I244" t="str">
        <f>IF($A244&lt;&gt;"",'All Cases - Enter Cases'!I244,"")</f>
        <v/>
      </c>
      <c r="J244" t="str">
        <f>IF($A244&lt;&gt;"",'All Cases - Enter Cases'!J244,"")</f>
        <v/>
      </c>
      <c r="K244" s="4" t="str">
        <f>IF($A244&lt;&gt;"",'All Cases - Enter Cases'!K244,"")</f>
        <v/>
      </c>
      <c r="L244" t="str">
        <f>IF($A244&lt;&gt;"",'All Cases - Enter Cases'!L244,"")</f>
        <v/>
      </c>
      <c r="M244" t="str">
        <f>IF($A244&lt;&gt;"",'All Cases - Enter Cases'!M244,"")</f>
        <v/>
      </c>
    </row>
    <row r="245" spans="1:13" x14ac:dyDescent="0.35">
      <c r="A245" s="10" t="str">
        <f>IF('All Cases - Enter Cases'!$F245="Sindh",'All Cases - Enter Cases'!A245,"")</f>
        <v/>
      </c>
      <c r="B245" t="str">
        <f>IF($A245&lt;&gt;"",'All Cases - Enter Cases'!B245,"")</f>
        <v/>
      </c>
      <c r="C245" t="str">
        <f>IF($A245&lt;&gt;"",'All Cases - Enter Cases'!C245,"")</f>
        <v/>
      </c>
      <c r="D245" t="str">
        <f>IF($A245&lt;&gt;"",'All Cases - Enter Cases'!D245,"")</f>
        <v/>
      </c>
      <c r="E245" t="str">
        <f>IF($A245&lt;&gt;"",'All Cases - Enter Cases'!E245,"")</f>
        <v/>
      </c>
      <c r="F245" t="str">
        <f>IF($A245&lt;&gt;"",'All Cases - Enter Cases'!F245,"")</f>
        <v/>
      </c>
      <c r="G245" t="str">
        <f>IF($A245&lt;&gt;"",'All Cases - Enter Cases'!G245,"")</f>
        <v/>
      </c>
      <c r="H245" t="str">
        <f>IF($A245&lt;&gt;"",'All Cases - Enter Cases'!H245,"")</f>
        <v/>
      </c>
      <c r="I245" t="str">
        <f>IF($A245&lt;&gt;"",'All Cases - Enter Cases'!I245,"")</f>
        <v/>
      </c>
      <c r="J245" t="str">
        <f>IF($A245&lt;&gt;"",'All Cases - Enter Cases'!J245,"")</f>
        <v/>
      </c>
      <c r="K245" s="4" t="str">
        <f>IF($A245&lt;&gt;"",'All Cases - Enter Cases'!K245,"")</f>
        <v/>
      </c>
      <c r="L245" t="str">
        <f>IF($A245&lt;&gt;"",'All Cases - Enter Cases'!L245,"")</f>
        <v/>
      </c>
      <c r="M245" t="str">
        <f>IF($A245&lt;&gt;"",'All Cases - Enter Cases'!M245,"")</f>
        <v/>
      </c>
    </row>
    <row r="246" spans="1:13" x14ac:dyDescent="0.35">
      <c r="A246" s="10" t="str">
        <f>IF('All Cases - Enter Cases'!$F246="Sindh",'All Cases - Enter Cases'!A246,"")</f>
        <v/>
      </c>
      <c r="B246" t="str">
        <f>IF($A246&lt;&gt;"",'All Cases - Enter Cases'!B246,"")</f>
        <v/>
      </c>
      <c r="C246" t="str">
        <f>IF($A246&lt;&gt;"",'All Cases - Enter Cases'!C246,"")</f>
        <v/>
      </c>
      <c r="D246" t="str">
        <f>IF($A246&lt;&gt;"",'All Cases - Enter Cases'!D246,"")</f>
        <v/>
      </c>
      <c r="E246" t="str">
        <f>IF($A246&lt;&gt;"",'All Cases - Enter Cases'!E246,"")</f>
        <v/>
      </c>
      <c r="F246" t="str">
        <f>IF($A246&lt;&gt;"",'All Cases - Enter Cases'!F246,"")</f>
        <v/>
      </c>
      <c r="G246" t="str">
        <f>IF($A246&lt;&gt;"",'All Cases - Enter Cases'!G246,"")</f>
        <v/>
      </c>
      <c r="H246" t="str">
        <f>IF($A246&lt;&gt;"",'All Cases - Enter Cases'!H246,"")</f>
        <v/>
      </c>
      <c r="I246" t="str">
        <f>IF($A246&lt;&gt;"",'All Cases - Enter Cases'!I246,"")</f>
        <v/>
      </c>
      <c r="J246" t="str">
        <f>IF($A246&lt;&gt;"",'All Cases - Enter Cases'!J246,"")</f>
        <v/>
      </c>
      <c r="K246" s="4" t="str">
        <f>IF($A246&lt;&gt;"",'All Cases - Enter Cases'!K246,"")</f>
        <v/>
      </c>
      <c r="L246" t="str">
        <f>IF($A246&lt;&gt;"",'All Cases - Enter Cases'!L246,"")</f>
        <v/>
      </c>
      <c r="M246" t="str">
        <f>IF($A246&lt;&gt;"",'All Cases - Enter Cases'!M246,"")</f>
        <v/>
      </c>
    </row>
    <row r="247" spans="1:13" x14ac:dyDescent="0.35">
      <c r="A247" s="10" t="str">
        <f>IF('All Cases - Enter Cases'!$F247="Sindh",'All Cases - Enter Cases'!A247,"")</f>
        <v/>
      </c>
      <c r="B247" t="str">
        <f>IF($A247&lt;&gt;"",'All Cases - Enter Cases'!B247,"")</f>
        <v/>
      </c>
      <c r="C247" t="str">
        <f>IF($A247&lt;&gt;"",'All Cases - Enter Cases'!C247,"")</f>
        <v/>
      </c>
      <c r="D247" t="str">
        <f>IF($A247&lt;&gt;"",'All Cases - Enter Cases'!D247,"")</f>
        <v/>
      </c>
      <c r="E247" t="str">
        <f>IF($A247&lt;&gt;"",'All Cases - Enter Cases'!E247,"")</f>
        <v/>
      </c>
      <c r="F247" t="str">
        <f>IF($A247&lt;&gt;"",'All Cases - Enter Cases'!F247,"")</f>
        <v/>
      </c>
      <c r="G247" t="str">
        <f>IF($A247&lt;&gt;"",'All Cases - Enter Cases'!G247,"")</f>
        <v/>
      </c>
      <c r="H247" t="str">
        <f>IF($A247&lt;&gt;"",'All Cases - Enter Cases'!H247,"")</f>
        <v/>
      </c>
      <c r="I247" t="str">
        <f>IF($A247&lt;&gt;"",'All Cases - Enter Cases'!I247,"")</f>
        <v/>
      </c>
      <c r="J247" t="str">
        <f>IF($A247&lt;&gt;"",'All Cases - Enter Cases'!J247,"")</f>
        <v/>
      </c>
      <c r="K247" s="4" t="str">
        <f>IF($A247&lt;&gt;"",'All Cases - Enter Cases'!K247,"")</f>
        <v/>
      </c>
      <c r="L247" t="str">
        <f>IF($A247&lt;&gt;"",'All Cases - Enter Cases'!L247,"")</f>
        <v/>
      </c>
      <c r="M247" t="str">
        <f>IF($A247&lt;&gt;"",'All Cases - Enter Cases'!M247,"")</f>
        <v/>
      </c>
    </row>
    <row r="248" spans="1:13" x14ac:dyDescent="0.35">
      <c r="A248" s="10" t="str">
        <f>IF('All Cases - Enter Cases'!$F248="Sindh",'All Cases - Enter Cases'!A248,"")</f>
        <v/>
      </c>
      <c r="B248" t="str">
        <f>IF($A248&lt;&gt;"",'All Cases - Enter Cases'!B248,"")</f>
        <v/>
      </c>
      <c r="C248" t="str">
        <f>IF($A248&lt;&gt;"",'All Cases - Enter Cases'!C248,"")</f>
        <v/>
      </c>
      <c r="D248" t="str">
        <f>IF($A248&lt;&gt;"",'All Cases - Enter Cases'!D248,"")</f>
        <v/>
      </c>
      <c r="E248" t="str">
        <f>IF($A248&lt;&gt;"",'All Cases - Enter Cases'!E248,"")</f>
        <v/>
      </c>
      <c r="F248" t="str">
        <f>IF($A248&lt;&gt;"",'All Cases - Enter Cases'!F248,"")</f>
        <v/>
      </c>
      <c r="G248" t="str">
        <f>IF($A248&lt;&gt;"",'All Cases - Enter Cases'!G248,"")</f>
        <v/>
      </c>
      <c r="H248" t="str">
        <f>IF($A248&lt;&gt;"",'All Cases - Enter Cases'!H248,"")</f>
        <v/>
      </c>
      <c r="I248" t="str">
        <f>IF($A248&lt;&gt;"",'All Cases - Enter Cases'!I248,"")</f>
        <v/>
      </c>
      <c r="J248" t="str">
        <f>IF($A248&lt;&gt;"",'All Cases - Enter Cases'!J248,"")</f>
        <v/>
      </c>
      <c r="K248" s="4" t="str">
        <f>IF($A248&lt;&gt;"",'All Cases - Enter Cases'!K248,"")</f>
        <v/>
      </c>
      <c r="L248" t="str">
        <f>IF($A248&lt;&gt;"",'All Cases - Enter Cases'!L248,"")</f>
        <v/>
      </c>
      <c r="M248" t="str">
        <f>IF($A248&lt;&gt;"",'All Cases - Enter Cases'!M248,"")</f>
        <v/>
      </c>
    </row>
    <row r="249" spans="1:13" x14ac:dyDescent="0.35">
      <c r="A249" s="10" t="str">
        <f>IF('All Cases - Enter Cases'!$F249="Sindh",'All Cases - Enter Cases'!A249,"")</f>
        <v/>
      </c>
      <c r="B249" t="str">
        <f>IF($A249&lt;&gt;"",'All Cases - Enter Cases'!B249,"")</f>
        <v/>
      </c>
      <c r="C249" t="str">
        <f>IF($A249&lt;&gt;"",'All Cases - Enter Cases'!C249,"")</f>
        <v/>
      </c>
      <c r="D249" t="str">
        <f>IF($A249&lt;&gt;"",'All Cases - Enter Cases'!D249,"")</f>
        <v/>
      </c>
      <c r="E249" t="str">
        <f>IF($A249&lt;&gt;"",'All Cases - Enter Cases'!E249,"")</f>
        <v/>
      </c>
      <c r="F249" t="str">
        <f>IF($A249&lt;&gt;"",'All Cases - Enter Cases'!F249,"")</f>
        <v/>
      </c>
      <c r="G249" t="str">
        <f>IF($A249&lt;&gt;"",'All Cases - Enter Cases'!G249,"")</f>
        <v/>
      </c>
      <c r="H249" t="str">
        <f>IF($A249&lt;&gt;"",'All Cases - Enter Cases'!H249,"")</f>
        <v/>
      </c>
      <c r="I249" t="str">
        <f>IF($A249&lt;&gt;"",'All Cases - Enter Cases'!I249,"")</f>
        <v/>
      </c>
      <c r="J249" t="str">
        <f>IF($A249&lt;&gt;"",'All Cases - Enter Cases'!J249,"")</f>
        <v/>
      </c>
      <c r="K249" s="4" t="str">
        <f>IF($A249&lt;&gt;"",'All Cases - Enter Cases'!K249,"")</f>
        <v/>
      </c>
      <c r="L249" t="str">
        <f>IF($A249&lt;&gt;"",'All Cases - Enter Cases'!L249,"")</f>
        <v/>
      </c>
      <c r="M249" t="str">
        <f>IF($A249&lt;&gt;"",'All Cases - Enter Cases'!M249,"")</f>
        <v/>
      </c>
    </row>
    <row r="250" spans="1:13" x14ac:dyDescent="0.35">
      <c r="A250" s="10" t="str">
        <f>IF('All Cases - Enter Cases'!$F250="Sindh",'All Cases - Enter Cases'!A250,"")</f>
        <v/>
      </c>
      <c r="B250" t="str">
        <f>IF($A250&lt;&gt;"",'All Cases - Enter Cases'!B250,"")</f>
        <v/>
      </c>
      <c r="C250" t="str">
        <f>IF($A250&lt;&gt;"",'All Cases - Enter Cases'!C250,"")</f>
        <v/>
      </c>
      <c r="D250" t="str">
        <f>IF($A250&lt;&gt;"",'All Cases - Enter Cases'!D250,"")</f>
        <v/>
      </c>
      <c r="E250" t="str">
        <f>IF($A250&lt;&gt;"",'All Cases - Enter Cases'!E250,"")</f>
        <v/>
      </c>
      <c r="F250" t="str">
        <f>IF($A250&lt;&gt;"",'All Cases - Enter Cases'!F250,"")</f>
        <v/>
      </c>
      <c r="G250" t="str">
        <f>IF($A250&lt;&gt;"",'All Cases - Enter Cases'!G250,"")</f>
        <v/>
      </c>
      <c r="H250" t="str">
        <f>IF($A250&lt;&gt;"",'All Cases - Enter Cases'!H250,"")</f>
        <v/>
      </c>
      <c r="I250" t="str">
        <f>IF($A250&lt;&gt;"",'All Cases - Enter Cases'!I250,"")</f>
        <v/>
      </c>
      <c r="J250" t="str">
        <f>IF($A250&lt;&gt;"",'All Cases - Enter Cases'!J250,"")</f>
        <v/>
      </c>
      <c r="K250" s="4" t="str">
        <f>IF($A250&lt;&gt;"",'All Cases - Enter Cases'!K250,"")</f>
        <v/>
      </c>
      <c r="L250" t="str">
        <f>IF($A250&lt;&gt;"",'All Cases - Enter Cases'!L250,"")</f>
        <v/>
      </c>
      <c r="M250" t="str">
        <f>IF($A250&lt;&gt;"",'All Cases - Enter Cases'!M250,"")</f>
        <v/>
      </c>
    </row>
    <row r="251" spans="1:13" x14ac:dyDescent="0.35">
      <c r="A251" s="10" t="str">
        <f>IF('All Cases - Enter Cases'!$F251="Sindh",'All Cases - Enter Cases'!A251,"")</f>
        <v/>
      </c>
      <c r="B251" t="str">
        <f>IF($A251&lt;&gt;"",'All Cases - Enter Cases'!B251,"")</f>
        <v/>
      </c>
      <c r="C251" t="str">
        <f>IF($A251&lt;&gt;"",'All Cases - Enter Cases'!C251,"")</f>
        <v/>
      </c>
      <c r="D251" t="str">
        <f>IF($A251&lt;&gt;"",'All Cases - Enter Cases'!D251,"")</f>
        <v/>
      </c>
      <c r="E251" t="str">
        <f>IF($A251&lt;&gt;"",'All Cases - Enter Cases'!E251,"")</f>
        <v/>
      </c>
      <c r="F251" t="str">
        <f>IF($A251&lt;&gt;"",'All Cases - Enter Cases'!F251,"")</f>
        <v/>
      </c>
      <c r="G251" t="str">
        <f>IF($A251&lt;&gt;"",'All Cases - Enter Cases'!G251,"")</f>
        <v/>
      </c>
      <c r="H251" t="str">
        <f>IF($A251&lt;&gt;"",'All Cases - Enter Cases'!H251,"")</f>
        <v/>
      </c>
      <c r="I251" t="str">
        <f>IF($A251&lt;&gt;"",'All Cases - Enter Cases'!I251,"")</f>
        <v/>
      </c>
      <c r="J251" t="str">
        <f>IF($A251&lt;&gt;"",'All Cases - Enter Cases'!J251,"")</f>
        <v/>
      </c>
      <c r="K251" s="4" t="str">
        <f>IF($A251&lt;&gt;"",'All Cases - Enter Cases'!K251,"")</f>
        <v/>
      </c>
      <c r="L251" t="str">
        <f>IF($A251&lt;&gt;"",'All Cases - Enter Cases'!L251,"")</f>
        <v/>
      </c>
      <c r="M251" t="str">
        <f>IF($A251&lt;&gt;"",'All Cases - Enter Cases'!M251,"")</f>
        <v/>
      </c>
    </row>
    <row r="252" spans="1:13" x14ac:dyDescent="0.35">
      <c r="A252" s="10" t="str">
        <f>IF('All Cases - Enter Cases'!$F252="Sindh",'All Cases - Enter Cases'!A252,"")</f>
        <v/>
      </c>
      <c r="B252" t="str">
        <f>IF($A252&lt;&gt;"",'All Cases - Enter Cases'!B252,"")</f>
        <v/>
      </c>
      <c r="C252" t="str">
        <f>IF($A252&lt;&gt;"",'All Cases - Enter Cases'!C252,"")</f>
        <v/>
      </c>
      <c r="D252" t="str">
        <f>IF($A252&lt;&gt;"",'All Cases - Enter Cases'!D252,"")</f>
        <v/>
      </c>
      <c r="E252" t="str">
        <f>IF($A252&lt;&gt;"",'All Cases - Enter Cases'!E252,"")</f>
        <v/>
      </c>
      <c r="F252" t="str">
        <f>IF($A252&lt;&gt;"",'All Cases - Enter Cases'!F252,"")</f>
        <v/>
      </c>
      <c r="G252" t="str">
        <f>IF($A252&lt;&gt;"",'All Cases - Enter Cases'!G252,"")</f>
        <v/>
      </c>
      <c r="H252" t="str">
        <f>IF($A252&lt;&gt;"",'All Cases - Enter Cases'!H252,"")</f>
        <v/>
      </c>
      <c r="I252" t="str">
        <f>IF($A252&lt;&gt;"",'All Cases - Enter Cases'!I252,"")</f>
        <v/>
      </c>
      <c r="J252" t="str">
        <f>IF($A252&lt;&gt;"",'All Cases - Enter Cases'!J252,"")</f>
        <v/>
      </c>
      <c r="K252" s="4" t="str">
        <f>IF($A252&lt;&gt;"",'All Cases - Enter Cases'!K252,"")</f>
        <v/>
      </c>
      <c r="L252" t="str">
        <f>IF($A252&lt;&gt;"",'All Cases - Enter Cases'!L252,"")</f>
        <v/>
      </c>
      <c r="M252" t="str">
        <f>IF($A252&lt;&gt;"",'All Cases - Enter Cases'!M252,"")</f>
        <v/>
      </c>
    </row>
    <row r="253" spans="1:13" x14ac:dyDescent="0.35">
      <c r="A253" s="10" t="str">
        <f>IF('All Cases - Enter Cases'!$F253="Sindh",'All Cases - Enter Cases'!A253,"")</f>
        <v/>
      </c>
      <c r="B253" t="str">
        <f>IF($A253&lt;&gt;"",'All Cases - Enter Cases'!B253,"")</f>
        <v/>
      </c>
      <c r="C253" t="str">
        <f>IF($A253&lt;&gt;"",'All Cases - Enter Cases'!C253,"")</f>
        <v/>
      </c>
      <c r="D253" t="str">
        <f>IF($A253&lt;&gt;"",'All Cases - Enter Cases'!D253,"")</f>
        <v/>
      </c>
      <c r="E253" t="str">
        <f>IF($A253&lt;&gt;"",'All Cases - Enter Cases'!E253,"")</f>
        <v/>
      </c>
      <c r="F253" t="str">
        <f>IF($A253&lt;&gt;"",'All Cases - Enter Cases'!F253,"")</f>
        <v/>
      </c>
      <c r="G253" t="str">
        <f>IF($A253&lt;&gt;"",'All Cases - Enter Cases'!G253,"")</f>
        <v/>
      </c>
      <c r="H253" t="str">
        <f>IF($A253&lt;&gt;"",'All Cases - Enter Cases'!H253,"")</f>
        <v/>
      </c>
      <c r="I253" t="str">
        <f>IF($A253&lt;&gt;"",'All Cases - Enter Cases'!I253,"")</f>
        <v/>
      </c>
      <c r="J253" t="str">
        <f>IF($A253&lt;&gt;"",'All Cases - Enter Cases'!J253,"")</f>
        <v/>
      </c>
      <c r="K253" s="4" t="str">
        <f>IF($A253&lt;&gt;"",'All Cases - Enter Cases'!K253,"")</f>
        <v/>
      </c>
      <c r="L253" t="str">
        <f>IF($A253&lt;&gt;"",'All Cases - Enter Cases'!L253,"")</f>
        <v/>
      </c>
      <c r="M253" t="str">
        <f>IF($A253&lt;&gt;"",'All Cases - Enter Cases'!M253,"")</f>
        <v/>
      </c>
    </row>
    <row r="254" spans="1:13" x14ac:dyDescent="0.35">
      <c r="A254" s="10" t="str">
        <f>IF('All Cases - Enter Cases'!$F254="Sindh",'All Cases - Enter Cases'!A254,"")</f>
        <v/>
      </c>
      <c r="B254" t="str">
        <f>IF($A254&lt;&gt;"",'All Cases - Enter Cases'!B254,"")</f>
        <v/>
      </c>
      <c r="C254" t="str">
        <f>IF($A254&lt;&gt;"",'All Cases - Enter Cases'!C254,"")</f>
        <v/>
      </c>
      <c r="D254" t="str">
        <f>IF($A254&lt;&gt;"",'All Cases - Enter Cases'!D254,"")</f>
        <v/>
      </c>
      <c r="E254" t="str">
        <f>IF($A254&lt;&gt;"",'All Cases - Enter Cases'!E254,"")</f>
        <v/>
      </c>
      <c r="F254" t="str">
        <f>IF($A254&lt;&gt;"",'All Cases - Enter Cases'!F254,"")</f>
        <v/>
      </c>
      <c r="G254" t="str">
        <f>IF($A254&lt;&gt;"",'All Cases - Enter Cases'!G254,"")</f>
        <v/>
      </c>
      <c r="H254" t="str">
        <f>IF($A254&lt;&gt;"",'All Cases - Enter Cases'!H254,"")</f>
        <v/>
      </c>
      <c r="I254" t="str">
        <f>IF($A254&lt;&gt;"",'All Cases - Enter Cases'!I254,"")</f>
        <v/>
      </c>
      <c r="J254" t="str">
        <f>IF($A254&lt;&gt;"",'All Cases - Enter Cases'!J254,"")</f>
        <v/>
      </c>
      <c r="K254" s="4" t="str">
        <f>IF($A254&lt;&gt;"",'All Cases - Enter Cases'!K254,"")</f>
        <v/>
      </c>
      <c r="L254" t="str">
        <f>IF($A254&lt;&gt;"",'All Cases - Enter Cases'!L254,"")</f>
        <v/>
      </c>
      <c r="M254" t="str">
        <f>IF($A254&lt;&gt;"",'All Cases - Enter Cases'!M254,"")</f>
        <v/>
      </c>
    </row>
    <row r="255" spans="1:13" x14ac:dyDescent="0.35">
      <c r="A255" s="10" t="str">
        <f>IF('All Cases - Enter Cases'!$F255="Sindh",'All Cases - Enter Cases'!A255,"")</f>
        <v/>
      </c>
      <c r="B255" t="str">
        <f>IF($A255&lt;&gt;"",'All Cases - Enter Cases'!B255,"")</f>
        <v/>
      </c>
      <c r="C255" t="str">
        <f>IF($A255&lt;&gt;"",'All Cases - Enter Cases'!C255,"")</f>
        <v/>
      </c>
      <c r="D255" t="str">
        <f>IF($A255&lt;&gt;"",'All Cases - Enter Cases'!D255,"")</f>
        <v/>
      </c>
      <c r="E255" t="str">
        <f>IF($A255&lt;&gt;"",'All Cases - Enter Cases'!E255,"")</f>
        <v/>
      </c>
      <c r="F255" t="str">
        <f>IF($A255&lt;&gt;"",'All Cases - Enter Cases'!F255,"")</f>
        <v/>
      </c>
      <c r="G255" t="str">
        <f>IF($A255&lt;&gt;"",'All Cases - Enter Cases'!G255,"")</f>
        <v/>
      </c>
      <c r="H255" t="str">
        <f>IF($A255&lt;&gt;"",'All Cases - Enter Cases'!H255,"")</f>
        <v/>
      </c>
      <c r="I255" t="str">
        <f>IF($A255&lt;&gt;"",'All Cases - Enter Cases'!I255,"")</f>
        <v/>
      </c>
      <c r="J255" t="str">
        <f>IF($A255&lt;&gt;"",'All Cases - Enter Cases'!J255,"")</f>
        <v/>
      </c>
      <c r="K255" s="4" t="str">
        <f>IF($A255&lt;&gt;"",'All Cases - Enter Cases'!K255,"")</f>
        <v/>
      </c>
      <c r="L255" t="str">
        <f>IF($A255&lt;&gt;"",'All Cases - Enter Cases'!L255,"")</f>
        <v/>
      </c>
      <c r="M255" t="str">
        <f>IF($A255&lt;&gt;"",'All Cases - Enter Cases'!M255,"")</f>
        <v/>
      </c>
    </row>
    <row r="256" spans="1:13" x14ac:dyDescent="0.35">
      <c r="A256" s="10" t="str">
        <f>IF('All Cases - Enter Cases'!$F256="Sindh",'All Cases - Enter Cases'!A256,"")</f>
        <v/>
      </c>
      <c r="B256" t="str">
        <f>IF($A256&lt;&gt;"",'All Cases - Enter Cases'!B256,"")</f>
        <v/>
      </c>
      <c r="C256" t="str">
        <f>IF($A256&lt;&gt;"",'All Cases - Enter Cases'!C256,"")</f>
        <v/>
      </c>
      <c r="D256" t="str">
        <f>IF($A256&lt;&gt;"",'All Cases - Enter Cases'!D256,"")</f>
        <v/>
      </c>
      <c r="E256" t="str">
        <f>IF($A256&lt;&gt;"",'All Cases - Enter Cases'!E256,"")</f>
        <v/>
      </c>
      <c r="F256" t="str">
        <f>IF($A256&lt;&gt;"",'All Cases - Enter Cases'!F256,"")</f>
        <v/>
      </c>
      <c r="G256" t="str">
        <f>IF($A256&lt;&gt;"",'All Cases - Enter Cases'!G256,"")</f>
        <v/>
      </c>
      <c r="H256" t="str">
        <f>IF($A256&lt;&gt;"",'All Cases - Enter Cases'!H256,"")</f>
        <v/>
      </c>
      <c r="I256" t="str">
        <f>IF($A256&lt;&gt;"",'All Cases - Enter Cases'!I256,"")</f>
        <v/>
      </c>
      <c r="J256" t="str">
        <f>IF($A256&lt;&gt;"",'All Cases - Enter Cases'!J256,"")</f>
        <v/>
      </c>
      <c r="K256" s="4" t="str">
        <f>IF($A256&lt;&gt;"",'All Cases - Enter Cases'!K256,"")</f>
        <v/>
      </c>
      <c r="L256" t="str">
        <f>IF($A256&lt;&gt;"",'All Cases - Enter Cases'!L256,"")</f>
        <v/>
      </c>
      <c r="M256" t="str">
        <f>IF($A256&lt;&gt;"",'All Cases - Enter Cases'!M256,"")</f>
        <v/>
      </c>
    </row>
    <row r="257" spans="1:13" x14ac:dyDescent="0.35">
      <c r="A257" s="10" t="str">
        <f>IF('All Cases - Enter Cases'!$F257="Sindh",'All Cases - Enter Cases'!A257,"")</f>
        <v/>
      </c>
      <c r="B257" t="str">
        <f>IF($A257&lt;&gt;"",'All Cases - Enter Cases'!B257,"")</f>
        <v/>
      </c>
      <c r="C257" t="str">
        <f>IF($A257&lt;&gt;"",'All Cases - Enter Cases'!C257,"")</f>
        <v/>
      </c>
      <c r="D257" t="str">
        <f>IF($A257&lt;&gt;"",'All Cases - Enter Cases'!D257,"")</f>
        <v/>
      </c>
      <c r="E257" t="str">
        <f>IF($A257&lt;&gt;"",'All Cases - Enter Cases'!E257,"")</f>
        <v/>
      </c>
      <c r="F257" t="str">
        <f>IF($A257&lt;&gt;"",'All Cases - Enter Cases'!F257,"")</f>
        <v/>
      </c>
      <c r="G257" t="str">
        <f>IF($A257&lt;&gt;"",'All Cases - Enter Cases'!G257,"")</f>
        <v/>
      </c>
      <c r="H257" t="str">
        <f>IF($A257&lt;&gt;"",'All Cases - Enter Cases'!H257,"")</f>
        <v/>
      </c>
      <c r="I257" t="str">
        <f>IF($A257&lt;&gt;"",'All Cases - Enter Cases'!I257,"")</f>
        <v/>
      </c>
      <c r="J257" t="str">
        <f>IF($A257&lt;&gt;"",'All Cases - Enter Cases'!J257,"")</f>
        <v/>
      </c>
      <c r="K257" s="4" t="str">
        <f>IF($A257&lt;&gt;"",'All Cases - Enter Cases'!K257,"")</f>
        <v/>
      </c>
      <c r="L257" t="str">
        <f>IF($A257&lt;&gt;"",'All Cases - Enter Cases'!L257,"")</f>
        <v/>
      </c>
      <c r="M257" t="str">
        <f>IF($A257&lt;&gt;"",'All Cases - Enter Cases'!M257,"")</f>
        <v/>
      </c>
    </row>
    <row r="258" spans="1:13" x14ac:dyDescent="0.35">
      <c r="A258" s="10" t="str">
        <f>IF('All Cases - Enter Cases'!$F258="Sindh",'All Cases - Enter Cases'!A258,"")</f>
        <v/>
      </c>
      <c r="B258" t="str">
        <f>IF($A258&lt;&gt;"",'All Cases - Enter Cases'!B258,"")</f>
        <v/>
      </c>
      <c r="C258" t="str">
        <f>IF($A258&lt;&gt;"",'All Cases - Enter Cases'!C258,"")</f>
        <v/>
      </c>
      <c r="D258" t="str">
        <f>IF($A258&lt;&gt;"",'All Cases - Enter Cases'!D258,"")</f>
        <v/>
      </c>
      <c r="E258" t="str">
        <f>IF($A258&lt;&gt;"",'All Cases - Enter Cases'!E258,"")</f>
        <v/>
      </c>
      <c r="F258" t="str">
        <f>IF($A258&lt;&gt;"",'All Cases - Enter Cases'!F258,"")</f>
        <v/>
      </c>
      <c r="G258" t="str">
        <f>IF($A258&lt;&gt;"",'All Cases - Enter Cases'!G258,"")</f>
        <v/>
      </c>
      <c r="H258" t="str">
        <f>IF($A258&lt;&gt;"",'All Cases - Enter Cases'!H258,"")</f>
        <v/>
      </c>
      <c r="I258" t="str">
        <f>IF($A258&lt;&gt;"",'All Cases - Enter Cases'!I258,"")</f>
        <v/>
      </c>
      <c r="J258" t="str">
        <f>IF($A258&lt;&gt;"",'All Cases - Enter Cases'!J258,"")</f>
        <v/>
      </c>
      <c r="K258" s="4" t="str">
        <f>IF($A258&lt;&gt;"",'All Cases - Enter Cases'!K258,"")</f>
        <v/>
      </c>
      <c r="L258" t="str">
        <f>IF($A258&lt;&gt;"",'All Cases - Enter Cases'!L258,"")</f>
        <v/>
      </c>
      <c r="M258" t="str">
        <f>IF($A258&lt;&gt;"",'All Cases - Enter Cases'!M258,"")</f>
        <v/>
      </c>
    </row>
    <row r="259" spans="1:13" x14ac:dyDescent="0.35">
      <c r="A259" s="10" t="str">
        <f>IF('All Cases - Enter Cases'!$F259="Sindh",'All Cases - Enter Cases'!A259,"")</f>
        <v/>
      </c>
      <c r="B259" t="str">
        <f>IF($A259&lt;&gt;"",'All Cases - Enter Cases'!B259,"")</f>
        <v/>
      </c>
      <c r="C259" t="str">
        <f>IF($A259&lt;&gt;"",'All Cases - Enter Cases'!C259,"")</f>
        <v/>
      </c>
      <c r="D259" t="str">
        <f>IF($A259&lt;&gt;"",'All Cases - Enter Cases'!D259,"")</f>
        <v/>
      </c>
      <c r="E259" t="str">
        <f>IF($A259&lt;&gt;"",'All Cases - Enter Cases'!E259,"")</f>
        <v/>
      </c>
      <c r="F259" t="str">
        <f>IF($A259&lt;&gt;"",'All Cases - Enter Cases'!F259,"")</f>
        <v/>
      </c>
      <c r="G259" t="str">
        <f>IF($A259&lt;&gt;"",'All Cases - Enter Cases'!G259,"")</f>
        <v/>
      </c>
      <c r="H259" t="str">
        <f>IF($A259&lt;&gt;"",'All Cases - Enter Cases'!H259,"")</f>
        <v/>
      </c>
      <c r="I259" t="str">
        <f>IF($A259&lt;&gt;"",'All Cases - Enter Cases'!I259,"")</f>
        <v/>
      </c>
      <c r="J259" t="str">
        <f>IF($A259&lt;&gt;"",'All Cases - Enter Cases'!J259,"")</f>
        <v/>
      </c>
      <c r="K259" s="4" t="str">
        <f>IF($A259&lt;&gt;"",'All Cases - Enter Cases'!K259,"")</f>
        <v/>
      </c>
      <c r="L259" t="str">
        <f>IF($A259&lt;&gt;"",'All Cases - Enter Cases'!L259,"")</f>
        <v/>
      </c>
      <c r="M259" t="str">
        <f>IF($A259&lt;&gt;"",'All Cases - Enter Cases'!M259,"")</f>
        <v/>
      </c>
    </row>
    <row r="260" spans="1:13" x14ac:dyDescent="0.35">
      <c r="A260" s="10" t="str">
        <f>IF('All Cases - Enter Cases'!$F260="Sindh",'All Cases - Enter Cases'!A260,"")</f>
        <v/>
      </c>
      <c r="B260" t="str">
        <f>IF($A260&lt;&gt;"",'All Cases - Enter Cases'!B260,"")</f>
        <v/>
      </c>
      <c r="C260" t="str">
        <f>IF($A260&lt;&gt;"",'All Cases - Enter Cases'!C260,"")</f>
        <v/>
      </c>
      <c r="D260" t="str">
        <f>IF($A260&lt;&gt;"",'All Cases - Enter Cases'!D260,"")</f>
        <v/>
      </c>
      <c r="E260" t="str">
        <f>IF($A260&lt;&gt;"",'All Cases - Enter Cases'!E260,"")</f>
        <v/>
      </c>
      <c r="F260" t="str">
        <f>IF($A260&lt;&gt;"",'All Cases - Enter Cases'!F260,"")</f>
        <v/>
      </c>
      <c r="G260" t="str">
        <f>IF($A260&lt;&gt;"",'All Cases - Enter Cases'!G260,"")</f>
        <v/>
      </c>
      <c r="H260" t="str">
        <f>IF($A260&lt;&gt;"",'All Cases - Enter Cases'!H260,"")</f>
        <v/>
      </c>
      <c r="I260" t="str">
        <f>IF($A260&lt;&gt;"",'All Cases - Enter Cases'!I260,"")</f>
        <v/>
      </c>
      <c r="J260" t="str">
        <f>IF($A260&lt;&gt;"",'All Cases - Enter Cases'!J260,"")</f>
        <v/>
      </c>
      <c r="K260" s="4" t="str">
        <f>IF($A260&lt;&gt;"",'All Cases - Enter Cases'!K260,"")</f>
        <v/>
      </c>
      <c r="L260" t="str">
        <f>IF($A260&lt;&gt;"",'All Cases - Enter Cases'!L260,"")</f>
        <v/>
      </c>
      <c r="M260" t="str">
        <f>IF($A260&lt;&gt;"",'All Cases - Enter Cases'!M260,"")</f>
        <v/>
      </c>
    </row>
    <row r="261" spans="1:13" x14ac:dyDescent="0.35">
      <c r="A261" s="10" t="str">
        <f>IF('All Cases - Enter Cases'!$F261="Sindh",'All Cases - Enter Cases'!A261,"")</f>
        <v/>
      </c>
      <c r="B261" t="str">
        <f>IF($A261&lt;&gt;"",'All Cases - Enter Cases'!B261,"")</f>
        <v/>
      </c>
      <c r="C261" t="str">
        <f>IF($A261&lt;&gt;"",'All Cases - Enter Cases'!C261,"")</f>
        <v/>
      </c>
      <c r="D261" t="str">
        <f>IF($A261&lt;&gt;"",'All Cases - Enter Cases'!D261,"")</f>
        <v/>
      </c>
      <c r="E261" t="str">
        <f>IF($A261&lt;&gt;"",'All Cases - Enter Cases'!E261,"")</f>
        <v/>
      </c>
      <c r="F261" t="str">
        <f>IF($A261&lt;&gt;"",'All Cases - Enter Cases'!F261,"")</f>
        <v/>
      </c>
      <c r="G261" t="str">
        <f>IF($A261&lt;&gt;"",'All Cases - Enter Cases'!G261,"")</f>
        <v/>
      </c>
      <c r="H261" t="str">
        <f>IF($A261&lt;&gt;"",'All Cases - Enter Cases'!H261,"")</f>
        <v/>
      </c>
      <c r="I261" t="str">
        <f>IF($A261&lt;&gt;"",'All Cases - Enter Cases'!I261,"")</f>
        <v/>
      </c>
      <c r="J261" t="str">
        <f>IF($A261&lt;&gt;"",'All Cases - Enter Cases'!J261,"")</f>
        <v/>
      </c>
      <c r="K261" s="4" t="str">
        <f>IF($A261&lt;&gt;"",'All Cases - Enter Cases'!K261,"")</f>
        <v/>
      </c>
      <c r="L261" t="str">
        <f>IF($A261&lt;&gt;"",'All Cases - Enter Cases'!L261,"")</f>
        <v/>
      </c>
      <c r="M261" t="str">
        <f>IF($A261&lt;&gt;"",'All Cases - Enter Cases'!M261,"")</f>
        <v/>
      </c>
    </row>
    <row r="262" spans="1:13" x14ac:dyDescent="0.35">
      <c r="A262" s="10" t="str">
        <f>IF('All Cases - Enter Cases'!$F262="Sindh",'All Cases - Enter Cases'!A262,"")</f>
        <v/>
      </c>
      <c r="B262" t="str">
        <f>IF($A262&lt;&gt;"",'All Cases - Enter Cases'!B262,"")</f>
        <v/>
      </c>
      <c r="C262" t="str">
        <f>IF($A262&lt;&gt;"",'All Cases - Enter Cases'!C262,"")</f>
        <v/>
      </c>
      <c r="D262" t="str">
        <f>IF($A262&lt;&gt;"",'All Cases - Enter Cases'!D262,"")</f>
        <v/>
      </c>
      <c r="E262" t="str">
        <f>IF($A262&lt;&gt;"",'All Cases - Enter Cases'!E262,"")</f>
        <v/>
      </c>
      <c r="F262" t="str">
        <f>IF($A262&lt;&gt;"",'All Cases - Enter Cases'!F262,"")</f>
        <v/>
      </c>
      <c r="G262" t="str">
        <f>IF($A262&lt;&gt;"",'All Cases - Enter Cases'!G262,"")</f>
        <v/>
      </c>
      <c r="H262" t="str">
        <f>IF($A262&lt;&gt;"",'All Cases - Enter Cases'!H262,"")</f>
        <v/>
      </c>
      <c r="I262" t="str">
        <f>IF($A262&lt;&gt;"",'All Cases - Enter Cases'!I262,"")</f>
        <v/>
      </c>
      <c r="J262" t="str">
        <f>IF($A262&lt;&gt;"",'All Cases - Enter Cases'!J262,"")</f>
        <v/>
      </c>
      <c r="K262" s="4" t="str">
        <f>IF($A262&lt;&gt;"",'All Cases - Enter Cases'!K262,"")</f>
        <v/>
      </c>
      <c r="L262" t="str">
        <f>IF($A262&lt;&gt;"",'All Cases - Enter Cases'!L262,"")</f>
        <v/>
      </c>
      <c r="M262" t="str">
        <f>IF($A262&lt;&gt;"",'All Cases - Enter Cases'!M262,"")</f>
        <v/>
      </c>
    </row>
    <row r="263" spans="1:13" x14ac:dyDescent="0.35">
      <c r="A263" s="10" t="str">
        <f>IF('All Cases - Enter Cases'!$F263="Sindh",'All Cases - Enter Cases'!A263,"")</f>
        <v/>
      </c>
      <c r="B263" t="str">
        <f>IF($A263&lt;&gt;"",'All Cases - Enter Cases'!B263,"")</f>
        <v/>
      </c>
      <c r="C263" t="str">
        <f>IF($A263&lt;&gt;"",'All Cases - Enter Cases'!C263,"")</f>
        <v/>
      </c>
      <c r="D263" t="str">
        <f>IF($A263&lt;&gt;"",'All Cases - Enter Cases'!D263,"")</f>
        <v/>
      </c>
      <c r="E263" t="str">
        <f>IF($A263&lt;&gt;"",'All Cases - Enter Cases'!E263,"")</f>
        <v/>
      </c>
      <c r="F263" t="str">
        <f>IF($A263&lt;&gt;"",'All Cases - Enter Cases'!F263,"")</f>
        <v/>
      </c>
      <c r="G263" t="str">
        <f>IF($A263&lt;&gt;"",'All Cases - Enter Cases'!G263,"")</f>
        <v/>
      </c>
      <c r="H263" t="str">
        <f>IF($A263&lt;&gt;"",'All Cases - Enter Cases'!H263,"")</f>
        <v/>
      </c>
      <c r="I263" t="str">
        <f>IF($A263&lt;&gt;"",'All Cases - Enter Cases'!I263,"")</f>
        <v/>
      </c>
      <c r="J263" t="str">
        <f>IF($A263&lt;&gt;"",'All Cases - Enter Cases'!J263,"")</f>
        <v/>
      </c>
      <c r="K263" s="4" t="str">
        <f>IF($A263&lt;&gt;"",'All Cases - Enter Cases'!K263,"")</f>
        <v/>
      </c>
      <c r="L263" t="str">
        <f>IF($A263&lt;&gt;"",'All Cases - Enter Cases'!L263,"")</f>
        <v/>
      </c>
      <c r="M263" t="str">
        <f>IF($A263&lt;&gt;"",'All Cases - Enter Cases'!M263,"")</f>
        <v/>
      </c>
    </row>
    <row r="264" spans="1:13" x14ac:dyDescent="0.35">
      <c r="A264" s="10" t="str">
        <f>IF('All Cases - Enter Cases'!$F264="Sindh",'All Cases - Enter Cases'!A264,"")</f>
        <v/>
      </c>
      <c r="B264" t="str">
        <f>IF($A264&lt;&gt;"",'All Cases - Enter Cases'!B264,"")</f>
        <v/>
      </c>
      <c r="C264" t="str">
        <f>IF($A264&lt;&gt;"",'All Cases - Enter Cases'!C264,"")</f>
        <v/>
      </c>
      <c r="D264" t="str">
        <f>IF($A264&lt;&gt;"",'All Cases - Enter Cases'!D264,"")</f>
        <v/>
      </c>
      <c r="E264" t="str">
        <f>IF($A264&lt;&gt;"",'All Cases - Enter Cases'!E264,"")</f>
        <v/>
      </c>
      <c r="F264" t="str">
        <f>IF($A264&lt;&gt;"",'All Cases - Enter Cases'!F264,"")</f>
        <v/>
      </c>
      <c r="G264" t="str">
        <f>IF($A264&lt;&gt;"",'All Cases - Enter Cases'!G264,"")</f>
        <v/>
      </c>
      <c r="H264" t="str">
        <f>IF($A264&lt;&gt;"",'All Cases - Enter Cases'!H264,"")</f>
        <v/>
      </c>
      <c r="I264" t="str">
        <f>IF($A264&lt;&gt;"",'All Cases - Enter Cases'!I264,"")</f>
        <v/>
      </c>
      <c r="J264" t="str">
        <f>IF($A264&lt;&gt;"",'All Cases - Enter Cases'!J264,"")</f>
        <v/>
      </c>
      <c r="K264" s="4" t="str">
        <f>IF($A264&lt;&gt;"",'All Cases - Enter Cases'!K264,"")</f>
        <v/>
      </c>
      <c r="L264" t="str">
        <f>IF($A264&lt;&gt;"",'All Cases - Enter Cases'!L264,"")</f>
        <v/>
      </c>
      <c r="M264" t="str">
        <f>IF($A264&lt;&gt;"",'All Cases - Enter Cases'!M264,"")</f>
        <v/>
      </c>
    </row>
    <row r="265" spans="1:13" x14ac:dyDescent="0.35">
      <c r="A265" s="10" t="str">
        <f>IF('All Cases - Enter Cases'!$F265="Sindh",'All Cases - Enter Cases'!A265,"")</f>
        <v/>
      </c>
      <c r="B265" t="str">
        <f>IF($A265&lt;&gt;"",'All Cases - Enter Cases'!B265,"")</f>
        <v/>
      </c>
      <c r="C265" t="str">
        <f>IF($A265&lt;&gt;"",'All Cases - Enter Cases'!C265,"")</f>
        <v/>
      </c>
      <c r="D265" t="str">
        <f>IF($A265&lt;&gt;"",'All Cases - Enter Cases'!D265,"")</f>
        <v/>
      </c>
      <c r="E265" t="str">
        <f>IF($A265&lt;&gt;"",'All Cases - Enter Cases'!E265,"")</f>
        <v/>
      </c>
      <c r="F265" t="str">
        <f>IF($A265&lt;&gt;"",'All Cases - Enter Cases'!F265,"")</f>
        <v/>
      </c>
      <c r="G265" t="str">
        <f>IF($A265&lt;&gt;"",'All Cases - Enter Cases'!G265,"")</f>
        <v/>
      </c>
      <c r="H265" t="str">
        <f>IF($A265&lt;&gt;"",'All Cases - Enter Cases'!H265,"")</f>
        <v/>
      </c>
      <c r="I265" t="str">
        <f>IF($A265&lt;&gt;"",'All Cases - Enter Cases'!I265,"")</f>
        <v/>
      </c>
      <c r="J265" t="str">
        <f>IF($A265&lt;&gt;"",'All Cases - Enter Cases'!J265,"")</f>
        <v/>
      </c>
      <c r="K265" s="4" t="str">
        <f>IF($A265&lt;&gt;"",'All Cases - Enter Cases'!K265,"")</f>
        <v/>
      </c>
      <c r="L265" t="str">
        <f>IF($A265&lt;&gt;"",'All Cases - Enter Cases'!L265,"")</f>
        <v/>
      </c>
      <c r="M265" t="str">
        <f>IF($A265&lt;&gt;"",'All Cases - Enter Cases'!M265,"")</f>
        <v/>
      </c>
    </row>
    <row r="266" spans="1:13" x14ac:dyDescent="0.35">
      <c r="A266" s="10" t="str">
        <f>IF('All Cases - Enter Cases'!$F266="Sindh",'All Cases - Enter Cases'!A266,"")</f>
        <v/>
      </c>
      <c r="B266" t="str">
        <f>IF($A266&lt;&gt;"",'All Cases - Enter Cases'!B266,"")</f>
        <v/>
      </c>
      <c r="C266" t="str">
        <f>IF($A266&lt;&gt;"",'All Cases - Enter Cases'!C266,"")</f>
        <v/>
      </c>
      <c r="D266" t="str">
        <f>IF($A266&lt;&gt;"",'All Cases - Enter Cases'!D266,"")</f>
        <v/>
      </c>
      <c r="E266" t="str">
        <f>IF($A266&lt;&gt;"",'All Cases - Enter Cases'!E266,"")</f>
        <v/>
      </c>
      <c r="F266" t="str">
        <f>IF($A266&lt;&gt;"",'All Cases - Enter Cases'!F266,"")</f>
        <v/>
      </c>
      <c r="G266" t="str">
        <f>IF($A266&lt;&gt;"",'All Cases - Enter Cases'!G266,"")</f>
        <v/>
      </c>
      <c r="H266" t="str">
        <f>IF($A266&lt;&gt;"",'All Cases - Enter Cases'!H266,"")</f>
        <v/>
      </c>
      <c r="I266" t="str">
        <f>IF($A266&lt;&gt;"",'All Cases - Enter Cases'!I266,"")</f>
        <v/>
      </c>
      <c r="J266" t="str">
        <f>IF($A266&lt;&gt;"",'All Cases - Enter Cases'!J266,"")</f>
        <v/>
      </c>
      <c r="K266" s="4" t="str">
        <f>IF($A266&lt;&gt;"",'All Cases - Enter Cases'!K266,"")</f>
        <v/>
      </c>
      <c r="L266" t="str">
        <f>IF($A266&lt;&gt;"",'All Cases - Enter Cases'!L266,"")</f>
        <v/>
      </c>
      <c r="M266" t="str">
        <f>IF($A266&lt;&gt;"",'All Cases - Enter Cases'!M266,"")</f>
        <v/>
      </c>
    </row>
    <row r="267" spans="1:13" x14ac:dyDescent="0.35">
      <c r="A267" s="10" t="str">
        <f>IF('All Cases - Enter Cases'!$F267="Sindh",'All Cases - Enter Cases'!A267,"")</f>
        <v/>
      </c>
      <c r="B267" t="str">
        <f>IF($A267&lt;&gt;"",'All Cases - Enter Cases'!B267,"")</f>
        <v/>
      </c>
      <c r="C267" t="str">
        <f>IF($A267&lt;&gt;"",'All Cases - Enter Cases'!C267,"")</f>
        <v/>
      </c>
      <c r="D267" t="str">
        <f>IF($A267&lt;&gt;"",'All Cases - Enter Cases'!D267,"")</f>
        <v/>
      </c>
      <c r="E267" t="str">
        <f>IF($A267&lt;&gt;"",'All Cases - Enter Cases'!E267,"")</f>
        <v/>
      </c>
      <c r="F267" t="str">
        <f>IF($A267&lt;&gt;"",'All Cases - Enter Cases'!F267,"")</f>
        <v/>
      </c>
      <c r="G267" t="str">
        <f>IF($A267&lt;&gt;"",'All Cases - Enter Cases'!G267,"")</f>
        <v/>
      </c>
      <c r="H267" t="str">
        <f>IF($A267&lt;&gt;"",'All Cases - Enter Cases'!H267,"")</f>
        <v/>
      </c>
      <c r="I267" t="str">
        <f>IF($A267&lt;&gt;"",'All Cases - Enter Cases'!I267,"")</f>
        <v/>
      </c>
      <c r="J267" t="str">
        <f>IF($A267&lt;&gt;"",'All Cases - Enter Cases'!J267,"")</f>
        <v/>
      </c>
      <c r="K267" s="4" t="str">
        <f>IF($A267&lt;&gt;"",'All Cases - Enter Cases'!K267,"")</f>
        <v/>
      </c>
      <c r="L267" t="str">
        <f>IF($A267&lt;&gt;"",'All Cases - Enter Cases'!L267,"")</f>
        <v/>
      </c>
      <c r="M267" t="str">
        <f>IF($A267&lt;&gt;"",'All Cases - Enter Cases'!M267,"")</f>
        <v/>
      </c>
    </row>
    <row r="268" spans="1:13" x14ac:dyDescent="0.35">
      <c r="A268" s="10" t="str">
        <f>IF('All Cases - Enter Cases'!$F268="Sindh",'All Cases - Enter Cases'!A268,"")</f>
        <v/>
      </c>
      <c r="B268" t="str">
        <f>IF($A268&lt;&gt;"",'All Cases - Enter Cases'!B268,"")</f>
        <v/>
      </c>
      <c r="C268" t="str">
        <f>IF($A268&lt;&gt;"",'All Cases - Enter Cases'!C268,"")</f>
        <v/>
      </c>
      <c r="D268" t="str">
        <f>IF($A268&lt;&gt;"",'All Cases - Enter Cases'!D268,"")</f>
        <v/>
      </c>
      <c r="E268" t="str">
        <f>IF($A268&lt;&gt;"",'All Cases - Enter Cases'!E268,"")</f>
        <v/>
      </c>
      <c r="F268" t="str">
        <f>IF($A268&lt;&gt;"",'All Cases - Enter Cases'!F268,"")</f>
        <v/>
      </c>
      <c r="G268" t="str">
        <f>IF($A268&lt;&gt;"",'All Cases - Enter Cases'!G268,"")</f>
        <v/>
      </c>
      <c r="H268" t="str">
        <f>IF($A268&lt;&gt;"",'All Cases - Enter Cases'!H268,"")</f>
        <v/>
      </c>
      <c r="I268" t="str">
        <f>IF($A268&lt;&gt;"",'All Cases - Enter Cases'!I268,"")</f>
        <v/>
      </c>
      <c r="J268" t="str">
        <f>IF($A268&lt;&gt;"",'All Cases - Enter Cases'!J268,"")</f>
        <v/>
      </c>
      <c r="K268" s="4" t="str">
        <f>IF($A268&lt;&gt;"",'All Cases - Enter Cases'!K268,"")</f>
        <v/>
      </c>
      <c r="L268" t="str">
        <f>IF($A268&lt;&gt;"",'All Cases - Enter Cases'!L268,"")</f>
        <v/>
      </c>
      <c r="M268" t="str">
        <f>IF($A268&lt;&gt;"",'All Cases - Enter Cases'!M268,"")</f>
        <v/>
      </c>
    </row>
    <row r="269" spans="1:13" x14ac:dyDescent="0.35">
      <c r="A269" s="10" t="str">
        <f>IF('All Cases - Enter Cases'!$F269="Sindh",'All Cases - Enter Cases'!A269,"")</f>
        <v/>
      </c>
      <c r="B269" t="str">
        <f>IF($A269&lt;&gt;"",'All Cases - Enter Cases'!B269,"")</f>
        <v/>
      </c>
      <c r="C269" t="str">
        <f>IF($A269&lt;&gt;"",'All Cases - Enter Cases'!C269,"")</f>
        <v/>
      </c>
      <c r="D269" t="str">
        <f>IF($A269&lt;&gt;"",'All Cases - Enter Cases'!D269,"")</f>
        <v/>
      </c>
      <c r="E269" t="str">
        <f>IF($A269&lt;&gt;"",'All Cases - Enter Cases'!E269,"")</f>
        <v/>
      </c>
      <c r="F269" t="str">
        <f>IF($A269&lt;&gt;"",'All Cases - Enter Cases'!F269,"")</f>
        <v/>
      </c>
      <c r="G269" t="str">
        <f>IF($A269&lt;&gt;"",'All Cases - Enter Cases'!G269,"")</f>
        <v/>
      </c>
      <c r="H269" t="str">
        <f>IF($A269&lt;&gt;"",'All Cases - Enter Cases'!H269,"")</f>
        <v/>
      </c>
      <c r="I269" t="str">
        <f>IF($A269&lt;&gt;"",'All Cases - Enter Cases'!I269,"")</f>
        <v/>
      </c>
      <c r="J269" t="str">
        <f>IF($A269&lt;&gt;"",'All Cases - Enter Cases'!J269,"")</f>
        <v/>
      </c>
      <c r="K269" s="4" t="str">
        <f>IF($A269&lt;&gt;"",'All Cases - Enter Cases'!K269,"")</f>
        <v/>
      </c>
      <c r="L269" t="str">
        <f>IF($A269&lt;&gt;"",'All Cases - Enter Cases'!L269,"")</f>
        <v/>
      </c>
      <c r="M269" t="str">
        <f>IF($A269&lt;&gt;"",'All Cases - Enter Cases'!M269,"")</f>
        <v/>
      </c>
    </row>
    <row r="270" spans="1:13" x14ac:dyDescent="0.35">
      <c r="A270" s="10" t="str">
        <f>IF('All Cases - Enter Cases'!$F270="Sindh",'All Cases - Enter Cases'!A270,"")</f>
        <v/>
      </c>
      <c r="B270" t="str">
        <f>IF($A270&lt;&gt;"",'All Cases - Enter Cases'!B270,"")</f>
        <v/>
      </c>
      <c r="C270" t="str">
        <f>IF($A270&lt;&gt;"",'All Cases - Enter Cases'!C270,"")</f>
        <v/>
      </c>
      <c r="D270" t="str">
        <f>IF($A270&lt;&gt;"",'All Cases - Enter Cases'!D270,"")</f>
        <v/>
      </c>
      <c r="E270" t="str">
        <f>IF($A270&lt;&gt;"",'All Cases - Enter Cases'!E270,"")</f>
        <v/>
      </c>
      <c r="F270" t="str">
        <f>IF($A270&lt;&gt;"",'All Cases - Enter Cases'!F270,"")</f>
        <v/>
      </c>
      <c r="G270" t="str">
        <f>IF($A270&lt;&gt;"",'All Cases - Enter Cases'!G270,"")</f>
        <v/>
      </c>
      <c r="H270" t="str">
        <f>IF($A270&lt;&gt;"",'All Cases - Enter Cases'!H270,"")</f>
        <v/>
      </c>
      <c r="I270" t="str">
        <f>IF($A270&lt;&gt;"",'All Cases - Enter Cases'!I270,"")</f>
        <v/>
      </c>
      <c r="J270" t="str">
        <f>IF($A270&lt;&gt;"",'All Cases - Enter Cases'!J270,"")</f>
        <v/>
      </c>
      <c r="K270" s="4" t="str">
        <f>IF($A270&lt;&gt;"",'All Cases - Enter Cases'!K270,"")</f>
        <v/>
      </c>
      <c r="L270" t="str">
        <f>IF($A270&lt;&gt;"",'All Cases - Enter Cases'!L270,"")</f>
        <v/>
      </c>
      <c r="M270" t="str">
        <f>IF($A270&lt;&gt;"",'All Cases - Enter Cases'!M270,"")</f>
        <v/>
      </c>
    </row>
    <row r="271" spans="1:13" x14ac:dyDescent="0.35">
      <c r="A271" s="10" t="str">
        <f>IF('All Cases - Enter Cases'!$F271="Sindh",'All Cases - Enter Cases'!A271,"")</f>
        <v/>
      </c>
      <c r="B271" t="str">
        <f>IF($A271&lt;&gt;"",'All Cases - Enter Cases'!B271,"")</f>
        <v/>
      </c>
      <c r="C271" t="str">
        <f>IF($A271&lt;&gt;"",'All Cases - Enter Cases'!C271,"")</f>
        <v/>
      </c>
      <c r="D271" t="str">
        <f>IF($A271&lt;&gt;"",'All Cases - Enter Cases'!D271,"")</f>
        <v/>
      </c>
      <c r="E271" t="str">
        <f>IF($A271&lt;&gt;"",'All Cases - Enter Cases'!E271,"")</f>
        <v/>
      </c>
      <c r="F271" t="str">
        <f>IF($A271&lt;&gt;"",'All Cases - Enter Cases'!F271,"")</f>
        <v/>
      </c>
      <c r="G271" t="str">
        <f>IF($A271&lt;&gt;"",'All Cases - Enter Cases'!G271,"")</f>
        <v/>
      </c>
      <c r="H271" t="str">
        <f>IF($A271&lt;&gt;"",'All Cases - Enter Cases'!H271,"")</f>
        <v/>
      </c>
      <c r="I271" t="str">
        <f>IF($A271&lt;&gt;"",'All Cases - Enter Cases'!I271,"")</f>
        <v/>
      </c>
      <c r="J271" t="str">
        <f>IF($A271&lt;&gt;"",'All Cases - Enter Cases'!J271,"")</f>
        <v/>
      </c>
      <c r="K271" s="4" t="str">
        <f>IF($A271&lt;&gt;"",'All Cases - Enter Cases'!K271,"")</f>
        <v/>
      </c>
      <c r="L271" t="str">
        <f>IF($A271&lt;&gt;"",'All Cases - Enter Cases'!L271,"")</f>
        <v/>
      </c>
      <c r="M271" t="str">
        <f>IF($A271&lt;&gt;"",'All Cases - Enter Cases'!M271,"")</f>
        <v/>
      </c>
    </row>
    <row r="272" spans="1:13" x14ac:dyDescent="0.35">
      <c r="A272" s="10" t="str">
        <f>IF('All Cases - Enter Cases'!$F272="Sindh",'All Cases - Enter Cases'!A272,"")</f>
        <v/>
      </c>
      <c r="B272" t="str">
        <f>IF($A272&lt;&gt;"",'All Cases - Enter Cases'!B272,"")</f>
        <v/>
      </c>
      <c r="C272" t="str">
        <f>IF($A272&lt;&gt;"",'All Cases - Enter Cases'!C272,"")</f>
        <v/>
      </c>
      <c r="D272" t="str">
        <f>IF($A272&lt;&gt;"",'All Cases - Enter Cases'!D272,"")</f>
        <v/>
      </c>
      <c r="E272" t="str">
        <f>IF($A272&lt;&gt;"",'All Cases - Enter Cases'!E272,"")</f>
        <v/>
      </c>
      <c r="F272" t="str">
        <f>IF($A272&lt;&gt;"",'All Cases - Enter Cases'!F272,"")</f>
        <v/>
      </c>
      <c r="G272" t="str">
        <f>IF($A272&lt;&gt;"",'All Cases - Enter Cases'!G272,"")</f>
        <v/>
      </c>
      <c r="H272" t="str">
        <f>IF($A272&lt;&gt;"",'All Cases - Enter Cases'!H272,"")</f>
        <v/>
      </c>
      <c r="I272" t="str">
        <f>IF($A272&lt;&gt;"",'All Cases - Enter Cases'!I272,"")</f>
        <v/>
      </c>
      <c r="J272" t="str">
        <f>IF($A272&lt;&gt;"",'All Cases - Enter Cases'!J272,"")</f>
        <v/>
      </c>
      <c r="K272" s="4" t="str">
        <f>IF($A272&lt;&gt;"",'All Cases - Enter Cases'!K272,"")</f>
        <v/>
      </c>
      <c r="L272" t="str">
        <f>IF($A272&lt;&gt;"",'All Cases - Enter Cases'!L272,"")</f>
        <v/>
      </c>
      <c r="M272" t="str">
        <f>IF($A272&lt;&gt;"",'All Cases - Enter Cases'!M272,"")</f>
        <v/>
      </c>
    </row>
    <row r="273" spans="1:13" x14ac:dyDescent="0.35">
      <c r="A273" s="10" t="str">
        <f>IF('All Cases - Enter Cases'!$F273="Sindh",'All Cases - Enter Cases'!A273,"")</f>
        <v/>
      </c>
      <c r="B273" t="str">
        <f>IF($A273&lt;&gt;"",'All Cases - Enter Cases'!B273,"")</f>
        <v/>
      </c>
      <c r="C273" t="str">
        <f>IF($A273&lt;&gt;"",'All Cases - Enter Cases'!C273,"")</f>
        <v/>
      </c>
      <c r="D273" t="str">
        <f>IF($A273&lt;&gt;"",'All Cases - Enter Cases'!D273,"")</f>
        <v/>
      </c>
      <c r="E273" t="str">
        <f>IF($A273&lt;&gt;"",'All Cases - Enter Cases'!E273,"")</f>
        <v/>
      </c>
      <c r="F273" t="str">
        <f>IF($A273&lt;&gt;"",'All Cases - Enter Cases'!F273,"")</f>
        <v/>
      </c>
      <c r="G273" t="str">
        <f>IF($A273&lt;&gt;"",'All Cases - Enter Cases'!G273,"")</f>
        <v/>
      </c>
      <c r="H273" t="str">
        <f>IF($A273&lt;&gt;"",'All Cases - Enter Cases'!H273,"")</f>
        <v/>
      </c>
      <c r="I273" t="str">
        <f>IF($A273&lt;&gt;"",'All Cases - Enter Cases'!I273,"")</f>
        <v/>
      </c>
      <c r="J273" t="str">
        <f>IF($A273&lt;&gt;"",'All Cases - Enter Cases'!J273,"")</f>
        <v/>
      </c>
      <c r="K273" s="4" t="str">
        <f>IF($A273&lt;&gt;"",'All Cases - Enter Cases'!K273,"")</f>
        <v/>
      </c>
      <c r="L273" t="str">
        <f>IF($A273&lt;&gt;"",'All Cases - Enter Cases'!L273,"")</f>
        <v/>
      </c>
      <c r="M273" t="str">
        <f>IF($A273&lt;&gt;"",'All Cases - Enter Cases'!M273,"")</f>
        <v/>
      </c>
    </row>
    <row r="274" spans="1:13" x14ac:dyDescent="0.35">
      <c r="A274" s="10" t="str">
        <f>IF('All Cases - Enter Cases'!$F274="Sindh",'All Cases - Enter Cases'!A274,"")</f>
        <v/>
      </c>
      <c r="B274" t="str">
        <f>IF($A274&lt;&gt;"",'All Cases - Enter Cases'!B274,"")</f>
        <v/>
      </c>
      <c r="C274" t="str">
        <f>IF($A274&lt;&gt;"",'All Cases - Enter Cases'!C274,"")</f>
        <v/>
      </c>
      <c r="D274" t="str">
        <f>IF($A274&lt;&gt;"",'All Cases - Enter Cases'!D274,"")</f>
        <v/>
      </c>
      <c r="E274" t="str">
        <f>IF($A274&lt;&gt;"",'All Cases - Enter Cases'!E274,"")</f>
        <v/>
      </c>
      <c r="F274" t="str">
        <f>IF($A274&lt;&gt;"",'All Cases - Enter Cases'!F274,"")</f>
        <v/>
      </c>
      <c r="G274" t="str">
        <f>IF($A274&lt;&gt;"",'All Cases - Enter Cases'!G274,"")</f>
        <v/>
      </c>
      <c r="H274" t="str">
        <f>IF($A274&lt;&gt;"",'All Cases - Enter Cases'!H274,"")</f>
        <v/>
      </c>
      <c r="I274" t="str">
        <f>IF($A274&lt;&gt;"",'All Cases - Enter Cases'!I274,"")</f>
        <v/>
      </c>
      <c r="J274" t="str">
        <f>IF($A274&lt;&gt;"",'All Cases - Enter Cases'!J274,"")</f>
        <v/>
      </c>
      <c r="K274" s="4" t="str">
        <f>IF($A274&lt;&gt;"",'All Cases - Enter Cases'!K274,"")</f>
        <v/>
      </c>
      <c r="L274" t="str">
        <f>IF($A274&lt;&gt;"",'All Cases - Enter Cases'!L274,"")</f>
        <v/>
      </c>
      <c r="M274" t="str">
        <f>IF($A274&lt;&gt;"",'All Cases - Enter Cases'!M274,"")</f>
        <v/>
      </c>
    </row>
    <row r="275" spans="1:13" x14ac:dyDescent="0.35">
      <c r="A275" s="10" t="str">
        <f>IF('All Cases - Enter Cases'!$F275="Sindh",'All Cases - Enter Cases'!A275,"")</f>
        <v/>
      </c>
      <c r="B275" t="str">
        <f>IF($A275&lt;&gt;"",'All Cases - Enter Cases'!B275,"")</f>
        <v/>
      </c>
      <c r="C275" t="str">
        <f>IF($A275&lt;&gt;"",'All Cases - Enter Cases'!C275,"")</f>
        <v/>
      </c>
      <c r="D275" t="str">
        <f>IF($A275&lt;&gt;"",'All Cases - Enter Cases'!D275,"")</f>
        <v/>
      </c>
      <c r="E275" t="str">
        <f>IF($A275&lt;&gt;"",'All Cases - Enter Cases'!E275,"")</f>
        <v/>
      </c>
      <c r="F275" t="str">
        <f>IF($A275&lt;&gt;"",'All Cases - Enter Cases'!F275,"")</f>
        <v/>
      </c>
      <c r="G275" t="str">
        <f>IF($A275&lt;&gt;"",'All Cases - Enter Cases'!G275,"")</f>
        <v/>
      </c>
      <c r="H275" t="str">
        <f>IF($A275&lt;&gt;"",'All Cases - Enter Cases'!H275,"")</f>
        <v/>
      </c>
      <c r="I275" t="str">
        <f>IF($A275&lt;&gt;"",'All Cases - Enter Cases'!I275,"")</f>
        <v/>
      </c>
      <c r="J275" t="str">
        <f>IF($A275&lt;&gt;"",'All Cases - Enter Cases'!J275,"")</f>
        <v/>
      </c>
      <c r="K275" s="4" t="str">
        <f>IF($A275&lt;&gt;"",'All Cases - Enter Cases'!K275,"")</f>
        <v/>
      </c>
      <c r="L275" t="str">
        <f>IF($A275&lt;&gt;"",'All Cases - Enter Cases'!L275,"")</f>
        <v/>
      </c>
      <c r="M275" t="str">
        <f>IF($A275&lt;&gt;"",'All Cases - Enter Cases'!M275,"")</f>
        <v/>
      </c>
    </row>
    <row r="276" spans="1:13" x14ac:dyDescent="0.35">
      <c r="A276" s="10" t="str">
        <f>IF('All Cases - Enter Cases'!$F276="Sindh",'All Cases - Enter Cases'!A276,"")</f>
        <v/>
      </c>
      <c r="B276" t="str">
        <f>IF($A276&lt;&gt;"",'All Cases - Enter Cases'!B276,"")</f>
        <v/>
      </c>
      <c r="C276" t="str">
        <f>IF($A276&lt;&gt;"",'All Cases - Enter Cases'!C276,"")</f>
        <v/>
      </c>
      <c r="D276" t="str">
        <f>IF($A276&lt;&gt;"",'All Cases - Enter Cases'!D276,"")</f>
        <v/>
      </c>
      <c r="E276" t="str">
        <f>IF($A276&lt;&gt;"",'All Cases - Enter Cases'!E276,"")</f>
        <v/>
      </c>
      <c r="F276" t="str">
        <f>IF($A276&lt;&gt;"",'All Cases - Enter Cases'!F276,"")</f>
        <v/>
      </c>
      <c r="G276" t="str">
        <f>IF($A276&lt;&gt;"",'All Cases - Enter Cases'!G276,"")</f>
        <v/>
      </c>
      <c r="H276" t="str">
        <f>IF($A276&lt;&gt;"",'All Cases - Enter Cases'!H276,"")</f>
        <v/>
      </c>
      <c r="I276" t="str">
        <f>IF($A276&lt;&gt;"",'All Cases - Enter Cases'!I276,"")</f>
        <v/>
      </c>
      <c r="J276" t="str">
        <f>IF($A276&lt;&gt;"",'All Cases - Enter Cases'!J276,"")</f>
        <v/>
      </c>
      <c r="K276" s="4" t="str">
        <f>IF($A276&lt;&gt;"",'All Cases - Enter Cases'!K276,"")</f>
        <v/>
      </c>
      <c r="L276" t="str">
        <f>IF($A276&lt;&gt;"",'All Cases - Enter Cases'!L276,"")</f>
        <v/>
      </c>
      <c r="M276" t="str">
        <f>IF($A276&lt;&gt;"",'All Cases - Enter Cases'!M276,"")</f>
        <v/>
      </c>
    </row>
    <row r="277" spans="1:13" x14ac:dyDescent="0.35">
      <c r="A277" s="10" t="str">
        <f>IF('All Cases - Enter Cases'!$F277="Sindh",'All Cases - Enter Cases'!A277,"")</f>
        <v/>
      </c>
      <c r="B277" t="str">
        <f>IF($A277&lt;&gt;"",'All Cases - Enter Cases'!B277,"")</f>
        <v/>
      </c>
      <c r="C277" t="str">
        <f>IF($A277&lt;&gt;"",'All Cases - Enter Cases'!C277,"")</f>
        <v/>
      </c>
      <c r="D277" t="str">
        <f>IF($A277&lt;&gt;"",'All Cases - Enter Cases'!D277,"")</f>
        <v/>
      </c>
      <c r="E277" t="str">
        <f>IF($A277&lt;&gt;"",'All Cases - Enter Cases'!E277,"")</f>
        <v/>
      </c>
      <c r="F277" t="str">
        <f>IF($A277&lt;&gt;"",'All Cases - Enter Cases'!F277,"")</f>
        <v/>
      </c>
      <c r="G277" t="str">
        <f>IF($A277&lt;&gt;"",'All Cases - Enter Cases'!G277,"")</f>
        <v/>
      </c>
      <c r="H277" t="str">
        <f>IF($A277&lt;&gt;"",'All Cases - Enter Cases'!H277,"")</f>
        <v/>
      </c>
      <c r="I277" t="str">
        <f>IF($A277&lt;&gt;"",'All Cases - Enter Cases'!I277,"")</f>
        <v/>
      </c>
      <c r="J277" t="str">
        <f>IF($A277&lt;&gt;"",'All Cases - Enter Cases'!J277,"")</f>
        <v/>
      </c>
      <c r="K277" s="4" t="str">
        <f>IF($A277&lt;&gt;"",'All Cases - Enter Cases'!K277,"")</f>
        <v/>
      </c>
      <c r="L277" t="str">
        <f>IF($A277&lt;&gt;"",'All Cases - Enter Cases'!L277,"")</f>
        <v/>
      </c>
      <c r="M277" t="str">
        <f>IF($A277&lt;&gt;"",'All Cases - Enter Cases'!M277,"")</f>
        <v/>
      </c>
    </row>
    <row r="278" spans="1:13" x14ac:dyDescent="0.35">
      <c r="A278" s="10" t="str">
        <f>IF('All Cases - Enter Cases'!$F278="Sindh",'All Cases - Enter Cases'!A278,"")</f>
        <v/>
      </c>
      <c r="B278" t="str">
        <f>IF($A278&lt;&gt;"",'All Cases - Enter Cases'!B278,"")</f>
        <v/>
      </c>
      <c r="C278" t="str">
        <f>IF($A278&lt;&gt;"",'All Cases - Enter Cases'!C278,"")</f>
        <v/>
      </c>
      <c r="D278" t="str">
        <f>IF($A278&lt;&gt;"",'All Cases - Enter Cases'!D278,"")</f>
        <v/>
      </c>
      <c r="E278" t="str">
        <f>IF($A278&lt;&gt;"",'All Cases - Enter Cases'!E278,"")</f>
        <v/>
      </c>
      <c r="F278" t="str">
        <f>IF($A278&lt;&gt;"",'All Cases - Enter Cases'!F278,"")</f>
        <v/>
      </c>
      <c r="G278" t="str">
        <f>IF($A278&lt;&gt;"",'All Cases - Enter Cases'!G278,"")</f>
        <v/>
      </c>
      <c r="H278" t="str">
        <f>IF($A278&lt;&gt;"",'All Cases - Enter Cases'!H278,"")</f>
        <v/>
      </c>
      <c r="I278" t="str">
        <f>IF($A278&lt;&gt;"",'All Cases - Enter Cases'!I278,"")</f>
        <v/>
      </c>
      <c r="J278" t="str">
        <f>IF($A278&lt;&gt;"",'All Cases - Enter Cases'!J278,"")</f>
        <v/>
      </c>
      <c r="K278" s="4" t="str">
        <f>IF($A278&lt;&gt;"",'All Cases - Enter Cases'!K278,"")</f>
        <v/>
      </c>
      <c r="L278" t="str">
        <f>IF($A278&lt;&gt;"",'All Cases - Enter Cases'!L278,"")</f>
        <v/>
      </c>
      <c r="M278" t="str">
        <f>IF($A278&lt;&gt;"",'All Cases - Enter Cases'!M278,"")</f>
        <v/>
      </c>
    </row>
    <row r="279" spans="1:13" x14ac:dyDescent="0.35">
      <c r="A279" s="10" t="str">
        <f>IF('All Cases - Enter Cases'!$F279="Sindh",'All Cases - Enter Cases'!A279,"")</f>
        <v/>
      </c>
      <c r="B279" t="str">
        <f>IF($A279&lt;&gt;"",'All Cases - Enter Cases'!B279,"")</f>
        <v/>
      </c>
      <c r="C279" t="str">
        <f>IF($A279&lt;&gt;"",'All Cases - Enter Cases'!C279,"")</f>
        <v/>
      </c>
      <c r="D279" t="str">
        <f>IF($A279&lt;&gt;"",'All Cases - Enter Cases'!D279,"")</f>
        <v/>
      </c>
      <c r="E279" t="str">
        <f>IF($A279&lt;&gt;"",'All Cases - Enter Cases'!E279,"")</f>
        <v/>
      </c>
      <c r="F279" t="str">
        <f>IF($A279&lt;&gt;"",'All Cases - Enter Cases'!F279,"")</f>
        <v/>
      </c>
      <c r="G279" t="str">
        <f>IF($A279&lt;&gt;"",'All Cases - Enter Cases'!G279,"")</f>
        <v/>
      </c>
      <c r="H279" t="str">
        <f>IF($A279&lt;&gt;"",'All Cases - Enter Cases'!H279,"")</f>
        <v/>
      </c>
      <c r="I279" t="str">
        <f>IF($A279&lt;&gt;"",'All Cases - Enter Cases'!I279,"")</f>
        <v/>
      </c>
      <c r="J279" t="str">
        <f>IF($A279&lt;&gt;"",'All Cases - Enter Cases'!J279,"")</f>
        <v/>
      </c>
      <c r="K279" s="4" t="str">
        <f>IF($A279&lt;&gt;"",'All Cases - Enter Cases'!K279,"")</f>
        <v/>
      </c>
      <c r="L279" t="str">
        <f>IF($A279&lt;&gt;"",'All Cases - Enter Cases'!L279,"")</f>
        <v/>
      </c>
      <c r="M279" t="str">
        <f>IF($A279&lt;&gt;"",'All Cases - Enter Cases'!M279,"")</f>
        <v/>
      </c>
    </row>
    <row r="280" spans="1:13" x14ac:dyDescent="0.35">
      <c r="A280" s="10" t="str">
        <f>IF('All Cases - Enter Cases'!$F280="Sindh",'All Cases - Enter Cases'!A280,"")</f>
        <v/>
      </c>
      <c r="B280" t="str">
        <f>IF($A280&lt;&gt;"",'All Cases - Enter Cases'!B280,"")</f>
        <v/>
      </c>
      <c r="C280" t="str">
        <f>IF($A280&lt;&gt;"",'All Cases - Enter Cases'!C280,"")</f>
        <v/>
      </c>
      <c r="D280" t="str">
        <f>IF($A280&lt;&gt;"",'All Cases - Enter Cases'!D280,"")</f>
        <v/>
      </c>
      <c r="E280" t="str">
        <f>IF($A280&lt;&gt;"",'All Cases - Enter Cases'!E280,"")</f>
        <v/>
      </c>
      <c r="F280" t="str">
        <f>IF($A280&lt;&gt;"",'All Cases - Enter Cases'!F280,"")</f>
        <v/>
      </c>
      <c r="G280" t="str">
        <f>IF($A280&lt;&gt;"",'All Cases - Enter Cases'!G280,"")</f>
        <v/>
      </c>
      <c r="H280" t="str">
        <f>IF($A280&lt;&gt;"",'All Cases - Enter Cases'!H280,"")</f>
        <v/>
      </c>
      <c r="I280" t="str">
        <f>IF($A280&lt;&gt;"",'All Cases - Enter Cases'!I280,"")</f>
        <v/>
      </c>
      <c r="J280" t="str">
        <f>IF($A280&lt;&gt;"",'All Cases - Enter Cases'!J280,"")</f>
        <v/>
      </c>
      <c r="K280" s="4" t="str">
        <f>IF($A280&lt;&gt;"",'All Cases - Enter Cases'!K280,"")</f>
        <v/>
      </c>
      <c r="L280" t="str">
        <f>IF($A280&lt;&gt;"",'All Cases - Enter Cases'!L280,"")</f>
        <v/>
      </c>
      <c r="M280" t="str">
        <f>IF($A280&lt;&gt;"",'All Cases - Enter Cases'!M280,"")</f>
        <v/>
      </c>
    </row>
    <row r="281" spans="1:13" x14ac:dyDescent="0.35">
      <c r="A281" s="10" t="str">
        <f>IF('All Cases - Enter Cases'!$F281="Sindh",'All Cases - Enter Cases'!A281,"")</f>
        <v/>
      </c>
      <c r="B281" t="str">
        <f>IF($A281&lt;&gt;"",'All Cases - Enter Cases'!B281,"")</f>
        <v/>
      </c>
      <c r="C281" t="str">
        <f>IF($A281&lt;&gt;"",'All Cases - Enter Cases'!C281,"")</f>
        <v/>
      </c>
      <c r="D281" t="str">
        <f>IF($A281&lt;&gt;"",'All Cases - Enter Cases'!D281,"")</f>
        <v/>
      </c>
      <c r="E281" t="str">
        <f>IF($A281&lt;&gt;"",'All Cases - Enter Cases'!E281,"")</f>
        <v/>
      </c>
      <c r="F281" t="str">
        <f>IF($A281&lt;&gt;"",'All Cases - Enter Cases'!F281,"")</f>
        <v/>
      </c>
      <c r="G281" t="str">
        <f>IF($A281&lt;&gt;"",'All Cases - Enter Cases'!G281,"")</f>
        <v/>
      </c>
      <c r="H281" t="str">
        <f>IF($A281&lt;&gt;"",'All Cases - Enter Cases'!H281,"")</f>
        <v/>
      </c>
      <c r="I281" t="str">
        <f>IF($A281&lt;&gt;"",'All Cases - Enter Cases'!I281,"")</f>
        <v/>
      </c>
      <c r="J281" t="str">
        <f>IF($A281&lt;&gt;"",'All Cases - Enter Cases'!J281,"")</f>
        <v/>
      </c>
      <c r="K281" s="4" t="str">
        <f>IF($A281&lt;&gt;"",'All Cases - Enter Cases'!K281,"")</f>
        <v/>
      </c>
      <c r="L281" t="str">
        <f>IF($A281&lt;&gt;"",'All Cases - Enter Cases'!L281,"")</f>
        <v/>
      </c>
      <c r="M281" t="str">
        <f>IF($A281&lt;&gt;"",'All Cases - Enter Cases'!M281,"")</f>
        <v/>
      </c>
    </row>
    <row r="282" spans="1:13" x14ac:dyDescent="0.35">
      <c r="A282" s="10" t="str">
        <f>IF('All Cases - Enter Cases'!$F282="Sindh",'All Cases - Enter Cases'!A282,"")</f>
        <v/>
      </c>
      <c r="B282" t="str">
        <f>IF($A282&lt;&gt;"",'All Cases - Enter Cases'!B282,"")</f>
        <v/>
      </c>
      <c r="C282" t="str">
        <f>IF($A282&lt;&gt;"",'All Cases - Enter Cases'!C282,"")</f>
        <v/>
      </c>
      <c r="D282" t="str">
        <f>IF($A282&lt;&gt;"",'All Cases - Enter Cases'!D282,"")</f>
        <v/>
      </c>
      <c r="E282" t="str">
        <f>IF($A282&lt;&gt;"",'All Cases - Enter Cases'!E282,"")</f>
        <v/>
      </c>
      <c r="F282" t="str">
        <f>IF($A282&lt;&gt;"",'All Cases - Enter Cases'!F282,"")</f>
        <v/>
      </c>
      <c r="G282" t="str">
        <f>IF($A282&lt;&gt;"",'All Cases - Enter Cases'!G282,"")</f>
        <v/>
      </c>
      <c r="H282" t="str">
        <f>IF($A282&lt;&gt;"",'All Cases - Enter Cases'!H282,"")</f>
        <v/>
      </c>
      <c r="I282" t="str">
        <f>IF($A282&lt;&gt;"",'All Cases - Enter Cases'!I282,"")</f>
        <v/>
      </c>
      <c r="J282" t="str">
        <f>IF($A282&lt;&gt;"",'All Cases - Enter Cases'!J282,"")</f>
        <v/>
      </c>
      <c r="K282" s="4" t="str">
        <f>IF($A282&lt;&gt;"",'All Cases - Enter Cases'!K282,"")</f>
        <v/>
      </c>
      <c r="L282" t="str">
        <f>IF($A282&lt;&gt;"",'All Cases - Enter Cases'!L282,"")</f>
        <v/>
      </c>
      <c r="M282" t="str">
        <f>IF($A282&lt;&gt;"",'All Cases - Enter Cases'!M282,"")</f>
        <v/>
      </c>
    </row>
    <row r="283" spans="1:13" x14ac:dyDescent="0.35">
      <c r="A283" s="10" t="str">
        <f>IF('All Cases - Enter Cases'!$F283="Sindh",'All Cases - Enter Cases'!A283,"")</f>
        <v/>
      </c>
      <c r="B283" t="str">
        <f>IF($A283&lt;&gt;"",'All Cases - Enter Cases'!B283,"")</f>
        <v/>
      </c>
      <c r="C283" t="str">
        <f>IF($A283&lt;&gt;"",'All Cases - Enter Cases'!C283,"")</f>
        <v/>
      </c>
      <c r="D283" t="str">
        <f>IF($A283&lt;&gt;"",'All Cases - Enter Cases'!D283,"")</f>
        <v/>
      </c>
      <c r="E283" t="str">
        <f>IF($A283&lt;&gt;"",'All Cases - Enter Cases'!E283,"")</f>
        <v/>
      </c>
      <c r="F283" t="str">
        <f>IF($A283&lt;&gt;"",'All Cases - Enter Cases'!F283,"")</f>
        <v/>
      </c>
      <c r="G283" t="str">
        <f>IF($A283&lt;&gt;"",'All Cases - Enter Cases'!G283,"")</f>
        <v/>
      </c>
      <c r="H283" t="str">
        <f>IF($A283&lt;&gt;"",'All Cases - Enter Cases'!H283,"")</f>
        <v/>
      </c>
      <c r="I283" t="str">
        <f>IF($A283&lt;&gt;"",'All Cases - Enter Cases'!I283,"")</f>
        <v/>
      </c>
      <c r="J283" t="str">
        <f>IF($A283&lt;&gt;"",'All Cases - Enter Cases'!J283,"")</f>
        <v/>
      </c>
      <c r="K283" s="4" t="str">
        <f>IF($A283&lt;&gt;"",'All Cases - Enter Cases'!K283,"")</f>
        <v/>
      </c>
      <c r="L283" t="str">
        <f>IF($A283&lt;&gt;"",'All Cases - Enter Cases'!L283,"")</f>
        <v/>
      </c>
      <c r="M283" t="str">
        <f>IF($A283&lt;&gt;"",'All Cases - Enter Cases'!M283,"")</f>
        <v/>
      </c>
    </row>
    <row r="284" spans="1:13" x14ac:dyDescent="0.35">
      <c r="A284" s="10" t="str">
        <f>IF('All Cases - Enter Cases'!$F284="Sindh",'All Cases - Enter Cases'!A284,"")</f>
        <v/>
      </c>
      <c r="B284" t="str">
        <f>IF($A284&lt;&gt;"",'All Cases - Enter Cases'!B284,"")</f>
        <v/>
      </c>
      <c r="C284" t="str">
        <f>IF($A284&lt;&gt;"",'All Cases - Enter Cases'!C284,"")</f>
        <v/>
      </c>
      <c r="D284" t="str">
        <f>IF($A284&lt;&gt;"",'All Cases - Enter Cases'!D284,"")</f>
        <v/>
      </c>
      <c r="E284" t="str">
        <f>IF($A284&lt;&gt;"",'All Cases - Enter Cases'!E284,"")</f>
        <v/>
      </c>
      <c r="F284" t="str">
        <f>IF($A284&lt;&gt;"",'All Cases - Enter Cases'!F284,"")</f>
        <v/>
      </c>
      <c r="G284" t="str">
        <f>IF($A284&lt;&gt;"",'All Cases - Enter Cases'!G284,"")</f>
        <v/>
      </c>
      <c r="H284" t="str">
        <f>IF($A284&lt;&gt;"",'All Cases - Enter Cases'!H284,"")</f>
        <v/>
      </c>
      <c r="I284" t="str">
        <f>IF($A284&lt;&gt;"",'All Cases - Enter Cases'!I284,"")</f>
        <v/>
      </c>
      <c r="J284" t="str">
        <f>IF($A284&lt;&gt;"",'All Cases - Enter Cases'!J284,"")</f>
        <v/>
      </c>
      <c r="K284" s="4" t="str">
        <f>IF($A284&lt;&gt;"",'All Cases - Enter Cases'!K284,"")</f>
        <v/>
      </c>
      <c r="L284" t="str">
        <f>IF($A284&lt;&gt;"",'All Cases - Enter Cases'!L284,"")</f>
        <v/>
      </c>
      <c r="M284" t="str">
        <f>IF($A284&lt;&gt;"",'All Cases - Enter Cases'!M284,"")</f>
        <v/>
      </c>
    </row>
    <row r="285" spans="1:13" x14ac:dyDescent="0.35">
      <c r="A285" s="10" t="str">
        <f>IF('All Cases - Enter Cases'!$F285="Sindh",'All Cases - Enter Cases'!A285,"")</f>
        <v/>
      </c>
      <c r="B285" t="str">
        <f>IF($A285&lt;&gt;"",'All Cases - Enter Cases'!B285,"")</f>
        <v/>
      </c>
      <c r="C285" t="str">
        <f>IF($A285&lt;&gt;"",'All Cases - Enter Cases'!C285,"")</f>
        <v/>
      </c>
      <c r="D285" t="str">
        <f>IF($A285&lt;&gt;"",'All Cases - Enter Cases'!D285,"")</f>
        <v/>
      </c>
      <c r="E285" t="str">
        <f>IF($A285&lt;&gt;"",'All Cases - Enter Cases'!E285,"")</f>
        <v/>
      </c>
      <c r="F285" t="str">
        <f>IF($A285&lt;&gt;"",'All Cases - Enter Cases'!F285,"")</f>
        <v/>
      </c>
      <c r="G285" t="str">
        <f>IF($A285&lt;&gt;"",'All Cases - Enter Cases'!G285,"")</f>
        <v/>
      </c>
      <c r="H285" t="str">
        <f>IF($A285&lt;&gt;"",'All Cases - Enter Cases'!H285,"")</f>
        <v/>
      </c>
      <c r="I285" t="str">
        <f>IF($A285&lt;&gt;"",'All Cases - Enter Cases'!I285,"")</f>
        <v/>
      </c>
      <c r="J285" t="str">
        <f>IF($A285&lt;&gt;"",'All Cases - Enter Cases'!J285,"")</f>
        <v/>
      </c>
      <c r="K285" s="4" t="str">
        <f>IF($A285&lt;&gt;"",'All Cases - Enter Cases'!K285,"")</f>
        <v/>
      </c>
      <c r="L285" t="str">
        <f>IF($A285&lt;&gt;"",'All Cases - Enter Cases'!L285,"")</f>
        <v/>
      </c>
      <c r="M285" t="str">
        <f>IF($A285&lt;&gt;"",'All Cases - Enter Cases'!M285,"")</f>
        <v/>
      </c>
    </row>
    <row r="286" spans="1:13" x14ac:dyDescent="0.35">
      <c r="A286" s="10" t="str">
        <f>IF('All Cases - Enter Cases'!$F286="Sindh",'All Cases - Enter Cases'!A286,"")</f>
        <v/>
      </c>
      <c r="B286" t="str">
        <f>IF($A286&lt;&gt;"",'All Cases - Enter Cases'!B286,"")</f>
        <v/>
      </c>
      <c r="C286" t="str">
        <f>IF($A286&lt;&gt;"",'All Cases - Enter Cases'!C286,"")</f>
        <v/>
      </c>
      <c r="D286" t="str">
        <f>IF($A286&lt;&gt;"",'All Cases - Enter Cases'!D286,"")</f>
        <v/>
      </c>
      <c r="E286" t="str">
        <f>IF($A286&lt;&gt;"",'All Cases - Enter Cases'!E286,"")</f>
        <v/>
      </c>
      <c r="F286" t="str">
        <f>IF($A286&lt;&gt;"",'All Cases - Enter Cases'!F286,"")</f>
        <v/>
      </c>
      <c r="G286" t="str">
        <f>IF($A286&lt;&gt;"",'All Cases - Enter Cases'!G286,"")</f>
        <v/>
      </c>
      <c r="H286" t="str">
        <f>IF($A286&lt;&gt;"",'All Cases - Enter Cases'!H286,"")</f>
        <v/>
      </c>
      <c r="I286" t="str">
        <f>IF($A286&lt;&gt;"",'All Cases - Enter Cases'!I286,"")</f>
        <v/>
      </c>
      <c r="J286" t="str">
        <f>IF($A286&lt;&gt;"",'All Cases - Enter Cases'!J286,"")</f>
        <v/>
      </c>
      <c r="K286" s="4" t="str">
        <f>IF($A286&lt;&gt;"",'All Cases - Enter Cases'!K286,"")</f>
        <v/>
      </c>
      <c r="L286" t="str">
        <f>IF($A286&lt;&gt;"",'All Cases - Enter Cases'!L286,"")</f>
        <v/>
      </c>
      <c r="M286" t="str">
        <f>IF($A286&lt;&gt;"",'All Cases - Enter Cases'!M286,"")</f>
        <v/>
      </c>
    </row>
    <row r="287" spans="1:13" x14ac:dyDescent="0.35">
      <c r="A287" s="10" t="str">
        <f>IF('All Cases - Enter Cases'!$F287="Sindh",'All Cases - Enter Cases'!A287,"")</f>
        <v/>
      </c>
      <c r="B287" t="str">
        <f>IF($A287&lt;&gt;"",'All Cases - Enter Cases'!B287,"")</f>
        <v/>
      </c>
      <c r="C287" t="str">
        <f>IF($A287&lt;&gt;"",'All Cases - Enter Cases'!C287,"")</f>
        <v/>
      </c>
      <c r="D287" t="str">
        <f>IF($A287&lt;&gt;"",'All Cases - Enter Cases'!D287,"")</f>
        <v/>
      </c>
      <c r="E287" t="str">
        <f>IF($A287&lt;&gt;"",'All Cases - Enter Cases'!E287,"")</f>
        <v/>
      </c>
      <c r="F287" t="str">
        <f>IF($A287&lt;&gt;"",'All Cases - Enter Cases'!F287,"")</f>
        <v/>
      </c>
      <c r="G287" t="str">
        <f>IF($A287&lt;&gt;"",'All Cases - Enter Cases'!G287,"")</f>
        <v/>
      </c>
      <c r="H287" t="str">
        <f>IF($A287&lt;&gt;"",'All Cases - Enter Cases'!H287,"")</f>
        <v/>
      </c>
      <c r="I287" t="str">
        <f>IF($A287&lt;&gt;"",'All Cases - Enter Cases'!I287,"")</f>
        <v/>
      </c>
      <c r="J287" t="str">
        <f>IF($A287&lt;&gt;"",'All Cases - Enter Cases'!J287,"")</f>
        <v/>
      </c>
      <c r="K287" s="4" t="str">
        <f>IF($A287&lt;&gt;"",'All Cases - Enter Cases'!K287,"")</f>
        <v/>
      </c>
      <c r="L287" t="str">
        <f>IF($A287&lt;&gt;"",'All Cases - Enter Cases'!L287,"")</f>
        <v/>
      </c>
      <c r="M287" t="str">
        <f>IF($A287&lt;&gt;"",'All Cases - Enter Cases'!M287,"")</f>
        <v/>
      </c>
    </row>
    <row r="288" spans="1:13" x14ac:dyDescent="0.35">
      <c r="A288" s="10" t="str">
        <f>IF('All Cases - Enter Cases'!$F288="Sindh",'All Cases - Enter Cases'!A288,"")</f>
        <v/>
      </c>
      <c r="B288" t="str">
        <f>IF($A288&lt;&gt;"",'All Cases - Enter Cases'!B288,"")</f>
        <v/>
      </c>
      <c r="C288" t="str">
        <f>IF($A288&lt;&gt;"",'All Cases - Enter Cases'!C288,"")</f>
        <v/>
      </c>
      <c r="D288" t="str">
        <f>IF($A288&lt;&gt;"",'All Cases - Enter Cases'!D288,"")</f>
        <v/>
      </c>
      <c r="E288" t="str">
        <f>IF($A288&lt;&gt;"",'All Cases - Enter Cases'!E288,"")</f>
        <v/>
      </c>
      <c r="F288" t="str">
        <f>IF($A288&lt;&gt;"",'All Cases - Enter Cases'!F288,"")</f>
        <v/>
      </c>
      <c r="G288" t="str">
        <f>IF($A288&lt;&gt;"",'All Cases - Enter Cases'!G288,"")</f>
        <v/>
      </c>
      <c r="H288" t="str">
        <f>IF($A288&lt;&gt;"",'All Cases - Enter Cases'!H288,"")</f>
        <v/>
      </c>
      <c r="I288" t="str">
        <f>IF($A288&lt;&gt;"",'All Cases - Enter Cases'!I288,"")</f>
        <v/>
      </c>
      <c r="J288" t="str">
        <f>IF($A288&lt;&gt;"",'All Cases - Enter Cases'!J288,"")</f>
        <v/>
      </c>
      <c r="K288" s="4" t="str">
        <f>IF($A288&lt;&gt;"",'All Cases - Enter Cases'!K288,"")</f>
        <v/>
      </c>
      <c r="L288" t="str">
        <f>IF($A288&lt;&gt;"",'All Cases - Enter Cases'!L288,"")</f>
        <v/>
      </c>
      <c r="M288" t="str">
        <f>IF($A288&lt;&gt;"",'All Cases - Enter Cases'!M288,"")</f>
        <v/>
      </c>
    </row>
    <row r="289" spans="1:13" x14ac:dyDescent="0.35">
      <c r="A289" s="10" t="str">
        <f>IF('All Cases - Enter Cases'!$F289="Sindh",'All Cases - Enter Cases'!A289,"")</f>
        <v/>
      </c>
      <c r="B289" t="str">
        <f>IF($A289&lt;&gt;"",'All Cases - Enter Cases'!B289,"")</f>
        <v/>
      </c>
      <c r="C289" t="str">
        <f>IF($A289&lt;&gt;"",'All Cases - Enter Cases'!C289,"")</f>
        <v/>
      </c>
      <c r="D289" t="str">
        <f>IF($A289&lt;&gt;"",'All Cases - Enter Cases'!D289,"")</f>
        <v/>
      </c>
      <c r="E289" t="str">
        <f>IF($A289&lt;&gt;"",'All Cases - Enter Cases'!E289,"")</f>
        <v/>
      </c>
      <c r="F289" t="str">
        <f>IF($A289&lt;&gt;"",'All Cases - Enter Cases'!F289,"")</f>
        <v/>
      </c>
      <c r="G289" t="str">
        <f>IF($A289&lt;&gt;"",'All Cases - Enter Cases'!G289,"")</f>
        <v/>
      </c>
      <c r="H289" t="str">
        <f>IF($A289&lt;&gt;"",'All Cases - Enter Cases'!H289,"")</f>
        <v/>
      </c>
      <c r="I289" t="str">
        <f>IF($A289&lt;&gt;"",'All Cases - Enter Cases'!I289,"")</f>
        <v/>
      </c>
      <c r="J289" t="str">
        <f>IF($A289&lt;&gt;"",'All Cases - Enter Cases'!J289,"")</f>
        <v/>
      </c>
      <c r="K289" s="4" t="str">
        <f>IF($A289&lt;&gt;"",'All Cases - Enter Cases'!K289,"")</f>
        <v/>
      </c>
      <c r="L289" t="str">
        <f>IF($A289&lt;&gt;"",'All Cases - Enter Cases'!L289,"")</f>
        <v/>
      </c>
      <c r="M289" t="str">
        <f>IF($A289&lt;&gt;"",'All Cases - Enter Cases'!M289,"")</f>
        <v/>
      </c>
    </row>
    <row r="290" spans="1:13" x14ac:dyDescent="0.35">
      <c r="A290" s="10" t="str">
        <f>IF('All Cases - Enter Cases'!$F290="Sindh",'All Cases - Enter Cases'!A290,"")</f>
        <v/>
      </c>
      <c r="B290" t="str">
        <f>IF($A290&lt;&gt;"",'All Cases - Enter Cases'!B290,"")</f>
        <v/>
      </c>
      <c r="C290" t="str">
        <f>IF($A290&lt;&gt;"",'All Cases - Enter Cases'!C290,"")</f>
        <v/>
      </c>
      <c r="D290" t="str">
        <f>IF($A290&lt;&gt;"",'All Cases - Enter Cases'!D290,"")</f>
        <v/>
      </c>
      <c r="E290" t="str">
        <f>IF($A290&lt;&gt;"",'All Cases - Enter Cases'!E290,"")</f>
        <v/>
      </c>
      <c r="F290" t="str">
        <f>IF($A290&lt;&gt;"",'All Cases - Enter Cases'!F290,"")</f>
        <v/>
      </c>
      <c r="G290" t="str">
        <f>IF($A290&lt;&gt;"",'All Cases - Enter Cases'!G290,"")</f>
        <v/>
      </c>
      <c r="H290" t="str">
        <f>IF($A290&lt;&gt;"",'All Cases - Enter Cases'!H290,"")</f>
        <v/>
      </c>
      <c r="I290" t="str">
        <f>IF($A290&lt;&gt;"",'All Cases - Enter Cases'!I290,"")</f>
        <v/>
      </c>
      <c r="J290" t="str">
        <f>IF($A290&lt;&gt;"",'All Cases - Enter Cases'!J290,"")</f>
        <v/>
      </c>
      <c r="K290" s="4" t="str">
        <f>IF($A290&lt;&gt;"",'All Cases - Enter Cases'!K290,"")</f>
        <v/>
      </c>
      <c r="L290" t="str">
        <f>IF($A290&lt;&gt;"",'All Cases - Enter Cases'!L290,"")</f>
        <v/>
      </c>
      <c r="M290" t="str">
        <f>IF($A290&lt;&gt;"",'All Cases - Enter Cases'!M290,"")</f>
        <v/>
      </c>
    </row>
    <row r="291" spans="1:13" x14ac:dyDescent="0.35">
      <c r="A291" s="10" t="str">
        <f>IF('All Cases - Enter Cases'!$F291="Sindh",'All Cases - Enter Cases'!A291,"")</f>
        <v/>
      </c>
      <c r="B291" t="str">
        <f>IF($A291&lt;&gt;"",'All Cases - Enter Cases'!B291,"")</f>
        <v/>
      </c>
      <c r="C291" t="str">
        <f>IF($A291&lt;&gt;"",'All Cases - Enter Cases'!C291,"")</f>
        <v/>
      </c>
      <c r="D291" t="str">
        <f>IF($A291&lt;&gt;"",'All Cases - Enter Cases'!D291,"")</f>
        <v/>
      </c>
      <c r="E291" t="str">
        <f>IF($A291&lt;&gt;"",'All Cases - Enter Cases'!E291,"")</f>
        <v/>
      </c>
      <c r="F291" t="str">
        <f>IF($A291&lt;&gt;"",'All Cases - Enter Cases'!F291,"")</f>
        <v/>
      </c>
      <c r="G291" t="str">
        <f>IF($A291&lt;&gt;"",'All Cases - Enter Cases'!G291,"")</f>
        <v/>
      </c>
      <c r="H291" t="str">
        <f>IF($A291&lt;&gt;"",'All Cases - Enter Cases'!H291,"")</f>
        <v/>
      </c>
      <c r="I291" t="str">
        <f>IF($A291&lt;&gt;"",'All Cases - Enter Cases'!I291,"")</f>
        <v/>
      </c>
      <c r="J291" t="str">
        <f>IF($A291&lt;&gt;"",'All Cases - Enter Cases'!J291,"")</f>
        <v/>
      </c>
      <c r="K291" s="4" t="str">
        <f>IF($A291&lt;&gt;"",'All Cases - Enter Cases'!K291,"")</f>
        <v/>
      </c>
      <c r="L291" t="str">
        <f>IF($A291&lt;&gt;"",'All Cases - Enter Cases'!L291,"")</f>
        <v/>
      </c>
      <c r="M291" t="str">
        <f>IF($A291&lt;&gt;"",'All Cases - Enter Cases'!M291,"")</f>
        <v/>
      </c>
    </row>
    <row r="292" spans="1:13" x14ac:dyDescent="0.35">
      <c r="A292" s="10" t="str">
        <f>IF('All Cases - Enter Cases'!$F292="Sindh",'All Cases - Enter Cases'!A292,"")</f>
        <v/>
      </c>
      <c r="B292" t="str">
        <f>IF($A292&lt;&gt;"",'All Cases - Enter Cases'!B292,"")</f>
        <v/>
      </c>
      <c r="C292" t="str">
        <f>IF($A292&lt;&gt;"",'All Cases - Enter Cases'!C292,"")</f>
        <v/>
      </c>
      <c r="D292" t="str">
        <f>IF($A292&lt;&gt;"",'All Cases - Enter Cases'!D292,"")</f>
        <v/>
      </c>
      <c r="E292" t="str">
        <f>IF($A292&lt;&gt;"",'All Cases - Enter Cases'!E292,"")</f>
        <v/>
      </c>
      <c r="F292" t="str">
        <f>IF($A292&lt;&gt;"",'All Cases - Enter Cases'!F292,"")</f>
        <v/>
      </c>
      <c r="G292" t="str">
        <f>IF($A292&lt;&gt;"",'All Cases - Enter Cases'!G292,"")</f>
        <v/>
      </c>
      <c r="H292" t="str">
        <f>IF($A292&lt;&gt;"",'All Cases - Enter Cases'!H292,"")</f>
        <v/>
      </c>
      <c r="I292" t="str">
        <f>IF($A292&lt;&gt;"",'All Cases - Enter Cases'!I292,"")</f>
        <v/>
      </c>
      <c r="J292" t="str">
        <f>IF($A292&lt;&gt;"",'All Cases - Enter Cases'!J292,"")</f>
        <v/>
      </c>
      <c r="K292" s="4" t="str">
        <f>IF($A292&lt;&gt;"",'All Cases - Enter Cases'!K292,"")</f>
        <v/>
      </c>
      <c r="L292" t="str">
        <f>IF($A292&lt;&gt;"",'All Cases - Enter Cases'!L292,"")</f>
        <v/>
      </c>
      <c r="M292" t="str">
        <f>IF($A292&lt;&gt;"",'All Cases - Enter Cases'!M292,"")</f>
        <v/>
      </c>
    </row>
    <row r="293" spans="1:13" x14ac:dyDescent="0.35">
      <c r="A293" s="10" t="str">
        <f>IF('All Cases - Enter Cases'!$F293="Sindh",'All Cases - Enter Cases'!A293,"")</f>
        <v/>
      </c>
      <c r="B293" t="str">
        <f>IF($A293&lt;&gt;"",'All Cases - Enter Cases'!B293,"")</f>
        <v/>
      </c>
      <c r="C293" t="str">
        <f>IF($A293&lt;&gt;"",'All Cases - Enter Cases'!C293,"")</f>
        <v/>
      </c>
      <c r="D293" t="str">
        <f>IF($A293&lt;&gt;"",'All Cases - Enter Cases'!D293,"")</f>
        <v/>
      </c>
      <c r="E293" t="str">
        <f>IF($A293&lt;&gt;"",'All Cases - Enter Cases'!E293,"")</f>
        <v/>
      </c>
      <c r="F293" t="str">
        <f>IF($A293&lt;&gt;"",'All Cases - Enter Cases'!F293,"")</f>
        <v/>
      </c>
      <c r="G293" t="str">
        <f>IF($A293&lt;&gt;"",'All Cases - Enter Cases'!G293,"")</f>
        <v/>
      </c>
      <c r="H293" t="str">
        <f>IF($A293&lt;&gt;"",'All Cases - Enter Cases'!H293,"")</f>
        <v/>
      </c>
      <c r="I293" t="str">
        <f>IF($A293&lt;&gt;"",'All Cases - Enter Cases'!I293,"")</f>
        <v/>
      </c>
      <c r="J293" t="str">
        <f>IF($A293&lt;&gt;"",'All Cases - Enter Cases'!J293,"")</f>
        <v/>
      </c>
      <c r="K293" s="4" t="str">
        <f>IF($A293&lt;&gt;"",'All Cases - Enter Cases'!K293,"")</f>
        <v/>
      </c>
      <c r="L293" t="str">
        <f>IF($A293&lt;&gt;"",'All Cases - Enter Cases'!L293,"")</f>
        <v/>
      </c>
      <c r="M293" t="str">
        <f>IF($A293&lt;&gt;"",'All Cases - Enter Cases'!M293,"")</f>
        <v/>
      </c>
    </row>
    <row r="294" spans="1:13" x14ac:dyDescent="0.35">
      <c r="A294" s="10" t="str">
        <f>IF('All Cases - Enter Cases'!$F294="Sindh",'All Cases - Enter Cases'!A294,"")</f>
        <v/>
      </c>
      <c r="B294" t="str">
        <f>IF($A294&lt;&gt;"",'All Cases - Enter Cases'!B294,"")</f>
        <v/>
      </c>
      <c r="C294" t="str">
        <f>IF($A294&lt;&gt;"",'All Cases - Enter Cases'!C294,"")</f>
        <v/>
      </c>
      <c r="D294" t="str">
        <f>IF($A294&lt;&gt;"",'All Cases - Enter Cases'!D294,"")</f>
        <v/>
      </c>
      <c r="E294" t="str">
        <f>IF($A294&lt;&gt;"",'All Cases - Enter Cases'!E294,"")</f>
        <v/>
      </c>
      <c r="F294" t="str">
        <f>IF($A294&lt;&gt;"",'All Cases - Enter Cases'!F294,"")</f>
        <v/>
      </c>
      <c r="G294" t="str">
        <f>IF($A294&lt;&gt;"",'All Cases - Enter Cases'!G294,"")</f>
        <v/>
      </c>
      <c r="H294" t="str">
        <f>IF($A294&lt;&gt;"",'All Cases - Enter Cases'!H294,"")</f>
        <v/>
      </c>
      <c r="I294" t="str">
        <f>IF($A294&lt;&gt;"",'All Cases - Enter Cases'!I294,"")</f>
        <v/>
      </c>
      <c r="J294" t="str">
        <f>IF($A294&lt;&gt;"",'All Cases - Enter Cases'!J294,"")</f>
        <v/>
      </c>
      <c r="K294" s="4" t="str">
        <f>IF($A294&lt;&gt;"",'All Cases - Enter Cases'!K294,"")</f>
        <v/>
      </c>
      <c r="L294" t="str">
        <f>IF($A294&lt;&gt;"",'All Cases - Enter Cases'!L294,"")</f>
        <v/>
      </c>
      <c r="M294" t="str">
        <f>IF($A294&lt;&gt;"",'All Cases - Enter Cases'!M294,"")</f>
        <v/>
      </c>
    </row>
    <row r="295" spans="1:13" x14ac:dyDescent="0.35">
      <c r="A295" s="10" t="str">
        <f>IF('All Cases - Enter Cases'!$F295="Sindh",'All Cases - Enter Cases'!A295,"")</f>
        <v/>
      </c>
      <c r="B295" t="str">
        <f>IF($A295&lt;&gt;"",'All Cases - Enter Cases'!B295,"")</f>
        <v/>
      </c>
      <c r="C295" t="str">
        <f>IF($A295&lt;&gt;"",'All Cases - Enter Cases'!C295,"")</f>
        <v/>
      </c>
      <c r="D295" t="str">
        <f>IF($A295&lt;&gt;"",'All Cases - Enter Cases'!D295,"")</f>
        <v/>
      </c>
      <c r="E295" t="str">
        <f>IF($A295&lt;&gt;"",'All Cases - Enter Cases'!E295,"")</f>
        <v/>
      </c>
      <c r="F295" t="str">
        <f>IF($A295&lt;&gt;"",'All Cases - Enter Cases'!F295,"")</f>
        <v/>
      </c>
      <c r="G295" t="str">
        <f>IF($A295&lt;&gt;"",'All Cases - Enter Cases'!G295,"")</f>
        <v/>
      </c>
      <c r="H295" t="str">
        <f>IF($A295&lt;&gt;"",'All Cases - Enter Cases'!H295,"")</f>
        <v/>
      </c>
      <c r="I295" t="str">
        <f>IF($A295&lt;&gt;"",'All Cases - Enter Cases'!I295,"")</f>
        <v/>
      </c>
      <c r="J295" t="str">
        <f>IF($A295&lt;&gt;"",'All Cases - Enter Cases'!J295,"")</f>
        <v/>
      </c>
      <c r="K295" s="4" t="str">
        <f>IF($A295&lt;&gt;"",'All Cases - Enter Cases'!K295,"")</f>
        <v/>
      </c>
      <c r="L295" t="str">
        <f>IF($A295&lt;&gt;"",'All Cases - Enter Cases'!L295,"")</f>
        <v/>
      </c>
      <c r="M295" t="str">
        <f>IF($A295&lt;&gt;"",'All Cases - Enter Cases'!M295,"")</f>
        <v/>
      </c>
    </row>
    <row r="296" spans="1:13" x14ac:dyDescent="0.35">
      <c r="A296" s="10" t="str">
        <f>IF('All Cases - Enter Cases'!$F296="Sindh",'All Cases - Enter Cases'!A296,"")</f>
        <v/>
      </c>
      <c r="B296" t="str">
        <f>IF($A296&lt;&gt;"",'All Cases - Enter Cases'!B296,"")</f>
        <v/>
      </c>
      <c r="C296" t="str">
        <f>IF($A296&lt;&gt;"",'All Cases - Enter Cases'!C296,"")</f>
        <v/>
      </c>
      <c r="D296" t="str">
        <f>IF($A296&lt;&gt;"",'All Cases - Enter Cases'!D296,"")</f>
        <v/>
      </c>
      <c r="E296" t="str">
        <f>IF($A296&lt;&gt;"",'All Cases - Enter Cases'!E296,"")</f>
        <v/>
      </c>
      <c r="F296" t="str">
        <f>IF($A296&lt;&gt;"",'All Cases - Enter Cases'!F296,"")</f>
        <v/>
      </c>
      <c r="G296" t="str">
        <f>IF($A296&lt;&gt;"",'All Cases - Enter Cases'!G296,"")</f>
        <v/>
      </c>
      <c r="H296" t="str">
        <f>IF($A296&lt;&gt;"",'All Cases - Enter Cases'!H296,"")</f>
        <v/>
      </c>
      <c r="I296" t="str">
        <f>IF($A296&lt;&gt;"",'All Cases - Enter Cases'!I296,"")</f>
        <v/>
      </c>
      <c r="J296" t="str">
        <f>IF($A296&lt;&gt;"",'All Cases - Enter Cases'!J296,"")</f>
        <v/>
      </c>
      <c r="K296" s="4" t="str">
        <f>IF($A296&lt;&gt;"",'All Cases - Enter Cases'!K296,"")</f>
        <v/>
      </c>
      <c r="L296" t="str">
        <f>IF($A296&lt;&gt;"",'All Cases - Enter Cases'!L296,"")</f>
        <v/>
      </c>
      <c r="M296" t="str">
        <f>IF($A296&lt;&gt;"",'All Cases - Enter Cases'!M296,"")</f>
        <v/>
      </c>
    </row>
    <row r="297" spans="1:13" x14ac:dyDescent="0.35">
      <c r="A297" s="10" t="str">
        <f>IF('All Cases - Enter Cases'!$F297="Sindh",'All Cases - Enter Cases'!A297,"")</f>
        <v/>
      </c>
      <c r="B297" t="str">
        <f>IF($A297&lt;&gt;"",'All Cases - Enter Cases'!B297,"")</f>
        <v/>
      </c>
      <c r="C297" t="str">
        <f>IF($A297&lt;&gt;"",'All Cases - Enter Cases'!C297,"")</f>
        <v/>
      </c>
      <c r="D297" t="str">
        <f>IF($A297&lt;&gt;"",'All Cases - Enter Cases'!D297,"")</f>
        <v/>
      </c>
      <c r="E297" t="str">
        <f>IF($A297&lt;&gt;"",'All Cases - Enter Cases'!E297,"")</f>
        <v/>
      </c>
      <c r="F297" t="str">
        <f>IF($A297&lt;&gt;"",'All Cases - Enter Cases'!F297,"")</f>
        <v/>
      </c>
      <c r="G297" t="str">
        <f>IF($A297&lt;&gt;"",'All Cases - Enter Cases'!G297,"")</f>
        <v/>
      </c>
      <c r="H297" t="str">
        <f>IF($A297&lt;&gt;"",'All Cases - Enter Cases'!H297,"")</f>
        <v/>
      </c>
      <c r="I297" t="str">
        <f>IF($A297&lt;&gt;"",'All Cases - Enter Cases'!I297,"")</f>
        <v/>
      </c>
      <c r="J297" t="str">
        <f>IF($A297&lt;&gt;"",'All Cases - Enter Cases'!J297,"")</f>
        <v/>
      </c>
      <c r="K297" s="4" t="str">
        <f>IF($A297&lt;&gt;"",'All Cases - Enter Cases'!K297,"")</f>
        <v/>
      </c>
      <c r="L297" t="str">
        <f>IF($A297&lt;&gt;"",'All Cases - Enter Cases'!L297,"")</f>
        <v/>
      </c>
      <c r="M297" t="str">
        <f>IF($A297&lt;&gt;"",'All Cases - Enter Cases'!M297,"")</f>
        <v/>
      </c>
    </row>
    <row r="298" spans="1:13" x14ac:dyDescent="0.35">
      <c r="A298" s="10" t="str">
        <f>IF('All Cases - Enter Cases'!$F298="Sindh",'All Cases - Enter Cases'!A298,"")</f>
        <v/>
      </c>
      <c r="B298" t="str">
        <f>IF($A298&lt;&gt;"",'All Cases - Enter Cases'!B298,"")</f>
        <v/>
      </c>
      <c r="C298" t="str">
        <f>IF($A298&lt;&gt;"",'All Cases - Enter Cases'!C298,"")</f>
        <v/>
      </c>
      <c r="D298" t="str">
        <f>IF($A298&lt;&gt;"",'All Cases - Enter Cases'!D298,"")</f>
        <v/>
      </c>
      <c r="E298" t="str">
        <f>IF($A298&lt;&gt;"",'All Cases - Enter Cases'!E298,"")</f>
        <v/>
      </c>
      <c r="F298" t="str">
        <f>IF($A298&lt;&gt;"",'All Cases - Enter Cases'!F298,"")</f>
        <v/>
      </c>
      <c r="G298" t="str">
        <f>IF($A298&lt;&gt;"",'All Cases - Enter Cases'!G298,"")</f>
        <v/>
      </c>
      <c r="H298" t="str">
        <f>IF($A298&lt;&gt;"",'All Cases - Enter Cases'!H298,"")</f>
        <v/>
      </c>
      <c r="I298" t="str">
        <f>IF($A298&lt;&gt;"",'All Cases - Enter Cases'!I298,"")</f>
        <v/>
      </c>
      <c r="J298" t="str">
        <f>IF($A298&lt;&gt;"",'All Cases - Enter Cases'!J298,"")</f>
        <v/>
      </c>
      <c r="K298" s="4" t="str">
        <f>IF($A298&lt;&gt;"",'All Cases - Enter Cases'!K298,"")</f>
        <v/>
      </c>
      <c r="L298" t="str">
        <f>IF($A298&lt;&gt;"",'All Cases - Enter Cases'!L298,"")</f>
        <v/>
      </c>
      <c r="M298" t="str">
        <f>IF($A298&lt;&gt;"",'All Cases - Enter Cases'!M298,"")</f>
        <v/>
      </c>
    </row>
    <row r="299" spans="1:13" x14ac:dyDescent="0.35">
      <c r="A299" s="10" t="str">
        <f>IF('All Cases - Enter Cases'!$F299="Sindh",'All Cases - Enter Cases'!A299,"")</f>
        <v/>
      </c>
      <c r="B299" t="str">
        <f>IF($A299&lt;&gt;"",'All Cases - Enter Cases'!B299,"")</f>
        <v/>
      </c>
      <c r="C299" t="str">
        <f>IF($A299&lt;&gt;"",'All Cases - Enter Cases'!C299,"")</f>
        <v/>
      </c>
      <c r="D299" t="str">
        <f>IF($A299&lt;&gt;"",'All Cases - Enter Cases'!D299,"")</f>
        <v/>
      </c>
      <c r="E299" t="str">
        <f>IF($A299&lt;&gt;"",'All Cases - Enter Cases'!E299,"")</f>
        <v/>
      </c>
      <c r="F299" t="str">
        <f>IF($A299&lt;&gt;"",'All Cases - Enter Cases'!F299,"")</f>
        <v/>
      </c>
      <c r="G299" t="str">
        <f>IF($A299&lt;&gt;"",'All Cases - Enter Cases'!G299,"")</f>
        <v/>
      </c>
      <c r="H299" t="str">
        <f>IF($A299&lt;&gt;"",'All Cases - Enter Cases'!H299,"")</f>
        <v/>
      </c>
      <c r="I299" t="str">
        <f>IF($A299&lt;&gt;"",'All Cases - Enter Cases'!I299,"")</f>
        <v/>
      </c>
      <c r="J299" t="str">
        <f>IF($A299&lt;&gt;"",'All Cases - Enter Cases'!J299,"")</f>
        <v/>
      </c>
      <c r="K299" s="4" t="str">
        <f>IF($A299&lt;&gt;"",'All Cases - Enter Cases'!K299,"")</f>
        <v/>
      </c>
      <c r="L299" t="str">
        <f>IF($A299&lt;&gt;"",'All Cases - Enter Cases'!L299,"")</f>
        <v/>
      </c>
      <c r="M299" t="str">
        <f>IF($A299&lt;&gt;"",'All Cases - Enter Cases'!M299,"")</f>
        <v/>
      </c>
    </row>
    <row r="300" spans="1:13" x14ac:dyDescent="0.35">
      <c r="A300" s="10" t="str">
        <f>IF('All Cases - Enter Cases'!$F300="Sindh",'All Cases - Enter Cases'!A300,"")</f>
        <v/>
      </c>
      <c r="B300" t="str">
        <f>IF($A300&lt;&gt;"",'All Cases - Enter Cases'!B300,"")</f>
        <v/>
      </c>
      <c r="C300" t="str">
        <f>IF($A300&lt;&gt;"",'All Cases - Enter Cases'!C300,"")</f>
        <v/>
      </c>
      <c r="D300" t="str">
        <f>IF($A300&lt;&gt;"",'All Cases - Enter Cases'!D300,"")</f>
        <v/>
      </c>
      <c r="E300" t="str">
        <f>IF($A300&lt;&gt;"",'All Cases - Enter Cases'!E300,"")</f>
        <v/>
      </c>
      <c r="F300" t="str">
        <f>IF($A300&lt;&gt;"",'All Cases - Enter Cases'!F300,"")</f>
        <v/>
      </c>
      <c r="G300" t="str">
        <f>IF($A300&lt;&gt;"",'All Cases - Enter Cases'!G300,"")</f>
        <v/>
      </c>
      <c r="H300" t="str">
        <f>IF($A300&lt;&gt;"",'All Cases - Enter Cases'!H300,"")</f>
        <v/>
      </c>
      <c r="I300" t="str">
        <f>IF($A300&lt;&gt;"",'All Cases - Enter Cases'!I300,"")</f>
        <v/>
      </c>
      <c r="J300" t="str">
        <f>IF($A300&lt;&gt;"",'All Cases - Enter Cases'!J300,"")</f>
        <v/>
      </c>
      <c r="K300" s="4" t="str">
        <f>IF($A300&lt;&gt;"",'All Cases - Enter Cases'!K300,"")</f>
        <v/>
      </c>
      <c r="L300" t="str">
        <f>IF($A300&lt;&gt;"",'All Cases - Enter Cases'!L300,"")</f>
        <v/>
      </c>
      <c r="M300" t="str">
        <f>IF($A300&lt;&gt;"",'All Cases - Enter Cases'!M300,"")</f>
        <v/>
      </c>
    </row>
    <row r="301" spans="1:13" x14ac:dyDescent="0.35">
      <c r="A301" s="10" t="str">
        <f>IF('All Cases - Enter Cases'!$F301="Sindh",'All Cases - Enter Cases'!A301,"")</f>
        <v/>
      </c>
      <c r="B301" t="str">
        <f>IF($A301&lt;&gt;"",'All Cases - Enter Cases'!B301,"")</f>
        <v/>
      </c>
      <c r="C301" t="str">
        <f>IF($A301&lt;&gt;"",'All Cases - Enter Cases'!C301,"")</f>
        <v/>
      </c>
      <c r="D301" t="str">
        <f>IF($A301&lt;&gt;"",'All Cases - Enter Cases'!D301,"")</f>
        <v/>
      </c>
      <c r="E301" t="str">
        <f>IF($A301&lt;&gt;"",'All Cases - Enter Cases'!E301,"")</f>
        <v/>
      </c>
      <c r="F301" t="str">
        <f>IF($A301&lt;&gt;"",'All Cases - Enter Cases'!F301,"")</f>
        <v/>
      </c>
      <c r="G301" t="str">
        <f>IF($A301&lt;&gt;"",'All Cases - Enter Cases'!G301,"")</f>
        <v/>
      </c>
      <c r="H301" t="str">
        <f>IF($A301&lt;&gt;"",'All Cases - Enter Cases'!H301,"")</f>
        <v/>
      </c>
      <c r="I301" t="str">
        <f>IF($A301&lt;&gt;"",'All Cases - Enter Cases'!I301,"")</f>
        <v/>
      </c>
      <c r="J301" t="str">
        <f>IF($A301&lt;&gt;"",'All Cases - Enter Cases'!J301,"")</f>
        <v/>
      </c>
      <c r="K301" s="4" t="str">
        <f>IF($A301&lt;&gt;"",'All Cases - Enter Cases'!K301,"")</f>
        <v/>
      </c>
      <c r="L301" t="str">
        <f>IF($A301&lt;&gt;"",'All Cases - Enter Cases'!L301,"")</f>
        <v/>
      </c>
      <c r="M301" t="str">
        <f>IF($A301&lt;&gt;"",'All Cases - Enter Cases'!M301,"")</f>
        <v/>
      </c>
    </row>
    <row r="302" spans="1:13" x14ac:dyDescent="0.35">
      <c r="A302" s="10" t="str">
        <f>IF('All Cases - Enter Cases'!$F302="Sindh",'All Cases - Enter Cases'!A302,"")</f>
        <v/>
      </c>
      <c r="B302" t="str">
        <f>IF($A302&lt;&gt;"",'All Cases - Enter Cases'!B302,"")</f>
        <v/>
      </c>
      <c r="C302" t="str">
        <f>IF($A302&lt;&gt;"",'All Cases - Enter Cases'!C302,"")</f>
        <v/>
      </c>
      <c r="D302" t="str">
        <f>IF($A302&lt;&gt;"",'All Cases - Enter Cases'!D302,"")</f>
        <v/>
      </c>
      <c r="E302" t="str">
        <f>IF($A302&lt;&gt;"",'All Cases - Enter Cases'!E302,"")</f>
        <v/>
      </c>
      <c r="F302" t="str">
        <f>IF($A302&lt;&gt;"",'All Cases - Enter Cases'!F302,"")</f>
        <v/>
      </c>
      <c r="G302" t="str">
        <f>IF($A302&lt;&gt;"",'All Cases - Enter Cases'!G302,"")</f>
        <v/>
      </c>
      <c r="H302" t="str">
        <f>IF($A302&lt;&gt;"",'All Cases - Enter Cases'!H302,"")</f>
        <v/>
      </c>
      <c r="I302" t="str">
        <f>IF($A302&lt;&gt;"",'All Cases - Enter Cases'!I302,"")</f>
        <v/>
      </c>
      <c r="J302" t="str">
        <f>IF($A302&lt;&gt;"",'All Cases - Enter Cases'!J302,"")</f>
        <v/>
      </c>
      <c r="K302" s="4" t="str">
        <f>IF($A302&lt;&gt;"",'All Cases - Enter Cases'!K302,"")</f>
        <v/>
      </c>
      <c r="L302" t="str">
        <f>IF($A302&lt;&gt;"",'All Cases - Enter Cases'!L302,"")</f>
        <v/>
      </c>
      <c r="M302" t="str">
        <f>IF($A302&lt;&gt;"",'All Cases - Enter Cases'!M302,"")</f>
        <v/>
      </c>
    </row>
    <row r="303" spans="1:13" x14ac:dyDescent="0.35">
      <c r="A303" s="10" t="str">
        <f>IF('All Cases - Enter Cases'!$F303="Sindh",'All Cases - Enter Cases'!A303,"")</f>
        <v/>
      </c>
      <c r="B303" t="str">
        <f>IF($A303&lt;&gt;"",'All Cases - Enter Cases'!B303,"")</f>
        <v/>
      </c>
      <c r="C303" t="str">
        <f>IF($A303&lt;&gt;"",'All Cases - Enter Cases'!C303,"")</f>
        <v/>
      </c>
      <c r="D303" t="str">
        <f>IF($A303&lt;&gt;"",'All Cases - Enter Cases'!D303,"")</f>
        <v/>
      </c>
      <c r="E303" t="str">
        <f>IF($A303&lt;&gt;"",'All Cases - Enter Cases'!E303,"")</f>
        <v/>
      </c>
      <c r="F303" t="str">
        <f>IF($A303&lt;&gt;"",'All Cases - Enter Cases'!F303,"")</f>
        <v/>
      </c>
      <c r="G303" t="str">
        <f>IF($A303&lt;&gt;"",'All Cases - Enter Cases'!G303,"")</f>
        <v/>
      </c>
      <c r="H303" t="str">
        <f>IF($A303&lt;&gt;"",'All Cases - Enter Cases'!H303,"")</f>
        <v/>
      </c>
      <c r="I303" t="str">
        <f>IF($A303&lt;&gt;"",'All Cases - Enter Cases'!I303,"")</f>
        <v/>
      </c>
      <c r="J303" t="str">
        <f>IF($A303&lt;&gt;"",'All Cases - Enter Cases'!J303,"")</f>
        <v/>
      </c>
      <c r="K303" s="4" t="str">
        <f>IF($A303&lt;&gt;"",'All Cases - Enter Cases'!K303,"")</f>
        <v/>
      </c>
      <c r="L303" t="str">
        <f>IF($A303&lt;&gt;"",'All Cases - Enter Cases'!L303,"")</f>
        <v/>
      </c>
      <c r="M303" t="str">
        <f>IF($A303&lt;&gt;"",'All Cases - Enter Cases'!M303,"")</f>
        <v/>
      </c>
    </row>
    <row r="304" spans="1:13" x14ac:dyDescent="0.35">
      <c r="A304" s="10" t="str">
        <f>IF('All Cases - Enter Cases'!$F304="Sindh",'All Cases - Enter Cases'!A304,"")</f>
        <v/>
      </c>
      <c r="B304" t="str">
        <f>IF($A304&lt;&gt;"",'All Cases - Enter Cases'!B304,"")</f>
        <v/>
      </c>
      <c r="C304" t="str">
        <f>IF($A304&lt;&gt;"",'All Cases - Enter Cases'!C304,"")</f>
        <v/>
      </c>
      <c r="D304" t="str">
        <f>IF($A304&lt;&gt;"",'All Cases - Enter Cases'!D304,"")</f>
        <v/>
      </c>
      <c r="E304" t="str">
        <f>IF($A304&lt;&gt;"",'All Cases - Enter Cases'!E304,"")</f>
        <v/>
      </c>
      <c r="F304" t="str">
        <f>IF($A304&lt;&gt;"",'All Cases - Enter Cases'!F304,"")</f>
        <v/>
      </c>
      <c r="G304" t="str">
        <f>IF($A304&lt;&gt;"",'All Cases - Enter Cases'!G304,"")</f>
        <v/>
      </c>
      <c r="H304" t="str">
        <f>IF($A304&lt;&gt;"",'All Cases - Enter Cases'!H304,"")</f>
        <v/>
      </c>
      <c r="I304" t="str">
        <f>IF($A304&lt;&gt;"",'All Cases - Enter Cases'!I304,"")</f>
        <v/>
      </c>
      <c r="J304" t="str">
        <f>IF($A304&lt;&gt;"",'All Cases - Enter Cases'!J304,"")</f>
        <v/>
      </c>
      <c r="K304" s="4" t="str">
        <f>IF($A304&lt;&gt;"",'All Cases - Enter Cases'!K304,"")</f>
        <v/>
      </c>
      <c r="L304" t="str">
        <f>IF($A304&lt;&gt;"",'All Cases - Enter Cases'!L304,"")</f>
        <v/>
      </c>
      <c r="M304" t="str">
        <f>IF($A304&lt;&gt;"",'All Cases - Enter Cases'!M304,"")</f>
        <v/>
      </c>
    </row>
    <row r="305" spans="1:13" x14ac:dyDescent="0.35">
      <c r="A305" s="10" t="str">
        <f>IF('All Cases - Enter Cases'!$F305="Sindh",'All Cases - Enter Cases'!A305,"")</f>
        <v/>
      </c>
      <c r="B305" t="str">
        <f>IF($A305&lt;&gt;"",'All Cases - Enter Cases'!B305,"")</f>
        <v/>
      </c>
      <c r="C305" t="str">
        <f>IF($A305&lt;&gt;"",'All Cases - Enter Cases'!C305,"")</f>
        <v/>
      </c>
      <c r="D305" t="str">
        <f>IF($A305&lt;&gt;"",'All Cases - Enter Cases'!D305,"")</f>
        <v/>
      </c>
      <c r="E305" t="str">
        <f>IF($A305&lt;&gt;"",'All Cases - Enter Cases'!E305,"")</f>
        <v/>
      </c>
      <c r="F305" t="str">
        <f>IF($A305&lt;&gt;"",'All Cases - Enter Cases'!F305,"")</f>
        <v/>
      </c>
      <c r="G305" t="str">
        <f>IF($A305&lt;&gt;"",'All Cases - Enter Cases'!G305,"")</f>
        <v/>
      </c>
      <c r="H305" t="str">
        <f>IF($A305&lt;&gt;"",'All Cases - Enter Cases'!H305,"")</f>
        <v/>
      </c>
      <c r="I305" t="str">
        <f>IF($A305&lt;&gt;"",'All Cases - Enter Cases'!I305,"")</f>
        <v/>
      </c>
      <c r="J305" t="str">
        <f>IF($A305&lt;&gt;"",'All Cases - Enter Cases'!J305,"")</f>
        <v/>
      </c>
      <c r="K305" s="4" t="str">
        <f>IF($A305&lt;&gt;"",'All Cases - Enter Cases'!K305,"")</f>
        <v/>
      </c>
      <c r="L305" t="str">
        <f>IF($A305&lt;&gt;"",'All Cases - Enter Cases'!L305,"")</f>
        <v/>
      </c>
      <c r="M305" t="str">
        <f>IF($A305&lt;&gt;"",'All Cases - Enter Cases'!M305,"")</f>
        <v/>
      </c>
    </row>
    <row r="306" spans="1:13" x14ac:dyDescent="0.35">
      <c r="A306" s="10" t="str">
        <f>IF('All Cases - Enter Cases'!$F306="Sindh",'All Cases - Enter Cases'!A306,"")</f>
        <v/>
      </c>
      <c r="B306" t="str">
        <f>IF($A306&lt;&gt;"",'All Cases - Enter Cases'!B306,"")</f>
        <v/>
      </c>
      <c r="C306" t="str">
        <f>IF($A306&lt;&gt;"",'All Cases - Enter Cases'!C306,"")</f>
        <v/>
      </c>
      <c r="D306" t="str">
        <f>IF($A306&lt;&gt;"",'All Cases - Enter Cases'!D306,"")</f>
        <v/>
      </c>
      <c r="E306" t="str">
        <f>IF($A306&lt;&gt;"",'All Cases - Enter Cases'!E306,"")</f>
        <v/>
      </c>
      <c r="F306" t="str">
        <f>IF($A306&lt;&gt;"",'All Cases - Enter Cases'!F306,"")</f>
        <v/>
      </c>
      <c r="G306" t="str">
        <f>IF($A306&lt;&gt;"",'All Cases - Enter Cases'!G306,"")</f>
        <v/>
      </c>
      <c r="H306" t="str">
        <f>IF($A306&lt;&gt;"",'All Cases - Enter Cases'!H306,"")</f>
        <v/>
      </c>
      <c r="I306" t="str">
        <f>IF($A306&lt;&gt;"",'All Cases - Enter Cases'!I306,"")</f>
        <v/>
      </c>
      <c r="J306" t="str">
        <f>IF($A306&lt;&gt;"",'All Cases - Enter Cases'!J306,"")</f>
        <v/>
      </c>
      <c r="K306" s="4" t="str">
        <f>IF($A306&lt;&gt;"",'All Cases - Enter Cases'!K306,"")</f>
        <v/>
      </c>
      <c r="L306" t="str">
        <f>IF($A306&lt;&gt;"",'All Cases - Enter Cases'!L306,"")</f>
        <v/>
      </c>
      <c r="M306" t="str">
        <f>IF($A306&lt;&gt;"",'All Cases - Enter Cases'!M306,"")</f>
        <v/>
      </c>
    </row>
    <row r="307" spans="1:13" x14ac:dyDescent="0.35">
      <c r="A307" s="10" t="str">
        <f>IF('All Cases - Enter Cases'!$F307="Sindh",'All Cases - Enter Cases'!A307,"")</f>
        <v/>
      </c>
      <c r="B307" t="str">
        <f>IF($A307&lt;&gt;"",'All Cases - Enter Cases'!B307,"")</f>
        <v/>
      </c>
      <c r="C307" t="str">
        <f>IF($A307&lt;&gt;"",'All Cases - Enter Cases'!C307,"")</f>
        <v/>
      </c>
      <c r="D307" t="str">
        <f>IF($A307&lt;&gt;"",'All Cases - Enter Cases'!D307,"")</f>
        <v/>
      </c>
      <c r="E307" t="str">
        <f>IF($A307&lt;&gt;"",'All Cases - Enter Cases'!E307,"")</f>
        <v/>
      </c>
      <c r="F307" t="str">
        <f>IF($A307&lt;&gt;"",'All Cases - Enter Cases'!F307,"")</f>
        <v/>
      </c>
      <c r="G307" t="str">
        <f>IF($A307&lt;&gt;"",'All Cases - Enter Cases'!G307,"")</f>
        <v/>
      </c>
      <c r="H307" t="str">
        <f>IF($A307&lt;&gt;"",'All Cases - Enter Cases'!H307,"")</f>
        <v/>
      </c>
      <c r="I307" t="str">
        <f>IF($A307&lt;&gt;"",'All Cases - Enter Cases'!I307,"")</f>
        <v/>
      </c>
      <c r="J307" t="str">
        <f>IF($A307&lt;&gt;"",'All Cases - Enter Cases'!J307,"")</f>
        <v/>
      </c>
      <c r="K307" s="4" t="str">
        <f>IF($A307&lt;&gt;"",'All Cases - Enter Cases'!K307,"")</f>
        <v/>
      </c>
      <c r="L307" t="str">
        <f>IF($A307&lt;&gt;"",'All Cases - Enter Cases'!L307,"")</f>
        <v/>
      </c>
      <c r="M307" t="str">
        <f>IF($A307&lt;&gt;"",'All Cases - Enter Cases'!M307,"")</f>
        <v/>
      </c>
    </row>
    <row r="308" spans="1:13" x14ac:dyDescent="0.35">
      <c r="A308" s="10" t="str">
        <f>IF('All Cases - Enter Cases'!$F308="Sindh",'All Cases - Enter Cases'!A308,"")</f>
        <v/>
      </c>
      <c r="B308" t="str">
        <f>IF($A308&lt;&gt;"",'All Cases - Enter Cases'!B308,"")</f>
        <v/>
      </c>
      <c r="C308" t="str">
        <f>IF($A308&lt;&gt;"",'All Cases - Enter Cases'!C308,"")</f>
        <v/>
      </c>
      <c r="D308" t="str">
        <f>IF($A308&lt;&gt;"",'All Cases - Enter Cases'!D308,"")</f>
        <v/>
      </c>
      <c r="E308" t="str">
        <f>IF($A308&lt;&gt;"",'All Cases - Enter Cases'!E308,"")</f>
        <v/>
      </c>
      <c r="F308" t="str">
        <f>IF($A308&lt;&gt;"",'All Cases - Enter Cases'!F308,"")</f>
        <v/>
      </c>
      <c r="G308" t="str">
        <f>IF($A308&lt;&gt;"",'All Cases - Enter Cases'!G308,"")</f>
        <v/>
      </c>
      <c r="H308" t="str">
        <f>IF($A308&lt;&gt;"",'All Cases - Enter Cases'!H308,"")</f>
        <v/>
      </c>
      <c r="I308" t="str">
        <f>IF($A308&lt;&gt;"",'All Cases - Enter Cases'!I308,"")</f>
        <v/>
      </c>
      <c r="J308" t="str">
        <f>IF($A308&lt;&gt;"",'All Cases - Enter Cases'!J308,"")</f>
        <v/>
      </c>
      <c r="K308" s="4" t="str">
        <f>IF($A308&lt;&gt;"",'All Cases - Enter Cases'!K308,"")</f>
        <v/>
      </c>
      <c r="L308" t="str">
        <f>IF($A308&lt;&gt;"",'All Cases - Enter Cases'!L308,"")</f>
        <v/>
      </c>
      <c r="M308" t="str">
        <f>IF($A308&lt;&gt;"",'All Cases - Enter Cases'!M308,"")</f>
        <v/>
      </c>
    </row>
    <row r="309" spans="1:13" x14ac:dyDescent="0.35">
      <c r="A309" s="10" t="str">
        <f>IF('All Cases - Enter Cases'!$F309="Sindh",'All Cases - Enter Cases'!A309,"")</f>
        <v/>
      </c>
      <c r="B309" t="str">
        <f>IF($A309&lt;&gt;"",'All Cases - Enter Cases'!B309,"")</f>
        <v/>
      </c>
      <c r="C309" t="str">
        <f>IF($A309&lt;&gt;"",'All Cases - Enter Cases'!C309,"")</f>
        <v/>
      </c>
      <c r="D309" t="str">
        <f>IF($A309&lt;&gt;"",'All Cases - Enter Cases'!D309,"")</f>
        <v/>
      </c>
      <c r="E309" t="str">
        <f>IF($A309&lt;&gt;"",'All Cases - Enter Cases'!E309,"")</f>
        <v/>
      </c>
      <c r="F309" t="str">
        <f>IF($A309&lt;&gt;"",'All Cases - Enter Cases'!F309,"")</f>
        <v/>
      </c>
      <c r="G309" t="str">
        <f>IF($A309&lt;&gt;"",'All Cases - Enter Cases'!G309,"")</f>
        <v/>
      </c>
      <c r="H309" t="str">
        <f>IF($A309&lt;&gt;"",'All Cases - Enter Cases'!H309,"")</f>
        <v/>
      </c>
      <c r="I309" t="str">
        <f>IF($A309&lt;&gt;"",'All Cases - Enter Cases'!I309,"")</f>
        <v/>
      </c>
      <c r="J309" t="str">
        <f>IF($A309&lt;&gt;"",'All Cases - Enter Cases'!J309,"")</f>
        <v/>
      </c>
      <c r="K309" s="4" t="str">
        <f>IF($A309&lt;&gt;"",'All Cases - Enter Cases'!K309,"")</f>
        <v/>
      </c>
      <c r="L309" t="str">
        <f>IF($A309&lt;&gt;"",'All Cases - Enter Cases'!L309,"")</f>
        <v/>
      </c>
      <c r="M309" t="str">
        <f>IF($A309&lt;&gt;"",'All Cases - Enter Cases'!M309,"")</f>
        <v/>
      </c>
    </row>
    <row r="310" spans="1:13" x14ac:dyDescent="0.35">
      <c r="A310" s="10" t="str">
        <f>IF('All Cases - Enter Cases'!$F310="Sindh",'All Cases - Enter Cases'!A310,"")</f>
        <v/>
      </c>
      <c r="B310" t="str">
        <f>IF($A310&lt;&gt;"",'All Cases - Enter Cases'!B310,"")</f>
        <v/>
      </c>
      <c r="C310" t="str">
        <f>IF($A310&lt;&gt;"",'All Cases - Enter Cases'!C310,"")</f>
        <v/>
      </c>
      <c r="D310" t="str">
        <f>IF($A310&lt;&gt;"",'All Cases - Enter Cases'!D310,"")</f>
        <v/>
      </c>
      <c r="E310" t="str">
        <f>IF($A310&lt;&gt;"",'All Cases - Enter Cases'!E310,"")</f>
        <v/>
      </c>
      <c r="F310" t="str">
        <f>IF($A310&lt;&gt;"",'All Cases - Enter Cases'!F310,"")</f>
        <v/>
      </c>
      <c r="G310" t="str">
        <f>IF($A310&lt;&gt;"",'All Cases - Enter Cases'!G310,"")</f>
        <v/>
      </c>
      <c r="H310" t="str">
        <f>IF($A310&lt;&gt;"",'All Cases - Enter Cases'!H310,"")</f>
        <v/>
      </c>
      <c r="I310" t="str">
        <f>IF($A310&lt;&gt;"",'All Cases - Enter Cases'!I310,"")</f>
        <v/>
      </c>
      <c r="J310" t="str">
        <f>IF($A310&lt;&gt;"",'All Cases - Enter Cases'!J310,"")</f>
        <v/>
      </c>
      <c r="K310" s="4" t="str">
        <f>IF($A310&lt;&gt;"",'All Cases - Enter Cases'!K310,"")</f>
        <v/>
      </c>
      <c r="L310" t="str">
        <f>IF($A310&lt;&gt;"",'All Cases - Enter Cases'!L310,"")</f>
        <v/>
      </c>
      <c r="M310" t="str">
        <f>IF($A310&lt;&gt;"",'All Cases - Enter Cases'!M310,"")</f>
        <v/>
      </c>
    </row>
    <row r="311" spans="1:13" x14ac:dyDescent="0.35">
      <c r="A311" s="10" t="str">
        <f>IF('All Cases - Enter Cases'!$F311="Sindh",'All Cases - Enter Cases'!A311,"")</f>
        <v/>
      </c>
      <c r="B311" t="str">
        <f>IF($A311&lt;&gt;"",'All Cases - Enter Cases'!B311,"")</f>
        <v/>
      </c>
      <c r="C311" t="str">
        <f>IF($A311&lt;&gt;"",'All Cases - Enter Cases'!C311,"")</f>
        <v/>
      </c>
      <c r="D311" t="str">
        <f>IF($A311&lt;&gt;"",'All Cases - Enter Cases'!D311,"")</f>
        <v/>
      </c>
      <c r="E311" t="str">
        <f>IF($A311&lt;&gt;"",'All Cases - Enter Cases'!E311,"")</f>
        <v/>
      </c>
      <c r="F311" t="str">
        <f>IF($A311&lt;&gt;"",'All Cases - Enter Cases'!F311,"")</f>
        <v/>
      </c>
      <c r="G311" t="str">
        <f>IF($A311&lt;&gt;"",'All Cases - Enter Cases'!G311,"")</f>
        <v/>
      </c>
      <c r="H311" t="str">
        <f>IF($A311&lt;&gt;"",'All Cases - Enter Cases'!H311,"")</f>
        <v/>
      </c>
      <c r="I311" t="str">
        <f>IF($A311&lt;&gt;"",'All Cases - Enter Cases'!I311,"")</f>
        <v/>
      </c>
      <c r="J311" t="str">
        <f>IF($A311&lt;&gt;"",'All Cases - Enter Cases'!J311,"")</f>
        <v/>
      </c>
      <c r="K311" s="4" t="str">
        <f>IF($A311&lt;&gt;"",'All Cases - Enter Cases'!K311,"")</f>
        <v/>
      </c>
      <c r="L311" t="str">
        <f>IF($A311&lt;&gt;"",'All Cases - Enter Cases'!L311,"")</f>
        <v/>
      </c>
      <c r="M311" t="str">
        <f>IF($A311&lt;&gt;"",'All Cases - Enter Cases'!M311,"")</f>
        <v/>
      </c>
    </row>
    <row r="312" spans="1:13" x14ac:dyDescent="0.35">
      <c r="A312" s="10" t="str">
        <f>IF('All Cases - Enter Cases'!$F312="Sindh",'All Cases - Enter Cases'!A312,"")</f>
        <v/>
      </c>
      <c r="B312" t="str">
        <f>IF($A312&lt;&gt;"",'All Cases - Enter Cases'!B312,"")</f>
        <v/>
      </c>
      <c r="C312" t="str">
        <f>IF($A312&lt;&gt;"",'All Cases - Enter Cases'!C312,"")</f>
        <v/>
      </c>
      <c r="D312" t="str">
        <f>IF($A312&lt;&gt;"",'All Cases - Enter Cases'!D312,"")</f>
        <v/>
      </c>
      <c r="E312" t="str">
        <f>IF($A312&lt;&gt;"",'All Cases - Enter Cases'!E312,"")</f>
        <v/>
      </c>
      <c r="F312" t="str">
        <f>IF($A312&lt;&gt;"",'All Cases - Enter Cases'!F312,"")</f>
        <v/>
      </c>
      <c r="G312" t="str">
        <f>IF($A312&lt;&gt;"",'All Cases - Enter Cases'!G312,"")</f>
        <v/>
      </c>
      <c r="H312" t="str">
        <f>IF($A312&lt;&gt;"",'All Cases - Enter Cases'!H312,"")</f>
        <v/>
      </c>
      <c r="I312" t="str">
        <f>IF($A312&lt;&gt;"",'All Cases - Enter Cases'!I312,"")</f>
        <v/>
      </c>
      <c r="J312" t="str">
        <f>IF($A312&lt;&gt;"",'All Cases - Enter Cases'!J312,"")</f>
        <v/>
      </c>
      <c r="K312" s="4" t="str">
        <f>IF($A312&lt;&gt;"",'All Cases - Enter Cases'!K312,"")</f>
        <v/>
      </c>
      <c r="L312" t="str">
        <f>IF($A312&lt;&gt;"",'All Cases - Enter Cases'!L312,"")</f>
        <v/>
      </c>
      <c r="M312" t="str">
        <f>IF($A312&lt;&gt;"",'All Cases - Enter Cases'!M312,"")</f>
        <v/>
      </c>
    </row>
    <row r="313" spans="1:13" x14ac:dyDescent="0.35">
      <c r="A313" s="10" t="str">
        <f>IF('All Cases - Enter Cases'!$F313="Sindh",'All Cases - Enter Cases'!A313,"")</f>
        <v/>
      </c>
      <c r="B313" t="str">
        <f>IF($A313&lt;&gt;"",'All Cases - Enter Cases'!B313,"")</f>
        <v/>
      </c>
      <c r="C313" t="str">
        <f>IF($A313&lt;&gt;"",'All Cases - Enter Cases'!C313,"")</f>
        <v/>
      </c>
      <c r="D313" t="str">
        <f>IF($A313&lt;&gt;"",'All Cases - Enter Cases'!D313,"")</f>
        <v/>
      </c>
      <c r="E313" t="str">
        <f>IF($A313&lt;&gt;"",'All Cases - Enter Cases'!E313,"")</f>
        <v/>
      </c>
      <c r="F313" t="str">
        <f>IF($A313&lt;&gt;"",'All Cases - Enter Cases'!F313,"")</f>
        <v/>
      </c>
      <c r="G313" t="str">
        <f>IF($A313&lt;&gt;"",'All Cases - Enter Cases'!G313,"")</f>
        <v/>
      </c>
      <c r="H313" t="str">
        <f>IF($A313&lt;&gt;"",'All Cases - Enter Cases'!H313,"")</f>
        <v/>
      </c>
      <c r="I313" t="str">
        <f>IF($A313&lt;&gt;"",'All Cases - Enter Cases'!I313,"")</f>
        <v/>
      </c>
      <c r="J313" t="str">
        <f>IF($A313&lt;&gt;"",'All Cases - Enter Cases'!J313,"")</f>
        <v/>
      </c>
      <c r="K313" s="4" t="str">
        <f>IF($A313&lt;&gt;"",'All Cases - Enter Cases'!K313,"")</f>
        <v/>
      </c>
      <c r="L313" t="str">
        <f>IF($A313&lt;&gt;"",'All Cases - Enter Cases'!L313,"")</f>
        <v/>
      </c>
      <c r="M313" t="str">
        <f>IF($A313&lt;&gt;"",'All Cases - Enter Cases'!M313,"")</f>
        <v/>
      </c>
    </row>
    <row r="314" spans="1:13" x14ac:dyDescent="0.35">
      <c r="A314" s="10" t="str">
        <f>IF('All Cases - Enter Cases'!$F314="Sindh",'All Cases - Enter Cases'!A314,"")</f>
        <v/>
      </c>
      <c r="B314" t="str">
        <f>IF($A314&lt;&gt;"",'All Cases - Enter Cases'!B314,"")</f>
        <v/>
      </c>
      <c r="C314" t="str">
        <f>IF($A314&lt;&gt;"",'All Cases - Enter Cases'!C314,"")</f>
        <v/>
      </c>
      <c r="D314" t="str">
        <f>IF($A314&lt;&gt;"",'All Cases - Enter Cases'!D314,"")</f>
        <v/>
      </c>
      <c r="E314" t="str">
        <f>IF($A314&lt;&gt;"",'All Cases - Enter Cases'!E314,"")</f>
        <v/>
      </c>
      <c r="F314" t="str">
        <f>IF($A314&lt;&gt;"",'All Cases - Enter Cases'!F314,"")</f>
        <v/>
      </c>
      <c r="G314" t="str">
        <f>IF($A314&lt;&gt;"",'All Cases - Enter Cases'!G314,"")</f>
        <v/>
      </c>
      <c r="H314" t="str">
        <f>IF($A314&lt;&gt;"",'All Cases - Enter Cases'!H314,"")</f>
        <v/>
      </c>
      <c r="I314" t="str">
        <f>IF($A314&lt;&gt;"",'All Cases - Enter Cases'!I314,"")</f>
        <v/>
      </c>
      <c r="J314" t="str">
        <f>IF($A314&lt;&gt;"",'All Cases - Enter Cases'!J314,"")</f>
        <v/>
      </c>
      <c r="K314" s="4" t="str">
        <f>IF($A314&lt;&gt;"",'All Cases - Enter Cases'!K314,"")</f>
        <v/>
      </c>
      <c r="L314" t="str">
        <f>IF($A314&lt;&gt;"",'All Cases - Enter Cases'!L314,"")</f>
        <v/>
      </c>
      <c r="M314" t="str">
        <f>IF($A314&lt;&gt;"",'All Cases - Enter Cases'!M314,"")</f>
        <v/>
      </c>
    </row>
    <row r="315" spans="1:13" x14ac:dyDescent="0.35">
      <c r="A315" s="10" t="str">
        <f>IF('All Cases - Enter Cases'!$F315="Sindh",'All Cases - Enter Cases'!A315,"")</f>
        <v/>
      </c>
      <c r="B315" t="str">
        <f>IF($A315&lt;&gt;"",'All Cases - Enter Cases'!B315,"")</f>
        <v/>
      </c>
      <c r="C315" t="str">
        <f>IF($A315&lt;&gt;"",'All Cases - Enter Cases'!C315,"")</f>
        <v/>
      </c>
      <c r="D315" t="str">
        <f>IF($A315&lt;&gt;"",'All Cases - Enter Cases'!D315,"")</f>
        <v/>
      </c>
      <c r="E315" t="str">
        <f>IF($A315&lt;&gt;"",'All Cases - Enter Cases'!E315,"")</f>
        <v/>
      </c>
      <c r="F315" t="str">
        <f>IF($A315&lt;&gt;"",'All Cases - Enter Cases'!F315,"")</f>
        <v/>
      </c>
      <c r="G315" t="str">
        <f>IF($A315&lt;&gt;"",'All Cases - Enter Cases'!G315,"")</f>
        <v/>
      </c>
      <c r="H315" t="str">
        <f>IF($A315&lt;&gt;"",'All Cases - Enter Cases'!H315,"")</f>
        <v/>
      </c>
      <c r="I315" t="str">
        <f>IF($A315&lt;&gt;"",'All Cases - Enter Cases'!I315,"")</f>
        <v/>
      </c>
      <c r="J315" t="str">
        <f>IF($A315&lt;&gt;"",'All Cases - Enter Cases'!J315,"")</f>
        <v/>
      </c>
      <c r="K315" s="4" t="str">
        <f>IF($A315&lt;&gt;"",'All Cases - Enter Cases'!K315,"")</f>
        <v/>
      </c>
      <c r="L315" t="str">
        <f>IF($A315&lt;&gt;"",'All Cases - Enter Cases'!L315,"")</f>
        <v/>
      </c>
      <c r="M315" t="str">
        <f>IF($A315&lt;&gt;"",'All Cases - Enter Cases'!M315,"")</f>
        <v/>
      </c>
    </row>
    <row r="316" spans="1:13" x14ac:dyDescent="0.35">
      <c r="A316" s="10" t="str">
        <f>IF('All Cases - Enter Cases'!$F316="Sindh",'All Cases - Enter Cases'!A316,"")</f>
        <v/>
      </c>
      <c r="B316" t="str">
        <f>IF($A316&lt;&gt;"",'All Cases - Enter Cases'!B316,"")</f>
        <v/>
      </c>
      <c r="C316" t="str">
        <f>IF($A316&lt;&gt;"",'All Cases - Enter Cases'!C316,"")</f>
        <v/>
      </c>
      <c r="D316" t="str">
        <f>IF($A316&lt;&gt;"",'All Cases - Enter Cases'!D316,"")</f>
        <v/>
      </c>
      <c r="E316" t="str">
        <f>IF($A316&lt;&gt;"",'All Cases - Enter Cases'!E316,"")</f>
        <v/>
      </c>
      <c r="F316" t="str">
        <f>IF($A316&lt;&gt;"",'All Cases - Enter Cases'!F316,"")</f>
        <v/>
      </c>
      <c r="G316" t="str">
        <f>IF($A316&lt;&gt;"",'All Cases - Enter Cases'!G316,"")</f>
        <v/>
      </c>
      <c r="H316" t="str">
        <f>IF($A316&lt;&gt;"",'All Cases - Enter Cases'!H316,"")</f>
        <v/>
      </c>
      <c r="I316" t="str">
        <f>IF($A316&lt;&gt;"",'All Cases - Enter Cases'!I316,"")</f>
        <v/>
      </c>
      <c r="J316" t="str">
        <f>IF($A316&lt;&gt;"",'All Cases - Enter Cases'!J316,"")</f>
        <v/>
      </c>
      <c r="K316" s="4" t="str">
        <f>IF($A316&lt;&gt;"",'All Cases - Enter Cases'!K316,"")</f>
        <v/>
      </c>
      <c r="L316" t="str">
        <f>IF($A316&lt;&gt;"",'All Cases - Enter Cases'!L316,"")</f>
        <v/>
      </c>
      <c r="M316" t="str">
        <f>IF($A316&lt;&gt;"",'All Cases - Enter Cases'!M316,"")</f>
        <v/>
      </c>
    </row>
    <row r="317" spans="1:13" x14ac:dyDescent="0.35">
      <c r="A317" s="10" t="str">
        <f>IF('All Cases - Enter Cases'!$F317="Sindh",'All Cases - Enter Cases'!A317,"")</f>
        <v/>
      </c>
      <c r="B317" t="str">
        <f>IF($A317&lt;&gt;"",'All Cases - Enter Cases'!B317,"")</f>
        <v/>
      </c>
      <c r="C317" t="str">
        <f>IF($A317&lt;&gt;"",'All Cases - Enter Cases'!C317,"")</f>
        <v/>
      </c>
      <c r="D317" t="str">
        <f>IF($A317&lt;&gt;"",'All Cases - Enter Cases'!D317,"")</f>
        <v/>
      </c>
      <c r="E317" t="str">
        <f>IF($A317&lt;&gt;"",'All Cases - Enter Cases'!E317,"")</f>
        <v/>
      </c>
      <c r="F317" t="str">
        <f>IF($A317&lt;&gt;"",'All Cases - Enter Cases'!F317,"")</f>
        <v/>
      </c>
      <c r="G317" t="str">
        <f>IF($A317&lt;&gt;"",'All Cases - Enter Cases'!G317,"")</f>
        <v/>
      </c>
      <c r="H317" t="str">
        <f>IF($A317&lt;&gt;"",'All Cases - Enter Cases'!H317,"")</f>
        <v/>
      </c>
      <c r="I317" t="str">
        <f>IF($A317&lt;&gt;"",'All Cases - Enter Cases'!I317,"")</f>
        <v/>
      </c>
      <c r="J317" t="str">
        <f>IF($A317&lt;&gt;"",'All Cases - Enter Cases'!J317,"")</f>
        <v/>
      </c>
      <c r="K317" s="4" t="str">
        <f>IF($A317&lt;&gt;"",'All Cases - Enter Cases'!K317,"")</f>
        <v/>
      </c>
      <c r="L317" t="str">
        <f>IF($A317&lt;&gt;"",'All Cases - Enter Cases'!L317,"")</f>
        <v/>
      </c>
      <c r="M317" t="str">
        <f>IF($A317&lt;&gt;"",'All Cases - Enter Cases'!M317,"")</f>
        <v/>
      </c>
    </row>
    <row r="318" spans="1:13" x14ac:dyDescent="0.35">
      <c r="A318" s="10" t="str">
        <f>IF('All Cases - Enter Cases'!$F318="Sindh",'All Cases - Enter Cases'!A318,"")</f>
        <v/>
      </c>
      <c r="B318" t="str">
        <f>IF($A318&lt;&gt;"",'All Cases - Enter Cases'!B318,"")</f>
        <v/>
      </c>
      <c r="C318" t="str">
        <f>IF($A318&lt;&gt;"",'All Cases - Enter Cases'!C318,"")</f>
        <v/>
      </c>
      <c r="D318" t="str">
        <f>IF($A318&lt;&gt;"",'All Cases - Enter Cases'!D318,"")</f>
        <v/>
      </c>
      <c r="E318" t="str">
        <f>IF($A318&lt;&gt;"",'All Cases - Enter Cases'!E318,"")</f>
        <v/>
      </c>
      <c r="F318" t="str">
        <f>IF($A318&lt;&gt;"",'All Cases - Enter Cases'!F318,"")</f>
        <v/>
      </c>
      <c r="G318" t="str">
        <f>IF($A318&lt;&gt;"",'All Cases - Enter Cases'!G318,"")</f>
        <v/>
      </c>
      <c r="H318" t="str">
        <f>IF($A318&lt;&gt;"",'All Cases - Enter Cases'!H318,"")</f>
        <v/>
      </c>
      <c r="I318" t="str">
        <f>IF($A318&lt;&gt;"",'All Cases - Enter Cases'!I318,"")</f>
        <v/>
      </c>
      <c r="J318" t="str">
        <f>IF($A318&lt;&gt;"",'All Cases - Enter Cases'!J318,"")</f>
        <v/>
      </c>
      <c r="K318" s="4" t="str">
        <f>IF($A318&lt;&gt;"",'All Cases - Enter Cases'!K318,"")</f>
        <v/>
      </c>
      <c r="L318" t="str">
        <f>IF($A318&lt;&gt;"",'All Cases - Enter Cases'!L318,"")</f>
        <v/>
      </c>
      <c r="M318" t="str">
        <f>IF($A318&lt;&gt;"",'All Cases - Enter Cases'!M318,"")</f>
        <v/>
      </c>
    </row>
    <row r="319" spans="1:13" x14ac:dyDescent="0.35">
      <c r="A319" s="10" t="str">
        <f>IF('All Cases - Enter Cases'!$F319="Sindh",'All Cases - Enter Cases'!A319,"")</f>
        <v/>
      </c>
      <c r="B319" t="str">
        <f>IF($A319&lt;&gt;"",'All Cases - Enter Cases'!B319,"")</f>
        <v/>
      </c>
      <c r="C319" t="str">
        <f>IF($A319&lt;&gt;"",'All Cases - Enter Cases'!C319,"")</f>
        <v/>
      </c>
      <c r="D319" t="str">
        <f>IF($A319&lt;&gt;"",'All Cases - Enter Cases'!D319,"")</f>
        <v/>
      </c>
      <c r="E319" t="str">
        <f>IF($A319&lt;&gt;"",'All Cases - Enter Cases'!E319,"")</f>
        <v/>
      </c>
      <c r="F319" t="str">
        <f>IF($A319&lt;&gt;"",'All Cases - Enter Cases'!F319,"")</f>
        <v/>
      </c>
      <c r="G319" t="str">
        <f>IF($A319&lt;&gt;"",'All Cases - Enter Cases'!G319,"")</f>
        <v/>
      </c>
      <c r="H319" t="str">
        <f>IF($A319&lt;&gt;"",'All Cases - Enter Cases'!H319,"")</f>
        <v/>
      </c>
      <c r="I319" t="str">
        <f>IF($A319&lt;&gt;"",'All Cases - Enter Cases'!I319,"")</f>
        <v/>
      </c>
      <c r="J319" t="str">
        <f>IF($A319&lt;&gt;"",'All Cases - Enter Cases'!J319,"")</f>
        <v/>
      </c>
      <c r="K319" s="4" t="str">
        <f>IF($A319&lt;&gt;"",'All Cases - Enter Cases'!K319,"")</f>
        <v/>
      </c>
      <c r="L319" t="str">
        <f>IF($A319&lt;&gt;"",'All Cases - Enter Cases'!L319,"")</f>
        <v/>
      </c>
      <c r="M319" t="str">
        <f>IF($A319&lt;&gt;"",'All Cases - Enter Cases'!M319,"")</f>
        <v/>
      </c>
    </row>
    <row r="320" spans="1:13" x14ac:dyDescent="0.35">
      <c r="A320" s="10" t="str">
        <f>IF('All Cases - Enter Cases'!$F320="Sindh",'All Cases - Enter Cases'!A320,"")</f>
        <v/>
      </c>
      <c r="B320" t="str">
        <f>IF($A320&lt;&gt;"",'All Cases - Enter Cases'!B320,"")</f>
        <v/>
      </c>
      <c r="C320" t="str">
        <f>IF($A320&lt;&gt;"",'All Cases - Enter Cases'!C320,"")</f>
        <v/>
      </c>
      <c r="D320" t="str">
        <f>IF($A320&lt;&gt;"",'All Cases - Enter Cases'!D320,"")</f>
        <v/>
      </c>
      <c r="E320" t="str">
        <f>IF($A320&lt;&gt;"",'All Cases - Enter Cases'!E320,"")</f>
        <v/>
      </c>
      <c r="F320" t="str">
        <f>IF($A320&lt;&gt;"",'All Cases - Enter Cases'!F320,"")</f>
        <v/>
      </c>
      <c r="G320" t="str">
        <f>IF($A320&lt;&gt;"",'All Cases - Enter Cases'!G320,"")</f>
        <v/>
      </c>
      <c r="H320" t="str">
        <f>IF($A320&lt;&gt;"",'All Cases - Enter Cases'!H320,"")</f>
        <v/>
      </c>
      <c r="I320" t="str">
        <f>IF($A320&lt;&gt;"",'All Cases - Enter Cases'!I320,"")</f>
        <v/>
      </c>
      <c r="J320" t="str">
        <f>IF($A320&lt;&gt;"",'All Cases - Enter Cases'!J320,"")</f>
        <v/>
      </c>
      <c r="K320" s="4" t="str">
        <f>IF($A320&lt;&gt;"",'All Cases - Enter Cases'!K320,"")</f>
        <v/>
      </c>
      <c r="L320" t="str">
        <f>IF($A320&lt;&gt;"",'All Cases - Enter Cases'!L320,"")</f>
        <v/>
      </c>
      <c r="M320" t="str">
        <f>IF($A320&lt;&gt;"",'All Cases - Enter Cases'!M320,"")</f>
        <v/>
      </c>
    </row>
    <row r="321" spans="1:13" x14ac:dyDescent="0.35">
      <c r="A321" s="10" t="str">
        <f>IF('All Cases - Enter Cases'!$F321="Sindh",'All Cases - Enter Cases'!A321,"")</f>
        <v/>
      </c>
      <c r="B321" t="str">
        <f>IF($A321&lt;&gt;"",'All Cases - Enter Cases'!B321,"")</f>
        <v/>
      </c>
      <c r="C321" t="str">
        <f>IF($A321&lt;&gt;"",'All Cases - Enter Cases'!C321,"")</f>
        <v/>
      </c>
      <c r="D321" t="str">
        <f>IF($A321&lt;&gt;"",'All Cases - Enter Cases'!D321,"")</f>
        <v/>
      </c>
      <c r="E321" t="str">
        <f>IF($A321&lt;&gt;"",'All Cases - Enter Cases'!E321,"")</f>
        <v/>
      </c>
      <c r="F321" t="str">
        <f>IF($A321&lt;&gt;"",'All Cases - Enter Cases'!F321,"")</f>
        <v/>
      </c>
      <c r="G321" t="str">
        <f>IF($A321&lt;&gt;"",'All Cases - Enter Cases'!G321,"")</f>
        <v/>
      </c>
      <c r="H321" t="str">
        <f>IF($A321&lt;&gt;"",'All Cases - Enter Cases'!H321,"")</f>
        <v/>
      </c>
      <c r="I321" t="str">
        <f>IF($A321&lt;&gt;"",'All Cases - Enter Cases'!I321,"")</f>
        <v/>
      </c>
      <c r="J321" t="str">
        <f>IF($A321&lt;&gt;"",'All Cases - Enter Cases'!J321,"")</f>
        <v/>
      </c>
      <c r="K321" s="4" t="str">
        <f>IF($A321&lt;&gt;"",'All Cases - Enter Cases'!K321,"")</f>
        <v/>
      </c>
      <c r="L321" t="str">
        <f>IF($A321&lt;&gt;"",'All Cases - Enter Cases'!L321,"")</f>
        <v/>
      </c>
      <c r="M321" t="str">
        <f>IF($A321&lt;&gt;"",'All Cases - Enter Cases'!M321,"")</f>
        <v/>
      </c>
    </row>
    <row r="322" spans="1:13" x14ac:dyDescent="0.35">
      <c r="A322" s="10" t="str">
        <f>IF('All Cases - Enter Cases'!$F322="Sindh",'All Cases - Enter Cases'!A322,"")</f>
        <v/>
      </c>
      <c r="B322" t="str">
        <f>IF($A322&lt;&gt;"",'All Cases - Enter Cases'!B322,"")</f>
        <v/>
      </c>
      <c r="C322" t="str">
        <f>IF($A322&lt;&gt;"",'All Cases - Enter Cases'!C322,"")</f>
        <v/>
      </c>
      <c r="D322" t="str">
        <f>IF($A322&lt;&gt;"",'All Cases - Enter Cases'!D322,"")</f>
        <v/>
      </c>
      <c r="E322" t="str">
        <f>IF($A322&lt;&gt;"",'All Cases - Enter Cases'!E322,"")</f>
        <v/>
      </c>
      <c r="F322" t="str">
        <f>IF($A322&lt;&gt;"",'All Cases - Enter Cases'!F322,"")</f>
        <v/>
      </c>
      <c r="G322" t="str">
        <f>IF($A322&lt;&gt;"",'All Cases - Enter Cases'!G322,"")</f>
        <v/>
      </c>
      <c r="H322" t="str">
        <f>IF($A322&lt;&gt;"",'All Cases - Enter Cases'!H322,"")</f>
        <v/>
      </c>
      <c r="I322" t="str">
        <f>IF($A322&lt;&gt;"",'All Cases - Enter Cases'!I322,"")</f>
        <v/>
      </c>
      <c r="J322" t="str">
        <f>IF($A322&lt;&gt;"",'All Cases - Enter Cases'!J322,"")</f>
        <v/>
      </c>
      <c r="K322" s="4" t="str">
        <f>IF($A322&lt;&gt;"",'All Cases - Enter Cases'!K322,"")</f>
        <v/>
      </c>
      <c r="L322" t="str">
        <f>IF($A322&lt;&gt;"",'All Cases - Enter Cases'!L322,"")</f>
        <v/>
      </c>
      <c r="M322" t="str">
        <f>IF($A322&lt;&gt;"",'All Cases - Enter Cases'!M322,"")</f>
        <v/>
      </c>
    </row>
    <row r="323" spans="1:13" x14ac:dyDescent="0.35">
      <c r="A323" s="10" t="str">
        <f>IF('All Cases - Enter Cases'!$F323="Sindh",'All Cases - Enter Cases'!A323,"")</f>
        <v/>
      </c>
      <c r="B323" t="str">
        <f>IF($A323&lt;&gt;"",'All Cases - Enter Cases'!B323,"")</f>
        <v/>
      </c>
      <c r="C323" t="str">
        <f>IF($A323&lt;&gt;"",'All Cases - Enter Cases'!C323,"")</f>
        <v/>
      </c>
      <c r="D323" t="str">
        <f>IF($A323&lt;&gt;"",'All Cases - Enter Cases'!D323,"")</f>
        <v/>
      </c>
      <c r="E323" t="str">
        <f>IF($A323&lt;&gt;"",'All Cases - Enter Cases'!E323,"")</f>
        <v/>
      </c>
      <c r="F323" t="str">
        <f>IF($A323&lt;&gt;"",'All Cases - Enter Cases'!F323,"")</f>
        <v/>
      </c>
      <c r="G323" t="str">
        <f>IF($A323&lt;&gt;"",'All Cases - Enter Cases'!G323,"")</f>
        <v/>
      </c>
      <c r="H323" t="str">
        <f>IF($A323&lt;&gt;"",'All Cases - Enter Cases'!H323,"")</f>
        <v/>
      </c>
      <c r="I323" t="str">
        <f>IF($A323&lt;&gt;"",'All Cases - Enter Cases'!I323,"")</f>
        <v/>
      </c>
      <c r="J323" t="str">
        <f>IF($A323&lt;&gt;"",'All Cases - Enter Cases'!J323,"")</f>
        <v/>
      </c>
      <c r="K323" s="4" t="str">
        <f>IF($A323&lt;&gt;"",'All Cases - Enter Cases'!K323,"")</f>
        <v/>
      </c>
      <c r="L323" t="str">
        <f>IF($A323&lt;&gt;"",'All Cases - Enter Cases'!L323,"")</f>
        <v/>
      </c>
      <c r="M323" t="str">
        <f>IF($A323&lt;&gt;"",'All Cases - Enter Cases'!M323,"")</f>
        <v/>
      </c>
    </row>
    <row r="324" spans="1:13" x14ac:dyDescent="0.35">
      <c r="A324" s="10" t="str">
        <f>IF('All Cases - Enter Cases'!$F324="Sindh",'All Cases - Enter Cases'!A324,"")</f>
        <v/>
      </c>
      <c r="B324" t="str">
        <f>IF($A324&lt;&gt;"",'All Cases - Enter Cases'!B324,"")</f>
        <v/>
      </c>
      <c r="C324" t="str">
        <f>IF($A324&lt;&gt;"",'All Cases - Enter Cases'!C324,"")</f>
        <v/>
      </c>
      <c r="D324" t="str">
        <f>IF($A324&lt;&gt;"",'All Cases - Enter Cases'!D324,"")</f>
        <v/>
      </c>
      <c r="E324" t="str">
        <f>IF($A324&lt;&gt;"",'All Cases - Enter Cases'!E324,"")</f>
        <v/>
      </c>
      <c r="F324" t="str">
        <f>IF($A324&lt;&gt;"",'All Cases - Enter Cases'!F324,"")</f>
        <v/>
      </c>
      <c r="G324" t="str">
        <f>IF($A324&lt;&gt;"",'All Cases - Enter Cases'!G324,"")</f>
        <v/>
      </c>
      <c r="H324" t="str">
        <f>IF($A324&lt;&gt;"",'All Cases - Enter Cases'!H324,"")</f>
        <v/>
      </c>
      <c r="I324" t="str">
        <f>IF($A324&lt;&gt;"",'All Cases - Enter Cases'!I324,"")</f>
        <v/>
      </c>
      <c r="J324" t="str">
        <f>IF($A324&lt;&gt;"",'All Cases - Enter Cases'!J324,"")</f>
        <v/>
      </c>
      <c r="K324" s="4" t="str">
        <f>IF($A324&lt;&gt;"",'All Cases - Enter Cases'!K324,"")</f>
        <v/>
      </c>
      <c r="L324" t="str">
        <f>IF($A324&lt;&gt;"",'All Cases - Enter Cases'!L324,"")</f>
        <v/>
      </c>
      <c r="M324" t="str">
        <f>IF($A324&lt;&gt;"",'All Cases - Enter Cases'!M324,"")</f>
        <v/>
      </c>
    </row>
    <row r="325" spans="1:13" x14ac:dyDescent="0.35">
      <c r="A325" s="10" t="str">
        <f>IF('All Cases - Enter Cases'!$F325="Sindh",'All Cases - Enter Cases'!A325,"")</f>
        <v/>
      </c>
      <c r="B325" t="str">
        <f>IF($A325&lt;&gt;"",'All Cases - Enter Cases'!B325,"")</f>
        <v/>
      </c>
      <c r="C325" t="str">
        <f>IF($A325&lt;&gt;"",'All Cases - Enter Cases'!C325,"")</f>
        <v/>
      </c>
      <c r="D325" t="str">
        <f>IF($A325&lt;&gt;"",'All Cases - Enter Cases'!D325,"")</f>
        <v/>
      </c>
      <c r="E325" t="str">
        <f>IF($A325&lt;&gt;"",'All Cases - Enter Cases'!E325,"")</f>
        <v/>
      </c>
      <c r="F325" t="str">
        <f>IF($A325&lt;&gt;"",'All Cases - Enter Cases'!F325,"")</f>
        <v/>
      </c>
      <c r="G325" t="str">
        <f>IF($A325&lt;&gt;"",'All Cases - Enter Cases'!G325,"")</f>
        <v/>
      </c>
      <c r="H325" t="str">
        <f>IF($A325&lt;&gt;"",'All Cases - Enter Cases'!H325,"")</f>
        <v/>
      </c>
      <c r="I325" t="str">
        <f>IF($A325&lt;&gt;"",'All Cases - Enter Cases'!I325,"")</f>
        <v/>
      </c>
      <c r="J325" t="str">
        <f>IF($A325&lt;&gt;"",'All Cases - Enter Cases'!J325,"")</f>
        <v/>
      </c>
      <c r="K325" s="4" t="str">
        <f>IF($A325&lt;&gt;"",'All Cases - Enter Cases'!K325,"")</f>
        <v/>
      </c>
      <c r="L325" t="str">
        <f>IF($A325&lt;&gt;"",'All Cases - Enter Cases'!L325,"")</f>
        <v/>
      </c>
      <c r="M325" t="str">
        <f>IF($A325&lt;&gt;"",'All Cases - Enter Cases'!M325,"")</f>
        <v/>
      </c>
    </row>
    <row r="326" spans="1:13" x14ac:dyDescent="0.35">
      <c r="A326" s="10" t="str">
        <f>IF('All Cases - Enter Cases'!$F326="Sindh",'All Cases - Enter Cases'!A326,"")</f>
        <v/>
      </c>
      <c r="B326" t="str">
        <f>IF($A326&lt;&gt;"",'All Cases - Enter Cases'!B326,"")</f>
        <v/>
      </c>
      <c r="C326" t="str">
        <f>IF($A326&lt;&gt;"",'All Cases - Enter Cases'!C326,"")</f>
        <v/>
      </c>
      <c r="D326" t="str">
        <f>IF($A326&lt;&gt;"",'All Cases - Enter Cases'!D326,"")</f>
        <v/>
      </c>
      <c r="E326" t="str">
        <f>IF($A326&lt;&gt;"",'All Cases - Enter Cases'!E326,"")</f>
        <v/>
      </c>
      <c r="F326" t="str">
        <f>IF($A326&lt;&gt;"",'All Cases - Enter Cases'!F326,"")</f>
        <v/>
      </c>
      <c r="G326" t="str">
        <f>IF($A326&lt;&gt;"",'All Cases - Enter Cases'!G326,"")</f>
        <v/>
      </c>
      <c r="H326" t="str">
        <f>IF($A326&lt;&gt;"",'All Cases - Enter Cases'!H326,"")</f>
        <v/>
      </c>
      <c r="I326" t="str">
        <f>IF($A326&lt;&gt;"",'All Cases - Enter Cases'!I326,"")</f>
        <v/>
      </c>
      <c r="J326" t="str">
        <f>IF($A326&lt;&gt;"",'All Cases - Enter Cases'!J326,"")</f>
        <v/>
      </c>
      <c r="K326" s="4" t="str">
        <f>IF($A326&lt;&gt;"",'All Cases - Enter Cases'!K326,"")</f>
        <v/>
      </c>
      <c r="L326" t="str">
        <f>IF($A326&lt;&gt;"",'All Cases - Enter Cases'!L326,"")</f>
        <v/>
      </c>
      <c r="M326" t="str">
        <f>IF($A326&lt;&gt;"",'All Cases - Enter Cases'!M326,"")</f>
        <v/>
      </c>
    </row>
    <row r="327" spans="1:13" x14ac:dyDescent="0.35">
      <c r="A327" s="10" t="str">
        <f>IF('All Cases - Enter Cases'!$F327="Sindh",'All Cases - Enter Cases'!A327,"")</f>
        <v/>
      </c>
      <c r="B327" t="str">
        <f>IF($A327&lt;&gt;"",'All Cases - Enter Cases'!B327,"")</f>
        <v/>
      </c>
      <c r="C327" t="str">
        <f>IF($A327&lt;&gt;"",'All Cases - Enter Cases'!C327,"")</f>
        <v/>
      </c>
      <c r="D327" t="str">
        <f>IF($A327&lt;&gt;"",'All Cases - Enter Cases'!D327,"")</f>
        <v/>
      </c>
      <c r="E327" t="str">
        <f>IF($A327&lt;&gt;"",'All Cases - Enter Cases'!E327,"")</f>
        <v/>
      </c>
      <c r="F327" t="str">
        <f>IF($A327&lt;&gt;"",'All Cases - Enter Cases'!F327,"")</f>
        <v/>
      </c>
      <c r="G327" t="str">
        <f>IF($A327&lt;&gt;"",'All Cases - Enter Cases'!G327,"")</f>
        <v/>
      </c>
      <c r="H327" t="str">
        <f>IF($A327&lt;&gt;"",'All Cases - Enter Cases'!H327,"")</f>
        <v/>
      </c>
      <c r="I327" t="str">
        <f>IF($A327&lt;&gt;"",'All Cases - Enter Cases'!I327,"")</f>
        <v/>
      </c>
      <c r="J327" t="str">
        <f>IF($A327&lt;&gt;"",'All Cases - Enter Cases'!J327,"")</f>
        <v/>
      </c>
      <c r="K327" s="4" t="str">
        <f>IF($A327&lt;&gt;"",'All Cases - Enter Cases'!K327,"")</f>
        <v/>
      </c>
      <c r="L327" t="str">
        <f>IF($A327&lt;&gt;"",'All Cases - Enter Cases'!L327,"")</f>
        <v/>
      </c>
      <c r="M327" t="str">
        <f>IF($A327&lt;&gt;"",'All Cases - Enter Cases'!M327,"")</f>
        <v/>
      </c>
    </row>
    <row r="328" spans="1:13" x14ac:dyDescent="0.35">
      <c r="A328" s="10" t="str">
        <f>IF('All Cases - Enter Cases'!$F328="Sindh",'All Cases - Enter Cases'!A328,"")</f>
        <v/>
      </c>
      <c r="B328" t="str">
        <f>IF($A328&lt;&gt;"",'All Cases - Enter Cases'!B328,"")</f>
        <v/>
      </c>
      <c r="C328" t="str">
        <f>IF($A328&lt;&gt;"",'All Cases - Enter Cases'!C328,"")</f>
        <v/>
      </c>
      <c r="D328" t="str">
        <f>IF($A328&lt;&gt;"",'All Cases - Enter Cases'!D328,"")</f>
        <v/>
      </c>
      <c r="E328" t="str">
        <f>IF($A328&lt;&gt;"",'All Cases - Enter Cases'!E328,"")</f>
        <v/>
      </c>
      <c r="F328" t="str">
        <f>IF($A328&lt;&gt;"",'All Cases - Enter Cases'!F328,"")</f>
        <v/>
      </c>
      <c r="G328" t="str">
        <f>IF($A328&lt;&gt;"",'All Cases - Enter Cases'!G328,"")</f>
        <v/>
      </c>
      <c r="H328" t="str">
        <f>IF($A328&lt;&gt;"",'All Cases - Enter Cases'!H328,"")</f>
        <v/>
      </c>
      <c r="I328" t="str">
        <f>IF($A328&lt;&gt;"",'All Cases - Enter Cases'!I328,"")</f>
        <v/>
      </c>
      <c r="J328" t="str">
        <f>IF($A328&lt;&gt;"",'All Cases - Enter Cases'!J328,"")</f>
        <v/>
      </c>
      <c r="K328" s="4" t="str">
        <f>IF($A328&lt;&gt;"",'All Cases - Enter Cases'!K328,"")</f>
        <v/>
      </c>
      <c r="L328" t="str">
        <f>IF($A328&lt;&gt;"",'All Cases - Enter Cases'!L328,"")</f>
        <v/>
      </c>
      <c r="M328" t="str">
        <f>IF($A328&lt;&gt;"",'All Cases - Enter Cases'!M328,"")</f>
        <v/>
      </c>
    </row>
    <row r="329" spans="1:13" x14ac:dyDescent="0.35">
      <c r="A329" s="10" t="str">
        <f>IF('All Cases - Enter Cases'!$F329="Sindh",'All Cases - Enter Cases'!A329,"")</f>
        <v/>
      </c>
      <c r="B329" t="str">
        <f>IF($A329&lt;&gt;"",'All Cases - Enter Cases'!B329,"")</f>
        <v/>
      </c>
      <c r="C329" t="str">
        <f>IF($A329&lt;&gt;"",'All Cases - Enter Cases'!C329,"")</f>
        <v/>
      </c>
      <c r="D329" t="str">
        <f>IF($A329&lt;&gt;"",'All Cases - Enter Cases'!D329,"")</f>
        <v/>
      </c>
      <c r="E329" t="str">
        <f>IF($A329&lt;&gt;"",'All Cases - Enter Cases'!E329,"")</f>
        <v/>
      </c>
      <c r="F329" t="str">
        <f>IF($A329&lt;&gt;"",'All Cases - Enter Cases'!F329,"")</f>
        <v/>
      </c>
      <c r="G329" t="str">
        <f>IF($A329&lt;&gt;"",'All Cases - Enter Cases'!G329,"")</f>
        <v/>
      </c>
      <c r="H329" t="str">
        <f>IF($A329&lt;&gt;"",'All Cases - Enter Cases'!H329,"")</f>
        <v/>
      </c>
      <c r="I329" t="str">
        <f>IF($A329&lt;&gt;"",'All Cases - Enter Cases'!I329,"")</f>
        <v/>
      </c>
      <c r="J329" t="str">
        <f>IF($A329&lt;&gt;"",'All Cases - Enter Cases'!J329,"")</f>
        <v/>
      </c>
      <c r="K329" s="4" t="str">
        <f>IF($A329&lt;&gt;"",'All Cases - Enter Cases'!K329,"")</f>
        <v/>
      </c>
      <c r="L329" t="str">
        <f>IF($A329&lt;&gt;"",'All Cases - Enter Cases'!L329,"")</f>
        <v/>
      </c>
      <c r="M329" t="str">
        <f>IF($A329&lt;&gt;"",'All Cases - Enter Cases'!M329,"")</f>
        <v/>
      </c>
    </row>
    <row r="330" spans="1:13" x14ac:dyDescent="0.35">
      <c r="A330" s="10" t="str">
        <f>IF('All Cases - Enter Cases'!$F330="Sindh",'All Cases - Enter Cases'!A330,"")</f>
        <v/>
      </c>
      <c r="B330" t="str">
        <f>IF($A330&lt;&gt;"",'All Cases - Enter Cases'!B330,"")</f>
        <v/>
      </c>
      <c r="C330" t="str">
        <f>IF($A330&lt;&gt;"",'All Cases - Enter Cases'!C330,"")</f>
        <v/>
      </c>
      <c r="D330" t="str">
        <f>IF($A330&lt;&gt;"",'All Cases - Enter Cases'!D330,"")</f>
        <v/>
      </c>
      <c r="E330" t="str">
        <f>IF($A330&lt;&gt;"",'All Cases - Enter Cases'!E330,"")</f>
        <v/>
      </c>
      <c r="F330" t="str">
        <f>IF($A330&lt;&gt;"",'All Cases - Enter Cases'!F330,"")</f>
        <v/>
      </c>
      <c r="G330" t="str">
        <f>IF($A330&lt;&gt;"",'All Cases - Enter Cases'!G330,"")</f>
        <v/>
      </c>
      <c r="H330" t="str">
        <f>IF($A330&lt;&gt;"",'All Cases - Enter Cases'!H330,"")</f>
        <v/>
      </c>
      <c r="I330" t="str">
        <f>IF($A330&lt;&gt;"",'All Cases - Enter Cases'!I330,"")</f>
        <v/>
      </c>
      <c r="J330" t="str">
        <f>IF($A330&lt;&gt;"",'All Cases - Enter Cases'!J330,"")</f>
        <v/>
      </c>
      <c r="K330" s="4" t="str">
        <f>IF($A330&lt;&gt;"",'All Cases - Enter Cases'!K330,"")</f>
        <v/>
      </c>
      <c r="L330" t="str">
        <f>IF($A330&lt;&gt;"",'All Cases - Enter Cases'!L330,"")</f>
        <v/>
      </c>
      <c r="M330" t="str">
        <f>IF($A330&lt;&gt;"",'All Cases - Enter Cases'!M330,"")</f>
        <v/>
      </c>
    </row>
    <row r="331" spans="1:13" x14ac:dyDescent="0.35">
      <c r="A331" s="10" t="str">
        <f>IF('All Cases - Enter Cases'!$F331="Sindh",'All Cases - Enter Cases'!A331,"")</f>
        <v/>
      </c>
      <c r="B331" t="str">
        <f>IF($A331&lt;&gt;"",'All Cases - Enter Cases'!B331,"")</f>
        <v/>
      </c>
      <c r="C331" t="str">
        <f>IF($A331&lt;&gt;"",'All Cases - Enter Cases'!C331,"")</f>
        <v/>
      </c>
      <c r="D331" t="str">
        <f>IF($A331&lt;&gt;"",'All Cases - Enter Cases'!D331,"")</f>
        <v/>
      </c>
      <c r="E331" t="str">
        <f>IF($A331&lt;&gt;"",'All Cases - Enter Cases'!E331,"")</f>
        <v/>
      </c>
      <c r="F331" t="str">
        <f>IF($A331&lt;&gt;"",'All Cases - Enter Cases'!F331,"")</f>
        <v/>
      </c>
      <c r="G331" t="str">
        <f>IF($A331&lt;&gt;"",'All Cases - Enter Cases'!G331,"")</f>
        <v/>
      </c>
      <c r="H331" t="str">
        <f>IF($A331&lt;&gt;"",'All Cases - Enter Cases'!H331,"")</f>
        <v/>
      </c>
      <c r="I331" t="str">
        <f>IF($A331&lt;&gt;"",'All Cases - Enter Cases'!I331,"")</f>
        <v/>
      </c>
      <c r="J331" t="str">
        <f>IF($A331&lt;&gt;"",'All Cases - Enter Cases'!J331,"")</f>
        <v/>
      </c>
      <c r="K331" s="4" t="str">
        <f>IF($A331&lt;&gt;"",'All Cases - Enter Cases'!K331,"")</f>
        <v/>
      </c>
      <c r="L331" t="str">
        <f>IF($A331&lt;&gt;"",'All Cases - Enter Cases'!L331,"")</f>
        <v/>
      </c>
      <c r="M331" t="str">
        <f>IF($A331&lt;&gt;"",'All Cases - Enter Cases'!M331,"")</f>
        <v/>
      </c>
    </row>
    <row r="332" spans="1:13" x14ac:dyDescent="0.35">
      <c r="A332" s="10" t="str">
        <f>IF('All Cases - Enter Cases'!$F332="Sindh",'All Cases - Enter Cases'!A332,"")</f>
        <v/>
      </c>
      <c r="B332" t="str">
        <f>IF($A332&lt;&gt;"",'All Cases - Enter Cases'!B332,"")</f>
        <v/>
      </c>
      <c r="C332" t="str">
        <f>IF($A332&lt;&gt;"",'All Cases - Enter Cases'!C332,"")</f>
        <v/>
      </c>
      <c r="D332" t="str">
        <f>IF($A332&lt;&gt;"",'All Cases - Enter Cases'!D332,"")</f>
        <v/>
      </c>
      <c r="E332" t="str">
        <f>IF($A332&lt;&gt;"",'All Cases - Enter Cases'!E332,"")</f>
        <v/>
      </c>
      <c r="F332" t="str">
        <f>IF($A332&lt;&gt;"",'All Cases - Enter Cases'!F332,"")</f>
        <v/>
      </c>
      <c r="G332" t="str">
        <f>IF($A332&lt;&gt;"",'All Cases - Enter Cases'!G332,"")</f>
        <v/>
      </c>
      <c r="H332" t="str">
        <f>IF($A332&lt;&gt;"",'All Cases - Enter Cases'!H332,"")</f>
        <v/>
      </c>
      <c r="I332" t="str">
        <f>IF($A332&lt;&gt;"",'All Cases - Enter Cases'!I332,"")</f>
        <v/>
      </c>
      <c r="J332" t="str">
        <f>IF($A332&lt;&gt;"",'All Cases - Enter Cases'!J332,"")</f>
        <v/>
      </c>
      <c r="K332" s="4" t="str">
        <f>IF($A332&lt;&gt;"",'All Cases - Enter Cases'!K332,"")</f>
        <v/>
      </c>
      <c r="L332" t="str">
        <f>IF($A332&lt;&gt;"",'All Cases - Enter Cases'!L332,"")</f>
        <v/>
      </c>
      <c r="M332" t="str">
        <f>IF($A332&lt;&gt;"",'All Cases - Enter Cases'!M332,"")</f>
        <v/>
      </c>
    </row>
    <row r="333" spans="1:13" x14ac:dyDescent="0.35">
      <c r="A333" s="10" t="str">
        <f>IF('All Cases - Enter Cases'!$F333="Sindh",'All Cases - Enter Cases'!A333,"")</f>
        <v/>
      </c>
      <c r="B333" t="str">
        <f>IF($A333&lt;&gt;"",'All Cases - Enter Cases'!B333,"")</f>
        <v/>
      </c>
      <c r="C333" t="str">
        <f>IF($A333&lt;&gt;"",'All Cases - Enter Cases'!C333,"")</f>
        <v/>
      </c>
      <c r="D333" t="str">
        <f>IF($A333&lt;&gt;"",'All Cases - Enter Cases'!D333,"")</f>
        <v/>
      </c>
      <c r="E333" t="str">
        <f>IF($A333&lt;&gt;"",'All Cases - Enter Cases'!E333,"")</f>
        <v/>
      </c>
      <c r="F333" t="str">
        <f>IF($A333&lt;&gt;"",'All Cases - Enter Cases'!F333,"")</f>
        <v/>
      </c>
      <c r="G333" t="str">
        <f>IF($A333&lt;&gt;"",'All Cases - Enter Cases'!G333,"")</f>
        <v/>
      </c>
      <c r="H333" t="str">
        <f>IF($A333&lt;&gt;"",'All Cases - Enter Cases'!H333,"")</f>
        <v/>
      </c>
      <c r="I333" t="str">
        <f>IF($A333&lt;&gt;"",'All Cases - Enter Cases'!I333,"")</f>
        <v/>
      </c>
      <c r="J333" t="str">
        <f>IF($A333&lt;&gt;"",'All Cases - Enter Cases'!J333,"")</f>
        <v/>
      </c>
      <c r="K333" s="4" t="str">
        <f>IF($A333&lt;&gt;"",'All Cases - Enter Cases'!K333,"")</f>
        <v/>
      </c>
      <c r="L333" t="str">
        <f>IF($A333&lt;&gt;"",'All Cases - Enter Cases'!L333,"")</f>
        <v/>
      </c>
      <c r="M333" t="str">
        <f>IF($A333&lt;&gt;"",'All Cases - Enter Cases'!M333,"")</f>
        <v/>
      </c>
    </row>
    <row r="334" spans="1:13" x14ac:dyDescent="0.35">
      <c r="A334" s="10" t="str">
        <f>IF('All Cases - Enter Cases'!$F334="Sindh",'All Cases - Enter Cases'!A334,"")</f>
        <v/>
      </c>
      <c r="B334" t="str">
        <f>IF($A334&lt;&gt;"",'All Cases - Enter Cases'!B334,"")</f>
        <v/>
      </c>
      <c r="C334" t="str">
        <f>IF($A334&lt;&gt;"",'All Cases - Enter Cases'!C334,"")</f>
        <v/>
      </c>
      <c r="D334" t="str">
        <f>IF($A334&lt;&gt;"",'All Cases - Enter Cases'!D334,"")</f>
        <v/>
      </c>
      <c r="E334" t="str">
        <f>IF($A334&lt;&gt;"",'All Cases - Enter Cases'!E334,"")</f>
        <v/>
      </c>
      <c r="F334" t="str">
        <f>IF($A334&lt;&gt;"",'All Cases - Enter Cases'!F334,"")</f>
        <v/>
      </c>
      <c r="G334" t="str">
        <f>IF($A334&lt;&gt;"",'All Cases - Enter Cases'!G334,"")</f>
        <v/>
      </c>
      <c r="H334" t="str">
        <f>IF($A334&lt;&gt;"",'All Cases - Enter Cases'!H334,"")</f>
        <v/>
      </c>
      <c r="I334" t="str">
        <f>IF($A334&lt;&gt;"",'All Cases - Enter Cases'!I334,"")</f>
        <v/>
      </c>
      <c r="J334" t="str">
        <f>IF($A334&lt;&gt;"",'All Cases - Enter Cases'!J334,"")</f>
        <v/>
      </c>
      <c r="K334" s="4" t="str">
        <f>IF($A334&lt;&gt;"",'All Cases - Enter Cases'!K334,"")</f>
        <v/>
      </c>
      <c r="L334" t="str">
        <f>IF($A334&lt;&gt;"",'All Cases - Enter Cases'!L334,"")</f>
        <v/>
      </c>
      <c r="M334" t="str">
        <f>IF($A334&lt;&gt;"",'All Cases - Enter Cases'!M334,"")</f>
        <v/>
      </c>
    </row>
    <row r="335" spans="1:13" x14ac:dyDescent="0.35">
      <c r="A335" s="10" t="str">
        <f>IF('All Cases - Enter Cases'!$F335="Sindh",'All Cases - Enter Cases'!A335,"")</f>
        <v/>
      </c>
      <c r="B335" t="str">
        <f>IF($A335&lt;&gt;"",'All Cases - Enter Cases'!B335,"")</f>
        <v/>
      </c>
      <c r="C335" t="str">
        <f>IF($A335&lt;&gt;"",'All Cases - Enter Cases'!C335,"")</f>
        <v/>
      </c>
      <c r="D335" t="str">
        <f>IF($A335&lt;&gt;"",'All Cases - Enter Cases'!D335,"")</f>
        <v/>
      </c>
      <c r="E335" t="str">
        <f>IF($A335&lt;&gt;"",'All Cases - Enter Cases'!E335,"")</f>
        <v/>
      </c>
      <c r="F335" t="str">
        <f>IF($A335&lt;&gt;"",'All Cases - Enter Cases'!F335,"")</f>
        <v/>
      </c>
      <c r="G335" t="str">
        <f>IF($A335&lt;&gt;"",'All Cases - Enter Cases'!G335,"")</f>
        <v/>
      </c>
      <c r="H335" t="str">
        <f>IF($A335&lt;&gt;"",'All Cases - Enter Cases'!H335,"")</f>
        <v/>
      </c>
      <c r="I335" t="str">
        <f>IF($A335&lt;&gt;"",'All Cases - Enter Cases'!I335,"")</f>
        <v/>
      </c>
      <c r="J335" t="str">
        <f>IF($A335&lt;&gt;"",'All Cases - Enter Cases'!J335,"")</f>
        <v/>
      </c>
      <c r="K335" s="4" t="str">
        <f>IF($A335&lt;&gt;"",'All Cases - Enter Cases'!K335,"")</f>
        <v/>
      </c>
      <c r="L335" t="str">
        <f>IF($A335&lt;&gt;"",'All Cases - Enter Cases'!L335,"")</f>
        <v/>
      </c>
      <c r="M335" t="str">
        <f>IF($A335&lt;&gt;"",'All Cases - Enter Cases'!M335,"")</f>
        <v/>
      </c>
    </row>
    <row r="336" spans="1:13" x14ac:dyDescent="0.35">
      <c r="A336" s="10" t="str">
        <f>IF('All Cases - Enter Cases'!$F336="Sindh",'All Cases - Enter Cases'!A336,"")</f>
        <v/>
      </c>
      <c r="B336" t="str">
        <f>IF($A336&lt;&gt;"",'All Cases - Enter Cases'!B336,"")</f>
        <v/>
      </c>
      <c r="C336" t="str">
        <f>IF($A336&lt;&gt;"",'All Cases - Enter Cases'!C336,"")</f>
        <v/>
      </c>
      <c r="D336" t="str">
        <f>IF($A336&lt;&gt;"",'All Cases - Enter Cases'!D336,"")</f>
        <v/>
      </c>
      <c r="E336" t="str">
        <f>IF($A336&lt;&gt;"",'All Cases - Enter Cases'!E336,"")</f>
        <v/>
      </c>
      <c r="F336" t="str">
        <f>IF($A336&lt;&gt;"",'All Cases - Enter Cases'!F336,"")</f>
        <v/>
      </c>
      <c r="G336" t="str">
        <f>IF($A336&lt;&gt;"",'All Cases - Enter Cases'!G336,"")</f>
        <v/>
      </c>
      <c r="H336" t="str">
        <f>IF($A336&lt;&gt;"",'All Cases - Enter Cases'!H336,"")</f>
        <v/>
      </c>
      <c r="I336" t="str">
        <f>IF($A336&lt;&gt;"",'All Cases - Enter Cases'!I336,"")</f>
        <v/>
      </c>
      <c r="J336" t="str">
        <f>IF($A336&lt;&gt;"",'All Cases - Enter Cases'!J336,"")</f>
        <v/>
      </c>
      <c r="K336" s="4" t="str">
        <f>IF($A336&lt;&gt;"",'All Cases - Enter Cases'!K336,"")</f>
        <v/>
      </c>
      <c r="L336" t="str">
        <f>IF($A336&lt;&gt;"",'All Cases - Enter Cases'!L336,"")</f>
        <v/>
      </c>
      <c r="M336" t="str">
        <f>IF($A336&lt;&gt;"",'All Cases - Enter Cases'!M336,"")</f>
        <v/>
      </c>
    </row>
    <row r="337" spans="1:13" x14ac:dyDescent="0.35">
      <c r="A337" s="10" t="str">
        <f>IF('All Cases - Enter Cases'!$F337="Sindh",'All Cases - Enter Cases'!A337,"")</f>
        <v/>
      </c>
      <c r="B337" t="str">
        <f>IF($A337&lt;&gt;"",'All Cases - Enter Cases'!B337,"")</f>
        <v/>
      </c>
      <c r="C337" t="str">
        <f>IF($A337&lt;&gt;"",'All Cases - Enter Cases'!C337,"")</f>
        <v/>
      </c>
      <c r="D337" t="str">
        <f>IF($A337&lt;&gt;"",'All Cases - Enter Cases'!D337,"")</f>
        <v/>
      </c>
      <c r="E337" t="str">
        <f>IF($A337&lt;&gt;"",'All Cases - Enter Cases'!E337,"")</f>
        <v/>
      </c>
      <c r="F337" t="str">
        <f>IF($A337&lt;&gt;"",'All Cases - Enter Cases'!F337,"")</f>
        <v/>
      </c>
      <c r="G337" t="str">
        <f>IF($A337&lt;&gt;"",'All Cases - Enter Cases'!G337,"")</f>
        <v/>
      </c>
      <c r="H337" t="str">
        <f>IF($A337&lt;&gt;"",'All Cases - Enter Cases'!H337,"")</f>
        <v/>
      </c>
      <c r="I337" t="str">
        <f>IF($A337&lt;&gt;"",'All Cases - Enter Cases'!I337,"")</f>
        <v/>
      </c>
      <c r="J337" t="str">
        <f>IF($A337&lt;&gt;"",'All Cases - Enter Cases'!J337,"")</f>
        <v/>
      </c>
      <c r="K337" s="4" t="str">
        <f>IF($A337&lt;&gt;"",'All Cases - Enter Cases'!K337,"")</f>
        <v/>
      </c>
      <c r="L337" t="str">
        <f>IF($A337&lt;&gt;"",'All Cases - Enter Cases'!L337,"")</f>
        <v/>
      </c>
      <c r="M337" t="str">
        <f>IF($A337&lt;&gt;"",'All Cases - Enter Cases'!M337,"")</f>
        <v/>
      </c>
    </row>
    <row r="338" spans="1:13" x14ac:dyDescent="0.35">
      <c r="A338" s="10" t="str">
        <f>IF('All Cases - Enter Cases'!$F338="Sindh",'All Cases - Enter Cases'!A338,"")</f>
        <v/>
      </c>
      <c r="B338" t="str">
        <f>IF($A338&lt;&gt;"",'All Cases - Enter Cases'!B338,"")</f>
        <v/>
      </c>
      <c r="C338" t="str">
        <f>IF($A338&lt;&gt;"",'All Cases - Enter Cases'!C338,"")</f>
        <v/>
      </c>
      <c r="D338" t="str">
        <f>IF($A338&lt;&gt;"",'All Cases - Enter Cases'!D338,"")</f>
        <v/>
      </c>
      <c r="E338" t="str">
        <f>IF($A338&lt;&gt;"",'All Cases - Enter Cases'!E338,"")</f>
        <v/>
      </c>
      <c r="F338" t="str">
        <f>IF($A338&lt;&gt;"",'All Cases - Enter Cases'!F338,"")</f>
        <v/>
      </c>
      <c r="G338" t="str">
        <f>IF($A338&lt;&gt;"",'All Cases - Enter Cases'!G338,"")</f>
        <v/>
      </c>
      <c r="H338" t="str">
        <f>IF($A338&lt;&gt;"",'All Cases - Enter Cases'!H338,"")</f>
        <v/>
      </c>
      <c r="I338" t="str">
        <f>IF($A338&lt;&gt;"",'All Cases - Enter Cases'!I338,"")</f>
        <v/>
      </c>
      <c r="J338" t="str">
        <f>IF($A338&lt;&gt;"",'All Cases - Enter Cases'!J338,"")</f>
        <v/>
      </c>
      <c r="K338" s="4" t="str">
        <f>IF($A338&lt;&gt;"",'All Cases - Enter Cases'!K338,"")</f>
        <v/>
      </c>
      <c r="L338" t="str">
        <f>IF($A338&lt;&gt;"",'All Cases - Enter Cases'!L338,"")</f>
        <v/>
      </c>
      <c r="M338" t="str">
        <f>IF($A338&lt;&gt;"",'All Cases - Enter Cases'!M338,"")</f>
        <v/>
      </c>
    </row>
    <row r="339" spans="1:13" x14ac:dyDescent="0.35">
      <c r="A339" s="10" t="str">
        <f>IF('All Cases - Enter Cases'!$F339="Sindh",'All Cases - Enter Cases'!A339,"")</f>
        <v/>
      </c>
      <c r="B339" t="str">
        <f>IF($A339&lt;&gt;"",'All Cases - Enter Cases'!B339,"")</f>
        <v/>
      </c>
      <c r="C339" t="str">
        <f>IF($A339&lt;&gt;"",'All Cases - Enter Cases'!C339,"")</f>
        <v/>
      </c>
      <c r="D339" t="str">
        <f>IF($A339&lt;&gt;"",'All Cases - Enter Cases'!D339,"")</f>
        <v/>
      </c>
      <c r="E339" t="str">
        <f>IF($A339&lt;&gt;"",'All Cases - Enter Cases'!E339,"")</f>
        <v/>
      </c>
      <c r="F339" t="str">
        <f>IF($A339&lt;&gt;"",'All Cases - Enter Cases'!F339,"")</f>
        <v/>
      </c>
      <c r="G339" t="str">
        <f>IF($A339&lt;&gt;"",'All Cases - Enter Cases'!G339,"")</f>
        <v/>
      </c>
      <c r="H339" t="str">
        <f>IF($A339&lt;&gt;"",'All Cases - Enter Cases'!H339,"")</f>
        <v/>
      </c>
      <c r="I339" t="str">
        <f>IF($A339&lt;&gt;"",'All Cases - Enter Cases'!I339,"")</f>
        <v/>
      </c>
      <c r="J339" t="str">
        <f>IF($A339&lt;&gt;"",'All Cases - Enter Cases'!J339,"")</f>
        <v/>
      </c>
      <c r="K339" s="4" t="str">
        <f>IF($A339&lt;&gt;"",'All Cases - Enter Cases'!K339,"")</f>
        <v/>
      </c>
      <c r="L339" t="str">
        <f>IF($A339&lt;&gt;"",'All Cases - Enter Cases'!L339,"")</f>
        <v/>
      </c>
      <c r="M339" t="str">
        <f>IF($A339&lt;&gt;"",'All Cases - Enter Cases'!M339,"")</f>
        <v/>
      </c>
    </row>
    <row r="340" spans="1:13" x14ac:dyDescent="0.35">
      <c r="A340" s="10" t="str">
        <f>IF('All Cases - Enter Cases'!$F340="Sindh",'All Cases - Enter Cases'!A340,"")</f>
        <v/>
      </c>
      <c r="B340" t="str">
        <f>IF($A340&lt;&gt;"",'All Cases - Enter Cases'!B340,"")</f>
        <v/>
      </c>
      <c r="C340" t="str">
        <f>IF($A340&lt;&gt;"",'All Cases - Enter Cases'!C340,"")</f>
        <v/>
      </c>
      <c r="D340" t="str">
        <f>IF($A340&lt;&gt;"",'All Cases - Enter Cases'!D340,"")</f>
        <v/>
      </c>
      <c r="E340" t="str">
        <f>IF($A340&lt;&gt;"",'All Cases - Enter Cases'!E340,"")</f>
        <v/>
      </c>
      <c r="F340" t="str">
        <f>IF($A340&lt;&gt;"",'All Cases - Enter Cases'!F340,"")</f>
        <v/>
      </c>
      <c r="G340" t="str">
        <f>IF($A340&lt;&gt;"",'All Cases - Enter Cases'!G340,"")</f>
        <v/>
      </c>
      <c r="H340" t="str">
        <f>IF($A340&lt;&gt;"",'All Cases - Enter Cases'!H340,"")</f>
        <v/>
      </c>
      <c r="I340" t="str">
        <f>IF($A340&lt;&gt;"",'All Cases - Enter Cases'!I340,"")</f>
        <v/>
      </c>
      <c r="J340" t="str">
        <f>IF($A340&lt;&gt;"",'All Cases - Enter Cases'!J340,"")</f>
        <v/>
      </c>
      <c r="K340" s="4" t="str">
        <f>IF($A340&lt;&gt;"",'All Cases - Enter Cases'!K340,"")</f>
        <v/>
      </c>
      <c r="L340" t="str">
        <f>IF($A340&lt;&gt;"",'All Cases - Enter Cases'!L340,"")</f>
        <v/>
      </c>
      <c r="M340" t="str">
        <f>IF($A340&lt;&gt;"",'All Cases - Enter Cases'!M340,"")</f>
        <v/>
      </c>
    </row>
    <row r="341" spans="1:13" x14ac:dyDescent="0.35">
      <c r="A341" s="10" t="str">
        <f>IF('All Cases - Enter Cases'!$F341="Sindh",'All Cases - Enter Cases'!A341,"")</f>
        <v/>
      </c>
      <c r="B341" t="str">
        <f>IF($A341&lt;&gt;"",'All Cases - Enter Cases'!B341,"")</f>
        <v/>
      </c>
      <c r="C341" t="str">
        <f>IF($A341&lt;&gt;"",'All Cases - Enter Cases'!C341,"")</f>
        <v/>
      </c>
      <c r="D341" t="str">
        <f>IF($A341&lt;&gt;"",'All Cases - Enter Cases'!D341,"")</f>
        <v/>
      </c>
      <c r="E341" t="str">
        <f>IF($A341&lt;&gt;"",'All Cases - Enter Cases'!E341,"")</f>
        <v/>
      </c>
      <c r="F341" t="str">
        <f>IF($A341&lt;&gt;"",'All Cases - Enter Cases'!F341,"")</f>
        <v/>
      </c>
      <c r="G341" t="str">
        <f>IF($A341&lt;&gt;"",'All Cases - Enter Cases'!G341,"")</f>
        <v/>
      </c>
      <c r="H341" t="str">
        <f>IF($A341&lt;&gt;"",'All Cases - Enter Cases'!H341,"")</f>
        <v/>
      </c>
      <c r="I341" t="str">
        <f>IF($A341&lt;&gt;"",'All Cases - Enter Cases'!I341,"")</f>
        <v/>
      </c>
      <c r="J341" t="str">
        <f>IF($A341&lt;&gt;"",'All Cases - Enter Cases'!J341,"")</f>
        <v/>
      </c>
      <c r="K341" s="4" t="str">
        <f>IF($A341&lt;&gt;"",'All Cases - Enter Cases'!K341,"")</f>
        <v/>
      </c>
      <c r="L341" t="str">
        <f>IF($A341&lt;&gt;"",'All Cases - Enter Cases'!L341,"")</f>
        <v/>
      </c>
      <c r="M341" t="str">
        <f>IF($A341&lt;&gt;"",'All Cases - Enter Cases'!M341,"")</f>
        <v/>
      </c>
    </row>
    <row r="342" spans="1:13" x14ac:dyDescent="0.35">
      <c r="A342" s="10" t="str">
        <f>IF('All Cases - Enter Cases'!$F342="Sindh",'All Cases - Enter Cases'!A342,"")</f>
        <v/>
      </c>
      <c r="B342" t="str">
        <f>IF($A342&lt;&gt;"",'All Cases - Enter Cases'!B342,"")</f>
        <v/>
      </c>
      <c r="C342" t="str">
        <f>IF($A342&lt;&gt;"",'All Cases - Enter Cases'!C342,"")</f>
        <v/>
      </c>
      <c r="D342" t="str">
        <f>IF($A342&lt;&gt;"",'All Cases - Enter Cases'!D342,"")</f>
        <v/>
      </c>
      <c r="E342" t="str">
        <f>IF($A342&lt;&gt;"",'All Cases - Enter Cases'!E342,"")</f>
        <v/>
      </c>
      <c r="F342" t="str">
        <f>IF($A342&lt;&gt;"",'All Cases - Enter Cases'!F342,"")</f>
        <v/>
      </c>
      <c r="G342" t="str">
        <f>IF($A342&lt;&gt;"",'All Cases - Enter Cases'!G342,"")</f>
        <v/>
      </c>
      <c r="H342" t="str">
        <f>IF($A342&lt;&gt;"",'All Cases - Enter Cases'!H342,"")</f>
        <v/>
      </c>
      <c r="I342" t="str">
        <f>IF($A342&lt;&gt;"",'All Cases - Enter Cases'!I342,"")</f>
        <v/>
      </c>
      <c r="J342" t="str">
        <f>IF($A342&lt;&gt;"",'All Cases - Enter Cases'!J342,"")</f>
        <v/>
      </c>
      <c r="K342" s="4" t="str">
        <f>IF($A342&lt;&gt;"",'All Cases - Enter Cases'!K342,"")</f>
        <v/>
      </c>
      <c r="L342" t="str">
        <f>IF($A342&lt;&gt;"",'All Cases - Enter Cases'!L342,"")</f>
        <v/>
      </c>
      <c r="M342" t="str">
        <f>IF($A342&lt;&gt;"",'All Cases - Enter Cases'!M342,"")</f>
        <v/>
      </c>
    </row>
    <row r="343" spans="1:13" x14ac:dyDescent="0.35">
      <c r="A343" s="10" t="str">
        <f>IF('All Cases - Enter Cases'!$F343="Sindh",'All Cases - Enter Cases'!A343,"")</f>
        <v/>
      </c>
      <c r="B343" t="str">
        <f>IF($A343&lt;&gt;"",'All Cases - Enter Cases'!B343,"")</f>
        <v/>
      </c>
      <c r="C343" t="str">
        <f>IF($A343&lt;&gt;"",'All Cases - Enter Cases'!C343,"")</f>
        <v/>
      </c>
      <c r="D343" t="str">
        <f>IF($A343&lt;&gt;"",'All Cases - Enter Cases'!D343,"")</f>
        <v/>
      </c>
      <c r="E343" t="str">
        <f>IF($A343&lt;&gt;"",'All Cases - Enter Cases'!E343,"")</f>
        <v/>
      </c>
      <c r="F343" t="str">
        <f>IF($A343&lt;&gt;"",'All Cases - Enter Cases'!F343,"")</f>
        <v/>
      </c>
      <c r="G343" t="str">
        <f>IF($A343&lt;&gt;"",'All Cases - Enter Cases'!G343,"")</f>
        <v/>
      </c>
      <c r="H343" t="str">
        <f>IF($A343&lt;&gt;"",'All Cases - Enter Cases'!H343,"")</f>
        <v/>
      </c>
      <c r="I343" t="str">
        <f>IF($A343&lt;&gt;"",'All Cases - Enter Cases'!I343,"")</f>
        <v/>
      </c>
      <c r="J343" t="str">
        <f>IF($A343&lt;&gt;"",'All Cases - Enter Cases'!J343,"")</f>
        <v/>
      </c>
      <c r="K343" s="4" t="str">
        <f>IF($A343&lt;&gt;"",'All Cases - Enter Cases'!K343,"")</f>
        <v/>
      </c>
      <c r="L343" t="str">
        <f>IF($A343&lt;&gt;"",'All Cases - Enter Cases'!L343,"")</f>
        <v/>
      </c>
      <c r="M343" t="str">
        <f>IF($A343&lt;&gt;"",'All Cases - Enter Cases'!M343,"")</f>
        <v/>
      </c>
    </row>
    <row r="344" spans="1:13" x14ac:dyDescent="0.35">
      <c r="A344" s="10" t="str">
        <f>IF('All Cases - Enter Cases'!$F344="Sindh",'All Cases - Enter Cases'!A344,"")</f>
        <v/>
      </c>
      <c r="B344" t="str">
        <f>IF($A344&lt;&gt;"",'All Cases - Enter Cases'!B344,"")</f>
        <v/>
      </c>
      <c r="C344" t="str">
        <f>IF($A344&lt;&gt;"",'All Cases - Enter Cases'!C344,"")</f>
        <v/>
      </c>
      <c r="D344" t="str">
        <f>IF($A344&lt;&gt;"",'All Cases - Enter Cases'!D344,"")</f>
        <v/>
      </c>
      <c r="E344" t="str">
        <f>IF($A344&lt;&gt;"",'All Cases - Enter Cases'!E344,"")</f>
        <v/>
      </c>
      <c r="F344" t="str">
        <f>IF($A344&lt;&gt;"",'All Cases - Enter Cases'!F344,"")</f>
        <v/>
      </c>
      <c r="G344" t="str">
        <f>IF($A344&lt;&gt;"",'All Cases - Enter Cases'!G344,"")</f>
        <v/>
      </c>
      <c r="H344" t="str">
        <f>IF($A344&lt;&gt;"",'All Cases - Enter Cases'!H344,"")</f>
        <v/>
      </c>
      <c r="I344" t="str">
        <f>IF($A344&lt;&gt;"",'All Cases - Enter Cases'!I344,"")</f>
        <v/>
      </c>
      <c r="J344" t="str">
        <f>IF($A344&lt;&gt;"",'All Cases - Enter Cases'!J344,"")</f>
        <v/>
      </c>
      <c r="K344" s="4" t="str">
        <f>IF($A344&lt;&gt;"",'All Cases - Enter Cases'!K344,"")</f>
        <v/>
      </c>
      <c r="L344" t="str">
        <f>IF($A344&lt;&gt;"",'All Cases - Enter Cases'!L344,"")</f>
        <v/>
      </c>
      <c r="M344" t="str">
        <f>IF($A344&lt;&gt;"",'All Cases - Enter Cases'!M344,"")</f>
        <v/>
      </c>
    </row>
    <row r="345" spans="1:13" x14ac:dyDescent="0.35">
      <c r="A345" s="10" t="str">
        <f>IF('All Cases - Enter Cases'!$F345="Sindh",'All Cases - Enter Cases'!A345,"")</f>
        <v/>
      </c>
      <c r="B345" t="str">
        <f>IF($A345&lt;&gt;"",'All Cases - Enter Cases'!B345,"")</f>
        <v/>
      </c>
      <c r="C345" t="str">
        <f>IF($A345&lt;&gt;"",'All Cases - Enter Cases'!C345,"")</f>
        <v/>
      </c>
      <c r="D345" t="str">
        <f>IF($A345&lt;&gt;"",'All Cases - Enter Cases'!D345,"")</f>
        <v/>
      </c>
      <c r="E345" t="str">
        <f>IF($A345&lt;&gt;"",'All Cases - Enter Cases'!E345,"")</f>
        <v/>
      </c>
      <c r="F345" t="str">
        <f>IF($A345&lt;&gt;"",'All Cases - Enter Cases'!F345,"")</f>
        <v/>
      </c>
      <c r="G345" t="str">
        <f>IF($A345&lt;&gt;"",'All Cases - Enter Cases'!G345,"")</f>
        <v/>
      </c>
      <c r="H345" t="str">
        <f>IF($A345&lt;&gt;"",'All Cases - Enter Cases'!H345,"")</f>
        <v/>
      </c>
      <c r="I345" t="str">
        <f>IF($A345&lt;&gt;"",'All Cases - Enter Cases'!I345,"")</f>
        <v/>
      </c>
      <c r="J345" t="str">
        <f>IF($A345&lt;&gt;"",'All Cases - Enter Cases'!J345,"")</f>
        <v/>
      </c>
      <c r="K345" s="4" t="str">
        <f>IF($A345&lt;&gt;"",'All Cases - Enter Cases'!K345,"")</f>
        <v/>
      </c>
      <c r="L345" t="str">
        <f>IF($A345&lt;&gt;"",'All Cases - Enter Cases'!L345,"")</f>
        <v/>
      </c>
      <c r="M345" t="str">
        <f>IF($A345&lt;&gt;"",'All Cases - Enter Cases'!M345,"")</f>
        <v/>
      </c>
    </row>
    <row r="346" spans="1:13" x14ac:dyDescent="0.35">
      <c r="A346" s="10" t="str">
        <f>IF('All Cases - Enter Cases'!$F346="Sindh",'All Cases - Enter Cases'!A346,"")</f>
        <v/>
      </c>
      <c r="B346" t="str">
        <f>IF($A346&lt;&gt;"",'All Cases - Enter Cases'!B346,"")</f>
        <v/>
      </c>
      <c r="C346" t="str">
        <f>IF($A346&lt;&gt;"",'All Cases - Enter Cases'!C346,"")</f>
        <v/>
      </c>
      <c r="D346" t="str">
        <f>IF($A346&lt;&gt;"",'All Cases - Enter Cases'!D346,"")</f>
        <v/>
      </c>
      <c r="E346" t="str">
        <f>IF($A346&lt;&gt;"",'All Cases - Enter Cases'!E346,"")</f>
        <v/>
      </c>
      <c r="F346" t="str">
        <f>IF($A346&lt;&gt;"",'All Cases - Enter Cases'!F346,"")</f>
        <v/>
      </c>
      <c r="G346" t="str">
        <f>IF($A346&lt;&gt;"",'All Cases - Enter Cases'!G346,"")</f>
        <v/>
      </c>
      <c r="H346" t="str">
        <f>IF($A346&lt;&gt;"",'All Cases - Enter Cases'!H346,"")</f>
        <v/>
      </c>
      <c r="I346" t="str">
        <f>IF($A346&lt;&gt;"",'All Cases - Enter Cases'!I346,"")</f>
        <v/>
      </c>
      <c r="J346" t="str">
        <f>IF($A346&lt;&gt;"",'All Cases - Enter Cases'!J346,"")</f>
        <v/>
      </c>
      <c r="K346" s="4" t="str">
        <f>IF($A346&lt;&gt;"",'All Cases - Enter Cases'!K346,"")</f>
        <v/>
      </c>
      <c r="L346" t="str">
        <f>IF($A346&lt;&gt;"",'All Cases - Enter Cases'!L346,"")</f>
        <v/>
      </c>
      <c r="M346" t="str">
        <f>IF($A346&lt;&gt;"",'All Cases - Enter Cases'!M346,"")</f>
        <v/>
      </c>
    </row>
    <row r="347" spans="1:13" x14ac:dyDescent="0.35">
      <c r="A347" s="10" t="str">
        <f>IF('All Cases - Enter Cases'!$F347="Sindh",'All Cases - Enter Cases'!A347,"")</f>
        <v/>
      </c>
      <c r="B347" t="str">
        <f>IF($A347&lt;&gt;"",'All Cases - Enter Cases'!B347,"")</f>
        <v/>
      </c>
      <c r="C347" t="str">
        <f>IF($A347&lt;&gt;"",'All Cases - Enter Cases'!C347,"")</f>
        <v/>
      </c>
      <c r="D347" t="str">
        <f>IF($A347&lt;&gt;"",'All Cases - Enter Cases'!D347,"")</f>
        <v/>
      </c>
      <c r="E347" t="str">
        <f>IF($A347&lt;&gt;"",'All Cases - Enter Cases'!E347,"")</f>
        <v/>
      </c>
      <c r="F347" t="str">
        <f>IF($A347&lt;&gt;"",'All Cases - Enter Cases'!F347,"")</f>
        <v/>
      </c>
      <c r="G347" t="str">
        <f>IF($A347&lt;&gt;"",'All Cases - Enter Cases'!G347,"")</f>
        <v/>
      </c>
      <c r="H347" t="str">
        <f>IF($A347&lt;&gt;"",'All Cases - Enter Cases'!H347,"")</f>
        <v/>
      </c>
      <c r="I347" t="str">
        <f>IF($A347&lt;&gt;"",'All Cases - Enter Cases'!I347,"")</f>
        <v/>
      </c>
      <c r="J347" t="str">
        <f>IF($A347&lt;&gt;"",'All Cases - Enter Cases'!J347,"")</f>
        <v/>
      </c>
      <c r="K347" s="4" t="str">
        <f>IF($A347&lt;&gt;"",'All Cases - Enter Cases'!K347,"")</f>
        <v/>
      </c>
      <c r="L347" t="str">
        <f>IF($A347&lt;&gt;"",'All Cases - Enter Cases'!L347,"")</f>
        <v/>
      </c>
      <c r="M347" t="str">
        <f>IF($A347&lt;&gt;"",'All Cases - Enter Cases'!M347,"")</f>
        <v/>
      </c>
    </row>
    <row r="348" spans="1:13" x14ac:dyDescent="0.35">
      <c r="A348" s="10" t="str">
        <f>IF('All Cases - Enter Cases'!$F348="Sindh",'All Cases - Enter Cases'!A348,"")</f>
        <v/>
      </c>
      <c r="B348" t="str">
        <f>IF($A348&lt;&gt;"",'All Cases - Enter Cases'!B348,"")</f>
        <v/>
      </c>
      <c r="C348" t="str">
        <f>IF($A348&lt;&gt;"",'All Cases - Enter Cases'!C348,"")</f>
        <v/>
      </c>
      <c r="D348" t="str">
        <f>IF($A348&lt;&gt;"",'All Cases - Enter Cases'!D348,"")</f>
        <v/>
      </c>
      <c r="E348" t="str">
        <f>IF($A348&lt;&gt;"",'All Cases - Enter Cases'!E348,"")</f>
        <v/>
      </c>
      <c r="F348" t="str">
        <f>IF($A348&lt;&gt;"",'All Cases - Enter Cases'!F348,"")</f>
        <v/>
      </c>
      <c r="G348" t="str">
        <f>IF($A348&lt;&gt;"",'All Cases - Enter Cases'!G348,"")</f>
        <v/>
      </c>
      <c r="H348" t="str">
        <f>IF($A348&lt;&gt;"",'All Cases - Enter Cases'!H348,"")</f>
        <v/>
      </c>
      <c r="I348" t="str">
        <f>IF($A348&lt;&gt;"",'All Cases - Enter Cases'!I348,"")</f>
        <v/>
      </c>
      <c r="J348" t="str">
        <f>IF($A348&lt;&gt;"",'All Cases - Enter Cases'!J348,"")</f>
        <v/>
      </c>
      <c r="K348" s="4" t="str">
        <f>IF($A348&lt;&gt;"",'All Cases - Enter Cases'!K348,"")</f>
        <v/>
      </c>
      <c r="L348" t="str">
        <f>IF($A348&lt;&gt;"",'All Cases - Enter Cases'!L348,"")</f>
        <v/>
      </c>
      <c r="M348" t="str">
        <f>IF($A348&lt;&gt;"",'All Cases - Enter Cases'!M348,"")</f>
        <v/>
      </c>
    </row>
    <row r="349" spans="1:13" x14ac:dyDescent="0.35">
      <c r="A349" s="10" t="str">
        <f>IF('All Cases - Enter Cases'!$F349="Sindh",'All Cases - Enter Cases'!A349,"")</f>
        <v/>
      </c>
      <c r="B349" t="str">
        <f>IF($A349&lt;&gt;"",'All Cases - Enter Cases'!B349,"")</f>
        <v/>
      </c>
      <c r="C349" t="str">
        <f>IF($A349&lt;&gt;"",'All Cases - Enter Cases'!C349,"")</f>
        <v/>
      </c>
      <c r="D349" t="str">
        <f>IF($A349&lt;&gt;"",'All Cases - Enter Cases'!D349,"")</f>
        <v/>
      </c>
      <c r="E349" t="str">
        <f>IF($A349&lt;&gt;"",'All Cases - Enter Cases'!E349,"")</f>
        <v/>
      </c>
      <c r="F349" t="str">
        <f>IF($A349&lt;&gt;"",'All Cases - Enter Cases'!F349,"")</f>
        <v/>
      </c>
      <c r="G349" t="str">
        <f>IF($A349&lt;&gt;"",'All Cases - Enter Cases'!G349,"")</f>
        <v/>
      </c>
      <c r="H349" t="str">
        <f>IF($A349&lt;&gt;"",'All Cases - Enter Cases'!H349,"")</f>
        <v/>
      </c>
      <c r="I349" t="str">
        <f>IF($A349&lt;&gt;"",'All Cases - Enter Cases'!I349,"")</f>
        <v/>
      </c>
      <c r="J349" t="str">
        <f>IF($A349&lt;&gt;"",'All Cases - Enter Cases'!J349,"")</f>
        <v/>
      </c>
      <c r="K349" s="4" t="str">
        <f>IF($A349&lt;&gt;"",'All Cases - Enter Cases'!K349,"")</f>
        <v/>
      </c>
      <c r="L349" t="str">
        <f>IF($A349&lt;&gt;"",'All Cases - Enter Cases'!L349,"")</f>
        <v/>
      </c>
      <c r="M349" t="str">
        <f>IF($A349&lt;&gt;"",'All Cases - Enter Cases'!M349,"")</f>
        <v/>
      </c>
    </row>
    <row r="350" spans="1:13" x14ac:dyDescent="0.35">
      <c r="A350" s="10" t="str">
        <f>IF('All Cases - Enter Cases'!$F350="Sindh",'All Cases - Enter Cases'!A350,"")</f>
        <v/>
      </c>
      <c r="B350" t="str">
        <f>IF($A350&lt;&gt;"",'All Cases - Enter Cases'!B350,"")</f>
        <v/>
      </c>
      <c r="C350" t="str">
        <f>IF($A350&lt;&gt;"",'All Cases - Enter Cases'!C350,"")</f>
        <v/>
      </c>
      <c r="D350" t="str">
        <f>IF($A350&lt;&gt;"",'All Cases - Enter Cases'!D350,"")</f>
        <v/>
      </c>
      <c r="E350" t="str">
        <f>IF($A350&lt;&gt;"",'All Cases - Enter Cases'!E350,"")</f>
        <v/>
      </c>
      <c r="F350" t="str">
        <f>IF($A350&lt;&gt;"",'All Cases - Enter Cases'!F350,"")</f>
        <v/>
      </c>
      <c r="G350" t="str">
        <f>IF($A350&lt;&gt;"",'All Cases - Enter Cases'!G350,"")</f>
        <v/>
      </c>
      <c r="H350" t="str">
        <f>IF($A350&lt;&gt;"",'All Cases - Enter Cases'!H350,"")</f>
        <v/>
      </c>
      <c r="I350" t="str">
        <f>IF($A350&lt;&gt;"",'All Cases - Enter Cases'!I350,"")</f>
        <v/>
      </c>
      <c r="J350" t="str">
        <f>IF($A350&lt;&gt;"",'All Cases - Enter Cases'!J350,"")</f>
        <v/>
      </c>
      <c r="K350" s="4" t="str">
        <f>IF($A350&lt;&gt;"",'All Cases - Enter Cases'!K350,"")</f>
        <v/>
      </c>
      <c r="L350" t="str">
        <f>IF($A350&lt;&gt;"",'All Cases - Enter Cases'!L350,"")</f>
        <v/>
      </c>
      <c r="M350" t="str">
        <f>IF($A350&lt;&gt;"",'All Cases - Enter Cases'!M350,"")</f>
        <v/>
      </c>
    </row>
    <row r="351" spans="1:13" x14ac:dyDescent="0.35">
      <c r="A351" s="10" t="str">
        <f>IF('All Cases - Enter Cases'!$F351="Sindh",'All Cases - Enter Cases'!A351,"")</f>
        <v/>
      </c>
      <c r="B351" t="str">
        <f>IF($A351&lt;&gt;"",'All Cases - Enter Cases'!B351,"")</f>
        <v/>
      </c>
      <c r="C351" t="str">
        <f>IF($A351&lt;&gt;"",'All Cases - Enter Cases'!C351,"")</f>
        <v/>
      </c>
      <c r="D351" t="str">
        <f>IF($A351&lt;&gt;"",'All Cases - Enter Cases'!D351,"")</f>
        <v/>
      </c>
      <c r="E351" t="str">
        <f>IF($A351&lt;&gt;"",'All Cases - Enter Cases'!E351,"")</f>
        <v/>
      </c>
      <c r="F351" t="str">
        <f>IF($A351&lt;&gt;"",'All Cases - Enter Cases'!F351,"")</f>
        <v/>
      </c>
      <c r="G351" t="str">
        <f>IF($A351&lt;&gt;"",'All Cases - Enter Cases'!G351,"")</f>
        <v/>
      </c>
      <c r="H351" t="str">
        <f>IF($A351&lt;&gt;"",'All Cases - Enter Cases'!H351,"")</f>
        <v/>
      </c>
      <c r="I351" t="str">
        <f>IF($A351&lt;&gt;"",'All Cases - Enter Cases'!I351,"")</f>
        <v/>
      </c>
      <c r="J351" t="str">
        <f>IF($A351&lt;&gt;"",'All Cases - Enter Cases'!J351,"")</f>
        <v/>
      </c>
      <c r="K351" s="4" t="str">
        <f>IF($A351&lt;&gt;"",'All Cases - Enter Cases'!K351,"")</f>
        <v/>
      </c>
      <c r="L351" t="str">
        <f>IF($A351&lt;&gt;"",'All Cases - Enter Cases'!L351,"")</f>
        <v/>
      </c>
      <c r="M351" t="str">
        <f>IF($A351&lt;&gt;"",'All Cases - Enter Cases'!M351,"")</f>
        <v/>
      </c>
    </row>
    <row r="352" spans="1:13" x14ac:dyDescent="0.35">
      <c r="A352" s="10" t="str">
        <f>IF('All Cases - Enter Cases'!$F352="Sindh",'All Cases - Enter Cases'!A352,"")</f>
        <v/>
      </c>
      <c r="B352" t="str">
        <f>IF($A352&lt;&gt;"",'All Cases - Enter Cases'!B352,"")</f>
        <v/>
      </c>
      <c r="C352" t="str">
        <f>IF($A352&lt;&gt;"",'All Cases - Enter Cases'!C352,"")</f>
        <v/>
      </c>
      <c r="D352" t="str">
        <f>IF($A352&lt;&gt;"",'All Cases - Enter Cases'!D352,"")</f>
        <v/>
      </c>
      <c r="E352" t="str">
        <f>IF($A352&lt;&gt;"",'All Cases - Enter Cases'!E352,"")</f>
        <v/>
      </c>
      <c r="F352" t="str">
        <f>IF($A352&lt;&gt;"",'All Cases - Enter Cases'!F352,"")</f>
        <v/>
      </c>
      <c r="G352" t="str">
        <f>IF($A352&lt;&gt;"",'All Cases - Enter Cases'!G352,"")</f>
        <v/>
      </c>
      <c r="H352" t="str">
        <f>IF($A352&lt;&gt;"",'All Cases - Enter Cases'!H352,"")</f>
        <v/>
      </c>
      <c r="I352" t="str">
        <f>IF($A352&lt;&gt;"",'All Cases - Enter Cases'!I352,"")</f>
        <v/>
      </c>
      <c r="J352" t="str">
        <f>IF($A352&lt;&gt;"",'All Cases - Enter Cases'!J352,"")</f>
        <v/>
      </c>
      <c r="K352" s="4" t="str">
        <f>IF($A352&lt;&gt;"",'All Cases - Enter Cases'!K352,"")</f>
        <v/>
      </c>
      <c r="L352" t="str">
        <f>IF($A352&lt;&gt;"",'All Cases - Enter Cases'!L352,"")</f>
        <v/>
      </c>
      <c r="M352" t="str">
        <f>IF($A352&lt;&gt;"",'All Cases - Enter Cases'!M352,"")</f>
        <v/>
      </c>
    </row>
    <row r="353" spans="1:13" x14ac:dyDescent="0.35">
      <c r="A353" s="10" t="str">
        <f>IF('All Cases - Enter Cases'!$F353="Sindh",'All Cases - Enter Cases'!A353,"")</f>
        <v/>
      </c>
      <c r="B353" t="str">
        <f>IF($A353&lt;&gt;"",'All Cases - Enter Cases'!B353,"")</f>
        <v/>
      </c>
      <c r="C353" t="str">
        <f>IF($A353&lt;&gt;"",'All Cases - Enter Cases'!C353,"")</f>
        <v/>
      </c>
      <c r="D353" t="str">
        <f>IF($A353&lt;&gt;"",'All Cases - Enter Cases'!D353,"")</f>
        <v/>
      </c>
      <c r="E353" t="str">
        <f>IF($A353&lt;&gt;"",'All Cases - Enter Cases'!E353,"")</f>
        <v/>
      </c>
      <c r="F353" t="str">
        <f>IF($A353&lt;&gt;"",'All Cases - Enter Cases'!F353,"")</f>
        <v/>
      </c>
      <c r="G353" t="str">
        <f>IF($A353&lt;&gt;"",'All Cases - Enter Cases'!G353,"")</f>
        <v/>
      </c>
      <c r="H353" t="str">
        <f>IF($A353&lt;&gt;"",'All Cases - Enter Cases'!H353,"")</f>
        <v/>
      </c>
      <c r="I353" t="str">
        <f>IF($A353&lt;&gt;"",'All Cases - Enter Cases'!I353,"")</f>
        <v/>
      </c>
      <c r="J353" t="str">
        <f>IF($A353&lt;&gt;"",'All Cases - Enter Cases'!J353,"")</f>
        <v/>
      </c>
      <c r="K353" s="4" t="str">
        <f>IF($A353&lt;&gt;"",'All Cases - Enter Cases'!K353,"")</f>
        <v/>
      </c>
      <c r="L353" t="str">
        <f>IF($A353&lt;&gt;"",'All Cases - Enter Cases'!L353,"")</f>
        <v/>
      </c>
      <c r="M353" t="str">
        <f>IF($A353&lt;&gt;"",'All Cases - Enter Cases'!M353,"")</f>
        <v/>
      </c>
    </row>
    <row r="354" spans="1:13" x14ac:dyDescent="0.35">
      <c r="A354" s="10" t="str">
        <f>IF('All Cases - Enter Cases'!$F354="Sindh",'All Cases - Enter Cases'!A354,"")</f>
        <v/>
      </c>
      <c r="B354" t="str">
        <f>IF($A354&lt;&gt;"",'All Cases - Enter Cases'!B354,"")</f>
        <v/>
      </c>
      <c r="C354" t="str">
        <f>IF($A354&lt;&gt;"",'All Cases - Enter Cases'!C354,"")</f>
        <v/>
      </c>
      <c r="D354" t="str">
        <f>IF($A354&lt;&gt;"",'All Cases - Enter Cases'!D354,"")</f>
        <v/>
      </c>
      <c r="E354" t="str">
        <f>IF($A354&lt;&gt;"",'All Cases - Enter Cases'!E354,"")</f>
        <v/>
      </c>
      <c r="F354" t="str">
        <f>IF($A354&lt;&gt;"",'All Cases - Enter Cases'!F354,"")</f>
        <v/>
      </c>
      <c r="G354" t="str">
        <f>IF($A354&lt;&gt;"",'All Cases - Enter Cases'!G354,"")</f>
        <v/>
      </c>
      <c r="H354" t="str">
        <f>IF($A354&lt;&gt;"",'All Cases - Enter Cases'!H354,"")</f>
        <v/>
      </c>
      <c r="I354" t="str">
        <f>IF($A354&lt;&gt;"",'All Cases - Enter Cases'!I354,"")</f>
        <v/>
      </c>
      <c r="J354" t="str">
        <f>IF($A354&lt;&gt;"",'All Cases - Enter Cases'!J354,"")</f>
        <v/>
      </c>
      <c r="K354" s="4" t="str">
        <f>IF($A354&lt;&gt;"",'All Cases - Enter Cases'!K354,"")</f>
        <v/>
      </c>
      <c r="L354" t="str">
        <f>IF($A354&lt;&gt;"",'All Cases - Enter Cases'!L354,"")</f>
        <v/>
      </c>
      <c r="M354" t="str">
        <f>IF($A354&lt;&gt;"",'All Cases - Enter Cases'!M354,"")</f>
        <v/>
      </c>
    </row>
    <row r="355" spans="1:13" x14ac:dyDescent="0.35">
      <c r="A355" s="10" t="str">
        <f>IF('All Cases - Enter Cases'!$F355="Sindh",'All Cases - Enter Cases'!A355,"")</f>
        <v/>
      </c>
      <c r="B355" t="str">
        <f>IF($A355&lt;&gt;"",'All Cases - Enter Cases'!B355,"")</f>
        <v/>
      </c>
      <c r="C355" t="str">
        <f>IF($A355&lt;&gt;"",'All Cases - Enter Cases'!C355,"")</f>
        <v/>
      </c>
      <c r="D355" t="str">
        <f>IF($A355&lt;&gt;"",'All Cases - Enter Cases'!D355,"")</f>
        <v/>
      </c>
      <c r="E355" t="str">
        <f>IF($A355&lt;&gt;"",'All Cases - Enter Cases'!E355,"")</f>
        <v/>
      </c>
      <c r="F355" t="str">
        <f>IF($A355&lt;&gt;"",'All Cases - Enter Cases'!F355,"")</f>
        <v/>
      </c>
      <c r="G355" t="str">
        <f>IF($A355&lt;&gt;"",'All Cases - Enter Cases'!G355,"")</f>
        <v/>
      </c>
      <c r="H355" t="str">
        <f>IF($A355&lt;&gt;"",'All Cases - Enter Cases'!H355,"")</f>
        <v/>
      </c>
      <c r="I355" t="str">
        <f>IF($A355&lt;&gt;"",'All Cases - Enter Cases'!I355,"")</f>
        <v/>
      </c>
      <c r="J355" t="str">
        <f>IF($A355&lt;&gt;"",'All Cases - Enter Cases'!J355,"")</f>
        <v/>
      </c>
      <c r="K355" s="4" t="str">
        <f>IF($A355&lt;&gt;"",'All Cases - Enter Cases'!K355,"")</f>
        <v/>
      </c>
      <c r="L355" t="str">
        <f>IF($A355&lt;&gt;"",'All Cases - Enter Cases'!L355,"")</f>
        <v/>
      </c>
      <c r="M355" t="str">
        <f>IF($A355&lt;&gt;"",'All Cases - Enter Cases'!M355,"")</f>
        <v/>
      </c>
    </row>
    <row r="356" spans="1:13" x14ac:dyDescent="0.35">
      <c r="A356" s="10" t="str">
        <f>IF('All Cases - Enter Cases'!$F356="Sindh",'All Cases - Enter Cases'!A356,"")</f>
        <v/>
      </c>
      <c r="B356" t="str">
        <f>IF($A356&lt;&gt;"",'All Cases - Enter Cases'!B356,"")</f>
        <v/>
      </c>
      <c r="C356" t="str">
        <f>IF($A356&lt;&gt;"",'All Cases - Enter Cases'!C356,"")</f>
        <v/>
      </c>
      <c r="D356" t="str">
        <f>IF($A356&lt;&gt;"",'All Cases - Enter Cases'!D356,"")</f>
        <v/>
      </c>
      <c r="E356" t="str">
        <f>IF($A356&lt;&gt;"",'All Cases - Enter Cases'!E356,"")</f>
        <v/>
      </c>
      <c r="F356" t="str">
        <f>IF($A356&lt;&gt;"",'All Cases - Enter Cases'!F356,"")</f>
        <v/>
      </c>
      <c r="G356" t="str">
        <f>IF($A356&lt;&gt;"",'All Cases - Enter Cases'!G356,"")</f>
        <v/>
      </c>
      <c r="H356" t="str">
        <f>IF($A356&lt;&gt;"",'All Cases - Enter Cases'!H356,"")</f>
        <v/>
      </c>
      <c r="I356" t="str">
        <f>IF($A356&lt;&gt;"",'All Cases - Enter Cases'!I356,"")</f>
        <v/>
      </c>
      <c r="J356" t="str">
        <f>IF($A356&lt;&gt;"",'All Cases - Enter Cases'!J356,"")</f>
        <v/>
      </c>
      <c r="K356" s="4" t="str">
        <f>IF($A356&lt;&gt;"",'All Cases - Enter Cases'!K356,"")</f>
        <v/>
      </c>
      <c r="L356" t="str">
        <f>IF($A356&lt;&gt;"",'All Cases - Enter Cases'!L356,"")</f>
        <v/>
      </c>
      <c r="M356" t="str">
        <f>IF($A356&lt;&gt;"",'All Cases - Enter Cases'!M356,"")</f>
        <v/>
      </c>
    </row>
    <row r="357" spans="1:13" x14ac:dyDescent="0.35">
      <c r="A357" s="10" t="str">
        <f>IF('All Cases - Enter Cases'!$F357="Sindh",'All Cases - Enter Cases'!A357,"")</f>
        <v/>
      </c>
      <c r="B357" t="str">
        <f>IF($A357&lt;&gt;"",'All Cases - Enter Cases'!B357,"")</f>
        <v/>
      </c>
      <c r="C357" t="str">
        <f>IF($A357&lt;&gt;"",'All Cases - Enter Cases'!C357,"")</f>
        <v/>
      </c>
      <c r="D357" t="str">
        <f>IF($A357&lt;&gt;"",'All Cases - Enter Cases'!D357,"")</f>
        <v/>
      </c>
      <c r="E357" t="str">
        <f>IF($A357&lt;&gt;"",'All Cases - Enter Cases'!E357,"")</f>
        <v/>
      </c>
      <c r="F357" t="str">
        <f>IF($A357&lt;&gt;"",'All Cases - Enter Cases'!F357,"")</f>
        <v/>
      </c>
      <c r="G357" t="str">
        <f>IF($A357&lt;&gt;"",'All Cases - Enter Cases'!G357,"")</f>
        <v/>
      </c>
      <c r="H357" t="str">
        <f>IF($A357&lt;&gt;"",'All Cases - Enter Cases'!H357,"")</f>
        <v/>
      </c>
      <c r="I357" t="str">
        <f>IF($A357&lt;&gt;"",'All Cases - Enter Cases'!I357,"")</f>
        <v/>
      </c>
      <c r="J357" t="str">
        <f>IF($A357&lt;&gt;"",'All Cases - Enter Cases'!J357,"")</f>
        <v/>
      </c>
      <c r="K357" s="4" t="str">
        <f>IF($A357&lt;&gt;"",'All Cases - Enter Cases'!K357,"")</f>
        <v/>
      </c>
      <c r="L357" t="str">
        <f>IF($A357&lt;&gt;"",'All Cases - Enter Cases'!L357,"")</f>
        <v/>
      </c>
      <c r="M357" t="str">
        <f>IF($A357&lt;&gt;"",'All Cases - Enter Cases'!M357,"")</f>
        <v/>
      </c>
    </row>
    <row r="358" spans="1:13" x14ac:dyDescent="0.35">
      <c r="A358" s="10" t="str">
        <f>IF('All Cases - Enter Cases'!$F358="Sindh",'All Cases - Enter Cases'!A358,"")</f>
        <v/>
      </c>
      <c r="B358" t="str">
        <f>IF($A358&lt;&gt;"",'All Cases - Enter Cases'!B358,"")</f>
        <v/>
      </c>
      <c r="C358" t="str">
        <f>IF($A358&lt;&gt;"",'All Cases - Enter Cases'!C358,"")</f>
        <v/>
      </c>
      <c r="D358" t="str">
        <f>IF($A358&lt;&gt;"",'All Cases - Enter Cases'!D358,"")</f>
        <v/>
      </c>
      <c r="E358" t="str">
        <f>IF($A358&lt;&gt;"",'All Cases - Enter Cases'!E358,"")</f>
        <v/>
      </c>
      <c r="F358" t="str">
        <f>IF($A358&lt;&gt;"",'All Cases - Enter Cases'!F358,"")</f>
        <v/>
      </c>
      <c r="G358" t="str">
        <f>IF($A358&lt;&gt;"",'All Cases - Enter Cases'!G358,"")</f>
        <v/>
      </c>
      <c r="H358" t="str">
        <f>IF($A358&lt;&gt;"",'All Cases - Enter Cases'!H358,"")</f>
        <v/>
      </c>
      <c r="I358" t="str">
        <f>IF($A358&lt;&gt;"",'All Cases - Enter Cases'!I358,"")</f>
        <v/>
      </c>
      <c r="J358" t="str">
        <f>IF($A358&lt;&gt;"",'All Cases - Enter Cases'!J358,"")</f>
        <v/>
      </c>
      <c r="K358" s="4" t="str">
        <f>IF($A358&lt;&gt;"",'All Cases - Enter Cases'!K358,"")</f>
        <v/>
      </c>
      <c r="L358" t="str">
        <f>IF($A358&lt;&gt;"",'All Cases - Enter Cases'!L358,"")</f>
        <v/>
      </c>
      <c r="M358" t="str">
        <f>IF($A358&lt;&gt;"",'All Cases - Enter Cases'!M358,"")</f>
        <v/>
      </c>
    </row>
    <row r="359" spans="1:13" x14ac:dyDescent="0.35">
      <c r="A359" s="10" t="str">
        <f>IF('All Cases - Enter Cases'!$F359="Sindh",'All Cases - Enter Cases'!A359,"")</f>
        <v/>
      </c>
      <c r="B359" t="str">
        <f>IF($A359&lt;&gt;"",'All Cases - Enter Cases'!B359,"")</f>
        <v/>
      </c>
      <c r="C359" t="str">
        <f>IF($A359&lt;&gt;"",'All Cases - Enter Cases'!C359,"")</f>
        <v/>
      </c>
      <c r="D359" t="str">
        <f>IF($A359&lt;&gt;"",'All Cases - Enter Cases'!D359,"")</f>
        <v/>
      </c>
      <c r="E359" t="str">
        <f>IF($A359&lt;&gt;"",'All Cases - Enter Cases'!E359,"")</f>
        <v/>
      </c>
      <c r="F359" t="str">
        <f>IF($A359&lt;&gt;"",'All Cases - Enter Cases'!F359,"")</f>
        <v/>
      </c>
      <c r="G359" t="str">
        <f>IF($A359&lt;&gt;"",'All Cases - Enter Cases'!G359,"")</f>
        <v/>
      </c>
      <c r="H359" t="str">
        <f>IF($A359&lt;&gt;"",'All Cases - Enter Cases'!H359,"")</f>
        <v/>
      </c>
      <c r="I359" t="str">
        <f>IF($A359&lt;&gt;"",'All Cases - Enter Cases'!I359,"")</f>
        <v/>
      </c>
      <c r="J359" t="str">
        <f>IF($A359&lt;&gt;"",'All Cases - Enter Cases'!J359,"")</f>
        <v/>
      </c>
      <c r="K359" s="4" t="str">
        <f>IF($A359&lt;&gt;"",'All Cases - Enter Cases'!K359,"")</f>
        <v/>
      </c>
      <c r="L359" t="str">
        <f>IF($A359&lt;&gt;"",'All Cases - Enter Cases'!L359,"")</f>
        <v/>
      </c>
      <c r="M359" t="str">
        <f>IF($A359&lt;&gt;"",'All Cases - Enter Cases'!M359,"")</f>
        <v/>
      </c>
    </row>
    <row r="360" spans="1:13" x14ac:dyDescent="0.35">
      <c r="A360" s="10" t="str">
        <f>IF('All Cases - Enter Cases'!$F360="Sindh",'All Cases - Enter Cases'!A360,"")</f>
        <v/>
      </c>
      <c r="B360" t="str">
        <f>IF($A360&lt;&gt;"",'All Cases - Enter Cases'!B360,"")</f>
        <v/>
      </c>
      <c r="C360" t="str">
        <f>IF($A360&lt;&gt;"",'All Cases - Enter Cases'!C360,"")</f>
        <v/>
      </c>
      <c r="D360" t="str">
        <f>IF($A360&lt;&gt;"",'All Cases - Enter Cases'!D360,"")</f>
        <v/>
      </c>
      <c r="E360" t="str">
        <f>IF($A360&lt;&gt;"",'All Cases - Enter Cases'!E360,"")</f>
        <v/>
      </c>
      <c r="F360" t="str">
        <f>IF($A360&lt;&gt;"",'All Cases - Enter Cases'!F360,"")</f>
        <v/>
      </c>
      <c r="G360" t="str">
        <f>IF($A360&lt;&gt;"",'All Cases - Enter Cases'!G360,"")</f>
        <v/>
      </c>
      <c r="H360" t="str">
        <f>IF($A360&lt;&gt;"",'All Cases - Enter Cases'!H360,"")</f>
        <v/>
      </c>
      <c r="I360" t="str">
        <f>IF($A360&lt;&gt;"",'All Cases - Enter Cases'!I360,"")</f>
        <v/>
      </c>
      <c r="J360" t="str">
        <f>IF($A360&lt;&gt;"",'All Cases - Enter Cases'!J360,"")</f>
        <v/>
      </c>
      <c r="K360" s="4" t="str">
        <f>IF($A360&lt;&gt;"",'All Cases - Enter Cases'!K360,"")</f>
        <v/>
      </c>
      <c r="L360" t="str">
        <f>IF($A360&lt;&gt;"",'All Cases - Enter Cases'!L360,"")</f>
        <v/>
      </c>
      <c r="M360" t="str">
        <f>IF($A360&lt;&gt;"",'All Cases - Enter Cases'!M360,"")</f>
        <v/>
      </c>
    </row>
    <row r="361" spans="1:13" x14ac:dyDescent="0.35">
      <c r="A361" s="10" t="str">
        <f>IF('All Cases - Enter Cases'!$F361="Sindh",'All Cases - Enter Cases'!A361,"")</f>
        <v/>
      </c>
      <c r="B361" t="str">
        <f>IF($A361&lt;&gt;"",'All Cases - Enter Cases'!B361,"")</f>
        <v/>
      </c>
      <c r="C361" t="str">
        <f>IF($A361&lt;&gt;"",'All Cases - Enter Cases'!C361,"")</f>
        <v/>
      </c>
      <c r="D361" t="str">
        <f>IF($A361&lt;&gt;"",'All Cases - Enter Cases'!D361,"")</f>
        <v/>
      </c>
      <c r="E361" t="str">
        <f>IF($A361&lt;&gt;"",'All Cases - Enter Cases'!E361,"")</f>
        <v/>
      </c>
      <c r="F361" t="str">
        <f>IF($A361&lt;&gt;"",'All Cases - Enter Cases'!F361,"")</f>
        <v/>
      </c>
      <c r="G361" t="str">
        <f>IF($A361&lt;&gt;"",'All Cases - Enter Cases'!G361,"")</f>
        <v/>
      </c>
      <c r="H361" t="str">
        <f>IF($A361&lt;&gt;"",'All Cases - Enter Cases'!H361,"")</f>
        <v/>
      </c>
      <c r="I361" t="str">
        <f>IF($A361&lt;&gt;"",'All Cases - Enter Cases'!I361,"")</f>
        <v/>
      </c>
      <c r="J361" t="str">
        <f>IF($A361&lt;&gt;"",'All Cases - Enter Cases'!J361,"")</f>
        <v/>
      </c>
      <c r="K361" s="4" t="str">
        <f>IF($A361&lt;&gt;"",'All Cases - Enter Cases'!K361,"")</f>
        <v/>
      </c>
      <c r="L361" t="str">
        <f>IF($A361&lt;&gt;"",'All Cases - Enter Cases'!L361,"")</f>
        <v/>
      </c>
      <c r="M361" t="str">
        <f>IF($A361&lt;&gt;"",'All Cases - Enter Cases'!M361,"")</f>
        <v/>
      </c>
    </row>
    <row r="362" spans="1:13" x14ac:dyDescent="0.35">
      <c r="A362" s="10" t="str">
        <f>IF('All Cases - Enter Cases'!$F362="Sindh",'All Cases - Enter Cases'!A362,"")</f>
        <v/>
      </c>
      <c r="B362" t="str">
        <f>IF($A362&lt;&gt;"",'All Cases - Enter Cases'!B362,"")</f>
        <v/>
      </c>
      <c r="C362" t="str">
        <f>IF($A362&lt;&gt;"",'All Cases - Enter Cases'!C362,"")</f>
        <v/>
      </c>
      <c r="D362" t="str">
        <f>IF($A362&lt;&gt;"",'All Cases - Enter Cases'!D362,"")</f>
        <v/>
      </c>
      <c r="E362" t="str">
        <f>IF($A362&lt;&gt;"",'All Cases - Enter Cases'!E362,"")</f>
        <v/>
      </c>
      <c r="F362" t="str">
        <f>IF($A362&lt;&gt;"",'All Cases - Enter Cases'!F362,"")</f>
        <v/>
      </c>
      <c r="G362" t="str">
        <f>IF($A362&lt;&gt;"",'All Cases - Enter Cases'!G362,"")</f>
        <v/>
      </c>
      <c r="H362" t="str">
        <f>IF($A362&lt;&gt;"",'All Cases - Enter Cases'!H362,"")</f>
        <v/>
      </c>
      <c r="I362" t="str">
        <f>IF($A362&lt;&gt;"",'All Cases - Enter Cases'!I362,"")</f>
        <v/>
      </c>
      <c r="J362" t="str">
        <f>IF($A362&lt;&gt;"",'All Cases - Enter Cases'!J362,"")</f>
        <v/>
      </c>
      <c r="K362" s="4" t="str">
        <f>IF($A362&lt;&gt;"",'All Cases - Enter Cases'!K362,"")</f>
        <v/>
      </c>
      <c r="L362" t="str">
        <f>IF($A362&lt;&gt;"",'All Cases - Enter Cases'!L362,"")</f>
        <v/>
      </c>
      <c r="M362" t="str">
        <f>IF($A362&lt;&gt;"",'All Cases - Enter Cases'!M362,"")</f>
        <v/>
      </c>
    </row>
    <row r="363" spans="1:13" x14ac:dyDescent="0.35">
      <c r="A363" s="10" t="str">
        <f>IF('All Cases - Enter Cases'!$F363="Sindh",'All Cases - Enter Cases'!A363,"")</f>
        <v/>
      </c>
      <c r="B363" t="str">
        <f>IF($A363&lt;&gt;"",'All Cases - Enter Cases'!B363,"")</f>
        <v/>
      </c>
      <c r="C363" t="str">
        <f>IF($A363&lt;&gt;"",'All Cases - Enter Cases'!C363,"")</f>
        <v/>
      </c>
      <c r="D363" t="str">
        <f>IF($A363&lt;&gt;"",'All Cases - Enter Cases'!D363,"")</f>
        <v/>
      </c>
      <c r="E363" t="str">
        <f>IF($A363&lt;&gt;"",'All Cases - Enter Cases'!E363,"")</f>
        <v/>
      </c>
      <c r="F363" t="str">
        <f>IF($A363&lt;&gt;"",'All Cases - Enter Cases'!F363,"")</f>
        <v/>
      </c>
      <c r="G363" t="str">
        <f>IF($A363&lt;&gt;"",'All Cases - Enter Cases'!G363,"")</f>
        <v/>
      </c>
      <c r="H363" t="str">
        <f>IF($A363&lt;&gt;"",'All Cases - Enter Cases'!H363,"")</f>
        <v/>
      </c>
      <c r="I363" t="str">
        <f>IF($A363&lt;&gt;"",'All Cases - Enter Cases'!I363,"")</f>
        <v/>
      </c>
      <c r="J363" t="str">
        <f>IF($A363&lt;&gt;"",'All Cases - Enter Cases'!J363,"")</f>
        <v/>
      </c>
      <c r="K363" s="4" t="str">
        <f>IF($A363&lt;&gt;"",'All Cases - Enter Cases'!K363,"")</f>
        <v/>
      </c>
      <c r="L363" t="str">
        <f>IF($A363&lt;&gt;"",'All Cases - Enter Cases'!L363,"")</f>
        <v/>
      </c>
      <c r="M363" t="str">
        <f>IF($A363&lt;&gt;"",'All Cases - Enter Cases'!M363,"")</f>
        <v/>
      </c>
    </row>
    <row r="364" spans="1:13" x14ac:dyDescent="0.35">
      <c r="A364" s="10" t="str">
        <f>IF('All Cases - Enter Cases'!$F364="Sindh",'All Cases - Enter Cases'!A364,"")</f>
        <v/>
      </c>
      <c r="B364" t="str">
        <f>IF($A364&lt;&gt;"",'All Cases - Enter Cases'!B364,"")</f>
        <v/>
      </c>
      <c r="C364" t="str">
        <f>IF($A364&lt;&gt;"",'All Cases - Enter Cases'!C364,"")</f>
        <v/>
      </c>
      <c r="D364" t="str">
        <f>IF($A364&lt;&gt;"",'All Cases - Enter Cases'!D364,"")</f>
        <v/>
      </c>
      <c r="E364" t="str">
        <f>IF($A364&lt;&gt;"",'All Cases - Enter Cases'!E364,"")</f>
        <v/>
      </c>
      <c r="F364" t="str">
        <f>IF($A364&lt;&gt;"",'All Cases - Enter Cases'!F364,"")</f>
        <v/>
      </c>
      <c r="G364" t="str">
        <f>IF($A364&lt;&gt;"",'All Cases - Enter Cases'!G364,"")</f>
        <v/>
      </c>
      <c r="H364" t="str">
        <f>IF($A364&lt;&gt;"",'All Cases - Enter Cases'!H364,"")</f>
        <v/>
      </c>
      <c r="I364" t="str">
        <f>IF($A364&lt;&gt;"",'All Cases - Enter Cases'!I364,"")</f>
        <v/>
      </c>
      <c r="J364" t="str">
        <f>IF($A364&lt;&gt;"",'All Cases - Enter Cases'!J364,"")</f>
        <v/>
      </c>
      <c r="K364" s="4" t="str">
        <f>IF($A364&lt;&gt;"",'All Cases - Enter Cases'!K364,"")</f>
        <v/>
      </c>
      <c r="L364" t="str">
        <f>IF($A364&lt;&gt;"",'All Cases - Enter Cases'!L364,"")</f>
        <v/>
      </c>
      <c r="M364" t="str">
        <f>IF($A364&lt;&gt;"",'All Cases - Enter Cases'!M364,"")</f>
        <v/>
      </c>
    </row>
    <row r="365" spans="1:13" x14ac:dyDescent="0.35">
      <c r="A365" s="10" t="str">
        <f>IF('All Cases - Enter Cases'!$F365="Sindh",'All Cases - Enter Cases'!A365,"")</f>
        <v/>
      </c>
      <c r="B365" t="str">
        <f>IF($A365&lt;&gt;"",'All Cases - Enter Cases'!B365,"")</f>
        <v/>
      </c>
      <c r="C365" t="str">
        <f>IF($A365&lt;&gt;"",'All Cases - Enter Cases'!C365,"")</f>
        <v/>
      </c>
      <c r="D365" t="str">
        <f>IF($A365&lt;&gt;"",'All Cases - Enter Cases'!D365,"")</f>
        <v/>
      </c>
      <c r="E365" t="str">
        <f>IF($A365&lt;&gt;"",'All Cases - Enter Cases'!E365,"")</f>
        <v/>
      </c>
      <c r="F365" t="str">
        <f>IF($A365&lt;&gt;"",'All Cases - Enter Cases'!F365,"")</f>
        <v/>
      </c>
      <c r="G365" t="str">
        <f>IF($A365&lt;&gt;"",'All Cases - Enter Cases'!G365,"")</f>
        <v/>
      </c>
      <c r="H365" t="str">
        <f>IF($A365&lt;&gt;"",'All Cases - Enter Cases'!H365,"")</f>
        <v/>
      </c>
      <c r="I365" t="str">
        <f>IF($A365&lt;&gt;"",'All Cases - Enter Cases'!I365,"")</f>
        <v/>
      </c>
      <c r="J365" t="str">
        <f>IF($A365&lt;&gt;"",'All Cases - Enter Cases'!J365,"")</f>
        <v/>
      </c>
      <c r="K365" s="4" t="str">
        <f>IF($A365&lt;&gt;"",'All Cases - Enter Cases'!K365,"")</f>
        <v/>
      </c>
      <c r="L365" t="str">
        <f>IF($A365&lt;&gt;"",'All Cases - Enter Cases'!L365,"")</f>
        <v/>
      </c>
      <c r="M365" t="str">
        <f>IF($A365&lt;&gt;"",'All Cases - Enter Cases'!M365,"")</f>
        <v/>
      </c>
    </row>
    <row r="366" spans="1:13" x14ac:dyDescent="0.35">
      <c r="A366" s="10" t="str">
        <f>IF('All Cases - Enter Cases'!$F366="Sindh",'All Cases - Enter Cases'!A366,"")</f>
        <v/>
      </c>
      <c r="B366" t="str">
        <f>IF($A366&lt;&gt;"",'All Cases - Enter Cases'!B366,"")</f>
        <v/>
      </c>
      <c r="C366" t="str">
        <f>IF($A366&lt;&gt;"",'All Cases - Enter Cases'!C366,"")</f>
        <v/>
      </c>
      <c r="D366" t="str">
        <f>IF($A366&lt;&gt;"",'All Cases - Enter Cases'!D366,"")</f>
        <v/>
      </c>
      <c r="E366" t="str">
        <f>IF($A366&lt;&gt;"",'All Cases - Enter Cases'!E366,"")</f>
        <v/>
      </c>
      <c r="F366" t="str">
        <f>IF($A366&lt;&gt;"",'All Cases - Enter Cases'!F366,"")</f>
        <v/>
      </c>
      <c r="G366" t="str">
        <f>IF($A366&lt;&gt;"",'All Cases - Enter Cases'!G366,"")</f>
        <v/>
      </c>
      <c r="H366" t="str">
        <f>IF($A366&lt;&gt;"",'All Cases - Enter Cases'!H366,"")</f>
        <v/>
      </c>
      <c r="I366" t="str">
        <f>IF($A366&lt;&gt;"",'All Cases - Enter Cases'!I366,"")</f>
        <v/>
      </c>
      <c r="J366" t="str">
        <f>IF($A366&lt;&gt;"",'All Cases - Enter Cases'!J366,"")</f>
        <v/>
      </c>
      <c r="K366" s="4" t="str">
        <f>IF($A366&lt;&gt;"",'All Cases - Enter Cases'!K366,"")</f>
        <v/>
      </c>
      <c r="L366" t="str">
        <f>IF($A366&lt;&gt;"",'All Cases - Enter Cases'!L366,"")</f>
        <v/>
      </c>
      <c r="M366" t="str">
        <f>IF($A366&lt;&gt;"",'All Cases - Enter Cases'!M366,"")</f>
        <v/>
      </c>
    </row>
    <row r="367" spans="1:13" x14ac:dyDescent="0.35">
      <c r="A367" s="10" t="str">
        <f>IF('All Cases - Enter Cases'!$F367="Sindh",'All Cases - Enter Cases'!A367,"")</f>
        <v/>
      </c>
      <c r="B367" t="str">
        <f>IF($A367&lt;&gt;"",'All Cases - Enter Cases'!B367,"")</f>
        <v/>
      </c>
      <c r="C367" t="str">
        <f>IF($A367&lt;&gt;"",'All Cases - Enter Cases'!C367,"")</f>
        <v/>
      </c>
      <c r="D367" t="str">
        <f>IF($A367&lt;&gt;"",'All Cases - Enter Cases'!D367,"")</f>
        <v/>
      </c>
      <c r="E367" t="str">
        <f>IF($A367&lt;&gt;"",'All Cases - Enter Cases'!E367,"")</f>
        <v/>
      </c>
      <c r="F367" t="str">
        <f>IF($A367&lt;&gt;"",'All Cases - Enter Cases'!F367,"")</f>
        <v/>
      </c>
      <c r="G367" t="str">
        <f>IF($A367&lt;&gt;"",'All Cases - Enter Cases'!G367,"")</f>
        <v/>
      </c>
      <c r="H367" t="str">
        <f>IF($A367&lt;&gt;"",'All Cases - Enter Cases'!H367,"")</f>
        <v/>
      </c>
      <c r="I367" t="str">
        <f>IF($A367&lt;&gt;"",'All Cases - Enter Cases'!I367,"")</f>
        <v/>
      </c>
      <c r="J367" t="str">
        <f>IF($A367&lt;&gt;"",'All Cases - Enter Cases'!J367,"")</f>
        <v/>
      </c>
      <c r="K367" s="4" t="str">
        <f>IF($A367&lt;&gt;"",'All Cases - Enter Cases'!K367,"")</f>
        <v/>
      </c>
      <c r="L367" t="str">
        <f>IF($A367&lt;&gt;"",'All Cases - Enter Cases'!L367,"")</f>
        <v/>
      </c>
      <c r="M367" t="str">
        <f>IF($A367&lt;&gt;"",'All Cases - Enter Cases'!M367,"")</f>
        <v/>
      </c>
    </row>
    <row r="368" spans="1:13" x14ac:dyDescent="0.35">
      <c r="A368" s="10" t="str">
        <f>IF('All Cases - Enter Cases'!$F368="Sindh",'All Cases - Enter Cases'!A368,"")</f>
        <v/>
      </c>
      <c r="B368" t="str">
        <f>IF($A368&lt;&gt;"",'All Cases - Enter Cases'!B368,"")</f>
        <v/>
      </c>
      <c r="C368" t="str">
        <f>IF($A368&lt;&gt;"",'All Cases - Enter Cases'!C368,"")</f>
        <v/>
      </c>
      <c r="D368" t="str">
        <f>IF($A368&lt;&gt;"",'All Cases - Enter Cases'!D368,"")</f>
        <v/>
      </c>
      <c r="E368" t="str">
        <f>IF($A368&lt;&gt;"",'All Cases - Enter Cases'!E368,"")</f>
        <v/>
      </c>
      <c r="F368" t="str">
        <f>IF($A368&lt;&gt;"",'All Cases - Enter Cases'!F368,"")</f>
        <v/>
      </c>
      <c r="G368" t="str">
        <f>IF($A368&lt;&gt;"",'All Cases - Enter Cases'!G368,"")</f>
        <v/>
      </c>
      <c r="H368" t="str">
        <f>IF($A368&lt;&gt;"",'All Cases - Enter Cases'!H368,"")</f>
        <v/>
      </c>
      <c r="I368" t="str">
        <f>IF($A368&lt;&gt;"",'All Cases - Enter Cases'!I368,"")</f>
        <v/>
      </c>
      <c r="J368" t="str">
        <f>IF($A368&lt;&gt;"",'All Cases - Enter Cases'!J368,"")</f>
        <v/>
      </c>
      <c r="K368" s="4" t="str">
        <f>IF($A368&lt;&gt;"",'All Cases - Enter Cases'!K368,"")</f>
        <v/>
      </c>
      <c r="L368" t="str">
        <f>IF($A368&lt;&gt;"",'All Cases - Enter Cases'!L368,"")</f>
        <v/>
      </c>
      <c r="M368" t="str">
        <f>IF($A368&lt;&gt;"",'All Cases - Enter Cases'!M368,"")</f>
        <v/>
      </c>
    </row>
    <row r="369" spans="1:13" x14ac:dyDescent="0.35">
      <c r="A369" s="10" t="str">
        <f>IF('All Cases - Enter Cases'!$F369="Sindh",'All Cases - Enter Cases'!A369,"")</f>
        <v/>
      </c>
      <c r="B369" t="str">
        <f>IF($A369&lt;&gt;"",'All Cases - Enter Cases'!B369,"")</f>
        <v/>
      </c>
      <c r="C369" t="str">
        <f>IF($A369&lt;&gt;"",'All Cases - Enter Cases'!C369,"")</f>
        <v/>
      </c>
      <c r="D369" t="str">
        <f>IF($A369&lt;&gt;"",'All Cases - Enter Cases'!D369,"")</f>
        <v/>
      </c>
      <c r="E369" t="str">
        <f>IF($A369&lt;&gt;"",'All Cases - Enter Cases'!E369,"")</f>
        <v/>
      </c>
      <c r="F369" t="str">
        <f>IF($A369&lt;&gt;"",'All Cases - Enter Cases'!F369,"")</f>
        <v/>
      </c>
      <c r="G369" t="str">
        <f>IF($A369&lt;&gt;"",'All Cases - Enter Cases'!G369,"")</f>
        <v/>
      </c>
      <c r="H369" t="str">
        <f>IF($A369&lt;&gt;"",'All Cases - Enter Cases'!H369,"")</f>
        <v/>
      </c>
      <c r="I369" t="str">
        <f>IF($A369&lt;&gt;"",'All Cases - Enter Cases'!I369,"")</f>
        <v/>
      </c>
      <c r="J369" t="str">
        <f>IF($A369&lt;&gt;"",'All Cases - Enter Cases'!J369,"")</f>
        <v/>
      </c>
      <c r="K369" s="4" t="str">
        <f>IF($A369&lt;&gt;"",'All Cases - Enter Cases'!K369,"")</f>
        <v/>
      </c>
      <c r="L369" t="str">
        <f>IF($A369&lt;&gt;"",'All Cases - Enter Cases'!L369,"")</f>
        <v/>
      </c>
      <c r="M369" t="str">
        <f>IF($A369&lt;&gt;"",'All Cases - Enter Cases'!M369,"")</f>
        <v/>
      </c>
    </row>
    <row r="370" spans="1:13" x14ac:dyDescent="0.35">
      <c r="A370" s="10" t="str">
        <f>IF('All Cases - Enter Cases'!$F370="Sindh",'All Cases - Enter Cases'!A370,"")</f>
        <v/>
      </c>
      <c r="B370" t="str">
        <f>IF($A370&lt;&gt;"",'All Cases - Enter Cases'!B370,"")</f>
        <v/>
      </c>
      <c r="C370" t="str">
        <f>IF($A370&lt;&gt;"",'All Cases - Enter Cases'!C370,"")</f>
        <v/>
      </c>
      <c r="D370" t="str">
        <f>IF($A370&lt;&gt;"",'All Cases - Enter Cases'!D370,"")</f>
        <v/>
      </c>
      <c r="E370" t="str">
        <f>IF($A370&lt;&gt;"",'All Cases - Enter Cases'!E370,"")</f>
        <v/>
      </c>
      <c r="F370" t="str">
        <f>IF($A370&lt;&gt;"",'All Cases - Enter Cases'!F370,"")</f>
        <v/>
      </c>
      <c r="G370" t="str">
        <f>IF($A370&lt;&gt;"",'All Cases - Enter Cases'!G370,"")</f>
        <v/>
      </c>
      <c r="H370" t="str">
        <f>IF($A370&lt;&gt;"",'All Cases - Enter Cases'!H370,"")</f>
        <v/>
      </c>
      <c r="I370" t="str">
        <f>IF($A370&lt;&gt;"",'All Cases - Enter Cases'!I370,"")</f>
        <v/>
      </c>
      <c r="J370" t="str">
        <f>IF($A370&lt;&gt;"",'All Cases - Enter Cases'!J370,"")</f>
        <v/>
      </c>
      <c r="K370" s="4" t="str">
        <f>IF($A370&lt;&gt;"",'All Cases - Enter Cases'!K370,"")</f>
        <v/>
      </c>
      <c r="L370" t="str">
        <f>IF($A370&lt;&gt;"",'All Cases - Enter Cases'!L370,"")</f>
        <v/>
      </c>
      <c r="M370" t="str">
        <f>IF($A370&lt;&gt;"",'All Cases - Enter Cases'!M370,"")</f>
        <v/>
      </c>
    </row>
    <row r="371" spans="1:13" x14ac:dyDescent="0.35">
      <c r="A371" s="10" t="str">
        <f>IF('All Cases - Enter Cases'!$F371="Sindh",'All Cases - Enter Cases'!A371,"")</f>
        <v/>
      </c>
      <c r="B371" t="str">
        <f>IF($A371&lt;&gt;"",'All Cases - Enter Cases'!B371,"")</f>
        <v/>
      </c>
      <c r="C371" t="str">
        <f>IF($A371&lt;&gt;"",'All Cases - Enter Cases'!C371,"")</f>
        <v/>
      </c>
      <c r="D371" t="str">
        <f>IF($A371&lt;&gt;"",'All Cases - Enter Cases'!D371,"")</f>
        <v/>
      </c>
      <c r="E371" t="str">
        <f>IF($A371&lt;&gt;"",'All Cases - Enter Cases'!E371,"")</f>
        <v/>
      </c>
      <c r="F371" t="str">
        <f>IF($A371&lt;&gt;"",'All Cases - Enter Cases'!F371,"")</f>
        <v/>
      </c>
      <c r="G371" t="str">
        <f>IF($A371&lt;&gt;"",'All Cases - Enter Cases'!G371,"")</f>
        <v/>
      </c>
      <c r="H371" t="str">
        <f>IF($A371&lt;&gt;"",'All Cases - Enter Cases'!H371,"")</f>
        <v/>
      </c>
      <c r="I371" t="str">
        <f>IF($A371&lt;&gt;"",'All Cases - Enter Cases'!I371,"")</f>
        <v/>
      </c>
      <c r="J371" t="str">
        <f>IF($A371&lt;&gt;"",'All Cases - Enter Cases'!J371,"")</f>
        <v/>
      </c>
      <c r="K371" s="4" t="str">
        <f>IF($A371&lt;&gt;"",'All Cases - Enter Cases'!K371,"")</f>
        <v/>
      </c>
      <c r="L371" t="str">
        <f>IF($A371&lt;&gt;"",'All Cases - Enter Cases'!L371,"")</f>
        <v/>
      </c>
      <c r="M371" t="str">
        <f>IF($A371&lt;&gt;"",'All Cases - Enter Cases'!M371,"")</f>
        <v/>
      </c>
    </row>
    <row r="372" spans="1:13" x14ac:dyDescent="0.35">
      <c r="A372" s="10" t="str">
        <f>IF('All Cases - Enter Cases'!$F372="Sindh",'All Cases - Enter Cases'!A372,"")</f>
        <v/>
      </c>
      <c r="B372" t="str">
        <f>IF($A372&lt;&gt;"",'All Cases - Enter Cases'!B372,"")</f>
        <v/>
      </c>
      <c r="C372" t="str">
        <f>IF($A372&lt;&gt;"",'All Cases - Enter Cases'!C372,"")</f>
        <v/>
      </c>
      <c r="D372" t="str">
        <f>IF($A372&lt;&gt;"",'All Cases - Enter Cases'!D372,"")</f>
        <v/>
      </c>
      <c r="E372" t="str">
        <f>IF($A372&lt;&gt;"",'All Cases - Enter Cases'!E372,"")</f>
        <v/>
      </c>
      <c r="F372" t="str">
        <f>IF($A372&lt;&gt;"",'All Cases - Enter Cases'!F372,"")</f>
        <v/>
      </c>
      <c r="G372" t="str">
        <f>IF($A372&lt;&gt;"",'All Cases - Enter Cases'!G372,"")</f>
        <v/>
      </c>
      <c r="H372" t="str">
        <f>IF($A372&lt;&gt;"",'All Cases - Enter Cases'!H372,"")</f>
        <v/>
      </c>
      <c r="I372" t="str">
        <f>IF($A372&lt;&gt;"",'All Cases - Enter Cases'!I372,"")</f>
        <v/>
      </c>
      <c r="J372" t="str">
        <f>IF($A372&lt;&gt;"",'All Cases - Enter Cases'!J372,"")</f>
        <v/>
      </c>
      <c r="K372" s="4" t="str">
        <f>IF($A372&lt;&gt;"",'All Cases - Enter Cases'!K372,"")</f>
        <v/>
      </c>
      <c r="L372" t="str">
        <f>IF($A372&lt;&gt;"",'All Cases - Enter Cases'!L372,"")</f>
        <v/>
      </c>
      <c r="M372" t="str">
        <f>IF($A372&lt;&gt;"",'All Cases - Enter Cases'!M372,"")</f>
        <v/>
      </c>
    </row>
    <row r="373" spans="1:13" x14ac:dyDescent="0.35">
      <c r="A373" s="10" t="str">
        <f>IF('All Cases - Enter Cases'!$F373="Sindh",'All Cases - Enter Cases'!A373,"")</f>
        <v/>
      </c>
      <c r="B373" t="str">
        <f>IF($A373&lt;&gt;"",'All Cases - Enter Cases'!B373,"")</f>
        <v/>
      </c>
      <c r="C373" t="str">
        <f>IF($A373&lt;&gt;"",'All Cases - Enter Cases'!C373,"")</f>
        <v/>
      </c>
      <c r="D373" t="str">
        <f>IF($A373&lt;&gt;"",'All Cases - Enter Cases'!D373,"")</f>
        <v/>
      </c>
      <c r="E373" t="str">
        <f>IF($A373&lt;&gt;"",'All Cases - Enter Cases'!E373,"")</f>
        <v/>
      </c>
      <c r="F373" t="str">
        <f>IF($A373&lt;&gt;"",'All Cases - Enter Cases'!F373,"")</f>
        <v/>
      </c>
      <c r="G373" t="str">
        <f>IF($A373&lt;&gt;"",'All Cases - Enter Cases'!G373,"")</f>
        <v/>
      </c>
      <c r="H373" t="str">
        <f>IF($A373&lt;&gt;"",'All Cases - Enter Cases'!H373,"")</f>
        <v/>
      </c>
      <c r="I373" t="str">
        <f>IF($A373&lt;&gt;"",'All Cases - Enter Cases'!I373,"")</f>
        <v/>
      </c>
      <c r="J373" t="str">
        <f>IF($A373&lt;&gt;"",'All Cases - Enter Cases'!J373,"")</f>
        <v/>
      </c>
      <c r="K373" s="4" t="str">
        <f>IF($A373&lt;&gt;"",'All Cases - Enter Cases'!K373,"")</f>
        <v/>
      </c>
      <c r="L373" t="str">
        <f>IF($A373&lt;&gt;"",'All Cases - Enter Cases'!L373,"")</f>
        <v/>
      </c>
      <c r="M373" t="str">
        <f>IF($A373&lt;&gt;"",'All Cases - Enter Cases'!M373,"")</f>
        <v/>
      </c>
    </row>
    <row r="374" spans="1:13" x14ac:dyDescent="0.35">
      <c r="A374" s="10" t="str">
        <f>IF('All Cases - Enter Cases'!$F374="Sindh",'All Cases - Enter Cases'!A374,"")</f>
        <v/>
      </c>
      <c r="B374" t="str">
        <f>IF($A374&lt;&gt;"",'All Cases - Enter Cases'!B374,"")</f>
        <v/>
      </c>
      <c r="C374" t="str">
        <f>IF($A374&lt;&gt;"",'All Cases - Enter Cases'!C374,"")</f>
        <v/>
      </c>
      <c r="D374" t="str">
        <f>IF($A374&lt;&gt;"",'All Cases - Enter Cases'!D374,"")</f>
        <v/>
      </c>
      <c r="E374" t="str">
        <f>IF($A374&lt;&gt;"",'All Cases - Enter Cases'!E374,"")</f>
        <v/>
      </c>
      <c r="F374" t="str">
        <f>IF($A374&lt;&gt;"",'All Cases - Enter Cases'!F374,"")</f>
        <v/>
      </c>
      <c r="G374" t="str">
        <f>IF($A374&lt;&gt;"",'All Cases - Enter Cases'!G374,"")</f>
        <v/>
      </c>
      <c r="H374" t="str">
        <f>IF($A374&lt;&gt;"",'All Cases - Enter Cases'!H374,"")</f>
        <v/>
      </c>
      <c r="I374" t="str">
        <f>IF($A374&lt;&gt;"",'All Cases - Enter Cases'!I374,"")</f>
        <v/>
      </c>
      <c r="J374" t="str">
        <f>IF($A374&lt;&gt;"",'All Cases - Enter Cases'!J374,"")</f>
        <v/>
      </c>
      <c r="K374" s="4" t="str">
        <f>IF($A374&lt;&gt;"",'All Cases - Enter Cases'!K374,"")</f>
        <v/>
      </c>
      <c r="L374" t="str">
        <f>IF($A374&lt;&gt;"",'All Cases - Enter Cases'!L374,"")</f>
        <v/>
      </c>
      <c r="M374" t="str">
        <f>IF($A374&lt;&gt;"",'All Cases - Enter Cases'!M374,"")</f>
        <v/>
      </c>
    </row>
    <row r="375" spans="1:13" x14ac:dyDescent="0.35">
      <c r="A375" s="10" t="str">
        <f>IF('All Cases - Enter Cases'!$F375="Sindh",'All Cases - Enter Cases'!A375,"")</f>
        <v/>
      </c>
      <c r="B375" t="str">
        <f>IF($A375&lt;&gt;"",'All Cases - Enter Cases'!B375,"")</f>
        <v/>
      </c>
      <c r="C375" t="str">
        <f>IF($A375&lt;&gt;"",'All Cases - Enter Cases'!C375,"")</f>
        <v/>
      </c>
      <c r="D375" t="str">
        <f>IF($A375&lt;&gt;"",'All Cases - Enter Cases'!D375,"")</f>
        <v/>
      </c>
      <c r="E375" t="str">
        <f>IF($A375&lt;&gt;"",'All Cases - Enter Cases'!E375,"")</f>
        <v/>
      </c>
      <c r="F375" t="str">
        <f>IF($A375&lt;&gt;"",'All Cases - Enter Cases'!F375,"")</f>
        <v/>
      </c>
      <c r="G375" t="str">
        <f>IF($A375&lt;&gt;"",'All Cases - Enter Cases'!G375,"")</f>
        <v/>
      </c>
      <c r="H375" t="str">
        <f>IF($A375&lt;&gt;"",'All Cases - Enter Cases'!H375,"")</f>
        <v/>
      </c>
      <c r="I375" t="str">
        <f>IF($A375&lt;&gt;"",'All Cases - Enter Cases'!I375,"")</f>
        <v/>
      </c>
      <c r="J375" t="str">
        <f>IF($A375&lt;&gt;"",'All Cases - Enter Cases'!J375,"")</f>
        <v/>
      </c>
      <c r="K375" s="4" t="str">
        <f>IF($A375&lt;&gt;"",'All Cases - Enter Cases'!K375,"")</f>
        <v/>
      </c>
      <c r="L375" t="str">
        <f>IF($A375&lt;&gt;"",'All Cases - Enter Cases'!L375,"")</f>
        <v/>
      </c>
      <c r="M375" t="str">
        <f>IF($A375&lt;&gt;"",'All Cases - Enter Cases'!M375,"")</f>
        <v/>
      </c>
    </row>
    <row r="376" spans="1:13" x14ac:dyDescent="0.35">
      <c r="A376" s="10" t="str">
        <f>IF('All Cases - Enter Cases'!$F376="Sindh",'All Cases - Enter Cases'!A376,"")</f>
        <v/>
      </c>
      <c r="B376" t="str">
        <f>IF($A376&lt;&gt;"",'All Cases - Enter Cases'!B376,"")</f>
        <v/>
      </c>
      <c r="C376" t="str">
        <f>IF($A376&lt;&gt;"",'All Cases - Enter Cases'!C376,"")</f>
        <v/>
      </c>
      <c r="D376" t="str">
        <f>IF($A376&lt;&gt;"",'All Cases - Enter Cases'!D376,"")</f>
        <v/>
      </c>
      <c r="E376" t="str">
        <f>IF($A376&lt;&gt;"",'All Cases - Enter Cases'!E376,"")</f>
        <v/>
      </c>
      <c r="F376" t="str">
        <f>IF($A376&lt;&gt;"",'All Cases - Enter Cases'!F376,"")</f>
        <v/>
      </c>
      <c r="G376" t="str">
        <f>IF($A376&lt;&gt;"",'All Cases - Enter Cases'!G376,"")</f>
        <v/>
      </c>
      <c r="H376" t="str">
        <f>IF($A376&lt;&gt;"",'All Cases - Enter Cases'!H376,"")</f>
        <v/>
      </c>
      <c r="I376" t="str">
        <f>IF($A376&lt;&gt;"",'All Cases - Enter Cases'!I376,"")</f>
        <v/>
      </c>
      <c r="J376" t="str">
        <f>IF($A376&lt;&gt;"",'All Cases - Enter Cases'!J376,"")</f>
        <v/>
      </c>
      <c r="K376" s="4" t="str">
        <f>IF($A376&lt;&gt;"",'All Cases - Enter Cases'!K376,"")</f>
        <v/>
      </c>
      <c r="L376" t="str">
        <f>IF($A376&lt;&gt;"",'All Cases - Enter Cases'!L376,"")</f>
        <v/>
      </c>
      <c r="M376" t="str">
        <f>IF($A376&lt;&gt;"",'All Cases - Enter Cases'!M376,"")</f>
        <v/>
      </c>
    </row>
    <row r="377" spans="1:13" x14ac:dyDescent="0.35">
      <c r="A377" s="10" t="str">
        <f>IF('All Cases - Enter Cases'!$F377="Sindh",'All Cases - Enter Cases'!A377,"")</f>
        <v/>
      </c>
      <c r="B377" t="str">
        <f>IF($A377&lt;&gt;"",'All Cases - Enter Cases'!B377,"")</f>
        <v/>
      </c>
      <c r="C377" t="str">
        <f>IF($A377&lt;&gt;"",'All Cases - Enter Cases'!C377,"")</f>
        <v/>
      </c>
      <c r="D377" t="str">
        <f>IF($A377&lt;&gt;"",'All Cases - Enter Cases'!D377,"")</f>
        <v/>
      </c>
      <c r="E377" t="str">
        <f>IF($A377&lt;&gt;"",'All Cases - Enter Cases'!E377,"")</f>
        <v/>
      </c>
      <c r="F377" t="str">
        <f>IF($A377&lt;&gt;"",'All Cases - Enter Cases'!F377,"")</f>
        <v/>
      </c>
      <c r="G377" t="str">
        <f>IF($A377&lt;&gt;"",'All Cases - Enter Cases'!G377,"")</f>
        <v/>
      </c>
      <c r="H377" t="str">
        <f>IF($A377&lt;&gt;"",'All Cases - Enter Cases'!H377,"")</f>
        <v/>
      </c>
      <c r="I377" t="str">
        <f>IF($A377&lt;&gt;"",'All Cases - Enter Cases'!I377,"")</f>
        <v/>
      </c>
      <c r="J377" t="str">
        <f>IF($A377&lt;&gt;"",'All Cases - Enter Cases'!J377,"")</f>
        <v/>
      </c>
      <c r="K377" s="4" t="str">
        <f>IF($A377&lt;&gt;"",'All Cases - Enter Cases'!K377,"")</f>
        <v/>
      </c>
      <c r="L377" t="str">
        <f>IF($A377&lt;&gt;"",'All Cases - Enter Cases'!L377,"")</f>
        <v/>
      </c>
      <c r="M377" t="str">
        <f>IF($A377&lt;&gt;"",'All Cases - Enter Cases'!M377,"")</f>
        <v/>
      </c>
    </row>
    <row r="378" spans="1:13" x14ac:dyDescent="0.35">
      <c r="A378" s="10" t="str">
        <f>IF('All Cases - Enter Cases'!$F378="Sindh",'All Cases - Enter Cases'!A378,"")</f>
        <v/>
      </c>
      <c r="B378" t="str">
        <f>IF($A378&lt;&gt;"",'All Cases - Enter Cases'!B378,"")</f>
        <v/>
      </c>
      <c r="C378" t="str">
        <f>IF($A378&lt;&gt;"",'All Cases - Enter Cases'!C378,"")</f>
        <v/>
      </c>
      <c r="D378" t="str">
        <f>IF($A378&lt;&gt;"",'All Cases - Enter Cases'!D378,"")</f>
        <v/>
      </c>
      <c r="E378" t="str">
        <f>IF($A378&lt;&gt;"",'All Cases - Enter Cases'!E378,"")</f>
        <v/>
      </c>
      <c r="F378" t="str">
        <f>IF($A378&lt;&gt;"",'All Cases - Enter Cases'!F378,"")</f>
        <v/>
      </c>
      <c r="G378" t="str">
        <f>IF($A378&lt;&gt;"",'All Cases - Enter Cases'!G378,"")</f>
        <v/>
      </c>
      <c r="H378" t="str">
        <f>IF($A378&lt;&gt;"",'All Cases - Enter Cases'!H378,"")</f>
        <v/>
      </c>
      <c r="I378" t="str">
        <f>IF($A378&lt;&gt;"",'All Cases - Enter Cases'!I378,"")</f>
        <v/>
      </c>
      <c r="J378" t="str">
        <f>IF($A378&lt;&gt;"",'All Cases - Enter Cases'!J378,"")</f>
        <v/>
      </c>
      <c r="K378" s="4" t="str">
        <f>IF($A378&lt;&gt;"",'All Cases - Enter Cases'!K378,"")</f>
        <v/>
      </c>
      <c r="L378" t="str">
        <f>IF($A378&lt;&gt;"",'All Cases - Enter Cases'!L378,"")</f>
        <v/>
      </c>
      <c r="M378" t="str">
        <f>IF($A378&lt;&gt;"",'All Cases - Enter Cases'!M378,"")</f>
        <v/>
      </c>
    </row>
    <row r="379" spans="1:13" x14ac:dyDescent="0.35">
      <c r="A379" s="10" t="str">
        <f>IF('All Cases - Enter Cases'!$F379="Sindh",'All Cases - Enter Cases'!A379,"")</f>
        <v/>
      </c>
      <c r="B379" t="str">
        <f>IF($A379&lt;&gt;"",'All Cases - Enter Cases'!B379,"")</f>
        <v/>
      </c>
      <c r="C379" t="str">
        <f>IF($A379&lt;&gt;"",'All Cases - Enter Cases'!C379,"")</f>
        <v/>
      </c>
      <c r="D379" t="str">
        <f>IF($A379&lt;&gt;"",'All Cases - Enter Cases'!D379,"")</f>
        <v/>
      </c>
      <c r="E379" t="str">
        <f>IF($A379&lt;&gt;"",'All Cases - Enter Cases'!E379,"")</f>
        <v/>
      </c>
      <c r="F379" t="str">
        <f>IF($A379&lt;&gt;"",'All Cases - Enter Cases'!F379,"")</f>
        <v/>
      </c>
      <c r="G379" t="str">
        <f>IF($A379&lt;&gt;"",'All Cases - Enter Cases'!G379,"")</f>
        <v/>
      </c>
      <c r="H379" t="str">
        <f>IF($A379&lt;&gt;"",'All Cases - Enter Cases'!H379,"")</f>
        <v/>
      </c>
      <c r="I379" t="str">
        <f>IF($A379&lt;&gt;"",'All Cases - Enter Cases'!I379,"")</f>
        <v/>
      </c>
      <c r="J379" t="str">
        <f>IF($A379&lt;&gt;"",'All Cases - Enter Cases'!J379,"")</f>
        <v/>
      </c>
      <c r="K379" s="4" t="str">
        <f>IF($A379&lt;&gt;"",'All Cases - Enter Cases'!K379,"")</f>
        <v/>
      </c>
      <c r="L379" t="str">
        <f>IF($A379&lt;&gt;"",'All Cases - Enter Cases'!L379,"")</f>
        <v/>
      </c>
      <c r="M379" t="str">
        <f>IF($A379&lt;&gt;"",'All Cases - Enter Cases'!M379,"")</f>
        <v/>
      </c>
    </row>
    <row r="380" spans="1:13" x14ac:dyDescent="0.35">
      <c r="A380" s="10" t="str">
        <f>IF('All Cases - Enter Cases'!$F380="Sindh",'All Cases - Enter Cases'!A380,"")</f>
        <v/>
      </c>
      <c r="B380" t="str">
        <f>IF($A380&lt;&gt;"",'All Cases - Enter Cases'!B380,"")</f>
        <v/>
      </c>
      <c r="C380" t="str">
        <f>IF($A380&lt;&gt;"",'All Cases - Enter Cases'!C380,"")</f>
        <v/>
      </c>
      <c r="D380" t="str">
        <f>IF($A380&lt;&gt;"",'All Cases - Enter Cases'!D380,"")</f>
        <v/>
      </c>
      <c r="E380" t="str">
        <f>IF($A380&lt;&gt;"",'All Cases - Enter Cases'!E380,"")</f>
        <v/>
      </c>
      <c r="F380" t="str">
        <f>IF($A380&lt;&gt;"",'All Cases - Enter Cases'!F380,"")</f>
        <v/>
      </c>
      <c r="G380" t="str">
        <f>IF($A380&lt;&gt;"",'All Cases - Enter Cases'!G380,"")</f>
        <v/>
      </c>
      <c r="H380" t="str">
        <f>IF($A380&lt;&gt;"",'All Cases - Enter Cases'!H380,"")</f>
        <v/>
      </c>
      <c r="I380" t="str">
        <f>IF($A380&lt;&gt;"",'All Cases - Enter Cases'!I380,"")</f>
        <v/>
      </c>
      <c r="J380" t="str">
        <f>IF($A380&lt;&gt;"",'All Cases - Enter Cases'!J380,"")</f>
        <v/>
      </c>
      <c r="K380" s="4" t="str">
        <f>IF($A380&lt;&gt;"",'All Cases - Enter Cases'!K380,"")</f>
        <v/>
      </c>
      <c r="L380" t="str">
        <f>IF($A380&lt;&gt;"",'All Cases - Enter Cases'!L380,"")</f>
        <v/>
      </c>
      <c r="M380" t="str">
        <f>IF($A380&lt;&gt;"",'All Cases - Enter Cases'!M380,"")</f>
        <v/>
      </c>
    </row>
    <row r="381" spans="1:13" x14ac:dyDescent="0.35">
      <c r="A381" s="10" t="str">
        <f>IF('All Cases - Enter Cases'!$F381="Sindh",'All Cases - Enter Cases'!A381,"")</f>
        <v/>
      </c>
      <c r="B381" t="str">
        <f>IF($A381&lt;&gt;"",'All Cases - Enter Cases'!B381,"")</f>
        <v/>
      </c>
      <c r="C381" t="str">
        <f>IF($A381&lt;&gt;"",'All Cases - Enter Cases'!C381,"")</f>
        <v/>
      </c>
      <c r="D381" t="str">
        <f>IF($A381&lt;&gt;"",'All Cases - Enter Cases'!D381,"")</f>
        <v/>
      </c>
      <c r="E381" t="str">
        <f>IF($A381&lt;&gt;"",'All Cases - Enter Cases'!E381,"")</f>
        <v/>
      </c>
      <c r="F381" t="str">
        <f>IF($A381&lt;&gt;"",'All Cases - Enter Cases'!F381,"")</f>
        <v/>
      </c>
      <c r="G381" t="str">
        <f>IF($A381&lt;&gt;"",'All Cases - Enter Cases'!G381,"")</f>
        <v/>
      </c>
      <c r="H381" t="str">
        <f>IF($A381&lt;&gt;"",'All Cases - Enter Cases'!H381,"")</f>
        <v/>
      </c>
      <c r="I381" t="str">
        <f>IF($A381&lt;&gt;"",'All Cases - Enter Cases'!I381,"")</f>
        <v/>
      </c>
      <c r="J381" t="str">
        <f>IF($A381&lt;&gt;"",'All Cases - Enter Cases'!J381,"")</f>
        <v/>
      </c>
      <c r="K381" s="4" t="str">
        <f>IF($A381&lt;&gt;"",'All Cases - Enter Cases'!K381,"")</f>
        <v/>
      </c>
      <c r="L381" t="str">
        <f>IF($A381&lt;&gt;"",'All Cases - Enter Cases'!L381,"")</f>
        <v/>
      </c>
      <c r="M381" t="str">
        <f>IF($A381&lt;&gt;"",'All Cases - Enter Cases'!M381,"")</f>
        <v/>
      </c>
    </row>
    <row r="382" spans="1:13" x14ac:dyDescent="0.35">
      <c r="A382" s="10" t="str">
        <f>IF('All Cases - Enter Cases'!$F382="Sindh",'All Cases - Enter Cases'!A382,"")</f>
        <v/>
      </c>
      <c r="B382" t="str">
        <f>IF($A382&lt;&gt;"",'All Cases - Enter Cases'!B382,"")</f>
        <v/>
      </c>
      <c r="C382" t="str">
        <f>IF($A382&lt;&gt;"",'All Cases - Enter Cases'!C382,"")</f>
        <v/>
      </c>
      <c r="D382" t="str">
        <f>IF($A382&lt;&gt;"",'All Cases - Enter Cases'!D382,"")</f>
        <v/>
      </c>
      <c r="E382" t="str">
        <f>IF($A382&lt;&gt;"",'All Cases - Enter Cases'!E382,"")</f>
        <v/>
      </c>
      <c r="F382" t="str">
        <f>IF($A382&lt;&gt;"",'All Cases - Enter Cases'!F382,"")</f>
        <v/>
      </c>
      <c r="G382" t="str">
        <f>IF($A382&lt;&gt;"",'All Cases - Enter Cases'!G382,"")</f>
        <v/>
      </c>
      <c r="H382" t="str">
        <f>IF($A382&lt;&gt;"",'All Cases - Enter Cases'!H382,"")</f>
        <v/>
      </c>
      <c r="I382" t="str">
        <f>IF($A382&lt;&gt;"",'All Cases - Enter Cases'!I382,"")</f>
        <v/>
      </c>
      <c r="J382" t="str">
        <f>IF($A382&lt;&gt;"",'All Cases - Enter Cases'!J382,"")</f>
        <v/>
      </c>
      <c r="K382" s="4" t="str">
        <f>IF($A382&lt;&gt;"",'All Cases - Enter Cases'!K382,"")</f>
        <v/>
      </c>
      <c r="L382" t="str">
        <f>IF($A382&lt;&gt;"",'All Cases - Enter Cases'!L382,"")</f>
        <v/>
      </c>
      <c r="M382" t="str">
        <f>IF($A382&lt;&gt;"",'All Cases - Enter Cases'!M382,"")</f>
        <v/>
      </c>
    </row>
    <row r="383" spans="1:13" x14ac:dyDescent="0.35">
      <c r="A383" s="10" t="str">
        <f>IF('All Cases - Enter Cases'!$F383="Sindh",'All Cases - Enter Cases'!A383,"")</f>
        <v/>
      </c>
      <c r="B383" t="str">
        <f>IF($A383&lt;&gt;"",'All Cases - Enter Cases'!B383,"")</f>
        <v/>
      </c>
      <c r="C383" t="str">
        <f>IF($A383&lt;&gt;"",'All Cases - Enter Cases'!C383,"")</f>
        <v/>
      </c>
      <c r="D383" t="str">
        <f>IF($A383&lt;&gt;"",'All Cases - Enter Cases'!D383,"")</f>
        <v/>
      </c>
      <c r="E383" t="str">
        <f>IF($A383&lt;&gt;"",'All Cases - Enter Cases'!E383,"")</f>
        <v/>
      </c>
      <c r="F383" t="str">
        <f>IF($A383&lt;&gt;"",'All Cases - Enter Cases'!F383,"")</f>
        <v/>
      </c>
      <c r="G383" t="str">
        <f>IF($A383&lt;&gt;"",'All Cases - Enter Cases'!G383,"")</f>
        <v/>
      </c>
      <c r="H383" t="str">
        <f>IF($A383&lt;&gt;"",'All Cases - Enter Cases'!H383,"")</f>
        <v/>
      </c>
      <c r="I383" t="str">
        <f>IF($A383&lt;&gt;"",'All Cases - Enter Cases'!I383,"")</f>
        <v/>
      </c>
      <c r="J383" t="str">
        <f>IF($A383&lt;&gt;"",'All Cases - Enter Cases'!J383,"")</f>
        <v/>
      </c>
      <c r="K383" s="4" t="str">
        <f>IF($A383&lt;&gt;"",'All Cases - Enter Cases'!K383,"")</f>
        <v/>
      </c>
      <c r="L383" t="str">
        <f>IF($A383&lt;&gt;"",'All Cases - Enter Cases'!L383,"")</f>
        <v/>
      </c>
      <c r="M383" t="str">
        <f>IF($A383&lt;&gt;"",'All Cases - Enter Cases'!M383,"")</f>
        <v/>
      </c>
    </row>
    <row r="384" spans="1:13" x14ac:dyDescent="0.35">
      <c r="A384" s="10" t="str">
        <f>IF('All Cases - Enter Cases'!$F384="Sindh",'All Cases - Enter Cases'!A384,"")</f>
        <v/>
      </c>
      <c r="B384" t="str">
        <f>IF($A384&lt;&gt;"",'All Cases - Enter Cases'!B384,"")</f>
        <v/>
      </c>
      <c r="C384" t="str">
        <f>IF($A384&lt;&gt;"",'All Cases - Enter Cases'!C384,"")</f>
        <v/>
      </c>
      <c r="D384" t="str">
        <f>IF($A384&lt;&gt;"",'All Cases - Enter Cases'!D384,"")</f>
        <v/>
      </c>
      <c r="E384" t="str">
        <f>IF($A384&lt;&gt;"",'All Cases - Enter Cases'!E384,"")</f>
        <v/>
      </c>
      <c r="F384" t="str">
        <f>IF($A384&lt;&gt;"",'All Cases - Enter Cases'!F384,"")</f>
        <v/>
      </c>
      <c r="G384" t="str">
        <f>IF($A384&lt;&gt;"",'All Cases - Enter Cases'!G384,"")</f>
        <v/>
      </c>
      <c r="H384" t="str">
        <f>IF($A384&lt;&gt;"",'All Cases - Enter Cases'!H384,"")</f>
        <v/>
      </c>
      <c r="I384" t="str">
        <f>IF($A384&lt;&gt;"",'All Cases - Enter Cases'!I384,"")</f>
        <v/>
      </c>
      <c r="J384" t="str">
        <f>IF($A384&lt;&gt;"",'All Cases - Enter Cases'!J384,"")</f>
        <v/>
      </c>
      <c r="K384" s="4" t="str">
        <f>IF($A384&lt;&gt;"",'All Cases - Enter Cases'!K384,"")</f>
        <v/>
      </c>
      <c r="L384" t="str">
        <f>IF($A384&lt;&gt;"",'All Cases - Enter Cases'!L384,"")</f>
        <v/>
      </c>
      <c r="M384" t="str">
        <f>IF($A384&lt;&gt;"",'All Cases - Enter Cases'!M384,"")</f>
        <v/>
      </c>
    </row>
    <row r="385" spans="1:13" x14ac:dyDescent="0.35">
      <c r="A385" s="10" t="str">
        <f>IF('All Cases - Enter Cases'!$F385="Sindh",'All Cases - Enter Cases'!A385,"")</f>
        <v/>
      </c>
      <c r="B385" t="str">
        <f>IF($A385&lt;&gt;"",'All Cases - Enter Cases'!B385,"")</f>
        <v/>
      </c>
      <c r="C385" t="str">
        <f>IF($A385&lt;&gt;"",'All Cases - Enter Cases'!C385,"")</f>
        <v/>
      </c>
      <c r="D385" t="str">
        <f>IF($A385&lt;&gt;"",'All Cases - Enter Cases'!D385,"")</f>
        <v/>
      </c>
      <c r="E385" t="str">
        <f>IF($A385&lt;&gt;"",'All Cases - Enter Cases'!E385,"")</f>
        <v/>
      </c>
      <c r="F385" t="str">
        <f>IF($A385&lt;&gt;"",'All Cases - Enter Cases'!F385,"")</f>
        <v/>
      </c>
      <c r="G385" t="str">
        <f>IF($A385&lt;&gt;"",'All Cases - Enter Cases'!G385,"")</f>
        <v/>
      </c>
      <c r="H385" t="str">
        <f>IF($A385&lt;&gt;"",'All Cases - Enter Cases'!H385,"")</f>
        <v/>
      </c>
      <c r="I385" t="str">
        <f>IF($A385&lt;&gt;"",'All Cases - Enter Cases'!I385,"")</f>
        <v/>
      </c>
      <c r="J385" t="str">
        <f>IF($A385&lt;&gt;"",'All Cases - Enter Cases'!J385,"")</f>
        <v/>
      </c>
      <c r="K385" s="4" t="str">
        <f>IF($A385&lt;&gt;"",'All Cases - Enter Cases'!K385,"")</f>
        <v/>
      </c>
      <c r="L385" t="str">
        <f>IF($A385&lt;&gt;"",'All Cases - Enter Cases'!L385,"")</f>
        <v/>
      </c>
      <c r="M385" t="str">
        <f>IF($A385&lt;&gt;"",'All Cases - Enter Cases'!M385,"")</f>
        <v/>
      </c>
    </row>
    <row r="386" spans="1:13" x14ac:dyDescent="0.35">
      <c r="A386" s="10" t="str">
        <f>IF('All Cases - Enter Cases'!$F386="Sindh",'All Cases - Enter Cases'!A386,"")</f>
        <v/>
      </c>
      <c r="B386" t="str">
        <f>IF($A386&lt;&gt;"",'All Cases - Enter Cases'!B386,"")</f>
        <v/>
      </c>
      <c r="C386" t="str">
        <f>IF($A386&lt;&gt;"",'All Cases - Enter Cases'!C386,"")</f>
        <v/>
      </c>
      <c r="D386" t="str">
        <f>IF($A386&lt;&gt;"",'All Cases - Enter Cases'!D386,"")</f>
        <v/>
      </c>
      <c r="E386" t="str">
        <f>IF($A386&lt;&gt;"",'All Cases - Enter Cases'!E386,"")</f>
        <v/>
      </c>
      <c r="F386" t="str">
        <f>IF($A386&lt;&gt;"",'All Cases - Enter Cases'!F386,"")</f>
        <v/>
      </c>
      <c r="G386" t="str">
        <f>IF($A386&lt;&gt;"",'All Cases - Enter Cases'!G386,"")</f>
        <v/>
      </c>
      <c r="H386" t="str">
        <f>IF($A386&lt;&gt;"",'All Cases - Enter Cases'!H386,"")</f>
        <v/>
      </c>
      <c r="I386" t="str">
        <f>IF($A386&lt;&gt;"",'All Cases - Enter Cases'!I386,"")</f>
        <v/>
      </c>
      <c r="J386" t="str">
        <f>IF($A386&lt;&gt;"",'All Cases - Enter Cases'!J386,"")</f>
        <v/>
      </c>
      <c r="K386" s="4" t="str">
        <f>IF($A386&lt;&gt;"",'All Cases - Enter Cases'!K386,"")</f>
        <v/>
      </c>
      <c r="L386" t="str">
        <f>IF($A386&lt;&gt;"",'All Cases - Enter Cases'!L386,"")</f>
        <v/>
      </c>
      <c r="M386" t="str">
        <f>IF($A386&lt;&gt;"",'All Cases - Enter Cases'!M386,"")</f>
        <v/>
      </c>
    </row>
    <row r="387" spans="1:13" x14ac:dyDescent="0.35">
      <c r="A387" s="10" t="str">
        <f>IF('All Cases - Enter Cases'!$F387="Sindh",'All Cases - Enter Cases'!A387,"")</f>
        <v/>
      </c>
      <c r="B387" t="str">
        <f>IF($A387&lt;&gt;"",'All Cases - Enter Cases'!B387,"")</f>
        <v/>
      </c>
      <c r="C387" t="str">
        <f>IF($A387&lt;&gt;"",'All Cases - Enter Cases'!C387,"")</f>
        <v/>
      </c>
      <c r="D387" t="str">
        <f>IF($A387&lt;&gt;"",'All Cases - Enter Cases'!D387,"")</f>
        <v/>
      </c>
      <c r="E387" t="str">
        <f>IF($A387&lt;&gt;"",'All Cases - Enter Cases'!E387,"")</f>
        <v/>
      </c>
      <c r="F387" t="str">
        <f>IF($A387&lt;&gt;"",'All Cases - Enter Cases'!F387,"")</f>
        <v/>
      </c>
      <c r="G387" t="str">
        <f>IF($A387&lt;&gt;"",'All Cases - Enter Cases'!G387,"")</f>
        <v/>
      </c>
      <c r="H387" t="str">
        <f>IF($A387&lt;&gt;"",'All Cases - Enter Cases'!H387,"")</f>
        <v/>
      </c>
      <c r="I387" t="str">
        <f>IF($A387&lt;&gt;"",'All Cases - Enter Cases'!I387,"")</f>
        <v/>
      </c>
      <c r="J387" t="str">
        <f>IF($A387&lt;&gt;"",'All Cases - Enter Cases'!J387,"")</f>
        <v/>
      </c>
      <c r="K387" s="4" t="str">
        <f>IF($A387&lt;&gt;"",'All Cases - Enter Cases'!K387,"")</f>
        <v/>
      </c>
      <c r="L387" t="str">
        <f>IF($A387&lt;&gt;"",'All Cases - Enter Cases'!L387,"")</f>
        <v/>
      </c>
      <c r="M387" t="str">
        <f>IF($A387&lt;&gt;"",'All Cases - Enter Cases'!M387,"")</f>
        <v/>
      </c>
    </row>
    <row r="388" spans="1:13" x14ac:dyDescent="0.35">
      <c r="A388" s="10" t="str">
        <f>IF('All Cases - Enter Cases'!$F388="Sindh",'All Cases - Enter Cases'!A388,"")</f>
        <v/>
      </c>
      <c r="B388" t="str">
        <f>IF($A388&lt;&gt;"",'All Cases - Enter Cases'!B388,"")</f>
        <v/>
      </c>
      <c r="C388" t="str">
        <f>IF($A388&lt;&gt;"",'All Cases - Enter Cases'!C388,"")</f>
        <v/>
      </c>
      <c r="D388" t="str">
        <f>IF($A388&lt;&gt;"",'All Cases - Enter Cases'!D388,"")</f>
        <v/>
      </c>
      <c r="E388" t="str">
        <f>IF($A388&lt;&gt;"",'All Cases - Enter Cases'!E388,"")</f>
        <v/>
      </c>
      <c r="F388" t="str">
        <f>IF($A388&lt;&gt;"",'All Cases - Enter Cases'!F388,"")</f>
        <v/>
      </c>
      <c r="G388" t="str">
        <f>IF($A388&lt;&gt;"",'All Cases - Enter Cases'!G388,"")</f>
        <v/>
      </c>
      <c r="H388" t="str">
        <f>IF($A388&lt;&gt;"",'All Cases - Enter Cases'!H388,"")</f>
        <v/>
      </c>
      <c r="I388" t="str">
        <f>IF($A388&lt;&gt;"",'All Cases - Enter Cases'!I388,"")</f>
        <v/>
      </c>
      <c r="J388" t="str">
        <f>IF($A388&lt;&gt;"",'All Cases - Enter Cases'!J388,"")</f>
        <v/>
      </c>
      <c r="K388" s="4" t="str">
        <f>IF($A388&lt;&gt;"",'All Cases - Enter Cases'!K388,"")</f>
        <v/>
      </c>
      <c r="L388" t="str">
        <f>IF($A388&lt;&gt;"",'All Cases - Enter Cases'!L388,"")</f>
        <v/>
      </c>
      <c r="M388" t="str">
        <f>IF($A388&lt;&gt;"",'All Cases - Enter Cases'!M388,"")</f>
        <v/>
      </c>
    </row>
    <row r="389" spans="1:13" x14ac:dyDescent="0.35">
      <c r="A389" s="10" t="str">
        <f>IF('All Cases - Enter Cases'!$F389="Sindh",'All Cases - Enter Cases'!A389,"")</f>
        <v/>
      </c>
      <c r="B389" t="str">
        <f>IF($A389&lt;&gt;"",'All Cases - Enter Cases'!B389,"")</f>
        <v/>
      </c>
      <c r="C389" t="str">
        <f>IF($A389&lt;&gt;"",'All Cases - Enter Cases'!C389,"")</f>
        <v/>
      </c>
      <c r="D389" t="str">
        <f>IF($A389&lt;&gt;"",'All Cases - Enter Cases'!D389,"")</f>
        <v/>
      </c>
      <c r="E389" t="str">
        <f>IF($A389&lt;&gt;"",'All Cases - Enter Cases'!E389,"")</f>
        <v/>
      </c>
      <c r="F389" t="str">
        <f>IF($A389&lt;&gt;"",'All Cases - Enter Cases'!F389,"")</f>
        <v/>
      </c>
      <c r="G389" t="str">
        <f>IF($A389&lt;&gt;"",'All Cases - Enter Cases'!G389,"")</f>
        <v/>
      </c>
      <c r="H389" t="str">
        <f>IF($A389&lt;&gt;"",'All Cases - Enter Cases'!H389,"")</f>
        <v/>
      </c>
      <c r="I389" t="str">
        <f>IF($A389&lt;&gt;"",'All Cases - Enter Cases'!I389,"")</f>
        <v/>
      </c>
      <c r="J389" t="str">
        <f>IF($A389&lt;&gt;"",'All Cases - Enter Cases'!J389,"")</f>
        <v/>
      </c>
      <c r="K389" s="4" t="str">
        <f>IF($A389&lt;&gt;"",'All Cases - Enter Cases'!K389,"")</f>
        <v/>
      </c>
      <c r="L389" t="str">
        <f>IF($A389&lt;&gt;"",'All Cases - Enter Cases'!L389,"")</f>
        <v/>
      </c>
      <c r="M389" t="str">
        <f>IF($A389&lt;&gt;"",'All Cases - Enter Cases'!M389,"")</f>
        <v/>
      </c>
    </row>
    <row r="390" spans="1:13" x14ac:dyDescent="0.35">
      <c r="A390" s="10" t="str">
        <f>IF('All Cases - Enter Cases'!$F390="Sindh",'All Cases - Enter Cases'!A390,"")</f>
        <v/>
      </c>
      <c r="B390" t="str">
        <f>IF($A390&lt;&gt;"",'All Cases - Enter Cases'!B390,"")</f>
        <v/>
      </c>
      <c r="C390" t="str">
        <f>IF($A390&lt;&gt;"",'All Cases - Enter Cases'!C390,"")</f>
        <v/>
      </c>
      <c r="D390" t="str">
        <f>IF($A390&lt;&gt;"",'All Cases - Enter Cases'!D390,"")</f>
        <v/>
      </c>
      <c r="E390" t="str">
        <f>IF($A390&lt;&gt;"",'All Cases - Enter Cases'!E390,"")</f>
        <v/>
      </c>
      <c r="F390" t="str">
        <f>IF($A390&lt;&gt;"",'All Cases - Enter Cases'!F390,"")</f>
        <v/>
      </c>
      <c r="G390" t="str">
        <f>IF($A390&lt;&gt;"",'All Cases - Enter Cases'!G390,"")</f>
        <v/>
      </c>
      <c r="H390" t="str">
        <f>IF($A390&lt;&gt;"",'All Cases - Enter Cases'!H390,"")</f>
        <v/>
      </c>
      <c r="I390" t="str">
        <f>IF($A390&lt;&gt;"",'All Cases - Enter Cases'!I390,"")</f>
        <v/>
      </c>
      <c r="J390" t="str">
        <f>IF($A390&lt;&gt;"",'All Cases - Enter Cases'!J390,"")</f>
        <v/>
      </c>
      <c r="K390" s="4" t="str">
        <f>IF($A390&lt;&gt;"",'All Cases - Enter Cases'!K390,"")</f>
        <v/>
      </c>
      <c r="L390" t="str">
        <f>IF($A390&lt;&gt;"",'All Cases - Enter Cases'!L390,"")</f>
        <v/>
      </c>
      <c r="M390" t="str">
        <f>IF($A390&lt;&gt;"",'All Cases - Enter Cases'!M390,"")</f>
        <v/>
      </c>
    </row>
    <row r="391" spans="1:13" x14ac:dyDescent="0.35">
      <c r="A391" s="10" t="str">
        <f>IF('All Cases - Enter Cases'!$F391="Sindh",'All Cases - Enter Cases'!A391,"")</f>
        <v/>
      </c>
      <c r="B391" t="str">
        <f>IF($A391&lt;&gt;"",'All Cases - Enter Cases'!B391,"")</f>
        <v/>
      </c>
      <c r="C391" t="str">
        <f>IF($A391&lt;&gt;"",'All Cases - Enter Cases'!C391,"")</f>
        <v/>
      </c>
      <c r="D391" t="str">
        <f>IF($A391&lt;&gt;"",'All Cases - Enter Cases'!D391,"")</f>
        <v/>
      </c>
      <c r="E391" t="str">
        <f>IF($A391&lt;&gt;"",'All Cases - Enter Cases'!E391,"")</f>
        <v/>
      </c>
      <c r="F391" t="str">
        <f>IF($A391&lt;&gt;"",'All Cases - Enter Cases'!F391,"")</f>
        <v/>
      </c>
      <c r="G391" t="str">
        <f>IF($A391&lt;&gt;"",'All Cases - Enter Cases'!G391,"")</f>
        <v/>
      </c>
      <c r="H391" t="str">
        <f>IF($A391&lt;&gt;"",'All Cases - Enter Cases'!H391,"")</f>
        <v/>
      </c>
      <c r="I391" t="str">
        <f>IF($A391&lt;&gt;"",'All Cases - Enter Cases'!I391,"")</f>
        <v/>
      </c>
      <c r="J391" t="str">
        <f>IF($A391&lt;&gt;"",'All Cases - Enter Cases'!J391,"")</f>
        <v/>
      </c>
      <c r="K391" s="4" t="str">
        <f>IF($A391&lt;&gt;"",'All Cases - Enter Cases'!K391,"")</f>
        <v/>
      </c>
      <c r="L391" t="str">
        <f>IF($A391&lt;&gt;"",'All Cases - Enter Cases'!L391,"")</f>
        <v/>
      </c>
      <c r="M391" t="str">
        <f>IF($A391&lt;&gt;"",'All Cases - Enter Cases'!M391,"")</f>
        <v/>
      </c>
    </row>
    <row r="392" spans="1:13" x14ac:dyDescent="0.35">
      <c r="A392" s="10" t="str">
        <f>IF('All Cases - Enter Cases'!$F392="Sindh",'All Cases - Enter Cases'!A392,"")</f>
        <v/>
      </c>
      <c r="B392" t="str">
        <f>IF($A392&lt;&gt;"",'All Cases - Enter Cases'!B392,"")</f>
        <v/>
      </c>
      <c r="C392" t="str">
        <f>IF($A392&lt;&gt;"",'All Cases - Enter Cases'!C392,"")</f>
        <v/>
      </c>
      <c r="D392" t="str">
        <f>IF($A392&lt;&gt;"",'All Cases - Enter Cases'!D392,"")</f>
        <v/>
      </c>
      <c r="E392" t="str">
        <f>IF($A392&lt;&gt;"",'All Cases - Enter Cases'!E392,"")</f>
        <v/>
      </c>
      <c r="F392" t="str">
        <f>IF($A392&lt;&gt;"",'All Cases - Enter Cases'!F392,"")</f>
        <v/>
      </c>
      <c r="G392" t="str">
        <f>IF($A392&lt;&gt;"",'All Cases - Enter Cases'!G392,"")</f>
        <v/>
      </c>
      <c r="H392" t="str">
        <f>IF($A392&lt;&gt;"",'All Cases - Enter Cases'!H392,"")</f>
        <v/>
      </c>
      <c r="I392" t="str">
        <f>IF($A392&lt;&gt;"",'All Cases - Enter Cases'!I392,"")</f>
        <v/>
      </c>
      <c r="J392" t="str">
        <f>IF($A392&lt;&gt;"",'All Cases - Enter Cases'!J392,"")</f>
        <v/>
      </c>
      <c r="K392" s="4" t="str">
        <f>IF($A392&lt;&gt;"",'All Cases - Enter Cases'!K392,"")</f>
        <v/>
      </c>
      <c r="L392" t="str">
        <f>IF($A392&lt;&gt;"",'All Cases - Enter Cases'!L392,"")</f>
        <v/>
      </c>
      <c r="M392" t="str">
        <f>IF($A392&lt;&gt;"",'All Cases - Enter Cases'!M392,"")</f>
        <v/>
      </c>
    </row>
    <row r="393" spans="1:13" x14ac:dyDescent="0.35">
      <c r="A393" s="10" t="str">
        <f>IF('All Cases - Enter Cases'!$F393="Sindh",'All Cases - Enter Cases'!A393,"")</f>
        <v/>
      </c>
      <c r="B393" t="str">
        <f>IF($A393&lt;&gt;"",'All Cases - Enter Cases'!B393,"")</f>
        <v/>
      </c>
      <c r="C393" t="str">
        <f>IF($A393&lt;&gt;"",'All Cases - Enter Cases'!C393,"")</f>
        <v/>
      </c>
      <c r="D393" t="str">
        <f>IF($A393&lt;&gt;"",'All Cases - Enter Cases'!D393,"")</f>
        <v/>
      </c>
      <c r="E393" t="str">
        <f>IF($A393&lt;&gt;"",'All Cases - Enter Cases'!E393,"")</f>
        <v/>
      </c>
      <c r="F393" t="str">
        <f>IF($A393&lt;&gt;"",'All Cases - Enter Cases'!F393,"")</f>
        <v/>
      </c>
      <c r="G393" t="str">
        <f>IF($A393&lt;&gt;"",'All Cases - Enter Cases'!G393,"")</f>
        <v/>
      </c>
      <c r="H393" t="str">
        <f>IF($A393&lt;&gt;"",'All Cases - Enter Cases'!H393,"")</f>
        <v/>
      </c>
      <c r="I393" t="str">
        <f>IF($A393&lt;&gt;"",'All Cases - Enter Cases'!I393,"")</f>
        <v/>
      </c>
      <c r="J393" t="str">
        <f>IF($A393&lt;&gt;"",'All Cases - Enter Cases'!J393,"")</f>
        <v/>
      </c>
      <c r="K393" s="4" t="str">
        <f>IF($A393&lt;&gt;"",'All Cases - Enter Cases'!K393,"")</f>
        <v/>
      </c>
      <c r="L393" t="str">
        <f>IF($A393&lt;&gt;"",'All Cases - Enter Cases'!L393,"")</f>
        <v/>
      </c>
      <c r="M393" t="str">
        <f>IF($A393&lt;&gt;"",'All Cases - Enter Cases'!M393,"")</f>
        <v/>
      </c>
    </row>
    <row r="394" spans="1:13" x14ac:dyDescent="0.35">
      <c r="A394" s="10" t="str">
        <f>IF('All Cases - Enter Cases'!$F394="Sindh",'All Cases - Enter Cases'!A394,"")</f>
        <v/>
      </c>
      <c r="B394" t="str">
        <f>IF($A394&lt;&gt;"",'All Cases - Enter Cases'!B394,"")</f>
        <v/>
      </c>
      <c r="C394" t="str">
        <f>IF($A394&lt;&gt;"",'All Cases - Enter Cases'!C394,"")</f>
        <v/>
      </c>
      <c r="D394" t="str">
        <f>IF($A394&lt;&gt;"",'All Cases - Enter Cases'!D394,"")</f>
        <v/>
      </c>
      <c r="E394" t="str">
        <f>IF($A394&lt;&gt;"",'All Cases - Enter Cases'!E394,"")</f>
        <v/>
      </c>
      <c r="F394" t="str">
        <f>IF($A394&lt;&gt;"",'All Cases - Enter Cases'!F394,"")</f>
        <v/>
      </c>
      <c r="G394" t="str">
        <f>IF($A394&lt;&gt;"",'All Cases - Enter Cases'!G394,"")</f>
        <v/>
      </c>
      <c r="H394" t="str">
        <f>IF($A394&lt;&gt;"",'All Cases - Enter Cases'!H394,"")</f>
        <v/>
      </c>
      <c r="I394" t="str">
        <f>IF($A394&lt;&gt;"",'All Cases - Enter Cases'!I394,"")</f>
        <v/>
      </c>
      <c r="J394" t="str">
        <f>IF($A394&lt;&gt;"",'All Cases - Enter Cases'!J394,"")</f>
        <v/>
      </c>
      <c r="K394" s="4" t="str">
        <f>IF($A394&lt;&gt;"",'All Cases - Enter Cases'!K394,"")</f>
        <v/>
      </c>
      <c r="L394" t="str">
        <f>IF($A394&lt;&gt;"",'All Cases - Enter Cases'!L394,"")</f>
        <v/>
      </c>
      <c r="M394" t="str">
        <f>IF($A394&lt;&gt;"",'All Cases - Enter Cases'!M394,"")</f>
        <v/>
      </c>
    </row>
    <row r="395" spans="1:13" x14ac:dyDescent="0.35">
      <c r="A395" s="10" t="str">
        <f>IF('All Cases - Enter Cases'!$F395="Sindh",'All Cases - Enter Cases'!A395,"")</f>
        <v/>
      </c>
      <c r="B395" t="str">
        <f>IF($A395&lt;&gt;"",'All Cases - Enter Cases'!B395,"")</f>
        <v/>
      </c>
      <c r="C395" t="str">
        <f>IF($A395&lt;&gt;"",'All Cases - Enter Cases'!C395,"")</f>
        <v/>
      </c>
      <c r="D395" t="str">
        <f>IF($A395&lt;&gt;"",'All Cases - Enter Cases'!D395,"")</f>
        <v/>
      </c>
      <c r="E395" t="str">
        <f>IF($A395&lt;&gt;"",'All Cases - Enter Cases'!E395,"")</f>
        <v/>
      </c>
      <c r="F395" t="str">
        <f>IF($A395&lt;&gt;"",'All Cases - Enter Cases'!F395,"")</f>
        <v/>
      </c>
      <c r="G395" t="str">
        <f>IF($A395&lt;&gt;"",'All Cases - Enter Cases'!G395,"")</f>
        <v/>
      </c>
      <c r="H395" t="str">
        <f>IF($A395&lt;&gt;"",'All Cases - Enter Cases'!H395,"")</f>
        <v/>
      </c>
      <c r="I395" t="str">
        <f>IF($A395&lt;&gt;"",'All Cases - Enter Cases'!I395,"")</f>
        <v/>
      </c>
      <c r="J395" t="str">
        <f>IF($A395&lt;&gt;"",'All Cases - Enter Cases'!J395,"")</f>
        <v/>
      </c>
      <c r="K395" s="4" t="str">
        <f>IF($A395&lt;&gt;"",'All Cases - Enter Cases'!K395,"")</f>
        <v/>
      </c>
      <c r="L395" t="str">
        <f>IF($A395&lt;&gt;"",'All Cases - Enter Cases'!L395,"")</f>
        <v/>
      </c>
      <c r="M395" t="str">
        <f>IF($A395&lt;&gt;"",'All Cases - Enter Cases'!M395,"")</f>
        <v/>
      </c>
    </row>
    <row r="396" spans="1:13" x14ac:dyDescent="0.35">
      <c r="A396" s="10" t="str">
        <f>IF('All Cases - Enter Cases'!$F396="Sindh",'All Cases - Enter Cases'!A396,"")</f>
        <v/>
      </c>
      <c r="B396" t="str">
        <f>IF($A396&lt;&gt;"",'All Cases - Enter Cases'!B396,"")</f>
        <v/>
      </c>
      <c r="C396" t="str">
        <f>IF($A396&lt;&gt;"",'All Cases - Enter Cases'!C396,"")</f>
        <v/>
      </c>
      <c r="D396" t="str">
        <f>IF($A396&lt;&gt;"",'All Cases - Enter Cases'!D396,"")</f>
        <v/>
      </c>
      <c r="E396" t="str">
        <f>IF($A396&lt;&gt;"",'All Cases - Enter Cases'!E396,"")</f>
        <v/>
      </c>
      <c r="F396" t="str">
        <f>IF($A396&lt;&gt;"",'All Cases - Enter Cases'!F396,"")</f>
        <v/>
      </c>
      <c r="G396" t="str">
        <f>IF($A396&lt;&gt;"",'All Cases - Enter Cases'!G396,"")</f>
        <v/>
      </c>
      <c r="H396" t="str">
        <f>IF($A396&lt;&gt;"",'All Cases - Enter Cases'!H396,"")</f>
        <v/>
      </c>
      <c r="I396" t="str">
        <f>IF($A396&lt;&gt;"",'All Cases - Enter Cases'!I396,"")</f>
        <v/>
      </c>
      <c r="J396" t="str">
        <f>IF($A396&lt;&gt;"",'All Cases - Enter Cases'!J396,"")</f>
        <v/>
      </c>
      <c r="K396" s="4" t="str">
        <f>IF($A396&lt;&gt;"",'All Cases - Enter Cases'!K396,"")</f>
        <v/>
      </c>
      <c r="L396" t="str">
        <f>IF($A396&lt;&gt;"",'All Cases - Enter Cases'!L396,"")</f>
        <v/>
      </c>
      <c r="M396" t="str">
        <f>IF($A396&lt;&gt;"",'All Cases - Enter Cases'!M396,"")</f>
        <v/>
      </c>
    </row>
    <row r="397" spans="1:13" x14ac:dyDescent="0.35">
      <c r="A397" s="10" t="str">
        <f>IF('All Cases - Enter Cases'!$F397="Sindh",'All Cases - Enter Cases'!A397,"")</f>
        <v/>
      </c>
      <c r="B397" t="str">
        <f>IF($A397&lt;&gt;"",'All Cases - Enter Cases'!B397,"")</f>
        <v/>
      </c>
      <c r="C397" t="str">
        <f>IF($A397&lt;&gt;"",'All Cases - Enter Cases'!C397,"")</f>
        <v/>
      </c>
      <c r="D397" t="str">
        <f>IF($A397&lt;&gt;"",'All Cases - Enter Cases'!D397,"")</f>
        <v/>
      </c>
      <c r="E397" t="str">
        <f>IF($A397&lt;&gt;"",'All Cases - Enter Cases'!E397,"")</f>
        <v/>
      </c>
      <c r="F397" t="str">
        <f>IF($A397&lt;&gt;"",'All Cases - Enter Cases'!F397,"")</f>
        <v/>
      </c>
      <c r="G397" t="str">
        <f>IF($A397&lt;&gt;"",'All Cases - Enter Cases'!G397,"")</f>
        <v/>
      </c>
      <c r="H397" t="str">
        <f>IF($A397&lt;&gt;"",'All Cases - Enter Cases'!H397,"")</f>
        <v/>
      </c>
      <c r="I397" t="str">
        <f>IF($A397&lt;&gt;"",'All Cases - Enter Cases'!I397,"")</f>
        <v/>
      </c>
      <c r="J397" t="str">
        <f>IF($A397&lt;&gt;"",'All Cases - Enter Cases'!J397,"")</f>
        <v/>
      </c>
      <c r="K397" s="4" t="str">
        <f>IF($A397&lt;&gt;"",'All Cases - Enter Cases'!K397,"")</f>
        <v/>
      </c>
      <c r="L397" t="str">
        <f>IF($A397&lt;&gt;"",'All Cases - Enter Cases'!L397,"")</f>
        <v/>
      </c>
      <c r="M397" t="str">
        <f>IF($A397&lt;&gt;"",'All Cases - Enter Cases'!M397,"")</f>
        <v/>
      </c>
    </row>
    <row r="398" spans="1:13" x14ac:dyDescent="0.35">
      <c r="A398" s="10" t="str">
        <f>IF('All Cases - Enter Cases'!$F398="Sindh",'All Cases - Enter Cases'!A398,"")</f>
        <v/>
      </c>
      <c r="B398" t="str">
        <f>IF($A398&lt;&gt;"",'All Cases - Enter Cases'!B398,"")</f>
        <v/>
      </c>
      <c r="C398" t="str">
        <f>IF($A398&lt;&gt;"",'All Cases - Enter Cases'!C398,"")</f>
        <v/>
      </c>
      <c r="D398" t="str">
        <f>IF($A398&lt;&gt;"",'All Cases - Enter Cases'!D398,"")</f>
        <v/>
      </c>
      <c r="E398" t="str">
        <f>IF($A398&lt;&gt;"",'All Cases - Enter Cases'!E398,"")</f>
        <v/>
      </c>
      <c r="F398" t="str">
        <f>IF($A398&lt;&gt;"",'All Cases - Enter Cases'!F398,"")</f>
        <v/>
      </c>
      <c r="G398" t="str">
        <f>IF($A398&lt;&gt;"",'All Cases - Enter Cases'!G398,"")</f>
        <v/>
      </c>
      <c r="H398" t="str">
        <f>IF($A398&lt;&gt;"",'All Cases - Enter Cases'!H398,"")</f>
        <v/>
      </c>
      <c r="I398" t="str">
        <f>IF($A398&lt;&gt;"",'All Cases - Enter Cases'!I398,"")</f>
        <v/>
      </c>
      <c r="J398" t="str">
        <f>IF($A398&lt;&gt;"",'All Cases - Enter Cases'!J398,"")</f>
        <v/>
      </c>
      <c r="K398" s="4" t="str">
        <f>IF($A398&lt;&gt;"",'All Cases - Enter Cases'!K398,"")</f>
        <v/>
      </c>
      <c r="L398" t="str">
        <f>IF($A398&lt;&gt;"",'All Cases - Enter Cases'!L398,"")</f>
        <v/>
      </c>
      <c r="M398" t="str">
        <f>IF($A398&lt;&gt;"",'All Cases - Enter Cases'!M398,"")</f>
        <v/>
      </c>
    </row>
    <row r="399" spans="1:13" x14ac:dyDescent="0.35">
      <c r="A399" s="10" t="str">
        <f>IF('All Cases - Enter Cases'!$F399="Sindh",'All Cases - Enter Cases'!A399,"")</f>
        <v/>
      </c>
      <c r="B399" t="str">
        <f>IF($A399&lt;&gt;"",'All Cases - Enter Cases'!B399,"")</f>
        <v/>
      </c>
      <c r="C399" t="str">
        <f>IF($A399&lt;&gt;"",'All Cases - Enter Cases'!C399,"")</f>
        <v/>
      </c>
      <c r="D399" t="str">
        <f>IF($A399&lt;&gt;"",'All Cases - Enter Cases'!D399,"")</f>
        <v/>
      </c>
      <c r="E399" t="str">
        <f>IF($A399&lt;&gt;"",'All Cases - Enter Cases'!E399,"")</f>
        <v/>
      </c>
      <c r="F399" t="str">
        <f>IF($A399&lt;&gt;"",'All Cases - Enter Cases'!F399,"")</f>
        <v/>
      </c>
      <c r="G399" t="str">
        <f>IF($A399&lt;&gt;"",'All Cases - Enter Cases'!G399,"")</f>
        <v/>
      </c>
      <c r="H399" t="str">
        <f>IF($A399&lt;&gt;"",'All Cases - Enter Cases'!H399,"")</f>
        <v/>
      </c>
      <c r="I399" t="str">
        <f>IF($A399&lt;&gt;"",'All Cases - Enter Cases'!I399,"")</f>
        <v/>
      </c>
      <c r="J399" t="str">
        <f>IF($A399&lt;&gt;"",'All Cases - Enter Cases'!J399,"")</f>
        <v/>
      </c>
      <c r="K399" s="4" t="str">
        <f>IF($A399&lt;&gt;"",'All Cases - Enter Cases'!K399,"")</f>
        <v/>
      </c>
      <c r="L399" t="str">
        <f>IF($A399&lt;&gt;"",'All Cases - Enter Cases'!L399,"")</f>
        <v/>
      </c>
      <c r="M399" t="str">
        <f>IF($A399&lt;&gt;"",'All Cases - Enter Cases'!M399,"")</f>
        <v/>
      </c>
    </row>
    <row r="400" spans="1:13" x14ac:dyDescent="0.35">
      <c r="A400" s="10" t="str">
        <f>IF('All Cases - Enter Cases'!$F400="Sindh",'All Cases - Enter Cases'!A400,"")</f>
        <v/>
      </c>
      <c r="B400" t="str">
        <f>IF($A400&lt;&gt;"",'All Cases - Enter Cases'!B400,"")</f>
        <v/>
      </c>
      <c r="C400" t="str">
        <f>IF($A400&lt;&gt;"",'All Cases - Enter Cases'!C400,"")</f>
        <v/>
      </c>
      <c r="D400" t="str">
        <f>IF($A400&lt;&gt;"",'All Cases - Enter Cases'!D400,"")</f>
        <v/>
      </c>
      <c r="E400" t="str">
        <f>IF($A400&lt;&gt;"",'All Cases - Enter Cases'!E400,"")</f>
        <v/>
      </c>
      <c r="F400" t="str">
        <f>IF($A400&lt;&gt;"",'All Cases - Enter Cases'!F400,"")</f>
        <v/>
      </c>
      <c r="G400" t="str">
        <f>IF($A400&lt;&gt;"",'All Cases - Enter Cases'!G400,"")</f>
        <v/>
      </c>
      <c r="H400" t="str">
        <f>IF($A400&lt;&gt;"",'All Cases - Enter Cases'!H400,"")</f>
        <v/>
      </c>
      <c r="I400" t="str">
        <f>IF($A400&lt;&gt;"",'All Cases - Enter Cases'!I400,"")</f>
        <v/>
      </c>
      <c r="J400" t="str">
        <f>IF($A400&lt;&gt;"",'All Cases - Enter Cases'!J400,"")</f>
        <v/>
      </c>
      <c r="K400" s="4" t="str">
        <f>IF($A400&lt;&gt;"",'All Cases - Enter Cases'!K400,"")</f>
        <v/>
      </c>
      <c r="L400" t="str">
        <f>IF($A400&lt;&gt;"",'All Cases - Enter Cases'!L400,"")</f>
        <v/>
      </c>
      <c r="M400" t="str">
        <f>IF($A400&lt;&gt;"",'All Cases - Enter Cases'!M400,"")</f>
        <v/>
      </c>
    </row>
    <row r="401" spans="1:13" x14ac:dyDescent="0.35">
      <c r="A401" s="10" t="str">
        <f>IF('All Cases - Enter Cases'!$F401="Sindh",'All Cases - Enter Cases'!A401,"")</f>
        <v/>
      </c>
      <c r="B401" t="str">
        <f>IF($A401&lt;&gt;"",'All Cases - Enter Cases'!B401,"")</f>
        <v/>
      </c>
      <c r="C401" t="str">
        <f>IF($A401&lt;&gt;"",'All Cases - Enter Cases'!C401,"")</f>
        <v/>
      </c>
      <c r="D401" t="str">
        <f>IF($A401&lt;&gt;"",'All Cases - Enter Cases'!D401,"")</f>
        <v/>
      </c>
      <c r="E401" t="str">
        <f>IF($A401&lt;&gt;"",'All Cases - Enter Cases'!E401,"")</f>
        <v/>
      </c>
      <c r="F401" t="str">
        <f>IF($A401&lt;&gt;"",'All Cases - Enter Cases'!F401,"")</f>
        <v/>
      </c>
      <c r="G401" t="str">
        <f>IF($A401&lt;&gt;"",'All Cases - Enter Cases'!G401,"")</f>
        <v/>
      </c>
      <c r="H401" t="str">
        <f>IF($A401&lt;&gt;"",'All Cases - Enter Cases'!H401,"")</f>
        <v/>
      </c>
      <c r="I401" t="str">
        <f>IF($A401&lt;&gt;"",'All Cases - Enter Cases'!I401,"")</f>
        <v/>
      </c>
      <c r="J401" t="str">
        <f>IF($A401&lt;&gt;"",'All Cases - Enter Cases'!J401,"")</f>
        <v/>
      </c>
      <c r="K401" s="4" t="str">
        <f>IF($A401&lt;&gt;"",'All Cases - Enter Cases'!K401,"")</f>
        <v/>
      </c>
      <c r="L401" t="str">
        <f>IF($A401&lt;&gt;"",'All Cases - Enter Cases'!L401,"")</f>
        <v/>
      </c>
      <c r="M401" t="str">
        <f>IF($A401&lt;&gt;"",'All Cases - Enter Cases'!M401,"")</f>
        <v/>
      </c>
    </row>
    <row r="402" spans="1:13" x14ac:dyDescent="0.35">
      <c r="A402" s="10" t="str">
        <f>IF('All Cases - Enter Cases'!$F402="Sindh",'All Cases - Enter Cases'!A402,"")</f>
        <v/>
      </c>
      <c r="B402" t="str">
        <f>IF($A402&lt;&gt;"",'All Cases - Enter Cases'!B402,"")</f>
        <v/>
      </c>
      <c r="C402" t="str">
        <f>IF($A402&lt;&gt;"",'All Cases - Enter Cases'!C402,"")</f>
        <v/>
      </c>
      <c r="D402" t="str">
        <f>IF($A402&lt;&gt;"",'All Cases - Enter Cases'!D402,"")</f>
        <v/>
      </c>
      <c r="E402" t="str">
        <f>IF($A402&lt;&gt;"",'All Cases - Enter Cases'!E402,"")</f>
        <v/>
      </c>
      <c r="F402" t="str">
        <f>IF($A402&lt;&gt;"",'All Cases - Enter Cases'!F402,"")</f>
        <v/>
      </c>
      <c r="G402" t="str">
        <f>IF($A402&lt;&gt;"",'All Cases - Enter Cases'!G402,"")</f>
        <v/>
      </c>
      <c r="H402" t="str">
        <f>IF($A402&lt;&gt;"",'All Cases - Enter Cases'!H402,"")</f>
        <v/>
      </c>
      <c r="I402" t="str">
        <f>IF($A402&lt;&gt;"",'All Cases - Enter Cases'!I402,"")</f>
        <v/>
      </c>
      <c r="J402" t="str">
        <f>IF($A402&lt;&gt;"",'All Cases - Enter Cases'!J402,"")</f>
        <v/>
      </c>
      <c r="K402" s="4" t="str">
        <f>IF($A402&lt;&gt;"",'All Cases - Enter Cases'!K402,"")</f>
        <v/>
      </c>
      <c r="L402" t="str">
        <f>IF($A402&lt;&gt;"",'All Cases - Enter Cases'!L402,"")</f>
        <v/>
      </c>
      <c r="M402" t="str">
        <f>IF($A402&lt;&gt;"",'All Cases - Enter Cases'!M402,"")</f>
        <v/>
      </c>
    </row>
    <row r="403" spans="1:13" x14ac:dyDescent="0.35">
      <c r="A403" s="10" t="str">
        <f>IF('All Cases - Enter Cases'!$F403="Sindh",'All Cases - Enter Cases'!A403,"")</f>
        <v/>
      </c>
      <c r="B403" t="str">
        <f>IF($A403&lt;&gt;"",'All Cases - Enter Cases'!B403,"")</f>
        <v/>
      </c>
      <c r="C403" t="str">
        <f>IF($A403&lt;&gt;"",'All Cases - Enter Cases'!C403,"")</f>
        <v/>
      </c>
      <c r="D403" t="str">
        <f>IF($A403&lt;&gt;"",'All Cases - Enter Cases'!D403,"")</f>
        <v/>
      </c>
      <c r="E403" t="str">
        <f>IF($A403&lt;&gt;"",'All Cases - Enter Cases'!E403,"")</f>
        <v/>
      </c>
      <c r="F403" t="str">
        <f>IF($A403&lt;&gt;"",'All Cases - Enter Cases'!F403,"")</f>
        <v/>
      </c>
      <c r="G403" t="str">
        <f>IF($A403&lt;&gt;"",'All Cases - Enter Cases'!G403,"")</f>
        <v/>
      </c>
      <c r="H403" t="str">
        <f>IF($A403&lt;&gt;"",'All Cases - Enter Cases'!H403,"")</f>
        <v/>
      </c>
      <c r="I403" t="str">
        <f>IF($A403&lt;&gt;"",'All Cases - Enter Cases'!I403,"")</f>
        <v/>
      </c>
      <c r="J403" t="str">
        <f>IF($A403&lt;&gt;"",'All Cases - Enter Cases'!J403,"")</f>
        <v/>
      </c>
      <c r="K403" s="4" t="str">
        <f>IF($A403&lt;&gt;"",'All Cases - Enter Cases'!K403,"")</f>
        <v/>
      </c>
      <c r="L403" t="str">
        <f>IF($A403&lt;&gt;"",'All Cases - Enter Cases'!L403,"")</f>
        <v/>
      </c>
      <c r="M403" t="str">
        <f>IF($A403&lt;&gt;"",'All Cases - Enter Cases'!M403,"")</f>
        <v/>
      </c>
    </row>
    <row r="404" spans="1:13" x14ac:dyDescent="0.35">
      <c r="A404" s="10" t="str">
        <f>IF('All Cases - Enter Cases'!$F404="Sindh",'All Cases - Enter Cases'!A404,"")</f>
        <v/>
      </c>
      <c r="B404" t="str">
        <f>IF($A404&lt;&gt;"",'All Cases - Enter Cases'!B404,"")</f>
        <v/>
      </c>
      <c r="C404" t="str">
        <f>IF($A404&lt;&gt;"",'All Cases - Enter Cases'!C404,"")</f>
        <v/>
      </c>
      <c r="D404" t="str">
        <f>IF($A404&lt;&gt;"",'All Cases - Enter Cases'!D404,"")</f>
        <v/>
      </c>
      <c r="E404" t="str">
        <f>IF($A404&lt;&gt;"",'All Cases - Enter Cases'!E404,"")</f>
        <v/>
      </c>
      <c r="F404" t="str">
        <f>IF($A404&lt;&gt;"",'All Cases - Enter Cases'!F404,"")</f>
        <v/>
      </c>
      <c r="G404" t="str">
        <f>IF($A404&lt;&gt;"",'All Cases - Enter Cases'!G404,"")</f>
        <v/>
      </c>
      <c r="H404" t="str">
        <f>IF($A404&lt;&gt;"",'All Cases - Enter Cases'!H404,"")</f>
        <v/>
      </c>
      <c r="I404" t="str">
        <f>IF($A404&lt;&gt;"",'All Cases - Enter Cases'!I404,"")</f>
        <v/>
      </c>
      <c r="J404" t="str">
        <f>IF($A404&lt;&gt;"",'All Cases - Enter Cases'!J404,"")</f>
        <v/>
      </c>
      <c r="K404" s="4" t="str">
        <f>IF($A404&lt;&gt;"",'All Cases - Enter Cases'!K404,"")</f>
        <v/>
      </c>
      <c r="L404" t="str">
        <f>IF($A404&lt;&gt;"",'All Cases - Enter Cases'!L404,"")</f>
        <v/>
      </c>
      <c r="M404" t="str">
        <f>IF($A404&lt;&gt;"",'All Cases - Enter Cases'!M404,"")</f>
        <v/>
      </c>
    </row>
    <row r="405" spans="1:13" x14ac:dyDescent="0.35">
      <c r="A405" s="10" t="str">
        <f>IF('All Cases - Enter Cases'!$F405="Sindh",'All Cases - Enter Cases'!A405,"")</f>
        <v/>
      </c>
      <c r="B405" t="str">
        <f>IF($A405&lt;&gt;"",'All Cases - Enter Cases'!B405,"")</f>
        <v/>
      </c>
      <c r="C405" t="str">
        <f>IF($A405&lt;&gt;"",'All Cases - Enter Cases'!C405,"")</f>
        <v/>
      </c>
      <c r="D405" t="str">
        <f>IF($A405&lt;&gt;"",'All Cases - Enter Cases'!D405,"")</f>
        <v/>
      </c>
      <c r="E405" t="str">
        <f>IF($A405&lt;&gt;"",'All Cases - Enter Cases'!E405,"")</f>
        <v/>
      </c>
      <c r="F405" t="str">
        <f>IF($A405&lt;&gt;"",'All Cases - Enter Cases'!F405,"")</f>
        <v/>
      </c>
      <c r="G405" t="str">
        <f>IF($A405&lt;&gt;"",'All Cases - Enter Cases'!G405,"")</f>
        <v/>
      </c>
      <c r="H405" t="str">
        <f>IF($A405&lt;&gt;"",'All Cases - Enter Cases'!H405,"")</f>
        <v/>
      </c>
      <c r="I405" t="str">
        <f>IF($A405&lt;&gt;"",'All Cases - Enter Cases'!I405,"")</f>
        <v/>
      </c>
      <c r="J405" t="str">
        <f>IF($A405&lt;&gt;"",'All Cases - Enter Cases'!J405,"")</f>
        <v/>
      </c>
      <c r="K405" s="4" t="str">
        <f>IF($A405&lt;&gt;"",'All Cases - Enter Cases'!K405,"")</f>
        <v/>
      </c>
      <c r="L405" t="str">
        <f>IF($A405&lt;&gt;"",'All Cases - Enter Cases'!L405,"")</f>
        <v/>
      </c>
      <c r="M405" t="str">
        <f>IF($A405&lt;&gt;"",'All Cases - Enter Cases'!M405,"")</f>
        <v/>
      </c>
    </row>
    <row r="406" spans="1:13" x14ac:dyDescent="0.35">
      <c r="A406" s="10" t="str">
        <f>IF('All Cases - Enter Cases'!$F406="Sindh",'All Cases - Enter Cases'!A406,"")</f>
        <v/>
      </c>
      <c r="B406" t="str">
        <f>IF($A406&lt;&gt;"",'All Cases - Enter Cases'!B406,"")</f>
        <v/>
      </c>
      <c r="C406" t="str">
        <f>IF($A406&lt;&gt;"",'All Cases - Enter Cases'!C406,"")</f>
        <v/>
      </c>
      <c r="D406" t="str">
        <f>IF($A406&lt;&gt;"",'All Cases - Enter Cases'!D406,"")</f>
        <v/>
      </c>
      <c r="E406" t="str">
        <f>IF($A406&lt;&gt;"",'All Cases - Enter Cases'!E406,"")</f>
        <v/>
      </c>
      <c r="F406" t="str">
        <f>IF($A406&lt;&gt;"",'All Cases - Enter Cases'!F406,"")</f>
        <v/>
      </c>
      <c r="G406" t="str">
        <f>IF($A406&lt;&gt;"",'All Cases - Enter Cases'!G406,"")</f>
        <v/>
      </c>
      <c r="H406" t="str">
        <f>IF($A406&lt;&gt;"",'All Cases - Enter Cases'!H406,"")</f>
        <v/>
      </c>
      <c r="I406" t="str">
        <f>IF($A406&lt;&gt;"",'All Cases - Enter Cases'!I406,"")</f>
        <v/>
      </c>
      <c r="J406" t="str">
        <f>IF($A406&lt;&gt;"",'All Cases - Enter Cases'!J406,"")</f>
        <v/>
      </c>
      <c r="K406" s="4" t="str">
        <f>IF($A406&lt;&gt;"",'All Cases - Enter Cases'!K406,"")</f>
        <v/>
      </c>
      <c r="L406" t="str">
        <f>IF($A406&lt;&gt;"",'All Cases - Enter Cases'!L406,"")</f>
        <v/>
      </c>
      <c r="M406" t="str">
        <f>IF($A406&lt;&gt;"",'All Cases - Enter Cases'!M406,"")</f>
        <v/>
      </c>
    </row>
    <row r="407" spans="1:13" x14ac:dyDescent="0.35">
      <c r="A407" s="10" t="str">
        <f>IF('All Cases - Enter Cases'!$F407="Sindh",'All Cases - Enter Cases'!A407,"")</f>
        <v/>
      </c>
      <c r="B407" t="str">
        <f>IF($A407&lt;&gt;"",'All Cases - Enter Cases'!B407,"")</f>
        <v/>
      </c>
      <c r="C407" t="str">
        <f>IF($A407&lt;&gt;"",'All Cases - Enter Cases'!C407,"")</f>
        <v/>
      </c>
      <c r="D407" t="str">
        <f>IF($A407&lt;&gt;"",'All Cases - Enter Cases'!D407,"")</f>
        <v/>
      </c>
      <c r="E407" t="str">
        <f>IF($A407&lt;&gt;"",'All Cases - Enter Cases'!E407,"")</f>
        <v/>
      </c>
      <c r="F407" t="str">
        <f>IF($A407&lt;&gt;"",'All Cases - Enter Cases'!F407,"")</f>
        <v/>
      </c>
      <c r="G407" t="str">
        <f>IF($A407&lt;&gt;"",'All Cases - Enter Cases'!G407,"")</f>
        <v/>
      </c>
      <c r="H407" t="str">
        <f>IF($A407&lt;&gt;"",'All Cases - Enter Cases'!H407,"")</f>
        <v/>
      </c>
      <c r="I407" t="str">
        <f>IF($A407&lt;&gt;"",'All Cases - Enter Cases'!I407,"")</f>
        <v/>
      </c>
      <c r="J407" t="str">
        <f>IF($A407&lt;&gt;"",'All Cases - Enter Cases'!J407,"")</f>
        <v/>
      </c>
      <c r="K407" s="4" t="str">
        <f>IF($A407&lt;&gt;"",'All Cases - Enter Cases'!K407,"")</f>
        <v/>
      </c>
      <c r="L407" t="str">
        <f>IF($A407&lt;&gt;"",'All Cases - Enter Cases'!L407,"")</f>
        <v/>
      </c>
      <c r="M407" t="str">
        <f>IF($A407&lt;&gt;"",'All Cases - Enter Cases'!M407,"")</f>
        <v/>
      </c>
    </row>
    <row r="408" spans="1:13" x14ac:dyDescent="0.35">
      <c r="A408" s="10" t="str">
        <f>IF('All Cases - Enter Cases'!$F408="Sindh",'All Cases - Enter Cases'!A408,"")</f>
        <v/>
      </c>
      <c r="B408" t="str">
        <f>IF($A408&lt;&gt;"",'All Cases - Enter Cases'!B408,"")</f>
        <v/>
      </c>
      <c r="C408" t="str">
        <f>IF($A408&lt;&gt;"",'All Cases - Enter Cases'!C408,"")</f>
        <v/>
      </c>
      <c r="D408" t="str">
        <f>IF($A408&lt;&gt;"",'All Cases - Enter Cases'!D408,"")</f>
        <v/>
      </c>
      <c r="E408" t="str">
        <f>IF($A408&lt;&gt;"",'All Cases - Enter Cases'!E408,"")</f>
        <v/>
      </c>
      <c r="F408" t="str">
        <f>IF($A408&lt;&gt;"",'All Cases - Enter Cases'!F408,"")</f>
        <v/>
      </c>
      <c r="G408" t="str">
        <f>IF($A408&lt;&gt;"",'All Cases - Enter Cases'!G408,"")</f>
        <v/>
      </c>
      <c r="H408" t="str">
        <f>IF($A408&lt;&gt;"",'All Cases - Enter Cases'!H408,"")</f>
        <v/>
      </c>
      <c r="I408" t="str">
        <f>IF($A408&lt;&gt;"",'All Cases - Enter Cases'!I408,"")</f>
        <v/>
      </c>
      <c r="J408" t="str">
        <f>IF($A408&lt;&gt;"",'All Cases - Enter Cases'!J408,"")</f>
        <v/>
      </c>
      <c r="K408" s="4" t="str">
        <f>IF($A408&lt;&gt;"",'All Cases - Enter Cases'!K408,"")</f>
        <v/>
      </c>
      <c r="L408" t="str">
        <f>IF($A408&lt;&gt;"",'All Cases - Enter Cases'!L408,"")</f>
        <v/>
      </c>
      <c r="M408" t="str">
        <f>IF($A408&lt;&gt;"",'All Cases - Enter Cases'!M408,"")</f>
        <v/>
      </c>
    </row>
    <row r="409" spans="1:13" x14ac:dyDescent="0.35">
      <c r="A409" s="10" t="str">
        <f>IF('All Cases - Enter Cases'!$F409="Sindh",'All Cases - Enter Cases'!A409,"")</f>
        <v/>
      </c>
      <c r="B409" t="str">
        <f>IF($A409&lt;&gt;"",'All Cases - Enter Cases'!B409,"")</f>
        <v/>
      </c>
      <c r="C409" t="str">
        <f>IF($A409&lt;&gt;"",'All Cases - Enter Cases'!C409,"")</f>
        <v/>
      </c>
      <c r="D409" t="str">
        <f>IF($A409&lt;&gt;"",'All Cases - Enter Cases'!D409,"")</f>
        <v/>
      </c>
      <c r="E409" t="str">
        <f>IF($A409&lt;&gt;"",'All Cases - Enter Cases'!E409,"")</f>
        <v/>
      </c>
      <c r="F409" t="str">
        <f>IF($A409&lt;&gt;"",'All Cases - Enter Cases'!F409,"")</f>
        <v/>
      </c>
      <c r="G409" t="str">
        <f>IF($A409&lt;&gt;"",'All Cases - Enter Cases'!G409,"")</f>
        <v/>
      </c>
      <c r="H409" t="str">
        <f>IF($A409&lt;&gt;"",'All Cases - Enter Cases'!H409,"")</f>
        <v/>
      </c>
      <c r="I409" t="str">
        <f>IF($A409&lt;&gt;"",'All Cases - Enter Cases'!I409,"")</f>
        <v/>
      </c>
      <c r="J409" t="str">
        <f>IF($A409&lt;&gt;"",'All Cases - Enter Cases'!J409,"")</f>
        <v/>
      </c>
      <c r="K409" s="4" t="str">
        <f>IF($A409&lt;&gt;"",'All Cases - Enter Cases'!K409,"")</f>
        <v/>
      </c>
      <c r="L409" t="str">
        <f>IF($A409&lt;&gt;"",'All Cases - Enter Cases'!L409,"")</f>
        <v/>
      </c>
      <c r="M409" t="str">
        <f>IF($A409&lt;&gt;"",'All Cases - Enter Cases'!M409,"")</f>
        <v/>
      </c>
    </row>
    <row r="410" spans="1:13" x14ac:dyDescent="0.35">
      <c r="A410" s="10" t="str">
        <f>IF('All Cases - Enter Cases'!$F410="Sindh",'All Cases - Enter Cases'!A410,"")</f>
        <v/>
      </c>
      <c r="B410" t="str">
        <f>IF($A410&lt;&gt;"",'All Cases - Enter Cases'!B410,"")</f>
        <v/>
      </c>
      <c r="C410" t="str">
        <f>IF($A410&lt;&gt;"",'All Cases - Enter Cases'!C410,"")</f>
        <v/>
      </c>
      <c r="D410" t="str">
        <f>IF($A410&lt;&gt;"",'All Cases - Enter Cases'!D410,"")</f>
        <v/>
      </c>
      <c r="E410" t="str">
        <f>IF($A410&lt;&gt;"",'All Cases - Enter Cases'!E410,"")</f>
        <v/>
      </c>
      <c r="F410" t="str">
        <f>IF($A410&lt;&gt;"",'All Cases - Enter Cases'!F410,"")</f>
        <v/>
      </c>
      <c r="G410" t="str">
        <f>IF($A410&lt;&gt;"",'All Cases - Enter Cases'!G410,"")</f>
        <v/>
      </c>
      <c r="H410" t="str">
        <f>IF($A410&lt;&gt;"",'All Cases - Enter Cases'!H410,"")</f>
        <v/>
      </c>
      <c r="I410" t="str">
        <f>IF($A410&lt;&gt;"",'All Cases - Enter Cases'!I410,"")</f>
        <v/>
      </c>
      <c r="J410" t="str">
        <f>IF($A410&lt;&gt;"",'All Cases - Enter Cases'!J410,"")</f>
        <v/>
      </c>
      <c r="K410" s="4" t="str">
        <f>IF($A410&lt;&gt;"",'All Cases - Enter Cases'!K410,"")</f>
        <v/>
      </c>
      <c r="L410" t="str">
        <f>IF($A410&lt;&gt;"",'All Cases - Enter Cases'!L410,"")</f>
        <v/>
      </c>
      <c r="M410" t="str">
        <f>IF($A410&lt;&gt;"",'All Cases - Enter Cases'!M410,"")</f>
        <v/>
      </c>
    </row>
    <row r="411" spans="1:13" x14ac:dyDescent="0.35">
      <c r="A411" s="10" t="str">
        <f>IF('All Cases - Enter Cases'!$F411="Sindh",'All Cases - Enter Cases'!A411,"")</f>
        <v/>
      </c>
      <c r="B411" t="str">
        <f>IF($A411&lt;&gt;"",'All Cases - Enter Cases'!B411,"")</f>
        <v/>
      </c>
      <c r="C411" t="str">
        <f>IF($A411&lt;&gt;"",'All Cases - Enter Cases'!C411,"")</f>
        <v/>
      </c>
      <c r="D411" t="str">
        <f>IF($A411&lt;&gt;"",'All Cases - Enter Cases'!D411,"")</f>
        <v/>
      </c>
      <c r="E411" t="str">
        <f>IF($A411&lt;&gt;"",'All Cases - Enter Cases'!E411,"")</f>
        <v/>
      </c>
      <c r="F411" t="str">
        <f>IF($A411&lt;&gt;"",'All Cases - Enter Cases'!F411,"")</f>
        <v/>
      </c>
      <c r="G411" t="str">
        <f>IF($A411&lt;&gt;"",'All Cases - Enter Cases'!G411,"")</f>
        <v/>
      </c>
      <c r="H411" t="str">
        <f>IF($A411&lt;&gt;"",'All Cases - Enter Cases'!H411,"")</f>
        <v/>
      </c>
      <c r="I411" t="str">
        <f>IF($A411&lt;&gt;"",'All Cases - Enter Cases'!I411,"")</f>
        <v/>
      </c>
      <c r="J411" t="str">
        <f>IF($A411&lt;&gt;"",'All Cases - Enter Cases'!J411,"")</f>
        <v/>
      </c>
      <c r="K411" s="4" t="str">
        <f>IF($A411&lt;&gt;"",'All Cases - Enter Cases'!K411,"")</f>
        <v/>
      </c>
      <c r="L411" t="str">
        <f>IF($A411&lt;&gt;"",'All Cases - Enter Cases'!L411,"")</f>
        <v/>
      </c>
      <c r="M411" t="str">
        <f>IF($A411&lt;&gt;"",'All Cases - Enter Cases'!M411,"")</f>
        <v/>
      </c>
    </row>
    <row r="412" spans="1:13" x14ac:dyDescent="0.35">
      <c r="A412" s="10" t="str">
        <f>IF('All Cases - Enter Cases'!$F412="Sindh",'All Cases - Enter Cases'!A412,"")</f>
        <v/>
      </c>
      <c r="B412" t="str">
        <f>IF($A412&lt;&gt;"",'All Cases - Enter Cases'!B412,"")</f>
        <v/>
      </c>
      <c r="C412" t="str">
        <f>IF($A412&lt;&gt;"",'All Cases - Enter Cases'!C412,"")</f>
        <v/>
      </c>
      <c r="D412" t="str">
        <f>IF($A412&lt;&gt;"",'All Cases - Enter Cases'!D412,"")</f>
        <v/>
      </c>
      <c r="E412" t="str">
        <f>IF($A412&lt;&gt;"",'All Cases - Enter Cases'!E412,"")</f>
        <v/>
      </c>
      <c r="F412" t="str">
        <f>IF($A412&lt;&gt;"",'All Cases - Enter Cases'!F412,"")</f>
        <v/>
      </c>
      <c r="G412" t="str">
        <f>IF($A412&lt;&gt;"",'All Cases - Enter Cases'!G412,"")</f>
        <v/>
      </c>
      <c r="H412" t="str">
        <f>IF($A412&lt;&gt;"",'All Cases - Enter Cases'!H412,"")</f>
        <v/>
      </c>
      <c r="I412" t="str">
        <f>IF($A412&lt;&gt;"",'All Cases - Enter Cases'!I412,"")</f>
        <v/>
      </c>
      <c r="J412" t="str">
        <f>IF($A412&lt;&gt;"",'All Cases - Enter Cases'!J412,"")</f>
        <v/>
      </c>
      <c r="K412" s="4" t="str">
        <f>IF($A412&lt;&gt;"",'All Cases - Enter Cases'!K412,"")</f>
        <v/>
      </c>
      <c r="L412" t="str">
        <f>IF($A412&lt;&gt;"",'All Cases - Enter Cases'!L412,"")</f>
        <v/>
      </c>
      <c r="M412" t="str">
        <f>IF($A412&lt;&gt;"",'All Cases - Enter Cases'!M412,"")</f>
        <v/>
      </c>
    </row>
    <row r="413" spans="1:13" x14ac:dyDescent="0.35">
      <c r="A413" s="10" t="str">
        <f>IF('All Cases - Enter Cases'!$F413="Sindh",'All Cases - Enter Cases'!A413,"")</f>
        <v/>
      </c>
      <c r="B413" t="str">
        <f>IF($A413&lt;&gt;"",'All Cases - Enter Cases'!B413,"")</f>
        <v/>
      </c>
      <c r="C413" t="str">
        <f>IF($A413&lt;&gt;"",'All Cases - Enter Cases'!C413,"")</f>
        <v/>
      </c>
      <c r="D413" t="str">
        <f>IF($A413&lt;&gt;"",'All Cases - Enter Cases'!D413,"")</f>
        <v/>
      </c>
      <c r="E413" t="str">
        <f>IF($A413&lt;&gt;"",'All Cases - Enter Cases'!E413,"")</f>
        <v/>
      </c>
      <c r="F413" t="str">
        <f>IF($A413&lt;&gt;"",'All Cases - Enter Cases'!F413,"")</f>
        <v/>
      </c>
      <c r="G413" t="str">
        <f>IF($A413&lt;&gt;"",'All Cases - Enter Cases'!G413,"")</f>
        <v/>
      </c>
      <c r="H413" t="str">
        <f>IF($A413&lt;&gt;"",'All Cases - Enter Cases'!H413,"")</f>
        <v/>
      </c>
      <c r="I413" t="str">
        <f>IF($A413&lt;&gt;"",'All Cases - Enter Cases'!I413,"")</f>
        <v/>
      </c>
      <c r="J413" t="str">
        <f>IF($A413&lt;&gt;"",'All Cases - Enter Cases'!J413,"")</f>
        <v/>
      </c>
      <c r="K413" s="4" t="str">
        <f>IF($A413&lt;&gt;"",'All Cases - Enter Cases'!K413,"")</f>
        <v/>
      </c>
      <c r="L413" t="str">
        <f>IF($A413&lt;&gt;"",'All Cases - Enter Cases'!L413,"")</f>
        <v/>
      </c>
      <c r="M413" t="str">
        <f>IF($A413&lt;&gt;"",'All Cases - Enter Cases'!M413,"")</f>
        <v/>
      </c>
    </row>
    <row r="414" spans="1:13" x14ac:dyDescent="0.35">
      <c r="A414" s="10" t="str">
        <f>IF('All Cases - Enter Cases'!$F414="Sindh",'All Cases - Enter Cases'!A414,"")</f>
        <v/>
      </c>
      <c r="B414" t="str">
        <f>IF($A414&lt;&gt;"",'All Cases - Enter Cases'!B414,"")</f>
        <v/>
      </c>
      <c r="C414" t="str">
        <f>IF($A414&lt;&gt;"",'All Cases - Enter Cases'!C414,"")</f>
        <v/>
      </c>
      <c r="D414" t="str">
        <f>IF($A414&lt;&gt;"",'All Cases - Enter Cases'!D414,"")</f>
        <v/>
      </c>
      <c r="E414" t="str">
        <f>IF($A414&lt;&gt;"",'All Cases - Enter Cases'!E414,"")</f>
        <v/>
      </c>
      <c r="F414" t="str">
        <f>IF($A414&lt;&gt;"",'All Cases - Enter Cases'!F414,"")</f>
        <v/>
      </c>
      <c r="G414" t="str">
        <f>IF($A414&lt;&gt;"",'All Cases - Enter Cases'!G414,"")</f>
        <v/>
      </c>
      <c r="H414" t="str">
        <f>IF($A414&lt;&gt;"",'All Cases - Enter Cases'!H414,"")</f>
        <v/>
      </c>
      <c r="I414" t="str">
        <f>IF($A414&lt;&gt;"",'All Cases - Enter Cases'!I414,"")</f>
        <v/>
      </c>
      <c r="J414" t="str">
        <f>IF($A414&lt;&gt;"",'All Cases - Enter Cases'!J414,"")</f>
        <v/>
      </c>
      <c r="K414" s="4" t="str">
        <f>IF($A414&lt;&gt;"",'All Cases - Enter Cases'!K414,"")</f>
        <v/>
      </c>
      <c r="L414" t="str">
        <f>IF($A414&lt;&gt;"",'All Cases - Enter Cases'!L414,"")</f>
        <v/>
      </c>
      <c r="M414" t="str">
        <f>IF($A414&lt;&gt;"",'All Cases - Enter Cases'!M414,"")</f>
        <v/>
      </c>
    </row>
    <row r="415" spans="1:13" x14ac:dyDescent="0.35">
      <c r="A415" s="10" t="str">
        <f>IF('All Cases - Enter Cases'!$F415="Sindh",'All Cases - Enter Cases'!A415,"")</f>
        <v/>
      </c>
      <c r="B415" t="str">
        <f>IF($A415&lt;&gt;"",'All Cases - Enter Cases'!B415,"")</f>
        <v/>
      </c>
      <c r="C415" t="str">
        <f>IF($A415&lt;&gt;"",'All Cases - Enter Cases'!C415,"")</f>
        <v/>
      </c>
      <c r="D415" t="str">
        <f>IF($A415&lt;&gt;"",'All Cases - Enter Cases'!D415,"")</f>
        <v/>
      </c>
      <c r="E415" t="str">
        <f>IF($A415&lt;&gt;"",'All Cases - Enter Cases'!E415,"")</f>
        <v/>
      </c>
      <c r="F415" t="str">
        <f>IF($A415&lt;&gt;"",'All Cases - Enter Cases'!F415,"")</f>
        <v/>
      </c>
      <c r="G415" t="str">
        <f>IF($A415&lt;&gt;"",'All Cases - Enter Cases'!G415,"")</f>
        <v/>
      </c>
      <c r="H415" t="str">
        <f>IF($A415&lt;&gt;"",'All Cases - Enter Cases'!H415,"")</f>
        <v/>
      </c>
      <c r="I415" t="str">
        <f>IF($A415&lt;&gt;"",'All Cases - Enter Cases'!I415,"")</f>
        <v/>
      </c>
      <c r="J415" t="str">
        <f>IF($A415&lt;&gt;"",'All Cases - Enter Cases'!J415,"")</f>
        <v/>
      </c>
      <c r="K415" s="4" t="str">
        <f>IF($A415&lt;&gt;"",'All Cases - Enter Cases'!K415,"")</f>
        <v/>
      </c>
      <c r="L415" t="str">
        <f>IF($A415&lt;&gt;"",'All Cases - Enter Cases'!L415,"")</f>
        <v/>
      </c>
      <c r="M415" t="str">
        <f>IF($A415&lt;&gt;"",'All Cases - Enter Cases'!M415,"")</f>
        <v/>
      </c>
    </row>
    <row r="416" spans="1:13" x14ac:dyDescent="0.35">
      <c r="A416" s="10" t="str">
        <f>IF('All Cases - Enter Cases'!$F416="Sindh",'All Cases - Enter Cases'!A416,"")</f>
        <v/>
      </c>
      <c r="B416" t="str">
        <f>IF($A416&lt;&gt;"",'All Cases - Enter Cases'!B416,"")</f>
        <v/>
      </c>
      <c r="C416" t="str">
        <f>IF($A416&lt;&gt;"",'All Cases - Enter Cases'!C416,"")</f>
        <v/>
      </c>
      <c r="D416" t="str">
        <f>IF($A416&lt;&gt;"",'All Cases - Enter Cases'!D416,"")</f>
        <v/>
      </c>
      <c r="E416" t="str">
        <f>IF($A416&lt;&gt;"",'All Cases - Enter Cases'!E416,"")</f>
        <v/>
      </c>
      <c r="F416" t="str">
        <f>IF($A416&lt;&gt;"",'All Cases - Enter Cases'!F416,"")</f>
        <v/>
      </c>
      <c r="G416" t="str">
        <f>IF($A416&lt;&gt;"",'All Cases - Enter Cases'!G416,"")</f>
        <v/>
      </c>
      <c r="H416" t="str">
        <f>IF($A416&lt;&gt;"",'All Cases - Enter Cases'!H416,"")</f>
        <v/>
      </c>
      <c r="I416" t="str">
        <f>IF($A416&lt;&gt;"",'All Cases - Enter Cases'!I416,"")</f>
        <v/>
      </c>
      <c r="J416" t="str">
        <f>IF($A416&lt;&gt;"",'All Cases - Enter Cases'!J416,"")</f>
        <v/>
      </c>
      <c r="K416" s="4" t="str">
        <f>IF($A416&lt;&gt;"",'All Cases - Enter Cases'!K416,"")</f>
        <v/>
      </c>
      <c r="L416" t="str">
        <f>IF($A416&lt;&gt;"",'All Cases - Enter Cases'!L416,"")</f>
        <v/>
      </c>
      <c r="M416" t="str">
        <f>IF($A416&lt;&gt;"",'All Cases - Enter Cases'!M416,"")</f>
        <v/>
      </c>
    </row>
    <row r="417" spans="1:13" x14ac:dyDescent="0.35">
      <c r="A417" s="10" t="str">
        <f>IF('All Cases - Enter Cases'!$F417="Sindh",'All Cases - Enter Cases'!A417,"")</f>
        <v/>
      </c>
      <c r="B417" t="str">
        <f>IF($A417&lt;&gt;"",'All Cases - Enter Cases'!B417,"")</f>
        <v/>
      </c>
      <c r="C417" t="str">
        <f>IF($A417&lt;&gt;"",'All Cases - Enter Cases'!C417,"")</f>
        <v/>
      </c>
      <c r="D417" t="str">
        <f>IF($A417&lt;&gt;"",'All Cases - Enter Cases'!D417,"")</f>
        <v/>
      </c>
      <c r="E417" t="str">
        <f>IF($A417&lt;&gt;"",'All Cases - Enter Cases'!E417,"")</f>
        <v/>
      </c>
      <c r="F417" t="str">
        <f>IF($A417&lt;&gt;"",'All Cases - Enter Cases'!F417,"")</f>
        <v/>
      </c>
      <c r="G417" t="str">
        <f>IF($A417&lt;&gt;"",'All Cases - Enter Cases'!G417,"")</f>
        <v/>
      </c>
      <c r="H417" t="str">
        <f>IF($A417&lt;&gt;"",'All Cases - Enter Cases'!H417,"")</f>
        <v/>
      </c>
      <c r="I417" t="str">
        <f>IF($A417&lt;&gt;"",'All Cases - Enter Cases'!I417,"")</f>
        <v/>
      </c>
      <c r="J417" t="str">
        <f>IF($A417&lt;&gt;"",'All Cases - Enter Cases'!J417,"")</f>
        <v/>
      </c>
      <c r="K417" s="4" t="str">
        <f>IF($A417&lt;&gt;"",'All Cases - Enter Cases'!K417,"")</f>
        <v/>
      </c>
      <c r="L417" t="str">
        <f>IF($A417&lt;&gt;"",'All Cases - Enter Cases'!L417,"")</f>
        <v/>
      </c>
      <c r="M417" t="str">
        <f>IF($A417&lt;&gt;"",'All Cases - Enter Cases'!M417,"")</f>
        <v/>
      </c>
    </row>
    <row r="418" spans="1:13" x14ac:dyDescent="0.35">
      <c r="A418" s="10" t="str">
        <f>IF('All Cases - Enter Cases'!$F418="Sindh",'All Cases - Enter Cases'!A418,"")</f>
        <v/>
      </c>
      <c r="B418" t="str">
        <f>IF($A418&lt;&gt;"",'All Cases - Enter Cases'!B418,"")</f>
        <v/>
      </c>
      <c r="C418" t="str">
        <f>IF($A418&lt;&gt;"",'All Cases - Enter Cases'!C418,"")</f>
        <v/>
      </c>
      <c r="D418" t="str">
        <f>IF($A418&lt;&gt;"",'All Cases - Enter Cases'!D418,"")</f>
        <v/>
      </c>
      <c r="E418" t="str">
        <f>IF($A418&lt;&gt;"",'All Cases - Enter Cases'!E418,"")</f>
        <v/>
      </c>
      <c r="F418" t="str">
        <f>IF($A418&lt;&gt;"",'All Cases - Enter Cases'!F418,"")</f>
        <v/>
      </c>
      <c r="G418" t="str">
        <f>IF($A418&lt;&gt;"",'All Cases - Enter Cases'!G418,"")</f>
        <v/>
      </c>
      <c r="H418" t="str">
        <f>IF($A418&lt;&gt;"",'All Cases - Enter Cases'!H418,"")</f>
        <v/>
      </c>
      <c r="I418" t="str">
        <f>IF($A418&lt;&gt;"",'All Cases - Enter Cases'!I418,"")</f>
        <v/>
      </c>
      <c r="J418" t="str">
        <f>IF($A418&lt;&gt;"",'All Cases - Enter Cases'!J418,"")</f>
        <v/>
      </c>
      <c r="K418" s="4" t="str">
        <f>IF($A418&lt;&gt;"",'All Cases - Enter Cases'!K418,"")</f>
        <v/>
      </c>
      <c r="L418" t="str">
        <f>IF($A418&lt;&gt;"",'All Cases - Enter Cases'!L418,"")</f>
        <v/>
      </c>
      <c r="M418" t="str">
        <f>IF($A418&lt;&gt;"",'All Cases - Enter Cases'!M418,"")</f>
        <v/>
      </c>
    </row>
    <row r="419" spans="1:13" x14ac:dyDescent="0.35">
      <c r="A419" s="10" t="str">
        <f>IF('All Cases - Enter Cases'!$F419="Sindh",'All Cases - Enter Cases'!A419,"")</f>
        <v/>
      </c>
      <c r="B419" t="str">
        <f>IF($A419&lt;&gt;"",'All Cases - Enter Cases'!B419,"")</f>
        <v/>
      </c>
      <c r="C419" t="str">
        <f>IF($A419&lt;&gt;"",'All Cases - Enter Cases'!C419,"")</f>
        <v/>
      </c>
      <c r="D419" t="str">
        <f>IF($A419&lt;&gt;"",'All Cases - Enter Cases'!D419,"")</f>
        <v/>
      </c>
      <c r="E419" t="str">
        <f>IF($A419&lt;&gt;"",'All Cases - Enter Cases'!E419,"")</f>
        <v/>
      </c>
      <c r="F419" t="str">
        <f>IF($A419&lt;&gt;"",'All Cases - Enter Cases'!F419,"")</f>
        <v/>
      </c>
      <c r="G419" t="str">
        <f>IF($A419&lt;&gt;"",'All Cases - Enter Cases'!G419,"")</f>
        <v/>
      </c>
      <c r="H419" t="str">
        <f>IF($A419&lt;&gt;"",'All Cases - Enter Cases'!H419,"")</f>
        <v/>
      </c>
      <c r="I419" t="str">
        <f>IF($A419&lt;&gt;"",'All Cases - Enter Cases'!I419,"")</f>
        <v/>
      </c>
      <c r="J419" t="str">
        <f>IF($A419&lt;&gt;"",'All Cases - Enter Cases'!J419,"")</f>
        <v/>
      </c>
      <c r="K419" s="4" t="str">
        <f>IF($A419&lt;&gt;"",'All Cases - Enter Cases'!K419,"")</f>
        <v/>
      </c>
      <c r="L419" t="str">
        <f>IF($A419&lt;&gt;"",'All Cases - Enter Cases'!L419,"")</f>
        <v/>
      </c>
      <c r="M419" t="str">
        <f>IF($A419&lt;&gt;"",'All Cases - Enter Cases'!M419,"")</f>
        <v/>
      </c>
    </row>
    <row r="420" spans="1:13" x14ac:dyDescent="0.35">
      <c r="A420" s="10" t="str">
        <f>IF('All Cases - Enter Cases'!$F420="Sindh",'All Cases - Enter Cases'!A420,"")</f>
        <v/>
      </c>
      <c r="B420" t="str">
        <f>IF($A420&lt;&gt;"",'All Cases - Enter Cases'!B420,"")</f>
        <v/>
      </c>
      <c r="C420" t="str">
        <f>IF($A420&lt;&gt;"",'All Cases - Enter Cases'!C420,"")</f>
        <v/>
      </c>
      <c r="D420" t="str">
        <f>IF($A420&lt;&gt;"",'All Cases - Enter Cases'!D420,"")</f>
        <v/>
      </c>
      <c r="E420" t="str">
        <f>IF($A420&lt;&gt;"",'All Cases - Enter Cases'!E420,"")</f>
        <v/>
      </c>
      <c r="F420" t="str">
        <f>IF($A420&lt;&gt;"",'All Cases - Enter Cases'!F420,"")</f>
        <v/>
      </c>
      <c r="G420" t="str">
        <f>IF($A420&lt;&gt;"",'All Cases - Enter Cases'!G420,"")</f>
        <v/>
      </c>
      <c r="H420" t="str">
        <f>IF($A420&lt;&gt;"",'All Cases - Enter Cases'!H420,"")</f>
        <v/>
      </c>
      <c r="I420" t="str">
        <f>IF($A420&lt;&gt;"",'All Cases - Enter Cases'!I420,"")</f>
        <v/>
      </c>
      <c r="J420" t="str">
        <f>IF($A420&lt;&gt;"",'All Cases - Enter Cases'!J420,"")</f>
        <v/>
      </c>
      <c r="K420" s="4" t="str">
        <f>IF($A420&lt;&gt;"",'All Cases - Enter Cases'!K420,"")</f>
        <v/>
      </c>
      <c r="L420" t="str">
        <f>IF($A420&lt;&gt;"",'All Cases - Enter Cases'!L420,"")</f>
        <v/>
      </c>
      <c r="M420" t="str">
        <f>IF($A420&lt;&gt;"",'All Cases - Enter Cases'!M420,"")</f>
        <v/>
      </c>
    </row>
    <row r="421" spans="1:13" x14ac:dyDescent="0.35">
      <c r="A421" s="10" t="str">
        <f>IF('All Cases - Enter Cases'!$F421="Sindh",'All Cases - Enter Cases'!A421,"")</f>
        <v/>
      </c>
      <c r="B421" t="str">
        <f>IF($A421&lt;&gt;"",'All Cases - Enter Cases'!B421,"")</f>
        <v/>
      </c>
      <c r="C421" t="str">
        <f>IF($A421&lt;&gt;"",'All Cases - Enter Cases'!C421,"")</f>
        <v/>
      </c>
      <c r="D421" t="str">
        <f>IF($A421&lt;&gt;"",'All Cases - Enter Cases'!D421,"")</f>
        <v/>
      </c>
      <c r="E421" t="str">
        <f>IF($A421&lt;&gt;"",'All Cases - Enter Cases'!E421,"")</f>
        <v/>
      </c>
      <c r="F421" t="str">
        <f>IF($A421&lt;&gt;"",'All Cases - Enter Cases'!F421,"")</f>
        <v/>
      </c>
      <c r="G421" t="str">
        <f>IF($A421&lt;&gt;"",'All Cases - Enter Cases'!G421,"")</f>
        <v/>
      </c>
      <c r="H421" t="str">
        <f>IF($A421&lt;&gt;"",'All Cases - Enter Cases'!H421,"")</f>
        <v/>
      </c>
      <c r="I421" t="str">
        <f>IF($A421&lt;&gt;"",'All Cases - Enter Cases'!I421,"")</f>
        <v/>
      </c>
      <c r="J421" t="str">
        <f>IF($A421&lt;&gt;"",'All Cases - Enter Cases'!J421,"")</f>
        <v/>
      </c>
      <c r="K421" s="4" t="str">
        <f>IF($A421&lt;&gt;"",'All Cases - Enter Cases'!K421,"")</f>
        <v/>
      </c>
      <c r="L421" t="str">
        <f>IF($A421&lt;&gt;"",'All Cases - Enter Cases'!L421,"")</f>
        <v/>
      </c>
      <c r="M421" t="str">
        <f>IF($A421&lt;&gt;"",'All Cases - Enter Cases'!M421,"")</f>
        <v/>
      </c>
    </row>
    <row r="422" spans="1:13" x14ac:dyDescent="0.35">
      <c r="A422" s="10" t="str">
        <f>IF('All Cases - Enter Cases'!$F422="Sindh",'All Cases - Enter Cases'!A422,"")</f>
        <v/>
      </c>
      <c r="B422" t="str">
        <f>IF($A422&lt;&gt;"",'All Cases - Enter Cases'!B422,"")</f>
        <v/>
      </c>
      <c r="C422" t="str">
        <f>IF($A422&lt;&gt;"",'All Cases - Enter Cases'!C422,"")</f>
        <v/>
      </c>
      <c r="D422" t="str">
        <f>IF($A422&lt;&gt;"",'All Cases - Enter Cases'!D422,"")</f>
        <v/>
      </c>
      <c r="E422" t="str">
        <f>IF($A422&lt;&gt;"",'All Cases - Enter Cases'!E422,"")</f>
        <v/>
      </c>
      <c r="F422" t="str">
        <f>IF($A422&lt;&gt;"",'All Cases - Enter Cases'!F422,"")</f>
        <v/>
      </c>
      <c r="G422" t="str">
        <f>IF($A422&lt;&gt;"",'All Cases - Enter Cases'!G422,"")</f>
        <v/>
      </c>
      <c r="H422" t="str">
        <f>IF($A422&lt;&gt;"",'All Cases - Enter Cases'!H422,"")</f>
        <v/>
      </c>
      <c r="I422" t="str">
        <f>IF($A422&lt;&gt;"",'All Cases - Enter Cases'!I422,"")</f>
        <v/>
      </c>
      <c r="J422" t="str">
        <f>IF($A422&lt;&gt;"",'All Cases - Enter Cases'!J422,"")</f>
        <v/>
      </c>
      <c r="K422" s="4" t="str">
        <f>IF($A422&lt;&gt;"",'All Cases - Enter Cases'!K422,"")</f>
        <v/>
      </c>
      <c r="L422" t="str">
        <f>IF($A422&lt;&gt;"",'All Cases - Enter Cases'!L422,"")</f>
        <v/>
      </c>
      <c r="M422" t="str">
        <f>IF($A422&lt;&gt;"",'All Cases - Enter Cases'!M422,"")</f>
        <v/>
      </c>
    </row>
    <row r="423" spans="1:13" x14ac:dyDescent="0.35">
      <c r="A423" s="10" t="str">
        <f>IF('All Cases - Enter Cases'!$F423="Sindh",'All Cases - Enter Cases'!A423,"")</f>
        <v/>
      </c>
      <c r="B423" t="str">
        <f>IF($A423&lt;&gt;"",'All Cases - Enter Cases'!B423,"")</f>
        <v/>
      </c>
      <c r="C423" t="str">
        <f>IF($A423&lt;&gt;"",'All Cases - Enter Cases'!C423,"")</f>
        <v/>
      </c>
      <c r="D423" t="str">
        <f>IF($A423&lt;&gt;"",'All Cases - Enter Cases'!D423,"")</f>
        <v/>
      </c>
      <c r="E423" t="str">
        <f>IF($A423&lt;&gt;"",'All Cases - Enter Cases'!E423,"")</f>
        <v/>
      </c>
      <c r="F423" t="str">
        <f>IF($A423&lt;&gt;"",'All Cases - Enter Cases'!F423,"")</f>
        <v/>
      </c>
      <c r="G423" t="str">
        <f>IF($A423&lt;&gt;"",'All Cases - Enter Cases'!G423,"")</f>
        <v/>
      </c>
      <c r="H423" t="str">
        <f>IF($A423&lt;&gt;"",'All Cases - Enter Cases'!H423,"")</f>
        <v/>
      </c>
      <c r="I423" t="str">
        <f>IF($A423&lt;&gt;"",'All Cases - Enter Cases'!I423,"")</f>
        <v/>
      </c>
      <c r="J423" t="str">
        <f>IF($A423&lt;&gt;"",'All Cases - Enter Cases'!J423,"")</f>
        <v/>
      </c>
      <c r="K423" s="4" t="str">
        <f>IF($A423&lt;&gt;"",'All Cases - Enter Cases'!K423,"")</f>
        <v/>
      </c>
      <c r="L423" t="str">
        <f>IF($A423&lt;&gt;"",'All Cases - Enter Cases'!L423,"")</f>
        <v/>
      </c>
      <c r="M423" t="str">
        <f>IF($A423&lt;&gt;"",'All Cases - Enter Cases'!M423,"")</f>
        <v/>
      </c>
    </row>
    <row r="424" spans="1:13" x14ac:dyDescent="0.35">
      <c r="A424" s="10" t="str">
        <f>IF('All Cases - Enter Cases'!$F424="Sindh",'All Cases - Enter Cases'!A424,"")</f>
        <v/>
      </c>
      <c r="B424" t="str">
        <f>IF($A424&lt;&gt;"",'All Cases - Enter Cases'!B424,"")</f>
        <v/>
      </c>
      <c r="C424" t="str">
        <f>IF($A424&lt;&gt;"",'All Cases - Enter Cases'!C424,"")</f>
        <v/>
      </c>
      <c r="D424" t="str">
        <f>IF($A424&lt;&gt;"",'All Cases - Enter Cases'!D424,"")</f>
        <v/>
      </c>
      <c r="E424" t="str">
        <f>IF($A424&lt;&gt;"",'All Cases - Enter Cases'!E424,"")</f>
        <v/>
      </c>
      <c r="F424" t="str">
        <f>IF($A424&lt;&gt;"",'All Cases - Enter Cases'!F424,"")</f>
        <v/>
      </c>
      <c r="G424" t="str">
        <f>IF($A424&lt;&gt;"",'All Cases - Enter Cases'!G424,"")</f>
        <v/>
      </c>
      <c r="H424" t="str">
        <f>IF($A424&lt;&gt;"",'All Cases - Enter Cases'!H424,"")</f>
        <v/>
      </c>
      <c r="I424" t="str">
        <f>IF($A424&lt;&gt;"",'All Cases - Enter Cases'!I424,"")</f>
        <v/>
      </c>
      <c r="J424" t="str">
        <f>IF($A424&lt;&gt;"",'All Cases - Enter Cases'!J424,"")</f>
        <v/>
      </c>
      <c r="K424" s="4" t="str">
        <f>IF($A424&lt;&gt;"",'All Cases - Enter Cases'!K424,"")</f>
        <v/>
      </c>
      <c r="L424" t="str">
        <f>IF($A424&lt;&gt;"",'All Cases - Enter Cases'!L424,"")</f>
        <v/>
      </c>
      <c r="M424" t="str">
        <f>IF($A424&lt;&gt;"",'All Cases - Enter Cases'!M424,"")</f>
        <v/>
      </c>
    </row>
    <row r="425" spans="1:13" x14ac:dyDescent="0.35">
      <c r="A425" s="10" t="str">
        <f>IF('All Cases - Enter Cases'!$F425="Sindh",'All Cases - Enter Cases'!A425,"")</f>
        <v/>
      </c>
      <c r="B425" t="str">
        <f>IF($A425&lt;&gt;"",'All Cases - Enter Cases'!B425,"")</f>
        <v/>
      </c>
      <c r="C425" t="str">
        <f>IF($A425&lt;&gt;"",'All Cases - Enter Cases'!C425,"")</f>
        <v/>
      </c>
      <c r="D425" t="str">
        <f>IF($A425&lt;&gt;"",'All Cases - Enter Cases'!D425,"")</f>
        <v/>
      </c>
      <c r="E425" t="str">
        <f>IF($A425&lt;&gt;"",'All Cases - Enter Cases'!E425,"")</f>
        <v/>
      </c>
      <c r="F425" t="str">
        <f>IF($A425&lt;&gt;"",'All Cases - Enter Cases'!F425,"")</f>
        <v/>
      </c>
      <c r="G425" t="str">
        <f>IF($A425&lt;&gt;"",'All Cases - Enter Cases'!G425,"")</f>
        <v/>
      </c>
      <c r="H425" t="str">
        <f>IF($A425&lt;&gt;"",'All Cases - Enter Cases'!H425,"")</f>
        <v/>
      </c>
      <c r="I425" t="str">
        <f>IF($A425&lt;&gt;"",'All Cases - Enter Cases'!I425,"")</f>
        <v/>
      </c>
      <c r="J425" t="str">
        <f>IF($A425&lt;&gt;"",'All Cases - Enter Cases'!J425,"")</f>
        <v/>
      </c>
      <c r="K425" s="4" t="str">
        <f>IF($A425&lt;&gt;"",'All Cases - Enter Cases'!K425,"")</f>
        <v/>
      </c>
      <c r="L425" t="str">
        <f>IF($A425&lt;&gt;"",'All Cases - Enter Cases'!L425,"")</f>
        <v/>
      </c>
      <c r="M425" t="str">
        <f>IF($A425&lt;&gt;"",'All Cases - Enter Cases'!M425,"")</f>
        <v/>
      </c>
    </row>
    <row r="426" spans="1:13" x14ac:dyDescent="0.35">
      <c r="A426" s="10" t="str">
        <f>IF('All Cases - Enter Cases'!$F426="Sindh",'All Cases - Enter Cases'!A426,"")</f>
        <v/>
      </c>
      <c r="B426" t="str">
        <f>IF($A426&lt;&gt;"",'All Cases - Enter Cases'!B426,"")</f>
        <v/>
      </c>
      <c r="C426" t="str">
        <f>IF($A426&lt;&gt;"",'All Cases - Enter Cases'!C426,"")</f>
        <v/>
      </c>
      <c r="D426" t="str">
        <f>IF($A426&lt;&gt;"",'All Cases - Enter Cases'!D426,"")</f>
        <v/>
      </c>
      <c r="E426" t="str">
        <f>IF($A426&lt;&gt;"",'All Cases - Enter Cases'!E426,"")</f>
        <v/>
      </c>
      <c r="F426" t="str">
        <f>IF($A426&lt;&gt;"",'All Cases - Enter Cases'!F426,"")</f>
        <v/>
      </c>
      <c r="G426" t="str">
        <f>IF($A426&lt;&gt;"",'All Cases - Enter Cases'!G426,"")</f>
        <v/>
      </c>
      <c r="H426" t="str">
        <f>IF($A426&lt;&gt;"",'All Cases - Enter Cases'!H426,"")</f>
        <v/>
      </c>
      <c r="I426" t="str">
        <f>IF($A426&lt;&gt;"",'All Cases - Enter Cases'!I426,"")</f>
        <v/>
      </c>
      <c r="J426" t="str">
        <f>IF($A426&lt;&gt;"",'All Cases - Enter Cases'!J426,"")</f>
        <v/>
      </c>
      <c r="K426" s="4" t="str">
        <f>IF($A426&lt;&gt;"",'All Cases - Enter Cases'!K426,"")</f>
        <v/>
      </c>
      <c r="L426" t="str">
        <f>IF($A426&lt;&gt;"",'All Cases - Enter Cases'!L426,"")</f>
        <v/>
      </c>
      <c r="M426" t="str">
        <f>IF($A426&lt;&gt;"",'All Cases - Enter Cases'!M426,"")</f>
        <v/>
      </c>
    </row>
    <row r="427" spans="1:13" x14ac:dyDescent="0.35">
      <c r="A427" s="10" t="str">
        <f>IF('All Cases - Enter Cases'!$F427="Sindh",'All Cases - Enter Cases'!A427,"")</f>
        <v/>
      </c>
      <c r="B427" t="str">
        <f>IF($A427&lt;&gt;"",'All Cases - Enter Cases'!B427,"")</f>
        <v/>
      </c>
      <c r="C427" t="str">
        <f>IF($A427&lt;&gt;"",'All Cases - Enter Cases'!C427,"")</f>
        <v/>
      </c>
      <c r="D427" t="str">
        <f>IF($A427&lt;&gt;"",'All Cases - Enter Cases'!D427,"")</f>
        <v/>
      </c>
      <c r="E427" t="str">
        <f>IF($A427&lt;&gt;"",'All Cases - Enter Cases'!E427,"")</f>
        <v/>
      </c>
      <c r="F427" t="str">
        <f>IF($A427&lt;&gt;"",'All Cases - Enter Cases'!F427,"")</f>
        <v/>
      </c>
      <c r="G427" t="str">
        <f>IF($A427&lt;&gt;"",'All Cases - Enter Cases'!G427,"")</f>
        <v/>
      </c>
      <c r="H427" t="str">
        <f>IF($A427&lt;&gt;"",'All Cases - Enter Cases'!H427,"")</f>
        <v/>
      </c>
      <c r="I427" t="str">
        <f>IF($A427&lt;&gt;"",'All Cases - Enter Cases'!I427,"")</f>
        <v/>
      </c>
      <c r="J427" t="str">
        <f>IF($A427&lt;&gt;"",'All Cases - Enter Cases'!J427,"")</f>
        <v/>
      </c>
      <c r="K427" s="4" t="str">
        <f>IF($A427&lt;&gt;"",'All Cases - Enter Cases'!K427,"")</f>
        <v/>
      </c>
      <c r="L427" t="str">
        <f>IF($A427&lt;&gt;"",'All Cases - Enter Cases'!L427,"")</f>
        <v/>
      </c>
      <c r="M427" t="str">
        <f>IF($A427&lt;&gt;"",'All Cases - Enter Cases'!M427,"")</f>
        <v/>
      </c>
    </row>
    <row r="428" spans="1:13" x14ac:dyDescent="0.35">
      <c r="A428" s="10" t="str">
        <f>IF('All Cases - Enter Cases'!$F428="Sindh",'All Cases - Enter Cases'!A428,"")</f>
        <v/>
      </c>
      <c r="B428" t="str">
        <f>IF($A428&lt;&gt;"",'All Cases - Enter Cases'!B428,"")</f>
        <v/>
      </c>
      <c r="C428" t="str">
        <f>IF($A428&lt;&gt;"",'All Cases - Enter Cases'!C428,"")</f>
        <v/>
      </c>
      <c r="D428" t="str">
        <f>IF($A428&lt;&gt;"",'All Cases - Enter Cases'!D428,"")</f>
        <v/>
      </c>
      <c r="E428" t="str">
        <f>IF($A428&lt;&gt;"",'All Cases - Enter Cases'!E428,"")</f>
        <v/>
      </c>
      <c r="F428" t="str">
        <f>IF($A428&lt;&gt;"",'All Cases - Enter Cases'!F428,"")</f>
        <v/>
      </c>
      <c r="G428" t="str">
        <f>IF($A428&lt;&gt;"",'All Cases - Enter Cases'!G428,"")</f>
        <v/>
      </c>
      <c r="H428" t="str">
        <f>IF($A428&lt;&gt;"",'All Cases - Enter Cases'!H428,"")</f>
        <v/>
      </c>
      <c r="I428" t="str">
        <f>IF($A428&lt;&gt;"",'All Cases - Enter Cases'!I428,"")</f>
        <v/>
      </c>
      <c r="J428" t="str">
        <f>IF($A428&lt;&gt;"",'All Cases - Enter Cases'!J428,"")</f>
        <v/>
      </c>
      <c r="K428" s="4" t="str">
        <f>IF($A428&lt;&gt;"",'All Cases - Enter Cases'!K428,"")</f>
        <v/>
      </c>
      <c r="L428" t="str">
        <f>IF($A428&lt;&gt;"",'All Cases - Enter Cases'!L428,"")</f>
        <v/>
      </c>
      <c r="M428" t="str">
        <f>IF($A428&lt;&gt;"",'All Cases - Enter Cases'!M428,"")</f>
        <v/>
      </c>
    </row>
    <row r="429" spans="1:13" x14ac:dyDescent="0.35">
      <c r="A429" s="10" t="str">
        <f>IF('All Cases - Enter Cases'!$F429="Sindh",'All Cases - Enter Cases'!A429,"")</f>
        <v/>
      </c>
      <c r="B429" t="str">
        <f>IF($A429&lt;&gt;"",'All Cases - Enter Cases'!B429,"")</f>
        <v/>
      </c>
      <c r="C429" t="str">
        <f>IF($A429&lt;&gt;"",'All Cases - Enter Cases'!C429,"")</f>
        <v/>
      </c>
      <c r="D429" t="str">
        <f>IF($A429&lt;&gt;"",'All Cases - Enter Cases'!D429,"")</f>
        <v/>
      </c>
      <c r="E429" t="str">
        <f>IF($A429&lt;&gt;"",'All Cases - Enter Cases'!E429,"")</f>
        <v/>
      </c>
      <c r="F429" t="str">
        <f>IF($A429&lt;&gt;"",'All Cases - Enter Cases'!F429,"")</f>
        <v/>
      </c>
      <c r="G429" t="str">
        <f>IF($A429&lt;&gt;"",'All Cases - Enter Cases'!G429,"")</f>
        <v/>
      </c>
      <c r="H429" t="str">
        <f>IF($A429&lt;&gt;"",'All Cases - Enter Cases'!H429,"")</f>
        <v/>
      </c>
      <c r="I429" t="str">
        <f>IF($A429&lt;&gt;"",'All Cases - Enter Cases'!I429,"")</f>
        <v/>
      </c>
      <c r="J429" t="str">
        <f>IF($A429&lt;&gt;"",'All Cases - Enter Cases'!J429,"")</f>
        <v/>
      </c>
      <c r="K429" s="4" t="str">
        <f>IF($A429&lt;&gt;"",'All Cases - Enter Cases'!K429,"")</f>
        <v/>
      </c>
      <c r="L429" t="str">
        <f>IF($A429&lt;&gt;"",'All Cases - Enter Cases'!L429,"")</f>
        <v/>
      </c>
      <c r="M429" t="str">
        <f>IF($A429&lt;&gt;"",'All Cases - Enter Cases'!M429,"")</f>
        <v/>
      </c>
    </row>
    <row r="430" spans="1:13" x14ac:dyDescent="0.35">
      <c r="A430" s="10" t="str">
        <f>IF('All Cases - Enter Cases'!$F430="Sindh",'All Cases - Enter Cases'!A430,"")</f>
        <v/>
      </c>
      <c r="B430" t="str">
        <f>IF($A430&lt;&gt;"",'All Cases - Enter Cases'!B430,"")</f>
        <v/>
      </c>
      <c r="C430" t="str">
        <f>IF($A430&lt;&gt;"",'All Cases - Enter Cases'!C430,"")</f>
        <v/>
      </c>
      <c r="D430" t="str">
        <f>IF($A430&lt;&gt;"",'All Cases - Enter Cases'!D430,"")</f>
        <v/>
      </c>
      <c r="E430" t="str">
        <f>IF($A430&lt;&gt;"",'All Cases - Enter Cases'!E430,"")</f>
        <v/>
      </c>
      <c r="F430" t="str">
        <f>IF($A430&lt;&gt;"",'All Cases - Enter Cases'!F430,"")</f>
        <v/>
      </c>
      <c r="G430" t="str">
        <f>IF($A430&lt;&gt;"",'All Cases - Enter Cases'!G430,"")</f>
        <v/>
      </c>
      <c r="H430" t="str">
        <f>IF($A430&lt;&gt;"",'All Cases - Enter Cases'!H430,"")</f>
        <v/>
      </c>
      <c r="I430" t="str">
        <f>IF($A430&lt;&gt;"",'All Cases - Enter Cases'!I430,"")</f>
        <v/>
      </c>
      <c r="J430" t="str">
        <f>IF($A430&lt;&gt;"",'All Cases - Enter Cases'!J430,"")</f>
        <v/>
      </c>
      <c r="K430" s="4" t="str">
        <f>IF($A430&lt;&gt;"",'All Cases - Enter Cases'!K430,"")</f>
        <v/>
      </c>
      <c r="L430" t="str">
        <f>IF($A430&lt;&gt;"",'All Cases - Enter Cases'!L430,"")</f>
        <v/>
      </c>
      <c r="M430" t="str">
        <f>IF($A430&lt;&gt;"",'All Cases - Enter Cases'!M430,"")</f>
        <v/>
      </c>
    </row>
    <row r="431" spans="1:13" x14ac:dyDescent="0.35">
      <c r="A431" s="10" t="str">
        <f>IF('All Cases - Enter Cases'!$F431="Sindh",'All Cases - Enter Cases'!A431,"")</f>
        <v/>
      </c>
      <c r="B431" t="str">
        <f>IF($A431&lt;&gt;"",'All Cases - Enter Cases'!B431,"")</f>
        <v/>
      </c>
      <c r="C431" t="str">
        <f>IF($A431&lt;&gt;"",'All Cases - Enter Cases'!C431,"")</f>
        <v/>
      </c>
      <c r="D431" t="str">
        <f>IF($A431&lt;&gt;"",'All Cases - Enter Cases'!D431,"")</f>
        <v/>
      </c>
      <c r="E431" t="str">
        <f>IF($A431&lt;&gt;"",'All Cases - Enter Cases'!E431,"")</f>
        <v/>
      </c>
      <c r="F431" t="str">
        <f>IF($A431&lt;&gt;"",'All Cases - Enter Cases'!F431,"")</f>
        <v/>
      </c>
      <c r="G431" t="str">
        <f>IF($A431&lt;&gt;"",'All Cases - Enter Cases'!G431,"")</f>
        <v/>
      </c>
      <c r="H431" t="str">
        <f>IF($A431&lt;&gt;"",'All Cases - Enter Cases'!H431,"")</f>
        <v/>
      </c>
      <c r="I431" t="str">
        <f>IF($A431&lt;&gt;"",'All Cases - Enter Cases'!I431,"")</f>
        <v/>
      </c>
      <c r="J431" t="str">
        <f>IF($A431&lt;&gt;"",'All Cases - Enter Cases'!J431,"")</f>
        <v/>
      </c>
      <c r="K431" s="4" t="str">
        <f>IF($A431&lt;&gt;"",'All Cases - Enter Cases'!K431,"")</f>
        <v/>
      </c>
      <c r="L431" t="str">
        <f>IF($A431&lt;&gt;"",'All Cases - Enter Cases'!L431,"")</f>
        <v/>
      </c>
      <c r="M431" t="str">
        <f>IF($A431&lt;&gt;"",'All Cases - Enter Cases'!M431,"")</f>
        <v/>
      </c>
    </row>
    <row r="432" spans="1:13" x14ac:dyDescent="0.35">
      <c r="A432" s="10" t="str">
        <f>IF('All Cases - Enter Cases'!$F432="Sindh",'All Cases - Enter Cases'!A432,"")</f>
        <v/>
      </c>
      <c r="B432" t="str">
        <f>IF($A432&lt;&gt;"",'All Cases - Enter Cases'!B432,"")</f>
        <v/>
      </c>
      <c r="C432" t="str">
        <f>IF($A432&lt;&gt;"",'All Cases - Enter Cases'!C432,"")</f>
        <v/>
      </c>
      <c r="D432" t="str">
        <f>IF($A432&lt;&gt;"",'All Cases - Enter Cases'!D432,"")</f>
        <v/>
      </c>
      <c r="E432" t="str">
        <f>IF($A432&lt;&gt;"",'All Cases - Enter Cases'!E432,"")</f>
        <v/>
      </c>
      <c r="F432" t="str">
        <f>IF($A432&lt;&gt;"",'All Cases - Enter Cases'!F432,"")</f>
        <v/>
      </c>
      <c r="G432" t="str">
        <f>IF($A432&lt;&gt;"",'All Cases - Enter Cases'!G432,"")</f>
        <v/>
      </c>
      <c r="H432" t="str">
        <f>IF($A432&lt;&gt;"",'All Cases - Enter Cases'!H432,"")</f>
        <v/>
      </c>
      <c r="I432" t="str">
        <f>IF($A432&lt;&gt;"",'All Cases - Enter Cases'!I432,"")</f>
        <v/>
      </c>
      <c r="J432" t="str">
        <f>IF($A432&lt;&gt;"",'All Cases - Enter Cases'!J432,"")</f>
        <v/>
      </c>
      <c r="K432" s="4" t="str">
        <f>IF($A432&lt;&gt;"",'All Cases - Enter Cases'!K432,"")</f>
        <v/>
      </c>
      <c r="L432" t="str">
        <f>IF($A432&lt;&gt;"",'All Cases - Enter Cases'!L432,"")</f>
        <v/>
      </c>
      <c r="M432" t="str">
        <f>IF($A432&lt;&gt;"",'All Cases - Enter Cases'!M432,"")</f>
        <v/>
      </c>
    </row>
    <row r="433" spans="1:13" x14ac:dyDescent="0.35">
      <c r="A433" s="10" t="str">
        <f>IF('All Cases - Enter Cases'!$F433="Sindh",'All Cases - Enter Cases'!A433,"")</f>
        <v/>
      </c>
      <c r="B433" t="str">
        <f>IF($A433&lt;&gt;"",'All Cases - Enter Cases'!B433,"")</f>
        <v/>
      </c>
      <c r="C433" t="str">
        <f>IF($A433&lt;&gt;"",'All Cases - Enter Cases'!C433,"")</f>
        <v/>
      </c>
      <c r="D433" t="str">
        <f>IF($A433&lt;&gt;"",'All Cases - Enter Cases'!D433,"")</f>
        <v/>
      </c>
      <c r="E433" t="str">
        <f>IF($A433&lt;&gt;"",'All Cases - Enter Cases'!E433,"")</f>
        <v/>
      </c>
      <c r="F433" t="str">
        <f>IF($A433&lt;&gt;"",'All Cases - Enter Cases'!F433,"")</f>
        <v/>
      </c>
      <c r="G433" t="str">
        <f>IF($A433&lt;&gt;"",'All Cases - Enter Cases'!G433,"")</f>
        <v/>
      </c>
      <c r="H433" t="str">
        <f>IF($A433&lt;&gt;"",'All Cases - Enter Cases'!H433,"")</f>
        <v/>
      </c>
      <c r="I433" t="str">
        <f>IF($A433&lt;&gt;"",'All Cases - Enter Cases'!I433,"")</f>
        <v/>
      </c>
      <c r="J433" t="str">
        <f>IF($A433&lt;&gt;"",'All Cases - Enter Cases'!J433,"")</f>
        <v/>
      </c>
      <c r="K433" s="4" t="str">
        <f>IF($A433&lt;&gt;"",'All Cases - Enter Cases'!K433,"")</f>
        <v/>
      </c>
      <c r="L433" t="str">
        <f>IF($A433&lt;&gt;"",'All Cases - Enter Cases'!L433,"")</f>
        <v/>
      </c>
      <c r="M433" t="str">
        <f>IF($A433&lt;&gt;"",'All Cases - Enter Cases'!M433,"")</f>
        <v/>
      </c>
    </row>
    <row r="434" spans="1:13" x14ac:dyDescent="0.35">
      <c r="A434" s="10" t="str">
        <f>IF('All Cases - Enter Cases'!$F434="Sindh",'All Cases - Enter Cases'!A434,"")</f>
        <v/>
      </c>
      <c r="B434" t="str">
        <f>IF($A434&lt;&gt;"",'All Cases - Enter Cases'!B434,"")</f>
        <v/>
      </c>
      <c r="C434" t="str">
        <f>IF($A434&lt;&gt;"",'All Cases - Enter Cases'!C434,"")</f>
        <v/>
      </c>
      <c r="D434" t="str">
        <f>IF($A434&lt;&gt;"",'All Cases - Enter Cases'!D434,"")</f>
        <v/>
      </c>
      <c r="E434" t="str">
        <f>IF($A434&lt;&gt;"",'All Cases - Enter Cases'!E434,"")</f>
        <v/>
      </c>
      <c r="F434" t="str">
        <f>IF($A434&lt;&gt;"",'All Cases - Enter Cases'!F434,"")</f>
        <v/>
      </c>
      <c r="G434" t="str">
        <f>IF($A434&lt;&gt;"",'All Cases - Enter Cases'!G434,"")</f>
        <v/>
      </c>
      <c r="H434" t="str">
        <f>IF($A434&lt;&gt;"",'All Cases - Enter Cases'!H434,"")</f>
        <v/>
      </c>
      <c r="I434" t="str">
        <f>IF($A434&lt;&gt;"",'All Cases - Enter Cases'!I434,"")</f>
        <v/>
      </c>
      <c r="J434" t="str">
        <f>IF($A434&lt;&gt;"",'All Cases - Enter Cases'!J434,"")</f>
        <v/>
      </c>
      <c r="K434" s="4" t="str">
        <f>IF($A434&lt;&gt;"",'All Cases - Enter Cases'!K434,"")</f>
        <v/>
      </c>
      <c r="L434" t="str">
        <f>IF($A434&lt;&gt;"",'All Cases - Enter Cases'!L434,"")</f>
        <v/>
      </c>
      <c r="M434" t="str">
        <f>IF($A434&lt;&gt;"",'All Cases - Enter Cases'!M434,"")</f>
        <v/>
      </c>
    </row>
    <row r="435" spans="1:13" x14ac:dyDescent="0.35">
      <c r="A435" s="10" t="str">
        <f>IF('All Cases - Enter Cases'!$F435="Sindh",'All Cases - Enter Cases'!A435,"")</f>
        <v/>
      </c>
      <c r="B435" t="str">
        <f>IF($A435&lt;&gt;"",'All Cases - Enter Cases'!B435,"")</f>
        <v/>
      </c>
      <c r="C435" t="str">
        <f>IF($A435&lt;&gt;"",'All Cases - Enter Cases'!C435,"")</f>
        <v/>
      </c>
      <c r="D435" t="str">
        <f>IF($A435&lt;&gt;"",'All Cases - Enter Cases'!D435,"")</f>
        <v/>
      </c>
      <c r="E435" t="str">
        <f>IF($A435&lt;&gt;"",'All Cases - Enter Cases'!E435,"")</f>
        <v/>
      </c>
      <c r="F435" t="str">
        <f>IF($A435&lt;&gt;"",'All Cases - Enter Cases'!F435,"")</f>
        <v/>
      </c>
      <c r="G435" t="str">
        <f>IF($A435&lt;&gt;"",'All Cases - Enter Cases'!G435,"")</f>
        <v/>
      </c>
      <c r="H435" t="str">
        <f>IF($A435&lt;&gt;"",'All Cases - Enter Cases'!H435,"")</f>
        <v/>
      </c>
      <c r="I435" t="str">
        <f>IF($A435&lt;&gt;"",'All Cases - Enter Cases'!I435,"")</f>
        <v/>
      </c>
      <c r="J435" t="str">
        <f>IF($A435&lt;&gt;"",'All Cases - Enter Cases'!J435,"")</f>
        <v/>
      </c>
      <c r="K435" s="4" t="str">
        <f>IF($A435&lt;&gt;"",'All Cases - Enter Cases'!K435,"")</f>
        <v/>
      </c>
      <c r="L435" t="str">
        <f>IF($A435&lt;&gt;"",'All Cases - Enter Cases'!L435,"")</f>
        <v/>
      </c>
      <c r="M435" t="str">
        <f>IF($A435&lt;&gt;"",'All Cases - Enter Cases'!M435,"")</f>
        <v/>
      </c>
    </row>
    <row r="436" spans="1:13" x14ac:dyDescent="0.35">
      <c r="A436" s="10" t="str">
        <f>IF('All Cases - Enter Cases'!$F436="Sindh",'All Cases - Enter Cases'!A436,"")</f>
        <v/>
      </c>
      <c r="B436" t="str">
        <f>IF($A436&lt;&gt;"",'All Cases - Enter Cases'!B436,"")</f>
        <v/>
      </c>
      <c r="C436" t="str">
        <f>IF($A436&lt;&gt;"",'All Cases - Enter Cases'!C436,"")</f>
        <v/>
      </c>
      <c r="D436" t="str">
        <f>IF($A436&lt;&gt;"",'All Cases - Enter Cases'!D436,"")</f>
        <v/>
      </c>
      <c r="E436" t="str">
        <f>IF($A436&lt;&gt;"",'All Cases - Enter Cases'!E436,"")</f>
        <v/>
      </c>
      <c r="F436" t="str">
        <f>IF($A436&lt;&gt;"",'All Cases - Enter Cases'!F436,"")</f>
        <v/>
      </c>
      <c r="G436" t="str">
        <f>IF($A436&lt;&gt;"",'All Cases - Enter Cases'!G436,"")</f>
        <v/>
      </c>
      <c r="H436" t="str">
        <f>IF($A436&lt;&gt;"",'All Cases - Enter Cases'!H436,"")</f>
        <v/>
      </c>
      <c r="I436" t="str">
        <f>IF($A436&lt;&gt;"",'All Cases - Enter Cases'!I436,"")</f>
        <v/>
      </c>
      <c r="J436" t="str">
        <f>IF($A436&lt;&gt;"",'All Cases - Enter Cases'!J436,"")</f>
        <v/>
      </c>
      <c r="K436" s="4" t="str">
        <f>IF($A436&lt;&gt;"",'All Cases - Enter Cases'!K436,"")</f>
        <v/>
      </c>
      <c r="L436" t="str">
        <f>IF($A436&lt;&gt;"",'All Cases - Enter Cases'!L436,"")</f>
        <v/>
      </c>
      <c r="M436" t="str">
        <f>IF($A436&lt;&gt;"",'All Cases - Enter Cases'!M436,"")</f>
        <v/>
      </c>
    </row>
    <row r="437" spans="1:13" x14ac:dyDescent="0.35">
      <c r="A437" s="10" t="str">
        <f>IF('All Cases - Enter Cases'!$F437="Sindh",'All Cases - Enter Cases'!A437,"")</f>
        <v/>
      </c>
      <c r="B437" t="str">
        <f>IF($A437&lt;&gt;"",'All Cases - Enter Cases'!B437,"")</f>
        <v/>
      </c>
      <c r="C437" t="str">
        <f>IF($A437&lt;&gt;"",'All Cases - Enter Cases'!C437,"")</f>
        <v/>
      </c>
      <c r="D437" t="str">
        <f>IF($A437&lt;&gt;"",'All Cases - Enter Cases'!D437,"")</f>
        <v/>
      </c>
      <c r="E437" t="str">
        <f>IF($A437&lt;&gt;"",'All Cases - Enter Cases'!E437,"")</f>
        <v/>
      </c>
      <c r="F437" t="str">
        <f>IF($A437&lt;&gt;"",'All Cases - Enter Cases'!F437,"")</f>
        <v/>
      </c>
      <c r="G437" t="str">
        <f>IF($A437&lt;&gt;"",'All Cases - Enter Cases'!G437,"")</f>
        <v/>
      </c>
      <c r="H437" t="str">
        <f>IF($A437&lt;&gt;"",'All Cases - Enter Cases'!H437,"")</f>
        <v/>
      </c>
      <c r="I437" t="str">
        <f>IF($A437&lt;&gt;"",'All Cases - Enter Cases'!I437,"")</f>
        <v/>
      </c>
      <c r="J437" t="str">
        <f>IF($A437&lt;&gt;"",'All Cases - Enter Cases'!J437,"")</f>
        <v/>
      </c>
      <c r="K437" s="4" t="str">
        <f>IF($A437&lt;&gt;"",'All Cases - Enter Cases'!K437,"")</f>
        <v/>
      </c>
      <c r="L437" t="str">
        <f>IF($A437&lt;&gt;"",'All Cases - Enter Cases'!L437,"")</f>
        <v/>
      </c>
      <c r="M437" t="str">
        <f>IF($A437&lt;&gt;"",'All Cases - Enter Cases'!M437,"")</f>
        <v/>
      </c>
    </row>
    <row r="438" spans="1:13" x14ac:dyDescent="0.35">
      <c r="A438" s="10" t="str">
        <f>IF('All Cases - Enter Cases'!$F438="Sindh",'All Cases - Enter Cases'!A438,"")</f>
        <v/>
      </c>
      <c r="B438" t="str">
        <f>IF($A438&lt;&gt;"",'All Cases - Enter Cases'!B438,"")</f>
        <v/>
      </c>
      <c r="C438" t="str">
        <f>IF($A438&lt;&gt;"",'All Cases - Enter Cases'!C438,"")</f>
        <v/>
      </c>
      <c r="D438" t="str">
        <f>IF($A438&lt;&gt;"",'All Cases - Enter Cases'!D438,"")</f>
        <v/>
      </c>
      <c r="E438" t="str">
        <f>IF($A438&lt;&gt;"",'All Cases - Enter Cases'!E438,"")</f>
        <v/>
      </c>
      <c r="F438" t="str">
        <f>IF($A438&lt;&gt;"",'All Cases - Enter Cases'!F438,"")</f>
        <v/>
      </c>
      <c r="G438" t="str">
        <f>IF($A438&lt;&gt;"",'All Cases - Enter Cases'!G438,"")</f>
        <v/>
      </c>
      <c r="H438" t="str">
        <f>IF($A438&lt;&gt;"",'All Cases - Enter Cases'!H438,"")</f>
        <v/>
      </c>
      <c r="I438" t="str">
        <f>IF($A438&lt;&gt;"",'All Cases - Enter Cases'!I438,"")</f>
        <v/>
      </c>
      <c r="J438" t="str">
        <f>IF($A438&lt;&gt;"",'All Cases - Enter Cases'!J438,"")</f>
        <v/>
      </c>
      <c r="K438" s="4" t="str">
        <f>IF($A438&lt;&gt;"",'All Cases - Enter Cases'!K438,"")</f>
        <v/>
      </c>
      <c r="L438" t="str">
        <f>IF($A438&lt;&gt;"",'All Cases - Enter Cases'!L438,"")</f>
        <v/>
      </c>
      <c r="M438" t="str">
        <f>IF($A438&lt;&gt;"",'All Cases - Enter Cases'!M438,"")</f>
        <v/>
      </c>
    </row>
    <row r="439" spans="1:13" x14ac:dyDescent="0.35">
      <c r="A439" s="10" t="str">
        <f>IF('All Cases - Enter Cases'!$F439="Sindh",'All Cases - Enter Cases'!A439,"")</f>
        <v/>
      </c>
      <c r="B439" t="str">
        <f>IF($A439&lt;&gt;"",'All Cases - Enter Cases'!B439,"")</f>
        <v/>
      </c>
      <c r="C439" t="str">
        <f>IF($A439&lt;&gt;"",'All Cases - Enter Cases'!C439,"")</f>
        <v/>
      </c>
      <c r="D439" t="str">
        <f>IF($A439&lt;&gt;"",'All Cases - Enter Cases'!D439,"")</f>
        <v/>
      </c>
      <c r="E439" t="str">
        <f>IF($A439&lt;&gt;"",'All Cases - Enter Cases'!E439,"")</f>
        <v/>
      </c>
      <c r="F439" t="str">
        <f>IF($A439&lt;&gt;"",'All Cases - Enter Cases'!F439,"")</f>
        <v/>
      </c>
      <c r="G439" t="str">
        <f>IF($A439&lt;&gt;"",'All Cases - Enter Cases'!G439,"")</f>
        <v/>
      </c>
      <c r="H439" t="str">
        <f>IF($A439&lt;&gt;"",'All Cases - Enter Cases'!H439,"")</f>
        <v/>
      </c>
      <c r="I439" t="str">
        <f>IF($A439&lt;&gt;"",'All Cases - Enter Cases'!I439,"")</f>
        <v/>
      </c>
      <c r="J439" t="str">
        <f>IF($A439&lt;&gt;"",'All Cases - Enter Cases'!J439,"")</f>
        <v/>
      </c>
      <c r="K439" s="4" t="str">
        <f>IF($A439&lt;&gt;"",'All Cases - Enter Cases'!K439,"")</f>
        <v/>
      </c>
      <c r="L439" t="str">
        <f>IF($A439&lt;&gt;"",'All Cases - Enter Cases'!L439,"")</f>
        <v/>
      </c>
      <c r="M439" t="str">
        <f>IF($A439&lt;&gt;"",'All Cases - Enter Cases'!M439,"")</f>
        <v/>
      </c>
    </row>
    <row r="440" spans="1:13" x14ac:dyDescent="0.35">
      <c r="A440" s="10" t="str">
        <f>IF('All Cases - Enter Cases'!$F440="Sindh",'All Cases - Enter Cases'!A440,"")</f>
        <v/>
      </c>
      <c r="B440" t="str">
        <f>IF($A440&lt;&gt;"",'All Cases - Enter Cases'!B440,"")</f>
        <v/>
      </c>
      <c r="C440" t="str">
        <f>IF($A440&lt;&gt;"",'All Cases - Enter Cases'!C440,"")</f>
        <v/>
      </c>
      <c r="D440" t="str">
        <f>IF($A440&lt;&gt;"",'All Cases - Enter Cases'!D440,"")</f>
        <v/>
      </c>
      <c r="E440" t="str">
        <f>IF($A440&lt;&gt;"",'All Cases - Enter Cases'!E440,"")</f>
        <v/>
      </c>
      <c r="F440" t="str">
        <f>IF($A440&lt;&gt;"",'All Cases - Enter Cases'!F440,"")</f>
        <v/>
      </c>
      <c r="G440" t="str">
        <f>IF($A440&lt;&gt;"",'All Cases - Enter Cases'!G440,"")</f>
        <v/>
      </c>
      <c r="H440" t="str">
        <f>IF($A440&lt;&gt;"",'All Cases - Enter Cases'!H440,"")</f>
        <v/>
      </c>
      <c r="I440" t="str">
        <f>IF($A440&lt;&gt;"",'All Cases - Enter Cases'!I440,"")</f>
        <v/>
      </c>
      <c r="J440" t="str">
        <f>IF($A440&lt;&gt;"",'All Cases - Enter Cases'!J440,"")</f>
        <v/>
      </c>
      <c r="K440" s="4" t="str">
        <f>IF($A440&lt;&gt;"",'All Cases - Enter Cases'!K440,"")</f>
        <v/>
      </c>
      <c r="L440" t="str">
        <f>IF($A440&lt;&gt;"",'All Cases - Enter Cases'!L440,"")</f>
        <v/>
      </c>
      <c r="M440" t="str">
        <f>IF($A440&lt;&gt;"",'All Cases - Enter Cases'!M440,"")</f>
        <v/>
      </c>
    </row>
    <row r="441" spans="1:13" x14ac:dyDescent="0.35">
      <c r="A441" s="10" t="str">
        <f>IF('All Cases - Enter Cases'!$F441="Sindh",'All Cases - Enter Cases'!A441,"")</f>
        <v/>
      </c>
      <c r="B441" t="str">
        <f>IF($A441&lt;&gt;"",'All Cases - Enter Cases'!B441,"")</f>
        <v/>
      </c>
      <c r="C441" t="str">
        <f>IF($A441&lt;&gt;"",'All Cases - Enter Cases'!C441,"")</f>
        <v/>
      </c>
      <c r="D441" t="str">
        <f>IF($A441&lt;&gt;"",'All Cases - Enter Cases'!D441,"")</f>
        <v/>
      </c>
      <c r="E441" t="str">
        <f>IF($A441&lt;&gt;"",'All Cases - Enter Cases'!E441,"")</f>
        <v/>
      </c>
      <c r="F441" t="str">
        <f>IF($A441&lt;&gt;"",'All Cases - Enter Cases'!F441,"")</f>
        <v/>
      </c>
      <c r="G441" t="str">
        <f>IF($A441&lt;&gt;"",'All Cases - Enter Cases'!G441,"")</f>
        <v/>
      </c>
      <c r="H441" t="str">
        <f>IF($A441&lt;&gt;"",'All Cases - Enter Cases'!H441,"")</f>
        <v/>
      </c>
      <c r="I441" t="str">
        <f>IF($A441&lt;&gt;"",'All Cases - Enter Cases'!I441,"")</f>
        <v/>
      </c>
      <c r="J441" t="str">
        <f>IF($A441&lt;&gt;"",'All Cases - Enter Cases'!J441,"")</f>
        <v/>
      </c>
      <c r="K441" s="4" t="str">
        <f>IF($A441&lt;&gt;"",'All Cases - Enter Cases'!K441,"")</f>
        <v/>
      </c>
      <c r="L441" t="str">
        <f>IF($A441&lt;&gt;"",'All Cases - Enter Cases'!L441,"")</f>
        <v/>
      </c>
      <c r="M441" t="str">
        <f>IF($A441&lt;&gt;"",'All Cases - Enter Cases'!M441,"")</f>
        <v/>
      </c>
    </row>
    <row r="442" spans="1:13" x14ac:dyDescent="0.35">
      <c r="A442" s="10" t="str">
        <f>IF('All Cases - Enter Cases'!$F442="Sindh",'All Cases - Enter Cases'!A442,"")</f>
        <v/>
      </c>
      <c r="B442" t="str">
        <f>IF($A442&lt;&gt;"",'All Cases - Enter Cases'!B442,"")</f>
        <v/>
      </c>
      <c r="C442" t="str">
        <f>IF($A442&lt;&gt;"",'All Cases - Enter Cases'!C442,"")</f>
        <v/>
      </c>
      <c r="D442" t="str">
        <f>IF($A442&lt;&gt;"",'All Cases - Enter Cases'!D442,"")</f>
        <v/>
      </c>
      <c r="E442" t="str">
        <f>IF($A442&lt;&gt;"",'All Cases - Enter Cases'!E442,"")</f>
        <v/>
      </c>
      <c r="F442" t="str">
        <f>IF($A442&lt;&gt;"",'All Cases - Enter Cases'!F442,"")</f>
        <v/>
      </c>
      <c r="G442" t="str">
        <f>IF($A442&lt;&gt;"",'All Cases - Enter Cases'!G442,"")</f>
        <v/>
      </c>
      <c r="H442" t="str">
        <f>IF($A442&lt;&gt;"",'All Cases - Enter Cases'!H442,"")</f>
        <v/>
      </c>
      <c r="I442" t="str">
        <f>IF($A442&lt;&gt;"",'All Cases - Enter Cases'!I442,"")</f>
        <v/>
      </c>
      <c r="J442" t="str">
        <f>IF($A442&lt;&gt;"",'All Cases - Enter Cases'!J442,"")</f>
        <v/>
      </c>
      <c r="K442" s="4" t="str">
        <f>IF($A442&lt;&gt;"",'All Cases - Enter Cases'!K442,"")</f>
        <v/>
      </c>
      <c r="L442" t="str">
        <f>IF($A442&lt;&gt;"",'All Cases - Enter Cases'!L442,"")</f>
        <v/>
      </c>
      <c r="M442" t="str">
        <f>IF($A442&lt;&gt;"",'All Cases - Enter Cases'!M442,"")</f>
        <v/>
      </c>
    </row>
    <row r="443" spans="1:13" x14ac:dyDescent="0.35">
      <c r="A443" s="10" t="str">
        <f>IF('All Cases - Enter Cases'!$F443="Sindh",'All Cases - Enter Cases'!A443,"")</f>
        <v/>
      </c>
      <c r="B443" t="str">
        <f>IF($A443&lt;&gt;"",'All Cases - Enter Cases'!B443,"")</f>
        <v/>
      </c>
      <c r="C443" t="str">
        <f>IF($A443&lt;&gt;"",'All Cases - Enter Cases'!C443,"")</f>
        <v/>
      </c>
      <c r="D443" t="str">
        <f>IF($A443&lt;&gt;"",'All Cases - Enter Cases'!D443,"")</f>
        <v/>
      </c>
      <c r="E443" t="str">
        <f>IF($A443&lt;&gt;"",'All Cases - Enter Cases'!E443,"")</f>
        <v/>
      </c>
      <c r="F443" t="str">
        <f>IF($A443&lt;&gt;"",'All Cases - Enter Cases'!F443,"")</f>
        <v/>
      </c>
      <c r="G443" t="str">
        <f>IF($A443&lt;&gt;"",'All Cases - Enter Cases'!G443,"")</f>
        <v/>
      </c>
      <c r="H443" t="str">
        <f>IF($A443&lt;&gt;"",'All Cases - Enter Cases'!H443,"")</f>
        <v/>
      </c>
      <c r="I443" t="str">
        <f>IF($A443&lt;&gt;"",'All Cases - Enter Cases'!I443,"")</f>
        <v/>
      </c>
      <c r="J443" t="str">
        <f>IF($A443&lt;&gt;"",'All Cases - Enter Cases'!J443,"")</f>
        <v/>
      </c>
      <c r="K443" s="4" t="str">
        <f>IF($A443&lt;&gt;"",'All Cases - Enter Cases'!K443,"")</f>
        <v/>
      </c>
      <c r="L443" t="str">
        <f>IF($A443&lt;&gt;"",'All Cases - Enter Cases'!L443,"")</f>
        <v/>
      </c>
      <c r="M443" t="str">
        <f>IF($A443&lt;&gt;"",'All Cases - Enter Cases'!M443,"")</f>
        <v/>
      </c>
    </row>
    <row r="444" spans="1:13" x14ac:dyDescent="0.35">
      <c r="A444" s="10" t="str">
        <f>IF('All Cases - Enter Cases'!$F444="Sindh",'All Cases - Enter Cases'!A444,"")</f>
        <v/>
      </c>
      <c r="B444" t="str">
        <f>IF($A444&lt;&gt;"",'All Cases - Enter Cases'!B444,"")</f>
        <v/>
      </c>
      <c r="C444" t="str">
        <f>IF($A444&lt;&gt;"",'All Cases - Enter Cases'!C444,"")</f>
        <v/>
      </c>
      <c r="D444" t="str">
        <f>IF($A444&lt;&gt;"",'All Cases - Enter Cases'!D444,"")</f>
        <v/>
      </c>
      <c r="E444" t="str">
        <f>IF($A444&lt;&gt;"",'All Cases - Enter Cases'!E444,"")</f>
        <v/>
      </c>
      <c r="F444" t="str">
        <f>IF($A444&lt;&gt;"",'All Cases - Enter Cases'!F444,"")</f>
        <v/>
      </c>
      <c r="G444" t="str">
        <f>IF($A444&lt;&gt;"",'All Cases - Enter Cases'!G444,"")</f>
        <v/>
      </c>
      <c r="H444" t="str">
        <f>IF($A444&lt;&gt;"",'All Cases - Enter Cases'!H444,"")</f>
        <v/>
      </c>
      <c r="I444" t="str">
        <f>IF($A444&lt;&gt;"",'All Cases - Enter Cases'!I444,"")</f>
        <v/>
      </c>
      <c r="J444" t="str">
        <f>IF($A444&lt;&gt;"",'All Cases - Enter Cases'!J444,"")</f>
        <v/>
      </c>
      <c r="K444" s="4" t="str">
        <f>IF($A444&lt;&gt;"",'All Cases - Enter Cases'!K444,"")</f>
        <v/>
      </c>
      <c r="L444" t="str">
        <f>IF($A444&lt;&gt;"",'All Cases - Enter Cases'!L444,"")</f>
        <v/>
      </c>
      <c r="M444" t="str">
        <f>IF($A444&lt;&gt;"",'All Cases - Enter Cases'!M444,"")</f>
        <v/>
      </c>
    </row>
    <row r="445" spans="1:13" x14ac:dyDescent="0.35">
      <c r="A445" s="10" t="str">
        <f>IF('All Cases - Enter Cases'!$F445="Sindh",'All Cases - Enter Cases'!A445,"")</f>
        <v/>
      </c>
      <c r="B445" t="str">
        <f>IF($A445&lt;&gt;"",'All Cases - Enter Cases'!B445,"")</f>
        <v/>
      </c>
      <c r="C445" t="str">
        <f>IF($A445&lt;&gt;"",'All Cases - Enter Cases'!C445,"")</f>
        <v/>
      </c>
      <c r="D445" t="str">
        <f>IF($A445&lt;&gt;"",'All Cases - Enter Cases'!D445,"")</f>
        <v/>
      </c>
      <c r="E445" t="str">
        <f>IF($A445&lt;&gt;"",'All Cases - Enter Cases'!E445,"")</f>
        <v/>
      </c>
      <c r="F445" t="str">
        <f>IF($A445&lt;&gt;"",'All Cases - Enter Cases'!F445,"")</f>
        <v/>
      </c>
      <c r="G445" t="str">
        <f>IF($A445&lt;&gt;"",'All Cases - Enter Cases'!G445,"")</f>
        <v/>
      </c>
      <c r="H445" t="str">
        <f>IF($A445&lt;&gt;"",'All Cases - Enter Cases'!H445,"")</f>
        <v/>
      </c>
      <c r="I445" t="str">
        <f>IF($A445&lt;&gt;"",'All Cases - Enter Cases'!I445,"")</f>
        <v/>
      </c>
      <c r="J445" t="str">
        <f>IF($A445&lt;&gt;"",'All Cases - Enter Cases'!J445,"")</f>
        <v/>
      </c>
      <c r="K445" s="4" t="str">
        <f>IF($A445&lt;&gt;"",'All Cases - Enter Cases'!K445,"")</f>
        <v/>
      </c>
      <c r="L445" t="str">
        <f>IF($A445&lt;&gt;"",'All Cases - Enter Cases'!L445,"")</f>
        <v/>
      </c>
      <c r="M445" t="str">
        <f>IF($A445&lt;&gt;"",'All Cases - Enter Cases'!M445,"")</f>
        <v/>
      </c>
    </row>
    <row r="446" spans="1:13" x14ac:dyDescent="0.35">
      <c r="A446" s="10" t="str">
        <f>IF('All Cases - Enter Cases'!$F446="Sindh",'All Cases - Enter Cases'!A446,"")</f>
        <v/>
      </c>
      <c r="B446" t="str">
        <f>IF($A446&lt;&gt;"",'All Cases - Enter Cases'!B446,"")</f>
        <v/>
      </c>
      <c r="C446" t="str">
        <f>IF($A446&lt;&gt;"",'All Cases - Enter Cases'!C446,"")</f>
        <v/>
      </c>
      <c r="D446" t="str">
        <f>IF($A446&lt;&gt;"",'All Cases - Enter Cases'!D446,"")</f>
        <v/>
      </c>
      <c r="E446" t="str">
        <f>IF($A446&lt;&gt;"",'All Cases - Enter Cases'!E446,"")</f>
        <v/>
      </c>
      <c r="F446" t="str">
        <f>IF($A446&lt;&gt;"",'All Cases - Enter Cases'!F446,"")</f>
        <v/>
      </c>
      <c r="G446" t="str">
        <f>IF($A446&lt;&gt;"",'All Cases - Enter Cases'!G446,"")</f>
        <v/>
      </c>
      <c r="H446" t="str">
        <f>IF($A446&lt;&gt;"",'All Cases - Enter Cases'!H446,"")</f>
        <v/>
      </c>
      <c r="I446" t="str">
        <f>IF($A446&lt;&gt;"",'All Cases - Enter Cases'!I446,"")</f>
        <v/>
      </c>
      <c r="J446" t="str">
        <f>IF($A446&lt;&gt;"",'All Cases - Enter Cases'!J446,"")</f>
        <v/>
      </c>
      <c r="K446" s="4" t="str">
        <f>IF($A446&lt;&gt;"",'All Cases - Enter Cases'!K446,"")</f>
        <v/>
      </c>
      <c r="L446" t="str">
        <f>IF($A446&lt;&gt;"",'All Cases - Enter Cases'!L446,"")</f>
        <v/>
      </c>
      <c r="M446" t="str">
        <f>IF($A446&lt;&gt;"",'All Cases - Enter Cases'!M446,"")</f>
        <v/>
      </c>
    </row>
    <row r="447" spans="1:13" x14ac:dyDescent="0.35">
      <c r="A447" s="10" t="str">
        <f>IF('All Cases - Enter Cases'!$F447="Sindh",'All Cases - Enter Cases'!A447,"")</f>
        <v/>
      </c>
      <c r="B447" t="str">
        <f>IF($A447&lt;&gt;"",'All Cases - Enter Cases'!B447,"")</f>
        <v/>
      </c>
      <c r="C447" t="str">
        <f>IF($A447&lt;&gt;"",'All Cases - Enter Cases'!C447,"")</f>
        <v/>
      </c>
      <c r="D447" t="str">
        <f>IF($A447&lt;&gt;"",'All Cases - Enter Cases'!D447,"")</f>
        <v/>
      </c>
      <c r="E447" t="str">
        <f>IF($A447&lt;&gt;"",'All Cases - Enter Cases'!E447,"")</f>
        <v/>
      </c>
      <c r="F447" t="str">
        <f>IF($A447&lt;&gt;"",'All Cases - Enter Cases'!F447,"")</f>
        <v/>
      </c>
      <c r="G447" t="str">
        <f>IF($A447&lt;&gt;"",'All Cases - Enter Cases'!G447,"")</f>
        <v/>
      </c>
      <c r="H447" t="str">
        <f>IF($A447&lt;&gt;"",'All Cases - Enter Cases'!H447,"")</f>
        <v/>
      </c>
      <c r="I447" t="str">
        <f>IF($A447&lt;&gt;"",'All Cases - Enter Cases'!I447,"")</f>
        <v/>
      </c>
      <c r="J447" t="str">
        <f>IF($A447&lt;&gt;"",'All Cases - Enter Cases'!J447,"")</f>
        <v/>
      </c>
      <c r="K447" s="4" t="str">
        <f>IF($A447&lt;&gt;"",'All Cases - Enter Cases'!K447,"")</f>
        <v/>
      </c>
      <c r="L447" t="str">
        <f>IF($A447&lt;&gt;"",'All Cases - Enter Cases'!L447,"")</f>
        <v/>
      </c>
      <c r="M447" t="str">
        <f>IF($A447&lt;&gt;"",'All Cases - Enter Cases'!M447,"")</f>
        <v/>
      </c>
    </row>
    <row r="448" spans="1:13" x14ac:dyDescent="0.35">
      <c r="A448" s="10" t="str">
        <f>IF('All Cases - Enter Cases'!$F448="Sindh",'All Cases - Enter Cases'!A448,"")</f>
        <v/>
      </c>
      <c r="B448" t="str">
        <f>IF($A448&lt;&gt;"",'All Cases - Enter Cases'!B448,"")</f>
        <v/>
      </c>
      <c r="C448" t="str">
        <f>IF($A448&lt;&gt;"",'All Cases - Enter Cases'!C448,"")</f>
        <v/>
      </c>
      <c r="D448" t="str">
        <f>IF($A448&lt;&gt;"",'All Cases - Enter Cases'!D448,"")</f>
        <v/>
      </c>
      <c r="E448" t="str">
        <f>IF($A448&lt;&gt;"",'All Cases - Enter Cases'!E448,"")</f>
        <v/>
      </c>
      <c r="F448" t="str">
        <f>IF($A448&lt;&gt;"",'All Cases - Enter Cases'!F448,"")</f>
        <v/>
      </c>
      <c r="G448" t="str">
        <f>IF($A448&lt;&gt;"",'All Cases - Enter Cases'!G448,"")</f>
        <v/>
      </c>
      <c r="H448" t="str">
        <f>IF($A448&lt;&gt;"",'All Cases - Enter Cases'!H448,"")</f>
        <v/>
      </c>
      <c r="I448" t="str">
        <f>IF($A448&lt;&gt;"",'All Cases - Enter Cases'!I448,"")</f>
        <v/>
      </c>
      <c r="J448" t="str">
        <f>IF($A448&lt;&gt;"",'All Cases - Enter Cases'!J448,"")</f>
        <v/>
      </c>
      <c r="K448" s="4" t="str">
        <f>IF($A448&lt;&gt;"",'All Cases - Enter Cases'!K448,"")</f>
        <v/>
      </c>
      <c r="L448" t="str">
        <f>IF($A448&lt;&gt;"",'All Cases - Enter Cases'!L448,"")</f>
        <v/>
      </c>
      <c r="M448" t="str">
        <f>IF($A448&lt;&gt;"",'All Cases - Enter Cases'!M448,"")</f>
        <v/>
      </c>
    </row>
    <row r="449" spans="1:13" x14ac:dyDescent="0.35">
      <c r="A449" s="10" t="str">
        <f>IF('All Cases - Enter Cases'!$F449="Sindh",'All Cases - Enter Cases'!A449,"")</f>
        <v/>
      </c>
      <c r="B449" t="str">
        <f>IF($A449&lt;&gt;"",'All Cases - Enter Cases'!B449,"")</f>
        <v/>
      </c>
      <c r="C449" t="str">
        <f>IF($A449&lt;&gt;"",'All Cases - Enter Cases'!C449,"")</f>
        <v/>
      </c>
      <c r="D449" t="str">
        <f>IF($A449&lt;&gt;"",'All Cases - Enter Cases'!D449,"")</f>
        <v/>
      </c>
      <c r="E449" t="str">
        <f>IF($A449&lt;&gt;"",'All Cases - Enter Cases'!E449,"")</f>
        <v/>
      </c>
      <c r="F449" t="str">
        <f>IF($A449&lt;&gt;"",'All Cases - Enter Cases'!F449,"")</f>
        <v/>
      </c>
      <c r="G449" t="str">
        <f>IF($A449&lt;&gt;"",'All Cases - Enter Cases'!G449,"")</f>
        <v/>
      </c>
      <c r="H449" t="str">
        <f>IF($A449&lt;&gt;"",'All Cases - Enter Cases'!H449,"")</f>
        <v/>
      </c>
      <c r="I449" t="str">
        <f>IF($A449&lt;&gt;"",'All Cases - Enter Cases'!I449,"")</f>
        <v/>
      </c>
      <c r="J449" t="str">
        <f>IF($A449&lt;&gt;"",'All Cases - Enter Cases'!J449,"")</f>
        <v/>
      </c>
      <c r="K449" s="4" t="str">
        <f>IF($A449&lt;&gt;"",'All Cases - Enter Cases'!K449,"")</f>
        <v/>
      </c>
      <c r="L449" t="str">
        <f>IF($A449&lt;&gt;"",'All Cases - Enter Cases'!L449,"")</f>
        <v/>
      </c>
      <c r="M449" t="str">
        <f>IF($A449&lt;&gt;"",'All Cases - Enter Cases'!M449,"")</f>
        <v/>
      </c>
    </row>
    <row r="450" spans="1:13" x14ac:dyDescent="0.35">
      <c r="A450" s="10" t="str">
        <f>IF('All Cases - Enter Cases'!$F450="Sindh",'All Cases - Enter Cases'!A450,"")</f>
        <v/>
      </c>
      <c r="B450" t="str">
        <f>IF($A450&lt;&gt;"",'All Cases - Enter Cases'!B450,"")</f>
        <v/>
      </c>
      <c r="C450" t="str">
        <f>IF($A450&lt;&gt;"",'All Cases - Enter Cases'!C450,"")</f>
        <v/>
      </c>
      <c r="D450" t="str">
        <f>IF($A450&lt;&gt;"",'All Cases - Enter Cases'!D450,"")</f>
        <v/>
      </c>
      <c r="E450" t="str">
        <f>IF($A450&lt;&gt;"",'All Cases - Enter Cases'!E450,"")</f>
        <v/>
      </c>
      <c r="F450" t="str">
        <f>IF($A450&lt;&gt;"",'All Cases - Enter Cases'!F450,"")</f>
        <v/>
      </c>
      <c r="G450" t="str">
        <f>IF($A450&lt;&gt;"",'All Cases - Enter Cases'!G450,"")</f>
        <v/>
      </c>
      <c r="H450" t="str">
        <f>IF($A450&lt;&gt;"",'All Cases - Enter Cases'!H450,"")</f>
        <v/>
      </c>
      <c r="I450" t="str">
        <f>IF($A450&lt;&gt;"",'All Cases - Enter Cases'!I450,"")</f>
        <v/>
      </c>
      <c r="J450" t="str">
        <f>IF($A450&lt;&gt;"",'All Cases - Enter Cases'!J450,"")</f>
        <v/>
      </c>
      <c r="K450" s="4" t="str">
        <f>IF($A450&lt;&gt;"",'All Cases - Enter Cases'!K450,"")</f>
        <v/>
      </c>
      <c r="L450" t="str">
        <f>IF($A450&lt;&gt;"",'All Cases - Enter Cases'!L450,"")</f>
        <v/>
      </c>
      <c r="M450" t="str">
        <f>IF($A450&lt;&gt;"",'All Cases - Enter Cases'!M450,"")</f>
        <v/>
      </c>
    </row>
    <row r="451" spans="1:13" x14ac:dyDescent="0.35">
      <c r="A451" s="10" t="str">
        <f>IF('All Cases - Enter Cases'!$F451="Sindh",'All Cases - Enter Cases'!A451,"")</f>
        <v/>
      </c>
      <c r="B451" t="str">
        <f>IF($A451&lt;&gt;"",'All Cases - Enter Cases'!B451,"")</f>
        <v/>
      </c>
      <c r="C451" t="str">
        <f>IF($A451&lt;&gt;"",'All Cases - Enter Cases'!C451,"")</f>
        <v/>
      </c>
      <c r="D451" t="str">
        <f>IF($A451&lt;&gt;"",'All Cases - Enter Cases'!D451,"")</f>
        <v/>
      </c>
      <c r="E451" t="str">
        <f>IF($A451&lt;&gt;"",'All Cases - Enter Cases'!E451,"")</f>
        <v/>
      </c>
      <c r="F451" t="str">
        <f>IF($A451&lt;&gt;"",'All Cases - Enter Cases'!F451,"")</f>
        <v/>
      </c>
      <c r="G451" t="str">
        <f>IF($A451&lt;&gt;"",'All Cases - Enter Cases'!G451,"")</f>
        <v/>
      </c>
      <c r="H451" t="str">
        <f>IF($A451&lt;&gt;"",'All Cases - Enter Cases'!H451,"")</f>
        <v/>
      </c>
      <c r="I451" t="str">
        <f>IF($A451&lt;&gt;"",'All Cases - Enter Cases'!I451,"")</f>
        <v/>
      </c>
      <c r="J451" t="str">
        <f>IF($A451&lt;&gt;"",'All Cases - Enter Cases'!J451,"")</f>
        <v/>
      </c>
      <c r="K451" s="4" t="str">
        <f>IF($A451&lt;&gt;"",'All Cases - Enter Cases'!K451,"")</f>
        <v/>
      </c>
      <c r="L451" t="str">
        <f>IF($A451&lt;&gt;"",'All Cases - Enter Cases'!L451,"")</f>
        <v/>
      </c>
      <c r="M451" t="str">
        <f>IF($A451&lt;&gt;"",'All Cases - Enter Cases'!M451,"")</f>
        <v/>
      </c>
    </row>
    <row r="452" spans="1:13" x14ac:dyDescent="0.35">
      <c r="A452" s="10" t="str">
        <f>IF('All Cases - Enter Cases'!$F452="Sindh",'All Cases - Enter Cases'!A452,"")</f>
        <v/>
      </c>
      <c r="B452" t="str">
        <f>IF($A452&lt;&gt;"",'All Cases - Enter Cases'!B452,"")</f>
        <v/>
      </c>
      <c r="C452" t="str">
        <f>IF($A452&lt;&gt;"",'All Cases - Enter Cases'!C452,"")</f>
        <v/>
      </c>
      <c r="D452" t="str">
        <f>IF($A452&lt;&gt;"",'All Cases - Enter Cases'!D452,"")</f>
        <v/>
      </c>
      <c r="E452" t="str">
        <f>IF($A452&lt;&gt;"",'All Cases - Enter Cases'!E452,"")</f>
        <v/>
      </c>
      <c r="F452" t="str">
        <f>IF($A452&lt;&gt;"",'All Cases - Enter Cases'!F452,"")</f>
        <v/>
      </c>
      <c r="G452" t="str">
        <f>IF($A452&lt;&gt;"",'All Cases - Enter Cases'!G452,"")</f>
        <v/>
      </c>
      <c r="H452" t="str">
        <f>IF($A452&lt;&gt;"",'All Cases - Enter Cases'!H452,"")</f>
        <v/>
      </c>
      <c r="I452" t="str">
        <f>IF($A452&lt;&gt;"",'All Cases - Enter Cases'!I452,"")</f>
        <v/>
      </c>
      <c r="J452" t="str">
        <f>IF($A452&lt;&gt;"",'All Cases - Enter Cases'!J452,"")</f>
        <v/>
      </c>
      <c r="K452" s="4" t="str">
        <f>IF($A452&lt;&gt;"",'All Cases - Enter Cases'!K452,"")</f>
        <v/>
      </c>
      <c r="L452" t="str">
        <f>IF($A452&lt;&gt;"",'All Cases - Enter Cases'!L452,"")</f>
        <v/>
      </c>
      <c r="M452" t="str">
        <f>IF($A452&lt;&gt;"",'All Cases - Enter Cases'!M452,"")</f>
        <v/>
      </c>
    </row>
    <row r="453" spans="1:13" x14ac:dyDescent="0.35">
      <c r="A453" s="10" t="str">
        <f>IF('All Cases - Enter Cases'!$F453="Sindh",'All Cases - Enter Cases'!A453,"")</f>
        <v/>
      </c>
      <c r="B453" t="str">
        <f>IF($A453&lt;&gt;"",'All Cases - Enter Cases'!B453,"")</f>
        <v/>
      </c>
      <c r="C453" t="str">
        <f>IF($A453&lt;&gt;"",'All Cases - Enter Cases'!C453,"")</f>
        <v/>
      </c>
      <c r="D453" t="str">
        <f>IF($A453&lt;&gt;"",'All Cases - Enter Cases'!D453,"")</f>
        <v/>
      </c>
      <c r="E453" t="str">
        <f>IF($A453&lt;&gt;"",'All Cases - Enter Cases'!E453,"")</f>
        <v/>
      </c>
      <c r="F453" t="str">
        <f>IF($A453&lt;&gt;"",'All Cases - Enter Cases'!F453,"")</f>
        <v/>
      </c>
      <c r="G453" t="str">
        <f>IF($A453&lt;&gt;"",'All Cases - Enter Cases'!G453,"")</f>
        <v/>
      </c>
      <c r="H453" t="str">
        <f>IF($A453&lt;&gt;"",'All Cases - Enter Cases'!H453,"")</f>
        <v/>
      </c>
      <c r="I453" t="str">
        <f>IF($A453&lt;&gt;"",'All Cases - Enter Cases'!I453,"")</f>
        <v/>
      </c>
      <c r="J453" t="str">
        <f>IF($A453&lt;&gt;"",'All Cases - Enter Cases'!J453,"")</f>
        <v/>
      </c>
      <c r="K453" s="4" t="str">
        <f>IF($A453&lt;&gt;"",'All Cases - Enter Cases'!K453,"")</f>
        <v/>
      </c>
      <c r="L453" t="str">
        <f>IF($A453&lt;&gt;"",'All Cases - Enter Cases'!L453,"")</f>
        <v/>
      </c>
      <c r="M453" t="str">
        <f>IF($A453&lt;&gt;"",'All Cases - Enter Cases'!M453,"")</f>
        <v/>
      </c>
    </row>
    <row r="454" spans="1:13" x14ac:dyDescent="0.35">
      <c r="A454" s="10" t="str">
        <f>IF('All Cases - Enter Cases'!$F454="Sindh",'All Cases - Enter Cases'!A454,"")</f>
        <v/>
      </c>
      <c r="B454" t="str">
        <f>IF($A454&lt;&gt;"",'All Cases - Enter Cases'!B454,"")</f>
        <v/>
      </c>
      <c r="C454" t="str">
        <f>IF($A454&lt;&gt;"",'All Cases - Enter Cases'!C454,"")</f>
        <v/>
      </c>
      <c r="D454" t="str">
        <f>IF($A454&lt;&gt;"",'All Cases - Enter Cases'!D454,"")</f>
        <v/>
      </c>
      <c r="E454" t="str">
        <f>IF($A454&lt;&gt;"",'All Cases - Enter Cases'!E454,"")</f>
        <v/>
      </c>
      <c r="F454" t="str">
        <f>IF($A454&lt;&gt;"",'All Cases - Enter Cases'!F454,"")</f>
        <v/>
      </c>
      <c r="G454" t="str">
        <f>IF($A454&lt;&gt;"",'All Cases - Enter Cases'!G454,"")</f>
        <v/>
      </c>
      <c r="H454" t="str">
        <f>IF($A454&lt;&gt;"",'All Cases - Enter Cases'!H454,"")</f>
        <v/>
      </c>
      <c r="I454" t="str">
        <f>IF($A454&lt;&gt;"",'All Cases - Enter Cases'!I454,"")</f>
        <v/>
      </c>
      <c r="J454" t="str">
        <f>IF($A454&lt;&gt;"",'All Cases - Enter Cases'!J454,"")</f>
        <v/>
      </c>
      <c r="K454" s="4" t="str">
        <f>IF($A454&lt;&gt;"",'All Cases - Enter Cases'!K454,"")</f>
        <v/>
      </c>
      <c r="L454" t="str">
        <f>IF($A454&lt;&gt;"",'All Cases - Enter Cases'!L454,"")</f>
        <v/>
      </c>
      <c r="M454" t="str">
        <f>IF($A454&lt;&gt;"",'All Cases - Enter Cases'!M454,"")</f>
        <v/>
      </c>
    </row>
    <row r="455" spans="1:13" x14ac:dyDescent="0.35">
      <c r="A455" s="10" t="str">
        <f>IF('All Cases - Enter Cases'!$F455="Sindh",'All Cases - Enter Cases'!A455,"")</f>
        <v/>
      </c>
      <c r="B455" t="str">
        <f>IF($A455&lt;&gt;"",'All Cases - Enter Cases'!B455,"")</f>
        <v/>
      </c>
      <c r="C455" t="str">
        <f>IF($A455&lt;&gt;"",'All Cases - Enter Cases'!C455,"")</f>
        <v/>
      </c>
      <c r="D455" t="str">
        <f>IF($A455&lt;&gt;"",'All Cases - Enter Cases'!D455,"")</f>
        <v/>
      </c>
      <c r="E455" t="str">
        <f>IF($A455&lt;&gt;"",'All Cases - Enter Cases'!E455,"")</f>
        <v/>
      </c>
      <c r="F455" t="str">
        <f>IF($A455&lt;&gt;"",'All Cases - Enter Cases'!F455,"")</f>
        <v/>
      </c>
      <c r="G455" t="str">
        <f>IF($A455&lt;&gt;"",'All Cases - Enter Cases'!G455,"")</f>
        <v/>
      </c>
      <c r="H455" t="str">
        <f>IF($A455&lt;&gt;"",'All Cases - Enter Cases'!H455,"")</f>
        <v/>
      </c>
      <c r="I455" t="str">
        <f>IF($A455&lt;&gt;"",'All Cases - Enter Cases'!I455,"")</f>
        <v/>
      </c>
      <c r="J455" t="str">
        <f>IF($A455&lt;&gt;"",'All Cases - Enter Cases'!J455,"")</f>
        <v/>
      </c>
      <c r="K455" s="4" t="str">
        <f>IF($A455&lt;&gt;"",'All Cases - Enter Cases'!K455,"")</f>
        <v/>
      </c>
      <c r="L455" t="str">
        <f>IF($A455&lt;&gt;"",'All Cases - Enter Cases'!L455,"")</f>
        <v/>
      </c>
      <c r="M455" t="str">
        <f>IF($A455&lt;&gt;"",'All Cases - Enter Cases'!M455,"")</f>
        <v/>
      </c>
    </row>
    <row r="456" spans="1:13" x14ac:dyDescent="0.35">
      <c r="A456" s="10" t="str">
        <f>IF('All Cases - Enter Cases'!$F456="Sindh",'All Cases - Enter Cases'!A456,"")</f>
        <v/>
      </c>
      <c r="B456" t="str">
        <f>IF($A456&lt;&gt;"",'All Cases - Enter Cases'!B456,"")</f>
        <v/>
      </c>
      <c r="C456" t="str">
        <f>IF($A456&lt;&gt;"",'All Cases - Enter Cases'!C456,"")</f>
        <v/>
      </c>
      <c r="D456" t="str">
        <f>IF($A456&lt;&gt;"",'All Cases - Enter Cases'!D456,"")</f>
        <v/>
      </c>
      <c r="E456" t="str">
        <f>IF($A456&lt;&gt;"",'All Cases - Enter Cases'!E456,"")</f>
        <v/>
      </c>
      <c r="F456" t="str">
        <f>IF($A456&lt;&gt;"",'All Cases - Enter Cases'!F456,"")</f>
        <v/>
      </c>
      <c r="G456" t="str">
        <f>IF($A456&lt;&gt;"",'All Cases - Enter Cases'!G456,"")</f>
        <v/>
      </c>
      <c r="H456" t="str">
        <f>IF($A456&lt;&gt;"",'All Cases - Enter Cases'!H456,"")</f>
        <v/>
      </c>
      <c r="I456" t="str">
        <f>IF($A456&lt;&gt;"",'All Cases - Enter Cases'!I456,"")</f>
        <v/>
      </c>
      <c r="J456" t="str">
        <f>IF($A456&lt;&gt;"",'All Cases - Enter Cases'!J456,"")</f>
        <v/>
      </c>
      <c r="K456" s="4" t="str">
        <f>IF($A456&lt;&gt;"",'All Cases - Enter Cases'!K456,"")</f>
        <v/>
      </c>
      <c r="L456" t="str">
        <f>IF($A456&lt;&gt;"",'All Cases - Enter Cases'!L456,"")</f>
        <v/>
      </c>
      <c r="M456" t="str">
        <f>IF($A456&lt;&gt;"",'All Cases - Enter Cases'!M456,"")</f>
        <v/>
      </c>
    </row>
    <row r="457" spans="1:13" x14ac:dyDescent="0.35">
      <c r="A457" s="10" t="str">
        <f>IF('All Cases - Enter Cases'!$F457="Sindh",'All Cases - Enter Cases'!A457,"")</f>
        <v/>
      </c>
      <c r="B457" t="str">
        <f>IF($A457&lt;&gt;"",'All Cases - Enter Cases'!B457,"")</f>
        <v/>
      </c>
      <c r="C457" t="str">
        <f>IF($A457&lt;&gt;"",'All Cases - Enter Cases'!C457,"")</f>
        <v/>
      </c>
      <c r="D457" t="str">
        <f>IF($A457&lt;&gt;"",'All Cases - Enter Cases'!D457,"")</f>
        <v/>
      </c>
      <c r="E457" t="str">
        <f>IF($A457&lt;&gt;"",'All Cases - Enter Cases'!E457,"")</f>
        <v/>
      </c>
      <c r="F457" t="str">
        <f>IF($A457&lt;&gt;"",'All Cases - Enter Cases'!F457,"")</f>
        <v/>
      </c>
      <c r="G457" t="str">
        <f>IF($A457&lt;&gt;"",'All Cases - Enter Cases'!G457,"")</f>
        <v/>
      </c>
      <c r="H457" t="str">
        <f>IF($A457&lt;&gt;"",'All Cases - Enter Cases'!H457,"")</f>
        <v/>
      </c>
      <c r="I457" t="str">
        <f>IF($A457&lt;&gt;"",'All Cases - Enter Cases'!I457,"")</f>
        <v/>
      </c>
      <c r="J457" t="str">
        <f>IF($A457&lt;&gt;"",'All Cases - Enter Cases'!J457,"")</f>
        <v/>
      </c>
      <c r="K457" s="4" t="str">
        <f>IF($A457&lt;&gt;"",'All Cases - Enter Cases'!K457,"")</f>
        <v/>
      </c>
      <c r="L457" t="str">
        <f>IF($A457&lt;&gt;"",'All Cases - Enter Cases'!L457,"")</f>
        <v/>
      </c>
      <c r="M457" t="str">
        <f>IF($A457&lt;&gt;"",'All Cases - Enter Cases'!M457,"")</f>
        <v/>
      </c>
    </row>
    <row r="458" spans="1:13" x14ac:dyDescent="0.35">
      <c r="A458" s="10" t="str">
        <f>IF('All Cases - Enter Cases'!$F458="Sindh",'All Cases - Enter Cases'!A458,"")</f>
        <v/>
      </c>
      <c r="B458" t="str">
        <f>IF($A458&lt;&gt;"",'All Cases - Enter Cases'!B458,"")</f>
        <v/>
      </c>
      <c r="C458" t="str">
        <f>IF($A458&lt;&gt;"",'All Cases - Enter Cases'!C458,"")</f>
        <v/>
      </c>
      <c r="D458" t="str">
        <f>IF($A458&lt;&gt;"",'All Cases - Enter Cases'!D458,"")</f>
        <v/>
      </c>
      <c r="E458" t="str">
        <f>IF($A458&lt;&gt;"",'All Cases - Enter Cases'!E458,"")</f>
        <v/>
      </c>
      <c r="F458" t="str">
        <f>IF($A458&lt;&gt;"",'All Cases - Enter Cases'!F458,"")</f>
        <v/>
      </c>
      <c r="G458" t="str">
        <f>IF($A458&lt;&gt;"",'All Cases - Enter Cases'!G458,"")</f>
        <v/>
      </c>
      <c r="H458" t="str">
        <f>IF($A458&lt;&gt;"",'All Cases - Enter Cases'!H458,"")</f>
        <v/>
      </c>
      <c r="I458" t="str">
        <f>IF($A458&lt;&gt;"",'All Cases - Enter Cases'!I458,"")</f>
        <v/>
      </c>
      <c r="J458" t="str">
        <f>IF($A458&lt;&gt;"",'All Cases - Enter Cases'!J458,"")</f>
        <v/>
      </c>
      <c r="K458" s="4" t="str">
        <f>IF($A458&lt;&gt;"",'All Cases - Enter Cases'!K458,"")</f>
        <v/>
      </c>
      <c r="L458" t="str">
        <f>IF($A458&lt;&gt;"",'All Cases - Enter Cases'!L458,"")</f>
        <v/>
      </c>
      <c r="M458" t="str">
        <f>IF($A458&lt;&gt;"",'All Cases - Enter Cases'!M458,"")</f>
        <v/>
      </c>
    </row>
    <row r="459" spans="1:13" x14ac:dyDescent="0.35">
      <c r="A459" s="10" t="str">
        <f>IF('All Cases - Enter Cases'!$F459="Sindh",'All Cases - Enter Cases'!A459,"")</f>
        <v/>
      </c>
      <c r="B459" t="str">
        <f>IF($A459&lt;&gt;"",'All Cases - Enter Cases'!B459,"")</f>
        <v/>
      </c>
      <c r="C459" t="str">
        <f>IF($A459&lt;&gt;"",'All Cases - Enter Cases'!C459,"")</f>
        <v/>
      </c>
      <c r="D459" t="str">
        <f>IF($A459&lt;&gt;"",'All Cases - Enter Cases'!D459,"")</f>
        <v/>
      </c>
      <c r="E459" t="str">
        <f>IF($A459&lt;&gt;"",'All Cases - Enter Cases'!E459,"")</f>
        <v/>
      </c>
      <c r="F459" t="str">
        <f>IF($A459&lt;&gt;"",'All Cases - Enter Cases'!F459,"")</f>
        <v/>
      </c>
      <c r="G459" t="str">
        <f>IF($A459&lt;&gt;"",'All Cases - Enter Cases'!G459,"")</f>
        <v/>
      </c>
      <c r="H459" t="str">
        <f>IF($A459&lt;&gt;"",'All Cases - Enter Cases'!H459,"")</f>
        <v/>
      </c>
      <c r="I459" t="str">
        <f>IF($A459&lt;&gt;"",'All Cases - Enter Cases'!I459,"")</f>
        <v/>
      </c>
      <c r="J459" t="str">
        <f>IF($A459&lt;&gt;"",'All Cases - Enter Cases'!J459,"")</f>
        <v/>
      </c>
      <c r="K459" s="4" t="str">
        <f>IF($A459&lt;&gt;"",'All Cases - Enter Cases'!K459,"")</f>
        <v/>
      </c>
      <c r="L459" t="str">
        <f>IF($A459&lt;&gt;"",'All Cases - Enter Cases'!L459,"")</f>
        <v/>
      </c>
      <c r="M459" t="str">
        <f>IF($A459&lt;&gt;"",'All Cases - Enter Cases'!M459,"")</f>
        <v/>
      </c>
    </row>
    <row r="460" spans="1:13" x14ac:dyDescent="0.35">
      <c r="A460" s="10" t="str">
        <f>IF('All Cases - Enter Cases'!$F460="Sindh",'All Cases - Enter Cases'!A460,"")</f>
        <v/>
      </c>
      <c r="B460" t="str">
        <f>IF($A460&lt;&gt;"",'All Cases - Enter Cases'!B460,"")</f>
        <v/>
      </c>
      <c r="C460" t="str">
        <f>IF($A460&lt;&gt;"",'All Cases - Enter Cases'!C460,"")</f>
        <v/>
      </c>
      <c r="D460" t="str">
        <f>IF($A460&lt;&gt;"",'All Cases - Enter Cases'!D460,"")</f>
        <v/>
      </c>
      <c r="E460" t="str">
        <f>IF($A460&lt;&gt;"",'All Cases - Enter Cases'!E460,"")</f>
        <v/>
      </c>
      <c r="F460" t="str">
        <f>IF($A460&lt;&gt;"",'All Cases - Enter Cases'!F460,"")</f>
        <v/>
      </c>
      <c r="G460" t="str">
        <f>IF($A460&lt;&gt;"",'All Cases - Enter Cases'!G460,"")</f>
        <v/>
      </c>
      <c r="H460" t="str">
        <f>IF($A460&lt;&gt;"",'All Cases - Enter Cases'!H460,"")</f>
        <v/>
      </c>
      <c r="I460" t="str">
        <f>IF($A460&lt;&gt;"",'All Cases - Enter Cases'!I460,"")</f>
        <v/>
      </c>
      <c r="J460" t="str">
        <f>IF($A460&lt;&gt;"",'All Cases - Enter Cases'!J460,"")</f>
        <v/>
      </c>
      <c r="K460" s="4" t="str">
        <f>IF($A460&lt;&gt;"",'All Cases - Enter Cases'!K460,"")</f>
        <v/>
      </c>
      <c r="L460" t="str">
        <f>IF($A460&lt;&gt;"",'All Cases - Enter Cases'!L460,"")</f>
        <v/>
      </c>
      <c r="M460" t="str">
        <f>IF($A460&lt;&gt;"",'All Cases - Enter Cases'!M460,"")</f>
        <v/>
      </c>
    </row>
    <row r="461" spans="1:13" x14ac:dyDescent="0.35">
      <c r="A461" s="10" t="str">
        <f>IF('All Cases - Enter Cases'!$F461="Sindh",'All Cases - Enter Cases'!A461,"")</f>
        <v/>
      </c>
      <c r="B461" t="str">
        <f>IF($A461&lt;&gt;"",'All Cases - Enter Cases'!B461,"")</f>
        <v/>
      </c>
      <c r="C461" t="str">
        <f>IF($A461&lt;&gt;"",'All Cases - Enter Cases'!C461,"")</f>
        <v/>
      </c>
      <c r="D461" t="str">
        <f>IF($A461&lt;&gt;"",'All Cases - Enter Cases'!D461,"")</f>
        <v/>
      </c>
      <c r="E461" t="str">
        <f>IF($A461&lt;&gt;"",'All Cases - Enter Cases'!E461,"")</f>
        <v/>
      </c>
      <c r="F461" t="str">
        <f>IF($A461&lt;&gt;"",'All Cases - Enter Cases'!F461,"")</f>
        <v/>
      </c>
      <c r="G461" t="str">
        <f>IF($A461&lt;&gt;"",'All Cases - Enter Cases'!G461,"")</f>
        <v/>
      </c>
      <c r="H461" t="str">
        <f>IF($A461&lt;&gt;"",'All Cases - Enter Cases'!H461,"")</f>
        <v/>
      </c>
      <c r="I461" t="str">
        <f>IF($A461&lt;&gt;"",'All Cases - Enter Cases'!I461,"")</f>
        <v/>
      </c>
      <c r="J461" t="str">
        <f>IF($A461&lt;&gt;"",'All Cases - Enter Cases'!J461,"")</f>
        <v/>
      </c>
      <c r="K461" s="4" t="str">
        <f>IF($A461&lt;&gt;"",'All Cases - Enter Cases'!K461,"")</f>
        <v/>
      </c>
      <c r="L461" t="str">
        <f>IF($A461&lt;&gt;"",'All Cases - Enter Cases'!L461,"")</f>
        <v/>
      </c>
      <c r="M461" t="str">
        <f>IF($A461&lt;&gt;"",'All Cases - Enter Cases'!M461,"")</f>
        <v/>
      </c>
    </row>
    <row r="462" spans="1:13" x14ac:dyDescent="0.35">
      <c r="A462" s="10" t="str">
        <f>IF('All Cases - Enter Cases'!$F462="Sindh",'All Cases - Enter Cases'!A462,"")</f>
        <v/>
      </c>
      <c r="B462" t="str">
        <f>IF($A462&lt;&gt;"",'All Cases - Enter Cases'!B462,"")</f>
        <v/>
      </c>
      <c r="C462" t="str">
        <f>IF($A462&lt;&gt;"",'All Cases - Enter Cases'!C462,"")</f>
        <v/>
      </c>
      <c r="D462" t="str">
        <f>IF($A462&lt;&gt;"",'All Cases - Enter Cases'!D462,"")</f>
        <v/>
      </c>
      <c r="E462" t="str">
        <f>IF($A462&lt;&gt;"",'All Cases - Enter Cases'!E462,"")</f>
        <v/>
      </c>
      <c r="F462" t="str">
        <f>IF($A462&lt;&gt;"",'All Cases - Enter Cases'!F462,"")</f>
        <v/>
      </c>
      <c r="G462" t="str">
        <f>IF($A462&lt;&gt;"",'All Cases - Enter Cases'!G462,"")</f>
        <v/>
      </c>
      <c r="H462" t="str">
        <f>IF($A462&lt;&gt;"",'All Cases - Enter Cases'!H462,"")</f>
        <v/>
      </c>
      <c r="I462" t="str">
        <f>IF($A462&lt;&gt;"",'All Cases - Enter Cases'!I462,"")</f>
        <v/>
      </c>
      <c r="J462" t="str">
        <f>IF($A462&lt;&gt;"",'All Cases - Enter Cases'!J462,"")</f>
        <v/>
      </c>
      <c r="K462" s="4" t="str">
        <f>IF($A462&lt;&gt;"",'All Cases - Enter Cases'!K462,"")</f>
        <v/>
      </c>
      <c r="L462" t="str">
        <f>IF($A462&lt;&gt;"",'All Cases - Enter Cases'!L462,"")</f>
        <v/>
      </c>
      <c r="M462" t="str">
        <f>IF($A462&lt;&gt;"",'All Cases - Enter Cases'!M462,"")</f>
        <v/>
      </c>
    </row>
    <row r="463" spans="1:13" x14ac:dyDescent="0.35">
      <c r="A463" s="10" t="str">
        <f>IF('All Cases - Enter Cases'!$F463="Sindh",'All Cases - Enter Cases'!A463,"")</f>
        <v/>
      </c>
      <c r="B463" t="str">
        <f>IF($A463&lt;&gt;"",'All Cases - Enter Cases'!B463,"")</f>
        <v/>
      </c>
      <c r="C463" t="str">
        <f>IF($A463&lt;&gt;"",'All Cases - Enter Cases'!C463,"")</f>
        <v/>
      </c>
      <c r="D463" t="str">
        <f>IF($A463&lt;&gt;"",'All Cases - Enter Cases'!D463,"")</f>
        <v/>
      </c>
      <c r="E463" t="str">
        <f>IF($A463&lt;&gt;"",'All Cases - Enter Cases'!E463,"")</f>
        <v/>
      </c>
      <c r="F463" t="str">
        <f>IF($A463&lt;&gt;"",'All Cases - Enter Cases'!F463,"")</f>
        <v/>
      </c>
      <c r="G463" t="str">
        <f>IF($A463&lt;&gt;"",'All Cases - Enter Cases'!G463,"")</f>
        <v/>
      </c>
      <c r="H463" t="str">
        <f>IF($A463&lt;&gt;"",'All Cases - Enter Cases'!H463,"")</f>
        <v/>
      </c>
      <c r="I463" t="str">
        <f>IF($A463&lt;&gt;"",'All Cases - Enter Cases'!I463,"")</f>
        <v/>
      </c>
      <c r="J463" t="str">
        <f>IF($A463&lt;&gt;"",'All Cases - Enter Cases'!J463,"")</f>
        <v/>
      </c>
      <c r="K463" s="4" t="str">
        <f>IF($A463&lt;&gt;"",'All Cases - Enter Cases'!K463,"")</f>
        <v/>
      </c>
      <c r="L463" t="str">
        <f>IF($A463&lt;&gt;"",'All Cases - Enter Cases'!L463,"")</f>
        <v/>
      </c>
      <c r="M463" t="str">
        <f>IF($A463&lt;&gt;"",'All Cases - Enter Cases'!M463,"")</f>
        <v/>
      </c>
    </row>
    <row r="464" spans="1:13" x14ac:dyDescent="0.35">
      <c r="A464" s="10" t="str">
        <f>IF('All Cases - Enter Cases'!$F464="Sindh",'All Cases - Enter Cases'!A464,"")</f>
        <v/>
      </c>
      <c r="B464" t="str">
        <f>IF($A464&lt;&gt;"",'All Cases - Enter Cases'!B464,"")</f>
        <v/>
      </c>
      <c r="C464" t="str">
        <f>IF($A464&lt;&gt;"",'All Cases - Enter Cases'!C464,"")</f>
        <v/>
      </c>
      <c r="D464" t="str">
        <f>IF($A464&lt;&gt;"",'All Cases - Enter Cases'!D464,"")</f>
        <v/>
      </c>
      <c r="E464" t="str">
        <f>IF($A464&lt;&gt;"",'All Cases - Enter Cases'!E464,"")</f>
        <v/>
      </c>
      <c r="F464" t="str">
        <f>IF($A464&lt;&gt;"",'All Cases - Enter Cases'!F464,"")</f>
        <v/>
      </c>
      <c r="G464" t="str">
        <f>IF($A464&lt;&gt;"",'All Cases - Enter Cases'!G464,"")</f>
        <v/>
      </c>
      <c r="H464" t="str">
        <f>IF($A464&lt;&gt;"",'All Cases - Enter Cases'!H464,"")</f>
        <v/>
      </c>
      <c r="I464" t="str">
        <f>IF($A464&lt;&gt;"",'All Cases - Enter Cases'!I464,"")</f>
        <v/>
      </c>
      <c r="J464" t="str">
        <f>IF($A464&lt;&gt;"",'All Cases - Enter Cases'!J464,"")</f>
        <v/>
      </c>
      <c r="K464" s="4" t="str">
        <f>IF($A464&lt;&gt;"",'All Cases - Enter Cases'!K464,"")</f>
        <v/>
      </c>
      <c r="L464" t="str">
        <f>IF($A464&lt;&gt;"",'All Cases - Enter Cases'!L464,"")</f>
        <v/>
      </c>
      <c r="M464" t="str">
        <f>IF($A464&lt;&gt;"",'All Cases - Enter Cases'!M464,"")</f>
        <v/>
      </c>
    </row>
    <row r="465" spans="1:13" x14ac:dyDescent="0.35">
      <c r="A465" s="10" t="str">
        <f>IF('All Cases - Enter Cases'!$F465="Sindh",'All Cases - Enter Cases'!A465,"")</f>
        <v/>
      </c>
      <c r="B465" t="str">
        <f>IF($A465&lt;&gt;"",'All Cases - Enter Cases'!B465,"")</f>
        <v/>
      </c>
      <c r="C465" t="str">
        <f>IF($A465&lt;&gt;"",'All Cases - Enter Cases'!C465,"")</f>
        <v/>
      </c>
      <c r="D465" t="str">
        <f>IF($A465&lt;&gt;"",'All Cases - Enter Cases'!D465,"")</f>
        <v/>
      </c>
      <c r="E465" t="str">
        <f>IF($A465&lt;&gt;"",'All Cases - Enter Cases'!E465,"")</f>
        <v/>
      </c>
      <c r="F465" t="str">
        <f>IF($A465&lt;&gt;"",'All Cases - Enter Cases'!F465,"")</f>
        <v/>
      </c>
      <c r="G465" t="str">
        <f>IF($A465&lt;&gt;"",'All Cases - Enter Cases'!G465,"")</f>
        <v/>
      </c>
      <c r="H465" t="str">
        <f>IF($A465&lt;&gt;"",'All Cases - Enter Cases'!H465,"")</f>
        <v/>
      </c>
      <c r="I465" t="str">
        <f>IF($A465&lt;&gt;"",'All Cases - Enter Cases'!I465,"")</f>
        <v/>
      </c>
      <c r="J465" t="str">
        <f>IF($A465&lt;&gt;"",'All Cases - Enter Cases'!J465,"")</f>
        <v/>
      </c>
      <c r="K465" s="4" t="str">
        <f>IF($A465&lt;&gt;"",'All Cases - Enter Cases'!K465,"")</f>
        <v/>
      </c>
      <c r="L465" t="str">
        <f>IF($A465&lt;&gt;"",'All Cases - Enter Cases'!L465,"")</f>
        <v/>
      </c>
      <c r="M465" t="str">
        <f>IF($A465&lt;&gt;"",'All Cases - Enter Cases'!M465,"")</f>
        <v/>
      </c>
    </row>
    <row r="466" spans="1:13" x14ac:dyDescent="0.35">
      <c r="A466" s="10" t="str">
        <f>IF('All Cases - Enter Cases'!$F466="Sindh",'All Cases - Enter Cases'!A466,"")</f>
        <v/>
      </c>
      <c r="B466" t="str">
        <f>IF($A466&lt;&gt;"",'All Cases - Enter Cases'!B466,"")</f>
        <v/>
      </c>
      <c r="C466" t="str">
        <f>IF($A466&lt;&gt;"",'All Cases - Enter Cases'!C466,"")</f>
        <v/>
      </c>
      <c r="D466" t="str">
        <f>IF($A466&lt;&gt;"",'All Cases - Enter Cases'!D466,"")</f>
        <v/>
      </c>
      <c r="E466" t="str">
        <f>IF($A466&lt;&gt;"",'All Cases - Enter Cases'!E466,"")</f>
        <v/>
      </c>
      <c r="F466" t="str">
        <f>IF($A466&lt;&gt;"",'All Cases - Enter Cases'!F466,"")</f>
        <v/>
      </c>
      <c r="G466" t="str">
        <f>IF($A466&lt;&gt;"",'All Cases - Enter Cases'!G466,"")</f>
        <v/>
      </c>
      <c r="H466" t="str">
        <f>IF($A466&lt;&gt;"",'All Cases - Enter Cases'!H466,"")</f>
        <v/>
      </c>
      <c r="I466" t="str">
        <f>IF($A466&lt;&gt;"",'All Cases - Enter Cases'!I466,"")</f>
        <v/>
      </c>
      <c r="J466" t="str">
        <f>IF($A466&lt;&gt;"",'All Cases - Enter Cases'!J466,"")</f>
        <v/>
      </c>
      <c r="K466" s="4" t="str">
        <f>IF($A466&lt;&gt;"",'All Cases - Enter Cases'!K466,"")</f>
        <v/>
      </c>
      <c r="L466" t="str">
        <f>IF($A466&lt;&gt;"",'All Cases - Enter Cases'!L466,"")</f>
        <v/>
      </c>
      <c r="M466" t="str">
        <f>IF($A466&lt;&gt;"",'All Cases - Enter Cases'!M466,"")</f>
        <v/>
      </c>
    </row>
    <row r="467" spans="1:13" x14ac:dyDescent="0.35">
      <c r="A467" s="10" t="str">
        <f>IF('All Cases - Enter Cases'!$F467="Sindh",'All Cases - Enter Cases'!A467,"")</f>
        <v/>
      </c>
      <c r="B467" t="str">
        <f>IF($A467&lt;&gt;"",'All Cases - Enter Cases'!B467,"")</f>
        <v/>
      </c>
      <c r="C467" t="str">
        <f>IF($A467&lt;&gt;"",'All Cases - Enter Cases'!C467,"")</f>
        <v/>
      </c>
      <c r="D467" t="str">
        <f>IF($A467&lt;&gt;"",'All Cases - Enter Cases'!D467,"")</f>
        <v/>
      </c>
      <c r="E467" t="str">
        <f>IF($A467&lt;&gt;"",'All Cases - Enter Cases'!E467,"")</f>
        <v/>
      </c>
      <c r="F467" t="str">
        <f>IF($A467&lt;&gt;"",'All Cases - Enter Cases'!F467,"")</f>
        <v/>
      </c>
      <c r="G467" t="str">
        <f>IF($A467&lt;&gt;"",'All Cases - Enter Cases'!G467,"")</f>
        <v/>
      </c>
      <c r="H467" t="str">
        <f>IF($A467&lt;&gt;"",'All Cases - Enter Cases'!H467,"")</f>
        <v/>
      </c>
      <c r="I467" t="str">
        <f>IF($A467&lt;&gt;"",'All Cases - Enter Cases'!I467,"")</f>
        <v/>
      </c>
      <c r="J467" t="str">
        <f>IF($A467&lt;&gt;"",'All Cases - Enter Cases'!J467,"")</f>
        <v/>
      </c>
      <c r="K467" s="4" t="str">
        <f>IF($A467&lt;&gt;"",'All Cases - Enter Cases'!K467,"")</f>
        <v/>
      </c>
      <c r="L467" t="str">
        <f>IF($A467&lt;&gt;"",'All Cases - Enter Cases'!L467,"")</f>
        <v/>
      </c>
      <c r="M467" t="str">
        <f>IF($A467&lt;&gt;"",'All Cases - Enter Cases'!M467,"")</f>
        <v/>
      </c>
    </row>
    <row r="468" spans="1:13" x14ac:dyDescent="0.35">
      <c r="A468" s="10" t="str">
        <f>IF('All Cases - Enter Cases'!$F468="Sindh",'All Cases - Enter Cases'!A468,"")</f>
        <v/>
      </c>
      <c r="B468" t="str">
        <f>IF($A468&lt;&gt;"",'All Cases - Enter Cases'!B468,"")</f>
        <v/>
      </c>
      <c r="C468" t="str">
        <f>IF($A468&lt;&gt;"",'All Cases - Enter Cases'!C468,"")</f>
        <v/>
      </c>
      <c r="D468" t="str">
        <f>IF($A468&lt;&gt;"",'All Cases - Enter Cases'!D468,"")</f>
        <v/>
      </c>
      <c r="E468" t="str">
        <f>IF($A468&lt;&gt;"",'All Cases - Enter Cases'!E468,"")</f>
        <v/>
      </c>
      <c r="F468" t="str">
        <f>IF($A468&lt;&gt;"",'All Cases - Enter Cases'!F468,"")</f>
        <v/>
      </c>
      <c r="G468" t="str">
        <f>IF($A468&lt;&gt;"",'All Cases - Enter Cases'!G468,"")</f>
        <v/>
      </c>
      <c r="H468" t="str">
        <f>IF($A468&lt;&gt;"",'All Cases - Enter Cases'!H468,"")</f>
        <v/>
      </c>
      <c r="I468" t="str">
        <f>IF($A468&lt;&gt;"",'All Cases - Enter Cases'!I468,"")</f>
        <v/>
      </c>
      <c r="J468" t="str">
        <f>IF($A468&lt;&gt;"",'All Cases - Enter Cases'!J468,"")</f>
        <v/>
      </c>
      <c r="K468" s="4" t="str">
        <f>IF($A468&lt;&gt;"",'All Cases - Enter Cases'!K468,"")</f>
        <v/>
      </c>
      <c r="L468" t="str">
        <f>IF($A468&lt;&gt;"",'All Cases - Enter Cases'!L468,"")</f>
        <v/>
      </c>
      <c r="M468" t="str">
        <f>IF($A468&lt;&gt;"",'All Cases - Enter Cases'!M468,"")</f>
        <v/>
      </c>
    </row>
    <row r="469" spans="1:13" x14ac:dyDescent="0.35">
      <c r="A469" s="10" t="str">
        <f>IF('All Cases - Enter Cases'!$F469="Sindh",'All Cases - Enter Cases'!A469,"")</f>
        <v/>
      </c>
      <c r="B469" t="str">
        <f>IF($A469&lt;&gt;"",'All Cases - Enter Cases'!B469,"")</f>
        <v/>
      </c>
      <c r="C469" t="str">
        <f>IF($A469&lt;&gt;"",'All Cases - Enter Cases'!C469,"")</f>
        <v/>
      </c>
      <c r="D469" t="str">
        <f>IF($A469&lt;&gt;"",'All Cases - Enter Cases'!D469,"")</f>
        <v/>
      </c>
      <c r="E469" t="str">
        <f>IF($A469&lt;&gt;"",'All Cases - Enter Cases'!E469,"")</f>
        <v/>
      </c>
      <c r="F469" t="str">
        <f>IF($A469&lt;&gt;"",'All Cases - Enter Cases'!F469,"")</f>
        <v/>
      </c>
      <c r="G469" t="str">
        <f>IF($A469&lt;&gt;"",'All Cases - Enter Cases'!G469,"")</f>
        <v/>
      </c>
      <c r="H469" t="str">
        <f>IF($A469&lt;&gt;"",'All Cases - Enter Cases'!H469,"")</f>
        <v/>
      </c>
      <c r="I469" t="str">
        <f>IF($A469&lt;&gt;"",'All Cases - Enter Cases'!I469,"")</f>
        <v/>
      </c>
      <c r="J469" t="str">
        <f>IF($A469&lt;&gt;"",'All Cases - Enter Cases'!J469,"")</f>
        <v/>
      </c>
      <c r="K469" s="4" t="str">
        <f>IF($A469&lt;&gt;"",'All Cases - Enter Cases'!K469,"")</f>
        <v/>
      </c>
      <c r="L469" t="str">
        <f>IF($A469&lt;&gt;"",'All Cases - Enter Cases'!L469,"")</f>
        <v/>
      </c>
      <c r="M469" t="str">
        <f>IF($A469&lt;&gt;"",'All Cases - Enter Cases'!M469,"")</f>
        <v/>
      </c>
    </row>
    <row r="470" spans="1:13" x14ac:dyDescent="0.35">
      <c r="A470" s="10" t="str">
        <f>IF('All Cases - Enter Cases'!$F470="Sindh",'All Cases - Enter Cases'!A470,"")</f>
        <v/>
      </c>
      <c r="B470" t="str">
        <f>IF($A470&lt;&gt;"",'All Cases - Enter Cases'!B470,"")</f>
        <v/>
      </c>
      <c r="C470" t="str">
        <f>IF($A470&lt;&gt;"",'All Cases - Enter Cases'!C470,"")</f>
        <v/>
      </c>
      <c r="D470" t="str">
        <f>IF($A470&lt;&gt;"",'All Cases - Enter Cases'!D470,"")</f>
        <v/>
      </c>
      <c r="E470" t="str">
        <f>IF($A470&lt;&gt;"",'All Cases - Enter Cases'!E470,"")</f>
        <v/>
      </c>
      <c r="F470" t="str">
        <f>IF($A470&lt;&gt;"",'All Cases - Enter Cases'!F470,"")</f>
        <v/>
      </c>
      <c r="G470" t="str">
        <f>IF($A470&lt;&gt;"",'All Cases - Enter Cases'!G470,"")</f>
        <v/>
      </c>
      <c r="H470" t="str">
        <f>IF($A470&lt;&gt;"",'All Cases - Enter Cases'!H470,"")</f>
        <v/>
      </c>
      <c r="I470" t="str">
        <f>IF($A470&lt;&gt;"",'All Cases - Enter Cases'!I470,"")</f>
        <v/>
      </c>
      <c r="J470" t="str">
        <f>IF($A470&lt;&gt;"",'All Cases - Enter Cases'!J470,"")</f>
        <v/>
      </c>
      <c r="K470" s="4" t="str">
        <f>IF($A470&lt;&gt;"",'All Cases - Enter Cases'!K470,"")</f>
        <v/>
      </c>
      <c r="L470" t="str">
        <f>IF($A470&lt;&gt;"",'All Cases - Enter Cases'!L470,"")</f>
        <v/>
      </c>
      <c r="M470" t="str">
        <f>IF($A470&lt;&gt;"",'All Cases - Enter Cases'!M470,"")</f>
        <v/>
      </c>
    </row>
    <row r="471" spans="1:13" x14ac:dyDescent="0.35">
      <c r="A471" s="10" t="str">
        <f>IF('All Cases - Enter Cases'!$F471="Sindh",'All Cases - Enter Cases'!A471,"")</f>
        <v/>
      </c>
      <c r="B471" t="str">
        <f>IF($A471&lt;&gt;"",'All Cases - Enter Cases'!B471,"")</f>
        <v/>
      </c>
      <c r="C471" t="str">
        <f>IF($A471&lt;&gt;"",'All Cases - Enter Cases'!C471,"")</f>
        <v/>
      </c>
      <c r="D471" t="str">
        <f>IF($A471&lt;&gt;"",'All Cases - Enter Cases'!D471,"")</f>
        <v/>
      </c>
      <c r="E471" t="str">
        <f>IF($A471&lt;&gt;"",'All Cases - Enter Cases'!E471,"")</f>
        <v/>
      </c>
      <c r="F471" t="str">
        <f>IF($A471&lt;&gt;"",'All Cases - Enter Cases'!F471,"")</f>
        <v/>
      </c>
      <c r="G471" t="str">
        <f>IF($A471&lt;&gt;"",'All Cases - Enter Cases'!G471,"")</f>
        <v/>
      </c>
      <c r="H471" t="str">
        <f>IF($A471&lt;&gt;"",'All Cases - Enter Cases'!H471,"")</f>
        <v/>
      </c>
      <c r="I471" t="str">
        <f>IF($A471&lt;&gt;"",'All Cases - Enter Cases'!I471,"")</f>
        <v/>
      </c>
      <c r="J471" t="str">
        <f>IF($A471&lt;&gt;"",'All Cases - Enter Cases'!J471,"")</f>
        <v/>
      </c>
      <c r="K471" s="4" t="str">
        <f>IF($A471&lt;&gt;"",'All Cases - Enter Cases'!K471,"")</f>
        <v/>
      </c>
      <c r="L471" t="str">
        <f>IF($A471&lt;&gt;"",'All Cases - Enter Cases'!L471,"")</f>
        <v/>
      </c>
      <c r="M471" t="str">
        <f>IF($A471&lt;&gt;"",'All Cases - Enter Cases'!M471,"")</f>
        <v/>
      </c>
    </row>
    <row r="472" spans="1:13" x14ac:dyDescent="0.35">
      <c r="A472" s="10" t="str">
        <f>IF('All Cases - Enter Cases'!$F472="Sindh",'All Cases - Enter Cases'!A472,"")</f>
        <v/>
      </c>
      <c r="B472" t="str">
        <f>IF($A472&lt;&gt;"",'All Cases - Enter Cases'!B472,"")</f>
        <v/>
      </c>
      <c r="C472" t="str">
        <f>IF($A472&lt;&gt;"",'All Cases - Enter Cases'!C472,"")</f>
        <v/>
      </c>
      <c r="D472" t="str">
        <f>IF($A472&lt;&gt;"",'All Cases - Enter Cases'!D472,"")</f>
        <v/>
      </c>
      <c r="E472" t="str">
        <f>IF($A472&lt;&gt;"",'All Cases - Enter Cases'!E472,"")</f>
        <v/>
      </c>
      <c r="F472" t="str">
        <f>IF($A472&lt;&gt;"",'All Cases - Enter Cases'!F472,"")</f>
        <v/>
      </c>
      <c r="G472" t="str">
        <f>IF($A472&lt;&gt;"",'All Cases - Enter Cases'!G472,"")</f>
        <v/>
      </c>
      <c r="H472" t="str">
        <f>IF($A472&lt;&gt;"",'All Cases - Enter Cases'!H472,"")</f>
        <v/>
      </c>
      <c r="I472" t="str">
        <f>IF($A472&lt;&gt;"",'All Cases - Enter Cases'!I472,"")</f>
        <v/>
      </c>
      <c r="J472" t="str">
        <f>IF($A472&lt;&gt;"",'All Cases - Enter Cases'!J472,"")</f>
        <v/>
      </c>
      <c r="K472" s="4" t="str">
        <f>IF($A472&lt;&gt;"",'All Cases - Enter Cases'!K472,"")</f>
        <v/>
      </c>
      <c r="L472" t="str">
        <f>IF($A472&lt;&gt;"",'All Cases - Enter Cases'!L472,"")</f>
        <v/>
      </c>
      <c r="M472" t="str">
        <f>IF($A472&lt;&gt;"",'All Cases - Enter Cases'!M472,"")</f>
        <v/>
      </c>
    </row>
    <row r="473" spans="1:13" x14ac:dyDescent="0.35">
      <c r="A473" s="10" t="str">
        <f>IF('All Cases - Enter Cases'!$F473="Sindh",'All Cases - Enter Cases'!A473,"")</f>
        <v/>
      </c>
      <c r="B473" t="str">
        <f>IF($A473&lt;&gt;"",'All Cases - Enter Cases'!B473,"")</f>
        <v/>
      </c>
      <c r="C473" t="str">
        <f>IF($A473&lt;&gt;"",'All Cases - Enter Cases'!C473,"")</f>
        <v/>
      </c>
      <c r="D473" t="str">
        <f>IF($A473&lt;&gt;"",'All Cases - Enter Cases'!D473,"")</f>
        <v/>
      </c>
      <c r="E473" t="str">
        <f>IF($A473&lt;&gt;"",'All Cases - Enter Cases'!E473,"")</f>
        <v/>
      </c>
      <c r="F473" t="str">
        <f>IF($A473&lt;&gt;"",'All Cases - Enter Cases'!F473,"")</f>
        <v/>
      </c>
      <c r="G473" t="str">
        <f>IF($A473&lt;&gt;"",'All Cases - Enter Cases'!G473,"")</f>
        <v/>
      </c>
      <c r="H473" t="str">
        <f>IF($A473&lt;&gt;"",'All Cases - Enter Cases'!H473,"")</f>
        <v/>
      </c>
      <c r="I473" t="str">
        <f>IF($A473&lt;&gt;"",'All Cases - Enter Cases'!I473,"")</f>
        <v/>
      </c>
      <c r="J473" t="str">
        <f>IF($A473&lt;&gt;"",'All Cases - Enter Cases'!J473,"")</f>
        <v/>
      </c>
      <c r="K473" s="4" t="str">
        <f>IF($A473&lt;&gt;"",'All Cases - Enter Cases'!K473,"")</f>
        <v/>
      </c>
      <c r="L473" t="str">
        <f>IF($A473&lt;&gt;"",'All Cases - Enter Cases'!L473,"")</f>
        <v/>
      </c>
      <c r="M473" t="str">
        <f>IF($A473&lt;&gt;"",'All Cases - Enter Cases'!M473,"")</f>
        <v/>
      </c>
    </row>
    <row r="474" spans="1:13" x14ac:dyDescent="0.35">
      <c r="A474" s="10" t="str">
        <f>IF('All Cases - Enter Cases'!$F474="Sindh",'All Cases - Enter Cases'!A474,"")</f>
        <v/>
      </c>
      <c r="B474" t="str">
        <f>IF($A474&lt;&gt;"",'All Cases - Enter Cases'!B474,"")</f>
        <v/>
      </c>
      <c r="C474" t="str">
        <f>IF($A474&lt;&gt;"",'All Cases - Enter Cases'!C474,"")</f>
        <v/>
      </c>
      <c r="D474" t="str">
        <f>IF($A474&lt;&gt;"",'All Cases - Enter Cases'!D474,"")</f>
        <v/>
      </c>
      <c r="E474" t="str">
        <f>IF($A474&lt;&gt;"",'All Cases - Enter Cases'!E474,"")</f>
        <v/>
      </c>
      <c r="F474" t="str">
        <f>IF($A474&lt;&gt;"",'All Cases - Enter Cases'!F474,"")</f>
        <v/>
      </c>
      <c r="G474" t="str">
        <f>IF($A474&lt;&gt;"",'All Cases - Enter Cases'!G474,"")</f>
        <v/>
      </c>
      <c r="H474" t="str">
        <f>IF($A474&lt;&gt;"",'All Cases - Enter Cases'!H474,"")</f>
        <v/>
      </c>
      <c r="I474" t="str">
        <f>IF($A474&lt;&gt;"",'All Cases - Enter Cases'!I474,"")</f>
        <v/>
      </c>
      <c r="J474" t="str">
        <f>IF($A474&lt;&gt;"",'All Cases - Enter Cases'!J474,"")</f>
        <v/>
      </c>
      <c r="K474" s="4" t="str">
        <f>IF($A474&lt;&gt;"",'All Cases - Enter Cases'!K474,"")</f>
        <v/>
      </c>
      <c r="L474" t="str">
        <f>IF($A474&lt;&gt;"",'All Cases - Enter Cases'!L474,"")</f>
        <v/>
      </c>
      <c r="M474" t="str">
        <f>IF($A474&lt;&gt;"",'All Cases - Enter Cases'!M474,"")</f>
        <v/>
      </c>
    </row>
    <row r="475" spans="1:13" x14ac:dyDescent="0.35">
      <c r="A475" s="10" t="str">
        <f>IF('All Cases - Enter Cases'!$F475="Sindh",'All Cases - Enter Cases'!A475,"")</f>
        <v/>
      </c>
      <c r="B475" t="str">
        <f>IF($A475&lt;&gt;"",'All Cases - Enter Cases'!B475,"")</f>
        <v/>
      </c>
      <c r="C475" t="str">
        <f>IF($A475&lt;&gt;"",'All Cases - Enter Cases'!C475,"")</f>
        <v/>
      </c>
      <c r="D475" t="str">
        <f>IF($A475&lt;&gt;"",'All Cases - Enter Cases'!D475,"")</f>
        <v/>
      </c>
      <c r="E475" t="str">
        <f>IF($A475&lt;&gt;"",'All Cases - Enter Cases'!E475,"")</f>
        <v/>
      </c>
      <c r="F475" t="str">
        <f>IF($A475&lt;&gt;"",'All Cases - Enter Cases'!F475,"")</f>
        <v/>
      </c>
      <c r="G475" t="str">
        <f>IF($A475&lt;&gt;"",'All Cases - Enter Cases'!G475,"")</f>
        <v/>
      </c>
      <c r="H475" t="str">
        <f>IF($A475&lt;&gt;"",'All Cases - Enter Cases'!H475,"")</f>
        <v/>
      </c>
      <c r="I475" t="str">
        <f>IF($A475&lt;&gt;"",'All Cases - Enter Cases'!I475,"")</f>
        <v/>
      </c>
      <c r="J475" t="str">
        <f>IF($A475&lt;&gt;"",'All Cases - Enter Cases'!J475,"")</f>
        <v/>
      </c>
      <c r="K475" s="4" t="str">
        <f>IF($A475&lt;&gt;"",'All Cases - Enter Cases'!K475,"")</f>
        <v/>
      </c>
      <c r="L475" t="str">
        <f>IF($A475&lt;&gt;"",'All Cases - Enter Cases'!L475,"")</f>
        <v/>
      </c>
      <c r="M475" t="str">
        <f>IF($A475&lt;&gt;"",'All Cases - Enter Cases'!M475,"")</f>
        <v/>
      </c>
    </row>
    <row r="476" spans="1:13" x14ac:dyDescent="0.35">
      <c r="A476" s="10" t="str">
        <f>IF('All Cases - Enter Cases'!$F476="Sindh",'All Cases - Enter Cases'!A476,"")</f>
        <v/>
      </c>
      <c r="B476" t="str">
        <f>IF($A476&lt;&gt;"",'All Cases - Enter Cases'!B476,"")</f>
        <v/>
      </c>
      <c r="C476" t="str">
        <f>IF($A476&lt;&gt;"",'All Cases - Enter Cases'!C476,"")</f>
        <v/>
      </c>
      <c r="D476" t="str">
        <f>IF($A476&lt;&gt;"",'All Cases - Enter Cases'!D476,"")</f>
        <v/>
      </c>
      <c r="E476" t="str">
        <f>IF($A476&lt;&gt;"",'All Cases - Enter Cases'!E476,"")</f>
        <v/>
      </c>
      <c r="F476" t="str">
        <f>IF($A476&lt;&gt;"",'All Cases - Enter Cases'!F476,"")</f>
        <v/>
      </c>
      <c r="G476" t="str">
        <f>IF($A476&lt;&gt;"",'All Cases - Enter Cases'!G476,"")</f>
        <v/>
      </c>
      <c r="H476" t="str">
        <f>IF($A476&lt;&gt;"",'All Cases - Enter Cases'!H476,"")</f>
        <v/>
      </c>
      <c r="I476" t="str">
        <f>IF($A476&lt;&gt;"",'All Cases - Enter Cases'!I476,"")</f>
        <v/>
      </c>
      <c r="J476" t="str">
        <f>IF($A476&lt;&gt;"",'All Cases - Enter Cases'!J476,"")</f>
        <v/>
      </c>
      <c r="K476" s="4" t="str">
        <f>IF($A476&lt;&gt;"",'All Cases - Enter Cases'!K476,"")</f>
        <v/>
      </c>
      <c r="L476" t="str">
        <f>IF($A476&lt;&gt;"",'All Cases - Enter Cases'!L476,"")</f>
        <v/>
      </c>
      <c r="M476" t="str">
        <f>IF($A476&lt;&gt;"",'All Cases - Enter Cases'!M476,"")</f>
        <v/>
      </c>
    </row>
    <row r="477" spans="1:13" x14ac:dyDescent="0.35">
      <c r="A477" s="10" t="str">
        <f>IF('All Cases - Enter Cases'!$F477="Sindh",'All Cases - Enter Cases'!A477,"")</f>
        <v/>
      </c>
      <c r="B477" t="str">
        <f>IF($A477&lt;&gt;"",'All Cases - Enter Cases'!B477,"")</f>
        <v/>
      </c>
      <c r="C477" t="str">
        <f>IF($A477&lt;&gt;"",'All Cases - Enter Cases'!C477,"")</f>
        <v/>
      </c>
      <c r="D477" t="str">
        <f>IF($A477&lt;&gt;"",'All Cases - Enter Cases'!D477,"")</f>
        <v/>
      </c>
      <c r="E477" t="str">
        <f>IF($A477&lt;&gt;"",'All Cases - Enter Cases'!E477,"")</f>
        <v/>
      </c>
      <c r="F477" t="str">
        <f>IF($A477&lt;&gt;"",'All Cases - Enter Cases'!F477,"")</f>
        <v/>
      </c>
      <c r="G477" t="str">
        <f>IF($A477&lt;&gt;"",'All Cases - Enter Cases'!G477,"")</f>
        <v/>
      </c>
      <c r="H477" t="str">
        <f>IF($A477&lt;&gt;"",'All Cases - Enter Cases'!H477,"")</f>
        <v/>
      </c>
      <c r="I477" t="str">
        <f>IF($A477&lt;&gt;"",'All Cases - Enter Cases'!I477,"")</f>
        <v/>
      </c>
      <c r="J477" t="str">
        <f>IF($A477&lt;&gt;"",'All Cases - Enter Cases'!J477,"")</f>
        <v/>
      </c>
      <c r="K477" s="4" t="str">
        <f>IF($A477&lt;&gt;"",'All Cases - Enter Cases'!K477,"")</f>
        <v/>
      </c>
      <c r="L477" t="str">
        <f>IF($A477&lt;&gt;"",'All Cases - Enter Cases'!L477,"")</f>
        <v/>
      </c>
      <c r="M477" t="str">
        <f>IF($A477&lt;&gt;"",'All Cases - Enter Cases'!M477,"")</f>
        <v/>
      </c>
    </row>
    <row r="478" spans="1:13" x14ac:dyDescent="0.35">
      <c r="A478" s="10" t="str">
        <f>IF('All Cases - Enter Cases'!$F478="Sindh",'All Cases - Enter Cases'!A478,"")</f>
        <v/>
      </c>
      <c r="B478" t="str">
        <f>IF($A478&lt;&gt;"",'All Cases - Enter Cases'!B478,"")</f>
        <v/>
      </c>
      <c r="C478" t="str">
        <f>IF($A478&lt;&gt;"",'All Cases - Enter Cases'!C478,"")</f>
        <v/>
      </c>
      <c r="D478" t="str">
        <f>IF($A478&lt;&gt;"",'All Cases - Enter Cases'!D478,"")</f>
        <v/>
      </c>
      <c r="E478" t="str">
        <f>IF($A478&lt;&gt;"",'All Cases - Enter Cases'!E478,"")</f>
        <v/>
      </c>
      <c r="F478" t="str">
        <f>IF($A478&lt;&gt;"",'All Cases - Enter Cases'!F478,"")</f>
        <v/>
      </c>
      <c r="G478" t="str">
        <f>IF($A478&lt;&gt;"",'All Cases - Enter Cases'!G478,"")</f>
        <v/>
      </c>
      <c r="H478" t="str">
        <f>IF($A478&lt;&gt;"",'All Cases - Enter Cases'!H478,"")</f>
        <v/>
      </c>
      <c r="I478" t="str">
        <f>IF($A478&lt;&gt;"",'All Cases - Enter Cases'!I478,"")</f>
        <v/>
      </c>
      <c r="J478" t="str">
        <f>IF($A478&lt;&gt;"",'All Cases - Enter Cases'!J478,"")</f>
        <v/>
      </c>
      <c r="K478" s="4" t="str">
        <f>IF($A478&lt;&gt;"",'All Cases - Enter Cases'!K478,"")</f>
        <v/>
      </c>
      <c r="L478" t="str">
        <f>IF($A478&lt;&gt;"",'All Cases - Enter Cases'!L478,"")</f>
        <v/>
      </c>
      <c r="M478" t="str">
        <f>IF($A478&lt;&gt;"",'All Cases - Enter Cases'!M478,"")</f>
        <v/>
      </c>
    </row>
    <row r="479" spans="1:13" x14ac:dyDescent="0.35">
      <c r="A479" s="10" t="str">
        <f>IF('All Cases - Enter Cases'!$F479="Sindh",'All Cases - Enter Cases'!A479,"")</f>
        <v/>
      </c>
      <c r="B479" t="str">
        <f>IF($A479&lt;&gt;"",'All Cases - Enter Cases'!B479,"")</f>
        <v/>
      </c>
      <c r="C479" t="str">
        <f>IF($A479&lt;&gt;"",'All Cases - Enter Cases'!C479,"")</f>
        <v/>
      </c>
      <c r="D479" t="str">
        <f>IF($A479&lt;&gt;"",'All Cases - Enter Cases'!D479,"")</f>
        <v/>
      </c>
      <c r="E479" t="str">
        <f>IF($A479&lt;&gt;"",'All Cases - Enter Cases'!E479,"")</f>
        <v/>
      </c>
      <c r="F479" t="str">
        <f>IF($A479&lt;&gt;"",'All Cases - Enter Cases'!F479,"")</f>
        <v/>
      </c>
      <c r="G479" t="str">
        <f>IF($A479&lt;&gt;"",'All Cases - Enter Cases'!G479,"")</f>
        <v/>
      </c>
      <c r="H479" t="str">
        <f>IF($A479&lt;&gt;"",'All Cases - Enter Cases'!H479,"")</f>
        <v/>
      </c>
      <c r="I479" t="str">
        <f>IF($A479&lt;&gt;"",'All Cases - Enter Cases'!I479,"")</f>
        <v/>
      </c>
      <c r="J479" t="str">
        <f>IF($A479&lt;&gt;"",'All Cases - Enter Cases'!J479,"")</f>
        <v/>
      </c>
      <c r="K479" s="4" t="str">
        <f>IF($A479&lt;&gt;"",'All Cases - Enter Cases'!K479,"")</f>
        <v/>
      </c>
      <c r="L479" t="str">
        <f>IF($A479&lt;&gt;"",'All Cases - Enter Cases'!L479,"")</f>
        <v/>
      </c>
      <c r="M479" t="str">
        <f>IF($A479&lt;&gt;"",'All Cases - Enter Cases'!M479,"")</f>
        <v/>
      </c>
    </row>
    <row r="480" spans="1:13" x14ac:dyDescent="0.35">
      <c r="A480" s="10" t="str">
        <f>IF('All Cases - Enter Cases'!$F480="Sindh",'All Cases - Enter Cases'!A480,"")</f>
        <v/>
      </c>
      <c r="B480" t="str">
        <f>IF($A480&lt;&gt;"",'All Cases - Enter Cases'!B480,"")</f>
        <v/>
      </c>
      <c r="C480" t="str">
        <f>IF($A480&lt;&gt;"",'All Cases - Enter Cases'!C480,"")</f>
        <v/>
      </c>
      <c r="D480" t="str">
        <f>IF($A480&lt;&gt;"",'All Cases - Enter Cases'!D480,"")</f>
        <v/>
      </c>
      <c r="E480" t="str">
        <f>IF($A480&lt;&gt;"",'All Cases - Enter Cases'!E480,"")</f>
        <v/>
      </c>
      <c r="F480" t="str">
        <f>IF($A480&lt;&gt;"",'All Cases - Enter Cases'!F480,"")</f>
        <v/>
      </c>
      <c r="G480" t="str">
        <f>IF($A480&lt;&gt;"",'All Cases - Enter Cases'!G480,"")</f>
        <v/>
      </c>
      <c r="H480" t="str">
        <f>IF($A480&lt;&gt;"",'All Cases - Enter Cases'!H480,"")</f>
        <v/>
      </c>
      <c r="I480" t="str">
        <f>IF($A480&lt;&gt;"",'All Cases - Enter Cases'!I480,"")</f>
        <v/>
      </c>
      <c r="J480" t="str">
        <f>IF($A480&lt;&gt;"",'All Cases - Enter Cases'!J480,"")</f>
        <v/>
      </c>
      <c r="K480" s="4" t="str">
        <f>IF($A480&lt;&gt;"",'All Cases - Enter Cases'!K480,"")</f>
        <v/>
      </c>
      <c r="L480" t="str">
        <f>IF($A480&lt;&gt;"",'All Cases - Enter Cases'!L480,"")</f>
        <v/>
      </c>
      <c r="M480" t="str">
        <f>IF($A480&lt;&gt;"",'All Cases - Enter Cases'!M480,"")</f>
        <v/>
      </c>
    </row>
    <row r="481" spans="1:13" x14ac:dyDescent="0.35">
      <c r="A481" s="10" t="str">
        <f>IF('All Cases - Enter Cases'!$F481="Sindh",'All Cases - Enter Cases'!A481,"")</f>
        <v/>
      </c>
      <c r="B481" t="str">
        <f>IF($A481&lt;&gt;"",'All Cases - Enter Cases'!B481,"")</f>
        <v/>
      </c>
      <c r="C481" t="str">
        <f>IF($A481&lt;&gt;"",'All Cases - Enter Cases'!C481,"")</f>
        <v/>
      </c>
      <c r="D481" t="str">
        <f>IF($A481&lt;&gt;"",'All Cases - Enter Cases'!D481,"")</f>
        <v/>
      </c>
      <c r="E481" t="str">
        <f>IF($A481&lt;&gt;"",'All Cases - Enter Cases'!E481,"")</f>
        <v/>
      </c>
      <c r="F481" t="str">
        <f>IF($A481&lt;&gt;"",'All Cases - Enter Cases'!F481,"")</f>
        <v/>
      </c>
      <c r="G481" t="str">
        <f>IF($A481&lt;&gt;"",'All Cases - Enter Cases'!G481,"")</f>
        <v/>
      </c>
      <c r="H481" t="str">
        <f>IF($A481&lt;&gt;"",'All Cases - Enter Cases'!H481,"")</f>
        <v/>
      </c>
      <c r="I481" t="str">
        <f>IF($A481&lt;&gt;"",'All Cases - Enter Cases'!I481,"")</f>
        <v/>
      </c>
      <c r="J481" t="str">
        <f>IF($A481&lt;&gt;"",'All Cases - Enter Cases'!J481,"")</f>
        <v/>
      </c>
      <c r="K481" s="4" t="str">
        <f>IF($A481&lt;&gt;"",'All Cases - Enter Cases'!K481,"")</f>
        <v/>
      </c>
      <c r="L481" t="str">
        <f>IF($A481&lt;&gt;"",'All Cases - Enter Cases'!L481,"")</f>
        <v/>
      </c>
      <c r="M481" t="str">
        <f>IF($A481&lt;&gt;"",'All Cases - Enter Cases'!M481,"")</f>
        <v/>
      </c>
    </row>
    <row r="482" spans="1:13" x14ac:dyDescent="0.35">
      <c r="A482" s="10" t="str">
        <f>IF('All Cases - Enter Cases'!$F482="Sindh",'All Cases - Enter Cases'!A482,"")</f>
        <v/>
      </c>
      <c r="B482" t="str">
        <f>IF($A482&lt;&gt;"",'All Cases - Enter Cases'!B482,"")</f>
        <v/>
      </c>
      <c r="C482" t="str">
        <f>IF($A482&lt;&gt;"",'All Cases - Enter Cases'!C482,"")</f>
        <v/>
      </c>
      <c r="D482" t="str">
        <f>IF($A482&lt;&gt;"",'All Cases - Enter Cases'!D482,"")</f>
        <v/>
      </c>
      <c r="E482" t="str">
        <f>IF($A482&lt;&gt;"",'All Cases - Enter Cases'!E482,"")</f>
        <v/>
      </c>
      <c r="F482" t="str">
        <f>IF($A482&lt;&gt;"",'All Cases - Enter Cases'!F482,"")</f>
        <v/>
      </c>
      <c r="G482" t="str">
        <f>IF($A482&lt;&gt;"",'All Cases - Enter Cases'!G482,"")</f>
        <v/>
      </c>
      <c r="H482" t="str">
        <f>IF($A482&lt;&gt;"",'All Cases - Enter Cases'!H482,"")</f>
        <v/>
      </c>
      <c r="I482" t="str">
        <f>IF($A482&lt;&gt;"",'All Cases - Enter Cases'!I482,"")</f>
        <v/>
      </c>
      <c r="J482" t="str">
        <f>IF($A482&lt;&gt;"",'All Cases - Enter Cases'!J482,"")</f>
        <v/>
      </c>
      <c r="K482" s="4" t="str">
        <f>IF($A482&lt;&gt;"",'All Cases - Enter Cases'!K482,"")</f>
        <v/>
      </c>
      <c r="L482" t="str">
        <f>IF($A482&lt;&gt;"",'All Cases - Enter Cases'!L482,"")</f>
        <v/>
      </c>
      <c r="M482" t="str">
        <f>IF($A482&lt;&gt;"",'All Cases - Enter Cases'!M482,"")</f>
        <v/>
      </c>
    </row>
    <row r="483" spans="1:13" x14ac:dyDescent="0.35">
      <c r="A483" s="10" t="str">
        <f>IF('All Cases - Enter Cases'!$F483="Sindh",'All Cases - Enter Cases'!A483,"")</f>
        <v/>
      </c>
      <c r="B483" t="str">
        <f>IF($A483&lt;&gt;"",'All Cases - Enter Cases'!B483,"")</f>
        <v/>
      </c>
      <c r="C483" t="str">
        <f>IF($A483&lt;&gt;"",'All Cases - Enter Cases'!C483,"")</f>
        <v/>
      </c>
      <c r="D483" t="str">
        <f>IF($A483&lt;&gt;"",'All Cases - Enter Cases'!D483,"")</f>
        <v/>
      </c>
      <c r="E483" t="str">
        <f>IF($A483&lt;&gt;"",'All Cases - Enter Cases'!E483,"")</f>
        <v/>
      </c>
      <c r="F483" t="str">
        <f>IF($A483&lt;&gt;"",'All Cases - Enter Cases'!F483,"")</f>
        <v/>
      </c>
      <c r="G483" t="str">
        <f>IF($A483&lt;&gt;"",'All Cases - Enter Cases'!G483,"")</f>
        <v/>
      </c>
      <c r="H483" t="str">
        <f>IF($A483&lt;&gt;"",'All Cases - Enter Cases'!H483,"")</f>
        <v/>
      </c>
      <c r="I483" t="str">
        <f>IF($A483&lt;&gt;"",'All Cases - Enter Cases'!I483,"")</f>
        <v/>
      </c>
      <c r="J483" t="str">
        <f>IF($A483&lt;&gt;"",'All Cases - Enter Cases'!J483,"")</f>
        <v/>
      </c>
      <c r="K483" s="4" t="str">
        <f>IF($A483&lt;&gt;"",'All Cases - Enter Cases'!K483,"")</f>
        <v/>
      </c>
      <c r="L483" t="str">
        <f>IF($A483&lt;&gt;"",'All Cases - Enter Cases'!L483,"")</f>
        <v/>
      </c>
      <c r="M483" t="str">
        <f>IF($A483&lt;&gt;"",'All Cases - Enter Cases'!M483,"")</f>
        <v/>
      </c>
    </row>
    <row r="484" spans="1:13" x14ac:dyDescent="0.35">
      <c r="A484" s="10" t="str">
        <f>IF('All Cases - Enter Cases'!$F484="Sindh",'All Cases - Enter Cases'!A484,"")</f>
        <v/>
      </c>
      <c r="B484" t="str">
        <f>IF($A484&lt;&gt;"",'All Cases - Enter Cases'!B484,"")</f>
        <v/>
      </c>
      <c r="C484" t="str">
        <f>IF($A484&lt;&gt;"",'All Cases - Enter Cases'!C484,"")</f>
        <v/>
      </c>
      <c r="D484" t="str">
        <f>IF($A484&lt;&gt;"",'All Cases - Enter Cases'!D484,"")</f>
        <v/>
      </c>
      <c r="E484" t="str">
        <f>IF($A484&lt;&gt;"",'All Cases - Enter Cases'!E484,"")</f>
        <v/>
      </c>
      <c r="F484" t="str">
        <f>IF($A484&lt;&gt;"",'All Cases - Enter Cases'!F484,"")</f>
        <v/>
      </c>
      <c r="G484" t="str">
        <f>IF($A484&lt;&gt;"",'All Cases - Enter Cases'!G484,"")</f>
        <v/>
      </c>
      <c r="H484" t="str">
        <f>IF($A484&lt;&gt;"",'All Cases - Enter Cases'!H484,"")</f>
        <v/>
      </c>
      <c r="I484" t="str">
        <f>IF($A484&lt;&gt;"",'All Cases - Enter Cases'!I484,"")</f>
        <v/>
      </c>
      <c r="J484" t="str">
        <f>IF($A484&lt;&gt;"",'All Cases - Enter Cases'!J484,"")</f>
        <v/>
      </c>
      <c r="K484" s="4" t="str">
        <f>IF($A484&lt;&gt;"",'All Cases - Enter Cases'!K484,"")</f>
        <v/>
      </c>
      <c r="L484" t="str">
        <f>IF($A484&lt;&gt;"",'All Cases - Enter Cases'!L484,"")</f>
        <v/>
      </c>
      <c r="M484" t="str">
        <f>IF($A484&lt;&gt;"",'All Cases - Enter Cases'!M484,"")</f>
        <v/>
      </c>
    </row>
    <row r="485" spans="1:13" x14ac:dyDescent="0.35">
      <c r="A485" s="10" t="str">
        <f>IF('All Cases - Enter Cases'!$F485="Sindh",'All Cases - Enter Cases'!A485,"")</f>
        <v/>
      </c>
      <c r="B485" t="str">
        <f>IF($A485&lt;&gt;"",'All Cases - Enter Cases'!B485,"")</f>
        <v/>
      </c>
      <c r="C485" t="str">
        <f>IF($A485&lt;&gt;"",'All Cases - Enter Cases'!C485,"")</f>
        <v/>
      </c>
      <c r="D485" t="str">
        <f>IF($A485&lt;&gt;"",'All Cases - Enter Cases'!D485,"")</f>
        <v/>
      </c>
      <c r="E485" t="str">
        <f>IF($A485&lt;&gt;"",'All Cases - Enter Cases'!E485,"")</f>
        <v/>
      </c>
      <c r="F485" t="str">
        <f>IF($A485&lt;&gt;"",'All Cases - Enter Cases'!F485,"")</f>
        <v/>
      </c>
      <c r="G485" t="str">
        <f>IF($A485&lt;&gt;"",'All Cases - Enter Cases'!G485,"")</f>
        <v/>
      </c>
      <c r="H485" t="str">
        <f>IF($A485&lt;&gt;"",'All Cases - Enter Cases'!H485,"")</f>
        <v/>
      </c>
      <c r="I485" t="str">
        <f>IF($A485&lt;&gt;"",'All Cases - Enter Cases'!I485,"")</f>
        <v/>
      </c>
      <c r="J485" t="str">
        <f>IF($A485&lt;&gt;"",'All Cases - Enter Cases'!J485,"")</f>
        <v/>
      </c>
      <c r="K485" s="4" t="str">
        <f>IF($A485&lt;&gt;"",'All Cases - Enter Cases'!K485,"")</f>
        <v/>
      </c>
      <c r="L485" t="str">
        <f>IF($A485&lt;&gt;"",'All Cases - Enter Cases'!L485,"")</f>
        <v/>
      </c>
      <c r="M485" t="str">
        <f>IF($A485&lt;&gt;"",'All Cases - Enter Cases'!M485,"")</f>
        <v/>
      </c>
    </row>
    <row r="486" spans="1:13" x14ac:dyDescent="0.35">
      <c r="A486" s="10" t="str">
        <f>IF('All Cases - Enter Cases'!$F486="Sindh",'All Cases - Enter Cases'!A486,"")</f>
        <v/>
      </c>
      <c r="B486" t="str">
        <f>IF($A486&lt;&gt;"",'All Cases - Enter Cases'!B486,"")</f>
        <v/>
      </c>
      <c r="C486" t="str">
        <f>IF($A486&lt;&gt;"",'All Cases - Enter Cases'!C486,"")</f>
        <v/>
      </c>
      <c r="D486" t="str">
        <f>IF($A486&lt;&gt;"",'All Cases - Enter Cases'!D486,"")</f>
        <v/>
      </c>
      <c r="E486" t="str">
        <f>IF($A486&lt;&gt;"",'All Cases - Enter Cases'!E486,"")</f>
        <v/>
      </c>
      <c r="F486" t="str">
        <f>IF($A486&lt;&gt;"",'All Cases - Enter Cases'!F486,"")</f>
        <v/>
      </c>
      <c r="G486" t="str">
        <f>IF($A486&lt;&gt;"",'All Cases - Enter Cases'!G486,"")</f>
        <v/>
      </c>
      <c r="H486" t="str">
        <f>IF($A486&lt;&gt;"",'All Cases - Enter Cases'!H486,"")</f>
        <v/>
      </c>
      <c r="I486" t="str">
        <f>IF($A486&lt;&gt;"",'All Cases - Enter Cases'!I486,"")</f>
        <v/>
      </c>
      <c r="J486" t="str">
        <f>IF($A486&lt;&gt;"",'All Cases - Enter Cases'!J486,"")</f>
        <v/>
      </c>
      <c r="K486" s="4" t="str">
        <f>IF($A486&lt;&gt;"",'All Cases - Enter Cases'!K486,"")</f>
        <v/>
      </c>
      <c r="L486" t="str">
        <f>IF($A486&lt;&gt;"",'All Cases - Enter Cases'!L486,"")</f>
        <v/>
      </c>
      <c r="M486" t="str">
        <f>IF($A486&lt;&gt;"",'All Cases - Enter Cases'!M486,"")</f>
        <v/>
      </c>
    </row>
    <row r="487" spans="1:13" x14ac:dyDescent="0.35">
      <c r="A487" s="10" t="str">
        <f>IF('All Cases - Enter Cases'!$F487="Sindh",'All Cases - Enter Cases'!A487,"")</f>
        <v/>
      </c>
      <c r="B487" t="str">
        <f>IF($A487&lt;&gt;"",'All Cases - Enter Cases'!B487,"")</f>
        <v/>
      </c>
      <c r="C487" t="str">
        <f>IF($A487&lt;&gt;"",'All Cases - Enter Cases'!C487,"")</f>
        <v/>
      </c>
      <c r="D487" t="str">
        <f>IF($A487&lt;&gt;"",'All Cases - Enter Cases'!D487,"")</f>
        <v/>
      </c>
      <c r="E487" t="str">
        <f>IF($A487&lt;&gt;"",'All Cases - Enter Cases'!E487,"")</f>
        <v/>
      </c>
      <c r="F487" t="str">
        <f>IF($A487&lt;&gt;"",'All Cases - Enter Cases'!F487,"")</f>
        <v/>
      </c>
      <c r="G487" t="str">
        <f>IF($A487&lt;&gt;"",'All Cases - Enter Cases'!G487,"")</f>
        <v/>
      </c>
      <c r="H487" t="str">
        <f>IF($A487&lt;&gt;"",'All Cases - Enter Cases'!H487,"")</f>
        <v/>
      </c>
      <c r="I487" t="str">
        <f>IF($A487&lt;&gt;"",'All Cases - Enter Cases'!I487,"")</f>
        <v/>
      </c>
      <c r="J487" t="str">
        <f>IF($A487&lt;&gt;"",'All Cases - Enter Cases'!J487,"")</f>
        <v/>
      </c>
      <c r="K487" s="4" t="str">
        <f>IF($A487&lt;&gt;"",'All Cases - Enter Cases'!K487,"")</f>
        <v/>
      </c>
      <c r="L487" t="str">
        <f>IF($A487&lt;&gt;"",'All Cases - Enter Cases'!L487,"")</f>
        <v/>
      </c>
      <c r="M487" t="str">
        <f>IF($A487&lt;&gt;"",'All Cases - Enter Cases'!M487,"")</f>
        <v/>
      </c>
    </row>
    <row r="488" spans="1:13" x14ac:dyDescent="0.35">
      <c r="A488" s="10" t="str">
        <f>IF('All Cases - Enter Cases'!$F488="Sindh",'All Cases - Enter Cases'!A488,"")</f>
        <v/>
      </c>
      <c r="B488" t="str">
        <f>IF($A488&lt;&gt;"",'All Cases - Enter Cases'!B488,"")</f>
        <v/>
      </c>
      <c r="C488" t="str">
        <f>IF($A488&lt;&gt;"",'All Cases - Enter Cases'!C488,"")</f>
        <v/>
      </c>
      <c r="D488" t="str">
        <f>IF($A488&lt;&gt;"",'All Cases - Enter Cases'!D488,"")</f>
        <v/>
      </c>
      <c r="E488" t="str">
        <f>IF($A488&lt;&gt;"",'All Cases - Enter Cases'!E488,"")</f>
        <v/>
      </c>
      <c r="F488" t="str">
        <f>IF($A488&lt;&gt;"",'All Cases - Enter Cases'!F488,"")</f>
        <v/>
      </c>
      <c r="G488" t="str">
        <f>IF($A488&lt;&gt;"",'All Cases - Enter Cases'!G488,"")</f>
        <v/>
      </c>
      <c r="H488" t="str">
        <f>IF($A488&lt;&gt;"",'All Cases - Enter Cases'!H488,"")</f>
        <v/>
      </c>
      <c r="I488" t="str">
        <f>IF($A488&lt;&gt;"",'All Cases - Enter Cases'!I488,"")</f>
        <v/>
      </c>
      <c r="J488" t="str">
        <f>IF($A488&lt;&gt;"",'All Cases - Enter Cases'!J488,"")</f>
        <v/>
      </c>
      <c r="K488" s="4" t="str">
        <f>IF($A488&lt;&gt;"",'All Cases - Enter Cases'!K488,"")</f>
        <v/>
      </c>
      <c r="L488" t="str">
        <f>IF($A488&lt;&gt;"",'All Cases - Enter Cases'!L488,"")</f>
        <v/>
      </c>
      <c r="M488" t="str">
        <f>IF($A488&lt;&gt;"",'All Cases - Enter Cases'!M488,"")</f>
        <v/>
      </c>
    </row>
    <row r="489" spans="1:13" x14ac:dyDescent="0.35">
      <c r="A489" s="10" t="str">
        <f>IF('All Cases - Enter Cases'!$F489="Sindh",'All Cases - Enter Cases'!A489,"")</f>
        <v/>
      </c>
      <c r="B489" t="str">
        <f>IF($A489&lt;&gt;"",'All Cases - Enter Cases'!B489,"")</f>
        <v/>
      </c>
      <c r="C489" t="str">
        <f>IF($A489&lt;&gt;"",'All Cases - Enter Cases'!C489,"")</f>
        <v/>
      </c>
      <c r="D489" t="str">
        <f>IF($A489&lt;&gt;"",'All Cases - Enter Cases'!D489,"")</f>
        <v/>
      </c>
      <c r="E489" t="str">
        <f>IF($A489&lt;&gt;"",'All Cases - Enter Cases'!E489,"")</f>
        <v/>
      </c>
      <c r="F489" t="str">
        <f>IF($A489&lt;&gt;"",'All Cases - Enter Cases'!F489,"")</f>
        <v/>
      </c>
      <c r="G489" t="str">
        <f>IF($A489&lt;&gt;"",'All Cases - Enter Cases'!G489,"")</f>
        <v/>
      </c>
      <c r="H489" t="str">
        <f>IF($A489&lt;&gt;"",'All Cases - Enter Cases'!H489,"")</f>
        <v/>
      </c>
      <c r="I489" t="str">
        <f>IF($A489&lt;&gt;"",'All Cases - Enter Cases'!I489,"")</f>
        <v/>
      </c>
      <c r="J489" t="str">
        <f>IF($A489&lt;&gt;"",'All Cases - Enter Cases'!J489,"")</f>
        <v/>
      </c>
      <c r="K489" s="4" t="str">
        <f>IF($A489&lt;&gt;"",'All Cases - Enter Cases'!K489,"")</f>
        <v/>
      </c>
      <c r="L489" t="str">
        <f>IF($A489&lt;&gt;"",'All Cases - Enter Cases'!L489,"")</f>
        <v/>
      </c>
      <c r="M489" t="str">
        <f>IF($A489&lt;&gt;"",'All Cases - Enter Cases'!M489,"")</f>
        <v/>
      </c>
    </row>
    <row r="490" spans="1:13" x14ac:dyDescent="0.35">
      <c r="A490" s="10" t="str">
        <f>IF('All Cases - Enter Cases'!$F490="Sindh",'All Cases - Enter Cases'!A490,"")</f>
        <v/>
      </c>
      <c r="B490" t="str">
        <f>IF($A490&lt;&gt;"",'All Cases - Enter Cases'!B490,"")</f>
        <v/>
      </c>
      <c r="C490" t="str">
        <f>IF($A490&lt;&gt;"",'All Cases - Enter Cases'!C490,"")</f>
        <v/>
      </c>
      <c r="D490" t="str">
        <f>IF($A490&lt;&gt;"",'All Cases - Enter Cases'!D490,"")</f>
        <v/>
      </c>
      <c r="E490" t="str">
        <f>IF($A490&lt;&gt;"",'All Cases - Enter Cases'!E490,"")</f>
        <v/>
      </c>
      <c r="F490" t="str">
        <f>IF($A490&lt;&gt;"",'All Cases - Enter Cases'!F490,"")</f>
        <v/>
      </c>
      <c r="G490" t="str">
        <f>IF($A490&lt;&gt;"",'All Cases - Enter Cases'!G490,"")</f>
        <v/>
      </c>
      <c r="H490" t="str">
        <f>IF($A490&lt;&gt;"",'All Cases - Enter Cases'!H490,"")</f>
        <v/>
      </c>
      <c r="I490" t="str">
        <f>IF($A490&lt;&gt;"",'All Cases - Enter Cases'!I490,"")</f>
        <v/>
      </c>
      <c r="J490" t="str">
        <f>IF($A490&lt;&gt;"",'All Cases - Enter Cases'!J490,"")</f>
        <v/>
      </c>
      <c r="K490" s="4" t="str">
        <f>IF($A490&lt;&gt;"",'All Cases - Enter Cases'!K490,"")</f>
        <v/>
      </c>
      <c r="L490" t="str">
        <f>IF($A490&lt;&gt;"",'All Cases - Enter Cases'!L490,"")</f>
        <v/>
      </c>
      <c r="M490" t="str">
        <f>IF($A490&lt;&gt;"",'All Cases - Enter Cases'!M490,"")</f>
        <v/>
      </c>
    </row>
    <row r="491" spans="1:13" x14ac:dyDescent="0.35">
      <c r="A491" s="10" t="str">
        <f>IF('All Cases - Enter Cases'!$F491="Sindh",'All Cases - Enter Cases'!A491,"")</f>
        <v/>
      </c>
      <c r="B491" t="str">
        <f>IF($A491&lt;&gt;"",'All Cases - Enter Cases'!B491,"")</f>
        <v/>
      </c>
      <c r="C491" t="str">
        <f>IF($A491&lt;&gt;"",'All Cases - Enter Cases'!C491,"")</f>
        <v/>
      </c>
      <c r="D491" t="str">
        <f>IF($A491&lt;&gt;"",'All Cases - Enter Cases'!D491,"")</f>
        <v/>
      </c>
      <c r="E491" t="str">
        <f>IF($A491&lt;&gt;"",'All Cases - Enter Cases'!E491,"")</f>
        <v/>
      </c>
      <c r="F491" t="str">
        <f>IF($A491&lt;&gt;"",'All Cases - Enter Cases'!F491,"")</f>
        <v/>
      </c>
      <c r="G491" t="str">
        <f>IF($A491&lt;&gt;"",'All Cases - Enter Cases'!G491,"")</f>
        <v/>
      </c>
      <c r="H491" t="str">
        <f>IF($A491&lt;&gt;"",'All Cases - Enter Cases'!H491,"")</f>
        <v/>
      </c>
      <c r="I491" t="str">
        <f>IF($A491&lt;&gt;"",'All Cases - Enter Cases'!I491,"")</f>
        <v/>
      </c>
      <c r="J491" t="str">
        <f>IF($A491&lt;&gt;"",'All Cases - Enter Cases'!J491,"")</f>
        <v/>
      </c>
      <c r="K491" s="4" t="str">
        <f>IF($A491&lt;&gt;"",'All Cases - Enter Cases'!K491,"")</f>
        <v/>
      </c>
      <c r="L491" t="str">
        <f>IF($A491&lt;&gt;"",'All Cases - Enter Cases'!L491,"")</f>
        <v/>
      </c>
      <c r="M491" t="str">
        <f>IF($A491&lt;&gt;"",'All Cases - Enter Cases'!M491,"")</f>
        <v/>
      </c>
    </row>
    <row r="492" spans="1:13" x14ac:dyDescent="0.35">
      <c r="A492" s="10" t="str">
        <f>IF('All Cases - Enter Cases'!$F492="Sindh",'All Cases - Enter Cases'!A492,"")</f>
        <v/>
      </c>
      <c r="B492" t="str">
        <f>IF($A492&lt;&gt;"",'All Cases - Enter Cases'!B492,"")</f>
        <v/>
      </c>
      <c r="C492" t="str">
        <f>IF($A492&lt;&gt;"",'All Cases - Enter Cases'!C492,"")</f>
        <v/>
      </c>
      <c r="D492" t="str">
        <f>IF($A492&lt;&gt;"",'All Cases - Enter Cases'!D492,"")</f>
        <v/>
      </c>
      <c r="E492" t="str">
        <f>IF($A492&lt;&gt;"",'All Cases - Enter Cases'!E492,"")</f>
        <v/>
      </c>
      <c r="F492" t="str">
        <f>IF($A492&lt;&gt;"",'All Cases - Enter Cases'!F492,"")</f>
        <v/>
      </c>
      <c r="G492" t="str">
        <f>IF($A492&lt;&gt;"",'All Cases - Enter Cases'!G492,"")</f>
        <v/>
      </c>
      <c r="H492" t="str">
        <f>IF($A492&lt;&gt;"",'All Cases - Enter Cases'!H492,"")</f>
        <v/>
      </c>
      <c r="I492" t="str">
        <f>IF($A492&lt;&gt;"",'All Cases - Enter Cases'!I492,"")</f>
        <v/>
      </c>
      <c r="J492" t="str">
        <f>IF($A492&lt;&gt;"",'All Cases - Enter Cases'!J492,"")</f>
        <v/>
      </c>
      <c r="K492" s="4" t="str">
        <f>IF($A492&lt;&gt;"",'All Cases - Enter Cases'!K492,"")</f>
        <v/>
      </c>
      <c r="L492" t="str">
        <f>IF($A492&lt;&gt;"",'All Cases - Enter Cases'!L492,"")</f>
        <v/>
      </c>
      <c r="M492" t="str">
        <f>IF($A492&lt;&gt;"",'All Cases - Enter Cases'!M492,"")</f>
        <v/>
      </c>
    </row>
    <row r="493" spans="1:13" x14ac:dyDescent="0.35">
      <c r="A493" s="10" t="str">
        <f>IF('All Cases - Enter Cases'!$F493="Sindh",'All Cases - Enter Cases'!A493,"")</f>
        <v/>
      </c>
      <c r="B493" t="str">
        <f>IF($A493&lt;&gt;"",'All Cases - Enter Cases'!B493,"")</f>
        <v/>
      </c>
      <c r="C493" t="str">
        <f>IF($A493&lt;&gt;"",'All Cases - Enter Cases'!C493,"")</f>
        <v/>
      </c>
      <c r="D493" t="str">
        <f>IF($A493&lt;&gt;"",'All Cases - Enter Cases'!D493,"")</f>
        <v/>
      </c>
      <c r="E493" t="str">
        <f>IF($A493&lt;&gt;"",'All Cases - Enter Cases'!E493,"")</f>
        <v/>
      </c>
      <c r="F493" t="str">
        <f>IF($A493&lt;&gt;"",'All Cases - Enter Cases'!F493,"")</f>
        <v/>
      </c>
      <c r="G493" t="str">
        <f>IF($A493&lt;&gt;"",'All Cases - Enter Cases'!G493,"")</f>
        <v/>
      </c>
      <c r="H493" t="str">
        <f>IF($A493&lt;&gt;"",'All Cases - Enter Cases'!H493,"")</f>
        <v/>
      </c>
      <c r="I493" t="str">
        <f>IF($A493&lt;&gt;"",'All Cases - Enter Cases'!I493,"")</f>
        <v/>
      </c>
      <c r="J493" t="str">
        <f>IF($A493&lt;&gt;"",'All Cases - Enter Cases'!J493,"")</f>
        <v/>
      </c>
      <c r="K493" s="4" t="str">
        <f>IF($A493&lt;&gt;"",'All Cases - Enter Cases'!K493,"")</f>
        <v/>
      </c>
      <c r="L493" t="str">
        <f>IF($A493&lt;&gt;"",'All Cases - Enter Cases'!L493,"")</f>
        <v/>
      </c>
      <c r="M493" t="str">
        <f>IF($A493&lt;&gt;"",'All Cases - Enter Cases'!M493,"")</f>
        <v/>
      </c>
    </row>
    <row r="494" spans="1:13" x14ac:dyDescent="0.35">
      <c r="A494" s="10" t="str">
        <f>IF('All Cases - Enter Cases'!$F494="Sindh",'All Cases - Enter Cases'!A494,"")</f>
        <v/>
      </c>
      <c r="B494" t="str">
        <f>IF($A494&lt;&gt;"",'All Cases - Enter Cases'!B494,"")</f>
        <v/>
      </c>
      <c r="C494" t="str">
        <f>IF($A494&lt;&gt;"",'All Cases - Enter Cases'!C494,"")</f>
        <v/>
      </c>
      <c r="D494" t="str">
        <f>IF($A494&lt;&gt;"",'All Cases - Enter Cases'!D494,"")</f>
        <v/>
      </c>
      <c r="E494" t="str">
        <f>IF($A494&lt;&gt;"",'All Cases - Enter Cases'!E494,"")</f>
        <v/>
      </c>
      <c r="F494" t="str">
        <f>IF($A494&lt;&gt;"",'All Cases - Enter Cases'!F494,"")</f>
        <v/>
      </c>
      <c r="G494" t="str">
        <f>IF($A494&lt;&gt;"",'All Cases - Enter Cases'!G494,"")</f>
        <v/>
      </c>
      <c r="H494" t="str">
        <f>IF($A494&lt;&gt;"",'All Cases - Enter Cases'!H494,"")</f>
        <v/>
      </c>
      <c r="I494" t="str">
        <f>IF($A494&lt;&gt;"",'All Cases - Enter Cases'!I494,"")</f>
        <v/>
      </c>
      <c r="J494" t="str">
        <f>IF($A494&lt;&gt;"",'All Cases - Enter Cases'!J494,"")</f>
        <v/>
      </c>
      <c r="K494" s="4" t="str">
        <f>IF($A494&lt;&gt;"",'All Cases - Enter Cases'!K494,"")</f>
        <v/>
      </c>
      <c r="L494" t="str">
        <f>IF($A494&lt;&gt;"",'All Cases - Enter Cases'!L494,"")</f>
        <v/>
      </c>
      <c r="M494" t="str">
        <f>IF($A494&lt;&gt;"",'All Cases - Enter Cases'!M494,"")</f>
        <v/>
      </c>
    </row>
    <row r="495" spans="1:13" x14ac:dyDescent="0.35">
      <c r="A495" s="10" t="str">
        <f>IF('All Cases - Enter Cases'!$F495="Sindh",'All Cases - Enter Cases'!A495,"")</f>
        <v/>
      </c>
      <c r="B495" t="str">
        <f>IF($A495&lt;&gt;"",'All Cases - Enter Cases'!B495,"")</f>
        <v/>
      </c>
      <c r="C495" t="str">
        <f>IF($A495&lt;&gt;"",'All Cases - Enter Cases'!C495,"")</f>
        <v/>
      </c>
      <c r="D495" t="str">
        <f>IF($A495&lt;&gt;"",'All Cases - Enter Cases'!D495,"")</f>
        <v/>
      </c>
      <c r="E495" t="str">
        <f>IF($A495&lt;&gt;"",'All Cases - Enter Cases'!E495,"")</f>
        <v/>
      </c>
      <c r="F495" t="str">
        <f>IF($A495&lt;&gt;"",'All Cases - Enter Cases'!F495,"")</f>
        <v/>
      </c>
      <c r="G495" t="str">
        <f>IF($A495&lt;&gt;"",'All Cases - Enter Cases'!G495,"")</f>
        <v/>
      </c>
      <c r="H495" t="str">
        <f>IF($A495&lt;&gt;"",'All Cases - Enter Cases'!H495,"")</f>
        <v/>
      </c>
      <c r="I495" t="str">
        <f>IF($A495&lt;&gt;"",'All Cases - Enter Cases'!I495,"")</f>
        <v/>
      </c>
      <c r="J495" t="str">
        <f>IF($A495&lt;&gt;"",'All Cases - Enter Cases'!J495,"")</f>
        <v/>
      </c>
      <c r="K495" s="4" t="str">
        <f>IF($A495&lt;&gt;"",'All Cases - Enter Cases'!K495,"")</f>
        <v/>
      </c>
      <c r="L495" t="str">
        <f>IF($A495&lt;&gt;"",'All Cases - Enter Cases'!L495,"")</f>
        <v/>
      </c>
      <c r="M495" t="str">
        <f>IF($A495&lt;&gt;"",'All Cases - Enter Cases'!M495,"")</f>
        <v/>
      </c>
    </row>
    <row r="496" spans="1:13" x14ac:dyDescent="0.35">
      <c r="A496" s="10" t="str">
        <f>IF('All Cases - Enter Cases'!$F496="Sindh",'All Cases - Enter Cases'!A496,"")</f>
        <v/>
      </c>
      <c r="B496" t="str">
        <f>IF($A496&lt;&gt;"",'All Cases - Enter Cases'!B496,"")</f>
        <v/>
      </c>
      <c r="C496" t="str">
        <f>IF($A496&lt;&gt;"",'All Cases - Enter Cases'!C496,"")</f>
        <v/>
      </c>
      <c r="D496" t="str">
        <f>IF($A496&lt;&gt;"",'All Cases - Enter Cases'!D496,"")</f>
        <v/>
      </c>
      <c r="E496" t="str">
        <f>IF($A496&lt;&gt;"",'All Cases - Enter Cases'!E496,"")</f>
        <v/>
      </c>
      <c r="F496" t="str">
        <f>IF($A496&lt;&gt;"",'All Cases - Enter Cases'!F496,"")</f>
        <v/>
      </c>
      <c r="G496" t="str">
        <f>IF($A496&lt;&gt;"",'All Cases - Enter Cases'!G496,"")</f>
        <v/>
      </c>
      <c r="H496" t="str">
        <f>IF($A496&lt;&gt;"",'All Cases - Enter Cases'!H496,"")</f>
        <v/>
      </c>
      <c r="I496" t="str">
        <f>IF($A496&lt;&gt;"",'All Cases - Enter Cases'!I496,"")</f>
        <v/>
      </c>
      <c r="J496" t="str">
        <f>IF($A496&lt;&gt;"",'All Cases - Enter Cases'!J496,"")</f>
        <v/>
      </c>
      <c r="K496" s="4" t="str">
        <f>IF($A496&lt;&gt;"",'All Cases - Enter Cases'!K496,"")</f>
        <v/>
      </c>
      <c r="L496" t="str">
        <f>IF($A496&lt;&gt;"",'All Cases - Enter Cases'!L496,"")</f>
        <v/>
      </c>
      <c r="M496" t="str">
        <f>IF($A496&lt;&gt;"",'All Cases - Enter Cases'!M496,"")</f>
        <v/>
      </c>
    </row>
    <row r="497" spans="1:13" x14ac:dyDescent="0.35">
      <c r="A497" s="10" t="str">
        <f>IF('All Cases - Enter Cases'!$F497="Sindh",'All Cases - Enter Cases'!A497,"")</f>
        <v/>
      </c>
      <c r="B497" t="str">
        <f>IF($A497&lt;&gt;"",'All Cases - Enter Cases'!B497,"")</f>
        <v/>
      </c>
      <c r="C497" t="str">
        <f>IF($A497&lt;&gt;"",'All Cases - Enter Cases'!C497,"")</f>
        <v/>
      </c>
      <c r="D497" t="str">
        <f>IF($A497&lt;&gt;"",'All Cases - Enter Cases'!D497,"")</f>
        <v/>
      </c>
      <c r="E497" t="str">
        <f>IF($A497&lt;&gt;"",'All Cases - Enter Cases'!E497,"")</f>
        <v/>
      </c>
      <c r="F497" t="str">
        <f>IF($A497&lt;&gt;"",'All Cases - Enter Cases'!F497,"")</f>
        <v/>
      </c>
      <c r="G497" t="str">
        <f>IF($A497&lt;&gt;"",'All Cases - Enter Cases'!G497,"")</f>
        <v/>
      </c>
      <c r="H497" t="str">
        <f>IF($A497&lt;&gt;"",'All Cases - Enter Cases'!H497,"")</f>
        <v/>
      </c>
      <c r="I497" t="str">
        <f>IF($A497&lt;&gt;"",'All Cases - Enter Cases'!I497,"")</f>
        <v/>
      </c>
      <c r="J497" t="str">
        <f>IF($A497&lt;&gt;"",'All Cases - Enter Cases'!J497,"")</f>
        <v/>
      </c>
      <c r="K497" s="4" t="str">
        <f>IF($A497&lt;&gt;"",'All Cases - Enter Cases'!K497,"")</f>
        <v/>
      </c>
      <c r="L497" t="str">
        <f>IF($A497&lt;&gt;"",'All Cases - Enter Cases'!L497,"")</f>
        <v/>
      </c>
      <c r="M497" t="str">
        <f>IF($A497&lt;&gt;"",'All Cases - Enter Cases'!M497,"")</f>
        <v/>
      </c>
    </row>
    <row r="498" spans="1:13" x14ac:dyDescent="0.35">
      <c r="A498" s="10" t="str">
        <f>IF('All Cases - Enter Cases'!$F498="Sindh",'All Cases - Enter Cases'!A498,"")</f>
        <v/>
      </c>
      <c r="B498" t="str">
        <f>IF($A498&lt;&gt;"",'All Cases - Enter Cases'!B498,"")</f>
        <v/>
      </c>
      <c r="C498" t="str">
        <f>IF($A498&lt;&gt;"",'All Cases - Enter Cases'!C498,"")</f>
        <v/>
      </c>
      <c r="D498" t="str">
        <f>IF($A498&lt;&gt;"",'All Cases - Enter Cases'!D498,"")</f>
        <v/>
      </c>
      <c r="E498" t="str">
        <f>IF($A498&lt;&gt;"",'All Cases - Enter Cases'!E498,"")</f>
        <v/>
      </c>
      <c r="F498" t="str">
        <f>IF($A498&lt;&gt;"",'All Cases - Enter Cases'!F498,"")</f>
        <v/>
      </c>
      <c r="G498" t="str">
        <f>IF($A498&lt;&gt;"",'All Cases - Enter Cases'!G498,"")</f>
        <v/>
      </c>
      <c r="H498" t="str">
        <f>IF($A498&lt;&gt;"",'All Cases - Enter Cases'!H498,"")</f>
        <v/>
      </c>
      <c r="I498" t="str">
        <f>IF($A498&lt;&gt;"",'All Cases - Enter Cases'!I498,"")</f>
        <v/>
      </c>
      <c r="J498" t="str">
        <f>IF($A498&lt;&gt;"",'All Cases - Enter Cases'!J498,"")</f>
        <v/>
      </c>
      <c r="K498" s="4" t="str">
        <f>IF($A498&lt;&gt;"",'All Cases - Enter Cases'!K498,"")</f>
        <v/>
      </c>
      <c r="L498" t="str">
        <f>IF($A498&lt;&gt;"",'All Cases - Enter Cases'!L498,"")</f>
        <v/>
      </c>
      <c r="M498" t="str">
        <f>IF($A498&lt;&gt;"",'All Cases - Enter Cases'!M498,"")</f>
        <v/>
      </c>
    </row>
    <row r="499" spans="1:13" x14ac:dyDescent="0.35">
      <c r="A499" s="10" t="str">
        <f>IF('All Cases - Enter Cases'!$F499="Sindh",'All Cases - Enter Cases'!A499,"")</f>
        <v/>
      </c>
      <c r="B499" t="str">
        <f>IF($A499&lt;&gt;"",'All Cases - Enter Cases'!B499,"")</f>
        <v/>
      </c>
      <c r="C499" t="str">
        <f>IF($A499&lt;&gt;"",'All Cases - Enter Cases'!C499,"")</f>
        <v/>
      </c>
      <c r="D499" t="str">
        <f>IF($A499&lt;&gt;"",'All Cases - Enter Cases'!D499,"")</f>
        <v/>
      </c>
      <c r="E499" t="str">
        <f>IF($A499&lt;&gt;"",'All Cases - Enter Cases'!E499,"")</f>
        <v/>
      </c>
      <c r="F499" t="str">
        <f>IF($A499&lt;&gt;"",'All Cases - Enter Cases'!F499,"")</f>
        <v/>
      </c>
      <c r="G499" t="str">
        <f>IF($A499&lt;&gt;"",'All Cases - Enter Cases'!G499,"")</f>
        <v/>
      </c>
      <c r="H499" t="str">
        <f>IF($A499&lt;&gt;"",'All Cases - Enter Cases'!H499,"")</f>
        <v/>
      </c>
      <c r="I499" t="str">
        <f>IF($A499&lt;&gt;"",'All Cases - Enter Cases'!I499,"")</f>
        <v/>
      </c>
      <c r="J499" t="str">
        <f>IF($A499&lt;&gt;"",'All Cases - Enter Cases'!J499,"")</f>
        <v/>
      </c>
      <c r="K499" s="4" t="str">
        <f>IF($A499&lt;&gt;"",'All Cases - Enter Cases'!K499,"")</f>
        <v/>
      </c>
      <c r="L499" t="str">
        <f>IF($A499&lt;&gt;"",'All Cases - Enter Cases'!L499,"")</f>
        <v/>
      </c>
      <c r="M499" t="str">
        <f>IF($A499&lt;&gt;"",'All Cases - Enter Cases'!M499,"")</f>
        <v/>
      </c>
    </row>
    <row r="500" spans="1:13" x14ac:dyDescent="0.35">
      <c r="A500" s="10" t="str">
        <f>IF('All Cases - Enter Cases'!$F500="Sindh",'All Cases - Enter Cases'!A500,"")</f>
        <v/>
      </c>
      <c r="B500" t="str">
        <f>IF($A500&lt;&gt;"",'All Cases - Enter Cases'!B500,"")</f>
        <v/>
      </c>
      <c r="C500" t="str">
        <f>IF($A500&lt;&gt;"",'All Cases - Enter Cases'!C500,"")</f>
        <v/>
      </c>
      <c r="D500" t="str">
        <f>IF($A500&lt;&gt;"",'All Cases - Enter Cases'!D500,"")</f>
        <v/>
      </c>
      <c r="E500" t="str">
        <f>IF($A500&lt;&gt;"",'All Cases - Enter Cases'!E500,"")</f>
        <v/>
      </c>
      <c r="F500" t="str">
        <f>IF($A500&lt;&gt;"",'All Cases - Enter Cases'!F500,"")</f>
        <v/>
      </c>
      <c r="G500" t="str">
        <f>IF($A500&lt;&gt;"",'All Cases - Enter Cases'!G500,"")</f>
        <v/>
      </c>
      <c r="H500" t="str">
        <f>IF($A500&lt;&gt;"",'All Cases - Enter Cases'!H500,"")</f>
        <v/>
      </c>
      <c r="I500" t="str">
        <f>IF($A500&lt;&gt;"",'All Cases - Enter Cases'!I500,"")</f>
        <v/>
      </c>
      <c r="J500" t="str">
        <f>IF($A500&lt;&gt;"",'All Cases - Enter Cases'!J500,"")</f>
        <v/>
      </c>
      <c r="K500" s="4" t="str">
        <f>IF($A500&lt;&gt;"",'All Cases - Enter Cases'!K500,"")</f>
        <v/>
      </c>
      <c r="L500" t="str">
        <f>IF($A500&lt;&gt;"",'All Cases - Enter Cases'!L500,"")</f>
        <v/>
      </c>
      <c r="M500" t="str">
        <f>IF($A500&lt;&gt;"",'All Cases - Enter Cases'!M500,"")</f>
        <v/>
      </c>
    </row>
    <row r="501" spans="1:13" x14ac:dyDescent="0.35">
      <c r="A501" s="10" t="str">
        <f>IF('All Cases - Enter Cases'!$F501="Sindh",'All Cases - Enter Cases'!A501,"")</f>
        <v/>
      </c>
      <c r="B501" t="str">
        <f>IF($A501&lt;&gt;"",'All Cases - Enter Cases'!B501,"")</f>
        <v/>
      </c>
      <c r="C501" t="str">
        <f>IF($A501&lt;&gt;"",'All Cases - Enter Cases'!C501,"")</f>
        <v/>
      </c>
      <c r="D501" t="str">
        <f>IF($A501&lt;&gt;"",'All Cases - Enter Cases'!D501,"")</f>
        <v/>
      </c>
      <c r="E501" t="str">
        <f>IF($A501&lt;&gt;"",'All Cases - Enter Cases'!E501,"")</f>
        <v/>
      </c>
      <c r="F501" t="str">
        <f>IF($A501&lt;&gt;"",'All Cases - Enter Cases'!F501,"")</f>
        <v/>
      </c>
      <c r="G501" t="str">
        <f>IF($A501&lt;&gt;"",'All Cases - Enter Cases'!G501,"")</f>
        <v/>
      </c>
      <c r="H501" t="str">
        <f>IF($A501&lt;&gt;"",'All Cases - Enter Cases'!H501,"")</f>
        <v/>
      </c>
      <c r="I501" t="str">
        <f>IF($A501&lt;&gt;"",'All Cases - Enter Cases'!I501,"")</f>
        <v/>
      </c>
      <c r="J501" t="str">
        <f>IF($A501&lt;&gt;"",'All Cases - Enter Cases'!J501,"")</f>
        <v/>
      </c>
      <c r="K501" s="4" t="str">
        <f>IF($A501&lt;&gt;"",'All Cases - Enter Cases'!K501,"")</f>
        <v/>
      </c>
      <c r="L501" t="str">
        <f>IF($A501&lt;&gt;"",'All Cases - Enter Cases'!L501,"")</f>
        <v/>
      </c>
      <c r="M501" t="str">
        <f>IF($A501&lt;&gt;"",'All Cases - Enter Cases'!M501,"")</f>
        <v/>
      </c>
    </row>
    <row r="502" spans="1:13" x14ac:dyDescent="0.35">
      <c r="A502" s="10" t="str">
        <f>IF('All Cases - Enter Cases'!$F502="Sindh",'All Cases - Enter Cases'!A502,"")</f>
        <v/>
      </c>
      <c r="B502" t="str">
        <f>IF($A502&lt;&gt;"",'All Cases - Enter Cases'!B502,"")</f>
        <v/>
      </c>
      <c r="C502" t="str">
        <f>IF($A502&lt;&gt;"",'All Cases - Enter Cases'!C502,"")</f>
        <v/>
      </c>
      <c r="D502" t="str">
        <f>IF($A502&lt;&gt;"",'All Cases - Enter Cases'!D502,"")</f>
        <v/>
      </c>
      <c r="E502" t="str">
        <f>IF($A502&lt;&gt;"",'All Cases - Enter Cases'!E502,"")</f>
        <v/>
      </c>
      <c r="F502" t="str">
        <f>IF($A502&lt;&gt;"",'All Cases - Enter Cases'!F502,"")</f>
        <v/>
      </c>
      <c r="G502" t="str">
        <f>IF($A502&lt;&gt;"",'All Cases - Enter Cases'!G502,"")</f>
        <v/>
      </c>
      <c r="H502" t="str">
        <f>IF($A502&lt;&gt;"",'All Cases - Enter Cases'!H502,"")</f>
        <v/>
      </c>
      <c r="I502" t="str">
        <f>IF($A502&lt;&gt;"",'All Cases - Enter Cases'!I502,"")</f>
        <v/>
      </c>
      <c r="J502" t="str">
        <f>IF($A502&lt;&gt;"",'All Cases - Enter Cases'!J502,"")</f>
        <v/>
      </c>
      <c r="K502" s="4" t="str">
        <f>IF($A502&lt;&gt;"",'All Cases - Enter Cases'!K502,"")</f>
        <v/>
      </c>
      <c r="L502" t="str">
        <f>IF($A502&lt;&gt;"",'All Cases - Enter Cases'!L502,"")</f>
        <v/>
      </c>
      <c r="M502" t="str">
        <f>IF($A502&lt;&gt;"",'All Cases - Enter Cases'!M502,"")</f>
        <v/>
      </c>
    </row>
    <row r="503" spans="1:13" x14ac:dyDescent="0.35">
      <c r="A503" s="10" t="str">
        <f>IF('All Cases - Enter Cases'!$F503="Sindh",'All Cases - Enter Cases'!A503,"")</f>
        <v/>
      </c>
      <c r="B503" t="str">
        <f>IF($A503&lt;&gt;"",'All Cases - Enter Cases'!B503,"")</f>
        <v/>
      </c>
      <c r="C503" t="str">
        <f>IF($A503&lt;&gt;"",'All Cases - Enter Cases'!C503,"")</f>
        <v/>
      </c>
      <c r="D503" t="str">
        <f>IF($A503&lt;&gt;"",'All Cases - Enter Cases'!D503,"")</f>
        <v/>
      </c>
      <c r="E503" t="str">
        <f>IF($A503&lt;&gt;"",'All Cases - Enter Cases'!E503,"")</f>
        <v/>
      </c>
      <c r="F503" t="str">
        <f>IF($A503&lt;&gt;"",'All Cases - Enter Cases'!F503,"")</f>
        <v/>
      </c>
      <c r="G503" t="str">
        <f>IF($A503&lt;&gt;"",'All Cases - Enter Cases'!G503,"")</f>
        <v/>
      </c>
      <c r="H503" t="str">
        <f>IF($A503&lt;&gt;"",'All Cases - Enter Cases'!H503,"")</f>
        <v/>
      </c>
      <c r="I503" t="str">
        <f>IF($A503&lt;&gt;"",'All Cases - Enter Cases'!I503,"")</f>
        <v/>
      </c>
      <c r="J503" t="str">
        <f>IF($A503&lt;&gt;"",'All Cases - Enter Cases'!J503,"")</f>
        <v/>
      </c>
      <c r="K503" s="4" t="str">
        <f>IF($A503&lt;&gt;"",'All Cases - Enter Cases'!K503,"")</f>
        <v/>
      </c>
      <c r="L503" t="str">
        <f>IF($A503&lt;&gt;"",'All Cases - Enter Cases'!L503,"")</f>
        <v/>
      </c>
      <c r="M503" t="str">
        <f>IF($A503&lt;&gt;"",'All Cases - Enter Cases'!M503,"")</f>
        <v/>
      </c>
    </row>
    <row r="504" spans="1:13" x14ac:dyDescent="0.35">
      <c r="A504" s="10" t="str">
        <f>IF('All Cases - Enter Cases'!$F504="Sindh",'All Cases - Enter Cases'!A504,"")</f>
        <v/>
      </c>
      <c r="B504" t="str">
        <f>IF($A504&lt;&gt;"",'All Cases - Enter Cases'!B504,"")</f>
        <v/>
      </c>
      <c r="C504" t="str">
        <f>IF($A504&lt;&gt;"",'All Cases - Enter Cases'!C504,"")</f>
        <v/>
      </c>
      <c r="D504" t="str">
        <f>IF($A504&lt;&gt;"",'All Cases - Enter Cases'!D504,"")</f>
        <v/>
      </c>
      <c r="E504" t="str">
        <f>IF($A504&lt;&gt;"",'All Cases - Enter Cases'!E504,"")</f>
        <v/>
      </c>
      <c r="F504" t="str">
        <f>IF($A504&lt;&gt;"",'All Cases - Enter Cases'!F504,"")</f>
        <v/>
      </c>
      <c r="G504" t="str">
        <f>IF($A504&lt;&gt;"",'All Cases - Enter Cases'!G504,"")</f>
        <v/>
      </c>
      <c r="H504" t="str">
        <f>IF($A504&lt;&gt;"",'All Cases - Enter Cases'!H504,"")</f>
        <v/>
      </c>
      <c r="I504" t="str">
        <f>IF($A504&lt;&gt;"",'All Cases - Enter Cases'!I504,"")</f>
        <v/>
      </c>
      <c r="J504" t="str">
        <f>IF($A504&lt;&gt;"",'All Cases - Enter Cases'!J504,"")</f>
        <v/>
      </c>
      <c r="K504" s="4" t="str">
        <f>IF($A504&lt;&gt;"",'All Cases - Enter Cases'!K504,"")</f>
        <v/>
      </c>
      <c r="L504" t="str">
        <f>IF($A504&lt;&gt;"",'All Cases - Enter Cases'!L504,"")</f>
        <v/>
      </c>
      <c r="M504" t="str">
        <f>IF($A504&lt;&gt;"",'All Cases - Enter Cases'!M504,"")</f>
        <v/>
      </c>
    </row>
    <row r="505" spans="1:13" x14ac:dyDescent="0.35">
      <c r="A505" s="10" t="str">
        <f>IF('All Cases - Enter Cases'!$F505="Sindh",'All Cases - Enter Cases'!A505,"")</f>
        <v/>
      </c>
      <c r="B505" t="str">
        <f>IF($A505&lt;&gt;"",'All Cases - Enter Cases'!B505,"")</f>
        <v/>
      </c>
      <c r="C505" t="str">
        <f>IF($A505&lt;&gt;"",'All Cases - Enter Cases'!C505,"")</f>
        <v/>
      </c>
      <c r="D505" t="str">
        <f>IF($A505&lt;&gt;"",'All Cases - Enter Cases'!D505,"")</f>
        <v/>
      </c>
      <c r="E505" t="str">
        <f>IF($A505&lt;&gt;"",'All Cases - Enter Cases'!E505,"")</f>
        <v/>
      </c>
      <c r="F505" t="str">
        <f>IF($A505&lt;&gt;"",'All Cases - Enter Cases'!F505,"")</f>
        <v/>
      </c>
      <c r="G505" t="str">
        <f>IF($A505&lt;&gt;"",'All Cases - Enter Cases'!G505,"")</f>
        <v/>
      </c>
      <c r="H505" t="str">
        <f>IF($A505&lt;&gt;"",'All Cases - Enter Cases'!H505,"")</f>
        <v/>
      </c>
      <c r="I505" t="str">
        <f>IF($A505&lt;&gt;"",'All Cases - Enter Cases'!I505,"")</f>
        <v/>
      </c>
      <c r="J505" t="str">
        <f>IF($A505&lt;&gt;"",'All Cases - Enter Cases'!J505,"")</f>
        <v/>
      </c>
      <c r="K505" s="4" t="str">
        <f>IF($A505&lt;&gt;"",'All Cases - Enter Cases'!K505,"")</f>
        <v/>
      </c>
      <c r="L505" t="str">
        <f>IF($A505&lt;&gt;"",'All Cases - Enter Cases'!L505,"")</f>
        <v/>
      </c>
      <c r="M505" t="str">
        <f>IF($A505&lt;&gt;"",'All Cases - Enter Cases'!M505,"")</f>
        <v/>
      </c>
    </row>
    <row r="506" spans="1:13" x14ac:dyDescent="0.35">
      <c r="A506" s="10" t="str">
        <f>IF('All Cases - Enter Cases'!$F506="Sindh",'All Cases - Enter Cases'!A506,"")</f>
        <v/>
      </c>
      <c r="B506" t="str">
        <f>IF($A506&lt;&gt;"",'All Cases - Enter Cases'!B506,"")</f>
        <v/>
      </c>
      <c r="C506" t="str">
        <f>IF($A506&lt;&gt;"",'All Cases - Enter Cases'!C506,"")</f>
        <v/>
      </c>
      <c r="D506" t="str">
        <f>IF($A506&lt;&gt;"",'All Cases - Enter Cases'!D506,"")</f>
        <v/>
      </c>
      <c r="E506" t="str">
        <f>IF($A506&lt;&gt;"",'All Cases - Enter Cases'!E506,"")</f>
        <v/>
      </c>
      <c r="F506" t="str">
        <f>IF($A506&lt;&gt;"",'All Cases - Enter Cases'!F506,"")</f>
        <v/>
      </c>
      <c r="G506" t="str">
        <f>IF($A506&lt;&gt;"",'All Cases - Enter Cases'!G506,"")</f>
        <v/>
      </c>
      <c r="H506" t="str">
        <f>IF($A506&lt;&gt;"",'All Cases - Enter Cases'!H506,"")</f>
        <v/>
      </c>
      <c r="I506" t="str">
        <f>IF($A506&lt;&gt;"",'All Cases - Enter Cases'!I506,"")</f>
        <v/>
      </c>
      <c r="J506" t="str">
        <f>IF($A506&lt;&gt;"",'All Cases - Enter Cases'!J506,"")</f>
        <v/>
      </c>
      <c r="K506" s="4" t="str">
        <f>IF($A506&lt;&gt;"",'All Cases - Enter Cases'!K506,"")</f>
        <v/>
      </c>
      <c r="L506" t="str">
        <f>IF($A506&lt;&gt;"",'All Cases - Enter Cases'!L506,"")</f>
        <v/>
      </c>
      <c r="M506" t="str">
        <f>IF($A506&lt;&gt;"",'All Cases - Enter Cases'!M506,"")</f>
        <v/>
      </c>
    </row>
    <row r="507" spans="1:13" x14ac:dyDescent="0.35">
      <c r="A507" s="10" t="str">
        <f>IF('All Cases - Enter Cases'!$F507="Sindh",'All Cases - Enter Cases'!A507,"")</f>
        <v/>
      </c>
      <c r="B507" t="str">
        <f>IF($A507&lt;&gt;"",'All Cases - Enter Cases'!B507,"")</f>
        <v/>
      </c>
      <c r="C507" t="str">
        <f>IF($A507&lt;&gt;"",'All Cases - Enter Cases'!C507,"")</f>
        <v/>
      </c>
      <c r="D507" t="str">
        <f>IF($A507&lt;&gt;"",'All Cases - Enter Cases'!D507,"")</f>
        <v/>
      </c>
      <c r="E507" t="str">
        <f>IF($A507&lt;&gt;"",'All Cases - Enter Cases'!E507,"")</f>
        <v/>
      </c>
      <c r="F507" t="str">
        <f>IF($A507&lt;&gt;"",'All Cases - Enter Cases'!F507,"")</f>
        <v/>
      </c>
      <c r="G507" t="str">
        <f>IF($A507&lt;&gt;"",'All Cases - Enter Cases'!G507,"")</f>
        <v/>
      </c>
      <c r="H507" t="str">
        <f>IF($A507&lt;&gt;"",'All Cases - Enter Cases'!H507,"")</f>
        <v/>
      </c>
      <c r="I507" t="str">
        <f>IF($A507&lt;&gt;"",'All Cases - Enter Cases'!I507,"")</f>
        <v/>
      </c>
      <c r="J507" t="str">
        <f>IF($A507&lt;&gt;"",'All Cases - Enter Cases'!J507,"")</f>
        <v/>
      </c>
      <c r="K507" s="4" t="str">
        <f>IF($A507&lt;&gt;"",'All Cases - Enter Cases'!K507,"")</f>
        <v/>
      </c>
      <c r="L507" t="str">
        <f>IF($A507&lt;&gt;"",'All Cases - Enter Cases'!L507,"")</f>
        <v/>
      </c>
      <c r="M507" t="str">
        <f>IF($A507&lt;&gt;"",'All Cases - Enter Cases'!M507,"")</f>
        <v/>
      </c>
    </row>
    <row r="508" spans="1:13" x14ac:dyDescent="0.35">
      <c r="A508" s="10" t="str">
        <f>IF('All Cases - Enter Cases'!$F508="Sindh",'All Cases - Enter Cases'!A508,"")</f>
        <v/>
      </c>
      <c r="B508" t="str">
        <f>IF($A508&lt;&gt;"",'All Cases - Enter Cases'!B508,"")</f>
        <v/>
      </c>
      <c r="C508" t="str">
        <f>IF($A508&lt;&gt;"",'All Cases - Enter Cases'!C508,"")</f>
        <v/>
      </c>
      <c r="D508" t="str">
        <f>IF($A508&lt;&gt;"",'All Cases - Enter Cases'!D508,"")</f>
        <v/>
      </c>
      <c r="E508" t="str">
        <f>IF($A508&lt;&gt;"",'All Cases - Enter Cases'!E508,"")</f>
        <v/>
      </c>
      <c r="F508" t="str">
        <f>IF($A508&lt;&gt;"",'All Cases - Enter Cases'!F508,"")</f>
        <v/>
      </c>
      <c r="G508" t="str">
        <f>IF($A508&lt;&gt;"",'All Cases - Enter Cases'!G508,"")</f>
        <v/>
      </c>
      <c r="H508" t="str">
        <f>IF($A508&lt;&gt;"",'All Cases - Enter Cases'!H508,"")</f>
        <v/>
      </c>
      <c r="I508" t="str">
        <f>IF($A508&lt;&gt;"",'All Cases - Enter Cases'!I508,"")</f>
        <v/>
      </c>
      <c r="J508" t="str">
        <f>IF($A508&lt;&gt;"",'All Cases - Enter Cases'!J508,"")</f>
        <v/>
      </c>
      <c r="K508" s="4" t="str">
        <f>IF($A508&lt;&gt;"",'All Cases - Enter Cases'!K508,"")</f>
        <v/>
      </c>
      <c r="L508" t="str">
        <f>IF($A508&lt;&gt;"",'All Cases - Enter Cases'!L508,"")</f>
        <v/>
      </c>
      <c r="M508" t="str">
        <f>IF($A508&lt;&gt;"",'All Cases - Enter Cases'!M508,"")</f>
        <v/>
      </c>
    </row>
    <row r="509" spans="1:13" x14ac:dyDescent="0.35">
      <c r="A509" s="10" t="str">
        <f>IF('All Cases - Enter Cases'!$F509="Sindh",'All Cases - Enter Cases'!A509,"")</f>
        <v/>
      </c>
      <c r="B509" t="str">
        <f>IF($A509&lt;&gt;"",'All Cases - Enter Cases'!B509,"")</f>
        <v/>
      </c>
      <c r="C509" t="str">
        <f>IF($A509&lt;&gt;"",'All Cases - Enter Cases'!C509,"")</f>
        <v/>
      </c>
      <c r="D509" t="str">
        <f>IF($A509&lt;&gt;"",'All Cases - Enter Cases'!D509,"")</f>
        <v/>
      </c>
      <c r="E509" t="str">
        <f>IF($A509&lt;&gt;"",'All Cases - Enter Cases'!E509,"")</f>
        <v/>
      </c>
      <c r="F509" t="str">
        <f>IF($A509&lt;&gt;"",'All Cases - Enter Cases'!F509,"")</f>
        <v/>
      </c>
      <c r="G509" t="str">
        <f>IF($A509&lt;&gt;"",'All Cases - Enter Cases'!G509,"")</f>
        <v/>
      </c>
      <c r="H509" t="str">
        <f>IF($A509&lt;&gt;"",'All Cases - Enter Cases'!H509,"")</f>
        <v/>
      </c>
      <c r="I509" t="str">
        <f>IF($A509&lt;&gt;"",'All Cases - Enter Cases'!I509,"")</f>
        <v/>
      </c>
      <c r="J509" t="str">
        <f>IF($A509&lt;&gt;"",'All Cases - Enter Cases'!J509,"")</f>
        <v/>
      </c>
      <c r="K509" s="4" t="str">
        <f>IF($A509&lt;&gt;"",'All Cases - Enter Cases'!K509,"")</f>
        <v/>
      </c>
      <c r="L509" t="str">
        <f>IF($A509&lt;&gt;"",'All Cases - Enter Cases'!L509,"")</f>
        <v/>
      </c>
      <c r="M509" t="str">
        <f>IF($A509&lt;&gt;"",'All Cases - Enter Cases'!M509,"")</f>
        <v/>
      </c>
    </row>
    <row r="510" spans="1:13" x14ac:dyDescent="0.35">
      <c r="A510" s="10" t="str">
        <f>IF('All Cases - Enter Cases'!$F510="Sindh",'All Cases - Enter Cases'!A510,"")</f>
        <v/>
      </c>
      <c r="B510" t="str">
        <f>IF($A510&lt;&gt;"",'All Cases - Enter Cases'!B510,"")</f>
        <v/>
      </c>
      <c r="C510" t="str">
        <f>IF($A510&lt;&gt;"",'All Cases - Enter Cases'!C510,"")</f>
        <v/>
      </c>
      <c r="D510" t="str">
        <f>IF($A510&lt;&gt;"",'All Cases - Enter Cases'!D510,"")</f>
        <v/>
      </c>
      <c r="E510" t="str">
        <f>IF($A510&lt;&gt;"",'All Cases - Enter Cases'!E510,"")</f>
        <v/>
      </c>
      <c r="F510" t="str">
        <f>IF($A510&lt;&gt;"",'All Cases - Enter Cases'!F510,"")</f>
        <v/>
      </c>
      <c r="G510" t="str">
        <f>IF($A510&lt;&gt;"",'All Cases - Enter Cases'!G510,"")</f>
        <v/>
      </c>
      <c r="H510" t="str">
        <f>IF($A510&lt;&gt;"",'All Cases - Enter Cases'!H510,"")</f>
        <v/>
      </c>
      <c r="I510" t="str">
        <f>IF($A510&lt;&gt;"",'All Cases - Enter Cases'!I510,"")</f>
        <v/>
      </c>
      <c r="J510" t="str">
        <f>IF($A510&lt;&gt;"",'All Cases - Enter Cases'!J510,"")</f>
        <v/>
      </c>
      <c r="K510" s="4" t="str">
        <f>IF($A510&lt;&gt;"",'All Cases - Enter Cases'!K510,"")</f>
        <v/>
      </c>
      <c r="L510" t="str">
        <f>IF($A510&lt;&gt;"",'All Cases - Enter Cases'!L510,"")</f>
        <v/>
      </c>
      <c r="M510" t="str">
        <f>IF($A510&lt;&gt;"",'All Cases - Enter Cases'!M510,"")</f>
        <v/>
      </c>
    </row>
    <row r="511" spans="1:13" x14ac:dyDescent="0.35">
      <c r="A511" s="10" t="str">
        <f>IF('All Cases - Enter Cases'!$F511="Sindh",'All Cases - Enter Cases'!A511,"")</f>
        <v/>
      </c>
      <c r="B511" t="str">
        <f>IF($A511&lt;&gt;"",'All Cases - Enter Cases'!B511,"")</f>
        <v/>
      </c>
      <c r="C511" t="str">
        <f>IF($A511&lt;&gt;"",'All Cases - Enter Cases'!C511,"")</f>
        <v/>
      </c>
      <c r="D511" t="str">
        <f>IF($A511&lt;&gt;"",'All Cases - Enter Cases'!D511,"")</f>
        <v/>
      </c>
      <c r="E511" t="str">
        <f>IF($A511&lt;&gt;"",'All Cases - Enter Cases'!E511,"")</f>
        <v/>
      </c>
      <c r="F511" t="str">
        <f>IF($A511&lt;&gt;"",'All Cases - Enter Cases'!F511,"")</f>
        <v/>
      </c>
      <c r="G511" t="str">
        <f>IF($A511&lt;&gt;"",'All Cases - Enter Cases'!G511,"")</f>
        <v/>
      </c>
      <c r="H511" t="str">
        <f>IF($A511&lt;&gt;"",'All Cases - Enter Cases'!H511,"")</f>
        <v/>
      </c>
      <c r="I511" t="str">
        <f>IF($A511&lt;&gt;"",'All Cases - Enter Cases'!I511,"")</f>
        <v/>
      </c>
      <c r="J511" t="str">
        <f>IF($A511&lt;&gt;"",'All Cases - Enter Cases'!J511,"")</f>
        <v/>
      </c>
      <c r="K511" s="4" t="str">
        <f>IF($A511&lt;&gt;"",'All Cases - Enter Cases'!K511,"")</f>
        <v/>
      </c>
      <c r="L511" t="str">
        <f>IF($A511&lt;&gt;"",'All Cases - Enter Cases'!L511,"")</f>
        <v/>
      </c>
      <c r="M511" t="str">
        <f>IF($A511&lt;&gt;"",'All Cases - Enter Cases'!M511,"")</f>
        <v/>
      </c>
    </row>
    <row r="512" spans="1:13" x14ac:dyDescent="0.35">
      <c r="A512" s="10" t="str">
        <f>IF('All Cases - Enter Cases'!$F512="Sindh",'All Cases - Enter Cases'!A512,"")</f>
        <v/>
      </c>
      <c r="B512" t="str">
        <f>IF($A512&lt;&gt;"",'All Cases - Enter Cases'!B512,"")</f>
        <v/>
      </c>
      <c r="C512" t="str">
        <f>IF($A512&lt;&gt;"",'All Cases - Enter Cases'!C512,"")</f>
        <v/>
      </c>
      <c r="D512" t="str">
        <f>IF($A512&lt;&gt;"",'All Cases - Enter Cases'!D512,"")</f>
        <v/>
      </c>
      <c r="E512" t="str">
        <f>IF($A512&lt;&gt;"",'All Cases - Enter Cases'!E512,"")</f>
        <v/>
      </c>
      <c r="F512" t="str">
        <f>IF($A512&lt;&gt;"",'All Cases - Enter Cases'!F512,"")</f>
        <v/>
      </c>
      <c r="G512" t="str">
        <f>IF($A512&lt;&gt;"",'All Cases - Enter Cases'!G512,"")</f>
        <v/>
      </c>
      <c r="H512" t="str">
        <f>IF($A512&lt;&gt;"",'All Cases - Enter Cases'!H512,"")</f>
        <v/>
      </c>
      <c r="I512" t="str">
        <f>IF($A512&lt;&gt;"",'All Cases - Enter Cases'!I512,"")</f>
        <v/>
      </c>
      <c r="J512" t="str">
        <f>IF($A512&lt;&gt;"",'All Cases - Enter Cases'!J512,"")</f>
        <v/>
      </c>
      <c r="K512" s="4" t="str">
        <f>IF($A512&lt;&gt;"",'All Cases - Enter Cases'!K512,"")</f>
        <v/>
      </c>
      <c r="L512" t="str">
        <f>IF($A512&lt;&gt;"",'All Cases - Enter Cases'!L512,"")</f>
        <v/>
      </c>
      <c r="M512" t="str">
        <f>IF($A512&lt;&gt;"",'All Cases - Enter Cases'!M512,"")</f>
        <v/>
      </c>
    </row>
    <row r="513" spans="1:13" x14ac:dyDescent="0.35">
      <c r="A513" s="10" t="str">
        <f>IF('All Cases - Enter Cases'!$F513="Sindh",'All Cases - Enter Cases'!A513,"")</f>
        <v/>
      </c>
      <c r="B513" t="str">
        <f>IF($A513&lt;&gt;"",'All Cases - Enter Cases'!B513,"")</f>
        <v/>
      </c>
      <c r="C513" t="str">
        <f>IF($A513&lt;&gt;"",'All Cases - Enter Cases'!C513,"")</f>
        <v/>
      </c>
      <c r="D513" t="str">
        <f>IF($A513&lt;&gt;"",'All Cases - Enter Cases'!D513,"")</f>
        <v/>
      </c>
      <c r="E513" t="str">
        <f>IF($A513&lt;&gt;"",'All Cases - Enter Cases'!E513,"")</f>
        <v/>
      </c>
      <c r="F513" t="str">
        <f>IF($A513&lt;&gt;"",'All Cases - Enter Cases'!F513,"")</f>
        <v/>
      </c>
      <c r="G513" t="str">
        <f>IF($A513&lt;&gt;"",'All Cases - Enter Cases'!G513,"")</f>
        <v/>
      </c>
      <c r="H513" t="str">
        <f>IF($A513&lt;&gt;"",'All Cases - Enter Cases'!H513,"")</f>
        <v/>
      </c>
      <c r="I513" t="str">
        <f>IF($A513&lt;&gt;"",'All Cases - Enter Cases'!I513,"")</f>
        <v/>
      </c>
      <c r="J513" t="str">
        <f>IF($A513&lt;&gt;"",'All Cases - Enter Cases'!J513,"")</f>
        <v/>
      </c>
      <c r="K513" s="4" t="str">
        <f>IF($A513&lt;&gt;"",'All Cases - Enter Cases'!K513,"")</f>
        <v/>
      </c>
      <c r="L513" t="str">
        <f>IF($A513&lt;&gt;"",'All Cases - Enter Cases'!L513,"")</f>
        <v/>
      </c>
      <c r="M513" t="str">
        <f>IF($A513&lt;&gt;"",'All Cases - Enter Cases'!M513,"")</f>
        <v/>
      </c>
    </row>
    <row r="514" spans="1:13" x14ac:dyDescent="0.35">
      <c r="A514" s="10" t="str">
        <f>IF('All Cases - Enter Cases'!$F514="Sindh",'All Cases - Enter Cases'!A514,"")</f>
        <v/>
      </c>
      <c r="B514" t="str">
        <f>IF($A514&lt;&gt;"",'All Cases - Enter Cases'!B514,"")</f>
        <v/>
      </c>
      <c r="C514" t="str">
        <f>IF($A514&lt;&gt;"",'All Cases - Enter Cases'!C514,"")</f>
        <v/>
      </c>
      <c r="D514" t="str">
        <f>IF($A514&lt;&gt;"",'All Cases - Enter Cases'!D514,"")</f>
        <v/>
      </c>
      <c r="E514" t="str">
        <f>IF($A514&lt;&gt;"",'All Cases - Enter Cases'!E514,"")</f>
        <v/>
      </c>
      <c r="F514" t="str">
        <f>IF($A514&lt;&gt;"",'All Cases - Enter Cases'!F514,"")</f>
        <v/>
      </c>
      <c r="G514" t="str">
        <f>IF($A514&lt;&gt;"",'All Cases - Enter Cases'!G514,"")</f>
        <v/>
      </c>
      <c r="H514" t="str">
        <f>IF($A514&lt;&gt;"",'All Cases - Enter Cases'!H514,"")</f>
        <v/>
      </c>
      <c r="I514" t="str">
        <f>IF($A514&lt;&gt;"",'All Cases - Enter Cases'!I514,"")</f>
        <v/>
      </c>
      <c r="J514" t="str">
        <f>IF($A514&lt;&gt;"",'All Cases - Enter Cases'!J514,"")</f>
        <v/>
      </c>
      <c r="K514" s="4" t="str">
        <f>IF($A514&lt;&gt;"",'All Cases - Enter Cases'!K514,"")</f>
        <v/>
      </c>
      <c r="L514" t="str">
        <f>IF($A514&lt;&gt;"",'All Cases - Enter Cases'!L514,"")</f>
        <v/>
      </c>
      <c r="M514" t="str">
        <f>IF($A514&lt;&gt;"",'All Cases - Enter Cases'!M514,"")</f>
        <v/>
      </c>
    </row>
    <row r="515" spans="1:13" x14ac:dyDescent="0.35">
      <c r="A515" s="10" t="str">
        <f>IF('All Cases - Enter Cases'!$F515="Sindh",'All Cases - Enter Cases'!A515,"")</f>
        <v/>
      </c>
      <c r="B515" t="str">
        <f>IF($A515&lt;&gt;"",'All Cases - Enter Cases'!B515,"")</f>
        <v/>
      </c>
      <c r="C515" t="str">
        <f>IF($A515&lt;&gt;"",'All Cases - Enter Cases'!C515,"")</f>
        <v/>
      </c>
      <c r="D515" t="str">
        <f>IF($A515&lt;&gt;"",'All Cases - Enter Cases'!D515,"")</f>
        <v/>
      </c>
      <c r="E515" t="str">
        <f>IF($A515&lt;&gt;"",'All Cases - Enter Cases'!E515,"")</f>
        <v/>
      </c>
      <c r="F515" t="str">
        <f>IF($A515&lt;&gt;"",'All Cases - Enter Cases'!F515,"")</f>
        <v/>
      </c>
      <c r="G515" t="str">
        <f>IF($A515&lt;&gt;"",'All Cases - Enter Cases'!G515,"")</f>
        <v/>
      </c>
      <c r="H515" t="str">
        <f>IF($A515&lt;&gt;"",'All Cases - Enter Cases'!H515,"")</f>
        <v/>
      </c>
      <c r="I515" t="str">
        <f>IF($A515&lt;&gt;"",'All Cases - Enter Cases'!I515,"")</f>
        <v/>
      </c>
      <c r="J515" t="str">
        <f>IF($A515&lt;&gt;"",'All Cases - Enter Cases'!J515,"")</f>
        <v/>
      </c>
      <c r="K515" s="4" t="str">
        <f>IF($A515&lt;&gt;"",'All Cases - Enter Cases'!K515,"")</f>
        <v/>
      </c>
      <c r="L515" t="str">
        <f>IF($A515&lt;&gt;"",'All Cases - Enter Cases'!L515,"")</f>
        <v/>
      </c>
      <c r="M515" t="str">
        <f>IF($A515&lt;&gt;"",'All Cases - Enter Cases'!M515,"")</f>
        <v/>
      </c>
    </row>
    <row r="516" spans="1:13" x14ac:dyDescent="0.35">
      <c r="A516" s="10" t="str">
        <f>IF('All Cases - Enter Cases'!$F516="Sindh",'All Cases - Enter Cases'!A516,"")</f>
        <v/>
      </c>
      <c r="B516" t="str">
        <f>IF($A516&lt;&gt;"",'All Cases - Enter Cases'!B516,"")</f>
        <v/>
      </c>
      <c r="C516" t="str">
        <f>IF($A516&lt;&gt;"",'All Cases - Enter Cases'!C516,"")</f>
        <v/>
      </c>
      <c r="D516" t="str">
        <f>IF($A516&lt;&gt;"",'All Cases - Enter Cases'!D516,"")</f>
        <v/>
      </c>
      <c r="E516" t="str">
        <f>IF($A516&lt;&gt;"",'All Cases - Enter Cases'!E516,"")</f>
        <v/>
      </c>
      <c r="F516" t="str">
        <f>IF($A516&lt;&gt;"",'All Cases - Enter Cases'!F516,"")</f>
        <v/>
      </c>
      <c r="G516" t="str">
        <f>IF($A516&lt;&gt;"",'All Cases - Enter Cases'!G516,"")</f>
        <v/>
      </c>
      <c r="H516" t="str">
        <f>IF($A516&lt;&gt;"",'All Cases - Enter Cases'!H516,"")</f>
        <v/>
      </c>
      <c r="I516" t="str">
        <f>IF($A516&lt;&gt;"",'All Cases - Enter Cases'!I516,"")</f>
        <v/>
      </c>
      <c r="J516" t="str">
        <f>IF($A516&lt;&gt;"",'All Cases - Enter Cases'!J516,"")</f>
        <v/>
      </c>
      <c r="K516" s="4" t="str">
        <f>IF($A516&lt;&gt;"",'All Cases - Enter Cases'!K516,"")</f>
        <v/>
      </c>
      <c r="L516" t="str">
        <f>IF($A516&lt;&gt;"",'All Cases - Enter Cases'!L516,"")</f>
        <v/>
      </c>
      <c r="M516" t="str">
        <f>IF($A516&lt;&gt;"",'All Cases - Enter Cases'!M516,"")</f>
        <v/>
      </c>
    </row>
    <row r="517" spans="1:13" x14ac:dyDescent="0.35">
      <c r="A517" s="10" t="str">
        <f>IF('All Cases - Enter Cases'!$F517="Sindh",'All Cases - Enter Cases'!A517,"")</f>
        <v/>
      </c>
      <c r="B517" t="str">
        <f>IF($A517&lt;&gt;"",'All Cases - Enter Cases'!B517,"")</f>
        <v/>
      </c>
      <c r="C517" t="str">
        <f>IF($A517&lt;&gt;"",'All Cases - Enter Cases'!C517,"")</f>
        <v/>
      </c>
      <c r="D517" t="str">
        <f>IF($A517&lt;&gt;"",'All Cases - Enter Cases'!D517,"")</f>
        <v/>
      </c>
      <c r="E517" t="str">
        <f>IF($A517&lt;&gt;"",'All Cases - Enter Cases'!E517,"")</f>
        <v/>
      </c>
      <c r="F517" t="str">
        <f>IF($A517&lt;&gt;"",'All Cases - Enter Cases'!F517,"")</f>
        <v/>
      </c>
      <c r="G517" t="str">
        <f>IF($A517&lt;&gt;"",'All Cases - Enter Cases'!G517,"")</f>
        <v/>
      </c>
      <c r="H517" t="str">
        <f>IF($A517&lt;&gt;"",'All Cases - Enter Cases'!H517,"")</f>
        <v/>
      </c>
      <c r="I517" t="str">
        <f>IF($A517&lt;&gt;"",'All Cases - Enter Cases'!I517,"")</f>
        <v/>
      </c>
      <c r="J517" t="str">
        <f>IF($A517&lt;&gt;"",'All Cases - Enter Cases'!J517,"")</f>
        <v/>
      </c>
      <c r="K517" s="4" t="str">
        <f>IF($A517&lt;&gt;"",'All Cases - Enter Cases'!K517,"")</f>
        <v/>
      </c>
      <c r="L517" t="str">
        <f>IF($A517&lt;&gt;"",'All Cases - Enter Cases'!L517,"")</f>
        <v/>
      </c>
      <c r="M517" t="str">
        <f>IF($A517&lt;&gt;"",'All Cases - Enter Cases'!M517,"")</f>
        <v/>
      </c>
    </row>
    <row r="518" spans="1:13" x14ac:dyDescent="0.35">
      <c r="A518" s="10" t="str">
        <f>IF('All Cases - Enter Cases'!$F518="Sindh",'All Cases - Enter Cases'!A518,"")</f>
        <v/>
      </c>
      <c r="B518" t="str">
        <f>IF($A518&lt;&gt;"",'All Cases - Enter Cases'!B518,"")</f>
        <v/>
      </c>
      <c r="C518" t="str">
        <f>IF($A518&lt;&gt;"",'All Cases - Enter Cases'!C518,"")</f>
        <v/>
      </c>
      <c r="D518" t="str">
        <f>IF($A518&lt;&gt;"",'All Cases - Enter Cases'!D518,"")</f>
        <v/>
      </c>
      <c r="E518" t="str">
        <f>IF($A518&lt;&gt;"",'All Cases - Enter Cases'!E518,"")</f>
        <v/>
      </c>
      <c r="F518" t="str">
        <f>IF($A518&lt;&gt;"",'All Cases - Enter Cases'!F518,"")</f>
        <v/>
      </c>
      <c r="G518" t="str">
        <f>IF($A518&lt;&gt;"",'All Cases - Enter Cases'!G518,"")</f>
        <v/>
      </c>
      <c r="H518" t="str">
        <f>IF($A518&lt;&gt;"",'All Cases - Enter Cases'!H518,"")</f>
        <v/>
      </c>
      <c r="I518" t="str">
        <f>IF($A518&lt;&gt;"",'All Cases - Enter Cases'!I518,"")</f>
        <v/>
      </c>
      <c r="J518" t="str">
        <f>IF($A518&lt;&gt;"",'All Cases - Enter Cases'!J518,"")</f>
        <v/>
      </c>
      <c r="K518" s="4" t="str">
        <f>IF($A518&lt;&gt;"",'All Cases - Enter Cases'!K518,"")</f>
        <v/>
      </c>
      <c r="L518" t="str">
        <f>IF($A518&lt;&gt;"",'All Cases - Enter Cases'!L518,"")</f>
        <v/>
      </c>
      <c r="M518" t="str">
        <f>IF($A518&lt;&gt;"",'All Cases - Enter Cases'!M518,"")</f>
        <v/>
      </c>
    </row>
    <row r="519" spans="1:13" x14ac:dyDescent="0.35">
      <c r="A519" s="10" t="str">
        <f>IF('All Cases - Enter Cases'!$F519="Sindh",'All Cases - Enter Cases'!A519,"")</f>
        <v/>
      </c>
      <c r="B519" t="str">
        <f>IF($A519&lt;&gt;"",'All Cases - Enter Cases'!B519,"")</f>
        <v/>
      </c>
      <c r="C519" t="str">
        <f>IF($A519&lt;&gt;"",'All Cases - Enter Cases'!C519,"")</f>
        <v/>
      </c>
      <c r="D519" t="str">
        <f>IF($A519&lt;&gt;"",'All Cases - Enter Cases'!D519,"")</f>
        <v/>
      </c>
      <c r="E519" t="str">
        <f>IF($A519&lt;&gt;"",'All Cases - Enter Cases'!E519,"")</f>
        <v/>
      </c>
      <c r="F519" t="str">
        <f>IF($A519&lt;&gt;"",'All Cases - Enter Cases'!F519,"")</f>
        <v/>
      </c>
      <c r="G519" t="str">
        <f>IF($A519&lt;&gt;"",'All Cases - Enter Cases'!G519,"")</f>
        <v/>
      </c>
      <c r="H519" t="str">
        <f>IF($A519&lt;&gt;"",'All Cases - Enter Cases'!H519,"")</f>
        <v/>
      </c>
      <c r="I519" t="str">
        <f>IF($A519&lt;&gt;"",'All Cases - Enter Cases'!I519,"")</f>
        <v/>
      </c>
      <c r="J519" t="str">
        <f>IF($A519&lt;&gt;"",'All Cases - Enter Cases'!J519,"")</f>
        <v/>
      </c>
      <c r="K519" s="4" t="str">
        <f>IF($A519&lt;&gt;"",'All Cases - Enter Cases'!K519,"")</f>
        <v/>
      </c>
      <c r="L519" t="str">
        <f>IF($A519&lt;&gt;"",'All Cases - Enter Cases'!L519,"")</f>
        <v/>
      </c>
      <c r="M519" t="str">
        <f>IF($A519&lt;&gt;"",'All Cases - Enter Cases'!M519,"")</f>
        <v/>
      </c>
    </row>
    <row r="520" spans="1:13" x14ac:dyDescent="0.35">
      <c r="A520" s="10" t="str">
        <f>IF('All Cases - Enter Cases'!$F520="Sindh",'All Cases - Enter Cases'!A520,"")</f>
        <v/>
      </c>
      <c r="B520" t="str">
        <f>IF($A520&lt;&gt;"",'All Cases - Enter Cases'!B520,"")</f>
        <v/>
      </c>
      <c r="C520" t="str">
        <f>IF($A520&lt;&gt;"",'All Cases - Enter Cases'!C520,"")</f>
        <v/>
      </c>
      <c r="D520" t="str">
        <f>IF($A520&lt;&gt;"",'All Cases - Enter Cases'!D520,"")</f>
        <v/>
      </c>
      <c r="E520" t="str">
        <f>IF($A520&lt;&gt;"",'All Cases - Enter Cases'!E520,"")</f>
        <v/>
      </c>
      <c r="F520" t="str">
        <f>IF($A520&lt;&gt;"",'All Cases - Enter Cases'!F520,"")</f>
        <v/>
      </c>
      <c r="G520" t="str">
        <f>IF($A520&lt;&gt;"",'All Cases - Enter Cases'!G520,"")</f>
        <v/>
      </c>
      <c r="H520" t="str">
        <f>IF($A520&lt;&gt;"",'All Cases - Enter Cases'!H520,"")</f>
        <v/>
      </c>
      <c r="I520" t="str">
        <f>IF($A520&lt;&gt;"",'All Cases - Enter Cases'!I520,"")</f>
        <v/>
      </c>
      <c r="J520" t="str">
        <f>IF($A520&lt;&gt;"",'All Cases - Enter Cases'!J520,"")</f>
        <v/>
      </c>
      <c r="K520" s="4" t="str">
        <f>IF($A520&lt;&gt;"",'All Cases - Enter Cases'!K520,"")</f>
        <v/>
      </c>
      <c r="L520" t="str">
        <f>IF($A520&lt;&gt;"",'All Cases - Enter Cases'!L520,"")</f>
        <v/>
      </c>
      <c r="M520" t="str">
        <f>IF($A520&lt;&gt;"",'All Cases - Enter Cases'!M520,"")</f>
        <v/>
      </c>
    </row>
    <row r="521" spans="1:13" x14ac:dyDescent="0.35">
      <c r="A521" s="10" t="str">
        <f>IF('All Cases - Enter Cases'!$F521="Sindh",'All Cases - Enter Cases'!A521,"")</f>
        <v/>
      </c>
      <c r="B521" t="str">
        <f>IF($A521&lt;&gt;"",'All Cases - Enter Cases'!B521,"")</f>
        <v/>
      </c>
      <c r="C521" t="str">
        <f>IF($A521&lt;&gt;"",'All Cases - Enter Cases'!C521,"")</f>
        <v/>
      </c>
      <c r="D521" t="str">
        <f>IF($A521&lt;&gt;"",'All Cases - Enter Cases'!D521,"")</f>
        <v/>
      </c>
      <c r="E521" t="str">
        <f>IF($A521&lt;&gt;"",'All Cases - Enter Cases'!E521,"")</f>
        <v/>
      </c>
      <c r="F521" t="str">
        <f>IF($A521&lt;&gt;"",'All Cases - Enter Cases'!F521,"")</f>
        <v/>
      </c>
      <c r="G521" t="str">
        <f>IF($A521&lt;&gt;"",'All Cases - Enter Cases'!G521,"")</f>
        <v/>
      </c>
      <c r="H521" t="str">
        <f>IF($A521&lt;&gt;"",'All Cases - Enter Cases'!H521,"")</f>
        <v/>
      </c>
      <c r="I521" t="str">
        <f>IF($A521&lt;&gt;"",'All Cases - Enter Cases'!I521,"")</f>
        <v/>
      </c>
      <c r="J521" t="str">
        <f>IF($A521&lt;&gt;"",'All Cases - Enter Cases'!J521,"")</f>
        <v/>
      </c>
      <c r="K521" s="4" t="str">
        <f>IF($A521&lt;&gt;"",'All Cases - Enter Cases'!K521,"")</f>
        <v/>
      </c>
      <c r="L521" t="str">
        <f>IF($A521&lt;&gt;"",'All Cases - Enter Cases'!L521,"")</f>
        <v/>
      </c>
      <c r="M521" t="str">
        <f>IF($A521&lt;&gt;"",'All Cases - Enter Cases'!M521,"")</f>
        <v/>
      </c>
    </row>
    <row r="522" spans="1:13" x14ac:dyDescent="0.35">
      <c r="A522" s="10" t="str">
        <f>IF('All Cases - Enter Cases'!$F522="Sindh",'All Cases - Enter Cases'!A522,"")</f>
        <v/>
      </c>
      <c r="B522" t="str">
        <f>IF($A522&lt;&gt;"",'All Cases - Enter Cases'!B522,"")</f>
        <v/>
      </c>
      <c r="C522" t="str">
        <f>IF($A522&lt;&gt;"",'All Cases - Enter Cases'!C522,"")</f>
        <v/>
      </c>
      <c r="D522" t="str">
        <f>IF($A522&lt;&gt;"",'All Cases - Enter Cases'!D522,"")</f>
        <v/>
      </c>
      <c r="E522" t="str">
        <f>IF($A522&lt;&gt;"",'All Cases - Enter Cases'!E522,"")</f>
        <v/>
      </c>
      <c r="F522" t="str">
        <f>IF($A522&lt;&gt;"",'All Cases - Enter Cases'!F522,"")</f>
        <v/>
      </c>
      <c r="G522" t="str">
        <f>IF($A522&lt;&gt;"",'All Cases - Enter Cases'!G522,"")</f>
        <v/>
      </c>
      <c r="H522" t="str">
        <f>IF($A522&lt;&gt;"",'All Cases - Enter Cases'!H522,"")</f>
        <v/>
      </c>
      <c r="I522" t="str">
        <f>IF($A522&lt;&gt;"",'All Cases - Enter Cases'!I522,"")</f>
        <v/>
      </c>
      <c r="J522" t="str">
        <f>IF($A522&lt;&gt;"",'All Cases - Enter Cases'!J522,"")</f>
        <v/>
      </c>
      <c r="K522" s="4" t="str">
        <f>IF($A522&lt;&gt;"",'All Cases - Enter Cases'!K522,"")</f>
        <v/>
      </c>
      <c r="L522" t="str">
        <f>IF($A522&lt;&gt;"",'All Cases - Enter Cases'!L522,"")</f>
        <v/>
      </c>
      <c r="M522" t="str">
        <f>IF($A522&lt;&gt;"",'All Cases - Enter Cases'!M522,"")</f>
        <v/>
      </c>
    </row>
    <row r="523" spans="1:13" x14ac:dyDescent="0.35">
      <c r="A523" s="10" t="str">
        <f>IF('All Cases - Enter Cases'!$F523="Sindh",'All Cases - Enter Cases'!A523,"")</f>
        <v/>
      </c>
      <c r="B523" t="str">
        <f>IF($A523&lt;&gt;"",'All Cases - Enter Cases'!B523,"")</f>
        <v/>
      </c>
      <c r="C523" t="str">
        <f>IF($A523&lt;&gt;"",'All Cases - Enter Cases'!C523,"")</f>
        <v/>
      </c>
      <c r="D523" t="str">
        <f>IF($A523&lt;&gt;"",'All Cases - Enter Cases'!D523,"")</f>
        <v/>
      </c>
      <c r="E523" t="str">
        <f>IF($A523&lt;&gt;"",'All Cases - Enter Cases'!E523,"")</f>
        <v/>
      </c>
      <c r="F523" t="str">
        <f>IF($A523&lt;&gt;"",'All Cases - Enter Cases'!F523,"")</f>
        <v/>
      </c>
      <c r="G523" t="str">
        <f>IF($A523&lt;&gt;"",'All Cases - Enter Cases'!G523,"")</f>
        <v/>
      </c>
      <c r="H523" t="str">
        <f>IF($A523&lt;&gt;"",'All Cases - Enter Cases'!H523,"")</f>
        <v/>
      </c>
      <c r="I523" t="str">
        <f>IF($A523&lt;&gt;"",'All Cases - Enter Cases'!I523,"")</f>
        <v/>
      </c>
      <c r="J523" t="str">
        <f>IF($A523&lt;&gt;"",'All Cases - Enter Cases'!J523,"")</f>
        <v/>
      </c>
      <c r="K523" s="4" t="str">
        <f>IF($A523&lt;&gt;"",'All Cases - Enter Cases'!K523,"")</f>
        <v/>
      </c>
      <c r="L523" t="str">
        <f>IF($A523&lt;&gt;"",'All Cases - Enter Cases'!L523,"")</f>
        <v/>
      </c>
      <c r="M523" t="str">
        <f>IF($A523&lt;&gt;"",'All Cases - Enter Cases'!M523,"")</f>
        <v/>
      </c>
    </row>
    <row r="524" spans="1:13" x14ac:dyDescent="0.35">
      <c r="A524" s="10" t="str">
        <f>IF('All Cases - Enter Cases'!$F524="Sindh",'All Cases - Enter Cases'!A524,"")</f>
        <v/>
      </c>
      <c r="B524" t="str">
        <f>IF($A524&lt;&gt;"",'All Cases - Enter Cases'!B524,"")</f>
        <v/>
      </c>
      <c r="C524" t="str">
        <f>IF($A524&lt;&gt;"",'All Cases - Enter Cases'!C524,"")</f>
        <v/>
      </c>
      <c r="D524" t="str">
        <f>IF($A524&lt;&gt;"",'All Cases - Enter Cases'!D524,"")</f>
        <v/>
      </c>
      <c r="E524" t="str">
        <f>IF($A524&lt;&gt;"",'All Cases - Enter Cases'!E524,"")</f>
        <v/>
      </c>
      <c r="F524" t="str">
        <f>IF($A524&lt;&gt;"",'All Cases - Enter Cases'!F524,"")</f>
        <v/>
      </c>
      <c r="G524" t="str">
        <f>IF($A524&lt;&gt;"",'All Cases - Enter Cases'!G524,"")</f>
        <v/>
      </c>
      <c r="H524" t="str">
        <f>IF($A524&lt;&gt;"",'All Cases - Enter Cases'!H524,"")</f>
        <v/>
      </c>
      <c r="I524" t="str">
        <f>IF($A524&lt;&gt;"",'All Cases - Enter Cases'!I524,"")</f>
        <v/>
      </c>
      <c r="J524" t="str">
        <f>IF($A524&lt;&gt;"",'All Cases - Enter Cases'!J524,"")</f>
        <v/>
      </c>
      <c r="K524" s="4" t="str">
        <f>IF($A524&lt;&gt;"",'All Cases - Enter Cases'!K524,"")</f>
        <v/>
      </c>
      <c r="L524" t="str">
        <f>IF($A524&lt;&gt;"",'All Cases - Enter Cases'!L524,"")</f>
        <v/>
      </c>
      <c r="M524" t="str">
        <f>IF($A524&lt;&gt;"",'All Cases - Enter Cases'!M524,"")</f>
        <v/>
      </c>
    </row>
    <row r="525" spans="1:13" x14ac:dyDescent="0.35">
      <c r="A525" s="10" t="str">
        <f>IF('All Cases - Enter Cases'!$F525="Sindh",'All Cases - Enter Cases'!A525,"")</f>
        <v/>
      </c>
      <c r="B525" t="str">
        <f>IF($A525&lt;&gt;"",'All Cases - Enter Cases'!B525,"")</f>
        <v/>
      </c>
      <c r="C525" t="str">
        <f>IF($A525&lt;&gt;"",'All Cases - Enter Cases'!C525,"")</f>
        <v/>
      </c>
      <c r="D525" t="str">
        <f>IF($A525&lt;&gt;"",'All Cases - Enter Cases'!D525,"")</f>
        <v/>
      </c>
      <c r="E525" t="str">
        <f>IF($A525&lt;&gt;"",'All Cases - Enter Cases'!E525,"")</f>
        <v/>
      </c>
      <c r="F525" t="str">
        <f>IF($A525&lt;&gt;"",'All Cases - Enter Cases'!F525,"")</f>
        <v/>
      </c>
      <c r="G525" t="str">
        <f>IF($A525&lt;&gt;"",'All Cases - Enter Cases'!G525,"")</f>
        <v/>
      </c>
      <c r="H525" t="str">
        <f>IF($A525&lt;&gt;"",'All Cases - Enter Cases'!H525,"")</f>
        <v/>
      </c>
      <c r="I525" t="str">
        <f>IF($A525&lt;&gt;"",'All Cases - Enter Cases'!I525,"")</f>
        <v/>
      </c>
      <c r="J525" t="str">
        <f>IF($A525&lt;&gt;"",'All Cases - Enter Cases'!J525,"")</f>
        <v/>
      </c>
      <c r="K525" s="4" t="str">
        <f>IF($A525&lt;&gt;"",'All Cases - Enter Cases'!K525,"")</f>
        <v/>
      </c>
      <c r="L525" t="str">
        <f>IF($A525&lt;&gt;"",'All Cases - Enter Cases'!L525,"")</f>
        <v/>
      </c>
      <c r="M525" t="str">
        <f>IF($A525&lt;&gt;"",'All Cases - Enter Cases'!M525,"")</f>
        <v/>
      </c>
    </row>
    <row r="526" spans="1:13" x14ac:dyDescent="0.35">
      <c r="A526" s="10" t="str">
        <f>IF('All Cases - Enter Cases'!$F526="Sindh",'All Cases - Enter Cases'!A526,"")</f>
        <v/>
      </c>
      <c r="B526" t="str">
        <f>IF($A526&lt;&gt;"",'All Cases - Enter Cases'!B526,"")</f>
        <v/>
      </c>
      <c r="C526" t="str">
        <f>IF($A526&lt;&gt;"",'All Cases - Enter Cases'!C526,"")</f>
        <v/>
      </c>
      <c r="D526" t="str">
        <f>IF($A526&lt;&gt;"",'All Cases - Enter Cases'!D526,"")</f>
        <v/>
      </c>
      <c r="E526" t="str">
        <f>IF($A526&lt;&gt;"",'All Cases - Enter Cases'!E526,"")</f>
        <v/>
      </c>
      <c r="F526" t="str">
        <f>IF($A526&lt;&gt;"",'All Cases - Enter Cases'!F526,"")</f>
        <v/>
      </c>
      <c r="G526" t="str">
        <f>IF($A526&lt;&gt;"",'All Cases - Enter Cases'!G526,"")</f>
        <v/>
      </c>
      <c r="H526" t="str">
        <f>IF($A526&lt;&gt;"",'All Cases - Enter Cases'!H526,"")</f>
        <v/>
      </c>
      <c r="I526" t="str">
        <f>IF($A526&lt;&gt;"",'All Cases - Enter Cases'!I526,"")</f>
        <v/>
      </c>
      <c r="J526" t="str">
        <f>IF($A526&lt;&gt;"",'All Cases - Enter Cases'!J526,"")</f>
        <v/>
      </c>
      <c r="K526" s="4" t="str">
        <f>IF($A526&lt;&gt;"",'All Cases - Enter Cases'!K526,"")</f>
        <v/>
      </c>
      <c r="L526" t="str">
        <f>IF($A526&lt;&gt;"",'All Cases - Enter Cases'!L526,"")</f>
        <v/>
      </c>
      <c r="M526" t="str">
        <f>IF($A526&lt;&gt;"",'All Cases - Enter Cases'!M526,"")</f>
        <v/>
      </c>
    </row>
    <row r="527" spans="1:13" x14ac:dyDescent="0.35">
      <c r="A527" s="10" t="str">
        <f>IF('All Cases - Enter Cases'!$F527="Sindh",'All Cases - Enter Cases'!A527,"")</f>
        <v/>
      </c>
      <c r="B527" t="str">
        <f>IF($A527&lt;&gt;"",'All Cases - Enter Cases'!B527,"")</f>
        <v/>
      </c>
      <c r="C527" t="str">
        <f>IF($A527&lt;&gt;"",'All Cases - Enter Cases'!C527,"")</f>
        <v/>
      </c>
      <c r="D527" t="str">
        <f>IF($A527&lt;&gt;"",'All Cases - Enter Cases'!D527,"")</f>
        <v/>
      </c>
      <c r="E527" t="str">
        <f>IF($A527&lt;&gt;"",'All Cases - Enter Cases'!E527,"")</f>
        <v/>
      </c>
      <c r="F527" t="str">
        <f>IF($A527&lt;&gt;"",'All Cases - Enter Cases'!F527,"")</f>
        <v/>
      </c>
      <c r="G527" t="str">
        <f>IF($A527&lt;&gt;"",'All Cases - Enter Cases'!G527,"")</f>
        <v/>
      </c>
      <c r="H527" t="str">
        <f>IF($A527&lt;&gt;"",'All Cases - Enter Cases'!H527,"")</f>
        <v/>
      </c>
      <c r="I527" t="str">
        <f>IF($A527&lt;&gt;"",'All Cases - Enter Cases'!I527,"")</f>
        <v/>
      </c>
      <c r="J527" t="str">
        <f>IF($A527&lt;&gt;"",'All Cases - Enter Cases'!J527,"")</f>
        <v/>
      </c>
      <c r="K527" s="4" t="str">
        <f>IF($A527&lt;&gt;"",'All Cases - Enter Cases'!K527,"")</f>
        <v/>
      </c>
      <c r="L527" t="str">
        <f>IF($A527&lt;&gt;"",'All Cases - Enter Cases'!L527,"")</f>
        <v/>
      </c>
      <c r="M527" t="str">
        <f>IF($A527&lt;&gt;"",'All Cases - Enter Cases'!M527,"")</f>
        <v/>
      </c>
    </row>
    <row r="528" spans="1:13" x14ac:dyDescent="0.35">
      <c r="A528" s="10" t="str">
        <f>IF('All Cases - Enter Cases'!$F528="Sindh",'All Cases - Enter Cases'!A528,"")</f>
        <v/>
      </c>
      <c r="B528" t="str">
        <f>IF($A528&lt;&gt;"",'All Cases - Enter Cases'!B528,"")</f>
        <v/>
      </c>
      <c r="C528" t="str">
        <f>IF($A528&lt;&gt;"",'All Cases - Enter Cases'!C528,"")</f>
        <v/>
      </c>
      <c r="D528" t="str">
        <f>IF($A528&lt;&gt;"",'All Cases - Enter Cases'!D528,"")</f>
        <v/>
      </c>
      <c r="E528" t="str">
        <f>IF($A528&lt;&gt;"",'All Cases - Enter Cases'!E528,"")</f>
        <v/>
      </c>
      <c r="F528" t="str">
        <f>IF($A528&lt;&gt;"",'All Cases - Enter Cases'!F528,"")</f>
        <v/>
      </c>
      <c r="G528" t="str">
        <f>IF($A528&lt;&gt;"",'All Cases - Enter Cases'!G528,"")</f>
        <v/>
      </c>
      <c r="H528" t="str">
        <f>IF($A528&lt;&gt;"",'All Cases - Enter Cases'!H528,"")</f>
        <v/>
      </c>
      <c r="I528" t="str">
        <f>IF($A528&lt;&gt;"",'All Cases - Enter Cases'!I528,"")</f>
        <v/>
      </c>
      <c r="J528" t="str">
        <f>IF($A528&lt;&gt;"",'All Cases - Enter Cases'!J528,"")</f>
        <v/>
      </c>
      <c r="K528" s="4" t="str">
        <f>IF($A528&lt;&gt;"",'All Cases - Enter Cases'!K528,"")</f>
        <v/>
      </c>
      <c r="L528" t="str">
        <f>IF($A528&lt;&gt;"",'All Cases - Enter Cases'!L528,"")</f>
        <v/>
      </c>
      <c r="M528" t="str">
        <f>IF($A528&lt;&gt;"",'All Cases - Enter Cases'!M528,"")</f>
        <v/>
      </c>
    </row>
    <row r="529" spans="1:13" x14ac:dyDescent="0.35">
      <c r="A529" s="10" t="str">
        <f>IF('All Cases - Enter Cases'!$F529="Sindh",'All Cases - Enter Cases'!A529,"")</f>
        <v/>
      </c>
      <c r="B529" t="str">
        <f>IF($A529&lt;&gt;"",'All Cases - Enter Cases'!B529,"")</f>
        <v/>
      </c>
      <c r="C529" t="str">
        <f>IF($A529&lt;&gt;"",'All Cases - Enter Cases'!C529,"")</f>
        <v/>
      </c>
      <c r="D529" t="str">
        <f>IF($A529&lt;&gt;"",'All Cases - Enter Cases'!D529,"")</f>
        <v/>
      </c>
      <c r="E529" t="str">
        <f>IF($A529&lt;&gt;"",'All Cases - Enter Cases'!E529,"")</f>
        <v/>
      </c>
      <c r="F529" t="str">
        <f>IF($A529&lt;&gt;"",'All Cases - Enter Cases'!F529,"")</f>
        <v/>
      </c>
      <c r="G529" t="str">
        <f>IF($A529&lt;&gt;"",'All Cases - Enter Cases'!G529,"")</f>
        <v/>
      </c>
      <c r="H529" t="str">
        <f>IF($A529&lt;&gt;"",'All Cases - Enter Cases'!H529,"")</f>
        <v/>
      </c>
      <c r="I529" t="str">
        <f>IF($A529&lt;&gt;"",'All Cases - Enter Cases'!I529,"")</f>
        <v/>
      </c>
      <c r="J529" t="str">
        <f>IF($A529&lt;&gt;"",'All Cases - Enter Cases'!J529,"")</f>
        <v/>
      </c>
      <c r="K529" s="4" t="str">
        <f>IF($A529&lt;&gt;"",'All Cases - Enter Cases'!K529,"")</f>
        <v/>
      </c>
      <c r="L529" t="str">
        <f>IF($A529&lt;&gt;"",'All Cases - Enter Cases'!L529,"")</f>
        <v/>
      </c>
      <c r="M529" t="str">
        <f>IF($A529&lt;&gt;"",'All Cases - Enter Cases'!M529,"")</f>
        <v/>
      </c>
    </row>
    <row r="530" spans="1:13" x14ac:dyDescent="0.35">
      <c r="A530" s="10" t="str">
        <f>IF('All Cases - Enter Cases'!$F530="Sindh",'All Cases - Enter Cases'!A530,"")</f>
        <v/>
      </c>
      <c r="B530" t="str">
        <f>IF($A530&lt;&gt;"",'All Cases - Enter Cases'!B530,"")</f>
        <v/>
      </c>
      <c r="C530" t="str">
        <f>IF($A530&lt;&gt;"",'All Cases - Enter Cases'!C530,"")</f>
        <v/>
      </c>
      <c r="D530" t="str">
        <f>IF($A530&lt;&gt;"",'All Cases - Enter Cases'!D530,"")</f>
        <v/>
      </c>
      <c r="E530" t="str">
        <f>IF($A530&lt;&gt;"",'All Cases - Enter Cases'!E530,"")</f>
        <v/>
      </c>
      <c r="F530" t="str">
        <f>IF($A530&lt;&gt;"",'All Cases - Enter Cases'!F530,"")</f>
        <v/>
      </c>
      <c r="G530" t="str">
        <f>IF($A530&lt;&gt;"",'All Cases - Enter Cases'!G530,"")</f>
        <v/>
      </c>
      <c r="H530" t="str">
        <f>IF($A530&lt;&gt;"",'All Cases - Enter Cases'!H530,"")</f>
        <v/>
      </c>
      <c r="I530" t="str">
        <f>IF($A530&lt;&gt;"",'All Cases - Enter Cases'!I530,"")</f>
        <v/>
      </c>
      <c r="J530" t="str">
        <f>IF($A530&lt;&gt;"",'All Cases - Enter Cases'!J530,"")</f>
        <v/>
      </c>
      <c r="K530" s="4" t="str">
        <f>IF($A530&lt;&gt;"",'All Cases - Enter Cases'!K530,"")</f>
        <v/>
      </c>
      <c r="L530" t="str">
        <f>IF($A530&lt;&gt;"",'All Cases - Enter Cases'!L530,"")</f>
        <v/>
      </c>
      <c r="M530" t="str">
        <f>IF($A530&lt;&gt;"",'All Cases - Enter Cases'!M530,"")</f>
        <v/>
      </c>
    </row>
    <row r="531" spans="1:13" x14ac:dyDescent="0.35">
      <c r="A531" s="10" t="str">
        <f>IF('All Cases - Enter Cases'!$F531="Sindh",'All Cases - Enter Cases'!A531,"")</f>
        <v/>
      </c>
      <c r="B531" t="str">
        <f>IF($A531&lt;&gt;"",'All Cases - Enter Cases'!B531,"")</f>
        <v/>
      </c>
      <c r="C531" t="str">
        <f>IF($A531&lt;&gt;"",'All Cases - Enter Cases'!C531,"")</f>
        <v/>
      </c>
      <c r="D531" t="str">
        <f>IF($A531&lt;&gt;"",'All Cases - Enter Cases'!D531,"")</f>
        <v/>
      </c>
      <c r="E531" t="str">
        <f>IF($A531&lt;&gt;"",'All Cases - Enter Cases'!E531,"")</f>
        <v/>
      </c>
      <c r="F531" t="str">
        <f>IF($A531&lt;&gt;"",'All Cases - Enter Cases'!F531,"")</f>
        <v/>
      </c>
      <c r="G531" t="str">
        <f>IF($A531&lt;&gt;"",'All Cases - Enter Cases'!G531,"")</f>
        <v/>
      </c>
      <c r="H531" t="str">
        <f>IF($A531&lt;&gt;"",'All Cases - Enter Cases'!H531,"")</f>
        <v/>
      </c>
      <c r="I531" t="str">
        <f>IF($A531&lt;&gt;"",'All Cases - Enter Cases'!I531,"")</f>
        <v/>
      </c>
      <c r="J531" t="str">
        <f>IF($A531&lt;&gt;"",'All Cases - Enter Cases'!J531,"")</f>
        <v/>
      </c>
      <c r="K531" s="4" t="str">
        <f>IF($A531&lt;&gt;"",'All Cases - Enter Cases'!K531,"")</f>
        <v/>
      </c>
      <c r="L531" t="str">
        <f>IF($A531&lt;&gt;"",'All Cases - Enter Cases'!L531,"")</f>
        <v/>
      </c>
      <c r="M531" t="str">
        <f>IF($A531&lt;&gt;"",'All Cases - Enter Cases'!M531,"")</f>
        <v/>
      </c>
    </row>
    <row r="532" spans="1:13" x14ac:dyDescent="0.35">
      <c r="A532" s="10" t="str">
        <f>IF('All Cases - Enter Cases'!$F532="Sindh",'All Cases - Enter Cases'!A532,"")</f>
        <v/>
      </c>
      <c r="B532" t="str">
        <f>IF($A532&lt;&gt;"",'All Cases - Enter Cases'!B532,"")</f>
        <v/>
      </c>
      <c r="C532" t="str">
        <f>IF($A532&lt;&gt;"",'All Cases - Enter Cases'!C532,"")</f>
        <v/>
      </c>
      <c r="D532" t="str">
        <f>IF($A532&lt;&gt;"",'All Cases - Enter Cases'!D532,"")</f>
        <v/>
      </c>
      <c r="E532" t="str">
        <f>IF($A532&lt;&gt;"",'All Cases - Enter Cases'!E532,"")</f>
        <v/>
      </c>
      <c r="F532" t="str">
        <f>IF($A532&lt;&gt;"",'All Cases - Enter Cases'!F532,"")</f>
        <v/>
      </c>
      <c r="G532" t="str">
        <f>IF($A532&lt;&gt;"",'All Cases - Enter Cases'!G532,"")</f>
        <v/>
      </c>
      <c r="H532" t="str">
        <f>IF($A532&lt;&gt;"",'All Cases - Enter Cases'!H532,"")</f>
        <v/>
      </c>
      <c r="I532" t="str">
        <f>IF($A532&lt;&gt;"",'All Cases - Enter Cases'!I532,"")</f>
        <v/>
      </c>
      <c r="J532" t="str">
        <f>IF($A532&lt;&gt;"",'All Cases - Enter Cases'!J532,"")</f>
        <v/>
      </c>
      <c r="K532" s="4" t="str">
        <f>IF($A532&lt;&gt;"",'All Cases - Enter Cases'!K532,"")</f>
        <v/>
      </c>
      <c r="L532" t="str">
        <f>IF($A532&lt;&gt;"",'All Cases - Enter Cases'!L532,"")</f>
        <v/>
      </c>
      <c r="M532" t="str">
        <f>IF($A532&lt;&gt;"",'All Cases - Enter Cases'!M532,"")</f>
        <v/>
      </c>
    </row>
    <row r="533" spans="1:13" x14ac:dyDescent="0.35">
      <c r="A533" s="10" t="str">
        <f>IF('All Cases - Enter Cases'!$F533="Sindh",'All Cases - Enter Cases'!A533,"")</f>
        <v/>
      </c>
      <c r="B533" t="str">
        <f>IF($A533&lt;&gt;"",'All Cases - Enter Cases'!B533,"")</f>
        <v/>
      </c>
      <c r="C533" t="str">
        <f>IF($A533&lt;&gt;"",'All Cases - Enter Cases'!C533,"")</f>
        <v/>
      </c>
      <c r="D533" t="str">
        <f>IF($A533&lt;&gt;"",'All Cases - Enter Cases'!D533,"")</f>
        <v/>
      </c>
      <c r="E533" t="str">
        <f>IF($A533&lt;&gt;"",'All Cases - Enter Cases'!E533,"")</f>
        <v/>
      </c>
      <c r="F533" t="str">
        <f>IF($A533&lt;&gt;"",'All Cases - Enter Cases'!F533,"")</f>
        <v/>
      </c>
      <c r="G533" t="str">
        <f>IF($A533&lt;&gt;"",'All Cases - Enter Cases'!G533,"")</f>
        <v/>
      </c>
      <c r="H533" t="str">
        <f>IF($A533&lt;&gt;"",'All Cases - Enter Cases'!H533,"")</f>
        <v/>
      </c>
      <c r="I533" t="str">
        <f>IF($A533&lt;&gt;"",'All Cases - Enter Cases'!I533,"")</f>
        <v/>
      </c>
      <c r="J533" t="str">
        <f>IF($A533&lt;&gt;"",'All Cases - Enter Cases'!J533,"")</f>
        <v/>
      </c>
      <c r="K533" s="4" t="str">
        <f>IF($A533&lt;&gt;"",'All Cases - Enter Cases'!K533,"")</f>
        <v/>
      </c>
      <c r="L533" t="str">
        <f>IF($A533&lt;&gt;"",'All Cases - Enter Cases'!L533,"")</f>
        <v/>
      </c>
      <c r="M533" t="str">
        <f>IF($A533&lt;&gt;"",'All Cases - Enter Cases'!M533,"")</f>
        <v/>
      </c>
    </row>
    <row r="534" spans="1:13" x14ac:dyDescent="0.35">
      <c r="A534" s="10" t="str">
        <f>IF('All Cases - Enter Cases'!$F534="Sindh",'All Cases - Enter Cases'!A534,"")</f>
        <v/>
      </c>
      <c r="B534" t="str">
        <f>IF($A534&lt;&gt;"",'All Cases - Enter Cases'!B534,"")</f>
        <v/>
      </c>
      <c r="C534" t="str">
        <f>IF($A534&lt;&gt;"",'All Cases - Enter Cases'!C534,"")</f>
        <v/>
      </c>
      <c r="D534" t="str">
        <f>IF($A534&lt;&gt;"",'All Cases - Enter Cases'!D534,"")</f>
        <v/>
      </c>
      <c r="E534" t="str">
        <f>IF($A534&lt;&gt;"",'All Cases - Enter Cases'!E534,"")</f>
        <v/>
      </c>
      <c r="F534" t="str">
        <f>IF($A534&lt;&gt;"",'All Cases - Enter Cases'!F534,"")</f>
        <v/>
      </c>
      <c r="G534" t="str">
        <f>IF($A534&lt;&gt;"",'All Cases - Enter Cases'!G534,"")</f>
        <v/>
      </c>
      <c r="H534" t="str">
        <f>IF($A534&lt;&gt;"",'All Cases - Enter Cases'!H534,"")</f>
        <v/>
      </c>
      <c r="I534" t="str">
        <f>IF($A534&lt;&gt;"",'All Cases - Enter Cases'!I534,"")</f>
        <v/>
      </c>
      <c r="J534" t="str">
        <f>IF($A534&lt;&gt;"",'All Cases - Enter Cases'!J534,"")</f>
        <v/>
      </c>
      <c r="K534" s="4" t="str">
        <f>IF($A534&lt;&gt;"",'All Cases - Enter Cases'!K534,"")</f>
        <v/>
      </c>
      <c r="L534" t="str">
        <f>IF($A534&lt;&gt;"",'All Cases - Enter Cases'!L534,"")</f>
        <v/>
      </c>
      <c r="M534" t="str">
        <f>IF($A534&lt;&gt;"",'All Cases - Enter Cases'!M534,"")</f>
        <v/>
      </c>
    </row>
    <row r="535" spans="1:13" x14ac:dyDescent="0.35">
      <c r="A535" s="10" t="str">
        <f>IF('All Cases - Enter Cases'!$F535="Sindh",'All Cases - Enter Cases'!A535,"")</f>
        <v/>
      </c>
      <c r="B535" t="str">
        <f>IF($A535&lt;&gt;"",'All Cases - Enter Cases'!B535,"")</f>
        <v/>
      </c>
      <c r="C535" t="str">
        <f>IF($A535&lt;&gt;"",'All Cases - Enter Cases'!C535,"")</f>
        <v/>
      </c>
      <c r="D535" t="str">
        <f>IF($A535&lt;&gt;"",'All Cases - Enter Cases'!D535,"")</f>
        <v/>
      </c>
      <c r="E535" t="str">
        <f>IF($A535&lt;&gt;"",'All Cases - Enter Cases'!E535,"")</f>
        <v/>
      </c>
      <c r="F535" t="str">
        <f>IF($A535&lt;&gt;"",'All Cases - Enter Cases'!F535,"")</f>
        <v/>
      </c>
      <c r="G535" t="str">
        <f>IF($A535&lt;&gt;"",'All Cases - Enter Cases'!G535,"")</f>
        <v/>
      </c>
      <c r="H535" t="str">
        <f>IF($A535&lt;&gt;"",'All Cases - Enter Cases'!H535,"")</f>
        <v/>
      </c>
      <c r="I535" t="str">
        <f>IF($A535&lt;&gt;"",'All Cases - Enter Cases'!I535,"")</f>
        <v/>
      </c>
      <c r="J535" t="str">
        <f>IF($A535&lt;&gt;"",'All Cases - Enter Cases'!J535,"")</f>
        <v/>
      </c>
      <c r="K535" s="4" t="str">
        <f>IF($A535&lt;&gt;"",'All Cases - Enter Cases'!K535,"")</f>
        <v/>
      </c>
      <c r="L535" t="str">
        <f>IF($A535&lt;&gt;"",'All Cases - Enter Cases'!L535,"")</f>
        <v/>
      </c>
      <c r="M535" t="str">
        <f>IF($A535&lt;&gt;"",'All Cases - Enter Cases'!M535,"")</f>
        <v/>
      </c>
    </row>
    <row r="536" spans="1:13" x14ac:dyDescent="0.35">
      <c r="A536" s="10" t="str">
        <f>IF('All Cases - Enter Cases'!$F536="Sindh",'All Cases - Enter Cases'!A536,"")</f>
        <v/>
      </c>
      <c r="B536" t="str">
        <f>IF($A536&lt;&gt;"",'All Cases - Enter Cases'!B536,"")</f>
        <v/>
      </c>
      <c r="C536" t="str">
        <f>IF($A536&lt;&gt;"",'All Cases - Enter Cases'!C536,"")</f>
        <v/>
      </c>
      <c r="D536" t="str">
        <f>IF($A536&lt;&gt;"",'All Cases - Enter Cases'!D536,"")</f>
        <v/>
      </c>
      <c r="E536" t="str">
        <f>IF($A536&lt;&gt;"",'All Cases - Enter Cases'!E536,"")</f>
        <v/>
      </c>
      <c r="F536" t="str">
        <f>IF($A536&lt;&gt;"",'All Cases - Enter Cases'!F536,"")</f>
        <v/>
      </c>
      <c r="G536" t="str">
        <f>IF($A536&lt;&gt;"",'All Cases - Enter Cases'!G536,"")</f>
        <v/>
      </c>
      <c r="H536" t="str">
        <f>IF($A536&lt;&gt;"",'All Cases - Enter Cases'!H536,"")</f>
        <v/>
      </c>
      <c r="I536" t="str">
        <f>IF($A536&lt;&gt;"",'All Cases - Enter Cases'!I536,"")</f>
        <v/>
      </c>
      <c r="J536" t="str">
        <f>IF($A536&lt;&gt;"",'All Cases - Enter Cases'!J536,"")</f>
        <v/>
      </c>
      <c r="K536" s="4" t="str">
        <f>IF($A536&lt;&gt;"",'All Cases - Enter Cases'!K536,"")</f>
        <v/>
      </c>
      <c r="L536" t="str">
        <f>IF($A536&lt;&gt;"",'All Cases - Enter Cases'!L536,"")</f>
        <v/>
      </c>
      <c r="M536" t="str">
        <f>IF($A536&lt;&gt;"",'All Cases - Enter Cases'!M536,"")</f>
        <v/>
      </c>
    </row>
    <row r="537" spans="1:13" x14ac:dyDescent="0.35">
      <c r="A537" s="10" t="str">
        <f>IF('All Cases - Enter Cases'!$F537="Sindh",'All Cases - Enter Cases'!A537,"")</f>
        <v/>
      </c>
      <c r="B537" t="str">
        <f>IF($A537&lt;&gt;"",'All Cases - Enter Cases'!B537,"")</f>
        <v/>
      </c>
      <c r="C537" t="str">
        <f>IF($A537&lt;&gt;"",'All Cases - Enter Cases'!C537,"")</f>
        <v/>
      </c>
      <c r="D537" t="str">
        <f>IF($A537&lt;&gt;"",'All Cases - Enter Cases'!D537,"")</f>
        <v/>
      </c>
      <c r="E537" t="str">
        <f>IF($A537&lt;&gt;"",'All Cases - Enter Cases'!E537,"")</f>
        <v/>
      </c>
      <c r="F537" t="str">
        <f>IF($A537&lt;&gt;"",'All Cases - Enter Cases'!F537,"")</f>
        <v/>
      </c>
      <c r="G537" t="str">
        <f>IF($A537&lt;&gt;"",'All Cases - Enter Cases'!G537,"")</f>
        <v/>
      </c>
      <c r="H537" t="str">
        <f>IF($A537&lt;&gt;"",'All Cases - Enter Cases'!H537,"")</f>
        <v/>
      </c>
      <c r="I537" t="str">
        <f>IF($A537&lt;&gt;"",'All Cases - Enter Cases'!I537,"")</f>
        <v/>
      </c>
      <c r="J537" t="str">
        <f>IF($A537&lt;&gt;"",'All Cases - Enter Cases'!J537,"")</f>
        <v/>
      </c>
      <c r="K537" s="4" t="str">
        <f>IF($A537&lt;&gt;"",'All Cases - Enter Cases'!K537,"")</f>
        <v/>
      </c>
      <c r="L537" t="str">
        <f>IF($A537&lt;&gt;"",'All Cases - Enter Cases'!L537,"")</f>
        <v/>
      </c>
      <c r="M537" t="str">
        <f>IF($A537&lt;&gt;"",'All Cases - Enter Cases'!M537,"")</f>
        <v/>
      </c>
    </row>
    <row r="538" spans="1:13" x14ac:dyDescent="0.35">
      <c r="A538" s="10" t="str">
        <f>IF('All Cases - Enter Cases'!$F538="Sindh",'All Cases - Enter Cases'!A538,"")</f>
        <v/>
      </c>
      <c r="B538" t="str">
        <f>IF($A538&lt;&gt;"",'All Cases - Enter Cases'!B538,"")</f>
        <v/>
      </c>
      <c r="C538" t="str">
        <f>IF($A538&lt;&gt;"",'All Cases - Enter Cases'!C538,"")</f>
        <v/>
      </c>
      <c r="D538" t="str">
        <f>IF($A538&lt;&gt;"",'All Cases - Enter Cases'!D538,"")</f>
        <v/>
      </c>
      <c r="E538" t="str">
        <f>IF($A538&lt;&gt;"",'All Cases - Enter Cases'!E538,"")</f>
        <v/>
      </c>
      <c r="F538" t="str">
        <f>IF($A538&lt;&gt;"",'All Cases - Enter Cases'!F538,"")</f>
        <v/>
      </c>
      <c r="G538" t="str">
        <f>IF($A538&lt;&gt;"",'All Cases - Enter Cases'!G538,"")</f>
        <v/>
      </c>
      <c r="H538" t="str">
        <f>IF($A538&lt;&gt;"",'All Cases - Enter Cases'!H538,"")</f>
        <v/>
      </c>
      <c r="I538" t="str">
        <f>IF($A538&lt;&gt;"",'All Cases - Enter Cases'!I538,"")</f>
        <v/>
      </c>
      <c r="J538" t="str">
        <f>IF($A538&lt;&gt;"",'All Cases - Enter Cases'!J538,"")</f>
        <v/>
      </c>
      <c r="K538" s="4" t="str">
        <f>IF($A538&lt;&gt;"",'All Cases - Enter Cases'!K538,"")</f>
        <v/>
      </c>
      <c r="L538" t="str">
        <f>IF($A538&lt;&gt;"",'All Cases - Enter Cases'!L538,"")</f>
        <v/>
      </c>
      <c r="M538" t="str">
        <f>IF($A538&lt;&gt;"",'All Cases - Enter Cases'!M538,"")</f>
        <v/>
      </c>
    </row>
    <row r="539" spans="1:13" x14ac:dyDescent="0.35">
      <c r="A539" s="10" t="str">
        <f>IF('All Cases - Enter Cases'!$F539="Sindh",'All Cases - Enter Cases'!A539,"")</f>
        <v/>
      </c>
      <c r="B539" t="str">
        <f>IF($A539&lt;&gt;"",'All Cases - Enter Cases'!B539,"")</f>
        <v/>
      </c>
      <c r="C539" t="str">
        <f>IF($A539&lt;&gt;"",'All Cases - Enter Cases'!C539,"")</f>
        <v/>
      </c>
      <c r="D539" t="str">
        <f>IF($A539&lt;&gt;"",'All Cases - Enter Cases'!D539,"")</f>
        <v/>
      </c>
      <c r="E539" t="str">
        <f>IF($A539&lt;&gt;"",'All Cases - Enter Cases'!E539,"")</f>
        <v/>
      </c>
      <c r="F539" t="str">
        <f>IF($A539&lt;&gt;"",'All Cases - Enter Cases'!F539,"")</f>
        <v/>
      </c>
      <c r="G539" t="str">
        <f>IF($A539&lt;&gt;"",'All Cases - Enter Cases'!G539,"")</f>
        <v/>
      </c>
      <c r="H539" t="str">
        <f>IF($A539&lt;&gt;"",'All Cases - Enter Cases'!H539,"")</f>
        <v/>
      </c>
      <c r="I539" t="str">
        <f>IF($A539&lt;&gt;"",'All Cases - Enter Cases'!I539,"")</f>
        <v/>
      </c>
      <c r="J539" t="str">
        <f>IF($A539&lt;&gt;"",'All Cases - Enter Cases'!J539,"")</f>
        <v/>
      </c>
      <c r="K539" s="4" t="str">
        <f>IF($A539&lt;&gt;"",'All Cases - Enter Cases'!K539,"")</f>
        <v/>
      </c>
      <c r="L539" t="str">
        <f>IF($A539&lt;&gt;"",'All Cases - Enter Cases'!L539,"")</f>
        <v/>
      </c>
      <c r="M539" t="str">
        <f>IF($A539&lt;&gt;"",'All Cases - Enter Cases'!M539,"")</f>
        <v/>
      </c>
    </row>
    <row r="540" spans="1:13" x14ac:dyDescent="0.35">
      <c r="A540" s="10" t="str">
        <f>IF('All Cases - Enter Cases'!$F540="Sindh",'All Cases - Enter Cases'!A540,"")</f>
        <v/>
      </c>
      <c r="B540" t="str">
        <f>IF($A540&lt;&gt;"",'All Cases - Enter Cases'!B540,"")</f>
        <v/>
      </c>
      <c r="C540" t="str">
        <f>IF($A540&lt;&gt;"",'All Cases - Enter Cases'!C540,"")</f>
        <v/>
      </c>
      <c r="D540" t="str">
        <f>IF($A540&lt;&gt;"",'All Cases - Enter Cases'!D540,"")</f>
        <v/>
      </c>
      <c r="E540" t="str">
        <f>IF($A540&lt;&gt;"",'All Cases - Enter Cases'!E540,"")</f>
        <v/>
      </c>
      <c r="F540" t="str">
        <f>IF($A540&lt;&gt;"",'All Cases - Enter Cases'!F540,"")</f>
        <v/>
      </c>
      <c r="G540" t="str">
        <f>IF($A540&lt;&gt;"",'All Cases - Enter Cases'!G540,"")</f>
        <v/>
      </c>
      <c r="H540" t="str">
        <f>IF($A540&lt;&gt;"",'All Cases - Enter Cases'!H540,"")</f>
        <v/>
      </c>
      <c r="I540" t="str">
        <f>IF($A540&lt;&gt;"",'All Cases - Enter Cases'!I540,"")</f>
        <v/>
      </c>
      <c r="J540" t="str">
        <f>IF($A540&lt;&gt;"",'All Cases - Enter Cases'!J540,"")</f>
        <v/>
      </c>
      <c r="K540" s="4" t="str">
        <f>IF($A540&lt;&gt;"",'All Cases - Enter Cases'!K540,"")</f>
        <v/>
      </c>
      <c r="L540" t="str">
        <f>IF($A540&lt;&gt;"",'All Cases - Enter Cases'!L540,"")</f>
        <v/>
      </c>
      <c r="M540" t="str">
        <f>IF($A540&lt;&gt;"",'All Cases - Enter Cases'!M540,"")</f>
        <v/>
      </c>
    </row>
    <row r="541" spans="1:13" x14ac:dyDescent="0.35">
      <c r="A541" s="10" t="str">
        <f>IF('All Cases - Enter Cases'!$F541="Sindh",'All Cases - Enter Cases'!A541,"")</f>
        <v/>
      </c>
      <c r="B541" t="str">
        <f>IF($A541&lt;&gt;"",'All Cases - Enter Cases'!B541,"")</f>
        <v/>
      </c>
      <c r="C541" t="str">
        <f>IF($A541&lt;&gt;"",'All Cases - Enter Cases'!C541,"")</f>
        <v/>
      </c>
      <c r="D541" t="str">
        <f>IF($A541&lt;&gt;"",'All Cases - Enter Cases'!D541,"")</f>
        <v/>
      </c>
      <c r="E541" t="str">
        <f>IF($A541&lt;&gt;"",'All Cases - Enter Cases'!E541,"")</f>
        <v/>
      </c>
      <c r="F541" t="str">
        <f>IF($A541&lt;&gt;"",'All Cases - Enter Cases'!F541,"")</f>
        <v/>
      </c>
      <c r="G541" t="str">
        <f>IF($A541&lt;&gt;"",'All Cases - Enter Cases'!G541,"")</f>
        <v/>
      </c>
      <c r="H541" t="str">
        <f>IF($A541&lt;&gt;"",'All Cases - Enter Cases'!H541,"")</f>
        <v/>
      </c>
      <c r="I541" t="str">
        <f>IF($A541&lt;&gt;"",'All Cases - Enter Cases'!I541,"")</f>
        <v/>
      </c>
      <c r="J541" t="str">
        <f>IF($A541&lt;&gt;"",'All Cases - Enter Cases'!J541,"")</f>
        <v/>
      </c>
      <c r="K541" s="4" t="str">
        <f>IF($A541&lt;&gt;"",'All Cases - Enter Cases'!K541,"")</f>
        <v/>
      </c>
      <c r="L541" t="str">
        <f>IF($A541&lt;&gt;"",'All Cases - Enter Cases'!L541,"")</f>
        <v/>
      </c>
      <c r="M541" t="str">
        <f>IF($A541&lt;&gt;"",'All Cases - Enter Cases'!M541,"")</f>
        <v/>
      </c>
    </row>
    <row r="542" spans="1:13" x14ac:dyDescent="0.35">
      <c r="A542" s="10" t="str">
        <f>IF('All Cases - Enter Cases'!$F542="Sindh",'All Cases - Enter Cases'!A542,"")</f>
        <v/>
      </c>
      <c r="B542" t="str">
        <f>IF($A542&lt;&gt;"",'All Cases - Enter Cases'!B542,"")</f>
        <v/>
      </c>
      <c r="C542" t="str">
        <f>IF($A542&lt;&gt;"",'All Cases - Enter Cases'!C542,"")</f>
        <v/>
      </c>
      <c r="D542" t="str">
        <f>IF($A542&lt;&gt;"",'All Cases - Enter Cases'!D542,"")</f>
        <v/>
      </c>
      <c r="E542" t="str">
        <f>IF($A542&lt;&gt;"",'All Cases - Enter Cases'!E542,"")</f>
        <v/>
      </c>
      <c r="F542" t="str">
        <f>IF($A542&lt;&gt;"",'All Cases - Enter Cases'!F542,"")</f>
        <v/>
      </c>
      <c r="G542" t="str">
        <f>IF($A542&lt;&gt;"",'All Cases - Enter Cases'!G542,"")</f>
        <v/>
      </c>
      <c r="H542" t="str">
        <f>IF($A542&lt;&gt;"",'All Cases - Enter Cases'!H542,"")</f>
        <v/>
      </c>
      <c r="I542" t="str">
        <f>IF($A542&lt;&gt;"",'All Cases - Enter Cases'!I542,"")</f>
        <v/>
      </c>
      <c r="J542" t="str">
        <f>IF($A542&lt;&gt;"",'All Cases - Enter Cases'!J542,"")</f>
        <v/>
      </c>
      <c r="K542" s="4" t="str">
        <f>IF($A542&lt;&gt;"",'All Cases - Enter Cases'!K542,"")</f>
        <v/>
      </c>
      <c r="L542" t="str">
        <f>IF($A542&lt;&gt;"",'All Cases - Enter Cases'!L542,"")</f>
        <v/>
      </c>
      <c r="M542" t="str">
        <f>IF($A542&lt;&gt;"",'All Cases - Enter Cases'!M542,"")</f>
        <v/>
      </c>
    </row>
    <row r="543" spans="1:13" x14ac:dyDescent="0.35">
      <c r="A543" s="10" t="str">
        <f>IF('All Cases - Enter Cases'!$F543="Sindh",'All Cases - Enter Cases'!A543,"")</f>
        <v/>
      </c>
      <c r="B543" t="str">
        <f>IF($A543&lt;&gt;"",'All Cases - Enter Cases'!B543,"")</f>
        <v/>
      </c>
      <c r="C543" t="str">
        <f>IF($A543&lt;&gt;"",'All Cases - Enter Cases'!C543,"")</f>
        <v/>
      </c>
      <c r="D543" t="str">
        <f>IF($A543&lt;&gt;"",'All Cases - Enter Cases'!D543,"")</f>
        <v/>
      </c>
      <c r="E543" t="str">
        <f>IF($A543&lt;&gt;"",'All Cases - Enter Cases'!E543,"")</f>
        <v/>
      </c>
      <c r="F543" t="str">
        <f>IF($A543&lt;&gt;"",'All Cases - Enter Cases'!F543,"")</f>
        <v/>
      </c>
      <c r="G543" t="str">
        <f>IF($A543&lt;&gt;"",'All Cases - Enter Cases'!G543,"")</f>
        <v/>
      </c>
      <c r="H543" t="str">
        <f>IF($A543&lt;&gt;"",'All Cases - Enter Cases'!H543,"")</f>
        <v/>
      </c>
      <c r="I543" t="str">
        <f>IF($A543&lt;&gt;"",'All Cases - Enter Cases'!I543,"")</f>
        <v/>
      </c>
      <c r="J543" t="str">
        <f>IF($A543&lt;&gt;"",'All Cases - Enter Cases'!J543,"")</f>
        <v/>
      </c>
      <c r="K543" s="4" t="str">
        <f>IF($A543&lt;&gt;"",'All Cases - Enter Cases'!K543,"")</f>
        <v/>
      </c>
      <c r="L543" t="str">
        <f>IF($A543&lt;&gt;"",'All Cases - Enter Cases'!L543,"")</f>
        <v/>
      </c>
      <c r="M543" t="str">
        <f>IF($A543&lt;&gt;"",'All Cases - Enter Cases'!M543,"")</f>
        <v/>
      </c>
    </row>
    <row r="544" spans="1:13" x14ac:dyDescent="0.35">
      <c r="A544" s="10" t="str">
        <f>IF('All Cases - Enter Cases'!$F544="Sindh",'All Cases - Enter Cases'!A544,"")</f>
        <v/>
      </c>
      <c r="B544" t="str">
        <f>IF($A544&lt;&gt;"",'All Cases - Enter Cases'!B544,"")</f>
        <v/>
      </c>
      <c r="C544" t="str">
        <f>IF($A544&lt;&gt;"",'All Cases - Enter Cases'!C544,"")</f>
        <v/>
      </c>
      <c r="D544" t="str">
        <f>IF($A544&lt;&gt;"",'All Cases - Enter Cases'!D544,"")</f>
        <v/>
      </c>
      <c r="E544" t="str">
        <f>IF($A544&lt;&gt;"",'All Cases - Enter Cases'!E544,"")</f>
        <v/>
      </c>
      <c r="F544" t="str">
        <f>IF($A544&lt;&gt;"",'All Cases - Enter Cases'!F544,"")</f>
        <v/>
      </c>
      <c r="G544" t="str">
        <f>IF($A544&lt;&gt;"",'All Cases - Enter Cases'!G544,"")</f>
        <v/>
      </c>
      <c r="H544" t="str">
        <f>IF($A544&lt;&gt;"",'All Cases - Enter Cases'!H544,"")</f>
        <v/>
      </c>
      <c r="I544" t="str">
        <f>IF($A544&lt;&gt;"",'All Cases - Enter Cases'!I544,"")</f>
        <v/>
      </c>
      <c r="J544" t="str">
        <f>IF($A544&lt;&gt;"",'All Cases - Enter Cases'!J544,"")</f>
        <v/>
      </c>
      <c r="K544" s="4" t="str">
        <f>IF($A544&lt;&gt;"",'All Cases - Enter Cases'!K544,"")</f>
        <v/>
      </c>
      <c r="L544" t="str">
        <f>IF($A544&lt;&gt;"",'All Cases - Enter Cases'!L544,"")</f>
        <v/>
      </c>
      <c r="M544" t="str">
        <f>IF($A544&lt;&gt;"",'All Cases - Enter Cases'!M544,"")</f>
        <v/>
      </c>
    </row>
    <row r="545" spans="1:13" x14ac:dyDescent="0.35">
      <c r="A545" s="10" t="str">
        <f>IF('All Cases - Enter Cases'!$F545="Sindh",'All Cases - Enter Cases'!A545,"")</f>
        <v/>
      </c>
      <c r="B545" t="str">
        <f>IF($A545&lt;&gt;"",'All Cases - Enter Cases'!B545,"")</f>
        <v/>
      </c>
      <c r="C545" t="str">
        <f>IF($A545&lt;&gt;"",'All Cases - Enter Cases'!C545,"")</f>
        <v/>
      </c>
      <c r="D545" t="str">
        <f>IF($A545&lt;&gt;"",'All Cases - Enter Cases'!D545,"")</f>
        <v/>
      </c>
      <c r="E545" t="str">
        <f>IF($A545&lt;&gt;"",'All Cases - Enter Cases'!E545,"")</f>
        <v/>
      </c>
      <c r="F545" t="str">
        <f>IF($A545&lt;&gt;"",'All Cases - Enter Cases'!F545,"")</f>
        <v/>
      </c>
      <c r="G545" t="str">
        <f>IF($A545&lt;&gt;"",'All Cases - Enter Cases'!G545,"")</f>
        <v/>
      </c>
      <c r="H545" t="str">
        <f>IF($A545&lt;&gt;"",'All Cases - Enter Cases'!H545,"")</f>
        <v/>
      </c>
      <c r="I545" t="str">
        <f>IF($A545&lt;&gt;"",'All Cases - Enter Cases'!I545,"")</f>
        <v/>
      </c>
      <c r="J545" t="str">
        <f>IF($A545&lt;&gt;"",'All Cases - Enter Cases'!J545,"")</f>
        <v/>
      </c>
      <c r="K545" s="4" t="str">
        <f>IF($A545&lt;&gt;"",'All Cases - Enter Cases'!K545,"")</f>
        <v/>
      </c>
      <c r="L545" t="str">
        <f>IF($A545&lt;&gt;"",'All Cases - Enter Cases'!L545,"")</f>
        <v/>
      </c>
      <c r="M545" t="str">
        <f>IF($A545&lt;&gt;"",'All Cases - Enter Cases'!M545,"")</f>
        <v/>
      </c>
    </row>
    <row r="546" spans="1:13" x14ac:dyDescent="0.35">
      <c r="A546" s="10" t="str">
        <f>IF('All Cases - Enter Cases'!$F546="Sindh",'All Cases - Enter Cases'!A546,"")</f>
        <v/>
      </c>
      <c r="B546" t="str">
        <f>IF($A546&lt;&gt;"",'All Cases - Enter Cases'!B546,"")</f>
        <v/>
      </c>
      <c r="C546" t="str">
        <f>IF($A546&lt;&gt;"",'All Cases - Enter Cases'!C546,"")</f>
        <v/>
      </c>
      <c r="D546" t="str">
        <f>IF($A546&lt;&gt;"",'All Cases - Enter Cases'!D546,"")</f>
        <v/>
      </c>
      <c r="E546" t="str">
        <f>IF($A546&lt;&gt;"",'All Cases - Enter Cases'!E546,"")</f>
        <v/>
      </c>
      <c r="F546" t="str">
        <f>IF($A546&lt;&gt;"",'All Cases - Enter Cases'!F546,"")</f>
        <v/>
      </c>
      <c r="G546" t="str">
        <f>IF($A546&lt;&gt;"",'All Cases - Enter Cases'!G546,"")</f>
        <v/>
      </c>
      <c r="H546" t="str">
        <f>IF($A546&lt;&gt;"",'All Cases - Enter Cases'!H546,"")</f>
        <v/>
      </c>
      <c r="I546" t="str">
        <f>IF($A546&lt;&gt;"",'All Cases - Enter Cases'!I546,"")</f>
        <v/>
      </c>
      <c r="J546" t="str">
        <f>IF($A546&lt;&gt;"",'All Cases - Enter Cases'!J546,"")</f>
        <v/>
      </c>
      <c r="K546" s="4" t="str">
        <f>IF($A546&lt;&gt;"",'All Cases - Enter Cases'!K546,"")</f>
        <v/>
      </c>
      <c r="L546" t="str">
        <f>IF($A546&lt;&gt;"",'All Cases - Enter Cases'!L546,"")</f>
        <v/>
      </c>
      <c r="M546" t="str">
        <f>IF($A546&lt;&gt;"",'All Cases - Enter Cases'!M546,"")</f>
        <v/>
      </c>
    </row>
    <row r="547" spans="1:13" x14ac:dyDescent="0.35">
      <c r="A547" s="10" t="str">
        <f>IF('All Cases - Enter Cases'!$F547="Sindh",'All Cases - Enter Cases'!A547,"")</f>
        <v/>
      </c>
      <c r="B547" t="str">
        <f>IF($A547&lt;&gt;"",'All Cases - Enter Cases'!B547,"")</f>
        <v/>
      </c>
      <c r="C547" t="str">
        <f>IF($A547&lt;&gt;"",'All Cases - Enter Cases'!C547,"")</f>
        <v/>
      </c>
      <c r="D547" t="str">
        <f>IF($A547&lt;&gt;"",'All Cases - Enter Cases'!D547,"")</f>
        <v/>
      </c>
      <c r="E547" t="str">
        <f>IF($A547&lt;&gt;"",'All Cases - Enter Cases'!E547,"")</f>
        <v/>
      </c>
      <c r="F547" t="str">
        <f>IF($A547&lt;&gt;"",'All Cases - Enter Cases'!F547,"")</f>
        <v/>
      </c>
      <c r="G547" t="str">
        <f>IF($A547&lt;&gt;"",'All Cases - Enter Cases'!G547,"")</f>
        <v/>
      </c>
      <c r="H547" t="str">
        <f>IF($A547&lt;&gt;"",'All Cases - Enter Cases'!H547,"")</f>
        <v/>
      </c>
      <c r="I547" t="str">
        <f>IF($A547&lt;&gt;"",'All Cases - Enter Cases'!I547,"")</f>
        <v/>
      </c>
      <c r="J547" t="str">
        <f>IF($A547&lt;&gt;"",'All Cases - Enter Cases'!J547,"")</f>
        <v/>
      </c>
      <c r="K547" s="4" t="str">
        <f>IF($A547&lt;&gt;"",'All Cases - Enter Cases'!K547,"")</f>
        <v/>
      </c>
      <c r="L547" t="str">
        <f>IF($A547&lt;&gt;"",'All Cases - Enter Cases'!L547,"")</f>
        <v/>
      </c>
      <c r="M547" t="str">
        <f>IF($A547&lt;&gt;"",'All Cases - Enter Cases'!M547,"")</f>
        <v/>
      </c>
    </row>
    <row r="548" spans="1:13" x14ac:dyDescent="0.35">
      <c r="A548" s="10" t="str">
        <f>IF('All Cases - Enter Cases'!$F548="Sindh",'All Cases - Enter Cases'!A548,"")</f>
        <v/>
      </c>
      <c r="B548" t="str">
        <f>IF($A548&lt;&gt;"",'All Cases - Enter Cases'!B548,"")</f>
        <v/>
      </c>
      <c r="C548" t="str">
        <f>IF($A548&lt;&gt;"",'All Cases - Enter Cases'!C548,"")</f>
        <v/>
      </c>
      <c r="D548" t="str">
        <f>IF($A548&lt;&gt;"",'All Cases - Enter Cases'!D548,"")</f>
        <v/>
      </c>
      <c r="E548" t="str">
        <f>IF($A548&lt;&gt;"",'All Cases - Enter Cases'!E548,"")</f>
        <v/>
      </c>
      <c r="F548" t="str">
        <f>IF($A548&lt;&gt;"",'All Cases - Enter Cases'!F548,"")</f>
        <v/>
      </c>
      <c r="G548" t="str">
        <f>IF($A548&lt;&gt;"",'All Cases - Enter Cases'!G548,"")</f>
        <v/>
      </c>
      <c r="H548" t="str">
        <f>IF($A548&lt;&gt;"",'All Cases - Enter Cases'!H548,"")</f>
        <v/>
      </c>
      <c r="I548" t="str">
        <f>IF($A548&lt;&gt;"",'All Cases - Enter Cases'!I548,"")</f>
        <v/>
      </c>
      <c r="J548" t="str">
        <f>IF($A548&lt;&gt;"",'All Cases - Enter Cases'!J548,"")</f>
        <v/>
      </c>
      <c r="K548" s="4" t="str">
        <f>IF($A548&lt;&gt;"",'All Cases - Enter Cases'!K548,"")</f>
        <v/>
      </c>
      <c r="L548" t="str">
        <f>IF($A548&lt;&gt;"",'All Cases - Enter Cases'!L548,"")</f>
        <v/>
      </c>
      <c r="M548" t="str">
        <f>IF($A548&lt;&gt;"",'All Cases - Enter Cases'!M548,"")</f>
        <v/>
      </c>
    </row>
    <row r="549" spans="1:13" x14ac:dyDescent="0.35">
      <c r="A549" s="10" t="str">
        <f>IF('All Cases - Enter Cases'!$F549="Sindh",'All Cases - Enter Cases'!A549,"")</f>
        <v/>
      </c>
      <c r="B549" t="str">
        <f>IF($A549&lt;&gt;"",'All Cases - Enter Cases'!B549,"")</f>
        <v/>
      </c>
      <c r="C549" t="str">
        <f>IF($A549&lt;&gt;"",'All Cases - Enter Cases'!C549,"")</f>
        <v/>
      </c>
      <c r="D549" t="str">
        <f>IF($A549&lt;&gt;"",'All Cases - Enter Cases'!D549,"")</f>
        <v/>
      </c>
      <c r="E549" t="str">
        <f>IF($A549&lt;&gt;"",'All Cases - Enter Cases'!E549,"")</f>
        <v/>
      </c>
      <c r="F549" t="str">
        <f>IF($A549&lt;&gt;"",'All Cases - Enter Cases'!F549,"")</f>
        <v/>
      </c>
      <c r="G549" t="str">
        <f>IF($A549&lt;&gt;"",'All Cases - Enter Cases'!G549,"")</f>
        <v/>
      </c>
      <c r="H549" t="str">
        <f>IF($A549&lt;&gt;"",'All Cases - Enter Cases'!H549,"")</f>
        <v/>
      </c>
      <c r="I549" t="str">
        <f>IF($A549&lt;&gt;"",'All Cases - Enter Cases'!I549,"")</f>
        <v/>
      </c>
      <c r="J549" t="str">
        <f>IF($A549&lt;&gt;"",'All Cases - Enter Cases'!J549,"")</f>
        <v/>
      </c>
      <c r="K549" s="4" t="str">
        <f>IF($A549&lt;&gt;"",'All Cases - Enter Cases'!K549,"")</f>
        <v/>
      </c>
      <c r="L549" t="str">
        <f>IF($A549&lt;&gt;"",'All Cases - Enter Cases'!L549,"")</f>
        <v/>
      </c>
      <c r="M549" t="str">
        <f>IF($A549&lt;&gt;"",'All Cases - Enter Cases'!M549,"")</f>
        <v/>
      </c>
    </row>
    <row r="550" spans="1:13" x14ac:dyDescent="0.35">
      <c r="A550" s="10" t="str">
        <f>IF('All Cases - Enter Cases'!$F550="Sindh",'All Cases - Enter Cases'!A550,"")</f>
        <v/>
      </c>
      <c r="B550" t="str">
        <f>IF($A550&lt;&gt;"",'All Cases - Enter Cases'!B550,"")</f>
        <v/>
      </c>
      <c r="C550" t="str">
        <f>IF($A550&lt;&gt;"",'All Cases - Enter Cases'!C550,"")</f>
        <v/>
      </c>
      <c r="D550" t="str">
        <f>IF($A550&lt;&gt;"",'All Cases - Enter Cases'!D550,"")</f>
        <v/>
      </c>
      <c r="E550" t="str">
        <f>IF($A550&lt;&gt;"",'All Cases - Enter Cases'!E550,"")</f>
        <v/>
      </c>
      <c r="F550" t="str">
        <f>IF($A550&lt;&gt;"",'All Cases - Enter Cases'!F550,"")</f>
        <v/>
      </c>
      <c r="G550" t="str">
        <f>IF($A550&lt;&gt;"",'All Cases - Enter Cases'!G550,"")</f>
        <v/>
      </c>
      <c r="H550" t="str">
        <f>IF($A550&lt;&gt;"",'All Cases - Enter Cases'!H550,"")</f>
        <v/>
      </c>
      <c r="I550" t="str">
        <f>IF($A550&lt;&gt;"",'All Cases - Enter Cases'!I550,"")</f>
        <v/>
      </c>
      <c r="J550" t="str">
        <f>IF($A550&lt;&gt;"",'All Cases - Enter Cases'!J550,"")</f>
        <v/>
      </c>
      <c r="K550" s="4" t="str">
        <f>IF($A550&lt;&gt;"",'All Cases - Enter Cases'!K550,"")</f>
        <v/>
      </c>
      <c r="L550" t="str">
        <f>IF($A550&lt;&gt;"",'All Cases - Enter Cases'!L550,"")</f>
        <v/>
      </c>
      <c r="M550" t="str">
        <f>IF($A550&lt;&gt;"",'All Cases - Enter Cases'!M550,"")</f>
        <v/>
      </c>
    </row>
    <row r="551" spans="1:13" x14ac:dyDescent="0.35">
      <c r="A551" s="10" t="str">
        <f>IF('All Cases - Enter Cases'!$F551="Sindh",'All Cases - Enter Cases'!A551,"")</f>
        <v/>
      </c>
      <c r="B551" t="str">
        <f>IF($A551&lt;&gt;"",'All Cases - Enter Cases'!B551,"")</f>
        <v/>
      </c>
      <c r="C551" t="str">
        <f>IF($A551&lt;&gt;"",'All Cases - Enter Cases'!C551,"")</f>
        <v/>
      </c>
      <c r="D551" t="str">
        <f>IF($A551&lt;&gt;"",'All Cases - Enter Cases'!D551,"")</f>
        <v/>
      </c>
      <c r="E551" t="str">
        <f>IF($A551&lt;&gt;"",'All Cases - Enter Cases'!E551,"")</f>
        <v/>
      </c>
      <c r="F551" t="str">
        <f>IF($A551&lt;&gt;"",'All Cases - Enter Cases'!F551,"")</f>
        <v/>
      </c>
      <c r="G551" t="str">
        <f>IF($A551&lt;&gt;"",'All Cases - Enter Cases'!G551,"")</f>
        <v/>
      </c>
      <c r="H551" t="str">
        <f>IF($A551&lt;&gt;"",'All Cases - Enter Cases'!H551,"")</f>
        <v/>
      </c>
      <c r="I551" t="str">
        <f>IF($A551&lt;&gt;"",'All Cases - Enter Cases'!I551,"")</f>
        <v/>
      </c>
      <c r="J551" t="str">
        <f>IF($A551&lt;&gt;"",'All Cases - Enter Cases'!J551,"")</f>
        <v/>
      </c>
      <c r="K551" s="4" t="str">
        <f>IF($A551&lt;&gt;"",'All Cases - Enter Cases'!K551,"")</f>
        <v/>
      </c>
      <c r="L551" t="str">
        <f>IF($A551&lt;&gt;"",'All Cases - Enter Cases'!L551,"")</f>
        <v/>
      </c>
      <c r="M551" t="str">
        <f>IF($A551&lt;&gt;"",'All Cases - Enter Cases'!M551,"")</f>
        <v/>
      </c>
    </row>
    <row r="552" spans="1:13" x14ac:dyDescent="0.35">
      <c r="A552" s="10" t="str">
        <f>IF('All Cases - Enter Cases'!$F552="Sindh",'All Cases - Enter Cases'!A552,"")</f>
        <v/>
      </c>
      <c r="B552" t="str">
        <f>IF($A552&lt;&gt;"",'All Cases - Enter Cases'!B552,"")</f>
        <v/>
      </c>
      <c r="C552" t="str">
        <f>IF($A552&lt;&gt;"",'All Cases - Enter Cases'!C552,"")</f>
        <v/>
      </c>
      <c r="D552" t="str">
        <f>IF($A552&lt;&gt;"",'All Cases - Enter Cases'!D552,"")</f>
        <v/>
      </c>
      <c r="E552" t="str">
        <f>IF($A552&lt;&gt;"",'All Cases - Enter Cases'!E552,"")</f>
        <v/>
      </c>
      <c r="F552" t="str">
        <f>IF($A552&lt;&gt;"",'All Cases - Enter Cases'!F552,"")</f>
        <v/>
      </c>
      <c r="G552" t="str">
        <f>IF($A552&lt;&gt;"",'All Cases - Enter Cases'!G552,"")</f>
        <v/>
      </c>
      <c r="H552" t="str">
        <f>IF($A552&lt;&gt;"",'All Cases - Enter Cases'!H552,"")</f>
        <v/>
      </c>
      <c r="I552" t="str">
        <f>IF($A552&lt;&gt;"",'All Cases - Enter Cases'!I552,"")</f>
        <v/>
      </c>
      <c r="J552" t="str">
        <f>IF($A552&lt;&gt;"",'All Cases - Enter Cases'!J552,"")</f>
        <v/>
      </c>
      <c r="K552" s="4" t="str">
        <f>IF($A552&lt;&gt;"",'All Cases - Enter Cases'!K552,"")</f>
        <v/>
      </c>
      <c r="L552" t="str">
        <f>IF($A552&lt;&gt;"",'All Cases - Enter Cases'!L552,"")</f>
        <v/>
      </c>
      <c r="M552" t="str">
        <f>IF($A552&lt;&gt;"",'All Cases - Enter Cases'!M552,"")</f>
        <v/>
      </c>
    </row>
    <row r="553" spans="1:13" x14ac:dyDescent="0.35">
      <c r="A553" s="10" t="str">
        <f>IF('All Cases - Enter Cases'!$F553="Sindh",'All Cases - Enter Cases'!A553,"")</f>
        <v/>
      </c>
      <c r="B553" t="str">
        <f>IF($A553&lt;&gt;"",'All Cases - Enter Cases'!B553,"")</f>
        <v/>
      </c>
      <c r="C553" t="str">
        <f>IF($A553&lt;&gt;"",'All Cases - Enter Cases'!C553,"")</f>
        <v/>
      </c>
      <c r="D553" t="str">
        <f>IF($A553&lt;&gt;"",'All Cases - Enter Cases'!D553,"")</f>
        <v/>
      </c>
      <c r="E553" t="str">
        <f>IF($A553&lt;&gt;"",'All Cases - Enter Cases'!E553,"")</f>
        <v/>
      </c>
      <c r="F553" t="str">
        <f>IF($A553&lt;&gt;"",'All Cases - Enter Cases'!F553,"")</f>
        <v/>
      </c>
      <c r="G553" t="str">
        <f>IF($A553&lt;&gt;"",'All Cases - Enter Cases'!G553,"")</f>
        <v/>
      </c>
      <c r="H553" t="str">
        <f>IF($A553&lt;&gt;"",'All Cases - Enter Cases'!H553,"")</f>
        <v/>
      </c>
      <c r="I553" t="str">
        <f>IF($A553&lt;&gt;"",'All Cases - Enter Cases'!I553,"")</f>
        <v/>
      </c>
      <c r="J553" t="str">
        <f>IF($A553&lt;&gt;"",'All Cases - Enter Cases'!J553,"")</f>
        <v/>
      </c>
      <c r="K553" s="4" t="str">
        <f>IF($A553&lt;&gt;"",'All Cases - Enter Cases'!K553,"")</f>
        <v/>
      </c>
      <c r="L553" t="str">
        <f>IF($A553&lt;&gt;"",'All Cases - Enter Cases'!L553,"")</f>
        <v/>
      </c>
      <c r="M553" t="str">
        <f>IF($A553&lt;&gt;"",'All Cases - Enter Cases'!M553,"")</f>
        <v/>
      </c>
    </row>
    <row r="554" spans="1:13" x14ac:dyDescent="0.35">
      <c r="A554" s="10" t="str">
        <f>IF('All Cases - Enter Cases'!$F554="Sindh",'All Cases - Enter Cases'!A554,"")</f>
        <v/>
      </c>
      <c r="B554" t="str">
        <f>IF($A554&lt;&gt;"",'All Cases - Enter Cases'!B554,"")</f>
        <v/>
      </c>
      <c r="C554" t="str">
        <f>IF($A554&lt;&gt;"",'All Cases - Enter Cases'!C554,"")</f>
        <v/>
      </c>
      <c r="D554" t="str">
        <f>IF($A554&lt;&gt;"",'All Cases - Enter Cases'!D554,"")</f>
        <v/>
      </c>
      <c r="E554" t="str">
        <f>IF($A554&lt;&gt;"",'All Cases - Enter Cases'!E554,"")</f>
        <v/>
      </c>
      <c r="F554" t="str">
        <f>IF($A554&lt;&gt;"",'All Cases - Enter Cases'!F554,"")</f>
        <v/>
      </c>
      <c r="G554" t="str">
        <f>IF($A554&lt;&gt;"",'All Cases - Enter Cases'!G554,"")</f>
        <v/>
      </c>
      <c r="H554" t="str">
        <f>IF($A554&lt;&gt;"",'All Cases - Enter Cases'!H554,"")</f>
        <v/>
      </c>
      <c r="I554" t="str">
        <f>IF($A554&lt;&gt;"",'All Cases - Enter Cases'!I554,"")</f>
        <v/>
      </c>
      <c r="J554" t="str">
        <f>IF($A554&lt;&gt;"",'All Cases - Enter Cases'!J554,"")</f>
        <v/>
      </c>
      <c r="K554" s="4" t="str">
        <f>IF($A554&lt;&gt;"",'All Cases - Enter Cases'!K554,"")</f>
        <v/>
      </c>
      <c r="L554" t="str">
        <f>IF($A554&lt;&gt;"",'All Cases - Enter Cases'!L554,"")</f>
        <v/>
      </c>
      <c r="M554" t="str">
        <f>IF($A554&lt;&gt;"",'All Cases - Enter Cases'!M554,"")</f>
        <v/>
      </c>
    </row>
    <row r="555" spans="1:13" x14ac:dyDescent="0.35">
      <c r="A555" s="10" t="str">
        <f>IF('All Cases - Enter Cases'!$F555="Sindh",'All Cases - Enter Cases'!A555,"")</f>
        <v/>
      </c>
      <c r="B555" t="str">
        <f>IF($A555&lt;&gt;"",'All Cases - Enter Cases'!B555,"")</f>
        <v/>
      </c>
      <c r="C555" t="str">
        <f>IF($A555&lt;&gt;"",'All Cases - Enter Cases'!C555,"")</f>
        <v/>
      </c>
      <c r="D555" t="str">
        <f>IF($A555&lt;&gt;"",'All Cases - Enter Cases'!D555,"")</f>
        <v/>
      </c>
      <c r="E555" t="str">
        <f>IF($A555&lt;&gt;"",'All Cases - Enter Cases'!E555,"")</f>
        <v/>
      </c>
      <c r="F555" t="str">
        <f>IF($A555&lt;&gt;"",'All Cases - Enter Cases'!F555,"")</f>
        <v/>
      </c>
      <c r="G555" t="str">
        <f>IF($A555&lt;&gt;"",'All Cases - Enter Cases'!G555,"")</f>
        <v/>
      </c>
      <c r="H555" t="str">
        <f>IF($A555&lt;&gt;"",'All Cases - Enter Cases'!H555,"")</f>
        <v/>
      </c>
      <c r="I555" t="str">
        <f>IF($A555&lt;&gt;"",'All Cases - Enter Cases'!I555,"")</f>
        <v/>
      </c>
      <c r="J555" t="str">
        <f>IF($A555&lt;&gt;"",'All Cases - Enter Cases'!J555,"")</f>
        <v/>
      </c>
      <c r="K555" s="4" t="str">
        <f>IF($A555&lt;&gt;"",'All Cases - Enter Cases'!K555,"")</f>
        <v/>
      </c>
      <c r="L555" t="str">
        <f>IF($A555&lt;&gt;"",'All Cases - Enter Cases'!L555,"")</f>
        <v/>
      </c>
      <c r="M555" t="str">
        <f>IF($A555&lt;&gt;"",'All Cases - Enter Cases'!M555,"")</f>
        <v/>
      </c>
    </row>
    <row r="556" spans="1:13" x14ac:dyDescent="0.35">
      <c r="A556" s="10" t="str">
        <f>IF('All Cases - Enter Cases'!$F556="Sindh",'All Cases - Enter Cases'!A556,"")</f>
        <v/>
      </c>
      <c r="B556" t="str">
        <f>IF($A556&lt;&gt;"",'All Cases - Enter Cases'!B556,"")</f>
        <v/>
      </c>
      <c r="C556" t="str">
        <f>IF($A556&lt;&gt;"",'All Cases - Enter Cases'!C556,"")</f>
        <v/>
      </c>
      <c r="D556" t="str">
        <f>IF($A556&lt;&gt;"",'All Cases - Enter Cases'!D556,"")</f>
        <v/>
      </c>
      <c r="E556" t="str">
        <f>IF($A556&lt;&gt;"",'All Cases - Enter Cases'!E556,"")</f>
        <v/>
      </c>
      <c r="F556" t="str">
        <f>IF($A556&lt;&gt;"",'All Cases - Enter Cases'!F556,"")</f>
        <v/>
      </c>
      <c r="G556" t="str">
        <f>IF($A556&lt;&gt;"",'All Cases - Enter Cases'!G556,"")</f>
        <v/>
      </c>
      <c r="H556" t="str">
        <f>IF($A556&lt;&gt;"",'All Cases - Enter Cases'!H556,"")</f>
        <v/>
      </c>
      <c r="I556" t="str">
        <f>IF($A556&lt;&gt;"",'All Cases - Enter Cases'!I556,"")</f>
        <v/>
      </c>
      <c r="J556" t="str">
        <f>IF($A556&lt;&gt;"",'All Cases - Enter Cases'!J556,"")</f>
        <v/>
      </c>
      <c r="K556" s="4" t="str">
        <f>IF($A556&lt;&gt;"",'All Cases - Enter Cases'!K556,"")</f>
        <v/>
      </c>
      <c r="L556" t="str">
        <f>IF($A556&lt;&gt;"",'All Cases - Enter Cases'!L556,"")</f>
        <v/>
      </c>
      <c r="M556" t="str">
        <f>IF($A556&lt;&gt;"",'All Cases - Enter Cases'!M556,"")</f>
        <v/>
      </c>
    </row>
    <row r="557" spans="1:13" x14ac:dyDescent="0.35">
      <c r="A557" s="10" t="str">
        <f>IF('All Cases - Enter Cases'!$F557="Sindh",'All Cases - Enter Cases'!A557,"")</f>
        <v/>
      </c>
      <c r="B557" t="str">
        <f>IF($A557&lt;&gt;"",'All Cases - Enter Cases'!B557,"")</f>
        <v/>
      </c>
      <c r="C557" t="str">
        <f>IF($A557&lt;&gt;"",'All Cases - Enter Cases'!C557,"")</f>
        <v/>
      </c>
      <c r="D557" t="str">
        <f>IF($A557&lt;&gt;"",'All Cases - Enter Cases'!D557,"")</f>
        <v/>
      </c>
      <c r="E557" t="str">
        <f>IF($A557&lt;&gt;"",'All Cases - Enter Cases'!E557,"")</f>
        <v/>
      </c>
      <c r="F557" t="str">
        <f>IF($A557&lt;&gt;"",'All Cases - Enter Cases'!F557,"")</f>
        <v/>
      </c>
      <c r="G557" t="str">
        <f>IF($A557&lt;&gt;"",'All Cases - Enter Cases'!G557,"")</f>
        <v/>
      </c>
      <c r="H557" t="str">
        <f>IF($A557&lt;&gt;"",'All Cases - Enter Cases'!H557,"")</f>
        <v/>
      </c>
      <c r="I557" t="str">
        <f>IF($A557&lt;&gt;"",'All Cases - Enter Cases'!I557,"")</f>
        <v/>
      </c>
      <c r="J557" t="str">
        <f>IF($A557&lt;&gt;"",'All Cases - Enter Cases'!J557,"")</f>
        <v/>
      </c>
      <c r="K557" s="4" t="str">
        <f>IF($A557&lt;&gt;"",'All Cases - Enter Cases'!K557,"")</f>
        <v/>
      </c>
      <c r="L557" t="str">
        <f>IF($A557&lt;&gt;"",'All Cases - Enter Cases'!L557,"")</f>
        <v/>
      </c>
      <c r="M557" t="str">
        <f>IF($A557&lt;&gt;"",'All Cases - Enter Cases'!M557,"")</f>
        <v/>
      </c>
    </row>
    <row r="558" spans="1:13" x14ac:dyDescent="0.35">
      <c r="A558" s="10" t="str">
        <f>IF('All Cases - Enter Cases'!$F558="Sindh",'All Cases - Enter Cases'!A558,"")</f>
        <v/>
      </c>
      <c r="B558" t="str">
        <f>IF($A558&lt;&gt;"",'All Cases - Enter Cases'!B558,"")</f>
        <v/>
      </c>
      <c r="C558" t="str">
        <f>IF($A558&lt;&gt;"",'All Cases - Enter Cases'!C558,"")</f>
        <v/>
      </c>
      <c r="D558" t="str">
        <f>IF($A558&lt;&gt;"",'All Cases - Enter Cases'!D558,"")</f>
        <v/>
      </c>
      <c r="E558" t="str">
        <f>IF($A558&lt;&gt;"",'All Cases - Enter Cases'!E558,"")</f>
        <v/>
      </c>
      <c r="F558" t="str">
        <f>IF($A558&lt;&gt;"",'All Cases - Enter Cases'!F558,"")</f>
        <v/>
      </c>
      <c r="G558" t="str">
        <f>IF($A558&lt;&gt;"",'All Cases - Enter Cases'!G558,"")</f>
        <v/>
      </c>
      <c r="H558" t="str">
        <f>IF($A558&lt;&gt;"",'All Cases - Enter Cases'!H558,"")</f>
        <v/>
      </c>
      <c r="I558" t="str">
        <f>IF($A558&lt;&gt;"",'All Cases - Enter Cases'!I558,"")</f>
        <v/>
      </c>
      <c r="J558" t="str">
        <f>IF($A558&lt;&gt;"",'All Cases - Enter Cases'!J558,"")</f>
        <v/>
      </c>
      <c r="K558" s="4" t="str">
        <f>IF($A558&lt;&gt;"",'All Cases - Enter Cases'!K558,"")</f>
        <v/>
      </c>
      <c r="L558" t="str">
        <f>IF($A558&lt;&gt;"",'All Cases - Enter Cases'!L558,"")</f>
        <v/>
      </c>
      <c r="M558" t="str">
        <f>IF($A558&lt;&gt;"",'All Cases - Enter Cases'!M558,"")</f>
        <v/>
      </c>
    </row>
    <row r="559" spans="1:13" x14ac:dyDescent="0.35">
      <c r="A559" s="10" t="str">
        <f>IF('All Cases - Enter Cases'!$F559="Sindh",'All Cases - Enter Cases'!A559,"")</f>
        <v/>
      </c>
      <c r="B559" t="str">
        <f>IF($A559&lt;&gt;"",'All Cases - Enter Cases'!B559,"")</f>
        <v/>
      </c>
      <c r="C559" t="str">
        <f>IF($A559&lt;&gt;"",'All Cases - Enter Cases'!C559,"")</f>
        <v/>
      </c>
      <c r="D559" t="str">
        <f>IF($A559&lt;&gt;"",'All Cases - Enter Cases'!D559,"")</f>
        <v/>
      </c>
      <c r="E559" t="str">
        <f>IF($A559&lt;&gt;"",'All Cases - Enter Cases'!E559,"")</f>
        <v/>
      </c>
      <c r="F559" t="str">
        <f>IF($A559&lt;&gt;"",'All Cases - Enter Cases'!F559,"")</f>
        <v/>
      </c>
      <c r="G559" t="str">
        <f>IF($A559&lt;&gt;"",'All Cases - Enter Cases'!G559,"")</f>
        <v/>
      </c>
      <c r="H559" t="str">
        <f>IF($A559&lt;&gt;"",'All Cases - Enter Cases'!H559,"")</f>
        <v/>
      </c>
      <c r="I559" t="str">
        <f>IF($A559&lt;&gt;"",'All Cases - Enter Cases'!I559,"")</f>
        <v/>
      </c>
      <c r="J559" t="str">
        <f>IF($A559&lt;&gt;"",'All Cases - Enter Cases'!J559,"")</f>
        <v/>
      </c>
      <c r="K559" s="4" t="str">
        <f>IF($A559&lt;&gt;"",'All Cases - Enter Cases'!K559,"")</f>
        <v/>
      </c>
      <c r="L559" t="str">
        <f>IF($A559&lt;&gt;"",'All Cases - Enter Cases'!L559,"")</f>
        <v/>
      </c>
      <c r="M559" t="str">
        <f>IF($A559&lt;&gt;"",'All Cases - Enter Cases'!M559,"")</f>
        <v/>
      </c>
    </row>
    <row r="560" spans="1:13" x14ac:dyDescent="0.35">
      <c r="A560" s="10" t="str">
        <f>IF('All Cases - Enter Cases'!$F560="Sindh",'All Cases - Enter Cases'!A560,"")</f>
        <v/>
      </c>
      <c r="B560" t="str">
        <f>IF($A560&lt;&gt;"",'All Cases - Enter Cases'!B560,"")</f>
        <v/>
      </c>
      <c r="C560" t="str">
        <f>IF($A560&lt;&gt;"",'All Cases - Enter Cases'!C560,"")</f>
        <v/>
      </c>
      <c r="D560" t="str">
        <f>IF($A560&lt;&gt;"",'All Cases - Enter Cases'!D560,"")</f>
        <v/>
      </c>
      <c r="E560" t="str">
        <f>IF($A560&lt;&gt;"",'All Cases - Enter Cases'!E560,"")</f>
        <v/>
      </c>
      <c r="F560" t="str">
        <f>IF($A560&lt;&gt;"",'All Cases - Enter Cases'!F560,"")</f>
        <v/>
      </c>
      <c r="G560" t="str">
        <f>IF($A560&lt;&gt;"",'All Cases - Enter Cases'!G560,"")</f>
        <v/>
      </c>
      <c r="H560" t="str">
        <f>IF($A560&lt;&gt;"",'All Cases - Enter Cases'!H560,"")</f>
        <v/>
      </c>
      <c r="I560" t="str">
        <f>IF($A560&lt;&gt;"",'All Cases - Enter Cases'!I560,"")</f>
        <v/>
      </c>
      <c r="J560" t="str">
        <f>IF($A560&lt;&gt;"",'All Cases - Enter Cases'!J560,"")</f>
        <v/>
      </c>
      <c r="K560" s="4" t="str">
        <f>IF($A560&lt;&gt;"",'All Cases - Enter Cases'!K560,"")</f>
        <v/>
      </c>
      <c r="L560" t="str">
        <f>IF($A560&lt;&gt;"",'All Cases - Enter Cases'!L560,"")</f>
        <v/>
      </c>
      <c r="M560" t="str">
        <f>IF($A560&lt;&gt;"",'All Cases - Enter Cases'!M560,"")</f>
        <v/>
      </c>
    </row>
    <row r="561" spans="1:13" x14ac:dyDescent="0.35">
      <c r="A561" s="10" t="str">
        <f>IF('All Cases - Enter Cases'!$F561="Sindh",'All Cases - Enter Cases'!A561,"")</f>
        <v/>
      </c>
      <c r="B561" t="str">
        <f>IF($A561&lt;&gt;"",'All Cases - Enter Cases'!B561,"")</f>
        <v/>
      </c>
      <c r="C561" t="str">
        <f>IF($A561&lt;&gt;"",'All Cases - Enter Cases'!C561,"")</f>
        <v/>
      </c>
      <c r="D561" t="str">
        <f>IF($A561&lt;&gt;"",'All Cases - Enter Cases'!D561,"")</f>
        <v/>
      </c>
      <c r="E561" t="str">
        <f>IF($A561&lt;&gt;"",'All Cases - Enter Cases'!E561,"")</f>
        <v/>
      </c>
      <c r="F561" t="str">
        <f>IF($A561&lt;&gt;"",'All Cases - Enter Cases'!F561,"")</f>
        <v/>
      </c>
      <c r="G561" t="str">
        <f>IF($A561&lt;&gt;"",'All Cases - Enter Cases'!G561,"")</f>
        <v/>
      </c>
      <c r="H561" t="str">
        <f>IF($A561&lt;&gt;"",'All Cases - Enter Cases'!H561,"")</f>
        <v/>
      </c>
      <c r="I561" t="str">
        <f>IF($A561&lt;&gt;"",'All Cases - Enter Cases'!I561,"")</f>
        <v/>
      </c>
      <c r="J561" t="str">
        <f>IF($A561&lt;&gt;"",'All Cases - Enter Cases'!J561,"")</f>
        <v/>
      </c>
      <c r="K561" s="4" t="str">
        <f>IF($A561&lt;&gt;"",'All Cases - Enter Cases'!K561,"")</f>
        <v/>
      </c>
      <c r="L561" t="str">
        <f>IF($A561&lt;&gt;"",'All Cases - Enter Cases'!L561,"")</f>
        <v/>
      </c>
      <c r="M561" t="str">
        <f>IF($A561&lt;&gt;"",'All Cases - Enter Cases'!M561,"")</f>
        <v/>
      </c>
    </row>
    <row r="562" spans="1:13" x14ac:dyDescent="0.35">
      <c r="A562" s="10" t="str">
        <f>IF('All Cases - Enter Cases'!$F562="Sindh",'All Cases - Enter Cases'!A562,"")</f>
        <v/>
      </c>
      <c r="B562" t="str">
        <f>IF($A562&lt;&gt;"",'All Cases - Enter Cases'!B562,"")</f>
        <v/>
      </c>
      <c r="C562" t="str">
        <f>IF($A562&lt;&gt;"",'All Cases - Enter Cases'!C562,"")</f>
        <v/>
      </c>
      <c r="D562" t="str">
        <f>IF($A562&lt;&gt;"",'All Cases - Enter Cases'!D562,"")</f>
        <v/>
      </c>
      <c r="E562" t="str">
        <f>IF($A562&lt;&gt;"",'All Cases - Enter Cases'!E562,"")</f>
        <v/>
      </c>
      <c r="F562" t="str">
        <f>IF($A562&lt;&gt;"",'All Cases - Enter Cases'!F562,"")</f>
        <v/>
      </c>
      <c r="G562" t="str">
        <f>IF($A562&lt;&gt;"",'All Cases - Enter Cases'!G562,"")</f>
        <v/>
      </c>
      <c r="H562" t="str">
        <f>IF($A562&lt;&gt;"",'All Cases - Enter Cases'!H562,"")</f>
        <v/>
      </c>
      <c r="I562" t="str">
        <f>IF($A562&lt;&gt;"",'All Cases - Enter Cases'!I562,"")</f>
        <v/>
      </c>
      <c r="J562" t="str">
        <f>IF($A562&lt;&gt;"",'All Cases - Enter Cases'!J562,"")</f>
        <v/>
      </c>
      <c r="K562" s="4" t="str">
        <f>IF($A562&lt;&gt;"",'All Cases - Enter Cases'!K562,"")</f>
        <v/>
      </c>
      <c r="L562" t="str">
        <f>IF($A562&lt;&gt;"",'All Cases - Enter Cases'!L562,"")</f>
        <v/>
      </c>
      <c r="M562" t="str">
        <f>IF($A562&lt;&gt;"",'All Cases - Enter Cases'!M562,"")</f>
        <v/>
      </c>
    </row>
    <row r="563" spans="1:13" x14ac:dyDescent="0.35">
      <c r="A563" s="10" t="str">
        <f>IF('All Cases - Enter Cases'!$F563="Sindh",'All Cases - Enter Cases'!A563,"")</f>
        <v/>
      </c>
      <c r="B563" t="str">
        <f>IF($A563&lt;&gt;"",'All Cases - Enter Cases'!B563,"")</f>
        <v/>
      </c>
      <c r="C563" t="str">
        <f>IF($A563&lt;&gt;"",'All Cases - Enter Cases'!C563,"")</f>
        <v/>
      </c>
      <c r="D563" t="str">
        <f>IF($A563&lt;&gt;"",'All Cases - Enter Cases'!D563,"")</f>
        <v/>
      </c>
      <c r="E563" t="str">
        <f>IF($A563&lt;&gt;"",'All Cases - Enter Cases'!E563,"")</f>
        <v/>
      </c>
      <c r="F563" t="str">
        <f>IF($A563&lt;&gt;"",'All Cases - Enter Cases'!F563,"")</f>
        <v/>
      </c>
      <c r="G563" t="str">
        <f>IF($A563&lt;&gt;"",'All Cases - Enter Cases'!G563,"")</f>
        <v/>
      </c>
      <c r="H563" t="str">
        <f>IF($A563&lt;&gt;"",'All Cases - Enter Cases'!H563,"")</f>
        <v/>
      </c>
      <c r="I563" t="str">
        <f>IF($A563&lt;&gt;"",'All Cases - Enter Cases'!I563,"")</f>
        <v/>
      </c>
      <c r="J563" t="str">
        <f>IF($A563&lt;&gt;"",'All Cases - Enter Cases'!J563,"")</f>
        <v/>
      </c>
      <c r="K563" s="4" t="str">
        <f>IF($A563&lt;&gt;"",'All Cases - Enter Cases'!K563,"")</f>
        <v/>
      </c>
      <c r="L563" t="str">
        <f>IF($A563&lt;&gt;"",'All Cases - Enter Cases'!L563,"")</f>
        <v/>
      </c>
      <c r="M563" t="str">
        <f>IF($A563&lt;&gt;"",'All Cases - Enter Cases'!M563,"")</f>
        <v/>
      </c>
    </row>
    <row r="564" spans="1:13" x14ac:dyDescent="0.35">
      <c r="A564" s="10" t="str">
        <f>IF('All Cases - Enter Cases'!$F564="Sindh",'All Cases - Enter Cases'!A564,"")</f>
        <v/>
      </c>
      <c r="B564" t="str">
        <f>IF($A564&lt;&gt;"",'All Cases - Enter Cases'!B564,"")</f>
        <v/>
      </c>
      <c r="C564" t="str">
        <f>IF($A564&lt;&gt;"",'All Cases - Enter Cases'!C564,"")</f>
        <v/>
      </c>
      <c r="D564" t="str">
        <f>IF($A564&lt;&gt;"",'All Cases - Enter Cases'!D564,"")</f>
        <v/>
      </c>
      <c r="E564" t="str">
        <f>IF($A564&lt;&gt;"",'All Cases - Enter Cases'!E564,"")</f>
        <v/>
      </c>
      <c r="F564" t="str">
        <f>IF($A564&lt;&gt;"",'All Cases - Enter Cases'!F564,"")</f>
        <v/>
      </c>
      <c r="G564" t="str">
        <f>IF($A564&lt;&gt;"",'All Cases - Enter Cases'!G564,"")</f>
        <v/>
      </c>
      <c r="H564" t="str">
        <f>IF($A564&lt;&gt;"",'All Cases - Enter Cases'!H564,"")</f>
        <v/>
      </c>
      <c r="I564" t="str">
        <f>IF($A564&lt;&gt;"",'All Cases - Enter Cases'!I564,"")</f>
        <v/>
      </c>
      <c r="J564" t="str">
        <f>IF($A564&lt;&gt;"",'All Cases - Enter Cases'!J564,"")</f>
        <v/>
      </c>
      <c r="K564" s="4" t="str">
        <f>IF($A564&lt;&gt;"",'All Cases - Enter Cases'!K564,"")</f>
        <v/>
      </c>
      <c r="L564" t="str">
        <f>IF($A564&lt;&gt;"",'All Cases - Enter Cases'!L564,"")</f>
        <v/>
      </c>
      <c r="M564" t="str">
        <f>IF($A564&lt;&gt;"",'All Cases - Enter Cases'!M564,"")</f>
        <v/>
      </c>
    </row>
    <row r="565" spans="1:13" x14ac:dyDescent="0.35">
      <c r="A565" s="10" t="str">
        <f>IF('All Cases - Enter Cases'!$F565="Sindh",'All Cases - Enter Cases'!A565,"")</f>
        <v/>
      </c>
      <c r="B565" t="str">
        <f>IF($A565&lt;&gt;"",'All Cases - Enter Cases'!B565,"")</f>
        <v/>
      </c>
      <c r="C565" t="str">
        <f>IF($A565&lt;&gt;"",'All Cases - Enter Cases'!C565,"")</f>
        <v/>
      </c>
      <c r="D565" t="str">
        <f>IF($A565&lt;&gt;"",'All Cases - Enter Cases'!D565,"")</f>
        <v/>
      </c>
      <c r="E565" t="str">
        <f>IF($A565&lt;&gt;"",'All Cases - Enter Cases'!E565,"")</f>
        <v/>
      </c>
      <c r="F565" t="str">
        <f>IF($A565&lt;&gt;"",'All Cases - Enter Cases'!F565,"")</f>
        <v/>
      </c>
      <c r="G565" t="str">
        <f>IF($A565&lt;&gt;"",'All Cases - Enter Cases'!G565,"")</f>
        <v/>
      </c>
      <c r="H565" t="str">
        <f>IF($A565&lt;&gt;"",'All Cases - Enter Cases'!H565,"")</f>
        <v/>
      </c>
      <c r="I565" t="str">
        <f>IF($A565&lt;&gt;"",'All Cases - Enter Cases'!I565,"")</f>
        <v/>
      </c>
      <c r="J565" t="str">
        <f>IF($A565&lt;&gt;"",'All Cases - Enter Cases'!J565,"")</f>
        <v/>
      </c>
      <c r="K565" s="4" t="str">
        <f>IF($A565&lt;&gt;"",'All Cases - Enter Cases'!K565,"")</f>
        <v/>
      </c>
      <c r="L565" t="str">
        <f>IF($A565&lt;&gt;"",'All Cases - Enter Cases'!L565,"")</f>
        <v/>
      </c>
      <c r="M565" t="str">
        <f>IF($A565&lt;&gt;"",'All Cases - Enter Cases'!M565,"")</f>
        <v/>
      </c>
    </row>
    <row r="566" spans="1:13" x14ac:dyDescent="0.35">
      <c r="A566" s="10" t="str">
        <f>IF('All Cases - Enter Cases'!$F566="Sindh",'All Cases - Enter Cases'!A566,"")</f>
        <v/>
      </c>
      <c r="B566" t="str">
        <f>IF($A566&lt;&gt;"",'All Cases - Enter Cases'!B566,"")</f>
        <v/>
      </c>
      <c r="C566" t="str">
        <f>IF($A566&lt;&gt;"",'All Cases - Enter Cases'!C566,"")</f>
        <v/>
      </c>
      <c r="D566" t="str">
        <f>IF($A566&lt;&gt;"",'All Cases - Enter Cases'!D566,"")</f>
        <v/>
      </c>
      <c r="E566" t="str">
        <f>IF($A566&lt;&gt;"",'All Cases - Enter Cases'!E566,"")</f>
        <v/>
      </c>
      <c r="F566" t="str">
        <f>IF($A566&lt;&gt;"",'All Cases - Enter Cases'!F566,"")</f>
        <v/>
      </c>
      <c r="G566" t="str">
        <f>IF($A566&lt;&gt;"",'All Cases - Enter Cases'!G566,"")</f>
        <v/>
      </c>
      <c r="H566" t="str">
        <f>IF($A566&lt;&gt;"",'All Cases - Enter Cases'!H566,"")</f>
        <v/>
      </c>
      <c r="I566" t="str">
        <f>IF($A566&lt;&gt;"",'All Cases - Enter Cases'!I566,"")</f>
        <v/>
      </c>
      <c r="J566" t="str">
        <f>IF($A566&lt;&gt;"",'All Cases - Enter Cases'!J566,"")</f>
        <v/>
      </c>
      <c r="K566" s="4" t="str">
        <f>IF($A566&lt;&gt;"",'All Cases - Enter Cases'!K566,"")</f>
        <v/>
      </c>
      <c r="L566" t="str">
        <f>IF($A566&lt;&gt;"",'All Cases - Enter Cases'!L566,"")</f>
        <v/>
      </c>
      <c r="M566" t="str">
        <f>IF($A566&lt;&gt;"",'All Cases - Enter Cases'!M566,"")</f>
        <v/>
      </c>
    </row>
    <row r="567" spans="1:13" x14ac:dyDescent="0.35">
      <c r="A567" s="10" t="str">
        <f>IF('All Cases - Enter Cases'!$F567="Sindh",'All Cases - Enter Cases'!A567,"")</f>
        <v/>
      </c>
      <c r="B567" t="str">
        <f>IF($A567&lt;&gt;"",'All Cases - Enter Cases'!B567,"")</f>
        <v/>
      </c>
      <c r="C567" t="str">
        <f>IF($A567&lt;&gt;"",'All Cases - Enter Cases'!C567,"")</f>
        <v/>
      </c>
      <c r="D567" t="str">
        <f>IF($A567&lt;&gt;"",'All Cases - Enter Cases'!D567,"")</f>
        <v/>
      </c>
      <c r="E567" t="str">
        <f>IF($A567&lt;&gt;"",'All Cases - Enter Cases'!E567,"")</f>
        <v/>
      </c>
      <c r="F567" t="str">
        <f>IF($A567&lt;&gt;"",'All Cases - Enter Cases'!F567,"")</f>
        <v/>
      </c>
      <c r="G567" t="str">
        <f>IF($A567&lt;&gt;"",'All Cases - Enter Cases'!G567,"")</f>
        <v/>
      </c>
      <c r="H567" t="str">
        <f>IF($A567&lt;&gt;"",'All Cases - Enter Cases'!H567,"")</f>
        <v/>
      </c>
      <c r="I567" t="str">
        <f>IF($A567&lt;&gt;"",'All Cases - Enter Cases'!I567,"")</f>
        <v/>
      </c>
      <c r="J567" t="str">
        <f>IF($A567&lt;&gt;"",'All Cases - Enter Cases'!J567,"")</f>
        <v/>
      </c>
      <c r="K567" s="4" t="str">
        <f>IF($A567&lt;&gt;"",'All Cases - Enter Cases'!K567,"")</f>
        <v/>
      </c>
      <c r="L567" t="str">
        <f>IF($A567&lt;&gt;"",'All Cases - Enter Cases'!L567,"")</f>
        <v/>
      </c>
      <c r="M567" t="str">
        <f>IF($A567&lt;&gt;"",'All Cases - Enter Cases'!M567,"")</f>
        <v/>
      </c>
    </row>
    <row r="568" spans="1:13" x14ac:dyDescent="0.35">
      <c r="A568" s="10" t="str">
        <f>IF('All Cases - Enter Cases'!$F568="Sindh",'All Cases - Enter Cases'!A568,"")</f>
        <v/>
      </c>
      <c r="B568" t="str">
        <f>IF($A568&lt;&gt;"",'All Cases - Enter Cases'!B568,"")</f>
        <v/>
      </c>
      <c r="C568" t="str">
        <f>IF($A568&lt;&gt;"",'All Cases - Enter Cases'!C568,"")</f>
        <v/>
      </c>
      <c r="D568" t="str">
        <f>IF($A568&lt;&gt;"",'All Cases - Enter Cases'!D568,"")</f>
        <v/>
      </c>
      <c r="E568" t="str">
        <f>IF($A568&lt;&gt;"",'All Cases - Enter Cases'!E568,"")</f>
        <v/>
      </c>
      <c r="F568" t="str">
        <f>IF($A568&lt;&gt;"",'All Cases - Enter Cases'!F568,"")</f>
        <v/>
      </c>
      <c r="G568" t="str">
        <f>IF($A568&lt;&gt;"",'All Cases - Enter Cases'!G568,"")</f>
        <v/>
      </c>
      <c r="H568" t="str">
        <f>IF($A568&lt;&gt;"",'All Cases - Enter Cases'!H568,"")</f>
        <v/>
      </c>
      <c r="I568" t="str">
        <f>IF($A568&lt;&gt;"",'All Cases - Enter Cases'!I568,"")</f>
        <v/>
      </c>
      <c r="J568" t="str">
        <f>IF($A568&lt;&gt;"",'All Cases - Enter Cases'!J568,"")</f>
        <v/>
      </c>
      <c r="K568" s="4" t="str">
        <f>IF($A568&lt;&gt;"",'All Cases - Enter Cases'!K568,"")</f>
        <v/>
      </c>
      <c r="L568" t="str">
        <f>IF($A568&lt;&gt;"",'All Cases - Enter Cases'!L568,"")</f>
        <v/>
      </c>
      <c r="M568" t="str">
        <f>IF($A568&lt;&gt;"",'All Cases - Enter Cases'!M568,"")</f>
        <v/>
      </c>
    </row>
    <row r="569" spans="1:13" x14ac:dyDescent="0.35">
      <c r="A569" s="10" t="str">
        <f>IF('All Cases - Enter Cases'!$F569="Sindh",'All Cases - Enter Cases'!A569,"")</f>
        <v/>
      </c>
      <c r="B569" t="str">
        <f>IF($A569&lt;&gt;"",'All Cases - Enter Cases'!B569,"")</f>
        <v/>
      </c>
      <c r="C569" t="str">
        <f>IF($A569&lt;&gt;"",'All Cases - Enter Cases'!C569,"")</f>
        <v/>
      </c>
      <c r="D569" t="str">
        <f>IF($A569&lt;&gt;"",'All Cases - Enter Cases'!D569,"")</f>
        <v/>
      </c>
      <c r="E569" t="str">
        <f>IF($A569&lt;&gt;"",'All Cases - Enter Cases'!E569,"")</f>
        <v/>
      </c>
      <c r="F569" t="str">
        <f>IF($A569&lt;&gt;"",'All Cases - Enter Cases'!F569,"")</f>
        <v/>
      </c>
      <c r="G569" t="str">
        <f>IF($A569&lt;&gt;"",'All Cases - Enter Cases'!G569,"")</f>
        <v/>
      </c>
      <c r="H569" t="str">
        <f>IF($A569&lt;&gt;"",'All Cases - Enter Cases'!H569,"")</f>
        <v/>
      </c>
      <c r="I569" t="str">
        <f>IF($A569&lt;&gt;"",'All Cases - Enter Cases'!I569,"")</f>
        <v/>
      </c>
      <c r="J569" t="str">
        <f>IF($A569&lt;&gt;"",'All Cases - Enter Cases'!J569,"")</f>
        <v/>
      </c>
      <c r="K569" s="4" t="str">
        <f>IF($A569&lt;&gt;"",'All Cases - Enter Cases'!K569,"")</f>
        <v/>
      </c>
      <c r="L569" t="str">
        <f>IF($A569&lt;&gt;"",'All Cases - Enter Cases'!L569,"")</f>
        <v/>
      </c>
      <c r="M569" t="str">
        <f>IF($A569&lt;&gt;"",'All Cases - Enter Cases'!M569,"")</f>
        <v/>
      </c>
    </row>
    <row r="570" spans="1:13" x14ac:dyDescent="0.35">
      <c r="A570" s="10" t="str">
        <f>IF('All Cases - Enter Cases'!$F570="Sindh",'All Cases - Enter Cases'!A570,"")</f>
        <v/>
      </c>
      <c r="B570" t="str">
        <f>IF($A570&lt;&gt;"",'All Cases - Enter Cases'!B570,"")</f>
        <v/>
      </c>
      <c r="C570" t="str">
        <f>IF($A570&lt;&gt;"",'All Cases - Enter Cases'!C570,"")</f>
        <v/>
      </c>
      <c r="D570" t="str">
        <f>IF($A570&lt;&gt;"",'All Cases - Enter Cases'!D570,"")</f>
        <v/>
      </c>
      <c r="E570" t="str">
        <f>IF($A570&lt;&gt;"",'All Cases - Enter Cases'!E570,"")</f>
        <v/>
      </c>
      <c r="F570" t="str">
        <f>IF($A570&lt;&gt;"",'All Cases - Enter Cases'!F570,"")</f>
        <v/>
      </c>
      <c r="G570" t="str">
        <f>IF($A570&lt;&gt;"",'All Cases - Enter Cases'!G570,"")</f>
        <v/>
      </c>
      <c r="H570" t="str">
        <f>IF($A570&lt;&gt;"",'All Cases - Enter Cases'!H570,"")</f>
        <v/>
      </c>
      <c r="I570" t="str">
        <f>IF($A570&lt;&gt;"",'All Cases - Enter Cases'!I570,"")</f>
        <v/>
      </c>
      <c r="J570" t="str">
        <f>IF($A570&lt;&gt;"",'All Cases - Enter Cases'!J570,"")</f>
        <v/>
      </c>
      <c r="K570" s="4" t="str">
        <f>IF($A570&lt;&gt;"",'All Cases - Enter Cases'!K570,"")</f>
        <v/>
      </c>
      <c r="L570" t="str">
        <f>IF($A570&lt;&gt;"",'All Cases - Enter Cases'!L570,"")</f>
        <v/>
      </c>
      <c r="M570" t="str">
        <f>IF($A570&lt;&gt;"",'All Cases - Enter Cases'!M570,"")</f>
        <v/>
      </c>
    </row>
    <row r="571" spans="1:13" x14ac:dyDescent="0.35">
      <c r="A571" s="10" t="str">
        <f>IF('All Cases - Enter Cases'!$F571="Sindh",'All Cases - Enter Cases'!A571,"")</f>
        <v/>
      </c>
      <c r="B571" t="str">
        <f>IF($A571&lt;&gt;"",'All Cases - Enter Cases'!B571,"")</f>
        <v/>
      </c>
      <c r="C571" t="str">
        <f>IF($A571&lt;&gt;"",'All Cases - Enter Cases'!C571,"")</f>
        <v/>
      </c>
      <c r="D571" t="str">
        <f>IF($A571&lt;&gt;"",'All Cases - Enter Cases'!D571,"")</f>
        <v/>
      </c>
      <c r="E571" t="str">
        <f>IF($A571&lt;&gt;"",'All Cases - Enter Cases'!E571,"")</f>
        <v/>
      </c>
      <c r="F571" t="str">
        <f>IF($A571&lt;&gt;"",'All Cases - Enter Cases'!F571,"")</f>
        <v/>
      </c>
      <c r="G571" t="str">
        <f>IF($A571&lt;&gt;"",'All Cases - Enter Cases'!G571,"")</f>
        <v/>
      </c>
      <c r="H571" t="str">
        <f>IF($A571&lt;&gt;"",'All Cases - Enter Cases'!H571,"")</f>
        <v/>
      </c>
      <c r="I571" t="str">
        <f>IF($A571&lt;&gt;"",'All Cases - Enter Cases'!I571,"")</f>
        <v/>
      </c>
      <c r="J571" t="str">
        <f>IF($A571&lt;&gt;"",'All Cases - Enter Cases'!J571,"")</f>
        <v/>
      </c>
      <c r="K571" s="4" t="str">
        <f>IF($A571&lt;&gt;"",'All Cases - Enter Cases'!K571,"")</f>
        <v/>
      </c>
      <c r="L571" t="str">
        <f>IF($A571&lt;&gt;"",'All Cases - Enter Cases'!L571,"")</f>
        <v/>
      </c>
      <c r="M571" t="str">
        <f>IF($A571&lt;&gt;"",'All Cases - Enter Cases'!M571,"")</f>
        <v/>
      </c>
    </row>
    <row r="572" spans="1:13" x14ac:dyDescent="0.35">
      <c r="A572" s="10" t="str">
        <f>IF('All Cases - Enter Cases'!$F572="Sindh",'All Cases - Enter Cases'!A572,"")</f>
        <v/>
      </c>
      <c r="B572" t="str">
        <f>IF($A572&lt;&gt;"",'All Cases - Enter Cases'!B572,"")</f>
        <v/>
      </c>
      <c r="C572" t="str">
        <f>IF($A572&lt;&gt;"",'All Cases - Enter Cases'!C572,"")</f>
        <v/>
      </c>
      <c r="D572" t="str">
        <f>IF($A572&lt;&gt;"",'All Cases - Enter Cases'!D572,"")</f>
        <v/>
      </c>
      <c r="E572" t="str">
        <f>IF($A572&lt;&gt;"",'All Cases - Enter Cases'!E572,"")</f>
        <v/>
      </c>
      <c r="F572" t="str">
        <f>IF($A572&lt;&gt;"",'All Cases - Enter Cases'!F572,"")</f>
        <v/>
      </c>
      <c r="G572" t="str">
        <f>IF($A572&lt;&gt;"",'All Cases - Enter Cases'!G572,"")</f>
        <v/>
      </c>
      <c r="H572" t="str">
        <f>IF($A572&lt;&gt;"",'All Cases - Enter Cases'!H572,"")</f>
        <v/>
      </c>
      <c r="I572" t="str">
        <f>IF($A572&lt;&gt;"",'All Cases - Enter Cases'!I572,"")</f>
        <v/>
      </c>
      <c r="J572" t="str">
        <f>IF($A572&lt;&gt;"",'All Cases - Enter Cases'!J572,"")</f>
        <v/>
      </c>
      <c r="K572" s="4" t="str">
        <f>IF($A572&lt;&gt;"",'All Cases - Enter Cases'!K572,"")</f>
        <v/>
      </c>
      <c r="L572" t="str">
        <f>IF($A572&lt;&gt;"",'All Cases - Enter Cases'!L572,"")</f>
        <v/>
      </c>
      <c r="M572" t="str">
        <f>IF($A572&lt;&gt;"",'All Cases - Enter Cases'!M572,"")</f>
        <v/>
      </c>
    </row>
    <row r="573" spans="1:13" x14ac:dyDescent="0.35">
      <c r="A573" s="10" t="str">
        <f>IF('All Cases - Enter Cases'!$F573="Sindh",'All Cases - Enter Cases'!A573,"")</f>
        <v/>
      </c>
      <c r="B573" t="str">
        <f>IF($A573&lt;&gt;"",'All Cases - Enter Cases'!B573,"")</f>
        <v/>
      </c>
      <c r="C573" t="str">
        <f>IF($A573&lt;&gt;"",'All Cases - Enter Cases'!C573,"")</f>
        <v/>
      </c>
      <c r="D573" t="str">
        <f>IF($A573&lt;&gt;"",'All Cases - Enter Cases'!D573,"")</f>
        <v/>
      </c>
      <c r="E573" t="str">
        <f>IF($A573&lt;&gt;"",'All Cases - Enter Cases'!E573,"")</f>
        <v/>
      </c>
      <c r="F573" t="str">
        <f>IF($A573&lt;&gt;"",'All Cases - Enter Cases'!F573,"")</f>
        <v/>
      </c>
      <c r="G573" t="str">
        <f>IF($A573&lt;&gt;"",'All Cases - Enter Cases'!G573,"")</f>
        <v/>
      </c>
      <c r="H573" t="str">
        <f>IF($A573&lt;&gt;"",'All Cases - Enter Cases'!H573,"")</f>
        <v/>
      </c>
      <c r="I573" t="str">
        <f>IF($A573&lt;&gt;"",'All Cases - Enter Cases'!I573,"")</f>
        <v/>
      </c>
      <c r="J573" t="str">
        <f>IF($A573&lt;&gt;"",'All Cases - Enter Cases'!J573,"")</f>
        <v/>
      </c>
      <c r="K573" s="4" t="str">
        <f>IF($A573&lt;&gt;"",'All Cases - Enter Cases'!K573,"")</f>
        <v/>
      </c>
      <c r="L573" t="str">
        <f>IF($A573&lt;&gt;"",'All Cases - Enter Cases'!L573,"")</f>
        <v/>
      </c>
      <c r="M573" t="str">
        <f>IF($A573&lt;&gt;"",'All Cases - Enter Cases'!M573,"")</f>
        <v/>
      </c>
    </row>
    <row r="574" spans="1:13" x14ac:dyDescent="0.35">
      <c r="A574" s="10" t="str">
        <f>IF('All Cases - Enter Cases'!$F574="Sindh",'All Cases - Enter Cases'!A574,"")</f>
        <v/>
      </c>
      <c r="B574" t="str">
        <f>IF($A574&lt;&gt;"",'All Cases - Enter Cases'!B574,"")</f>
        <v/>
      </c>
      <c r="C574" t="str">
        <f>IF($A574&lt;&gt;"",'All Cases - Enter Cases'!C574,"")</f>
        <v/>
      </c>
      <c r="D574" t="str">
        <f>IF($A574&lt;&gt;"",'All Cases - Enter Cases'!D574,"")</f>
        <v/>
      </c>
      <c r="E574" t="str">
        <f>IF($A574&lt;&gt;"",'All Cases - Enter Cases'!E574,"")</f>
        <v/>
      </c>
      <c r="F574" t="str">
        <f>IF($A574&lt;&gt;"",'All Cases - Enter Cases'!F574,"")</f>
        <v/>
      </c>
      <c r="G574" t="str">
        <f>IF($A574&lt;&gt;"",'All Cases - Enter Cases'!G574,"")</f>
        <v/>
      </c>
      <c r="H574" t="str">
        <f>IF($A574&lt;&gt;"",'All Cases - Enter Cases'!H574,"")</f>
        <v/>
      </c>
      <c r="I574" t="str">
        <f>IF($A574&lt;&gt;"",'All Cases - Enter Cases'!I574,"")</f>
        <v/>
      </c>
      <c r="J574" t="str">
        <f>IF($A574&lt;&gt;"",'All Cases - Enter Cases'!J574,"")</f>
        <v/>
      </c>
      <c r="K574" s="4" t="str">
        <f>IF($A574&lt;&gt;"",'All Cases - Enter Cases'!K574,"")</f>
        <v/>
      </c>
      <c r="L574" t="str">
        <f>IF($A574&lt;&gt;"",'All Cases - Enter Cases'!L574,"")</f>
        <v/>
      </c>
      <c r="M574" t="str">
        <f>IF($A574&lt;&gt;"",'All Cases - Enter Cases'!M574,"")</f>
        <v/>
      </c>
    </row>
    <row r="575" spans="1:13" x14ac:dyDescent="0.35">
      <c r="A575" s="10" t="str">
        <f>IF('All Cases - Enter Cases'!$F575="Sindh",'All Cases - Enter Cases'!A575,"")</f>
        <v/>
      </c>
      <c r="B575" t="str">
        <f>IF($A575&lt;&gt;"",'All Cases - Enter Cases'!B575,"")</f>
        <v/>
      </c>
      <c r="C575" t="str">
        <f>IF($A575&lt;&gt;"",'All Cases - Enter Cases'!C575,"")</f>
        <v/>
      </c>
      <c r="D575" t="str">
        <f>IF($A575&lt;&gt;"",'All Cases - Enter Cases'!D575,"")</f>
        <v/>
      </c>
      <c r="E575" t="str">
        <f>IF($A575&lt;&gt;"",'All Cases - Enter Cases'!E575,"")</f>
        <v/>
      </c>
      <c r="F575" t="str">
        <f>IF($A575&lt;&gt;"",'All Cases - Enter Cases'!F575,"")</f>
        <v/>
      </c>
      <c r="G575" t="str">
        <f>IF($A575&lt;&gt;"",'All Cases - Enter Cases'!G575,"")</f>
        <v/>
      </c>
      <c r="H575" t="str">
        <f>IF($A575&lt;&gt;"",'All Cases - Enter Cases'!H575,"")</f>
        <v/>
      </c>
      <c r="I575" t="str">
        <f>IF($A575&lt;&gt;"",'All Cases - Enter Cases'!I575,"")</f>
        <v/>
      </c>
      <c r="J575" t="str">
        <f>IF($A575&lt;&gt;"",'All Cases - Enter Cases'!J575,"")</f>
        <v/>
      </c>
      <c r="K575" s="4" t="str">
        <f>IF($A575&lt;&gt;"",'All Cases - Enter Cases'!K575,"")</f>
        <v/>
      </c>
      <c r="L575" t="str">
        <f>IF($A575&lt;&gt;"",'All Cases - Enter Cases'!L575,"")</f>
        <v/>
      </c>
      <c r="M575" t="str">
        <f>IF($A575&lt;&gt;"",'All Cases - Enter Cases'!M575,"")</f>
        <v/>
      </c>
    </row>
    <row r="576" spans="1:13" x14ac:dyDescent="0.35">
      <c r="A576" s="10" t="str">
        <f>IF('All Cases - Enter Cases'!$F576="Sindh",'All Cases - Enter Cases'!A576,"")</f>
        <v/>
      </c>
      <c r="B576" t="str">
        <f>IF($A576&lt;&gt;"",'All Cases - Enter Cases'!B576,"")</f>
        <v/>
      </c>
      <c r="C576" t="str">
        <f>IF($A576&lt;&gt;"",'All Cases - Enter Cases'!C576,"")</f>
        <v/>
      </c>
      <c r="D576" t="str">
        <f>IF($A576&lt;&gt;"",'All Cases - Enter Cases'!D576,"")</f>
        <v/>
      </c>
      <c r="E576" t="str">
        <f>IF($A576&lt;&gt;"",'All Cases - Enter Cases'!E576,"")</f>
        <v/>
      </c>
      <c r="F576" t="str">
        <f>IF($A576&lt;&gt;"",'All Cases - Enter Cases'!F576,"")</f>
        <v/>
      </c>
      <c r="G576" t="str">
        <f>IF($A576&lt;&gt;"",'All Cases - Enter Cases'!G576,"")</f>
        <v/>
      </c>
      <c r="H576" t="str">
        <f>IF($A576&lt;&gt;"",'All Cases - Enter Cases'!H576,"")</f>
        <v/>
      </c>
      <c r="I576" t="str">
        <f>IF($A576&lt;&gt;"",'All Cases - Enter Cases'!I576,"")</f>
        <v/>
      </c>
      <c r="J576" t="str">
        <f>IF($A576&lt;&gt;"",'All Cases - Enter Cases'!J576,"")</f>
        <v/>
      </c>
      <c r="K576" s="4" t="str">
        <f>IF($A576&lt;&gt;"",'All Cases - Enter Cases'!K576,"")</f>
        <v/>
      </c>
      <c r="L576" t="str">
        <f>IF($A576&lt;&gt;"",'All Cases - Enter Cases'!L576,"")</f>
        <v/>
      </c>
      <c r="M576" t="str">
        <f>IF($A576&lt;&gt;"",'All Cases - Enter Cases'!M576,"")</f>
        <v/>
      </c>
    </row>
    <row r="577" spans="1:13" x14ac:dyDescent="0.35">
      <c r="A577" s="10" t="str">
        <f>IF('All Cases - Enter Cases'!$F577="Sindh",'All Cases - Enter Cases'!A577,"")</f>
        <v/>
      </c>
      <c r="B577" t="str">
        <f>IF($A577&lt;&gt;"",'All Cases - Enter Cases'!B577,"")</f>
        <v/>
      </c>
      <c r="C577" t="str">
        <f>IF($A577&lt;&gt;"",'All Cases - Enter Cases'!C577,"")</f>
        <v/>
      </c>
      <c r="D577" t="str">
        <f>IF($A577&lt;&gt;"",'All Cases - Enter Cases'!D577,"")</f>
        <v/>
      </c>
      <c r="E577" t="str">
        <f>IF($A577&lt;&gt;"",'All Cases - Enter Cases'!E577,"")</f>
        <v/>
      </c>
      <c r="F577" t="str">
        <f>IF($A577&lt;&gt;"",'All Cases - Enter Cases'!F577,"")</f>
        <v/>
      </c>
      <c r="G577" t="str">
        <f>IF($A577&lt;&gt;"",'All Cases - Enter Cases'!G577,"")</f>
        <v/>
      </c>
      <c r="H577" t="str">
        <f>IF($A577&lt;&gt;"",'All Cases - Enter Cases'!H577,"")</f>
        <v/>
      </c>
      <c r="I577" t="str">
        <f>IF($A577&lt;&gt;"",'All Cases - Enter Cases'!I577,"")</f>
        <v/>
      </c>
      <c r="J577" t="str">
        <f>IF($A577&lt;&gt;"",'All Cases - Enter Cases'!J577,"")</f>
        <v/>
      </c>
      <c r="K577" s="4" t="str">
        <f>IF($A577&lt;&gt;"",'All Cases - Enter Cases'!K577,"")</f>
        <v/>
      </c>
      <c r="L577" t="str">
        <f>IF($A577&lt;&gt;"",'All Cases - Enter Cases'!L577,"")</f>
        <v/>
      </c>
      <c r="M577" t="str">
        <f>IF($A577&lt;&gt;"",'All Cases - Enter Cases'!M577,"")</f>
        <v/>
      </c>
    </row>
    <row r="578" spans="1:13" x14ac:dyDescent="0.35">
      <c r="A578" s="10" t="str">
        <f>IF('All Cases - Enter Cases'!$F578="Sindh",'All Cases - Enter Cases'!A578,"")</f>
        <v/>
      </c>
      <c r="B578" t="str">
        <f>IF($A578&lt;&gt;"",'All Cases - Enter Cases'!B578,"")</f>
        <v/>
      </c>
      <c r="C578" t="str">
        <f>IF($A578&lt;&gt;"",'All Cases - Enter Cases'!C578,"")</f>
        <v/>
      </c>
      <c r="D578" t="str">
        <f>IF($A578&lt;&gt;"",'All Cases - Enter Cases'!D578,"")</f>
        <v/>
      </c>
      <c r="E578" t="str">
        <f>IF($A578&lt;&gt;"",'All Cases - Enter Cases'!E578,"")</f>
        <v/>
      </c>
      <c r="F578" t="str">
        <f>IF($A578&lt;&gt;"",'All Cases - Enter Cases'!F578,"")</f>
        <v/>
      </c>
      <c r="G578" t="str">
        <f>IF($A578&lt;&gt;"",'All Cases - Enter Cases'!G578,"")</f>
        <v/>
      </c>
      <c r="H578" t="str">
        <f>IF($A578&lt;&gt;"",'All Cases - Enter Cases'!H578,"")</f>
        <v/>
      </c>
      <c r="I578" t="str">
        <f>IF($A578&lt;&gt;"",'All Cases - Enter Cases'!I578,"")</f>
        <v/>
      </c>
      <c r="J578" t="str">
        <f>IF($A578&lt;&gt;"",'All Cases - Enter Cases'!J578,"")</f>
        <v/>
      </c>
      <c r="K578" s="4" t="str">
        <f>IF($A578&lt;&gt;"",'All Cases - Enter Cases'!K578,"")</f>
        <v/>
      </c>
      <c r="L578" t="str">
        <f>IF($A578&lt;&gt;"",'All Cases - Enter Cases'!L578,"")</f>
        <v/>
      </c>
      <c r="M578" t="str">
        <f>IF($A578&lt;&gt;"",'All Cases - Enter Cases'!M578,"")</f>
        <v/>
      </c>
    </row>
    <row r="579" spans="1:13" x14ac:dyDescent="0.35">
      <c r="A579" s="10" t="str">
        <f>IF('All Cases - Enter Cases'!$F579="Sindh",'All Cases - Enter Cases'!A579,"")</f>
        <v/>
      </c>
      <c r="B579" t="str">
        <f>IF($A579&lt;&gt;"",'All Cases - Enter Cases'!B579,"")</f>
        <v/>
      </c>
      <c r="C579" t="str">
        <f>IF($A579&lt;&gt;"",'All Cases - Enter Cases'!C579,"")</f>
        <v/>
      </c>
      <c r="D579" t="str">
        <f>IF($A579&lt;&gt;"",'All Cases - Enter Cases'!D579,"")</f>
        <v/>
      </c>
      <c r="E579" t="str">
        <f>IF($A579&lt;&gt;"",'All Cases - Enter Cases'!E579,"")</f>
        <v/>
      </c>
      <c r="F579" t="str">
        <f>IF($A579&lt;&gt;"",'All Cases - Enter Cases'!F579,"")</f>
        <v/>
      </c>
      <c r="G579" t="str">
        <f>IF($A579&lt;&gt;"",'All Cases - Enter Cases'!G579,"")</f>
        <v/>
      </c>
      <c r="H579" t="str">
        <f>IF($A579&lt;&gt;"",'All Cases - Enter Cases'!H579,"")</f>
        <v/>
      </c>
      <c r="I579" t="str">
        <f>IF($A579&lt;&gt;"",'All Cases - Enter Cases'!I579,"")</f>
        <v/>
      </c>
      <c r="J579" t="str">
        <f>IF($A579&lt;&gt;"",'All Cases - Enter Cases'!J579,"")</f>
        <v/>
      </c>
      <c r="K579" s="4" t="str">
        <f>IF($A579&lt;&gt;"",'All Cases - Enter Cases'!K579,"")</f>
        <v/>
      </c>
      <c r="L579" t="str">
        <f>IF($A579&lt;&gt;"",'All Cases - Enter Cases'!L579,"")</f>
        <v/>
      </c>
      <c r="M579" t="str">
        <f>IF($A579&lt;&gt;"",'All Cases - Enter Cases'!M579,"")</f>
        <v/>
      </c>
    </row>
    <row r="580" spans="1:13" x14ac:dyDescent="0.35">
      <c r="A580" s="10" t="str">
        <f>IF('All Cases - Enter Cases'!$F580="Sindh",'All Cases - Enter Cases'!A580,"")</f>
        <v/>
      </c>
      <c r="B580" t="str">
        <f>IF($A580&lt;&gt;"",'All Cases - Enter Cases'!B580,"")</f>
        <v/>
      </c>
      <c r="C580" t="str">
        <f>IF($A580&lt;&gt;"",'All Cases - Enter Cases'!C580,"")</f>
        <v/>
      </c>
      <c r="D580" t="str">
        <f>IF($A580&lt;&gt;"",'All Cases - Enter Cases'!D580,"")</f>
        <v/>
      </c>
      <c r="E580" t="str">
        <f>IF($A580&lt;&gt;"",'All Cases - Enter Cases'!E580,"")</f>
        <v/>
      </c>
      <c r="F580" t="str">
        <f>IF($A580&lt;&gt;"",'All Cases - Enter Cases'!F580,"")</f>
        <v/>
      </c>
      <c r="G580" t="str">
        <f>IF($A580&lt;&gt;"",'All Cases - Enter Cases'!G580,"")</f>
        <v/>
      </c>
      <c r="H580" t="str">
        <f>IF($A580&lt;&gt;"",'All Cases - Enter Cases'!H580,"")</f>
        <v/>
      </c>
      <c r="I580" t="str">
        <f>IF($A580&lt;&gt;"",'All Cases - Enter Cases'!I580,"")</f>
        <v/>
      </c>
      <c r="J580" t="str">
        <f>IF($A580&lt;&gt;"",'All Cases - Enter Cases'!J580,"")</f>
        <v/>
      </c>
      <c r="K580" s="4" t="str">
        <f>IF($A580&lt;&gt;"",'All Cases - Enter Cases'!K580,"")</f>
        <v/>
      </c>
      <c r="L580" t="str">
        <f>IF($A580&lt;&gt;"",'All Cases - Enter Cases'!L580,"")</f>
        <v/>
      </c>
      <c r="M580" t="str">
        <f>IF($A580&lt;&gt;"",'All Cases - Enter Cases'!M580,"")</f>
        <v/>
      </c>
    </row>
    <row r="581" spans="1:13" x14ac:dyDescent="0.35">
      <c r="A581" s="10" t="str">
        <f>IF('All Cases - Enter Cases'!$F581="Sindh",'All Cases - Enter Cases'!A581,"")</f>
        <v/>
      </c>
      <c r="B581" t="str">
        <f>IF($A581&lt;&gt;"",'All Cases - Enter Cases'!B581,"")</f>
        <v/>
      </c>
      <c r="C581" t="str">
        <f>IF($A581&lt;&gt;"",'All Cases - Enter Cases'!C581,"")</f>
        <v/>
      </c>
      <c r="D581" t="str">
        <f>IF($A581&lt;&gt;"",'All Cases - Enter Cases'!D581,"")</f>
        <v/>
      </c>
      <c r="E581" t="str">
        <f>IF($A581&lt;&gt;"",'All Cases - Enter Cases'!E581,"")</f>
        <v/>
      </c>
      <c r="F581" t="str">
        <f>IF($A581&lt;&gt;"",'All Cases - Enter Cases'!F581,"")</f>
        <v/>
      </c>
      <c r="G581" t="str">
        <f>IF($A581&lt;&gt;"",'All Cases - Enter Cases'!G581,"")</f>
        <v/>
      </c>
      <c r="H581" t="str">
        <f>IF($A581&lt;&gt;"",'All Cases - Enter Cases'!H581,"")</f>
        <v/>
      </c>
      <c r="I581" t="str">
        <f>IF($A581&lt;&gt;"",'All Cases - Enter Cases'!I581,"")</f>
        <v/>
      </c>
      <c r="J581" t="str">
        <f>IF($A581&lt;&gt;"",'All Cases - Enter Cases'!J581,"")</f>
        <v/>
      </c>
      <c r="K581" s="4" t="str">
        <f>IF($A581&lt;&gt;"",'All Cases - Enter Cases'!K581,"")</f>
        <v/>
      </c>
      <c r="L581" t="str">
        <f>IF($A581&lt;&gt;"",'All Cases - Enter Cases'!L581,"")</f>
        <v/>
      </c>
      <c r="M581" t="str">
        <f>IF($A581&lt;&gt;"",'All Cases - Enter Cases'!M581,"")</f>
        <v/>
      </c>
    </row>
    <row r="582" spans="1:13" x14ac:dyDescent="0.35">
      <c r="A582" s="10" t="str">
        <f>IF('All Cases - Enter Cases'!$F582="Sindh",'All Cases - Enter Cases'!A582,"")</f>
        <v/>
      </c>
      <c r="B582" t="str">
        <f>IF($A582&lt;&gt;"",'All Cases - Enter Cases'!B582,"")</f>
        <v/>
      </c>
      <c r="C582" t="str">
        <f>IF($A582&lt;&gt;"",'All Cases - Enter Cases'!C582,"")</f>
        <v/>
      </c>
      <c r="D582" t="str">
        <f>IF($A582&lt;&gt;"",'All Cases - Enter Cases'!D582,"")</f>
        <v/>
      </c>
      <c r="E582" t="str">
        <f>IF($A582&lt;&gt;"",'All Cases - Enter Cases'!E582,"")</f>
        <v/>
      </c>
      <c r="F582" t="str">
        <f>IF($A582&lt;&gt;"",'All Cases - Enter Cases'!F582,"")</f>
        <v/>
      </c>
      <c r="G582" t="str">
        <f>IF($A582&lt;&gt;"",'All Cases - Enter Cases'!G582,"")</f>
        <v/>
      </c>
      <c r="H582" t="str">
        <f>IF($A582&lt;&gt;"",'All Cases - Enter Cases'!H582,"")</f>
        <v/>
      </c>
      <c r="I582" t="str">
        <f>IF($A582&lt;&gt;"",'All Cases - Enter Cases'!I582,"")</f>
        <v/>
      </c>
      <c r="J582" t="str">
        <f>IF($A582&lt;&gt;"",'All Cases - Enter Cases'!J582,"")</f>
        <v/>
      </c>
      <c r="K582" s="4" t="str">
        <f>IF($A582&lt;&gt;"",'All Cases - Enter Cases'!K582,"")</f>
        <v/>
      </c>
      <c r="L582" t="str">
        <f>IF($A582&lt;&gt;"",'All Cases - Enter Cases'!L582,"")</f>
        <v/>
      </c>
      <c r="M582" t="str">
        <f>IF($A582&lt;&gt;"",'All Cases - Enter Cases'!M582,"")</f>
        <v/>
      </c>
    </row>
    <row r="583" spans="1:13" x14ac:dyDescent="0.35">
      <c r="A583" s="10" t="str">
        <f>IF('All Cases - Enter Cases'!$F583="Sindh",'All Cases - Enter Cases'!A583,"")</f>
        <v/>
      </c>
      <c r="B583" t="str">
        <f>IF($A583&lt;&gt;"",'All Cases - Enter Cases'!B583,"")</f>
        <v/>
      </c>
      <c r="C583" t="str">
        <f>IF($A583&lt;&gt;"",'All Cases - Enter Cases'!C583,"")</f>
        <v/>
      </c>
      <c r="D583" t="str">
        <f>IF($A583&lt;&gt;"",'All Cases - Enter Cases'!D583,"")</f>
        <v/>
      </c>
      <c r="E583" t="str">
        <f>IF($A583&lt;&gt;"",'All Cases - Enter Cases'!E583,"")</f>
        <v/>
      </c>
      <c r="F583" t="str">
        <f>IF($A583&lt;&gt;"",'All Cases - Enter Cases'!F583,"")</f>
        <v/>
      </c>
      <c r="G583" t="str">
        <f>IF($A583&lt;&gt;"",'All Cases - Enter Cases'!G583,"")</f>
        <v/>
      </c>
      <c r="H583" t="str">
        <f>IF($A583&lt;&gt;"",'All Cases - Enter Cases'!H583,"")</f>
        <v/>
      </c>
      <c r="I583" t="str">
        <f>IF($A583&lt;&gt;"",'All Cases - Enter Cases'!I583,"")</f>
        <v/>
      </c>
      <c r="J583" t="str">
        <f>IF($A583&lt;&gt;"",'All Cases - Enter Cases'!J583,"")</f>
        <v/>
      </c>
      <c r="K583" s="4" t="str">
        <f>IF($A583&lt;&gt;"",'All Cases - Enter Cases'!K583,"")</f>
        <v/>
      </c>
      <c r="L583" t="str">
        <f>IF($A583&lt;&gt;"",'All Cases - Enter Cases'!L583,"")</f>
        <v/>
      </c>
      <c r="M583" t="str">
        <f>IF($A583&lt;&gt;"",'All Cases - Enter Cases'!M583,"")</f>
        <v/>
      </c>
    </row>
    <row r="584" spans="1:13" x14ac:dyDescent="0.35">
      <c r="A584" s="10" t="str">
        <f>IF('All Cases - Enter Cases'!$F584="Sindh",'All Cases - Enter Cases'!A584,"")</f>
        <v/>
      </c>
      <c r="B584" t="str">
        <f>IF($A584&lt;&gt;"",'All Cases - Enter Cases'!B584,"")</f>
        <v/>
      </c>
      <c r="C584" t="str">
        <f>IF($A584&lt;&gt;"",'All Cases - Enter Cases'!C584,"")</f>
        <v/>
      </c>
      <c r="D584" t="str">
        <f>IF($A584&lt;&gt;"",'All Cases - Enter Cases'!D584,"")</f>
        <v/>
      </c>
      <c r="E584" t="str">
        <f>IF($A584&lt;&gt;"",'All Cases - Enter Cases'!E584,"")</f>
        <v/>
      </c>
      <c r="F584" t="str">
        <f>IF($A584&lt;&gt;"",'All Cases - Enter Cases'!F584,"")</f>
        <v/>
      </c>
      <c r="G584" t="str">
        <f>IF($A584&lt;&gt;"",'All Cases - Enter Cases'!G584,"")</f>
        <v/>
      </c>
      <c r="H584" t="str">
        <f>IF($A584&lt;&gt;"",'All Cases - Enter Cases'!H584,"")</f>
        <v/>
      </c>
      <c r="I584" t="str">
        <f>IF($A584&lt;&gt;"",'All Cases - Enter Cases'!I584,"")</f>
        <v/>
      </c>
      <c r="J584" t="str">
        <f>IF($A584&lt;&gt;"",'All Cases - Enter Cases'!J584,"")</f>
        <v/>
      </c>
      <c r="K584" s="4" t="str">
        <f>IF($A584&lt;&gt;"",'All Cases - Enter Cases'!K584,"")</f>
        <v/>
      </c>
      <c r="L584" t="str">
        <f>IF($A584&lt;&gt;"",'All Cases - Enter Cases'!L584,"")</f>
        <v/>
      </c>
      <c r="M584" t="str">
        <f>IF($A584&lt;&gt;"",'All Cases - Enter Cases'!M584,"")</f>
        <v/>
      </c>
    </row>
    <row r="585" spans="1:13" x14ac:dyDescent="0.35">
      <c r="A585" s="10" t="str">
        <f>IF('All Cases - Enter Cases'!$F585="Sindh",'All Cases - Enter Cases'!A585,"")</f>
        <v/>
      </c>
      <c r="B585" t="str">
        <f>IF($A585&lt;&gt;"",'All Cases - Enter Cases'!B585,"")</f>
        <v/>
      </c>
      <c r="C585" t="str">
        <f>IF($A585&lt;&gt;"",'All Cases - Enter Cases'!C585,"")</f>
        <v/>
      </c>
      <c r="D585" t="str">
        <f>IF($A585&lt;&gt;"",'All Cases - Enter Cases'!D585,"")</f>
        <v/>
      </c>
      <c r="E585" t="str">
        <f>IF($A585&lt;&gt;"",'All Cases - Enter Cases'!E585,"")</f>
        <v/>
      </c>
      <c r="F585" t="str">
        <f>IF($A585&lt;&gt;"",'All Cases - Enter Cases'!F585,"")</f>
        <v/>
      </c>
      <c r="G585" t="str">
        <f>IF($A585&lt;&gt;"",'All Cases - Enter Cases'!G585,"")</f>
        <v/>
      </c>
      <c r="H585" t="str">
        <f>IF($A585&lt;&gt;"",'All Cases - Enter Cases'!H585,"")</f>
        <v/>
      </c>
      <c r="I585" t="str">
        <f>IF($A585&lt;&gt;"",'All Cases - Enter Cases'!I585,"")</f>
        <v/>
      </c>
      <c r="J585" t="str">
        <f>IF($A585&lt;&gt;"",'All Cases - Enter Cases'!J585,"")</f>
        <v/>
      </c>
      <c r="K585" s="4" t="str">
        <f>IF($A585&lt;&gt;"",'All Cases - Enter Cases'!K585,"")</f>
        <v/>
      </c>
      <c r="L585" t="str">
        <f>IF($A585&lt;&gt;"",'All Cases - Enter Cases'!L585,"")</f>
        <v/>
      </c>
      <c r="M585" t="str">
        <f>IF($A585&lt;&gt;"",'All Cases - Enter Cases'!M585,"")</f>
        <v/>
      </c>
    </row>
    <row r="586" spans="1:13" x14ac:dyDescent="0.35">
      <c r="A586" s="10" t="str">
        <f>IF('All Cases - Enter Cases'!$F586="Sindh",'All Cases - Enter Cases'!A586,"")</f>
        <v/>
      </c>
      <c r="B586" t="str">
        <f>IF($A586&lt;&gt;"",'All Cases - Enter Cases'!B586,"")</f>
        <v/>
      </c>
      <c r="C586" t="str">
        <f>IF($A586&lt;&gt;"",'All Cases - Enter Cases'!C586,"")</f>
        <v/>
      </c>
      <c r="D586" t="str">
        <f>IF($A586&lt;&gt;"",'All Cases - Enter Cases'!D586,"")</f>
        <v/>
      </c>
      <c r="E586" t="str">
        <f>IF($A586&lt;&gt;"",'All Cases - Enter Cases'!E586,"")</f>
        <v/>
      </c>
      <c r="F586" t="str">
        <f>IF($A586&lt;&gt;"",'All Cases - Enter Cases'!F586,"")</f>
        <v/>
      </c>
      <c r="G586" t="str">
        <f>IF($A586&lt;&gt;"",'All Cases - Enter Cases'!G586,"")</f>
        <v/>
      </c>
      <c r="H586" t="str">
        <f>IF($A586&lt;&gt;"",'All Cases - Enter Cases'!H586,"")</f>
        <v/>
      </c>
      <c r="I586" t="str">
        <f>IF($A586&lt;&gt;"",'All Cases - Enter Cases'!I586,"")</f>
        <v/>
      </c>
      <c r="J586" t="str">
        <f>IF($A586&lt;&gt;"",'All Cases - Enter Cases'!J586,"")</f>
        <v/>
      </c>
      <c r="K586" s="4" t="str">
        <f>IF($A586&lt;&gt;"",'All Cases - Enter Cases'!K586,"")</f>
        <v/>
      </c>
      <c r="L586" t="str">
        <f>IF($A586&lt;&gt;"",'All Cases - Enter Cases'!L586,"")</f>
        <v/>
      </c>
      <c r="M586" t="str">
        <f>IF($A586&lt;&gt;"",'All Cases - Enter Cases'!M586,"")</f>
        <v/>
      </c>
    </row>
    <row r="587" spans="1:13" x14ac:dyDescent="0.35">
      <c r="A587" s="10" t="str">
        <f>IF('All Cases - Enter Cases'!$F587="Sindh",'All Cases - Enter Cases'!A587,"")</f>
        <v/>
      </c>
      <c r="B587" t="str">
        <f>IF($A587&lt;&gt;"",'All Cases - Enter Cases'!B587,"")</f>
        <v/>
      </c>
      <c r="C587" t="str">
        <f>IF($A587&lt;&gt;"",'All Cases - Enter Cases'!C587,"")</f>
        <v/>
      </c>
      <c r="D587" t="str">
        <f>IF($A587&lt;&gt;"",'All Cases - Enter Cases'!D587,"")</f>
        <v/>
      </c>
      <c r="E587" t="str">
        <f>IF($A587&lt;&gt;"",'All Cases - Enter Cases'!E587,"")</f>
        <v/>
      </c>
      <c r="F587" t="str">
        <f>IF($A587&lt;&gt;"",'All Cases - Enter Cases'!F587,"")</f>
        <v/>
      </c>
      <c r="G587" t="str">
        <f>IF($A587&lt;&gt;"",'All Cases - Enter Cases'!G587,"")</f>
        <v/>
      </c>
      <c r="H587" t="str">
        <f>IF($A587&lt;&gt;"",'All Cases - Enter Cases'!H587,"")</f>
        <v/>
      </c>
      <c r="I587" t="str">
        <f>IF($A587&lt;&gt;"",'All Cases - Enter Cases'!I587,"")</f>
        <v/>
      </c>
      <c r="J587" t="str">
        <f>IF($A587&lt;&gt;"",'All Cases - Enter Cases'!J587,"")</f>
        <v/>
      </c>
      <c r="K587" s="4" t="str">
        <f>IF($A587&lt;&gt;"",'All Cases - Enter Cases'!K587,"")</f>
        <v/>
      </c>
      <c r="L587" t="str">
        <f>IF($A587&lt;&gt;"",'All Cases - Enter Cases'!L587,"")</f>
        <v/>
      </c>
      <c r="M587" t="str">
        <f>IF($A587&lt;&gt;"",'All Cases - Enter Cases'!M587,"")</f>
        <v/>
      </c>
    </row>
    <row r="588" spans="1:13" x14ac:dyDescent="0.35">
      <c r="A588" s="10" t="str">
        <f>IF('All Cases - Enter Cases'!$F588="Sindh",'All Cases - Enter Cases'!A588,"")</f>
        <v/>
      </c>
      <c r="B588" t="str">
        <f>IF($A588&lt;&gt;"",'All Cases - Enter Cases'!B588,"")</f>
        <v/>
      </c>
      <c r="C588" t="str">
        <f>IF($A588&lt;&gt;"",'All Cases - Enter Cases'!C588,"")</f>
        <v/>
      </c>
      <c r="D588" t="str">
        <f>IF($A588&lt;&gt;"",'All Cases - Enter Cases'!D588,"")</f>
        <v/>
      </c>
      <c r="E588" t="str">
        <f>IF($A588&lt;&gt;"",'All Cases - Enter Cases'!E588,"")</f>
        <v/>
      </c>
      <c r="F588" t="str">
        <f>IF($A588&lt;&gt;"",'All Cases - Enter Cases'!F588,"")</f>
        <v/>
      </c>
      <c r="G588" t="str">
        <f>IF($A588&lt;&gt;"",'All Cases - Enter Cases'!G588,"")</f>
        <v/>
      </c>
      <c r="H588" t="str">
        <f>IF($A588&lt;&gt;"",'All Cases - Enter Cases'!H588,"")</f>
        <v/>
      </c>
      <c r="I588" t="str">
        <f>IF($A588&lt;&gt;"",'All Cases - Enter Cases'!I588,"")</f>
        <v/>
      </c>
      <c r="J588" t="str">
        <f>IF($A588&lt;&gt;"",'All Cases - Enter Cases'!J588,"")</f>
        <v/>
      </c>
      <c r="K588" s="4" t="str">
        <f>IF($A588&lt;&gt;"",'All Cases - Enter Cases'!K588,"")</f>
        <v/>
      </c>
      <c r="L588" t="str">
        <f>IF($A588&lt;&gt;"",'All Cases - Enter Cases'!L588,"")</f>
        <v/>
      </c>
      <c r="M588" t="str">
        <f>IF($A588&lt;&gt;"",'All Cases - Enter Cases'!M588,"")</f>
        <v/>
      </c>
    </row>
    <row r="589" spans="1:13" x14ac:dyDescent="0.35">
      <c r="A589" s="10" t="str">
        <f>IF('All Cases - Enter Cases'!$F589="Sindh",'All Cases - Enter Cases'!A589,"")</f>
        <v/>
      </c>
      <c r="B589" t="str">
        <f>IF($A589&lt;&gt;"",'All Cases - Enter Cases'!B589,"")</f>
        <v/>
      </c>
      <c r="C589" t="str">
        <f>IF($A589&lt;&gt;"",'All Cases - Enter Cases'!C589,"")</f>
        <v/>
      </c>
      <c r="D589" t="str">
        <f>IF($A589&lt;&gt;"",'All Cases - Enter Cases'!D589,"")</f>
        <v/>
      </c>
      <c r="E589" t="str">
        <f>IF($A589&lt;&gt;"",'All Cases - Enter Cases'!E589,"")</f>
        <v/>
      </c>
      <c r="F589" t="str">
        <f>IF($A589&lt;&gt;"",'All Cases - Enter Cases'!F589,"")</f>
        <v/>
      </c>
      <c r="G589" t="str">
        <f>IF($A589&lt;&gt;"",'All Cases - Enter Cases'!G589,"")</f>
        <v/>
      </c>
      <c r="H589" t="str">
        <f>IF($A589&lt;&gt;"",'All Cases - Enter Cases'!H589,"")</f>
        <v/>
      </c>
      <c r="I589" t="str">
        <f>IF($A589&lt;&gt;"",'All Cases - Enter Cases'!I589,"")</f>
        <v/>
      </c>
      <c r="J589" t="str">
        <f>IF($A589&lt;&gt;"",'All Cases - Enter Cases'!J589,"")</f>
        <v/>
      </c>
      <c r="K589" s="4" t="str">
        <f>IF($A589&lt;&gt;"",'All Cases - Enter Cases'!K589,"")</f>
        <v/>
      </c>
      <c r="L589" t="str">
        <f>IF($A589&lt;&gt;"",'All Cases - Enter Cases'!L589,"")</f>
        <v/>
      </c>
      <c r="M589" t="str">
        <f>IF($A589&lt;&gt;"",'All Cases - Enter Cases'!M589,"")</f>
        <v/>
      </c>
    </row>
    <row r="590" spans="1:13" x14ac:dyDescent="0.35">
      <c r="A590" s="10" t="str">
        <f>IF('All Cases - Enter Cases'!$F590="Sindh",'All Cases - Enter Cases'!A590,"")</f>
        <v/>
      </c>
      <c r="B590" t="str">
        <f>IF($A590&lt;&gt;"",'All Cases - Enter Cases'!B590,"")</f>
        <v/>
      </c>
      <c r="C590" t="str">
        <f>IF($A590&lt;&gt;"",'All Cases - Enter Cases'!C590,"")</f>
        <v/>
      </c>
      <c r="D590" t="str">
        <f>IF($A590&lt;&gt;"",'All Cases - Enter Cases'!D590,"")</f>
        <v/>
      </c>
      <c r="E590" t="str">
        <f>IF($A590&lt;&gt;"",'All Cases - Enter Cases'!E590,"")</f>
        <v/>
      </c>
      <c r="F590" t="str">
        <f>IF($A590&lt;&gt;"",'All Cases - Enter Cases'!F590,"")</f>
        <v/>
      </c>
      <c r="G590" t="str">
        <f>IF($A590&lt;&gt;"",'All Cases - Enter Cases'!G590,"")</f>
        <v/>
      </c>
      <c r="H590" t="str">
        <f>IF($A590&lt;&gt;"",'All Cases - Enter Cases'!H590,"")</f>
        <v/>
      </c>
      <c r="I590" t="str">
        <f>IF($A590&lt;&gt;"",'All Cases - Enter Cases'!I590,"")</f>
        <v/>
      </c>
      <c r="J590" t="str">
        <f>IF($A590&lt;&gt;"",'All Cases - Enter Cases'!J590,"")</f>
        <v/>
      </c>
      <c r="K590" s="4" t="str">
        <f>IF($A590&lt;&gt;"",'All Cases - Enter Cases'!K590,"")</f>
        <v/>
      </c>
      <c r="L590" t="str">
        <f>IF($A590&lt;&gt;"",'All Cases - Enter Cases'!L590,"")</f>
        <v/>
      </c>
      <c r="M590" t="str">
        <f>IF($A590&lt;&gt;"",'All Cases - Enter Cases'!M590,"")</f>
        <v/>
      </c>
    </row>
    <row r="591" spans="1:13" x14ac:dyDescent="0.35">
      <c r="A591" s="10" t="str">
        <f>IF('All Cases - Enter Cases'!$F591="Sindh",'All Cases - Enter Cases'!A591,"")</f>
        <v/>
      </c>
      <c r="B591" t="str">
        <f>IF($A591&lt;&gt;"",'All Cases - Enter Cases'!B591,"")</f>
        <v/>
      </c>
      <c r="C591" t="str">
        <f>IF($A591&lt;&gt;"",'All Cases - Enter Cases'!C591,"")</f>
        <v/>
      </c>
      <c r="D591" t="str">
        <f>IF($A591&lt;&gt;"",'All Cases - Enter Cases'!D591,"")</f>
        <v/>
      </c>
      <c r="E591" t="str">
        <f>IF($A591&lt;&gt;"",'All Cases - Enter Cases'!E591,"")</f>
        <v/>
      </c>
      <c r="F591" t="str">
        <f>IF($A591&lt;&gt;"",'All Cases - Enter Cases'!F591,"")</f>
        <v/>
      </c>
      <c r="G591" t="str">
        <f>IF($A591&lt;&gt;"",'All Cases - Enter Cases'!G591,"")</f>
        <v/>
      </c>
      <c r="H591" t="str">
        <f>IF($A591&lt;&gt;"",'All Cases - Enter Cases'!H591,"")</f>
        <v/>
      </c>
      <c r="I591" t="str">
        <f>IF($A591&lt;&gt;"",'All Cases - Enter Cases'!I591,"")</f>
        <v/>
      </c>
      <c r="J591" t="str">
        <f>IF($A591&lt;&gt;"",'All Cases - Enter Cases'!J591,"")</f>
        <v/>
      </c>
      <c r="K591" s="4" t="str">
        <f>IF($A591&lt;&gt;"",'All Cases - Enter Cases'!K591,"")</f>
        <v/>
      </c>
      <c r="L591" t="str">
        <f>IF($A591&lt;&gt;"",'All Cases - Enter Cases'!L591,"")</f>
        <v/>
      </c>
      <c r="M591" t="str">
        <f>IF($A591&lt;&gt;"",'All Cases - Enter Cases'!M591,"")</f>
        <v/>
      </c>
    </row>
    <row r="592" spans="1:13" x14ac:dyDescent="0.35">
      <c r="A592" s="10" t="str">
        <f>IF('All Cases - Enter Cases'!$F592="Sindh",'All Cases - Enter Cases'!A592,"")</f>
        <v/>
      </c>
      <c r="B592" t="str">
        <f>IF($A592&lt;&gt;"",'All Cases - Enter Cases'!B592,"")</f>
        <v/>
      </c>
      <c r="C592" t="str">
        <f>IF($A592&lt;&gt;"",'All Cases - Enter Cases'!C592,"")</f>
        <v/>
      </c>
      <c r="D592" t="str">
        <f>IF($A592&lt;&gt;"",'All Cases - Enter Cases'!D592,"")</f>
        <v/>
      </c>
      <c r="E592" t="str">
        <f>IF($A592&lt;&gt;"",'All Cases - Enter Cases'!E592,"")</f>
        <v/>
      </c>
      <c r="F592" t="str">
        <f>IF($A592&lt;&gt;"",'All Cases - Enter Cases'!F592,"")</f>
        <v/>
      </c>
      <c r="G592" t="str">
        <f>IF($A592&lt;&gt;"",'All Cases - Enter Cases'!G592,"")</f>
        <v/>
      </c>
      <c r="H592" t="str">
        <f>IF($A592&lt;&gt;"",'All Cases - Enter Cases'!H592,"")</f>
        <v/>
      </c>
      <c r="I592" t="str">
        <f>IF($A592&lt;&gt;"",'All Cases - Enter Cases'!I592,"")</f>
        <v/>
      </c>
      <c r="J592" t="str">
        <f>IF($A592&lt;&gt;"",'All Cases - Enter Cases'!J592,"")</f>
        <v/>
      </c>
      <c r="K592" s="4" t="str">
        <f>IF($A592&lt;&gt;"",'All Cases - Enter Cases'!K592,"")</f>
        <v/>
      </c>
      <c r="L592" t="str">
        <f>IF($A592&lt;&gt;"",'All Cases - Enter Cases'!L592,"")</f>
        <v/>
      </c>
      <c r="M592" t="str">
        <f>IF($A592&lt;&gt;"",'All Cases - Enter Cases'!M592,"")</f>
        <v/>
      </c>
    </row>
    <row r="593" spans="1:13" x14ac:dyDescent="0.35">
      <c r="A593" s="10" t="str">
        <f>IF('All Cases - Enter Cases'!$F593="Sindh",'All Cases - Enter Cases'!A593,"")</f>
        <v/>
      </c>
      <c r="B593" t="str">
        <f>IF($A593&lt;&gt;"",'All Cases - Enter Cases'!B593,"")</f>
        <v/>
      </c>
      <c r="C593" t="str">
        <f>IF($A593&lt;&gt;"",'All Cases - Enter Cases'!C593,"")</f>
        <v/>
      </c>
      <c r="D593" t="str">
        <f>IF($A593&lt;&gt;"",'All Cases - Enter Cases'!D593,"")</f>
        <v/>
      </c>
      <c r="E593" t="str">
        <f>IF($A593&lt;&gt;"",'All Cases - Enter Cases'!E593,"")</f>
        <v/>
      </c>
      <c r="F593" t="str">
        <f>IF($A593&lt;&gt;"",'All Cases - Enter Cases'!F593,"")</f>
        <v/>
      </c>
      <c r="G593" t="str">
        <f>IF($A593&lt;&gt;"",'All Cases - Enter Cases'!G593,"")</f>
        <v/>
      </c>
      <c r="H593" t="str">
        <f>IF($A593&lt;&gt;"",'All Cases - Enter Cases'!H593,"")</f>
        <v/>
      </c>
      <c r="I593" t="str">
        <f>IF($A593&lt;&gt;"",'All Cases - Enter Cases'!I593,"")</f>
        <v/>
      </c>
      <c r="J593" t="str">
        <f>IF($A593&lt;&gt;"",'All Cases - Enter Cases'!J593,"")</f>
        <v/>
      </c>
      <c r="K593" s="4" t="str">
        <f>IF($A593&lt;&gt;"",'All Cases - Enter Cases'!K593,"")</f>
        <v/>
      </c>
      <c r="L593" t="str">
        <f>IF($A593&lt;&gt;"",'All Cases - Enter Cases'!L593,"")</f>
        <v/>
      </c>
      <c r="M593" t="str">
        <f>IF($A593&lt;&gt;"",'All Cases - Enter Cases'!M593,"")</f>
        <v/>
      </c>
    </row>
    <row r="594" spans="1:13" x14ac:dyDescent="0.35">
      <c r="A594" s="10" t="str">
        <f>IF('All Cases - Enter Cases'!$F594="Sindh",'All Cases - Enter Cases'!A594,"")</f>
        <v/>
      </c>
      <c r="B594" t="str">
        <f>IF($A594&lt;&gt;"",'All Cases - Enter Cases'!B594,"")</f>
        <v/>
      </c>
      <c r="C594" t="str">
        <f>IF($A594&lt;&gt;"",'All Cases - Enter Cases'!C594,"")</f>
        <v/>
      </c>
      <c r="D594" t="str">
        <f>IF($A594&lt;&gt;"",'All Cases - Enter Cases'!D594,"")</f>
        <v/>
      </c>
      <c r="E594" t="str">
        <f>IF($A594&lt;&gt;"",'All Cases - Enter Cases'!E594,"")</f>
        <v/>
      </c>
      <c r="F594" t="str">
        <f>IF($A594&lt;&gt;"",'All Cases - Enter Cases'!F594,"")</f>
        <v/>
      </c>
      <c r="G594" t="str">
        <f>IF($A594&lt;&gt;"",'All Cases - Enter Cases'!G594,"")</f>
        <v/>
      </c>
      <c r="H594" t="str">
        <f>IF($A594&lt;&gt;"",'All Cases - Enter Cases'!H594,"")</f>
        <v/>
      </c>
      <c r="I594" t="str">
        <f>IF($A594&lt;&gt;"",'All Cases - Enter Cases'!I594,"")</f>
        <v/>
      </c>
      <c r="J594" t="str">
        <f>IF($A594&lt;&gt;"",'All Cases - Enter Cases'!J594,"")</f>
        <v/>
      </c>
      <c r="K594" s="4" t="str">
        <f>IF($A594&lt;&gt;"",'All Cases - Enter Cases'!K594,"")</f>
        <v/>
      </c>
      <c r="L594" t="str">
        <f>IF($A594&lt;&gt;"",'All Cases - Enter Cases'!L594,"")</f>
        <v/>
      </c>
      <c r="M594" t="str">
        <f>IF($A594&lt;&gt;"",'All Cases - Enter Cases'!M594,"")</f>
        <v/>
      </c>
    </row>
    <row r="595" spans="1:13" x14ac:dyDescent="0.35">
      <c r="A595" s="10" t="str">
        <f>IF('All Cases - Enter Cases'!$F595="Sindh",'All Cases - Enter Cases'!A595,"")</f>
        <v/>
      </c>
      <c r="B595" t="str">
        <f>IF($A595&lt;&gt;"",'All Cases - Enter Cases'!B595,"")</f>
        <v/>
      </c>
      <c r="C595" t="str">
        <f>IF($A595&lt;&gt;"",'All Cases - Enter Cases'!C595,"")</f>
        <v/>
      </c>
      <c r="D595" t="str">
        <f>IF($A595&lt;&gt;"",'All Cases - Enter Cases'!D595,"")</f>
        <v/>
      </c>
      <c r="E595" t="str">
        <f>IF($A595&lt;&gt;"",'All Cases - Enter Cases'!E595,"")</f>
        <v/>
      </c>
      <c r="F595" t="str">
        <f>IF($A595&lt;&gt;"",'All Cases - Enter Cases'!F595,"")</f>
        <v/>
      </c>
      <c r="G595" t="str">
        <f>IF($A595&lt;&gt;"",'All Cases - Enter Cases'!G595,"")</f>
        <v/>
      </c>
      <c r="H595" t="str">
        <f>IF($A595&lt;&gt;"",'All Cases - Enter Cases'!H595,"")</f>
        <v/>
      </c>
      <c r="I595" t="str">
        <f>IF($A595&lt;&gt;"",'All Cases - Enter Cases'!I595,"")</f>
        <v/>
      </c>
      <c r="J595" t="str">
        <f>IF($A595&lt;&gt;"",'All Cases - Enter Cases'!J595,"")</f>
        <v/>
      </c>
      <c r="K595" s="4" t="str">
        <f>IF($A595&lt;&gt;"",'All Cases - Enter Cases'!K595,"")</f>
        <v/>
      </c>
      <c r="L595" t="str">
        <f>IF($A595&lt;&gt;"",'All Cases - Enter Cases'!L595,"")</f>
        <v/>
      </c>
      <c r="M595" t="str">
        <f>IF($A595&lt;&gt;"",'All Cases - Enter Cases'!M595,"")</f>
        <v/>
      </c>
    </row>
    <row r="596" spans="1:13" x14ac:dyDescent="0.35">
      <c r="A596" s="10" t="str">
        <f>IF('All Cases - Enter Cases'!$F596="Sindh",'All Cases - Enter Cases'!A596,"")</f>
        <v/>
      </c>
      <c r="B596" t="str">
        <f>IF($A596&lt;&gt;"",'All Cases - Enter Cases'!B596,"")</f>
        <v/>
      </c>
      <c r="C596" t="str">
        <f>IF($A596&lt;&gt;"",'All Cases - Enter Cases'!C596,"")</f>
        <v/>
      </c>
      <c r="D596" t="str">
        <f>IF($A596&lt;&gt;"",'All Cases - Enter Cases'!D596,"")</f>
        <v/>
      </c>
      <c r="E596" t="str">
        <f>IF($A596&lt;&gt;"",'All Cases - Enter Cases'!E596,"")</f>
        <v/>
      </c>
      <c r="F596" t="str">
        <f>IF($A596&lt;&gt;"",'All Cases - Enter Cases'!F596,"")</f>
        <v/>
      </c>
      <c r="G596" t="str">
        <f>IF($A596&lt;&gt;"",'All Cases - Enter Cases'!G596,"")</f>
        <v/>
      </c>
      <c r="H596" t="str">
        <f>IF($A596&lt;&gt;"",'All Cases - Enter Cases'!H596,"")</f>
        <v/>
      </c>
      <c r="I596" t="str">
        <f>IF($A596&lt;&gt;"",'All Cases - Enter Cases'!I596,"")</f>
        <v/>
      </c>
      <c r="J596" t="str">
        <f>IF($A596&lt;&gt;"",'All Cases - Enter Cases'!J596,"")</f>
        <v/>
      </c>
      <c r="K596" s="4" t="str">
        <f>IF($A596&lt;&gt;"",'All Cases - Enter Cases'!K596,"")</f>
        <v/>
      </c>
      <c r="L596" t="str">
        <f>IF($A596&lt;&gt;"",'All Cases - Enter Cases'!L596,"")</f>
        <v/>
      </c>
      <c r="M596" t="str">
        <f>IF($A596&lt;&gt;"",'All Cases - Enter Cases'!M596,"")</f>
        <v/>
      </c>
    </row>
    <row r="597" spans="1:13" x14ac:dyDescent="0.35">
      <c r="A597" s="10" t="str">
        <f>IF('All Cases - Enter Cases'!$F597="Sindh",'All Cases - Enter Cases'!A597,"")</f>
        <v/>
      </c>
      <c r="B597" t="str">
        <f>IF($A597&lt;&gt;"",'All Cases - Enter Cases'!B597,"")</f>
        <v/>
      </c>
      <c r="C597" t="str">
        <f>IF($A597&lt;&gt;"",'All Cases - Enter Cases'!C597,"")</f>
        <v/>
      </c>
      <c r="D597" t="str">
        <f>IF($A597&lt;&gt;"",'All Cases - Enter Cases'!D597,"")</f>
        <v/>
      </c>
      <c r="E597" t="str">
        <f>IF($A597&lt;&gt;"",'All Cases - Enter Cases'!E597,"")</f>
        <v/>
      </c>
      <c r="F597" t="str">
        <f>IF($A597&lt;&gt;"",'All Cases - Enter Cases'!F597,"")</f>
        <v/>
      </c>
      <c r="G597" t="str">
        <f>IF($A597&lt;&gt;"",'All Cases - Enter Cases'!G597,"")</f>
        <v/>
      </c>
      <c r="H597" t="str">
        <f>IF($A597&lt;&gt;"",'All Cases - Enter Cases'!H597,"")</f>
        <v/>
      </c>
      <c r="I597" t="str">
        <f>IF($A597&lt;&gt;"",'All Cases - Enter Cases'!I597,"")</f>
        <v/>
      </c>
      <c r="J597" t="str">
        <f>IF($A597&lt;&gt;"",'All Cases - Enter Cases'!J597,"")</f>
        <v/>
      </c>
      <c r="K597" s="4" t="str">
        <f>IF($A597&lt;&gt;"",'All Cases - Enter Cases'!K597,"")</f>
        <v/>
      </c>
      <c r="L597" t="str">
        <f>IF($A597&lt;&gt;"",'All Cases - Enter Cases'!L597,"")</f>
        <v/>
      </c>
      <c r="M597" t="str">
        <f>IF($A597&lt;&gt;"",'All Cases - Enter Cases'!M597,"")</f>
        <v/>
      </c>
    </row>
    <row r="598" spans="1:13" x14ac:dyDescent="0.35">
      <c r="A598" s="10" t="str">
        <f>IF('All Cases - Enter Cases'!$F598="Sindh",'All Cases - Enter Cases'!A598,"")</f>
        <v/>
      </c>
      <c r="B598" t="str">
        <f>IF($A598&lt;&gt;"",'All Cases - Enter Cases'!B598,"")</f>
        <v/>
      </c>
      <c r="C598" t="str">
        <f>IF($A598&lt;&gt;"",'All Cases - Enter Cases'!C598,"")</f>
        <v/>
      </c>
      <c r="D598" t="str">
        <f>IF($A598&lt;&gt;"",'All Cases - Enter Cases'!D598,"")</f>
        <v/>
      </c>
      <c r="E598" t="str">
        <f>IF($A598&lt;&gt;"",'All Cases - Enter Cases'!E598,"")</f>
        <v/>
      </c>
      <c r="F598" t="str">
        <f>IF($A598&lt;&gt;"",'All Cases - Enter Cases'!F598,"")</f>
        <v/>
      </c>
      <c r="G598" t="str">
        <f>IF($A598&lt;&gt;"",'All Cases - Enter Cases'!G598,"")</f>
        <v/>
      </c>
      <c r="H598" t="str">
        <f>IF($A598&lt;&gt;"",'All Cases - Enter Cases'!H598,"")</f>
        <v/>
      </c>
      <c r="I598" t="str">
        <f>IF($A598&lt;&gt;"",'All Cases - Enter Cases'!I598,"")</f>
        <v/>
      </c>
      <c r="J598" t="str">
        <f>IF($A598&lt;&gt;"",'All Cases - Enter Cases'!J598,"")</f>
        <v/>
      </c>
      <c r="K598" s="4" t="str">
        <f>IF($A598&lt;&gt;"",'All Cases - Enter Cases'!K598,"")</f>
        <v/>
      </c>
      <c r="L598" t="str">
        <f>IF($A598&lt;&gt;"",'All Cases - Enter Cases'!L598,"")</f>
        <v/>
      </c>
      <c r="M598" t="str">
        <f>IF($A598&lt;&gt;"",'All Cases - Enter Cases'!M598,"")</f>
        <v/>
      </c>
    </row>
    <row r="599" spans="1:13" x14ac:dyDescent="0.35">
      <c r="A599" s="10" t="str">
        <f>IF('All Cases - Enter Cases'!$F599="Sindh",'All Cases - Enter Cases'!A599,"")</f>
        <v/>
      </c>
      <c r="B599" t="str">
        <f>IF($A599&lt;&gt;"",'All Cases - Enter Cases'!B599,"")</f>
        <v/>
      </c>
      <c r="C599" t="str">
        <f>IF($A599&lt;&gt;"",'All Cases - Enter Cases'!C599,"")</f>
        <v/>
      </c>
      <c r="D599" t="str">
        <f>IF($A599&lt;&gt;"",'All Cases - Enter Cases'!D599,"")</f>
        <v/>
      </c>
      <c r="E599" t="str">
        <f>IF($A599&lt;&gt;"",'All Cases - Enter Cases'!E599,"")</f>
        <v/>
      </c>
      <c r="F599" t="str">
        <f>IF($A599&lt;&gt;"",'All Cases - Enter Cases'!F599,"")</f>
        <v/>
      </c>
      <c r="G599" t="str">
        <f>IF($A599&lt;&gt;"",'All Cases - Enter Cases'!G599,"")</f>
        <v/>
      </c>
      <c r="H599" t="str">
        <f>IF($A599&lt;&gt;"",'All Cases - Enter Cases'!H599,"")</f>
        <v/>
      </c>
      <c r="I599" t="str">
        <f>IF($A599&lt;&gt;"",'All Cases - Enter Cases'!I599,"")</f>
        <v/>
      </c>
      <c r="J599" t="str">
        <f>IF($A599&lt;&gt;"",'All Cases - Enter Cases'!J599,"")</f>
        <v/>
      </c>
      <c r="K599" s="4" t="str">
        <f>IF($A599&lt;&gt;"",'All Cases - Enter Cases'!K599,"")</f>
        <v/>
      </c>
      <c r="L599" t="str">
        <f>IF($A599&lt;&gt;"",'All Cases - Enter Cases'!L599,"")</f>
        <v/>
      </c>
      <c r="M599" t="str">
        <f>IF($A599&lt;&gt;"",'All Cases - Enter Cases'!M599,"")</f>
        <v/>
      </c>
    </row>
    <row r="600" spans="1:13" x14ac:dyDescent="0.35">
      <c r="A600" s="10" t="str">
        <f>IF('All Cases - Enter Cases'!$F600="Sindh",'All Cases - Enter Cases'!A600,"")</f>
        <v/>
      </c>
      <c r="B600" t="str">
        <f>IF($A600&lt;&gt;"",'All Cases - Enter Cases'!B600,"")</f>
        <v/>
      </c>
      <c r="C600" t="str">
        <f>IF($A600&lt;&gt;"",'All Cases - Enter Cases'!C600,"")</f>
        <v/>
      </c>
      <c r="D600" t="str">
        <f>IF($A600&lt;&gt;"",'All Cases - Enter Cases'!D600,"")</f>
        <v/>
      </c>
      <c r="E600" t="str">
        <f>IF($A600&lt;&gt;"",'All Cases - Enter Cases'!E600,"")</f>
        <v/>
      </c>
      <c r="F600" t="str">
        <f>IF($A600&lt;&gt;"",'All Cases - Enter Cases'!F600,"")</f>
        <v/>
      </c>
      <c r="G600" t="str">
        <f>IF($A600&lt;&gt;"",'All Cases - Enter Cases'!G600,"")</f>
        <v/>
      </c>
      <c r="H600" t="str">
        <f>IF($A600&lt;&gt;"",'All Cases - Enter Cases'!H600,"")</f>
        <v/>
      </c>
      <c r="I600" t="str">
        <f>IF($A600&lt;&gt;"",'All Cases - Enter Cases'!I600,"")</f>
        <v/>
      </c>
      <c r="J600" t="str">
        <f>IF($A600&lt;&gt;"",'All Cases - Enter Cases'!J600,"")</f>
        <v/>
      </c>
      <c r="K600" s="4" t="str">
        <f>IF($A600&lt;&gt;"",'All Cases - Enter Cases'!K600,"")</f>
        <v/>
      </c>
      <c r="L600" t="str">
        <f>IF($A600&lt;&gt;"",'All Cases - Enter Cases'!L600,"")</f>
        <v/>
      </c>
      <c r="M600" t="str">
        <f>IF($A600&lt;&gt;"",'All Cases - Enter Cases'!M600,"")</f>
        <v/>
      </c>
    </row>
    <row r="601" spans="1:13" x14ac:dyDescent="0.35">
      <c r="A601" s="10" t="str">
        <f>IF('All Cases - Enter Cases'!$F601="Sindh",'All Cases - Enter Cases'!A601,"")</f>
        <v/>
      </c>
      <c r="B601" t="str">
        <f>IF($A601&lt;&gt;"",'All Cases - Enter Cases'!B601,"")</f>
        <v/>
      </c>
      <c r="C601" t="str">
        <f>IF($A601&lt;&gt;"",'All Cases - Enter Cases'!C601,"")</f>
        <v/>
      </c>
      <c r="D601" t="str">
        <f>IF($A601&lt;&gt;"",'All Cases - Enter Cases'!D601,"")</f>
        <v/>
      </c>
      <c r="E601" t="str">
        <f>IF($A601&lt;&gt;"",'All Cases - Enter Cases'!E601,"")</f>
        <v/>
      </c>
      <c r="F601" t="str">
        <f>IF($A601&lt;&gt;"",'All Cases - Enter Cases'!F601,"")</f>
        <v/>
      </c>
      <c r="G601" t="str">
        <f>IF($A601&lt;&gt;"",'All Cases - Enter Cases'!G601,"")</f>
        <v/>
      </c>
      <c r="H601" t="str">
        <f>IF($A601&lt;&gt;"",'All Cases - Enter Cases'!H601,"")</f>
        <v/>
      </c>
      <c r="I601" t="str">
        <f>IF($A601&lt;&gt;"",'All Cases - Enter Cases'!I601,"")</f>
        <v/>
      </c>
      <c r="J601" t="str">
        <f>IF($A601&lt;&gt;"",'All Cases - Enter Cases'!J601,"")</f>
        <v/>
      </c>
      <c r="K601" s="4" t="str">
        <f>IF($A601&lt;&gt;"",'All Cases - Enter Cases'!K601,"")</f>
        <v/>
      </c>
      <c r="L601" t="str">
        <f>IF($A601&lt;&gt;"",'All Cases - Enter Cases'!L601,"")</f>
        <v/>
      </c>
      <c r="M601" t="str">
        <f>IF($A601&lt;&gt;"",'All Cases - Enter Cases'!M601,"")</f>
        <v/>
      </c>
    </row>
    <row r="602" spans="1:13" x14ac:dyDescent="0.35">
      <c r="A602" s="10" t="str">
        <f>IF('All Cases - Enter Cases'!$F602="Sindh",'All Cases - Enter Cases'!A602,"")</f>
        <v/>
      </c>
      <c r="B602" t="str">
        <f>IF($A602&lt;&gt;"",'All Cases - Enter Cases'!B602,"")</f>
        <v/>
      </c>
      <c r="C602" t="str">
        <f>IF($A602&lt;&gt;"",'All Cases - Enter Cases'!C602,"")</f>
        <v/>
      </c>
      <c r="D602" t="str">
        <f>IF($A602&lt;&gt;"",'All Cases - Enter Cases'!D602,"")</f>
        <v/>
      </c>
      <c r="E602" t="str">
        <f>IF($A602&lt;&gt;"",'All Cases - Enter Cases'!E602,"")</f>
        <v/>
      </c>
      <c r="F602" t="str">
        <f>IF($A602&lt;&gt;"",'All Cases - Enter Cases'!F602,"")</f>
        <v/>
      </c>
      <c r="G602" t="str">
        <f>IF($A602&lt;&gt;"",'All Cases - Enter Cases'!G602,"")</f>
        <v/>
      </c>
      <c r="H602" t="str">
        <f>IF($A602&lt;&gt;"",'All Cases - Enter Cases'!H602,"")</f>
        <v/>
      </c>
      <c r="I602" t="str">
        <f>IF($A602&lt;&gt;"",'All Cases - Enter Cases'!I602,"")</f>
        <v/>
      </c>
      <c r="J602" t="str">
        <f>IF($A602&lt;&gt;"",'All Cases - Enter Cases'!J602,"")</f>
        <v/>
      </c>
      <c r="K602" s="4" t="str">
        <f>IF($A602&lt;&gt;"",'All Cases - Enter Cases'!K602,"")</f>
        <v/>
      </c>
      <c r="L602" t="str">
        <f>IF($A602&lt;&gt;"",'All Cases - Enter Cases'!L602,"")</f>
        <v/>
      </c>
      <c r="M602" t="str">
        <f>IF($A602&lt;&gt;"",'All Cases - Enter Cases'!M602,"")</f>
        <v/>
      </c>
    </row>
    <row r="603" spans="1:13" x14ac:dyDescent="0.35">
      <c r="A603" s="10" t="str">
        <f>IF('All Cases - Enter Cases'!$F603="Sindh",'All Cases - Enter Cases'!A603,"")</f>
        <v/>
      </c>
      <c r="B603" t="str">
        <f>IF($A603&lt;&gt;"",'All Cases - Enter Cases'!B603,"")</f>
        <v/>
      </c>
      <c r="C603" t="str">
        <f>IF($A603&lt;&gt;"",'All Cases - Enter Cases'!C603,"")</f>
        <v/>
      </c>
      <c r="D603" t="str">
        <f>IF($A603&lt;&gt;"",'All Cases - Enter Cases'!D603,"")</f>
        <v/>
      </c>
      <c r="E603" t="str">
        <f>IF($A603&lt;&gt;"",'All Cases - Enter Cases'!E603,"")</f>
        <v/>
      </c>
      <c r="F603" t="str">
        <f>IF($A603&lt;&gt;"",'All Cases - Enter Cases'!F603,"")</f>
        <v/>
      </c>
      <c r="G603" t="str">
        <f>IF($A603&lt;&gt;"",'All Cases - Enter Cases'!G603,"")</f>
        <v/>
      </c>
      <c r="H603" t="str">
        <f>IF($A603&lt;&gt;"",'All Cases - Enter Cases'!H603,"")</f>
        <v/>
      </c>
      <c r="I603" t="str">
        <f>IF($A603&lt;&gt;"",'All Cases - Enter Cases'!I603,"")</f>
        <v/>
      </c>
      <c r="J603" t="str">
        <f>IF($A603&lt;&gt;"",'All Cases - Enter Cases'!J603,"")</f>
        <v/>
      </c>
      <c r="K603" s="4" t="str">
        <f>IF($A603&lt;&gt;"",'All Cases - Enter Cases'!K603,"")</f>
        <v/>
      </c>
      <c r="L603" t="str">
        <f>IF($A603&lt;&gt;"",'All Cases - Enter Cases'!L603,"")</f>
        <v/>
      </c>
      <c r="M603" t="str">
        <f>IF($A603&lt;&gt;"",'All Cases - Enter Cases'!M603,"")</f>
        <v/>
      </c>
    </row>
    <row r="604" spans="1:13" x14ac:dyDescent="0.35">
      <c r="A604" s="10" t="str">
        <f>IF('All Cases - Enter Cases'!$F604="Sindh",'All Cases - Enter Cases'!A604,"")</f>
        <v/>
      </c>
      <c r="B604" t="str">
        <f>IF($A604&lt;&gt;"",'All Cases - Enter Cases'!B604,"")</f>
        <v/>
      </c>
      <c r="C604" t="str">
        <f>IF($A604&lt;&gt;"",'All Cases - Enter Cases'!C604,"")</f>
        <v/>
      </c>
      <c r="D604" t="str">
        <f>IF($A604&lt;&gt;"",'All Cases - Enter Cases'!D604,"")</f>
        <v/>
      </c>
      <c r="E604" t="str">
        <f>IF($A604&lt;&gt;"",'All Cases - Enter Cases'!E604,"")</f>
        <v/>
      </c>
      <c r="F604" t="str">
        <f>IF($A604&lt;&gt;"",'All Cases - Enter Cases'!F604,"")</f>
        <v/>
      </c>
      <c r="G604" t="str">
        <f>IF($A604&lt;&gt;"",'All Cases - Enter Cases'!G604,"")</f>
        <v/>
      </c>
      <c r="H604" t="str">
        <f>IF($A604&lt;&gt;"",'All Cases - Enter Cases'!H604,"")</f>
        <v/>
      </c>
      <c r="I604" t="str">
        <f>IF($A604&lt;&gt;"",'All Cases - Enter Cases'!I604,"")</f>
        <v/>
      </c>
      <c r="J604" t="str">
        <f>IF($A604&lt;&gt;"",'All Cases - Enter Cases'!J604,"")</f>
        <v/>
      </c>
      <c r="K604" s="4" t="str">
        <f>IF($A604&lt;&gt;"",'All Cases - Enter Cases'!K604,"")</f>
        <v/>
      </c>
      <c r="L604" t="str">
        <f>IF($A604&lt;&gt;"",'All Cases - Enter Cases'!L604,"")</f>
        <v/>
      </c>
      <c r="M604" t="str">
        <f>IF($A604&lt;&gt;"",'All Cases - Enter Cases'!M604,"")</f>
        <v/>
      </c>
    </row>
    <row r="605" spans="1:13" x14ac:dyDescent="0.35">
      <c r="A605" s="10" t="str">
        <f>IF('All Cases - Enter Cases'!$F605="Sindh",'All Cases - Enter Cases'!A605,"")</f>
        <v/>
      </c>
      <c r="B605" t="str">
        <f>IF($A605&lt;&gt;"",'All Cases - Enter Cases'!B605,"")</f>
        <v/>
      </c>
      <c r="C605" t="str">
        <f>IF($A605&lt;&gt;"",'All Cases - Enter Cases'!C605,"")</f>
        <v/>
      </c>
      <c r="D605" t="str">
        <f>IF($A605&lt;&gt;"",'All Cases - Enter Cases'!D605,"")</f>
        <v/>
      </c>
      <c r="E605" t="str">
        <f>IF($A605&lt;&gt;"",'All Cases - Enter Cases'!E605,"")</f>
        <v/>
      </c>
      <c r="F605" t="str">
        <f>IF($A605&lt;&gt;"",'All Cases - Enter Cases'!F605,"")</f>
        <v/>
      </c>
      <c r="G605" t="str">
        <f>IF($A605&lt;&gt;"",'All Cases - Enter Cases'!G605,"")</f>
        <v/>
      </c>
      <c r="H605" t="str">
        <f>IF($A605&lt;&gt;"",'All Cases - Enter Cases'!H605,"")</f>
        <v/>
      </c>
      <c r="I605" t="str">
        <f>IF($A605&lt;&gt;"",'All Cases - Enter Cases'!I605,"")</f>
        <v/>
      </c>
      <c r="J605" t="str">
        <f>IF($A605&lt;&gt;"",'All Cases - Enter Cases'!J605,"")</f>
        <v/>
      </c>
      <c r="K605" s="4" t="str">
        <f>IF($A605&lt;&gt;"",'All Cases - Enter Cases'!K605,"")</f>
        <v/>
      </c>
      <c r="L605" t="str">
        <f>IF($A605&lt;&gt;"",'All Cases - Enter Cases'!L605,"")</f>
        <v/>
      </c>
      <c r="M605" t="str">
        <f>IF($A605&lt;&gt;"",'All Cases - Enter Cases'!M605,"")</f>
        <v/>
      </c>
    </row>
    <row r="606" spans="1:13" x14ac:dyDescent="0.35">
      <c r="A606" s="10" t="str">
        <f>IF('All Cases - Enter Cases'!$F606="Sindh",'All Cases - Enter Cases'!A606,"")</f>
        <v/>
      </c>
      <c r="B606" t="str">
        <f>IF($A606&lt;&gt;"",'All Cases - Enter Cases'!B606,"")</f>
        <v/>
      </c>
      <c r="C606" t="str">
        <f>IF($A606&lt;&gt;"",'All Cases - Enter Cases'!C606,"")</f>
        <v/>
      </c>
      <c r="D606" t="str">
        <f>IF($A606&lt;&gt;"",'All Cases - Enter Cases'!D606,"")</f>
        <v/>
      </c>
      <c r="E606" t="str">
        <f>IF($A606&lt;&gt;"",'All Cases - Enter Cases'!E606,"")</f>
        <v/>
      </c>
      <c r="F606" t="str">
        <f>IF($A606&lt;&gt;"",'All Cases - Enter Cases'!F606,"")</f>
        <v/>
      </c>
      <c r="G606" t="str">
        <f>IF($A606&lt;&gt;"",'All Cases - Enter Cases'!G606,"")</f>
        <v/>
      </c>
      <c r="H606" t="str">
        <f>IF($A606&lt;&gt;"",'All Cases - Enter Cases'!H606,"")</f>
        <v/>
      </c>
      <c r="I606" t="str">
        <f>IF($A606&lt;&gt;"",'All Cases - Enter Cases'!I606,"")</f>
        <v/>
      </c>
      <c r="J606" t="str">
        <f>IF($A606&lt;&gt;"",'All Cases - Enter Cases'!J606,"")</f>
        <v/>
      </c>
      <c r="K606" s="4" t="str">
        <f>IF($A606&lt;&gt;"",'All Cases - Enter Cases'!K606,"")</f>
        <v/>
      </c>
      <c r="L606" t="str">
        <f>IF($A606&lt;&gt;"",'All Cases - Enter Cases'!L606,"")</f>
        <v/>
      </c>
      <c r="M606" t="str">
        <f>IF($A606&lt;&gt;"",'All Cases - Enter Cases'!M606,"")</f>
        <v/>
      </c>
    </row>
    <row r="607" spans="1:13" x14ac:dyDescent="0.35">
      <c r="A607" s="10" t="str">
        <f>IF('All Cases - Enter Cases'!$F607="Sindh",'All Cases - Enter Cases'!A607,"")</f>
        <v/>
      </c>
      <c r="B607" t="str">
        <f>IF($A607&lt;&gt;"",'All Cases - Enter Cases'!B607,"")</f>
        <v/>
      </c>
      <c r="C607" t="str">
        <f>IF($A607&lt;&gt;"",'All Cases - Enter Cases'!C607,"")</f>
        <v/>
      </c>
      <c r="D607" t="str">
        <f>IF($A607&lt;&gt;"",'All Cases - Enter Cases'!D607,"")</f>
        <v/>
      </c>
      <c r="E607" t="str">
        <f>IF($A607&lt;&gt;"",'All Cases - Enter Cases'!E607,"")</f>
        <v/>
      </c>
      <c r="F607" t="str">
        <f>IF($A607&lt;&gt;"",'All Cases - Enter Cases'!F607,"")</f>
        <v/>
      </c>
      <c r="G607" t="str">
        <f>IF($A607&lt;&gt;"",'All Cases - Enter Cases'!G607,"")</f>
        <v/>
      </c>
      <c r="H607" t="str">
        <f>IF($A607&lt;&gt;"",'All Cases - Enter Cases'!H607,"")</f>
        <v/>
      </c>
      <c r="I607" t="str">
        <f>IF($A607&lt;&gt;"",'All Cases - Enter Cases'!I607,"")</f>
        <v/>
      </c>
      <c r="J607" t="str">
        <f>IF($A607&lt;&gt;"",'All Cases - Enter Cases'!J607,"")</f>
        <v/>
      </c>
      <c r="K607" s="4" t="str">
        <f>IF($A607&lt;&gt;"",'All Cases - Enter Cases'!K607,"")</f>
        <v/>
      </c>
      <c r="L607" t="str">
        <f>IF($A607&lt;&gt;"",'All Cases - Enter Cases'!L607,"")</f>
        <v/>
      </c>
      <c r="M607" t="str">
        <f>IF($A607&lt;&gt;"",'All Cases - Enter Cases'!M607,"")</f>
        <v/>
      </c>
    </row>
    <row r="608" spans="1:13" x14ac:dyDescent="0.35">
      <c r="A608" s="10" t="str">
        <f>IF('All Cases - Enter Cases'!$F608="Sindh",'All Cases - Enter Cases'!A608,"")</f>
        <v/>
      </c>
      <c r="B608" t="str">
        <f>IF($A608&lt;&gt;"",'All Cases - Enter Cases'!B608,"")</f>
        <v/>
      </c>
      <c r="C608" t="str">
        <f>IF($A608&lt;&gt;"",'All Cases - Enter Cases'!C608,"")</f>
        <v/>
      </c>
      <c r="D608" t="str">
        <f>IF($A608&lt;&gt;"",'All Cases - Enter Cases'!D608,"")</f>
        <v/>
      </c>
      <c r="E608" t="str">
        <f>IF($A608&lt;&gt;"",'All Cases - Enter Cases'!E608,"")</f>
        <v/>
      </c>
      <c r="F608" t="str">
        <f>IF($A608&lt;&gt;"",'All Cases - Enter Cases'!F608,"")</f>
        <v/>
      </c>
      <c r="G608" t="str">
        <f>IF($A608&lt;&gt;"",'All Cases - Enter Cases'!G608,"")</f>
        <v/>
      </c>
      <c r="H608" t="str">
        <f>IF($A608&lt;&gt;"",'All Cases - Enter Cases'!H608,"")</f>
        <v/>
      </c>
      <c r="I608" t="str">
        <f>IF($A608&lt;&gt;"",'All Cases - Enter Cases'!I608,"")</f>
        <v/>
      </c>
      <c r="J608" t="str">
        <f>IF($A608&lt;&gt;"",'All Cases - Enter Cases'!J608,"")</f>
        <v/>
      </c>
      <c r="K608" s="4" t="str">
        <f>IF($A608&lt;&gt;"",'All Cases - Enter Cases'!K608,"")</f>
        <v/>
      </c>
      <c r="L608" t="str">
        <f>IF($A608&lt;&gt;"",'All Cases - Enter Cases'!L608,"")</f>
        <v/>
      </c>
      <c r="M608" t="str">
        <f>IF($A608&lt;&gt;"",'All Cases - Enter Cases'!M608,"")</f>
        <v/>
      </c>
    </row>
    <row r="609" spans="1:13" x14ac:dyDescent="0.35">
      <c r="A609" s="10" t="str">
        <f>IF('All Cases - Enter Cases'!$F609="Sindh",'All Cases - Enter Cases'!A609,"")</f>
        <v/>
      </c>
      <c r="B609" t="str">
        <f>IF($A609&lt;&gt;"",'All Cases - Enter Cases'!B609,"")</f>
        <v/>
      </c>
      <c r="C609" t="str">
        <f>IF($A609&lt;&gt;"",'All Cases - Enter Cases'!C609,"")</f>
        <v/>
      </c>
      <c r="D609" t="str">
        <f>IF($A609&lt;&gt;"",'All Cases - Enter Cases'!D609,"")</f>
        <v/>
      </c>
      <c r="E609" t="str">
        <f>IF($A609&lt;&gt;"",'All Cases - Enter Cases'!E609,"")</f>
        <v/>
      </c>
      <c r="F609" t="str">
        <f>IF($A609&lt;&gt;"",'All Cases - Enter Cases'!F609,"")</f>
        <v/>
      </c>
      <c r="G609" t="str">
        <f>IF($A609&lt;&gt;"",'All Cases - Enter Cases'!G609,"")</f>
        <v/>
      </c>
      <c r="H609" t="str">
        <f>IF($A609&lt;&gt;"",'All Cases - Enter Cases'!H609,"")</f>
        <v/>
      </c>
      <c r="I609" t="str">
        <f>IF($A609&lt;&gt;"",'All Cases - Enter Cases'!I609,"")</f>
        <v/>
      </c>
      <c r="J609" t="str">
        <f>IF($A609&lt;&gt;"",'All Cases - Enter Cases'!J609,"")</f>
        <v/>
      </c>
      <c r="K609" s="4" t="str">
        <f>IF($A609&lt;&gt;"",'All Cases - Enter Cases'!K609,"")</f>
        <v/>
      </c>
      <c r="L609" t="str">
        <f>IF($A609&lt;&gt;"",'All Cases - Enter Cases'!L609,"")</f>
        <v/>
      </c>
      <c r="M609" t="str">
        <f>IF($A609&lt;&gt;"",'All Cases - Enter Cases'!M609,"")</f>
        <v/>
      </c>
    </row>
    <row r="610" spans="1:13" x14ac:dyDescent="0.35">
      <c r="A610" s="10" t="str">
        <f>IF('All Cases - Enter Cases'!$F610="Sindh",'All Cases - Enter Cases'!A610,"")</f>
        <v/>
      </c>
      <c r="B610" t="str">
        <f>IF($A610&lt;&gt;"",'All Cases - Enter Cases'!B610,"")</f>
        <v/>
      </c>
      <c r="C610" t="str">
        <f>IF($A610&lt;&gt;"",'All Cases - Enter Cases'!C610,"")</f>
        <v/>
      </c>
      <c r="D610" t="str">
        <f>IF($A610&lt;&gt;"",'All Cases - Enter Cases'!D610,"")</f>
        <v/>
      </c>
      <c r="E610" t="str">
        <f>IF($A610&lt;&gt;"",'All Cases - Enter Cases'!E610,"")</f>
        <v/>
      </c>
      <c r="F610" t="str">
        <f>IF($A610&lt;&gt;"",'All Cases - Enter Cases'!F610,"")</f>
        <v/>
      </c>
      <c r="G610" t="str">
        <f>IF($A610&lt;&gt;"",'All Cases - Enter Cases'!G610,"")</f>
        <v/>
      </c>
      <c r="H610" t="str">
        <f>IF($A610&lt;&gt;"",'All Cases - Enter Cases'!H610,"")</f>
        <v/>
      </c>
      <c r="I610" t="str">
        <f>IF($A610&lt;&gt;"",'All Cases - Enter Cases'!I610,"")</f>
        <v/>
      </c>
      <c r="J610" t="str">
        <f>IF($A610&lt;&gt;"",'All Cases - Enter Cases'!J610,"")</f>
        <v/>
      </c>
      <c r="K610" s="4" t="str">
        <f>IF($A610&lt;&gt;"",'All Cases - Enter Cases'!K610,"")</f>
        <v/>
      </c>
      <c r="L610" t="str">
        <f>IF($A610&lt;&gt;"",'All Cases - Enter Cases'!L610,"")</f>
        <v/>
      </c>
      <c r="M610" t="str">
        <f>IF($A610&lt;&gt;"",'All Cases - Enter Cases'!M610,"")</f>
        <v/>
      </c>
    </row>
    <row r="611" spans="1:13" x14ac:dyDescent="0.35">
      <c r="A611" s="10" t="str">
        <f>IF('All Cases - Enter Cases'!$F611="Sindh",'All Cases - Enter Cases'!A611,"")</f>
        <v/>
      </c>
      <c r="B611" t="str">
        <f>IF($A611&lt;&gt;"",'All Cases - Enter Cases'!B611,"")</f>
        <v/>
      </c>
      <c r="C611" t="str">
        <f>IF($A611&lt;&gt;"",'All Cases - Enter Cases'!C611,"")</f>
        <v/>
      </c>
      <c r="D611" t="str">
        <f>IF($A611&lt;&gt;"",'All Cases - Enter Cases'!D611,"")</f>
        <v/>
      </c>
      <c r="E611" t="str">
        <f>IF($A611&lt;&gt;"",'All Cases - Enter Cases'!E611,"")</f>
        <v/>
      </c>
      <c r="F611" t="str">
        <f>IF($A611&lt;&gt;"",'All Cases - Enter Cases'!F611,"")</f>
        <v/>
      </c>
      <c r="G611" t="str">
        <f>IF($A611&lt;&gt;"",'All Cases - Enter Cases'!G611,"")</f>
        <v/>
      </c>
      <c r="H611" t="str">
        <f>IF($A611&lt;&gt;"",'All Cases - Enter Cases'!H611,"")</f>
        <v/>
      </c>
      <c r="I611" t="str">
        <f>IF($A611&lt;&gt;"",'All Cases - Enter Cases'!I611,"")</f>
        <v/>
      </c>
      <c r="J611" t="str">
        <f>IF($A611&lt;&gt;"",'All Cases - Enter Cases'!J611,"")</f>
        <v/>
      </c>
      <c r="K611" s="4" t="str">
        <f>IF($A611&lt;&gt;"",'All Cases - Enter Cases'!K611,"")</f>
        <v/>
      </c>
      <c r="L611" t="str">
        <f>IF($A611&lt;&gt;"",'All Cases - Enter Cases'!L611,"")</f>
        <v/>
      </c>
      <c r="M611" t="str">
        <f>IF($A611&lt;&gt;"",'All Cases - Enter Cases'!M611,"")</f>
        <v/>
      </c>
    </row>
    <row r="612" spans="1:13" x14ac:dyDescent="0.35">
      <c r="A612" s="10" t="str">
        <f>IF('All Cases - Enter Cases'!$F612="Sindh",'All Cases - Enter Cases'!A612,"")</f>
        <v/>
      </c>
      <c r="B612" t="str">
        <f>IF($A612&lt;&gt;"",'All Cases - Enter Cases'!B612,"")</f>
        <v/>
      </c>
      <c r="C612" t="str">
        <f>IF($A612&lt;&gt;"",'All Cases - Enter Cases'!C612,"")</f>
        <v/>
      </c>
      <c r="D612" t="str">
        <f>IF($A612&lt;&gt;"",'All Cases - Enter Cases'!D612,"")</f>
        <v/>
      </c>
      <c r="E612" t="str">
        <f>IF($A612&lt;&gt;"",'All Cases - Enter Cases'!E612,"")</f>
        <v/>
      </c>
      <c r="F612" t="str">
        <f>IF($A612&lt;&gt;"",'All Cases - Enter Cases'!F612,"")</f>
        <v/>
      </c>
      <c r="G612" t="str">
        <f>IF($A612&lt;&gt;"",'All Cases - Enter Cases'!G612,"")</f>
        <v/>
      </c>
      <c r="H612" t="str">
        <f>IF($A612&lt;&gt;"",'All Cases - Enter Cases'!H612,"")</f>
        <v/>
      </c>
      <c r="I612" t="str">
        <f>IF($A612&lt;&gt;"",'All Cases - Enter Cases'!I612,"")</f>
        <v/>
      </c>
      <c r="J612" t="str">
        <f>IF($A612&lt;&gt;"",'All Cases - Enter Cases'!J612,"")</f>
        <v/>
      </c>
      <c r="K612" s="4" t="str">
        <f>IF($A612&lt;&gt;"",'All Cases - Enter Cases'!K612,"")</f>
        <v/>
      </c>
      <c r="L612" t="str">
        <f>IF($A612&lt;&gt;"",'All Cases - Enter Cases'!L612,"")</f>
        <v/>
      </c>
      <c r="M612" t="str">
        <f>IF($A612&lt;&gt;"",'All Cases - Enter Cases'!M612,"")</f>
        <v/>
      </c>
    </row>
    <row r="613" spans="1:13" x14ac:dyDescent="0.35">
      <c r="A613" s="10" t="str">
        <f>IF('All Cases - Enter Cases'!$F613="Sindh",'All Cases - Enter Cases'!A613,"")</f>
        <v/>
      </c>
      <c r="B613" t="str">
        <f>IF($A613&lt;&gt;"",'All Cases - Enter Cases'!B613,"")</f>
        <v/>
      </c>
      <c r="C613" t="str">
        <f>IF($A613&lt;&gt;"",'All Cases - Enter Cases'!C613,"")</f>
        <v/>
      </c>
      <c r="D613" t="str">
        <f>IF($A613&lt;&gt;"",'All Cases - Enter Cases'!D613,"")</f>
        <v/>
      </c>
      <c r="E613" t="str">
        <f>IF($A613&lt;&gt;"",'All Cases - Enter Cases'!E613,"")</f>
        <v/>
      </c>
      <c r="F613" t="str">
        <f>IF($A613&lt;&gt;"",'All Cases - Enter Cases'!F613,"")</f>
        <v/>
      </c>
      <c r="G613" t="str">
        <f>IF($A613&lt;&gt;"",'All Cases - Enter Cases'!G613,"")</f>
        <v/>
      </c>
      <c r="H613" t="str">
        <f>IF($A613&lt;&gt;"",'All Cases - Enter Cases'!H613,"")</f>
        <v/>
      </c>
      <c r="I613" t="str">
        <f>IF($A613&lt;&gt;"",'All Cases - Enter Cases'!I613,"")</f>
        <v/>
      </c>
      <c r="J613" t="str">
        <f>IF($A613&lt;&gt;"",'All Cases - Enter Cases'!J613,"")</f>
        <v/>
      </c>
      <c r="K613" s="4" t="str">
        <f>IF($A613&lt;&gt;"",'All Cases - Enter Cases'!K613,"")</f>
        <v/>
      </c>
      <c r="L613" t="str">
        <f>IF($A613&lt;&gt;"",'All Cases - Enter Cases'!L613,"")</f>
        <v/>
      </c>
      <c r="M613" t="str">
        <f>IF($A613&lt;&gt;"",'All Cases - Enter Cases'!M613,"")</f>
        <v/>
      </c>
    </row>
    <row r="614" spans="1:13" x14ac:dyDescent="0.35">
      <c r="A614" s="10" t="str">
        <f>IF('All Cases - Enter Cases'!$F614="Sindh",'All Cases - Enter Cases'!A614,"")</f>
        <v/>
      </c>
      <c r="B614" t="str">
        <f>IF($A614&lt;&gt;"",'All Cases - Enter Cases'!B614,"")</f>
        <v/>
      </c>
      <c r="C614" t="str">
        <f>IF($A614&lt;&gt;"",'All Cases - Enter Cases'!C614,"")</f>
        <v/>
      </c>
      <c r="D614" t="str">
        <f>IF($A614&lt;&gt;"",'All Cases - Enter Cases'!D614,"")</f>
        <v/>
      </c>
      <c r="E614" t="str">
        <f>IF($A614&lt;&gt;"",'All Cases - Enter Cases'!E614,"")</f>
        <v/>
      </c>
      <c r="F614" t="str">
        <f>IF($A614&lt;&gt;"",'All Cases - Enter Cases'!F614,"")</f>
        <v/>
      </c>
      <c r="G614" t="str">
        <f>IF($A614&lt;&gt;"",'All Cases - Enter Cases'!G614,"")</f>
        <v/>
      </c>
      <c r="H614" t="str">
        <f>IF($A614&lt;&gt;"",'All Cases - Enter Cases'!H614,"")</f>
        <v/>
      </c>
      <c r="I614" t="str">
        <f>IF($A614&lt;&gt;"",'All Cases - Enter Cases'!I614,"")</f>
        <v/>
      </c>
      <c r="J614" t="str">
        <f>IF($A614&lt;&gt;"",'All Cases - Enter Cases'!J614,"")</f>
        <v/>
      </c>
      <c r="K614" s="4" t="str">
        <f>IF($A614&lt;&gt;"",'All Cases - Enter Cases'!K614,"")</f>
        <v/>
      </c>
      <c r="L614" t="str">
        <f>IF($A614&lt;&gt;"",'All Cases - Enter Cases'!L614,"")</f>
        <v/>
      </c>
      <c r="M614" t="str">
        <f>IF($A614&lt;&gt;"",'All Cases - Enter Cases'!M614,"")</f>
        <v/>
      </c>
    </row>
    <row r="615" spans="1:13" x14ac:dyDescent="0.35">
      <c r="A615" s="10" t="str">
        <f>IF('All Cases - Enter Cases'!$F615="Sindh",'All Cases - Enter Cases'!A615,"")</f>
        <v/>
      </c>
      <c r="B615" t="str">
        <f>IF($A615&lt;&gt;"",'All Cases - Enter Cases'!B615,"")</f>
        <v/>
      </c>
      <c r="C615" t="str">
        <f>IF($A615&lt;&gt;"",'All Cases - Enter Cases'!C615,"")</f>
        <v/>
      </c>
      <c r="D615" t="str">
        <f>IF($A615&lt;&gt;"",'All Cases - Enter Cases'!D615,"")</f>
        <v/>
      </c>
      <c r="E615" t="str">
        <f>IF($A615&lt;&gt;"",'All Cases - Enter Cases'!E615,"")</f>
        <v/>
      </c>
      <c r="F615" t="str">
        <f>IF($A615&lt;&gt;"",'All Cases - Enter Cases'!F615,"")</f>
        <v/>
      </c>
      <c r="G615" t="str">
        <f>IF($A615&lt;&gt;"",'All Cases - Enter Cases'!G615,"")</f>
        <v/>
      </c>
      <c r="H615" t="str">
        <f>IF($A615&lt;&gt;"",'All Cases - Enter Cases'!H615,"")</f>
        <v/>
      </c>
      <c r="I615" t="str">
        <f>IF($A615&lt;&gt;"",'All Cases - Enter Cases'!I615,"")</f>
        <v/>
      </c>
      <c r="J615" t="str">
        <f>IF($A615&lt;&gt;"",'All Cases - Enter Cases'!J615,"")</f>
        <v/>
      </c>
      <c r="K615" s="4" t="str">
        <f>IF($A615&lt;&gt;"",'All Cases - Enter Cases'!K615,"")</f>
        <v/>
      </c>
      <c r="L615" t="str">
        <f>IF($A615&lt;&gt;"",'All Cases - Enter Cases'!L615,"")</f>
        <v/>
      </c>
      <c r="M615" t="str">
        <f>IF($A615&lt;&gt;"",'All Cases - Enter Cases'!M615,"")</f>
        <v/>
      </c>
    </row>
    <row r="616" spans="1:13" x14ac:dyDescent="0.35">
      <c r="A616" s="10" t="str">
        <f>IF('All Cases - Enter Cases'!$F616="Sindh",'All Cases - Enter Cases'!A616,"")</f>
        <v/>
      </c>
      <c r="B616" t="str">
        <f>IF($A616&lt;&gt;"",'All Cases - Enter Cases'!B616,"")</f>
        <v/>
      </c>
      <c r="C616" t="str">
        <f>IF($A616&lt;&gt;"",'All Cases - Enter Cases'!C616,"")</f>
        <v/>
      </c>
      <c r="D616" t="str">
        <f>IF($A616&lt;&gt;"",'All Cases - Enter Cases'!D616,"")</f>
        <v/>
      </c>
      <c r="E616" t="str">
        <f>IF($A616&lt;&gt;"",'All Cases - Enter Cases'!E616,"")</f>
        <v/>
      </c>
      <c r="F616" t="str">
        <f>IF($A616&lt;&gt;"",'All Cases - Enter Cases'!F616,"")</f>
        <v/>
      </c>
      <c r="G616" t="str">
        <f>IF($A616&lt;&gt;"",'All Cases - Enter Cases'!G616,"")</f>
        <v/>
      </c>
      <c r="H616" t="str">
        <f>IF($A616&lt;&gt;"",'All Cases - Enter Cases'!H616,"")</f>
        <v/>
      </c>
      <c r="I616" t="str">
        <f>IF($A616&lt;&gt;"",'All Cases - Enter Cases'!I616,"")</f>
        <v/>
      </c>
      <c r="J616" t="str">
        <f>IF($A616&lt;&gt;"",'All Cases - Enter Cases'!J616,"")</f>
        <v/>
      </c>
      <c r="K616" s="4" t="str">
        <f>IF($A616&lt;&gt;"",'All Cases - Enter Cases'!K616,"")</f>
        <v/>
      </c>
      <c r="L616" t="str">
        <f>IF($A616&lt;&gt;"",'All Cases - Enter Cases'!L616,"")</f>
        <v/>
      </c>
      <c r="M616" t="str">
        <f>IF($A616&lt;&gt;"",'All Cases - Enter Cases'!M616,"")</f>
        <v/>
      </c>
    </row>
    <row r="617" spans="1:13" x14ac:dyDescent="0.35">
      <c r="A617" s="10" t="str">
        <f>IF('All Cases - Enter Cases'!$F617="Sindh",'All Cases - Enter Cases'!A617,"")</f>
        <v/>
      </c>
      <c r="B617" t="str">
        <f>IF($A617&lt;&gt;"",'All Cases - Enter Cases'!B617,"")</f>
        <v/>
      </c>
      <c r="C617" t="str">
        <f>IF($A617&lt;&gt;"",'All Cases - Enter Cases'!C617,"")</f>
        <v/>
      </c>
      <c r="D617" t="str">
        <f>IF($A617&lt;&gt;"",'All Cases - Enter Cases'!D617,"")</f>
        <v/>
      </c>
      <c r="E617" t="str">
        <f>IF($A617&lt;&gt;"",'All Cases - Enter Cases'!E617,"")</f>
        <v/>
      </c>
      <c r="F617" t="str">
        <f>IF($A617&lt;&gt;"",'All Cases - Enter Cases'!F617,"")</f>
        <v/>
      </c>
      <c r="G617" t="str">
        <f>IF($A617&lt;&gt;"",'All Cases - Enter Cases'!G617,"")</f>
        <v/>
      </c>
      <c r="H617" t="str">
        <f>IF($A617&lt;&gt;"",'All Cases - Enter Cases'!H617,"")</f>
        <v/>
      </c>
      <c r="I617" t="str">
        <f>IF($A617&lt;&gt;"",'All Cases - Enter Cases'!I617,"")</f>
        <v/>
      </c>
      <c r="J617" t="str">
        <f>IF($A617&lt;&gt;"",'All Cases - Enter Cases'!J617,"")</f>
        <v/>
      </c>
      <c r="K617" s="4" t="str">
        <f>IF($A617&lt;&gt;"",'All Cases - Enter Cases'!K617,"")</f>
        <v/>
      </c>
      <c r="L617" t="str">
        <f>IF($A617&lt;&gt;"",'All Cases - Enter Cases'!L617,"")</f>
        <v/>
      </c>
      <c r="M617" t="str">
        <f>IF($A617&lt;&gt;"",'All Cases - Enter Cases'!M617,"")</f>
        <v/>
      </c>
    </row>
    <row r="618" spans="1:13" x14ac:dyDescent="0.35">
      <c r="A618" s="10" t="str">
        <f>IF('All Cases - Enter Cases'!$F618="Sindh",'All Cases - Enter Cases'!A618,"")</f>
        <v/>
      </c>
      <c r="B618" t="str">
        <f>IF($A618&lt;&gt;"",'All Cases - Enter Cases'!B618,"")</f>
        <v/>
      </c>
      <c r="C618" t="str">
        <f>IF($A618&lt;&gt;"",'All Cases - Enter Cases'!C618,"")</f>
        <v/>
      </c>
      <c r="D618" t="str">
        <f>IF($A618&lt;&gt;"",'All Cases - Enter Cases'!D618,"")</f>
        <v/>
      </c>
      <c r="E618" t="str">
        <f>IF($A618&lt;&gt;"",'All Cases - Enter Cases'!E618,"")</f>
        <v/>
      </c>
      <c r="F618" t="str">
        <f>IF($A618&lt;&gt;"",'All Cases - Enter Cases'!F618,"")</f>
        <v/>
      </c>
      <c r="G618" t="str">
        <f>IF($A618&lt;&gt;"",'All Cases - Enter Cases'!G618,"")</f>
        <v/>
      </c>
      <c r="H618" t="str">
        <f>IF($A618&lt;&gt;"",'All Cases - Enter Cases'!H618,"")</f>
        <v/>
      </c>
      <c r="I618" t="str">
        <f>IF($A618&lt;&gt;"",'All Cases - Enter Cases'!I618,"")</f>
        <v/>
      </c>
      <c r="J618" t="str">
        <f>IF($A618&lt;&gt;"",'All Cases - Enter Cases'!J618,"")</f>
        <v/>
      </c>
      <c r="K618" s="4" t="str">
        <f>IF($A618&lt;&gt;"",'All Cases - Enter Cases'!K618,"")</f>
        <v/>
      </c>
      <c r="L618" t="str">
        <f>IF($A618&lt;&gt;"",'All Cases - Enter Cases'!L618,"")</f>
        <v/>
      </c>
      <c r="M618" t="str">
        <f>IF($A618&lt;&gt;"",'All Cases - Enter Cases'!M618,"")</f>
        <v/>
      </c>
    </row>
    <row r="619" spans="1:13" x14ac:dyDescent="0.35">
      <c r="A619" s="10" t="str">
        <f>IF('All Cases - Enter Cases'!$F619="Sindh",'All Cases - Enter Cases'!A619,"")</f>
        <v/>
      </c>
      <c r="B619" t="str">
        <f>IF($A619&lt;&gt;"",'All Cases - Enter Cases'!B619,"")</f>
        <v/>
      </c>
      <c r="C619" t="str">
        <f>IF($A619&lt;&gt;"",'All Cases - Enter Cases'!C619,"")</f>
        <v/>
      </c>
      <c r="D619" t="str">
        <f>IF($A619&lt;&gt;"",'All Cases - Enter Cases'!D619,"")</f>
        <v/>
      </c>
      <c r="E619" t="str">
        <f>IF($A619&lt;&gt;"",'All Cases - Enter Cases'!E619,"")</f>
        <v/>
      </c>
      <c r="F619" t="str">
        <f>IF($A619&lt;&gt;"",'All Cases - Enter Cases'!F619,"")</f>
        <v/>
      </c>
      <c r="G619" t="str">
        <f>IF($A619&lt;&gt;"",'All Cases - Enter Cases'!G619,"")</f>
        <v/>
      </c>
      <c r="H619" t="str">
        <f>IF($A619&lt;&gt;"",'All Cases - Enter Cases'!H619,"")</f>
        <v/>
      </c>
      <c r="I619" t="str">
        <f>IF($A619&lt;&gt;"",'All Cases - Enter Cases'!I619,"")</f>
        <v/>
      </c>
      <c r="J619" t="str">
        <f>IF($A619&lt;&gt;"",'All Cases - Enter Cases'!J619,"")</f>
        <v/>
      </c>
      <c r="K619" s="4" t="str">
        <f>IF($A619&lt;&gt;"",'All Cases - Enter Cases'!K619,"")</f>
        <v/>
      </c>
      <c r="L619" t="str">
        <f>IF($A619&lt;&gt;"",'All Cases - Enter Cases'!L619,"")</f>
        <v/>
      </c>
      <c r="M619" t="str">
        <f>IF($A619&lt;&gt;"",'All Cases - Enter Cases'!M619,"")</f>
        <v/>
      </c>
    </row>
    <row r="620" spans="1:13" x14ac:dyDescent="0.35">
      <c r="A620" s="10" t="str">
        <f>IF('All Cases - Enter Cases'!$F620="Sindh",'All Cases - Enter Cases'!A620,"")</f>
        <v/>
      </c>
      <c r="B620" t="str">
        <f>IF($A620&lt;&gt;"",'All Cases - Enter Cases'!B620,"")</f>
        <v/>
      </c>
      <c r="C620" t="str">
        <f>IF($A620&lt;&gt;"",'All Cases - Enter Cases'!C620,"")</f>
        <v/>
      </c>
      <c r="D620" t="str">
        <f>IF($A620&lt;&gt;"",'All Cases - Enter Cases'!D620,"")</f>
        <v/>
      </c>
      <c r="E620" t="str">
        <f>IF($A620&lt;&gt;"",'All Cases - Enter Cases'!E620,"")</f>
        <v/>
      </c>
      <c r="F620" t="str">
        <f>IF($A620&lt;&gt;"",'All Cases - Enter Cases'!F620,"")</f>
        <v/>
      </c>
      <c r="G620" t="str">
        <f>IF($A620&lt;&gt;"",'All Cases - Enter Cases'!G620,"")</f>
        <v/>
      </c>
      <c r="H620" t="str">
        <f>IF($A620&lt;&gt;"",'All Cases - Enter Cases'!H620,"")</f>
        <v/>
      </c>
      <c r="I620" t="str">
        <f>IF($A620&lt;&gt;"",'All Cases - Enter Cases'!I620,"")</f>
        <v/>
      </c>
      <c r="J620" t="str">
        <f>IF($A620&lt;&gt;"",'All Cases - Enter Cases'!J620,"")</f>
        <v/>
      </c>
      <c r="K620" s="4" t="str">
        <f>IF($A620&lt;&gt;"",'All Cases - Enter Cases'!K620,"")</f>
        <v/>
      </c>
      <c r="L620" t="str">
        <f>IF($A620&lt;&gt;"",'All Cases - Enter Cases'!L620,"")</f>
        <v/>
      </c>
      <c r="M620" t="str">
        <f>IF($A620&lt;&gt;"",'All Cases - Enter Cases'!M620,"")</f>
        <v/>
      </c>
    </row>
    <row r="621" spans="1:13" x14ac:dyDescent="0.35">
      <c r="A621" s="10" t="str">
        <f>IF('All Cases - Enter Cases'!$F621="Sindh",'All Cases - Enter Cases'!A621,"")</f>
        <v/>
      </c>
      <c r="B621" t="str">
        <f>IF($A621&lt;&gt;"",'All Cases - Enter Cases'!B621,"")</f>
        <v/>
      </c>
      <c r="C621" t="str">
        <f>IF($A621&lt;&gt;"",'All Cases - Enter Cases'!C621,"")</f>
        <v/>
      </c>
      <c r="D621" t="str">
        <f>IF($A621&lt;&gt;"",'All Cases - Enter Cases'!D621,"")</f>
        <v/>
      </c>
      <c r="E621" t="str">
        <f>IF($A621&lt;&gt;"",'All Cases - Enter Cases'!E621,"")</f>
        <v/>
      </c>
      <c r="F621" t="str">
        <f>IF($A621&lt;&gt;"",'All Cases - Enter Cases'!F621,"")</f>
        <v/>
      </c>
      <c r="G621" t="str">
        <f>IF($A621&lt;&gt;"",'All Cases - Enter Cases'!G621,"")</f>
        <v/>
      </c>
      <c r="H621" t="str">
        <f>IF($A621&lt;&gt;"",'All Cases - Enter Cases'!H621,"")</f>
        <v/>
      </c>
      <c r="I621" t="str">
        <f>IF($A621&lt;&gt;"",'All Cases - Enter Cases'!I621,"")</f>
        <v/>
      </c>
      <c r="J621" t="str">
        <f>IF($A621&lt;&gt;"",'All Cases - Enter Cases'!J621,"")</f>
        <v/>
      </c>
      <c r="K621" s="4" t="str">
        <f>IF($A621&lt;&gt;"",'All Cases - Enter Cases'!K621,"")</f>
        <v/>
      </c>
      <c r="L621" t="str">
        <f>IF($A621&lt;&gt;"",'All Cases - Enter Cases'!L621,"")</f>
        <v/>
      </c>
      <c r="M621" t="str">
        <f>IF($A621&lt;&gt;"",'All Cases - Enter Cases'!M621,"")</f>
        <v/>
      </c>
    </row>
    <row r="622" spans="1:13" x14ac:dyDescent="0.35">
      <c r="A622" s="10" t="str">
        <f>IF('All Cases - Enter Cases'!$F622="Sindh",'All Cases - Enter Cases'!A622,"")</f>
        <v/>
      </c>
      <c r="B622" t="str">
        <f>IF($A622&lt;&gt;"",'All Cases - Enter Cases'!B622,"")</f>
        <v/>
      </c>
      <c r="C622" t="str">
        <f>IF($A622&lt;&gt;"",'All Cases - Enter Cases'!C622,"")</f>
        <v/>
      </c>
      <c r="D622" t="str">
        <f>IF($A622&lt;&gt;"",'All Cases - Enter Cases'!D622,"")</f>
        <v/>
      </c>
      <c r="E622" t="str">
        <f>IF($A622&lt;&gt;"",'All Cases - Enter Cases'!E622,"")</f>
        <v/>
      </c>
      <c r="F622" t="str">
        <f>IF($A622&lt;&gt;"",'All Cases - Enter Cases'!F622,"")</f>
        <v/>
      </c>
      <c r="G622" t="str">
        <f>IF($A622&lt;&gt;"",'All Cases - Enter Cases'!G622,"")</f>
        <v/>
      </c>
      <c r="H622" t="str">
        <f>IF($A622&lt;&gt;"",'All Cases - Enter Cases'!H622,"")</f>
        <v/>
      </c>
      <c r="I622" t="str">
        <f>IF($A622&lt;&gt;"",'All Cases - Enter Cases'!I622,"")</f>
        <v/>
      </c>
      <c r="J622" t="str">
        <f>IF($A622&lt;&gt;"",'All Cases - Enter Cases'!J622,"")</f>
        <v/>
      </c>
      <c r="K622" s="4" t="str">
        <f>IF($A622&lt;&gt;"",'All Cases - Enter Cases'!K622,"")</f>
        <v/>
      </c>
      <c r="L622" t="str">
        <f>IF($A622&lt;&gt;"",'All Cases - Enter Cases'!L622,"")</f>
        <v/>
      </c>
      <c r="M622" t="str">
        <f>IF($A622&lt;&gt;"",'All Cases - Enter Cases'!M622,"")</f>
        <v/>
      </c>
    </row>
    <row r="623" spans="1:13" x14ac:dyDescent="0.35">
      <c r="A623" s="10" t="str">
        <f>IF('All Cases - Enter Cases'!$F623="Sindh",'All Cases - Enter Cases'!A623,"")</f>
        <v/>
      </c>
      <c r="B623" t="str">
        <f>IF($A623&lt;&gt;"",'All Cases - Enter Cases'!B623,"")</f>
        <v/>
      </c>
      <c r="C623" t="str">
        <f>IF($A623&lt;&gt;"",'All Cases - Enter Cases'!C623,"")</f>
        <v/>
      </c>
      <c r="D623" t="str">
        <f>IF($A623&lt;&gt;"",'All Cases - Enter Cases'!D623,"")</f>
        <v/>
      </c>
      <c r="E623" t="str">
        <f>IF($A623&lt;&gt;"",'All Cases - Enter Cases'!E623,"")</f>
        <v/>
      </c>
      <c r="F623" t="str">
        <f>IF($A623&lt;&gt;"",'All Cases - Enter Cases'!F623,"")</f>
        <v/>
      </c>
      <c r="G623" t="str">
        <f>IF($A623&lt;&gt;"",'All Cases - Enter Cases'!G623,"")</f>
        <v/>
      </c>
      <c r="H623" t="str">
        <f>IF($A623&lt;&gt;"",'All Cases - Enter Cases'!H623,"")</f>
        <v/>
      </c>
      <c r="I623" t="str">
        <f>IF($A623&lt;&gt;"",'All Cases - Enter Cases'!I623,"")</f>
        <v/>
      </c>
      <c r="J623" t="str">
        <f>IF($A623&lt;&gt;"",'All Cases - Enter Cases'!J623,"")</f>
        <v/>
      </c>
      <c r="K623" s="4" t="str">
        <f>IF($A623&lt;&gt;"",'All Cases - Enter Cases'!K623,"")</f>
        <v/>
      </c>
      <c r="L623" t="str">
        <f>IF($A623&lt;&gt;"",'All Cases - Enter Cases'!L623,"")</f>
        <v/>
      </c>
      <c r="M623" t="str">
        <f>IF($A623&lt;&gt;"",'All Cases - Enter Cases'!M623,"")</f>
        <v/>
      </c>
    </row>
    <row r="624" spans="1:13" x14ac:dyDescent="0.35">
      <c r="A624" s="10" t="str">
        <f>IF('All Cases - Enter Cases'!$F624="Sindh",'All Cases - Enter Cases'!A624,"")</f>
        <v/>
      </c>
      <c r="B624" t="str">
        <f>IF($A624&lt;&gt;"",'All Cases - Enter Cases'!B624,"")</f>
        <v/>
      </c>
      <c r="C624" t="str">
        <f>IF($A624&lt;&gt;"",'All Cases - Enter Cases'!C624,"")</f>
        <v/>
      </c>
      <c r="D624" t="str">
        <f>IF($A624&lt;&gt;"",'All Cases - Enter Cases'!D624,"")</f>
        <v/>
      </c>
      <c r="E624" t="str">
        <f>IF($A624&lt;&gt;"",'All Cases - Enter Cases'!E624,"")</f>
        <v/>
      </c>
      <c r="F624" t="str">
        <f>IF($A624&lt;&gt;"",'All Cases - Enter Cases'!F624,"")</f>
        <v/>
      </c>
      <c r="G624" t="str">
        <f>IF($A624&lt;&gt;"",'All Cases - Enter Cases'!G624,"")</f>
        <v/>
      </c>
      <c r="H624" t="str">
        <f>IF($A624&lt;&gt;"",'All Cases - Enter Cases'!H624,"")</f>
        <v/>
      </c>
      <c r="I624" t="str">
        <f>IF($A624&lt;&gt;"",'All Cases - Enter Cases'!I624,"")</f>
        <v/>
      </c>
      <c r="J624" t="str">
        <f>IF($A624&lt;&gt;"",'All Cases - Enter Cases'!J624,"")</f>
        <v/>
      </c>
      <c r="K624" s="4" t="str">
        <f>IF($A624&lt;&gt;"",'All Cases - Enter Cases'!K624,"")</f>
        <v/>
      </c>
      <c r="L624" t="str">
        <f>IF($A624&lt;&gt;"",'All Cases - Enter Cases'!L624,"")</f>
        <v/>
      </c>
      <c r="M624" t="str">
        <f>IF($A624&lt;&gt;"",'All Cases - Enter Cases'!M624,"")</f>
        <v/>
      </c>
    </row>
    <row r="625" spans="1:13" x14ac:dyDescent="0.35">
      <c r="A625" s="10" t="str">
        <f>IF('All Cases - Enter Cases'!$F625="Sindh",'All Cases - Enter Cases'!A625,"")</f>
        <v/>
      </c>
      <c r="B625" t="str">
        <f>IF($A625&lt;&gt;"",'All Cases - Enter Cases'!B625,"")</f>
        <v/>
      </c>
      <c r="C625" t="str">
        <f>IF($A625&lt;&gt;"",'All Cases - Enter Cases'!C625,"")</f>
        <v/>
      </c>
      <c r="D625" t="str">
        <f>IF($A625&lt;&gt;"",'All Cases - Enter Cases'!D625,"")</f>
        <v/>
      </c>
      <c r="E625" t="str">
        <f>IF($A625&lt;&gt;"",'All Cases - Enter Cases'!E625,"")</f>
        <v/>
      </c>
      <c r="F625" t="str">
        <f>IF($A625&lt;&gt;"",'All Cases - Enter Cases'!F625,"")</f>
        <v/>
      </c>
      <c r="G625" t="str">
        <f>IF($A625&lt;&gt;"",'All Cases - Enter Cases'!G625,"")</f>
        <v/>
      </c>
      <c r="H625" t="str">
        <f>IF($A625&lt;&gt;"",'All Cases - Enter Cases'!H625,"")</f>
        <v/>
      </c>
      <c r="I625" t="str">
        <f>IF($A625&lt;&gt;"",'All Cases - Enter Cases'!I625,"")</f>
        <v/>
      </c>
      <c r="J625" t="str">
        <f>IF($A625&lt;&gt;"",'All Cases - Enter Cases'!J625,"")</f>
        <v/>
      </c>
      <c r="K625" s="4" t="str">
        <f>IF($A625&lt;&gt;"",'All Cases - Enter Cases'!K625,"")</f>
        <v/>
      </c>
      <c r="L625" t="str">
        <f>IF($A625&lt;&gt;"",'All Cases - Enter Cases'!L625,"")</f>
        <v/>
      </c>
      <c r="M625" t="str">
        <f>IF($A625&lt;&gt;"",'All Cases - Enter Cases'!M625,"")</f>
        <v/>
      </c>
    </row>
    <row r="626" spans="1:13" x14ac:dyDescent="0.35">
      <c r="A626" s="10" t="str">
        <f>IF('All Cases - Enter Cases'!$F626="Sindh",'All Cases - Enter Cases'!A626,"")</f>
        <v/>
      </c>
      <c r="B626" t="str">
        <f>IF($A626&lt;&gt;"",'All Cases - Enter Cases'!B626,"")</f>
        <v/>
      </c>
      <c r="C626" t="str">
        <f>IF($A626&lt;&gt;"",'All Cases - Enter Cases'!C626,"")</f>
        <v/>
      </c>
      <c r="D626" t="str">
        <f>IF($A626&lt;&gt;"",'All Cases - Enter Cases'!D626,"")</f>
        <v/>
      </c>
      <c r="E626" t="str">
        <f>IF($A626&lt;&gt;"",'All Cases - Enter Cases'!E626,"")</f>
        <v/>
      </c>
      <c r="F626" t="str">
        <f>IF($A626&lt;&gt;"",'All Cases - Enter Cases'!F626,"")</f>
        <v/>
      </c>
      <c r="G626" t="str">
        <f>IF($A626&lt;&gt;"",'All Cases - Enter Cases'!G626,"")</f>
        <v/>
      </c>
      <c r="H626" t="str">
        <f>IF($A626&lt;&gt;"",'All Cases - Enter Cases'!H626,"")</f>
        <v/>
      </c>
      <c r="I626" t="str">
        <f>IF($A626&lt;&gt;"",'All Cases - Enter Cases'!I626,"")</f>
        <v/>
      </c>
      <c r="J626" t="str">
        <f>IF($A626&lt;&gt;"",'All Cases - Enter Cases'!J626,"")</f>
        <v/>
      </c>
      <c r="K626" s="4" t="str">
        <f>IF($A626&lt;&gt;"",'All Cases - Enter Cases'!K626,"")</f>
        <v/>
      </c>
      <c r="L626" t="str">
        <f>IF($A626&lt;&gt;"",'All Cases - Enter Cases'!L626,"")</f>
        <v/>
      </c>
      <c r="M626" t="str">
        <f>IF($A626&lt;&gt;"",'All Cases - Enter Cases'!M626,"")</f>
        <v/>
      </c>
    </row>
    <row r="627" spans="1:13" x14ac:dyDescent="0.35">
      <c r="A627" s="10" t="str">
        <f>IF('All Cases - Enter Cases'!$F627="Sindh",'All Cases - Enter Cases'!A627,"")</f>
        <v/>
      </c>
      <c r="B627" t="str">
        <f>IF($A627&lt;&gt;"",'All Cases - Enter Cases'!B627,"")</f>
        <v/>
      </c>
      <c r="C627" t="str">
        <f>IF($A627&lt;&gt;"",'All Cases - Enter Cases'!C627,"")</f>
        <v/>
      </c>
      <c r="D627" t="str">
        <f>IF($A627&lt;&gt;"",'All Cases - Enter Cases'!D627,"")</f>
        <v/>
      </c>
      <c r="E627" t="str">
        <f>IF($A627&lt;&gt;"",'All Cases - Enter Cases'!E627,"")</f>
        <v/>
      </c>
      <c r="F627" t="str">
        <f>IF($A627&lt;&gt;"",'All Cases - Enter Cases'!F627,"")</f>
        <v/>
      </c>
      <c r="G627" t="str">
        <f>IF($A627&lt;&gt;"",'All Cases - Enter Cases'!G627,"")</f>
        <v/>
      </c>
      <c r="H627" t="str">
        <f>IF($A627&lt;&gt;"",'All Cases - Enter Cases'!H627,"")</f>
        <v/>
      </c>
      <c r="I627" t="str">
        <f>IF($A627&lt;&gt;"",'All Cases - Enter Cases'!I627,"")</f>
        <v/>
      </c>
      <c r="J627" t="str">
        <f>IF($A627&lt;&gt;"",'All Cases - Enter Cases'!J627,"")</f>
        <v/>
      </c>
      <c r="K627" s="4" t="str">
        <f>IF($A627&lt;&gt;"",'All Cases - Enter Cases'!K627,"")</f>
        <v/>
      </c>
      <c r="L627" t="str">
        <f>IF($A627&lt;&gt;"",'All Cases - Enter Cases'!L627,"")</f>
        <v/>
      </c>
      <c r="M627" t="str">
        <f>IF($A627&lt;&gt;"",'All Cases - Enter Cases'!M627,"")</f>
        <v/>
      </c>
    </row>
    <row r="628" spans="1:13" x14ac:dyDescent="0.35">
      <c r="A628" s="10" t="str">
        <f>IF('All Cases - Enter Cases'!$F628="Sindh",'All Cases - Enter Cases'!A628,"")</f>
        <v/>
      </c>
      <c r="B628" t="str">
        <f>IF($A628&lt;&gt;"",'All Cases - Enter Cases'!B628,"")</f>
        <v/>
      </c>
      <c r="C628" t="str">
        <f>IF($A628&lt;&gt;"",'All Cases - Enter Cases'!C628,"")</f>
        <v/>
      </c>
      <c r="D628" t="str">
        <f>IF($A628&lt;&gt;"",'All Cases - Enter Cases'!D628,"")</f>
        <v/>
      </c>
      <c r="E628" t="str">
        <f>IF($A628&lt;&gt;"",'All Cases - Enter Cases'!E628,"")</f>
        <v/>
      </c>
      <c r="F628" t="str">
        <f>IF($A628&lt;&gt;"",'All Cases - Enter Cases'!F628,"")</f>
        <v/>
      </c>
      <c r="G628" t="str">
        <f>IF($A628&lt;&gt;"",'All Cases - Enter Cases'!G628,"")</f>
        <v/>
      </c>
      <c r="H628" t="str">
        <f>IF($A628&lt;&gt;"",'All Cases - Enter Cases'!H628,"")</f>
        <v/>
      </c>
      <c r="I628" t="str">
        <f>IF($A628&lt;&gt;"",'All Cases - Enter Cases'!I628,"")</f>
        <v/>
      </c>
      <c r="J628" t="str">
        <f>IF($A628&lt;&gt;"",'All Cases - Enter Cases'!J628,"")</f>
        <v/>
      </c>
      <c r="K628" s="4" t="str">
        <f>IF($A628&lt;&gt;"",'All Cases - Enter Cases'!K628,"")</f>
        <v/>
      </c>
      <c r="L628" t="str">
        <f>IF($A628&lt;&gt;"",'All Cases - Enter Cases'!L628,"")</f>
        <v/>
      </c>
      <c r="M628" t="str">
        <f>IF($A628&lt;&gt;"",'All Cases - Enter Cases'!M628,"")</f>
        <v/>
      </c>
    </row>
    <row r="629" spans="1:13" x14ac:dyDescent="0.35">
      <c r="A629" s="10" t="str">
        <f>IF('All Cases - Enter Cases'!$F629="Sindh",'All Cases - Enter Cases'!A629,"")</f>
        <v/>
      </c>
      <c r="B629" t="str">
        <f>IF($A629&lt;&gt;"",'All Cases - Enter Cases'!B629,"")</f>
        <v/>
      </c>
      <c r="C629" t="str">
        <f>IF($A629&lt;&gt;"",'All Cases - Enter Cases'!C629,"")</f>
        <v/>
      </c>
      <c r="D629" t="str">
        <f>IF($A629&lt;&gt;"",'All Cases - Enter Cases'!D629,"")</f>
        <v/>
      </c>
      <c r="E629" t="str">
        <f>IF($A629&lt;&gt;"",'All Cases - Enter Cases'!E629,"")</f>
        <v/>
      </c>
      <c r="F629" t="str">
        <f>IF($A629&lt;&gt;"",'All Cases - Enter Cases'!F629,"")</f>
        <v/>
      </c>
      <c r="G629" t="str">
        <f>IF($A629&lt;&gt;"",'All Cases - Enter Cases'!G629,"")</f>
        <v/>
      </c>
      <c r="H629" t="str">
        <f>IF($A629&lt;&gt;"",'All Cases - Enter Cases'!H629,"")</f>
        <v/>
      </c>
      <c r="I629" t="str">
        <f>IF($A629&lt;&gt;"",'All Cases - Enter Cases'!I629,"")</f>
        <v/>
      </c>
      <c r="J629" t="str">
        <f>IF($A629&lt;&gt;"",'All Cases - Enter Cases'!J629,"")</f>
        <v/>
      </c>
      <c r="K629" s="4" t="str">
        <f>IF($A629&lt;&gt;"",'All Cases - Enter Cases'!K629,"")</f>
        <v/>
      </c>
      <c r="L629" t="str">
        <f>IF($A629&lt;&gt;"",'All Cases - Enter Cases'!L629,"")</f>
        <v/>
      </c>
      <c r="M629" t="str">
        <f>IF($A629&lt;&gt;"",'All Cases - Enter Cases'!M629,"")</f>
        <v/>
      </c>
    </row>
    <row r="630" spans="1:13" x14ac:dyDescent="0.35">
      <c r="A630" s="10" t="str">
        <f>IF('All Cases - Enter Cases'!$F630="Sindh",'All Cases - Enter Cases'!A630,"")</f>
        <v/>
      </c>
      <c r="B630" t="str">
        <f>IF($A630&lt;&gt;"",'All Cases - Enter Cases'!B630,"")</f>
        <v/>
      </c>
      <c r="C630" t="str">
        <f>IF($A630&lt;&gt;"",'All Cases - Enter Cases'!C630,"")</f>
        <v/>
      </c>
      <c r="D630" t="str">
        <f>IF($A630&lt;&gt;"",'All Cases - Enter Cases'!D630,"")</f>
        <v/>
      </c>
      <c r="E630" t="str">
        <f>IF($A630&lt;&gt;"",'All Cases - Enter Cases'!E630,"")</f>
        <v/>
      </c>
      <c r="F630" t="str">
        <f>IF($A630&lt;&gt;"",'All Cases - Enter Cases'!F630,"")</f>
        <v/>
      </c>
      <c r="G630" t="str">
        <f>IF($A630&lt;&gt;"",'All Cases - Enter Cases'!G630,"")</f>
        <v/>
      </c>
      <c r="H630" t="str">
        <f>IF($A630&lt;&gt;"",'All Cases - Enter Cases'!H630,"")</f>
        <v/>
      </c>
      <c r="I630" t="str">
        <f>IF($A630&lt;&gt;"",'All Cases - Enter Cases'!I630,"")</f>
        <v/>
      </c>
      <c r="J630" t="str">
        <f>IF($A630&lt;&gt;"",'All Cases - Enter Cases'!J630,"")</f>
        <v/>
      </c>
      <c r="K630" s="4" t="str">
        <f>IF($A630&lt;&gt;"",'All Cases - Enter Cases'!K630,"")</f>
        <v/>
      </c>
      <c r="L630" t="str">
        <f>IF($A630&lt;&gt;"",'All Cases - Enter Cases'!L630,"")</f>
        <v/>
      </c>
      <c r="M630" t="str">
        <f>IF($A630&lt;&gt;"",'All Cases - Enter Cases'!M630,"")</f>
        <v/>
      </c>
    </row>
    <row r="631" spans="1:13" x14ac:dyDescent="0.35">
      <c r="A631" s="10" t="str">
        <f>IF('All Cases - Enter Cases'!$F631="Sindh",'All Cases - Enter Cases'!A631,"")</f>
        <v/>
      </c>
      <c r="B631" t="str">
        <f>IF($A631&lt;&gt;"",'All Cases - Enter Cases'!B631,"")</f>
        <v/>
      </c>
      <c r="C631" t="str">
        <f>IF($A631&lt;&gt;"",'All Cases - Enter Cases'!C631,"")</f>
        <v/>
      </c>
      <c r="D631" t="str">
        <f>IF($A631&lt;&gt;"",'All Cases - Enter Cases'!D631,"")</f>
        <v/>
      </c>
      <c r="E631" t="str">
        <f>IF($A631&lt;&gt;"",'All Cases - Enter Cases'!E631,"")</f>
        <v/>
      </c>
      <c r="F631" t="str">
        <f>IF($A631&lt;&gt;"",'All Cases - Enter Cases'!F631,"")</f>
        <v/>
      </c>
      <c r="G631" t="str">
        <f>IF($A631&lt;&gt;"",'All Cases - Enter Cases'!G631,"")</f>
        <v/>
      </c>
      <c r="H631" t="str">
        <f>IF($A631&lt;&gt;"",'All Cases - Enter Cases'!H631,"")</f>
        <v/>
      </c>
      <c r="I631" t="str">
        <f>IF($A631&lt;&gt;"",'All Cases - Enter Cases'!I631,"")</f>
        <v/>
      </c>
      <c r="J631" t="str">
        <f>IF($A631&lt;&gt;"",'All Cases - Enter Cases'!J631,"")</f>
        <v/>
      </c>
      <c r="K631" s="4" t="str">
        <f>IF($A631&lt;&gt;"",'All Cases - Enter Cases'!K631,"")</f>
        <v/>
      </c>
      <c r="L631" t="str">
        <f>IF($A631&lt;&gt;"",'All Cases - Enter Cases'!L631,"")</f>
        <v/>
      </c>
      <c r="M631" t="str">
        <f>IF($A631&lt;&gt;"",'All Cases - Enter Cases'!M631,"")</f>
        <v/>
      </c>
    </row>
    <row r="632" spans="1:13" x14ac:dyDescent="0.35">
      <c r="A632" s="10" t="str">
        <f>IF('All Cases - Enter Cases'!$F632="Sindh",'All Cases - Enter Cases'!A632,"")</f>
        <v/>
      </c>
      <c r="B632" t="str">
        <f>IF($A632&lt;&gt;"",'All Cases - Enter Cases'!B632,"")</f>
        <v/>
      </c>
      <c r="C632" t="str">
        <f>IF($A632&lt;&gt;"",'All Cases - Enter Cases'!C632,"")</f>
        <v/>
      </c>
      <c r="D632" t="str">
        <f>IF($A632&lt;&gt;"",'All Cases - Enter Cases'!D632,"")</f>
        <v/>
      </c>
      <c r="E632" t="str">
        <f>IF($A632&lt;&gt;"",'All Cases - Enter Cases'!E632,"")</f>
        <v/>
      </c>
      <c r="F632" t="str">
        <f>IF($A632&lt;&gt;"",'All Cases - Enter Cases'!F632,"")</f>
        <v/>
      </c>
      <c r="G632" t="str">
        <f>IF($A632&lt;&gt;"",'All Cases - Enter Cases'!G632,"")</f>
        <v/>
      </c>
      <c r="H632" t="str">
        <f>IF($A632&lt;&gt;"",'All Cases - Enter Cases'!H632,"")</f>
        <v/>
      </c>
      <c r="I632" t="str">
        <f>IF($A632&lt;&gt;"",'All Cases - Enter Cases'!I632,"")</f>
        <v/>
      </c>
      <c r="J632" t="str">
        <f>IF($A632&lt;&gt;"",'All Cases - Enter Cases'!J632,"")</f>
        <v/>
      </c>
      <c r="K632" s="4" t="str">
        <f>IF($A632&lt;&gt;"",'All Cases - Enter Cases'!K632,"")</f>
        <v/>
      </c>
      <c r="L632" t="str">
        <f>IF($A632&lt;&gt;"",'All Cases - Enter Cases'!L632,"")</f>
        <v/>
      </c>
      <c r="M632" t="str">
        <f>IF($A632&lt;&gt;"",'All Cases - Enter Cases'!M632,"")</f>
        <v/>
      </c>
    </row>
    <row r="633" spans="1:13" x14ac:dyDescent="0.35">
      <c r="A633" s="10" t="str">
        <f>IF('All Cases - Enter Cases'!$F633="Sindh",'All Cases - Enter Cases'!A633,"")</f>
        <v/>
      </c>
      <c r="B633" t="str">
        <f>IF($A633&lt;&gt;"",'All Cases - Enter Cases'!B633,"")</f>
        <v/>
      </c>
      <c r="C633" t="str">
        <f>IF($A633&lt;&gt;"",'All Cases - Enter Cases'!C633,"")</f>
        <v/>
      </c>
      <c r="D633" t="str">
        <f>IF($A633&lt;&gt;"",'All Cases - Enter Cases'!D633,"")</f>
        <v/>
      </c>
      <c r="E633" t="str">
        <f>IF($A633&lt;&gt;"",'All Cases - Enter Cases'!E633,"")</f>
        <v/>
      </c>
      <c r="F633" t="str">
        <f>IF($A633&lt;&gt;"",'All Cases - Enter Cases'!F633,"")</f>
        <v/>
      </c>
      <c r="G633" t="str">
        <f>IF($A633&lt;&gt;"",'All Cases - Enter Cases'!G633,"")</f>
        <v/>
      </c>
      <c r="H633" t="str">
        <f>IF($A633&lt;&gt;"",'All Cases - Enter Cases'!H633,"")</f>
        <v/>
      </c>
      <c r="I633" t="str">
        <f>IF($A633&lt;&gt;"",'All Cases - Enter Cases'!I633,"")</f>
        <v/>
      </c>
      <c r="J633" t="str">
        <f>IF($A633&lt;&gt;"",'All Cases - Enter Cases'!J633,"")</f>
        <v/>
      </c>
      <c r="K633" s="4" t="str">
        <f>IF($A633&lt;&gt;"",'All Cases - Enter Cases'!K633,"")</f>
        <v/>
      </c>
      <c r="L633" t="str">
        <f>IF($A633&lt;&gt;"",'All Cases - Enter Cases'!L633,"")</f>
        <v/>
      </c>
      <c r="M633" t="str">
        <f>IF($A633&lt;&gt;"",'All Cases - Enter Cases'!M633,"")</f>
        <v/>
      </c>
    </row>
    <row r="634" spans="1:13" x14ac:dyDescent="0.35">
      <c r="A634" s="10" t="str">
        <f>IF('All Cases - Enter Cases'!$F634="Sindh",'All Cases - Enter Cases'!A634,"")</f>
        <v/>
      </c>
      <c r="B634" t="str">
        <f>IF($A634&lt;&gt;"",'All Cases - Enter Cases'!B634,"")</f>
        <v/>
      </c>
      <c r="C634" t="str">
        <f>IF($A634&lt;&gt;"",'All Cases - Enter Cases'!C634,"")</f>
        <v/>
      </c>
      <c r="D634" t="str">
        <f>IF($A634&lt;&gt;"",'All Cases - Enter Cases'!D634,"")</f>
        <v/>
      </c>
      <c r="E634" t="str">
        <f>IF($A634&lt;&gt;"",'All Cases - Enter Cases'!E634,"")</f>
        <v/>
      </c>
      <c r="F634" t="str">
        <f>IF($A634&lt;&gt;"",'All Cases - Enter Cases'!F634,"")</f>
        <v/>
      </c>
      <c r="G634" t="str">
        <f>IF($A634&lt;&gt;"",'All Cases - Enter Cases'!G634,"")</f>
        <v/>
      </c>
      <c r="H634" t="str">
        <f>IF($A634&lt;&gt;"",'All Cases - Enter Cases'!H634,"")</f>
        <v/>
      </c>
      <c r="I634" t="str">
        <f>IF($A634&lt;&gt;"",'All Cases - Enter Cases'!I634,"")</f>
        <v/>
      </c>
      <c r="J634" t="str">
        <f>IF($A634&lt;&gt;"",'All Cases - Enter Cases'!J634,"")</f>
        <v/>
      </c>
      <c r="K634" s="4" t="str">
        <f>IF($A634&lt;&gt;"",'All Cases - Enter Cases'!K634,"")</f>
        <v/>
      </c>
      <c r="L634" t="str">
        <f>IF($A634&lt;&gt;"",'All Cases - Enter Cases'!L634,"")</f>
        <v/>
      </c>
      <c r="M634" t="str">
        <f>IF($A634&lt;&gt;"",'All Cases - Enter Cases'!M634,"")</f>
        <v/>
      </c>
    </row>
    <row r="635" spans="1:13" x14ac:dyDescent="0.35">
      <c r="A635" s="10" t="str">
        <f>IF('All Cases - Enter Cases'!$F635="Sindh",'All Cases - Enter Cases'!A635,"")</f>
        <v/>
      </c>
      <c r="B635" t="str">
        <f>IF($A635&lt;&gt;"",'All Cases - Enter Cases'!B635,"")</f>
        <v/>
      </c>
      <c r="C635" t="str">
        <f>IF($A635&lt;&gt;"",'All Cases - Enter Cases'!C635,"")</f>
        <v/>
      </c>
      <c r="D635" t="str">
        <f>IF($A635&lt;&gt;"",'All Cases - Enter Cases'!D635,"")</f>
        <v/>
      </c>
      <c r="E635" t="str">
        <f>IF($A635&lt;&gt;"",'All Cases - Enter Cases'!E635,"")</f>
        <v/>
      </c>
      <c r="F635" t="str">
        <f>IF($A635&lt;&gt;"",'All Cases - Enter Cases'!F635,"")</f>
        <v/>
      </c>
      <c r="G635" t="str">
        <f>IF($A635&lt;&gt;"",'All Cases - Enter Cases'!G635,"")</f>
        <v/>
      </c>
      <c r="H635" t="str">
        <f>IF($A635&lt;&gt;"",'All Cases - Enter Cases'!H635,"")</f>
        <v/>
      </c>
      <c r="I635" t="str">
        <f>IF($A635&lt;&gt;"",'All Cases - Enter Cases'!I635,"")</f>
        <v/>
      </c>
      <c r="J635" t="str">
        <f>IF($A635&lt;&gt;"",'All Cases - Enter Cases'!J635,"")</f>
        <v/>
      </c>
      <c r="K635" s="4" t="str">
        <f>IF($A635&lt;&gt;"",'All Cases - Enter Cases'!K635,"")</f>
        <v/>
      </c>
      <c r="L635" t="str">
        <f>IF($A635&lt;&gt;"",'All Cases - Enter Cases'!L635,"")</f>
        <v/>
      </c>
      <c r="M635" t="str">
        <f>IF($A635&lt;&gt;"",'All Cases - Enter Cases'!M635,"")</f>
        <v/>
      </c>
    </row>
    <row r="636" spans="1:13" x14ac:dyDescent="0.35">
      <c r="A636" s="10" t="str">
        <f>IF('All Cases - Enter Cases'!$F636="Sindh",'All Cases - Enter Cases'!A636,"")</f>
        <v/>
      </c>
      <c r="B636" t="str">
        <f>IF($A636&lt;&gt;"",'All Cases - Enter Cases'!B636,"")</f>
        <v/>
      </c>
      <c r="C636" t="str">
        <f>IF($A636&lt;&gt;"",'All Cases - Enter Cases'!C636,"")</f>
        <v/>
      </c>
      <c r="D636" t="str">
        <f>IF($A636&lt;&gt;"",'All Cases - Enter Cases'!D636,"")</f>
        <v/>
      </c>
      <c r="E636" t="str">
        <f>IF($A636&lt;&gt;"",'All Cases - Enter Cases'!E636,"")</f>
        <v/>
      </c>
      <c r="F636" t="str">
        <f>IF($A636&lt;&gt;"",'All Cases - Enter Cases'!F636,"")</f>
        <v/>
      </c>
      <c r="G636" t="str">
        <f>IF($A636&lt;&gt;"",'All Cases - Enter Cases'!G636,"")</f>
        <v/>
      </c>
      <c r="H636" t="str">
        <f>IF($A636&lt;&gt;"",'All Cases - Enter Cases'!H636,"")</f>
        <v/>
      </c>
      <c r="I636" t="str">
        <f>IF($A636&lt;&gt;"",'All Cases - Enter Cases'!I636,"")</f>
        <v/>
      </c>
      <c r="J636" t="str">
        <f>IF($A636&lt;&gt;"",'All Cases - Enter Cases'!J636,"")</f>
        <v/>
      </c>
      <c r="K636" s="4" t="str">
        <f>IF($A636&lt;&gt;"",'All Cases - Enter Cases'!K636,"")</f>
        <v/>
      </c>
      <c r="L636" t="str">
        <f>IF($A636&lt;&gt;"",'All Cases - Enter Cases'!L636,"")</f>
        <v/>
      </c>
      <c r="M636" t="str">
        <f>IF($A636&lt;&gt;"",'All Cases - Enter Cases'!M636,"")</f>
        <v/>
      </c>
    </row>
    <row r="637" spans="1:13" x14ac:dyDescent="0.35">
      <c r="A637" s="10" t="str">
        <f>IF('All Cases - Enter Cases'!$F637="Sindh",'All Cases - Enter Cases'!A637,"")</f>
        <v/>
      </c>
      <c r="B637" t="str">
        <f>IF($A637&lt;&gt;"",'All Cases - Enter Cases'!B637,"")</f>
        <v/>
      </c>
      <c r="C637" t="str">
        <f>IF($A637&lt;&gt;"",'All Cases - Enter Cases'!C637,"")</f>
        <v/>
      </c>
      <c r="D637" t="str">
        <f>IF($A637&lt;&gt;"",'All Cases - Enter Cases'!D637,"")</f>
        <v/>
      </c>
      <c r="E637" t="str">
        <f>IF($A637&lt;&gt;"",'All Cases - Enter Cases'!E637,"")</f>
        <v/>
      </c>
      <c r="F637" t="str">
        <f>IF($A637&lt;&gt;"",'All Cases - Enter Cases'!F637,"")</f>
        <v/>
      </c>
      <c r="G637" t="str">
        <f>IF($A637&lt;&gt;"",'All Cases - Enter Cases'!G637,"")</f>
        <v/>
      </c>
      <c r="H637" t="str">
        <f>IF($A637&lt;&gt;"",'All Cases - Enter Cases'!H637,"")</f>
        <v/>
      </c>
      <c r="I637" t="str">
        <f>IF($A637&lt;&gt;"",'All Cases - Enter Cases'!I637,"")</f>
        <v/>
      </c>
      <c r="J637" t="str">
        <f>IF($A637&lt;&gt;"",'All Cases - Enter Cases'!J637,"")</f>
        <v/>
      </c>
      <c r="K637" s="4" t="str">
        <f>IF($A637&lt;&gt;"",'All Cases - Enter Cases'!K637,"")</f>
        <v/>
      </c>
      <c r="L637" t="str">
        <f>IF($A637&lt;&gt;"",'All Cases - Enter Cases'!L637,"")</f>
        <v/>
      </c>
      <c r="M637" t="str">
        <f>IF($A637&lt;&gt;"",'All Cases - Enter Cases'!M637,"")</f>
        <v/>
      </c>
    </row>
    <row r="638" spans="1:13" x14ac:dyDescent="0.35">
      <c r="A638" s="10" t="str">
        <f>IF('All Cases - Enter Cases'!$F638="Sindh",'All Cases - Enter Cases'!A638,"")</f>
        <v/>
      </c>
      <c r="B638" t="str">
        <f>IF($A638&lt;&gt;"",'All Cases - Enter Cases'!B638,"")</f>
        <v/>
      </c>
      <c r="C638" t="str">
        <f>IF($A638&lt;&gt;"",'All Cases - Enter Cases'!C638,"")</f>
        <v/>
      </c>
      <c r="D638" t="str">
        <f>IF($A638&lt;&gt;"",'All Cases - Enter Cases'!D638,"")</f>
        <v/>
      </c>
      <c r="E638" t="str">
        <f>IF($A638&lt;&gt;"",'All Cases - Enter Cases'!E638,"")</f>
        <v/>
      </c>
      <c r="F638" t="str">
        <f>IF($A638&lt;&gt;"",'All Cases - Enter Cases'!F638,"")</f>
        <v/>
      </c>
      <c r="G638" t="str">
        <f>IF($A638&lt;&gt;"",'All Cases - Enter Cases'!G638,"")</f>
        <v/>
      </c>
      <c r="H638" t="str">
        <f>IF($A638&lt;&gt;"",'All Cases - Enter Cases'!H638,"")</f>
        <v/>
      </c>
      <c r="I638" t="str">
        <f>IF($A638&lt;&gt;"",'All Cases - Enter Cases'!I638,"")</f>
        <v/>
      </c>
      <c r="J638" t="str">
        <f>IF($A638&lt;&gt;"",'All Cases - Enter Cases'!J638,"")</f>
        <v/>
      </c>
      <c r="K638" s="4" t="str">
        <f>IF($A638&lt;&gt;"",'All Cases - Enter Cases'!K638,"")</f>
        <v/>
      </c>
      <c r="L638" t="str">
        <f>IF($A638&lt;&gt;"",'All Cases - Enter Cases'!L638,"")</f>
        <v/>
      </c>
      <c r="M638" t="str">
        <f>IF($A638&lt;&gt;"",'All Cases - Enter Cases'!M638,"")</f>
        <v/>
      </c>
    </row>
    <row r="639" spans="1:13" x14ac:dyDescent="0.35">
      <c r="A639" s="10" t="str">
        <f>IF('All Cases - Enter Cases'!$F639="Sindh",'All Cases - Enter Cases'!A639,"")</f>
        <v/>
      </c>
      <c r="B639" t="str">
        <f>IF($A639&lt;&gt;"",'All Cases - Enter Cases'!B639,"")</f>
        <v/>
      </c>
      <c r="C639" t="str">
        <f>IF($A639&lt;&gt;"",'All Cases - Enter Cases'!C639,"")</f>
        <v/>
      </c>
      <c r="D639" t="str">
        <f>IF($A639&lt;&gt;"",'All Cases - Enter Cases'!D639,"")</f>
        <v/>
      </c>
      <c r="E639" t="str">
        <f>IF($A639&lt;&gt;"",'All Cases - Enter Cases'!E639,"")</f>
        <v/>
      </c>
      <c r="F639" t="str">
        <f>IF($A639&lt;&gt;"",'All Cases - Enter Cases'!F639,"")</f>
        <v/>
      </c>
      <c r="G639" t="str">
        <f>IF($A639&lt;&gt;"",'All Cases - Enter Cases'!G639,"")</f>
        <v/>
      </c>
      <c r="H639" t="str">
        <f>IF($A639&lt;&gt;"",'All Cases - Enter Cases'!H639,"")</f>
        <v/>
      </c>
      <c r="I639" t="str">
        <f>IF($A639&lt;&gt;"",'All Cases - Enter Cases'!I639,"")</f>
        <v/>
      </c>
      <c r="J639" t="str">
        <f>IF($A639&lt;&gt;"",'All Cases - Enter Cases'!J639,"")</f>
        <v/>
      </c>
      <c r="K639" s="4" t="str">
        <f>IF($A639&lt;&gt;"",'All Cases - Enter Cases'!K639,"")</f>
        <v/>
      </c>
      <c r="L639" t="str">
        <f>IF($A639&lt;&gt;"",'All Cases - Enter Cases'!L639,"")</f>
        <v/>
      </c>
      <c r="M639" t="str">
        <f>IF($A639&lt;&gt;"",'All Cases - Enter Cases'!M639,"")</f>
        <v/>
      </c>
    </row>
    <row r="640" spans="1:13" x14ac:dyDescent="0.35">
      <c r="A640" s="10" t="str">
        <f>IF('All Cases - Enter Cases'!$F640="Sindh",'All Cases - Enter Cases'!A640,"")</f>
        <v/>
      </c>
      <c r="B640" t="str">
        <f>IF($A640&lt;&gt;"",'All Cases - Enter Cases'!B640,"")</f>
        <v/>
      </c>
      <c r="C640" t="str">
        <f>IF($A640&lt;&gt;"",'All Cases - Enter Cases'!C640,"")</f>
        <v/>
      </c>
      <c r="D640" t="str">
        <f>IF($A640&lt;&gt;"",'All Cases - Enter Cases'!D640,"")</f>
        <v/>
      </c>
      <c r="E640" t="str">
        <f>IF($A640&lt;&gt;"",'All Cases - Enter Cases'!E640,"")</f>
        <v/>
      </c>
      <c r="F640" t="str">
        <f>IF($A640&lt;&gt;"",'All Cases - Enter Cases'!F640,"")</f>
        <v/>
      </c>
      <c r="G640" t="str">
        <f>IF($A640&lt;&gt;"",'All Cases - Enter Cases'!G640,"")</f>
        <v/>
      </c>
      <c r="H640" t="str">
        <f>IF($A640&lt;&gt;"",'All Cases - Enter Cases'!H640,"")</f>
        <v/>
      </c>
      <c r="I640" t="str">
        <f>IF($A640&lt;&gt;"",'All Cases - Enter Cases'!I640,"")</f>
        <v/>
      </c>
      <c r="J640" t="str">
        <f>IF($A640&lt;&gt;"",'All Cases - Enter Cases'!J640,"")</f>
        <v/>
      </c>
      <c r="K640" s="4" t="str">
        <f>IF($A640&lt;&gt;"",'All Cases - Enter Cases'!K640,"")</f>
        <v/>
      </c>
      <c r="L640" t="str">
        <f>IF($A640&lt;&gt;"",'All Cases - Enter Cases'!L640,"")</f>
        <v/>
      </c>
      <c r="M640" t="str">
        <f>IF($A640&lt;&gt;"",'All Cases - Enter Cases'!M640,"")</f>
        <v/>
      </c>
    </row>
    <row r="641" spans="1:13" x14ac:dyDescent="0.35">
      <c r="A641" s="10" t="str">
        <f>IF('All Cases - Enter Cases'!$F641="Sindh",'All Cases - Enter Cases'!A641,"")</f>
        <v/>
      </c>
      <c r="B641" t="str">
        <f>IF($A641&lt;&gt;"",'All Cases - Enter Cases'!B641,"")</f>
        <v/>
      </c>
      <c r="C641" t="str">
        <f>IF($A641&lt;&gt;"",'All Cases - Enter Cases'!C641,"")</f>
        <v/>
      </c>
      <c r="D641" t="str">
        <f>IF($A641&lt;&gt;"",'All Cases - Enter Cases'!D641,"")</f>
        <v/>
      </c>
      <c r="E641" t="str">
        <f>IF($A641&lt;&gt;"",'All Cases - Enter Cases'!E641,"")</f>
        <v/>
      </c>
      <c r="F641" t="str">
        <f>IF($A641&lt;&gt;"",'All Cases - Enter Cases'!F641,"")</f>
        <v/>
      </c>
      <c r="G641" t="str">
        <f>IF($A641&lt;&gt;"",'All Cases - Enter Cases'!G641,"")</f>
        <v/>
      </c>
      <c r="H641" t="str">
        <f>IF($A641&lt;&gt;"",'All Cases - Enter Cases'!H641,"")</f>
        <v/>
      </c>
      <c r="I641" t="str">
        <f>IF($A641&lt;&gt;"",'All Cases - Enter Cases'!I641,"")</f>
        <v/>
      </c>
      <c r="J641" t="str">
        <f>IF($A641&lt;&gt;"",'All Cases - Enter Cases'!J641,"")</f>
        <v/>
      </c>
      <c r="K641" s="4" t="str">
        <f>IF($A641&lt;&gt;"",'All Cases - Enter Cases'!K641,"")</f>
        <v/>
      </c>
      <c r="L641" t="str">
        <f>IF($A641&lt;&gt;"",'All Cases - Enter Cases'!L641,"")</f>
        <v/>
      </c>
      <c r="M641" t="str">
        <f>IF($A641&lt;&gt;"",'All Cases - Enter Cases'!M641,"")</f>
        <v/>
      </c>
    </row>
    <row r="642" spans="1:13" x14ac:dyDescent="0.35">
      <c r="A642" s="10" t="str">
        <f>IF('All Cases - Enter Cases'!$F642="Sindh",'All Cases - Enter Cases'!A642,"")</f>
        <v/>
      </c>
      <c r="B642" t="str">
        <f>IF($A642&lt;&gt;"",'All Cases - Enter Cases'!B642,"")</f>
        <v/>
      </c>
      <c r="C642" t="str">
        <f>IF($A642&lt;&gt;"",'All Cases - Enter Cases'!C642,"")</f>
        <v/>
      </c>
      <c r="D642" t="str">
        <f>IF($A642&lt;&gt;"",'All Cases - Enter Cases'!D642,"")</f>
        <v/>
      </c>
      <c r="E642" t="str">
        <f>IF($A642&lt;&gt;"",'All Cases - Enter Cases'!E642,"")</f>
        <v/>
      </c>
      <c r="F642" t="str">
        <f>IF($A642&lt;&gt;"",'All Cases - Enter Cases'!F642,"")</f>
        <v/>
      </c>
      <c r="G642" t="str">
        <f>IF($A642&lt;&gt;"",'All Cases - Enter Cases'!G642,"")</f>
        <v/>
      </c>
      <c r="H642" t="str">
        <f>IF($A642&lt;&gt;"",'All Cases - Enter Cases'!H642,"")</f>
        <v/>
      </c>
      <c r="I642" t="str">
        <f>IF($A642&lt;&gt;"",'All Cases - Enter Cases'!I642,"")</f>
        <v/>
      </c>
      <c r="J642" t="str">
        <f>IF($A642&lt;&gt;"",'All Cases - Enter Cases'!J642,"")</f>
        <v/>
      </c>
      <c r="K642" s="4" t="str">
        <f>IF($A642&lt;&gt;"",'All Cases - Enter Cases'!K642,"")</f>
        <v/>
      </c>
      <c r="L642" t="str">
        <f>IF($A642&lt;&gt;"",'All Cases - Enter Cases'!L642,"")</f>
        <v/>
      </c>
      <c r="M642" t="str">
        <f>IF($A642&lt;&gt;"",'All Cases - Enter Cases'!M642,"")</f>
        <v/>
      </c>
    </row>
    <row r="643" spans="1:13" x14ac:dyDescent="0.35">
      <c r="A643" s="10" t="str">
        <f>IF('All Cases - Enter Cases'!$F643="Sindh",'All Cases - Enter Cases'!A643,"")</f>
        <v/>
      </c>
      <c r="B643" t="str">
        <f>IF($A643&lt;&gt;"",'All Cases - Enter Cases'!B643,"")</f>
        <v/>
      </c>
      <c r="C643" t="str">
        <f>IF($A643&lt;&gt;"",'All Cases - Enter Cases'!C643,"")</f>
        <v/>
      </c>
      <c r="D643" t="str">
        <f>IF($A643&lt;&gt;"",'All Cases - Enter Cases'!D643,"")</f>
        <v/>
      </c>
      <c r="E643" t="str">
        <f>IF($A643&lt;&gt;"",'All Cases - Enter Cases'!E643,"")</f>
        <v/>
      </c>
      <c r="F643" t="str">
        <f>IF($A643&lt;&gt;"",'All Cases - Enter Cases'!F643,"")</f>
        <v/>
      </c>
      <c r="G643" t="str">
        <f>IF($A643&lt;&gt;"",'All Cases - Enter Cases'!G643,"")</f>
        <v/>
      </c>
      <c r="H643" t="str">
        <f>IF($A643&lt;&gt;"",'All Cases - Enter Cases'!H643,"")</f>
        <v/>
      </c>
      <c r="I643" t="str">
        <f>IF($A643&lt;&gt;"",'All Cases - Enter Cases'!I643,"")</f>
        <v/>
      </c>
      <c r="J643" t="str">
        <f>IF($A643&lt;&gt;"",'All Cases - Enter Cases'!J643,"")</f>
        <v/>
      </c>
      <c r="K643" s="4" t="str">
        <f>IF($A643&lt;&gt;"",'All Cases - Enter Cases'!K643,"")</f>
        <v/>
      </c>
      <c r="L643" t="str">
        <f>IF($A643&lt;&gt;"",'All Cases - Enter Cases'!L643,"")</f>
        <v/>
      </c>
      <c r="M643" t="str">
        <f>IF($A643&lt;&gt;"",'All Cases - Enter Cases'!M643,"")</f>
        <v/>
      </c>
    </row>
    <row r="644" spans="1:13" x14ac:dyDescent="0.35">
      <c r="A644" s="10" t="str">
        <f>IF('All Cases - Enter Cases'!$F644="Sindh",'All Cases - Enter Cases'!A644,"")</f>
        <v/>
      </c>
      <c r="B644" t="str">
        <f>IF($A644&lt;&gt;"",'All Cases - Enter Cases'!B644,"")</f>
        <v/>
      </c>
      <c r="C644" t="str">
        <f>IF($A644&lt;&gt;"",'All Cases - Enter Cases'!C644,"")</f>
        <v/>
      </c>
      <c r="D644" t="str">
        <f>IF($A644&lt;&gt;"",'All Cases - Enter Cases'!D644,"")</f>
        <v/>
      </c>
      <c r="E644" t="str">
        <f>IF($A644&lt;&gt;"",'All Cases - Enter Cases'!E644,"")</f>
        <v/>
      </c>
      <c r="F644" t="str">
        <f>IF($A644&lt;&gt;"",'All Cases - Enter Cases'!F644,"")</f>
        <v/>
      </c>
      <c r="G644" t="str">
        <f>IF($A644&lt;&gt;"",'All Cases - Enter Cases'!G644,"")</f>
        <v/>
      </c>
      <c r="H644" t="str">
        <f>IF($A644&lt;&gt;"",'All Cases - Enter Cases'!H644,"")</f>
        <v/>
      </c>
      <c r="I644" t="str">
        <f>IF($A644&lt;&gt;"",'All Cases - Enter Cases'!I644,"")</f>
        <v/>
      </c>
      <c r="J644" t="str">
        <f>IF($A644&lt;&gt;"",'All Cases - Enter Cases'!J644,"")</f>
        <v/>
      </c>
      <c r="K644" s="4" t="str">
        <f>IF($A644&lt;&gt;"",'All Cases - Enter Cases'!K644,"")</f>
        <v/>
      </c>
      <c r="L644" t="str">
        <f>IF($A644&lt;&gt;"",'All Cases - Enter Cases'!L644,"")</f>
        <v/>
      </c>
      <c r="M644" t="str">
        <f>IF($A644&lt;&gt;"",'All Cases - Enter Cases'!M644,"")</f>
        <v/>
      </c>
    </row>
    <row r="645" spans="1:13" x14ac:dyDescent="0.35">
      <c r="A645" s="10" t="str">
        <f>IF('All Cases - Enter Cases'!$F645="Sindh",'All Cases - Enter Cases'!A645,"")</f>
        <v/>
      </c>
      <c r="B645" t="str">
        <f>IF($A645&lt;&gt;"",'All Cases - Enter Cases'!B645,"")</f>
        <v/>
      </c>
      <c r="C645" t="str">
        <f>IF($A645&lt;&gt;"",'All Cases - Enter Cases'!C645,"")</f>
        <v/>
      </c>
      <c r="D645" t="str">
        <f>IF($A645&lt;&gt;"",'All Cases - Enter Cases'!D645,"")</f>
        <v/>
      </c>
      <c r="E645" t="str">
        <f>IF($A645&lt;&gt;"",'All Cases - Enter Cases'!E645,"")</f>
        <v/>
      </c>
      <c r="F645" t="str">
        <f>IF($A645&lt;&gt;"",'All Cases - Enter Cases'!F645,"")</f>
        <v/>
      </c>
      <c r="G645" t="str">
        <f>IF($A645&lt;&gt;"",'All Cases - Enter Cases'!G645,"")</f>
        <v/>
      </c>
      <c r="H645" t="str">
        <f>IF($A645&lt;&gt;"",'All Cases - Enter Cases'!H645,"")</f>
        <v/>
      </c>
      <c r="I645" t="str">
        <f>IF($A645&lt;&gt;"",'All Cases - Enter Cases'!I645,"")</f>
        <v/>
      </c>
      <c r="J645" t="str">
        <f>IF($A645&lt;&gt;"",'All Cases - Enter Cases'!J645,"")</f>
        <v/>
      </c>
      <c r="K645" s="4" t="str">
        <f>IF($A645&lt;&gt;"",'All Cases - Enter Cases'!K645,"")</f>
        <v/>
      </c>
      <c r="L645" t="str">
        <f>IF($A645&lt;&gt;"",'All Cases - Enter Cases'!L645,"")</f>
        <v/>
      </c>
      <c r="M645" t="str">
        <f>IF($A645&lt;&gt;"",'All Cases - Enter Cases'!M645,"")</f>
        <v/>
      </c>
    </row>
    <row r="646" spans="1:13" x14ac:dyDescent="0.35">
      <c r="A646" s="10" t="str">
        <f>IF('All Cases - Enter Cases'!$F646="Sindh",'All Cases - Enter Cases'!A646,"")</f>
        <v/>
      </c>
      <c r="B646" t="str">
        <f>IF($A646&lt;&gt;"",'All Cases - Enter Cases'!B646,"")</f>
        <v/>
      </c>
      <c r="C646" t="str">
        <f>IF($A646&lt;&gt;"",'All Cases - Enter Cases'!C646,"")</f>
        <v/>
      </c>
      <c r="D646" t="str">
        <f>IF($A646&lt;&gt;"",'All Cases - Enter Cases'!D646,"")</f>
        <v/>
      </c>
      <c r="E646" t="str">
        <f>IF($A646&lt;&gt;"",'All Cases - Enter Cases'!E646,"")</f>
        <v/>
      </c>
      <c r="F646" t="str">
        <f>IF($A646&lt;&gt;"",'All Cases - Enter Cases'!F646,"")</f>
        <v/>
      </c>
      <c r="G646" t="str">
        <f>IF($A646&lt;&gt;"",'All Cases - Enter Cases'!G646,"")</f>
        <v/>
      </c>
      <c r="H646" t="str">
        <f>IF($A646&lt;&gt;"",'All Cases - Enter Cases'!H646,"")</f>
        <v/>
      </c>
      <c r="I646" t="str">
        <f>IF($A646&lt;&gt;"",'All Cases - Enter Cases'!I646,"")</f>
        <v/>
      </c>
      <c r="J646" t="str">
        <f>IF($A646&lt;&gt;"",'All Cases - Enter Cases'!J646,"")</f>
        <v/>
      </c>
      <c r="K646" s="4" t="str">
        <f>IF($A646&lt;&gt;"",'All Cases - Enter Cases'!K646,"")</f>
        <v/>
      </c>
      <c r="L646" t="str">
        <f>IF($A646&lt;&gt;"",'All Cases - Enter Cases'!L646,"")</f>
        <v/>
      </c>
      <c r="M646" t="str">
        <f>IF($A646&lt;&gt;"",'All Cases - Enter Cases'!M646,"")</f>
        <v/>
      </c>
    </row>
    <row r="647" spans="1:13" x14ac:dyDescent="0.35">
      <c r="A647" s="10" t="str">
        <f>IF('All Cases - Enter Cases'!$F647="Sindh",'All Cases - Enter Cases'!A647,"")</f>
        <v/>
      </c>
      <c r="B647" t="str">
        <f>IF($A647&lt;&gt;"",'All Cases - Enter Cases'!B647,"")</f>
        <v/>
      </c>
      <c r="C647" t="str">
        <f>IF($A647&lt;&gt;"",'All Cases - Enter Cases'!C647,"")</f>
        <v/>
      </c>
      <c r="D647" t="str">
        <f>IF($A647&lt;&gt;"",'All Cases - Enter Cases'!D647,"")</f>
        <v/>
      </c>
      <c r="E647" t="str">
        <f>IF($A647&lt;&gt;"",'All Cases - Enter Cases'!E647,"")</f>
        <v/>
      </c>
      <c r="F647" t="str">
        <f>IF($A647&lt;&gt;"",'All Cases - Enter Cases'!F647,"")</f>
        <v/>
      </c>
      <c r="G647" t="str">
        <f>IF($A647&lt;&gt;"",'All Cases - Enter Cases'!G647,"")</f>
        <v/>
      </c>
      <c r="H647" t="str">
        <f>IF($A647&lt;&gt;"",'All Cases - Enter Cases'!H647,"")</f>
        <v/>
      </c>
      <c r="I647" t="str">
        <f>IF($A647&lt;&gt;"",'All Cases - Enter Cases'!I647,"")</f>
        <v/>
      </c>
      <c r="J647" t="str">
        <f>IF($A647&lt;&gt;"",'All Cases - Enter Cases'!J647,"")</f>
        <v/>
      </c>
      <c r="K647" s="4" t="str">
        <f>IF($A647&lt;&gt;"",'All Cases - Enter Cases'!K647,"")</f>
        <v/>
      </c>
      <c r="L647" t="str">
        <f>IF($A647&lt;&gt;"",'All Cases - Enter Cases'!L647,"")</f>
        <v/>
      </c>
      <c r="M647" t="str">
        <f>IF($A647&lt;&gt;"",'All Cases - Enter Cases'!M647,"")</f>
        <v/>
      </c>
    </row>
    <row r="648" spans="1:13" x14ac:dyDescent="0.35">
      <c r="A648" s="10" t="str">
        <f>IF('All Cases - Enter Cases'!$F648="Sindh",'All Cases - Enter Cases'!A648,"")</f>
        <v/>
      </c>
      <c r="B648" t="str">
        <f>IF($A648&lt;&gt;"",'All Cases - Enter Cases'!B648,"")</f>
        <v/>
      </c>
      <c r="C648" t="str">
        <f>IF($A648&lt;&gt;"",'All Cases - Enter Cases'!C648,"")</f>
        <v/>
      </c>
      <c r="D648" t="str">
        <f>IF($A648&lt;&gt;"",'All Cases - Enter Cases'!D648,"")</f>
        <v/>
      </c>
      <c r="E648" t="str">
        <f>IF($A648&lt;&gt;"",'All Cases - Enter Cases'!E648,"")</f>
        <v/>
      </c>
      <c r="F648" t="str">
        <f>IF($A648&lt;&gt;"",'All Cases - Enter Cases'!F648,"")</f>
        <v/>
      </c>
      <c r="G648" t="str">
        <f>IF($A648&lt;&gt;"",'All Cases - Enter Cases'!G648,"")</f>
        <v/>
      </c>
      <c r="H648" t="str">
        <f>IF($A648&lt;&gt;"",'All Cases - Enter Cases'!H648,"")</f>
        <v/>
      </c>
      <c r="I648" t="str">
        <f>IF($A648&lt;&gt;"",'All Cases - Enter Cases'!I648,"")</f>
        <v/>
      </c>
      <c r="J648" t="str">
        <f>IF($A648&lt;&gt;"",'All Cases - Enter Cases'!J648,"")</f>
        <v/>
      </c>
      <c r="K648" s="4" t="str">
        <f>IF($A648&lt;&gt;"",'All Cases - Enter Cases'!K648,"")</f>
        <v/>
      </c>
      <c r="L648" t="str">
        <f>IF($A648&lt;&gt;"",'All Cases - Enter Cases'!L648,"")</f>
        <v/>
      </c>
      <c r="M648" t="str">
        <f>IF($A648&lt;&gt;"",'All Cases - Enter Cases'!M648,"")</f>
        <v/>
      </c>
    </row>
    <row r="649" spans="1:13" x14ac:dyDescent="0.35">
      <c r="A649" s="10" t="str">
        <f>IF('All Cases - Enter Cases'!$F649="Sindh",'All Cases - Enter Cases'!A649,"")</f>
        <v/>
      </c>
      <c r="B649" t="str">
        <f>IF($A649&lt;&gt;"",'All Cases - Enter Cases'!B649,"")</f>
        <v/>
      </c>
      <c r="C649" t="str">
        <f>IF($A649&lt;&gt;"",'All Cases - Enter Cases'!C649,"")</f>
        <v/>
      </c>
      <c r="D649" t="str">
        <f>IF($A649&lt;&gt;"",'All Cases - Enter Cases'!D649,"")</f>
        <v/>
      </c>
      <c r="E649" t="str">
        <f>IF($A649&lt;&gt;"",'All Cases - Enter Cases'!E649,"")</f>
        <v/>
      </c>
      <c r="F649" t="str">
        <f>IF($A649&lt;&gt;"",'All Cases - Enter Cases'!F649,"")</f>
        <v/>
      </c>
      <c r="G649" t="str">
        <f>IF($A649&lt;&gt;"",'All Cases - Enter Cases'!G649,"")</f>
        <v/>
      </c>
      <c r="H649" t="str">
        <f>IF($A649&lt;&gt;"",'All Cases - Enter Cases'!H649,"")</f>
        <v/>
      </c>
      <c r="I649" t="str">
        <f>IF($A649&lt;&gt;"",'All Cases - Enter Cases'!I649,"")</f>
        <v/>
      </c>
      <c r="J649" t="str">
        <f>IF($A649&lt;&gt;"",'All Cases - Enter Cases'!J649,"")</f>
        <v/>
      </c>
      <c r="K649" s="4" t="str">
        <f>IF($A649&lt;&gt;"",'All Cases - Enter Cases'!K649,"")</f>
        <v/>
      </c>
      <c r="L649" t="str">
        <f>IF($A649&lt;&gt;"",'All Cases - Enter Cases'!L649,"")</f>
        <v/>
      </c>
      <c r="M649" t="str">
        <f>IF($A649&lt;&gt;"",'All Cases - Enter Cases'!M649,"")</f>
        <v/>
      </c>
    </row>
    <row r="650" spans="1:13" x14ac:dyDescent="0.35">
      <c r="A650" s="10" t="str">
        <f>IF('All Cases - Enter Cases'!$F650="Sindh",'All Cases - Enter Cases'!A650,"")</f>
        <v/>
      </c>
      <c r="B650" t="str">
        <f>IF($A650&lt;&gt;"",'All Cases - Enter Cases'!B650,"")</f>
        <v/>
      </c>
      <c r="C650" t="str">
        <f>IF($A650&lt;&gt;"",'All Cases - Enter Cases'!C650,"")</f>
        <v/>
      </c>
      <c r="D650" t="str">
        <f>IF($A650&lt;&gt;"",'All Cases - Enter Cases'!D650,"")</f>
        <v/>
      </c>
      <c r="E650" t="str">
        <f>IF($A650&lt;&gt;"",'All Cases - Enter Cases'!E650,"")</f>
        <v/>
      </c>
      <c r="F650" t="str">
        <f>IF($A650&lt;&gt;"",'All Cases - Enter Cases'!F650,"")</f>
        <v/>
      </c>
      <c r="G650" t="str">
        <f>IF($A650&lt;&gt;"",'All Cases - Enter Cases'!G650,"")</f>
        <v/>
      </c>
      <c r="H650" t="str">
        <f>IF($A650&lt;&gt;"",'All Cases - Enter Cases'!H650,"")</f>
        <v/>
      </c>
      <c r="I650" t="str">
        <f>IF($A650&lt;&gt;"",'All Cases - Enter Cases'!I650,"")</f>
        <v/>
      </c>
      <c r="J650" t="str">
        <f>IF($A650&lt;&gt;"",'All Cases - Enter Cases'!J650,"")</f>
        <v/>
      </c>
      <c r="K650" s="4" t="str">
        <f>IF($A650&lt;&gt;"",'All Cases - Enter Cases'!K650,"")</f>
        <v/>
      </c>
      <c r="L650" t="str">
        <f>IF($A650&lt;&gt;"",'All Cases - Enter Cases'!L650,"")</f>
        <v/>
      </c>
      <c r="M650" t="str">
        <f>IF($A650&lt;&gt;"",'All Cases - Enter Cases'!M650,"")</f>
        <v/>
      </c>
    </row>
    <row r="651" spans="1:13" x14ac:dyDescent="0.35">
      <c r="A651" s="10" t="str">
        <f>IF('All Cases - Enter Cases'!$F651="Sindh",'All Cases - Enter Cases'!A651,"")</f>
        <v/>
      </c>
      <c r="B651" t="str">
        <f>IF($A651&lt;&gt;"",'All Cases - Enter Cases'!B651,"")</f>
        <v/>
      </c>
      <c r="C651" t="str">
        <f>IF($A651&lt;&gt;"",'All Cases - Enter Cases'!C651,"")</f>
        <v/>
      </c>
      <c r="D651" t="str">
        <f>IF($A651&lt;&gt;"",'All Cases - Enter Cases'!D651,"")</f>
        <v/>
      </c>
      <c r="E651" t="str">
        <f>IF($A651&lt;&gt;"",'All Cases - Enter Cases'!E651,"")</f>
        <v/>
      </c>
      <c r="F651" t="str">
        <f>IF($A651&lt;&gt;"",'All Cases - Enter Cases'!F651,"")</f>
        <v/>
      </c>
      <c r="G651" t="str">
        <f>IF($A651&lt;&gt;"",'All Cases - Enter Cases'!G651,"")</f>
        <v/>
      </c>
      <c r="H651" t="str">
        <f>IF($A651&lt;&gt;"",'All Cases - Enter Cases'!H651,"")</f>
        <v/>
      </c>
      <c r="I651" t="str">
        <f>IF($A651&lt;&gt;"",'All Cases - Enter Cases'!I651,"")</f>
        <v/>
      </c>
      <c r="J651" t="str">
        <f>IF($A651&lt;&gt;"",'All Cases - Enter Cases'!J651,"")</f>
        <v/>
      </c>
      <c r="K651" s="4" t="str">
        <f>IF($A651&lt;&gt;"",'All Cases - Enter Cases'!K651,"")</f>
        <v/>
      </c>
      <c r="L651" t="str">
        <f>IF($A651&lt;&gt;"",'All Cases - Enter Cases'!L651,"")</f>
        <v/>
      </c>
      <c r="M651" t="str">
        <f>IF($A651&lt;&gt;"",'All Cases - Enter Cases'!M651,"")</f>
        <v/>
      </c>
    </row>
    <row r="652" spans="1:13" x14ac:dyDescent="0.35">
      <c r="A652" s="10" t="str">
        <f>IF('All Cases - Enter Cases'!$F652="Sindh",'All Cases - Enter Cases'!A652,"")</f>
        <v/>
      </c>
      <c r="B652" t="str">
        <f>IF($A652&lt;&gt;"",'All Cases - Enter Cases'!B652,"")</f>
        <v/>
      </c>
      <c r="C652" t="str">
        <f>IF($A652&lt;&gt;"",'All Cases - Enter Cases'!C652,"")</f>
        <v/>
      </c>
      <c r="D652" t="str">
        <f>IF($A652&lt;&gt;"",'All Cases - Enter Cases'!D652,"")</f>
        <v/>
      </c>
      <c r="E652" t="str">
        <f>IF($A652&lt;&gt;"",'All Cases - Enter Cases'!E652,"")</f>
        <v/>
      </c>
      <c r="F652" t="str">
        <f>IF($A652&lt;&gt;"",'All Cases - Enter Cases'!F652,"")</f>
        <v/>
      </c>
      <c r="G652" t="str">
        <f>IF($A652&lt;&gt;"",'All Cases - Enter Cases'!G652,"")</f>
        <v/>
      </c>
      <c r="H652" t="str">
        <f>IF($A652&lt;&gt;"",'All Cases - Enter Cases'!H652,"")</f>
        <v/>
      </c>
      <c r="I652" t="str">
        <f>IF($A652&lt;&gt;"",'All Cases - Enter Cases'!I652,"")</f>
        <v/>
      </c>
      <c r="J652" t="str">
        <f>IF($A652&lt;&gt;"",'All Cases - Enter Cases'!J652,"")</f>
        <v/>
      </c>
      <c r="K652" s="4" t="str">
        <f>IF($A652&lt;&gt;"",'All Cases - Enter Cases'!K652,"")</f>
        <v/>
      </c>
      <c r="L652" t="str">
        <f>IF($A652&lt;&gt;"",'All Cases - Enter Cases'!L652,"")</f>
        <v/>
      </c>
      <c r="M652" t="str">
        <f>IF($A652&lt;&gt;"",'All Cases - Enter Cases'!M652,"")</f>
        <v/>
      </c>
    </row>
    <row r="653" spans="1:13" x14ac:dyDescent="0.35">
      <c r="A653" s="10" t="str">
        <f>IF('All Cases - Enter Cases'!$F653="Sindh",'All Cases - Enter Cases'!A653,"")</f>
        <v/>
      </c>
      <c r="B653" t="str">
        <f>IF($A653&lt;&gt;"",'All Cases - Enter Cases'!B653,"")</f>
        <v/>
      </c>
      <c r="C653" t="str">
        <f>IF($A653&lt;&gt;"",'All Cases - Enter Cases'!C653,"")</f>
        <v/>
      </c>
      <c r="D653" t="str">
        <f>IF($A653&lt;&gt;"",'All Cases - Enter Cases'!D653,"")</f>
        <v/>
      </c>
      <c r="E653" t="str">
        <f>IF($A653&lt;&gt;"",'All Cases - Enter Cases'!E653,"")</f>
        <v/>
      </c>
      <c r="F653" t="str">
        <f>IF($A653&lt;&gt;"",'All Cases - Enter Cases'!F653,"")</f>
        <v/>
      </c>
      <c r="G653" t="str">
        <f>IF($A653&lt;&gt;"",'All Cases - Enter Cases'!G653,"")</f>
        <v/>
      </c>
      <c r="H653" t="str">
        <f>IF($A653&lt;&gt;"",'All Cases - Enter Cases'!H653,"")</f>
        <v/>
      </c>
      <c r="I653" t="str">
        <f>IF($A653&lt;&gt;"",'All Cases - Enter Cases'!I653,"")</f>
        <v/>
      </c>
      <c r="J653" t="str">
        <f>IF($A653&lt;&gt;"",'All Cases - Enter Cases'!J653,"")</f>
        <v/>
      </c>
      <c r="K653" s="4" t="str">
        <f>IF($A653&lt;&gt;"",'All Cases - Enter Cases'!K653,"")</f>
        <v/>
      </c>
      <c r="L653" t="str">
        <f>IF($A653&lt;&gt;"",'All Cases - Enter Cases'!L653,"")</f>
        <v/>
      </c>
      <c r="M653" t="str">
        <f>IF($A653&lt;&gt;"",'All Cases - Enter Cases'!M653,"")</f>
        <v/>
      </c>
    </row>
    <row r="654" spans="1:13" x14ac:dyDescent="0.35">
      <c r="A654" s="10" t="str">
        <f>IF('All Cases - Enter Cases'!$F654="Sindh",'All Cases - Enter Cases'!A654,"")</f>
        <v/>
      </c>
      <c r="B654" t="str">
        <f>IF($A654&lt;&gt;"",'All Cases - Enter Cases'!B654,"")</f>
        <v/>
      </c>
      <c r="C654" t="str">
        <f>IF($A654&lt;&gt;"",'All Cases - Enter Cases'!C654,"")</f>
        <v/>
      </c>
      <c r="D654" t="str">
        <f>IF($A654&lt;&gt;"",'All Cases - Enter Cases'!D654,"")</f>
        <v/>
      </c>
      <c r="E654" t="str">
        <f>IF($A654&lt;&gt;"",'All Cases - Enter Cases'!E654,"")</f>
        <v/>
      </c>
      <c r="F654" t="str">
        <f>IF($A654&lt;&gt;"",'All Cases - Enter Cases'!F654,"")</f>
        <v/>
      </c>
      <c r="G654" t="str">
        <f>IF($A654&lt;&gt;"",'All Cases - Enter Cases'!G654,"")</f>
        <v/>
      </c>
      <c r="H654" t="str">
        <f>IF($A654&lt;&gt;"",'All Cases - Enter Cases'!H654,"")</f>
        <v/>
      </c>
      <c r="I654" t="str">
        <f>IF($A654&lt;&gt;"",'All Cases - Enter Cases'!I654,"")</f>
        <v/>
      </c>
      <c r="J654" t="str">
        <f>IF($A654&lt;&gt;"",'All Cases - Enter Cases'!J654,"")</f>
        <v/>
      </c>
      <c r="K654" s="4" t="str">
        <f>IF($A654&lt;&gt;"",'All Cases - Enter Cases'!K654,"")</f>
        <v/>
      </c>
      <c r="L654" t="str">
        <f>IF($A654&lt;&gt;"",'All Cases - Enter Cases'!L654,"")</f>
        <v/>
      </c>
      <c r="M654" t="str">
        <f>IF($A654&lt;&gt;"",'All Cases - Enter Cases'!M654,"")</f>
        <v/>
      </c>
    </row>
    <row r="655" spans="1:13" x14ac:dyDescent="0.35">
      <c r="A655" s="10" t="str">
        <f>IF('All Cases - Enter Cases'!$F655="Sindh",'All Cases - Enter Cases'!A655,"")</f>
        <v/>
      </c>
      <c r="B655" t="str">
        <f>IF($A655&lt;&gt;"",'All Cases - Enter Cases'!B655,"")</f>
        <v/>
      </c>
      <c r="C655" t="str">
        <f>IF($A655&lt;&gt;"",'All Cases - Enter Cases'!C655,"")</f>
        <v/>
      </c>
      <c r="D655" t="str">
        <f>IF($A655&lt;&gt;"",'All Cases - Enter Cases'!D655,"")</f>
        <v/>
      </c>
      <c r="E655" t="str">
        <f>IF($A655&lt;&gt;"",'All Cases - Enter Cases'!E655,"")</f>
        <v/>
      </c>
      <c r="F655" t="str">
        <f>IF($A655&lt;&gt;"",'All Cases - Enter Cases'!F655,"")</f>
        <v/>
      </c>
      <c r="G655" t="str">
        <f>IF($A655&lt;&gt;"",'All Cases - Enter Cases'!G655,"")</f>
        <v/>
      </c>
      <c r="H655" t="str">
        <f>IF($A655&lt;&gt;"",'All Cases - Enter Cases'!H655,"")</f>
        <v/>
      </c>
      <c r="I655" t="str">
        <f>IF($A655&lt;&gt;"",'All Cases - Enter Cases'!I655,"")</f>
        <v/>
      </c>
      <c r="J655" t="str">
        <f>IF($A655&lt;&gt;"",'All Cases - Enter Cases'!J655,"")</f>
        <v/>
      </c>
      <c r="K655" s="4" t="str">
        <f>IF($A655&lt;&gt;"",'All Cases - Enter Cases'!K655,"")</f>
        <v/>
      </c>
      <c r="L655" t="str">
        <f>IF($A655&lt;&gt;"",'All Cases - Enter Cases'!L655,"")</f>
        <v/>
      </c>
      <c r="M655" t="str">
        <f>IF($A655&lt;&gt;"",'All Cases - Enter Cases'!M655,"")</f>
        <v/>
      </c>
    </row>
    <row r="656" spans="1:13" x14ac:dyDescent="0.35">
      <c r="A656" s="10" t="str">
        <f>IF('All Cases - Enter Cases'!$F656="Sindh",'All Cases - Enter Cases'!A656,"")</f>
        <v/>
      </c>
      <c r="B656" t="str">
        <f>IF($A656&lt;&gt;"",'All Cases - Enter Cases'!B656,"")</f>
        <v/>
      </c>
      <c r="C656" t="str">
        <f>IF($A656&lt;&gt;"",'All Cases - Enter Cases'!C656,"")</f>
        <v/>
      </c>
      <c r="D656" t="str">
        <f>IF($A656&lt;&gt;"",'All Cases - Enter Cases'!D656,"")</f>
        <v/>
      </c>
      <c r="E656" t="str">
        <f>IF($A656&lt;&gt;"",'All Cases - Enter Cases'!E656,"")</f>
        <v/>
      </c>
      <c r="F656" t="str">
        <f>IF($A656&lt;&gt;"",'All Cases - Enter Cases'!F656,"")</f>
        <v/>
      </c>
      <c r="G656" t="str">
        <f>IF($A656&lt;&gt;"",'All Cases - Enter Cases'!G656,"")</f>
        <v/>
      </c>
      <c r="H656" t="str">
        <f>IF($A656&lt;&gt;"",'All Cases - Enter Cases'!H656,"")</f>
        <v/>
      </c>
      <c r="I656" t="str">
        <f>IF($A656&lt;&gt;"",'All Cases - Enter Cases'!I656,"")</f>
        <v/>
      </c>
      <c r="J656" t="str">
        <f>IF($A656&lt;&gt;"",'All Cases - Enter Cases'!J656,"")</f>
        <v/>
      </c>
      <c r="K656" s="4" t="str">
        <f>IF($A656&lt;&gt;"",'All Cases - Enter Cases'!K656,"")</f>
        <v/>
      </c>
      <c r="L656" t="str">
        <f>IF($A656&lt;&gt;"",'All Cases - Enter Cases'!L656,"")</f>
        <v/>
      </c>
      <c r="M656" t="str">
        <f>IF($A656&lt;&gt;"",'All Cases - Enter Cases'!M656,"")</f>
        <v/>
      </c>
    </row>
    <row r="657" spans="1:13" x14ac:dyDescent="0.35">
      <c r="A657" s="10" t="str">
        <f>IF('All Cases - Enter Cases'!$F657="Sindh",'All Cases - Enter Cases'!A657,"")</f>
        <v/>
      </c>
      <c r="B657" t="str">
        <f>IF($A657&lt;&gt;"",'All Cases - Enter Cases'!B657,"")</f>
        <v/>
      </c>
      <c r="C657" t="str">
        <f>IF($A657&lt;&gt;"",'All Cases - Enter Cases'!C657,"")</f>
        <v/>
      </c>
      <c r="D657" t="str">
        <f>IF($A657&lt;&gt;"",'All Cases - Enter Cases'!D657,"")</f>
        <v/>
      </c>
      <c r="E657" t="str">
        <f>IF($A657&lt;&gt;"",'All Cases - Enter Cases'!E657,"")</f>
        <v/>
      </c>
      <c r="F657" t="str">
        <f>IF($A657&lt;&gt;"",'All Cases - Enter Cases'!F657,"")</f>
        <v/>
      </c>
      <c r="G657" t="str">
        <f>IF($A657&lt;&gt;"",'All Cases - Enter Cases'!G657,"")</f>
        <v/>
      </c>
      <c r="H657" t="str">
        <f>IF($A657&lt;&gt;"",'All Cases - Enter Cases'!H657,"")</f>
        <v/>
      </c>
      <c r="I657" t="str">
        <f>IF($A657&lt;&gt;"",'All Cases - Enter Cases'!I657,"")</f>
        <v/>
      </c>
      <c r="J657" t="str">
        <f>IF($A657&lt;&gt;"",'All Cases - Enter Cases'!J657,"")</f>
        <v/>
      </c>
      <c r="K657" s="4" t="str">
        <f>IF($A657&lt;&gt;"",'All Cases - Enter Cases'!K657,"")</f>
        <v/>
      </c>
      <c r="L657" t="str">
        <f>IF($A657&lt;&gt;"",'All Cases - Enter Cases'!L657,"")</f>
        <v/>
      </c>
      <c r="M657" t="str">
        <f>IF($A657&lt;&gt;"",'All Cases - Enter Cases'!M657,"")</f>
        <v/>
      </c>
    </row>
    <row r="658" spans="1:13" x14ac:dyDescent="0.35">
      <c r="A658" s="10" t="str">
        <f>IF('All Cases - Enter Cases'!$F658="Sindh",'All Cases - Enter Cases'!A658,"")</f>
        <v/>
      </c>
      <c r="B658" t="str">
        <f>IF($A658&lt;&gt;"",'All Cases - Enter Cases'!B658,"")</f>
        <v/>
      </c>
      <c r="C658" t="str">
        <f>IF($A658&lt;&gt;"",'All Cases - Enter Cases'!C658,"")</f>
        <v/>
      </c>
      <c r="D658" t="str">
        <f>IF($A658&lt;&gt;"",'All Cases - Enter Cases'!D658,"")</f>
        <v/>
      </c>
      <c r="E658" t="str">
        <f>IF($A658&lt;&gt;"",'All Cases - Enter Cases'!E658,"")</f>
        <v/>
      </c>
      <c r="F658" t="str">
        <f>IF($A658&lt;&gt;"",'All Cases - Enter Cases'!F658,"")</f>
        <v/>
      </c>
      <c r="G658" t="str">
        <f>IF($A658&lt;&gt;"",'All Cases - Enter Cases'!G658,"")</f>
        <v/>
      </c>
      <c r="H658" t="str">
        <f>IF($A658&lt;&gt;"",'All Cases - Enter Cases'!H658,"")</f>
        <v/>
      </c>
      <c r="I658" t="str">
        <f>IF($A658&lt;&gt;"",'All Cases - Enter Cases'!I658,"")</f>
        <v/>
      </c>
      <c r="J658" t="str">
        <f>IF($A658&lt;&gt;"",'All Cases - Enter Cases'!J658,"")</f>
        <v/>
      </c>
      <c r="K658" s="4" t="str">
        <f>IF($A658&lt;&gt;"",'All Cases - Enter Cases'!K658,"")</f>
        <v/>
      </c>
      <c r="L658" t="str">
        <f>IF($A658&lt;&gt;"",'All Cases - Enter Cases'!L658,"")</f>
        <v/>
      </c>
      <c r="M658" t="str">
        <f>IF($A658&lt;&gt;"",'All Cases - Enter Cases'!M658,"")</f>
        <v/>
      </c>
    </row>
    <row r="659" spans="1:13" x14ac:dyDescent="0.35">
      <c r="A659" s="10" t="str">
        <f>IF('All Cases - Enter Cases'!$F659="Sindh",'All Cases - Enter Cases'!A659,"")</f>
        <v/>
      </c>
      <c r="B659" t="str">
        <f>IF($A659&lt;&gt;"",'All Cases - Enter Cases'!B659,"")</f>
        <v/>
      </c>
      <c r="C659" t="str">
        <f>IF($A659&lt;&gt;"",'All Cases - Enter Cases'!C659,"")</f>
        <v/>
      </c>
      <c r="D659" t="str">
        <f>IF($A659&lt;&gt;"",'All Cases - Enter Cases'!D659,"")</f>
        <v/>
      </c>
      <c r="E659" t="str">
        <f>IF($A659&lt;&gt;"",'All Cases - Enter Cases'!E659,"")</f>
        <v/>
      </c>
      <c r="F659" t="str">
        <f>IF($A659&lt;&gt;"",'All Cases - Enter Cases'!F659,"")</f>
        <v/>
      </c>
      <c r="G659" t="str">
        <f>IF($A659&lt;&gt;"",'All Cases - Enter Cases'!G659,"")</f>
        <v/>
      </c>
      <c r="H659" t="str">
        <f>IF($A659&lt;&gt;"",'All Cases - Enter Cases'!H659,"")</f>
        <v/>
      </c>
      <c r="I659" t="str">
        <f>IF($A659&lt;&gt;"",'All Cases - Enter Cases'!I659,"")</f>
        <v/>
      </c>
      <c r="J659" t="str">
        <f>IF($A659&lt;&gt;"",'All Cases - Enter Cases'!J659,"")</f>
        <v/>
      </c>
      <c r="K659" s="4" t="str">
        <f>IF($A659&lt;&gt;"",'All Cases - Enter Cases'!K659,"")</f>
        <v/>
      </c>
      <c r="L659" t="str">
        <f>IF($A659&lt;&gt;"",'All Cases - Enter Cases'!L659,"")</f>
        <v/>
      </c>
      <c r="M659" t="str">
        <f>IF($A659&lt;&gt;"",'All Cases - Enter Cases'!M659,"")</f>
        <v/>
      </c>
    </row>
    <row r="660" spans="1:13" x14ac:dyDescent="0.35">
      <c r="A660" s="10" t="str">
        <f>IF('All Cases - Enter Cases'!$F660="Sindh",'All Cases - Enter Cases'!A660,"")</f>
        <v/>
      </c>
      <c r="B660" t="str">
        <f>IF($A660&lt;&gt;"",'All Cases - Enter Cases'!B660,"")</f>
        <v/>
      </c>
      <c r="C660" t="str">
        <f>IF($A660&lt;&gt;"",'All Cases - Enter Cases'!C660,"")</f>
        <v/>
      </c>
      <c r="D660" t="str">
        <f>IF($A660&lt;&gt;"",'All Cases - Enter Cases'!D660,"")</f>
        <v/>
      </c>
      <c r="E660" t="str">
        <f>IF($A660&lt;&gt;"",'All Cases - Enter Cases'!E660,"")</f>
        <v/>
      </c>
      <c r="F660" t="str">
        <f>IF($A660&lt;&gt;"",'All Cases - Enter Cases'!F660,"")</f>
        <v/>
      </c>
      <c r="G660" t="str">
        <f>IF($A660&lt;&gt;"",'All Cases - Enter Cases'!G660,"")</f>
        <v/>
      </c>
      <c r="H660" t="str">
        <f>IF($A660&lt;&gt;"",'All Cases - Enter Cases'!H660,"")</f>
        <v/>
      </c>
      <c r="I660" t="str">
        <f>IF($A660&lt;&gt;"",'All Cases - Enter Cases'!I660,"")</f>
        <v/>
      </c>
      <c r="J660" t="str">
        <f>IF($A660&lt;&gt;"",'All Cases - Enter Cases'!J660,"")</f>
        <v/>
      </c>
      <c r="K660" s="4" t="str">
        <f>IF($A660&lt;&gt;"",'All Cases - Enter Cases'!K660,"")</f>
        <v/>
      </c>
      <c r="L660" t="str">
        <f>IF($A660&lt;&gt;"",'All Cases - Enter Cases'!L660,"")</f>
        <v/>
      </c>
      <c r="M660" t="str">
        <f>IF($A660&lt;&gt;"",'All Cases - Enter Cases'!M660,"")</f>
        <v/>
      </c>
    </row>
    <row r="661" spans="1:13" x14ac:dyDescent="0.35">
      <c r="A661" s="10" t="str">
        <f>IF('All Cases - Enter Cases'!$F661="Sindh",'All Cases - Enter Cases'!A661,"")</f>
        <v/>
      </c>
      <c r="B661" t="str">
        <f>IF($A661&lt;&gt;"",'All Cases - Enter Cases'!B661,"")</f>
        <v/>
      </c>
      <c r="C661" t="str">
        <f>IF($A661&lt;&gt;"",'All Cases - Enter Cases'!C661,"")</f>
        <v/>
      </c>
      <c r="D661" t="str">
        <f>IF($A661&lt;&gt;"",'All Cases - Enter Cases'!D661,"")</f>
        <v/>
      </c>
      <c r="E661" t="str">
        <f>IF($A661&lt;&gt;"",'All Cases - Enter Cases'!E661,"")</f>
        <v/>
      </c>
      <c r="F661" t="str">
        <f>IF($A661&lt;&gt;"",'All Cases - Enter Cases'!F661,"")</f>
        <v/>
      </c>
      <c r="G661" t="str">
        <f>IF($A661&lt;&gt;"",'All Cases - Enter Cases'!G661,"")</f>
        <v/>
      </c>
      <c r="H661" t="str">
        <f>IF($A661&lt;&gt;"",'All Cases - Enter Cases'!H661,"")</f>
        <v/>
      </c>
      <c r="I661" t="str">
        <f>IF($A661&lt;&gt;"",'All Cases - Enter Cases'!I661,"")</f>
        <v/>
      </c>
      <c r="J661" t="str">
        <f>IF($A661&lt;&gt;"",'All Cases - Enter Cases'!J661,"")</f>
        <v/>
      </c>
      <c r="K661" s="4" t="str">
        <f>IF($A661&lt;&gt;"",'All Cases - Enter Cases'!K661,"")</f>
        <v/>
      </c>
      <c r="L661" t="str">
        <f>IF($A661&lt;&gt;"",'All Cases - Enter Cases'!L661,"")</f>
        <v/>
      </c>
      <c r="M661" t="str">
        <f>IF($A661&lt;&gt;"",'All Cases - Enter Cases'!M661,"")</f>
        <v/>
      </c>
    </row>
    <row r="662" spans="1:13" x14ac:dyDescent="0.35">
      <c r="A662" s="10" t="str">
        <f>IF('All Cases - Enter Cases'!$F662="Sindh",'All Cases - Enter Cases'!A662,"")</f>
        <v/>
      </c>
      <c r="B662" t="str">
        <f>IF($A662&lt;&gt;"",'All Cases - Enter Cases'!B662,"")</f>
        <v/>
      </c>
      <c r="C662" t="str">
        <f>IF($A662&lt;&gt;"",'All Cases - Enter Cases'!C662,"")</f>
        <v/>
      </c>
      <c r="D662" t="str">
        <f>IF($A662&lt;&gt;"",'All Cases - Enter Cases'!D662,"")</f>
        <v/>
      </c>
      <c r="E662" t="str">
        <f>IF($A662&lt;&gt;"",'All Cases - Enter Cases'!E662,"")</f>
        <v/>
      </c>
      <c r="F662" t="str">
        <f>IF($A662&lt;&gt;"",'All Cases - Enter Cases'!F662,"")</f>
        <v/>
      </c>
      <c r="G662" t="str">
        <f>IF($A662&lt;&gt;"",'All Cases - Enter Cases'!G662,"")</f>
        <v/>
      </c>
      <c r="H662" t="str">
        <f>IF($A662&lt;&gt;"",'All Cases - Enter Cases'!H662,"")</f>
        <v/>
      </c>
      <c r="I662" t="str">
        <f>IF($A662&lt;&gt;"",'All Cases - Enter Cases'!I662,"")</f>
        <v/>
      </c>
      <c r="J662" t="str">
        <f>IF($A662&lt;&gt;"",'All Cases - Enter Cases'!J662,"")</f>
        <v/>
      </c>
      <c r="K662" s="4" t="str">
        <f>IF($A662&lt;&gt;"",'All Cases - Enter Cases'!K662,"")</f>
        <v/>
      </c>
      <c r="L662" t="str">
        <f>IF($A662&lt;&gt;"",'All Cases - Enter Cases'!L662,"")</f>
        <v/>
      </c>
      <c r="M662" t="str">
        <f>IF($A662&lt;&gt;"",'All Cases - Enter Cases'!M662,"")</f>
        <v/>
      </c>
    </row>
    <row r="663" spans="1:13" x14ac:dyDescent="0.35">
      <c r="A663" s="10" t="str">
        <f>IF('All Cases - Enter Cases'!$F663="Sindh",'All Cases - Enter Cases'!A663,"")</f>
        <v/>
      </c>
      <c r="B663" t="str">
        <f>IF($A663&lt;&gt;"",'All Cases - Enter Cases'!B663,"")</f>
        <v/>
      </c>
      <c r="C663" t="str">
        <f>IF($A663&lt;&gt;"",'All Cases - Enter Cases'!C663,"")</f>
        <v/>
      </c>
      <c r="D663" t="str">
        <f>IF($A663&lt;&gt;"",'All Cases - Enter Cases'!D663,"")</f>
        <v/>
      </c>
      <c r="E663" t="str">
        <f>IF($A663&lt;&gt;"",'All Cases - Enter Cases'!E663,"")</f>
        <v/>
      </c>
      <c r="F663" t="str">
        <f>IF($A663&lt;&gt;"",'All Cases - Enter Cases'!F663,"")</f>
        <v/>
      </c>
      <c r="G663" t="str">
        <f>IF($A663&lt;&gt;"",'All Cases - Enter Cases'!G663,"")</f>
        <v/>
      </c>
      <c r="H663" t="str">
        <f>IF($A663&lt;&gt;"",'All Cases - Enter Cases'!H663,"")</f>
        <v/>
      </c>
      <c r="I663" t="str">
        <f>IF($A663&lt;&gt;"",'All Cases - Enter Cases'!I663,"")</f>
        <v/>
      </c>
      <c r="J663" t="str">
        <f>IF($A663&lt;&gt;"",'All Cases - Enter Cases'!J663,"")</f>
        <v/>
      </c>
      <c r="K663" s="4" t="str">
        <f>IF($A663&lt;&gt;"",'All Cases - Enter Cases'!K663,"")</f>
        <v/>
      </c>
      <c r="L663" t="str">
        <f>IF($A663&lt;&gt;"",'All Cases - Enter Cases'!L663,"")</f>
        <v/>
      </c>
      <c r="M663" t="str">
        <f>IF($A663&lt;&gt;"",'All Cases - Enter Cases'!M663,"")</f>
        <v/>
      </c>
    </row>
    <row r="664" spans="1:13" x14ac:dyDescent="0.35">
      <c r="A664" s="10" t="str">
        <f>IF('All Cases - Enter Cases'!$F664="Sindh",'All Cases - Enter Cases'!A664,"")</f>
        <v/>
      </c>
      <c r="B664" t="str">
        <f>IF($A664&lt;&gt;"",'All Cases - Enter Cases'!B664,"")</f>
        <v/>
      </c>
      <c r="C664" t="str">
        <f>IF($A664&lt;&gt;"",'All Cases - Enter Cases'!C664,"")</f>
        <v/>
      </c>
      <c r="D664" t="str">
        <f>IF($A664&lt;&gt;"",'All Cases - Enter Cases'!D664,"")</f>
        <v/>
      </c>
      <c r="E664" t="str">
        <f>IF($A664&lt;&gt;"",'All Cases - Enter Cases'!E664,"")</f>
        <v/>
      </c>
      <c r="F664" t="str">
        <f>IF($A664&lt;&gt;"",'All Cases - Enter Cases'!F664,"")</f>
        <v/>
      </c>
      <c r="G664" t="str">
        <f>IF($A664&lt;&gt;"",'All Cases - Enter Cases'!G664,"")</f>
        <v/>
      </c>
      <c r="H664" t="str">
        <f>IF($A664&lt;&gt;"",'All Cases - Enter Cases'!H664,"")</f>
        <v/>
      </c>
      <c r="I664" t="str">
        <f>IF($A664&lt;&gt;"",'All Cases - Enter Cases'!I664,"")</f>
        <v/>
      </c>
      <c r="J664" t="str">
        <f>IF($A664&lt;&gt;"",'All Cases - Enter Cases'!J664,"")</f>
        <v/>
      </c>
      <c r="K664" s="4" t="str">
        <f>IF($A664&lt;&gt;"",'All Cases - Enter Cases'!K664,"")</f>
        <v/>
      </c>
      <c r="L664" t="str">
        <f>IF($A664&lt;&gt;"",'All Cases - Enter Cases'!L664,"")</f>
        <v/>
      </c>
      <c r="M664" t="str">
        <f>IF($A664&lt;&gt;"",'All Cases - Enter Cases'!M664,"")</f>
        <v/>
      </c>
    </row>
    <row r="665" spans="1:13" x14ac:dyDescent="0.35">
      <c r="A665" s="10" t="str">
        <f>IF('All Cases - Enter Cases'!$F665="Sindh",'All Cases - Enter Cases'!A665,"")</f>
        <v/>
      </c>
      <c r="B665" t="str">
        <f>IF($A665&lt;&gt;"",'All Cases - Enter Cases'!B665,"")</f>
        <v/>
      </c>
      <c r="C665" t="str">
        <f>IF($A665&lt;&gt;"",'All Cases - Enter Cases'!C665,"")</f>
        <v/>
      </c>
      <c r="D665" t="str">
        <f>IF($A665&lt;&gt;"",'All Cases - Enter Cases'!D665,"")</f>
        <v/>
      </c>
      <c r="E665" t="str">
        <f>IF($A665&lt;&gt;"",'All Cases - Enter Cases'!E665,"")</f>
        <v/>
      </c>
      <c r="F665" t="str">
        <f>IF($A665&lt;&gt;"",'All Cases - Enter Cases'!F665,"")</f>
        <v/>
      </c>
      <c r="G665" t="str">
        <f>IF($A665&lt;&gt;"",'All Cases - Enter Cases'!G665,"")</f>
        <v/>
      </c>
      <c r="H665" t="str">
        <f>IF($A665&lt;&gt;"",'All Cases - Enter Cases'!H665,"")</f>
        <v/>
      </c>
      <c r="I665" t="str">
        <f>IF($A665&lt;&gt;"",'All Cases - Enter Cases'!I665,"")</f>
        <v/>
      </c>
      <c r="J665" t="str">
        <f>IF($A665&lt;&gt;"",'All Cases - Enter Cases'!J665,"")</f>
        <v/>
      </c>
      <c r="K665" s="4" t="str">
        <f>IF($A665&lt;&gt;"",'All Cases - Enter Cases'!K665,"")</f>
        <v/>
      </c>
      <c r="L665" t="str">
        <f>IF($A665&lt;&gt;"",'All Cases - Enter Cases'!L665,"")</f>
        <v/>
      </c>
      <c r="M665" t="str">
        <f>IF($A665&lt;&gt;"",'All Cases - Enter Cases'!M665,"")</f>
        <v/>
      </c>
    </row>
    <row r="666" spans="1:13" x14ac:dyDescent="0.35">
      <c r="A666" s="10" t="str">
        <f>IF('All Cases - Enter Cases'!$F666="Sindh",'All Cases - Enter Cases'!A666,"")</f>
        <v/>
      </c>
      <c r="B666" t="str">
        <f>IF($A666&lt;&gt;"",'All Cases - Enter Cases'!B666,"")</f>
        <v/>
      </c>
      <c r="C666" t="str">
        <f>IF($A666&lt;&gt;"",'All Cases - Enter Cases'!C666,"")</f>
        <v/>
      </c>
      <c r="D666" t="str">
        <f>IF($A666&lt;&gt;"",'All Cases - Enter Cases'!D666,"")</f>
        <v/>
      </c>
      <c r="E666" t="str">
        <f>IF($A666&lt;&gt;"",'All Cases - Enter Cases'!E666,"")</f>
        <v/>
      </c>
      <c r="F666" t="str">
        <f>IF($A666&lt;&gt;"",'All Cases - Enter Cases'!F666,"")</f>
        <v/>
      </c>
      <c r="G666" t="str">
        <f>IF($A666&lt;&gt;"",'All Cases - Enter Cases'!G666,"")</f>
        <v/>
      </c>
      <c r="H666" t="str">
        <f>IF($A666&lt;&gt;"",'All Cases - Enter Cases'!H666,"")</f>
        <v/>
      </c>
      <c r="I666" t="str">
        <f>IF($A666&lt;&gt;"",'All Cases - Enter Cases'!I666,"")</f>
        <v/>
      </c>
      <c r="J666" t="str">
        <f>IF($A666&lt;&gt;"",'All Cases - Enter Cases'!J666,"")</f>
        <v/>
      </c>
      <c r="K666" s="4" t="str">
        <f>IF($A666&lt;&gt;"",'All Cases - Enter Cases'!K666,"")</f>
        <v/>
      </c>
      <c r="L666" t="str">
        <f>IF($A666&lt;&gt;"",'All Cases - Enter Cases'!L666,"")</f>
        <v/>
      </c>
      <c r="M666" t="str">
        <f>IF($A666&lt;&gt;"",'All Cases - Enter Cases'!M666,"")</f>
        <v/>
      </c>
    </row>
    <row r="667" spans="1:13" x14ac:dyDescent="0.35">
      <c r="A667" s="10" t="str">
        <f>IF('All Cases - Enter Cases'!$F667="Sindh",'All Cases - Enter Cases'!A667,"")</f>
        <v/>
      </c>
      <c r="B667" t="str">
        <f>IF($A667&lt;&gt;"",'All Cases - Enter Cases'!B667,"")</f>
        <v/>
      </c>
      <c r="C667" t="str">
        <f>IF($A667&lt;&gt;"",'All Cases - Enter Cases'!C667,"")</f>
        <v/>
      </c>
      <c r="D667" t="str">
        <f>IF($A667&lt;&gt;"",'All Cases - Enter Cases'!D667,"")</f>
        <v/>
      </c>
      <c r="E667" t="str">
        <f>IF($A667&lt;&gt;"",'All Cases - Enter Cases'!E667,"")</f>
        <v/>
      </c>
      <c r="F667" t="str">
        <f>IF($A667&lt;&gt;"",'All Cases - Enter Cases'!F667,"")</f>
        <v/>
      </c>
      <c r="G667" t="str">
        <f>IF($A667&lt;&gt;"",'All Cases - Enter Cases'!G667,"")</f>
        <v/>
      </c>
      <c r="H667" t="str">
        <f>IF($A667&lt;&gt;"",'All Cases - Enter Cases'!H667,"")</f>
        <v/>
      </c>
      <c r="I667" t="str">
        <f>IF($A667&lt;&gt;"",'All Cases - Enter Cases'!I667,"")</f>
        <v/>
      </c>
      <c r="J667" t="str">
        <f>IF($A667&lt;&gt;"",'All Cases - Enter Cases'!J667,"")</f>
        <v/>
      </c>
      <c r="K667" s="4" t="str">
        <f>IF($A667&lt;&gt;"",'All Cases - Enter Cases'!K667,"")</f>
        <v/>
      </c>
      <c r="L667" t="str">
        <f>IF($A667&lt;&gt;"",'All Cases - Enter Cases'!L667,"")</f>
        <v/>
      </c>
      <c r="M667" t="str">
        <f>IF($A667&lt;&gt;"",'All Cases - Enter Cases'!M667,"")</f>
        <v/>
      </c>
    </row>
    <row r="668" spans="1:13" x14ac:dyDescent="0.35">
      <c r="A668" s="10" t="str">
        <f>IF('All Cases - Enter Cases'!$F668="Sindh",'All Cases - Enter Cases'!A668,"")</f>
        <v/>
      </c>
      <c r="B668" t="str">
        <f>IF($A668&lt;&gt;"",'All Cases - Enter Cases'!B668,"")</f>
        <v/>
      </c>
      <c r="C668" t="str">
        <f>IF($A668&lt;&gt;"",'All Cases - Enter Cases'!C668,"")</f>
        <v/>
      </c>
      <c r="D668" t="str">
        <f>IF($A668&lt;&gt;"",'All Cases - Enter Cases'!D668,"")</f>
        <v/>
      </c>
      <c r="E668" t="str">
        <f>IF($A668&lt;&gt;"",'All Cases - Enter Cases'!E668,"")</f>
        <v/>
      </c>
      <c r="F668" t="str">
        <f>IF($A668&lt;&gt;"",'All Cases - Enter Cases'!F668,"")</f>
        <v/>
      </c>
      <c r="G668" t="str">
        <f>IF($A668&lt;&gt;"",'All Cases - Enter Cases'!G668,"")</f>
        <v/>
      </c>
      <c r="H668" t="str">
        <f>IF($A668&lt;&gt;"",'All Cases - Enter Cases'!H668,"")</f>
        <v/>
      </c>
      <c r="I668" t="str">
        <f>IF($A668&lt;&gt;"",'All Cases - Enter Cases'!I668,"")</f>
        <v/>
      </c>
      <c r="J668" t="str">
        <f>IF($A668&lt;&gt;"",'All Cases - Enter Cases'!J668,"")</f>
        <v/>
      </c>
      <c r="K668" s="4" t="str">
        <f>IF($A668&lt;&gt;"",'All Cases - Enter Cases'!K668,"")</f>
        <v/>
      </c>
      <c r="L668" t="str">
        <f>IF($A668&lt;&gt;"",'All Cases - Enter Cases'!L668,"")</f>
        <v/>
      </c>
      <c r="M668" t="str">
        <f>IF($A668&lt;&gt;"",'All Cases - Enter Cases'!M668,"")</f>
        <v/>
      </c>
    </row>
    <row r="669" spans="1:13" x14ac:dyDescent="0.35">
      <c r="A669" s="10" t="str">
        <f>IF('All Cases - Enter Cases'!$F669="Sindh",'All Cases - Enter Cases'!A669,"")</f>
        <v/>
      </c>
      <c r="B669" t="str">
        <f>IF($A669&lt;&gt;"",'All Cases - Enter Cases'!B669,"")</f>
        <v/>
      </c>
      <c r="C669" t="str">
        <f>IF($A669&lt;&gt;"",'All Cases - Enter Cases'!C669,"")</f>
        <v/>
      </c>
      <c r="D669" t="str">
        <f>IF($A669&lt;&gt;"",'All Cases - Enter Cases'!D669,"")</f>
        <v/>
      </c>
      <c r="E669" t="str">
        <f>IF($A669&lt;&gt;"",'All Cases - Enter Cases'!E669,"")</f>
        <v/>
      </c>
      <c r="F669" t="str">
        <f>IF($A669&lt;&gt;"",'All Cases - Enter Cases'!F669,"")</f>
        <v/>
      </c>
      <c r="G669" t="str">
        <f>IF($A669&lt;&gt;"",'All Cases - Enter Cases'!G669,"")</f>
        <v/>
      </c>
      <c r="H669" t="str">
        <f>IF($A669&lt;&gt;"",'All Cases - Enter Cases'!H669,"")</f>
        <v/>
      </c>
      <c r="I669" t="str">
        <f>IF($A669&lt;&gt;"",'All Cases - Enter Cases'!I669,"")</f>
        <v/>
      </c>
      <c r="J669" t="str">
        <f>IF($A669&lt;&gt;"",'All Cases - Enter Cases'!J669,"")</f>
        <v/>
      </c>
      <c r="K669" s="4" t="str">
        <f>IF($A669&lt;&gt;"",'All Cases - Enter Cases'!K669,"")</f>
        <v/>
      </c>
      <c r="L669" t="str">
        <f>IF($A669&lt;&gt;"",'All Cases - Enter Cases'!L669,"")</f>
        <v/>
      </c>
      <c r="M669" t="str">
        <f>IF($A669&lt;&gt;"",'All Cases - Enter Cases'!M669,"")</f>
        <v/>
      </c>
    </row>
    <row r="670" spans="1:13" x14ac:dyDescent="0.35">
      <c r="A670" s="10" t="str">
        <f>IF('All Cases - Enter Cases'!$F670="Sindh",'All Cases - Enter Cases'!A670,"")</f>
        <v/>
      </c>
      <c r="B670" t="str">
        <f>IF($A670&lt;&gt;"",'All Cases - Enter Cases'!B670,"")</f>
        <v/>
      </c>
      <c r="C670" t="str">
        <f>IF($A670&lt;&gt;"",'All Cases - Enter Cases'!C670,"")</f>
        <v/>
      </c>
      <c r="D670" t="str">
        <f>IF($A670&lt;&gt;"",'All Cases - Enter Cases'!D670,"")</f>
        <v/>
      </c>
      <c r="E670" t="str">
        <f>IF($A670&lt;&gt;"",'All Cases - Enter Cases'!E670,"")</f>
        <v/>
      </c>
      <c r="F670" t="str">
        <f>IF($A670&lt;&gt;"",'All Cases - Enter Cases'!F670,"")</f>
        <v/>
      </c>
      <c r="G670" t="str">
        <f>IF($A670&lt;&gt;"",'All Cases - Enter Cases'!G670,"")</f>
        <v/>
      </c>
      <c r="H670" t="str">
        <f>IF($A670&lt;&gt;"",'All Cases - Enter Cases'!H670,"")</f>
        <v/>
      </c>
      <c r="I670" t="str">
        <f>IF($A670&lt;&gt;"",'All Cases - Enter Cases'!I670,"")</f>
        <v/>
      </c>
      <c r="J670" t="str">
        <f>IF($A670&lt;&gt;"",'All Cases - Enter Cases'!J670,"")</f>
        <v/>
      </c>
      <c r="K670" s="4" t="str">
        <f>IF($A670&lt;&gt;"",'All Cases - Enter Cases'!K670,"")</f>
        <v/>
      </c>
      <c r="L670" t="str">
        <f>IF($A670&lt;&gt;"",'All Cases - Enter Cases'!L670,"")</f>
        <v/>
      </c>
      <c r="M670" t="str">
        <f>IF($A670&lt;&gt;"",'All Cases - Enter Cases'!M670,"")</f>
        <v/>
      </c>
    </row>
    <row r="671" spans="1:13" x14ac:dyDescent="0.35">
      <c r="A671" s="10" t="str">
        <f>IF('All Cases - Enter Cases'!$F671="Sindh",'All Cases - Enter Cases'!A671,"")</f>
        <v/>
      </c>
      <c r="B671" t="str">
        <f>IF($A671&lt;&gt;"",'All Cases - Enter Cases'!B671,"")</f>
        <v/>
      </c>
      <c r="C671" t="str">
        <f>IF($A671&lt;&gt;"",'All Cases - Enter Cases'!C671,"")</f>
        <v/>
      </c>
      <c r="D671" t="str">
        <f>IF($A671&lt;&gt;"",'All Cases - Enter Cases'!D671,"")</f>
        <v/>
      </c>
      <c r="E671" t="str">
        <f>IF($A671&lt;&gt;"",'All Cases - Enter Cases'!E671,"")</f>
        <v/>
      </c>
      <c r="F671" t="str">
        <f>IF($A671&lt;&gt;"",'All Cases - Enter Cases'!F671,"")</f>
        <v/>
      </c>
      <c r="G671" t="str">
        <f>IF($A671&lt;&gt;"",'All Cases - Enter Cases'!G671,"")</f>
        <v/>
      </c>
      <c r="H671" t="str">
        <f>IF($A671&lt;&gt;"",'All Cases - Enter Cases'!H671,"")</f>
        <v/>
      </c>
      <c r="I671" t="str">
        <f>IF($A671&lt;&gt;"",'All Cases - Enter Cases'!I671,"")</f>
        <v/>
      </c>
      <c r="J671" t="str">
        <f>IF($A671&lt;&gt;"",'All Cases - Enter Cases'!J671,"")</f>
        <v/>
      </c>
      <c r="K671" s="4" t="str">
        <f>IF($A671&lt;&gt;"",'All Cases - Enter Cases'!K671,"")</f>
        <v/>
      </c>
      <c r="L671" t="str">
        <f>IF($A671&lt;&gt;"",'All Cases - Enter Cases'!L671,"")</f>
        <v/>
      </c>
      <c r="M671" t="str">
        <f>IF($A671&lt;&gt;"",'All Cases - Enter Cases'!M671,"")</f>
        <v/>
      </c>
    </row>
    <row r="672" spans="1:13" x14ac:dyDescent="0.35">
      <c r="A672" s="10" t="str">
        <f>IF('All Cases - Enter Cases'!$F672="Sindh",'All Cases - Enter Cases'!A672,"")</f>
        <v/>
      </c>
      <c r="B672" t="str">
        <f>IF($A672&lt;&gt;"",'All Cases - Enter Cases'!B672,"")</f>
        <v/>
      </c>
      <c r="C672" t="str">
        <f>IF($A672&lt;&gt;"",'All Cases - Enter Cases'!C672,"")</f>
        <v/>
      </c>
      <c r="D672" t="str">
        <f>IF($A672&lt;&gt;"",'All Cases - Enter Cases'!D672,"")</f>
        <v/>
      </c>
      <c r="E672" t="str">
        <f>IF($A672&lt;&gt;"",'All Cases - Enter Cases'!E672,"")</f>
        <v/>
      </c>
      <c r="F672" t="str">
        <f>IF($A672&lt;&gt;"",'All Cases - Enter Cases'!F672,"")</f>
        <v/>
      </c>
      <c r="G672" t="str">
        <f>IF($A672&lt;&gt;"",'All Cases - Enter Cases'!G672,"")</f>
        <v/>
      </c>
      <c r="H672" t="str">
        <f>IF($A672&lt;&gt;"",'All Cases - Enter Cases'!H672,"")</f>
        <v/>
      </c>
      <c r="I672" t="str">
        <f>IF($A672&lt;&gt;"",'All Cases - Enter Cases'!I672,"")</f>
        <v/>
      </c>
      <c r="J672" t="str">
        <f>IF($A672&lt;&gt;"",'All Cases - Enter Cases'!J672,"")</f>
        <v/>
      </c>
      <c r="K672" s="4" t="str">
        <f>IF($A672&lt;&gt;"",'All Cases - Enter Cases'!K672,"")</f>
        <v/>
      </c>
      <c r="L672" t="str">
        <f>IF($A672&lt;&gt;"",'All Cases - Enter Cases'!L672,"")</f>
        <v/>
      </c>
      <c r="M672" t="str">
        <f>IF($A672&lt;&gt;"",'All Cases - Enter Cases'!M672,"")</f>
        <v/>
      </c>
    </row>
    <row r="673" spans="1:13" x14ac:dyDescent="0.35">
      <c r="A673" s="10" t="str">
        <f>IF('All Cases - Enter Cases'!$F673="Sindh",'All Cases - Enter Cases'!A673,"")</f>
        <v/>
      </c>
      <c r="B673" t="str">
        <f>IF($A673&lt;&gt;"",'All Cases - Enter Cases'!B673,"")</f>
        <v/>
      </c>
      <c r="C673" t="str">
        <f>IF($A673&lt;&gt;"",'All Cases - Enter Cases'!C673,"")</f>
        <v/>
      </c>
      <c r="D673" t="str">
        <f>IF($A673&lt;&gt;"",'All Cases - Enter Cases'!D673,"")</f>
        <v/>
      </c>
      <c r="E673" t="str">
        <f>IF($A673&lt;&gt;"",'All Cases - Enter Cases'!E673,"")</f>
        <v/>
      </c>
      <c r="F673" t="str">
        <f>IF($A673&lt;&gt;"",'All Cases - Enter Cases'!F673,"")</f>
        <v/>
      </c>
      <c r="G673" t="str">
        <f>IF($A673&lt;&gt;"",'All Cases - Enter Cases'!G673,"")</f>
        <v/>
      </c>
      <c r="H673" t="str">
        <f>IF($A673&lt;&gt;"",'All Cases - Enter Cases'!H673,"")</f>
        <v/>
      </c>
      <c r="I673" t="str">
        <f>IF($A673&lt;&gt;"",'All Cases - Enter Cases'!I673,"")</f>
        <v/>
      </c>
      <c r="J673" t="str">
        <f>IF($A673&lt;&gt;"",'All Cases - Enter Cases'!J673,"")</f>
        <v/>
      </c>
      <c r="K673" s="4" t="str">
        <f>IF($A673&lt;&gt;"",'All Cases - Enter Cases'!K673,"")</f>
        <v/>
      </c>
      <c r="L673" t="str">
        <f>IF($A673&lt;&gt;"",'All Cases - Enter Cases'!L673,"")</f>
        <v/>
      </c>
      <c r="M673" t="str">
        <f>IF($A673&lt;&gt;"",'All Cases - Enter Cases'!M673,"")</f>
        <v/>
      </c>
    </row>
    <row r="674" spans="1:13" x14ac:dyDescent="0.35">
      <c r="A674" s="10" t="str">
        <f>IF('All Cases - Enter Cases'!$F674="Sindh",'All Cases - Enter Cases'!A674,"")</f>
        <v/>
      </c>
      <c r="B674" t="str">
        <f>IF($A674&lt;&gt;"",'All Cases - Enter Cases'!B674,"")</f>
        <v/>
      </c>
      <c r="C674" t="str">
        <f>IF($A674&lt;&gt;"",'All Cases - Enter Cases'!C674,"")</f>
        <v/>
      </c>
      <c r="D674" t="str">
        <f>IF($A674&lt;&gt;"",'All Cases - Enter Cases'!D674,"")</f>
        <v/>
      </c>
      <c r="E674" t="str">
        <f>IF($A674&lt;&gt;"",'All Cases - Enter Cases'!E674,"")</f>
        <v/>
      </c>
      <c r="F674" t="str">
        <f>IF($A674&lt;&gt;"",'All Cases - Enter Cases'!F674,"")</f>
        <v/>
      </c>
      <c r="G674" t="str">
        <f>IF($A674&lt;&gt;"",'All Cases - Enter Cases'!G674,"")</f>
        <v/>
      </c>
      <c r="H674" t="str">
        <f>IF($A674&lt;&gt;"",'All Cases - Enter Cases'!H674,"")</f>
        <v/>
      </c>
      <c r="I674" t="str">
        <f>IF($A674&lt;&gt;"",'All Cases - Enter Cases'!I674,"")</f>
        <v/>
      </c>
      <c r="J674" t="str">
        <f>IF($A674&lt;&gt;"",'All Cases - Enter Cases'!J674,"")</f>
        <v/>
      </c>
      <c r="K674" s="4" t="str">
        <f>IF($A674&lt;&gt;"",'All Cases - Enter Cases'!K674,"")</f>
        <v/>
      </c>
      <c r="L674" t="str">
        <f>IF($A674&lt;&gt;"",'All Cases - Enter Cases'!L674,"")</f>
        <v/>
      </c>
      <c r="M674" t="str">
        <f>IF($A674&lt;&gt;"",'All Cases - Enter Cases'!M674,"")</f>
        <v/>
      </c>
    </row>
    <row r="675" spans="1:13" x14ac:dyDescent="0.35">
      <c r="A675" s="10" t="str">
        <f>IF('All Cases - Enter Cases'!$F675="Sindh",'All Cases - Enter Cases'!A675,"")</f>
        <v/>
      </c>
      <c r="B675" t="str">
        <f>IF($A675&lt;&gt;"",'All Cases - Enter Cases'!B675,"")</f>
        <v/>
      </c>
      <c r="C675" t="str">
        <f>IF($A675&lt;&gt;"",'All Cases - Enter Cases'!C675,"")</f>
        <v/>
      </c>
      <c r="D675" t="str">
        <f>IF($A675&lt;&gt;"",'All Cases - Enter Cases'!D675,"")</f>
        <v/>
      </c>
      <c r="E675" t="str">
        <f>IF($A675&lt;&gt;"",'All Cases - Enter Cases'!E675,"")</f>
        <v/>
      </c>
      <c r="F675" t="str">
        <f>IF($A675&lt;&gt;"",'All Cases - Enter Cases'!F675,"")</f>
        <v/>
      </c>
      <c r="G675" t="str">
        <f>IF($A675&lt;&gt;"",'All Cases - Enter Cases'!G675,"")</f>
        <v/>
      </c>
      <c r="H675" t="str">
        <f>IF($A675&lt;&gt;"",'All Cases - Enter Cases'!H675,"")</f>
        <v/>
      </c>
      <c r="I675" t="str">
        <f>IF($A675&lt;&gt;"",'All Cases - Enter Cases'!I675,"")</f>
        <v/>
      </c>
      <c r="J675" t="str">
        <f>IF($A675&lt;&gt;"",'All Cases - Enter Cases'!J675,"")</f>
        <v/>
      </c>
      <c r="K675" s="4" t="str">
        <f>IF($A675&lt;&gt;"",'All Cases - Enter Cases'!K675,"")</f>
        <v/>
      </c>
      <c r="L675" t="str">
        <f>IF($A675&lt;&gt;"",'All Cases - Enter Cases'!L675,"")</f>
        <v/>
      </c>
      <c r="M675" t="str">
        <f>IF($A675&lt;&gt;"",'All Cases - Enter Cases'!M675,"")</f>
        <v/>
      </c>
    </row>
    <row r="676" spans="1:13" x14ac:dyDescent="0.35">
      <c r="A676" s="10" t="str">
        <f>IF('All Cases - Enter Cases'!$F676="Sindh",'All Cases - Enter Cases'!A676,"")</f>
        <v/>
      </c>
      <c r="B676" t="str">
        <f>IF($A676&lt;&gt;"",'All Cases - Enter Cases'!B676,"")</f>
        <v/>
      </c>
      <c r="C676" t="str">
        <f>IF($A676&lt;&gt;"",'All Cases - Enter Cases'!C676,"")</f>
        <v/>
      </c>
      <c r="D676" t="str">
        <f>IF($A676&lt;&gt;"",'All Cases - Enter Cases'!D676,"")</f>
        <v/>
      </c>
      <c r="E676" t="str">
        <f>IF($A676&lt;&gt;"",'All Cases - Enter Cases'!E676,"")</f>
        <v/>
      </c>
      <c r="F676" t="str">
        <f>IF($A676&lt;&gt;"",'All Cases - Enter Cases'!F676,"")</f>
        <v/>
      </c>
      <c r="G676" t="str">
        <f>IF($A676&lt;&gt;"",'All Cases - Enter Cases'!G676,"")</f>
        <v/>
      </c>
      <c r="H676" t="str">
        <f>IF($A676&lt;&gt;"",'All Cases - Enter Cases'!H676,"")</f>
        <v/>
      </c>
      <c r="I676" t="str">
        <f>IF($A676&lt;&gt;"",'All Cases - Enter Cases'!I676,"")</f>
        <v/>
      </c>
      <c r="J676" t="str">
        <f>IF($A676&lt;&gt;"",'All Cases - Enter Cases'!J676,"")</f>
        <v/>
      </c>
      <c r="K676" s="4" t="str">
        <f>IF($A676&lt;&gt;"",'All Cases - Enter Cases'!K676,"")</f>
        <v/>
      </c>
      <c r="L676" t="str">
        <f>IF($A676&lt;&gt;"",'All Cases - Enter Cases'!L676,"")</f>
        <v/>
      </c>
      <c r="M676" t="str">
        <f>IF($A676&lt;&gt;"",'All Cases - Enter Cases'!M676,"")</f>
        <v/>
      </c>
    </row>
    <row r="677" spans="1:13" x14ac:dyDescent="0.35">
      <c r="A677" s="10" t="str">
        <f>IF('All Cases - Enter Cases'!$F677="Sindh",'All Cases - Enter Cases'!A677,"")</f>
        <v/>
      </c>
      <c r="B677" t="str">
        <f>IF($A677&lt;&gt;"",'All Cases - Enter Cases'!B677,"")</f>
        <v/>
      </c>
      <c r="C677" t="str">
        <f>IF($A677&lt;&gt;"",'All Cases - Enter Cases'!C677,"")</f>
        <v/>
      </c>
      <c r="D677" t="str">
        <f>IF($A677&lt;&gt;"",'All Cases - Enter Cases'!D677,"")</f>
        <v/>
      </c>
      <c r="E677" t="str">
        <f>IF($A677&lt;&gt;"",'All Cases - Enter Cases'!E677,"")</f>
        <v/>
      </c>
      <c r="F677" t="str">
        <f>IF($A677&lt;&gt;"",'All Cases - Enter Cases'!F677,"")</f>
        <v/>
      </c>
      <c r="G677" t="str">
        <f>IF($A677&lt;&gt;"",'All Cases - Enter Cases'!G677,"")</f>
        <v/>
      </c>
      <c r="H677" t="str">
        <f>IF($A677&lt;&gt;"",'All Cases - Enter Cases'!H677,"")</f>
        <v/>
      </c>
      <c r="I677" t="str">
        <f>IF($A677&lt;&gt;"",'All Cases - Enter Cases'!I677,"")</f>
        <v/>
      </c>
      <c r="J677" t="str">
        <f>IF($A677&lt;&gt;"",'All Cases - Enter Cases'!J677,"")</f>
        <v/>
      </c>
      <c r="K677" s="4" t="str">
        <f>IF($A677&lt;&gt;"",'All Cases - Enter Cases'!K677,"")</f>
        <v/>
      </c>
      <c r="L677" t="str">
        <f>IF($A677&lt;&gt;"",'All Cases - Enter Cases'!L677,"")</f>
        <v/>
      </c>
      <c r="M677" t="str">
        <f>IF($A677&lt;&gt;"",'All Cases - Enter Cases'!M677,"")</f>
        <v/>
      </c>
    </row>
    <row r="678" spans="1:13" x14ac:dyDescent="0.35">
      <c r="A678" s="10" t="str">
        <f>IF('All Cases - Enter Cases'!$F678="Sindh",'All Cases - Enter Cases'!A678,"")</f>
        <v/>
      </c>
      <c r="B678" t="str">
        <f>IF($A678&lt;&gt;"",'All Cases - Enter Cases'!B678,"")</f>
        <v/>
      </c>
      <c r="C678" t="str">
        <f>IF($A678&lt;&gt;"",'All Cases - Enter Cases'!C678,"")</f>
        <v/>
      </c>
      <c r="D678" t="str">
        <f>IF($A678&lt;&gt;"",'All Cases - Enter Cases'!D678,"")</f>
        <v/>
      </c>
      <c r="E678" t="str">
        <f>IF($A678&lt;&gt;"",'All Cases - Enter Cases'!E678,"")</f>
        <v/>
      </c>
      <c r="F678" t="str">
        <f>IF($A678&lt;&gt;"",'All Cases - Enter Cases'!F678,"")</f>
        <v/>
      </c>
      <c r="G678" t="str">
        <f>IF($A678&lt;&gt;"",'All Cases - Enter Cases'!G678,"")</f>
        <v/>
      </c>
      <c r="H678" t="str">
        <f>IF($A678&lt;&gt;"",'All Cases - Enter Cases'!H678,"")</f>
        <v/>
      </c>
      <c r="I678" t="str">
        <f>IF($A678&lt;&gt;"",'All Cases - Enter Cases'!I678,"")</f>
        <v/>
      </c>
      <c r="J678" t="str">
        <f>IF($A678&lt;&gt;"",'All Cases - Enter Cases'!J678,"")</f>
        <v/>
      </c>
      <c r="K678" s="4" t="str">
        <f>IF($A678&lt;&gt;"",'All Cases - Enter Cases'!K678,"")</f>
        <v/>
      </c>
      <c r="L678" t="str">
        <f>IF($A678&lt;&gt;"",'All Cases - Enter Cases'!L678,"")</f>
        <v/>
      </c>
      <c r="M678" t="str">
        <f>IF($A678&lt;&gt;"",'All Cases - Enter Cases'!M678,"")</f>
        <v/>
      </c>
    </row>
    <row r="679" spans="1:13" x14ac:dyDescent="0.35">
      <c r="A679" s="10" t="str">
        <f>IF('All Cases - Enter Cases'!$F679="Sindh",'All Cases - Enter Cases'!A679,"")</f>
        <v/>
      </c>
      <c r="B679" t="str">
        <f>IF($A679&lt;&gt;"",'All Cases - Enter Cases'!B679,"")</f>
        <v/>
      </c>
      <c r="C679" t="str">
        <f>IF($A679&lt;&gt;"",'All Cases - Enter Cases'!C679,"")</f>
        <v/>
      </c>
      <c r="D679" t="str">
        <f>IF($A679&lt;&gt;"",'All Cases - Enter Cases'!D679,"")</f>
        <v/>
      </c>
      <c r="E679" t="str">
        <f>IF($A679&lt;&gt;"",'All Cases - Enter Cases'!E679,"")</f>
        <v/>
      </c>
      <c r="F679" t="str">
        <f>IF($A679&lt;&gt;"",'All Cases - Enter Cases'!F679,"")</f>
        <v/>
      </c>
      <c r="G679" t="str">
        <f>IF($A679&lt;&gt;"",'All Cases - Enter Cases'!G679,"")</f>
        <v/>
      </c>
      <c r="H679" t="str">
        <f>IF($A679&lt;&gt;"",'All Cases - Enter Cases'!H679,"")</f>
        <v/>
      </c>
      <c r="I679" t="str">
        <f>IF($A679&lt;&gt;"",'All Cases - Enter Cases'!I679,"")</f>
        <v/>
      </c>
      <c r="J679" t="str">
        <f>IF($A679&lt;&gt;"",'All Cases - Enter Cases'!J679,"")</f>
        <v/>
      </c>
      <c r="K679" s="4" t="str">
        <f>IF($A679&lt;&gt;"",'All Cases - Enter Cases'!K679,"")</f>
        <v/>
      </c>
      <c r="L679" t="str">
        <f>IF($A679&lt;&gt;"",'All Cases - Enter Cases'!L679,"")</f>
        <v/>
      </c>
      <c r="M679" t="str">
        <f>IF($A679&lt;&gt;"",'All Cases - Enter Cases'!M679,"")</f>
        <v/>
      </c>
    </row>
    <row r="680" spans="1:13" x14ac:dyDescent="0.35">
      <c r="A680" s="10" t="str">
        <f>IF('All Cases - Enter Cases'!$F680="Sindh",'All Cases - Enter Cases'!A680,"")</f>
        <v/>
      </c>
      <c r="B680" t="str">
        <f>IF($A680&lt;&gt;"",'All Cases - Enter Cases'!B680,"")</f>
        <v/>
      </c>
      <c r="C680" t="str">
        <f>IF($A680&lt;&gt;"",'All Cases - Enter Cases'!C680,"")</f>
        <v/>
      </c>
      <c r="D680" t="str">
        <f>IF($A680&lt;&gt;"",'All Cases - Enter Cases'!D680,"")</f>
        <v/>
      </c>
      <c r="E680" t="str">
        <f>IF($A680&lt;&gt;"",'All Cases - Enter Cases'!E680,"")</f>
        <v/>
      </c>
      <c r="F680" t="str">
        <f>IF($A680&lt;&gt;"",'All Cases - Enter Cases'!F680,"")</f>
        <v/>
      </c>
      <c r="G680" t="str">
        <f>IF($A680&lt;&gt;"",'All Cases - Enter Cases'!G680,"")</f>
        <v/>
      </c>
      <c r="H680" t="str">
        <f>IF($A680&lt;&gt;"",'All Cases - Enter Cases'!H680,"")</f>
        <v/>
      </c>
      <c r="I680" t="str">
        <f>IF($A680&lt;&gt;"",'All Cases - Enter Cases'!I680,"")</f>
        <v/>
      </c>
      <c r="J680" t="str">
        <f>IF($A680&lt;&gt;"",'All Cases - Enter Cases'!J680,"")</f>
        <v/>
      </c>
      <c r="K680" s="4" t="str">
        <f>IF($A680&lt;&gt;"",'All Cases - Enter Cases'!K680,"")</f>
        <v/>
      </c>
      <c r="L680" t="str">
        <f>IF($A680&lt;&gt;"",'All Cases - Enter Cases'!L680,"")</f>
        <v/>
      </c>
      <c r="M680" t="str">
        <f>IF($A680&lt;&gt;"",'All Cases - Enter Cases'!M680,"")</f>
        <v/>
      </c>
    </row>
    <row r="681" spans="1:13" x14ac:dyDescent="0.35">
      <c r="A681" s="10" t="str">
        <f>IF('All Cases - Enter Cases'!$F681="Sindh",'All Cases - Enter Cases'!A681,"")</f>
        <v/>
      </c>
      <c r="B681" t="str">
        <f>IF($A681&lt;&gt;"",'All Cases - Enter Cases'!B681,"")</f>
        <v/>
      </c>
      <c r="C681" t="str">
        <f>IF($A681&lt;&gt;"",'All Cases - Enter Cases'!C681,"")</f>
        <v/>
      </c>
      <c r="D681" t="str">
        <f>IF($A681&lt;&gt;"",'All Cases - Enter Cases'!D681,"")</f>
        <v/>
      </c>
      <c r="E681" t="str">
        <f>IF($A681&lt;&gt;"",'All Cases - Enter Cases'!E681,"")</f>
        <v/>
      </c>
      <c r="F681" t="str">
        <f>IF($A681&lt;&gt;"",'All Cases - Enter Cases'!F681,"")</f>
        <v/>
      </c>
      <c r="G681" t="str">
        <f>IF($A681&lt;&gt;"",'All Cases - Enter Cases'!G681,"")</f>
        <v/>
      </c>
      <c r="H681" t="str">
        <f>IF($A681&lt;&gt;"",'All Cases - Enter Cases'!H681,"")</f>
        <v/>
      </c>
      <c r="I681" t="str">
        <f>IF($A681&lt;&gt;"",'All Cases - Enter Cases'!I681,"")</f>
        <v/>
      </c>
      <c r="J681" t="str">
        <f>IF($A681&lt;&gt;"",'All Cases - Enter Cases'!J681,"")</f>
        <v/>
      </c>
      <c r="K681" s="4" t="str">
        <f>IF($A681&lt;&gt;"",'All Cases - Enter Cases'!K681,"")</f>
        <v/>
      </c>
      <c r="L681" t="str">
        <f>IF($A681&lt;&gt;"",'All Cases - Enter Cases'!L681,"")</f>
        <v/>
      </c>
      <c r="M681" t="str">
        <f>IF($A681&lt;&gt;"",'All Cases - Enter Cases'!M681,"")</f>
        <v/>
      </c>
    </row>
    <row r="682" spans="1:13" x14ac:dyDescent="0.35">
      <c r="A682" s="10" t="str">
        <f>IF('All Cases - Enter Cases'!$F682="Sindh",'All Cases - Enter Cases'!A682,"")</f>
        <v/>
      </c>
      <c r="B682" t="str">
        <f>IF($A682&lt;&gt;"",'All Cases - Enter Cases'!B682,"")</f>
        <v/>
      </c>
      <c r="C682" t="str">
        <f>IF($A682&lt;&gt;"",'All Cases - Enter Cases'!C682,"")</f>
        <v/>
      </c>
      <c r="D682" t="str">
        <f>IF($A682&lt;&gt;"",'All Cases - Enter Cases'!D682,"")</f>
        <v/>
      </c>
      <c r="E682" t="str">
        <f>IF($A682&lt;&gt;"",'All Cases - Enter Cases'!E682,"")</f>
        <v/>
      </c>
      <c r="F682" t="str">
        <f>IF($A682&lt;&gt;"",'All Cases - Enter Cases'!F682,"")</f>
        <v/>
      </c>
      <c r="G682" t="str">
        <f>IF($A682&lt;&gt;"",'All Cases - Enter Cases'!G682,"")</f>
        <v/>
      </c>
      <c r="H682" t="str">
        <f>IF($A682&lt;&gt;"",'All Cases - Enter Cases'!H682,"")</f>
        <v/>
      </c>
      <c r="I682" t="str">
        <f>IF($A682&lt;&gt;"",'All Cases - Enter Cases'!I682,"")</f>
        <v/>
      </c>
      <c r="J682" t="str">
        <f>IF($A682&lt;&gt;"",'All Cases - Enter Cases'!J682,"")</f>
        <v/>
      </c>
      <c r="K682" s="4" t="str">
        <f>IF($A682&lt;&gt;"",'All Cases - Enter Cases'!K682,"")</f>
        <v/>
      </c>
      <c r="L682" t="str">
        <f>IF($A682&lt;&gt;"",'All Cases - Enter Cases'!L682,"")</f>
        <v/>
      </c>
      <c r="M682" t="str">
        <f>IF($A682&lt;&gt;"",'All Cases - Enter Cases'!M682,"")</f>
        <v/>
      </c>
    </row>
    <row r="683" spans="1:13" x14ac:dyDescent="0.35">
      <c r="A683" s="10" t="str">
        <f>IF('All Cases - Enter Cases'!$F683="Sindh",'All Cases - Enter Cases'!A683,"")</f>
        <v/>
      </c>
      <c r="B683" t="str">
        <f>IF($A683&lt;&gt;"",'All Cases - Enter Cases'!B683,"")</f>
        <v/>
      </c>
      <c r="C683" t="str">
        <f>IF($A683&lt;&gt;"",'All Cases - Enter Cases'!C683,"")</f>
        <v/>
      </c>
      <c r="D683" t="str">
        <f>IF($A683&lt;&gt;"",'All Cases - Enter Cases'!D683,"")</f>
        <v/>
      </c>
      <c r="E683" t="str">
        <f>IF($A683&lt;&gt;"",'All Cases - Enter Cases'!E683,"")</f>
        <v/>
      </c>
      <c r="F683" t="str">
        <f>IF($A683&lt;&gt;"",'All Cases - Enter Cases'!F683,"")</f>
        <v/>
      </c>
      <c r="G683" t="str">
        <f>IF($A683&lt;&gt;"",'All Cases - Enter Cases'!G683,"")</f>
        <v/>
      </c>
      <c r="H683" t="str">
        <f>IF($A683&lt;&gt;"",'All Cases - Enter Cases'!H683,"")</f>
        <v/>
      </c>
      <c r="I683" t="str">
        <f>IF($A683&lt;&gt;"",'All Cases - Enter Cases'!I683,"")</f>
        <v/>
      </c>
      <c r="J683" t="str">
        <f>IF($A683&lt;&gt;"",'All Cases - Enter Cases'!J683,"")</f>
        <v/>
      </c>
      <c r="K683" s="4" t="str">
        <f>IF($A683&lt;&gt;"",'All Cases - Enter Cases'!K683,"")</f>
        <v/>
      </c>
      <c r="L683" t="str">
        <f>IF($A683&lt;&gt;"",'All Cases - Enter Cases'!L683,"")</f>
        <v/>
      </c>
      <c r="M683" t="str">
        <f>IF($A683&lt;&gt;"",'All Cases - Enter Cases'!M683,"")</f>
        <v/>
      </c>
    </row>
    <row r="684" spans="1:13" x14ac:dyDescent="0.35">
      <c r="A684" s="10" t="str">
        <f>IF('All Cases - Enter Cases'!$F684="Sindh",'All Cases - Enter Cases'!A684,"")</f>
        <v/>
      </c>
      <c r="B684" t="str">
        <f>IF($A684&lt;&gt;"",'All Cases - Enter Cases'!B684,"")</f>
        <v/>
      </c>
      <c r="C684" t="str">
        <f>IF($A684&lt;&gt;"",'All Cases - Enter Cases'!C684,"")</f>
        <v/>
      </c>
      <c r="D684" t="str">
        <f>IF($A684&lt;&gt;"",'All Cases - Enter Cases'!D684,"")</f>
        <v/>
      </c>
      <c r="E684" t="str">
        <f>IF($A684&lt;&gt;"",'All Cases - Enter Cases'!E684,"")</f>
        <v/>
      </c>
      <c r="F684" t="str">
        <f>IF($A684&lt;&gt;"",'All Cases - Enter Cases'!F684,"")</f>
        <v/>
      </c>
      <c r="G684" t="str">
        <f>IF($A684&lt;&gt;"",'All Cases - Enter Cases'!G684,"")</f>
        <v/>
      </c>
      <c r="H684" t="str">
        <f>IF($A684&lt;&gt;"",'All Cases - Enter Cases'!H684,"")</f>
        <v/>
      </c>
      <c r="I684" t="str">
        <f>IF($A684&lt;&gt;"",'All Cases - Enter Cases'!I684,"")</f>
        <v/>
      </c>
      <c r="J684" t="str">
        <f>IF($A684&lt;&gt;"",'All Cases - Enter Cases'!J684,"")</f>
        <v/>
      </c>
      <c r="K684" s="4" t="str">
        <f>IF($A684&lt;&gt;"",'All Cases - Enter Cases'!K684,"")</f>
        <v/>
      </c>
      <c r="L684" t="str">
        <f>IF($A684&lt;&gt;"",'All Cases - Enter Cases'!L684,"")</f>
        <v/>
      </c>
      <c r="M684" t="str">
        <f>IF($A684&lt;&gt;"",'All Cases - Enter Cases'!M684,"")</f>
        <v/>
      </c>
    </row>
    <row r="685" spans="1:13" x14ac:dyDescent="0.35">
      <c r="A685" s="10" t="str">
        <f>IF('All Cases - Enter Cases'!$F685="Sindh",'All Cases - Enter Cases'!A685,"")</f>
        <v/>
      </c>
      <c r="B685" t="str">
        <f>IF($A685&lt;&gt;"",'All Cases - Enter Cases'!B685,"")</f>
        <v/>
      </c>
      <c r="C685" t="str">
        <f>IF($A685&lt;&gt;"",'All Cases - Enter Cases'!C685,"")</f>
        <v/>
      </c>
      <c r="D685" t="str">
        <f>IF($A685&lt;&gt;"",'All Cases - Enter Cases'!D685,"")</f>
        <v/>
      </c>
      <c r="E685" t="str">
        <f>IF($A685&lt;&gt;"",'All Cases - Enter Cases'!E685,"")</f>
        <v/>
      </c>
      <c r="F685" t="str">
        <f>IF($A685&lt;&gt;"",'All Cases - Enter Cases'!F685,"")</f>
        <v/>
      </c>
      <c r="G685" t="str">
        <f>IF($A685&lt;&gt;"",'All Cases - Enter Cases'!G685,"")</f>
        <v/>
      </c>
      <c r="H685" t="str">
        <f>IF($A685&lt;&gt;"",'All Cases - Enter Cases'!H685,"")</f>
        <v/>
      </c>
      <c r="I685" t="str">
        <f>IF($A685&lt;&gt;"",'All Cases - Enter Cases'!I685,"")</f>
        <v/>
      </c>
      <c r="J685" t="str">
        <f>IF($A685&lt;&gt;"",'All Cases - Enter Cases'!J685,"")</f>
        <v/>
      </c>
      <c r="K685" s="4" t="str">
        <f>IF($A685&lt;&gt;"",'All Cases - Enter Cases'!K685,"")</f>
        <v/>
      </c>
      <c r="L685" t="str">
        <f>IF($A685&lt;&gt;"",'All Cases - Enter Cases'!L685,"")</f>
        <v/>
      </c>
      <c r="M685" t="str">
        <f>IF($A685&lt;&gt;"",'All Cases - Enter Cases'!M685,"")</f>
        <v/>
      </c>
    </row>
    <row r="686" spans="1:13" x14ac:dyDescent="0.35">
      <c r="A686" s="10" t="str">
        <f>IF('All Cases - Enter Cases'!$F686="Sindh",'All Cases - Enter Cases'!A686,"")</f>
        <v/>
      </c>
      <c r="B686" t="str">
        <f>IF($A686&lt;&gt;"",'All Cases - Enter Cases'!B686,"")</f>
        <v/>
      </c>
      <c r="C686" t="str">
        <f>IF($A686&lt;&gt;"",'All Cases - Enter Cases'!C686,"")</f>
        <v/>
      </c>
      <c r="D686" t="str">
        <f>IF($A686&lt;&gt;"",'All Cases - Enter Cases'!D686,"")</f>
        <v/>
      </c>
      <c r="E686" t="str">
        <f>IF($A686&lt;&gt;"",'All Cases - Enter Cases'!E686,"")</f>
        <v/>
      </c>
      <c r="F686" t="str">
        <f>IF($A686&lt;&gt;"",'All Cases - Enter Cases'!F686,"")</f>
        <v/>
      </c>
      <c r="G686" t="str">
        <f>IF($A686&lt;&gt;"",'All Cases - Enter Cases'!G686,"")</f>
        <v/>
      </c>
      <c r="H686" t="str">
        <f>IF($A686&lt;&gt;"",'All Cases - Enter Cases'!H686,"")</f>
        <v/>
      </c>
      <c r="I686" t="str">
        <f>IF($A686&lt;&gt;"",'All Cases - Enter Cases'!I686,"")</f>
        <v/>
      </c>
      <c r="J686" t="str">
        <f>IF($A686&lt;&gt;"",'All Cases - Enter Cases'!J686,"")</f>
        <v/>
      </c>
      <c r="K686" s="4" t="str">
        <f>IF($A686&lt;&gt;"",'All Cases - Enter Cases'!K686,"")</f>
        <v/>
      </c>
      <c r="L686" t="str">
        <f>IF($A686&lt;&gt;"",'All Cases - Enter Cases'!L686,"")</f>
        <v/>
      </c>
      <c r="M686" t="str">
        <f>IF($A686&lt;&gt;"",'All Cases - Enter Cases'!M686,"")</f>
        <v/>
      </c>
    </row>
    <row r="687" spans="1:13" x14ac:dyDescent="0.35">
      <c r="A687" s="10" t="str">
        <f>IF('All Cases - Enter Cases'!$F687="Sindh",'All Cases - Enter Cases'!A687,"")</f>
        <v/>
      </c>
      <c r="B687" t="str">
        <f>IF($A687&lt;&gt;"",'All Cases - Enter Cases'!B687,"")</f>
        <v/>
      </c>
      <c r="C687" t="str">
        <f>IF($A687&lt;&gt;"",'All Cases - Enter Cases'!C687,"")</f>
        <v/>
      </c>
      <c r="D687" t="str">
        <f>IF($A687&lt;&gt;"",'All Cases - Enter Cases'!D687,"")</f>
        <v/>
      </c>
      <c r="E687" t="str">
        <f>IF($A687&lt;&gt;"",'All Cases - Enter Cases'!E687,"")</f>
        <v/>
      </c>
      <c r="F687" t="str">
        <f>IF($A687&lt;&gt;"",'All Cases - Enter Cases'!F687,"")</f>
        <v/>
      </c>
      <c r="G687" t="str">
        <f>IF($A687&lt;&gt;"",'All Cases - Enter Cases'!G687,"")</f>
        <v/>
      </c>
      <c r="H687" t="str">
        <f>IF($A687&lt;&gt;"",'All Cases - Enter Cases'!H687,"")</f>
        <v/>
      </c>
      <c r="I687" t="str">
        <f>IF($A687&lt;&gt;"",'All Cases - Enter Cases'!I687,"")</f>
        <v/>
      </c>
      <c r="J687" t="str">
        <f>IF($A687&lt;&gt;"",'All Cases - Enter Cases'!J687,"")</f>
        <v/>
      </c>
      <c r="K687" s="4" t="str">
        <f>IF($A687&lt;&gt;"",'All Cases - Enter Cases'!K687,"")</f>
        <v/>
      </c>
      <c r="L687" t="str">
        <f>IF($A687&lt;&gt;"",'All Cases - Enter Cases'!L687,"")</f>
        <v/>
      </c>
      <c r="M687" t="str">
        <f>IF($A687&lt;&gt;"",'All Cases - Enter Cases'!M687,"")</f>
        <v/>
      </c>
    </row>
    <row r="688" spans="1:13" x14ac:dyDescent="0.35">
      <c r="A688" s="10" t="str">
        <f>IF('All Cases - Enter Cases'!$F688="Sindh",'All Cases - Enter Cases'!A688,"")</f>
        <v/>
      </c>
      <c r="B688" t="str">
        <f>IF($A688&lt;&gt;"",'All Cases - Enter Cases'!B688,"")</f>
        <v/>
      </c>
      <c r="C688" t="str">
        <f>IF($A688&lt;&gt;"",'All Cases - Enter Cases'!C688,"")</f>
        <v/>
      </c>
      <c r="D688" t="str">
        <f>IF($A688&lt;&gt;"",'All Cases - Enter Cases'!D688,"")</f>
        <v/>
      </c>
      <c r="E688" t="str">
        <f>IF($A688&lt;&gt;"",'All Cases - Enter Cases'!E688,"")</f>
        <v/>
      </c>
      <c r="F688" t="str">
        <f>IF($A688&lt;&gt;"",'All Cases - Enter Cases'!F688,"")</f>
        <v/>
      </c>
      <c r="G688" t="str">
        <f>IF($A688&lt;&gt;"",'All Cases - Enter Cases'!G688,"")</f>
        <v/>
      </c>
      <c r="H688" t="str">
        <f>IF($A688&lt;&gt;"",'All Cases - Enter Cases'!H688,"")</f>
        <v/>
      </c>
      <c r="I688" t="str">
        <f>IF($A688&lt;&gt;"",'All Cases - Enter Cases'!I688,"")</f>
        <v/>
      </c>
      <c r="J688" t="str">
        <f>IF($A688&lt;&gt;"",'All Cases - Enter Cases'!J688,"")</f>
        <v/>
      </c>
      <c r="K688" s="4" t="str">
        <f>IF($A688&lt;&gt;"",'All Cases - Enter Cases'!K688,"")</f>
        <v/>
      </c>
      <c r="L688" t="str">
        <f>IF($A688&lt;&gt;"",'All Cases - Enter Cases'!L688,"")</f>
        <v/>
      </c>
      <c r="M688" t="str">
        <f>IF($A688&lt;&gt;"",'All Cases - Enter Cases'!M688,"")</f>
        <v/>
      </c>
    </row>
    <row r="689" spans="1:13" x14ac:dyDescent="0.35">
      <c r="A689" s="10" t="str">
        <f>IF('All Cases - Enter Cases'!$F689="Sindh",'All Cases - Enter Cases'!A689,"")</f>
        <v/>
      </c>
      <c r="B689" t="str">
        <f>IF($A689&lt;&gt;"",'All Cases - Enter Cases'!B689,"")</f>
        <v/>
      </c>
      <c r="C689" t="str">
        <f>IF($A689&lt;&gt;"",'All Cases - Enter Cases'!C689,"")</f>
        <v/>
      </c>
      <c r="D689" t="str">
        <f>IF($A689&lt;&gt;"",'All Cases - Enter Cases'!D689,"")</f>
        <v/>
      </c>
      <c r="E689" t="str">
        <f>IF($A689&lt;&gt;"",'All Cases - Enter Cases'!E689,"")</f>
        <v/>
      </c>
      <c r="F689" t="str">
        <f>IF($A689&lt;&gt;"",'All Cases - Enter Cases'!F689,"")</f>
        <v/>
      </c>
      <c r="G689" t="str">
        <f>IF($A689&lt;&gt;"",'All Cases - Enter Cases'!G689,"")</f>
        <v/>
      </c>
      <c r="H689" t="str">
        <f>IF($A689&lt;&gt;"",'All Cases - Enter Cases'!H689,"")</f>
        <v/>
      </c>
      <c r="I689" t="str">
        <f>IF($A689&lt;&gt;"",'All Cases - Enter Cases'!I689,"")</f>
        <v/>
      </c>
      <c r="J689" t="str">
        <f>IF($A689&lt;&gt;"",'All Cases - Enter Cases'!J689,"")</f>
        <v/>
      </c>
      <c r="K689" s="4" t="str">
        <f>IF($A689&lt;&gt;"",'All Cases - Enter Cases'!K689,"")</f>
        <v/>
      </c>
      <c r="L689" t="str">
        <f>IF($A689&lt;&gt;"",'All Cases - Enter Cases'!L689,"")</f>
        <v/>
      </c>
      <c r="M689" t="str">
        <f>IF($A689&lt;&gt;"",'All Cases - Enter Cases'!M689,"")</f>
        <v/>
      </c>
    </row>
    <row r="690" spans="1:13" x14ac:dyDescent="0.35">
      <c r="A690" s="10" t="str">
        <f>IF('All Cases - Enter Cases'!$F690="Sindh",'All Cases - Enter Cases'!A690,"")</f>
        <v/>
      </c>
      <c r="B690" t="str">
        <f>IF($A690&lt;&gt;"",'All Cases - Enter Cases'!B690,"")</f>
        <v/>
      </c>
      <c r="C690" t="str">
        <f>IF($A690&lt;&gt;"",'All Cases - Enter Cases'!C690,"")</f>
        <v/>
      </c>
      <c r="D690" t="str">
        <f>IF($A690&lt;&gt;"",'All Cases - Enter Cases'!D690,"")</f>
        <v/>
      </c>
      <c r="E690" t="str">
        <f>IF($A690&lt;&gt;"",'All Cases - Enter Cases'!E690,"")</f>
        <v/>
      </c>
      <c r="F690" t="str">
        <f>IF($A690&lt;&gt;"",'All Cases - Enter Cases'!F690,"")</f>
        <v/>
      </c>
      <c r="G690" t="str">
        <f>IF($A690&lt;&gt;"",'All Cases - Enter Cases'!G690,"")</f>
        <v/>
      </c>
      <c r="H690" t="str">
        <f>IF($A690&lt;&gt;"",'All Cases - Enter Cases'!H690,"")</f>
        <v/>
      </c>
      <c r="I690" t="str">
        <f>IF($A690&lt;&gt;"",'All Cases - Enter Cases'!I690,"")</f>
        <v/>
      </c>
      <c r="J690" t="str">
        <f>IF($A690&lt;&gt;"",'All Cases - Enter Cases'!J690,"")</f>
        <v/>
      </c>
      <c r="K690" s="4" t="str">
        <f>IF($A690&lt;&gt;"",'All Cases - Enter Cases'!K690,"")</f>
        <v/>
      </c>
      <c r="L690" t="str">
        <f>IF($A690&lt;&gt;"",'All Cases - Enter Cases'!L690,"")</f>
        <v/>
      </c>
      <c r="M690" t="str">
        <f>IF($A690&lt;&gt;"",'All Cases - Enter Cases'!M690,"")</f>
        <v/>
      </c>
    </row>
    <row r="691" spans="1:13" x14ac:dyDescent="0.35">
      <c r="A691" s="10" t="str">
        <f>IF('All Cases - Enter Cases'!$F691="Sindh",'All Cases - Enter Cases'!A691,"")</f>
        <v/>
      </c>
      <c r="B691" t="str">
        <f>IF($A691&lt;&gt;"",'All Cases - Enter Cases'!B691,"")</f>
        <v/>
      </c>
      <c r="C691" t="str">
        <f>IF($A691&lt;&gt;"",'All Cases - Enter Cases'!C691,"")</f>
        <v/>
      </c>
      <c r="D691" t="str">
        <f>IF($A691&lt;&gt;"",'All Cases - Enter Cases'!D691,"")</f>
        <v/>
      </c>
      <c r="E691" t="str">
        <f>IF($A691&lt;&gt;"",'All Cases - Enter Cases'!E691,"")</f>
        <v/>
      </c>
      <c r="F691" t="str">
        <f>IF($A691&lt;&gt;"",'All Cases - Enter Cases'!F691,"")</f>
        <v/>
      </c>
      <c r="G691" t="str">
        <f>IF($A691&lt;&gt;"",'All Cases - Enter Cases'!G691,"")</f>
        <v/>
      </c>
      <c r="H691" t="str">
        <f>IF($A691&lt;&gt;"",'All Cases - Enter Cases'!H691,"")</f>
        <v/>
      </c>
      <c r="I691" t="str">
        <f>IF($A691&lt;&gt;"",'All Cases - Enter Cases'!I691,"")</f>
        <v/>
      </c>
      <c r="J691" t="str">
        <f>IF($A691&lt;&gt;"",'All Cases - Enter Cases'!J691,"")</f>
        <v/>
      </c>
      <c r="K691" s="4" t="str">
        <f>IF($A691&lt;&gt;"",'All Cases - Enter Cases'!K691,"")</f>
        <v/>
      </c>
      <c r="L691" t="str">
        <f>IF($A691&lt;&gt;"",'All Cases - Enter Cases'!L691,"")</f>
        <v/>
      </c>
      <c r="M691" t="str">
        <f>IF($A691&lt;&gt;"",'All Cases - Enter Cases'!M691,"")</f>
        <v/>
      </c>
    </row>
    <row r="692" spans="1:13" x14ac:dyDescent="0.35">
      <c r="A692" s="10" t="str">
        <f>IF('All Cases - Enter Cases'!$F692="Sindh",'All Cases - Enter Cases'!A692,"")</f>
        <v/>
      </c>
      <c r="B692" t="str">
        <f>IF($A692&lt;&gt;"",'All Cases - Enter Cases'!B692,"")</f>
        <v/>
      </c>
      <c r="C692" t="str">
        <f>IF($A692&lt;&gt;"",'All Cases - Enter Cases'!C692,"")</f>
        <v/>
      </c>
      <c r="D692" t="str">
        <f>IF($A692&lt;&gt;"",'All Cases - Enter Cases'!D692,"")</f>
        <v/>
      </c>
      <c r="E692" t="str">
        <f>IF($A692&lt;&gt;"",'All Cases - Enter Cases'!E692,"")</f>
        <v/>
      </c>
      <c r="F692" t="str">
        <f>IF($A692&lt;&gt;"",'All Cases - Enter Cases'!F692,"")</f>
        <v/>
      </c>
      <c r="G692" t="str">
        <f>IF($A692&lt;&gt;"",'All Cases - Enter Cases'!G692,"")</f>
        <v/>
      </c>
      <c r="H692" t="str">
        <f>IF($A692&lt;&gt;"",'All Cases - Enter Cases'!H692,"")</f>
        <v/>
      </c>
      <c r="I692" t="str">
        <f>IF($A692&lt;&gt;"",'All Cases - Enter Cases'!I692,"")</f>
        <v/>
      </c>
      <c r="J692" t="str">
        <f>IF($A692&lt;&gt;"",'All Cases - Enter Cases'!J692,"")</f>
        <v/>
      </c>
      <c r="K692" s="4" t="str">
        <f>IF($A692&lt;&gt;"",'All Cases - Enter Cases'!K692,"")</f>
        <v/>
      </c>
      <c r="L692" t="str">
        <f>IF($A692&lt;&gt;"",'All Cases - Enter Cases'!L692,"")</f>
        <v/>
      </c>
      <c r="M692" t="str">
        <f>IF($A692&lt;&gt;"",'All Cases - Enter Cases'!M692,"")</f>
        <v/>
      </c>
    </row>
    <row r="693" spans="1:13" x14ac:dyDescent="0.35">
      <c r="A693" s="10" t="str">
        <f>IF('All Cases - Enter Cases'!$F693="Sindh",'All Cases - Enter Cases'!A693,"")</f>
        <v/>
      </c>
      <c r="B693" t="str">
        <f>IF($A693&lt;&gt;"",'All Cases - Enter Cases'!B693,"")</f>
        <v/>
      </c>
      <c r="C693" t="str">
        <f>IF($A693&lt;&gt;"",'All Cases - Enter Cases'!C693,"")</f>
        <v/>
      </c>
      <c r="D693" t="str">
        <f>IF($A693&lt;&gt;"",'All Cases - Enter Cases'!D693,"")</f>
        <v/>
      </c>
      <c r="E693" t="str">
        <f>IF($A693&lt;&gt;"",'All Cases - Enter Cases'!E693,"")</f>
        <v/>
      </c>
      <c r="F693" t="str">
        <f>IF($A693&lt;&gt;"",'All Cases - Enter Cases'!F693,"")</f>
        <v/>
      </c>
      <c r="G693" t="str">
        <f>IF($A693&lt;&gt;"",'All Cases - Enter Cases'!G693,"")</f>
        <v/>
      </c>
      <c r="H693" t="str">
        <f>IF($A693&lt;&gt;"",'All Cases - Enter Cases'!H693,"")</f>
        <v/>
      </c>
      <c r="I693" t="str">
        <f>IF($A693&lt;&gt;"",'All Cases - Enter Cases'!I693,"")</f>
        <v/>
      </c>
      <c r="J693" t="str">
        <f>IF($A693&lt;&gt;"",'All Cases - Enter Cases'!J693,"")</f>
        <v/>
      </c>
      <c r="K693" s="4" t="str">
        <f>IF($A693&lt;&gt;"",'All Cases - Enter Cases'!K693,"")</f>
        <v/>
      </c>
      <c r="L693" t="str">
        <f>IF($A693&lt;&gt;"",'All Cases - Enter Cases'!L693,"")</f>
        <v/>
      </c>
      <c r="M693" t="str">
        <f>IF($A693&lt;&gt;"",'All Cases - Enter Cases'!M693,"")</f>
        <v/>
      </c>
    </row>
    <row r="694" spans="1:13" x14ac:dyDescent="0.35">
      <c r="A694" s="10" t="str">
        <f>IF('All Cases - Enter Cases'!$F694="Sindh",'All Cases - Enter Cases'!A694,"")</f>
        <v/>
      </c>
      <c r="B694" t="str">
        <f>IF($A694&lt;&gt;"",'All Cases - Enter Cases'!B694,"")</f>
        <v/>
      </c>
      <c r="C694" t="str">
        <f>IF($A694&lt;&gt;"",'All Cases - Enter Cases'!C694,"")</f>
        <v/>
      </c>
      <c r="D694" t="str">
        <f>IF($A694&lt;&gt;"",'All Cases - Enter Cases'!D694,"")</f>
        <v/>
      </c>
      <c r="E694" t="str">
        <f>IF($A694&lt;&gt;"",'All Cases - Enter Cases'!E694,"")</f>
        <v/>
      </c>
      <c r="F694" t="str">
        <f>IF($A694&lt;&gt;"",'All Cases - Enter Cases'!F694,"")</f>
        <v/>
      </c>
      <c r="G694" t="str">
        <f>IF($A694&lt;&gt;"",'All Cases - Enter Cases'!G694,"")</f>
        <v/>
      </c>
      <c r="H694" t="str">
        <f>IF($A694&lt;&gt;"",'All Cases - Enter Cases'!H694,"")</f>
        <v/>
      </c>
      <c r="I694" t="str">
        <f>IF($A694&lt;&gt;"",'All Cases - Enter Cases'!I694,"")</f>
        <v/>
      </c>
      <c r="J694" t="str">
        <f>IF($A694&lt;&gt;"",'All Cases - Enter Cases'!J694,"")</f>
        <v/>
      </c>
      <c r="K694" s="4" t="str">
        <f>IF($A694&lt;&gt;"",'All Cases - Enter Cases'!K694,"")</f>
        <v/>
      </c>
      <c r="L694" t="str">
        <f>IF($A694&lt;&gt;"",'All Cases - Enter Cases'!L694,"")</f>
        <v/>
      </c>
      <c r="M694" t="str">
        <f>IF($A694&lt;&gt;"",'All Cases - Enter Cases'!M694,"")</f>
        <v/>
      </c>
    </row>
    <row r="695" spans="1:13" x14ac:dyDescent="0.35">
      <c r="A695" s="10" t="str">
        <f>IF('All Cases - Enter Cases'!$F695="Sindh",'All Cases - Enter Cases'!A695,"")</f>
        <v/>
      </c>
      <c r="B695" t="str">
        <f>IF($A695&lt;&gt;"",'All Cases - Enter Cases'!B695,"")</f>
        <v/>
      </c>
      <c r="C695" t="str">
        <f>IF($A695&lt;&gt;"",'All Cases - Enter Cases'!C695,"")</f>
        <v/>
      </c>
      <c r="D695" t="str">
        <f>IF($A695&lt;&gt;"",'All Cases - Enter Cases'!D695,"")</f>
        <v/>
      </c>
      <c r="E695" t="str">
        <f>IF($A695&lt;&gt;"",'All Cases - Enter Cases'!E695,"")</f>
        <v/>
      </c>
      <c r="F695" t="str">
        <f>IF($A695&lt;&gt;"",'All Cases - Enter Cases'!F695,"")</f>
        <v/>
      </c>
      <c r="G695" t="str">
        <f>IF($A695&lt;&gt;"",'All Cases - Enter Cases'!G695,"")</f>
        <v/>
      </c>
      <c r="H695" t="str">
        <f>IF($A695&lt;&gt;"",'All Cases - Enter Cases'!H695,"")</f>
        <v/>
      </c>
      <c r="I695" t="str">
        <f>IF($A695&lt;&gt;"",'All Cases - Enter Cases'!I695,"")</f>
        <v/>
      </c>
      <c r="J695" t="str">
        <f>IF($A695&lt;&gt;"",'All Cases - Enter Cases'!J695,"")</f>
        <v/>
      </c>
      <c r="K695" s="4" t="str">
        <f>IF($A695&lt;&gt;"",'All Cases - Enter Cases'!K695,"")</f>
        <v/>
      </c>
      <c r="L695" t="str">
        <f>IF($A695&lt;&gt;"",'All Cases - Enter Cases'!L695,"")</f>
        <v/>
      </c>
      <c r="M695" t="str">
        <f>IF($A695&lt;&gt;"",'All Cases - Enter Cases'!M695,"")</f>
        <v/>
      </c>
    </row>
    <row r="696" spans="1:13" x14ac:dyDescent="0.35">
      <c r="A696" s="10" t="str">
        <f>IF('All Cases - Enter Cases'!$F696="Sindh",'All Cases - Enter Cases'!A696,"")</f>
        <v/>
      </c>
      <c r="B696" t="str">
        <f>IF($A696&lt;&gt;"",'All Cases - Enter Cases'!B696,"")</f>
        <v/>
      </c>
      <c r="C696" t="str">
        <f>IF($A696&lt;&gt;"",'All Cases - Enter Cases'!C696,"")</f>
        <v/>
      </c>
      <c r="D696" t="str">
        <f>IF($A696&lt;&gt;"",'All Cases - Enter Cases'!D696,"")</f>
        <v/>
      </c>
      <c r="E696" t="str">
        <f>IF($A696&lt;&gt;"",'All Cases - Enter Cases'!E696,"")</f>
        <v/>
      </c>
      <c r="F696" t="str">
        <f>IF($A696&lt;&gt;"",'All Cases - Enter Cases'!F696,"")</f>
        <v/>
      </c>
      <c r="G696" t="str">
        <f>IF($A696&lt;&gt;"",'All Cases - Enter Cases'!G696,"")</f>
        <v/>
      </c>
      <c r="H696" t="str">
        <f>IF($A696&lt;&gt;"",'All Cases - Enter Cases'!H696,"")</f>
        <v/>
      </c>
      <c r="I696" t="str">
        <f>IF($A696&lt;&gt;"",'All Cases - Enter Cases'!I696,"")</f>
        <v/>
      </c>
      <c r="J696" t="str">
        <f>IF($A696&lt;&gt;"",'All Cases - Enter Cases'!J696,"")</f>
        <v/>
      </c>
      <c r="K696" s="4" t="str">
        <f>IF($A696&lt;&gt;"",'All Cases - Enter Cases'!K696,"")</f>
        <v/>
      </c>
      <c r="L696" t="str">
        <f>IF($A696&lt;&gt;"",'All Cases - Enter Cases'!L696,"")</f>
        <v/>
      </c>
      <c r="M696" t="str">
        <f>IF($A696&lt;&gt;"",'All Cases - Enter Cases'!M696,"")</f>
        <v/>
      </c>
    </row>
    <row r="697" spans="1:13" x14ac:dyDescent="0.35">
      <c r="A697" s="10" t="str">
        <f>IF('All Cases - Enter Cases'!$F697="Sindh",'All Cases - Enter Cases'!A697,"")</f>
        <v/>
      </c>
      <c r="B697" t="str">
        <f>IF($A697&lt;&gt;"",'All Cases - Enter Cases'!B697,"")</f>
        <v/>
      </c>
      <c r="C697" t="str">
        <f>IF($A697&lt;&gt;"",'All Cases - Enter Cases'!C697,"")</f>
        <v/>
      </c>
      <c r="D697" t="str">
        <f>IF($A697&lt;&gt;"",'All Cases - Enter Cases'!D697,"")</f>
        <v/>
      </c>
      <c r="E697" t="str">
        <f>IF($A697&lt;&gt;"",'All Cases - Enter Cases'!E697,"")</f>
        <v/>
      </c>
      <c r="F697" t="str">
        <f>IF($A697&lt;&gt;"",'All Cases - Enter Cases'!F697,"")</f>
        <v/>
      </c>
      <c r="G697" t="str">
        <f>IF($A697&lt;&gt;"",'All Cases - Enter Cases'!G697,"")</f>
        <v/>
      </c>
      <c r="H697" t="str">
        <f>IF($A697&lt;&gt;"",'All Cases - Enter Cases'!H697,"")</f>
        <v/>
      </c>
      <c r="I697" t="str">
        <f>IF($A697&lt;&gt;"",'All Cases - Enter Cases'!I697,"")</f>
        <v/>
      </c>
      <c r="J697" t="str">
        <f>IF($A697&lt;&gt;"",'All Cases - Enter Cases'!J697,"")</f>
        <v/>
      </c>
      <c r="K697" s="4" t="str">
        <f>IF($A697&lt;&gt;"",'All Cases - Enter Cases'!K697,"")</f>
        <v/>
      </c>
      <c r="L697" t="str">
        <f>IF($A697&lt;&gt;"",'All Cases - Enter Cases'!L697,"")</f>
        <v/>
      </c>
      <c r="M697" t="str">
        <f>IF($A697&lt;&gt;"",'All Cases - Enter Cases'!M697,"")</f>
        <v/>
      </c>
    </row>
    <row r="698" spans="1:13" x14ac:dyDescent="0.35">
      <c r="A698" s="10" t="str">
        <f>IF('All Cases - Enter Cases'!$F698="Sindh",'All Cases - Enter Cases'!A698,"")</f>
        <v/>
      </c>
      <c r="B698" t="str">
        <f>IF($A698&lt;&gt;"",'All Cases - Enter Cases'!B698,"")</f>
        <v/>
      </c>
      <c r="C698" t="str">
        <f>IF($A698&lt;&gt;"",'All Cases - Enter Cases'!C698,"")</f>
        <v/>
      </c>
      <c r="D698" t="str">
        <f>IF($A698&lt;&gt;"",'All Cases - Enter Cases'!D698,"")</f>
        <v/>
      </c>
      <c r="E698" t="str">
        <f>IF($A698&lt;&gt;"",'All Cases - Enter Cases'!E698,"")</f>
        <v/>
      </c>
      <c r="F698" t="str">
        <f>IF($A698&lt;&gt;"",'All Cases - Enter Cases'!F698,"")</f>
        <v/>
      </c>
      <c r="G698" t="str">
        <f>IF($A698&lt;&gt;"",'All Cases - Enter Cases'!G698,"")</f>
        <v/>
      </c>
      <c r="H698" t="str">
        <f>IF($A698&lt;&gt;"",'All Cases - Enter Cases'!H698,"")</f>
        <v/>
      </c>
      <c r="I698" t="str">
        <f>IF($A698&lt;&gt;"",'All Cases - Enter Cases'!I698,"")</f>
        <v/>
      </c>
      <c r="J698" t="str">
        <f>IF($A698&lt;&gt;"",'All Cases - Enter Cases'!J698,"")</f>
        <v/>
      </c>
      <c r="K698" s="4" t="str">
        <f>IF($A698&lt;&gt;"",'All Cases - Enter Cases'!K698,"")</f>
        <v/>
      </c>
      <c r="L698" t="str">
        <f>IF($A698&lt;&gt;"",'All Cases - Enter Cases'!L698,"")</f>
        <v/>
      </c>
      <c r="M698" t="str">
        <f>IF($A698&lt;&gt;"",'All Cases - Enter Cases'!M698,"")</f>
        <v/>
      </c>
    </row>
    <row r="699" spans="1:13" x14ac:dyDescent="0.35">
      <c r="A699" s="10" t="str">
        <f>IF('All Cases - Enter Cases'!$F699="Sindh",'All Cases - Enter Cases'!A699,"")</f>
        <v/>
      </c>
      <c r="B699" t="str">
        <f>IF($A699&lt;&gt;"",'All Cases - Enter Cases'!B699,"")</f>
        <v/>
      </c>
      <c r="C699" t="str">
        <f>IF($A699&lt;&gt;"",'All Cases - Enter Cases'!C699,"")</f>
        <v/>
      </c>
      <c r="D699" t="str">
        <f>IF($A699&lt;&gt;"",'All Cases - Enter Cases'!D699,"")</f>
        <v/>
      </c>
      <c r="E699" t="str">
        <f>IF($A699&lt;&gt;"",'All Cases - Enter Cases'!E699,"")</f>
        <v/>
      </c>
      <c r="F699" t="str">
        <f>IF($A699&lt;&gt;"",'All Cases - Enter Cases'!F699,"")</f>
        <v/>
      </c>
      <c r="G699" t="str">
        <f>IF($A699&lt;&gt;"",'All Cases - Enter Cases'!G699,"")</f>
        <v/>
      </c>
      <c r="H699" t="str">
        <f>IF($A699&lt;&gt;"",'All Cases - Enter Cases'!H699,"")</f>
        <v/>
      </c>
      <c r="I699" t="str">
        <f>IF($A699&lt;&gt;"",'All Cases - Enter Cases'!I699,"")</f>
        <v/>
      </c>
      <c r="J699" t="str">
        <f>IF($A699&lt;&gt;"",'All Cases - Enter Cases'!J699,"")</f>
        <v/>
      </c>
      <c r="K699" s="4" t="str">
        <f>IF($A699&lt;&gt;"",'All Cases - Enter Cases'!K699,"")</f>
        <v/>
      </c>
      <c r="L699" t="str">
        <f>IF($A699&lt;&gt;"",'All Cases - Enter Cases'!L699,"")</f>
        <v/>
      </c>
      <c r="M699" t="str">
        <f>IF($A699&lt;&gt;"",'All Cases - Enter Cases'!M699,"")</f>
        <v/>
      </c>
    </row>
    <row r="700" spans="1:13" x14ac:dyDescent="0.35">
      <c r="A700" s="10" t="str">
        <f>IF('All Cases - Enter Cases'!$F700="Sindh",'All Cases - Enter Cases'!A700,"")</f>
        <v/>
      </c>
      <c r="B700" t="str">
        <f>IF($A700&lt;&gt;"",'All Cases - Enter Cases'!B700,"")</f>
        <v/>
      </c>
      <c r="C700" t="str">
        <f>IF($A700&lt;&gt;"",'All Cases - Enter Cases'!C700,"")</f>
        <v/>
      </c>
      <c r="D700" t="str">
        <f>IF($A700&lt;&gt;"",'All Cases - Enter Cases'!D700,"")</f>
        <v/>
      </c>
      <c r="E700" t="str">
        <f>IF($A700&lt;&gt;"",'All Cases - Enter Cases'!E700,"")</f>
        <v/>
      </c>
      <c r="F700" t="str">
        <f>IF($A700&lt;&gt;"",'All Cases - Enter Cases'!F700,"")</f>
        <v/>
      </c>
      <c r="G700" t="str">
        <f>IF($A700&lt;&gt;"",'All Cases - Enter Cases'!G700,"")</f>
        <v/>
      </c>
      <c r="H700" t="str">
        <f>IF($A700&lt;&gt;"",'All Cases - Enter Cases'!H700,"")</f>
        <v/>
      </c>
      <c r="I700" t="str">
        <f>IF($A700&lt;&gt;"",'All Cases - Enter Cases'!I700,"")</f>
        <v/>
      </c>
      <c r="J700" t="str">
        <f>IF($A700&lt;&gt;"",'All Cases - Enter Cases'!J700,"")</f>
        <v/>
      </c>
      <c r="K700" s="4" t="str">
        <f>IF($A700&lt;&gt;"",'All Cases - Enter Cases'!K700,"")</f>
        <v/>
      </c>
      <c r="L700" t="str">
        <f>IF($A700&lt;&gt;"",'All Cases - Enter Cases'!L700,"")</f>
        <v/>
      </c>
      <c r="M700" t="str">
        <f>IF($A700&lt;&gt;"",'All Cases - Enter Cases'!M700,"")</f>
        <v/>
      </c>
    </row>
    <row r="701" spans="1:13" x14ac:dyDescent="0.35">
      <c r="A701" s="10" t="str">
        <f>IF('All Cases - Enter Cases'!$F701="Sindh",'All Cases - Enter Cases'!A701,"")</f>
        <v/>
      </c>
      <c r="B701" t="str">
        <f>IF($A701&lt;&gt;"",'All Cases - Enter Cases'!B701,"")</f>
        <v/>
      </c>
      <c r="C701" t="str">
        <f>IF($A701&lt;&gt;"",'All Cases - Enter Cases'!C701,"")</f>
        <v/>
      </c>
      <c r="D701" t="str">
        <f>IF($A701&lt;&gt;"",'All Cases - Enter Cases'!D701,"")</f>
        <v/>
      </c>
      <c r="E701" t="str">
        <f>IF($A701&lt;&gt;"",'All Cases - Enter Cases'!E701,"")</f>
        <v/>
      </c>
      <c r="F701" t="str">
        <f>IF($A701&lt;&gt;"",'All Cases - Enter Cases'!F701,"")</f>
        <v/>
      </c>
      <c r="G701" t="str">
        <f>IF($A701&lt;&gt;"",'All Cases - Enter Cases'!G701,"")</f>
        <v/>
      </c>
      <c r="H701" t="str">
        <f>IF($A701&lt;&gt;"",'All Cases - Enter Cases'!H701,"")</f>
        <v/>
      </c>
      <c r="I701" t="str">
        <f>IF($A701&lt;&gt;"",'All Cases - Enter Cases'!I701,"")</f>
        <v/>
      </c>
      <c r="J701" t="str">
        <f>IF($A701&lt;&gt;"",'All Cases - Enter Cases'!J701,"")</f>
        <v/>
      </c>
      <c r="K701" s="4" t="str">
        <f>IF($A701&lt;&gt;"",'All Cases - Enter Cases'!K701,"")</f>
        <v/>
      </c>
      <c r="L701" t="str">
        <f>IF($A701&lt;&gt;"",'All Cases - Enter Cases'!L701,"")</f>
        <v/>
      </c>
      <c r="M701" t="str">
        <f>IF($A701&lt;&gt;"",'All Cases - Enter Cases'!M701,"")</f>
        <v/>
      </c>
    </row>
    <row r="702" spans="1:13" x14ac:dyDescent="0.35">
      <c r="A702" s="10" t="str">
        <f>IF('All Cases - Enter Cases'!$F702="Sindh",'All Cases - Enter Cases'!A702,"")</f>
        <v/>
      </c>
      <c r="B702" t="str">
        <f>IF($A702&lt;&gt;"",'All Cases - Enter Cases'!B702,"")</f>
        <v/>
      </c>
      <c r="C702" t="str">
        <f>IF($A702&lt;&gt;"",'All Cases - Enter Cases'!C702,"")</f>
        <v/>
      </c>
      <c r="D702" t="str">
        <f>IF($A702&lt;&gt;"",'All Cases - Enter Cases'!D702,"")</f>
        <v/>
      </c>
      <c r="E702" t="str">
        <f>IF($A702&lt;&gt;"",'All Cases - Enter Cases'!E702,"")</f>
        <v/>
      </c>
      <c r="F702" t="str">
        <f>IF($A702&lt;&gt;"",'All Cases - Enter Cases'!F702,"")</f>
        <v/>
      </c>
      <c r="G702" t="str">
        <f>IF($A702&lt;&gt;"",'All Cases - Enter Cases'!G702,"")</f>
        <v/>
      </c>
      <c r="H702" t="str">
        <f>IF($A702&lt;&gt;"",'All Cases - Enter Cases'!H702,"")</f>
        <v/>
      </c>
      <c r="I702" t="str">
        <f>IF($A702&lt;&gt;"",'All Cases - Enter Cases'!I702,"")</f>
        <v/>
      </c>
      <c r="J702" t="str">
        <f>IF($A702&lt;&gt;"",'All Cases - Enter Cases'!J702,"")</f>
        <v/>
      </c>
      <c r="K702" s="4" t="str">
        <f>IF($A702&lt;&gt;"",'All Cases - Enter Cases'!K702,"")</f>
        <v/>
      </c>
      <c r="L702" t="str">
        <f>IF($A702&lt;&gt;"",'All Cases - Enter Cases'!L702,"")</f>
        <v/>
      </c>
      <c r="M702" t="str">
        <f>IF($A702&lt;&gt;"",'All Cases - Enter Cases'!M702,"")</f>
        <v/>
      </c>
    </row>
    <row r="703" spans="1:13" x14ac:dyDescent="0.35">
      <c r="A703" s="10" t="str">
        <f>IF('All Cases - Enter Cases'!$F703="Sindh",'All Cases - Enter Cases'!A703,"")</f>
        <v/>
      </c>
      <c r="B703" t="str">
        <f>IF($A703&lt;&gt;"",'All Cases - Enter Cases'!B703,"")</f>
        <v/>
      </c>
      <c r="C703" t="str">
        <f>IF($A703&lt;&gt;"",'All Cases - Enter Cases'!C703,"")</f>
        <v/>
      </c>
      <c r="D703" t="str">
        <f>IF($A703&lt;&gt;"",'All Cases - Enter Cases'!D703,"")</f>
        <v/>
      </c>
      <c r="E703" t="str">
        <f>IF($A703&lt;&gt;"",'All Cases - Enter Cases'!E703,"")</f>
        <v/>
      </c>
      <c r="F703" t="str">
        <f>IF($A703&lt;&gt;"",'All Cases - Enter Cases'!F703,"")</f>
        <v/>
      </c>
      <c r="G703" t="str">
        <f>IF($A703&lt;&gt;"",'All Cases - Enter Cases'!G703,"")</f>
        <v/>
      </c>
      <c r="H703" t="str">
        <f>IF($A703&lt;&gt;"",'All Cases - Enter Cases'!H703,"")</f>
        <v/>
      </c>
      <c r="I703" t="str">
        <f>IF($A703&lt;&gt;"",'All Cases - Enter Cases'!I703,"")</f>
        <v/>
      </c>
      <c r="J703" t="str">
        <f>IF($A703&lt;&gt;"",'All Cases - Enter Cases'!J703,"")</f>
        <v/>
      </c>
      <c r="K703" s="4" t="str">
        <f>IF($A703&lt;&gt;"",'All Cases - Enter Cases'!K703,"")</f>
        <v/>
      </c>
      <c r="L703" t="str">
        <f>IF($A703&lt;&gt;"",'All Cases - Enter Cases'!L703,"")</f>
        <v/>
      </c>
      <c r="M703" t="str">
        <f>IF($A703&lt;&gt;"",'All Cases - Enter Cases'!M703,"")</f>
        <v/>
      </c>
    </row>
    <row r="704" spans="1:13" x14ac:dyDescent="0.35">
      <c r="A704" s="10" t="str">
        <f>IF('All Cases - Enter Cases'!$F704="Sindh",'All Cases - Enter Cases'!A704,"")</f>
        <v/>
      </c>
      <c r="B704" t="str">
        <f>IF($A704&lt;&gt;"",'All Cases - Enter Cases'!B704,"")</f>
        <v/>
      </c>
      <c r="C704" t="str">
        <f>IF($A704&lt;&gt;"",'All Cases - Enter Cases'!C704,"")</f>
        <v/>
      </c>
      <c r="D704" t="str">
        <f>IF($A704&lt;&gt;"",'All Cases - Enter Cases'!D704,"")</f>
        <v/>
      </c>
      <c r="E704" t="str">
        <f>IF($A704&lt;&gt;"",'All Cases - Enter Cases'!E704,"")</f>
        <v/>
      </c>
      <c r="F704" t="str">
        <f>IF($A704&lt;&gt;"",'All Cases - Enter Cases'!F704,"")</f>
        <v/>
      </c>
      <c r="G704" t="str">
        <f>IF($A704&lt;&gt;"",'All Cases - Enter Cases'!G704,"")</f>
        <v/>
      </c>
      <c r="H704" t="str">
        <f>IF($A704&lt;&gt;"",'All Cases - Enter Cases'!H704,"")</f>
        <v/>
      </c>
      <c r="I704" t="str">
        <f>IF($A704&lt;&gt;"",'All Cases - Enter Cases'!I704,"")</f>
        <v/>
      </c>
      <c r="J704" t="str">
        <f>IF($A704&lt;&gt;"",'All Cases - Enter Cases'!J704,"")</f>
        <v/>
      </c>
      <c r="K704" s="4" t="str">
        <f>IF($A704&lt;&gt;"",'All Cases - Enter Cases'!K704,"")</f>
        <v/>
      </c>
      <c r="L704" t="str">
        <f>IF($A704&lt;&gt;"",'All Cases - Enter Cases'!L704,"")</f>
        <v/>
      </c>
      <c r="M704" t="str">
        <f>IF($A704&lt;&gt;"",'All Cases - Enter Cases'!M704,"")</f>
        <v/>
      </c>
    </row>
    <row r="705" spans="1:13" x14ac:dyDescent="0.35">
      <c r="A705" s="10" t="str">
        <f>IF('All Cases - Enter Cases'!$F705="Sindh",'All Cases - Enter Cases'!A705,"")</f>
        <v/>
      </c>
      <c r="B705" t="str">
        <f>IF($A705&lt;&gt;"",'All Cases - Enter Cases'!B705,"")</f>
        <v/>
      </c>
      <c r="C705" t="str">
        <f>IF($A705&lt;&gt;"",'All Cases - Enter Cases'!C705,"")</f>
        <v/>
      </c>
      <c r="D705" t="str">
        <f>IF($A705&lt;&gt;"",'All Cases - Enter Cases'!D705,"")</f>
        <v/>
      </c>
      <c r="E705" t="str">
        <f>IF($A705&lt;&gt;"",'All Cases - Enter Cases'!E705,"")</f>
        <v/>
      </c>
      <c r="F705" t="str">
        <f>IF($A705&lt;&gt;"",'All Cases - Enter Cases'!F705,"")</f>
        <v/>
      </c>
      <c r="G705" t="str">
        <f>IF($A705&lt;&gt;"",'All Cases - Enter Cases'!G705,"")</f>
        <v/>
      </c>
      <c r="H705" t="str">
        <f>IF($A705&lt;&gt;"",'All Cases - Enter Cases'!H705,"")</f>
        <v/>
      </c>
      <c r="I705" t="str">
        <f>IF($A705&lt;&gt;"",'All Cases - Enter Cases'!I705,"")</f>
        <v/>
      </c>
      <c r="J705" t="str">
        <f>IF($A705&lt;&gt;"",'All Cases - Enter Cases'!J705,"")</f>
        <v/>
      </c>
      <c r="K705" s="4" t="str">
        <f>IF($A705&lt;&gt;"",'All Cases - Enter Cases'!K705,"")</f>
        <v/>
      </c>
      <c r="L705" t="str">
        <f>IF($A705&lt;&gt;"",'All Cases - Enter Cases'!L705,"")</f>
        <v/>
      </c>
      <c r="M705" t="str">
        <f>IF($A705&lt;&gt;"",'All Cases - Enter Cases'!M705,"")</f>
        <v/>
      </c>
    </row>
    <row r="706" spans="1:13" x14ac:dyDescent="0.35">
      <c r="A706" s="10" t="str">
        <f>IF('All Cases - Enter Cases'!$F706="Sindh",'All Cases - Enter Cases'!A706,"")</f>
        <v/>
      </c>
      <c r="B706" t="str">
        <f>IF($A706&lt;&gt;"",'All Cases - Enter Cases'!B706,"")</f>
        <v/>
      </c>
      <c r="C706" t="str">
        <f>IF($A706&lt;&gt;"",'All Cases - Enter Cases'!C706,"")</f>
        <v/>
      </c>
      <c r="D706" t="str">
        <f>IF($A706&lt;&gt;"",'All Cases - Enter Cases'!D706,"")</f>
        <v/>
      </c>
      <c r="E706" t="str">
        <f>IF($A706&lt;&gt;"",'All Cases - Enter Cases'!E706,"")</f>
        <v/>
      </c>
      <c r="F706" t="str">
        <f>IF($A706&lt;&gt;"",'All Cases - Enter Cases'!F706,"")</f>
        <v/>
      </c>
      <c r="G706" t="str">
        <f>IF($A706&lt;&gt;"",'All Cases - Enter Cases'!G706,"")</f>
        <v/>
      </c>
      <c r="H706" t="str">
        <f>IF($A706&lt;&gt;"",'All Cases - Enter Cases'!H706,"")</f>
        <v/>
      </c>
      <c r="I706" t="str">
        <f>IF($A706&lt;&gt;"",'All Cases - Enter Cases'!I706,"")</f>
        <v/>
      </c>
      <c r="J706" t="str">
        <f>IF($A706&lt;&gt;"",'All Cases - Enter Cases'!J706,"")</f>
        <v/>
      </c>
      <c r="K706" s="4" t="str">
        <f>IF($A706&lt;&gt;"",'All Cases - Enter Cases'!K706,"")</f>
        <v/>
      </c>
      <c r="L706" t="str">
        <f>IF($A706&lt;&gt;"",'All Cases - Enter Cases'!L706,"")</f>
        <v/>
      </c>
      <c r="M706" t="str">
        <f>IF($A706&lt;&gt;"",'All Cases - Enter Cases'!M706,"")</f>
        <v/>
      </c>
    </row>
    <row r="707" spans="1:13" x14ac:dyDescent="0.35">
      <c r="A707" s="10" t="str">
        <f>IF('All Cases - Enter Cases'!$F707="Sindh",'All Cases - Enter Cases'!A707,"")</f>
        <v/>
      </c>
      <c r="B707" t="str">
        <f>IF($A707&lt;&gt;"",'All Cases - Enter Cases'!B707,"")</f>
        <v/>
      </c>
      <c r="C707" t="str">
        <f>IF($A707&lt;&gt;"",'All Cases - Enter Cases'!C707,"")</f>
        <v/>
      </c>
      <c r="D707" t="str">
        <f>IF($A707&lt;&gt;"",'All Cases - Enter Cases'!D707,"")</f>
        <v/>
      </c>
      <c r="E707" t="str">
        <f>IF($A707&lt;&gt;"",'All Cases - Enter Cases'!E707,"")</f>
        <v/>
      </c>
      <c r="F707" t="str">
        <f>IF($A707&lt;&gt;"",'All Cases - Enter Cases'!F707,"")</f>
        <v/>
      </c>
      <c r="G707" t="str">
        <f>IF($A707&lt;&gt;"",'All Cases - Enter Cases'!G707,"")</f>
        <v/>
      </c>
      <c r="H707" t="str">
        <f>IF($A707&lt;&gt;"",'All Cases - Enter Cases'!H707,"")</f>
        <v/>
      </c>
      <c r="I707" t="str">
        <f>IF($A707&lt;&gt;"",'All Cases - Enter Cases'!I707,"")</f>
        <v/>
      </c>
      <c r="J707" t="str">
        <f>IF($A707&lt;&gt;"",'All Cases - Enter Cases'!J707,"")</f>
        <v/>
      </c>
      <c r="K707" s="4" t="str">
        <f>IF($A707&lt;&gt;"",'All Cases - Enter Cases'!K707,"")</f>
        <v/>
      </c>
      <c r="L707" t="str">
        <f>IF($A707&lt;&gt;"",'All Cases - Enter Cases'!L707,"")</f>
        <v/>
      </c>
      <c r="M707" t="str">
        <f>IF($A707&lt;&gt;"",'All Cases - Enter Cases'!M707,"")</f>
        <v/>
      </c>
    </row>
    <row r="708" spans="1:13" x14ac:dyDescent="0.35">
      <c r="A708" s="10" t="str">
        <f>IF('All Cases - Enter Cases'!$F708="Sindh",'All Cases - Enter Cases'!A708,"")</f>
        <v/>
      </c>
      <c r="B708" t="str">
        <f>IF($A708&lt;&gt;"",'All Cases - Enter Cases'!B708,"")</f>
        <v/>
      </c>
      <c r="C708" t="str">
        <f>IF($A708&lt;&gt;"",'All Cases - Enter Cases'!C708,"")</f>
        <v/>
      </c>
      <c r="D708" t="str">
        <f>IF($A708&lt;&gt;"",'All Cases - Enter Cases'!D708,"")</f>
        <v/>
      </c>
      <c r="E708" t="str">
        <f>IF($A708&lt;&gt;"",'All Cases - Enter Cases'!E708,"")</f>
        <v/>
      </c>
      <c r="F708" t="str">
        <f>IF($A708&lt;&gt;"",'All Cases - Enter Cases'!F708,"")</f>
        <v/>
      </c>
      <c r="G708" t="str">
        <f>IF($A708&lt;&gt;"",'All Cases - Enter Cases'!G708,"")</f>
        <v/>
      </c>
      <c r="H708" t="str">
        <f>IF($A708&lt;&gt;"",'All Cases - Enter Cases'!H708,"")</f>
        <v/>
      </c>
      <c r="I708" t="str">
        <f>IF($A708&lt;&gt;"",'All Cases - Enter Cases'!I708,"")</f>
        <v/>
      </c>
      <c r="J708" t="str">
        <f>IF($A708&lt;&gt;"",'All Cases - Enter Cases'!J708,"")</f>
        <v/>
      </c>
      <c r="K708" s="4" t="str">
        <f>IF($A708&lt;&gt;"",'All Cases - Enter Cases'!K708,"")</f>
        <v/>
      </c>
      <c r="L708" t="str">
        <f>IF($A708&lt;&gt;"",'All Cases - Enter Cases'!L708,"")</f>
        <v/>
      </c>
      <c r="M708" t="str">
        <f>IF($A708&lt;&gt;"",'All Cases - Enter Cases'!M708,"")</f>
        <v/>
      </c>
    </row>
    <row r="709" spans="1:13" x14ac:dyDescent="0.35">
      <c r="A709" s="10" t="str">
        <f>IF('All Cases - Enter Cases'!$F709="Sindh",'All Cases - Enter Cases'!A709,"")</f>
        <v/>
      </c>
      <c r="B709" t="str">
        <f>IF($A709&lt;&gt;"",'All Cases - Enter Cases'!B709,"")</f>
        <v/>
      </c>
      <c r="C709" t="str">
        <f>IF($A709&lt;&gt;"",'All Cases - Enter Cases'!C709,"")</f>
        <v/>
      </c>
      <c r="D709" t="str">
        <f>IF($A709&lt;&gt;"",'All Cases - Enter Cases'!D709,"")</f>
        <v/>
      </c>
      <c r="E709" t="str">
        <f>IF($A709&lt;&gt;"",'All Cases - Enter Cases'!E709,"")</f>
        <v/>
      </c>
      <c r="F709" t="str">
        <f>IF($A709&lt;&gt;"",'All Cases - Enter Cases'!F709,"")</f>
        <v/>
      </c>
      <c r="G709" t="str">
        <f>IF($A709&lt;&gt;"",'All Cases - Enter Cases'!G709,"")</f>
        <v/>
      </c>
      <c r="H709" t="str">
        <f>IF($A709&lt;&gt;"",'All Cases - Enter Cases'!H709,"")</f>
        <v/>
      </c>
      <c r="I709" t="str">
        <f>IF($A709&lt;&gt;"",'All Cases - Enter Cases'!I709,"")</f>
        <v/>
      </c>
      <c r="J709" t="str">
        <f>IF($A709&lt;&gt;"",'All Cases - Enter Cases'!J709,"")</f>
        <v/>
      </c>
      <c r="K709" s="4" t="str">
        <f>IF($A709&lt;&gt;"",'All Cases - Enter Cases'!K709,"")</f>
        <v/>
      </c>
      <c r="L709" t="str">
        <f>IF($A709&lt;&gt;"",'All Cases - Enter Cases'!L709,"")</f>
        <v/>
      </c>
      <c r="M709" t="str">
        <f>IF($A709&lt;&gt;"",'All Cases - Enter Cases'!M709,"")</f>
        <v/>
      </c>
    </row>
    <row r="710" spans="1:13" x14ac:dyDescent="0.35">
      <c r="A710" s="10" t="str">
        <f>IF('All Cases - Enter Cases'!$F710="Sindh",'All Cases - Enter Cases'!A710,"")</f>
        <v/>
      </c>
      <c r="B710" t="str">
        <f>IF($A710&lt;&gt;"",'All Cases - Enter Cases'!B710,"")</f>
        <v/>
      </c>
      <c r="C710" t="str">
        <f>IF($A710&lt;&gt;"",'All Cases - Enter Cases'!C710,"")</f>
        <v/>
      </c>
      <c r="D710" t="str">
        <f>IF($A710&lt;&gt;"",'All Cases - Enter Cases'!D710,"")</f>
        <v/>
      </c>
      <c r="E710" t="str">
        <f>IF($A710&lt;&gt;"",'All Cases - Enter Cases'!E710,"")</f>
        <v/>
      </c>
      <c r="F710" t="str">
        <f>IF($A710&lt;&gt;"",'All Cases - Enter Cases'!F710,"")</f>
        <v/>
      </c>
      <c r="G710" t="str">
        <f>IF($A710&lt;&gt;"",'All Cases - Enter Cases'!G710,"")</f>
        <v/>
      </c>
      <c r="H710" t="str">
        <f>IF($A710&lt;&gt;"",'All Cases - Enter Cases'!H710,"")</f>
        <v/>
      </c>
      <c r="I710" t="str">
        <f>IF($A710&lt;&gt;"",'All Cases - Enter Cases'!I710,"")</f>
        <v/>
      </c>
      <c r="J710" t="str">
        <f>IF($A710&lt;&gt;"",'All Cases - Enter Cases'!J710,"")</f>
        <v/>
      </c>
      <c r="K710" s="4" t="str">
        <f>IF($A710&lt;&gt;"",'All Cases - Enter Cases'!K710,"")</f>
        <v/>
      </c>
      <c r="L710" t="str">
        <f>IF($A710&lt;&gt;"",'All Cases - Enter Cases'!L710,"")</f>
        <v/>
      </c>
      <c r="M710" t="str">
        <f>IF($A710&lt;&gt;"",'All Cases - Enter Cases'!M710,"")</f>
        <v/>
      </c>
    </row>
    <row r="711" spans="1:13" x14ac:dyDescent="0.35">
      <c r="A711" s="10" t="str">
        <f>IF('All Cases - Enter Cases'!$F711="Sindh",'All Cases - Enter Cases'!A711,"")</f>
        <v/>
      </c>
      <c r="B711" t="str">
        <f>IF($A711&lt;&gt;"",'All Cases - Enter Cases'!B711,"")</f>
        <v/>
      </c>
      <c r="C711" t="str">
        <f>IF($A711&lt;&gt;"",'All Cases - Enter Cases'!C711,"")</f>
        <v/>
      </c>
      <c r="D711" t="str">
        <f>IF($A711&lt;&gt;"",'All Cases - Enter Cases'!D711,"")</f>
        <v/>
      </c>
      <c r="E711" t="str">
        <f>IF($A711&lt;&gt;"",'All Cases - Enter Cases'!E711,"")</f>
        <v/>
      </c>
      <c r="F711" t="str">
        <f>IF($A711&lt;&gt;"",'All Cases - Enter Cases'!F711,"")</f>
        <v/>
      </c>
      <c r="G711" t="str">
        <f>IF($A711&lt;&gt;"",'All Cases - Enter Cases'!G711,"")</f>
        <v/>
      </c>
      <c r="H711" t="str">
        <f>IF($A711&lt;&gt;"",'All Cases - Enter Cases'!H711,"")</f>
        <v/>
      </c>
      <c r="I711" t="str">
        <f>IF($A711&lt;&gt;"",'All Cases - Enter Cases'!I711,"")</f>
        <v/>
      </c>
      <c r="J711" t="str">
        <f>IF($A711&lt;&gt;"",'All Cases - Enter Cases'!J711,"")</f>
        <v/>
      </c>
      <c r="K711" s="4" t="str">
        <f>IF($A711&lt;&gt;"",'All Cases - Enter Cases'!K711,"")</f>
        <v/>
      </c>
      <c r="L711" t="str">
        <f>IF($A711&lt;&gt;"",'All Cases - Enter Cases'!L711,"")</f>
        <v/>
      </c>
      <c r="M711" t="str">
        <f>IF($A711&lt;&gt;"",'All Cases - Enter Cases'!M711,"")</f>
        <v/>
      </c>
    </row>
    <row r="712" spans="1:13" x14ac:dyDescent="0.35">
      <c r="A712" s="10" t="str">
        <f>IF('All Cases - Enter Cases'!$F712="Sindh",'All Cases - Enter Cases'!A712,"")</f>
        <v/>
      </c>
      <c r="B712" t="str">
        <f>IF($A712&lt;&gt;"",'All Cases - Enter Cases'!B712,"")</f>
        <v/>
      </c>
      <c r="C712" t="str">
        <f>IF($A712&lt;&gt;"",'All Cases - Enter Cases'!C712,"")</f>
        <v/>
      </c>
      <c r="D712" t="str">
        <f>IF($A712&lt;&gt;"",'All Cases - Enter Cases'!D712,"")</f>
        <v/>
      </c>
      <c r="E712" t="str">
        <f>IF($A712&lt;&gt;"",'All Cases - Enter Cases'!E712,"")</f>
        <v/>
      </c>
      <c r="F712" t="str">
        <f>IF($A712&lt;&gt;"",'All Cases - Enter Cases'!F712,"")</f>
        <v/>
      </c>
      <c r="G712" t="str">
        <f>IF($A712&lt;&gt;"",'All Cases - Enter Cases'!G712,"")</f>
        <v/>
      </c>
      <c r="H712" t="str">
        <f>IF($A712&lt;&gt;"",'All Cases - Enter Cases'!H712,"")</f>
        <v/>
      </c>
      <c r="I712" t="str">
        <f>IF($A712&lt;&gt;"",'All Cases - Enter Cases'!I712,"")</f>
        <v/>
      </c>
      <c r="J712" t="str">
        <f>IF($A712&lt;&gt;"",'All Cases - Enter Cases'!J712,"")</f>
        <v/>
      </c>
      <c r="K712" s="4" t="str">
        <f>IF($A712&lt;&gt;"",'All Cases - Enter Cases'!K712,"")</f>
        <v/>
      </c>
      <c r="L712" t="str">
        <f>IF($A712&lt;&gt;"",'All Cases - Enter Cases'!L712,"")</f>
        <v/>
      </c>
      <c r="M712" t="str">
        <f>IF($A712&lt;&gt;"",'All Cases - Enter Cases'!M712,"")</f>
        <v/>
      </c>
    </row>
    <row r="713" spans="1:13" x14ac:dyDescent="0.35">
      <c r="A713" s="10" t="str">
        <f>IF('All Cases - Enter Cases'!$F713="Sindh",'All Cases - Enter Cases'!A713,"")</f>
        <v/>
      </c>
      <c r="B713" t="str">
        <f>IF($A713&lt;&gt;"",'All Cases - Enter Cases'!B713,"")</f>
        <v/>
      </c>
      <c r="C713" t="str">
        <f>IF($A713&lt;&gt;"",'All Cases - Enter Cases'!C713,"")</f>
        <v/>
      </c>
      <c r="D713" t="str">
        <f>IF($A713&lt;&gt;"",'All Cases - Enter Cases'!D713,"")</f>
        <v/>
      </c>
      <c r="E713" t="str">
        <f>IF($A713&lt;&gt;"",'All Cases - Enter Cases'!E713,"")</f>
        <v/>
      </c>
      <c r="F713" t="str">
        <f>IF($A713&lt;&gt;"",'All Cases - Enter Cases'!F713,"")</f>
        <v/>
      </c>
      <c r="G713" t="str">
        <f>IF($A713&lt;&gt;"",'All Cases - Enter Cases'!G713,"")</f>
        <v/>
      </c>
      <c r="H713" t="str">
        <f>IF($A713&lt;&gt;"",'All Cases - Enter Cases'!H713,"")</f>
        <v/>
      </c>
      <c r="I713" t="str">
        <f>IF($A713&lt;&gt;"",'All Cases - Enter Cases'!I713,"")</f>
        <v/>
      </c>
      <c r="J713" t="str">
        <f>IF($A713&lt;&gt;"",'All Cases - Enter Cases'!J713,"")</f>
        <v/>
      </c>
      <c r="K713" s="4" t="str">
        <f>IF($A713&lt;&gt;"",'All Cases - Enter Cases'!K713,"")</f>
        <v/>
      </c>
      <c r="L713" t="str">
        <f>IF($A713&lt;&gt;"",'All Cases - Enter Cases'!L713,"")</f>
        <v/>
      </c>
      <c r="M713" t="str">
        <f>IF($A713&lt;&gt;"",'All Cases - Enter Cases'!M713,"")</f>
        <v/>
      </c>
    </row>
    <row r="714" spans="1:13" x14ac:dyDescent="0.35">
      <c r="A714" s="10" t="str">
        <f>IF('All Cases - Enter Cases'!$F714="Sindh",'All Cases - Enter Cases'!A714,"")</f>
        <v/>
      </c>
      <c r="B714" t="str">
        <f>IF($A714&lt;&gt;"",'All Cases - Enter Cases'!B714,"")</f>
        <v/>
      </c>
      <c r="C714" t="str">
        <f>IF($A714&lt;&gt;"",'All Cases - Enter Cases'!C714,"")</f>
        <v/>
      </c>
      <c r="D714" t="str">
        <f>IF($A714&lt;&gt;"",'All Cases - Enter Cases'!D714,"")</f>
        <v/>
      </c>
      <c r="E714" t="str">
        <f>IF($A714&lt;&gt;"",'All Cases - Enter Cases'!E714,"")</f>
        <v/>
      </c>
      <c r="F714" t="str">
        <f>IF($A714&lt;&gt;"",'All Cases - Enter Cases'!F714,"")</f>
        <v/>
      </c>
      <c r="G714" t="str">
        <f>IF($A714&lt;&gt;"",'All Cases - Enter Cases'!G714,"")</f>
        <v/>
      </c>
      <c r="H714" t="str">
        <f>IF($A714&lt;&gt;"",'All Cases - Enter Cases'!H714,"")</f>
        <v/>
      </c>
      <c r="I714" t="str">
        <f>IF($A714&lt;&gt;"",'All Cases - Enter Cases'!I714,"")</f>
        <v/>
      </c>
      <c r="J714" t="str">
        <f>IF($A714&lt;&gt;"",'All Cases - Enter Cases'!J714,"")</f>
        <v/>
      </c>
      <c r="K714" s="4" t="str">
        <f>IF($A714&lt;&gt;"",'All Cases - Enter Cases'!K714,"")</f>
        <v/>
      </c>
      <c r="L714" t="str">
        <f>IF($A714&lt;&gt;"",'All Cases - Enter Cases'!L714,"")</f>
        <v/>
      </c>
      <c r="M714" t="str">
        <f>IF($A714&lt;&gt;"",'All Cases - Enter Cases'!M714,"")</f>
        <v/>
      </c>
    </row>
    <row r="715" spans="1:13" x14ac:dyDescent="0.35">
      <c r="A715" s="10" t="str">
        <f>IF('All Cases - Enter Cases'!$F715="Sindh",'All Cases - Enter Cases'!A715,"")</f>
        <v/>
      </c>
      <c r="B715" t="str">
        <f>IF($A715&lt;&gt;"",'All Cases - Enter Cases'!B715,"")</f>
        <v/>
      </c>
      <c r="C715" t="str">
        <f>IF($A715&lt;&gt;"",'All Cases - Enter Cases'!C715,"")</f>
        <v/>
      </c>
      <c r="D715" t="str">
        <f>IF($A715&lt;&gt;"",'All Cases - Enter Cases'!D715,"")</f>
        <v/>
      </c>
      <c r="E715" t="str">
        <f>IF($A715&lt;&gt;"",'All Cases - Enter Cases'!E715,"")</f>
        <v/>
      </c>
      <c r="F715" t="str">
        <f>IF($A715&lt;&gt;"",'All Cases - Enter Cases'!F715,"")</f>
        <v/>
      </c>
      <c r="G715" t="str">
        <f>IF($A715&lt;&gt;"",'All Cases - Enter Cases'!G715,"")</f>
        <v/>
      </c>
      <c r="H715" t="str">
        <f>IF($A715&lt;&gt;"",'All Cases - Enter Cases'!H715,"")</f>
        <v/>
      </c>
      <c r="I715" t="str">
        <f>IF($A715&lt;&gt;"",'All Cases - Enter Cases'!I715,"")</f>
        <v/>
      </c>
      <c r="J715" t="str">
        <f>IF($A715&lt;&gt;"",'All Cases - Enter Cases'!J715,"")</f>
        <v/>
      </c>
      <c r="K715" s="4" t="str">
        <f>IF($A715&lt;&gt;"",'All Cases - Enter Cases'!K715,"")</f>
        <v/>
      </c>
      <c r="L715" t="str">
        <f>IF($A715&lt;&gt;"",'All Cases - Enter Cases'!L715,"")</f>
        <v/>
      </c>
      <c r="M715" t="str">
        <f>IF($A715&lt;&gt;"",'All Cases - Enter Cases'!M715,"")</f>
        <v/>
      </c>
    </row>
    <row r="716" spans="1:13" x14ac:dyDescent="0.35">
      <c r="A716" s="10" t="str">
        <f>IF('All Cases - Enter Cases'!$F716="Sindh",'All Cases - Enter Cases'!A716,"")</f>
        <v/>
      </c>
      <c r="B716" t="str">
        <f>IF($A716&lt;&gt;"",'All Cases - Enter Cases'!B716,"")</f>
        <v/>
      </c>
      <c r="C716" t="str">
        <f>IF($A716&lt;&gt;"",'All Cases - Enter Cases'!C716,"")</f>
        <v/>
      </c>
      <c r="D716" t="str">
        <f>IF($A716&lt;&gt;"",'All Cases - Enter Cases'!D716,"")</f>
        <v/>
      </c>
      <c r="E716" t="str">
        <f>IF($A716&lt;&gt;"",'All Cases - Enter Cases'!E716,"")</f>
        <v/>
      </c>
      <c r="F716" t="str">
        <f>IF($A716&lt;&gt;"",'All Cases - Enter Cases'!F716,"")</f>
        <v/>
      </c>
      <c r="G716" t="str">
        <f>IF($A716&lt;&gt;"",'All Cases - Enter Cases'!G716,"")</f>
        <v/>
      </c>
      <c r="H716" t="str">
        <f>IF($A716&lt;&gt;"",'All Cases - Enter Cases'!H716,"")</f>
        <v/>
      </c>
      <c r="I716" t="str">
        <f>IF($A716&lt;&gt;"",'All Cases - Enter Cases'!I716,"")</f>
        <v/>
      </c>
      <c r="J716" t="str">
        <f>IF($A716&lt;&gt;"",'All Cases - Enter Cases'!J716,"")</f>
        <v/>
      </c>
      <c r="K716" s="4" t="str">
        <f>IF($A716&lt;&gt;"",'All Cases - Enter Cases'!K716,"")</f>
        <v/>
      </c>
      <c r="L716" t="str">
        <f>IF($A716&lt;&gt;"",'All Cases - Enter Cases'!L716,"")</f>
        <v/>
      </c>
      <c r="M716" t="str">
        <f>IF($A716&lt;&gt;"",'All Cases - Enter Cases'!M716,"")</f>
        <v/>
      </c>
    </row>
    <row r="717" spans="1:13" x14ac:dyDescent="0.35">
      <c r="A717" s="10" t="str">
        <f>IF('All Cases - Enter Cases'!$F717="Sindh",'All Cases - Enter Cases'!A717,"")</f>
        <v/>
      </c>
      <c r="B717" t="str">
        <f>IF($A717&lt;&gt;"",'All Cases - Enter Cases'!B717,"")</f>
        <v/>
      </c>
      <c r="C717" t="str">
        <f>IF($A717&lt;&gt;"",'All Cases - Enter Cases'!C717,"")</f>
        <v/>
      </c>
      <c r="D717" t="str">
        <f>IF($A717&lt;&gt;"",'All Cases - Enter Cases'!D717,"")</f>
        <v/>
      </c>
      <c r="E717" t="str">
        <f>IF($A717&lt;&gt;"",'All Cases - Enter Cases'!E717,"")</f>
        <v/>
      </c>
      <c r="F717" t="str">
        <f>IF($A717&lt;&gt;"",'All Cases - Enter Cases'!F717,"")</f>
        <v/>
      </c>
      <c r="G717" t="str">
        <f>IF($A717&lt;&gt;"",'All Cases - Enter Cases'!G717,"")</f>
        <v/>
      </c>
      <c r="H717" t="str">
        <f>IF($A717&lt;&gt;"",'All Cases - Enter Cases'!H717,"")</f>
        <v/>
      </c>
      <c r="I717" t="str">
        <f>IF($A717&lt;&gt;"",'All Cases - Enter Cases'!I717,"")</f>
        <v/>
      </c>
      <c r="J717" t="str">
        <f>IF($A717&lt;&gt;"",'All Cases - Enter Cases'!J717,"")</f>
        <v/>
      </c>
      <c r="K717" s="4" t="str">
        <f>IF($A717&lt;&gt;"",'All Cases - Enter Cases'!K717,"")</f>
        <v/>
      </c>
      <c r="L717" t="str">
        <f>IF($A717&lt;&gt;"",'All Cases - Enter Cases'!L717,"")</f>
        <v/>
      </c>
      <c r="M717" t="str">
        <f>IF($A717&lt;&gt;"",'All Cases - Enter Cases'!M717,"")</f>
        <v/>
      </c>
    </row>
    <row r="718" spans="1:13" x14ac:dyDescent="0.35">
      <c r="A718" s="10" t="str">
        <f>IF('All Cases - Enter Cases'!$F718="Sindh",'All Cases - Enter Cases'!A718,"")</f>
        <v/>
      </c>
      <c r="B718" t="str">
        <f>IF($A718&lt;&gt;"",'All Cases - Enter Cases'!B718,"")</f>
        <v/>
      </c>
      <c r="C718" t="str">
        <f>IF($A718&lt;&gt;"",'All Cases - Enter Cases'!C718,"")</f>
        <v/>
      </c>
      <c r="D718" t="str">
        <f>IF($A718&lt;&gt;"",'All Cases - Enter Cases'!D718,"")</f>
        <v/>
      </c>
      <c r="E718" t="str">
        <f>IF($A718&lt;&gt;"",'All Cases - Enter Cases'!E718,"")</f>
        <v/>
      </c>
      <c r="F718" t="str">
        <f>IF($A718&lt;&gt;"",'All Cases - Enter Cases'!F718,"")</f>
        <v/>
      </c>
      <c r="G718" t="str">
        <f>IF($A718&lt;&gt;"",'All Cases - Enter Cases'!G718,"")</f>
        <v/>
      </c>
      <c r="H718" t="str">
        <f>IF($A718&lt;&gt;"",'All Cases - Enter Cases'!H718,"")</f>
        <v/>
      </c>
      <c r="I718" t="str">
        <f>IF($A718&lt;&gt;"",'All Cases - Enter Cases'!I718,"")</f>
        <v/>
      </c>
      <c r="J718" t="str">
        <f>IF($A718&lt;&gt;"",'All Cases - Enter Cases'!J718,"")</f>
        <v/>
      </c>
      <c r="K718" s="4" t="str">
        <f>IF($A718&lt;&gt;"",'All Cases - Enter Cases'!K718,"")</f>
        <v/>
      </c>
      <c r="L718" t="str">
        <f>IF($A718&lt;&gt;"",'All Cases - Enter Cases'!L718,"")</f>
        <v/>
      </c>
      <c r="M718" t="str">
        <f>IF($A718&lt;&gt;"",'All Cases - Enter Cases'!M718,"")</f>
        <v/>
      </c>
    </row>
    <row r="719" spans="1:13" x14ac:dyDescent="0.35">
      <c r="A719" s="10" t="str">
        <f>IF('All Cases - Enter Cases'!$F719="Sindh",'All Cases - Enter Cases'!A719,"")</f>
        <v/>
      </c>
      <c r="B719" t="str">
        <f>IF($A719&lt;&gt;"",'All Cases - Enter Cases'!B719,"")</f>
        <v/>
      </c>
      <c r="C719" t="str">
        <f>IF($A719&lt;&gt;"",'All Cases - Enter Cases'!C719,"")</f>
        <v/>
      </c>
      <c r="D719" t="str">
        <f>IF($A719&lt;&gt;"",'All Cases - Enter Cases'!D719,"")</f>
        <v/>
      </c>
      <c r="E719" t="str">
        <f>IF($A719&lt;&gt;"",'All Cases - Enter Cases'!E719,"")</f>
        <v/>
      </c>
      <c r="F719" t="str">
        <f>IF($A719&lt;&gt;"",'All Cases - Enter Cases'!F719,"")</f>
        <v/>
      </c>
      <c r="G719" t="str">
        <f>IF($A719&lt;&gt;"",'All Cases - Enter Cases'!G719,"")</f>
        <v/>
      </c>
      <c r="H719" t="str">
        <f>IF($A719&lt;&gt;"",'All Cases - Enter Cases'!H719,"")</f>
        <v/>
      </c>
      <c r="I719" t="str">
        <f>IF($A719&lt;&gt;"",'All Cases - Enter Cases'!I719,"")</f>
        <v/>
      </c>
      <c r="J719" t="str">
        <f>IF($A719&lt;&gt;"",'All Cases - Enter Cases'!J719,"")</f>
        <v/>
      </c>
      <c r="K719" s="4" t="str">
        <f>IF($A719&lt;&gt;"",'All Cases - Enter Cases'!K719,"")</f>
        <v/>
      </c>
      <c r="L719" t="str">
        <f>IF($A719&lt;&gt;"",'All Cases - Enter Cases'!L719,"")</f>
        <v/>
      </c>
      <c r="M719" t="str">
        <f>IF($A719&lt;&gt;"",'All Cases - Enter Cases'!M719,"")</f>
        <v/>
      </c>
    </row>
    <row r="720" spans="1:13" x14ac:dyDescent="0.35">
      <c r="A720" s="10" t="str">
        <f>IF('All Cases - Enter Cases'!$F720="Sindh",'All Cases - Enter Cases'!A720,"")</f>
        <v/>
      </c>
      <c r="B720" t="str">
        <f>IF($A720&lt;&gt;"",'All Cases - Enter Cases'!B720,"")</f>
        <v/>
      </c>
      <c r="C720" t="str">
        <f>IF($A720&lt;&gt;"",'All Cases - Enter Cases'!C720,"")</f>
        <v/>
      </c>
      <c r="D720" t="str">
        <f>IF($A720&lt;&gt;"",'All Cases - Enter Cases'!D720,"")</f>
        <v/>
      </c>
      <c r="E720" t="str">
        <f>IF($A720&lt;&gt;"",'All Cases - Enter Cases'!E720,"")</f>
        <v/>
      </c>
      <c r="F720" t="str">
        <f>IF($A720&lt;&gt;"",'All Cases - Enter Cases'!F720,"")</f>
        <v/>
      </c>
      <c r="G720" t="str">
        <f>IF($A720&lt;&gt;"",'All Cases - Enter Cases'!G720,"")</f>
        <v/>
      </c>
      <c r="H720" t="str">
        <f>IF($A720&lt;&gt;"",'All Cases - Enter Cases'!H720,"")</f>
        <v/>
      </c>
      <c r="I720" t="str">
        <f>IF($A720&lt;&gt;"",'All Cases - Enter Cases'!I720,"")</f>
        <v/>
      </c>
      <c r="J720" t="str">
        <f>IF($A720&lt;&gt;"",'All Cases - Enter Cases'!J720,"")</f>
        <v/>
      </c>
      <c r="K720" s="4" t="str">
        <f>IF($A720&lt;&gt;"",'All Cases - Enter Cases'!K720,"")</f>
        <v/>
      </c>
      <c r="L720" t="str">
        <f>IF($A720&lt;&gt;"",'All Cases - Enter Cases'!L720,"")</f>
        <v/>
      </c>
      <c r="M720" t="str">
        <f>IF($A720&lt;&gt;"",'All Cases - Enter Cases'!M720,"")</f>
        <v/>
      </c>
    </row>
    <row r="721" spans="1:13" x14ac:dyDescent="0.35">
      <c r="A721" s="10" t="str">
        <f>IF('All Cases - Enter Cases'!$F721="Sindh",'All Cases - Enter Cases'!A721,"")</f>
        <v/>
      </c>
      <c r="B721" t="str">
        <f>IF($A721&lt;&gt;"",'All Cases - Enter Cases'!B721,"")</f>
        <v/>
      </c>
      <c r="C721" t="str">
        <f>IF($A721&lt;&gt;"",'All Cases - Enter Cases'!C721,"")</f>
        <v/>
      </c>
      <c r="D721" t="str">
        <f>IF($A721&lt;&gt;"",'All Cases - Enter Cases'!D721,"")</f>
        <v/>
      </c>
      <c r="E721" t="str">
        <f>IF($A721&lt;&gt;"",'All Cases - Enter Cases'!E721,"")</f>
        <v/>
      </c>
      <c r="F721" t="str">
        <f>IF($A721&lt;&gt;"",'All Cases - Enter Cases'!F721,"")</f>
        <v/>
      </c>
      <c r="G721" t="str">
        <f>IF($A721&lt;&gt;"",'All Cases - Enter Cases'!G721,"")</f>
        <v/>
      </c>
      <c r="H721" t="str">
        <f>IF($A721&lt;&gt;"",'All Cases - Enter Cases'!H721,"")</f>
        <v/>
      </c>
      <c r="I721" t="str">
        <f>IF($A721&lt;&gt;"",'All Cases - Enter Cases'!I721,"")</f>
        <v/>
      </c>
      <c r="J721" t="str">
        <f>IF($A721&lt;&gt;"",'All Cases - Enter Cases'!J721,"")</f>
        <v/>
      </c>
      <c r="K721" s="4" t="str">
        <f>IF($A721&lt;&gt;"",'All Cases - Enter Cases'!K721,"")</f>
        <v/>
      </c>
      <c r="L721" t="str">
        <f>IF($A721&lt;&gt;"",'All Cases - Enter Cases'!L721,"")</f>
        <v/>
      </c>
      <c r="M721" t="str">
        <f>IF($A721&lt;&gt;"",'All Cases - Enter Cases'!M721,"")</f>
        <v/>
      </c>
    </row>
    <row r="722" spans="1:13" x14ac:dyDescent="0.35">
      <c r="A722" s="10" t="str">
        <f>IF('All Cases - Enter Cases'!$F722="Sindh",'All Cases - Enter Cases'!A722,"")</f>
        <v/>
      </c>
      <c r="B722" t="str">
        <f>IF($A722&lt;&gt;"",'All Cases - Enter Cases'!B722,"")</f>
        <v/>
      </c>
      <c r="C722" t="str">
        <f>IF($A722&lt;&gt;"",'All Cases - Enter Cases'!C722,"")</f>
        <v/>
      </c>
      <c r="D722" t="str">
        <f>IF($A722&lt;&gt;"",'All Cases - Enter Cases'!D722,"")</f>
        <v/>
      </c>
      <c r="E722" t="str">
        <f>IF($A722&lt;&gt;"",'All Cases - Enter Cases'!E722,"")</f>
        <v/>
      </c>
      <c r="F722" t="str">
        <f>IF($A722&lt;&gt;"",'All Cases - Enter Cases'!F722,"")</f>
        <v/>
      </c>
      <c r="G722" t="str">
        <f>IF($A722&lt;&gt;"",'All Cases - Enter Cases'!G722,"")</f>
        <v/>
      </c>
      <c r="H722" t="str">
        <f>IF($A722&lt;&gt;"",'All Cases - Enter Cases'!H722,"")</f>
        <v/>
      </c>
      <c r="I722" t="str">
        <f>IF($A722&lt;&gt;"",'All Cases - Enter Cases'!I722,"")</f>
        <v/>
      </c>
      <c r="J722" t="str">
        <f>IF($A722&lt;&gt;"",'All Cases - Enter Cases'!J722,"")</f>
        <v/>
      </c>
      <c r="K722" s="4" t="str">
        <f>IF($A722&lt;&gt;"",'All Cases - Enter Cases'!K722,"")</f>
        <v/>
      </c>
      <c r="L722" t="str">
        <f>IF($A722&lt;&gt;"",'All Cases - Enter Cases'!L722,"")</f>
        <v/>
      </c>
      <c r="M722" t="str">
        <f>IF($A722&lt;&gt;"",'All Cases - Enter Cases'!M722,"")</f>
        <v/>
      </c>
    </row>
    <row r="723" spans="1:13" x14ac:dyDescent="0.35">
      <c r="A723" s="10" t="str">
        <f>IF('All Cases - Enter Cases'!$F723="Sindh",'All Cases - Enter Cases'!A723,"")</f>
        <v/>
      </c>
      <c r="B723" t="str">
        <f>IF($A723&lt;&gt;"",'All Cases - Enter Cases'!B723,"")</f>
        <v/>
      </c>
      <c r="C723" t="str">
        <f>IF($A723&lt;&gt;"",'All Cases - Enter Cases'!C723,"")</f>
        <v/>
      </c>
      <c r="D723" t="str">
        <f>IF($A723&lt;&gt;"",'All Cases - Enter Cases'!D723,"")</f>
        <v/>
      </c>
      <c r="E723" t="str">
        <f>IF($A723&lt;&gt;"",'All Cases - Enter Cases'!E723,"")</f>
        <v/>
      </c>
      <c r="F723" t="str">
        <f>IF($A723&lt;&gt;"",'All Cases - Enter Cases'!F723,"")</f>
        <v/>
      </c>
      <c r="G723" t="str">
        <f>IF($A723&lt;&gt;"",'All Cases - Enter Cases'!G723,"")</f>
        <v/>
      </c>
      <c r="H723" t="str">
        <f>IF($A723&lt;&gt;"",'All Cases - Enter Cases'!H723,"")</f>
        <v/>
      </c>
      <c r="I723" t="str">
        <f>IF($A723&lt;&gt;"",'All Cases - Enter Cases'!I723,"")</f>
        <v/>
      </c>
      <c r="J723" t="str">
        <f>IF($A723&lt;&gt;"",'All Cases - Enter Cases'!J723,"")</f>
        <v/>
      </c>
      <c r="K723" s="4" t="str">
        <f>IF($A723&lt;&gt;"",'All Cases - Enter Cases'!K723,"")</f>
        <v/>
      </c>
      <c r="L723" t="str">
        <f>IF($A723&lt;&gt;"",'All Cases - Enter Cases'!L723,"")</f>
        <v/>
      </c>
      <c r="M723" t="str">
        <f>IF($A723&lt;&gt;"",'All Cases - Enter Cases'!M723,"")</f>
        <v/>
      </c>
    </row>
    <row r="724" spans="1:13" x14ac:dyDescent="0.35">
      <c r="A724" s="10" t="str">
        <f>IF('All Cases - Enter Cases'!$F724="Sindh",'All Cases - Enter Cases'!A724,"")</f>
        <v/>
      </c>
      <c r="B724" t="str">
        <f>IF($A724&lt;&gt;"",'All Cases - Enter Cases'!B724,"")</f>
        <v/>
      </c>
      <c r="C724" t="str">
        <f>IF($A724&lt;&gt;"",'All Cases - Enter Cases'!C724,"")</f>
        <v/>
      </c>
      <c r="D724" t="str">
        <f>IF($A724&lt;&gt;"",'All Cases - Enter Cases'!D724,"")</f>
        <v/>
      </c>
      <c r="E724" t="str">
        <f>IF($A724&lt;&gt;"",'All Cases - Enter Cases'!E724,"")</f>
        <v/>
      </c>
      <c r="F724" t="str">
        <f>IF($A724&lt;&gt;"",'All Cases - Enter Cases'!F724,"")</f>
        <v/>
      </c>
      <c r="G724" t="str">
        <f>IF($A724&lt;&gt;"",'All Cases - Enter Cases'!G724,"")</f>
        <v/>
      </c>
      <c r="H724" t="str">
        <f>IF($A724&lt;&gt;"",'All Cases - Enter Cases'!H724,"")</f>
        <v/>
      </c>
      <c r="I724" t="str">
        <f>IF($A724&lt;&gt;"",'All Cases - Enter Cases'!I724,"")</f>
        <v/>
      </c>
      <c r="J724" t="str">
        <f>IF($A724&lt;&gt;"",'All Cases - Enter Cases'!J724,"")</f>
        <v/>
      </c>
      <c r="K724" s="4" t="str">
        <f>IF($A724&lt;&gt;"",'All Cases - Enter Cases'!K724,"")</f>
        <v/>
      </c>
      <c r="L724" t="str">
        <f>IF($A724&lt;&gt;"",'All Cases - Enter Cases'!L724,"")</f>
        <v/>
      </c>
      <c r="M724" t="str">
        <f>IF($A724&lt;&gt;"",'All Cases - Enter Cases'!M724,"")</f>
        <v/>
      </c>
    </row>
    <row r="725" spans="1:13" x14ac:dyDescent="0.35">
      <c r="A725" s="10" t="str">
        <f>IF('All Cases - Enter Cases'!$F725="Sindh",'All Cases - Enter Cases'!A725,"")</f>
        <v/>
      </c>
      <c r="B725" t="str">
        <f>IF($A725&lt;&gt;"",'All Cases - Enter Cases'!B725,"")</f>
        <v/>
      </c>
      <c r="C725" t="str">
        <f>IF($A725&lt;&gt;"",'All Cases - Enter Cases'!C725,"")</f>
        <v/>
      </c>
      <c r="D725" t="str">
        <f>IF($A725&lt;&gt;"",'All Cases - Enter Cases'!D725,"")</f>
        <v/>
      </c>
      <c r="E725" t="str">
        <f>IF($A725&lt;&gt;"",'All Cases - Enter Cases'!E725,"")</f>
        <v/>
      </c>
      <c r="F725" t="str">
        <f>IF($A725&lt;&gt;"",'All Cases - Enter Cases'!F725,"")</f>
        <v/>
      </c>
      <c r="G725" t="str">
        <f>IF($A725&lt;&gt;"",'All Cases - Enter Cases'!G725,"")</f>
        <v/>
      </c>
      <c r="H725" t="str">
        <f>IF($A725&lt;&gt;"",'All Cases - Enter Cases'!H725,"")</f>
        <v/>
      </c>
      <c r="I725" t="str">
        <f>IF($A725&lt;&gt;"",'All Cases - Enter Cases'!I725,"")</f>
        <v/>
      </c>
      <c r="J725" t="str">
        <f>IF($A725&lt;&gt;"",'All Cases - Enter Cases'!J725,"")</f>
        <v/>
      </c>
      <c r="K725" s="4" t="str">
        <f>IF($A725&lt;&gt;"",'All Cases - Enter Cases'!K725,"")</f>
        <v/>
      </c>
      <c r="L725" t="str">
        <f>IF($A725&lt;&gt;"",'All Cases - Enter Cases'!L725,"")</f>
        <v/>
      </c>
      <c r="M725" t="str">
        <f>IF($A725&lt;&gt;"",'All Cases - Enter Cases'!M725,"")</f>
        <v/>
      </c>
    </row>
    <row r="726" spans="1:13" x14ac:dyDescent="0.35">
      <c r="A726" s="10" t="str">
        <f>IF('All Cases - Enter Cases'!$F726="Sindh",'All Cases - Enter Cases'!A726,"")</f>
        <v/>
      </c>
      <c r="B726" t="str">
        <f>IF($A726&lt;&gt;"",'All Cases - Enter Cases'!B726,"")</f>
        <v/>
      </c>
      <c r="C726" t="str">
        <f>IF($A726&lt;&gt;"",'All Cases - Enter Cases'!C726,"")</f>
        <v/>
      </c>
      <c r="D726" t="str">
        <f>IF($A726&lt;&gt;"",'All Cases - Enter Cases'!D726,"")</f>
        <v/>
      </c>
      <c r="E726" t="str">
        <f>IF($A726&lt;&gt;"",'All Cases - Enter Cases'!E726,"")</f>
        <v/>
      </c>
      <c r="F726" t="str">
        <f>IF($A726&lt;&gt;"",'All Cases - Enter Cases'!F726,"")</f>
        <v/>
      </c>
      <c r="G726" t="str">
        <f>IF($A726&lt;&gt;"",'All Cases - Enter Cases'!G726,"")</f>
        <v/>
      </c>
      <c r="H726" t="str">
        <f>IF($A726&lt;&gt;"",'All Cases - Enter Cases'!H726,"")</f>
        <v/>
      </c>
      <c r="I726" t="str">
        <f>IF($A726&lt;&gt;"",'All Cases - Enter Cases'!I726,"")</f>
        <v/>
      </c>
      <c r="J726" t="str">
        <f>IF($A726&lt;&gt;"",'All Cases - Enter Cases'!J726,"")</f>
        <v/>
      </c>
      <c r="K726" s="4" t="str">
        <f>IF($A726&lt;&gt;"",'All Cases - Enter Cases'!K726,"")</f>
        <v/>
      </c>
      <c r="L726" t="str">
        <f>IF($A726&lt;&gt;"",'All Cases - Enter Cases'!L726,"")</f>
        <v/>
      </c>
      <c r="M726" t="str">
        <f>IF($A726&lt;&gt;"",'All Cases - Enter Cases'!M726,"")</f>
        <v/>
      </c>
    </row>
    <row r="727" spans="1:13" x14ac:dyDescent="0.35">
      <c r="A727" s="10" t="str">
        <f>IF('All Cases - Enter Cases'!$F727="Sindh",'All Cases - Enter Cases'!A727,"")</f>
        <v/>
      </c>
      <c r="B727" t="str">
        <f>IF($A727&lt;&gt;"",'All Cases - Enter Cases'!B727,"")</f>
        <v/>
      </c>
      <c r="C727" t="str">
        <f>IF($A727&lt;&gt;"",'All Cases - Enter Cases'!C727,"")</f>
        <v/>
      </c>
      <c r="D727" t="str">
        <f>IF($A727&lt;&gt;"",'All Cases - Enter Cases'!D727,"")</f>
        <v/>
      </c>
      <c r="E727" t="str">
        <f>IF($A727&lt;&gt;"",'All Cases - Enter Cases'!E727,"")</f>
        <v/>
      </c>
      <c r="F727" t="str">
        <f>IF($A727&lt;&gt;"",'All Cases - Enter Cases'!F727,"")</f>
        <v/>
      </c>
      <c r="G727" t="str">
        <f>IF($A727&lt;&gt;"",'All Cases - Enter Cases'!G727,"")</f>
        <v/>
      </c>
      <c r="H727" t="str">
        <f>IF($A727&lt;&gt;"",'All Cases - Enter Cases'!H727,"")</f>
        <v/>
      </c>
      <c r="I727" t="str">
        <f>IF($A727&lt;&gt;"",'All Cases - Enter Cases'!I727,"")</f>
        <v/>
      </c>
      <c r="J727" t="str">
        <f>IF($A727&lt;&gt;"",'All Cases - Enter Cases'!J727,"")</f>
        <v/>
      </c>
      <c r="K727" s="4" t="str">
        <f>IF($A727&lt;&gt;"",'All Cases - Enter Cases'!K727,"")</f>
        <v/>
      </c>
      <c r="L727" t="str">
        <f>IF($A727&lt;&gt;"",'All Cases - Enter Cases'!L727,"")</f>
        <v/>
      </c>
      <c r="M727" t="str">
        <f>IF($A727&lt;&gt;"",'All Cases - Enter Cases'!M727,"")</f>
        <v/>
      </c>
    </row>
    <row r="728" spans="1:13" x14ac:dyDescent="0.35">
      <c r="A728" s="10" t="str">
        <f>IF('All Cases - Enter Cases'!$F728="Sindh",'All Cases - Enter Cases'!A728,"")</f>
        <v/>
      </c>
      <c r="B728" t="str">
        <f>IF($A728&lt;&gt;"",'All Cases - Enter Cases'!B728,"")</f>
        <v/>
      </c>
      <c r="C728" t="str">
        <f>IF($A728&lt;&gt;"",'All Cases - Enter Cases'!C728,"")</f>
        <v/>
      </c>
      <c r="D728" t="str">
        <f>IF($A728&lt;&gt;"",'All Cases - Enter Cases'!D728,"")</f>
        <v/>
      </c>
      <c r="E728" t="str">
        <f>IF($A728&lt;&gt;"",'All Cases - Enter Cases'!E728,"")</f>
        <v/>
      </c>
      <c r="F728" t="str">
        <f>IF($A728&lt;&gt;"",'All Cases - Enter Cases'!F728,"")</f>
        <v/>
      </c>
      <c r="G728" t="str">
        <f>IF($A728&lt;&gt;"",'All Cases - Enter Cases'!G728,"")</f>
        <v/>
      </c>
      <c r="H728" t="str">
        <f>IF($A728&lt;&gt;"",'All Cases - Enter Cases'!H728,"")</f>
        <v/>
      </c>
      <c r="I728" t="str">
        <f>IF($A728&lt;&gt;"",'All Cases - Enter Cases'!I728,"")</f>
        <v/>
      </c>
      <c r="J728" t="str">
        <f>IF($A728&lt;&gt;"",'All Cases - Enter Cases'!J728,"")</f>
        <v/>
      </c>
      <c r="K728" s="4" t="str">
        <f>IF($A728&lt;&gt;"",'All Cases - Enter Cases'!K728,"")</f>
        <v/>
      </c>
      <c r="L728" t="str">
        <f>IF($A728&lt;&gt;"",'All Cases - Enter Cases'!L728,"")</f>
        <v/>
      </c>
      <c r="M728" t="str">
        <f>IF($A728&lt;&gt;"",'All Cases - Enter Cases'!M728,"")</f>
        <v/>
      </c>
    </row>
    <row r="729" spans="1:13" x14ac:dyDescent="0.35">
      <c r="A729" s="10" t="str">
        <f>IF('All Cases - Enter Cases'!$F729="Sindh",'All Cases - Enter Cases'!A729,"")</f>
        <v/>
      </c>
      <c r="B729" t="str">
        <f>IF($A729&lt;&gt;"",'All Cases - Enter Cases'!B729,"")</f>
        <v/>
      </c>
      <c r="C729" t="str">
        <f>IF($A729&lt;&gt;"",'All Cases - Enter Cases'!C729,"")</f>
        <v/>
      </c>
      <c r="D729" t="str">
        <f>IF($A729&lt;&gt;"",'All Cases - Enter Cases'!D729,"")</f>
        <v/>
      </c>
      <c r="E729" t="str">
        <f>IF($A729&lt;&gt;"",'All Cases - Enter Cases'!E729,"")</f>
        <v/>
      </c>
      <c r="F729" t="str">
        <f>IF($A729&lt;&gt;"",'All Cases - Enter Cases'!F729,"")</f>
        <v/>
      </c>
      <c r="G729" t="str">
        <f>IF($A729&lt;&gt;"",'All Cases - Enter Cases'!G729,"")</f>
        <v/>
      </c>
      <c r="H729" t="str">
        <f>IF($A729&lt;&gt;"",'All Cases - Enter Cases'!H729,"")</f>
        <v/>
      </c>
      <c r="I729" t="str">
        <f>IF($A729&lt;&gt;"",'All Cases - Enter Cases'!I729,"")</f>
        <v/>
      </c>
      <c r="J729" t="str">
        <f>IF($A729&lt;&gt;"",'All Cases - Enter Cases'!J729,"")</f>
        <v/>
      </c>
      <c r="K729" s="4" t="str">
        <f>IF($A729&lt;&gt;"",'All Cases - Enter Cases'!K729,"")</f>
        <v/>
      </c>
      <c r="L729" t="str">
        <f>IF($A729&lt;&gt;"",'All Cases - Enter Cases'!L729,"")</f>
        <v/>
      </c>
      <c r="M729" t="str">
        <f>IF($A729&lt;&gt;"",'All Cases - Enter Cases'!M729,"")</f>
        <v/>
      </c>
    </row>
    <row r="730" spans="1:13" x14ac:dyDescent="0.35">
      <c r="A730" s="10" t="str">
        <f>IF('All Cases - Enter Cases'!$F730="Sindh",'All Cases - Enter Cases'!A730,"")</f>
        <v/>
      </c>
      <c r="B730" t="str">
        <f>IF($A730&lt;&gt;"",'All Cases - Enter Cases'!B730,"")</f>
        <v/>
      </c>
      <c r="C730" t="str">
        <f>IF($A730&lt;&gt;"",'All Cases - Enter Cases'!C730,"")</f>
        <v/>
      </c>
      <c r="D730" t="str">
        <f>IF($A730&lt;&gt;"",'All Cases - Enter Cases'!D730,"")</f>
        <v/>
      </c>
      <c r="E730" t="str">
        <f>IF($A730&lt;&gt;"",'All Cases - Enter Cases'!E730,"")</f>
        <v/>
      </c>
      <c r="F730" t="str">
        <f>IF($A730&lt;&gt;"",'All Cases - Enter Cases'!F730,"")</f>
        <v/>
      </c>
      <c r="G730" t="str">
        <f>IF($A730&lt;&gt;"",'All Cases - Enter Cases'!G730,"")</f>
        <v/>
      </c>
      <c r="H730" t="str">
        <f>IF($A730&lt;&gt;"",'All Cases - Enter Cases'!H730,"")</f>
        <v/>
      </c>
      <c r="I730" t="str">
        <f>IF($A730&lt;&gt;"",'All Cases - Enter Cases'!I730,"")</f>
        <v/>
      </c>
      <c r="J730" t="str">
        <f>IF($A730&lt;&gt;"",'All Cases - Enter Cases'!J730,"")</f>
        <v/>
      </c>
      <c r="K730" s="4" t="str">
        <f>IF($A730&lt;&gt;"",'All Cases - Enter Cases'!K730,"")</f>
        <v/>
      </c>
      <c r="L730" t="str">
        <f>IF($A730&lt;&gt;"",'All Cases - Enter Cases'!L730,"")</f>
        <v/>
      </c>
      <c r="M730" t="str">
        <f>IF($A730&lt;&gt;"",'All Cases - Enter Cases'!M730,"")</f>
        <v/>
      </c>
    </row>
    <row r="731" spans="1:13" x14ac:dyDescent="0.35">
      <c r="A731" s="10" t="str">
        <f>IF('All Cases - Enter Cases'!$F731="Sindh",'All Cases - Enter Cases'!A731,"")</f>
        <v/>
      </c>
      <c r="B731" t="str">
        <f>IF($A731&lt;&gt;"",'All Cases - Enter Cases'!B731,"")</f>
        <v/>
      </c>
      <c r="C731" t="str">
        <f>IF($A731&lt;&gt;"",'All Cases - Enter Cases'!C731,"")</f>
        <v/>
      </c>
      <c r="D731" t="str">
        <f>IF($A731&lt;&gt;"",'All Cases - Enter Cases'!D731,"")</f>
        <v/>
      </c>
      <c r="E731" t="str">
        <f>IF($A731&lt;&gt;"",'All Cases - Enter Cases'!E731,"")</f>
        <v/>
      </c>
      <c r="F731" t="str">
        <f>IF($A731&lt;&gt;"",'All Cases - Enter Cases'!F731,"")</f>
        <v/>
      </c>
      <c r="G731" t="str">
        <f>IF($A731&lt;&gt;"",'All Cases - Enter Cases'!G731,"")</f>
        <v/>
      </c>
      <c r="H731" t="str">
        <f>IF($A731&lt;&gt;"",'All Cases - Enter Cases'!H731,"")</f>
        <v/>
      </c>
      <c r="I731" t="str">
        <f>IF($A731&lt;&gt;"",'All Cases - Enter Cases'!I731,"")</f>
        <v/>
      </c>
      <c r="J731" t="str">
        <f>IF($A731&lt;&gt;"",'All Cases - Enter Cases'!J731,"")</f>
        <v/>
      </c>
      <c r="K731" s="4" t="str">
        <f>IF($A731&lt;&gt;"",'All Cases - Enter Cases'!K731,"")</f>
        <v/>
      </c>
      <c r="L731" t="str">
        <f>IF($A731&lt;&gt;"",'All Cases - Enter Cases'!L731,"")</f>
        <v/>
      </c>
      <c r="M731" t="str">
        <f>IF($A731&lt;&gt;"",'All Cases - Enter Cases'!M731,"")</f>
        <v/>
      </c>
    </row>
    <row r="732" spans="1:13" x14ac:dyDescent="0.35">
      <c r="A732" s="10" t="str">
        <f>IF('All Cases - Enter Cases'!$F732="Sindh",'All Cases - Enter Cases'!A732,"")</f>
        <v/>
      </c>
      <c r="B732" t="str">
        <f>IF($A732&lt;&gt;"",'All Cases - Enter Cases'!B732,"")</f>
        <v/>
      </c>
      <c r="C732" t="str">
        <f>IF($A732&lt;&gt;"",'All Cases - Enter Cases'!C732,"")</f>
        <v/>
      </c>
      <c r="D732" t="str">
        <f>IF($A732&lt;&gt;"",'All Cases - Enter Cases'!D732,"")</f>
        <v/>
      </c>
      <c r="E732" t="str">
        <f>IF($A732&lt;&gt;"",'All Cases - Enter Cases'!E732,"")</f>
        <v/>
      </c>
      <c r="F732" t="str">
        <f>IF($A732&lt;&gt;"",'All Cases - Enter Cases'!F732,"")</f>
        <v/>
      </c>
      <c r="G732" t="str">
        <f>IF($A732&lt;&gt;"",'All Cases - Enter Cases'!G732,"")</f>
        <v/>
      </c>
      <c r="H732" t="str">
        <f>IF($A732&lt;&gt;"",'All Cases - Enter Cases'!H732,"")</f>
        <v/>
      </c>
      <c r="I732" t="str">
        <f>IF($A732&lt;&gt;"",'All Cases - Enter Cases'!I732,"")</f>
        <v/>
      </c>
      <c r="J732" t="str">
        <f>IF($A732&lt;&gt;"",'All Cases - Enter Cases'!J732,"")</f>
        <v/>
      </c>
      <c r="K732" s="4" t="str">
        <f>IF($A732&lt;&gt;"",'All Cases - Enter Cases'!K732,"")</f>
        <v/>
      </c>
      <c r="L732" t="str">
        <f>IF($A732&lt;&gt;"",'All Cases - Enter Cases'!L732,"")</f>
        <v/>
      </c>
      <c r="M732" t="str">
        <f>IF($A732&lt;&gt;"",'All Cases - Enter Cases'!M732,"")</f>
        <v/>
      </c>
    </row>
    <row r="733" spans="1:13" x14ac:dyDescent="0.35">
      <c r="A733" s="10" t="str">
        <f>IF('All Cases - Enter Cases'!$F733="Sindh",'All Cases - Enter Cases'!A733,"")</f>
        <v/>
      </c>
      <c r="B733" t="str">
        <f>IF($A733&lt;&gt;"",'All Cases - Enter Cases'!B733,"")</f>
        <v/>
      </c>
      <c r="C733" t="str">
        <f>IF($A733&lt;&gt;"",'All Cases - Enter Cases'!C733,"")</f>
        <v/>
      </c>
      <c r="D733" t="str">
        <f>IF($A733&lt;&gt;"",'All Cases - Enter Cases'!D733,"")</f>
        <v/>
      </c>
      <c r="E733" t="str">
        <f>IF($A733&lt;&gt;"",'All Cases - Enter Cases'!E733,"")</f>
        <v/>
      </c>
      <c r="F733" t="str">
        <f>IF($A733&lt;&gt;"",'All Cases - Enter Cases'!F733,"")</f>
        <v/>
      </c>
      <c r="G733" t="str">
        <f>IF($A733&lt;&gt;"",'All Cases - Enter Cases'!G733,"")</f>
        <v/>
      </c>
      <c r="H733" t="str">
        <f>IF($A733&lt;&gt;"",'All Cases - Enter Cases'!H733,"")</f>
        <v/>
      </c>
      <c r="I733" t="str">
        <f>IF($A733&lt;&gt;"",'All Cases - Enter Cases'!I733,"")</f>
        <v/>
      </c>
      <c r="J733" t="str">
        <f>IF($A733&lt;&gt;"",'All Cases - Enter Cases'!J733,"")</f>
        <v/>
      </c>
      <c r="K733" s="4" t="str">
        <f>IF($A733&lt;&gt;"",'All Cases - Enter Cases'!K733,"")</f>
        <v/>
      </c>
      <c r="L733" t="str">
        <f>IF($A733&lt;&gt;"",'All Cases - Enter Cases'!L733,"")</f>
        <v/>
      </c>
      <c r="M733" t="str">
        <f>IF($A733&lt;&gt;"",'All Cases - Enter Cases'!M733,"")</f>
        <v/>
      </c>
    </row>
    <row r="734" spans="1:13" x14ac:dyDescent="0.35">
      <c r="A734" s="10" t="str">
        <f>IF('All Cases - Enter Cases'!$F734="Sindh",'All Cases - Enter Cases'!A734,"")</f>
        <v/>
      </c>
      <c r="B734" t="str">
        <f>IF($A734&lt;&gt;"",'All Cases - Enter Cases'!B734,"")</f>
        <v/>
      </c>
      <c r="C734" t="str">
        <f>IF($A734&lt;&gt;"",'All Cases - Enter Cases'!C734,"")</f>
        <v/>
      </c>
      <c r="D734" t="str">
        <f>IF($A734&lt;&gt;"",'All Cases - Enter Cases'!D734,"")</f>
        <v/>
      </c>
      <c r="E734" t="str">
        <f>IF($A734&lt;&gt;"",'All Cases - Enter Cases'!E734,"")</f>
        <v/>
      </c>
      <c r="F734" t="str">
        <f>IF($A734&lt;&gt;"",'All Cases - Enter Cases'!F734,"")</f>
        <v/>
      </c>
      <c r="G734" t="str">
        <f>IF($A734&lt;&gt;"",'All Cases - Enter Cases'!G734,"")</f>
        <v/>
      </c>
      <c r="H734" t="str">
        <f>IF($A734&lt;&gt;"",'All Cases - Enter Cases'!H734,"")</f>
        <v/>
      </c>
      <c r="I734" t="str">
        <f>IF($A734&lt;&gt;"",'All Cases - Enter Cases'!I734,"")</f>
        <v/>
      </c>
      <c r="J734" t="str">
        <f>IF($A734&lt;&gt;"",'All Cases - Enter Cases'!J734,"")</f>
        <v/>
      </c>
      <c r="K734" s="4" t="str">
        <f>IF($A734&lt;&gt;"",'All Cases - Enter Cases'!K734,"")</f>
        <v/>
      </c>
      <c r="L734" t="str">
        <f>IF($A734&lt;&gt;"",'All Cases - Enter Cases'!L734,"")</f>
        <v/>
      </c>
      <c r="M734" t="str">
        <f>IF($A734&lt;&gt;"",'All Cases - Enter Cases'!M734,"")</f>
        <v/>
      </c>
    </row>
    <row r="735" spans="1:13" x14ac:dyDescent="0.35">
      <c r="A735" s="10" t="str">
        <f>IF('All Cases - Enter Cases'!$F735="Sindh",'All Cases - Enter Cases'!A735,"")</f>
        <v/>
      </c>
      <c r="B735" t="str">
        <f>IF($A735&lt;&gt;"",'All Cases - Enter Cases'!B735,"")</f>
        <v/>
      </c>
      <c r="C735" t="str">
        <f>IF($A735&lt;&gt;"",'All Cases - Enter Cases'!C735,"")</f>
        <v/>
      </c>
      <c r="D735" t="str">
        <f>IF($A735&lt;&gt;"",'All Cases - Enter Cases'!D735,"")</f>
        <v/>
      </c>
      <c r="E735" t="str">
        <f>IF($A735&lt;&gt;"",'All Cases - Enter Cases'!E735,"")</f>
        <v/>
      </c>
      <c r="F735" t="str">
        <f>IF($A735&lt;&gt;"",'All Cases - Enter Cases'!F735,"")</f>
        <v/>
      </c>
      <c r="G735" t="str">
        <f>IF($A735&lt;&gt;"",'All Cases - Enter Cases'!G735,"")</f>
        <v/>
      </c>
      <c r="H735" t="str">
        <f>IF($A735&lt;&gt;"",'All Cases - Enter Cases'!H735,"")</f>
        <v/>
      </c>
      <c r="I735" t="str">
        <f>IF($A735&lt;&gt;"",'All Cases - Enter Cases'!I735,"")</f>
        <v/>
      </c>
      <c r="J735" t="str">
        <f>IF($A735&lt;&gt;"",'All Cases - Enter Cases'!J735,"")</f>
        <v/>
      </c>
      <c r="K735" s="4" t="str">
        <f>IF($A735&lt;&gt;"",'All Cases - Enter Cases'!K735,"")</f>
        <v/>
      </c>
      <c r="L735" t="str">
        <f>IF($A735&lt;&gt;"",'All Cases - Enter Cases'!L735,"")</f>
        <v/>
      </c>
      <c r="M735" t="str">
        <f>IF($A735&lt;&gt;"",'All Cases - Enter Cases'!M735,"")</f>
        <v/>
      </c>
    </row>
    <row r="736" spans="1:13" x14ac:dyDescent="0.35">
      <c r="A736" s="10" t="str">
        <f>IF('All Cases - Enter Cases'!$F736="Sindh",'All Cases - Enter Cases'!A736,"")</f>
        <v/>
      </c>
      <c r="B736" t="str">
        <f>IF($A736&lt;&gt;"",'All Cases - Enter Cases'!B736,"")</f>
        <v/>
      </c>
      <c r="C736" t="str">
        <f>IF($A736&lt;&gt;"",'All Cases - Enter Cases'!C736,"")</f>
        <v/>
      </c>
      <c r="D736" t="str">
        <f>IF($A736&lt;&gt;"",'All Cases - Enter Cases'!D736,"")</f>
        <v/>
      </c>
      <c r="E736" t="str">
        <f>IF($A736&lt;&gt;"",'All Cases - Enter Cases'!E736,"")</f>
        <v/>
      </c>
      <c r="F736" t="str">
        <f>IF($A736&lt;&gt;"",'All Cases - Enter Cases'!F736,"")</f>
        <v/>
      </c>
      <c r="G736" t="str">
        <f>IF($A736&lt;&gt;"",'All Cases - Enter Cases'!G736,"")</f>
        <v/>
      </c>
      <c r="H736" t="str">
        <f>IF($A736&lt;&gt;"",'All Cases - Enter Cases'!H736,"")</f>
        <v/>
      </c>
      <c r="I736" t="str">
        <f>IF($A736&lt;&gt;"",'All Cases - Enter Cases'!I736,"")</f>
        <v/>
      </c>
      <c r="J736" t="str">
        <f>IF($A736&lt;&gt;"",'All Cases - Enter Cases'!J736,"")</f>
        <v/>
      </c>
      <c r="K736" s="4" t="str">
        <f>IF($A736&lt;&gt;"",'All Cases - Enter Cases'!K736,"")</f>
        <v/>
      </c>
      <c r="L736" t="str">
        <f>IF($A736&lt;&gt;"",'All Cases - Enter Cases'!L736,"")</f>
        <v/>
      </c>
      <c r="M736" t="str">
        <f>IF($A736&lt;&gt;"",'All Cases - Enter Cases'!M736,"")</f>
        <v/>
      </c>
    </row>
    <row r="737" spans="1:13" x14ac:dyDescent="0.35">
      <c r="A737" s="10" t="str">
        <f>IF('All Cases - Enter Cases'!$F737="Sindh",'All Cases - Enter Cases'!A737,"")</f>
        <v/>
      </c>
      <c r="B737" t="str">
        <f>IF($A737&lt;&gt;"",'All Cases - Enter Cases'!B737,"")</f>
        <v/>
      </c>
      <c r="C737" t="str">
        <f>IF($A737&lt;&gt;"",'All Cases - Enter Cases'!C737,"")</f>
        <v/>
      </c>
      <c r="D737" t="str">
        <f>IF($A737&lt;&gt;"",'All Cases - Enter Cases'!D737,"")</f>
        <v/>
      </c>
      <c r="E737" t="str">
        <f>IF($A737&lt;&gt;"",'All Cases - Enter Cases'!E737,"")</f>
        <v/>
      </c>
      <c r="F737" t="str">
        <f>IF($A737&lt;&gt;"",'All Cases - Enter Cases'!F737,"")</f>
        <v/>
      </c>
      <c r="G737" t="str">
        <f>IF($A737&lt;&gt;"",'All Cases - Enter Cases'!G737,"")</f>
        <v/>
      </c>
      <c r="H737" t="str">
        <f>IF($A737&lt;&gt;"",'All Cases - Enter Cases'!H737,"")</f>
        <v/>
      </c>
      <c r="I737" t="str">
        <f>IF($A737&lt;&gt;"",'All Cases - Enter Cases'!I737,"")</f>
        <v/>
      </c>
      <c r="J737" t="str">
        <f>IF($A737&lt;&gt;"",'All Cases - Enter Cases'!J737,"")</f>
        <v/>
      </c>
      <c r="K737" s="4" t="str">
        <f>IF($A737&lt;&gt;"",'All Cases - Enter Cases'!K737,"")</f>
        <v/>
      </c>
      <c r="L737" t="str">
        <f>IF($A737&lt;&gt;"",'All Cases - Enter Cases'!L737,"")</f>
        <v/>
      </c>
      <c r="M737" t="str">
        <f>IF($A737&lt;&gt;"",'All Cases - Enter Cases'!M737,"")</f>
        <v/>
      </c>
    </row>
    <row r="738" spans="1:13" x14ac:dyDescent="0.35">
      <c r="A738" s="10" t="str">
        <f>IF('All Cases - Enter Cases'!$F738="Sindh",'All Cases - Enter Cases'!A738,"")</f>
        <v/>
      </c>
      <c r="B738" t="str">
        <f>IF($A738&lt;&gt;"",'All Cases - Enter Cases'!B738,"")</f>
        <v/>
      </c>
      <c r="C738" t="str">
        <f>IF($A738&lt;&gt;"",'All Cases - Enter Cases'!C738,"")</f>
        <v/>
      </c>
      <c r="D738" t="str">
        <f>IF($A738&lt;&gt;"",'All Cases - Enter Cases'!D738,"")</f>
        <v/>
      </c>
      <c r="E738" t="str">
        <f>IF($A738&lt;&gt;"",'All Cases - Enter Cases'!E738,"")</f>
        <v/>
      </c>
      <c r="F738" t="str">
        <f>IF($A738&lt;&gt;"",'All Cases - Enter Cases'!F738,"")</f>
        <v/>
      </c>
      <c r="G738" t="str">
        <f>IF($A738&lt;&gt;"",'All Cases - Enter Cases'!G738,"")</f>
        <v/>
      </c>
      <c r="H738" t="str">
        <f>IF($A738&lt;&gt;"",'All Cases - Enter Cases'!H738,"")</f>
        <v/>
      </c>
      <c r="I738" t="str">
        <f>IF($A738&lt;&gt;"",'All Cases - Enter Cases'!I738,"")</f>
        <v/>
      </c>
      <c r="J738" t="str">
        <f>IF($A738&lt;&gt;"",'All Cases - Enter Cases'!J738,"")</f>
        <v/>
      </c>
      <c r="K738" s="4" t="str">
        <f>IF($A738&lt;&gt;"",'All Cases - Enter Cases'!K738,"")</f>
        <v/>
      </c>
      <c r="L738" t="str">
        <f>IF($A738&lt;&gt;"",'All Cases - Enter Cases'!L738,"")</f>
        <v/>
      </c>
      <c r="M738" t="str">
        <f>IF($A738&lt;&gt;"",'All Cases - Enter Cases'!M738,"")</f>
        <v/>
      </c>
    </row>
    <row r="739" spans="1:13" x14ac:dyDescent="0.35">
      <c r="A739" s="10" t="str">
        <f>IF('All Cases - Enter Cases'!$F739="Sindh",'All Cases - Enter Cases'!A739,"")</f>
        <v/>
      </c>
      <c r="B739" t="str">
        <f>IF($A739&lt;&gt;"",'All Cases - Enter Cases'!B739,"")</f>
        <v/>
      </c>
      <c r="C739" t="str">
        <f>IF($A739&lt;&gt;"",'All Cases - Enter Cases'!C739,"")</f>
        <v/>
      </c>
      <c r="D739" t="str">
        <f>IF($A739&lt;&gt;"",'All Cases - Enter Cases'!D739,"")</f>
        <v/>
      </c>
      <c r="E739" t="str">
        <f>IF($A739&lt;&gt;"",'All Cases - Enter Cases'!E739,"")</f>
        <v/>
      </c>
      <c r="F739" t="str">
        <f>IF($A739&lt;&gt;"",'All Cases - Enter Cases'!F739,"")</f>
        <v/>
      </c>
      <c r="G739" t="str">
        <f>IF($A739&lt;&gt;"",'All Cases - Enter Cases'!G739,"")</f>
        <v/>
      </c>
      <c r="H739" t="str">
        <f>IF($A739&lt;&gt;"",'All Cases - Enter Cases'!H739,"")</f>
        <v/>
      </c>
      <c r="I739" t="str">
        <f>IF($A739&lt;&gt;"",'All Cases - Enter Cases'!I739,"")</f>
        <v/>
      </c>
      <c r="J739" t="str">
        <f>IF($A739&lt;&gt;"",'All Cases - Enter Cases'!J739,"")</f>
        <v/>
      </c>
      <c r="K739" s="4" t="str">
        <f>IF($A739&lt;&gt;"",'All Cases - Enter Cases'!K739,"")</f>
        <v/>
      </c>
      <c r="L739" t="str">
        <f>IF($A739&lt;&gt;"",'All Cases - Enter Cases'!L739,"")</f>
        <v/>
      </c>
      <c r="M739" t="str">
        <f>IF($A739&lt;&gt;"",'All Cases - Enter Cases'!M739,"")</f>
        <v/>
      </c>
    </row>
    <row r="740" spans="1:13" x14ac:dyDescent="0.35">
      <c r="A740" s="10" t="str">
        <f>IF('All Cases - Enter Cases'!$F740="Sindh",'All Cases - Enter Cases'!A740,"")</f>
        <v/>
      </c>
      <c r="B740" t="str">
        <f>IF($A740&lt;&gt;"",'All Cases - Enter Cases'!B740,"")</f>
        <v/>
      </c>
      <c r="C740" t="str">
        <f>IF($A740&lt;&gt;"",'All Cases - Enter Cases'!C740,"")</f>
        <v/>
      </c>
      <c r="D740" t="str">
        <f>IF($A740&lt;&gt;"",'All Cases - Enter Cases'!D740,"")</f>
        <v/>
      </c>
      <c r="E740" t="str">
        <f>IF($A740&lt;&gt;"",'All Cases - Enter Cases'!E740,"")</f>
        <v/>
      </c>
      <c r="F740" t="str">
        <f>IF($A740&lt;&gt;"",'All Cases - Enter Cases'!F740,"")</f>
        <v/>
      </c>
      <c r="G740" t="str">
        <f>IF($A740&lt;&gt;"",'All Cases - Enter Cases'!G740,"")</f>
        <v/>
      </c>
      <c r="H740" t="str">
        <f>IF($A740&lt;&gt;"",'All Cases - Enter Cases'!H740,"")</f>
        <v/>
      </c>
      <c r="I740" t="str">
        <f>IF($A740&lt;&gt;"",'All Cases - Enter Cases'!I740,"")</f>
        <v/>
      </c>
      <c r="J740" t="str">
        <f>IF($A740&lt;&gt;"",'All Cases - Enter Cases'!J740,"")</f>
        <v/>
      </c>
      <c r="K740" s="4" t="str">
        <f>IF($A740&lt;&gt;"",'All Cases - Enter Cases'!K740,"")</f>
        <v/>
      </c>
      <c r="L740" t="str">
        <f>IF($A740&lt;&gt;"",'All Cases - Enter Cases'!L740,"")</f>
        <v/>
      </c>
      <c r="M740" t="str">
        <f>IF($A740&lt;&gt;"",'All Cases - Enter Cases'!M740,"")</f>
        <v/>
      </c>
    </row>
    <row r="741" spans="1:13" x14ac:dyDescent="0.35">
      <c r="A741" s="10" t="str">
        <f>IF('All Cases - Enter Cases'!$F741="Sindh",'All Cases - Enter Cases'!A741,"")</f>
        <v/>
      </c>
      <c r="B741" t="str">
        <f>IF($A741&lt;&gt;"",'All Cases - Enter Cases'!B741,"")</f>
        <v/>
      </c>
      <c r="C741" t="str">
        <f>IF($A741&lt;&gt;"",'All Cases - Enter Cases'!C741,"")</f>
        <v/>
      </c>
      <c r="D741" t="str">
        <f>IF($A741&lt;&gt;"",'All Cases - Enter Cases'!D741,"")</f>
        <v/>
      </c>
      <c r="E741" t="str">
        <f>IF($A741&lt;&gt;"",'All Cases - Enter Cases'!E741,"")</f>
        <v/>
      </c>
      <c r="F741" t="str">
        <f>IF($A741&lt;&gt;"",'All Cases - Enter Cases'!F741,"")</f>
        <v/>
      </c>
      <c r="G741" t="str">
        <f>IF($A741&lt;&gt;"",'All Cases - Enter Cases'!G741,"")</f>
        <v/>
      </c>
      <c r="H741" t="str">
        <f>IF($A741&lt;&gt;"",'All Cases - Enter Cases'!H741,"")</f>
        <v/>
      </c>
      <c r="I741" t="str">
        <f>IF($A741&lt;&gt;"",'All Cases - Enter Cases'!I741,"")</f>
        <v/>
      </c>
      <c r="J741" t="str">
        <f>IF($A741&lt;&gt;"",'All Cases - Enter Cases'!J741,"")</f>
        <v/>
      </c>
      <c r="K741" s="4" t="str">
        <f>IF($A741&lt;&gt;"",'All Cases - Enter Cases'!K741,"")</f>
        <v/>
      </c>
      <c r="L741" t="str">
        <f>IF($A741&lt;&gt;"",'All Cases - Enter Cases'!L741,"")</f>
        <v/>
      </c>
      <c r="M741" t="str">
        <f>IF($A741&lt;&gt;"",'All Cases - Enter Cases'!M741,"")</f>
        <v/>
      </c>
    </row>
    <row r="742" spans="1:13" x14ac:dyDescent="0.35">
      <c r="A742" s="10" t="str">
        <f>IF('All Cases - Enter Cases'!$F742="Sindh",'All Cases - Enter Cases'!A742,"")</f>
        <v/>
      </c>
      <c r="B742" t="str">
        <f>IF($A742&lt;&gt;"",'All Cases - Enter Cases'!B742,"")</f>
        <v/>
      </c>
      <c r="C742" t="str">
        <f>IF($A742&lt;&gt;"",'All Cases - Enter Cases'!C742,"")</f>
        <v/>
      </c>
      <c r="D742" t="str">
        <f>IF($A742&lt;&gt;"",'All Cases - Enter Cases'!D742,"")</f>
        <v/>
      </c>
      <c r="E742" t="str">
        <f>IF($A742&lt;&gt;"",'All Cases - Enter Cases'!E742,"")</f>
        <v/>
      </c>
      <c r="F742" t="str">
        <f>IF($A742&lt;&gt;"",'All Cases - Enter Cases'!F742,"")</f>
        <v/>
      </c>
      <c r="G742" t="str">
        <f>IF($A742&lt;&gt;"",'All Cases - Enter Cases'!G742,"")</f>
        <v/>
      </c>
      <c r="H742" t="str">
        <f>IF($A742&lt;&gt;"",'All Cases - Enter Cases'!H742,"")</f>
        <v/>
      </c>
      <c r="I742" t="str">
        <f>IF($A742&lt;&gt;"",'All Cases - Enter Cases'!I742,"")</f>
        <v/>
      </c>
      <c r="J742" t="str">
        <f>IF($A742&lt;&gt;"",'All Cases - Enter Cases'!J742,"")</f>
        <v/>
      </c>
      <c r="K742" s="4" t="str">
        <f>IF($A742&lt;&gt;"",'All Cases - Enter Cases'!K742,"")</f>
        <v/>
      </c>
      <c r="L742" t="str">
        <f>IF($A742&lt;&gt;"",'All Cases - Enter Cases'!L742,"")</f>
        <v/>
      </c>
      <c r="M742" t="str">
        <f>IF($A742&lt;&gt;"",'All Cases - Enter Cases'!M742,"")</f>
        <v/>
      </c>
    </row>
    <row r="743" spans="1:13" x14ac:dyDescent="0.35">
      <c r="A743" s="10" t="str">
        <f>IF('All Cases - Enter Cases'!$F743="Sindh",'All Cases - Enter Cases'!A743,"")</f>
        <v/>
      </c>
      <c r="B743" t="str">
        <f>IF($A743&lt;&gt;"",'All Cases - Enter Cases'!B743,"")</f>
        <v/>
      </c>
      <c r="C743" t="str">
        <f>IF($A743&lt;&gt;"",'All Cases - Enter Cases'!C743,"")</f>
        <v/>
      </c>
      <c r="D743" t="str">
        <f>IF($A743&lt;&gt;"",'All Cases - Enter Cases'!D743,"")</f>
        <v/>
      </c>
      <c r="E743" t="str">
        <f>IF($A743&lt;&gt;"",'All Cases - Enter Cases'!E743,"")</f>
        <v/>
      </c>
      <c r="F743" t="str">
        <f>IF($A743&lt;&gt;"",'All Cases - Enter Cases'!F743,"")</f>
        <v/>
      </c>
      <c r="G743" t="str">
        <f>IF($A743&lt;&gt;"",'All Cases - Enter Cases'!G743,"")</f>
        <v/>
      </c>
      <c r="H743" t="str">
        <f>IF($A743&lt;&gt;"",'All Cases - Enter Cases'!H743,"")</f>
        <v/>
      </c>
      <c r="I743" t="str">
        <f>IF($A743&lt;&gt;"",'All Cases - Enter Cases'!I743,"")</f>
        <v/>
      </c>
      <c r="J743" t="str">
        <f>IF($A743&lt;&gt;"",'All Cases - Enter Cases'!J743,"")</f>
        <v/>
      </c>
      <c r="K743" s="4" t="str">
        <f>IF($A743&lt;&gt;"",'All Cases - Enter Cases'!K743,"")</f>
        <v/>
      </c>
      <c r="L743" t="str">
        <f>IF($A743&lt;&gt;"",'All Cases - Enter Cases'!L743,"")</f>
        <v/>
      </c>
      <c r="M743" t="str">
        <f>IF($A743&lt;&gt;"",'All Cases - Enter Cases'!M743,"")</f>
        <v/>
      </c>
    </row>
    <row r="744" spans="1:13" x14ac:dyDescent="0.35">
      <c r="A744" s="10" t="str">
        <f>IF('All Cases - Enter Cases'!$F744="Sindh",'All Cases - Enter Cases'!A744,"")</f>
        <v/>
      </c>
      <c r="B744" t="str">
        <f>IF($A744&lt;&gt;"",'All Cases - Enter Cases'!B744,"")</f>
        <v/>
      </c>
      <c r="C744" t="str">
        <f>IF($A744&lt;&gt;"",'All Cases - Enter Cases'!C744,"")</f>
        <v/>
      </c>
      <c r="D744" t="str">
        <f>IF($A744&lt;&gt;"",'All Cases - Enter Cases'!D744,"")</f>
        <v/>
      </c>
      <c r="E744" t="str">
        <f>IF($A744&lt;&gt;"",'All Cases - Enter Cases'!E744,"")</f>
        <v/>
      </c>
      <c r="F744" t="str">
        <f>IF($A744&lt;&gt;"",'All Cases - Enter Cases'!F744,"")</f>
        <v/>
      </c>
      <c r="G744" t="str">
        <f>IF($A744&lt;&gt;"",'All Cases - Enter Cases'!G744,"")</f>
        <v/>
      </c>
      <c r="H744" t="str">
        <f>IF($A744&lt;&gt;"",'All Cases - Enter Cases'!H744,"")</f>
        <v/>
      </c>
      <c r="I744" t="str">
        <f>IF($A744&lt;&gt;"",'All Cases - Enter Cases'!I744,"")</f>
        <v/>
      </c>
      <c r="J744" t="str">
        <f>IF($A744&lt;&gt;"",'All Cases - Enter Cases'!J744,"")</f>
        <v/>
      </c>
      <c r="K744" s="4" t="str">
        <f>IF($A744&lt;&gt;"",'All Cases - Enter Cases'!K744,"")</f>
        <v/>
      </c>
      <c r="L744" t="str">
        <f>IF($A744&lt;&gt;"",'All Cases - Enter Cases'!L744,"")</f>
        <v/>
      </c>
      <c r="M744" t="str">
        <f>IF($A744&lt;&gt;"",'All Cases - Enter Cases'!M744,"")</f>
        <v/>
      </c>
    </row>
    <row r="745" spans="1:13" x14ac:dyDescent="0.35">
      <c r="A745" s="10" t="str">
        <f>IF('All Cases - Enter Cases'!$F745="Sindh",'All Cases - Enter Cases'!A745,"")</f>
        <v/>
      </c>
      <c r="B745" t="str">
        <f>IF($A745&lt;&gt;"",'All Cases - Enter Cases'!B745,"")</f>
        <v/>
      </c>
      <c r="C745" t="str">
        <f>IF($A745&lt;&gt;"",'All Cases - Enter Cases'!C745,"")</f>
        <v/>
      </c>
      <c r="D745" t="str">
        <f>IF($A745&lt;&gt;"",'All Cases - Enter Cases'!D745,"")</f>
        <v/>
      </c>
      <c r="E745" t="str">
        <f>IF($A745&lt;&gt;"",'All Cases - Enter Cases'!E745,"")</f>
        <v/>
      </c>
      <c r="F745" t="str">
        <f>IF($A745&lt;&gt;"",'All Cases - Enter Cases'!F745,"")</f>
        <v/>
      </c>
      <c r="G745" t="str">
        <f>IF($A745&lt;&gt;"",'All Cases - Enter Cases'!G745,"")</f>
        <v/>
      </c>
      <c r="H745" t="str">
        <f>IF($A745&lt;&gt;"",'All Cases - Enter Cases'!H745,"")</f>
        <v/>
      </c>
      <c r="I745" t="str">
        <f>IF($A745&lt;&gt;"",'All Cases - Enter Cases'!I745,"")</f>
        <v/>
      </c>
      <c r="J745" t="str">
        <f>IF($A745&lt;&gt;"",'All Cases - Enter Cases'!J745,"")</f>
        <v/>
      </c>
      <c r="K745" s="4" t="str">
        <f>IF($A745&lt;&gt;"",'All Cases - Enter Cases'!K745,"")</f>
        <v/>
      </c>
      <c r="L745" t="str">
        <f>IF($A745&lt;&gt;"",'All Cases - Enter Cases'!L745,"")</f>
        <v/>
      </c>
      <c r="M745" t="str">
        <f>IF($A745&lt;&gt;"",'All Cases - Enter Cases'!M745,"")</f>
        <v/>
      </c>
    </row>
    <row r="746" spans="1:13" x14ac:dyDescent="0.35">
      <c r="A746" s="10" t="str">
        <f>IF('All Cases - Enter Cases'!$F746="Sindh",'All Cases - Enter Cases'!A746,"")</f>
        <v/>
      </c>
      <c r="B746" t="str">
        <f>IF($A746&lt;&gt;"",'All Cases - Enter Cases'!B746,"")</f>
        <v/>
      </c>
      <c r="C746" t="str">
        <f>IF($A746&lt;&gt;"",'All Cases - Enter Cases'!C746,"")</f>
        <v/>
      </c>
      <c r="D746" t="str">
        <f>IF($A746&lt;&gt;"",'All Cases - Enter Cases'!D746,"")</f>
        <v/>
      </c>
      <c r="E746" t="str">
        <f>IF($A746&lt;&gt;"",'All Cases - Enter Cases'!E746,"")</f>
        <v/>
      </c>
      <c r="F746" t="str">
        <f>IF($A746&lt;&gt;"",'All Cases - Enter Cases'!F746,"")</f>
        <v/>
      </c>
      <c r="G746" t="str">
        <f>IF($A746&lt;&gt;"",'All Cases - Enter Cases'!G746,"")</f>
        <v/>
      </c>
      <c r="H746" t="str">
        <f>IF($A746&lt;&gt;"",'All Cases - Enter Cases'!H746,"")</f>
        <v/>
      </c>
      <c r="I746" t="str">
        <f>IF($A746&lt;&gt;"",'All Cases - Enter Cases'!I746,"")</f>
        <v/>
      </c>
      <c r="J746" t="str">
        <f>IF($A746&lt;&gt;"",'All Cases - Enter Cases'!J746,"")</f>
        <v/>
      </c>
      <c r="K746" s="4" t="str">
        <f>IF($A746&lt;&gt;"",'All Cases - Enter Cases'!K746,"")</f>
        <v/>
      </c>
      <c r="L746" t="str">
        <f>IF($A746&lt;&gt;"",'All Cases - Enter Cases'!L746,"")</f>
        <v/>
      </c>
      <c r="M746" t="str">
        <f>IF($A746&lt;&gt;"",'All Cases - Enter Cases'!M746,"")</f>
        <v/>
      </c>
    </row>
    <row r="747" spans="1:13" x14ac:dyDescent="0.35">
      <c r="A747" s="10" t="str">
        <f>IF('All Cases - Enter Cases'!$F747="Sindh",'All Cases - Enter Cases'!A747,"")</f>
        <v/>
      </c>
      <c r="B747" t="str">
        <f>IF($A747&lt;&gt;"",'All Cases - Enter Cases'!B747,"")</f>
        <v/>
      </c>
      <c r="C747" t="str">
        <f>IF($A747&lt;&gt;"",'All Cases - Enter Cases'!C747,"")</f>
        <v/>
      </c>
      <c r="D747" t="str">
        <f>IF($A747&lt;&gt;"",'All Cases - Enter Cases'!D747,"")</f>
        <v/>
      </c>
      <c r="E747" t="str">
        <f>IF($A747&lt;&gt;"",'All Cases - Enter Cases'!E747,"")</f>
        <v/>
      </c>
      <c r="F747" t="str">
        <f>IF($A747&lt;&gt;"",'All Cases - Enter Cases'!F747,"")</f>
        <v/>
      </c>
      <c r="G747" t="str">
        <f>IF($A747&lt;&gt;"",'All Cases - Enter Cases'!G747,"")</f>
        <v/>
      </c>
      <c r="H747" t="str">
        <f>IF($A747&lt;&gt;"",'All Cases - Enter Cases'!H747,"")</f>
        <v/>
      </c>
      <c r="I747" t="str">
        <f>IF($A747&lt;&gt;"",'All Cases - Enter Cases'!I747,"")</f>
        <v/>
      </c>
      <c r="J747" t="str">
        <f>IF($A747&lt;&gt;"",'All Cases - Enter Cases'!J747,"")</f>
        <v/>
      </c>
      <c r="K747" s="4" t="str">
        <f>IF($A747&lt;&gt;"",'All Cases - Enter Cases'!K747,"")</f>
        <v/>
      </c>
      <c r="L747" t="str">
        <f>IF($A747&lt;&gt;"",'All Cases - Enter Cases'!L747,"")</f>
        <v/>
      </c>
      <c r="M747" t="str">
        <f>IF($A747&lt;&gt;"",'All Cases - Enter Cases'!M747,"")</f>
        <v/>
      </c>
    </row>
    <row r="748" spans="1:13" x14ac:dyDescent="0.35">
      <c r="A748" s="10" t="str">
        <f>IF('All Cases - Enter Cases'!$F748="Sindh",'All Cases - Enter Cases'!A748,"")</f>
        <v/>
      </c>
      <c r="B748" t="str">
        <f>IF($A748&lt;&gt;"",'All Cases - Enter Cases'!B748,"")</f>
        <v/>
      </c>
      <c r="C748" t="str">
        <f>IF($A748&lt;&gt;"",'All Cases - Enter Cases'!C748,"")</f>
        <v/>
      </c>
      <c r="D748" t="str">
        <f>IF($A748&lt;&gt;"",'All Cases - Enter Cases'!D748,"")</f>
        <v/>
      </c>
      <c r="E748" t="str">
        <f>IF($A748&lt;&gt;"",'All Cases - Enter Cases'!E748,"")</f>
        <v/>
      </c>
      <c r="F748" t="str">
        <f>IF($A748&lt;&gt;"",'All Cases - Enter Cases'!F748,"")</f>
        <v/>
      </c>
      <c r="G748" t="str">
        <f>IF($A748&lt;&gt;"",'All Cases - Enter Cases'!G748,"")</f>
        <v/>
      </c>
      <c r="H748" t="str">
        <f>IF($A748&lt;&gt;"",'All Cases - Enter Cases'!H748,"")</f>
        <v/>
      </c>
      <c r="I748" t="str">
        <f>IF($A748&lt;&gt;"",'All Cases - Enter Cases'!I748,"")</f>
        <v/>
      </c>
      <c r="J748" t="str">
        <f>IF($A748&lt;&gt;"",'All Cases - Enter Cases'!J748,"")</f>
        <v/>
      </c>
      <c r="K748" s="4" t="str">
        <f>IF($A748&lt;&gt;"",'All Cases - Enter Cases'!K748,"")</f>
        <v/>
      </c>
      <c r="L748" t="str">
        <f>IF($A748&lt;&gt;"",'All Cases - Enter Cases'!L748,"")</f>
        <v/>
      </c>
      <c r="M748" t="str">
        <f>IF($A748&lt;&gt;"",'All Cases - Enter Cases'!M748,"")</f>
        <v/>
      </c>
    </row>
    <row r="749" spans="1:13" x14ac:dyDescent="0.35">
      <c r="A749" s="10" t="str">
        <f>IF('All Cases - Enter Cases'!$F749="Sindh",'All Cases - Enter Cases'!A749,"")</f>
        <v/>
      </c>
      <c r="B749" t="str">
        <f>IF($A749&lt;&gt;"",'All Cases - Enter Cases'!B749,"")</f>
        <v/>
      </c>
      <c r="C749" t="str">
        <f>IF($A749&lt;&gt;"",'All Cases - Enter Cases'!C749,"")</f>
        <v/>
      </c>
      <c r="D749" t="str">
        <f>IF($A749&lt;&gt;"",'All Cases - Enter Cases'!D749,"")</f>
        <v/>
      </c>
      <c r="E749" t="str">
        <f>IF($A749&lt;&gt;"",'All Cases - Enter Cases'!E749,"")</f>
        <v/>
      </c>
      <c r="F749" t="str">
        <f>IF($A749&lt;&gt;"",'All Cases - Enter Cases'!F749,"")</f>
        <v/>
      </c>
      <c r="G749" t="str">
        <f>IF($A749&lt;&gt;"",'All Cases - Enter Cases'!G749,"")</f>
        <v/>
      </c>
      <c r="H749" t="str">
        <f>IF($A749&lt;&gt;"",'All Cases - Enter Cases'!H749,"")</f>
        <v/>
      </c>
      <c r="I749" t="str">
        <f>IF($A749&lt;&gt;"",'All Cases - Enter Cases'!I749,"")</f>
        <v/>
      </c>
      <c r="J749" t="str">
        <f>IF($A749&lt;&gt;"",'All Cases - Enter Cases'!J749,"")</f>
        <v/>
      </c>
      <c r="K749" s="4" t="str">
        <f>IF($A749&lt;&gt;"",'All Cases - Enter Cases'!K749,"")</f>
        <v/>
      </c>
      <c r="L749" t="str">
        <f>IF($A749&lt;&gt;"",'All Cases - Enter Cases'!L749,"")</f>
        <v/>
      </c>
      <c r="M749" t="str">
        <f>IF($A749&lt;&gt;"",'All Cases - Enter Cases'!M749,"")</f>
        <v/>
      </c>
    </row>
    <row r="750" spans="1:13" x14ac:dyDescent="0.35">
      <c r="A750" s="10" t="str">
        <f>IF('All Cases - Enter Cases'!$F750="Sindh",'All Cases - Enter Cases'!A750,"")</f>
        <v/>
      </c>
      <c r="B750" t="str">
        <f>IF($A750&lt;&gt;"",'All Cases - Enter Cases'!B750,"")</f>
        <v/>
      </c>
      <c r="C750" t="str">
        <f>IF($A750&lt;&gt;"",'All Cases - Enter Cases'!C750,"")</f>
        <v/>
      </c>
      <c r="D750" t="str">
        <f>IF($A750&lt;&gt;"",'All Cases - Enter Cases'!D750,"")</f>
        <v/>
      </c>
      <c r="E750" t="str">
        <f>IF($A750&lt;&gt;"",'All Cases - Enter Cases'!E750,"")</f>
        <v/>
      </c>
      <c r="F750" t="str">
        <f>IF($A750&lt;&gt;"",'All Cases - Enter Cases'!F750,"")</f>
        <v/>
      </c>
      <c r="G750" t="str">
        <f>IF($A750&lt;&gt;"",'All Cases - Enter Cases'!G750,"")</f>
        <v/>
      </c>
      <c r="H750" t="str">
        <f>IF($A750&lt;&gt;"",'All Cases - Enter Cases'!H750,"")</f>
        <v/>
      </c>
      <c r="I750" t="str">
        <f>IF($A750&lt;&gt;"",'All Cases - Enter Cases'!I750,"")</f>
        <v/>
      </c>
      <c r="J750" t="str">
        <f>IF($A750&lt;&gt;"",'All Cases - Enter Cases'!J750,"")</f>
        <v/>
      </c>
      <c r="K750" s="4" t="str">
        <f>IF($A750&lt;&gt;"",'All Cases - Enter Cases'!K750,"")</f>
        <v/>
      </c>
      <c r="L750" t="str">
        <f>IF($A750&lt;&gt;"",'All Cases - Enter Cases'!L750,"")</f>
        <v/>
      </c>
      <c r="M750" t="str">
        <f>IF($A750&lt;&gt;"",'All Cases - Enter Cases'!M750,"")</f>
        <v/>
      </c>
    </row>
    <row r="751" spans="1:13" x14ac:dyDescent="0.35">
      <c r="A751" s="10" t="str">
        <f>IF('All Cases - Enter Cases'!$F751="Sindh",'All Cases - Enter Cases'!A751,"")</f>
        <v/>
      </c>
      <c r="B751" t="str">
        <f>IF($A751&lt;&gt;"",'All Cases - Enter Cases'!B751,"")</f>
        <v/>
      </c>
      <c r="C751" t="str">
        <f>IF($A751&lt;&gt;"",'All Cases - Enter Cases'!C751,"")</f>
        <v/>
      </c>
      <c r="D751" t="str">
        <f>IF($A751&lt;&gt;"",'All Cases - Enter Cases'!D751,"")</f>
        <v/>
      </c>
      <c r="E751" t="str">
        <f>IF($A751&lt;&gt;"",'All Cases - Enter Cases'!E751,"")</f>
        <v/>
      </c>
      <c r="F751" t="str">
        <f>IF($A751&lt;&gt;"",'All Cases - Enter Cases'!F751,"")</f>
        <v/>
      </c>
      <c r="G751" t="str">
        <f>IF($A751&lt;&gt;"",'All Cases - Enter Cases'!G751,"")</f>
        <v/>
      </c>
      <c r="H751" t="str">
        <f>IF($A751&lt;&gt;"",'All Cases - Enter Cases'!H751,"")</f>
        <v/>
      </c>
      <c r="I751" t="str">
        <f>IF($A751&lt;&gt;"",'All Cases - Enter Cases'!I751,"")</f>
        <v/>
      </c>
      <c r="J751" t="str">
        <f>IF($A751&lt;&gt;"",'All Cases - Enter Cases'!J751,"")</f>
        <v/>
      </c>
      <c r="K751" s="4" t="str">
        <f>IF($A751&lt;&gt;"",'All Cases - Enter Cases'!K751,"")</f>
        <v/>
      </c>
      <c r="L751" t="str">
        <f>IF($A751&lt;&gt;"",'All Cases - Enter Cases'!L751,"")</f>
        <v/>
      </c>
      <c r="M751" t="str">
        <f>IF($A751&lt;&gt;"",'All Cases - Enter Cases'!M751,"")</f>
        <v/>
      </c>
    </row>
    <row r="752" spans="1:13" x14ac:dyDescent="0.35">
      <c r="A752" s="10" t="str">
        <f>IF('All Cases - Enter Cases'!$F752="Sindh",'All Cases - Enter Cases'!A752,"")</f>
        <v/>
      </c>
      <c r="B752" t="str">
        <f>IF($A752&lt;&gt;"",'All Cases - Enter Cases'!B752,"")</f>
        <v/>
      </c>
      <c r="C752" t="str">
        <f>IF($A752&lt;&gt;"",'All Cases - Enter Cases'!C752,"")</f>
        <v/>
      </c>
      <c r="D752" t="str">
        <f>IF($A752&lt;&gt;"",'All Cases - Enter Cases'!D752,"")</f>
        <v/>
      </c>
      <c r="E752" t="str">
        <f>IF($A752&lt;&gt;"",'All Cases - Enter Cases'!E752,"")</f>
        <v/>
      </c>
      <c r="F752" t="str">
        <f>IF($A752&lt;&gt;"",'All Cases - Enter Cases'!F752,"")</f>
        <v/>
      </c>
      <c r="G752" t="str">
        <f>IF($A752&lt;&gt;"",'All Cases - Enter Cases'!G752,"")</f>
        <v/>
      </c>
      <c r="H752" t="str">
        <f>IF($A752&lt;&gt;"",'All Cases - Enter Cases'!H752,"")</f>
        <v/>
      </c>
      <c r="I752" t="str">
        <f>IF($A752&lt;&gt;"",'All Cases - Enter Cases'!I752,"")</f>
        <v/>
      </c>
      <c r="J752" t="str">
        <f>IF($A752&lt;&gt;"",'All Cases - Enter Cases'!J752,"")</f>
        <v/>
      </c>
      <c r="K752" s="4" t="str">
        <f>IF($A752&lt;&gt;"",'All Cases - Enter Cases'!K752,"")</f>
        <v/>
      </c>
      <c r="L752" t="str">
        <f>IF($A752&lt;&gt;"",'All Cases - Enter Cases'!L752,"")</f>
        <v/>
      </c>
      <c r="M752" t="str">
        <f>IF($A752&lt;&gt;"",'All Cases - Enter Cases'!M752,"")</f>
        <v/>
      </c>
    </row>
    <row r="753" spans="1:13" x14ac:dyDescent="0.35">
      <c r="A753" s="10" t="str">
        <f>IF('All Cases - Enter Cases'!$F753="Sindh",'All Cases - Enter Cases'!A753,"")</f>
        <v/>
      </c>
      <c r="B753" t="str">
        <f>IF($A753&lt;&gt;"",'All Cases - Enter Cases'!B753,"")</f>
        <v/>
      </c>
      <c r="C753" t="str">
        <f>IF($A753&lt;&gt;"",'All Cases - Enter Cases'!C753,"")</f>
        <v/>
      </c>
      <c r="D753" t="str">
        <f>IF($A753&lt;&gt;"",'All Cases - Enter Cases'!D753,"")</f>
        <v/>
      </c>
      <c r="E753" t="str">
        <f>IF($A753&lt;&gt;"",'All Cases - Enter Cases'!E753,"")</f>
        <v/>
      </c>
      <c r="F753" t="str">
        <f>IF($A753&lt;&gt;"",'All Cases - Enter Cases'!F753,"")</f>
        <v/>
      </c>
      <c r="G753" t="str">
        <f>IF($A753&lt;&gt;"",'All Cases - Enter Cases'!G753,"")</f>
        <v/>
      </c>
      <c r="H753" t="str">
        <f>IF($A753&lt;&gt;"",'All Cases - Enter Cases'!H753,"")</f>
        <v/>
      </c>
      <c r="I753" t="str">
        <f>IF($A753&lt;&gt;"",'All Cases - Enter Cases'!I753,"")</f>
        <v/>
      </c>
      <c r="J753" t="str">
        <f>IF($A753&lt;&gt;"",'All Cases - Enter Cases'!J753,"")</f>
        <v/>
      </c>
      <c r="K753" s="4" t="str">
        <f>IF($A753&lt;&gt;"",'All Cases - Enter Cases'!K753,"")</f>
        <v/>
      </c>
      <c r="L753" t="str">
        <f>IF($A753&lt;&gt;"",'All Cases - Enter Cases'!L753,"")</f>
        <v/>
      </c>
      <c r="M753" t="str">
        <f>IF($A753&lt;&gt;"",'All Cases - Enter Cases'!M753,"")</f>
        <v/>
      </c>
    </row>
    <row r="754" spans="1:13" x14ac:dyDescent="0.35">
      <c r="A754" s="10" t="str">
        <f>IF('All Cases - Enter Cases'!$F754="Sindh",'All Cases - Enter Cases'!A754,"")</f>
        <v/>
      </c>
      <c r="B754" t="str">
        <f>IF($A754&lt;&gt;"",'All Cases - Enter Cases'!B754,"")</f>
        <v/>
      </c>
      <c r="C754" t="str">
        <f>IF($A754&lt;&gt;"",'All Cases - Enter Cases'!C754,"")</f>
        <v/>
      </c>
      <c r="D754" t="str">
        <f>IF($A754&lt;&gt;"",'All Cases - Enter Cases'!D754,"")</f>
        <v/>
      </c>
      <c r="E754" t="str">
        <f>IF($A754&lt;&gt;"",'All Cases - Enter Cases'!E754,"")</f>
        <v/>
      </c>
      <c r="F754" t="str">
        <f>IF($A754&lt;&gt;"",'All Cases - Enter Cases'!F754,"")</f>
        <v/>
      </c>
      <c r="G754" t="str">
        <f>IF($A754&lt;&gt;"",'All Cases - Enter Cases'!G754,"")</f>
        <v/>
      </c>
      <c r="H754" t="str">
        <f>IF($A754&lt;&gt;"",'All Cases - Enter Cases'!H754,"")</f>
        <v/>
      </c>
      <c r="I754" t="str">
        <f>IF($A754&lt;&gt;"",'All Cases - Enter Cases'!I754,"")</f>
        <v/>
      </c>
      <c r="J754" t="str">
        <f>IF($A754&lt;&gt;"",'All Cases - Enter Cases'!J754,"")</f>
        <v/>
      </c>
      <c r="K754" s="4" t="str">
        <f>IF($A754&lt;&gt;"",'All Cases - Enter Cases'!K754,"")</f>
        <v/>
      </c>
      <c r="L754" t="str">
        <f>IF($A754&lt;&gt;"",'All Cases - Enter Cases'!L754,"")</f>
        <v/>
      </c>
      <c r="M754" t="str">
        <f>IF($A754&lt;&gt;"",'All Cases - Enter Cases'!M754,"")</f>
        <v/>
      </c>
    </row>
    <row r="755" spans="1:13" x14ac:dyDescent="0.35">
      <c r="A755" s="10" t="str">
        <f>IF('All Cases - Enter Cases'!$F755="Sindh",'All Cases - Enter Cases'!A755,"")</f>
        <v/>
      </c>
      <c r="B755" t="str">
        <f>IF($A755&lt;&gt;"",'All Cases - Enter Cases'!B755,"")</f>
        <v/>
      </c>
      <c r="C755" t="str">
        <f>IF($A755&lt;&gt;"",'All Cases - Enter Cases'!C755,"")</f>
        <v/>
      </c>
      <c r="D755" t="str">
        <f>IF($A755&lt;&gt;"",'All Cases - Enter Cases'!D755,"")</f>
        <v/>
      </c>
      <c r="E755" t="str">
        <f>IF($A755&lt;&gt;"",'All Cases - Enter Cases'!E755,"")</f>
        <v/>
      </c>
      <c r="F755" t="str">
        <f>IF($A755&lt;&gt;"",'All Cases - Enter Cases'!F755,"")</f>
        <v/>
      </c>
      <c r="G755" t="str">
        <f>IF($A755&lt;&gt;"",'All Cases - Enter Cases'!G755,"")</f>
        <v/>
      </c>
      <c r="H755" t="str">
        <f>IF($A755&lt;&gt;"",'All Cases - Enter Cases'!H755,"")</f>
        <v/>
      </c>
      <c r="I755" t="str">
        <f>IF($A755&lt;&gt;"",'All Cases - Enter Cases'!I755,"")</f>
        <v/>
      </c>
      <c r="J755" t="str">
        <f>IF($A755&lt;&gt;"",'All Cases - Enter Cases'!J755,"")</f>
        <v/>
      </c>
      <c r="K755" s="4" t="str">
        <f>IF($A755&lt;&gt;"",'All Cases - Enter Cases'!K755,"")</f>
        <v/>
      </c>
      <c r="L755" t="str">
        <f>IF($A755&lt;&gt;"",'All Cases - Enter Cases'!L755,"")</f>
        <v/>
      </c>
      <c r="M755" t="str">
        <f>IF($A755&lt;&gt;"",'All Cases - Enter Cases'!M755,"")</f>
        <v/>
      </c>
    </row>
    <row r="756" spans="1:13" x14ac:dyDescent="0.35">
      <c r="A756" s="10" t="str">
        <f>IF('All Cases - Enter Cases'!$F756="Sindh",'All Cases - Enter Cases'!A756,"")</f>
        <v/>
      </c>
      <c r="B756" t="str">
        <f>IF($A756&lt;&gt;"",'All Cases - Enter Cases'!B756,"")</f>
        <v/>
      </c>
      <c r="C756" t="str">
        <f>IF($A756&lt;&gt;"",'All Cases - Enter Cases'!C756,"")</f>
        <v/>
      </c>
      <c r="D756" t="str">
        <f>IF($A756&lt;&gt;"",'All Cases - Enter Cases'!D756,"")</f>
        <v/>
      </c>
      <c r="E756" t="str">
        <f>IF($A756&lt;&gt;"",'All Cases - Enter Cases'!E756,"")</f>
        <v/>
      </c>
      <c r="F756" t="str">
        <f>IF($A756&lt;&gt;"",'All Cases - Enter Cases'!F756,"")</f>
        <v/>
      </c>
      <c r="G756" t="str">
        <f>IF($A756&lt;&gt;"",'All Cases - Enter Cases'!G756,"")</f>
        <v/>
      </c>
      <c r="H756" t="str">
        <f>IF($A756&lt;&gt;"",'All Cases - Enter Cases'!H756,"")</f>
        <v/>
      </c>
      <c r="I756" t="str">
        <f>IF($A756&lt;&gt;"",'All Cases - Enter Cases'!I756,"")</f>
        <v/>
      </c>
      <c r="J756" t="str">
        <f>IF($A756&lt;&gt;"",'All Cases - Enter Cases'!J756,"")</f>
        <v/>
      </c>
      <c r="K756" s="4" t="str">
        <f>IF($A756&lt;&gt;"",'All Cases - Enter Cases'!K756,"")</f>
        <v/>
      </c>
      <c r="L756" t="str">
        <f>IF($A756&lt;&gt;"",'All Cases - Enter Cases'!L756,"")</f>
        <v/>
      </c>
      <c r="M756" t="str">
        <f>IF($A756&lt;&gt;"",'All Cases - Enter Cases'!M756,"")</f>
        <v/>
      </c>
    </row>
    <row r="757" spans="1:13" x14ac:dyDescent="0.35">
      <c r="A757" s="10" t="str">
        <f>IF('All Cases - Enter Cases'!$F757="Sindh",'All Cases - Enter Cases'!A757,"")</f>
        <v/>
      </c>
      <c r="B757" t="str">
        <f>IF($A757&lt;&gt;"",'All Cases - Enter Cases'!B757,"")</f>
        <v/>
      </c>
      <c r="C757" t="str">
        <f>IF($A757&lt;&gt;"",'All Cases - Enter Cases'!C757,"")</f>
        <v/>
      </c>
      <c r="D757" t="str">
        <f>IF($A757&lt;&gt;"",'All Cases - Enter Cases'!D757,"")</f>
        <v/>
      </c>
      <c r="E757" t="str">
        <f>IF($A757&lt;&gt;"",'All Cases - Enter Cases'!E757,"")</f>
        <v/>
      </c>
      <c r="F757" t="str">
        <f>IF($A757&lt;&gt;"",'All Cases - Enter Cases'!F757,"")</f>
        <v/>
      </c>
      <c r="G757" t="str">
        <f>IF($A757&lt;&gt;"",'All Cases - Enter Cases'!G757,"")</f>
        <v/>
      </c>
      <c r="H757" t="str">
        <f>IF($A757&lt;&gt;"",'All Cases - Enter Cases'!H757,"")</f>
        <v/>
      </c>
      <c r="I757" t="str">
        <f>IF($A757&lt;&gt;"",'All Cases - Enter Cases'!I757,"")</f>
        <v/>
      </c>
      <c r="J757" t="str">
        <f>IF($A757&lt;&gt;"",'All Cases - Enter Cases'!J757,"")</f>
        <v/>
      </c>
      <c r="K757" s="4" t="str">
        <f>IF($A757&lt;&gt;"",'All Cases - Enter Cases'!K757,"")</f>
        <v/>
      </c>
      <c r="L757" t="str">
        <f>IF($A757&lt;&gt;"",'All Cases - Enter Cases'!L757,"")</f>
        <v/>
      </c>
      <c r="M757" t="str">
        <f>IF($A757&lt;&gt;"",'All Cases - Enter Cases'!M757,"")</f>
        <v/>
      </c>
    </row>
    <row r="758" spans="1:13" x14ac:dyDescent="0.35">
      <c r="A758" s="10" t="str">
        <f>IF('All Cases - Enter Cases'!$F758="Sindh",'All Cases - Enter Cases'!A758,"")</f>
        <v/>
      </c>
      <c r="B758" t="str">
        <f>IF($A758&lt;&gt;"",'All Cases - Enter Cases'!B758,"")</f>
        <v/>
      </c>
      <c r="C758" t="str">
        <f>IF($A758&lt;&gt;"",'All Cases - Enter Cases'!C758,"")</f>
        <v/>
      </c>
      <c r="D758" t="str">
        <f>IF($A758&lt;&gt;"",'All Cases - Enter Cases'!D758,"")</f>
        <v/>
      </c>
      <c r="E758" t="str">
        <f>IF($A758&lt;&gt;"",'All Cases - Enter Cases'!E758,"")</f>
        <v/>
      </c>
      <c r="F758" t="str">
        <f>IF($A758&lt;&gt;"",'All Cases - Enter Cases'!F758,"")</f>
        <v/>
      </c>
      <c r="G758" t="str">
        <f>IF($A758&lt;&gt;"",'All Cases - Enter Cases'!G758,"")</f>
        <v/>
      </c>
      <c r="H758" t="str">
        <f>IF($A758&lt;&gt;"",'All Cases - Enter Cases'!H758,"")</f>
        <v/>
      </c>
      <c r="I758" t="str">
        <f>IF($A758&lt;&gt;"",'All Cases - Enter Cases'!I758,"")</f>
        <v/>
      </c>
      <c r="J758" t="str">
        <f>IF($A758&lt;&gt;"",'All Cases - Enter Cases'!J758,"")</f>
        <v/>
      </c>
      <c r="K758" s="4" t="str">
        <f>IF($A758&lt;&gt;"",'All Cases - Enter Cases'!K758,"")</f>
        <v/>
      </c>
      <c r="L758" t="str">
        <f>IF($A758&lt;&gt;"",'All Cases - Enter Cases'!L758,"")</f>
        <v/>
      </c>
      <c r="M758" t="str">
        <f>IF($A758&lt;&gt;"",'All Cases - Enter Cases'!M758,"")</f>
        <v/>
      </c>
    </row>
    <row r="759" spans="1:13" x14ac:dyDescent="0.35">
      <c r="A759" s="10" t="str">
        <f>IF('All Cases - Enter Cases'!$F759="Sindh",'All Cases - Enter Cases'!A759,"")</f>
        <v/>
      </c>
      <c r="B759" t="str">
        <f>IF($A759&lt;&gt;"",'All Cases - Enter Cases'!B759,"")</f>
        <v/>
      </c>
      <c r="C759" t="str">
        <f>IF($A759&lt;&gt;"",'All Cases - Enter Cases'!C759,"")</f>
        <v/>
      </c>
      <c r="D759" t="str">
        <f>IF($A759&lt;&gt;"",'All Cases - Enter Cases'!D759,"")</f>
        <v/>
      </c>
      <c r="E759" t="str">
        <f>IF($A759&lt;&gt;"",'All Cases - Enter Cases'!E759,"")</f>
        <v/>
      </c>
      <c r="F759" t="str">
        <f>IF($A759&lt;&gt;"",'All Cases - Enter Cases'!F759,"")</f>
        <v/>
      </c>
      <c r="G759" t="str">
        <f>IF($A759&lt;&gt;"",'All Cases - Enter Cases'!G759,"")</f>
        <v/>
      </c>
      <c r="H759" t="str">
        <f>IF($A759&lt;&gt;"",'All Cases - Enter Cases'!H759,"")</f>
        <v/>
      </c>
      <c r="I759" t="str">
        <f>IF($A759&lt;&gt;"",'All Cases - Enter Cases'!I759,"")</f>
        <v/>
      </c>
      <c r="J759" t="str">
        <f>IF($A759&lt;&gt;"",'All Cases - Enter Cases'!J759,"")</f>
        <v/>
      </c>
      <c r="K759" s="4" t="str">
        <f>IF($A759&lt;&gt;"",'All Cases - Enter Cases'!K759,"")</f>
        <v/>
      </c>
      <c r="L759" t="str">
        <f>IF($A759&lt;&gt;"",'All Cases - Enter Cases'!L759,"")</f>
        <v/>
      </c>
      <c r="M759" t="str">
        <f>IF($A759&lt;&gt;"",'All Cases - Enter Cases'!M759,"")</f>
        <v/>
      </c>
    </row>
    <row r="760" spans="1:13" x14ac:dyDescent="0.35">
      <c r="A760" s="10" t="str">
        <f>IF('All Cases - Enter Cases'!$F760="Sindh",'All Cases - Enter Cases'!A760,"")</f>
        <v/>
      </c>
      <c r="B760" t="str">
        <f>IF($A760&lt;&gt;"",'All Cases - Enter Cases'!B760,"")</f>
        <v/>
      </c>
      <c r="C760" t="str">
        <f>IF($A760&lt;&gt;"",'All Cases - Enter Cases'!C760,"")</f>
        <v/>
      </c>
      <c r="D760" t="str">
        <f>IF($A760&lt;&gt;"",'All Cases - Enter Cases'!D760,"")</f>
        <v/>
      </c>
      <c r="E760" t="str">
        <f>IF($A760&lt;&gt;"",'All Cases - Enter Cases'!E760,"")</f>
        <v/>
      </c>
      <c r="F760" t="str">
        <f>IF($A760&lt;&gt;"",'All Cases - Enter Cases'!F760,"")</f>
        <v/>
      </c>
      <c r="G760" t="str">
        <f>IF($A760&lt;&gt;"",'All Cases - Enter Cases'!G760,"")</f>
        <v/>
      </c>
      <c r="H760" t="str">
        <f>IF($A760&lt;&gt;"",'All Cases - Enter Cases'!H760,"")</f>
        <v/>
      </c>
      <c r="I760" t="str">
        <f>IF($A760&lt;&gt;"",'All Cases - Enter Cases'!I760,"")</f>
        <v/>
      </c>
      <c r="J760" t="str">
        <f>IF($A760&lt;&gt;"",'All Cases - Enter Cases'!J760,"")</f>
        <v/>
      </c>
      <c r="K760" s="4" t="str">
        <f>IF($A760&lt;&gt;"",'All Cases - Enter Cases'!K760,"")</f>
        <v/>
      </c>
      <c r="L760" t="str">
        <f>IF($A760&lt;&gt;"",'All Cases - Enter Cases'!L760,"")</f>
        <v/>
      </c>
      <c r="M760" t="str">
        <f>IF($A760&lt;&gt;"",'All Cases - Enter Cases'!M760,"")</f>
        <v/>
      </c>
    </row>
    <row r="761" spans="1:13" x14ac:dyDescent="0.35">
      <c r="A761" s="10" t="str">
        <f>IF('All Cases - Enter Cases'!$F761="Sindh",'All Cases - Enter Cases'!A761,"")</f>
        <v/>
      </c>
      <c r="B761" t="str">
        <f>IF($A761&lt;&gt;"",'All Cases - Enter Cases'!B761,"")</f>
        <v/>
      </c>
      <c r="C761" t="str">
        <f>IF($A761&lt;&gt;"",'All Cases - Enter Cases'!C761,"")</f>
        <v/>
      </c>
      <c r="D761" t="str">
        <f>IF($A761&lt;&gt;"",'All Cases - Enter Cases'!D761,"")</f>
        <v/>
      </c>
      <c r="E761" t="str">
        <f>IF($A761&lt;&gt;"",'All Cases - Enter Cases'!E761,"")</f>
        <v/>
      </c>
      <c r="F761" t="str">
        <f>IF($A761&lt;&gt;"",'All Cases - Enter Cases'!F761,"")</f>
        <v/>
      </c>
      <c r="G761" t="str">
        <f>IF($A761&lt;&gt;"",'All Cases - Enter Cases'!G761,"")</f>
        <v/>
      </c>
      <c r="H761" t="str">
        <f>IF($A761&lt;&gt;"",'All Cases - Enter Cases'!H761,"")</f>
        <v/>
      </c>
      <c r="I761" t="str">
        <f>IF($A761&lt;&gt;"",'All Cases - Enter Cases'!I761,"")</f>
        <v/>
      </c>
      <c r="J761" t="str">
        <f>IF($A761&lt;&gt;"",'All Cases - Enter Cases'!J761,"")</f>
        <v/>
      </c>
      <c r="K761" s="4" t="str">
        <f>IF($A761&lt;&gt;"",'All Cases - Enter Cases'!K761,"")</f>
        <v/>
      </c>
      <c r="L761" t="str">
        <f>IF($A761&lt;&gt;"",'All Cases - Enter Cases'!L761,"")</f>
        <v/>
      </c>
      <c r="M761" t="str">
        <f>IF($A761&lt;&gt;"",'All Cases - Enter Cases'!M761,"")</f>
        <v/>
      </c>
    </row>
    <row r="762" spans="1:13" x14ac:dyDescent="0.35">
      <c r="A762" s="10" t="str">
        <f>IF('All Cases - Enter Cases'!$F762="Sindh",'All Cases - Enter Cases'!A762,"")</f>
        <v/>
      </c>
      <c r="B762" t="str">
        <f>IF($A762&lt;&gt;"",'All Cases - Enter Cases'!B762,"")</f>
        <v/>
      </c>
      <c r="C762" t="str">
        <f>IF($A762&lt;&gt;"",'All Cases - Enter Cases'!C762,"")</f>
        <v/>
      </c>
      <c r="D762" t="str">
        <f>IF($A762&lt;&gt;"",'All Cases - Enter Cases'!D762,"")</f>
        <v/>
      </c>
      <c r="E762" t="str">
        <f>IF($A762&lt;&gt;"",'All Cases - Enter Cases'!E762,"")</f>
        <v/>
      </c>
      <c r="F762" t="str">
        <f>IF($A762&lt;&gt;"",'All Cases - Enter Cases'!F762,"")</f>
        <v/>
      </c>
      <c r="G762" t="str">
        <f>IF($A762&lt;&gt;"",'All Cases - Enter Cases'!G762,"")</f>
        <v/>
      </c>
      <c r="H762" t="str">
        <f>IF($A762&lt;&gt;"",'All Cases - Enter Cases'!H762,"")</f>
        <v/>
      </c>
      <c r="I762" t="str">
        <f>IF($A762&lt;&gt;"",'All Cases - Enter Cases'!I762,"")</f>
        <v/>
      </c>
      <c r="J762" t="str">
        <f>IF($A762&lt;&gt;"",'All Cases - Enter Cases'!J762,"")</f>
        <v/>
      </c>
      <c r="K762" s="4" t="str">
        <f>IF($A762&lt;&gt;"",'All Cases - Enter Cases'!K762,"")</f>
        <v/>
      </c>
      <c r="L762" t="str">
        <f>IF($A762&lt;&gt;"",'All Cases - Enter Cases'!L762,"")</f>
        <v/>
      </c>
      <c r="M762" t="str">
        <f>IF($A762&lt;&gt;"",'All Cases - Enter Cases'!M762,"")</f>
        <v/>
      </c>
    </row>
    <row r="763" spans="1:13" x14ac:dyDescent="0.35">
      <c r="A763" s="10" t="str">
        <f>IF('All Cases - Enter Cases'!$F763="Sindh",'All Cases - Enter Cases'!A763,"")</f>
        <v/>
      </c>
      <c r="B763" t="str">
        <f>IF($A763&lt;&gt;"",'All Cases - Enter Cases'!B763,"")</f>
        <v/>
      </c>
      <c r="C763" t="str">
        <f>IF($A763&lt;&gt;"",'All Cases - Enter Cases'!C763,"")</f>
        <v/>
      </c>
      <c r="D763" t="str">
        <f>IF($A763&lt;&gt;"",'All Cases - Enter Cases'!D763,"")</f>
        <v/>
      </c>
      <c r="E763" t="str">
        <f>IF($A763&lt;&gt;"",'All Cases - Enter Cases'!E763,"")</f>
        <v/>
      </c>
      <c r="F763" t="str">
        <f>IF($A763&lt;&gt;"",'All Cases - Enter Cases'!F763,"")</f>
        <v/>
      </c>
      <c r="G763" t="str">
        <f>IF($A763&lt;&gt;"",'All Cases - Enter Cases'!G763,"")</f>
        <v/>
      </c>
      <c r="H763" t="str">
        <f>IF($A763&lt;&gt;"",'All Cases - Enter Cases'!H763,"")</f>
        <v/>
      </c>
      <c r="I763" t="str">
        <f>IF($A763&lt;&gt;"",'All Cases - Enter Cases'!I763,"")</f>
        <v/>
      </c>
      <c r="J763" t="str">
        <f>IF($A763&lt;&gt;"",'All Cases - Enter Cases'!J763,"")</f>
        <v/>
      </c>
      <c r="K763" s="4" t="str">
        <f>IF($A763&lt;&gt;"",'All Cases - Enter Cases'!K763,"")</f>
        <v/>
      </c>
      <c r="L763" t="str">
        <f>IF($A763&lt;&gt;"",'All Cases - Enter Cases'!L763,"")</f>
        <v/>
      </c>
      <c r="M763" t="str">
        <f>IF($A763&lt;&gt;"",'All Cases - Enter Cases'!M763,"")</f>
        <v/>
      </c>
    </row>
    <row r="764" spans="1:13" x14ac:dyDescent="0.35">
      <c r="A764" s="10" t="str">
        <f>IF('All Cases - Enter Cases'!$F764="Sindh",'All Cases - Enter Cases'!A764,"")</f>
        <v/>
      </c>
      <c r="B764" t="str">
        <f>IF($A764&lt;&gt;"",'All Cases - Enter Cases'!B764,"")</f>
        <v/>
      </c>
      <c r="C764" t="str">
        <f>IF($A764&lt;&gt;"",'All Cases - Enter Cases'!C764,"")</f>
        <v/>
      </c>
      <c r="D764" t="str">
        <f>IF($A764&lt;&gt;"",'All Cases - Enter Cases'!D764,"")</f>
        <v/>
      </c>
      <c r="E764" t="str">
        <f>IF($A764&lt;&gt;"",'All Cases - Enter Cases'!E764,"")</f>
        <v/>
      </c>
      <c r="F764" t="str">
        <f>IF($A764&lt;&gt;"",'All Cases - Enter Cases'!F764,"")</f>
        <v/>
      </c>
      <c r="G764" t="str">
        <f>IF($A764&lt;&gt;"",'All Cases - Enter Cases'!G764,"")</f>
        <v/>
      </c>
      <c r="H764" t="str">
        <f>IF($A764&lt;&gt;"",'All Cases - Enter Cases'!H764,"")</f>
        <v/>
      </c>
      <c r="I764" t="str">
        <f>IF($A764&lt;&gt;"",'All Cases - Enter Cases'!I764,"")</f>
        <v/>
      </c>
      <c r="J764" t="str">
        <f>IF($A764&lt;&gt;"",'All Cases - Enter Cases'!J764,"")</f>
        <v/>
      </c>
      <c r="K764" s="4" t="str">
        <f>IF($A764&lt;&gt;"",'All Cases - Enter Cases'!K764,"")</f>
        <v/>
      </c>
      <c r="L764" t="str">
        <f>IF($A764&lt;&gt;"",'All Cases - Enter Cases'!L764,"")</f>
        <v/>
      </c>
      <c r="M764" t="str">
        <f>IF($A764&lt;&gt;"",'All Cases - Enter Cases'!M764,"")</f>
        <v/>
      </c>
    </row>
    <row r="765" spans="1:13" x14ac:dyDescent="0.35">
      <c r="A765" s="10" t="str">
        <f>IF('All Cases - Enter Cases'!$F765="Sindh",'All Cases - Enter Cases'!A765,"")</f>
        <v/>
      </c>
      <c r="B765" t="str">
        <f>IF($A765&lt;&gt;"",'All Cases - Enter Cases'!B765,"")</f>
        <v/>
      </c>
      <c r="C765" t="str">
        <f>IF($A765&lt;&gt;"",'All Cases - Enter Cases'!C765,"")</f>
        <v/>
      </c>
      <c r="D765" t="str">
        <f>IF($A765&lt;&gt;"",'All Cases - Enter Cases'!D765,"")</f>
        <v/>
      </c>
      <c r="E765" t="str">
        <f>IF($A765&lt;&gt;"",'All Cases - Enter Cases'!E765,"")</f>
        <v/>
      </c>
      <c r="F765" t="str">
        <f>IF($A765&lt;&gt;"",'All Cases - Enter Cases'!F765,"")</f>
        <v/>
      </c>
      <c r="G765" t="str">
        <f>IF($A765&lt;&gt;"",'All Cases - Enter Cases'!G765,"")</f>
        <v/>
      </c>
      <c r="H765" t="str">
        <f>IF($A765&lt;&gt;"",'All Cases - Enter Cases'!H765,"")</f>
        <v/>
      </c>
      <c r="I765" t="str">
        <f>IF($A765&lt;&gt;"",'All Cases - Enter Cases'!I765,"")</f>
        <v/>
      </c>
      <c r="J765" t="str">
        <f>IF($A765&lt;&gt;"",'All Cases - Enter Cases'!J765,"")</f>
        <v/>
      </c>
      <c r="K765" s="4" t="str">
        <f>IF($A765&lt;&gt;"",'All Cases - Enter Cases'!K765,"")</f>
        <v/>
      </c>
      <c r="L765" t="str">
        <f>IF($A765&lt;&gt;"",'All Cases - Enter Cases'!L765,"")</f>
        <v/>
      </c>
      <c r="M765" t="str">
        <f>IF($A765&lt;&gt;"",'All Cases - Enter Cases'!M765,"")</f>
        <v/>
      </c>
    </row>
    <row r="766" spans="1:13" x14ac:dyDescent="0.35">
      <c r="A766" s="10" t="str">
        <f>IF('All Cases - Enter Cases'!$F766="Sindh",'All Cases - Enter Cases'!A766,"")</f>
        <v/>
      </c>
      <c r="B766" t="str">
        <f>IF($A766&lt;&gt;"",'All Cases - Enter Cases'!B766,"")</f>
        <v/>
      </c>
      <c r="C766" t="str">
        <f>IF($A766&lt;&gt;"",'All Cases - Enter Cases'!C766,"")</f>
        <v/>
      </c>
      <c r="D766" t="str">
        <f>IF($A766&lt;&gt;"",'All Cases - Enter Cases'!D766,"")</f>
        <v/>
      </c>
      <c r="E766" t="str">
        <f>IF($A766&lt;&gt;"",'All Cases - Enter Cases'!E766,"")</f>
        <v/>
      </c>
      <c r="F766" t="str">
        <f>IF($A766&lt;&gt;"",'All Cases - Enter Cases'!F766,"")</f>
        <v/>
      </c>
      <c r="G766" t="str">
        <f>IF($A766&lt;&gt;"",'All Cases - Enter Cases'!G766,"")</f>
        <v/>
      </c>
      <c r="H766" t="str">
        <f>IF($A766&lt;&gt;"",'All Cases - Enter Cases'!H766,"")</f>
        <v/>
      </c>
      <c r="I766" t="str">
        <f>IF($A766&lt;&gt;"",'All Cases - Enter Cases'!I766,"")</f>
        <v/>
      </c>
      <c r="J766" t="str">
        <f>IF($A766&lt;&gt;"",'All Cases - Enter Cases'!J766,"")</f>
        <v/>
      </c>
      <c r="K766" s="4" t="str">
        <f>IF($A766&lt;&gt;"",'All Cases - Enter Cases'!K766,"")</f>
        <v/>
      </c>
      <c r="L766" t="str">
        <f>IF($A766&lt;&gt;"",'All Cases - Enter Cases'!L766,"")</f>
        <v/>
      </c>
      <c r="M766" t="str">
        <f>IF($A766&lt;&gt;"",'All Cases - Enter Cases'!M766,"")</f>
        <v/>
      </c>
    </row>
    <row r="767" spans="1:13" x14ac:dyDescent="0.35">
      <c r="A767" s="10" t="str">
        <f>IF('All Cases - Enter Cases'!$F767="Sindh",'All Cases - Enter Cases'!A767,"")</f>
        <v/>
      </c>
      <c r="B767" t="str">
        <f>IF($A767&lt;&gt;"",'All Cases - Enter Cases'!B767,"")</f>
        <v/>
      </c>
      <c r="C767" t="str">
        <f>IF($A767&lt;&gt;"",'All Cases - Enter Cases'!C767,"")</f>
        <v/>
      </c>
      <c r="D767" t="str">
        <f>IF($A767&lt;&gt;"",'All Cases - Enter Cases'!D767,"")</f>
        <v/>
      </c>
      <c r="E767" t="str">
        <f>IF($A767&lt;&gt;"",'All Cases - Enter Cases'!E767,"")</f>
        <v/>
      </c>
      <c r="F767" t="str">
        <f>IF($A767&lt;&gt;"",'All Cases - Enter Cases'!F767,"")</f>
        <v/>
      </c>
      <c r="G767" t="str">
        <f>IF($A767&lt;&gt;"",'All Cases - Enter Cases'!G767,"")</f>
        <v/>
      </c>
      <c r="H767" t="str">
        <f>IF($A767&lt;&gt;"",'All Cases - Enter Cases'!H767,"")</f>
        <v/>
      </c>
      <c r="I767" t="str">
        <f>IF($A767&lt;&gt;"",'All Cases - Enter Cases'!I767,"")</f>
        <v/>
      </c>
      <c r="J767" t="str">
        <f>IF($A767&lt;&gt;"",'All Cases - Enter Cases'!J767,"")</f>
        <v/>
      </c>
      <c r="K767" s="4" t="str">
        <f>IF($A767&lt;&gt;"",'All Cases - Enter Cases'!K767,"")</f>
        <v/>
      </c>
      <c r="L767" t="str">
        <f>IF($A767&lt;&gt;"",'All Cases - Enter Cases'!L767,"")</f>
        <v/>
      </c>
      <c r="M767" t="str">
        <f>IF($A767&lt;&gt;"",'All Cases - Enter Cases'!M767,"")</f>
        <v/>
      </c>
    </row>
    <row r="768" spans="1:13" x14ac:dyDescent="0.35">
      <c r="A768" s="10" t="str">
        <f>IF('All Cases - Enter Cases'!$F768="Sindh",'All Cases - Enter Cases'!A768,"")</f>
        <v/>
      </c>
      <c r="B768" t="str">
        <f>IF($A768&lt;&gt;"",'All Cases - Enter Cases'!B768,"")</f>
        <v/>
      </c>
      <c r="C768" t="str">
        <f>IF($A768&lt;&gt;"",'All Cases - Enter Cases'!C768,"")</f>
        <v/>
      </c>
      <c r="D768" t="str">
        <f>IF($A768&lt;&gt;"",'All Cases - Enter Cases'!D768,"")</f>
        <v/>
      </c>
      <c r="E768" t="str">
        <f>IF($A768&lt;&gt;"",'All Cases - Enter Cases'!E768,"")</f>
        <v/>
      </c>
      <c r="F768" t="str">
        <f>IF($A768&lt;&gt;"",'All Cases - Enter Cases'!F768,"")</f>
        <v/>
      </c>
      <c r="G768" t="str">
        <f>IF($A768&lt;&gt;"",'All Cases - Enter Cases'!G768,"")</f>
        <v/>
      </c>
      <c r="H768" t="str">
        <f>IF($A768&lt;&gt;"",'All Cases - Enter Cases'!H768,"")</f>
        <v/>
      </c>
      <c r="I768" t="str">
        <f>IF($A768&lt;&gt;"",'All Cases - Enter Cases'!I768,"")</f>
        <v/>
      </c>
      <c r="J768" t="str">
        <f>IF($A768&lt;&gt;"",'All Cases - Enter Cases'!J768,"")</f>
        <v/>
      </c>
      <c r="K768" s="4" t="str">
        <f>IF($A768&lt;&gt;"",'All Cases - Enter Cases'!K768,"")</f>
        <v/>
      </c>
      <c r="L768" t="str">
        <f>IF($A768&lt;&gt;"",'All Cases - Enter Cases'!L768,"")</f>
        <v/>
      </c>
      <c r="M768" t="str">
        <f>IF($A768&lt;&gt;"",'All Cases - Enter Cases'!M768,"")</f>
        <v/>
      </c>
    </row>
    <row r="769" spans="1:13" x14ac:dyDescent="0.35">
      <c r="A769" s="10" t="str">
        <f>IF('All Cases - Enter Cases'!$F769="Sindh",'All Cases - Enter Cases'!A769,"")</f>
        <v/>
      </c>
      <c r="B769" t="str">
        <f>IF($A769&lt;&gt;"",'All Cases - Enter Cases'!B769,"")</f>
        <v/>
      </c>
      <c r="C769" t="str">
        <f>IF($A769&lt;&gt;"",'All Cases - Enter Cases'!C769,"")</f>
        <v/>
      </c>
      <c r="D769" t="str">
        <f>IF($A769&lt;&gt;"",'All Cases - Enter Cases'!D769,"")</f>
        <v/>
      </c>
      <c r="E769" t="str">
        <f>IF($A769&lt;&gt;"",'All Cases - Enter Cases'!E769,"")</f>
        <v/>
      </c>
      <c r="F769" t="str">
        <f>IF($A769&lt;&gt;"",'All Cases - Enter Cases'!F769,"")</f>
        <v/>
      </c>
      <c r="G769" t="str">
        <f>IF($A769&lt;&gt;"",'All Cases - Enter Cases'!G769,"")</f>
        <v/>
      </c>
      <c r="H769" t="str">
        <f>IF($A769&lt;&gt;"",'All Cases - Enter Cases'!H769,"")</f>
        <v/>
      </c>
      <c r="I769" t="str">
        <f>IF($A769&lt;&gt;"",'All Cases - Enter Cases'!I769,"")</f>
        <v/>
      </c>
      <c r="J769" t="str">
        <f>IF($A769&lt;&gt;"",'All Cases - Enter Cases'!J769,"")</f>
        <v/>
      </c>
      <c r="K769" s="4" t="str">
        <f>IF($A769&lt;&gt;"",'All Cases - Enter Cases'!K769,"")</f>
        <v/>
      </c>
      <c r="L769" t="str">
        <f>IF($A769&lt;&gt;"",'All Cases - Enter Cases'!L769,"")</f>
        <v/>
      </c>
      <c r="M769" t="str">
        <f>IF($A769&lt;&gt;"",'All Cases - Enter Cases'!M769,"")</f>
        <v/>
      </c>
    </row>
    <row r="770" spans="1:13" x14ac:dyDescent="0.35">
      <c r="A770" s="10" t="str">
        <f>IF('All Cases - Enter Cases'!$F770="Sindh",'All Cases - Enter Cases'!A770,"")</f>
        <v/>
      </c>
      <c r="B770" t="str">
        <f>IF($A770&lt;&gt;"",'All Cases - Enter Cases'!B770,"")</f>
        <v/>
      </c>
      <c r="C770" t="str">
        <f>IF($A770&lt;&gt;"",'All Cases - Enter Cases'!C770,"")</f>
        <v/>
      </c>
      <c r="D770" t="str">
        <f>IF($A770&lt;&gt;"",'All Cases - Enter Cases'!D770,"")</f>
        <v/>
      </c>
      <c r="E770" t="str">
        <f>IF($A770&lt;&gt;"",'All Cases - Enter Cases'!E770,"")</f>
        <v/>
      </c>
      <c r="F770" t="str">
        <f>IF($A770&lt;&gt;"",'All Cases - Enter Cases'!F770,"")</f>
        <v/>
      </c>
      <c r="G770" t="str">
        <f>IF($A770&lt;&gt;"",'All Cases - Enter Cases'!G770,"")</f>
        <v/>
      </c>
      <c r="H770" t="str">
        <f>IF($A770&lt;&gt;"",'All Cases - Enter Cases'!H770,"")</f>
        <v/>
      </c>
      <c r="I770" t="str">
        <f>IF($A770&lt;&gt;"",'All Cases - Enter Cases'!I770,"")</f>
        <v/>
      </c>
      <c r="J770" t="str">
        <f>IF($A770&lt;&gt;"",'All Cases - Enter Cases'!J770,"")</f>
        <v/>
      </c>
      <c r="K770" s="4" t="str">
        <f>IF($A770&lt;&gt;"",'All Cases - Enter Cases'!K770,"")</f>
        <v/>
      </c>
      <c r="L770" t="str">
        <f>IF($A770&lt;&gt;"",'All Cases - Enter Cases'!L770,"")</f>
        <v/>
      </c>
      <c r="M770" t="str">
        <f>IF($A770&lt;&gt;"",'All Cases - Enter Cases'!M770,"")</f>
        <v/>
      </c>
    </row>
    <row r="771" spans="1:13" x14ac:dyDescent="0.35">
      <c r="A771" s="10" t="str">
        <f>IF('All Cases - Enter Cases'!$F771="Sindh",'All Cases - Enter Cases'!A771,"")</f>
        <v/>
      </c>
      <c r="B771" t="str">
        <f>IF($A771&lt;&gt;"",'All Cases - Enter Cases'!B771,"")</f>
        <v/>
      </c>
      <c r="C771" t="str">
        <f>IF($A771&lt;&gt;"",'All Cases - Enter Cases'!C771,"")</f>
        <v/>
      </c>
      <c r="D771" t="str">
        <f>IF($A771&lt;&gt;"",'All Cases - Enter Cases'!D771,"")</f>
        <v/>
      </c>
      <c r="E771" t="str">
        <f>IF($A771&lt;&gt;"",'All Cases - Enter Cases'!E771,"")</f>
        <v/>
      </c>
      <c r="F771" t="str">
        <f>IF($A771&lt;&gt;"",'All Cases - Enter Cases'!F771,"")</f>
        <v/>
      </c>
      <c r="G771" t="str">
        <f>IF($A771&lt;&gt;"",'All Cases - Enter Cases'!G771,"")</f>
        <v/>
      </c>
      <c r="H771" t="str">
        <f>IF($A771&lt;&gt;"",'All Cases - Enter Cases'!H771,"")</f>
        <v/>
      </c>
      <c r="I771" t="str">
        <f>IF($A771&lt;&gt;"",'All Cases - Enter Cases'!I771,"")</f>
        <v/>
      </c>
      <c r="J771" t="str">
        <f>IF($A771&lt;&gt;"",'All Cases - Enter Cases'!J771,"")</f>
        <v/>
      </c>
      <c r="K771" s="4" t="str">
        <f>IF($A771&lt;&gt;"",'All Cases - Enter Cases'!K771,"")</f>
        <v/>
      </c>
      <c r="L771" t="str">
        <f>IF($A771&lt;&gt;"",'All Cases - Enter Cases'!L771,"")</f>
        <v/>
      </c>
      <c r="M771" t="str">
        <f>IF($A771&lt;&gt;"",'All Cases - Enter Cases'!M771,"")</f>
        <v/>
      </c>
    </row>
    <row r="772" spans="1:13" x14ac:dyDescent="0.35">
      <c r="A772" s="10" t="str">
        <f>IF('All Cases - Enter Cases'!$F772="Sindh",'All Cases - Enter Cases'!A772,"")</f>
        <v/>
      </c>
      <c r="B772" t="str">
        <f>IF($A772&lt;&gt;"",'All Cases - Enter Cases'!B772,"")</f>
        <v/>
      </c>
      <c r="C772" t="str">
        <f>IF($A772&lt;&gt;"",'All Cases - Enter Cases'!C772,"")</f>
        <v/>
      </c>
      <c r="D772" t="str">
        <f>IF($A772&lt;&gt;"",'All Cases - Enter Cases'!D772,"")</f>
        <v/>
      </c>
      <c r="E772" t="str">
        <f>IF($A772&lt;&gt;"",'All Cases - Enter Cases'!E772,"")</f>
        <v/>
      </c>
      <c r="F772" t="str">
        <f>IF($A772&lt;&gt;"",'All Cases - Enter Cases'!F772,"")</f>
        <v/>
      </c>
      <c r="G772" t="str">
        <f>IF($A772&lt;&gt;"",'All Cases - Enter Cases'!G772,"")</f>
        <v/>
      </c>
      <c r="H772" t="str">
        <f>IF($A772&lt;&gt;"",'All Cases - Enter Cases'!H772,"")</f>
        <v/>
      </c>
      <c r="I772" t="str">
        <f>IF($A772&lt;&gt;"",'All Cases - Enter Cases'!I772,"")</f>
        <v/>
      </c>
      <c r="J772" t="str">
        <f>IF($A772&lt;&gt;"",'All Cases - Enter Cases'!J772,"")</f>
        <v/>
      </c>
      <c r="K772" s="4" t="str">
        <f>IF($A772&lt;&gt;"",'All Cases - Enter Cases'!K772,"")</f>
        <v/>
      </c>
      <c r="L772" t="str">
        <f>IF($A772&lt;&gt;"",'All Cases - Enter Cases'!L772,"")</f>
        <v/>
      </c>
      <c r="M772" t="str">
        <f>IF($A772&lt;&gt;"",'All Cases - Enter Cases'!M772,"")</f>
        <v/>
      </c>
    </row>
    <row r="773" spans="1:13" x14ac:dyDescent="0.35">
      <c r="A773" s="10" t="str">
        <f>IF('All Cases - Enter Cases'!$F773="Sindh",'All Cases - Enter Cases'!A773,"")</f>
        <v/>
      </c>
      <c r="B773" t="str">
        <f>IF($A773&lt;&gt;"",'All Cases - Enter Cases'!B773,"")</f>
        <v/>
      </c>
      <c r="C773" t="str">
        <f>IF($A773&lt;&gt;"",'All Cases - Enter Cases'!C773,"")</f>
        <v/>
      </c>
      <c r="D773" t="str">
        <f>IF($A773&lt;&gt;"",'All Cases - Enter Cases'!D773,"")</f>
        <v/>
      </c>
      <c r="E773" t="str">
        <f>IF($A773&lt;&gt;"",'All Cases - Enter Cases'!E773,"")</f>
        <v/>
      </c>
      <c r="F773" t="str">
        <f>IF($A773&lt;&gt;"",'All Cases - Enter Cases'!F773,"")</f>
        <v/>
      </c>
      <c r="G773" t="str">
        <f>IF($A773&lt;&gt;"",'All Cases - Enter Cases'!G773,"")</f>
        <v/>
      </c>
      <c r="H773" t="str">
        <f>IF($A773&lt;&gt;"",'All Cases - Enter Cases'!H773,"")</f>
        <v/>
      </c>
      <c r="I773" t="str">
        <f>IF($A773&lt;&gt;"",'All Cases - Enter Cases'!I773,"")</f>
        <v/>
      </c>
      <c r="J773" t="str">
        <f>IF($A773&lt;&gt;"",'All Cases - Enter Cases'!J773,"")</f>
        <v/>
      </c>
      <c r="K773" s="4" t="str">
        <f>IF($A773&lt;&gt;"",'All Cases - Enter Cases'!K773,"")</f>
        <v/>
      </c>
      <c r="L773" t="str">
        <f>IF($A773&lt;&gt;"",'All Cases - Enter Cases'!L773,"")</f>
        <v/>
      </c>
      <c r="M773" t="str">
        <f>IF($A773&lt;&gt;"",'All Cases - Enter Cases'!M773,"")</f>
        <v/>
      </c>
    </row>
    <row r="774" spans="1:13" x14ac:dyDescent="0.35">
      <c r="A774" s="10" t="str">
        <f>IF('All Cases - Enter Cases'!$F774="Sindh",'All Cases - Enter Cases'!A774,"")</f>
        <v/>
      </c>
      <c r="B774" t="str">
        <f>IF($A774&lt;&gt;"",'All Cases - Enter Cases'!B774,"")</f>
        <v/>
      </c>
      <c r="C774" t="str">
        <f>IF($A774&lt;&gt;"",'All Cases - Enter Cases'!C774,"")</f>
        <v/>
      </c>
      <c r="D774" t="str">
        <f>IF($A774&lt;&gt;"",'All Cases - Enter Cases'!D774,"")</f>
        <v/>
      </c>
      <c r="E774" t="str">
        <f>IF($A774&lt;&gt;"",'All Cases - Enter Cases'!E774,"")</f>
        <v/>
      </c>
      <c r="F774" t="str">
        <f>IF($A774&lt;&gt;"",'All Cases - Enter Cases'!F774,"")</f>
        <v/>
      </c>
      <c r="G774" t="str">
        <f>IF($A774&lt;&gt;"",'All Cases - Enter Cases'!G774,"")</f>
        <v/>
      </c>
      <c r="H774" t="str">
        <f>IF($A774&lt;&gt;"",'All Cases - Enter Cases'!H774,"")</f>
        <v/>
      </c>
      <c r="I774" t="str">
        <f>IF($A774&lt;&gt;"",'All Cases - Enter Cases'!I774,"")</f>
        <v/>
      </c>
      <c r="J774" t="str">
        <f>IF($A774&lt;&gt;"",'All Cases - Enter Cases'!J774,"")</f>
        <v/>
      </c>
      <c r="K774" s="4" t="str">
        <f>IF($A774&lt;&gt;"",'All Cases - Enter Cases'!K774,"")</f>
        <v/>
      </c>
      <c r="L774" t="str">
        <f>IF($A774&lt;&gt;"",'All Cases - Enter Cases'!L774,"")</f>
        <v/>
      </c>
      <c r="M774" t="str">
        <f>IF($A774&lt;&gt;"",'All Cases - Enter Cases'!M774,"")</f>
        <v/>
      </c>
    </row>
    <row r="775" spans="1:13" x14ac:dyDescent="0.35">
      <c r="A775" s="10" t="str">
        <f>IF('All Cases - Enter Cases'!$F775="Sindh",'All Cases - Enter Cases'!A775,"")</f>
        <v/>
      </c>
      <c r="B775" t="str">
        <f>IF($A775&lt;&gt;"",'All Cases - Enter Cases'!B775,"")</f>
        <v/>
      </c>
      <c r="C775" t="str">
        <f>IF($A775&lt;&gt;"",'All Cases - Enter Cases'!C775,"")</f>
        <v/>
      </c>
      <c r="D775" t="str">
        <f>IF($A775&lt;&gt;"",'All Cases - Enter Cases'!D775,"")</f>
        <v/>
      </c>
      <c r="E775" t="str">
        <f>IF($A775&lt;&gt;"",'All Cases - Enter Cases'!E775,"")</f>
        <v/>
      </c>
      <c r="F775" t="str">
        <f>IF($A775&lt;&gt;"",'All Cases - Enter Cases'!F775,"")</f>
        <v/>
      </c>
      <c r="G775" t="str">
        <f>IF($A775&lt;&gt;"",'All Cases - Enter Cases'!G775,"")</f>
        <v/>
      </c>
      <c r="H775" t="str">
        <f>IF($A775&lt;&gt;"",'All Cases - Enter Cases'!H775,"")</f>
        <v/>
      </c>
      <c r="I775" t="str">
        <f>IF($A775&lt;&gt;"",'All Cases - Enter Cases'!I775,"")</f>
        <v/>
      </c>
      <c r="J775" t="str">
        <f>IF($A775&lt;&gt;"",'All Cases - Enter Cases'!J775,"")</f>
        <v/>
      </c>
      <c r="K775" s="4" t="str">
        <f>IF($A775&lt;&gt;"",'All Cases - Enter Cases'!K775,"")</f>
        <v/>
      </c>
      <c r="L775" t="str">
        <f>IF($A775&lt;&gt;"",'All Cases - Enter Cases'!L775,"")</f>
        <v/>
      </c>
      <c r="M775" t="str">
        <f>IF($A775&lt;&gt;"",'All Cases - Enter Cases'!M775,"")</f>
        <v/>
      </c>
    </row>
    <row r="776" spans="1:13" x14ac:dyDescent="0.35">
      <c r="A776" s="10" t="str">
        <f>IF('All Cases - Enter Cases'!$F776="Sindh",'All Cases - Enter Cases'!A776,"")</f>
        <v/>
      </c>
      <c r="B776" t="str">
        <f>IF($A776&lt;&gt;"",'All Cases - Enter Cases'!B776,"")</f>
        <v/>
      </c>
      <c r="C776" t="str">
        <f>IF($A776&lt;&gt;"",'All Cases - Enter Cases'!C776,"")</f>
        <v/>
      </c>
      <c r="D776" t="str">
        <f>IF($A776&lt;&gt;"",'All Cases - Enter Cases'!D776,"")</f>
        <v/>
      </c>
      <c r="E776" t="str">
        <f>IF($A776&lt;&gt;"",'All Cases - Enter Cases'!E776,"")</f>
        <v/>
      </c>
      <c r="F776" t="str">
        <f>IF($A776&lt;&gt;"",'All Cases - Enter Cases'!F776,"")</f>
        <v/>
      </c>
      <c r="G776" t="str">
        <f>IF($A776&lt;&gt;"",'All Cases - Enter Cases'!G776,"")</f>
        <v/>
      </c>
      <c r="H776" t="str">
        <f>IF($A776&lt;&gt;"",'All Cases - Enter Cases'!H776,"")</f>
        <v/>
      </c>
      <c r="I776" t="str">
        <f>IF($A776&lt;&gt;"",'All Cases - Enter Cases'!I776,"")</f>
        <v/>
      </c>
      <c r="J776" t="str">
        <f>IF($A776&lt;&gt;"",'All Cases - Enter Cases'!J776,"")</f>
        <v/>
      </c>
      <c r="K776" s="4" t="str">
        <f>IF($A776&lt;&gt;"",'All Cases - Enter Cases'!K776,"")</f>
        <v/>
      </c>
      <c r="L776" t="str">
        <f>IF($A776&lt;&gt;"",'All Cases - Enter Cases'!L776,"")</f>
        <v/>
      </c>
      <c r="M776" t="str">
        <f>IF($A776&lt;&gt;"",'All Cases - Enter Cases'!M776,"")</f>
        <v/>
      </c>
    </row>
    <row r="777" spans="1:13" x14ac:dyDescent="0.35">
      <c r="A777" s="10" t="str">
        <f>IF('All Cases - Enter Cases'!$F777="Sindh",'All Cases - Enter Cases'!A777,"")</f>
        <v/>
      </c>
      <c r="B777" t="str">
        <f>IF($A777&lt;&gt;"",'All Cases - Enter Cases'!B777,"")</f>
        <v/>
      </c>
      <c r="C777" t="str">
        <f>IF($A777&lt;&gt;"",'All Cases - Enter Cases'!C777,"")</f>
        <v/>
      </c>
      <c r="D777" t="str">
        <f>IF($A777&lt;&gt;"",'All Cases - Enter Cases'!D777,"")</f>
        <v/>
      </c>
      <c r="E777" t="str">
        <f>IF($A777&lt;&gt;"",'All Cases - Enter Cases'!E777,"")</f>
        <v/>
      </c>
      <c r="F777" t="str">
        <f>IF($A777&lt;&gt;"",'All Cases - Enter Cases'!F777,"")</f>
        <v/>
      </c>
      <c r="G777" t="str">
        <f>IF($A777&lt;&gt;"",'All Cases - Enter Cases'!G777,"")</f>
        <v/>
      </c>
      <c r="H777" t="str">
        <f>IF($A777&lt;&gt;"",'All Cases - Enter Cases'!H777,"")</f>
        <v/>
      </c>
      <c r="I777" t="str">
        <f>IF($A777&lt;&gt;"",'All Cases - Enter Cases'!I777,"")</f>
        <v/>
      </c>
      <c r="J777" t="str">
        <f>IF($A777&lt;&gt;"",'All Cases - Enter Cases'!J777,"")</f>
        <v/>
      </c>
      <c r="K777" s="4" t="str">
        <f>IF($A777&lt;&gt;"",'All Cases - Enter Cases'!K777,"")</f>
        <v/>
      </c>
      <c r="L777" t="str">
        <f>IF($A777&lt;&gt;"",'All Cases - Enter Cases'!L777,"")</f>
        <v/>
      </c>
      <c r="M777" t="str">
        <f>IF($A777&lt;&gt;"",'All Cases - Enter Cases'!M777,"")</f>
        <v/>
      </c>
    </row>
    <row r="778" spans="1:13" x14ac:dyDescent="0.35">
      <c r="A778" s="10" t="str">
        <f>IF('All Cases - Enter Cases'!$F778="Sindh",'All Cases - Enter Cases'!A778,"")</f>
        <v/>
      </c>
      <c r="B778" t="str">
        <f>IF($A778&lt;&gt;"",'All Cases - Enter Cases'!B778,"")</f>
        <v/>
      </c>
      <c r="C778" t="str">
        <f>IF($A778&lt;&gt;"",'All Cases - Enter Cases'!C778,"")</f>
        <v/>
      </c>
      <c r="D778" t="str">
        <f>IF($A778&lt;&gt;"",'All Cases - Enter Cases'!D778,"")</f>
        <v/>
      </c>
      <c r="E778" t="str">
        <f>IF($A778&lt;&gt;"",'All Cases - Enter Cases'!E778,"")</f>
        <v/>
      </c>
      <c r="F778" t="str">
        <f>IF($A778&lt;&gt;"",'All Cases - Enter Cases'!F778,"")</f>
        <v/>
      </c>
      <c r="G778" t="str">
        <f>IF($A778&lt;&gt;"",'All Cases - Enter Cases'!G778,"")</f>
        <v/>
      </c>
      <c r="H778" t="str">
        <f>IF($A778&lt;&gt;"",'All Cases - Enter Cases'!H778,"")</f>
        <v/>
      </c>
      <c r="I778" t="str">
        <f>IF($A778&lt;&gt;"",'All Cases - Enter Cases'!I778,"")</f>
        <v/>
      </c>
      <c r="J778" t="str">
        <f>IF($A778&lt;&gt;"",'All Cases - Enter Cases'!J778,"")</f>
        <v/>
      </c>
      <c r="K778" s="4" t="str">
        <f>IF($A778&lt;&gt;"",'All Cases - Enter Cases'!K778,"")</f>
        <v/>
      </c>
      <c r="L778" t="str">
        <f>IF($A778&lt;&gt;"",'All Cases - Enter Cases'!L778,"")</f>
        <v/>
      </c>
      <c r="M778" t="str">
        <f>IF($A778&lt;&gt;"",'All Cases - Enter Cases'!M778,"")</f>
        <v/>
      </c>
    </row>
    <row r="779" spans="1:13" x14ac:dyDescent="0.35">
      <c r="A779" s="10" t="str">
        <f>IF('All Cases - Enter Cases'!$F779="Sindh",'All Cases - Enter Cases'!A779,"")</f>
        <v/>
      </c>
      <c r="B779" t="str">
        <f>IF($A779&lt;&gt;"",'All Cases - Enter Cases'!B779,"")</f>
        <v/>
      </c>
      <c r="C779" t="str">
        <f>IF($A779&lt;&gt;"",'All Cases - Enter Cases'!C779,"")</f>
        <v/>
      </c>
      <c r="D779" t="str">
        <f>IF($A779&lt;&gt;"",'All Cases - Enter Cases'!D779,"")</f>
        <v/>
      </c>
      <c r="E779" t="str">
        <f>IF($A779&lt;&gt;"",'All Cases - Enter Cases'!E779,"")</f>
        <v/>
      </c>
      <c r="F779" t="str">
        <f>IF($A779&lt;&gt;"",'All Cases - Enter Cases'!F779,"")</f>
        <v/>
      </c>
      <c r="G779" t="str">
        <f>IF($A779&lt;&gt;"",'All Cases - Enter Cases'!G779,"")</f>
        <v/>
      </c>
      <c r="H779" t="str">
        <f>IF($A779&lt;&gt;"",'All Cases - Enter Cases'!H779,"")</f>
        <v/>
      </c>
      <c r="I779" t="str">
        <f>IF($A779&lt;&gt;"",'All Cases - Enter Cases'!I779,"")</f>
        <v/>
      </c>
      <c r="J779" t="str">
        <f>IF($A779&lt;&gt;"",'All Cases - Enter Cases'!J779,"")</f>
        <v/>
      </c>
      <c r="K779" s="4" t="str">
        <f>IF($A779&lt;&gt;"",'All Cases - Enter Cases'!K779,"")</f>
        <v/>
      </c>
      <c r="L779" t="str">
        <f>IF($A779&lt;&gt;"",'All Cases - Enter Cases'!L779,"")</f>
        <v/>
      </c>
      <c r="M779" t="str">
        <f>IF($A779&lt;&gt;"",'All Cases - Enter Cases'!M779,"")</f>
        <v/>
      </c>
    </row>
    <row r="780" spans="1:13" x14ac:dyDescent="0.35">
      <c r="A780" s="10" t="str">
        <f>IF('All Cases - Enter Cases'!$F780="Sindh",'All Cases - Enter Cases'!A780,"")</f>
        <v/>
      </c>
      <c r="B780" t="str">
        <f>IF($A780&lt;&gt;"",'All Cases - Enter Cases'!B780,"")</f>
        <v/>
      </c>
      <c r="C780" t="str">
        <f>IF($A780&lt;&gt;"",'All Cases - Enter Cases'!C780,"")</f>
        <v/>
      </c>
      <c r="D780" t="str">
        <f>IF($A780&lt;&gt;"",'All Cases - Enter Cases'!D780,"")</f>
        <v/>
      </c>
      <c r="E780" t="str">
        <f>IF($A780&lt;&gt;"",'All Cases - Enter Cases'!E780,"")</f>
        <v/>
      </c>
      <c r="F780" t="str">
        <f>IF($A780&lt;&gt;"",'All Cases - Enter Cases'!F780,"")</f>
        <v/>
      </c>
      <c r="G780" t="str">
        <f>IF($A780&lt;&gt;"",'All Cases - Enter Cases'!G780,"")</f>
        <v/>
      </c>
      <c r="H780" t="str">
        <f>IF($A780&lt;&gt;"",'All Cases - Enter Cases'!H780,"")</f>
        <v/>
      </c>
      <c r="I780" t="str">
        <f>IF($A780&lt;&gt;"",'All Cases - Enter Cases'!I780,"")</f>
        <v/>
      </c>
      <c r="J780" t="str">
        <f>IF($A780&lt;&gt;"",'All Cases - Enter Cases'!J780,"")</f>
        <v/>
      </c>
      <c r="K780" s="4" t="str">
        <f>IF($A780&lt;&gt;"",'All Cases - Enter Cases'!K780,"")</f>
        <v/>
      </c>
      <c r="L780" t="str">
        <f>IF($A780&lt;&gt;"",'All Cases - Enter Cases'!L780,"")</f>
        <v/>
      </c>
      <c r="M780" t="str">
        <f>IF($A780&lt;&gt;"",'All Cases - Enter Cases'!M780,"")</f>
        <v/>
      </c>
    </row>
    <row r="781" spans="1:13" x14ac:dyDescent="0.35">
      <c r="A781" s="10" t="str">
        <f>IF('All Cases - Enter Cases'!$F781="Sindh",'All Cases - Enter Cases'!A781,"")</f>
        <v/>
      </c>
      <c r="B781" t="str">
        <f>IF($A781&lt;&gt;"",'All Cases - Enter Cases'!B781,"")</f>
        <v/>
      </c>
      <c r="C781" t="str">
        <f>IF($A781&lt;&gt;"",'All Cases - Enter Cases'!C781,"")</f>
        <v/>
      </c>
      <c r="D781" t="str">
        <f>IF($A781&lt;&gt;"",'All Cases - Enter Cases'!D781,"")</f>
        <v/>
      </c>
      <c r="E781" t="str">
        <f>IF($A781&lt;&gt;"",'All Cases - Enter Cases'!E781,"")</f>
        <v/>
      </c>
      <c r="F781" t="str">
        <f>IF($A781&lt;&gt;"",'All Cases - Enter Cases'!F781,"")</f>
        <v/>
      </c>
      <c r="G781" t="str">
        <f>IF($A781&lt;&gt;"",'All Cases - Enter Cases'!G781,"")</f>
        <v/>
      </c>
      <c r="H781" t="str">
        <f>IF($A781&lt;&gt;"",'All Cases - Enter Cases'!H781,"")</f>
        <v/>
      </c>
      <c r="I781" t="str">
        <f>IF($A781&lt;&gt;"",'All Cases - Enter Cases'!I781,"")</f>
        <v/>
      </c>
      <c r="J781" t="str">
        <f>IF($A781&lt;&gt;"",'All Cases - Enter Cases'!J781,"")</f>
        <v/>
      </c>
      <c r="K781" s="4" t="str">
        <f>IF($A781&lt;&gt;"",'All Cases - Enter Cases'!K781,"")</f>
        <v/>
      </c>
      <c r="L781" t="str">
        <f>IF($A781&lt;&gt;"",'All Cases - Enter Cases'!L781,"")</f>
        <v/>
      </c>
      <c r="M781" t="str">
        <f>IF($A781&lt;&gt;"",'All Cases - Enter Cases'!M781,"")</f>
        <v/>
      </c>
    </row>
    <row r="782" spans="1:13" x14ac:dyDescent="0.35">
      <c r="A782" s="10" t="str">
        <f>IF('All Cases - Enter Cases'!$F782="Sindh",'All Cases - Enter Cases'!A782,"")</f>
        <v/>
      </c>
      <c r="B782" t="str">
        <f>IF($A782&lt;&gt;"",'All Cases - Enter Cases'!B782,"")</f>
        <v/>
      </c>
      <c r="C782" t="str">
        <f>IF($A782&lt;&gt;"",'All Cases - Enter Cases'!C782,"")</f>
        <v/>
      </c>
      <c r="D782" t="str">
        <f>IF($A782&lt;&gt;"",'All Cases - Enter Cases'!D782,"")</f>
        <v/>
      </c>
      <c r="E782" t="str">
        <f>IF($A782&lt;&gt;"",'All Cases - Enter Cases'!E782,"")</f>
        <v/>
      </c>
      <c r="F782" t="str">
        <f>IF($A782&lt;&gt;"",'All Cases - Enter Cases'!F782,"")</f>
        <v/>
      </c>
      <c r="G782" t="str">
        <f>IF($A782&lt;&gt;"",'All Cases - Enter Cases'!G782,"")</f>
        <v/>
      </c>
      <c r="H782" t="str">
        <f>IF($A782&lt;&gt;"",'All Cases - Enter Cases'!H782,"")</f>
        <v/>
      </c>
      <c r="I782" t="str">
        <f>IF($A782&lt;&gt;"",'All Cases - Enter Cases'!I782,"")</f>
        <v/>
      </c>
      <c r="J782" t="str">
        <f>IF($A782&lt;&gt;"",'All Cases - Enter Cases'!J782,"")</f>
        <v/>
      </c>
      <c r="K782" s="4" t="str">
        <f>IF($A782&lt;&gt;"",'All Cases - Enter Cases'!K782,"")</f>
        <v/>
      </c>
      <c r="L782" t="str">
        <f>IF($A782&lt;&gt;"",'All Cases - Enter Cases'!L782,"")</f>
        <v/>
      </c>
      <c r="M782" t="str">
        <f>IF($A782&lt;&gt;"",'All Cases - Enter Cases'!M782,"")</f>
        <v/>
      </c>
    </row>
    <row r="783" spans="1:13" x14ac:dyDescent="0.35">
      <c r="A783" s="10" t="str">
        <f>IF('All Cases - Enter Cases'!$F783="Sindh",'All Cases - Enter Cases'!A783,"")</f>
        <v/>
      </c>
      <c r="B783" t="str">
        <f>IF($A783&lt;&gt;"",'All Cases - Enter Cases'!B783,"")</f>
        <v/>
      </c>
      <c r="C783" t="str">
        <f>IF($A783&lt;&gt;"",'All Cases - Enter Cases'!C783,"")</f>
        <v/>
      </c>
      <c r="D783" t="str">
        <f>IF($A783&lt;&gt;"",'All Cases - Enter Cases'!D783,"")</f>
        <v/>
      </c>
      <c r="E783" t="str">
        <f>IF($A783&lt;&gt;"",'All Cases - Enter Cases'!E783,"")</f>
        <v/>
      </c>
      <c r="F783" t="str">
        <f>IF($A783&lt;&gt;"",'All Cases - Enter Cases'!F783,"")</f>
        <v/>
      </c>
      <c r="G783" t="str">
        <f>IF($A783&lt;&gt;"",'All Cases - Enter Cases'!G783,"")</f>
        <v/>
      </c>
      <c r="H783" t="str">
        <f>IF($A783&lt;&gt;"",'All Cases - Enter Cases'!H783,"")</f>
        <v/>
      </c>
      <c r="I783" t="str">
        <f>IF($A783&lt;&gt;"",'All Cases - Enter Cases'!I783,"")</f>
        <v/>
      </c>
      <c r="J783" t="str">
        <f>IF($A783&lt;&gt;"",'All Cases - Enter Cases'!J783,"")</f>
        <v/>
      </c>
      <c r="K783" s="4" t="str">
        <f>IF($A783&lt;&gt;"",'All Cases - Enter Cases'!K783,"")</f>
        <v/>
      </c>
      <c r="L783" t="str">
        <f>IF($A783&lt;&gt;"",'All Cases - Enter Cases'!L783,"")</f>
        <v/>
      </c>
      <c r="M783" t="str">
        <f>IF($A783&lt;&gt;"",'All Cases - Enter Cases'!M783,"")</f>
        <v/>
      </c>
    </row>
    <row r="784" spans="1:13" x14ac:dyDescent="0.35">
      <c r="A784" s="10" t="str">
        <f>IF('All Cases - Enter Cases'!$F784="Sindh",'All Cases - Enter Cases'!A784,"")</f>
        <v/>
      </c>
      <c r="B784" t="str">
        <f>IF($A784&lt;&gt;"",'All Cases - Enter Cases'!B784,"")</f>
        <v/>
      </c>
      <c r="C784" t="str">
        <f>IF($A784&lt;&gt;"",'All Cases - Enter Cases'!C784,"")</f>
        <v/>
      </c>
      <c r="D784" t="str">
        <f>IF($A784&lt;&gt;"",'All Cases - Enter Cases'!D784,"")</f>
        <v/>
      </c>
      <c r="E784" t="str">
        <f>IF($A784&lt;&gt;"",'All Cases - Enter Cases'!E784,"")</f>
        <v/>
      </c>
      <c r="F784" t="str">
        <f>IF($A784&lt;&gt;"",'All Cases - Enter Cases'!F784,"")</f>
        <v/>
      </c>
      <c r="G784" t="str">
        <f>IF($A784&lt;&gt;"",'All Cases - Enter Cases'!G784,"")</f>
        <v/>
      </c>
      <c r="H784" t="str">
        <f>IF($A784&lt;&gt;"",'All Cases - Enter Cases'!H784,"")</f>
        <v/>
      </c>
      <c r="I784" t="str">
        <f>IF($A784&lt;&gt;"",'All Cases - Enter Cases'!I784,"")</f>
        <v/>
      </c>
      <c r="J784" t="str">
        <f>IF($A784&lt;&gt;"",'All Cases - Enter Cases'!J784,"")</f>
        <v/>
      </c>
      <c r="K784" s="4" t="str">
        <f>IF($A784&lt;&gt;"",'All Cases - Enter Cases'!K784,"")</f>
        <v/>
      </c>
      <c r="L784" t="str">
        <f>IF($A784&lt;&gt;"",'All Cases - Enter Cases'!L784,"")</f>
        <v/>
      </c>
      <c r="M784" t="str">
        <f>IF($A784&lt;&gt;"",'All Cases - Enter Cases'!M784,"")</f>
        <v/>
      </c>
    </row>
    <row r="785" spans="1:13" x14ac:dyDescent="0.35">
      <c r="A785" s="10" t="str">
        <f>IF('All Cases - Enter Cases'!$F785="Sindh",'All Cases - Enter Cases'!A785,"")</f>
        <v/>
      </c>
      <c r="B785" t="str">
        <f>IF($A785&lt;&gt;"",'All Cases - Enter Cases'!B785,"")</f>
        <v/>
      </c>
      <c r="C785" t="str">
        <f>IF($A785&lt;&gt;"",'All Cases - Enter Cases'!C785,"")</f>
        <v/>
      </c>
      <c r="D785" t="str">
        <f>IF($A785&lt;&gt;"",'All Cases - Enter Cases'!D785,"")</f>
        <v/>
      </c>
      <c r="E785" t="str">
        <f>IF($A785&lt;&gt;"",'All Cases - Enter Cases'!E785,"")</f>
        <v/>
      </c>
      <c r="F785" t="str">
        <f>IF($A785&lt;&gt;"",'All Cases - Enter Cases'!F785,"")</f>
        <v/>
      </c>
      <c r="G785" t="str">
        <f>IF($A785&lt;&gt;"",'All Cases - Enter Cases'!G785,"")</f>
        <v/>
      </c>
      <c r="H785" t="str">
        <f>IF($A785&lt;&gt;"",'All Cases - Enter Cases'!H785,"")</f>
        <v/>
      </c>
      <c r="I785" t="str">
        <f>IF($A785&lt;&gt;"",'All Cases - Enter Cases'!I785,"")</f>
        <v/>
      </c>
      <c r="J785" t="str">
        <f>IF($A785&lt;&gt;"",'All Cases - Enter Cases'!J785,"")</f>
        <v/>
      </c>
      <c r="K785" s="4" t="str">
        <f>IF($A785&lt;&gt;"",'All Cases - Enter Cases'!K785,"")</f>
        <v/>
      </c>
      <c r="L785" t="str">
        <f>IF($A785&lt;&gt;"",'All Cases - Enter Cases'!L785,"")</f>
        <v/>
      </c>
      <c r="M785" t="str">
        <f>IF($A785&lt;&gt;"",'All Cases - Enter Cases'!M785,"")</f>
        <v/>
      </c>
    </row>
    <row r="786" spans="1:13" x14ac:dyDescent="0.35">
      <c r="A786" s="10" t="str">
        <f>IF('All Cases - Enter Cases'!$F786="Sindh",'All Cases - Enter Cases'!A786,"")</f>
        <v/>
      </c>
      <c r="B786" t="str">
        <f>IF($A786&lt;&gt;"",'All Cases - Enter Cases'!B786,"")</f>
        <v/>
      </c>
      <c r="C786" t="str">
        <f>IF($A786&lt;&gt;"",'All Cases - Enter Cases'!C786,"")</f>
        <v/>
      </c>
      <c r="D786" t="str">
        <f>IF($A786&lt;&gt;"",'All Cases - Enter Cases'!D786,"")</f>
        <v/>
      </c>
      <c r="E786" t="str">
        <f>IF($A786&lt;&gt;"",'All Cases - Enter Cases'!E786,"")</f>
        <v/>
      </c>
      <c r="F786" t="str">
        <f>IF($A786&lt;&gt;"",'All Cases - Enter Cases'!F786,"")</f>
        <v/>
      </c>
      <c r="G786" t="str">
        <f>IF($A786&lt;&gt;"",'All Cases - Enter Cases'!G786,"")</f>
        <v/>
      </c>
      <c r="H786" t="str">
        <f>IF($A786&lt;&gt;"",'All Cases - Enter Cases'!H786,"")</f>
        <v/>
      </c>
      <c r="I786" t="str">
        <f>IF($A786&lt;&gt;"",'All Cases - Enter Cases'!I786,"")</f>
        <v/>
      </c>
      <c r="J786" t="str">
        <f>IF($A786&lt;&gt;"",'All Cases - Enter Cases'!J786,"")</f>
        <v/>
      </c>
      <c r="K786" s="4" t="str">
        <f>IF($A786&lt;&gt;"",'All Cases - Enter Cases'!K786,"")</f>
        <v/>
      </c>
      <c r="L786" t="str">
        <f>IF($A786&lt;&gt;"",'All Cases - Enter Cases'!L786,"")</f>
        <v/>
      </c>
      <c r="M786" t="str">
        <f>IF($A786&lt;&gt;"",'All Cases - Enter Cases'!M786,"")</f>
        <v/>
      </c>
    </row>
    <row r="787" spans="1:13" x14ac:dyDescent="0.35">
      <c r="A787" s="10" t="str">
        <f>IF('All Cases - Enter Cases'!$F787="Sindh",'All Cases - Enter Cases'!A787,"")</f>
        <v/>
      </c>
      <c r="B787" t="str">
        <f>IF($A787&lt;&gt;"",'All Cases - Enter Cases'!B787,"")</f>
        <v/>
      </c>
      <c r="C787" t="str">
        <f>IF($A787&lt;&gt;"",'All Cases - Enter Cases'!C787,"")</f>
        <v/>
      </c>
      <c r="D787" t="str">
        <f>IF($A787&lt;&gt;"",'All Cases - Enter Cases'!D787,"")</f>
        <v/>
      </c>
      <c r="E787" t="str">
        <f>IF($A787&lt;&gt;"",'All Cases - Enter Cases'!E787,"")</f>
        <v/>
      </c>
      <c r="F787" t="str">
        <f>IF($A787&lt;&gt;"",'All Cases - Enter Cases'!F787,"")</f>
        <v/>
      </c>
      <c r="G787" t="str">
        <f>IF($A787&lt;&gt;"",'All Cases - Enter Cases'!G787,"")</f>
        <v/>
      </c>
      <c r="H787" t="str">
        <f>IF($A787&lt;&gt;"",'All Cases - Enter Cases'!H787,"")</f>
        <v/>
      </c>
      <c r="I787" t="str">
        <f>IF($A787&lt;&gt;"",'All Cases - Enter Cases'!I787,"")</f>
        <v/>
      </c>
      <c r="J787" t="str">
        <f>IF($A787&lt;&gt;"",'All Cases - Enter Cases'!J787,"")</f>
        <v/>
      </c>
      <c r="K787" s="4" t="str">
        <f>IF($A787&lt;&gt;"",'All Cases - Enter Cases'!K787,"")</f>
        <v/>
      </c>
      <c r="L787" t="str">
        <f>IF($A787&lt;&gt;"",'All Cases - Enter Cases'!L787,"")</f>
        <v/>
      </c>
      <c r="M787" t="str">
        <f>IF($A787&lt;&gt;"",'All Cases - Enter Cases'!M787,"")</f>
        <v/>
      </c>
    </row>
    <row r="788" spans="1:13" x14ac:dyDescent="0.35">
      <c r="A788" s="10" t="str">
        <f>IF('All Cases - Enter Cases'!$F788="Sindh",'All Cases - Enter Cases'!A788,"")</f>
        <v/>
      </c>
      <c r="B788" t="str">
        <f>IF($A788&lt;&gt;"",'All Cases - Enter Cases'!B788,"")</f>
        <v/>
      </c>
      <c r="C788" t="str">
        <f>IF($A788&lt;&gt;"",'All Cases - Enter Cases'!C788,"")</f>
        <v/>
      </c>
      <c r="D788" t="str">
        <f>IF($A788&lt;&gt;"",'All Cases - Enter Cases'!D788,"")</f>
        <v/>
      </c>
      <c r="E788" t="str">
        <f>IF($A788&lt;&gt;"",'All Cases - Enter Cases'!E788,"")</f>
        <v/>
      </c>
      <c r="F788" t="str">
        <f>IF($A788&lt;&gt;"",'All Cases - Enter Cases'!F788,"")</f>
        <v/>
      </c>
      <c r="G788" t="str">
        <f>IF($A788&lt;&gt;"",'All Cases - Enter Cases'!G788,"")</f>
        <v/>
      </c>
      <c r="H788" t="str">
        <f>IF($A788&lt;&gt;"",'All Cases - Enter Cases'!H788,"")</f>
        <v/>
      </c>
      <c r="I788" t="str">
        <f>IF($A788&lt;&gt;"",'All Cases - Enter Cases'!I788,"")</f>
        <v/>
      </c>
      <c r="J788" t="str">
        <f>IF($A788&lt;&gt;"",'All Cases - Enter Cases'!J788,"")</f>
        <v/>
      </c>
      <c r="K788" s="4" t="str">
        <f>IF($A788&lt;&gt;"",'All Cases - Enter Cases'!K788,"")</f>
        <v/>
      </c>
      <c r="L788" t="str">
        <f>IF($A788&lt;&gt;"",'All Cases - Enter Cases'!L788,"")</f>
        <v/>
      </c>
      <c r="M788" t="str">
        <f>IF($A788&lt;&gt;"",'All Cases - Enter Cases'!M788,"")</f>
        <v/>
      </c>
    </row>
    <row r="789" spans="1:13" x14ac:dyDescent="0.35">
      <c r="A789" s="10" t="str">
        <f>IF('All Cases - Enter Cases'!$F789="Sindh",'All Cases - Enter Cases'!A789,"")</f>
        <v/>
      </c>
      <c r="B789" t="str">
        <f>IF($A789&lt;&gt;"",'All Cases - Enter Cases'!B789,"")</f>
        <v/>
      </c>
      <c r="C789" t="str">
        <f>IF($A789&lt;&gt;"",'All Cases - Enter Cases'!C789,"")</f>
        <v/>
      </c>
      <c r="D789" t="str">
        <f>IF($A789&lt;&gt;"",'All Cases - Enter Cases'!D789,"")</f>
        <v/>
      </c>
      <c r="E789" t="str">
        <f>IF($A789&lt;&gt;"",'All Cases - Enter Cases'!E789,"")</f>
        <v/>
      </c>
      <c r="F789" t="str">
        <f>IF($A789&lt;&gt;"",'All Cases - Enter Cases'!F789,"")</f>
        <v/>
      </c>
      <c r="G789" t="str">
        <f>IF($A789&lt;&gt;"",'All Cases - Enter Cases'!G789,"")</f>
        <v/>
      </c>
      <c r="H789" t="str">
        <f>IF($A789&lt;&gt;"",'All Cases - Enter Cases'!H789,"")</f>
        <v/>
      </c>
      <c r="I789" t="str">
        <f>IF($A789&lt;&gt;"",'All Cases - Enter Cases'!I789,"")</f>
        <v/>
      </c>
      <c r="J789" t="str">
        <f>IF($A789&lt;&gt;"",'All Cases - Enter Cases'!J789,"")</f>
        <v/>
      </c>
      <c r="K789" s="4" t="str">
        <f>IF($A789&lt;&gt;"",'All Cases - Enter Cases'!K789,"")</f>
        <v/>
      </c>
      <c r="L789" t="str">
        <f>IF($A789&lt;&gt;"",'All Cases - Enter Cases'!L789,"")</f>
        <v/>
      </c>
      <c r="M789" t="str">
        <f>IF($A789&lt;&gt;"",'All Cases - Enter Cases'!M789,"")</f>
        <v/>
      </c>
    </row>
    <row r="790" spans="1:13" x14ac:dyDescent="0.35">
      <c r="A790" s="10" t="str">
        <f>IF('All Cases - Enter Cases'!$F790="Sindh",'All Cases - Enter Cases'!A790,"")</f>
        <v/>
      </c>
      <c r="B790" t="str">
        <f>IF($A790&lt;&gt;"",'All Cases - Enter Cases'!B790,"")</f>
        <v/>
      </c>
      <c r="C790" t="str">
        <f>IF($A790&lt;&gt;"",'All Cases - Enter Cases'!C790,"")</f>
        <v/>
      </c>
      <c r="D790" t="str">
        <f>IF($A790&lt;&gt;"",'All Cases - Enter Cases'!D790,"")</f>
        <v/>
      </c>
      <c r="E790" t="str">
        <f>IF($A790&lt;&gt;"",'All Cases - Enter Cases'!E790,"")</f>
        <v/>
      </c>
      <c r="F790" t="str">
        <f>IF($A790&lt;&gt;"",'All Cases - Enter Cases'!F790,"")</f>
        <v/>
      </c>
      <c r="G790" t="str">
        <f>IF($A790&lt;&gt;"",'All Cases - Enter Cases'!G790,"")</f>
        <v/>
      </c>
      <c r="H790" t="str">
        <f>IF($A790&lt;&gt;"",'All Cases - Enter Cases'!H790,"")</f>
        <v/>
      </c>
      <c r="I790" t="str">
        <f>IF($A790&lt;&gt;"",'All Cases - Enter Cases'!I790,"")</f>
        <v/>
      </c>
      <c r="J790" t="str">
        <f>IF($A790&lt;&gt;"",'All Cases - Enter Cases'!J790,"")</f>
        <v/>
      </c>
      <c r="K790" s="4" t="str">
        <f>IF($A790&lt;&gt;"",'All Cases - Enter Cases'!K790,"")</f>
        <v/>
      </c>
      <c r="L790" t="str">
        <f>IF($A790&lt;&gt;"",'All Cases - Enter Cases'!L790,"")</f>
        <v/>
      </c>
      <c r="M790" t="str">
        <f>IF($A790&lt;&gt;"",'All Cases - Enter Cases'!M790,"")</f>
        <v/>
      </c>
    </row>
    <row r="791" spans="1:13" x14ac:dyDescent="0.35">
      <c r="A791" s="10" t="str">
        <f>IF('All Cases - Enter Cases'!$F791="Sindh",'All Cases - Enter Cases'!A791,"")</f>
        <v/>
      </c>
      <c r="B791" t="str">
        <f>IF($A791&lt;&gt;"",'All Cases - Enter Cases'!B791,"")</f>
        <v/>
      </c>
      <c r="C791" t="str">
        <f>IF($A791&lt;&gt;"",'All Cases - Enter Cases'!C791,"")</f>
        <v/>
      </c>
      <c r="D791" t="str">
        <f>IF($A791&lt;&gt;"",'All Cases - Enter Cases'!D791,"")</f>
        <v/>
      </c>
      <c r="E791" t="str">
        <f>IF($A791&lt;&gt;"",'All Cases - Enter Cases'!E791,"")</f>
        <v/>
      </c>
      <c r="F791" t="str">
        <f>IF($A791&lt;&gt;"",'All Cases - Enter Cases'!F791,"")</f>
        <v/>
      </c>
      <c r="G791" t="str">
        <f>IF($A791&lt;&gt;"",'All Cases - Enter Cases'!G791,"")</f>
        <v/>
      </c>
      <c r="H791" t="str">
        <f>IF($A791&lt;&gt;"",'All Cases - Enter Cases'!H791,"")</f>
        <v/>
      </c>
      <c r="I791" t="str">
        <f>IF($A791&lt;&gt;"",'All Cases - Enter Cases'!I791,"")</f>
        <v/>
      </c>
      <c r="J791" t="str">
        <f>IF($A791&lt;&gt;"",'All Cases - Enter Cases'!J791,"")</f>
        <v/>
      </c>
      <c r="K791" s="4" t="str">
        <f>IF($A791&lt;&gt;"",'All Cases - Enter Cases'!K791,"")</f>
        <v/>
      </c>
      <c r="L791" t="str">
        <f>IF($A791&lt;&gt;"",'All Cases - Enter Cases'!L791,"")</f>
        <v/>
      </c>
      <c r="M791" t="str">
        <f>IF($A791&lt;&gt;"",'All Cases - Enter Cases'!M791,"")</f>
        <v/>
      </c>
    </row>
    <row r="792" spans="1:13" x14ac:dyDescent="0.35">
      <c r="A792" s="10" t="str">
        <f>IF('All Cases - Enter Cases'!$F792="Sindh",'All Cases - Enter Cases'!A792,"")</f>
        <v/>
      </c>
      <c r="B792" t="str">
        <f>IF($A792&lt;&gt;"",'All Cases - Enter Cases'!B792,"")</f>
        <v/>
      </c>
      <c r="C792" t="str">
        <f>IF($A792&lt;&gt;"",'All Cases - Enter Cases'!C792,"")</f>
        <v/>
      </c>
      <c r="D792" t="str">
        <f>IF($A792&lt;&gt;"",'All Cases - Enter Cases'!D792,"")</f>
        <v/>
      </c>
      <c r="E792" t="str">
        <f>IF($A792&lt;&gt;"",'All Cases - Enter Cases'!E792,"")</f>
        <v/>
      </c>
      <c r="F792" t="str">
        <f>IF($A792&lt;&gt;"",'All Cases - Enter Cases'!F792,"")</f>
        <v/>
      </c>
      <c r="G792" t="str">
        <f>IF($A792&lt;&gt;"",'All Cases - Enter Cases'!G792,"")</f>
        <v/>
      </c>
      <c r="H792" t="str">
        <f>IF($A792&lt;&gt;"",'All Cases - Enter Cases'!H792,"")</f>
        <v/>
      </c>
      <c r="I792" t="str">
        <f>IF($A792&lt;&gt;"",'All Cases - Enter Cases'!I792,"")</f>
        <v/>
      </c>
      <c r="J792" t="str">
        <f>IF($A792&lt;&gt;"",'All Cases - Enter Cases'!J792,"")</f>
        <v/>
      </c>
      <c r="K792" s="4" t="str">
        <f>IF($A792&lt;&gt;"",'All Cases - Enter Cases'!K792,"")</f>
        <v/>
      </c>
      <c r="L792" t="str">
        <f>IF($A792&lt;&gt;"",'All Cases - Enter Cases'!L792,"")</f>
        <v/>
      </c>
      <c r="M792" t="str">
        <f>IF($A792&lt;&gt;"",'All Cases - Enter Cases'!M792,"")</f>
        <v/>
      </c>
    </row>
    <row r="793" spans="1:13" x14ac:dyDescent="0.35">
      <c r="A793" s="10" t="str">
        <f>IF('All Cases - Enter Cases'!$F793="Sindh",'All Cases - Enter Cases'!A793,"")</f>
        <v/>
      </c>
      <c r="B793" t="str">
        <f>IF($A793&lt;&gt;"",'All Cases - Enter Cases'!B793,"")</f>
        <v/>
      </c>
      <c r="C793" t="str">
        <f>IF($A793&lt;&gt;"",'All Cases - Enter Cases'!C793,"")</f>
        <v/>
      </c>
      <c r="D793" t="str">
        <f>IF($A793&lt;&gt;"",'All Cases - Enter Cases'!D793,"")</f>
        <v/>
      </c>
      <c r="E793" t="str">
        <f>IF($A793&lt;&gt;"",'All Cases - Enter Cases'!E793,"")</f>
        <v/>
      </c>
      <c r="F793" t="str">
        <f>IF($A793&lt;&gt;"",'All Cases - Enter Cases'!F793,"")</f>
        <v/>
      </c>
      <c r="G793" t="str">
        <f>IF($A793&lt;&gt;"",'All Cases - Enter Cases'!G793,"")</f>
        <v/>
      </c>
      <c r="H793" t="str">
        <f>IF($A793&lt;&gt;"",'All Cases - Enter Cases'!H793,"")</f>
        <v/>
      </c>
      <c r="I793" t="str">
        <f>IF($A793&lt;&gt;"",'All Cases - Enter Cases'!I793,"")</f>
        <v/>
      </c>
      <c r="J793" t="str">
        <f>IF($A793&lt;&gt;"",'All Cases - Enter Cases'!J793,"")</f>
        <v/>
      </c>
      <c r="K793" s="4" t="str">
        <f>IF($A793&lt;&gt;"",'All Cases - Enter Cases'!K793,"")</f>
        <v/>
      </c>
      <c r="L793" t="str">
        <f>IF($A793&lt;&gt;"",'All Cases - Enter Cases'!L793,"")</f>
        <v/>
      </c>
      <c r="M793" t="str">
        <f>IF($A793&lt;&gt;"",'All Cases - Enter Cases'!M793,"")</f>
        <v/>
      </c>
    </row>
    <row r="794" spans="1:13" x14ac:dyDescent="0.35">
      <c r="A794" s="10" t="str">
        <f>IF('All Cases - Enter Cases'!$F794="Sindh",'All Cases - Enter Cases'!A794,"")</f>
        <v/>
      </c>
      <c r="B794" t="str">
        <f>IF($A794&lt;&gt;"",'All Cases - Enter Cases'!B794,"")</f>
        <v/>
      </c>
      <c r="C794" t="str">
        <f>IF($A794&lt;&gt;"",'All Cases - Enter Cases'!C794,"")</f>
        <v/>
      </c>
      <c r="D794" t="str">
        <f>IF($A794&lt;&gt;"",'All Cases - Enter Cases'!D794,"")</f>
        <v/>
      </c>
      <c r="E794" t="str">
        <f>IF($A794&lt;&gt;"",'All Cases - Enter Cases'!E794,"")</f>
        <v/>
      </c>
      <c r="F794" t="str">
        <f>IF($A794&lt;&gt;"",'All Cases - Enter Cases'!F794,"")</f>
        <v/>
      </c>
      <c r="G794" t="str">
        <f>IF($A794&lt;&gt;"",'All Cases - Enter Cases'!G794,"")</f>
        <v/>
      </c>
      <c r="H794" t="str">
        <f>IF($A794&lt;&gt;"",'All Cases - Enter Cases'!H794,"")</f>
        <v/>
      </c>
      <c r="I794" t="str">
        <f>IF($A794&lt;&gt;"",'All Cases - Enter Cases'!I794,"")</f>
        <v/>
      </c>
      <c r="J794" t="str">
        <f>IF($A794&lt;&gt;"",'All Cases - Enter Cases'!J794,"")</f>
        <v/>
      </c>
      <c r="K794" s="4" t="str">
        <f>IF($A794&lt;&gt;"",'All Cases - Enter Cases'!K794,"")</f>
        <v/>
      </c>
      <c r="L794" t="str">
        <f>IF($A794&lt;&gt;"",'All Cases - Enter Cases'!L794,"")</f>
        <v/>
      </c>
      <c r="M794" t="str">
        <f>IF($A794&lt;&gt;"",'All Cases - Enter Cases'!M794,"")</f>
        <v/>
      </c>
    </row>
    <row r="795" spans="1:13" x14ac:dyDescent="0.35">
      <c r="A795" s="10" t="str">
        <f>IF('All Cases - Enter Cases'!$F795="Sindh",'All Cases - Enter Cases'!A795,"")</f>
        <v/>
      </c>
      <c r="B795" t="str">
        <f>IF($A795&lt;&gt;"",'All Cases - Enter Cases'!B795,"")</f>
        <v/>
      </c>
      <c r="C795" t="str">
        <f>IF($A795&lt;&gt;"",'All Cases - Enter Cases'!C795,"")</f>
        <v/>
      </c>
      <c r="D795" t="str">
        <f>IF($A795&lt;&gt;"",'All Cases - Enter Cases'!D795,"")</f>
        <v/>
      </c>
      <c r="E795" t="str">
        <f>IF($A795&lt;&gt;"",'All Cases - Enter Cases'!E795,"")</f>
        <v/>
      </c>
      <c r="F795" t="str">
        <f>IF($A795&lt;&gt;"",'All Cases - Enter Cases'!F795,"")</f>
        <v/>
      </c>
      <c r="G795" t="str">
        <f>IF($A795&lt;&gt;"",'All Cases - Enter Cases'!G795,"")</f>
        <v/>
      </c>
      <c r="H795" t="str">
        <f>IF($A795&lt;&gt;"",'All Cases - Enter Cases'!H795,"")</f>
        <v/>
      </c>
      <c r="I795" t="str">
        <f>IF($A795&lt;&gt;"",'All Cases - Enter Cases'!I795,"")</f>
        <v/>
      </c>
      <c r="J795" t="str">
        <f>IF($A795&lt;&gt;"",'All Cases - Enter Cases'!J795,"")</f>
        <v/>
      </c>
      <c r="K795" s="4" t="str">
        <f>IF($A795&lt;&gt;"",'All Cases - Enter Cases'!K795,"")</f>
        <v/>
      </c>
      <c r="L795" t="str">
        <f>IF($A795&lt;&gt;"",'All Cases - Enter Cases'!L795,"")</f>
        <v/>
      </c>
      <c r="M795" t="str">
        <f>IF($A795&lt;&gt;"",'All Cases - Enter Cases'!M795,"")</f>
        <v/>
      </c>
    </row>
    <row r="796" spans="1:13" x14ac:dyDescent="0.35">
      <c r="A796" s="10" t="str">
        <f>IF('All Cases - Enter Cases'!$F796="Sindh",'All Cases - Enter Cases'!A796,"")</f>
        <v/>
      </c>
      <c r="B796" t="str">
        <f>IF($A796&lt;&gt;"",'All Cases - Enter Cases'!B796,"")</f>
        <v/>
      </c>
      <c r="C796" t="str">
        <f>IF($A796&lt;&gt;"",'All Cases - Enter Cases'!C796,"")</f>
        <v/>
      </c>
      <c r="D796" t="str">
        <f>IF($A796&lt;&gt;"",'All Cases - Enter Cases'!D796,"")</f>
        <v/>
      </c>
      <c r="E796" t="str">
        <f>IF($A796&lt;&gt;"",'All Cases - Enter Cases'!E796,"")</f>
        <v/>
      </c>
      <c r="F796" t="str">
        <f>IF($A796&lt;&gt;"",'All Cases - Enter Cases'!F796,"")</f>
        <v/>
      </c>
      <c r="G796" t="str">
        <f>IF($A796&lt;&gt;"",'All Cases - Enter Cases'!G796,"")</f>
        <v/>
      </c>
      <c r="H796" t="str">
        <f>IF($A796&lt;&gt;"",'All Cases - Enter Cases'!H796,"")</f>
        <v/>
      </c>
      <c r="I796" t="str">
        <f>IF($A796&lt;&gt;"",'All Cases - Enter Cases'!I796,"")</f>
        <v/>
      </c>
      <c r="J796" t="str">
        <f>IF($A796&lt;&gt;"",'All Cases - Enter Cases'!J796,"")</f>
        <v/>
      </c>
      <c r="K796" s="4" t="str">
        <f>IF($A796&lt;&gt;"",'All Cases - Enter Cases'!K796,"")</f>
        <v/>
      </c>
      <c r="L796" t="str">
        <f>IF($A796&lt;&gt;"",'All Cases - Enter Cases'!L796,"")</f>
        <v/>
      </c>
      <c r="M796" t="str">
        <f>IF($A796&lt;&gt;"",'All Cases - Enter Cases'!M796,"")</f>
        <v/>
      </c>
    </row>
    <row r="797" spans="1:13" x14ac:dyDescent="0.35">
      <c r="A797" s="10" t="str">
        <f>IF('All Cases - Enter Cases'!$F797="Sindh",'All Cases - Enter Cases'!A797,"")</f>
        <v/>
      </c>
      <c r="B797" t="str">
        <f>IF($A797&lt;&gt;"",'All Cases - Enter Cases'!B797,"")</f>
        <v/>
      </c>
      <c r="C797" t="str">
        <f>IF($A797&lt;&gt;"",'All Cases - Enter Cases'!C797,"")</f>
        <v/>
      </c>
      <c r="D797" t="str">
        <f>IF($A797&lt;&gt;"",'All Cases - Enter Cases'!D797,"")</f>
        <v/>
      </c>
      <c r="E797" t="str">
        <f>IF($A797&lt;&gt;"",'All Cases - Enter Cases'!E797,"")</f>
        <v/>
      </c>
      <c r="F797" t="str">
        <f>IF($A797&lt;&gt;"",'All Cases - Enter Cases'!F797,"")</f>
        <v/>
      </c>
      <c r="G797" t="str">
        <f>IF($A797&lt;&gt;"",'All Cases - Enter Cases'!G797,"")</f>
        <v/>
      </c>
      <c r="H797" t="str">
        <f>IF($A797&lt;&gt;"",'All Cases - Enter Cases'!H797,"")</f>
        <v/>
      </c>
      <c r="I797" t="str">
        <f>IF($A797&lt;&gt;"",'All Cases - Enter Cases'!I797,"")</f>
        <v/>
      </c>
      <c r="J797" t="str">
        <f>IF($A797&lt;&gt;"",'All Cases - Enter Cases'!J797,"")</f>
        <v/>
      </c>
      <c r="K797" s="4" t="str">
        <f>IF($A797&lt;&gt;"",'All Cases - Enter Cases'!K797,"")</f>
        <v/>
      </c>
      <c r="L797" t="str">
        <f>IF($A797&lt;&gt;"",'All Cases - Enter Cases'!L797,"")</f>
        <v/>
      </c>
      <c r="M797" t="str">
        <f>IF($A797&lt;&gt;"",'All Cases - Enter Cases'!M797,"")</f>
        <v/>
      </c>
    </row>
    <row r="798" spans="1:13" x14ac:dyDescent="0.35">
      <c r="A798" s="10" t="str">
        <f>IF('All Cases - Enter Cases'!$F798="Sindh",'All Cases - Enter Cases'!A798,"")</f>
        <v/>
      </c>
      <c r="B798" t="str">
        <f>IF($A798&lt;&gt;"",'All Cases - Enter Cases'!B798,"")</f>
        <v/>
      </c>
      <c r="C798" t="str">
        <f>IF($A798&lt;&gt;"",'All Cases - Enter Cases'!C798,"")</f>
        <v/>
      </c>
      <c r="D798" t="str">
        <f>IF($A798&lt;&gt;"",'All Cases - Enter Cases'!D798,"")</f>
        <v/>
      </c>
      <c r="E798" t="str">
        <f>IF($A798&lt;&gt;"",'All Cases - Enter Cases'!E798,"")</f>
        <v/>
      </c>
      <c r="F798" t="str">
        <f>IF($A798&lt;&gt;"",'All Cases - Enter Cases'!F798,"")</f>
        <v/>
      </c>
      <c r="G798" t="str">
        <f>IF($A798&lt;&gt;"",'All Cases - Enter Cases'!G798,"")</f>
        <v/>
      </c>
      <c r="H798" t="str">
        <f>IF($A798&lt;&gt;"",'All Cases - Enter Cases'!H798,"")</f>
        <v/>
      </c>
      <c r="I798" t="str">
        <f>IF($A798&lt;&gt;"",'All Cases - Enter Cases'!I798,"")</f>
        <v/>
      </c>
      <c r="J798" t="str">
        <f>IF($A798&lt;&gt;"",'All Cases - Enter Cases'!J798,"")</f>
        <v/>
      </c>
      <c r="K798" s="4" t="str">
        <f>IF($A798&lt;&gt;"",'All Cases - Enter Cases'!K798,"")</f>
        <v/>
      </c>
      <c r="L798" t="str">
        <f>IF($A798&lt;&gt;"",'All Cases - Enter Cases'!L798,"")</f>
        <v/>
      </c>
      <c r="M798" t="str">
        <f>IF($A798&lt;&gt;"",'All Cases - Enter Cases'!M798,"")</f>
        <v/>
      </c>
    </row>
    <row r="799" spans="1:13" x14ac:dyDescent="0.35">
      <c r="A799" s="10" t="str">
        <f>IF('All Cases - Enter Cases'!$F799="Sindh",'All Cases - Enter Cases'!A799,"")</f>
        <v/>
      </c>
      <c r="B799" t="str">
        <f>IF($A799&lt;&gt;"",'All Cases - Enter Cases'!B799,"")</f>
        <v/>
      </c>
      <c r="C799" t="str">
        <f>IF($A799&lt;&gt;"",'All Cases - Enter Cases'!C799,"")</f>
        <v/>
      </c>
      <c r="D799" t="str">
        <f>IF($A799&lt;&gt;"",'All Cases - Enter Cases'!D799,"")</f>
        <v/>
      </c>
      <c r="E799" t="str">
        <f>IF($A799&lt;&gt;"",'All Cases - Enter Cases'!E799,"")</f>
        <v/>
      </c>
      <c r="F799" t="str">
        <f>IF($A799&lt;&gt;"",'All Cases - Enter Cases'!F799,"")</f>
        <v/>
      </c>
      <c r="G799" t="str">
        <f>IF($A799&lt;&gt;"",'All Cases - Enter Cases'!G799,"")</f>
        <v/>
      </c>
      <c r="H799" t="str">
        <f>IF($A799&lt;&gt;"",'All Cases - Enter Cases'!H799,"")</f>
        <v/>
      </c>
      <c r="I799" t="str">
        <f>IF($A799&lt;&gt;"",'All Cases - Enter Cases'!I799,"")</f>
        <v/>
      </c>
      <c r="J799" t="str">
        <f>IF($A799&lt;&gt;"",'All Cases - Enter Cases'!J799,"")</f>
        <v/>
      </c>
      <c r="K799" s="4" t="str">
        <f>IF($A799&lt;&gt;"",'All Cases - Enter Cases'!K799,"")</f>
        <v/>
      </c>
      <c r="L799" t="str">
        <f>IF($A799&lt;&gt;"",'All Cases - Enter Cases'!L799,"")</f>
        <v/>
      </c>
      <c r="M799" t="str">
        <f>IF($A799&lt;&gt;"",'All Cases - Enter Cases'!M799,"")</f>
        <v/>
      </c>
    </row>
    <row r="800" spans="1:13" x14ac:dyDescent="0.35">
      <c r="A800" s="10" t="str">
        <f>IF('All Cases - Enter Cases'!$F800="Sindh",'All Cases - Enter Cases'!A800,"")</f>
        <v/>
      </c>
      <c r="B800" t="str">
        <f>IF($A800&lt;&gt;"",'All Cases - Enter Cases'!B800,"")</f>
        <v/>
      </c>
      <c r="C800" t="str">
        <f>IF($A800&lt;&gt;"",'All Cases - Enter Cases'!C800,"")</f>
        <v/>
      </c>
      <c r="D800" t="str">
        <f>IF($A800&lt;&gt;"",'All Cases - Enter Cases'!D800,"")</f>
        <v/>
      </c>
      <c r="E800" t="str">
        <f>IF($A800&lt;&gt;"",'All Cases - Enter Cases'!E800,"")</f>
        <v/>
      </c>
      <c r="F800" t="str">
        <f>IF($A800&lt;&gt;"",'All Cases - Enter Cases'!F800,"")</f>
        <v/>
      </c>
      <c r="G800" t="str">
        <f>IF($A800&lt;&gt;"",'All Cases - Enter Cases'!G800,"")</f>
        <v/>
      </c>
      <c r="H800" t="str">
        <f>IF($A800&lt;&gt;"",'All Cases - Enter Cases'!H800,"")</f>
        <v/>
      </c>
      <c r="I800" t="str">
        <f>IF($A800&lt;&gt;"",'All Cases - Enter Cases'!I800,"")</f>
        <v/>
      </c>
      <c r="J800" t="str">
        <f>IF($A800&lt;&gt;"",'All Cases - Enter Cases'!J800,"")</f>
        <v/>
      </c>
      <c r="K800" s="4" t="str">
        <f>IF($A800&lt;&gt;"",'All Cases - Enter Cases'!K800,"")</f>
        <v/>
      </c>
      <c r="L800" t="str">
        <f>IF($A800&lt;&gt;"",'All Cases - Enter Cases'!L800,"")</f>
        <v/>
      </c>
      <c r="M800" t="str">
        <f>IF($A800&lt;&gt;"",'All Cases - Enter Cases'!M800,"")</f>
        <v/>
      </c>
    </row>
    <row r="801" spans="1:13" x14ac:dyDescent="0.35">
      <c r="A801" s="10" t="str">
        <f>IF('All Cases - Enter Cases'!$F801="Sindh",'All Cases - Enter Cases'!A801,"")</f>
        <v/>
      </c>
      <c r="B801" t="str">
        <f>IF($A801&lt;&gt;"",'All Cases - Enter Cases'!B801,"")</f>
        <v/>
      </c>
      <c r="C801" t="str">
        <f>IF($A801&lt;&gt;"",'All Cases - Enter Cases'!C801,"")</f>
        <v/>
      </c>
      <c r="D801" t="str">
        <f>IF($A801&lt;&gt;"",'All Cases - Enter Cases'!D801,"")</f>
        <v/>
      </c>
      <c r="E801" t="str">
        <f>IF($A801&lt;&gt;"",'All Cases - Enter Cases'!E801,"")</f>
        <v/>
      </c>
      <c r="F801" t="str">
        <f>IF($A801&lt;&gt;"",'All Cases - Enter Cases'!F801,"")</f>
        <v/>
      </c>
      <c r="G801" t="str">
        <f>IF($A801&lt;&gt;"",'All Cases - Enter Cases'!G801,"")</f>
        <v/>
      </c>
      <c r="H801" t="str">
        <f>IF($A801&lt;&gt;"",'All Cases - Enter Cases'!H801,"")</f>
        <v/>
      </c>
      <c r="I801" t="str">
        <f>IF($A801&lt;&gt;"",'All Cases - Enter Cases'!I801,"")</f>
        <v/>
      </c>
      <c r="J801" t="str">
        <f>IF($A801&lt;&gt;"",'All Cases - Enter Cases'!J801,"")</f>
        <v/>
      </c>
      <c r="K801" s="4" t="str">
        <f>IF($A801&lt;&gt;"",'All Cases - Enter Cases'!K801,"")</f>
        <v/>
      </c>
      <c r="L801" t="str">
        <f>IF($A801&lt;&gt;"",'All Cases - Enter Cases'!L801,"")</f>
        <v/>
      </c>
      <c r="M801" t="str">
        <f>IF($A801&lt;&gt;"",'All Cases - Enter Cases'!M801,"")</f>
        <v/>
      </c>
    </row>
    <row r="802" spans="1:13" x14ac:dyDescent="0.35">
      <c r="A802" s="10" t="str">
        <f>IF('All Cases - Enter Cases'!$F802="Sindh",'All Cases - Enter Cases'!A802,"")</f>
        <v/>
      </c>
      <c r="B802" t="str">
        <f>IF($A802&lt;&gt;"",'All Cases - Enter Cases'!B802,"")</f>
        <v/>
      </c>
      <c r="C802" t="str">
        <f>IF($A802&lt;&gt;"",'All Cases - Enter Cases'!C802,"")</f>
        <v/>
      </c>
      <c r="D802" t="str">
        <f>IF($A802&lt;&gt;"",'All Cases - Enter Cases'!D802,"")</f>
        <v/>
      </c>
      <c r="E802" t="str">
        <f>IF($A802&lt;&gt;"",'All Cases - Enter Cases'!E802,"")</f>
        <v/>
      </c>
      <c r="F802" t="str">
        <f>IF($A802&lt;&gt;"",'All Cases - Enter Cases'!F802,"")</f>
        <v/>
      </c>
      <c r="G802" t="str">
        <f>IF($A802&lt;&gt;"",'All Cases - Enter Cases'!G802,"")</f>
        <v/>
      </c>
      <c r="H802" t="str">
        <f>IF($A802&lt;&gt;"",'All Cases - Enter Cases'!H802,"")</f>
        <v/>
      </c>
      <c r="I802" t="str">
        <f>IF($A802&lt;&gt;"",'All Cases - Enter Cases'!I802,"")</f>
        <v/>
      </c>
      <c r="J802" t="str">
        <f>IF($A802&lt;&gt;"",'All Cases - Enter Cases'!J802,"")</f>
        <v/>
      </c>
      <c r="K802" s="4" t="str">
        <f>IF($A802&lt;&gt;"",'All Cases - Enter Cases'!K802,"")</f>
        <v/>
      </c>
      <c r="L802" t="str">
        <f>IF($A802&lt;&gt;"",'All Cases - Enter Cases'!L802,"")</f>
        <v/>
      </c>
      <c r="M802" t="str">
        <f>IF($A802&lt;&gt;"",'All Cases - Enter Cases'!M802,"")</f>
        <v/>
      </c>
    </row>
    <row r="803" spans="1:13" x14ac:dyDescent="0.35">
      <c r="A803" s="10" t="str">
        <f>IF('All Cases - Enter Cases'!$F803="Sindh",'All Cases - Enter Cases'!A803,"")</f>
        <v/>
      </c>
      <c r="B803" t="str">
        <f>IF($A803&lt;&gt;"",'All Cases - Enter Cases'!B803,"")</f>
        <v/>
      </c>
      <c r="C803" t="str">
        <f>IF($A803&lt;&gt;"",'All Cases - Enter Cases'!C803,"")</f>
        <v/>
      </c>
      <c r="D803" t="str">
        <f>IF($A803&lt;&gt;"",'All Cases - Enter Cases'!D803,"")</f>
        <v/>
      </c>
      <c r="E803" t="str">
        <f>IF($A803&lt;&gt;"",'All Cases - Enter Cases'!E803,"")</f>
        <v/>
      </c>
      <c r="F803" t="str">
        <f>IF($A803&lt;&gt;"",'All Cases - Enter Cases'!F803,"")</f>
        <v/>
      </c>
      <c r="G803" t="str">
        <f>IF($A803&lt;&gt;"",'All Cases - Enter Cases'!G803,"")</f>
        <v/>
      </c>
      <c r="H803" t="str">
        <f>IF($A803&lt;&gt;"",'All Cases - Enter Cases'!H803,"")</f>
        <v/>
      </c>
      <c r="I803" t="str">
        <f>IF($A803&lt;&gt;"",'All Cases - Enter Cases'!I803,"")</f>
        <v/>
      </c>
      <c r="J803" t="str">
        <f>IF($A803&lt;&gt;"",'All Cases - Enter Cases'!J803,"")</f>
        <v/>
      </c>
      <c r="K803" s="4" t="str">
        <f>IF($A803&lt;&gt;"",'All Cases - Enter Cases'!K803,"")</f>
        <v/>
      </c>
      <c r="L803" t="str">
        <f>IF($A803&lt;&gt;"",'All Cases - Enter Cases'!L803,"")</f>
        <v/>
      </c>
      <c r="M803" t="str">
        <f>IF($A803&lt;&gt;"",'All Cases - Enter Cases'!M803,"")</f>
        <v/>
      </c>
    </row>
    <row r="804" spans="1:13" x14ac:dyDescent="0.35">
      <c r="A804" s="10" t="str">
        <f>IF('All Cases - Enter Cases'!$F804="Sindh",'All Cases - Enter Cases'!A804,"")</f>
        <v/>
      </c>
      <c r="B804" t="str">
        <f>IF($A804&lt;&gt;"",'All Cases - Enter Cases'!B804,"")</f>
        <v/>
      </c>
      <c r="C804" t="str">
        <f>IF($A804&lt;&gt;"",'All Cases - Enter Cases'!C804,"")</f>
        <v/>
      </c>
      <c r="D804" t="str">
        <f>IF($A804&lt;&gt;"",'All Cases - Enter Cases'!D804,"")</f>
        <v/>
      </c>
      <c r="E804" t="str">
        <f>IF($A804&lt;&gt;"",'All Cases - Enter Cases'!E804,"")</f>
        <v/>
      </c>
      <c r="F804" t="str">
        <f>IF($A804&lt;&gt;"",'All Cases - Enter Cases'!F804,"")</f>
        <v/>
      </c>
      <c r="G804" t="str">
        <f>IF($A804&lt;&gt;"",'All Cases - Enter Cases'!G804,"")</f>
        <v/>
      </c>
      <c r="H804" t="str">
        <f>IF($A804&lt;&gt;"",'All Cases - Enter Cases'!H804,"")</f>
        <v/>
      </c>
      <c r="I804" t="str">
        <f>IF($A804&lt;&gt;"",'All Cases - Enter Cases'!I804,"")</f>
        <v/>
      </c>
      <c r="J804" t="str">
        <f>IF($A804&lt;&gt;"",'All Cases - Enter Cases'!J804,"")</f>
        <v/>
      </c>
      <c r="K804" s="4" t="str">
        <f>IF($A804&lt;&gt;"",'All Cases - Enter Cases'!K804,"")</f>
        <v/>
      </c>
      <c r="L804" t="str">
        <f>IF($A804&lt;&gt;"",'All Cases - Enter Cases'!L804,"")</f>
        <v/>
      </c>
      <c r="M804" t="str">
        <f>IF($A804&lt;&gt;"",'All Cases - Enter Cases'!M804,"")</f>
        <v/>
      </c>
    </row>
    <row r="805" spans="1:13" x14ac:dyDescent="0.35">
      <c r="A805" s="10" t="str">
        <f>IF('All Cases - Enter Cases'!$F805="Sindh",'All Cases - Enter Cases'!A805,"")</f>
        <v/>
      </c>
      <c r="B805" t="str">
        <f>IF($A805&lt;&gt;"",'All Cases - Enter Cases'!B805,"")</f>
        <v/>
      </c>
      <c r="C805" t="str">
        <f>IF($A805&lt;&gt;"",'All Cases - Enter Cases'!C805,"")</f>
        <v/>
      </c>
      <c r="D805" t="str">
        <f>IF($A805&lt;&gt;"",'All Cases - Enter Cases'!D805,"")</f>
        <v/>
      </c>
      <c r="E805" t="str">
        <f>IF($A805&lt;&gt;"",'All Cases - Enter Cases'!E805,"")</f>
        <v/>
      </c>
      <c r="F805" t="str">
        <f>IF($A805&lt;&gt;"",'All Cases - Enter Cases'!F805,"")</f>
        <v/>
      </c>
      <c r="G805" t="str">
        <f>IF($A805&lt;&gt;"",'All Cases - Enter Cases'!G805,"")</f>
        <v/>
      </c>
      <c r="H805" t="str">
        <f>IF($A805&lt;&gt;"",'All Cases - Enter Cases'!H805,"")</f>
        <v/>
      </c>
      <c r="I805" t="str">
        <f>IF($A805&lt;&gt;"",'All Cases - Enter Cases'!I805,"")</f>
        <v/>
      </c>
      <c r="J805" t="str">
        <f>IF($A805&lt;&gt;"",'All Cases - Enter Cases'!J805,"")</f>
        <v/>
      </c>
      <c r="K805" s="4" t="str">
        <f>IF($A805&lt;&gt;"",'All Cases - Enter Cases'!K805,"")</f>
        <v/>
      </c>
      <c r="L805" t="str">
        <f>IF($A805&lt;&gt;"",'All Cases - Enter Cases'!L805,"")</f>
        <v/>
      </c>
      <c r="M805" t="str">
        <f>IF($A805&lt;&gt;"",'All Cases - Enter Cases'!M805,"")</f>
        <v/>
      </c>
    </row>
    <row r="806" spans="1:13" x14ac:dyDescent="0.35">
      <c r="A806" s="10" t="str">
        <f>IF('All Cases - Enter Cases'!$F806="Sindh",'All Cases - Enter Cases'!A806,"")</f>
        <v/>
      </c>
      <c r="B806" t="str">
        <f>IF($A806&lt;&gt;"",'All Cases - Enter Cases'!B806,"")</f>
        <v/>
      </c>
      <c r="C806" t="str">
        <f>IF($A806&lt;&gt;"",'All Cases - Enter Cases'!C806,"")</f>
        <v/>
      </c>
      <c r="D806" t="str">
        <f>IF($A806&lt;&gt;"",'All Cases - Enter Cases'!D806,"")</f>
        <v/>
      </c>
      <c r="E806" t="str">
        <f>IF($A806&lt;&gt;"",'All Cases - Enter Cases'!E806,"")</f>
        <v/>
      </c>
      <c r="F806" t="str">
        <f>IF($A806&lt;&gt;"",'All Cases - Enter Cases'!F806,"")</f>
        <v/>
      </c>
      <c r="G806" t="str">
        <f>IF($A806&lt;&gt;"",'All Cases - Enter Cases'!G806,"")</f>
        <v/>
      </c>
      <c r="H806" t="str">
        <f>IF($A806&lt;&gt;"",'All Cases - Enter Cases'!H806,"")</f>
        <v/>
      </c>
      <c r="I806" t="str">
        <f>IF($A806&lt;&gt;"",'All Cases - Enter Cases'!I806,"")</f>
        <v/>
      </c>
      <c r="J806" t="str">
        <f>IF($A806&lt;&gt;"",'All Cases - Enter Cases'!J806,"")</f>
        <v/>
      </c>
      <c r="K806" s="4" t="str">
        <f>IF($A806&lt;&gt;"",'All Cases - Enter Cases'!K806,"")</f>
        <v/>
      </c>
      <c r="L806" t="str">
        <f>IF($A806&lt;&gt;"",'All Cases - Enter Cases'!L806,"")</f>
        <v/>
      </c>
      <c r="M806" t="str">
        <f>IF($A806&lt;&gt;"",'All Cases - Enter Cases'!M806,"")</f>
        <v/>
      </c>
    </row>
    <row r="807" spans="1:13" x14ac:dyDescent="0.35">
      <c r="A807" s="10" t="str">
        <f>IF('All Cases - Enter Cases'!$F807="Sindh",'All Cases - Enter Cases'!A807,"")</f>
        <v/>
      </c>
      <c r="B807" t="str">
        <f>IF($A807&lt;&gt;"",'All Cases - Enter Cases'!B807,"")</f>
        <v/>
      </c>
      <c r="C807" t="str">
        <f>IF($A807&lt;&gt;"",'All Cases - Enter Cases'!C807,"")</f>
        <v/>
      </c>
      <c r="D807" t="str">
        <f>IF($A807&lt;&gt;"",'All Cases - Enter Cases'!D807,"")</f>
        <v/>
      </c>
      <c r="E807" t="str">
        <f>IF($A807&lt;&gt;"",'All Cases - Enter Cases'!E807,"")</f>
        <v/>
      </c>
      <c r="F807" t="str">
        <f>IF($A807&lt;&gt;"",'All Cases - Enter Cases'!F807,"")</f>
        <v/>
      </c>
      <c r="G807" t="str">
        <f>IF($A807&lt;&gt;"",'All Cases - Enter Cases'!G807,"")</f>
        <v/>
      </c>
      <c r="H807" t="str">
        <f>IF($A807&lt;&gt;"",'All Cases - Enter Cases'!H807,"")</f>
        <v/>
      </c>
      <c r="I807" t="str">
        <f>IF($A807&lt;&gt;"",'All Cases - Enter Cases'!I807,"")</f>
        <v/>
      </c>
      <c r="J807" t="str">
        <f>IF($A807&lt;&gt;"",'All Cases - Enter Cases'!J807,"")</f>
        <v/>
      </c>
      <c r="K807" s="4" t="str">
        <f>IF($A807&lt;&gt;"",'All Cases - Enter Cases'!K807,"")</f>
        <v/>
      </c>
      <c r="L807" t="str">
        <f>IF($A807&lt;&gt;"",'All Cases - Enter Cases'!L807,"")</f>
        <v/>
      </c>
      <c r="M807" t="str">
        <f>IF($A807&lt;&gt;"",'All Cases - Enter Cases'!M807,"")</f>
        <v/>
      </c>
    </row>
    <row r="808" spans="1:13" x14ac:dyDescent="0.35">
      <c r="A808" s="10" t="str">
        <f>IF('All Cases - Enter Cases'!$F808="Sindh",'All Cases - Enter Cases'!A808,"")</f>
        <v/>
      </c>
      <c r="B808" t="str">
        <f>IF($A808&lt;&gt;"",'All Cases - Enter Cases'!B808,"")</f>
        <v/>
      </c>
      <c r="C808" t="str">
        <f>IF($A808&lt;&gt;"",'All Cases - Enter Cases'!C808,"")</f>
        <v/>
      </c>
      <c r="D808" t="str">
        <f>IF($A808&lt;&gt;"",'All Cases - Enter Cases'!D808,"")</f>
        <v/>
      </c>
      <c r="E808" t="str">
        <f>IF($A808&lt;&gt;"",'All Cases - Enter Cases'!E808,"")</f>
        <v/>
      </c>
      <c r="F808" t="str">
        <f>IF($A808&lt;&gt;"",'All Cases - Enter Cases'!F808,"")</f>
        <v/>
      </c>
      <c r="G808" t="str">
        <f>IF($A808&lt;&gt;"",'All Cases - Enter Cases'!G808,"")</f>
        <v/>
      </c>
      <c r="H808" t="str">
        <f>IF($A808&lt;&gt;"",'All Cases - Enter Cases'!H808,"")</f>
        <v/>
      </c>
      <c r="I808" t="str">
        <f>IF($A808&lt;&gt;"",'All Cases - Enter Cases'!I808,"")</f>
        <v/>
      </c>
      <c r="J808" t="str">
        <f>IF($A808&lt;&gt;"",'All Cases - Enter Cases'!J808,"")</f>
        <v/>
      </c>
      <c r="K808" s="4" t="str">
        <f>IF($A808&lt;&gt;"",'All Cases - Enter Cases'!K808,"")</f>
        <v/>
      </c>
      <c r="L808" t="str">
        <f>IF($A808&lt;&gt;"",'All Cases - Enter Cases'!L808,"")</f>
        <v/>
      </c>
      <c r="M808" t="str">
        <f>IF($A808&lt;&gt;"",'All Cases - Enter Cases'!M808,"")</f>
        <v/>
      </c>
    </row>
    <row r="809" spans="1:13" x14ac:dyDescent="0.35">
      <c r="A809" s="10" t="str">
        <f>IF('All Cases - Enter Cases'!$F809="Sindh",'All Cases - Enter Cases'!A809,"")</f>
        <v/>
      </c>
      <c r="B809" t="str">
        <f>IF($A809&lt;&gt;"",'All Cases - Enter Cases'!B809,"")</f>
        <v/>
      </c>
      <c r="C809" t="str">
        <f>IF($A809&lt;&gt;"",'All Cases - Enter Cases'!C809,"")</f>
        <v/>
      </c>
      <c r="D809" t="str">
        <f>IF($A809&lt;&gt;"",'All Cases - Enter Cases'!D809,"")</f>
        <v/>
      </c>
      <c r="E809" t="str">
        <f>IF($A809&lt;&gt;"",'All Cases - Enter Cases'!E809,"")</f>
        <v/>
      </c>
      <c r="F809" t="str">
        <f>IF($A809&lt;&gt;"",'All Cases - Enter Cases'!F809,"")</f>
        <v/>
      </c>
      <c r="G809" t="str">
        <f>IF($A809&lt;&gt;"",'All Cases - Enter Cases'!G809,"")</f>
        <v/>
      </c>
      <c r="H809" t="str">
        <f>IF($A809&lt;&gt;"",'All Cases - Enter Cases'!H809,"")</f>
        <v/>
      </c>
      <c r="I809" t="str">
        <f>IF($A809&lt;&gt;"",'All Cases - Enter Cases'!I809,"")</f>
        <v/>
      </c>
      <c r="J809" t="str">
        <f>IF($A809&lt;&gt;"",'All Cases - Enter Cases'!J809,"")</f>
        <v/>
      </c>
      <c r="K809" s="4" t="str">
        <f>IF($A809&lt;&gt;"",'All Cases - Enter Cases'!K809,"")</f>
        <v/>
      </c>
      <c r="L809" t="str">
        <f>IF($A809&lt;&gt;"",'All Cases - Enter Cases'!L809,"")</f>
        <v/>
      </c>
      <c r="M809" t="str">
        <f>IF($A809&lt;&gt;"",'All Cases - Enter Cases'!M809,"")</f>
        <v/>
      </c>
    </row>
    <row r="810" spans="1:13" x14ac:dyDescent="0.35">
      <c r="A810" s="10" t="str">
        <f>IF('All Cases - Enter Cases'!$F810="Sindh",'All Cases - Enter Cases'!A810,"")</f>
        <v/>
      </c>
      <c r="B810" t="str">
        <f>IF($A810&lt;&gt;"",'All Cases - Enter Cases'!B810,"")</f>
        <v/>
      </c>
      <c r="C810" t="str">
        <f>IF($A810&lt;&gt;"",'All Cases - Enter Cases'!C810,"")</f>
        <v/>
      </c>
      <c r="D810" t="str">
        <f>IF($A810&lt;&gt;"",'All Cases - Enter Cases'!D810,"")</f>
        <v/>
      </c>
      <c r="E810" t="str">
        <f>IF($A810&lt;&gt;"",'All Cases - Enter Cases'!E810,"")</f>
        <v/>
      </c>
      <c r="F810" t="str">
        <f>IF($A810&lt;&gt;"",'All Cases - Enter Cases'!F810,"")</f>
        <v/>
      </c>
      <c r="G810" t="str">
        <f>IF($A810&lt;&gt;"",'All Cases - Enter Cases'!G810,"")</f>
        <v/>
      </c>
      <c r="H810" t="str">
        <f>IF($A810&lt;&gt;"",'All Cases - Enter Cases'!H810,"")</f>
        <v/>
      </c>
      <c r="I810" t="str">
        <f>IF($A810&lt;&gt;"",'All Cases - Enter Cases'!I810,"")</f>
        <v/>
      </c>
      <c r="J810" t="str">
        <f>IF($A810&lt;&gt;"",'All Cases - Enter Cases'!J810,"")</f>
        <v/>
      </c>
      <c r="K810" s="4" t="str">
        <f>IF($A810&lt;&gt;"",'All Cases - Enter Cases'!K810,"")</f>
        <v/>
      </c>
      <c r="L810" t="str">
        <f>IF($A810&lt;&gt;"",'All Cases - Enter Cases'!L810,"")</f>
        <v/>
      </c>
      <c r="M810" t="str">
        <f>IF($A810&lt;&gt;"",'All Cases - Enter Cases'!M810,"")</f>
        <v/>
      </c>
    </row>
    <row r="811" spans="1:13" x14ac:dyDescent="0.35">
      <c r="A811" s="10" t="str">
        <f>IF('All Cases - Enter Cases'!$F811="Sindh",'All Cases - Enter Cases'!A811,"")</f>
        <v/>
      </c>
      <c r="B811" t="str">
        <f>IF($A811&lt;&gt;"",'All Cases - Enter Cases'!B811,"")</f>
        <v/>
      </c>
      <c r="C811" t="str">
        <f>IF($A811&lt;&gt;"",'All Cases - Enter Cases'!C811,"")</f>
        <v/>
      </c>
      <c r="D811" t="str">
        <f>IF($A811&lt;&gt;"",'All Cases - Enter Cases'!D811,"")</f>
        <v/>
      </c>
      <c r="E811" t="str">
        <f>IF($A811&lt;&gt;"",'All Cases - Enter Cases'!E811,"")</f>
        <v/>
      </c>
      <c r="F811" t="str">
        <f>IF($A811&lt;&gt;"",'All Cases - Enter Cases'!F811,"")</f>
        <v/>
      </c>
      <c r="G811" t="str">
        <f>IF($A811&lt;&gt;"",'All Cases - Enter Cases'!G811,"")</f>
        <v/>
      </c>
      <c r="H811" t="str">
        <f>IF($A811&lt;&gt;"",'All Cases - Enter Cases'!H811,"")</f>
        <v/>
      </c>
      <c r="I811" t="str">
        <f>IF($A811&lt;&gt;"",'All Cases - Enter Cases'!I811,"")</f>
        <v/>
      </c>
      <c r="J811" t="str">
        <f>IF($A811&lt;&gt;"",'All Cases - Enter Cases'!J811,"")</f>
        <v/>
      </c>
      <c r="K811" s="4" t="str">
        <f>IF($A811&lt;&gt;"",'All Cases - Enter Cases'!K811,"")</f>
        <v/>
      </c>
      <c r="L811" t="str">
        <f>IF($A811&lt;&gt;"",'All Cases - Enter Cases'!L811,"")</f>
        <v/>
      </c>
      <c r="M811" t="str">
        <f>IF($A811&lt;&gt;"",'All Cases - Enter Cases'!M811,"")</f>
        <v/>
      </c>
    </row>
    <row r="812" spans="1:13" x14ac:dyDescent="0.35">
      <c r="A812" s="10" t="str">
        <f>IF('All Cases - Enter Cases'!$F812="Sindh",'All Cases - Enter Cases'!A812,"")</f>
        <v/>
      </c>
      <c r="B812" t="str">
        <f>IF($A812&lt;&gt;"",'All Cases - Enter Cases'!B812,"")</f>
        <v/>
      </c>
      <c r="C812" t="str">
        <f>IF($A812&lt;&gt;"",'All Cases - Enter Cases'!C812,"")</f>
        <v/>
      </c>
      <c r="D812" t="str">
        <f>IF($A812&lt;&gt;"",'All Cases - Enter Cases'!D812,"")</f>
        <v/>
      </c>
      <c r="E812" t="str">
        <f>IF($A812&lt;&gt;"",'All Cases - Enter Cases'!E812,"")</f>
        <v/>
      </c>
      <c r="F812" t="str">
        <f>IF($A812&lt;&gt;"",'All Cases - Enter Cases'!F812,"")</f>
        <v/>
      </c>
      <c r="G812" t="str">
        <f>IF($A812&lt;&gt;"",'All Cases - Enter Cases'!G812,"")</f>
        <v/>
      </c>
      <c r="H812" t="str">
        <f>IF($A812&lt;&gt;"",'All Cases - Enter Cases'!H812,"")</f>
        <v/>
      </c>
      <c r="I812" t="str">
        <f>IF($A812&lt;&gt;"",'All Cases - Enter Cases'!I812,"")</f>
        <v/>
      </c>
      <c r="J812" t="str">
        <f>IF($A812&lt;&gt;"",'All Cases - Enter Cases'!J812,"")</f>
        <v/>
      </c>
      <c r="K812" s="4" t="str">
        <f>IF($A812&lt;&gt;"",'All Cases - Enter Cases'!K812,"")</f>
        <v/>
      </c>
      <c r="L812" t="str">
        <f>IF($A812&lt;&gt;"",'All Cases - Enter Cases'!L812,"")</f>
        <v/>
      </c>
      <c r="M812" t="str">
        <f>IF($A812&lt;&gt;"",'All Cases - Enter Cases'!M812,"")</f>
        <v/>
      </c>
    </row>
    <row r="813" spans="1:13" x14ac:dyDescent="0.35">
      <c r="A813" s="10" t="str">
        <f>IF('All Cases - Enter Cases'!$F813="Sindh",'All Cases - Enter Cases'!A813,"")</f>
        <v/>
      </c>
      <c r="B813" t="str">
        <f>IF($A813&lt;&gt;"",'All Cases - Enter Cases'!B813,"")</f>
        <v/>
      </c>
      <c r="C813" t="str">
        <f>IF($A813&lt;&gt;"",'All Cases - Enter Cases'!C813,"")</f>
        <v/>
      </c>
      <c r="D813" t="str">
        <f>IF($A813&lt;&gt;"",'All Cases - Enter Cases'!D813,"")</f>
        <v/>
      </c>
      <c r="E813" t="str">
        <f>IF($A813&lt;&gt;"",'All Cases - Enter Cases'!E813,"")</f>
        <v/>
      </c>
      <c r="F813" t="str">
        <f>IF($A813&lt;&gt;"",'All Cases - Enter Cases'!F813,"")</f>
        <v/>
      </c>
      <c r="G813" t="str">
        <f>IF($A813&lt;&gt;"",'All Cases - Enter Cases'!G813,"")</f>
        <v/>
      </c>
      <c r="H813" t="str">
        <f>IF($A813&lt;&gt;"",'All Cases - Enter Cases'!H813,"")</f>
        <v/>
      </c>
      <c r="I813" t="str">
        <f>IF($A813&lt;&gt;"",'All Cases - Enter Cases'!I813,"")</f>
        <v/>
      </c>
      <c r="J813" t="str">
        <f>IF($A813&lt;&gt;"",'All Cases - Enter Cases'!J813,"")</f>
        <v/>
      </c>
      <c r="K813" s="4" t="str">
        <f>IF($A813&lt;&gt;"",'All Cases - Enter Cases'!K813,"")</f>
        <v/>
      </c>
      <c r="L813" t="str">
        <f>IF($A813&lt;&gt;"",'All Cases - Enter Cases'!L813,"")</f>
        <v/>
      </c>
      <c r="M813" t="str">
        <f>IF($A813&lt;&gt;"",'All Cases - Enter Cases'!M813,"")</f>
        <v/>
      </c>
    </row>
    <row r="814" spans="1:13" x14ac:dyDescent="0.35">
      <c r="A814" s="10" t="str">
        <f>IF('All Cases - Enter Cases'!$F814="Sindh",'All Cases - Enter Cases'!A814,"")</f>
        <v/>
      </c>
      <c r="B814" t="str">
        <f>IF($A814&lt;&gt;"",'All Cases - Enter Cases'!B814,"")</f>
        <v/>
      </c>
      <c r="C814" t="str">
        <f>IF($A814&lt;&gt;"",'All Cases - Enter Cases'!C814,"")</f>
        <v/>
      </c>
      <c r="D814" t="str">
        <f>IF($A814&lt;&gt;"",'All Cases - Enter Cases'!D814,"")</f>
        <v/>
      </c>
      <c r="E814" t="str">
        <f>IF($A814&lt;&gt;"",'All Cases - Enter Cases'!E814,"")</f>
        <v/>
      </c>
      <c r="F814" t="str">
        <f>IF($A814&lt;&gt;"",'All Cases - Enter Cases'!F814,"")</f>
        <v/>
      </c>
      <c r="G814" t="str">
        <f>IF($A814&lt;&gt;"",'All Cases - Enter Cases'!G814,"")</f>
        <v/>
      </c>
      <c r="H814" t="str">
        <f>IF($A814&lt;&gt;"",'All Cases - Enter Cases'!H814,"")</f>
        <v/>
      </c>
      <c r="I814" t="str">
        <f>IF($A814&lt;&gt;"",'All Cases - Enter Cases'!I814,"")</f>
        <v/>
      </c>
      <c r="J814" t="str">
        <f>IF($A814&lt;&gt;"",'All Cases - Enter Cases'!J814,"")</f>
        <v/>
      </c>
      <c r="K814" s="4" t="str">
        <f>IF($A814&lt;&gt;"",'All Cases - Enter Cases'!K814,"")</f>
        <v/>
      </c>
      <c r="L814" t="str">
        <f>IF($A814&lt;&gt;"",'All Cases - Enter Cases'!L814,"")</f>
        <v/>
      </c>
      <c r="M814" t="str">
        <f>IF($A814&lt;&gt;"",'All Cases - Enter Cases'!M814,"")</f>
        <v/>
      </c>
    </row>
    <row r="815" spans="1:13" x14ac:dyDescent="0.35">
      <c r="A815" s="10" t="str">
        <f>IF('All Cases - Enter Cases'!$F815="Sindh",'All Cases - Enter Cases'!A815,"")</f>
        <v/>
      </c>
      <c r="B815" t="str">
        <f>IF($A815&lt;&gt;"",'All Cases - Enter Cases'!B815,"")</f>
        <v/>
      </c>
      <c r="C815" t="str">
        <f>IF($A815&lt;&gt;"",'All Cases - Enter Cases'!C815,"")</f>
        <v/>
      </c>
      <c r="D815" t="str">
        <f>IF($A815&lt;&gt;"",'All Cases - Enter Cases'!D815,"")</f>
        <v/>
      </c>
      <c r="E815" t="str">
        <f>IF($A815&lt;&gt;"",'All Cases - Enter Cases'!E815,"")</f>
        <v/>
      </c>
      <c r="F815" t="str">
        <f>IF($A815&lt;&gt;"",'All Cases - Enter Cases'!F815,"")</f>
        <v/>
      </c>
      <c r="G815" t="str">
        <f>IF($A815&lt;&gt;"",'All Cases - Enter Cases'!G815,"")</f>
        <v/>
      </c>
      <c r="H815" t="str">
        <f>IF($A815&lt;&gt;"",'All Cases - Enter Cases'!H815,"")</f>
        <v/>
      </c>
      <c r="I815" t="str">
        <f>IF($A815&lt;&gt;"",'All Cases - Enter Cases'!I815,"")</f>
        <v/>
      </c>
      <c r="J815" t="str">
        <f>IF($A815&lt;&gt;"",'All Cases - Enter Cases'!J815,"")</f>
        <v/>
      </c>
      <c r="K815" s="4" t="str">
        <f>IF($A815&lt;&gt;"",'All Cases - Enter Cases'!K815,"")</f>
        <v/>
      </c>
      <c r="L815" t="str">
        <f>IF($A815&lt;&gt;"",'All Cases - Enter Cases'!L815,"")</f>
        <v/>
      </c>
      <c r="M815" t="str">
        <f>IF($A815&lt;&gt;"",'All Cases - Enter Cases'!M815,"")</f>
        <v/>
      </c>
    </row>
    <row r="816" spans="1:13" x14ac:dyDescent="0.35">
      <c r="A816" s="10" t="str">
        <f>IF('All Cases - Enter Cases'!$F816="Sindh",'All Cases - Enter Cases'!A816,"")</f>
        <v/>
      </c>
      <c r="B816" t="str">
        <f>IF($A816&lt;&gt;"",'All Cases - Enter Cases'!B816,"")</f>
        <v/>
      </c>
      <c r="C816" t="str">
        <f>IF($A816&lt;&gt;"",'All Cases - Enter Cases'!C816,"")</f>
        <v/>
      </c>
      <c r="D816" t="str">
        <f>IF($A816&lt;&gt;"",'All Cases - Enter Cases'!D816,"")</f>
        <v/>
      </c>
      <c r="E816" t="str">
        <f>IF($A816&lt;&gt;"",'All Cases - Enter Cases'!E816,"")</f>
        <v/>
      </c>
      <c r="F816" t="str">
        <f>IF($A816&lt;&gt;"",'All Cases - Enter Cases'!F816,"")</f>
        <v/>
      </c>
      <c r="G816" t="str">
        <f>IF($A816&lt;&gt;"",'All Cases - Enter Cases'!G816,"")</f>
        <v/>
      </c>
      <c r="H816" t="str">
        <f>IF($A816&lt;&gt;"",'All Cases - Enter Cases'!H816,"")</f>
        <v/>
      </c>
      <c r="I816" t="str">
        <f>IF($A816&lt;&gt;"",'All Cases - Enter Cases'!I816,"")</f>
        <v/>
      </c>
      <c r="J816" t="str">
        <f>IF($A816&lt;&gt;"",'All Cases - Enter Cases'!J816,"")</f>
        <v/>
      </c>
      <c r="K816" s="4" t="str">
        <f>IF($A816&lt;&gt;"",'All Cases - Enter Cases'!K816,"")</f>
        <v/>
      </c>
      <c r="L816" t="str">
        <f>IF($A816&lt;&gt;"",'All Cases - Enter Cases'!L816,"")</f>
        <v/>
      </c>
      <c r="M816" t="str">
        <f>IF($A816&lt;&gt;"",'All Cases - Enter Cases'!M816,"")</f>
        <v/>
      </c>
    </row>
    <row r="817" spans="1:13" x14ac:dyDescent="0.35">
      <c r="A817" s="10" t="str">
        <f>IF('All Cases - Enter Cases'!$F817="Sindh",'All Cases - Enter Cases'!A817,"")</f>
        <v/>
      </c>
      <c r="B817" t="str">
        <f>IF($A817&lt;&gt;"",'All Cases - Enter Cases'!B817,"")</f>
        <v/>
      </c>
      <c r="C817" t="str">
        <f>IF($A817&lt;&gt;"",'All Cases - Enter Cases'!C817,"")</f>
        <v/>
      </c>
      <c r="D817" t="str">
        <f>IF($A817&lt;&gt;"",'All Cases - Enter Cases'!D817,"")</f>
        <v/>
      </c>
      <c r="E817" t="str">
        <f>IF($A817&lt;&gt;"",'All Cases - Enter Cases'!E817,"")</f>
        <v/>
      </c>
      <c r="F817" t="str">
        <f>IF($A817&lt;&gt;"",'All Cases - Enter Cases'!F817,"")</f>
        <v/>
      </c>
      <c r="G817" t="str">
        <f>IF($A817&lt;&gt;"",'All Cases - Enter Cases'!G817,"")</f>
        <v/>
      </c>
      <c r="H817" t="str">
        <f>IF($A817&lt;&gt;"",'All Cases - Enter Cases'!H817,"")</f>
        <v/>
      </c>
      <c r="I817" t="str">
        <f>IF($A817&lt;&gt;"",'All Cases - Enter Cases'!I817,"")</f>
        <v/>
      </c>
      <c r="J817" t="str">
        <f>IF($A817&lt;&gt;"",'All Cases - Enter Cases'!J817,"")</f>
        <v/>
      </c>
      <c r="K817" s="4" t="str">
        <f>IF($A817&lt;&gt;"",'All Cases - Enter Cases'!K817,"")</f>
        <v/>
      </c>
      <c r="L817" t="str">
        <f>IF($A817&lt;&gt;"",'All Cases - Enter Cases'!L817,"")</f>
        <v/>
      </c>
      <c r="M817" t="str">
        <f>IF($A817&lt;&gt;"",'All Cases - Enter Cases'!M817,"")</f>
        <v/>
      </c>
    </row>
    <row r="818" spans="1:13" x14ac:dyDescent="0.35">
      <c r="A818" s="10" t="str">
        <f>IF('All Cases - Enter Cases'!$F818="Sindh",'All Cases - Enter Cases'!A818,"")</f>
        <v/>
      </c>
      <c r="B818" t="str">
        <f>IF($A818&lt;&gt;"",'All Cases - Enter Cases'!B818,"")</f>
        <v/>
      </c>
      <c r="C818" t="str">
        <f>IF($A818&lt;&gt;"",'All Cases - Enter Cases'!C818,"")</f>
        <v/>
      </c>
      <c r="D818" t="str">
        <f>IF($A818&lt;&gt;"",'All Cases - Enter Cases'!D818,"")</f>
        <v/>
      </c>
      <c r="E818" t="str">
        <f>IF($A818&lt;&gt;"",'All Cases - Enter Cases'!E818,"")</f>
        <v/>
      </c>
      <c r="F818" t="str">
        <f>IF($A818&lt;&gt;"",'All Cases - Enter Cases'!F818,"")</f>
        <v/>
      </c>
      <c r="G818" t="str">
        <f>IF($A818&lt;&gt;"",'All Cases - Enter Cases'!G818,"")</f>
        <v/>
      </c>
      <c r="H818" t="str">
        <f>IF($A818&lt;&gt;"",'All Cases - Enter Cases'!H818,"")</f>
        <v/>
      </c>
      <c r="I818" t="str">
        <f>IF($A818&lt;&gt;"",'All Cases - Enter Cases'!I818,"")</f>
        <v/>
      </c>
      <c r="J818" t="str">
        <f>IF($A818&lt;&gt;"",'All Cases - Enter Cases'!J818,"")</f>
        <v/>
      </c>
      <c r="K818" s="4" t="str">
        <f>IF($A818&lt;&gt;"",'All Cases - Enter Cases'!K818,"")</f>
        <v/>
      </c>
      <c r="L818" t="str">
        <f>IF($A818&lt;&gt;"",'All Cases - Enter Cases'!L818,"")</f>
        <v/>
      </c>
      <c r="M818" t="str">
        <f>IF($A818&lt;&gt;"",'All Cases - Enter Cases'!M818,"")</f>
        <v/>
      </c>
    </row>
    <row r="819" spans="1:13" x14ac:dyDescent="0.35">
      <c r="A819" s="10" t="str">
        <f>IF('All Cases - Enter Cases'!$F819="Sindh",'All Cases - Enter Cases'!A819,"")</f>
        <v/>
      </c>
      <c r="B819" t="str">
        <f>IF($A819&lt;&gt;"",'All Cases - Enter Cases'!B819,"")</f>
        <v/>
      </c>
      <c r="C819" t="str">
        <f>IF($A819&lt;&gt;"",'All Cases - Enter Cases'!C819,"")</f>
        <v/>
      </c>
      <c r="D819" t="str">
        <f>IF($A819&lt;&gt;"",'All Cases - Enter Cases'!D819,"")</f>
        <v/>
      </c>
      <c r="E819" t="str">
        <f>IF($A819&lt;&gt;"",'All Cases - Enter Cases'!E819,"")</f>
        <v/>
      </c>
      <c r="F819" t="str">
        <f>IF($A819&lt;&gt;"",'All Cases - Enter Cases'!F819,"")</f>
        <v/>
      </c>
      <c r="G819" t="str">
        <f>IF($A819&lt;&gt;"",'All Cases - Enter Cases'!G819,"")</f>
        <v/>
      </c>
      <c r="H819" t="str">
        <f>IF($A819&lt;&gt;"",'All Cases - Enter Cases'!H819,"")</f>
        <v/>
      </c>
      <c r="I819" t="str">
        <f>IF($A819&lt;&gt;"",'All Cases - Enter Cases'!I819,"")</f>
        <v/>
      </c>
      <c r="J819" t="str">
        <f>IF($A819&lt;&gt;"",'All Cases - Enter Cases'!J819,"")</f>
        <v/>
      </c>
      <c r="K819" s="4" t="str">
        <f>IF($A819&lt;&gt;"",'All Cases - Enter Cases'!K819,"")</f>
        <v/>
      </c>
      <c r="L819" t="str">
        <f>IF($A819&lt;&gt;"",'All Cases - Enter Cases'!L819,"")</f>
        <v/>
      </c>
      <c r="M819" t="str">
        <f>IF($A819&lt;&gt;"",'All Cases - Enter Cases'!M819,"")</f>
        <v/>
      </c>
    </row>
    <row r="820" spans="1:13" x14ac:dyDescent="0.35">
      <c r="A820" s="10" t="str">
        <f>IF('All Cases - Enter Cases'!$F820="Sindh",'All Cases - Enter Cases'!A820,"")</f>
        <v/>
      </c>
      <c r="B820" t="str">
        <f>IF($A820&lt;&gt;"",'All Cases - Enter Cases'!B820,"")</f>
        <v/>
      </c>
      <c r="C820" t="str">
        <f>IF($A820&lt;&gt;"",'All Cases - Enter Cases'!C820,"")</f>
        <v/>
      </c>
      <c r="D820" t="str">
        <f>IF($A820&lt;&gt;"",'All Cases - Enter Cases'!D820,"")</f>
        <v/>
      </c>
      <c r="E820" t="str">
        <f>IF($A820&lt;&gt;"",'All Cases - Enter Cases'!E820,"")</f>
        <v/>
      </c>
      <c r="F820" t="str">
        <f>IF($A820&lt;&gt;"",'All Cases - Enter Cases'!F820,"")</f>
        <v/>
      </c>
      <c r="G820" t="str">
        <f>IF($A820&lt;&gt;"",'All Cases - Enter Cases'!G820,"")</f>
        <v/>
      </c>
      <c r="H820" t="str">
        <f>IF($A820&lt;&gt;"",'All Cases - Enter Cases'!H820,"")</f>
        <v/>
      </c>
      <c r="I820" t="str">
        <f>IF($A820&lt;&gt;"",'All Cases - Enter Cases'!I820,"")</f>
        <v/>
      </c>
      <c r="J820" t="str">
        <f>IF($A820&lt;&gt;"",'All Cases - Enter Cases'!J820,"")</f>
        <v/>
      </c>
      <c r="K820" s="4" t="str">
        <f>IF($A820&lt;&gt;"",'All Cases - Enter Cases'!K820,"")</f>
        <v/>
      </c>
      <c r="L820" t="str">
        <f>IF($A820&lt;&gt;"",'All Cases - Enter Cases'!L820,"")</f>
        <v/>
      </c>
      <c r="M820" t="str">
        <f>IF($A820&lt;&gt;"",'All Cases - Enter Cases'!M820,"")</f>
        <v/>
      </c>
    </row>
    <row r="821" spans="1:13" x14ac:dyDescent="0.35">
      <c r="A821" s="10" t="str">
        <f>IF('All Cases - Enter Cases'!$F821="Sindh",'All Cases - Enter Cases'!A821,"")</f>
        <v/>
      </c>
      <c r="B821" t="str">
        <f>IF($A821&lt;&gt;"",'All Cases - Enter Cases'!B821,"")</f>
        <v/>
      </c>
      <c r="C821" t="str">
        <f>IF($A821&lt;&gt;"",'All Cases - Enter Cases'!C821,"")</f>
        <v/>
      </c>
      <c r="D821" t="str">
        <f>IF($A821&lt;&gt;"",'All Cases - Enter Cases'!D821,"")</f>
        <v/>
      </c>
      <c r="E821" t="str">
        <f>IF($A821&lt;&gt;"",'All Cases - Enter Cases'!E821,"")</f>
        <v/>
      </c>
      <c r="F821" t="str">
        <f>IF($A821&lt;&gt;"",'All Cases - Enter Cases'!F821,"")</f>
        <v/>
      </c>
      <c r="G821" t="str">
        <f>IF($A821&lt;&gt;"",'All Cases - Enter Cases'!G821,"")</f>
        <v/>
      </c>
      <c r="H821" t="str">
        <f>IF($A821&lt;&gt;"",'All Cases - Enter Cases'!H821,"")</f>
        <v/>
      </c>
      <c r="I821" t="str">
        <f>IF($A821&lt;&gt;"",'All Cases - Enter Cases'!I821,"")</f>
        <v/>
      </c>
      <c r="J821" t="str">
        <f>IF($A821&lt;&gt;"",'All Cases - Enter Cases'!J821,"")</f>
        <v/>
      </c>
      <c r="K821" s="4" t="str">
        <f>IF($A821&lt;&gt;"",'All Cases - Enter Cases'!K821,"")</f>
        <v/>
      </c>
      <c r="L821" t="str">
        <f>IF($A821&lt;&gt;"",'All Cases - Enter Cases'!L821,"")</f>
        <v/>
      </c>
      <c r="M821" t="str">
        <f>IF($A821&lt;&gt;"",'All Cases - Enter Cases'!M821,"")</f>
        <v/>
      </c>
    </row>
    <row r="822" spans="1:13" x14ac:dyDescent="0.35">
      <c r="A822" s="10" t="str">
        <f>IF('All Cases - Enter Cases'!$F822="Sindh",'All Cases - Enter Cases'!A822,"")</f>
        <v/>
      </c>
      <c r="B822" t="str">
        <f>IF($A822&lt;&gt;"",'All Cases - Enter Cases'!B822,"")</f>
        <v/>
      </c>
      <c r="C822" t="str">
        <f>IF($A822&lt;&gt;"",'All Cases - Enter Cases'!C822,"")</f>
        <v/>
      </c>
      <c r="D822" t="str">
        <f>IF($A822&lt;&gt;"",'All Cases - Enter Cases'!D822,"")</f>
        <v/>
      </c>
      <c r="E822" t="str">
        <f>IF($A822&lt;&gt;"",'All Cases - Enter Cases'!E822,"")</f>
        <v/>
      </c>
      <c r="F822" t="str">
        <f>IF($A822&lt;&gt;"",'All Cases - Enter Cases'!F822,"")</f>
        <v/>
      </c>
      <c r="G822" t="str">
        <f>IF($A822&lt;&gt;"",'All Cases - Enter Cases'!G822,"")</f>
        <v/>
      </c>
      <c r="H822" t="str">
        <f>IF($A822&lt;&gt;"",'All Cases - Enter Cases'!H822,"")</f>
        <v/>
      </c>
      <c r="I822" t="str">
        <f>IF($A822&lt;&gt;"",'All Cases - Enter Cases'!I822,"")</f>
        <v/>
      </c>
      <c r="J822" t="str">
        <f>IF($A822&lt;&gt;"",'All Cases - Enter Cases'!J822,"")</f>
        <v/>
      </c>
      <c r="K822" s="4" t="str">
        <f>IF($A822&lt;&gt;"",'All Cases - Enter Cases'!K822,"")</f>
        <v/>
      </c>
      <c r="L822" t="str">
        <f>IF($A822&lt;&gt;"",'All Cases - Enter Cases'!L822,"")</f>
        <v/>
      </c>
      <c r="M822" t="str">
        <f>IF($A822&lt;&gt;"",'All Cases - Enter Cases'!M822,"")</f>
        <v/>
      </c>
    </row>
    <row r="823" spans="1:13" x14ac:dyDescent="0.35">
      <c r="A823" s="10" t="str">
        <f>IF('All Cases - Enter Cases'!$F823="Sindh",'All Cases - Enter Cases'!A823,"")</f>
        <v/>
      </c>
      <c r="B823" t="str">
        <f>IF($A823&lt;&gt;"",'All Cases - Enter Cases'!B823,"")</f>
        <v/>
      </c>
      <c r="C823" t="str">
        <f>IF($A823&lt;&gt;"",'All Cases - Enter Cases'!C823,"")</f>
        <v/>
      </c>
      <c r="D823" t="str">
        <f>IF($A823&lt;&gt;"",'All Cases - Enter Cases'!D823,"")</f>
        <v/>
      </c>
      <c r="E823" t="str">
        <f>IF($A823&lt;&gt;"",'All Cases - Enter Cases'!E823,"")</f>
        <v/>
      </c>
      <c r="F823" t="str">
        <f>IF($A823&lt;&gt;"",'All Cases - Enter Cases'!F823,"")</f>
        <v/>
      </c>
      <c r="G823" t="str">
        <f>IF($A823&lt;&gt;"",'All Cases - Enter Cases'!G823,"")</f>
        <v/>
      </c>
      <c r="H823" t="str">
        <f>IF($A823&lt;&gt;"",'All Cases - Enter Cases'!H823,"")</f>
        <v/>
      </c>
      <c r="I823" t="str">
        <f>IF($A823&lt;&gt;"",'All Cases - Enter Cases'!I823,"")</f>
        <v/>
      </c>
      <c r="J823" t="str">
        <f>IF($A823&lt;&gt;"",'All Cases - Enter Cases'!J823,"")</f>
        <v/>
      </c>
      <c r="K823" s="4" t="str">
        <f>IF($A823&lt;&gt;"",'All Cases - Enter Cases'!K823,"")</f>
        <v/>
      </c>
      <c r="L823" t="str">
        <f>IF($A823&lt;&gt;"",'All Cases - Enter Cases'!L823,"")</f>
        <v/>
      </c>
      <c r="M823" t="str">
        <f>IF($A823&lt;&gt;"",'All Cases - Enter Cases'!M823,"")</f>
        <v/>
      </c>
    </row>
    <row r="824" spans="1:13" x14ac:dyDescent="0.35">
      <c r="A824" s="10" t="str">
        <f>IF('All Cases - Enter Cases'!$F824="Sindh",'All Cases - Enter Cases'!A824,"")</f>
        <v/>
      </c>
      <c r="B824" t="str">
        <f>IF($A824&lt;&gt;"",'All Cases - Enter Cases'!B824,"")</f>
        <v/>
      </c>
      <c r="C824" t="str">
        <f>IF($A824&lt;&gt;"",'All Cases - Enter Cases'!C824,"")</f>
        <v/>
      </c>
      <c r="D824" t="str">
        <f>IF($A824&lt;&gt;"",'All Cases - Enter Cases'!D824,"")</f>
        <v/>
      </c>
      <c r="E824" t="str">
        <f>IF($A824&lt;&gt;"",'All Cases - Enter Cases'!E824,"")</f>
        <v/>
      </c>
      <c r="F824" t="str">
        <f>IF($A824&lt;&gt;"",'All Cases - Enter Cases'!F824,"")</f>
        <v/>
      </c>
      <c r="G824" t="str">
        <f>IF($A824&lt;&gt;"",'All Cases - Enter Cases'!G824,"")</f>
        <v/>
      </c>
      <c r="H824" t="str">
        <f>IF($A824&lt;&gt;"",'All Cases - Enter Cases'!H824,"")</f>
        <v/>
      </c>
      <c r="I824" t="str">
        <f>IF($A824&lt;&gt;"",'All Cases - Enter Cases'!I824,"")</f>
        <v/>
      </c>
      <c r="J824" t="str">
        <f>IF($A824&lt;&gt;"",'All Cases - Enter Cases'!J824,"")</f>
        <v/>
      </c>
      <c r="K824" s="4" t="str">
        <f>IF($A824&lt;&gt;"",'All Cases - Enter Cases'!K824,"")</f>
        <v/>
      </c>
      <c r="L824" t="str">
        <f>IF($A824&lt;&gt;"",'All Cases - Enter Cases'!L824,"")</f>
        <v/>
      </c>
      <c r="M824" t="str">
        <f>IF($A824&lt;&gt;"",'All Cases - Enter Cases'!M824,"")</f>
        <v/>
      </c>
    </row>
    <row r="825" spans="1:13" x14ac:dyDescent="0.35">
      <c r="A825" s="10" t="str">
        <f>IF('All Cases - Enter Cases'!$F825="Sindh",'All Cases - Enter Cases'!A825,"")</f>
        <v/>
      </c>
      <c r="B825" t="str">
        <f>IF($A825&lt;&gt;"",'All Cases - Enter Cases'!B825,"")</f>
        <v/>
      </c>
      <c r="C825" t="str">
        <f>IF($A825&lt;&gt;"",'All Cases - Enter Cases'!C825,"")</f>
        <v/>
      </c>
      <c r="D825" t="str">
        <f>IF($A825&lt;&gt;"",'All Cases - Enter Cases'!D825,"")</f>
        <v/>
      </c>
      <c r="E825" t="str">
        <f>IF($A825&lt;&gt;"",'All Cases - Enter Cases'!E825,"")</f>
        <v/>
      </c>
      <c r="F825" t="str">
        <f>IF($A825&lt;&gt;"",'All Cases - Enter Cases'!F825,"")</f>
        <v/>
      </c>
      <c r="G825" t="str">
        <f>IF($A825&lt;&gt;"",'All Cases - Enter Cases'!G825,"")</f>
        <v/>
      </c>
      <c r="H825" t="str">
        <f>IF($A825&lt;&gt;"",'All Cases - Enter Cases'!H825,"")</f>
        <v/>
      </c>
      <c r="I825" t="str">
        <f>IF($A825&lt;&gt;"",'All Cases - Enter Cases'!I825,"")</f>
        <v/>
      </c>
      <c r="J825" t="str">
        <f>IF($A825&lt;&gt;"",'All Cases - Enter Cases'!J825,"")</f>
        <v/>
      </c>
      <c r="K825" s="4" t="str">
        <f>IF($A825&lt;&gt;"",'All Cases - Enter Cases'!K825,"")</f>
        <v/>
      </c>
      <c r="L825" t="str">
        <f>IF($A825&lt;&gt;"",'All Cases - Enter Cases'!L825,"")</f>
        <v/>
      </c>
      <c r="M825" t="str">
        <f>IF($A825&lt;&gt;"",'All Cases - Enter Cases'!M825,"")</f>
        <v/>
      </c>
    </row>
    <row r="826" spans="1:13" x14ac:dyDescent="0.35">
      <c r="A826" s="10" t="str">
        <f>IF('All Cases - Enter Cases'!$F826="Sindh",'All Cases - Enter Cases'!A826,"")</f>
        <v/>
      </c>
      <c r="B826" t="str">
        <f>IF($A826&lt;&gt;"",'All Cases - Enter Cases'!B826,"")</f>
        <v/>
      </c>
      <c r="C826" t="str">
        <f>IF($A826&lt;&gt;"",'All Cases - Enter Cases'!C826,"")</f>
        <v/>
      </c>
      <c r="D826" t="str">
        <f>IF($A826&lt;&gt;"",'All Cases - Enter Cases'!D826,"")</f>
        <v/>
      </c>
      <c r="E826" t="str">
        <f>IF($A826&lt;&gt;"",'All Cases - Enter Cases'!E826,"")</f>
        <v/>
      </c>
      <c r="F826" t="str">
        <f>IF($A826&lt;&gt;"",'All Cases - Enter Cases'!F826,"")</f>
        <v/>
      </c>
      <c r="G826" t="str">
        <f>IF($A826&lt;&gt;"",'All Cases - Enter Cases'!G826,"")</f>
        <v/>
      </c>
      <c r="H826" t="str">
        <f>IF($A826&lt;&gt;"",'All Cases - Enter Cases'!H826,"")</f>
        <v/>
      </c>
      <c r="I826" t="str">
        <f>IF($A826&lt;&gt;"",'All Cases - Enter Cases'!I826,"")</f>
        <v/>
      </c>
      <c r="J826" t="str">
        <f>IF($A826&lt;&gt;"",'All Cases - Enter Cases'!J826,"")</f>
        <v/>
      </c>
      <c r="K826" s="4" t="str">
        <f>IF($A826&lt;&gt;"",'All Cases - Enter Cases'!K826,"")</f>
        <v/>
      </c>
      <c r="L826" t="str">
        <f>IF($A826&lt;&gt;"",'All Cases - Enter Cases'!L826,"")</f>
        <v/>
      </c>
      <c r="M826" t="str">
        <f>IF($A826&lt;&gt;"",'All Cases - Enter Cases'!M826,"")</f>
        <v/>
      </c>
    </row>
    <row r="827" spans="1:13" x14ac:dyDescent="0.35">
      <c r="A827" s="10" t="str">
        <f>IF('All Cases - Enter Cases'!$F827="Sindh",'All Cases - Enter Cases'!A827,"")</f>
        <v/>
      </c>
      <c r="B827" t="str">
        <f>IF($A827&lt;&gt;"",'All Cases - Enter Cases'!B827,"")</f>
        <v/>
      </c>
      <c r="C827" t="str">
        <f>IF($A827&lt;&gt;"",'All Cases - Enter Cases'!C827,"")</f>
        <v/>
      </c>
      <c r="D827" t="str">
        <f>IF($A827&lt;&gt;"",'All Cases - Enter Cases'!D827,"")</f>
        <v/>
      </c>
      <c r="E827" t="str">
        <f>IF($A827&lt;&gt;"",'All Cases - Enter Cases'!E827,"")</f>
        <v/>
      </c>
      <c r="F827" t="str">
        <f>IF($A827&lt;&gt;"",'All Cases - Enter Cases'!F827,"")</f>
        <v/>
      </c>
      <c r="G827" t="str">
        <f>IF($A827&lt;&gt;"",'All Cases - Enter Cases'!G827,"")</f>
        <v/>
      </c>
      <c r="H827" t="str">
        <f>IF($A827&lt;&gt;"",'All Cases - Enter Cases'!H827,"")</f>
        <v/>
      </c>
      <c r="I827" t="str">
        <f>IF($A827&lt;&gt;"",'All Cases - Enter Cases'!I827,"")</f>
        <v/>
      </c>
      <c r="J827" t="str">
        <f>IF($A827&lt;&gt;"",'All Cases - Enter Cases'!J827,"")</f>
        <v/>
      </c>
      <c r="K827" s="4" t="str">
        <f>IF($A827&lt;&gt;"",'All Cases - Enter Cases'!K827,"")</f>
        <v/>
      </c>
      <c r="L827" t="str">
        <f>IF($A827&lt;&gt;"",'All Cases - Enter Cases'!L827,"")</f>
        <v/>
      </c>
      <c r="M827" t="str">
        <f>IF($A827&lt;&gt;"",'All Cases - Enter Cases'!M827,"")</f>
        <v/>
      </c>
    </row>
    <row r="828" spans="1:13" x14ac:dyDescent="0.35">
      <c r="A828" s="10" t="str">
        <f>IF('All Cases - Enter Cases'!$F828="Sindh",'All Cases - Enter Cases'!A828,"")</f>
        <v/>
      </c>
      <c r="B828" t="str">
        <f>IF($A828&lt;&gt;"",'All Cases - Enter Cases'!B828,"")</f>
        <v/>
      </c>
      <c r="C828" t="str">
        <f>IF($A828&lt;&gt;"",'All Cases - Enter Cases'!C828,"")</f>
        <v/>
      </c>
      <c r="D828" t="str">
        <f>IF($A828&lt;&gt;"",'All Cases - Enter Cases'!D828,"")</f>
        <v/>
      </c>
      <c r="E828" t="str">
        <f>IF($A828&lt;&gt;"",'All Cases - Enter Cases'!E828,"")</f>
        <v/>
      </c>
      <c r="F828" t="str">
        <f>IF($A828&lt;&gt;"",'All Cases - Enter Cases'!F828,"")</f>
        <v/>
      </c>
      <c r="G828" t="str">
        <f>IF($A828&lt;&gt;"",'All Cases - Enter Cases'!G828,"")</f>
        <v/>
      </c>
      <c r="H828" t="str">
        <f>IF($A828&lt;&gt;"",'All Cases - Enter Cases'!H828,"")</f>
        <v/>
      </c>
      <c r="I828" t="str">
        <f>IF($A828&lt;&gt;"",'All Cases - Enter Cases'!I828,"")</f>
        <v/>
      </c>
      <c r="J828" t="str">
        <f>IF($A828&lt;&gt;"",'All Cases - Enter Cases'!J828,"")</f>
        <v/>
      </c>
      <c r="K828" s="4" t="str">
        <f>IF($A828&lt;&gt;"",'All Cases - Enter Cases'!K828,"")</f>
        <v/>
      </c>
      <c r="L828" t="str">
        <f>IF($A828&lt;&gt;"",'All Cases - Enter Cases'!L828,"")</f>
        <v/>
      </c>
      <c r="M828" t="str">
        <f>IF($A828&lt;&gt;"",'All Cases - Enter Cases'!M828,"")</f>
        <v/>
      </c>
    </row>
    <row r="829" spans="1:13" x14ac:dyDescent="0.35">
      <c r="A829" s="10" t="str">
        <f>IF('All Cases - Enter Cases'!$F829="Sindh",'All Cases - Enter Cases'!A829,"")</f>
        <v/>
      </c>
      <c r="B829" t="str">
        <f>IF($A829&lt;&gt;"",'All Cases - Enter Cases'!B829,"")</f>
        <v/>
      </c>
      <c r="C829" t="str">
        <f>IF($A829&lt;&gt;"",'All Cases - Enter Cases'!C829,"")</f>
        <v/>
      </c>
      <c r="D829" t="str">
        <f>IF($A829&lt;&gt;"",'All Cases - Enter Cases'!D829,"")</f>
        <v/>
      </c>
      <c r="E829" t="str">
        <f>IF($A829&lt;&gt;"",'All Cases - Enter Cases'!E829,"")</f>
        <v/>
      </c>
      <c r="F829" t="str">
        <f>IF($A829&lt;&gt;"",'All Cases - Enter Cases'!F829,"")</f>
        <v/>
      </c>
      <c r="G829" t="str">
        <f>IF($A829&lt;&gt;"",'All Cases - Enter Cases'!G829,"")</f>
        <v/>
      </c>
      <c r="H829" t="str">
        <f>IF($A829&lt;&gt;"",'All Cases - Enter Cases'!H829,"")</f>
        <v/>
      </c>
      <c r="I829" t="str">
        <f>IF($A829&lt;&gt;"",'All Cases - Enter Cases'!I829,"")</f>
        <v/>
      </c>
      <c r="J829" t="str">
        <f>IF($A829&lt;&gt;"",'All Cases - Enter Cases'!J829,"")</f>
        <v/>
      </c>
      <c r="K829" s="4" t="str">
        <f>IF($A829&lt;&gt;"",'All Cases - Enter Cases'!K829,"")</f>
        <v/>
      </c>
      <c r="L829" t="str">
        <f>IF($A829&lt;&gt;"",'All Cases - Enter Cases'!L829,"")</f>
        <v/>
      </c>
      <c r="M829" t="str">
        <f>IF($A829&lt;&gt;"",'All Cases - Enter Cases'!M829,"")</f>
        <v/>
      </c>
    </row>
    <row r="830" spans="1:13" x14ac:dyDescent="0.35">
      <c r="A830" s="10" t="str">
        <f>IF('All Cases - Enter Cases'!$F830="Sindh",'All Cases - Enter Cases'!A830,"")</f>
        <v/>
      </c>
      <c r="B830" t="str">
        <f>IF($A830&lt;&gt;"",'All Cases - Enter Cases'!B830,"")</f>
        <v/>
      </c>
      <c r="C830" t="str">
        <f>IF($A830&lt;&gt;"",'All Cases - Enter Cases'!C830,"")</f>
        <v/>
      </c>
      <c r="D830" t="str">
        <f>IF($A830&lt;&gt;"",'All Cases - Enter Cases'!D830,"")</f>
        <v/>
      </c>
      <c r="E830" t="str">
        <f>IF($A830&lt;&gt;"",'All Cases - Enter Cases'!E830,"")</f>
        <v/>
      </c>
      <c r="F830" t="str">
        <f>IF($A830&lt;&gt;"",'All Cases - Enter Cases'!F830,"")</f>
        <v/>
      </c>
      <c r="G830" t="str">
        <f>IF($A830&lt;&gt;"",'All Cases - Enter Cases'!G830,"")</f>
        <v/>
      </c>
      <c r="H830" t="str">
        <f>IF($A830&lt;&gt;"",'All Cases - Enter Cases'!H830,"")</f>
        <v/>
      </c>
      <c r="I830" t="str">
        <f>IF($A830&lt;&gt;"",'All Cases - Enter Cases'!I830,"")</f>
        <v/>
      </c>
      <c r="J830" t="str">
        <f>IF($A830&lt;&gt;"",'All Cases - Enter Cases'!J830,"")</f>
        <v/>
      </c>
      <c r="K830" s="4" t="str">
        <f>IF($A830&lt;&gt;"",'All Cases - Enter Cases'!K830,"")</f>
        <v/>
      </c>
      <c r="L830" t="str">
        <f>IF($A830&lt;&gt;"",'All Cases - Enter Cases'!L830,"")</f>
        <v/>
      </c>
      <c r="M830" t="str">
        <f>IF($A830&lt;&gt;"",'All Cases - Enter Cases'!M830,"")</f>
        <v/>
      </c>
    </row>
    <row r="831" spans="1:13" x14ac:dyDescent="0.35">
      <c r="A831" s="10" t="str">
        <f>IF('All Cases - Enter Cases'!$F831="Sindh",'All Cases - Enter Cases'!A831,"")</f>
        <v/>
      </c>
      <c r="B831" t="str">
        <f>IF($A831&lt;&gt;"",'All Cases - Enter Cases'!B831,"")</f>
        <v/>
      </c>
      <c r="C831" t="str">
        <f>IF($A831&lt;&gt;"",'All Cases - Enter Cases'!C831,"")</f>
        <v/>
      </c>
      <c r="D831" t="str">
        <f>IF($A831&lt;&gt;"",'All Cases - Enter Cases'!D831,"")</f>
        <v/>
      </c>
      <c r="E831" t="str">
        <f>IF($A831&lt;&gt;"",'All Cases - Enter Cases'!E831,"")</f>
        <v/>
      </c>
      <c r="F831" t="str">
        <f>IF($A831&lt;&gt;"",'All Cases - Enter Cases'!F831,"")</f>
        <v/>
      </c>
      <c r="G831" t="str">
        <f>IF($A831&lt;&gt;"",'All Cases - Enter Cases'!G831,"")</f>
        <v/>
      </c>
      <c r="H831" t="str">
        <f>IF($A831&lt;&gt;"",'All Cases - Enter Cases'!H831,"")</f>
        <v/>
      </c>
      <c r="I831" t="str">
        <f>IF($A831&lt;&gt;"",'All Cases - Enter Cases'!I831,"")</f>
        <v/>
      </c>
      <c r="J831" t="str">
        <f>IF($A831&lt;&gt;"",'All Cases - Enter Cases'!J831,"")</f>
        <v/>
      </c>
      <c r="K831" s="4" t="str">
        <f>IF($A831&lt;&gt;"",'All Cases - Enter Cases'!K831,"")</f>
        <v/>
      </c>
      <c r="L831" t="str">
        <f>IF($A831&lt;&gt;"",'All Cases - Enter Cases'!L831,"")</f>
        <v/>
      </c>
      <c r="M831" t="str">
        <f>IF($A831&lt;&gt;"",'All Cases - Enter Cases'!M831,"")</f>
        <v/>
      </c>
    </row>
    <row r="832" spans="1:13" x14ac:dyDescent="0.35">
      <c r="A832" s="10" t="str">
        <f>IF('All Cases - Enter Cases'!$F832="Sindh",'All Cases - Enter Cases'!A832,"")</f>
        <v/>
      </c>
      <c r="B832" t="str">
        <f>IF($A832&lt;&gt;"",'All Cases - Enter Cases'!B832,"")</f>
        <v/>
      </c>
      <c r="C832" t="str">
        <f>IF($A832&lt;&gt;"",'All Cases - Enter Cases'!C832,"")</f>
        <v/>
      </c>
      <c r="D832" t="str">
        <f>IF($A832&lt;&gt;"",'All Cases - Enter Cases'!D832,"")</f>
        <v/>
      </c>
      <c r="E832" t="str">
        <f>IF($A832&lt;&gt;"",'All Cases - Enter Cases'!E832,"")</f>
        <v/>
      </c>
      <c r="F832" t="str">
        <f>IF($A832&lt;&gt;"",'All Cases - Enter Cases'!F832,"")</f>
        <v/>
      </c>
      <c r="G832" t="str">
        <f>IF($A832&lt;&gt;"",'All Cases - Enter Cases'!G832,"")</f>
        <v/>
      </c>
      <c r="H832" t="str">
        <f>IF($A832&lt;&gt;"",'All Cases - Enter Cases'!H832,"")</f>
        <v/>
      </c>
      <c r="I832" t="str">
        <f>IF($A832&lt;&gt;"",'All Cases - Enter Cases'!I832,"")</f>
        <v/>
      </c>
      <c r="J832" t="str">
        <f>IF($A832&lt;&gt;"",'All Cases - Enter Cases'!J832,"")</f>
        <v/>
      </c>
      <c r="K832" s="4" t="str">
        <f>IF($A832&lt;&gt;"",'All Cases - Enter Cases'!K832,"")</f>
        <v/>
      </c>
      <c r="L832" t="str">
        <f>IF($A832&lt;&gt;"",'All Cases - Enter Cases'!L832,"")</f>
        <v/>
      </c>
      <c r="M832" t="str">
        <f>IF($A832&lt;&gt;"",'All Cases - Enter Cases'!M832,"")</f>
        <v/>
      </c>
    </row>
    <row r="833" spans="1:13" x14ac:dyDescent="0.35">
      <c r="A833" s="10" t="str">
        <f>IF('All Cases - Enter Cases'!$F833="Sindh",'All Cases - Enter Cases'!A833,"")</f>
        <v/>
      </c>
      <c r="B833" t="str">
        <f>IF($A833&lt;&gt;"",'All Cases - Enter Cases'!B833,"")</f>
        <v/>
      </c>
      <c r="C833" t="str">
        <f>IF($A833&lt;&gt;"",'All Cases - Enter Cases'!C833,"")</f>
        <v/>
      </c>
      <c r="D833" t="str">
        <f>IF($A833&lt;&gt;"",'All Cases - Enter Cases'!D833,"")</f>
        <v/>
      </c>
      <c r="E833" t="str">
        <f>IF($A833&lt;&gt;"",'All Cases - Enter Cases'!E833,"")</f>
        <v/>
      </c>
      <c r="F833" t="str">
        <f>IF($A833&lt;&gt;"",'All Cases - Enter Cases'!F833,"")</f>
        <v/>
      </c>
      <c r="G833" t="str">
        <f>IF($A833&lt;&gt;"",'All Cases - Enter Cases'!G833,"")</f>
        <v/>
      </c>
      <c r="H833" t="str">
        <f>IF($A833&lt;&gt;"",'All Cases - Enter Cases'!H833,"")</f>
        <v/>
      </c>
      <c r="I833" t="str">
        <f>IF($A833&lt;&gt;"",'All Cases - Enter Cases'!I833,"")</f>
        <v/>
      </c>
      <c r="J833" t="str">
        <f>IF($A833&lt;&gt;"",'All Cases - Enter Cases'!J833,"")</f>
        <v/>
      </c>
      <c r="K833" s="4" t="str">
        <f>IF($A833&lt;&gt;"",'All Cases - Enter Cases'!K833,"")</f>
        <v/>
      </c>
      <c r="L833" t="str">
        <f>IF($A833&lt;&gt;"",'All Cases - Enter Cases'!L833,"")</f>
        <v/>
      </c>
      <c r="M833" t="str">
        <f>IF($A833&lt;&gt;"",'All Cases - Enter Cases'!M833,"")</f>
        <v/>
      </c>
    </row>
    <row r="834" spans="1:13" x14ac:dyDescent="0.35">
      <c r="A834" s="10" t="str">
        <f>IF('All Cases - Enter Cases'!$F834="Sindh",'All Cases - Enter Cases'!A834,"")</f>
        <v/>
      </c>
      <c r="B834" t="str">
        <f>IF($A834&lt;&gt;"",'All Cases - Enter Cases'!B834,"")</f>
        <v/>
      </c>
      <c r="C834" t="str">
        <f>IF($A834&lt;&gt;"",'All Cases - Enter Cases'!C834,"")</f>
        <v/>
      </c>
      <c r="D834" t="str">
        <f>IF($A834&lt;&gt;"",'All Cases - Enter Cases'!D834,"")</f>
        <v/>
      </c>
      <c r="E834" t="str">
        <f>IF($A834&lt;&gt;"",'All Cases - Enter Cases'!E834,"")</f>
        <v/>
      </c>
      <c r="F834" t="str">
        <f>IF($A834&lt;&gt;"",'All Cases - Enter Cases'!F834,"")</f>
        <v/>
      </c>
      <c r="G834" t="str">
        <f>IF($A834&lt;&gt;"",'All Cases - Enter Cases'!G834,"")</f>
        <v/>
      </c>
      <c r="H834" t="str">
        <f>IF($A834&lt;&gt;"",'All Cases - Enter Cases'!H834,"")</f>
        <v/>
      </c>
      <c r="I834" t="str">
        <f>IF($A834&lt;&gt;"",'All Cases - Enter Cases'!I834,"")</f>
        <v/>
      </c>
      <c r="J834" t="str">
        <f>IF($A834&lt;&gt;"",'All Cases - Enter Cases'!J834,"")</f>
        <v/>
      </c>
      <c r="K834" s="4" t="str">
        <f>IF($A834&lt;&gt;"",'All Cases - Enter Cases'!K834,"")</f>
        <v/>
      </c>
      <c r="L834" t="str">
        <f>IF($A834&lt;&gt;"",'All Cases - Enter Cases'!L834,"")</f>
        <v/>
      </c>
      <c r="M834" t="str">
        <f>IF($A834&lt;&gt;"",'All Cases - Enter Cases'!M834,"")</f>
        <v/>
      </c>
    </row>
    <row r="835" spans="1:13" x14ac:dyDescent="0.35">
      <c r="A835" s="10" t="str">
        <f>IF('All Cases - Enter Cases'!$F835="Sindh",'All Cases - Enter Cases'!A835,"")</f>
        <v/>
      </c>
      <c r="B835" t="str">
        <f>IF($A835&lt;&gt;"",'All Cases - Enter Cases'!B835,"")</f>
        <v/>
      </c>
      <c r="C835" t="str">
        <f>IF($A835&lt;&gt;"",'All Cases - Enter Cases'!C835,"")</f>
        <v/>
      </c>
      <c r="D835" t="str">
        <f>IF($A835&lt;&gt;"",'All Cases - Enter Cases'!D835,"")</f>
        <v/>
      </c>
      <c r="E835" t="str">
        <f>IF($A835&lt;&gt;"",'All Cases - Enter Cases'!E835,"")</f>
        <v/>
      </c>
      <c r="F835" t="str">
        <f>IF($A835&lt;&gt;"",'All Cases - Enter Cases'!F835,"")</f>
        <v/>
      </c>
      <c r="G835" t="str">
        <f>IF($A835&lt;&gt;"",'All Cases - Enter Cases'!G835,"")</f>
        <v/>
      </c>
      <c r="H835" t="str">
        <f>IF($A835&lt;&gt;"",'All Cases - Enter Cases'!H835,"")</f>
        <v/>
      </c>
      <c r="I835" t="str">
        <f>IF($A835&lt;&gt;"",'All Cases - Enter Cases'!I835,"")</f>
        <v/>
      </c>
      <c r="J835" t="str">
        <f>IF($A835&lt;&gt;"",'All Cases - Enter Cases'!J835,"")</f>
        <v/>
      </c>
      <c r="K835" s="4" t="str">
        <f>IF($A835&lt;&gt;"",'All Cases - Enter Cases'!K835,"")</f>
        <v/>
      </c>
      <c r="L835" t="str">
        <f>IF($A835&lt;&gt;"",'All Cases - Enter Cases'!L835,"")</f>
        <v/>
      </c>
      <c r="M835" t="str">
        <f>IF($A835&lt;&gt;"",'All Cases - Enter Cases'!M835,"")</f>
        <v/>
      </c>
    </row>
    <row r="836" spans="1:13" x14ac:dyDescent="0.35">
      <c r="A836" s="10" t="str">
        <f>IF('All Cases - Enter Cases'!$F836="Sindh",'All Cases - Enter Cases'!A836,"")</f>
        <v/>
      </c>
      <c r="B836" t="str">
        <f>IF($A836&lt;&gt;"",'All Cases - Enter Cases'!B836,"")</f>
        <v/>
      </c>
      <c r="C836" t="str">
        <f>IF($A836&lt;&gt;"",'All Cases - Enter Cases'!C836,"")</f>
        <v/>
      </c>
      <c r="D836" t="str">
        <f>IF($A836&lt;&gt;"",'All Cases - Enter Cases'!D836,"")</f>
        <v/>
      </c>
      <c r="E836" t="str">
        <f>IF($A836&lt;&gt;"",'All Cases - Enter Cases'!E836,"")</f>
        <v/>
      </c>
      <c r="F836" t="str">
        <f>IF($A836&lt;&gt;"",'All Cases - Enter Cases'!F836,"")</f>
        <v/>
      </c>
      <c r="G836" t="str">
        <f>IF($A836&lt;&gt;"",'All Cases - Enter Cases'!G836,"")</f>
        <v/>
      </c>
      <c r="H836" t="str">
        <f>IF($A836&lt;&gt;"",'All Cases - Enter Cases'!H836,"")</f>
        <v/>
      </c>
      <c r="I836" t="str">
        <f>IF($A836&lt;&gt;"",'All Cases - Enter Cases'!I836,"")</f>
        <v/>
      </c>
      <c r="J836" t="str">
        <f>IF($A836&lt;&gt;"",'All Cases - Enter Cases'!J836,"")</f>
        <v/>
      </c>
      <c r="K836" s="4" t="str">
        <f>IF($A836&lt;&gt;"",'All Cases - Enter Cases'!K836,"")</f>
        <v/>
      </c>
      <c r="L836" t="str">
        <f>IF($A836&lt;&gt;"",'All Cases - Enter Cases'!L836,"")</f>
        <v/>
      </c>
      <c r="M836" t="str">
        <f>IF($A836&lt;&gt;"",'All Cases - Enter Cases'!M836,"")</f>
        <v/>
      </c>
    </row>
    <row r="837" spans="1:13" x14ac:dyDescent="0.35">
      <c r="A837" s="10" t="str">
        <f>IF('All Cases - Enter Cases'!$F837="Sindh",'All Cases - Enter Cases'!A837,"")</f>
        <v/>
      </c>
      <c r="B837" t="str">
        <f>IF($A837&lt;&gt;"",'All Cases - Enter Cases'!B837,"")</f>
        <v/>
      </c>
      <c r="C837" t="str">
        <f>IF($A837&lt;&gt;"",'All Cases - Enter Cases'!C837,"")</f>
        <v/>
      </c>
      <c r="D837" t="str">
        <f>IF($A837&lt;&gt;"",'All Cases - Enter Cases'!D837,"")</f>
        <v/>
      </c>
      <c r="E837" t="str">
        <f>IF($A837&lt;&gt;"",'All Cases - Enter Cases'!E837,"")</f>
        <v/>
      </c>
      <c r="F837" t="str">
        <f>IF($A837&lt;&gt;"",'All Cases - Enter Cases'!F837,"")</f>
        <v/>
      </c>
      <c r="G837" t="str">
        <f>IF($A837&lt;&gt;"",'All Cases - Enter Cases'!G837,"")</f>
        <v/>
      </c>
      <c r="H837" t="str">
        <f>IF($A837&lt;&gt;"",'All Cases - Enter Cases'!H837,"")</f>
        <v/>
      </c>
      <c r="I837" t="str">
        <f>IF($A837&lt;&gt;"",'All Cases - Enter Cases'!I837,"")</f>
        <v/>
      </c>
      <c r="J837" t="str">
        <f>IF($A837&lt;&gt;"",'All Cases - Enter Cases'!J837,"")</f>
        <v/>
      </c>
      <c r="K837" s="4" t="str">
        <f>IF($A837&lt;&gt;"",'All Cases - Enter Cases'!K837,"")</f>
        <v/>
      </c>
      <c r="L837" t="str">
        <f>IF($A837&lt;&gt;"",'All Cases - Enter Cases'!L837,"")</f>
        <v/>
      </c>
      <c r="M837" t="str">
        <f>IF($A837&lt;&gt;"",'All Cases - Enter Cases'!M837,"")</f>
        <v/>
      </c>
    </row>
    <row r="838" spans="1:13" x14ac:dyDescent="0.35">
      <c r="A838" s="10" t="str">
        <f>IF('All Cases - Enter Cases'!$F838="Sindh",'All Cases - Enter Cases'!A838,"")</f>
        <v/>
      </c>
      <c r="B838" t="str">
        <f>IF($A838&lt;&gt;"",'All Cases - Enter Cases'!B838,"")</f>
        <v/>
      </c>
      <c r="C838" t="str">
        <f>IF($A838&lt;&gt;"",'All Cases - Enter Cases'!C838,"")</f>
        <v/>
      </c>
      <c r="D838" t="str">
        <f>IF($A838&lt;&gt;"",'All Cases - Enter Cases'!D838,"")</f>
        <v/>
      </c>
      <c r="E838" t="str">
        <f>IF($A838&lt;&gt;"",'All Cases - Enter Cases'!E838,"")</f>
        <v/>
      </c>
      <c r="F838" t="str">
        <f>IF($A838&lt;&gt;"",'All Cases - Enter Cases'!F838,"")</f>
        <v/>
      </c>
      <c r="G838" t="str">
        <f>IF($A838&lt;&gt;"",'All Cases - Enter Cases'!G838,"")</f>
        <v/>
      </c>
      <c r="H838" t="str">
        <f>IF($A838&lt;&gt;"",'All Cases - Enter Cases'!H838,"")</f>
        <v/>
      </c>
      <c r="I838" t="str">
        <f>IF($A838&lt;&gt;"",'All Cases - Enter Cases'!I838,"")</f>
        <v/>
      </c>
      <c r="J838" t="str">
        <f>IF($A838&lt;&gt;"",'All Cases - Enter Cases'!J838,"")</f>
        <v/>
      </c>
      <c r="K838" s="4" t="str">
        <f>IF($A838&lt;&gt;"",'All Cases - Enter Cases'!K838,"")</f>
        <v/>
      </c>
      <c r="L838" t="str">
        <f>IF($A838&lt;&gt;"",'All Cases - Enter Cases'!L838,"")</f>
        <v/>
      </c>
      <c r="M838" t="str">
        <f>IF($A838&lt;&gt;"",'All Cases - Enter Cases'!M838,"")</f>
        <v/>
      </c>
    </row>
    <row r="839" spans="1:13" x14ac:dyDescent="0.35">
      <c r="A839" s="10" t="str">
        <f>IF('All Cases - Enter Cases'!$F839="Sindh",'All Cases - Enter Cases'!A839,"")</f>
        <v/>
      </c>
      <c r="B839" t="str">
        <f>IF($A839&lt;&gt;"",'All Cases - Enter Cases'!B839,"")</f>
        <v/>
      </c>
      <c r="C839" t="str">
        <f>IF($A839&lt;&gt;"",'All Cases - Enter Cases'!C839,"")</f>
        <v/>
      </c>
      <c r="D839" t="str">
        <f>IF($A839&lt;&gt;"",'All Cases - Enter Cases'!D839,"")</f>
        <v/>
      </c>
      <c r="E839" t="str">
        <f>IF($A839&lt;&gt;"",'All Cases - Enter Cases'!E839,"")</f>
        <v/>
      </c>
      <c r="F839" t="str">
        <f>IF($A839&lt;&gt;"",'All Cases - Enter Cases'!F839,"")</f>
        <v/>
      </c>
      <c r="G839" t="str">
        <f>IF($A839&lt;&gt;"",'All Cases - Enter Cases'!G839,"")</f>
        <v/>
      </c>
      <c r="H839" t="str">
        <f>IF($A839&lt;&gt;"",'All Cases - Enter Cases'!H839,"")</f>
        <v/>
      </c>
      <c r="I839" t="str">
        <f>IF($A839&lt;&gt;"",'All Cases - Enter Cases'!I839,"")</f>
        <v/>
      </c>
      <c r="J839" t="str">
        <f>IF($A839&lt;&gt;"",'All Cases - Enter Cases'!J839,"")</f>
        <v/>
      </c>
      <c r="K839" s="4" t="str">
        <f>IF($A839&lt;&gt;"",'All Cases - Enter Cases'!K839,"")</f>
        <v/>
      </c>
      <c r="L839" t="str">
        <f>IF($A839&lt;&gt;"",'All Cases - Enter Cases'!L839,"")</f>
        <v/>
      </c>
      <c r="M839" t="str">
        <f>IF($A839&lt;&gt;"",'All Cases - Enter Cases'!M839,"")</f>
        <v/>
      </c>
    </row>
    <row r="840" spans="1:13" x14ac:dyDescent="0.35">
      <c r="A840" s="10" t="str">
        <f>IF('All Cases - Enter Cases'!$F840="Sindh",'All Cases - Enter Cases'!A840,"")</f>
        <v/>
      </c>
      <c r="B840" t="str">
        <f>IF($A840&lt;&gt;"",'All Cases - Enter Cases'!B840,"")</f>
        <v/>
      </c>
      <c r="C840" t="str">
        <f>IF($A840&lt;&gt;"",'All Cases - Enter Cases'!C840,"")</f>
        <v/>
      </c>
      <c r="D840" t="str">
        <f>IF($A840&lt;&gt;"",'All Cases - Enter Cases'!D840,"")</f>
        <v/>
      </c>
      <c r="E840" t="str">
        <f>IF($A840&lt;&gt;"",'All Cases - Enter Cases'!E840,"")</f>
        <v/>
      </c>
      <c r="F840" t="str">
        <f>IF($A840&lt;&gt;"",'All Cases - Enter Cases'!F840,"")</f>
        <v/>
      </c>
      <c r="G840" t="str">
        <f>IF($A840&lt;&gt;"",'All Cases - Enter Cases'!G840,"")</f>
        <v/>
      </c>
      <c r="H840" t="str">
        <f>IF($A840&lt;&gt;"",'All Cases - Enter Cases'!H840,"")</f>
        <v/>
      </c>
      <c r="I840" t="str">
        <f>IF($A840&lt;&gt;"",'All Cases - Enter Cases'!I840,"")</f>
        <v/>
      </c>
      <c r="J840" t="str">
        <f>IF($A840&lt;&gt;"",'All Cases - Enter Cases'!J840,"")</f>
        <v/>
      </c>
      <c r="K840" s="4" t="str">
        <f>IF($A840&lt;&gt;"",'All Cases - Enter Cases'!K840,"")</f>
        <v/>
      </c>
      <c r="L840" t="str">
        <f>IF($A840&lt;&gt;"",'All Cases - Enter Cases'!L840,"")</f>
        <v/>
      </c>
      <c r="M840" t="str">
        <f>IF($A840&lt;&gt;"",'All Cases - Enter Cases'!M840,"")</f>
        <v/>
      </c>
    </row>
    <row r="841" spans="1:13" x14ac:dyDescent="0.35">
      <c r="A841" s="10" t="str">
        <f>IF('All Cases - Enter Cases'!$F841="Sindh",'All Cases - Enter Cases'!A841,"")</f>
        <v/>
      </c>
      <c r="B841" t="str">
        <f>IF($A841&lt;&gt;"",'All Cases - Enter Cases'!B841,"")</f>
        <v/>
      </c>
      <c r="C841" t="str">
        <f>IF($A841&lt;&gt;"",'All Cases - Enter Cases'!C841,"")</f>
        <v/>
      </c>
      <c r="D841" t="str">
        <f>IF($A841&lt;&gt;"",'All Cases - Enter Cases'!D841,"")</f>
        <v/>
      </c>
      <c r="E841" t="str">
        <f>IF($A841&lt;&gt;"",'All Cases - Enter Cases'!E841,"")</f>
        <v/>
      </c>
      <c r="F841" t="str">
        <f>IF($A841&lt;&gt;"",'All Cases - Enter Cases'!F841,"")</f>
        <v/>
      </c>
      <c r="G841" t="str">
        <f>IF($A841&lt;&gt;"",'All Cases - Enter Cases'!G841,"")</f>
        <v/>
      </c>
      <c r="H841" t="str">
        <f>IF($A841&lt;&gt;"",'All Cases - Enter Cases'!H841,"")</f>
        <v/>
      </c>
      <c r="I841" t="str">
        <f>IF($A841&lt;&gt;"",'All Cases - Enter Cases'!I841,"")</f>
        <v/>
      </c>
      <c r="J841" t="str">
        <f>IF($A841&lt;&gt;"",'All Cases - Enter Cases'!J841,"")</f>
        <v/>
      </c>
      <c r="K841" s="4" t="str">
        <f>IF($A841&lt;&gt;"",'All Cases - Enter Cases'!K841,"")</f>
        <v/>
      </c>
      <c r="L841" t="str">
        <f>IF($A841&lt;&gt;"",'All Cases - Enter Cases'!L841,"")</f>
        <v/>
      </c>
      <c r="M841" t="str">
        <f>IF($A841&lt;&gt;"",'All Cases - Enter Cases'!M841,"")</f>
        <v/>
      </c>
    </row>
    <row r="842" spans="1:13" x14ac:dyDescent="0.35">
      <c r="A842" s="10" t="str">
        <f>IF('All Cases - Enter Cases'!$F842="Sindh",'All Cases - Enter Cases'!A842,"")</f>
        <v/>
      </c>
      <c r="B842" t="str">
        <f>IF($A842&lt;&gt;"",'All Cases - Enter Cases'!B842,"")</f>
        <v/>
      </c>
      <c r="C842" t="str">
        <f>IF($A842&lt;&gt;"",'All Cases - Enter Cases'!C842,"")</f>
        <v/>
      </c>
      <c r="D842" t="str">
        <f>IF($A842&lt;&gt;"",'All Cases - Enter Cases'!D842,"")</f>
        <v/>
      </c>
      <c r="E842" t="str">
        <f>IF($A842&lt;&gt;"",'All Cases - Enter Cases'!E842,"")</f>
        <v/>
      </c>
      <c r="F842" t="str">
        <f>IF($A842&lt;&gt;"",'All Cases - Enter Cases'!F842,"")</f>
        <v/>
      </c>
      <c r="G842" t="str">
        <f>IF($A842&lt;&gt;"",'All Cases - Enter Cases'!G842,"")</f>
        <v/>
      </c>
      <c r="H842" t="str">
        <f>IF($A842&lt;&gt;"",'All Cases - Enter Cases'!H842,"")</f>
        <v/>
      </c>
      <c r="I842" t="str">
        <f>IF($A842&lt;&gt;"",'All Cases - Enter Cases'!I842,"")</f>
        <v/>
      </c>
      <c r="J842" t="str">
        <f>IF($A842&lt;&gt;"",'All Cases - Enter Cases'!J842,"")</f>
        <v/>
      </c>
      <c r="K842" s="4" t="str">
        <f>IF($A842&lt;&gt;"",'All Cases - Enter Cases'!K842,"")</f>
        <v/>
      </c>
      <c r="L842" t="str">
        <f>IF($A842&lt;&gt;"",'All Cases - Enter Cases'!L842,"")</f>
        <v/>
      </c>
      <c r="M842" t="str">
        <f>IF($A842&lt;&gt;"",'All Cases - Enter Cases'!M842,"")</f>
        <v/>
      </c>
    </row>
    <row r="843" spans="1:13" x14ac:dyDescent="0.35">
      <c r="A843" s="10" t="str">
        <f>IF('All Cases - Enter Cases'!$F843="Sindh",'All Cases - Enter Cases'!A843,"")</f>
        <v/>
      </c>
      <c r="B843" t="str">
        <f>IF($A843&lt;&gt;"",'All Cases - Enter Cases'!B843,"")</f>
        <v/>
      </c>
      <c r="C843" t="str">
        <f>IF($A843&lt;&gt;"",'All Cases - Enter Cases'!C843,"")</f>
        <v/>
      </c>
      <c r="D843" t="str">
        <f>IF($A843&lt;&gt;"",'All Cases - Enter Cases'!D843,"")</f>
        <v/>
      </c>
      <c r="E843" t="str">
        <f>IF($A843&lt;&gt;"",'All Cases - Enter Cases'!E843,"")</f>
        <v/>
      </c>
      <c r="F843" t="str">
        <f>IF($A843&lt;&gt;"",'All Cases - Enter Cases'!F843,"")</f>
        <v/>
      </c>
      <c r="G843" t="str">
        <f>IF($A843&lt;&gt;"",'All Cases - Enter Cases'!G843,"")</f>
        <v/>
      </c>
      <c r="H843" t="str">
        <f>IF($A843&lt;&gt;"",'All Cases - Enter Cases'!H843,"")</f>
        <v/>
      </c>
      <c r="I843" t="str">
        <f>IF($A843&lt;&gt;"",'All Cases - Enter Cases'!I843,"")</f>
        <v/>
      </c>
      <c r="J843" t="str">
        <f>IF($A843&lt;&gt;"",'All Cases - Enter Cases'!J843,"")</f>
        <v/>
      </c>
      <c r="K843" s="4" t="str">
        <f>IF($A843&lt;&gt;"",'All Cases - Enter Cases'!K843,"")</f>
        <v/>
      </c>
      <c r="L843" t="str">
        <f>IF($A843&lt;&gt;"",'All Cases - Enter Cases'!L843,"")</f>
        <v/>
      </c>
      <c r="M843" t="str">
        <f>IF($A843&lt;&gt;"",'All Cases - Enter Cases'!M843,"")</f>
        <v/>
      </c>
    </row>
    <row r="844" spans="1:13" x14ac:dyDescent="0.35">
      <c r="A844" s="10" t="str">
        <f>IF('All Cases - Enter Cases'!$F844="Sindh",'All Cases - Enter Cases'!A844,"")</f>
        <v/>
      </c>
      <c r="B844" t="str">
        <f>IF($A844&lt;&gt;"",'All Cases - Enter Cases'!B844,"")</f>
        <v/>
      </c>
      <c r="C844" t="str">
        <f>IF($A844&lt;&gt;"",'All Cases - Enter Cases'!C844,"")</f>
        <v/>
      </c>
      <c r="D844" t="str">
        <f>IF($A844&lt;&gt;"",'All Cases - Enter Cases'!D844,"")</f>
        <v/>
      </c>
      <c r="E844" t="str">
        <f>IF($A844&lt;&gt;"",'All Cases - Enter Cases'!E844,"")</f>
        <v/>
      </c>
      <c r="F844" t="str">
        <f>IF($A844&lt;&gt;"",'All Cases - Enter Cases'!F844,"")</f>
        <v/>
      </c>
      <c r="G844" t="str">
        <f>IF($A844&lt;&gt;"",'All Cases - Enter Cases'!G844,"")</f>
        <v/>
      </c>
      <c r="H844" t="str">
        <f>IF($A844&lt;&gt;"",'All Cases - Enter Cases'!H844,"")</f>
        <v/>
      </c>
      <c r="I844" t="str">
        <f>IF($A844&lt;&gt;"",'All Cases - Enter Cases'!I844,"")</f>
        <v/>
      </c>
      <c r="J844" t="str">
        <f>IF($A844&lt;&gt;"",'All Cases - Enter Cases'!J844,"")</f>
        <v/>
      </c>
      <c r="K844" s="4" t="str">
        <f>IF($A844&lt;&gt;"",'All Cases - Enter Cases'!K844,"")</f>
        <v/>
      </c>
      <c r="L844" t="str">
        <f>IF($A844&lt;&gt;"",'All Cases - Enter Cases'!L844,"")</f>
        <v/>
      </c>
      <c r="M844" t="str">
        <f>IF($A844&lt;&gt;"",'All Cases - Enter Cases'!M844,"")</f>
        <v/>
      </c>
    </row>
    <row r="845" spans="1:13" x14ac:dyDescent="0.35">
      <c r="A845" s="10" t="str">
        <f>IF('All Cases - Enter Cases'!$F845="Sindh",'All Cases - Enter Cases'!A845,"")</f>
        <v/>
      </c>
      <c r="B845" t="str">
        <f>IF($A845&lt;&gt;"",'All Cases - Enter Cases'!B845,"")</f>
        <v/>
      </c>
      <c r="C845" t="str">
        <f>IF($A845&lt;&gt;"",'All Cases - Enter Cases'!C845,"")</f>
        <v/>
      </c>
      <c r="D845" t="str">
        <f>IF($A845&lt;&gt;"",'All Cases - Enter Cases'!D845,"")</f>
        <v/>
      </c>
      <c r="E845" t="str">
        <f>IF($A845&lt;&gt;"",'All Cases - Enter Cases'!E845,"")</f>
        <v/>
      </c>
      <c r="F845" t="str">
        <f>IF($A845&lt;&gt;"",'All Cases - Enter Cases'!F845,"")</f>
        <v/>
      </c>
      <c r="G845" t="str">
        <f>IF($A845&lt;&gt;"",'All Cases - Enter Cases'!G845,"")</f>
        <v/>
      </c>
      <c r="H845" t="str">
        <f>IF($A845&lt;&gt;"",'All Cases - Enter Cases'!H845,"")</f>
        <v/>
      </c>
      <c r="I845" t="str">
        <f>IF($A845&lt;&gt;"",'All Cases - Enter Cases'!I845,"")</f>
        <v/>
      </c>
      <c r="J845" t="str">
        <f>IF($A845&lt;&gt;"",'All Cases - Enter Cases'!J845,"")</f>
        <v/>
      </c>
      <c r="K845" s="4" t="str">
        <f>IF($A845&lt;&gt;"",'All Cases - Enter Cases'!K845,"")</f>
        <v/>
      </c>
      <c r="L845" t="str">
        <f>IF($A845&lt;&gt;"",'All Cases - Enter Cases'!L845,"")</f>
        <v/>
      </c>
      <c r="M845" t="str">
        <f>IF($A845&lt;&gt;"",'All Cases - Enter Cases'!M845,"")</f>
        <v/>
      </c>
    </row>
    <row r="846" spans="1:13" x14ac:dyDescent="0.35">
      <c r="A846" s="10" t="str">
        <f>IF('All Cases - Enter Cases'!$F846="Sindh",'All Cases - Enter Cases'!A846,"")</f>
        <v/>
      </c>
      <c r="B846" t="str">
        <f>IF($A846&lt;&gt;"",'All Cases - Enter Cases'!B846,"")</f>
        <v/>
      </c>
      <c r="C846" t="str">
        <f>IF($A846&lt;&gt;"",'All Cases - Enter Cases'!C846,"")</f>
        <v/>
      </c>
      <c r="D846" t="str">
        <f>IF($A846&lt;&gt;"",'All Cases - Enter Cases'!D846,"")</f>
        <v/>
      </c>
      <c r="E846" t="str">
        <f>IF($A846&lt;&gt;"",'All Cases - Enter Cases'!E846,"")</f>
        <v/>
      </c>
      <c r="F846" t="str">
        <f>IF($A846&lt;&gt;"",'All Cases - Enter Cases'!F846,"")</f>
        <v/>
      </c>
      <c r="G846" t="str">
        <f>IF($A846&lt;&gt;"",'All Cases - Enter Cases'!G846,"")</f>
        <v/>
      </c>
      <c r="H846" t="str">
        <f>IF($A846&lt;&gt;"",'All Cases - Enter Cases'!H846,"")</f>
        <v/>
      </c>
      <c r="I846" t="str">
        <f>IF($A846&lt;&gt;"",'All Cases - Enter Cases'!I846,"")</f>
        <v/>
      </c>
      <c r="J846" t="str">
        <f>IF($A846&lt;&gt;"",'All Cases - Enter Cases'!J846,"")</f>
        <v/>
      </c>
      <c r="K846" s="4" t="str">
        <f>IF($A846&lt;&gt;"",'All Cases - Enter Cases'!K846,"")</f>
        <v/>
      </c>
      <c r="L846" t="str">
        <f>IF($A846&lt;&gt;"",'All Cases - Enter Cases'!L846,"")</f>
        <v/>
      </c>
      <c r="M846" t="str">
        <f>IF($A846&lt;&gt;"",'All Cases - Enter Cases'!M846,"")</f>
        <v/>
      </c>
    </row>
    <row r="847" spans="1:13" x14ac:dyDescent="0.35">
      <c r="A847" s="10" t="str">
        <f>IF('All Cases - Enter Cases'!$F847="Sindh",'All Cases - Enter Cases'!A847,"")</f>
        <v/>
      </c>
      <c r="B847" t="str">
        <f>IF($A847&lt;&gt;"",'All Cases - Enter Cases'!B847,"")</f>
        <v/>
      </c>
      <c r="C847" t="str">
        <f>IF($A847&lt;&gt;"",'All Cases - Enter Cases'!C847,"")</f>
        <v/>
      </c>
      <c r="D847" t="str">
        <f>IF($A847&lt;&gt;"",'All Cases - Enter Cases'!D847,"")</f>
        <v/>
      </c>
      <c r="E847" t="str">
        <f>IF($A847&lt;&gt;"",'All Cases - Enter Cases'!E847,"")</f>
        <v/>
      </c>
      <c r="F847" t="str">
        <f>IF($A847&lt;&gt;"",'All Cases - Enter Cases'!F847,"")</f>
        <v/>
      </c>
      <c r="G847" t="str">
        <f>IF($A847&lt;&gt;"",'All Cases - Enter Cases'!G847,"")</f>
        <v/>
      </c>
      <c r="H847" t="str">
        <f>IF($A847&lt;&gt;"",'All Cases - Enter Cases'!H847,"")</f>
        <v/>
      </c>
      <c r="I847" t="str">
        <f>IF($A847&lt;&gt;"",'All Cases - Enter Cases'!I847,"")</f>
        <v/>
      </c>
      <c r="J847" t="str">
        <f>IF($A847&lt;&gt;"",'All Cases - Enter Cases'!J847,"")</f>
        <v/>
      </c>
      <c r="K847" s="4" t="str">
        <f>IF($A847&lt;&gt;"",'All Cases - Enter Cases'!K847,"")</f>
        <v/>
      </c>
      <c r="L847" t="str">
        <f>IF($A847&lt;&gt;"",'All Cases - Enter Cases'!L847,"")</f>
        <v/>
      </c>
      <c r="M847" t="str">
        <f>IF($A847&lt;&gt;"",'All Cases - Enter Cases'!M847,"")</f>
        <v/>
      </c>
    </row>
    <row r="848" spans="1:13" x14ac:dyDescent="0.35">
      <c r="A848" s="10" t="str">
        <f>IF('All Cases - Enter Cases'!$F848="Sindh",'All Cases - Enter Cases'!A848,"")</f>
        <v/>
      </c>
      <c r="B848" t="str">
        <f>IF($A848&lt;&gt;"",'All Cases - Enter Cases'!B848,"")</f>
        <v/>
      </c>
      <c r="C848" t="str">
        <f>IF($A848&lt;&gt;"",'All Cases - Enter Cases'!C848,"")</f>
        <v/>
      </c>
      <c r="D848" t="str">
        <f>IF($A848&lt;&gt;"",'All Cases - Enter Cases'!D848,"")</f>
        <v/>
      </c>
      <c r="E848" t="str">
        <f>IF($A848&lt;&gt;"",'All Cases - Enter Cases'!E848,"")</f>
        <v/>
      </c>
      <c r="F848" t="str">
        <f>IF($A848&lt;&gt;"",'All Cases - Enter Cases'!F848,"")</f>
        <v/>
      </c>
      <c r="G848" t="str">
        <f>IF($A848&lt;&gt;"",'All Cases - Enter Cases'!G848,"")</f>
        <v/>
      </c>
      <c r="H848" t="str">
        <f>IF($A848&lt;&gt;"",'All Cases - Enter Cases'!H848,"")</f>
        <v/>
      </c>
      <c r="I848" t="str">
        <f>IF($A848&lt;&gt;"",'All Cases - Enter Cases'!I848,"")</f>
        <v/>
      </c>
      <c r="J848" t="str">
        <f>IF($A848&lt;&gt;"",'All Cases - Enter Cases'!J848,"")</f>
        <v/>
      </c>
      <c r="K848" s="4" t="str">
        <f>IF($A848&lt;&gt;"",'All Cases - Enter Cases'!K848,"")</f>
        <v/>
      </c>
      <c r="L848" t="str">
        <f>IF($A848&lt;&gt;"",'All Cases - Enter Cases'!L848,"")</f>
        <v/>
      </c>
      <c r="M848" t="str">
        <f>IF($A848&lt;&gt;"",'All Cases - Enter Cases'!M848,"")</f>
        <v/>
      </c>
    </row>
    <row r="849" spans="1:13" x14ac:dyDescent="0.35">
      <c r="A849" s="10" t="str">
        <f>IF('All Cases - Enter Cases'!$F849="Sindh",'All Cases - Enter Cases'!A849,"")</f>
        <v/>
      </c>
      <c r="B849" t="str">
        <f>IF($A849&lt;&gt;"",'All Cases - Enter Cases'!B849,"")</f>
        <v/>
      </c>
      <c r="C849" t="str">
        <f>IF($A849&lt;&gt;"",'All Cases - Enter Cases'!C849,"")</f>
        <v/>
      </c>
      <c r="D849" t="str">
        <f>IF($A849&lt;&gt;"",'All Cases - Enter Cases'!D849,"")</f>
        <v/>
      </c>
      <c r="E849" t="str">
        <f>IF($A849&lt;&gt;"",'All Cases - Enter Cases'!E849,"")</f>
        <v/>
      </c>
      <c r="F849" t="str">
        <f>IF($A849&lt;&gt;"",'All Cases - Enter Cases'!F849,"")</f>
        <v/>
      </c>
      <c r="G849" t="str">
        <f>IF($A849&lt;&gt;"",'All Cases - Enter Cases'!G849,"")</f>
        <v/>
      </c>
      <c r="H849" t="str">
        <f>IF($A849&lt;&gt;"",'All Cases - Enter Cases'!H849,"")</f>
        <v/>
      </c>
      <c r="I849" t="str">
        <f>IF($A849&lt;&gt;"",'All Cases - Enter Cases'!I849,"")</f>
        <v/>
      </c>
      <c r="J849" t="str">
        <f>IF($A849&lt;&gt;"",'All Cases - Enter Cases'!J849,"")</f>
        <v/>
      </c>
      <c r="K849" s="4" t="str">
        <f>IF($A849&lt;&gt;"",'All Cases - Enter Cases'!K849,"")</f>
        <v/>
      </c>
      <c r="L849" t="str">
        <f>IF($A849&lt;&gt;"",'All Cases - Enter Cases'!L849,"")</f>
        <v/>
      </c>
      <c r="M849" t="str">
        <f>IF($A849&lt;&gt;"",'All Cases - Enter Cases'!M849,"")</f>
        <v/>
      </c>
    </row>
    <row r="850" spans="1:13" x14ac:dyDescent="0.35">
      <c r="A850" s="10" t="str">
        <f>IF('All Cases - Enter Cases'!$F850="Sindh",'All Cases - Enter Cases'!A850,"")</f>
        <v/>
      </c>
      <c r="B850" t="str">
        <f>IF($A850&lt;&gt;"",'All Cases - Enter Cases'!B850,"")</f>
        <v/>
      </c>
      <c r="C850" t="str">
        <f>IF($A850&lt;&gt;"",'All Cases - Enter Cases'!C850,"")</f>
        <v/>
      </c>
      <c r="D850" t="str">
        <f>IF($A850&lt;&gt;"",'All Cases - Enter Cases'!D850,"")</f>
        <v/>
      </c>
      <c r="E850" t="str">
        <f>IF($A850&lt;&gt;"",'All Cases - Enter Cases'!E850,"")</f>
        <v/>
      </c>
      <c r="F850" t="str">
        <f>IF($A850&lt;&gt;"",'All Cases - Enter Cases'!F850,"")</f>
        <v/>
      </c>
      <c r="G850" t="str">
        <f>IF($A850&lt;&gt;"",'All Cases - Enter Cases'!G850,"")</f>
        <v/>
      </c>
      <c r="H850" t="str">
        <f>IF($A850&lt;&gt;"",'All Cases - Enter Cases'!H850,"")</f>
        <v/>
      </c>
      <c r="I850" t="str">
        <f>IF($A850&lt;&gt;"",'All Cases - Enter Cases'!I850,"")</f>
        <v/>
      </c>
      <c r="J850" t="str">
        <f>IF($A850&lt;&gt;"",'All Cases - Enter Cases'!J850,"")</f>
        <v/>
      </c>
      <c r="K850" s="4" t="str">
        <f>IF($A850&lt;&gt;"",'All Cases - Enter Cases'!K850,"")</f>
        <v/>
      </c>
      <c r="L850" t="str">
        <f>IF($A850&lt;&gt;"",'All Cases - Enter Cases'!L850,"")</f>
        <v/>
      </c>
      <c r="M850" t="str">
        <f>IF($A850&lt;&gt;"",'All Cases - Enter Cases'!M850,"")</f>
        <v/>
      </c>
    </row>
    <row r="851" spans="1:13" x14ac:dyDescent="0.35">
      <c r="A851" s="10" t="str">
        <f>IF('All Cases - Enter Cases'!$F851="Sindh",'All Cases - Enter Cases'!A851,"")</f>
        <v/>
      </c>
      <c r="B851" t="str">
        <f>IF($A851&lt;&gt;"",'All Cases - Enter Cases'!B851,"")</f>
        <v/>
      </c>
      <c r="C851" t="str">
        <f>IF($A851&lt;&gt;"",'All Cases - Enter Cases'!C851,"")</f>
        <v/>
      </c>
      <c r="D851" t="str">
        <f>IF($A851&lt;&gt;"",'All Cases - Enter Cases'!D851,"")</f>
        <v/>
      </c>
      <c r="E851" t="str">
        <f>IF($A851&lt;&gt;"",'All Cases - Enter Cases'!E851,"")</f>
        <v/>
      </c>
      <c r="F851" t="str">
        <f>IF($A851&lt;&gt;"",'All Cases - Enter Cases'!F851,"")</f>
        <v/>
      </c>
      <c r="G851" t="str">
        <f>IF($A851&lt;&gt;"",'All Cases - Enter Cases'!G851,"")</f>
        <v/>
      </c>
      <c r="H851" t="str">
        <f>IF($A851&lt;&gt;"",'All Cases - Enter Cases'!H851,"")</f>
        <v/>
      </c>
      <c r="I851" t="str">
        <f>IF($A851&lt;&gt;"",'All Cases - Enter Cases'!I851,"")</f>
        <v/>
      </c>
      <c r="J851" t="str">
        <f>IF($A851&lt;&gt;"",'All Cases - Enter Cases'!J851,"")</f>
        <v/>
      </c>
      <c r="K851" s="4" t="str">
        <f>IF($A851&lt;&gt;"",'All Cases - Enter Cases'!K851,"")</f>
        <v/>
      </c>
      <c r="L851" t="str">
        <f>IF($A851&lt;&gt;"",'All Cases - Enter Cases'!L851,"")</f>
        <v/>
      </c>
      <c r="M851" t="str">
        <f>IF($A851&lt;&gt;"",'All Cases - Enter Cases'!M851,"")</f>
        <v/>
      </c>
    </row>
    <row r="852" spans="1:13" x14ac:dyDescent="0.35">
      <c r="A852" s="10" t="str">
        <f>IF('All Cases - Enter Cases'!$F852="Sindh",'All Cases - Enter Cases'!A852,"")</f>
        <v/>
      </c>
      <c r="B852" t="str">
        <f>IF($A852&lt;&gt;"",'All Cases - Enter Cases'!B852,"")</f>
        <v/>
      </c>
      <c r="C852" t="str">
        <f>IF($A852&lt;&gt;"",'All Cases - Enter Cases'!C852,"")</f>
        <v/>
      </c>
      <c r="D852" t="str">
        <f>IF($A852&lt;&gt;"",'All Cases - Enter Cases'!D852,"")</f>
        <v/>
      </c>
      <c r="E852" t="str">
        <f>IF($A852&lt;&gt;"",'All Cases - Enter Cases'!E852,"")</f>
        <v/>
      </c>
      <c r="F852" t="str">
        <f>IF($A852&lt;&gt;"",'All Cases - Enter Cases'!F852,"")</f>
        <v/>
      </c>
      <c r="G852" t="str">
        <f>IF($A852&lt;&gt;"",'All Cases - Enter Cases'!G852,"")</f>
        <v/>
      </c>
      <c r="H852" t="str">
        <f>IF($A852&lt;&gt;"",'All Cases - Enter Cases'!H852,"")</f>
        <v/>
      </c>
      <c r="I852" t="str">
        <f>IF($A852&lt;&gt;"",'All Cases - Enter Cases'!I852,"")</f>
        <v/>
      </c>
      <c r="J852" t="str">
        <f>IF($A852&lt;&gt;"",'All Cases - Enter Cases'!J852,"")</f>
        <v/>
      </c>
      <c r="K852" s="4" t="str">
        <f>IF($A852&lt;&gt;"",'All Cases - Enter Cases'!K852,"")</f>
        <v/>
      </c>
      <c r="L852" t="str">
        <f>IF($A852&lt;&gt;"",'All Cases - Enter Cases'!L852,"")</f>
        <v/>
      </c>
      <c r="M852" t="str">
        <f>IF($A852&lt;&gt;"",'All Cases - Enter Cases'!M852,"")</f>
        <v/>
      </c>
    </row>
    <row r="853" spans="1:13" x14ac:dyDescent="0.35">
      <c r="A853" s="10" t="str">
        <f>IF('All Cases - Enter Cases'!$F853="Sindh",'All Cases - Enter Cases'!A853,"")</f>
        <v/>
      </c>
      <c r="B853" t="str">
        <f>IF($A853&lt;&gt;"",'All Cases - Enter Cases'!B853,"")</f>
        <v/>
      </c>
      <c r="C853" t="str">
        <f>IF($A853&lt;&gt;"",'All Cases - Enter Cases'!C853,"")</f>
        <v/>
      </c>
      <c r="D853" t="str">
        <f>IF($A853&lt;&gt;"",'All Cases - Enter Cases'!D853,"")</f>
        <v/>
      </c>
      <c r="E853" t="str">
        <f>IF($A853&lt;&gt;"",'All Cases - Enter Cases'!E853,"")</f>
        <v/>
      </c>
      <c r="F853" t="str">
        <f>IF($A853&lt;&gt;"",'All Cases - Enter Cases'!F853,"")</f>
        <v/>
      </c>
      <c r="G853" t="str">
        <f>IF($A853&lt;&gt;"",'All Cases - Enter Cases'!G853,"")</f>
        <v/>
      </c>
      <c r="H853" t="str">
        <f>IF($A853&lt;&gt;"",'All Cases - Enter Cases'!H853,"")</f>
        <v/>
      </c>
      <c r="I853" t="str">
        <f>IF($A853&lt;&gt;"",'All Cases - Enter Cases'!I853,"")</f>
        <v/>
      </c>
      <c r="J853" t="str">
        <f>IF($A853&lt;&gt;"",'All Cases - Enter Cases'!J853,"")</f>
        <v/>
      </c>
      <c r="K853" s="4" t="str">
        <f>IF($A853&lt;&gt;"",'All Cases - Enter Cases'!K853,"")</f>
        <v/>
      </c>
      <c r="L853" t="str">
        <f>IF($A853&lt;&gt;"",'All Cases - Enter Cases'!L853,"")</f>
        <v/>
      </c>
      <c r="M853" t="str">
        <f>IF($A853&lt;&gt;"",'All Cases - Enter Cases'!M853,"")</f>
        <v/>
      </c>
    </row>
    <row r="854" spans="1:13" x14ac:dyDescent="0.35">
      <c r="A854" s="10" t="str">
        <f>IF('All Cases - Enter Cases'!$F854="Sindh",'All Cases - Enter Cases'!A854,"")</f>
        <v/>
      </c>
      <c r="B854" t="str">
        <f>IF($A854&lt;&gt;"",'All Cases - Enter Cases'!B854,"")</f>
        <v/>
      </c>
      <c r="C854" t="str">
        <f>IF($A854&lt;&gt;"",'All Cases - Enter Cases'!C854,"")</f>
        <v/>
      </c>
      <c r="D854" t="str">
        <f>IF($A854&lt;&gt;"",'All Cases - Enter Cases'!D854,"")</f>
        <v/>
      </c>
      <c r="E854" t="str">
        <f>IF($A854&lt;&gt;"",'All Cases - Enter Cases'!E854,"")</f>
        <v/>
      </c>
      <c r="F854" t="str">
        <f>IF($A854&lt;&gt;"",'All Cases - Enter Cases'!F854,"")</f>
        <v/>
      </c>
      <c r="G854" t="str">
        <f>IF($A854&lt;&gt;"",'All Cases - Enter Cases'!G854,"")</f>
        <v/>
      </c>
      <c r="H854" t="str">
        <f>IF($A854&lt;&gt;"",'All Cases - Enter Cases'!H854,"")</f>
        <v/>
      </c>
      <c r="I854" t="str">
        <f>IF($A854&lt;&gt;"",'All Cases - Enter Cases'!I854,"")</f>
        <v/>
      </c>
      <c r="J854" t="str">
        <f>IF($A854&lt;&gt;"",'All Cases - Enter Cases'!J854,"")</f>
        <v/>
      </c>
      <c r="K854" s="4" t="str">
        <f>IF($A854&lt;&gt;"",'All Cases - Enter Cases'!K854,"")</f>
        <v/>
      </c>
      <c r="L854" t="str">
        <f>IF($A854&lt;&gt;"",'All Cases - Enter Cases'!L854,"")</f>
        <v/>
      </c>
      <c r="M854" t="str">
        <f>IF($A854&lt;&gt;"",'All Cases - Enter Cases'!M854,"")</f>
        <v/>
      </c>
    </row>
    <row r="855" spans="1:13" x14ac:dyDescent="0.35">
      <c r="A855" s="10" t="str">
        <f>IF('All Cases - Enter Cases'!$F855="Sindh",'All Cases - Enter Cases'!A855,"")</f>
        <v/>
      </c>
      <c r="B855" t="str">
        <f>IF($A855&lt;&gt;"",'All Cases - Enter Cases'!B855,"")</f>
        <v/>
      </c>
      <c r="C855" t="str">
        <f>IF($A855&lt;&gt;"",'All Cases - Enter Cases'!C855,"")</f>
        <v/>
      </c>
      <c r="D855" t="str">
        <f>IF($A855&lt;&gt;"",'All Cases - Enter Cases'!D855,"")</f>
        <v/>
      </c>
      <c r="E855" t="str">
        <f>IF($A855&lt;&gt;"",'All Cases - Enter Cases'!E855,"")</f>
        <v/>
      </c>
      <c r="F855" t="str">
        <f>IF($A855&lt;&gt;"",'All Cases - Enter Cases'!F855,"")</f>
        <v/>
      </c>
      <c r="G855" t="str">
        <f>IF($A855&lt;&gt;"",'All Cases - Enter Cases'!G855,"")</f>
        <v/>
      </c>
      <c r="H855" t="str">
        <f>IF($A855&lt;&gt;"",'All Cases - Enter Cases'!H855,"")</f>
        <v/>
      </c>
      <c r="I855" t="str">
        <f>IF($A855&lt;&gt;"",'All Cases - Enter Cases'!I855,"")</f>
        <v/>
      </c>
      <c r="J855" t="str">
        <f>IF($A855&lt;&gt;"",'All Cases - Enter Cases'!J855,"")</f>
        <v/>
      </c>
      <c r="K855" s="4" t="str">
        <f>IF($A855&lt;&gt;"",'All Cases - Enter Cases'!K855,"")</f>
        <v/>
      </c>
      <c r="L855" t="str">
        <f>IF($A855&lt;&gt;"",'All Cases - Enter Cases'!L855,"")</f>
        <v/>
      </c>
      <c r="M855" t="str">
        <f>IF($A855&lt;&gt;"",'All Cases - Enter Cases'!M855,"")</f>
        <v/>
      </c>
    </row>
    <row r="856" spans="1:13" x14ac:dyDescent="0.35">
      <c r="A856" s="10" t="str">
        <f>IF('All Cases - Enter Cases'!$F856="Sindh",'All Cases - Enter Cases'!A856,"")</f>
        <v/>
      </c>
      <c r="B856" t="str">
        <f>IF($A856&lt;&gt;"",'All Cases - Enter Cases'!B856,"")</f>
        <v/>
      </c>
      <c r="C856" t="str">
        <f>IF($A856&lt;&gt;"",'All Cases - Enter Cases'!C856,"")</f>
        <v/>
      </c>
      <c r="D856" t="str">
        <f>IF($A856&lt;&gt;"",'All Cases - Enter Cases'!D856,"")</f>
        <v/>
      </c>
      <c r="E856" t="str">
        <f>IF($A856&lt;&gt;"",'All Cases - Enter Cases'!E856,"")</f>
        <v/>
      </c>
      <c r="F856" t="str">
        <f>IF($A856&lt;&gt;"",'All Cases - Enter Cases'!F856,"")</f>
        <v/>
      </c>
      <c r="G856" t="str">
        <f>IF($A856&lt;&gt;"",'All Cases - Enter Cases'!G856,"")</f>
        <v/>
      </c>
      <c r="H856" t="str">
        <f>IF($A856&lt;&gt;"",'All Cases - Enter Cases'!H856,"")</f>
        <v/>
      </c>
      <c r="I856" t="str">
        <f>IF($A856&lt;&gt;"",'All Cases - Enter Cases'!I856,"")</f>
        <v/>
      </c>
      <c r="J856" t="str">
        <f>IF($A856&lt;&gt;"",'All Cases - Enter Cases'!J856,"")</f>
        <v/>
      </c>
      <c r="K856" s="4" t="str">
        <f>IF($A856&lt;&gt;"",'All Cases - Enter Cases'!K856,"")</f>
        <v/>
      </c>
      <c r="L856" t="str">
        <f>IF($A856&lt;&gt;"",'All Cases - Enter Cases'!L856,"")</f>
        <v/>
      </c>
      <c r="M856" t="str">
        <f>IF($A856&lt;&gt;"",'All Cases - Enter Cases'!M856,"")</f>
        <v/>
      </c>
    </row>
    <row r="857" spans="1:13" x14ac:dyDescent="0.35">
      <c r="A857" s="10" t="str">
        <f>IF('All Cases - Enter Cases'!$F857="Sindh",'All Cases - Enter Cases'!A857,"")</f>
        <v/>
      </c>
      <c r="B857" t="str">
        <f>IF($A857&lt;&gt;"",'All Cases - Enter Cases'!B857,"")</f>
        <v/>
      </c>
      <c r="C857" t="str">
        <f>IF($A857&lt;&gt;"",'All Cases - Enter Cases'!C857,"")</f>
        <v/>
      </c>
      <c r="D857" t="str">
        <f>IF($A857&lt;&gt;"",'All Cases - Enter Cases'!D857,"")</f>
        <v/>
      </c>
      <c r="E857" t="str">
        <f>IF($A857&lt;&gt;"",'All Cases - Enter Cases'!E857,"")</f>
        <v/>
      </c>
      <c r="F857" t="str">
        <f>IF($A857&lt;&gt;"",'All Cases - Enter Cases'!F857,"")</f>
        <v/>
      </c>
      <c r="G857" t="str">
        <f>IF($A857&lt;&gt;"",'All Cases - Enter Cases'!G857,"")</f>
        <v/>
      </c>
      <c r="H857" t="str">
        <f>IF($A857&lt;&gt;"",'All Cases - Enter Cases'!H857,"")</f>
        <v/>
      </c>
      <c r="I857" t="str">
        <f>IF($A857&lt;&gt;"",'All Cases - Enter Cases'!I857,"")</f>
        <v/>
      </c>
      <c r="J857" t="str">
        <f>IF($A857&lt;&gt;"",'All Cases - Enter Cases'!J857,"")</f>
        <v/>
      </c>
      <c r="K857" s="4" t="str">
        <f>IF($A857&lt;&gt;"",'All Cases - Enter Cases'!K857,"")</f>
        <v/>
      </c>
      <c r="L857" t="str">
        <f>IF($A857&lt;&gt;"",'All Cases - Enter Cases'!L857,"")</f>
        <v/>
      </c>
      <c r="M857" t="str">
        <f>IF($A857&lt;&gt;"",'All Cases - Enter Cases'!M857,"")</f>
        <v/>
      </c>
    </row>
    <row r="858" spans="1:13" x14ac:dyDescent="0.35">
      <c r="A858" s="10" t="str">
        <f>IF('All Cases - Enter Cases'!$F858="Sindh",'All Cases - Enter Cases'!A858,"")</f>
        <v/>
      </c>
      <c r="B858" t="str">
        <f>IF($A858&lt;&gt;"",'All Cases - Enter Cases'!B858,"")</f>
        <v/>
      </c>
      <c r="C858" t="str">
        <f>IF($A858&lt;&gt;"",'All Cases - Enter Cases'!C858,"")</f>
        <v/>
      </c>
      <c r="D858" t="str">
        <f>IF($A858&lt;&gt;"",'All Cases - Enter Cases'!D858,"")</f>
        <v/>
      </c>
      <c r="E858" t="str">
        <f>IF($A858&lt;&gt;"",'All Cases - Enter Cases'!E858,"")</f>
        <v/>
      </c>
      <c r="F858" t="str">
        <f>IF($A858&lt;&gt;"",'All Cases - Enter Cases'!F858,"")</f>
        <v/>
      </c>
      <c r="G858" t="str">
        <f>IF($A858&lt;&gt;"",'All Cases - Enter Cases'!G858,"")</f>
        <v/>
      </c>
      <c r="H858" t="str">
        <f>IF($A858&lt;&gt;"",'All Cases - Enter Cases'!H858,"")</f>
        <v/>
      </c>
      <c r="I858" t="str">
        <f>IF($A858&lt;&gt;"",'All Cases - Enter Cases'!I858,"")</f>
        <v/>
      </c>
      <c r="J858" t="str">
        <f>IF($A858&lt;&gt;"",'All Cases - Enter Cases'!J858,"")</f>
        <v/>
      </c>
      <c r="K858" s="4" t="str">
        <f>IF($A858&lt;&gt;"",'All Cases - Enter Cases'!K858,"")</f>
        <v/>
      </c>
      <c r="L858" t="str">
        <f>IF($A858&lt;&gt;"",'All Cases - Enter Cases'!L858,"")</f>
        <v/>
      </c>
      <c r="M858" t="str">
        <f>IF($A858&lt;&gt;"",'All Cases - Enter Cases'!M858,"")</f>
        <v/>
      </c>
    </row>
    <row r="859" spans="1:13" x14ac:dyDescent="0.35">
      <c r="A859" s="10" t="str">
        <f>IF('All Cases - Enter Cases'!$F859="Sindh",'All Cases - Enter Cases'!A859,"")</f>
        <v/>
      </c>
      <c r="B859" t="str">
        <f>IF($A859&lt;&gt;"",'All Cases - Enter Cases'!B859,"")</f>
        <v/>
      </c>
      <c r="C859" t="str">
        <f>IF($A859&lt;&gt;"",'All Cases - Enter Cases'!C859,"")</f>
        <v/>
      </c>
      <c r="D859" t="str">
        <f>IF($A859&lt;&gt;"",'All Cases - Enter Cases'!D859,"")</f>
        <v/>
      </c>
      <c r="E859" t="str">
        <f>IF($A859&lt;&gt;"",'All Cases - Enter Cases'!E859,"")</f>
        <v/>
      </c>
      <c r="F859" t="str">
        <f>IF($A859&lt;&gt;"",'All Cases - Enter Cases'!F859,"")</f>
        <v/>
      </c>
      <c r="G859" t="str">
        <f>IF($A859&lt;&gt;"",'All Cases - Enter Cases'!G859,"")</f>
        <v/>
      </c>
      <c r="H859" t="str">
        <f>IF($A859&lt;&gt;"",'All Cases - Enter Cases'!H859,"")</f>
        <v/>
      </c>
      <c r="I859" t="str">
        <f>IF($A859&lt;&gt;"",'All Cases - Enter Cases'!I859,"")</f>
        <v/>
      </c>
      <c r="J859" t="str">
        <f>IF($A859&lt;&gt;"",'All Cases - Enter Cases'!J859,"")</f>
        <v/>
      </c>
      <c r="K859" s="4" t="str">
        <f>IF($A859&lt;&gt;"",'All Cases - Enter Cases'!K859,"")</f>
        <v/>
      </c>
      <c r="L859" t="str">
        <f>IF($A859&lt;&gt;"",'All Cases - Enter Cases'!L859,"")</f>
        <v/>
      </c>
      <c r="M859" t="str">
        <f>IF($A859&lt;&gt;"",'All Cases - Enter Cases'!M859,"")</f>
        <v/>
      </c>
    </row>
    <row r="860" spans="1:13" x14ac:dyDescent="0.35">
      <c r="A860" s="10" t="str">
        <f>IF('All Cases - Enter Cases'!$F860="Sindh",'All Cases - Enter Cases'!A860,"")</f>
        <v/>
      </c>
      <c r="B860" t="str">
        <f>IF($A860&lt;&gt;"",'All Cases - Enter Cases'!B860,"")</f>
        <v/>
      </c>
      <c r="C860" t="str">
        <f>IF($A860&lt;&gt;"",'All Cases - Enter Cases'!C860,"")</f>
        <v/>
      </c>
      <c r="D860" t="str">
        <f>IF($A860&lt;&gt;"",'All Cases - Enter Cases'!D860,"")</f>
        <v/>
      </c>
      <c r="E860" t="str">
        <f>IF($A860&lt;&gt;"",'All Cases - Enter Cases'!E860,"")</f>
        <v/>
      </c>
      <c r="F860" t="str">
        <f>IF($A860&lt;&gt;"",'All Cases - Enter Cases'!F860,"")</f>
        <v/>
      </c>
      <c r="G860" t="str">
        <f>IF($A860&lt;&gt;"",'All Cases - Enter Cases'!G860,"")</f>
        <v/>
      </c>
      <c r="H860" t="str">
        <f>IF($A860&lt;&gt;"",'All Cases - Enter Cases'!H860,"")</f>
        <v/>
      </c>
      <c r="I860" t="str">
        <f>IF($A860&lt;&gt;"",'All Cases - Enter Cases'!I860,"")</f>
        <v/>
      </c>
      <c r="J860" t="str">
        <f>IF($A860&lt;&gt;"",'All Cases - Enter Cases'!J860,"")</f>
        <v/>
      </c>
      <c r="K860" s="4" t="str">
        <f>IF($A860&lt;&gt;"",'All Cases - Enter Cases'!K860,"")</f>
        <v/>
      </c>
      <c r="L860" t="str">
        <f>IF($A860&lt;&gt;"",'All Cases - Enter Cases'!L860,"")</f>
        <v/>
      </c>
      <c r="M860" t="str">
        <f>IF($A860&lt;&gt;"",'All Cases - Enter Cases'!M860,"")</f>
        <v/>
      </c>
    </row>
    <row r="861" spans="1:13" x14ac:dyDescent="0.35">
      <c r="A861" s="10" t="str">
        <f>IF('All Cases - Enter Cases'!$F861="Sindh",'All Cases - Enter Cases'!A861,"")</f>
        <v/>
      </c>
      <c r="B861" t="str">
        <f>IF($A861&lt;&gt;"",'All Cases - Enter Cases'!B861,"")</f>
        <v/>
      </c>
      <c r="C861" t="str">
        <f>IF($A861&lt;&gt;"",'All Cases - Enter Cases'!C861,"")</f>
        <v/>
      </c>
      <c r="D861" t="str">
        <f>IF($A861&lt;&gt;"",'All Cases - Enter Cases'!D861,"")</f>
        <v/>
      </c>
      <c r="E861" t="str">
        <f>IF($A861&lt;&gt;"",'All Cases - Enter Cases'!E861,"")</f>
        <v/>
      </c>
      <c r="F861" t="str">
        <f>IF($A861&lt;&gt;"",'All Cases - Enter Cases'!F861,"")</f>
        <v/>
      </c>
      <c r="G861" t="str">
        <f>IF($A861&lt;&gt;"",'All Cases - Enter Cases'!G861,"")</f>
        <v/>
      </c>
      <c r="H861" t="str">
        <f>IF($A861&lt;&gt;"",'All Cases - Enter Cases'!H861,"")</f>
        <v/>
      </c>
      <c r="I861" t="str">
        <f>IF($A861&lt;&gt;"",'All Cases - Enter Cases'!I861,"")</f>
        <v/>
      </c>
      <c r="J861" t="str">
        <f>IF($A861&lt;&gt;"",'All Cases - Enter Cases'!J861,"")</f>
        <v/>
      </c>
      <c r="K861" s="4" t="str">
        <f>IF($A861&lt;&gt;"",'All Cases - Enter Cases'!K861,"")</f>
        <v/>
      </c>
      <c r="L861" t="str">
        <f>IF($A861&lt;&gt;"",'All Cases - Enter Cases'!L861,"")</f>
        <v/>
      </c>
      <c r="M861" t="str">
        <f>IF($A861&lt;&gt;"",'All Cases - Enter Cases'!M861,"")</f>
        <v/>
      </c>
    </row>
    <row r="862" spans="1:13" x14ac:dyDescent="0.35">
      <c r="A862" s="10" t="str">
        <f>IF('All Cases - Enter Cases'!$F862="Sindh",'All Cases - Enter Cases'!A862,"")</f>
        <v/>
      </c>
      <c r="B862" t="str">
        <f>IF($A862&lt;&gt;"",'All Cases - Enter Cases'!B862,"")</f>
        <v/>
      </c>
      <c r="C862" t="str">
        <f>IF($A862&lt;&gt;"",'All Cases - Enter Cases'!C862,"")</f>
        <v/>
      </c>
      <c r="D862" t="str">
        <f>IF($A862&lt;&gt;"",'All Cases - Enter Cases'!D862,"")</f>
        <v/>
      </c>
      <c r="E862" t="str">
        <f>IF($A862&lt;&gt;"",'All Cases - Enter Cases'!E862,"")</f>
        <v/>
      </c>
      <c r="F862" t="str">
        <f>IF($A862&lt;&gt;"",'All Cases - Enter Cases'!F862,"")</f>
        <v/>
      </c>
      <c r="G862" t="str">
        <f>IF($A862&lt;&gt;"",'All Cases - Enter Cases'!G862,"")</f>
        <v/>
      </c>
      <c r="H862" t="str">
        <f>IF($A862&lt;&gt;"",'All Cases - Enter Cases'!H862,"")</f>
        <v/>
      </c>
      <c r="I862" t="str">
        <f>IF($A862&lt;&gt;"",'All Cases - Enter Cases'!I862,"")</f>
        <v/>
      </c>
      <c r="J862" t="str">
        <f>IF($A862&lt;&gt;"",'All Cases - Enter Cases'!J862,"")</f>
        <v/>
      </c>
      <c r="K862" s="4" t="str">
        <f>IF($A862&lt;&gt;"",'All Cases - Enter Cases'!K862,"")</f>
        <v/>
      </c>
      <c r="L862" t="str">
        <f>IF($A862&lt;&gt;"",'All Cases - Enter Cases'!L862,"")</f>
        <v/>
      </c>
      <c r="M862" t="str">
        <f>IF($A862&lt;&gt;"",'All Cases - Enter Cases'!M862,"")</f>
        <v/>
      </c>
    </row>
    <row r="863" spans="1:13" x14ac:dyDescent="0.35">
      <c r="A863" s="10" t="str">
        <f>IF('All Cases - Enter Cases'!$F863="Sindh",'All Cases - Enter Cases'!A863,"")</f>
        <v/>
      </c>
      <c r="B863" t="str">
        <f>IF($A863&lt;&gt;"",'All Cases - Enter Cases'!B863,"")</f>
        <v/>
      </c>
      <c r="C863" t="str">
        <f>IF($A863&lt;&gt;"",'All Cases - Enter Cases'!C863,"")</f>
        <v/>
      </c>
      <c r="D863" t="str">
        <f>IF($A863&lt;&gt;"",'All Cases - Enter Cases'!D863,"")</f>
        <v/>
      </c>
      <c r="E863" t="str">
        <f>IF($A863&lt;&gt;"",'All Cases - Enter Cases'!E863,"")</f>
        <v/>
      </c>
      <c r="F863" t="str">
        <f>IF($A863&lt;&gt;"",'All Cases - Enter Cases'!F863,"")</f>
        <v/>
      </c>
      <c r="G863" t="str">
        <f>IF($A863&lt;&gt;"",'All Cases - Enter Cases'!G863,"")</f>
        <v/>
      </c>
      <c r="H863" t="str">
        <f>IF($A863&lt;&gt;"",'All Cases - Enter Cases'!H863,"")</f>
        <v/>
      </c>
      <c r="I863" t="str">
        <f>IF($A863&lt;&gt;"",'All Cases - Enter Cases'!I863,"")</f>
        <v/>
      </c>
      <c r="J863" t="str">
        <f>IF($A863&lt;&gt;"",'All Cases - Enter Cases'!J863,"")</f>
        <v/>
      </c>
      <c r="K863" s="4" t="str">
        <f>IF($A863&lt;&gt;"",'All Cases - Enter Cases'!K863,"")</f>
        <v/>
      </c>
      <c r="L863" t="str">
        <f>IF($A863&lt;&gt;"",'All Cases - Enter Cases'!L863,"")</f>
        <v/>
      </c>
      <c r="M863" t="str">
        <f>IF($A863&lt;&gt;"",'All Cases - Enter Cases'!M863,"")</f>
        <v/>
      </c>
    </row>
    <row r="864" spans="1:13" x14ac:dyDescent="0.35">
      <c r="A864" s="10" t="str">
        <f>IF('All Cases - Enter Cases'!$F864="Sindh",'All Cases - Enter Cases'!A864,"")</f>
        <v/>
      </c>
      <c r="B864" t="str">
        <f>IF($A864&lt;&gt;"",'All Cases - Enter Cases'!B864,"")</f>
        <v/>
      </c>
      <c r="C864" t="str">
        <f>IF($A864&lt;&gt;"",'All Cases - Enter Cases'!C864,"")</f>
        <v/>
      </c>
      <c r="D864" t="str">
        <f>IF($A864&lt;&gt;"",'All Cases - Enter Cases'!D864,"")</f>
        <v/>
      </c>
      <c r="E864" t="str">
        <f>IF($A864&lt;&gt;"",'All Cases - Enter Cases'!E864,"")</f>
        <v/>
      </c>
      <c r="F864" t="str">
        <f>IF($A864&lt;&gt;"",'All Cases - Enter Cases'!F864,"")</f>
        <v/>
      </c>
      <c r="G864" t="str">
        <f>IF($A864&lt;&gt;"",'All Cases - Enter Cases'!G864,"")</f>
        <v/>
      </c>
      <c r="H864" t="str">
        <f>IF($A864&lt;&gt;"",'All Cases - Enter Cases'!H864,"")</f>
        <v/>
      </c>
      <c r="I864" t="str">
        <f>IF($A864&lt;&gt;"",'All Cases - Enter Cases'!I864,"")</f>
        <v/>
      </c>
      <c r="J864" t="str">
        <f>IF($A864&lt;&gt;"",'All Cases - Enter Cases'!J864,"")</f>
        <v/>
      </c>
      <c r="K864" s="4" t="str">
        <f>IF($A864&lt;&gt;"",'All Cases - Enter Cases'!K864,"")</f>
        <v/>
      </c>
      <c r="L864" t="str">
        <f>IF($A864&lt;&gt;"",'All Cases - Enter Cases'!L864,"")</f>
        <v/>
      </c>
      <c r="M864" t="str">
        <f>IF($A864&lt;&gt;"",'All Cases - Enter Cases'!M864,"")</f>
        <v/>
      </c>
    </row>
    <row r="865" spans="1:13" x14ac:dyDescent="0.35">
      <c r="A865" s="10" t="str">
        <f>IF('All Cases - Enter Cases'!$F865="Sindh",'All Cases - Enter Cases'!A865,"")</f>
        <v/>
      </c>
      <c r="B865" t="str">
        <f>IF($A865&lt;&gt;"",'All Cases - Enter Cases'!B865,"")</f>
        <v/>
      </c>
      <c r="C865" t="str">
        <f>IF($A865&lt;&gt;"",'All Cases - Enter Cases'!C865,"")</f>
        <v/>
      </c>
      <c r="D865" t="str">
        <f>IF($A865&lt;&gt;"",'All Cases - Enter Cases'!D865,"")</f>
        <v/>
      </c>
      <c r="E865" t="str">
        <f>IF($A865&lt;&gt;"",'All Cases - Enter Cases'!E865,"")</f>
        <v/>
      </c>
      <c r="F865" t="str">
        <f>IF($A865&lt;&gt;"",'All Cases - Enter Cases'!F865,"")</f>
        <v/>
      </c>
      <c r="G865" t="str">
        <f>IF($A865&lt;&gt;"",'All Cases - Enter Cases'!G865,"")</f>
        <v/>
      </c>
      <c r="H865" t="str">
        <f>IF($A865&lt;&gt;"",'All Cases - Enter Cases'!H865,"")</f>
        <v/>
      </c>
      <c r="I865" t="str">
        <f>IF($A865&lt;&gt;"",'All Cases - Enter Cases'!I865,"")</f>
        <v/>
      </c>
      <c r="J865" t="str">
        <f>IF($A865&lt;&gt;"",'All Cases - Enter Cases'!J865,"")</f>
        <v/>
      </c>
      <c r="K865" s="4" t="str">
        <f>IF($A865&lt;&gt;"",'All Cases - Enter Cases'!K865,"")</f>
        <v/>
      </c>
      <c r="L865" t="str">
        <f>IF($A865&lt;&gt;"",'All Cases - Enter Cases'!L865,"")</f>
        <v/>
      </c>
      <c r="M865" t="str">
        <f>IF($A865&lt;&gt;"",'All Cases - Enter Cases'!M865,"")</f>
        <v/>
      </c>
    </row>
    <row r="866" spans="1:13" x14ac:dyDescent="0.35">
      <c r="A866" s="10" t="str">
        <f>IF('All Cases - Enter Cases'!$F866="Sindh",'All Cases - Enter Cases'!A866,"")</f>
        <v/>
      </c>
      <c r="B866" t="str">
        <f>IF($A866&lt;&gt;"",'All Cases - Enter Cases'!B866,"")</f>
        <v/>
      </c>
      <c r="C866" t="str">
        <f>IF($A866&lt;&gt;"",'All Cases - Enter Cases'!C866,"")</f>
        <v/>
      </c>
      <c r="D866" t="str">
        <f>IF($A866&lt;&gt;"",'All Cases - Enter Cases'!D866,"")</f>
        <v/>
      </c>
      <c r="E866" t="str">
        <f>IF($A866&lt;&gt;"",'All Cases - Enter Cases'!E866,"")</f>
        <v/>
      </c>
      <c r="F866" t="str">
        <f>IF($A866&lt;&gt;"",'All Cases - Enter Cases'!F866,"")</f>
        <v/>
      </c>
      <c r="G866" t="str">
        <f>IF($A866&lt;&gt;"",'All Cases - Enter Cases'!G866,"")</f>
        <v/>
      </c>
      <c r="H866" t="str">
        <f>IF($A866&lt;&gt;"",'All Cases - Enter Cases'!H866,"")</f>
        <v/>
      </c>
      <c r="I866" t="str">
        <f>IF($A866&lt;&gt;"",'All Cases - Enter Cases'!I866,"")</f>
        <v/>
      </c>
      <c r="J866" t="str">
        <f>IF($A866&lt;&gt;"",'All Cases - Enter Cases'!J866,"")</f>
        <v/>
      </c>
      <c r="K866" s="4" t="str">
        <f>IF($A866&lt;&gt;"",'All Cases - Enter Cases'!K866,"")</f>
        <v/>
      </c>
      <c r="L866" t="str">
        <f>IF($A866&lt;&gt;"",'All Cases - Enter Cases'!L866,"")</f>
        <v/>
      </c>
      <c r="M866" t="str">
        <f>IF($A866&lt;&gt;"",'All Cases - Enter Cases'!M866,"")</f>
        <v/>
      </c>
    </row>
    <row r="867" spans="1:13" x14ac:dyDescent="0.35">
      <c r="A867" s="10" t="str">
        <f>IF('All Cases - Enter Cases'!$F867="Sindh",'All Cases - Enter Cases'!A867,"")</f>
        <v/>
      </c>
      <c r="B867" t="str">
        <f>IF($A867&lt;&gt;"",'All Cases - Enter Cases'!B867,"")</f>
        <v/>
      </c>
      <c r="C867" t="str">
        <f>IF($A867&lt;&gt;"",'All Cases - Enter Cases'!C867,"")</f>
        <v/>
      </c>
      <c r="D867" t="str">
        <f>IF($A867&lt;&gt;"",'All Cases - Enter Cases'!D867,"")</f>
        <v/>
      </c>
      <c r="E867" t="str">
        <f>IF($A867&lt;&gt;"",'All Cases - Enter Cases'!E867,"")</f>
        <v/>
      </c>
      <c r="F867" t="str">
        <f>IF($A867&lt;&gt;"",'All Cases - Enter Cases'!F867,"")</f>
        <v/>
      </c>
      <c r="G867" t="str">
        <f>IF($A867&lt;&gt;"",'All Cases - Enter Cases'!G867,"")</f>
        <v/>
      </c>
      <c r="H867" t="str">
        <f>IF($A867&lt;&gt;"",'All Cases - Enter Cases'!H867,"")</f>
        <v/>
      </c>
      <c r="I867" t="str">
        <f>IF($A867&lt;&gt;"",'All Cases - Enter Cases'!I867,"")</f>
        <v/>
      </c>
      <c r="J867" t="str">
        <f>IF($A867&lt;&gt;"",'All Cases - Enter Cases'!J867,"")</f>
        <v/>
      </c>
      <c r="K867" s="4" t="str">
        <f>IF($A867&lt;&gt;"",'All Cases - Enter Cases'!K867,"")</f>
        <v/>
      </c>
      <c r="L867" t="str">
        <f>IF($A867&lt;&gt;"",'All Cases - Enter Cases'!L867,"")</f>
        <v/>
      </c>
      <c r="M867" t="str">
        <f>IF($A867&lt;&gt;"",'All Cases - Enter Cases'!M867,"")</f>
        <v/>
      </c>
    </row>
    <row r="868" spans="1:13" x14ac:dyDescent="0.35">
      <c r="A868" s="10" t="str">
        <f>IF('All Cases - Enter Cases'!$F868="Sindh",'All Cases - Enter Cases'!A868,"")</f>
        <v/>
      </c>
      <c r="B868" t="str">
        <f>IF($A868&lt;&gt;"",'All Cases - Enter Cases'!B868,"")</f>
        <v/>
      </c>
      <c r="C868" t="str">
        <f>IF($A868&lt;&gt;"",'All Cases - Enter Cases'!C868,"")</f>
        <v/>
      </c>
      <c r="D868" t="str">
        <f>IF($A868&lt;&gt;"",'All Cases - Enter Cases'!D868,"")</f>
        <v/>
      </c>
      <c r="E868" t="str">
        <f>IF($A868&lt;&gt;"",'All Cases - Enter Cases'!E868,"")</f>
        <v/>
      </c>
      <c r="F868" t="str">
        <f>IF($A868&lt;&gt;"",'All Cases - Enter Cases'!F868,"")</f>
        <v/>
      </c>
      <c r="G868" t="str">
        <f>IF($A868&lt;&gt;"",'All Cases - Enter Cases'!G868,"")</f>
        <v/>
      </c>
      <c r="H868" t="str">
        <f>IF($A868&lt;&gt;"",'All Cases - Enter Cases'!H868,"")</f>
        <v/>
      </c>
      <c r="I868" t="str">
        <f>IF($A868&lt;&gt;"",'All Cases - Enter Cases'!I868,"")</f>
        <v/>
      </c>
      <c r="J868" t="str">
        <f>IF($A868&lt;&gt;"",'All Cases - Enter Cases'!J868,"")</f>
        <v/>
      </c>
      <c r="K868" s="4" t="str">
        <f>IF($A868&lt;&gt;"",'All Cases - Enter Cases'!K868,"")</f>
        <v/>
      </c>
      <c r="L868" t="str">
        <f>IF($A868&lt;&gt;"",'All Cases - Enter Cases'!L868,"")</f>
        <v/>
      </c>
      <c r="M868" t="str">
        <f>IF($A868&lt;&gt;"",'All Cases - Enter Cases'!M868,"")</f>
        <v/>
      </c>
    </row>
    <row r="869" spans="1:13" x14ac:dyDescent="0.35">
      <c r="A869" s="10" t="str">
        <f>IF('All Cases - Enter Cases'!$F869="Sindh",'All Cases - Enter Cases'!A869,"")</f>
        <v/>
      </c>
      <c r="B869" t="str">
        <f>IF($A869&lt;&gt;"",'All Cases - Enter Cases'!B869,"")</f>
        <v/>
      </c>
      <c r="C869" t="str">
        <f>IF($A869&lt;&gt;"",'All Cases - Enter Cases'!C869,"")</f>
        <v/>
      </c>
      <c r="D869" t="str">
        <f>IF($A869&lt;&gt;"",'All Cases - Enter Cases'!D869,"")</f>
        <v/>
      </c>
      <c r="E869" t="str">
        <f>IF($A869&lt;&gt;"",'All Cases - Enter Cases'!E869,"")</f>
        <v/>
      </c>
      <c r="F869" t="str">
        <f>IF($A869&lt;&gt;"",'All Cases - Enter Cases'!F869,"")</f>
        <v/>
      </c>
      <c r="G869" t="str">
        <f>IF($A869&lt;&gt;"",'All Cases - Enter Cases'!G869,"")</f>
        <v/>
      </c>
      <c r="H869" t="str">
        <f>IF($A869&lt;&gt;"",'All Cases - Enter Cases'!H869,"")</f>
        <v/>
      </c>
      <c r="I869" t="str">
        <f>IF($A869&lt;&gt;"",'All Cases - Enter Cases'!I869,"")</f>
        <v/>
      </c>
      <c r="J869" t="str">
        <f>IF($A869&lt;&gt;"",'All Cases - Enter Cases'!J869,"")</f>
        <v/>
      </c>
      <c r="K869" s="4" t="str">
        <f>IF($A869&lt;&gt;"",'All Cases - Enter Cases'!K869,"")</f>
        <v/>
      </c>
      <c r="L869" t="str">
        <f>IF($A869&lt;&gt;"",'All Cases - Enter Cases'!L869,"")</f>
        <v/>
      </c>
      <c r="M869" t="str">
        <f>IF($A869&lt;&gt;"",'All Cases - Enter Cases'!M869,"")</f>
        <v/>
      </c>
    </row>
    <row r="870" spans="1:13" x14ac:dyDescent="0.35">
      <c r="A870" s="10" t="str">
        <f>IF('All Cases - Enter Cases'!$F870="Sindh",'All Cases - Enter Cases'!A870,"")</f>
        <v/>
      </c>
      <c r="B870" t="str">
        <f>IF($A870&lt;&gt;"",'All Cases - Enter Cases'!B870,"")</f>
        <v/>
      </c>
      <c r="C870" t="str">
        <f>IF($A870&lt;&gt;"",'All Cases - Enter Cases'!C870,"")</f>
        <v/>
      </c>
      <c r="D870" t="str">
        <f>IF($A870&lt;&gt;"",'All Cases - Enter Cases'!D870,"")</f>
        <v/>
      </c>
      <c r="E870" t="str">
        <f>IF($A870&lt;&gt;"",'All Cases - Enter Cases'!E870,"")</f>
        <v/>
      </c>
      <c r="F870" t="str">
        <f>IF($A870&lt;&gt;"",'All Cases - Enter Cases'!F870,"")</f>
        <v/>
      </c>
      <c r="G870" t="str">
        <f>IF($A870&lt;&gt;"",'All Cases - Enter Cases'!G870,"")</f>
        <v/>
      </c>
      <c r="H870" t="str">
        <f>IF($A870&lt;&gt;"",'All Cases - Enter Cases'!H870,"")</f>
        <v/>
      </c>
      <c r="I870" t="str">
        <f>IF($A870&lt;&gt;"",'All Cases - Enter Cases'!I870,"")</f>
        <v/>
      </c>
      <c r="J870" t="str">
        <f>IF($A870&lt;&gt;"",'All Cases - Enter Cases'!J870,"")</f>
        <v/>
      </c>
      <c r="K870" s="4" t="str">
        <f>IF($A870&lt;&gt;"",'All Cases - Enter Cases'!K870,"")</f>
        <v/>
      </c>
      <c r="L870" t="str">
        <f>IF($A870&lt;&gt;"",'All Cases - Enter Cases'!L870,"")</f>
        <v/>
      </c>
      <c r="M870" t="str">
        <f>IF($A870&lt;&gt;"",'All Cases - Enter Cases'!M870,"")</f>
        <v/>
      </c>
    </row>
    <row r="871" spans="1:13" x14ac:dyDescent="0.35">
      <c r="A871" s="10" t="str">
        <f>IF('All Cases - Enter Cases'!$F871="Sindh",'All Cases - Enter Cases'!A871,"")</f>
        <v/>
      </c>
      <c r="B871" t="str">
        <f>IF($A871&lt;&gt;"",'All Cases - Enter Cases'!B871,"")</f>
        <v/>
      </c>
      <c r="C871" t="str">
        <f>IF($A871&lt;&gt;"",'All Cases - Enter Cases'!C871,"")</f>
        <v/>
      </c>
      <c r="D871" t="str">
        <f>IF($A871&lt;&gt;"",'All Cases - Enter Cases'!D871,"")</f>
        <v/>
      </c>
      <c r="E871" t="str">
        <f>IF($A871&lt;&gt;"",'All Cases - Enter Cases'!E871,"")</f>
        <v/>
      </c>
      <c r="F871" t="str">
        <f>IF($A871&lt;&gt;"",'All Cases - Enter Cases'!F871,"")</f>
        <v/>
      </c>
      <c r="G871" t="str">
        <f>IF($A871&lt;&gt;"",'All Cases - Enter Cases'!G871,"")</f>
        <v/>
      </c>
      <c r="H871" t="str">
        <f>IF($A871&lt;&gt;"",'All Cases - Enter Cases'!H871,"")</f>
        <v/>
      </c>
      <c r="I871" t="str">
        <f>IF($A871&lt;&gt;"",'All Cases - Enter Cases'!I871,"")</f>
        <v/>
      </c>
      <c r="J871" t="str">
        <f>IF($A871&lt;&gt;"",'All Cases - Enter Cases'!J871,"")</f>
        <v/>
      </c>
      <c r="K871" s="4" t="str">
        <f>IF($A871&lt;&gt;"",'All Cases - Enter Cases'!K871,"")</f>
        <v/>
      </c>
      <c r="L871" t="str">
        <f>IF($A871&lt;&gt;"",'All Cases - Enter Cases'!L871,"")</f>
        <v/>
      </c>
      <c r="M871" t="str">
        <f>IF($A871&lt;&gt;"",'All Cases - Enter Cases'!M871,"")</f>
        <v/>
      </c>
    </row>
    <row r="872" spans="1:13" x14ac:dyDescent="0.35">
      <c r="A872" s="10" t="str">
        <f>IF('All Cases - Enter Cases'!$F872="Sindh",'All Cases - Enter Cases'!A872,"")</f>
        <v/>
      </c>
      <c r="B872" t="str">
        <f>IF($A872&lt;&gt;"",'All Cases - Enter Cases'!B872,"")</f>
        <v/>
      </c>
      <c r="C872" t="str">
        <f>IF($A872&lt;&gt;"",'All Cases - Enter Cases'!C872,"")</f>
        <v/>
      </c>
      <c r="D872" t="str">
        <f>IF($A872&lt;&gt;"",'All Cases - Enter Cases'!D872,"")</f>
        <v/>
      </c>
      <c r="E872" t="str">
        <f>IF($A872&lt;&gt;"",'All Cases - Enter Cases'!E872,"")</f>
        <v/>
      </c>
      <c r="F872" t="str">
        <f>IF($A872&lt;&gt;"",'All Cases - Enter Cases'!F872,"")</f>
        <v/>
      </c>
      <c r="G872" t="str">
        <f>IF($A872&lt;&gt;"",'All Cases - Enter Cases'!G872,"")</f>
        <v/>
      </c>
      <c r="H872" t="str">
        <f>IF($A872&lt;&gt;"",'All Cases - Enter Cases'!H872,"")</f>
        <v/>
      </c>
      <c r="I872" t="str">
        <f>IF($A872&lt;&gt;"",'All Cases - Enter Cases'!I872,"")</f>
        <v/>
      </c>
      <c r="J872" t="str">
        <f>IF($A872&lt;&gt;"",'All Cases - Enter Cases'!J872,"")</f>
        <v/>
      </c>
      <c r="K872" s="4" t="str">
        <f>IF($A872&lt;&gt;"",'All Cases - Enter Cases'!K872,"")</f>
        <v/>
      </c>
      <c r="L872" t="str">
        <f>IF($A872&lt;&gt;"",'All Cases - Enter Cases'!L872,"")</f>
        <v/>
      </c>
      <c r="M872" t="str">
        <f>IF($A872&lt;&gt;"",'All Cases - Enter Cases'!M872,"")</f>
        <v/>
      </c>
    </row>
    <row r="873" spans="1:13" x14ac:dyDescent="0.35">
      <c r="A873" s="10" t="str">
        <f>IF('All Cases - Enter Cases'!$F873="Sindh",'All Cases - Enter Cases'!A873,"")</f>
        <v/>
      </c>
      <c r="B873" t="str">
        <f>IF($A873&lt;&gt;"",'All Cases - Enter Cases'!B873,"")</f>
        <v/>
      </c>
      <c r="C873" t="str">
        <f>IF($A873&lt;&gt;"",'All Cases - Enter Cases'!C873,"")</f>
        <v/>
      </c>
      <c r="D873" t="str">
        <f>IF($A873&lt;&gt;"",'All Cases - Enter Cases'!D873,"")</f>
        <v/>
      </c>
      <c r="E873" t="str">
        <f>IF($A873&lt;&gt;"",'All Cases - Enter Cases'!E873,"")</f>
        <v/>
      </c>
      <c r="F873" t="str">
        <f>IF($A873&lt;&gt;"",'All Cases - Enter Cases'!F873,"")</f>
        <v/>
      </c>
      <c r="G873" t="str">
        <f>IF($A873&lt;&gt;"",'All Cases - Enter Cases'!G873,"")</f>
        <v/>
      </c>
      <c r="H873" t="str">
        <f>IF($A873&lt;&gt;"",'All Cases - Enter Cases'!H873,"")</f>
        <v/>
      </c>
      <c r="I873" t="str">
        <f>IF($A873&lt;&gt;"",'All Cases - Enter Cases'!I873,"")</f>
        <v/>
      </c>
      <c r="J873" t="str">
        <f>IF($A873&lt;&gt;"",'All Cases - Enter Cases'!J873,"")</f>
        <v/>
      </c>
      <c r="K873" s="4" t="str">
        <f>IF($A873&lt;&gt;"",'All Cases - Enter Cases'!K873,"")</f>
        <v/>
      </c>
      <c r="L873" t="str">
        <f>IF($A873&lt;&gt;"",'All Cases - Enter Cases'!L873,"")</f>
        <v/>
      </c>
      <c r="M873" t="str">
        <f>IF($A873&lt;&gt;"",'All Cases - Enter Cases'!M873,"")</f>
        <v/>
      </c>
    </row>
    <row r="874" spans="1:13" x14ac:dyDescent="0.35">
      <c r="A874" s="10" t="str">
        <f>IF('All Cases - Enter Cases'!$F874="Sindh",'All Cases - Enter Cases'!A874,"")</f>
        <v/>
      </c>
      <c r="B874" t="str">
        <f>IF($A874&lt;&gt;"",'All Cases - Enter Cases'!B874,"")</f>
        <v/>
      </c>
      <c r="C874" t="str">
        <f>IF($A874&lt;&gt;"",'All Cases - Enter Cases'!C874,"")</f>
        <v/>
      </c>
      <c r="D874" t="str">
        <f>IF($A874&lt;&gt;"",'All Cases - Enter Cases'!D874,"")</f>
        <v/>
      </c>
      <c r="E874" t="str">
        <f>IF($A874&lt;&gt;"",'All Cases - Enter Cases'!E874,"")</f>
        <v/>
      </c>
      <c r="F874" t="str">
        <f>IF($A874&lt;&gt;"",'All Cases - Enter Cases'!F874,"")</f>
        <v/>
      </c>
      <c r="G874" t="str">
        <f>IF($A874&lt;&gt;"",'All Cases - Enter Cases'!G874,"")</f>
        <v/>
      </c>
      <c r="H874" t="str">
        <f>IF($A874&lt;&gt;"",'All Cases - Enter Cases'!H874,"")</f>
        <v/>
      </c>
      <c r="I874" t="str">
        <f>IF($A874&lt;&gt;"",'All Cases - Enter Cases'!I874,"")</f>
        <v/>
      </c>
      <c r="J874" t="str">
        <f>IF($A874&lt;&gt;"",'All Cases - Enter Cases'!J874,"")</f>
        <v/>
      </c>
      <c r="K874" s="4" t="str">
        <f>IF($A874&lt;&gt;"",'All Cases - Enter Cases'!K874,"")</f>
        <v/>
      </c>
      <c r="L874" t="str">
        <f>IF($A874&lt;&gt;"",'All Cases - Enter Cases'!L874,"")</f>
        <v/>
      </c>
      <c r="M874" t="str">
        <f>IF($A874&lt;&gt;"",'All Cases - Enter Cases'!M874,"")</f>
        <v/>
      </c>
    </row>
    <row r="875" spans="1:13" x14ac:dyDescent="0.35">
      <c r="A875" s="10" t="str">
        <f>IF('All Cases - Enter Cases'!$F875="Sindh",'All Cases - Enter Cases'!A875,"")</f>
        <v/>
      </c>
      <c r="B875" t="str">
        <f>IF($A875&lt;&gt;"",'All Cases - Enter Cases'!B875,"")</f>
        <v/>
      </c>
      <c r="C875" t="str">
        <f>IF($A875&lt;&gt;"",'All Cases - Enter Cases'!C875,"")</f>
        <v/>
      </c>
      <c r="D875" t="str">
        <f>IF($A875&lt;&gt;"",'All Cases - Enter Cases'!D875,"")</f>
        <v/>
      </c>
      <c r="E875" t="str">
        <f>IF($A875&lt;&gt;"",'All Cases - Enter Cases'!E875,"")</f>
        <v/>
      </c>
      <c r="F875" t="str">
        <f>IF($A875&lt;&gt;"",'All Cases - Enter Cases'!F875,"")</f>
        <v/>
      </c>
      <c r="G875" t="str">
        <f>IF($A875&lt;&gt;"",'All Cases - Enter Cases'!G875,"")</f>
        <v/>
      </c>
      <c r="H875" t="str">
        <f>IF($A875&lt;&gt;"",'All Cases - Enter Cases'!H875,"")</f>
        <v/>
      </c>
      <c r="I875" t="str">
        <f>IF($A875&lt;&gt;"",'All Cases - Enter Cases'!I875,"")</f>
        <v/>
      </c>
      <c r="J875" t="str">
        <f>IF($A875&lt;&gt;"",'All Cases - Enter Cases'!J875,"")</f>
        <v/>
      </c>
      <c r="K875" s="4" t="str">
        <f>IF($A875&lt;&gt;"",'All Cases - Enter Cases'!K875,"")</f>
        <v/>
      </c>
      <c r="L875" t="str">
        <f>IF($A875&lt;&gt;"",'All Cases - Enter Cases'!L875,"")</f>
        <v/>
      </c>
      <c r="M875" t="str">
        <f>IF($A875&lt;&gt;"",'All Cases - Enter Cases'!M875,"")</f>
        <v/>
      </c>
    </row>
    <row r="876" spans="1:13" x14ac:dyDescent="0.35">
      <c r="A876" s="10" t="str">
        <f>IF('All Cases - Enter Cases'!$F876="Sindh",'All Cases - Enter Cases'!A876,"")</f>
        <v/>
      </c>
      <c r="B876" t="str">
        <f>IF($A876&lt;&gt;"",'All Cases - Enter Cases'!B876,"")</f>
        <v/>
      </c>
      <c r="C876" t="str">
        <f>IF($A876&lt;&gt;"",'All Cases - Enter Cases'!C876,"")</f>
        <v/>
      </c>
      <c r="D876" t="str">
        <f>IF($A876&lt;&gt;"",'All Cases - Enter Cases'!D876,"")</f>
        <v/>
      </c>
      <c r="E876" t="str">
        <f>IF($A876&lt;&gt;"",'All Cases - Enter Cases'!E876,"")</f>
        <v/>
      </c>
      <c r="F876" t="str">
        <f>IF($A876&lt;&gt;"",'All Cases - Enter Cases'!F876,"")</f>
        <v/>
      </c>
      <c r="G876" t="str">
        <f>IF($A876&lt;&gt;"",'All Cases - Enter Cases'!G876,"")</f>
        <v/>
      </c>
      <c r="H876" t="str">
        <f>IF($A876&lt;&gt;"",'All Cases - Enter Cases'!H876,"")</f>
        <v/>
      </c>
      <c r="I876" t="str">
        <f>IF($A876&lt;&gt;"",'All Cases - Enter Cases'!I876,"")</f>
        <v/>
      </c>
      <c r="J876" t="str">
        <f>IF($A876&lt;&gt;"",'All Cases - Enter Cases'!J876,"")</f>
        <v/>
      </c>
      <c r="K876" s="4" t="str">
        <f>IF($A876&lt;&gt;"",'All Cases - Enter Cases'!K876,"")</f>
        <v/>
      </c>
      <c r="L876" t="str">
        <f>IF($A876&lt;&gt;"",'All Cases - Enter Cases'!L876,"")</f>
        <v/>
      </c>
      <c r="M876" t="str">
        <f>IF($A876&lt;&gt;"",'All Cases - Enter Cases'!M876,"")</f>
        <v/>
      </c>
    </row>
    <row r="877" spans="1:13" x14ac:dyDescent="0.35">
      <c r="A877" s="10" t="str">
        <f>IF('All Cases - Enter Cases'!$F877="Sindh",'All Cases - Enter Cases'!A877,"")</f>
        <v/>
      </c>
      <c r="B877" t="str">
        <f>IF($A877&lt;&gt;"",'All Cases - Enter Cases'!B877,"")</f>
        <v/>
      </c>
      <c r="C877" t="str">
        <f>IF($A877&lt;&gt;"",'All Cases - Enter Cases'!C877,"")</f>
        <v/>
      </c>
      <c r="D877" t="str">
        <f>IF($A877&lt;&gt;"",'All Cases - Enter Cases'!D877,"")</f>
        <v/>
      </c>
      <c r="E877" t="str">
        <f>IF($A877&lt;&gt;"",'All Cases - Enter Cases'!E877,"")</f>
        <v/>
      </c>
      <c r="F877" t="str">
        <f>IF($A877&lt;&gt;"",'All Cases - Enter Cases'!F877,"")</f>
        <v/>
      </c>
      <c r="G877" t="str">
        <f>IF($A877&lt;&gt;"",'All Cases - Enter Cases'!G877,"")</f>
        <v/>
      </c>
      <c r="H877" t="str">
        <f>IF($A877&lt;&gt;"",'All Cases - Enter Cases'!H877,"")</f>
        <v/>
      </c>
      <c r="I877" t="str">
        <f>IF($A877&lt;&gt;"",'All Cases - Enter Cases'!I877,"")</f>
        <v/>
      </c>
      <c r="J877" t="str">
        <f>IF($A877&lt;&gt;"",'All Cases - Enter Cases'!J877,"")</f>
        <v/>
      </c>
      <c r="K877" s="4" t="str">
        <f>IF($A877&lt;&gt;"",'All Cases - Enter Cases'!K877,"")</f>
        <v/>
      </c>
      <c r="L877" t="str">
        <f>IF($A877&lt;&gt;"",'All Cases - Enter Cases'!L877,"")</f>
        <v/>
      </c>
      <c r="M877" t="str">
        <f>IF($A877&lt;&gt;"",'All Cases - Enter Cases'!M877,"")</f>
        <v/>
      </c>
    </row>
    <row r="878" spans="1:13" x14ac:dyDescent="0.35">
      <c r="A878" s="10" t="str">
        <f>IF('All Cases - Enter Cases'!$F878="Sindh",'All Cases - Enter Cases'!A878,"")</f>
        <v/>
      </c>
      <c r="B878" t="str">
        <f>IF($A878&lt;&gt;"",'All Cases - Enter Cases'!B878,"")</f>
        <v/>
      </c>
      <c r="C878" t="str">
        <f>IF($A878&lt;&gt;"",'All Cases - Enter Cases'!C878,"")</f>
        <v/>
      </c>
      <c r="D878" t="str">
        <f>IF($A878&lt;&gt;"",'All Cases - Enter Cases'!D878,"")</f>
        <v/>
      </c>
      <c r="E878" t="str">
        <f>IF($A878&lt;&gt;"",'All Cases - Enter Cases'!E878,"")</f>
        <v/>
      </c>
      <c r="F878" t="str">
        <f>IF($A878&lt;&gt;"",'All Cases - Enter Cases'!F878,"")</f>
        <v/>
      </c>
      <c r="G878" t="str">
        <f>IF($A878&lt;&gt;"",'All Cases - Enter Cases'!G878,"")</f>
        <v/>
      </c>
      <c r="H878" t="str">
        <f>IF($A878&lt;&gt;"",'All Cases - Enter Cases'!H878,"")</f>
        <v/>
      </c>
      <c r="I878" t="str">
        <f>IF($A878&lt;&gt;"",'All Cases - Enter Cases'!I878,"")</f>
        <v/>
      </c>
      <c r="J878" t="str">
        <f>IF($A878&lt;&gt;"",'All Cases - Enter Cases'!J878,"")</f>
        <v/>
      </c>
      <c r="K878" s="4" t="str">
        <f>IF($A878&lt;&gt;"",'All Cases - Enter Cases'!K878,"")</f>
        <v/>
      </c>
      <c r="L878" t="str">
        <f>IF($A878&lt;&gt;"",'All Cases - Enter Cases'!L878,"")</f>
        <v/>
      </c>
      <c r="M878" t="str">
        <f>IF($A878&lt;&gt;"",'All Cases - Enter Cases'!M878,"")</f>
        <v/>
      </c>
    </row>
    <row r="879" spans="1:13" x14ac:dyDescent="0.35">
      <c r="A879" s="10" t="str">
        <f>IF('All Cases - Enter Cases'!$F879="Sindh",'All Cases - Enter Cases'!A879,"")</f>
        <v/>
      </c>
      <c r="B879" t="str">
        <f>IF($A879&lt;&gt;"",'All Cases - Enter Cases'!B879,"")</f>
        <v/>
      </c>
      <c r="C879" t="str">
        <f>IF($A879&lt;&gt;"",'All Cases - Enter Cases'!C879,"")</f>
        <v/>
      </c>
      <c r="D879" t="str">
        <f>IF($A879&lt;&gt;"",'All Cases - Enter Cases'!D879,"")</f>
        <v/>
      </c>
      <c r="E879" t="str">
        <f>IF($A879&lt;&gt;"",'All Cases - Enter Cases'!E879,"")</f>
        <v/>
      </c>
      <c r="F879" t="str">
        <f>IF($A879&lt;&gt;"",'All Cases - Enter Cases'!F879,"")</f>
        <v/>
      </c>
      <c r="G879" t="str">
        <f>IF($A879&lt;&gt;"",'All Cases - Enter Cases'!G879,"")</f>
        <v/>
      </c>
      <c r="H879" t="str">
        <f>IF($A879&lt;&gt;"",'All Cases - Enter Cases'!H879,"")</f>
        <v/>
      </c>
      <c r="I879" t="str">
        <f>IF($A879&lt;&gt;"",'All Cases - Enter Cases'!I879,"")</f>
        <v/>
      </c>
      <c r="J879" t="str">
        <f>IF($A879&lt;&gt;"",'All Cases - Enter Cases'!J879,"")</f>
        <v/>
      </c>
      <c r="K879" s="4" t="str">
        <f>IF($A879&lt;&gt;"",'All Cases - Enter Cases'!K879,"")</f>
        <v/>
      </c>
      <c r="L879" t="str">
        <f>IF($A879&lt;&gt;"",'All Cases - Enter Cases'!L879,"")</f>
        <v/>
      </c>
      <c r="M879" t="str">
        <f>IF($A879&lt;&gt;"",'All Cases - Enter Cases'!M879,"")</f>
        <v/>
      </c>
    </row>
    <row r="880" spans="1:13" x14ac:dyDescent="0.35">
      <c r="A880" s="10" t="str">
        <f>IF('All Cases - Enter Cases'!$F880="Sindh",'All Cases - Enter Cases'!A880,"")</f>
        <v/>
      </c>
      <c r="B880" t="str">
        <f>IF($A880&lt;&gt;"",'All Cases - Enter Cases'!B880,"")</f>
        <v/>
      </c>
      <c r="C880" t="str">
        <f>IF($A880&lt;&gt;"",'All Cases - Enter Cases'!C880,"")</f>
        <v/>
      </c>
      <c r="D880" t="str">
        <f>IF($A880&lt;&gt;"",'All Cases - Enter Cases'!D880,"")</f>
        <v/>
      </c>
      <c r="E880" t="str">
        <f>IF($A880&lt;&gt;"",'All Cases - Enter Cases'!E880,"")</f>
        <v/>
      </c>
      <c r="F880" t="str">
        <f>IF($A880&lt;&gt;"",'All Cases - Enter Cases'!F880,"")</f>
        <v/>
      </c>
      <c r="G880" t="str">
        <f>IF($A880&lt;&gt;"",'All Cases - Enter Cases'!G880,"")</f>
        <v/>
      </c>
      <c r="H880" t="str">
        <f>IF($A880&lt;&gt;"",'All Cases - Enter Cases'!H880,"")</f>
        <v/>
      </c>
      <c r="I880" t="str">
        <f>IF($A880&lt;&gt;"",'All Cases - Enter Cases'!I880,"")</f>
        <v/>
      </c>
      <c r="J880" t="str">
        <f>IF($A880&lt;&gt;"",'All Cases - Enter Cases'!J880,"")</f>
        <v/>
      </c>
      <c r="K880" s="4" t="str">
        <f>IF($A880&lt;&gt;"",'All Cases - Enter Cases'!K880,"")</f>
        <v/>
      </c>
      <c r="L880" t="str">
        <f>IF($A880&lt;&gt;"",'All Cases - Enter Cases'!L880,"")</f>
        <v/>
      </c>
      <c r="M880" t="str">
        <f>IF($A880&lt;&gt;"",'All Cases - Enter Cases'!M880,"")</f>
        <v/>
      </c>
    </row>
    <row r="881" spans="1:13" x14ac:dyDescent="0.35">
      <c r="A881" s="10" t="str">
        <f>IF('All Cases - Enter Cases'!$F881="Sindh",'All Cases - Enter Cases'!A881,"")</f>
        <v/>
      </c>
      <c r="B881" t="str">
        <f>IF($A881&lt;&gt;"",'All Cases - Enter Cases'!B881,"")</f>
        <v/>
      </c>
      <c r="C881" t="str">
        <f>IF($A881&lt;&gt;"",'All Cases - Enter Cases'!C881,"")</f>
        <v/>
      </c>
      <c r="D881" t="str">
        <f>IF($A881&lt;&gt;"",'All Cases - Enter Cases'!D881,"")</f>
        <v/>
      </c>
      <c r="E881" t="str">
        <f>IF($A881&lt;&gt;"",'All Cases - Enter Cases'!E881,"")</f>
        <v/>
      </c>
      <c r="F881" t="str">
        <f>IF($A881&lt;&gt;"",'All Cases - Enter Cases'!F881,"")</f>
        <v/>
      </c>
      <c r="G881" t="str">
        <f>IF($A881&lt;&gt;"",'All Cases - Enter Cases'!G881,"")</f>
        <v/>
      </c>
      <c r="H881" t="str">
        <f>IF($A881&lt;&gt;"",'All Cases - Enter Cases'!H881,"")</f>
        <v/>
      </c>
      <c r="I881" t="str">
        <f>IF($A881&lt;&gt;"",'All Cases - Enter Cases'!I881,"")</f>
        <v/>
      </c>
      <c r="J881" t="str">
        <f>IF($A881&lt;&gt;"",'All Cases - Enter Cases'!J881,"")</f>
        <v/>
      </c>
      <c r="K881" s="4" t="str">
        <f>IF($A881&lt;&gt;"",'All Cases - Enter Cases'!K881,"")</f>
        <v/>
      </c>
      <c r="L881" t="str">
        <f>IF($A881&lt;&gt;"",'All Cases - Enter Cases'!L881,"")</f>
        <v/>
      </c>
      <c r="M881" t="str">
        <f>IF($A881&lt;&gt;"",'All Cases - Enter Cases'!M881,"")</f>
        <v/>
      </c>
    </row>
    <row r="882" spans="1:13" x14ac:dyDescent="0.35">
      <c r="A882" s="10" t="str">
        <f>IF('All Cases - Enter Cases'!$F882="Sindh",'All Cases - Enter Cases'!A882,"")</f>
        <v/>
      </c>
      <c r="B882" t="str">
        <f>IF($A882&lt;&gt;"",'All Cases - Enter Cases'!B882,"")</f>
        <v/>
      </c>
      <c r="C882" t="str">
        <f>IF($A882&lt;&gt;"",'All Cases - Enter Cases'!C882,"")</f>
        <v/>
      </c>
      <c r="D882" t="str">
        <f>IF($A882&lt;&gt;"",'All Cases - Enter Cases'!D882,"")</f>
        <v/>
      </c>
      <c r="E882" t="str">
        <f>IF($A882&lt;&gt;"",'All Cases - Enter Cases'!E882,"")</f>
        <v/>
      </c>
      <c r="F882" t="str">
        <f>IF($A882&lt;&gt;"",'All Cases - Enter Cases'!F882,"")</f>
        <v/>
      </c>
      <c r="G882" t="str">
        <f>IF($A882&lt;&gt;"",'All Cases - Enter Cases'!G882,"")</f>
        <v/>
      </c>
      <c r="H882" t="str">
        <f>IF($A882&lt;&gt;"",'All Cases - Enter Cases'!H882,"")</f>
        <v/>
      </c>
      <c r="I882" t="str">
        <f>IF($A882&lt;&gt;"",'All Cases - Enter Cases'!I882,"")</f>
        <v/>
      </c>
      <c r="J882" t="str">
        <f>IF($A882&lt;&gt;"",'All Cases - Enter Cases'!J882,"")</f>
        <v/>
      </c>
      <c r="K882" s="4" t="str">
        <f>IF($A882&lt;&gt;"",'All Cases - Enter Cases'!K882,"")</f>
        <v/>
      </c>
      <c r="L882" t="str">
        <f>IF($A882&lt;&gt;"",'All Cases - Enter Cases'!L882,"")</f>
        <v/>
      </c>
      <c r="M882" t="str">
        <f>IF($A882&lt;&gt;"",'All Cases - Enter Cases'!M882,"")</f>
        <v/>
      </c>
    </row>
    <row r="883" spans="1:13" x14ac:dyDescent="0.35">
      <c r="A883" s="10" t="str">
        <f>IF('All Cases - Enter Cases'!$F883="Sindh",'All Cases - Enter Cases'!A883,"")</f>
        <v/>
      </c>
      <c r="B883" t="str">
        <f>IF($A883&lt;&gt;"",'All Cases - Enter Cases'!B883,"")</f>
        <v/>
      </c>
      <c r="C883" t="str">
        <f>IF($A883&lt;&gt;"",'All Cases - Enter Cases'!C883,"")</f>
        <v/>
      </c>
      <c r="D883" t="str">
        <f>IF($A883&lt;&gt;"",'All Cases - Enter Cases'!D883,"")</f>
        <v/>
      </c>
      <c r="E883" t="str">
        <f>IF($A883&lt;&gt;"",'All Cases - Enter Cases'!E883,"")</f>
        <v/>
      </c>
      <c r="F883" t="str">
        <f>IF($A883&lt;&gt;"",'All Cases - Enter Cases'!F883,"")</f>
        <v/>
      </c>
      <c r="G883" t="str">
        <f>IF($A883&lt;&gt;"",'All Cases - Enter Cases'!G883,"")</f>
        <v/>
      </c>
      <c r="H883" t="str">
        <f>IF($A883&lt;&gt;"",'All Cases - Enter Cases'!H883,"")</f>
        <v/>
      </c>
      <c r="I883" t="str">
        <f>IF($A883&lt;&gt;"",'All Cases - Enter Cases'!I883,"")</f>
        <v/>
      </c>
      <c r="J883" t="str">
        <f>IF($A883&lt;&gt;"",'All Cases - Enter Cases'!J883,"")</f>
        <v/>
      </c>
      <c r="K883" s="4" t="str">
        <f>IF($A883&lt;&gt;"",'All Cases - Enter Cases'!K883,"")</f>
        <v/>
      </c>
      <c r="L883" t="str">
        <f>IF($A883&lt;&gt;"",'All Cases - Enter Cases'!L883,"")</f>
        <v/>
      </c>
      <c r="M883" t="str">
        <f>IF($A883&lt;&gt;"",'All Cases - Enter Cases'!M883,"")</f>
        <v/>
      </c>
    </row>
    <row r="884" spans="1:13" x14ac:dyDescent="0.35">
      <c r="A884" s="10" t="str">
        <f>IF('All Cases - Enter Cases'!$F884="Sindh",'All Cases - Enter Cases'!A884,"")</f>
        <v/>
      </c>
      <c r="B884" t="str">
        <f>IF($A884&lt;&gt;"",'All Cases - Enter Cases'!B884,"")</f>
        <v/>
      </c>
      <c r="C884" t="str">
        <f>IF($A884&lt;&gt;"",'All Cases - Enter Cases'!C884,"")</f>
        <v/>
      </c>
      <c r="D884" t="str">
        <f>IF($A884&lt;&gt;"",'All Cases - Enter Cases'!D884,"")</f>
        <v/>
      </c>
      <c r="E884" t="str">
        <f>IF($A884&lt;&gt;"",'All Cases - Enter Cases'!E884,"")</f>
        <v/>
      </c>
      <c r="F884" t="str">
        <f>IF($A884&lt;&gt;"",'All Cases - Enter Cases'!F884,"")</f>
        <v/>
      </c>
      <c r="G884" t="str">
        <f>IF($A884&lt;&gt;"",'All Cases - Enter Cases'!G884,"")</f>
        <v/>
      </c>
      <c r="H884" t="str">
        <f>IF($A884&lt;&gt;"",'All Cases - Enter Cases'!H884,"")</f>
        <v/>
      </c>
      <c r="I884" t="str">
        <f>IF($A884&lt;&gt;"",'All Cases - Enter Cases'!I884,"")</f>
        <v/>
      </c>
      <c r="J884" t="str">
        <f>IF($A884&lt;&gt;"",'All Cases - Enter Cases'!J884,"")</f>
        <v/>
      </c>
      <c r="K884" s="4" t="str">
        <f>IF($A884&lt;&gt;"",'All Cases - Enter Cases'!K884,"")</f>
        <v/>
      </c>
      <c r="L884" t="str">
        <f>IF($A884&lt;&gt;"",'All Cases - Enter Cases'!L884,"")</f>
        <v/>
      </c>
      <c r="M884" t="str">
        <f>IF($A884&lt;&gt;"",'All Cases - Enter Cases'!M884,"")</f>
        <v/>
      </c>
    </row>
    <row r="885" spans="1:13" x14ac:dyDescent="0.35">
      <c r="A885" s="10" t="str">
        <f>IF('All Cases - Enter Cases'!$F885="Sindh",'All Cases - Enter Cases'!A885,"")</f>
        <v/>
      </c>
      <c r="B885" t="str">
        <f>IF($A885&lt;&gt;"",'All Cases - Enter Cases'!B885,"")</f>
        <v/>
      </c>
      <c r="C885" t="str">
        <f>IF($A885&lt;&gt;"",'All Cases - Enter Cases'!C885,"")</f>
        <v/>
      </c>
      <c r="D885" t="str">
        <f>IF($A885&lt;&gt;"",'All Cases - Enter Cases'!D885,"")</f>
        <v/>
      </c>
      <c r="E885" t="str">
        <f>IF($A885&lt;&gt;"",'All Cases - Enter Cases'!E885,"")</f>
        <v/>
      </c>
      <c r="F885" t="str">
        <f>IF($A885&lt;&gt;"",'All Cases - Enter Cases'!F885,"")</f>
        <v/>
      </c>
      <c r="G885" t="str">
        <f>IF($A885&lt;&gt;"",'All Cases - Enter Cases'!G885,"")</f>
        <v/>
      </c>
      <c r="H885" t="str">
        <f>IF($A885&lt;&gt;"",'All Cases - Enter Cases'!H885,"")</f>
        <v/>
      </c>
      <c r="I885" t="str">
        <f>IF($A885&lt;&gt;"",'All Cases - Enter Cases'!I885,"")</f>
        <v/>
      </c>
      <c r="J885" t="str">
        <f>IF($A885&lt;&gt;"",'All Cases - Enter Cases'!J885,"")</f>
        <v/>
      </c>
      <c r="K885" s="4" t="str">
        <f>IF($A885&lt;&gt;"",'All Cases - Enter Cases'!K885,"")</f>
        <v/>
      </c>
      <c r="L885" t="str">
        <f>IF($A885&lt;&gt;"",'All Cases - Enter Cases'!L885,"")</f>
        <v/>
      </c>
      <c r="M885" t="str">
        <f>IF($A885&lt;&gt;"",'All Cases - Enter Cases'!M885,"")</f>
        <v/>
      </c>
    </row>
    <row r="886" spans="1:13" x14ac:dyDescent="0.35">
      <c r="A886" s="10" t="str">
        <f>IF('All Cases - Enter Cases'!$F886="Sindh",'All Cases - Enter Cases'!A886,"")</f>
        <v/>
      </c>
      <c r="B886" t="str">
        <f>IF($A886&lt;&gt;"",'All Cases - Enter Cases'!B886,"")</f>
        <v/>
      </c>
      <c r="C886" t="str">
        <f>IF($A886&lt;&gt;"",'All Cases - Enter Cases'!C886,"")</f>
        <v/>
      </c>
      <c r="D886" t="str">
        <f>IF($A886&lt;&gt;"",'All Cases - Enter Cases'!D886,"")</f>
        <v/>
      </c>
      <c r="E886" t="str">
        <f>IF($A886&lt;&gt;"",'All Cases - Enter Cases'!E886,"")</f>
        <v/>
      </c>
      <c r="F886" t="str">
        <f>IF($A886&lt;&gt;"",'All Cases - Enter Cases'!F886,"")</f>
        <v/>
      </c>
      <c r="G886" t="str">
        <f>IF($A886&lt;&gt;"",'All Cases - Enter Cases'!G886,"")</f>
        <v/>
      </c>
      <c r="H886" t="str">
        <f>IF($A886&lt;&gt;"",'All Cases - Enter Cases'!H886,"")</f>
        <v/>
      </c>
      <c r="I886" t="str">
        <f>IF($A886&lt;&gt;"",'All Cases - Enter Cases'!I886,"")</f>
        <v/>
      </c>
      <c r="J886" t="str">
        <f>IF($A886&lt;&gt;"",'All Cases - Enter Cases'!J886,"")</f>
        <v/>
      </c>
      <c r="K886" s="4" t="str">
        <f>IF($A886&lt;&gt;"",'All Cases - Enter Cases'!K886,"")</f>
        <v/>
      </c>
      <c r="L886" t="str">
        <f>IF($A886&lt;&gt;"",'All Cases - Enter Cases'!L886,"")</f>
        <v/>
      </c>
      <c r="M886" t="str">
        <f>IF($A886&lt;&gt;"",'All Cases - Enter Cases'!M886,"")</f>
        <v/>
      </c>
    </row>
    <row r="887" spans="1:13" x14ac:dyDescent="0.35">
      <c r="A887" s="10" t="str">
        <f>IF('All Cases - Enter Cases'!$F887="Sindh",'All Cases - Enter Cases'!A887,"")</f>
        <v/>
      </c>
      <c r="B887" t="str">
        <f>IF($A887&lt;&gt;"",'All Cases - Enter Cases'!B887,"")</f>
        <v/>
      </c>
      <c r="C887" t="str">
        <f>IF($A887&lt;&gt;"",'All Cases - Enter Cases'!C887,"")</f>
        <v/>
      </c>
      <c r="D887" t="str">
        <f>IF($A887&lt;&gt;"",'All Cases - Enter Cases'!D887,"")</f>
        <v/>
      </c>
      <c r="E887" t="str">
        <f>IF($A887&lt;&gt;"",'All Cases - Enter Cases'!E887,"")</f>
        <v/>
      </c>
      <c r="F887" t="str">
        <f>IF($A887&lt;&gt;"",'All Cases - Enter Cases'!F887,"")</f>
        <v/>
      </c>
      <c r="G887" t="str">
        <f>IF($A887&lt;&gt;"",'All Cases - Enter Cases'!G887,"")</f>
        <v/>
      </c>
      <c r="H887" t="str">
        <f>IF($A887&lt;&gt;"",'All Cases - Enter Cases'!H887,"")</f>
        <v/>
      </c>
      <c r="I887" t="str">
        <f>IF($A887&lt;&gt;"",'All Cases - Enter Cases'!I887,"")</f>
        <v/>
      </c>
      <c r="J887" t="str">
        <f>IF($A887&lt;&gt;"",'All Cases - Enter Cases'!J887,"")</f>
        <v/>
      </c>
      <c r="K887" s="4" t="str">
        <f>IF($A887&lt;&gt;"",'All Cases - Enter Cases'!K887,"")</f>
        <v/>
      </c>
      <c r="L887" t="str">
        <f>IF($A887&lt;&gt;"",'All Cases - Enter Cases'!L887,"")</f>
        <v/>
      </c>
      <c r="M887" t="str">
        <f>IF($A887&lt;&gt;"",'All Cases - Enter Cases'!M887,"")</f>
        <v/>
      </c>
    </row>
    <row r="888" spans="1:13" x14ac:dyDescent="0.35">
      <c r="A888" s="10" t="str">
        <f>IF('All Cases - Enter Cases'!$F888="Sindh",'All Cases - Enter Cases'!A888,"")</f>
        <v/>
      </c>
      <c r="B888" t="str">
        <f>IF($A888&lt;&gt;"",'All Cases - Enter Cases'!B888,"")</f>
        <v/>
      </c>
      <c r="C888" t="str">
        <f>IF($A888&lt;&gt;"",'All Cases - Enter Cases'!C888,"")</f>
        <v/>
      </c>
      <c r="D888" t="str">
        <f>IF($A888&lt;&gt;"",'All Cases - Enter Cases'!D888,"")</f>
        <v/>
      </c>
      <c r="E888" t="str">
        <f>IF($A888&lt;&gt;"",'All Cases - Enter Cases'!E888,"")</f>
        <v/>
      </c>
      <c r="F888" t="str">
        <f>IF($A888&lt;&gt;"",'All Cases - Enter Cases'!F888,"")</f>
        <v/>
      </c>
      <c r="G888" t="str">
        <f>IF($A888&lt;&gt;"",'All Cases - Enter Cases'!G888,"")</f>
        <v/>
      </c>
      <c r="H888" t="str">
        <f>IF($A888&lt;&gt;"",'All Cases - Enter Cases'!H888,"")</f>
        <v/>
      </c>
      <c r="I888" t="str">
        <f>IF($A888&lt;&gt;"",'All Cases - Enter Cases'!I888,"")</f>
        <v/>
      </c>
      <c r="J888" t="str">
        <f>IF($A888&lt;&gt;"",'All Cases - Enter Cases'!J888,"")</f>
        <v/>
      </c>
      <c r="K888" s="4" t="str">
        <f>IF($A888&lt;&gt;"",'All Cases - Enter Cases'!K888,"")</f>
        <v/>
      </c>
      <c r="L888" t="str">
        <f>IF($A888&lt;&gt;"",'All Cases - Enter Cases'!L888,"")</f>
        <v/>
      </c>
      <c r="M888" t="str">
        <f>IF($A888&lt;&gt;"",'All Cases - Enter Cases'!M888,"")</f>
        <v/>
      </c>
    </row>
    <row r="889" spans="1:13" x14ac:dyDescent="0.35">
      <c r="A889" s="10" t="str">
        <f>IF('All Cases - Enter Cases'!$F889="Sindh",'All Cases - Enter Cases'!A889,"")</f>
        <v/>
      </c>
      <c r="B889" t="str">
        <f>IF($A889&lt;&gt;"",'All Cases - Enter Cases'!B889,"")</f>
        <v/>
      </c>
      <c r="C889" t="str">
        <f>IF($A889&lt;&gt;"",'All Cases - Enter Cases'!C889,"")</f>
        <v/>
      </c>
      <c r="D889" t="str">
        <f>IF($A889&lt;&gt;"",'All Cases - Enter Cases'!D889,"")</f>
        <v/>
      </c>
      <c r="E889" t="str">
        <f>IF($A889&lt;&gt;"",'All Cases - Enter Cases'!E889,"")</f>
        <v/>
      </c>
      <c r="F889" t="str">
        <f>IF($A889&lt;&gt;"",'All Cases - Enter Cases'!F889,"")</f>
        <v/>
      </c>
      <c r="G889" t="str">
        <f>IF($A889&lt;&gt;"",'All Cases - Enter Cases'!G889,"")</f>
        <v/>
      </c>
      <c r="H889" t="str">
        <f>IF($A889&lt;&gt;"",'All Cases - Enter Cases'!H889,"")</f>
        <v/>
      </c>
      <c r="I889" t="str">
        <f>IF($A889&lt;&gt;"",'All Cases - Enter Cases'!I889,"")</f>
        <v/>
      </c>
      <c r="J889" t="str">
        <f>IF($A889&lt;&gt;"",'All Cases - Enter Cases'!J889,"")</f>
        <v/>
      </c>
      <c r="K889" s="4" t="str">
        <f>IF($A889&lt;&gt;"",'All Cases - Enter Cases'!K889,"")</f>
        <v/>
      </c>
      <c r="L889" t="str">
        <f>IF($A889&lt;&gt;"",'All Cases - Enter Cases'!L889,"")</f>
        <v/>
      </c>
      <c r="M889" t="str">
        <f>IF($A889&lt;&gt;"",'All Cases - Enter Cases'!M889,"")</f>
        <v/>
      </c>
    </row>
    <row r="890" spans="1:13" x14ac:dyDescent="0.35">
      <c r="A890" s="10" t="str">
        <f>IF('All Cases - Enter Cases'!$F890="Sindh",'All Cases - Enter Cases'!A890,"")</f>
        <v/>
      </c>
      <c r="B890" t="str">
        <f>IF($A890&lt;&gt;"",'All Cases - Enter Cases'!B890,"")</f>
        <v/>
      </c>
      <c r="C890" t="str">
        <f>IF($A890&lt;&gt;"",'All Cases - Enter Cases'!C890,"")</f>
        <v/>
      </c>
      <c r="D890" t="str">
        <f>IF($A890&lt;&gt;"",'All Cases - Enter Cases'!D890,"")</f>
        <v/>
      </c>
      <c r="E890" t="str">
        <f>IF($A890&lt;&gt;"",'All Cases - Enter Cases'!E890,"")</f>
        <v/>
      </c>
      <c r="F890" t="str">
        <f>IF($A890&lt;&gt;"",'All Cases - Enter Cases'!F890,"")</f>
        <v/>
      </c>
      <c r="G890" t="str">
        <f>IF($A890&lt;&gt;"",'All Cases - Enter Cases'!G890,"")</f>
        <v/>
      </c>
      <c r="H890" t="str">
        <f>IF($A890&lt;&gt;"",'All Cases - Enter Cases'!H890,"")</f>
        <v/>
      </c>
      <c r="I890" t="str">
        <f>IF($A890&lt;&gt;"",'All Cases - Enter Cases'!I890,"")</f>
        <v/>
      </c>
      <c r="J890" t="str">
        <f>IF($A890&lt;&gt;"",'All Cases - Enter Cases'!J890,"")</f>
        <v/>
      </c>
      <c r="K890" s="4" t="str">
        <f>IF($A890&lt;&gt;"",'All Cases - Enter Cases'!K890,"")</f>
        <v/>
      </c>
      <c r="L890" t="str">
        <f>IF($A890&lt;&gt;"",'All Cases - Enter Cases'!L890,"")</f>
        <v/>
      </c>
      <c r="M890" t="str">
        <f>IF($A890&lt;&gt;"",'All Cases - Enter Cases'!M890,"")</f>
        <v/>
      </c>
    </row>
    <row r="891" spans="1:13" x14ac:dyDescent="0.35">
      <c r="A891" s="10" t="str">
        <f>IF('All Cases - Enter Cases'!$F891="Sindh",'All Cases - Enter Cases'!A891,"")</f>
        <v/>
      </c>
      <c r="B891" t="str">
        <f>IF($A891&lt;&gt;"",'All Cases - Enter Cases'!B891,"")</f>
        <v/>
      </c>
      <c r="C891" t="str">
        <f>IF($A891&lt;&gt;"",'All Cases - Enter Cases'!C891,"")</f>
        <v/>
      </c>
      <c r="D891" t="str">
        <f>IF($A891&lt;&gt;"",'All Cases - Enter Cases'!D891,"")</f>
        <v/>
      </c>
      <c r="E891" t="str">
        <f>IF($A891&lt;&gt;"",'All Cases - Enter Cases'!E891,"")</f>
        <v/>
      </c>
      <c r="F891" t="str">
        <f>IF($A891&lt;&gt;"",'All Cases - Enter Cases'!F891,"")</f>
        <v/>
      </c>
      <c r="G891" t="str">
        <f>IF($A891&lt;&gt;"",'All Cases - Enter Cases'!G891,"")</f>
        <v/>
      </c>
      <c r="H891" t="str">
        <f>IF($A891&lt;&gt;"",'All Cases - Enter Cases'!H891,"")</f>
        <v/>
      </c>
      <c r="I891" t="str">
        <f>IF($A891&lt;&gt;"",'All Cases - Enter Cases'!I891,"")</f>
        <v/>
      </c>
      <c r="J891" t="str">
        <f>IF($A891&lt;&gt;"",'All Cases - Enter Cases'!J891,"")</f>
        <v/>
      </c>
      <c r="K891" s="4" t="str">
        <f>IF($A891&lt;&gt;"",'All Cases - Enter Cases'!K891,"")</f>
        <v/>
      </c>
      <c r="L891" t="str">
        <f>IF($A891&lt;&gt;"",'All Cases - Enter Cases'!L891,"")</f>
        <v/>
      </c>
      <c r="M891" t="str">
        <f>IF($A891&lt;&gt;"",'All Cases - Enter Cases'!M891,"")</f>
        <v/>
      </c>
    </row>
    <row r="892" spans="1:13" x14ac:dyDescent="0.35">
      <c r="A892" s="10" t="str">
        <f>IF('All Cases - Enter Cases'!$F892="Sindh",'All Cases - Enter Cases'!A892,"")</f>
        <v/>
      </c>
      <c r="B892" t="str">
        <f>IF($A892&lt;&gt;"",'All Cases - Enter Cases'!B892,"")</f>
        <v/>
      </c>
      <c r="C892" t="str">
        <f>IF($A892&lt;&gt;"",'All Cases - Enter Cases'!C892,"")</f>
        <v/>
      </c>
      <c r="D892" t="str">
        <f>IF($A892&lt;&gt;"",'All Cases - Enter Cases'!D892,"")</f>
        <v/>
      </c>
      <c r="E892" t="str">
        <f>IF($A892&lt;&gt;"",'All Cases - Enter Cases'!E892,"")</f>
        <v/>
      </c>
      <c r="F892" t="str">
        <f>IF($A892&lt;&gt;"",'All Cases - Enter Cases'!F892,"")</f>
        <v/>
      </c>
      <c r="G892" t="str">
        <f>IF($A892&lt;&gt;"",'All Cases - Enter Cases'!G892,"")</f>
        <v/>
      </c>
      <c r="H892" t="str">
        <f>IF($A892&lt;&gt;"",'All Cases - Enter Cases'!H892,"")</f>
        <v/>
      </c>
      <c r="I892" t="str">
        <f>IF($A892&lt;&gt;"",'All Cases - Enter Cases'!I892,"")</f>
        <v/>
      </c>
      <c r="J892" t="str">
        <f>IF($A892&lt;&gt;"",'All Cases - Enter Cases'!J892,"")</f>
        <v/>
      </c>
      <c r="K892" s="4" t="str">
        <f>IF($A892&lt;&gt;"",'All Cases - Enter Cases'!K892,"")</f>
        <v/>
      </c>
      <c r="L892" t="str">
        <f>IF($A892&lt;&gt;"",'All Cases - Enter Cases'!L892,"")</f>
        <v/>
      </c>
      <c r="M892" t="str">
        <f>IF($A892&lt;&gt;"",'All Cases - Enter Cases'!M892,"")</f>
        <v/>
      </c>
    </row>
    <row r="893" spans="1:13" x14ac:dyDescent="0.35">
      <c r="A893" s="10" t="str">
        <f>IF('All Cases - Enter Cases'!$F893="Sindh",'All Cases - Enter Cases'!A893,"")</f>
        <v/>
      </c>
      <c r="B893" t="str">
        <f>IF($A893&lt;&gt;"",'All Cases - Enter Cases'!B893,"")</f>
        <v/>
      </c>
      <c r="C893" t="str">
        <f>IF($A893&lt;&gt;"",'All Cases - Enter Cases'!C893,"")</f>
        <v/>
      </c>
      <c r="D893" t="str">
        <f>IF($A893&lt;&gt;"",'All Cases - Enter Cases'!D893,"")</f>
        <v/>
      </c>
      <c r="E893" t="str">
        <f>IF($A893&lt;&gt;"",'All Cases - Enter Cases'!E893,"")</f>
        <v/>
      </c>
      <c r="F893" t="str">
        <f>IF($A893&lt;&gt;"",'All Cases - Enter Cases'!F893,"")</f>
        <v/>
      </c>
      <c r="G893" t="str">
        <f>IF($A893&lt;&gt;"",'All Cases - Enter Cases'!G893,"")</f>
        <v/>
      </c>
      <c r="H893" t="str">
        <f>IF($A893&lt;&gt;"",'All Cases - Enter Cases'!H893,"")</f>
        <v/>
      </c>
      <c r="I893" t="str">
        <f>IF($A893&lt;&gt;"",'All Cases - Enter Cases'!I893,"")</f>
        <v/>
      </c>
      <c r="J893" t="str">
        <f>IF($A893&lt;&gt;"",'All Cases - Enter Cases'!J893,"")</f>
        <v/>
      </c>
      <c r="K893" s="4" t="str">
        <f>IF($A893&lt;&gt;"",'All Cases - Enter Cases'!K893,"")</f>
        <v/>
      </c>
      <c r="L893" t="str">
        <f>IF($A893&lt;&gt;"",'All Cases - Enter Cases'!L893,"")</f>
        <v/>
      </c>
      <c r="M893" t="str">
        <f>IF($A893&lt;&gt;"",'All Cases - Enter Cases'!M893,"")</f>
        <v/>
      </c>
    </row>
    <row r="894" spans="1:13" x14ac:dyDescent="0.35">
      <c r="A894" s="10" t="str">
        <f>IF('All Cases - Enter Cases'!$F894="Sindh",'All Cases - Enter Cases'!A894,"")</f>
        <v/>
      </c>
      <c r="B894" t="str">
        <f>IF($A894&lt;&gt;"",'All Cases - Enter Cases'!B894,"")</f>
        <v/>
      </c>
      <c r="C894" t="str">
        <f>IF($A894&lt;&gt;"",'All Cases - Enter Cases'!C894,"")</f>
        <v/>
      </c>
      <c r="D894" t="str">
        <f>IF($A894&lt;&gt;"",'All Cases - Enter Cases'!D894,"")</f>
        <v/>
      </c>
      <c r="E894" t="str">
        <f>IF($A894&lt;&gt;"",'All Cases - Enter Cases'!E894,"")</f>
        <v/>
      </c>
      <c r="F894" t="str">
        <f>IF($A894&lt;&gt;"",'All Cases - Enter Cases'!F894,"")</f>
        <v/>
      </c>
      <c r="G894" t="str">
        <f>IF($A894&lt;&gt;"",'All Cases - Enter Cases'!G894,"")</f>
        <v/>
      </c>
      <c r="H894" t="str">
        <f>IF($A894&lt;&gt;"",'All Cases - Enter Cases'!H894,"")</f>
        <v/>
      </c>
      <c r="I894" t="str">
        <f>IF($A894&lt;&gt;"",'All Cases - Enter Cases'!I894,"")</f>
        <v/>
      </c>
      <c r="J894" t="str">
        <f>IF($A894&lt;&gt;"",'All Cases - Enter Cases'!J894,"")</f>
        <v/>
      </c>
      <c r="K894" s="4" t="str">
        <f>IF($A894&lt;&gt;"",'All Cases - Enter Cases'!K894,"")</f>
        <v/>
      </c>
      <c r="L894" t="str">
        <f>IF($A894&lt;&gt;"",'All Cases - Enter Cases'!L894,"")</f>
        <v/>
      </c>
      <c r="M894" t="str">
        <f>IF($A894&lt;&gt;"",'All Cases - Enter Cases'!M894,"")</f>
        <v/>
      </c>
    </row>
    <row r="895" spans="1:13" x14ac:dyDescent="0.35">
      <c r="A895" s="10" t="str">
        <f>IF('All Cases - Enter Cases'!$F895="Sindh",'All Cases - Enter Cases'!A895,"")</f>
        <v/>
      </c>
      <c r="B895" t="str">
        <f>IF($A895&lt;&gt;"",'All Cases - Enter Cases'!B895,"")</f>
        <v/>
      </c>
      <c r="C895" t="str">
        <f>IF($A895&lt;&gt;"",'All Cases - Enter Cases'!C895,"")</f>
        <v/>
      </c>
      <c r="D895" t="str">
        <f>IF($A895&lt;&gt;"",'All Cases - Enter Cases'!D895,"")</f>
        <v/>
      </c>
      <c r="E895" t="str">
        <f>IF($A895&lt;&gt;"",'All Cases - Enter Cases'!E895,"")</f>
        <v/>
      </c>
      <c r="F895" t="str">
        <f>IF($A895&lt;&gt;"",'All Cases - Enter Cases'!F895,"")</f>
        <v/>
      </c>
      <c r="G895" t="str">
        <f>IF($A895&lt;&gt;"",'All Cases - Enter Cases'!G895,"")</f>
        <v/>
      </c>
      <c r="H895" t="str">
        <f>IF($A895&lt;&gt;"",'All Cases - Enter Cases'!H895,"")</f>
        <v/>
      </c>
      <c r="I895" t="str">
        <f>IF($A895&lt;&gt;"",'All Cases - Enter Cases'!I895,"")</f>
        <v/>
      </c>
      <c r="J895" t="str">
        <f>IF($A895&lt;&gt;"",'All Cases - Enter Cases'!J895,"")</f>
        <v/>
      </c>
      <c r="K895" s="4" t="str">
        <f>IF($A895&lt;&gt;"",'All Cases - Enter Cases'!K895,"")</f>
        <v/>
      </c>
      <c r="L895" t="str">
        <f>IF($A895&lt;&gt;"",'All Cases - Enter Cases'!L895,"")</f>
        <v/>
      </c>
      <c r="M895" t="str">
        <f>IF($A895&lt;&gt;"",'All Cases - Enter Cases'!M895,"")</f>
        <v/>
      </c>
    </row>
    <row r="896" spans="1:13" x14ac:dyDescent="0.35">
      <c r="A896" s="10" t="str">
        <f>IF('All Cases - Enter Cases'!$F896="Sindh",'All Cases - Enter Cases'!A896,"")</f>
        <v/>
      </c>
      <c r="B896" t="str">
        <f>IF($A896&lt;&gt;"",'All Cases - Enter Cases'!B896,"")</f>
        <v/>
      </c>
      <c r="C896" t="str">
        <f>IF($A896&lt;&gt;"",'All Cases - Enter Cases'!C896,"")</f>
        <v/>
      </c>
      <c r="D896" t="str">
        <f>IF($A896&lt;&gt;"",'All Cases - Enter Cases'!D896,"")</f>
        <v/>
      </c>
      <c r="E896" t="str">
        <f>IF($A896&lt;&gt;"",'All Cases - Enter Cases'!E896,"")</f>
        <v/>
      </c>
      <c r="F896" t="str">
        <f>IF($A896&lt;&gt;"",'All Cases - Enter Cases'!F896,"")</f>
        <v/>
      </c>
      <c r="G896" t="str">
        <f>IF($A896&lt;&gt;"",'All Cases - Enter Cases'!G896,"")</f>
        <v/>
      </c>
      <c r="H896" t="str">
        <f>IF($A896&lt;&gt;"",'All Cases - Enter Cases'!H896,"")</f>
        <v/>
      </c>
      <c r="I896" t="str">
        <f>IF($A896&lt;&gt;"",'All Cases - Enter Cases'!I896,"")</f>
        <v/>
      </c>
      <c r="J896" t="str">
        <f>IF($A896&lt;&gt;"",'All Cases - Enter Cases'!J896,"")</f>
        <v/>
      </c>
      <c r="K896" s="4" t="str">
        <f>IF($A896&lt;&gt;"",'All Cases - Enter Cases'!K896,"")</f>
        <v/>
      </c>
      <c r="L896" t="str">
        <f>IF($A896&lt;&gt;"",'All Cases - Enter Cases'!L896,"")</f>
        <v/>
      </c>
      <c r="M896" t="str">
        <f>IF($A896&lt;&gt;"",'All Cases - Enter Cases'!M896,"")</f>
        <v/>
      </c>
    </row>
    <row r="897" spans="1:13" x14ac:dyDescent="0.35">
      <c r="A897" s="10" t="str">
        <f>IF('All Cases - Enter Cases'!$F897="Sindh",'All Cases - Enter Cases'!A897,"")</f>
        <v/>
      </c>
      <c r="B897" t="str">
        <f>IF($A897&lt;&gt;"",'All Cases - Enter Cases'!B897,"")</f>
        <v/>
      </c>
      <c r="C897" t="str">
        <f>IF($A897&lt;&gt;"",'All Cases - Enter Cases'!C897,"")</f>
        <v/>
      </c>
      <c r="D897" t="str">
        <f>IF($A897&lt;&gt;"",'All Cases - Enter Cases'!D897,"")</f>
        <v/>
      </c>
      <c r="E897" t="str">
        <f>IF($A897&lt;&gt;"",'All Cases - Enter Cases'!E897,"")</f>
        <v/>
      </c>
      <c r="F897" t="str">
        <f>IF($A897&lt;&gt;"",'All Cases - Enter Cases'!F897,"")</f>
        <v/>
      </c>
      <c r="G897" t="str">
        <f>IF($A897&lt;&gt;"",'All Cases - Enter Cases'!G897,"")</f>
        <v/>
      </c>
      <c r="H897" t="str">
        <f>IF($A897&lt;&gt;"",'All Cases - Enter Cases'!H897,"")</f>
        <v/>
      </c>
      <c r="I897" t="str">
        <f>IF($A897&lt;&gt;"",'All Cases - Enter Cases'!I897,"")</f>
        <v/>
      </c>
      <c r="J897" t="str">
        <f>IF($A897&lt;&gt;"",'All Cases - Enter Cases'!J897,"")</f>
        <v/>
      </c>
      <c r="K897" s="4" t="str">
        <f>IF($A897&lt;&gt;"",'All Cases - Enter Cases'!K897,"")</f>
        <v/>
      </c>
      <c r="L897" t="str">
        <f>IF($A897&lt;&gt;"",'All Cases - Enter Cases'!L897,"")</f>
        <v/>
      </c>
      <c r="M897" t="str">
        <f>IF($A897&lt;&gt;"",'All Cases - Enter Cases'!M897,"")</f>
        <v/>
      </c>
    </row>
    <row r="898" spans="1:13" x14ac:dyDescent="0.35">
      <c r="A898" s="10" t="str">
        <f>IF('All Cases - Enter Cases'!$F898="Sindh",'All Cases - Enter Cases'!A898,"")</f>
        <v/>
      </c>
      <c r="B898" t="str">
        <f>IF($A898&lt;&gt;"",'All Cases - Enter Cases'!B898,"")</f>
        <v/>
      </c>
      <c r="C898" t="str">
        <f>IF($A898&lt;&gt;"",'All Cases - Enter Cases'!C898,"")</f>
        <v/>
      </c>
      <c r="D898" t="str">
        <f>IF($A898&lt;&gt;"",'All Cases - Enter Cases'!D898,"")</f>
        <v/>
      </c>
      <c r="E898" t="str">
        <f>IF($A898&lt;&gt;"",'All Cases - Enter Cases'!E898,"")</f>
        <v/>
      </c>
      <c r="F898" t="str">
        <f>IF($A898&lt;&gt;"",'All Cases - Enter Cases'!F898,"")</f>
        <v/>
      </c>
      <c r="G898" t="str">
        <f>IF($A898&lt;&gt;"",'All Cases - Enter Cases'!G898,"")</f>
        <v/>
      </c>
      <c r="H898" t="str">
        <f>IF($A898&lt;&gt;"",'All Cases - Enter Cases'!H898,"")</f>
        <v/>
      </c>
      <c r="I898" t="str">
        <f>IF($A898&lt;&gt;"",'All Cases - Enter Cases'!I898,"")</f>
        <v/>
      </c>
      <c r="J898" t="str">
        <f>IF($A898&lt;&gt;"",'All Cases - Enter Cases'!J898,"")</f>
        <v/>
      </c>
      <c r="K898" s="4" t="str">
        <f>IF($A898&lt;&gt;"",'All Cases - Enter Cases'!K898,"")</f>
        <v/>
      </c>
      <c r="L898" t="str">
        <f>IF($A898&lt;&gt;"",'All Cases - Enter Cases'!L898,"")</f>
        <v/>
      </c>
      <c r="M898" t="str">
        <f>IF($A898&lt;&gt;"",'All Cases - Enter Cases'!M898,"")</f>
        <v/>
      </c>
    </row>
    <row r="899" spans="1:13" x14ac:dyDescent="0.35">
      <c r="A899" s="10" t="str">
        <f>IF('All Cases - Enter Cases'!$F899="Sindh",'All Cases - Enter Cases'!A899,"")</f>
        <v/>
      </c>
      <c r="B899" t="str">
        <f>IF($A899&lt;&gt;"",'All Cases - Enter Cases'!B899,"")</f>
        <v/>
      </c>
      <c r="C899" t="str">
        <f>IF($A899&lt;&gt;"",'All Cases - Enter Cases'!C899,"")</f>
        <v/>
      </c>
      <c r="D899" t="str">
        <f>IF($A899&lt;&gt;"",'All Cases - Enter Cases'!D899,"")</f>
        <v/>
      </c>
      <c r="E899" t="str">
        <f>IF($A899&lt;&gt;"",'All Cases - Enter Cases'!E899,"")</f>
        <v/>
      </c>
      <c r="F899" t="str">
        <f>IF($A899&lt;&gt;"",'All Cases - Enter Cases'!F899,"")</f>
        <v/>
      </c>
      <c r="G899" t="str">
        <f>IF($A899&lt;&gt;"",'All Cases - Enter Cases'!G899,"")</f>
        <v/>
      </c>
      <c r="H899" t="str">
        <f>IF($A899&lt;&gt;"",'All Cases - Enter Cases'!H899,"")</f>
        <v/>
      </c>
      <c r="I899" t="str">
        <f>IF($A899&lt;&gt;"",'All Cases - Enter Cases'!I899,"")</f>
        <v/>
      </c>
      <c r="J899" t="str">
        <f>IF($A899&lt;&gt;"",'All Cases - Enter Cases'!J899,"")</f>
        <v/>
      </c>
      <c r="K899" s="4" t="str">
        <f>IF($A899&lt;&gt;"",'All Cases - Enter Cases'!K899,"")</f>
        <v/>
      </c>
      <c r="L899" t="str">
        <f>IF($A899&lt;&gt;"",'All Cases - Enter Cases'!L899,"")</f>
        <v/>
      </c>
      <c r="M899" t="str">
        <f>IF($A899&lt;&gt;"",'All Cases - Enter Cases'!M899,"")</f>
        <v/>
      </c>
    </row>
    <row r="900" spans="1:13" x14ac:dyDescent="0.35">
      <c r="A900" s="10" t="str">
        <f>IF('All Cases - Enter Cases'!$F900="Sindh",'All Cases - Enter Cases'!A900,"")</f>
        <v/>
      </c>
      <c r="B900" t="str">
        <f>IF($A900&lt;&gt;"",'All Cases - Enter Cases'!B900,"")</f>
        <v/>
      </c>
      <c r="C900" t="str">
        <f>IF($A900&lt;&gt;"",'All Cases - Enter Cases'!C900,"")</f>
        <v/>
      </c>
      <c r="D900" t="str">
        <f>IF($A900&lt;&gt;"",'All Cases - Enter Cases'!D900,"")</f>
        <v/>
      </c>
      <c r="E900" t="str">
        <f>IF($A900&lt;&gt;"",'All Cases - Enter Cases'!E900,"")</f>
        <v/>
      </c>
      <c r="F900" t="str">
        <f>IF($A900&lt;&gt;"",'All Cases - Enter Cases'!F900,"")</f>
        <v/>
      </c>
      <c r="G900" t="str">
        <f>IF($A900&lt;&gt;"",'All Cases - Enter Cases'!G900,"")</f>
        <v/>
      </c>
      <c r="H900" t="str">
        <f>IF($A900&lt;&gt;"",'All Cases - Enter Cases'!H900,"")</f>
        <v/>
      </c>
      <c r="I900" t="str">
        <f>IF($A900&lt;&gt;"",'All Cases - Enter Cases'!I900,"")</f>
        <v/>
      </c>
      <c r="J900" t="str">
        <f>IF($A900&lt;&gt;"",'All Cases - Enter Cases'!J900,"")</f>
        <v/>
      </c>
      <c r="K900" s="4" t="str">
        <f>IF($A900&lt;&gt;"",'All Cases - Enter Cases'!K900,"")</f>
        <v/>
      </c>
      <c r="L900" t="str">
        <f>IF($A900&lt;&gt;"",'All Cases - Enter Cases'!L900,"")</f>
        <v/>
      </c>
      <c r="M900" t="str">
        <f>IF($A900&lt;&gt;"",'All Cases - Enter Cases'!M900,"")</f>
        <v/>
      </c>
    </row>
    <row r="901" spans="1:13" x14ac:dyDescent="0.35">
      <c r="A901" s="10" t="str">
        <f>IF('All Cases - Enter Cases'!$F901="Sindh",'All Cases - Enter Cases'!A901,"")</f>
        <v/>
      </c>
      <c r="B901" t="str">
        <f>IF($A901&lt;&gt;"",'All Cases - Enter Cases'!B901,"")</f>
        <v/>
      </c>
      <c r="C901" t="str">
        <f>IF($A901&lt;&gt;"",'All Cases - Enter Cases'!C901,"")</f>
        <v/>
      </c>
      <c r="D901" t="str">
        <f>IF($A901&lt;&gt;"",'All Cases - Enter Cases'!D901,"")</f>
        <v/>
      </c>
      <c r="E901" t="str">
        <f>IF($A901&lt;&gt;"",'All Cases - Enter Cases'!E901,"")</f>
        <v/>
      </c>
      <c r="F901" t="str">
        <f>IF($A901&lt;&gt;"",'All Cases - Enter Cases'!F901,"")</f>
        <v/>
      </c>
      <c r="G901" t="str">
        <f>IF($A901&lt;&gt;"",'All Cases - Enter Cases'!G901,"")</f>
        <v/>
      </c>
      <c r="H901" t="str">
        <f>IF($A901&lt;&gt;"",'All Cases - Enter Cases'!H901,"")</f>
        <v/>
      </c>
      <c r="I901" t="str">
        <f>IF($A901&lt;&gt;"",'All Cases - Enter Cases'!I901,"")</f>
        <v/>
      </c>
      <c r="J901" t="str">
        <f>IF($A901&lt;&gt;"",'All Cases - Enter Cases'!J901,"")</f>
        <v/>
      </c>
      <c r="K901" s="4" t="str">
        <f>IF($A901&lt;&gt;"",'All Cases - Enter Cases'!K901,"")</f>
        <v/>
      </c>
      <c r="L901" t="str">
        <f>IF($A901&lt;&gt;"",'All Cases - Enter Cases'!L901,"")</f>
        <v/>
      </c>
      <c r="M901" t="str">
        <f>IF($A901&lt;&gt;"",'All Cases - Enter Cases'!M901,"")</f>
        <v/>
      </c>
    </row>
    <row r="902" spans="1:13" x14ac:dyDescent="0.35">
      <c r="A902" s="10" t="str">
        <f>IF('All Cases - Enter Cases'!$F902="Sindh",'All Cases - Enter Cases'!A902,"")</f>
        <v/>
      </c>
      <c r="B902" t="str">
        <f>IF($A902&lt;&gt;"",'All Cases - Enter Cases'!B902,"")</f>
        <v/>
      </c>
      <c r="C902" t="str">
        <f>IF($A902&lt;&gt;"",'All Cases - Enter Cases'!C902,"")</f>
        <v/>
      </c>
      <c r="D902" t="str">
        <f>IF($A902&lt;&gt;"",'All Cases - Enter Cases'!D902,"")</f>
        <v/>
      </c>
      <c r="E902" t="str">
        <f>IF($A902&lt;&gt;"",'All Cases - Enter Cases'!E902,"")</f>
        <v/>
      </c>
      <c r="F902" t="str">
        <f>IF($A902&lt;&gt;"",'All Cases - Enter Cases'!F902,"")</f>
        <v/>
      </c>
      <c r="G902" t="str">
        <f>IF($A902&lt;&gt;"",'All Cases - Enter Cases'!G902,"")</f>
        <v/>
      </c>
      <c r="H902" t="str">
        <f>IF($A902&lt;&gt;"",'All Cases - Enter Cases'!H902,"")</f>
        <v/>
      </c>
      <c r="I902" t="str">
        <f>IF($A902&lt;&gt;"",'All Cases - Enter Cases'!I902,"")</f>
        <v/>
      </c>
      <c r="J902" t="str">
        <f>IF($A902&lt;&gt;"",'All Cases - Enter Cases'!J902,"")</f>
        <v/>
      </c>
      <c r="K902" s="4" t="str">
        <f>IF($A902&lt;&gt;"",'All Cases - Enter Cases'!K902,"")</f>
        <v/>
      </c>
      <c r="L902" t="str">
        <f>IF($A902&lt;&gt;"",'All Cases - Enter Cases'!L902,"")</f>
        <v/>
      </c>
      <c r="M902" t="str">
        <f>IF($A902&lt;&gt;"",'All Cases - Enter Cases'!M902,"")</f>
        <v/>
      </c>
    </row>
    <row r="903" spans="1:13" x14ac:dyDescent="0.35">
      <c r="A903" s="10" t="str">
        <f>IF('All Cases - Enter Cases'!$F903="Sindh",'All Cases - Enter Cases'!A903,"")</f>
        <v/>
      </c>
      <c r="B903" t="str">
        <f>IF($A903&lt;&gt;"",'All Cases - Enter Cases'!B903,"")</f>
        <v/>
      </c>
      <c r="C903" t="str">
        <f>IF($A903&lt;&gt;"",'All Cases - Enter Cases'!C903,"")</f>
        <v/>
      </c>
      <c r="D903" t="str">
        <f>IF($A903&lt;&gt;"",'All Cases - Enter Cases'!D903,"")</f>
        <v/>
      </c>
      <c r="E903" t="str">
        <f>IF($A903&lt;&gt;"",'All Cases - Enter Cases'!E903,"")</f>
        <v/>
      </c>
      <c r="F903" t="str">
        <f>IF($A903&lt;&gt;"",'All Cases - Enter Cases'!F903,"")</f>
        <v/>
      </c>
      <c r="G903" t="str">
        <f>IF($A903&lt;&gt;"",'All Cases - Enter Cases'!G903,"")</f>
        <v/>
      </c>
      <c r="H903" t="str">
        <f>IF($A903&lt;&gt;"",'All Cases - Enter Cases'!H903,"")</f>
        <v/>
      </c>
      <c r="I903" t="str">
        <f>IF($A903&lt;&gt;"",'All Cases - Enter Cases'!I903,"")</f>
        <v/>
      </c>
      <c r="J903" t="str">
        <f>IF($A903&lt;&gt;"",'All Cases - Enter Cases'!J903,"")</f>
        <v/>
      </c>
      <c r="K903" s="4" t="str">
        <f>IF($A903&lt;&gt;"",'All Cases - Enter Cases'!K903,"")</f>
        <v/>
      </c>
      <c r="L903" t="str">
        <f>IF($A903&lt;&gt;"",'All Cases - Enter Cases'!L903,"")</f>
        <v/>
      </c>
      <c r="M903" t="str">
        <f>IF($A903&lt;&gt;"",'All Cases - Enter Cases'!M903,"")</f>
        <v/>
      </c>
    </row>
    <row r="904" spans="1:13" x14ac:dyDescent="0.35">
      <c r="A904" s="10" t="str">
        <f>IF('All Cases - Enter Cases'!$F904="Sindh",'All Cases - Enter Cases'!A904,"")</f>
        <v/>
      </c>
      <c r="B904" t="str">
        <f>IF($A904&lt;&gt;"",'All Cases - Enter Cases'!B904,"")</f>
        <v/>
      </c>
      <c r="C904" t="str">
        <f>IF($A904&lt;&gt;"",'All Cases - Enter Cases'!C904,"")</f>
        <v/>
      </c>
      <c r="D904" t="str">
        <f>IF($A904&lt;&gt;"",'All Cases - Enter Cases'!D904,"")</f>
        <v/>
      </c>
      <c r="E904" t="str">
        <f>IF($A904&lt;&gt;"",'All Cases - Enter Cases'!E904,"")</f>
        <v/>
      </c>
      <c r="F904" t="str">
        <f>IF($A904&lt;&gt;"",'All Cases - Enter Cases'!F904,"")</f>
        <v/>
      </c>
      <c r="G904" t="str">
        <f>IF($A904&lt;&gt;"",'All Cases - Enter Cases'!G904,"")</f>
        <v/>
      </c>
      <c r="H904" t="str">
        <f>IF($A904&lt;&gt;"",'All Cases - Enter Cases'!H904,"")</f>
        <v/>
      </c>
      <c r="I904" t="str">
        <f>IF($A904&lt;&gt;"",'All Cases - Enter Cases'!I904,"")</f>
        <v/>
      </c>
      <c r="J904" t="str">
        <f>IF($A904&lt;&gt;"",'All Cases - Enter Cases'!J904,"")</f>
        <v/>
      </c>
      <c r="K904" s="4" t="str">
        <f>IF($A904&lt;&gt;"",'All Cases - Enter Cases'!K904,"")</f>
        <v/>
      </c>
      <c r="L904" t="str">
        <f>IF($A904&lt;&gt;"",'All Cases - Enter Cases'!L904,"")</f>
        <v/>
      </c>
      <c r="M904" t="str">
        <f>IF($A904&lt;&gt;"",'All Cases - Enter Cases'!M904,"")</f>
        <v/>
      </c>
    </row>
    <row r="905" spans="1:13" x14ac:dyDescent="0.35">
      <c r="A905" s="10" t="str">
        <f>IF('All Cases - Enter Cases'!$F905="Sindh",'All Cases - Enter Cases'!A905,"")</f>
        <v/>
      </c>
      <c r="B905" t="str">
        <f>IF($A905&lt;&gt;"",'All Cases - Enter Cases'!B905,"")</f>
        <v/>
      </c>
      <c r="C905" t="str">
        <f>IF($A905&lt;&gt;"",'All Cases - Enter Cases'!C905,"")</f>
        <v/>
      </c>
      <c r="D905" t="str">
        <f>IF($A905&lt;&gt;"",'All Cases - Enter Cases'!D905,"")</f>
        <v/>
      </c>
      <c r="E905" t="str">
        <f>IF($A905&lt;&gt;"",'All Cases - Enter Cases'!E905,"")</f>
        <v/>
      </c>
      <c r="F905" t="str">
        <f>IF($A905&lt;&gt;"",'All Cases - Enter Cases'!F905,"")</f>
        <v/>
      </c>
      <c r="G905" t="str">
        <f>IF($A905&lt;&gt;"",'All Cases - Enter Cases'!G905,"")</f>
        <v/>
      </c>
      <c r="H905" t="str">
        <f>IF($A905&lt;&gt;"",'All Cases - Enter Cases'!H905,"")</f>
        <v/>
      </c>
      <c r="I905" t="str">
        <f>IF($A905&lt;&gt;"",'All Cases - Enter Cases'!I905,"")</f>
        <v/>
      </c>
      <c r="J905" t="str">
        <f>IF($A905&lt;&gt;"",'All Cases - Enter Cases'!J905,"")</f>
        <v/>
      </c>
      <c r="K905" s="4" t="str">
        <f>IF($A905&lt;&gt;"",'All Cases - Enter Cases'!K905,"")</f>
        <v/>
      </c>
      <c r="L905" t="str">
        <f>IF($A905&lt;&gt;"",'All Cases - Enter Cases'!L905,"")</f>
        <v/>
      </c>
      <c r="M905" t="str">
        <f>IF($A905&lt;&gt;"",'All Cases - Enter Cases'!M905,"")</f>
        <v/>
      </c>
    </row>
    <row r="906" spans="1:13" x14ac:dyDescent="0.35">
      <c r="A906" s="10" t="str">
        <f>IF('All Cases - Enter Cases'!$F906="Sindh",'All Cases - Enter Cases'!A906,"")</f>
        <v/>
      </c>
      <c r="B906" t="str">
        <f>IF($A906&lt;&gt;"",'All Cases - Enter Cases'!B906,"")</f>
        <v/>
      </c>
      <c r="C906" t="str">
        <f>IF($A906&lt;&gt;"",'All Cases - Enter Cases'!C906,"")</f>
        <v/>
      </c>
      <c r="D906" t="str">
        <f>IF($A906&lt;&gt;"",'All Cases - Enter Cases'!D906,"")</f>
        <v/>
      </c>
      <c r="E906" t="str">
        <f>IF($A906&lt;&gt;"",'All Cases - Enter Cases'!E906,"")</f>
        <v/>
      </c>
      <c r="F906" t="str">
        <f>IF($A906&lt;&gt;"",'All Cases - Enter Cases'!F906,"")</f>
        <v/>
      </c>
      <c r="G906" t="str">
        <f>IF($A906&lt;&gt;"",'All Cases - Enter Cases'!G906,"")</f>
        <v/>
      </c>
      <c r="H906" t="str">
        <f>IF($A906&lt;&gt;"",'All Cases - Enter Cases'!H906,"")</f>
        <v/>
      </c>
      <c r="I906" t="str">
        <f>IF($A906&lt;&gt;"",'All Cases - Enter Cases'!I906,"")</f>
        <v/>
      </c>
      <c r="J906" t="str">
        <f>IF($A906&lt;&gt;"",'All Cases - Enter Cases'!J906,"")</f>
        <v/>
      </c>
      <c r="K906" s="4" t="str">
        <f>IF($A906&lt;&gt;"",'All Cases - Enter Cases'!K906,"")</f>
        <v/>
      </c>
      <c r="L906" t="str">
        <f>IF($A906&lt;&gt;"",'All Cases - Enter Cases'!L906,"")</f>
        <v/>
      </c>
      <c r="M906" t="str">
        <f>IF($A906&lt;&gt;"",'All Cases - Enter Cases'!M906,"")</f>
        <v/>
      </c>
    </row>
    <row r="907" spans="1:13" x14ac:dyDescent="0.35">
      <c r="A907" s="10" t="str">
        <f>IF('All Cases - Enter Cases'!$F907="Sindh",'All Cases - Enter Cases'!A907,"")</f>
        <v/>
      </c>
      <c r="B907" t="str">
        <f>IF($A907&lt;&gt;"",'All Cases - Enter Cases'!B907,"")</f>
        <v/>
      </c>
      <c r="C907" t="str">
        <f>IF($A907&lt;&gt;"",'All Cases - Enter Cases'!C907,"")</f>
        <v/>
      </c>
      <c r="D907" t="str">
        <f>IF($A907&lt;&gt;"",'All Cases - Enter Cases'!D907,"")</f>
        <v/>
      </c>
      <c r="E907" t="str">
        <f>IF($A907&lt;&gt;"",'All Cases - Enter Cases'!E907,"")</f>
        <v/>
      </c>
      <c r="F907" t="str">
        <f>IF($A907&lt;&gt;"",'All Cases - Enter Cases'!F907,"")</f>
        <v/>
      </c>
      <c r="G907" t="str">
        <f>IF($A907&lt;&gt;"",'All Cases - Enter Cases'!G907,"")</f>
        <v/>
      </c>
      <c r="H907" t="str">
        <f>IF($A907&lt;&gt;"",'All Cases - Enter Cases'!H907,"")</f>
        <v/>
      </c>
      <c r="I907" t="str">
        <f>IF($A907&lt;&gt;"",'All Cases - Enter Cases'!I907,"")</f>
        <v/>
      </c>
      <c r="J907" t="str">
        <f>IF($A907&lt;&gt;"",'All Cases - Enter Cases'!J907,"")</f>
        <v/>
      </c>
      <c r="K907" s="4" t="str">
        <f>IF($A907&lt;&gt;"",'All Cases - Enter Cases'!K907,"")</f>
        <v/>
      </c>
      <c r="L907" t="str">
        <f>IF($A907&lt;&gt;"",'All Cases - Enter Cases'!L907,"")</f>
        <v/>
      </c>
      <c r="M907" t="str">
        <f>IF($A907&lt;&gt;"",'All Cases - Enter Cases'!M907,"")</f>
        <v/>
      </c>
    </row>
    <row r="908" spans="1:13" x14ac:dyDescent="0.35">
      <c r="A908" s="10" t="str">
        <f>IF('All Cases - Enter Cases'!$F908="Sindh",'All Cases - Enter Cases'!A908,"")</f>
        <v/>
      </c>
      <c r="B908" t="str">
        <f>IF($A908&lt;&gt;"",'All Cases - Enter Cases'!B908,"")</f>
        <v/>
      </c>
      <c r="C908" t="str">
        <f>IF($A908&lt;&gt;"",'All Cases - Enter Cases'!C908,"")</f>
        <v/>
      </c>
      <c r="D908" t="str">
        <f>IF($A908&lt;&gt;"",'All Cases - Enter Cases'!D908,"")</f>
        <v/>
      </c>
      <c r="E908" t="str">
        <f>IF($A908&lt;&gt;"",'All Cases - Enter Cases'!E908,"")</f>
        <v/>
      </c>
      <c r="F908" t="str">
        <f>IF($A908&lt;&gt;"",'All Cases - Enter Cases'!F908,"")</f>
        <v/>
      </c>
      <c r="G908" t="str">
        <f>IF($A908&lt;&gt;"",'All Cases - Enter Cases'!G908,"")</f>
        <v/>
      </c>
      <c r="H908" t="str">
        <f>IF($A908&lt;&gt;"",'All Cases - Enter Cases'!H908,"")</f>
        <v/>
      </c>
      <c r="I908" t="str">
        <f>IF($A908&lt;&gt;"",'All Cases - Enter Cases'!I908,"")</f>
        <v/>
      </c>
      <c r="J908" t="str">
        <f>IF($A908&lt;&gt;"",'All Cases - Enter Cases'!J908,"")</f>
        <v/>
      </c>
      <c r="K908" s="4" t="str">
        <f>IF($A908&lt;&gt;"",'All Cases - Enter Cases'!K908,"")</f>
        <v/>
      </c>
      <c r="L908" t="str">
        <f>IF($A908&lt;&gt;"",'All Cases - Enter Cases'!L908,"")</f>
        <v/>
      </c>
      <c r="M908" t="str">
        <f>IF($A908&lt;&gt;"",'All Cases - Enter Cases'!M908,"")</f>
        <v/>
      </c>
    </row>
    <row r="909" spans="1:13" x14ac:dyDescent="0.35">
      <c r="A909" s="10" t="str">
        <f>IF('All Cases - Enter Cases'!$F909="Sindh",'All Cases - Enter Cases'!A909,"")</f>
        <v/>
      </c>
      <c r="B909" t="str">
        <f>IF($A909&lt;&gt;"",'All Cases - Enter Cases'!B909,"")</f>
        <v/>
      </c>
      <c r="C909" t="str">
        <f>IF($A909&lt;&gt;"",'All Cases - Enter Cases'!C909,"")</f>
        <v/>
      </c>
      <c r="D909" t="str">
        <f>IF($A909&lt;&gt;"",'All Cases - Enter Cases'!D909,"")</f>
        <v/>
      </c>
      <c r="E909" t="str">
        <f>IF($A909&lt;&gt;"",'All Cases - Enter Cases'!E909,"")</f>
        <v/>
      </c>
      <c r="F909" t="str">
        <f>IF($A909&lt;&gt;"",'All Cases - Enter Cases'!F909,"")</f>
        <v/>
      </c>
      <c r="G909" t="str">
        <f>IF($A909&lt;&gt;"",'All Cases - Enter Cases'!G909,"")</f>
        <v/>
      </c>
      <c r="H909" t="str">
        <f>IF($A909&lt;&gt;"",'All Cases - Enter Cases'!H909,"")</f>
        <v/>
      </c>
      <c r="I909" t="str">
        <f>IF($A909&lt;&gt;"",'All Cases - Enter Cases'!I909,"")</f>
        <v/>
      </c>
      <c r="J909" t="str">
        <f>IF($A909&lt;&gt;"",'All Cases - Enter Cases'!J909,"")</f>
        <v/>
      </c>
      <c r="K909" s="4" t="str">
        <f>IF($A909&lt;&gt;"",'All Cases - Enter Cases'!K909,"")</f>
        <v/>
      </c>
      <c r="L909" t="str">
        <f>IF($A909&lt;&gt;"",'All Cases - Enter Cases'!L909,"")</f>
        <v/>
      </c>
      <c r="M909" t="str">
        <f>IF($A909&lt;&gt;"",'All Cases - Enter Cases'!M909,"")</f>
        <v/>
      </c>
    </row>
    <row r="910" spans="1:13" x14ac:dyDescent="0.35">
      <c r="A910" s="10" t="str">
        <f>IF('All Cases - Enter Cases'!$F910="Sindh",'All Cases - Enter Cases'!A910,"")</f>
        <v/>
      </c>
      <c r="B910" t="str">
        <f>IF($A910&lt;&gt;"",'All Cases - Enter Cases'!B910,"")</f>
        <v/>
      </c>
      <c r="C910" t="str">
        <f>IF($A910&lt;&gt;"",'All Cases - Enter Cases'!C910,"")</f>
        <v/>
      </c>
      <c r="D910" t="str">
        <f>IF($A910&lt;&gt;"",'All Cases - Enter Cases'!D910,"")</f>
        <v/>
      </c>
      <c r="E910" t="str">
        <f>IF($A910&lt;&gt;"",'All Cases - Enter Cases'!E910,"")</f>
        <v/>
      </c>
      <c r="F910" t="str">
        <f>IF($A910&lt;&gt;"",'All Cases - Enter Cases'!F910,"")</f>
        <v/>
      </c>
      <c r="G910" t="str">
        <f>IF($A910&lt;&gt;"",'All Cases - Enter Cases'!G910,"")</f>
        <v/>
      </c>
      <c r="H910" t="str">
        <f>IF($A910&lt;&gt;"",'All Cases - Enter Cases'!H910,"")</f>
        <v/>
      </c>
      <c r="I910" t="str">
        <f>IF($A910&lt;&gt;"",'All Cases - Enter Cases'!I910,"")</f>
        <v/>
      </c>
      <c r="J910" t="str">
        <f>IF($A910&lt;&gt;"",'All Cases - Enter Cases'!J910,"")</f>
        <v/>
      </c>
      <c r="K910" s="4" t="str">
        <f>IF($A910&lt;&gt;"",'All Cases - Enter Cases'!K910,"")</f>
        <v/>
      </c>
      <c r="L910" t="str">
        <f>IF($A910&lt;&gt;"",'All Cases - Enter Cases'!L910,"")</f>
        <v/>
      </c>
      <c r="M910" t="str">
        <f>IF($A910&lt;&gt;"",'All Cases - Enter Cases'!M910,"")</f>
        <v/>
      </c>
    </row>
    <row r="911" spans="1:13" x14ac:dyDescent="0.35">
      <c r="A911" s="10" t="str">
        <f>IF('All Cases - Enter Cases'!$F911="Sindh",'All Cases - Enter Cases'!A911,"")</f>
        <v/>
      </c>
      <c r="B911" t="str">
        <f>IF($A911&lt;&gt;"",'All Cases - Enter Cases'!B911,"")</f>
        <v/>
      </c>
      <c r="C911" t="str">
        <f>IF($A911&lt;&gt;"",'All Cases - Enter Cases'!C911,"")</f>
        <v/>
      </c>
      <c r="D911" t="str">
        <f>IF($A911&lt;&gt;"",'All Cases - Enter Cases'!D911,"")</f>
        <v/>
      </c>
      <c r="E911" t="str">
        <f>IF($A911&lt;&gt;"",'All Cases - Enter Cases'!E911,"")</f>
        <v/>
      </c>
      <c r="F911" t="str">
        <f>IF($A911&lt;&gt;"",'All Cases - Enter Cases'!F911,"")</f>
        <v/>
      </c>
      <c r="G911" t="str">
        <f>IF($A911&lt;&gt;"",'All Cases - Enter Cases'!G911,"")</f>
        <v/>
      </c>
      <c r="H911" t="str">
        <f>IF($A911&lt;&gt;"",'All Cases - Enter Cases'!H911,"")</f>
        <v/>
      </c>
      <c r="I911" t="str">
        <f>IF($A911&lt;&gt;"",'All Cases - Enter Cases'!I911,"")</f>
        <v/>
      </c>
      <c r="J911" t="str">
        <f>IF($A911&lt;&gt;"",'All Cases - Enter Cases'!J911,"")</f>
        <v/>
      </c>
      <c r="K911" s="4" t="str">
        <f>IF($A911&lt;&gt;"",'All Cases - Enter Cases'!K911,"")</f>
        <v/>
      </c>
      <c r="L911" t="str">
        <f>IF($A911&lt;&gt;"",'All Cases - Enter Cases'!L911,"")</f>
        <v/>
      </c>
      <c r="M911" t="str">
        <f>IF($A911&lt;&gt;"",'All Cases - Enter Cases'!M911,"")</f>
        <v/>
      </c>
    </row>
    <row r="912" spans="1:13" x14ac:dyDescent="0.35">
      <c r="A912" s="10" t="str">
        <f>IF('All Cases - Enter Cases'!$F912="Sindh",'All Cases - Enter Cases'!A912,"")</f>
        <v/>
      </c>
      <c r="B912" t="str">
        <f>IF($A912&lt;&gt;"",'All Cases - Enter Cases'!B912,"")</f>
        <v/>
      </c>
      <c r="C912" t="str">
        <f>IF($A912&lt;&gt;"",'All Cases - Enter Cases'!C912,"")</f>
        <v/>
      </c>
      <c r="D912" t="str">
        <f>IF($A912&lt;&gt;"",'All Cases - Enter Cases'!D912,"")</f>
        <v/>
      </c>
      <c r="E912" t="str">
        <f>IF($A912&lt;&gt;"",'All Cases - Enter Cases'!E912,"")</f>
        <v/>
      </c>
      <c r="F912" t="str">
        <f>IF($A912&lt;&gt;"",'All Cases - Enter Cases'!F912,"")</f>
        <v/>
      </c>
      <c r="G912" t="str">
        <f>IF($A912&lt;&gt;"",'All Cases - Enter Cases'!G912,"")</f>
        <v/>
      </c>
      <c r="H912" t="str">
        <f>IF($A912&lt;&gt;"",'All Cases - Enter Cases'!H912,"")</f>
        <v/>
      </c>
      <c r="I912" t="str">
        <f>IF($A912&lt;&gt;"",'All Cases - Enter Cases'!I912,"")</f>
        <v/>
      </c>
      <c r="J912" t="str">
        <f>IF($A912&lt;&gt;"",'All Cases - Enter Cases'!J912,"")</f>
        <v/>
      </c>
      <c r="K912" s="4" t="str">
        <f>IF($A912&lt;&gt;"",'All Cases - Enter Cases'!K912,"")</f>
        <v/>
      </c>
      <c r="L912" t="str">
        <f>IF($A912&lt;&gt;"",'All Cases - Enter Cases'!L912,"")</f>
        <v/>
      </c>
      <c r="M912" t="str">
        <f>IF($A912&lt;&gt;"",'All Cases - Enter Cases'!M912,"")</f>
        <v/>
      </c>
    </row>
    <row r="913" spans="1:13" x14ac:dyDescent="0.35">
      <c r="A913" s="10" t="str">
        <f>IF('All Cases - Enter Cases'!$F913="Sindh",'All Cases - Enter Cases'!A913,"")</f>
        <v/>
      </c>
      <c r="B913" t="str">
        <f>IF($A913&lt;&gt;"",'All Cases - Enter Cases'!B913,"")</f>
        <v/>
      </c>
      <c r="C913" t="str">
        <f>IF($A913&lt;&gt;"",'All Cases - Enter Cases'!C913,"")</f>
        <v/>
      </c>
      <c r="D913" t="str">
        <f>IF($A913&lt;&gt;"",'All Cases - Enter Cases'!D913,"")</f>
        <v/>
      </c>
      <c r="E913" t="str">
        <f>IF($A913&lt;&gt;"",'All Cases - Enter Cases'!E913,"")</f>
        <v/>
      </c>
      <c r="F913" t="str">
        <f>IF($A913&lt;&gt;"",'All Cases - Enter Cases'!F913,"")</f>
        <v/>
      </c>
      <c r="G913" t="str">
        <f>IF($A913&lt;&gt;"",'All Cases - Enter Cases'!G913,"")</f>
        <v/>
      </c>
      <c r="H913" t="str">
        <f>IF($A913&lt;&gt;"",'All Cases - Enter Cases'!H913,"")</f>
        <v/>
      </c>
      <c r="I913" t="str">
        <f>IF($A913&lt;&gt;"",'All Cases - Enter Cases'!I913,"")</f>
        <v/>
      </c>
      <c r="J913" t="str">
        <f>IF($A913&lt;&gt;"",'All Cases - Enter Cases'!J913,"")</f>
        <v/>
      </c>
      <c r="K913" s="4" t="str">
        <f>IF($A913&lt;&gt;"",'All Cases - Enter Cases'!K913,"")</f>
        <v/>
      </c>
      <c r="L913" t="str">
        <f>IF($A913&lt;&gt;"",'All Cases - Enter Cases'!L913,"")</f>
        <v/>
      </c>
      <c r="M913" t="str">
        <f>IF($A913&lt;&gt;"",'All Cases - Enter Cases'!M913,"")</f>
        <v/>
      </c>
    </row>
    <row r="914" spans="1:13" x14ac:dyDescent="0.35">
      <c r="A914" s="10" t="str">
        <f>IF('All Cases - Enter Cases'!$F914="Sindh",'All Cases - Enter Cases'!A914,"")</f>
        <v/>
      </c>
      <c r="B914" t="str">
        <f>IF($A914&lt;&gt;"",'All Cases - Enter Cases'!B914,"")</f>
        <v/>
      </c>
      <c r="C914" t="str">
        <f>IF($A914&lt;&gt;"",'All Cases - Enter Cases'!C914,"")</f>
        <v/>
      </c>
      <c r="D914" t="str">
        <f>IF($A914&lt;&gt;"",'All Cases - Enter Cases'!D914,"")</f>
        <v/>
      </c>
      <c r="E914" t="str">
        <f>IF($A914&lt;&gt;"",'All Cases - Enter Cases'!E914,"")</f>
        <v/>
      </c>
      <c r="F914" t="str">
        <f>IF($A914&lt;&gt;"",'All Cases - Enter Cases'!F914,"")</f>
        <v/>
      </c>
      <c r="G914" t="str">
        <f>IF($A914&lt;&gt;"",'All Cases - Enter Cases'!G914,"")</f>
        <v/>
      </c>
      <c r="H914" t="str">
        <f>IF($A914&lt;&gt;"",'All Cases - Enter Cases'!H914,"")</f>
        <v/>
      </c>
      <c r="I914" t="str">
        <f>IF($A914&lt;&gt;"",'All Cases - Enter Cases'!I914,"")</f>
        <v/>
      </c>
      <c r="J914" t="str">
        <f>IF($A914&lt;&gt;"",'All Cases - Enter Cases'!J914,"")</f>
        <v/>
      </c>
      <c r="K914" s="4" t="str">
        <f>IF($A914&lt;&gt;"",'All Cases - Enter Cases'!K914,"")</f>
        <v/>
      </c>
      <c r="L914" t="str">
        <f>IF($A914&lt;&gt;"",'All Cases - Enter Cases'!L914,"")</f>
        <v/>
      </c>
      <c r="M914" t="str">
        <f>IF($A914&lt;&gt;"",'All Cases - Enter Cases'!M914,"")</f>
        <v/>
      </c>
    </row>
    <row r="915" spans="1:13" x14ac:dyDescent="0.35">
      <c r="A915" s="10" t="str">
        <f>IF('All Cases - Enter Cases'!$F915="Sindh",'All Cases - Enter Cases'!A915,"")</f>
        <v/>
      </c>
      <c r="B915" t="str">
        <f>IF($A915&lt;&gt;"",'All Cases - Enter Cases'!B915,"")</f>
        <v/>
      </c>
      <c r="C915" t="str">
        <f>IF($A915&lt;&gt;"",'All Cases - Enter Cases'!C915,"")</f>
        <v/>
      </c>
      <c r="D915" t="str">
        <f>IF($A915&lt;&gt;"",'All Cases - Enter Cases'!D915,"")</f>
        <v/>
      </c>
      <c r="E915" t="str">
        <f>IF($A915&lt;&gt;"",'All Cases - Enter Cases'!E915,"")</f>
        <v/>
      </c>
      <c r="F915" t="str">
        <f>IF($A915&lt;&gt;"",'All Cases - Enter Cases'!F915,"")</f>
        <v/>
      </c>
      <c r="G915" t="str">
        <f>IF($A915&lt;&gt;"",'All Cases - Enter Cases'!G915,"")</f>
        <v/>
      </c>
      <c r="H915" t="str">
        <f>IF($A915&lt;&gt;"",'All Cases - Enter Cases'!H915,"")</f>
        <v/>
      </c>
      <c r="I915" t="str">
        <f>IF($A915&lt;&gt;"",'All Cases - Enter Cases'!I915,"")</f>
        <v/>
      </c>
      <c r="J915" t="str">
        <f>IF($A915&lt;&gt;"",'All Cases - Enter Cases'!J915,"")</f>
        <v/>
      </c>
      <c r="K915" s="4" t="str">
        <f>IF($A915&lt;&gt;"",'All Cases - Enter Cases'!K915,"")</f>
        <v/>
      </c>
      <c r="L915" t="str">
        <f>IF($A915&lt;&gt;"",'All Cases - Enter Cases'!L915,"")</f>
        <v/>
      </c>
      <c r="M915" t="str">
        <f>IF($A915&lt;&gt;"",'All Cases - Enter Cases'!M915,"")</f>
        <v/>
      </c>
    </row>
    <row r="916" spans="1:13" x14ac:dyDescent="0.35">
      <c r="A916" s="10" t="str">
        <f>IF('All Cases - Enter Cases'!$F916="Sindh",'All Cases - Enter Cases'!A916,"")</f>
        <v/>
      </c>
      <c r="B916" t="str">
        <f>IF($A916&lt;&gt;"",'All Cases - Enter Cases'!B916,"")</f>
        <v/>
      </c>
      <c r="C916" t="str">
        <f>IF($A916&lt;&gt;"",'All Cases - Enter Cases'!C916,"")</f>
        <v/>
      </c>
      <c r="D916" t="str">
        <f>IF($A916&lt;&gt;"",'All Cases - Enter Cases'!D916,"")</f>
        <v/>
      </c>
      <c r="E916" t="str">
        <f>IF($A916&lt;&gt;"",'All Cases - Enter Cases'!E916,"")</f>
        <v/>
      </c>
      <c r="F916" t="str">
        <f>IF($A916&lt;&gt;"",'All Cases - Enter Cases'!F916,"")</f>
        <v/>
      </c>
      <c r="G916" t="str">
        <f>IF($A916&lt;&gt;"",'All Cases - Enter Cases'!G916,"")</f>
        <v/>
      </c>
      <c r="H916" t="str">
        <f>IF($A916&lt;&gt;"",'All Cases - Enter Cases'!H916,"")</f>
        <v/>
      </c>
      <c r="I916" t="str">
        <f>IF($A916&lt;&gt;"",'All Cases - Enter Cases'!I916,"")</f>
        <v/>
      </c>
      <c r="J916" t="str">
        <f>IF($A916&lt;&gt;"",'All Cases - Enter Cases'!J916,"")</f>
        <v/>
      </c>
      <c r="K916" s="4" t="str">
        <f>IF($A916&lt;&gt;"",'All Cases - Enter Cases'!K916,"")</f>
        <v/>
      </c>
      <c r="L916" t="str">
        <f>IF($A916&lt;&gt;"",'All Cases - Enter Cases'!L916,"")</f>
        <v/>
      </c>
      <c r="M916" t="str">
        <f>IF($A916&lt;&gt;"",'All Cases - Enter Cases'!M916,"")</f>
        <v/>
      </c>
    </row>
    <row r="917" spans="1:13" x14ac:dyDescent="0.35">
      <c r="A917" s="10" t="str">
        <f>IF('All Cases - Enter Cases'!$F917="Sindh",'All Cases - Enter Cases'!A917,"")</f>
        <v/>
      </c>
      <c r="B917" t="str">
        <f>IF($A917&lt;&gt;"",'All Cases - Enter Cases'!B917,"")</f>
        <v/>
      </c>
      <c r="C917" t="str">
        <f>IF($A917&lt;&gt;"",'All Cases - Enter Cases'!C917,"")</f>
        <v/>
      </c>
      <c r="D917" t="str">
        <f>IF($A917&lt;&gt;"",'All Cases - Enter Cases'!D917,"")</f>
        <v/>
      </c>
      <c r="E917" t="str">
        <f>IF($A917&lt;&gt;"",'All Cases - Enter Cases'!E917,"")</f>
        <v/>
      </c>
      <c r="F917" t="str">
        <f>IF($A917&lt;&gt;"",'All Cases - Enter Cases'!F917,"")</f>
        <v/>
      </c>
      <c r="G917" t="str">
        <f>IF($A917&lt;&gt;"",'All Cases - Enter Cases'!G917,"")</f>
        <v/>
      </c>
      <c r="H917" t="str">
        <f>IF($A917&lt;&gt;"",'All Cases - Enter Cases'!H917,"")</f>
        <v/>
      </c>
      <c r="I917" t="str">
        <f>IF($A917&lt;&gt;"",'All Cases - Enter Cases'!I917,"")</f>
        <v/>
      </c>
      <c r="J917" t="str">
        <f>IF($A917&lt;&gt;"",'All Cases - Enter Cases'!J917,"")</f>
        <v/>
      </c>
      <c r="K917" s="4" t="str">
        <f>IF($A917&lt;&gt;"",'All Cases - Enter Cases'!K917,"")</f>
        <v/>
      </c>
      <c r="L917" t="str">
        <f>IF($A917&lt;&gt;"",'All Cases - Enter Cases'!L917,"")</f>
        <v/>
      </c>
      <c r="M917" t="str">
        <f>IF($A917&lt;&gt;"",'All Cases - Enter Cases'!M917,"")</f>
        <v/>
      </c>
    </row>
    <row r="918" spans="1:13" x14ac:dyDescent="0.35">
      <c r="A918" s="10" t="str">
        <f>IF('All Cases - Enter Cases'!$F918="Sindh",'All Cases - Enter Cases'!A918,"")</f>
        <v/>
      </c>
      <c r="B918" t="str">
        <f>IF($A918&lt;&gt;"",'All Cases - Enter Cases'!B918,"")</f>
        <v/>
      </c>
      <c r="C918" t="str">
        <f>IF($A918&lt;&gt;"",'All Cases - Enter Cases'!C918,"")</f>
        <v/>
      </c>
      <c r="D918" t="str">
        <f>IF($A918&lt;&gt;"",'All Cases - Enter Cases'!D918,"")</f>
        <v/>
      </c>
      <c r="E918" t="str">
        <f>IF($A918&lt;&gt;"",'All Cases - Enter Cases'!E918,"")</f>
        <v/>
      </c>
      <c r="F918" t="str">
        <f>IF($A918&lt;&gt;"",'All Cases - Enter Cases'!F918,"")</f>
        <v/>
      </c>
      <c r="G918" t="str">
        <f>IF($A918&lt;&gt;"",'All Cases - Enter Cases'!G918,"")</f>
        <v/>
      </c>
      <c r="H918" t="str">
        <f>IF($A918&lt;&gt;"",'All Cases - Enter Cases'!H918,"")</f>
        <v/>
      </c>
      <c r="I918" t="str">
        <f>IF($A918&lt;&gt;"",'All Cases - Enter Cases'!I918,"")</f>
        <v/>
      </c>
      <c r="J918" t="str">
        <f>IF($A918&lt;&gt;"",'All Cases - Enter Cases'!J918,"")</f>
        <v/>
      </c>
      <c r="K918" s="4" t="str">
        <f>IF($A918&lt;&gt;"",'All Cases - Enter Cases'!K918,"")</f>
        <v/>
      </c>
      <c r="L918" t="str">
        <f>IF($A918&lt;&gt;"",'All Cases - Enter Cases'!L918,"")</f>
        <v/>
      </c>
      <c r="M918" t="str">
        <f>IF($A918&lt;&gt;"",'All Cases - Enter Cases'!M918,"")</f>
        <v/>
      </c>
    </row>
    <row r="919" spans="1:13" x14ac:dyDescent="0.35">
      <c r="A919" s="10" t="str">
        <f>IF('All Cases - Enter Cases'!$F919="Sindh",'All Cases - Enter Cases'!A919,"")</f>
        <v/>
      </c>
      <c r="B919" t="str">
        <f>IF($A919&lt;&gt;"",'All Cases - Enter Cases'!B919,"")</f>
        <v/>
      </c>
      <c r="C919" t="str">
        <f>IF($A919&lt;&gt;"",'All Cases - Enter Cases'!C919,"")</f>
        <v/>
      </c>
      <c r="D919" t="str">
        <f>IF($A919&lt;&gt;"",'All Cases - Enter Cases'!D919,"")</f>
        <v/>
      </c>
      <c r="E919" t="str">
        <f>IF($A919&lt;&gt;"",'All Cases - Enter Cases'!E919,"")</f>
        <v/>
      </c>
      <c r="F919" t="str">
        <f>IF($A919&lt;&gt;"",'All Cases - Enter Cases'!F919,"")</f>
        <v/>
      </c>
      <c r="G919" t="str">
        <f>IF($A919&lt;&gt;"",'All Cases - Enter Cases'!G919,"")</f>
        <v/>
      </c>
      <c r="H919" t="str">
        <f>IF($A919&lt;&gt;"",'All Cases - Enter Cases'!H919,"")</f>
        <v/>
      </c>
      <c r="I919" t="str">
        <f>IF($A919&lt;&gt;"",'All Cases - Enter Cases'!I919,"")</f>
        <v/>
      </c>
      <c r="J919" t="str">
        <f>IF($A919&lt;&gt;"",'All Cases - Enter Cases'!J919,"")</f>
        <v/>
      </c>
      <c r="K919" s="4" t="str">
        <f>IF($A919&lt;&gt;"",'All Cases - Enter Cases'!K919,"")</f>
        <v/>
      </c>
      <c r="L919" t="str">
        <f>IF($A919&lt;&gt;"",'All Cases - Enter Cases'!L919,"")</f>
        <v/>
      </c>
      <c r="M919" t="str">
        <f>IF($A919&lt;&gt;"",'All Cases - Enter Cases'!M919,"")</f>
        <v/>
      </c>
    </row>
    <row r="920" spans="1:13" x14ac:dyDescent="0.35">
      <c r="A920" s="10" t="str">
        <f>IF('All Cases - Enter Cases'!$F920="Sindh",'All Cases - Enter Cases'!A920,"")</f>
        <v/>
      </c>
      <c r="B920" t="str">
        <f>IF($A920&lt;&gt;"",'All Cases - Enter Cases'!B920,"")</f>
        <v/>
      </c>
      <c r="C920" t="str">
        <f>IF($A920&lt;&gt;"",'All Cases - Enter Cases'!C920,"")</f>
        <v/>
      </c>
      <c r="D920" t="str">
        <f>IF($A920&lt;&gt;"",'All Cases - Enter Cases'!D920,"")</f>
        <v/>
      </c>
      <c r="E920" t="str">
        <f>IF($A920&lt;&gt;"",'All Cases - Enter Cases'!E920,"")</f>
        <v/>
      </c>
      <c r="F920" t="str">
        <f>IF($A920&lt;&gt;"",'All Cases - Enter Cases'!F920,"")</f>
        <v/>
      </c>
      <c r="G920" t="str">
        <f>IF($A920&lt;&gt;"",'All Cases - Enter Cases'!G920,"")</f>
        <v/>
      </c>
      <c r="H920" t="str">
        <f>IF($A920&lt;&gt;"",'All Cases - Enter Cases'!H920,"")</f>
        <v/>
      </c>
      <c r="I920" t="str">
        <f>IF($A920&lt;&gt;"",'All Cases - Enter Cases'!I920,"")</f>
        <v/>
      </c>
      <c r="J920" t="str">
        <f>IF($A920&lt;&gt;"",'All Cases - Enter Cases'!J920,"")</f>
        <v/>
      </c>
      <c r="K920" s="4" t="str">
        <f>IF($A920&lt;&gt;"",'All Cases - Enter Cases'!K920,"")</f>
        <v/>
      </c>
      <c r="L920" t="str">
        <f>IF($A920&lt;&gt;"",'All Cases - Enter Cases'!L920,"")</f>
        <v/>
      </c>
      <c r="M920" t="str">
        <f>IF($A920&lt;&gt;"",'All Cases - Enter Cases'!M920,"")</f>
        <v/>
      </c>
    </row>
    <row r="921" spans="1:13" x14ac:dyDescent="0.35">
      <c r="A921" s="10" t="str">
        <f>IF('All Cases - Enter Cases'!$F921="Sindh",'All Cases - Enter Cases'!A921,"")</f>
        <v/>
      </c>
      <c r="B921" t="str">
        <f>IF($A921&lt;&gt;"",'All Cases - Enter Cases'!B921,"")</f>
        <v/>
      </c>
      <c r="C921" t="str">
        <f>IF($A921&lt;&gt;"",'All Cases - Enter Cases'!C921,"")</f>
        <v/>
      </c>
      <c r="D921" t="str">
        <f>IF($A921&lt;&gt;"",'All Cases - Enter Cases'!D921,"")</f>
        <v/>
      </c>
      <c r="E921" t="str">
        <f>IF($A921&lt;&gt;"",'All Cases - Enter Cases'!E921,"")</f>
        <v/>
      </c>
      <c r="F921" t="str">
        <f>IF($A921&lt;&gt;"",'All Cases - Enter Cases'!F921,"")</f>
        <v/>
      </c>
      <c r="G921" t="str">
        <f>IF($A921&lt;&gt;"",'All Cases - Enter Cases'!G921,"")</f>
        <v/>
      </c>
      <c r="H921" t="str">
        <f>IF($A921&lt;&gt;"",'All Cases - Enter Cases'!H921,"")</f>
        <v/>
      </c>
      <c r="I921" t="str">
        <f>IF($A921&lt;&gt;"",'All Cases - Enter Cases'!I921,"")</f>
        <v/>
      </c>
      <c r="J921" t="str">
        <f>IF($A921&lt;&gt;"",'All Cases - Enter Cases'!J921,"")</f>
        <v/>
      </c>
      <c r="K921" s="4" t="str">
        <f>IF($A921&lt;&gt;"",'All Cases - Enter Cases'!K921,"")</f>
        <v/>
      </c>
      <c r="L921" t="str">
        <f>IF($A921&lt;&gt;"",'All Cases - Enter Cases'!L921,"")</f>
        <v/>
      </c>
      <c r="M921" t="str">
        <f>IF($A921&lt;&gt;"",'All Cases - Enter Cases'!M921,"")</f>
        <v/>
      </c>
    </row>
    <row r="922" spans="1:13" x14ac:dyDescent="0.35">
      <c r="A922" s="10" t="str">
        <f>IF('All Cases - Enter Cases'!$F922="Sindh",'All Cases - Enter Cases'!A922,"")</f>
        <v/>
      </c>
      <c r="B922" t="str">
        <f>IF($A922&lt;&gt;"",'All Cases - Enter Cases'!B922,"")</f>
        <v/>
      </c>
      <c r="C922" t="str">
        <f>IF($A922&lt;&gt;"",'All Cases - Enter Cases'!C922,"")</f>
        <v/>
      </c>
      <c r="D922" t="str">
        <f>IF($A922&lt;&gt;"",'All Cases - Enter Cases'!D922,"")</f>
        <v/>
      </c>
      <c r="E922" t="str">
        <f>IF($A922&lt;&gt;"",'All Cases - Enter Cases'!E922,"")</f>
        <v/>
      </c>
      <c r="F922" t="str">
        <f>IF($A922&lt;&gt;"",'All Cases - Enter Cases'!F922,"")</f>
        <v/>
      </c>
      <c r="G922" t="str">
        <f>IF($A922&lt;&gt;"",'All Cases - Enter Cases'!G922,"")</f>
        <v/>
      </c>
      <c r="H922" t="str">
        <f>IF($A922&lt;&gt;"",'All Cases - Enter Cases'!H922,"")</f>
        <v/>
      </c>
      <c r="I922" t="str">
        <f>IF($A922&lt;&gt;"",'All Cases - Enter Cases'!I922,"")</f>
        <v/>
      </c>
      <c r="J922" t="str">
        <f>IF($A922&lt;&gt;"",'All Cases - Enter Cases'!J922,"")</f>
        <v/>
      </c>
      <c r="K922" s="4" t="str">
        <f>IF($A922&lt;&gt;"",'All Cases - Enter Cases'!K922,"")</f>
        <v/>
      </c>
      <c r="L922" t="str">
        <f>IF($A922&lt;&gt;"",'All Cases - Enter Cases'!L922,"")</f>
        <v/>
      </c>
      <c r="M922" t="str">
        <f>IF($A922&lt;&gt;"",'All Cases - Enter Cases'!M922,"")</f>
        <v/>
      </c>
    </row>
    <row r="923" spans="1:13" x14ac:dyDescent="0.35">
      <c r="A923" s="10" t="str">
        <f>IF('All Cases - Enter Cases'!$F923="Sindh",'All Cases - Enter Cases'!A923,"")</f>
        <v/>
      </c>
      <c r="B923" t="str">
        <f>IF($A923&lt;&gt;"",'All Cases - Enter Cases'!B923,"")</f>
        <v/>
      </c>
      <c r="C923" t="str">
        <f>IF($A923&lt;&gt;"",'All Cases - Enter Cases'!C923,"")</f>
        <v/>
      </c>
      <c r="D923" t="str">
        <f>IF($A923&lt;&gt;"",'All Cases - Enter Cases'!D923,"")</f>
        <v/>
      </c>
      <c r="E923" t="str">
        <f>IF($A923&lt;&gt;"",'All Cases - Enter Cases'!E923,"")</f>
        <v/>
      </c>
      <c r="F923" t="str">
        <f>IF($A923&lt;&gt;"",'All Cases - Enter Cases'!F923,"")</f>
        <v/>
      </c>
      <c r="G923" t="str">
        <f>IF($A923&lt;&gt;"",'All Cases - Enter Cases'!G923,"")</f>
        <v/>
      </c>
      <c r="H923" t="str">
        <f>IF($A923&lt;&gt;"",'All Cases - Enter Cases'!H923,"")</f>
        <v/>
      </c>
      <c r="I923" t="str">
        <f>IF($A923&lt;&gt;"",'All Cases - Enter Cases'!I923,"")</f>
        <v/>
      </c>
      <c r="J923" t="str">
        <f>IF($A923&lt;&gt;"",'All Cases - Enter Cases'!J923,"")</f>
        <v/>
      </c>
      <c r="K923" s="4" t="str">
        <f>IF($A923&lt;&gt;"",'All Cases - Enter Cases'!K923,"")</f>
        <v/>
      </c>
      <c r="L923" t="str">
        <f>IF($A923&lt;&gt;"",'All Cases - Enter Cases'!L923,"")</f>
        <v/>
      </c>
      <c r="M923" t="str">
        <f>IF($A923&lt;&gt;"",'All Cases - Enter Cases'!M923,"")</f>
        <v/>
      </c>
    </row>
    <row r="924" spans="1:13" x14ac:dyDescent="0.35">
      <c r="A924" s="10" t="str">
        <f>IF('All Cases - Enter Cases'!$F924="Sindh",'All Cases - Enter Cases'!A924,"")</f>
        <v/>
      </c>
      <c r="B924" t="str">
        <f>IF($A924&lt;&gt;"",'All Cases - Enter Cases'!B924,"")</f>
        <v/>
      </c>
      <c r="C924" t="str">
        <f>IF($A924&lt;&gt;"",'All Cases - Enter Cases'!C924,"")</f>
        <v/>
      </c>
      <c r="D924" t="str">
        <f>IF($A924&lt;&gt;"",'All Cases - Enter Cases'!D924,"")</f>
        <v/>
      </c>
      <c r="E924" t="str">
        <f>IF($A924&lt;&gt;"",'All Cases - Enter Cases'!E924,"")</f>
        <v/>
      </c>
      <c r="F924" t="str">
        <f>IF($A924&lt;&gt;"",'All Cases - Enter Cases'!F924,"")</f>
        <v/>
      </c>
      <c r="G924" t="str">
        <f>IF($A924&lt;&gt;"",'All Cases - Enter Cases'!G924,"")</f>
        <v/>
      </c>
      <c r="H924" t="str">
        <f>IF($A924&lt;&gt;"",'All Cases - Enter Cases'!H924,"")</f>
        <v/>
      </c>
      <c r="I924" t="str">
        <f>IF($A924&lt;&gt;"",'All Cases - Enter Cases'!I924,"")</f>
        <v/>
      </c>
      <c r="J924" t="str">
        <f>IF($A924&lt;&gt;"",'All Cases - Enter Cases'!J924,"")</f>
        <v/>
      </c>
      <c r="K924" s="4" t="str">
        <f>IF($A924&lt;&gt;"",'All Cases - Enter Cases'!K924,"")</f>
        <v/>
      </c>
      <c r="L924" t="str">
        <f>IF($A924&lt;&gt;"",'All Cases - Enter Cases'!L924,"")</f>
        <v/>
      </c>
      <c r="M924" t="str">
        <f>IF($A924&lt;&gt;"",'All Cases - Enter Cases'!M924,"")</f>
        <v/>
      </c>
    </row>
    <row r="925" spans="1:13" x14ac:dyDescent="0.35">
      <c r="A925" s="10" t="str">
        <f>IF('All Cases - Enter Cases'!$F925="Sindh",'All Cases - Enter Cases'!A925,"")</f>
        <v/>
      </c>
      <c r="B925" t="str">
        <f>IF($A925&lt;&gt;"",'All Cases - Enter Cases'!B925,"")</f>
        <v/>
      </c>
      <c r="C925" t="str">
        <f>IF($A925&lt;&gt;"",'All Cases - Enter Cases'!C925,"")</f>
        <v/>
      </c>
      <c r="D925" t="str">
        <f>IF($A925&lt;&gt;"",'All Cases - Enter Cases'!D925,"")</f>
        <v/>
      </c>
      <c r="E925" t="str">
        <f>IF($A925&lt;&gt;"",'All Cases - Enter Cases'!E925,"")</f>
        <v/>
      </c>
      <c r="F925" t="str">
        <f>IF($A925&lt;&gt;"",'All Cases - Enter Cases'!F925,"")</f>
        <v/>
      </c>
      <c r="G925" t="str">
        <f>IF($A925&lt;&gt;"",'All Cases - Enter Cases'!G925,"")</f>
        <v/>
      </c>
      <c r="H925" t="str">
        <f>IF($A925&lt;&gt;"",'All Cases - Enter Cases'!H925,"")</f>
        <v/>
      </c>
      <c r="I925" t="str">
        <f>IF($A925&lt;&gt;"",'All Cases - Enter Cases'!I925,"")</f>
        <v/>
      </c>
      <c r="J925" t="str">
        <f>IF($A925&lt;&gt;"",'All Cases - Enter Cases'!J925,"")</f>
        <v/>
      </c>
      <c r="K925" s="4" t="str">
        <f>IF($A925&lt;&gt;"",'All Cases - Enter Cases'!K925,"")</f>
        <v/>
      </c>
      <c r="L925" t="str">
        <f>IF($A925&lt;&gt;"",'All Cases - Enter Cases'!L925,"")</f>
        <v/>
      </c>
      <c r="M925" t="str">
        <f>IF($A925&lt;&gt;"",'All Cases - Enter Cases'!M925,"")</f>
        <v/>
      </c>
    </row>
    <row r="926" spans="1:13" x14ac:dyDescent="0.35">
      <c r="A926" s="10" t="str">
        <f>IF('All Cases - Enter Cases'!$F926="Sindh",'All Cases - Enter Cases'!A926,"")</f>
        <v/>
      </c>
      <c r="B926" t="str">
        <f>IF($A926&lt;&gt;"",'All Cases - Enter Cases'!B926,"")</f>
        <v/>
      </c>
      <c r="C926" t="str">
        <f>IF($A926&lt;&gt;"",'All Cases - Enter Cases'!C926,"")</f>
        <v/>
      </c>
      <c r="D926" t="str">
        <f>IF($A926&lt;&gt;"",'All Cases - Enter Cases'!D926,"")</f>
        <v/>
      </c>
      <c r="E926" t="str">
        <f>IF($A926&lt;&gt;"",'All Cases - Enter Cases'!E926,"")</f>
        <v/>
      </c>
      <c r="F926" t="str">
        <f>IF($A926&lt;&gt;"",'All Cases - Enter Cases'!F926,"")</f>
        <v/>
      </c>
      <c r="G926" t="str">
        <f>IF($A926&lt;&gt;"",'All Cases - Enter Cases'!G926,"")</f>
        <v/>
      </c>
      <c r="H926" t="str">
        <f>IF($A926&lt;&gt;"",'All Cases - Enter Cases'!H926,"")</f>
        <v/>
      </c>
      <c r="I926" t="str">
        <f>IF($A926&lt;&gt;"",'All Cases - Enter Cases'!I926,"")</f>
        <v/>
      </c>
      <c r="J926" t="str">
        <f>IF($A926&lt;&gt;"",'All Cases - Enter Cases'!J926,"")</f>
        <v/>
      </c>
      <c r="K926" s="4" t="str">
        <f>IF($A926&lt;&gt;"",'All Cases - Enter Cases'!K926,"")</f>
        <v/>
      </c>
      <c r="L926" t="str">
        <f>IF($A926&lt;&gt;"",'All Cases - Enter Cases'!L926,"")</f>
        <v/>
      </c>
      <c r="M926" t="str">
        <f>IF($A926&lt;&gt;"",'All Cases - Enter Cases'!M926,"")</f>
        <v/>
      </c>
    </row>
    <row r="927" spans="1:13" x14ac:dyDescent="0.35">
      <c r="A927" s="10" t="str">
        <f>IF('All Cases - Enter Cases'!$F927="Sindh",'All Cases - Enter Cases'!A927,"")</f>
        <v/>
      </c>
      <c r="B927" t="str">
        <f>IF($A927&lt;&gt;"",'All Cases - Enter Cases'!B927,"")</f>
        <v/>
      </c>
      <c r="C927" t="str">
        <f>IF($A927&lt;&gt;"",'All Cases - Enter Cases'!C927,"")</f>
        <v/>
      </c>
      <c r="D927" t="str">
        <f>IF($A927&lt;&gt;"",'All Cases - Enter Cases'!D927,"")</f>
        <v/>
      </c>
      <c r="E927" t="str">
        <f>IF($A927&lt;&gt;"",'All Cases - Enter Cases'!E927,"")</f>
        <v/>
      </c>
      <c r="F927" t="str">
        <f>IF($A927&lt;&gt;"",'All Cases - Enter Cases'!F927,"")</f>
        <v/>
      </c>
      <c r="G927" t="str">
        <f>IF($A927&lt;&gt;"",'All Cases - Enter Cases'!G927,"")</f>
        <v/>
      </c>
      <c r="H927" t="str">
        <f>IF($A927&lt;&gt;"",'All Cases - Enter Cases'!H927,"")</f>
        <v/>
      </c>
      <c r="I927" t="str">
        <f>IF($A927&lt;&gt;"",'All Cases - Enter Cases'!I927,"")</f>
        <v/>
      </c>
      <c r="J927" t="str">
        <f>IF($A927&lt;&gt;"",'All Cases - Enter Cases'!J927,"")</f>
        <v/>
      </c>
      <c r="K927" s="4" t="str">
        <f>IF($A927&lt;&gt;"",'All Cases - Enter Cases'!K927,"")</f>
        <v/>
      </c>
      <c r="L927" t="str">
        <f>IF($A927&lt;&gt;"",'All Cases - Enter Cases'!L927,"")</f>
        <v/>
      </c>
      <c r="M927" t="str">
        <f>IF($A927&lt;&gt;"",'All Cases - Enter Cases'!M927,"")</f>
        <v/>
      </c>
    </row>
    <row r="928" spans="1:13" x14ac:dyDescent="0.35">
      <c r="A928" s="10" t="str">
        <f>IF('All Cases - Enter Cases'!$F928="Sindh",'All Cases - Enter Cases'!A928,"")</f>
        <v/>
      </c>
      <c r="B928" t="str">
        <f>IF($A928&lt;&gt;"",'All Cases - Enter Cases'!B928,"")</f>
        <v/>
      </c>
      <c r="C928" t="str">
        <f>IF($A928&lt;&gt;"",'All Cases - Enter Cases'!C928,"")</f>
        <v/>
      </c>
      <c r="D928" t="str">
        <f>IF($A928&lt;&gt;"",'All Cases - Enter Cases'!D928,"")</f>
        <v/>
      </c>
      <c r="E928" t="str">
        <f>IF($A928&lt;&gt;"",'All Cases - Enter Cases'!E928,"")</f>
        <v/>
      </c>
      <c r="F928" t="str">
        <f>IF($A928&lt;&gt;"",'All Cases - Enter Cases'!F928,"")</f>
        <v/>
      </c>
      <c r="G928" t="str">
        <f>IF($A928&lt;&gt;"",'All Cases - Enter Cases'!G928,"")</f>
        <v/>
      </c>
      <c r="H928" t="str">
        <f>IF($A928&lt;&gt;"",'All Cases - Enter Cases'!H928,"")</f>
        <v/>
      </c>
      <c r="I928" t="str">
        <f>IF($A928&lt;&gt;"",'All Cases - Enter Cases'!I928,"")</f>
        <v/>
      </c>
      <c r="J928" t="str">
        <f>IF($A928&lt;&gt;"",'All Cases - Enter Cases'!J928,"")</f>
        <v/>
      </c>
      <c r="K928" s="4" t="str">
        <f>IF($A928&lt;&gt;"",'All Cases - Enter Cases'!K928,"")</f>
        <v/>
      </c>
      <c r="L928" t="str">
        <f>IF($A928&lt;&gt;"",'All Cases - Enter Cases'!L928,"")</f>
        <v/>
      </c>
      <c r="M928" t="str">
        <f>IF($A928&lt;&gt;"",'All Cases - Enter Cases'!M928,"")</f>
        <v/>
      </c>
    </row>
    <row r="929" spans="1:13" x14ac:dyDescent="0.35">
      <c r="A929" s="10" t="str">
        <f>IF('All Cases - Enter Cases'!$F929="Sindh",'All Cases - Enter Cases'!A929,"")</f>
        <v/>
      </c>
      <c r="B929" t="str">
        <f>IF($A929&lt;&gt;"",'All Cases - Enter Cases'!B929,"")</f>
        <v/>
      </c>
      <c r="C929" t="str">
        <f>IF($A929&lt;&gt;"",'All Cases - Enter Cases'!C929,"")</f>
        <v/>
      </c>
      <c r="D929" t="str">
        <f>IF($A929&lt;&gt;"",'All Cases - Enter Cases'!D929,"")</f>
        <v/>
      </c>
      <c r="E929" t="str">
        <f>IF($A929&lt;&gt;"",'All Cases - Enter Cases'!E929,"")</f>
        <v/>
      </c>
      <c r="F929" t="str">
        <f>IF($A929&lt;&gt;"",'All Cases - Enter Cases'!F929,"")</f>
        <v/>
      </c>
      <c r="G929" t="str">
        <f>IF($A929&lt;&gt;"",'All Cases - Enter Cases'!G929,"")</f>
        <v/>
      </c>
      <c r="H929" t="str">
        <f>IF($A929&lt;&gt;"",'All Cases - Enter Cases'!H929,"")</f>
        <v/>
      </c>
      <c r="I929" t="str">
        <f>IF($A929&lt;&gt;"",'All Cases - Enter Cases'!I929,"")</f>
        <v/>
      </c>
      <c r="J929" t="str">
        <f>IF($A929&lt;&gt;"",'All Cases - Enter Cases'!J929,"")</f>
        <v/>
      </c>
      <c r="K929" s="4" t="str">
        <f>IF($A929&lt;&gt;"",'All Cases - Enter Cases'!K929,"")</f>
        <v/>
      </c>
      <c r="L929" t="str">
        <f>IF($A929&lt;&gt;"",'All Cases - Enter Cases'!L929,"")</f>
        <v/>
      </c>
      <c r="M929" t="str">
        <f>IF($A929&lt;&gt;"",'All Cases - Enter Cases'!M929,"")</f>
        <v/>
      </c>
    </row>
    <row r="930" spans="1:13" x14ac:dyDescent="0.35">
      <c r="A930" s="10" t="str">
        <f>IF('All Cases - Enter Cases'!$F930="Sindh",'All Cases - Enter Cases'!A930,"")</f>
        <v/>
      </c>
      <c r="B930" t="str">
        <f>IF($A930&lt;&gt;"",'All Cases - Enter Cases'!B930,"")</f>
        <v/>
      </c>
      <c r="C930" t="str">
        <f>IF($A930&lt;&gt;"",'All Cases - Enter Cases'!C930,"")</f>
        <v/>
      </c>
      <c r="D930" t="str">
        <f>IF($A930&lt;&gt;"",'All Cases - Enter Cases'!D930,"")</f>
        <v/>
      </c>
      <c r="E930" t="str">
        <f>IF($A930&lt;&gt;"",'All Cases - Enter Cases'!E930,"")</f>
        <v/>
      </c>
      <c r="F930" t="str">
        <f>IF($A930&lt;&gt;"",'All Cases - Enter Cases'!F930,"")</f>
        <v/>
      </c>
      <c r="G930" t="str">
        <f>IF($A930&lt;&gt;"",'All Cases - Enter Cases'!G930,"")</f>
        <v/>
      </c>
      <c r="H930" t="str">
        <f>IF($A930&lt;&gt;"",'All Cases - Enter Cases'!H930,"")</f>
        <v/>
      </c>
      <c r="I930" t="str">
        <f>IF($A930&lt;&gt;"",'All Cases - Enter Cases'!I930,"")</f>
        <v/>
      </c>
      <c r="J930" t="str">
        <f>IF($A930&lt;&gt;"",'All Cases - Enter Cases'!J930,"")</f>
        <v/>
      </c>
      <c r="K930" s="4" t="str">
        <f>IF($A930&lt;&gt;"",'All Cases - Enter Cases'!K930,"")</f>
        <v/>
      </c>
      <c r="L930" t="str">
        <f>IF($A930&lt;&gt;"",'All Cases - Enter Cases'!L930,"")</f>
        <v/>
      </c>
      <c r="M930" t="str">
        <f>IF($A930&lt;&gt;"",'All Cases - Enter Cases'!M930,"")</f>
        <v/>
      </c>
    </row>
    <row r="931" spans="1:13" x14ac:dyDescent="0.35">
      <c r="A931" s="10" t="str">
        <f>IF('All Cases - Enter Cases'!$F931="Sindh",'All Cases - Enter Cases'!A931,"")</f>
        <v/>
      </c>
      <c r="B931" t="str">
        <f>IF($A931&lt;&gt;"",'All Cases - Enter Cases'!B931,"")</f>
        <v/>
      </c>
      <c r="C931" t="str">
        <f>IF($A931&lt;&gt;"",'All Cases - Enter Cases'!C931,"")</f>
        <v/>
      </c>
      <c r="D931" t="str">
        <f>IF($A931&lt;&gt;"",'All Cases - Enter Cases'!D931,"")</f>
        <v/>
      </c>
      <c r="E931" t="str">
        <f>IF($A931&lt;&gt;"",'All Cases - Enter Cases'!E931,"")</f>
        <v/>
      </c>
      <c r="F931" t="str">
        <f>IF($A931&lt;&gt;"",'All Cases - Enter Cases'!F931,"")</f>
        <v/>
      </c>
      <c r="G931" t="str">
        <f>IF($A931&lt;&gt;"",'All Cases - Enter Cases'!G931,"")</f>
        <v/>
      </c>
      <c r="H931" t="str">
        <f>IF($A931&lt;&gt;"",'All Cases - Enter Cases'!H931,"")</f>
        <v/>
      </c>
      <c r="I931" t="str">
        <f>IF($A931&lt;&gt;"",'All Cases - Enter Cases'!I931,"")</f>
        <v/>
      </c>
      <c r="J931" t="str">
        <f>IF($A931&lt;&gt;"",'All Cases - Enter Cases'!J931,"")</f>
        <v/>
      </c>
      <c r="K931" s="4" t="str">
        <f>IF($A931&lt;&gt;"",'All Cases - Enter Cases'!K931,"")</f>
        <v/>
      </c>
      <c r="L931" t="str">
        <f>IF($A931&lt;&gt;"",'All Cases - Enter Cases'!L931,"")</f>
        <v/>
      </c>
      <c r="M931" t="str">
        <f>IF($A931&lt;&gt;"",'All Cases - Enter Cases'!M931,"")</f>
        <v/>
      </c>
    </row>
    <row r="932" spans="1:13" x14ac:dyDescent="0.35">
      <c r="A932" s="10" t="str">
        <f>IF('All Cases - Enter Cases'!$F932="Sindh",'All Cases - Enter Cases'!A932,"")</f>
        <v/>
      </c>
      <c r="B932" t="str">
        <f>IF($A932&lt;&gt;"",'All Cases - Enter Cases'!B932,"")</f>
        <v/>
      </c>
      <c r="C932" t="str">
        <f>IF($A932&lt;&gt;"",'All Cases - Enter Cases'!C932,"")</f>
        <v/>
      </c>
      <c r="D932" t="str">
        <f>IF($A932&lt;&gt;"",'All Cases - Enter Cases'!D932,"")</f>
        <v/>
      </c>
      <c r="E932" t="str">
        <f>IF($A932&lt;&gt;"",'All Cases - Enter Cases'!E932,"")</f>
        <v/>
      </c>
      <c r="F932" t="str">
        <f>IF($A932&lt;&gt;"",'All Cases - Enter Cases'!F932,"")</f>
        <v/>
      </c>
      <c r="G932" t="str">
        <f>IF($A932&lt;&gt;"",'All Cases - Enter Cases'!G932,"")</f>
        <v/>
      </c>
      <c r="H932" t="str">
        <f>IF($A932&lt;&gt;"",'All Cases - Enter Cases'!H932,"")</f>
        <v/>
      </c>
      <c r="I932" t="str">
        <f>IF($A932&lt;&gt;"",'All Cases - Enter Cases'!I932,"")</f>
        <v/>
      </c>
      <c r="J932" t="str">
        <f>IF($A932&lt;&gt;"",'All Cases - Enter Cases'!J932,"")</f>
        <v/>
      </c>
      <c r="K932" s="4" t="str">
        <f>IF($A932&lt;&gt;"",'All Cases - Enter Cases'!K932,"")</f>
        <v/>
      </c>
      <c r="L932" t="str">
        <f>IF($A932&lt;&gt;"",'All Cases - Enter Cases'!L932,"")</f>
        <v/>
      </c>
      <c r="M932" t="str">
        <f>IF($A932&lt;&gt;"",'All Cases - Enter Cases'!M932,"")</f>
        <v/>
      </c>
    </row>
    <row r="933" spans="1:13" x14ac:dyDescent="0.35">
      <c r="A933" s="10" t="str">
        <f>IF('All Cases - Enter Cases'!$F933="Sindh",'All Cases - Enter Cases'!A933,"")</f>
        <v/>
      </c>
      <c r="B933" t="str">
        <f>IF($A933&lt;&gt;"",'All Cases - Enter Cases'!B933,"")</f>
        <v/>
      </c>
      <c r="C933" t="str">
        <f>IF($A933&lt;&gt;"",'All Cases - Enter Cases'!C933,"")</f>
        <v/>
      </c>
      <c r="D933" t="str">
        <f>IF($A933&lt;&gt;"",'All Cases - Enter Cases'!D933,"")</f>
        <v/>
      </c>
      <c r="E933" t="str">
        <f>IF($A933&lt;&gt;"",'All Cases - Enter Cases'!E933,"")</f>
        <v/>
      </c>
      <c r="F933" t="str">
        <f>IF($A933&lt;&gt;"",'All Cases - Enter Cases'!F933,"")</f>
        <v/>
      </c>
      <c r="G933" t="str">
        <f>IF($A933&lt;&gt;"",'All Cases - Enter Cases'!G933,"")</f>
        <v/>
      </c>
      <c r="H933" t="str">
        <f>IF($A933&lt;&gt;"",'All Cases - Enter Cases'!H933,"")</f>
        <v/>
      </c>
      <c r="I933" t="str">
        <f>IF($A933&lt;&gt;"",'All Cases - Enter Cases'!I933,"")</f>
        <v/>
      </c>
      <c r="J933" t="str">
        <f>IF($A933&lt;&gt;"",'All Cases - Enter Cases'!J933,"")</f>
        <v/>
      </c>
      <c r="K933" s="4" t="str">
        <f>IF($A933&lt;&gt;"",'All Cases - Enter Cases'!K933,"")</f>
        <v/>
      </c>
      <c r="L933" t="str">
        <f>IF($A933&lt;&gt;"",'All Cases - Enter Cases'!L933,"")</f>
        <v/>
      </c>
      <c r="M933" t="str">
        <f>IF($A933&lt;&gt;"",'All Cases - Enter Cases'!M933,"")</f>
        <v/>
      </c>
    </row>
    <row r="934" spans="1:13" x14ac:dyDescent="0.35">
      <c r="A934" s="10" t="str">
        <f>IF('All Cases - Enter Cases'!$F934="Sindh",'All Cases - Enter Cases'!A934,"")</f>
        <v/>
      </c>
      <c r="B934" t="str">
        <f>IF($A934&lt;&gt;"",'All Cases - Enter Cases'!B934,"")</f>
        <v/>
      </c>
      <c r="C934" t="str">
        <f>IF($A934&lt;&gt;"",'All Cases - Enter Cases'!C934,"")</f>
        <v/>
      </c>
      <c r="D934" t="str">
        <f>IF($A934&lt;&gt;"",'All Cases - Enter Cases'!D934,"")</f>
        <v/>
      </c>
      <c r="E934" t="str">
        <f>IF($A934&lt;&gt;"",'All Cases - Enter Cases'!E934,"")</f>
        <v/>
      </c>
      <c r="F934" t="str">
        <f>IF($A934&lt;&gt;"",'All Cases - Enter Cases'!F934,"")</f>
        <v/>
      </c>
      <c r="G934" t="str">
        <f>IF($A934&lt;&gt;"",'All Cases - Enter Cases'!G934,"")</f>
        <v/>
      </c>
      <c r="H934" t="str">
        <f>IF($A934&lt;&gt;"",'All Cases - Enter Cases'!H934,"")</f>
        <v/>
      </c>
      <c r="I934" t="str">
        <f>IF($A934&lt;&gt;"",'All Cases - Enter Cases'!I934,"")</f>
        <v/>
      </c>
      <c r="J934" t="str">
        <f>IF($A934&lt;&gt;"",'All Cases - Enter Cases'!J934,"")</f>
        <v/>
      </c>
      <c r="K934" s="4" t="str">
        <f>IF($A934&lt;&gt;"",'All Cases - Enter Cases'!K934,"")</f>
        <v/>
      </c>
      <c r="L934" t="str">
        <f>IF($A934&lt;&gt;"",'All Cases - Enter Cases'!L934,"")</f>
        <v/>
      </c>
      <c r="M934" t="str">
        <f>IF($A934&lt;&gt;"",'All Cases - Enter Cases'!M934,"")</f>
        <v/>
      </c>
    </row>
    <row r="935" spans="1:13" x14ac:dyDescent="0.35">
      <c r="A935" s="10" t="str">
        <f>IF('All Cases - Enter Cases'!$F935="Sindh",'All Cases - Enter Cases'!A935,"")</f>
        <v/>
      </c>
      <c r="B935" t="str">
        <f>IF($A935&lt;&gt;"",'All Cases - Enter Cases'!B935,"")</f>
        <v/>
      </c>
      <c r="C935" t="str">
        <f>IF($A935&lt;&gt;"",'All Cases - Enter Cases'!C935,"")</f>
        <v/>
      </c>
      <c r="D935" t="str">
        <f>IF($A935&lt;&gt;"",'All Cases - Enter Cases'!D935,"")</f>
        <v/>
      </c>
      <c r="E935" t="str">
        <f>IF($A935&lt;&gt;"",'All Cases - Enter Cases'!E935,"")</f>
        <v/>
      </c>
      <c r="F935" t="str">
        <f>IF($A935&lt;&gt;"",'All Cases - Enter Cases'!F935,"")</f>
        <v/>
      </c>
      <c r="G935" t="str">
        <f>IF($A935&lt;&gt;"",'All Cases - Enter Cases'!G935,"")</f>
        <v/>
      </c>
      <c r="H935" t="str">
        <f>IF($A935&lt;&gt;"",'All Cases - Enter Cases'!H935,"")</f>
        <v/>
      </c>
      <c r="I935" t="str">
        <f>IF($A935&lt;&gt;"",'All Cases - Enter Cases'!I935,"")</f>
        <v/>
      </c>
      <c r="J935" t="str">
        <f>IF($A935&lt;&gt;"",'All Cases - Enter Cases'!J935,"")</f>
        <v/>
      </c>
      <c r="K935" s="4" t="str">
        <f>IF($A935&lt;&gt;"",'All Cases - Enter Cases'!K935,"")</f>
        <v/>
      </c>
      <c r="L935" t="str">
        <f>IF($A935&lt;&gt;"",'All Cases - Enter Cases'!L935,"")</f>
        <v/>
      </c>
      <c r="M935" t="str">
        <f>IF($A935&lt;&gt;"",'All Cases - Enter Cases'!M935,"")</f>
        <v/>
      </c>
    </row>
    <row r="936" spans="1:13" x14ac:dyDescent="0.35">
      <c r="A936" s="10" t="str">
        <f>IF('All Cases - Enter Cases'!$F936="Sindh",'All Cases - Enter Cases'!A936,"")</f>
        <v/>
      </c>
      <c r="B936" t="str">
        <f>IF($A936&lt;&gt;"",'All Cases - Enter Cases'!B936,"")</f>
        <v/>
      </c>
      <c r="C936" t="str">
        <f>IF($A936&lt;&gt;"",'All Cases - Enter Cases'!C936,"")</f>
        <v/>
      </c>
      <c r="D936" t="str">
        <f>IF($A936&lt;&gt;"",'All Cases - Enter Cases'!D936,"")</f>
        <v/>
      </c>
      <c r="E936" t="str">
        <f>IF($A936&lt;&gt;"",'All Cases - Enter Cases'!E936,"")</f>
        <v/>
      </c>
      <c r="F936" t="str">
        <f>IF($A936&lt;&gt;"",'All Cases - Enter Cases'!F936,"")</f>
        <v/>
      </c>
      <c r="G936" t="str">
        <f>IF($A936&lt;&gt;"",'All Cases - Enter Cases'!G936,"")</f>
        <v/>
      </c>
      <c r="H936" t="str">
        <f>IF($A936&lt;&gt;"",'All Cases - Enter Cases'!H936,"")</f>
        <v/>
      </c>
      <c r="I936" t="str">
        <f>IF($A936&lt;&gt;"",'All Cases - Enter Cases'!I936,"")</f>
        <v/>
      </c>
      <c r="J936" t="str">
        <f>IF($A936&lt;&gt;"",'All Cases - Enter Cases'!J936,"")</f>
        <v/>
      </c>
      <c r="K936" s="4" t="str">
        <f>IF($A936&lt;&gt;"",'All Cases - Enter Cases'!K936,"")</f>
        <v/>
      </c>
      <c r="L936" t="str">
        <f>IF($A936&lt;&gt;"",'All Cases - Enter Cases'!L936,"")</f>
        <v/>
      </c>
      <c r="M936" t="str">
        <f>IF($A936&lt;&gt;"",'All Cases - Enter Cases'!M936,"")</f>
        <v/>
      </c>
    </row>
    <row r="937" spans="1:13" x14ac:dyDescent="0.35">
      <c r="A937" s="10" t="str">
        <f>IF('All Cases - Enter Cases'!$F937="Sindh",'All Cases - Enter Cases'!A937,"")</f>
        <v/>
      </c>
      <c r="B937" t="str">
        <f>IF($A937&lt;&gt;"",'All Cases - Enter Cases'!B937,"")</f>
        <v/>
      </c>
      <c r="C937" t="str">
        <f>IF($A937&lt;&gt;"",'All Cases - Enter Cases'!C937,"")</f>
        <v/>
      </c>
      <c r="D937" t="str">
        <f>IF($A937&lt;&gt;"",'All Cases - Enter Cases'!D937,"")</f>
        <v/>
      </c>
      <c r="E937" t="str">
        <f>IF($A937&lt;&gt;"",'All Cases - Enter Cases'!E937,"")</f>
        <v/>
      </c>
      <c r="F937" t="str">
        <f>IF($A937&lt;&gt;"",'All Cases - Enter Cases'!F937,"")</f>
        <v/>
      </c>
      <c r="G937" t="str">
        <f>IF($A937&lt;&gt;"",'All Cases - Enter Cases'!G937,"")</f>
        <v/>
      </c>
      <c r="H937" t="str">
        <f>IF($A937&lt;&gt;"",'All Cases - Enter Cases'!H937,"")</f>
        <v/>
      </c>
      <c r="I937" t="str">
        <f>IF($A937&lt;&gt;"",'All Cases - Enter Cases'!I937,"")</f>
        <v/>
      </c>
      <c r="J937" t="str">
        <f>IF($A937&lt;&gt;"",'All Cases - Enter Cases'!J937,"")</f>
        <v/>
      </c>
      <c r="K937" s="4" t="str">
        <f>IF($A937&lt;&gt;"",'All Cases - Enter Cases'!K937,"")</f>
        <v/>
      </c>
      <c r="L937" t="str">
        <f>IF($A937&lt;&gt;"",'All Cases - Enter Cases'!L937,"")</f>
        <v/>
      </c>
      <c r="M937" t="str">
        <f>IF($A937&lt;&gt;"",'All Cases - Enter Cases'!M937,"")</f>
        <v/>
      </c>
    </row>
    <row r="938" spans="1:13" x14ac:dyDescent="0.35">
      <c r="A938" s="10" t="str">
        <f>IF('All Cases - Enter Cases'!$F938="Sindh",'All Cases - Enter Cases'!A938,"")</f>
        <v/>
      </c>
      <c r="B938" t="str">
        <f>IF($A938&lt;&gt;"",'All Cases - Enter Cases'!B938,"")</f>
        <v/>
      </c>
      <c r="C938" t="str">
        <f>IF($A938&lt;&gt;"",'All Cases - Enter Cases'!C938,"")</f>
        <v/>
      </c>
      <c r="D938" t="str">
        <f>IF($A938&lt;&gt;"",'All Cases - Enter Cases'!D938,"")</f>
        <v/>
      </c>
      <c r="E938" t="str">
        <f>IF($A938&lt;&gt;"",'All Cases - Enter Cases'!E938,"")</f>
        <v/>
      </c>
      <c r="F938" t="str">
        <f>IF($A938&lt;&gt;"",'All Cases - Enter Cases'!F938,"")</f>
        <v/>
      </c>
      <c r="G938" t="str">
        <f>IF($A938&lt;&gt;"",'All Cases - Enter Cases'!G938,"")</f>
        <v/>
      </c>
      <c r="H938" t="str">
        <f>IF($A938&lt;&gt;"",'All Cases - Enter Cases'!H938,"")</f>
        <v/>
      </c>
      <c r="I938" t="str">
        <f>IF($A938&lt;&gt;"",'All Cases - Enter Cases'!I938,"")</f>
        <v/>
      </c>
      <c r="J938" t="str">
        <f>IF($A938&lt;&gt;"",'All Cases - Enter Cases'!J938,"")</f>
        <v/>
      </c>
      <c r="K938" s="4" t="str">
        <f>IF($A938&lt;&gt;"",'All Cases - Enter Cases'!K938,"")</f>
        <v/>
      </c>
      <c r="L938" t="str">
        <f>IF($A938&lt;&gt;"",'All Cases - Enter Cases'!L938,"")</f>
        <v/>
      </c>
      <c r="M938" t="str">
        <f>IF($A938&lt;&gt;"",'All Cases - Enter Cases'!M938,"")</f>
        <v/>
      </c>
    </row>
    <row r="939" spans="1:13" x14ac:dyDescent="0.35">
      <c r="A939" s="10" t="str">
        <f>IF('All Cases - Enter Cases'!$F939="Sindh",'All Cases - Enter Cases'!A939,"")</f>
        <v/>
      </c>
      <c r="B939" t="str">
        <f>IF($A939&lt;&gt;"",'All Cases - Enter Cases'!B939,"")</f>
        <v/>
      </c>
      <c r="C939" t="str">
        <f>IF($A939&lt;&gt;"",'All Cases - Enter Cases'!C939,"")</f>
        <v/>
      </c>
      <c r="D939" t="str">
        <f>IF($A939&lt;&gt;"",'All Cases - Enter Cases'!D939,"")</f>
        <v/>
      </c>
      <c r="E939" t="str">
        <f>IF($A939&lt;&gt;"",'All Cases - Enter Cases'!E939,"")</f>
        <v/>
      </c>
      <c r="F939" t="str">
        <f>IF($A939&lt;&gt;"",'All Cases - Enter Cases'!F939,"")</f>
        <v/>
      </c>
      <c r="G939" t="str">
        <f>IF($A939&lt;&gt;"",'All Cases - Enter Cases'!G939,"")</f>
        <v/>
      </c>
      <c r="H939" t="str">
        <f>IF($A939&lt;&gt;"",'All Cases - Enter Cases'!H939,"")</f>
        <v/>
      </c>
      <c r="I939" t="str">
        <f>IF($A939&lt;&gt;"",'All Cases - Enter Cases'!I939,"")</f>
        <v/>
      </c>
      <c r="J939" t="str">
        <f>IF($A939&lt;&gt;"",'All Cases - Enter Cases'!J939,"")</f>
        <v/>
      </c>
      <c r="K939" s="4" t="str">
        <f>IF($A939&lt;&gt;"",'All Cases - Enter Cases'!K939,"")</f>
        <v/>
      </c>
      <c r="L939" t="str">
        <f>IF($A939&lt;&gt;"",'All Cases - Enter Cases'!L939,"")</f>
        <v/>
      </c>
      <c r="M939" t="str">
        <f>IF($A939&lt;&gt;"",'All Cases - Enter Cases'!M939,"")</f>
        <v/>
      </c>
    </row>
    <row r="940" spans="1:13" x14ac:dyDescent="0.35">
      <c r="A940" s="10" t="str">
        <f>IF('All Cases - Enter Cases'!$F940="Sindh",'All Cases - Enter Cases'!A940,"")</f>
        <v/>
      </c>
      <c r="B940" t="str">
        <f>IF($A940&lt;&gt;"",'All Cases - Enter Cases'!B940,"")</f>
        <v/>
      </c>
      <c r="C940" t="str">
        <f>IF($A940&lt;&gt;"",'All Cases - Enter Cases'!C940,"")</f>
        <v/>
      </c>
      <c r="D940" t="str">
        <f>IF($A940&lt;&gt;"",'All Cases - Enter Cases'!D940,"")</f>
        <v/>
      </c>
      <c r="E940" t="str">
        <f>IF($A940&lt;&gt;"",'All Cases - Enter Cases'!E940,"")</f>
        <v/>
      </c>
      <c r="F940" t="str">
        <f>IF($A940&lt;&gt;"",'All Cases - Enter Cases'!F940,"")</f>
        <v/>
      </c>
      <c r="G940" t="str">
        <f>IF($A940&lt;&gt;"",'All Cases - Enter Cases'!G940,"")</f>
        <v/>
      </c>
      <c r="H940" t="str">
        <f>IF($A940&lt;&gt;"",'All Cases - Enter Cases'!H940,"")</f>
        <v/>
      </c>
      <c r="I940" t="str">
        <f>IF($A940&lt;&gt;"",'All Cases - Enter Cases'!I940,"")</f>
        <v/>
      </c>
      <c r="J940" t="str">
        <f>IF($A940&lt;&gt;"",'All Cases - Enter Cases'!J940,"")</f>
        <v/>
      </c>
      <c r="K940" s="4" t="str">
        <f>IF($A940&lt;&gt;"",'All Cases - Enter Cases'!K940,"")</f>
        <v/>
      </c>
      <c r="L940" t="str">
        <f>IF($A940&lt;&gt;"",'All Cases - Enter Cases'!L940,"")</f>
        <v/>
      </c>
      <c r="M940" t="str">
        <f>IF($A940&lt;&gt;"",'All Cases - Enter Cases'!M940,"")</f>
        <v/>
      </c>
    </row>
    <row r="941" spans="1:13" x14ac:dyDescent="0.35">
      <c r="A941" s="10" t="str">
        <f>IF('All Cases - Enter Cases'!$F941="Sindh",'All Cases - Enter Cases'!A941,"")</f>
        <v/>
      </c>
      <c r="B941" t="str">
        <f>IF($A941&lt;&gt;"",'All Cases - Enter Cases'!B941,"")</f>
        <v/>
      </c>
      <c r="C941" t="str">
        <f>IF($A941&lt;&gt;"",'All Cases - Enter Cases'!C941,"")</f>
        <v/>
      </c>
      <c r="D941" t="str">
        <f>IF($A941&lt;&gt;"",'All Cases - Enter Cases'!D941,"")</f>
        <v/>
      </c>
      <c r="E941" t="str">
        <f>IF($A941&lt;&gt;"",'All Cases - Enter Cases'!E941,"")</f>
        <v/>
      </c>
      <c r="F941" t="str">
        <f>IF($A941&lt;&gt;"",'All Cases - Enter Cases'!F941,"")</f>
        <v/>
      </c>
      <c r="G941" t="str">
        <f>IF($A941&lt;&gt;"",'All Cases - Enter Cases'!G941,"")</f>
        <v/>
      </c>
      <c r="H941" t="str">
        <f>IF($A941&lt;&gt;"",'All Cases - Enter Cases'!H941,"")</f>
        <v/>
      </c>
      <c r="I941" t="str">
        <f>IF($A941&lt;&gt;"",'All Cases - Enter Cases'!I941,"")</f>
        <v/>
      </c>
      <c r="J941" t="str">
        <f>IF($A941&lt;&gt;"",'All Cases - Enter Cases'!J941,"")</f>
        <v/>
      </c>
      <c r="K941" s="4" t="str">
        <f>IF($A941&lt;&gt;"",'All Cases - Enter Cases'!K941,"")</f>
        <v/>
      </c>
      <c r="L941" t="str">
        <f>IF($A941&lt;&gt;"",'All Cases - Enter Cases'!L941,"")</f>
        <v/>
      </c>
      <c r="M941" t="str">
        <f>IF($A941&lt;&gt;"",'All Cases - Enter Cases'!M941,"")</f>
        <v/>
      </c>
    </row>
    <row r="942" spans="1:13" x14ac:dyDescent="0.35">
      <c r="A942" s="10" t="str">
        <f>IF('All Cases - Enter Cases'!$F942="Sindh",'All Cases - Enter Cases'!A942,"")</f>
        <v/>
      </c>
      <c r="B942" t="str">
        <f>IF($A942&lt;&gt;"",'All Cases - Enter Cases'!B942,"")</f>
        <v/>
      </c>
      <c r="C942" t="str">
        <f>IF($A942&lt;&gt;"",'All Cases - Enter Cases'!C942,"")</f>
        <v/>
      </c>
      <c r="D942" t="str">
        <f>IF($A942&lt;&gt;"",'All Cases - Enter Cases'!D942,"")</f>
        <v/>
      </c>
      <c r="E942" t="str">
        <f>IF($A942&lt;&gt;"",'All Cases - Enter Cases'!E942,"")</f>
        <v/>
      </c>
      <c r="F942" t="str">
        <f>IF($A942&lt;&gt;"",'All Cases - Enter Cases'!F942,"")</f>
        <v/>
      </c>
      <c r="G942" t="str">
        <f>IF($A942&lt;&gt;"",'All Cases - Enter Cases'!G942,"")</f>
        <v/>
      </c>
      <c r="H942" t="str">
        <f>IF($A942&lt;&gt;"",'All Cases - Enter Cases'!H942,"")</f>
        <v/>
      </c>
      <c r="I942" t="str">
        <f>IF($A942&lt;&gt;"",'All Cases - Enter Cases'!I942,"")</f>
        <v/>
      </c>
      <c r="J942" t="str">
        <f>IF($A942&lt;&gt;"",'All Cases - Enter Cases'!J942,"")</f>
        <v/>
      </c>
      <c r="K942" s="4" t="str">
        <f>IF($A942&lt;&gt;"",'All Cases - Enter Cases'!K942,"")</f>
        <v/>
      </c>
      <c r="L942" t="str">
        <f>IF($A942&lt;&gt;"",'All Cases - Enter Cases'!L942,"")</f>
        <v/>
      </c>
      <c r="M942" t="str">
        <f>IF($A942&lt;&gt;"",'All Cases - Enter Cases'!M942,"")</f>
        <v/>
      </c>
    </row>
    <row r="943" spans="1:13" x14ac:dyDescent="0.35">
      <c r="A943" s="10" t="str">
        <f>IF('All Cases - Enter Cases'!$F943="Sindh",'All Cases - Enter Cases'!A943,"")</f>
        <v/>
      </c>
      <c r="B943" t="str">
        <f>IF($A943&lt;&gt;"",'All Cases - Enter Cases'!B943,"")</f>
        <v/>
      </c>
      <c r="C943" t="str">
        <f>IF($A943&lt;&gt;"",'All Cases - Enter Cases'!C943,"")</f>
        <v/>
      </c>
      <c r="D943" t="str">
        <f>IF($A943&lt;&gt;"",'All Cases - Enter Cases'!D943,"")</f>
        <v/>
      </c>
      <c r="E943" t="str">
        <f>IF($A943&lt;&gt;"",'All Cases - Enter Cases'!E943,"")</f>
        <v/>
      </c>
      <c r="F943" t="str">
        <f>IF($A943&lt;&gt;"",'All Cases - Enter Cases'!F943,"")</f>
        <v/>
      </c>
      <c r="G943" t="str">
        <f>IF($A943&lt;&gt;"",'All Cases - Enter Cases'!G943,"")</f>
        <v/>
      </c>
      <c r="H943" t="str">
        <f>IF($A943&lt;&gt;"",'All Cases - Enter Cases'!H943,"")</f>
        <v/>
      </c>
      <c r="I943" t="str">
        <f>IF($A943&lt;&gt;"",'All Cases - Enter Cases'!I943,"")</f>
        <v/>
      </c>
      <c r="J943" t="str">
        <f>IF($A943&lt;&gt;"",'All Cases - Enter Cases'!J943,"")</f>
        <v/>
      </c>
      <c r="K943" s="4" t="str">
        <f>IF($A943&lt;&gt;"",'All Cases - Enter Cases'!K943,"")</f>
        <v/>
      </c>
      <c r="L943" t="str">
        <f>IF($A943&lt;&gt;"",'All Cases - Enter Cases'!L943,"")</f>
        <v/>
      </c>
      <c r="M943" t="str">
        <f>IF($A943&lt;&gt;"",'All Cases - Enter Cases'!M943,"")</f>
        <v/>
      </c>
    </row>
    <row r="944" spans="1:13" x14ac:dyDescent="0.35">
      <c r="A944" s="10" t="str">
        <f>IF('All Cases - Enter Cases'!$F944="Sindh",'All Cases - Enter Cases'!A944,"")</f>
        <v/>
      </c>
      <c r="B944" t="str">
        <f>IF($A944&lt;&gt;"",'All Cases - Enter Cases'!B944,"")</f>
        <v/>
      </c>
      <c r="C944" t="str">
        <f>IF($A944&lt;&gt;"",'All Cases - Enter Cases'!C944,"")</f>
        <v/>
      </c>
      <c r="D944" t="str">
        <f>IF($A944&lt;&gt;"",'All Cases - Enter Cases'!D944,"")</f>
        <v/>
      </c>
      <c r="E944" t="str">
        <f>IF($A944&lt;&gt;"",'All Cases - Enter Cases'!E944,"")</f>
        <v/>
      </c>
      <c r="F944" t="str">
        <f>IF($A944&lt;&gt;"",'All Cases - Enter Cases'!F944,"")</f>
        <v/>
      </c>
      <c r="G944" t="str">
        <f>IF($A944&lt;&gt;"",'All Cases - Enter Cases'!G944,"")</f>
        <v/>
      </c>
      <c r="H944" t="str">
        <f>IF($A944&lt;&gt;"",'All Cases - Enter Cases'!H944,"")</f>
        <v/>
      </c>
      <c r="I944" t="str">
        <f>IF($A944&lt;&gt;"",'All Cases - Enter Cases'!I944,"")</f>
        <v/>
      </c>
      <c r="J944" t="str">
        <f>IF($A944&lt;&gt;"",'All Cases - Enter Cases'!J944,"")</f>
        <v/>
      </c>
      <c r="K944" s="4" t="str">
        <f>IF($A944&lt;&gt;"",'All Cases - Enter Cases'!K944,"")</f>
        <v/>
      </c>
      <c r="L944" t="str">
        <f>IF($A944&lt;&gt;"",'All Cases - Enter Cases'!L944,"")</f>
        <v/>
      </c>
      <c r="M944" t="str">
        <f>IF($A944&lt;&gt;"",'All Cases - Enter Cases'!M944,"")</f>
        <v/>
      </c>
    </row>
    <row r="945" spans="1:13" x14ac:dyDescent="0.35">
      <c r="A945" s="10" t="str">
        <f>IF('All Cases - Enter Cases'!$F945="Sindh",'All Cases - Enter Cases'!A945,"")</f>
        <v/>
      </c>
      <c r="B945" t="str">
        <f>IF($A945&lt;&gt;"",'All Cases - Enter Cases'!B945,"")</f>
        <v/>
      </c>
      <c r="C945" t="str">
        <f>IF($A945&lt;&gt;"",'All Cases - Enter Cases'!C945,"")</f>
        <v/>
      </c>
      <c r="D945" t="str">
        <f>IF($A945&lt;&gt;"",'All Cases - Enter Cases'!D945,"")</f>
        <v/>
      </c>
      <c r="E945" t="str">
        <f>IF($A945&lt;&gt;"",'All Cases - Enter Cases'!E945,"")</f>
        <v/>
      </c>
      <c r="F945" t="str">
        <f>IF($A945&lt;&gt;"",'All Cases - Enter Cases'!F945,"")</f>
        <v/>
      </c>
      <c r="G945" t="str">
        <f>IF($A945&lt;&gt;"",'All Cases - Enter Cases'!G945,"")</f>
        <v/>
      </c>
      <c r="H945" t="str">
        <f>IF($A945&lt;&gt;"",'All Cases - Enter Cases'!H945,"")</f>
        <v/>
      </c>
      <c r="I945" t="str">
        <f>IF($A945&lt;&gt;"",'All Cases - Enter Cases'!I945,"")</f>
        <v/>
      </c>
      <c r="J945" t="str">
        <f>IF($A945&lt;&gt;"",'All Cases - Enter Cases'!J945,"")</f>
        <v/>
      </c>
      <c r="K945" s="4" t="str">
        <f>IF($A945&lt;&gt;"",'All Cases - Enter Cases'!K945,"")</f>
        <v/>
      </c>
      <c r="L945" t="str">
        <f>IF($A945&lt;&gt;"",'All Cases - Enter Cases'!L945,"")</f>
        <v/>
      </c>
      <c r="M945" t="str">
        <f>IF($A945&lt;&gt;"",'All Cases - Enter Cases'!M945,"")</f>
        <v/>
      </c>
    </row>
    <row r="946" spans="1:13" x14ac:dyDescent="0.35">
      <c r="A946" s="10" t="str">
        <f>IF('All Cases - Enter Cases'!$F946="Sindh",'All Cases - Enter Cases'!A946,"")</f>
        <v/>
      </c>
      <c r="B946" t="str">
        <f>IF($A946&lt;&gt;"",'All Cases - Enter Cases'!B946,"")</f>
        <v/>
      </c>
      <c r="C946" t="str">
        <f>IF($A946&lt;&gt;"",'All Cases - Enter Cases'!C946,"")</f>
        <v/>
      </c>
      <c r="D946" t="str">
        <f>IF($A946&lt;&gt;"",'All Cases - Enter Cases'!D946,"")</f>
        <v/>
      </c>
      <c r="E946" t="str">
        <f>IF($A946&lt;&gt;"",'All Cases - Enter Cases'!E946,"")</f>
        <v/>
      </c>
      <c r="F946" t="str">
        <f>IF($A946&lt;&gt;"",'All Cases - Enter Cases'!F946,"")</f>
        <v/>
      </c>
      <c r="G946" t="str">
        <f>IF($A946&lt;&gt;"",'All Cases - Enter Cases'!G946,"")</f>
        <v/>
      </c>
      <c r="H946" t="str">
        <f>IF($A946&lt;&gt;"",'All Cases - Enter Cases'!H946,"")</f>
        <v/>
      </c>
      <c r="I946" t="str">
        <f>IF($A946&lt;&gt;"",'All Cases - Enter Cases'!I946,"")</f>
        <v/>
      </c>
      <c r="J946" t="str">
        <f>IF($A946&lt;&gt;"",'All Cases - Enter Cases'!J946,"")</f>
        <v/>
      </c>
      <c r="K946" s="4" t="str">
        <f>IF($A946&lt;&gt;"",'All Cases - Enter Cases'!K946,"")</f>
        <v/>
      </c>
      <c r="L946" t="str">
        <f>IF($A946&lt;&gt;"",'All Cases - Enter Cases'!L946,"")</f>
        <v/>
      </c>
      <c r="M946" t="str">
        <f>IF($A946&lt;&gt;"",'All Cases - Enter Cases'!M946,"")</f>
        <v/>
      </c>
    </row>
    <row r="947" spans="1:13" x14ac:dyDescent="0.35">
      <c r="A947" s="10" t="str">
        <f>IF('All Cases - Enter Cases'!$F947="Sindh",'All Cases - Enter Cases'!A947,"")</f>
        <v/>
      </c>
      <c r="B947" t="str">
        <f>IF($A947&lt;&gt;"",'All Cases - Enter Cases'!B947,"")</f>
        <v/>
      </c>
      <c r="C947" t="str">
        <f>IF($A947&lt;&gt;"",'All Cases - Enter Cases'!C947,"")</f>
        <v/>
      </c>
      <c r="D947" t="str">
        <f>IF($A947&lt;&gt;"",'All Cases - Enter Cases'!D947,"")</f>
        <v/>
      </c>
      <c r="E947" t="str">
        <f>IF($A947&lt;&gt;"",'All Cases - Enter Cases'!E947,"")</f>
        <v/>
      </c>
      <c r="F947" t="str">
        <f>IF($A947&lt;&gt;"",'All Cases - Enter Cases'!F947,"")</f>
        <v/>
      </c>
      <c r="G947" t="str">
        <f>IF($A947&lt;&gt;"",'All Cases - Enter Cases'!G947,"")</f>
        <v/>
      </c>
      <c r="H947" t="str">
        <f>IF($A947&lt;&gt;"",'All Cases - Enter Cases'!H947,"")</f>
        <v/>
      </c>
      <c r="I947" t="str">
        <f>IF($A947&lt;&gt;"",'All Cases - Enter Cases'!I947,"")</f>
        <v/>
      </c>
      <c r="J947" t="str">
        <f>IF($A947&lt;&gt;"",'All Cases - Enter Cases'!J947,"")</f>
        <v/>
      </c>
      <c r="K947" s="4" t="str">
        <f>IF($A947&lt;&gt;"",'All Cases - Enter Cases'!K947,"")</f>
        <v/>
      </c>
      <c r="L947" t="str">
        <f>IF($A947&lt;&gt;"",'All Cases - Enter Cases'!L947,"")</f>
        <v/>
      </c>
      <c r="M947" t="str">
        <f>IF($A947&lt;&gt;"",'All Cases - Enter Cases'!M947,"")</f>
        <v/>
      </c>
    </row>
    <row r="948" spans="1:13" x14ac:dyDescent="0.35">
      <c r="A948" s="10" t="str">
        <f>IF('All Cases - Enter Cases'!$F948="Sindh",'All Cases - Enter Cases'!A948,"")</f>
        <v/>
      </c>
      <c r="B948" t="str">
        <f>IF($A948&lt;&gt;"",'All Cases - Enter Cases'!B948,"")</f>
        <v/>
      </c>
      <c r="C948" t="str">
        <f>IF($A948&lt;&gt;"",'All Cases - Enter Cases'!C948,"")</f>
        <v/>
      </c>
      <c r="D948" t="str">
        <f>IF($A948&lt;&gt;"",'All Cases - Enter Cases'!D948,"")</f>
        <v/>
      </c>
      <c r="E948" t="str">
        <f>IF($A948&lt;&gt;"",'All Cases - Enter Cases'!E948,"")</f>
        <v/>
      </c>
      <c r="F948" t="str">
        <f>IF($A948&lt;&gt;"",'All Cases - Enter Cases'!F948,"")</f>
        <v/>
      </c>
      <c r="G948" t="str">
        <f>IF($A948&lt;&gt;"",'All Cases - Enter Cases'!G948,"")</f>
        <v/>
      </c>
      <c r="H948" t="str">
        <f>IF($A948&lt;&gt;"",'All Cases - Enter Cases'!H948,"")</f>
        <v/>
      </c>
      <c r="I948" t="str">
        <f>IF($A948&lt;&gt;"",'All Cases - Enter Cases'!I948,"")</f>
        <v/>
      </c>
      <c r="J948" t="str">
        <f>IF($A948&lt;&gt;"",'All Cases - Enter Cases'!J948,"")</f>
        <v/>
      </c>
      <c r="K948" s="4" t="str">
        <f>IF($A948&lt;&gt;"",'All Cases - Enter Cases'!K948,"")</f>
        <v/>
      </c>
      <c r="L948" t="str">
        <f>IF($A948&lt;&gt;"",'All Cases - Enter Cases'!L948,"")</f>
        <v/>
      </c>
      <c r="M948" t="str">
        <f>IF($A948&lt;&gt;"",'All Cases - Enter Cases'!M948,"")</f>
        <v/>
      </c>
    </row>
    <row r="949" spans="1:13" x14ac:dyDescent="0.35">
      <c r="A949" s="10" t="str">
        <f>IF('All Cases - Enter Cases'!$F949="Sindh",'All Cases - Enter Cases'!A949,"")</f>
        <v/>
      </c>
      <c r="B949" t="str">
        <f>IF($A949&lt;&gt;"",'All Cases - Enter Cases'!B949,"")</f>
        <v/>
      </c>
      <c r="C949" t="str">
        <f>IF($A949&lt;&gt;"",'All Cases - Enter Cases'!C949,"")</f>
        <v/>
      </c>
      <c r="D949" t="str">
        <f>IF($A949&lt;&gt;"",'All Cases - Enter Cases'!D949,"")</f>
        <v/>
      </c>
      <c r="E949" t="str">
        <f>IF($A949&lt;&gt;"",'All Cases - Enter Cases'!E949,"")</f>
        <v/>
      </c>
      <c r="F949" t="str">
        <f>IF($A949&lt;&gt;"",'All Cases - Enter Cases'!F949,"")</f>
        <v/>
      </c>
      <c r="G949" t="str">
        <f>IF($A949&lt;&gt;"",'All Cases - Enter Cases'!G949,"")</f>
        <v/>
      </c>
      <c r="H949" t="str">
        <f>IF($A949&lt;&gt;"",'All Cases - Enter Cases'!H949,"")</f>
        <v/>
      </c>
      <c r="I949" t="str">
        <f>IF($A949&lt;&gt;"",'All Cases - Enter Cases'!I949,"")</f>
        <v/>
      </c>
      <c r="J949" t="str">
        <f>IF($A949&lt;&gt;"",'All Cases - Enter Cases'!J949,"")</f>
        <v/>
      </c>
      <c r="K949" s="4" t="str">
        <f>IF($A949&lt;&gt;"",'All Cases - Enter Cases'!K949,"")</f>
        <v/>
      </c>
      <c r="L949" t="str">
        <f>IF($A949&lt;&gt;"",'All Cases - Enter Cases'!L949,"")</f>
        <v/>
      </c>
      <c r="M949" t="str">
        <f>IF($A949&lt;&gt;"",'All Cases - Enter Cases'!M949,"")</f>
        <v/>
      </c>
    </row>
    <row r="950" spans="1:13" x14ac:dyDescent="0.35">
      <c r="A950" s="10" t="str">
        <f>IF('All Cases - Enter Cases'!$F950="Sindh",'All Cases - Enter Cases'!A950,"")</f>
        <v/>
      </c>
      <c r="B950" t="str">
        <f>IF($A950&lt;&gt;"",'All Cases - Enter Cases'!B950,"")</f>
        <v/>
      </c>
      <c r="C950" t="str">
        <f>IF($A950&lt;&gt;"",'All Cases - Enter Cases'!C950,"")</f>
        <v/>
      </c>
      <c r="D950" t="str">
        <f>IF($A950&lt;&gt;"",'All Cases - Enter Cases'!D950,"")</f>
        <v/>
      </c>
      <c r="E950" t="str">
        <f>IF($A950&lt;&gt;"",'All Cases - Enter Cases'!E950,"")</f>
        <v/>
      </c>
      <c r="F950" t="str">
        <f>IF($A950&lt;&gt;"",'All Cases - Enter Cases'!F950,"")</f>
        <v/>
      </c>
      <c r="G950" t="str">
        <f>IF($A950&lt;&gt;"",'All Cases - Enter Cases'!G950,"")</f>
        <v/>
      </c>
      <c r="H950" t="str">
        <f>IF($A950&lt;&gt;"",'All Cases - Enter Cases'!H950,"")</f>
        <v/>
      </c>
      <c r="I950" t="str">
        <f>IF($A950&lt;&gt;"",'All Cases - Enter Cases'!I950,"")</f>
        <v/>
      </c>
      <c r="J950" t="str">
        <f>IF($A950&lt;&gt;"",'All Cases - Enter Cases'!J950,"")</f>
        <v/>
      </c>
      <c r="K950" s="4" t="str">
        <f>IF($A950&lt;&gt;"",'All Cases - Enter Cases'!K950,"")</f>
        <v/>
      </c>
      <c r="L950" t="str">
        <f>IF($A950&lt;&gt;"",'All Cases - Enter Cases'!L950,"")</f>
        <v/>
      </c>
      <c r="M950" t="str">
        <f>IF($A950&lt;&gt;"",'All Cases - Enter Cases'!M950,"")</f>
        <v/>
      </c>
    </row>
    <row r="951" spans="1:13" x14ac:dyDescent="0.35">
      <c r="A951" s="10" t="str">
        <f>IF('All Cases - Enter Cases'!$F951="Sindh",'All Cases - Enter Cases'!A951,"")</f>
        <v/>
      </c>
      <c r="B951" t="str">
        <f>IF($A951&lt;&gt;"",'All Cases - Enter Cases'!B951,"")</f>
        <v/>
      </c>
      <c r="C951" t="str">
        <f>IF($A951&lt;&gt;"",'All Cases - Enter Cases'!C951,"")</f>
        <v/>
      </c>
      <c r="D951" t="str">
        <f>IF($A951&lt;&gt;"",'All Cases - Enter Cases'!D951,"")</f>
        <v/>
      </c>
      <c r="E951" t="str">
        <f>IF($A951&lt;&gt;"",'All Cases - Enter Cases'!E951,"")</f>
        <v/>
      </c>
      <c r="F951" t="str">
        <f>IF($A951&lt;&gt;"",'All Cases - Enter Cases'!F951,"")</f>
        <v/>
      </c>
      <c r="G951" t="str">
        <f>IF($A951&lt;&gt;"",'All Cases - Enter Cases'!G951,"")</f>
        <v/>
      </c>
      <c r="H951" t="str">
        <f>IF($A951&lt;&gt;"",'All Cases - Enter Cases'!H951,"")</f>
        <v/>
      </c>
      <c r="I951" t="str">
        <f>IF($A951&lt;&gt;"",'All Cases - Enter Cases'!I951,"")</f>
        <v/>
      </c>
      <c r="J951" t="str">
        <f>IF($A951&lt;&gt;"",'All Cases - Enter Cases'!J951,"")</f>
        <v/>
      </c>
      <c r="K951" s="4" t="str">
        <f>IF($A951&lt;&gt;"",'All Cases - Enter Cases'!K951,"")</f>
        <v/>
      </c>
      <c r="L951" t="str">
        <f>IF($A951&lt;&gt;"",'All Cases - Enter Cases'!L951,"")</f>
        <v/>
      </c>
      <c r="M951" t="str">
        <f>IF($A951&lt;&gt;"",'All Cases - Enter Cases'!M951,"")</f>
        <v/>
      </c>
    </row>
    <row r="952" spans="1:13" x14ac:dyDescent="0.35">
      <c r="A952" s="10" t="str">
        <f>IF('All Cases - Enter Cases'!$F952="Sindh",'All Cases - Enter Cases'!A952,"")</f>
        <v/>
      </c>
      <c r="B952" t="str">
        <f>IF($A952&lt;&gt;"",'All Cases - Enter Cases'!B952,"")</f>
        <v/>
      </c>
      <c r="C952" t="str">
        <f>IF($A952&lt;&gt;"",'All Cases - Enter Cases'!C952,"")</f>
        <v/>
      </c>
      <c r="D952" t="str">
        <f>IF($A952&lt;&gt;"",'All Cases - Enter Cases'!D952,"")</f>
        <v/>
      </c>
      <c r="E952" t="str">
        <f>IF($A952&lt;&gt;"",'All Cases - Enter Cases'!E952,"")</f>
        <v/>
      </c>
      <c r="F952" t="str">
        <f>IF($A952&lt;&gt;"",'All Cases - Enter Cases'!F952,"")</f>
        <v/>
      </c>
      <c r="G952" t="str">
        <f>IF($A952&lt;&gt;"",'All Cases - Enter Cases'!G952,"")</f>
        <v/>
      </c>
      <c r="H952" t="str">
        <f>IF($A952&lt;&gt;"",'All Cases - Enter Cases'!H952,"")</f>
        <v/>
      </c>
      <c r="I952" t="str">
        <f>IF($A952&lt;&gt;"",'All Cases - Enter Cases'!I952,"")</f>
        <v/>
      </c>
      <c r="J952" t="str">
        <f>IF($A952&lt;&gt;"",'All Cases - Enter Cases'!J952,"")</f>
        <v/>
      </c>
      <c r="K952" s="4" t="str">
        <f>IF($A952&lt;&gt;"",'All Cases - Enter Cases'!K952,"")</f>
        <v/>
      </c>
      <c r="L952" t="str">
        <f>IF($A952&lt;&gt;"",'All Cases - Enter Cases'!L952,"")</f>
        <v/>
      </c>
      <c r="M952" t="str">
        <f>IF($A952&lt;&gt;"",'All Cases - Enter Cases'!M952,"")</f>
        <v/>
      </c>
    </row>
    <row r="953" spans="1:13" x14ac:dyDescent="0.35">
      <c r="A953" s="10" t="str">
        <f>IF('All Cases - Enter Cases'!$F953="Sindh",'All Cases - Enter Cases'!A953,"")</f>
        <v/>
      </c>
      <c r="B953" t="str">
        <f>IF($A953&lt;&gt;"",'All Cases - Enter Cases'!B953,"")</f>
        <v/>
      </c>
      <c r="C953" t="str">
        <f>IF($A953&lt;&gt;"",'All Cases - Enter Cases'!C953,"")</f>
        <v/>
      </c>
      <c r="D953" t="str">
        <f>IF($A953&lt;&gt;"",'All Cases - Enter Cases'!D953,"")</f>
        <v/>
      </c>
      <c r="E953" t="str">
        <f>IF($A953&lt;&gt;"",'All Cases - Enter Cases'!E953,"")</f>
        <v/>
      </c>
      <c r="F953" t="str">
        <f>IF($A953&lt;&gt;"",'All Cases - Enter Cases'!F953,"")</f>
        <v/>
      </c>
      <c r="G953" t="str">
        <f>IF($A953&lt;&gt;"",'All Cases - Enter Cases'!G953,"")</f>
        <v/>
      </c>
      <c r="H953" t="str">
        <f>IF($A953&lt;&gt;"",'All Cases - Enter Cases'!H953,"")</f>
        <v/>
      </c>
      <c r="I953" t="str">
        <f>IF($A953&lt;&gt;"",'All Cases - Enter Cases'!I953,"")</f>
        <v/>
      </c>
      <c r="J953" t="str">
        <f>IF($A953&lt;&gt;"",'All Cases - Enter Cases'!J953,"")</f>
        <v/>
      </c>
      <c r="K953" s="4" t="str">
        <f>IF($A953&lt;&gt;"",'All Cases - Enter Cases'!K953,"")</f>
        <v/>
      </c>
      <c r="L953" t="str">
        <f>IF($A953&lt;&gt;"",'All Cases - Enter Cases'!L953,"")</f>
        <v/>
      </c>
      <c r="M953" t="str">
        <f>IF($A953&lt;&gt;"",'All Cases - Enter Cases'!M953,"")</f>
        <v/>
      </c>
    </row>
    <row r="954" spans="1:13" x14ac:dyDescent="0.35">
      <c r="A954" s="10" t="str">
        <f>IF('All Cases - Enter Cases'!$F954="Sindh",'All Cases - Enter Cases'!A954,"")</f>
        <v/>
      </c>
      <c r="B954" t="str">
        <f>IF($A954&lt;&gt;"",'All Cases - Enter Cases'!B954,"")</f>
        <v/>
      </c>
      <c r="C954" t="str">
        <f>IF($A954&lt;&gt;"",'All Cases - Enter Cases'!C954,"")</f>
        <v/>
      </c>
      <c r="D954" t="str">
        <f>IF($A954&lt;&gt;"",'All Cases - Enter Cases'!D954,"")</f>
        <v/>
      </c>
      <c r="E954" t="str">
        <f>IF($A954&lt;&gt;"",'All Cases - Enter Cases'!E954,"")</f>
        <v/>
      </c>
      <c r="F954" t="str">
        <f>IF($A954&lt;&gt;"",'All Cases - Enter Cases'!F954,"")</f>
        <v/>
      </c>
      <c r="G954" t="str">
        <f>IF($A954&lt;&gt;"",'All Cases - Enter Cases'!G954,"")</f>
        <v/>
      </c>
      <c r="H954" t="str">
        <f>IF($A954&lt;&gt;"",'All Cases - Enter Cases'!H954,"")</f>
        <v/>
      </c>
      <c r="I954" t="str">
        <f>IF($A954&lt;&gt;"",'All Cases - Enter Cases'!I954,"")</f>
        <v/>
      </c>
      <c r="J954" t="str">
        <f>IF($A954&lt;&gt;"",'All Cases - Enter Cases'!J954,"")</f>
        <v/>
      </c>
      <c r="K954" s="4" t="str">
        <f>IF($A954&lt;&gt;"",'All Cases - Enter Cases'!K954,"")</f>
        <v/>
      </c>
      <c r="L954" t="str">
        <f>IF($A954&lt;&gt;"",'All Cases - Enter Cases'!L954,"")</f>
        <v/>
      </c>
      <c r="M954" t="str">
        <f>IF($A954&lt;&gt;"",'All Cases - Enter Cases'!M954,"")</f>
        <v/>
      </c>
    </row>
    <row r="955" spans="1:13" x14ac:dyDescent="0.35">
      <c r="A955" s="10" t="str">
        <f>IF('All Cases - Enter Cases'!$F955="Sindh",'All Cases - Enter Cases'!A955,"")</f>
        <v/>
      </c>
      <c r="B955" t="str">
        <f>IF($A955&lt;&gt;"",'All Cases - Enter Cases'!B955,"")</f>
        <v/>
      </c>
      <c r="C955" t="str">
        <f>IF($A955&lt;&gt;"",'All Cases - Enter Cases'!C955,"")</f>
        <v/>
      </c>
      <c r="D955" t="str">
        <f>IF($A955&lt;&gt;"",'All Cases - Enter Cases'!D955,"")</f>
        <v/>
      </c>
      <c r="E955" t="str">
        <f>IF($A955&lt;&gt;"",'All Cases - Enter Cases'!E955,"")</f>
        <v/>
      </c>
      <c r="F955" t="str">
        <f>IF($A955&lt;&gt;"",'All Cases - Enter Cases'!F955,"")</f>
        <v/>
      </c>
      <c r="G955" t="str">
        <f>IF($A955&lt;&gt;"",'All Cases - Enter Cases'!G955,"")</f>
        <v/>
      </c>
      <c r="H955" t="str">
        <f>IF($A955&lt;&gt;"",'All Cases - Enter Cases'!H955,"")</f>
        <v/>
      </c>
      <c r="I955" t="str">
        <f>IF($A955&lt;&gt;"",'All Cases - Enter Cases'!I955,"")</f>
        <v/>
      </c>
      <c r="J955" t="str">
        <f>IF($A955&lt;&gt;"",'All Cases - Enter Cases'!J955,"")</f>
        <v/>
      </c>
      <c r="K955" s="4" t="str">
        <f>IF($A955&lt;&gt;"",'All Cases - Enter Cases'!K955,"")</f>
        <v/>
      </c>
      <c r="L955" t="str">
        <f>IF($A955&lt;&gt;"",'All Cases - Enter Cases'!L955,"")</f>
        <v/>
      </c>
      <c r="M955" t="str">
        <f>IF($A955&lt;&gt;"",'All Cases - Enter Cases'!M955,"")</f>
        <v/>
      </c>
    </row>
    <row r="956" spans="1:13" x14ac:dyDescent="0.35">
      <c r="A956" s="10" t="str">
        <f>IF('All Cases - Enter Cases'!$F956="Sindh",'All Cases - Enter Cases'!A956,"")</f>
        <v/>
      </c>
      <c r="B956" t="str">
        <f>IF($A956&lt;&gt;"",'All Cases - Enter Cases'!B956,"")</f>
        <v/>
      </c>
      <c r="C956" t="str">
        <f>IF($A956&lt;&gt;"",'All Cases - Enter Cases'!C956,"")</f>
        <v/>
      </c>
      <c r="D956" t="str">
        <f>IF($A956&lt;&gt;"",'All Cases - Enter Cases'!D956,"")</f>
        <v/>
      </c>
      <c r="E956" t="str">
        <f>IF($A956&lt;&gt;"",'All Cases - Enter Cases'!E956,"")</f>
        <v/>
      </c>
      <c r="F956" t="str">
        <f>IF($A956&lt;&gt;"",'All Cases - Enter Cases'!F956,"")</f>
        <v/>
      </c>
      <c r="G956" t="str">
        <f>IF($A956&lt;&gt;"",'All Cases - Enter Cases'!G956,"")</f>
        <v/>
      </c>
      <c r="H956" t="str">
        <f>IF($A956&lt;&gt;"",'All Cases - Enter Cases'!H956,"")</f>
        <v/>
      </c>
      <c r="I956" t="str">
        <f>IF($A956&lt;&gt;"",'All Cases - Enter Cases'!I956,"")</f>
        <v/>
      </c>
      <c r="J956" t="str">
        <f>IF($A956&lt;&gt;"",'All Cases - Enter Cases'!J956,"")</f>
        <v/>
      </c>
      <c r="K956" s="4" t="str">
        <f>IF($A956&lt;&gt;"",'All Cases - Enter Cases'!K956,"")</f>
        <v/>
      </c>
      <c r="L956" t="str">
        <f>IF($A956&lt;&gt;"",'All Cases - Enter Cases'!L956,"")</f>
        <v/>
      </c>
      <c r="M956" t="str">
        <f>IF($A956&lt;&gt;"",'All Cases - Enter Cases'!M956,"")</f>
        <v/>
      </c>
    </row>
    <row r="957" spans="1:13" x14ac:dyDescent="0.35">
      <c r="A957" s="10" t="str">
        <f>IF('All Cases - Enter Cases'!$F957="Sindh",'All Cases - Enter Cases'!A957,"")</f>
        <v/>
      </c>
      <c r="B957" t="str">
        <f>IF($A957&lt;&gt;"",'All Cases - Enter Cases'!B957,"")</f>
        <v/>
      </c>
      <c r="C957" t="str">
        <f>IF($A957&lt;&gt;"",'All Cases - Enter Cases'!C957,"")</f>
        <v/>
      </c>
      <c r="D957" t="str">
        <f>IF($A957&lt;&gt;"",'All Cases - Enter Cases'!D957,"")</f>
        <v/>
      </c>
      <c r="E957" t="str">
        <f>IF($A957&lt;&gt;"",'All Cases - Enter Cases'!E957,"")</f>
        <v/>
      </c>
      <c r="F957" t="str">
        <f>IF($A957&lt;&gt;"",'All Cases - Enter Cases'!F957,"")</f>
        <v/>
      </c>
      <c r="G957" t="str">
        <f>IF($A957&lt;&gt;"",'All Cases - Enter Cases'!G957,"")</f>
        <v/>
      </c>
      <c r="H957" t="str">
        <f>IF($A957&lt;&gt;"",'All Cases - Enter Cases'!H957,"")</f>
        <v/>
      </c>
      <c r="I957" t="str">
        <f>IF($A957&lt;&gt;"",'All Cases - Enter Cases'!I957,"")</f>
        <v/>
      </c>
      <c r="J957" t="str">
        <f>IF($A957&lt;&gt;"",'All Cases - Enter Cases'!J957,"")</f>
        <v/>
      </c>
      <c r="K957" s="4" t="str">
        <f>IF($A957&lt;&gt;"",'All Cases - Enter Cases'!K957,"")</f>
        <v/>
      </c>
      <c r="L957" t="str">
        <f>IF($A957&lt;&gt;"",'All Cases - Enter Cases'!L957,"")</f>
        <v/>
      </c>
      <c r="M957" t="str">
        <f>IF($A957&lt;&gt;"",'All Cases - Enter Cases'!M957,"")</f>
        <v/>
      </c>
    </row>
    <row r="958" spans="1:13" x14ac:dyDescent="0.35">
      <c r="A958" s="10" t="str">
        <f>IF('All Cases - Enter Cases'!$F958="Sindh",'All Cases - Enter Cases'!A958,"")</f>
        <v/>
      </c>
      <c r="B958" t="str">
        <f>IF($A958&lt;&gt;"",'All Cases - Enter Cases'!B958,"")</f>
        <v/>
      </c>
      <c r="C958" t="str">
        <f>IF($A958&lt;&gt;"",'All Cases - Enter Cases'!C958,"")</f>
        <v/>
      </c>
      <c r="D958" t="str">
        <f>IF($A958&lt;&gt;"",'All Cases - Enter Cases'!D958,"")</f>
        <v/>
      </c>
      <c r="E958" t="str">
        <f>IF($A958&lt;&gt;"",'All Cases - Enter Cases'!E958,"")</f>
        <v/>
      </c>
      <c r="F958" t="str">
        <f>IF($A958&lt;&gt;"",'All Cases - Enter Cases'!F958,"")</f>
        <v/>
      </c>
      <c r="G958" t="str">
        <f>IF($A958&lt;&gt;"",'All Cases - Enter Cases'!G958,"")</f>
        <v/>
      </c>
      <c r="H958" t="str">
        <f>IF($A958&lt;&gt;"",'All Cases - Enter Cases'!H958,"")</f>
        <v/>
      </c>
      <c r="I958" t="str">
        <f>IF($A958&lt;&gt;"",'All Cases - Enter Cases'!I958,"")</f>
        <v/>
      </c>
      <c r="J958" t="str">
        <f>IF($A958&lt;&gt;"",'All Cases - Enter Cases'!J958,"")</f>
        <v/>
      </c>
      <c r="K958" s="4" t="str">
        <f>IF($A958&lt;&gt;"",'All Cases - Enter Cases'!K958,"")</f>
        <v/>
      </c>
      <c r="L958" t="str">
        <f>IF($A958&lt;&gt;"",'All Cases - Enter Cases'!L958,"")</f>
        <v/>
      </c>
      <c r="M958" t="str">
        <f>IF($A958&lt;&gt;"",'All Cases - Enter Cases'!M958,"")</f>
        <v/>
      </c>
    </row>
    <row r="959" spans="1:13" x14ac:dyDescent="0.35">
      <c r="A959" s="10" t="str">
        <f>IF('All Cases - Enter Cases'!$F959="Sindh",'All Cases - Enter Cases'!A959,"")</f>
        <v/>
      </c>
      <c r="B959" t="str">
        <f>IF($A959&lt;&gt;"",'All Cases - Enter Cases'!B959,"")</f>
        <v/>
      </c>
      <c r="C959" t="str">
        <f>IF($A959&lt;&gt;"",'All Cases - Enter Cases'!C959,"")</f>
        <v/>
      </c>
      <c r="D959" t="str">
        <f>IF($A959&lt;&gt;"",'All Cases - Enter Cases'!D959,"")</f>
        <v/>
      </c>
      <c r="E959" t="str">
        <f>IF($A959&lt;&gt;"",'All Cases - Enter Cases'!E959,"")</f>
        <v/>
      </c>
      <c r="F959" t="str">
        <f>IF($A959&lt;&gt;"",'All Cases - Enter Cases'!F959,"")</f>
        <v/>
      </c>
      <c r="G959" t="str">
        <f>IF($A959&lt;&gt;"",'All Cases - Enter Cases'!G959,"")</f>
        <v/>
      </c>
      <c r="H959" t="str">
        <f>IF($A959&lt;&gt;"",'All Cases - Enter Cases'!H959,"")</f>
        <v/>
      </c>
      <c r="I959" t="str">
        <f>IF($A959&lt;&gt;"",'All Cases - Enter Cases'!I959,"")</f>
        <v/>
      </c>
      <c r="J959" t="str">
        <f>IF($A959&lt;&gt;"",'All Cases - Enter Cases'!J959,"")</f>
        <v/>
      </c>
      <c r="K959" s="4" t="str">
        <f>IF($A959&lt;&gt;"",'All Cases - Enter Cases'!K959,"")</f>
        <v/>
      </c>
      <c r="L959" t="str">
        <f>IF($A959&lt;&gt;"",'All Cases - Enter Cases'!L959,"")</f>
        <v/>
      </c>
      <c r="M959" t="str">
        <f>IF($A959&lt;&gt;"",'All Cases - Enter Cases'!M959,"")</f>
        <v/>
      </c>
    </row>
    <row r="960" spans="1:13" x14ac:dyDescent="0.35">
      <c r="A960" s="10" t="str">
        <f>IF('All Cases - Enter Cases'!$F960="Sindh",'All Cases - Enter Cases'!A960,"")</f>
        <v/>
      </c>
      <c r="B960" t="str">
        <f>IF($A960&lt;&gt;"",'All Cases - Enter Cases'!B960,"")</f>
        <v/>
      </c>
      <c r="C960" t="str">
        <f>IF($A960&lt;&gt;"",'All Cases - Enter Cases'!C960,"")</f>
        <v/>
      </c>
      <c r="D960" t="str">
        <f>IF($A960&lt;&gt;"",'All Cases - Enter Cases'!D960,"")</f>
        <v/>
      </c>
      <c r="E960" t="str">
        <f>IF($A960&lt;&gt;"",'All Cases - Enter Cases'!E960,"")</f>
        <v/>
      </c>
      <c r="F960" t="str">
        <f>IF($A960&lt;&gt;"",'All Cases - Enter Cases'!F960,"")</f>
        <v/>
      </c>
      <c r="G960" t="str">
        <f>IF($A960&lt;&gt;"",'All Cases - Enter Cases'!G960,"")</f>
        <v/>
      </c>
      <c r="H960" t="str">
        <f>IF($A960&lt;&gt;"",'All Cases - Enter Cases'!H960,"")</f>
        <v/>
      </c>
      <c r="I960" t="str">
        <f>IF($A960&lt;&gt;"",'All Cases - Enter Cases'!I960,"")</f>
        <v/>
      </c>
      <c r="J960" t="str">
        <f>IF($A960&lt;&gt;"",'All Cases - Enter Cases'!J960,"")</f>
        <v/>
      </c>
      <c r="K960" s="4" t="str">
        <f>IF($A960&lt;&gt;"",'All Cases - Enter Cases'!K960,"")</f>
        <v/>
      </c>
      <c r="L960" t="str">
        <f>IF($A960&lt;&gt;"",'All Cases - Enter Cases'!L960,"")</f>
        <v/>
      </c>
      <c r="M960" t="str">
        <f>IF($A960&lt;&gt;"",'All Cases - Enter Cases'!M960,"")</f>
        <v/>
      </c>
    </row>
    <row r="961" spans="1:13" x14ac:dyDescent="0.35">
      <c r="A961" s="10" t="str">
        <f>IF('All Cases - Enter Cases'!$F961="Sindh",'All Cases - Enter Cases'!A961,"")</f>
        <v/>
      </c>
      <c r="B961" t="str">
        <f>IF($A961&lt;&gt;"",'All Cases - Enter Cases'!B961,"")</f>
        <v/>
      </c>
      <c r="C961" t="str">
        <f>IF($A961&lt;&gt;"",'All Cases - Enter Cases'!C961,"")</f>
        <v/>
      </c>
      <c r="D961" t="str">
        <f>IF($A961&lt;&gt;"",'All Cases - Enter Cases'!D961,"")</f>
        <v/>
      </c>
      <c r="E961" t="str">
        <f>IF($A961&lt;&gt;"",'All Cases - Enter Cases'!E961,"")</f>
        <v/>
      </c>
      <c r="F961" t="str">
        <f>IF($A961&lt;&gt;"",'All Cases - Enter Cases'!F961,"")</f>
        <v/>
      </c>
      <c r="G961" t="str">
        <f>IF($A961&lt;&gt;"",'All Cases - Enter Cases'!G961,"")</f>
        <v/>
      </c>
      <c r="H961" t="str">
        <f>IF($A961&lt;&gt;"",'All Cases - Enter Cases'!H961,"")</f>
        <v/>
      </c>
      <c r="I961" t="str">
        <f>IF($A961&lt;&gt;"",'All Cases - Enter Cases'!I961,"")</f>
        <v/>
      </c>
      <c r="J961" t="str">
        <f>IF($A961&lt;&gt;"",'All Cases - Enter Cases'!J961,"")</f>
        <v/>
      </c>
      <c r="K961" s="4" t="str">
        <f>IF($A961&lt;&gt;"",'All Cases - Enter Cases'!K961,"")</f>
        <v/>
      </c>
      <c r="L961" t="str">
        <f>IF($A961&lt;&gt;"",'All Cases - Enter Cases'!L961,"")</f>
        <v/>
      </c>
      <c r="M961" t="str">
        <f>IF($A961&lt;&gt;"",'All Cases - Enter Cases'!M961,"")</f>
        <v/>
      </c>
    </row>
    <row r="962" spans="1:13" x14ac:dyDescent="0.35">
      <c r="A962" s="10" t="str">
        <f>IF('All Cases - Enter Cases'!$F962="Sindh",'All Cases - Enter Cases'!A962,"")</f>
        <v/>
      </c>
      <c r="B962" t="str">
        <f>IF($A962&lt;&gt;"",'All Cases - Enter Cases'!B962,"")</f>
        <v/>
      </c>
      <c r="C962" t="str">
        <f>IF($A962&lt;&gt;"",'All Cases - Enter Cases'!C962,"")</f>
        <v/>
      </c>
      <c r="D962" t="str">
        <f>IF($A962&lt;&gt;"",'All Cases - Enter Cases'!D962,"")</f>
        <v/>
      </c>
      <c r="E962" t="str">
        <f>IF($A962&lt;&gt;"",'All Cases - Enter Cases'!E962,"")</f>
        <v/>
      </c>
      <c r="F962" t="str">
        <f>IF($A962&lt;&gt;"",'All Cases - Enter Cases'!F962,"")</f>
        <v/>
      </c>
      <c r="G962" t="str">
        <f>IF($A962&lt;&gt;"",'All Cases - Enter Cases'!G962,"")</f>
        <v/>
      </c>
      <c r="H962" t="str">
        <f>IF($A962&lt;&gt;"",'All Cases - Enter Cases'!H962,"")</f>
        <v/>
      </c>
      <c r="I962" t="str">
        <f>IF($A962&lt;&gt;"",'All Cases - Enter Cases'!I962,"")</f>
        <v/>
      </c>
      <c r="J962" t="str">
        <f>IF($A962&lt;&gt;"",'All Cases - Enter Cases'!J962,"")</f>
        <v/>
      </c>
      <c r="K962" s="4" t="str">
        <f>IF($A962&lt;&gt;"",'All Cases - Enter Cases'!K962,"")</f>
        <v/>
      </c>
      <c r="L962" t="str">
        <f>IF($A962&lt;&gt;"",'All Cases - Enter Cases'!L962,"")</f>
        <v/>
      </c>
      <c r="M962" t="str">
        <f>IF($A962&lt;&gt;"",'All Cases - Enter Cases'!M962,"")</f>
        <v/>
      </c>
    </row>
    <row r="963" spans="1:13" x14ac:dyDescent="0.35">
      <c r="A963" s="10" t="str">
        <f>IF('All Cases - Enter Cases'!$F963="Sindh",'All Cases - Enter Cases'!A963,"")</f>
        <v/>
      </c>
      <c r="B963" t="str">
        <f>IF($A963&lt;&gt;"",'All Cases - Enter Cases'!B963,"")</f>
        <v/>
      </c>
      <c r="C963" t="str">
        <f>IF($A963&lt;&gt;"",'All Cases - Enter Cases'!C963,"")</f>
        <v/>
      </c>
      <c r="D963" t="str">
        <f>IF($A963&lt;&gt;"",'All Cases - Enter Cases'!D963,"")</f>
        <v/>
      </c>
      <c r="E963" t="str">
        <f>IF($A963&lt;&gt;"",'All Cases - Enter Cases'!E963,"")</f>
        <v/>
      </c>
      <c r="F963" t="str">
        <f>IF($A963&lt;&gt;"",'All Cases - Enter Cases'!F963,"")</f>
        <v/>
      </c>
      <c r="G963" t="str">
        <f>IF($A963&lt;&gt;"",'All Cases - Enter Cases'!G963,"")</f>
        <v/>
      </c>
      <c r="H963" t="str">
        <f>IF($A963&lt;&gt;"",'All Cases - Enter Cases'!H963,"")</f>
        <v/>
      </c>
      <c r="I963" t="str">
        <f>IF($A963&lt;&gt;"",'All Cases - Enter Cases'!I963,"")</f>
        <v/>
      </c>
      <c r="J963" t="str">
        <f>IF($A963&lt;&gt;"",'All Cases - Enter Cases'!J963,"")</f>
        <v/>
      </c>
      <c r="K963" s="4" t="str">
        <f>IF($A963&lt;&gt;"",'All Cases - Enter Cases'!K963,"")</f>
        <v/>
      </c>
      <c r="L963" t="str">
        <f>IF($A963&lt;&gt;"",'All Cases - Enter Cases'!L963,"")</f>
        <v/>
      </c>
      <c r="M963" t="str">
        <f>IF($A963&lt;&gt;"",'All Cases - Enter Cases'!M963,"")</f>
        <v/>
      </c>
    </row>
    <row r="964" spans="1:13" x14ac:dyDescent="0.35">
      <c r="A964" s="10" t="str">
        <f>IF('All Cases - Enter Cases'!$F964="Sindh",'All Cases - Enter Cases'!A964,"")</f>
        <v/>
      </c>
      <c r="B964" t="str">
        <f>IF($A964&lt;&gt;"",'All Cases - Enter Cases'!B964,"")</f>
        <v/>
      </c>
      <c r="C964" t="str">
        <f>IF($A964&lt;&gt;"",'All Cases - Enter Cases'!C964,"")</f>
        <v/>
      </c>
      <c r="D964" t="str">
        <f>IF($A964&lt;&gt;"",'All Cases - Enter Cases'!D964,"")</f>
        <v/>
      </c>
      <c r="E964" t="str">
        <f>IF($A964&lt;&gt;"",'All Cases - Enter Cases'!E964,"")</f>
        <v/>
      </c>
      <c r="F964" t="str">
        <f>IF($A964&lt;&gt;"",'All Cases - Enter Cases'!F964,"")</f>
        <v/>
      </c>
      <c r="G964" t="str">
        <f>IF($A964&lt;&gt;"",'All Cases - Enter Cases'!G964,"")</f>
        <v/>
      </c>
      <c r="H964" t="str">
        <f>IF($A964&lt;&gt;"",'All Cases - Enter Cases'!H964,"")</f>
        <v/>
      </c>
      <c r="I964" t="str">
        <f>IF($A964&lt;&gt;"",'All Cases - Enter Cases'!I964,"")</f>
        <v/>
      </c>
      <c r="J964" t="str">
        <f>IF($A964&lt;&gt;"",'All Cases - Enter Cases'!J964,"")</f>
        <v/>
      </c>
      <c r="K964" s="4" t="str">
        <f>IF($A964&lt;&gt;"",'All Cases - Enter Cases'!K964,"")</f>
        <v/>
      </c>
      <c r="L964" t="str">
        <f>IF($A964&lt;&gt;"",'All Cases - Enter Cases'!L964,"")</f>
        <v/>
      </c>
      <c r="M964" t="str">
        <f>IF($A964&lt;&gt;"",'All Cases - Enter Cases'!M964,"")</f>
        <v/>
      </c>
    </row>
    <row r="965" spans="1:13" x14ac:dyDescent="0.35">
      <c r="A965" s="10" t="str">
        <f>IF('All Cases - Enter Cases'!$F965="Sindh",'All Cases - Enter Cases'!A965,"")</f>
        <v/>
      </c>
      <c r="B965" t="str">
        <f>IF($A965&lt;&gt;"",'All Cases - Enter Cases'!B965,"")</f>
        <v/>
      </c>
      <c r="C965" t="str">
        <f>IF($A965&lt;&gt;"",'All Cases - Enter Cases'!C965,"")</f>
        <v/>
      </c>
      <c r="D965" t="str">
        <f>IF($A965&lt;&gt;"",'All Cases - Enter Cases'!D965,"")</f>
        <v/>
      </c>
      <c r="E965" t="str">
        <f>IF($A965&lt;&gt;"",'All Cases - Enter Cases'!E965,"")</f>
        <v/>
      </c>
      <c r="F965" t="str">
        <f>IF($A965&lt;&gt;"",'All Cases - Enter Cases'!F965,"")</f>
        <v/>
      </c>
      <c r="G965" t="str">
        <f>IF($A965&lt;&gt;"",'All Cases - Enter Cases'!G965,"")</f>
        <v/>
      </c>
      <c r="H965" t="str">
        <f>IF($A965&lt;&gt;"",'All Cases - Enter Cases'!H965,"")</f>
        <v/>
      </c>
      <c r="I965" t="str">
        <f>IF($A965&lt;&gt;"",'All Cases - Enter Cases'!I965,"")</f>
        <v/>
      </c>
      <c r="J965" t="str">
        <f>IF($A965&lt;&gt;"",'All Cases - Enter Cases'!J965,"")</f>
        <v/>
      </c>
      <c r="K965" s="4" t="str">
        <f>IF($A965&lt;&gt;"",'All Cases - Enter Cases'!K965,"")</f>
        <v/>
      </c>
      <c r="L965" t="str">
        <f>IF($A965&lt;&gt;"",'All Cases - Enter Cases'!L965,"")</f>
        <v/>
      </c>
      <c r="M965" t="str">
        <f>IF($A965&lt;&gt;"",'All Cases - Enter Cases'!M965,"")</f>
        <v/>
      </c>
    </row>
    <row r="966" spans="1:13" x14ac:dyDescent="0.35">
      <c r="A966" s="10" t="str">
        <f>IF('All Cases - Enter Cases'!$F966="Sindh",'All Cases - Enter Cases'!A966,"")</f>
        <v/>
      </c>
      <c r="B966" t="str">
        <f>IF($A966&lt;&gt;"",'All Cases - Enter Cases'!B966,"")</f>
        <v/>
      </c>
      <c r="C966" t="str">
        <f>IF($A966&lt;&gt;"",'All Cases - Enter Cases'!C966,"")</f>
        <v/>
      </c>
      <c r="D966" t="str">
        <f>IF($A966&lt;&gt;"",'All Cases - Enter Cases'!D966,"")</f>
        <v/>
      </c>
      <c r="E966" t="str">
        <f>IF($A966&lt;&gt;"",'All Cases - Enter Cases'!E966,"")</f>
        <v/>
      </c>
      <c r="F966" t="str">
        <f>IF($A966&lt;&gt;"",'All Cases - Enter Cases'!F966,"")</f>
        <v/>
      </c>
      <c r="G966" t="str">
        <f>IF($A966&lt;&gt;"",'All Cases - Enter Cases'!G966,"")</f>
        <v/>
      </c>
      <c r="H966" t="str">
        <f>IF($A966&lt;&gt;"",'All Cases - Enter Cases'!H966,"")</f>
        <v/>
      </c>
      <c r="I966" t="str">
        <f>IF($A966&lt;&gt;"",'All Cases - Enter Cases'!I966,"")</f>
        <v/>
      </c>
      <c r="J966" t="str">
        <f>IF($A966&lt;&gt;"",'All Cases - Enter Cases'!J966,"")</f>
        <v/>
      </c>
      <c r="K966" s="4" t="str">
        <f>IF($A966&lt;&gt;"",'All Cases - Enter Cases'!K966,"")</f>
        <v/>
      </c>
      <c r="L966" t="str">
        <f>IF($A966&lt;&gt;"",'All Cases - Enter Cases'!L966,"")</f>
        <v/>
      </c>
      <c r="M966" t="str">
        <f>IF($A966&lt;&gt;"",'All Cases - Enter Cases'!M966,"")</f>
        <v/>
      </c>
    </row>
    <row r="967" spans="1:13" x14ac:dyDescent="0.35">
      <c r="A967" s="10" t="str">
        <f>IF('All Cases - Enter Cases'!$F967="Sindh",'All Cases - Enter Cases'!A967,"")</f>
        <v/>
      </c>
      <c r="B967" t="str">
        <f>IF($A967&lt;&gt;"",'All Cases - Enter Cases'!B967,"")</f>
        <v/>
      </c>
      <c r="C967" t="str">
        <f>IF($A967&lt;&gt;"",'All Cases - Enter Cases'!C967,"")</f>
        <v/>
      </c>
      <c r="D967" t="str">
        <f>IF($A967&lt;&gt;"",'All Cases - Enter Cases'!D967,"")</f>
        <v/>
      </c>
      <c r="E967" t="str">
        <f>IF($A967&lt;&gt;"",'All Cases - Enter Cases'!E967,"")</f>
        <v/>
      </c>
      <c r="F967" t="str">
        <f>IF($A967&lt;&gt;"",'All Cases - Enter Cases'!F967,"")</f>
        <v/>
      </c>
      <c r="G967" t="str">
        <f>IF($A967&lt;&gt;"",'All Cases - Enter Cases'!G967,"")</f>
        <v/>
      </c>
      <c r="H967" t="str">
        <f>IF($A967&lt;&gt;"",'All Cases - Enter Cases'!H967,"")</f>
        <v/>
      </c>
      <c r="I967" t="str">
        <f>IF($A967&lt;&gt;"",'All Cases - Enter Cases'!I967,"")</f>
        <v/>
      </c>
      <c r="J967" t="str">
        <f>IF($A967&lt;&gt;"",'All Cases - Enter Cases'!J967,"")</f>
        <v/>
      </c>
      <c r="K967" s="4" t="str">
        <f>IF($A967&lt;&gt;"",'All Cases - Enter Cases'!K967,"")</f>
        <v/>
      </c>
      <c r="L967" t="str">
        <f>IF($A967&lt;&gt;"",'All Cases - Enter Cases'!L967,"")</f>
        <v/>
      </c>
      <c r="M967" t="str">
        <f>IF($A967&lt;&gt;"",'All Cases - Enter Cases'!M967,"")</f>
        <v/>
      </c>
    </row>
    <row r="968" spans="1:13" x14ac:dyDescent="0.35">
      <c r="A968" s="10" t="str">
        <f>IF('All Cases - Enter Cases'!$F968="Sindh",'All Cases - Enter Cases'!A968,"")</f>
        <v/>
      </c>
      <c r="B968" t="str">
        <f>IF($A968&lt;&gt;"",'All Cases - Enter Cases'!B968,"")</f>
        <v/>
      </c>
      <c r="C968" t="str">
        <f>IF($A968&lt;&gt;"",'All Cases - Enter Cases'!C968,"")</f>
        <v/>
      </c>
      <c r="D968" t="str">
        <f>IF($A968&lt;&gt;"",'All Cases - Enter Cases'!D968,"")</f>
        <v/>
      </c>
      <c r="E968" t="str">
        <f>IF($A968&lt;&gt;"",'All Cases - Enter Cases'!E968,"")</f>
        <v/>
      </c>
      <c r="F968" t="str">
        <f>IF($A968&lt;&gt;"",'All Cases - Enter Cases'!F968,"")</f>
        <v/>
      </c>
      <c r="G968" t="str">
        <f>IF($A968&lt;&gt;"",'All Cases - Enter Cases'!G968,"")</f>
        <v/>
      </c>
      <c r="H968" t="str">
        <f>IF($A968&lt;&gt;"",'All Cases - Enter Cases'!H968,"")</f>
        <v/>
      </c>
      <c r="I968" t="str">
        <f>IF($A968&lt;&gt;"",'All Cases - Enter Cases'!I968,"")</f>
        <v/>
      </c>
      <c r="J968" t="str">
        <f>IF($A968&lt;&gt;"",'All Cases - Enter Cases'!J968,"")</f>
        <v/>
      </c>
      <c r="K968" s="4" t="str">
        <f>IF($A968&lt;&gt;"",'All Cases - Enter Cases'!K968,"")</f>
        <v/>
      </c>
      <c r="L968" t="str">
        <f>IF($A968&lt;&gt;"",'All Cases - Enter Cases'!L968,"")</f>
        <v/>
      </c>
      <c r="M968" t="str">
        <f>IF($A968&lt;&gt;"",'All Cases - Enter Cases'!M968,"")</f>
        <v/>
      </c>
    </row>
    <row r="969" spans="1:13" x14ac:dyDescent="0.35">
      <c r="A969" s="10" t="str">
        <f>IF('All Cases - Enter Cases'!$F969="Sindh",'All Cases - Enter Cases'!A969,"")</f>
        <v/>
      </c>
      <c r="B969" t="str">
        <f>IF($A969&lt;&gt;"",'All Cases - Enter Cases'!B969,"")</f>
        <v/>
      </c>
      <c r="C969" t="str">
        <f>IF($A969&lt;&gt;"",'All Cases - Enter Cases'!C969,"")</f>
        <v/>
      </c>
      <c r="D969" t="str">
        <f>IF($A969&lt;&gt;"",'All Cases - Enter Cases'!D969,"")</f>
        <v/>
      </c>
      <c r="E969" t="str">
        <f>IF($A969&lt;&gt;"",'All Cases - Enter Cases'!E969,"")</f>
        <v/>
      </c>
      <c r="F969" t="str">
        <f>IF($A969&lt;&gt;"",'All Cases - Enter Cases'!F969,"")</f>
        <v/>
      </c>
      <c r="G969" t="str">
        <f>IF($A969&lt;&gt;"",'All Cases - Enter Cases'!G969,"")</f>
        <v/>
      </c>
      <c r="H969" t="str">
        <f>IF($A969&lt;&gt;"",'All Cases - Enter Cases'!H969,"")</f>
        <v/>
      </c>
      <c r="I969" t="str">
        <f>IF($A969&lt;&gt;"",'All Cases - Enter Cases'!I969,"")</f>
        <v/>
      </c>
      <c r="J969" t="str">
        <f>IF($A969&lt;&gt;"",'All Cases - Enter Cases'!J969,"")</f>
        <v/>
      </c>
      <c r="K969" s="4" t="str">
        <f>IF($A969&lt;&gt;"",'All Cases - Enter Cases'!K969,"")</f>
        <v/>
      </c>
      <c r="L969" t="str">
        <f>IF($A969&lt;&gt;"",'All Cases - Enter Cases'!L969,"")</f>
        <v/>
      </c>
      <c r="M969" t="str">
        <f>IF($A969&lt;&gt;"",'All Cases - Enter Cases'!M969,"")</f>
        <v/>
      </c>
    </row>
    <row r="970" spans="1:13" x14ac:dyDescent="0.35">
      <c r="A970" s="10" t="str">
        <f>IF('All Cases - Enter Cases'!$F970="Sindh",'All Cases - Enter Cases'!A970,"")</f>
        <v/>
      </c>
      <c r="B970" t="str">
        <f>IF($A970&lt;&gt;"",'All Cases - Enter Cases'!B970,"")</f>
        <v/>
      </c>
      <c r="C970" t="str">
        <f>IF($A970&lt;&gt;"",'All Cases - Enter Cases'!C970,"")</f>
        <v/>
      </c>
      <c r="D970" t="str">
        <f>IF($A970&lt;&gt;"",'All Cases - Enter Cases'!D970,"")</f>
        <v/>
      </c>
      <c r="E970" t="str">
        <f>IF($A970&lt;&gt;"",'All Cases - Enter Cases'!E970,"")</f>
        <v/>
      </c>
      <c r="F970" t="str">
        <f>IF($A970&lt;&gt;"",'All Cases - Enter Cases'!F970,"")</f>
        <v/>
      </c>
      <c r="G970" t="str">
        <f>IF($A970&lt;&gt;"",'All Cases - Enter Cases'!G970,"")</f>
        <v/>
      </c>
      <c r="H970" t="str">
        <f>IF($A970&lt;&gt;"",'All Cases - Enter Cases'!H970,"")</f>
        <v/>
      </c>
      <c r="I970" t="str">
        <f>IF($A970&lt;&gt;"",'All Cases - Enter Cases'!I970,"")</f>
        <v/>
      </c>
      <c r="J970" t="str">
        <f>IF($A970&lt;&gt;"",'All Cases - Enter Cases'!J970,"")</f>
        <v/>
      </c>
      <c r="K970" s="4" t="str">
        <f>IF($A970&lt;&gt;"",'All Cases - Enter Cases'!K970,"")</f>
        <v/>
      </c>
      <c r="L970" t="str">
        <f>IF($A970&lt;&gt;"",'All Cases - Enter Cases'!L970,"")</f>
        <v/>
      </c>
      <c r="M970" t="str">
        <f>IF($A970&lt;&gt;"",'All Cases - Enter Cases'!M970,"")</f>
        <v/>
      </c>
    </row>
    <row r="971" spans="1:13" x14ac:dyDescent="0.35">
      <c r="A971" s="10" t="str">
        <f>IF('All Cases - Enter Cases'!$F971="Sindh",'All Cases - Enter Cases'!A971,"")</f>
        <v/>
      </c>
      <c r="B971" t="str">
        <f>IF($A971&lt;&gt;"",'All Cases - Enter Cases'!B971,"")</f>
        <v/>
      </c>
      <c r="C971" t="str">
        <f>IF($A971&lt;&gt;"",'All Cases - Enter Cases'!C971,"")</f>
        <v/>
      </c>
      <c r="D971" t="str">
        <f>IF($A971&lt;&gt;"",'All Cases - Enter Cases'!D971,"")</f>
        <v/>
      </c>
      <c r="E971" t="str">
        <f>IF($A971&lt;&gt;"",'All Cases - Enter Cases'!E971,"")</f>
        <v/>
      </c>
      <c r="F971" t="str">
        <f>IF($A971&lt;&gt;"",'All Cases - Enter Cases'!F971,"")</f>
        <v/>
      </c>
      <c r="G971" t="str">
        <f>IF($A971&lt;&gt;"",'All Cases - Enter Cases'!G971,"")</f>
        <v/>
      </c>
      <c r="H971" t="str">
        <f>IF($A971&lt;&gt;"",'All Cases - Enter Cases'!H971,"")</f>
        <v/>
      </c>
      <c r="I971" t="str">
        <f>IF($A971&lt;&gt;"",'All Cases - Enter Cases'!I971,"")</f>
        <v/>
      </c>
      <c r="J971" t="str">
        <f>IF($A971&lt;&gt;"",'All Cases - Enter Cases'!J971,"")</f>
        <v/>
      </c>
      <c r="K971" s="4" t="str">
        <f>IF($A971&lt;&gt;"",'All Cases - Enter Cases'!K971,"")</f>
        <v/>
      </c>
      <c r="L971" t="str">
        <f>IF($A971&lt;&gt;"",'All Cases - Enter Cases'!L971,"")</f>
        <v/>
      </c>
      <c r="M971" t="str">
        <f>IF($A971&lt;&gt;"",'All Cases - Enter Cases'!M971,"")</f>
        <v/>
      </c>
    </row>
    <row r="972" spans="1:13" x14ac:dyDescent="0.35">
      <c r="A972" s="10" t="str">
        <f>IF('All Cases - Enter Cases'!$F972="Sindh",'All Cases - Enter Cases'!A972,"")</f>
        <v/>
      </c>
      <c r="B972" t="str">
        <f>IF($A972&lt;&gt;"",'All Cases - Enter Cases'!B972,"")</f>
        <v/>
      </c>
      <c r="C972" t="str">
        <f>IF($A972&lt;&gt;"",'All Cases - Enter Cases'!C972,"")</f>
        <v/>
      </c>
      <c r="D972" t="str">
        <f>IF($A972&lt;&gt;"",'All Cases - Enter Cases'!D972,"")</f>
        <v/>
      </c>
      <c r="E972" t="str">
        <f>IF($A972&lt;&gt;"",'All Cases - Enter Cases'!E972,"")</f>
        <v/>
      </c>
      <c r="F972" t="str">
        <f>IF($A972&lt;&gt;"",'All Cases - Enter Cases'!F972,"")</f>
        <v/>
      </c>
      <c r="G972" t="str">
        <f>IF($A972&lt;&gt;"",'All Cases - Enter Cases'!G972,"")</f>
        <v/>
      </c>
      <c r="H972" t="str">
        <f>IF($A972&lt;&gt;"",'All Cases - Enter Cases'!H972,"")</f>
        <v/>
      </c>
      <c r="I972" t="str">
        <f>IF($A972&lt;&gt;"",'All Cases - Enter Cases'!I972,"")</f>
        <v/>
      </c>
      <c r="J972" t="str">
        <f>IF($A972&lt;&gt;"",'All Cases - Enter Cases'!J972,"")</f>
        <v/>
      </c>
      <c r="K972" s="4" t="str">
        <f>IF($A972&lt;&gt;"",'All Cases - Enter Cases'!K972,"")</f>
        <v/>
      </c>
      <c r="L972" t="str">
        <f>IF($A972&lt;&gt;"",'All Cases - Enter Cases'!L972,"")</f>
        <v/>
      </c>
      <c r="M972" t="str">
        <f>IF($A972&lt;&gt;"",'All Cases - Enter Cases'!M972,"")</f>
        <v/>
      </c>
    </row>
    <row r="973" spans="1:13" x14ac:dyDescent="0.35">
      <c r="A973" s="10" t="str">
        <f>IF('All Cases - Enter Cases'!$F973="Sindh",'All Cases - Enter Cases'!A973,"")</f>
        <v/>
      </c>
      <c r="B973" t="str">
        <f>IF($A973&lt;&gt;"",'All Cases - Enter Cases'!B973,"")</f>
        <v/>
      </c>
      <c r="C973" t="str">
        <f>IF($A973&lt;&gt;"",'All Cases - Enter Cases'!C973,"")</f>
        <v/>
      </c>
      <c r="D973" t="str">
        <f>IF($A973&lt;&gt;"",'All Cases - Enter Cases'!D973,"")</f>
        <v/>
      </c>
      <c r="E973" t="str">
        <f>IF($A973&lt;&gt;"",'All Cases - Enter Cases'!E973,"")</f>
        <v/>
      </c>
      <c r="F973" t="str">
        <f>IF($A973&lt;&gt;"",'All Cases - Enter Cases'!F973,"")</f>
        <v/>
      </c>
      <c r="G973" t="str">
        <f>IF($A973&lt;&gt;"",'All Cases - Enter Cases'!G973,"")</f>
        <v/>
      </c>
      <c r="H973" t="str">
        <f>IF($A973&lt;&gt;"",'All Cases - Enter Cases'!H973,"")</f>
        <v/>
      </c>
      <c r="I973" t="str">
        <f>IF($A973&lt;&gt;"",'All Cases - Enter Cases'!I973,"")</f>
        <v/>
      </c>
      <c r="J973" t="str">
        <f>IF($A973&lt;&gt;"",'All Cases - Enter Cases'!J973,"")</f>
        <v/>
      </c>
      <c r="K973" s="4" t="str">
        <f>IF($A973&lt;&gt;"",'All Cases - Enter Cases'!K973,"")</f>
        <v/>
      </c>
      <c r="L973" t="str">
        <f>IF($A973&lt;&gt;"",'All Cases - Enter Cases'!L973,"")</f>
        <v/>
      </c>
      <c r="M973" t="str">
        <f>IF($A973&lt;&gt;"",'All Cases - Enter Cases'!M973,"")</f>
        <v/>
      </c>
    </row>
    <row r="974" spans="1:13" x14ac:dyDescent="0.35">
      <c r="A974" s="10" t="str">
        <f>IF('All Cases - Enter Cases'!$F974="Sindh",'All Cases - Enter Cases'!A974,"")</f>
        <v/>
      </c>
      <c r="B974" t="str">
        <f>IF($A974&lt;&gt;"",'All Cases - Enter Cases'!B974,"")</f>
        <v/>
      </c>
      <c r="C974" t="str">
        <f>IF($A974&lt;&gt;"",'All Cases - Enter Cases'!C974,"")</f>
        <v/>
      </c>
      <c r="D974" t="str">
        <f>IF($A974&lt;&gt;"",'All Cases - Enter Cases'!D974,"")</f>
        <v/>
      </c>
      <c r="E974" t="str">
        <f>IF($A974&lt;&gt;"",'All Cases - Enter Cases'!E974,"")</f>
        <v/>
      </c>
      <c r="F974" t="str">
        <f>IF($A974&lt;&gt;"",'All Cases - Enter Cases'!F974,"")</f>
        <v/>
      </c>
      <c r="G974" t="str">
        <f>IF($A974&lt;&gt;"",'All Cases - Enter Cases'!G974,"")</f>
        <v/>
      </c>
      <c r="H974" t="str">
        <f>IF($A974&lt;&gt;"",'All Cases - Enter Cases'!H974,"")</f>
        <v/>
      </c>
      <c r="I974" t="str">
        <f>IF($A974&lt;&gt;"",'All Cases - Enter Cases'!I974,"")</f>
        <v/>
      </c>
      <c r="J974" t="str">
        <f>IF($A974&lt;&gt;"",'All Cases - Enter Cases'!J974,"")</f>
        <v/>
      </c>
      <c r="K974" s="4" t="str">
        <f>IF($A974&lt;&gt;"",'All Cases - Enter Cases'!K974,"")</f>
        <v/>
      </c>
      <c r="L974" t="str">
        <f>IF($A974&lt;&gt;"",'All Cases - Enter Cases'!L974,"")</f>
        <v/>
      </c>
      <c r="M974" t="str">
        <f>IF($A974&lt;&gt;"",'All Cases - Enter Cases'!M974,"")</f>
        <v/>
      </c>
    </row>
    <row r="975" spans="1:13" x14ac:dyDescent="0.35">
      <c r="A975" s="10" t="str">
        <f>IF('All Cases - Enter Cases'!$F975="Sindh",'All Cases - Enter Cases'!A975,"")</f>
        <v/>
      </c>
      <c r="B975" t="str">
        <f>IF($A975&lt;&gt;"",'All Cases - Enter Cases'!B975,"")</f>
        <v/>
      </c>
      <c r="C975" t="str">
        <f>IF($A975&lt;&gt;"",'All Cases - Enter Cases'!C975,"")</f>
        <v/>
      </c>
      <c r="D975" t="str">
        <f>IF($A975&lt;&gt;"",'All Cases - Enter Cases'!D975,"")</f>
        <v/>
      </c>
      <c r="E975" t="str">
        <f>IF($A975&lt;&gt;"",'All Cases - Enter Cases'!E975,"")</f>
        <v/>
      </c>
      <c r="F975" t="str">
        <f>IF($A975&lt;&gt;"",'All Cases - Enter Cases'!F975,"")</f>
        <v/>
      </c>
      <c r="G975" t="str">
        <f>IF($A975&lt;&gt;"",'All Cases - Enter Cases'!G975,"")</f>
        <v/>
      </c>
      <c r="H975" t="str">
        <f>IF($A975&lt;&gt;"",'All Cases - Enter Cases'!H975,"")</f>
        <v/>
      </c>
      <c r="I975" t="str">
        <f>IF($A975&lt;&gt;"",'All Cases - Enter Cases'!I975,"")</f>
        <v/>
      </c>
      <c r="J975" t="str">
        <f>IF($A975&lt;&gt;"",'All Cases - Enter Cases'!J975,"")</f>
        <v/>
      </c>
      <c r="K975" s="4" t="str">
        <f>IF($A975&lt;&gt;"",'All Cases - Enter Cases'!K975,"")</f>
        <v/>
      </c>
      <c r="L975" t="str">
        <f>IF($A975&lt;&gt;"",'All Cases - Enter Cases'!L975,"")</f>
        <v/>
      </c>
      <c r="M975" t="str">
        <f>IF($A975&lt;&gt;"",'All Cases - Enter Cases'!M975,"")</f>
        <v/>
      </c>
    </row>
    <row r="976" spans="1:13" x14ac:dyDescent="0.35">
      <c r="A976" s="10" t="str">
        <f>IF('All Cases - Enter Cases'!$F976="Sindh",'All Cases - Enter Cases'!A976,"")</f>
        <v/>
      </c>
      <c r="B976" t="str">
        <f>IF($A976&lt;&gt;"",'All Cases - Enter Cases'!B976,"")</f>
        <v/>
      </c>
      <c r="C976" t="str">
        <f>IF($A976&lt;&gt;"",'All Cases - Enter Cases'!C976,"")</f>
        <v/>
      </c>
      <c r="D976" t="str">
        <f>IF($A976&lt;&gt;"",'All Cases - Enter Cases'!D976,"")</f>
        <v/>
      </c>
      <c r="E976" t="str">
        <f>IF($A976&lt;&gt;"",'All Cases - Enter Cases'!E976,"")</f>
        <v/>
      </c>
      <c r="F976" t="str">
        <f>IF($A976&lt;&gt;"",'All Cases - Enter Cases'!F976,"")</f>
        <v/>
      </c>
      <c r="G976" t="str">
        <f>IF($A976&lt;&gt;"",'All Cases - Enter Cases'!G976,"")</f>
        <v/>
      </c>
      <c r="H976" t="str">
        <f>IF($A976&lt;&gt;"",'All Cases - Enter Cases'!H976,"")</f>
        <v/>
      </c>
      <c r="I976" t="str">
        <f>IF($A976&lt;&gt;"",'All Cases - Enter Cases'!I976,"")</f>
        <v/>
      </c>
      <c r="J976" t="str">
        <f>IF($A976&lt;&gt;"",'All Cases - Enter Cases'!J976,"")</f>
        <v/>
      </c>
      <c r="K976" s="4" t="str">
        <f>IF($A976&lt;&gt;"",'All Cases - Enter Cases'!K976,"")</f>
        <v/>
      </c>
      <c r="L976" t="str">
        <f>IF($A976&lt;&gt;"",'All Cases - Enter Cases'!L976,"")</f>
        <v/>
      </c>
      <c r="M976" t="str">
        <f>IF($A976&lt;&gt;"",'All Cases - Enter Cases'!M976,"")</f>
        <v/>
      </c>
    </row>
    <row r="977" spans="1:13" x14ac:dyDescent="0.35">
      <c r="A977" s="10" t="str">
        <f>IF('All Cases - Enter Cases'!$F977="Sindh",'All Cases - Enter Cases'!A977,"")</f>
        <v/>
      </c>
      <c r="B977" t="str">
        <f>IF($A977&lt;&gt;"",'All Cases - Enter Cases'!B977,"")</f>
        <v/>
      </c>
      <c r="C977" t="str">
        <f>IF($A977&lt;&gt;"",'All Cases - Enter Cases'!C977,"")</f>
        <v/>
      </c>
      <c r="D977" t="str">
        <f>IF($A977&lt;&gt;"",'All Cases - Enter Cases'!D977,"")</f>
        <v/>
      </c>
      <c r="E977" t="str">
        <f>IF($A977&lt;&gt;"",'All Cases - Enter Cases'!E977,"")</f>
        <v/>
      </c>
      <c r="F977" t="str">
        <f>IF($A977&lt;&gt;"",'All Cases - Enter Cases'!F977,"")</f>
        <v/>
      </c>
      <c r="G977" t="str">
        <f>IF($A977&lt;&gt;"",'All Cases - Enter Cases'!G977,"")</f>
        <v/>
      </c>
      <c r="H977" t="str">
        <f>IF($A977&lt;&gt;"",'All Cases - Enter Cases'!H977,"")</f>
        <v/>
      </c>
      <c r="I977" t="str">
        <f>IF($A977&lt;&gt;"",'All Cases - Enter Cases'!I977,"")</f>
        <v/>
      </c>
      <c r="J977" t="str">
        <f>IF($A977&lt;&gt;"",'All Cases - Enter Cases'!J977,"")</f>
        <v/>
      </c>
      <c r="K977" s="4" t="str">
        <f>IF($A977&lt;&gt;"",'All Cases - Enter Cases'!K977,"")</f>
        <v/>
      </c>
      <c r="L977" t="str">
        <f>IF($A977&lt;&gt;"",'All Cases - Enter Cases'!L977,"")</f>
        <v/>
      </c>
      <c r="M977" t="str">
        <f>IF($A977&lt;&gt;"",'All Cases - Enter Cases'!M977,"")</f>
        <v/>
      </c>
    </row>
    <row r="978" spans="1:13" x14ac:dyDescent="0.35">
      <c r="A978" s="10" t="str">
        <f>IF('All Cases - Enter Cases'!$F978="Sindh",'All Cases - Enter Cases'!A978,"")</f>
        <v/>
      </c>
      <c r="B978" t="str">
        <f>IF($A978&lt;&gt;"",'All Cases - Enter Cases'!B978,"")</f>
        <v/>
      </c>
      <c r="C978" t="str">
        <f>IF($A978&lt;&gt;"",'All Cases - Enter Cases'!C978,"")</f>
        <v/>
      </c>
      <c r="D978" t="str">
        <f>IF($A978&lt;&gt;"",'All Cases - Enter Cases'!D978,"")</f>
        <v/>
      </c>
      <c r="E978" t="str">
        <f>IF($A978&lt;&gt;"",'All Cases - Enter Cases'!E978,"")</f>
        <v/>
      </c>
      <c r="F978" t="str">
        <f>IF($A978&lt;&gt;"",'All Cases - Enter Cases'!F978,"")</f>
        <v/>
      </c>
      <c r="G978" t="str">
        <f>IF($A978&lt;&gt;"",'All Cases - Enter Cases'!G978,"")</f>
        <v/>
      </c>
      <c r="H978" t="str">
        <f>IF($A978&lt;&gt;"",'All Cases - Enter Cases'!H978,"")</f>
        <v/>
      </c>
      <c r="I978" t="str">
        <f>IF($A978&lt;&gt;"",'All Cases - Enter Cases'!I978,"")</f>
        <v/>
      </c>
      <c r="J978" t="str">
        <f>IF($A978&lt;&gt;"",'All Cases - Enter Cases'!J978,"")</f>
        <v/>
      </c>
      <c r="K978" s="4" t="str">
        <f>IF($A978&lt;&gt;"",'All Cases - Enter Cases'!K978,"")</f>
        <v/>
      </c>
      <c r="L978" t="str">
        <f>IF($A978&lt;&gt;"",'All Cases - Enter Cases'!L978,"")</f>
        <v/>
      </c>
      <c r="M978" t="str">
        <f>IF($A978&lt;&gt;"",'All Cases - Enter Cases'!M978,"")</f>
        <v/>
      </c>
    </row>
    <row r="979" spans="1:13" x14ac:dyDescent="0.35">
      <c r="A979" s="10" t="str">
        <f>IF('All Cases - Enter Cases'!$F979="Sindh",'All Cases - Enter Cases'!A979,"")</f>
        <v/>
      </c>
      <c r="B979" t="str">
        <f>IF($A979&lt;&gt;"",'All Cases - Enter Cases'!B979,"")</f>
        <v/>
      </c>
      <c r="C979" t="str">
        <f>IF($A979&lt;&gt;"",'All Cases - Enter Cases'!C979,"")</f>
        <v/>
      </c>
      <c r="D979" t="str">
        <f>IF($A979&lt;&gt;"",'All Cases - Enter Cases'!D979,"")</f>
        <v/>
      </c>
      <c r="E979" t="str">
        <f>IF($A979&lt;&gt;"",'All Cases - Enter Cases'!E979,"")</f>
        <v/>
      </c>
      <c r="F979" t="str">
        <f>IF($A979&lt;&gt;"",'All Cases - Enter Cases'!F979,"")</f>
        <v/>
      </c>
      <c r="G979" t="str">
        <f>IF($A979&lt;&gt;"",'All Cases - Enter Cases'!G979,"")</f>
        <v/>
      </c>
      <c r="H979" t="str">
        <f>IF($A979&lt;&gt;"",'All Cases - Enter Cases'!H979,"")</f>
        <v/>
      </c>
      <c r="I979" t="str">
        <f>IF($A979&lt;&gt;"",'All Cases - Enter Cases'!I979,"")</f>
        <v/>
      </c>
      <c r="J979" t="str">
        <f>IF($A979&lt;&gt;"",'All Cases - Enter Cases'!J979,"")</f>
        <v/>
      </c>
      <c r="K979" s="4" t="str">
        <f>IF($A979&lt;&gt;"",'All Cases - Enter Cases'!K979,"")</f>
        <v/>
      </c>
      <c r="L979" t="str">
        <f>IF($A979&lt;&gt;"",'All Cases - Enter Cases'!L979,"")</f>
        <v/>
      </c>
      <c r="M979" t="str">
        <f>IF($A979&lt;&gt;"",'All Cases - Enter Cases'!M979,"")</f>
        <v/>
      </c>
    </row>
    <row r="980" spans="1:13" x14ac:dyDescent="0.35">
      <c r="A980" s="10" t="str">
        <f>IF('All Cases - Enter Cases'!$F980="Sindh",'All Cases - Enter Cases'!A980,"")</f>
        <v/>
      </c>
      <c r="B980" t="str">
        <f>IF($A980&lt;&gt;"",'All Cases - Enter Cases'!B980,"")</f>
        <v/>
      </c>
      <c r="C980" t="str">
        <f>IF($A980&lt;&gt;"",'All Cases - Enter Cases'!C980,"")</f>
        <v/>
      </c>
      <c r="D980" t="str">
        <f>IF($A980&lt;&gt;"",'All Cases - Enter Cases'!D980,"")</f>
        <v/>
      </c>
      <c r="E980" t="str">
        <f>IF($A980&lt;&gt;"",'All Cases - Enter Cases'!E980,"")</f>
        <v/>
      </c>
      <c r="F980" t="str">
        <f>IF($A980&lt;&gt;"",'All Cases - Enter Cases'!F980,"")</f>
        <v/>
      </c>
      <c r="G980" t="str">
        <f>IF($A980&lt;&gt;"",'All Cases - Enter Cases'!G980,"")</f>
        <v/>
      </c>
      <c r="H980" t="str">
        <f>IF($A980&lt;&gt;"",'All Cases - Enter Cases'!H980,"")</f>
        <v/>
      </c>
      <c r="I980" t="str">
        <f>IF($A980&lt;&gt;"",'All Cases - Enter Cases'!I980,"")</f>
        <v/>
      </c>
      <c r="J980" t="str">
        <f>IF($A980&lt;&gt;"",'All Cases - Enter Cases'!J980,"")</f>
        <v/>
      </c>
      <c r="K980" s="4" t="str">
        <f>IF($A980&lt;&gt;"",'All Cases - Enter Cases'!K980,"")</f>
        <v/>
      </c>
      <c r="L980" t="str">
        <f>IF($A980&lt;&gt;"",'All Cases - Enter Cases'!L980,"")</f>
        <v/>
      </c>
      <c r="M980" t="str">
        <f>IF($A980&lt;&gt;"",'All Cases - Enter Cases'!M980,"")</f>
        <v/>
      </c>
    </row>
    <row r="981" spans="1:13" x14ac:dyDescent="0.35">
      <c r="A981" s="10" t="str">
        <f>IF('All Cases - Enter Cases'!$F981="Sindh",'All Cases - Enter Cases'!A981,"")</f>
        <v/>
      </c>
      <c r="B981" t="str">
        <f>IF($A981&lt;&gt;"",'All Cases - Enter Cases'!B981,"")</f>
        <v/>
      </c>
      <c r="C981" t="str">
        <f>IF($A981&lt;&gt;"",'All Cases - Enter Cases'!C981,"")</f>
        <v/>
      </c>
      <c r="D981" t="str">
        <f>IF($A981&lt;&gt;"",'All Cases - Enter Cases'!D981,"")</f>
        <v/>
      </c>
      <c r="E981" t="str">
        <f>IF($A981&lt;&gt;"",'All Cases - Enter Cases'!E981,"")</f>
        <v/>
      </c>
      <c r="F981" t="str">
        <f>IF($A981&lt;&gt;"",'All Cases - Enter Cases'!F981,"")</f>
        <v/>
      </c>
      <c r="G981" t="str">
        <f>IF($A981&lt;&gt;"",'All Cases - Enter Cases'!G981,"")</f>
        <v/>
      </c>
      <c r="H981" t="str">
        <f>IF($A981&lt;&gt;"",'All Cases - Enter Cases'!H981,"")</f>
        <v/>
      </c>
      <c r="I981" t="str">
        <f>IF($A981&lt;&gt;"",'All Cases - Enter Cases'!I981,"")</f>
        <v/>
      </c>
      <c r="J981" t="str">
        <f>IF($A981&lt;&gt;"",'All Cases - Enter Cases'!J981,"")</f>
        <v/>
      </c>
      <c r="K981" s="4" t="str">
        <f>IF($A981&lt;&gt;"",'All Cases - Enter Cases'!K981,"")</f>
        <v/>
      </c>
      <c r="L981" t="str">
        <f>IF($A981&lt;&gt;"",'All Cases - Enter Cases'!L981,"")</f>
        <v/>
      </c>
      <c r="M981" t="str">
        <f>IF($A981&lt;&gt;"",'All Cases - Enter Cases'!M981,"")</f>
        <v/>
      </c>
    </row>
    <row r="982" spans="1:13" x14ac:dyDescent="0.35">
      <c r="A982" s="10" t="str">
        <f>IF('All Cases - Enter Cases'!$F982="Sindh",'All Cases - Enter Cases'!A982,"")</f>
        <v/>
      </c>
      <c r="B982" t="str">
        <f>IF($A982&lt;&gt;"",'All Cases - Enter Cases'!B982,"")</f>
        <v/>
      </c>
      <c r="C982" t="str">
        <f>IF($A982&lt;&gt;"",'All Cases - Enter Cases'!C982,"")</f>
        <v/>
      </c>
      <c r="D982" t="str">
        <f>IF($A982&lt;&gt;"",'All Cases - Enter Cases'!D982,"")</f>
        <v/>
      </c>
      <c r="E982" t="str">
        <f>IF($A982&lt;&gt;"",'All Cases - Enter Cases'!E982,"")</f>
        <v/>
      </c>
      <c r="F982" t="str">
        <f>IF($A982&lt;&gt;"",'All Cases - Enter Cases'!F982,"")</f>
        <v/>
      </c>
      <c r="G982" t="str">
        <f>IF($A982&lt;&gt;"",'All Cases - Enter Cases'!G982,"")</f>
        <v/>
      </c>
      <c r="H982" t="str">
        <f>IF($A982&lt;&gt;"",'All Cases - Enter Cases'!H982,"")</f>
        <v/>
      </c>
      <c r="I982" t="str">
        <f>IF($A982&lt;&gt;"",'All Cases - Enter Cases'!I982,"")</f>
        <v/>
      </c>
      <c r="J982" t="str">
        <f>IF($A982&lt;&gt;"",'All Cases - Enter Cases'!J982,"")</f>
        <v/>
      </c>
      <c r="K982" s="4" t="str">
        <f>IF($A982&lt;&gt;"",'All Cases - Enter Cases'!K982,"")</f>
        <v/>
      </c>
      <c r="L982" t="str">
        <f>IF($A982&lt;&gt;"",'All Cases - Enter Cases'!L982,"")</f>
        <v/>
      </c>
      <c r="M982" t="str">
        <f>IF($A982&lt;&gt;"",'All Cases - Enter Cases'!M982,"")</f>
        <v/>
      </c>
    </row>
    <row r="983" spans="1:13" x14ac:dyDescent="0.35">
      <c r="A983" s="10" t="str">
        <f>IF('All Cases - Enter Cases'!$F983="Sindh",'All Cases - Enter Cases'!A983,"")</f>
        <v/>
      </c>
      <c r="B983" t="str">
        <f>IF($A983&lt;&gt;"",'All Cases - Enter Cases'!B983,"")</f>
        <v/>
      </c>
      <c r="C983" t="str">
        <f>IF($A983&lt;&gt;"",'All Cases - Enter Cases'!C983,"")</f>
        <v/>
      </c>
      <c r="D983" t="str">
        <f>IF($A983&lt;&gt;"",'All Cases - Enter Cases'!D983,"")</f>
        <v/>
      </c>
      <c r="E983" t="str">
        <f>IF($A983&lt;&gt;"",'All Cases - Enter Cases'!E983,"")</f>
        <v/>
      </c>
      <c r="F983" t="str">
        <f>IF($A983&lt;&gt;"",'All Cases - Enter Cases'!F983,"")</f>
        <v/>
      </c>
      <c r="G983" t="str">
        <f>IF($A983&lt;&gt;"",'All Cases - Enter Cases'!G983,"")</f>
        <v/>
      </c>
      <c r="H983" t="str">
        <f>IF($A983&lt;&gt;"",'All Cases - Enter Cases'!H983,"")</f>
        <v/>
      </c>
      <c r="I983" t="str">
        <f>IF($A983&lt;&gt;"",'All Cases - Enter Cases'!I983,"")</f>
        <v/>
      </c>
      <c r="J983" t="str">
        <f>IF($A983&lt;&gt;"",'All Cases - Enter Cases'!J983,"")</f>
        <v/>
      </c>
      <c r="K983" s="4" t="str">
        <f>IF($A983&lt;&gt;"",'All Cases - Enter Cases'!K983,"")</f>
        <v/>
      </c>
      <c r="L983" t="str">
        <f>IF($A983&lt;&gt;"",'All Cases - Enter Cases'!L983,"")</f>
        <v/>
      </c>
      <c r="M983" t="str">
        <f>IF($A983&lt;&gt;"",'All Cases - Enter Cases'!M983,"")</f>
        <v/>
      </c>
    </row>
    <row r="984" spans="1:13" x14ac:dyDescent="0.35">
      <c r="A984" s="10" t="str">
        <f>IF('All Cases - Enter Cases'!$F984="Sindh",'All Cases - Enter Cases'!A984,"")</f>
        <v/>
      </c>
      <c r="B984" t="str">
        <f>IF($A984&lt;&gt;"",'All Cases - Enter Cases'!B984,"")</f>
        <v/>
      </c>
      <c r="C984" t="str">
        <f>IF($A984&lt;&gt;"",'All Cases - Enter Cases'!C984,"")</f>
        <v/>
      </c>
      <c r="D984" t="str">
        <f>IF($A984&lt;&gt;"",'All Cases - Enter Cases'!D984,"")</f>
        <v/>
      </c>
      <c r="E984" t="str">
        <f>IF($A984&lt;&gt;"",'All Cases - Enter Cases'!E984,"")</f>
        <v/>
      </c>
      <c r="F984" t="str">
        <f>IF($A984&lt;&gt;"",'All Cases - Enter Cases'!F984,"")</f>
        <v/>
      </c>
      <c r="G984" t="str">
        <f>IF($A984&lt;&gt;"",'All Cases - Enter Cases'!G984,"")</f>
        <v/>
      </c>
      <c r="H984" t="str">
        <f>IF($A984&lt;&gt;"",'All Cases - Enter Cases'!H984,"")</f>
        <v/>
      </c>
      <c r="I984" t="str">
        <f>IF($A984&lt;&gt;"",'All Cases - Enter Cases'!I984,"")</f>
        <v/>
      </c>
      <c r="J984" t="str">
        <f>IF($A984&lt;&gt;"",'All Cases - Enter Cases'!J984,"")</f>
        <v/>
      </c>
      <c r="K984" s="4" t="str">
        <f>IF($A984&lt;&gt;"",'All Cases - Enter Cases'!K984,"")</f>
        <v/>
      </c>
      <c r="L984" t="str">
        <f>IF($A984&lt;&gt;"",'All Cases - Enter Cases'!L984,"")</f>
        <v/>
      </c>
      <c r="M984" t="str">
        <f>IF($A984&lt;&gt;"",'All Cases - Enter Cases'!M984,"")</f>
        <v/>
      </c>
    </row>
    <row r="985" spans="1:13" x14ac:dyDescent="0.35">
      <c r="A985" s="10" t="str">
        <f>IF('All Cases - Enter Cases'!$F985="Sindh",'All Cases - Enter Cases'!A985,"")</f>
        <v/>
      </c>
      <c r="B985" t="str">
        <f>IF($A985&lt;&gt;"",'All Cases - Enter Cases'!B985,"")</f>
        <v/>
      </c>
      <c r="C985" t="str">
        <f>IF($A985&lt;&gt;"",'All Cases - Enter Cases'!C985,"")</f>
        <v/>
      </c>
      <c r="D985" t="str">
        <f>IF($A985&lt;&gt;"",'All Cases - Enter Cases'!D985,"")</f>
        <v/>
      </c>
      <c r="E985" t="str">
        <f>IF($A985&lt;&gt;"",'All Cases - Enter Cases'!E985,"")</f>
        <v/>
      </c>
      <c r="F985" t="str">
        <f>IF($A985&lt;&gt;"",'All Cases - Enter Cases'!F985,"")</f>
        <v/>
      </c>
      <c r="G985" t="str">
        <f>IF($A985&lt;&gt;"",'All Cases - Enter Cases'!G985,"")</f>
        <v/>
      </c>
      <c r="H985" t="str">
        <f>IF($A985&lt;&gt;"",'All Cases - Enter Cases'!H985,"")</f>
        <v/>
      </c>
      <c r="I985" t="str">
        <f>IF($A985&lt;&gt;"",'All Cases - Enter Cases'!I985,"")</f>
        <v/>
      </c>
      <c r="J985" t="str">
        <f>IF($A985&lt;&gt;"",'All Cases - Enter Cases'!J985,"")</f>
        <v/>
      </c>
      <c r="K985" s="4" t="str">
        <f>IF($A985&lt;&gt;"",'All Cases - Enter Cases'!K985,"")</f>
        <v/>
      </c>
      <c r="L985" t="str">
        <f>IF($A985&lt;&gt;"",'All Cases - Enter Cases'!L985,"")</f>
        <v/>
      </c>
      <c r="M985" t="str">
        <f>IF($A985&lt;&gt;"",'All Cases - Enter Cases'!M985,"")</f>
        <v/>
      </c>
    </row>
    <row r="986" spans="1:13" x14ac:dyDescent="0.35">
      <c r="A986" s="10" t="str">
        <f>IF('All Cases - Enter Cases'!$F986="Sindh",'All Cases - Enter Cases'!A986,"")</f>
        <v/>
      </c>
      <c r="B986" t="str">
        <f>IF($A986&lt;&gt;"",'All Cases - Enter Cases'!B986,"")</f>
        <v/>
      </c>
      <c r="C986" t="str">
        <f>IF($A986&lt;&gt;"",'All Cases - Enter Cases'!C986,"")</f>
        <v/>
      </c>
      <c r="D986" t="str">
        <f>IF($A986&lt;&gt;"",'All Cases - Enter Cases'!D986,"")</f>
        <v/>
      </c>
      <c r="E986" t="str">
        <f>IF($A986&lt;&gt;"",'All Cases - Enter Cases'!E986,"")</f>
        <v/>
      </c>
      <c r="F986" t="str">
        <f>IF($A986&lt;&gt;"",'All Cases - Enter Cases'!F986,"")</f>
        <v/>
      </c>
      <c r="G986" t="str">
        <f>IF($A986&lt;&gt;"",'All Cases - Enter Cases'!G986,"")</f>
        <v/>
      </c>
      <c r="H986" t="str">
        <f>IF($A986&lt;&gt;"",'All Cases - Enter Cases'!H986,"")</f>
        <v/>
      </c>
      <c r="I986" t="str">
        <f>IF($A986&lt;&gt;"",'All Cases - Enter Cases'!I986,"")</f>
        <v/>
      </c>
      <c r="J986" t="str">
        <f>IF($A986&lt;&gt;"",'All Cases - Enter Cases'!J986,"")</f>
        <v/>
      </c>
      <c r="K986" s="4" t="str">
        <f>IF($A986&lt;&gt;"",'All Cases - Enter Cases'!K986,"")</f>
        <v/>
      </c>
      <c r="L986" t="str">
        <f>IF($A986&lt;&gt;"",'All Cases - Enter Cases'!L986,"")</f>
        <v/>
      </c>
      <c r="M986" t="str">
        <f>IF($A986&lt;&gt;"",'All Cases - Enter Cases'!M986,"")</f>
        <v/>
      </c>
    </row>
    <row r="987" spans="1:13" x14ac:dyDescent="0.35">
      <c r="A987" s="10" t="str">
        <f>IF('All Cases - Enter Cases'!$F987="Sindh",'All Cases - Enter Cases'!A987,"")</f>
        <v/>
      </c>
      <c r="B987" t="str">
        <f>IF($A987&lt;&gt;"",'All Cases - Enter Cases'!B987,"")</f>
        <v/>
      </c>
      <c r="C987" t="str">
        <f>IF($A987&lt;&gt;"",'All Cases - Enter Cases'!C987,"")</f>
        <v/>
      </c>
      <c r="D987" t="str">
        <f>IF($A987&lt;&gt;"",'All Cases - Enter Cases'!D987,"")</f>
        <v/>
      </c>
      <c r="E987" t="str">
        <f>IF($A987&lt;&gt;"",'All Cases - Enter Cases'!E987,"")</f>
        <v/>
      </c>
      <c r="F987" t="str">
        <f>IF($A987&lt;&gt;"",'All Cases - Enter Cases'!F987,"")</f>
        <v/>
      </c>
      <c r="G987" t="str">
        <f>IF($A987&lt;&gt;"",'All Cases - Enter Cases'!G987,"")</f>
        <v/>
      </c>
      <c r="H987" t="str">
        <f>IF($A987&lt;&gt;"",'All Cases - Enter Cases'!H987,"")</f>
        <v/>
      </c>
      <c r="I987" t="str">
        <f>IF($A987&lt;&gt;"",'All Cases - Enter Cases'!I987,"")</f>
        <v/>
      </c>
      <c r="J987" t="str">
        <f>IF($A987&lt;&gt;"",'All Cases - Enter Cases'!J987,"")</f>
        <v/>
      </c>
      <c r="K987" s="4" t="str">
        <f>IF($A987&lt;&gt;"",'All Cases - Enter Cases'!K987,"")</f>
        <v/>
      </c>
      <c r="L987" t="str">
        <f>IF($A987&lt;&gt;"",'All Cases - Enter Cases'!L987,"")</f>
        <v/>
      </c>
      <c r="M987" t="str">
        <f>IF($A987&lt;&gt;"",'All Cases - Enter Cases'!M987,"")</f>
        <v/>
      </c>
    </row>
    <row r="988" spans="1:13" x14ac:dyDescent="0.35">
      <c r="A988" s="10" t="str">
        <f>IF('All Cases - Enter Cases'!$F988="Sindh",'All Cases - Enter Cases'!A988,"")</f>
        <v/>
      </c>
      <c r="B988" t="str">
        <f>IF($A988&lt;&gt;"",'All Cases - Enter Cases'!B988,"")</f>
        <v/>
      </c>
      <c r="C988" t="str">
        <f>IF($A988&lt;&gt;"",'All Cases - Enter Cases'!C988,"")</f>
        <v/>
      </c>
      <c r="D988" t="str">
        <f>IF($A988&lt;&gt;"",'All Cases - Enter Cases'!D988,"")</f>
        <v/>
      </c>
      <c r="E988" t="str">
        <f>IF($A988&lt;&gt;"",'All Cases - Enter Cases'!E988,"")</f>
        <v/>
      </c>
      <c r="F988" t="str">
        <f>IF($A988&lt;&gt;"",'All Cases - Enter Cases'!F988,"")</f>
        <v/>
      </c>
      <c r="G988" t="str">
        <f>IF($A988&lt;&gt;"",'All Cases - Enter Cases'!G988,"")</f>
        <v/>
      </c>
      <c r="H988" t="str">
        <f>IF($A988&lt;&gt;"",'All Cases - Enter Cases'!H988,"")</f>
        <v/>
      </c>
      <c r="I988" t="str">
        <f>IF($A988&lt;&gt;"",'All Cases - Enter Cases'!I988,"")</f>
        <v/>
      </c>
      <c r="J988" t="str">
        <f>IF($A988&lt;&gt;"",'All Cases - Enter Cases'!J988,"")</f>
        <v/>
      </c>
      <c r="K988" s="4" t="str">
        <f>IF($A988&lt;&gt;"",'All Cases - Enter Cases'!K988,"")</f>
        <v/>
      </c>
      <c r="L988" t="str">
        <f>IF($A988&lt;&gt;"",'All Cases - Enter Cases'!L988,"")</f>
        <v/>
      </c>
      <c r="M988" t="str">
        <f>IF($A988&lt;&gt;"",'All Cases - Enter Cases'!M988,"")</f>
        <v/>
      </c>
    </row>
    <row r="989" spans="1:13" x14ac:dyDescent="0.35">
      <c r="A989" s="10" t="str">
        <f>IF('All Cases - Enter Cases'!$F989="Sindh",'All Cases - Enter Cases'!A989,"")</f>
        <v/>
      </c>
      <c r="B989" t="str">
        <f>IF($A989&lt;&gt;"",'All Cases - Enter Cases'!B989,"")</f>
        <v/>
      </c>
      <c r="C989" t="str">
        <f>IF($A989&lt;&gt;"",'All Cases - Enter Cases'!C989,"")</f>
        <v/>
      </c>
      <c r="D989" t="str">
        <f>IF($A989&lt;&gt;"",'All Cases - Enter Cases'!D989,"")</f>
        <v/>
      </c>
      <c r="E989" t="str">
        <f>IF($A989&lt;&gt;"",'All Cases - Enter Cases'!E989,"")</f>
        <v/>
      </c>
      <c r="F989" t="str">
        <f>IF($A989&lt;&gt;"",'All Cases - Enter Cases'!F989,"")</f>
        <v/>
      </c>
      <c r="G989" t="str">
        <f>IF($A989&lt;&gt;"",'All Cases - Enter Cases'!G989,"")</f>
        <v/>
      </c>
      <c r="H989" t="str">
        <f>IF($A989&lt;&gt;"",'All Cases - Enter Cases'!H989,"")</f>
        <v/>
      </c>
      <c r="I989" t="str">
        <f>IF($A989&lt;&gt;"",'All Cases - Enter Cases'!I989,"")</f>
        <v/>
      </c>
      <c r="J989" t="str">
        <f>IF($A989&lt;&gt;"",'All Cases - Enter Cases'!J989,"")</f>
        <v/>
      </c>
      <c r="K989" s="4" t="str">
        <f>IF($A989&lt;&gt;"",'All Cases - Enter Cases'!K989,"")</f>
        <v/>
      </c>
      <c r="L989" t="str">
        <f>IF($A989&lt;&gt;"",'All Cases - Enter Cases'!L989,"")</f>
        <v/>
      </c>
      <c r="M989" t="str">
        <f>IF($A989&lt;&gt;"",'All Cases - Enter Cases'!M989,"")</f>
        <v/>
      </c>
    </row>
    <row r="990" spans="1:13" x14ac:dyDescent="0.35">
      <c r="A990" s="10" t="str">
        <f>IF('All Cases - Enter Cases'!$F990="Sindh",'All Cases - Enter Cases'!A990,"")</f>
        <v/>
      </c>
      <c r="B990" t="str">
        <f>IF($A990&lt;&gt;"",'All Cases - Enter Cases'!B990,"")</f>
        <v/>
      </c>
      <c r="C990" t="str">
        <f>IF($A990&lt;&gt;"",'All Cases - Enter Cases'!C990,"")</f>
        <v/>
      </c>
      <c r="D990" t="str">
        <f>IF($A990&lt;&gt;"",'All Cases - Enter Cases'!D990,"")</f>
        <v/>
      </c>
      <c r="E990" t="str">
        <f>IF($A990&lt;&gt;"",'All Cases - Enter Cases'!E990,"")</f>
        <v/>
      </c>
      <c r="F990" t="str">
        <f>IF($A990&lt;&gt;"",'All Cases - Enter Cases'!F990,"")</f>
        <v/>
      </c>
      <c r="G990" t="str">
        <f>IF($A990&lt;&gt;"",'All Cases - Enter Cases'!G990,"")</f>
        <v/>
      </c>
      <c r="H990" t="str">
        <f>IF($A990&lt;&gt;"",'All Cases - Enter Cases'!H990,"")</f>
        <v/>
      </c>
      <c r="I990" t="str">
        <f>IF($A990&lt;&gt;"",'All Cases - Enter Cases'!I990,"")</f>
        <v/>
      </c>
      <c r="J990" t="str">
        <f>IF($A990&lt;&gt;"",'All Cases - Enter Cases'!J990,"")</f>
        <v/>
      </c>
      <c r="K990" s="4" t="str">
        <f>IF($A990&lt;&gt;"",'All Cases - Enter Cases'!K990,"")</f>
        <v/>
      </c>
      <c r="L990" t="str">
        <f>IF($A990&lt;&gt;"",'All Cases - Enter Cases'!L990,"")</f>
        <v/>
      </c>
      <c r="M990" t="str">
        <f>IF($A990&lt;&gt;"",'All Cases - Enter Cases'!M990,"")</f>
        <v/>
      </c>
    </row>
    <row r="991" spans="1:13" x14ac:dyDescent="0.35">
      <c r="A991" s="10" t="str">
        <f>IF('All Cases - Enter Cases'!$F991="Sindh",'All Cases - Enter Cases'!A991,"")</f>
        <v/>
      </c>
      <c r="B991" t="str">
        <f>IF($A991&lt;&gt;"",'All Cases - Enter Cases'!B991,"")</f>
        <v/>
      </c>
      <c r="C991" t="str">
        <f>IF($A991&lt;&gt;"",'All Cases - Enter Cases'!C991,"")</f>
        <v/>
      </c>
      <c r="D991" t="str">
        <f>IF($A991&lt;&gt;"",'All Cases - Enter Cases'!D991,"")</f>
        <v/>
      </c>
      <c r="E991" t="str">
        <f>IF($A991&lt;&gt;"",'All Cases - Enter Cases'!E991,"")</f>
        <v/>
      </c>
      <c r="F991" t="str">
        <f>IF($A991&lt;&gt;"",'All Cases - Enter Cases'!F991,"")</f>
        <v/>
      </c>
      <c r="G991" t="str">
        <f>IF($A991&lt;&gt;"",'All Cases - Enter Cases'!G991,"")</f>
        <v/>
      </c>
      <c r="H991" t="str">
        <f>IF($A991&lt;&gt;"",'All Cases - Enter Cases'!H991,"")</f>
        <v/>
      </c>
      <c r="I991" t="str">
        <f>IF($A991&lt;&gt;"",'All Cases - Enter Cases'!I991,"")</f>
        <v/>
      </c>
      <c r="J991" t="str">
        <f>IF($A991&lt;&gt;"",'All Cases - Enter Cases'!J991,"")</f>
        <v/>
      </c>
      <c r="K991" s="4" t="str">
        <f>IF($A991&lt;&gt;"",'All Cases - Enter Cases'!K991,"")</f>
        <v/>
      </c>
      <c r="L991" t="str">
        <f>IF($A991&lt;&gt;"",'All Cases - Enter Cases'!L991,"")</f>
        <v/>
      </c>
      <c r="M991" t="str">
        <f>IF($A991&lt;&gt;"",'All Cases - Enter Cases'!M991,"")</f>
        <v/>
      </c>
    </row>
    <row r="992" spans="1:13" x14ac:dyDescent="0.35">
      <c r="A992" s="10" t="str">
        <f>IF('All Cases - Enter Cases'!$F992="Sindh",'All Cases - Enter Cases'!A992,"")</f>
        <v/>
      </c>
      <c r="B992" t="str">
        <f>IF($A992&lt;&gt;"",'All Cases - Enter Cases'!B992,"")</f>
        <v/>
      </c>
      <c r="C992" t="str">
        <f>IF($A992&lt;&gt;"",'All Cases - Enter Cases'!C992,"")</f>
        <v/>
      </c>
      <c r="D992" t="str">
        <f>IF($A992&lt;&gt;"",'All Cases - Enter Cases'!D992,"")</f>
        <v/>
      </c>
      <c r="E992" t="str">
        <f>IF($A992&lt;&gt;"",'All Cases - Enter Cases'!E992,"")</f>
        <v/>
      </c>
      <c r="F992" t="str">
        <f>IF($A992&lt;&gt;"",'All Cases - Enter Cases'!F992,"")</f>
        <v/>
      </c>
      <c r="G992" t="str">
        <f>IF($A992&lt;&gt;"",'All Cases - Enter Cases'!G992,"")</f>
        <v/>
      </c>
      <c r="H992" t="str">
        <f>IF($A992&lt;&gt;"",'All Cases - Enter Cases'!H992,"")</f>
        <v/>
      </c>
      <c r="I992" t="str">
        <f>IF($A992&lt;&gt;"",'All Cases - Enter Cases'!I992,"")</f>
        <v/>
      </c>
      <c r="J992" t="str">
        <f>IF($A992&lt;&gt;"",'All Cases - Enter Cases'!J992,"")</f>
        <v/>
      </c>
      <c r="K992" s="4" t="str">
        <f>IF($A992&lt;&gt;"",'All Cases - Enter Cases'!K992,"")</f>
        <v/>
      </c>
      <c r="L992" t="str">
        <f>IF($A992&lt;&gt;"",'All Cases - Enter Cases'!L992,"")</f>
        <v/>
      </c>
      <c r="M992" t="str">
        <f>IF($A992&lt;&gt;"",'All Cases - Enter Cases'!M992,"")</f>
        <v/>
      </c>
    </row>
    <row r="993" spans="1:13" x14ac:dyDescent="0.35">
      <c r="A993" s="10" t="str">
        <f>IF('All Cases - Enter Cases'!$F993="Sindh",'All Cases - Enter Cases'!A993,"")</f>
        <v/>
      </c>
      <c r="B993" t="str">
        <f>IF($A993&lt;&gt;"",'All Cases - Enter Cases'!B993,"")</f>
        <v/>
      </c>
      <c r="C993" t="str">
        <f>IF($A993&lt;&gt;"",'All Cases - Enter Cases'!C993,"")</f>
        <v/>
      </c>
      <c r="D993" t="str">
        <f>IF($A993&lt;&gt;"",'All Cases - Enter Cases'!D993,"")</f>
        <v/>
      </c>
      <c r="E993" t="str">
        <f>IF($A993&lt;&gt;"",'All Cases - Enter Cases'!E993,"")</f>
        <v/>
      </c>
      <c r="F993" t="str">
        <f>IF($A993&lt;&gt;"",'All Cases - Enter Cases'!F993,"")</f>
        <v/>
      </c>
      <c r="G993" t="str">
        <f>IF($A993&lt;&gt;"",'All Cases - Enter Cases'!G993,"")</f>
        <v/>
      </c>
      <c r="H993" t="str">
        <f>IF($A993&lt;&gt;"",'All Cases - Enter Cases'!H993,"")</f>
        <v/>
      </c>
      <c r="I993" t="str">
        <f>IF($A993&lt;&gt;"",'All Cases - Enter Cases'!I993,"")</f>
        <v/>
      </c>
      <c r="J993" t="str">
        <f>IF($A993&lt;&gt;"",'All Cases - Enter Cases'!J993,"")</f>
        <v/>
      </c>
      <c r="K993" s="4" t="str">
        <f>IF($A993&lt;&gt;"",'All Cases - Enter Cases'!K993,"")</f>
        <v/>
      </c>
      <c r="L993" t="str">
        <f>IF($A993&lt;&gt;"",'All Cases - Enter Cases'!L993,"")</f>
        <v/>
      </c>
      <c r="M993" t="str">
        <f>IF($A993&lt;&gt;"",'All Cases - Enter Cases'!M993,"")</f>
        <v/>
      </c>
    </row>
    <row r="994" spans="1:13" x14ac:dyDescent="0.35">
      <c r="A994" s="10" t="str">
        <f>IF('All Cases - Enter Cases'!$F994="Sindh",'All Cases - Enter Cases'!A994,"")</f>
        <v/>
      </c>
      <c r="B994" t="str">
        <f>IF($A994&lt;&gt;"",'All Cases - Enter Cases'!B994,"")</f>
        <v/>
      </c>
      <c r="C994" t="str">
        <f>IF($A994&lt;&gt;"",'All Cases - Enter Cases'!C994,"")</f>
        <v/>
      </c>
      <c r="D994" t="str">
        <f>IF($A994&lt;&gt;"",'All Cases - Enter Cases'!D994,"")</f>
        <v/>
      </c>
      <c r="E994" t="str">
        <f>IF($A994&lt;&gt;"",'All Cases - Enter Cases'!E994,"")</f>
        <v/>
      </c>
      <c r="F994" t="str">
        <f>IF($A994&lt;&gt;"",'All Cases - Enter Cases'!F994,"")</f>
        <v/>
      </c>
      <c r="G994" t="str">
        <f>IF($A994&lt;&gt;"",'All Cases - Enter Cases'!G994,"")</f>
        <v/>
      </c>
      <c r="H994" t="str">
        <f>IF($A994&lt;&gt;"",'All Cases - Enter Cases'!H994,"")</f>
        <v/>
      </c>
      <c r="I994" t="str">
        <f>IF($A994&lt;&gt;"",'All Cases - Enter Cases'!I994,"")</f>
        <v/>
      </c>
      <c r="J994" t="str">
        <f>IF($A994&lt;&gt;"",'All Cases - Enter Cases'!J994,"")</f>
        <v/>
      </c>
      <c r="K994" s="4" t="str">
        <f>IF($A994&lt;&gt;"",'All Cases - Enter Cases'!K994,"")</f>
        <v/>
      </c>
      <c r="L994" t="str">
        <f>IF($A994&lt;&gt;"",'All Cases - Enter Cases'!L994,"")</f>
        <v/>
      </c>
      <c r="M994" t="str">
        <f>IF($A994&lt;&gt;"",'All Cases - Enter Cases'!M994,"")</f>
        <v/>
      </c>
    </row>
    <row r="995" spans="1:13" x14ac:dyDescent="0.35">
      <c r="A995" s="10" t="str">
        <f>IF('All Cases - Enter Cases'!$F995="Sindh",'All Cases - Enter Cases'!A995,"")</f>
        <v/>
      </c>
      <c r="B995" t="str">
        <f>IF($A995&lt;&gt;"",'All Cases - Enter Cases'!B995,"")</f>
        <v/>
      </c>
      <c r="C995" t="str">
        <f>IF($A995&lt;&gt;"",'All Cases - Enter Cases'!C995,"")</f>
        <v/>
      </c>
      <c r="D995" t="str">
        <f>IF($A995&lt;&gt;"",'All Cases - Enter Cases'!D995,"")</f>
        <v/>
      </c>
      <c r="E995" t="str">
        <f>IF($A995&lt;&gt;"",'All Cases - Enter Cases'!E995,"")</f>
        <v/>
      </c>
      <c r="F995" t="str">
        <f>IF($A995&lt;&gt;"",'All Cases - Enter Cases'!F995,"")</f>
        <v/>
      </c>
      <c r="G995" t="str">
        <f>IF($A995&lt;&gt;"",'All Cases - Enter Cases'!G995,"")</f>
        <v/>
      </c>
      <c r="H995" t="str">
        <f>IF($A995&lt;&gt;"",'All Cases - Enter Cases'!H995,"")</f>
        <v/>
      </c>
      <c r="I995" t="str">
        <f>IF($A995&lt;&gt;"",'All Cases - Enter Cases'!I995,"")</f>
        <v/>
      </c>
      <c r="J995" t="str">
        <f>IF($A995&lt;&gt;"",'All Cases - Enter Cases'!J995,"")</f>
        <v/>
      </c>
      <c r="K995" s="4" t="str">
        <f>IF($A995&lt;&gt;"",'All Cases - Enter Cases'!K995,"")</f>
        <v/>
      </c>
      <c r="L995" t="str">
        <f>IF($A995&lt;&gt;"",'All Cases - Enter Cases'!L995,"")</f>
        <v/>
      </c>
      <c r="M995" t="str">
        <f>IF($A995&lt;&gt;"",'All Cases - Enter Cases'!M995,"")</f>
        <v/>
      </c>
    </row>
    <row r="996" spans="1:13" x14ac:dyDescent="0.35">
      <c r="A996" s="10" t="str">
        <f>IF('All Cases - Enter Cases'!$F996="Sindh",'All Cases - Enter Cases'!A996,"")</f>
        <v/>
      </c>
      <c r="B996" t="str">
        <f>IF($A996&lt;&gt;"",'All Cases - Enter Cases'!B996,"")</f>
        <v/>
      </c>
      <c r="C996" t="str">
        <f>IF($A996&lt;&gt;"",'All Cases - Enter Cases'!C996,"")</f>
        <v/>
      </c>
      <c r="D996" t="str">
        <f>IF($A996&lt;&gt;"",'All Cases - Enter Cases'!D996,"")</f>
        <v/>
      </c>
      <c r="E996" t="str">
        <f>IF($A996&lt;&gt;"",'All Cases - Enter Cases'!E996,"")</f>
        <v/>
      </c>
      <c r="F996" t="str">
        <f>IF($A996&lt;&gt;"",'All Cases - Enter Cases'!F996,"")</f>
        <v/>
      </c>
      <c r="G996" t="str">
        <f>IF($A996&lt;&gt;"",'All Cases - Enter Cases'!G996,"")</f>
        <v/>
      </c>
      <c r="H996" t="str">
        <f>IF($A996&lt;&gt;"",'All Cases - Enter Cases'!H996,"")</f>
        <v/>
      </c>
      <c r="I996" t="str">
        <f>IF($A996&lt;&gt;"",'All Cases - Enter Cases'!I996,"")</f>
        <v/>
      </c>
      <c r="J996" t="str">
        <f>IF($A996&lt;&gt;"",'All Cases - Enter Cases'!J996,"")</f>
        <v/>
      </c>
      <c r="K996" s="4" t="str">
        <f>IF($A996&lt;&gt;"",'All Cases - Enter Cases'!K996,"")</f>
        <v/>
      </c>
      <c r="L996" t="str">
        <f>IF($A996&lt;&gt;"",'All Cases - Enter Cases'!L996,"")</f>
        <v/>
      </c>
      <c r="M996" t="str">
        <f>IF($A996&lt;&gt;"",'All Cases - Enter Cases'!M996,"")</f>
        <v/>
      </c>
    </row>
    <row r="997" spans="1:13" x14ac:dyDescent="0.35">
      <c r="A997" s="10" t="str">
        <f>IF('All Cases - Enter Cases'!$F997="Sindh",'All Cases - Enter Cases'!A997,"")</f>
        <v/>
      </c>
      <c r="B997" t="str">
        <f>IF($A997&lt;&gt;"",'All Cases - Enter Cases'!B997,"")</f>
        <v/>
      </c>
      <c r="C997" t="str">
        <f>IF($A997&lt;&gt;"",'All Cases - Enter Cases'!C997,"")</f>
        <v/>
      </c>
      <c r="D997" t="str">
        <f>IF($A997&lt;&gt;"",'All Cases - Enter Cases'!D997,"")</f>
        <v/>
      </c>
      <c r="E997" t="str">
        <f>IF($A997&lt;&gt;"",'All Cases - Enter Cases'!E997,"")</f>
        <v/>
      </c>
      <c r="F997" t="str">
        <f>IF($A997&lt;&gt;"",'All Cases - Enter Cases'!F997,"")</f>
        <v/>
      </c>
      <c r="G997" t="str">
        <f>IF($A997&lt;&gt;"",'All Cases - Enter Cases'!G997,"")</f>
        <v/>
      </c>
      <c r="H997" t="str">
        <f>IF($A997&lt;&gt;"",'All Cases - Enter Cases'!H997,"")</f>
        <v/>
      </c>
      <c r="I997" t="str">
        <f>IF($A997&lt;&gt;"",'All Cases - Enter Cases'!I997,"")</f>
        <v/>
      </c>
      <c r="J997" t="str">
        <f>IF($A997&lt;&gt;"",'All Cases - Enter Cases'!J997,"")</f>
        <v/>
      </c>
      <c r="K997" s="4" t="str">
        <f>IF($A997&lt;&gt;"",'All Cases - Enter Cases'!K997,"")</f>
        <v/>
      </c>
      <c r="L997" t="str">
        <f>IF($A997&lt;&gt;"",'All Cases - Enter Cases'!L997,"")</f>
        <v/>
      </c>
      <c r="M997" t="str">
        <f>IF($A997&lt;&gt;"",'All Cases - Enter Cases'!M997,"")</f>
        <v/>
      </c>
    </row>
    <row r="998" spans="1:13" x14ac:dyDescent="0.35">
      <c r="A998" s="10" t="str">
        <f>IF('All Cases - Enter Cases'!$F998="Sindh",'All Cases - Enter Cases'!A998,"")</f>
        <v/>
      </c>
      <c r="B998" t="str">
        <f>IF($A998&lt;&gt;"",'All Cases - Enter Cases'!B998,"")</f>
        <v/>
      </c>
      <c r="C998" t="str">
        <f>IF($A998&lt;&gt;"",'All Cases - Enter Cases'!C998,"")</f>
        <v/>
      </c>
      <c r="D998" t="str">
        <f>IF($A998&lt;&gt;"",'All Cases - Enter Cases'!D998,"")</f>
        <v/>
      </c>
      <c r="E998" t="str">
        <f>IF($A998&lt;&gt;"",'All Cases - Enter Cases'!E998,"")</f>
        <v/>
      </c>
      <c r="F998" t="str">
        <f>IF($A998&lt;&gt;"",'All Cases - Enter Cases'!F998,"")</f>
        <v/>
      </c>
      <c r="G998" t="str">
        <f>IF($A998&lt;&gt;"",'All Cases - Enter Cases'!G998,"")</f>
        <v/>
      </c>
      <c r="H998" t="str">
        <f>IF($A998&lt;&gt;"",'All Cases - Enter Cases'!H998,"")</f>
        <v/>
      </c>
      <c r="I998" t="str">
        <f>IF($A998&lt;&gt;"",'All Cases - Enter Cases'!I998,"")</f>
        <v/>
      </c>
      <c r="J998" t="str">
        <f>IF($A998&lt;&gt;"",'All Cases - Enter Cases'!J998,"")</f>
        <v/>
      </c>
      <c r="K998" s="4" t="str">
        <f>IF($A998&lt;&gt;"",'All Cases - Enter Cases'!K998,"")</f>
        <v/>
      </c>
      <c r="L998" t="str">
        <f>IF($A998&lt;&gt;"",'All Cases - Enter Cases'!L998,"")</f>
        <v/>
      </c>
      <c r="M998" t="str">
        <f>IF($A998&lt;&gt;"",'All Cases - Enter Cases'!M998,"")</f>
        <v/>
      </c>
    </row>
    <row r="999" spans="1:13" x14ac:dyDescent="0.35">
      <c r="A999" s="10" t="str">
        <f>IF('All Cases - Enter Cases'!$F999="Sindh",'All Cases - Enter Cases'!A999,"")</f>
        <v/>
      </c>
      <c r="B999" t="str">
        <f>IF($A999&lt;&gt;"",'All Cases - Enter Cases'!B999,"")</f>
        <v/>
      </c>
      <c r="C999" t="str">
        <f>IF($A999&lt;&gt;"",'All Cases - Enter Cases'!C999,"")</f>
        <v/>
      </c>
      <c r="D999" t="str">
        <f>IF($A999&lt;&gt;"",'All Cases - Enter Cases'!D999,"")</f>
        <v/>
      </c>
      <c r="E999" t="str">
        <f>IF($A999&lt;&gt;"",'All Cases - Enter Cases'!E999,"")</f>
        <v/>
      </c>
      <c r="F999" t="str">
        <f>IF($A999&lt;&gt;"",'All Cases - Enter Cases'!F999,"")</f>
        <v/>
      </c>
      <c r="G999" t="str">
        <f>IF($A999&lt;&gt;"",'All Cases - Enter Cases'!G999,"")</f>
        <v/>
      </c>
      <c r="H999" t="str">
        <f>IF($A999&lt;&gt;"",'All Cases - Enter Cases'!H999,"")</f>
        <v/>
      </c>
      <c r="I999" t="str">
        <f>IF($A999&lt;&gt;"",'All Cases - Enter Cases'!I999,"")</f>
        <v/>
      </c>
      <c r="J999" t="str">
        <f>IF($A999&lt;&gt;"",'All Cases - Enter Cases'!J999,"")</f>
        <v/>
      </c>
      <c r="K999" s="4" t="str">
        <f>IF($A999&lt;&gt;"",'All Cases - Enter Cases'!K999,"")</f>
        <v/>
      </c>
      <c r="L999" t="str">
        <f>IF($A999&lt;&gt;"",'All Cases - Enter Cases'!L999,"")</f>
        <v/>
      </c>
      <c r="M999" t="str">
        <f>IF($A999&lt;&gt;"",'All Cases - Enter Cases'!M999,"")</f>
        <v/>
      </c>
    </row>
    <row r="1000" spans="1:13" x14ac:dyDescent="0.35">
      <c r="A1000" s="10" t="str">
        <f>IF('All Cases - Enter Cases'!$F1000="Sindh",'All Cases - Enter Cases'!A1000,"")</f>
        <v/>
      </c>
      <c r="B1000" t="str">
        <f>IF($A1000&lt;&gt;"",'All Cases - Enter Cases'!B1000,"")</f>
        <v/>
      </c>
      <c r="C1000" t="str">
        <f>IF($A1000&lt;&gt;"",'All Cases - Enter Cases'!C1000,"")</f>
        <v/>
      </c>
      <c r="D1000" t="str">
        <f>IF($A1000&lt;&gt;"",'All Cases - Enter Cases'!D1000,"")</f>
        <v/>
      </c>
      <c r="E1000" t="str">
        <f>IF($A1000&lt;&gt;"",'All Cases - Enter Cases'!E1000,"")</f>
        <v/>
      </c>
      <c r="F1000" t="str">
        <f>IF($A1000&lt;&gt;"",'All Cases - Enter Cases'!F1000,"")</f>
        <v/>
      </c>
      <c r="G1000" t="str">
        <f>IF($A1000&lt;&gt;"",'All Cases - Enter Cases'!G1000,"")</f>
        <v/>
      </c>
      <c r="H1000" t="str">
        <f>IF($A1000&lt;&gt;"",'All Cases - Enter Cases'!H1000,"")</f>
        <v/>
      </c>
      <c r="I1000" t="str">
        <f>IF($A1000&lt;&gt;"",'All Cases - Enter Cases'!I1000,"")</f>
        <v/>
      </c>
      <c r="J1000" t="str">
        <f>IF($A1000&lt;&gt;"",'All Cases - Enter Cases'!J1000,"")</f>
        <v/>
      </c>
      <c r="K1000" s="4" t="str">
        <f>IF($A1000&lt;&gt;"",'All Cases - Enter Cases'!K1000,"")</f>
        <v/>
      </c>
      <c r="L1000" t="str">
        <f>IF($A1000&lt;&gt;"",'All Cases - Enter Cases'!L1000,"")</f>
        <v/>
      </c>
      <c r="M1000" t="str">
        <f>IF($A1000&lt;&gt;"",'All Cases - Enter Cases'!M1000,"")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pane ySplit="1" topLeftCell="A2" activePane="bottomLeft" state="frozen"/>
      <selection pane="bottomLeft" sqref="A1:M1"/>
    </sheetView>
  </sheetViews>
  <sheetFormatPr defaultRowHeight="14.5" x14ac:dyDescent="0.35"/>
  <cols>
    <col min="1" max="1" width="5.54296875" style="4" customWidth="1"/>
    <col min="2" max="2" width="27.1796875" customWidth="1"/>
    <col min="3" max="3" width="16.1796875" customWidth="1"/>
    <col min="4" max="4" width="45.453125" customWidth="1"/>
    <col min="5" max="6" width="10" customWidth="1"/>
    <col min="7" max="7" width="11.26953125" customWidth="1"/>
    <col min="8" max="8" width="15.54296875" customWidth="1"/>
    <col min="9" max="9" width="14" customWidth="1"/>
    <col min="10" max="10" width="20.453125" style="4" customWidth="1"/>
    <col min="11" max="11" width="13" style="4" customWidth="1"/>
    <col min="12" max="12" width="13.26953125" style="4" customWidth="1"/>
    <col min="13" max="13" width="10" customWidth="1"/>
  </cols>
  <sheetData>
    <row r="1" spans="1:13" ht="24.5" customHeight="1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</row>
    <row r="2" spans="1:13" ht="20" customHeight="1" x14ac:dyDescent="0.35">
      <c r="A2" s="21" t="str">
        <f>IF('All Cases - Enter Cases'!$F2="Punjab",'All Cases - Enter Cases'!A2,"")</f>
        <v/>
      </c>
      <c r="B2" s="23" t="str">
        <f>IF($A2&lt;&gt;"",'All Cases - Enter Cases'!B2,"")</f>
        <v/>
      </c>
      <c r="C2" s="23" t="str">
        <f>IF($A2&lt;&gt;"",'All Cases - Enter Cases'!C2,"")</f>
        <v/>
      </c>
      <c r="D2" s="23" t="str">
        <f>IF($A2&lt;&gt;"",'All Cases - Enter Cases'!D2,"")</f>
        <v/>
      </c>
      <c r="E2" s="23" t="str">
        <f>IF($A2&lt;&gt;"",'All Cases - Enter Cases'!E2,"")</f>
        <v/>
      </c>
      <c r="F2" s="23" t="str">
        <f>IF($A2&lt;&gt;"",'All Cases - Enter Cases'!F2,"")</f>
        <v/>
      </c>
      <c r="G2" s="23" t="str">
        <f>IF($A2&lt;&gt;"",'All Cases - Enter Cases'!G2,"")</f>
        <v/>
      </c>
      <c r="H2" s="23" t="str">
        <f>IF($A2&lt;&gt;"",'All Cases - Enter Cases'!H2,"")</f>
        <v/>
      </c>
      <c r="I2" s="23" t="str">
        <f>IF($A2&lt;&gt;"",'All Cases - Enter Cases'!I2,"")</f>
        <v/>
      </c>
      <c r="J2" s="22" t="str">
        <f>IF($A2&lt;&gt;"",'All Cases - Enter Cases'!J2,"")</f>
        <v/>
      </c>
      <c r="K2" s="21" t="str">
        <f>IF($A2&lt;&gt;"",'All Cases - Enter Cases'!K2,"")</f>
        <v/>
      </c>
      <c r="L2" s="22" t="str">
        <f>IF($A2&lt;&gt;"",'All Cases - Enter Cases'!L2,"")</f>
        <v/>
      </c>
      <c r="M2" s="23" t="str">
        <f>IF($A2&lt;&gt;"",'All Cases - Enter Cases'!M2,"")</f>
        <v/>
      </c>
    </row>
    <row r="3" spans="1:13" ht="20" customHeight="1" x14ac:dyDescent="0.35">
      <c r="A3" s="21" t="str">
        <f>IF('All Cases - Enter Cases'!$F3="Punjab",'All Cases - Enter Cases'!A3,"")</f>
        <v/>
      </c>
      <c r="B3" s="23" t="str">
        <f>IF($A3&lt;&gt;"",'All Cases - Enter Cases'!B3,"")</f>
        <v/>
      </c>
      <c r="C3" s="23" t="str">
        <f>IF($A3&lt;&gt;"",'All Cases - Enter Cases'!C3,"")</f>
        <v/>
      </c>
      <c r="D3" s="23" t="str">
        <f>IF($A3&lt;&gt;"",'All Cases - Enter Cases'!D3,"")</f>
        <v/>
      </c>
      <c r="E3" s="23" t="str">
        <f>IF($A3&lt;&gt;"",'All Cases - Enter Cases'!E3,"")</f>
        <v/>
      </c>
      <c r="F3" s="23" t="str">
        <f>IF($A3&lt;&gt;"",'All Cases - Enter Cases'!F3,"")</f>
        <v/>
      </c>
      <c r="G3" s="23" t="str">
        <f>IF($A3&lt;&gt;"",'All Cases - Enter Cases'!G3,"")</f>
        <v/>
      </c>
      <c r="H3" s="23" t="str">
        <f>IF($A3&lt;&gt;"",'All Cases - Enter Cases'!H3,"")</f>
        <v/>
      </c>
      <c r="I3" s="23" t="str">
        <f>IF($A3&lt;&gt;"",'All Cases - Enter Cases'!I3,"")</f>
        <v/>
      </c>
      <c r="J3" s="22" t="str">
        <f>IF($A3&lt;&gt;"",'All Cases - Enter Cases'!J3,"")</f>
        <v/>
      </c>
      <c r="K3" s="21" t="str">
        <f>IF($A3&lt;&gt;"",'All Cases - Enter Cases'!K3,"")</f>
        <v/>
      </c>
      <c r="L3" s="22" t="str">
        <f>IF($A3&lt;&gt;"",'All Cases - Enter Cases'!L3,"")</f>
        <v/>
      </c>
      <c r="M3" s="23" t="str">
        <f>IF($A3&lt;&gt;"",'All Cases - Enter Cases'!M3,"")</f>
        <v/>
      </c>
    </row>
    <row r="4" spans="1:13" ht="20" customHeight="1" x14ac:dyDescent="0.35">
      <c r="A4" s="21" t="str">
        <f>IF('All Cases - Enter Cases'!$F4="Punjab",'All Cases - Enter Cases'!A4,"")</f>
        <v/>
      </c>
      <c r="B4" s="23" t="str">
        <f>IF($A4&lt;&gt;"",'All Cases - Enter Cases'!B4,"")</f>
        <v/>
      </c>
      <c r="C4" s="23" t="str">
        <f>IF($A4&lt;&gt;"",'All Cases - Enter Cases'!C4,"")</f>
        <v/>
      </c>
      <c r="D4" s="23" t="str">
        <f>IF($A4&lt;&gt;"",'All Cases - Enter Cases'!D4,"")</f>
        <v/>
      </c>
      <c r="E4" s="23" t="str">
        <f>IF($A4&lt;&gt;"",'All Cases - Enter Cases'!E4,"")</f>
        <v/>
      </c>
      <c r="F4" s="23" t="str">
        <f>IF($A4&lt;&gt;"",'All Cases - Enter Cases'!F4,"")</f>
        <v/>
      </c>
      <c r="G4" s="23" t="str">
        <f>IF($A4&lt;&gt;"",'All Cases - Enter Cases'!G4,"")</f>
        <v/>
      </c>
      <c r="H4" s="23" t="str">
        <f>IF($A4&lt;&gt;"",'All Cases - Enter Cases'!H4,"")</f>
        <v/>
      </c>
      <c r="I4" s="23" t="str">
        <f>IF($A4&lt;&gt;"",'All Cases - Enter Cases'!I4,"")</f>
        <v/>
      </c>
      <c r="J4" s="22" t="str">
        <f>IF($A4&lt;&gt;"",'All Cases - Enter Cases'!J4,"")</f>
        <v/>
      </c>
      <c r="K4" s="21" t="str">
        <f>IF($A4&lt;&gt;"",'All Cases - Enter Cases'!K4,"")</f>
        <v/>
      </c>
      <c r="L4" s="22" t="str">
        <f>IF($A4&lt;&gt;"",'All Cases - Enter Cases'!L4,"")</f>
        <v/>
      </c>
      <c r="M4" s="23" t="str">
        <f>IF($A4&lt;&gt;"",'All Cases - Enter Cases'!M4,"")</f>
        <v/>
      </c>
    </row>
    <row r="5" spans="1:13" ht="20" customHeight="1" x14ac:dyDescent="0.35">
      <c r="A5" s="21" t="str">
        <f>IF('All Cases - Enter Cases'!$F5="Punjab",'All Cases - Enter Cases'!A5,"")</f>
        <v/>
      </c>
      <c r="B5" s="23" t="str">
        <f>IF($A5&lt;&gt;"",'All Cases - Enter Cases'!B5,"")</f>
        <v/>
      </c>
      <c r="C5" s="23" t="str">
        <f>IF($A5&lt;&gt;"",'All Cases - Enter Cases'!C5,"")</f>
        <v/>
      </c>
      <c r="D5" s="23" t="str">
        <f>IF($A5&lt;&gt;"",'All Cases - Enter Cases'!D5,"")</f>
        <v/>
      </c>
      <c r="E5" s="23" t="str">
        <f>IF($A5&lt;&gt;"",'All Cases - Enter Cases'!E5,"")</f>
        <v/>
      </c>
      <c r="F5" s="23" t="str">
        <f>IF($A5&lt;&gt;"",'All Cases - Enter Cases'!F5,"")</f>
        <v/>
      </c>
      <c r="G5" s="23" t="str">
        <f>IF($A5&lt;&gt;"",'All Cases - Enter Cases'!G5,"")</f>
        <v/>
      </c>
      <c r="H5" s="23" t="str">
        <f>IF($A5&lt;&gt;"",'All Cases - Enter Cases'!H5,"")</f>
        <v/>
      </c>
      <c r="I5" s="23" t="str">
        <f>IF($A5&lt;&gt;"",'All Cases - Enter Cases'!I5,"")</f>
        <v/>
      </c>
      <c r="J5" s="22" t="str">
        <f>IF($A5&lt;&gt;"",'All Cases - Enter Cases'!J5,"")</f>
        <v/>
      </c>
      <c r="K5" s="21" t="str">
        <f>IF($A5&lt;&gt;"",'All Cases - Enter Cases'!K5,"")</f>
        <v/>
      </c>
      <c r="L5" s="22" t="str">
        <f>IF($A5&lt;&gt;"",'All Cases - Enter Cases'!L5,"")</f>
        <v/>
      </c>
      <c r="M5" s="23" t="str">
        <f>IF($A5&lt;&gt;"",'All Cases - Enter Cases'!M5,"")</f>
        <v/>
      </c>
    </row>
    <row r="6" spans="1:13" ht="20" customHeight="1" x14ac:dyDescent="0.35">
      <c r="A6" s="21">
        <f>IF('All Cases - Enter Cases'!$F6="Punjab",'All Cases - Enter Cases'!A6,"")</f>
        <v>5</v>
      </c>
      <c r="B6" s="23" t="str">
        <f>IF($A6&lt;&gt;"",'All Cases - Enter Cases'!B6,"")</f>
        <v>Faisal Shoes Manufacturing</v>
      </c>
      <c r="C6" s="23" t="str">
        <f>IF($A6&lt;&gt;"",'All Cases - Enter Cases'!C6,"")</f>
        <v>Factory</v>
      </c>
      <c r="D6" s="23" t="str">
        <f>IF($A6&lt;&gt;"",'All Cases - Enter Cases'!D6,"")</f>
        <v>Plot No.C-62 Taksali Androne Lahore</v>
      </c>
      <c r="E6" s="23" t="str">
        <f>IF($A6&lt;&gt;"",'All Cases - Enter Cases'!E6,"")</f>
        <v>Lahore</v>
      </c>
      <c r="F6" s="23" t="str">
        <f>IF($A6&lt;&gt;"",'All Cases - Enter Cases'!F6,"")</f>
        <v>Punjab</v>
      </c>
      <c r="G6" s="23" t="str">
        <f>IF($A6&lt;&gt;"",'All Cases - Enter Cases'!G6,"")</f>
        <v>SafeMark</v>
      </c>
      <c r="H6" s="23" t="str">
        <f>IF($A6&lt;&gt;"",'All Cases - Enter Cases'!H6,"")</f>
        <v>Tommy Hilfiger</v>
      </c>
      <c r="I6" s="23" t="str">
        <f>IF($A6&lt;&gt;"",'All Cases - Enter Cases'!I6,"")</f>
        <v>Shoes</v>
      </c>
      <c r="J6" s="22">
        <f>IF($A6&lt;&gt;"",'All Cases - Enter Cases'!J6,"")</f>
        <v>46031</v>
      </c>
      <c r="K6" s="21" t="str">
        <f>IF($A6&lt;&gt;"",'All Cases - Enter Cases'!K6,"")</f>
        <v>Approved</v>
      </c>
      <c r="L6" s="22">
        <f>IF($A6&lt;&gt;"",'All Cases - Enter Cases'!L6,"")</f>
        <v>46039</v>
      </c>
      <c r="M6" s="23">
        <f>IF($A6&lt;&gt;"",'All Cases - Enter Cases'!M6,"")</f>
        <v>0</v>
      </c>
    </row>
    <row r="7" spans="1:13" ht="20" customHeight="1" x14ac:dyDescent="0.35">
      <c r="A7" s="21">
        <f>IF('All Cases - Enter Cases'!$F7="Punjab",'All Cases - Enter Cases'!A7,"")</f>
        <v>6</v>
      </c>
      <c r="B7" s="23" t="str">
        <f>IF($A7&lt;&gt;"",'All Cases - Enter Cases'!B7,"")</f>
        <v>Faisal Shoes Manufacturing</v>
      </c>
      <c r="C7" s="23" t="str">
        <f>IF($A7&lt;&gt;"",'All Cases - Enter Cases'!C7,"")</f>
        <v>Factory</v>
      </c>
      <c r="D7" s="23" t="str">
        <f>IF($A7&lt;&gt;"",'All Cases - Enter Cases'!D7,"")</f>
        <v>Plot No.C-62 Taksali Androne Lahore</v>
      </c>
      <c r="E7" s="23" t="str">
        <f>IF($A7&lt;&gt;"",'All Cases - Enter Cases'!E7,"")</f>
        <v>Lahore</v>
      </c>
      <c r="F7" s="23" t="str">
        <f>IF($A7&lt;&gt;"",'All Cases - Enter Cases'!F7,"")</f>
        <v>Punjab</v>
      </c>
      <c r="G7" s="23" t="str">
        <f>IF($A7&lt;&gt;"",'All Cases - Enter Cases'!G7,"")</f>
        <v>SafeMark</v>
      </c>
      <c r="H7" s="23" t="str">
        <f>IF($A7&lt;&gt;"",'All Cases - Enter Cases'!H7,"")</f>
        <v>Calvin Klein</v>
      </c>
      <c r="I7" s="23" t="str">
        <f>IF($A7&lt;&gt;"",'All Cases - Enter Cases'!I7,"")</f>
        <v>Shoes</v>
      </c>
      <c r="J7" s="22">
        <f>IF($A7&lt;&gt;"",'All Cases - Enter Cases'!J7,"")</f>
        <v>46031</v>
      </c>
      <c r="K7" s="21" t="str">
        <f>IF($A7&lt;&gt;"",'All Cases - Enter Cases'!K7,"")</f>
        <v>Approved</v>
      </c>
      <c r="L7" s="22">
        <f>IF($A7&lt;&gt;"",'All Cases - Enter Cases'!L7,"")</f>
        <v>46040</v>
      </c>
      <c r="M7" s="23">
        <f>IF($A7&lt;&gt;"",'All Cases - Enter Cases'!M7,"")</f>
        <v>0</v>
      </c>
    </row>
    <row r="8" spans="1:13" ht="20" customHeight="1" x14ac:dyDescent="0.35">
      <c r="A8" s="21">
        <f>IF('All Cases - Enter Cases'!$F8="Punjab",'All Cases - Enter Cases'!A8,"")</f>
        <v>7</v>
      </c>
      <c r="B8" s="23" t="str">
        <f>IF($A8&lt;&gt;"",'All Cases - Enter Cases'!B8,"")</f>
        <v>Faisal Shoes Manufacturing</v>
      </c>
      <c r="C8" s="23" t="str">
        <f>IF($A8&lt;&gt;"",'All Cases - Enter Cases'!C8,"")</f>
        <v>Factory</v>
      </c>
      <c r="D8" s="23" t="str">
        <f>IF($A8&lt;&gt;"",'All Cases - Enter Cases'!D8,"")</f>
        <v>Plot No.C-62 Taksali Androne Lahore</v>
      </c>
      <c r="E8" s="23" t="str">
        <f>IF($A8&lt;&gt;"",'All Cases - Enter Cases'!E8,"")</f>
        <v>Lahore</v>
      </c>
      <c r="F8" s="23" t="str">
        <f>IF($A8&lt;&gt;"",'All Cases - Enter Cases'!F8,"")</f>
        <v>Punjab</v>
      </c>
      <c r="G8" s="23" t="str">
        <f>IF($A8&lt;&gt;"",'All Cases - Enter Cases'!G8,"")</f>
        <v>SafeMark</v>
      </c>
      <c r="H8" s="23" t="str">
        <f>IF($A8&lt;&gt;"",'All Cases - Enter Cases'!H8,"")</f>
        <v>Reebok</v>
      </c>
      <c r="I8" s="23" t="str">
        <f>IF($A8&lt;&gt;"",'All Cases - Enter Cases'!I8,"")</f>
        <v>Shoes</v>
      </c>
      <c r="J8" s="22">
        <f>IF($A8&lt;&gt;"",'All Cases - Enter Cases'!J8,"")</f>
        <v>46027</v>
      </c>
      <c r="K8" s="21" t="str">
        <f>IF($A8&lt;&gt;"",'All Cases - Enter Cases'!K8,"")</f>
        <v>Approved</v>
      </c>
      <c r="L8" s="22">
        <f>IF($A8&lt;&gt;"",'All Cases - Enter Cases'!L8,"")</f>
        <v>46029</v>
      </c>
      <c r="M8" s="23">
        <f>IF($A8&lt;&gt;"",'All Cases - Enter Cases'!M8,"")</f>
        <v>0</v>
      </c>
    </row>
    <row r="9" spans="1:13" ht="20" customHeight="1" x14ac:dyDescent="0.35">
      <c r="A9" s="21">
        <f>IF('All Cases - Enter Cases'!$F9="Punjab",'All Cases - Enter Cases'!A9,"")</f>
        <v>8</v>
      </c>
      <c r="B9" s="23" t="str">
        <f>IF($A9&lt;&gt;"",'All Cases - Enter Cases'!B9,"")</f>
        <v>Faisal Shoes Manufacturing</v>
      </c>
      <c r="C9" s="23" t="str">
        <f>IF($A9&lt;&gt;"",'All Cases - Enter Cases'!C9,"")</f>
        <v>Factory</v>
      </c>
      <c r="D9" s="23" t="str">
        <f>IF($A9&lt;&gt;"",'All Cases - Enter Cases'!D9,"")</f>
        <v>Plot No.C-62 Taksali Androne Lahore</v>
      </c>
      <c r="E9" s="23" t="str">
        <f>IF($A9&lt;&gt;"",'All Cases - Enter Cases'!E9,"")</f>
        <v>Lahore</v>
      </c>
      <c r="F9" s="23" t="str">
        <f>IF($A9&lt;&gt;"",'All Cases - Enter Cases'!F9,"")</f>
        <v>Punjab</v>
      </c>
      <c r="G9" s="23" t="str">
        <f>IF($A9&lt;&gt;"",'All Cases - Enter Cases'!G9,"")</f>
        <v>AA</v>
      </c>
      <c r="H9" s="23" t="str">
        <f>IF($A9&lt;&gt;"",'All Cases - Enter Cases'!H9,"")</f>
        <v>Gucci</v>
      </c>
      <c r="I9" s="23" t="str">
        <f>IF($A9&lt;&gt;"",'All Cases - Enter Cases'!I9,"")</f>
        <v>Shoes</v>
      </c>
      <c r="J9" s="22">
        <f>IF($A9&lt;&gt;"",'All Cases - Enter Cases'!J9,"")</f>
        <v>46029</v>
      </c>
      <c r="K9" s="21" t="str">
        <f>IF($A9&lt;&gt;"",'All Cases - Enter Cases'!K9,"")</f>
        <v>Approved</v>
      </c>
      <c r="L9" s="22">
        <f>IF($A9&lt;&gt;"",'All Cases - Enter Cases'!L9,"")</f>
        <v>46041</v>
      </c>
      <c r="M9" s="23">
        <f>IF($A9&lt;&gt;"",'All Cases - Enter Cases'!M9,"")</f>
        <v>0</v>
      </c>
    </row>
    <row r="10" spans="1:13" ht="20" customHeight="1" x14ac:dyDescent="0.35">
      <c r="A10" s="21">
        <f>IF('All Cases - Enter Cases'!$F10="Punjab",'All Cases - Enter Cases'!A10,"")</f>
        <v>9</v>
      </c>
      <c r="B10" s="23" t="str">
        <f>IF($A10&lt;&gt;"",'All Cases - Enter Cases'!B10,"")</f>
        <v>Faisal Shoes Manufacturing</v>
      </c>
      <c r="C10" s="23" t="str">
        <f>IF($A10&lt;&gt;"",'All Cases - Enter Cases'!C10,"")</f>
        <v>Factory</v>
      </c>
      <c r="D10" s="23" t="str">
        <f>IF($A10&lt;&gt;"",'All Cases - Enter Cases'!D10,"")</f>
        <v>Plot No.C-62 Taksali Androne Lahore</v>
      </c>
      <c r="E10" s="23" t="str">
        <f>IF($A10&lt;&gt;"",'All Cases - Enter Cases'!E10,"")</f>
        <v>Lahore</v>
      </c>
      <c r="F10" s="23" t="str">
        <f>IF($A10&lt;&gt;"",'All Cases - Enter Cases'!F10,"")</f>
        <v>Punjab</v>
      </c>
      <c r="G10" s="23" t="str">
        <f>IF($A10&lt;&gt;"",'All Cases - Enter Cases'!G10,"")</f>
        <v>SafeMark</v>
      </c>
      <c r="H10" s="23" t="str">
        <f>IF($A10&lt;&gt;"",'All Cases - Enter Cases'!H10,"")</f>
        <v>New Balance</v>
      </c>
      <c r="I10" s="23" t="str">
        <f>IF($A10&lt;&gt;"",'All Cases - Enter Cases'!I10,"")</f>
        <v>Shoes</v>
      </c>
      <c r="J10" s="22">
        <f>IF($A10&lt;&gt;"",'All Cases - Enter Cases'!J10,"")</f>
        <v>46027</v>
      </c>
      <c r="K10" s="21" t="str">
        <f>IF($A10&lt;&gt;"",'All Cases - Enter Cases'!K10,"")</f>
        <v>Approved</v>
      </c>
      <c r="L10" s="22">
        <f>IF($A10&lt;&gt;"",'All Cases - Enter Cases'!L10,"")</f>
        <v>46029</v>
      </c>
      <c r="M10" s="23">
        <f>IF($A10&lt;&gt;"",'All Cases - Enter Cases'!M10,"")</f>
        <v>0</v>
      </c>
    </row>
    <row r="11" spans="1:13" ht="20" customHeight="1" x14ac:dyDescent="0.35">
      <c r="A11" s="21">
        <f>IF('All Cases - Enter Cases'!$F11="Punjab",'All Cases - Enter Cases'!A11,"")</f>
        <v>10</v>
      </c>
      <c r="B11" s="23" t="str">
        <f>IF($A11&lt;&gt;"",'All Cases - Enter Cases'!B11,"")</f>
        <v>Faisal Shoes Manufacturing</v>
      </c>
      <c r="C11" s="23" t="str">
        <f>IF($A11&lt;&gt;"",'All Cases - Enter Cases'!C11,"")</f>
        <v>Factory</v>
      </c>
      <c r="D11" s="23" t="str">
        <f>IF($A11&lt;&gt;"",'All Cases - Enter Cases'!D11,"")</f>
        <v>Plot No.C-62 Taksali Androne Lahore</v>
      </c>
      <c r="E11" s="23" t="str">
        <f>IF($A11&lt;&gt;"",'All Cases - Enter Cases'!E11,"")</f>
        <v>Lahore</v>
      </c>
      <c r="F11" s="23" t="str">
        <f>IF($A11&lt;&gt;"",'All Cases - Enter Cases'!F11,"")</f>
        <v>Punjab</v>
      </c>
      <c r="G11" s="23" t="str">
        <f>IF($A11&lt;&gt;"",'All Cases - Enter Cases'!G11,"")</f>
        <v>SafeMark</v>
      </c>
      <c r="H11" s="23" t="str">
        <f>IF($A11&lt;&gt;"",'All Cases - Enter Cases'!H11,"")</f>
        <v>Hugo Boss</v>
      </c>
      <c r="I11" s="23" t="str">
        <f>IF($A11&lt;&gt;"",'All Cases - Enter Cases'!I11,"")</f>
        <v>Shoes</v>
      </c>
      <c r="J11" s="22">
        <f>IF($A11&lt;&gt;"",'All Cases - Enter Cases'!J11,"")</f>
        <v>46027</v>
      </c>
      <c r="K11" s="21" t="str">
        <f>IF($A11&lt;&gt;"",'All Cases - Enter Cases'!K11,"")</f>
        <v>Approved</v>
      </c>
      <c r="L11" s="22">
        <f>IF($A11&lt;&gt;"",'All Cases - Enter Cases'!L11,"")</f>
        <v>46029</v>
      </c>
      <c r="M11" s="23">
        <f>IF($A11&lt;&gt;"",'All Cases - Enter Cases'!M11,"")</f>
        <v>0</v>
      </c>
    </row>
    <row r="12" spans="1:13" ht="20" customHeight="1" x14ac:dyDescent="0.35">
      <c r="A12" s="21">
        <f>IF('All Cases - Enter Cases'!$F12="Punjab",'All Cases - Enter Cases'!A12,"")</f>
        <v>11</v>
      </c>
      <c r="B12" s="23" t="str">
        <f>IF($A12&lt;&gt;"",'All Cases - Enter Cases'!B12,"")</f>
        <v>A.K Jeans</v>
      </c>
      <c r="C12" s="23" t="str">
        <f>IF($A12&lt;&gt;"",'All Cases - Enter Cases'!C12,"")</f>
        <v>WholeSale</v>
      </c>
      <c r="D12" s="23" t="str">
        <f>IF($A12&lt;&gt;"",'All Cases - Enter Cases'!D12,"")</f>
        <v>Shop No.79, Al karim Market , New Anarkali ,Lahore</v>
      </c>
      <c r="E12" s="23" t="str">
        <f>IF($A12&lt;&gt;"",'All Cases - Enter Cases'!E12,"")</f>
        <v>Lahore</v>
      </c>
      <c r="F12" s="23" t="str">
        <f>IF($A12&lt;&gt;"",'All Cases - Enter Cases'!F12,"")</f>
        <v>Punjab</v>
      </c>
      <c r="G12" s="23" t="str">
        <f>IF($A12&lt;&gt;"",'All Cases - Enter Cases'!G12,"")</f>
        <v>SafeMark</v>
      </c>
      <c r="H12" s="23" t="str">
        <f>IF($A12&lt;&gt;"",'All Cases - Enter Cases'!H12,"")</f>
        <v>Tommy Hilfiger</v>
      </c>
      <c r="I12" s="23" t="str">
        <f>IF($A12&lt;&gt;"",'All Cases - Enter Cases'!I12,"")</f>
        <v>Jeans</v>
      </c>
      <c r="J12" s="22">
        <f>IF($A12&lt;&gt;"",'All Cases - Enter Cases'!J12,"")</f>
        <v>46031</v>
      </c>
      <c r="K12" s="21" t="str">
        <f>IF($A12&lt;&gt;"",'All Cases - Enter Cases'!K12,"")</f>
        <v>Approved</v>
      </c>
      <c r="L12" s="22">
        <f>IF($A12&lt;&gt;"",'All Cases - Enter Cases'!L12,"")</f>
        <v>46045</v>
      </c>
      <c r="M12" s="23">
        <f>IF($A12&lt;&gt;"",'All Cases - Enter Cases'!M12,"")</f>
        <v>0</v>
      </c>
    </row>
    <row r="13" spans="1:13" ht="20" customHeight="1" x14ac:dyDescent="0.35">
      <c r="A13" s="21">
        <f>IF('All Cases - Enter Cases'!$F13="Punjab",'All Cases - Enter Cases'!A13,"")</f>
        <v>12</v>
      </c>
      <c r="B13" s="23" t="str">
        <f>IF($A13&lt;&gt;"",'All Cases - Enter Cases'!B13,"")</f>
        <v>A.K Jeans</v>
      </c>
      <c r="C13" s="23" t="str">
        <f>IF($A13&lt;&gt;"",'All Cases - Enter Cases'!C13,"")</f>
        <v>WholeSale</v>
      </c>
      <c r="D13" s="23" t="str">
        <f>IF($A13&lt;&gt;"",'All Cases - Enter Cases'!D13,"")</f>
        <v>Shop No.79, Al karim Market , New Anarkali ,Lahore</v>
      </c>
      <c r="E13" s="23" t="str">
        <f>IF($A13&lt;&gt;"",'All Cases - Enter Cases'!E13,"")</f>
        <v>Lahore</v>
      </c>
      <c r="F13" s="23" t="str">
        <f>IF($A13&lt;&gt;"",'All Cases - Enter Cases'!F13,"")</f>
        <v>Punjab</v>
      </c>
      <c r="G13" s="23" t="str">
        <f>IF($A13&lt;&gt;"",'All Cases - Enter Cases'!G13,"")</f>
        <v>SafeMark</v>
      </c>
      <c r="H13" s="23" t="str">
        <f>IF($A13&lt;&gt;"",'All Cases - Enter Cases'!H13,"")</f>
        <v>Levis</v>
      </c>
      <c r="I13" s="23" t="str">
        <f>IF($A13&lt;&gt;"",'All Cases - Enter Cases'!I13,"")</f>
        <v>Jeans</v>
      </c>
      <c r="J13" s="22">
        <f>IF($A13&lt;&gt;"",'All Cases - Enter Cases'!J13,"")</f>
        <v>46031</v>
      </c>
      <c r="K13" s="21" t="str">
        <f>IF($A13&lt;&gt;"",'All Cases - Enter Cases'!K13,"")</f>
        <v>Approved</v>
      </c>
      <c r="L13" s="22">
        <f>IF($A13&lt;&gt;"",'All Cases - Enter Cases'!L13,"")</f>
        <v>46038</v>
      </c>
      <c r="M13" s="23">
        <f>IF($A13&lt;&gt;"",'All Cases - Enter Cases'!M13,"")</f>
        <v>0</v>
      </c>
    </row>
    <row r="14" spans="1:13" ht="20" customHeight="1" x14ac:dyDescent="0.35">
      <c r="A14" s="21">
        <f>IF('All Cases - Enter Cases'!$F14="Punjab",'All Cases - Enter Cases'!A14,"")</f>
        <v>13</v>
      </c>
      <c r="B14" s="23" t="str">
        <f>IF($A14&lt;&gt;"",'All Cases - Enter Cases'!B14,"")</f>
        <v>A.K Jeans</v>
      </c>
      <c r="C14" s="23" t="str">
        <f>IF($A14&lt;&gt;"",'All Cases - Enter Cases'!C14,"")</f>
        <v>WholeSale</v>
      </c>
      <c r="D14" s="23" t="str">
        <f>IF($A14&lt;&gt;"",'All Cases - Enter Cases'!D14,"")</f>
        <v>Shop No.79, Al karim Market , New Anarkali ,Lahore</v>
      </c>
      <c r="E14" s="23" t="str">
        <f>IF($A14&lt;&gt;"",'All Cases - Enter Cases'!E14,"")</f>
        <v>Lahore</v>
      </c>
      <c r="F14" s="23" t="str">
        <f>IF($A14&lt;&gt;"",'All Cases - Enter Cases'!F14,"")</f>
        <v>Punjab</v>
      </c>
      <c r="G14" s="23" t="str">
        <f>IF($A14&lt;&gt;"",'All Cases - Enter Cases'!G14,"")</f>
        <v>SafeMark</v>
      </c>
      <c r="H14" s="23" t="str">
        <f>IF($A14&lt;&gt;"",'All Cases - Enter Cases'!H14,"")</f>
        <v>Guess</v>
      </c>
      <c r="I14" s="23" t="str">
        <f>IF($A14&lt;&gt;"",'All Cases - Enter Cases'!I14,"")</f>
        <v>Jeans</v>
      </c>
      <c r="J14" s="22">
        <f>IF($A14&lt;&gt;"",'All Cases - Enter Cases'!J14,"")</f>
        <v>46031</v>
      </c>
      <c r="K14" s="21" t="str">
        <f>IF($A14&lt;&gt;"",'All Cases - Enter Cases'!K14,"")</f>
        <v>Rejected</v>
      </c>
      <c r="L14" s="22">
        <f>IF($A14&lt;&gt;"",'All Cases - Enter Cases'!L14,"")</f>
        <v>0</v>
      </c>
      <c r="M14" s="23">
        <f>IF($A14&lt;&gt;"",'All Cases - Enter Cases'!M14,"")</f>
        <v>0</v>
      </c>
    </row>
    <row r="15" spans="1:13" ht="20" customHeight="1" x14ac:dyDescent="0.35">
      <c r="A15" s="21">
        <f>IF('All Cases - Enter Cases'!$F15="Punjab",'All Cases - Enter Cases'!A15,"")</f>
        <v>14</v>
      </c>
      <c r="B15" s="23" t="str">
        <f>IF($A15&lt;&gt;"",'All Cases - Enter Cases'!B15,"")</f>
        <v>Scarf Case</v>
      </c>
      <c r="C15" s="23" t="str">
        <f>IF($A15&lt;&gt;"",'All Cases - Enter Cases'!C15,"")</f>
        <v>Customs</v>
      </c>
      <c r="D15" s="23" t="str">
        <f>IF($A15&lt;&gt;"",'All Cases - Enter Cases'!D15,"")</f>
        <v>Mugal Pura dry port Lahore</v>
      </c>
      <c r="E15" s="23" t="str">
        <f>IF($A15&lt;&gt;"",'All Cases - Enter Cases'!E15,"")</f>
        <v>Lahore</v>
      </c>
      <c r="F15" s="23" t="str">
        <f>IF($A15&lt;&gt;"",'All Cases - Enter Cases'!F15,"")</f>
        <v>Punjab</v>
      </c>
      <c r="G15" s="23" t="str">
        <f>IF($A15&lt;&gt;"",'All Cases - Enter Cases'!G15,"")</f>
        <v>AA</v>
      </c>
      <c r="H15" s="23" t="str">
        <f>IF($A15&lt;&gt;"",'All Cases - Enter Cases'!H15,"")</f>
        <v>Gucci</v>
      </c>
      <c r="I15" s="23" t="str">
        <f>IF($A15&lt;&gt;"",'All Cases - Enter Cases'!I15,"")</f>
        <v>scarf</v>
      </c>
      <c r="J15" s="22">
        <f>IF($A15&lt;&gt;"",'All Cases - Enter Cases'!J15,"")</f>
        <v>45975</v>
      </c>
      <c r="K15" s="21" t="str">
        <f>IF($A15&lt;&gt;"",'All Cases - Enter Cases'!K15,"")</f>
        <v>Approved</v>
      </c>
      <c r="L15" s="22">
        <f>IF($A15&lt;&gt;"",'All Cases - Enter Cases'!L15,"")</f>
        <v>46035</v>
      </c>
      <c r="M15" s="23">
        <f>IF($A15&lt;&gt;"",'All Cases - Enter Cases'!M15,"")</f>
        <v>0</v>
      </c>
    </row>
    <row r="16" spans="1:13" ht="20" customHeight="1" x14ac:dyDescent="0.35">
      <c r="A16" s="21">
        <f>IF('All Cases - Enter Cases'!$F16="Punjab",'All Cases - Enter Cases'!A16,"")</f>
        <v>15</v>
      </c>
      <c r="B16" s="23" t="str">
        <f>IF($A16&lt;&gt;"",'All Cases - Enter Cases'!B16,"")</f>
        <v>kashif Printing</v>
      </c>
      <c r="C16" s="23" t="str">
        <f>IF($A16&lt;&gt;"",'All Cases - Enter Cases'!C16,"")</f>
        <v>Distributor</v>
      </c>
      <c r="D16" s="23" t="str">
        <f>IF($A16&lt;&gt;"",'All Cases - Enter Cases'!D16,"")</f>
        <v>Plot No.D-43 Androne lahore</v>
      </c>
      <c r="E16" s="23" t="str">
        <f>IF($A16&lt;&gt;"",'All Cases - Enter Cases'!E16,"")</f>
        <v>Lahore</v>
      </c>
      <c r="F16" s="23" t="str">
        <f>IF($A16&lt;&gt;"",'All Cases - Enter Cases'!F16,"")</f>
        <v>Punjab</v>
      </c>
      <c r="G16" s="23" t="str">
        <f>IF($A16&lt;&gt;"",'All Cases - Enter Cases'!G16,"")</f>
        <v>OneWorld</v>
      </c>
      <c r="H16" s="23" t="str">
        <f>IF($A16&lt;&gt;"",'All Cases - Enter Cases'!H16,"")</f>
        <v>Wd-40</v>
      </c>
      <c r="I16" s="23" t="str">
        <f>IF($A16&lt;&gt;"",'All Cases - Enter Cases'!I16,"")</f>
        <v>Fluid</v>
      </c>
      <c r="J16" s="22">
        <f>IF($A16&lt;&gt;"",'All Cases - Enter Cases'!J16,"")</f>
        <v>45824</v>
      </c>
      <c r="K16" s="21" t="str">
        <f>IF($A16&lt;&gt;"",'All Cases - Enter Cases'!K16,"")</f>
        <v>Approved</v>
      </c>
      <c r="L16" s="22">
        <f>IF($A16&lt;&gt;"",'All Cases - Enter Cases'!L16,"")</f>
        <v>46193</v>
      </c>
      <c r="M16" s="23">
        <f>IF($A16&lt;&gt;"",'All Cases - Enter Cases'!M16,"")</f>
        <v>0</v>
      </c>
    </row>
    <row r="17" spans="1:13" ht="20" customHeight="1" x14ac:dyDescent="0.35">
      <c r="A17" s="21" t="str">
        <f>IF('All Cases - Enter Cases'!$F17="Punjab",'All Cases - Enter Cases'!A17,"")</f>
        <v/>
      </c>
      <c r="B17" s="23" t="str">
        <f>IF($A17&lt;&gt;"",'All Cases - Enter Cases'!B17,"")</f>
        <v/>
      </c>
      <c r="C17" s="23" t="str">
        <f>IF($A17&lt;&gt;"",'All Cases - Enter Cases'!C17,"")</f>
        <v/>
      </c>
      <c r="D17" s="23" t="str">
        <f>IF($A17&lt;&gt;"",'All Cases - Enter Cases'!D17,"")</f>
        <v/>
      </c>
      <c r="E17" s="23" t="str">
        <f>IF($A17&lt;&gt;"",'All Cases - Enter Cases'!E17,"")</f>
        <v/>
      </c>
      <c r="F17" s="23" t="str">
        <f>IF($A17&lt;&gt;"",'All Cases - Enter Cases'!F17,"")</f>
        <v/>
      </c>
      <c r="G17" s="23" t="str">
        <f>IF($A17&lt;&gt;"",'All Cases - Enter Cases'!G17,"")</f>
        <v/>
      </c>
      <c r="H17" s="23" t="str">
        <f>IF($A17&lt;&gt;"",'All Cases - Enter Cases'!H17,"")</f>
        <v/>
      </c>
      <c r="I17" s="23" t="str">
        <f>IF($A17&lt;&gt;"",'All Cases - Enter Cases'!I17,"")</f>
        <v/>
      </c>
      <c r="J17" s="22" t="str">
        <f>IF($A17&lt;&gt;"",'All Cases - Enter Cases'!J17,"")</f>
        <v/>
      </c>
      <c r="K17" s="21" t="str">
        <f>IF($A17&lt;&gt;"",'All Cases - Enter Cases'!K17,"")</f>
        <v/>
      </c>
      <c r="L17" s="22" t="str">
        <f>IF($A17&lt;&gt;"",'All Cases - Enter Cases'!L17,"")</f>
        <v/>
      </c>
      <c r="M17" s="23" t="str">
        <f>IF($A17&lt;&gt;"",'All Cases - Enter Cases'!M17,"")</f>
        <v/>
      </c>
    </row>
    <row r="18" spans="1:13" ht="20" customHeight="1" x14ac:dyDescent="0.35">
      <c r="A18" s="21" t="str">
        <f>IF('All Cases - Enter Cases'!$F18="Punjab",'All Cases - Enter Cases'!A18,"")</f>
        <v/>
      </c>
      <c r="B18" s="23" t="str">
        <f>IF($A18&lt;&gt;"",'All Cases - Enter Cases'!B18,"")</f>
        <v/>
      </c>
      <c r="C18" s="23" t="str">
        <f>IF($A18&lt;&gt;"",'All Cases - Enter Cases'!C18,"")</f>
        <v/>
      </c>
      <c r="D18" s="23" t="str">
        <f>IF($A18&lt;&gt;"",'All Cases - Enter Cases'!D18,"")</f>
        <v/>
      </c>
      <c r="E18" s="23" t="str">
        <f>IF($A18&lt;&gt;"",'All Cases - Enter Cases'!E18,"")</f>
        <v/>
      </c>
      <c r="F18" s="23" t="str">
        <f>IF($A18&lt;&gt;"",'All Cases - Enter Cases'!F18,"")</f>
        <v/>
      </c>
      <c r="G18" s="23" t="str">
        <f>IF($A18&lt;&gt;"",'All Cases - Enter Cases'!G18,"")</f>
        <v/>
      </c>
      <c r="H18" s="23" t="str">
        <f>IF($A18&lt;&gt;"",'All Cases - Enter Cases'!H18,"")</f>
        <v/>
      </c>
      <c r="I18" s="23" t="str">
        <f>IF($A18&lt;&gt;"",'All Cases - Enter Cases'!I18,"")</f>
        <v/>
      </c>
      <c r="J18" s="22" t="str">
        <f>IF($A18&lt;&gt;"",'All Cases - Enter Cases'!J18,"")</f>
        <v/>
      </c>
      <c r="K18" s="21" t="str">
        <f>IF($A18&lt;&gt;"",'All Cases - Enter Cases'!K18,"")</f>
        <v/>
      </c>
      <c r="L18" s="22" t="str">
        <f>IF($A18&lt;&gt;"",'All Cases - Enter Cases'!L18,"")</f>
        <v/>
      </c>
      <c r="M18" s="23" t="str">
        <f>IF($A18&lt;&gt;"",'All Cases - Enter Cases'!M18,"")</f>
        <v/>
      </c>
    </row>
    <row r="19" spans="1:13" ht="20" customHeight="1" x14ac:dyDescent="0.35">
      <c r="A19" s="21" t="str">
        <f>IF('All Cases - Enter Cases'!$F19="Punjab",'All Cases - Enter Cases'!A19,"")</f>
        <v/>
      </c>
      <c r="B19" s="23" t="str">
        <f>IF($A19&lt;&gt;"",'All Cases - Enter Cases'!B19,"")</f>
        <v/>
      </c>
      <c r="C19" s="23" t="str">
        <f>IF($A19&lt;&gt;"",'All Cases - Enter Cases'!C19,"")</f>
        <v/>
      </c>
      <c r="D19" s="23" t="str">
        <f>IF($A19&lt;&gt;"",'All Cases - Enter Cases'!D19,"")</f>
        <v/>
      </c>
      <c r="E19" s="23" t="str">
        <f>IF($A19&lt;&gt;"",'All Cases - Enter Cases'!E19,"")</f>
        <v/>
      </c>
      <c r="F19" s="23" t="str">
        <f>IF($A19&lt;&gt;"",'All Cases - Enter Cases'!F19,"")</f>
        <v/>
      </c>
      <c r="G19" s="23" t="str">
        <f>IF($A19&lt;&gt;"",'All Cases - Enter Cases'!G19,"")</f>
        <v/>
      </c>
      <c r="H19" s="23" t="str">
        <f>IF($A19&lt;&gt;"",'All Cases - Enter Cases'!H19,"")</f>
        <v/>
      </c>
      <c r="I19" s="23" t="str">
        <f>IF($A19&lt;&gt;"",'All Cases - Enter Cases'!I19,"")</f>
        <v/>
      </c>
      <c r="J19" s="22" t="str">
        <f>IF($A19&lt;&gt;"",'All Cases - Enter Cases'!J19,"")</f>
        <v/>
      </c>
      <c r="K19" s="21" t="str">
        <f>IF($A19&lt;&gt;"",'All Cases - Enter Cases'!K19,"")</f>
        <v/>
      </c>
      <c r="L19" s="22" t="str">
        <f>IF($A19&lt;&gt;"",'All Cases - Enter Cases'!L19,"")</f>
        <v/>
      </c>
      <c r="M19" s="23" t="str">
        <f>IF($A19&lt;&gt;"",'All Cases - Enter Cases'!M19,"")</f>
        <v/>
      </c>
    </row>
    <row r="20" spans="1:13" ht="20" customHeight="1" x14ac:dyDescent="0.35">
      <c r="A20" s="4" t="str">
        <f>IF('All Cases - Enter Cases'!$F20="Punjab",'All Cases - Enter Cases'!A20,"")</f>
        <v/>
      </c>
      <c r="B20" t="str">
        <f>IF($A20&lt;&gt;"",'All Cases - Enter Cases'!B20,"")</f>
        <v/>
      </c>
      <c r="C20" t="str">
        <f>IF($A20&lt;&gt;"",'All Cases - Enter Cases'!C20,"")</f>
        <v/>
      </c>
      <c r="D20" t="str">
        <f>IF($A20&lt;&gt;"",'All Cases - Enter Cases'!D20,"")</f>
        <v/>
      </c>
      <c r="E20" t="str">
        <f>IF($A20&lt;&gt;"",'All Cases - Enter Cases'!E20,"")</f>
        <v/>
      </c>
      <c r="F20" t="str">
        <f>IF($A20&lt;&gt;"",'All Cases - Enter Cases'!F20,"")</f>
        <v/>
      </c>
      <c r="G20" t="str">
        <f>IF($A20&lt;&gt;"",'All Cases - Enter Cases'!G20,"")</f>
        <v/>
      </c>
      <c r="H20" t="str">
        <f>IF($A20&lt;&gt;"",'All Cases - Enter Cases'!H20,"")</f>
        <v/>
      </c>
      <c r="I20" t="str">
        <f>IF($A20&lt;&gt;"",'All Cases - Enter Cases'!I20,"")</f>
        <v/>
      </c>
      <c r="J20" s="19" t="str">
        <f>IF($A20&lt;&gt;"",'All Cases - Enter Cases'!J20,"")</f>
        <v/>
      </c>
      <c r="K20" s="4" t="str">
        <f>IF($A20&lt;&gt;"",'All Cases - Enter Cases'!K20,"")</f>
        <v/>
      </c>
      <c r="L20" s="19" t="str">
        <f>IF($A20&lt;&gt;"",'All Cases - Enter Cases'!L20,"")</f>
        <v/>
      </c>
      <c r="M20" t="str">
        <f>IF($A20&lt;&gt;"",'All Cases - Enter Cases'!M20,"")</f>
        <v/>
      </c>
    </row>
    <row r="21" spans="1:13" ht="20" customHeight="1" x14ac:dyDescent="0.35">
      <c r="A21" s="4" t="str">
        <f>IF('All Cases - Enter Cases'!$F21="Punjab",'All Cases - Enter Cases'!A21,"")</f>
        <v/>
      </c>
      <c r="B21" t="str">
        <f>IF($A21&lt;&gt;"",'All Cases - Enter Cases'!B21,"")</f>
        <v/>
      </c>
      <c r="C21" t="str">
        <f>IF($A21&lt;&gt;"",'All Cases - Enter Cases'!C21,"")</f>
        <v/>
      </c>
      <c r="D21" t="str">
        <f>IF($A21&lt;&gt;"",'All Cases - Enter Cases'!D21,"")</f>
        <v/>
      </c>
      <c r="E21" t="str">
        <f>IF($A21&lt;&gt;"",'All Cases - Enter Cases'!E21,"")</f>
        <v/>
      </c>
      <c r="F21" t="str">
        <f>IF($A21&lt;&gt;"",'All Cases - Enter Cases'!F21,"")</f>
        <v/>
      </c>
      <c r="G21" t="str">
        <f>IF($A21&lt;&gt;"",'All Cases - Enter Cases'!G21,"")</f>
        <v/>
      </c>
      <c r="H21" t="str">
        <f>IF($A21&lt;&gt;"",'All Cases - Enter Cases'!H21,"")</f>
        <v/>
      </c>
      <c r="I21" t="str">
        <f>IF($A21&lt;&gt;"",'All Cases - Enter Cases'!I21,"")</f>
        <v/>
      </c>
      <c r="J21" s="19" t="str">
        <f>IF($A21&lt;&gt;"",'All Cases - Enter Cases'!J21,"")</f>
        <v/>
      </c>
      <c r="K21" s="4" t="str">
        <f>IF($A21&lt;&gt;"",'All Cases - Enter Cases'!K21,"")</f>
        <v/>
      </c>
      <c r="L21" s="19" t="str">
        <f>IF($A21&lt;&gt;"",'All Cases - Enter Cases'!L21,"")</f>
        <v/>
      </c>
      <c r="M21" t="str">
        <f>IF($A21&lt;&gt;"",'All Cases - Enter Cases'!M21,"")</f>
        <v/>
      </c>
    </row>
    <row r="22" spans="1:13" ht="20" customHeight="1" x14ac:dyDescent="0.35">
      <c r="A22" s="4" t="str">
        <f>IF('All Cases - Enter Cases'!$F22="Punjab",'All Cases - Enter Cases'!A22,"")</f>
        <v/>
      </c>
      <c r="B22" t="str">
        <f>IF($A22&lt;&gt;"",'All Cases - Enter Cases'!B22,"")</f>
        <v/>
      </c>
      <c r="C22" t="str">
        <f>IF($A22&lt;&gt;"",'All Cases - Enter Cases'!C22,"")</f>
        <v/>
      </c>
      <c r="D22" t="str">
        <f>IF($A22&lt;&gt;"",'All Cases - Enter Cases'!D22,"")</f>
        <v/>
      </c>
      <c r="E22" t="str">
        <f>IF($A22&lt;&gt;"",'All Cases - Enter Cases'!E22,"")</f>
        <v/>
      </c>
      <c r="F22" t="str">
        <f>IF($A22&lt;&gt;"",'All Cases - Enter Cases'!F22,"")</f>
        <v/>
      </c>
      <c r="G22" t="str">
        <f>IF($A22&lt;&gt;"",'All Cases - Enter Cases'!G22,"")</f>
        <v/>
      </c>
      <c r="H22" t="str">
        <f>IF($A22&lt;&gt;"",'All Cases - Enter Cases'!H22,"")</f>
        <v/>
      </c>
      <c r="I22" t="str">
        <f>IF($A22&lt;&gt;"",'All Cases - Enter Cases'!I22,"")</f>
        <v/>
      </c>
      <c r="J22" s="19" t="str">
        <f>IF($A22&lt;&gt;"",'All Cases - Enter Cases'!J22,"")</f>
        <v/>
      </c>
      <c r="K22" s="4" t="str">
        <f>IF($A22&lt;&gt;"",'All Cases - Enter Cases'!K22,"")</f>
        <v/>
      </c>
      <c r="L22" s="19" t="str">
        <f>IF($A22&lt;&gt;"",'All Cases - Enter Cases'!L22,"")</f>
        <v/>
      </c>
      <c r="M22" t="str">
        <f>IF($A22&lt;&gt;"",'All Cases - Enter Cases'!M22,"")</f>
        <v/>
      </c>
    </row>
    <row r="23" spans="1:13" x14ac:dyDescent="0.35">
      <c r="A23" s="4" t="str">
        <f>IF('All Cases - Enter Cases'!$F23="Punjab",'All Cases - Enter Cases'!A23,"")</f>
        <v/>
      </c>
      <c r="B23" t="str">
        <f>IF($A23&lt;&gt;"",'All Cases - Enter Cases'!B23,"")</f>
        <v/>
      </c>
      <c r="C23" t="str">
        <f>IF($A23&lt;&gt;"",'All Cases - Enter Cases'!C23,"")</f>
        <v/>
      </c>
      <c r="D23" t="str">
        <f>IF($A23&lt;&gt;"",'All Cases - Enter Cases'!D23,"")</f>
        <v/>
      </c>
      <c r="E23" t="str">
        <f>IF($A23&lt;&gt;"",'All Cases - Enter Cases'!E23,"")</f>
        <v/>
      </c>
      <c r="F23" t="str">
        <f>IF($A23&lt;&gt;"",'All Cases - Enter Cases'!F23,"")</f>
        <v/>
      </c>
      <c r="G23" t="str">
        <f>IF($A23&lt;&gt;"",'All Cases - Enter Cases'!G23,"")</f>
        <v/>
      </c>
      <c r="H23" t="str">
        <f>IF($A23&lt;&gt;"",'All Cases - Enter Cases'!H23,"")</f>
        <v/>
      </c>
      <c r="I23" t="str">
        <f>IF($A23&lt;&gt;"",'All Cases - Enter Cases'!I23,"")</f>
        <v/>
      </c>
      <c r="J23" s="19" t="str">
        <f>IF($A23&lt;&gt;"",'All Cases - Enter Cases'!J23,"")</f>
        <v/>
      </c>
      <c r="K23" s="4" t="str">
        <f>IF($A23&lt;&gt;"",'All Cases - Enter Cases'!K23,"")</f>
        <v/>
      </c>
      <c r="L23" s="19" t="str">
        <f>IF($A23&lt;&gt;"",'All Cases - Enter Cases'!L23,"")</f>
        <v/>
      </c>
      <c r="M23" t="str">
        <f>IF($A23&lt;&gt;"",'All Cases - Enter Cases'!M23,"")</f>
        <v/>
      </c>
    </row>
    <row r="24" spans="1:13" x14ac:dyDescent="0.35">
      <c r="A24" s="4" t="str">
        <f>IF('All Cases - Enter Cases'!$F24="Punjab",'All Cases - Enter Cases'!A24,"")</f>
        <v/>
      </c>
      <c r="B24" t="str">
        <f>IF($A24&lt;&gt;"",'All Cases - Enter Cases'!B24,"")</f>
        <v/>
      </c>
      <c r="C24" t="str">
        <f>IF($A24&lt;&gt;"",'All Cases - Enter Cases'!C24,"")</f>
        <v/>
      </c>
      <c r="D24" t="str">
        <f>IF($A24&lt;&gt;"",'All Cases - Enter Cases'!D24,"")</f>
        <v/>
      </c>
      <c r="E24" t="str">
        <f>IF($A24&lt;&gt;"",'All Cases - Enter Cases'!E24,"")</f>
        <v/>
      </c>
      <c r="F24" t="str">
        <f>IF($A24&lt;&gt;"",'All Cases - Enter Cases'!F24,"")</f>
        <v/>
      </c>
      <c r="G24" t="str">
        <f>IF($A24&lt;&gt;"",'All Cases - Enter Cases'!G24,"")</f>
        <v/>
      </c>
      <c r="H24" t="str">
        <f>IF($A24&lt;&gt;"",'All Cases - Enter Cases'!H24,"")</f>
        <v/>
      </c>
      <c r="I24" t="str">
        <f>IF($A24&lt;&gt;"",'All Cases - Enter Cases'!I24,"")</f>
        <v/>
      </c>
      <c r="J24" s="19" t="str">
        <f>IF($A24&lt;&gt;"",'All Cases - Enter Cases'!J24,"")</f>
        <v/>
      </c>
      <c r="K24" s="4" t="str">
        <f>IF($A24&lt;&gt;"",'All Cases - Enter Cases'!K24,"")</f>
        <v/>
      </c>
      <c r="L24" s="19" t="str">
        <f>IF($A24&lt;&gt;"",'All Cases - Enter Cases'!L24,"")</f>
        <v/>
      </c>
      <c r="M24" t="str">
        <f>IF($A24&lt;&gt;"",'All Cases - Enter Cases'!M24,"")</f>
        <v/>
      </c>
    </row>
    <row r="25" spans="1:13" x14ac:dyDescent="0.35">
      <c r="A25" s="4" t="str">
        <f>IF('All Cases - Enter Cases'!$F25="Punjab",'All Cases - Enter Cases'!A25,"")</f>
        <v/>
      </c>
      <c r="B25" t="str">
        <f>IF($A25&lt;&gt;"",'All Cases - Enter Cases'!B25,"")</f>
        <v/>
      </c>
      <c r="C25" t="str">
        <f>IF($A25&lt;&gt;"",'All Cases - Enter Cases'!C25,"")</f>
        <v/>
      </c>
      <c r="D25" t="str">
        <f>IF($A25&lt;&gt;"",'All Cases - Enter Cases'!D25,"")</f>
        <v/>
      </c>
      <c r="E25" t="str">
        <f>IF($A25&lt;&gt;"",'All Cases - Enter Cases'!E25,"")</f>
        <v/>
      </c>
      <c r="F25" t="str">
        <f>IF($A25&lt;&gt;"",'All Cases - Enter Cases'!F25,"")</f>
        <v/>
      </c>
      <c r="G25" t="str">
        <f>IF($A25&lt;&gt;"",'All Cases - Enter Cases'!G25,"")</f>
        <v/>
      </c>
      <c r="H25" t="str">
        <f>IF($A25&lt;&gt;"",'All Cases - Enter Cases'!H25,"")</f>
        <v/>
      </c>
      <c r="I25" t="str">
        <f>IF($A25&lt;&gt;"",'All Cases - Enter Cases'!I25,"")</f>
        <v/>
      </c>
      <c r="J25" s="19" t="str">
        <f>IF($A25&lt;&gt;"",'All Cases - Enter Cases'!J25,"")</f>
        <v/>
      </c>
      <c r="K25" s="4" t="str">
        <f>IF($A25&lt;&gt;"",'All Cases - Enter Cases'!K25,"")</f>
        <v/>
      </c>
      <c r="L25" s="19" t="str">
        <f>IF($A25&lt;&gt;"",'All Cases - Enter Cases'!L25,"")</f>
        <v/>
      </c>
      <c r="M25" t="str">
        <f>IF($A25&lt;&gt;"",'All Cases - Enter Cases'!M25,"")</f>
        <v/>
      </c>
    </row>
    <row r="26" spans="1:13" x14ac:dyDescent="0.35">
      <c r="A26" s="4" t="str">
        <f>IF('All Cases - Enter Cases'!$F26="Punjab",'All Cases - Enter Cases'!A26,"")</f>
        <v/>
      </c>
      <c r="B26" t="str">
        <f>IF($A26&lt;&gt;"",'All Cases - Enter Cases'!B26,"")</f>
        <v/>
      </c>
      <c r="C26" t="str">
        <f>IF($A26&lt;&gt;"",'All Cases - Enter Cases'!C26,"")</f>
        <v/>
      </c>
      <c r="D26" t="str">
        <f>IF($A26&lt;&gt;"",'All Cases - Enter Cases'!D26,"")</f>
        <v/>
      </c>
      <c r="E26" t="str">
        <f>IF($A26&lt;&gt;"",'All Cases - Enter Cases'!E26,"")</f>
        <v/>
      </c>
      <c r="F26" t="str">
        <f>IF($A26&lt;&gt;"",'All Cases - Enter Cases'!F26,"")</f>
        <v/>
      </c>
      <c r="G26" t="str">
        <f>IF($A26&lt;&gt;"",'All Cases - Enter Cases'!G26,"")</f>
        <v/>
      </c>
      <c r="H26" t="str">
        <f>IF($A26&lt;&gt;"",'All Cases - Enter Cases'!H26,"")</f>
        <v/>
      </c>
      <c r="I26" t="str">
        <f>IF($A26&lt;&gt;"",'All Cases - Enter Cases'!I26,"")</f>
        <v/>
      </c>
      <c r="J26" s="19" t="str">
        <f>IF($A26&lt;&gt;"",'All Cases - Enter Cases'!J26,"")</f>
        <v/>
      </c>
      <c r="K26" s="4" t="str">
        <f>IF($A26&lt;&gt;"",'All Cases - Enter Cases'!K26,"")</f>
        <v/>
      </c>
      <c r="L26" s="19" t="str">
        <f>IF($A26&lt;&gt;"",'All Cases - Enter Cases'!L26,"")</f>
        <v/>
      </c>
      <c r="M26" t="str">
        <f>IF($A26&lt;&gt;"",'All Cases - Enter Cases'!M26,"")</f>
        <v/>
      </c>
    </row>
    <row r="27" spans="1:13" x14ac:dyDescent="0.35">
      <c r="A27" s="4" t="str">
        <f>IF('All Cases - Enter Cases'!$F27="Punjab",'All Cases - Enter Cases'!A27,"")</f>
        <v/>
      </c>
      <c r="B27" t="str">
        <f>IF($A27&lt;&gt;"",'All Cases - Enter Cases'!B27,"")</f>
        <v/>
      </c>
      <c r="C27" t="str">
        <f>IF($A27&lt;&gt;"",'All Cases - Enter Cases'!C27,"")</f>
        <v/>
      </c>
      <c r="D27" t="str">
        <f>IF($A27&lt;&gt;"",'All Cases - Enter Cases'!D27,"")</f>
        <v/>
      </c>
      <c r="E27" t="str">
        <f>IF($A27&lt;&gt;"",'All Cases - Enter Cases'!E27,"")</f>
        <v/>
      </c>
      <c r="F27" t="str">
        <f>IF($A27&lt;&gt;"",'All Cases - Enter Cases'!F27,"")</f>
        <v/>
      </c>
      <c r="G27" t="str">
        <f>IF($A27&lt;&gt;"",'All Cases - Enter Cases'!G27,"")</f>
        <v/>
      </c>
      <c r="H27" t="str">
        <f>IF($A27&lt;&gt;"",'All Cases - Enter Cases'!H27,"")</f>
        <v/>
      </c>
      <c r="I27" t="str">
        <f>IF($A27&lt;&gt;"",'All Cases - Enter Cases'!I27,"")</f>
        <v/>
      </c>
      <c r="J27" s="19" t="str">
        <f>IF($A27&lt;&gt;"",'All Cases - Enter Cases'!J27,"")</f>
        <v/>
      </c>
      <c r="K27" s="4" t="str">
        <f>IF($A27&lt;&gt;"",'All Cases - Enter Cases'!K27,"")</f>
        <v/>
      </c>
      <c r="L27" s="19" t="str">
        <f>IF($A27&lt;&gt;"",'All Cases - Enter Cases'!L27,"")</f>
        <v/>
      </c>
      <c r="M27" t="str">
        <f>IF($A27&lt;&gt;"",'All Cases - Enter Cases'!M27,"")</f>
        <v/>
      </c>
    </row>
    <row r="28" spans="1:13" x14ac:dyDescent="0.35">
      <c r="A28" s="4" t="str">
        <f>IF('All Cases - Enter Cases'!$F28="Punjab",'All Cases - Enter Cases'!A28,"")</f>
        <v/>
      </c>
      <c r="B28" t="str">
        <f>IF($A28&lt;&gt;"",'All Cases - Enter Cases'!B28,"")</f>
        <v/>
      </c>
      <c r="C28" t="str">
        <f>IF($A28&lt;&gt;"",'All Cases - Enter Cases'!C28,"")</f>
        <v/>
      </c>
      <c r="D28" t="str">
        <f>IF($A28&lt;&gt;"",'All Cases - Enter Cases'!D28,"")</f>
        <v/>
      </c>
      <c r="E28" t="str">
        <f>IF($A28&lt;&gt;"",'All Cases - Enter Cases'!E28,"")</f>
        <v/>
      </c>
      <c r="F28" t="str">
        <f>IF($A28&lt;&gt;"",'All Cases - Enter Cases'!F28,"")</f>
        <v/>
      </c>
      <c r="G28" t="str">
        <f>IF($A28&lt;&gt;"",'All Cases - Enter Cases'!G28,"")</f>
        <v/>
      </c>
      <c r="H28" t="str">
        <f>IF($A28&lt;&gt;"",'All Cases - Enter Cases'!H28,"")</f>
        <v/>
      </c>
      <c r="I28" t="str">
        <f>IF($A28&lt;&gt;"",'All Cases - Enter Cases'!I28,"")</f>
        <v/>
      </c>
      <c r="J28" s="19" t="str">
        <f>IF($A28&lt;&gt;"",'All Cases - Enter Cases'!J28,"")</f>
        <v/>
      </c>
      <c r="K28" s="4" t="str">
        <f>IF($A28&lt;&gt;"",'All Cases - Enter Cases'!K28,"")</f>
        <v/>
      </c>
      <c r="L28" s="19" t="str">
        <f>IF($A28&lt;&gt;"",'All Cases - Enter Cases'!L28,"")</f>
        <v/>
      </c>
      <c r="M28" t="str">
        <f>IF($A28&lt;&gt;"",'All Cases - Enter Cases'!M28,"")</f>
        <v/>
      </c>
    </row>
    <row r="29" spans="1:13" x14ac:dyDescent="0.35">
      <c r="A29" s="4" t="str">
        <f>IF('All Cases - Enter Cases'!$F29="Punjab",'All Cases - Enter Cases'!A29,"")</f>
        <v/>
      </c>
      <c r="B29" t="str">
        <f>IF($A29&lt;&gt;"",'All Cases - Enter Cases'!B29,"")</f>
        <v/>
      </c>
      <c r="C29" t="str">
        <f>IF($A29&lt;&gt;"",'All Cases - Enter Cases'!C29,"")</f>
        <v/>
      </c>
      <c r="D29" t="str">
        <f>IF($A29&lt;&gt;"",'All Cases - Enter Cases'!D29,"")</f>
        <v/>
      </c>
      <c r="E29" t="str">
        <f>IF($A29&lt;&gt;"",'All Cases - Enter Cases'!E29,"")</f>
        <v/>
      </c>
      <c r="F29" t="str">
        <f>IF($A29&lt;&gt;"",'All Cases - Enter Cases'!F29,"")</f>
        <v/>
      </c>
      <c r="G29" t="str">
        <f>IF($A29&lt;&gt;"",'All Cases - Enter Cases'!G29,"")</f>
        <v/>
      </c>
      <c r="H29" t="str">
        <f>IF($A29&lt;&gt;"",'All Cases - Enter Cases'!H29,"")</f>
        <v/>
      </c>
      <c r="I29" t="str">
        <f>IF($A29&lt;&gt;"",'All Cases - Enter Cases'!I29,"")</f>
        <v/>
      </c>
      <c r="J29" s="19" t="str">
        <f>IF($A29&lt;&gt;"",'All Cases - Enter Cases'!J29,"")</f>
        <v/>
      </c>
      <c r="K29" s="4" t="str">
        <f>IF($A29&lt;&gt;"",'All Cases - Enter Cases'!K29,"")</f>
        <v/>
      </c>
      <c r="L29" s="19" t="str">
        <f>IF($A29&lt;&gt;"",'All Cases - Enter Cases'!L29,"")</f>
        <v/>
      </c>
      <c r="M29" t="str">
        <f>IF($A29&lt;&gt;"",'All Cases - Enter Cases'!M29,"")</f>
        <v/>
      </c>
    </row>
    <row r="30" spans="1:13" x14ac:dyDescent="0.35">
      <c r="A30" s="4" t="str">
        <f>IF('All Cases - Enter Cases'!$F30="Punjab",'All Cases - Enter Cases'!A30,"")</f>
        <v/>
      </c>
      <c r="B30" t="str">
        <f>IF($A30&lt;&gt;"",'All Cases - Enter Cases'!B30,"")</f>
        <v/>
      </c>
      <c r="C30" t="str">
        <f>IF($A30&lt;&gt;"",'All Cases - Enter Cases'!C30,"")</f>
        <v/>
      </c>
      <c r="D30" t="str">
        <f>IF($A30&lt;&gt;"",'All Cases - Enter Cases'!D30,"")</f>
        <v/>
      </c>
      <c r="E30" t="str">
        <f>IF($A30&lt;&gt;"",'All Cases - Enter Cases'!E30,"")</f>
        <v/>
      </c>
      <c r="F30" t="str">
        <f>IF($A30&lt;&gt;"",'All Cases - Enter Cases'!F30,"")</f>
        <v/>
      </c>
      <c r="G30" t="str">
        <f>IF($A30&lt;&gt;"",'All Cases - Enter Cases'!G30,"")</f>
        <v/>
      </c>
      <c r="H30" t="str">
        <f>IF($A30&lt;&gt;"",'All Cases - Enter Cases'!H30,"")</f>
        <v/>
      </c>
      <c r="I30" t="str">
        <f>IF($A30&lt;&gt;"",'All Cases - Enter Cases'!I30,"")</f>
        <v/>
      </c>
      <c r="J30" s="19" t="str">
        <f>IF($A30&lt;&gt;"",'All Cases - Enter Cases'!J30,"")</f>
        <v/>
      </c>
      <c r="K30" s="4" t="str">
        <f>IF($A30&lt;&gt;"",'All Cases - Enter Cases'!K30,"")</f>
        <v/>
      </c>
      <c r="L30" s="19" t="str">
        <f>IF($A30&lt;&gt;"",'All Cases - Enter Cases'!L30,"")</f>
        <v/>
      </c>
      <c r="M30" t="str">
        <f>IF($A30&lt;&gt;"",'All Cases - Enter Cases'!M30,"")</f>
        <v/>
      </c>
    </row>
    <row r="31" spans="1:13" x14ac:dyDescent="0.35">
      <c r="A31" s="4" t="str">
        <f>IF('All Cases - Enter Cases'!$F31="Punjab",'All Cases - Enter Cases'!A31,"")</f>
        <v/>
      </c>
      <c r="B31" t="str">
        <f>IF($A31&lt;&gt;"",'All Cases - Enter Cases'!B31,"")</f>
        <v/>
      </c>
      <c r="C31" t="str">
        <f>IF($A31&lt;&gt;"",'All Cases - Enter Cases'!C31,"")</f>
        <v/>
      </c>
      <c r="D31" t="str">
        <f>IF($A31&lt;&gt;"",'All Cases - Enter Cases'!D31,"")</f>
        <v/>
      </c>
      <c r="E31" t="str">
        <f>IF($A31&lt;&gt;"",'All Cases - Enter Cases'!E31,"")</f>
        <v/>
      </c>
      <c r="F31" t="str">
        <f>IF($A31&lt;&gt;"",'All Cases - Enter Cases'!F31,"")</f>
        <v/>
      </c>
      <c r="G31" t="str">
        <f>IF($A31&lt;&gt;"",'All Cases - Enter Cases'!G31,"")</f>
        <v/>
      </c>
      <c r="H31" t="str">
        <f>IF($A31&lt;&gt;"",'All Cases - Enter Cases'!H31,"")</f>
        <v/>
      </c>
      <c r="I31" t="str">
        <f>IF($A31&lt;&gt;"",'All Cases - Enter Cases'!I31,"")</f>
        <v/>
      </c>
      <c r="J31" s="19" t="str">
        <f>IF($A31&lt;&gt;"",'All Cases - Enter Cases'!J31,"")</f>
        <v/>
      </c>
      <c r="K31" s="4" t="str">
        <f>IF($A31&lt;&gt;"",'All Cases - Enter Cases'!K31,"")</f>
        <v/>
      </c>
      <c r="L31" s="19" t="str">
        <f>IF($A31&lt;&gt;"",'All Cases - Enter Cases'!L31,"")</f>
        <v/>
      </c>
      <c r="M31" t="str">
        <f>IF($A31&lt;&gt;"",'All Cases - Enter Cases'!M31,"")</f>
        <v/>
      </c>
    </row>
    <row r="32" spans="1:13" x14ac:dyDescent="0.35">
      <c r="A32" s="4" t="str">
        <f>IF('All Cases - Enter Cases'!$F32="Punjab",'All Cases - Enter Cases'!A32,"")</f>
        <v/>
      </c>
      <c r="B32" t="str">
        <f>IF($A32&lt;&gt;"",'All Cases - Enter Cases'!B32,"")</f>
        <v/>
      </c>
      <c r="C32" t="str">
        <f>IF($A32&lt;&gt;"",'All Cases - Enter Cases'!C32,"")</f>
        <v/>
      </c>
      <c r="D32" t="str">
        <f>IF($A32&lt;&gt;"",'All Cases - Enter Cases'!D32,"")</f>
        <v/>
      </c>
      <c r="E32" t="str">
        <f>IF($A32&lt;&gt;"",'All Cases - Enter Cases'!E32,"")</f>
        <v/>
      </c>
      <c r="F32" t="str">
        <f>IF($A32&lt;&gt;"",'All Cases - Enter Cases'!F32,"")</f>
        <v/>
      </c>
      <c r="G32" t="str">
        <f>IF($A32&lt;&gt;"",'All Cases - Enter Cases'!G32,"")</f>
        <v/>
      </c>
      <c r="H32" t="str">
        <f>IF($A32&lt;&gt;"",'All Cases - Enter Cases'!H32,"")</f>
        <v/>
      </c>
      <c r="I32" t="str">
        <f>IF($A32&lt;&gt;"",'All Cases - Enter Cases'!I32,"")</f>
        <v/>
      </c>
      <c r="J32" s="19" t="str">
        <f>IF($A32&lt;&gt;"",'All Cases - Enter Cases'!J32,"")</f>
        <v/>
      </c>
      <c r="K32" s="4" t="str">
        <f>IF($A32&lt;&gt;"",'All Cases - Enter Cases'!K32,"")</f>
        <v/>
      </c>
      <c r="L32" s="19" t="str">
        <f>IF($A32&lt;&gt;"",'All Cases - Enter Cases'!L32,"")</f>
        <v/>
      </c>
      <c r="M32" t="str">
        <f>IF($A32&lt;&gt;"",'All Cases - Enter Cases'!M32,"")</f>
        <v/>
      </c>
    </row>
    <row r="33" spans="1:13" x14ac:dyDescent="0.35">
      <c r="A33" s="4" t="str">
        <f>IF('All Cases - Enter Cases'!$F33="Punjab",'All Cases - Enter Cases'!A33,"")</f>
        <v/>
      </c>
      <c r="B33" t="str">
        <f>IF($A33&lt;&gt;"",'All Cases - Enter Cases'!B33,"")</f>
        <v/>
      </c>
      <c r="C33" t="str">
        <f>IF($A33&lt;&gt;"",'All Cases - Enter Cases'!C33,"")</f>
        <v/>
      </c>
      <c r="D33" t="str">
        <f>IF($A33&lt;&gt;"",'All Cases - Enter Cases'!D33,"")</f>
        <v/>
      </c>
      <c r="E33" t="str">
        <f>IF($A33&lt;&gt;"",'All Cases - Enter Cases'!E33,"")</f>
        <v/>
      </c>
      <c r="F33" t="str">
        <f>IF($A33&lt;&gt;"",'All Cases - Enter Cases'!F33,"")</f>
        <v/>
      </c>
      <c r="G33" t="str">
        <f>IF($A33&lt;&gt;"",'All Cases - Enter Cases'!G33,"")</f>
        <v/>
      </c>
      <c r="H33" t="str">
        <f>IF($A33&lt;&gt;"",'All Cases - Enter Cases'!H33,"")</f>
        <v/>
      </c>
      <c r="I33" t="str">
        <f>IF($A33&lt;&gt;"",'All Cases - Enter Cases'!I33,"")</f>
        <v/>
      </c>
      <c r="J33" s="19" t="str">
        <f>IF($A33&lt;&gt;"",'All Cases - Enter Cases'!J33,"")</f>
        <v/>
      </c>
      <c r="K33" s="4" t="str">
        <f>IF($A33&lt;&gt;"",'All Cases - Enter Cases'!K33,"")</f>
        <v/>
      </c>
      <c r="L33" s="19" t="str">
        <f>IF($A33&lt;&gt;"",'All Cases - Enter Cases'!L33,"")</f>
        <v/>
      </c>
      <c r="M33" t="str">
        <f>IF($A33&lt;&gt;"",'All Cases - Enter Cases'!M33,"")</f>
        <v/>
      </c>
    </row>
    <row r="34" spans="1:13" x14ac:dyDescent="0.35">
      <c r="A34" s="4" t="str">
        <f>IF('All Cases - Enter Cases'!$F34="Punjab",'All Cases - Enter Cases'!A34,"")</f>
        <v/>
      </c>
      <c r="B34" t="str">
        <f>IF($A34&lt;&gt;"",'All Cases - Enter Cases'!B34,"")</f>
        <v/>
      </c>
      <c r="C34" t="str">
        <f>IF($A34&lt;&gt;"",'All Cases - Enter Cases'!C34,"")</f>
        <v/>
      </c>
      <c r="D34" t="str">
        <f>IF($A34&lt;&gt;"",'All Cases - Enter Cases'!D34,"")</f>
        <v/>
      </c>
      <c r="E34" t="str">
        <f>IF($A34&lt;&gt;"",'All Cases - Enter Cases'!E34,"")</f>
        <v/>
      </c>
      <c r="F34" t="str">
        <f>IF($A34&lt;&gt;"",'All Cases - Enter Cases'!F34,"")</f>
        <v/>
      </c>
      <c r="G34" t="str">
        <f>IF($A34&lt;&gt;"",'All Cases - Enter Cases'!G34,"")</f>
        <v/>
      </c>
      <c r="H34" t="str">
        <f>IF($A34&lt;&gt;"",'All Cases - Enter Cases'!H34,"")</f>
        <v/>
      </c>
      <c r="I34" t="str">
        <f>IF($A34&lt;&gt;"",'All Cases - Enter Cases'!I34,"")</f>
        <v/>
      </c>
      <c r="J34" s="19" t="str">
        <f>IF($A34&lt;&gt;"",'All Cases - Enter Cases'!J34,"")</f>
        <v/>
      </c>
      <c r="K34" s="4" t="str">
        <f>IF($A34&lt;&gt;"",'All Cases - Enter Cases'!K34,"")</f>
        <v/>
      </c>
      <c r="L34" s="19" t="str">
        <f>IF($A34&lt;&gt;"",'All Cases - Enter Cases'!L34,"")</f>
        <v/>
      </c>
      <c r="M34" t="str">
        <f>IF($A34&lt;&gt;"",'All Cases - Enter Cases'!M34,"")</f>
        <v/>
      </c>
    </row>
    <row r="35" spans="1:13" x14ac:dyDescent="0.35">
      <c r="A35" s="4" t="str">
        <f>IF('All Cases - Enter Cases'!$F35="Punjab",'All Cases - Enter Cases'!A35,"")</f>
        <v/>
      </c>
      <c r="B35" t="str">
        <f>IF($A35&lt;&gt;"",'All Cases - Enter Cases'!B35,"")</f>
        <v/>
      </c>
      <c r="C35" t="str">
        <f>IF($A35&lt;&gt;"",'All Cases - Enter Cases'!C35,"")</f>
        <v/>
      </c>
      <c r="D35" t="str">
        <f>IF($A35&lt;&gt;"",'All Cases - Enter Cases'!D35,"")</f>
        <v/>
      </c>
      <c r="E35" t="str">
        <f>IF($A35&lt;&gt;"",'All Cases - Enter Cases'!E35,"")</f>
        <v/>
      </c>
      <c r="F35" t="str">
        <f>IF($A35&lt;&gt;"",'All Cases - Enter Cases'!F35,"")</f>
        <v/>
      </c>
      <c r="G35" t="str">
        <f>IF($A35&lt;&gt;"",'All Cases - Enter Cases'!G35,"")</f>
        <v/>
      </c>
      <c r="H35" t="str">
        <f>IF($A35&lt;&gt;"",'All Cases - Enter Cases'!H35,"")</f>
        <v/>
      </c>
      <c r="I35" t="str">
        <f>IF($A35&lt;&gt;"",'All Cases - Enter Cases'!I35,"")</f>
        <v/>
      </c>
      <c r="J35" s="19" t="str">
        <f>IF($A35&lt;&gt;"",'All Cases - Enter Cases'!J35,"")</f>
        <v/>
      </c>
      <c r="K35" s="4" t="str">
        <f>IF($A35&lt;&gt;"",'All Cases - Enter Cases'!K35,"")</f>
        <v/>
      </c>
      <c r="L35" s="19" t="str">
        <f>IF($A35&lt;&gt;"",'All Cases - Enter Cases'!L35,"")</f>
        <v/>
      </c>
      <c r="M35" t="str">
        <f>IF($A35&lt;&gt;"",'All Cases - Enter Cases'!M35,"")</f>
        <v/>
      </c>
    </row>
    <row r="36" spans="1:13" x14ac:dyDescent="0.35">
      <c r="A36" s="4" t="str">
        <f>IF('All Cases - Enter Cases'!$F36="Punjab",'All Cases - Enter Cases'!A36,"")</f>
        <v/>
      </c>
      <c r="B36" t="str">
        <f>IF($A36&lt;&gt;"",'All Cases - Enter Cases'!B36,"")</f>
        <v/>
      </c>
      <c r="C36" t="str">
        <f>IF($A36&lt;&gt;"",'All Cases - Enter Cases'!C36,"")</f>
        <v/>
      </c>
      <c r="D36" t="str">
        <f>IF($A36&lt;&gt;"",'All Cases - Enter Cases'!D36,"")</f>
        <v/>
      </c>
      <c r="E36" t="str">
        <f>IF($A36&lt;&gt;"",'All Cases - Enter Cases'!E36,"")</f>
        <v/>
      </c>
      <c r="F36" t="str">
        <f>IF($A36&lt;&gt;"",'All Cases - Enter Cases'!F36,"")</f>
        <v/>
      </c>
      <c r="G36" t="str">
        <f>IF($A36&lt;&gt;"",'All Cases - Enter Cases'!G36,"")</f>
        <v/>
      </c>
      <c r="H36" t="str">
        <f>IF($A36&lt;&gt;"",'All Cases - Enter Cases'!H36,"")</f>
        <v/>
      </c>
      <c r="I36" t="str">
        <f>IF($A36&lt;&gt;"",'All Cases - Enter Cases'!I36,"")</f>
        <v/>
      </c>
      <c r="J36" s="19" t="str">
        <f>IF($A36&lt;&gt;"",'All Cases - Enter Cases'!J36,"")</f>
        <v/>
      </c>
      <c r="K36" s="4" t="str">
        <f>IF($A36&lt;&gt;"",'All Cases - Enter Cases'!K36,"")</f>
        <v/>
      </c>
      <c r="L36" s="19" t="str">
        <f>IF($A36&lt;&gt;"",'All Cases - Enter Cases'!L36,"")</f>
        <v/>
      </c>
      <c r="M36" t="str">
        <f>IF($A36&lt;&gt;"",'All Cases - Enter Cases'!M36,"")</f>
        <v/>
      </c>
    </row>
    <row r="37" spans="1:13" x14ac:dyDescent="0.35">
      <c r="A37" s="4" t="str">
        <f>IF('All Cases - Enter Cases'!$F37="Punjab",'All Cases - Enter Cases'!A37,"")</f>
        <v/>
      </c>
      <c r="B37" t="str">
        <f>IF($A37&lt;&gt;"",'All Cases - Enter Cases'!B37,"")</f>
        <v/>
      </c>
      <c r="C37" t="str">
        <f>IF($A37&lt;&gt;"",'All Cases - Enter Cases'!C37,"")</f>
        <v/>
      </c>
      <c r="D37" t="str">
        <f>IF($A37&lt;&gt;"",'All Cases - Enter Cases'!D37,"")</f>
        <v/>
      </c>
      <c r="E37" t="str">
        <f>IF($A37&lt;&gt;"",'All Cases - Enter Cases'!E37,"")</f>
        <v/>
      </c>
      <c r="F37" t="str">
        <f>IF($A37&lt;&gt;"",'All Cases - Enter Cases'!F37,"")</f>
        <v/>
      </c>
      <c r="G37" t="str">
        <f>IF($A37&lt;&gt;"",'All Cases - Enter Cases'!G37,"")</f>
        <v/>
      </c>
      <c r="H37" t="str">
        <f>IF($A37&lt;&gt;"",'All Cases - Enter Cases'!H37,"")</f>
        <v/>
      </c>
      <c r="I37" t="str">
        <f>IF($A37&lt;&gt;"",'All Cases - Enter Cases'!I37,"")</f>
        <v/>
      </c>
      <c r="J37" s="19" t="str">
        <f>IF($A37&lt;&gt;"",'All Cases - Enter Cases'!J37,"")</f>
        <v/>
      </c>
      <c r="K37" s="4" t="str">
        <f>IF($A37&lt;&gt;"",'All Cases - Enter Cases'!K37,"")</f>
        <v/>
      </c>
      <c r="L37" s="19" t="str">
        <f>IF($A37&lt;&gt;"",'All Cases - Enter Cases'!L37,"")</f>
        <v/>
      </c>
      <c r="M37" t="str">
        <f>IF($A37&lt;&gt;"",'All Cases - Enter Cases'!M37,"")</f>
        <v/>
      </c>
    </row>
    <row r="38" spans="1:13" x14ac:dyDescent="0.35">
      <c r="A38" s="4" t="str">
        <f>IF('All Cases - Enter Cases'!$F38="Punjab",'All Cases - Enter Cases'!A38,"")</f>
        <v/>
      </c>
      <c r="B38" t="str">
        <f>IF($A38&lt;&gt;"",'All Cases - Enter Cases'!B38,"")</f>
        <v/>
      </c>
      <c r="C38" t="str">
        <f>IF($A38&lt;&gt;"",'All Cases - Enter Cases'!C38,"")</f>
        <v/>
      </c>
      <c r="D38" t="str">
        <f>IF($A38&lt;&gt;"",'All Cases - Enter Cases'!D38,"")</f>
        <v/>
      </c>
      <c r="E38" t="str">
        <f>IF($A38&lt;&gt;"",'All Cases - Enter Cases'!E38,"")</f>
        <v/>
      </c>
      <c r="F38" t="str">
        <f>IF($A38&lt;&gt;"",'All Cases - Enter Cases'!F38,"")</f>
        <v/>
      </c>
      <c r="G38" t="str">
        <f>IF($A38&lt;&gt;"",'All Cases - Enter Cases'!G38,"")</f>
        <v/>
      </c>
      <c r="H38" t="str">
        <f>IF($A38&lt;&gt;"",'All Cases - Enter Cases'!H38,"")</f>
        <v/>
      </c>
      <c r="I38" t="str">
        <f>IF($A38&lt;&gt;"",'All Cases - Enter Cases'!I38,"")</f>
        <v/>
      </c>
      <c r="J38" s="19" t="str">
        <f>IF($A38&lt;&gt;"",'All Cases - Enter Cases'!J38,"")</f>
        <v/>
      </c>
      <c r="K38" s="4" t="str">
        <f>IF($A38&lt;&gt;"",'All Cases - Enter Cases'!K38,"")</f>
        <v/>
      </c>
      <c r="L38" s="19" t="str">
        <f>IF($A38&lt;&gt;"",'All Cases - Enter Cases'!L38,"")</f>
        <v/>
      </c>
      <c r="M38" t="str">
        <f>IF($A38&lt;&gt;"",'All Cases - Enter Cases'!M38,"")</f>
        <v/>
      </c>
    </row>
    <row r="39" spans="1:13" x14ac:dyDescent="0.35">
      <c r="A39" s="4" t="str">
        <f>IF('All Cases - Enter Cases'!$F39="Punjab",'All Cases - Enter Cases'!A39,"")</f>
        <v/>
      </c>
      <c r="B39" t="str">
        <f>IF($A39&lt;&gt;"",'All Cases - Enter Cases'!B39,"")</f>
        <v/>
      </c>
      <c r="C39" t="str">
        <f>IF($A39&lt;&gt;"",'All Cases - Enter Cases'!C39,"")</f>
        <v/>
      </c>
      <c r="D39" t="str">
        <f>IF($A39&lt;&gt;"",'All Cases - Enter Cases'!D39,"")</f>
        <v/>
      </c>
      <c r="E39" t="str">
        <f>IF($A39&lt;&gt;"",'All Cases - Enter Cases'!E39,"")</f>
        <v/>
      </c>
      <c r="F39" t="str">
        <f>IF($A39&lt;&gt;"",'All Cases - Enter Cases'!F39,"")</f>
        <v/>
      </c>
      <c r="G39" t="str">
        <f>IF($A39&lt;&gt;"",'All Cases - Enter Cases'!G39,"")</f>
        <v/>
      </c>
      <c r="H39" t="str">
        <f>IF($A39&lt;&gt;"",'All Cases - Enter Cases'!H39,"")</f>
        <v/>
      </c>
      <c r="I39" t="str">
        <f>IF($A39&lt;&gt;"",'All Cases - Enter Cases'!I39,"")</f>
        <v/>
      </c>
      <c r="J39" s="19" t="str">
        <f>IF($A39&lt;&gt;"",'All Cases - Enter Cases'!J39,"")</f>
        <v/>
      </c>
      <c r="K39" s="4" t="str">
        <f>IF($A39&lt;&gt;"",'All Cases - Enter Cases'!K39,"")</f>
        <v/>
      </c>
      <c r="L39" s="4" t="str">
        <f>IF($A39&lt;&gt;"",'All Cases - Enter Cases'!L39,"")</f>
        <v/>
      </c>
      <c r="M39" t="str">
        <f>IF($A39&lt;&gt;"",'All Cases - Enter Cases'!M39,"")</f>
        <v/>
      </c>
    </row>
    <row r="40" spans="1:13" x14ac:dyDescent="0.35">
      <c r="A40" s="4" t="str">
        <f>IF('All Cases - Enter Cases'!$F40="Punjab",'All Cases - Enter Cases'!A40,"")</f>
        <v/>
      </c>
      <c r="B40" t="str">
        <f>IF($A40&lt;&gt;"",'All Cases - Enter Cases'!B40,"")</f>
        <v/>
      </c>
      <c r="C40" t="str">
        <f>IF($A40&lt;&gt;"",'All Cases - Enter Cases'!C40,"")</f>
        <v/>
      </c>
      <c r="D40" t="str">
        <f>IF($A40&lt;&gt;"",'All Cases - Enter Cases'!D40,"")</f>
        <v/>
      </c>
      <c r="E40" t="str">
        <f>IF($A40&lt;&gt;"",'All Cases - Enter Cases'!E40,"")</f>
        <v/>
      </c>
      <c r="F40" t="str">
        <f>IF($A40&lt;&gt;"",'All Cases - Enter Cases'!F40,"")</f>
        <v/>
      </c>
      <c r="G40" t="str">
        <f>IF($A40&lt;&gt;"",'All Cases - Enter Cases'!G40,"")</f>
        <v/>
      </c>
      <c r="H40" t="str">
        <f>IF($A40&lt;&gt;"",'All Cases - Enter Cases'!H40,"")</f>
        <v/>
      </c>
      <c r="I40" t="str">
        <f>IF($A40&lt;&gt;"",'All Cases - Enter Cases'!I40,"")</f>
        <v/>
      </c>
      <c r="J40" s="19" t="str">
        <f>IF($A40&lt;&gt;"",'All Cases - Enter Cases'!J40,"")</f>
        <v/>
      </c>
      <c r="K40" s="4" t="str">
        <f>IF($A40&lt;&gt;"",'All Cases - Enter Cases'!K40,"")</f>
        <v/>
      </c>
      <c r="L40" s="4" t="str">
        <f>IF($A40&lt;&gt;"",'All Cases - Enter Cases'!L40,"")</f>
        <v/>
      </c>
      <c r="M40" t="str">
        <f>IF($A40&lt;&gt;"",'All Cases - Enter Cases'!M40,"")</f>
        <v/>
      </c>
    </row>
    <row r="41" spans="1:13" x14ac:dyDescent="0.35">
      <c r="A41" s="4" t="str">
        <f>IF('All Cases - Enter Cases'!$F41="Punjab",'All Cases - Enter Cases'!A41,"")</f>
        <v/>
      </c>
      <c r="B41" t="str">
        <f>IF($A41&lt;&gt;"",'All Cases - Enter Cases'!B41,"")</f>
        <v/>
      </c>
      <c r="C41" t="str">
        <f>IF($A41&lt;&gt;"",'All Cases - Enter Cases'!C41,"")</f>
        <v/>
      </c>
      <c r="D41" t="str">
        <f>IF($A41&lt;&gt;"",'All Cases - Enter Cases'!D41,"")</f>
        <v/>
      </c>
      <c r="E41" t="str">
        <f>IF($A41&lt;&gt;"",'All Cases - Enter Cases'!E41,"")</f>
        <v/>
      </c>
      <c r="F41" t="str">
        <f>IF($A41&lt;&gt;"",'All Cases - Enter Cases'!F41,"")</f>
        <v/>
      </c>
      <c r="G41" t="str">
        <f>IF($A41&lt;&gt;"",'All Cases - Enter Cases'!G41,"")</f>
        <v/>
      </c>
      <c r="H41" t="str">
        <f>IF($A41&lt;&gt;"",'All Cases - Enter Cases'!H41,"")</f>
        <v/>
      </c>
      <c r="I41" t="str">
        <f>IF($A41&lt;&gt;"",'All Cases - Enter Cases'!I41,"")</f>
        <v/>
      </c>
      <c r="J41" s="19" t="str">
        <f>IF($A41&lt;&gt;"",'All Cases - Enter Cases'!J41,"")</f>
        <v/>
      </c>
      <c r="K41" s="4" t="str">
        <f>IF($A41&lt;&gt;"",'All Cases - Enter Cases'!K41,"")</f>
        <v/>
      </c>
      <c r="L41" s="4" t="str">
        <f>IF($A41&lt;&gt;"",'All Cases - Enter Cases'!L41,"")</f>
        <v/>
      </c>
      <c r="M41" t="str">
        <f>IF($A41&lt;&gt;"",'All Cases - Enter Cases'!M41,"")</f>
        <v/>
      </c>
    </row>
    <row r="42" spans="1:13" x14ac:dyDescent="0.35">
      <c r="A42" s="4" t="str">
        <f>IF('All Cases - Enter Cases'!$F42="Punjab",'All Cases - Enter Cases'!A42,"")</f>
        <v/>
      </c>
      <c r="B42" t="str">
        <f>IF($A42&lt;&gt;"",'All Cases - Enter Cases'!B42,"")</f>
        <v/>
      </c>
      <c r="C42" t="str">
        <f>IF($A42&lt;&gt;"",'All Cases - Enter Cases'!C42,"")</f>
        <v/>
      </c>
      <c r="D42" t="str">
        <f>IF($A42&lt;&gt;"",'All Cases - Enter Cases'!D42,"")</f>
        <v/>
      </c>
      <c r="E42" t="str">
        <f>IF($A42&lt;&gt;"",'All Cases - Enter Cases'!E42,"")</f>
        <v/>
      </c>
      <c r="F42" t="str">
        <f>IF($A42&lt;&gt;"",'All Cases - Enter Cases'!F42,"")</f>
        <v/>
      </c>
      <c r="G42" t="str">
        <f>IF($A42&lt;&gt;"",'All Cases - Enter Cases'!G42,"")</f>
        <v/>
      </c>
      <c r="H42" t="str">
        <f>IF($A42&lt;&gt;"",'All Cases - Enter Cases'!H42,"")</f>
        <v/>
      </c>
      <c r="I42" t="str">
        <f>IF($A42&lt;&gt;"",'All Cases - Enter Cases'!I42,"")</f>
        <v/>
      </c>
      <c r="J42" s="19" t="str">
        <f>IF($A42&lt;&gt;"",'All Cases - Enter Cases'!J42,"")</f>
        <v/>
      </c>
      <c r="K42" s="4" t="str">
        <f>IF($A42&lt;&gt;"",'All Cases - Enter Cases'!K42,"")</f>
        <v/>
      </c>
      <c r="L42" s="4" t="str">
        <f>IF($A42&lt;&gt;"",'All Cases - Enter Cases'!L42,"")</f>
        <v/>
      </c>
      <c r="M42" t="str">
        <f>IF($A42&lt;&gt;"",'All Cases - Enter Cases'!M42,"")</f>
        <v/>
      </c>
    </row>
    <row r="43" spans="1:13" x14ac:dyDescent="0.35">
      <c r="A43" s="4" t="str">
        <f>IF('All Cases - Enter Cases'!$F43="Punjab",'All Cases - Enter Cases'!A43,"")</f>
        <v/>
      </c>
      <c r="B43" t="str">
        <f>IF($A43&lt;&gt;"",'All Cases - Enter Cases'!B43,"")</f>
        <v/>
      </c>
      <c r="C43" t="str">
        <f>IF($A43&lt;&gt;"",'All Cases - Enter Cases'!C43,"")</f>
        <v/>
      </c>
      <c r="D43" t="str">
        <f>IF($A43&lt;&gt;"",'All Cases - Enter Cases'!D43,"")</f>
        <v/>
      </c>
      <c r="E43" t="str">
        <f>IF($A43&lt;&gt;"",'All Cases - Enter Cases'!E43,"")</f>
        <v/>
      </c>
      <c r="F43" t="str">
        <f>IF($A43&lt;&gt;"",'All Cases - Enter Cases'!F43,"")</f>
        <v/>
      </c>
      <c r="G43" t="str">
        <f>IF($A43&lt;&gt;"",'All Cases - Enter Cases'!G43,"")</f>
        <v/>
      </c>
      <c r="H43" t="str">
        <f>IF($A43&lt;&gt;"",'All Cases - Enter Cases'!H43,"")</f>
        <v/>
      </c>
      <c r="I43" t="str">
        <f>IF($A43&lt;&gt;"",'All Cases - Enter Cases'!I43,"")</f>
        <v/>
      </c>
      <c r="J43" s="19" t="str">
        <f>IF($A43&lt;&gt;"",'All Cases - Enter Cases'!J43,"")</f>
        <v/>
      </c>
      <c r="K43" s="4" t="str">
        <f>IF($A43&lt;&gt;"",'All Cases - Enter Cases'!K43,"")</f>
        <v/>
      </c>
      <c r="L43" s="4" t="str">
        <f>IF($A43&lt;&gt;"",'All Cases - Enter Cases'!L43,"")</f>
        <v/>
      </c>
      <c r="M43" t="str">
        <f>IF($A43&lt;&gt;"",'All Cases - Enter Cases'!M43,"")</f>
        <v/>
      </c>
    </row>
    <row r="44" spans="1:13" x14ac:dyDescent="0.35">
      <c r="A44" s="4" t="str">
        <f>IF('All Cases - Enter Cases'!$F44="Punjab",'All Cases - Enter Cases'!A44,"")</f>
        <v/>
      </c>
      <c r="B44" t="str">
        <f>IF($A44&lt;&gt;"",'All Cases - Enter Cases'!B44,"")</f>
        <v/>
      </c>
      <c r="C44" t="str">
        <f>IF($A44&lt;&gt;"",'All Cases - Enter Cases'!C44,"")</f>
        <v/>
      </c>
      <c r="D44" t="str">
        <f>IF($A44&lt;&gt;"",'All Cases - Enter Cases'!D44,"")</f>
        <v/>
      </c>
      <c r="E44" t="str">
        <f>IF($A44&lt;&gt;"",'All Cases - Enter Cases'!E44,"")</f>
        <v/>
      </c>
      <c r="F44" t="str">
        <f>IF($A44&lt;&gt;"",'All Cases - Enter Cases'!F44,"")</f>
        <v/>
      </c>
      <c r="G44" t="str">
        <f>IF($A44&lt;&gt;"",'All Cases - Enter Cases'!G44,"")</f>
        <v/>
      </c>
      <c r="H44" t="str">
        <f>IF($A44&lt;&gt;"",'All Cases - Enter Cases'!H44,"")</f>
        <v/>
      </c>
      <c r="I44" t="str">
        <f>IF($A44&lt;&gt;"",'All Cases - Enter Cases'!I44,"")</f>
        <v/>
      </c>
      <c r="J44" s="19" t="str">
        <f>IF($A44&lt;&gt;"",'All Cases - Enter Cases'!J44,"")</f>
        <v/>
      </c>
      <c r="K44" s="4" t="str">
        <f>IF($A44&lt;&gt;"",'All Cases - Enter Cases'!K44,"")</f>
        <v/>
      </c>
      <c r="L44" s="4" t="str">
        <f>IF($A44&lt;&gt;"",'All Cases - Enter Cases'!L44,"")</f>
        <v/>
      </c>
      <c r="M44" t="str">
        <f>IF($A44&lt;&gt;"",'All Cases - Enter Cases'!M44,"")</f>
        <v/>
      </c>
    </row>
    <row r="45" spans="1:13" x14ac:dyDescent="0.35">
      <c r="A45" s="4" t="str">
        <f>IF('All Cases - Enter Cases'!$F45="Punjab",'All Cases - Enter Cases'!A45,"")</f>
        <v/>
      </c>
      <c r="B45" t="str">
        <f>IF($A45&lt;&gt;"",'All Cases - Enter Cases'!B45,"")</f>
        <v/>
      </c>
      <c r="C45" t="str">
        <f>IF($A45&lt;&gt;"",'All Cases - Enter Cases'!C45,"")</f>
        <v/>
      </c>
      <c r="D45" t="str">
        <f>IF($A45&lt;&gt;"",'All Cases - Enter Cases'!D45,"")</f>
        <v/>
      </c>
      <c r="E45" t="str">
        <f>IF($A45&lt;&gt;"",'All Cases - Enter Cases'!E45,"")</f>
        <v/>
      </c>
      <c r="F45" t="str">
        <f>IF($A45&lt;&gt;"",'All Cases - Enter Cases'!F45,"")</f>
        <v/>
      </c>
      <c r="G45" t="str">
        <f>IF($A45&lt;&gt;"",'All Cases - Enter Cases'!G45,"")</f>
        <v/>
      </c>
      <c r="H45" t="str">
        <f>IF($A45&lt;&gt;"",'All Cases - Enter Cases'!H45,"")</f>
        <v/>
      </c>
      <c r="I45" t="str">
        <f>IF($A45&lt;&gt;"",'All Cases - Enter Cases'!I45,"")</f>
        <v/>
      </c>
      <c r="J45" s="19" t="str">
        <f>IF($A45&lt;&gt;"",'All Cases - Enter Cases'!J45,"")</f>
        <v/>
      </c>
      <c r="K45" s="4" t="str">
        <f>IF($A45&lt;&gt;"",'All Cases - Enter Cases'!K45,"")</f>
        <v/>
      </c>
      <c r="L45" s="4" t="str">
        <f>IF($A45&lt;&gt;"",'All Cases - Enter Cases'!L45,"")</f>
        <v/>
      </c>
      <c r="M45" t="str">
        <f>IF($A45&lt;&gt;"",'All Cases - Enter Cases'!M45,"")</f>
        <v/>
      </c>
    </row>
    <row r="46" spans="1:13" x14ac:dyDescent="0.35">
      <c r="A46" s="4" t="str">
        <f>IF('All Cases - Enter Cases'!$F46="Punjab",'All Cases - Enter Cases'!A46,"")</f>
        <v/>
      </c>
      <c r="B46" t="str">
        <f>IF($A46&lt;&gt;"",'All Cases - Enter Cases'!B46,"")</f>
        <v/>
      </c>
      <c r="C46" t="str">
        <f>IF($A46&lt;&gt;"",'All Cases - Enter Cases'!C46,"")</f>
        <v/>
      </c>
      <c r="D46" t="str">
        <f>IF($A46&lt;&gt;"",'All Cases - Enter Cases'!D46,"")</f>
        <v/>
      </c>
      <c r="E46" t="str">
        <f>IF($A46&lt;&gt;"",'All Cases - Enter Cases'!E46,"")</f>
        <v/>
      </c>
      <c r="F46" t="str">
        <f>IF($A46&lt;&gt;"",'All Cases - Enter Cases'!F46,"")</f>
        <v/>
      </c>
      <c r="G46" t="str">
        <f>IF($A46&lt;&gt;"",'All Cases - Enter Cases'!G46,"")</f>
        <v/>
      </c>
      <c r="H46" t="str">
        <f>IF($A46&lt;&gt;"",'All Cases - Enter Cases'!H46,"")</f>
        <v/>
      </c>
      <c r="I46" t="str">
        <f>IF($A46&lt;&gt;"",'All Cases - Enter Cases'!I46,"")</f>
        <v/>
      </c>
      <c r="J46" s="19" t="str">
        <f>IF($A46&lt;&gt;"",'All Cases - Enter Cases'!J46,"")</f>
        <v/>
      </c>
      <c r="K46" s="4" t="str">
        <f>IF($A46&lt;&gt;"",'All Cases - Enter Cases'!K46,"")</f>
        <v/>
      </c>
      <c r="L46" s="4" t="str">
        <f>IF($A46&lt;&gt;"",'All Cases - Enter Cases'!L46,"")</f>
        <v/>
      </c>
      <c r="M46" t="str">
        <f>IF($A46&lt;&gt;"",'All Cases - Enter Cases'!M46,"")</f>
        <v/>
      </c>
    </row>
    <row r="47" spans="1:13" x14ac:dyDescent="0.35">
      <c r="A47" s="4" t="str">
        <f>IF('All Cases - Enter Cases'!$F47="Punjab",'All Cases - Enter Cases'!A47,"")</f>
        <v/>
      </c>
      <c r="B47" t="str">
        <f>IF($A47&lt;&gt;"",'All Cases - Enter Cases'!B47,"")</f>
        <v/>
      </c>
      <c r="C47" t="str">
        <f>IF($A47&lt;&gt;"",'All Cases - Enter Cases'!C47,"")</f>
        <v/>
      </c>
      <c r="D47" t="str">
        <f>IF($A47&lt;&gt;"",'All Cases - Enter Cases'!D47,"")</f>
        <v/>
      </c>
      <c r="E47" t="str">
        <f>IF($A47&lt;&gt;"",'All Cases - Enter Cases'!E47,"")</f>
        <v/>
      </c>
      <c r="F47" t="str">
        <f>IF($A47&lt;&gt;"",'All Cases - Enter Cases'!F47,"")</f>
        <v/>
      </c>
      <c r="G47" t="str">
        <f>IF($A47&lt;&gt;"",'All Cases - Enter Cases'!G47,"")</f>
        <v/>
      </c>
      <c r="H47" t="str">
        <f>IF($A47&lt;&gt;"",'All Cases - Enter Cases'!H47,"")</f>
        <v/>
      </c>
      <c r="I47" t="str">
        <f>IF($A47&lt;&gt;"",'All Cases - Enter Cases'!I47,"")</f>
        <v/>
      </c>
      <c r="J47" s="4" t="str">
        <f>IF($A47&lt;&gt;"",'All Cases - Enter Cases'!J47,"")</f>
        <v/>
      </c>
      <c r="K47" s="4" t="str">
        <f>IF($A47&lt;&gt;"",'All Cases - Enter Cases'!K47,"")</f>
        <v/>
      </c>
      <c r="L47" s="4" t="str">
        <f>IF($A47&lt;&gt;"",'All Cases - Enter Cases'!L47,"")</f>
        <v/>
      </c>
      <c r="M47" t="str">
        <f>IF($A47&lt;&gt;"",'All Cases - Enter Cases'!M47,"")</f>
        <v/>
      </c>
    </row>
    <row r="48" spans="1:13" x14ac:dyDescent="0.35">
      <c r="A48" s="4" t="str">
        <f>IF('All Cases - Enter Cases'!$F48="Punjab",'All Cases - Enter Cases'!A48,"")</f>
        <v/>
      </c>
      <c r="B48" t="str">
        <f>IF($A48&lt;&gt;"",'All Cases - Enter Cases'!B48,"")</f>
        <v/>
      </c>
      <c r="C48" t="str">
        <f>IF($A48&lt;&gt;"",'All Cases - Enter Cases'!C48,"")</f>
        <v/>
      </c>
      <c r="D48" t="str">
        <f>IF($A48&lt;&gt;"",'All Cases - Enter Cases'!D48,"")</f>
        <v/>
      </c>
      <c r="E48" t="str">
        <f>IF($A48&lt;&gt;"",'All Cases - Enter Cases'!E48,"")</f>
        <v/>
      </c>
      <c r="F48" t="str">
        <f>IF($A48&lt;&gt;"",'All Cases - Enter Cases'!F48,"")</f>
        <v/>
      </c>
      <c r="G48" t="str">
        <f>IF($A48&lt;&gt;"",'All Cases - Enter Cases'!G48,"")</f>
        <v/>
      </c>
      <c r="H48" t="str">
        <f>IF($A48&lt;&gt;"",'All Cases - Enter Cases'!H48,"")</f>
        <v/>
      </c>
      <c r="I48" t="str">
        <f>IF($A48&lt;&gt;"",'All Cases - Enter Cases'!I48,"")</f>
        <v/>
      </c>
      <c r="J48" s="4" t="str">
        <f>IF($A48&lt;&gt;"",'All Cases - Enter Cases'!J48,"")</f>
        <v/>
      </c>
      <c r="K48" s="4" t="str">
        <f>IF($A48&lt;&gt;"",'All Cases - Enter Cases'!K48,"")</f>
        <v/>
      </c>
      <c r="L48" s="4" t="str">
        <f>IF($A48&lt;&gt;"",'All Cases - Enter Cases'!L48,"")</f>
        <v/>
      </c>
      <c r="M48" t="str">
        <f>IF($A48&lt;&gt;"",'All Cases - Enter Cases'!M48,"")</f>
        <v/>
      </c>
    </row>
    <row r="49" spans="1:13" x14ac:dyDescent="0.35">
      <c r="A49" s="4" t="str">
        <f>IF('All Cases - Enter Cases'!$F49="Punjab",'All Cases - Enter Cases'!A49,"")</f>
        <v/>
      </c>
      <c r="B49" t="str">
        <f>IF($A49&lt;&gt;"",'All Cases - Enter Cases'!B49,"")</f>
        <v/>
      </c>
      <c r="C49" t="str">
        <f>IF($A49&lt;&gt;"",'All Cases - Enter Cases'!C49,"")</f>
        <v/>
      </c>
      <c r="D49" t="str">
        <f>IF($A49&lt;&gt;"",'All Cases - Enter Cases'!D49,"")</f>
        <v/>
      </c>
      <c r="E49" t="str">
        <f>IF($A49&lt;&gt;"",'All Cases - Enter Cases'!E49,"")</f>
        <v/>
      </c>
      <c r="F49" t="str">
        <f>IF($A49&lt;&gt;"",'All Cases - Enter Cases'!F49,"")</f>
        <v/>
      </c>
      <c r="G49" t="str">
        <f>IF($A49&lt;&gt;"",'All Cases - Enter Cases'!G49,"")</f>
        <v/>
      </c>
      <c r="H49" t="str">
        <f>IF($A49&lt;&gt;"",'All Cases - Enter Cases'!H49,"")</f>
        <v/>
      </c>
      <c r="I49" t="str">
        <f>IF($A49&lt;&gt;"",'All Cases - Enter Cases'!I49,"")</f>
        <v/>
      </c>
      <c r="J49" s="4" t="str">
        <f>IF($A49&lt;&gt;"",'All Cases - Enter Cases'!J49,"")</f>
        <v/>
      </c>
      <c r="K49" s="4" t="str">
        <f>IF($A49&lt;&gt;"",'All Cases - Enter Cases'!K49,"")</f>
        <v/>
      </c>
      <c r="L49" s="4" t="str">
        <f>IF($A49&lt;&gt;"",'All Cases - Enter Cases'!L49,"")</f>
        <v/>
      </c>
      <c r="M49" t="str">
        <f>IF($A49&lt;&gt;"",'All Cases - Enter Cases'!M49,"")</f>
        <v/>
      </c>
    </row>
    <row r="50" spans="1:13" x14ac:dyDescent="0.35">
      <c r="A50" s="4" t="str">
        <f>IF('All Cases - Enter Cases'!$F50="Punjab",'All Cases - Enter Cases'!A50,"")</f>
        <v/>
      </c>
      <c r="B50" t="str">
        <f>IF($A50&lt;&gt;"",'All Cases - Enter Cases'!B50,"")</f>
        <v/>
      </c>
      <c r="C50" t="str">
        <f>IF($A50&lt;&gt;"",'All Cases - Enter Cases'!C50,"")</f>
        <v/>
      </c>
      <c r="D50" t="str">
        <f>IF($A50&lt;&gt;"",'All Cases - Enter Cases'!D50,"")</f>
        <v/>
      </c>
      <c r="E50" t="str">
        <f>IF($A50&lt;&gt;"",'All Cases - Enter Cases'!E50,"")</f>
        <v/>
      </c>
      <c r="F50" t="str">
        <f>IF($A50&lt;&gt;"",'All Cases - Enter Cases'!F50,"")</f>
        <v/>
      </c>
      <c r="G50" t="str">
        <f>IF($A50&lt;&gt;"",'All Cases - Enter Cases'!G50,"")</f>
        <v/>
      </c>
      <c r="H50" t="str">
        <f>IF($A50&lt;&gt;"",'All Cases - Enter Cases'!H50,"")</f>
        <v/>
      </c>
      <c r="I50" t="str">
        <f>IF($A50&lt;&gt;"",'All Cases - Enter Cases'!I50,"")</f>
        <v/>
      </c>
      <c r="J50" s="4" t="str">
        <f>IF($A50&lt;&gt;"",'All Cases - Enter Cases'!J50,"")</f>
        <v/>
      </c>
      <c r="K50" s="4" t="str">
        <f>IF($A50&lt;&gt;"",'All Cases - Enter Cases'!K50,"")</f>
        <v/>
      </c>
      <c r="L50" s="4" t="str">
        <f>IF($A50&lt;&gt;"",'All Cases - Enter Cases'!L50,"")</f>
        <v/>
      </c>
      <c r="M50" t="str">
        <f>IF($A50&lt;&gt;"",'All Cases - Enter Cases'!M50,"")</f>
        <v/>
      </c>
    </row>
    <row r="51" spans="1:13" x14ac:dyDescent="0.35">
      <c r="A51" s="4" t="str">
        <f>IF('All Cases - Enter Cases'!$F51="Punjab",'All Cases - Enter Cases'!A51,"")</f>
        <v/>
      </c>
      <c r="B51" t="str">
        <f>IF($A51&lt;&gt;"",'All Cases - Enter Cases'!B51,"")</f>
        <v/>
      </c>
      <c r="C51" t="str">
        <f>IF($A51&lt;&gt;"",'All Cases - Enter Cases'!C51,"")</f>
        <v/>
      </c>
      <c r="D51" t="str">
        <f>IF($A51&lt;&gt;"",'All Cases - Enter Cases'!D51,"")</f>
        <v/>
      </c>
      <c r="E51" t="str">
        <f>IF($A51&lt;&gt;"",'All Cases - Enter Cases'!E51,"")</f>
        <v/>
      </c>
      <c r="F51" t="str">
        <f>IF($A51&lt;&gt;"",'All Cases - Enter Cases'!F51,"")</f>
        <v/>
      </c>
      <c r="G51" t="str">
        <f>IF($A51&lt;&gt;"",'All Cases - Enter Cases'!G51,"")</f>
        <v/>
      </c>
      <c r="H51" t="str">
        <f>IF($A51&lt;&gt;"",'All Cases - Enter Cases'!H51,"")</f>
        <v/>
      </c>
      <c r="I51" t="str">
        <f>IF($A51&lt;&gt;"",'All Cases - Enter Cases'!I51,"")</f>
        <v/>
      </c>
      <c r="J51" s="4" t="str">
        <f>IF($A51&lt;&gt;"",'All Cases - Enter Cases'!J51,"")</f>
        <v/>
      </c>
      <c r="K51" s="4" t="str">
        <f>IF($A51&lt;&gt;"",'All Cases - Enter Cases'!K51,"")</f>
        <v/>
      </c>
      <c r="L51" s="4" t="str">
        <f>IF($A51&lt;&gt;"",'All Cases - Enter Cases'!L51,"")</f>
        <v/>
      </c>
      <c r="M51" t="str">
        <f>IF($A51&lt;&gt;"",'All Cases - Enter Cases'!M51,"")</f>
        <v/>
      </c>
    </row>
    <row r="52" spans="1:13" x14ac:dyDescent="0.35">
      <c r="A52" s="4" t="str">
        <f>IF('All Cases - Enter Cases'!$F52="Punjab",'All Cases - Enter Cases'!A52,"")</f>
        <v/>
      </c>
      <c r="B52" t="str">
        <f>IF($A52&lt;&gt;"",'All Cases - Enter Cases'!B52,"")</f>
        <v/>
      </c>
      <c r="C52" t="str">
        <f>IF($A52&lt;&gt;"",'All Cases - Enter Cases'!C52,"")</f>
        <v/>
      </c>
      <c r="D52" t="str">
        <f>IF($A52&lt;&gt;"",'All Cases - Enter Cases'!D52,"")</f>
        <v/>
      </c>
      <c r="E52" t="str">
        <f>IF($A52&lt;&gt;"",'All Cases - Enter Cases'!E52,"")</f>
        <v/>
      </c>
      <c r="F52" t="str">
        <f>IF($A52&lt;&gt;"",'All Cases - Enter Cases'!F52,"")</f>
        <v/>
      </c>
      <c r="G52" t="str">
        <f>IF($A52&lt;&gt;"",'All Cases - Enter Cases'!G52,"")</f>
        <v/>
      </c>
      <c r="H52" t="str">
        <f>IF($A52&lt;&gt;"",'All Cases - Enter Cases'!H52,"")</f>
        <v/>
      </c>
      <c r="I52" t="str">
        <f>IF($A52&lt;&gt;"",'All Cases - Enter Cases'!I52,"")</f>
        <v/>
      </c>
      <c r="J52" s="4" t="str">
        <f>IF($A52&lt;&gt;"",'All Cases - Enter Cases'!J52,"")</f>
        <v/>
      </c>
      <c r="K52" s="4" t="str">
        <f>IF($A52&lt;&gt;"",'All Cases - Enter Cases'!K52,"")</f>
        <v/>
      </c>
      <c r="L52" s="4" t="str">
        <f>IF($A52&lt;&gt;"",'All Cases - Enter Cases'!L52,"")</f>
        <v/>
      </c>
      <c r="M52" t="str">
        <f>IF($A52&lt;&gt;"",'All Cases - Enter Cases'!M52,"")</f>
        <v/>
      </c>
    </row>
    <row r="53" spans="1:13" x14ac:dyDescent="0.35">
      <c r="A53" s="4" t="str">
        <f>IF('All Cases - Enter Cases'!$F53="Punjab",'All Cases - Enter Cases'!A53,"")</f>
        <v/>
      </c>
      <c r="B53" t="str">
        <f>IF($A53&lt;&gt;"",'All Cases - Enter Cases'!B53,"")</f>
        <v/>
      </c>
      <c r="C53" t="str">
        <f>IF($A53&lt;&gt;"",'All Cases - Enter Cases'!C53,"")</f>
        <v/>
      </c>
      <c r="D53" t="str">
        <f>IF($A53&lt;&gt;"",'All Cases - Enter Cases'!D53,"")</f>
        <v/>
      </c>
      <c r="E53" t="str">
        <f>IF($A53&lt;&gt;"",'All Cases - Enter Cases'!E53,"")</f>
        <v/>
      </c>
      <c r="F53" t="str">
        <f>IF($A53&lt;&gt;"",'All Cases - Enter Cases'!F53,"")</f>
        <v/>
      </c>
      <c r="G53" t="str">
        <f>IF($A53&lt;&gt;"",'All Cases - Enter Cases'!G53,"")</f>
        <v/>
      </c>
      <c r="H53" t="str">
        <f>IF($A53&lt;&gt;"",'All Cases - Enter Cases'!H53,"")</f>
        <v/>
      </c>
      <c r="I53" t="str">
        <f>IF($A53&lt;&gt;"",'All Cases - Enter Cases'!I53,"")</f>
        <v/>
      </c>
      <c r="J53" s="4" t="str">
        <f>IF($A53&lt;&gt;"",'All Cases - Enter Cases'!J53,"")</f>
        <v/>
      </c>
      <c r="K53" s="4" t="str">
        <f>IF($A53&lt;&gt;"",'All Cases - Enter Cases'!K53,"")</f>
        <v/>
      </c>
      <c r="L53" s="4" t="str">
        <f>IF($A53&lt;&gt;"",'All Cases - Enter Cases'!L53,"")</f>
        <v/>
      </c>
      <c r="M53" t="str">
        <f>IF($A53&lt;&gt;"",'All Cases - Enter Cases'!M53,"")</f>
        <v/>
      </c>
    </row>
    <row r="54" spans="1:13" x14ac:dyDescent="0.35">
      <c r="A54" s="4" t="str">
        <f>IF('All Cases - Enter Cases'!$F54="Punjab",'All Cases - Enter Cases'!A54,"")</f>
        <v/>
      </c>
      <c r="B54" t="str">
        <f>IF($A54&lt;&gt;"",'All Cases - Enter Cases'!B54,"")</f>
        <v/>
      </c>
      <c r="C54" t="str">
        <f>IF($A54&lt;&gt;"",'All Cases - Enter Cases'!C54,"")</f>
        <v/>
      </c>
      <c r="D54" t="str">
        <f>IF($A54&lt;&gt;"",'All Cases - Enter Cases'!D54,"")</f>
        <v/>
      </c>
      <c r="E54" t="str">
        <f>IF($A54&lt;&gt;"",'All Cases - Enter Cases'!E54,"")</f>
        <v/>
      </c>
      <c r="F54" t="str">
        <f>IF($A54&lt;&gt;"",'All Cases - Enter Cases'!F54,"")</f>
        <v/>
      </c>
      <c r="G54" t="str">
        <f>IF($A54&lt;&gt;"",'All Cases - Enter Cases'!G54,"")</f>
        <v/>
      </c>
      <c r="H54" t="str">
        <f>IF($A54&lt;&gt;"",'All Cases - Enter Cases'!H54,"")</f>
        <v/>
      </c>
      <c r="I54" t="str">
        <f>IF($A54&lt;&gt;"",'All Cases - Enter Cases'!I54,"")</f>
        <v/>
      </c>
      <c r="J54" s="4" t="str">
        <f>IF($A54&lt;&gt;"",'All Cases - Enter Cases'!J54,"")</f>
        <v/>
      </c>
      <c r="K54" s="4" t="str">
        <f>IF($A54&lt;&gt;"",'All Cases - Enter Cases'!K54,"")</f>
        <v/>
      </c>
      <c r="L54" s="4" t="str">
        <f>IF($A54&lt;&gt;"",'All Cases - Enter Cases'!L54,"")</f>
        <v/>
      </c>
      <c r="M54" t="str">
        <f>IF($A54&lt;&gt;"",'All Cases - Enter Cases'!M54,"")</f>
        <v/>
      </c>
    </row>
    <row r="55" spans="1:13" x14ac:dyDescent="0.35">
      <c r="A55" s="4" t="str">
        <f>IF('All Cases - Enter Cases'!$F55="Punjab",'All Cases - Enter Cases'!A55,"")</f>
        <v/>
      </c>
      <c r="B55" t="str">
        <f>IF($A55&lt;&gt;"",'All Cases - Enter Cases'!B55,"")</f>
        <v/>
      </c>
      <c r="C55" t="str">
        <f>IF($A55&lt;&gt;"",'All Cases - Enter Cases'!C55,"")</f>
        <v/>
      </c>
      <c r="D55" t="str">
        <f>IF($A55&lt;&gt;"",'All Cases - Enter Cases'!D55,"")</f>
        <v/>
      </c>
      <c r="E55" t="str">
        <f>IF($A55&lt;&gt;"",'All Cases - Enter Cases'!E55,"")</f>
        <v/>
      </c>
      <c r="F55" t="str">
        <f>IF($A55&lt;&gt;"",'All Cases - Enter Cases'!F55,"")</f>
        <v/>
      </c>
      <c r="G55" t="str">
        <f>IF($A55&lt;&gt;"",'All Cases - Enter Cases'!G55,"")</f>
        <v/>
      </c>
      <c r="H55" t="str">
        <f>IF($A55&lt;&gt;"",'All Cases - Enter Cases'!H55,"")</f>
        <v/>
      </c>
      <c r="I55" t="str">
        <f>IF($A55&lt;&gt;"",'All Cases - Enter Cases'!I55,"")</f>
        <v/>
      </c>
      <c r="J55" s="4" t="str">
        <f>IF($A55&lt;&gt;"",'All Cases - Enter Cases'!J55,"")</f>
        <v/>
      </c>
      <c r="K55" s="4" t="str">
        <f>IF($A55&lt;&gt;"",'All Cases - Enter Cases'!K55,"")</f>
        <v/>
      </c>
      <c r="L55" s="4" t="str">
        <f>IF($A55&lt;&gt;"",'All Cases - Enter Cases'!L55,"")</f>
        <v/>
      </c>
      <c r="M55" t="str">
        <f>IF($A55&lt;&gt;"",'All Cases - Enter Cases'!M55,"")</f>
        <v/>
      </c>
    </row>
    <row r="56" spans="1:13" x14ac:dyDescent="0.35">
      <c r="A56" s="4" t="str">
        <f>IF('All Cases - Enter Cases'!$F56="Punjab",'All Cases - Enter Cases'!A56,"")</f>
        <v/>
      </c>
      <c r="B56" t="str">
        <f>IF($A56&lt;&gt;"",'All Cases - Enter Cases'!B56,"")</f>
        <v/>
      </c>
      <c r="C56" t="str">
        <f>IF($A56&lt;&gt;"",'All Cases - Enter Cases'!C56,"")</f>
        <v/>
      </c>
      <c r="D56" t="str">
        <f>IF($A56&lt;&gt;"",'All Cases - Enter Cases'!D56,"")</f>
        <v/>
      </c>
      <c r="E56" t="str">
        <f>IF($A56&lt;&gt;"",'All Cases - Enter Cases'!E56,"")</f>
        <v/>
      </c>
      <c r="F56" t="str">
        <f>IF($A56&lt;&gt;"",'All Cases - Enter Cases'!F56,"")</f>
        <v/>
      </c>
      <c r="G56" t="str">
        <f>IF($A56&lt;&gt;"",'All Cases - Enter Cases'!G56,"")</f>
        <v/>
      </c>
      <c r="H56" t="str">
        <f>IF($A56&lt;&gt;"",'All Cases - Enter Cases'!H56,"")</f>
        <v/>
      </c>
      <c r="I56" t="str">
        <f>IF($A56&lt;&gt;"",'All Cases - Enter Cases'!I56,"")</f>
        <v/>
      </c>
      <c r="J56" s="4" t="str">
        <f>IF($A56&lt;&gt;"",'All Cases - Enter Cases'!J56,"")</f>
        <v/>
      </c>
      <c r="K56" s="4" t="str">
        <f>IF($A56&lt;&gt;"",'All Cases - Enter Cases'!K56,"")</f>
        <v/>
      </c>
      <c r="L56" s="4" t="str">
        <f>IF($A56&lt;&gt;"",'All Cases - Enter Cases'!L56,"")</f>
        <v/>
      </c>
      <c r="M56" t="str">
        <f>IF($A56&lt;&gt;"",'All Cases - Enter Cases'!M56,"")</f>
        <v/>
      </c>
    </row>
    <row r="57" spans="1:13" x14ac:dyDescent="0.35">
      <c r="A57" s="4" t="str">
        <f>IF('All Cases - Enter Cases'!$F57="Punjab",'All Cases - Enter Cases'!A57,"")</f>
        <v/>
      </c>
      <c r="B57" t="str">
        <f>IF($A57&lt;&gt;"",'All Cases - Enter Cases'!B57,"")</f>
        <v/>
      </c>
      <c r="C57" t="str">
        <f>IF($A57&lt;&gt;"",'All Cases - Enter Cases'!C57,"")</f>
        <v/>
      </c>
      <c r="D57" t="str">
        <f>IF($A57&lt;&gt;"",'All Cases - Enter Cases'!D57,"")</f>
        <v/>
      </c>
      <c r="E57" t="str">
        <f>IF($A57&lt;&gt;"",'All Cases - Enter Cases'!E57,"")</f>
        <v/>
      </c>
      <c r="F57" t="str">
        <f>IF($A57&lt;&gt;"",'All Cases - Enter Cases'!F57,"")</f>
        <v/>
      </c>
      <c r="G57" t="str">
        <f>IF($A57&lt;&gt;"",'All Cases - Enter Cases'!G57,"")</f>
        <v/>
      </c>
      <c r="H57" t="str">
        <f>IF($A57&lt;&gt;"",'All Cases - Enter Cases'!H57,"")</f>
        <v/>
      </c>
      <c r="I57" t="str">
        <f>IF($A57&lt;&gt;"",'All Cases - Enter Cases'!I57,"")</f>
        <v/>
      </c>
      <c r="J57" s="4" t="str">
        <f>IF($A57&lt;&gt;"",'All Cases - Enter Cases'!J57,"")</f>
        <v/>
      </c>
      <c r="K57" s="4" t="str">
        <f>IF($A57&lt;&gt;"",'All Cases - Enter Cases'!K57,"")</f>
        <v/>
      </c>
      <c r="L57" s="4" t="str">
        <f>IF($A57&lt;&gt;"",'All Cases - Enter Cases'!L57,"")</f>
        <v/>
      </c>
      <c r="M57" t="str">
        <f>IF($A57&lt;&gt;"",'All Cases - Enter Cases'!M57,"")</f>
        <v/>
      </c>
    </row>
    <row r="58" spans="1:13" x14ac:dyDescent="0.35">
      <c r="A58" s="4" t="str">
        <f>IF('All Cases - Enter Cases'!$F58="Punjab",'All Cases - Enter Cases'!A58,"")</f>
        <v/>
      </c>
      <c r="B58" t="str">
        <f>IF($A58&lt;&gt;"",'All Cases - Enter Cases'!B58,"")</f>
        <v/>
      </c>
      <c r="C58" t="str">
        <f>IF($A58&lt;&gt;"",'All Cases - Enter Cases'!C58,"")</f>
        <v/>
      </c>
      <c r="D58" t="str">
        <f>IF($A58&lt;&gt;"",'All Cases - Enter Cases'!D58,"")</f>
        <v/>
      </c>
      <c r="E58" t="str">
        <f>IF($A58&lt;&gt;"",'All Cases - Enter Cases'!E58,"")</f>
        <v/>
      </c>
      <c r="F58" t="str">
        <f>IF($A58&lt;&gt;"",'All Cases - Enter Cases'!F58,"")</f>
        <v/>
      </c>
      <c r="G58" t="str">
        <f>IF($A58&lt;&gt;"",'All Cases - Enter Cases'!G58,"")</f>
        <v/>
      </c>
      <c r="H58" t="str">
        <f>IF($A58&lt;&gt;"",'All Cases - Enter Cases'!H58,"")</f>
        <v/>
      </c>
      <c r="I58" t="str">
        <f>IF($A58&lt;&gt;"",'All Cases - Enter Cases'!I58,"")</f>
        <v/>
      </c>
      <c r="J58" s="4" t="str">
        <f>IF($A58&lt;&gt;"",'All Cases - Enter Cases'!J58,"")</f>
        <v/>
      </c>
      <c r="K58" s="4" t="str">
        <f>IF($A58&lt;&gt;"",'All Cases - Enter Cases'!K58,"")</f>
        <v/>
      </c>
      <c r="L58" s="4" t="str">
        <f>IF($A58&lt;&gt;"",'All Cases - Enter Cases'!L58,"")</f>
        <v/>
      </c>
      <c r="M58" t="str">
        <f>IF($A58&lt;&gt;"",'All Cases - Enter Cases'!M58,"")</f>
        <v/>
      </c>
    </row>
    <row r="59" spans="1:13" x14ac:dyDescent="0.35">
      <c r="A59" s="4" t="str">
        <f>IF('All Cases - Enter Cases'!$F59="Punjab",'All Cases - Enter Cases'!A59,"")</f>
        <v/>
      </c>
      <c r="B59" t="str">
        <f>IF($A59&lt;&gt;"",'All Cases - Enter Cases'!B59,"")</f>
        <v/>
      </c>
      <c r="C59" t="str">
        <f>IF($A59&lt;&gt;"",'All Cases - Enter Cases'!C59,"")</f>
        <v/>
      </c>
      <c r="D59" t="str">
        <f>IF($A59&lt;&gt;"",'All Cases - Enter Cases'!D59,"")</f>
        <v/>
      </c>
      <c r="E59" t="str">
        <f>IF($A59&lt;&gt;"",'All Cases - Enter Cases'!E59,"")</f>
        <v/>
      </c>
      <c r="F59" t="str">
        <f>IF($A59&lt;&gt;"",'All Cases - Enter Cases'!F59,"")</f>
        <v/>
      </c>
      <c r="G59" t="str">
        <f>IF($A59&lt;&gt;"",'All Cases - Enter Cases'!G59,"")</f>
        <v/>
      </c>
      <c r="H59" t="str">
        <f>IF($A59&lt;&gt;"",'All Cases - Enter Cases'!H59,"")</f>
        <v/>
      </c>
      <c r="I59" t="str">
        <f>IF($A59&lt;&gt;"",'All Cases - Enter Cases'!I59,"")</f>
        <v/>
      </c>
      <c r="J59" s="4" t="str">
        <f>IF($A59&lt;&gt;"",'All Cases - Enter Cases'!J59,"")</f>
        <v/>
      </c>
      <c r="K59" s="4" t="str">
        <f>IF($A59&lt;&gt;"",'All Cases - Enter Cases'!K59,"")</f>
        <v/>
      </c>
      <c r="L59" s="4" t="str">
        <f>IF($A59&lt;&gt;"",'All Cases - Enter Cases'!L59,"")</f>
        <v/>
      </c>
      <c r="M59" t="str">
        <f>IF($A59&lt;&gt;"",'All Cases - Enter Cases'!M59,"")</f>
        <v/>
      </c>
    </row>
    <row r="60" spans="1:13" x14ac:dyDescent="0.35">
      <c r="A60" s="4" t="str">
        <f>IF('All Cases - Enter Cases'!$F60="Punjab",'All Cases - Enter Cases'!A60,"")</f>
        <v/>
      </c>
      <c r="B60" t="str">
        <f>IF($A60&lt;&gt;"",'All Cases - Enter Cases'!B60,"")</f>
        <v/>
      </c>
      <c r="C60" t="str">
        <f>IF($A60&lt;&gt;"",'All Cases - Enter Cases'!C60,"")</f>
        <v/>
      </c>
      <c r="D60" t="str">
        <f>IF($A60&lt;&gt;"",'All Cases - Enter Cases'!D60,"")</f>
        <v/>
      </c>
      <c r="E60" t="str">
        <f>IF($A60&lt;&gt;"",'All Cases - Enter Cases'!E60,"")</f>
        <v/>
      </c>
      <c r="F60" t="str">
        <f>IF($A60&lt;&gt;"",'All Cases - Enter Cases'!F60,"")</f>
        <v/>
      </c>
      <c r="G60" t="str">
        <f>IF($A60&lt;&gt;"",'All Cases - Enter Cases'!G60,"")</f>
        <v/>
      </c>
      <c r="H60" t="str">
        <f>IF($A60&lt;&gt;"",'All Cases - Enter Cases'!H60,"")</f>
        <v/>
      </c>
      <c r="I60" t="str">
        <f>IF($A60&lt;&gt;"",'All Cases - Enter Cases'!I60,"")</f>
        <v/>
      </c>
      <c r="J60" s="4" t="str">
        <f>IF($A60&lt;&gt;"",'All Cases - Enter Cases'!J60,"")</f>
        <v/>
      </c>
      <c r="K60" s="4" t="str">
        <f>IF($A60&lt;&gt;"",'All Cases - Enter Cases'!K60,"")</f>
        <v/>
      </c>
      <c r="L60" s="4" t="str">
        <f>IF($A60&lt;&gt;"",'All Cases - Enter Cases'!L60,"")</f>
        <v/>
      </c>
      <c r="M60" t="str">
        <f>IF($A60&lt;&gt;"",'All Cases - Enter Cases'!M60,"")</f>
        <v/>
      </c>
    </row>
    <row r="61" spans="1:13" x14ac:dyDescent="0.35">
      <c r="A61" s="4" t="str">
        <f>IF('All Cases - Enter Cases'!$F61="Punjab",'All Cases - Enter Cases'!A61,"")</f>
        <v/>
      </c>
      <c r="B61" t="str">
        <f>IF($A61&lt;&gt;"",'All Cases - Enter Cases'!B61,"")</f>
        <v/>
      </c>
      <c r="C61" t="str">
        <f>IF($A61&lt;&gt;"",'All Cases - Enter Cases'!C61,"")</f>
        <v/>
      </c>
      <c r="D61" t="str">
        <f>IF($A61&lt;&gt;"",'All Cases - Enter Cases'!D61,"")</f>
        <v/>
      </c>
      <c r="E61" t="str">
        <f>IF($A61&lt;&gt;"",'All Cases - Enter Cases'!E61,"")</f>
        <v/>
      </c>
      <c r="F61" t="str">
        <f>IF($A61&lt;&gt;"",'All Cases - Enter Cases'!F61,"")</f>
        <v/>
      </c>
      <c r="G61" t="str">
        <f>IF($A61&lt;&gt;"",'All Cases - Enter Cases'!G61,"")</f>
        <v/>
      </c>
      <c r="H61" t="str">
        <f>IF($A61&lt;&gt;"",'All Cases - Enter Cases'!H61,"")</f>
        <v/>
      </c>
      <c r="I61" t="str">
        <f>IF($A61&lt;&gt;"",'All Cases - Enter Cases'!I61,"")</f>
        <v/>
      </c>
      <c r="J61" s="4" t="str">
        <f>IF($A61&lt;&gt;"",'All Cases - Enter Cases'!J61,"")</f>
        <v/>
      </c>
      <c r="K61" s="4" t="str">
        <f>IF($A61&lt;&gt;"",'All Cases - Enter Cases'!K61,"")</f>
        <v/>
      </c>
      <c r="L61" s="4" t="str">
        <f>IF($A61&lt;&gt;"",'All Cases - Enter Cases'!L61,"")</f>
        <v/>
      </c>
      <c r="M61" t="str">
        <f>IF($A61&lt;&gt;"",'All Cases - Enter Cases'!M61,"")</f>
        <v/>
      </c>
    </row>
    <row r="62" spans="1:13" x14ac:dyDescent="0.35">
      <c r="A62" s="4" t="str">
        <f>IF('All Cases - Enter Cases'!$F62="Punjab",'All Cases - Enter Cases'!A62,"")</f>
        <v/>
      </c>
      <c r="B62" t="str">
        <f>IF($A62&lt;&gt;"",'All Cases - Enter Cases'!B62,"")</f>
        <v/>
      </c>
      <c r="C62" t="str">
        <f>IF($A62&lt;&gt;"",'All Cases - Enter Cases'!C62,"")</f>
        <v/>
      </c>
      <c r="D62" t="str">
        <f>IF($A62&lt;&gt;"",'All Cases - Enter Cases'!D62,"")</f>
        <v/>
      </c>
      <c r="E62" t="str">
        <f>IF($A62&lt;&gt;"",'All Cases - Enter Cases'!E62,"")</f>
        <v/>
      </c>
      <c r="F62" t="str">
        <f>IF($A62&lt;&gt;"",'All Cases - Enter Cases'!F62,"")</f>
        <v/>
      </c>
      <c r="G62" t="str">
        <f>IF($A62&lt;&gt;"",'All Cases - Enter Cases'!G62,"")</f>
        <v/>
      </c>
      <c r="H62" t="str">
        <f>IF($A62&lt;&gt;"",'All Cases - Enter Cases'!H62,"")</f>
        <v/>
      </c>
      <c r="I62" t="str">
        <f>IF($A62&lt;&gt;"",'All Cases - Enter Cases'!I62,"")</f>
        <v/>
      </c>
      <c r="J62" s="4" t="str">
        <f>IF($A62&lt;&gt;"",'All Cases - Enter Cases'!J62,"")</f>
        <v/>
      </c>
      <c r="K62" s="4" t="str">
        <f>IF($A62&lt;&gt;"",'All Cases - Enter Cases'!K62,"")</f>
        <v/>
      </c>
      <c r="L62" s="4" t="str">
        <f>IF($A62&lt;&gt;"",'All Cases - Enter Cases'!L62,"")</f>
        <v/>
      </c>
      <c r="M62" t="str">
        <f>IF($A62&lt;&gt;"",'All Cases - Enter Cases'!M62,"")</f>
        <v/>
      </c>
    </row>
    <row r="63" spans="1:13" x14ac:dyDescent="0.35">
      <c r="A63" s="4" t="str">
        <f>IF('All Cases - Enter Cases'!$F63="Punjab",'All Cases - Enter Cases'!A63,"")</f>
        <v/>
      </c>
      <c r="B63" t="str">
        <f>IF($A63&lt;&gt;"",'All Cases - Enter Cases'!B63,"")</f>
        <v/>
      </c>
      <c r="C63" t="str">
        <f>IF($A63&lt;&gt;"",'All Cases - Enter Cases'!C63,"")</f>
        <v/>
      </c>
      <c r="D63" t="str">
        <f>IF($A63&lt;&gt;"",'All Cases - Enter Cases'!D63,"")</f>
        <v/>
      </c>
      <c r="E63" t="str">
        <f>IF($A63&lt;&gt;"",'All Cases - Enter Cases'!E63,"")</f>
        <v/>
      </c>
      <c r="F63" t="str">
        <f>IF($A63&lt;&gt;"",'All Cases - Enter Cases'!F63,"")</f>
        <v/>
      </c>
      <c r="G63" t="str">
        <f>IF($A63&lt;&gt;"",'All Cases - Enter Cases'!G63,"")</f>
        <v/>
      </c>
      <c r="H63" t="str">
        <f>IF($A63&lt;&gt;"",'All Cases - Enter Cases'!H63,"")</f>
        <v/>
      </c>
      <c r="I63" t="str">
        <f>IF($A63&lt;&gt;"",'All Cases - Enter Cases'!I63,"")</f>
        <v/>
      </c>
      <c r="J63" s="4" t="str">
        <f>IF($A63&lt;&gt;"",'All Cases - Enter Cases'!J63,"")</f>
        <v/>
      </c>
      <c r="K63" s="4" t="str">
        <f>IF($A63&lt;&gt;"",'All Cases - Enter Cases'!K63,"")</f>
        <v/>
      </c>
      <c r="L63" s="4" t="str">
        <f>IF($A63&lt;&gt;"",'All Cases - Enter Cases'!L63,"")</f>
        <v/>
      </c>
      <c r="M63" t="str">
        <f>IF($A63&lt;&gt;"",'All Cases - Enter Cases'!M63,"")</f>
        <v/>
      </c>
    </row>
    <row r="64" spans="1:13" x14ac:dyDescent="0.35">
      <c r="A64" s="4" t="str">
        <f>IF('All Cases - Enter Cases'!$F64="Punjab",'All Cases - Enter Cases'!A64,"")</f>
        <v/>
      </c>
      <c r="B64" t="str">
        <f>IF($A64&lt;&gt;"",'All Cases - Enter Cases'!B64,"")</f>
        <v/>
      </c>
      <c r="C64" t="str">
        <f>IF($A64&lt;&gt;"",'All Cases - Enter Cases'!C64,"")</f>
        <v/>
      </c>
      <c r="D64" t="str">
        <f>IF($A64&lt;&gt;"",'All Cases - Enter Cases'!D64,"")</f>
        <v/>
      </c>
      <c r="E64" t="str">
        <f>IF($A64&lt;&gt;"",'All Cases - Enter Cases'!E64,"")</f>
        <v/>
      </c>
      <c r="F64" t="str">
        <f>IF($A64&lt;&gt;"",'All Cases - Enter Cases'!F64,"")</f>
        <v/>
      </c>
      <c r="G64" t="str">
        <f>IF($A64&lt;&gt;"",'All Cases - Enter Cases'!G64,"")</f>
        <v/>
      </c>
      <c r="H64" t="str">
        <f>IF($A64&lt;&gt;"",'All Cases - Enter Cases'!H64,"")</f>
        <v/>
      </c>
      <c r="I64" t="str">
        <f>IF($A64&lt;&gt;"",'All Cases - Enter Cases'!I64,"")</f>
        <v/>
      </c>
      <c r="J64" s="4" t="str">
        <f>IF($A64&lt;&gt;"",'All Cases - Enter Cases'!J64,"")</f>
        <v/>
      </c>
      <c r="K64" s="4" t="str">
        <f>IF($A64&lt;&gt;"",'All Cases - Enter Cases'!K64,"")</f>
        <v/>
      </c>
      <c r="L64" s="4" t="str">
        <f>IF($A64&lt;&gt;"",'All Cases - Enter Cases'!L64,"")</f>
        <v/>
      </c>
      <c r="M64" t="str">
        <f>IF($A64&lt;&gt;"",'All Cases - Enter Cases'!M64,"")</f>
        <v/>
      </c>
    </row>
    <row r="65" spans="1:13" x14ac:dyDescent="0.35">
      <c r="A65" s="4" t="str">
        <f>IF('All Cases - Enter Cases'!$F65="Punjab",'All Cases - Enter Cases'!A65,"")</f>
        <v/>
      </c>
      <c r="B65" t="str">
        <f>IF($A65&lt;&gt;"",'All Cases - Enter Cases'!B65,"")</f>
        <v/>
      </c>
      <c r="C65" t="str">
        <f>IF($A65&lt;&gt;"",'All Cases - Enter Cases'!C65,"")</f>
        <v/>
      </c>
      <c r="D65" t="str">
        <f>IF($A65&lt;&gt;"",'All Cases - Enter Cases'!D65,"")</f>
        <v/>
      </c>
      <c r="E65" t="str">
        <f>IF($A65&lt;&gt;"",'All Cases - Enter Cases'!E65,"")</f>
        <v/>
      </c>
      <c r="F65" t="str">
        <f>IF($A65&lt;&gt;"",'All Cases - Enter Cases'!F65,"")</f>
        <v/>
      </c>
      <c r="G65" t="str">
        <f>IF($A65&lt;&gt;"",'All Cases - Enter Cases'!G65,"")</f>
        <v/>
      </c>
      <c r="H65" t="str">
        <f>IF($A65&lt;&gt;"",'All Cases - Enter Cases'!H65,"")</f>
        <v/>
      </c>
      <c r="I65" t="str">
        <f>IF($A65&lt;&gt;"",'All Cases - Enter Cases'!I65,"")</f>
        <v/>
      </c>
      <c r="J65" s="4" t="str">
        <f>IF($A65&lt;&gt;"",'All Cases - Enter Cases'!J65,"")</f>
        <v/>
      </c>
      <c r="K65" s="4" t="str">
        <f>IF($A65&lt;&gt;"",'All Cases - Enter Cases'!K65,"")</f>
        <v/>
      </c>
      <c r="L65" s="4" t="str">
        <f>IF($A65&lt;&gt;"",'All Cases - Enter Cases'!L65,"")</f>
        <v/>
      </c>
      <c r="M65" t="str">
        <f>IF($A65&lt;&gt;"",'All Cases - Enter Cases'!M65,"")</f>
        <v/>
      </c>
    </row>
    <row r="66" spans="1:13" x14ac:dyDescent="0.35">
      <c r="A66" s="4" t="str">
        <f>IF('All Cases - Enter Cases'!$F66="Punjab",'All Cases - Enter Cases'!A66,"")</f>
        <v/>
      </c>
      <c r="B66" t="str">
        <f>IF($A66&lt;&gt;"",'All Cases - Enter Cases'!B66,"")</f>
        <v/>
      </c>
      <c r="C66" t="str">
        <f>IF($A66&lt;&gt;"",'All Cases - Enter Cases'!C66,"")</f>
        <v/>
      </c>
      <c r="D66" t="str">
        <f>IF($A66&lt;&gt;"",'All Cases - Enter Cases'!D66,"")</f>
        <v/>
      </c>
      <c r="E66" t="str">
        <f>IF($A66&lt;&gt;"",'All Cases - Enter Cases'!E66,"")</f>
        <v/>
      </c>
      <c r="F66" t="str">
        <f>IF($A66&lt;&gt;"",'All Cases - Enter Cases'!F66,"")</f>
        <v/>
      </c>
      <c r="G66" t="str">
        <f>IF($A66&lt;&gt;"",'All Cases - Enter Cases'!G66,"")</f>
        <v/>
      </c>
      <c r="H66" t="str">
        <f>IF($A66&lt;&gt;"",'All Cases - Enter Cases'!H66,"")</f>
        <v/>
      </c>
      <c r="I66" t="str">
        <f>IF($A66&lt;&gt;"",'All Cases - Enter Cases'!I66,"")</f>
        <v/>
      </c>
      <c r="J66" s="4" t="str">
        <f>IF($A66&lt;&gt;"",'All Cases - Enter Cases'!J66,"")</f>
        <v/>
      </c>
      <c r="K66" s="4" t="str">
        <f>IF($A66&lt;&gt;"",'All Cases - Enter Cases'!K66,"")</f>
        <v/>
      </c>
      <c r="L66" s="4" t="str">
        <f>IF($A66&lt;&gt;"",'All Cases - Enter Cases'!L66,"")</f>
        <v/>
      </c>
      <c r="M66" t="str">
        <f>IF($A66&lt;&gt;"",'All Cases - Enter Cases'!M66,"")</f>
        <v/>
      </c>
    </row>
    <row r="67" spans="1:13" x14ac:dyDescent="0.35">
      <c r="A67" s="4" t="str">
        <f>IF('All Cases - Enter Cases'!$F67="Punjab",'All Cases - Enter Cases'!A67,"")</f>
        <v/>
      </c>
      <c r="B67" t="str">
        <f>IF($A67&lt;&gt;"",'All Cases - Enter Cases'!B67,"")</f>
        <v/>
      </c>
      <c r="C67" t="str">
        <f>IF($A67&lt;&gt;"",'All Cases - Enter Cases'!C67,"")</f>
        <v/>
      </c>
      <c r="D67" t="str">
        <f>IF($A67&lt;&gt;"",'All Cases - Enter Cases'!D67,"")</f>
        <v/>
      </c>
      <c r="E67" t="str">
        <f>IF($A67&lt;&gt;"",'All Cases - Enter Cases'!E67,"")</f>
        <v/>
      </c>
      <c r="F67" t="str">
        <f>IF($A67&lt;&gt;"",'All Cases - Enter Cases'!F67,"")</f>
        <v/>
      </c>
      <c r="G67" t="str">
        <f>IF($A67&lt;&gt;"",'All Cases - Enter Cases'!G67,"")</f>
        <v/>
      </c>
      <c r="H67" t="str">
        <f>IF($A67&lt;&gt;"",'All Cases - Enter Cases'!H67,"")</f>
        <v/>
      </c>
      <c r="I67" t="str">
        <f>IF($A67&lt;&gt;"",'All Cases - Enter Cases'!I67,"")</f>
        <v/>
      </c>
      <c r="J67" s="4" t="str">
        <f>IF($A67&lt;&gt;"",'All Cases - Enter Cases'!J67,"")</f>
        <v/>
      </c>
      <c r="K67" s="4" t="str">
        <f>IF($A67&lt;&gt;"",'All Cases - Enter Cases'!K67,"")</f>
        <v/>
      </c>
      <c r="L67" s="4" t="str">
        <f>IF($A67&lt;&gt;"",'All Cases - Enter Cases'!L67,"")</f>
        <v/>
      </c>
      <c r="M67" t="str">
        <f>IF($A67&lt;&gt;"",'All Cases - Enter Cases'!M67,"")</f>
        <v/>
      </c>
    </row>
    <row r="68" spans="1:13" x14ac:dyDescent="0.35">
      <c r="A68" s="4" t="str">
        <f>IF('All Cases - Enter Cases'!$F68="Punjab",'All Cases - Enter Cases'!A68,"")</f>
        <v/>
      </c>
      <c r="B68" t="str">
        <f>IF($A68&lt;&gt;"",'All Cases - Enter Cases'!B68,"")</f>
        <v/>
      </c>
      <c r="C68" t="str">
        <f>IF($A68&lt;&gt;"",'All Cases - Enter Cases'!C68,"")</f>
        <v/>
      </c>
      <c r="D68" t="str">
        <f>IF($A68&lt;&gt;"",'All Cases - Enter Cases'!D68,"")</f>
        <v/>
      </c>
      <c r="E68" t="str">
        <f>IF($A68&lt;&gt;"",'All Cases - Enter Cases'!E68,"")</f>
        <v/>
      </c>
      <c r="F68" t="str">
        <f>IF($A68&lt;&gt;"",'All Cases - Enter Cases'!F68,"")</f>
        <v/>
      </c>
      <c r="G68" t="str">
        <f>IF($A68&lt;&gt;"",'All Cases - Enter Cases'!G68,"")</f>
        <v/>
      </c>
      <c r="H68" t="str">
        <f>IF($A68&lt;&gt;"",'All Cases - Enter Cases'!H68,"")</f>
        <v/>
      </c>
      <c r="I68" t="str">
        <f>IF($A68&lt;&gt;"",'All Cases - Enter Cases'!I68,"")</f>
        <v/>
      </c>
      <c r="J68" s="4" t="str">
        <f>IF($A68&lt;&gt;"",'All Cases - Enter Cases'!J68,"")</f>
        <v/>
      </c>
      <c r="K68" s="4" t="str">
        <f>IF($A68&lt;&gt;"",'All Cases - Enter Cases'!K68,"")</f>
        <v/>
      </c>
      <c r="L68" s="4" t="str">
        <f>IF($A68&lt;&gt;"",'All Cases - Enter Cases'!L68,"")</f>
        <v/>
      </c>
      <c r="M68" t="str">
        <f>IF($A68&lt;&gt;"",'All Cases - Enter Cases'!M68,"")</f>
        <v/>
      </c>
    </row>
    <row r="69" spans="1:13" x14ac:dyDescent="0.35">
      <c r="A69" s="4" t="str">
        <f>IF('All Cases - Enter Cases'!$F69="Punjab",'All Cases - Enter Cases'!A69,"")</f>
        <v/>
      </c>
      <c r="B69" t="str">
        <f>IF($A69&lt;&gt;"",'All Cases - Enter Cases'!B69,"")</f>
        <v/>
      </c>
      <c r="C69" t="str">
        <f>IF($A69&lt;&gt;"",'All Cases - Enter Cases'!C69,"")</f>
        <v/>
      </c>
      <c r="D69" t="str">
        <f>IF($A69&lt;&gt;"",'All Cases - Enter Cases'!D69,"")</f>
        <v/>
      </c>
      <c r="E69" t="str">
        <f>IF($A69&lt;&gt;"",'All Cases - Enter Cases'!E69,"")</f>
        <v/>
      </c>
      <c r="F69" t="str">
        <f>IF($A69&lt;&gt;"",'All Cases - Enter Cases'!F69,"")</f>
        <v/>
      </c>
      <c r="G69" t="str">
        <f>IF($A69&lt;&gt;"",'All Cases - Enter Cases'!G69,"")</f>
        <v/>
      </c>
      <c r="H69" t="str">
        <f>IF($A69&lt;&gt;"",'All Cases - Enter Cases'!H69,"")</f>
        <v/>
      </c>
      <c r="I69" t="str">
        <f>IF($A69&lt;&gt;"",'All Cases - Enter Cases'!I69,"")</f>
        <v/>
      </c>
      <c r="J69" s="4" t="str">
        <f>IF($A69&lt;&gt;"",'All Cases - Enter Cases'!J69,"")</f>
        <v/>
      </c>
      <c r="K69" s="4" t="str">
        <f>IF($A69&lt;&gt;"",'All Cases - Enter Cases'!K69,"")</f>
        <v/>
      </c>
      <c r="L69" s="4" t="str">
        <f>IF($A69&lt;&gt;"",'All Cases - Enter Cases'!L69,"")</f>
        <v/>
      </c>
      <c r="M69" t="str">
        <f>IF($A69&lt;&gt;"",'All Cases - Enter Cases'!M69,"")</f>
        <v/>
      </c>
    </row>
    <row r="70" spans="1:13" x14ac:dyDescent="0.35">
      <c r="A70" s="4" t="str">
        <f>IF('All Cases - Enter Cases'!$F70="Punjab",'All Cases - Enter Cases'!A70,"")</f>
        <v/>
      </c>
      <c r="B70" t="str">
        <f>IF($A70&lt;&gt;"",'All Cases - Enter Cases'!B70,"")</f>
        <v/>
      </c>
      <c r="C70" t="str">
        <f>IF($A70&lt;&gt;"",'All Cases - Enter Cases'!C70,"")</f>
        <v/>
      </c>
      <c r="D70" t="str">
        <f>IF($A70&lt;&gt;"",'All Cases - Enter Cases'!D70,"")</f>
        <v/>
      </c>
      <c r="E70" t="str">
        <f>IF($A70&lt;&gt;"",'All Cases - Enter Cases'!E70,"")</f>
        <v/>
      </c>
      <c r="F70" t="str">
        <f>IF($A70&lt;&gt;"",'All Cases - Enter Cases'!F70,"")</f>
        <v/>
      </c>
      <c r="G70" t="str">
        <f>IF($A70&lt;&gt;"",'All Cases - Enter Cases'!G70,"")</f>
        <v/>
      </c>
      <c r="H70" t="str">
        <f>IF($A70&lt;&gt;"",'All Cases - Enter Cases'!H70,"")</f>
        <v/>
      </c>
      <c r="I70" t="str">
        <f>IF($A70&lt;&gt;"",'All Cases - Enter Cases'!I70,"")</f>
        <v/>
      </c>
      <c r="J70" s="4" t="str">
        <f>IF($A70&lt;&gt;"",'All Cases - Enter Cases'!J70,"")</f>
        <v/>
      </c>
      <c r="K70" s="4" t="str">
        <f>IF($A70&lt;&gt;"",'All Cases - Enter Cases'!K70,"")</f>
        <v/>
      </c>
      <c r="L70" s="4" t="str">
        <f>IF($A70&lt;&gt;"",'All Cases - Enter Cases'!L70,"")</f>
        <v/>
      </c>
      <c r="M70" t="str">
        <f>IF($A70&lt;&gt;"",'All Cases - Enter Cases'!M70,"")</f>
        <v/>
      </c>
    </row>
    <row r="71" spans="1:13" x14ac:dyDescent="0.35">
      <c r="A71" s="4" t="str">
        <f>IF('All Cases - Enter Cases'!$F71="Punjab",'All Cases - Enter Cases'!A71,"")</f>
        <v/>
      </c>
      <c r="B71" t="str">
        <f>IF($A71&lt;&gt;"",'All Cases - Enter Cases'!B71,"")</f>
        <v/>
      </c>
      <c r="C71" t="str">
        <f>IF($A71&lt;&gt;"",'All Cases - Enter Cases'!C71,"")</f>
        <v/>
      </c>
      <c r="D71" t="str">
        <f>IF($A71&lt;&gt;"",'All Cases - Enter Cases'!D71,"")</f>
        <v/>
      </c>
      <c r="E71" t="str">
        <f>IF($A71&lt;&gt;"",'All Cases - Enter Cases'!E71,"")</f>
        <v/>
      </c>
      <c r="F71" t="str">
        <f>IF($A71&lt;&gt;"",'All Cases - Enter Cases'!F71,"")</f>
        <v/>
      </c>
      <c r="G71" t="str">
        <f>IF($A71&lt;&gt;"",'All Cases - Enter Cases'!G71,"")</f>
        <v/>
      </c>
      <c r="H71" t="str">
        <f>IF($A71&lt;&gt;"",'All Cases - Enter Cases'!H71,"")</f>
        <v/>
      </c>
      <c r="I71" t="str">
        <f>IF($A71&lt;&gt;"",'All Cases - Enter Cases'!I71,"")</f>
        <v/>
      </c>
      <c r="J71" s="4" t="str">
        <f>IF($A71&lt;&gt;"",'All Cases - Enter Cases'!J71,"")</f>
        <v/>
      </c>
      <c r="K71" s="4" t="str">
        <f>IF($A71&lt;&gt;"",'All Cases - Enter Cases'!K71,"")</f>
        <v/>
      </c>
      <c r="L71" s="4" t="str">
        <f>IF($A71&lt;&gt;"",'All Cases - Enter Cases'!L71,"")</f>
        <v/>
      </c>
      <c r="M71" t="str">
        <f>IF($A71&lt;&gt;"",'All Cases - Enter Cases'!M71,"")</f>
        <v/>
      </c>
    </row>
    <row r="72" spans="1:13" x14ac:dyDescent="0.35">
      <c r="A72" s="4" t="str">
        <f>IF('All Cases - Enter Cases'!$F72="Punjab",'All Cases - Enter Cases'!A72,"")</f>
        <v/>
      </c>
      <c r="B72" t="str">
        <f>IF($A72&lt;&gt;"",'All Cases - Enter Cases'!B72,"")</f>
        <v/>
      </c>
      <c r="C72" t="str">
        <f>IF($A72&lt;&gt;"",'All Cases - Enter Cases'!C72,"")</f>
        <v/>
      </c>
      <c r="D72" t="str">
        <f>IF($A72&lt;&gt;"",'All Cases - Enter Cases'!D72,"")</f>
        <v/>
      </c>
      <c r="E72" t="str">
        <f>IF($A72&lt;&gt;"",'All Cases - Enter Cases'!E72,"")</f>
        <v/>
      </c>
      <c r="F72" t="str">
        <f>IF($A72&lt;&gt;"",'All Cases - Enter Cases'!F72,"")</f>
        <v/>
      </c>
      <c r="G72" t="str">
        <f>IF($A72&lt;&gt;"",'All Cases - Enter Cases'!G72,"")</f>
        <v/>
      </c>
      <c r="H72" t="str">
        <f>IF($A72&lt;&gt;"",'All Cases - Enter Cases'!H72,"")</f>
        <v/>
      </c>
      <c r="I72" t="str">
        <f>IF($A72&lt;&gt;"",'All Cases - Enter Cases'!I72,"")</f>
        <v/>
      </c>
      <c r="J72" s="4" t="str">
        <f>IF($A72&lt;&gt;"",'All Cases - Enter Cases'!J72,"")</f>
        <v/>
      </c>
      <c r="K72" s="4" t="str">
        <f>IF($A72&lt;&gt;"",'All Cases - Enter Cases'!K72,"")</f>
        <v/>
      </c>
      <c r="L72" s="4" t="str">
        <f>IF($A72&lt;&gt;"",'All Cases - Enter Cases'!L72,"")</f>
        <v/>
      </c>
      <c r="M72" t="str">
        <f>IF($A72&lt;&gt;"",'All Cases - Enter Cases'!M72,"")</f>
        <v/>
      </c>
    </row>
    <row r="73" spans="1:13" x14ac:dyDescent="0.35">
      <c r="A73" s="4" t="str">
        <f>IF('All Cases - Enter Cases'!$F73="Punjab",'All Cases - Enter Cases'!A73,"")</f>
        <v/>
      </c>
      <c r="B73" t="str">
        <f>IF($A73&lt;&gt;"",'All Cases - Enter Cases'!B73,"")</f>
        <v/>
      </c>
      <c r="C73" t="str">
        <f>IF($A73&lt;&gt;"",'All Cases - Enter Cases'!C73,"")</f>
        <v/>
      </c>
      <c r="D73" t="str">
        <f>IF($A73&lt;&gt;"",'All Cases - Enter Cases'!D73,"")</f>
        <v/>
      </c>
      <c r="E73" t="str">
        <f>IF($A73&lt;&gt;"",'All Cases - Enter Cases'!E73,"")</f>
        <v/>
      </c>
      <c r="F73" t="str">
        <f>IF($A73&lt;&gt;"",'All Cases - Enter Cases'!F73,"")</f>
        <v/>
      </c>
      <c r="G73" t="str">
        <f>IF($A73&lt;&gt;"",'All Cases - Enter Cases'!G73,"")</f>
        <v/>
      </c>
      <c r="H73" t="str">
        <f>IF($A73&lt;&gt;"",'All Cases - Enter Cases'!H73,"")</f>
        <v/>
      </c>
      <c r="I73" t="str">
        <f>IF($A73&lt;&gt;"",'All Cases - Enter Cases'!I73,"")</f>
        <v/>
      </c>
      <c r="J73" s="4" t="str">
        <f>IF($A73&lt;&gt;"",'All Cases - Enter Cases'!J73,"")</f>
        <v/>
      </c>
      <c r="K73" s="4" t="str">
        <f>IF($A73&lt;&gt;"",'All Cases - Enter Cases'!K73,"")</f>
        <v/>
      </c>
      <c r="L73" s="4" t="str">
        <f>IF($A73&lt;&gt;"",'All Cases - Enter Cases'!L73,"")</f>
        <v/>
      </c>
      <c r="M73" t="str">
        <f>IF($A73&lt;&gt;"",'All Cases - Enter Cases'!M73,"")</f>
        <v/>
      </c>
    </row>
    <row r="74" spans="1:13" x14ac:dyDescent="0.35">
      <c r="A74" s="4" t="str">
        <f>IF('All Cases - Enter Cases'!$F74="Punjab",'All Cases - Enter Cases'!A74,"")</f>
        <v/>
      </c>
      <c r="B74" t="str">
        <f>IF($A74&lt;&gt;"",'All Cases - Enter Cases'!B74,"")</f>
        <v/>
      </c>
      <c r="C74" t="str">
        <f>IF($A74&lt;&gt;"",'All Cases - Enter Cases'!C74,"")</f>
        <v/>
      </c>
      <c r="D74" t="str">
        <f>IF($A74&lt;&gt;"",'All Cases - Enter Cases'!D74,"")</f>
        <v/>
      </c>
      <c r="E74" t="str">
        <f>IF($A74&lt;&gt;"",'All Cases - Enter Cases'!E74,"")</f>
        <v/>
      </c>
      <c r="F74" t="str">
        <f>IF($A74&lt;&gt;"",'All Cases - Enter Cases'!F74,"")</f>
        <v/>
      </c>
      <c r="G74" t="str">
        <f>IF($A74&lt;&gt;"",'All Cases - Enter Cases'!G74,"")</f>
        <v/>
      </c>
      <c r="H74" t="str">
        <f>IF($A74&lt;&gt;"",'All Cases - Enter Cases'!H74,"")</f>
        <v/>
      </c>
      <c r="I74" t="str">
        <f>IF($A74&lt;&gt;"",'All Cases - Enter Cases'!I74,"")</f>
        <v/>
      </c>
      <c r="J74" s="4" t="str">
        <f>IF($A74&lt;&gt;"",'All Cases - Enter Cases'!J74,"")</f>
        <v/>
      </c>
      <c r="K74" s="4" t="str">
        <f>IF($A74&lt;&gt;"",'All Cases - Enter Cases'!K74,"")</f>
        <v/>
      </c>
      <c r="L74" s="4" t="str">
        <f>IF($A74&lt;&gt;"",'All Cases - Enter Cases'!L74,"")</f>
        <v/>
      </c>
      <c r="M74" t="str">
        <f>IF($A74&lt;&gt;"",'All Cases - Enter Cases'!M74,"")</f>
        <v/>
      </c>
    </row>
    <row r="75" spans="1:13" x14ac:dyDescent="0.35">
      <c r="A75" s="4" t="str">
        <f>IF('All Cases - Enter Cases'!$F75="Punjab",'All Cases - Enter Cases'!A75,"")</f>
        <v/>
      </c>
      <c r="B75" t="str">
        <f>IF($A75&lt;&gt;"",'All Cases - Enter Cases'!B75,"")</f>
        <v/>
      </c>
      <c r="C75" t="str">
        <f>IF($A75&lt;&gt;"",'All Cases - Enter Cases'!C75,"")</f>
        <v/>
      </c>
      <c r="D75" t="str">
        <f>IF($A75&lt;&gt;"",'All Cases - Enter Cases'!D75,"")</f>
        <v/>
      </c>
      <c r="E75" t="str">
        <f>IF($A75&lt;&gt;"",'All Cases - Enter Cases'!E75,"")</f>
        <v/>
      </c>
      <c r="F75" t="str">
        <f>IF($A75&lt;&gt;"",'All Cases - Enter Cases'!F75,"")</f>
        <v/>
      </c>
      <c r="G75" t="str">
        <f>IF($A75&lt;&gt;"",'All Cases - Enter Cases'!G75,"")</f>
        <v/>
      </c>
      <c r="H75" t="str">
        <f>IF($A75&lt;&gt;"",'All Cases - Enter Cases'!H75,"")</f>
        <v/>
      </c>
      <c r="I75" t="str">
        <f>IF($A75&lt;&gt;"",'All Cases - Enter Cases'!I75,"")</f>
        <v/>
      </c>
      <c r="J75" s="4" t="str">
        <f>IF($A75&lt;&gt;"",'All Cases - Enter Cases'!J75,"")</f>
        <v/>
      </c>
      <c r="K75" s="4" t="str">
        <f>IF($A75&lt;&gt;"",'All Cases - Enter Cases'!K75,"")</f>
        <v/>
      </c>
      <c r="L75" s="4" t="str">
        <f>IF($A75&lt;&gt;"",'All Cases - Enter Cases'!L75,"")</f>
        <v/>
      </c>
      <c r="M75" t="str">
        <f>IF($A75&lt;&gt;"",'All Cases - Enter Cases'!M75,"")</f>
        <v/>
      </c>
    </row>
    <row r="76" spans="1:13" x14ac:dyDescent="0.35">
      <c r="A76" s="4" t="str">
        <f>IF('All Cases - Enter Cases'!$F76="Punjab",'All Cases - Enter Cases'!A76,"")</f>
        <v/>
      </c>
      <c r="B76" t="str">
        <f>IF($A76&lt;&gt;"",'All Cases - Enter Cases'!B76,"")</f>
        <v/>
      </c>
      <c r="C76" t="str">
        <f>IF($A76&lt;&gt;"",'All Cases - Enter Cases'!C76,"")</f>
        <v/>
      </c>
      <c r="D76" t="str">
        <f>IF($A76&lt;&gt;"",'All Cases - Enter Cases'!D76,"")</f>
        <v/>
      </c>
      <c r="E76" t="str">
        <f>IF($A76&lt;&gt;"",'All Cases - Enter Cases'!E76,"")</f>
        <v/>
      </c>
      <c r="F76" t="str">
        <f>IF($A76&lt;&gt;"",'All Cases - Enter Cases'!F76,"")</f>
        <v/>
      </c>
      <c r="G76" t="str">
        <f>IF($A76&lt;&gt;"",'All Cases - Enter Cases'!G76,"")</f>
        <v/>
      </c>
      <c r="H76" t="str">
        <f>IF($A76&lt;&gt;"",'All Cases - Enter Cases'!H76,"")</f>
        <v/>
      </c>
      <c r="I76" t="str">
        <f>IF($A76&lt;&gt;"",'All Cases - Enter Cases'!I76,"")</f>
        <v/>
      </c>
      <c r="J76" s="4" t="str">
        <f>IF($A76&lt;&gt;"",'All Cases - Enter Cases'!J76,"")</f>
        <v/>
      </c>
      <c r="K76" s="4" t="str">
        <f>IF($A76&lt;&gt;"",'All Cases - Enter Cases'!K76,"")</f>
        <v/>
      </c>
      <c r="L76" s="4" t="str">
        <f>IF($A76&lt;&gt;"",'All Cases - Enter Cases'!L76,"")</f>
        <v/>
      </c>
      <c r="M76" t="str">
        <f>IF($A76&lt;&gt;"",'All Cases - Enter Cases'!M76,"")</f>
        <v/>
      </c>
    </row>
    <row r="77" spans="1:13" x14ac:dyDescent="0.35">
      <c r="A77" s="4" t="str">
        <f>IF('All Cases - Enter Cases'!$F77="Punjab",'All Cases - Enter Cases'!A77,"")</f>
        <v/>
      </c>
      <c r="B77" t="str">
        <f>IF($A77&lt;&gt;"",'All Cases - Enter Cases'!B77,"")</f>
        <v/>
      </c>
      <c r="C77" t="str">
        <f>IF($A77&lt;&gt;"",'All Cases - Enter Cases'!C77,"")</f>
        <v/>
      </c>
      <c r="D77" t="str">
        <f>IF($A77&lt;&gt;"",'All Cases - Enter Cases'!D77,"")</f>
        <v/>
      </c>
      <c r="E77" t="str">
        <f>IF($A77&lt;&gt;"",'All Cases - Enter Cases'!E77,"")</f>
        <v/>
      </c>
      <c r="F77" t="str">
        <f>IF($A77&lt;&gt;"",'All Cases - Enter Cases'!F77,"")</f>
        <v/>
      </c>
      <c r="G77" t="str">
        <f>IF($A77&lt;&gt;"",'All Cases - Enter Cases'!G77,"")</f>
        <v/>
      </c>
      <c r="H77" t="str">
        <f>IF($A77&lt;&gt;"",'All Cases - Enter Cases'!H77,"")</f>
        <v/>
      </c>
      <c r="I77" t="str">
        <f>IF($A77&lt;&gt;"",'All Cases - Enter Cases'!I77,"")</f>
        <v/>
      </c>
      <c r="J77" s="4" t="str">
        <f>IF($A77&lt;&gt;"",'All Cases - Enter Cases'!J77,"")</f>
        <v/>
      </c>
      <c r="K77" s="4" t="str">
        <f>IF($A77&lt;&gt;"",'All Cases - Enter Cases'!K77,"")</f>
        <v/>
      </c>
      <c r="L77" s="4" t="str">
        <f>IF($A77&lt;&gt;"",'All Cases - Enter Cases'!L77,"")</f>
        <v/>
      </c>
      <c r="M77" t="str">
        <f>IF($A77&lt;&gt;"",'All Cases - Enter Cases'!M77,"")</f>
        <v/>
      </c>
    </row>
    <row r="78" spans="1:13" x14ac:dyDescent="0.35">
      <c r="A78" s="4" t="str">
        <f>IF('All Cases - Enter Cases'!$F78="Punjab",'All Cases - Enter Cases'!A78,"")</f>
        <v/>
      </c>
      <c r="B78" t="str">
        <f>IF($A78&lt;&gt;"",'All Cases - Enter Cases'!B78,"")</f>
        <v/>
      </c>
      <c r="C78" t="str">
        <f>IF($A78&lt;&gt;"",'All Cases - Enter Cases'!C78,"")</f>
        <v/>
      </c>
      <c r="D78" t="str">
        <f>IF($A78&lt;&gt;"",'All Cases - Enter Cases'!D78,"")</f>
        <v/>
      </c>
      <c r="E78" t="str">
        <f>IF($A78&lt;&gt;"",'All Cases - Enter Cases'!E78,"")</f>
        <v/>
      </c>
      <c r="F78" t="str">
        <f>IF($A78&lt;&gt;"",'All Cases - Enter Cases'!F78,"")</f>
        <v/>
      </c>
      <c r="G78" t="str">
        <f>IF($A78&lt;&gt;"",'All Cases - Enter Cases'!G78,"")</f>
        <v/>
      </c>
      <c r="H78" t="str">
        <f>IF($A78&lt;&gt;"",'All Cases - Enter Cases'!H78,"")</f>
        <v/>
      </c>
      <c r="I78" t="str">
        <f>IF($A78&lt;&gt;"",'All Cases - Enter Cases'!I78,"")</f>
        <v/>
      </c>
      <c r="J78" s="4" t="str">
        <f>IF($A78&lt;&gt;"",'All Cases - Enter Cases'!J78,"")</f>
        <v/>
      </c>
      <c r="K78" s="4" t="str">
        <f>IF($A78&lt;&gt;"",'All Cases - Enter Cases'!K78,"")</f>
        <v/>
      </c>
      <c r="L78" s="4" t="str">
        <f>IF($A78&lt;&gt;"",'All Cases - Enter Cases'!L78,"")</f>
        <v/>
      </c>
      <c r="M78" t="str">
        <f>IF($A78&lt;&gt;"",'All Cases - Enter Cases'!M78,"")</f>
        <v/>
      </c>
    </row>
    <row r="79" spans="1:13" x14ac:dyDescent="0.35">
      <c r="A79" s="4" t="str">
        <f>IF('All Cases - Enter Cases'!$F79="Punjab",'All Cases - Enter Cases'!A79,"")</f>
        <v/>
      </c>
      <c r="B79" t="str">
        <f>IF($A79&lt;&gt;"",'All Cases - Enter Cases'!B79,"")</f>
        <v/>
      </c>
      <c r="C79" t="str">
        <f>IF($A79&lt;&gt;"",'All Cases - Enter Cases'!C79,"")</f>
        <v/>
      </c>
      <c r="D79" t="str">
        <f>IF($A79&lt;&gt;"",'All Cases - Enter Cases'!D79,"")</f>
        <v/>
      </c>
      <c r="E79" t="str">
        <f>IF($A79&lt;&gt;"",'All Cases - Enter Cases'!E79,"")</f>
        <v/>
      </c>
      <c r="F79" t="str">
        <f>IF($A79&lt;&gt;"",'All Cases - Enter Cases'!F79,"")</f>
        <v/>
      </c>
      <c r="G79" t="str">
        <f>IF($A79&lt;&gt;"",'All Cases - Enter Cases'!G79,"")</f>
        <v/>
      </c>
      <c r="H79" t="str">
        <f>IF($A79&lt;&gt;"",'All Cases - Enter Cases'!H79,"")</f>
        <v/>
      </c>
      <c r="I79" t="str">
        <f>IF($A79&lt;&gt;"",'All Cases - Enter Cases'!I79,"")</f>
        <v/>
      </c>
      <c r="J79" s="4" t="str">
        <f>IF($A79&lt;&gt;"",'All Cases - Enter Cases'!J79,"")</f>
        <v/>
      </c>
      <c r="K79" s="4" t="str">
        <f>IF($A79&lt;&gt;"",'All Cases - Enter Cases'!K79,"")</f>
        <v/>
      </c>
      <c r="L79" s="4" t="str">
        <f>IF($A79&lt;&gt;"",'All Cases - Enter Cases'!L79,"")</f>
        <v/>
      </c>
      <c r="M79" t="str">
        <f>IF($A79&lt;&gt;"",'All Cases - Enter Cases'!M79,"")</f>
        <v/>
      </c>
    </row>
    <row r="80" spans="1:13" x14ac:dyDescent="0.35">
      <c r="A80" s="4" t="str">
        <f>IF('All Cases - Enter Cases'!$F80="Punjab",'All Cases - Enter Cases'!A80,"")</f>
        <v/>
      </c>
      <c r="B80" t="str">
        <f>IF($A80&lt;&gt;"",'All Cases - Enter Cases'!B80,"")</f>
        <v/>
      </c>
      <c r="C80" t="str">
        <f>IF($A80&lt;&gt;"",'All Cases - Enter Cases'!C80,"")</f>
        <v/>
      </c>
      <c r="D80" t="str">
        <f>IF($A80&lt;&gt;"",'All Cases - Enter Cases'!D80,"")</f>
        <v/>
      </c>
      <c r="E80" t="str">
        <f>IF($A80&lt;&gt;"",'All Cases - Enter Cases'!E80,"")</f>
        <v/>
      </c>
      <c r="F80" t="str">
        <f>IF($A80&lt;&gt;"",'All Cases - Enter Cases'!F80,"")</f>
        <v/>
      </c>
      <c r="G80" t="str">
        <f>IF($A80&lt;&gt;"",'All Cases - Enter Cases'!G80,"")</f>
        <v/>
      </c>
      <c r="H80" t="str">
        <f>IF($A80&lt;&gt;"",'All Cases - Enter Cases'!H80,"")</f>
        <v/>
      </c>
      <c r="I80" t="str">
        <f>IF($A80&lt;&gt;"",'All Cases - Enter Cases'!I80,"")</f>
        <v/>
      </c>
      <c r="J80" s="4" t="str">
        <f>IF($A80&lt;&gt;"",'All Cases - Enter Cases'!J80,"")</f>
        <v/>
      </c>
      <c r="K80" s="4" t="str">
        <f>IF($A80&lt;&gt;"",'All Cases - Enter Cases'!K80,"")</f>
        <v/>
      </c>
      <c r="L80" s="4" t="str">
        <f>IF($A80&lt;&gt;"",'All Cases - Enter Cases'!L80,"")</f>
        <v/>
      </c>
      <c r="M80" t="str">
        <f>IF($A80&lt;&gt;"",'All Cases - Enter Cases'!M80,"")</f>
        <v/>
      </c>
    </row>
    <row r="81" spans="1:13" x14ac:dyDescent="0.35">
      <c r="A81" s="4" t="str">
        <f>IF('All Cases - Enter Cases'!$F81="Punjab",'All Cases - Enter Cases'!A81,"")</f>
        <v/>
      </c>
      <c r="B81" t="str">
        <f>IF($A81&lt;&gt;"",'All Cases - Enter Cases'!B81,"")</f>
        <v/>
      </c>
      <c r="C81" t="str">
        <f>IF($A81&lt;&gt;"",'All Cases - Enter Cases'!C81,"")</f>
        <v/>
      </c>
      <c r="D81" t="str">
        <f>IF($A81&lt;&gt;"",'All Cases - Enter Cases'!D81,"")</f>
        <v/>
      </c>
      <c r="E81" t="str">
        <f>IF($A81&lt;&gt;"",'All Cases - Enter Cases'!E81,"")</f>
        <v/>
      </c>
      <c r="F81" t="str">
        <f>IF($A81&lt;&gt;"",'All Cases - Enter Cases'!F81,"")</f>
        <v/>
      </c>
      <c r="G81" t="str">
        <f>IF($A81&lt;&gt;"",'All Cases - Enter Cases'!G81,"")</f>
        <v/>
      </c>
      <c r="H81" t="str">
        <f>IF($A81&lt;&gt;"",'All Cases - Enter Cases'!H81,"")</f>
        <v/>
      </c>
      <c r="I81" t="str">
        <f>IF($A81&lt;&gt;"",'All Cases - Enter Cases'!I81,"")</f>
        <v/>
      </c>
      <c r="J81" s="4" t="str">
        <f>IF($A81&lt;&gt;"",'All Cases - Enter Cases'!J81,"")</f>
        <v/>
      </c>
      <c r="K81" s="4" t="str">
        <f>IF($A81&lt;&gt;"",'All Cases - Enter Cases'!K81,"")</f>
        <v/>
      </c>
      <c r="L81" s="4" t="str">
        <f>IF($A81&lt;&gt;"",'All Cases - Enter Cases'!L81,"")</f>
        <v/>
      </c>
      <c r="M81" t="str">
        <f>IF($A81&lt;&gt;"",'All Cases - Enter Cases'!M81,"")</f>
        <v/>
      </c>
    </row>
    <row r="82" spans="1:13" x14ac:dyDescent="0.35">
      <c r="A82" s="4" t="str">
        <f>IF('All Cases - Enter Cases'!$F82="Punjab",'All Cases - Enter Cases'!A82,"")</f>
        <v/>
      </c>
      <c r="B82" t="str">
        <f>IF($A82&lt;&gt;"",'All Cases - Enter Cases'!B82,"")</f>
        <v/>
      </c>
      <c r="C82" t="str">
        <f>IF($A82&lt;&gt;"",'All Cases - Enter Cases'!C82,"")</f>
        <v/>
      </c>
      <c r="D82" t="str">
        <f>IF($A82&lt;&gt;"",'All Cases - Enter Cases'!D82,"")</f>
        <v/>
      </c>
      <c r="E82" t="str">
        <f>IF($A82&lt;&gt;"",'All Cases - Enter Cases'!E82,"")</f>
        <v/>
      </c>
      <c r="F82" t="str">
        <f>IF($A82&lt;&gt;"",'All Cases - Enter Cases'!F82,"")</f>
        <v/>
      </c>
      <c r="G82" t="str">
        <f>IF($A82&lt;&gt;"",'All Cases - Enter Cases'!G82,"")</f>
        <v/>
      </c>
      <c r="H82" t="str">
        <f>IF($A82&lt;&gt;"",'All Cases - Enter Cases'!H82,"")</f>
        <v/>
      </c>
      <c r="I82" t="str">
        <f>IF($A82&lt;&gt;"",'All Cases - Enter Cases'!I82,"")</f>
        <v/>
      </c>
      <c r="J82" s="4" t="str">
        <f>IF($A82&lt;&gt;"",'All Cases - Enter Cases'!J82,"")</f>
        <v/>
      </c>
      <c r="K82" s="4" t="str">
        <f>IF($A82&lt;&gt;"",'All Cases - Enter Cases'!K82,"")</f>
        <v/>
      </c>
      <c r="L82" s="4" t="str">
        <f>IF($A82&lt;&gt;"",'All Cases - Enter Cases'!L82,"")</f>
        <v/>
      </c>
      <c r="M82" t="str">
        <f>IF($A82&lt;&gt;"",'All Cases - Enter Cases'!M82,"")</f>
        <v/>
      </c>
    </row>
    <row r="83" spans="1:13" x14ac:dyDescent="0.35">
      <c r="A83" s="4" t="str">
        <f>IF('All Cases - Enter Cases'!$F83="Punjab",'All Cases - Enter Cases'!A83,"")</f>
        <v/>
      </c>
      <c r="B83" t="str">
        <f>IF($A83&lt;&gt;"",'All Cases - Enter Cases'!B83,"")</f>
        <v/>
      </c>
      <c r="C83" t="str">
        <f>IF($A83&lt;&gt;"",'All Cases - Enter Cases'!C83,"")</f>
        <v/>
      </c>
      <c r="D83" t="str">
        <f>IF($A83&lt;&gt;"",'All Cases - Enter Cases'!D83,"")</f>
        <v/>
      </c>
      <c r="E83" t="str">
        <f>IF($A83&lt;&gt;"",'All Cases - Enter Cases'!E83,"")</f>
        <v/>
      </c>
      <c r="F83" t="str">
        <f>IF($A83&lt;&gt;"",'All Cases - Enter Cases'!F83,"")</f>
        <v/>
      </c>
      <c r="G83" t="str">
        <f>IF($A83&lt;&gt;"",'All Cases - Enter Cases'!G83,"")</f>
        <v/>
      </c>
      <c r="H83" t="str">
        <f>IF($A83&lt;&gt;"",'All Cases - Enter Cases'!H83,"")</f>
        <v/>
      </c>
      <c r="I83" t="str">
        <f>IF($A83&lt;&gt;"",'All Cases - Enter Cases'!I83,"")</f>
        <v/>
      </c>
      <c r="J83" s="4" t="str">
        <f>IF($A83&lt;&gt;"",'All Cases - Enter Cases'!J83,"")</f>
        <v/>
      </c>
      <c r="K83" s="4" t="str">
        <f>IF($A83&lt;&gt;"",'All Cases - Enter Cases'!K83,"")</f>
        <v/>
      </c>
      <c r="L83" s="4" t="str">
        <f>IF($A83&lt;&gt;"",'All Cases - Enter Cases'!L83,"")</f>
        <v/>
      </c>
      <c r="M83" t="str">
        <f>IF($A83&lt;&gt;"",'All Cases - Enter Cases'!M83,"")</f>
        <v/>
      </c>
    </row>
    <row r="84" spans="1:13" x14ac:dyDescent="0.35">
      <c r="A84" s="4" t="str">
        <f>IF('All Cases - Enter Cases'!$F84="Punjab",'All Cases - Enter Cases'!A84,"")</f>
        <v/>
      </c>
      <c r="B84" t="str">
        <f>IF($A84&lt;&gt;"",'All Cases - Enter Cases'!B84,"")</f>
        <v/>
      </c>
      <c r="C84" t="str">
        <f>IF($A84&lt;&gt;"",'All Cases - Enter Cases'!C84,"")</f>
        <v/>
      </c>
      <c r="D84" t="str">
        <f>IF($A84&lt;&gt;"",'All Cases - Enter Cases'!D84,"")</f>
        <v/>
      </c>
      <c r="E84" t="str">
        <f>IF($A84&lt;&gt;"",'All Cases - Enter Cases'!E84,"")</f>
        <v/>
      </c>
      <c r="F84" t="str">
        <f>IF($A84&lt;&gt;"",'All Cases - Enter Cases'!F84,"")</f>
        <v/>
      </c>
      <c r="G84" t="str">
        <f>IF($A84&lt;&gt;"",'All Cases - Enter Cases'!G84,"")</f>
        <v/>
      </c>
      <c r="H84" t="str">
        <f>IF($A84&lt;&gt;"",'All Cases - Enter Cases'!H84,"")</f>
        <v/>
      </c>
      <c r="I84" t="str">
        <f>IF($A84&lt;&gt;"",'All Cases - Enter Cases'!I84,"")</f>
        <v/>
      </c>
      <c r="J84" s="4" t="str">
        <f>IF($A84&lt;&gt;"",'All Cases - Enter Cases'!J84,"")</f>
        <v/>
      </c>
      <c r="K84" s="4" t="str">
        <f>IF($A84&lt;&gt;"",'All Cases - Enter Cases'!K84,"")</f>
        <v/>
      </c>
      <c r="L84" s="4" t="str">
        <f>IF($A84&lt;&gt;"",'All Cases - Enter Cases'!L84,"")</f>
        <v/>
      </c>
      <c r="M84" t="str">
        <f>IF($A84&lt;&gt;"",'All Cases - Enter Cases'!M84,"")</f>
        <v/>
      </c>
    </row>
    <row r="85" spans="1:13" x14ac:dyDescent="0.35">
      <c r="A85" s="4" t="str">
        <f>IF('All Cases - Enter Cases'!$F85="Punjab",'All Cases - Enter Cases'!A85,"")</f>
        <v/>
      </c>
      <c r="B85" t="str">
        <f>IF($A85&lt;&gt;"",'All Cases - Enter Cases'!B85,"")</f>
        <v/>
      </c>
      <c r="C85" t="str">
        <f>IF($A85&lt;&gt;"",'All Cases - Enter Cases'!C85,"")</f>
        <v/>
      </c>
      <c r="D85" t="str">
        <f>IF($A85&lt;&gt;"",'All Cases - Enter Cases'!D85,"")</f>
        <v/>
      </c>
      <c r="E85" t="str">
        <f>IF($A85&lt;&gt;"",'All Cases - Enter Cases'!E85,"")</f>
        <v/>
      </c>
      <c r="F85" t="str">
        <f>IF($A85&lt;&gt;"",'All Cases - Enter Cases'!F85,"")</f>
        <v/>
      </c>
      <c r="G85" t="str">
        <f>IF($A85&lt;&gt;"",'All Cases - Enter Cases'!G85,"")</f>
        <v/>
      </c>
      <c r="H85" t="str">
        <f>IF($A85&lt;&gt;"",'All Cases - Enter Cases'!H85,"")</f>
        <v/>
      </c>
      <c r="I85" t="str">
        <f>IF($A85&lt;&gt;"",'All Cases - Enter Cases'!I85,"")</f>
        <v/>
      </c>
      <c r="J85" s="4" t="str">
        <f>IF($A85&lt;&gt;"",'All Cases - Enter Cases'!J85,"")</f>
        <v/>
      </c>
      <c r="K85" s="4" t="str">
        <f>IF($A85&lt;&gt;"",'All Cases - Enter Cases'!K85,"")</f>
        <v/>
      </c>
      <c r="L85" s="4" t="str">
        <f>IF($A85&lt;&gt;"",'All Cases - Enter Cases'!L85,"")</f>
        <v/>
      </c>
      <c r="M85" t="str">
        <f>IF($A85&lt;&gt;"",'All Cases - Enter Cases'!M85,"")</f>
        <v/>
      </c>
    </row>
    <row r="86" spans="1:13" x14ac:dyDescent="0.35">
      <c r="A86" s="4" t="str">
        <f>IF('All Cases - Enter Cases'!$F86="Punjab",'All Cases - Enter Cases'!A86,"")</f>
        <v/>
      </c>
      <c r="B86" t="str">
        <f>IF($A86&lt;&gt;"",'All Cases - Enter Cases'!B86,"")</f>
        <v/>
      </c>
      <c r="C86" t="str">
        <f>IF($A86&lt;&gt;"",'All Cases - Enter Cases'!C86,"")</f>
        <v/>
      </c>
      <c r="D86" t="str">
        <f>IF($A86&lt;&gt;"",'All Cases - Enter Cases'!D86,"")</f>
        <v/>
      </c>
      <c r="E86" t="str">
        <f>IF($A86&lt;&gt;"",'All Cases - Enter Cases'!E86,"")</f>
        <v/>
      </c>
      <c r="F86" t="str">
        <f>IF($A86&lt;&gt;"",'All Cases - Enter Cases'!F86,"")</f>
        <v/>
      </c>
      <c r="G86" t="str">
        <f>IF($A86&lt;&gt;"",'All Cases - Enter Cases'!G86,"")</f>
        <v/>
      </c>
      <c r="H86" t="str">
        <f>IF($A86&lt;&gt;"",'All Cases - Enter Cases'!H86,"")</f>
        <v/>
      </c>
      <c r="I86" t="str">
        <f>IF($A86&lt;&gt;"",'All Cases - Enter Cases'!I86,"")</f>
        <v/>
      </c>
      <c r="J86" s="4" t="str">
        <f>IF($A86&lt;&gt;"",'All Cases - Enter Cases'!J86,"")</f>
        <v/>
      </c>
      <c r="K86" s="4" t="str">
        <f>IF($A86&lt;&gt;"",'All Cases - Enter Cases'!K86,"")</f>
        <v/>
      </c>
      <c r="L86" s="4" t="str">
        <f>IF($A86&lt;&gt;"",'All Cases - Enter Cases'!L86,"")</f>
        <v/>
      </c>
      <c r="M86" t="str">
        <f>IF($A86&lt;&gt;"",'All Cases - Enter Cases'!M86,"")</f>
        <v/>
      </c>
    </row>
    <row r="87" spans="1:13" x14ac:dyDescent="0.35">
      <c r="A87" s="4" t="str">
        <f>IF('All Cases - Enter Cases'!$F87="Punjab",'All Cases - Enter Cases'!A87,"")</f>
        <v/>
      </c>
      <c r="B87" t="str">
        <f>IF($A87&lt;&gt;"",'All Cases - Enter Cases'!B87,"")</f>
        <v/>
      </c>
      <c r="C87" t="str">
        <f>IF($A87&lt;&gt;"",'All Cases - Enter Cases'!C87,"")</f>
        <v/>
      </c>
      <c r="D87" t="str">
        <f>IF($A87&lt;&gt;"",'All Cases - Enter Cases'!D87,"")</f>
        <v/>
      </c>
      <c r="E87" t="str">
        <f>IF($A87&lt;&gt;"",'All Cases - Enter Cases'!E87,"")</f>
        <v/>
      </c>
      <c r="F87" t="str">
        <f>IF($A87&lt;&gt;"",'All Cases - Enter Cases'!F87,"")</f>
        <v/>
      </c>
      <c r="G87" t="str">
        <f>IF($A87&lt;&gt;"",'All Cases - Enter Cases'!G87,"")</f>
        <v/>
      </c>
      <c r="H87" t="str">
        <f>IF($A87&lt;&gt;"",'All Cases - Enter Cases'!H87,"")</f>
        <v/>
      </c>
      <c r="I87" t="str">
        <f>IF($A87&lt;&gt;"",'All Cases - Enter Cases'!I87,"")</f>
        <v/>
      </c>
      <c r="J87" s="4" t="str">
        <f>IF($A87&lt;&gt;"",'All Cases - Enter Cases'!J87,"")</f>
        <v/>
      </c>
      <c r="K87" s="4" t="str">
        <f>IF($A87&lt;&gt;"",'All Cases - Enter Cases'!K87,"")</f>
        <v/>
      </c>
      <c r="L87" s="4" t="str">
        <f>IF($A87&lt;&gt;"",'All Cases - Enter Cases'!L87,"")</f>
        <v/>
      </c>
      <c r="M87" t="str">
        <f>IF($A87&lt;&gt;"",'All Cases - Enter Cases'!M87,"")</f>
        <v/>
      </c>
    </row>
    <row r="88" spans="1:13" x14ac:dyDescent="0.35">
      <c r="A88" s="4" t="str">
        <f>IF('All Cases - Enter Cases'!$F88="Punjab",'All Cases - Enter Cases'!A88,"")</f>
        <v/>
      </c>
      <c r="B88" t="str">
        <f>IF($A88&lt;&gt;"",'All Cases - Enter Cases'!B88,"")</f>
        <v/>
      </c>
      <c r="C88" t="str">
        <f>IF($A88&lt;&gt;"",'All Cases - Enter Cases'!C88,"")</f>
        <v/>
      </c>
      <c r="D88" t="str">
        <f>IF($A88&lt;&gt;"",'All Cases - Enter Cases'!D88,"")</f>
        <v/>
      </c>
      <c r="E88" t="str">
        <f>IF($A88&lt;&gt;"",'All Cases - Enter Cases'!E88,"")</f>
        <v/>
      </c>
      <c r="F88" t="str">
        <f>IF($A88&lt;&gt;"",'All Cases - Enter Cases'!F88,"")</f>
        <v/>
      </c>
      <c r="G88" t="str">
        <f>IF($A88&lt;&gt;"",'All Cases - Enter Cases'!G88,"")</f>
        <v/>
      </c>
      <c r="H88" t="str">
        <f>IF($A88&lt;&gt;"",'All Cases - Enter Cases'!H88,"")</f>
        <v/>
      </c>
      <c r="I88" t="str">
        <f>IF($A88&lt;&gt;"",'All Cases - Enter Cases'!I88,"")</f>
        <v/>
      </c>
      <c r="J88" s="4" t="str">
        <f>IF($A88&lt;&gt;"",'All Cases - Enter Cases'!J88,"")</f>
        <v/>
      </c>
      <c r="K88" s="4" t="str">
        <f>IF($A88&lt;&gt;"",'All Cases - Enter Cases'!K88,"")</f>
        <v/>
      </c>
      <c r="L88" s="4" t="str">
        <f>IF($A88&lt;&gt;"",'All Cases - Enter Cases'!L88,"")</f>
        <v/>
      </c>
      <c r="M88" t="str">
        <f>IF($A88&lt;&gt;"",'All Cases - Enter Cases'!M88,"")</f>
        <v/>
      </c>
    </row>
    <row r="89" spans="1:13" x14ac:dyDescent="0.35">
      <c r="A89" s="4" t="str">
        <f>IF('All Cases - Enter Cases'!$F89="Punjab",'All Cases - Enter Cases'!A89,"")</f>
        <v/>
      </c>
      <c r="B89" t="str">
        <f>IF($A89&lt;&gt;"",'All Cases - Enter Cases'!B89,"")</f>
        <v/>
      </c>
      <c r="C89" t="str">
        <f>IF($A89&lt;&gt;"",'All Cases - Enter Cases'!C89,"")</f>
        <v/>
      </c>
      <c r="D89" t="str">
        <f>IF($A89&lt;&gt;"",'All Cases - Enter Cases'!D89,"")</f>
        <v/>
      </c>
      <c r="E89" t="str">
        <f>IF($A89&lt;&gt;"",'All Cases - Enter Cases'!E89,"")</f>
        <v/>
      </c>
      <c r="F89" t="str">
        <f>IF($A89&lt;&gt;"",'All Cases - Enter Cases'!F89,"")</f>
        <v/>
      </c>
      <c r="G89" t="str">
        <f>IF($A89&lt;&gt;"",'All Cases - Enter Cases'!G89,"")</f>
        <v/>
      </c>
      <c r="H89" t="str">
        <f>IF($A89&lt;&gt;"",'All Cases - Enter Cases'!H89,"")</f>
        <v/>
      </c>
      <c r="I89" t="str">
        <f>IF($A89&lt;&gt;"",'All Cases - Enter Cases'!I89,"")</f>
        <v/>
      </c>
      <c r="J89" s="4" t="str">
        <f>IF($A89&lt;&gt;"",'All Cases - Enter Cases'!J89,"")</f>
        <v/>
      </c>
      <c r="K89" s="4" t="str">
        <f>IF($A89&lt;&gt;"",'All Cases - Enter Cases'!K89,"")</f>
        <v/>
      </c>
      <c r="L89" s="4" t="str">
        <f>IF($A89&lt;&gt;"",'All Cases - Enter Cases'!L89,"")</f>
        <v/>
      </c>
      <c r="M89" t="str">
        <f>IF($A89&lt;&gt;"",'All Cases - Enter Cases'!M89,"")</f>
        <v/>
      </c>
    </row>
    <row r="90" spans="1:13" x14ac:dyDescent="0.35">
      <c r="A90" s="4" t="str">
        <f>IF('All Cases - Enter Cases'!$F90="Punjab",'All Cases - Enter Cases'!A90,"")</f>
        <v/>
      </c>
      <c r="B90" t="str">
        <f>IF($A90&lt;&gt;"",'All Cases - Enter Cases'!B90,"")</f>
        <v/>
      </c>
      <c r="C90" t="str">
        <f>IF($A90&lt;&gt;"",'All Cases - Enter Cases'!C90,"")</f>
        <v/>
      </c>
      <c r="D90" t="str">
        <f>IF($A90&lt;&gt;"",'All Cases - Enter Cases'!D90,"")</f>
        <v/>
      </c>
      <c r="E90" t="str">
        <f>IF($A90&lt;&gt;"",'All Cases - Enter Cases'!E90,"")</f>
        <v/>
      </c>
      <c r="F90" t="str">
        <f>IF($A90&lt;&gt;"",'All Cases - Enter Cases'!F90,"")</f>
        <v/>
      </c>
      <c r="G90" t="str">
        <f>IF($A90&lt;&gt;"",'All Cases - Enter Cases'!G90,"")</f>
        <v/>
      </c>
      <c r="H90" t="str">
        <f>IF($A90&lt;&gt;"",'All Cases - Enter Cases'!H90,"")</f>
        <v/>
      </c>
      <c r="I90" t="str">
        <f>IF($A90&lt;&gt;"",'All Cases - Enter Cases'!I90,"")</f>
        <v/>
      </c>
      <c r="J90" s="4" t="str">
        <f>IF($A90&lt;&gt;"",'All Cases - Enter Cases'!J90,"")</f>
        <v/>
      </c>
      <c r="K90" s="4" t="str">
        <f>IF($A90&lt;&gt;"",'All Cases - Enter Cases'!K90,"")</f>
        <v/>
      </c>
      <c r="L90" s="4" t="str">
        <f>IF($A90&lt;&gt;"",'All Cases - Enter Cases'!L90,"")</f>
        <v/>
      </c>
      <c r="M90" t="str">
        <f>IF($A90&lt;&gt;"",'All Cases - Enter Cases'!M90,"")</f>
        <v/>
      </c>
    </row>
    <row r="91" spans="1:13" x14ac:dyDescent="0.35">
      <c r="A91" s="4" t="str">
        <f>IF('All Cases - Enter Cases'!$F91="Punjab",'All Cases - Enter Cases'!A91,"")</f>
        <v/>
      </c>
      <c r="B91" t="str">
        <f>IF($A91&lt;&gt;"",'All Cases - Enter Cases'!B91,"")</f>
        <v/>
      </c>
      <c r="C91" t="str">
        <f>IF($A91&lt;&gt;"",'All Cases - Enter Cases'!C91,"")</f>
        <v/>
      </c>
      <c r="D91" t="str">
        <f>IF($A91&lt;&gt;"",'All Cases - Enter Cases'!D91,"")</f>
        <v/>
      </c>
      <c r="E91" t="str">
        <f>IF($A91&lt;&gt;"",'All Cases - Enter Cases'!E91,"")</f>
        <v/>
      </c>
      <c r="F91" t="str">
        <f>IF($A91&lt;&gt;"",'All Cases - Enter Cases'!F91,"")</f>
        <v/>
      </c>
      <c r="G91" t="str">
        <f>IF($A91&lt;&gt;"",'All Cases - Enter Cases'!G91,"")</f>
        <v/>
      </c>
      <c r="H91" t="str">
        <f>IF($A91&lt;&gt;"",'All Cases - Enter Cases'!H91,"")</f>
        <v/>
      </c>
      <c r="I91" t="str">
        <f>IF($A91&lt;&gt;"",'All Cases - Enter Cases'!I91,"")</f>
        <v/>
      </c>
      <c r="J91" s="4" t="str">
        <f>IF($A91&lt;&gt;"",'All Cases - Enter Cases'!J91,"")</f>
        <v/>
      </c>
      <c r="K91" s="4" t="str">
        <f>IF($A91&lt;&gt;"",'All Cases - Enter Cases'!K91,"")</f>
        <v/>
      </c>
      <c r="L91" s="4" t="str">
        <f>IF($A91&lt;&gt;"",'All Cases - Enter Cases'!L91,"")</f>
        <v/>
      </c>
      <c r="M91" t="str">
        <f>IF($A91&lt;&gt;"",'All Cases - Enter Cases'!M91,"")</f>
        <v/>
      </c>
    </row>
    <row r="92" spans="1:13" x14ac:dyDescent="0.35">
      <c r="A92" s="4" t="str">
        <f>IF('All Cases - Enter Cases'!$F92="Punjab",'All Cases - Enter Cases'!A92,"")</f>
        <v/>
      </c>
      <c r="B92" t="str">
        <f>IF($A92&lt;&gt;"",'All Cases - Enter Cases'!B92,"")</f>
        <v/>
      </c>
      <c r="C92" t="str">
        <f>IF($A92&lt;&gt;"",'All Cases - Enter Cases'!C92,"")</f>
        <v/>
      </c>
      <c r="D92" t="str">
        <f>IF($A92&lt;&gt;"",'All Cases - Enter Cases'!D92,"")</f>
        <v/>
      </c>
      <c r="E92" t="str">
        <f>IF($A92&lt;&gt;"",'All Cases - Enter Cases'!E92,"")</f>
        <v/>
      </c>
      <c r="F92" t="str">
        <f>IF($A92&lt;&gt;"",'All Cases - Enter Cases'!F92,"")</f>
        <v/>
      </c>
      <c r="G92" t="str">
        <f>IF($A92&lt;&gt;"",'All Cases - Enter Cases'!G92,"")</f>
        <v/>
      </c>
      <c r="H92" t="str">
        <f>IF($A92&lt;&gt;"",'All Cases - Enter Cases'!H92,"")</f>
        <v/>
      </c>
      <c r="I92" t="str">
        <f>IF($A92&lt;&gt;"",'All Cases - Enter Cases'!I92,"")</f>
        <v/>
      </c>
      <c r="J92" s="4" t="str">
        <f>IF($A92&lt;&gt;"",'All Cases - Enter Cases'!J92,"")</f>
        <v/>
      </c>
      <c r="K92" s="4" t="str">
        <f>IF($A92&lt;&gt;"",'All Cases - Enter Cases'!K92,"")</f>
        <v/>
      </c>
      <c r="L92" s="4" t="str">
        <f>IF($A92&lt;&gt;"",'All Cases - Enter Cases'!L92,"")</f>
        <v/>
      </c>
      <c r="M92" t="str">
        <f>IF($A92&lt;&gt;"",'All Cases - Enter Cases'!M92,"")</f>
        <v/>
      </c>
    </row>
    <row r="93" spans="1:13" x14ac:dyDescent="0.35">
      <c r="A93" s="4" t="str">
        <f>IF('All Cases - Enter Cases'!$F93="Punjab",'All Cases - Enter Cases'!A93,"")</f>
        <v/>
      </c>
      <c r="B93" t="str">
        <f>IF($A93&lt;&gt;"",'All Cases - Enter Cases'!B93,"")</f>
        <v/>
      </c>
      <c r="C93" t="str">
        <f>IF($A93&lt;&gt;"",'All Cases - Enter Cases'!C93,"")</f>
        <v/>
      </c>
      <c r="D93" t="str">
        <f>IF($A93&lt;&gt;"",'All Cases - Enter Cases'!D93,"")</f>
        <v/>
      </c>
      <c r="E93" t="str">
        <f>IF($A93&lt;&gt;"",'All Cases - Enter Cases'!E93,"")</f>
        <v/>
      </c>
      <c r="F93" t="str">
        <f>IF($A93&lt;&gt;"",'All Cases - Enter Cases'!F93,"")</f>
        <v/>
      </c>
      <c r="G93" t="str">
        <f>IF($A93&lt;&gt;"",'All Cases - Enter Cases'!G93,"")</f>
        <v/>
      </c>
      <c r="H93" t="str">
        <f>IF($A93&lt;&gt;"",'All Cases - Enter Cases'!H93,"")</f>
        <v/>
      </c>
      <c r="I93" t="str">
        <f>IF($A93&lt;&gt;"",'All Cases - Enter Cases'!I93,"")</f>
        <v/>
      </c>
      <c r="J93" s="4" t="str">
        <f>IF($A93&lt;&gt;"",'All Cases - Enter Cases'!J93,"")</f>
        <v/>
      </c>
      <c r="K93" s="4" t="str">
        <f>IF($A93&lt;&gt;"",'All Cases - Enter Cases'!K93,"")</f>
        <v/>
      </c>
      <c r="L93" s="4" t="str">
        <f>IF($A93&lt;&gt;"",'All Cases - Enter Cases'!L93,"")</f>
        <v/>
      </c>
      <c r="M93" t="str">
        <f>IF($A93&lt;&gt;"",'All Cases - Enter Cases'!M93,"")</f>
        <v/>
      </c>
    </row>
    <row r="94" spans="1:13" x14ac:dyDescent="0.35">
      <c r="A94" s="4" t="str">
        <f>IF('All Cases - Enter Cases'!$F94="Punjab",'All Cases - Enter Cases'!A94,"")</f>
        <v/>
      </c>
      <c r="B94" t="str">
        <f>IF($A94&lt;&gt;"",'All Cases - Enter Cases'!B94,"")</f>
        <v/>
      </c>
      <c r="C94" t="str">
        <f>IF($A94&lt;&gt;"",'All Cases - Enter Cases'!C94,"")</f>
        <v/>
      </c>
      <c r="D94" t="str">
        <f>IF($A94&lt;&gt;"",'All Cases - Enter Cases'!D94,"")</f>
        <v/>
      </c>
      <c r="E94" t="str">
        <f>IF($A94&lt;&gt;"",'All Cases - Enter Cases'!E94,"")</f>
        <v/>
      </c>
      <c r="F94" t="str">
        <f>IF($A94&lt;&gt;"",'All Cases - Enter Cases'!F94,"")</f>
        <v/>
      </c>
      <c r="G94" t="str">
        <f>IF($A94&lt;&gt;"",'All Cases - Enter Cases'!G94,"")</f>
        <v/>
      </c>
      <c r="H94" t="str">
        <f>IF($A94&lt;&gt;"",'All Cases - Enter Cases'!H94,"")</f>
        <v/>
      </c>
      <c r="I94" t="str">
        <f>IF($A94&lt;&gt;"",'All Cases - Enter Cases'!I94,"")</f>
        <v/>
      </c>
      <c r="J94" s="4" t="str">
        <f>IF($A94&lt;&gt;"",'All Cases - Enter Cases'!J94,"")</f>
        <v/>
      </c>
      <c r="K94" s="4" t="str">
        <f>IF($A94&lt;&gt;"",'All Cases - Enter Cases'!K94,"")</f>
        <v/>
      </c>
      <c r="L94" s="4" t="str">
        <f>IF($A94&lt;&gt;"",'All Cases - Enter Cases'!L94,"")</f>
        <v/>
      </c>
      <c r="M94" t="str">
        <f>IF($A94&lt;&gt;"",'All Cases - Enter Cases'!M94,"")</f>
        <v/>
      </c>
    </row>
    <row r="95" spans="1:13" x14ac:dyDescent="0.35">
      <c r="A95" s="4" t="str">
        <f>IF('All Cases - Enter Cases'!$F95="Punjab",'All Cases - Enter Cases'!A95,"")</f>
        <v/>
      </c>
      <c r="B95" t="str">
        <f>IF($A95&lt;&gt;"",'All Cases - Enter Cases'!B95,"")</f>
        <v/>
      </c>
      <c r="C95" t="str">
        <f>IF($A95&lt;&gt;"",'All Cases - Enter Cases'!C95,"")</f>
        <v/>
      </c>
      <c r="D95" t="str">
        <f>IF($A95&lt;&gt;"",'All Cases - Enter Cases'!D95,"")</f>
        <v/>
      </c>
      <c r="E95" t="str">
        <f>IF($A95&lt;&gt;"",'All Cases - Enter Cases'!E95,"")</f>
        <v/>
      </c>
      <c r="F95" t="str">
        <f>IF($A95&lt;&gt;"",'All Cases - Enter Cases'!F95,"")</f>
        <v/>
      </c>
      <c r="G95" t="str">
        <f>IF($A95&lt;&gt;"",'All Cases - Enter Cases'!G95,"")</f>
        <v/>
      </c>
      <c r="H95" t="str">
        <f>IF($A95&lt;&gt;"",'All Cases - Enter Cases'!H95,"")</f>
        <v/>
      </c>
      <c r="I95" t="str">
        <f>IF($A95&lt;&gt;"",'All Cases - Enter Cases'!I95,"")</f>
        <v/>
      </c>
      <c r="J95" s="4" t="str">
        <f>IF($A95&lt;&gt;"",'All Cases - Enter Cases'!J95,"")</f>
        <v/>
      </c>
      <c r="K95" s="4" t="str">
        <f>IF($A95&lt;&gt;"",'All Cases - Enter Cases'!K95,"")</f>
        <v/>
      </c>
      <c r="L95" s="4" t="str">
        <f>IF($A95&lt;&gt;"",'All Cases - Enter Cases'!L95,"")</f>
        <v/>
      </c>
      <c r="M95" t="str">
        <f>IF($A95&lt;&gt;"",'All Cases - Enter Cases'!M95,"")</f>
        <v/>
      </c>
    </row>
    <row r="96" spans="1:13" x14ac:dyDescent="0.35">
      <c r="A96" s="4" t="str">
        <f>IF('All Cases - Enter Cases'!$F96="Punjab",'All Cases - Enter Cases'!A96,"")</f>
        <v/>
      </c>
      <c r="B96" t="str">
        <f>IF($A96&lt;&gt;"",'All Cases - Enter Cases'!B96,"")</f>
        <v/>
      </c>
      <c r="C96" t="str">
        <f>IF($A96&lt;&gt;"",'All Cases - Enter Cases'!C96,"")</f>
        <v/>
      </c>
      <c r="D96" t="str">
        <f>IF($A96&lt;&gt;"",'All Cases - Enter Cases'!D96,"")</f>
        <v/>
      </c>
      <c r="E96" t="str">
        <f>IF($A96&lt;&gt;"",'All Cases - Enter Cases'!E96,"")</f>
        <v/>
      </c>
      <c r="F96" t="str">
        <f>IF($A96&lt;&gt;"",'All Cases - Enter Cases'!F96,"")</f>
        <v/>
      </c>
      <c r="G96" t="str">
        <f>IF($A96&lt;&gt;"",'All Cases - Enter Cases'!G96,"")</f>
        <v/>
      </c>
      <c r="H96" t="str">
        <f>IF($A96&lt;&gt;"",'All Cases - Enter Cases'!H96,"")</f>
        <v/>
      </c>
      <c r="I96" t="str">
        <f>IF($A96&lt;&gt;"",'All Cases - Enter Cases'!I96,"")</f>
        <v/>
      </c>
      <c r="J96" s="4" t="str">
        <f>IF($A96&lt;&gt;"",'All Cases - Enter Cases'!J96,"")</f>
        <v/>
      </c>
      <c r="K96" s="4" t="str">
        <f>IF($A96&lt;&gt;"",'All Cases - Enter Cases'!K96,"")</f>
        <v/>
      </c>
      <c r="L96" s="4" t="str">
        <f>IF($A96&lt;&gt;"",'All Cases - Enter Cases'!L96,"")</f>
        <v/>
      </c>
      <c r="M96" t="str">
        <f>IF($A96&lt;&gt;"",'All Cases - Enter Cases'!M96,"")</f>
        <v/>
      </c>
    </row>
    <row r="97" spans="1:13" x14ac:dyDescent="0.35">
      <c r="A97" s="4" t="str">
        <f>IF('All Cases - Enter Cases'!$F97="Punjab",'All Cases - Enter Cases'!A97,"")</f>
        <v/>
      </c>
      <c r="B97" t="str">
        <f>IF($A97&lt;&gt;"",'All Cases - Enter Cases'!B97,"")</f>
        <v/>
      </c>
      <c r="C97" t="str">
        <f>IF($A97&lt;&gt;"",'All Cases - Enter Cases'!C97,"")</f>
        <v/>
      </c>
      <c r="D97" t="str">
        <f>IF($A97&lt;&gt;"",'All Cases - Enter Cases'!D97,"")</f>
        <v/>
      </c>
      <c r="E97" t="str">
        <f>IF($A97&lt;&gt;"",'All Cases - Enter Cases'!E97,"")</f>
        <v/>
      </c>
      <c r="F97" t="str">
        <f>IF($A97&lt;&gt;"",'All Cases - Enter Cases'!F97,"")</f>
        <v/>
      </c>
      <c r="G97" t="str">
        <f>IF($A97&lt;&gt;"",'All Cases - Enter Cases'!G97,"")</f>
        <v/>
      </c>
      <c r="H97" t="str">
        <f>IF($A97&lt;&gt;"",'All Cases - Enter Cases'!H97,"")</f>
        <v/>
      </c>
      <c r="I97" t="str">
        <f>IF($A97&lt;&gt;"",'All Cases - Enter Cases'!I97,"")</f>
        <v/>
      </c>
      <c r="J97" s="4" t="str">
        <f>IF($A97&lt;&gt;"",'All Cases - Enter Cases'!J97,"")</f>
        <v/>
      </c>
      <c r="K97" s="4" t="str">
        <f>IF($A97&lt;&gt;"",'All Cases - Enter Cases'!K97,"")</f>
        <v/>
      </c>
      <c r="L97" s="4" t="str">
        <f>IF($A97&lt;&gt;"",'All Cases - Enter Cases'!L97,"")</f>
        <v/>
      </c>
      <c r="M97" t="str">
        <f>IF($A97&lt;&gt;"",'All Cases - Enter Cases'!M97,"")</f>
        <v/>
      </c>
    </row>
    <row r="98" spans="1:13" x14ac:dyDescent="0.35">
      <c r="A98" s="4" t="str">
        <f>IF('All Cases - Enter Cases'!$F98="Punjab",'All Cases - Enter Cases'!A98,"")</f>
        <v/>
      </c>
      <c r="B98" t="str">
        <f>IF($A98&lt;&gt;"",'All Cases - Enter Cases'!B98,"")</f>
        <v/>
      </c>
      <c r="C98" t="str">
        <f>IF($A98&lt;&gt;"",'All Cases - Enter Cases'!C98,"")</f>
        <v/>
      </c>
      <c r="D98" t="str">
        <f>IF($A98&lt;&gt;"",'All Cases - Enter Cases'!D98,"")</f>
        <v/>
      </c>
      <c r="E98" t="str">
        <f>IF($A98&lt;&gt;"",'All Cases - Enter Cases'!E98,"")</f>
        <v/>
      </c>
      <c r="F98" t="str">
        <f>IF($A98&lt;&gt;"",'All Cases - Enter Cases'!F98,"")</f>
        <v/>
      </c>
      <c r="G98" t="str">
        <f>IF($A98&lt;&gt;"",'All Cases - Enter Cases'!G98,"")</f>
        <v/>
      </c>
      <c r="H98" t="str">
        <f>IF($A98&lt;&gt;"",'All Cases - Enter Cases'!H98,"")</f>
        <v/>
      </c>
      <c r="I98" t="str">
        <f>IF($A98&lt;&gt;"",'All Cases - Enter Cases'!I98,"")</f>
        <v/>
      </c>
      <c r="J98" s="4" t="str">
        <f>IF($A98&lt;&gt;"",'All Cases - Enter Cases'!J98,"")</f>
        <v/>
      </c>
      <c r="K98" s="4" t="str">
        <f>IF($A98&lt;&gt;"",'All Cases - Enter Cases'!K98,"")</f>
        <v/>
      </c>
      <c r="L98" s="4" t="str">
        <f>IF($A98&lt;&gt;"",'All Cases - Enter Cases'!L98,"")</f>
        <v/>
      </c>
      <c r="M98" t="str">
        <f>IF($A98&lt;&gt;"",'All Cases - Enter Cases'!M98,"")</f>
        <v/>
      </c>
    </row>
    <row r="99" spans="1:13" x14ac:dyDescent="0.35">
      <c r="A99" s="4" t="str">
        <f>IF('All Cases - Enter Cases'!$F99="Punjab",'All Cases - Enter Cases'!A99,"")</f>
        <v/>
      </c>
      <c r="B99" t="str">
        <f>IF($A99&lt;&gt;"",'All Cases - Enter Cases'!B99,"")</f>
        <v/>
      </c>
      <c r="C99" t="str">
        <f>IF($A99&lt;&gt;"",'All Cases - Enter Cases'!C99,"")</f>
        <v/>
      </c>
      <c r="D99" t="str">
        <f>IF($A99&lt;&gt;"",'All Cases - Enter Cases'!D99,"")</f>
        <v/>
      </c>
      <c r="E99" t="str">
        <f>IF($A99&lt;&gt;"",'All Cases - Enter Cases'!E99,"")</f>
        <v/>
      </c>
      <c r="F99" t="str">
        <f>IF($A99&lt;&gt;"",'All Cases - Enter Cases'!F99,"")</f>
        <v/>
      </c>
      <c r="G99" t="str">
        <f>IF($A99&lt;&gt;"",'All Cases - Enter Cases'!G99,"")</f>
        <v/>
      </c>
      <c r="H99" t="str">
        <f>IF($A99&lt;&gt;"",'All Cases - Enter Cases'!H99,"")</f>
        <v/>
      </c>
      <c r="I99" t="str">
        <f>IF($A99&lt;&gt;"",'All Cases - Enter Cases'!I99,"")</f>
        <v/>
      </c>
      <c r="J99" s="4" t="str">
        <f>IF($A99&lt;&gt;"",'All Cases - Enter Cases'!J99,"")</f>
        <v/>
      </c>
      <c r="K99" s="4" t="str">
        <f>IF($A99&lt;&gt;"",'All Cases - Enter Cases'!K99,"")</f>
        <v/>
      </c>
      <c r="L99" s="4" t="str">
        <f>IF($A99&lt;&gt;"",'All Cases - Enter Cases'!L99,"")</f>
        <v/>
      </c>
      <c r="M99" t="str">
        <f>IF($A99&lt;&gt;"",'All Cases - Enter Cases'!M99,"")</f>
        <v/>
      </c>
    </row>
    <row r="100" spans="1:13" x14ac:dyDescent="0.35">
      <c r="A100" s="4" t="str">
        <f>IF('All Cases - Enter Cases'!$F100="Punjab",'All Cases - Enter Cases'!A100,"")</f>
        <v/>
      </c>
      <c r="B100" t="str">
        <f>IF($A100&lt;&gt;"",'All Cases - Enter Cases'!B100,"")</f>
        <v/>
      </c>
      <c r="C100" t="str">
        <f>IF($A100&lt;&gt;"",'All Cases - Enter Cases'!C100,"")</f>
        <v/>
      </c>
      <c r="D100" t="str">
        <f>IF($A100&lt;&gt;"",'All Cases - Enter Cases'!D100,"")</f>
        <v/>
      </c>
      <c r="E100" t="str">
        <f>IF($A100&lt;&gt;"",'All Cases - Enter Cases'!E100,"")</f>
        <v/>
      </c>
      <c r="F100" t="str">
        <f>IF($A100&lt;&gt;"",'All Cases - Enter Cases'!F100,"")</f>
        <v/>
      </c>
      <c r="G100" t="str">
        <f>IF($A100&lt;&gt;"",'All Cases - Enter Cases'!G100,"")</f>
        <v/>
      </c>
      <c r="H100" t="str">
        <f>IF($A100&lt;&gt;"",'All Cases - Enter Cases'!H100,"")</f>
        <v/>
      </c>
      <c r="I100" t="str">
        <f>IF($A100&lt;&gt;"",'All Cases - Enter Cases'!I100,"")</f>
        <v/>
      </c>
      <c r="J100" s="4" t="str">
        <f>IF($A100&lt;&gt;"",'All Cases - Enter Cases'!J100,"")</f>
        <v/>
      </c>
      <c r="K100" s="4" t="str">
        <f>IF($A100&lt;&gt;"",'All Cases - Enter Cases'!K100,"")</f>
        <v/>
      </c>
      <c r="L100" s="4" t="str">
        <f>IF($A100&lt;&gt;"",'All Cases - Enter Cases'!L100,"")</f>
        <v/>
      </c>
      <c r="M100" t="str">
        <f>IF($A100&lt;&gt;"",'All Cases - Enter Cases'!M100,"")</f>
        <v/>
      </c>
    </row>
    <row r="101" spans="1:13" x14ac:dyDescent="0.35">
      <c r="A101" s="4" t="str">
        <f>IF('All Cases - Enter Cases'!$F101="Punjab",'All Cases - Enter Cases'!A101,"")</f>
        <v/>
      </c>
      <c r="B101" t="str">
        <f>IF($A101&lt;&gt;"",'All Cases - Enter Cases'!B101,"")</f>
        <v/>
      </c>
      <c r="C101" t="str">
        <f>IF($A101&lt;&gt;"",'All Cases - Enter Cases'!C101,"")</f>
        <v/>
      </c>
      <c r="D101" t="str">
        <f>IF($A101&lt;&gt;"",'All Cases - Enter Cases'!D101,"")</f>
        <v/>
      </c>
      <c r="E101" t="str">
        <f>IF($A101&lt;&gt;"",'All Cases - Enter Cases'!E101,"")</f>
        <v/>
      </c>
      <c r="F101" t="str">
        <f>IF($A101&lt;&gt;"",'All Cases - Enter Cases'!F101,"")</f>
        <v/>
      </c>
      <c r="G101" t="str">
        <f>IF($A101&lt;&gt;"",'All Cases - Enter Cases'!G101,"")</f>
        <v/>
      </c>
      <c r="H101" t="str">
        <f>IF($A101&lt;&gt;"",'All Cases - Enter Cases'!H101,"")</f>
        <v/>
      </c>
      <c r="I101" t="str">
        <f>IF($A101&lt;&gt;"",'All Cases - Enter Cases'!I101,"")</f>
        <v/>
      </c>
      <c r="J101" s="4" t="str">
        <f>IF($A101&lt;&gt;"",'All Cases - Enter Cases'!J101,"")</f>
        <v/>
      </c>
      <c r="K101" s="4" t="str">
        <f>IF($A101&lt;&gt;"",'All Cases - Enter Cases'!K101,"")</f>
        <v/>
      </c>
      <c r="L101" s="4" t="str">
        <f>IF($A101&lt;&gt;"",'All Cases - Enter Cases'!L101,"")</f>
        <v/>
      </c>
      <c r="M101" t="str">
        <f>IF($A101&lt;&gt;"",'All Cases - Enter Cases'!M101,"")</f>
        <v/>
      </c>
    </row>
    <row r="102" spans="1:13" x14ac:dyDescent="0.35">
      <c r="A102" s="4" t="str">
        <f>IF('All Cases - Enter Cases'!$F102="Punjab",'All Cases - Enter Cases'!A102,"")</f>
        <v/>
      </c>
      <c r="B102" t="str">
        <f>IF($A102&lt;&gt;"",'All Cases - Enter Cases'!B102,"")</f>
        <v/>
      </c>
      <c r="C102" t="str">
        <f>IF($A102&lt;&gt;"",'All Cases - Enter Cases'!C102,"")</f>
        <v/>
      </c>
      <c r="D102" t="str">
        <f>IF($A102&lt;&gt;"",'All Cases - Enter Cases'!D102,"")</f>
        <v/>
      </c>
      <c r="E102" t="str">
        <f>IF($A102&lt;&gt;"",'All Cases - Enter Cases'!E102,"")</f>
        <v/>
      </c>
      <c r="F102" t="str">
        <f>IF($A102&lt;&gt;"",'All Cases - Enter Cases'!F102,"")</f>
        <v/>
      </c>
      <c r="G102" t="str">
        <f>IF($A102&lt;&gt;"",'All Cases - Enter Cases'!G102,"")</f>
        <v/>
      </c>
      <c r="H102" t="str">
        <f>IF($A102&lt;&gt;"",'All Cases - Enter Cases'!H102,"")</f>
        <v/>
      </c>
      <c r="I102" t="str">
        <f>IF($A102&lt;&gt;"",'All Cases - Enter Cases'!I102,"")</f>
        <v/>
      </c>
      <c r="J102" s="4" t="str">
        <f>IF($A102&lt;&gt;"",'All Cases - Enter Cases'!J102,"")</f>
        <v/>
      </c>
      <c r="K102" s="4" t="str">
        <f>IF($A102&lt;&gt;"",'All Cases - Enter Cases'!K102,"")</f>
        <v/>
      </c>
      <c r="L102" s="4" t="str">
        <f>IF($A102&lt;&gt;"",'All Cases - Enter Cases'!L102,"")</f>
        <v/>
      </c>
      <c r="M102" t="str">
        <f>IF($A102&lt;&gt;"",'All Cases - Enter Cases'!M102,"")</f>
        <v/>
      </c>
    </row>
    <row r="103" spans="1:13" x14ac:dyDescent="0.35">
      <c r="A103" s="4" t="str">
        <f>IF('All Cases - Enter Cases'!$F103="Punjab",'All Cases - Enter Cases'!A103,"")</f>
        <v/>
      </c>
      <c r="B103" t="str">
        <f>IF($A103&lt;&gt;"",'All Cases - Enter Cases'!B103,"")</f>
        <v/>
      </c>
      <c r="C103" t="str">
        <f>IF($A103&lt;&gt;"",'All Cases - Enter Cases'!C103,"")</f>
        <v/>
      </c>
      <c r="D103" t="str">
        <f>IF($A103&lt;&gt;"",'All Cases - Enter Cases'!D103,"")</f>
        <v/>
      </c>
      <c r="E103" t="str">
        <f>IF($A103&lt;&gt;"",'All Cases - Enter Cases'!E103,"")</f>
        <v/>
      </c>
      <c r="F103" t="str">
        <f>IF($A103&lt;&gt;"",'All Cases - Enter Cases'!F103,"")</f>
        <v/>
      </c>
      <c r="G103" t="str">
        <f>IF($A103&lt;&gt;"",'All Cases - Enter Cases'!G103,"")</f>
        <v/>
      </c>
      <c r="H103" t="str">
        <f>IF($A103&lt;&gt;"",'All Cases - Enter Cases'!H103,"")</f>
        <v/>
      </c>
      <c r="I103" t="str">
        <f>IF($A103&lt;&gt;"",'All Cases - Enter Cases'!I103,"")</f>
        <v/>
      </c>
      <c r="J103" s="4" t="str">
        <f>IF($A103&lt;&gt;"",'All Cases - Enter Cases'!J103,"")</f>
        <v/>
      </c>
      <c r="K103" s="4" t="str">
        <f>IF($A103&lt;&gt;"",'All Cases - Enter Cases'!K103,"")</f>
        <v/>
      </c>
      <c r="L103" s="4" t="str">
        <f>IF($A103&lt;&gt;"",'All Cases - Enter Cases'!L103,"")</f>
        <v/>
      </c>
      <c r="M103" t="str">
        <f>IF($A103&lt;&gt;"",'All Cases - Enter Cases'!M103,"")</f>
        <v/>
      </c>
    </row>
    <row r="104" spans="1:13" x14ac:dyDescent="0.35">
      <c r="A104" s="4" t="str">
        <f>IF('All Cases - Enter Cases'!$F104="Punjab",'All Cases - Enter Cases'!A104,"")</f>
        <v/>
      </c>
      <c r="B104" t="str">
        <f>IF($A104&lt;&gt;"",'All Cases - Enter Cases'!B104,"")</f>
        <v/>
      </c>
      <c r="C104" t="str">
        <f>IF($A104&lt;&gt;"",'All Cases - Enter Cases'!C104,"")</f>
        <v/>
      </c>
      <c r="D104" t="str">
        <f>IF($A104&lt;&gt;"",'All Cases - Enter Cases'!D104,"")</f>
        <v/>
      </c>
      <c r="E104" t="str">
        <f>IF($A104&lt;&gt;"",'All Cases - Enter Cases'!E104,"")</f>
        <v/>
      </c>
      <c r="F104" t="str">
        <f>IF($A104&lt;&gt;"",'All Cases - Enter Cases'!F104,"")</f>
        <v/>
      </c>
      <c r="G104" t="str">
        <f>IF($A104&lt;&gt;"",'All Cases - Enter Cases'!G104,"")</f>
        <v/>
      </c>
      <c r="H104" t="str">
        <f>IF($A104&lt;&gt;"",'All Cases - Enter Cases'!H104,"")</f>
        <v/>
      </c>
      <c r="I104" t="str">
        <f>IF($A104&lt;&gt;"",'All Cases - Enter Cases'!I104,"")</f>
        <v/>
      </c>
      <c r="J104" s="4" t="str">
        <f>IF($A104&lt;&gt;"",'All Cases - Enter Cases'!J104,"")</f>
        <v/>
      </c>
      <c r="K104" s="4" t="str">
        <f>IF($A104&lt;&gt;"",'All Cases - Enter Cases'!K104,"")</f>
        <v/>
      </c>
      <c r="L104" s="4" t="str">
        <f>IF($A104&lt;&gt;"",'All Cases - Enter Cases'!L104,"")</f>
        <v/>
      </c>
      <c r="M104" t="str">
        <f>IF($A104&lt;&gt;"",'All Cases - Enter Cases'!M104,"")</f>
        <v/>
      </c>
    </row>
    <row r="105" spans="1:13" x14ac:dyDescent="0.35">
      <c r="A105" s="4" t="str">
        <f>IF('All Cases - Enter Cases'!$F105="Punjab",'All Cases - Enter Cases'!A105,"")</f>
        <v/>
      </c>
      <c r="B105" t="str">
        <f>IF($A105&lt;&gt;"",'All Cases - Enter Cases'!B105,"")</f>
        <v/>
      </c>
      <c r="C105" t="str">
        <f>IF($A105&lt;&gt;"",'All Cases - Enter Cases'!C105,"")</f>
        <v/>
      </c>
      <c r="D105" t="str">
        <f>IF($A105&lt;&gt;"",'All Cases - Enter Cases'!D105,"")</f>
        <v/>
      </c>
      <c r="E105" t="str">
        <f>IF($A105&lt;&gt;"",'All Cases - Enter Cases'!E105,"")</f>
        <v/>
      </c>
      <c r="F105" t="str">
        <f>IF($A105&lt;&gt;"",'All Cases - Enter Cases'!F105,"")</f>
        <v/>
      </c>
      <c r="G105" t="str">
        <f>IF($A105&lt;&gt;"",'All Cases - Enter Cases'!G105,"")</f>
        <v/>
      </c>
      <c r="H105" t="str">
        <f>IF($A105&lt;&gt;"",'All Cases - Enter Cases'!H105,"")</f>
        <v/>
      </c>
      <c r="I105" t="str">
        <f>IF($A105&lt;&gt;"",'All Cases - Enter Cases'!I105,"")</f>
        <v/>
      </c>
      <c r="J105" s="4" t="str">
        <f>IF($A105&lt;&gt;"",'All Cases - Enter Cases'!J105,"")</f>
        <v/>
      </c>
      <c r="K105" s="4" t="str">
        <f>IF($A105&lt;&gt;"",'All Cases - Enter Cases'!K105,"")</f>
        <v/>
      </c>
      <c r="L105" s="4" t="str">
        <f>IF($A105&lt;&gt;"",'All Cases - Enter Cases'!L105,"")</f>
        <v/>
      </c>
      <c r="M105" t="str">
        <f>IF($A105&lt;&gt;"",'All Cases - Enter Cases'!M105,"")</f>
        <v/>
      </c>
    </row>
    <row r="106" spans="1:13" x14ac:dyDescent="0.35">
      <c r="A106" s="4" t="str">
        <f>IF('All Cases - Enter Cases'!$F106="Punjab",'All Cases - Enter Cases'!A106,"")</f>
        <v/>
      </c>
      <c r="B106" t="str">
        <f>IF($A106&lt;&gt;"",'All Cases - Enter Cases'!B106,"")</f>
        <v/>
      </c>
      <c r="C106" t="str">
        <f>IF($A106&lt;&gt;"",'All Cases - Enter Cases'!C106,"")</f>
        <v/>
      </c>
      <c r="D106" t="str">
        <f>IF($A106&lt;&gt;"",'All Cases - Enter Cases'!D106,"")</f>
        <v/>
      </c>
      <c r="E106" t="str">
        <f>IF($A106&lt;&gt;"",'All Cases - Enter Cases'!E106,"")</f>
        <v/>
      </c>
      <c r="F106" t="str">
        <f>IF($A106&lt;&gt;"",'All Cases - Enter Cases'!F106,"")</f>
        <v/>
      </c>
      <c r="G106" t="str">
        <f>IF($A106&lt;&gt;"",'All Cases - Enter Cases'!G106,"")</f>
        <v/>
      </c>
      <c r="H106" t="str">
        <f>IF($A106&lt;&gt;"",'All Cases - Enter Cases'!H106,"")</f>
        <v/>
      </c>
      <c r="I106" t="str">
        <f>IF($A106&lt;&gt;"",'All Cases - Enter Cases'!I106,"")</f>
        <v/>
      </c>
      <c r="J106" s="4" t="str">
        <f>IF($A106&lt;&gt;"",'All Cases - Enter Cases'!J106,"")</f>
        <v/>
      </c>
      <c r="K106" s="4" t="str">
        <f>IF($A106&lt;&gt;"",'All Cases - Enter Cases'!K106,"")</f>
        <v/>
      </c>
      <c r="L106" s="4" t="str">
        <f>IF($A106&lt;&gt;"",'All Cases - Enter Cases'!L106,"")</f>
        <v/>
      </c>
      <c r="M106" t="str">
        <f>IF($A106&lt;&gt;"",'All Cases - Enter Cases'!M106,"")</f>
        <v/>
      </c>
    </row>
    <row r="107" spans="1:13" x14ac:dyDescent="0.35">
      <c r="A107" s="4" t="str">
        <f>IF('All Cases - Enter Cases'!$F107="Punjab",'All Cases - Enter Cases'!A107,"")</f>
        <v/>
      </c>
      <c r="B107" t="str">
        <f>IF($A107&lt;&gt;"",'All Cases - Enter Cases'!B107,"")</f>
        <v/>
      </c>
      <c r="C107" t="str">
        <f>IF($A107&lt;&gt;"",'All Cases - Enter Cases'!C107,"")</f>
        <v/>
      </c>
      <c r="D107" t="str">
        <f>IF($A107&lt;&gt;"",'All Cases - Enter Cases'!D107,"")</f>
        <v/>
      </c>
      <c r="E107" t="str">
        <f>IF($A107&lt;&gt;"",'All Cases - Enter Cases'!E107,"")</f>
        <v/>
      </c>
      <c r="F107" t="str">
        <f>IF($A107&lt;&gt;"",'All Cases - Enter Cases'!F107,"")</f>
        <v/>
      </c>
      <c r="G107" t="str">
        <f>IF($A107&lt;&gt;"",'All Cases - Enter Cases'!G107,"")</f>
        <v/>
      </c>
      <c r="H107" t="str">
        <f>IF($A107&lt;&gt;"",'All Cases - Enter Cases'!H107,"")</f>
        <v/>
      </c>
      <c r="I107" t="str">
        <f>IF($A107&lt;&gt;"",'All Cases - Enter Cases'!I107,"")</f>
        <v/>
      </c>
      <c r="J107" s="4" t="str">
        <f>IF($A107&lt;&gt;"",'All Cases - Enter Cases'!J107,"")</f>
        <v/>
      </c>
      <c r="K107" s="4" t="str">
        <f>IF($A107&lt;&gt;"",'All Cases - Enter Cases'!K107,"")</f>
        <v/>
      </c>
      <c r="L107" s="4" t="str">
        <f>IF($A107&lt;&gt;"",'All Cases - Enter Cases'!L107,"")</f>
        <v/>
      </c>
      <c r="M107" t="str">
        <f>IF($A107&lt;&gt;"",'All Cases - Enter Cases'!M107,"")</f>
        <v/>
      </c>
    </row>
    <row r="108" spans="1:13" x14ac:dyDescent="0.35">
      <c r="A108" s="4" t="str">
        <f>IF('All Cases - Enter Cases'!$F108="Punjab",'All Cases - Enter Cases'!A108,"")</f>
        <v/>
      </c>
      <c r="B108" t="str">
        <f>IF($A108&lt;&gt;"",'All Cases - Enter Cases'!B108,"")</f>
        <v/>
      </c>
      <c r="C108" t="str">
        <f>IF($A108&lt;&gt;"",'All Cases - Enter Cases'!C108,"")</f>
        <v/>
      </c>
      <c r="D108" t="str">
        <f>IF($A108&lt;&gt;"",'All Cases - Enter Cases'!D108,"")</f>
        <v/>
      </c>
      <c r="E108" t="str">
        <f>IF($A108&lt;&gt;"",'All Cases - Enter Cases'!E108,"")</f>
        <v/>
      </c>
      <c r="F108" t="str">
        <f>IF($A108&lt;&gt;"",'All Cases - Enter Cases'!F108,"")</f>
        <v/>
      </c>
      <c r="G108" t="str">
        <f>IF($A108&lt;&gt;"",'All Cases - Enter Cases'!G108,"")</f>
        <v/>
      </c>
      <c r="H108" t="str">
        <f>IF($A108&lt;&gt;"",'All Cases - Enter Cases'!H108,"")</f>
        <v/>
      </c>
      <c r="I108" t="str">
        <f>IF($A108&lt;&gt;"",'All Cases - Enter Cases'!I108,"")</f>
        <v/>
      </c>
      <c r="J108" s="4" t="str">
        <f>IF($A108&lt;&gt;"",'All Cases - Enter Cases'!J108,"")</f>
        <v/>
      </c>
      <c r="K108" s="4" t="str">
        <f>IF($A108&lt;&gt;"",'All Cases - Enter Cases'!K108,"")</f>
        <v/>
      </c>
      <c r="L108" s="4" t="str">
        <f>IF($A108&lt;&gt;"",'All Cases - Enter Cases'!L108,"")</f>
        <v/>
      </c>
      <c r="M108" t="str">
        <f>IF($A108&lt;&gt;"",'All Cases - Enter Cases'!M108,"")</f>
        <v/>
      </c>
    </row>
    <row r="109" spans="1:13" x14ac:dyDescent="0.35">
      <c r="A109" s="4" t="str">
        <f>IF('All Cases - Enter Cases'!$F109="Punjab",'All Cases - Enter Cases'!A109,"")</f>
        <v/>
      </c>
      <c r="B109" t="str">
        <f>IF($A109&lt;&gt;"",'All Cases - Enter Cases'!B109,"")</f>
        <v/>
      </c>
      <c r="C109" t="str">
        <f>IF($A109&lt;&gt;"",'All Cases - Enter Cases'!C109,"")</f>
        <v/>
      </c>
      <c r="D109" t="str">
        <f>IF($A109&lt;&gt;"",'All Cases - Enter Cases'!D109,"")</f>
        <v/>
      </c>
      <c r="E109" t="str">
        <f>IF($A109&lt;&gt;"",'All Cases - Enter Cases'!E109,"")</f>
        <v/>
      </c>
      <c r="F109" t="str">
        <f>IF($A109&lt;&gt;"",'All Cases - Enter Cases'!F109,"")</f>
        <v/>
      </c>
      <c r="G109" t="str">
        <f>IF($A109&lt;&gt;"",'All Cases - Enter Cases'!G109,"")</f>
        <v/>
      </c>
      <c r="H109" t="str">
        <f>IF($A109&lt;&gt;"",'All Cases - Enter Cases'!H109,"")</f>
        <v/>
      </c>
      <c r="I109" t="str">
        <f>IF($A109&lt;&gt;"",'All Cases - Enter Cases'!I109,"")</f>
        <v/>
      </c>
      <c r="J109" s="4" t="str">
        <f>IF($A109&lt;&gt;"",'All Cases - Enter Cases'!J109,"")</f>
        <v/>
      </c>
      <c r="K109" s="4" t="str">
        <f>IF($A109&lt;&gt;"",'All Cases - Enter Cases'!K109,"")</f>
        <v/>
      </c>
      <c r="L109" s="4" t="str">
        <f>IF($A109&lt;&gt;"",'All Cases - Enter Cases'!L109,"")</f>
        <v/>
      </c>
      <c r="M109" t="str">
        <f>IF($A109&lt;&gt;"",'All Cases - Enter Cases'!M109,"")</f>
        <v/>
      </c>
    </row>
    <row r="110" spans="1:13" x14ac:dyDescent="0.35">
      <c r="A110" s="4" t="str">
        <f>IF('All Cases - Enter Cases'!$F110="Punjab",'All Cases - Enter Cases'!A110,"")</f>
        <v/>
      </c>
      <c r="B110" t="str">
        <f>IF($A110&lt;&gt;"",'All Cases - Enter Cases'!B110,"")</f>
        <v/>
      </c>
      <c r="C110" t="str">
        <f>IF($A110&lt;&gt;"",'All Cases - Enter Cases'!C110,"")</f>
        <v/>
      </c>
      <c r="D110" t="str">
        <f>IF($A110&lt;&gt;"",'All Cases - Enter Cases'!D110,"")</f>
        <v/>
      </c>
      <c r="E110" t="str">
        <f>IF($A110&lt;&gt;"",'All Cases - Enter Cases'!E110,"")</f>
        <v/>
      </c>
      <c r="F110" t="str">
        <f>IF($A110&lt;&gt;"",'All Cases - Enter Cases'!F110,"")</f>
        <v/>
      </c>
      <c r="G110" t="str">
        <f>IF($A110&lt;&gt;"",'All Cases - Enter Cases'!G110,"")</f>
        <v/>
      </c>
      <c r="H110" t="str">
        <f>IF($A110&lt;&gt;"",'All Cases - Enter Cases'!H110,"")</f>
        <v/>
      </c>
      <c r="I110" t="str">
        <f>IF($A110&lt;&gt;"",'All Cases - Enter Cases'!I110,"")</f>
        <v/>
      </c>
      <c r="J110" s="4" t="str">
        <f>IF($A110&lt;&gt;"",'All Cases - Enter Cases'!J110,"")</f>
        <v/>
      </c>
      <c r="K110" s="4" t="str">
        <f>IF($A110&lt;&gt;"",'All Cases - Enter Cases'!K110,"")</f>
        <v/>
      </c>
      <c r="L110" s="4" t="str">
        <f>IF($A110&lt;&gt;"",'All Cases - Enter Cases'!L110,"")</f>
        <v/>
      </c>
      <c r="M110" t="str">
        <f>IF($A110&lt;&gt;"",'All Cases - Enter Cases'!M110,"")</f>
        <v/>
      </c>
    </row>
    <row r="111" spans="1:13" x14ac:dyDescent="0.35">
      <c r="A111" s="4" t="str">
        <f>IF('All Cases - Enter Cases'!$F111="Punjab",'All Cases - Enter Cases'!A111,"")</f>
        <v/>
      </c>
      <c r="B111" t="str">
        <f>IF($A111&lt;&gt;"",'All Cases - Enter Cases'!B111,"")</f>
        <v/>
      </c>
      <c r="C111" t="str">
        <f>IF($A111&lt;&gt;"",'All Cases - Enter Cases'!C111,"")</f>
        <v/>
      </c>
      <c r="D111" t="str">
        <f>IF($A111&lt;&gt;"",'All Cases - Enter Cases'!D111,"")</f>
        <v/>
      </c>
      <c r="E111" t="str">
        <f>IF($A111&lt;&gt;"",'All Cases - Enter Cases'!E111,"")</f>
        <v/>
      </c>
      <c r="F111" t="str">
        <f>IF($A111&lt;&gt;"",'All Cases - Enter Cases'!F111,"")</f>
        <v/>
      </c>
      <c r="G111" t="str">
        <f>IF($A111&lt;&gt;"",'All Cases - Enter Cases'!G111,"")</f>
        <v/>
      </c>
      <c r="H111" t="str">
        <f>IF($A111&lt;&gt;"",'All Cases - Enter Cases'!H111,"")</f>
        <v/>
      </c>
      <c r="I111" t="str">
        <f>IF($A111&lt;&gt;"",'All Cases - Enter Cases'!I111,"")</f>
        <v/>
      </c>
      <c r="J111" s="4" t="str">
        <f>IF($A111&lt;&gt;"",'All Cases - Enter Cases'!J111,"")</f>
        <v/>
      </c>
      <c r="K111" s="4" t="str">
        <f>IF($A111&lt;&gt;"",'All Cases - Enter Cases'!K111,"")</f>
        <v/>
      </c>
      <c r="L111" s="4" t="str">
        <f>IF($A111&lt;&gt;"",'All Cases - Enter Cases'!L111,"")</f>
        <v/>
      </c>
      <c r="M111" t="str">
        <f>IF($A111&lt;&gt;"",'All Cases - Enter Cases'!M111,"")</f>
        <v/>
      </c>
    </row>
    <row r="112" spans="1:13" x14ac:dyDescent="0.35">
      <c r="A112" s="4" t="str">
        <f>IF('All Cases - Enter Cases'!$F112="Punjab",'All Cases - Enter Cases'!A112,"")</f>
        <v/>
      </c>
      <c r="B112" t="str">
        <f>IF($A112&lt;&gt;"",'All Cases - Enter Cases'!B112,"")</f>
        <v/>
      </c>
      <c r="C112" t="str">
        <f>IF($A112&lt;&gt;"",'All Cases - Enter Cases'!C112,"")</f>
        <v/>
      </c>
      <c r="D112" t="str">
        <f>IF($A112&lt;&gt;"",'All Cases - Enter Cases'!D112,"")</f>
        <v/>
      </c>
      <c r="E112" t="str">
        <f>IF($A112&lt;&gt;"",'All Cases - Enter Cases'!E112,"")</f>
        <v/>
      </c>
      <c r="F112" t="str">
        <f>IF($A112&lt;&gt;"",'All Cases - Enter Cases'!F112,"")</f>
        <v/>
      </c>
      <c r="G112" t="str">
        <f>IF($A112&lt;&gt;"",'All Cases - Enter Cases'!G112,"")</f>
        <v/>
      </c>
      <c r="H112" t="str">
        <f>IF($A112&lt;&gt;"",'All Cases - Enter Cases'!H112,"")</f>
        <v/>
      </c>
      <c r="I112" t="str">
        <f>IF($A112&lt;&gt;"",'All Cases - Enter Cases'!I112,"")</f>
        <v/>
      </c>
      <c r="J112" s="4" t="str">
        <f>IF($A112&lt;&gt;"",'All Cases - Enter Cases'!J112,"")</f>
        <v/>
      </c>
      <c r="K112" s="4" t="str">
        <f>IF($A112&lt;&gt;"",'All Cases - Enter Cases'!K112,"")</f>
        <v/>
      </c>
      <c r="L112" s="4" t="str">
        <f>IF($A112&lt;&gt;"",'All Cases - Enter Cases'!L112,"")</f>
        <v/>
      </c>
      <c r="M112" t="str">
        <f>IF($A112&lt;&gt;"",'All Cases - Enter Cases'!M112,"")</f>
        <v/>
      </c>
    </row>
    <row r="113" spans="1:13" x14ac:dyDescent="0.35">
      <c r="A113" s="4" t="str">
        <f>IF('All Cases - Enter Cases'!$F113="Punjab",'All Cases - Enter Cases'!A113,"")</f>
        <v/>
      </c>
      <c r="B113" t="str">
        <f>IF($A113&lt;&gt;"",'All Cases - Enter Cases'!B113,"")</f>
        <v/>
      </c>
      <c r="C113" t="str">
        <f>IF($A113&lt;&gt;"",'All Cases - Enter Cases'!C113,"")</f>
        <v/>
      </c>
      <c r="D113" t="str">
        <f>IF($A113&lt;&gt;"",'All Cases - Enter Cases'!D113,"")</f>
        <v/>
      </c>
      <c r="E113" t="str">
        <f>IF($A113&lt;&gt;"",'All Cases - Enter Cases'!E113,"")</f>
        <v/>
      </c>
      <c r="F113" t="str">
        <f>IF($A113&lt;&gt;"",'All Cases - Enter Cases'!F113,"")</f>
        <v/>
      </c>
      <c r="G113" t="str">
        <f>IF($A113&lt;&gt;"",'All Cases - Enter Cases'!G113,"")</f>
        <v/>
      </c>
      <c r="H113" t="str">
        <f>IF($A113&lt;&gt;"",'All Cases - Enter Cases'!H113,"")</f>
        <v/>
      </c>
      <c r="I113" t="str">
        <f>IF($A113&lt;&gt;"",'All Cases - Enter Cases'!I113,"")</f>
        <v/>
      </c>
      <c r="J113" s="4" t="str">
        <f>IF($A113&lt;&gt;"",'All Cases - Enter Cases'!J113,"")</f>
        <v/>
      </c>
      <c r="K113" s="4" t="str">
        <f>IF($A113&lt;&gt;"",'All Cases - Enter Cases'!K113,"")</f>
        <v/>
      </c>
      <c r="L113" s="4" t="str">
        <f>IF($A113&lt;&gt;"",'All Cases - Enter Cases'!L113,"")</f>
        <v/>
      </c>
      <c r="M113" t="str">
        <f>IF($A113&lt;&gt;"",'All Cases - Enter Cases'!M113,"")</f>
        <v/>
      </c>
    </row>
    <row r="114" spans="1:13" x14ac:dyDescent="0.35">
      <c r="A114" s="4" t="str">
        <f>IF('All Cases - Enter Cases'!$F114="Punjab",'All Cases - Enter Cases'!A114,"")</f>
        <v/>
      </c>
      <c r="B114" t="str">
        <f>IF($A114&lt;&gt;"",'All Cases - Enter Cases'!B114,"")</f>
        <v/>
      </c>
      <c r="C114" t="str">
        <f>IF($A114&lt;&gt;"",'All Cases - Enter Cases'!C114,"")</f>
        <v/>
      </c>
      <c r="D114" t="str">
        <f>IF($A114&lt;&gt;"",'All Cases - Enter Cases'!D114,"")</f>
        <v/>
      </c>
      <c r="E114" t="str">
        <f>IF($A114&lt;&gt;"",'All Cases - Enter Cases'!E114,"")</f>
        <v/>
      </c>
      <c r="F114" t="str">
        <f>IF($A114&lt;&gt;"",'All Cases - Enter Cases'!F114,"")</f>
        <v/>
      </c>
      <c r="G114" t="str">
        <f>IF($A114&lt;&gt;"",'All Cases - Enter Cases'!G114,"")</f>
        <v/>
      </c>
      <c r="H114" t="str">
        <f>IF($A114&lt;&gt;"",'All Cases - Enter Cases'!H114,"")</f>
        <v/>
      </c>
      <c r="I114" t="str">
        <f>IF($A114&lt;&gt;"",'All Cases - Enter Cases'!I114,"")</f>
        <v/>
      </c>
      <c r="J114" s="4" t="str">
        <f>IF($A114&lt;&gt;"",'All Cases - Enter Cases'!J114,"")</f>
        <v/>
      </c>
      <c r="K114" s="4" t="str">
        <f>IF($A114&lt;&gt;"",'All Cases - Enter Cases'!K114,"")</f>
        <v/>
      </c>
      <c r="L114" s="4" t="str">
        <f>IF($A114&lt;&gt;"",'All Cases - Enter Cases'!L114,"")</f>
        <v/>
      </c>
      <c r="M114" t="str">
        <f>IF($A114&lt;&gt;"",'All Cases - Enter Cases'!M114,"")</f>
        <v/>
      </c>
    </row>
    <row r="115" spans="1:13" x14ac:dyDescent="0.35">
      <c r="A115" s="4" t="str">
        <f>IF('All Cases - Enter Cases'!$F115="Punjab",'All Cases - Enter Cases'!A115,"")</f>
        <v/>
      </c>
      <c r="B115" t="str">
        <f>IF($A115&lt;&gt;"",'All Cases - Enter Cases'!B115,"")</f>
        <v/>
      </c>
      <c r="C115" t="str">
        <f>IF($A115&lt;&gt;"",'All Cases - Enter Cases'!C115,"")</f>
        <v/>
      </c>
      <c r="D115" t="str">
        <f>IF($A115&lt;&gt;"",'All Cases - Enter Cases'!D115,"")</f>
        <v/>
      </c>
      <c r="E115" t="str">
        <f>IF($A115&lt;&gt;"",'All Cases - Enter Cases'!E115,"")</f>
        <v/>
      </c>
      <c r="F115" t="str">
        <f>IF($A115&lt;&gt;"",'All Cases - Enter Cases'!F115,"")</f>
        <v/>
      </c>
      <c r="G115" t="str">
        <f>IF($A115&lt;&gt;"",'All Cases - Enter Cases'!G115,"")</f>
        <v/>
      </c>
      <c r="H115" t="str">
        <f>IF($A115&lt;&gt;"",'All Cases - Enter Cases'!H115,"")</f>
        <v/>
      </c>
      <c r="I115" t="str">
        <f>IF($A115&lt;&gt;"",'All Cases - Enter Cases'!I115,"")</f>
        <v/>
      </c>
      <c r="J115" s="4" t="str">
        <f>IF($A115&lt;&gt;"",'All Cases - Enter Cases'!J115,"")</f>
        <v/>
      </c>
      <c r="K115" s="4" t="str">
        <f>IF($A115&lt;&gt;"",'All Cases - Enter Cases'!K115,"")</f>
        <v/>
      </c>
      <c r="L115" s="4" t="str">
        <f>IF($A115&lt;&gt;"",'All Cases - Enter Cases'!L115,"")</f>
        <v/>
      </c>
      <c r="M115" t="str">
        <f>IF($A115&lt;&gt;"",'All Cases - Enter Cases'!M115,"")</f>
        <v/>
      </c>
    </row>
    <row r="116" spans="1:13" x14ac:dyDescent="0.35">
      <c r="A116" s="4" t="str">
        <f>IF('All Cases - Enter Cases'!$F116="Punjab",'All Cases - Enter Cases'!A116,"")</f>
        <v/>
      </c>
      <c r="B116" t="str">
        <f>IF($A116&lt;&gt;"",'All Cases - Enter Cases'!B116,"")</f>
        <v/>
      </c>
      <c r="C116" t="str">
        <f>IF($A116&lt;&gt;"",'All Cases - Enter Cases'!C116,"")</f>
        <v/>
      </c>
      <c r="D116" t="str">
        <f>IF($A116&lt;&gt;"",'All Cases - Enter Cases'!D116,"")</f>
        <v/>
      </c>
      <c r="E116" t="str">
        <f>IF($A116&lt;&gt;"",'All Cases - Enter Cases'!E116,"")</f>
        <v/>
      </c>
      <c r="F116" t="str">
        <f>IF($A116&lt;&gt;"",'All Cases - Enter Cases'!F116,"")</f>
        <v/>
      </c>
      <c r="G116" t="str">
        <f>IF($A116&lt;&gt;"",'All Cases - Enter Cases'!G116,"")</f>
        <v/>
      </c>
      <c r="H116" t="str">
        <f>IF($A116&lt;&gt;"",'All Cases - Enter Cases'!H116,"")</f>
        <v/>
      </c>
      <c r="I116" t="str">
        <f>IF($A116&lt;&gt;"",'All Cases - Enter Cases'!I116,"")</f>
        <v/>
      </c>
      <c r="J116" s="4" t="str">
        <f>IF($A116&lt;&gt;"",'All Cases - Enter Cases'!J116,"")</f>
        <v/>
      </c>
      <c r="K116" s="4" t="str">
        <f>IF($A116&lt;&gt;"",'All Cases - Enter Cases'!K116,"")</f>
        <v/>
      </c>
      <c r="L116" s="4" t="str">
        <f>IF($A116&lt;&gt;"",'All Cases - Enter Cases'!L116,"")</f>
        <v/>
      </c>
      <c r="M116" t="str">
        <f>IF($A116&lt;&gt;"",'All Cases - Enter Cases'!M116,"")</f>
        <v/>
      </c>
    </row>
    <row r="117" spans="1:13" x14ac:dyDescent="0.35">
      <c r="A117" s="4" t="str">
        <f>IF('All Cases - Enter Cases'!$F117="Punjab",'All Cases - Enter Cases'!A117,"")</f>
        <v/>
      </c>
      <c r="B117" t="str">
        <f>IF($A117&lt;&gt;"",'All Cases - Enter Cases'!B117,"")</f>
        <v/>
      </c>
      <c r="C117" t="str">
        <f>IF($A117&lt;&gt;"",'All Cases - Enter Cases'!C117,"")</f>
        <v/>
      </c>
      <c r="D117" t="str">
        <f>IF($A117&lt;&gt;"",'All Cases - Enter Cases'!D117,"")</f>
        <v/>
      </c>
      <c r="E117" t="str">
        <f>IF($A117&lt;&gt;"",'All Cases - Enter Cases'!E117,"")</f>
        <v/>
      </c>
      <c r="F117" t="str">
        <f>IF($A117&lt;&gt;"",'All Cases - Enter Cases'!F117,"")</f>
        <v/>
      </c>
      <c r="G117" t="str">
        <f>IF($A117&lt;&gt;"",'All Cases - Enter Cases'!G117,"")</f>
        <v/>
      </c>
      <c r="H117" t="str">
        <f>IF($A117&lt;&gt;"",'All Cases - Enter Cases'!H117,"")</f>
        <v/>
      </c>
      <c r="I117" t="str">
        <f>IF($A117&lt;&gt;"",'All Cases - Enter Cases'!I117,"")</f>
        <v/>
      </c>
      <c r="J117" s="4" t="str">
        <f>IF($A117&lt;&gt;"",'All Cases - Enter Cases'!J117,"")</f>
        <v/>
      </c>
      <c r="K117" s="4" t="str">
        <f>IF($A117&lt;&gt;"",'All Cases - Enter Cases'!K117,"")</f>
        <v/>
      </c>
      <c r="L117" s="4" t="str">
        <f>IF($A117&lt;&gt;"",'All Cases - Enter Cases'!L117,"")</f>
        <v/>
      </c>
      <c r="M117" t="str">
        <f>IF($A117&lt;&gt;"",'All Cases - Enter Cases'!M117,"")</f>
        <v/>
      </c>
    </row>
    <row r="118" spans="1:13" x14ac:dyDescent="0.35">
      <c r="A118" s="4" t="str">
        <f>IF('All Cases - Enter Cases'!$F118="Punjab",'All Cases - Enter Cases'!A118,"")</f>
        <v/>
      </c>
      <c r="B118" t="str">
        <f>IF($A118&lt;&gt;"",'All Cases - Enter Cases'!B118,"")</f>
        <v/>
      </c>
      <c r="C118" t="str">
        <f>IF($A118&lt;&gt;"",'All Cases - Enter Cases'!C118,"")</f>
        <v/>
      </c>
      <c r="D118" t="str">
        <f>IF($A118&lt;&gt;"",'All Cases - Enter Cases'!D118,"")</f>
        <v/>
      </c>
      <c r="E118" t="str">
        <f>IF($A118&lt;&gt;"",'All Cases - Enter Cases'!E118,"")</f>
        <v/>
      </c>
      <c r="F118" t="str">
        <f>IF($A118&lt;&gt;"",'All Cases - Enter Cases'!F118,"")</f>
        <v/>
      </c>
      <c r="G118" t="str">
        <f>IF($A118&lt;&gt;"",'All Cases - Enter Cases'!G118,"")</f>
        <v/>
      </c>
      <c r="H118" t="str">
        <f>IF($A118&lt;&gt;"",'All Cases - Enter Cases'!H118,"")</f>
        <v/>
      </c>
      <c r="I118" t="str">
        <f>IF($A118&lt;&gt;"",'All Cases - Enter Cases'!I118,"")</f>
        <v/>
      </c>
      <c r="J118" s="4" t="str">
        <f>IF($A118&lt;&gt;"",'All Cases - Enter Cases'!J118,"")</f>
        <v/>
      </c>
      <c r="K118" s="4" t="str">
        <f>IF($A118&lt;&gt;"",'All Cases - Enter Cases'!K118,"")</f>
        <v/>
      </c>
      <c r="L118" s="4" t="str">
        <f>IF($A118&lt;&gt;"",'All Cases - Enter Cases'!L118,"")</f>
        <v/>
      </c>
      <c r="M118" t="str">
        <f>IF($A118&lt;&gt;"",'All Cases - Enter Cases'!M118,"")</f>
        <v/>
      </c>
    </row>
    <row r="119" spans="1:13" x14ac:dyDescent="0.35">
      <c r="A119" s="4" t="str">
        <f>IF('All Cases - Enter Cases'!$F119="Punjab",'All Cases - Enter Cases'!A119,"")</f>
        <v/>
      </c>
      <c r="B119" t="str">
        <f>IF($A119&lt;&gt;"",'All Cases - Enter Cases'!B119,"")</f>
        <v/>
      </c>
      <c r="C119" t="str">
        <f>IF($A119&lt;&gt;"",'All Cases - Enter Cases'!C119,"")</f>
        <v/>
      </c>
      <c r="D119" t="str">
        <f>IF($A119&lt;&gt;"",'All Cases - Enter Cases'!D119,"")</f>
        <v/>
      </c>
      <c r="E119" t="str">
        <f>IF($A119&lt;&gt;"",'All Cases - Enter Cases'!E119,"")</f>
        <v/>
      </c>
      <c r="F119" t="str">
        <f>IF($A119&lt;&gt;"",'All Cases - Enter Cases'!F119,"")</f>
        <v/>
      </c>
      <c r="G119" t="str">
        <f>IF($A119&lt;&gt;"",'All Cases - Enter Cases'!G119,"")</f>
        <v/>
      </c>
      <c r="H119" t="str">
        <f>IF($A119&lt;&gt;"",'All Cases - Enter Cases'!H119,"")</f>
        <v/>
      </c>
      <c r="I119" t="str">
        <f>IF($A119&lt;&gt;"",'All Cases - Enter Cases'!I119,"")</f>
        <v/>
      </c>
      <c r="J119" s="4" t="str">
        <f>IF($A119&lt;&gt;"",'All Cases - Enter Cases'!J119,"")</f>
        <v/>
      </c>
      <c r="K119" s="4" t="str">
        <f>IF($A119&lt;&gt;"",'All Cases - Enter Cases'!K119,"")</f>
        <v/>
      </c>
      <c r="L119" s="4" t="str">
        <f>IF($A119&lt;&gt;"",'All Cases - Enter Cases'!L119,"")</f>
        <v/>
      </c>
      <c r="M119" t="str">
        <f>IF($A119&lt;&gt;"",'All Cases - Enter Cases'!M119,"")</f>
        <v/>
      </c>
    </row>
    <row r="120" spans="1:13" x14ac:dyDescent="0.35">
      <c r="A120" s="4" t="str">
        <f>IF('All Cases - Enter Cases'!$F120="Punjab",'All Cases - Enter Cases'!A120,"")</f>
        <v/>
      </c>
      <c r="B120" t="str">
        <f>IF($A120&lt;&gt;"",'All Cases - Enter Cases'!B120,"")</f>
        <v/>
      </c>
      <c r="C120" t="str">
        <f>IF($A120&lt;&gt;"",'All Cases - Enter Cases'!C120,"")</f>
        <v/>
      </c>
      <c r="D120" t="str">
        <f>IF($A120&lt;&gt;"",'All Cases - Enter Cases'!D120,"")</f>
        <v/>
      </c>
      <c r="E120" t="str">
        <f>IF($A120&lt;&gt;"",'All Cases - Enter Cases'!E120,"")</f>
        <v/>
      </c>
      <c r="F120" t="str">
        <f>IF($A120&lt;&gt;"",'All Cases - Enter Cases'!F120,"")</f>
        <v/>
      </c>
      <c r="G120" t="str">
        <f>IF($A120&lt;&gt;"",'All Cases - Enter Cases'!G120,"")</f>
        <v/>
      </c>
      <c r="H120" t="str">
        <f>IF($A120&lt;&gt;"",'All Cases - Enter Cases'!H120,"")</f>
        <v/>
      </c>
      <c r="I120" t="str">
        <f>IF($A120&lt;&gt;"",'All Cases - Enter Cases'!I120,"")</f>
        <v/>
      </c>
      <c r="J120" s="4" t="str">
        <f>IF($A120&lt;&gt;"",'All Cases - Enter Cases'!J120,"")</f>
        <v/>
      </c>
      <c r="K120" s="4" t="str">
        <f>IF($A120&lt;&gt;"",'All Cases - Enter Cases'!K120,"")</f>
        <v/>
      </c>
      <c r="L120" s="4" t="str">
        <f>IF($A120&lt;&gt;"",'All Cases - Enter Cases'!L120,"")</f>
        <v/>
      </c>
      <c r="M120" t="str">
        <f>IF($A120&lt;&gt;"",'All Cases - Enter Cases'!M120,"")</f>
        <v/>
      </c>
    </row>
    <row r="121" spans="1:13" x14ac:dyDescent="0.35">
      <c r="A121" s="4" t="str">
        <f>IF('All Cases - Enter Cases'!$F121="Punjab",'All Cases - Enter Cases'!A121,"")</f>
        <v/>
      </c>
      <c r="B121" t="str">
        <f>IF($A121&lt;&gt;"",'All Cases - Enter Cases'!B121,"")</f>
        <v/>
      </c>
      <c r="C121" t="str">
        <f>IF($A121&lt;&gt;"",'All Cases - Enter Cases'!C121,"")</f>
        <v/>
      </c>
      <c r="D121" t="str">
        <f>IF($A121&lt;&gt;"",'All Cases - Enter Cases'!D121,"")</f>
        <v/>
      </c>
      <c r="E121" t="str">
        <f>IF($A121&lt;&gt;"",'All Cases - Enter Cases'!E121,"")</f>
        <v/>
      </c>
      <c r="F121" t="str">
        <f>IF($A121&lt;&gt;"",'All Cases - Enter Cases'!F121,"")</f>
        <v/>
      </c>
      <c r="G121" t="str">
        <f>IF($A121&lt;&gt;"",'All Cases - Enter Cases'!G121,"")</f>
        <v/>
      </c>
      <c r="H121" t="str">
        <f>IF($A121&lt;&gt;"",'All Cases - Enter Cases'!H121,"")</f>
        <v/>
      </c>
      <c r="I121" t="str">
        <f>IF($A121&lt;&gt;"",'All Cases - Enter Cases'!I121,"")</f>
        <v/>
      </c>
      <c r="J121" s="4" t="str">
        <f>IF($A121&lt;&gt;"",'All Cases - Enter Cases'!J121,"")</f>
        <v/>
      </c>
      <c r="K121" s="4" t="str">
        <f>IF($A121&lt;&gt;"",'All Cases - Enter Cases'!K121,"")</f>
        <v/>
      </c>
      <c r="L121" s="4" t="str">
        <f>IF($A121&lt;&gt;"",'All Cases - Enter Cases'!L121,"")</f>
        <v/>
      </c>
      <c r="M121" t="str">
        <f>IF($A121&lt;&gt;"",'All Cases - Enter Cases'!M121,"")</f>
        <v/>
      </c>
    </row>
    <row r="122" spans="1:13" x14ac:dyDescent="0.35">
      <c r="A122" s="4" t="str">
        <f>IF('All Cases - Enter Cases'!$F122="Punjab",'All Cases - Enter Cases'!A122,"")</f>
        <v/>
      </c>
      <c r="B122" t="str">
        <f>IF($A122&lt;&gt;"",'All Cases - Enter Cases'!B122,"")</f>
        <v/>
      </c>
      <c r="C122" t="str">
        <f>IF($A122&lt;&gt;"",'All Cases - Enter Cases'!C122,"")</f>
        <v/>
      </c>
      <c r="D122" t="str">
        <f>IF($A122&lt;&gt;"",'All Cases - Enter Cases'!D122,"")</f>
        <v/>
      </c>
      <c r="E122" t="str">
        <f>IF($A122&lt;&gt;"",'All Cases - Enter Cases'!E122,"")</f>
        <v/>
      </c>
      <c r="F122" t="str">
        <f>IF($A122&lt;&gt;"",'All Cases - Enter Cases'!F122,"")</f>
        <v/>
      </c>
      <c r="G122" t="str">
        <f>IF($A122&lt;&gt;"",'All Cases - Enter Cases'!G122,"")</f>
        <v/>
      </c>
      <c r="H122" t="str">
        <f>IF($A122&lt;&gt;"",'All Cases - Enter Cases'!H122,"")</f>
        <v/>
      </c>
      <c r="I122" t="str">
        <f>IF($A122&lt;&gt;"",'All Cases - Enter Cases'!I122,"")</f>
        <v/>
      </c>
      <c r="J122" s="4" t="str">
        <f>IF($A122&lt;&gt;"",'All Cases - Enter Cases'!J122,"")</f>
        <v/>
      </c>
      <c r="K122" s="4" t="str">
        <f>IF($A122&lt;&gt;"",'All Cases - Enter Cases'!K122,"")</f>
        <v/>
      </c>
      <c r="L122" s="4" t="str">
        <f>IF($A122&lt;&gt;"",'All Cases - Enter Cases'!L122,"")</f>
        <v/>
      </c>
      <c r="M122" t="str">
        <f>IF($A122&lt;&gt;"",'All Cases - Enter Cases'!M122,"")</f>
        <v/>
      </c>
    </row>
    <row r="123" spans="1:13" x14ac:dyDescent="0.35">
      <c r="A123" s="4" t="str">
        <f>IF('All Cases - Enter Cases'!$F123="Punjab",'All Cases - Enter Cases'!A123,"")</f>
        <v/>
      </c>
      <c r="B123" t="str">
        <f>IF($A123&lt;&gt;"",'All Cases - Enter Cases'!B123,"")</f>
        <v/>
      </c>
      <c r="C123" t="str">
        <f>IF($A123&lt;&gt;"",'All Cases - Enter Cases'!C123,"")</f>
        <v/>
      </c>
      <c r="D123" t="str">
        <f>IF($A123&lt;&gt;"",'All Cases - Enter Cases'!D123,"")</f>
        <v/>
      </c>
      <c r="E123" t="str">
        <f>IF($A123&lt;&gt;"",'All Cases - Enter Cases'!E123,"")</f>
        <v/>
      </c>
      <c r="F123" t="str">
        <f>IF($A123&lt;&gt;"",'All Cases - Enter Cases'!F123,"")</f>
        <v/>
      </c>
      <c r="G123" t="str">
        <f>IF($A123&lt;&gt;"",'All Cases - Enter Cases'!G123,"")</f>
        <v/>
      </c>
      <c r="H123" t="str">
        <f>IF($A123&lt;&gt;"",'All Cases - Enter Cases'!H123,"")</f>
        <v/>
      </c>
      <c r="I123" t="str">
        <f>IF($A123&lt;&gt;"",'All Cases - Enter Cases'!I123,"")</f>
        <v/>
      </c>
      <c r="J123" s="4" t="str">
        <f>IF($A123&lt;&gt;"",'All Cases - Enter Cases'!J123,"")</f>
        <v/>
      </c>
      <c r="K123" s="4" t="str">
        <f>IF($A123&lt;&gt;"",'All Cases - Enter Cases'!K123,"")</f>
        <v/>
      </c>
      <c r="L123" s="4" t="str">
        <f>IF($A123&lt;&gt;"",'All Cases - Enter Cases'!L123,"")</f>
        <v/>
      </c>
      <c r="M123" t="str">
        <f>IF($A123&lt;&gt;"",'All Cases - Enter Cases'!M123,"")</f>
        <v/>
      </c>
    </row>
    <row r="124" spans="1:13" x14ac:dyDescent="0.35">
      <c r="A124" s="4" t="str">
        <f>IF('All Cases - Enter Cases'!$F124="Punjab",'All Cases - Enter Cases'!A124,"")</f>
        <v/>
      </c>
      <c r="B124" t="str">
        <f>IF($A124&lt;&gt;"",'All Cases - Enter Cases'!B124,"")</f>
        <v/>
      </c>
      <c r="C124" t="str">
        <f>IF($A124&lt;&gt;"",'All Cases - Enter Cases'!C124,"")</f>
        <v/>
      </c>
      <c r="D124" t="str">
        <f>IF($A124&lt;&gt;"",'All Cases - Enter Cases'!D124,"")</f>
        <v/>
      </c>
      <c r="E124" t="str">
        <f>IF($A124&lt;&gt;"",'All Cases - Enter Cases'!E124,"")</f>
        <v/>
      </c>
      <c r="F124" t="str">
        <f>IF($A124&lt;&gt;"",'All Cases - Enter Cases'!F124,"")</f>
        <v/>
      </c>
      <c r="G124" t="str">
        <f>IF($A124&lt;&gt;"",'All Cases - Enter Cases'!G124,"")</f>
        <v/>
      </c>
      <c r="H124" t="str">
        <f>IF($A124&lt;&gt;"",'All Cases - Enter Cases'!H124,"")</f>
        <v/>
      </c>
      <c r="I124" t="str">
        <f>IF($A124&lt;&gt;"",'All Cases - Enter Cases'!I124,"")</f>
        <v/>
      </c>
      <c r="J124" s="4" t="str">
        <f>IF($A124&lt;&gt;"",'All Cases - Enter Cases'!J124,"")</f>
        <v/>
      </c>
      <c r="K124" s="4" t="str">
        <f>IF($A124&lt;&gt;"",'All Cases - Enter Cases'!K124,"")</f>
        <v/>
      </c>
      <c r="L124" s="4" t="str">
        <f>IF($A124&lt;&gt;"",'All Cases - Enter Cases'!L124,"")</f>
        <v/>
      </c>
      <c r="M124" t="str">
        <f>IF($A124&lt;&gt;"",'All Cases - Enter Cases'!M124,"")</f>
        <v/>
      </c>
    </row>
    <row r="125" spans="1:13" x14ac:dyDescent="0.35">
      <c r="A125" s="4" t="str">
        <f>IF('All Cases - Enter Cases'!$F125="Punjab",'All Cases - Enter Cases'!A125,"")</f>
        <v/>
      </c>
      <c r="B125" t="str">
        <f>IF($A125&lt;&gt;"",'All Cases - Enter Cases'!B125,"")</f>
        <v/>
      </c>
      <c r="C125" t="str">
        <f>IF($A125&lt;&gt;"",'All Cases - Enter Cases'!C125,"")</f>
        <v/>
      </c>
      <c r="D125" t="str">
        <f>IF($A125&lt;&gt;"",'All Cases - Enter Cases'!D125,"")</f>
        <v/>
      </c>
      <c r="E125" t="str">
        <f>IF($A125&lt;&gt;"",'All Cases - Enter Cases'!E125,"")</f>
        <v/>
      </c>
      <c r="F125" t="str">
        <f>IF($A125&lt;&gt;"",'All Cases - Enter Cases'!F125,"")</f>
        <v/>
      </c>
      <c r="G125" t="str">
        <f>IF($A125&lt;&gt;"",'All Cases - Enter Cases'!G125,"")</f>
        <v/>
      </c>
      <c r="H125" t="str">
        <f>IF($A125&lt;&gt;"",'All Cases - Enter Cases'!H125,"")</f>
        <v/>
      </c>
      <c r="I125" t="str">
        <f>IF($A125&lt;&gt;"",'All Cases - Enter Cases'!I125,"")</f>
        <v/>
      </c>
      <c r="J125" s="4" t="str">
        <f>IF($A125&lt;&gt;"",'All Cases - Enter Cases'!J125,"")</f>
        <v/>
      </c>
      <c r="K125" s="4" t="str">
        <f>IF($A125&lt;&gt;"",'All Cases - Enter Cases'!K125,"")</f>
        <v/>
      </c>
      <c r="L125" s="4" t="str">
        <f>IF($A125&lt;&gt;"",'All Cases - Enter Cases'!L125,"")</f>
        <v/>
      </c>
      <c r="M125" t="str">
        <f>IF($A125&lt;&gt;"",'All Cases - Enter Cases'!M125,"")</f>
        <v/>
      </c>
    </row>
    <row r="126" spans="1:13" x14ac:dyDescent="0.35">
      <c r="A126" s="4" t="str">
        <f>IF('All Cases - Enter Cases'!$F126="Punjab",'All Cases - Enter Cases'!A126,"")</f>
        <v/>
      </c>
      <c r="B126" t="str">
        <f>IF($A126&lt;&gt;"",'All Cases - Enter Cases'!B126,"")</f>
        <v/>
      </c>
      <c r="C126" t="str">
        <f>IF($A126&lt;&gt;"",'All Cases - Enter Cases'!C126,"")</f>
        <v/>
      </c>
      <c r="D126" t="str">
        <f>IF($A126&lt;&gt;"",'All Cases - Enter Cases'!D126,"")</f>
        <v/>
      </c>
      <c r="E126" t="str">
        <f>IF($A126&lt;&gt;"",'All Cases - Enter Cases'!E126,"")</f>
        <v/>
      </c>
      <c r="F126" t="str">
        <f>IF($A126&lt;&gt;"",'All Cases - Enter Cases'!F126,"")</f>
        <v/>
      </c>
      <c r="G126" t="str">
        <f>IF($A126&lt;&gt;"",'All Cases - Enter Cases'!G126,"")</f>
        <v/>
      </c>
      <c r="H126" t="str">
        <f>IF($A126&lt;&gt;"",'All Cases - Enter Cases'!H126,"")</f>
        <v/>
      </c>
      <c r="I126" t="str">
        <f>IF($A126&lt;&gt;"",'All Cases - Enter Cases'!I126,"")</f>
        <v/>
      </c>
      <c r="J126" s="4" t="str">
        <f>IF($A126&lt;&gt;"",'All Cases - Enter Cases'!J126,"")</f>
        <v/>
      </c>
      <c r="K126" s="4" t="str">
        <f>IF($A126&lt;&gt;"",'All Cases - Enter Cases'!K126,"")</f>
        <v/>
      </c>
      <c r="L126" s="4" t="str">
        <f>IF($A126&lt;&gt;"",'All Cases - Enter Cases'!L126,"")</f>
        <v/>
      </c>
      <c r="M126" t="str">
        <f>IF($A126&lt;&gt;"",'All Cases - Enter Cases'!M126,"")</f>
        <v/>
      </c>
    </row>
    <row r="127" spans="1:13" x14ac:dyDescent="0.35">
      <c r="A127" s="4" t="str">
        <f>IF('All Cases - Enter Cases'!$F127="Punjab",'All Cases - Enter Cases'!A127,"")</f>
        <v/>
      </c>
      <c r="B127" t="str">
        <f>IF($A127&lt;&gt;"",'All Cases - Enter Cases'!B127,"")</f>
        <v/>
      </c>
      <c r="C127" t="str">
        <f>IF($A127&lt;&gt;"",'All Cases - Enter Cases'!C127,"")</f>
        <v/>
      </c>
      <c r="D127" t="str">
        <f>IF($A127&lt;&gt;"",'All Cases - Enter Cases'!D127,"")</f>
        <v/>
      </c>
      <c r="E127" t="str">
        <f>IF($A127&lt;&gt;"",'All Cases - Enter Cases'!E127,"")</f>
        <v/>
      </c>
      <c r="F127" t="str">
        <f>IF($A127&lt;&gt;"",'All Cases - Enter Cases'!F127,"")</f>
        <v/>
      </c>
      <c r="G127" t="str">
        <f>IF($A127&lt;&gt;"",'All Cases - Enter Cases'!G127,"")</f>
        <v/>
      </c>
      <c r="H127" t="str">
        <f>IF($A127&lt;&gt;"",'All Cases - Enter Cases'!H127,"")</f>
        <v/>
      </c>
      <c r="I127" t="str">
        <f>IF($A127&lt;&gt;"",'All Cases - Enter Cases'!I127,"")</f>
        <v/>
      </c>
      <c r="J127" s="4" t="str">
        <f>IF($A127&lt;&gt;"",'All Cases - Enter Cases'!J127,"")</f>
        <v/>
      </c>
      <c r="K127" s="4" t="str">
        <f>IF($A127&lt;&gt;"",'All Cases - Enter Cases'!K127,"")</f>
        <v/>
      </c>
      <c r="L127" s="4" t="str">
        <f>IF($A127&lt;&gt;"",'All Cases - Enter Cases'!L127,"")</f>
        <v/>
      </c>
      <c r="M127" t="str">
        <f>IF($A127&lt;&gt;"",'All Cases - Enter Cases'!M127,"")</f>
        <v/>
      </c>
    </row>
    <row r="128" spans="1:13" x14ac:dyDescent="0.35">
      <c r="A128" s="4" t="str">
        <f>IF('All Cases - Enter Cases'!$F128="Punjab",'All Cases - Enter Cases'!A128,"")</f>
        <v/>
      </c>
      <c r="B128" t="str">
        <f>IF($A128&lt;&gt;"",'All Cases - Enter Cases'!B128,"")</f>
        <v/>
      </c>
      <c r="C128" t="str">
        <f>IF($A128&lt;&gt;"",'All Cases - Enter Cases'!C128,"")</f>
        <v/>
      </c>
      <c r="D128" t="str">
        <f>IF($A128&lt;&gt;"",'All Cases - Enter Cases'!D128,"")</f>
        <v/>
      </c>
      <c r="E128" t="str">
        <f>IF($A128&lt;&gt;"",'All Cases - Enter Cases'!E128,"")</f>
        <v/>
      </c>
      <c r="F128" t="str">
        <f>IF($A128&lt;&gt;"",'All Cases - Enter Cases'!F128,"")</f>
        <v/>
      </c>
      <c r="G128" t="str">
        <f>IF($A128&lt;&gt;"",'All Cases - Enter Cases'!G128,"")</f>
        <v/>
      </c>
      <c r="H128" t="str">
        <f>IF($A128&lt;&gt;"",'All Cases - Enter Cases'!H128,"")</f>
        <v/>
      </c>
      <c r="I128" t="str">
        <f>IF($A128&lt;&gt;"",'All Cases - Enter Cases'!I128,"")</f>
        <v/>
      </c>
      <c r="J128" s="4" t="str">
        <f>IF($A128&lt;&gt;"",'All Cases - Enter Cases'!J128,"")</f>
        <v/>
      </c>
      <c r="K128" s="4" t="str">
        <f>IF($A128&lt;&gt;"",'All Cases - Enter Cases'!K128,"")</f>
        <v/>
      </c>
      <c r="L128" s="4" t="str">
        <f>IF($A128&lt;&gt;"",'All Cases - Enter Cases'!L128,"")</f>
        <v/>
      </c>
      <c r="M128" t="str">
        <f>IF($A128&lt;&gt;"",'All Cases - Enter Cases'!M128,"")</f>
        <v/>
      </c>
    </row>
    <row r="129" spans="1:13" x14ac:dyDescent="0.35">
      <c r="A129" s="4" t="str">
        <f>IF('All Cases - Enter Cases'!$F129="Punjab",'All Cases - Enter Cases'!A129,"")</f>
        <v/>
      </c>
      <c r="B129" t="str">
        <f>IF($A129&lt;&gt;"",'All Cases - Enter Cases'!B129,"")</f>
        <v/>
      </c>
      <c r="C129" t="str">
        <f>IF($A129&lt;&gt;"",'All Cases - Enter Cases'!C129,"")</f>
        <v/>
      </c>
      <c r="D129" t="str">
        <f>IF($A129&lt;&gt;"",'All Cases - Enter Cases'!D129,"")</f>
        <v/>
      </c>
      <c r="E129" t="str">
        <f>IF($A129&lt;&gt;"",'All Cases - Enter Cases'!E129,"")</f>
        <v/>
      </c>
      <c r="F129" t="str">
        <f>IF($A129&lt;&gt;"",'All Cases - Enter Cases'!F129,"")</f>
        <v/>
      </c>
      <c r="G129" t="str">
        <f>IF($A129&lt;&gt;"",'All Cases - Enter Cases'!G129,"")</f>
        <v/>
      </c>
      <c r="H129" t="str">
        <f>IF($A129&lt;&gt;"",'All Cases - Enter Cases'!H129,"")</f>
        <v/>
      </c>
      <c r="I129" t="str">
        <f>IF($A129&lt;&gt;"",'All Cases - Enter Cases'!I129,"")</f>
        <v/>
      </c>
      <c r="J129" s="4" t="str">
        <f>IF($A129&lt;&gt;"",'All Cases - Enter Cases'!J129,"")</f>
        <v/>
      </c>
      <c r="K129" s="4" t="str">
        <f>IF($A129&lt;&gt;"",'All Cases - Enter Cases'!K129,"")</f>
        <v/>
      </c>
      <c r="L129" s="4" t="str">
        <f>IF($A129&lt;&gt;"",'All Cases - Enter Cases'!L129,"")</f>
        <v/>
      </c>
      <c r="M129" t="str">
        <f>IF($A129&lt;&gt;"",'All Cases - Enter Cases'!M129,"")</f>
        <v/>
      </c>
    </row>
    <row r="130" spans="1:13" x14ac:dyDescent="0.35">
      <c r="A130" s="4" t="str">
        <f>IF('All Cases - Enter Cases'!$F130="Punjab",'All Cases - Enter Cases'!A130,"")</f>
        <v/>
      </c>
      <c r="B130" t="str">
        <f>IF($A130&lt;&gt;"",'All Cases - Enter Cases'!B130,"")</f>
        <v/>
      </c>
      <c r="C130" t="str">
        <f>IF($A130&lt;&gt;"",'All Cases - Enter Cases'!C130,"")</f>
        <v/>
      </c>
      <c r="D130" t="str">
        <f>IF($A130&lt;&gt;"",'All Cases - Enter Cases'!D130,"")</f>
        <v/>
      </c>
      <c r="E130" t="str">
        <f>IF($A130&lt;&gt;"",'All Cases - Enter Cases'!E130,"")</f>
        <v/>
      </c>
      <c r="F130" t="str">
        <f>IF($A130&lt;&gt;"",'All Cases - Enter Cases'!F130,"")</f>
        <v/>
      </c>
      <c r="G130" t="str">
        <f>IF($A130&lt;&gt;"",'All Cases - Enter Cases'!G130,"")</f>
        <v/>
      </c>
      <c r="H130" t="str">
        <f>IF($A130&lt;&gt;"",'All Cases - Enter Cases'!H130,"")</f>
        <v/>
      </c>
      <c r="I130" t="str">
        <f>IF($A130&lt;&gt;"",'All Cases - Enter Cases'!I130,"")</f>
        <v/>
      </c>
      <c r="J130" s="4" t="str">
        <f>IF($A130&lt;&gt;"",'All Cases - Enter Cases'!J130,"")</f>
        <v/>
      </c>
      <c r="K130" s="4" t="str">
        <f>IF($A130&lt;&gt;"",'All Cases - Enter Cases'!K130,"")</f>
        <v/>
      </c>
      <c r="L130" s="4" t="str">
        <f>IF($A130&lt;&gt;"",'All Cases - Enter Cases'!L130,"")</f>
        <v/>
      </c>
      <c r="M130" t="str">
        <f>IF($A130&lt;&gt;"",'All Cases - Enter Cases'!M130,"")</f>
        <v/>
      </c>
    </row>
    <row r="131" spans="1:13" x14ac:dyDescent="0.35">
      <c r="A131" s="4" t="str">
        <f>IF('All Cases - Enter Cases'!$F131="Punjab",'All Cases - Enter Cases'!A131,"")</f>
        <v/>
      </c>
      <c r="B131" t="str">
        <f>IF($A131&lt;&gt;"",'All Cases - Enter Cases'!B131,"")</f>
        <v/>
      </c>
      <c r="C131" t="str">
        <f>IF($A131&lt;&gt;"",'All Cases - Enter Cases'!C131,"")</f>
        <v/>
      </c>
      <c r="D131" t="str">
        <f>IF($A131&lt;&gt;"",'All Cases - Enter Cases'!D131,"")</f>
        <v/>
      </c>
      <c r="E131" t="str">
        <f>IF($A131&lt;&gt;"",'All Cases - Enter Cases'!E131,"")</f>
        <v/>
      </c>
      <c r="F131" t="str">
        <f>IF($A131&lt;&gt;"",'All Cases - Enter Cases'!F131,"")</f>
        <v/>
      </c>
      <c r="G131" t="str">
        <f>IF($A131&lt;&gt;"",'All Cases - Enter Cases'!G131,"")</f>
        <v/>
      </c>
      <c r="H131" t="str">
        <f>IF($A131&lt;&gt;"",'All Cases - Enter Cases'!H131,"")</f>
        <v/>
      </c>
      <c r="I131" t="str">
        <f>IF($A131&lt;&gt;"",'All Cases - Enter Cases'!I131,"")</f>
        <v/>
      </c>
      <c r="J131" s="4" t="str">
        <f>IF($A131&lt;&gt;"",'All Cases - Enter Cases'!J131,"")</f>
        <v/>
      </c>
      <c r="K131" s="4" t="str">
        <f>IF($A131&lt;&gt;"",'All Cases - Enter Cases'!K131,"")</f>
        <v/>
      </c>
      <c r="L131" s="4" t="str">
        <f>IF($A131&lt;&gt;"",'All Cases - Enter Cases'!L131,"")</f>
        <v/>
      </c>
      <c r="M131" t="str">
        <f>IF($A131&lt;&gt;"",'All Cases - Enter Cases'!M131,"")</f>
        <v/>
      </c>
    </row>
    <row r="132" spans="1:13" x14ac:dyDescent="0.35">
      <c r="A132" s="4" t="str">
        <f>IF('All Cases - Enter Cases'!$F132="Punjab",'All Cases - Enter Cases'!A132,"")</f>
        <v/>
      </c>
      <c r="B132" t="str">
        <f>IF($A132&lt;&gt;"",'All Cases - Enter Cases'!B132,"")</f>
        <v/>
      </c>
      <c r="C132" t="str">
        <f>IF($A132&lt;&gt;"",'All Cases - Enter Cases'!C132,"")</f>
        <v/>
      </c>
      <c r="D132" t="str">
        <f>IF($A132&lt;&gt;"",'All Cases - Enter Cases'!D132,"")</f>
        <v/>
      </c>
      <c r="E132" t="str">
        <f>IF($A132&lt;&gt;"",'All Cases - Enter Cases'!E132,"")</f>
        <v/>
      </c>
      <c r="F132" t="str">
        <f>IF($A132&lt;&gt;"",'All Cases - Enter Cases'!F132,"")</f>
        <v/>
      </c>
      <c r="G132" t="str">
        <f>IF($A132&lt;&gt;"",'All Cases - Enter Cases'!G132,"")</f>
        <v/>
      </c>
      <c r="H132" t="str">
        <f>IF($A132&lt;&gt;"",'All Cases - Enter Cases'!H132,"")</f>
        <v/>
      </c>
      <c r="I132" t="str">
        <f>IF($A132&lt;&gt;"",'All Cases - Enter Cases'!I132,"")</f>
        <v/>
      </c>
      <c r="J132" s="4" t="str">
        <f>IF($A132&lt;&gt;"",'All Cases - Enter Cases'!J132,"")</f>
        <v/>
      </c>
      <c r="K132" s="4" t="str">
        <f>IF($A132&lt;&gt;"",'All Cases - Enter Cases'!K132,"")</f>
        <v/>
      </c>
      <c r="L132" s="4" t="str">
        <f>IF($A132&lt;&gt;"",'All Cases - Enter Cases'!L132,"")</f>
        <v/>
      </c>
      <c r="M132" t="str">
        <f>IF($A132&lt;&gt;"",'All Cases - Enter Cases'!M132,"")</f>
        <v/>
      </c>
    </row>
    <row r="133" spans="1:13" x14ac:dyDescent="0.35">
      <c r="A133" s="4" t="str">
        <f>IF('All Cases - Enter Cases'!$F133="Punjab",'All Cases - Enter Cases'!A133,"")</f>
        <v/>
      </c>
      <c r="B133" t="str">
        <f>IF($A133&lt;&gt;"",'All Cases - Enter Cases'!B133,"")</f>
        <v/>
      </c>
      <c r="C133" t="str">
        <f>IF($A133&lt;&gt;"",'All Cases - Enter Cases'!C133,"")</f>
        <v/>
      </c>
      <c r="D133" t="str">
        <f>IF($A133&lt;&gt;"",'All Cases - Enter Cases'!D133,"")</f>
        <v/>
      </c>
      <c r="E133" t="str">
        <f>IF($A133&lt;&gt;"",'All Cases - Enter Cases'!E133,"")</f>
        <v/>
      </c>
      <c r="F133" t="str">
        <f>IF($A133&lt;&gt;"",'All Cases - Enter Cases'!F133,"")</f>
        <v/>
      </c>
      <c r="G133" t="str">
        <f>IF($A133&lt;&gt;"",'All Cases - Enter Cases'!G133,"")</f>
        <v/>
      </c>
      <c r="H133" t="str">
        <f>IF($A133&lt;&gt;"",'All Cases - Enter Cases'!H133,"")</f>
        <v/>
      </c>
      <c r="I133" t="str">
        <f>IF($A133&lt;&gt;"",'All Cases - Enter Cases'!I133,"")</f>
        <v/>
      </c>
      <c r="J133" s="4" t="str">
        <f>IF($A133&lt;&gt;"",'All Cases - Enter Cases'!J133,"")</f>
        <v/>
      </c>
      <c r="K133" s="4" t="str">
        <f>IF($A133&lt;&gt;"",'All Cases - Enter Cases'!K133,"")</f>
        <v/>
      </c>
      <c r="L133" s="4" t="str">
        <f>IF($A133&lt;&gt;"",'All Cases - Enter Cases'!L133,"")</f>
        <v/>
      </c>
      <c r="M133" t="str">
        <f>IF($A133&lt;&gt;"",'All Cases - Enter Cases'!M133,"")</f>
        <v/>
      </c>
    </row>
    <row r="134" spans="1:13" x14ac:dyDescent="0.35">
      <c r="A134" s="4" t="str">
        <f>IF('All Cases - Enter Cases'!$F134="Punjab",'All Cases - Enter Cases'!A134,"")</f>
        <v/>
      </c>
      <c r="B134" t="str">
        <f>IF($A134&lt;&gt;"",'All Cases - Enter Cases'!B134,"")</f>
        <v/>
      </c>
      <c r="C134" t="str">
        <f>IF($A134&lt;&gt;"",'All Cases - Enter Cases'!C134,"")</f>
        <v/>
      </c>
      <c r="D134" t="str">
        <f>IF($A134&lt;&gt;"",'All Cases - Enter Cases'!D134,"")</f>
        <v/>
      </c>
      <c r="E134" t="str">
        <f>IF($A134&lt;&gt;"",'All Cases - Enter Cases'!E134,"")</f>
        <v/>
      </c>
      <c r="F134" t="str">
        <f>IF($A134&lt;&gt;"",'All Cases - Enter Cases'!F134,"")</f>
        <v/>
      </c>
      <c r="G134" t="str">
        <f>IF($A134&lt;&gt;"",'All Cases - Enter Cases'!G134,"")</f>
        <v/>
      </c>
      <c r="H134" t="str">
        <f>IF($A134&lt;&gt;"",'All Cases - Enter Cases'!H134,"")</f>
        <v/>
      </c>
      <c r="I134" t="str">
        <f>IF($A134&lt;&gt;"",'All Cases - Enter Cases'!I134,"")</f>
        <v/>
      </c>
      <c r="J134" s="4" t="str">
        <f>IF($A134&lt;&gt;"",'All Cases - Enter Cases'!J134,"")</f>
        <v/>
      </c>
      <c r="K134" s="4" t="str">
        <f>IF($A134&lt;&gt;"",'All Cases - Enter Cases'!K134,"")</f>
        <v/>
      </c>
      <c r="L134" s="4" t="str">
        <f>IF($A134&lt;&gt;"",'All Cases - Enter Cases'!L134,"")</f>
        <v/>
      </c>
      <c r="M134" t="str">
        <f>IF($A134&lt;&gt;"",'All Cases - Enter Cases'!M134,"")</f>
        <v/>
      </c>
    </row>
    <row r="135" spans="1:13" x14ac:dyDescent="0.35">
      <c r="A135" s="4" t="str">
        <f>IF('All Cases - Enter Cases'!$F135="Punjab",'All Cases - Enter Cases'!A135,"")</f>
        <v/>
      </c>
      <c r="B135" t="str">
        <f>IF($A135&lt;&gt;"",'All Cases - Enter Cases'!B135,"")</f>
        <v/>
      </c>
      <c r="C135" t="str">
        <f>IF($A135&lt;&gt;"",'All Cases - Enter Cases'!C135,"")</f>
        <v/>
      </c>
      <c r="D135" t="str">
        <f>IF($A135&lt;&gt;"",'All Cases - Enter Cases'!D135,"")</f>
        <v/>
      </c>
      <c r="E135" t="str">
        <f>IF($A135&lt;&gt;"",'All Cases - Enter Cases'!E135,"")</f>
        <v/>
      </c>
      <c r="F135" t="str">
        <f>IF($A135&lt;&gt;"",'All Cases - Enter Cases'!F135,"")</f>
        <v/>
      </c>
      <c r="G135" t="str">
        <f>IF($A135&lt;&gt;"",'All Cases - Enter Cases'!G135,"")</f>
        <v/>
      </c>
      <c r="H135" t="str">
        <f>IF($A135&lt;&gt;"",'All Cases - Enter Cases'!H135,"")</f>
        <v/>
      </c>
      <c r="I135" t="str">
        <f>IF($A135&lt;&gt;"",'All Cases - Enter Cases'!I135,"")</f>
        <v/>
      </c>
      <c r="J135" s="4" t="str">
        <f>IF($A135&lt;&gt;"",'All Cases - Enter Cases'!J135,"")</f>
        <v/>
      </c>
      <c r="K135" s="4" t="str">
        <f>IF($A135&lt;&gt;"",'All Cases - Enter Cases'!K135,"")</f>
        <v/>
      </c>
      <c r="L135" s="4" t="str">
        <f>IF($A135&lt;&gt;"",'All Cases - Enter Cases'!L135,"")</f>
        <v/>
      </c>
      <c r="M135" t="str">
        <f>IF($A135&lt;&gt;"",'All Cases - Enter Cases'!M135,"")</f>
        <v/>
      </c>
    </row>
    <row r="136" spans="1:13" x14ac:dyDescent="0.35">
      <c r="A136" s="4" t="str">
        <f>IF('All Cases - Enter Cases'!$F136="Punjab",'All Cases - Enter Cases'!A136,"")</f>
        <v/>
      </c>
      <c r="B136" t="str">
        <f>IF($A136&lt;&gt;"",'All Cases - Enter Cases'!B136,"")</f>
        <v/>
      </c>
      <c r="C136" t="str">
        <f>IF($A136&lt;&gt;"",'All Cases - Enter Cases'!C136,"")</f>
        <v/>
      </c>
      <c r="D136" t="str">
        <f>IF($A136&lt;&gt;"",'All Cases - Enter Cases'!D136,"")</f>
        <v/>
      </c>
      <c r="E136" t="str">
        <f>IF($A136&lt;&gt;"",'All Cases - Enter Cases'!E136,"")</f>
        <v/>
      </c>
      <c r="F136" t="str">
        <f>IF($A136&lt;&gt;"",'All Cases - Enter Cases'!F136,"")</f>
        <v/>
      </c>
      <c r="G136" t="str">
        <f>IF($A136&lt;&gt;"",'All Cases - Enter Cases'!G136,"")</f>
        <v/>
      </c>
      <c r="H136" t="str">
        <f>IF($A136&lt;&gt;"",'All Cases - Enter Cases'!H136,"")</f>
        <v/>
      </c>
      <c r="I136" t="str">
        <f>IF($A136&lt;&gt;"",'All Cases - Enter Cases'!I136,"")</f>
        <v/>
      </c>
      <c r="J136" s="4" t="str">
        <f>IF($A136&lt;&gt;"",'All Cases - Enter Cases'!J136,"")</f>
        <v/>
      </c>
      <c r="K136" s="4" t="str">
        <f>IF($A136&lt;&gt;"",'All Cases - Enter Cases'!K136,"")</f>
        <v/>
      </c>
      <c r="L136" s="4" t="str">
        <f>IF($A136&lt;&gt;"",'All Cases - Enter Cases'!L136,"")</f>
        <v/>
      </c>
      <c r="M136" t="str">
        <f>IF($A136&lt;&gt;"",'All Cases - Enter Cases'!M136,"")</f>
        <v/>
      </c>
    </row>
    <row r="137" spans="1:13" x14ac:dyDescent="0.35">
      <c r="A137" s="4" t="str">
        <f>IF('All Cases - Enter Cases'!$F137="Punjab",'All Cases - Enter Cases'!A137,"")</f>
        <v/>
      </c>
      <c r="B137" t="str">
        <f>IF($A137&lt;&gt;"",'All Cases - Enter Cases'!B137,"")</f>
        <v/>
      </c>
      <c r="C137" t="str">
        <f>IF($A137&lt;&gt;"",'All Cases - Enter Cases'!C137,"")</f>
        <v/>
      </c>
      <c r="D137" t="str">
        <f>IF($A137&lt;&gt;"",'All Cases - Enter Cases'!D137,"")</f>
        <v/>
      </c>
      <c r="E137" t="str">
        <f>IF($A137&lt;&gt;"",'All Cases - Enter Cases'!E137,"")</f>
        <v/>
      </c>
      <c r="F137" t="str">
        <f>IF($A137&lt;&gt;"",'All Cases - Enter Cases'!F137,"")</f>
        <v/>
      </c>
      <c r="G137" t="str">
        <f>IF($A137&lt;&gt;"",'All Cases - Enter Cases'!G137,"")</f>
        <v/>
      </c>
      <c r="H137" t="str">
        <f>IF($A137&lt;&gt;"",'All Cases - Enter Cases'!H137,"")</f>
        <v/>
      </c>
      <c r="I137" t="str">
        <f>IF($A137&lt;&gt;"",'All Cases - Enter Cases'!I137,"")</f>
        <v/>
      </c>
      <c r="J137" s="4" t="str">
        <f>IF($A137&lt;&gt;"",'All Cases - Enter Cases'!J137,"")</f>
        <v/>
      </c>
      <c r="K137" s="4" t="str">
        <f>IF($A137&lt;&gt;"",'All Cases - Enter Cases'!K137,"")</f>
        <v/>
      </c>
      <c r="L137" s="4" t="str">
        <f>IF($A137&lt;&gt;"",'All Cases - Enter Cases'!L137,"")</f>
        <v/>
      </c>
      <c r="M137" t="str">
        <f>IF($A137&lt;&gt;"",'All Cases - Enter Cases'!M137,"")</f>
        <v/>
      </c>
    </row>
    <row r="138" spans="1:13" x14ac:dyDescent="0.35">
      <c r="A138" s="4" t="str">
        <f>IF('All Cases - Enter Cases'!$F138="Punjab",'All Cases - Enter Cases'!A138,"")</f>
        <v/>
      </c>
      <c r="B138" t="str">
        <f>IF($A138&lt;&gt;"",'All Cases - Enter Cases'!B138,"")</f>
        <v/>
      </c>
      <c r="C138" t="str">
        <f>IF($A138&lt;&gt;"",'All Cases - Enter Cases'!C138,"")</f>
        <v/>
      </c>
      <c r="D138" t="str">
        <f>IF($A138&lt;&gt;"",'All Cases - Enter Cases'!D138,"")</f>
        <v/>
      </c>
      <c r="E138" t="str">
        <f>IF($A138&lt;&gt;"",'All Cases - Enter Cases'!E138,"")</f>
        <v/>
      </c>
      <c r="F138" t="str">
        <f>IF($A138&lt;&gt;"",'All Cases - Enter Cases'!F138,"")</f>
        <v/>
      </c>
      <c r="G138" t="str">
        <f>IF($A138&lt;&gt;"",'All Cases - Enter Cases'!G138,"")</f>
        <v/>
      </c>
      <c r="H138" t="str">
        <f>IF($A138&lt;&gt;"",'All Cases - Enter Cases'!H138,"")</f>
        <v/>
      </c>
      <c r="I138" t="str">
        <f>IF($A138&lt;&gt;"",'All Cases - Enter Cases'!I138,"")</f>
        <v/>
      </c>
      <c r="J138" s="4" t="str">
        <f>IF($A138&lt;&gt;"",'All Cases - Enter Cases'!J138,"")</f>
        <v/>
      </c>
      <c r="K138" s="4" t="str">
        <f>IF($A138&lt;&gt;"",'All Cases - Enter Cases'!K138,"")</f>
        <v/>
      </c>
      <c r="L138" s="4" t="str">
        <f>IF($A138&lt;&gt;"",'All Cases - Enter Cases'!L138,"")</f>
        <v/>
      </c>
      <c r="M138" t="str">
        <f>IF($A138&lt;&gt;"",'All Cases - Enter Cases'!M138,"")</f>
        <v/>
      </c>
    </row>
    <row r="139" spans="1:13" x14ac:dyDescent="0.35">
      <c r="A139" s="4" t="str">
        <f>IF('All Cases - Enter Cases'!$F139="Punjab",'All Cases - Enter Cases'!A139,"")</f>
        <v/>
      </c>
      <c r="B139" t="str">
        <f>IF($A139&lt;&gt;"",'All Cases - Enter Cases'!B139,"")</f>
        <v/>
      </c>
      <c r="C139" t="str">
        <f>IF($A139&lt;&gt;"",'All Cases - Enter Cases'!C139,"")</f>
        <v/>
      </c>
      <c r="D139" t="str">
        <f>IF($A139&lt;&gt;"",'All Cases - Enter Cases'!D139,"")</f>
        <v/>
      </c>
      <c r="E139" t="str">
        <f>IF($A139&lt;&gt;"",'All Cases - Enter Cases'!E139,"")</f>
        <v/>
      </c>
      <c r="F139" t="str">
        <f>IF($A139&lt;&gt;"",'All Cases - Enter Cases'!F139,"")</f>
        <v/>
      </c>
      <c r="G139" t="str">
        <f>IF($A139&lt;&gt;"",'All Cases - Enter Cases'!G139,"")</f>
        <v/>
      </c>
      <c r="H139" t="str">
        <f>IF($A139&lt;&gt;"",'All Cases - Enter Cases'!H139,"")</f>
        <v/>
      </c>
      <c r="I139" t="str">
        <f>IF($A139&lt;&gt;"",'All Cases - Enter Cases'!I139,"")</f>
        <v/>
      </c>
      <c r="J139" s="4" t="str">
        <f>IF($A139&lt;&gt;"",'All Cases - Enter Cases'!J139,"")</f>
        <v/>
      </c>
      <c r="K139" s="4" t="str">
        <f>IF($A139&lt;&gt;"",'All Cases - Enter Cases'!K139,"")</f>
        <v/>
      </c>
      <c r="L139" s="4" t="str">
        <f>IF($A139&lt;&gt;"",'All Cases - Enter Cases'!L139,"")</f>
        <v/>
      </c>
      <c r="M139" t="str">
        <f>IF($A139&lt;&gt;"",'All Cases - Enter Cases'!M139,"")</f>
        <v/>
      </c>
    </row>
    <row r="140" spans="1:13" x14ac:dyDescent="0.35">
      <c r="A140" s="4" t="str">
        <f>IF('All Cases - Enter Cases'!$F140="Punjab",'All Cases - Enter Cases'!A140,"")</f>
        <v/>
      </c>
      <c r="B140" t="str">
        <f>IF($A140&lt;&gt;"",'All Cases - Enter Cases'!B140,"")</f>
        <v/>
      </c>
      <c r="C140" t="str">
        <f>IF($A140&lt;&gt;"",'All Cases - Enter Cases'!C140,"")</f>
        <v/>
      </c>
      <c r="D140" t="str">
        <f>IF($A140&lt;&gt;"",'All Cases - Enter Cases'!D140,"")</f>
        <v/>
      </c>
      <c r="E140" t="str">
        <f>IF($A140&lt;&gt;"",'All Cases - Enter Cases'!E140,"")</f>
        <v/>
      </c>
      <c r="F140" t="str">
        <f>IF($A140&lt;&gt;"",'All Cases - Enter Cases'!F140,"")</f>
        <v/>
      </c>
      <c r="G140" t="str">
        <f>IF($A140&lt;&gt;"",'All Cases - Enter Cases'!G140,"")</f>
        <v/>
      </c>
      <c r="H140" t="str">
        <f>IF($A140&lt;&gt;"",'All Cases - Enter Cases'!H140,"")</f>
        <v/>
      </c>
      <c r="I140" t="str">
        <f>IF($A140&lt;&gt;"",'All Cases - Enter Cases'!I140,"")</f>
        <v/>
      </c>
      <c r="J140" s="4" t="str">
        <f>IF($A140&lt;&gt;"",'All Cases - Enter Cases'!J140,"")</f>
        <v/>
      </c>
      <c r="K140" s="4" t="str">
        <f>IF($A140&lt;&gt;"",'All Cases - Enter Cases'!K140,"")</f>
        <v/>
      </c>
      <c r="L140" s="4" t="str">
        <f>IF($A140&lt;&gt;"",'All Cases - Enter Cases'!L140,"")</f>
        <v/>
      </c>
      <c r="M140" t="str">
        <f>IF($A140&lt;&gt;"",'All Cases - Enter Cases'!M140,"")</f>
        <v/>
      </c>
    </row>
    <row r="141" spans="1:13" x14ac:dyDescent="0.35">
      <c r="A141" s="4" t="str">
        <f>IF('All Cases - Enter Cases'!$F141="Punjab",'All Cases - Enter Cases'!A141,"")</f>
        <v/>
      </c>
      <c r="B141" t="str">
        <f>IF($A141&lt;&gt;"",'All Cases - Enter Cases'!B141,"")</f>
        <v/>
      </c>
      <c r="C141" t="str">
        <f>IF($A141&lt;&gt;"",'All Cases - Enter Cases'!C141,"")</f>
        <v/>
      </c>
      <c r="D141" t="str">
        <f>IF($A141&lt;&gt;"",'All Cases - Enter Cases'!D141,"")</f>
        <v/>
      </c>
      <c r="E141" t="str">
        <f>IF($A141&lt;&gt;"",'All Cases - Enter Cases'!E141,"")</f>
        <v/>
      </c>
      <c r="F141" t="str">
        <f>IF($A141&lt;&gt;"",'All Cases - Enter Cases'!F141,"")</f>
        <v/>
      </c>
      <c r="G141" t="str">
        <f>IF($A141&lt;&gt;"",'All Cases - Enter Cases'!G141,"")</f>
        <v/>
      </c>
      <c r="H141" t="str">
        <f>IF($A141&lt;&gt;"",'All Cases - Enter Cases'!H141,"")</f>
        <v/>
      </c>
      <c r="I141" t="str">
        <f>IF($A141&lt;&gt;"",'All Cases - Enter Cases'!I141,"")</f>
        <v/>
      </c>
      <c r="J141" s="4" t="str">
        <f>IF($A141&lt;&gt;"",'All Cases - Enter Cases'!J141,"")</f>
        <v/>
      </c>
      <c r="K141" s="4" t="str">
        <f>IF($A141&lt;&gt;"",'All Cases - Enter Cases'!K141,"")</f>
        <v/>
      </c>
      <c r="L141" s="4" t="str">
        <f>IF($A141&lt;&gt;"",'All Cases - Enter Cases'!L141,"")</f>
        <v/>
      </c>
      <c r="M141" t="str">
        <f>IF($A141&lt;&gt;"",'All Cases - Enter Cases'!M141,"")</f>
        <v/>
      </c>
    </row>
    <row r="142" spans="1:13" x14ac:dyDescent="0.35">
      <c r="A142" s="4" t="str">
        <f>IF('All Cases - Enter Cases'!$F142="Punjab",'All Cases - Enter Cases'!A142,"")</f>
        <v/>
      </c>
      <c r="B142" t="str">
        <f>IF($A142&lt;&gt;"",'All Cases - Enter Cases'!B142,"")</f>
        <v/>
      </c>
      <c r="C142" t="str">
        <f>IF($A142&lt;&gt;"",'All Cases - Enter Cases'!C142,"")</f>
        <v/>
      </c>
      <c r="D142" t="str">
        <f>IF($A142&lt;&gt;"",'All Cases - Enter Cases'!D142,"")</f>
        <v/>
      </c>
      <c r="E142" t="str">
        <f>IF($A142&lt;&gt;"",'All Cases - Enter Cases'!E142,"")</f>
        <v/>
      </c>
      <c r="F142" t="str">
        <f>IF($A142&lt;&gt;"",'All Cases - Enter Cases'!F142,"")</f>
        <v/>
      </c>
      <c r="G142" t="str">
        <f>IF($A142&lt;&gt;"",'All Cases - Enter Cases'!G142,"")</f>
        <v/>
      </c>
      <c r="H142" t="str">
        <f>IF($A142&lt;&gt;"",'All Cases - Enter Cases'!H142,"")</f>
        <v/>
      </c>
      <c r="I142" t="str">
        <f>IF($A142&lt;&gt;"",'All Cases - Enter Cases'!I142,"")</f>
        <v/>
      </c>
      <c r="J142" s="4" t="str">
        <f>IF($A142&lt;&gt;"",'All Cases - Enter Cases'!J142,"")</f>
        <v/>
      </c>
      <c r="K142" s="4" t="str">
        <f>IF($A142&lt;&gt;"",'All Cases - Enter Cases'!K142,"")</f>
        <v/>
      </c>
      <c r="L142" s="4" t="str">
        <f>IF($A142&lt;&gt;"",'All Cases - Enter Cases'!L142,"")</f>
        <v/>
      </c>
      <c r="M142" t="str">
        <f>IF($A142&lt;&gt;"",'All Cases - Enter Cases'!M142,"")</f>
        <v/>
      </c>
    </row>
    <row r="143" spans="1:13" x14ac:dyDescent="0.35">
      <c r="A143" s="4" t="str">
        <f>IF('All Cases - Enter Cases'!$F143="Punjab",'All Cases - Enter Cases'!A143,"")</f>
        <v/>
      </c>
      <c r="B143" t="str">
        <f>IF($A143&lt;&gt;"",'All Cases - Enter Cases'!B143,"")</f>
        <v/>
      </c>
      <c r="C143" t="str">
        <f>IF($A143&lt;&gt;"",'All Cases - Enter Cases'!C143,"")</f>
        <v/>
      </c>
      <c r="D143" t="str">
        <f>IF($A143&lt;&gt;"",'All Cases - Enter Cases'!D143,"")</f>
        <v/>
      </c>
      <c r="E143" t="str">
        <f>IF($A143&lt;&gt;"",'All Cases - Enter Cases'!E143,"")</f>
        <v/>
      </c>
      <c r="F143" t="str">
        <f>IF($A143&lt;&gt;"",'All Cases - Enter Cases'!F143,"")</f>
        <v/>
      </c>
      <c r="G143" t="str">
        <f>IF($A143&lt;&gt;"",'All Cases - Enter Cases'!G143,"")</f>
        <v/>
      </c>
      <c r="H143" t="str">
        <f>IF($A143&lt;&gt;"",'All Cases - Enter Cases'!H143,"")</f>
        <v/>
      </c>
      <c r="I143" t="str">
        <f>IF($A143&lt;&gt;"",'All Cases - Enter Cases'!I143,"")</f>
        <v/>
      </c>
      <c r="J143" s="4" t="str">
        <f>IF($A143&lt;&gt;"",'All Cases - Enter Cases'!J143,"")</f>
        <v/>
      </c>
      <c r="K143" s="4" t="str">
        <f>IF($A143&lt;&gt;"",'All Cases - Enter Cases'!K143,"")</f>
        <v/>
      </c>
      <c r="L143" s="4" t="str">
        <f>IF($A143&lt;&gt;"",'All Cases - Enter Cases'!L143,"")</f>
        <v/>
      </c>
      <c r="M143" t="str">
        <f>IF($A143&lt;&gt;"",'All Cases - Enter Cases'!M143,"")</f>
        <v/>
      </c>
    </row>
    <row r="144" spans="1:13" x14ac:dyDescent="0.35">
      <c r="A144" s="4" t="str">
        <f>IF('All Cases - Enter Cases'!$F144="Punjab",'All Cases - Enter Cases'!A144,"")</f>
        <v/>
      </c>
      <c r="B144" t="str">
        <f>IF($A144&lt;&gt;"",'All Cases - Enter Cases'!B144,"")</f>
        <v/>
      </c>
      <c r="C144" t="str">
        <f>IF($A144&lt;&gt;"",'All Cases - Enter Cases'!C144,"")</f>
        <v/>
      </c>
      <c r="D144" t="str">
        <f>IF($A144&lt;&gt;"",'All Cases - Enter Cases'!D144,"")</f>
        <v/>
      </c>
      <c r="E144" t="str">
        <f>IF($A144&lt;&gt;"",'All Cases - Enter Cases'!E144,"")</f>
        <v/>
      </c>
      <c r="F144" t="str">
        <f>IF($A144&lt;&gt;"",'All Cases - Enter Cases'!F144,"")</f>
        <v/>
      </c>
      <c r="G144" t="str">
        <f>IF($A144&lt;&gt;"",'All Cases - Enter Cases'!G144,"")</f>
        <v/>
      </c>
      <c r="H144" t="str">
        <f>IF($A144&lt;&gt;"",'All Cases - Enter Cases'!H144,"")</f>
        <v/>
      </c>
      <c r="I144" t="str">
        <f>IF($A144&lt;&gt;"",'All Cases - Enter Cases'!I144,"")</f>
        <v/>
      </c>
      <c r="J144" s="4" t="str">
        <f>IF($A144&lt;&gt;"",'All Cases - Enter Cases'!J144,"")</f>
        <v/>
      </c>
      <c r="K144" s="4" t="str">
        <f>IF($A144&lt;&gt;"",'All Cases - Enter Cases'!K144,"")</f>
        <v/>
      </c>
      <c r="L144" s="4" t="str">
        <f>IF($A144&lt;&gt;"",'All Cases - Enter Cases'!L144,"")</f>
        <v/>
      </c>
      <c r="M144" t="str">
        <f>IF($A144&lt;&gt;"",'All Cases - Enter Cases'!M144,"")</f>
        <v/>
      </c>
    </row>
    <row r="145" spans="1:13" x14ac:dyDescent="0.35">
      <c r="A145" s="4" t="str">
        <f>IF('All Cases - Enter Cases'!$F145="Punjab",'All Cases - Enter Cases'!A145,"")</f>
        <v/>
      </c>
      <c r="B145" t="str">
        <f>IF($A145&lt;&gt;"",'All Cases - Enter Cases'!B145,"")</f>
        <v/>
      </c>
      <c r="C145" t="str">
        <f>IF($A145&lt;&gt;"",'All Cases - Enter Cases'!C145,"")</f>
        <v/>
      </c>
      <c r="D145" t="str">
        <f>IF($A145&lt;&gt;"",'All Cases - Enter Cases'!D145,"")</f>
        <v/>
      </c>
      <c r="E145" t="str">
        <f>IF($A145&lt;&gt;"",'All Cases - Enter Cases'!E145,"")</f>
        <v/>
      </c>
      <c r="F145" t="str">
        <f>IF($A145&lt;&gt;"",'All Cases - Enter Cases'!F145,"")</f>
        <v/>
      </c>
      <c r="G145" t="str">
        <f>IF($A145&lt;&gt;"",'All Cases - Enter Cases'!G145,"")</f>
        <v/>
      </c>
      <c r="H145" t="str">
        <f>IF($A145&lt;&gt;"",'All Cases - Enter Cases'!H145,"")</f>
        <v/>
      </c>
      <c r="I145" t="str">
        <f>IF($A145&lt;&gt;"",'All Cases - Enter Cases'!I145,"")</f>
        <v/>
      </c>
      <c r="J145" s="4" t="str">
        <f>IF($A145&lt;&gt;"",'All Cases - Enter Cases'!J145,"")</f>
        <v/>
      </c>
      <c r="K145" s="4" t="str">
        <f>IF($A145&lt;&gt;"",'All Cases - Enter Cases'!K145,"")</f>
        <v/>
      </c>
      <c r="L145" s="4" t="str">
        <f>IF($A145&lt;&gt;"",'All Cases - Enter Cases'!L145,"")</f>
        <v/>
      </c>
      <c r="M145" t="str">
        <f>IF($A145&lt;&gt;"",'All Cases - Enter Cases'!M145,"")</f>
        <v/>
      </c>
    </row>
    <row r="146" spans="1:13" x14ac:dyDescent="0.35">
      <c r="A146" s="4" t="str">
        <f>IF('All Cases - Enter Cases'!$F146="Punjab",'All Cases - Enter Cases'!A146,"")</f>
        <v/>
      </c>
      <c r="B146" t="str">
        <f>IF($A146&lt;&gt;"",'All Cases - Enter Cases'!B146,"")</f>
        <v/>
      </c>
      <c r="C146" t="str">
        <f>IF($A146&lt;&gt;"",'All Cases - Enter Cases'!C146,"")</f>
        <v/>
      </c>
      <c r="D146" t="str">
        <f>IF($A146&lt;&gt;"",'All Cases - Enter Cases'!D146,"")</f>
        <v/>
      </c>
      <c r="E146" t="str">
        <f>IF($A146&lt;&gt;"",'All Cases - Enter Cases'!E146,"")</f>
        <v/>
      </c>
      <c r="F146" t="str">
        <f>IF($A146&lt;&gt;"",'All Cases - Enter Cases'!F146,"")</f>
        <v/>
      </c>
      <c r="G146" t="str">
        <f>IF($A146&lt;&gt;"",'All Cases - Enter Cases'!G146,"")</f>
        <v/>
      </c>
      <c r="H146" t="str">
        <f>IF($A146&lt;&gt;"",'All Cases - Enter Cases'!H146,"")</f>
        <v/>
      </c>
      <c r="I146" t="str">
        <f>IF($A146&lt;&gt;"",'All Cases - Enter Cases'!I146,"")</f>
        <v/>
      </c>
      <c r="J146" s="4" t="str">
        <f>IF($A146&lt;&gt;"",'All Cases - Enter Cases'!J146,"")</f>
        <v/>
      </c>
      <c r="K146" s="4" t="str">
        <f>IF($A146&lt;&gt;"",'All Cases - Enter Cases'!K146,"")</f>
        <v/>
      </c>
      <c r="L146" s="4" t="str">
        <f>IF($A146&lt;&gt;"",'All Cases - Enter Cases'!L146,"")</f>
        <v/>
      </c>
      <c r="M146" t="str">
        <f>IF($A146&lt;&gt;"",'All Cases - Enter Cases'!M146,"")</f>
        <v/>
      </c>
    </row>
    <row r="147" spans="1:13" x14ac:dyDescent="0.35">
      <c r="A147" s="4" t="str">
        <f>IF('All Cases - Enter Cases'!$F147="Punjab",'All Cases - Enter Cases'!A147,"")</f>
        <v/>
      </c>
      <c r="B147" t="str">
        <f>IF($A147&lt;&gt;"",'All Cases - Enter Cases'!B147,"")</f>
        <v/>
      </c>
      <c r="C147" t="str">
        <f>IF($A147&lt;&gt;"",'All Cases - Enter Cases'!C147,"")</f>
        <v/>
      </c>
      <c r="D147" t="str">
        <f>IF($A147&lt;&gt;"",'All Cases - Enter Cases'!D147,"")</f>
        <v/>
      </c>
      <c r="E147" t="str">
        <f>IF($A147&lt;&gt;"",'All Cases - Enter Cases'!E147,"")</f>
        <v/>
      </c>
      <c r="F147" t="str">
        <f>IF($A147&lt;&gt;"",'All Cases - Enter Cases'!F147,"")</f>
        <v/>
      </c>
      <c r="G147" t="str">
        <f>IF($A147&lt;&gt;"",'All Cases - Enter Cases'!G147,"")</f>
        <v/>
      </c>
      <c r="H147" t="str">
        <f>IF($A147&lt;&gt;"",'All Cases - Enter Cases'!H147,"")</f>
        <v/>
      </c>
      <c r="I147" t="str">
        <f>IF($A147&lt;&gt;"",'All Cases - Enter Cases'!I147,"")</f>
        <v/>
      </c>
      <c r="J147" s="4" t="str">
        <f>IF($A147&lt;&gt;"",'All Cases - Enter Cases'!J147,"")</f>
        <v/>
      </c>
      <c r="K147" s="4" t="str">
        <f>IF($A147&lt;&gt;"",'All Cases - Enter Cases'!K147,"")</f>
        <v/>
      </c>
      <c r="L147" s="4" t="str">
        <f>IF($A147&lt;&gt;"",'All Cases - Enter Cases'!L147,"")</f>
        <v/>
      </c>
      <c r="M147" t="str">
        <f>IF($A147&lt;&gt;"",'All Cases - Enter Cases'!M147,"")</f>
        <v/>
      </c>
    </row>
    <row r="148" spans="1:13" x14ac:dyDescent="0.35">
      <c r="A148" s="4" t="str">
        <f>IF('All Cases - Enter Cases'!$F148="Punjab",'All Cases - Enter Cases'!A148,"")</f>
        <v/>
      </c>
      <c r="B148" t="str">
        <f>IF($A148&lt;&gt;"",'All Cases - Enter Cases'!B148,"")</f>
        <v/>
      </c>
      <c r="C148" t="str">
        <f>IF($A148&lt;&gt;"",'All Cases - Enter Cases'!C148,"")</f>
        <v/>
      </c>
      <c r="D148" t="str">
        <f>IF($A148&lt;&gt;"",'All Cases - Enter Cases'!D148,"")</f>
        <v/>
      </c>
      <c r="E148" t="str">
        <f>IF($A148&lt;&gt;"",'All Cases - Enter Cases'!E148,"")</f>
        <v/>
      </c>
      <c r="F148" t="str">
        <f>IF($A148&lt;&gt;"",'All Cases - Enter Cases'!F148,"")</f>
        <v/>
      </c>
      <c r="G148" t="str">
        <f>IF($A148&lt;&gt;"",'All Cases - Enter Cases'!G148,"")</f>
        <v/>
      </c>
      <c r="H148" t="str">
        <f>IF($A148&lt;&gt;"",'All Cases - Enter Cases'!H148,"")</f>
        <v/>
      </c>
      <c r="I148" t="str">
        <f>IF($A148&lt;&gt;"",'All Cases - Enter Cases'!I148,"")</f>
        <v/>
      </c>
      <c r="J148" s="4" t="str">
        <f>IF($A148&lt;&gt;"",'All Cases - Enter Cases'!J148,"")</f>
        <v/>
      </c>
      <c r="K148" s="4" t="str">
        <f>IF($A148&lt;&gt;"",'All Cases - Enter Cases'!K148,"")</f>
        <v/>
      </c>
      <c r="L148" s="4" t="str">
        <f>IF($A148&lt;&gt;"",'All Cases - Enter Cases'!L148,"")</f>
        <v/>
      </c>
      <c r="M148" t="str">
        <f>IF($A148&lt;&gt;"",'All Cases - Enter Cases'!M148,"")</f>
        <v/>
      </c>
    </row>
    <row r="149" spans="1:13" x14ac:dyDescent="0.35">
      <c r="A149" s="4" t="str">
        <f>IF('All Cases - Enter Cases'!$F149="Punjab",'All Cases - Enter Cases'!A149,"")</f>
        <v/>
      </c>
      <c r="B149" t="str">
        <f>IF($A149&lt;&gt;"",'All Cases - Enter Cases'!B149,"")</f>
        <v/>
      </c>
      <c r="C149" t="str">
        <f>IF($A149&lt;&gt;"",'All Cases - Enter Cases'!C149,"")</f>
        <v/>
      </c>
      <c r="D149" t="str">
        <f>IF($A149&lt;&gt;"",'All Cases - Enter Cases'!D149,"")</f>
        <v/>
      </c>
      <c r="E149" t="str">
        <f>IF($A149&lt;&gt;"",'All Cases - Enter Cases'!E149,"")</f>
        <v/>
      </c>
      <c r="F149" t="str">
        <f>IF($A149&lt;&gt;"",'All Cases - Enter Cases'!F149,"")</f>
        <v/>
      </c>
      <c r="G149" t="str">
        <f>IF($A149&lt;&gt;"",'All Cases - Enter Cases'!G149,"")</f>
        <v/>
      </c>
      <c r="H149" t="str">
        <f>IF($A149&lt;&gt;"",'All Cases - Enter Cases'!H149,"")</f>
        <v/>
      </c>
      <c r="I149" t="str">
        <f>IF($A149&lt;&gt;"",'All Cases - Enter Cases'!I149,"")</f>
        <v/>
      </c>
      <c r="J149" s="4" t="str">
        <f>IF($A149&lt;&gt;"",'All Cases - Enter Cases'!J149,"")</f>
        <v/>
      </c>
      <c r="K149" s="4" t="str">
        <f>IF($A149&lt;&gt;"",'All Cases - Enter Cases'!K149,"")</f>
        <v/>
      </c>
      <c r="L149" s="4" t="str">
        <f>IF($A149&lt;&gt;"",'All Cases - Enter Cases'!L149,"")</f>
        <v/>
      </c>
      <c r="M149" t="str">
        <f>IF($A149&lt;&gt;"",'All Cases - Enter Cases'!M149,"")</f>
        <v/>
      </c>
    </row>
    <row r="150" spans="1:13" x14ac:dyDescent="0.35">
      <c r="A150" s="4" t="str">
        <f>IF('All Cases - Enter Cases'!$F150="Punjab",'All Cases - Enter Cases'!A150,"")</f>
        <v/>
      </c>
      <c r="B150" t="str">
        <f>IF($A150&lt;&gt;"",'All Cases - Enter Cases'!B150,"")</f>
        <v/>
      </c>
      <c r="C150" t="str">
        <f>IF($A150&lt;&gt;"",'All Cases - Enter Cases'!C150,"")</f>
        <v/>
      </c>
      <c r="D150" t="str">
        <f>IF($A150&lt;&gt;"",'All Cases - Enter Cases'!D150,"")</f>
        <v/>
      </c>
      <c r="E150" t="str">
        <f>IF($A150&lt;&gt;"",'All Cases - Enter Cases'!E150,"")</f>
        <v/>
      </c>
      <c r="F150" t="str">
        <f>IF($A150&lt;&gt;"",'All Cases - Enter Cases'!F150,"")</f>
        <v/>
      </c>
      <c r="G150" t="str">
        <f>IF($A150&lt;&gt;"",'All Cases - Enter Cases'!G150,"")</f>
        <v/>
      </c>
      <c r="H150" t="str">
        <f>IF($A150&lt;&gt;"",'All Cases - Enter Cases'!H150,"")</f>
        <v/>
      </c>
      <c r="I150" t="str">
        <f>IF($A150&lt;&gt;"",'All Cases - Enter Cases'!I150,"")</f>
        <v/>
      </c>
      <c r="J150" s="4" t="str">
        <f>IF($A150&lt;&gt;"",'All Cases - Enter Cases'!J150,"")</f>
        <v/>
      </c>
      <c r="K150" s="4" t="str">
        <f>IF($A150&lt;&gt;"",'All Cases - Enter Cases'!K150,"")</f>
        <v/>
      </c>
      <c r="L150" s="4" t="str">
        <f>IF($A150&lt;&gt;"",'All Cases - Enter Cases'!L150,"")</f>
        <v/>
      </c>
      <c r="M150" t="str">
        <f>IF($A150&lt;&gt;"",'All Cases - Enter Cases'!M150,"")</f>
        <v/>
      </c>
    </row>
    <row r="151" spans="1:13" x14ac:dyDescent="0.35">
      <c r="A151" s="4" t="str">
        <f>IF('All Cases - Enter Cases'!$F151="Punjab",'All Cases - Enter Cases'!A151,"")</f>
        <v/>
      </c>
      <c r="B151" t="str">
        <f>IF($A151&lt;&gt;"",'All Cases - Enter Cases'!B151,"")</f>
        <v/>
      </c>
      <c r="C151" t="str">
        <f>IF($A151&lt;&gt;"",'All Cases - Enter Cases'!C151,"")</f>
        <v/>
      </c>
      <c r="D151" t="str">
        <f>IF($A151&lt;&gt;"",'All Cases - Enter Cases'!D151,"")</f>
        <v/>
      </c>
      <c r="E151" t="str">
        <f>IF($A151&lt;&gt;"",'All Cases - Enter Cases'!E151,"")</f>
        <v/>
      </c>
      <c r="F151" t="str">
        <f>IF($A151&lt;&gt;"",'All Cases - Enter Cases'!F151,"")</f>
        <v/>
      </c>
      <c r="G151" t="str">
        <f>IF($A151&lt;&gt;"",'All Cases - Enter Cases'!G151,"")</f>
        <v/>
      </c>
      <c r="H151" t="str">
        <f>IF($A151&lt;&gt;"",'All Cases - Enter Cases'!H151,"")</f>
        <v/>
      </c>
      <c r="I151" t="str">
        <f>IF($A151&lt;&gt;"",'All Cases - Enter Cases'!I151,"")</f>
        <v/>
      </c>
      <c r="J151" s="4" t="str">
        <f>IF($A151&lt;&gt;"",'All Cases - Enter Cases'!J151,"")</f>
        <v/>
      </c>
      <c r="K151" s="4" t="str">
        <f>IF($A151&lt;&gt;"",'All Cases - Enter Cases'!K151,"")</f>
        <v/>
      </c>
      <c r="L151" s="4" t="str">
        <f>IF($A151&lt;&gt;"",'All Cases - Enter Cases'!L151,"")</f>
        <v/>
      </c>
      <c r="M151" t="str">
        <f>IF($A151&lt;&gt;"",'All Cases - Enter Cases'!M151,"")</f>
        <v/>
      </c>
    </row>
    <row r="152" spans="1:13" x14ac:dyDescent="0.35">
      <c r="A152" s="4" t="str">
        <f>IF('All Cases - Enter Cases'!$F152="Punjab",'All Cases - Enter Cases'!A152,"")</f>
        <v/>
      </c>
      <c r="B152" t="str">
        <f>IF($A152&lt;&gt;"",'All Cases - Enter Cases'!B152,"")</f>
        <v/>
      </c>
      <c r="C152" t="str">
        <f>IF($A152&lt;&gt;"",'All Cases - Enter Cases'!C152,"")</f>
        <v/>
      </c>
      <c r="D152" t="str">
        <f>IF($A152&lt;&gt;"",'All Cases - Enter Cases'!D152,"")</f>
        <v/>
      </c>
      <c r="E152" t="str">
        <f>IF($A152&lt;&gt;"",'All Cases - Enter Cases'!E152,"")</f>
        <v/>
      </c>
      <c r="F152" t="str">
        <f>IF($A152&lt;&gt;"",'All Cases - Enter Cases'!F152,"")</f>
        <v/>
      </c>
      <c r="G152" t="str">
        <f>IF($A152&lt;&gt;"",'All Cases - Enter Cases'!G152,"")</f>
        <v/>
      </c>
      <c r="H152" t="str">
        <f>IF($A152&lt;&gt;"",'All Cases - Enter Cases'!H152,"")</f>
        <v/>
      </c>
      <c r="I152" t="str">
        <f>IF($A152&lt;&gt;"",'All Cases - Enter Cases'!I152,"")</f>
        <v/>
      </c>
      <c r="J152" s="4" t="str">
        <f>IF($A152&lt;&gt;"",'All Cases - Enter Cases'!J152,"")</f>
        <v/>
      </c>
      <c r="K152" s="4" t="str">
        <f>IF($A152&lt;&gt;"",'All Cases - Enter Cases'!K152,"")</f>
        <v/>
      </c>
      <c r="L152" s="4" t="str">
        <f>IF($A152&lt;&gt;"",'All Cases - Enter Cases'!L152,"")</f>
        <v/>
      </c>
      <c r="M152" t="str">
        <f>IF($A152&lt;&gt;"",'All Cases - Enter Cases'!M152,"")</f>
        <v/>
      </c>
    </row>
    <row r="153" spans="1:13" x14ac:dyDescent="0.35">
      <c r="A153" s="4" t="str">
        <f>IF('All Cases - Enter Cases'!$F153="Punjab",'All Cases - Enter Cases'!A153,"")</f>
        <v/>
      </c>
      <c r="B153" t="str">
        <f>IF($A153&lt;&gt;"",'All Cases - Enter Cases'!B153,"")</f>
        <v/>
      </c>
      <c r="C153" t="str">
        <f>IF($A153&lt;&gt;"",'All Cases - Enter Cases'!C153,"")</f>
        <v/>
      </c>
      <c r="D153" t="str">
        <f>IF($A153&lt;&gt;"",'All Cases - Enter Cases'!D153,"")</f>
        <v/>
      </c>
      <c r="E153" t="str">
        <f>IF($A153&lt;&gt;"",'All Cases - Enter Cases'!E153,"")</f>
        <v/>
      </c>
      <c r="F153" t="str">
        <f>IF($A153&lt;&gt;"",'All Cases - Enter Cases'!F153,"")</f>
        <v/>
      </c>
      <c r="G153" t="str">
        <f>IF($A153&lt;&gt;"",'All Cases - Enter Cases'!G153,"")</f>
        <v/>
      </c>
      <c r="H153" t="str">
        <f>IF($A153&lt;&gt;"",'All Cases - Enter Cases'!H153,"")</f>
        <v/>
      </c>
      <c r="I153" t="str">
        <f>IF($A153&lt;&gt;"",'All Cases - Enter Cases'!I153,"")</f>
        <v/>
      </c>
      <c r="J153" s="4" t="str">
        <f>IF($A153&lt;&gt;"",'All Cases - Enter Cases'!J153,"")</f>
        <v/>
      </c>
      <c r="K153" s="4" t="str">
        <f>IF($A153&lt;&gt;"",'All Cases - Enter Cases'!K153,"")</f>
        <v/>
      </c>
      <c r="L153" s="4" t="str">
        <f>IF($A153&lt;&gt;"",'All Cases - Enter Cases'!L153,"")</f>
        <v/>
      </c>
      <c r="M153" t="str">
        <f>IF($A153&lt;&gt;"",'All Cases - Enter Cases'!M153,"")</f>
        <v/>
      </c>
    </row>
    <row r="154" spans="1:13" x14ac:dyDescent="0.35">
      <c r="A154" s="4" t="str">
        <f>IF('All Cases - Enter Cases'!$F154="Punjab",'All Cases - Enter Cases'!A154,"")</f>
        <v/>
      </c>
      <c r="B154" t="str">
        <f>IF($A154&lt;&gt;"",'All Cases - Enter Cases'!B154,"")</f>
        <v/>
      </c>
      <c r="C154" t="str">
        <f>IF($A154&lt;&gt;"",'All Cases - Enter Cases'!C154,"")</f>
        <v/>
      </c>
      <c r="D154" t="str">
        <f>IF($A154&lt;&gt;"",'All Cases - Enter Cases'!D154,"")</f>
        <v/>
      </c>
      <c r="E154" t="str">
        <f>IF($A154&lt;&gt;"",'All Cases - Enter Cases'!E154,"")</f>
        <v/>
      </c>
      <c r="F154" t="str">
        <f>IF($A154&lt;&gt;"",'All Cases - Enter Cases'!F154,"")</f>
        <v/>
      </c>
      <c r="G154" t="str">
        <f>IF($A154&lt;&gt;"",'All Cases - Enter Cases'!G154,"")</f>
        <v/>
      </c>
      <c r="H154" t="str">
        <f>IF($A154&lt;&gt;"",'All Cases - Enter Cases'!H154,"")</f>
        <v/>
      </c>
      <c r="I154" t="str">
        <f>IF($A154&lt;&gt;"",'All Cases - Enter Cases'!I154,"")</f>
        <v/>
      </c>
      <c r="J154" s="4" t="str">
        <f>IF($A154&lt;&gt;"",'All Cases - Enter Cases'!J154,"")</f>
        <v/>
      </c>
      <c r="K154" s="4" t="str">
        <f>IF($A154&lt;&gt;"",'All Cases - Enter Cases'!K154,"")</f>
        <v/>
      </c>
      <c r="L154" s="4" t="str">
        <f>IF($A154&lt;&gt;"",'All Cases - Enter Cases'!L154,"")</f>
        <v/>
      </c>
      <c r="M154" t="str">
        <f>IF($A154&lt;&gt;"",'All Cases - Enter Cases'!M154,"")</f>
        <v/>
      </c>
    </row>
    <row r="155" spans="1:13" x14ac:dyDescent="0.35">
      <c r="A155" s="4" t="str">
        <f>IF('All Cases - Enter Cases'!$F155="Punjab",'All Cases - Enter Cases'!A155,"")</f>
        <v/>
      </c>
      <c r="B155" t="str">
        <f>IF($A155&lt;&gt;"",'All Cases - Enter Cases'!B155,"")</f>
        <v/>
      </c>
      <c r="C155" t="str">
        <f>IF($A155&lt;&gt;"",'All Cases - Enter Cases'!C155,"")</f>
        <v/>
      </c>
      <c r="D155" t="str">
        <f>IF($A155&lt;&gt;"",'All Cases - Enter Cases'!D155,"")</f>
        <v/>
      </c>
      <c r="E155" t="str">
        <f>IF($A155&lt;&gt;"",'All Cases - Enter Cases'!E155,"")</f>
        <v/>
      </c>
      <c r="F155" t="str">
        <f>IF($A155&lt;&gt;"",'All Cases - Enter Cases'!F155,"")</f>
        <v/>
      </c>
      <c r="G155" t="str">
        <f>IF($A155&lt;&gt;"",'All Cases - Enter Cases'!G155,"")</f>
        <v/>
      </c>
      <c r="H155" t="str">
        <f>IF($A155&lt;&gt;"",'All Cases - Enter Cases'!H155,"")</f>
        <v/>
      </c>
      <c r="I155" t="str">
        <f>IF($A155&lt;&gt;"",'All Cases - Enter Cases'!I155,"")</f>
        <v/>
      </c>
      <c r="J155" s="4" t="str">
        <f>IF($A155&lt;&gt;"",'All Cases - Enter Cases'!J155,"")</f>
        <v/>
      </c>
      <c r="K155" s="4" t="str">
        <f>IF($A155&lt;&gt;"",'All Cases - Enter Cases'!K155,"")</f>
        <v/>
      </c>
      <c r="L155" s="4" t="str">
        <f>IF($A155&lt;&gt;"",'All Cases - Enter Cases'!L155,"")</f>
        <v/>
      </c>
      <c r="M155" t="str">
        <f>IF($A155&lt;&gt;"",'All Cases - Enter Cases'!M155,"")</f>
        <v/>
      </c>
    </row>
    <row r="156" spans="1:13" x14ac:dyDescent="0.35">
      <c r="A156" s="4" t="str">
        <f>IF('All Cases - Enter Cases'!$F156="Punjab",'All Cases - Enter Cases'!A156,"")</f>
        <v/>
      </c>
      <c r="B156" t="str">
        <f>IF($A156&lt;&gt;"",'All Cases - Enter Cases'!B156,"")</f>
        <v/>
      </c>
      <c r="C156" t="str">
        <f>IF($A156&lt;&gt;"",'All Cases - Enter Cases'!C156,"")</f>
        <v/>
      </c>
      <c r="D156" t="str">
        <f>IF($A156&lt;&gt;"",'All Cases - Enter Cases'!D156,"")</f>
        <v/>
      </c>
      <c r="E156" t="str">
        <f>IF($A156&lt;&gt;"",'All Cases - Enter Cases'!E156,"")</f>
        <v/>
      </c>
      <c r="F156" t="str">
        <f>IF($A156&lt;&gt;"",'All Cases - Enter Cases'!F156,"")</f>
        <v/>
      </c>
      <c r="G156" t="str">
        <f>IF($A156&lt;&gt;"",'All Cases - Enter Cases'!G156,"")</f>
        <v/>
      </c>
      <c r="H156" t="str">
        <f>IF($A156&lt;&gt;"",'All Cases - Enter Cases'!H156,"")</f>
        <v/>
      </c>
      <c r="I156" t="str">
        <f>IF($A156&lt;&gt;"",'All Cases - Enter Cases'!I156,"")</f>
        <v/>
      </c>
      <c r="J156" s="4" t="str">
        <f>IF($A156&lt;&gt;"",'All Cases - Enter Cases'!J156,"")</f>
        <v/>
      </c>
      <c r="K156" s="4" t="str">
        <f>IF($A156&lt;&gt;"",'All Cases - Enter Cases'!K156,"")</f>
        <v/>
      </c>
      <c r="L156" s="4" t="str">
        <f>IF($A156&lt;&gt;"",'All Cases - Enter Cases'!L156,"")</f>
        <v/>
      </c>
      <c r="M156" t="str">
        <f>IF($A156&lt;&gt;"",'All Cases - Enter Cases'!M156,"")</f>
        <v/>
      </c>
    </row>
    <row r="157" spans="1:13" x14ac:dyDescent="0.35">
      <c r="A157" s="4" t="str">
        <f>IF('All Cases - Enter Cases'!$F157="Punjab",'All Cases - Enter Cases'!A157,"")</f>
        <v/>
      </c>
      <c r="B157" t="str">
        <f>IF($A157&lt;&gt;"",'All Cases - Enter Cases'!B157,"")</f>
        <v/>
      </c>
      <c r="C157" t="str">
        <f>IF($A157&lt;&gt;"",'All Cases - Enter Cases'!C157,"")</f>
        <v/>
      </c>
      <c r="D157" t="str">
        <f>IF($A157&lt;&gt;"",'All Cases - Enter Cases'!D157,"")</f>
        <v/>
      </c>
      <c r="E157" t="str">
        <f>IF($A157&lt;&gt;"",'All Cases - Enter Cases'!E157,"")</f>
        <v/>
      </c>
      <c r="F157" t="str">
        <f>IF($A157&lt;&gt;"",'All Cases - Enter Cases'!F157,"")</f>
        <v/>
      </c>
      <c r="G157" t="str">
        <f>IF($A157&lt;&gt;"",'All Cases - Enter Cases'!G157,"")</f>
        <v/>
      </c>
      <c r="H157" t="str">
        <f>IF($A157&lt;&gt;"",'All Cases - Enter Cases'!H157,"")</f>
        <v/>
      </c>
      <c r="I157" t="str">
        <f>IF($A157&lt;&gt;"",'All Cases - Enter Cases'!I157,"")</f>
        <v/>
      </c>
      <c r="J157" s="4" t="str">
        <f>IF($A157&lt;&gt;"",'All Cases - Enter Cases'!J157,"")</f>
        <v/>
      </c>
      <c r="K157" s="4" t="str">
        <f>IF($A157&lt;&gt;"",'All Cases - Enter Cases'!K157,"")</f>
        <v/>
      </c>
      <c r="L157" s="4" t="str">
        <f>IF($A157&lt;&gt;"",'All Cases - Enter Cases'!L157,"")</f>
        <v/>
      </c>
      <c r="M157" t="str">
        <f>IF($A157&lt;&gt;"",'All Cases - Enter Cases'!M157,"")</f>
        <v/>
      </c>
    </row>
    <row r="158" spans="1:13" x14ac:dyDescent="0.35">
      <c r="A158" s="4" t="str">
        <f>IF('All Cases - Enter Cases'!$F158="Punjab",'All Cases - Enter Cases'!A158,"")</f>
        <v/>
      </c>
      <c r="B158" t="str">
        <f>IF($A158&lt;&gt;"",'All Cases - Enter Cases'!B158,"")</f>
        <v/>
      </c>
      <c r="C158" t="str">
        <f>IF($A158&lt;&gt;"",'All Cases - Enter Cases'!C158,"")</f>
        <v/>
      </c>
      <c r="D158" t="str">
        <f>IF($A158&lt;&gt;"",'All Cases - Enter Cases'!D158,"")</f>
        <v/>
      </c>
      <c r="E158" t="str">
        <f>IF($A158&lt;&gt;"",'All Cases - Enter Cases'!E158,"")</f>
        <v/>
      </c>
      <c r="F158" t="str">
        <f>IF($A158&lt;&gt;"",'All Cases - Enter Cases'!F158,"")</f>
        <v/>
      </c>
      <c r="G158" t="str">
        <f>IF($A158&lt;&gt;"",'All Cases - Enter Cases'!G158,"")</f>
        <v/>
      </c>
      <c r="H158" t="str">
        <f>IF($A158&lt;&gt;"",'All Cases - Enter Cases'!H158,"")</f>
        <v/>
      </c>
      <c r="I158" t="str">
        <f>IF($A158&lt;&gt;"",'All Cases - Enter Cases'!I158,"")</f>
        <v/>
      </c>
      <c r="J158" s="4" t="str">
        <f>IF($A158&lt;&gt;"",'All Cases - Enter Cases'!J158,"")</f>
        <v/>
      </c>
      <c r="K158" s="4" t="str">
        <f>IF($A158&lt;&gt;"",'All Cases - Enter Cases'!K158,"")</f>
        <v/>
      </c>
      <c r="L158" s="4" t="str">
        <f>IF($A158&lt;&gt;"",'All Cases - Enter Cases'!L158,"")</f>
        <v/>
      </c>
      <c r="M158" t="str">
        <f>IF($A158&lt;&gt;"",'All Cases - Enter Cases'!M158,"")</f>
        <v/>
      </c>
    </row>
    <row r="159" spans="1:13" x14ac:dyDescent="0.35">
      <c r="A159" s="4" t="str">
        <f>IF('All Cases - Enter Cases'!$F159="Punjab",'All Cases - Enter Cases'!A159,"")</f>
        <v/>
      </c>
      <c r="B159" t="str">
        <f>IF($A159&lt;&gt;"",'All Cases - Enter Cases'!B159,"")</f>
        <v/>
      </c>
      <c r="C159" t="str">
        <f>IF($A159&lt;&gt;"",'All Cases - Enter Cases'!C159,"")</f>
        <v/>
      </c>
      <c r="D159" t="str">
        <f>IF($A159&lt;&gt;"",'All Cases - Enter Cases'!D159,"")</f>
        <v/>
      </c>
      <c r="E159" t="str">
        <f>IF($A159&lt;&gt;"",'All Cases - Enter Cases'!E159,"")</f>
        <v/>
      </c>
      <c r="F159" t="str">
        <f>IF($A159&lt;&gt;"",'All Cases - Enter Cases'!F159,"")</f>
        <v/>
      </c>
      <c r="G159" t="str">
        <f>IF($A159&lt;&gt;"",'All Cases - Enter Cases'!G159,"")</f>
        <v/>
      </c>
      <c r="H159" t="str">
        <f>IF($A159&lt;&gt;"",'All Cases - Enter Cases'!H159,"")</f>
        <v/>
      </c>
      <c r="I159" t="str">
        <f>IF($A159&lt;&gt;"",'All Cases - Enter Cases'!I159,"")</f>
        <v/>
      </c>
      <c r="J159" s="4" t="str">
        <f>IF($A159&lt;&gt;"",'All Cases - Enter Cases'!J159,"")</f>
        <v/>
      </c>
      <c r="K159" s="4" t="str">
        <f>IF($A159&lt;&gt;"",'All Cases - Enter Cases'!K159,"")</f>
        <v/>
      </c>
      <c r="L159" s="4" t="str">
        <f>IF($A159&lt;&gt;"",'All Cases - Enter Cases'!L159,"")</f>
        <v/>
      </c>
      <c r="M159" t="str">
        <f>IF($A159&lt;&gt;"",'All Cases - Enter Cases'!M159,"")</f>
        <v/>
      </c>
    </row>
    <row r="160" spans="1:13" x14ac:dyDescent="0.35">
      <c r="A160" s="4" t="str">
        <f>IF('All Cases - Enter Cases'!$F160="Punjab",'All Cases - Enter Cases'!A160,"")</f>
        <v/>
      </c>
      <c r="B160" t="str">
        <f>IF($A160&lt;&gt;"",'All Cases - Enter Cases'!B160,"")</f>
        <v/>
      </c>
      <c r="C160" t="str">
        <f>IF($A160&lt;&gt;"",'All Cases - Enter Cases'!C160,"")</f>
        <v/>
      </c>
      <c r="D160" t="str">
        <f>IF($A160&lt;&gt;"",'All Cases - Enter Cases'!D160,"")</f>
        <v/>
      </c>
      <c r="E160" t="str">
        <f>IF($A160&lt;&gt;"",'All Cases - Enter Cases'!E160,"")</f>
        <v/>
      </c>
      <c r="F160" t="str">
        <f>IF($A160&lt;&gt;"",'All Cases - Enter Cases'!F160,"")</f>
        <v/>
      </c>
      <c r="G160" t="str">
        <f>IF($A160&lt;&gt;"",'All Cases - Enter Cases'!G160,"")</f>
        <v/>
      </c>
      <c r="H160" t="str">
        <f>IF($A160&lt;&gt;"",'All Cases - Enter Cases'!H160,"")</f>
        <v/>
      </c>
      <c r="I160" t="str">
        <f>IF($A160&lt;&gt;"",'All Cases - Enter Cases'!I160,"")</f>
        <v/>
      </c>
      <c r="J160" s="4" t="str">
        <f>IF($A160&lt;&gt;"",'All Cases - Enter Cases'!J160,"")</f>
        <v/>
      </c>
      <c r="K160" s="4" t="str">
        <f>IF($A160&lt;&gt;"",'All Cases - Enter Cases'!K160,"")</f>
        <v/>
      </c>
      <c r="L160" s="4" t="str">
        <f>IF($A160&lt;&gt;"",'All Cases - Enter Cases'!L160,"")</f>
        <v/>
      </c>
      <c r="M160" t="str">
        <f>IF($A160&lt;&gt;"",'All Cases - Enter Cases'!M160,"")</f>
        <v/>
      </c>
    </row>
    <row r="161" spans="1:13" x14ac:dyDescent="0.35">
      <c r="A161" s="4" t="str">
        <f>IF('All Cases - Enter Cases'!$F161="Punjab",'All Cases - Enter Cases'!A161,"")</f>
        <v/>
      </c>
      <c r="B161" t="str">
        <f>IF($A161&lt;&gt;"",'All Cases - Enter Cases'!B161,"")</f>
        <v/>
      </c>
      <c r="C161" t="str">
        <f>IF($A161&lt;&gt;"",'All Cases - Enter Cases'!C161,"")</f>
        <v/>
      </c>
      <c r="D161" t="str">
        <f>IF($A161&lt;&gt;"",'All Cases - Enter Cases'!D161,"")</f>
        <v/>
      </c>
      <c r="E161" t="str">
        <f>IF($A161&lt;&gt;"",'All Cases - Enter Cases'!E161,"")</f>
        <v/>
      </c>
      <c r="F161" t="str">
        <f>IF($A161&lt;&gt;"",'All Cases - Enter Cases'!F161,"")</f>
        <v/>
      </c>
      <c r="G161" t="str">
        <f>IF($A161&lt;&gt;"",'All Cases - Enter Cases'!G161,"")</f>
        <v/>
      </c>
      <c r="H161" t="str">
        <f>IF($A161&lt;&gt;"",'All Cases - Enter Cases'!H161,"")</f>
        <v/>
      </c>
      <c r="I161" t="str">
        <f>IF($A161&lt;&gt;"",'All Cases - Enter Cases'!I161,"")</f>
        <v/>
      </c>
      <c r="J161" s="4" t="str">
        <f>IF($A161&lt;&gt;"",'All Cases - Enter Cases'!J161,"")</f>
        <v/>
      </c>
      <c r="K161" s="4" t="str">
        <f>IF($A161&lt;&gt;"",'All Cases - Enter Cases'!K161,"")</f>
        <v/>
      </c>
      <c r="L161" s="4" t="str">
        <f>IF($A161&lt;&gt;"",'All Cases - Enter Cases'!L161,"")</f>
        <v/>
      </c>
      <c r="M161" t="str">
        <f>IF($A161&lt;&gt;"",'All Cases - Enter Cases'!M161,"")</f>
        <v/>
      </c>
    </row>
    <row r="162" spans="1:13" x14ac:dyDescent="0.35">
      <c r="A162" s="4" t="str">
        <f>IF('All Cases - Enter Cases'!$F162="Punjab",'All Cases - Enter Cases'!A162,"")</f>
        <v/>
      </c>
      <c r="B162" t="str">
        <f>IF($A162&lt;&gt;"",'All Cases - Enter Cases'!B162,"")</f>
        <v/>
      </c>
      <c r="C162" t="str">
        <f>IF($A162&lt;&gt;"",'All Cases - Enter Cases'!C162,"")</f>
        <v/>
      </c>
      <c r="D162" t="str">
        <f>IF($A162&lt;&gt;"",'All Cases - Enter Cases'!D162,"")</f>
        <v/>
      </c>
      <c r="E162" t="str">
        <f>IF($A162&lt;&gt;"",'All Cases - Enter Cases'!E162,"")</f>
        <v/>
      </c>
      <c r="F162" t="str">
        <f>IF($A162&lt;&gt;"",'All Cases - Enter Cases'!F162,"")</f>
        <v/>
      </c>
      <c r="G162" t="str">
        <f>IF($A162&lt;&gt;"",'All Cases - Enter Cases'!G162,"")</f>
        <v/>
      </c>
      <c r="H162" t="str">
        <f>IF($A162&lt;&gt;"",'All Cases - Enter Cases'!H162,"")</f>
        <v/>
      </c>
      <c r="I162" t="str">
        <f>IF($A162&lt;&gt;"",'All Cases - Enter Cases'!I162,"")</f>
        <v/>
      </c>
      <c r="J162" s="4" t="str">
        <f>IF($A162&lt;&gt;"",'All Cases - Enter Cases'!J162,"")</f>
        <v/>
      </c>
      <c r="K162" s="4" t="str">
        <f>IF($A162&lt;&gt;"",'All Cases - Enter Cases'!K162,"")</f>
        <v/>
      </c>
      <c r="L162" s="4" t="str">
        <f>IF($A162&lt;&gt;"",'All Cases - Enter Cases'!L162,"")</f>
        <v/>
      </c>
      <c r="M162" t="str">
        <f>IF($A162&lt;&gt;"",'All Cases - Enter Cases'!M162,"")</f>
        <v/>
      </c>
    </row>
    <row r="163" spans="1:13" x14ac:dyDescent="0.35">
      <c r="A163" s="4" t="str">
        <f>IF('All Cases - Enter Cases'!$F163="Punjab",'All Cases - Enter Cases'!A163,"")</f>
        <v/>
      </c>
      <c r="B163" t="str">
        <f>IF($A163&lt;&gt;"",'All Cases - Enter Cases'!B163,"")</f>
        <v/>
      </c>
      <c r="C163" t="str">
        <f>IF($A163&lt;&gt;"",'All Cases - Enter Cases'!C163,"")</f>
        <v/>
      </c>
      <c r="D163" t="str">
        <f>IF($A163&lt;&gt;"",'All Cases - Enter Cases'!D163,"")</f>
        <v/>
      </c>
      <c r="E163" t="str">
        <f>IF($A163&lt;&gt;"",'All Cases - Enter Cases'!E163,"")</f>
        <v/>
      </c>
      <c r="F163" t="str">
        <f>IF($A163&lt;&gt;"",'All Cases - Enter Cases'!F163,"")</f>
        <v/>
      </c>
      <c r="G163" t="str">
        <f>IF($A163&lt;&gt;"",'All Cases - Enter Cases'!G163,"")</f>
        <v/>
      </c>
      <c r="H163" t="str">
        <f>IF($A163&lt;&gt;"",'All Cases - Enter Cases'!H163,"")</f>
        <v/>
      </c>
      <c r="I163" t="str">
        <f>IF($A163&lt;&gt;"",'All Cases - Enter Cases'!I163,"")</f>
        <v/>
      </c>
      <c r="J163" s="4" t="str">
        <f>IF($A163&lt;&gt;"",'All Cases - Enter Cases'!J163,"")</f>
        <v/>
      </c>
      <c r="K163" s="4" t="str">
        <f>IF($A163&lt;&gt;"",'All Cases - Enter Cases'!K163,"")</f>
        <v/>
      </c>
      <c r="L163" s="4" t="str">
        <f>IF($A163&lt;&gt;"",'All Cases - Enter Cases'!L163,"")</f>
        <v/>
      </c>
      <c r="M163" t="str">
        <f>IF($A163&lt;&gt;"",'All Cases - Enter Cases'!M163,"")</f>
        <v/>
      </c>
    </row>
    <row r="164" spans="1:13" x14ac:dyDescent="0.35">
      <c r="A164" s="4" t="str">
        <f>IF('All Cases - Enter Cases'!$F164="Punjab",'All Cases - Enter Cases'!A164,"")</f>
        <v/>
      </c>
      <c r="B164" t="str">
        <f>IF($A164&lt;&gt;"",'All Cases - Enter Cases'!B164,"")</f>
        <v/>
      </c>
      <c r="C164" t="str">
        <f>IF($A164&lt;&gt;"",'All Cases - Enter Cases'!C164,"")</f>
        <v/>
      </c>
      <c r="D164" t="str">
        <f>IF($A164&lt;&gt;"",'All Cases - Enter Cases'!D164,"")</f>
        <v/>
      </c>
      <c r="E164" t="str">
        <f>IF($A164&lt;&gt;"",'All Cases - Enter Cases'!E164,"")</f>
        <v/>
      </c>
      <c r="F164" t="str">
        <f>IF($A164&lt;&gt;"",'All Cases - Enter Cases'!F164,"")</f>
        <v/>
      </c>
      <c r="G164" t="str">
        <f>IF($A164&lt;&gt;"",'All Cases - Enter Cases'!G164,"")</f>
        <v/>
      </c>
      <c r="H164" t="str">
        <f>IF($A164&lt;&gt;"",'All Cases - Enter Cases'!H164,"")</f>
        <v/>
      </c>
      <c r="I164" t="str">
        <f>IF($A164&lt;&gt;"",'All Cases - Enter Cases'!I164,"")</f>
        <v/>
      </c>
      <c r="J164" s="4" t="str">
        <f>IF($A164&lt;&gt;"",'All Cases - Enter Cases'!J164,"")</f>
        <v/>
      </c>
      <c r="K164" s="4" t="str">
        <f>IF($A164&lt;&gt;"",'All Cases - Enter Cases'!K164,"")</f>
        <v/>
      </c>
      <c r="L164" s="4" t="str">
        <f>IF($A164&lt;&gt;"",'All Cases - Enter Cases'!L164,"")</f>
        <v/>
      </c>
      <c r="M164" t="str">
        <f>IF($A164&lt;&gt;"",'All Cases - Enter Cases'!M164,"")</f>
        <v/>
      </c>
    </row>
    <row r="165" spans="1:13" x14ac:dyDescent="0.35">
      <c r="A165" s="4" t="str">
        <f>IF('All Cases - Enter Cases'!$F165="Punjab",'All Cases - Enter Cases'!A165,"")</f>
        <v/>
      </c>
      <c r="B165" t="str">
        <f>IF($A165&lt;&gt;"",'All Cases - Enter Cases'!B165,"")</f>
        <v/>
      </c>
      <c r="C165" t="str">
        <f>IF($A165&lt;&gt;"",'All Cases - Enter Cases'!C165,"")</f>
        <v/>
      </c>
      <c r="D165" t="str">
        <f>IF($A165&lt;&gt;"",'All Cases - Enter Cases'!D165,"")</f>
        <v/>
      </c>
      <c r="E165" t="str">
        <f>IF($A165&lt;&gt;"",'All Cases - Enter Cases'!E165,"")</f>
        <v/>
      </c>
      <c r="F165" t="str">
        <f>IF($A165&lt;&gt;"",'All Cases - Enter Cases'!F165,"")</f>
        <v/>
      </c>
      <c r="G165" t="str">
        <f>IF($A165&lt;&gt;"",'All Cases - Enter Cases'!G165,"")</f>
        <v/>
      </c>
      <c r="H165" t="str">
        <f>IF($A165&lt;&gt;"",'All Cases - Enter Cases'!H165,"")</f>
        <v/>
      </c>
      <c r="I165" t="str">
        <f>IF($A165&lt;&gt;"",'All Cases - Enter Cases'!I165,"")</f>
        <v/>
      </c>
      <c r="J165" s="4" t="str">
        <f>IF($A165&lt;&gt;"",'All Cases - Enter Cases'!J165,"")</f>
        <v/>
      </c>
      <c r="K165" s="4" t="str">
        <f>IF($A165&lt;&gt;"",'All Cases - Enter Cases'!K165,"")</f>
        <v/>
      </c>
      <c r="L165" s="4" t="str">
        <f>IF($A165&lt;&gt;"",'All Cases - Enter Cases'!L165,"")</f>
        <v/>
      </c>
      <c r="M165" t="str">
        <f>IF($A165&lt;&gt;"",'All Cases - Enter Cases'!M165,"")</f>
        <v/>
      </c>
    </row>
    <row r="166" spans="1:13" x14ac:dyDescent="0.35">
      <c r="A166" s="4" t="str">
        <f>IF('All Cases - Enter Cases'!$F166="Punjab",'All Cases - Enter Cases'!A166,"")</f>
        <v/>
      </c>
      <c r="B166" t="str">
        <f>IF($A166&lt;&gt;"",'All Cases - Enter Cases'!B166,"")</f>
        <v/>
      </c>
      <c r="C166" t="str">
        <f>IF($A166&lt;&gt;"",'All Cases - Enter Cases'!C166,"")</f>
        <v/>
      </c>
      <c r="D166" t="str">
        <f>IF($A166&lt;&gt;"",'All Cases - Enter Cases'!D166,"")</f>
        <v/>
      </c>
      <c r="E166" t="str">
        <f>IF($A166&lt;&gt;"",'All Cases - Enter Cases'!E166,"")</f>
        <v/>
      </c>
      <c r="F166" t="str">
        <f>IF($A166&lt;&gt;"",'All Cases - Enter Cases'!F166,"")</f>
        <v/>
      </c>
      <c r="G166" t="str">
        <f>IF($A166&lt;&gt;"",'All Cases - Enter Cases'!G166,"")</f>
        <v/>
      </c>
      <c r="H166" t="str">
        <f>IF($A166&lt;&gt;"",'All Cases - Enter Cases'!H166,"")</f>
        <v/>
      </c>
      <c r="I166" t="str">
        <f>IF($A166&lt;&gt;"",'All Cases - Enter Cases'!I166,"")</f>
        <v/>
      </c>
      <c r="J166" s="4" t="str">
        <f>IF($A166&lt;&gt;"",'All Cases - Enter Cases'!J166,"")</f>
        <v/>
      </c>
      <c r="K166" s="4" t="str">
        <f>IF($A166&lt;&gt;"",'All Cases - Enter Cases'!K166,"")</f>
        <v/>
      </c>
      <c r="L166" s="4" t="str">
        <f>IF($A166&lt;&gt;"",'All Cases - Enter Cases'!L166,"")</f>
        <v/>
      </c>
      <c r="M166" t="str">
        <f>IF($A166&lt;&gt;"",'All Cases - Enter Cases'!M166,"")</f>
        <v/>
      </c>
    </row>
    <row r="167" spans="1:13" x14ac:dyDescent="0.35">
      <c r="A167" s="4" t="str">
        <f>IF('All Cases - Enter Cases'!$F167="Punjab",'All Cases - Enter Cases'!A167,"")</f>
        <v/>
      </c>
      <c r="B167" t="str">
        <f>IF($A167&lt;&gt;"",'All Cases - Enter Cases'!B167,"")</f>
        <v/>
      </c>
      <c r="C167" t="str">
        <f>IF($A167&lt;&gt;"",'All Cases - Enter Cases'!C167,"")</f>
        <v/>
      </c>
      <c r="D167" t="str">
        <f>IF($A167&lt;&gt;"",'All Cases - Enter Cases'!D167,"")</f>
        <v/>
      </c>
      <c r="E167" t="str">
        <f>IF($A167&lt;&gt;"",'All Cases - Enter Cases'!E167,"")</f>
        <v/>
      </c>
      <c r="F167" t="str">
        <f>IF($A167&lt;&gt;"",'All Cases - Enter Cases'!F167,"")</f>
        <v/>
      </c>
      <c r="G167" t="str">
        <f>IF($A167&lt;&gt;"",'All Cases - Enter Cases'!G167,"")</f>
        <v/>
      </c>
      <c r="H167" t="str">
        <f>IF($A167&lt;&gt;"",'All Cases - Enter Cases'!H167,"")</f>
        <v/>
      </c>
      <c r="I167" t="str">
        <f>IF($A167&lt;&gt;"",'All Cases - Enter Cases'!I167,"")</f>
        <v/>
      </c>
      <c r="J167" s="4" t="str">
        <f>IF($A167&lt;&gt;"",'All Cases - Enter Cases'!J167,"")</f>
        <v/>
      </c>
      <c r="K167" s="4" t="str">
        <f>IF($A167&lt;&gt;"",'All Cases - Enter Cases'!K167,"")</f>
        <v/>
      </c>
      <c r="L167" s="4" t="str">
        <f>IF($A167&lt;&gt;"",'All Cases - Enter Cases'!L167,"")</f>
        <v/>
      </c>
      <c r="M167" t="str">
        <f>IF($A167&lt;&gt;"",'All Cases - Enter Cases'!M167,"")</f>
        <v/>
      </c>
    </row>
    <row r="168" spans="1:13" x14ac:dyDescent="0.35">
      <c r="A168" s="4" t="str">
        <f>IF('All Cases - Enter Cases'!$F168="Punjab",'All Cases - Enter Cases'!A168,"")</f>
        <v/>
      </c>
      <c r="B168" t="str">
        <f>IF($A168&lt;&gt;"",'All Cases - Enter Cases'!B168,"")</f>
        <v/>
      </c>
      <c r="C168" t="str">
        <f>IF($A168&lt;&gt;"",'All Cases - Enter Cases'!C168,"")</f>
        <v/>
      </c>
      <c r="D168" t="str">
        <f>IF($A168&lt;&gt;"",'All Cases - Enter Cases'!D168,"")</f>
        <v/>
      </c>
      <c r="E168" t="str">
        <f>IF($A168&lt;&gt;"",'All Cases - Enter Cases'!E168,"")</f>
        <v/>
      </c>
      <c r="F168" t="str">
        <f>IF($A168&lt;&gt;"",'All Cases - Enter Cases'!F168,"")</f>
        <v/>
      </c>
      <c r="G168" t="str">
        <f>IF($A168&lt;&gt;"",'All Cases - Enter Cases'!G168,"")</f>
        <v/>
      </c>
      <c r="H168" t="str">
        <f>IF($A168&lt;&gt;"",'All Cases - Enter Cases'!H168,"")</f>
        <v/>
      </c>
      <c r="I168" t="str">
        <f>IF($A168&lt;&gt;"",'All Cases - Enter Cases'!I168,"")</f>
        <v/>
      </c>
      <c r="J168" s="4" t="str">
        <f>IF($A168&lt;&gt;"",'All Cases - Enter Cases'!J168,"")</f>
        <v/>
      </c>
      <c r="K168" s="4" t="str">
        <f>IF($A168&lt;&gt;"",'All Cases - Enter Cases'!K168,"")</f>
        <v/>
      </c>
      <c r="L168" s="4" t="str">
        <f>IF($A168&lt;&gt;"",'All Cases - Enter Cases'!L168,"")</f>
        <v/>
      </c>
      <c r="M168" t="str">
        <f>IF($A168&lt;&gt;"",'All Cases - Enter Cases'!M168,"")</f>
        <v/>
      </c>
    </row>
    <row r="169" spans="1:13" x14ac:dyDescent="0.35">
      <c r="A169" s="4" t="str">
        <f>IF('All Cases - Enter Cases'!$F169="Punjab",'All Cases - Enter Cases'!A169,"")</f>
        <v/>
      </c>
      <c r="B169" t="str">
        <f>IF($A169&lt;&gt;"",'All Cases - Enter Cases'!B169,"")</f>
        <v/>
      </c>
      <c r="C169" t="str">
        <f>IF($A169&lt;&gt;"",'All Cases - Enter Cases'!C169,"")</f>
        <v/>
      </c>
      <c r="D169" t="str">
        <f>IF($A169&lt;&gt;"",'All Cases - Enter Cases'!D169,"")</f>
        <v/>
      </c>
      <c r="E169" t="str">
        <f>IF($A169&lt;&gt;"",'All Cases - Enter Cases'!E169,"")</f>
        <v/>
      </c>
      <c r="F169" t="str">
        <f>IF($A169&lt;&gt;"",'All Cases - Enter Cases'!F169,"")</f>
        <v/>
      </c>
      <c r="G169" t="str">
        <f>IF($A169&lt;&gt;"",'All Cases - Enter Cases'!G169,"")</f>
        <v/>
      </c>
      <c r="H169" t="str">
        <f>IF($A169&lt;&gt;"",'All Cases - Enter Cases'!H169,"")</f>
        <v/>
      </c>
      <c r="I169" t="str">
        <f>IF($A169&lt;&gt;"",'All Cases - Enter Cases'!I169,"")</f>
        <v/>
      </c>
      <c r="J169" s="4" t="str">
        <f>IF($A169&lt;&gt;"",'All Cases - Enter Cases'!J169,"")</f>
        <v/>
      </c>
      <c r="K169" s="4" t="str">
        <f>IF($A169&lt;&gt;"",'All Cases - Enter Cases'!K169,"")</f>
        <v/>
      </c>
      <c r="L169" s="4" t="str">
        <f>IF($A169&lt;&gt;"",'All Cases - Enter Cases'!L169,"")</f>
        <v/>
      </c>
      <c r="M169" t="str">
        <f>IF($A169&lt;&gt;"",'All Cases - Enter Cases'!M169,"")</f>
        <v/>
      </c>
    </row>
    <row r="170" spans="1:13" x14ac:dyDescent="0.35">
      <c r="A170" s="4" t="str">
        <f>IF('All Cases - Enter Cases'!$F170="Punjab",'All Cases - Enter Cases'!A170,"")</f>
        <v/>
      </c>
      <c r="B170" t="str">
        <f>IF($A170&lt;&gt;"",'All Cases - Enter Cases'!B170,"")</f>
        <v/>
      </c>
      <c r="C170" t="str">
        <f>IF($A170&lt;&gt;"",'All Cases - Enter Cases'!C170,"")</f>
        <v/>
      </c>
      <c r="D170" t="str">
        <f>IF($A170&lt;&gt;"",'All Cases - Enter Cases'!D170,"")</f>
        <v/>
      </c>
      <c r="E170" t="str">
        <f>IF($A170&lt;&gt;"",'All Cases - Enter Cases'!E170,"")</f>
        <v/>
      </c>
      <c r="F170" t="str">
        <f>IF($A170&lt;&gt;"",'All Cases - Enter Cases'!F170,"")</f>
        <v/>
      </c>
      <c r="G170" t="str">
        <f>IF($A170&lt;&gt;"",'All Cases - Enter Cases'!G170,"")</f>
        <v/>
      </c>
      <c r="H170" t="str">
        <f>IF($A170&lt;&gt;"",'All Cases - Enter Cases'!H170,"")</f>
        <v/>
      </c>
      <c r="I170" t="str">
        <f>IF($A170&lt;&gt;"",'All Cases - Enter Cases'!I170,"")</f>
        <v/>
      </c>
      <c r="J170" s="4" t="str">
        <f>IF($A170&lt;&gt;"",'All Cases - Enter Cases'!J170,"")</f>
        <v/>
      </c>
      <c r="K170" s="4" t="str">
        <f>IF($A170&lt;&gt;"",'All Cases - Enter Cases'!K170,"")</f>
        <v/>
      </c>
      <c r="L170" s="4" t="str">
        <f>IF($A170&lt;&gt;"",'All Cases - Enter Cases'!L170,"")</f>
        <v/>
      </c>
      <c r="M170" t="str">
        <f>IF($A170&lt;&gt;"",'All Cases - Enter Cases'!M170,"")</f>
        <v/>
      </c>
    </row>
    <row r="171" spans="1:13" x14ac:dyDescent="0.35">
      <c r="A171" s="4" t="str">
        <f>IF('All Cases - Enter Cases'!$F171="Punjab",'All Cases - Enter Cases'!A171,"")</f>
        <v/>
      </c>
      <c r="B171" t="str">
        <f>IF($A171&lt;&gt;"",'All Cases - Enter Cases'!B171,"")</f>
        <v/>
      </c>
      <c r="C171" t="str">
        <f>IF($A171&lt;&gt;"",'All Cases - Enter Cases'!C171,"")</f>
        <v/>
      </c>
      <c r="D171" t="str">
        <f>IF($A171&lt;&gt;"",'All Cases - Enter Cases'!D171,"")</f>
        <v/>
      </c>
      <c r="E171" t="str">
        <f>IF($A171&lt;&gt;"",'All Cases - Enter Cases'!E171,"")</f>
        <v/>
      </c>
      <c r="F171" t="str">
        <f>IF($A171&lt;&gt;"",'All Cases - Enter Cases'!F171,"")</f>
        <v/>
      </c>
      <c r="G171" t="str">
        <f>IF($A171&lt;&gt;"",'All Cases - Enter Cases'!G171,"")</f>
        <v/>
      </c>
      <c r="H171" t="str">
        <f>IF($A171&lt;&gt;"",'All Cases - Enter Cases'!H171,"")</f>
        <v/>
      </c>
      <c r="I171" t="str">
        <f>IF($A171&lt;&gt;"",'All Cases - Enter Cases'!I171,"")</f>
        <v/>
      </c>
      <c r="J171" s="4" t="str">
        <f>IF($A171&lt;&gt;"",'All Cases - Enter Cases'!J171,"")</f>
        <v/>
      </c>
      <c r="K171" s="4" t="str">
        <f>IF($A171&lt;&gt;"",'All Cases - Enter Cases'!K171,"")</f>
        <v/>
      </c>
      <c r="L171" s="4" t="str">
        <f>IF($A171&lt;&gt;"",'All Cases - Enter Cases'!L171,"")</f>
        <v/>
      </c>
      <c r="M171" t="str">
        <f>IF($A171&lt;&gt;"",'All Cases - Enter Cases'!M171,"")</f>
        <v/>
      </c>
    </row>
    <row r="172" spans="1:13" x14ac:dyDescent="0.35">
      <c r="A172" s="4" t="str">
        <f>IF('All Cases - Enter Cases'!$F172="Punjab",'All Cases - Enter Cases'!A172,"")</f>
        <v/>
      </c>
      <c r="B172" t="str">
        <f>IF($A172&lt;&gt;"",'All Cases - Enter Cases'!B172,"")</f>
        <v/>
      </c>
      <c r="C172" t="str">
        <f>IF($A172&lt;&gt;"",'All Cases - Enter Cases'!C172,"")</f>
        <v/>
      </c>
      <c r="D172" t="str">
        <f>IF($A172&lt;&gt;"",'All Cases - Enter Cases'!D172,"")</f>
        <v/>
      </c>
      <c r="E172" t="str">
        <f>IF($A172&lt;&gt;"",'All Cases - Enter Cases'!E172,"")</f>
        <v/>
      </c>
      <c r="F172" t="str">
        <f>IF($A172&lt;&gt;"",'All Cases - Enter Cases'!F172,"")</f>
        <v/>
      </c>
      <c r="G172" t="str">
        <f>IF($A172&lt;&gt;"",'All Cases - Enter Cases'!G172,"")</f>
        <v/>
      </c>
      <c r="H172" t="str">
        <f>IF($A172&lt;&gt;"",'All Cases - Enter Cases'!H172,"")</f>
        <v/>
      </c>
      <c r="I172" t="str">
        <f>IF($A172&lt;&gt;"",'All Cases - Enter Cases'!I172,"")</f>
        <v/>
      </c>
      <c r="J172" s="4" t="str">
        <f>IF($A172&lt;&gt;"",'All Cases - Enter Cases'!J172,"")</f>
        <v/>
      </c>
      <c r="K172" s="4" t="str">
        <f>IF($A172&lt;&gt;"",'All Cases - Enter Cases'!K172,"")</f>
        <v/>
      </c>
      <c r="L172" s="4" t="str">
        <f>IF($A172&lt;&gt;"",'All Cases - Enter Cases'!L172,"")</f>
        <v/>
      </c>
      <c r="M172" t="str">
        <f>IF($A172&lt;&gt;"",'All Cases - Enter Cases'!M172,"")</f>
        <v/>
      </c>
    </row>
    <row r="173" spans="1:13" x14ac:dyDescent="0.35">
      <c r="A173" s="4" t="str">
        <f>IF('All Cases - Enter Cases'!$F173="Punjab",'All Cases - Enter Cases'!A173,"")</f>
        <v/>
      </c>
      <c r="B173" t="str">
        <f>IF($A173&lt;&gt;"",'All Cases - Enter Cases'!B173,"")</f>
        <v/>
      </c>
      <c r="C173" t="str">
        <f>IF($A173&lt;&gt;"",'All Cases - Enter Cases'!C173,"")</f>
        <v/>
      </c>
      <c r="D173" t="str">
        <f>IF($A173&lt;&gt;"",'All Cases - Enter Cases'!D173,"")</f>
        <v/>
      </c>
      <c r="E173" t="str">
        <f>IF($A173&lt;&gt;"",'All Cases - Enter Cases'!E173,"")</f>
        <v/>
      </c>
      <c r="F173" t="str">
        <f>IF($A173&lt;&gt;"",'All Cases - Enter Cases'!F173,"")</f>
        <v/>
      </c>
      <c r="G173" t="str">
        <f>IF($A173&lt;&gt;"",'All Cases - Enter Cases'!G173,"")</f>
        <v/>
      </c>
      <c r="H173" t="str">
        <f>IF($A173&lt;&gt;"",'All Cases - Enter Cases'!H173,"")</f>
        <v/>
      </c>
      <c r="I173" t="str">
        <f>IF($A173&lt;&gt;"",'All Cases - Enter Cases'!I173,"")</f>
        <v/>
      </c>
      <c r="J173" s="4" t="str">
        <f>IF($A173&lt;&gt;"",'All Cases - Enter Cases'!J173,"")</f>
        <v/>
      </c>
      <c r="K173" s="4" t="str">
        <f>IF($A173&lt;&gt;"",'All Cases - Enter Cases'!K173,"")</f>
        <v/>
      </c>
      <c r="L173" s="4" t="str">
        <f>IF($A173&lt;&gt;"",'All Cases - Enter Cases'!L173,"")</f>
        <v/>
      </c>
      <c r="M173" t="str">
        <f>IF($A173&lt;&gt;"",'All Cases - Enter Cases'!M173,"")</f>
        <v/>
      </c>
    </row>
    <row r="174" spans="1:13" x14ac:dyDescent="0.35">
      <c r="A174" s="4" t="str">
        <f>IF('All Cases - Enter Cases'!$F174="Punjab",'All Cases - Enter Cases'!A174,"")</f>
        <v/>
      </c>
      <c r="B174" t="str">
        <f>IF($A174&lt;&gt;"",'All Cases - Enter Cases'!B174,"")</f>
        <v/>
      </c>
      <c r="C174" t="str">
        <f>IF($A174&lt;&gt;"",'All Cases - Enter Cases'!C174,"")</f>
        <v/>
      </c>
      <c r="D174" t="str">
        <f>IF($A174&lt;&gt;"",'All Cases - Enter Cases'!D174,"")</f>
        <v/>
      </c>
      <c r="E174" t="str">
        <f>IF($A174&lt;&gt;"",'All Cases - Enter Cases'!E174,"")</f>
        <v/>
      </c>
      <c r="F174" t="str">
        <f>IF($A174&lt;&gt;"",'All Cases - Enter Cases'!F174,"")</f>
        <v/>
      </c>
      <c r="G174" t="str">
        <f>IF($A174&lt;&gt;"",'All Cases - Enter Cases'!G174,"")</f>
        <v/>
      </c>
      <c r="H174" t="str">
        <f>IF($A174&lt;&gt;"",'All Cases - Enter Cases'!H174,"")</f>
        <v/>
      </c>
      <c r="I174" t="str">
        <f>IF($A174&lt;&gt;"",'All Cases - Enter Cases'!I174,"")</f>
        <v/>
      </c>
      <c r="J174" s="4" t="str">
        <f>IF($A174&lt;&gt;"",'All Cases - Enter Cases'!J174,"")</f>
        <v/>
      </c>
      <c r="K174" s="4" t="str">
        <f>IF($A174&lt;&gt;"",'All Cases - Enter Cases'!K174,"")</f>
        <v/>
      </c>
      <c r="L174" s="4" t="str">
        <f>IF($A174&lt;&gt;"",'All Cases - Enter Cases'!L174,"")</f>
        <v/>
      </c>
      <c r="M174" t="str">
        <f>IF($A174&lt;&gt;"",'All Cases - Enter Cases'!M174,"")</f>
        <v/>
      </c>
    </row>
    <row r="175" spans="1:13" x14ac:dyDescent="0.35">
      <c r="A175" s="4" t="str">
        <f>IF('All Cases - Enter Cases'!$F175="Punjab",'All Cases - Enter Cases'!A175,"")</f>
        <v/>
      </c>
      <c r="B175" t="str">
        <f>IF($A175&lt;&gt;"",'All Cases - Enter Cases'!B175,"")</f>
        <v/>
      </c>
      <c r="C175" t="str">
        <f>IF($A175&lt;&gt;"",'All Cases - Enter Cases'!C175,"")</f>
        <v/>
      </c>
      <c r="D175" t="str">
        <f>IF($A175&lt;&gt;"",'All Cases - Enter Cases'!D175,"")</f>
        <v/>
      </c>
      <c r="E175" t="str">
        <f>IF($A175&lt;&gt;"",'All Cases - Enter Cases'!E175,"")</f>
        <v/>
      </c>
      <c r="F175" t="str">
        <f>IF($A175&lt;&gt;"",'All Cases - Enter Cases'!F175,"")</f>
        <v/>
      </c>
      <c r="G175" t="str">
        <f>IF($A175&lt;&gt;"",'All Cases - Enter Cases'!G175,"")</f>
        <v/>
      </c>
      <c r="H175" t="str">
        <f>IF($A175&lt;&gt;"",'All Cases - Enter Cases'!H175,"")</f>
        <v/>
      </c>
      <c r="I175" t="str">
        <f>IF($A175&lt;&gt;"",'All Cases - Enter Cases'!I175,"")</f>
        <v/>
      </c>
      <c r="J175" s="4" t="str">
        <f>IF($A175&lt;&gt;"",'All Cases - Enter Cases'!J175,"")</f>
        <v/>
      </c>
      <c r="K175" s="4" t="str">
        <f>IF($A175&lt;&gt;"",'All Cases - Enter Cases'!K175,"")</f>
        <v/>
      </c>
      <c r="L175" s="4" t="str">
        <f>IF($A175&lt;&gt;"",'All Cases - Enter Cases'!L175,"")</f>
        <v/>
      </c>
      <c r="M175" t="str">
        <f>IF($A175&lt;&gt;"",'All Cases - Enter Cases'!M175,"")</f>
        <v/>
      </c>
    </row>
    <row r="176" spans="1:13" x14ac:dyDescent="0.35">
      <c r="A176" s="4" t="str">
        <f>IF('All Cases - Enter Cases'!$F176="Punjab",'All Cases - Enter Cases'!A176,"")</f>
        <v/>
      </c>
      <c r="B176" t="str">
        <f>IF($A176&lt;&gt;"",'All Cases - Enter Cases'!B176,"")</f>
        <v/>
      </c>
      <c r="C176" t="str">
        <f>IF($A176&lt;&gt;"",'All Cases - Enter Cases'!C176,"")</f>
        <v/>
      </c>
      <c r="D176" t="str">
        <f>IF($A176&lt;&gt;"",'All Cases - Enter Cases'!D176,"")</f>
        <v/>
      </c>
      <c r="E176" t="str">
        <f>IF($A176&lt;&gt;"",'All Cases - Enter Cases'!E176,"")</f>
        <v/>
      </c>
      <c r="F176" t="str">
        <f>IF($A176&lt;&gt;"",'All Cases - Enter Cases'!F176,"")</f>
        <v/>
      </c>
      <c r="G176" t="str">
        <f>IF($A176&lt;&gt;"",'All Cases - Enter Cases'!G176,"")</f>
        <v/>
      </c>
      <c r="H176" t="str">
        <f>IF($A176&lt;&gt;"",'All Cases - Enter Cases'!H176,"")</f>
        <v/>
      </c>
      <c r="I176" t="str">
        <f>IF($A176&lt;&gt;"",'All Cases - Enter Cases'!I176,"")</f>
        <v/>
      </c>
      <c r="J176" s="4" t="str">
        <f>IF($A176&lt;&gt;"",'All Cases - Enter Cases'!J176,"")</f>
        <v/>
      </c>
      <c r="K176" s="4" t="str">
        <f>IF($A176&lt;&gt;"",'All Cases - Enter Cases'!K176,"")</f>
        <v/>
      </c>
      <c r="L176" s="4" t="str">
        <f>IF($A176&lt;&gt;"",'All Cases - Enter Cases'!L176,"")</f>
        <v/>
      </c>
      <c r="M176" t="str">
        <f>IF($A176&lt;&gt;"",'All Cases - Enter Cases'!M176,"")</f>
        <v/>
      </c>
    </row>
    <row r="177" spans="1:13" x14ac:dyDescent="0.35">
      <c r="A177" s="4" t="str">
        <f>IF('All Cases - Enter Cases'!$F177="Punjab",'All Cases - Enter Cases'!A177,"")</f>
        <v/>
      </c>
      <c r="B177" t="str">
        <f>IF($A177&lt;&gt;"",'All Cases - Enter Cases'!B177,"")</f>
        <v/>
      </c>
      <c r="C177" t="str">
        <f>IF($A177&lt;&gt;"",'All Cases - Enter Cases'!C177,"")</f>
        <v/>
      </c>
      <c r="D177" t="str">
        <f>IF($A177&lt;&gt;"",'All Cases - Enter Cases'!D177,"")</f>
        <v/>
      </c>
      <c r="E177" t="str">
        <f>IF($A177&lt;&gt;"",'All Cases - Enter Cases'!E177,"")</f>
        <v/>
      </c>
      <c r="F177" t="str">
        <f>IF($A177&lt;&gt;"",'All Cases - Enter Cases'!F177,"")</f>
        <v/>
      </c>
      <c r="G177" t="str">
        <f>IF($A177&lt;&gt;"",'All Cases - Enter Cases'!G177,"")</f>
        <v/>
      </c>
      <c r="H177" t="str">
        <f>IF($A177&lt;&gt;"",'All Cases - Enter Cases'!H177,"")</f>
        <v/>
      </c>
      <c r="I177" t="str">
        <f>IF($A177&lt;&gt;"",'All Cases - Enter Cases'!I177,"")</f>
        <v/>
      </c>
      <c r="J177" s="4" t="str">
        <f>IF($A177&lt;&gt;"",'All Cases - Enter Cases'!J177,"")</f>
        <v/>
      </c>
      <c r="K177" s="4" t="str">
        <f>IF($A177&lt;&gt;"",'All Cases - Enter Cases'!K177,"")</f>
        <v/>
      </c>
      <c r="L177" s="4" t="str">
        <f>IF($A177&lt;&gt;"",'All Cases - Enter Cases'!L177,"")</f>
        <v/>
      </c>
      <c r="M177" t="str">
        <f>IF($A177&lt;&gt;"",'All Cases - Enter Cases'!M177,"")</f>
        <v/>
      </c>
    </row>
    <row r="178" spans="1:13" x14ac:dyDescent="0.35">
      <c r="A178" s="4" t="str">
        <f>IF('All Cases - Enter Cases'!$F178="Punjab",'All Cases - Enter Cases'!A178,"")</f>
        <v/>
      </c>
      <c r="B178" t="str">
        <f>IF($A178&lt;&gt;"",'All Cases - Enter Cases'!B178,"")</f>
        <v/>
      </c>
      <c r="C178" t="str">
        <f>IF($A178&lt;&gt;"",'All Cases - Enter Cases'!C178,"")</f>
        <v/>
      </c>
      <c r="D178" t="str">
        <f>IF($A178&lt;&gt;"",'All Cases - Enter Cases'!D178,"")</f>
        <v/>
      </c>
      <c r="E178" t="str">
        <f>IF($A178&lt;&gt;"",'All Cases - Enter Cases'!E178,"")</f>
        <v/>
      </c>
      <c r="F178" t="str">
        <f>IF($A178&lt;&gt;"",'All Cases - Enter Cases'!F178,"")</f>
        <v/>
      </c>
      <c r="G178" t="str">
        <f>IF($A178&lt;&gt;"",'All Cases - Enter Cases'!G178,"")</f>
        <v/>
      </c>
      <c r="H178" t="str">
        <f>IF($A178&lt;&gt;"",'All Cases - Enter Cases'!H178,"")</f>
        <v/>
      </c>
      <c r="I178" t="str">
        <f>IF($A178&lt;&gt;"",'All Cases - Enter Cases'!I178,"")</f>
        <v/>
      </c>
      <c r="J178" s="4" t="str">
        <f>IF($A178&lt;&gt;"",'All Cases - Enter Cases'!J178,"")</f>
        <v/>
      </c>
      <c r="K178" s="4" t="str">
        <f>IF($A178&lt;&gt;"",'All Cases - Enter Cases'!K178,"")</f>
        <v/>
      </c>
      <c r="L178" s="4" t="str">
        <f>IF($A178&lt;&gt;"",'All Cases - Enter Cases'!L178,"")</f>
        <v/>
      </c>
      <c r="M178" t="str">
        <f>IF($A178&lt;&gt;"",'All Cases - Enter Cases'!M178,"")</f>
        <v/>
      </c>
    </row>
    <row r="179" spans="1:13" x14ac:dyDescent="0.35">
      <c r="A179" s="4" t="str">
        <f>IF('All Cases - Enter Cases'!$F179="Punjab",'All Cases - Enter Cases'!A179,"")</f>
        <v/>
      </c>
      <c r="B179" t="str">
        <f>IF($A179&lt;&gt;"",'All Cases - Enter Cases'!B179,"")</f>
        <v/>
      </c>
      <c r="C179" t="str">
        <f>IF($A179&lt;&gt;"",'All Cases - Enter Cases'!C179,"")</f>
        <v/>
      </c>
      <c r="D179" t="str">
        <f>IF($A179&lt;&gt;"",'All Cases - Enter Cases'!D179,"")</f>
        <v/>
      </c>
      <c r="E179" t="str">
        <f>IF($A179&lt;&gt;"",'All Cases - Enter Cases'!E179,"")</f>
        <v/>
      </c>
      <c r="F179" t="str">
        <f>IF($A179&lt;&gt;"",'All Cases - Enter Cases'!F179,"")</f>
        <v/>
      </c>
      <c r="G179" t="str">
        <f>IF($A179&lt;&gt;"",'All Cases - Enter Cases'!G179,"")</f>
        <v/>
      </c>
      <c r="H179" t="str">
        <f>IF($A179&lt;&gt;"",'All Cases - Enter Cases'!H179,"")</f>
        <v/>
      </c>
      <c r="I179" t="str">
        <f>IF($A179&lt;&gt;"",'All Cases - Enter Cases'!I179,"")</f>
        <v/>
      </c>
      <c r="J179" s="4" t="str">
        <f>IF($A179&lt;&gt;"",'All Cases - Enter Cases'!J179,"")</f>
        <v/>
      </c>
      <c r="K179" s="4" t="str">
        <f>IF($A179&lt;&gt;"",'All Cases - Enter Cases'!K179,"")</f>
        <v/>
      </c>
      <c r="L179" s="4" t="str">
        <f>IF($A179&lt;&gt;"",'All Cases - Enter Cases'!L179,"")</f>
        <v/>
      </c>
      <c r="M179" t="str">
        <f>IF($A179&lt;&gt;"",'All Cases - Enter Cases'!M179,"")</f>
        <v/>
      </c>
    </row>
    <row r="180" spans="1:13" x14ac:dyDescent="0.35">
      <c r="A180" s="4" t="str">
        <f>IF('All Cases - Enter Cases'!$F180="Punjab",'All Cases - Enter Cases'!A180,"")</f>
        <v/>
      </c>
      <c r="B180" t="str">
        <f>IF($A180&lt;&gt;"",'All Cases - Enter Cases'!B180,"")</f>
        <v/>
      </c>
      <c r="C180" t="str">
        <f>IF($A180&lt;&gt;"",'All Cases - Enter Cases'!C180,"")</f>
        <v/>
      </c>
      <c r="D180" t="str">
        <f>IF($A180&lt;&gt;"",'All Cases - Enter Cases'!D180,"")</f>
        <v/>
      </c>
      <c r="E180" t="str">
        <f>IF($A180&lt;&gt;"",'All Cases - Enter Cases'!E180,"")</f>
        <v/>
      </c>
      <c r="F180" t="str">
        <f>IF($A180&lt;&gt;"",'All Cases - Enter Cases'!F180,"")</f>
        <v/>
      </c>
      <c r="G180" t="str">
        <f>IF($A180&lt;&gt;"",'All Cases - Enter Cases'!G180,"")</f>
        <v/>
      </c>
      <c r="H180" t="str">
        <f>IF($A180&lt;&gt;"",'All Cases - Enter Cases'!H180,"")</f>
        <v/>
      </c>
      <c r="I180" t="str">
        <f>IF($A180&lt;&gt;"",'All Cases - Enter Cases'!I180,"")</f>
        <v/>
      </c>
      <c r="J180" s="4" t="str">
        <f>IF($A180&lt;&gt;"",'All Cases - Enter Cases'!J180,"")</f>
        <v/>
      </c>
      <c r="K180" s="4" t="str">
        <f>IF($A180&lt;&gt;"",'All Cases - Enter Cases'!K180,"")</f>
        <v/>
      </c>
      <c r="L180" s="4" t="str">
        <f>IF($A180&lt;&gt;"",'All Cases - Enter Cases'!L180,"")</f>
        <v/>
      </c>
      <c r="M180" t="str">
        <f>IF($A180&lt;&gt;"",'All Cases - Enter Cases'!M180,"")</f>
        <v/>
      </c>
    </row>
    <row r="181" spans="1:13" x14ac:dyDescent="0.35">
      <c r="A181" s="4" t="str">
        <f>IF('All Cases - Enter Cases'!$F181="Punjab",'All Cases - Enter Cases'!A181,"")</f>
        <v/>
      </c>
      <c r="B181" t="str">
        <f>IF($A181&lt;&gt;"",'All Cases - Enter Cases'!B181,"")</f>
        <v/>
      </c>
      <c r="C181" t="str">
        <f>IF($A181&lt;&gt;"",'All Cases - Enter Cases'!C181,"")</f>
        <v/>
      </c>
      <c r="D181" t="str">
        <f>IF($A181&lt;&gt;"",'All Cases - Enter Cases'!D181,"")</f>
        <v/>
      </c>
      <c r="E181" t="str">
        <f>IF($A181&lt;&gt;"",'All Cases - Enter Cases'!E181,"")</f>
        <v/>
      </c>
      <c r="F181" t="str">
        <f>IF($A181&lt;&gt;"",'All Cases - Enter Cases'!F181,"")</f>
        <v/>
      </c>
      <c r="G181" t="str">
        <f>IF($A181&lt;&gt;"",'All Cases - Enter Cases'!G181,"")</f>
        <v/>
      </c>
      <c r="H181" t="str">
        <f>IF($A181&lt;&gt;"",'All Cases - Enter Cases'!H181,"")</f>
        <v/>
      </c>
      <c r="I181" t="str">
        <f>IF($A181&lt;&gt;"",'All Cases - Enter Cases'!I181,"")</f>
        <v/>
      </c>
      <c r="J181" s="4" t="str">
        <f>IF($A181&lt;&gt;"",'All Cases - Enter Cases'!J181,"")</f>
        <v/>
      </c>
      <c r="K181" s="4" t="str">
        <f>IF($A181&lt;&gt;"",'All Cases - Enter Cases'!K181,"")</f>
        <v/>
      </c>
      <c r="L181" s="4" t="str">
        <f>IF($A181&lt;&gt;"",'All Cases - Enter Cases'!L181,"")</f>
        <v/>
      </c>
      <c r="M181" t="str">
        <f>IF($A181&lt;&gt;"",'All Cases - Enter Cases'!M181,"")</f>
        <v/>
      </c>
    </row>
    <row r="182" spans="1:13" x14ac:dyDescent="0.35">
      <c r="A182" s="4" t="str">
        <f>IF('All Cases - Enter Cases'!$F182="Punjab",'All Cases - Enter Cases'!A182,"")</f>
        <v/>
      </c>
      <c r="B182" t="str">
        <f>IF($A182&lt;&gt;"",'All Cases - Enter Cases'!B182,"")</f>
        <v/>
      </c>
      <c r="C182" t="str">
        <f>IF($A182&lt;&gt;"",'All Cases - Enter Cases'!C182,"")</f>
        <v/>
      </c>
      <c r="D182" t="str">
        <f>IF($A182&lt;&gt;"",'All Cases - Enter Cases'!D182,"")</f>
        <v/>
      </c>
      <c r="E182" t="str">
        <f>IF($A182&lt;&gt;"",'All Cases - Enter Cases'!E182,"")</f>
        <v/>
      </c>
      <c r="F182" t="str">
        <f>IF($A182&lt;&gt;"",'All Cases - Enter Cases'!F182,"")</f>
        <v/>
      </c>
      <c r="G182" t="str">
        <f>IF($A182&lt;&gt;"",'All Cases - Enter Cases'!G182,"")</f>
        <v/>
      </c>
      <c r="H182" t="str">
        <f>IF($A182&lt;&gt;"",'All Cases - Enter Cases'!H182,"")</f>
        <v/>
      </c>
      <c r="I182" t="str">
        <f>IF($A182&lt;&gt;"",'All Cases - Enter Cases'!I182,"")</f>
        <v/>
      </c>
      <c r="J182" s="4" t="str">
        <f>IF($A182&lt;&gt;"",'All Cases - Enter Cases'!J182,"")</f>
        <v/>
      </c>
      <c r="K182" s="4" t="str">
        <f>IF($A182&lt;&gt;"",'All Cases - Enter Cases'!K182,"")</f>
        <v/>
      </c>
      <c r="L182" s="4" t="str">
        <f>IF($A182&lt;&gt;"",'All Cases - Enter Cases'!L182,"")</f>
        <v/>
      </c>
      <c r="M182" t="str">
        <f>IF($A182&lt;&gt;"",'All Cases - Enter Cases'!M182,"")</f>
        <v/>
      </c>
    </row>
    <row r="183" spans="1:13" x14ac:dyDescent="0.35">
      <c r="A183" s="4" t="str">
        <f>IF('All Cases - Enter Cases'!$F183="Punjab",'All Cases - Enter Cases'!A183,"")</f>
        <v/>
      </c>
      <c r="B183" t="str">
        <f>IF($A183&lt;&gt;"",'All Cases - Enter Cases'!B183,"")</f>
        <v/>
      </c>
      <c r="C183" t="str">
        <f>IF($A183&lt;&gt;"",'All Cases - Enter Cases'!C183,"")</f>
        <v/>
      </c>
      <c r="D183" t="str">
        <f>IF($A183&lt;&gt;"",'All Cases - Enter Cases'!D183,"")</f>
        <v/>
      </c>
      <c r="E183" t="str">
        <f>IF($A183&lt;&gt;"",'All Cases - Enter Cases'!E183,"")</f>
        <v/>
      </c>
      <c r="F183" t="str">
        <f>IF($A183&lt;&gt;"",'All Cases - Enter Cases'!F183,"")</f>
        <v/>
      </c>
      <c r="G183" t="str">
        <f>IF($A183&lt;&gt;"",'All Cases - Enter Cases'!G183,"")</f>
        <v/>
      </c>
      <c r="H183" t="str">
        <f>IF($A183&lt;&gt;"",'All Cases - Enter Cases'!H183,"")</f>
        <v/>
      </c>
      <c r="I183" t="str">
        <f>IF($A183&lt;&gt;"",'All Cases - Enter Cases'!I183,"")</f>
        <v/>
      </c>
      <c r="J183" s="4" t="str">
        <f>IF($A183&lt;&gt;"",'All Cases - Enter Cases'!J183,"")</f>
        <v/>
      </c>
      <c r="K183" s="4" t="str">
        <f>IF($A183&lt;&gt;"",'All Cases - Enter Cases'!K183,"")</f>
        <v/>
      </c>
      <c r="L183" s="4" t="str">
        <f>IF($A183&lt;&gt;"",'All Cases - Enter Cases'!L183,"")</f>
        <v/>
      </c>
      <c r="M183" t="str">
        <f>IF($A183&lt;&gt;"",'All Cases - Enter Cases'!M183,"")</f>
        <v/>
      </c>
    </row>
    <row r="184" spans="1:13" x14ac:dyDescent="0.35">
      <c r="A184" s="4" t="str">
        <f>IF('All Cases - Enter Cases'!$F184="Punjab",'All Cases - Enter Cases'!A184,"")</f>
        <v/>
      </c>
      <c r="B184" t="str">
        <f>IF($A184&lt;&gt;"",'All Cases - Enter Cases'!B184,"")</f>
        <v/>
      </c>
      <c r="C184" t="str">
        <f>IF($A184&lt;&gt;"",'All Cases - Enter Cases'!C184,"")</f>
        <v/>
      </c>
      <c r="D184" t="str">
        <f>IF($A184&lt;&gt;"",'All Cases - Enter Cases'!D184,"")</f>
        <v/>
      </c>
      <c r="E184" t="str">
        <f>IF($A184&lt;&gt;"",'All Cases - Enter Cases'!E184,"")</f>
        <v/>
      </c>
      <c r="F184" t="str">
        <f>IF($A184&lt;&gt;"",'All Cases - Enter Cases'!F184,"")</f>
        <v/>
      </c>
      <c r="G184" t="str">
        <f>IF($A184&lt;&gt;"",'All Cases - Enter Cases'!G184,"")</f>
        <v/>
      </c>
      <c r="H184" t="str">
        <f>IF($A184&lt;&gt;"",'All Cases - Enter Cases'!H184,"")</f>
        <v/>
      </c>
      <c r="I184" t="str">
        <f>IF($A184&lt;&gt;"",'All Cases - Enter Cases'!I184,"")</f>
        <v/>
      </c>
      <c r="J184" s="4" t="str">
        <f>IF($A184&lt;&gt;"",'All Cases - Enter Cases'!J184,"")</f>
        <v/>
      </c>
      <c r="K184" s="4" t="str">
        <f>IF($A184&lt;&gt;"",'All Cases - Enter Cases'!K184,"")</f>
        <v/>
      </c>
      <c r="L184" s="4" t="str">
        <f>IF($A184&lt;&gt;"",'All Cases - Enter Cases'!L184,"")</f>
        <v/>
      </c>
      <c r="M184" t="str">
        <f>IF($A184&lt;&gt;"",'All Cases - Enter Cases'!M184,"")</f>
        <v/>
      </c>
    </row>
    <row r="185" spans="1:13" x14ac:dyDescent="0.35">
      <c r="A185" s="4" t="str">
        <f>IF('All Cases - Enter Cases'!$F185="Punjab",'All Cases - Enter Cases'!A185,"")</f>
        <v/>
      </c>
      <c r="B185" t="str">
        <f>IF($A185&lt;&gt;"",'All Cases - Enter Cases'!B185,"")</f>
        <v/>
      </c>
      <c r="C185" t="str">
        <f>IF($A185&lt;&gt;"",'All Cases - Enter Cases'!C185,"")</f>
        <v/>
      </c>
      <c r="D185" t="str">
        <f>IF($A185&lt;&gt;"",'All Cases - Enter Cases'!D185,"")</f>
        <v/>
      </c>
      <c r="E185" t="str">
        <f>IF($A185&lt;&gt;"",'All Cases - Enter Cases'!E185,"")</f>
        <v/>
      </c>
      <c r="F185" t="str">
        <f>IF($A185&lt;&gt;"",'All Cases - Enter Cases'!F185,"")</f>
        <v/>
      </c>
      <c r="G185" t="str">
        <f>IF($A185&lt;&gt;"",'All Cases - Enter Cases'!G185,"")</f>
        <v/>
      </c>
      <c r="H185" t="str">
        <f>IF($A185&lt;&gt;"",'All Cases - Enter Cases'!H185,"")</f>
        <v/>
      </c>
      <c r="I185" t="str">
        <f>IF($A185&lt;&gt;"",'All Cases - Enter Cases'!I185,"")</f>
        <v/>
      </c>
      <c r="J185" s="4" t="str">
        <f>IF($A185&lt;&gt;"",'All Cases - Enter Cases'!J185,"")</f>
        <v/>
      </c>
      <c r="K185" s="4" t="str">
        <f>IF($A185&lt;&gt;"",'All Cases - Enter Cases'!K185,"")</f>
        <v/>
      </c>
      <c r="L185" s="4" t="str">
        <f>IF($A185&lt;&gt;"",'All Cases - Enter Cases'!L185,"")</f>
        <v/>
      </c>
      <c r="M185" t="str">
        <f>IF($A185&lt;&gt;"",'All Cases - Enter Cases'!M185,"")</f>
        <v/>
      </c>
    </row>
    <row r="186" spans="1:13" x14ac:dyDescent="0.35">
      <c r="A186" s="4" t="str">
        <f>IF('All Cases - Enter Cases'!$F186="Punjab",'All Cases - Enter Cases'!A186,"")</f>
        <v/>
      </c>
      <c r="B186" t="str">
        <f>IF($A186&lt;&gt;"",'All Cases - Enter Cases'!B186,"")</f>
        <v/>
      </c>
      <c r="C186" t="str">
        <f>IF($A186&lt;&gt;"",'All Cases - Enter Cases'!C186,"")</f>
        <v/>
      </c>
      <c r="D186" t="str">
        <f>IF($A186&lt;&gt;"",'All Cases - Enter Cases'!D186,"")</f>
        <v/>
      </c>
      <c r="E186" t="str">
        <f>IF($A186&lt;&gt;"",'All Cases - Enter Cases'!E186,"")</f>
        <v/>
      </c>
      <c r="F186" t="str">
        <f>IF($A186&lt;&gt;"",'All Cases - Enter Cases'!F186,"")</f>
        <v/>
      </c>
      <c r="G186" t="str">
        <f>IF($A186&lt;&gt;"",'All Cases - Enter Cases'!G186,"")</f>
        <v/>
      </c>
      <c r="H186" t="str">
        <f>IF($A186&lt;&gt;"",'All Cases - Enter Cases'!H186,"")</f>
        <v/>
      </c>
      <c r="I186" t="str">
        <f>IF($A186&lt;&gt;"",'All Cases - Enter Cases'!I186,"")</f>
        <v/>
      </c>
      <c r="J186" s="4" t="str">
        <f>IF($A186&lt;&gt;"",'All Cases - Enter Cases'!J186,"")</f>
        <v/>
      </c>
      <c r="K186" s="4" t="str">
        <f>IF($A186&lt;&gt;"",'All Cases - Enter Cases'!K186,"")</f>
        <v/>
      </c>
      <c r="L186" s="4" t="str">
        <f>IF($A186&lt;&gt;"",'All Cases - Enter Cases'!L186,"")</f>
        <v/>
      </c>
      <c r="M186" t="str">
        <f>IF($A186&lt;&gt;"",'All Cases - Enter Cases'!M186,"")</f>
        <v/>
      </c>
    </row>
    <row r="187" spans="1:13" x14ac:dyDescent="0.35">
      <c r="A187" s="4" t="str">
        <f>IF('All Cases - Enter Cases'!$F187="Punjab",'All Cases - Enter Cases'!A187,"")</f>
        <v/>
      </c>
      <c r="B187" t="str">
        <f>IF($A187&lt;&gt;"",'All Cases - Enter Cases'!B187,"")</f>
        <v/>
      </c>
      <c r="C187" t="str">
        <f>IF($A187&lt;&gt;"",'All Cases - Enter Cases'!C187,"")</f>
        <v/>
      </c>
      <c r="D187" t="str">
        <f>IF($A187&lt;&gt;"",'All Cases - Enter Cases'!D187,"")</f>
        <v/>
      </c>
      <c r="E187" t="str">
        <f>IF($A187&lt;&gt;"",'All Cases - Enter Cases'!E187,"")</f>
        <v/>
      </c>
      <c r="F187" t="str">
        <f>IF($A187&lt;&gt;"",'All Cases - Enter Cases'!F187,"")</f>
        <v/>
      </c>
      <c r="G187" t="str">
        <f>IF($A187&lt;&gt;"",'All Cases - Enter Cases'!G187,"")</f>
        <v/>
      </c>
      <c r="H187" t="str">
        <f>IF($A187&lt;&gt;"",'All Cases - Enter Cases'!H187,"")</f>
        <v/>
      </c>
      <c r="I187" t="str">
        <f>IF($A187&lt;&gt;"",'All Cases - Enter Cases'!I187,"")</f>
        <v/>
      </c>
      <c r="J187" s="4" t="str">
        <f>IF($A187&lt;&gt;"",'All Cases - Enter Cases'!J187,"")</f>
        <v/>
      </c>
      <c r="K187" s="4" t="str">
        <f>IF($A187&lt;&gt;"",'All Cases - Enter Cases'!K187,"")</f>
        <v/>
      </c>
      <c r="L187" s="4" t="str">
        <f>IF($A187&lt;&gt;"",'All Cases - Enter Cases'!L187,"")</f>
        <v/>
      </c>
      <c r="M187" t="str">
        <f>IF($A187&lt;&gt;"",'All Cases - Enter Cases'!M187,"")</f>
        <v/>
      </c>
    </row>
    <row r="188" spans="1:13" x14ac:dyDescent="0.35">
      <c r="A188" s="4" t="str">
        <f>IF('All Cases - Enter Cases'!$F188="Punjab",'All Cases - Enter Cases'!A188,"")</f>
        <v/>
      </c>
      <c r="B188" t="str">
        <f>IF($A188&lt;&gt;"",'All Cases - Enter Cases'!B188,"")</f>
        <v/>
      </c>
      <c r="C188" t="str">
        <f>IF($A188&lt;&gt;"",'All Cases - Enter Cases'!C188,"")</f>
        <v/>
      </c>
      <c r="D188" t="str">
        <f>IF($A188&lt;&gt;"",'All Cases - Enter Cases'!D188,"")</f>
        <v/>
      </c>
      <c r="E188" t="str">
        <f>IF($A188&lt;&gt;"",'All Cases - Enter Cases'!E188,"")</f>
        <v/>
      </c>
      <c r="F188" t="str">
        <f>IF($A188&lt;&gt;"",'All Cases - Enter Cases'!F188,"")</f>
        <v/>
      </c>
      <c r="G188" t="str">
        <f>IF($A188&lt;&gt;"",'All Cases - Enter Cases'!G188,"")</f>
        <v/>
      </c>
      <c r="H188" t="str">
        <f>IF($A188&lt;&gt;"",'All Cases - Enter Cases'!H188,"")</f>
        <v/>
      </c>
      <c r="I188" t="str">
        <f>IF($A188&lt;&gt;"",'All Cases - Enter Cases'!I188,"")</f>
        <v/>
      </c>
      <c r="J188" s="4" t="str">
        <f>IF($A188&lt;&gt;"",'All Cases - Enter Cases'!J188,"")</f>
        <v/>
      </c>
      <c r="K188" s="4" t="str">
        <f>IF($A188&lt;&gt;"",'All Cases - Enter Cases'!K188,"")</f>
        <v/>
      </c>
      <c r="L188" s="4" t="str">
        <f>IF($A188&lt;&gt;"",'All Cases - Enter Cases'!L188,"")</f>
        <v/>
      </c>
      <c r="M188" t="str">
        <f>IF($A188&lt;&gt;"",'All Cases - Enter Cases'!M188,"")</f>
        <v/>
      </c>
    </row>
    <row r="189" spans="1:13" x14ac:dyDescent="0.35">
      <c r="A189" s="4" t="str">
        <f>IF('All Cases - Enter Cases'!$F189="Punjab",'All Cases - Enter Cases'!A189,"")</f>
        <v/>
      </c>
      <c r="B189" t="str">
        <f>IF($A189&lt;&gt;"",'All Cases - Enter Cases'!B189,"")</f>
        <v/>
      </c>
      <c r="C189" t="str">
        <f>IF($A189&lt;&gt;"",'All Cases - Enter Cases'!C189,"")</f>
        <v/>
      </c>
      <c r="D189" t="str">
        <f>IF($A189&lt;&gt;"",'All Cases - Enter Cases'!D189,"")</f>
        <v/>
      </c>
      <c r="E189" t="str">
        <f>IF($A189&lt;&gt;"",'All Cases - Enter Cases'!E189,"")</f>
        <v/>
      </c>
      <c r="F189" t="str">
        <f>IF($A189&lt;&gt;"",'All Cases - Enter Cases'!F189,"")</f>
        <v/>
      </c>
      <c r="G189" t="str">
        <f>IF($A189&lt;&gt;"",'All Cases - Enter Cases'!G189,"")</f>
        <v/>
      </c>
      <c r="H189" t="str">
        <f>IF($A189&lt;&gt;"",'All Cases - Enter Cases'!H189,"")</f>
        <v/>
      </c>
      <c r="I189" t="str">
        <f>IF($A189&lt;&gt;"",'All Cases - Enter Cases'!I189,"")</f>
        <v/>
      </c>
      <c r="J189" s="4" t="str">
        <f>IF($A189&lt;&gt;"",'All Cases - Enter Cases'!J189,"")</f>
        <v/>
      </c>
      <c r="K189" s="4" t="str">
        <f>IF($A189&lt;&gt;"",'All Cases - Enter Cases'!K189,"")</f>
        <v/>
      </c>
      <c r="L189" s="4" t="str">
        <f>IF($A189&lt;&gt;"",'All Cases - Enter Cases'!L189,"")</f>
        <v/>
      </c>
      <c r="M189" t="str">
        <f>IF($A189&lt;&gt;"",'All Cases - Enter Cases'!M189,"")</f>
        <v/>
      </c>
    </row>
    <row r="190" spans="1:13" x14ac:dyDescent="0.35">
      <c r="A190" s="4" t="str">
        <f>IF('All Cases - Enter Cases'!$F190="Punjab",'All Cases - Enter Cases'!A190,"")</f>
        <v/>
      </c>
      <c r="B190" t="str">
        <f>IF($A190&lt;&gt;"",'All Cases - Enter Cases'!B190,"")</f>
        <v/>
      </c>
      <c r="C190" t="str">
        <f>IF($A190&lt;&gt;"",'All Cases - Enter Cases'!C190,"")</f>
        <v/>
      </c>
      <c r="D190" t="str">
        <f>IF($A190&lt;&gt;"",'All Cases - Enter Cases'!D190,"")</f>
        <v/>
      </c>
      <c r="E190" t="str">
        <f>IF($A190&lt;&gt;"",'All Cases - Enter Cases'!E190,"")</f>
        <v/>
      </c>
      <c r="F190" t="str">
        <f>IF($A190&lt;&gt;"",'All Cases - Enter Cases'!F190,"")</f>
        <v/>
      </c>
      <c r="G190" t="str">
        <f>IF($A190&lt;&gt;"",'All Cases - Enter Cases'!G190,"")</f>
        <v/>
      </c>
      <c r="H190" t="str">
        <f>IF($A190&lt;&gt;"",'All Cases - Enter Cases'!H190,"")</f>
        <v/>
      </c>
      <c r="I190" t="str">
        <f>IF($A190&lt;&gt;"",'All Cases - Enter Cases'!I190,"")</f>
        <v/>
      </c>
      <c r="J190" s="4" t="str">
        <f>IF($A190&lt;&gt;"",'All Cases - Enter Cases'!J190,"")</f>
        <v/>
      </c>
      <c r="K190" s="4" t="str">
        <f>IF($A190&lt;&gt;"",'All Cases - Enter Cases'!K190,"")</f>
        <v/>
      </c>
      <c r="L190" s="4" t="str">
        <f>IF($A190&lt;&gt;"",'All Cases - Enter Cases'!L190,"")</f>
        <v/>
      </c>
      <c r="M190" t="str">
        <f>IF($A190&lt;&gt;"",'All Cases - Enter Cases'!M190,"")</f>
        <v/>
      </c>
    </row>
    <row r="191" spans="1:13" x14ac:dyDescent="0.35">
      <c r="A191" s="4" t="str">
        <f>IF('All Cases - Enter Cases'!$F191="Punjab",'All Cases - Enter Cases'!A191,"")</f>
        <v/>
      </c>
      <c r="B191" t="str">
        <f>IF($A191&lt;&gt;"",'All Cases - Enter Cases'!B191,"")</f>
        <v/>
      </c>
      <c r="C191" t="str">
        <f>IF($A191&lt;&gt;"",'All Cases - Enter Cases'!C191,"")</f>
        <v/>
      </c>
      <c r="D191" t="str">
        <f>IF($A191&lt;&gt;"",'All Cases - Enter Cases'!D191,"")</f>
        <v/>
      </c>
      <c r="E191" t="str">
        <f>IF($A191&lt;&gt;"",'All Cases - Enter Cases'!E191,"")</f>
        <v/>
      </c>
      <c r="F191" t="str">
        <f>IF($A191&lt;&gt;"",'All Cases - Enter Cases'!F191,"")</f>
        <v/>
      </c>
      <c r="G191" t="str">
        <f>IF($A191&lt;&gt;"",'All Cases - Enter Cases'!G191,"")</f>
        <v/>
      </c>
      <c r="H191" t="str">
        <f>IF($A191&lt;&gt;"",'All Cases - Enter Cases'!H191,"")</f>
        <v/>
      </c>
      <c r="I191" t="str">
        <f>IF($A191&lt;&gt;"",'All Cases - Enter Cases'!I191,"")</f>
        <v/>
      </c>
      <c r="J191" s="4" t="str">
        <f>IF($A191&lt;&gt;"",'All Cases - Enter Cases'!J191,"")</f>
        <v/>
      </c>
      <c r="K191" s="4" t="str">
        <f>IF($A191&lt;&gt;"",'All Cases - Enter Cases'!K191,"")</f>
        <v/>
      </c>
      <c r="L191" s="4" t="str">
        <f>IF($A191&lt;&gt;"",'All Cases - Enter Cases'!L191,"")</f>
        <v/>
      </c>
      <c r="M191" t="str">
        <f>IF($A191&lt;&gt;"",'All Cases - Enter Cases'!M191,"")</f>
        <v/>
      </c>
    </row>
    <row r="192" spans="1:13" x14ac:dyDescent="0.35">
      <c r="A192" s="4" t="str">
        <f>IF('All Cases - Enter Cases'!$F192="Punjab",'All Cases - Enter Cases'!A192,"")</f>
        <v/>
      </c>
      <c r="B192" t="str">
        <f>IF($A192&lt;&gt;"",'All Cases - Enter Cases'!B192,"")</f>
        <v/>
      </c>
      <c r="C192" t="str">
        <f>IF($A192&lt;&gt;"",'All Cases - Enter Cases'!C192,"")</f>
        <v/>
      </c>
      <c r="D192" t="str">
        <f>IF($A192&lt;&gt;"",'All Cases - Enter Cases'!D192,"")</f>
        <v/>
      </c>
      <c r="E192" t="str">
        <f>IF($A192&lt;&gt;"",'All Cases - Enter Cases'!E192,"")</f>
        <v/>
      </c>
      <c r="F192" t="str">
        <f>IF($A192&lt;&gt;"",'All Cases - Enter Cases'!F192,"")</f>
        <v/>
      </c>
      <c r="G192" t="str">
        <f>IF($A192&lt;&gt;"",'All Cases - Enter Cases'!G192,"")</f>
        <v/>
      </c>
      <c r="H192" t="str">
        <f>IF($A192&lt;&gt;"",'All Cases - Enter Cases'!H192,"")</f>
        <v/>
      </c>
      <c r="I192" t="str">
        <f>IF($A192&lt;&gt;"",'All Cases - Enter Cases'!I192,"")</f>
        <v/>
      </c>
      <c r="J192" s="4" t="str">
        <f>IF($A192&lt;&gt;"",'All Cases - Enter Cases'!J192,"")</f>
        <v/>
      </c>
      <c r="K192" s="4" t="str">
        <f>IF($A192&lt;&gt;"",'All Cases - Enter Cases'!K192,"")</f>
        <v/>
      </c>
      <c r="L192" s="4" t="str">
        <f>IF($A192&lt;&gt;"",'All Cases - Enter Cases'!L192,"")</f>
        <v/>
      </c>
      <c r="M192" t="str">
        <f>IF($A192&lt;&gt;"",'All Cases - Enter Cases'!M192,"")</f>
        <v/>
      </c>
    </row>
    <row r="193" spans="1:13" x14ac:dyDescent="0.35">
      <c r="A193" s="4" t="str">
        <f>IF('All Cases - Enter Cases'!$F193="Punjab",'All Cases - Enter Cases'!A193,"")</f>
        <v/>
      </c>
      <c r="B193" t="str">
        <f>IF($A193&lt;&gt;"",'All Cases - Enter Cases'!B193,"")</f>
        <v/>
      </c>
      <c r="C193" t="str">
        <f>IF($A193&lt;&gt;"",'All Cases - Enter Cases'!C193,"")</f>
        <v/>
      </c>
      <c r="D193" t="str">
        <f>IF($A193&lt;&gt;"",'All Cases - Enter Cases'!D193,"")</f>
        <v/>
      </c>
      <c r="E193" t="str">
        <f>IF($A193&lt;&gt;"",'All Cases - Enter Cases'!E193,"")</f>
        <v/>
      </c>
      <c r="F193" t="str">
        <f>IF($A193&lt;&gt;"",'All Cases - Enter Cases'!F193,"")</f>
        <v/>
      </c>
      <c r="G193" t="str">
        <f>IF($A193&lt;&gt;"",'All Cases - Enter Cases'!G193,"")</f>
        <v/>
      </c>
      <c r="H193" t="str">
        <f>IF($A193&lt;&gt;"",'All Cases - Enter Cases'!H193,"")</f>
        <v/>
      </c>
      <c r="I193" t="str">
        <f>IF($A193&lt;&gt;"",'All Cases - Enter Cases'!I193,"")</f>
        <v/>
      </c>
      <c r="J193" s="4" t="str">
        <f>IF($A193&lt;&gt;"",'All Cases - Enter Cases'!J193,"")</f>
        <v/>
      </c>
      <c r="K193" s="4" t="str">
        <f>IF($A193&lt;&gt;"",'All Cases - Enter Cases'!K193,"")</f>
        <v/>
      </c>
      <c r="L193" s="4" t="str">
        <f>IF($A193&lt;&gt;"",'All Cases - Enter Cases'!L193,"")</f>
        <v/>
      </c>
      <c r="M193" t="str">
        <f>IF($A193&lt;&gt;"",'All Cases - Enter Cases'!M193,"")</f>
        <v/>
      </c>
    </row>
    <row r="194" spans="1:13" x14ac:dyDescent="0.35">
      <c r="A194" s="4" t="str">
        <f>IF('All Cases - Enter Cases'!$F194="Punjab",'All Cases - Enter Cases'!A194,"")</f>
        <v/>
      </c>
      <c r="B194" t="str">
        <f>IF($A194&lt;&gt;"",'All Cases - Enter Cases'!B194,"")</f>
        <v/>
      </c>
      <c r="C194" t="str">
        <f>IF($A194&lt;&gt;"",'All Cases - Enter Cases'!C194,"")</f>
        <v/>
      </c>
      <c r="D194" t="str">
        <f>IF($A194&lt;&gt;"",'All Cases - Enter Cases'!D194,"")</f>
        <v/>
      </c>
      <c r="E194" t="str">
        <f>IF($A194&lt;&gt;"",'All Cases - Enter Cases'!E194,"")</f>
        <v/>
      </c>
      <c r="F194" t="str">
        <f>IF($A194&lt;&gt;"",'All Cases - Enter Cases'!F194,"")</f>
        <v/>
      </c>
      <c r="G194" t="str">
        <f>IF($A194&lt;&gt;"",'All Cases - Enter Cases'!G194,"")</f>
        <v/>
      </c>
      <c r="H194" t="str">
        <f>IF($A194&lt;&gt;"",'All Cases - Enter Cases'!H194,"")</f>
        <v/>
      </c>
      <c r="I194" t="str">
        <f>IF($A194&lt;&gt;"",'All Cases - Enter Cases'!I194,"")</f>
        <v/>
      </c>
      <c r="J194" s="4" t="str">
        <f>IF($A194&lt;&gt;"",'All Cases - Enter Cases'!J194,"")</f>
        <v/>
      </c>
      <c r="K194" s="4" t="str">
        <f>IF($A194&lt;&gt;"",'All Cases - Enter Cases'!K194,"")</f>
        <v/>
      </c>
      <c r="L194" s="4" t="str">
        <f>IF($A194&lt;&gt;"",'All Cases - Enter Cases'!L194,"")</f>
        <v/>
      </c>
      <c r="M194" t="str">
        <f>IF($A194&lt;&gt;"",'All Cases - Enter Cases'!M194,"")</f>
        <v/>
      </c>
    </row>
    <row r="195" spans="1:13" x14ac:dyDescent="0.35">
      <c r="A195" s="4" t="str">
        <f>IF('All Cases - Enter Cases'!$F195="Punjab",'All Cases - Enter Cases'!A195,"")</f>
        <v/>
      </c>
      <c r="B195" t="str">
        <f>IF($A195&lt;&gt;"",'All Cases - Enter Cases'!B195,"")</f>
        <v/>
      </c>
      <c r="C195" t="str">
        <f>IF($A195&lt;&gt;"",'All Cases - Enter Cases'!C195,"")</f>
        <v/>
      </c>
      <c r="D195" t="str">
        <f>IF($A195&lt;&gt;"",'All Cases - Enter Cases'!D195,"")</f>
        <v/>
      </c>
      <c r="E195" t="str">
        <f>IF($A195&lt;&gt;"",'All Cases - Enter Cases'!E195,"")</f>
        <v/>
      </c>
      <c r="F195" t="str">
        <f>IF($A195&lt;&gt;"",'All Cases - Enter Cases'!F195,"")</f>
        <v/>
      </c>
      <c r="G195" t="str">
        <f>IF($A195&lt;&gt;"",'All Cases - Enter Cases'!G195,"")</f>
        <v/>
      </c>
      <c r="H195" t="str">
        <f>IF($A195&lt;&gt;"",'All Cases - Enter Cases'!H195,"")</f>
        <v/>
      </c>
      <c r="I195" t="str">
        <f>IF($A195&lt;&gt;"",'All Cases - Enter Cases'!I195,"")</f>
        <v/>
      </c>
      <c r="J195" s="4" t="str">
        <f>IF($A195&lt;&gt;"",'All Cases - Enter Cases'!J195,"")</f>
        <v/>
      </c>
      <c r="K195" s="4" t="str">
        <f>IF($A195&lt;&gt;"",'All Cases - Enter Cases'!K195,"")</f>
        <v/>
      </c>
      <c r="L195" s="4" t="str">
        <f>IF($A195&lt;&gt;"",'All Cases - Enter Cases'!L195,"")</f>
        <v/>
      </c>
      <c r="M195" t="str">
        <f>IF($A195&lt;&gt;"",'All Cases - Enter Cases'!M195,"")</f>
        <v/>
      </c>
    </row>
    <row r="196" spans="1:13" x14ac:dyDescent="0.35">
      <c r="A196" s="4" t="str">
        <f>IF('All Cases - Enter Cases'!$F196="Punjab",'All Cases - Enter Cases'!A196,"")</f>
        <v/>
      </c>
      <c r="B196" t="str">
        <f>IF($A196&lt;&gt;"",'All Cases - Enter Cases'!B196,"")</f>
        <v/>
      </c>
      <c r="C196" t="str">
        <f>IF($A196&lt;&gt;"",'All Cases - Enter Cases'!C196,"")</f>
        <v/>
      </c>
      <c r="D196" t="str">
        <f>IF($A196&lt;&gt;"",'All Cases - Enter Cases'!D196,"")</f>
        <v/>
      </c>
      <c r="E196" t="str">
        <f>IF($A196&lt;&gt;"",'All Cases - Enter Cases'!E196,"")</f>
        <v/>
      </c>
      <c r="F196" t="str">
        <f>IF($A196&lt;&gt;"",'All Cases - Enter Cases'!F196,"")</f>
        <v/>
      </c>
      <c r="G196" t="str">
        <f>IF($A196&lt;&gt;"",'All Cases - Enter Cases'!G196,"")</f>
        <v/>
      </c>
      <c r="H196" t="str">
        <f>IF($A196&lt;&gt;"",'All Cases - Enter Cases'!H196,"")</f>
        <v/>
      </c>
      <c r="I196" t="str">
        <f>IF($A196&lt;&gt;"",'All Cases - Enter Cases'!I196,"")</f>
        <v/>
      </c>
      <c r="J196" s="4" t="str">
        <f>IF($A196&lt;&gt;"",'All Cases - Enter Cases'!J196,"")</f>
        <v/>
      </c>
      <c r="K196" s="4" t="str">
        <f>IF($A196&lt;&gt;"",'All Cases - Enter Cases'!K196,"")</f>
        <v/>
      </c>
      <c r="L196" s="4" t="str">
        <f>IF($A196&lt;&gt;"",'All Cases - Enter Cases'!L196,"")</f>
        <v/>
      </c>
      <c r="M196" t="str">
        <f>IF($A196&lt;&gt;"",'All Cases - Enter Cases'!M196,"")</f>
        <v/>
      </c>
    </row>
    <row r="197" spans="1:13" x14ac:dyDescent="0.35">
      <c r="A197" s="4" t="str">
        <f>IF('All Cases - Enter Cases'!$F197="Punjab",'All Cases - Enter Cases'!A197,"")</f>
        <v/>
      </c>
      <c r="B197" t="str">
        <f>IF($A197&lt;&gt;"",'All Cases - Enter Cases'!B197,"")</f>
        <v/>
      </c>
      <c r="C197" t="str">
        <f>IF($A197&lt;&gt;"",'All Cases - Enter Cases'!C197,"")</f>
        <v/>
      </c>
      <c r="D197" t="str">
        <f>IF($A197&lt;&gt;"",'All Cases - Enter Cases'!D197,"")</f>
        <v/>
      </c>
      <c r="E197" t="str">
        <f>IF($A197&lt;&gt;"",'All Cases - Enter Cases'!E197,"")</f>
        <v/>
      </c>
      <c r="F197" t="str">
        <f>IF($A197&lt;&gt;"",'All Cases - Enter Cases'!F197,"")</f>
        <v/>
      </c>
      <c r="G197" t="str">
        <f>IF($A197&lt;&gt;"",'All Cases - Enter Cases'!G197,"")</f>
        <v/>
      </c>
      <c r="H197" t="str">
        <f>IF($A197&lt;&gt;"",'All Cases - Enter Cases'!H197,"")</f>
        <v/>
      </c>
      <c r="I197" t="str">
        <f>IF($A197&lt;&gt;"",'All Cases - Enter Cases'!I197,"")</f>
        <v/>
      </c>
      <c r="J197" s="4" t="str">
        <f>IF($A197&lt;&gt;"",'All Cases - Enter Cases'!J197,"")</f>
        <v/>
      </c>
      <c r="K197" s="4" t="str">
        <f>IF($A197&lt;&gt;"",'All Cases - Enter Cases'!K197,"")</f>
        <v/>
      </c>
      <c r="L197" s="4" t="str">
        <f>IF($A197&lt;&gt;"",'All Cases - Enter Cases'!L197,"")</f>
        <v/>
      </c>
      <c r="M197" t="str">
        <f>IF($A197&lt;&gt;"",'All Cases - Enter Cases'!M197,"")</f>
        <v/>
      </c>
    </row>
    <row r="198" spans="1:13" x14ac:dyDescent="0.35">
      <c r="A198" s="4" t="str">
        <f>IF('All Cases - Enter Cases'!$F198="Punjab",'All Cases - Enter Cases'!A198,"")</f>
        <v/>
      </c>
      <c r="B198" t="str">
        <f>IF($A198&lt;&gt;"",'All Cases - Enter Cases'!B198,"")</f>
        <v/>
      </c>
      <c r="C198" t="str">
        <f>IF($A198&lt;&gt;"",'All Cases - Enter Cases'!C198,"")</f>
        <v/>
      </c>
      <c r="D198" t="str">
        <f>IF($A198&lt;&gt;"",'All Cases - Enter Cases'!D198,"")</f>
        <v/>
      </c>
      <c r="E198" t="str">
        <f>IF($A198&lt;&gt;"",'All Cases - Enter Cases'!E198,"")</f>
        <v/>
      </c>
      <c r="F198" t="str">
        <f>IF($A198&lt;&gt;"",'All Cases - Enter Cases'!F198,"")</f>
        <v/>
      </c>
      <c r="G198" t="str">
        <f>IF($A198&lt;&gt;"",'All Cases - Enter Cases'!G198,"")</f>
        <v/>
      </c>
      <c r="H198" t="str">
        <f>IF($A198&lt;&gt;"",'All Cases - Enter Cases'!H198,"")</f>
        <v/>
      </c>
      <c r="I198" t="str">
        <f>IF($A198&lt;&gt;"",'All Cases - Enter Cases'!I198,"")</f>
        <v/>
      </c>
      <c r="J198" s="4" t="str">
        <f>IF($A198&lt;&gt;"",'All Cases - Enter Cases'!J198,"")</f>
        <v/>
      </c>
      <c r="K198" s="4" t="str">
        <f>IF($A198&lt;&gt;"",'All Cases - Enter Cases'!K198,"")</f>
        <v/>
      </c>
      <c r="L198" s="4" t="str">
        <f>IF($A198&lt;&gt;"",'All Cases - Enter Cases'!L198,"")</f>
        <v/>
      </c>
      <c r="M198" t="str">
        <f>IF($A198&lt;&gt;"",'All Cases - Enter Cases'!M198,"")</f>
        <v/>
      </c>
    </row>
    <row r="199" spans="1:13" x14ac:dyDescent="0.35">
      <c r="A199" s="4" t="str">
        <f>IF('All Cases - Enter Cases'!$F199="Punjab",'All Cases - Enter Cases'!A199,"")</f>
        <v/>
      </c>
      <c r="B199" t="str">
        <f>IF($A199&lt;&gt;"",'All Cases - Enter Cases'!B199,"")</f>
        <v/>
      </c>
      <c r="C199" t="str">
        <f>IF($A199&lt;&gt;"",'All Cases - Enter Cases'!C199,"")</f>
        <v/>
      </c>
      <c r="D199" t="str">
        <f>IF($A199&lt;&gt;"",'All Cases - Enter Cases'!D199,"")</f>
        <v/>
      </c>
      <c r="E199" t="str">
        <f>IF($A199&lt;&gt;"",'All Cases - Enter Cases'!E199,"")</f>
        <v/>
      </c>
      <c r="F199" t="str">
        <f>IF($A199&lt;&gt;"",'All Cases - Enter Cases'!F199,"")</f>
        <v/>
      </c>
      <c r="G199" t="str">
        <f>IF($A199&lt;&gt;"",'All Cases - Enter Cases'!G199,"")</f>
        <v/>
      </c>
      <c r="H199" t="str">
        <f>IF($A199&lt;&gt;"",'All Cases - Enter Cases'!H199,"")</f>
        <v/>
      </c>
      <c r="I199" t="str">
        <f>IF($A199&lt;&gt;"",'All Cases - Enter Cases'!I199,"")</f>
        <v/>
      </c>
      <c r="J199" s="4" t="str">
        <f>IF($A199&lt;&gt;"",'All Cases - Enter Cases'!J199,"")</f>
        <v/>
      </c>
      <c r="K199" s="4" t="str">
        <f>IF($A199&lt;&gt;"",'All Cases - Enter Cases'!K199,"")</f>
        <v/>
      </c>
      <c r="L199" s="4" t="str">
        <f>IF($A199&lt;&gt;"",'All Cases - Enter Cases'!L199,"")</f>
        <v/>
      </c>
      <c r="M199" t="str">
        <f>IF($A199&lt;&gt;"",'All Cases - Enter Cases'!M199,"")</f>
        <v/>
      </c>
    </row>
    <row r="200" spans="1:13" x14ac:dyDescent="0.35">
      <c r="A200" s="4" t="str">
        <f>IF('All Cases - Enter Cases'!$F200="Punjab",'All Cases - Enter Cases'!A200,"")</f>
        <v/>
      </c>
      <c r="B200" t="str">
        <f>IF($A200&lt;&gt;"",'All Cases - Enter Cases'!B200,"")</f>
        <v/>
      </c>
      <c r="C200" t="str">
        <f>IF($A200&lt;&gt;"",'All Cases - Enter Cases'!C200,"")</f>
        <v/>
      </c>
      <c r="D200" t="str">
        <f>IF($A200&lt;&gt;"",'All Cases - Enter Cases'!D200,"")</f>
        <v/>
      </c>
      <c r="E200" t="str">
        <f>IF($A200&lt;&gt;"",'All Cases - Enter Cases'!E200,"")</f>
        <v/>
      </c>
      <c r="F200" t="str">
        <f>IF($A200&lt;&gt;"",'All Cases - Enter Cases'!F200,"")</f>
        <v/>
      </c>
      <c r="G200" t="str">
        <f>IF($A200&lt;&gt;"",'All Cases - Enter Cases'!G200,"")</f>
        <v/>
      </c>
      <c r="H200" t="str">
        <f>IF($A200&lt;&gt;"",'All Cases - Enter Cases'!H200,"")</f>
        <v/>
      </c>
      <c r="I200" t="str">
        <f>IF($A200&lt;&gt;"",'All Cases - Enter Cases'!I200,"")</f>
        <v/>
      </c>
      <c r="J200" s="4" t="str">
        <f>IF($A200&lt;&gt;"",'All Cases - Enter Cases'!J200,"")</f>
        <v/>
      </c>
      <c r="K200" s="4" t="str">
        <f>IF($A200&lt;&gt;"",'All Cases - Enter Cases'!K200,"")</f>
        <v/>
      </c>
      <c r="L200" s="4" t="str">
        <f>IF($A200&lt;&gt;"",'All Cases - Enter Cases'!L200,"")</f>
        <v/>
      </c>
      <c r="M200" t="str">
        <f>IF($A200&lt;&gt;"",'All Cases - Enter Cases'!M200,"")</f>
        <v/>
      </c>
    </row>
    <row r="201" spans="1:13" x14ac:dyDescent="0.35">
      <c r="A201" s="4" t="str">
        <f>IF('All Cases - Enter Cases'!$F201="Punjab",'All Cases - Enter Cases'!A201,"")</f>
        <v/>
      </c>
      <c r="B201" t="str">
        <f>IF($A201&lt;&gt;"",'All Cases - Enter Cases'!B201,"")</f>
        <v/>
      </c>
      <c r="C201" t="str">
        <f>IF($A201&lt;&gt;"",'All Cases - Enter Cases'!C201,"")</f>
        <v/>
      </c>
      <c r="D201" t="str">
        <f>IF($A201&lt;&gt;"",'All Cases - Enter Cases'!D201,"")</f>
        <v/>
      </c>
      <c r="E201" t="str">
        <f>IF($A201&lt;&gt;"",'All Cases - Enter Cases'!E201,"")</f>
        <v/>
      </c>
      <c r="F201" t="str">
        <f>IF($A201&lt;&gt;"",'All Cases - Enter Cases'!F201,"")</f>
        <v/>
      </c>
      <c r="G201" t="str">
        <f>IF($A201&lt;&gt;"",'All Cases - Enter Cases'!G201,"")</f>
        <v/>
      </c>
      <c r="H201" t="str">
        <f>IF($A201&lt;&gt;"",'All Cases - Enter Cases'!H201,"")</f>
        <v/>
      </c>
      <c r="I201" t="str">
        <f>IF($A201&lt;&gt;"",'All Cases - Enter Cases'!I201,"")</f>
        <v/>
      </c>
      <c r="J201" s="4" t="str">
        <f>IF($A201&lt;&gt;"",'All Cases - Enter Cases'!J201,"")</f>
        <v/>
      </c>
      <c r="K201" s="4" t="str">
        <f>IF($A201&lt;&gt;"",'All Cases - Enter Cases'!K201,"")</f>
        <v/>
      </c>
      <c r="L201" s="4" t="str">
        <f>IF($A201&lt;&gt;"",'All Cases - Enter Cases'!L201,"")</f>
        <v/>
      </c>
      <c r="M201" t="str">
        <f>IF($A201&lt;&gt;"",'All Cases - Enter Cases'!M201,"")</f>
        <v/>
      </c>
    </row>
    <row r="202" spans="1:13" x14ac:dyDescent="0.35">
      <c r="A202" s="4" t="str">
        <f>IF('All Cases - Enter Cases'!$F202="Punjab",'All Cases - Enter Cases'!A202,"")</f>
        <v/>
      </c>
      <c r="B202" t="str">
        <f>IF($A202&lt;&gt;"",'All Cases - Enter Cases'!B202,"")</f>
        <v/>
      </c>
      <c r="C202" t="str">
        <f>IF($A202&lt;&gt;"",'All Cases - Enter Cases'!C202,"")</f>
        <v/>
      </c>
      <c r="D202" t="str">
        <f>IF($A202&lt;&gt;"",'All Cases - Enter Cases'!D202,"")</f>
        <v/>
      </c>
      <c r="E202" t="str">
        <f>IF($A202&lt;&gt;"",'All Cases - Enter Cases'!E202,"")</f>
        <v/>
      </c>
      <c r="F202" t="str">
        <f>IF($A202&lt;&gt;"",'All Cases - Enter Cases'!F202,"")</f>
        <v/>
      </c>
      <c r="G202" t="str">
        <f>IF($A202&lt;&gt;"",'All Cases - Enter Cases'!G202,"")</f>
        <v/>
      </c>
      <c r="H202" t="str">
        <f>IF($A202&lt;&gt;"",'All Cases - Enter Cases'!H202,"")</f>
        <v/>
      </c>
      <c r="I202" t="str">
        <f>IF($A202&lt;&gt;"",'All Cases - Enter Cases'!I202,"")</f>
        <v/>
      </c>
      <c r="J202" s="4" t="str">
        <f>IF($A202&lt;&gt;"",'All Cases - Enter Cases'!J202,"")</f>
        <v/>
      </c>
      <c r="K202" s="4" t="str">
        <f>IF($A202&lt;&gt;"",'All Cases - Enter Cases'!K202,"")</f>
        <v/>
      </c>
      <c r="L202" s="4" t="str">
        <f>IF($A202&lt;&gt;"",'All Cases - Enter Cases'!L202,"")</f>
        <v/>
      </c>
      <c r="M202" t="str">
        <f>IF($A202&lt;&gt;"",'All Cases - Enter Cases'!M202,"")</f>
        <v/>
      </c>
    </row>
    <row r="203" spans="1:13" x14ac:dyDescent="0.35">
      <c r="A203" s="4" t="str">
        <f>IF('All Cases - Enter Cases'!$F203="Punjab",'All Cases - Enter Cases'!A203,"")</f>
        <v/>
      </c>
      <c r="B203" t="str">
        <f>IF($A203&lt;&gt;"",'All Cases - Enter Cases'!B203,"")</f>
        <v/>
      </c>
      <c r="C203" t="str">
        <f>IF($A203&lt;&gt;"",'All Cases - Enter Cases'!C203,"")</f>
        <v/>
      </c>
      <c r="D203" t="str">
        <f>IF($A203&lt;&gt;"",'All Cases - Enter Cases'!D203,"")</f>
        <v/>
      </c>
      <c r="E203" t="str">
        <f>IF($A203&lt;&gt;"",'All Cases - Enter Cases'!E203,"")</f>
        <v/>
      </c>
      <c r="F203" t="str">
        <f>IF($A203&lt;&gt;"",'All Cases - Enter Cases'!F203,"")</f>
        <v/>
      </c>
      <c r="G203" t="str">
        <f>IF($A203&lt;&gt;"",'All Cases - Enter Cases'!G203,"")</f>
        <v/>
      </c>
      <c r="H203" t="str">
        <f>IF($A203&lt;&gt;"",'All Cases - Enter Cases'!H203,"")</f>
        <v/>
      </c>
      <c r="I203" t="str">
        <f>IF($A203&lt;&gt;"",'All Cases - Enter Cases'!I203,"")</f>
        <v/>
      </c>
      <c r="J203" s="4" t="str">
        <f>IF($A203&lt;&gt;"",'All Cases - Enter Cases'!J203,"")</f>
        <v/>
      </c>
      <c r="K203" s="4" t="str">
        <f>IF($A203&lt;&gt;"",'All Cases - Enter Cases'!K203,"")</f>
        <v/>
      </c>
      <c r="L203" s="4" t="str">
        <f>IF($A203&lt;&gt;"",'All Cases - Enter Cases'!L203,"")</f>
        <v/>
      </c>
      <c r="M203" t="str">
        <f>IF($A203&lt;&gt;"",'All Cases - Enter Cases'!M203,"")</f>
        <v/>
      </c>
    </row>
    <row r="204" spans="1:13" x14ac:dyDescent="0.35">
      <c r="A204" s="4" t="str">
        <f>IF('All Cases - Enter Cases'!$F204="Punjab",'All Cases - Enter Cases'!A204,"")</f>
        <v/>
      </c>
      <c r="B204" t="str">
        <f>IF($A204&lt;&gt;"",'All Cases - Enter Cases'!B204,"")</f>
        <v/>
      </c>
      <c r="C204" t="str">
        <f>IF($A204&lt;&gt;"",'All Cases - Enter Cases'!C204,"")</f>
        <v/>
      </c>
      <c r="D204" t="str">
        <f>IF($A204&lt;&gt;"",'All Cases - Enter Cases'!D204,"")</f>
        <v/>
      </c>
      <c r="E204" t="str">
        <f>IF($A204&lt;&gt;"",'All Cases - Enter Cases'!E204,"")</f>
        <v/>
      </c>
      <c r="F204" t="str">
        <f>IF($A204&lt;&gt;"",'All Cases - Enter Cases'!F204,"")</f>
        <v/>
      </c>
      <c r="G204" t="str">
        <f>IF($A204&lt;&gt;"",'All Cases - Enter Cases'!G204,"")</f>
        <v/>
      </c>
      <c r="H204" t="str">
        <f>IF($A204&lt;&gt;"",'All Cases - Enter Cases'!H204,"")</f>
        <v/>
      </c>
      <c r="I204" t="str">
        <f>IF($A204&lt;&gt;"",'All Cases - Enter Cases'!I204,"")</f>
        <v/>
      </c>
      <c r="J204" s="4" t="str">
        <f>IF($A204&lt;&gt;"",'All Cases - Enter Cases'!J204,"")</f>
        <v/>
      </c>
      <c r="K204" s="4" t="str">
        <f>IF($A204&lt;&gt;"",'All Cases - Enter Cases'!K204,"")</f>
        <v/>
      </c>
      <c r="L204" s="4" t="str">
        <f>IF($A204&lt;&gt;"",'All Cases - Enter Cases'!L204,"")</f>
        <v/>
      </c>
      <c r="M204" t="str">
        <f>IF($A204&lt;&gt;"",'All Cases - Enter Cases'!M204,"")</f>
        <v/>
      </c>
    </row>
    <row r="205" spans="1:13" x14ac:dyDescent="0.35">
      <c r="A205" s="4" t="str">
        <f>IF('All Cases - Enter Cases'!$F205="Punjab",'All Cases - Enter Cases'!A205,"")</f>
        <v/>
      </c>
      <c r="B205" t="str">
        <f>IF($A205&lt;&gt;"",'All Cases - Enter Cases'!B205,"")</f>
        <v/>
      </c>
      <c r="C205" t="str">
        <f>IF($A205&lt;&gt;"",'All Cases - Enter Cases'!C205,"")</f>
        <v/>
      </c>
      <c r="D205" t="str">
        <f>IF($A205&lt;&gt;"",'All Cases - Enter Cases'!D205,"")</f>
        <v/>
      </c>
      <c r="E205" t="str">
        <f>IF($A205&lt;&gt;"",'All Cases - Enter Cases'!E205,"")</f>
        <v/>
      </c>
      <c r="F205" t="str">
        <f>IF($A205&lt;&gt;"",'All Cases - Enter Cases'!F205,"")</f>
        <v/>
      </c>
      <c r="G205" t="str">
        <f>IF($A205&lt;&gt;"",'All Cases - Enter Cases'!G205,"")</f>
        <v/>
      </c>
      <c r="H205" t="str">
        <f>IF($A205&lt;&gt;"",'All Cases - Enter Cases'!H205,"")</f>
        <v/>
      </c>
      <c r="I205" t="str">
        <f>IF($A205&lt;&gt;"",'All Cases - Enter Cases'!I205,"")</f>
        <v/>
      </c>
      <c r="J205" s="4" t="str">
        <f>IF($A205&lt;&gt;"",'All Cases - Enter Cases'!J205,"")</f>
        <v/>
      </c>
      <c r="K205" s="4" t="str">
        <f>IF($A205&lt;&gt;"",'All Cases - Enter Cases'!K205,"")</f>
        <v/>
      </c>
      <c r="L205" s="4" t="str">
        <f>IF($A205&lt;&gt;"",'All Cases - Enter Cases'!L205,"")</f>
        <v/>
      </c>
      <c r="M205" t="str">
        <f>IF($A205&lt;&gt;"",'All Cases - Enter Cases'!M205,"")</f>
        <v/>
      </c>
    </row>
    <row r="206" spans="1:13" x14ac:dyDescent="0.35">
      <c r="A206" s="4" t="str">
        <f>IF('All Cases - Enter Cases'!$F206="Punjab",'All Cases - Enter Cases'!A206,"")</f>
        <v/>
      </c>
      <c r="B206" t="str">
        <f>IF($A206&lt;&gt;"",'All Cases - Enter Cases'!B206,"")</f>
        <v/>
      </c>
      <c r="C206" t="str">
        <f>IF($A206&lt;&gt;"",'All Cases - Enter Cases'!C206,"")</f>
        <v/>
      </c>
      <c r="D206" t="str">
        <f>IF($A206&lt;&gt;"",'All Cases - Enter Cases'!D206,"")</f>
        <v/>
      </c>
      <c r="E206" t="str">
        <f>IF($A206&lt;&gt;"",'All Cases - Enter Cases'!E206,"")</f>
        <v/>
      </c>
      <c r="F206" t="str">
        <f>IF($A206&lt;&gt;"",'All Cases - Enter Cases'!F206,"")</f>
        <v/>
      </c>
      <c r="G206" t="str">
        <f>IF($A206&lt;&gt;"",'All Cases - Enter Cases'!G206,"")</f>
        <v/>
      </c>
      <c r="H206" t="str">
        <f>IF($A206&lt;&gt;"",'All Cases - Enter Cases'!H206,"")</f>
        <v/>
      </c>
      <c r="I206" t="str">
        <f>IF($A206&lt;&gt;"",'All Cases - Enter Cases'!I206,"")</f>
        <v/>
      </c>
      <c r="J206" s="4" t="str">
        <f>IF($A206&lt;&gt;"",'All Cases - Enter Cases'!J206,"")</f>
        <v/>
      </c>
      <c r="K206" s="4" t="str">
        <f>IF($A206&lt;&gt;"",'All Cases - Enter Cases'!K206,"")</f>
        <v/>
      </c>
      <c r="L206" s="4" t="str">
        <f>IF($A206&lt;&gt;"",'All Cases - Enter Cases'!L206,"")</f>
        <v/>
      </c>
      <c r="M206" t="str">
        <f>IF($A206&lt;&gt;"",'All Cases - Enter Cases'!M206,"")</f>
        <v/>
      </c>
    </row>
    <row r="207" spans="1:13" x14ac:dyDescent="0.35">
      <c r="A207" s="4" t="str">
        <f>IF('All Cases - Enter Cases'!$F207="Punjab",'All Cases - Enter Cases'!A207,"")</f>
        <v/>
      </c>
      <c r="B207" t="str">
        <f>IF($A207&lt;&gt;"",'All Cases - Enter Cases'!B207,"")</f>
        <v/>
      </c>
      <c r="C207" t="str">
        <f>IF($A207&lt;&gt;"",'All Cases - Enter Cases'!C207,"")</f>
        <v/>
      </c>
      <c r="D207" t="str">
        <f>IF($A207&lt;&gt;"",'All Cases - Enter Cases'!D207,"")</f>
        <v/>
      </c>
      <c r="E207" t="str">
        <f>IF($A207&lt;&gt;"",'All Cases - Enter Cases'!E207,"")</f>
        <v/>
      </c>
      <c r="F207" t="str">
        <f>IF($A207&lt;&gt;"",'All Cases - Enter Cases'!F207,"")</f>
        <v/>
      </c>
      <c r="G207" t="str">
        <f>IF($A207&lt;&gt;"",'All Cases - Enter Cases'!G207,"")</f>
        <v/>
      </c>
      <c r="H207" t="str">
        <f>IF($A207&lt;&gt;"",'All Cases - Enter Cases'!H207,"")</f>
        <v/>
      </c>
      <c r="I207" t="str">
        <f>IF($A207&lt;&gt;"",'All Cases - Enter Cases'!I207,"")</f>
        <v/>
      </c>
      <c r="J207" s="4" t="str">
        <f>IF($A207&lt;&gt;"",'All Cases - Enter Cases'!J207,"")</f>
        <v/>
      </c>
      <c r="K207" s="4" t="str">
        <f>IF($A207&lt;&gt;"",'All Cases - Enter Cases'!K207,"")</f>
        <v/>
      </c>
      <c r="L207" s="4" t="str">
        <f>IF($A207&lt;&gt;"",'All Cases - Enter Cases'!L207,"")</f>
        <v/>
      </c>
      <c r="M207" t="str">
        <f>IF($A207&lt;&gt;"",'All Cases - Enter Cases'!M207,"")</f>
        <v/>
      </c>
    </row>
    <row r="208" spans="1:13" x14ac:dyDescent="0.35">
      <c r="A208" s="4" t="str">
        <f>IF('All Cases - Enter Cases'!$F208="Punjab",'All Cases - Enter Cases'!A208,"")</f>
        <v/>
      </c>
      <c r="B208" t="str">
        <f>IF($A208&lt;&gt;"",'All Cases - Enter Cases'!B208,"")</f>
        <v/>
      </c>
      <c r="C208" t="str">
        <f>IF($A208&lt;&gt;"",'All Cases - Enter Cases'!C208,"")</f>
        <v/>
      </c>
      <c r="D208" t="str">
        <f>IF($A208&lt;&gt;"",'All Cases - Enter Cases'!D208,"")</f>
        <v/>
      </c>
      <c r="E208" t="str">
        <f>IF($A208&lt;&gt;"",'All Cases - Enter Cases'!E208,"")</f>
        <v/>
      </c>
      <c r="F208" t="str">
        <f>IF($A208&lt;&gt;"",'All Cases - Enter Cases'!F208,"")</f>
        <v/>
      </c>
      <c r="G208" t="str">
        <f>IF($A208&lt;&gt;"",'All Cases - Enter Cases'!G208,"")</f>
        <v/>
      </c>
      <c r="H208" t="str">
        <f>IF($A208&lt;&gt;"",'All Cases - Enter Cases'!H208,"")</f>
        <v/>
      </c>
      <c r="I208" t="str">
        <f>IF($A208&lt;&gt;"",'All Cases - Enter Cases'!I208,"")</f>
        <v/>
      </c>
      <c r="J208" s="4" t="str">
        <f>IF($A208&lt;&gt;"",'All Cases - Enter Cases'!J208,"")</f>
        <v/>
      </c>
      <c r="K208" s="4" t="str">
        <f>IF($A208&lt;&gt;"",'All Cases - Enter Cases'!K208,"")</f>
        <v/>
      </c>
      <c r="L208" s="4" t="str">
        <f>IF($A208&lt;&gt;"",'All Cases - Enter Cases'!L208,"")</f>
        <v/>
      </c>
      <c r="M208" t="str">
        <f>IF($A208&lt;&gt;"",'All Cases - Enter Cases'!M208,"")</f>
        <v/>
      </c>
    </row>
    <row r="209" spans="1:13" x14ac:dyDescent="0.35">
      <c r="A209" s="4" t="str">
        <f>IF('All Cases - Enter Cases'!$F209="Punjab",'All Cases - Enter Cases'!A209,"")</f>
        <v/>
      </c>
      <c r="B209" t="str">
        <f>IF($A209&lt;&gt;"",'All Cases - Enter Cases'!B209,"")</f>
        <v/>
      </c>
      <c r="C209" t="str">
        <f>IF($A209&lt;&gt;"",'All Cases - Enter Cases'!C209,"")</f>
        <v/>
      </c>
      <c r="D209" t="str">
        <f>IF($A209&lt;&gt;"",'All Cases - Enter Cases'!D209,"")</f>
        <v/>
      </c>
      <c r="E209" t="str">
        <f>IF($A209&lt;&gt;"",'All Cases - Enter Cases'!E209,"")</f>
        <v/>
      </c>
      <c r="F209" t="str">
        <f>IF($A209&lt;&gt;"",'All Cases - Enter Cases'!F209,"")</f>
        <v/>
      </c>
      <c r="G209" t="str">
        <f>IF($A209&lt;&gt;"",'All Cases - Enter Cases'!G209,"")</f>
        <v/>
      </c>
      <c r="H209" t="str">
        <f>IF($A209&lt;&gt;"",'All Cases - Enter Cases'!H209,"")</f>
        <v/>
      </c>
      <c r="I209" t="str">
        <f>IF($A209&lt;&gt;"",'All Cases - Enter Cases'!I209,"")</f>
        <v/>
      </c>
      <c r="J209" s="4" t="str">
        <f>IF($A209&lt;&gt;"",'All Cases - Enter Cases'!J209,"")</f>
        <v/>
      </c>
      <c r="K209" s="4" t="str">
        <f>IF($A209&lt;&gt;"",'All Cases - Enter Cases'!K209,"")</f>
        <v/>
      </c>
      <c r="L209" s="4" t="str">
        <f>IF($A209&lt;&gt;"",'All Cases - Enter Cases'!L209,"")</f>
        <v/>
      </c>
      <c r="M209" t="str">
        <f>IF($A209&lt;&gt;"",'All Cases - Enter Cases'!M209,"")</f>
        <v/>
      </c>
    </row>
    <row r="210" spans="1:13" x14ac:dyDescent="0.35">
      <c r="A210" s="4" t="str">
        <f>IF('All Cases - Enter Cases'!$F210="Punjab",'All Cases - Enter Cases'!A210,"")</f>
        <v/>
      </c>
      <c r="B210" t="str">
        <f>IF($A210&lt;&gt;"",'All Cases - Enter Cases'!B210,"")</f>
        <v/>
      </c>
      <c r="C210" t="str">
        <f>IF($A210&lt;&gt;"",'All Cases - Enter Cases'!C210,"")</f>
        <v/>
      </c>
      <c r="D210" t="str">
        <f>IF($A210&lt;&gt;"",'All Cases - Enter Cases'!D210,"")</f>
        <v/>
      </c>
      <c r="E210" t="str">
        <f>IF($A210&lt;&gt;"",'All Cases - Enter Cases'!E210,"")</f>
        <v/>
      </c>
      <c r="F210" t="str">
        <f>IF($A210&lt;&gt;"",'All Cases - Enter Cases'!F210,"")</f>
        <v/>
      </c>
      <c r="G210" t="str">
        <f>IF($A210&lt;&gt;"",'All Cases - Enter Cases'!G210,"")</f>
        <v/>
      </c>
      <c r="H210" t="str">
        <f>IF($A210&lt;&gt;"",'All Cases - Enter Cases'!H210,"")</f>
        <v/>
      </c>
      <c r="I210" t="str">
        <f>IF($A210&lt;&gt;"",'All Cases - Enter Cases'!I210,"")</f>
        <v/>
      </c>
      <c r="J210" s="4" t="str">
        <f>IF($A210&lt;&gt;"",'All Cases - Enter Cases'!J210,"")</f>
        <v/>
      </c>
      <c r="K210" s="4" t="str">
        <f>IF($A210&lt;&gt;"",'All Cases - Enter Cases'!K210,"")</f>
        <v/>
      </c>
      <c r="L210" s="4" t="str">
        <f>IF($A210&lt;&gt;"",'All Cases - Enter Cases'!L210,"")</f>
        <v/>
      </c>
      <c r="M210" t="str">
        <f>IF($A210&lt;&gt;"",'All Cases - Enter Cases'!M210,"")</f>
        <v/>
      </c>
    </row>
    <row r="211" spans="1:13" x14ac:dyDescent="0.35">
      <c r="A211" s="4" t="str">
        <f>IF('All Cases - Enter Cases'!$F211="Punjab",'All Cases - Enter Cases'!A211,"")</f>
        <v/>
      </c>
      <c r="B211" t="str">
        <f>IF($A211&lt;&gt;"",'All Cases - Enter Cases'!B211,"")</f>
        <v/>
      </c>
      <c r="C211" t="str">
        <f>IF($A211&lt;&gt;"",'All Cases - Enter Cases'!C211,"")</f>
        <v/>
      </c>
      <c r="D211" t="str">
        <f>IF($A211&lt;&gt;"",'All Cases - Enter Cases'!D211,"")</f>
        <v/>
      </c>
      <c r="E211" t="str">
        <f>IF($A211&lt;&gt;"",'All Cases - Enter Cases'!E211,"")</f>
        <v/>
      </c>
      <c r="F211" t="str">
        <f>IF($A211&lt;&gt;"",'All Cases - Enter Cases'!F211,"")</f>
        <v/>
      </c>
      <c r="G211" t="str">
        <f>IF($A211&lt;&gt;"",'All Cases - Enter Cases'!G211,"")</f>
        <v/>
      </c>
      <c r="H211" t="str">
        <f>IF($A211&lt;&gt;"",'All Cases - Enter Cases'!H211,"")</f>
        <v/>
      </c>
      <c r="I211" t="str">
        <f>IF($A211&lt;&gt;"",'All Cases - Enter Cases'!I211,"")</f>
        <v/>
      </c>
      <c r="J211" s="4" t="str">
        <f>IF($A211&lt;&gt;"",'All Cases - Enter Cases'!J211,"")</f>
        <v/>
      </c>
      <c r="K211" s="4" t="str">
        <f>IF($A211&lt;&gt;"",'All Cases - Enter Cases'!K211,"")</f>
        <v/>
      </c>
      <c r="L211" s="4" t="str">
        <f>IF($A211&lt;&gt;"",'All Cases - Enter Cases'!L211,"")</f>
        <v/>
      </c>
      <c r="M211" t="str">
        <f>IF($A211&lt;&gt;"",'All Cases - Enter Cases'!M211,"")</f>
        <v/>
      </c>
    </row>
    <row r="212" spans="1:13" x14ac:dyDescent="0.35">
      <c r="A212" s="4" t="str">
        <f>IF('All Cases - Enter Cases'!$F212="Punjab",'All Cases - Enter Cases'!A212,"")</f>
        <v/>
      </c>
      <c r="B212" t="str">
        <f>IF($A212&lt;&gt;"",'All Cases - Enter Cases'!B212,"")</f>
        <v/>
      </c>
      <c r="C212" t="str">
        <f>IF($A212&lt;&gt;"",'All Cases - Enter Cases'!C212,"")</f>
        <v/>
      </c>
      <c r="D212" t="str">
        <f>IF($A212&lt;&gt;"",'All Cases - Enter Cases'!D212,"")</f>
        <v/>
      </c>
      <c r="E212" t="str">
        <f>IF($A212&lt;&gt;"",'All Cases - Enter Cases'!E212,"")</f>
        <v/>
      </c>
      <c r="F212" t="str">
        <f>IF($A212&lt;&gt;"",'All Cases - Enter Cases'!F212,"")</f>
        <v/>
      </c>
      <c r="G212" t="str">
        <f>IF($A212&lt;&gt;"",'All Cases - Enter Cases'!G212,"")</f>
        <v/>
      </c>
      <c r="H212" t="str">
        <f>IF($A212&lt;&gt;"",'All Cases - Enter Cases'!H212,"")</f>
        <v/>
      </c>
      <c r="I212" t="str">
        <f>IF($A212&lt;&gt;"",'All Cases - Enter Cases'!I212,"")</f>
        <v/>
      </c>
      <c r="J212" s="4" t="str">
        <f>IF($A212&lt;&gt;"",'All Cases - Enter Cases'!J212,"")</f>
        <v/>
      </c>
      <c r="K212" s="4" t="str">
        <f>IF($A212&lt;&gt;"",'All Cases - Enter Cases'!K212,"")</f>
        <v/>
      </c>
      <c r="L212" s="4" t="str">
        <f>IF($A212&lt;&gt;"",'All Cases - Enter Cases'!L212,"")</f>
        <v/>
      </c>
      <c r="M212" t="str">
        <f>IF($A212&lt;&gt;"",'All Cases - Enter Cases'!M212,"")</f>
        <v/>
      </c>
    </row>
    <row r="213" spans="1:13" x14ac:dyDescent="0.35">
      <c r="A213" s="4" t="str">
        <f>IF('All Cases - Enter Cases'!$F213="Punjab",'All Cases - Enter Cases'!A213,"")</f>
        <v/>
      </c>
      <c r="B213" t="str">
        <f>IF($A213&lt;&gt;"",'All Cases - Enter Cases'!B213,"")</f>
        <v/>
      </c>
      <c r="C213" t="str">
        <f>IF($A213&lt;&gt;"",'All Cases - Enter Cases'!C213,"")</f>
        <v/>
      </c>
      <c r="D213" t="str">
        <f>IF($A213&lt;&gt;"",'All Cases - Enter Cases'!D213,"")</f>
        <v/>
      </c>
      <c r="E213" t="str">
        <f>IF($A213&lt;&gt;"",'All Cases - Enter Cases'!E213,"")</f>
        <v/>
      </c>
      <c r="F213" t="str">
        <f>IF($A213&lt;&gt;"",'All Cases - Enter Cases'!F213,"")</f>
        <v/>
      </c>
      <c r="G213" t="str">
        <f>IF($A213&lt;&gt;"",'All Cases - Enter Cases'!G213,"")</f>
        <v/>
      </c>
      <c r="H213" t="str">
        <f>IF($A213&lt;&gt;"",'All Cases - Enter Cases'!H213,"")</f>
        <v/>
      </c>
      <c r="I213" t="str">
        <f>IF($A213&lt;&gt;"",'All Cases - Enter Cases'!I213,"")</f>
        <v/>
      </c>
      <c r="J213" s="4" t="str">
        <f>IF($A213&lt;&gt;"",'All Cases - Enter Cases'!J213,"")</f>
        <v/>
      </c>
      <c r="K213" s="4" t="str">
        <f>IF($A213&lt;&gt;"",'All Cases - Enter Cases'!K213,"")</f>
        <v/>
      </c>
      <c r="L213" s="4" t="str">
        <f>IF($A213&lt;&gt;"",'All Cases - Enter Cases'!L213,"")</f>
        <v/>
      </c>
      <c r="M213" t="str">
        <f>IF($A213&lt;&gt;"",'All Cases - Enter Cases'!M213,"")</f>
        <v/>
      </c>
    </row>
    <row r="214" spans="1:13" x14ac:dyDescent="0.35">
      <c r="A214" s="4" t="str">
        <f>IF('All Cases - Enter Cases'!$F214="Punjab",'All Cases - Enter Cases'!A214,"")</f>
        <v/>
      </c>
      <c r="B214" t="str">
        <f>IF($A214&lt;&gt;"",'All Cases - Enter Cases'!B214,"")</f>
        <v/>
      </c>
      <c r="C214" t="str">
        <f>IF($A214&lt;&gt;"",'All Cases - Enter Cases'!C214,"")</f>
        <v/>
      </c>
      <c r="D214" t="str">
        <f>IF($A214&lt;&gt;"",'All Cases - Enter Cases'!D214,"")</f>
        <v/>
      </c>
      <c r="E214" t="str">
        <f>IF($A214&lt;&gt;"",'All Cases - Enter Cases'!E214,"")</f>
        <v/>
      </c>
      <c r="F214" t="str">
        <f>IF($A214&lt;&gt;"",'All Cases - Enter Cases'!F214,"")</f>
        <v/>
      </c>
      <c r="G214" t="str">
        <f>IF($A214&lt;&gt;"",'All Cases - Enter Cases'!G214,"")</f>
        <v/>
      </c>
      <c r="H214" t="str">
        <f>IF($A214&lt;&gt;"",'All Cases - Enter Cases'!H214,"")</f>
        <v/>
      </c>
      <c r="I214" t="str">
        <f>IF($A214&lt;&gt;"",'All Cases - Enter Cases'!I214,"")</f>
        <v/>
      </c>
      <c r="J214" s="4" t="str">
        <f>IF($A214&lt;&gt;"",'All Cases - Enter Cases'!J214,"")</f>
        <v/>
      </c>
      <c r="K214" s="4" t="str">
        <f>IF($A214&lt;&gt;"",'All Cases - Enter Cases'!K214,"")</f>
        <v/>
      </c>
      <c r="L214" s="4" t="str">
        <f>IF($A214&lt;&gt;"",'All Cases - Enter Cases'!L214,"")</f>
        <v/>
      </c>
      <c r="M214" t="str">
        <f>IF($A214&lt;&gt;"",'All Cases - Enter Cases'!M214,"")</f>
        <v/>
      </c>
    </row>
    <row r="215" spans="1:13" x14ac:dyDescent="0.35">
      <c r="A215" s="4" t="str">
        <f>IF('All Cases - Enter Cases'!$F215="Punjab",'All Cases - Enter Cases'!A215,"")</f>
        <v/>
      </c>
      <c r="B215" t="str">
        <f>IF($A215&lt;&gt;"",'All Cases - Enter Cases'!B215,"")</f>
        <v/>
      </c>
      <c r="C215" t="str">
        <f>IF($A215&lt;&gt;"",'All Cases - Enter Cases'!C215,"")</f>
        <v/>
      </c>
      <c r="D215" t="str">
        <f>IF($A215&lt;&gt;"",'All Cases - Enter Cases'!D215,"")</f>
        <v/>
      </c>
      <c r="E215" t="str">
        <f>IF($A215&lt;&gt;"",'All Cases - Enter Cases'!E215,"")</f>
        <v/>
      </c>
      <c r="F215" t="str">
        <f>IF($A215&lt;&gt;"",'All Cases - Enter Cases'!F215,"")</f>
        <v/>
      </c>
      <c r="G215" t="str">
        <f>IF($A215&lt;&gt;"",'All Cases - Enter Cases'!G215,"")</f>
        <v/>
      </c>
      <c r="H215" t="str">
        <f>IF($A215&lt;&gt;"",'All Cases - Enter Cases'!H215,"")</f>
        <v/>
      </c>
      <c r="I215" t="str">
        <f>IF($A215&lt;&gt;"",'All Cases - Enter Cases'!I215,"")</f>
        <v/>
      </c>
      <c r="J215" s="4" t="str">
        <f>IF($A215&lt;&gt;"",'All Cases - Enter Cases'!J215,"")</f>
        <v/>
      </c>
      <c r="K215" s="4" t="str">
        <f>IF($A215&lt;&gt;"",'All Cases - Enter Cases'!K215,"")</f>
        <v/>
      </c>
      <c r="L215" s="4" t="str">
        <f>IF($A215&lt;&gt;"",'All Cases - Enter Cases'!L215,"")</f>
        <v/>
      </c>
      <c r="M215" t="str">
        <f>IF($A215&lt;&gt;"",'All Cases - Enter Cases'!M215,"")</f>
        <v/>
      </c>
    </row>
    <row r="216" spans="1:13" x14ac:dyDescent="0.35">
      <c r="A216" s="4" t="str">
        <f>IF('All Cases - Enter Cases'!$F216="Punjab",'All Cases - Enter Cases'!A216,"")</f>
        <v/>
      </c>
      <c r="B216" t="str">
        <f>IF($A216&lt;&gt;"",'All Cases - Enter Cases'!B216,"")</f>
        <v/>
      </c>
      <c r="C216" t="str">
        <f>IF($A216&lt;&gt;"",'All Cases - Enter Cases'!C216,"")</f>
        <v/>
      </c>
      <c r="D216" t="str">
        <f>IF($A216&lt;&gt;"",'All Cases - Enter Cases'!D216,"")</f>
        <v/>
      </c>
      <c r="E216" t="str">
        <f>IF($A216&lt;&gt;"",'All Cases - Enter Cases'!E216,"")</f>
        <v/>
      </c>
      <c r="F216" t="str">
        <f>IF($A216&lt;&gt;"",'All Cases - Enter Cases'!F216,"")</f>
        <v/>
      </c>
      <c r="G216" t="str">
        <f>IF($A216&lt;&gt;"",'All Cases - Enter Cases'!G216,"")</f>
        <v/>
      </c>
      <c r="H216" t="str">
        <f>IF($A216&lt;&gt;"",'All Cases - Enter Cases'!H216,"")</f>
        <v/>
      </c>
      <c r="I216" t="str">
        <f>IF($A216&lt;&gt;"",'All Cases - Enter Cases'!I216,"")</f>
        <v/>
      </c>
      <c r="J216" s="4" t="str">
        <f>IF($A216&lt;&gt;"",'All Cases - Enter Cases'!J216,"")</f>
        <v/>
      </c>
      <c r="K216" s="4" t="str">
        <f>IF($A216&lt;&gt;"",'All Cases - Enter Cases'!K216,"")</f>
        <v/>
      </c>
      <c r="L216" s="4" t="str">
        <f>IF($A216&lt;&gt;"",'All Cases - Enter Cases'!L216,"")</f>
        <v/>
      </c>
      <c r="M216" t="str">
        <f>IF($A216&lt;&gt;"",'All Cases - Enter Cases'!M216,"")</f>
        <v/>
      </c>
    </row>
    <row r="217" spans="1:13" x14ac:dyDescent="0.35">
      <c r="A217" s="4" t="str">
        <f>IF('All Cases - Enter Cases'!$F217="Punjab",'All Cases - Enter Cases'!A217,"")</f>
        <v/>
      </c>
      <c r="B217" t="str">
        <f>IF($A217&lt;&gt;"",'All Cases - Enter Cases'!B217,"")</f>
        <v/>
      </c>
      <c r="C217" t="str">
        <f>IF($A217&lt;&gt;"",'All Cases - Enter Cases'!C217,"")</f>
        <v/>
      </c>
      <c r="D217" t="str">
        <f>IF($A217&lt;&gt;"",'All Cases - Enter Cases'!D217,"")</f>
        <v/>
      </c>
      <c r="E217" t="str">
        <f>IF($A217&lt;&gt;"",'All Cases - Enter Cases'!E217,"")</f>
        <v/>
      </c>
      <c r="F217" t="str">
        <f>IF($A217&lt;&gt;"",'All Cases - Enter Cases'!F217,"")</f>
        <v/>
      </c>
      <c r="G217" t="str">
        <f>IF($A217&lt;&gt;"",'All Cases - Enter Cases'!G217,"")</f>
        <v/>
      </c>
      <c r="H217" t="str">
        <f>IF($A217&lt;&gt;"",'All Cases - Enter Cases'!H217,"")</f>
        <v/>
      </c>
      <c r="I217" t="str">
        <f>IF($A217&lt;&gt;"",'All Cases - Enter Cases'!I217,"")</f>
        <v/>
      </c>
      <c r="J217" s="4" t="str">
        <f>IF($A217&lt;&gt;"",'All Cases - Enter Cases'!J217,"")</f>
        <v/>
      </c>
      <c r="K217" s="4" t="str">
        <f>IF($A217&lt;&gt;"",'All Cases - Enter Cases'!K217,"")</f>
        <v/>
      </c>
      <c r="L217" s="4" t="str">
        <f>IF($A217&lt;&gt;"",'All Cases - Enter Cases'!L217,"")</f>
        <v/>
      </c>
      <c r="M217" t="str">
        <f>IF($A217&lt;&gt;"",'All Cases - Enter Cases'!M217,"")</f>
        <v/>
      </c>
    </row>
    <row r="218" spans="1:13" x14ac:dyDescent="0.35">
      <c r="A218" s="4" t="str">
        <f>IF('All Cases - Enter Cases'!$F218="Punjab",'All Cases - Enter Cases'!A218,"")</f>
        <v/>
      </c>
      <c r="B218" t="str">
        <f>IF($A218&lt;&gt;"",'All Cases - Enter Cases'!B218,"")</f>
        <v/>
      </c>
      <c r="C218" t="str">
        <f>IF($A218&lt;&gt;"",'All Cases - Enter Cases'!C218,"")</f>
        <v/>
      </c>
      <c r="D218" t="str">
        <f>IF($A218&lt;&gt;"",'All Cases - Enter Cases'!D218,"")</f>
        <v/>
      </c>
      <c r="E218" t="str">
        <f>IF($A218&lt;&gt;"",'All Cases - Enter Cases'!E218,"")</f>
        <v/>
      </c>
      <c r="F218" t="str">
        <f>IF($A218&lt;&gt;"",'All Cases - Enter Cases'!F218,"")</f>
        <v/>
      </c>
      <c r="G218" t="str">
        <f>IF($A218&lt;&gt;"",'All Cases - Enter Cases'!G218,"")</f>
        <v/>
      </c>
      <c r="H218" t="str">
        <f>IF($A218&lt;&gt;"",'All Cases - Enter Cases'!H218,"")</f>
        <v/>
      </c>
      <c r="I218" t="str">
        <f>IF($A218&lt;&gt;"",'All Cases - Enter Cases'!I218,"")</f>
        <v/>
      </c>
      <c r="J218" s="4" t="str">
        <f>IF($A218&lt;&gt;"",'All Cases - Enter Cases'!J218,"")</f>
        <v/>
      </c>
      <c r="K218" s="4" t="str">
        <f>IF($A218&lt;&gt;"",'All Cases - Enter Cases'!K218,"")</f>
        <v/>
      </c>
      <c r="L218" s="4" t="str">
        <f>IF($A218&lt;&gt;"",'All Cases - Enter Cases'!L218,"")</f>
        <v/>
      </c>
      <c r="M218" t="str">
        <f>IF($A218&lt;&gt;"",'All Cases - Enter Cases'!M218,"")</f>
        <v/>
      </c>
    </row>
    <row r="219" spans="1:13" x14ac:dyDescent="0.35">
      <c r="A219" s="4" t="str">
        <f>IF('All Cases - Enter Cases'!$F219="Punjab",'All Cases - Enter Cases'!A219,"")</f>
        <v/>
      </c>
      <c r="B219" t="str">
        <f>IF($A219&lt;&gt;"",'All Cases - Enter Cases'!B219,"")</f>
        <v/>
      </c>
      <c r="C219" t="str">
        <f>IF($A219&lt;&gt;"",'All Cases - Enter Cases'!C219,"")</f>
        <v/>
      </c>
      <c r="D219" t="str">
        <f>IF($A219&lt;&gt;"",'All Cases - Enter Cases'!D219,"")</f>
        <v/>
      </c>
      <c r="E219" t="str">
        <f>IF($A219&lt;&gt;"",'All Cases - Enter Cases'!E219,"")</f>
        <v/>
      </c>
      <c r="F219" t="str">
        <f>IF($A219&lt;&gt;"",'All Cases - Enter Cases'!F219,"")</f>
        <v/>
      </c>
      <c r="G219" t="str">
        <f>IF($A219&lt;&gt;"",'All Cases - Enter Cases'!G219,"")</f>
        <v/>
      </c>
      <c r="H219" t="str">
        <f>IF($A219&lt;&gt;"",'All Cases - Enter Cases'!H219,"")</f>
        <v/>
      </c>
      <c r="I219" t="str">
        <f>IF($A219&lt;&gt;"",'All Cases - Enter Cases'!I219,"")</f>
        <v/>
      </c>
      <c r="J219" s="4" t="str">
        <f>IF($A219&lt;&gt;"",'All Cases - Enter Cases'!J219,"")</f>
        <v/>
      </c>
      <c r="K219" s="4" t="str">
        <f>IF($A219&lt;&gt;"",'All Cases - Enter Cases'!K219,"")</f>
        <v/>
      </c>
      <c r="L219" s="4" t="str">
        <f>IF($A219&lt;&gt;"",'All Cases - Enter Cases'!L219,"")</f>
        <v/>
      </c>
      <c r="M219" t="str">
        <f>IF($A219&lt;&gt;"",'All Cases - Enter Cases'!M219,"")</f>
        <v/>
      </c>
    </row>
    <row r="220" spans="1:13" x14ac:dyDescent="0.35">
      <c r="A220" s="4" t="str">
        <f>IF('All Cases - Enter Cases'!$F220="Punjab",'All Cases - Enter Cases'!A220,"")</f>
        <v/>
      </c>
      <c r="B220" t="str">
        <f>IF($A220&lt;&gt;"",'All Cases - Enter Cases'!B220,"")</f>
        <v/>
      </c>
      <c r="C220" t="str">
        <f>IF($A220&lt;&gt;"",'All Cases - Enter Cases'!C220,"")</f>
        <v/>
      </c>
      <c r="D220" t="str">
        <f>IF($A220&lt;&gt;"",'All Cases - Enter Cases'!D220,"")</f>
        <v/>
      </c>
      <c r="E220" t="str">
        <f>IF($A220&lt;&gt;"",'All Cases - Enter Cases'!E220,"")</f>
        <v/>
      </c>
      <c r="F220" t="str">
        <f>IF($A220&lt;&gt;"",'All Cases - Enter Cases'!F220,"")</f>
        <v/>
      </c>
      <c r="G220" t="str">
        <f>IF($A220&lt;&gt;"",'All Cases - Enter Cases'!G220,"")</f>
        <v/>
      </c>
      <c r="H220" t="str">
        <f>IF($A220&lt;&gt;"",'All Cases - Enter Cases'!H220,"")</f>
        <v/>
      </c>
      <c r="I220" t="str">
        <f>IF($A220&lt;&gt;"",'All Cases - Enter Cases'!I220,"")</f>
        <v/>
      </c>
      <c r="J220" s="4" t="str">
        <f>IF($A220&lt;&gt;"",'All Cases - Enter Cases'!J220,"")</f>
        <v/>
      </c>
      <c r="K220" s="4" t="str">
        <f>IF($A220&lt;&gt;"",'All Cases - Enter Cases'!K220,"")</f>
        <v/>
      </c>
      <c r="L220" s="4" t="str">
        <f>IF($A220&lt;&gt;"",'All Cases - Enter Cases'!L220,"")</f>
        <v/>
      </c>
      <c r="M220" t="str">
        <f>IF($A220&lt;&gt;"",'All Cases - Enter Cases'!M220,"")</f>
        <v/>
      </c>
    </row>
    <row r="221" spans="1:13" x14ac:dyDescent="0.35">
      <c r="A221" s="4" t="str">
        <f>IF('All Cases - Enter Cases'!$F221="Punjab",'All Cases - Enter Cases'!A221,"")</f>
        <v/>
      </c>
      <c r="B221" t="str">
        <f>IF($A221&lt;&gt;"",'All Cases - Enter Cases'!B221,"")</f>
        <v/>
      </c>
      <c r="C221" t="str">
        <f>IF($A221&lt;&gt;"",'All Cases - Enter Cases'!C221,"")</f>
        <v/>
      </c>
      <c r="D221" t="str">
        <f>IF($A221&lt;&gt;"",'All Cases - Enter Cases'!D221,"")</f>
        <v/>
      </c>
      <c r="E221" t="str">
        <f>IF($A221&lt;&gt;"",'All Cases - Enter Cases'!E221,"")</f>
        <v/>
      </c>
      <c r="F221" t="str">
        <f>IF($A221&lt;&gt;"",'All Cases - Enter Cases'!F221,"")</f>
        <v/>
      </c>
      <c r="G221" t="str">
        <f>IF($A221&lt;&gt;"",'All Cases - Enter Cases'!G221,"")</f>
        <v/>
      </c>
      <c r="H221" t="str">
        <f>IF($A221&lt;&gt;"",'All Cases - Enter Cases'!H221,"")</f>
        <v/>
      </c>
      <c r="I221" t="str">
        <f>IF($A221&lt;&gt;"",'All Cases - Enter Cases'!I221,"")</f>
        <v/>
      </c>
      <c r="J221" s="4" t="str">
        <f>IF($A221&lt;&gt;"",'All Cases - Enter Cases'!J221,"")</f>
        <v/>
      </c>
      <c r="K221" s="4" t="str">
        <f>IF($A221&lt;&gt;"",'All Cases - Enter Cases'!K221,"")</f>
        <v/>
      </c>
      <c r="L221" s="4" t="str">
        <f>IF($A221&lt;&gt;"",'All Cases - Enter Cases'!L221,"")</f>
        <v/>
      </c>
      <c r="M221" t="str">
        <f>IF($A221&lt;&gt;"",'All Cases - Enter Cases'!M221,"")</f>
        <v/>
      </c>
    </row>
    <row r="222" spans="1:13" x14ac:dyDescent="0.35">
      <c r="A222" s="4" t="str">
        <f>IF('All Cases - Enter Cases'!$F222="Punjab",'All Cases - Enter Cases'!A222,"")</f>
        <v/>
      </c>
      <c r="B222" t="str">
        <f>IF($A222&lt;&gt;"",'All Cases - Enter Cases'!B222,"")</f>
        <v/>
      </c>
      <c r="C222" t="str">
        <f>IF($A222&lt;&gt;"",'All Cases - Enter Cases'!C222,"")</f>
        <v/>
      </c>
      <c r="D222" t="str">
        <f>IF($A222&lt;&gt;"",'All Cases - Enter Cases'!D222,"")</f>
        <v/>
      </c>
      <c r="E222" t="str">
        <f>IF($A222&lt;&gt;"",'All Cases - Enter Cases'!E222,"")</f>
        <v/>
      </c>
      <c r="F222" t="str">
        <f>IF($A222&lt;&gt;"",'All Cases - Enter Cases'!F222,"")</f>
        <v/>
      </c>
      <c r="G222" t="str">
        <f>IF($A222&lt;&gt;"",'All Cases - Enter Cases'!G222,"")</f>
        <v/>
      </c>
      <c r="H222" t="str">
        <f>IF($A222&lt;&gt;"",'All Cases - Enter Cases'!H222,"")</f>
        <v/>
      </c>
      <c r="I222" t="str">
        <f>IF($A222&lt;&gt;"",'All Cases - Enter Cases'!I222,"")</f>
        <v/>
      </c>
      <c r="J222" s="4" t="str">
        <f>IF($A222&lt;&gt;"",'All Cases - Enter Cases'!J222,"")</f>
        <v/>
      </c>
      <c r="K222" s="4" t="str">
        <f>IF($A222&lt;&gt;"",'All Cases - Enter Cases'!K222,"")</f>
        <v/>
      </c>
      <c r="L222" s="4" t="str">
        <f>IF($A222&lt;&gt;"",'All Cases - Enter Cases'!L222,"")</f>
        <v/>
      </c>
      <c r="M222" t="str">
        <f>IF($A222&lt;&gt;"",'All Cases - Enter Cases'!M222,"")</f>
        <v/>
      </c>
    </row>
    <row r="223" spans="1:13" x14ac:dyDescent="0.35">
      <c r="A223" s="4" t="str">
        <f>IF('All Cases - Enter Cases'!$F223="Punjab",'All Cases - Enter Cases'!A223,"")</f>
        <v/>
      </c>
      <c r="B223" t="str">
        <f>IF($A223&lt;&gt;"",'All Cases - Enter Cases'!B223,"")</f>
        <v/>
      </c>
      <c r="C223" t="str">
        <f>IF($A223&lt;&gt;"",'All Cases - Enter Cases'!C223,"")</f>
        <v/>
      </c>
      <c r="D223" t="str">
        <f>IF($A223&lt;&gt;"",'All Cases - Enter Cases'!D223,"")</f>
        <v/>
      </c>
      <c r="E223" t="str">
        <f>IF($A223&lt;&gt;"",'All Cases - Enter Cases'!E223,"")</f>
        <v/>
      </c>
      <c r="F223" t="str">
        <f>IF($A223&lt;&gt;"",'All Cases - Enter Cases'!F223,"")</f>
        <v/>
      </c>
      <c r="G223" t="str">
        <f>IF($A223&lt;&gt;"",'All Cases - Enter Cases'!G223,"")</f>
        <v/>
      </c>
      <c r="H223" t="str">
        <f>IF($A223&lt;&gt;"",'All Cases - Enter Cases'!H223,"")</f>
        <v/>
      </c>
      <c r="I223" t="str">
        <f>IF($A223&lt;&gt;"",'All Cases - Enter Cases'!I223,"")</f>
        <v/>
      </c>
      <c r="J223" s="4" t="str">
        <f>IF($A223&lt;&gt;"",'All Cases - Enter Cases'!J223,"")</f>
        <v/>
      </c>
      <c r="K223" s="4" t="str">
        <f>IF($A223&lt;&gt;"",'All Cases - Enter Cases'!K223,"")</f>
        <v/>
      </c>
      <c r="L223" s="4" t="str">
        <f>IF($A223&lt;&gt;"",'All Cases - Enter Cases'!L223,"")</f>
        <v/>
      </c>
      <c r="M223" t="str">
        <f>IF($A223&lt;&gt;"",'All Cases - Enter Cases'!M223,"")</f>
        <v/>
      </c>
    </row>
    <row r="224" spans="1:13" x14ac:dyDescent="0.35">
      <c r="A224" s="4" t="str">
        <f>IF('All Cases - Enter Cases'!$F224="Punjab",'All Cases - Enter Cases'!A224,"")</f>
        <v/>
      </c>
      <c r="B224" t="str">
        <f>IF($A224&lt;&gt;"",'All Cases - Enter Cases'!B224,"")</f>
        <v/>
      </c>
      <c r="C224" t="str">
        <f>IF($A224&lt;&gt;"",'All Cases - Enter Cases'!C224,"")</f>
        <v/>
      </c>
      <c r="D224" t="str">
        <f>IF($A224&lt;&gt;"",'All Cases - Enter Cases'!D224,"")</f>
        <v/>
      </c>
      <c r="E224" t="str">
        <f>IF($A224&lt;&gt;"",'All Cases - Enter Cases'!E224,"")</f>
        <v/>
      </c>
      <c r="F224" t="str">
        <f>IF($A224&lt;&gt;"",'All Cases - Enter Cases'!F224,"")</f>
        <v/>
      </c>
      <c r="G224" t="str">
        <f>IF($A224&lt;&gt;"",'All Cases - Enter Cases'!G224,"")</f>
        <v/>
      </c>
      <c r="H224" t="str">
        <f>IF($A224&lt;&gt;"",'All Cases - Enter Cases'!H224,"")</f>
        <v/>
      </c>
      <c r="I224" t="str">
        <f>IF($A224&lt;&gt;"",'All Cases - Enter Cases'!I224,"")</f>
        <v/>
      </c>
      <c r="J224" s="4" t="str">
        <f>IF($A224&lt;&gt;"",'All Cases - Enter Cases'!J224,"")</f>
        <v/>
      </c>
      <c r="K224" s="4" t="str">
        <f>IF($A224&lt;&gt;"",'All Cases - Enter Cases'!K224,"")</f>
        <v/>
      </c>
      <c r="L224" s="4" t="str">
        <f>IF($A224&lt;&gt;"",'All Cases - Enter Cases'!L224,"")</f>
        <v/>
      </c>
      <c r="M224" t="str">
        <f>IF($A224&lt;&gt;"",'All Cases - Enter Cases'!M224,"")</f>
        <v/>
      </c>
    </row>
    <row r="225" spans="1:13" x14ac:dyDescent="0.35">
      <c r="A225" s="4" t="str">
        <f>IF('All Cases - Enter Cases'!$F225="Punjab",'All Cases - Enter Cases'!A225,"")</f>
        <v/>
      </c>
      <c r="B225" t="str">
        <f>IF($A225&lt;&gt;"",'All Cases - Enter Cases'!B225,"")</f>
        <v/>
      </c>
      <c r="C225" t="str">
        <f>IF($A225&lt;&gt;"",'All Cases - Enter Cases'!C225,"")</f>
        <v/>
      </c>
      <c r="D225" t="str">
        <f>IF($A225&lt;&gt;"",'All Cases - Enter Cases'!D225,"")</f>
        <v/>
      </c>
      <c r="E225" t="str">
        <f>IF($A225&lt;&gt;"",'All Cases - Enter Cases'!E225,"")</f>
        <v/>
      </c>
      <c r="F225" t="str">
        <f>IF($A225&lt;&gt;"",'All Cases - Enter Cases'!F225,"")</f>
        <v/>
      </c>
      <c r="G225" t="str">
        <f>IF($A225&lt;&gt;"",'All Cases - Enter Cases'!G225,"")</f>
        <v/>
      </c>
      <c r="H225" t="str">
        <f>IF($A225&lt;&gt;"",'All Cases - Enter Cases'!H225,"")</f>
        <v/>
      </c>
      <c r="I225" t="str">
        <f>IF($A225&lt;&gt;"",'All Cases - Enter Cases'!I225,"")</f>
        <v/>
      </c>
      <c r="J225" s="4" t="str">
        <f>IF($A225&lt;&gt;"",'All Cases - Enter Cases'!J225,"")</f>
        <v/>
      </c>
      <c r="K225" s="4" t="str">
        <f>IF($A225&lt;&gt;"",'All Cases - Enter Cases'!K225,"")</f>
        <v/>
      </c>
      <c r="L225" s="4" t="str">
        <f>IF($A225&lt;&gt;"",'All Cases - Enter Cases'!L225,"")</f>
        <v/>
      </c>
      <c r="M225" t="str">
        <f>IF($A225&lt;&gt;"",'All Cases - Enter Cases'!M225,"")</f>
        <v/>
      </c>
    </row>
    <row r="226" spans="1:13" x14ac:dyDescent="0.35">
      <c r="A226" s="4" t="str">
        <f>IF('All Cases - Enter Cases'!$F226="Punjab",'All Cases - Enter Cases'!A226,"")</f>
        <v/>
      </c>
      <c r="B226" t="str">
        <f>IF($A226&lt;&gt;"",'All Cases - Enter Cases'!B226,"")</f>
        <v/>
      </c>
      <c r="C226" t="str">
        <f>IF($A226&lt;&gt;"",'All Cases - Enter Cases'!C226,"")</f>
        <v/>
      </c>
      <c r="D226" t="str">
        <f>IF($A226&lt;&gt;"",'All Cases - Enter Cases'!D226,"")</f>
        <v/>
      </c>
      <c r="E226" t="str">
        <f>IF($A226&lt;&gt;"",'All Cases - Enter Cases'!E226,"")</f>
        <v/>
      </c>
      <c r="F226" t="str">
        <f>IF($A226&lt;&gt;"",'All Cases - Enter Cases'!F226,"")</f>
        <v/>
      </c>
      <c r="G226" t="str">
        <f>IF($A226&lt;&gt;"",'All Cases - Enter Cases'!G226,"")</f>
        <v/>
      </c>
      <c r="H226" t="str">
        <f>IF($A226&lt;&gt;"",'All Cases - Enter Cases'!H226,"")</f>
        <v/>
      </c>
      <c r="I226" t="str">
        <f>IF($A226&lt;&gt;"",'All Cases - Enter Cases'!I226,"")</f>
        <v/>
      </c>
      <c r="J226" s="4" t="str">
        <f>IF($A226&lt;&gt;"",'All Cases - Enter Cases'!J226,"")</f>
        <v/>
      </c>
      <c r="K226" s="4" t="str">
        <f>IF($A226&lt;&gt;"",'All Cases - Enter Cases'!K226,"")</f>
        <v/>
      </c>
      <c r="L226" s="4" t="str">
        <f>IF($A226&lt;&gt;"",'All Cases - Enter Cases'!L226,"")</f>
        <v/>
      </c>
      <c r="M226" t="str">
        <f>IF($A226&lt;&gt;"",'All Cases - Enter Cases'!M226,"")</f>
        <v/>
      </c>
    </row>
    <row r="227" spans="1:13" x14ac:dyDescent="0.35">
      <c r="A227" s="4" t="str">
        <f>IF('All Cases - Enter Cases'!$F227="Punjab",'All Cases - Enter Cases'!A227,"")</f>
        <v/>
      </c>
      <c r="B227" t="str">
        <f>IF($A227&lt;&gt;"",'All Cases - Enter Cases'!B227,"")</f>
        <v/>
      </c>
      <c r="C227" t="str">
        <f>IF($A227&lt;&gt;"",'All Cases - Enter Cases'!C227,"")</f>
        <v/>
      </c>
      <c r="D227" t="str">
        <f>IF($A227&lt;&gt;"",'All Cases - Enter Cases'!D227,"")</f>
        <v/>
      </c>
      <c r="E227" t="str">
        <f>IF($A227&lt;&gt;"",'All Cases - Enter Cases'!E227,"")</f>
        <v/>
      </c>
      <c r="F227" t="str">
        <f>IF($A227&lt;&gt;"",'All Cases - Enter Cases'!F227,"")</f>
        <v/>
      </c>
      <c r="G227" t="str">
        <f>IF($A227&lt;&gt;"",'All Cases - Enter Cases'!G227,"")</f>
        <v/>
      </c>
      <c r="H227" t="str">
        <f>IF($A227&lt;&gt;"",'All Cases - Enter Cases'!H227,"")</f>
        <v/>
      </c>
      <c r="I227" t="str">
        <f>IF($A227&lt;&gt;"",'All Cases - Enter Cases'!I227,"")</f>
        <v/>
      </c>
      <c r="J227" s="4" t="str">
        <f>IF($A227&lt;&gt;"",'All Cases - Enter Cases'!J227,"")</f>
        <v/>
      </c>
      <c r="K227" s="4" t="str">
        <f>IF($A227&lt;&gt;"",'All Cases - Enter Cases'!K227,"")</f>
        <v/>
      </c>
      <c r="L227" s="4" t="str">
        <f>IF($A227&lt;&gt;"",'All Cases - Enter Cases'!L227,"")</f>
        <v/>
      </c>
      <c r="M227" t="str">
        <f>IF($A227&lt;&gt;"",'All Cases - Enter Cases'!M227,"")</f>
        <v/>
      </c>
    </row>
    <row r="228" spans="1:13" x14ac:dyDescent="0.35">
      <c r="A228" s="4" t="str">
        <f>IF('All Cases - Enter Cases'!$F228="Punjab",'All Cases - Enter Cases'!A228,"")</f>
        <v/>
      </c>
      <c r="B228" t="str">
        <f>IF($A228&lt;&gt;"",'All Cases - Enter Cases'!B228,"")</f>
        <v/>
      </c>
      <c r="C228" t="str">
        <f>IF($A228&lt;&gt;"",'All Cases - Enter Cases'!C228,"")</f>
        <v/>
      </c>
      <c r="D228" t="str">
        <f>IF($A228&lt;&gt;"",'All Cases - Enter Cases'!D228,"")</f>
        <v/>
      </c>
      <c r="E228" t="str">
        <f>IF($A228&lt;&gt;"",'All Cases - Enter Cases'!E228,"")</f>
        <v/>
      </c>
      <c r="F228" t="str">
        <f>IF($A228&lt;&gt;"",'All Cases - Enter Cases'!F228,"")</f>
        <v/>
      </c>
      <c r="G228" t="str">
        <f>IF($A228&lt;&gt;"",'All Cases - Enter Cases'!G228,"")</f>
        <v/>
      </c>
      <c r="H228" t="str">
        <f>IF($A228&lt;&gt;"",'All Cases - Enter Cases'!H228,"")</f>
        <v/>
      </c>
      <c r="I228" t="str">
        <f>IF($A228&lt;&gt;"",'All Cases - Enter Cases'!I228,"")</f>
        <v/>
      </c>
      <c r="J228" s="4" t="str">
        <f>IF($A228&lt;&gt;"",'All Cases - Enter Cases'!J228,"")</f>
        <v/>
      </c>
      <c r="K228" s="4" t="str">
        <f>IF($A228&lt;&gt;"",'All Cases - Enter Cases'!K228,"")</f>
        <v/>
      </c>
      <c r="L228" s="4" t="str">
        <f>IF($A228&lt;&gt;"",'All Cases - Enter Cases'!L228,"")</f>
        <v/>
      </c>
      <c r="M228" t="str">
        <f>IF($A228&lt;&gt;"",'All Cases - Enter Cases'!M228,"")</f>
        <v/>
      </c>
    </row>
    <row r="229" spans="1:13" x14ac:dyDescent="0.35">
      <c r="A229" s="4" t="str">
        <f>IF('All Cases - Enter Cases'!$F229="Punjab",'All Cases - Enter Cases'!A229,"")</f>
        <v/>
      </c>
      <c r="B229" t="str">
        <f>IF($A229&lt;&gt;"",'All Cases - Enter Cases'!B229,"")</f>
        <v/>
      </c>
      <c r="C229" t="str">
        <f>IF($A229&lt;&gt;"",'All Cases - Enter Cases'!C229,"")</f>
        <v/>
      </c>
      <c r="D229" t="str">
        <f>IF($A229&lt;&gt;"",'All Cases - Enter Cases'!D229,"")</f>
        <v/>
      </c>
      <c r="E229" t="str">
        <f>IF($A229&lt;&gt;"",'All Cases - Enter Cases'!E229,"")</f>
        <v/>
      </c>
      <c r="F229" t="str">
        <f>IF($A229&lt;&gt;"",'All Cases - Enter Cases'!F229,"")</f>
        <v/>
      </c>
      <c r="G229" t="str">
        <f>IF($A229&lt;&gt;"",'All Cases - Enter Cases'!G229,"")</f>
        <v/>
      </c>
      <c r="H229" t="str">
        <f>IF($A229&lt;&gt;"",'All Cases - Enter Cases'!H229,"")</f>
        <v/>
      </c>
      <c r="I229" t="str">
        <f>IF($A229&lt;&gt;"",'All Cases - Enter Cases'!I229,"")</f>
        <v/>
      </c>
      <c r="J229" s="4" t="str">
        <f>IF($A229&lt;&gt;"",'All Cases - Enter Cases'!J229,"")</f>
        <v/>
      </c>
      <c r="K229" s="4" t="str">
        <f>IF($A229&lt;&gt;"",'All Cases - Enter Cases'!K229,"")</f>
        <v/>
      </c>
      <c r="L229" s="4" t="str">
        <f>IF($A229&lt;&gt;"",'All Cases - Enter Cases'!L229,"")</f>
        <v/>
      </c>
      <c r="M229" t="str">
        <f>IF($A229&lt;&gt;"",'All Cases - Enter Cases'!M229,"")</f>
        <v/>
      </c>
    </row>
    <row r="230" spans="1:13" x14ac:dyDescent="0.35">
      <c r="A230" s="4" t="str">
        <f>IF('All Cases - Enter Cases'!$F230="Punjab",'All Cases - Enter Cases'!A230,"")</f>
        <v/>
      </c>
      <c r="B230" t="str">
        <f>IF($A230&lt;&gt;"",'All Cases - Enter Cases'!B230,"")</f>
        <v/>
      </c>
      <c r="C230" t="str">
        <f>IF($A230&lt;&gt;"",'All Cases - Enter Cases'!C230,"")</f>
        <v/>
      </c>
      <c r="D230" t="str">
        <f>IF($A230&lt;&gt;"",'All Cases - Enter Cases'!D230,"")</f>
        <v/>
      </c>
      <c r="E230" t="str">
        <f>IF($A230&lt;&gt;"",'All Cases - Enter Cases'!E230,"")</f>
        <v/>
      </c>
      <c r="F230" t="str">
        <f>IF($A230&lt;&gt;"",'All Cases - Enter Cases'!F230,"")</f>
        <v/>
      </c>
      <c r="G230" t="str">
        <f>IF($A230&lt;&gt;"",'All Cases - Enter Cases'!G230,"")</f>
        <v/>
      </c>
      <c r="H230" t="str">
        <f>IF($A230&lt;&gt;"",'All Cases - Enter Cases'!H230,"")</f>
        <v/>
      </c>
      <c r="I230" t="str">
        <f>IF($A230&lt;&gt;"",'All Cases - Enter Cases'!I230,"")</f>
        <v/>
      </c>
      <c r="J230" s="4" t="str">
        <f>IF($A230&lt;&gt;"",'All Cases - Enter Cases'!J230,"")</f>
        <v/>
      </c>
      <c r="K230" s="4" t="str">
        <f>IF($A230&lt;&gt;"",'All Cases - Enter Cases'!K230,"")</f>
        <v/>
      </c>
      <c r="L230" s="4" t="str">
        <f>IF($A230&lt;&gt;"",'All Cases - Enter Cases'!L230,"")</f>
        <v/>
      </c>
      <c r="M230" t="str">
        <f>IF($A230&lt;&gt;"",'All Cases - Enter Cases'!M230,"")</f>
        <v/>
      </c>
    </row>
    <row r="231" spans="1:13" x14ac:dyDescent="0.35">
      <c r="A231" s="4" t="str">
        <f>IF('All Cases - Enter Cases'!$F231="Punjab",'All Cases - Enter Cases'!A231,"")</f>
        <v/>
      </c>
      <c r="B231" t="str">
        <f>IF($A231&lt;&gt;"",'All Cases - Enter Cases'!B231,"")</f>
        <v/>
      </c>
      <c r="C231" t="str">
        <f>IF($A231&lt;&gt;"",'All Cases - Enter Cases'!C231,"")</f>
        <v/>
      </c>
      <c r="D231" t="str">
        <f>IF($A231&lt;&gt;"",'All Cases - Enter Cases'!D231,"")</f>
        <v/>
      </c>
      <c r="E231" t="str">
        <f>IF($A231&lt;&gt;"",'All Cases - Enter Cases'!E231,"")</f>
        <v/>
      </c>
      <c r="F231" t="str">
        <f>IF($A231&lt;&gt;"",'All Cases - Enter Cases'!F231,"")</f>
        <v/>
      </c>
      <c r="G231" t="str">
        <f>IF($A231&lt;&gt;"",'All Cases - Enter Cases'!G231,"")</f>
        <v/>
      </c>
      <c r="H231" t="str">
        <f>IF($A231&lt;&gt;"",'All Cases - Enter Cases'!H231,"")</f>
        <v/>
      </c>
      <c r="I231" t="str">
        <f>IF($A231&lt;&gt;"",'All Cases - Enter Cases'!I231,"")</f>
        <v/>
      </c>
      <c r="J231" s="4" t="str">
        <f>IF($A231&lt;&gt;"",'All Cases - Enter Cases'!J231,"")</f>
        <v/>
      </c>
      <c r="K231" s="4" t="str">
        <f>IF($A231&lt;&gt;"",'All Cases - Enter Cases'!K231,"")</f>
        <v/>
      </c>
      <c r="L231" s="4" t="str">
        <f>IF($A231&lt;&gt;"",'All Cases - Enter Cases'!L231,"")</f>
        <v/>
      </c>
      <c r="M231" t="str">
        <f>IF($A231&lt;&gt;"",'All Cases - Enter Cases'!M231,"")</f>
        <v/>
      </c>
    </row>
    <row r="232" spans="1:13" x14ac:dyDescent="0.35">
      <c r="A232" s="4" t="str">
        <f>IF('All Cases - Enter Cases'!$F232="Punjab",'All Cases - Enter Cases'!A232,"")</f>
        <v/>
      </c>
      <c r="B232" t="str">
        <f>IF($A232&lt;&gt;"",'All Cases - Enter Cases'!B232,"")</f>
        <v/>
      </c>
      <c r="C232" t="str">
        <f>IF($A232&lt;&gt;"",'All Cases - Enter Cases'!C232,"")</f>
        <v/>
      </c>
      <c r="D232" t="str">
        <f>IF($A232&lt;&gt;"",'All Cases - Enter Cases'!D232,"")</f>
        <v/>
      </c>
      <c r="E232" t="str">
        <f>IF($A232&lt;&gt;"",'All Cases - Enter Cases'!E232,"")</f>
        <v/>
      </c>
      <c r="F232" t="str">
        <f>IF($A232&lt;&gt;"",'All Cases - Enter Cases'!F232,"")</f>
        <v/>
      </c>
      <c r="G232" t="str">
        <f>IF($A232&lt;&gt;"",'All Cases - Enter Cases'!G232,"")</f>
        <v/>
      </c>
      <c r="H232" t="str">
        <f>IF($A232&lt;&gt;"",'All Cases - Enter Cases'!H232,"")</f>
        <v/>
      </c>
      <c r="I232" t="str">
        <f>IF($A232&lt;&gt;"",'All Cases - Enter Cases'!I232,"")</f>
        <v/>
      </c>
      <c r="J232" s="4" t="str">
        <f>IF($A232&lt;&gt;"",'All Cases - Enter Cases'!J232,"")</f>
        <v/>
      </c>
      <c r="K232" s="4" t="str">
        <f>IF($A232&lt;&gt;"",'All Cases - Enter Cases'!K232,"")</f>
        <v/>
      </c>
      <c r="L232" s="4" t="str">
        <f>IF($A232&lt;&gt;"",'All Cases - Enter Cases'!L232,"")</f>
        <v/>
      </c>
      <c r="M232" t="str">
        <f>IF($A232&lt;&gt;"",'All Cases - Enter Cases'!M232,"")</f>
        <v/>
      </c>
    </row>
    <row r="233" spans="1:13" x14ac:dyDescent="0.35">
      <c r="A233" s="4" t="str">
        <f>IF('All Cases - Enter Cases'!$F233="Punjab",'All Cases - Enter Cases'!A233,"")</f>
        <v/>
      </c>
      <c r="B233" t="str">
        <f>IF($A233&lt;&gt;"",'All Cases - Enter Cases'!B233,"")</f>
        <v/>
      </c>
      <c r="C233" t="str">
        <f>IF($A233&lt;&gt;"",'All Cases - Enter Cases'!C233,"")</f>
        <v/>
      </c>
      <c r="D233" t="str">
        <f>IF($A233&lt;&gt;"",'All Cases - Enter Cases'!D233,"")</f>
        <v/>
      </c>
      <c r="E233" t="str">
        <f>IF($A233&lt;&gt;"",'All Cases - Enter Cases'!E233,"")</f>
        <v/>
      </c>
      <c r="F233" t="str">
        <f>IF($A233&lt;&gt;"",'All Cases - Enter Cases'!F233,"")</f>
        <v/>
      </c>
      <c r="G233" t="str">
        <f>IF($A233&lt;&gt;"",'All Cases - Enter Cases'!G233,"")</f>
        <v/>
      </c>
      <c r="H233" t="str">
        <f>IF($A233&lt;&gt;"",'All Cases - Enter Cases'!H233,"")</f>
        <v/>
      </c>
      <c r="I233" t="str">
        <f>IF($A233&lt;&gt;"",'All Cases - Enter Cases'!I233,"")</f>
        <v/>
      </c>
      <c r="J233" s="4" t="str">
        <f>IF($A233&lt;&gt;"",'All Cases - Enter Cases'!J233,"")</f>
        <v/>
      </c>
      <c r="K233" s="4" t="str">
        <f>IF($A233&lt;&gt;"",'All Cases - Enter Cases'!K233,"")</f>
        <v/>
      </c>
      <c r="L233" s="4" t="str">
        <f>IF($A233&lt;&gt;"",'All Cases - Enter Cases'!L233,"")</f>
        <v/>
      </c>
      <c r="M233" t="str">
        <f>IF($A233&lt;&gt;"",'All Cases - Enter Cases'!M233,"")</f>
        <v/>
      </c>
    </row>
    <row r="234" spans="1:13" x14ac:dyDescent="0.35">
      <c r="A234" s="4" t="str">
        <f>IF('All Cases - Enter Cases'!$F234="Punjab",'All Cases - Enter Cases'!A234,"")</f>
        <v/>
      </c>
      <c r="B234" t="str">
        <f>IF($A234&lt;&gt;"",'All Cases - Enter Cases'!B234,"")</f>
        <v/>
      </c>
      <c r="C234" t="str">
        <f>IF($A234&lt;&gt;"",'All Cases - Enter Cases'!C234,"")</f>
        <v/>
      </c>
      <c r="D234" t="str">
        <f>IF($A234&lt;&gt;"",'All Cases - Enter Cases'!D234,"")</f>
        <v/>
      </c>
      <c r="E234" t="str">
        <f>IF($A234&lt;&gt;"",'All Cases - Enter Cases'!E234,"")</f>
        <v/>
      </c>
      <c r="F234" t="str">
        <f>IF($A234&lt;&gt;"",'All Cases - Enter Cases'!F234,"")</f>
        <v/>
      </c>
      <c r="G234" t="str">
        <f>IF($A234&lt;&gt;"",'All Cases - Enter Cases'!G234,"")</f>
        <v/>
      </c>
      <c r="H234" t="str">
        <f>IF($A234&lt;&gt;"",'All Cases - Enter Cases'!H234,"")</f>
        <v/>
      </c>
      <c r="I234" t="str">
        <f>IF($A234&lt;&gt;"",'All Cases - Enter Cases'!I234,"")</f>
        <v/>
      </c>
      <c r="J234" s="4" t="str">
        <f>IF($A234&lt;&gt;"",'All Cases - Enter Cases'!J234,"")</f>
        <v/>
      </c>
      <c r="K234" s="4" t="str">
        <f>IF($A234&lt;&gt;"",'All Cases - Enter Cases'!K234,"")</f>
        <v/>
      </c>
      <c r="L234" s="4" t="str">
        <f>IF($A234&lt;&gt;"",'All Cases - Enter Cases'!L234,"")</f>
        <v/>
      </c>
      <c r="M234" t="str">
        <f>IF($A234&lt;&gt;"",'All Cases - Enter Cases'!M234,"")</f>
        <v/>
      </c>
    </row>
    <row r="235" spans="1:13" x14ac:dyDescent="0.35">
      <c r="A235" s="4" t="str">
        <f>IF('All Cases - Enter Cases'!$F235="Punjab",'All Cases - Enter Cases'!A235,"")</f>
        <v/>
      </c>
      <c r="B235" t="str">
        <f>IF($A235&lt;&gt;"",'All Cases - Enter Cases'!B235,"")</f>
        <v/>
      </c>
      <c r="C235" t="str">
        <f>IF($A235&lt;&gt;"",'All Cases - Enter Cases'!C235,"")</f>
        <v/>
      </c>
      <c r="D235" t="str">
        <f>IF($A235&lt;&gt;"",'All Cases - Enter Cases'!D235,"")</f>
        <v/>
      </c>
      <c r="E235" t="str">
        <f>IF($A235&lt;&gt;"",'All Cases - Enter Cases'!E235,"")</f>
        <v/>
      </c>
      <c r="F235" t="str">
        <f>IF($A235&lt;&gt;"",'All Cases - Enter Cases'!F235,"")</f>
        <v/>
      </c>
      <c r="G235" t="str">
        <f>IF($A235&lt;&gt;"",'All Cases - Enter Cases'!G235,"")</f>
        <v/>
      </c>
      <c r="H235" t="str">
        <f>IF($A235&lt;&gt;"",'All Cases - Enter Cases'!H235,"")</f>
        <v/>
      </c>
      <c r="I235" t="str">
        <f>IF($A235&lt;&gt;"",'All Cases - Enter Cases'!I235,"")</f>
        <v/>
      </c>
      <c r="J235" s="4" t="str">
        <f>IF($A235&lt;&gt;"",'All Cases - Enter Cases'!J235,"")</f>
        <v/>
      </c>
      <c r="K235" s="4" t="str">
        <f>IF($A235&lt;&gt;"",'All Cases - Enter Cases'!K235,"")</f>
        <v/>
      </c>
      <c r="L235" s="4" t="str">
        <f>IF($A235&lt;&gt;"",'All Cases - Enter Cases'!L235,"")</f>
        <v/>
      </c>
      <c r="M235" t="str">
        <f>IF($A235&lt;&gt;"",'All Cases - Enter Cases'!M235,"")</f>
        <v/>
      </c>
    </row>
    <row r="236" spans="1:13" x14ac:dyDescent="0.35">
      <c r="A236" s="4" t="str">
        <f>IF('All Cases - Enter Cases'!$F236="Punjab",'All Cases - Enter Cases'!A236,"")</f>
        <v/>
      </c>
      <c r="B236" t="str">
        <f>IF($A236&lt;&gt;"",'All Cases - Enter Cases'!B236,"")</f>
        <v/>
      </c>
      <c r="C236" t="str">
        <f>IF($A236&lt;&gt;"",'All Cases - Enter Cases'!C236,"")</f>
        <v/>
      </c>
      <c r="D236" t="str">
        <f>IF($A236&lt;&gt;"",'All Cases - Enter Cases'!D236,"")</f>
        <v/>
      </c>
      <c r="E236" t="str">
        <f>IF($A236&lt;&gt;"",'All Cases - Enter Cases'!E236,"")</f>
        <v/>
      </c>
      <c r="F236" t="str">
        <f>IF($A236&lt;&gt;"",'All Cases - Enter Cases'!F236,"")</f>
        <v/>
      </c>
      <c r="G236" t="str">
        <f>IF($A236&lt;&gt;"",'All Cases - Enter Cases'!G236,"")</f>
        <v/>
      </c>
      <c r="H236" t="str">
        <f>IF($A236&lt;&gt;"",'All Cases - Enter Cases'!H236,"")</f>
        <v/>
      </c>
      <c r="I236" t="str">
        <f>IF($A236&lt;&gt;"",'All Cases - Enter Cases'!I236,"")</f>
        <v/>
      </c>
      <c r="J236" s="4" t="str">
        <f>IF($A236&lt;&gt;"",'All Cases - Enter Cases'!J236,"")</f>
        <v/>
      </c>
      <c r="K236" s="4" t="str">
        <f>IF($A236&lt;&gt;"",'All Cases - Enter Cases'!K236,"")</f>
        <v/>
      </c>
      <c r="L236" s="4" t="str">
        <f>IF($A236&lt;&gt;"",'All Cases - Enter Cases'!L236,"")</f>
        <v/>
      </c>
      <c r="M236" t="str">
        <f>IF($A236&lt;&gt;"",'All Cases - Enter Cases'!M236,"")</f>
        <v/>
      </c>
    </row>
    <row r="237" spans="1:13" x14ac:dyDescent="0.35">
      <c r="A237" s="4" t="str">
        <f>IF('All Cases - Enter Cases'!$F237="Punjab",'All Cases - Enter Cases'!A237,"")</f>
        <v/>
      </c>
      <c r="B237" t="str">
        <f>IF($A237&lt;&gt;"",'All Cases - Enter Cases'!B237,"")</f>
        <v/>
      </c>
      <c r="C237" t="str">
        <f>IF($A237&lt;&gt;"",'All Cases - Enter Cases'!C237,"")</f>
        <v/>
      </c>
      <c r="D237" t="str">
        <f>IF($A237&lt;&gt;"",'All Cases - Enter Cases'!D237,"")</f>
        <v/>
      </c>
      <c r="E237" t="str">
        <f>IF($A237&lt;&gt;"",'All Cases - Enter Cases'!E237,"")</f>
        <v/>
      </c>
      <c r="F237" t="str">
        <f>IF($A237&lt;&gt;"",'All Cases - Enter Cases'!F237,"")</f>
        <v/>
      </c>
      <c r="G237" t="str">
        <f>IF($A237&lt;&gt;"",'All Cases - Enter Cases'!G237,"")</f>
        <v/>
      </c>
      <c r="H237" t="str">
        <f>IF($A237&lt;&gt;"",'All Cases - Enter Cases'!H237,"")</f>
        <v/>
      </c>
      <c r="I237" t="str">
        <f>IF($A237&lt;&gt;"",'All Cases - Enter Cases'!I237,"")</f>
        <v/>
      </c>
      <c r="J237" s="4" t="str">
        <f>IF($A237&lt;&gt;"",'All Cases - Enter Cases'!J237,"")</f>
        <v/>
      </c>
      <c r="K237" s="4" t="str">
        <f>IF($A237&lt;&gt;"",'All Cases - Enter Cases'!K237,"")</f>
        <v/>
      </c>
      <c r="L237" s="4" t="str">
        <f>IF($A237&lt;&gt;"",'All Cases - Enter Cases'!L237,"")</f>
        <v/>
      </c>
      <c r="M237" t="str">
        <f>IF($A237&lt;&gt;"",'All Cases - Enter Cases'!M237,"")</f>
        <v/>
      </c>
    </row>
    <row r="238" spans="1:13" x14ac:dyDescent="0.35">
      <c r="A238" s="4" t="str">
        <f>IF('All Cases - Enter Cases'!$F238="Punjab",'All Cases - Enter Cases'!A238,"")</f>
        <v/>
      </c>
      <c r="B238" t="str">
        <f>IF($A238&lt;&gt;"",'All Cases - Enter Cases'!B238,"")</f>
        <v/>
      </c>
      <c r="C238" t="str">
        <f>IF($A238&lt;&gt;"",'All Cases - Enter Cases'!C238,"")</f>
        <v/>
      </c>
      <c r="D238" t="str">
        <f>IF($A238&lt;&gt;"",'All Cases - Enter Cases'!D238,"")</f>
        <v/>
      </c>
      <c r="E238" t="str">
        <f>IF($A238&lt;&gt;"",'All Cases - Enter Cases'!E238,"")</f>
        <v/>
      </c>
      <c r="F238" t="str">
        <f>IF($A238&lt;&gt;"",'All Cases - Enter Cases'!F238,"")</f>
        <v/>
      </c>
      <c r="G238" t="str">
        <f>IF($A238&lt;&gt;"",'All Cases - Enter Cases'!G238,"")</f>
        <v/>
      </c>
      <c r="H238" t="str">
        <f>IF($A238&lt;&gt;"",'All Cases - Enter Cases'!H238,"")</f>
        <v/>
      </c>
      <c r="I238" t="str">
        <f>IF($A238&lt;&gt;"",'All Cases - Enter Cases'!I238,"")</f>
        <v/>
      </c>
      <c r="J238" s="4" t="str">
        <f>IF($A238&lt;&gt;"",'All Cases - Enter Cases'!J238,"")</f>
        <v/>
      </c>
      <c r="K238" s="4" t="str">
        <f>IF($A238&lt;&gt;"",'All Cases - Enter Cases'!K238,"")</f>
        <v/>
      </c>
      <c r="L238" s="4" t="str">
        <f>IF($A238&lt;&gt;"",'All Cases - Enter Cases'!L238,"")</f>
        <v/>
      </c>
      <c r="M238" t="str">
        <f>IF($A238&lt;&gt;"",'All Cases - Enter Cases'!M238,"")</f>
        <v/>
      </c>
    </row>
    <row r="239" spans="1:13" x14ac:dyDescent="0.35">
      <c r="A239" s="4" t="str">
        <f>IF('All Cases - Enter Cases'!$F239="Punjab",'All Cases - Enter Cases'!A239,"")</f>
        <v/>
      </c>
      <c r="B239" t="str">
        <f>IF($A239&lt;&gt;"",'All Cases - Enter Cases'!B239,"")</f>
        <v/>
      </c>
      <c r="C239" t="str">
        <f>IF($A239&lt;&gt;"",'All Cases - Enter Cases'!C239,"")</f>
        <v/>
      </c>
      <c r="D239" t="str">
        <f>IF($A239&lt;&gt;"",'All Cases - Enter Cases'!D239,"")</f>
        <v/>
      </c>
      <c r="E239" t="str">
        <f>IF($A239&lt;&gt;"",'All Cases - Enter Cases'!E239,"")</f>
        <v/>
      </c>
      <c r="F239" t="str">
        <f>IF($A239&lt;&gt;"",'All Cases - Enter Cases'!F239,"")</f>
        <v/>
      </c>
      <c r="G239" t="str">
        <f>IF($A239&lt;&gt;"",'All Cases - Enter Cases'!G239,"")</f>
        <v/>
      </c>
      <c r="H239" t="str">
        <f>IF($A239&lt;&gt;"",'All Cases - Enter Cases'!H239,"")</f>
        <v/>
      </c>
      <c r="I239" t="str">
        <f>IF($A239&lt;&gt;"",'All Cases - Enter Cases'!I239,"")</f>
        <v/>
      </c>
      <c r="J239" s="4" t="str">
        <f>IF($A239&lt;&gt;"",'All Cases - Enter Cases'!J239,"")</f>
        <v/>
      </c>
      <c r="K239" s="4" t="str">
        <f>IF($A239&lt;&gt;"",'All Cases - Enter Cases'!K239,"")</f>
        <v/>
      </c>
      <c r="L239" s="4" t="str">
        <f>IF($A239&lt;&gt;"",'All Cases - Enter Cases'!L239,"")</f>
        <v/>
      </c>
      <c r="M239" t="str">
        <f>IF($A239&lt;&gt;"",'All Cases - Enter Cases'!M239,"")</f>
        <v/>
      </c>
    </row>
    <row r="240" spans="1:13" x14ac:dyDescent="0.35">
      <c r="A240" s="4" t="str">
        <f>IF('All Cases - Enter Cases'!$F240="Punjab",'All Cases - Enter Cases'!A240,"")</f>
        <v/>
      </c>
      <c r="B240" t="str">
        <f>IF($A240&lt;&gt;"",'All Cases - Enter Cases'!B240,"")</f>
        <v/>
      </c>
      <c r="C240" t="str">
        <f>IF($A240&lt;&gt;"",'All Cases - Enter Cases'!C240,"")</f>
        <v/>
      </c>
      <c r="D240" t="str">
        <f>IF($A240&lt;&gt;"",'All Cases - Enter Cases'!D240,"")</f>
        <v/>
      </c>
      <c r="E240" t="str">
        <f>IF($A240&lt;&gt;"",'All Cases - Enter Cases'!E240,"")</f>
        <v/>
      </c>
      <c r="F240" t="str">
        <f>IF($A240&lt;&gt;"",'All Cases - Enter Cases'!F240,"")</f>
        <v/>
      </c>
      <c r="G240" t="str">
        <f>IF($A240&lt;&gt;"",'All Cases - Enter Cases'!G240,"")</f>
        <v/>
      </c>
      <c r="H240" t="str">
        <f>IF($A240&lt;&gt;"",'All Cases - Enter Cases'!H240,"")</f>
        <v/>
      </c>
      <c r="I240" t="str">
        <f>IF($A240&lt;&gt;"",'All Cases - Enter Cases'!I240,"")</f>
        <v/>
      </c>
      <c r="J240" s="4" t="str">
        <f>IF($A240&lt;&gt;"",'All Cases - Enter Cases'!J240,"")</f>
        <v/>
      </c>
      <c r="K240" s="4" t="str">
        <f>IF($A240&lt;&gt;"",'All Cases - Enter Cases'!K240,"")</f>
        <v/>
      </c>
      <c r="L240" s="4" t="str">
        <f>IF($A240&lt;&gt;"",'All Cases - Enter Cases'!L240,"")</f>
        <v/>
      </c>
      <c r="M240" t="str">
        <f>IF($A240&lt;&gt;"",'All Cases - Enter Cases'!M240,"")</f>
        <v/>
      </c>
    </row>
    <row r="241" spans="1:13" x14ac:dyDescent="0.35">
      <c r="A241" s="4" t="str">
        <f>IF('All Cases - Enter Cases'!$F241="Punjab",'All Cases - Enter Cases'!A241,"")</f>
        <v/>
      </c>
      <c r="B241" t="str">
        <f>IF($A241&lt;&gt;"",'All Cases - Enter Cases'!B241,"")</f>
        <v/>
      </c>
      <c r="C241" t="str">
        <f>IF($A241&lt;&gt;"",'All Cases - Enter Cases'!C241,"")</f>
        <v/>
      </c>
      <c r="D241" t="str">
        <f>IF($A241&lt;&gt;"",'All Cases - Enter Cases'!D241,"")</f>
        <v/>
      </c>
      <c r="E241" t="str">
        <f>IF($A241&lt;&gt;"",'All Cases - Enter Cases'!E241,"")</f>
        <v/>
      </c>
      <c r="F241" t="str">
        <f>IF($A241&lt;&gt;"",'All Cases - Enter Cases'!F241,"")</f>
        <v/>
      </c>
      <c r="G241" t="str">
        <f>IF($A241&lt;&gt;"",'All Cases - Enter Cases'!G241,"")</f>
        <v/>
      </c>
      <c r="H241" t="str">
        <f>IF($A241&lt;&gt;"",'All Cases - Enter Cases'!H241,"")</f>
        <v/>
      </c>
      <c r="I241" t="str">
        <f>IF($A241&lt;&gt;"",'All Cases - Enter Cases'!I241,"")</f>
        <v/>
      </c>
      <c r="J241" s="4" t="str">
        <f>IF($A241&lt;&gt;"",'All Cases - Enter Cases'!J241,"")</f>
        <v/>
      </c>
      <c r="K241" s="4" t="str">
        <f>IF($A241&lt;&gt;"",'All Cases - Enter Cases'!K241,"")</f>
        <v/>
      </c>
      <c r="L241" s="4" t="str">
        <f>IF($A241&lt;&gt;"",'All Cases - Enter Cases'!L241,"")</f>
        <v/>
      </c>
      <c r="M241" t="str">
        <f>IF($A241&lt;&gt;"",'All Cases - Enter Cases'!M241,"")</f>
        <v/>
      </c>
    </row>
    <row r="242" spans="1:13" x14ac:dyDescent="0.35">
      <c r="A242" s="4" t="str">
        <f>IF('All Cases - Enter Cases'!$F242="Punjab",'All Cases - Enter Cases'!A242,"")</f>
        <v/>
      </c>
      <c r="B242" t="str">
        <f>IF($A242&lt;&gt;"",'All Cases - Enter Cases'!B242,"")</f>
        <v/>
      </c>
      <c r="C242" t="str">
        <f>IF($A242&lt;&gt;"",'All Cases - Enter Cases'!C242,"")</f>
        <v/>
      </c>
      <c r="D242" t="str">
        <f>IF($A242&lt;&gt;"",'All Cases - Enter Cases'!D242,"")</f>
        <v/>
      </c>
      <c r="E242" t="str">
        <f>IF($A242&lt;&gt;"",'All Cases - Enter Cases'!E242,"")</f>
        <v/>
      </c>
      <c r="F242" t="str">
        <f>IF($A242&lt;&gt;"",'All Cases - Enter Cases'!F242,"")</f>
        <v/>
      </c>
      <c r="G242" t="str">
        <f>IF($A242&lt;&gt;"",'All Cases - Enter Cases'!G242,"")</f>
        <v/>
      </c>
      <c r="H242" t="str">
        <f>IF($A242&lt;&gt;"",'All Cases - Enter Cases'!H242,"")</f>
        <v/>
      </c>
      <c r="I242" t="str">
        <f>IF($A242&lt;&gt;"",'All Cases - Enter Cases'!I242,"")</f>
        <v/>
      </c>
      <c r="J242" s="4" t="str">
        <f>IF($A242&lt;&gt;"",'All Cases - Enter Cases'!J242,"")</f>
        <v/>
      </c>
      <c r="K242" s="4" t="str">
        <f>IF($A242&lt;&gt;"",'All Cases - Enter Cases'!K242,"")</f>
        <v/>
      </c>
      <c r="L242" s="4" t="str">
        <f>IF($A242&lt;&gt;"",'All Cases - Enter Cases'!L242,"")</f>
        <v/>
      </c>
      <c r="M242" t="str">
        <f>IF($A242&lt;&gt;"",'All Cases - Enter Cases'!M242,"")</f>
        <v/>
      </c>
    </row>
    <row r="243" spans="1:13" x14ac:dyDescent="0.35">
      <c r="A243" s="4" t="str">
        <f>IF('All Cases - Enter Cases'!$F243="Punjab",'All Cases - Enter Cases'!A243,"")</f>
        <v/>
      </c>
      <c r="B243" t="str">
        <f>IF($A243&lt;&gt;"",'All Cases - Enter Cases'!B243,"")</f>
        <v/>
      </c>
      <c r="C243" t="str">
        <f>IF($A243&lt;&gt;"",'All Cases - Enter Cases'!C243,"")</f>
        <v/>
      </c>
      <c r="D243" t="str">
        <f>IF($A243&lt;&gt;"",'All Cases - Enter Cases'!D243,"")</f>
        <v/>
      </c>
      <c r="E243" t="str">
        <f>IF($A243&lt;&gt;"",'All Cases - Enter Cases'!E243,"")</f>
        <v/>
      </c>
      <c r="F243" t="str">
        <f>IF($A243&lt;&gt;"",'All Cases - Enter Cases'!F243,"")</f>
        <v/>
      </c>
      <c r="G243" t="str">
        <f>IF($A243&lt;&gt;"",'All Cases - Enter Cases'!G243,"")</f>
        <v/>
      </c>
      <c r="H243" t="str">
        <f>IF($A243&lt;&gt;"",'All Cases - Enter Cases'!H243,"")</f>
        <v/>
      </c>
      <c r="I243" t="str">
        <f>IF($A243&lt;&gt;"",'All Cases - Enter Cases'!I243,"")</f>
        <v/>
      </c>
      <c r="J243" s="4" t="str">
        <f>IF($A243&lt;&gt;"",'All Cases - Enter Cases'!J243,"")</f>
        <v/>
      </c>
      <c r="K243" s="4" t="str">
        <f>IF($A243&lt;&gt;"",'All Cases - Enter Cases'!K243,"")</f>
        <v/>
      </c>
      <c r="L243" s="4" t="str">
        <f>IF($A243&lt;&gt;"",'All Cases - Enter Cases'!L243,"")</f>
        <v/>
      </c>
      <c r="M243" t="str">
        <f>IF($A243&lt;&gt;"",'All Cases - Enter Cases'!M243,"")</f>
        <v/>
      </c>
    </row>
    <row r="244" spans="1:13" x14ac:dyDescent="0.35">
      <c r="A244" s="4" t="str">
        <f>IF('All Cases - Enter Cases'!$F244="Punjab",'All Cases - Enter Cases'!A244,"")</f>
        <v/>
      </c>
      <c r="B244" t="str">
        <f>IF($A244&lt;&gt;"",'All Cases - Enter Cases'!B244,"")</f>
        <v/>
      </c>
      <c r="C244" t="str">
        <f>IF($A244&lt;&gt;"",'All Cases - Enter Cases'!C244,"")</f>
        <v/>
      </c>
      <c r="D244" t="str">
        <f>IF($A244&lt;&gt;"",'All Cases - Enter Cases'!D244,"")</f>
        <v/>
      </c>
      <c r="E244" t="str">
        <f>IF($A244&lt;&gt;"",'All Cases - Enter Cases'!E244,"")</f>
        <v/>
      </c>
      <c r="F244" t="str">
        <f>IF($A244&lt;&gt;"",'All Cases - Enter Cases'!F244,"")</f>
        <v/>
      </c>
      <c r="G244" t="str">
        <f>IF($A244&lt;&gt;"",'All Cases - Enter Cases'!G244,"")</f>
        <v/>
      </c>
      <c r="H244" t="str">
        <f>IF($A244&lt;&gt;"",'All Cases - Enter Cases'!H244,"")</f>
        <v/>
      </c>
      <c r="I244" t="str">
        <f>IF($A244&lt;&gt;"",'All Cases - Enter Cases'!I244,"")</f>
        <v/>
      </c>
      <c r="J244" s="4" t="str">
        <f>IF($A244&lt;&gt;"",'All Cases - Enter Cases'!J244,"")</f>
        <v/>
      </c>
      <c r="K244" s="4" t="str">
        <f>IF($A244&lt;&gt;"",'All Cases - Enter Cases'!K244,"")</f>
        <v/>
      </c>
      <c r="L244" s="4" t="str">
        <f>IF($A244&lt;&gt;"",'All Cases - Enter Cases'!L244,"")</f>
        <v/>
      </c>
      <c r="M244" t="str">
        <f>IF($A244&lt;&gt;"",'All Cases - Enter Cases'!M244,"")</f>
        <v/>
      </c>
    </row>
    <row r="245" spans="1:13" x14ac:dyDescent="0.35">
      <c r="A245" s="4" t="str">
        <f>IF('All Cases - Enter Cases'!$F245="Punjab",'All Cases - Enter Cases'!A245,"")</f>
        <v/>
      </c>
      <c r="B245" t="str">
        <f>IF($A245&lt;&gt;"",'All Cases - Enter Cases'!B245,"")</f>
        <v/>
      </c>
      <c r="C245" t="str">
        <f>IF($A245&lt;&gt;"",'All Cases - Enter Cases'!C245,"")</f>
        <v/>
      </c>
      <c r="D245" t="str">
        <f>IF($A245&lt;&gt;"",'All Cases - Enter Cases'!D245,"")</f>
        <v/>
      </c>
      <c r="E245" t="str">
        <f>IF($A245&lt;&gt;"",'All Cases - Enter Cases'!E245,"")</f>
        <v/>
      </c>
      <c r="F245" t="str">
        <f>IF($A245&lt;&gt;"",'All Cases - Enter Cases'!F245,"")</f>
        <v/>
      </c>
      <c r="G245" t="str">
        <f>IF($A245&lt;&gt;"",'All Cases - Enter Cases'!G245,"")</f>
        <v/>
      </c>
      <c r="H245" t="str">
        <f>IF($A245&lt;&gt;"",'All Cases - Enter Cases'!H245,"")</f>
        <v/>
      </c>
      <c r="I245" t="str">
        <f>IF($A245&lt;&gt;"",'All Cases - Enter Cases'!I245,"")</f>
        <v/>
      </c>
      <c r="J245" s="4" t="str">
        <f>IF($A245&lt;&gt;"",'All Cases - Enter Cases'!J245,"")</f>
        <v/>
      </c>
      <c r="K245" s="4" t="str">
        <f>IF($A245&lt;&gt;"",'All Cases - Enter Cases'!K245,"")</f>
        <v/>
      </c>
      <c r="L245" s="4" t="str">
        <f>IF($A245&lt;&gt;"",'All Cases - Enter Cases'!L245,"")</f>
        <v/>
      </c>
      <c r="M245" t="str">
        <f>IF($A245&lt;&gt;"",'All Cases - Enter Cases'!M245,"")</f>
        <v/>
      </c>
    </row>
    <row r="246" spans="1:13" x14ac:dyDescent="0.35">
      <c r="A246" s="4" t="str">
        <f>IF('All Cases - Enter Cases'!$F246="Punjab",'All Cases - Enter Cases'!A246,"")</f>
        <v/>
      </c>
      <c r="B246" t="str">
        <f>IF($A246&lt;&gt;"",'All Cases - Enter Cases'!B246,"")</f>
        <v/>
      </c>
      <c r="C246" t="str">
        <f>IF($A246&lt;&gt;"",'All Cases - Enter Cases'!C246,"")</f>
        <v/>
      </c>
      <c r="D246" t="str">
        <f>IF($A246&lt;&gt;"",'All Cases - Enter Cases'!D246,"")</f>
        <v/>
      </c>
      <c r="E246" t="str">
        <f>IF($A246&lt;&gt;"",'All Cases - Enter Cases'!E246,"")</f>
        <v/>
      </c>
      <c r="F246" t="str">
        <f>IF($A246&lt;&gt;"",'All Cases - Enter Cases'!F246,"")</f>
        <v/>
      </c>
      <c r="G246" t="str">
        <f>IF($A246&lt;&gt;"",'All Cases - Enter Cases'!G246,"")</f>
        <v/>
      </c>
      <c r="H246" t="str">
        <f>IF($A246&lt;&gt;"",'All Cases - Enter Cases'!H246,"")</f>
        <v/>
      </c>
      <c r="I246" t="str">
        <f>IF($A246&lt;&gt;"",'All Cases - Enter Cases'!I246,"")</f>
        <v/>
      </c>
      <c r="J246" s="4" t="str">
        <f>IF($A246&lt;&gt;"",'All Cases - Enter Cases'!J246,"")</f>
        <v/>
      </c>
      <c r="K246" s="4" t="str">
        <f>IF($A246&lt;&gt;"",'All Cases - Enter Cases'!K246,"")</f>
        <v/>
      </c>
      <c r="L246" s="4" t="str">
        <f>IF($A246&lt;&gt;"",'All Cases - Enter Cases'!L246,"")</f>
        <v/>
      </c>
      <c r="M246" t="str">
        <f>IF($A246&lt;&gt;"",'All Cases - Enter Cases'!M246,"")</f>
        <v/>
      </c>
    </row>
    <row r="247" spans="1:13" x14ac:dyDescent="0.35">
      <c r="A247" s="4" t="str">
        <f>IF('All Cases - Enter Cases'!$F247="Punjab",'All Cases - Enter Cases'!A247,"")</f>
        <v/>
      </c>
      <c r="B247" t="str">
        <f>IF($A247&lt;&gt;"",'All Cases - Enter Cases'!B247,"")</f>
        <v/>
      </c>
      <c r="C247" t="str">
        <f>IF($A247&lt;&gt;"",'All Cases - Enter Cases'!C247,"")</f>
        <v/>
      </c>
      <c r="D247" t="str">
        <f>IF($A247&lt;&gt;"",'All Cases - Enter Cases'!D247,"")</f>
        <v/>
      </c>
      <c r="E247" t="str">
        <f>IF($A247&lt;&gt;"",'All Cases - Enter Cases'!E247,"")</f>
        <v/>
      </c>
      <c r="F247" t="str">
        <f>IF($A247&lt;&gt;"",'All Cases - Enter Cases'!F247,"")</f>
        <v/>
      </c>
      <c r="G247" t="str">
        <f>IF($A247&lt;&gt;"",'All Cases - Enter Cases'!G247,"")</f>
        <v/>
      </c>
      <c r="H247" t="str">
        <f>IF($A247&lt;&gt;"",'All Cases - Enter Cases'!H247,"")</f>
        <v/>
      </c>
      <c r="I247" t="str">
        <f>IF($A247&lt;&gt;"",'All Cases - Enter Cases'!I247,"")</f>
        <v/>
      </c>
      <c r="J247" s="4" t="str">
        <f>IF($A247&lt;&gt;"",'All Cases - Enter Cases'!J247,"")</f>
        <v/>
      </c>
      <c r="K247" s="4" t="str">
        <f>IF($A247&lt;&gt;"",'All Cases - Enter Cases'!K247,"")</f>
        <v/>
      </c>
      <c r="L247" s="4" t="str">
        <f>IF($A247&lt;&gt;"",'All Cases - Enter Cases'!L247,"")</f>
        <v/>
      </c>
      <c r="M247" t="str">
        <f>IF($A247&lt;&gt;"",'All Cases - Enter Cases'!M247,"")</f>
        <v/>
      </c>
    </row>
    <row r="248" spans="1:13" x14ac:dyDescent="0.35">
      <c r="A248" s="4" t="str">
        <f>IF('All Cases - Enter Cases'!$F248="Punjab",'All Cases - Enter Cases'!A248,"")</f>
        <v/>
      </c>
      <c r="B248" t="str">
        <f>IF($A248&lt;&gt;"",'All Cases - Enter Cases'!B248,"")</f>
        <v/>
      </c>
      <c r="C248" t="str">
        <f>IF($A248&lt;&gt;"",'All Cases - Enter Cases'!C248,"")</f>
        <v/>
      </c>
      <c r="D248" t="str">
        <f>IF($A248&lt;&gt;"",'All Cases - Enter Cases'!D248,"")</f>
        <v/>
      </c>
      <c r="E248" t="str">
        <f>IF($A248&lt;&gt;"",'All Cases - Enter Cases'!E248,"")</f>
        <v/>
      </c>
      <c r="F248" t="str">
        <f>IF($A248&lt;&gt;"",'All Cases - Enter Cases'!F248,"")</f>
        <v/>
      </c>
      <c r="G248" t="str">
        <f>IF($A248&lt;&gt;"",'All Cases - Enter Cases'!G248,"")</f>
        <v/>
      </c>
      <c r="H248" t="str">
        <f>IF($A248&lt;&gt;"",'All Cases - Enter Cases'!H248,"")</f>
        <v/>
      </c>
      <c r="I248" t="str">
        <f>IF($A248&lt;&gt;"",'All Cases - Enter Cases'!I248,"")</f>
        <v/>
      </c>
      <c r="J248" s="4" t="str">
        <f>IF($A248&lt;&gt;"",'All Cases - Enter Cases'!J248,"")</f>
        <v/>
      </c>
      <c r="K248" s="4" t="str">
        <f>IF($A248&lt;&gt;"",'All Cases - Enter Cases'!K248,"")</f>
        <v/>
      </c>
      <c r="L248" s="4" t="str">
        <f>IF($A248&lt;&gt;"",'All Cases - Enter Cases'!L248,"")</f>
        <v/>
      </c>
      <c r="M248" t="str">
        <f>IF($A248&lt;&gt;"",'All Cases - Enter Cases'!M248,"")</f>
        <v/>
      </c>
    </row>
    <row r="249" spans="1:13" x14ac:dyDescent="0.35">
      <c r="A249" s="4" t="str">
        <f>IF('All Cases - Enter Cases'!$F249="Punjab",'All Cases - Enter Cases'!A249,"")</f>
        <v/>
      </c>
      <c r="B249" t="str">
        <f>IF($A249&lt;&gt;"",'All Cases - Enter Cases'!B249,"")</f>
        <v/>
      </c>
      <c r="C249" t="str">
        <f>IF($A249&lt;&gt;"",'All Cases - Enter Cases'!C249,"")</f>
        <v/>
      </c>
      <c r="D249" t="str">
        <f>IF($A249&lt;&gt;"",'All Cases - Enter Cases'!D249,"")</f>
        <v/>
      </c>
      <c r="E249" t="str">
        <f>IF($A249&lt;&gt;"",'All Cases - Enter Cases'!E249,"")</f>
        <v/>
      </c>
      <c r="F249" t="str">
        <f>IF($A249&lt;&gt;"",'All Cases - Enter Cases'!F249,"")</f>
        <v/>
      </c>
      <c r="G249" t="str">
        <f>IF($A249&lt;&gt;"",'All Cases - Enter Cases'!G249,"")</f>
        <v/>
      </c>
      <c r="H249" t="str">
        <f>IF($A249&lt;&gt;"",'All Cases - Enter Cases'!H249,"")</f>
        <v/>
      </c>
      <c r="I249" t="str">
        <f>IF($A249&lt;&gt;"",'All Cases - Enter Cases'!I249,"")</f>
        <v/>
      </c>
      <c r="J249" s="4" t="str">
        <f>IF($A249&lt;&gt;"",'All Cases - Enter Cases'!J249,"")</f>
        <v/>
      </c>
      <c r="K249" s="4" t="str">
        <f>IF($A249&lt;&gt;"",'All Cases - Enter Cases'!K249,"")</f>
        <v/>
      </c>
      <c r="L249" s="4" t="str">
        <f>IF($A249&lt;&gt;"",'All Cases - Enter Cases'!L249,"")</f>
        <v/>
      </c>
      <c r="M249" t="str">
        <f>IF($A249&lt;&gt;"",'All Cases - Enter Cases'!M249,"")</f>
        <v/>
      </c>
    </row>
    <row r="250" spans="1:13" x14ac:dyDescent="0.35">
      <c r="A250" s="4" t="str">
        <f>IF('All Cases - Enter Cases'!$F250="Punjab",'All Cases - Enter Cases'!A250,"")</f>
        <v/>
      </c>
      <c r="B250" t="str">
        <f>IF($A250&lt;&gt;"",'All Cases - Enter Cases'!B250,"")</f>
        <v/>
      </c>
      <c r="C250" t="str">
        <f>IF($A250&lt;&gt;"",'All Cases - Enter Cases'!C250,"")</f>
        <v/>
      </c>
      <c r="D250" t="str">
        <f>IF($A250&lt;&gt;"",'All Cases - Enter Cases'!D250,"")</f>
        <v/>
      </c>
      <c r="E250" t="str">
        <f>IF($A250&lt;&gt;"",'All Cases - Enter Cases'!E250,"")</f>
        <v/>
      </c>
      <c r="F250" t="str">
        <f>IF($A250&lt;&gt;"",'All Cases - Enter Cases'!F250,"")</f>
        <v/>
      </c>
      <c r="G250" t="str">
        <f>IF($A250&lt;&gt;"",'All Cases - Enter Cases'!G250,"")</f>
        <v/>
      </c>
      <c r="H250" t="str">
        <f>IF($A250&lt;&gt;"",'All Cases - Enter Cases'!H250,"")</f>
        <v/>
      </c>
      <c r="I250" t="str">
        <f>IF($A250&lt;&gt;"",'All Cases - Enter Cases'!I250,"")</f>
        <v/>
      </c>
      <c r="J250" s="4" t="str">
        <f>IF($A250&lt;&gt;"",'All Cases - Enter Cases'!J250,"")</f>
        <v/>
      </c>
      <c r="K250" s="4" t="str">
        <f>IF($A250&lt;&gt;"",'All Cases - Enter Cases'!K250,"")</f>
        <v/>
      </c>
      <c r="L250" s="4" t="str">
        <f>IF($A250&lt;&gt;"",'All Cases - Enter Cases'!L250,"")</f>
        <v/>
      </c>
      <c r="M250" t="str">
        <f>IF($A250&lt;&gt;"",'All Cases - Enter Cases'!M250,"")</f>
        <v/>
      </c>
    </row>
    <row r="251" spans="1:13" x14ac:dyDescent="0.35">
      <c r="A251" s="4" t="str">
        <f>IF('All Cases - Enter Cases'!$F251="Punjab",'All Cases - Enter Cases'!A251,"")</f>
        <v/>
      </c>
      <c r="B251" t="str">
        <f>IF($A251&lt;&gt;"",'All Cases - Enter Cases'!B251,"")</f>
        <v/>
      </c>
      <c r="C251" t="str">
        <f>IF($A251&lt;&gt;"",'All Cases - Enter Cases'!C251,"")</f>
        <v/>
      </c>
      <c r="D251" t="str">
        <f>IF($A251&lt;&gt;"",'All Cases - Enter Cases'!D251,"")</f>
        <v/>
      </c>
      <c r="E251" t="str">
        <f>IF($A251&lt;&gt;"",'All Cases - Enter Cases'!E251,"")</f>
        <v/>
      </c>
      <c r="F251" t="str">
        <f>IF($A251&lt;&gt;"",'All Cases - Enter Cases'!F251,"")</f>
        <v/>
      </c>
      <c r="G251" t="str">
        <f>IF($A251&lt;&gt;"",'All Cases - Enter Cases'!G251,"")</f>
        <v/>
      </c>
      <c r="H251" t="str">
        <f>IF($A251&lt;&gt;"",'All Cases - Enter Cases'!H251,"")</f>
        <v/>
      </c>
      <c r="I251" t="str">
        <f>IF($A251&lt;&gt;"",'All Cases - Enter Cases'!I251,"")</f>
        <v/>
      </c>
      <c r="J251" s="4" t="str">
        <f>IF($A251&lt;&gt;"",'All Cases - Enter Cases'!J251,"")</f>
        <v/>
      </c>
      <c r="K251" s="4" t="str">
        <f>IF($A251&lt;&gt;"",'All Cases - Enter Cases'!K251,"")</f>
        <v/>
      </c>
      <c r="L251" s="4" t="str">
        <f>IF($A251&lt;&gt;"",'All Cases - Enter Cases'!L251,"")</f>
        <v/>
      </c>
      <c r="M251" t="str">
        <f>IF($A251&lt;&gt;"",'All Cases - Enter Cases'!M251,"")</f>
        <v/>
      </c>
    </row>
    <row r="252" spans="1:13" x14ac:dyDescent="0.35">
      <c r="A252" s="4" t="str">
        <f>IF('All Cases - Enter Cases'!$F252="Punjab",'All Cases - Enter Cases'!A252,"")</f>
        <v/>
      </c>
      <c r="B252" t="str">
        <f>IF($A252&lt;&gt;"",'All Cases - Enter Cases'!B252,"")</f>
        <v/>
      </c>
      <c r="C252" t="str">
        <f>IF($A252&lt;&gt;"",'All Cases - Enter Cases'!C252,"")</f>
        <v/>
      </c>
      <c r="D252" t="str">
        <f>IF($A252&lt;&gt;"",'All Cases - Enter Cases'!D252,"")</f>
        <v/>
      </c>
      <c r="E252" t="str">
        <f>IF($A252&lt;&gt;"",'All Cases - Enter Cases'!E252,"")</f>
        <v/>
      </c>
      <c r="F252" t="str">
        <f>IF($A252&lt;&gt;"",'All Cases - Enter Cases'!F252,"")</f>
        <v/>
      </c>
      <c r="G252" t="str">
        <f>IF($A252&lt;&gt;"",'All Cases - Enter Cases'!G252,"")</f>
        <v/>
      </c>
      <c r="H252" t="str">
        <f>IF($A252&lt;&gt;"",'All Cases - Enter Cases'!H252,"")</f>
        <v/>
      </c>
      <c r="I252" t="str">
        <f>IF($A252&lt;&gt;"",'All Cases - Enter Cases'!I252,"")</f>
        <v/>
      </c>
      <c r="J252" s="4" t="str">
        <f>IF($A252&lt;&gt;"",'All Cases - Enter Cases'!J252,"")</f>
        <v/>
      </c>
      <c r="K252" s="4" t="str">
        <f>IF($A252&lt;&gt;"",'All Cases - Enter Cases'!K252,"")</f>
        <v/>
      </c>
      <c r="L252" s="4" t="str">
        <f>IF($A252&lt;&gt;"",'All Cases - Enter Cases'!L252,"")</f>
        <v/>
      </c>
      <c r="M252" t="str">
        <f>IF($A252&lt;&gt;"",'All Cases - Enter Cases'!M252,"")</f>
        <v/>
      </c>
    </row>
    <row r="253" spans="1:13" x14ac:dyDescent="0.35">
      <c r="A253" s="4" t="str">
        <f>IF('All Cases - Enter Cases'!$F253="Punjab",'All Cases - Enter Cases'!A253,"")</f>
        <v/>
      </c>
      <c r="B253" t="str">
        <f>IF($A253&lt;&gt;"",'All Cases - Enter Cases'!B253,"")</f>
        <v/>
      </c>
      <c r="C253" t="str">
        <f>IF($A253&lt;&gt;"",'All Cases - Enter Cases'!C253,"")</f>
        <v/>
      </c>
      <c r="D253" t="str">
        <f>IF($A253&lt;&gt;"",'All Cases - Enter Cases'!D253,"")</f>
        <v/>
      </c>
      <c r="E253" t="str">
        <f>IF($A253&lt;&gt;"",'All Cases - Enter Cases'!E253,"")</f>
        <v/>
      </c>
      <c r="F253" t="str">
        <f>IF($A253&lt;&gt;"",'All Cases - Enter Cases'!F253,"")</f>
        <v/>
      </c>
      <c r="G253" t="str">
        <f>IF($A253&lt;&gt;"",'All Cases - Enter Cases'!G253,"")</f>
        <v/>
      </c>
      <c r="H253" t="str">
        <f>IF($A253&lt;&gt;"",'All Cases - Enter Cases'!H253,"")</f>
        <v/>
      </c>
      <c r="I253" t="str">
        <f>IF($A253&lt;&gt;"",'All Cases - Enter Cases'!I253,"")</f>
        <v/>
      </c>
      <c r="J253" s="4" t="str">
        <f>IF($A253&lt;&gt;"",'All Cases - Enter Cases'!J253,"")</f>
        <v/>
      </c>
      <c r="K253" s="4" t="str">
        <f>IF($A253&lt;&gt;"",'All Cases - Enter Cases'!K253,"")</f>
        <v/>
      </c>
      <c r="L253" s="4" t="str">
        <f>IF($A253&lt;&gt;"",'All Cases - Enter Cases'!L253,"")</f>
        <v/>
      </c>
      <c r="M253" t="str">
        <f>IF($A253&lt;&gt;"",'All Cases - Enter Cases'!M253,"")</f>
        <v/>
      </c>
    </row>
    <row r="254" spans="1:13" x14ac:dyDescent="0.35">
      <c r="A254" s="4" t="str">
        <f>IF('All Cases - Enter Cases'!$F254="Punjab",'All Cases - Enter Cases'!A254,"")</f>
        <v/>
      </c>
      <c r="B254" t="str">
        <f>IF($A254&lt;&gt;"",'All Cases - Enter Cases'!B254,"")</f>
        <v/>
      </c>
      <c r="C254" t="str">
        <f>IF($A254&lt;&gt;"",'All Cases - Enter Cases'!C254,"")</f>
        <v/>
      </c>
      <c r="D254" t="str">
        <f>IF($A254&lt;&gt;"",'All Cases - Enter Cases'!D254,"")</f>
        <v/>
      </c>
      <c r="E254" t="str">
        <f>IF($A254&lt;&gt;"",'All Cases - Enter Cases'!E254,"")</f>
        <v/>
      </c>
      <c r="F254" t="str">
        <f>IF($A254&lt;&gt;"",'All Cases - Enter Cases'!F254,"")</f>
        <v/>
      </c>
      <c r="G254" t="str">
        <f>IF($A254&lt;&gt;"",'All Cases - Enter Cases'!G254,"")</f>
        <v/>
      </c>
      <c r="H254" t="str">
        <f>IF($A254&lt;&gt;"",'All Cases - Enter Cases'!H254,"")</f>
        <v/>
      </c>
      <c r="I254" t="str">
        <f>IF($A254&lt;&gt;"",'All Cases - Enter Cases'!I254,"")</f>
        <v/>
      </c>
      <c r="J254" s="4" t="str">
        <f>IF($A254&lt;&gt;"",'All Cases - Enter Cases'!J254,"")</f>
        <v/>
      </c>
      <c r="K254" s="4" t="str">
        <f>IF($A254&lt;&gt;"",'All Cases - Enter Cases'!K254,"")</f>
        <v/>
      </c>
      <c r="L254" s="4" t="str">
        <f>IF($A254&lt;&gt;"",'All Cases - Enter Cases'!L254,"")</f>
        <v/>
      </c>
      <c r="M254" t="str">
        <f>IF($A254&lt;&gt;"",'All Cases - Enter Cases'!M254,"")</f>
        <v/>
      </c>
    </row>
    <row r="255" spans="1:13" x14ac:dyDescent="0.35">
      <c r="A255" s="4" t="str">
        <f>IF('All Cases - Enter Cases'!$F255="Punjab",'All Cases - Enter Cases'!A255,"")</f>
        <v/>
      </c>
      <c r="B255" t="str">
        <f>IF($A255&lt;&gt;"",'All Cases - Enter Cases'!B255,"")</f>
        <v/>
      </c>
      <c r="C255" t="str">
        <f>IF($A255&lt;&gt;"",'All Cases - Enter Cases'!C255,"")</f>
        <v/>
      </c>
      <c r="D255" t="str">
        <f>IF($A255&lt;&gt;"",'All Cases - Enter Cases'!D255,"")</f>
        <v/>
      </c>
      <c r="E255" t="str">
        <f>IF($A255&lt;&gt;"",'All Cases - Enter Cases'!E255,"")</f>
        <v/>
      </c>
      <c r="F255" t="str">
        <f>IF($A255&lt;&gt;"",'All Cases - Enter Cases'!F255,"")</f>
        <v/>
      </c>
      <c r="G255" t="str">
        <f>IF($A255&lt;&gt;"",'All Cases - Enter Cases'!G255,"")</f>
        <v/>
      </c>
      <c r="H255" t="str">
        <f>IF($A255&lt;&gt;"",'All Cases - Enter Cases'!H255,"")</f>
        <v/>
      </c>
      <c r="I255" t="str">
        <f>IF($A255&lt;&gt;"",'All Cases - Enter Cases'!I255,"")</f>
        <v/>
      </c>
      <c r="J255" s="4" t="str">
        <f>IF($A255&lt;&gt;"",'All Cases - Enter Cases'!J255,"")</f>
        <v/>
      </c>
      <c r="K255" s="4" t="str">
        <f>IF($A255&lt;&gt;"",'All Cases - Enter Cases'!K255,"")</f>
        <v/>
      </c>
      <c r="L255" s="4" t="str">
        <f>IF($A255&lt;&gt;"",'All Cases - Enter Cases'!L255,"")</f>
        <v/>
      </c>
      <c r="M255" t="str">
        <f>IF($A255&lt;&gt;"",'All Cases - Enter Cases'!M255,"")</f>
        <v/>
      </c>
    </row>
    <row r="256" spans="1:13" x14ac:dyDescent="0.35">
      <c r="A256" s="4" t="str">
        <f>IF('All Cases - Enter Cases'!$F256="Punjab",'All Cases - Enter Cases'!A256,"")</f>
        <v/>
      </c>
      <c r="B256" t="str">
        <f>IF($A256&lt;&gt;"",'All Cases - Enter Cases'!B256,"")</f>
        <v/>
      </c>
      <c r="C256" t="str">
        <f>IF($A256&lt;&gt;"",'All Cases - Enter Cases'!C256,"")</f>
        <v/>
      </c>
      <c r="D256" t="str">
        <f>IF($A256&lt;&gt;"",'All Cases - Enter Cases'!D256,"")</f>
        <v/>
      </c>
      <c r="E256" t="str">
        <f>IF($A256&lt;&gt;"",'All Cases - Enter Cases'!E256,"")</f>
        <v/>
      </c>
      <c r="F256" t="str">
        <f>IF($A256&lt;&gt;"",'All Cases - Enter Cases'!F256,"")</f>
        <v/>
      </c>
      <c r="G256" t="str">
        <f>IF($A256&lt;&gt;"",'All Cases - Enter Cases'!G256,"")</f>
        <v/>
      </c>
      <c r="H256" t="str">
        <f>IF($A256&lt;&gt;"",'All Cases - Enter Cases'!H256,"")</f>
        <v/>
      </c>
      <c r="I256" t="str">
        <f>IF($A256&lt;&gt;"",'All Cases - Enter Cases'!I256,"")</f>
        <v/>
      </c>
      <c r="J256" s="4" t="str">
        <f>IF($A256&lt;&gt;"",'All Cases - Enter Cases'!J256,"")</f>
        <v/>
      </c>
      <c r="K256" s="4" t="str">
        <f>IF($A256&lt;&gt;"",'All Cases - Enter Cases'!K256,"")</f>
        <v/>
      </c>
      <c r="L256" s="4" t="str">
        <f>IF($A256&lt;&gt;"",'All Cases - Enter Cases'!L256,"")</f>
        <v/>
      </c>
      <c r="M256" t="str">
        <f>IF($A256&lt;&gt;"",'All Cases - Enter Cases'!M256,"")</f>
        <v/>
      </c>
    </row>
    <row r="257" spans="1:13" x14ac:dyDescent="0.35">
      <c r="A257" s="4" t="str">
        <f>IF('All Cases - Enter Cases'!$F257="Punjab",'All Cases - Enter Cases'!A257,"")</f>
        <v/>
      </c>
      <c r="B257" t="str">
        <f>IF($A257&lt;&gt;"",'All Cases - Enter Cases'!B257,"")</f>
        <v/>
      </c>
      <c r="C257" t="str">
        <f>IF($A257&lt;&gt;"",'All Cases - Enter Cases'!C257,"")</f>
        <v/>
      </c>
      <c r="D257" t="str">
        <f>IF($A257&lt;&gt;"",'All Cases - Enter Cases'!D257,"")</f>
        <v/>
      </c>
      <c r="E257" t="str">
        <f>IF($A257&lt;&gt;"",'All Cases - Enter Cases'!E257,"")</f>
        <v/>
      </c>
      <c r="F257" t="str">
        <f>IF($A257&lt;&gt;"",'All Cases - Enter Cases'!F257,"")</f>
        <v/>
      </c>
      <c r="G257" t="str">
        <f>IF($A257&lt;&gt;"",'All Cases - Enter Cases'!G257,"")</f>
        <v/>
      </c>
      <c r="H257" t="str">
        <f>IF($A257&lt;&gt;"",'All Cases - Enter Cases'!H257,"")</f>
        <v/>
      </c>
      <c r="I257" t="str">
        <f>IF($A257&lt;&gt;"",'All Cases - Enter Cases'!I257,"")</f>
        <v/>
      </c>
      <c r="J257" s="4" t="str">
        <f>IF($A257&lt;&gt;"",'All Cases - Enter Cases'!J257,"")</f>
        <v/>
      </c>
      <c r="K257" s="4" t="str">
        <f>IF($A257&lt;&gt;"",'All Cases - Enter Cases'!K257,"")</f>
        <v/>
      </c>
      <c r="L257" s="4" t="str">
        <f>IF($A257&lt;&gt;"",'All Cases - Enter Cases'!L257,"")</f>
        <v/>
      </c>
      <c r="M257" t="str">
        <f>IF($A257&lt;&gt;"",'All Cases - Enter Cases'!M257,"")</f>
        <v/>
      </c>
    </row>
    <row r="258" spans="1:13" x14ac:dyDescent="0.35">
      <c r="A258" s="4" t="str">
        <f>IF('All Cases - Enter Cases'!$F258="Punjab",'All Cases - Enter Cases'!A258,"")</f>
        <v/>
      </c>
      <c r="B258" t="str">
        <f>IF($A258&lt;&gt;"",'All Cases - Enter Cases'!B258,"")</f>
        <v/>
      </c>
      <c r="C258" t="str">
        <f>IF($A258&lt;&gt;"",'All Cases - Enter Cases'!C258,"")</f>
        <v/>
      </c>
      <c r="D258" t="str">
        <f>IF($A258&lt;&gt;"",'All Cases - Enter Cases'!D258,"")</f>
        <v/>
      </c>
      <c r="E258" t="str">
        <f>IF($A258&lt;&gt;"",'All Cases - Enter Cases'!E258,"")</f>
        <v/>
      </c>
      <c r="F258" t="str">
        <f>IF($A258&lt;&gt;"",'All Cases - Enter Cases'!F258,"")</f>
        <v/>
      </c>
      <c r="G258" t="str">
        <f>IF($A258&lt;&gt;"",'All Cases - Enter Cases'!G258,"")</f>
        <v/>
      </c>
      <c r="H258" t="str">
        <f>IF($A258&lt;&gt;"",'All Cases - Enter Cases'!H258,"")</f>
        <v/>
      </c>
      <c r="I258" t="str">
        <f>IF($A258&lt;&gt;"",'All Cases - Enter Cases'!I258,"")</f>
        <v/>
      </c>
      <c r="J258" s="4" t="str">
        <f>IF($A258&lt;&gt;"",'All Cases - Enter Cases'!J258,"")</f>
        <v/>
      </c>
      <c r="K258" s="4" t="str">
        <f>IF($A258&lt;&gt;"",'All Cases - Enter Cases'!K258,"")</f>
        <v/>
      </c>
      <c r="L258" s="4" t="str">
        <f>IF($A258&lt;&gt;"",'All Cases - Enter Cases'!L258,"")</f>
        <v/>
      </c>
      <c r="M258" t="str">
        <f>IF($A258&lt;&gt;"",'All Cases - Enter Cases'!M258,"")</f>
        <v/>
      </c>
    </row>
    <row r="259" spans="1:13" x14ac:dyDescent="0.35">
      <c r="A259" s="4" t="str">
        <f>IF('All Cases - Enter Cases'!$F259="Punjab",'All Cases - Enter Cases'!A259,"")</f>
        <v/>
      </c>
      <c r="B259" t="str">
        <f>IF($A259&lt;&gt;"",'All Cases - Enter Cases'!B259,"")</f>
        <v/>
      </c>
      <c r="C259" t="str">
        <f>IF($A259&lt;&gt;"",'All Cases - Enter Cases'!C259,"")</f>
        <v/>
      </c>
      <c r="D259" t="str">
        <f>IF($A259&lt;&gt;"",'All Cases - Enter Cases'!D259,"")</f>
        <v/>
      </c>
      <c r="E259" t="str">
        <f>IF($A259&lt;&gt;"",'All Cases - Enter Cases'!E259,"")</f>
        <v/>
      </c>
      <c r="F259" t="str">
        <f>IF($A259&lt;&gt;"",'All Cases - Enter Cases'!F259,"")</f>
        <v/>
      </c>
      <c r="G259" t="str">
        <f>IF($A259&lt;&gt;"",'All Cases - Enter Cases'!G259,"")</f>
        <v/>
      </c>
      <c r="H259" t="str">
        <f>IF($A259&lt;&gt;"",'All Cases - Enter Cases'!H259,"")</f>
        <v/>
      </c>
      <c r="I259" t="str">
        <f>IF($A259&lt;&gt;"",'All Cases - Enter Cases'!I259,"")</f>
        <v/>
      </c>
      <c r="J259" s="4" t="str">
        <f>IF($A259&lt;&gt;"",'All Cases - Enter Cases'!J259,"")</f>
        <v/>
      </c>
      <c r="K259" s="4" t="str">
        <f>IF($A259&lt;&gt;"",'All Cases - Enter Cases'!K259,"")</f>
        <v/>
      </c>
      <c r="L259" s="4" t="str">
        <f>IF($A259&lt;&gt;"",'All Cases - Enter Cases'!L259,"")</f>
        <v/>
      </c>
      <c r="M259" t="str">
        <f>IF($A259&lt;&gt;"",'All Cases - Enter Cases'!M259,"")</f>
        <v/>
      </c>
    </row>
    <row r="260" spans="1:13" x14ac:dyDescent="0.35">
      <c r="A260" s="4" t="str">
        <f>IF('All Cases - Enter Cases'!$F260="Punjab",'All Cases - Enter Cases'!A260,"")</f>
        <v/>
      </c>
      <c r="B260" t="str">
        <f>IF($A260&lt;&gt;"",'All Cases - Enter Cases'!B260,"")</f>
        <v/>
      </c>
      <c r="C260" t="str">
        <f>IF($A260&lt;&gt;"",'All Cases - Enter Cases'!C260,"")</f>
        <v/>
      </c>
      <c r="D260" t="str">
        <f>IF($A260&lt;&gt;"",'All Cases - Enter Cases'!D260,"")</f>
        <v/>
      </c>
      <c r="E260" t="str">
        <f>IF($A260&lt;&gt;"",'All Cases - Enter Cases'!E260,"")</f>
        <v/>
      </c>
      <c r="F260" t="str">
        <f>IF($A260&lt;&gt;"",'All Cases - Enter Cases'!F260,"")</f>
        <v/>
      </c>
      <c r="G260" t="str">
        <f>IF($A260&lt;&gt;"",'All Cases - Enter Cases'!G260,"")</f>
        <v/>
      </c>
      <c r="H260" t="str">
        <f>IF($A260&lt;&gt;"",'All Cases - Enter Cases'!H260,"")</f>
        <v/>
      </c>
      <c r="I260" t="str">
        <f>IF($A260&lt;&gt;"",'All Cases - Enter Cases'!I260,"")</f>
        <v/>
      </c>
      <c r="J260" s="4" t="str">
        <f>IF($A260&lt;&gt;"",'All Cases - Enter Cases'!J260,"")</f>
        <v/>
      </c>
      <c r="K260" s="4" t="str">
        <f>IF($A260&lt;&gt;"",'All Cases - Enter Cases'!K260,"")</f>
        <v/>
      </c>
      <c r="L260" s="4" t="str">
        <f>IF($A260&lt;&gt;"",'All Cases - Enter Cases'!L260,"")</f>
        <v/>
      </c>
      <c r="M260" t="str">
        <f>IF($A260&lt;&gt;"",'All Cases - Enter Cases'!M260,"")</f>
        <v/>
      </c>
    </row>
    <row r="261" spans="1:13" x14ac:dyDescent="0.35">
      <c r="A261" s="4" t="str">
        <f>IF('All Cases - Enter Cases'!$F261="Punjab",'All Cases - Enter Cases'!A261,"")</f>
        <v/>
      </c>
      <c r="B261" t="str">
        <f>IF($A261&lt;&gt;"",'All Cases - Enter Cases'!B261,"")</f>
        <v/>
      </c>
      <c r="C261" t="str">
        <f>IF($A261&lt;&gt;"",'All Cases - Enter Cases'!C261,"")</f>
        <v/>
      </c>
      <c r="D261" t="str">
        <f>IF($A261&lt;&gt;"",'All Cases - Enter Cases'!D261,"")</f>
        <v/>
      </c>
      <c r="E261" t="str">
        <f>IF($A261&lt;&gt;"",'All Cases - Enter Cases'!E261,"")</f>
        <v/>
      </c>
      <c r="F261" t="str">
        <f>IF($A261&lt;&gt;"",'All Cases - Enter Cases'!F261,"")</f>
        <v/>
      </c>
      <c r="G261" t="str">
        <f>IF($A261&lt;&gt;"",'All Cases - Enter Cases'!G261,"")</f>
        <v/>
      </c>
      <c r="H261" t="str">
        <f>IF($A261&lt;&gt;"",'All Cases - Enter Cases'!H261,"")</f>
        <v/>
      </c>
      <c r="I261" t="str">
        <f>IF($A261&lt;&gt;"",'All Cases - Enter Cases'!I261,"")</f>
        <v/>
      </c>
      <c r="J261" s="4" t="str">
        <f>IF($A261&lt;&gt;"",'All Cases - Enter Cases'!J261,"")</f>
        <v/>
      </c>
      <c r="K261" s="4" t="str">
        <f>IF($A261&lt;&gt;"",'All Cases - Enter Cases'!K261,"")</f>
        <v/>
      </c>
      <c r="L261" s="4" t="str">
        <f>IF($A261&lt;&gt;"",'All Cases - Enter Cases'!L261,"")</f>
        <v/>
      </c>
      <c r="M261" t="str">
        <f>IF($A261&lt;&gt;"",'All Cases - Enter Cases'!M261,"")</f>
        <v/>
      </c>
    </row>
    <row r="262" spans="1:13" x14ac:dyDescent="0.35">
      <c r="A262" s="4" t="str">
        <f>IF('All Cases - Enter Cases'!$F262="Punjab",'All Cases - Enter Cases'!A262,"")</f>
        <v/>
      </c>
      <c r="B262" t="str">
        <f>IF($A262&lt;&gt;"",'All Cases - Enter Cases'!B262,"")</f>
        <v/>
      </c>
      <c r="C262" t="str">
        <f>IF($A262&lt;&gt;"",'All Cases - Enter Cases'!C262,"")</f>
        <v/>
      </c>
      <c r="D262" t="str">
        <f>IF($A262&lt;&gt;"",'All Cases - Enter Cases'!D262,"")</f>
        <v/>
      </c>
      <c r="E262" t="str">
        <f>IF($A262&lt;&gt;"",'All Cases - Enter Cases'!E262,"")</f>
        <v/>
      </c>
      <c r="F262" t="str">
        <f>IF($A262&lt;&gt;"",'All Cases - Enter Cases'!F262,"")</f>
        <v/>
      </c>
      <c r="G262" t="str">
        <f>IF($A262&lt;&gt;"",'All Cases - Enter Cases'!G262,"")</f>
        <v/>
      </c>
      <c r="H262" t="str">
        <f>IF($A262&lt;&gt;"",'All Cases - Enter Cases'!H262,"")</f>
        <v/>
      </c>
      <c r="I262" t="str">
        <f>IF($A262&lt;&gt;"",'All Cases - Enter Cases'!I262,"")</f>
        <v/>
      </c>
      <c r="J262" s="4" t="str">
        <f>IF($A262&lt;&gt;"",'All Cases - Enter Cases'!J262,"")</f>
        <v/>
      </c>
      <c r="K262" s="4" t="str">
        <f>IF($A262&lt;&gt;"",'All Cases - Enter Cases'!K262,"")</f>
        <v/>
      </c>
      <c r="L262" s="4" t="str">
        <f>IF($A262&lt;&gt;"",'All Cases - Enter Cases'!L262,"")</f>
        <v/>
      </c>
      <c r="M262" t="str">
        <f>IF($A262&lt;&gt;"",'All Cases - Enter Cases'!M262,"")</f>
        <v/>
      </c>
    </row>
    <row r="263" spans="1:13" x14ac:dyDescent="0.35">
      <c r="A263" s="4" t="str">
        <f>IF('All Cases - Enter Cases'!$F263="Punjab",'All Cases - Enter Cases'!A263,"")</f>
        <v/>
      </c>
      <c r="B263" t="str">
        <f>IF($A263&lt;&gt;"",'All Cases - Enter Cases'!B263,"")</f>
        <v/>
      </c>
      <c r="C263" t="str">
        <f>IF($A263&lt;&gt;"",'All Cases - Enter Cases'!C263,"")</f>
        <v/>
      </c>
      <c r="D263" t="str">
        <f>IF($A263&lt;&gt;"",'All Cases - Enter Cases'!D263,"")</f>
        <v/>
      </c>
      <c r="E263" t="str">
        <f>IF($A263&lt;&gt;"",'All Cases - Enter Cases'!E263,"")</f>
        <v/>
      </c>
      <c r="F263" t="str">
        <f>IF($A263&lt;&gt;"",'All Cases - Enter Cases'!F263,"")</f>
        <v/>
      </c>
      <c r="G263" t="str">
        <f>IF($A263&lt;&gt;"",'All Cases - Enter Cases'!G263,"")</f>
        <v/>
      </c>
      <c r="H263" t="str">
        <f>IF($A263&lt;&gt;"",'All Cases - Enter Cases'!H263,"")</f>
        <v/>
      </c>
      <c r="I263" t="str">
        <f>IF($A263&lt;&gt;"",'All Cases - Enter Cases'!I263,"")</f>
        <v/>
      </c>
      <c r="J263" s="4" t="str">
        <f>IF($A263&lt;&gt;"",'All Cases - Enter Cases'!J263,"")</f>
        <v/>
      </c>
      <c r="K263" s="4" t="str">
        <f>IF($A263&lt;&gt;"",'All Cases - Enter Cases'!K263,"")</f>
        <v/>
      </c>
      <c r="L263" s="4" t="str">
        <f>IF($A263&lt;&gt;"",'All Cases - Enter Cases'!L263,"")</f>
        <v/>
      </c>
      <c r="M263" t="str">
        <f>IF($A263&lt;&gt;"",'All Cases - Enter Cases'!M263,"")</f>
        <v/>
      </c>
    </row>
    <row r="264" spans="1:13" x14ac:dyDescent="0.35">
      <c r="A264" s="4" t="str">
        <f>IF('All Cases - Enter Cases'!$F264="Punjab",'All Cases - Enter Cases'!A264,"")</f>
        <v/>
      </c>
      <c r="B264" t="str">
        <f>IF($A264&lt;&gt;"",'All Cases - Enter Cases'!B264,"")</f>
        <v/>
      </c>
      <c r="C264" t="str">
        <f>IF($A264&lt;&gt;"",'All Cases - Enter Cases'!C264,"")</f>
        <v/>
      </c>
      <c r="D264" t="str">
        <f>IF($A264&lt;&gt;"",'All Cases - Enter Cases'!D264,"")</f>
        <v/>
      </c>
      <c r="E264" t="str">
        <f>IF($A264&lt;&gt;"",'All Cases - Enter Cases'!E264,"")</f>
        <v/>
      </c>
      <c r="F264" t="str">
        <f>IF($A264&lt;&gt;"",'All Cases - Enter Cases'!F264,"")</f>
        <v/>
      </c>
      <c r="G264" t="str">
        <f>IF($A264&lt;&gt;"",'All Cases - Enter Cases'!G264,"")</f>
        <v/>
      </c>
      <c r="H264" t="str">
        <f>IF($A264&lt;&gt;"",'All Cases - Enter Cases'!H264,"")</f>
        <v/>
      </c>
      <c r="I264" t="str">
        <f>IF($A264&lt;&gt;"",'All Cases - Enter Cases'!I264,"")</f>
        <v/>
      </c>
      <c r="J264" s="4" t="str">
        <f>IF($A264&lt;&gt;"",'All Cases - Enter Cases'!J264,"")</f>
        <v/>
      </c>
      <c r="K264" s="4" t="str">
        <f>IF($A264&lt;&gt;"",'All Cases - Enter Cases'!K264,"")</f>
        <v/>
      </c>
      <c r="L264" s="4" t="str">
        <f>IF($A264&lt;&gt;"",'All Cases - Enter Cases'!L264,"")</f>
        <v/>
      </c>
      <c r="M264" t="str">
        <f>IF($A264&lt;&gt;"",'All Cases - Enter Cases'!M264,"")</f>
        <v/>
      </c>
    </row>
    <row r="265" spans="1:13" x14ac:dyDescent="0.35">
      <c r="A265" s="4" t="str">
        <f>IF('All Cases - Enter Cases'!$F265="Punjab",'All Cases - Enter Cases'!A265,"")</f>
        <v/>
      </c>
      <c r="B265" t="str">
        <f>IF($A265&lt;&gt;"",'All Cases - Enter Cases'!B265,"")</f>
        <v/>
      </c>
      <c r="C265" t="str">
        <f>IF($A265&lt;&gt;"",'All Cases - Enter Cases'!C265,"")</f>
        <v/>
      </c>
      <c r="D265" t="str">
        <f>IF($A265&lt;&gt;"",'All Cases - Enter Cases'!D265,"")</f>
        <v/>
      </c>
      <c r="E265" t="str">
        <f>IF($A265&lt;&gt;"",'All Cases - Enter Cases'!E265,"")</f>
        <v/>
      </c>
      <c r="F265" t="str">
        <f>IF($A265&lt;&gt;"",'All Cases - Enter Cases'!F265,"")</f>
        <v/>
      </c>
      <c r="G265" t="str">
        <f>IF($A265&lt;&gt;"",'All Cases - Enter Cases'!G265,"")</f>
        <v/>
      </c>
      <c r="H265" t="str">
        <f>IF($A265&lt;&gt;"",'All Cases - Enter Cases'!H265,"")</f>
        <v/>
      </c>
      <c r="I265" t="str">
        <f>IF($A265&lt;&gt;"",'All Cases - Enter Cases'!I265,"")</f>
        <v/>
      </c>
      <c r="J265" s="4" t="str">
        <f>IF($A265&lt;&gt;"",'All Cases - Enter Cases'!J265,"")</f>
        <v/>
      </c>
      <c r="K265" s="4" t="str">
        <f>IF($A265&lt;&gt;"",'All Cases - Enter Cases'!K265,"")</f>
        <v/>
      </c>
      <c r="L265" s="4" t="str">
        <f>IF($A265&lt;&gt;"",'All Cases - Enter Cases'!L265,"")</f>
        <v/>
      </c>
      <c r="M265" t="str">
        <f>IF($A265&lt;&gt;"",'All Cases - Enter Cases'!M265,"")</f>
        <v/>
      </c>
    </row>
    <row r="266" spans="1:13" x14ac:dyDescent="0.35">
      <c r="A266" s="4" t="str">
        <f>IF('All Cases - Enter Cases'!$F266="Punjab",'All Cases - Enter Cases'!A266,"")</f>
        <v/>
      </c>
      <c r="B266" t="str">
        <f>IF($A266&lt;&gt;"",'All Cases - Enter Cases'!B266,"")</f>
        <v/>
      </c>
      <c r="C266" t="str">
        <f>IF($A266&lt;&gt;"",'All Cases - Enter Cases'!C266,"")</f>
        <v/>
      </c>
      <c r="D266" t="str">
        <f>IF($A266&lt;&gt;"",'All Cases - Enter Cases'!D266,"")</f>
        <v/>
      </c>
      <c r="E266" t="str">
        <f>IF($A266&lt;&gt;"",'All Cases - Enter Cases'!E266,"")</f>
        <v/>
      </c>
      <c r="F266" t="str">
        <f>IF($A266&lt;&gt;"",'All Cases - Enter Cases'!F266,"")</f>
        <v/>
      </c>
      <c r="G266" t="str">
        <f>IF($A266&lt;&gt;"",'All Cases - Enter Cases'!G266,"")</f>
        <v/>
      </c>
      <c r="H266" t="str">
        <f>IF($A266&lt;&gt;"",'All Cases - Enter Cases'!H266,"")</f>
        <v/>
      </c>
      <c r="I266" t="str">
        <f>IF($A266&lt;&gt;"",'All Cases - Enter Cases'!I266,"")</f>
        <v/>
      </c>
      <c r="J266" s="4" t="str">
        <f>IF($A266&lt;&gt;"",'All Cases - Enter Cases'!J266,"")</f>
        <v/>
      </c>
      <c r="K266" s="4" t="str">
        <f>IF($A266&lt;&gt;"",'All Cases - Enter Cases'!K266,"")</f>
        <v/>
      </c>
      <c r="L266" s="4" t="str">
        <f>IF($A266&lt;&gt;"",'All Cases - Enter Cases'!L266,"")</f>
        <v/>
      </c>
      <c r="M266" t="str">
        <f>IF($A266&lt;&gt;"",'All Cases - Enter Cases'!M266,"")</f>
        <v/>
      </c>
    </row>
    <row r="267" spans="1:13" x14ac:dyDescent="0.35">
      <c r="A267" s="4" t="str">
        <f>IF('All Cases - Enter Cases'!$F267="Punjab",'All Cases - Enter Cases'!A267,"")</f>
        <v/>
      </c>
      <c r="B267" t="str">
        <f>IF($A267&lt;&gt;"",'All Cases - Enter Cases'!B267,"")</f>
        <v/>
      </c>
      <c r="C267" t="str">
        <f>IF($A267&lt;&gt;"",'All Cases - Enter Cases'!C267,"")</f>
        <v/>
      </c>
      <c r="D267" t="str">
        <f>IF($A267&lt;&gt;"",'All Cases - Enter Cases'!D267,"")</f>
        <v/>
      </c>
      <c r="E267" t="str">
        <f>IF($A267&lt;&gt;"",'All Cases - Enter Cases'!E267,"")</f>
        <v/>
      </c>
      <c r="F267" t="str">
        <f>IF($A267&lt;&gt;"",'All Cases - Enter Cases'!F267,"")</f>
        <v/>
      </c>
      <c r="G267" t="str">
        <f>IF($A267&lt;&gt;"",'All Cases - Enter Cases'!G267,"")</f>
        <v/>
      </c>
      <c r="H267" t="str">
        <f>IF($A267&lt;&gt;"",'All Cases - Enter Cases'!H267,"")</f>
        <v/>
      </c>
      <c r="I267" t="str">
        <f>IF($A267&lt;&gt;"",'All Cases - Enter Cases'!I267,"")</f>
        <v/>
      </c>
      <c r="J267" s="4" t="str">
        <f>IF($A267&lt;&gt;"",'All Cases - Enter Cases'!J267,"")</f>
        <v/>
      </c>
      <c r="K267" s="4" t="str">
        <f>IF($A267&lt;&gt;"",'All Cases - Enter Cases'!K267,"")</f>
        <v/>
      </c>
      <c r="L267" s="4" t="str">
        <f>IF($A267&lt;&gt;"",'All Cases - Enter Cases'!L267,"")</f>
        <v/>
      </c>
      <c r="M267" t="str">
        <f>IF($A267&lt;&gt;"",'All Cases - Enter Cases'!M267,"")</f>
        <v/>
      </c>
    </row>
    <row r="268" spans="1:13" x14ac:dyDescent="0.35">
      <c r="A268" s="4" t="str">
        <f>IF('All Cases - Enter Cases'!$F268="Punjab",'All Cases - Enter Cases'!A268,"")</f>
        <v/>
      </c>
      <c r="B268" t="str">
        <f>IF($A268&lt;&gt;"",'All Cases - Enter Cases'!B268,"")</f>
        <v/>
      </c>
      <c r="C268" t="str">
        <f>IF($A268&lt;&gt;"",'All Cases - Enter Cases'!C268,"")</f>
        <v/>
      </c>
      <c r="D268" t="str">
        <f>IF($A268&lt;&gt;"",'All Cases - Enter Cases'!D268,"")</f>
        <v/>
      </c>
      <c r="E268" t="str">
        <f>IF($A268&lt;&gt;"",'All Cases - Enter Cases'!E268,"")</f>
        <v/>
      </c>
      <c r="F268" t="str">
        <f>IF($A268&lt;&gt;"",'All Cases - Enter Cases'!F268,"")</f>
        <v/>
      </c>
      <c r="G268" t="str">
        <f>IF($A268&lt;&gt;"",'All Cases - Enter Cases'!G268,"")</f>
        <v/>
      </c>
      <c r="H268" t="str">
        <f>IF($A268&lt;&gt;"",'All Cases - Enter Cases'!H268,"")</f>
        <v/>
      </c>
      <c r="I268" t="str">
        <f>IF($A268&lt;&gt;"",'All Cases - Enter Cases'!I268,"")</f>
        <v/>
      </c>
      <c r="J268" s="4" t="str">
        <f>IF($A268&lt;&gt;"",'All Cases - Enter Cases'!J268,"")</f>
        <v/>
      </c>
      <c r="K268" s="4" t="str">
        <f>IF($A268&lt;&gt;"",'All Cases - Enter Cases'!K268,"")</f>
        <v/>
      </c>
      <c r="L268" s="4" t="str">
        <f>IF($A268&lt;&gt;"",'All Cases - Enter Cases'!L268,"")</f>
        <v/>
      </c>
      <c r="M268" t="str">
        <f>IF($A268&lt;&gt;"",'All Cases - Enter Cases'!M268,"")</f>
        <v/>
      </c>
    </row>
    <row r="269" spans="1:13" x14ac:dyDescent="0.35">
      <c r="A269" s="4" t="str">
        <f>IF('All Cases - Enter Cases'!$F269="Punjab",'All Cases - Enter Cases'!A269,"")</f>
        <v/>
      </c>
      <c r="B269" t="str">
        <f>IF($A269&lt;&gt;"",'All Cases - Enter Cases'!B269,"")</f>
        <v/>
      </c>
      <c r="C269" t="str">
        <f>IF($A269&lt;&gt;"",'All Cases - Enter Cases'!C269,"")</f>
        <v/>
      </c>
      <c r="D269" t="str">
        <f>IF($A269&lt;&gt;"",'All Cases - Enter Cases'!D269,"")</f>
        <v/>
      </c>
      <c r="E269" t="str">
        <f>IF($A269&lt;&gt;"",'All Cases - Enter Cases'!E269,"")</f>
        <v/>
      </c>
      <c r="F269" t="str">
        <f>IF($A269&lt;&gt;"",'All Cases - Enter Cases'!F269,"")</f>
        <v/>
      </c>
      <c r="G269" t="str">
        <f>IF($A269&lt;&gt;"",'All Cases - Enter Cases'!G269,"")</f>
        <v/>
      </c>
      <c r="H269" t="str">
        <f>IF($A269&lt;&gt;"",'All Cases - Enter Cases'!H269,"")</f>
        <v/>
      </c>
      <c r="I269" t="str">
        <f>IF($A269&lt;&gt;"",'All Cases - Enter Cases'!I269,"")</f>
        <v/>
      </c>
      <c r="J269" s="4" t="str">
        <f>IF($A269&lt;&gt;"",'All Cases - Enter Cases'!J269,"")</f>
        <v/>
      </c>
      <c r="K269" s="4" t="str">
        <f>IF($A269&lt;&gt;"",'All Cases - Enter Cases'!K269,"")</f>
        <v/>
      </c>
      <c r="L269" s="4" t="str">
        <f>IF($A269&lt;&gt;"",'All Cases - Enter Cases'!L269,"")</f>
        <v/>
      </c>
      <c r="M269" t="str">
        <f>IF($A269&lt;&gt;"",'All Cases - Enter Cases'!M269,"")</f>
        <v/>
      </c>
    </row>
    <row r="270" spans="1:13" x14ac:dyDescent="0.35">
      <c r="A270" s="4" t="str">
        <f>IF('All Cases - Enter Cases'!$F270="Punjab",'All Cases - Enter Cases'!A270,"")</f>
        <v/>
      </c>
      <c r="B270" t="str">
        <f>IF($A270&lt;&gt;"",'All Cases - Enter Cases'!B270,"")</f>
        <v/>
      </c>
      <c r="C270" t="str">
        <f>IF($A270&lt;&gt;"",'All Cases - Enter Cases'!C270,"")</f>
        <v/>
      </c>
      <c r="D270" t="str">
        <f>IF($A270&lt;&gt;"",'All Cases - Enter Cases'!D270,"")</f>
        <v/>
      </c>
      <c r="E270" t="str">
        <f>IF($A270&lt;&gt;"",'All Cases - Enter Cases'!E270,"")</f>
        <v/>
      </c>
      <c r="F270" t="str">
        <f>IF($A270&lt;&gt;"",'All Cases - Enter Cases'!F270,"")</f>
        <v/>
      </c>
      <c r="G270" t="str">
        <f>IF($A270&lt;&gt;"",'All Cases - Enter Cases'!G270,"")</f>
        <v/>
      </c>
      <c r="H270" t="str">
        <f>IF($A270&lt;&gt;"",'All Cases - Enter Cases'!H270,"")</f>
        <v/>
      </c>
      <c r="I270" t="str">
        <f>IF($A270&lt;&gt;"",'All Cases - Enter Cases'!I270,"")</f>
        <v/>
      </c>
      <c r="J270" s="4" t="str">
        <f>IF($A270&lt;&gt;"",'All Cases - Enter Cases'!J270,"")</f>
        <v/>
      </c>
      <c r="K270" s="4" t="str">
        <f>IF($A270&lt;&gt;"",'All Cases - Enter Cases'!K270,"")</f>
        <v/>
      </c>
      <c r="L270" s="4" t="str">
        <f>IF($A270&lt;&gt;"",'All Cases - Enter Cases'!L270,"")</f>
        <v/>
      </c>
      <c r="M270" t="str">
        <f>IF($A270&lt;&gt;"",'All Cases - Enter Cases'!M270,"")</f>
        <v/>
      </c>
    </row>
    <row r="271" spans="1:13" x14ac:dyDescent="0.35">
      <c r="A271" s="4" t="str">
        <f>IF('All Cases - Enter Cases'!$F271="Punjab",'All Cases - Enter Cases'!A271,"")</f>
        <v/>
      </c>
      <c r="B271" t="str">
        <f>IF($A271&lt;&gt;"",'All Cases - Enter Cases'!B271,"")</f>
        <v/>
      </c>
      <c r="C271" t="str">
        <f>IF($A271&lt;&gt;"",'All Cases - Enter Cases'!C271,"")</f>
        <v/>
      </c>
      <c r="D271" t="str">
        <f>IF($A271&lt;&gt;"",'All Cases - Enter Cases'!D271,"")</f>
        <v/>
      </c>
      <c r="E271" t="str">
        <f>IF($A271&lt;&gt;"",'All Cases - Enter Cases'!E271,"")</f>
        <v/>
      </c>
      <c r="F271" t="str">
        <f>IF($A271&lt;&gt;"",'All Cases - Enter Cases'!F271,"")</f>
        <v/>
      </c>
      <c r="G271" t="str">
        <f>IF($A271&lt;&gt;"",'All Cases - Enter Cases'!G271,"")</f>
        <v/>
      </c>
      <c r="H271" t="str">
        <f>IF($A271&lt;&gt;"",'All Cases - Enter Cases'!H271,"")</f>
        <v/>
      </c>
      <c r="I271" t="str">
        <f>IF($A271&lt;&gt;"",'All Cases - Enter Cases'!I271,"")</f>
        <v/>
      </c>
      <c r="J271" s="4" t="str">
        <f>IF($A271&lt;&gt;"",'All Cases - Enter Cases'!J271,"")</f>
        <v/>
      </c>
      <c r="K271" s="4" t="str">
        <f>IF($A271&lt;&gt;"",'All Cases - Enter Cases'!K271,"")</f>
        <v/>
      </c>
      <c r="L271" s="4" t="str">
        <f>IF($A271&lt;&gt;"",'All Cases - Enter Cases'!L271,"")</f>
        <v/>
      </c>
      <c r="M271" t="str">
        <f>IF($A271&lt;&gt;"",'All Cases - Enter Cases'!M271,"")</f>
        <v/>
      </c>
    </row>
    <row r="272" spans="1:13" x14ac:dyDescent="0.35">
      <c r="A272" s="4" t="str">
        <f>IF('All Cases - Enter Cases'!$F272="Punjab",'All Cases - Enter Cases'!A272,"")</f>
        <v/>
      </c>
      <c r="B272" t="str">
        <f>IF($A272&lt;&gt;"",'All Cases - Enter Cases'!B272,"")</f>
        <v/>
      </c>
      <c r="C272" t="str">
        <f>IF($A272&lt;&gt;"",'All Cases - Enter Cases'!C272,"")</f>
        <v/>
      </c>
      <c r="D272" t="str">
        <f>IF($A272&lt;&gt;"",'All Cases - Enter Cases'!D272,"")</f>
        <v/>
      </c>
      <c r="E272" t="str">
        <f>IF($A272&lt;&gt;"",'All Cases - Enter Cases'!E272,"")</f>
        <v/>
      </c>
      <c r="F272" t="str">
        <f>IF($A272&lt;&gt;"",'All Cases - Enter Cases'!F272,"")</f>
        <v/>
      </c>
      <c r="G272" t="str">
        <f>IF($A272&lt;&gt;"",'All Cases - Enter Cases'!G272,"")</f>
        <v/>
      </c>
      <c r="H272" t="str">
        <f>IF($A272&lt;&gt;"",'All Cases - Enter Cases'!H272,"")</f>
        <v/>
      </c>
      <c r="I272" t="str">
        <f>IF($A272&lt;&gt;"",'All Cases - Enter Cases'!I272,"")</f>
        <v/>
      </c>
      <c r="J272" s="4" t="str">
        <f>IF($A272&lt;&gt;"",'All Cases - Enter Cases'!J272,"")</f>
        <v/>
      </c>
      <c r="K272" s="4" t="str">
        <f>IF($A272&lt;&gt;"",'All Cases - Enter Cases'!K272,"")</f>
        <v/>
      </c>
      <c r="L272" s="4" t="str">
        <f>IF($A272&lt;&gt;"",'All Cases - Enter Cases'!L272,"")</f>
        <v/>
      </c>
      <c r="M272" t="str">
        <f>IF($A272&lt;&gt;"",'All Cases - Enter Cases'!M272,"")</f>
        <v/>
      </c>
    </row>
    <row r="273" spans="1:13" x14ac:dyDescent="0.35">
      <c r="A273" s="4" t="str">
        <f>IF('All Cases - Enter Cases'!$F273="Punjab",'All Cases - Enter Cases'!A273,"")</f>
        <v/>
      </c>
      <c r="B273" t="str">
        <f>IF($A273&lt;&gt;"",'All Cases - Enter Cases'!B273,"")</f>
        <v/>
      </c>
      <c r="C273" t="str">
        <f>IF($A273&lt;&gt;"",'All Cases - Enter Cases'!C273,"")</f>
        <v/>
      </c>
      <c r="D273" t="str">
        <f>IF($A273&lt;&gt;"",'All Cases - Enter Cases'!D273,"")</f>
        <v/>
      </c>
      <c r="E273" t="str">
        <f>IF($A273&lt;&gt;"",'All Cases - Enter Cases'!E273,"")</f>
        <v/>
      </c>
      <c r="F273" t="str">
        <f>IF($A273&lt;&gt;"",'All Cases - Enter Cases'!F273,"")</f>
        <v/>
      </c>
      <c r="G273" t="str">
        <f>IF($A273&lt;&gt;"",'All Cases - Enter Cases'!G273,"")</f>
        <v/>
      </c>
      <c r="H273" t="str">
        <f>IF($A273&lt;&gt;"",'All Cases - Enter Cases'!H273,"")</f>
        <v/>
      </c>
      <c r="I273" t="str">
        <f>IF($A273&lt;&gt;"",'All Cases - Enter Cases'!I273,"")</f>
        <v/>
      </c>
      <c r="J273" s="4" t="str">
        <f>IF($A273&lt;&gt;"",'All Cases - Enter Cases'!J273,"")</f>
        <v/>
      </c>
      <c r="K273" s="4" t="str">
        <f>IF($A273&lt;&gt;"",'All Cases - Enter Cases'!K273,"")</f>
        <v/>
      </c>
      <c r="L273" s="4" t="str">
        <f>IF($A273&lt;&gt;"",'All Cases - Enter Cases'!L273,"")</f>
        <v/>
      </c>
      <c r="M273" t="str">
        <f>IF($A273&lt;&gt;"",'All Cases - Enter Cases'!M273,"")</f>
        <v/>
      </c>
    </row>
    <row r="274" spans="1:13" x14ac:dyDescent="0.35">
      <c r="A274" s="4" t="str">
        <f>IF('All Cases - Enter Cases'!$F274="Punjab",'All Cases - Enter Cases'!A274,"")</f>
        <v/>
      </c>
      <c r="B274" t="str">
        <f>IF($A274&lt;&gt;"",'All Cases - Enter Cases'!B274,"")</f>
        <v/>
      </c>
      <c r="C274" t="str">
        <f>IF($A274&lt;&gt;"",'All Cases - Enter Cases'!C274,"")</f>
        <v/>
      </c>
      <c r="D274" t="str">
        <f>IF($A274&lt;&gt;"",'All Cases - Enter Cases'!D274,"")</f>
        <v/>
      </c>
      <c r="E274" t="str">
        <f>IF($A274&lt;&gt;"",'All Cases - Enter Cases'!E274,"")</f>
        <v/>
      </c>
      <c r="F274" t="str">
        <f>IF($A274&lt;&gt;"",'All Cases - Enter Cases'!F274,"")</f>
        <v/>
      </c>
      <c r="G274" t="str">
        <f>IF($A274&lt;&gt;"",'All Cases - Enter Cases'!G274,"")</f>
        <v/>
      </c>
      <c r="H274" t="str">
        <f>IF($A274&lt;&gt;"",'All Cases - Enter Cases'!H274,"")</f>
        <v/>
      </c>
      <c r="I274" t="str">
        <f>IF($A274&lt;&gt;"",'All Cases - Enter Cases'!I274,"")</f>
        <v/>
      </c>
      <c r="J274" s="4" t="str">
        <f>IF($A274&lt;&gt;"",'All Cases - Enter Cases'!J274,"")</f>
        <v/>
      </c>
      <c r="K274" s="4" t="str">
        <f>IF($A274&lt;&gt;"",'All Cases - Enter Cases'!K274,"")</f>
        <v/>
      </c>
      <c r="L274" s="4" t="str">
        <f>IF($A274&lt;&gt;"",'All Cases - Enter Cases'!L274,"")</f>
        <v/>
      </c>
      <c r="M274" t="str">
        <f>IF($A274&lt;&gt;"",'All Cases - Enter Cases'!M274,"")</f>
        <v/>
      </c>
    </row>
    <row r="275" spans="1:13" x14ac:dyDescent="0.35">
      <c r="A275" s="4" t="str">
        <f>IF('All Cases - Enter Cases'!$F275="Punjab",'All Cases - Enter Cases'!A275,"")</f>
        <v/>
      </c>
      <c r="B275" t="str">
        <f>IF($A275&lt;&gt;"",'All Cases - Enter Cases'!B275,"")</f>
        <v/>
      </c>
      <c r="C275" t="str">
        <f>IF($A275&lt;&gt;"",'All Cases - Enter Cases'!C275,"")</f>
        <v/>
      </c>
      <c r="D275" t="str">
        <f>IF($A275&lt;&gt;"",'All Cases - Enter Cases'!D275,"")</f>
        <v/>
      </c>
      <c r="E275" t="str">
        <f>IF($A275&lt;&gt;"",'All Cases - Enter Cases'!E275,"")</f>
        <v/>
      </c>
      <c r="F275" t="str">
        <f>IF($A275&lt;&gt;"",'All Cases - Enter Cases'!F275,"")</f>
        <v/>
      </c>
      <c r="G275" t="str">
        <f>IF($A275&lt;&gt;"",'All Cases - Enter Cases'!G275,"")</f>
        <v/>
      </c>
      <c r="H275" t="str">
        <f>IF($A275&lt;&gt;"",'All Cases - Enter Cases'!H275,"")</f>
        <v/>
      </c>
      <c r="I275" t="str">
        <f>IF($A275&lt;&gt;"",'All Cases - Enter Cases'!I275,"")</f>
        <v/>
      </c>
      <c r="J275" s="4" t="str">
        <f>IF($A275&lt;&gt;"",'All Cases - Enter Cases'!J275,"")</f>
        <v/>
      </c>
      <c r="K275" s="4" t="str">
        <f>IF($A275&lt;&gt;"",'All Cases - Enter Cases'!K275,"")</f>
        <v/>
      </c>
      <c r="L275" s="4" t="str">
        <f>IF($A275&lt;&gt;"",'All Cases - Enter Cases'!L275,"")</f>
        <v/>
      </c>
      <c r="M275" t="str">
        <f>IF($A275&lt;&gt;"",'All Cases - Enter Cases'!M275,"")</f>
        <v/>
      </c>
    </row>
    <row r="276" spans="1:13" x14ac:dyDescent="0.35">
      <c r="A276" s="4" t="str">
        <f>IF('All Cases - Enter Cases'!$F276="Punjab",'All Cases - Enter Cases'!A276,"")</f>
        <v/>
      </c>
      <c r="B276" t="str">
        <f>IF($A276&lt;&gt;"",'All Cases - Enter Cases'!B276,"")</f>
        <v/>
      </c>
      <c r="C276" t="str">
        <f>IF($A276&lt;&gt;"",'All Cases - Enter Cases'!C276,"")</f>
        <v/>
      </c>
      <c r="D276" t="str">
        <f>IF($A276&lt;&gt;"",'All Cases - Enter Cases'!D276,"")</f>
        <v/>
      </c>
      <c r="E276" t="str">
        <f>IF($A276&lt;&gt;"",'All Cases - Enter Cases'!E276,"")</f>
        <v/>
      </c>
      <c r="F276" t="str">
        <f>IF($A276&lt;&gt;"",'All Cases - Enter Cases'!F276,"")</f>
        <v/>
      </c>
      <c r="G276" t="str">
        <f>IF($A276&lt;&gt;"",'All Cases - Enter Cases'!G276,"")</f>
        <v/>
      </c>
      <c r="H276" t="str">
        <f>IF($A276&lt;&gt;"",'All Cases - Enter Cases'!H276,"")</f>
        <v/>
      </c>
      <c r="I276" t="str">
        <f>IF($A276&lt;&gt;"",'All Cases - Enter Cases'!I276,"")</f>
        <v/>
      </c>
      <c r="J276" s="4" t="str">
        <f>IF($A276&lt;&gt;"",'All Cases - Enter Cases'!J276,"")</f>
        <v/>
      </c>
      <c r="K276" s="4" t="str">
        <f>IF($A276&lt;&gt;"",'All Cases - Enter Cases'!K276,"")</f>
        <v/>
      </c>
      <c r="L276" s="4" t="str">
        <f>IF($A276&lt;&gt;"",'All Cases - Enter Cases'!L276,"")</f>
        <v/>
      </c>
      <c r="M276" t="str">
        <f>IF($A276&lt;&gt;"",'All Cases - Enter Cases'!M276,"")</f>
        <v/>
      </c>
    </row>
    <row r="277" spans="1:13" x14ac:dyDescent="0.35">
      <c r="A277" s="4" t="str">
        <f>IF('All Cases - Enter Cases'!$F277="Punjab",'All Cases - Enter Cases'!A277,"")</f>
        <v/>
      </c>
      <c r="B277" t="str">
        <f>IF($A277&lt;&gt;"",'All Cases - Enter Cases'!B277,"")</f>
        <v/>
      </c>
      <c r="C277" t="str">
        <f>IF($A277&lt;&gt;"",'All Cases - Enter Cases'!C277,"")</f>
        <v/>
      </c>
      <c r="D277" t="str">
        <f>IF($A277&lt;&gt;"",'All Cases - Enter Cases'!D277,"")</f>
        <v/>
      </c>
      <c r="E277" t="str">
        <f>IF($A277&lt;&gt;"",'All Cases - Enter Cases'!E277,"")</f>
        <v/>
      </c>
      <c r="F277" t="str">
        <f>IF($A277&lt;&gt;"",'All Cases - Enter Cases'!F277,"")</f>
        <v/>
      </c>
      <c r="G277" t="str">
        <f>IF($A277&lt;&gt;"",'All Cases - Enter Cases'!G277,"")</f>
        <v/>
      </c>
      <c r="H277" t="str">
        <f>IF($A277&lt;&gt;"",'All Cases - Enter Cases'!H277,"")</f>
        <v/>
      </c>
      <c r="I277" t="str">
        <f>IF($A277&lt;&gt;"",'All Cases - Enter Cases'!I277,"")</f>
        <v/>
      </c>
      <c r="J277" s="4" t="str">
        <f>IF($A277&lt;&gt;"",'All Cases - Enter Cases'!J277,"")</f>
        <v/>
      </c>
      <c r="K277" s="4" t="str">
        <f>IF($A277&lt;&gt;"",'All Cases - Enter Cases'!K277,"")</f>
        <v/>
      </c>
      <c r="L277" s="4" t="str">
        <f>IF($A277&lt;&gt;"",'All Cases - Enter Cases'!L277,"")</f>
        <v/>
      </c>
      <c r="M277" t="str">
        <f>IF($A277&lt;&gt;"",'All Cases - Enter Cases'!M277,"")</f>
        <v/>
      </c>
    </row>
    <row r="278" spans="1:13" x14ac:dyDescent="0.35">
      <c r="A278" s="4" t="str">
        <f>IF('All Cases - Enter Cases'!$F278="Punjab",'All Cases - Enter Cases'!A278,"")</f>
        <v/>
      </c>
      <c r="B278" t="str">
        <f>IF($A278&lt;&gt;"",'All Cases - Enter Cases'!B278,"")</f>
        <v/>
      </c>
      <c r="C278" t="str">
        <f>IF($A278&lt;&gt;"",'All Cases - Enter Cases'!C278,"")</f>
        <v/>
      </c>
      <c r="D278" t="str">
        <f>IF($A278&lt;&gt;"",'All Cases - Enter Cases'!D278,"")</f>
        <v/>
      </c>
      <c r="E278" t="str">
        <f>IF($A278&lt;&gt;"",'All Cases - Enter Cases'!E278,"")</f>
        <v/>
      </c>
      <c r="F278" t="str">
        <f>IF($A278&lt;&gt;"",'All Cases - Enter Cases'!F278,"")</f>
        <v/>
      </c>
      <c r="G278" t="str">
        <f>IF($A278&lt;&gt;"",'All Cases - Enter Cases'!G278,"")</f>
        <v/>
      </c>
      <c r="H278" t="str">
        <f>IF($A278&lt;&gt;"",'All Cases - Enter Cases'!H278,"")</f>
        <v/>
      </c>
      <c r="I278" t="str">
        <f>IF($A278&lt;&gt;"",'All Cases - Enter Cases'!I278,"")</f>
        <v/>
      </c>
      <c r="J278" s="4" t="str">
        <f>IF($A278&lt;&gt;"",'All Cases - Enter Cases'!J278,"")</f>
        <v/>
      </c>
      <c r="K278" s="4" t="str">
        <f>IF($A278&lt;&gt;"",'All Cases - Enter Cases'!K278,"")</f>
        <v/>
      </c>
      <c r="L278" s="4" t="str">
        <f>IF($A278&lt;&gt;"",'All Cases - Enter Cases'!L278,"")</f>
        <v/>
      </c>
      <c r="M278" t="str">
        <f>IF($A278&lt;&gt;"",'All Cases - Enter Cases'!M278,"")</f>
        <v/>
      </c>
    </row>
    <row r="279" spans="1:13" x14ac:dyDescent="0.35">
      <c r="A279" s="4" t="str">
        <f>IF('All Cases - Enter Cases'!$F279="Punjab",'All Cases - Enter Cases'!A279,"")</f>
        <v/>
      </c>
      <c r="B279" t="str">
        <f>IF($A279&lt;&gt;"",'All Cases - Enter Cases'!B279,"")</f>
        <v/>
      </c>
      <c r="C279" t="str">
        <f>IF($A279&lt;&gt;"",'All Cases - Enter Cases'!C279,"")</f>
        <v/>
      </c>
      <c r="D279" t="str">
        <f>IF($A279&lt;&gt;"",'All Cases - Enter Cases'!D279,"")</f>
        <v/>
      </c>
      <c r="E279" t="str">
        <f>IF($A279&lt;&gt;"",'All Cases - Enter Cases'!E279,"")</f>
        <v/>
      </c>
      <c r="F279" t="str">
        <f>IF($A279&lt;&gt;"",'All Cases - Enter Cases'!F279,"")</f>
        <v/>
      </c>
      <c r="G279" t="str">
        <f>IF($A279&lt;&gt;"",'All Cases - Enter Cases'!G279,"")</f>
        <v/>
      </c>
      <c r="H279" t="str">
        <f>IF($A279&lt;&gt;"",'All Cases - Enter Cases'!H279,"")</f>
        <v/>
      </c>
      <c r="I279" t="str">
        <f>IF($A279&lt;&gt;"",'All Cases - Enter Cases'!I279,"")</f>
        <v/>
      </c>
      <c r="J279" s="4" t="str">
        <f>IF($A279&lt;&gt;"",'All Cases - Enter Cases'!J279,"")</f>
        <v/>
      </c>
      <c r="K279" s="4" t="str">
        <f>IF($A279&lt;&gt;"",'All Cases - Enter Cases'!K279,"")</f>
        <v/>
      </c>
      <c r="L279" s="4" t="str">
        <f>IF($A279&lt;&gt;"",'All Cases - Enter Cases'!L279,"")</f>
        <v/>
      </c>
      <c r="M279" t="str">
        <f>IF($A279&lt;&gt;"",'All Cases - Enter Cases'!M279,"")</f>
        <v/>
      </c>
    </row>
    <row r="280" spans="1:13" x14ac:dyDescent="0.35">
      <c r="A280" s="4" t="str">
        <f>IF('All Cases - Enter Cases'!$F280="Punjab",'All Cases - Enter Cases'!A280,"")</f>
        <v/>
      </c>
      <c r="B280" t="str">
        <f>IF($A280&lt;&gt;"",'All Cases - Enter Cases'!B280,"")</f>
        <v/>
      </c>
      <c r="C280" t="str">
        <f>IF($A280&lt;&gt;"",'All Cases - Enter Cases'!C280,"")</f>
        <v/>
      </c>
      <c r="D280" t="str">
        <f>IF($A280&lt;&gt;"",'All Cases - Enter Cases'!D280,"")</f>
        <v/>
      </c>
      <c r="E280" t="str">
        <f>IF($A280&lt;&gt;"",'All Cases - Enter Cases'!E280,"")</f>
        <v/>
      </c>
      <c r="F280" t="str">
        <f>IF($A280&lt;&gt;"",'All Cases - Enter Cases'!F280,"")</f>
        <v/>
      </c>
      <c r="G280" t="str">
        <f>IF($A280&lt;&gt;"",'All Cases - Enter Cases'!G280,"")</f>
        <v/>
      </c>
      <c r="H280" t="str">
        <f>IF($A280&lt;&gt;"",'All Cases - Enter Cases'!H280,"")</f>
        <v/>
      </c>
      <c r="I280" t="str">
        <f>IF($A280&lt;&gt;"",'All Cases - Enter Cases'!I280,"")</f>
        <v/>
      </c>
      <c r="J280" s="4" t="str">
        <f>IF($A280&lt;&gt;"",'All Cases - Enter Cases'!J280,"")</f>
        <v/>
      </c>
      <c r="K280" s="4" t="str">
        <f>IF($A280&lt;&gt;"",'All Cases - Enter Cases'!K280,"")</f>
        <v/>
      </c>
      <c r="L280" s="4" t="str">
        <f>IF($A280&lt;&gt;"",'All Cases - Enter Cases'!L280,"")</f>
        <v/>
      </c>
      <c r="M280" t="str">
        <f>IF($A280&lt;&gt;"",'All Cases - Enter Cases'!M280,"")</f>
        <v/>
      </c>
    </row>
    <row r="281" spans="1:13" x14ac:dyDescent="0.35">
      <c r="A281" s="4" t="str">
        <f>IF('All Cases - Enter Cases'!$F281="Punjab",'All Cases - Enter Cases'!A281,"")</f>
        <v/>
      </c>
      <c r="B281" t="str">
        <f>IF($A281&lt;&gt;"",'All Cases - Enter Cases'!B281,"")</f>
        <v/>
      </c>
      <c r="C281" t="str">
        <f>IF($A281&lt;&gt;"",'All Cases - Enter Cases'!C281,"")</f>
        <v/>
      </c>
      <c r="D281" t="str">
        <f>IF($A281&lt;&gt;"",'All Cases - Enter Cases'!D281,"")</f>
        <v/>
      </c>
      <c r="E281" t="str">
        <f>IF($A281&lt;&gt;"",'All Cases - Enter Cases'!E281,"")</f>
        <v/>
      </c>
      <c r="F281" t="str">
        <f>IF($A281&lt;&gt;"",'All Cases - Enter Cases'!F281,"")</f>
        <v/>
      </c>
      <c r="G281" t="str">
        <f>IF($A281&lt;&gt;"",'All Cases - Enter Cases'!G281,"")</f>
        <v/>
      </c>
      <c r="H281" t="str">
        <f>IF($A281&lt;&gt;"",'All Cases - Enter Cases'!H281,"")</f>
        <v/>
      </c>
      <c r="I281" t="str">
        <f>IF($A281&lt;&gt;"",'All Cases - Enter Cases'!I281,"")</f>
        <v/>
      </c>
      <c r="J281" s="4" t="str">
        <f>IF($A281&lt;&gt;"",'All Cases - Enter Cases'!J281,"")</f>
        <v/>
      </c>
      <c r="K281" s="4" t="str">
        <f>IF($A281&lt;&gt;"",'All Cases - Enter Cases'!K281,"")</f>
        <v/>
      </c>
      <c r="L281" s="4" t="str">
        <f>IF($A281&lt;&gt;"",'All Cases - Enter Cases'!L281,"")</f>
        <v/>
      </c>
      <c r="M281" t="str">
        <f>IF($A281&lt;&gt;"",'All Cases - Enter Cases'!M281,"")</f>
        <v/>
      </c>
    </row>
    <row r="282" spans="1:13" x14ac:dyDescent="0.35">
      <c r="A282" s="4" t="str">
        <f>IF('All Cases - Enter Cases'!$F282="Punjab",'All Cases - Enter Cases'!A282,"")</f>
        <v/>
      </c>
      <c r="B282" t="str">
        <f>IF($A282&lt;&gt;"",'All Cases - Enter Cases'!B282,"")</f>
        <v/>
      </c>
      <c r="C282" t="str">
        <f>IF($A282&lt;&gt;"",'All Cases - Enter Cases'!C282,"")</f>
        <v/>
      </c>
      <c r="D282" t="str">
        <f>IF($A282&lt;&gt;"",'All Cases - Enter Cases'!D282,"")</f>
        <v/>
      </c>
      <c r="E282" t="str">
        <f>IF($A282&lt;&gt;"",'All Cases - Enter Cases'!E282,"")</f>
        <v/>
      </c>
      <c r="F282" t="str">
        <f>IF($A282&lt;&gt;"",'All Cases - Enter Cases'!F282,"")</f>
        <v/>
      </c>
      <c r="G282" t="str">
        <f>IF($A282&lt;&gt;"",'All Cases - Enter Cases'!G282,"")</f>
        <v/>
      </c>
      <c r="H282" t="str">
        <f>IF($A282&lt;&gt;"",'All Cases - Enter Cases'!H282,"")</f>
        <v/>
      </c>
      <c r="I282" t="str">
        <f>IF($A282&lt;&gt;"",'All Cases - Enter Cases'!I282,"")</f>
        <v/>
      </c>
      <c r="J282" s="4" t="str">
        <f>IF($A282&lt;&gt;"",'All Cases - Enter Cases'!J282,"")</f>
        <v/>
      </c>
      <c r="K282" s="4" t="str">
        <f>IF($A282&lt;&gt;"",'All Cases - Enter Cases'!K282,"")</f>
        <v/>
      </c>
      <c r="L282" s="4" t="str">
        <f>IF($A282&lt;&gt;"",'All Cases - Enter Cases'!L282,"")</f>
        <v/>
      </c>
      <c r="M282" t="str">
        <f>IF($A282&lt;&gt;"",'All Cases - Enter Cases'!M282,"")</f>
        <v/>
      </c>
    </row>
    <row r="283" spans="1:13" x14ac:dyDescent="0.35">
      <c r="A283" s="4" t="str">
        <f>IF('All Cases - Enter Cases'!$F283="Punjab",'All Cases - Enter Cases'!A283,"")</f>
        <v/>
      </c>
      <c r="B283" t="str">
        <f>IF($A283&lt;&gt;"",'All Cases - Enter Cases'!B283,"")</f>
        <v/>
      </c>
      <c r="C283" t="str">
        <f>IF($A283&lt;&gt;"",'All Cases - Enter Cases'!C283,"")</f>
        <v/>
      </c>
      <c r="D283" t="str">
        <f>IF($A283&lt;&gt;"",'All Cases - Enter Cases'!D283,"")</f>
        <v/>
      </c>
      <c r="E283" t="str">
        <f>IF($A283&lt;&gt;"",'All Cases - Enter Cases'!E283,"")</f>
        <v/>
      </c>
      <c r="F283" t="str">
        <f>IF($A283&lt;&gt;"",'All Cases - Enter Cases'!F283,"")</f>
        <v/>
      </c>
      <c r="G283" t="str">
        <f>IF($A283&lt;&gt;"",'All Cases - Enter Cases'!G283,"")</f>
        <v/>
      </c>
      <c r="H283" t="str">
        <f>IF($A283&lt;&gt;"",'All Cases - Enter Cases'!H283,"")</f>
        <v/>
      </c>
      <c r="I283" t="str">
        <f>IF($A283&lt;&gt;"",'All Cases - Enter Cases'!I283,"")</f>
        <v/>
      </c>
      <c r="J283" s="4" t="str">
        <f>IF($A283&lt;&gt;"",'All Cases - Enter Cases'!J283,"")</f>
        <v/>
      </c>
      <c r="K283" s="4" t="str">
        <f>IF($A283&lt;&gt;"",'All Cases - Enter Cases'!K283,"")</f>
        <v/>
      </c>
      <c r="L283" s="4" t="str">
        <f>IF($A283&lt;&gt;"",'All Cases - Enter Cases'!L283,"")</f>
        <v/>
      </c>
      <c r="M283" t="str">
        <f>IF($A283&lt;&gt;"",'All Cases - Enter Cases'!M283,"")</f>
        <v/>
      </c>
    </row>
    <row r="284" spans="1:13" x14ac:dyDescent="0.35">
      <c r="A284" s="4" t="str">
        <f>IF('All Cases - Enter Cases'!$F284="Punjab",'All Cases - Enter Cases'!A284,"")</f>
        <v/>
      </c>
      <c r="B284" t="str">
        <f>IF($A284&lt;&gt;"",'All Cases - Enter Cases'!B284,"")</f>
        <v/>
      </c>
      <c r="C284" t="str">
        <f>IF($A284&lt;&gt;"",'All Cases - Enter Cases'!C284,"")</f>
        <v/>
      </c>
      <c r="D284" t="str">
        <f>IF($A284&lt;&gt;"",'All Cases - Enter Cases'!D284,"")</f>
        <v/>
      </c>
      <c r="E284" t="str">
        <f>IF($A284&lt;&gt;"",'All Cases - Enter Cases'!E284,"")</f>
        <v/>
      </c>
      <c r="F284" t="str">
        <f>IF($A284&lt;&gt;"",'All Cases - Enter Cases'!F284,"")</f>
        <v/>
      </c>
      <c r="G284" t="str">
        <f>IF($A284&lt;&gt;"",'All Cases - Enter Cases'!G284,"")</f>
        <v/>
      </c>
      <c r="H284" t="str">
        <f>IF($A284&lt;&gt;"",'All Cases - Enter Cases'!H284,"")</f>
        <v/>
      </c>
      <c r="I284" t="str">
        <f>IF($A284&lt;&gt;"",'All Cases - Enter Cases'!I284,"")</f>
        <v/>
      </c>
      <c r="J284" s="4" t="str">
        <f>IF($A284&lt;&gt;"",'All Cases - Enter Cases'!J284,"")</f>
        <v/>
      </c>
      <c r="K284" s="4" t="str">
        <f>IF($A284&lt;&gt;"",'All Cases - Enter Cases'!K284,"")</f>
        <v/>
      </c>
      <c r="L284" s="4" t="str">
        <f>IF($A284&lt;&gt;"",'All Cases - Enter Cases'!L284,"")</f>
        <v/>
      </c>
      <c r="M284" t="str">
        <f>IF($A284&lt;&gt;"",'All Cases - Enter Cases'!M284,"")</f>
        <v/>
      </c>
    </row>
    <row r="285" spans="1:13" x14ac:dyDescent="0.35">
      <c r="A285" s="4" t="str">
        <f>IF('All Cases - Enter Cases'!$F285="Punjab",'All Cases - Enter Cases'!A285,"")</f>
        <v/>
      </c>
      <c r="B285" t="str">
        <f>IF($A285&lt;&gt;"",'All Cases - Enter Cases'!B285,"")</f>
        <v/>
      </c>
      <c r="C285" t="str">
        <f>IF($A285&lt;&gt;"",'All Cases - Enter Cases'!C285,"")</f>
        <v/>
      </c>
      <c r="D285" t="str">
        <f>IF($A285&lt;&gt;"",'All Cases - Enter Cases'!D285,"")</f>
        <v/>
      </c>
      <c r="E285" t="str">
        <f>IF($A285&lt;&gt;"",'All Cases - Enter Cases'!E285,"")</f>
        <v/>
      </c>
      <c r="F285" t="str">
        <f>IF($A285&lt;&gt;"",'All Cases - Enter Cases'!F285,"")</f>
        <v/>
      </c>
      <c r="G285" t="str">
        <f>IF($A285&lt;&gt;"",'All Cases - Enter Cases'!G285,"")</f>
        <v/>
      </c>
      <c r="H285" t="str">
        <f>IF($A285&lt;&gt;"",'All Cases - Enter Cases'!H285,"")</f>
        <v/>
      </c>
      <c r="I285" t="str">
        <f>IF($A285&lt;&gt;"",'All Cases - Enter Cases'!I285,"")</f>
        <v/>
      </c>
      <c r="J285" s="4" t="str">
        <f>IF($A285&lt;&gt;"",'All Cases - Enter Cases'!J285,"")</f>
        <v/>
      </c>
      <c r="K285" s="4" t="str">
        <f>IF($A285&lt;&gt;"",'All Cases - Enter Cases'!K285,"")</f>
        <v/>
      </c>
      <c r="L285" s="4" t="str">
        <f>IF($A285&lt;&gt;"",'All Cases - Enter Cases'!L285,"")</f>
        <v/>
      </c>
      <c r="M285" t="str">
        <f>IF($A285&lt;&gt;"",'All Cases - Enter Cases'!M285,"")</f>
        <v/>
      </c>
    </row>
    <row r="286" spans="1:13" x14ac:dyDescent="0.35">
      <c r="A286" s="4" t="str">
        <f>IF('All Cases - Enter Cases'!$F286="Punjab",'All Cases - Enter Cases'!A286,"")</f>
        <v/>
      </c>
      <c r="B286" t="str">
        <f>IF($A286&lt;&gt;"",'All Cases - Enter Cases'!B286,"")</f>
        <v/>
      </c>
      <c r="C286" t="str">
        <f>IF($A286&lt;&gt;"",'All Cases - Enter Cases'!C286,"")</f>
        <v/>
      </c>
      <c r="D286" t="str">
        <f>IF($A286&lt;&gt;"",'All Cases - Enter Cases'!D286,"")</f>
        <v/>
      </c>
      <c r="E286" t="str">
        <f>IF($A286&lt;&gt;"",'All Cases - Enter Cases'!E286,"")</f>
        <v/>
      </c>
      <c r="F286" t="str">
        <f>IF($A286&lt;&gt;"",'All Cases - Enter Cases'!F286,"")</f>
        <v/>
      </c>
      <c r="G286" t="str">
        <f>IF($A286&lt;&gt;"",'All Cases - Enter Cases'!G286,"")</f>
        <v/>
      </c>
      <c r="H286" t="str">
        <f>IF($A286&lt;&gt;"",'All Cases - Enter Cases'!H286,"")</f>
        <v/>
      </c>
      <c r="I286" t="str">
        <f>IF($A286&lt;&gt;"",'All Cases - Enter Cases'!I286,"")</f>
        <v/>
      </c>
      <c r="J286" s="4" t="str">
        <f>IF($A286&lt;&gt;"",'All Cases - Enter Cases'!J286,"")</f>
        <v/>
      </c>
      <c r="K286" s="4" t="str">
        <f>IF($A286&lt;&gt;"",'All Cases - Enter Cases'!K286,"")</f>
        <v/>
      </c>
      <c r="L286" s="4" t="str">
        <f>IF($A286&lt;&gt;"",'All Cases - Enter Cases'!L286,"")</f>
        <v/>
      </c>
      <c r="M286" t="str">
        <f>IF($A286&lt;&gt;"",'All Cases - Enter Cases'!M286,"")</f>
        <v/>
      </c>
    </row>
    <row r="287" spans="1:13" x14ac:dyDescent="0.35">
      <c r="A287" s="4" t="str">
        <f>IF('All Cases - Enter Cases'!$F287="Punjab",'All Cases - Enter Cases'!A287,"")</f>
        <v/>
      </c>
      <c r="B287" t="str">
        <f>IF($A287&lt;&gt;"",'All Cases - Enter Cases'!B287,"")</f>
        <v/>
      </c>
      <c r="C287" t="str">
        <f>IF($A287&lt;&gt;"",'All Cases - Enter Cases'!C287,"")</f>
        <v/>
      </c>
      <c r="D287" t="str">
        <f>IF($A287&lt;&gt;"",'All Cases - Enter Cases'!D287,"")</f>
        <v/>
      </c>
      <c r="E287" t="str">
        <f>IF($A287&lt;&gt;"",'All Cases - Enter Cases'!E287,"")</f>
        <v/>
      </c>
      <c r="F287" t="str">
        <f>IF($A287&lt;&gt;"",'All Cases - Enter Cases'!F287,"")</f>
        <v/>
      </c>
      <c r="G287" t="str">
        <f>IF($A287&lt;&gt;"",'All Cases - Enter Cases'!G287,"")</f>
        <v/>
      </c>
      <c r="H287" t="str">
        <f>IF($A287&lt;&gt;"",'All Cases - Enter Cases'!H287,"")</f>
        <v/>
      </c>
      <c r="I287" t="str">
        <f>IF($A287&lt;&gt;"",'All Cases - Enter Cases'!I287,"")</f>
        <v/>
      </c>
      <c r="J287" s="4" t="str">
        <f>IF($A287&lt;&gt;"",'All Cases - Enter Cases'!J287,"")</f>
        <v/>
      </c>
      <c r="K287" s="4" t="str">
        <f>IF($A287&lt;&gt;"",'All Cases - Enter Cases'!K287,"")</f>
        <v/>
      </c>
      <c r="L287" s="4" t="str">
        <f>IF($A287&lt;&gt;"",'All Cases - Enter Cases'!L287,"")</f>
        <v/>
      </c>
      <c r="M287" t="str">
        <f>IF($A287&lt;&gt;"",'All Cases - Enter Cases'!M287,"")</f>
        <v/>
      </c>
    </row>
    <row r="288" spans="1:13" x14ac:dyDescent="0.35">
      <c r="A288" s="4" t="str">
        <f>IF('All Cases - Enter Cases'!$F288="Punjab",'All Cases - Enter Cases'!A288,"")</f>
        <v/>
      </c>
      <c r="B288" t="str">
        <f>IF($A288&lt;&gt;"",'All Cases - Enter Cases'!B288,"")</f>
        <v/>
      </c>
      <c r="C288" t="str">
        <f>IF($A288&lt;&gt;"",'All Cases - Enter Cases'!C288,"")</f>
        <v/>
      </c>
      <c r="D288" t="str">
        <f>IF($A288&lt;&gt;"",'All Cases - Enter Cases'!D288,"")</f>
        <v/>
      </c>
      <c r="E288" t="str">
        <f>IF($A288&lt;&gt;"",'All Cases - Enter Cases'!E288,"")</f>
        <v/>
      </c>
      <c r="F288" t="str">
        <f>IF($A288&lt;&gt;"",'All Cases - Enter Cases'!F288,"")</f>
        <v/>
      </c>
      <c r="G288" t="str">
        <f>IF($A288&lt;&gt;"",'All Cases - Enter Cases'!G288,"")</f>
        <v/>
      </c>
      <c r="H288" t="str">
        <f>IF($A288&lt;&gt;"",'All Cases - Enter Cases'!H288,"")</f>
        <v/>
      </c>
      <c r="I288" t="str">
        <f>IF($A288&lt;&gt;"",'All Cases - Enter Cases'!I288,"")</f>
        <v/>
      </c>
      <c r="J288" s="4" t="str">
        <f>IF($A288&lt;&gt;"",'All Cases - Enter Cases'!J288,"")</f>
        <v/>
      </c>
      <c r="K288" s="4" t="str">
        <f>IF($A288&lt;&gt;"",'All Cases - Enter Cases'!K288,"")</f>
        <v/>
      </c>
      <c r="L288" s="4" t="str">
        <f>IF($A288&lt;&gt;"",'All Cases - Enter Cases'!L288,"")</f>
        <v/>
      </c>
      <c r="M288" t="str">
        <f>IF($A288&lt;&gt;"",'All Cases - Enter Cases'!M288,"")</f>
        <v/>
      </c>
    </row>
    <row r="289" spans="1:13" x14ac:dyDescent="0.35">
      <c r="A289" s="4" t="str">
        <f>IF('All Cases - Enter Cases'!$F289="Punjab",'All Cases - Enter Cases'!A289,"")</f>
        <v/>
      </c>
      <c r="B289" t="str">
        <f>IF($A289&lt;&gt;"",'All Cases - Enter Cases'!B289,"")</f>
        <v/>
      </c>
      <c r="C289" t="str">
        <f>IF($A289&lt;&gt;"",'All Cases - Enter Cases'!C289,"")</f>
        <v/>
      </c>
      <c r="D289" t="str">
        <f>IF($A289&lt;&gt;"",'All Cases - Enter Cases'!D289,"")</f>
        <v/>
      </c>
      <c r="E289" t="str">
        <f>IF($A289&lt;&gt;"",'All Cases - Enter Cases'!E289,"")</f>
        <v/>
      </c>
      <c r="F289" t="str">
        <f>IF($A289&lt;&gt;"",'All Cases - Enter Cases'!F289,"")</f>
        <v/>
      </c>
      <c r="G289" t="str">
        <f>IF($A289&lt;&gt;"",'All Cases - Enter Cases'!G289,"")</f>
        <v/>
      </c>
      <c r="H289" t="str">
        <f>IF($A289&lt;&gt;"",'All Cases - Enter Cases'!H289,"")</f>
        <v/>
      </c>
      <c r="I289" t="str">
        <f>IF($A289&lt;&gt;"",'All Cases - Enter Cases'!I289,"")</f>
        <v/>
      </c>
      <c r="J289" s="4" t="str">
        <f>IF($A289&lt;&gt;"",'All Cases - Enter Cases'!J289,"")</f>
        <v/>
      </c>
      <c r="K289" s="4" t="str">
        <f>IF($A289&lt;&gt;"",'All Cases - Enter Cases'!K289,"")</f>
        <v/>
      </c>
      <c r="L289" s="4" t="str">
        <f>IF($A289&lt;&gt;"",'All Cases - Enter Cases'!L289,"")</f>
        <v/>
      </c>
      <c r="M289" t="str">
        <f>IF($A289&lt;&gt;"",'All Cases - Enter Cases'!M289,"")</f>
        <v/>
      </c>
    </row>
    <row r="290" spans="1:13" x14ac:dyDescent="0.35">
      <c r="A290" s="4" t="str">
        <f>IF('All Cases - Enter Cases'!$F290="Punjab",'All Cases - Enter Cases'!A290,"")</f>
        <v/>
      </c>
      <c r="B290" t="str">
        <f>IF($A290&lt;&gt;"",'All Cases - Enter Cases'!B290,"")</f>
        <v/>
      </c>
      <c r="C290" t="str">
        <f>IF($A290&lt;&gt;"",'All Cases - Enter Cases'!C290,"")</f>
        <v/>
      </c>
      <c r="D290" t="str">
        <f>IF($A290&lt;&gt;"",'All Cases - Enter Cases'!D290,"")</f>
        <v/>
      </c>
      <c r="E290" t="str">
        <f>IF($A290&lt;&gt;"",'All Cases - Enter Cases'!E290,"")</f>
        <v/>
      </c>
      <c r="F290" t="str">
        <f>IF($A290&lt;&gt;"",'All Cases - Enter Cases'!F290,"")</f>
        <v/>
      </c>
      <c r="G290" t="str">
        <f>IF($A290&lt;&gt;"",'All Cases - Enter Cases'!G290,"")</f>
        <v/>
      </c>
      <c r="H290" t="str">
        <f>IF($A290&lt;&gt;"",'All Cases - Enter Cases'!H290,"")</f>
        <v/>
      </c>
      <c r="I290" t="str">
        <f>IF($A290&lt;&gt;"",'All Cases - Enter Cases'!I290,"")</f>
        <v/>
      </c>
      <c r="J290" s="4" t="str">
        <f>IF($A290&lt;&gt;"",'All Cases - Enter Cases'!J290,"")</f>
        <v/>
      </c>
      <c r="K290" s="4" t="str">
        <f>IF($A290&lt;&gt;"",'All Cases - Enter Cases'!K290,"")</f>
        <v/>
      </c>
      <c r="L290" s="4" t="str">
        <f>IF($A290&lt;&gt;"",'All Cases - Enter Cases'!L290,"")</f>
        <v/>
      </c>
      <c r="M290" t="str">
        <f>IF($A290&lt;&gt;"",'All Cases - Enter Cases'!M290,"")</f>
        <v/>
      </c>
    </row>
    <row r="291" spans="1:13" x14ac:dyDescent="0.35">
      <c r="A291" s="4" t="str">
        <f>IF('All Cases - Enter Cases'!$F291="Punjab",'All Cases - Enter Cases'!A291,"")</f>
        <v/>
      </c>
      <c r="B291" t="str">
        <f>IF($A291&lt;&gt;"",'All Cases - Enter Cases'!B291,"")</f>
        <v/>
      </c>
      <c r="C291" t="str">
        <f>IF($A291&lt;&gt;"",'All Cases - Enter Cases'!C291,"")</f>
        <v/>
      </c>
      <c r="D291" t="str">
        <f>IF($A291&lt;&gt;"",'All Cases - Enter Cases'!D291,"")</f>
        <v/>
      </c>
      <c r="E291" t="str">
        <f>IF($A291&lt;&gt;"",'All Cases - Enter Cases'!E291,"")</f>
        <v/>
      </c>
      <c r="F291" t="str">
        <f>IF($A291&lt;&gt;"",'All Cases - Enter Cases'!F291,"")</f>
        <v/>
      </c>
      <c r="G291" t="str">
        <f>IF($A291&lt;&gt;"",'All Cases - Enter Cases'!G291,"")</f>
        <v/>
      </c>
      <c r="H291" t="str">
        <f>IF($A291&lt;&gt;"",'All Cases - Enter Cases'!H291,"")</f>
        <v/>
      </c>
      <c r="I291" t="str">
        <f>IF($A291&lt;&gt;"",'All Cases - Enter Cases'!I291,"")</f>
        <v/>
      </c>
      <c r="J291" s="4" t="str">
        <f>IF($A291&lt;&gt;"",'All Cases - Enter Cases'!J291,"")</f>
        <v/>
      </c>
      <c r="K291" s="4" t="str">
        <f>IF($A291&lt;&gt;"",'All Cases - Enter Cases'!K291,"")</f>
        <v/>
      </c>
      <c r="L291" s="4" t="str">
        <f>IF($A291&lt;&gt;"",'All Cases - Enter Cases'!L291,"")</f>
        <v/>
      </c>
      <c r="M291" t="str">
        <f>IF($A291&lt;&gt;"",'All Cases - Enter Cases'!M291,"")</f>
        <v/>
      </c>
    </row>
    <row r="292" spans="1:13" x14ac:dyDescent="0.35">
      <c r="A292" s="4" t="str">
        <f>IF('All Cases - Enter Cases'!$F292="Punjab",'All Cases - Enter Cases'!A292,"")</f>
        <v/>
      </c>
      <c r="B292" t="str">
        <f>IF($A292&lt;&gt;"",'All Cases - Enter Cases'!B292,"")</f>
        <v/>
      </c>
      <c r="C292" t="str">
        <f>IF($A292&lt;&gt;"",'All Cases - Enter Cases'!C292,"")</f>
        <v/>
      </c>
      <c r="D292" t="str">
        <f>IF($A292&lt;&gt;"",'All Cases - Enter Cases'!D292,"")</f>
        <v/>
      </c>
      <c r="E292" t="str">
        <f>IF($A292&lt;&gt;"",'All Cases - Enter Cases'!E292,"")</f>
        <v/>
      </c>
      <c r="F292" t="str">
        <f>IF($A292&lt;&gt;"",'All Cases - Enter Cases'!F292,"")</f>
        <v/>
      </c>
      <c r="G292" t="str">
        <f>IF($A292&lt;&gt;"",'All Cases - Enter Cases'!G292,"")</f>
        <v/>
      </c>
      <c r="H292" t="str">
        <f>IF($A292&lt;&gt;"",'All Cases - Enter Cases'!H292,"")</f>
        <v/>
      </c>
      <c r="I292" t="str">
        <f>IF($A292&lt;&gt;"",'All Cases - Enter Cases'!I292,"")</f>
        <v/>
      </c>
      <c r="J292" s="4" t="str">
        <f>IF($A292&lt;&gt;"",'All Cases - Enter Cases'!J292,"")</f>
        <v/>
      </c>
      <c r="K292" s="4" t="str">
        <f>IF($A292&lt;&gt;"",'All Cases - Enter Cases'!K292,"")</f>
        <v/>
      </c>
      <c r="L292" s="4" t="str">
        <f>IF($A292&lt;&gt;"",'All Cases - Enter Cases'!L292,"")</f>
        <v/>
      </c>
      <c r="M292" t="str">
        <f>IF($A292&lt;&gt;"",'All Cases - Enter Cases'!M292,"")</f>
        <v/>
      </c>
    </row>
    <row r="293" spans="1:13" x14ac:dyDescent="0.35">
      <c r="A293" s="4" t="str">
        <f>IF('All Cases - Enter Cases'!$F293="Punjab",'All Cases - Enter Cases'!A293,"")</f>
        <v/>
      </c>
      <c r="B293" t="str">
        <f>IF($A293&lt;&gt;"",'All Cases - Enter Cases'!B293,"")</f>
        <v/>
      </c>
      <c r="C293" t="str">
        <f>IF($A293&lt;&gt;"",'All Cases - Enter Cases'!C293,"")</f>
        <v/>
      </c>
      <c r="D293" t="str">
        <f>IF($A293&lt;&gt;"",'All Cases - Enter Cases'!D293,"")</f>
        <v/>
      </c>
      <c r="E293" t="str">
        <f>IF($A293&lt;&gt;"",'All Cases - Enter Cases'!E293,"")</f>
        <v/>
      </c>
      <c r="F293" t="str">
        <f>IF($A293&lt;&gt;"",'All Cases - Enter Cases'!F293,"")</f>
        <v/>
      </c>
      <c r="G293" t="str">
        <f>IF($A293&lt;&gt;"",'All Cases - Enter Cases'!G293,"")</f>
        <v/>
      </c>
      <c r="H293" t="str">
        <f>IF($A293&lt;&gt;"",'All Cases - Enter Cases'!H293,"")</f>
        <v/>
      </c>
      <c r="I293" t="str">
        <f>IF($A293&lt;&gt;"",'All Cases - Enter Cases'!I293,"")</f>
        <v/>
      </c>
      <c r="J293" s="4" t="str">
        <f>IF($A293&lt;&gt;"",'All Cases - Enter Cases'!J293,"")</f>
        <v/>
      </c>
      <c r="K293" s="4" t="str">
        <f>IF($A293&lt;&gt;"",'All Cases - Enter Cases'!K293,"")</f>
        <v/>
      </c>
      <c r="L293" s="4" t="str">
        <f>IF($A293&lt;&gt;"",'All Cases - Enter Cases'!L293,"")</f>
        <v/>
      </c>
      <c r="M293" t="str">
        <f>IF($A293&lt;&gt;"",'All Cases - Enter Cases'!M293,"")</f>
        <v/>
      </c>
    </row>
    <row r="294" spans="1:13" x14ac:dyDescent="0.35">
      <c r="A294" s="4" t="str">
        <f>IF('All Cases - Enter Cases'!$F294="Punjab",'All Cases - Enter Cases'!A294,"")</f>
        <v/>
      </c>
      <c r="B294" t="str">
        <f>IF($A294&lt;&gt;"",'All Cases - Enter Cases'!B294,"")</f>
        <v/>
      </c>
      <c r="C294" t="str">
        <f>IF($A294&lt;&gt;"",'All Cases - Enter Cases'!C294,"")</f>
        <v/>
      </c>
      <c r="D294" t="str">
        <f>IF($A294&lt;&gt;"",'All Cases - Enter Cases'!D294,"")</f>
        <v/>
      </c>
      <c r="E294" t="str">
        <f>IF($A294&lt;&gt;"",'All Cases - Enter Cases'!E294,"")</f>
        <v/>
      </c>
      <c r="F294" t="str">
        <f>IF($A294&lt;&gt;"",'All Cases - Enter Cases'!F294,"")</f>
        <v/>
      </c>
      <c r="G294" t="str">
        <f>IF($A294&lt;&gt;"",'All Cases - Enter Cases'!G294,"")</f>
        <v/>
      </c>
      <c r="H294" t="str">
        <f>IF($A294&lt;&gt;"",'All Cases - Enter Cases'!H294,"")</f>
        <v/>
      </c>
      <c r="I294" t="str">
        <f>IF($A294&lt;&gt;"",'All Cases - Enter Cases'!I294,"")</f>
        <v/>
      </c>
      <c r="J294" s="4" t="str">
        <f>IF($A294&lt;&gt;"",'All Cases - Enter Cases'!J294,"")</f>
        <v/>
      </c>
      <c r="K294" s="4" t="str">
        <f>IF($A294&lt;&gt;"",'All Cases - Enter Cases'!K294,"")</f>
        <v/>
      </c>
      <c r="L294" s="4" t="str">
        <f>IF($A294&lt;&gt;"",'All Cases - Enter Cases'!L294,"")</f>
        <v/>
      </c>
      <c r="M294" t="str">
        <f>IF($A294&lt;&gt;"",'All Cases - Enter Cases'!M294,"")</f>
        <v/>
      </c>
    </row>
    <row r="295" spans="1:13" x14ac:dyDescent="0.35">
      <c r="A295" s="4" t="str">
        <f>IF('All Cases - Enter Cases'!$F295="Punjab",'All Cases - Enter Cases'!A295,"")</f>
        <v/>
      </c>
      <c r="B295" t="str">
        <f>IF($A295&lt;&gt;"",'All Cases - Enter Cases'!B295,"")</f>
        <v/>
      </c>
      <c r="C295" t="str">
        <f>IF($A295&lt;&gt;"",'All Cases - Enter Cases'!C295,"")</f>
        <v/>
      </c>
      <c r="D295" t="str">
        <f>IF($A295&lt;&gt;"",'All Cases - Enter Cases'!D295,"")</f>
        <v/>
      </c>
      <c r="E295" t="str">
        <f>IF($A295&lt;&gt;"",'All Cases - Enter Cases'!E295,"")</f>
        <v/>
      </c>
      <c r="F295" t="str">
        <f>IF($A295&lt;&gt;"",'All Cases - Enter Cases'!F295,"")</f>
        <v/>
      </c>
      <c r="G295" t="str">
        <f>IF($A295&lt;&gt;"",'All Cases - Enter Cases'!G295,"")</f>
        <v/>
      </c>
      <c r="H295" t="str">
        <f>IF($A295&lt;&gt;"",'All Cases - Enter Cases'!H295,"")</f>
        <v/>
      </c>
      <c r="I295" t="str">
        <f>IF($A295&lt;&gt;"",'All Cases - Enter Cases'!I295,"")</f>
        <v/>
      </c>
      <c r="J295" s="4" t="str">
        <f>IF($A295&lt;&gt;"",'All Cases - Enter Cases'!J295,"")</f>
        <v/>
      </c>
      <c r="K295" s="4" t="str">
        <f>IF($A295&lt;&gt;"",'All Cases - Enter Cases'!K295,"")</f>
        <v/>
      </c>
      <c r="L295" s="4" t="str">
        <f>IF($A295&lt;&gt;"",'All Cases - Enter Cases'!L295,"")</f>
        <v/>
      </c>
      <c r="M295" t="str">
        <f>IF($A295&lt;&gt;"",'All Cases - Enter Cases'!M295,"")</f>
        <v/>
      </c>
    </row>
    <row r="296" spans="1:13" x14ac:dyDescent="0.35">
      <c r="A296" s="4" t="str">
        <f>IF('All Cases - Enter Cases'!$F296="Punjab",'All Cases - Enter Cases'!A296,"")</f>
        <v/>
      </c>
      <c r="B296" t="str">
        <f>IF($A296&lt;&gt;"",'All Cases - Enter Cases'!B296,"")</f>
        <v/>
      </c>
      <c r="C296" t="str">
        <f>IF($A296&lt;&gt;"",'All Cases - Enter Cases'!C296,"")</f>
        <v/>
      </c>
      <c r="D296" t="str">
        <f>IF($A296&lt;&gt;"",'All Cases - Enter Cases'!D296,"")</f>
        <v/>
      </c>
      <c r="E296" t="str">
        <f>IF($A296&lt;&gt;"",'All Cases - Enter Cases'!E296,"")</f>
        <v/>
      </c>
      <c r="F296" t="str">
        <f>IF($A296&lt;&gt;"",'All Cases - Enter Cases'!F296,"")</f>
        <v/>
      </c>
      <c r="G296" t="str">
        <f>IF($A296&lt;&gt;"",'All Cases - Enter Cases'!G296,"")</f>
        <v/>
      </c>
      <c r="H296" t="str">
        <f>IF($A296&lt;&gt;"",'All Cases - Enter Cases'!H296,"")</f>
        <v/>
      </c>
      <c r="I296" t="str">
        <f>IF($A296&lt;&gt;"",'All Cases - Enter Cases'!I296,"")</f>
        <v/>
      </c>
      <c r="J296" s="4" t="str">
        <f>IF($A296&lt;&gt;"",'All Cases - Enter Cases'!J296,"")</f>
        <v/>
      </c>
      <c r="K296" s="4" t="str">
        <f>IF($A296&lt;&gt;"",'All Cases - Enter Cases'!K296,"")</f>
        <v/>
      </c>
      <c r="L296" s="4" t="str">
        <f>IF($A296&lt;&gt;"",'All Cases - Enter Cases'!L296,"")</f>
        <v/>
      </c>
      <c r="M296" t="str">
        <f>IF($A296&lt;&gt;"",'All Cases - Enter Cases'!M296,"")</f>
        <v/>
      </c>
    </row>
    <row r="297" spans="1:13" x14ac:dyDescent="0.35">
      <c r="A297" s="4" t="str">
        <f>IF('All Cases - Enter Cases'!$F297="Punjab",'All Cases - Enter Cases'!A297,"")</f>
        <v/>
      </c>
      <c r="B297" t="str">
        <f>IF($A297&lt;&gt;"",'All Cases - Enter Cases'!B297,"")</f>
        <v/>
      </c>
      <c r="C297" t="str">
        <f>IF($A297&lt;&gt;"",'All Cases - Enter Cases'!C297,"")</f>
        <v/>
      </c>
      <c r="D297" t="str">
        <f>IF($A297&lt;&gt;"",'All Cases - Enter Cases'!D297,"")</f>
        <v/>
      </c>
      <c r="E297" t="str">
        <f>IF($A297&lt;&gt;"",'All Cases - Enter Cases'!E297,"")</f>
        <v/>
      </c>
      <c r="F297" t="str">
        <f>IF($A297&lt;&gt;"",'All Cases - Enter Cases'!F297,"")</f>
        <v/>
      </c>
      <c r="G297" t="str">
        <f>IF($A297&lt;&gt;"",'All Cases - Enter Cases'!G297,"")</f>
        <v/>
      </c>
      <c r="H297" t="str">
        <f>IF($A297&lt;&gt;"",'All Cases - Enter Cases'!H297,"")</f>
        <v/>
      </c>
      <c r="I297" t="str">
        <f>IF($A297&lt;&gt;"",'All Cases - Enter Cases'!I297,"")</f>
        <v/>
      </c>
      <c r="J297" s="4" t="str">
        <f>IF($A297&lt;&gt;"",'All Cases - Enter Cases'!J297,"")</f>
        <v/>
      </c>
      <c r="K297" s="4" t="str">
        <f>IF($A297&lt;&gt;"",'All Cases - Enter Cases'!K297,"")</f>
        <v/>
      </c>
      <c r="L297" s="4" t="str">
        <f>IF($A297&lt;&gt;"",'All Cases - Enter Cases'!L297,"")</f>
        <v/>
      </c>
      <c r="M297" t="str">
        <f>IF($A297&lt;&gt;"",'All Cases - Enter Cases'!M297,"")</f>
        <v/>
      </c>
    </row>
    <row r="298" spans="1:13" x14ac:dyDescent="0.35">
      <c r="A298" s="4" t="str">
        <f>IF('All Cases - Enter Cases'!$F298="Punjab",'All Cases - Enter Cases'!A298,"")</f>
        <v/>
      </c>
      <c r="B298" t="str">
        <f>IF($A298&lt;&gt;"",'All Cases - Enter Cases'!B298,"")</f>
        <v/>
      </c>
      <c r="C298" t="str">
        <f>IF($A298&lt;&gt;"",'All Cases - Enter Cases'!C298,"")</f>
        <v/>
      </c>
      <c r="D298" t="str">
        <f>IF($A298&lt;&gt;"",'All Cases - Enter Cases'!D298,"")</f>
        <v/>
      </c>
      <c r="E298" t="str">
        <f>IF($A298&lt;&gt;"",'All Cases - Enter Cases'!E298,"")</f>
        <v/>
      </c>
      <c r="F298" t="str">
        <f>IF($A298&lt;&gt;"",'All Cases - Enter Cases'!F298,"")</f>
        <v/>
      </c>
      <c r="G298" t="str">
        <f>IF($A298&lt;&gt;"",'All Cases - Enter Cases'!G298,"")</f>
        <v/>
      </c>
      <c r="H298" t="str">
        <f>IF($A298&lt;&gt;"",'All Cases - Enter Cases'!H298,"")</f>
        <v/>
      </c>
      <c r="I298" t="str">
        <f>IF($A298&lt;&gt;"",'All Cases - Enter Cases'!I298,"")</f>
        <v/>
      </c>
      <c r="J298" s="4" t="str">
        <f>IF($A298&lt;&gt;"",'All Cases - Enter Cases'!J298,"")</f>
        <v/>
      </c>
      <c r="K298" s="4" t="str">
        <f>IF($A298&lt;&gt;"",'All Cases - Enter Cases'!K298,"")</f>
        <v/>
      </c>
      <c r="L298" s="4" t="str">
        <f>IF($A298&lt;&gt;"",'All Cases - Enter Cases'!L298,"")</f>
        <v/>
      </c>
      <c r="M298" t="str">
        <f>IF($A298&lt;&gt;"",'All Cases - Enter Cases'!M298,"")</f>
        <v/>
      </c>
    </row>
    <row r="299" spans="1:13" x14ac:dyDescent="0.35">
      <c r="A299" s="4" t="str">
        <f>IF('All Cases - Enter Cases'!$F299="Punjab",'All Cases - Enter Cases'!A299,"")</f>
        <v/>
      </c>
      <c r="B299" t="str">
        <f>IF($A299&lt;&gt;"",'All Cases - Enter Cases'!B299,"")</f>
        <v/>
      </c>
      <c r="C299" t="str">
        <f>IF($A299&lt;&gt;"",'All Cases - Enter Cases'!C299,"")</f>
        <v/>
      </c>
      <c r="D299" t="str">
        <f>IF($A299&lt;&gt;"",'All Cases - Enter Cases'!D299,"")</f>
        <v/>
      </c>
      <c r="E299" t="str">
        <f>IF($A299&lt;&gt;"",'All Cases - Enter Cases'!E299,"")</f>
        <v/>
      </c>
      <c r="F299" t="str">
        <f>IF($A299&lt;&gt;"",'All Cases - Enter Cases'!F299,"")</f>
        <v/>
      </c>
      <c r="G299" t="str">
        <f>IF($A299&lt;&gt;"",'All Cases - Enter Cases'!G299,"")</f>
        <v/>
      </c>
      <c r="H299" t="str">
        <f>IF($A299&lt;&gt;"",'All Cases - Enter Cases'!H299,"")</f>
        <v/>
      </c>
      <c r="I299" t="str">
        <f>IF($A299&lt;&gt;"",'All Cases - Enter Cases'!I299,"")</f>
        <v/>
      </c>
      <c r="J299" s="4" t="str">
        <f>IF($A299&lt;&gt;"",'All Cases - Enter Cases'!J299,"")</f>
        <v/>
      </c>
      <c r="K299" s="4" t="str">
        <f>IF($A299&lt;&gt;"",'All Cases - Enter Cases'!K299,"")</f>
        <v/>
      </c>
      <c r="L299" s="4" t="str">
        <f>IF($A299&lt;&gt;"",'All Cases - Enter Cases'!L299,"")</f>
        <v/>
      </c>
      <c r="M299" t="str">
        <f>IF($A299&lt;&gt;"",'All Cases - Enter Cases'!M299,"")</f>
        <v/>
      </c>
    </row>
    <row r="300" spans="1:13" x14ac:dyDescent="0.35">
      <c r="A300" s="4" t="str">
        <f>IF('All Cases - Enter Cases'!$F300="Punjab",'All Cases - Enter Cases'!A300,"")</f>
        <v/>
      </c>
      <c r="B300" t="str">
        <f>IF($A300&lt;&gt;"",'All Cases - Enter Cases'!B300,"")</f>
        <v/>
      </c>
      <c r="C300" t="str">
        <f>IF($A300&lt;&gt;"",'All Cases - Enter Cases'!C300,"")</f>
        <v/>
      </c>
      <c r="D300" t="str">
        <f>IF($A300&lt;&gt;"",'All Cases - Enter Cases'!D300,"")</f>
        <v/>
      </c>
      <c r="E300" t="str">
        <f>IF($A300&lt;&gt;"",'All Cases - Enter Cases'!E300,"")</f>
        <v/>
      </c>
      <c r="F300" t="str">
        <f>IF($A300&lt;&gt;"",'All Cases - Enter Cases'!F300,"")</f>
        <v/>
      </c>
      <c r="G300" t="str">
        <f>IF($A300&lt;&gt;"",'All Cases - Enter Cases'!G300,"")</f>
        <v/>
      </c>
      <c r="H300" t="str">
        <f>IF($A300&lt;&gt;"",'All Cases - Enter Cases'!H300,"")</f>
        <v/>
      </c>
      <c r="I300" t="str">
        <f>IF($A300&lt;&gt;"",'All Cases - Enter Cases'!I300,"")</f>
        <v/>
      </c>
      <c r="J300" s="4" t="str">
        <f>IF($A300&lt;&gt;"",'All Cases - Enter Cases'!J300,"")</f>
        <v/>
      </c>
      <c r="K300" s="4" t="str">
        <f>IF($A300&lt;&gt;"",'All Cases - Enter Cases'!K300,"")</f>
        <v/>
      </c>
      <c r="L300" s="4" t="str">
        <f>IF($A300&lt;&gt;"",'All Cases - Enter Cases'!L300,"")</f>
        <v/>
      </c>
      <c r="M300" t="str">
        <f>IF($A300&lt;&gt;"",'All Cases - Enter Cases'!M300,"")</f>
        <v/>
      </c>
    </row>
    <row r="301" spans="1:13" x14ac:dyDescent="0.35">
      <c r="A301" s="4" t="str">
        <f>IF('All Cases - Enter Cases'!$F301="Punjab",'All Cases - Enter Cases'!A301,"")</f>
        <v/>
      </c>
      <c r="B301" t="str">
        <f>IF($A301&lt;&gt;"",'All Cases - Enter Cases'!B301,"")</f>
        <v/>
      </c>
      <c r="C301" t="str">
        <f>IF($A301&lt;&gt;"",'All Cases - Enter Cases'!C301,"")</f>
        <v/>
      </c>
      <c r="D301" t="str">
        <f>IF($A301&lt;&gt;"",'All Cases - Enter Cases'!D301,"")</f>
        <v/>
      </c>
      <c r="E301" t="str">
        <f>IF($A301&lt;&gt;"",'All Cases - Enter Cases'!E301,"")</f>
        <v/>
      </c>
      <c r="F301" t="str">
        <f>IF($A301&lt;&gt;"",'All Cases - Enter Cases'!F301,"")</f>
        <v/>
      </c>
      <c r="G301" t="str">
        <f>IF($A301&lt;&gt;"",'All Cases - Enter Cases'!G301,"")</f>
        <v/>
      </c>
      <c r="H301" t="str">
        <f>IF($A301&lt;&gt;"",'All Cases - Enter Cases'!H301,"")</f>
        <v/>
      </c>
      <c r="I301" t="str">
        <f>IF($A301&lt;&gt;"",'All Cases - Enter Cases'!I301,"")</f>
        <v/>
      </c>
      <c r="J301" s="4" t="str">
        <f>IF($A301&lt;&gt;"",'All Cases - Enter Cases'!J301,"")</f>
        <v/>
      </c>
      <c r="K301" s="4" t="str">
        <f>IF($A301&lt;&gt;"",'All Cases - Enter Cases'!K301,"")</f>
        <v/>
      </c>
      <c r="L301" s="4" t="str">
        <f>IF($A301&lt;&gt;"",'All Cases - Enter Cases'!L301,"")</f>
        <v/>
      </c>
      <c r="M301" t="str">
        <f>IF($A301&lt;&gt;"",'All Cases - Enter Cases'!M301,"")</f>
        <v/>
      </c>
    </row>
    <row r="302" spans="1:13" x14ac:dyDescent="0.35">
      <c r="A302" s="4" t="str">
        <f>IF('All Cases - Enter Cases'!$F302="Punjab",'All Cases - Enter Cases'!A302,"")</f>
        <v/>
      </c>
      <c r="B302" t="str">
        <f>IF($A302&lt;&gt;"",'All Cases - Enter Cases'!B302,"")</f>
        <v/>
      </c>
      <c r="C302" t="str">
        <f>IF($A302&lt;&gt;"",'All Cases - Enter Cases'!C302,"")</f>
        <v/>
      </c>
      <c r="D302" t="str">
        <f>IF($A302&lt;&gt;"",'All Cases - Enter Cases'!D302,"")</f>
        <v/>
      </c>
      <c r="E302" t="str">
        <f>IF($A302&lt;&gt;"",'All Cases - Enter Cases'!E302,"")</f>
        <v/>
      </c>
      <c r="F302" t="str">
        <f>IF($A302&lt;&gt;"",'All Cases - Enter Cases'!F302,"")</f>
        <v/>
      </c>
      <c r="G302" t="str">
        <f>IF($A302&lt;&gt;"",'All Cases - Enter Cases'!G302,"")</f>
        <v/>
      </c>
      <c r="H302" t="str">
        <f>IF($A302&lt;&gt;"",'All Cases - Enter Cases'!H302,"")</f>
        <v/>
      </c>
      <c r="I302" t="str">
        <f>IF($A302&lt;&gt;"",'All Cases - Enter Cases'!I302,"")</f>
        <v/>
      </c>
      <c r="J302" s="4" t="str">
        <f>IF($A302&lt;&gt;"",'All Cases - Enter Cases'!J302,"")</f>
        <v/>
      </c>
      <c r="K302" s="4" t="str">
        <f>IF($A302&lt;&gt;"",'All Cases - Enter Cases'!K302,"")</f>
        <v/>
      </c>
      <c r="L302" s="4" t="str">
        <f>IF($A302&lt;&gt;"",'All Cases - Enter Cases'!L302,"")</f>
        <v/>
      </c>
      <c r="M302" t="str">
        <f>IF($A302&lt;&gt;"",'All Cases - Enter Cases'!M302,"")</f>
        <v/>
      </c>
    </row>
    <row r="303" spans="1:13" x14ac:dyDescent="0.35">
      <c r="A303" s="4" t="str">
        <f>IF('All Cases - Enter Cases'!$F303="Punjab",'All Cases - Enter Cases'!A303,"")</f>
        <v/>
      </c>
      <c r="B303" t="str">
        <f>IF($A303&lt;&gt;"",'All Cases - Enter Cases'!B303,"")</f>
        <v/>
      </c>
      <c r="C303" t="str">
        <f>IF($A303&lt;&gt;"",'All Cases - Enter Cases'!C303,"")</f>
        <v/>
      </c>
      <c r="D303" t="str">
        <f>IF($A303&lt;&gt;"",'All Cases - Enter Cases'!D303,"")</f>
        <v/>
      </c>
      <c r="E303" t="str">
        <f>IF($A303&lt;&gt;"",'All Cases - Enter Cases'!E303,"")</f>
        <v/>
      </c>
      <c r="F303" t="str">
        <f>IF($A303&lt;&gt;"",'All Cases - Enter Cases'!F303,"")</f>
        <v/>
      </c>
      <c r="G303" t="str">
        <f>IF($A303&lt;&gt;"",'All Cases - Enter Cases'!G303,"")</f>
        <v/>
      </c>
      <c r="H303" t="str">
        <f>IF($A303&lt;&gt;"",'All Cases - Enter Cases'!H303,"")</f>
        <v/>
      </c>
      <c r="I303" t="str">
        <f>IF($A303&lt;&gt;"",'All Cases - Enter Cases'!I303,"")</f>
        <v/>
      </c>
      <c r="J303" s="4" t="str">
        <f>IF($A303&lt;&gt;"",'All Cases - Enter Cases'!J303,"")</f>
        <v/>
      </c>
      <c r="K303" s="4" t="str">
        <f>IF($A303&lt;&gt;"",'All Cases - Enter Cases'!K303,"")</f>
        <v/>
      </c>
      <c r="L303" s="4" t="str">
        <f>IF($A303&lt;&gt;"",'All Cases - Enter Cases'!L303,"")</f>
        <v/>
      </c>
      <c r="M303" t="str">
        <f>IF($A303&lt;&gt;"",'All Cases - Enter Cases'!M303,"")</f>
        <v/>
      </c>
    </row>
    <row r="304" spans="1:13" x14ac:dyDescent="0.35">
      <c r="A304" s="4" t="str">
        <f>IF('All Cases - Enter Cases'!$F304="Punjab",'All Cases - Enter Cases'!A304,"")</f>
        <v/>
      </c>
      <c r="B304" t="str">
        <f>IF($A304&lt;&gt;"",'All Cases - Enter Cases'!B304,"")</f>
        <v/>
      </c>
      <c r="C304" t="str">
        <f>IF($A304&lt;&gt;"",'All Cases - Enter Cases'!C304,"")</f>
        <v/>
      </c>
      <c r="D304" t="str">
        <f>IF($A304&lt;&gt;"",'All Cases - Enter Cases'!D304,"")</f>
        <v/>
      </c>
      <c r="E304" t="str">
        <f>IF($A304&lt;&gt;"",'All Cases - Enter Cases'!E304,"")</f>
        <v/>
      </c>
      <c r="F304" t="str">
        <f>IF($A304&lt;&gt;"",'All Cases - Enter Cases'!F304,"")</f>
        <v/>
      </c>
      <c r="G304" t="str">
        <f>IF($A304&lt;&gt;"",'All Cases - Enter Cases'!G304,"")</f>
        <v/>
      </c>
      <c r="H304" t="str">
        <f>IF($A304&lt;&gt;"",'All Cases - Enter Cases'!H304,"")</f>
        <v/>
      </c>
      <c r="I304" t="str">
        <f>IF($A304&lt;&gt;"",'All Cases - Enter Cases'!I304,"")</f>
        <v/>
      </c>
      <c r="J304" s="4" t="str">
        <f>IF($A304&lt;&gt;"",'All Cases - Enter Cases'!J304,"")</f>
        <v/>
      </c>
      <c r="K304" s="4" t="str">
        <f>IF($A304&lt;&gt;"",'All Cases - Enter Cases'!K304,"")</f>
        <v/>
      </c>
      <c r="L304" s="4" t="str">
        <f>IF($A304&lt;&gt;"",'All Cases - Enter Cases'!L304,"")</f>
        <v/>
      </c>
      <c r="M304" t="str">
        <f>IF($A304&lt;&gt;"",'All Cases - Enter Cases'!M304,"")</f>
        <v/>
      </c>
    </row>
    <row r="305" spans="1:13" x14ac:dyDescent="0.35">
      <c r="A305" s="4" t="str">
        <f>IF('All Cases - Enter Cases'!$F305="Punjab",'All Cases - Enter Cases'!A305,"")</f>
        <v/>
      </c>
      <c r="B305" t="str">
        <f>IF($A305&lt;&gt;"",'All Cases - Enter Cases'!B305,"")</f>
        <v/>
      </c>
      <c r="C305" t="str">
        <f>IF($A305&lt;&gt;"",'All Cases - Enter Cases'!C305,"")</f>
        <v/>
      </c>
      <c r="D305" t="str">
        <f>IF($A305&lt;&gt;"",'All Cases - Enter Cases'!D305,"")</f>
        <v/>
      </c>
      <c r="E305" t="str">
        <f>IF($A305&lt;&gt;"",'All Cases - Enter Cases'!E305,"")</f>
        <v/>
      </c>
      <c r="F305" t="str">
        <f>IF($A305&lt;&gt;"",'All Cases - Enter Cases'!F305,"")</f>
        <v/>
      </c>
      <c r="G305" t="str">
        <f>IF($A305&lt;&gt;"",'All Cases - Enter Cases'!G305,"")</f>
        <v/>
      </c>
      <c r="H305" t="str">
        <f>IF($A305&lt;&gt;"",'All Cases - Enter Cases'!H305,"")</f>
        <v/>
      </c>
      <c r="I305" t="str">
        <f>IF($A305&lt;&gt;"",'All Cases - Enter Cases'!I305,"")</f>
        <v/>
      </c>
      <c r="J305" s="4" t="str">
        <f>IF($A305&lt;&gt;"",'All Cases - Enter Cases'!J305,"")</f>
        <v/>
      </c>
      <c r="K305" s="4" t="str">
        <f>IF($A305&lt;&gt;"",'All Cases - Enter Cases'!K305,"")</f>
        <v/>
      </c>
      <c r="L305" s="4" t="str">
        <f>IF($A305&lt;&gt;"",'All Cases - Enter Cases'!L305,"")</f>
        <v/>
      </c>
      <c r="M305" t="str">
        <f>IF($A305&lt;&gt;"",'All Cases - Enter Cases'!M305,"")</f>
        <v/>
      </c>
    </row>
    <row r="306" spans="1:13" x14ac:dyDescent="0.35">
      <c r="A306" s="4" t="str">
        <f>IF('All Cases - Enter Cases'!$F306="Punjab",'All Cases - Enter Cases'!A306,"")</f>
        <v/>
      </c>
      <c r="B306" t="str">
        <f>IF($A306&lt;&gt;"",'All Cases - Enter Cases'!B306,"")</f>
        <v/>
      </c>
      <c r="C306" t="str">
        <f>IF($A306&lt;&gt;"",'All Cases - Enter Cases'!C306,"")</f>
        <v/>
      </c>
      <c r="D306" t="str">
        <f>IF($A306&lt;&gt;"",'All Cases - Enter Cases'!D306,"")</f>
        <v/>
      </c>
      <c r="E306" t="str">
        <f>IF($A306&lt;&gt;"",'All Cases - Enter Cases'!E306,"")</f>
        <v/>
      </c>
      <c r="F306" t="str">
        <f>IF($A306&lt;&gt;"",'All Cases - Enter Cases'!F306,"")</f>
        <v/>
      </c>
      <c r="G306" t="str">
        <f>IF($A306&lt;&gt;"",'All Cases - Enter Cases'!G306,"")</f>
        <v/>
      </c>
      <c r="H306" t="str">
        <f>IF($A306&lt;&gt;"",'All Cases - Enter Cases'!H306,"")</f>
        <v/>
      </c>
      <c r="I306" t="str">
        <f>IF($A306&lt;&gt;"",'All Cases - Enter Cases'!I306,"")</f>
        <v/>
      </c>
      <c r="J306" s="4" t="str">
        <f>IF($A306&lt;&gt;"",'All Cases - Enter Cases'!J306,"")</f>
        <v/>
      </c>
      <c r="K306" s="4" t="str">
        <f>IF($A306&lt;&gt;"",'All Cases - Enter Cases'!K306,"")</f>
        <v/>
      </c>
      <c r="L306" s="4" t="str">
        <f>IF($A306&lt;&gt;"",'All Cases - Enter Cases'!L306,"")</f>
        <v/>
      </c>
      <c r="M306" t="str">
        <f>IF($A306&lt;&gt;"",'All Cases - Enter Cases'!M306,"")</f>
        <v/>
      </c>
    </row>
    <row r="307" spans="1:13" x14ac:dyDescent="0.35">
      <c r="A307" s="4" t="str">
        <f>IF('All Cases - Enter Cases'!$F307="Punjab",'All Cases - Enter Cases'!A307,"")</f>
        <v/>
      </c>
      <c r="B307" t="str">
        <f>IF($A307&lt;&gt;"",'All Cases - Enter Cases'!B307,"")</f>
        <v/>
      </c>
      <c r="C307" t="str">
        <f>IF($A307&lt;&gt;"",'All Cases - Enter Cases'!C307,"")</f>
        <v/>
      </c>
      <c r="D307" t="str">
        <f>IF($A307&lt;&gt;"",'All Cases - Enter Cases'!D307,"")</f>
        <v/>
      </c>
      <c r="E307" t="str">
        <f>IF($A307&lt;&gt;"",'All Cases - Enter Cases'!E307,"")</f>
        <v/>
      </c>
      <c r="F307" t="str">
        <f>IF($A307&lt;&gt;"",'All Cases - Enter Cases'!F307,"")</f>
        <v/>
      </c>
      <c r="G307" t="str">
        <f>IF($A307&lt;&gt;"",'All Cases - Enter Cases'!G307,"")</f>
        <v/>
      </c>
      <c r="H307" t="str">
        <f>IF($A307&lt;&gt;"",'All Cases - Enter Cases'!H307,"")</f>
        <v/>
      </c>
      <c r="I307" t="str">
        <f>IF($A307&lt;&gt;"",'All Cases - Enter Cases'!I307,"")</f>
        <v/>
      </c>
      <c r="J307" s="4" t="str">
        <f>IF($A307&lt;&gt;"",'All Cases - Enter Cases'!J307,"")</f>
        <v/>
      </c>
      <c r="K307" s="4" t="str">
        <f>IF($A307&lt;&gt;"",'All Cases - Enter Cases'!K307,"")</f>
        <v/>
      </c>
      <c r="L307" s="4" t="str">
        <f>IF($A307&lt;&gt;"",'All Cases - Enter Cases'!L307,"")</f>
        <v/>
      </c>
      <c r="M307" t="str">
        <f>IF($A307&lt;&gt;"",'All Cases - Enter Cases'!M307,"")</f>
        <v/>
      </c>
    </row>
    <row r="308" spans="1:13" x14ac:dyDescent="0.35">
      <c r="A308" s="4" t="str">
        <f>IF('All Cases - Enter Cases'!$F308="Punjab",'All Cases - Enter Cases'!A308,"")</f>
        <v/>
      </c>
      <c r="B308" t="str">
        <f>IF($A308&lt;&gt;"",'All Cases - Enter Cases'!B308,"")</f>
        <v/>
      </c>
      <c r="C308" t="str">
        <f>IF($A308&lt;&gt;"",'All Cases - Enter Cases'!C308,"")</f>
        <v/>
      </c>
      <c r="D308" t="str">
        <f>IF($A308&lt;&gt;"",'All Cases - Enter Cases'!D308,"")</f>
        <v/>
      </c>
      <c r="E308" t="str">
        <f>IF($A308&lt;&gt;"",'All Cases - Enter Cases'!E308,"")</f>
        <v/>
      </c>
      <c r="F308" t="str">
        <f>IF($A308&lt;&gt;"",'All Cases - Enter Cases'!F308,"")</f>
        <v/>
      </c>
      <c r="G308" t="str">
        <f>IF($A308&lt;&gt;"",'All Cases - Enter Cases'!G308,"")</f>
        <v/>
      </c>
      <c r="H308" t="str">
        <f>IF($A308&lt;&gt;"",'All Cases - Enter Cases'!H308,"")</f>
        <v/>
      </c>
      <c r="I308" t="str">
        <f>IF($A308&lt;&gt;"",'All Cases - Enter Cases'!I308,"")</f>
        <v/>
      </c>
      <c r="J308" s="4" t="str">
        <f>IF($A308&lt;&gt;"",'All Cases - Enter Cases'!J308,"")</f>
        <v/>
      </c>
      <c r="K308" s="4" t="str">
        <f>IF($A308&lt;&gt;"",'All Cases - Enter Cases'!K308,"")</f>
        <v/>
      </c>
      <c r="L308" s="4" t="str">
        <f>IF($A308&lt;&gt;"",'All Cases - Enter Cases'!L308,"")</f>
        <v/>
      </c>
      <c r="M308" t="str">
        <f>IF($A308&lt;&gt;"",'All Cases - Enter Cases'!M308,"")</f>
        <v/>
      </c>
    </row>
    <row r="309" spans="1:13" x14ac:dyDescent="0.35">
      <c r="A309" s="4" t="str">
        <f>IF('All Cases - Enter Cases'!$F309="Punjab",'All Cases - Enter Cases'!A309,"")</f>
        <v/>
      </c>
      <c r="B309" t="str">
        <f>IF($A309&lt;&gt;"",'All Cases - Enter Cases'!B309,"")</f>
        <v/>
      </c>
      <c r="C309" t="str">
        <f>IF($A309&lt;&gt;"",'All Cases - Enter Cases'!C309,"")</f>
        <v/>
      </c>
      <c r="D309" t="str">
        <f>IF($A309&lt;&gt;"",'All Cases - Enter Cases'!D309,"")</f>
        <v/>
      </c>
      <c r="E309" t="str">
        <f>IF($A309&lt;&gt;"",'All Cases - Enter Cases'!E309,"")</f>
        <v/>
      </c>
      <c r="F309" t="str">
        <f>IF($A309&lt;&gt;"",'All Cases - Enter Cases'!F309,"")</f>
        <v/>
      </c>
      <c r="G309" t="str">
        <f>IF($A309&lt;&gt;"",'All Cases - Enter Cases'!G309,"")</f>
        <v/>
      </c>
      <c r="H309" t="str">
        <f>IF($A309&lt;&gt;"",'All Cases - Enter Cases'!H309,"")</f>
        <v/>
      </c>
      <c r="I309" t="str">
        <f>IF($A309&lt;&gt;"",'All Cases - Enter Cases'!I309,"")</f>
        <v/>
      </c>
      <c r="J309" s="4" t="str">
        <f>IF($A309&lt;&gt;"",'All Cases - Enter Cases'!J309,"")</f>
        <v/>
      </c>
      <c r="K309" s="4" t="str">
        <f>IF($A309&lt;&gt;"",'All Cases - Enter Cases'!K309,"")</f>
        <v/>
      </c>
      <c r="L309" s="4" t="str">
        <f>IF($A309&lt;&gt;"",'All Cases - Enter Cases'!L309,"")</f>
        <v/>
      </c>
      <c r="M309" t="str">
        <f>IF($A309&lt;&gt;"",'All Cases - Enter Cases'!M309,"")</f>
        <v/>
      </c>
    </row>
    <row r="310" spans="1:13" x14ac:dyDescent="0.35">
      <c r="A310" s="4" t="str">
        <f>IF('All Cases - Enter Cases'!$F310="Punjab",'All Cases - Enter Cases'!A310,"")</f>
        <v/>
      </c>
      <c r="B310" t="str">
        <f>IF($A310&lt;&gt;"",'All Cases - Enter Cases'!B310,"")</f>
        <v/>
      </c>
      <c r="C310" t="str">
        <f>IF($A310&lt;&gt;"",'All Cases - Enter Cases'!C310,"")</f>
        <v/>
      </c>
      <c r="D310" t="str">
        <f>IF($A310&lt;&gt;"",'All Cases - Enter Cases'!D310,"")</f>
        <v/>
      </c>
      <c r="E310" t="str">
        <f>IF($A310&lt;&gt;"",'All Cases - Enter Cases'!E310,"")</f>
        <v/>
      </c>
      <c r="F310" t="str">
        <f>IF($A310&lt;&gt;"",'All Cases - Enter Cases'!F310,"")</f>
        <v/>
      </c>
      <c r="G310" t="str">
        <f>IF($A310&lt;&gt;"",'All Cases - Enter Cases'!G310,"")</f>
        <v/>
      </c>
      <c r="H310" t="str">
        <f>IF($A310&lt;&gt;"",'All Cases - Enter Cases'!H310,"")</f>
        <v/>
      </c>
      <c r="I310" t="str">
        <f>IF($A310&lt;&gt;"",'All Cases - Enter Cases'!I310,"")</f>
        <v/>
      </c>
      <c r="J310" s="4" t="str">
        <f>IF($A310&lt;&gt;"",'All Cases - Enter Cases'!J310,"")</f>
        <v/>
      </c>
      <c r="K310" s="4" t="str">
        <f>IF($A310&lt;&gt;"",'All Cases - Enter Cases'!K310,"")</f>
        <v/>
      </c>
      <c r="L310" s="4" t="str">
        <f>IF($A310&lt;&gt;"",'All Cases - Enter Cases'!L310,"")</f>
        <v/>
      </c>
      <c r="M310" t="str">
        <f>IF($A310&lt;&gt;"",'All Cases - Enter Cases'!M310,"")</f>
        <v/>
      </c>
    </row>
    <row r="311" spans="1:13" x14ac:dyDescent="0.35">
      <c r="A311" s="4" t="str">
        <f>IF('All Cases - Enter Cases'!$F311="Punjab",'All Cases - Enter Cases'!A311,"")</f>
        <v/>
      </c>
      <c r="B311" t="str">
        <f>IF($A311&lt;&gt;"",'All Cases - Enter Cases'!B311,"")</f>
        <v/>
      </c>
      <c r="C311" t="str">
        <f>IF($A311&lt;&gt;"",'All Cases - Enter Cases'!C311,"")</f>
        <v/>
      </c>
      <c r="D311" t="str">
        <f>IF($A311&lt;&gt;"",'All Cases - Enter Cases'!D311,"")</f>
        <v/>
      </c>
      <c r="E311" t="str">
        <f>IF($A311&lt;&gt;"",'All Cases - Enter Cases'!E311,"")</f>
        <v/>
      </c>
      <c r="F311" t="str">
        <f>IF($A311&lt;&gt;"",'All Cases - Enter Cases'!F311,"")</f>
        <v/>
      </c>
      <c r="G311" t="str">
        <f>IF($A311&lt;&gt;"",'All Cases - Enter Cases'!G311,"")</f>
        <v/>
      </c>
      <c r="H311" t="str">
        <f>IF($A311&lt;&gt;"",'All Cases - Enter Cases'!H311,"")</f>
        <v/>
      </c>
      <c r="I311" t="str">
        <f>IF($A311&lt;&gt;"",'All Cases - Enter Cases'!I311,"")</f>
        <v/>
      </c>
      <c r="J311" s="4" t="str">
        <f>IF($A311&lt;&gt;"",'All Cases - Enter Cases'!J311,"")</f>
        <v/>
      </c>
      <c r="K311" s="4" t="str">
        <f>IF($A311&lt;&gt;"",'All Cases - Enter Cases'!K311,"")</f>
        <v/>
      </c>
      <c r="L311" s="4" t="str">
        <f>IF($A311&lt;&gt;"",'All Cases - Enter Cases'!L311,"")</f>
        <v/>
      </c>
      <c r="M311" t="str">
        <f>IF($A311&lt;&gt;"",'All Cases - Enter Cases'!M311,"")</f>
        <v/>
      </c>
    </row>
    <row r="312" spans="1:13" x14ac:dyDescent="0.35">
      <c r="A312" s="4" t="str">
        <f>IF('All Cases - Enter Cases'!$F312="Punjab",'All Cases - Enter Cases'!A312,"")</f>
        <v/>
      </c>
      <c r="B312" t="str">
        <f>IF($A312&lt;&gt;"",'All Cases - Enter Cases'!B312,"")</f>
        <v/>
      </c>
      <c r="C312" t="str">
        <f>IF($A312&lt;&gt;"",'All Cases - Enter Cases'!C312,"")</f>
        <v/>
      </c>
      <c r="D312" t="str">
        <f>IF($A312&lt;&gt;"",'All Cases - Enter Cases'!D312,"")</f>
        <v/>
      </c>
      <c r="E312" t="str">
        <f>IF($A312&lt;&gt;"",'All Cases - Enter Cases'!E312,"")</f>
        <v/>
      </c>
      <c r="F312" t="str">
        <f>IF($A312&lt;&gt;"",'All Cases - Enter Cases'!F312,"")</f>
        <v/>
      </c>
      <c r="G312" t="str">
        <f>IF($A312&lt;&gt;"",'All Cases - Enter Cases'!G312,"")</f>
        <v/>
      </c>
      <c r="H312" t="str">
        <f>IF($A312&lt;&gt;"",'All Cases - Enter Cases'!H312,"")</f>
        <v/>
      </c>
      <c r="I312" t="str">
        <f>IF($A312&lt;&gt;"",'All Cases - Enter Cases'!I312,"")</f>
        <v/>
      </c>
      <c r="J312" s="4" t="str">
        <f>IF($A312&lt;&gt;"",'All Cases - Enter Cases'!J312,"")</f>
        <v/>
      </c>
      <c r="K312" s="4" t="str">
        <f>IF($A312&lt;&gt;"",'All Cases - Enter Cases'!K312,"")</f>
        <v/>
      </c>
      <c r="L312" s="4" t="str">
        <f>IF($A312&lt;&gt;"",'All Cases - Enter Cases'!L312,"")</f>
        <v/>
      </c>
      <c r="M312" t="str">
        <f>IF($A312&lt;&gt;"",'All Cases - Enter Cases'!M312,"")</f>
        <v/>
      </c>
    </row>
    <row r="313" spans="1:13" x14ac:dyDescent="0.35">
      <c r="A313" s="4" t="str">
        <f>IF('All Cases - Enter Cases'!$F313="Punjab",'All Cases - Enter Cases'!A313,"")</f>
        <v/>
      </c>
      <c r="B313" t="str">
        <f>IF($A313&lt;&gt;"",'All Cases - Enter Cases'!B313,"")</f>
        <v/>
      </c>
      <c r="C313" t="str">
        <f>IF($A313&lt;&gt;"",'All Cases - Enter Cases'!C313,"")</f>
        <v/>
      </c>
      <c r="D313" t="str">
        <f>IF($A313&lt;&gt;"",'All Cases - Enter Cases'!D313,"")</f>
        <v/>
      </c>
      <c r="E313" t="str">
        <f>IF($A313&lt;&gt;"",'All Cases - Enter Cases'!E313,"")</f>
        <v/>
      </c>
      <c r="F313" t="str">
        <f>IF($A313&lt;&gt;"",'All Cases - Enter Cases'!F313,"")</f>
        <v/>
      </c>
      <c r="G313" t="str">
        <f>IF($A313&lt;&gt;"",'All Cases - Enter Cases'!G313,"")</f>
        <v/>
      </c>
      <c r="H313" t="str">
        <f>IF($A313&lt;&gt;"",'All Cases - Enter Cases'!H313,"")</f>
        <v/>
      </c>
      <c r="I313" t="str">
        <f>IF($A313&lt;&gt;"",'All Cases - Enter Cases'!I313,"")</f>
        <v/>
      </c>
      <c r="J313" s="4" t="str">
        <f>IF($A313&lt;&gt;"",'All Cases - Enter Cases'!J313,"")</f>
        <v/>
      </c>
      <c r="K313" s="4" t="str">
        <f>IF($A313&lt;&gt;"",'All Cases - Enter Cases'!K313,"")</f>
        <v/>
      </c>
      <c r="L313" s="4" t="str">
        <f>IF($A313&lt;&gt;"",'All Cases - Enter Cases'!L313,"")</f>
        <v/>
      </c>
      <c r="M313" t="str">
        <f>IF($A313&lt;&gt;"",'All Cases - Enter Cases'!M313,"")</f>
        <v/>
      </c>
    </row>
    <row r="314" spans="1:13" x14ac:dyDescent="0.35">
      <c r="A314" s="4" t="str">
        <f>IF('All Cases - Enter Cases'!$F314="Punjab",'All Cases - Enter Cases'!A314,"")</f>
        <v/>
      </c>
      <c r="B314" t="str">
        <f>IF($A314&lt;&gt;"",'All Cases - Enter Cases'!B314,"")</f>
        <v/>
      </c>
      <c r="C314" t="str">
        <f>IF($A314&lt;&gt;"",'All Cases - Enter Cases'!C314,"")</f>
        <v/>
      </c>
      <c r="D314" t="str">
        <f>IF($A314&lt;&gt;"",'All Cases - Enter Cases'!D314,"")</f>
        <v/>
      </c>
      <c r="E314" t="str">
        <f>IF($A314&lt;&gt;"",'All Cases - Enter Cases'!E314,"")</f>
        <v/>
      </c>
      <c r="F314" t="str">
        <f>IF($A314&lt;&gt;"",'All Cases - Enter Cases'!F314,"")</f>
        <v/>
      </c>
      <c r="G314" t="str">
        <f>IF($A314&lt;&gt;"",'All Cases - Enter Cases'!G314,"")</f>
        <v/>
      </c>
      <c r="H314" t="str">
        <f>IF($A314&lt;&gt;"",'All Cases - Enter Cases'!H314,"")</f>
        <v/>
      </c>
      <c r="I314" t="str">
        <f>IF($A314&lt;&gt;"",'All Cases - Enter Cases'!I314,"")</f>
        <v/>
      </c>
      <c r="J314" s="4" t="str">
        <f>IF($A314&lt;&gt;"",'All Cases - Enter Cases'!J314,"")</f>
        <v/>
      </c>
      <c r="K314" s="4" t="str">
        <f>IF($A314&lt;&gt;"",'All Cases - Enter Cases'!K314,"")</f>
        <v/>
      </c>
      <c r="L314" s="4" t="str">
        <f>IF($A314&lt;&gt;"",'All Cases - Enter Cases'!L314,"")</f>
        <v/>
      </c>
      <c r="M314" t="str">
        <f>IF($A314&lt;&gt;"",'All Cases - Enter Cases'!M314,"")</f>
        <v/>
      </c>
    </row>
    <row r="315" spans="1:13" x14ac:dyDescent="0.35">
      <c r="A315" s="4" t="str">
        <f>IF('All Cases - Enter Cases'!$F315="Punjab",'All Cases - Enter Cases'!A315,"")</f>
        <v/>
      </c>
      <c r="B315" t="str">
        <f>IF($A315&lt;&gt;"",'All Cases - Enter Cases'!B315,"")</f>
        <v/>
      </c>
      <c r="C315" t="str">
        <f>IF($A315&lt;&gt;"",'All Cases - Enter Cases'!C315,"")</f>
        <v/>
      </c>
      <c r="D315" t="str">
        <f>IF($A315&lt;&gt;"",'All Cases - Enter Cases'!D315,"")</f>
        <v/>
      </c>
      <c r="E315" t="str">
        <f>IF($A315&lt;&gt;"",'All Cases - Enter Cases'!E315,"")</f>
        <v/>
      </c>
      <c r="F315" t="str">
        <f>IF($A315&lt;&gt;"",'All Cases - Enter Cases'!F315,"")</f>
        <v/>
      </c>
      <c r="G315" t="str">
        <f>IF($A315&lt;&gt;"",'All Cases - Enter Cases'!G315,"")</f>
        <v/>
      </c>
      <c r="H315" t="str">
        <f>IF($A315&lt;&gt;"",'All Cases - Enter Cases'!H315,"")</f>
        <v/>
      </c>
      <c r="I315" t="str">
        <f>IF($A315&lt;&gt;"",'All Cases - Enter Cases'!I315,"")</f>
        <v/>
      </c>
      <c r="J315" s="4" t="str">
        <f>IF($A315&lt;&gt;"",'All Cases - Enter Cases'!J315,"")</f>
        <v/>
      </c>
      <c r="K315" s="4" t="str">
        <f>IF($A315&lt;&gt;"",'All Cases - Enter Cases'!K315,"")</f>
        <v/>
      </c>
      <c r="L315" s="4" t="str">
        <f>IF($A315&lt;&gt;"",'All Cases - Enter Cases'!L315,"")</f>
        <v/>
      </c>
      <c r="M315" t="str">
        <f>IF($A315&lt;&gt;"",'All Cases - Enter Cases'!M315,"")</f>
        <v/>
      </c>
    </row>
    <row r="316" spans="1:13" x14ac:dyDescent="0.35">
      <c r="A316" s="4" t="str">
        <f>IF('All Cases - Enter Cases'!$F316="Punjab",'All Cases - Enter Cases'!A316,"")</f>
        <v/>
      </c>
      <c r="B316" t="str">
        <f>IF($A316&lt;&gt;"",'All Cases - Enter Cases'!B316,"")</f>
        <v/>
      </c>
      <c r="C316" t="str">
        <f>IF($A316&lt;&gt;"",'All Cases - Enter Cases'!C316,"")</f>
        <v/>
      </c>
      <c r="D316" t="str">
        <f>IF($A316&lt;&gt;"",'All Cases - Enter Cases'!D316,"")</f>
        <v/>
      </c>
      <c r="E316" t="str">
        <f>IF($A316&lt;&gt;"",'All Cases - Enter Cases'!E316,"")</f>
        <v/>
      </c>
      <c r="F316" t="str">
        <f>IF($A316&lt;&gt;"",'All Cases - Enter Cases'!F316,"")</f>
        <v/>
      </c>
      <c r="G316" t="str">
        <f>IF($A316&lt;&gt;"",'All Cases - Enter Cases'!G316,"")</f>
        <v/>
      </c>
      <c r="H316" t="str">
        <f>IF($A316&lt;&gt;"",'All Cases - Enter Cases'!H316,"")</f>
        <v/>
      </c>
      <c r="I316" t="str">
        <f>IF($A316&lt;&gt;"",'All Cases - Enter Cases'!I316,"")</f>
        <v/>
      </c>
      <c r="J316" s="4" t="str">
        <f>IF($A316&lt;&gt;"",'All Cases - Enter Cases'!J316,"")</f>
        <v/>
      </c>
      <c r="K316" s="4" t="str">
        <f>IF($A316&lt;&gt;"",'All Cases - Enter Cases'!K316,"")</f>
        <v/>
      </c>
      <c r="L316" s="4" t="str">
        <f>IF($A316&lt;&gt;"",'All Cases - Enter Cases'!L316,"")</f>
        <v/>
      </c>
      <c r="M316" t="str">
        <f>IF($A316&lt;&gt;"",'All Cases - Enter Cases'!M316,"")</f>
        <v/>
      </c>
    </row>
    <row r="317" spans="1:13" x14ac:dyDescent="0.35">
      <c r="A317" s="4" t="str">
        <f>IF('All Cases - Enter Cases'!$F317="Punjab",'All Cases - Enter Cases'!A317,"")</f>
        <v/>
      </c>
      <c r="B317" t="str">
        <f>IF($A317&lt;&gt;"",'All Cases - Enter Cases'!B317,"")</f>
        <v/>
      </c>
      <c r="C317" t="str">
        <f>IF($A317&lt;&gt;"",'All Cases - Enter Cases'!C317,"")</f>
        <v/>
      </c>
      <c r="D317" t="str">
        <f>IF($A317&lt;&gt;"",'All Cases - Enter Cases'!D317,"")</f>
        <v/>
      </c>
      <c r="E317" t="str">
        <f>IF($A317&lt;&gt;"",'All Cases - Enter Cases'!E317,"")</f>
        <v/>
      </c>
      <c r="F317" t="str">
        <f>IF($A317&lt;&gt;"",'All Cases - Enter Cases'!F317,"")</f>
        <v/>
      </c>
      <c r="G317" t="str">
        <f>IF($A317&lt;&gt;"",'All Cases - Enter Cases'!G317,"")</f>
        <v/>
      </c>
      <c r="H317" t="str">
        <f>IF($A317&lt;&gt;"",'All Cases - Enter Cases'!H317,"")</f>
        <v/>
      </c>
      <c r="I317" t="str">
        <f>IF($A317&lt;&gt;"",'All Cases - Enter Cases'!I317,"")</f>
        <v/>
      </c>
      <c r="J317" s="4" t="str">
        <f>IF($A317&lt;&gt;"",'All Cases - Enter Cases'!J317,"")</f>
        <v/>
      </c>
      <c r="K317" s="4" t="str">
        <f>IF($A317&lt;&gt;"",'All Cases - Enter Cases'!K317,"")</f>
        <v/>
      </c>
      <c r="L317" s="4" t="str">
        <f>IF($A317&lt;&gt;"",'All Cases - Enter Cases'!L317,"")</f>
        <v/>
      </c>
      <c r="M317" t="str">
        <f>IF($A317&lt;&gt;"",'All Cases - Enter Cases'!M317,"")</f>
        <v/>
      </c>
    </row>
    <row r="318" spans="1:13" x14ac:dyDescent="0.35">
      <c r="A318" s="4" t="str">
        <f>IF('All Cases - Enter Cases'!$F318="Punjab",'All Cases - Enter Cases'!A318,"")</f>
        <v/>
      </c>
      <c r="B318" t="str">
        <f>IF($A318&lt;&gt;"",'All Cases - Enter Cases'!B318,"")</f>
        <v/>
      </c>
      <c r="C318" t="str">
        <f>IF($A318&lt;&gt;"",'All Cases - Enter Cases'!C318,"")</f>
        <v/>
      </c>
      <c r="D318" t="str">
        <f>IF($A318&lt;&gt;"",'All Cases - Enter Cases'!D318,"")</f>
        <v/>
      </c>
      <c r="E318" t="str">
        <f>IF($A318&lt;&gt;"",'All Cases - Enter Cases'!E318,"")</f>
        <v/>
      </c>
      <c r="F318" t="str">
        <f>IF($A318&lt;&gt;"",'All Cases - Enter Cases'!F318,"")</f>
        <v/>
      </c>
      <c r="G318" t="str">
        <f>IF($A318&lt;&gt;"",'All Cases - Enter Cases'!G318,"")</f>
        <v/>
      </c>
      <c r="H318" t="str">
        <f>IF($A318&lt;&gt;"",'All Cases - Enter Cases'!H318,"")</f>
        <v/>
      </c>
      <c r="I318" t="str">
        <f>IF($A318&lt;&gt;"",'All Cases - Enter Cases'!I318,"")</f>
        <v/>
      </c>
      <c r="J318" s="4" t="str">
        <f>IF($A318&lt;&gt;"",'All Cases - Enter Cases'!J318,"")</f>
        <v/>
      </c>
      <c r="K318" s="4" t="str">
        <f>IF($A318&lt;&gt;"",'All Cases - Enter Cases'!K318,"")</f>
        <v/>
      </c>
      <c r="L318" s="4" t="str">
        <f>IF($A318&lt;&gt;"",'All Cases - Enter Cases'!L318,"")</f>
        <v/>
      </c>
      <c r="M318" t="str">
        <f>IF($A318&lt;&gt;"",'All Cases - Enter Cases'!M318,"")</f>
        <v/>
      </c>
    </row>
    <row r="319" spans="1:13" x14ac:dyDescent="0.35">
      <c r="A319" s="4" t="str">
        <f>IF('All Cases - Enter Cases'!$F319="Punjab",'All Cases - Enter Cases'!A319,"")</f>
        <v/>
      </c>
      <c r="B319" t="str">
        <f>IF($A319&lt;&gt;"",'All Cases - Enter Cases'!B319,"")</f>
        <v/>
      </c>
      <c r="C319" t="str">
        <f>IF($A319&lt;&gt;"",'All Cases - Enter Cases'!C319,"")</f>
        <v/>
      </c>
      <c r="D319" t="str">
        <f>IF($A319&lt;&gt;"",'All Cases - Enter Cases'!D319,"")</f>
        <v/>
      </c>
      <c r="E319" t="str">
        <f>IF($A319&lt;&gt;"",'All Cases - Enter Cases'!E319,"")</f>
        <v/>
      </c>
      <c r="F319" t="str">
        <f>IF($A319&lt;&gt;"",'All Cases - Enter Cases'!F319,"")</f>
        <v/>
      </c>
      <c r="G319" t="str">
        <f>IF($A319&lt;&gt;"",'All Cases - Enter Cases'!G319,"")</f>
        <v/>
      </c>
      <c r="H319" t="str">
        <f>IF($A319&lt;&gt;"",'All Cases - Enter Cases'!H319,"")</f>
        <v/>
      </c>
      <c r="I319" t="str">
        <f>IF($A319&lt;&gt;"",'All Cases - Enter Cases'!I319,"")</f>
        <v/>
      </c>
      <c r="J319" s="4" t="str">
        <f>IF($A319&lt;&gt;"",'All Cases - Enter Cases'!J319,"")</f>
        <v/>
      </c>
      <c r="K319" s="4" t="str">
        <f>IF($A319&lt;&gt;"",'All Cases - Enter Cases'!K319,"")</f>
        <v/>
      </c>
      <c r="L319" s="4" t="str">
        <f>IF($A319&lt;&gt;"",'All Cases - Enter Cases'!L319,"")</f>
        <v/>
      </c>
      <c r="M319" t="str">
        <f>IF($A319&lt;&gt;"",'All Cases - Enter Cases'!M319,"")</f>
        <v/>
      </c>
    </row>
    <row r="320" spans="1:13" x14ac:dyDescent="0.35">
      <c r="A320" s="4" t="str">
        <f>IF('All Cases - Enter Cases'!$F320="Punjab",'All Cases - Enter Cases'!A320,"")</f>
        <v/>
      </c>
      <c r="B320" t="str">
        <f>IF($A320&lt;&gt;"",'All Cases - Enter Cases'!B320,"")</f>
        <v/>
      </c>
      <c r="C320" t="str">
        <f>IF($A320&lt;&gt;"",'All Cases - Enter Cases'!C320,"")</f>
        <v/>
      </c>
      <c r="D320" t="str">
        <f>IF($A320&lt;&gt;"",'All Cases - Enter Cases'!D320,"")</f>
        <v/>
      </c>
      <c r="E320" t="str">
        <f>IF($A320&lt;&gt;"",'All Cases - Enter Cases'!E320,"")</f>
        <v/>
      </c>
      <c r="F320" t="str">
        <f>IF($A320&lt;&gt;"",'All Cases - Enter Cases'!F320,"")</f>
        <v/>
      </c>
      <c r="G320" t="str">
        <f>IF($A320&lt;&gt;"",'All Cases - Enter Cases'!G320,"")</f>
        <v/>
      </c>
      <c r="H320" t="str">
        <f>IF($A320&lt;&gt;"",'All Cases - Enter Cases'!H320,"")</f>
        <v/>
      </c>
      <c r="I320" t="str">
        <f>IF($A320&lt;&gt;"",'All Cases - Enter Cases'!I320,"")</f>
        <v/>
      </c>
      <c r="J320" s="4" t="str">
        <f>IF($A320&lt;&gt;"",'All Cases - Enter Cases'!J320,"")</f>
        <v/>
      </c>
      <c r="K320" s="4" t="str">
        <f>IF($A320&lt;&gt;"",'All Cases - Enter Cases'!K320,"")</f>
        <v/>
      </c>
      <c r="L320" s="4" t="str">
        <f>IF($A320&lt;&gt;"",'All Cases - Enter Cases'!L320,"")</f>
        <v/>
      </c>
      <c r="M320" t="str">
        <f>IF($A320&lt;&gt;"",'All Cases - Enter Cases'!M320,"")</f>
        <v/>
      </c>
    </row>
    <row r="321" spans="1:13" x14ac:dyDescent="0.35">
      <c r="A321" s="4" t="str">
        <f>IF('All Cases - Enter Cases'!$F321="Punjab",'All Cases - Enter Cases'!A321,"")</f>
        <v/>
      </c>
      <c r="B321" t="str">
        <f>IF($A321&lt;&gt;"",'All Cases - Enter Cases'!B321,"")</f>
        <v/>
      </c>
      <c r="C321" t="str">
        <f>IF($A321&lt;&gt;"",'All Cases - Enter Cases'!C321,"")</f>
        <v/>
      </c>
      <c r="D321" t="str">
        <f>IF($A321&lt;&gt;"",'All Cases - Enter Cases'!D321,"")</f>
        <v/>
      </c>
      <c r="E321" t="str">
        <f>IF($A321&lt;&gt;"",'All Cases - Enter Cases'!E321,"")</f>
        <v/>
      </c>
      <c r="F321" t="str">
        <f>IF($A321&lt;&gt;"",'All Cases - Enter Cases'!F321,"")</f>
        <v/>
      </c>
      <c r="G321" t="str">
        <f>IF($A321&lt;&gt;"",'All Cases - Enter Cases'!G321,"")</f>
        <v/>
      </c>
      <c r="H321" t="str">
        <f>IF($A321&lt;&gt;"",'All Cases - Enter Cases'!H321,"")</f>
        <v/>
      </c>
      <c r="I321" t="str">
        <f>IF($A321&lt;&gt;"",'All Cases - Enter Cases'!I321,"")</f>
        <v/>
      </c>
      <c r="J321" s="4" t="str">
        <f>IF($A321&lt;&gt;"",'All Cases - Enter Cases'!J321,"")</f>
        <v/>
      </c>
      <c r="K321" s="4" t="str">
        <f>IF($A321&lt;&gt;"",'All Cases - Enter Cases'!K321,"")</f>
        <v/>
      </c>
      <c r="L321" s="4" t="str">
        <f>IF($A321&lt;&gt;"",'All Cases - Enter Cases'!L321,"")</f>
        <v/>
      </c>
      <c r="M321" t="str">
        <f>IF($A321&lt;&gt;"",'All Cases - Enter Cases'!M321,"")</f>
        <v/>
      </c>
    </row>
    <row r="322" spans="1:13" x14ac:dyDescent="0.35">
      <c r="A322" s="4" t="str">
        <f>IF('All Cases - Enter Cases'!$F322="Punjab",'All Cases - Enter Cases'!A322,"")</f>
        <v/>
      </c>
      <c r="B322" t="str">
        <f>IF($A322&lt;&gt;"",'All Cases - Enter Cases'!B322,"")</f>
        <v/>
      </c>
      <c r="C322" t="str">
        <f>IF($A322&lt;&gt;"",'All Cases - Enter Cases'!C322,"")</f>
        <v/>
      </c>
      <c r="D322" t="str">
        <f>IF($A322&lt;&gt;"",'All Cases - Enter Cases'!D322,"")</f>
        <v/>
      </c>
      <c r="E322" t="str">
        <f>IF($A322&lt;&gt;"",'All Cases - Enter Cases'!E322,"")</f>
        <v/>
      </c>
      <c r="F322" t="str">
        <f>IF($A322&lt;&gt;"",'All Cases - Enter Cases'!F322,"")</f>
        <v/>
      </c>
      <c r="G322" t="str">
        <f>IF($A322&lt;&gt;"",'All Cases - Enter Cases'!G322,"")</f>
        <v/>
      </c>
      <c r="H322" t="str">
        <f>IF($A322&lt;&gt;"",'All Cases - Enter Cases'!H322,"")</f>
        <v/>
      </c>
      <c r="I322" t="str">
        <f>IF($A322&lt;&gt;"",'All Cases - Enter Cases'!I322,"")</f>
        <v/>
      </c>
      <c r="J322" s="4" t="str">
        <f>IF($A322&lt;&gt;"",'All Cases - Enter Cases'!J322,"")</f>
        <v/>
      </c>
      <c r="K322" s="4" t="str">
        <f>IF($A322&lt;&gt;"",'All Cases - Enter Cases'!K322,"")</f>
        <v/>
      </c>
      <c r="L322" s="4" t="str">
        <f>IF($A322&lt;&gt;"",'All Cases - Enter Cases'!L322,"")</f>
        <v/>
      </c>
      <c r="M322" t="str">
        <f>IF($A322&lt;&gt;"",'All Cases - Enter Cases'!M322,"")</f>
        <v/>
      </c>
    </row>
    <row r="323" spans="1:13" x14ac:dyDescent="0.35">
      <c r="A323" s="4" t="str">
        <f>IF('All Cases - Enter Cases'!$F323="Punjab",'All Cases - Enter Cases'!A323,"")</f>
        <v/>
      </c>
      <c r="B323" t="str">
        <f>IF($A323&lt;&gt;"",'All Cases - Enter Cases'!B323,"")</f>
        <v/>
      </c>
      <c r="C323" t="str">
        <f>IF($A323&lt;&gt;"",'All Cases - Enter Cases'!C323,"")</f>
        <v/>
      </c>
      <c r="D323" t="str">
        <f>IF($A323&lt;&gt;"",'All Cases - Enter Cases'!D323,"")</f>
        <v/>
      </c>
      <c r="E323" t="str">
        <f>IF($A323&lt;&gt;"",'All Cases - Enter Cases'!E323,"")</f>
        <v/>
      </c>
      <c r="F323" t="str">
        <f>IF($A323&lt;&gt;"",'All Cases - Enter Cases'!F323,"")</f>
        <v/>
      </c>
      <c r="G323" t="str">
        <f>IF($A323&lt;&gt;"",'All Cases - Enter Cases'!G323,"")</f>
        <v/>
      </c>
      <c r="H323" t="str">
        <f>IF($A323&lt;&gt;"",'All Cases - Enter Cases'!H323,"")</f>
        <v/>
      </c>
      <c r="I323" t="str">
        <f>IF($A323&lt;&gt;"",'All Cases - Enter Cases'!I323,"")</f>
        <v/>
      </c>
      <c r="J323" s="4" t="str">
        <f>IF($A323&lt;&gt;"",'All Cases - Enter Cases'!J323,"")</f>
        <v/>
      </c>
      <c r="K323" s="4" t="str">
        <f>IF($A323&lt;&gt;"",'All Cases - Enter Cases'!K323,"")</f>
        <v/>
      </c>
      <c r="L323" s="4" t="str">
        <f>IF($A323&lt;&gt;"",'All Cases - Enter Cases'!L323,"")</f>
        <v/>
      </c>
      <c r="M323" t="str">
        <f>IF($A323&lt;&gt;"",'All Cases - Enter Cases'!M323,"")</f>
        <v/>
      </c>
    </row>
    <row r="324" spans="1:13" x14ac:dyDescent="0.35">
      <c r="A324" s="4" t="str">
        <f>IF('All Cases - Enter Cases'!$F324="Punjab",'All Cases - Enter Cases'!A324,"")</f>
        <v/>
      </c>
      <c r="B324" t="str">
        <f>IF($A324&lt;&gt;"",'All Cases - Enter Cases'!B324,"")</f>
        <v/>
      </c>
      <c r="C324" t="str">
        <f>IF($A324&lt;&gt;"",'All Cases - Enter Cases'!C324,"")</f>
        <v/>
      </c>
      <c r="D324" t="str">
        <f>IF($A324&lt;&gt;"",'All Cases - Enter Cases'!D324,"")</f>
        <v/>
      </c>
      <c r="E324" t="str">
        <f>IF($A324&lt;&gt;"",'All Cases - Enter Cases'!E324,"")</f>
        <v/>
      </c>
      <c r="F324" t="str">
        <f>IF($A324&lt;&gt;"",'All Cases - Enter Cases'!F324,"")</f>
        <v/>
      </c>
      <c r="G324" t="str">
        <f>IF($A324&lt;&gt;"",'All Cases - Enter Cases'!G324,"")</f>
        <v/>
      </c>
      <c r="H324" t="str">
        <f>IF($A324&lt;&gt;"",'All Cases - Enter Cases'!H324,"")</f>
        <v/>
      </c>
      <c r="I324" t="str">
        <f>IF($A324&lt;&gt;"",'All Cases - Enter Cases'!I324,"")</f>
        <v/>
      </c>
      <c r="J324" s="4" t="str">
        <f>IF($A324&lt;&gt;"",'All Cases - Enter Cases'!J324,"")</f>
        <v/>
      </c>
      <c r="K324" s="4" t="str">
        <f>IF($A324&lt;&gt;"",'All Cases - Enter Cases'!K324,"")</f>
        <v/>
      </c>
      <c r="L324" s="4" t="str">
        <f>IF($A324&lt;&gt;"",'All Cases - Enter Cases'!L324,"")</f>
        <v/>
      </c>
      <c r="M324" t="str">
        <f>IF($A324&lt;&gt;"",'All Cases - Enter Cases'!M324,"")</f>
        <v/>
      </c>
    </row>
    <row r="325" spans="1:13" x14ac:dyDescent="0.35">
      <c r="A325" s="4" t="str">
        <f>IF('All Cases - Enter Cases'!$F325="Punjab",'All Cases - Enter Cases'!A325,"")</f>
        <v/>
      </c>
      <c r="B325" t="str">
        <f>IF($A325&lt;&gt;"",'All Cases - Enter Cases'!B325,"")</f>
        <v/>
      </c>
      <c r="C325" t="str">
        <f>IF($A325&lt;&gt;"",'All Cases - Enter Cases'!C325,"")</f>
        <v/>
      </c>
      <c r="D325" t="str">
        <f>IF($A325&lt;&gt;"",'All Cases - Enter Cases'!D325,"")</f>
        <v/>
      </c>
      <c r="E325" t="str">
        <f>IF($A325&lt;&gt;"",'All Cases - Enter Cases'!E325,"")</f>
        <v/>
      </c>
      <c r="F325" t="str">
        <f>IF($A325&lt;&gt;"",'All Cases - Enter Cases'!F325,"")</f>
        <v/>
      </c>
      <c r="G325" t="str">
        <f>IF($A325&lt;&gt;"",'All Cases - Enter Cases'!G325,"")</f>
        <v/>
      </c>
      <c r="H325" t="str">
        <f>IF($A325&lt;&gt;"",'All Cases - Enter Cases'!H325,"")</f>
        <v/>
      </c>
      <c r="I325" t="str">
        <f>IF($A325&lt;&gt;"",'All Cases - Enter Cases'!I325,"")</f>
        <v/>
      </c>
      <c r="J325" s="4" t="str">
        <f>IF($A325&lt;&gt;"",'All Cases - Enter Cases'!J325,"")</f>
        <v/>
      </c>
      <c r="K325" s="4" t="str">
        <f>IF($A325&lt;&gt;"",'All Cases - Enter Cases'!K325,"")</f>
        <v/>
      </c>
      <c r="L325" s="4" t="str">
        <f>IF($A325&lt;&gt;"",'All Cases - Enter Cases'!L325,"")</f>
        <v/>
      </c>
      <c r="M325" t="str">
        <f>IF($A325&lt;&gt;"",'All Cases - Enter Cases'!M325,"")</f>
        <v/>
      </c>
    </row>
    <row r="326" spans="1:13" x14ac:dyDescent="0.35">
      <c r="A326" s="4" t="str">
        <f>IF('All Cases - Enter Cases'!$F326="Punjab",'All Cases - Enter Cases'!A326,"")</f>
        <v/>
      </c>
      <c r="B326" t="str">
        <f>IF($A326&lt;&gt;"",'All Cases - Enter Cases'!B326,"")</f>
        <v/>
      </c>
      <c r="C326" t="str">
        <f>IF($A326&lt;&gt;"",'All Cases - Enter Cases'!C326,"")</f>
        <v/>
      </c>
      <c r="D326" t="str">
        <f>IF($A326&lt;&gt;"",'All Cases - Enter Cases'!D326,"")</f>
        <v/>
      </c>
      <c r="E326" t="str">
        <f>IF($A326&lt;&gt;"",'All Cases - Enter Cases'!E326,"")</f>
        <v/>
      </c>
      <c r="F326" t="str">
        <f>IF($A326&lt;&gt;"",'All Cases - Enter Cases'!F326,"")</f>
        <v/>
      </c>
      <c r="G326" t="str">
        <f>IF($A326&lt;&gt;"",'All Cases - Enter Cases'!G326,"")</f>
        <v/>
      </c>
      <c r="H326" t="str">
        <f>IF($A326&lt;&gt;"",'All Cases - Enter Cases'!H326,"")</f>
        <v/>
      </c>
      <c r="I326" t="str">
        <f>IF($A326&lt;&gt;"",'All Cases - Enter Cases'!I326,"")</f>
        <v/>
      </c>
      <c r="J326" s="4" t="str">
        <f>IF($A326&lt;&gt;"",'All Cases - Enter Cases'!J326,"")</f>
        <v/>
      </c>
      <c r="K326" s="4" t="str">
        <f>IF($A326&lt;&gt;"",'All Cases - Enter Cases'!K326,"")</f>
        <v/>
      </c>
      <c r="L326" s="4" t="str">
        <f>IF($A326&lt;&gt;"",'All Cases - Enter Cases'!L326,"")</f>
        <v/>
      </c>
      <c r="M326" t="str">
        <f>IF($A326&lt;&gt;"",'All Cases - Enter Cases'!M326,"")</f>
        <v/>
      </c>
    </row>
    <row r="327" spans="1:13" x14ac:dyDescent="0.35">
      <c r="A327" s="4" t="str">
        <f>IF('All Cases - Enter Cases'!$F327="Punjab",'All Cases - Enter Cases'!A327,"")</f>
        <v/>
      </c>
      <c r="B327" t="str">
        <f>IF($A327&lt;&gt;"",'All Cases - Enter Cases'!B327,"")</f>
        <v/>
      </c>
      <c r="C327" t="str">
        <f>IF($A327&lt;&gt;"",'All Cases - Enter Cases'!C327,"")</f>
        <v/>
      </c>
      <c r="D327" t="str">
        <f>IF($A327&lt;&gt;"",'All Cases - Enter Cases'!D327,"")</f>
        <v/>
      </c>
      <c r="E327" t="str">
        <f>IF($A327&lt;&gt;"",'All Cases - Enter Cases'!E327,"")</f>
        <v/>
      </c>
      <c r="F327" t="str">
        <f>IF($A327&lt;&gt;"",'All Cases - Enter Cases'!F327,"")</f>
        <v/>
      </c>
      <c r="G327" t="str">
        <f>IF($A327&lt;&gt;"",'All Cases - Enter Cases'!G327,"")</f>
        <v/>
      </c>
      <c r="H327" t="str">
        <f>IF($A327&lt;&gt;"",'All Cases - Enter Cases'!H327,"")</f>
        <v/>
      </c>
      <c r="I327" t="str">
        <f>IF($A327&lt;&gt;"",'All Cases - Enter Cases'!I327,"")</f>
        <v/>
      </c>
      <c r="J327" s="4" t="str">
        <f>IF($A327&lt;&gt;"",'All Cases - Enter Cases'!J327,"")</f>
        <v/>
      </c>
      <c r="K327" s="4" t="str">
        <f>IF($A327&lt;&gt;"",'All Cases - Enter Cases'!K327,"")</f>
        <v/>
      </c>
      <c r="L327" s="4" t="str">
        <f>IF($A327&lt;&gt;"",'All Cases - Enter Cases'!L327,"")</f>
        <v/>
      </c>
      <c r="M327" t="str">
        <f>IF($A327&lt;&gt;"",'All Cases - Enter Cases'!M327,"")</f>
        <v/>
      </c>
    </row>
    <row r="328" spans="1:13" x14ac:dyDescent="0.35">
      <c r="A328" s="4" t="str">
        <f>IF('All Cases - Enter Cases'!$F328="Punjab",'All Cases - Enter Cases'!A328,"")</f>
        <v/>
      </c>
      <c r="B328" t="str">
        <f>IF($A328&lt;&gt;"",'All Cases - Enter Cases'!B328,"")</f>
        <v/>
      </c>
      <c r="C328" t="str">
        <f>IF($A328&lt;&gt;"",'All Cases - Enter Cases'!C328,"")</f>
        <v/>
      </c>
      <c r="D328" t="str">
        <f>IF($A328&lt;&gt;"",'All Cases - Enter Cases'!D328,"")</f>
        <v/>
      </c>
      <c r="E328" t="str">
        <f>IF($A328&lt;&gt;"",'All Cases - Enter Cases'!E328,"")</f>
        <v/>
      </c>
      <c r="F328" t="str">
        <f>IF($A328&lt;&gt;"",'All Cases - Enter Cases'!F328,"")</f>
        <v/>
      </c>
      <c r="G328" t="str">
        <f>IF($A328&lt;&gt;"",'All Cases - Enter Cases'!G328,"")</f>
        <v/>
      </c>
      <c r="H328" t="str">
        <f>IF($A328&lt;&gt;"",'All Cases - Enter Cases'!H328,"")</f>
        <v/>
      </c>
      <c r="I328" t="str">
        <f>IF($A328&lt;&gt;"",'All Cases - Enter Cases'!I328,"")</f>
        <v/>
      </c>
      <c r="J328" s="4" t="str">
        <f>IF($A328&lt;&gt;"",'All Cases - Enter Cases'!J328,"")</f>
        <v/>
      </c>
      <c r="K328" s="4" t="str">
        <f>IF($A328&lt;&gt;"",'All Cases - Enter Cases'!K328,"")</f>
        <v/>
      </c>
      <c r="L328" s="4" t="str">
        <f>IF($A328&lt;&gt;"",'All Cases - Enter Cases'!L328,"")</f>
        <v/>
      </c>
      <c r="M328" t="str">
        <f>IF($A328&lt;&gt;"",'All Cases - Enter Cases'!M328,"")</f>
        <v/>
      </c>
    </row>
    <row r="329" spans="1:13" x14ac:dyDescent="0.35">
      <c r="A329" s="4" t="str">
        <f>IF('All Cases - Enter Cases'!$F329="Punjab",'All Cases - Enter Cases'!A329,"")</f>
        <v/>
      </c>
      <c r="B329" t="str">
        <f>IF($A329&lt;&gt;"",'All Cases - Enter Cases'!B329,"")</f>
        <v/>
      </c>
      <c r="C329" t="str">
        <f>IF($A329&lt;&gt;"",'All Cases - Enter Cases'!C329,"")</f>
        <v/>
      </c>
      <c r="D329" t="str">
        <f>IF($A329&lt;&gt;"",'All Cases - Enter Cases'!D329,"")</f>
        <v/>
      </c>
      <c r="E329" t="str">
        <f>IF($A329&lt;&gt;"",'All Cases - Enter Cases'!E329,"")</f>
        <v/>
      </c>
      <c r="F329" t="str">
        <f>IF($A329&lt;&gt;"",'All Cases - Enter Cases'!F329,"")</f>
        <v/>
      </c>
      <c r="G329" t="str">
        <f>IF($A329&lt;&gt;"",'All Cases - Enter Cases'!G329,"")</f>
        <v/>
      </c>
      <c r="H329" t="str">
        <f>IF($A329&lt;&gt;"",'All Cases - Enter Cases'!H329,"")</f>
        <v/>
      </c>
      <c r="I329" t="str">
        <f>IF($A329&lt;&gt;"",'All Cases - Enter Cases'!I329,"")</f>
        <v/>
      </c>
      <c r="J329" s="4" t="str">
        <f>IF($A329&lt;&gt;"",'All Cases - Enter Cases'!J329,"")</f>
        <v/>
      </c>
      <c r="K329" s="4" t="str">
        <f>IF($A329&lt;&gt;"",'All Cases - Enter Cases'!K329,"")</f>
        <v/>
      </c>
      <c r="L329" s="4" t="str">
        <f>IF($A329&lt;&gt;"",'All Cases - Enter Cases'!L329,"")</f>
        <v/>
      </c>
      <c r="M329" t="str">
        <f>IF($A329&lt;&gt;"",'All Cases - Enter Cases'!M329,"")</f>
        <v/>
      </c>
    </row>
    <row r="330" spans="1:13" x14ac:dyDescent="0.35">
      <c r="A330" s="4" t="str">
        <f>IF('All Cases - Enter Cases'!$F330="Punjab",'All Cases - Enter Cases'!A330,"")</f>
        <v/>
      </c>
      <c r="B330" t="str">
        <f>IF($A330&lt;&gt;"",'All Cases - Enter Cases'!B330,"")</f>
        <v/>
      </c>
      <c r="C330" t="str">
        <f>IF($A330&lt;&gt;"",'All Cases - Enter Cases'!C330,"")</f>
        <v/>
      </c>
      <c r="D330" t="str">
        <f>IF($A330&lt;&gt;"",'All Cases - Enter Cases'!D330,"")</f>
        <v/>
      </c>
      <c r="E330" t="str">
        <f>IF($A330&lt;&gt;"",'All Cases - Enter Cases'!E330,"")</f>
        <v/>
      </c>
      <c r="F330" t="str">
        <f>IF($A330&lt;&gt;"",'All Cases - Enter Cases'!F330,"")</f>
        <v/>
      </c>
      <c r="G330" t="str">
        <f>IF($A330&lt;&gt;"",'All Cases - Enter Cases'!G330,"")</f>
        <v/>
      </c>
      <c r="H330" t="str">
        <f>IF($A330&lt;&gt;"",'All Cases - Enter Cases'!H330,"")</f>
        <v/>
      </c>
      <c r="I330" t="str">
        <f>IF($A330&lt;&gt;"",'All Cases - Enter Cases'!I330,"")</f>
        <v/>
      </c>
      <c r="J330" s="4" t="str">
        <f>IF($A330&lt;&gt;"",'All Cases - Enter Cases'!J330,"")</f>
        <v/>
      </c>
      <c r="K330" s="4" t="str">
        <f>IF($A330&lt;&gt;"",'All Cases - Enter Cases'!K330,"")</f>
        <v/>
      </c>
      <c r="L330" s="4" t="str">
        <f>IF($A330&lt;&gt;"",'All Cases - Enter Cases'!L330,"")</f>
        <v/>
      </c>
      <c r="M330" t="str">
        <f>IF($A330&lt;&gt;"",'All Cases - Enter Cases'!M330,"")</f>
        <v/>
      </c>
    </row>
    <row r="331" spans="1:13" x14ac:dyDescent="0.35">
      <c r="A331" s="4" t="str">
        <f>IF('All Cases - Enter Cases'!$F331="Punjab",'All Cases - Enter Cases'!A331,"")</f>
        <v/>
      </c>
      <c r="B331" t="str">
        <f>IF($A331&lt;&gt;"",'All Cases - Enter Cases'!B331,"")</f>
        <v/>
      </c>
      <c r="C331" t="str">
        <f>IF($A331&lt;&gt;"",'All Cases - Enter Cases'!C331,"")</f>
        <v/>
      </c>
      <c r="D331" t="str">
        <f>IF($A331&lt;&gt;"",'All Cases - Enter Cases'!D331,"")</f>
        <v/>
      </c>
      <c r="E331" t="str">
        <f>IF($A331&lt;&gt;"",'All Cases - Enter Cases'!E331,"")</f>
        <v/>
      </c>
      <c r="F331" t="str">
        <f>IF($A331&lt;&gt;"",'All Cases - Enter Cases'!F331,"")</f>
        <v/>
      </c>
      <c r="G331" t="str">
        <f>IF($A331&lt;&gt;"",'All Cases - Enter Cases'!G331,"")</f>
        <v/>
      </c>
      <c r="H331" t="str">
        <f>IF($A331&lt;&gt;"",'All Cases - Enter Cases'!H331,"")</f>
        <v/>
      </c>
      <c r="I331" t="str">
        <f>IF($A331&lt;&gt;"",'All Cases - Enter Cases'!I331,"")</f>
        <v/>
      </c>
      <c r="J331" s="4" t="str">
        <f>IF($A331&lt;&gt;"",'All Cases - Enter Cases'!J331,"")</f>
        <v/>
      </c>
      <c r="K331" s="4" t="str">
        <f>IF($A331&lt;&gt;"",'All Cases - Enter Cases'!K331,"")</f>
        <v/>
      </c>
      <c r="L331" s="4" t="str">
        <f>IF($A331&lt;&gt;"",'All Cases - Enter Cases'!L331,"")</f>
        <v/>
      </c>
      <c r="M331" t="str">
        <f>IF($A331&lt;&gt;"",'All Cases - Enter Cases'!M331,"")</f>
        <v/>
      </c>
    </row>
    <row r="332" spans="1:13" x14ac:dyDescent="0.35">
      <c r="A332" s="4" t="str">
        <f>IF('All Cases - Enter Cases'!$F332="Punjab",'All Cases - Enter Cases'!A332,"")</f>
        <v/>
      </c>
      <c r="B332" t="str">
        <f>IF($A332&lt;&gt;"",'All Cases - Enter Cases'!B332,"")</f>
        <v/>
      </c>
      <c r="C332" t="str">
        <f>IF($A332&lt;&gt;"",'All Cases - Enter Cases'!C332,"")</f>
        <v/>
      </c>
      <c r="D332" t="str">
        <f>IF($A332&lt;&gt;"",'All Cases - Enter Cases'!D332,"")</f>
        <v/>
      </c>
      <c r="E332" t="str">
        <f>IF($A332&lt;&gt;"",'All Cases - Enter Cases'!E332,"")</f>
        <v/>
      </c>
      <c r="F332" t="str">
        <f>IF($A332&lt;&gt;"",'All Cases - Enter Cases'!F332,"")</f>
        <v/>
      </c>
      <c r="G332" t="str">
        <f>IF($A332&lt;&gt;"",'All Cases - Enter Cases'!G332,"")</f>
        <v/>
      </c>
      <c r="H332" t="str">
        <f>IF($A332&lt;&gt;"",'All Cases - Enter Cases'!H332,"")</f>
        <v/>
      </c>
      <c r="I332" t="str">
        <f>IF($A332&lt;&gt;"",'All Cases - Enter Cases'!I332,"")</f>
        <v/>
      </c>
      <c r="J332" s="4" t="str">
        <f>IF($A332&lt;&gt;"",'All Cases - Enter Cases'!J332,"")</f>
        <v/>
      </c>
      <c r="K332" s="4" t="str">
        <f>IF($A332&lt;&gt;"",'All Cases - Enter Cases'!K332,"")</f>
        <v/>
      </c>
      <c r="L332" s="4" t="str">
        <f>IF($A332&lt;&gt;"",'All Cases - Enter Cases'!L332,"")</f>
        <v/>
      </c>
      <c r="M332" t="str">
        <f>IF($A332&lt;&gt;"",'All Cases - Enter Cases'!M332,"")</f>
        <v/>
      </c>
    </row>
    <row r="333" spans="1:13" x14ac:dyDescent="0.35">
      <c r="A333" s="4" t="str">
        <f>IF('All Cases - Enter Cases'!$F333="Punjab",'All Cases - Enter Cases'!A333,"")</f>
        <v/>
      </c>
      <c r="B333" t="str">
        <f>IF($A333&lt;&gt;"",'All Cases - Enter Cases'!B333,"")</f>
        <v/>
      </c>
      <c r="C333" t="str">
        <f>IF($A333&lt;&gt;"",'All Cases - Enter Cases'!C333,"")</f>
        <v/>
      </c>
      <c r="D333" t="str">
        <f>IF($A333&lt;&gt;"",'All Cases - Enter Cases'!D333,"")</f>
        <v/>
      </c>
      <c r="E333" t="str">
        <f>IF($A333&lt;&gt;"",'All Cases - Enter Cases'!E333,"")</f>
        <v/>
      </c>
      <c r="F333" t="str">
        <f>IF($A333&lt;&gt;"",'All Cases - Enter Cases'!F333,"")</f>
        <v/>
      </c>
      <c r="G333" t="str">
        <f>IF($A333&lt;&gt;"",'All Cases - Enter Cases'!G333,"")</f>
        <v/>
      </c>
      <c r="H333" t="str">
        <f>IF($A333&lt;&gt;"",'All Cases - Enter Cases'!H333,"")</f>
        <v/>
      </c>
      <c r="I333" t="str">
        <f>IF($A333&lt;&gt;"",'All Cases - Enter Cases'!I333,"")</f>
        <v/>
      </c>
      <c r="J333" s="4" t="str">
        <f>IF($A333&lt;&gt;"",'All Cases - Enter Cases'!J333,"")</f>
        <v/>
      </c>
      <c r="K333" s="4" t="str">
        <f>IF($A333&lt;&gt;"",'All Cases - Enter Cases'!K333,"")</f>
        <v/>
      </c>
      <c r="L333" s="4" t="str">
        <f>IF($A333&lt;&gt;"",'All Cases - Enter Cases'!L333,"")</f>
        <v/>
      </c>
      <c r="M333" t="str">
        <f>IF($A333&lt;&gt;"",'All Cases - Enter Cases'!M333,"")</f>
        <v/>
      </c>
    </row>
    <row r="334" spans="1:13" x14ac:dyDescent="0.35">
      <c r="A334" s="4" t="str">
        <f>IF('All Cases - Enter Cases'!$F334="Punjab",'All Cases - Enter Cases'!A334,"")</f>
        <v/>
      </c>
      <c r="B334" t="str">
        <f>IF($A334&lt;&gt;"",'All Cases - Enter Cases'!B334,"")</f>
        <v/>
      </c>
      <c r="C334" t="str">
        <f>IF($A334&lt;&gt;"",'All Cases - Enter Cases'!C334,"")</f>
        <v/>
      </c>
      <c r="D334" t="str">
        <f>IF($A334&lt;&gt;"",'All Cases - Enter Cases'!D334,"")</f>
        <v/>
      </c>
      <c r="E334" t="str">
        <f>IF($A334&lt;&gt;"",'All Cases - Enter Cases'!E334,"")</f>
        <v/>
      </c>
      <c r="F334" t="str">
        <f>IF($A334&lt;&gt;"",'All Cases - Enter Cases'!F334,"")</f>
        <v/>
      </c>
      <c r="G334" t="str">
        <f>IF($A334&lt;&gt;"",'All Cases - Enter Cases'!G334,"")</f>
        <v/>
      </c>
      <c r="H334" t="str">
        <f>IF($A334&lt;&gt;"",'All Cases - Enter Cases'!H334,"")</f>
        <v/>
      </c>
      <c r="I334" t="str">
        <f>IF($A334&lt;&gt;"",'All Cases - Enter Cases'!I334,"")</f>
        <v/>
      </c>
      <c r="J334" s="4" t="str">
        <f>IF($A334&lt;&gt;"",'All Cases - Enter Cases'!J334,"")</f>
        <v/>
      </c>
      <c r="K334" s="4" t="str">
        <f>IF($A334&lt;&gt;"",'All Cases - Enter Cases'!K334,"")</f>
        <v/>
      </c>
      <c r="L334" s="4" t="str">
        <f>IF($A334&lt;&gt;"",'All Cases - Enter Cases'!L334,"")</f>
        <v/>
      </c>
      <c r="M334" t="str">
        <f>IF($A334&lt;&gt;"",'All Cases - Enter Cases'!M334,"")</f>
        <v/>
      </c>
    </row>
    <row r="335" spans="1:13" x14ac:dyDescent="0.35">
      <c r="A335" s="4" t="str">
        <f>IF('All Cases - Enter Cases'!$F335="Punjab",'All Cases - Enter Cases'!A335,"")</f>
        <v/>
      </c>
      <c r="B335" t="str">
        <f>IF($A335&lt;&gt;"",'All Cases - Enter Cases'!B335,"")</f>
        <v/>
      </c>
      <c r="C335" t="str">
        <f>IF($A335&lt;&gt;"",'All Cases - Enter Cases'!C335,"")</f>
        <v/>
      </c>
      <c r="D335" t="str">
        <f>IF($A335&lt;&gt;"",'All Cases - Enter Cases'!D335,"")</f>
        <v/>
      </c>
      <c r="E335" t="str">
        <f>IF($A335&lt;&gt;"",'All Cases - Enter Cases'!E335,"")</f>
        <v/>
      </c>
      <c r="F335" t="str">
        <f>IF($A335&lt;&gt;"",'All Cases - Enter Cases'!F335,"")</f>
        <v/>
      </c>
      <c r="G335" t="str">
        <f>IF($A335&lt;&gt;"",'All Cases - Enter Cases'!G335,"")</f>
        <v/>
      </c>
      <c r="H335" t="str">
        <f>IF($A335&lt;&gt;"",'All Cases - Enter Cases'!H335,"")</f>
        <v/>
      </c>
      <c r="I335" t="str">
        <f>IF($A335&lt;&gt;"",'All Cases - Enter Cases'!I335,"")</f>
        <v/>
      </c>
      <c r="J335" s="4" t="str">
        <f>IF($A335&lt;&gt;"",'All Cases - Enter Cases'!J335,"")</f>
        <v/>
      </c>
      <c r="K335" s="4" t="str">
        <f>IF($A335&lt;&gt;"",'All Cases - Enter Cases'!K335,"")</f>
        <v/>
      </c>
      <c r="L335" s="4" t="str">
        <f>IF($A335&lt;&gt;"",'All Cases - Enter Cases'!L335,"")</f>
        <v/>
      </c>
      <c r="M335" t="str">
        <f>IF($A335&lt;&gt;"",'All Cases - Enter Cases'!M335,"")</f>
        <v/>
      </c>
    </row>
    <row r="336" spans="1:13" x14ac:dyDescent="0.35">
      <c r="A336" s="4" t="str">
        <f>IF('All Cases - Enter Cases'!$F336="Punjab",'All Cases - Enter Cases'!A336,"")</f>
        <v/>
      </c>
      <c r="B336" t="str">
        <f>IF($A336&lt;&gt;"",'All Cases - Enter Cases'!B336,"")</f>
        <v/>
      </c>
      <c r="C336" t="str">
        <f>IF($A336&lt;&gt;"",'All Cases - Enter Cases'!C336,"")</f>
        <v/>
      </c>
      <c r="D336" t="str">
        <f>IF($A336&lt;&gt;"",'All Cases - Enter Cases'!D336,"")</f>
        <v/>
      </c>
      <c r="E336" t="str">
        <f>IF($A336&lt;&gt;"",'All Cases - Enter Cases'!E336,"")</f>
        <v/>
      </c>
      <c r="F336" t="str">
        <f>IF($A336&lt;&gt;"",'All Cases - Enter Cases'!F336,"")</f>
        <v/>
      </c>
      <c r="G336" t="str">
        <f>IF($A336&lt;&gt;"",'All Cases - Enter Cases'!G336,"")</f>
        <v/>
      </c>
      <c r="H336" t="str">
        <f>IF($A336&lt;&gt;"",'All Cases - Enter Cases'!H336,"")</f>
        <v/>
      </c>
      <c r="I336" t="str">
        <f>IF($A336&lt;&gt;"",'All Cases - Enter Cases'!I336,"")</f>
        <v/>
      </c>
      <c r="J336" s="4" t="str">
        <f>IF($A336&lt;&gt;"",'All Cases - Enter Cases'!J336,"")</f>
        <v/>
      </c>
      <c r="K336" s="4" t="str">
        <f>IF($A336&lt;&gt;"",'All Cases - Enter Cases'!K336,"")</f>
        <v/>
      </c>
      <c r="L336" s="4" t="str">
        <f>IF($A336&lt;&gt;"",'All Cases - Enter Cases'!L336,"")</f>
        <v/>
      </c>
      <c r="M336" t="str">
        <f>IF($A336&lt;&gt;"",'All Cases - Enter Cases'!M336,"")</f>
        <v/>
      </c>
    </row>
    <row r="337" spans="1:13" x14ac:dyDescent="0.35">
      <c r="A337" s="4" t="str">
        <f>IF('All Cases - Enter Cases'!$F337="Punjab",'All Cases - Enter Cases'!A337,"")</f>
        <v/>
      </c>
      <c r="B337" t="str">
        <f>IF($A337&lt;&gt;"",'All Cases - Enter Cases'!B337,"")</f>
        <v/>
      </c>
      <c r="C337" t="str">
        <f>IF($A337&lt;&gt;"",'All Cases - Enter Cases'!C337,"")</f>
        <v/>
      </c>
      <c r="D337" t="str">
        <f>IF($A337&lt;&gt;"",'All Cases - Enter Cases'!D337,"")</f>
        <v/>
      </c>
      <c r="E337" t="str">
        <f>IF($A337&lt;&gt;"",'All Cases - Enter Cases'!E337,"")</f>
        <v/>
      </c>
      <c r="F337" t="str">
        <f>IF($A337&lt;&gt;"",'All Cases - Enter Cases'!F337,"")</f>
        <v/>
      </c>
      <c r="G337" t="str">
        <f>IF($A337&lt;&gt;"",'All Cases - Enter Cases'!G337,"")</f>
        <v/>
      </c>
      <c r="H337" t="str">
        <f>IF($A337&lt;&gt;"",'All Cases - Enter Cases'!H337,"")</f>
        <v/>
      </c>
      <c r="I337" t="str">
        <f>IF($A337&lt;&gt;"",'All Cases - Enter Cases'!I337,"")</f>
        <v/>
      </c>
      <c r="J337" s="4" t="str">
        <f>IF($A337&lt;&gt;"",'All Cases - Enter Cases'!J337,"")</f>
        <v/>
      </c>
      <c r="K337" s="4" t="str">
        <f>IF($A337&lt;&gt;"",'All Cases - Enter Cases'!K337,"")</f>
        <v/>
      </c>
      <c r="L337" s="4" t="str">
        <f>IF($A337&lt;&gt;"",'All Cases - Enter Cases'!L337,"")</f>
        <v/>
      </c>
      <c r="M337" t="str">
        <f>IF($A337&lt;&gt;"",'All Cases - Enter Cases'!M337,"")</f>
        <v/>
      </c>
    </row>
    <row r="338" spans="1:13" x14ac:dyDescent="0.35">
      <c r="A338" s="4" t="str">
        <f>IF('All Cases - Enter Cases'!$F338="Punjab",'All Cases - Enter Cases'!A338,"")</f>
        <v/>
      </c>
      <c r="B338" t="str">
        <f>IF($A338&lt;&gt;"",'All Cases - Enter Cases'!B338,"")</f>
        <v/>
      </c>
      <c r="C338" t="str">
        <f>IF($A338&lt;&gt;"",'All Cases - Enter Cases'!C338,"")</f>
        <v/>
      </c>
      <c r="D338" t="str">
        <f>IF($A338&lt;&gt;"",'All Cases - Enter Cases'!D338,"")</f>
        <v/>
      </c>
      <c r="E338" t="str">
        <f>IF($A338&lt;&gt;"",'All Cases - Enter Cases'!E338,"")</f>
        <v/>
      </c>
      <c r="F338" t="str">
        <f>IF($A338&lt;&gt;"",'All Cases - Enter Cases'!F338,"")</f>
        <v/>
      </c>
      <c r="G338" t="str">
        <f>IF($A338&lt;&gt;"",'All Cases - Enter Cases'!G338,"")</f>
        <v/>
      </c>
      <c r="H338" t="str">
        <f>IF($A338&lt;&gt;"",'All Cases - Enter Cases'!H338,"")</f>
        <v/>
      </c>
      <c r="I338" t="str">
        <f>IF($A338&lt;&gt;"",'All Cases - Enter Cases'!I338,"")</f>
        <v/>
      </c>
      <c r="J338" s="4" t="str">
        <f>IF($A338&lt;&gt;"",'All Cases - Enter Cases'!J338,"")</f>
        <v/>
      </c>
      <c r="K338" s="4" t="str">
        <f>IF($A338&lt;&gt;"",'All Cases - Enter Cases'!K338,"")</f>
        <v/>
      </c>
      <c r="L338" s="4" t="str">
        <f>IF($A338&lt;&gt;"",'All Cases - Enter Cases'!L338,"")</f>
        <v/>
      </c>
      <c r="M338" t="str">
        <f>IF($A338&lt;&gt;"",'All Cases - Enter Cases'!M338,"")</f>
        <v/>
      </c>
    </row>
    <row r="339" spans="1:13" x14ac:dyDescent="0.35">
      <c r="A339" s="4" t="str">
        <f>IF('All Cases - Enter Cases'!$F339="Punjab",'All Cases - Enter Cases'!A339,"")</f>
        <v/>
      </c>
      <c r="B339" t="str">
        <f>IF($A339&lt;&gt;"",'All Cases - Enter Cases'!B339,"")</f>
        <v/>
      </c>
      <c r="C339" t="str">
        <f>IF($A339&lt;&gt;"",'All Cases - Enter Cases'!C339,"")</f>
        <v/>
      </c>
      <c r="D339" t="str">
        <f>IF($A339&lt;&gt;"",'All Cases - Enter Cases'!D339,"")</f>
        <v/>
      </c>
      <c r="E339" t="str">
        <f>IF($A339&lt;&gt;"",'All Cases - Enter Cases'!E339,"")</f>
        <v/>
      </c>
      <c r="F339" t="str">
        <f>IF($A339&lt;&gt;"",'All Cases - Enter Cases'!F339,"")</f>
        <v/>
      </c>
      <c r="G339" t="str">
        <f>IF($A339&lt;&gt;"",'All Cases - Enter Cases'!G339,"")</f>
        <v/>
      </c>
      <c r="H339" t="str">
        <f>IF($A339&lt;&gt;"",'All Cases - Enter Cases'!H339,"")</f>
        <v/>
      </c>
      <c r="I339" t="str">
        <f>IF($A339&lt;&gt;"",'All Cases - Enter Cases'!I339,"")</f>
        <v/>
      </c>
      <c r="J339" s="4" t="str">
        <f>IF($A339&lt;&gt;"",'All Cases - Enter Cases'!J339,"")</f>
        <v/>
      </c>
      <c r="K339" s="4" t="str">
        <f>IF($A339&lt;&gt;"",'All Cases - Enter Cases'!K339,"")</f>
        <v/>
      </c>
      <c r="L339" s="4" t="str">
        <f>IF($A339&lt;&gt;"",'All Cases - Enter Cases'!L339,"")</f>
        <v/>
      </c>
      <c r="M339" t="str">
        <f>IF($A339&lt;&gt;"",'All Cases - Enter Cases'!M339,"")</f>
        <v/>
      </c>
    </row>
    <row r="340" spans="1:13" x14ac:dyDescent="0.35">
      <c r="A340" s="4" t="str">
        <f>IF('All Cases - Enter Cases'!$F340="Punjab",'All Cases - Enter Cases'!A340,"")</f>
        <v/>
      </c>
      <c r="B340" t="str">
        <f>IF($A340&lt;&gt;"",'All Cases - Enter Cases'!B340,"")</f>
        <v/>
      </c>
      <c r="C340" t="str">
        <f>IF($A340&lt;&gt;"",'All Cases - Enter Cases'!C340,"")</f>
        <v/>
      </c>
      <c r="D340" t="str">
        <f>IF($A340&lt;&gt;"",'All Cases - Enter Cases'!D340,"")</f>
        <v/>
      </c>
      <c r="E340" t="str">
        <f>IF($A340&lt;&gt;"",'All Cases - Enter Cases'!E340,"")</f>
        <v/>
      </c>
      <c r="F340" t="str">
        <f>IF($A340&lt;&gt;"",'All Cases - Enter Cases'!F340,"")</f>
        <v/>
      </c>
      <c r="G340" t="str">
        <f>IF($A340&lt;&gt;"",'All Cases - Enter Cases'!G340,"")</f>
        <v/>
      </c>
      <c r="H340" t="str">
        <f>IF($A340&lt;&gt;"",'All Cases - Enter Cases'!H340,"")</f>
        <v/>
      </c>
      <c r="I340" t="str">
        <f>IF($A340&lt;&gt;"",'All Cases - Enter Cases'!I340,"")</f>
        <v/>
      </c>
      <c r="J340" s="4" t="str">
        <f>IF($A340&lt;&gt;"",'All Cases - Enter Cases'!J340,"")</f>
        <v/>
      </c>
      <c r="K340" s="4" t="str">
        <f>IF($A340&lt;&gt;"",'All Cases - Enter Cases'!K340,"")</f>
        <v/>
      </c>
      <c r="L340" s="4" t="str">
        <f>IF($A340&lt;&gt;"",'All Cases - Enter Cases'!L340,"")</f>
        <v/>
      </c>
      <c r="M340" t="str">
        <f>IF($A340&lt;&gt;"",'All Cases - Enter Cases'!M340,"")</f>
        <v/>
      </c>
    </row>
    <row r="341" spans="1:13" x14ac:dyDescent="0.35">
      <c r="A341" s="4" t="str">
        <f>IF('All Cases - Enter Cases'!$F341="Punjab",'All Cases - Enter Cases'!A341,"")</f>
        <v/>
      </c>
      <c r="B341" t="str">
        <f>IF($A341&lt;&gt;"",'All Cases - Enter Cases'!B341,"")</f>
        <v/>
      </c>
      <c r="C341" t="str">
        <f>IF($A341&lt;&gt;"",'All Cases - Enter Cases'!C341,"")</f>
        <v/>
      </c>
      <c r="D341" t="str">
        <f>IF($A341&lt;&gt;"",'All Cases - Enter Cases'!D341,"")</f>
        <v/>
      </c>
      <c r="E341" t="str">
        <f>IF($A341&lt;&gt;"",'All Cases - Enter Cases'!E341,"")</f>
        <v/>
      </c>
      <c r="F341" t="str">
        <f>IF($A341&lt;&gt;"",'All Cases - Enter Cases'!F341,"")</f>
        <v/>
      </c>
      <c r="G341" t="str">
        <f>IF($A341&lt;&gt;"",'All Cases - Enter Cases'!G341,"")</f>
        <v/>
      </c>
      <c r="H341" t="str">
        <f>IF($A341&lt;&gt;"",'All Cases - Enter Cases'!H341,"")</f>
        <v/>
      </c>
      <c r="I341" t="str">
        <f>IF($A341&lt;&gt;"",'All Cases - Enter Cases'!I341,"")</f>
        <v/>
      </c>
      <c r="J341" s="4" t="str">
        <f>IF($A341&lt;&gt;"",'All Cases - Enter Cases'!J341,"")</f>
        <v/>
      </c>
      <c r="K341" s="4" t="str">
        <f>IF($A341&lt;&gt;"",'All Cases - Enter Cases'!K341,"")</f>
        <v/>
      </c>
      <c r="L341" s="4" t="str">
        <f>IF($A341&lt;&gt;"",'All Cases - Enter Cases'!L341,"")</f>
        <v/>
      </c>
      <c r="M341" t="str">
        <f>IF($A341&lt;&gt;"",'All Cases - Enter Cases'!M341,"")</f>
        <v/>
      </c>
    </row>
    <row r="342" spans="1:13" x14ac:dyDescent="0.35">
      <c r="A342" s="4" t="str">
        <f>IF('All Cases - Enter Cases'!$F342="Punjab",'All Cases - Enter Cases'!A342,"")</f>
        <v/>
      </c>
      <c r="B342" t="str">
        <f>IF($A342&lt;&gt;"",'All Cases - Enter Cases'!B342,"")</f>
        <v/>
      </c>
      <c r="C342" t="str">
        <f>IF($A342&lt;&gt;"",'All Cases - Enter Cases'!C342,"")</f>
        <v/>
      </c>
      <c r="D342" t="str">
        <f>IF($A342&lt;&gt;"",'All Cases - Enter Cases'!D342,"")</f>
        <v/>
      </c>
      <c r="E342" t="str">
        <f>IF($A342&lt;&gt;"",'All Cases - Enter Cases'!E342,"")</f>
        <v/>
      </c>
      <c r="F342" t="str">
        <f>IF($A342&lt;&gt;"",'All Cases - Enter Cases'!F342,"")</f>
        <v/>
      </c>
      <c r="G342" t="str">
        <f>IF($A342&lt;&gt;"",'All Cases - Enter Cases'!G342,"")</f>
        <v/>
      </c>
      <c r="H342" t="str">
        <f>IF($A342&lt;&gt;"",'All Cases - Enter Cases'!H342,"")</f>
        <v/>
      </c>
      <c r="I342" t="str">
        <f>IF($A342&lt;&gt;"",'All Cases - Enter Cases'!I342,"")</f>
        <v/>
      </c>
      <c r="J342" s="4" t="str">
        <f>IF($A342&lt;&gt;"",'All Cases - Enter Cases'!J342,"")</f>
        <v/>
      </c>
      <c r="K342" s="4" t="str">
        <f>IF($A342&lt;&gt;"",'All Cases - Enter Cases'!K342,"")</f>
        <v/>
      </c>
      <c r="L342" s="4" t="str">
        <f>IF($A342&lt;&gt;"",'All Cases - Enter Cases'!L342,"")</f>
        <v/>
      </c>
      <c r="M342" t="str">
        <f>IF($A342&lt;&gt;"",'All Cases - Enter Cases'!M342,"")</f>
        <v/>
      </c>
    </row>
    <row r="343" spans="1:13" x14ac:dyDescent="0.35">
      <c r="A343" s="4" t="str">
        <f>IF('All Cases - Enter Cases'!$F343="Punjab",'All Cases - Enter Cases'!A343,"")</f>
        <v/>
      </c>
      <c r="B343" t="str">
        <f>IF($A343&lt;&gt;"",'All Cases - Enter Cases'!B343,"")</f>
        <v/>
      </c>
      <c r="C343" t="str">
        <f>IF($A343&lt;&gt;"",'All Cases - Enter Cases'!C343,"")</f>
        <v/>
      </c>
      <c r="D343" t="str">
        <f>IF($A343&lt;&gt;"",'All Cases - Enter Cases'!D343,"")</f>
        <v/>
      </c>
      <c r="E343" t="str">
        <f>IF($A343&lt;&gt;"",'All Cases - Enter Cases'!E343,"")</f>
        <v/>
      </c>
      <c r="F343" t="str">
        <f>IF($A343&lt;&gt;"",'All Cases - Enter Cases'!F343,"")</f>
        <v/>
      </c>
      <c r="G343" t="str">
        <f>IF($A343&lt;&gt;"",'All Cases - Enter Cases'!G343,"")</f>
        <v/>
      </c>
      <c r="H343" t="str">
        <f>IF($A343&lt;&gt;"",'All Cases - Enter Cases'!H343,"")</f>
        <v/>
      </c>
      <c r="I343" t="str">
        <f>IF($A343&lt;&gt;"",'All Cases - Enter Cases'!I343,"")</f>
        <v/>
      </c>
      <c r="J343" s="4" t="str">
        <f>IF($A343&lt;&gt;"",'All Cases - Enter Cases'!J343,"")</f>
        <v/>
      </c>
      <c r="K343" s="4" t="str">
        <f>IF($A343&lt;&gt;"",'All Cases - Enter Cases'!K343,"")</f>
        <v/>
      </c>
      <c r="L343" s="4" t="str">
        <f>IF($A343&lt;&gt;"",'All Cases - Enter Cases'!L343,"")</f>
        <v/>
      </c>
      <c r="M343" t="str">
        <f>IF($A343&lt;&gt;"",'All Cases - Enter Cases'!M343,"")</f>
        <v/>
      </c>
    </row>
    <row r="344" spans="1:13" x14ac:dyDescent="0.35">
      <c r="A344" s="4" t="str">
        <f>IF('All Cases - Enter Cases'!$F344="Punjab",'All Cases - Enter Cases'!A344,"")</f>
        <v/>
      </c>
      <c r="B344" t="str">
        <f>IF($A344&lt;&gt;"",'All Cases - Enter Cases'!B344,"")</f>
        <v/>
      </c>
      <c r="C344" t="str">
        <f>IF($A344&lt;&gt;"",'All Cases - Enter Cases'!C344,"")</f>
        <v/>
      </c>
      <c r="D344" t="str">
        <f>IF($A344&lt;&gt;"",'All Cases - Enter Cases'!D344,"")</f>
        <v/>
      </c>
      <c r="E344" t="str">
        <f>IF($A344&lt;&gt;"",'All Cases - Enter Cases'!E344,"")</f>
        <v/>
      </c>
      <c r="F344" t="str">
        <f>IF($A344&lt;&gt;"",'All Cases - Enter Cases'!F344,"")</f>
        <v/>
      </c>
      <c r="G344" t="str">
        <f>IF($A344&lt;&gt;"",'All Cases - Enter Cases'!G344,"")</f>
        <v/>
      </c>
      <c r="H344" t="str">
        <f>IF($A344&lt;&gt;"",'All Cases - Enter Cases'!H344,"")</f>
        <v/>
      </c>
      <c r="I344" t="str">
        <f>IF($A344&lt;&gt;"",'All Cases - Enter Cases'!I344,"")</f>
        <v/>
      </c>
      <c r="J344" s="4" t="str">
        <f>IF($A344&lt;&gt;"",'All Cases - Enter Cases'!J344,"")</f>
        <v/>
      </c>
      <c r="K344" s="4" t="str">
        <f>IF($A344&lt;&gt;"",'All Cases - Enter Cases'!K344,"")</f>
        <v/>
      </c>
      <c r="L344" s="4" t="str">
        <f>IF($A344&lt;&gt;"",'All Cases - Enter Cases'!L344,"")</f>
        <v/>
      </c>
      <c r="M344" t="str">
        <f>IF($A344&lt;&gt;"",'All Cases - Enter Cases'!M344,"")</f>
        <v/>
      </c>
    </row>
    <row r="345" spans="1:13" x14ac:dyDescent="0.35">
      <c r="A345" s="4" t="str">
        <f>IF('All Cases - Enter Cases'!$F345="Punjab",'All Cases - Enter Cases'!A345,"")</f>
        <v/>
      </c>
      <c r="B345" t="str">
        <f>IF($A345&lt;&gt;"",'All Cases - Enter Cases'!B345,"")</f>
        <v/>
      </c>
      <c r="C345" t="str">
        <f>IF($A345&lt;&gt;"",'All Cases - Enter Cases'!C345,"")</f>
        <v/>
      </c>
      <c r="D345" t="str">
        <f>IF($A345&lt;&gt;"",'All Cases - Enter Cases'!D345,"")</f>
        <v/>
      </c>
      <c r="E345" t="str">
        <f>IF($A345&lt;&gt;"",'All Cases - Enter Cases'!E345,"")</f>
        <v/>
      </c>
      <c r="F345" t="str">
        <f>IF($A345&lt;&gt;"",'All Cases - Enter Cases'!F345,"")</f>
        <v/>
      </c>
      <c r="G345" t="str">
        <f>IF($A345&lt;&gt;"",'All Cases - Enter Cases'!G345,"")</f>
        <v/>
      </c>
      <c r="H345" t="str">
        <f>IF($A345&lt;&gt;"",'All Cases - Enter Cases'!H345,"")</f>
        <v/>
      </c>
      <c r="I345" t="str">
        <f>IF($A345&lt;&gt;"",'All Cases - Enter Cases'!I345,"")</f>
        <v/>
      </c>
      <c r="J345" s="4" t="str">
        <f>IF($A345&lt;&gt;"",'All Cases - Enter Cases'!J345,"")</f>
        <v/>
      </c>
      <c r="K345" s="4" t="str">
        <f>IF($A345&lt;&gt;"",'All Cases - Enter Cases'!K345,"")</f>
        <v/>
      </c>
      <c r="L345" s="4" t="str">
        <f>IF($A345&lt;&gt;"",'All Cases - Enter Cases'!L345,"")</f>
        <v/>
      </c>
      <c r="M345" t="str">
        <f>IF($A345&lt;&gt;"",'All Cases - Enter Cases'!M345,"")</f>
        <v/>
      </c>
    </row>
    <row r="346" spans="1:13" x14ac:dyDescent="0.35">
      <c r="A346" s="4" t="str">
        <f>IF('All Cases - Enter Cases'!$F346="Punjab",'All Cases - Enter Cases'!A346,"")</f>
        <v/>
      </c>
      <c r="B346" t="str">
        <f>IF($A346&lt;&gt;"",'All Cases - Enter Cases'!B346,"")</f>
        <v/>
      </c>
      <c r="C346" t="str">
        <f>IF($A346&lt;&gt;"",'All Cases - Enter Cases'!C346,"")</f>
        <v/>
      </c>
      <c r="D346" t="str">
        <f>IF($A346&lt;&gt;"",'All Cases - Enter Cases'!D346,"")</f>
        <v/>
      </c>
      <c r="E346" t="str">
        <f>IF($A346&lt;&gt;"",'All Cases - Enter Cases'!E346,"")</f>
        <v/>
      </c>
      <c r="F346" t="str">
        <f>IF($A346&lt;&gt;"",'All Cases - Enter Cases'!F346,"")</f>
        <v/>
      </c>
      <c r="G346" t="str">
        <f>IF($A346&lt;&gt;"",'All Cases - Enter Cases'!G346,"")</f>
        <v/>
      </c>
      <c r="H346" t="str">
        <f>IF($A346&lt;&gt;"",'All Cases - Enter Cases'!H346,"")</f>
        <v/>
      </c>
      <c r="I346" t="str">
        <f>IF($A346&lt;&gt;"",'All Cases - Enter Cases'!I346,"")</f>
        <v/>
      </c>
      <c r="J346" s="4" t="str">
        <f>IF($A346&lt;&gt;"",'All Cases - Enter Cases'!J346,"")</f>
        <v/>
      </c>
      <c r="K346" s="4" t="str">
        <f>IF($A346&lt;&gt;"",'All Cases - Enter Cases'!K346,"")</f>
        <v/>
      </c>
      <c r="L346" s="4" t="str">
        <f>IF($A346&lt;&gt;"",'All Cases - Enter Cases'!L346,"")</f>
        <v/>
      </c>
      <c r="M346" t="str">
        <f>IF($A346&lt;&gt;"",'All Cases - Enter Cases'!M346,"")</f>
        <v/>
      </c>
    </row>
    <row r="347" spans="1:13" x14ac:dyDescent="0.35">
      <c r="A347" s="4" t="str">
        <f>IF('All Cases - Enter Cases'!$F347="Punjab",'All Cases - Enter Cases'!A347,"")</f>
        <v/>
      </c>
      <c r="B347" t="str">
        <f>IF($A347&lt;&gt;"",'All Cases - Enter Cases'!B347,"")</f>
        <v/>
      </c>
      <c r="C347" t="str">
        <f>IF($A347&lt;&gt;"",'All Cases - Enter Cases'!C347,"")</f>
        <v/>
      </c>
      <c r="D347" t="str">
        <f>IF($A347&lt;&gt;"",'All Cases - Enter Cases'!D347,"")</f>
        <v/>
      </c>
      <c r="E347" t="str">
        <f>IF($A347&lt;&gt;"",'All Cases - Enter Cases'!E347,"")</f>
        <v/>
      </c>
      <c r="F347" t="str">
        <f>IF($A347&lt;&gt;"",'All Cases - Enter Cases'!F347,"")</f>
        <v/>
      </c>
      <c r="G347" t="str">
        <f>IF($A347&lt;&gt;"",'All Cases - Enter Cases'!G347,"")</f>
        <v/>
      </c>
      <c r="H347" t="str">
        <f>IF($A347&lt;&gt;"",'All Cases - Enter Cases'!H347,"")</f>
        <v/>
      </c>
      <c r="I347" t="str">
        <f>IF($A347&lt;&gt;"",'All Cases - Enter Cases'!I347,"")</f>
        <v/>
      </c>
      <c r="J347" s="4" t="str">
        <f>IF($A347&lt;&gt;"",'All Cases - Enter Cases'!J347,"")</f>
        <v/>
      </c>
      <c r="K347" s="4" t="str">
        <f>IF($A347&lt;&gt;"",'All Cases - Enter Cases'!K347,"")</f>
        <v/>
      </c>
      <c r="L347" s="4" t="str">
        <f>IF($A347&lt;&gt;"",'All Cases - Enter Cases'!L347,"")</f>
        <v/>
      </c>
      <c r="M347" t="str">
        <f>IF($A347&lt;&gt;"",'All Cases - Enter Cases'!M347,"")</f>
        <v/>
      </c>
    </row>
    <row r="348" spans="1:13" x14ac:dyDescent="0.35">
      <c r="A348" s="4" t="str">
        <f>IF('All Cases - Enter Cases'!$F348="Punjab",'All Cases - Enter Cases'!A348,"")</f>
        <v/>
      </c>
      <c r="B348" t="str">
        <f>IF($A348&lt;&gt;"",'All Cases - Enter Cases'!B348,"")</f>
        <v/>
      </c>
      <c r="C348" t="str">
        <f>IF($A348&lt;&gt;"",'All Cases - Enter Cases'!C348,"")</f>
        <v/>
      </c>
      <c r="D348" t="str">
        <f>IF($A348&lt;&gt;"",'All Cases - Enter Cases'!D348,"")</f>
        <v/>
      </c>
      <c r="E348" t="str">
        <f>IF($A348&lt;&gt;"",'All Cases - Enter Cases'!E348,"")</f>
        <v/>
      </c>
      <c r="F348" t="str">
        <f>IF($A348&lt;&gt;"",'All Cases - Enter Cases'!F348,"")</f>
        <v/>
      </c>
      <c r="G348" t="str">
        <f>IF($A348&lt;&gt;"",'All Cases - Enter Cases'!G348,"")</f>
        <v/>
      </c>
      <c r="H348" t="str">
        <f>IF($A348&lt;&gt;"",'All Cases - Enter Cases'!H348,"")</f>
        <v/>
      </c>
      <c r="I348" t="str">
        <f>IF($A348&lt;&gt;"",'All Cases - Enter Cases'!I348,"")</f>
        <v/>
      </c>
      <c r="J348" s="4" t="str">
        <f>IF($A348&lt;&gt;"",'All Cases - Enter Cases'!J348,"")</f>
        <v/>
      </c>
      <c r="K348" s="4" t="str">
        <f>IF($A348&lt;&gt;"",'All Cases - Enter Cases'!K348,"")</f>
        <v/>
      </c>
      <c r="L348" s="4" t="str">
        <f>IF($A348&lt;&gt;"",'All Cases - Enter Cases'!L348,"")</f>
        <v/>
      </c>
      <c r="M348" t="str">
        <f>IF($A348&lt;&gt;"",'All Cases - Enter Cases'!M348,"")</f>
        <v/>
      </c>
    </row>
    <row r="349" spans="1:13" x14ac:dyDescent="0.35">
      <c r="A349" s="4" t="str">
        <f>IF('All Cases - Enter Cases'!$F349="Punjab",'All Cases - Enter Cases'!A349,"")</f>
        <v/>
      </c>
      <c r="B349" t="str">
        <f>IF($A349&lt;&gt;"",'All Cases - Enter Cases'!B349,"")</f>
        <v/>
      </c>
      <c r="C349" t="str">
        <f>IF($A349&lt;&gt;"",'All Cases - Enter Cases'!C349,"")</f>
        <v/>
      </c>
      <c r="D349" t="str">
        <f>IF($A349&lt;&gt;"",'All Cases - Enter Cases'!D349,"")</f>
        <v/>
      </c>
      <c r="E349" t="str">
        <f>IF($A349&lt;&gt;"",'All Cases - Enter Cases'!E349,"")</f>
        <v/>
      </c>
      <c r="F349" t="str">
        <f>IF($A349&lt;&gt;"",'All Cases - Enter Cases'!F349,"")</f>
        <v/>
      </c>
      <c r="G349" t="str">
        <f>IF($A349&lt;&gt;"",'All Cases - Enter Cases'!G349,"")</f>
        <v/>
      </c>
      <c r="H349" t="str">
        <f>IF($A349&lt;&gt;"",'All Cases - Enter Cases'!H349,"")</f>
        <v/>
      </c>
      <c r="I349" t="str">
        <f>IF($A349&lt;&gt;"",'All Cases - Enter Cases'!I349,"")</f>
        <v/>
      </c>
      <c r="J349" s="4" t="str">
        <f>IF($A349&lt;&gt;"",'All Cases - Enter Cases'!J349,"")</f>
        <v/>
      </c>
      <c r="K349" s="4" t="str">
        <f>IF($A349&lt;&gt;"",'All Cases - Enter Cases'!K349,"")</f>
        <v/>
      </c>
      <c r="L349" s="4" t="str">
        <f>IF($A349&lt;&gt;"",'All Cases - Enter Cases'!L349,"")</f>
        <v/>
      </c>
      <c r="M349" t="str">
        <f>IF($A349&lt;&gt;"",'All Cases - Enter Cases'!M349,"")</f>
        <v/>
      </c>
    </row>
    <row r="350" spans="1:13" x14ac:dyDescent="0.35">
      <c r="A350" s="4" t="str">
        <f>IF('All Cases - Enter Cases'!$F350="Punjab",'All Cases - Enter Cases'!A350,"")</f>
        <v/>
      </c>
      <c r="B350" t="str">
        <f>IF($A350&lt;&gt;"",'All Cases - Enter Cases'!B350,"")</f>
        <v/>
      </c>
      <c r="C350" t="str">
        <f>IF($A350&lt;&gt;"",'All Cases - Enter Cases'!C350,"")</f>
        <v/>
      </c>
      <c r="D350" t="str">
        <f>IF($A350&lt;&gt;"",'All Cases - Enter Cases'!D350,"")</f>
        <v/>
      </c>
      <c r="E350" t="str">
        <f>IF($A350&lt;&gt;"",'All Cases - Enter Cases'!E350,"")</f>
        <v/>
      </c>
      <c r="F350" t="str">
        <f>IF($A350&lt;&gt;"",'All Cases - Enter Cases'!F350,"")</f>
        <v/>
      </c>
      <c r="G350" t="str">
        <f>IF($A350&lt;&gt;"",'All Cases - Enter Cases'!G350,"")</f>
        <v/>
      </c>
      <c r="H350" t="str">
        <f>IF($A350&lt;&gt;"",'All Cases - Enter Cases'!H350,"")</f>
        <v/>
      </c>
      <c r="I350" t="str">
        <f>IF($A350&lt;&gt;"",'All Cases - Enter Cases'!I350,"")</f>
        <v/>
      </c>
      <c r="J350" s="4" t="str">
        <f>IF($A350&lt;&gt;"",'All Cases - Enter Cases'!J350,"")</f>
        <v/>
      </c>
      <c r="K350" s="4" t="str">
        <f>IF($A350&lt;&gt;"",'All Cases - Enter Cases'!K350,"")</f>
        <v/>
      </c>
      <c r="L350" s="4" t="str">
        <f>IF($A350&lt;&gt;"",'All Cases - Enter Cases'!L350,"")</f>
        <v/>
      </c>
      <c r="M350" t="str">
        <f>IF($A350&lt;&gt;"",'All Cases - Enter Cases'!M350,"")</f>
        <v/>
      </c>
    </row>
    <row r="351" spans="1:13" x14ac:dyDescent="0.35">
      <c r="A351" s="4" t="str">
        <f>IF('All Cases - Enter Cases'!$F351="Punjab",'All Cases - Enter Cases'!A351,"")</f>
        <v/>
      </c>
      <c r="B351" t="str">
        <f>IF($A351&lt;&gt;"",'All Cases - Enter Cases'!B351,"")</f>
        <v/>
      </c>
      <c r="C351" t="str">
        <f>IF($A351&lt;&gt;"",'All Cases - Enter Cases'!C351,"")</f>
        <v/>
      </c>
      <c r="D351" t="str">
        <f>IF($A351&lt;&gt;"",'All Cases - Enter Cases'!D351,"")</f>
        <v/>
      </c>
      <c r="E351" t="str">
        <f>IF($A351&lt;&gt;"",'All Cases - Enter Cases'!E351,"")</f>
        <v/>
      </c>
      <c r="F351" t="str">
        <f>IF($A351&lt;&gt;"",'All Cases - Enter Cases'!F351,"")</f>
        <v/>
      </c>
      <c r="G351" t="str">
        <f>IF($A351&lt;&gt;"",'All Cases - Enter Cases'!G351,"")</f>
        <v/>
      </c>
      <c r="H351" t="str">
        <f>IF($A351&lt;&gt;"",'All Cases - Enter Cases'!H351,"")</f>
        <v/>
      </c>
      <c r="I351" t="str">
        <f>IF($A351&lt;&gt;"",'All Cases - Enter Cases'!I351,"")</f>
        <v/>
      </c>
      <c r="J351" s="4" t="str">
        <f>IF($A351&lt;&gt;"",'All Cases - Enter Cases'!J351,"")</f>
        <v/>
      </c>
      <c r="K351" s="4" t="str">
        <f>IF($A351&lt;&gt;"",'All Cases - Enter Cases'!K351,"")</f>
        <v/>
      </c>
      <c r="L351" s="4" t="str">
        <f>IF($A351&lt;&gt;"",'All Cases - Enter Cases'!L351,"")</f>
        <v/>
      </c>
      <c r="M351" t="str">
        <f>IF($A351&lt;&gt;"",'All Cases - Enter Cases'!M351,"")</f>
        <v/>
      </c>
    </row>
    <row r="352" spans="1:13" x14ac:dyDescent="0.35">
      <c r="A352" s="4" t="str">
        <f>IF('All Cases - Enter Cases'!$F352="Punjab",'All Cases - Enter Cases'!A352,"")</f>
        <v/>
      </c>
      <c r="B352" t="str">
        <f>IF($A352&lt;&gt;"",'All Cases - Enter Cases'!B352,"")</f>
        <v/>
      </c>
      <c r="C352" t="str">
        <f>IF($A352&lt;&gt;"",'All Cases - Enter Cases'!C352,"")</f>
        <v/>
      </c>
      <c r="D352" t="str">
        <f>IF($A352&lt;&gt;"",'All Cases - Enter Cases'!D352,"")</f>
        <v/>
      </c>
      <c r="E352" t="str">
        <f>IF($A352&lt;&gt;"",'All Cases - Enter Cases'!E352,"")</f>
        <v/>
      </c>
      <c r="F352" t="str">
        <f>IF($A352&lt;&gt;"",'All Cases - Enter Cases'!F352,"")</f>
        <v/>
      </c>
      <c r="G352" t="str">
        <f>IF($A352&lt;&gt;"",'All Cases - Enter Cases'!G352,"")</f>
        <v/>
      </c>
      <c r="H352" t="str">
        <f>IF($A352&lt;&gt;"",'All Cases - Enter Cases'!H352,"")</f>
        <v/>
      </c>
      <c r="I352" t="str">
        <f>IF($A352&lt;&gt;"",'All Cases - Enter Cases'!I352,"")</f>
        <v/>
      </c>
      <c r="J352" s="4" t="str">
        <f>IF($A352&lt;&gt;"",'All Cases - Enter Cases'!J352,"")</f>
        <v/>
      </c>
      <c r="K352" s="4" t="str">
        <f>IF($A352&lt;&gt;"",'All Cases - Enter Cases'!K352,"")</f>
        <v/>
      </c>
      <c r="L352" s="4" t="str">
        <f>IF($A352&lt;&gt;"",'All Cases - Enter Cases'!L352,"")</f>
        <v/>
      </c>
      <c r="M352" t="str">
        <f>IF($A352&lt;&gt;"",'All Cases - Enter Cases'!M352,"")</f>
        <v/>
      </c>
    </row>
    <row r="353" spans="1:13" x14ac:dyDescent="0.35">
      <c r="A353" s="4" t="str">
        <f>IF('All Cases - Enter Cases'!$F353="Punjab",'All Cases - Enter Cases'!A353,"")</f>
        <v/>
      </c>
      <c r="B353" t="str">
        <f>IF($A353&lt;&gt;"",'All Cases - Enter Cases'!B353,"")</f>
        <v/>
      </c>
      <c r="C353" t="str">
        <f>IF($A353&lt;&gt;"",'All Cases - Enter Cases'!C353,"")</f>
        <v/>
      </c>
      <c r="D353" t="str">
        <f>IF($A353&lt;&gt;"",'All Cases - Enter Cases'!D353,"")</f>
        <v/>
      </c>
      <c r="E353" t="str">
        <f>IF($A353&lt;&gt;"",'All Cases - Enter Cases'!E353,"")</f>
        <v/>
      </c>
      <c r="F353" t="str">
        <f>IF($A353&lt;&gt;"",'All Cases - Enter Cases'!F353,"")</f>
        <v/>
      </c>
      <c r="G353" t="str">
        <f>IF($A353&lt;&gt;"",'All Cases - Enter Cases'!G353,"")</f>
        <v/>
      </c>
      <c r="H353" t="str">
        <f>IF($A353&lt;&gt;"",'All Cases - Enter Cases'!H353,"")</f>
        <v/>
      </c>
      <c r="I353" t="str">
        <f>IF($A353&lt;&gt;"",'All Cases - Enter Cases'!I353,"")</f>
        <v/>
      </c>
      <c r="J353" s="4" t="str">
        <f>IF($A353&lt;&gt;"",'All Cases - Enter Cases'!J353,"")</f>
        <v/>
      </c>
      <c r="K353" s="4" t="str">
        <f>IF($A353&lt;&gt;"",'All Cases - Enter Cases'!K353,"")</f>
        <v/>
      </c>
      <c r="L353" s="4" t="str">
        <f>IF($A353&lt;&gt;"",'All Cases - Enter Cases'!L353,"")</f>
        <v/>
      </c>
      <c r="M353" t="str">
        <f>IF($A353&lt;&gt;"",'All Cases - Enter Cases'!M353,"")</f>
        <v/>
      </c>
    </row>
    <row r="354" spans="1:13" x14ac:dyDescent="0.35">
      <c r="A354" s="4" t="str">
        <f>IF('All Cases - Enter Cases'!$F354="Punjab",'All Cases - Enter Cases'!A354,"")</f>
        <v/>
      </c>
      <c r="B354" t="str">
        <f>IF($A354&lt;&gt;"",'All Cases - Enter Cases'!B354,"")</f>
        <v/>
      </c>
      <c r="C354" t="str">
        <f>IF($A354&lt;&gt;"",'All Cases - Enter Cases'!C354,"")</f>
        <v/>
      </c>
      <c r="D354" t="str">
        <f>IF($A354&lt;&gt;"",'All Cases - Enter Cases'!D354,"")</f>
        <v/>
      </c>
      <c r="E354" t="str">
        <f>IF($A354&lt;&gt;"",'All Cases - Enter Cases'!E354,"")</f>
        <v/>
      </c>
      <c r="F354" t="str">
        <f>IF($A354&lt;&gt;"",'All Cases - Enter Cases'!F354,"")</f>
        <v/>
      </c>
      <c r="G354" t="str">
        <f>IF($A354&lt;&gt;"",'All Cases - Enter Cases'!G354,"")</f>
        <v/>
      </c>
      <c r="H354" t="str">
        <f>IF($A354&lt;&gt;"",'All Cases - Enter Cases'!H354,"")</f>
        <v/>
      </c>
      <c r="I354" t="str">
        <f>IF($A354&lt;&gt;"",'All Cases - Enter Cases'!I354,"")</f>
        <v/>
      </c>
      <c r="J354" s="4" t="str">
        <f>IF($A354&lt;&gt;"",'All Cases - Enter Cases'!J354,"")</f>
        <v/>
      </c>
      <c r="K354" s="4" t="str">
        <f>IF($A354&lt;&gt;"",'All Cases - Enter Cases'!K354,"")</f>
        <v/>
      </c>
      <c r="L354" s="4" t="str">
        <f>IF($A354&lt;&gt;"",'All Cases - Enter Cases'!L354,"")</f>
        <v/>
      </c>
      <c r="M354" t="str">
        <f>IF($A354&lt;&gt;"",'All Cases - Enter Cases'!M354,"")</f>
        <v/>
      </c>
    </row>
    <row r="355" spans="1:13" x14ac:dyDescent="0.35">
      <c r="A355" s="4" t="str">
        <f>IF('All Cases - Enter Cases'!$F355="Punjab",'All Cases - Enter Cases'!A355,"")</f>
        <v/>
      </c>
      <c r="B355" t="str">
        <f>IF($A355&lt;&gt;"",'All Cases - Enter Cases'!B355,"")</f>
        <v/>
      </c>
      <c r="C355" t="str">
        <f>IF($A355&lt;&gt;"",'All Cases - Enter Cases'!C355,"")</f>
        <v/>
      </c>
      <c r="D355" t="str">
        <f>IF($A355&lt;&gt;"",'All Cases - Enter Cases'!D355,"")</f>
        <v/>
      </c>
      <c r="E355" t="str">
        <f>IF($A355&lt;&gt;"",'All Cases - Enter Cases'!E355,"")</f>
        <v/>
      </c>
      <c r="F355" t="str">
        <f>IF($A355&lt;&gt;"",'All Cases - Enter Cases'!F355,"")</f>
        <v/>
      </c>
      <c r="G355" t="str">
        <f>IF($A355&lt;&gt;"",'All Cases - Enter Cases'!G355,"")</f>
        <v/>
      </c>
      <c r="H355" t="str">
        <f>IF($A355&lt;&gt;"",'All Cases - Enter Cases'!H355,"")</f>
        <v/>
      </c>
      <c r="I355" t="str">
        <f>IF($A355&lt;&gt;"",'All Cases - Enter Cases'!I355,"")</f>
        <v/>
      </c>
      <c r="J355" s="4" t="str">
        <f>IF($A355&lt;&gt;"",'All Cases - Enter Cases'!J355,"")</f>
        <v/>
      </c>
      <c r="K355" s="4" t="str">
        <f>IF($A355&lt;&gt;"",'All Cases - Enter Cases'!K355,"")</f>
        <v/>
      </c>
      <c r="L355" s="4" t="str">
        <f>IF($A355&lt;&gt;"",'All Cases - Enter Cases'!L355,"")</f>
        <v/>
      </c>
      <c r="M355" t="str">
        <f>IF($A355&lt;&gt;"",'All Cases - Enter Cases'!M355,"")</f>
        <v/>
      </c>
    </row>
    <row r="356" spans="1:13" x14ac:dyDescent="0.35">
      <c r="A356" s="4" t="str">
        <f>IF('All Cases - Enter Cases'!$F356="Punjab",'All Cases - Enter Cases'!A356,"")</f>
        <v/>
      </c>
      <c r="B356" t="str">
        <f>IF($A356&lt;&gt;"",'All Cases - Enter Cases'!B356,"")</f>
        <v/>
      </c>
      <c r="C356" t="str">
        <f>IF($A356&lt;&gt;"",'All Cases - Enter Cases'!C356,"")</f>
        <v/>
      </c>
      <c r="D356" t="str">
        <f>IF($A356&lt;&gt;"",'All Cases - Enter Cases'!D356,"")</f>
        <v/>
      </c>
      <c r="E356" t="str">
        <f>IF($A356&lt;&gt;"",'All Cases - Enter Cases'!E356,"")</f>
        <v/>
      </c>
      <c r="F356" t="str">
        <f>IF($A356&lt;&gt;"",'All Cases - Enter Cases'!F356,"")</f>
        <v/>
      </c>
      <c r="G356" t="str">
        <f>IF($A356&lt;&gt;"",'All Cases - Enter Cases'!G356,"")</f>
        <v/>
      </c>
      <c r="H356" t="str">
        <f>IF($A356&lt;&gt;"",'All Cases - Enter Cases'!H356,"")</f>
        <v/>
      </c>
      <c r="I356" t="str">
        <f>IF($A356&lt;&gt;"",'All Cases - Enter Cases'!I356,"")</f>
        <v/>
      </c>
      <c r="J356" s="4" t="str">
        <f>IF($A356&lt;&gt;"",'All Cases - Enter Cases'!J356,"")</f>
        <v/>
      </c>
      <c r="K356" s="4" t="str">
        <f>IF($A356&lt;&gt;"",'All Cases - Enter Cases'!K356,"")</f>
        <v/>
      </c>
      <c r="L356" s="4" t="str">
        <f>IF($A356&lt;&gt;"",'All Cases - Enter Cases'!L356,"")</f>
        <v/>
      </c>
      <c r="M356" t="str">
        <f>IF($A356&lt;&gt;"",'All Cases - Enter Cases'!M356,"")</f>
        <v/>
      </c>
    </row>
    <row r="357" spans="1:13" x14ac:dyDescent="0.35">
      <c r="A357" s="4" t="str">
        <f>IF('All Cases - Enter Cases'!$F357="Punjab",'All Cases - Enter Cases'!A357,"")</f>
        <v/>
      </c>
      <c r="B357" t="str">
        <f>IF($A357&lt;&gt;"",'All Cases - Enter Cases'!B357,"")</f>
        <v/>
      </c>
      <c r="C357" t="str">
        <f>IF($A357&lt;&gt;"",'All Cases - Enter Cases'!C357,"")</f>
        <v/>
      </c>
      <c r="D357" t="str">
        <f>IF($A357&lt;&gt;"",'All Cases - Enter Cases'!D357,"")</f>
        <v/>
      </c>
      <c r="E357" t="str">
        <f>IF($A357&lt;&gt;"",'All Cases - Enter Cases'!E357,"")</f>
        <v/>
      </c>
      <c r="F357" t="str">
        <f>IF($A357&lt;&gt;"",'All Cases - Enter Cases'!F357,"")</f>
        <v/>
      </c>
      <c r="G357" t="str">
        <f>IF($A357&lt;&gt;"",'All Cases - Enter Cases'!G357,"")</f>
        <v/>
      </c>
      <c r="H357" t="str">
        <f>IF($A357&lt;&gt;"",'All Cases - Enter Cases'!H357,"")</f>
        <v/>
      </c>
      <c r="I357" t="str">
        <f>IF($A357&lt;&gt;"",'All Cases - Enter Cases'!I357,"")</f>
        <v/>
      </c>
      <c r="J357" s="4" t="str">
        <f>IF($A357&lt;&gt;"",'All Cases - Enter Cases'!J357,"")</f>
        <v/>
      </c>
      <c r="K357" s="4" t="str">
        <f>IF($A357&lt;&gt;"",'All Cases - Enter Cases'!K357,"")</f>
        <v/>
      </c>
      <c r="L357" s="4" t="str">
        <f>IF($A357&lt;&gt;"",'All Cases - Enter Cases'!L357,"")</f>
        <v/>
      </c>
      <c r="M357" t="str">
        <f>IF($A357&lt;&gt;"",'All Cases - Enter Cases'!M357,"")</f>
        <v/>
      </c>
    </row>
    <row r="358" spans="1:13" x14ac:dyDescent="0.35">
      <c r="A358" s="4" t="str">
        <f>IF('All Cases - Enter Cases'!$F358="Punjab",'All Cases - Enter Cases'!A358,"")</f>
        <v/>
      </c>
      <c r="B358" t="str">
        <f>IF($A358&lt;&gt;"",'All Cases - Enter Cases'!B358,"")</f>
        <v/>
      </c>
      <c r="C358" t="str">
        <f>IF($A358&lt;&gt;"",'All Cases - Enter Cases'!C358,"")</f>
        <v/>
      </c>
      <c r="D358" t="str">
        <f>IF($A358&lt;&gt;"",'All Cases - Enter Cases'!D358,"")</f>
        <v/>
      </c>
      <c r="E358" t="str">
        <f>IF($A358&lt;&gt;"",'All Cases - Enter Cases'!E358,"")</f>
        <v/>
      </c>
      <c r="F358" t="str">
        <f>IF($A358&lt;&gt;"",'All Cases - Enter Cases'!F358,"")</f>
        <v/>
      </c>
      <c r="G358" t="str">
        <f>IF($A358&lt;&gt;"",'All Cases - Enter Cases'!G358,"")</f>
        <v/>
      </c>
      <c r="H358" t="str">
        <f>IF($A358&lt;&gt;"",'All Cases - Enter Cases'!H358,"")</f>
        <v/>
      </c>
      <c r="I358" t="str">
        <f>IF($A358&lt;&gt;"",'All Cases - Enter Cases'!I358,"")</f>
        <v/>
      </c>
      <c r="J358" s="4" t="str">
        <f>IF($A358&lt;&gt;"",'All Cases - Enter Cases'!J358,"")</f>
        <v/>
      </c>
      <c r="K358" s="4" t="str">
        <f>IF($A358&lt;&gt;"",'All Cases - Enter Cases'!K358,"")</f>
        <v/>
      </c>
      <c r="L358" s="4" t="str">
        <f>IF($A358&lt;&gt;"",'All Cases - Enter Cases'!L358,"")</f>
        <v/>
      </c>
      <c r="M358" t="str">
        <f>IF($A358&lt;&gt;"",'All Cases - Enter Cases'!M358,"")</f>
        <v/>
      </c>
    </row>
    <row r="359" spans="1:13" x14ac:dyDescent="0.35">
      <c r="A359" s="4" t="str">
        <f>IF('All Cases - Enter Cases'!$F359="Punjab",'All Cases - Enter Cases'!A359,"")</f>
        <v/>
      </c>
      <c r="B359" t="str">
        <f>IF($A359&lt;&gt;"",'All Cases - Enter Cases'!B359,"")</f>
        <v/>
      </c>
      <c r="C359" t="str">
        <f>IF($A359&lt;&gt;"",'All Cases - Enter Cases'!C359,"")</f>
        <v/>
      </c>
      <c r="D359" t="str">
        <f>IF($A359&lt;&gt;"",'All Cases - Enter Cases'!D359,"")</f>
        <v/>
      </c>
      <c r="E359" t="str">
        <f>IF($A359&lt;&gt;"",'All Cases - Enter Cases'!E359,"")</f>
        <v/>
      </c>
      <c r="F359" t="str">
        <f>IF($A359&lt;&gt;"",'All Cases - Enter Cases'!F359,"")</f>
        <v/>
      </c>
      <c r="G359" t="str">
        <f>IF($A359&lt;&gt;"",'All Cases - Enter Cases'!G359,"")</f>
        <v/>
      </c>
      <c r="H359" t="str">
        <f>IF($A359&lt;&gt;"",'All Cases - Enter Cases'!H359,"")</f>
        <v/>
      </c>
      <c r="I359" t="str">
        <f>IF($A359&lt;&gt;"",'All Cases - Enter Cases'!I359,"")</f>
        <v/>
      </c>
      <c r="J359" s="4" t="str">
        <f>IF($A359&lt;&gt;"",'All Cases - Enter Cases'!J359,"")</f>
        <v/>
      </c>
      <c r="K359" s="4" t="str">
        <f>IF($A359&lt;&gt;"",'All Cases - Enter Cases'!K359,"")</f>
        <v/>
      </c>
      <c r="L359" s="4" t="str">
        <f>IF($A359&lt;&gt;"",'All Cases - Enter Cases'!L359,"")</f>
        <v/>
      </c>
      <c r="M359" t="str">
        <f>IF($A359&lt;&gt;"",'All Cases - Enter Cases'!M359,"")</f>
        <v/>
      </c>
    </row>
    <row r="360" spans="1:13" x14ac:dyDescent="0.35">
      <c r="A360" s="4" t="str">
        <f>IF('All Cases - Enter Cases'!$F360="Punjab",'All Cases - Enter Cases'!A360,"")</f>
        <v/>
      </c>
      <c r="B360" t="str">
        <f>IF($A360&lt;&gt;"",'All Cases - Enter Cases'!B360,"")</f>
        <v/>
      </c>
      <c r="C360" t="str">
        <f>IF($A360&lt;&gt;"",'All Cases - Enter Cases'!C360,"")</f>
        <v/>
      </c>
      <c r="D360" t="str">
        <f>IF($A360&lt;&gt;"",'All Cases - Enter Cases'!D360,"")</f>
        <v/>
      </c>
      <c r="E360" t="str">
        <f>IF($A360&lt;&gt;"",'All Cases - Enter Cases'!E360,"")</f>
        <v/>
      </c>
      <c r="F360" t="str">
        <f>IF($A360&lt;&gt;"",'All Cases - Enter Cases'!F360,"")</f>
        <v/>
      </c>
      <c r="G360" t="str">
        <f>IF($A360&lt;&gt;"",'All Cases - Enter Cases'!G360,"")</f>
        <v/>
      </c>
      <c r="H360" t="str">
        <f>IF($A360&lt;&gt;"",'All Cases - Enter Cases'!H360,"")</f>
        <v/>
      </c>
      <c r="I360" t="str">
        <f>IF($A360&lt;&gt;"",'All Cases - Enter Cases'!I360,"")</f>
        <v/>
      </c>
      <c r="J360" s="4" t="str">
        <f>IF($A360&lt;&gt;"",'All Cases - Enter Cases'!J360,"")</f>
        <v/>
      </c>
      <c r="K360" s="4" t="str">
        <f>IF($A360&lt;&gt;"",'All Cases - Enter Cases'!K360,"")</f>
        <v/>
      </c>
      <c r="L360" s="4" t="str">
        <f>IF($A360&lt;&gt;"",'All Cases - Enter Cases'!L360,"")</f>
        <v/>
      </c>
      <c r="M360" t="str">
        <f>IF($A360&lt;&gt;"",'All Cases - Enter Cases'!M360,"")</f>
        <v/>
      </c>
    </row>
    <row r="361" spans="1:13" x14ac:dyDescent="0.35">
      <c r="A361" s="4" t="str">
        <f>IF('All Cases - Enter Cases'!$F361="Punjab",'All Cases - Enter Cases'!A361,"")</f>
        <v/>
      </c>
      <c r="B361" t="str">
        <f>IF($A361&lt;&gt;"",'All Cases - Enter Cases'!B361,"")</f>
        <v/>
      </c>
      <c r="C361" t="str">
        <f>IF($A361&lt;&gt;"",'All Cases - Enter Cases'!C361,"")</f>
        <v/>
      </c>
      <c r="D361" t="str">
        <f>IF($A361&lt;&gt;"",'All Cases - Enter Cases'!D361,"")</f>
        <v/>
      </c>
      <c r="E361" t="str">
        <f>IF($A361&lt;&gt;"",'All Cases - Enter Cases'!E361,"")</f>
        <v/>
      </c>
      <c r="F361" t="str">
        <f>IF($A361&lt;&gt;"",'All Cases - Enter Cases'!F361,"")</f>
        <v/>
      </c>
      <c r="G361" t="str">
        <f>IF($A361&lt;&gt;"",'All Cases - Enter Cases'!G361,"")</f>
        <v/>
      </c>
      <c r="H361" t="str">
        <f>IF($A361&lt;&gt;"",'All Cases - Enter Cases'!H361,"")</f>
        <v/>
      </c>
      <c r="I361" t="str">
        <f>IF($A361&lt;&gt;"",'All Cases - Enter Cases'!I361,"")</f>
        <v/>
      </c>
      <c r="J361" s="4" t="str">
        <f>IF($A361&lt;&gt;"",'All Cases - Enter Cases'!J361,"")</f>
        <v/>
      </c>
      <c r="K361" s="4" t="str">
        <f>IF($A361&lt;&gt;"",'All Cases - Enter Cases'!K361,"")</f>
        <v/>
      </c>
      <c r="L361" s="4" t="str">
        <f>IF($A361&lt;&gt;"",'All Cases - Enter Cases'!L361,"")</f>
        <v/>
      </c>
      <c r="M361" t="str">
        <f>IF($A361&lt;&gt;"",'All Cases - Enter Cases'!M361,"")</f>
        <v/>
      </c>
    </row>
    <row r="362" spans="1:13" x14ac:dyDescent="0.35">
      <c r="A362" s="4" t="str">
        <f>IF('All Cases - Enter Cases'!$F362="Punjab",'All Cases - Enter Cases'!A362,"")</f>
        <v/>
      </c>
      <c r="B362" t="str">
        <f>IF($A362&lt;&gt;"",'All Cases - Enter Cases'!B362,"")</f>
        <v/>
      </c>
      <c r="C362" t="str">
        <f>IF($A362&lt;&gt;"",'All Cases - Enter Cases'!C362,"")</f>
        <v/>
      </c>
      <c r="D362" t="str">
        <f>IF($A362&lt;&gt;"",'All Cases - Enter Cases'!D362,"")</f>
        <v/>
      </c>
      <c r="E362" t="str">
        <f>IF($A362&lt;&gt;"",'All Cases - Enter Cases'!E362,"")</f>
        <v/>
      </c>
      <c r="F362" t="str">
        <f>IF($A362&lt;&gt;"",'All Cases - Enter Cases'!F362,"")</f>
        <v/>
      </c>
      <c r="G362" t="str">
        <f>IF($A362&lt;&gt;"",'All Cases - Enter Cases'!G362,"")</f>
        <v/>
      </c>
      <c r="H362" t="str">
        <f>IF($A362&lt;&gt;"",'All Cases - Enter Cases'!H362,"")</f>
        <v/>
      </c>
      <c r="I362" t="str">
        <f>IF($A362&lt;&gt;"",'All Cases - Enter Cases'!I362,"")</f>
        <v/>
      </c>
      <c r="J362" s="4" t="str">
        <f>IF($A362&lt;&gt;"",'All Cases - Enter Cases'!J362,"")</f>
        <v/>
      </c>
      <c r="K362" s="4" t="str">
        <f>IF($A362&lt;&gt;"",'All Cases - Enter Cases'!K362,"")</f>
        <v/>
      </c>
      <c r="L362" s="4" t="str">
        <f>IF($A362&lt;&gt;"",'All Cases - Enter Cases'!L362,"")</f>
        <v/>
      </c>
      <c r="M362" t="str">
        <f>IF($A362&lt;&gt;"",'All Cases - Enter Cases'!M362,"")</f>
        <v/>
      </c>
    </row>
    <row r="363" spans="1:13" x14ac:dyDescent="0.35">
      <c r="A363" s="4" t="str">
        <f>IF('All Cases - Enter Cases'!$F363="Punjab",'All Cases - Enter Cases'!A363,"")</f>
        <v/>
      </c>
      <c r="B363" t="str">
        <f>IF($A363&lt;&gt;"",'All Cases - Enter Cases'!B363,"")</f>
        <v/>
      </c>
      <c r="C363" t="str">
        <f>IF($A363&lt;&gt;"",'All Cases - Enter Cases'!C363,"")</f>
        <v/>
      </c>
      <c r="D363" t="str">
        <f>IF($A363&lt;&gt;"",'All Cases - Enter Cases'!D363,"")</f>
        <v/>
      </c>
      <c r="E363" t="str">
        <f>IF($A363&lt;&gt;"",'All Cases - Enter Cases'!E363,"")</f>
        <v/>
      </c>
      <c r="F363" t="str">
        <f>IF($A363&lt;&gt;"",'All Cases - Enter Cases'!F363,"")</f>
        <v/>
      </c>
      <c r="G363" t="str">
        <f>IF($A363&lt;&gt;"",'All Cases - Enter Cases'!G363,"")</f>
        <v/>
      </c>
      <c r="H363" t="str">
        <f>IF($A363&lt;&gt;"",'All Cases - Enter Cases'!H363,"")</f>
        <v/>
      </c>
      <c r="I363" t="str">
        <f>IF($A363&lt;&gt;"",'All Cases - Enter Cases'!I363,"")</f>
        <v/>
      </c>
      <c r="J363" s="4" t="str">
        <f>IF($A363&lt;&gt;"",'All Cases - Enter Cases'!J363,"")</f>
        <v/>
      </c>
      <c r="K363" s="4" t="str">
        <f>IF($A363&lt;&gt;"",'All Cases - Enter Cases'!K363,"")</f>
        <v/>
      </c>
      <c r="L363" s="4" t="str">
        <f>IF($A363&lt;&gt;"",'All Cases - Enter Cases'!L363,"")</f>
        <v/>
      </c>
      <c r="M363" t="str">
        <f>IF($A363&lt;&gt;"",'All Cases - Enter Cases'!M363,"")</f>
        <v/>
      </c>
    </row>
    <row r="364" spans="1:13" x14ac:dyDescent="0.35">
      <c r="A364" s="4" t="str">
        <f>IF('All Cases - Enter Cases'!$F364="Punjab",'All Cases - Enter Cases'!A364,"")</f>
        <v/>
      </c>
      <c r="B364" t="str">
        <f>IF($A364&lt;&gt;"",'All Cases - Enter Cases'!B364,"")</f>
        <v/>
      </c>
      <c r="C364" t="str">
        <f>IF($A364&lt;&gt;"",'All Cases - Enter Cases'!C364,"")</f>
        <v/>
      </c>
      <c r="D364" t="str">
        <f>IF($A364&lt;&gt;"",'All Cases - Enter Cases'!D364,"")</f>
        <v/>
      </c>
      <c r="E364" t="str">
        <f>IF($A364&lt;&gt;"",'All Cases - Enter Cases'!E364,"")</f>
        <v/>
      </c>
      <c r="F364" t="str">
        <f>IF($A364&lt;&gt;"",'All Cases - Enter Cases'!F364,"")</f>
        <v/>
      </c>
      <c r="G364" t="str">
        <f>IF($A364&lt;&gt;"",'All Cases - Enter Cases'!G364,"")</f>
        <v/>
      </c>
      <c r="H364" t="str">
        <f>IF($A364&lt;&gt;"",'All Cases - Enter Cases'!H364,"")</f>
        <v/>
      </c>
      <c r="I364" t="str">
        <f>IF($A364&lt;&gt;"",'All Cases - Enter Cases'!I364,"")</f>
        <v/>
      </c>
      <c r="J364" s="4" t="str">
        <f>IF($A364&lt;&gt;"",'All Cases - Enter Cases'!J364,"")</f>
        <v/>
      </c>
      <c r="K364" s="4" t="str">
        <f>IF($A364&lt;&gt;"",'All Cases - Enter Cases'!K364,"")</f>
        <v/>
      </c>
      <c r="L364" s="4" t="str">
        <f>IF($A364&lt;&gt;"",'All Cases - Enter Cases'!L364,"")</f>
        <v/>
      </c>
      <c r="M364" t="str">
        <f>IF($A364&lt;&gt;"",'All Cases - Enter Cases'!M364,"")</f>
        <v/>
      </c>
    </row>
    <row r="365" spans="1:13" x14ac:dyDescent="0.35">
      <c r="A365" s="4" t="str">
        <f>IF('All Cases - Enter Cases'!$F365="Punjab",'All Cases - Enter Cases'!A365,"")</f>
        <v/>
      </c>
      <c r="B365" t="str">
        <f>IF($A365&lt;&gt;"",'All Cases - Enter Cases'!B365,"")</f>
        <v/>
      </c>
      <c r="C365" t="str">
        <f>IF($A365&lt;&gt;"",'All Cases - Enter Cases'!C365,"")</f>
        <v/>
      </c>
      <c r="D365" t="str">
        <f>IF($A365&lt;&gt;"",'All Cases - Enter Cases'!D365,"")</f>
        <v/>
      </c>
      <c r="E365" t="str">
        <f>IF($A365&lt;&gt;"",'All Cases - Enter Cases'!E365,"")</f>
        <v/>
      </c>
      <c r="F365" t="str">
        <f>IF($A365&lt;&gt;"",'All Cases - Enter Cases'!F365,"")</f>
        <v/>
      </c>
      <c r="G365" t="str">
        <f>IF($A365&lt;&gt;"",'All Cases - Enter Cases'!G365,"")</f>
        <v/>
      </c>
      <c r="H365" t="str">
        <f>IF($A365&lt;&gt;"",'All Cases - Enter Cases'!H365,"")</f>
        <v/>
      </c>
      <c r="I365" t="str">
        <f>IF($A365&lt;&gt;"",'All Cases - Enter Cases'!I365,"")</f>
        <v/>
      </c>
      <c r="J365" s="4" t="str">
        <f>IF($A365&lt;&gt;"",'All Cases - Enter Cases'!J365,"")</f>
        <v/>
      </c>
      <c r="K365" s="4" t="str">
        <f>IF($A365&lt;&gt;"",'All Cases - Enter Cases'!K365,"")</f>
        <v/>
      </c>
      <c r="L365" s="4" t="str">
        <f>IF($A365&lt;&gt;"",'All Cases - Enter Cases'!L365,"")</f>
        <v/>
      </c>
      <c r="M365" t="str">
        <f>IF($A365&lt;&gt;"",'All Cases - Enter Cases'!M365,"")</f>
        <v/>
      </c>
    </row>
    <row r="366" spans="1:13" x14ac:dyDescent="0.35">
      <c r="A366" s="4" t="str">
        <f>IF('All Cases - Enter Cases'!$F366="Punjab",'All Cases - Enter Cases'!A366,"")</f>
        <v/>
      </c>
      <c r="B366" t="str">
        <f>IF($A366&lt;&gt;"",'All Cases - Enter Cases'!B366,"")</f>
        <v/>
      </c>
      <c r="C366" t="str">
        <f>IF($A366&lt;&gt;"",'All Cases - Enter Cases'!C366,"")</f>
        <v/>
      </c>
      <c r="D366" t="str">
        <f>IF($A366&lt;&gt;"",'All Cases - Enter Cases'!D366,"")</f>
        <v/>
      </c>
      <c r="E366" t="str">
        <f>IF($A366&lt;&gt;"",'All Cases - Enter Cases'!E366,"")</f>
        <v/>
      </c>
      <c r="F366" t="str">
        <f>IF($A366&lt;&gt;"",'All Cases - Enter Cases'!F366,"")</f>
        <v/>
      </c>
      <c r="G366" t="str">
        <f>IF($A366&lt;&gt;"",'All Cases - Enter Cases'!G366,"")</f>
        <v/>
      </c>
      <c r="H366" t="str">
        <f>IF($A366&lt;&gt;"",'All Cases - Enter Cases'!H366,"")</f>
        <v/>
      </c>
      <c r="I366" t="str">
        <f>IF($A366&lt;&gt;"",'All Cases - Enter Cases'!I366,"")</f>
        <v/>
      </c>
      <c r="J366" s="4" t="str">
        <f>IF($A366&lt;&gt;"",'All Cases - Enter Cases'!J366,"")</f>
        <v/>
      </c>
      <c r="K366" s="4" t="str">
        <f>IF($A366&lt;&gt;"",'All Cases - Enter Cases'!K366,"")</f>
        <v/>
      </c>
      <c r="L366" s="4" t="str">
        <f>IF($A366&lt;&gt;"",'All Cases - Enter Cases'!L366,"")</f>
        <v/>
      </c>
      <c r="M366" t="str">
        <f>IF($A366&lt;&gt;"",'All Cases - Enter Cases'!M366,"")</f>
        <v/>
      </c>
    </row>
    <row r="367" spans="1:13" x14ac:dyDescent="0.35">
      <c r="A367" s="4" t="str">
        <f>IF('All Cases - Enter Cases'!$F367="Punjab",'All Cases - Enter Cases'!A367,"")</f>
        <v/>
      </c>
      <c r="B367" t="str">
        <f>IF($A367&lt;&gt;"",'All Cases - Enter Cases'!B367,"")</f>
        <v/>
      </c>
      <c r="C367" t="str">
        <f>IF($A367&lt;&gt;"",'All Cases - Enter Cases'!C367,"")</f>
        <v/>
      </c>
      <c r="D367" t="str">
        <f>IF($A367&lt;&gt;"",'All Cases - Enter Cases'!D367,"")</f>
        <v/>
      </c>
      <c r="E367" t="str">
        <f>IF($A367&lt;&gt;"",'All Cases - Enter Cases'!E367,"")</f>
        <v/>
      </c>
      <c r="F367" t="str">
        <f>IF($A367&lt;&gt;"",'All Cases - Enter Cases'!F367,"")</f>
        <v/>
      </c>
      <c r="G367" t="str">
        <f>IF($A367&lt;&gt;"",'All Cases - Enter Cases'!G367,"")</f>
        <v/>
      </c>
      <c r="H367" t="str">
        <f>IF($A367&lt;&gt;"",'All Cases - Enter Cases'!H367,"")</f>
        <v/>
      </c>
      <c r="I367" t="str">
        <f>IF($A367&lt;&gt;"",'All Cases - Enter Cases'!I367,"")</f>
        <v/>
      </c>
      <c r="J367" s="4" t="str">
        <f>IF($A367&lt;&gt;"",'All Cases - Enter Cases'!J367,"")</f>
        <v/>
      </c>
      <c r="K367" s="4" t="str">
        <f>IF($A367&lt;&gt;"",'All Cases - Enter Cases'!K367,"")</f>
        <v/>
      </c>
      <c r="L367" s="4" t="str">
        <f>IF($A367&lt;&gt;"",'All Cases - Enter Cases'!L367,"")</f>
        <v/>
      </c>
      <c r="M367" t="str">
        <f>IF($A367&lt;&gt;"",'All Cases - Enter Cases'!M367,"")</f>
        <v/>
      </c>
    </row>
    <row r="368" spans="1:13" x14ac:dyDescent="0.35">
      <c r="A368" s="4" t="str">
        <f>IF('All Cases - Enter Cases'!$F368="Punjab",'All Cases - Enter Cases'!A368,"")</f>
        <v/>
      </c>
      <c r="B368" t="str">
        <f>IF($A368&lt;&gt;"",'All Cases - Enter Cases'!B368,"")</f>
        <v/>
      </c>
      <c r="C368" t="str">
        <f>IF($A368&lt;&gt;"",'All Cases - Enter Cases'!C368,"")</f>
        <v/>
      </c>
      <c r="D368" t="str">
        <f>IF($A368&lt;&gt;"",'All Cases - Enter Cases'!D368,"")</f>
        <v/>
      </c>
      <c r="E368" t="str">
        <f>IF($A368&lt;&gt;"",'All Cases - Enter Cases'!E368,"")</f>
        <v/>
      </c>
      <c r="F368" t="str">
        <f>IF($A368&lt;&gt;"",'All Cases - Enter Cases'!F368,"")</f>
        <v/>
      </c>
      <c r="G368" t="str">
        <f>IF($A368&lt;&gt;"",'All Cases - Enter Cases'!G368,"")</f>
        <v/>
      </c>
      <c r="H368" t="str">
        <f>IF($A368&lt;&gt;"",'All Cases - Enter Cases'!H368,"")</f>
        <v/>
      </c>
      <c r="I368" t="str">
        <f>IF($A368&lt;&gt;"",'All Cases - Enter Cases'!I368,"")</f>
        <v/>
      </c>
      <c r="J368" s="4" t="str">
        <f>IF($A368&lt;&gt;"",'All Cases - Enter Cases'!J368,"")</f>
        <v/>
      </c>
      <c r="K368" s="4" t="str">
        <f>IF($A368&lt;&gt;"",'All Cases - Enter Cases'!K368,"")</f>
        <v/>
      </c>
      <c r="L368" s="4" t="str">
        <f>IF($A368&lt;&gt;"",'All Cases - Enter Cases'!L368,"")</f>
        <v/>
      </c>
      <c r="M368" t="str">
        <f>IF($A368&lt;&gt;"",'All Cases - Enter Cases'!M368,"")</f>
        <v/>
      </c>
    </row>
    <row r="369" spans="1:13" x14ac:dyDescent="0.35">
      <c r="A369" s="4" t="str">
        <f>IF('All Cases - Enter Cases'!$F369="Punjab",'All Cases - Enter Cases'!A369,"")</f>
        <v/>
      </c>
      <c r="B369" t="str">
        <f>IF($A369&lt;&gt;"",'All Cases - Enter Cases'!B369,"")</f>
        <v/>
      </c>
      <c r="C369" t="str">
        <f>IF($A369&lt;&gt;"",'All Cases - Enter Cases'!C369,"")</f>
        <v/>
      </c>
      <c r="D369" t="str">
        <f>IF($A369&lt;&gt;"",'All Cases - Enter Cases'!D369,"")</f>
        <v/>
      </c>
      <c r="E369" t="str">
        <f>IF($A369&lt;&gt;"",'All Cases - Enter Cases'!E369,"")</f>
        <v/>
      </c>
      <c r="F369" t="str">
        <f>IF($A369&lt;&gt;"",'All Cases - Enter Cases'!F369,"")</f>
        <v/>
      </c>
      <c r="G369" t="str">
        <f>IF($A369&lt;&gt;"",'All Cases - Enter Cases'!G369,"")</f>
        <v/>
      </c>
      <c r="H369" t="str">
        <f>IF($A369&lt;&gt;"",'All Cases - Enter Cases'!H369,"")</f>
        <v/>
      </c>
      <c r="I369" t="str">
        <f>IF($A369&lt;&gt;"",'All Cases - Enter Cases'!I369,"")</f>
        <v/>
      </c>
      <c r="J369" s="4" t="str">
        <f>IF($A369&lt;&gt;"",'All Cases - Enter Cases'!J369,"")</f>
        <v/>
      </c>
      <c r="K369" s="4" t="str">
        <f>IF($A369&lt;&gt;"",'All Cases - Enter Cases'!K369,"")</f>
        <v/>
      </c>
      <c r="L369" s="4" t="str">
        <f>IF($A369&lt;&gt;"",'All Cases - Enter Cases'!L369,"")</f>
        <v/>
      </c>
      <c r="M369" t="str">
        <f>IF($A369&lt;&gt;"",'All Cases - Enter Cases'!M369,"")</f>
        <v/>
      </c>
    </row>
    <row r="370" spans="1:13" x14ac:dyDescent="0.35">
      <c r="A370" s="4" t="str">
        <f>IF('All Cases - Enter Cases'!$F370="Punjab",'All Cases - Enter Cases'!A370,"")</f>
        <v/>
      </c>
      <c r="B370" t="str">
        <f>IF($A370&lt;&gt;"",'All Cases - Enter Cases'!B370,"")</f>
        <v/>
      </c>
      <c r="C370" t="str">
        <f>IF($A370&lt;&gt;"",'All Cases - Enter Cases'!C370,"")</f>
        <v/>
      </c>
      <c r="D370" t="str">
        <f>IF($A370&lt;&gt;"",'All Cases - Enter Cases'!D370,"")</f>
        <v/>
      </c>
      <c r="E370" t="str">
        <f>IF($A370&lt;&gt;"",'All Cases - Enter Cases'!E370,"")</f>
        <v/>
      </c>
      <c r="F370" t="str">
        <f>IF($A370&lt;&gt;"",'All Cases - Enter Cases'!F370,"")</f>
        <v/>
      </c>
      <c r="G370" t="str">
        <f>IF($A370&lt;&gt;"",'All Cases - Enter Cases'!G370,"")</f>
        <v/>
      </c>
      <c r="H370" t="str">
        <f>IF($A370&lt;&gt;"",'All Cases - Enter Cases'!H370,"")</f>
        <v/>
      </c>
      <c r="I370" t="str">
        <f>IF($A370&lt;&gt;"",'All Cases - Enter Cases'!I370,"")</f>
        <v/>
      </c>
      <c r="J370" s="4" t="str">
        <f>IF($A370&lt;&gt;"",'All Cases - Enter Cases'!J370,"")</f>
        <v/>
      </c>
      <c r="K370" s="4" t="str">
        <f>IF($A370&lt;&gt;"",'All Cases - Enter Cases'!K370,"")</f>
        <v/>
      </c>
      <c r="L370" s="4" t="str">
        <f>IF($A370&lt;&gt;"",'All Cases - Enter Cases'!L370,"")</f>
        <v/>
      </c>
      <c r="M370" t="str">
        <f>IF($A370&lt;&gt;"",'All Cases - Enter Cases'!M370,"")</f>
        <v/>
      </c>
    </row>
    <row r="371" spans="1:13" x14ac:dyDescent="0.35">
      <c r="A371" s="4" t="str">
        <f>IF('All Cases - Enter Cases'!$F371="Punjab",'All Cases - Enter Cases'!A371,"")</f>
        <v/>
      </c>
      <c r="B371" t="str">
        <f>IF($A371&lt;&gt;"",'All Cases - Enter Cases'!B371,"")</f>
        <v/>
      </c>
      <c r="C371" t="str">
        <f>IF($A371&lt;&gt;"",'All Cases - Enter Cases'!C371,"")</f>
        <v/>
      </c>
      <c r="D371" t="str">
        <f>IF($A371&lt;&gt;"",'All Cases - Enter Cases'!D371,"")</f>
        <v/>
      </c>
      <c r="E371" t="str">
        <f>IF($A371&lt;&gt;"",'All Cases - Enter Cases'!E371,"")</f>
        <v/>
      </c>
      <c r="F371" t="str">
        <f>IF($A371&lt;&gt;"",'All Cases - Enter Cases'!F371,"")</f>
        <v/>
      </c>
      <c r="G371" t="str">
        <f>IF($A371&lt;&gt;"",'All Cases - Enter Cases'!G371,"")</f>
        <v/>
      </c>
      <c r="H371" t="str">
        <f>IF($A371&lt;&gt;"",'All Cases - Enter Cases'!H371,"")</f>
        <v/>
      </c>
      <c r="I371" t="str">
        <f>IF($A371&lt;&gt;"",'All Cases - Enter Cases'!I371,"")</f>
        <v/>
      </c>
      <c r="J371" s="4" t="str">
        <f>IF($A371&lt;&gt;"",'All Cases - Enter Cases'!J371,"")</f>
        <v/>
      </c>
      <c r="K371" s="4" t="str">
        <f>IF($A371&lt;&gt;"",'All Cases - Enter Cases'!K371,"")</f>
        <v/>
      </c>
      <c r="L371" s="4" t="str">
        <f>IF($A371&lt;&gt;"",'All Cases - Enter Cases'!L371,"")</f>
        <v/>
      </c>
      <c r="M371" t="str">
        <f>IF($A371&lt;&gt;"",'All Cases - Enter Cases'!M371,"")</f>
        <v/>
      </c>
    </row>
    <row r="372" spans="1:13" x14ac:dyDescent="0.35">
      <c r="A372" s="4" t="str">
        <f>IF('All Cases - Enter Cases'!$F372="Punjab",'All Cases - Enter Cases'!A372,"")</f>
        <v/>
      </c>
      <c r="B372" t="str">
        <f>IF($A372&lt;&gt;"",'All Cases - Enter Cases'!B372,"")</f>
        <v/>
      </c>
      <c r="C372" t="str">
        <f>IF($A372&lt;&gt;"",'All Cases - Enter Cases'!C372,"")</f>
        <v/>
      </c>
      <c r="D372" t="str">
        <f>IF($A372&lt;&gt;"",'All Cases - Enter Cases'!D372,"")</f>
        <v/>
      </c>
      <c r="E372" t="str">
        <f>IF($A372&lt;&gt;"",'All Cases - Enter Cases'!E372,"")</f>
        <v/>
      </c>
      <c r="F372" t="str">
        <f>IF($A372&lt;&gt;"",'All Cases - Enter Cases'!F372,"")</f>
        <v/>
      </c>
      <c r="G372" t="str">
        <f>IF($A372&lt;&gt;"",'All Cases - Enter Cases'!G372,"")</f>
        <v/>
      </c>
      <c r="H372" t="str">
        <f>IF($A372&lt;&gt;"",'All Cases - Enter Cases'!H372,"")</f>
        <v/>
      </c>
      <c r="I372" t="str">
        <f>IF($A372&lt;&gt;"",'All Cases - Enter Cases'!I372,"")</f>
        <v/>
      </c>
      <c r="J372" s="4" t="str">
        <f>IF($A372&lt;&gt;"",'All Cases - Enter Cases'!J372,"")</f>
        <v/>
      </c>
      <c r="K372" s="4" t="str">
        <f>IF($A372&lt;&gt;"",'All Cases - Enter Cases'!K372,"")</f>
        <v/>
      </c>
      <c r="L372" s="4" t="str">
        <f>IF($A372&lt;&gt;"",'All Cases - Enter Cases'!L372,"")</f>
        <v/>
      </c>
      <c r="M372" t="str">
        <f>IF($A372&lt;&gt;"",'All Cases - Enter Cases'!M372,"")</f>
        <v/>
      </c>
    </row>
    <row r="373" spans="1:13" x14ac:dyDescent="0.35">
      <c r="A373" s="4" t="str">
        <f>IF('All Cases - Enter Cases'!$F373="Punjab",'All Cases - Enter Cases'!A373,"")</f>
        <v/>
      </c>
      <c r="B373" t="str">
        <f>IF($A373&lt;&gt;"",'All Cases - Enter Cases'!B373,"")</f>
        <v/>
      </c>
      <c r="C373" t="str">
        <f>IF($A373&lt;&gt;"",'All Cases - Enter Cases'!C373,"")</f>
        <v/>
      </c>
      <c r="D373" t="str">
        <f>IF($A373&lt;&gt;"",'All Cases - Enter Cases'!D373,"")</f>
        <v/>
      </c>
      <c r="E373" t="str">
        <f>IF($A373&lt;&gt;"",'All Cases - Enter Cases'!E373,"")</f>
        <v/>
      </c>
      <c r="F373" t="str">
        <f>IF($A373&lt;&gt;"",'All Cases - Enter Cases'!F373,"")</f>
        <v/>
      </c>
      <c r="G373" t="str">
        <f>IF($A373&lt;&gt;"",'All Cases - Enter Cases'!G373,"")</f>
        <v/>
      </c>
      <c r="H373" t="str">
        <f>IF($A373&lt;&gt;"",'All Cases - Enter Cases'!H373,"")</f>
        <v/>
      </c>
      <c r="I373" t="str">
        <f>IF($A373&lt;&gt;"",'All Cases - Enter Cases'!I373,"")</f>
        <v/>
      </c>
      <c r="J373" s="4" t="str">
        <f>IF($A373&lt;&gt;"",'All Cases - Enter Cases'!J373,"")</f>
        <v/>
      </c>
      <c r="K373" s="4" t="str">
        <f>IF($A373&lt;&gt;"",'All Cases - Enter Cases'!K373,"")</f>
        <v/>
      </c>
      <c r="L373" s="4" t="str">
        <f>IF($A373&lt;&gt;"",'All Cases - Enter Cases'!L373,"")</f>
        <v/>
      </c>
      <c r="M373" t="str">
        <f>IF($A373&lt;&gt;"",'All Cases - Enter Cases'!M373,"")</f>
        <v/>
      </c>
    </row>
    <row r="374" spans="1:13" x14ac:dyDescent="0.35">
      <c r="A374" s="4" t="str">
        <f>IF('All Cases - Enter Cases'!$F374="Punjab",'All Cases - Enter Cases'!A374,"")</f>
        <v/>
      </c>
      <c r="B374" t="str">
        <f>IF($A374&lt;&gt;"",'All Cases - Enter Cases'!B374,"")</f>
        <v/>
      </c>
      <c r="C374" t="str">
        <f>IF($A374&lt;&gt;"",'All Cases - Enter Cases'!C374,"")</f>
        <v/>
      </c>
      <c r="D374" t="str">
        <f>IF($A374&lt;&gt;"",'All Cases - Enter Cases'!D374,"")</f>
        <v/>
      </c>
      <c r="E374" t="str">
        <f>IF($A374&lt;&gt;"",'All Cases - Enter Cases'!E374,"")</f>
        <v/>
      </c>
      <c r="F374" t="str">
        <f>IF($A374&lt;&gt;"",'All Cases - Enter Cases'!F374,"")</f>
        <v/>
      </c>
      <c r="G374" t="str">
        <f>IF($A374&lt;&gt;"",'All Cases - Enter Cases'!G374,"")</f>
        <v/>
      </c>
      <c r="H374" t="str">
        <f>IF($A374&lt;&gt;"",'All Cases - Enter Cases'!H374,"")</f>
        <v/>
      </c>
      <c r="I374" t="str">
        <f>IF($A374&lt;&gt;"",'All Cases - Enter Cases'!I374,"")</f>
        <v/>
      </c>
      <c r="J374" s="4" t="str">
        <f>IF($A374&lt;&gt;"",'All Cases - Enter Cases'!J374,"")</f>
        <v/>
      </c>
      <c r="K374" s="4" t="str">
        <f>IF($A374&lt;&gt;"",'All Cases - Enter Cases'!K374,"")</f>
        <v/>
      </c>
      <c r="L374" s="4" t="str">
        <f>IF($A374&lt;&gt;"",'All Cases - Enter Cases'!L374,"")</f>
        <v/>
      </c>
      <c r="M374" t="str">
        <f>IF($A374&lt;&gt;"",'All Cases - Enter Cases'!M374,"")</f>
        <v/>
      </c>
    </row>
    <row r="375" spans="1:13" x14ac:dyDescent="0.35">
      <c r="A375" s="4" t="str">
        <f>IF('All Cases - Enter Cases'!$F375="Punjab",'All Cases - Enter Cases'!A375,"")</f>
        <v/>
      </c>
      <c r="B375" t="str">
        <f>IF($A375&lt;&gt;"",'All Cases - Enter Cases'!B375,"")</f>
        <v/>
      </c>
      <c r="C375" t="str">
        <f>IF($A375&lt;&gt;"",'All Cases - Enter Cases'!C375,"")</f>
        <v/>
      </c>
      <c r="D375" t="str">
        <f>IF($A375&lt;&gt;"",'All Cases - Enter Cases'!D375,"")</f>
        <v/>
      </c>
      <c r="E375" t="str">
        <f>IF($A375&lt;&gt;"",'All Cases - Enter Cases'!E375,"")</f>
        <v/>
      </c>
      <c r="F375" t="str">
        <f>IF($A375&lt;&gt;"",'All Cases - Enter Cases'!F375,"")</f>
        <v/>
      </c>
      <c r="G375" t="str">
        <f>IF($A375&lt;&gt;"",'All Cases - Enter Cases'!G375,"")</f>
        <v/>
      </c>
      <c r="H375" t="str">
        <f>IF($A375&lt;&gt;"",'All Cases - Enter Cases'!H375,"")</f>
        <v/>
      </c>
      <c r="I375" t="str">
        <f>IF($A375&lt;&gt;"",'All Cases - Enter Cases'!I375,"")</f>
        <v/>
      </c>
      <c r="J375" s="4" t="str">
        <f>IF($A375&lt;&gt;"",'All Cases - Enter Cases'!J375,"")</f>
        <v/>
      </c>
      <c r="K375" s="4" t="str">
        <f>IF($A375&lt;&gt;"",'All Cases - Enter Cases'!K375,"")</f>
        <v/>
      </c>
      <c r="L375" s="4" t="str">
        <f>IF($A375&lt;&gt;"",'All Cases - Enter Cases'!L375,"")</f>
        <v/>
      </c>
      <c r="M375" t="str">
        <f>IF($A375&lt;&gt;"",'All Cases - Enter Cases'!M375,"")</f>
        <v/>
      </c>
    </row>
    <row r="376" spans="1:13" x14ac:dyDescent="0.35">
      <c r="A376" s="4" t="str">
        <f>IF('All Cases - Enter Cases'!$F376="Punjab",'All Cases - Enter Cases'!A376,"")</f>
        <v/>
      </c>
      <c r="B376" t="str">
        <f>IF($A376&lt;&gt;"",'All Cases - Enter Cases'!B376,"")</f>
        <v/>
      </c>
      <c r="C376" t="str">
        <f>IF($A376&lt;&gt;"",'All Cases - Enter Cases'!C376,"")</f>
        <v/>
      </c>
      <c r="D376" t="str">
        <f>IF($A376&lt;&gt;"",'All Cases - Enter Cases'!D376,"")</f>
        <v/>
      </c>
      <c r="E376" t="str">
        <f>IF($A376&lt;&gt;"",'All Cases - Enter Cases'!E376,"")</f>
        <v/>
      </c>
      <c r="F376" t="str">
        <f>IF($A376&lt;&gt;"",'All Cases - Enter Cases'!F376,"")</f>
        <v/>
      </c>
      <c r="G376" t="str">
        <f>IF($A376&lt;&gt;"",'All Cases - Enter Cases'!G376,"")</f>
        <v/>
      </c>
      <c r="H376" t="str">
        <f>IF($A376&lt;&gt;"",'All Cases - Enter Cases'!H376,"")</f>
        <v/>
      </c>
      <c r="I376" t="str">
        <f>IF($A376&lt;&gt;"",'All Cases - Enter Cases'!I376,"")</f>
        <v/>
      </c>
      <c r="J376" s="4" t="str">
        <f>IF($A376&lt;&gt;"",'All Cases - Enter Cases'!J376,"")</f>
        <v/>
      </c>
      <c r="K376" s="4" t="str">
        <f>IF($A376&lt;&gt;"",'All Cases - Enter Cases'!K376,"")</f>
        <v/>
      </c>
      <c r="L376" s="4" t="str">
        <f>IF($A376&lt;&gt;"",'All Cases - Enter Cases'!L376,"")</f>
        <v/>
      </c>
      <c r="M376" t="str">
        <f>IF($A376&lt;&gt;"",'All Cases - Enter Cases'!M376,"")</f>
        <v/>
      </c>
    </row>
    <row r="377" spans="1:13" x14ac:dyDescent="0.35">
      <c r="A377" s="4" t="str">
        <f>IF('All Cases - Enter Cases'!$F377="Punjab",'All Cases - Enter Cases'!A377,"")</f>
        <v/>
      </c>
      <c r="B377" t="str">
        <f>IF($A377&lt;&gt;"",'All Cases - Enter Cases'!B377,"")</f>
        <v/>
      </c>
      <c r="C377" t="str">
        <f>IF($A377&lt;&gt;"",'All Cases - Enter Cases'!C377,"")</f>
        <v/>
      </c>
      <c r="D377" t="str">
        <f>IF($A377&lt;&gt;"",'All Cases - Enter Cases'!D377,"")</f>
        <v/>
      </c>
      <c r="E377" t="str">
        <f>IF($A377&lt;&gt;"",'All Cases - Enter Cases'!E377,"")</f>
        <v/>
      </c>
      <c r="F377" t="str">
        <f>IF($A377&lt;&gt;"",'All Cases - Enter Cases'!F377,"")</f>
        <v/>
      </c>
      <c r="G377" t="str">
        <f>IF($A377&lt;&gt;"",'All Cases - Enter Cases'!G377,"")</f>
        <v/>
      </c>
      <c r="H377" t="str">
        <f>IF($A377&lt;&gt;"",'All Cases - Enter Cases'!H377,"")</f>
        <v/>
      </c>
      <c r="I377" t="str">
        <f>IF($A377&lt;&gt;"",'All Cases - Enter Cases'!I377,"")</f>
        <v/>
      </c>
      <c r="J377" s="4" t="str">
        <f>IF($A377&lt;&gt;"",'All Cases - Enter Cases'!J377,"")</f>
        <v/>
      </c>
      <c r="K377" s="4" t="str">
        <f>IF($A377&lt;&gt;"",'All Cases - Enter Cases'!K377,"")</f>
        <v/>
      </c>
      <c r="L377" s="4" t="str">
        <f>IF($A377&lt;&gt;"",'All Cases - Enter Cases'!L377,"")</f>
        <v/>
      </c>
      <c r="M377" t="str">
        <f>IF($A377&lt;&gt;"",'All Cases - Enter Cases'!M377,"")</f>
        <v/>
      </c>
    </row>
    <row r="378" spans="1:13" x14ac:dyDescent="0.35">
      <c r="A378" s="4" t="str">
        <f>IF('All Cases - Enter Cases'!$F378="Punjab",'All Cases - Enter Cases'!A378,"")</f>
        <v/>
      </c>
      <c r="B378" t="str">
        <f>IF($A378&lt;&gt;"",'All Cases - Enter Cases'!B378,"")</f>
        <v/>
      </c>
      <c r="C378" t="str">
        <f>IF($A378&lt;&gt;"",'All Cases - Enter Cases'!C378,"")</f>
        <v/>
      </c>
      <c r="D378" t="str">
        <f>IF($A378&lt;&gt;"",'All Cases - Enter Cases'!D378,"")</f>
        <v/>
      </c>
      <c r="E378" t="str">
        <f>IF($A378&lt;&gt;"",'All Cases - Enter Cases'!E378,"")</f>
        <v/>
      </c>
      <c r="F378" t="str">
        <f>IF($A378&lt;&gt;"",'All Cases - Enter Cases'!F378,"")</f>
        <v/>
      </c>
      <c r="G378" t="str">
        <f>IF($A378&lt;&gt;"",'All Cases - Enter Cases'!G378,"")</f>
        <v/>
      </c>
      <c r="H378" t="str">
        <f>IF($A378&lt;&gt;"",'All Cases - Enter Cases'!H378,"")</f>
        <v/>
      </c>
      <c r="I378" t="str">
        <f>IF($A378&lt;&gt;"",'All Cases - Enter Cases'!I378,"")</f>
        <v/>
      </c>
      <c r="J378" s="4" t="str">
        <f>IF($A378&lt;&gt;"",'All Cases - Enter Cases'!J378,"")</f>
        <v/>
      </c>
      <c r="K378" s="4" t="str">
        <f>IF($A378&lt;&gt;"",'All Cases - Enter Cases'!K378,"")</f>
        <v/>
      </c>
      <c r="L378" s="4" t="str">
        <f>IF($A378&lt;&gt;"",'All Cases - Enter Cases'!L378,"")</f>
        <v/>
      </c>
      <c r="M378" t="str">
        <f>IF($A378&lt;&gt;"",'All Cases - Enter Cases'!M378,"")</f>
        <v/>
      </c>
    </row>
    <row r="379" spans="1:13" x14ac:dyDescent="0.35">
      <c r="A379" s="4" t="str">
        <f>IF('All Cases - Enter Cases'!$F379="Punjab",'All Cases - Enter Cases'!A379,"")</f>
        <v/>
      </c>
      <c r="B379" t="str">
        <f>IF($A379&lt;&gt;"",'All Cases - Enter Cases'!B379,"")</f>
        <v/>
      </c>
      <c r="C379" t="str">
        <f>IF($A379&lt;&gt;"",'All Cases - Enter Cases'!C379,"")</f>
        <v/>
      </c>
      <c r="D379" t="str">
        <f>IF($A379&lt;&gt;"",'All Cases - Enter Cases'!D379,"")</f>
        <v/>
      </c>
      <c r="E379" t="str">
        <f>IF($A379&lt;&gt;"",'All Cases - Enter Cases'!E379,"")</f>
        <v/>
      </c>
      <c r="F379" t="str">
        <f>IF($A379&lt;&gt;"",'All Cases - Enter Cases'!F379,"")</f>
        <v/>
      </c>
      <c r="G379" t="str">
        <f>IF($A379&lt;&gt;"",'All Cases - Enter Cases'!G379,"")</f>
        <v/>
      </c>
      <c r="H379" t="str">
        <f>IF($A379&lt;&gt;"",'All Cases - Enter Cases'!H379,"")</f>
        <v/>
      </c>
      <c r="I379" t="str">
        <f>IF($A379&lt;&gt;"",'All Cases - Enter Cases'!I379,"")</f>
        <v/>
      </c>
      <c r="J379" s="4" t="str">
        <f>IF($A379&lt;&gt;"",'All Cases - Enter Cases'!J379,"")</f>
        <v/>
      </c>
      <c r="K379" s="4" t="str">
        <f>IF($A379&lt;&gt;"",'All Cases - Enter Cases'!K379,"")</f>
        <v/>
      </c>
      <c r="L379" s="4" t="str">
        <f>IF($A379&lt;&gt;"",'All Cases - Enter Cases'!L379,"")</f>
        <v/>
      </c>
      <c r="M379" t="str">
        <f>IF($A379&lt;&gt;"",'All Cases - Enter Cases'!M379,"")</f>
        <v/>
      </c>
    </row>
    <row r="380" spans="1:13" x14ac:dyDescent="0.35">
      <c r="A380" s="4" t="str">
        <f>IF('All Cases - Enter Cases'!$F380="Punjab",'All Cases - Enter Cases'!A380,"")</f>
        <v/>
      </c>
      <c r="B380" t="str">
        <f>IF($A380&lt;&gt;"",'All Cases - Enter Cases'!B380,"")</f>
        <v/>
      </c>
      <c r="C380" t="str">
        <f>IF($A380&lt;&gt;"",'All Cases - Enter Cases'!C380,"")</f>
        <v/>
      </c>
      <c r="D380" t="str">
        <f>IF($A380&lt;&gt;"",'All Cases - Enter Cases'!D380,"")</f>
        <v/>
      </c>
      <c r="E380" t="str">
        <f>IF($A380&lt;&gt;"",'All Cases - Enter Cases'!E380,"")</f>
        <v/>
      </c>
      <c r="F380" t="str">
        <f>IF($A380&lt;&gt;"",'All Cases - Enter Cases'!F380,"")</f>
        <v/>
      </c>
      <c r="G380" t="str">
        <f>IF($A380&lt;&gt;"",'All Cases - Enter Cases'!G380,"")</f>
        <v/>
      </c>
      <c r="H380" t="str">
        <f>IF($A380&lt;&gt;"",'All Cases - Enter Cases'!H380,"")</f>
        <v/>
      </c>
      <c r="I380" t="str">
        <f>IF($A380&lt;&gt;"",'All Cases - Enter Cases'!I380,"")</f>
        <v/>
      </c>
      <c r="J380" s="4" t="str">
        <f>IF($A380&lt;&gt;"",'All Cases - Enter Cases'!J380,"")</f>
        <v/>
      </c>
      <c r="K380" s="4" t="str">
        <f>IF($A380&lt;&gt;"",'All Cases - Enter Cases'!K380,"")</f>
        <v/>
      </c>
      <c r="L380" s="4" t="str">
        <f>IF($A380&lt;&gt;"",'All Cases - Enter Cases'!L380,"")</f>
        <v/>
      </c>
      <c r="M380" t="str">
        <f>IF($A380&lt;&gt;"",'All Cases - Enter Cases'!M380,"")</f>
        <v/>
      </c>
    </row>
    <row r="381" spans="1:13" x14ac:dyDescent="0.35">
      <c r="A381" s="4" t="str">
        <f>IF('All Cases - Enter Cases'!$F381="Punjab",'All Cases - Enter Cases'!A381,"")</f>
        <v/>
      </c>
      <c r="B381" t="str">
        <f>IF($A381&lt;&gt;"",'All Cases - Enter Cases'!B381,"")</f>
        <v/>
      </c>
      <c r="C381" t="str">
        <f>IF($A381&lt;&gt;"",'All Cases - Enter Cases'!C381,"")</f>
        <v/>
      </c>
      <c r="D381" t="str">
        <f>IF($A381&lt;&gt;"",'All Cases - Enter Cases'!D381,"")</f>
        <v/>
      </c>
      <c r="E381" t="str">
        <f>IF($A381&lt;&gt;"",'All Cases - Enter Cases'!E381,"")</f>
        <v/>
      </c>
      <c r="F381" t="str">
        <f>IF($A381&lt;&gt;"",'All Cases - Enter Cases'!F381,"")</f>
        <v/>
      </c>
      <c r="G381" t="str">
        <f>IF($A381&lt;&gt;"",'All Cases - Enter Cases'!G381,"")</f>
        <v/>
      </c>
      <c r="H381" t="str">
        <f>IF($A381&lt;&gt;"",'All Cases - Enter Cases'!H381,"")</f>
        <v/>
      </c>
      <c r="I381" t="str">
        <f>IF($A381&lt;&gt;"",'All Cases - Enter Cases'!I381,"")</f>
        <v/>
      </c>
      <c r="J381" s="4" t="str">
        <f>IF($A381&lt;&gt;"",'All Cases - Enter Cases'!J381,"")</f>
        <v/>
      </c>
      <c r="K381" s="4" t="str">
        <f>IF($A381&lt;&gt;"",'All Cases - Enter Cases'!K381,"")</f>
        <v/>
      </c>
      <c r="L381" s="4" t="str">
        <f>IF($A381&lt;&gt;"",'All Cases - Enter Cases'!L381,"")</f>
        <v/>
      </c>
      <c r="M381" t="str">
        <f>IF($A381&lt;&gt;"",'All Cases - Enter Cases'!M381,"")</f>
        <v/>
      </c>
    </row>
    <row r="382" spans="1:13" x14ac:dyDescent="0.35">
      <c r="A382" s="4" t="str">
        <f>IF('All Cases - Enter Cases'!$F382="Punjab",'All Cases - Enter Cases'!A382,"")</f>
        <v/>
      </c>
      <c r="B382" t="str">
        <f>IF($A382&lt;&gt;"",'All Cases - Enter Cases'!B382,"")</f>
        <v/>
      </c>
      <c r="C382" t="str">
        <f>IF($A382&lt;&gt;"",'All Cases - Enter Cases'!C382,"")</f>
        <v/>
      </c>
      <c r="D382" t="str">
        <f>IF($A382&lt;&gt;"",'All Cases - Enter Cases'!D382,"")</f>
        <v/>
      </c>
      <c r="E382" t="str">
        <f>IF($A382&lt;&gt;"",'All Cases - Enter Cases'!E382,"")</f>
        <v/>
      </c>
      <c r="F382" t="str">
        <f>IF($A382&lt;&gt;"",'All Cases - Enter Cases'!F382,"")</f>
        <v/>
      </c>
      <c r="G382" t="str">
        <f>IF($A382&lt;&gt;"",'All Cases - Enter Cases'!G382,"")</f>
        <v/>
      </c>
      <c r="H382" t="str">
        <f>IF($A382&lt;&gt;"",'All Cases - Enter Cases'!H382,"")</f>
        <v/>
      </c>
      <c r="I382" t="str">
        <f>IF($A382&lt;&gt;"",'All Cases - Enter Cases'!I382,"")</f>
        <v/>
      </c>
      <c r="J382" s="4" t="str">
        <f>IF($A382&lt;&gt;"",'All Cases - Enter Cases'!J382,"")</f>
        <v/>
      </c>
      <c r="K382" s="4" t="str">
        <f>IF($A382&lt;&gt;"",'All Cases - Enter Cases'!K382,"")</f>
        <v/>
      </c>
      <c r="L382" s="4" t="str">
        <f>IF($A382&lt;&gt;"",'All Cases - Enter Cases'!L382,"")</f>
        <v/>
      </c>
      <c r="M382" t="str">
        <f>IF($A382&lt;&gt;"",'All Cases - Enter Cases'!M382,"")</f>
        <v/>
      </c>
    </row>
    <row r="383" spans="1:13" x14ac:dyDescent="0.35">
      <c r="A383" s="4" t="str">
        <f>IF('All Cases - Enter Cases'!$F383="Punjab",'All Cases - Enter Cases'!A383,"")</f>
        <v/>
      </c>
      <c r="B383" t="str">
        <f>IF($A383&lt;&gt;"",'All Cases - Enter Cases'!B383,"")</f>
        <v/>
      </c>
      <c r="C383" t="str">
        <f>IF($A383&lt;&gt;"",'All Cases - Enter Cases'!C383,"")</f>
        <v/>
      </c>
      <c r="D383" t="str">
        <f>IF($A383&lt;&gt;"",'All Cases - Enter Cases'!D383,"")</f>
        <v/>
      </c>
      <c r="E383" t="str">
        <f>IF($A383&lt;&gt;"",'All Cases - Enter Cases'!E383,"")</f>
        <v/>
      </c>
      <c r="F383" t="str">
        <f>IF($A383&lt;&gt;"",'All Cases - Enter Cases'!F383,"")</f>
        <v/>
      </c>
      <c r="G383" t="str">
        <f>IF($A383&lt;&gt;"",'All Cases - Enter Cases'!G383,"")</f>
        <v/>
      </c>
      <c r="H383" t="str">
        <f>IF($A383&lt;&gt;"",'All Cases - Enter Cases'!H383,"")</f>
        <v/>
      </c>
      <c r="I383" t="str">
        <f>IF($A383&lt;&gt;"",'All Cases - Enter Cases'!I383,"")</f>
        <v/>
      </c>
      <c r="J383" s="4" t="str">
        <f>IF($A383&lt;&gt;"",'All Cases - Enter Cases'!J383,"")</f>
        <v/>
      </c>
      <c r="K383" s="4" t="str">
        <f>IF($A383&lt;&gt;"",'All Cases - Enter Cases'!K383,"")</f>
        <v/>
      </c>
      <c r="L383" s="4" t="str">
        <f>IF($A383&lt;&gt;"",'All Cases - Enter Cases'!L383,"")</f>
        <v/>
      </c>
      <c r="M383" t="str">
        <f>IF($A383&lt;&gt;"",'All Cases - Enter Cases'!M383,"")</f>
        <v/>
      </c>
    </row>
    <row r="384" spans="1:13" x14ac:dyDescent="0.35">
      <c r="A384" s="4" t="str">
        <f>IF('All Cases - Enter Cases'!$F384="Punjab",'All Cases - Enter Cases'!A384,"")</f>
        <v/>
      </c>
      <c r="B384" t="str">
        <f>IF($A384&lt;&gt;"",'All Cases - Enter Cases'!B384,"")</f>
        <v/>
      </c>
      <c r="C384" t="str">
        <f>IF($A384&lt;&gt;"",'All Cases - Enter Cases'!C384,"")</f>
        <v/>
      </c>
      <c r="D384" t="str">
        <f>IF($A384&lt;&gt;"",'All Cases - Enter Cases'!D384,"")</f>
        <v/>
      </c>
      <c r="E384" t="str">
        <f>IF($A384&lt;&gt;"",'All Cases - Enter Cases'!E384,"")</f>
        <v/>
      </c>
      <c r="F384" t="str">
        <f>IF($A384&lt;&gt;"",'All Cases - Enter Cases'!F384,"")</f>
        <v/>
      </c>
      <c r="G384" t="str">
        <f>IF($A384&lt;&gt;"",'All Cases - Enter Cases'!G384,"")</f>
        <v/>
      </c>
      <c r="H384" t="str">
        <f>IF($A384&lt;&gt;"",'All Cases - Enter Cases'!H384,"")</f>
        <v/>
      </c>
      <c r="I384" t="str">
        <f>IF($A384&lt;&gt;"",'All Cases - Enter Cases'!I384,"")</f>
        <v/>
      </c>
      <c r="J384" s="4" t="str">
        <f>IF($A384&lt;&gt;"",'All Cases - Enter Cases'!J384,"")</f>
        <v/>
      </c>
      <c r="K384" s="4" t="str">
        <f>IF($A384&lt;&gt;"",'All Cases - Enter Cases'!K384,"")</f>
        <v/>
      </c>
      <c r="L384" s="4" t="str">
        <f>IF($A384&lt;&gt;"",'All Cases - Enter Cases'!L384,"")</f>
        <v/>
      </c>
      <c r="M384" t="str">
        <f>IF($A384&lt;&gt;"",'All Cases - Enter Cases'!M384,"")</f>
        <v/>
      </c>
    </row>
    <row r="385" spans="1:13" x14ac:dyDescent="0.35">
      <c r="A385" s="4" t="str">
        <f>IF('All Cases - Enter Cases'!$F385="Punjab",'All Cases - Enter Cases'!A385,"")</f>
        <v/>
      </c>
      <c r="B385" t="str">
        <f>IF($A385&lt;&gt;"",'All Cases - Enter Cases'!B385,"")</f>
        <v/>
      </c>
      <c r="C385" t="str">
        <f>IF($A385&lt;&gt;"",'All Cases - Enter Cases'!C385,"")</f>
        <v/>
      </c>
      <c r="D385" t="str">
        <f>IF($A385&lt;&gt;"",'All Cases - Enter Cases'!D385,"")</f>
        <v/>
      </c>
      <c r="E385" t="str">
        <f>IF($A385&lt;&gt;"",'All Cases - Enter Cases'!E385,"")</f>
        <v/>
      </c>
      <c r="F385" t="str">
        <f>IF($A385&lt;&gt;"",'All Cases - Enter Cases'!F385,"")</f>
        <v/>
      </c>
      <c r="G385" t="str">
        <f>IF($A385&lt;&gt;"",'All Cases - Enter Cases'!G385,"")</f>
        <v/>
      </c>
      <c r="H385" t="str">
        <f>IF($A385&lt;&gt;"",'All Cases - Enter Cases'!H385,"")</f>
        <v/>
      </c>
      <c r="I385" t="str">
        <f>IF($A385&lt;&gt;"",'All Cases - Enter Cases'!I385,"")</f>
        <v/>
      </c>
      <c r="J385" s="4" t="str">
        <f>IF($A385&lt;&gt;"",'All Cases - Enter Cases'!J385,"")</f>
        <v/>
      </c>
      <c r="K385" s="4" t="str">
        <f>IF($A385&lt;&gt;"",'All Cases - Enter Cases'!K385,"")</f>
        <v/>
      </c>
      <c r="L385" s="4" t="str">
        <f>IF($A385&lt;&gt;"",'All Cases - Enter Cases'!L385,"")</f>
        <v/>
      </c>
      <c r="M385" t="str">
        <f>IF($A385&lt;&gt;"",'All Cases - Enter Cases'!M385,"")</f>
        <v/>
      </c>
    </row>
    <row r="386" spans="1:13" x14ac:dyDescent="0.35">
      <c r="A386" s="4" t="str">
        <f>IF('All Cases - Enter Cases'!$F386="Punjab",'All Cases - Enter Cases'!A386,"")</f>
        <v/>
      </c>
      <c r="B386" t="str">
        <f>IF($A386&lt;&gt;"",'All Cases - Enter Cases'!B386,"")</f>
        <v/>
      </c>
      <c r="C386" t="str">
        <f>IF($A386&lt;&gt;"",'All Cases - Enter Cases'!C386,"")</f>
        <v/>
      </c>
      <c r="D386" t="str">
        <f>IF($A386&lt;&gt;"",'All Cases - Enter Cases'!D386,"")</f>
        <v/>
      </c>
      <c r="E386" t="str">
        <f>IF($A386&lt;&gt;"",'All Cases - Enter Cases'!E386,"")</f>
        <v/>
      </c>
      <c r="F386" t="str">
        <f>IF($A386&lt;&gt;"",'All Cases - Enter Cases'!F386,"")</f>
        <v/>
      </c>
      <c r="G386" t="str">
        <f>IF($A386&lt;&gt;"",'All Cases - Enter Cases'!G386,"")</f>
        <v/>
      </c>
      <c r="H386" t="str">
        <f>IF($A386&lt;&gt;"",'All Cases - Enter Cases'!H386,"")</f>
        <v/>
      </c>
      <c r="I386" t="str">
        <f>IF($A386&lt;&gt;"",'All Cases - Enter Cases'!I386,"")</f>
        <v/>
      </c>
      <c r="J386" s="4" t="str">
        <f>IF($A386&lt;&gt;"",'All Cases - Enter Cases'!J386,"")</f>
        <v/>
      </c>
      <c r="K386" s="4" t="str">
        <f>IF($A386&lt;&gt;"",'All Cases - Enter Cases'!K386,"")</f>
        <v/>
      </c>
      <c r="L386" s="4" t="str">
        <f>IF($A386&lt;&gt;"",'All Cases - Enter Cases'!L386,"")</f>
        <v/>
      </c>
      <c r="M386" t="str">
        <f>IF($A386&lt;&gt;"",'All Cases - Enter Cases'!M386,"")</f>
        <v/>
      </c>
    </row>
    <row r="387" spans="1:13" x14ac:dyDescent="0.35">
      <c r="A387" s="4" t="str">
        <f>IF('All Cases - Enter Cases'!$F387="Punjab",'All Cases - Enter Cases'!A387,"")</f>
        <v/>
      </c>
      <c r="B387" t="str">
        <f>IF($A387&lt;&gt;"",'All Cases - Enter Cases'!B387,"")</f>
        <v/>
      </c>
      <c r="C387" t="str">
        <f>IF($A387&lt;&gt;"",'All Cases - Enter Cases'!C387,"")</f>
        <v/>
      </c>
      <c r="D387" t="str">
        <f>IF($A387&lt;&gt;"",'All Cases - Enter Cases'!D387,"")</f>
        <v/>
      </c>
      <c r="E387" t="str">
        <f>IF($A387&lt;&gt;"",'All Cases - Enter Cases'!E387,"")</f>
        <v/>
      </c>
      <c r="F387" t="str">
        <f>IF($A387&lt;&gt;"",'All Cases - Enter Cases'!F387,"")</f>
        <v/>
      </c>
      <c r="G387" t="str">
        <f>IF($A387&lt;&gt;"",'All Cases - Enter Cases'!G387,"")</f>
        <v/>
      </c>
      <c r="H387" t="str">
        <f>IF($A387&lt;&gt;"",'All Cases - Enter Cases'!H387,"")</f>
        <v/>
      </c>
      <c r="I387" t="str">
        <f>IF($A387&lt;&gt;"",'All Cases - Enter Cases'!I387,"")</f>
        <v/>
      </c>
      <c r="J387" s="4" t="str">
        <f>IF($A387&lt;&gt;"",'All Cases - Enter Cases'!J387,"")</f>
        <v/>
      </c>
      <c r="K387" s="4" t="str">
        <f>IF($A387&lt;&gt;"",'All Cases - Enter Cases'!K387,"")</f>
        <v/>
      </c>
      <c r="L387" s="4" t="str">
        <f>IF($A387&lt;&gt;"",'All Cases - Enter Cases'!L387,"")</f>
        <v/>
      </c>
      <c r="M387" t="str">
        <f>IF($A387&lt;&gt;"",'All Cases - Enter Cases'!M387,"")</f>
        <v/>
      </c>
    </row>
    <row r="388" spans="1:13" x14ac:dyDescent="0.35">
      <c r="A388" s="4" t="str">
        <f>IF('All Cases - Enter Cases'!$F388="Punjab",'All Cases - Enter Cases'!A388,"")</f>
        <v/>
      </c>
      <c r="B388" t="str">
        <f>IF($A388&lt;&gt;"",'All Cases - Enter Cases'!B388,"")</f>
        <v/>
      </c>
      <c r="C388" t="str">
        <f>IF($A388&lt;&gt;"",'All Cases - Enter Cases'!C388,"")</f>
        <v/>
      </c>
      <c r="D388" t="str">
        <f>IF($A388&lt;&gt;"",'All Cases - Enter Cases'!D388,"")</f>
        <v/>
      </c>
      <c r="E388" t="str">
        <f>IF($A388&lt;&gt;"",'All Cases - Enter Cases'!E388,"")</f>
        <v/>
      </c>
      <c r="F388" t="str">
        <f>IF($A388&lt;&gt;"",'All Cases - Enter Cases'!F388,"")</f>
        <v/>
      </c>
      <c r="G388" t="str">
        <f>IF($A388&lt;&gt;"",'All Cases - Enter Cases'!G388,"")</f>
        <v/>
      </c>
      <c r="H388" t="str">
        <f>IF($A388&lt;&gt;"",'All Cases - Enter Cases'!H388,"")</f>
        <v/>
      </c>
      <c r="I388" t="str">
        <f>IF($A388&lt;&gt;"",'All Cases - Enter Cases'!I388,"")</f>
        <v/>
      </c>
      <c r="J388" s="4" t="str">
        <f>IF($A388&lt;&gt;"",'All Cases - Enter Cases'!J388,"")</f>
        <v/>
      </c>
      <c r="K388" s="4" t="str">
        <f>IF($A388&lt;&gt;"",'All Cases - Enter Cases'!K388,"")</f>
        <v/>
      </c>
      <c r="L388" s="4" t="str">
        <f>IF($A388&lt;&gt;"",'All Cases - Enter Cases'!L388,"")</f>
        <v/>
      </c>
      <c r="M388" t="str">
        <f>IF($A388&lt;&gt;"",'All Cases - Enter Cases'!M388,"")</f>
        <v/>
      </c>
    </row>
    <row r="389" spans="1:13" x14ac:dyDescent="0.35">
      <c r="A389" s="4" t="str">
        <f>IF('All Cases - Enter Cases'!$F389="Punjab",'All Cases - Enter Cases'!A389,"")</f>
        <v/>
      </c>
      <c r="B389" t="str">
        <f>IF($A389&lt;&gt;"",'All Cases - Enter Cases'!B389,"")</f>
        <v/>
      </c>
      <c r="C389" t="str">
        <f>IF($A389&lt;&gt;"",'All Cases - Enter Cases'!C389,"")</f>
        <v/>
      </c>
      <c r="D389" t="str">
        <f>IF($A389&lt;&gt;"",'All Cases - Enter Cases'!D389,"")</f>
        <v/>
      </c>
      <c r="E389" t="str">
        <f>IF($A389&lt;&gt;"",'All Cases - Enter Cases'!E389,"")</f>
        <v/>
      </c>
      <c r="F389" t="str">
        <f>IF($A389&lt;&gt;"",'All Cases - Enter Cases'!F389,"")</f>
        <v/>
      </c>
      <c r="G389" t="str">
        <f>IF($A389&lt;&gt;"",'All Cases - Enter Cases'!G389,"")</f>
        <v/>
      </c>
      <c r="H389" t="str">
        <f>IF($A389&lt;&gt;"",'All Cases - Enter Cases'!H389,"")</f>
        <v/>
      </c>
      <c r="I389" t="str">
        <f>IF($A389&lt;&gt;"",'All Cases - Enter Cases'!I389,"")</f>
        <v/>
      </c>
      <c r="J389" s="4" t="str">
        <f>IF($A389&lt;&gt;"",'All Cases - Enter Cases'!J389,"")</f>
        <v/>
      </c>
      <c r="K389" s="4" t="str">
        <f>IF($A389&lt;&gt;"",'All Cases - Enter Cases'!K389,"")</f>
        <v/>
      </c>
      <c r="L389" s="4" t="str">
        <f>IF($A389&lt;&gt;"",'All Cases - Enter Cases'!L389,"")</f>
        <v/>
      </c>
      <c r="M389" t="str">
        <f>IF($A389&lt;&gt;"",'All Cases - Enter Cases'!M389,"")</f>
        <v/>
      </c>
    </row>
    <row r="390" spans="1:13" x14ac:dyDescent="0.35">
      <c r="A390" s="4" t="str">
        <f>IF('All Cases - Enter Cases'!$F390="Punjab",'All Cases - Enter Cases'!A390,"")</f>
        <v/>
      </c>
      <c r="B390" t="str">
        <f>IF($A390&lt;&gt;"",'All Cases - Enter Cases'!B390,"")</f>
        <v/>
      </c>
      <c r="C390" t="str">
        <f>IF($A390&lt;&gt;"",'All Cases - Enter Cases'!C390,"")</f>
        <v/>
      </c>
      <c r="D390" t="str">
        <f>IF($A390&lt;&gt;"",'All Cases - Enter Cases'!D390,"")</f>
        <v/>
      </c>
      <c r="E390" t="str">
        <f>IF($A390&lt;&gt;"",'All Cases - Enter Cases'!E390,"")</f>
        <v/>
      </c>
      <c r="F390" t="str">
        <f>IF($A390&lt;&gt;"",'All Cases - Enter Cases'!F390,"")</f>
        <v/>
      </c>
      <c r="G390" t="str">
        <f>IF($A390&lt;&gt;"",'All Cases - Enter Cases'!G390,"")</f>
        <v/>
      </c>
      <c r="H390" t="str">
        <f>IF($A390&lt;&gt;"",'All Cases - Enter Cases'!H390,"")</f>
        <v/>
      </c>
      <c r="I390" t="str">
        <f>IF($A390&lt;&gt;"",'All Cases - Enter Cases'!I390,"")</f>
        <v/>
      </c>
      <c r="J390" s="4" t="str">
        <f>IF($A390&lt;&gt;"",'All Cases - Enter Cases'!J390,"")</f>
        <v/>
      </c>
      <c r="K390" s="4" t="str">
        <f>IF($A390&lt;&gt;"",'All Cases - Enter Cases'!K390,"")</f>
        <v/>
      </c>
      <c r="L390" s="4" t="str">
        <f>IF($A390&lt;&gt;"",'All Cases - Enter Cases'!L390,"")</f>
        <v/>
      </c>
      <c r="M390" t="str">
        <f>IF($A390&lt;&gt;"",'All Cases - Enter Cases'!M390,"")</f>
        <v/>
      </c>
    </row>
    <row r="391" spans="1:13" x14ac:dyDescent="0.35">
      <c r="A391" s="4" t="str">
        <f>IF('All Cases - Enter Cases'!$F391="Punjab",'All Cases - Enter Cases'!A391,"")</f>
        <v/>
      </c>
      <c r="B391" t="str">
        <f>IF($A391&lt;&gt;"",'All Cases - Enter Cases'!B391,"")</f>
        <v/>
      </c>
      <c r="C391" t="str">
        <f>IF($A391&lt;&gt;"",'All Cases - Enter Cases'!C391,"")</f>
        <v/>
      </c>
      <c r="D391" t="str">
        <f>IF($A391&lt;&gt;"",'All Cases - Enter Cases'!D391,"")</f>
        <v/>
      </c>
      <c r="E391" t="str">
        <f>IF($A391&lt;&gt;"",'All Cases - Enter Cases'!E391,"")</f>
        <v/>
      </c>
      <c r="F391" t="str">
        <f>IF($A391&lt;&gt;"",'All Cases - Enter Cases'!F391,"")</f>
        <v/>
      </c>
      <c r="G391" t="str">
        <f>IF($A391&lt;&gt;"",'All Cases - Enter Cases'!G391,"")</f>
        <v/>
      </c>
      <c r="H391" t="str">
        <f>IF($A391&lt;&gt;"",'All Cases - Enter Cases'!H391,"")</f>
        <v/>
      </c>
      <c r="I391" t="str">
        <f>IF($A391&lt;&gt;"",'All Cases - Enter Cases'!I391,"")</f>
        <v/>
      </c>
      <c r="J391" s="4" t="str">
        <f>IF($A391&lt;&gt;"",'All Cases - Enter Cases'!J391,"")</f>
        <v/>
      </c>
      <c r="K391" s="4" t="str">
        <f>IF($A391&lt;&gt;"",'All Cases - Enter Cases'!K391,"")</f>
        <v/>
      </c>
      <c r="L391" s="4" t="str">
        <f>IF($A391&lt;&gt;"",'All Cases - Enter Cases'!L391,"")</f>
        <v/>
      </c>
      <c r="M391" t="str">
        <f>IF($A391&lt;&gt;"",'All Cases - Enter Cases'!M391,"")</f>
        <v/>
      </c>
    </row>
    <row r="392" spans="1:13" x14ac:dyDescent="0.35">
      <c r="A392" s="4" t="str">
        <f>IF('All Cases - Enter Cases'!$F392="Punjab",'All Cases - Enter Cases'!A392,"")</f>
        <v/>
      </c>
      <c r="B392" t="str">
        <f>IF($A392&lt;&gt;"",'All Cases - Enter Cases'!B392,"")</f>
        <v/>
      </c>
      <c r="C392" t="str">
        <f>IF($A392&lt;&gt;"",'All Cases - Enter Cases'!C392,"")</f>
        <v/>
      </c>
      <c r="D392" t="str">
        <f>IF($A392&lt;&gt;"",'All Cases - Enter Cases'!D392,"")</f>
        <v/>
      </c>
      <c r="E392" t="str">
        <f>IF($A392&lt;&gt;"",'All Cases - Enter Cases'!E392,"")</f>
        <v/>
      </c>
      <c r="F392" t="str">
        <f>IF($A392&lt;&gt;"",'All Cases - Enter Cases'!F392,"")</f>
        <v/>
      </c>
      <c r="G392" t="str">
        <f>IF($A392&lt;&gt;"",'All Cases - Enter Cases'!G392,"")</f>
        <v/>
      </c>
      <c r="H392" t="str">
        <f>IF($A392&lt;&gt;"",'All Cases - Enter Cases'!H392,"")</f>
        <v/>
      </c>
      <c r="I392" t="str">
        <f>IF($A392&lt;&gt;"",'All Cases - Enter Cases'!I392,"")</f>
        <v/>
      </c>
      <c r="J392" s="4" t="str">
        <f>IF($A392&lt;&gt;"",'All Cases - Enter Cases'!J392,"")</f>
        <v/>
      </c>
      <c r="K392" s="4" t="str">
        <f>IF($A392&lt;&gt;"",'All Cases - Enter Cases'!K392,"")</f>
        <v/>
      </c>
      <c r="L392" s="4" t="str">
        <f>IF($A392&lt;&gt;"",'All Cases - Enter Cases'!L392,"")</f>
        <v/>
      </c>
      <c r="M392" t="str">
        <f>IF($A392&lt;&gt;"",'All Cases - Enter Cases'!M392,"")</f>
        <v/>
      </c>
    </row>
    <row r="393" spans="1:13" x14ac:dyDescent="0.35">
      <c r="A393" s="4" t="str">
        <f>IF('All Cases - Enter Cases'!$F393="Punjab",'All Cases - Enter Cases'!A393,"")</f>
        <v/>
      </c>
      <c r="B393" t="str">
        <f>IF($A393&lt;&gt;"",'All Cases - Enter Cases'!B393,"")</f>
        <v/>
      </c>
      <c r="C393" t="str">
        <f>IF($A393&lt;&gt;"",'All Cases - Enter Cases'!C393,"")</f>
        <v/>
      </c>
      <c r="D393" t="str">
        <f>IF($A393&lt;&gt;"",'All Cases - Enter Cases'!D393,"")</f>
        <v/>
      </c>
      <c r="E393" t="str">
        <f>IF($A393&lt;&gt;"",'All Cases - Enter Cases'!E393,"")</f>
        <v/>
      </c>
      <c r="F393" t="str">
        <f>IF($A393&lt;&gt;"",'All Cases - Enter Cases'!F393,"")</f>
        <v/>
      </c>
      <c r="G393" t="str">
        <f>IF($A393&lt;&gt;"",'All Cases - Enter Cases'!G393,"")</f>
        <v/>
      </c>
      <c r="H393" t="str">
        <f>IF($A393&lt;&gt;"",'All Cases - Enter Cases'!H393,"")</f>
        <v/>
      </c>
      <c r="I393" t="str">
        <f>IF($A393&lt;&gt;"",'All Cases - Enter Cases'!I393,"")</f>
        <v/>
      </c>
      <c r="J393" s="4" t="str">
        <f>IF($A393&lt;&gt;"",'All Cases - Enter Cases'!J393,"")</f>
        <v/>
      </c>
      <c r="K393" s="4" t="str">
        <f>IF($A393&lt;&gt;"",'All Cases - Enter Cases'!K393,"")</f>
        <v/>
      </c>
      <c r="L393" s="4" t="str">
        <f>IF($A393&lt;&gt;"",'All Cases - Enter Cases'!L393,"")</f>
        <v/>
      </c>
      <c r="M393" t="str">
        <f>IF($A393&lt;&gt;"",'All Cases - Enter Cases'!M393,"")</f>
        <v/>
      </c>
    </row>
    <row r="394" spans="1:13" x14ac:dyDescent="0.35">
      <c r="A394" s="4" t="str">
        <f>IF('All Cases - Enter Cases'!$F394="Punjab",'All Cases - Enter Cases'!A394,"")</f>
        <v/>
      </c>
      <c r="B394" t="str">
        <f>IF($A394&lt;&gt;"",'All Cases - Enter Cases'!B394,"")</f>
        <v/>
      </c>
      <c r="C394" t="str">
        <f>IF($A394&lt;&gt;"",'All Cases - Enter Cases'!C394,"")</f>
        <v/>
      </c>
      <c r="D394" t="str">
        <f>IF($A394&lt;&gt;"",'All Cases - Enter Cases'!D394,"")</f>
        <v/>
      </c>
      <c r="E394" t="str">
        <f>IF($A394&lt;&gt;"",'All Cases - Enter Cases'!E394,"")</f>
        <v/>
      </c>
      <c r="F394" t="str">
        <f>IF($A394&lt;&gt;"",'All Cases - Enter Cases'!F394,"")</f>
        <v/>
      </c>
      <c r="G394" t="str">
        <f>IF($A394&lt;&gt;"",'All Cases - Enter Cases'!G394,"")</f>
        <v/>
      </c>
      <c r="H394" t="str">
        <f>IF($A394&lt;&gt;"",'All Cases - Enter Cases'!H394,"")</f>
        <v/>
      </c>
      <c r="I394" t="str">
        <f>IF($A394&lt;&gt;"",'All Cases - Enter Cases'!I394,"")</f>
        <v/>
      </c>
      <c r="J394" s="4" t="str">
        <f>IF($A394&lt;&gt;"",'All Cases - Enter Cases'!J394,"")</f>
        <v/>
      </c>
      <c r="K394" s="4" t="str">
        <f>IF($A394&lt;&gt;"",'All Cases - Enter Cases'!K394,"")</f>
        <v/>
      </c>
      <c r="L394" s="4" t="str">
        <f>IF($A394&lt;&gt;"",'All Cases - Enter Cases'!L394,"")</f>
        <v/>
      </c>
      <c r="M394" t="str">
        <f>IF($A394&lt;&gt;"",'All Cases - Enter Cases'!M394,"")</f>
        <v/>
      </c>
    </row>
    <row r="395" spans="1:13" x14ac:dyDescent="0.35">
      <c r="A395" s="4" t="str">
        <f>IF('All Cases - Enter Cases'!$F395="Punjab",'All Cases - Enter Cases'!A395,"")</f>
        <v/>
      </c>
      <c r="B395" t="str">
        <f>IF($A395&lt;&gt;"",'All Cases - Enter Cases'!B395,"")</f>
        <v/>
      </c>
      <c r="C395" t="str">
        <f>IF($A395&lt;&gt;"",'All Cases - Enter Cases'!C395,"")</f>
        <v/>
      </c>
      <c r="D395" t="str">
        <f>IF($A395&lt;&gt;"",'All Cases - Enter Cases'!D395,"")</f>
        <v/>
      </c>
      <c r="E395" t="str">
        <f>IF($A395&lt;&gt;"",'All Cases - Enter Cases'!E395,"")</f>
        <v/>
      </c>
      <c r="F395" t="str">
        <f>IF($A395&lt;&gt;"",'All Cases - Enter Cases'!F395,"")</f>
        <v/>
      </c>
      <c r="G395" t="str">
        <f>IF($A395&lt;&gt;"",'All Cases - Enter Cases'!G395,"")</f>
        <v/>
      </c>
      <c r="H395" t="str">
        <f>IF($A395&lt;&gt;"",'All Cases - Enter Cases'!H395,"")</f>
        <v/>
      </c>
      <c r="I395" t="str">
        <f>IF($A395&lt;&gt;"",'All Cases - Enter Cases'!I395,"")</f>
        <v/>
      </c>
      <c r="J395" s="4" t="str">
        <f>IF($A395&lt;&gt;"",'All Cases - Enter Cases'!J395,"")</f>
        <v/>
      </c>
      <c r="K395" s="4" t="str">
        <f>IF($A395&lt;&gt;"",'All Cases - Enter Cases'!K395,"")</f>
        <v/>
      </c>
      <c r="L395" s="4" t="str">
        <f>IF($A395&lt;&gt;"",'All Cases - Enter Cases'!L395,"")</f>
        <v/>
      </c>
      <c r="M395" t="str">
        <f>IF($A395&lt;&gt;"",'All Cases - Enter Cases'!M395,"")</f>
        <v/>
      </c>
    </row>
    <row r="396" spans="1:13" x14ac:dyDescent="0.35">
      <c r="A396" s="4" t="str">
        <f>IF('All Cases - Enter Cases'!$F396="Punjab",'All Cases - Enter Cases'!A396,"")</f>
        <v/>
      </c>
      <c r="B396" t="str">
        <f>IF($A396&lt;&gt;"",'All Cases - Enter Cases'!B396,"")</f>
        <v/>
      </c>
      <c r="C396" t="str">
        <f>IF($A396&lt;&gt;"",'All Cases - Enter Cases'!C396,"")</f>
        <v/>
      </c>
      <c r="D396" t="str">
        <f>IF($A396&lt;&gt;"",'All Cases - Enter Cases'!D396,"")</f>
        <v/>
      </c>
      <c r="E396" t="str">
        <f>IF($A396&lt;&gt;"",'All Cases - Enter Cases'!E396,"")</f>
        <v/>
      </c>
      <c r="F396" t="str">
        <f>IF($A396&lt;&gt;"",'All Cases - Enter Cases'!F396,"")</f>
        <v/>
      </c>
      <c r="G396" t="str">
        <f>IF($A396&lt;&gt;"",'All Cases - Enter Cases'!G396,"")</f>
        <v/>
      </c>
      <c r="H396" t="str">
        <f>IF($A396&lt;&gt;"",'All Cases - Enter Cases'!H396,"")</f>
        <v/>
      </c>
      <c r="I396" t="str">
        <f>IF($A396&lt;&gt;"",'All Cases - Enter Cases'!I396,"")</f>
        <v/>
      </c>
      <c r="J396" s="4" t="str">
        <f>IF($A396&lt;&gt;"",'All Cases - Enter Cases'!J396,"")</f>
        <v/>
      </c>
      <c r="K396" s="4" t="str">
        <f>IF($A396&lt;&gt;"",'All Cases - Enter Cases'!K396,"")</f>
        <v/>
      </c>
      <c r="L396" s="4" t="str">
        <f>IF($A396&lt;&gt;"",'All Cases - Enter Cases'!L396,"")</f>
        <v/>
      </c>
      <c r="M396" t="str">
        <f>IF($A396&lt;&gt;"",'All Cases - Enter Cases'!M396,"")</f>
        <v/>
      </c>
    </row>
    <row r="397" spans="1:13" x14ac:dyDescent="0.35">
      <c r="A397" s="4" t="str">
        <f>IF('All Cases - Enter Cases'!$F397="Punjab",'All Cases - Enter Cases'!A397,"")</f>
        <v/>
      </c>
      <c r="B397" t="str">
        <f>IF($A397&lt;&gt;"",'All Cases - Enter Cases'!B397,"")</f>
        <v/>
      </c>
      <c r="C397" t="str">
        <f>IF($A397&lt;&gt;"",'All Cases - Enter Cases'!C397,"")</f>
        <v/>
      </c>
      <c r="D397" t="str">
        <f>IF($A397&lt;&gt;"",'All Cases - Enter Cases'!D397,"")</f>
        <v/>
      </c>
      <c r="E397" t="str">
        <f>IF($A397&lt;&gt;"",'All Cases - Enter Cases'!E397,"")</f>
        <v/>
      </c>
      <c r="F397" t="str">
        <f>IF($A397&lt;&gt;"",'All Cases - Enter Cases'!F397,"")</f>
        <v/>
      </c>
      <c r="G397" t="str">
        <f>IF($A397&lt;&gt;"",'All Cases - Enter Cases'!G397,"")</f>
        <v/>
      </c>
      <c r="H397" t="str">
        <f>IF($A397&lt;&gt;"",'All Cases - Enter Cases'!H397,"")</f>
        <v/>
      </c>
      <c r="I397" t="str">
        <f>IF($A397&lt;&gt;"",'All Cases - Enter Cases'!I397,"")</f>
        <v/>
      </c>
      <c r="J397" s="4" t="str">
        <f>IF($A397&lt;&gt;"",'All Cases - Enter Cases'!J397,"")</f>
        <v/>
      </c>
      <c r="K397" s="4" t="str">
        <f>IF($A397&lt;&gt;"",'All Cases - Enter Cases'!K397,"")</f>
        <v/>
      </c>
      <c r="L397" s="4" t="str">
        <f>IF($A397&lt;&gt;"",'All Cases - Enter Cases'!L397,"")</f>
        <v/>
      </c>
      <c r="M397" t="str">
        <f>IF($A397&lt;&gt;"",'All Cases - Enter Cases'!M397,"")</f>
        <v/>
      </c>
    </row>
    <row r="398" spans="1:13" x14ac:dyDescent="0.35">
      <c r="A398" s="4" t="str">
        <f>IF('All Cases - Enter Cases'!$F398="Punjab",'All Cases - Enter Cases'!A398,"")</f>
        <v/>
      </c>
      <c r="B398" t="str">
        <f>IF($A398&lt;&gt;"",'All Cases - Enter Cases'!B398,"")</f>
        <v/>
      </c>
      <c r="C398" t="str">
        <f>IF($A398&lt;&gt;"",'All Cases - Enter Cases'!C398,"")</f>
        <v/>
      </c>
      <c r="D398" t="str">
        <f>IF($A398&lt;&gt;"",'All Cases - Enter Cases'!D398,"")</f>
        <v/>
      </c>
      <c r="E398" t="str">
        <f>IF($A398&lt;&gt;"",'All Cases - Enter Cases'!E398,"")</f>
        <v/>
      </c>
      <c r="F398" t="str">
        <f>IF($A398&lt;&gt;"",'All Cases - Enter Cases'!F398,"")</f>
        <v/>
      </c>
      <c r="G398" t="str">
        <f>IF($A398&lt;&gt;"",'All Cases - Enter Cases'!G398,"")</f>
        <v/>
      </c>
      <c r="H398" t="str">
        <f>IF($A398&lt;&gt;"",'All Cases - Enter Cases'!H398,"")</f>
        <v/>
      </c>
      <c r="I398" t="str">
        <f>IF($A398&lt;&gt;"",'All Cases - Enter Cases'!I398,"")</f>
        <v/>
      </c>
      <c r="J398" s="4" t="str">
        <f>IF($A398&lt;&gt;"",'All Cases - Enter Cases'!J398,"")</f>
        <v/>
      </c>
      <c r="K398" s="4" t="str">
        <f>IF($A398&lt;&gt;"",'All Cases - Enter Cases'!K398,"")</f>
        <v/>
      </c>
      <c r="L398" s="4" t="str">
        <f>IF($A398&lt;&gt;"",'All Cases - Enter Cases'!L398,"")</f>
        <v/>
      </c>
      <c r="M398" t="str">
        <f>IF($A398&lt;&gt;"",'All Cases - Enter Cases'!M398,"")</f>
        <v/>
      </c>
    </row>
    <row r="399" spans="1:13" x14ac:dyDescent="0.35">
      <c r="A399" s="4" t="str">
        <f>IF('All Cases - Enter Cases'!$F399="Punjab",'All Cases - Enter Cases'!A399,"")</f>
        <v/>
      </c>
      <c r="B399" t="str">
        <f>IF($A399&lt;&gt;"",'All Cases - Enter Cases'!B399,"")</f>
        <v/>
      </c>
      <c r="C399" t="str">
        <f>IF($A399&lt;&gt;"",'All Cases - Enter Cases'!C399,"")</f>
        <v/>
      </c>
      <c r="D399" t="str">
        <f>IF($A399&lt;&gt;"",'All Cases - Enter Cases'!D399,"")</f>
        <v/>
      </c>
      <c r="E399" t="str">
        <f>IF($A399&lt;&gt;"",'All Cases - Enter Cases'!E399,"")</f>
        <v/>
      </c>
      <c r="F399" t="str">
        <f>IF($A399&lt;&gt;"",'All Cases - Enter Cases'!F399,"")</f>
        <v/>
      </c>
      <c r="G399" t="str">
        <f>IF($A399&lt;&gt;"",'All Cases - Enter Cases'!G399,"")</f>
        <v/>
      </c>
      <c r="H399" t="str">
        <f>IF($A399&lt;&gt;"",'All Cases - Enter Cases'!H399,"")</f>
        <v/>
      </c>
      <c r="I399" t="str">
        <f>IF($A399&lt;&gt;"",'All Cases - Enter Cases'!I399,"")</f>
        <v/>
      </c>
      <c r="J399" s="4" t="str">
        <f>IF($A399&lt;&gt;"",'All Cases - Enter Cases'!J399,"")</f>
        <v/>
      </c>
      <c r="K399" s="4" t="str">
        <f>IF($A399&lt;&gt;"",'All Cases - Enter Cases'!K399,"")</f>
        <v/>
      </c>
      <c r="L399" s="4" t="str">
        <f>IF($A399&lt;&gt;"",'All Cases - Enter Cases'!L399,"")</f>
        <v/>
      </c>
      <c r="M399" t="str">
        <f>IF($A399&lt;&gt;"",'All Cases - Enter Cases'!M399,"")</f>
        <v/>
      </c>
    </row>
    <row r="400" spans="1:13" x14ac:dyDescent="0.35">
      <c r="A400" s="4" t="str">
        <f>IF('All Cases - Enter Cases'!$F400="Punjab",'All Cases - Enter Cases'!A400,"")</f>
        <v/>
      </c>
      <c r="B400" t="str">
        <f>IF($A400&lt;&gt;"",'All Cases - Enter Cases'!B400,"")</f>
        <v/>
      </c>
      <c r="C400" t="str">
        <f>IF($A400&lt;&gt;"",'All Cases - Enter Cases'!C400,"")</f>
        <v/>
      </c>
      <c r="D400" t="str">
        <f>IF($A400&lt;&gt;"",'All Cases - Enter Cases'!D400,"")</f>
        <v/>
      </c>
      <c r="E400" t="str">
        <f>IF($A400&lt;&gt;"",'All Cases - Enter Cases'!E400,"")</f>
        <v/>
      </c>
      <c r="F400" t="str">
        <f>IF($A400&lt;&gt;"",'All Cases - Enter Cases'!F400,"")</f>
        <v/>
      </c>
      <c r="G400" t="str">
        <f>IF($A400&lt;&gt;"",'All Cases - Enter Cases'!G400,"")</f>
        <v/>
      </c>
      <c r="H400" t="str">
        <f>IF($A400&lt;&gt;"",'All Cases - Enter Cases'!H400,"")</f>
        <v/>
      </c>
      <c r="I400" t="str">
        <f>IF($A400&lt;&gt;"",'All Cases - Enter Cases'!I400,"")</f>
        <v/>
      </c>
      <c r="J400" s="4" t="str">
        <f>IF($A400&lt;&gt;"",'All Cases - Enter Cases'!J400,"")</f>
        <v/>
      </c>
      <c r="K400" s="4" t="str">
        <f>IF($A400&lt;&gt;"",'All Cases - Enter Cases'!K400,"")</f>
        <v/>
      </c>
      <c r="L400" s="4" t="str">
        <f>IF($A400&lt;&gt;"",'All Cases - Enter Cases'!L400,"")</f>
        <v/>
      </c>
      <c r="M400" t="str">
        <f>IF($A400&lt;&gt;"",'All Cases - Enter Cases'!M400,"")</f>
        <v/>
      </c>
    </row>
    <row r="401" spans="1:13" x14ac:dyDescent="0.35">
      <c r="A401" s="4" t="str">
        <f>IF('All Cases - Enter Cases'!$F401="Punjab",'All Cases - Enter Cases'!A401,"")</f>
        <v/>
      </c>
      <c r="B401" t="str">
        <f>IF($A401&lt;&gt;"",'All Cases - Enter Cases'!B401,"")</f>
        <v/>
      </c>
      <c r="C401" t="str">
        <f>IF($A401&lt;&gt;"",'All Cases - Enter Cases'!C401,"")</f>
        <v/>
      </c>
      <c r="D401" t="str">
        <f>IF($A401&lt;&gt;"",'All Cases - Enter Cases'!D401,"")</f>
        <v/>
      </c>
      <c r="E401" t="str">
        <f>IF($A401&lt;&gt;"",'All Cases - Enter Cases'!E401,"")</f>
        <v/>
      </c>
      <c r="F401" t="str">
        <f>IF($A401&lt;&gt;"",'All Cases - Enter Cases'!F401,"")</f>
        <v/>
      </c>
      <c r="G401" t="str">
        <f>IF($A401&lt;&gt;"",'All Cases - Enter Cases'!G401,"")</f>
        <v/>
      </c>
      <c r="H401" t="str">
        <f>IF($A401&lt;&gt;"",'All Cases - Enter Cases'!H401,"")</f>
        <v/>
      </c>
      <c r="I401" t="str">
        <f>IF($A401&lt;&gt;"",'All Cases - Enter Cases'!I401,"")</f>
        <v/>
      </c>
      <c r="J401" s="4" t="str">
        <f>IF($A401&lt;&gt;"",'All Cases - Enter Cases'!J401,"")</f>
        <v/>
      </c>
      <c r="K401" s="4" t="str">
        <f>IF($A401&lt;&gt;"",'All Cases - Enter Cases'!K401,"")</f>
        <v/>
      </c>
      <c r="L401" s="4" t="str">
        <f>IF($A401&lt;&gt;"",'All Cases - Enter Cases'!L401,"")</f>
        <v/>
      </c>
      <c r="M401" t="str">
        <f>IF($A401&lt;&gt;"",'All Cases - Enter Cases'!M401,"")</f>
        <v/>
      </c>
    </row>
    <row r="402" spans="1:13" x14ac:dyDescent="0.35">
      <c r="A402" s="4" t="str">
        <f>IF('All Cases - Enter Cases'!$F402="Punjab",'All Cases - Enter Cases'!A402,"")</f>
        <v/>
      </c>
      <c r="B402" t="str">
        <f>IF($A402&lt;&gt;"",'All Cases - Enter Cases'!B402,"")</f>
        <v/>
      </c>
      <c r="C402" t="str">
        <f>IF($A402&lt;&gt;"",'All Cases - Enter Cases'!C402,"")</f>
        <v/>
      </c>
      <c r="D402" t="str">
        <f>IF($A402&lt;&gt;"",'All Cases - Enter Cases'!D402,"")</f>
        <v/>
      </c>
      <c r="E402" t="str">
        <f>IF($A402&lt;&gt;"",'All Cases - Enter Cases'!E402,"")</f>
        <v/>
      </c>
      <c r="F402" t="str">
        <f>IF($A402&lt;&gt;"",'All Cases - Enter Cases'!F402,"")</f>
        <v/>
      </c>
      <c r="G402" t="str">
        <f>IF($A402&lt;&gt;"",'All Cases - Enter Cases'!G402,"")</f>
        <v/>
      </c>
      <c r="H402" t="str">
        <f>IF($A402&lt;&gt;"",'All Cases - Enter Cases'!H402,"")</f>
        <v/>
      </c>
      <c r="I402" t="str">
        <f>IF($A402&lt;&gt;"",'All Cases - Enter Cases'!I402,"")</f>
        <v/>
      </c>
      <c r="J402" s="4" t="str">
        <f>IF($A402&lt;&gt;"",'All Cases - Enter Cases'!J402,"")</f>
        <v/>
      </c>
      <c r="K402" s="4" t="str">
        <f>IF($A402&lt;&gt;"",'All Cases - Enter Cases'!K402,"")</f>
        <v/>
      </c>
      <c r="L402" s="4" t="str">
        <f>IF($A402&lt;&gt;"",'All Cases - Enter Cases'!L402,"")</f>
        <v/>
      </c>
      <c r="M402" t="str">
        <f>IF($A402&lt;&gt;"",'All Cases - Enter Cases'!M402,"")</f>
        <v/>
      </c>
    </row>
    <row r="403" spans="1:13" x14ac:dyDescent="0.35">
      <c r="A403" s="4" t="str">
        <f>IF('All Cases - Enter Cases'!$F403="Punjab",'All Cases - Enter Cases'!A403,"")</f>
        <v/>
      </c>
      <c r="B403" t="str">
        <f>IF($A403&lt;&gt;"",'All Cases - Enter Cases'!B403,"")</f>
        <v/>
      </c>
      <c r="C403" t="str">
        <f>IF($A403&lt;&gt;"",'All Cases - Enter Cases'!C403,"")</f>
        <v/>
      </c>
      <c r="D403" t="str">
        <f>IF($A403&lt;&gt;"",'All Cases - Enter Cases'!D403,"")</f>
        <v/>
      </c>
      <c r="E403" t="str">
        <f>IF($A403&lt;&gt;"",'All Cases - Enter Cases'!E403,"")</f>
        <v/>
      </c>
      <c r="F403" t="str">
        <f>IF($A403&lt;&gt;"",'All Cases - Enter Cases'!F403,"")</f>
        <v/>
      </c>
      <c r="G403" t="str">
        <f>IF($A403&lt;&gt;"",'All Cases - Enter Cases'!G403,"")</f>
        <v/>
      </c>
      <c r="H403" t="str">
        <f>IF($A403&lt;&gt;"",'All Cases - Enter Cases'!H403,"")</f>
        <v/>
      </c>
      <c r="I403" t="str">
        <f>IF($A403&lt;&gt;"",'All Cases - Enter Cases'!I403,"")</f>
        <v/>
      </c>
      <c r="J403" s="4" t="str">
        <f>IF($A403&lt;&gt;"",'All Cases - Enter Cases'!J403,"")</f>
        <v/>
      </c>
      <c r="K403" s="4" t="str">
        <f>IF($A403&lt;&gt;"",'All Cases - Enter Cases'!K403,"")</f>
        <v/>
      </c>
      <c r="L403" s="4" t="str">
        <f>IF($A403&lt;&gt;"",'All Cases - Enter Cases'!L403,"")</f>
        <v/>
      </c>
      <c r="M403" t="str">
        <f>IF($A403&lt;&gt;"",'All Cases - Enter Cases'!M403,"")</f>
        <v/>
      </c>
    </row>
    <row r="404" spans="1:13" x14ac:dyDescent="0.35">
      <c r="A404" s="4" t="str">
        <f>IF('All Cases - Enter Cases'!$F404="Punjab",'All Cases - Enter Cases'!A404,"")</f>
        <v/>
      </c>
      <c r="B404" t="str">
        <f>IF($A404&lt;&gt;"",'All Cases - Enter Cases'!B404,"")</f>
        <v/>
      </c>
      <c r="C404" t="str">
        <f>IF($A404&lt;&gt;"",'All Cases - Enter Cases'!C404,"")</f>
        <v/>
      </c>
      <c r="D404" t="str">
        <f>IF($A404&lt;&gt;"",'All Cases - Enter Cases'!D404,"")</f>
        <v/>
      </c>
      <c r="E404" t="str">
        <f>IF($A404&lt;&gt;"",'All Cases - Enter Cases'!E404,"")</f>
        <v/>
      </c>
      <c r="F404" t="str">
        <f>IF($A404&lt;&gt;"",'All Cases - Enter Cases'!F404,"")</f>
        <v/>
      </c>
      <c r="G404" t="str">
        <f>IF($A404&lt;&gt;"",'All Cases - Enter Cases'!G404,"")</f>
        <v/>
      </c>
      <c r="H404" t="str">
        <f>IF($A404&lt;&gt;"",'All Cases - Enter Cases'!H404,"")</f>
        <v/>
      </c>
      <c r="I404" t="str">
        <f>IF($A404&lt;&gt;"",'All Cases - Enter Cases'!I404,"")</f>
        <v/>
      </c>
      <c r="J404" s="4" t="str">
        <f>IF($A404&lt;&gt;"",'All Cases - Enter Cases'!J404,"")</f>
        <v/>
      </c>
      <c r="K404" s="4" t="str">
        <f>IF($A404&lt;&gt;"",'All Cases - Enter Cases'!K404,"")</f>
        <v/>
      </c>
      <c r="L404" s="4" t="str">
        <f>IF($A404&lt;&gt;"",'All Cases - Enter Cases'!L404,"")</f>
        <v/>
      </c>
      <c r="M404" t="str">
        <f>IF($A404&lt;&gt;"",'All Cases - Enter Cases'!M404,"")</f>
        <v/>
      </c>
    </row>
    <row r="405" spans="1:13" x14ac:dyDescent="0.35">
      <c r="A405" s="4" t="str">
        <f>IF('All Cases - Enter Cases'!$F405="Punjab",'All Cases - Enter Cases'!A405,"")</f>
        <v/>
      </c>
      <c r="B405" t="str">
        <f>IF($A405&lt;&gt;"",'All Cases - Enter Cases'!B405,"")</f>
        <v/>
      </c>
      <c r="C405" t="str">
        <f>IF($A405&lt;&gt;"",'All Cases - Enter Cases'!C405,"")</f>
        <v/>
      </c>
      <c r="D405" t="str">
        <f>IF($A405&lt;&gt;"",'All Cases - Enter Cases'!D405,"")</f>
        <v/>
      </c>
      <c r="E405" t="str">
        <f>IF($A405&lt;&gt;"",'All Cases - Enter Cases'!E405,"")</f>
        <v/>
      </c>
      <c r="F405" t="str">
        <f>IF($A405&lt;&gt;"",'All Cases - Enter Cases'!F405,"")</f>
        <v/>
      </c>
      <c r="G405" t="str">
        <f>IF($A405&lt;&gt;"",'All Cases - Enter Cases'!G405,"")</f>
        <v/>
      </c>
      <c r="H405" t="str">
        <f>IF($A405&lt;&gt;"",'All Cases - Enter Cases'!H405,"")</f>
        <v/>
      </c>
      <c r="I405" t="str">
        <f>IF($A405&lt;&gt;"",'All Cases - Enter Cases'!I405,"")</f>
        <v/>
      </c>
      <c r="J405" s="4" t="str">
        <f>IF($A405&lt;&gt;"",'All Cases - Enter Cases'!J405,"")</f>
        <v/>
      </c>
      <c r="K405" s="4" t="str">
        <f>IF($A405&lt;&gt;"",'All Cases - Enter Cases'!K405,"")</f>
        <v/>
      </c>
      <c r="L405" s="4" t="str">
        <f>IF($A405&lt;&gt;"",'All Cases - Enter Cases'!L405,"")</f>
        <v/>
      </c>
      <c r="M405" t="str">
        <f>IF($A405&lt;&gt;"",'All Cases - Enter Cases'!M405,"")</f>
        <v/>
      </c>
    </row>
    <row r="406" spans="1:13" x14ac:dyDescent="0.35">
      <c r="A406" s="4" t="str">
        <f>IF('All Cases - Enter Cases'!$F406="Punjab",'All Cases - Enter Cases'!A406,"")</f>
        <v/>
      </c>
      <c r="B406" t="str">
        <f>IF($A406&lt;&gt;"",'All Cases - Enter Cases'!B406,"")</f>
        <v/>
      </c>
      <c r="C406" t="str">
        <f>IF($A406&lt;&gt;"",'All Cases - Enter Cases'!C406,"")</f>
        <v/>
      </c>
      <c r="D406" t="str">
        <f>IF($A406&lt;&gt;"",'All Cases - Enter Cases'!D406,"")</f>
        <v/>
      </c>
      <c r="E406" t="str">
        <f>IF($A406&lt;&gt;"",'All Cases - Enter Cases'!E406,"")</f>
        <v/>
      </c>
      <c r="F406" t="str">
        <f>IF($A406&lt;&gt;"",'All Cases - Enter Cases'!F406,"")</f>
        <v/>
      </c>
      <c r="G406" t="str">
        <f>IF($A406&lt;&gt;"",'All Cases - Enter Cases'!G406,"")</f>
        <v/>
      </c>
      <c r="H406" t="str">
        <f>IF($A406&lt;&gt;"",'All Cases - Enter Cases'!H406,"")</f>
        <v/>
      </c>
      <c r="I406" t="str">
        <f>IF($A406&lt;&gt;"",'All Cases - Enter Cases'!I406,"")</f>
        <v/>
      </c>
      <c r="J406" s="4" t="str">
        <f>IF($A406&lt;&gt;"",'All Cases - Enter Cases'!J406,"")</f>
        <v/>
      </c>
      <c r="K406" s="4" t="str">
        <f>IF($A406&lt;&gt;"",'All Cases - Enter Cases'!K406,"")</f>
        <v/>
      </c>
      <c r="L406" s="4" t="str">
        <f>IF($A406&lt;&gt;"",'All Cases - Enter Cases'!L406,"")</f>
        <v/>
      </c>
      <c r="M406" t="str">
        <f>IF($A406&lt;&gt;"",'All Cases - Enter Cases'!M406,"")</f>
        <v/>
      </c>
    </row>
    <row r="407" spans="1:13" x14ac:dyDescent="0.35">
      <c r="A407" s="4" t="str">
        <f>IF('All Cases - Enter Cases'!$F407="Punjab",'All Cases - Enter Cases'!A407,"")</f>
        <v/>
      </c>
      <c r="B407" t="str">
        <f>IF($A407&lt;&gt;"",'All Cases - Enter Cases'!B407,"")</f>
        <v/>
      </c>
      <c r="C407" t="str">
        <f>IF($A407&lt;&gt;"",'All Cases - Enter Cases'!C407,"")</f>
        <v/>
      </c>
      <c r="D407" t="str">
        <f>IF($A407&lt;&gt;"",'All Cases - Enter Cases'!D407,"")</f>
        <v/>
      </c>
      <c r="E407" t="str">
        <f>IF($A407&lt;&gt;"",'All Cases - Enter Cases'!E407,"")</f>
        <v/>
      </c>
      <c r="F407" t="str">
        <f>IF($A407&lt;&gt;"",'All Cases - Enter Cases'!F407,"")</f>
        <v/>
      </c>
      <c r="G407" t="str">
        <f>IF($A407&lt;&gt;"",'All Cases - Enter Cases'!G407,"")</f>
        <v/>
      </c>
      <c r="H407" t="str">
        <f>IF($A407&lt;&gt;"",'All Cases - Enter Cases'!H407,"")</f>
        <v/>
      </c>
      <c r="I407" t="str">
        <f>IF($A407&lt;&gt;"",'All Cases - Enter Cases'!I407,"")</f>
        <v/>
      </c>
      <c r="J407" s="4" t="str">
        <f>IF($A407&lt;&gt;"",'All Cases - Enter Cases'!J407,"")</f>
        <v/>
      </c>
      <c r="K407" s="4" t="str">
        <f>IF($A407&lt;&gt;"",'All Cases - Enter Cases'!K407,"")</f>
        <v/>
      </c>
      <c r="L407" s="4" t="str">
        <f>IF($A407&lt;&gt;"",'All Cases - Enter Cases'!L407,"")</f>
        <v/>
      </c>
      <c r="M407" t="str">
        <f>IF($A407&lt;&gt;"",'All Cases - Enter Cases'!M407,"")</f>
        <v/>
      </c>
    </row>
    <row r="408" spans="1:13" x14ac:dyDescent="0.35">
      <c r="A408" s="4" t="str">
        <f>IF('All Cases - Enter Cases'!$F408="Punjab",'All Cases - Enter Cases'!A408,"")</f>
        <v/>
      </c>
      <c r="B408" t="str">
        <f>IF($A408&lt;&gt;"",'All Cases - Enter Cases'!B408,"")</f>
        <v/>
      </c>
      <c r="C408" t="str">
        <f>IF($A408&lt;&gt;"",'All Cases - Enter Cases'!C408,"")</f>
        <v/>
      </c>
      <c r="D408" t="str">
        <f>IF($A408&lt;&gt;"",'All Cases - Enter Cases'!D408,"")</f>
        <v/>
      </c>
      <c r="E408" t="str">
        <f>IF($A408&lt;&gt;"",'All Cases - Enter Cases'!E408,"")</f>
        <v/>
      </c>
      <c r="F408" t="str">
        <f>IF($A408&lt;&gt;"",'All Cases - Enter Cases'!F408,"")</f>
        <v/>
      </c>
      <c r="G408" t="str">
        <f>IF($A408&lt;&gt;"",'All Cases - Enter Cases'!G408,"")</f>
        <v/>
      </c>
      <c r="H408" t="str">
        <f>IF($A408&lt;&gt;"",'All Cases - Enter Cases'!H408,"")</f>
        <v/>
      </c>
      <c r="I408" t="str">
        <f>IF($A408&lt;&gt;"",'All Cases - Enter Cases'!I408,"")</f>
        <v/>
      </c>
      <c r="J408" s="4" t="str">
        <f>IF($A408&lt;&gt;"",'All Cases - Enter Cases'!J408,"")</f>
        <v/>
      </c>
      <c r="K408" s="4" t="str">
        <f>IF($A408&lt;&gt;"",'All Cases - Enter Cases'!K408,"")</f>
        <v/>
      </c>
      <c r="L408" s="4" t="str">
        <f>IF($A408&lt;&gt;"",'All Cases - Enter Cases'!L408,"")</f>
        <v/>
      </c>
      <c r="M408" t="str">
        <f>IF($A408&lt;&gt;"",'All Cases - Enter Cases'!M408,"")</f>
        <v/>
      </c>
    </row>
    <row r="409" spans="1:13" x14ac:dyDescent="0.35">
      <c r="A409" s="4" t="str">
        <f>IF('All Cases - Enter Cases'!$F409="Punjab",'All Cases - Enter Cases'!A409,"")</f>
        <v/>
      </c>
      <c r="B409" t="str">
        <f>IF($A409&lt;&gt;"",'All Cases - Enter Cases'!B409,"")</f>
        <v/>
      </c>
      <c r="C409" t="str">
        <f>IF($A409&lt;&gt;"",'All Cases - Enter Cases'!C409,"")</f>
        <v/>
      </c>
      <c r="D409" t="str">
        <f>IF($A409&lt;&gt;"",'All Cases - Enter Cases'!D409,"")</f>
        <v/>
      </c>
      <c r="E409" t="str">
        <f>IF($A409&lt;&gt;"",'All Cases - Enter Cases'!E409,"")</f>
        <v/>
      </c>
      <c r="F409" t="str">
        <f>IF($A409&lt;&gt;"",'All Cases - Enter Cases'!F409,"")</f>
        <v/>
      </c>
      <c r="G409" t="str">
        <f>IF($A409&lt;&gt;"",'All Cases - Enter Cases'!G409,"")</f>
        <v/>
      </c>
      <c r="H409" t="str">
        <f>IF($A409&lt;&gt;"",'All Cases - Enter Cases'!H409,"")</f>
        <v/>
      </c>
      <c r="I409" t="str">
        <f>IF($A409&lt;&gt;"",'All Cases - Enter Cases'!I409,"")</f>
        <v/>
      </c>
      <c r="J409" s="4" t="str">
        <f>IF($A409&lt;&gt;"",'All Cases - Enter Cases'!J409,"")</f>
        <v/>
      </c>
      <c r="K409" s="4" t="str">
        <f>IF($A409&lt;&gt;"",'All Cases - Enter Cases'!K409,"")</f>
        <v/>
      </c>
      <c r="L409" s="4" t="str">
        <f>IF($A409&lt;&gt;"",'All Cases - Enter Cases'!L409,"")</f>
        <v/>
      </c>
      <c r="M409" t="str">
        <f>IF($A409&lt;&gt;"",'All Cases - Enter Cases'!M409,"")</f>
        <v/>
      </c>
    </row>
    <row r="410" spans="1:13" x14ac:dyDescent="0.35">
      <c r="A410" s="4" t="str">
        <f>IF('All Cases - Enter Cases'!$F410="Punjab",'All Cases - Enter Cases'!A410,"")</f>
        <v/>
      </c>
      <c r="B410" t="str">
        <f>IF($A410&lt;&gt;"",'All Cases - Enter Cases'!B410,"")</f>
        <v/>
      </c>
      <c r="C410" t="str">
        <f>IF($A410&lt;&gt;"",'All Cases - Enter Cases'!C410,"")</f>
        <v/>
      </c>
      <c r="D410" t="str">
        <f>IF($A410&lt;&gt;"",'All Cases - Enter Cases'!D410,"")</f>
        <v/>
      </c>
      <c r="E410" t="str">
        <f>IF($A410&lt;&gt;"",'All Cases - Enter Cases'!E410,"")</f>
        <v/>
      </c>
      <c r="F410" t="str">
        <f>IF($A410&lt;&gt;"",'All Cases - Enter Cases'!F410,"")</f>
        <v/>
      </c>
      <c r="G410" t="str">
        <f>IF($A410&lt;&gt;"",'All Cases - Enter Cases'!G410,"")</f>
        <v/>
      </c>
      <c r="H410" t="str">
        <f>IF($A410&lt;&gt;"",'All Cases - Enter Cases'!H410,"")</f>
        <v/>
      </c>
      <c r="I410" t="str">
        <f>IF($A410&lt;&gt;"",'All Cases - Enter Cases'!I410,"")</f>
        <v/>
      </c>
      <c r="J410" s="4" t="str">
        <f>IF($A410&lt;&gt;"",'All Cases - Enter Cases'!J410,"")</f>
        <v/>
      </c>
      <c r="K410" s="4" t="str">
        <f>IF($A410&lt;&gt;"",'All Cases - Enter Cases'!K410,"")</f>
        <v/>
      </c>
      <c r="L410" s="4" t="str">
        <f>IF($A410&lt;&gt;"",'All Cases - Enter Cases'!L410,"")</f>
        <v/>
      </c>
      <c r="M410" t="str">
        <f>IF($A410&lt;&gt;"",'All Cases - Enter Cases'!M410,"")</f>
        <v/>
      </c>
    </row>
    <row r="411" spans="1:13" x14ac:dyDescent="0.35">
      <c r="A411" s="4" t="str">
        <f>IF('All Cases - Enter Cases'!$F411="Punjab",'All Cases - Enter Cases'!A411,"")</f>
        <v/>
      </c>
      <c r="B411" t="str">
        <f>IF($A411&lt;&gt;"",'All Cases - Enter Cases'!B411,"")</f>
        <v/>
      </c>
      <c r="C411" t="str">
        <f>IF($A411&lt;&gt;"",'All Cases - Enter Cases'!C411,"")</f>
        <v/>
      </c>
      <c r="D411" t="str">
        <f>IF($A411&lt;&gt;"",'All Cases - Enter Cases'!D411,"")</f>
        <v/>
      </c>
      <c r="E411" t="str">
        <f>IF($A411&lt;&gt;"",'All Cases - Enter Cases'!E411,"")</f>
        <v/>
      </c>
      <c r="F411" t="str">
        <f>IF($A411&lt;&gt;"",'All Cases - Enter Cases'!F411,"")</f>
        <v/>
      </c>
      <c r="G411" t="str">
        <f>IF($A411&lt;&gt;"",'All Cases - Enter Cases'!G411,"")</f>
        <v/>
      </c>
      <c r="H411" t="str">
        <f>IF($A411&lt;&gt;"",'All Cases - Enter Cases'!H411,"")</f>
        <v/>
      </c>
      <c r="I411" t="str">
        <f>IF($A411&lt;&gt;"",'All Cases - Enter Cases'!I411,"")</f>
        <v/>
      </c>
      <c r="J411" s="4" t="str">
        <f>IF($A411&lt;&gt;"",'All Cases - Enter Cases'!J411,"")</f>
        <v/>
      </c>
      <c r="K411" s="4" t="str">
        <f>IF($A411&lt;&gt;"",'All Cases - Enter Cases'!K411,"")</f>
        <v/>
      </c>
      <c r="L411" s="4" t="str">
        <f>IF($A411&lt;&gt;"",'All Cases - Enter Cases'!L411,"")</f>
        <v/>
      </c>
      <c r="M411" t="str">
        <f>IF($A411&lt;&gt;"",'All Cases - Enter Cases'!M411,"")</f>
        <v/>
      </c>
    </row>
    <row r="412" spans="1:13" x14ac:dyDescent="0.35">
      <c r="A412" s="4" t="str">
        <f>IF('All Cases - Enter Cases'!$F412="Punjab",'All Cases - Enter Cases'!A412,"")</f>
        <v/>
      </c>
      <c r="B412" t="str">
        <f>IF($A412&lt;&gt;"",'All Cases - Enter Cases'!B412,"")</f>
        <v/>
      </c>
      <c r="C412" t="str">
        <f>IF($A412&lt;&gt;"",'All Cases - Enter Cases'!C412,"")</f>
        <v/>
      </c>
      <c r="D412" t="str">
        <f>IF($A412&lt;&gt;"",'All Cases - Enter Cases'!D412,"")</f>
        <v/>
      </c>
      <c r="E412" t="str">
        <f>IF($A412&lt;&gt;"",'All Cases - Enter Cases'!E412,"")</f>
        <v/>
      </c>
      <c r="F412" t="str">
        <f>IF($A412&lt;&gt;"",'All Cases - Enter Cases'!F412,"")</f>
        <v/>
      </c>
      <c r="G412" t="str">
        <f>IF($A412&lt;&gt;"",'All Cases - Enter Cases'!G412,"")</f>
        <v/>
      </c>
      <c r="H412" t="str">
        <f>IF($A412&lt;&gt;"",'All Cases - Enter Cases'!H412,"")</f>
        <v/>
      </c>
      <c r="I412" t="str">
        <f>IF($A412&lt;&gt;"",'All Cases - Enter Cases'!I412,"")</f>
        <v/>
      </c>
      <c r="J412" s="4" t="str">
        <f>IF($A412&lt;&gt;"",'All Cases - Enter Cases'!J412,"")</f>
        <v/>
      </c>
      <c r="K412" s="4" t="str">
        <f>IF($A412&lt;&gt;"",'All Cases - Enter Cases'!K412,"")</f>
        <v/>
      </c>
      <c r="L412" s="4" t="str">
        <f>IF($A412&lt;&gt;"",'All Cases - Enter Cases'!L412,"")</f>
        <v/>
      </c>
      <c r="M412" t="str">
        <f>IF($A412&lt;&gt;"",'All Cases - Enter Cases'!M412,"")</f>
        <v/>
      </c>
    </row>
    <row r="413" spans="1:13" x14ac:dyDescent="0.35">
      <c r="A413" s="4" t="str">
        <f>IF('All Cases - Enter Cases'!$F413="Punjab",'All Cases - Enter Cases'!A413,"")</f>
        <v/>
      </c>
      <c r="B413" t="str">
        <f>IF($A413&lt;&gt;"",'All Cases - Enter Cases'!B413,"")</f>
        <v/>
      </c>
      <c r="C413" t="str">
        <f>IF($A413&lt;&gt;"",'All Cases - Enter Cases'!C413,"")</f>
        <v/>
      </c>
      <c r="D413" t="str">
        <f>IF($A413&lt;&gt;"",'All Cases - Enter Cases'!D413,"")</f>
        <v/>
      </c>
      <c r="E413" t="str">
        <f>IF($A413&lt;&gt;"",'All Cases - Enter Cases'!E413,"")</f>
        <v/>
      </c>
      <c r="F413" t="str">
        <f>IF($A413&lt;&gt;"",'All Cases - Enter Cases'!F413,"")</f>
        <v/>
      </c>
      <c r="G413" t="str">
        <f>IF($A413&lt;&gt;"",'All Cases - Enter Cases'!G413,"")</f>
        <v/>
      </c>
      <c r="H413" t="str">
        <f>IF($A413&lt;&gt;"",'All Cases - Enter Cases'!H413,"")</f>
        <v/>
      </c>
      <c r="I413" t="str">
        <f>IF($A413&lt;&gt;"",'All Cases - Enter Cases'!I413,"")</f>
        <v/>
      </c>
      <c r="J413" s="4" t="str">
        <f>IF($A413&lt;&gt;"",'All Cases - Enter Cases'!J413,"")</f>
        <v/>
      </c>
      <c r="K413" s="4" t="str">
        <f>IF($A413&lt;&gt;"",'All Cases - Enter Cases'!K413,"")</f>
        <v/>
      </c>
      <c r="L413" s="4" t="str">
        <f>IF($A413&lt;&gt;"",'All Cases - Enter Cases'!L413,"")</f>
        <v/>
      </c>
      <c r="M413" t="str">
        <f>IF($A413&lt;&gt;"",'All Cases - Enter Cases'!M413,"")</f>
        <v/>
      </c>
    </row>
    <row r="414" spans="1:13" x14ac:dyDescent="0.35">
      <c r="A414" s="4" t="str">
        <f>IF('All Cases - Enter Cases'!$F414="Punjab",'All Cases - Enter Cases'!A414,"")</f>
        <v/>
      </c>
      <c r="B414" t="str">
        <f>IF($A414&lt;&gt;"",'All Cases - Enter Cases'!B414,"")</f>
        <v/>
      </c>
      <c r="C414" t="str">
        <f>IF($A414&lt;&gt;"",'All Cases - Enter Cases'!C414,"")</f>
        <v/>
      </c>
      <c r="D414" t="str">
        <f>IF($A414&lt;&gt;"",'All Cases - Enter Cases'!D414,"")</f>
        <v/>
      </c>
      <c r="E414" t="str">
        <f>IF($A414&lt;&gt;"",'All Cases - Enter Cases'!E414,"")</f>
        <v/>
      </c>
      <c r="F414" t="str">
        <f>IF($A414&lt;&gt;"",'All Cases - Enter Cases'!F414,"")</f>
        <v/>
      </c>
      <c r="G414" t="str">
        <f>IF($A414&lt;&gt;"",'All Cases - Enter Cases'!G414,"")</f>
        <v/>
      </c>
      <c r="H414" t="str">
        <f>IF($A414&lt;&gt;"",'All Cases - Enter Cases'!H414,"")</f>
        <v/>
      </c>
      <c r="I414" t="str">
        <f>IF($A414&lt;&gt;"",'All Cases - Enter Cases'!I414,"")</f>
        <v/>
      </c>
      <c r="J414" s="4" t="str">
        <f>IF($A414&lt;&gt;"",'All Cases - Enter Cases'!J414,"")</f>
        <v/>
      </c>
      <c r="K414" s="4" t="str">
        <f>IF($A414&lt;&gt;"",'All Cases - Enter Cases'!K414,"")</f>
        <v/>
      </c>
      <c r="L414" s="4" t="str">
        <f>IF($A414&lt;&gt;"",'All Cases - Enter Cases'!L414,"")</f>
        <v/>
      </c>
      <c r="M414" t="str">
        <f>IF($A414&lt;&gt;"",'All Cases - Enter Cases'!M414,"")</f>
        <v/>
      </c>
    </row>
    <row r="415" spans="1:13" x14ac:dyDescent="0.35">
      <c r="A415" s="4" t="str">
        <f>IF('All Cases - Enter Cases'!$F415="Punjab",'All Cases - Enter Cases'!A415,"")</f>
        <v/>
      </c>
      <c r="B415" t="str">
        <f>IF($A415&lt;&gt;"",'All Cases - Enter Cases'!B415,"")</f>
        <v/>
      </c>
      <c r="C415" t="str">
        <f>IF($A415&lt;&gt;"",'All Cases - Enter Cases'!C415,"")</f>
        <v/>
      </c>
      <c r="D415" t="str">
        <f>IF($A415&lt;&gt;"",'All Cases - Enter Cases'!D415,"")</f>
        <v/>
      </c>
      <c r="E415" t="str">
        <f>IF($A415&lt;&gt;"",'All Cases - Enter Cases'!E415,"")</f>
        <v/>
      </c>
      <c r="F415" t="str">
        <f>IF($A415&lt;&gt;"",'All Cases - Enter Cases'!F415,"")</f>
        <v/>
      </c>
      <c r="G415" t="str">
        <f>IF($A415&lt;&gt;"",'All Cases - Enter Cases'!G415,"")</f>
        <v/>
      </c>
      <c r="H415" t="str">
        <f>IF($A415&lt;&gt;"",'All Cases - Enter Cases'!H415,"")</f>
        <v/>
      </c>
      <c r="I415" t="str">
        <f>IF($A415&lt;&gt;"",'All Cases - Enter Cases'!I415,"")</f>
        <v/>
      </c>
      <c r="J415" s="4" t="str">
        <f>IF($A415&lt;&gt;"",'All Cases - Enter Cases'!J415,"")</f>
        <v/>
      </c>
      <c r="K415" s="4" t="str">
        <f>IF($A415&lt;&gt;"",'All Cases - Enter Cases'!K415,"")</f>
        <v/>
      </c>
      <c r="L415" s="4" t="str">
        <f>IF($A415&lt;&gt;"",'All Cases - Enter Cases'!L415,"")</f>
        <v/>
      </c>
      <c r="M415" t="str">
        <f>IF($A415&lt;&gt;"",'All Cases - Enter Cases'!M415,"")</f>
        <v/>
      </c>
    </row>
    <row r="416" spans="1:13" x14ac:dyDescent="0.35">
      <c r="A416" s="4" t="str">
        <f>IF('All Cases - Enter Cases'!$F416="Punjab",'All Cases - Enter Cases'!A416,"")</f>
        <v/>
      </c>
      <c r="B416" t="str">
        <f>IF($A416&lt;&gt;"",'All Cases - Enter Cases'!B416,"")</f>
        <v/>
      </c>
      <c r="C416" t="str">
        <f>IF($A416&lt;&gt;"",'All Cases - Enter Cases'!C416,"")</f>
        <v/>
      </c>
      <c r="D416" t="str">
        <f>IF($A416&lt;&gt;"",'All Cases - Enter Cases'!D416,"")</f>
        <v/>
      </c>
      <c r="E416" t="str">
        <f>IF($A416&lt;&gt;"",'All Cases - Enter Cases'!E416,"")</f>
        <v/>
      </c>
      <c r="F416" t="str">
        <f>IF($A416&lt;&gt;"",'All Cases - Enter Cases'!F416,"")</f>
        <v/>
      </c>
      <c r="G416" t="str">
        <f>IF($A416&lt;&gt;"",'All Cases - Enter Cases'!G416,"")</f>
        <v/>
      </c>
      <c r="H416" t="str">
        <f>IF($A416&lt;&gt;"",'All Cases - Enter Cases'!H416,"")</f>
        <v/>
      </c>
      <c r="I416" t="str">
        <f>IF($A416&lt;&gt;"",'All Cases - Enter Cases'!I416,"")</f>
        <v/>
      </c>
      <c r="J416" s="4" t="str">
        <f>IF($A416&lt;&gt;"",'All Cases - Enter Cases'!J416,"")</f>
        <v/>
      </c>
      <c r="K416" s="4" t="str">
        <f>IF($A416&lt;&gt;"",'All Cases - Enter Cases'!K416,"")</f>
        <v/>
      </c>
      <c r="L416" s="4" t="str">
        <f>IF($A416&lt;&gt;"",'All Cases - Enter Cases'!L416,"")</f>
        <v/>
      </c>
      <c r="M416" t="str">
        <f>IF($A416&lt;&gt;"",'All Cases - Enter Cases'!M416,"")</f>
        <v/>
      </c>
    </row>
    <row r="417" spans="1:13" x14ac:dyDescent="0.35">
      <c r="A417" s="4" t="str">
        <f>IF('All Cases - Enter Cases'!$F417="Punjab",'All Cases - Enter Cases'!A417,"")</f>
        <v/>
      </c>
      <c r="B417" t="str">
        <f>IF($A417&lt;&gt;"",'All Cases - Enter Cases'!B417,"")</f>
        <v/>
      </c>
      <c r="C417" t="str">
        <f>IF($A417&lt;&gt;"",'All Cases - Enter Cases'!C417,"")</f>
        <v/>
      </c>
      <c r="D417" t="str">
        <f>IF($A417&lt;&gt;"",'All Cases - Enter Cases'!D417,"")</f>
        <v/>
      </c>
      <c r="E417" t="str">
        <f>IF($A417&lt;&gt;"",'All Cases - Enter Cases'!E417,"")</f>
        <v/>
      </c>
      <c r="F417" t="str">
        <f>IF($A417&lt;&gt;"",'All Cases - Enter Cases'!F417,"")</f>
        <v/>
      </c>
      <c r="G417" t="str">
        <f>IF($A417&lt;&gt;"",'All Cases - Enter Cases'!G417,"")</f>
        <v/>
      </c>
      <c r="H417" t="str">
        <f>IF($A417&lt;&gt;"",'All Cases - Enter Cases'!H417,"")</f>
        <v/>
      </c>
      <c r="I417" t="str">
        <f>IF($A417&lt;&gt;"",'All Cases - Enter Cases'!I417,"")</f>
        <v/>
      </c>
      <c r="J417" s="4" t="str">
        <f>IF($A417&lt;&gt;"",'All Cases - Enter Cases'!J417,"")</f>
        <v/>
      </c>
      <c r="K417" s="4" t="str">
        <f>IF($A417&lt;&gt;"",'All Cases - Enter Cases'!K417,"")</f>
        <v/>
      </c>
      <c r="L417" s="4" t="str">
        <f>IF($A417&lt;&gt;"",'All Cases - Enter Cases'!L417,"")</f>
        <v/>
      </c>
      <c r="M417" t="str">
        <f>IF($A417&lt;&gt;"",'All Cases - Enter Cases'!M417,"")</f>
        <v/>
      </c>
    </row>
    <row r="418" spans="1:13" x14ac:dyDescent="0.35">
      <c r="A418" s="4" t="str">
        <f>IF('All Cases - Enter Cases'!$F418="Punjab",'All Cases - Enter Cases'!A418,"")</f>
        <v/>
      </c>
      <c r="B418" t="str">
        <f>IF($A418&lt;&gt;"",'All Cases - Enter Cases'!B418,"")</f>
        <v/>
      </c>
      <c r="C418" t="str">
        <f>IF($A418&lt;&gt;"",'All Cases - Enter Cases'!C418,"")</f>
        <v/>
      </c>
      <c r="D418" t="str">
        <f>IF($A418&lt;&gt;"",'All Cases - Enter Cases'!D418,"")</f>
        <v/>
      </c>
      <c r="E418" t="str">
        <f>IF($A418&lt;&gt;"",'All Cases - Enter Cases'!E418,"")</f>
        <v/>
      </c>
      <c r="F418" t="str">
        <f>IF($A418&lt;&gt;"",'All Cases - Enter Cases'!F418,"")</f>
        <v/>
      </c>
      <c r="G418" t="str">
        <f>IF($A418&lt;&gt;"",'All Cases - Enter Cases'!G418,"")</f>
        <v/>
      </c>
      <c r="H418" t="str">
        <f>IF($A418&lt;&gt;"",'All Cases - Enter Cases'!H418,"")</f>
        <v/>
      </c>
      <c r="I418" t="str">
        <f>IF($A418&lt;&gt;"",'All Cases - Enter Cases'!I418,"")</f>
        <v/>
      </c>
      <c r="J418" s="4" t="str">
        <f>IF($A418&lt;&gt;"",'All Cases - Enter Cases'!J418,"")</f>
        <v/>
      </c>
      <c r="K418" s="4" t="str">
        <f>IF($A418&lt;&gt;"",'All Cases - Enter Cases'!K418,"")</f>
        <v/>
      </c>
      <c r="L418" s="4" t="str">
        <f>IF($A418&lt;&gt;"",'All Cases - Enter Cases'!L418,"")</f>
        <v/>
      </c>
      <c r="M418" t="str">
        <f>IF($A418&lt;&gt;"",'All Cases - Enter Cases'!M418,"")</f>
        <v/>
      </c>
    </row>
    <row r="419" spans="1:13" x14ac:dyDescent="0.35">
      <c r="A419" s="4" t="str">
        <f>IF('All Cases - Enter Cases'!$F419="Punjab",'All Cases - Enter Cases'!A419,"")</f>
        <v/>
      </c>
      <c r="B419" t="str">
        <f>IF($A419&lt;&gt;"",'All Cases - Enter Cases'!B419,"")</f>
        <v/>
      </c>
      <c r="C419" t="str">
        <f>IF($A419&lt;&gt;"",'All Cases - Enter Cases'!C419,"")</f>
        <v/>
      </c>
      <c r="D419" t="str">
        <f>IF($A419&lt;&gt;"",'All Cases - Enter Cases'!D419,"")</f>
        <v/>
      </c>
      <c r="E419" t="str">
        <f>IF($A419&lt;&gt;"",'All Cases - Enter Cases'!E419,"")</f>
        <v/>
      </c>
      <c r="F419" t="str">
        <f>IF($A419&lt;&gt;"",'All Cases - Enter Cases'!F419,"")</f>
        <v/>
      </c>
      <c r="G419" t="str">
        <f>IF($A419&lt;&gt;"",'All Cases - Enter Cases'!G419,"")</f>
        <v/>
      </c>
      <c r="H419" t="str">
        <f>IF($A419&lt;&gt;"",'All Cases - Enter Cases'!H419,"")</f>
        <v/>
      </c>
      <c r="I419" t="str">
        <f>IF($A419&lt;&gt;"",'All Cases - Enter Cases'!I419,"")</f>
        <v/>
      </c>
      <c r="J419" s="4" t="str">
        <f>IF($A419&lt;&gt;"",'All Cases - Enter Cases'!J419,"")</f>
        <v/>
      </c>
      <c r="K419" s="4" t="str">
        <f>IF($A419&lt;&gt;"",'All Cases - Enter Cases'!K419,"")</f>
        <v/>
      </c>
      <c r="L419" s="4" t="str">
        <f>IF($A419&lt;&gt;"",'All Cases - Enter Cases'!L419,"")</f>
        <v/>
      </c>
      <c r="M419" t="str">
        <f>IF($A419&lt;&gt;"",'All Cases - Enter Cases'!M419,"")</f>
        <v/>
      </c>
    </row>
    <row r="420" spans="1:13" x14ac:dyDescent="0.35">
      <c r="A420" s="4" t="str">
        <f>IF('All Cases - Enter Cases'!$F420="Punjab",'All Cases - Enter Cases'!A420,"")</f>
        <v/>
      </c>
      <c r="B420" t="str">
        <f>IF($A420&lt;&gt;"",'All Cases - Enter Cases'!B420,"")</f>
        <v/>
      </c>
      <c r="C420" t="str">
        <f>IF($A420&lt;&gt;"",'All Cases - Enter Cases'!C420,"")</f>
        <v/>
      </c>
      <c r="D420" t="str">
        <f>IF($A420&lt;&gt;"",'All Cases - Enter Cases'!D420,"")</f>
        <v/>
      </c>
      <c r="E420" t="str">
        <f>IF($A420&lt;&gt;"",'All Cases - Enter Cases'!E420,"")</f>
        <v/>
      </c>
      <c r="F420" t="str">
        <f>IF($A420&lt;&gt;"",'All Cases - Enter Cases'!F420,"")</f>
        <v/>
      </c>
      <c r="G420" t="str">
        <f>IF($A420&lt;&gt;"",'All Cases - Enter Cases'!G420,"")</f>
        <v/>
      </c>
      <c r="H420" t="str">
        <f>IF($A420&lt;&gt;"",'All Cases - Enter Cases'!H420,"")</f>
        <v/>
      </c>
      <c r="I420" t="str">
        <f>IF($A420&lt;&gt;"",'All Cases - Enter Cases'!I420,"")</f>
        <v/>
      </c>
      <c r="J420" s="4" t="str">
        <f>IF($A420&lt;&gt;"",'All Cases - Enter Cases'!J420,"")</f>
        <v/>
      </c>
      <c r="K420" s="4" t="str">
        <f>IF($A420&lt;&gt;"",'All Cases - Enter Cases'!K420,"")</f>
        <v/>
      </c>
      <c r="L420" s="4" t="str">
        <f>IF($A420&lt;&gt;"",'All Cases - Enter Cases'!L420,"")</f>
        <v/>
      </c>
      <c r="M420" t="str">
        <f>IF($A420&lt;&gt;"",'All Cases - Enter Cases'!M420,"")</f>
        <v/>
      </c>
    </row>
    <row r="421" spans="1:13" x14ac:dyDescent="0.35">
      <c r="A421" s="4" t="str">
        <f>IF('All Cases - Enter Cases'!$F421="Punjab",'All Cases - Enter Cases'!A421,"")</f>
        <v/>
      </c>
      <c r="B421" t="str">
        <f>IF($A421&lt;&gt;"",'All Cases - Enter Cases'!B421,"")</f>
        <v/>
      </c>
      <c r="C421" t="str">
        <f>IF($A421&lt;&gt;"",'All Cases - Enter Cases'!C421,"")</f>
        <v/>
      </c>
      <c r="D421" t="str">
        <f>IF($A421&lt;&gt;"",'All Cases - Enter Cases'!D421,"")</f>
        <v/>
      </c>
      <c r="E421" t="str">
        <f>IF($A421&lt;&gt;"",'All Cases - Enter Cases'!E421,"")</f>
        <v/>
      </c>
      <c r="F421" t="str">
        <f>IF($A421&lt;&gt;"",'All Cases - Enter Cases'!F421,"")</f>
        <v/>
      </c>
      <c r="G421" t="str">
        <f>IF($A421&lt;&gt;"",'All Cases - Enter Cases'!G421,"")</f>
        <v/>
      </c>
      <c r="H421" t="str">
        <f>IF($A421&lt;&gt;"",'All Cases - Enter Cases'!H421,"")</f>
        <v/>
      </c>
      <c r="I421" t="str">
        <f>IF($A421&lt;&gt;"",'All Cases - Enter Cases'!I421,"")</f>
        <v/>
      </c>
      <c r="J421" s="4" t="str">
        <f>IF($A421&lt;&gt;"",'All Cases - Enter Cases'!J421,"")</f>
        <v/>
      </c>
      <c r="K421" s="4" t="str">
        <f>IF($A421&lt;&gt;"",'All Cases - Enter Cases'!K421,"")</f>
        <v/>
      </c>
      <c r="L421" s="4" t="str">
        <f>IF($A421&lt;&gt;"",'All Cases - Enter Cases'!L421,"")</f>
        <v/>
      </c>
      <c r="M421" t="str">
        <f>IF($A421&lt;&gt;"",'All Cases - Enter Cases'!M421,"")</f>
        <v/>
      </c>
    </row>
    <row r="422" spans="1:13" x14ac:dyDescent="0.35">
      <c r="A422" s="4" t="str">
        <f>IF('All Cases - Enter Cases'!$F422="Punjab",'All Cases - Enter Cases'!A422,"")</f>
        <v/>
      </c>
      <c r="B422" t="str">
        <f>IF($A422&lt;&gt;"",'All Cases - Enter Cases'!B422,"")</f>
        <v/>
      </c>
      <c r="C422" t="str">
        <f>IF($A422&lt;&gt;"",'All Cases - Enter Cases'!C422,"")</f>
        <v/>
      </c>
      <c r="D422" t="str">
        <f>IF($A422&lt;&gt;"",'All Cases - Enter Cases'!D422,"")</f>
        <v/>
      </c>
      <c r="E422" t="str">
        <f>IF($A422&lt;&gt;"",'All Cases - Enter Cases'!E422,"")</f>
        <v/>
      </c>
      <c r="F422" t="str">
        <f>IF($A422&lt;&gt;"",'All Cases - Enter Cases'!F422,"")</f>
        <v/>
      </c>
      <c r="G422" t="str">
        <f>IF($A422&lt;&gt;"",'All Cases - Enter Cases'!G422,"")</f>
        <v/>
      </c>
      <c r="H422" t="str">
        <f>IF($A422&lt;&gt;"",'All Cases - Enter Cases'!H422,"")</f>
        <v/>
      </c>
      <c r="I422" t="str">
        <f>IF($A422&lt;&gt;"",'All Cases - Enter Cases'!I422,"")</f>
        <v/>
      </c>
      <c r="J422" s="4" t="str">
        <f>IF($A422&lt;&gt;"",'All Cases - Enter Cases'!J422,"")</f>
        <v/>
      </c>
      <c r="K422" s="4" t="str">
        <f>IF($A422&lt;&gt;"",'All Cases - Enter Cases'!K422,"")</f>
        <v/>
      </c>
      <c r="L422" s="4" t="str">
        <f>IF($A422&lt;&gt;"",'All Cases - Enter Cases'!L422,"")</f>
        <v/>
      </c>
      <c r="M422" t="str">
        <f>IF($A422&lt;&gt;"",'All Cases - Enter Cases'!M422,"")</f>
        <v/>
      </c>
    </row>
    <row r="423" spans="1:13" x14ac:dyDescent="0.35">
      <c r="A423" s="4" t="str">
        <f>IF('All Cases - Enter Cases'!$F423="Punjab",'All Cases - Enter Cases'!A423,"")</f>
        <v/>
      </c>
      <c r="B423" t="str">
        <f>IF($A423&lt;&gt;"",'All Cases - Enter Cases'!B423,"")</f>
        <v/>
      </c>
      <c r="C423" t="str">
        <f>IF($A423&lt;&gt;"",'All Cases - Enter Cases'!C423,"")</f>
        <v/>
      </c>
      <c r="D423" t="str">
        <f>IF($A423&lt;&gt;"",'All Cases - Enter Cases'!D423,"")</f>
        <v/>
      </c>
      <c r="E423" t="str">
        <f>IF($A423&lt;&gt;"",'All Cases - Enter Cases'!E423,"")</f>
        <v/>
      </c>
      <c r="F423" t="str">
        <f>IF($A423&lt;&gt;"",'All Cases - Enter Cases'!F423,"")</f>
        <v/>
      </c>
      <c r="G423" t="str">
        <f>IF($A423&lt;&gt;"",'All Cases - Enter Cases'!G423,"")</f>
        <v/>
      </c>
      <c r="H423" t="str">
        <f>IF($A423&lt;&gt;"",'All Cases - Enter Cases'!H423,"")</f>
        <v/>
      </c>
      <c r="I423" t="str">
        <f>IF($A423&lt;&gt;"",'All Cases - Enter Cases'!I423,"")</f>
        <v/>
      </c>
      <c r="J423" s="4" t="str">
        <f>IF($A423&lt;&gt;"",'All Cases - Enter Cases'!J423,"")</f>
        <v/>
      </c>
      <c r="K423" s="4" t="str">
        <f>IF($A423&lt;&gt;"",'All Cases - Enter Cases'!K423,"")</f>
        <v/>
      </c>
      <c r="L423" s="4" t="str">
        <f>IF($A423&lt;&gt;"",'All Cases - Enter Cases'!L423,"")</f>
        <v/>
      </c>
      <c r="M423" t="str">
        <f>IF($A423&lt;&gt;"",'All Cases - Enter Cases'!M423,"")</f>
        <v/>
      </c>
    </row>
    <row r="424" spans="1:13" x14ac:dyDescent="0.35">
      <c r="A424" s="4" t="str">
        <f>IF('All Cases - Enter Cases'!$F424="Punjab",'All Cases - Enter Cases'!A424,"")</f>
        <v/>
      </c>
      <c r="B424" t="str">
        <f>IF($A424&lt;&gt;"",'All Cases - Enter Cases'!B424,"")</f>
        <v/>
      </c>
      <c r="C424" t="str">
        <f>IF($A424&lt;&gt;"",'All Cases - Enter Cases'!C424,"")</f>
        <v/>
      </c>
      <c r="D424" t="str">
        <f>IF($A424&lt;&gt;"",'All Cases - Enter Cases'!D424,"")</f>
        <v/>
      </c>
      <c r="E424" t="str">
        <f>IF($A424&lt;&gt;"",'All Cases - Enter Cases'!E424,"")</f>
        <v/>
      </c>
      <c r="F424" t="str">
        <f>IF($A424&lt;&gt;"",'All Cases - Enter Cases'!F424,"")</f>
        <v/>
      </c>
      <c r="G424" t="str">
        <f>IF($A424&lt;&gt;"",'All Cases - Enter Cases'!G424,"")</f>
        <v/>
      </c>
      <c r="H424" t="str">
        <f>IF($A424&lt;&gt;"",'All Cases - Enter Cases'!H424,"")</f>
        <v/>
      </c>
      <c r="I424" t="str">
        <f>IF($A424&lt;&gt;"",'All Cases - Enter Cases'!I424,"")</f>
        <v/>
      </c>
      <c r="J424" s="4" t="str">
        <f>IF($A424&lt;&gt;"",'All Cases - Enter Cases'!J424,"")</f>
        <v/>
      </c>
      <c r="K424" s="4" t="str">
        <f>IF($A424&lt;&gt;"",'All Cases - Enter Cases'!K424,"")</f>
        <v/>
      </c>
      <c r="L424" s="4" t="str">
        <f>IF($A424&lt;&gt;"",'All Cases - Enter Cases'!L424,"")</f>
        <v/>
      </c>
      <c r="M424" t="str">
        <f>IF($A424&lt;&gt;"",'All Cases - Enter Cases'!M424,"")</f>
        <v/>
      </c>
    </row>
    <row r="425" spans="1:13" x14ac:dyDescent="0.35">
      <c r="A425" s="4" t="str">
        <f>IF('All Cases - Enter Cases'!$F425="Punjab",'All Cases - Enter Cases'!A425,"")</f>
        <v/>
      </c>
      <c r="B425" t="str">
        <f>IF($A425&lt;&gt;"",'All Cases - Enter Cases'!B425,"")</f>
        <v/>
      </c>
      <c r="C425" t="str">
        <f>IF($A425&lt;&gt;"",'All Cases - Enter Cases'!C425,"")</f>
        <v/>
      </c>
      <c r="D425" t="str">
        <f>IF($A425&lt;&gt;"",'All Cases - Enter Cases'!D425,"")</f>
        <v/>
      </c>
      <c r="E425" t="str">
        <f>IF($A425&lt;&gt;"",'All Cases - Enter Cases'!E425,"")</f>
        <v/>
      </c>
      <c r="F425" t="str">
        <f>IF($A425&lt;&gt;"",'All Cases - Enter Cases'!F425,"")</f>
        <v/>
      </c>
      <c r="G425" t="str">
        <f>IF($A425&lt;&gt;"",'All Cases - Enter Cases'!G425,"")</f>
        <v/>
      </c>
      <c r="H425" t="str">
        <f>IF($A425&lt;&gt;"",'All Cases - Enter Cases'!H425,"")</f>
        <v/>
      </c>
      <c r="I425" t="str">
        <f>IF($A425&lt;&gt;"",'All Cases - Enter Cases'!I425,"")</f>
        <v/>
      </c>
      <c r="J425" s="4" t="str">
        <f>IF($A425&lt;&gt;"",'All Cases - Enter Cases'!J425,"")</f>
        <v/>
      </c>
      <c r="K425" s="4" t="str">
        <f>IF($A425&lt;&gt;"",'All Cases - Enter Cases'!K425,"")</f>
        <v/>
      </c>
      <c r="L425" s="4" t="str">
        <f>IF($A425&lt;&gt;"",'All Cases - Enter Cases'!L425,"")</f>
        <v/>
      </c>
      <c r="M425" t="str">
        <f>IF($A425&lt;&gt;"",'All Cases - Enter Cases'!M425,"")</f>
        <v/>
      </c>
    </row>
    <row r="426" spans="1:13" x14ac:dyDescent="0.35">
      <c r="A426" s="4" t="str">
        <f>IF('All Cases - Enter Cases'!$F426="Punjab",'All Cases - Enter Cases'!A426,"")</f>
        <v/>
      </c>
      <c r="B426" t="str">
        <f>IF($A426&lt;&gt;"",'All Cases - Enter Cases'!B426,"")</f>
        <v/>
      </c>
      <c r="C426" t="str">
        <f>IF($A426&lt;&gt;"",'All Cases - Enter Cases'!C426,"")</f>
        <v/>
      </c>
      <c r="D426" t="str">
        <f>IF($A426&lt;&gt;"",'All Cases - Enter Cases'!D426,"")</f>
        <v/>
      </c>
      <c r="E426" t="str">
        <f>IF($A426&lt;&gt;"",'All Cases - Enter Cases'!E426,"")</f>
        <v/>
      </c>
      <c r="F426" t="str">
        <f>IF($A426&lt;&gt;"",'All Cases - Enter Cases'!F426,"")</f>
        <v/>
      </c>
      <c r="G426" t="str">
        <f>IF($A426&lt;&gt;"",'All Cases - Enter Cases'!G426,"")</f>
        <v/>
      </c>
      <c r="H426" t="str">
        <f>IF($A426&lt;&gt;"",'All Cases - Enter Cases'!H426,"")</f>
        <v/>
      </c>
      <c r="I426" t="str">
        <f>IF($A426&lt;&gt;"",'All Cases - Enter Cases'!I426,"")</f>
        <v/>
      </c>
      <c r="J426" s="4" t="str">
        <f>IF($A426&lt;&gt;"",'All Cases - Enter Cases'!J426,"")</f>
        <v/>
      </c>
      <c r="K426" s="4" t="str">
        <f>IF($A426&lt;&gt;"",'All Cases - Enter Cases'!K426,"")</f>
        <v/>
      </c>
      <c r="L426" s="4" t="str">
        <f>IF($A426&lt;&gt;"",'All Cases - Enter Cases'!L426,"")</f>
        <v/>
      </c>
      <c r="M426" t="str">
        <f>IF($A426&lt;&gt;"",'All Cases - Enter Cases'!M426,"")</f>
        <v/>
      </c>
    </row>
    <row r="427" spans="1:13" x14ac:dyDescent="0.35">
      <c r="A427" s="4" t="str">
        <f>IF('All Cases - Enter Cases'!$F427="Punjab",'All Cases - Enter Cases'!A427,"")</f>
        <v/>
      </c>
      <c r="B427" t="str">
        <f>IF($A427&lt;&gt;"",'All Cases - Enter Cases'!B427,"")</f>
        <v/>
      </c>
      <c r="C427" t="str">
        <f>IF($A427&lt;&gt;"",'All Cases - Enter Cases'!C427,"")</f>
        <v/>
      </c>
      <c r="D427" t="str">
        <f>IF($A427&lt;&gt;"",'All Cases - Enter Cases'!D427,"")</f>
        <v/>
      </c>
      <c r="E427" t="str">
        <f>IF($A427&lt;&gt;"",'All Cases - Enter Cases'!E427,"")</f>
        <v/>
      </c>
      <c r="F427" t="str">
        <f>IF($A427&lt;&gt;"",'All Cases - Enter Cases'!F427,"")</f>
        <v/>
      </c>
      <c r="G427" t="str">
        <f>IF($A427&lt;&gt;"",'All Cases - Enter Cases'!G427,"")</f>
        <v/>
      </c>
      <c r="H427" t="str">
        <f>IF($A427&lt;&gt;"",'All Cases - Enter Cases'!H427,"")</f>
        <v/>
      </c>
      <c r="I427" t="str">
        <f>IF($A427&lt;&gt;"",'All Cases - Enter Cases'!I427,"")</f>
        <v/>
      </c>
      <c r="J427" s="4" t="str">
        <f>IF($A427&lt;&gt;"",'All Cases - Enter Cases'!J427,"")</f>
        <v/>
      </c>
      <c r="K427" s="4" t="str">
        <f>IF($A427&lt;&gt;"",'All Cases - Enter Cases'!K427,"")</f>
        <v/>
      </c>
      <c r="L427" s="4" t="str">
        <f>IF($A427&lt;&gt;"",'All Cases - Enter Cases'!L427,"")</f>
        <v/>
      </c>
      <c r="M427" t="str">
        <f>IF($A427&lt;&gt;"",'All Cases - Enter Cases'!M427,"")</f>
        <v/>
      </c>
    </row>
    <row r="428" spans="1:13" x14ac:dyDescent="0.35">
      <c r="A428" s="4" t="str">
        <f>IF('All Cases - Enter Cases'!$F428="Punjab",'All Cases - Enter Cases'!A428,"")</f>
        <v/>
      </c>
      <c r="B428" t="str">
        <f>IF($A428&lt;&gt;"",'All Cases - Enter Cases'!B428,"")</f>
        <v/>
      </c>
      <c r="C428" t="str">
        <f>IF($A428&lt;&gt;"",'All Cases - Enter Cases'!C428,"")</f>
        <v/>
      </c>
      <c r="D428" t="str">
        <f>IF($A428&lt;&gt;"",'All Cases - Enter Cases'!D428,"")</f>
        <v/>
      </c>
      <c r="E428" t="str">
        <f>IF($A428&lt;&gt;"",'All Cases - Enter Cases'!E428,"")</f>
        <v/>
      </c>
      <c r="F428" t="str">
        <f>IF($A428&lt;&gt;"",'All Cases - Enter Cases'!F428,"")</f>
        <v/>
      </c>
      <c r="G428" t="str">
        <f>IF($A428&lt;&gt;"",'All Cases - Enter Cases'!G428,"")</f>
        <v/>
      </c>
      <c r="H428" t="str">
        <f>IF($A428&lt;&gt;"",'All Cases - Enter Cases'!H428,"")</f>
        <v/>
      </c>
      <c r="I428" t="str">
        <f>IF($A428&lt;&gt;"",'All Cases - Enter Cases'!I428,"")</f>
        <v/>
      </c>
      <c r="J428" s="4" t="str">
        <f>IF($A428&lt;&gt;"",'All Cases - Enter Cases'!J428,"")</f>
        <v/>
      </c>
      <c r="K428" s="4" t="str">
        <f>IF($A428&lt;&gt;"",'All Cases - Enter Cases'!K428,"")</f>
        <v/>
      </c>
      <c r="L428" s="4" t="str">
        <f>IF($A428&lt;&gt;"",'All Cases - Enter Cases'!L428,"")</f>
        <v/>
      </c>
      <c r="M428" t="str">
        <f>IF($A428&lt;&gt;"",'All Cases - Enter Cases'!M428,"")</f>
        <v/>
      </c>
    </row>
    <row r="429" spans="1:13" x14ac:dyDescent="0.35">
      <c r="A429" s="4" t="str">
        <f>IF('All Cases - Enter Cases'!$F429="Punjab",'All Cases - Enter Cases'!A429,"")</f>
        <v/>
      </c>
      <c r="B429" t="str">
        <f>IF($A429&lt;&gt;"",'All Cases - Enter Cases'!B429,"")</f>
        <v/>
      </c>
      <c r="C429" t="str">
        <f>IF($A429&lt;&gt;"",'All Cases - Enter Cases'!C429,"")</f>
        <v/>
      </c>
      <c r="D429" t="str">
        <f>IF($A429&lt;&gt;"",'All Cases - Enter Cases'!D429,"")</f>
        <v/>
      </c>
      <c r="E429" t="str">
        <f>IF($A429&lt;&gt;"",'All Cases - Enter Cases'!E429,"")</f>
        <v/>
      </c>
      <c r="F429" t="str">
        <f>IF($A429&lt;&gt;"",'All Cases - Enter Cases'!F429,"")</f>
        <v/>
      </c>
      <c r="G429" t="str">
        <f>IF($A429&lt;&gt;"",'All Cases - Enter Cases'!G429,"")</f>
        <v/>
      </c>
      <c r="H429" t="str">
        <f>IF($A429&lt;&gt;"",'All Cases - Enter Cases'!H429,"")</f>
        <v/>
      </c>
      <c r="I429" t="str">
        <f>IF($A429&lt;&gt;"",'All Cases - Enter Cases'!I429,"")</f>
        <v/>
      </c>
      <c r="J429" s="4" t="str">
        <f>IF($A429&lt;&gt;"",'All Cases - Enter Cases'!J429,"")</f>
        <v/>
      </c>
      <c r="K429" s="4" t="str">
        <f>IF($A429&lt;&gt;"",'All Cases - Enter Cases'!K429,"")</f>
        <v/>
      </c>
      <c r="L429" s="4" t="str">
        <f>IF($A429&lt;&gt;"",'All Cases - Enter Cases'!L429,"")</f>
        <v/>
      </c>
      <c r="M429" t="str">
        <f>IF($A429&lt;&gt;"",'All Cases - Enter Cases'!M429,"")</f>
        <v/>
      </c>
    </row>
    <row r="430" spans="1:13" x14ac:dyDescent="0.35">
      <c r="A430" s="4" t="str">
        <f>IF('All Cases - Enter Cases'!$F430="Punjab",'All Cases - Enter Cases'!A430,"")</f>
        <v/>
      </c>
      <c r="B430" t="str">
        <f>IF($A430&lt;&gt;"",'All Cases - Enter Cases'!B430,"")</f>
        <v/>
      </c>
      <c r="C430" t="str">
        <f>IF($A430&lt;&gt;"",'All Cases - Enter Cases'!C430,"")</f>
        <v/>
      </c>
      <c r="D430" t="str">
        <f>IF($A430&lt;&gt;"",'All Cases - Enter Cases'!D430,"")</f>
        <v/>
      </c>
      <c r="E430" t="str">
        <f>IF($A430&lt;&gt;"",'All Cases - Enter Cases'!E430,"")</f>
        <v/>
      </c>
      <c r="F430" t="str">
        <f>IF($A430&lt;&gt;"",'All Cases - Enter Cases'!F430,"")</f>
        <v/>
      </c>
      <c r="G430" t="str">
        <f>IF($A430&lt;&gt;"",'All Cases - Enter Cases'!G430,"")</f>
        <v/>
      </c>
      <c r="H430" t="str">
        <f>IF($A430&lt;&gt;"",'All Cases - Enter Cases'!H430,"")</f>
        <v/>
      </c>
      <c r="I430" t="str">
        <f>IF($A430&lt;&gt;"",'All Cases - Enter Cases'!I430,"")</f>
        <v/>
      </c>
      <c r="J430" s="4" t="str">
        <f>IF($A430&lt;&gt;"",'All Cases - Enter Cases'!J430,"")</f>
        <v/>
      </c>
      <c r="K430" s="4" t="str">
        <f>IF($A430&lt;&gt;"",'All Cases - Enter Cases'!K430,"")</f>
        <v/>
      </c>
      <c r="L430" s="4" t="str">
        <f>IF($A430&lt;&gt;"",'All Cases - Enter Cases'!L430,"")</f>
        <v/>
      </c>
      <c r="M430" t="str">
        <f>IF($A430&lt;&gt;"",'All Cases - Enter Cases'!M430,"")</f>
        <v/>
      </c>
    </row>
    <row r="431" spans="1:13" x14ac:dyDescent="0.35">
      <c r="A431" s="4" t="str">
        <f>IF('All Cases - Enter Cases'!$F431="Punjab",'All Cases - Enter Cases'!A431,"")</f>
        <v/>
      </c>
      <c r="B431" t="str">
        <f>IF($A431&lt;&gt;"",'All Cases - Enter Cases'!B431,"")</f>
        <v/>
      </c>
      <c r="C431" t="str">
        <f>IF($A431&lt;&gt;"",'All Cases - Enter Cases'!C431,"")</f>
        <v/>
      </c>
      <c r="D431" t="str">
        <f>IF($A431&lt;&gt;"",'All Cases - Enter Cases'!D431,"")</f>
        <v/>
      </c>
      <c r="E431" t="str">
        <f>IF($A431&lt;&gt;"",'All Cases - Enter Cases'!E431,"")</f>
        <v/>
      </c>
      <c r="F431" t="str">
        <f>IF($A431&lt;&gt;"",'All Cases - Enter Cases'!F431,"")</f>
        <v/>
      </c>
      <c r="G431" t="str">
        <f>IF($A431&lt;&gt;"",'All Cases - Enter Cases'!G431,"")</f>
        <v/>
      </c>
      <c r="H431" t="str">
        <f>IF($A431&lt;&gt;"",'All Cases - Enter Cases'!H431,"")</f>
        <v/>
      </c>
      <c r="I431" t="str">
        <f>IF($A431&lt;&gt;"",'All Cases - Enter Cases'!I431,"")</f>
        <v/>
      </c>
      <c r="J431" s="4" t="str">
        <f>IF($A431&lt;&gt;"",'All Cases - Enter Cases'!J431,"")</f>
        <v/>
      </c>
      <c r="K431" s="4" t="str">
        <f>IF($A431&lt;&gt;"",'All Cases - Enter Cases'!K431,"")</f>
        <v/>
      </c>
      <c r="L431" s="4" t="str">
        <f>IF($A431&lt;&gt;"",'All Cases - Enter Cases'!L431,"")</f>
        <v/>
      </c>
      <c r="M431" t="str">
        <f>IF($A431&lt;&gt;"",'All Cases - Enter Cases'!M431,"")</f>
        <v/>
      </c>
    </row>
    <row r="432" spans="1:13" x14ac:dyDescent="0.35">
      <c r="A432" s="4" t="str">
        <f>IF('All Cases - Enter Cases'!$F432="Punjab",'All Cases - Enter Cases'!A432,"")</f>
        <v/>
      </c>
      <c r="B432" t="str">
        <f>IF($A432&lt;&gt;"",'All Cases - Enter Cases'!B432,"")</f>
        <v/>
      </c>
      <c r="C432" t="str">
        <f>IF($A432&lt;&gt;"",'All Cases - Enter Cases'!C432,"")</f>
        <v/>
      </c>
      <c r="D432" t="str">
        <f>IF($A432&lt;&gt;"",'All Cases - Enter Cases'!D432,"")</f>
        <v/>
      </c>
      <c r="E432" t="str">
        <f>IF($A432&lt;&gt;"",'All Cases - Enter Cases'!E432,"")</f>
        <v/>
      </c>
      <c r="F432" t="str">
        <f>IF($A432&lt;&gt;"",'All Cases - Enter Cases'!F432,"")</f>
        <v/>
      </c>
      <c r="G432" t="str">
        <f>IF($A432&lt;&gt;"",'All Cases - Enter Cases'!G432,"")</f>
        <v/>
      </c>
      <c r="H432" t="str">
        <f>IF($A432&lt;&gt;"",'All Cases - Enter Cases'!H432,"")</f>
        <v/>
      </c>
      <c r="I432" t="str">
        <f>IF($A432&lt;&gt;"",'All Cases - Enter Cases'!I432,"")</f>
        <v/>
      </c>
      <c r="J432" s="4" t="str">
        <f>IF($A432&lt;&gt;"",'All Cases - Enter Cases'!J432,"")</f>
        <v/>
      </c>
      <c r="K432" s="4" t="str">
        <f>IF($A432&lt;&gt;"",'All Cases - Enter Cases'!K432,"")</f>
        <v/>
      </c>
      <c r="L432" s="4" t="str">
        <f>IF($A432&lt;&gt;"",'All Cases - Enter Cases'!L432,"")</f>
        <v/>
      </c>
      <c r="M432" t="str">
        <f>IF($A432&lt;&gt;"",'All Cases - Enter Cases'!M432,"")</f>
        <v/>
      </c>
    </row>
    <row r="433" spans="1:13" x14ac:dyDescent="0.35">
      <c r="A433" s="4" t="str">
        <f>IF('All Cases - Enter Cases'!$F433="Punjab",'All Cases - Enter Cases'!A433,"")</f>
        <v/>
      </c>
      <c r="B433" t="str">
        <f>IF($A433&lt;&gt;"",'All Cases - Enter Cases'!B433,"")</f>
        <v/>
      </c>
      <c r="C433" t="str">
        <f>IF($A433&lt;&gt;"",'All Cases - Enter Cases'!C433,"")</f>
        <v/>
      </c>
      <c r="D433" t="str">
        <f>IF($A433&lt;&gt;"",'All Cases - Enter Cases'!D433,"")</f>
        <v/>
      </c>
      <c r="E433" t="str">
        <f>IF($A433&lt;&gt;"",'All Cases - Enter Cases'!E433,"")</f>
        <v/>
      </c>
      <c r="F433" t="str">
        <f>IF($A433&lt;&gt;"",'All Cases - Enter Cases'!F433,"")</f>
        <v/>
      </c>
      <c r="G433" t="str">
        <f>IF($A433&lt;&gt;"",'All Cases - Enter Cases'!G433,"")</f>
        <v/>
      </c>
      <c r="H433" t="str">
        <f>IF($A433&lt;&gt;"",'All Cases - Enter Cases'!H433,"")</f>
        <v/>
      </c>
      <c r="I433" t="str">
        <f>IF($A433&lt;&gt;"",'All Cases - Enter Cases'!I433,"")</f>
        <v/>
      </c>
      <c r="J433" s="4" t="str">
        <f>IF($A433&lt;&gt;"",'All Cases - Enter Cases'!J433,"")</f>
        <v/>
      </c>
      <c r="K433" s="4" t="str">
        <f>IF($A433&lt;&gt;"",'All Cases - Enter Cases'!K433,"")</f>
        <v/>
      </c>
      <c r="L433" s="4" t="str">
        <f>IF($A433&lt;&gt;"",'All Cases - Enter Cases'!L433,"")</f>
        <v/>
      </c>
      <c r="M433" t="str">
        <f>IF($A433&lt;&gt;"",'All Cases - Enter Cases'!M433,"")</f>
        <v/>
      </c>
    </row>
    <row r="434" spans="1:13" x14ac:dyDescent="0.35">
      <c r="A434" s="4" t="str">
        <f>IF('All Cases - Enter Cases'!$F434="Punjab",'All Cases - Enter Cases'!A434,"")</f>
        <v/>
      </c>
      <c r="B434" t="str">
        <f>IF($A434&lt;&gt;"",'All Cases - Enter Cases'!B434,"")</f>
        <v/>
      </c>
      <c r="C434" t="str">
        <f>IF($A434&lt;&gt;"",'All Cases - Enter Cases'!C434,"")</f>
        <v/>
      </c>
      <c r="D434" t="str">
        <f>IF($A434&lt;&gt;"",'All Cases - Enter Cases'!D434,"")</f>
        <v/>
      </c>
      <c r="E434" t="str">
        <f>IF($A434&lt;&gt;"",'All Cases - Enter Cases'!E434,"")</f>
        <v/>
      </c>
      <c r="F434" t="str">
        <f>IF($A434&lt;&gt;"",'All Cases - Enter Cases'!F434,"")</f>
        <v/>
      </c>
      <c r="G434" t="str">
        <f>IF($A434&lt;&gt;"",'All Cases - Enter Cases'!G434,"")</f>
        <v/>
      </c>
      <c r="H434" t="str">
        <f>IF($A434&lt;&gt;"",'All Cases - Enter Cases'!H434,"")</f>
        <v/>
      </c>
      <c r="I434" t="str">
        <f>IF($A434&lt;&gt;"",'All Cases - Enter Cases'!I434,"")</f>
        <v/>
      </c>
      <c r="J434" s="4" t="str">
        <f>IF($A434&lt;&gt;"",'All Cases - Enter Cases'!J434,"")</f>
        <v/>
      </c>
      <c r="K434" s="4" t="str">
        <f>IF($A434&lt;&gt;"",'All Cases - Enter Cases'!K434,"")</f>
        <v/>
      </c>
      <c r="L434" s="4" t="str">
        <f>IF($A434&lt;&gt;"",'All Cases - Enter Cases'!L434,"")</f>
        <v/>
      </c>
      <c r="M434" t="str">
        <f>IF($A434&lt;&gt;"",'All Cases - Enter Cases'!M434,"")</f>
        <v/>
      </c>
    </row>
    <row r="435" spans="1:13" x14ac:dyDescent="0.35">
      <c r="A435" s="4" t="str">
        <f>IF('All Cases - Enter Cases'!$F435="Punjab",'All Cases - Enter Cases'!A435,"")</f>
        <v/>
      </c>
      <c r="B435" t="str">
        <f>IF($A435&lt;&gt;"",'All Cases - Enter Cases'!B435,"")</f>
        <v/>
      </c>
      <c r="C435" t="str">
        <f>IF($A435&lt;&gt;"",'All Cases - Enter Cases'!C435,"")</f>
        <v/>
      </c>
      <c r="D435" t="str">
        <f>IF($A435&lt;&gt;"",'All Cases - Enter Cases'!D435,"")</f>
        <v/>
      </c>
      <c r="E435" t="str">
        <f>IF($A435&lt;&gt;"",'All Cases - Enter Cases'!E435,"")</f>
        <v/>
      </c>
      <c r="F435" t="str">
        <f>IF($A435&lt;&gt;"",'All Cases - Enter Cases'!F435,"")</f>
        <v/>
      </c>
      <c r="G435" t="str">
        <f>IF($A435&lt;&gt;"",'All Cases - Enter Cases'!G435,"")</f>
        <v/>
      </c>
      <c r="H435" t="str">
        <f>IF($A435&lt;&gt;"",'All Cases - Enter Cases'!H435,"")</f>
        <v/>
      </c>
      <c r="I435" t="str">
        <f>IF($A435&lt;&gt;"",'All Cases - Enter Cases'!I435,"")</f>
        <v/>
      </c>
      <c r="J435" s="4" t="str">
        <f>IF($A435&lt;&gt;"",'All Cases - Enter Cases'!J435,"")</f>
        <v/>
      </c>
      <c r="K435" s="4" t="str">
        <f>IF($A435&lt;&gt;"",'All Cases - Enter Cases'!K435,"")</f>
        <v/>
      </c>
      <c r="L435" s="4" t="str">
        <f>IF($A435&lt;&gt;"",'All Cases - Enter Cases'!L435,"")</f>
        <v/>
      </c>
      <c r="M435" t="str">
        <f>IF($A435&lt;&gt;"",'All Cases - Enter Cases'!M435,"")</f>
        <v/>
      </c>
    </row>
    <row r="436" spans="1:13" x14ac:dyDescent="0.35">
      <c r="A436" s="4" t="str">
        <f>IF('All Cases - Enter Cases'!$F436="Punjab",'All Cases - Enter Cases'!A436,"")</f>
        <v/>
      </c>
      <c r="B436" t="str">
        <f>IF($A436&lt;&gt;"",'All Cases - Enter Cases'!B436,"")</f>
        <v/>
      </c>
      <c r="C436" t="str">
        <f>IF($A436&lt;&gt;"",'All Cases - Enter Cases'!C436,"")</f>
        <v/>
      </c>
      <c r="D436" t="str">
        <f>IF($A436&lt;&gt;"",'All Cases - Enter Cases'!D436,"")</f>
        <v/>
      </c>
      <c r="E436" t="str">
        <f>IF($A436&lt;&gt;"",'All Cases - Enter Cases'!E436,"")</f>
        <v/>
      </c>
      <c r="F436" t="str">
        <f>IF($A436&lt;&gt;"",'All Cases - Enter Cases'!F436,"")</f>
        <v/>
      </c>
      <c r="G436" t="str">
        <f>IF($A436&lt;&gt;"",'All Cases - Enter Cases'!G436,"")</f>
        <v/>
      </c>
      <c r="H436" t="str">
        <f>IF($A436&lt;&gt;"",'All Cases - Enter Cases'!H436,"")</f>
        <v/>
      </c>
      <c r="I436" t="str">
        <f>IF($A436&lt;&gt;"",'All Cases - Enter Cases'!I436,"")</f>
        <v/>
      </c>
      <c r="J436" s="4" t="str">
        <f>IF($A436&lt;&gt;"",'All Cases - Enter Cases'!J436,"")</f>
        <v/>
      </c>
      <c r="K436" s="4" t="str">
        <f>IF($A436&lt;&gt;"",'All Cases - Enter Cases'!K436,"")</f>
        <v/>
      </c>
      <c r="L436" s="4" t="str">
        <f>IF($A436&lt;&gt;"",'All Cases - Enter Cases'!L436,"")</f>
        <v/>
      </c>
      <c r="M436" t="str">
        <f>IF($A436&lt;&gt;"",'All Cases - Enter Cases'!M436,"")</f>
        <v/>
      </c>
    </row>
    <row r="437" spans="1:13" x14ac:dyDescent="0.35">
      <c r="A437" s="4" t="str">
        <f>IF('All Cases - Enter Cases'!$F437="Punjab",'All Cases - Enter Cases'!A437,"")</f>
        <v/>
      </c>
      <c r="B437" t="str">
        <f>IF($A437&lt;&gt;"",'All Cases - Enter Cases'!B437,"")</f>
        <v/>
      </c>
      <c r="C437" t="str">
        <f>IF($A437&lt;&gt;"",'All Cases - Enter Cases'!C437,"")</f>
        <v/>
      </c>
      <c r="D437" t="str">
        <f>IF($A437&lt;&gt;"",'All Cases - Enter Cases'!D437,"")</f>
        <v/>
      </c>
      <c r="E437" t="str">
        <f>IF($A437&lt;&gt;"",'All Cases - Enter Cases'!E437,"")</f>
        <v/>
      </c>
      <c r="F437" t="str">
        <f>IF($A437&lt;&gt;"",'All Cases - Enter Cases'!F437,"")</f>
        <v/>
      </c>
      <c r="G437" t="str">
        <f>IF($A437&lt;&gt;"",'All Cases - Enter Cases'!G437,"")</f>
        <v/>
      </c>
      <c r="H437" t="str">
        <f>IF($A437&lt;&gt;"",'All Cases - Enter Cases'!H437,"")</f>
        <v/>
      </c>
      <c r="I437" t="str">
        <f>IF($A437&lt;&gt;"",'All Cases - Enter Cases'!I437,"")</f>
        <v/>
      </c>
      <c r="J437" s="4" t="str">
        <f>IF($A437&lt;&gt;"",'All Cases - Enter Cases'!J437,"")</f>
        <v/>
      </c>
      <c r="K437" s="4" t="str">
        <f>IF($A437&lt;&gt;"",'All Cases - Enter Cases'!K437,"")</f>
        <v/>
      </c>
      <c r="L437" s="4" t="str">
        <f>IF($A437&lt;&gt;"",'All Cases - Enter Cases'!L437,"")</f>
        <v/>
      </c>
      <c r="M437" t="str">
        <f>IF($A437&lt;&gt;"",'All Cases - Enter Cases'!M437,"")</f>
        <v/>
      </c>
    </row>
    <row r="438" spans="1:13" x14ac:dyDescent="0.35">
      <c r="A438" s="4" t="str">
        <f>IF('All Cases - Enter Cases'!$F438="Punjab",'All Cases - Enter Cases'!A438,"")</f>
        <v/>
      </c>
      <c r="B438" t="str">
        <f>IF($A438&lt;&gt;"",'All Cases - Enter Cases'!B438,"")</f>
        <v/>
      </c>
      <c r="C438" t="str">
        <f>IF($A438&lt;&gt;"",'All Cases - Enter Cases'!C438,"")</f>
        <v/>
      </c>
      <c r="D438" t="str">
        <f>IF($A438&lt;&gt;"",'All Cases - Enter Cases'!D438,"")</f>
        <v/>
      </c>
      <c r="E438" t="str">
        <f>IF($A438&lt;&gt;"",'All Cases - Enter Cases'!E438,"")</f>
        <v/>
      </c>
      <c r="F438" t="str">
        <f>IF($A438&lt;&gt;"",'All Cases - Enter Cases'!F438,"")</f>
        <v/>
      </c>
      <c r="G438" t="str">
        <f>IF($A438&lt;&gt;"",'All Cases - Enter Cases'!G438,"")</f>
        <v/>
      </c>
      <c r="H438" t="str">
        <f>IF($A438&lt;&gt;"",'All Cases - Enter Cases'!H438,"")</f>
        <v/>
      </c>
      <c r="I438" t="str">
        <f>IF($A438&lt;&gt;"",'All Cases - Enter Cases'!I438,"")</f>
        <v/>
      </c>
      <c r="J438" s="4" t="str">
        <f>IF($A438&lt;&gt;"",'All Cases - Enter Cases'!J438,"")</f>
        <v/>
      </c>
      <c r="K438" s="4" t="str">
        <f>IF($A438&lt;&gt;"",'All Cases - Enter Cases'!K438,"")</f>
        <v/>
      </c>
      <c r="L438" s="4" t="str">
        <f>IF($A438&lt;&gt;"",'All Cases - Enter Cases'!L438,"")</f>
        <v/>
      </c>
      <c r="M438" t="str">
        <f>IF($A438&lt;&gt;"",'All Cases - Enter Cases'!M438,"")</f>
        <v/>
      </c>
    </row>
    <row r="439" spans="1:13" x14ac:dyDescent="0.35">
      <c r="A439" s="4" t="str">
        <f>IF('All Cases - Enter Cases'!$F439="Punjab",'All Cases - Enter Cases'!A439,"")</f>
        <v/>
      </c>
      <c r="B439" t="str">
        <f>IF($A439&lt;&gt;"",'All Cases - Enter Cases'!B439,"")</f>
        <v/>
      </c>
      <c r="C439" t="str">
        <f>IF($A439&lt;&gt;"",'All Cases - Enter Cases'!C439,"")</f>
        <v/>
      </c>
      <c r="D439" t="str">
        <f>IF($A439&lt;&gt;"",'All Cases - Enter Cases'!D439,"")</f>
        <v/>
      </c>
      <c r="E439" t="str">
        <f>IF($A439&lt;&gt;"",'All Cases - Enter Cases'!E439,"")</f>
        <v/>
      </c>
      <c r="F439" t="str">
        <f>IF($A439&lt;&gt;"",'All Cases - Enter Cases'!F439,"")</f>
        <v/>
      </c>
      <c r="G439" t="str">
        <f>IF($A439&lt;&gt;"",'All Cases - Enter Cases'!G439,"")</f>
        <v/>
      </c>
      <c r="H439" t="str">
        <f>IF($A439&lt;&gt;"",'All Cases - Enter Cases'!H439,"")</f>
        <v/>
      </c>
      <c r="I439" t="str">
        <f>IF($A439&lt;&gt;"",'All Cases - Enter Cases'!I439,"")</f>
        <v/>
      </c>
      <c r="J439" s="4" t="str">
        <f>IF($A439&lt;&gt;"",'All Cases - Enter Cases'!J439,"")</f>
        <v/>
      </c>
      <c r="K439" s="4" t="str">
        <f>IF($A439&lt;&gt;"",'All Cases - Enter Cases'!K439,"")</f>
        <v/>
      </c>
      <c r="L439" s="4" t="str">
        <f>IF($A439&lt;&gt;"",'All Cases - Enter Cases'!L439,"")</f>
        <v/>
      </c>
      <c r="M439" t="str">
        <f>IF($A439&lt;&gt;"",'All Cases - Enter Cases'!M439,"")</f>
        <v/>
      </c>
    </row>
    <row r="440" spans="1:13" x14ac:dyDescent="0.35">
      <c r="A440" s="4" t="str">
        <f>IF('All Cases - Enter Cases'!$F440="Punjab",'All Cases - Enter Cases'!A440,"")</f>
        <v/>
      </c>
      <c r="B440" t="str">
        <f>IF($A440&lt;&gt;"",'All Cases - Enter Cases'!B440,"")</f>
        <v/>
      </c>
      <c r="C440" t="str">
        <f>IF($A440&lt;&gt;"",'All Cases - Enter Cases'!C440,"")</f>
        <v/>
      </c>
      <c r="D440" t="str">
        <f>IF($A440&lt;&gt;"",'All Cases - Enter Cases'!D440,"")</f>
        <v/>
      </c>
      <c r="E440" t="str">
        <f>IF($A440&lt;&gt;"",'All Cases - Enter Cases'!E440,"")</f>
        <v/>
      </c>
      <c r="F440" t="str">
        <f>IF($A440&lt;&gt;"",'All Cases - Enter Cases'!F440,"")</f>
        <v/>
      </c>
      <c r="G440" t="str">
        <f>IF($A440&lt;&gt;"",'All Cases - Enter Cases'!G440,"")</f>
        <v/>
      </c>
      <c r="H440" t="str">
        <f>IF($A440&lt;&gt;"",'All Cases - Enter Cases'!H440,"")</f>
        <v/>
      </c>
      <c r="I440" t="str">
        <f>IF($A440&lt;&gt;"",'All Cases - Enter Cases'!I440,"")</f>
        <v/>
      </c>
      <c r="J440" s="4" t="str">
        <f>IF($A440&lt;&gt;"",'All Cases - Enter Cases'!J440,"")</f>
        <v/>
      </c>
      <c r="K440" s="4" t="str">
        <f>IF($A440&lt;&gt;"",'All Cases - Enter Cases'!K440,"")</f>
        <v/>
      </c>
      <c r="L440" s="4" t="str">
        <f>IF($A440&lt;&gt;"",'All Cases - Enter Cases'!L440,"")</f>
        <v/>
      </c>
      <c r="M440" t="str">
        <f>IF($A440&lt;&gt;"",'All Cases - Enter Cases'!M440,"")</f>
        <v/>
      </c>
    </row>
    <row r="441" spans="1:13" x14ac:dyDescent="0.35">
      <c r="A441" s="4" t="str">
        <f>IF('All Cases - Enter Cases'!$F441="Punjab",'All Cases - Enter Cases'!A441,"")</f>
        <v/>
      </c>
      <c r="B441" t="str">
        <f>IF($A441&lt;&gt;"",'All Cases - Enter Cases'!B441,"")</f>
        <v/>
      </c>
      <c r="C441" t="str">
        <f>IF($A441&lt;&gt;"",'All Cases - Enter Cases'!C441,"")</f>
        <v/>
      </c>
      <c r="D441" t="str">
        <f>IF($A441&lt;&gt;"",'All Cases - Enter Cases'!D441,"")</f>
        <v/>
      </c>
      <c r="E441" t="str">
        <f>IF($A441&lt;&gt;"",'All Cases - Enter Cases'!E441,"")</f>
        <v/>
      </c>
      <c r="F441" t="str">
        <f>IF($A441&lt;&gt;"",'All Cases - Enter Cases'!F441,"")</f>
        <v/>
      </c>
      <c r="G441" t="str">
        <f>IF($A441&lt;&gt;"",'All Cases - Enter Cases'!G441,"")</f>
        <v/>
      </c>
      <c r="H441" t="str">
        <f>IF($A441&lt;&gt;"",'All Cases - Enter Cases'!H441,"")</f>
        <v/>
      </c>
      <c r="I441" t="str">
        <f>IF($A441&lt;&gt;"",'All Cases - Enter Cases'!I441,"")</f>
        <v/>
      </c>
      <c r="J441" s="4" t="str">
        <f>IF($A441&lt;&gt;"",'All Cases - Enter Cases'!J441,"")</f>
        <v/>
      </c>
      <c r="K441" s="4" t="str">
        <f>IF($A441&lt;&gt;"",'All Cases - Enter Cases'!K441,"")</f>
        <v/>
      </c>
      <c r="L441" s="4" t="str">
        <f>IF($A441&lt;&gt;"",'All Cases - Enter Cases'!L441,"")</f>
        <v/>
      </c>
      <c r="M441" t="str">
        <f>IF($A441&lt;&gt;"",'All Cases - Enter Cases'!M441,"")</f>
        <v/>
      </c>
    </row>
    <row r="442" spans="1:13" x14ac:dyDescent="0.35">
      <c r="A442" s="4" t="str">
        <f>IF('All Cases - Enter Cases'!$F442="Punjab",'All Cases - Enter Cases'!A442,"")</f>
        <v/>
      </c>
      <c r="B442" t="str">
        <f>IF($A442&lt;&gt;"",'All Cases - Enter Cases'!B442,"")</f>
        <v/>
      </c>
      <c r="C442" t="str">
        <f>IF($A442&lt;&gt;"",'All Cases - Enter Cases'!C442,"")</f>
        <v/>
      </c>
      <c r="D442" t="str">
        <f>IF($A442&lt;&gt;"",'All Cases - Enter Cases'!D442,"")</f>
        <v/>
      </c>
      <c r="E442" t="str">
        <f>IF($A442&lt;&gt;"",'All Cases - Enter Cases'!E442,"")</f>
        <v/>
      </c>
      <c r="F442" t="str">
        <f>IF($A442&lt;&gt;"",'All Cases - Enter Cases'!F442,"")</f>
        <v/>
      </c>
      <c r="G442" t="str">
        <f>IF($A442&lt;&gt;"",'All Cases - Enter Cases'!G442,"")</f>
        <v/>
      </c>
      <c r="H442" t="str">
        <f>IF($A442&lt;&gt;"",'All Cases - Enter Cases'!H442,"")</f>
        <v/>
      </c>
      <c r="I442" t="str">
        <f>IF($A442&lt;&gt;"",'All Cases - Enter Cases'!I442,"")</f>
        <v/>
      </c>
      <c r="J442" s="4" t="str">
        <f>IF($A442&lt;&gt;"",'All Cases - Enter Cases'!J442,"")</f>
        <v/>
      </c>
      <c r="K442" s="4" t="str">
        <f>IF($A442&lt;&gt;"",'All Cases - Enter Cases'!K442,"")</f>
        <v/>
      </c>
      <c r="L442" s="4" t="str">
        <f>IF($A442&lt;&gt;"",'All Cases - Enter Cases'!L442,"")</f>
        <v/>
      </c>
      <c r="M442" t="str">
        <f>IF($A442&lt;&gt;"",'All Cases - Enter Cases'!M442,"")</f>
        <v/>
      </c>
    </row>
    <row r="443" spans="1:13" x14ac:dyDescent="0.35">
      <c r="A443" s="4" t="str">
        <f>IF('All Cases - Enter Cases'!$F443="Punjab",'All Cases - Enter Cases'!A443,"")</f>
        <v/>
      </c>
      <c r="B443" t="str">
        <f>IF($A443&lt;&gt;"",'All Cases - Enter Cases'!B443,"")</f>
        <v/>
      </c>
      <c r="C443" t="str">
        <f>IF($A443&lt;&gt;"",'All Cases - Enter Cases'!C443,"")</f>
        <v/>
      </c>
      <c r="D443" t="str">
        <f>IF($A443&lt;&gt;"",'All Cases - Enter Cases'!D443,"")</f>
        <v/>
      </c>
      <c r="E443" t="str">
        <f>IF($A443&lt;&gt;"",'All Cases - Enter Cases'!E443,"")</f>
        <v/>
      </c>
      <c r="F443" t="str">
        <f>IF($A443&lt;&gt;"",'All Cases - Enter Cases'!F443,"")</f>
        <v/>
      </c>
      <c r="G443" t="str">
        <f>IF($A443&lt;&gt;"",'All Cases - Enter Cases'!G443,"")</f>
        <v/>
      </c>
      <c r="H443" t="str">
        <f>IF($A443&lt;&gt;"",'All Cases - Enter Cases'!H443,"")</f>
        <v/>
      </c>
      <c r="I443" t="str">
        <f>IF($A443&lt;&gt;"",'All Cases - Enter Cases'!I443,"")</f>
        <v/>
      </c>
      <c r="J443" s="4" t="str">
        <f>IF($A443&lt;&gt;"",'All Cases - Enter Cases'!J443,"")</f>
        <v/>
      </c>
      <c r="K443" s="4" t="str">
        <f>IF($A443&lt;&gt;"",'All Cases - Enter Cases'!K443,"")</f>
        <v/>
      </c>
      <c r="L443" s="4" t="str">
        <f>IF($A443&lt;&gt;"",'All Cases - Enter Cases'!L443,"")</f>
        <v/>
      </c>
      <c r="M443" t="str">
        <f>IF($A443&lt;&gt;"",'All Cases - Enter Cases'!M443,"")</f>
        <v/>
      </c>
    </row>
    <row r="444" spans="1:13" x14ac:dyDescent="0.35">
      <c r="A444" s="4" t="str">
        <f>IF('All Cases - Enter Cases'!$F444="Punjab",'All Cases - Enter Cases'!A444,"")</f>
        <v/>
      </c>
      <c r="B444" t="str">
        <f>IF($A444&lt;&gt;"",'All Cases - Enter Cases'!B444,"")</f>
        <v/>
      </c>
      <c r="C444" t="str">
        <f>IF($A444&lt;&gt;"",'All Cases - Enter Cases'!C444,"")</f>
        <v/>
      </c>
      <c r="D444" t="str">
        <f>IF($A444&lt;&gt;"",'All Cases - Enter Cases'!D444,"")</f>
        <v/>
      </c>
      <c r="E444" t="str">
        <f>IF($A444&lt;&gt;"",'All Cases - Enter Cases'!E444,"")</f>
        <v/>
      </c>
      <c r="F444" t="str">
        <f>IF($A444&lt;&gt;"",'All Cases - Enter Cases'!F444,"")</f>
        <v/>
      </c>
      <c r="G444" t="str">
        <f>IF($A444&lt;&gt;"",'All Cases - Enter Cases'!G444,"")</f>
        <v/>
      </c>
      <c r="H444" t="str">
        <f>IF($A444&lt;&gt;"",'All Cases - Enter Cases'!H444,"")</f>
        <v/>
      </c>
      <c r="I444" t="str">
        <f>IF($A444&lt;&gt;"",'All Cases - Enter Cases'!I444,"")</f>
        <v/>
      </c>
      <c r="J444" s="4" t="str">
        <f>IF($A444&lt;&gt;"",'All Cases - Enter Cases'!J444,"")</f>
        <v/>
      </c>
      <c r="K444" s="4" t="str">
        <f>IF($A444&lt;&gt;"",'All Cases - Enter Cases'!K444,"")</f>
        <v/>
      </c>
      <c r="L444" s="4" t="str">
        <f>IF($A444&lt;&gt;"",'All Cases - Enter Cases'!L444,"")</f>
        <v/>
      </c>
      <c r="M444" t="str">
        <f>IF($A444&lt;&gt;"",'All Cases - Enter Cases'!M444,"")</f>
        <v/>
      </c>
    </row>
    <row r="445" spans="1:13" x14ac:dyDescent="0.35">
      <c r="A445" s="4" t="str">
        <f>IF('All Cases - Enter Cases'!$F445="Punjab",'All Cases - Enter Cases'!A445,"")</f>
        <v/>
      </c>
      <c r="B445" t="str">
        <f>IF($A445&lt;&gt;"",'All Cases - Enter Cases'!B445,"")</f>
        <v/>
      </c>
      <c r="C445" t="str">
        <f>IF($A445&lt;&gt;"",'All Cases - Enter Cases'!C445,"")</f>
        <v/>
      </c>
      <c r="D445" t="str">
        <f>IF($A445&lt;&gt;"",'All Cases - Enter Cases'!D445,"")</f>
        <v/>
      </c>
      <c r="E445" t="str">
        <f>IF($A445&lt;&gt;"",'All Cases - Enter Cases'!E445,"")</f>
        <v/>
      </c>
      <c r="F445" t="str">
        <f>IF($A445&lt;&gt;"",'All Cases - Enter Cases'!F445,"")</f>
        <v/>
      </c>
      <c r="G445" t="str">
        <f>IF($A445&lt;&gt;"",'All Cases - Enter Cases'!G445,"")</f>
        <v/>
      </c>
      <c r="H445" t="str">
        <f>IF($A445&lt;&gt;"",'All Cases - Enter Cases'!H445,"")</f>
        <v/>
      </c>
      <c r="I445" t="str">
        <f>IF($A445&lt;&gt;"",'All Cases - Enter Cases'!I445,"")</f>
        <v/>
      </c>
      <c r="J445" s="4" t="str">
        <f>IF($A445&lt;&gt;"",'All Cases - Enter Cases'!J445,"")</f>
        <v/>
      </c>
      <c r="K445" s="4" t="str">
        <f>IF($A445&lt;&gt;"",'All Cases - Enter Cases'!K445,"")</f>
        <v/>
      </c>
      <c r="L445" s="4" t="str">
        <f>IF($A445&lt;&gt;"",'All Cases - Enter Cases'!L445,"")</f>
        <v/>
      </c>
      <c r="M445" t="str">
        <f>IF($A445&lt;&gt;"",'All Cases - Enter Cases'!M445,"")</f>
        <v/>
      </c>
    </row>
    <row r="446" spans="1:13" x14ac:dyDescent="0.35">
      <c r="A446" s="4" t="str">
        <f>IF('All Cases - Enter Cases'!$F446="Punjab",'All Cases - Enter Cases'!A446,"")</f>
        <v/>
      </c>
      <c r="B446" t="str">
        <f>IF($A446&lt;&gt;"",'All Cases - Enter Cases'!B446,"")</f>
        <v/>
      </c>
      <c r="C446" t="str">
        <f>IF($A446&lt;&gt;"",'All Cases - Enter Cases'!C446,"")</f>
        <v/>
      </c>
      <c r="D446" t="str">
        <f>IF($A446&lt;&gt;"",'All Cases - Enter Cases'!D446,"")</f>
        <v/>
      </c>
      <c r="E446" t="str">
        <f>IF($A446&lt;&gt;"",'All Cases - Enter Cases'!E446,"")</f>
        <v/>
      </c>
      <c r="F446" t="str">
        <f>IF($A446&lt;&gt;"",'All Cases - Enter Cases'!F446,"")</f>
        <v/>
      </c>
      <c r="G446" t="str">
        <f>IF($A446&lt;&gt;"",'All Cases - Enter Cases'!G446,"")</f>
        <v/>
      </c>
      <c r="H446" t="str">
        <f>IF($A446&lt;&gt;"",'All Cases - Enter Cases'!H446,"")</f>
        <v/>
      </c>
      <c r="I446" t="str">
        <f>IF($A446&lt;&gt;"",'All Cases - Enter Cases'!I446,"")</f>
        <v/>
      </c>
      <c r="J446" s="4" t="str">
        <f>IF($A446&lt;&gt;"",'All Cases - Enter Cases'!J446,"")</f>
        <v/>
      </c>
      <c r="K446" s="4" t="str">
        <f>IF($A446&lt;&gt;"",'All Cases - Enter Cases'!K446,"")</f>
        <v/>
      </c>
      <c r="L446" s="4" t="str">
        <f>IF($A446&lt;&gt;"",'All Cases - Enter Cases'!L446,"")</f>
        <v/>
      </c>
      <c r="M446" t="str">
        <f>IF($A446&lt;&gt;"",'All Cases - Enter Cases'!M446,"")</f>
        <v/>
      </c>
    </row>
    <row r="447" spans="1:13" x14ac:dyDescent="0.35">
      <c r="A447" s="4" t="str">
        <f>IF('All Cases - Enter Cases'!$F447="Punjab",'All Cases - Enter Cases'!A447,"")</f>
        <v/>
      </c>
      <c r="B447" t="str">
        <f>IF($A447&lt;&gt;"",'All Cases - Enter Cases'!B447,"")</f>
        <v/>
      </c>
      <c r="C447" t="str">
        <f>IF($A447&lt;&gt;"",'All Cases - Enter Cases'!C447,"")</f>
        <v/>
      </c>
      <c r="D447" t="str">
        <f>IF($A447&lt;&gt;"",'All Cases - Enter Cases'!D447,"")</f>
        <v/>
      </c>
      <c r="E447" t="str">
        <f>IF($A447&lt;&gt;"",'All Cases - Enter Cases'!E447,"")</f>
        <v/>
      </c>
      <c r="F447" t="str">
        <f>IF($A447&lt;&gt;"",'All Cases - Enter Cases'!F447,"")</f>
        <v/>
      </c>
      <c r="G447" t="str">
        <f>IF($A447&lt;&gt;"",'All Cases - Enter Cases'!G447,"")</f>
        <v/>
      </c>
      <c r="H447" t="str">
        <f>IF($A447&lt;&gt;"",'All Cases - Enter Cases'!H447,"")</f>
        <v/>
      </c>
      <c r="I447" t="str">
        <f>IF($A447&lt;&gt;"",'All Cases - Enter Cases'!I447,"")</f>
        <v/>
      </c>
      <c r="J447" s="4" t="str">
        <f>IF($A447&lt;&gt;"",'All Cases - Enter Cases'!J447,"")</f>
        <v/>
      </c>
      <c r="K447" s="4" t="str">
        <f>IF($A447&lt;&gt;"",'All Cases - Enter Cases'!K447,"")</f>
        <v/>
      </c>
      <c r="L447" s="4" t="str">
        <f>IF($A447&lt;&gt;"",'All Cases - Enter Cases'!L447,"")</f>
        <v/>
      </c>
      <c r="M447" t="str">
        <f>IF($A447&lt;&gt;"",'All Cases - Enter Cases'!M447,"")</f>
        <v/>
      </c>
    </row>
    <row r="448" spans="1:13" x14ac:dyDescent="0.35">
      <c r="A448" s="4" t="str">
        <f>IF('All Cases - Enter Cases'!$F448="Punjab",'All Cases - Enter Cases'!A448,"")</f>
        <v/>
      </c>
      <c r="B448" t="str">
        <f>IF($A448&lt;&gt;"",'All Cases - Enter Cases'!B448,"")</f>
        <v/>
      </c>
      <c r="C448" t="str">
        <f>IF($A448&lt;&gt;"",'All Cases - Enter Cases'!C448,"")</f>
        <v/>
      </c>
      <c r="D448" t="str">
        <f>IF($A448&lt;&gt;"",'All Cases - Enter Cases'!D448,"")</f>
        <v/>
      </c>
      <c r="E448" t="str">
        <f>IF($A448&lt;&gt;"",'All Cases - Enter Cases'!E448,"")</f>
        <v/>
      </c>
      <c r="F448" t="str">
        <f>IF($A448&lt;&gt;"",'All Cases - Enter Cases'!F448,"")</f>
        <v/>
      </c>
      <c r="G448" t="str">
        <f>IF($A448&lt;&gt;"",'All Cases - Enter Cases'!G448,"")</f>
        <v/>
      </c>
      <c r="H448" t="str">
        <f>IF($A448&lt;&gt;"",'All Cases - Enter Cases'!H448,"")</f>
        <v/>
      </c>
      <c r="I448" t="str">
        <f>IF($A448&lt;&gt;"",'All Cases - Enter Cases'!I448,"")</f>
        <v/>
      </c>
      <c r="J448" s="4" t="str">
        <f>IF($A448&lt;&gt;"",'All Cases - Enter Cases'!J448,"")</f>
        <v/>
      </c>
      <c r="K448" s="4" t="str">
        <f>IF($A448&lt;&gt;"",'All Cases - Enter Cases'!K448,"")</f>
        <v/>
      </c>
      <c r="L448" s="4" t="str">
        <f>IF($A448&lt;&gt;"",'All Cases - Enter Cases'!L448,"")</f>
        <v/>
      </c>
      <c r="M448" t="str">
        <f>IF($A448&lt;&gt;"",'All Cases - Enter Cases'!M448,"")</f>
        <v/>
      </c>
    </row>
    <row r="449" spans="1:13" x14ac:dyDescent="0.35">
      <c r="A449" s="4" t="str">
        <f>IF('All Cases - Enter Cases'!$F449="Punjab",'All Cases - Enter Cases'!A449,"")</f>
        <v/>
      </c>
      <c r="B449" t="str">
        <f>IF($A449&lt;&gt;"",'All Cases - Enter Cases'!B449,"")</f>
        <v/>
      </c>
      <c r="C449" t="str">
        <f>IF($A449&lt;&gt;"",'All Cases - Enter Cases'!C449,"")</f>
        <v/>
      </c>
      <c r="D449" t="str">
        <f>IF($A449&lt;&gt;"",'All Cases - Enter Cases'!D449,"")</f>
        <v/>
      </c>
      <c r="E449" t="str">
        <f>IF($A449&lt;&gt;"",'All Cases - Enter Cases'!E449,"")</f>
        <v/>
      </c>
      <c r="F449" t="str">
        <f>IF($A449&lt;&gt;"",'All Cases - Enter Cases'!F449,"")</f>
        <v/>
      </c>
      <c r="G449" t="str">
        <f>IF($A449&lt;&gt;"",'All Cases - Enter Cases'!G449,"")</f>
        <v/>
      </c>
      <c r="H449" t="str">
        <f>IF($A449&lt;&gt;"",'All Cases - Enter Cases'!H449,"")</f>
        <v/>
      </c>
      <c r="I449" t="str">
        <f>IF($A449&lt;&gt;"",'All Cases - Enter Cases'!I449,"")</f>
        <v/>
      </c>
      <c r="J449" s="4" t="str">
        <f>IF($A449&lt;&gt;"",'All Cases - Enter Cases'!J449,"")</f>
        <v/>
      </c>
      <c r="K449" s="4" t="str">
        <f>IF($A449&lt;&gt;"",'All Cases - Enter Cases'!K449,"")</f>
        <v/>
      </c>
      <c r="L449" s="4" t="str">
        <f>IF($A449&lt;&gt;"",'All Cases - Enter Cases'!L449,"")</f>
        <v/>
      </c>
      <c r="M449" t="str">
        <f>IF($A449&lt;&gt;"",'All Cases - Enter Cases'!M449,"")</f>
        <v/>
      </c>
    </row>
    <row r="450" spans="1:13" x14ac:dyDescent="0.35">
      <c r="A450" s="4" t="str">
        <f>IF('All Cases - Enter Cases'!$F450="Punjab",'All Cases - Enter Cases'!A450,"")</f>
        <v/>
      </c>
      <c r="B450" t="str">
        <f>IF($A450&lt;&gt;"",'All Cases - Enter Cases'!B450,"")</f>
        <v/>
      </c>
      <c r="C450" t="str">
        <f>IF($A450&lt;&gt;"",'All Cases - Enter Cases'!C450,"")</f>
        <v/>
      </c>
      <c r="D450" t="str">
        <f>IF($A450&lt;&gt;"",'All Cases - Enter Cases'!D450,"")</f>
        <v/>
      </c>
      <c r="E450" t="str">
        <f>IF($A450&lt;&gt;"",'All Cases - Enter Cases'!E450,"")</f>
        <v/>
      </c>
      <c r="F450" t="str">
        <f>IF($A450&lt;&gt;"",'All Cases - Enter Cases'!F450,"")</f>
        <v/>
      </c>
      <c r="G450" t="str">
        <f>IF($A450&lt;&gt;"",'All Cases - Enter Cases'!G450,"")</f>
        <v/>
      </c>
      <c r="H450" t="str">
        <f>IF($A450&lt;&gt;"",'All Cases - Enter Cases'!H450,"")</f>
        <v/>
      </c>
      <c r="I450" t="str">
        <f>IF($A450&lt;&gt;"",'All Cases - Enter Cases'!I450,"")</f>
        <v/>
      </c>
      <c r="J450" s="4" t="str">
        <f>IF($A450&lt;&gt;"",'All Cases - Enter Cases'!J450,"")</f>
        <v/>
      </c>
      <c r="K450" s="4" t="str">
        <f>IF($A450&lt;&gt;"",'All Cases - Enter Cases'!K450,"")</f>
        <v/>
      </c>
      <c r="L450" s="4" t="str">
        <f>IF($A450&lt;&gt;"",'All Cases - Enter Cases'!L450,"")</f>
        <v/>
      </c>
      <c r="M450" t="str">
        <f>IF($A450&lt;&gt;"",'All Cases - Enter Cases'!M450,"")</f>
        <v/>
      </c>
    </row>
    <row r="451" spans="1:13" x14ac:dyDescent="0.35">
      <c r="A451" s="4" t="str">
        <f>IF('All Cases - Enter Cases'!$F451="Punjab",'All Cases - Enter Cases'!A451,"")</f>
        <v/>
      </c>
      <c r="B451" t="str">
        <f>IF($A451&lt;&gt;"",'All Cases - Enter Cases'!B451,"")</f>
        <v/>
      </c>
      <c r="C451" t="str">
        <f>IF($A451&lt;&gt;"",'All Cases - Enter Cases'!C451,"")</f>
        <v/>
      </c>
      <c r="D451" t="str">
        <f>IF($A451&lt;&gt;"",'All Cases - Enter Cases'!D451,"")</f>
        <v/>
      </c>
      <c r="E451" t="str">
        <f>IF($A451&lt;&gt;"",'All Cases - Enter Cases'!E451,"")</f>
        <v/>
      </c>
      <c r="F451" t="str">
        <f>IF($A451&lt;&gt;"",'All Cases - Enter Cases'!F451,"")</f>
        <v/>
      </c>
      <c r="G451" t="str">
        <f>IF($A451&lt;&gt;"",'All Cases - Enter Cases'!G451,"")</f>
        <v/>
      </c>
      <c r="H451" t="str">
        <f>IF($A451&lt;&gt;"",'All Cases - Enter Cases'!H451,"")</f>
        <v/>
      </c>
      <c r="I451" t="str">
        <f>IF($A451&lt;&gt;"",'All Cases - Enter Cases'!I451,"")</f>
        <v/>
      </c>
      <c r="J451" s="4" t="str">
        <f>IF($A451&lt;&gt;"",'All Cases - Enter Cases'!J451,"")</f>
        <v/>
      </c>
      <c r="K451" s="4" t="str">
        <f>IF($A451&lt;&gt;"",'All Cases - Enter Cases'!K451,"")</f>
        <v/>
      </c>
      <c r="L451" s="4" t="str">
        <f>IF($A451&lt;&gt;"",'All Cases - Enter Cases'!L451,"")</f>
        <v/>
      </c>
      <c r="M451" t="str">
        <f>IF($A451&lt;&gt;"",'All Cases - Enter Cases'!M451,"")</f>
        <v/>
      </c>
    </row>
    <row r="452" spans="1:13" x14ac:dyDescent="0.35">
      <c r="A452" s="4" t="str">
        <f>IF('All Cases - Enter Cases'!$F452="Punjab",'All Cases - Enter Cases'!A452,"")</f>
        <v/>
      </c>
      <c r="B452" t="str">
        <f>IF($A452&lt;&gt;"",'All Cases - Enter Cases'!B452,"")</f>
        <v/>
      </c>
      <c r="C452" t="str">
        <f>IF($A452&lt;&gt;"",'All Cases - Enter Cases'!C452,"")</f>
        <v/>
      </c>
      <c r="D452" t="str">
        <f>IF($A452&lt;&gt;"",'All Cases - Enter Cases'!D452,"")</f>
        <v/>
      </c>
      <c r="E452" t="str">
        <f>IF($A452&lt;&gt;"",'All Cases - Enter Cases'!E452,"")</f>
        <v/>
      </c>
      <c r="F452" t="str">
        <f>IF($A452&lt;&gt;"",'All Cases - Enter Cases'!F452,"")</f>
        <v/>
      </c>
      <c r="G452" t="str">
        <f>IF($A452&lt;&gt;"",'All Cases - Enter Cases'!G452,"")</f>
        <v/>
      </c>
      <c r="H452" t="str">
        <f>IF($A452&lt;&gt;"",'All Cases - Enter Cases'!H452,"")</f>
        <v/>
      </c>
      <c r="I452" t="str">
        <f>IF($A452&lt;&gt;"",'All Cases - Enter Cases'!I452,"")</f>
        <v/>
      </c>
      <c r="J452" s="4" t="str">
        <f>IF($A452&lt;&gt;"",'All Cases - Enter Cases'!J452,"")</f>
        <v/>
      </c>
      <c r="K452" s="4" t="str">
        <f>IF($A452&lt;&gt;"",'All Cases - Enter Cases'!K452,"")</f>
        <v/>
      </c>
      <c r="L452" s="4" t="str">
        <f>IF($A452&lt;&gt;"",'All Cases - Enter Cases'!L452,"")</f>
        <v/>
      </c>
      <c r="M452" t="str">
        <f>IF($A452&lt;&gt;"",'All Cases - Enter Cases'!M452,"")</f>
        <v/>
      </c>
    </row>
    <row r="453" spans="1:13" x14ac:dyDescent="0.35">
      <c r="A453" s="4" t="str">
        <f>IF('All Cases - Enter Cases'!$F453="Punjab",'All Cases - Enter Cases'!A453,"")</f>
        <v/>
      </c>
      <c r="B453" t="str">
        <f>IF($A453&lt;&gt;"",'All Cases - Enter Cases'!B453,"")</f>
        <v/>
      </c>
      <c r="C453" t="str">
        <f>IF($A453&lt;&gt;"",'All Cases - Enter Cases'!C453,"")</f>
        <v/>
      </c>
      <c r="D453" t="str">
        <f>IF($A453&lt;&gt;"",'All Cases - Enter Cases'!D453,"")</f>
        <v/>
      </c>
      <c r="E453" t="str">
        <f>IF($A453&lt;&gt;"",'All Cases - Enter Cases'!E453,"")</f>
        <v/>
      </c>
      <c r="F453" t="str">
        <f>IF($A453&lt;&gt;"",'All Cases - Enter Cases'!F453,"")</f>
        <v/>
      </c>
      <c r="G453" t="str">
        <f>IF($A453&lt;&gt;"",'All Cases - Enter Cases'!G453,"")</f>
        <v/>
      </c>
      <c r="H453" t="str">
        <f>IF($A453&lt;&gt;"",'All Cases - Enter Cases'!H453,"")</f>
        <v/>
      </c>
      <c r="I453" t="str">
        <f>IF($A453&lt;&gt;"",'All Cases - Enter Cases'!I453,"")</f>
        <v/>
      </c>
      <c r="J453" s="4" t="str">
        <f>IF($A453&lt;&gt;"",'All Cases - Enter Cases'!J453,"")</f>
        <v/>
      </c>
      <c r="K453" s="4" t="str">
        <f>IF($A453&lt;&gt;"",'All Cases - Enter Cases'!K453,"")</f>
        <v/>
      </c>
      <c r="L453" s="4" t="str">
        <f>IF($A453&lt;&gt;"",'All Cases - Enter Cases'!L453,"")</f>
        <v/>
      </c>
      <c r="M453" t="str">
        <f>IF($A453&lt;&gt;"",'All Cases - Enter Cases'!M453,"")</f>
        <v/>
      </c>
    </row>
    <row r="454" spans="1:13" x14ac:dyDescent="0.35">
      <c r="A454" s="4" t="str">
        <f>IF('All Cases - Enter Cases'!$F454="Punjab",'All Cases - Enter Cases'!A454,"")</f>
        <v/>
      </c>
      <c r="B454" t="str">
        <f>IF($A454&lt;&gt;"",'All Cases - Enter Cases'!B454,"")</f>
        <v/>
      </c>
      <c r="C454" t="str">
        <f>IF($A454&lt;&gt;"",'All Cases - Enter Cases'!C454,"")</f>
        <v/>
      </c>
      <c r="D454" t="str">
        <f>IF($A454&lt;&gt;"",'All Cases - Enter Cases'!D454,"")</f>
        <v/>
      </c>
      <c r="E454" t="str">
        <f>IF($A454&lt;&gt;"",'All Cases - Enter Cases'!E454,"")</f>
        <v/>
      </c>
      <c r="F454" t="str">
        <f>IF($A454&lt;&gt;"",'All Cases - Enter Cases'!F454,"")</f>
        <v/>
      </c>
      <c r="G454" t="str">
        <f>IF($A454&lt;&gt;"",'All Cases - Enter Cases'!G454,"")</f>
        <v/>
      </c>
      <c r="H454" t="str">
        <f>IF($A454&lt;&gt;"",'All Cases - Enter Cases'!H454,"")</f>
        <v/>
      </c>
      <c r="I454" t="str">
        <f>IF($A454&lt;&gt;"",'All Cases - Enter Cases'!I454,"")</f>
        <v/>
      </c>
      <c r="J454" s="4" t="str">
        <f>IF($A454&lt;&gt;"",'All Cases - Enter Cases'!J454,"")</f>
        <v/>
      </c>
      <c r="K454" s="4" t="str">
        <f>IF($A454&lt;&gt;"",'All Cases - Enter Cases'!K454,"")</f>
        <v/>
      </c>
      <c r="L454" s="4" t="str">
        <f>IF($A454&lt;&gt;"",'All Cases - Enter Cases'!L454,"")</f>
        <v/>
      </c>
      <c r="M454" t="str">
        <f>IF($A454&lt;&gt;"",'All Cases - Enter Cases'!M454,"")</f>
        <v/>
      </c>
    </row>
    <row r="455" spans="1:13" x14ac:dyDescent="0.35">
      <c r="A455" s="4" t="str">
        <f>IF('All Cases - Enter Cases'!$F455="Punjab",'All Cases - Enter Cases'!A455,"")</f>
        <v/>
      </c>
      <c r="B455" t="str">
        <f>IF($A455&lt;&gt;"",'All Cases - Enter Cases'!B455,"")</f>
        <v/>
      </c>
      <c r="C455" t="str">
        <f>IF($A455&lt;&gt;"",'All Cases - Enter Cases'!C455,"")</f>
        <v/>
      </c>
      <c r="D455" t="str">
        <f>IF($A455&lt;&gt;"",'All Cases - Enter Cases'!D455,"")</f>
        <v/>
      </c>
      <c r="E455" t="str">
        <f>IF($A455&lt;&gt;"",'All Cases - Enter Cases'!E455,"")</f>
        <v/>
      </c>
      <c r="F455" t="str">
        <f>IF($A455&lt;&gt;"",'All Cases - Enter Cases'!F455,"")</f>
        <v/>
      </c>
      <c r="G455" t="str">
        <f>IF($A455&lt;&gt;"",'All Cases - Enter Cases'!G455,"")</f>
        <v/>
      </c>
      <c r="H455" t="str">
        <f>IF($A455&lt;&gt;"",'All Cases - Enter Cases'!H455,"")</f>
        <v/>
      </c>
      <c r="I455" t="str">
        <f>IF($A455&lt;&gt;"",'All Cases - Enter Cases'!I455,"")</f>
        <v/>
      </c>
      <c r="J455" s="4" t="str">
        <f>IF($A455&lt;&gt;"",'All Cases - Enter Cases'!J455,"")</f>
        <v/>
      </c>
      <c r="K455" s="4" t="str">
        <f>IF($A455&lt;&gt;"",'All Cases - Enter Cases'!K455,"")</f>
        <v/>
      </c>
      <c r="L455" s="4" t="str">
        <f>IF($A455&lt;&gt;"",'All Cases - Enter Cases'!L455,"")</f>
        <v/>
      </c>
      <c r="M455" t="str">
        <f>IF($A455&lt;&gt;"",'All Cases - Enter Cases'!M455,"")</f>
        <v/>
      </c>
    </row>
    <row r="456" spans="1:13" x14ac:dyDescent="0.35">
      <c r="A456" s="4" t="str">
        <f>IF('All Cases - Enter Cases'!$F456="Punjab",'All Cases - Enter Cases'!A456,"")</f>
        <v/>
      </c>
      <c r="B456" t="str">
        <f>IF($A456&lt;&gt;"",'All Cases - Enter Cases'!B456,"")</f>
        <v/>
      </c>
      <c r="C456" t="str">
        <f>IF($A456&lt;&gt;"",'All Cases - Enter Cases'!C456,"")</f>
        <v/>
      </c>
      <c r="D456" t="str">
        <f>IF($A456&lt;&gt;"",'All Cases - Enter Cases'!D456,"")</f>
        <v/>
      </c>
      <c r="E456" t="str">
        <f>IF($A456&lt;&gt;"",'All Cases - Enter Cases'!E456,"")</f>
        <v/>
      </c>
      <c r="F456" t="str">
        <f>IF($A456&lt;&gt;"",'All Cases - Enter Cases'!F456,"")</f>
        <v/>
      </c>
      <c r="G456" t="str">
        <f>IF($A456&lt;&gt;"",'All Cases - Enter Cases'!G456,"")</f>
        <v/>
      </c>
      <c r="H456" t="str">
        <f>IF($A456&lt;&gt;"",'All Cases - Enter Cases'!H456,"")</f>
        <v/>
      </c>
      <c r="I456" t="str">
        <f>IF($A456&lt;&gt;"",'All Cases - Enter Cases'!I456,"")</f>
        <v/>
      </c>
      <c r="J456" s="4" t="str">
        <f>IF($A456&lt;&gt;"",'All Cases - Enter Cases'!J456,"")</f>
        <v/>
      </c>
      <c r="K456" s="4" t="str">
        <f>IF($A456&lt;&gt;"",'All Cases - Enter Cases'!K456,"")</f>
        <v/>
      </c>
      <c r="L456" s="4" t="str">
        <f>IF($A456&lt;&gt;"",'All Cases - Enter Cases'!L456,"")</f>
        <v/>
      </c>
      <c r="M456" t="str">
        <f>IF($A456&lt;&gt;"",'All Cases - Enter Cases'!M456,"")</f>
        <v/>
      </c>
    </row>
    <row r="457" spans="1:13" x14ac:dyDescent="0.35">
      <c r="A457" s="4" t="str">
        <f>IF('All Cases - Enter Cases'!$F457="Punjab",'All Cases - Enter Cases'!A457,"")</f>
        <v/>
      </c>
      <c r="B457" t="str">
        <f>IF($A457&lt;&gt;"",'All Cases - Enter Cases'!B457,"")</f>
        <v/>
      </c>
      <c r="C457" t="str">
        <f>IF($A457&lt;&gt;"",'All Cases - Enter Cases'!C457,"")</f>
        <v/>
      </c>
      <c r="D457" t="str">
        <f>IF($A457&lt;&gt;"",'All Cases - Enter Cases'!D457,"")</f>
        <v/>
      </c>
      <c r="E457" t="str">
        <f>IF($A457&lt;&gt;"",'All Cases - Enter Cases'!E457,"")</f>
        <v/>
      </c>
      <c r="F457" t="str">
        <f>IF($A457&lt;&gt;"",'All Cases - Enter Cases'!F457,"")</f>
        <v/>
      </c>
      <c r="G457" t="str">
        <f>IF($A457&lt;&gt;"",'All Cases - Enter Cases'!G457,"")</f>
        <v/>
      </c>
      <c r="H457" t="str">
        <f>IF($A457&lt;&gt;"",'All Cases - Enter Cases'!H457,"")</f>
        <v/>
      </c>
      <c r="I457" t="str">
        <f>IF($A457&lt;&gt;"",'All Cases - Enter Cases'!I457,"")</f>
        <v/>
      </c>
      <c r="J457" s="4" t="str">
        <f>IF($A457&lt;&gt;"",'All Cases - Enter Cases'!J457,"")</f>
        <v/>
      </c>
      <c r="K457" s="4" t="str">
        <f>IF($A457&lt;&gt;"",'All Cases - Enter Cases'!K457,"")</f>
        <v/>
      </c>
      <c r="L457" s="4" t="str">
        <f>IF($A457&lt;&gt;"",'All Cases - Enter Cases'!L457,"")</f>
        <v/>
      </c>
      <c r="M457" t="str">
        <f>IF($A457&lt;&gt;"",'All Cases - Enter Cases'!M457,"")</f>
        <v/>
      </c>
    </row>
    <row r="458" spans="1:13" x14ac:dyDescent="0.35">
      <c r="A458" s="4" t="str">
        <f>IF('All Cases - Enter Cases'!$F458="Punjab",'All Cases - Enter Cases'!A458,"")</f>
        <v/>
      </c>
      <c r="B458" t="str">
        <f>IF($A458&lt;&gt;"",'All Cases - Enter Cases'!B458,"")</f>
        <v/>
      </c>
      <c r="C458" t="str">
        <f>IF($A458&lt;&gt;"",'All Cases - Enter Cases'!C458,"")</f>
        <v/>
      </c>
      <c r="D458" t="str">
        <f>IF($A458&lt;&gt;"",'All Cases - Enter Cases'!D458,"")</f>
        <v/>
      </c>
      <c r="E458" t="str">
        <f>IF($A458&lt;&gt;"",'All Cases - Enter Cases'!E458,"")</f>
        <v/>
      </c>
      <c r="F458" t="str">
        <f>IF($A458&lt;&gt;"",'All Cases - Enter Cases'!F458,"")</f>
        <v/>
      </c>
      <c r="G458" t="str">
        <f>IF($A458&lt;&gt;"",'All Cases - Enter Cases'!G458,"")</f>
        <v/>
      </c>
      <c r="H458" t="str">
        <f>IF($A458&lt;&gt;"",'All Cases - Enter Cases'!H458,"")</f>
        <v/>
      </c>
      <c r="I458" t="str">
        <f>IF($A458&lt;&gt;"",'All Cases - Enter Cases'!I458,"")</f>
        <v/>
      </c>
      <c r="J458" s="4" t="str">
        <f>IF($A458&lt;&gt;"",'All Cases - Enter Cases'!J458,"")</f>
        <v/>
      </c>
      <c r="K458" s="4" t="str">
        <f>IF($A458&lt;&gt;"",'All Cases - Enter Cases'!K458,"")</f>
        <v/>
      </c>
      <c r="L458" s="4" t="str">
        <f>IF($A458&lt;&gt;"",'All Cases - Enter Cases'!L458,"")</f>
        <v/>
      </c>
      <c r="M458" t="str">
        <f>IF($A458&lt;&gt;"",'All Cases - Enter Cases'!M458,"")</f>
        <v/>
      </c>
    </row>
    <row r="459" spans="1:13" x14ac:dyDescent="0.35">
      <c r="A459" s="4" t="str">
        <f>IF('All Cases - Enter Cases'!$F459="Punjab",'All Cases - Enter Cases'!A459,"")</f>
        <v/>
      </c>
      <c r="B459" t="str">
        <f>IF($A459&lt;&gt;"",'All Cases - Enter Cases'!B459,"")</f>
        <v/>
      </c>
      <c r="C459" t="str">
        <f>IF($A459&lt;&gt;"",'All Cases - Enter Cases'!C459,"")</f>
        <v/>
      </c>
      <c r="D459" t="str">
        <f>IF($A459&lt;&gt;"",'All Cases - Enter Cases'!D459,"")</f>
        <v/>
      </c>
      <c r="E459" t="str">
        <f>IF($A459&lt;&gt;"",'All Cases - Enter Cases'!E459,"")</f>
        <v/>
      </c>
      <c r="F459" t="str">
        <f>IF($A459&lt;&gt;"",'All Cases - Enter Cases'!F459,"")</f>
        <v/>
      </c>
      <c r="G459" t="str">
        <f>IF($A459&lt;&gt;"",'All Cases - Enter Cases'!G459,"")</f>
        <v/>
      </c>
      <c r="H459" t="str">
        <f>IF($A459&lt;&gt;"",'All Cases - Enter Cases'!H459,"")</f>
        <v/>
      </c>
      <c r="I459" t="str">
        <f>IF($A459&lt;&gt;"",'All Cases - Enter Cases'!I459,"")</f>
        <v/>
      </c>
      <c r="J459" s="4" t="str">
        <f>IF($A459&lt;&gt;"",'All Cases - Enter Cases'!J459,"")</f>
        <v/>
      </c>
      <c r="K459" s="4" t="str">
        <f>IF($A459&lt;&gt;"",'All Cases - Enter Cases'!K459,"")</f>
        <v/>
      </c>
      <c r="L459" s="4" t="str">
        <f>IF($A459&lt;&gt;"",'All Cases - Enter Cases'!L459,"")</f>
        <v/>
      </c>
      <c r="M459" t="str">
        <f>IF($A459&lt;&gt;"",'All Cases - Enter Cases'!M459,"")</f>
        <v/>
      </c>
    </row>
    <row r="460" spans="1:13" x14ac:dyDescent="0.35">
      <c r="A460" s="4" t="str">
        <f>IF('All Cases - Enter Cases'!$F460="Punjab",'All Cases - Enter Cases'!A460,"")</f>
        <v/>
      </c>
      <c r="B460" t="str">
        <f>IF($A460&lt;&gt;"",'All Cases - Enter Cases'!B460,"")</f>
        <v/>
      </c>
      <c r="C460" t="str">
        <f>IF($A460&lt;&gt;"",'All Cases - Enter Cases'!C460,"")</f>
        <v/>
      </c>
      <c r="D460" t="str">
        <f>IF($A460&lt;&gt;"",'All Cases - Enter Cases'!D460,"")</f>
        <v/>
      </c>
      <c r="E460" t="str">
        <f>IF($A460&lt;&gt;"",'All Cases - Enter Cases'!E460,"")</f>
        <v/>
      </c>
      <c r="F460" t="str">
        <f>IF($A460&lt;&gt;"",'All Cases - Enter Cases'!F460,"")</f>
        <v/>
      </c>
      <c r="G460" t="str">
        <f>IF($A460&lt;&gt;"",'All Cases - Enter Cases'!G460,"")</f>
        <v/>
      </c>
      <c r="H460" t="str">
        <f>IF($A460&lt;&gt;"",'All Cases - Enter Cases'!H460,"")</f>
        <v/>
      </c>
      <c r="I460" t="str">
        <f>IF($A460&lt;&gt;"",'All Cases - Enter Cases'!I460,"")</f>
        <v/>
      </c>
      <c r="J460" s="4" t="str">
        <f>IF($A460&lt;&gt;"",'All Cases - Enter Cases'!J460,"")</f>
        <v/>
      </c>
      <c r="K460" s="4" t="str">
        <f>IF($A460&lt;&gt;"",'All Cases - Enter Cases'!K460,"")</f>
        <v/>
      </c>
      <c r="L460" s="4" t="str">
        <f>IF($A460&lt;&gt;"",'All Cases - Enter Cases'!L460,"")</f>
        <v/>
      </c>
      <c r="M460" t="str">
        <f>IF($A460&lt;&gt;"",'All Cases - Enter Cases'!M460,"")</f>
        <v/>
      </c>
    </row>
    <row r="461" spans="1:13" x14ac:dyDescent="0.35">
      <c r="A461" s="4" t="str">
        <f>IF('All Cases - Enter Cases'!$F461="Punjab",'All Cases - Enter Cases'!A461,"")</f>
        <v/>
      </c>
      <c r="B461" t="str">
        <f>IF($A461&lt;&gt;"",'All Cases - Enter Cases'!B461,"")</f>
        <v/>
      </c>
      <c r="C461" t="str">
        <f>IF($A461&lt;&gt;"",'All Cases - Enter Cases'!C461,"")</f>
        <v/>
      </c>
      <c r="D461" t="str">
        <f>IF($A461&lt;&gt;"",'All Cases - Enter Cases'!D461,"")</f>
        <v/>
      </c>
      <c r="E461" t="str">
        <f>IF($A461&lt;&gt;"",'All Cases - Enter Cases'!E461,"")</f>
        <v/>
      </c>
      <c r="F461" t="str">
        <f>IF($A461&lt;&gt;"",'All Cases - Enter Cases'!F461,"")</f>
        <v/>
      </c>
      <c r="G461" t="str">
        <f>IF($A461&lt;&gt;"",'All Cases - Enter Cases'!G461,"")</f>
        <v/>
      </c>
      <c r="H461" t="str">
        <f>IF($A461&lt;&gt;"",'All Cases - Enter Cases'!H461,"")</f>
        <v/>
      </c>
      <c r="I461" t="str">
        <f>IF($A461&lt;&gt;"",'All Cases - Enter Cases'!I461,"")</f>
        <v/>
      </c>
      <c r="J461" s="4" t="str">
        <f>IF($A461&lt;&gt;"",'All Cases - Enter Cases'!J461,"")</f>
        <v/>
      </c>
      <c r="K461" s="4" t="str">
        <f>IF($A461&lt;&gt;"",'All Cases - Enter Cases'!K461,"")</f>
        <v/>
      </c>
      <c r="L461" s="4" t="str">
        <f>IF($A461&lt;&gt;"",'All Cases - Enter Cases'!L461,"")</f>
        <v/>
      </c>
      <c r="M461" t="str">
        <f>IF($A461&lt;&gt;"",'All Cases - Enter Cases'!M461,"")</f>
        <v/>
      </c>
    </row>
    <row r="462" spans="1:13" x14ac:dyDescent="0.35">
      <c r="A462" s="4" t="str">
        <f>IF('All Cases - Enter Cases'!$F462="Punjab",'All Cases - Enter Cases'!A462,"")</f>
        <v/>
      </c>
      <c r="B462" t="str">
        <f>IF($A462&lt;&gt;"",'All Cases - Enter Cases'!B462,"")</f>
        <v/>
      </c>
      <c r="C462" t="str">
        <f>IF($A462&lt;&gt;"",'All Cases - Enter Cases'!C462,"")</f>
        <v/>
      </c>
      <c r="D462" t="str">
        <f>IF($A462&lt;&gt;"",'All Cases - Enter Cases'!D462,"")</f>
        <v/>
      </c>
      <c r="E462" t="str">
        <f>IF($A462&lt;&gt;"",'All Cases - Enter Cases'!E462,"")</f>
        <v/>
      </c>
      <c r="F462" t="str">
        <f>IF($A462&lt;&gt;"",'All Cases - Enter Cases'!F462,"")</f>
        <v/>
      </c>
      <c r="G462" t="str">
        <f>IF($A462&lt;&gt;"",'All Cases - Enter Cases'!G462,"")</f>
        <v/>
      </c>
      <c r="H462" t="str">
        <f>IF($A462&lt;&gt;"",'All Cases - Enter Cases'!H462,"")</f>
        <v/>
      </c>
      <c r="I462" t="str">
        <f>IF($A462&lt;&gt;"",'All Cases - Enter Cases'!I462,"")</f>
        <v/>
      </c>
      <c r="J462" s="4" t="str">
        <f>IF($A462&lt;&gt;"",'All Cases - Enter Cases'!J462,"")</f>
        <v/>
      </c>
      <c r="K462" s="4" t="str">
        <f>IF($A462&lt;&gt;"",'All Cases - Enter Cases'!K462,"")</f>
        <v/>
      </c>
      <c r="L462" s="4" t="str">
        <f>IF($A462&lt;&gt;"",'All Cases - Enter Cases'!L462,"")</f>
        <v/>
      </c>
      <c r="M462" t="str">
        <f>IF($A462&lt;&gt;"",'All Cases - Enter Cases'!M462,"")</f>
        <v/>
      </c>
    </row>
    <row r="463" spans="1:13" x14ac:dyDescent="0.35">
      <c r="A463" s="4" t="str">
        <f>IF('All Cases - Enter Cases'!$F463="Punjab",'All Cases - Enter Cases'!A463,"")</f>
        <v/>
      </c>
      <c r="B463" t="str">
        <f>IF($A463&lt;&gt;"",'All Cases - Enter Cases'!B463,"")</f>
        <v/>
      </c>
      <c r="C463" t="str">
        <f>IF($A463&lt;&gt;"",'All Cases - Enter Cases'!C463,"")</f>
        <v/>
      </c>
      <c r="D463" t="str">
        <f>IF($A463&lt;&gt;"",'All Cases - Enter Cases'!D463,"")</f>
        <v/>
      </c>
      <c r="E463" t="str">
        <f>IF($A463&lt;&gt;"",'All Cases - Enter Cases'!E463,"")</f>
        <v/>
      </c>
      <c r="F463" t="str">
        <f>IF($A463&lt;&gt;"",'All Cases - Enter Cases'!F463,"")</f>
        <v/>
      </c>
      <c r="G463" t="str">
        <f>IF($A463&lt;&gt;"",'All Cases - Enter Cases'!G463,"")</f>
        <v/>
      </c>
      <c r="H463" t="str">
        <f>IF($A463&lt;&gt;"",'All Cases - Enter Cases'!H463,"")</f>
        <v/>
      </c>
      <c r="I463" t="str">
        <f>IF($A463&lt;&gt;"",'All Cases - Enter Cases'!I463,"")</f>
        <v/>
      </c>
      <c r="J463" s="4" t="str">
        <f>IF($A463&lt;&gt;"",'All Cases - Enter Cases'!J463,"")</f>
        <v/>
      </c>
      <c r="K463" s="4" t="str">
        <f>IF($A463&lt;&gt;"",'All Cases - Enter Cases'!K463,"")</f>
        <v/>
      </c>
      <c r="L463" s="4" t="str">
        <f>IF($A463&lt;&gt;"",'All Cases - Enter Cases'!L463,"")</f>
        <v/>
      </c>
      <c r="M463" t="str">
        <f>IF($A463&lt;&gt;"",'All Cases - Enter Cases'!M463,"")</f>
        <v/>
      </c>
    </row>
    <row r="464" spans="1:13" x14ac:dyDescent="0.35">
      <c r="A464" s="4" t="str">
        <f>IF('All Cases - Enter Cases'!$F464="Punjab",'All Cases - Enter Cases'!A464,"")</f>
        <v/>
      </c>
      <c r="B464" t="str">
        <f>IF($A464&lt;&gt;"",'All Cases - Enter Cases'!B464,"")</f>
        <v/>
      </c>
      <c r="C464" t="str">
        <f>IF($A464&lt;&gt;"",'All Cases - Enter Cases'!C464,"")</f>
        <v/>
      </c>
      <c r="D464" t="str">
        <f>IF($A464&lt;&gt;"",'All Cases - Enter Cases'!D464,"")</f>
        <v/>
      </c>
      <c r="E464" t="str">
        <f>IF($A464&lt;&gt;"",'All Cases - Enter Cases'!E464,"")</f>
        <v/>
      </c>
      <c r="F464" t="str">
        <f>IF($A464&lt;&gt;"",'All Cases - Enter Cases'!F464,"")</f>
        <v/>
      </c>
      <c r="G464" t="str">
        <f>IF($A464&lt;&gt;"",'All Cases - Enter Cases'!G464,"")</f>
        <v/>
      </c>
      <c r="H464" t="str">
        <f>IF($A464&lt;&gt;"",'All Cases - Enter Cases'!H464,"")</f>
        <v/>
      </c>
      <c r="I464" t="str">
        <f>IF($A464&lt;&gt;"",'All Cases - Enter Cases'!I464,"")</f>
        <v/>
      </c>
      <c r="J464" s="4" t="str">
        <f>IF($A464&lt;&gt;"",'All Cases - Enter Cases'!J464,"")</f>
        <v/>
      </c>
      <c r="K464" s="4" t="str">
        <f>IF($A464&lt;&gt;"",'All Cases - Enter Cases'!K464,"")</f>
        <v/>
      </c>
      <c r="L464" s="4" t="str">
        <f>IF($A464&lt;&gt;"",'All Cases - Enter Cases'!L464,"")</f>
        <v/>
      </c>
      <c r="M464" t="str">
        <f>IF($A464&lt;&gt;"",'All Cases - Enter Cases'!M464,"")</f>
        <v/>
      </c>
    </row>
    <row r="465" spans="1:13" x14ac:dyDescent="0.35">
      <c r="A465" s="4" t="str">
        <f>IF('All Cases - Enter Cases'!$F465="Punjab",'All Cases - Enter Cases'!A465,"")</f>
        <v/>
      </c>
      <c r="B465" t="str">
        <f>IF($A465&lt;&gt;"",'All Cases - Enter Cases'!B465,"")</f>
        <v/>
      </c>
      <c r="C465" t="str">
        <f>IF($A465&lt;&gt;"",'All Cases - Enter Cases'!C465,"")</f>
        <v/>
      </c>
      <c r="D465" t="str">
        <f>IF($A465&lt;&gt;"",'All Cases - Enter Cases'!D465,"")</f>
        <v/>
      </c>
      <c r="E465" t="str">
        <f>IF($A465&lt;&gt;"",'All Cases - Enter Cases'!E465,"")</f>
        <v/>
      </c>
      <c r="F465" t="str">
        <f>IF($A465&lt;&gt;"",'All Cases - Enter Cases'!F465,"")</f>
        <v/>
      </c>
      <c r="G465" t="str">
        <f>IF($A465&lt;&gt;"",'All Cases - Enter Cases'!G465,"")</f>
        <v/>
      </c>
      <c r="H465" t="str">
        <f>IF($A465&lt;&gt;"",'All Cases - Enter Cases'!H465,"")</f>
        <v/>
      </c>
      <c r="I465" t="str">
        <f>IF($A465&lt;&gt;"",'All Cases - Enter Cases'!I465,"")</f>
        <v/>
      </c>
      <c r="J465" s="4" t="str">
        <f>IF($A465&lt;&gt;"",'All Cases - Enter Cases'!J465,"")</f>
        <v/>
      </c>
      <c r="K465" s="4" t="str">
        <f>IF($A465&lt;&gt;"",'All Cases - Enter Cases'!K465,"")</f>
        <v/>
      </c>
      <c r="L465" s="4" t="str">
        <f>IF($A465&lt;&gt;"",'All Cases - Enter Cases'!L465,"")</f>
        <v/>
      </c>
      <c r="M465" t="str">
        <f>IF($A465&lt;&gt;"",'All Cases - Enter Cases'!M465,"")</f>
        <v/>
      </c>
    </row>
    <row r="466" spans="1:13" x14ac:dyDescent="0.35">
      <c r="A466" s="4" t="str">
        <f>IF('All Cases - Enter Cases'!$F466="Punjab",'All Cases - Enter Cases'!A466,"")</f>
        <v/>
      </c>
      <c r="B466" t="str">
        <f>IF($A466&lt;&gt;"",'All Cases - Enter Cases'!B466,"")</f>
        <v/>
      </c>
      <c r="C466" t="str">
        <f>IF($A466&lt;&gt;"",'All Cases - Enter Cases'!C466,"")</f>
        <v/>
      </c>
      <c r="D466" t="str">
        <f>IF($A466&lt;&gt;"",'All Cases - Enter Cases'!D466,"")</f>
        <v/>
      </c>
      <c r="E466" t="str">
        <f>IF($A466&lt;&gt;"",'All Cases - Enter Cases'!E466,"")</f>
        <v/>
      </c>
      <c r="F466" t="str">
        <f>IF($A466&lt;&gt;"",'All Cases - Enter Cases'!F466,"")</f>
        <v/>
      </c>
      <c r="G466" t="str">
        <f>IF($A466&lt;&gt;"",'All Cases - Enter Cases'!G466,"")</f>
        <v/>
      </c>
      <c r="H466" t="str">
        <f>IF($A466&lt;&gt;"",'All Cases - Enter Cases'!H466,"")</f>
        <v/>
      </c>
      <c r="I466" t="str">
        <f>IF($A466&lt;&gt;"",'All Cases - Enter Cases'!I466,"")</f>
        <v/>
      </c>
      <c r="J466" s="4" t="str">
        <f>IF($A466&lt;&gt;"",'All Cases - Enter Cases'!J466,"")</f>
        <v/>
      </c>
      <c r="K466" s="4" t="str">
        <f>IF($A466&lt;&gt;"",'All Cases - Enter Cases'!K466,"")</f>
        <v/>
      </c>
      <c r="L466" s="4" t="str">
        <f>IF($A466&lt;&gt;"",'All Cases - Enter Cases'!L466,"")</f>
        <v/>
      </c>
      <c r="M466" t="str">
        <f>IF($A466&lt;&gt;"",'All Cases - Enter Cases'!M466,"")</f>
        <v/>
      </c>
    </row>
    <row r="467" spans="1:13" x14ac:dyDescent="0.35">
      <c r="A467" s="4" t="str">
        <f>IF('All Cases - Enter Cases'!$F467="Punjab",'All Cases - Enter Cases'!A467,"")</f>
        <v/>
      </c>
      <c r="B467" t="str">
        <f>IF($A467&lt;&gt;"",'All Cases - Enter Cases'!B467,"")</f>
        <v/>
      </c>
      <c r="C467" t="str">
        <f>IF($A467&lt;&gt;"",'All Cases - Enter Cases'!C467,"")</f>
        <v/>
      </c>
      <c r="D467" t="str">
        <f>IF($A467&lt;&gt;"",'All Cases - Enter Cases'!D467,"")</f>
        <v/>
      </c>
      <c r="E467" t="str">
        <f>IF($A467&lt;&gt;"",'All Cases - Enter Cases'!E467,"")</f>
        <v/>
      </c>
      <c r="F467" t="str">
        <f>IF($A467&lt;&gt;"",'All Cases - Enter Cases'!F467,"")</f>
        <v/>
      </c>
      <c r="G467" t="str">
        <f>IF($A467&lt;&gt;"",'All Cases - Enter Cases'!G467,"")</f>
        <v/>
      </c>
      <c r="H467" t="str">
        <f>IF($A467&lt;&gt;"",'All Cases - Enter Cases'!H467,"")</f>
        <v/>
      </c>
      <c r="I467" t="str">
        <f>IF($A467&lt;&gt;"",'All Cases - Enter Cases'!I467,"")</f>
        <v/>
      </c>
      <c r="J467" s="4" t="str">
        <f>IF($A467&lt;&gt;"",'All Cases - Enter Cases'!J467,"")</f>
        <v/>
      </c>
      <c r="K467" s="4" t="str">
        <f>IF($A467&lt;&gt;"",'All Cases - Enter Cases'!K467,"")</f>
        <v/>
      </c>
      <c r="L467" s="4" t="str">
        <f>IF($A467&lt;&gt;"",'All Cases - Enter Cases'!L467,"")</f>
        <v/>
      </c>
      <c r="M467" t="str">
        <f>IF($A467&lt;&gt;"",'All Cases - Enter Cases'!M467,"")</f>
        <v/>
      </c>
    </row>
    <row r="468" spans="1:13" x14ac:dyDescent="0.35">
      <c r="A468" s="4" t="str">
        <f>IF('All Cases - Enter Cases'!$F468="Punjab",'All Cases - Enter Cases'!A468,"")</f>
        <v/>
      </c>
      <c r="B468" t="str">
        <f>IF($A468&lt;&gt;"",'All Cases - Enter Cases'!B468,"")</f>
        <v/>
      </c>
      <c r="C468" t="str">
        <f>IF($A468&lt;&gt;"",'All Cases - Enter Cases'!C468,"")</f>
        <v/>
      </c>
      <c r="D468" t="str">
        <f>IF($A468&lt;&gt;"",'All Cases - Enter Cases'!D468,"")</f>
        <v/>
      </c>
      <c r="E468" t="str">
        <f>IF($A468&lt;&gt;"",'All Cases - Enter Cases'!E468,"")</f>
        <v/>
      </c>
      <c r="F468" t="str">
        <f>IF($A468&lt;&gt;"",'All Cases - Enter Cases'!F468,"")</f>
        <v/>
      </c>
      <c r="G468" t="str">
        <f>IF($A468&lt;&gt;"",'All Cases - Enter Cases'!G468,"")</f>
        <v/>
      </c>
      <c r="H468" t="str">
        <f>IF($A468&lt;&gt;"",'All Cases - Enter Cases'!H468,"")</f>
        <v/>
      </c>
      <c r="I468" t="str">
        <f>IF($A468&lt;&gt;"",'All Cases - Enter Cases'!I468,"")</f>
        <v/>
      </c>
      <c r="J468" s="4" t="str">
        <f>IF($A468&lt;&gt;"",'All Cases - Enter Cases'!J468,"")</f>
        <v/>
      </c>
      <c r="K468" s="4" t="str">
        <f>IF($A468&lt;&gt;"",'All Cases - Enter Cases'!K468,"")</f>
        <v/>
      </c>
      <c r="L468" s="4" t="str">
        <f>IF($A468&lt;&gt;"",'All Cases - Enter Cases'!L468,"")</f>
        <v/>
      </c>
      <c r="M468" t="str">
        <f>IF($A468&lt;&gt;"",'All Cases - Enter Cases'!M468,"")</f>
        <v/>
      </c>
    </row>
    <row r="469" spans="1:13" x14ac:dyDescent="0.35">
      <c r="A469" s="4" t="str">
        <f>IF('All Cases - Enter Cases'!$F469="Punjab",'All Cases - Enter Cases'!A469,"")</f>
        <v/>
      </c>
      <c r="B469" t="str">
        <f>IF($A469&lt;&gt;"",'All Cases - Enter Cases'!B469,"")</f>
        <v/>
      </c>
      <c r="C469" t="str">
        <f>IF($A469&lt;&gt;"",'All Cases - Enter Cases'!C469,"")</f>
        <v/>
      </c>
      <c r="D469" t="str">
        <f>IF($A469&lt;&gt;"",'All Cases - Enter Cases'!D469,"")</f>
        <v/>
      </c>
      <c r="E469" t="str">
        <f>IF($A469&lt;&gt;"",'All Cases - Enter Cases'!E469,"")</f>
        <v/>
      </c>
      <c r="F469" t="str">
        <f>IF($A469&lt;&gt;"",'All Cases - Enter Cases'!F469,"")</f>
        <v/>
      </c>
      <c r="G469" t="str">
        <f>IF($A469&lt;&gt;"",'All Cases - Enter Cases'!G469,"")</f>
        <v/>
      </c>
      <c r="H469" t="str">
        <f>IF($A469&lt;&gt;"",'All Cases - Enter Cases'!H469,"")</f>
        <v/>
      </c>
      <c r="I469" t="str">
        <f>IF($A469&lt;&gt;"",'All Cases - Enter Cases'!I469,"")</f>
        <v/>
      </c>
      <c r="J469" s="4" t="str">
        <f>IF($A469&lt;&gt;"",'All Cases - Enter Cases'!J469,"")</f>
        <v/>
      </c>
      <c r="K469" s="4" t="str">
        <f>IF($A469&lt;&gt;"",'All Cases - Enter Cases'!K469,"")</f>
        <v/>
      </c>
      <c r="L469" s="4" t="str">
        <f>IF($A469&lt;&gt;"",'All Cases - Enter Cases'!L469,"")</f>
        <v/>
      </c>
      <c r="M469" t="str">
        <f>IF($A469&lt;&gt;"",'All Cases - Enter Cases'!M469,"")</f>
        <v/>
      </c>
    </row>
    <row r="470" spans="1:13" x14ac:dyDescent="0.35">
      <c r="A470" s="4" t="str">
        <f>IF('All Cases - Enter Cases'!$F470="Punjab",'All Cases - Enter Cases'!A470,"")</f>
        <v/>
      </c>
      <c r="B470" t="str">
        <f>IF($A470&lt;&gt;"",'All Cases - Enter Cases'!B470,"")</f>
        <v/>
      </c>
      <c r="C470" t="str">
        <f>IF($A470&lt;&gt;"",'All Cases - Enter Cases'!C470,"")</f>
        <v/>
      </c>
      <c r="D470" t="str">
        <f>IF($A470&lt;&gt;"",'All Cases - Enter Cases'!D470,"")</f>
        <v/>
      </c>
      <c r="E470" t="str">
        <f>IF($A470&lt;&gt;"",'All Cases - Enter Cases'!E470,"")</f>
        <v/>
      </c>
      <c r="F470" t="str">
        <f>IF($A470&lt;&gt;"",'All Cases - Enter Cases'!F470,"")</f>
        <v/>
      </c>
      <c r="G470" t="str">
        <f>IF($A470&lt;&gt;"",'All Cases - Enter Cases'!G470,"")</f>
        <v/>
      </c>
      <c r="H470" t="str">
        <f>IF($A470&lt;&gt;"",'All Cases - Enter Cases'!H470,"")</f>
        <v/>
      </c>
      <c r="I470" t="str">
        <f>IF($A470&lt;&gt;"",'All Cases - Enter Cases'!I470,"")</f>
        <v/>
      </c>
      <c r="J470" s="4" t="str">
        <f>IF($A470&lt;&gt;"",'All Cases - Enter Cases'!J470,"")</f>
        <v/>
      </c>
      <c r="K470" s="4" t="str">
        <f>IF($A470&lt;&gt;"",'All Cases - Enter Cases'!K470,"")</f>
        <v/>
      </c>
      <c r="L470" s="4" t="str">
        <f>IF($A470&lt;&gt;"",'All Cases - Enter Cases'!L470,"")</f>
        <v/>
      </c>
      <c r="M470" t="str">
        <f>IF($A470&lt;&gt;"",'All Cases - Enter Cases'!M470,"")</f>
        <v/>
      </c>
    </row>
    <row r="471" spans="1:13" x14ac:dyDescent="0.35">
      <c r="A471" s="4" t="str">
        <f>IF('All Cases - Enter Cases'!$F471="Punjab",'All Cases - Enter Cases'!A471,"")</f>
        <v/>
      </c>
      <c r="B471" t="str">
        <f>IF($A471&lt;&gt;"",'All Cases - Enter Cases'!B471,"")</f>
        <v/>
      </c>
      <c r="C471" t="str">
        <f>IF($A471&lt;&gt;"",'All Cases - Enter Cases'!C471,"")</f>
        <v/>
      </c>
      <c r="D471" t="str">
        <f>IF($A471&lt;&gt;"",'All Cases - Enter Cases'!D471,"")</f>
        <v/>
      </c>
      <c r="E471" t="str">
        <f>IF($A471&lt;&gt;"",'All Cases - Enter Cases'!E471,"")</f>
        <v/>
      </c>
      <c r="F471" t="str">
        <f>IF($A471&lt;&gt;"",'All Cases - Enter Cases'!F471,"")</f>
        <v/>
      </c>
      <c r="G471" t="str">
        <f>IF($A471&lt;&gt;"",'All Cases - Enter Cases'!G471,"")</f>
        <v/>
      </c>
      <c r="H471" t="str">
        <f>IF($A471&lt;&gt;"",'All Cases - Enter Cases'!H471,"")</f>
        <v/>
      </c>
      <c r="I471" t="str">
        <f>IF($A471&lt;&gt;"",'All Cases - Enter Cases'!I471,"")</f>
        <v/>
      </c>
      <c r="J471" s="4" t="str">
        <f>IF($A471&lt;&gt;"",'All Cases - Enter Cases'!J471,"")</f>
        <v/>
      </c>
      <c r="K471" s="4" t="str">
        <f>IF($A471&lt;&gt;"",'All Cases - Enter Cases'!K471,"")</f>
        <v/>
      </c>
      <c r="L471" s="4" t="str">
        <f>IF($A471&lt;&gt;"",'All Cases - Enter Cases'!L471,"")</f>
        <v/>
      </c>
      <c r="M471" t="str">
        <f>IF($A471&lt;&gt;"",'All Cases - Enter Cases'!M471,"")</f>
        <v/>
      </c>
    </row>
    <row r="472" spans="1:13" x14ac:dyDescent="0.35">
      <c r="A472" s="4" t="str">
        <f>IF('All Cases - Enter Cases'!$F472="Punjab",'All Cases - Enter Cases'!A472,"")</f>
        <v/>
      </c>
      <c r="B472" t="str">
        <f>IF($A472&lt;&gt;"",'All Cases - Enter Cases'!B472,"")</f>
        <v/>
      </c>
      <c r="C472" t="str">
        <f>IF($A472&lt;&gt;"",'All Cases - Enter Cases'!C472,"")</f>
        <v/>
      </c>
      <c r="D472" t="str">
        <f>IF($A472&lt;&gt;"",'All Cases - Enter Cases'!D472,"")</f>
        <v/>
      </c>
      <c r="E472" t="str">
        <f>IF($A472&lt;&gt;"",'All Cases - Enter Cases'!E472,"")</f>
        <v/>
      </c>
      <c r="F472" t="str">
        <f>IF($A472&lt;&gt;"",'All Cases - Enter Cases'!F472,"")</f>
        <v/>
      </c>
      <c r="G472" t="str">
        <f>IF($A472&lt;&gt;"",'All Cases - Enter Cases'!G472,"")</f>
        <v/>
      </c>
      <c r="H472" t="str">
        <f>IF($A472&lt;&gt;"",'All Cases - Enter Cases'!H472,"")</f>
        <v/>
      </c>
      <c r="I472" t="str">
        <f>IF($A472&lt;&gt;"",'All Cases - Enter Cases'!I472,"")</f>
        <v/>
      </c>
      <c r="J472" s="4" t="str">
        <f>IF($A472&lt;&gt;"",'All Cases - Enter Cases'!J472,"")</f>
        <v/>
      </c>
      <c r="K472" s="4" t="str">
        <f>IF($A472&lt;&gt;"",'All Cases - Enter Cases'!K472,"")</f>
        <v/>
      </c>
      <c r="L472" s="4" t="str">
        <f>IF($A472&lt;&gt;"",'All Cases - Enter Cases'!L472,"")</f>
        <v/>
      </c>
      <c r="M472" t="str">
        <f>IF($A472&lt;&gt;"",'All Cases - Enter Cases'!M472,"")</f>
        <v/>
      </c>
    </row>
    <row r="473" spans="1:13" x14ac:dyDescent="0.35">
      <c r="A473" s="4" t="str">
        <f>IF('All Cases - Enter Cases'!$F473="Punjab",'All Cases - Enter Cases'!A473,"")</f>
        <v/>
      </c>
      <c r="B473" t="str">
        <f>IF($A473&lt;&gt;"",'All Cases - Enter Cases'!B473,"")</f>
        <v/>
      </c>
      <c r="C473" t="str">
        <f>IF($A473&lt;&gt;"",'All Cases - Enter Cases'!C473,"")</f>
        <v/>
      </c>
      <c r="D473" t="str">
        <f>IF($A473&lt;&gt;"",'All Cases - Enter Cases'!D473,"")</f>
        <v/>
      </c>
      <c r="E473" t="str">
        <f>IF($A473&lt;&gt;"",'All Cases - Enter Cases'!E473,"")</f>
        <v/>
      </c>
      <c r="F473" t="str">
        <f>IF($A473&lt;&gt;"",'All Cases - Enter Cases'!F473,"")</f>
        <v/>
      </c>
      <c r="G473" t="str">
        <f>IF($A473&lt;&gt;"",'All Cases - Enter Cases'!G473,"")</f>
        <v/>
      </c>
      <c r="H473" t="str">
        <f>IF($A473&lt;&gt;"",'All Cases - Enter Cases'!H473,"")</f>
        <v/>
      </c>
      <c r="I473" t="str">
        <f>IF($A473&lt;&gt;"",'All Cases - Enter Cases'!I473,"")</f>
        <v/>
      </c>
      <c r="J473" s="4" t="str">
        <f>IF($A473&lt;&gt;"",'All Cases - Enter Cases'!J473,"")</f>
        <v/>
      </c>
      <c r="K473" s="4" t="str">
        <f>IF($A473&lt;&gt;"",'All Cases - Enter Cases'!K473,"")</f>
        <v/>
      </c>
      <c r="L473" s="4" t="str">
        <f>IF($A473&lt;&gt;"",'All Cases - Enter Cases'!L473,"")</f>
        <v/>
      </c>
      <c r="M473" t="str">
        <f>IF($A473&lt;&gt;"",'All Cases - Enter Cases'!M473,"")</f>
        <v/>
      </c>
    </row>
    <row r="474" spans="1:13" x14ac:dyDescent="0.35">
      <c r="A474" s="4" t="str">
        <f>IF('All Cases - Enter Cases'!$F474="Punjab",'All Cases - Enter Cases'!A474,"")</f>
        <v/>
      </c>
      <c r="B474" t="str">
        <f>IF($A474&lt;&gt;"",'All Cases - Enter Cases'!B474,"")</f>
        <v/>
      </c>
      <c r="C474" t="str">
        <f>IF($A474&lt;&gt;"",'All Cases - Enter Cases'!C474,"")</f>
        <v/>
      </c>
      <c r="D474" t="str">
        <f>IF($A474&lt;&gt;"",'All Cases - Enter Cases'!D474,"")</f>
        <v/>
      </c>
      <c r="E474" t="str">
        <f>IF($A474&lt;&gt;"",'All Cases - Enter Cases'!E474,"")</f>
        <v/>
      </c>
      <c r="F474" t="str">
        <f>IF($A474&lt;&gt;"",'All Cases - Enter Cases'!F474,"")</f>
        <v/>
      </c>
      <c r="G474" t="str">
        <f>IF($A474&lt;&gt;"",'All Cases - Enter Cases'!G474,"")</f>
        <v/>
      </c>
      <c r="H474" t="str">
        <f>IF($A474&lt;&gt;"",'All Cases - Enter Cases'!H474,"")</f>
        <v/>
      </c>
      <c r="I474" t="str">
        <f>IF($A474&lt;&gt;"",'All Cases - Enter Cases'!I474,"")</f>
        <v/>
      </c>
      <c r="J474" s="4" t="str">
        <f>IF($A474&lt;&gt;"",'All Cases - Enter Cases'!J474,"")</f>
        <v/>
      </c>
      <c r="K474" s="4" t="str">
        <f>IF($A474&lt;&gt;"",'All Cases - Enter Cases'!K474,"")</f>
        <v/>
      </c>
      <c r="L474" s="4" t="str">
        <f>IF($A474&lt;&gt;"",'All Cases - Enter Cases'!L474,"")</f>
        <v/>
      </c>
      <c r="M474" t="str">
        <f>IF($A474&lt;&gt;"",'All Cases - Enter Cases'!M474,"")</f>
        <v/>
      </c>
    </row>
    <row r="475" spans="1:13" x14ac:dyDescent="0.35">
      <c r="A475" s="4" t="str">
        <f>IF('All Cases - Enter Cases'!$F475="Punjab",'All Cases - Enter Cases'!A475,"")</f>
        <v/>
      </c>
      <c r="B475" t="str">
        <f>IF($A475&lt;&gt;"",'All Cases - Enter Cases'!B475,"")</f>
        <v/>
      </c>
      <c r="C475" t="str">
        <f>IF($A475&lt;&gt;"",'All Cases - Enter Cases'!C475,"")</f>
        <v/>
      </c>
      <c r="D475" t="str">
        <f>IF($A475&lt;&gt;"",'All Cases - Enter Cases'!D475,"")</f>
        <v/>
      </c>
      <c r="E475" t="str">
        <f>IF($A475&lt;&gt;"",'All Cases - Enter Cases'!E475,"")</f>
        <v/>
      </c>
      <c r="F475" t="str">
        <f>IF($A475&lt;&gt;"",'All Cases - Enter Cases'!F475,"")</f>
        <v/>
      </c>
      <c r="G475" t="str">
        <f>IF($A475&lt;&gt;"",'All Cases - Enter Cases'!G475,"")</f>
        <v/>
      </c>
      <c r="H475" t="str">
        <f>IF($A475&lt;&gt;"",'All Cases - Enter Cases'!H475,"")</f>
        <v/>
      </c>
      <c r="I475" t="str">
        <f>IF($A475&lt;&gt;"",'All Cases - Enter Cases'!I475,"")</f>
        <v/>
      </c>
      <c r="J475" s="4" t="str">
        <f>IF($A475&lt;&gt;"",'All Cases - Enter Cases'!J475,"")</f>
        <v/>
      </c>
      <c r="K475" s="4" t="str">
        <f>IF($A475&lt;&gt;"",'All Cases - Enter Cases'!K475,"")</f>
        <v/>
      </c>
      <c r="L475" s="4" t="str">
        <f>IF($A475&lt;&gt;"",'All Cases - Enter Cases'!L475,"")</f>
        <v/>
      </c>
      <c r="M475" t="str">
        <f>IF($A475&lt;&gt;"",'All Cases - Enter Cases'!M475,"")</f>
        <v/>
      </c>
    </row>
    <row r="476" spans="1:13" x14ac:dyDescent="0.35">
      <c r="A476" s="4" t="str">
        <f>IF('All Cases - Enter Cases'!$F476="Punjab",'All Cases - Enter Cases'!A476,"")</f>
        <v/>
      </c>
      <c r="B476" t="str">
        <f>IF($A476&lt;&gt;"",'All Cases - Enter Cases'!B476,"")</f>
        <v/>
      </c>
      <c r="C476" t="str">
        <f>IF($A476&lt;&gt;"",'All Cases - Enter Cases'!C476,"")</f>
        <v/>
      </c>
      <c r="D476" t="str">
        <f>IF($A476&lt;&gt;"",'All Cases - Enter Cases'!D476,"")</f>
        <v/>
      </c>
      <c r="E476" t="str">
        <f>IF($A476&lt;&gt;"",'All Cases - Enter Cases'!E476,"")</f>
        <v/>
      </c>
      <c r="F476" t="str">
        <f>IF($A476&lt;&gt;"",'All Cases - Enter Cases'!F476,"")</f>
        <v/>
      </c>
      <c r="G476" t="str">
        <f>IF($A476&lt;&gt;"",'All Cases - Enter Cases'!G476,"")</f>
        <v/>
      </c>
      <c r="H476" t="str">
        <f>IF($A476&lt;&gt;"",'All Cases - Enter Cases'!H476,"")</f>
        <v/>
      </c>
      <c r="I476" t="str">
        <f>IF($A476&lt;&gt;"",'All Cases - Enter Cases'!I476,"")</f>
        <v/>
      </c>
      <c r="J476" s="4" t="str">
        <f>IF($A476&lt;&gt;"",'All Cases - Enter Cases'!J476,"")</f>
        <v/>
      </c>
      <c r="K476" s="4" t="str">
        <f>IF($A476&lt;&gt;"",'All Cases - Enter Cases'!K476,"")</f>
        <v/>
      </c>
      <c r="L476" s="4" t="str">
        <f>IF($A476&lt;&gt;"",'All Cases - Enter Cases'!L476,"")</f>
        <v/>
      </c>
      <c r="M476" t="str">
        <f>IF($A476&lt;&gt;"",'All Cases - Enter Cases'!M476,"")</f>
        <v/>
      </c>
    </row>
    <row r="477" spans="1:13" x14ac:dyDescent="0.35">
      <c r="A477" s="4" t="str">
        <f>IF('All Cases - Enter Cases'!$F477="Punjab",'All Cases - Enter Cases'!A477,"")</f>
        <v/>
      </c>
      <c r="B477" t="str">
        <f>IF($A477&lt;&gt;"",'All Cases - Enter Cases'!B477,"")</f>
        <v/>
      </c>
      <c r="C477" t="str">
        <f>IF($A477&lt;&gt;"",'All Cases - Enter Cases'!C477,"")</f>
        <v/>
      </c>
      <c r="D477" t="str">
        <f>IF($A477&lt;&gt;"",'All Cases - Enter Cases'!D477,"")</f>
        <v/>
      </c>
      <c r="E477" t="str">
        <f>IF($A477&lt;&gt;"",'All Cases - Enter Cases'!E477,"")</f>
        <v/>
      </c>
      <c r="F477" t="str">
        <f>IF($A477&lt;&gt;"",'All Cases - Enter Cases'!F477,"")</f>
        <v/>
      </c>
      <c r="G477" t="str">
        <f>IF($A477&lt;&gt;"",'All Cases - Enter Cases'!G477,"")</f>
        <v/>
      </c>
      <c r="H477" t="str">
        <f>IF($A477&lt;&gt;"",'All Cases - Enter Cases'!H477,"")</f>
        <v/>
      </c>
      <c r="I477" t="str">
        <f>IF($A477&lt;&gt;"",'All Cases - Enter Cases'!I477,"")</f>
        <v/>
      </c>
      <c r="J477" s="4" t="str">
        <f>IF($A477&lt;&gt;"",'All Cases - Enter Cases'!J477,"")</f>
        <v/>
      </c>
      <c r="K477" s="4" t="str">
        <f>IF($A477&lt;&gt;"",'All Cases - Enter Cases'!K477,"")</f>
        <v/>
      </c>
      <c r="L477" s="4" t="str">
        <f>IF($A477&lt;&gt;"",'All Cases - Enter Cases'!L477,"")</f>
        <v/>
      </c>
      <c r="M477" t="str">
        <f>IF($A477&lt;&gt;"",'All Cases - Enter Cases'!M477,"")</f>
        <v/>
      </c>
    </row>
    <row r="478" spans="1:13" x14ac:dyDescent="0.35">
      <c r="A478" s="4" t="str">
        <f>IF('All Cases - Enter Cases'!$F478="Punjab",'All Cases - Enter Cases'!A478,"")</f>
        <v/>
      </c>
      <c r="B478" t="str">
        <f>IF($A478&lt;&gt;"",'All Cases - Enter Cases'!B478,"")</f>
        <v/>
      </c>
      <c r="C478" t="str">
        <f>IF($A478&lt;&gt;"",'All Cases - Enter Cases'!C478,"")</f>
        <v/>
      </c>
      <c r="D478" t="str">
        <f>IF($A478&lt;&gt;"",'All Cases - Enter Cases'!D478,"")</f>
        <v/>
      </c>
      <c r="E478" t="str">
        <f>IF($A478&lt;&gt;"",'All Cases - Enter Cases'!E478,"")</f>
        <v/>
      </c>
      <c r="F478" t="str">
        <f>IF($A478&lt;&gt;"",'All Cases - Enter Cases'!F478,"")</f>
        <v/>
      </c>
      <c r="G478" t="str">
        <f>IF($A478&lt;&gt;"",'All Cases - Enter Cases'!G478,"")</f>
        <v/>
      </c>
      <c r="H478" t="str">
        <f>IF($A478&lt;&gt;"",'All Cases - Enter Cases'!H478,"")</f>
        <v/>
      </c>
      <c r="I478" t="str">
        <f>IF($A478&lt;&gt;"",'All Cases - Enter Cases'!I478,"")</f>
        <v/>
      </c>
      <c r="J478" s="4" t="str">
        <f>IF($A478&lt;&gt;"",'All Cases - Enter Cases'!J478,"")</f>
        <v/>
      </c>
      <c r="K478" s="4" t="str">
        <f>IF($A478&lt;&gt;"",'All Cases - Enter Cases'!K478,"")</f>
        <v/>
      </c>
      <c r="L478" s="4" t="str">
        <f>IF($A478&lt;&gt;"",'All Cases - Enter Cases'!L478,"")</f>
        <v/>
      </c>
      <c r="M478" t="str">
        <f>IF($A478&lt;&gt;"",'All Cases - Enter Cases'!M478,"")</f>
        <v/>
      </c>
    </row>
    <row r="479" spans="1:13" x14ac:dyDescent="0.35">
      <c r="A479" s="4" t="str">
        <f>IF('All Cases - Enter Cases'!$F479="Punjab",'All Cases - Enter Cases'!A479,"")</f>
        <v/>
      </c>
      <c r="B479" t="str">
        <f>IF($A479&lt;&gt;"",'All Cases - Enter Cases'!B479,"")</f>
        <v/>
      </c>
      <c r="C479" t="str">
        <f>IF($A479&lt;&gt;"",'All Cases - Enter Cases'!C479,"")</f>
        <v/>
      </c>
      <c r="D479" t="str">
        <f>IF($A479&lt;&gt;"",'All Cases - Enter Cases'!D479,"")</f>
        <v/>
      </c>
      <c r="E479" t="str">
        <f>IF($A479&lt;&gt;"",'All Cases - Enter Cases'!E479,"")</f>
        <v/>
      </c>
      <c r="F479" t="str">
        <f>IF($A479&lt;&gt;"",'All Cases - Enter Cases'!F479,"")</f>
        <v/>
      </c>
      <c r="G479" t="str">
        <f>IF($A479&lt;&gt;"",'All Cases - Enter Cases'!G479,"")</f>
        <v/>
      </c>
      <c r="H479" t="str">
        <f>IF($A479&lt;&gt;"",'All Cases - Enter Cases'!H479,"")</f>
        <v/>
      </c>
      <c r="I479" t="str">
        <f>IF($A479&lt;&gt;"",'All Cases - Enter Cases'!I479,"")</f>
        <v/>
      </c>
      <c r="J479" s="4" t="str">
        <f>IF($A479&lt;&gt;"",'All Cases - Enter Cases'!J479,"")</f>
        <v/>
      </c>
      <c r="K479" s="4" t="str">
        <f>IF($A479&lt;&gt;"",'All Cases - Enter Cases'!K479,"")</f>
        <v/>
      </c>
      <c r="L479" s="4" t="str">
        <f>IF($A479&lt;&gt;"",'All Cases - Enter Cases'!L479,"")</f>
        <v/>
      </c>
      <c r="M479" t="str">
        <f>IF($A479&lt;&gt;"",'All Cases - Enter Cases'!M479,"")</f>
        <v/>
      </c>
    </row>
    <row r="480" spans="1:13" x14ac:dyDescent="0.35">
      <c r="A480" s="4" t="str">
        <f>IF('All Cases - Enter Cases'!$F480="Punjab",'All Cases - Enter Cases'!A480,"")</f>
        <v/>
      </c>
      <c r="B480" t="str">
        <f>IF($A480&lt;&gt;"",'All Cases - Enter Cases'!B480,"")</f>
        <v/>
      </c>
      <c r="C480" t="str">
        <f>IF($A480&lt;&gt;"",'All Cases - Enter Cases'!C480,"")</f>
        <v/>
      </c>
      <c r="D480" t="str">
        <f>IF($A480&lt;&gt;"",'All Cases - Enter Cases'!D480,"")</f>
        <v/>
      </c>
      <c r="E480" t="str">
        <f>IF($A480&lt;&gt;"",'All Cases - Enter Cases'!E480,"")</f>
        <v/>
      </c>
      <c r="F480" t="str">
        <f>IF($A480&lt;&gt;"",'All Cases - Enter Cases'!F480,"")</f>
        <v/>
      </c>
      <c r="G480" t="str">
        <f>IF($A480&lt;&gt;"",'All Cases - Enter Cases'!G480,"")</f>
        <v/>
      </c>
      <c r="H480" t="str">
        <f>IF($A480&lt;&gt;"",'All Cases - Enter Cases'!H480,"")</f>
        <v/>
      </c>
      <c r="I480" t="str">
        <f>IF($A480&lt;&gt;"",'All Cases - Enter Cases'!I480,"")</f>
        <v/>
      </c>
      <c r="J480" s="4" t="str">
        <f>IF($A480&lt;&gt;"",'All Cases - Enter Cases'!J480,"")</f>
        <v/>
      </c>
      <c r="K480" s="4" t="str">
        <f>IF($A480&lt;&gt;"",'All Cases - Enter Cases'!K480,"")</f>
        <v/>
      </c>
      <c r="L480" s="4" t="str">
        <f>IF($A480&lt;&gt;"",'All Cases - Enter Cases'!L480,"")</f>
        <v/>
      </c>
      <c r="M480" t="str">
        <f>IF($A480&lt;&gt;"",'All Cases - Enter Cases'!M480,"")</f>
        <v/>
      </c>
    </row>
    <row r="481" spans="1:13" x14ac:dyDescent="0.35">
      <c r="A481" s="4" t="str">
        <f>IF('All Cases - Enter Cases'!$F481="Punjab",'All Cases - Enter Cases'!A481,"")</f>
        <v/>
      </c>
      <c r="B481" t="str">
        <f>IF($A481&lt;&gt;"",'All Cases - Enter Cases'!B481,"")</f>
        <v/>
      </c>
      <c r="C481" t="str">
        <f>IF($A481&lt;&gt;"",'All Cases - Enter Cases'!C481,"")</f>
        <v/>
      </c>
      <c r="D481" t="str">
        <f>IF($A481&lt;&gt;"",'All Cases - Enter Cases'!D481,"")</f>
        <v/>
      </c>
      <c r="E481" t="str">
        <f>IF($A481&lt;&gt;"",'All Cases - Enter Cases'!E481,"")</f>
        <v/>
      </c>
      <c r="F481" t="str">
        <f>IF($A481&lt;&gt;"",'All Cases - Enter Cases'!F481,"")</f>
        <v/>
      </c>
      <c r="G481" t="str">
        <f>IF($A481&lt;&gt;"",'All Cases - Enter Cases'!G481,"")</f>
        <v/>
      </c>
      <c r="H481" t="str">
        <f>IF($A481&lt;&gt;"",'All Cases - Enter Cases'!H481,"")</f>
        <v/>
      </c>
      <c r="I481" t="str">
        <f>IF($A481&lt;&gt;"",'All Cases - Enter Cases'!I481,"")</f>
        <v/>
      </c>
      <c r="J481" s="4" t="str">
        <f>IF($A481&lt;&gt;"",'All Cases - Enter Cases'!J481,"")</f>
        <v/>
      </c>
      <c r="K481" s="4" t="str">
        <f>IF($A481&lt;&gt;"",'All Cases - Enter Cases'!K481,"")</f>
        <v/>
      </c>
      <c r="L481" s="4" t="str">
        <f>IF($A481&lt;&gt;"",'All Cases - Enter Cases'!L481,"")</f>
        <v/>
      </c>
      <c r="M481" t="str">
        <f>IF($A481&lt;&gt;"",'All Cases - Enter Cases'!M481,"")</f>
        <v/>
      </c>
    </row>
    <row r="482" spans="1:13" x14ac:dyDescent="0.35">
      <c r="A482" s="4" t="str">
        <f>IF('All Cases - Enter Cases'!$F482="Punjab",'All Cases - Enter Cases'!A482,"")</f>
        <v/>
      </c>
      <c r="B482" t="str">
        <f>IF($A482&lt;&gt;"",'All Cases - Enter Cases'!B482,"")</f>
        <v/>
      </c>
      <c r="C482" t="str">
        <f>IF($A482&lt;&gt;"",'All Cases - Enter Cases'!C482,"")</f>
        <v/>
      </c>
      <c r="D482" t="str">
        <f>IF($A482&lt;&gt;"",'All Cases - Enter Cases'!D482,"")</f>
        <v/>
      </c>
      <c r="E482" t="str">
        <f>IF($A482&lt;&gt;"",'All Cases - Enter Cases'!E482,"")</f>
        <v/>
      </c>
      <c r="F482" t="str">
        <f>IF($A482&lt;&gt;"",'All Cases - Enter Cases'!F482,"")</f>
        <v/>
      </c>
      <c r="G482" t="str">
        <f>IF($A482&lt;&gt;"",'All Cases - Enter Cases'!G482,"")</f>
        <v/>
      </c>
      <c r="H482" t="str">
        <f>IF($A482&lt;&gt;"",'All Cases - Enter Cases'!H482,"")</f>
        <v/>
      </c>
      <c r="I482" t="str">
        <f>IF($A482&lt;&gt;"",'All Cases - Enter Cases'!I482,"")</f>
        <v/>
      </c>
      <c r="J482" s="4" t="str">
        <f>IF($A482&lt;&gt;"",'All Cases - Enter Cases'!J482,"")</f>
        <v/>
      </c>
      <c r="K482" s="4" t="str">
        <f>IF($A482&lt;&gt;"",'All Cases - Enter Cases'!K482,"")</f>
        <v/>
      </c>
      <c r="L482" s="4" t="str">
        <f>IF($A482&lt;&gt;"",'All Cases - Enter Cases'!L482,"")</f>
        <v/>
      </c>
      <c r="M482" t="str">
        <f>IF($A482&lt;&gt;"",'All Cases - Enter Cases'!M482,"")</f>
        <v/>
      </c>
    </row>
    <row r="483" spans="1:13" x14ac:dyDescent="0.35">
      <c r="A483" s="4" t="str">
        <f>IF('All Cases - Enter Cases'!$F483="Punjab",'All Cases - Enter Cases'!A483,"")</f>
        <v/>
      </c>
      <c r="B483" t="str">
        <f>IF($A483&lt;&gt;"",'All Cases - Enter Cases'!B483,"")</f>
        <v/>
      </c>
      <c r="C483" t="str">
        <f>IF($A483&lt;&gt;"",'All Cases - Enter Cases'!C483,"")</f>
        <v/>
      </c>
      <c r="D483" t="str">
        <f>IF($A483&lt;&gt;"",'All Cases - Enter Cases'!D483,"")</f>
        <v/>
      </c>
      <c r="E483" t="str">
        <f>IF($A483&lt;&gt;"",'All Cases - Enter Cases'!E483,"")</f>
        <v/>
      </c>
      <c r="F483" t="str">
        <f>IF($A483&lt;&gt;"",'All Cases - Enter Cases'!F483,"")</f>
        <v/>
      </c>
      <c r="G483" t="str">
        <f>IF($A483&lt;&gt;"",'All Cases - Enter Cases'!G483,"")</f>
        <v/>
      </c>
      <c r="H483" t="str">
        <f>IF($A483&lt;&gt;"",'All Cases - Enter Cases'!H483,"")</f>
        <v/>
      </c>
      <c r="I483" t="str">
        <f>IF($A483&lt;&gt;"",'All Cases - Enter Cases'!I483,"")</f>
        <v/>
      </c>
      <c r="J483" s="4" t="str">
        <f>IF($A483&lt;&gt;"",'All Cases - Enter Cases'!J483,"")</f>
        <v/>
      </c>
      <c r="K483" s="4" t="str">
        <f>IF($A483&lt;&gt;"",'All Cases - Enter Cases'!K483,"")</f>
        <v/>
      </c>
      <c r="L483" s="4" t="str">
        <f>IF($A483&lt;&gt;"",'All Cases - Enter Cases'!L483,"")</f>
        <v/>
      </c>
      <c r="M483" t="str">
        <f>IF($A483&lt;&gt;"",'All Cases - Enter Cases'!M483,"")</f>
        <v/>
      </c>
    </row>
    <row r="484" spans="1:13" x14ac:dyDescent="0.35">
      <c r="A484" s="4" t="str">
        <f>IF('All Cases - Enter Cases'!$F484="Punjab",'All Cases - Enter Cases'!A484,"")</f>
        <v/>
      </c>
      <c r="B484" t="str">
        <f>IF($A484&lt;&gt;"",'All Cases - Enter Cases'!B484,"")</f>
        <v/>
      </c>
      <c r="C484" t="str">
        <f>IF($A484&lt;&gt;"",'All Cases - Enter Cases'!C484,"")</f>
        <v/>
      </c>
      <c r="D484" t="str">
        <f>IF($A484&lt;&gt;"",'All Cases - Enter Cases'!D484,"")</f>
        <v/>
      </c>
      <c r="E484" t="str">
        <f>IF($A484&lt;&gt;"",'All Cases - Enter Cases'!E484,"")</f>
        <v/>
      </c>
      <c r="F484" t="str">
        <f>IF($A484&lt;&gt;"",'All Cases - Enter Cases'!F484,"")</f>
        <v/>
      </c>
      <c r="G484" t="str">
        <f>IF($A484&lt;&gt;"",'All Cases - Enter Cases'!G484,"")</f>
        <v/>
      </c>
      <c r="H484" t="str">
        <f>IF($A484&lt;&gt;"",'All Cases - Enter Cases'!H484,"")</f>
        <v/>
      </c>
      <c r="I484" t="str">
        <f>IF($A484&lt;&gt;"",'All Cases - Enter Cases'!I484,"")</f>
        <v/>
      </c>
      <c r="J484" s="4" t="str">
        <f>IF($A484&lt;&gt;"",'All Cases - Enter Cases'!J484,"")</f>
        <v/>
      </c>
      <c r="K484" s="4" t="str">
        <f>IF($A484&lt;&gt;"",'All Cases - Enter Cases'!K484,"")</f>
        <v/>
      </c>
      <c r="L484" s="4" t="str">
        <f>IF($A484&lt;&gt;"",'All Cases - Enter Cases'!L484,"")</f>
        <v/>
      </c>
      <c r="M484" t="str">
        <f>IF($A484&lt;&gt;"",'All Cases - Enter Cases'!M484,"")</f>
        <v/>
      </c>
    </row>
    <row r="485" spans="1:13" x14ac:dyDescent="0.35">
      <c r="A485" s="4" t="str">
        <f>IF('All Cases - Enter Cases'!$F485="Punjab",'All Cases - Enter Cases'!A485,"")</f>
        <v/>
      </c>
      <c r="B485" t="str">
        <f>IF($A485&lt;&gt;"",'All Cases - Enter Cases'!B485,"")</f>
        <v/>
      </c>
      <c r="C485" t="str">
        <f>IF($A485&lt;&gt;"",'All Cases - Enter Cases'!C485,"")</f>
        <v/>
      </c>
      <c r="D485" t="str">
        <f>IF($A485&lt;&gt;"",'All Cases - Enter Cases'!D485,"")</f>
        <v/>
      </c>
      <c r="E485" t="str">
        <f>IF($A485&lt;&gt;"",'All Cases - Enter Cases'!E485,"")</f>
        <v/>
      </c>
      <c r="F485" t="str">
        <f>IF($A485&lt;&gt;"",'All Cases - Enter Cases'!F485,"")</f>
        <v/>
      </c>
      <c r="G485" t="str">
        <f>IF($A485&lt;&gt;"",'All Cases - Enter Cases'!G485,"")</f>
        <v/>
      </c>
      <c r="H485" t="str">
        <f>IF($A485&lt;&gt;"",'All Cases - Enter Cases'!H485,"")</f>
        <v/>
      </c>
      <c r="I485" t="str">
        <f>IF($A485&lt;&gt;"",'All Cases - Enter Cases'!I485,"")</f>
        <v/>
      </c>
      <c r="J485" s="4" t="str">
        <f>IF($A485&lt;&gt;"",'All Cases - Enter Cases'!J485,"")</f>
        <v/>
      </c>
      <c r="K485" s="4" t="str">
        <f>IF($A485&lt;&gt;"",'All Cases - Enter Cases'!K485,"")</f>
        <v/>
      </c>
      <c r="L485" s="4" t="str">
        <f>IF($A485&lt;&gt;"",'All Cases - Enter Cases'!L485,"")</f>
        <v/>
      </c>
      <c r="M485" t="str">
        <f>IF($A485&lt;&gt;"",'All Cases - Enter Cases'!M485,"")</f>
        <v/>
      </c>
    </row>
    <row r="486" spans="1:13" x14ac:dyDescent="0.35">
      <c r="A486" s="4" t="str">
        <f>IF('All Cases - Enter Cases'!$F486="Punjab",'All Cases - Enter Cases'!A486,"")</f>
        <v/>
      </c>
      <c r="B486" t="str">
        <f>IF($A486&lt;&gt;"",'All Cases - Enter Cases'!B486,"")</f>
        <v/>
      </c>
      <c r="C486" t="str">
        <f>IF($A486&lt;&gt;"",'All Cases - Enter Cases'!C486,"")</f>
        <v/>
      </c>
      <c r="D486" t="str">
        <f>IF($A486&lt;&gt;"",'All Cases - Enter Cases'!D486,"")</f>
        <v/>
      </c>
      <c r="E486" t="str">
        <f>IF($A486&lt;&gt;"",'All Cases - Enter Cases'!E486,"")</f>
        <v/>
      </c>
      <c r="F486" t="str">
        <f>IF($A486&lt;&gt;"",'All Cases - Enter Cases'!F486,"")</f>
        <v/>
      </c>
      <c r="G486" t="str">
        <f>IF($A486&lt;&gt;"",'All Cases - Enter Cases'!G486,"")</f>
        <v/>
      </c>
      <c r="H486" t="str">
        <f>IF($A486&lt;&gt;"",'All Cases - Enter Cases'!H486,"")</f>
        <v/>
      </c>
      <c r="I486" t="str">
        <f>IF($A486&lt;&gt;"",'All Cases - Enter Cases'!I486,"")</f>
        <v/>
      </c>
      <c r="J486" s="4" t="str">
        <f>IF($A486&lt;&gt;"",'All Cases - Enter Cases'!J486,"")</f>
        <v/>
      </c>
      <c r="K486" s="4" t="str">
        <f>IF($A486&lt;&gt;"",'All Cases - Enter Cases'!K486,"")</f>
        <v/>
      </c>
      <c r="L486" s="4" t="str">
        <f>IF($A486&lt;&gt;"",'All Cases - Enter Cases'!L486,"")</f>
        <v/>
      </c>
      <c r="M486" t="str">
        <f>IF($A486&lt;&gt;"",'All Cases - Enter Cases'!M486,"")</f>
        <v/>
      </c>
    </row>
    <row r="487" spans="1:13" x14ac:dyDescent="0.35">
      <c r="A487" s="4" t="str">
        <f>IF('All Cases - Enter Cases'!$F487="Punjab",'All Cases - Enter Cases'!A487,"")</f>
        <v/>
      </c>
      <c r="B487" t="str">
        <f>IF($A487&lt;&gt;"",'All Cases - Enter Cases'!B487,"")</f>
        <v/>
      </c>
      <c r="C487" t="str">
        <f>IF($A487&lt;&gt;"",'All Cases - Enter Cases'!C487,"")</f>
        <v/>
      </c>
      <c r="D487" t="str">
        <f>IF($A487&lt;&gt;"",'All Cases - Enter Cases'!D487,"")</f>
        <v/>
      </c>
      <c r="E487" t="str">
        <f>IF($A487&lt;&gt;"",'All Cases - Enter Cases'!E487,"")</f>
        <v/>
      </c>
      <c r="F487" t="str">
        <f>IF($A487&lt;&gt;"",'All Cases - Enter Cases'!F487,"")</f>
        <v/>
      </c>
      <c r="G487" t="str">
        <f>IF($A487&lt;&gt;"",'All Cases - Enter Cases'!G487,"")</f>
        <v/>
      </c>
      <c r="H487" t="str">
        <f>IF($A487&lt;&gt;"",'All Cases - Enter Cases'!H487,"")</f>
        <v/>
      </c>
      <c r="I487" t="str">
        <f>IF($A487&lt;&gt;"",'All Cases - Enter Cases'!I487,"")</f>
        <v/>
      </c>
      <c r="J487" s="4" t="str">
        <f>IF($A487&lt;&gt;"",'All Cases - Enter Cases'!J487,"")</f>
        <v/>
      </c>
      <c r="K487" s="4" t="str">
        <f>IF($A487&lt;&gt;"",'All Cases - Enter Cases'!K487,"")</f>
        <v/>
      </c>
      <c r="L487" s="4" t="str">
        <f>IF($A487&lt;&gt;"",'All Cases - Enter Cases'!L487,"")</f>
        <v/>
      </c>
      <c r="M487" t="str">
        <f>IF($A487&lt;&gt;"",'All Cases - Enter Cases'!M487,"")</f>
        <v/>
      </c>
    </row>
    <row r="488" spans="1:13" x14ac:dyDescent="0.35">
      <c r="A488" s="4" t="str">
        <f>IF('All Cases - Enter Cases'!$F488="Punjab",'All Cases - Enter Cases'!A488,"")</f>
        <v/>
      </c>
      <c r="B488" t="str">
        <f>IF($A488&lt;&gt;"",'All Cases - Enter Cases'!B488,"")</f>
        <v/>
      </c>
      <c r="C488" t="str">
        <f>IF($A488&lt;&gt;"",'All Cases - Enter Cases'!C488,"")</f>
        <v/>
      </c>
      <c r="D488" t="str">
        <f>IF($A488&lt;&gt;"",'All Cases - Enter Cases'!D488,"")</f>
        <v/>
      </c>
      <c r="E488" t="str">
        <f>IF($A488&lt;&gt;"",'All Cases - Enter Cases'!E488,"")</f>
        <v/>
      </c>
      <c r="F488" t="str">
        <f>IF($A488&lt;&gt;"",'All Cases - Enter Cases'!F488,"")</f>
        <v/>
      </c>
      <c r="G488" t="str">
        <f>IF($A488&lt;&gt;"",'All Cases - Enter Cases'!G488,"")</f>
        <v/>
      </c>
      <c r="H488" t="str">
        <f>IF($A488&lt;&gt;"",'All Cases - Enter Cases'!H488,"")</f>
        <v/>
      </c>
      <c r="I488" t="str">
        <f>IF($A488&lt;&gt;"",'All Cases - Enter Cases'!I488,"")</f>
        <v/>
      </c>
      <c r="J488" s="4" t="str">
        <f>IF($A488&lt;&gt;"",'All Cases - Enter Cases'!J488,"")</f>
        <v/>
      </c>
      <c r="K488" s="4" t="str">
        <f>IF($A488&lt;&gt;"",'All Cases - Enter Cases'!K488,"")</f>
        <v/>
      </c>
      <c r="L488" s="4" t="str">
        <f>IF($A488&lt;&gt;"",'All Cases - Enter Cases'!L488,"")</f>
        <v/>
      </c>
      <c r="M488" t="str">
        <f>IF($A488&lt;&gt;"",'All Cases - Enter Cases'!M488,"")</f>
        <v/>
      </c>
    </row>
    <row r="489" spans="1:13" x14ac:dyDescent="0.35">
      <c r="A489" s="4" t="str">
        <f>IF('All Cases - Enter Cases'!$F489="Punjab",'All Cases - Enter Cases'!A489,"")</f>
        <v/>
      </c>
      <c r="B489" t="str">
        <f>IF($A489&lt;&gt;"",'All Cases - Enter Cases'!B489,"")</f>
        <v/>
      </c>
      <c r="C489" t="str">
        <f>IF($A489&lt;&gt;"",'All Cases - Enter Cases'!C489,"")</f>
        <v/>
      </c>
      <c r="D489" t="str">
        <f>IF($A489&lt;&gt;"",'All Cases - Enter Cases'!D489,"")</f>
        <v/>
      </c>
      <c r="E489" t="str">
        <f>IF($A489&lt;&gt;"",'All Cases - Enter Cases'!E489,"")</f>
        <v/>
      </c>
      <c r="F489" t="str">
        <f>IF($A489&lt;&gt;"",'All Cases - Enter Cases'!F489,"")</f>
        <v/>
      </c>
      <c r="G489" t="str">
        <f>IF($A489&lt;&gt;"",'All Cases - Enter Cases'!G489,"")</f>
        <v/>
      </c>
      <c r="H489" t="str">
        <f>IF($A489&lt;&gt;"",'All Cases - Enter Cases'!H489,"")</f>
        <v/>
      </c>
      <c r="I489" t="str">
        <f>IF($A489&lt;&gt;"",'All Cases - Enter Cases'!I489,"")</f>
        <v/>
      </c>
      <c r="J489" s="4" t="str">
        <f>IF($A489&lt;&gt;"",'All Cases - Enter Cases'!J489,"")</f>
        <v/>
      </c>
      <c r="K489" s="4" t="str">
        <f>IF($A489&lt;&gt;"",'All Cases - Enter Cases'!K489,"")</f>
        <v/>
      </c>
      <c r="L489" s="4" t="str">
        <f>IF($A489&lt;&gt;"",'All Cases - Enter Cases'!L489,"")</f>
        <v/>
      </c>
      <c r="M489" t="str">
        <f>IF($A489&lt;&gt;"",'All Cases - Enter Cases'!M489,"")</f>
        <v/>
      </c>
    </row>
    <row r="490" spans="1:13" x14ac:dyDescent="0.35">
      <c r="A490" s="4" t="str">
        <f>IF('All Cases - Enter Cases'!$F490="Punjab",'All Cases - Enter Cases'!A490,"")</f>
        <v/>
      </c>
      <c r="B490" t="str">
        <f>IF($A490&lt;&gt;"",'All Cases - Enter Cases'!B490,"")</f>
        <v/>
      </c>
      <c r="C490" t="str">
        <f>IF($A490&lt;&gt;"",'All Cases - Enter Cases'!C490,"")</f>
        <v/>
      </c>
      <c r="D490" t="str">
        <f>IF($A490&lt;&gt;"",'All Cases - Enter Cases'!D490,"")</f>
        <v/>
      </c>
      <c r="E490" t="str">
        <f>IF($A490&lt;&gt;"",'All Cases - Enter Cases'!E490,"")</f>
        <v/>
      </c>
      <c r="F490" t="str">
        <f>IF($A490&lt;&gt;"",'All Cases - Enter Cases'!F490,"")</f>
        <v/>
      </c>
      <c r="G490" t="str">
        <f>IF($A490&lt;&gt;"",'All Cases - Enter Cases'!G490,"")</f>
        <v/>
      </c>
      <c r="H490" t="str">
        <f>IF($A490&lt;&gt;"",'All Cases - Enter Cases'!H490,"")</f>
        <v/>
      </c>
      <c r="I490" t="str">
        <f>IF($A490&lt;&gt;"",'All Cases - Enter Cases'!I490,"")</f>
        <v/>
      </c>
      <c r="J490" s="4" t="str">
        <f>IF($A490&lt;&gt;"",'All Cases - Enter Cases'!J490,"")</f>
        <v/>
      </c>
      <c r="K490" s="4" t="str">
        <f>IF($A490&lt;&gt;"",'All Cases - Enter Cases'!K490,"")</f>
        <v/>
      </c>
      <c r="L490" s="4" t="str">
        <f>IF($A490&lt;&gt;"",'All Cases - Enter Cases'!L490,"")</f>
        <v/>
      </c>
      <c r="M490" t="str">
        <f>IF($A490&lt;&gt;"",'All Cases - Enter Cases'!M490,"")</f>
        <v/>
      </c>
    </row>
    <row r="491" spans="1:13" x14ac:dyDescent="0.35">
      <c r="A491" s="4" t="str">
        <f>IF('All Cases - Enter Cases'!$F491="Punjab",'All Cases - Enter Cases'!A491,"")</f>
        <v/>
      </c>
      <c r="B491" t="str">
        <f>IF($A491&lt;&gt;"",'All Cases - Enter Cases'!B491,"")</f>
        <v/>
      </c>
      <c r="C491" t="str">
        <f>IF($A491&lt;&gt;"",'All Cases - Enter Cases'!C491,"")</f>
        <v/>
      </c>
      <c r="D491" t="str">
        <f>IF($A491&lt;&gt;"",'All Cases - Enter Cases'!D491,"")</f>
        <v/>
      </c>
      <c r="E491" t="str">
        <f>IF($A491&lt;&gt;"",'All Cases - Enter Cases'!E491,"")</f>
        <v/>
      </c>
      <c r="F491" t="str">
        <f>IF($A491&lt;&gt;"",'All Cases - Enter Cases'!F491,"")</f>
        <v/>
      </c>
      <c r="G491" t="str">
        <f>IF($A491&lt;&gt;"",'All Cases - Enter Cases'!G491,"")</f>
        <v/>
      </c>
      <c r="H491" t="str">
        <f>IF($A491&lt;&gt;"",'All Cases - Enter Cases'!H491,"")</f>
        <v/>
      </c>
      <c r="I491" t="str">
        <f>IF($A491&lt;&gt;"",'All Cases - Enter Cases'!I491,"")</f>
        <v/>
      </c>
      <c r="J491" s="4" t="str">
        <f>IF($A491&lt;&gt;"",'All Cases - Enter Cases'!J491,"")</f>
        <v/>
      </c>
      <c r="K491" s="4" t="str">
        <f>IF($A491&lt;&gt;"",'All Cases - Enter Cases'!K491,"")</f>
        <v/>
      </c>
      <c r="L491" s="4" t="str">
        <f>IF($A491&lt;&gt;"",'All Cases - Enter Cases'!L491,"")</f>
        <v/>
      </c>
      <c r="M491" t="str">
        <f>IF($A491&lt;&gt;"",'All Cases - Enter Cases'!M491,"")</f>
        <v/>
      </c>
    </row>
    <row r="492" spans="1:13" x14ac:dyDescent="0.35">
      <c r="A492" s="4" t="str">
        <f>IF('All Cases - Enter Cases'!$F492="Punjab",'All Cases - Enter Cases'!A492,"")</f>
        <v/>
      </c>
      <c r="B492" t="str">
        <f>IF($A492&lt;&gt;"",'All Cases - Enter Cases'!B492,"")</f>
        <v/>
      </c>
      <c r="C492" t="str">
        <f>IF($A492&lt;&gt;"",'All Cases - Enter Cases'!C492,"")</f>
        <v/>
      </c>
      <c r="D492" t="str">
        <f>IF($A492&lt;&gt;"",'All Cases - Enter Cases'!D492,"")</f>
        <v/>
      </c>
      <c r="E492" t="str">
        <f>IF($A492&lt;&gt;"",'All Cases - Enter Cases'!E492,"")</f>
        <v/>
      </c>
      <c r="F492" t="str">
        <f>IF($A492&lt;&gt;"",'All Cases - Enter Cases'!F492,"")</f>
        <v/>
      </c>
      <c r="G492" t="str">
        <f>IF($A492&lt;&gt;"",'All Cases - Enter Cases'!G492,"")</f>
        <v/>
      </c>
      <c r="H492" t="str">
        <f>IF($A492&lt;&gt;"",'All Cases - Enter Cases'!H492,"")</f>
        <v/>
      </c>
      <c r="I492" t="str">
        <f>IF($A492&lt;&gt;"",'All Cases - Enter Cases'!I492,"")</f>
        <v/>
      </c>
      <c r="J492" s="4" t="str">
        <f>IF($A492&lt;&gt;"",'All Cases - Enter Cases'!J492,"")</f>
        <v/>
      </c>
      <c r="K492" s="4" t="str">
        <f>IF($A492&lt;&gt;"",'All Cases - Enter Cases'!K492,"")</f>
        <v/>
      </c>
      <c r="L492" s="4" t="str">
        <f>IF($A492&lt;&gt;"",'All Cases - Enter Cases'!L492,"")</f>
        <v/>
      </c>
      <c r="M492" t="str">
        <f>IF($A492&lt;&gt;"",'All Cases - Enter Cases'!M492,"")</f>
        <v/>
      </c>
    </row>
    <row r="493" spans="1:13" x14ac:dyDescent="0.35">
      <c r="A493" s="4" t="str">
        <f>IF('All Cases - Enter Cases'!$F493="Punjab",'All Cases - Enter Cases'!A493,"")</f>
        <v/>
      </c>
      <c r="B493" t="str">
        <f>IF($A493&lt;&gt;"",'All Cases - Enter Cases'!B493,"")</f>
        <v/>
      </c>
      <c r="C493" t="str">
        <f>IF($A493&lt;&gt;"",'All Cases - Enter Cases'!C493,"")</f>
        <v/>
      </c>
      <c r="D493" t="str">
        <f>IF($A493&lt;&gt;"",'All Cases - Enter Cases'!D493,"")</f>
        <v/>
      </c>
      <c r="E493" t="str">
        <f>IF($A493&lt;&gt;"",'All Cases - Enter Cases'!E493,"")</f>
        <v/>
      </c>
      <c r="F493" t="str">
        <f>IF($A493&lt;&gt;"",'All Cases - Enter Cases'!F493,"")</f>
        <v/>
      </c>
      <c r="G493" t="str">
        <f>IF($A493&lt;&gt;"",'All Cases - Enter Cases'!G493,"")</f>
        <v/>
      </c>
      <c r="H493" t="str">
        <f>IF($A493&lt;&gt;"",'All Cases - Enter Cases'!H493,"")</f>
        <v/>
      </c>
      <c r="I493" t="str">
        <f>IF($A493&lt;&gt;"",'All Cases - Enter Cases'!I493,"")</f>
        <v/>
      </c>
      <c r="J493" s="4" t="str">
        <f>IF($A493&lt;&gt;"",'All Cases - Enter Cases'!J493,"")</f>
        <v/>
      </c>
      <c r="K493" s="4" t="str">
        <f>IF($A493&lt;&gt;"",'All Cases - Enter Cases'!K493,"")</f>
        <v/>
      </c>
      <c r="L493" s="4" t="str">
        <f>IF($A493&lt;&gt;"",'All Cases - Enter Cases'!L493,"")</f>
        <v/>
      </c>
      <c r="M493" t="str">
        <f>IF($A493&lt;&gt;"",'All Cases - Enter Cases'!M493,"")</f>
        <v/>
      </c>
    </row>
    <row r="494" spans="1:13" x14ac:dyDescent="0.35">
      <c r="A494" s="4" t="str">
        <f>IF('All Cases - Enter Cases'!$F494="Punjab",'All Cases - Enter Cases'!A494,"")</f>
        <v/>
      </c>
      <c r="B494" t="str">
        <f>IF($A494&lt;&gt;"",'All Cases - Enter Cases'!B494,"")</f>
        <v/>
      </c>
      <c r="C494" t="str">
        <f>IF($A494&lt;&gt;"",'All Cases - Enter Cases'!C494,"")</f>
        <v/>
      </c>
      <c r="D494" t="str">
        <f>IF($A494&lt;&gt;"",'All Cases - Enter Cases'!D494,"")</f>
        <v/>
      </c>
      <c r="E494" t="str">
        <f>IF($A494&lt;&gt;"",'All Cases - Enter Cases'!E494,"")</f>
        <v/>
      </c>
      <c r="F494" t="str">
        <f>IF($A494&lt;&gt;"",'All Cases - Enter Cases'!F494,"")</f>
        <v/>
      </c>
      <c r="G494" t="str">
        <f>IF($A494&lt;&gt;"",'All Cases - Enter Cases'!G494,"")</f>
        <v/>
      </c>
      <c r="H494" t="str">
        <f>IF($A494&lt;&gt;"",'All Cases - Enter Cases'!H494,"")</f>
        <v/>
      </c>
      <c r="I494" t="str">
        <f>IF($A494&lt;&gt;"",'All Cases - Enter Cases'!I494,"")</f>
        <v/>
      </c>
      <c r="J494" s="4" t="str">
        <f>IF($A494&lt;&gt;"",'All Cases - Enter Cases'!J494,"")</f>
        <v/>
      </c>
      <c r="K494" s="4" t="str">
        <f>IF($A494&lt;&gt;"",'All Cases - Enter Cases'!K494,"")</f>
        <v/>
      </c>
      <c r="L494" s="4" t="str">
        <f>IF($A494&lt;&gt;"",'All Cases - Enter Cases'!L494,"")</f>
        <v/>
      </c>
      <c r="M494" t="str">
        <f>IF($A494&lt;&gt;"",'All Cases - Enter Cases'!M494,"")</f>
        <v/>
      </c>
    </row>
    <row r="495" spans="1:13" x14ac:dyDescent="0.35">
      <c r="A495" s="4" t="str">
        <f>IF('All Cases - Enter Cases'!$F495="Punjab",'All Cases - Enter Cases'!A495,"")</f>
        <v/>
      </c>
      <c r="B495" t="str">
        <f>IF($A495&lt;&gt;"",'All Cases - Enter Cases'!B495,"")</f>
        <v/>
      </c>
      <c r="C495" t="str">
        <f>IF($A495&lt;&gt;"",'All Cases - Enter Cases'!C495,"")</f>
        <v/>
      </c>
      <c r="D495" t="str">
        <f>IF($A495&lt;&gt;"",'All Cases - Enter Cases'!D495,"")</f>
        <v/>
      </c>
      <c r="E495" t="str">
        <f>IF($A495&lt;&gt;"",'All Cases - Enter Cases'!E495,"")</f>
        <v/>
      </c>
      <c r="F495" t="str">
        <f>IF($A495&lt;&gt;"",'All Cases - Enter Cases'!F495,"")</f>
        <v/>
      </c>
      <c r="G495" t="str">
        <f>IF($A495&lt;&gt;"",'All Cases - Enter Cases'!G495,"")</f>
        <v/>
      </c>
      <c r="H495" t="str">
        <f>IF($A495&lt;&gt;"",'All Cases - Enter Cases'!H495,"")</f>
        <v/>
      </c>
      <c r="I495" t="str">
        <f>IF($A495&lt;&gt;"",'All Cases - Enter Cases'!I495,"")</f>
        <v/>
      </c>
      <c r="J495" s="4" t="str">
        <f>IF($A495&lt;&gt;"",'All Cases - Enter Cases'!J495,"")</f>
        <v/>
      </c>
      <c r="K495" s="4" t="str">
        <f>IF($A495&lt;&gt;"",'All Cases - Enter Cases'!K495,"")</f>
        <v/>
      </c>
      <c r="L495" s="4" t="str">
        <f>IF($A495&lt;&gt;"",'All Cases - Enter Cases'!L495,"")</f>
        <v/>
      </c>
      <c r="M495" t="str">
        <f>IF($A495&lt;&gt;"",'All Cases - Enter Cases'!M495,"")</f>
        <v/>
      </c>
    </row>
    <row r="496" spans="1:13" x14ac:dyDescent="0.35">
      <c r="A496" s="4" t="str">
        <f>IF('All Cases - Enter Cases'!$F496="Punjab",'All Cases - Enter Cases'!A496,"")</f>
        <v/>
      </c>
      <c r="B496" t="str">
        <f>IF($A496&lt;&gt;"",'All Cases - Enter Cases'!B496,"")</f>
        <v/>
      </c>
      <c r="C496" t="str">
        <f>IF($A496&lt;&gt;"",'All Cases - Enter Cases'!C496,"")</f>
        <v/>
      </c>
      <c r="D496" t="str">
        <f>IF($A496&lt;&gt;"",'All Cases - Enter Cases'!D496,"")</f>
        <v/>
      </c>
      <c r="E496" t="str">
        <f>IF($A496&lt;&gt;"",'All Cases - Enter Cases'!E496,"")</f>
        <v/>
      </c>
      <c r="F496" t="str">
        <f>IF($A496&lt;&gt;"",'All Cases - Enter Cases'!F496,"")</f>
        <v/>
      </c>
      <c r="G496" t="str">
        <f>IF($A496&lt;&gt;"",'All Cases - Enter Cases'!G496,"")</f>
        <v/>
      </c>
      <c r="H496" t="str">
        <f>IF($A496&lt;&gt;"",'All Cases - Enter Cases'!H496,"")</f>
        <v/>
      </c>
      <c r="I496" t="str">
        <f>IF($A496&lt;&gt;"",'All Cases - Enter Cases'!I496,"")</f>
        <v/>
      </c>
      <c r="J496" s="4" t="str">
        <f>IF($A496&lt;&gt;"",'All Cases - Enter Cases'!J496,"")</f>
        <v/>
      </c>
      <c r="K496" s="4" t="str">
        <f>IF($A496&lt;&gt;"",'All Cases - Enter Cases'!K496,"")</f>
        <v/>
      </c>
      <c r="L496" s="4" t="str">
        <f>IF($A496&lt;&gt;"",'All Cases - Enter Cases'!L496,"")</f>
        <v/>
      </c>
      <c r="M496" t="str">
        <f>IF($A496&lt;&gt;"",'All Cases - Enter Cases'!M496,"")</f>
        <v/>
      </c>
    </row>
    <row r="497" spans="1:13" x14ac:dyDescent="0.35">
      <c r="A497" s="4" t="str">
        <f>IF('All Cases - Enter Cases'!$F497="Punjab",'All Cases - Enter Cases'!A497,"")</f>
        <v/>
      </c>
      <c r="B497" t="str">
        <f>IF($A497&lt;&gt;"",'All Cases - Enter Cases'!B497,"")</f>
        <v/>
      </c>
      <c r="C497" t="str">
        <f>IF($A497&lt;&gt;"",'All Cases - Enter Cases'!C497,"")</f>
        <v/>
      </c>
      <c r="D497" t="str">
        <f>IF($A497&lt;&gt;"",'All Cases - Enter Cases'!D497,"")</f>
        <v/>
      </c>
      <c r="E497" t="str">
        <f>IF($A497&lt;&gt;"",'All Cases - Enter Cases'!E497,"")</f>
        <v/>
      </c>
      <c r="F497" t="str">
        <f>IF($A497&lt;&gt;"",'All Cases - Enter Cases'!F497,"")</f>
        <v/>
      </c>
      <c r="G497" t="str">
        <f>IF($A497&lt;&gt;"",'All Cases - Enter Cases'!G497,"")</f>
        <v/>
      </c>
      <c r="H497" t="str">
        <f>IF($A497&lt;&gt;"",'All Cases - Enter Cases'!H497,"")</f>
        <v/>
      </c>
      <c r="I497" t="str">
        <f>IF($A497&lt;&gt;"",'All Cases - Enter Cases'!I497,"")</f>
        <v/>
      </c>
      <c r="J497" s="4" t="str">
        <f>IF($A497&lt;&gt;"",'All Cases - Enter Cases'!J497,"")</f>
        <v/>
      </c>
      <c r="K497" s="4" t="str">
        <f>IF($A497&lt;&gt;"",'All Cases - Enter Cases'!K497,"")</f>
        <v/>
      </c>
      <c r="L497" s="4" t="str">
        <f>IF($A497&lt;&gt;"",'All Cases - Enter Cases'!L497,"")</f>
        <v/>
      </c>
      <c r="M497" t="str">
        <f>IF($A497&lt;&gt;"",'All Cases - Enter Cases'!M497,"")</f>
        <v/>
      </c>
    </row>
    <row r="498" spans="1:13" x14ac:dyDescent="0.35">
      <c r="A498" s="4" t="str">
        <f>IF('All Cases - Enter Cases'!$F498="Punjab",'All Cases - Enter Cases'!A498,"")</f>
        <v/>
      </c>
      <c r="B498" t="str">
        <f>IF($A498&lt;&gt;"",'All Cases - Enter Cases'!B498,"")</f>
        <v/>
      </c>
      <c r="C498" t="str">
        <f>IF($A498&lt;&gt;"",'All Cases - Enter Cases'!C498,"")</f>
        <v/>
      </c>
      <c r="D498" t="str">
        <f>IF($A498&lt;&gt;"",'All Cases - Enter Cases'!D498,"")</f>
        <v/>
      </c>
      <c r="E498" t="str">
        <f>IF($A498&lt;&gt;"",'All Cases - Enter Cases'!E498,"")</f>
        <v/>
      </c>
      <c r="F498" t="str">
        <f>IF($A498&lt;&gt;"",'All Cases - Enter Cases'!F498,"")</f>
        <v/>
      </c>
      <c r="G498" t="str">
        <f>IF($A498&lt;&gt;"",'All Cases - Enter Cases'!G498,"")</f>
        <v/>
      </c>
      <c r="H498" t="str">
        <f>IF($A498&lt;&gt;"",'All Cases - Enter Cases'!H498,"")</f>
        <v/>
      </c>
      <c r="I498" t="str">
        <f>IF($A498&lt;&gt;"",'All Cases - Enter Cases'!I498,"")</f>
        <v/>
      </c>
      <c r="J498" s="4" t="str">
        <f>IF($A498&lt;&gt;"",'All Cases - Enter Cases'!J498,"")</f>
        <v/>
      </c>
      <c r="K498" s="4" t="str">
        <f>IF($A498&lt;&gt;"",'All Cases - Enter Cases'!K498,"")</f>
        <v/>
      </c>
      <c r="L498" s="4" t="str">
        <f>IF($A498&lt;&gt;"",'All Cases - Enter Cases'!L498,"")</f>
        <v/>
      </c>
      <c r="M498" t="str">
        <f>IF($A498&lt;&gt;"",'All Cases - Enter Cases'!M498,"")</f>
        <v/>
      </c>
    </row>
    <row r="499" spans="1:13" x14ac:dyDescent="0.35">
      <c r="A499" s="4" t="str">
        <f>IF('All Cases - Enter Cases'!$F499="Punjab",'All Cases - Enter Cases'!A499,"")</f>
        <v/>
      </c>
      <c r="B499" t="str">
        <f>IF($A499&lt;&gt;"",'All Cases - Enter Cases'!B499,"")</f>
        <v/>
      </c>
      <c r="C499" t="str">
        <f>IF($A499&lt;&gt;"",'All Cases - Enter Cases'!C499,"")</f>
        <v/>
      </c>
      <c r="D499" t="str">
        <f>IF($A499&lt;&gt;"",'All Cases - Enter Cases'!D499,"")</f>
        <v/>
      </c>
      <c r="E499" t="str">
        <f>IF($A499&lt;&gt;"",'All Cases - Enter Cases'!E499,"")</f>
        <v/>
      </c>
      <c r="F499" t="str">
        <f>IF($A499&lt;&gt;"",'All Cases - Enter Cases'!F499,"")</f>
        <v/>
      </c>
      <c r="G499" t="str">
        <f>IF($A499&lt;&gt;"",'All Cases - Enter Cases'!G499,"")</f>
        <v/>
      </c>
      <c r="H499" t="str">
        <f>IF($A499&lt;&gt;"",'All Cases - Enter Cases'!H499,"")</f>
        <v/>
      </c>
      <c r="I499" t="str">
        <f>IF($A499&lt;&gt;"",'All Cases - Enter Cases'!I499,"")</f>
        <v/>
      </c>
      <c r="J499" s="4" t="str">
        <f>IF($A499&lt;&gt;"",'All Cases - Enter Cases'!J499,"")</f>
        <v/>
      </c>
      <c r="K499" s="4" t="str">
        <f>IF($A499&lt;&gt;"",'All Cases - Enter Cases'!K499,"")</f>
        <v/>
      </c>
      <c r="L499" s="4" t="str">
        <f>IF($A499&lt;&gt;"",'All Cases - Enter Cases'!L499,"")</f>
        <v/>
      </c>
      <c r="M499" t="str">
        <f>IF($A499&lt;&gt;"",'All Cases - Enter Cases'!M499,"")</f>
        <v/>
      </c>
    </row>
    <row r="500" spans="1:13" x14ac:dyDescent="0.35">
      <c r="A500" s="4" t="str">
        <f>IF('All Cases - Enter Cases'!$F500="Punjab",'All Cases - Enter Cases'!A500,"")</f>
        <v/>
      </c>
      <c r="B500" t="str">
        <f>IF($A500&lt;&gt;"",'All Cases - Enter Cases'!B500,"")</f>
        <v/>
      </c>
      <c r="C500" t="str">
        <f>IF($A500&lt;&gt;"",'All Cases - Enter Cases'!C500,"")</f>
        <v/>
      </c>
      <c r="D500" t="str">
        <f>IF($A500&lt;&gt;"",'All Cases - Enter Cases'!D500,"")</f>
        <v/>
      </c>
      <c r="E500" t="str">
        <f>IF($A500&lt;&gt;"",'All Cases - Enter Cases'!E500,"")</f>
        <v/>
      </c>
      <c r="F500" t="str">
        <f>IF($A500&lt;&gt;"",'All Cases - Enter Cases'!F500,"")</f>
        <v/>
      </c>
      <c r="G500" t="str">
        <f>IF($A500&lt;&gt;"",'All Cases - Enter Cases'!G500,"")</f>
        <v/>
      </c>
      <c r="H500" t="str">
        <f>IF($A500&lt;&gt;"",'All Cases - Enter Cases'!H500,"")</f>
        <v/>
      </c>
      <c r="I500" t="str">
        <f>IF($A500&lt;&gt;"",'All Cases - Enter Cases'!I500,"")</f>
        <v/>
      </c>
      <c r="J500" s="4" t="str">
        <f>IF($A500&lt;&gt;"",'All Cases - Enter Cases'!J500,"")</f>
        <v/>
      </c>
      <c r="K500" s="4" t="str">
        <f>IF($A500&lt;&gt;"",'All Cases - Enter Cases'!K500,"")</f>
        <v/>
      </c>
      <c r="L500" s="4" t="str">
        <f>IF($A500&lt;&gt;"",'All Cases - Enter Cases'!L500,"")</f>
        <v/>
      </c>
      <c r="M500" t="str">
        <f>IF($A500&lt;&gt;"",'All Cases - Enter Cases'!M500,"")</f>
        <v/>
      </c>
    </row>
    <row r="501" spans="1:13" x14ac:dyDescent="0.35">
      <c r="A501" s="4" t="str">
        <f>IF('All Cases - Enter Cases'!$F501="Punjab",'All Cases - Enter Cases'!A501,"")</f>
        <v/>
      </c>
      <c r="B501" t="str">
        <f>IF($A501&lt;&gt;"",'All Cases - Enter Cases'!B501,"")</f>
        <v/>
      </c>
      <c r="C501" t="str">
        <f>IF($A501&lt;&gt;"",'All Cases - Enter Cases'!C501,"")</f>
        <v/>
      </c>
      <c r="D501" t="str">
        <f>IF($A501&lt;&gt;"",'All Cases - Enter Cases'!D501,"")</f>
        <v/>
      </c>
      <c r="E501" t="str">
        <f>IF($A501&lt;&gt;"",'All Cases - Enter Cases'!E501,"")</f>
        <v/>
      </c>
      <c r="F501" t="str">
        <f>IF($A501&lt;&gt;"",'All Cases - Enter Cases'!F501,"")</f>
        <v/>
      </c>
      <c r="G501" t="str">
        <f>IF($A501&lt;&gt;"",'All Cases - Enter Cases'!G501,"")</f>
        <v/>
      </c>
      <c r="H501" t="str">
        <f>IF($A501&lt;&gt;"",'All Cases - Enter Cases'!H501,"")</f>
        <v/>
      </c>
      <c r="I501" t="str">
        <f>IF($A501&lt;&gt;"",'All Cases - Enter Cases'!I501,"")</f>
        <v/>
      </c>
      <c r="J501" s="4" t="str">
        <f>IF($A501&lt;&gt;"",'All Cases - Enter Cases'!J501,"")</f>
        <v/>
      </c>
      <c r="K501" s="4" t="str">
        <f>IF($A501&lt;&gt;"",'All Cases - Enter Cases'!K501,"")</f>
        <v/>
      </c>
      <c r="L501" s="4" t="str">
        <f>IF($A501&lt;&gt;"",'All Cases - Enter Cases'!L501,"")</f>
        <v/>
      </c>
      <c r="M501" t="str">
        <f>IF($A501&lt;&gt;"",'All Cases - Enter Cases'!M501,"")</f>
        <v/>
      </c>
    </row>
    <row r="502" spans="1:13" x14ac:dyDescent="0.35">
      <c r="A502" s="4" t="str">
        <f>IF('All Cases - Enter Cases'!$F502="Punjab",'All Cases - Enter Cases'!A502,"")</f>
        <v/>
      </c>
      <c r="B502" t="str">
        <f>IF($A502&lt;&gt;"",'All Cases - Enter Cases'!B502,"")</f>
        <v/>
      </c>
      <c r="C502" t="str">
        <f>IF($A502&lt;&gt;"",'All Cases - Enter Cases'!C502,"")</f>
        <v/>
      </c>
      <c r="D502" t="str">
        <f>IF($A502&lt;&gt;"",'All Cases - Enter Cases'!D502,"")</f>
        <v/>
      </c>
      <c r="E502" t="str">
        <f>IF($A502&lt;&gt;"",'All Cases - Enter Cases'!E502,"")</f>
        <v/>
      </c>
      <c r="F502" t="str">
        <f>IF($A502&lt;&gt;"",'All Cases - Enter Cases'!F502,"")</f>
        <v/>
      </c>
      <c r="G502" t="str">
        <f>IF($A502&lt;&gt;"",'All Cases - Enter Cases'!G502,"")</f>
        <v/>
      </c>
      <c r="H502" t="str">
        <f>IF($A502&lt;&gt;"",'All Cases - Enter Cases'!H502,"")</f>
        <v/>
      </c>
      <c r="I502" t="str">
        <f>IF($A502&lt;&gt;"",'All Cases - Enter Cases'!I502,"")</f>
        <v/>
      </c>
      <c r="J502" s="4" t="str">
        <f>IF($A502&lt;&gt;"",'All Cases - Enter Cases'!J502,"")</f>
        <v/>
      </c>
      <c r="K502" s="4" t="str">
        <f>IF($A502&lt;&gt;"",'All Cases - Enter Cases'!K502,"")</f>
        <v/>
      </c>
      <c r="L502" s="4" t="str">
        <f>IF($A502&lt;&gt;"",'All Cases - Enter Cases'!L502,"")</f>
        <v/>
      </c>
      <c r="M502" t="str">
        <f>IF($A502&lt;&gt;"",'All Cases - Enter Cases'!M502,"")</f>
        <v/>
      </c>
    </row>
    <row r="503" spans="1:13" x14ac:dyDescent="0.35">
      <c r="A503" s="4" t="str">
        <f>IF('All Cases - Enter Cases'!$F503="Punjab",'All Cases - Enter Cases'!A503,"")</f>
        <v/>
      </c>
      <c r="B503" t="str">
        <f>IF($A503&lt;&gt;"",'All Cases - Enter Cases'!B503,"")</f>
        <v/>
      </c>
      <c r="C503" t="str">
        <f>IF($A503&lt;&gt;"",'All Cases - Enter Cases'!C503,"")</f>
        <v/>
      </c>
      <c r="D503" t="str">
        <f>IF($A503&lt;&gt;"",'All Cases - Enter Cases'!D503,"")</f>
        <v/>
      </c>
      <c r="E503" t="str">
        <f>IF($A503&lt;&gt;"",'All Cases - Enter Cases'!E503,"")</f>
        <v/>
      </c>
      <c r="F503" t="str">
        <f>IF($A503&lt;&gt;"",'All Cases - Enter Cases'!F503,"")</f>
        <v/>
      </c>
      <c r="G503" t="str">
        <f>IF($A503&lt;&gt;"",'All Cases - Enter Cases'!G503,"")</f>
        <v/>
      </c>
      <c r="H503" t="str">
        <f>IF($A503&lt;&gt;"",'All Cases - Enter Cases'!H503,"")</f>
        <v/>
      </c>
      <c r="I503" t="str">
        <f>IF($A503&lt;&gt;"",'All Cases - Enter Cases'!I503,"")</f>
        <v/>
      </c>
      <c r="J503" s="4" t="str">
        <f>IF($A503&lt;&gt;"",'All Cases - Enter Cases'!J503,"")</f>
        <v/>
      </c>
      <c r="K503" s="4" t="str">
        <f>IF($A503&lt;&gt;"",'All Cases - Enter Cases'!K503,"")</f>
        <v/>
      </c>
      <c r="L503" s="4" t="str">
        <f>IF($A503&lt;&gt;"",'All Cases - Enter Cases'!L503,"")</f>
        <v/>
      </c>
      <c r="M503" t="str">
        <f>IF($A503&lt;&gt;"",'All Cases - Enter Cases'!M503,"")</f>
        <v/>
      </c>
    </row>
    <row r="504" spans="1:13" x14ac:dyDescent="0.35">
      <c r="A504" s="4" t="str">
        <f>IF('All Cases - Enter Cases'!$F504="Punjab",'All Cases - Enter Cases'!A504,"")</f>
        <v/>
      </c>
      <c r="B504" t="str">
        <f>IF($A504&lt;&gt;"",'All Cases - Enter Cases'!B504,"")</f>
        <v/>
      </c>
      <c r="C504" t="str">
        <f>IF($A504&lt;&gt;"",'All Cases - Enter Cases'!C504,"")</f>
        <v/>
      </c>
      <c r="D504" t="str">
        <f>IF($A504&lt;&gt;"",'All Cases - Enter Cases'!D504,"")</f>
        <v/>
      </c>
      <c r="E504" t="str">
        <f>IF($A504&lt;&gt;"",'All Cases - Enter Cases'!E504,"")</f>
        <v/>
      </c>
      <c r="F504" t="str">
        <f>IF($A504&lt;&gt;"",'All Cases - Enter Cases'!F504,"")</f>
        <v/>
      </c>
      <c r="G504" t="str">
        <f>IF($A504&lt;&gt;"",'All Cases - Enter Cases'!G504,"")</f>
        <v/>
      </c>
      <c r="H504" t="str">
        <f>IF($A504&lt;&gt;"",'All Cases - Enter Cases'!H504,"")</f>
        <v/>
      </c>
      <c r="I504" t="str">
        <f>IF($A504&lt;&gt;"",'All Cases - Enter Cases'!I504,"")</f>
        <v/>
      </c>
      <c r="J504" s="4" t="str">
        <f>IF($A504&lt;&gt;"",'All Cases - Enter Cases'!J504,"")</f>
        <v/>
      </c>
      <c r="K504" s="4" t="str">
        <f>IF($A504&lt;&gt;"",'All Cases - Enter Cases'!K504,"")</f>
        <v/>
      </c>
      <c r="L504" s="4" t="str">
        <f>IF($A504&lt;&gt;"",'All Cases - Enter Cases'!L504,"")</f>
        <v/>
      </c>
      <c r="M504" t="str">
        <f>IF($A504&lt;&gt;"",'All Cases - Enter Cases'!M504,"")</f>
        <v/>
      </c>
    </row>
    <row r="505" spans="1:13" x14ac:dyDescent="0.35">
      <c r="A505" s="4" t="str">
        <f>IF('All Cases - Enter Cases'!$F505="Punjab",'All Cases - Enter Cases'!A505,"")</f>
        <v/>
      </c>
      <c r="B505" t="str">
        <f>IF($A505&lt;&gt;"",'All Cases - Enter Cases'!B505,"")</f>
        <v/>
      </c>
      <c r="C505" t="str">
        <f>IF($A505&lt;&gt;"",'All Cases - Enter Cases'!C505,"")</f>
        <v/>
      </c>
      <c r="D505" t="str">
        <f>IF($A505&lt;&gt;"",'All Cases - Enter Cases'!D505,"")</f>
        <v/>
      </c>
      <c r="E505" t="str">
        <f>IF($A505&lt;&gt;"",'All Cases - Enter Cases'!E505,"")</f>
        <v/>
      </c>
      <c r="F505" t="str">
        <f>IF($A505&lt;&gt;"",'All Cases - Enter Cases'!F505,"")</f>
        <v/>
      </c>
      <c r="G505" t="str">
        <f>IF($A505&lt;&gt;"",'All Cases - Enter Cases'!G505,"")</f>
        <v/>
      </c>
      <c r="H505" t="str">
        <f>IF($A505&lt;&gt;"",'All Cases - Enter Cases'!H505,"")</f>
        <v/>
      </c>
      <c r="I505" t="str">
        <f>IF($A505&lt;&gt;"",'All Cases - Enter Cases'!I505,"")</f>
        <v/>
      </c>
      <c r="J505" s="4" t="str">
        <f>IF($A505&lt;&gt;"",'All Cases - Enter Cases'!J505,"")</f>
        <v/>
      </c>
      <c r="K505" s="4" t="str">
        <f>IF($A505&lt;&gt;"",'All Cases - Enter Cases'!K505,"")</f>
        <v/>
      </c>
      <c r="L505" s="4" t="str">
        <f>IF($A505&lt;&gt;"",'All Cases - Enter Cases'!L505,"")</f>
        <v/>
      </c>
      <c r="M505" t="str">
        <f>IF($A505&lt;&gt;"",'All Cases - Enter Cases'!M505,"")</f>
        <v/>
      </c>
    </row>
    <row r="506" spans="1:13" x14ac:dyDescent="0.35">
      <c r="A506" s="4" t="str">
        <f>IF('All Cases - Enter Cases'!$F506="Punjab",'All Cases - Enter Cases'!A506,"")</f>
        <v/>
      </c>
      <c r="B506" t="str">
        <f>IF($A506&lt;&gt;"",'All Cases - Enter Cases'!B506,"")</f>
        <v/>
      </c>
      <c r="C506" t="str">
        <f>IF($A506&lt;&gt;"",'All Cases - Enter Cases'!C506,"")</f>
        <v/>
      </c>
      <c r="D506" t="str">
        <f>IF($A506&lt;&gt;"",'All Cases - Enter Cases'!D506,"")</f>
        <v/>
      </c>
      <c r="E506" t="str">
        <f>IF($A506&lt;&gt;"",'All Cases - Enter Cases'!E506,"")</f>
        <v/>
      </c>
      <c r="F506" t="str">
        <f>IF($A506&lt;&gt;"",'All Cases - Enter Cases'!F506,"")</f>
        <v/>
      </c>
      <c r="G506" t="str">
        <f>IF($A506&lt;&gt;"",'All Cases - Enter Cases'!G506,"")</f>
        <v/>
      </c>
      <c r="H506" t="str">
        <f>IF($A506&lt;&gt;"",'All Cases - Enter Cases'!H506,"")</f>
        <v/>
      </c>
      <c r="I506" t="str">
        <f>IF($A506&lt;&gt;"",'All Cases - Enter Cases'!I506,"")</f>
        <v/>
      </c>
      <c r="J506" s="4" t="str">
        <f>IF($A506&lt;&gt;"",'All Cases - Enter Cases'!J506,"")</f>
        <v/>
      </c>
      <c r="K506" s="4" t="str">
        <f>IF($A506&lt;&gt;"",'All Cases - Enter Cases'!K506,"")</f>
        <v/>
      </c>
      <c r="L506" s="4" t="str">
        <f>IF($A506&lt;&gt;"",'All Cases - Enter Cases'!L506,"")</f>
        <v/>
      </c>
      <c r="M506" t="str">
        <f>IF($A506&lt;&gt;"",'All Cases - Enter Cases'!M506,"")</f>
        <v/>
      </c>
    </row>
    <row r="507" spans="1:13" x14ac:dyDescent="0.35">
      <c r="A507" s="4" t="str">
        <f>IF('All Cases - Enter Cases'!$F507="Punjab",'All Cases - Enter Cases'!A507,"")</f>
        <v/>
      </c>
      <c r="B507" t="str">
        <f>IF($A507&lt;&gt;"",'All Cases - Enter Cases'!B507,"")</f>
        <v/>
      </c>
      <c r="C507" t="str">
        <f>IF($A507&lt;&gt;"",'All Cases - Enter Cases'!C507,"")</f>
        <v/>
      </c>
      <c r="D507" t="str">
        <f>IF($A507&lt;&gt;"",'All Cases - Enter Cases'!D507,"")</f>
        <v/>
      </c>
      <c r="E507" t="str">
        <f>IF($A507&lt;&gt;"",'All Cases - Enter Cases'!E507,"")</f>
        <v/>
      </c>
      <c r="F507" t="str">
        <f>IF($A507&lt;&gt;"",'All Cases - Enter Cases'!F507,"")</f>
        <v/>
      </c>
      <c r="G507" t="str">
        <f>IF($A507&lt;&gt;"",'All Cases - Enter Cases'!G507,"")</f>
        <v/>
      </c>
      <c r="H507" t="str">
        <f>IF($A507&lt;&gt;"",'All Cases - Enter Cases'!H507,"")</f>
        <v/>
      </c>
      <c r="I507" t="str">
        <f>IF($A507&lt;&gt;"",'All Cases - Enter Cases'!I507,"")</f>
        <v/>
      </c>
      <c r="J507" s="4" t="str">
        <f>IF($A507&lt;&gt;"",'All Cases - Enter Cases'!J507,"")</f>
        <v/>
      </c>
      <c r="K507" s="4" t="str">
        <f>IF($A507&lt;&gt;"",'All Cases - Enter Cases'!K507,"")</f>
        <v/>
      </c>
      <c r="L507" s="4" t="str">
        <f>IF($A507&lt;&gt;"",'All Cases - Enter Cases'!L507,"")</f>
        <v/>
      </c>
      <c r="M507" t="str">
        <f>IF($A507&lt;&gt;"",'All Cases - Enter Cases'!M507,"")</f>
        <v/>
      </c>
    </row>
    <row r="508" spans="1:13" x14ac:dyDescent="0.35">
      <c r="A508" s="4" t="str">
        <f>IF('All Cases - Enter Cases'!$F508="Punjab",'All Cases - Enter Cases'!A508,"")</f>
        <v/>
      </c>
      <c r="B508" t="str">
        <f>IF($A508&lt;&gt;"",'All Cases - Enter Cases'!B508,"")</f>
        <v/>
      </c>
      <c r="C508" t="str">
        <f>IF($A508&lt;&gt;"",'All Cases - Enter Cases'!C508,"")</f>
        <v/>
      </c>
      <c r="D508" t="str">
        <f>IF($A508&lt;&gt;"",'All Cases - Enter Cases'!D508,"")</f>
        <v/>
      </c>
      <c r="E508" t="str">
        <f>IF($A508&lt;&gt;"",'All Cases - Enter Cases'!E508,"")</f>
        <v/>
      </c>
      <c r="F508" t="str">
        <f>IF($A508&lt;&gt;"",'All Cases - Enter Cases'!F508,"")</f>
        <v/>
      </c>
      <c r="G508" t="str">
        <f>IF($A508&lt;&gt;"",'All Cases - Enter Cases'!G508,"")</f>
        <v/>
      </c>
      <c r="H508" t="str">
        <f>IF($A508&lt;&gt;"",'All Cases - Enter Cases'!H508,"")</f>
        <v/>
      </c>
      <c r="I508" t="str">
        <f>IF($A508&lt;&gt;"",'All Cases - Enter Cases'!I508,"")</f>
        <v/>
      </c>
      <c r="J508" s="4" t="str">
        <f>IF($A508&lt;&gt;"",'All Cases - Enter Cases'!J508,"")</f>
        <v/>
      </c>
      <c r="K508" s="4" t="str">
        <f>IF($A508&lt;&gt;"",'All Cases - Enter Cases'!K508,"")</f>
        <v/>
      </c>
      <c r="L508" s="4" t="str">
        <f>IF($A508&lt;&gt;"",'All Cases - Enter Cases'!L508,"")</f>
        <v/>
      </c>
      <c r="M508" t="str">
        <f>IF($A508&lt;&gt;"",'All Cases - Enter Cases'!M508,"")</f>
        <v/>
      </c>
    </row>
    <row r="509" spans="1:13" x14ac:dyDescent="0.35">
      <c r="A509" s="4" t="str">
        <f>IF('All Cases - Enter Cases'!$F509="Punjab",'All Cases - Enter Cases'!A509,"")</f>
        <v/>
      </c>
      <c r="B509" t="str">
        <f>IF($A509&lt;&gt;"",'All Cases - Enter Cases'!B509,"")</f>
        <v/>
      </c>
      <c r="C509" t="str">
        <f>IF($A509&lt;&gt;"",'All Cases - Enter Cases'!C509,"")</f>
        <v/>
      </c>
      <c r="D509" t="str">
        <f>IF($A509&lt;&gt;"",'All Cases - Enter Cases'!D509,"")</f>
        <v/>
      </c>
      <c r="E509" t="str">
        <f>IF($A509&lt;&gt;"",'All Cases - Enter Cases'!E509,"")</f>
        <v/>
      </c>
      <c r="F509" t="str">
        <f>IF($A509&lt;&gt;"",'All Cases - Enter Cases'!F509,"")</f>
        <v/>
      </c>
      <c r="G509" t="str">
        <f>IF($A509&lt;&gt;"",'All Cases - Enter Cases'!G509,"")</f>
        <v/>
      </c>
      <c r="H509" t="str">
        <f>IF($A509&lt;&gt;"",'All Cases - Enter Cases'!H509,"")</f>
        <v/>
      </c>
      <c r="I509" t="str">
        <f>IF($A509&lt;&gt;"",'All Cases - Enter Cases'!I509,"")</f>
        <v/>
      </c>
      <c r="J509" s="4" t="str">
        <f>IF($A509&lt;&gt;"",'All Cases - Enter Cases'!J509,"")</f>
        <v/>
      </c>
      <c r="K509" s="4" t="str">
        <f>IF($A509&lt;&gt;"",'All Cases - Enter Cases'!K509,"")</f>
        <v/>
      </c>
      <c r="L509" s="4" t="str">
        <f>IF($A509&lt;&gt;"",'All Cases - Enter Cases'!L509,"")</f>
        <v/>
      </c>
      <c r="M509" t="str">
        <f>IF($A509&lt;&gt;"",'All Cases - Enter Cases'!M509,"")</f>
        <v/>
      </c>
    </row>
    <row r="510" spans="1:13" x14ac:dyDescent="0.35">
      <c r="A510" s="4" t="str">
        <f>IF('All Cases - Enter Cases'!$F510="Punjab",'All Cases - Enter Cases'!A510,"")</f>
        <v/>
      </c>
      <c r="B510" t="str">
        <f>IF($A510&lt;&gt;"",'All Cases - Enter Cases'!B510,"")</f>
        <v/>
      </c>
      <c r="C510" t="str">
        <f>IF($A510&lt;&gt;"",'All Cases - Enter Cases'!C510,"")</f>
        <v/>
      </c>
      <c r="D510" t="str">
        <f>IF($A510&lt;&gt;"",'All Cases - Enter Cases'!D510,"")</f>
        <v/>
      </c>
      <c r="E510" t="str">
        <f>IF($A510&lt;&gt;"",'All Cases - Enter Cases'!E510,"")</f>
        <v/>
      </c>
      <c r="F510" t="str">
        <f>IF($A510&lt;&gt;"",'All Cases - Enter Cases'!F510,"")</f>
        <v/>
      </c>
      <c r="G510" t="str">
        <f>IF($A510&lt;&gt;"",'All Cases - Enter Cases'!G510,"")</f>
        <v/>
      </c>
      <c r="H510" t="str">
        <f>IF($A510&lt;&gt;"",'All Cases - Enter Cases'!H510,"")</f>
        <v/>
      </c>
      <c r="I510" t="str">
        <f>IF($A510&lt;&gt;"",'All Cases - Enter Cases'!I510,"")</f>
        <v/>
      </c>
      <c r="J510" s="4" t="str">
        <f>IF($A510&lt;&gt;"",'All Cases - Enter Cases'!J510,"")</f>
        <v/>
      </c>
      <c r="K510" s="4" t="str">
        <f>IF($A510&lt;&gt;"",'All Cases - Enter Cases'!K510,"")</f>
        <v/>
      </c>
      <c r="L510" s="4" t="str">
        <f>IF($A510&lt;&gt;"",'All Cases - Enter Cases'!L510,"")</f>
        <v/>
      </c>
      <c r="M510" t="str">
        <f>IF($A510&lt;&gt;"",'All Cases - Enter Cases'!M510,"")</f>
        <v/>
      </c>
    </row>
    <row r="511" spans="1:13" x14ac:dyDescent="0.35">
      <c r="A511" s="4" t="str">
        <f>IF('All Cases - Enter Cases'!$F511="Punjab",'All Cases - Enter Cases'!A511,"")</f>
        <v/>
      </c>
      <c r="B511" t="str">
        <f>IF($A511&lt;&gt;"",'All Cases - Enter Cases'!B511,"")</f>
        <v/>
      </c>
      <c r="C511" t="str">
        <f>IF($A511&lt;&gt;"",'All Cases - Enter Cases'!C511,"")</f>
        <v/>
      </c>
      <c r="D511" t="str">
        <f>IF($A511&lt;&gt;"",'All Cases - Enter Cases'!D511,"")</f>
        <v/>
      </c>
      <c r="E511" t="str">
        <f>IF($A511&lt;&gt;"",'All Cases - Enter Cases'!E511,"")</f>
        <v/>
      </c>
      <c r="F511" t="str">
        <f>IF($A511&lt;&gt;"",'All Cases - Enter Cases'!F511,"")</f>
        <v/>
      </c>
      <c r="G511" t="str">
        <f>IF($A511&lt;&gt;"",'All Cases - Enter Cases'!G511,"")</f>
        <v/>
      </c>
      <c r="H511" t="str">
        <f>IF($A511&lt;&gt;"",'All Cases - Enter Cases'!H511,"")</f>
        <v/>
      </c>
      <c r="I511" t="str">
        <f>IF($A511&lt;&gt;"",'All Cases - Enter Cases'!I511,"")</f>
        <v/>
      </c>
      <c r="J511" s="4" t="str">
        <f>IF($A511&lt;&gt;"",'All Cases - Enter Cases'!J511,"")</f>
        <v/>
      </c>
      <c r="K511" s="4" t="str">
        <f>IF($A511&lt;&gt;"",'All Cases - Enter Cases'!K511,"")</f>
        <v/>
      </c>
      <c r="L511" s="4" t="str">
        <f>IF($A511&lt;&gt;"",'All Cases - Enter Cases'!L511,"")</f>
        <v/>
      </c>
      <c r="M511" t="str">
        <f>IF($A511&lt;&gt;"",'All Cases - Enter Cases'!M511,"")</f>
        <v/>
      </c>
    </row>
    <row r="512" spans="1:13" x14ac:dyDescent="0.35">
      <c r="A512" s="4" t="str">
        <f>IF('All Cases - Enter Cases'!$F512="Punjab",'All Cases - Enter Cases'!A512,"")</f>
        <v/>
      </c>
      <c r="B512" t="str">
        <f>IF($A512&lt;&gt;"",'All Cases - Enter Cases'!B512,"")</f>
        <v/>
      </c>
      <c r="C512" t="str">
        <f>IF($A512&lt;&gt;"",'All Cases - Enter Cases'!C512,"")</f>
        <v/>
      </c>
      <c r="D512" t="str">
        <f>IF($A512&lt;&gt;"",'All Cases - Enter Cases'!D512,"")</f>
        <v/>
      </c>
      <c r="E512" t="str">
        <f>IF($A512&lt;&gt;"",'All Cases - Enter Cases'!E512,"")</f>
        <v/>
      </c>
      <c r="F512" t="str">
        <f>IF($A512&lt;&gt;"",'All Cases - Enter Cases'!F512,"")</f>
        <v/>
      </c>
      <c r="G512" t="str">
        <f>IF($A512&lt;&gt;"",'All Cases - Enter Cases'!G512,"")</f>
        <v/>
      </c>
      <c r="H512" t="str">
        <f>IF($A512&lt;&gt;"",'All Cases - Enter Cases'!H512,"")</f>
        <v/>
      </c>
      <c r="I512" t="str">
        <f>IF($A512&lt;&gt;"",'All Cases - Enter Cases'!I512,"")</f>
        <v/>
      </c>
      <c r="J512" s="4" t="str">
        <f>IF($A512&lt;&gt;"",'All Cases - Enter Cases'!J512,"")</f>
        <v/>
      </c>
      <c r="K512" s="4" t="str">
        <f>IF($A512&lt;&gt;"",'All Cases - Enter Cases'!K512,"")</f>
        <v/>
      </c>
      <c r="L512" s="4" t="str">
        <f>IF($A512&lt;&gt;"",'All Cases - Enter Cases'!L512,"")</f>
        <v/>
      </c>
      <c r="M512" t="str">
        <f>IF($A512&lt;&gt;"",'All Cases - Enter Cases'!M512,"")</f>
        <v/>
      </c>
    </row>
    <row r="513" spans="1:13" x14ac:dyDescent="0.35">
      <c r="A513" s="4" t="str">
        <f>IF('All Cases - Enter Cases'!$F513="Punjab",'All Cases - Enter Cases'!A513,"")</f>
        <v/>
      </c>
      <c r="B513" t="str">
        <f>IF($A513&lt;&gt;"",'All Cases - Enter Cases'!B513,"")</f>
        <v/>
      </c>
      <c r="C513" t="str">
        <f>IF($A513&lt;&gt;"",'All Cases - Enter Cases'!C513,"")</f>
        <v/>
      </c>
      <c r="D513" t="str">
        <f>IF($A513&lt;&gt;"",'All Cases - Enter Cases'!D513,"")</f>
        <v/>
      </c>
      <c r="E513" t="str">
        <f>IF($A513&lt;&gt;"",'All Cases - Enter Cases'!E513,"")</f>
        <v/>
      </c>
      <c r="F513" t="str">
        <f>IF($A513&lt;&gt;"",'All Cases - Enter Cases'!F513,"")</f>
        <v/>
      </c>
      <c r="G513" t="str">
        <f>IF($A513&lt;&gt;"",'All Cases - Enter Cases'!G513,"")</f>
        <v/>
      </c>
      <c r="H513" t="str">
        <f>IF($A513&lt;&gt;"",'All Cases - Enter Cases'!H513,"")</f>
        <v/>
      </c>
      <c r="I513" t="str">
        <f>IF($A513&lt;&gt;"",'All Cases - Enter Cases'!I513,"")</f>
        <v/>
      </c>
      <c r="J513" s="4" t="str">
        <f>IF($A513&lt;&gt;"",'All Cases - Enter Cases'!J513,"")</f>
        <v/>
      </c>
      <c r="K513" s="4" t="str">
        <f>IF($A513&lt;&gt;"",'All Cases - Enter Cases'!K513,"")</f>
        <v/>
      </c>
      <c r="L513" s="4" t="str">
        <f>IF($A513&lt;&gt;"",'All Cases - Enter Cases'!L513,"")</f>
        <v/>
      </c>
      <c r="M513" t="str">
        <f>IF($A513&lt;&gt;"",'All Cases - Enter Cases'!M513,"")</f>
        <v/>
      </c>
    </row>
    <row r="514" spans="1:13" x14ac:dyDescent="0.35">
      <c r="A514" s="4" t="str">
        <f>IF('All Cases - Enter Cases'!$F514="Punjab",'All Cases - Enter Cases'!A514,"")</f>
        <v/>
      </c>
      <c r="B514" t="str">
        <f>IF($A514&lt;&gt;"",'All Cases - Enter Cases'!B514,"")</f>
        <v/>
      </c>
      <c r="C514" t="str">
        <f>IF($A514&lt;&gt;"",'All Cases - Enter Cases'!C514,"")</f>
        <v/>
      </c>
      <c r="D514" t="str">
        <f>IF($A514&lt;&gt;"",'All Cases - Enter Cases'!D514,"")</f>
        <v/>
      </c>
      <c r="E514" t="str">
        <f>IF($A514&lt;&gt;"",'All Cases - Enter Cases'!E514,"")</f>
        <v/>
      </c>
      <c r="F514" t="str">
        <f>IF($A514&lt;&gt;"",'All Cases - Enter Cases'!F514,"")</f>
        <v/>
      </c>
      <c r="G514" t="str">
        <f>IF($A514&lt;&gt;"",'All Cases - Enter Cases'!G514,"")</f>
        <v/>
      </c>
      <c r="H514" t="str">
        <f>IF($A514&lt;&gt;"",'All Cases - Enter Cases'!H514,"")</f>
        <v/>
      </c>
      <c r="I514" t="str">
        <f>IF($A514&lt;&gt;"",'All Cases - Enter Cases'!I514,"")</f>
        <v/>
      </c>
      <c r="J514" s="4" t="str">
        <f>IF($A514&lt;&gt;"",'All Cases - Enter Cases'!J514,"")</f>
        <v/>
      </c>
      <c r="K514" s="4" t="str">
        <f>IF($A514&lt;&gt;"",'All Cases - Enter Cases'!K514,"")</f>
        <v/>
      </c>
      <c r="L514" s="4" t="str">
        <f>IF($A514&lt;&gt;"",'All Cases - Enter Cases'!L514,"")</f>
        <v/>
      </c>
      <c r="M514" t="str">
        <f>IF($A514&lt;&gt;"",'All Cases - Enter Cases'!M514,"")</f>
        <v/>
      </c>
    </row>
    <row r="515" spans="1:13" x14ac:dyDescent="0.35">
      <c r="A515" s="4" t="str">
        <f>IF('All Cases - Enter Cases'!$F515="Punjab",'All Cases - Enter Cases'!A515,"")</f>
        <v/>
      </c>
      <c r="B515" t="str">
        <f>IF($A515&lt;&gt;"",'All Cases - Enter Cases'!B515,"")</f>
        <v/>
      </c>
      <c r="C515" t="str">
        <f>IF($A515&lt;&gt;"",'All Cases - Enter Cases'!C515,"")</f>
        <v/>
      </c>
      <c r="D515" t="str">
        <f>IF($A515&lt;&gt;"",'All Cases - Enter Cases'!D515,"")</f>
        <v/>
      </c>
      <c r="E515" t="str">
        <f>IF($A515&lt;&gt;"",'All Cases - Enter Cases'!E515,"")</f>
        <v/>
      </c>
      <c r="F515" t="str">
        <f>IF($A515&lt;&gt;"",'All Cases - Enter Cases'!F515,"")</f>
        <v/>
      </c>
      <c r="G515" t="str">
        <f>IF($A515&lt;&gt;"",'All Cases - Enter Cases'!G515,"")</f>
        <v/>
      </c>
      <c r="H515" t="str">
        <f>IF($A515&lt;&gt;"",'All Cases - Enter Cases'!H515,"")</f>
        <v/>
      </c>
      <c r="I515" t="str">
        <f>IF($A515&lt;&gt;"",'All Cases - Enter Cases'!I515,"")</f>
        <v/>
      </c>
      <c r="J515" s="4" t="str">
        <f>IF($A515&lt;&gt;"",'All Cases - Enter Cases'!J515,"")</f>
        <v/>
      </c>
      <c r="K515" s="4" t="str">
        <f>IF($A515&lt;&gt;"",'All Cases - Enter Cases'!K515,"")</f>
        <v/>
      </c>
      <c r="L515" s="4" t="str">
        <f>IF($A515&lt;&gt;"",'All Cases - Enter Cases'!L515,"")</f>
        <v/>
      </c>
      <c r="M515" t="str">
        <f>IF($A515&lt;&gt;"",'All Cases - Enter Cases'!M515,"")</f>
        <v/>
      </c>
    </row>
    <row r="516" spans="1:13" x14ac:dyDescent="0.35">
      <c r="A516" s="4" t="str">
        <f>IF('All Cases - Enter Cases'!$F516="Punjab",'All Cases - Enter Cases'!A516,"")</f>
        <v/>
      </c>
      <c r="B516" t="str">
        <f>IF($A516&lt;&gt;"",'All Cases - Enter Cases'!B516,"")</f>
        <v/>
      </c>
      <c r="C516" t="str">
        <f>IF($A516&lt;&gt;"",'All Cases - Enter Cases'!C516,"")</f>
        <v/>
      </c>
      <c r="D516" t="str">
        <f>IF($A516&lt;&gt;"",'All Cases - Enter Cases'!D516,"")</f>
        <v/>
      </c>
      <c r="E516" t="str">
        <f>IF($A516&lt;&gt;"",'All Cases - Enter Cases'!E516,"")</f>
        <v/>
      </c>
      <c r="F516" t="str">
        <f>IF($A516&lt;&gt;"",'All Cases - Enter Cases'!F516,"")</f>
        <v/>
      </c>
      <c r="G516" t="str">
        <f>IF($A516&lt;&gt;"",'All Cases - Enter Cases'!G516,"")</f>
        <v/>
      </c>
      <c r="H516" t="str">
        <f>IF($A516&lt;&gt;"",'All Cases - Enter Cases'!H516,"")</f>
        <v/>
      </c>
      <c r="I516" t="str">
        <f>IF($A516&lt;&gt;"",'All Cases - Enter Cases'!I516,"")</f>
        <v/>
      </c>
      <c r="J516" s="4" t="str">
        <f>IF($A516&lt;&gt;"",'All Cases - Enter Cases'!J516,"")</f>
        <v/>
      </c>
      <c r="K516" s="4" t="str">
        <f>IF($A516&lt;&gt;"",'All Cases - Enter Cases'!K516,"")</f>
        <v/>
      </c>
      <c r="L516" s="4" t="str">
        <f>IF($A516&lt;&gt;"",'All Cases - Enter Cases'!L516,"")</f>
        <v/>
      </c>
      <c r="M516" t="str">
        <f>IF($A516&lt;&gt;"",'All Cases - Enter Cases'!M516,"")</f>
        <v/>
      </c>
    </row>
    <row r="517" spans="1:13" x14ac:dyDescent="0.35">
      <c r="A517" s="4" t="str">
        <f>IF('All Cases - Enter Cases'!$F517="Punjab",'All Cases - Enter Cases'!A517,"")</f>
        <v/>
      </c>
      <c r="B517" t="str">
        <f>IF($A517&lt;&gt;"",'All Cases - Enter Cases'!B517,"")</f>
        <v/>
      </c>
      <c r="C517" t="str">
        <f>IF($A517&lt;&gt;"",'All Cases - Enter Cases'!C517,"")</f>
        <v/>
      </c>
      <c r="D517" t="str">
        <f>IF($A517&lt;&gt;"",'All Cases - Enter Cases'!D517,"")</f>
        <v/>
      </c>
      <c r="E517" t="str">
        <f>IF($A517&lt;&gt;"",'All Cases - Enter Cases'!E517,"")</f>
        <v/>
      </c>
      <c r="F517" t="str">
        <f>IF($A517&lt;&gt;"",'All Cases - Enter Cases'!F517,"")</f>
        <v/>
      </c>
      <c r="G517" t="str">
        <f>IF($A517&lt;&gt;"",'All Cases - Enter Cases'!G517,"")</f>
        <v/>
      </c>
      <c r="H517" t="str">
        <f>IF($A517&lt;&gt;"",'All Cases - Enter Cases'!H517,"")</f>
        <v/>
      </c>
      <c r="I517" t="str">
        <f>IF($A517&lt;&gt;"",'All Cases - Enter Cases'!I517,"")</f>
        <v/>
      </c>
      <c r="J517" s="4" t="str">
        <f>IF($A517&lt;&gt;"",'All Cases - Enter Cases'!J517,"")</f>
        <v/>
      </c>
      <c r="K517" s="4" t="str">
        <f>IF($A517&lt;&gt;"",'All Cases - Enter Cases'!K517,"")</f>
        <v/>
      </c>
      <c r="L517" s="4" t="str">
        <f>IF($A517&lt;&gt;"",'All Cases - Enter Cases'!L517,"")</f>
        <v/>
      </c>
      <c r="M517" t="str">
        <f>IF($A517&lt;&gt;"",'All Cases - Enter Cases'!M517,"")</f>
        <v/>
      </c>
    </row>
    <row r="518" spans="1:13" x14ac:dyDescent="0.35">
      <c r="A518" s="4" t="str">
        <f>IF('All Cases - Enter Cases'!$F518="Punjab",'All Cases - Enter Cases'!A518,"")</f>
        <v/>
      </c>
      <c r="B518" t="str">
        <f>IF($A518&lt;&gt;"",'All Cases - Enter Cases'!B518,"")</f>
        <v/>
      </c>
      <c r="C518" t="str">
        <f>IF($A518&lt;&gt;"",'All Cases - Enter Cases'!C518,"")</f>
        <v/>
      </c>
      <c r="D518" t="str">
        <f>IF($A518&lt;&gt;"",'All Cases - Enter Cases'!D518,"")</f>
        <v/>
      </c>
      <c r="E518" t="str">
        <f>IF($A518&lt;&gt;"",'All Cases - Enter Cases'!E518,"")</f>
        <v/>
      </c>
      <c r="F518" t="str">
        <f>IF($A518&lt;&gt;"",'All Cases - Enter Cases'!F518,"")</f>
        <v/>
      </c>
      <c r="G518" t="str">
        <f>IF($A518&lt;&gt;"",'All Cases - Enter Cases'!G518,"")</f>
        <v/>
      </c>
      <c r="H518" t="str">
        <f>IF($A518&lt;&gt;"",'All Cases - Enter Cases'!H518,"")</f>
        <v/>
      </c>
      <c r="I518" t="str">
        <f>IF($A518&lt;&gt;"",'All Cases - Enter Cases'!I518,"")</f>
        <v/>
      </c>
      <c r="J518" s="4" t="str">
        <f>IF($A518&lt;&gt;"",'All Cases - Enter Cases'!J518,"")</f>
        <v/>
      </c>
      <c r="K518" s="4" t="str">
        <f>IF($A518&lt;&gt;"",'All Cases - Enter Cases'!K518,"")</f>
        <v/>
      </c>
      <c r="L518" s="4" t="str">
        <f>IF($A518&lt;&gt;"",'All Cases - Enter Cases'!L518,"")</f>
        <v/>
      </c>
      <c r="M518" t="str">
        <f>IF($A518&lt;&gt;"",'All Cases - Enter Cases'!M518,"")</f>
        <v/>
      </c>
    </row>
    <row r="519" spans="1:13" x14ac:dyDescent="0.35">
      <c r="A519" s="4" t="str">
        <f>IF('All Cases - Enter Cases'!$F519="Punjab",'All Cases - Enter Cases'!A519,"")</f>
        <v/>
      </c>
      <c r="B519" t="str">
        <f>IF($A519&lt;&gt;"",'All Cases - Enter Cases'!B519,"")</f>
        <v/>
      </c>
      <c r="C519" t="str">
        <f>IF($A519&lt;&gt;"",'All Cases - Enter Cases'!C519,"")</f>
        <v/>
      </c>
      <c r="D519" t="str">
        <f>IF($A519&lt;&gt;"",'All Cases - Enter Cases'!D519,"")</f>
        <v/>
      </c>
      <c r="E519" t="str">
        <f>IF($A519&lt;&gt;"",'All Cases - Enter Cases'!E519,"")</f>
        <v/>
      </c>
      <c r="F519" t="str">
        <f>IF($A519&lt;&gt;"",'All Cases - Enter Cases'!F519,"")</f>
        <v/>
      </c>
      <c r="G519" t="str">
        <f>IF($A519&lt;&gt;"",'All Cases - Enter Cases'!G519,"")</f>
        <v/>
      </c>
      <c r="H519" t="str">
        <f>IF($A519&lt;&gt;"",'All Cases - Enter Cases'!H519,"")</f>
        <v/>
      </c>
      <c r="I519" t="str">
        <f>IF($A519&lt;&gt;"",'All Cases - Enter Cases'!I519,"")</f>
        <v/>
      </c>
      <c r="J519" s="4" t="str">
        <f>IF($A519&lt;&gt;"",'All Cases - Enter Cases'!J519,"")</f>
        <v/>
      </c>
      <c r="K519" s="4" t="str">
        <f>IF($A519&lt;&gt;"",'All Cases - Enter Cases'!K519,"")</f>
        <v/>
      </c>
      <c r="L519" s="4" t="str">
        <f>IF($A519&lt;&gt;"",'All Cases - Enter Cases'!L519,"")</f>
        <v/>
      </c>
      <c r="M519" t="str">
        <f>IF($A519&lt;&gt;"",'All Cases - Enter Cases'!M519,"")</f>
        <v/>
      </c>
    </row>
    <row r="520" spans="1:13" x14ac:dyDescent="0.35">
      <c r="A520" s="4" t="str">
        <f>IF('All Cases - Enter Cases'!$F520="Punjab",'All Cases - Enter Cases'!A520,"")</f>
        <v/>
      </c>
      <c r="B520" t="str">
        <f>IF($A520&lt;&gt;"",'All Cases - Enter Cases'!B520,"")</f>
        <v/>
      </c>
      <c r="C520" t="str">
        <f>IF($A520&lt;&gt;"",'All Cases - Enter Cases'!C520,"")</f>
        <v/>
      </c>
      <c r="D520" t="str">
        <f>IF($A520&lt;&gt;"",'All Cases - Enter Cases'!D520,"")</f>
        <v/>
      </c>
      <c r="E520" t="str">
        <f>IF($A520&lt;&gt;"",'All Cases - Enter Cases'!E520,"")</f>
        <v/>
      </c>
      <c r="F520" t="str">
        <f>IF($A520&lt;&gt;"",'All Cases - Enter Cases'!F520,"")</f>
        <v/>
      </c>
      <c r="G520" t="str">
        <f>IF($A520&lt;&gt;"",'All Cases - Enter Cases'!G520,"")</f>
        <v/>
      </c>
      <c r="H520" t="str">
        <f>IF($A520&lt;&gt;"",'All Cases - Enter Cases'!H520,"")</f>
        <v/>
      </c>
      <c r="I520" t="str">
        <f>IF($A520&lt;&gt;"",'All Cases - Enter Cases'!I520,"")</f>
        <v/>
      </c>
      <c r="J520" s="4" t="str">
        <f>IF($A520&lt;&gt;"",'All Cases - Enter Cases'!J520,"")</f>
        <v/>
      </c>
      <c r="K520" s="4" t="str">
        <f>IF($A520&lt;&gt;"",'All Cases - Enter Cases'!K520,"")</f>
        <v/>
      </c>
      <c r="L520" s="4" t="str">
        <f>IF($A520&lt;&gt;"",'All Cases - Enter Cases'!L520,"")</f>
        <v/>
      </c>
      <c r="M520" t="str">
        <f>IF($A520&lt;&gt;"",'All Cases - Enter Cases'!M520,"")</f>
        <v/>
      </c>
    </row>
    <row r="521" spans="1:13" x14ac:dyDescent="0.35">
      <c r="A521" s="4" t="str">
        <f>IF('All Cases - Enter Cases'!$F521="Punjab",'All Cases - Enter Cases'!A521,"")</f>
        <v/>
      </c>
      <c r="B521" t="str">
        <f>IF($A521&lt;&gt;"",'All Cases - Enter Cases'!B521,"")</f>
        <v/>
      </c>
      <c r="C521" t="str">
        <f>IF($A521&lt;&gt;"",'All Cases - Enter Cases'!C521,"")</f>
        <v/>
      </c>
      <c r="D521" t="str">
        <f>IF($A521&lt;&gt;"",'All Cases - Enter Cases'!D521,"")</f>
        <v/>
      </c>
      <c r="E521" t="str">
        <f>IF($A521&lt;&gt;"",'All Cases - Enter Cases'!E521,"")</f>
        <v/>
      </c>
      <c r="F521" t="str">
        <f>IF($A521&lt;&gt;"",'All Cases - Enter Cases'!F521,"")</f>
        <v/>
      </c>
      <c r="G521" t="str">
        <f>IF($A521&lt;&gt;"",'All Cases - Enter Cases'!G521,"")</f>
        <v/>
      </c>
      <c r="H521" t="str">
        <f>IF($A521&lt;&gt;"",'All Cases - Enter Cases'!H521,"")</f>
        <v/>
      </c>
      <c r="I521" t="str">
        <f>IF($A521&lt;&gt;"",'All Cases - Enter Cases'!I521,"")</f>
        <v/>
      </c>
      <c r="J521" s="4" t="str">
        <f>IF($A521&lt;&gt;"",'All Cases - Enter Cases'!J521,"")</f>
        <v/>
      </c>
      <c r="K521" s="4" t="str">
        <f>IF($A521&lt;&gt;"",'All Cases - Enter Cases'!K521,"")</f>
        <v/>
      </c>
      <c r="L521" s="4" t="str">
        <f>IF($A521&lt;&gt;"",'All Cases - Enter Cases'!L521,"")</f>
        <v/>
      </c>
      <c r="M521" t="str">
        <f>IF($A521&lt;&gt;"",'All Cases - Enter Cases'!M521,"")</f>
        <v/>
      </c>
    </row>
    <row r="522" spans="1:13" x14ac:dyDescent="0.35">
      <c r="A522" s="4" t="str">
        <f>IF('All Cases - Enter Cases'!$F522="Punjab",'All Cases - Enter Cases'!A522,"")</f>
        <v/>
      </c>
      <c r="B522" t="str">
        <f>IF($A522&lt;&gt;"",'All Cases - Enter Cases'!B522,"")</f>
        <v/>
      </c>
      <c r="C522" t="str">
        <f>IF($A522&lt;&gt;"",'All Cases - Enter Cases'!C522,"")</f>
        <v/>
      </c>
      <c r="D522" t="str">
        <f>IF($A522&lt;&gt;"",'All Cases - Enter Cases'!D522,"")</f>
        <v/>
      </c>
      <c r="E522" t="str">
        <f>IF($A522&lt;&gt;"",'All Cases - Enter Cases'!E522,"")</f>
        <v/>
      </c>
      <c r="F522" t="str">
        <f>IF($A522&lt;&gt;"",'All Cases - Enter Cases'!F522,"")</f>
        <v/>
      </c>
      <c r="G522" t="str">
        <f>IF($A522&lt;&gt;"",'All Cases - Enter Cases'!G522,"")</f>
        <v/>
      </c>
      <c r="H522" t="str">
        <f>IF($A522&lt;&gt;"",'All Cases - Enter Cases'!H522,"")</f>
        <v/>
      </c>
      <c r="I522" t="str">
        <f>IF($A522&lt;&gt;"",'All Cases - Enter Cases'!I522,"")</f>
        <v/>
      </c>
      <c r="J522" s="4" t="str">
        <f>IF($A522&lt;&gt;"",'All Cases - Enter Cases'!J522,"")</f>
        <v/>
      </c>
      <c r="K522" s="4" t="str">
        <f>IF($A522&lt;&gt;"",'All Cases - Enter Cases'!K522,"")</f>
        <v/>
      </c>
      <c r="L522" s="4" t="str">
        <f>IF($A522&lt;&gt;"",'All Cases - Enter Cases'!L522,"")</f>
        <v/>
      </c>
      <c r="M522" t="str">
        <f>IF($A522&lt;&gt;"",'All Cases - Enter Cases'!M522,"")</f>
        <v/>
      </c>
    </row>
    <row r="523" spans="1:13" x14ac:dyDescent="0.35">
      <c r="A523" s="4" t="str">
        <f>IF('All Cases - Enter Cases'!$F523="Punjab",'All Cases - Enter Cases'!A523,"")</f>
        <v/>
      </c>
      <c r="B523" t="str">
        <f>IF($A523&lt;&gt;"",'All Cases - Enter Cases'!B523,"")</f>
        <v/>
      </c>
      <c r="C523" t="str">
        <f>IF($A523&lt;&gt;"",'All Cases - Enter Cases'!C523,"")</f>
        <v/>
      </c>
      <c r="D523" t="str">
        <f>IF($A523&lt;&gt;"",'All Cases - Enter Cases'!D523,"")</f>
        <v/>
      </c>
      <c r="E523" t="str">
        <f>IF($A523&lt;&gt;"",'All Cases - Enter Cases'!E523,"")</f>
        <v/>
      </c>
      <c r="F523" t="str">
        <f>IF($A523&lt;&gt;"",'All Cases - Enter Cases'!F523,"")</f>
        <v/>
      </c>
      <c r="G523" t="str">
        <f>IF($A523&lt;&gt;"",'All Cases - Enter Cases'!G523,"")</f>
        <v/>
      </c>
      <c r="H523" t="str">
        <f>IF($A523&lt;&gt;"",'All Cases - Enter Cases'!H523,"")</f>
        <v/>
      </c>
      <c r="I523" t="str">
        <f>IF($A523&lt;&gt;"",'All Cases - Enter Cases'!I523,"")</f>
        <v/>
      </c>
      <c r="J523" s="4" t="str">
        <f>IF($A523&lt;&gt;"",'All Cases - Enter Cases'!J523,"")</f>
        <v/>
      </c>
      <c r="K523" s="4" t="str">
        <f>IF($A523&lt;&gt;"",'All Cases - Enter Cases'!K523,"")</f>
        <v/>
      </c>
      <c r="L523" s="4" t="str">
        <f>IF($A523&lt;&gt;"",'All Cases - Enter Cases'!L523,"")</f>
        <v/>
      </c>
      <c r="M523" t="str">
        <f>IF($A523&lt;&gt;"",'All Cases - Enter Cases'!M523,"")</f>
        <v/>
      </c>
    </row>
    <row r="524" spans="1:13" x14ac:dyDescent="0.35">
      <c r="A524" s="4" t="str">
        <f>IF('All Cases - Enter Cases'!$F524="Punjab",'All Cases - Enter Cases'!A524,"")</f>
        <v/>
      </c>
      <c r="B524" t="str">
        <f>IF($A524&lt;&gt;"",'All Cases - Enter Cases'!B524,"")</f>
        <v/>
      </c>
      <c r="C524" t="str">
        <f>IF($A524&lt;&gt;"",'All Cases - Enter Cases'!C524,"")</f>
        <v/>
      </c>
      <c r="D524" t="str">
        <f>IF($A524&lt;&gt;"",'All Cases - Enter Cases'!D524,"")</f>
        <v/>
      </c>
      <c r="E524" t="str">
        <f>IF($A524&lt;&gt;"",'All Cases - Enter Cases'!E524,"")</f>
        <v/>
      </c>
      <c r="F524" t="str">
        <f>IF($A524&lt;&gt;"",'All Cases - Enter Cases'!F524,"")</f>
        <v/>
      </c>
      <c r="G524" t="str">
        <f>IF($A524&lt;&gt;"",'All Cases - Enter Cases'!G524,"")</f>
        <v/>
      </c>
      <c r="H524" t="str">
        <f>IF($A524&lt;&gt;"",'All Cases - Enter Cases'!H524,"")</f>
        <v/>
      </c>
      <c r="I524" t="str">
        <f>IF($A524&lt;&gt;"",'All Cases - Enter Cases'!I524,"")</f>
        <v/>
      </c>
      <c r="J524" s="4" t="str">
        <f>IF($A524&lt;&gt;"",'All Cases - Enter Cases'!J524,"")</f>
        <v/>
      </c>
      <c r="K524" s="4" t="str">
        <f>IF($A524&lt;&gt;"",'All Cases - Enter Cases'!K524,"")</f>
        <v/>
      </c>
      <c r="L524" s="4" t="str">
        <f>IF($A524&lt;&gt;"",'All Cases - Enter Cases'!L524,"")</f>
        <v/>
      </c>
      <c r="M524" t="str">
        <f>IF($A524&lt;&gt;"",'All Cases - Enter Cases'!M524,"")</f>
        <v/>
      </c>
    </row>
    <row r="525" spans="1:13" x14ac:dyDescent="0.35">
      <c r="A525" s="4" t="str">
        <f>IF('All Cases - Enter Cases'!$F525="Punjab",'All Cases - Enter Cases'!A525,"")</f>
        <v/>
      </c>
      <c r="B525" t="str">
        <f>IF($A525&lt;&gt;"",'All Cases - Enter Cases'!B525,"")</f>
        <v/>
      </c>
      <c r="C525" t="str">
        <f>IF($A525&lt;&gt;"",'All Cases - Enter Cases'!C525,"")</f>
        <v/>
      </c>
      <c r="D525" t="str">
        <f>IF($A525&lt;&gt;"",'All Cases - Enter Cases'!D525,"")</f>
        <v/>
      </c>
      <c r="E525" t="str">
        <f>IF($A525&lt;&gt;"",'All Cases - Enter Cases'!E525,"")</f>
        <v/>
      </c>
      <c r="F525" t="str">
        <f>IF($A525&lt;&gt;"",'All Cases - Enter Cases'!F525,"")</f>
        <v/>
      </c>
      <c r="G525" t="str">
        <f>IF($A525&lt;&gt;"",'All Cases - Enter Cases'!G525,"")</f>
        <v/>
      </c>
      <c r="H525" t="str">
        <f>IF($A525&lt;&gt;"",'All Cases - Enter Cases'!H525,"")</f>
        <v/>
      </c>
      <c r="I525" t="str">
        <f>IF($A525&lt;&gt;"",'All Cases - Enter Cases'!I525,"")</f>
        <v/>
      </c>
      <c r="J525" s="4" t="str">
        <f>IF($A525&lt;&gt;"",'All Cases - Enter Cases'!J525,"")</f>
        <v/>
      </c>
      <c r="K525" s="4" t="str">
        <f>IF($A525&lt;&gt;"",'All Cases - Enter Cases'!K525,"")</f>
        <v/>
      </c>
      <c r="L525" s="4" t="str">
        <f>IF($A525&lt;&gt;"",'All Cases - Enter Cases'!L525,"")</f>
        <v/>
      </c>
      <c r="M525" t="str">
        <f>IF($A525&lt;&gt;"",'All Cases - Enter Cases'!M525,"")</f>
        <v/>
      </c>
    </row>
    <row r="526" spans="1:13" x14ac:dyDescent="0.35">
      <c r="A526" s="4" t="str">
        <f>IF('All Cases - Enter Cases'!$F526="Punjab",'All Cases - Enter Cases'!A526,"")</f>
        <v/>
      </c>
      <c r="B526" t="str">
        <f>IF($A526&lt;&gt;"",'All Cases - Enter Cases'!B526,"")</f>
        <v/>
      </c>
      <c r="C526" t="str">
        <f>IF($A526&lt;&gt;"",'All Cases - Enter Cases'!C526,"")</f>
        <v/>
      </c>
      <c r="D526" t="str">
        <f>IF($A526&lt;&gt;"",'All Cases - Enter Cases'!D526,"")</f>
        <v/>
      </c>
      <c r="E526" t="str">
        <f>IF($A526&lt;&gt;"",'All Cases - Enter Cases'!E526,"")</f>
        <v/>
      </c>
      <c r="F526" t="str">
        <f>IF($A526&lt;&gt;"",'All Cases - Enter Cases'!F526,"")</f>
        <v/>
      </c>
      <c r="G526" t="str">
        <f>IF($A526&lt;&gt;"",'All Cases - Enter Cases'!G526,"")</f>
        <v/>
      </c>
      <c r="H526" t="str">
        <f>IF($A526&lt;&gt;"",'All Cases - Enter Cases'!H526,"")</f>
        <v/>
      </c>
      <c r="I526" t="str">
        <f>IF($A526&lt;&gt;"",'All Cases - Enter Cases'!I526,"")</f>
        <v/>
      </c>
      <c r="J526" s="4" t="str">
        <f>IF($A526&lt;&gt;"",'All Cases - Enter Cases'!J526,"")</f>
        <v/>
      </c>
      <c r="K526" s="4" t="str">
        <f>IF($A526&lt;&gt;"",'All Cases - Enter Cases'!K526,"")</f>
        <v/>
      </c>
      <c r="L526" s="4" t="str">
        <f>IF($A526&lt;&gt;"",'All Cases - Enter Cases'!L526,"")</f>
        <v/>
      </c>
      <c r="M526" t="str">
        <f>IF($A526&lt;&gt;"",'All Cases - Enter Cases'!M526,"")</f>
        <v/>
      </c>
    </row>
    <row r="527" spans="1:13" x14ac:dyDescent="0.35">
      <c r="A527" s="4" t="str">
        <f>IF('All Cases - Enter Cases'!$F527="Punjab",'All Cases - Enter Cases'!A527,"")</f>
        <v/>
      </c>
      <c r="B527" t="str">
        <f>IF($A527&lt;&gt;"",'All Cases - Enter Cases'!B527,"")</f>
        <v/>
      </c>
      <c r="C527" t="str">
        <f>IF($A527&lt;&gt;"",'All Cases - Enter Cases'!C527,"")</f>
        <v/>
      </c>
      <c r="D527" t="str">
        <f>IF($A527&lt;&gt;"",'All Cases - Enter Cases'!D527,"")</f>
        <v/>
      </c>
      <c r="E527" t="str">
        <f>IF($A527&lt;&gt;"",'All Cases - Enter Cases'!E527,"")</f>
        <v/>
      </c>
      <c r="F527" t="str">
        <f>IF($A527&lt;&gt;"",'All Cases - Enter Cases'!F527,"")</f>
        <v/>
      </c>
      <c r="G527" t="str">
        <f>IF($A527&lt;&gt;"",'All Cases - Enter Cases'!G527,"")</f>
        <v/>
      </c>
      <c r="H527" t="str">
        <f>IF($A527&lt;&gt;"",'All Cases - Enter Cases'!H527,"")</f>
        <v/>
      </c>
      <c r="I527" t="str">
        <f>IF($A527&lt;&gt;"",'All Cases - Enter Cases'!I527,"")</f>
        <v/>
      </c>
      <c r="J527" s="4" t="str">
        <f>IF($A527&lt;&gt;"",'All Cases - Enter Cases'!J527,"")</f>
        <v/>
      </c>
      <c r="K527" s="4" t="str">
        <f>IF($A527&lt;&gt;"",'All Cases - Enter Cases'!K527,"")</f>
        <v/>
      </c>
      <c r="L527" s="4" t="str">
        <f>IF($A527&lt;&gt;"",'All Cases - Enter Cases'!L527,"")</f>
        <v/>
      </c>
      <c r="M527" t="str">
        <f>IF($A527&lt;&gt;"",'All Cases - Enter Cases'!M527,"")</f>
        <v/>
      </c>
    </row>
    <row r="528" spans="1:13" x14ac:dyDescent="0.35">
      <c r="A528" s="4" t="str">
        <f>IF('All Cases - Enter Cases'!$F528="Punjab",'All Cases - Enter Cases'!A528,"")</f>
        <v/>
      </c>
      <c r="B528" t="str">
        <f>IF($A528&lt;&gt;"",'All Cases - Enter Cases'!B528,"")</f>
        <v/>
      </c>
      <c r="C528" t="str">
        <f>IF($A528&lt;&gt;"",'All Cases - Enter Cases'!C528,"")</f>
        <v/>
      </c>
      <c r="D528" t="str">
        <f>IF($A528&lt;&gt;"",'All Cases - Enter Cases'!D528,"")</f>
        <v/>
      </c>
      <c r="E528" t="str">
        <f>IF($A528&lt;&gt;"",'All Cases - Enter Cases'!E528,"")</f>
        <v/>
      </c>
      <c r="F528" t="str">
        <f>IF($A528&lt;&gt;"",'All Cases - Enter Cases'!F528,"")</f>
        <v/>
      </c>
      <c r="G528" t="str">
        <f>IF($A528&lt;&gt;"",'All Cases - Enter Cases'!G528,"")</f>
        <v/>
      </c>
      <c r="H528" t="str">
        <f>IF($A528&lt;&gt;"",'All Cases - Enter Cases'!H528,"")</f>
        <v/>
      </c>
      <c r="I528" t="str">
        <f>IF($A528&lt;&gt;"",'All Cases - Enter Cases'!I528,"")</f>
        <v/>
      </c>
      <c r="J528" s="4" t="str">
        <f>IF($A528&lt;&gt;"",'All Cases - Enter Cases'!J528,"")</f>
        <v/>
      </c>
      <c r="K528" s="4" t="str">
        <f>IF($A528&lt;&gt;"",'All Cases - Enter Cases'!K528,"")</f>
        <v/>
      </c>
      <c r="L528" s="4" t="str">
        <f>IF($A528&lt;&gt;"",'All Cases - Enter Cases'!L528,"")</f>
        <v/>
      </c>
      <c r="M528" t="str">
        <f>IF($A528&lt;&gt;"",'All Cases - Enter Cases'!M528,"")</f>
        <v/>
      </c>
    </row>
    <row r="529" spans="1:13" x14ac:dyDescent="0.35">
      <c r="A529" s="4" t="str">
        <f>IF('All Cases - Enter Cases'!$F529="Punjab",'All Cases - Enter Cases'!A529,"")</f>
        <v/>
      </c>
      <c r="B529" t="str">
        <f>IF($A529&lt;&gt;"",'All Cases - Enter Cases'!B529,"")</f>
        <v/>
      </c>
      <c r="C529" t="str">
        <f>IF($A529&lt;&gt;"",'All Cases - Enter Cases'!C529,"")</f>
        <v/>
      </c>
      <c r="D529" t="str">
        <f>IF($A529&lt;&gt;"",'All Cases - Enter Cases'!D529,"")</f>
        <v/>
      </c>
      <c r="E529" t="str">
        <f>IF($A529&lt;&gt;"",'All Cases - Enter Cases'!E529,"")</f>
        <v/>
      </c>
      <c r="F529" t="str">
        <f>IF($A529&lt;&gt;"",'All Cases - Enter Cases'!F529,"")</f>
        <v/>
      </c>
      <c r="G529" t="str">
        <f>IF($A529&lt;&gt;"",'All Cases - Enter Cases'!G529,"")</f>
        <v/>
      </c>
      <c r="H529" t="str">
        <f>IF($A529&lt;&gt;"",'All Cases - Enter Cases'!H529,"")</f>
        <v/>
      </c>
      <c r="I529" t="str">
        <f>IF($A529&lt;&gt;"",'All Cases - Enter Cases'!I529,"")</f>
        <v/>
      </c>
      <c r="J529" s="4" t="str">
        <f>IF($A529&lt;&gt;"",'All Cases - Enter Cases'!J529,"")</f>
        <v/>
      </c>
      <c r="K529" s="4" t="str">
        <f>IF($A529&lt;&gt;"",'All Cases - Enter Cases'!K529,"")</f>
        <v/>
      </c>
      <c r="L529" s="4" t="str">
        <f>IF($A529&lt;&gt;"",'All Cases - Enter Cases'!L529,"")</f>
        <v/>
      </c>
      <c r="M529" t="str">
        <f>IF($A529&lt;&gt;"",'All Cases - Enter Cases'!M529,"")</f>
        <v/>
      </c>
    </row>
    <row r="530" spans="1:13" x14ac:dyDescent="0.35">
      <c r="A530" s="4" t="str">
        <f>IF('All Cases - Enter Cases'!$F530="Punjab",'All Cases - Enter Cases'!A530,"")</f>
        <v/>
      </c>
      <c r="B530" t="str">
        <f>IF($A530&lt;&gt;"",'All Cases - Enter Cases'!B530,"")</f>
        <v/>
      </c>
      <c r="C530" t="str">
        <f>IF($A530&lt;&gt;"",'All Cases - Enter Cases'!C530,"")</f>
        <v/>
      </c>
      <c r="D530" t="str">
        <f>IF($A530&lt;&gt;"",'All Cases - Enter Cases'!D530,"")</f>
        <v/>
      </c>
      <c r="E530" t="str">
        <f>IF($A530&lt;&gt;"",'All Cases - Enter Cases'!E530,"")</f>
        <v/>
      </c>
      <c r="F530" t="str">
        <f>IF($A530&lt;&gt;"",'All Cases - Enter Cases'!F530,"")</f>
        <v/>
      </c>
      <c r="G530" t="str">
        <f>IF($A530&lt;&gt;"",'All Cases - Enter Cases'!G530,"")</f>
        <v/>
      </c>
      <c r="H530" t="str">
        <f>IF($A530&lt;&gt;"",'All Cases - Enter Cases'!H530,"")</f>
        <v/>
      </c>
      <c r="I530" t="str">
        <f>IF($A530&lt;&gt;"",'All Cases - Enter Cases'!I530,"")</f>
        <v/>
      </c>
      <c r="J530" s="4" t="str">
        <f>IF($A530&lt;&gt;"",'All Cases - Enter Cases'!J530,"")</f>
        <v/>
      </c>
      <c r="K530" s="4" t="str">
        <f>IF($A530&lt;&gt;"",'All Cases - Enter Cases'!K530,"")</f>
        <v/>
      </c>
      <c r="L530" s="4" t="str">
        <f>IF($A530&lt;&gt;"",'All Cases - Enter Cases'!L530,"")</f>
        <v/>
      </c>
      <c r="M530" t="str">
        <f>IF($A530&lt;&gt;"",'All Cases - Enter Cases'!M530,"")</f>
        <v/>
      </c>
    </row>
    <row r="531" spans="1:13" x14ac:dyDescent="0.35">
      <c r="A531" s="4" t="str">
        <f>IF('All Cases - Enter Cases'!$F531="Punjab",'All Cases - Enter Cases'!A531,"")</f>
        <v/>
      </c>
      <c r="B531" t="str">
        <f>IF($A531&lt;&gt;"",'All Cases - Enter Cases'!B531,"")</f>
        <v/>
      </c>
      <c r="C531" t="str">
        <f>IF($A531&lt;&gt;"",'All Cases - Enter Cases'!C531,"")</f>
        <v/>
      </c>
      <c r="D531" t="str">
        <f>IF($A531&lt;&gt;"",'All Cases - Enter Cases'!D531,"")</f>
        <v/>
      </c>
      <c r="E531" t="str">
        <f>IF($A531&lt;&gt;"",'All Cases - Enter Cases'!E531,"")</f>
        <v/>
      </c>
      <c r="F531" t="str">
        <f>IF($A531&lt;&gt;"",'All Cases - Enter Cases'!F531,"")</f>
        <v/>
      </c>
      <c r="G531" t="str">
        <f>IF($A531&lt;&gt;"",'All Cases - Enter Cases'!G531,"")</f>
        <v/>
      </c>
      <c r="H531" t="str">
        <f>IF($A531&lt;&gt;"",'All Cases - Enter Cases'!H531,"")</f>
        <v/>
      </c>
      <c r="I531" t="str">
        <f>IF($A531&lt;&gt;"",'All Cases - Enter Cases'!I531,"")</f>
        <v/>
      </c>
      <c r="J531" s="4" t="str">
        <f>IF($A531&lt;&gt;"",'All Cases - Enter Cases'!J531,"")</f>
        <v/>
      </c>
      <c r="K531" s="4" t="str">
        <f>IF($A531&lt;&gt;"",'All Cases - Enter Cases'!K531,"")</f>
        <v/>
      </c>
      <c r="L531" s="4" t="str">
        <f>IF($A531&lt;&gt;"",'All Cases - Enter Cases'!L531,"")</f>
        <v/>
      </c>
      <c r="M531" t="str">
        <f>IF($A531&lt;&gt;"",'All Cases - Enter Cases'!M531,"")</f>
        <v/>
      </c>
    </row>
    <row r="532" spans="1:13" x14ac:dyDescent="0.35">
      <c r="A532" s="4" t="str">
        <f>IF('All Cases - Enter Cases'!$F532="Punjab",'All Cases - Enter Cases'!A532,"")</f>
        <v/>
      </c>
      <c r="B532" t="str">
        <f>IF($A532&lt;&gt;"",'All Cases - Enter Cases'!B532,"")</f>
        <v/>
      </c>
      <c r="C532" t="str">
        <f>IF($A532&lt;&gt;"",'All Cases - Enter Cases'!C532,"")</f>
        <v/>
      </c>
      <c r="D532" t="str">
        <f>IF($A532&lt;&gt;"",'All Cases - Enter Cases'!D532,"")</f>
        <v/>
      </c>
      <c r="E532" t="str">
        <f>IF($A532&lt;&gt;"",'All Cases - Enter Cases'!E532,"")</f>
        <v/>
      </c>
      <c r="F532" t="str">
        <f>IF($A532&lt;&gt;"",'All Cases - Enter Cases'!F532,"")</f>
        <v/>
      </c>
      <c r="G532" t="str">
        <f>IF($A532&lt;&gt;"",'All Cases - Enter Cases'!G532,"")</f>
        <v/>
      </c>
      <c r="H532" t="str">
        <f>IF($A532&lt;&gt;"",'All Cases - Enter Cases'!H532,"")</f>
        <v/>
      </c>
      <c r="I532" t="str">
        <f>IF($A532&lt;&gt;"",'All Cases - Enter Cases'!I532,"")</f>
        <v/>
      </c>
      <c r="J532" s="4" t="str">
        <f>IF($A532&lt;&gt;"",'All Cases - Enter Cases'!J532,"")</f>
        <v/>
      </c>
      <c r="K532" s="4" t="str">
        <f>IF($A532&lt;&gt;"",'All Cases - Enter Cases'!K532,"")</f>
        <v/>
      </c>
      <c r="L532" s="4" t="str">
        <f>IF($A532&lt;&gt;"",'All Cases - Enter Cases'!L532,"")</f>
        <v/>
      </c>
      <c r="M532" t="str">
        <f>IF($A532&lt;&gt;"",'All Cases - Enter Cases'!M532,"")</f>
        <v/>
      </c>
    </row>
    <row r="533" spans="1:13" x14ac:dyDescent="0.35">
      <c r="A533" s="4" t="str">
        <f>IF('All Cases - Enter Cases'!$F533="Punjab",'All Cases - Enter Cases'!A533,"")</f>
        <v/>
      </c>
      <c r="B533" t="str">
        <f>IF($A533&lt;&gt;"",'All Cases - Enter Cases'!B533,"")</f>
        <v/>
      </c>
      <c r="C533" t="str">
        <f>IF($A533&lt;&gt;"",'All Cases - Enter Cases'!C533,"")</f>
        <v/>
      </c>
      <c r="D533" t="str">
        <f>IF($A533&lt;&gt;"",'All Cases - Enter Cases'!D533,"")</f>
        <v/>
      </c>
      <c r="E533" t="str">
        <f>IF($A533&lt;&gt;"",'All Cases - Enter Cases'!E533,"")</f>
        <v/>
      </c>
      <c r="F533" t="str">
        <f>IF($A533&lt;&gt;"",'All Cases - Enter Cases'!F533,"")</f>
        <v/>
      </c>
      <c r="G533" t="str">
        <f>IF($A533&lt;&gt;"",'All Cases - Enter Cases'!G533,"")</f>
        <v/>
      </c>
      <c r="H533" t="str">
        <f>IF($A533&lt;&gt;"",'All Cases - Enter Cases'!H533,"")</f>
        <v/>
      </c>
      <c r="I533" t="str">
        <f>IF($A533&lt;&gt;"",'All Cases - Enter Cases'!I533,"")</f>
        <v/>
      </c>
      <c r="J533" s="4" t="str">
        <f>IF($A533&lt;&gt;"",'All Cases - Enter Cases'!J533,"")</f>
        <v/>
      </c>
      <c r="K533" s="4" t="str">
        <f>IF($A533&lt;&gt;"",'All Cases - Enter Cases'!K533,"")</f>
        <v/>
      </c>
      <c r="L533" s="4" t="str">
        <f>IF($A533&lt;&gt;"",'All Cases - Enter Cases'!L533,"")</f>
        <v/>
      </c>
      <c r="M533" t="str">
        <f>IF($A533&lt;&gt;"",'All Cases - Enter Cases'!M533,"")</f>
        <v/>
      </c>
    </row>
    <row r="534" spans="1:13" x14ac:dyDescent="0.35">
      <c r="A534" s="4" t="str">
        <f>IF('All Cases - Enter Cases'!$F534="Punjab",'All Cases - Enter Cases'!A534,"")</f>
        <v/>
      </c>
      <c r="B534" t="str">
        <f>IF($A534&lt;&gt;"",'All Cases - Enter Cases'!B534,"")</f>
        <v/>
      </c>
      <c r="C534" t="str">
        <f>IF($A534&lt;&gt;"",'All Cases - Enter Cases'!C534,"")</f>
        <v/>
      </c>
      <c r="D534" t="str">
        <f>IF($A534&lt;&gt;"",'All Cases - Enter Cases'!D534,"")</f>
        <v/>
      </c>
      <c r="E534" t="str">
        <f>IF($A534&lt;&gt;"",'All Cases - Enter Cases'!E534,"")</f>
        <v/>
      </c>
      <c r="F534" t="str">
        <f>IF($A534&lt;&gt;"",'All Cases - Enter Cases'!F534,"")</f>
        <v/>
      </c>
      <c r="G534" t="str">
        <f>IF($A534&lt;&gt;"",'All Cases - Enter Cases'!G534,"")</f>
        <v/>
      </c>
      <c r="H534" t="str">
        <f>IF($A534&lt;&gt;"",'All Cases - Enter Cases'!H534,"")</f>
        <v/>
      </c>
      <c r="I534" t="str">
        <f>IF($A534&lt;&gt;"",'All Cases - Enter Cases'!I534,"")</f>
        <v/>
      </c>
      <c r="J534" s="4" t="str">
        <f>IF($A534&lt;&gt;"",'All Cases - Enter Cases'!J534,"")</f>
        <v/>
      </c>
      <c r="K534" s="4" t="str">
        <f>IF($A534&lt;&gt;"",'All Cases - Enter Cases'!K534,"")</f>
        <v/>
      </c>
      <c r="L534" s="4" t="str">
        <f>IF($A534&lt;&gt;"",'All Cases - Enter Cases'!L534,"")</f>
        <v/>
      </c>
      <c r="M534" t="str">
        <f>IF($A534&lt;&gt;"",'All Cases - Enter Cases'!M534,"")</f>
        <v/>
      </c>
    </row>
    <row r="535" spans="1:13" x14ac:dyDescent="0.35">
      <c r="A535" s="4" t="str">
        <f>IF('All Cases - Enter Cases'!$F535="Punjab",'All Cases - Enter Cases'!A535,"")</f>
        <v/>
      </c>
      <c r="B535" t="str">
        <f>IF($A535&lt;&gt;"",'All Cases - Enter Cases'!B535,"")</f>
        <v/>
      </c>
      <c r="C535" t="str">
        <f>IF($A535&lt;&gt;"",'All Cases - Enter Cases'!C535,"")</f>
        <v/>
      </c>
      <c r="D535" t="str">
        <f>IF($A535&lt;&gt;"",'All Cases - Enter Cases'!D535,"")</f>
        <v/>
      </c>
      <c r="E535" t="str">
        <f>IF($A535&lt;&gt;"",'All Cases - Enter Cases'!E535,"")</f>
        <v/>
      </c>
      <c r="F535" t="str">
        <f>IF($A535&lt;&gt;"",'All Cases - Enter Cases'!F535,"")</f>
        <v/>
      </c>
      <c r="G535" t="str">
        <f>IF($A535&lt;&gt;"",'All Cases - Enter Cases'!G535,"")</f>
        <v/>
      </c>
      <c r="H535" t="str">
        <f>IF($A535&lt;&gt;"",'All Cases - Enter Cases'!H535,"")</f>
        <v/>
      </c>
      <c r="I535" t="str">
        <f>IF($A535&lt;&gt;"",'All Cases - Enter Cases'!I535,"")</f>
        <v/>
      </c>
      <c r="J535" s="4" t="str">
        <f>IF($A535&lt;&gt;"",'All Cases - Enter Cases'!J535,"")</f>
        <v/>
      </c>
      <c r="K535" s="4" t="str">
        <f>IF($A535&lt;&gt;"",'All Cases - Enter Cases'!K535,"")</f>
        <v/>
      </c>
      <c r="L535" s="4" t="str">
        <f>IF($A535&lt;&gt;"",'All Cases - Enter Cases'!L535,"")</f>
        <v/>
      </c>
      <c r="M535" t="str">
        <f>IF($A535&lt;&gt;"",'All Cases - Enter Cases'!M535,"")</f>
        <v/>
      </c>
    </row>
    <row r="536" spans="1:13" x14ac:dyDescent="0.35">
      <c r="A536" s="4" t="str">
        <f>IF('All Cases - Enter Cases'!$F536="Punjab",'All Cases - Enter Cases'!A536,"")</f>
        <v/>
      </c>
      <c r="B536" t="str">
        <f>IF($A536&lt;&gt;"",'All Cases - Enter Cases'!B536,"")</f>
        <v/>
      </c>
      <c r="C536" t="str">
        <f>IF($A536&lt;&gt;"",'All Cases - Enter Cases'!C536,"")</f>
        <v/>
      </c>
      <c r="D536" t="str">
        <f>IF($A536&lt;&gt;"",'All Cases - Enter Cases'!D536,"")</f>
        <v/>
      </c>
      <c r="E536" t="str">
        <f>IF($A536&lt;&gt;"",'All Cases - Enter Cases'!E536,"")</f>
        <v/>
      </c>
      <c r="F536" t="str">
        <f>IF($A536&lt;&gt;"",'All Cases - Enter Cases'!F536,"")</f>
        <v/>
      </c>
      <c r="G536" t="str">
        <f>IF($A536&lt;&gt;"",'All Cases - Enter Cases'!G536,"")</f>
        <v/>
      </c>
      <c r="H536" t="str">
        <f>IF($A536&lt;&gt;"",'All Cases - Enter Cases'!H536,"")</f>
        <v/>
      </c>
      <c r="I536" t="str">
        <f>IF($A536&lt;&gt;"",'All Cases - Enter Cases'!I536,"")</f>
        <v/>
      </c>
      <c r="J536" s="4" t="str">
        <f>IF($A536&lt;&gt;"",'All Cases - Enter Cases'!J536,"")</f>
        <v/>
      </c>
      <c r="K536" s="4" t="str">
        <f>IF($A536&lt;&gt;"",'All Cases - Enter Cases'!K536,"")</f>
        <v/>
      </c>
      <c r="L536" s="4" t="str">
        <f>IF($A536&lt;&gt;"",'All Cases - Enter Cases'!L536,"")</f>
        <v/>
      </c>
      <c r="M536" t="str">
        <f>IF($A536&lt;&gt;"",'All Cases - Enter Cases'!M536,"")</f>
        <v/>
      </c>
    </row>
    <row r="537" spans="1:13" x14ac:dyDescent="0.35">
      <c r="A537" s="4" t="str">
        <f>IF('All Cases - Enter Cases'!$F537="Punjab",'All Cases - Enter Cases'!A537,"")</f>
        <v/>
      </c>
      <c r="B537" t="str">
        <f>IF($A537&lt;&gt;"",'All Cases - Enter Cases'!B537,"")</f>
        <v/>
      </c>
      <c r="C537" t="str">
        <f>IF($A537&lt;&gt;"",'All Cases - Enter Cases'!C537,"")</f>
        <v/>
      </c>
      <c r="D537" t="str">
        <f>IF($A537&lt;&gt;"",'All Cases - Enter Cases'!D537,"")</f>
        <v/>
      </c>
      <c r="E537" t="str">
        <f>IF($A537&lt;&gt;"",'All Cases - Enter Cases'!E537,"")</f>
        <v/>
      </c>
      <c r="F537" t="str">
        <f>IF($A537&lt;&gt;"",'All Cases - Enter Cases'!F537,"")</f>
        <v/>
      </c>
      <c r="G537" t="str">
        <f>IF($A537&lt;&gt;"",'All Cases - Enter Cases'!G537,"")</f>
        <v/>
      </c>
      <c r="H537" t="str">
        <f>IF($A537&lt;&gt;"",'All Cases - Enter Cases'!H537,"")</f>
        <v/>
      </c>
      <c r="I537" t="str">
        <f>IF($A537&lt;&gt;"",'All Cases - Enter Cases'!I537,"")</f>
        <v/>
      </c>
      <c r="J537" s="4" t="str">
        <f>IF($A537&lt;&gt;"",'All Cases - Enter Cases'!J537,"")</f>
        <v/>
      </c>
      <c r="K537" s="4" t="str">
        <f>IF($A537&lt;&gt;"",'All Cases - Enter Cases'!K537,"")</f>
        <v/>
      </c>
      <c r="L537" s="4" t="str">
        <f>IF($A537&lt;&gt;"",'All Cases - Enter Cases'!L537,"")</f>
        <v/>
      </c>
      <c r="M537" t="str">
        <f>IF($A537&lt;&gt;"",'All Cases - Enter Cases'!M537,"")</f>
        <v/>
      </c>
    </row>
    <row r="538" spans="1:13" x14ac:dyDescent="0.35">
      <c r="A538" s="4" t="str">
        <f>IF('All Cases - Enter Cases'!$F538="Punjab",'All Cases - Enter Cases'!A538,"")</f>
        <v/>
      </c>
      <c r="B538" t="str">
        <f>IF($A538&lt;&gt;"",'All Cases - Enter Cases'!B538,"")</f>
        <v/>
      </c>
      <c r="C538" t="str">
        <f>IF($A538&lt;&gt;"",'All Cases - Enter Cases'!C538,"")</f>
        <v/>
      </c>
      <c r="D538" t="str">
        <f>IF($A538&lt;&gt;"",'All Cases - Enter Cases'!D538,"")</f>
        <v/>
      </c>
      <c r="E538" t="str">
        <f>IF($A538&lt;&gt;"",'All Cases - Enter Cases'!E538,"")</f>
        <v/>
      </c>
      <c r="F538" t="str">
        <f>IF($A538&lt;&gt;"",'All Cases - Enter Cases'!F538,"")</f>
        <v/>
      </c>
      <c r="G538" t="str">
        <f>IF($A538&lt;&gt;"",'All Cases - Enter Cases'!G538,"")</f>
        <v/>
      </c>
      <c r="H538" t="str">
        <f>IF($A538&lt;&gt;"",'All Cases - Enter Cases'!H538,"")</f>
        <v/>
      </c>
      <c r="I538" t="str">
        <f>IF($A538&lt;&gt;"",'All Cases - Enter Cases'!I538,"")</f>
        <v/>
      </c>
      <c r="J538" s="4" t="str">
        <f>IF($A538&lt;&gt;"",'All Cases - Enter Cases'!J538,"")</f>
        <v/>
      </c>
      <c r="K538" s="4" t="str">
        <f>IF($A538&lt;&gt;"",'All Cases - Enter Cases'!K538,"")</f>
        <v/>
      </c>
      <c r="L538" s="4" t="str">
        <f>IF($A538&lt;&gt;"",'All Cases - Enter Cases'!L538,"")</f>
        <v/>
      </c>
      <c r="M538" t="str">
        <f>IF($A538&lt;&gt;"",'All Cases - Enter Cases'!M538,"")</f>
        <v/>
      </c>
    </row>
    <row r="539" spans="1:13" x14ac:dyDescent="0.35">
      <c r="A539" s="4" t="str">
        <f>IF('All Cases - Enter Cases'!$F539="Punjab",'All Cases - Enter Cases'!A539,"")</f>
        <v/>
      </c>
      <c r="B539" t="str">
        <f>IF($A539&lt;&gt;"",'All Cases - Enter Cases'!B539,"")</f>
        <v/>
      </c>
      <c r="C539" t="str">
        <f>IF($A539&lt;&gt;"",'All Cases - Enter Cases'!C539,"")</f>
        <v/>
      </c>
      <c r="D539" t="str">
        <f>IF($A539&lt;&gt;"",'All Cases - Enter Cases'!D539,"")</f>
        <v/>
      </c>
      <c r="E539" t="str">
        <f>IF($A539&lt;&gt;"",'All Cases - Enter Cases'!E539,"")</f>
        <v/>
      </c>
      <c r="F539" t="str">
        <f>IF($A539&lt;&gt;"",'All Cases - Enter Cases'!F539,"")</f>
        <v/>
      </c>
      <c r="G539" t="str">
        <f>IF($A539&lt;&gt;"",'All Cases - Enter Cases'!G539,"")</f>
        <v/>
      </c>
      <c r="H539" t="str">
        <f>IF($A539&lt;&gt;"",'All Cases - Enter Cases'!H539,"")</f>
        <v/>
      </c>
      <c r="I539" t="str">
        <f>IF($A539&lt;&gt;"",'All Cases - Enter Cases'!I539,"")</f>
        <v/>
      </c>
      <c r="J539" s="4" t="str">
        <f>IF($A539&lt;&gt;"",'All Cases - Enter Cases'!J539,"")</f>
        <v/>
      </c>
      <c r="K539" s="4" t="str">
        <f>IF($A539&lt;&gt;"",'All Cases - Enter Cases'!K539,"")</f>
        <v/>
      </c>
      <c r="L539" s="4" t="str">
        <f>IF($A539&lt;&gt;"",'All Cases - Enter Cases'!L539,"")</f>
        <v/>
      </c>
      <c r="M539" t="str">
        <f>IF($A539&lt;&gt;"",'All Cases - Enter Cases'!M539,"")</f>
        <v/>
      </c>
    </row>
    <row r="540" spans="1:13" x14ac:dyDescent="0.35">
      <c r="A540" s="4" t="str">
        <f>IF('All Cases - Enter Cases'!$F540="Punjab",'All Cases - Enter Cases'!A540,"")</f>
        <v/>
      </c>
      <c r="B540" t="str">
        <f>IF($A540&lt;&gt;"",'All Cases - Enter Cases'!B540,"")</f>
        <v/>
      </c>
      <c r="C540" t="str">
        <f>IF($A540&lt;&gt;"",'All Cases - Enter Cases'!C540,"")</f>
        <v/>
      </c>
      <c r="D540" t="str">
        <f>IF($A540&lt;&gt;"",'All Cases - Enter Cases'!D540,"")</f>
        <v/>
      </c>
      <c r="E540" t="str">
        <f>IF($A540&lt;&gt;"",'All Cases - Enter Cases'!E540,"")</f>
        <v/>
      </c>
      <c r="F540" t="str">
        <f>IF($A540&lt;&gt;"",'All Cases - Enter Cases'!F540,"")</f>
        <v/>
      </c>
      <c r="G540" t="str">
        <f>IF($A540&lt;&gt;"",'All Cases - Enter Cases'!G540,"")</f>
        <v/>
      </c>
      <c r="H540" t="str">
        <f>IF($A540&lt;&gt;"",'All Cases - Enter Cases'!H540,"")</f>
        <v/>
      </c>
      <c r="I540" t="str">
        <f>IF($A540&lt;&gt;"",'All Cases - Enter Cases'!I540,"")</f>
        <v/>
      </c>
      <c r="J540" s="4" t="str">
        <f>IF($A540&lt;&gt;"",'All Cases - Enter Cases'!J540,"")</f>
        <v/>
      </c>
      <c r="K540" s="4" t="str">
        <f>IF($A540&lt;&gt;"",'All Cases - Enter Cases'!K540,"")</f>
        <v/>
      </c>
      <c r="L540" s="4" t="str">
        <f>IF($A540&lt;&gt;"",'All Cases - Enter Cases'!L540,"")</f>
        <v/>
      </c>
      <c r="M540" t="str">
        <f>IF($A540&lt;&gt;"",'All Cases - Enter Cases'!M540,"")</f>
        <v/>
      </c>
    </row>
    <row r="541" spans="1:13" x14ac:dyDescent="0.35">
      <c r="A541" s="4" t="str">
        <f>IF('All Cases - Enter Cases'!$F541="Punjab",'All Cases - Enter Cases'!A541,"")</f>
        <v/>
      </c>
      <c r="B541" t="str">
        <f>IF($A541&lt;&gt;"",'All Cases - Enter Cases'!B541,"")</f>
        <v/>
      </c>
      <c r="C541" t="str">
        <f>IF($A541&lt;&gt;"",'All Cases - Enter Cases'!C541,"")</f>
        <v/>
      </c>
      <c r="D541" t="str">
        <f>IF($A541&lt;&gt;"",'All Cases - Enter Cases'!D541,"")</f>
        <v/>
      </c>
      <c r="E541" t="str">
        <f>IF($A541&lt;&gt;"",'All Cases - Enter Cases'!E541,"")</f>
        <v/>
      </c>
      <c r="F541" t="str">
        <f>IF($A541&lt;&gt;"",'All Cases - Enter Cases'!F541,"")</f>
        <v/>
      </c>
      <c r="G541" t="str">
        <f>IF($A541&lt;&gt;"",'All Cases - Enter Cases'!G541,"")</f>
        <v/>
      </c>
      <c r="H541" t="str">
        <f>IF($A541&lt;&gt;"",'All Cases - Enter Cases'!H541,"")</f>
        <v/>
      </c>
      <c r="I541" t="str">
        <f>IF($A541&lt;&gt;"",'All Cases - Enter Cases'!I541,"")</f>
        <v/>
      </c>
      <c r="J541" s="4" t="str">
        <f>IF($A541&lt;&gt;"",'All Cases - Enter Cases'!J541,"")</f>
        <v/>
      </c>
      <c r="K541" s="4" t="str">
        <f>IF($A541&lt;&gt;"",'All Cases - Enter Cases'!K541,"")</f>
        <v/>
      </c>
      <c r="L541" s="4" t="str">
        <f>IF($A541&lt;&gt;"",'All Cases - Enter Cases'!L541,"")</f>
        <v/>
      </c>
      <c r="M541" t="str">
        <f>IF($A541&lt;&gt;"",'All Cases - Enter Cases'!M541,"")</f>
        <v/>
      </c>
    </row>
    <row r="542" spans="1:13" x14ac:dyDescent="0.35">
      <c r="A542" s="4" t="str">
        <f>IF('All Cases - Enter Cases'!$F542="Punjab",'All Cases - Enter Cases'!A542,"")</f>
        <v/>
      </c>
      <c r="B542" t="str">
        <f>IF($A542&lt;&gt;"",'All Cases - Enter Cases'!B542,"")</f>
        <v/>
      </c>
      <c r="C542" t="str">
        <f>IF($A542&lt;&gt;"",'All Cases - Enter Cases'!C542,"")</f>
        <v/>
      </c>
      <c r="D542" t="str">
        <f>IF($A542&lt;&gt;"",'All Cases - Enter Cases'!D542,"")</f>
        <v/>
      </c>
      <c r="E542" t="str">
        <f>IF($A542&lt;&gt;"",'All Cases - Enter Cases'!E542,"")</f>
        <v/>
      </c>
      <c r="F542" t="str">
        <f>IF($A542&lt;&gt;"",'All Cases - Enter Cases'!F542,"")</f>
        <v/>
      </c>
      <c r="G542" t="str">
        <f>IF($A542&lt;&gt;"",'All Cases - Enter Cases'!G542,"")</f>
        <v/>
      </c>
      <c r="H542" t="str">
        <f>IF($A542&lt;&gt;"",'All Cases - Enter Cases'!H542,"")</f>
        <v/>
      </c>
      <c r="I542" t="str">
        <f>IF($A542&lt;&gt;"",'All Cases - Enter Cases'!I542,"")</f>
        <v/>
      </c>
      <c r="J542" s="4" t="str">
        <f>IF($A542&lt;&gt;"",'All Cases - Enter Cases'!J542,"")</f>
        <v/>
      </c>
      <c r="K542" s="4" t="str">
        <f>IF($A542&lt;&gt;"",'All Cases - Enter Cases'!K542,"")</f>
        <v/>
      </c>
      <c r="L542" s="4" t="str">
        <f>IF($A542&lt;&gt;"",'All Cases - Enter Cases'!L542,"")</f>
        <v/>
      </c>
      <c r="M542" t="str">
        <f>IF($A542&lt;&gt;"",'All Cases - Enter Cases'!M542,"")</f>
        <v/>
      </c>
    </row>
    <row r="543" spans="1:13" x14ac:dyDescent="0.35">
      <c r="A543" s="4" t="str">
        <f>IF('All Cases - Enter Cases'!$F543="Punjab",'All Cases - Enter Cases'!A543,"")</f>
        <v/>
      </c>
      <c r="B543" t="str">
        <f>IF($A543&lt;&gt;"",'All Cases - Enter Cases'!B543,"")</f>
        <v/>
      </c>
      <c r="C543" t="str">
        <f>IF($A543&lt;&gt;"",'All Cases - Enter Cases'!C543,"")</f>
        <v/>
      </c>
      <c r="D543" t="str">
        <f>IF($A543&lt;&gt;"",'All Cases - Enter Cases'!D543,"")</f>
        <v/>
      </c>
      <c r="E543" t="str">
        <f>IF($A543&lt;&gt;"",'All Cases - Enter Cases'!E543,"")</f>
        <v/>
      </c>
      <c r="F543" t="str">
        <f>IF($A543&lt;&gt;"",'All Cases - Enter Cases'!F543,"")</f>
        <v/>
      </c>
      <c r="G543" t="str">
        <f>IF($A543&lt;&gt;"",'All Cases - Enter Cases'!G543,"")</f>
        <v/>
      </c>
      <c r="H543" t="str">
        <f>IF($A543&lt;&gt;"",'All Cases - Enter Cases'!H543,"")</f>
        <v/>
      </c>
      <c r="I543" t="str">
        <f>IF($A543&lt;&gt;"",'All Cases - Enter Cases'!I543,"")</f>
        <v/>
      </c>
      <c r="J543" s="4" t="str">
        <f>IF($A543&lt;&gt;"",'All Cases - Enter Cases'!J543,"")</f>
        <v/>
      </c>
      <c r="K543" s="4" t="str">
        <f>IF($A543&lt;&gt;"",'All Cases - Enter Cases'!K543,"")</f>
        <v/>
      </c>
      <c r="L543" s="4" t="str">
        <f>IF($A543&lt;&gt;"",'All Cases - Enter Cases'!L543,"")</f>
        <v/>
      </c>
      <c r="M543" t="str">
        <f>IF($A543&lt;&gt;"",'All Cases - Enter Cases'!M543,"")</f>
        <v/>
      </c>
    </row>
    <row r="544" spans="1:13" x14ac:dyDescent="0.35">
      <c r="A544" s="4" t="str">
        <f>IF('All Cases - Enter Cases'!$F544="Punjab",'All Cases - Enter Cases'!A544,"")</f>
        <v/>
      </c>
      <c r="B544" t="str">
        <f>IF($A544&lt;&gt;"",'All Cases - Enter Cases'!B544,"")</f>
        <v/>
      </c>
      <c r="C544" t="str">
        <f>IF($A544&lt;&gt;"",'All Cases - Enter Cases'!C544,"")</f>
        <v/>
      </c>
      <c r="D544" t="str">
        <f>IF($A544&lt;&gt;"",'All Cases - Enter Cases'!D544,"")</f>
        <v/>
      </c>
      <c r="E544" t="str">
        <f>IF($A544&lt;&gt;"",'All Cases - Enter Cases'!E544,"")</f>
        <v/>
      </c>
      <c r="F544" t="str">
        <f>IF($A544&lt;&gt;"",'All Cases - Enter Cases'!F544,"")</f>
        <v/>
      </c>
      <c r="G544" t="str">
        <f>IF($A544&lt;&gt;"",'All Cases - Enter Cases'!G544,"")</f>
        <v/>
      </c>
      <c r="H544" t="str">
        <f>IF($A544&lt;&gt;"",'All Cases - Enter Cases'!H544,"")</f>
        <v/>
      </c>
      <c r="I544" t="str">
        <f>IF($A544&lt;&gt;"",'All Cases - Enter Cases'!I544,"")</f>
        <v/>
      </c>
      <c r="J544" s="4" t="str">
        <f>IF($A544&lt;&gt;"",'All Cases - Enter Cases'!J544,"")</f>
        <v/>
      </c>
      <c r="K544" s="4" t="str">
        <f>IF($A544&lt;&gt;"",'All Cases - Enter Cases'!K544,"")</f>
        <v/>
      </c>
      <c r="L544" s="4" t="str">
        <f>IF($A544&lt;&gt;"",'All Cases - Enter Cases'!L544,"")</f>
        <v/>
      </c>
      <c r="M544" t="str">
        <f>IF($A544&lt;&gt;"",'All Cases - Enter Cases'!M544,"")</f>
        <v/>
      </c>
    </row>
    <row r="545" spans="1:13" x14ac:dyDescent="0.35">
      <c r="A545" s="4" t="str">
        <f>IF('All Cases - Enter Cases'!$F545="Punjab",'All Cases - Enter Cases'!A545,"")</f>
        <v/>
      </c>
      <c r="B545" t="str">
        <f>IF($A545&lt;&gt;"",'All Cases - Enter Cases'!B545,"")</f>
        <v/>
      </c>
      <c r="C545" t="str">
        <f>IF($A545&lt;&gt;"",'All Cases - Enter Cases'!C545,"")</f>
        <v/>
      </c>
      <c r="D545" t="str">
        <f>IF($A545&lt;&gt;"",'All Cases - Enter Cases'!D545,"")</f>
        <v/>
      </c>
      <c r="E545" t="str">
        <f>IF($A545&lt;&gt;"",'All Cases - Enter Cases'!E545,"")</f>
        <v/>
      </c>
      <c r="F545" t="str">
        <f>IF($A545&lt;&gt;"",'All Cases - Enter Cases'!F545,"")</f>
        <v/>
      </c>
      <c r="G545" t="str">
        <f>IF($A545&lt;&gt;"",'All Cases - Enter Cases'!G545,"")</f>
        <v/>
      </c>
      <c r="H545" t="str">
        <f>IF($A545&lt;&gt;"",'All Cases - Enter Cases'!H545,"")</f>
        <v/>
      </c>
      <c r="I545" t="str">
        <f>IF($A545&lt;&gt;"",'All Cases - Enter Cases'!I545,"")</f>
        <v/>
      </c>
      <c r="J545" s="4" t="str">
        <f>IF($A545&lt;&gt;"",'All Cases - Enter Cases'!J545,"")</f>
        <v/>
      </c>
      <c r="K545" s="4" t="str">
        <f>IF($A545&lt;&gt;"",'All Cases - Enter Cases'!K545,"")</f>
        <v/>
      </c>
      <c r="L545" s="4" t="str">
        <f>IF($A545&lt;&gt;"",'All Cases - Enter Cases'!L545,"")</f>
        <v/>
      </c>
      <c r="M545" t="str">
        <f>IF($A545&lt;&gt;"",'All Cases - Enter Cases'!M545,"")</f>
        <v/>
      </c>
    </row>
    <row r="546" spans="1:13" x14ac:dyDescent="0.35">
      <c r="A546" s="4" t="str">
        <f>IF('All Cases - Enter Cases'!$F546="Punjab",'All Cases - Enter Cases'!A546,"")</f>
        <v/>
      </c>
      <c r="B546" t="str">
        <f>IF($A546&lt;&gt;"",'All Cases - Enter Cases'!B546,"")</f>
        <v/>
      </c>
      <c r="C546" t="str">
        <f>IF($A546&lt;&gt;"",'All Cases - Enter Cases'!C546,"")</f>
        <v/>
      </c>
      <c r="D546" t="str">
        <f>IF($A546&lt;&gt;"",'All Cases - Enter Cases'!D546,"")</f>
        <v/>
      </c>
      <c r="E546" t="str">
        <f>IF($A546&lt;&gt;"",'All Cases - Enter Cases'!E546,"")</f>
        <v/>
      </c>
      <c r="F546" t="str">
        <f>IF($A546&lt;&gt;"",'All Cases - Enter Cases'!F546,"")</f>
        <v/>
      </c>
      <c r="G546" t="str">
        <f>IF($A546&lt;&gt;"",'All Cases - Enter Cases'!G546,"")</f>
        <v/>
      </c>
      <c r="H546" t="str">
        <f>IF($A546&lt;&gt;"",'All Cases - Enter Cases'!H546,"")</f>
        <v/>
      </c>
      <c r="I546" t="str">
        <f>IF($A546&lt;&gt;"",'All Cases - Enter Cases'!I546,"")</f>
        <v/>
      </c>
      <c r="J546" s="4" t="str">
        <f>IF($A546&lt;&gt;"",'All Cases - Enter Cases'!J546,"")</f>
        <v/>
      </c>
      <c r="K546" s="4" t="str">
        <f>IF($A546&lt;&gt;"",'All Cases - Enter Cases'!K546,"")</f>
        <v/>
      </c>
      <c r="L546" s="4" t="str">
        <f>IF($A546&lt;&gt;"",'All Cases - Enter Cases'!L546,"")</f>
        <v/>
      </c>
      <c r="M546" t="str">
        <f>IF($A546&lt;&gt;"",'All Cases - Enter Cases'!M546,"")</f>
        <v/>
      </c>
    </row>
    <row r="547" spans="1:13" x14ac:dyDescent="0.35">
      <c r="A547" s="4" t="str">
        <f>IF('All Cases - Enter Cases'!$F547="Punjab",'All Cases - Enter Cases'!A547,"")</f>
        <v/>
      </c>
      <c r="B547" t="str">
        <f>IF($A547&lt;&gt;"",'All Cases - Enter Cases'!B547,"")</f>
        <v/>
      </c>
      <c r="C547" t="str">
        <f>IF($A547&lt;&gt;"",'All Cases - Enter Cases'!C547,"")</f>
        <v/>
      </c>
      <c r="D547" t="str">
        <f>IF($A547&lt;&gt;"",'All Cases - Enter Cases'!D547,"")</f>
        <v/>
      </c>
      <c r="E547" t="str">
        <f>IF($A547&lt;&gt;"",'All Cases - Enter Cases'!E547,"")</f>
        <v/>
      </c>
      <c r="F547" t="str">
        <f>IF($A547&lt;&gt;"",'All Cases - Enter Cases'!F547,"")</f>
        <v/>
      </c>
      <c r="G547" t="str">
        <f>IF($A547&lt;&gt;"",'All Cases - Enter Cases'!G547,"")</f>
        <v/>
      </c>
      <c r="H547" t="str">
        <f>IF($A547&lt;&gt;"",'All Cases - Enter Cases'!H547,"")</f>
        <v/>
      </c>
      <c r="I547" t="str">
        <f>IF($A547&lt;&gt;"",'All Cases - Enter Cases'!I547,"")</f>
        <v/>
      </c>
      <c r="J547" s="4" t="str">
        <f>IF($A547&lt;&gt;"",'All Cases - Enter Cases'!J547,"")</f>
        <v/>
      </c>
      <c r="K547" s="4" t="str">
        <f>IF($A547&lt;&gt;"",'All Cases - Enter Cases'!K547,"")</f>
        <v/>
      </c>
      <c r="L547" s="4" t="str">
        <f>IF($A547&lt;&gt;"",'All Cases - Enter Cases'!L547,"")</f>
        <v/>
      </c>
      <c r="M547" t="str">
        <f>IF($A547&lt;&gt;"",'All Cases - Enter Cases'!M547,"")</f>
        <v/>
      </c>
    </row>
    <row r="548" spans="1:13" x14ac:dyDescent="0.35">
      <c r="A548" s="4" t="str">
        <f>IF('All Cases - Enter Cases'!$F548="Punjab",'All Cases - Enter Cases'!A548,"")</f>
        <v/>
      </c>
      <c r="B548" t="str">
        <f>IF($A548&lt;&gt;"",'All Cases - Enter Cases'!B548,"")</f>
        <v/>
      </c>
      <c r="C548" t="str">
        <f>IF($A548&lt;&gt;"",'All Cases - Enter Cases'!C548,"")</f>
        <v/>
      </c>
      <c r="D548" t="str">
        <f>IF($A548&lt;&gt;"",'All Cases - Enter Cases'!D548,"")</f>
        <v/>
      </c>
      <c r="E548" t="str">
        <f>IF($A548&lt;&gt;"",'All Cases - Enter Cases'!E548,"")</f>
        <v/>
      </c>
      <c r="F548" t="str">
        <f>IF($A548&lt;&gt;"",'All Cases - Enter Cases'!F548,"")</f>
        <v/>
      </c>
      <c r="G548" t="str">
        <f>IF($A548&lt;&gt;"",'All Cases - Enter Cases'!G548,"")</f>
        <v/>
      </c>
      <c r="H548" t="str">
        <f>IF($A548&lt;&gt;"",'All Cases - Enter Cases'!H548,"")</f>
        <v/>
      </c>
      <c r="I548" t="str">
        <f>IF($A548&lt;&gt;"",'All Cases - Enter Cases'!I548,"")</f>
        <v/>
      </c>
      <c r="J548" s="4" t="str">
        <f>IF($A548&lt;&gt;"",'All Cases - Enter Cases'!J548,"")</f>
        <v/>
      </c>
      <c r="K548" s="4" t="str">
        <f>IF($A548&lt;&gt;"",'All Cases - Enter Cases'!K548,"")</f>
        <v/>
      </c>
      <c r="L548" s="4" t="str">
        <f>IF($A548&lt;&gt;"",'All Cases - Enter Cases'!L548,"")</f>
        <v/>
      </c>
      <c r="M548" t="str">
        <f>IF($A548&lt;&gt;"",'All Cases - Enter Cases'!M548,"")</f>
        <v/>
      </c>
    </row>
    <row r="549" spans="1:13" x14ac:dyDescent="0.35">
      <c r="A549" s="4" t="str">
        <f>IF('All Cases - Enter Cases'!$F549="Punjab",'All Cases - Enter Cases'!A549,"")</f>
        <v/>
      </c>
      <c r="B549" t="str">
        <f>IF($A549&lt;&gt;"",'All Cases - Enter Cases'!B549,"")</f>
        <v/>
      </c>
      <c r="C549" t="str">
        <f>IF($A549&lt;&gt;"",'All Cases - Enter Cases'!C549,"")</f>
        <v/>
      </c>
      <c r="D549" t="str">
        <f>IF($A549&lt;&gt;"",'All Cases - Enter Cases'!D549,"")</f>
        <v/>
      </c>
      <c r="E549" t="str">
        <f>IF($A549&lt;&gt;"",'All Cases - Enter Cases'!E549,"")</f>
        <v/>
      </c>
      <c r="F549" t="str">
        <f>IF($A549&lt;&gt;"",'All Cases - Enter Cases'!F549,"")</f>
        <v/>
      </c>
      <c r="G549" t="str">
        <f>IF($A549&lt;&gt;"",'All Cases - Enter Cases'!G549,"")</f>
        <v/>
      </c>
      <c r="H549" t="str">
        <f>IF($A549&lt;&gt;"",'All Cases - Enter Cases'!H549,"")</f>
        <v/>
      </c>
      <c r="I549" t="str">
        <f>IF($A549&lt;&gt;"",'All Cases - Enter Cases'!I549,"")</f>
        <v/>
      </c>
      <c r="J549" s="4" t="str">
        <f>IF($A549&lt;&gt;"",'All Cases - Enter Cases'!J549,"")</f>
        <v/>
      </c>
      <c r="K549" s="4" t="str">
        <f>IF($A549&lt;&gt;"",'All Cases - Enter Cases'!K549,"")</f>
        <v/>
      </c>
      <c r="L549" s="4" t="str">
        <f>IF($A549&lt;&gt;"",'All Cases - Enter Cases'!L549,"")</f>
        <v/>
      </c>
      <c r="M549" t="str">
        <f>IF($A549&lt;&gt;"",'All Cases - Enter Cases'!M549,"")</f>
        <v/>
      </c>
    </row>
    <row r="550" spans="1:13" x14ac:dyDescent="0.35">
      <c r="A550" s="4" t="str">
        <f>IF('All Cases - Enter Cases'!$F550="Punjab",'All Cases - Enter Cases'!A550,"")</f>
        <v/>
      </c>
      <c r="B550" t="str">
        <f>IF($A550&lt;&gt;"",'All Cases - Enter Cases'!B550,"")</f>
        <v/>
      </c>
      <c r="C550" t="str">
        <f>IF($A550&lt;&gt;"",'All Cases - Enter Cases'!C550,"")</f>
        <v/>
      </c>
      <c r="D550" t="str">
        <f>IF($A550&lt;&gt;"",'All Cases - Enter Cases'!D550,"")</f>
        <v/>
      </c>
      <c r="E550" t="str">
        <f>IF($A550&lt;&gt;"",'All Cases - Enter Cases'!E550,"")</f>
        <v/>
      </c>
      <c r="F550" t="str">
        <f>IF($A550&lt;&gt;"",'All Cases - Enter Cases'!F550,"")</f>
        <v/>
      </c>
      <c r="G550" t="str">
        <f>IF($A550&lt;&gt;"",'All Cases - Enter Cases'!G550,"")</f>
        <v/>
      </c>
      <c r="H550" t="str">
        <f>IF($A550&lt;&gt;"",'All Cases - Enter Cases'!H550,"")</f>
        <v/>
      </c>
      <c r="I550" t="str">
        <f>IF($A550&lt;&gt;"",'All Cases - Enter Cases'!I550,"")</f>
        <v/>
      </c>
      <c r="J550" s="4" t="str">
        <f>IF($A550&lt;&gt;"",'All Cases - Enter Cases'!J550,"")</f>
        <v/>
      </c>
      <c r="K550" s="4" t="str">
        <f>IF($A550&lt;&gt;"",'All Cases - Enter Cases'!K550,"")</f>
        <v/>
      </c>
      <c r="L550" s="4" t="str">
        <f>IF($A550&lt;&gt;"",'All Cases - Enter Cases'!L550,"")</f>
        <v/>
      </c>
      <c r="M550" t="str">
        <f>IF($A550&lt;&gt;"",'All Cases - Enter Cases'!M550,"")</f>
        <v/>
      </c>
    </row>
    <row r="551" spans="1:13" x14ac:dyDescent="0.35">
      <c r="A551" s="4" t="str">
        <f>IF('All Cases - Enter Cases'!$F551="Punjab",'All Cases - Enter Cases'!A551,"")</f>
        <v/>
      </c>
      <c r="B551" t="str">
        <f>IF($A551&lt;&gt;"",'All Cases - Enter Cases'!B551,"")</f>
        <v/>
      </c>
      <c r="C551" t="str">
        <f>IF($A551&lt;&gt;"",'All Cases - Enter Cases'!C551,"")</f>
        <v/>
      </c>
      <c r="D551" t="str">
        <f>IF($A551&lt;&gt;"",'All Cases - Enter Cases'!D551,"")</f>
        <v/>
      </c>
      <c r="E551" t="str">
        <f>IF($A551&lt;&gt;"",'All Cases - Enter Cases'!E551,"")</f>
        <v/>
      </c>
      <c r="F551" t="str">
        <f>IF($A551&lt;&gt;"",'All Cases - Enter Cases'!F551,"")</f>
        <v/>
      </c>
      <c r="G551" t="str">
        <f>IF($A551&lt;&gt;"",'All Cases - Enter Cases'!G551,"")</f>
        <v/>
      </c>
      <c r="H551" t="str">
        <f>IF($A551&lt;&gt;"",'All Cases - Enter Cases'!H551,"")</f>
        <v/>
      </c>
      <c r="I551" t="str">
        <f>IF($A551&lt;&gt;"",'All Cases - Enter Cases'!I551,"")</f>
        <v/>
      </c>
      <c r="J551" s="4" t="str">
        <f>IF($A551&lt;&gt;"",'All Cases - Enter Cases'!J551,"")</f>
        <v/>
      </c>
      <c r="K551" s="4" t="str">
        <f>IF($A551&lt;&gt;"",'All Cases - Enter Cases'!K551,"")</f>
        <v/>
      </c>
      <c r="L551" s="4" t="str">
        <f>IF($A551&lt;&gt;"",'All Cases - Enter Cases'!L551,"")</f>
        <v/>
      </c>
      <c r="M551" t="str">
        <f>IF($A551&lt;&gt;"",'All Cases - Enter Cases'!M551,"")</f>
        <v/>
      </c>
    </row>
    <row r="552" spans="1:13" x14ac:dyDescent="0.35">
      <c r="A552" s="4" t="str">
        <f>IF('All Cases - Enter Cases'!$F552="Punjab",'All Cases - Enter Cases'!A552,"")</f>
        <v/>
      </c>
      <c r="B552" t="str">
        <f>IF($A552&lt;&gt;"",'All Cases - Enter Cases'!B552,"")</f>
        <v/>
      </c>
      <c r="C552" t="str">
        <f>IF($A552&lt;&gt;"",'All Cases - Enter Cases'!C552,"")</f>
        <v/>
      </c>
      <c r="D552" t="str">
        <f>IF($A552&lt;&gt;"",'All Cases - Enter Cases'!D552,"")</f>
        <v/>
      </c>
      <c r="E552" t="str">
        <f>IF($A552&lt;&gt;"",'All Cases - Enter Cases'!E552,"")</f>
        <v/>
      </c>
      <c r="F552" t="str">
        <f>IF($A552&lt;&gt;"",'All Cases - Enter Cases'!F552,"")</f>
        <v/>
      </c>
      <c r="G552" t="str">
        <f>IF($A552&lt;&gt;"",'All Cases - Enter Cases'!G552,"")</f>
        <v/>
      </c>
      <c r="H552" t="str">
        <f>IF($A552&lt;&gt;"",'All Cases - Enter Cases'!H552,"")</f>
        <v/>
      </c>
      <c r="I552" t="str">
        <f>IF($A552&lt;&gt;"",'All Cases - Enter Cases'!I552,"")</f>
        <v/>
      </c>
      <c r="J552" s="4" t="str">
        <f>IF($A552&lt;&gt;"",'All Cases - Enter Cases'!J552,"")</f>
        <v/>
      </c>
      <c r="K552" s="4" t="str">
        <f>IF($A552&lt;&gt;"",'All Cases - Enter Cases'!K552,"")</f>
        <v/>
      </c>
      <c r="L552" s="4" t="str">
        <f>IF($A552&lt;&gt;"",'All Cases - Enter Cases'!L552,"")</f>
        <v/>
      </c>
      <c r="M552" t="str">
        <f>IF($A552&lt;&gt;"",'All Cases - Enter Cases'!M552,"")</f>
        <v/>
      </c>
    </row>
    <row r="553" spans="1:13" x14ac:dyDescent="0.35">
      <c r="A553" s="4" t="str">
        <f>IF('All Cases - Enter Cases'!$F553="Punjab",'All Cases - Enter Cases'!A553,"")</f>
        <v/>
      </c>
      <c r="B553" t="str">
        <f>IF($A553&lt;&gt;"",'All Cases - Enter Cases'!B553,"")</f>
        <v/>
      </c>
      <c r="C553" t="str">
        <f>IF($A553&lt;&gt;"",'All Cases - Enter Cases'!C553,"")</f>
        <v/>
      </c>
      <c r="D553" t="str">
        <f>IF($A553&lt;&gt;"",'All Cases - Enter Cases'!D553,"")</f>
        <v/>
      </c>
      <c r="E553" t="str">
        <f>IF($A553&lt;&gt;"",'All Cases - Enter Cases'!E553,"")</f>
        <v/>
      </c>
      <c r="F553" t="str">
        <f>IF($A553&lt;&gt;"",'All Cases - Enter Cases'!F553,"")</f>
        <v/>
      </c>
      <c r="G553" t="str">
        <f>IF($A553&lt;&gt;"",'All Cases - Enter Cases'!G553,"")</f>
        <v/>
      </c>
      <c r="H553" t="str">
        <f>IF($A553&lt;&gt;"",'All Cases - Enter Cases'!H553,"")</f>
        <v/>
      </c>
      <c r="I553" t="str">
        <f>IF($A553&lt;&gt;"",'All Cases - Enter Cases'!I553,"")</f>
        <v/>
      </c>
      <c r="J553" s="4" t="str">
        <f>IF($A553&lt;&gt;"",'All Cases - Enter Cases'!J553,"")</f>
        <v/>
      </c>
      <c r="K553" s="4" t="str">
        <f>IF($A553&lt;&gt;"",'All Cases - Enter Cases'!K553,"")</f>
        <v/>
      </c>
      <c r="L553" s="4" t="str">
        <f>IF($A553&lt;&gt;"",'All Cases - Enter Cases'!L553,"")</f>
        <v/>
      </c>
      <c r="M553" t="str">
        <f>IF($A553&lt;&gt;"",'All Cases - Enter Cases'!M553,"")</f>
        <v/>
      </c>
    </row>
    <row r="554" spans="1:13" x14ac:dyDescent="0.35">
      <c r="A554" s="4" t="str">
        <f>IF('All Cases - Enter Cases'!$F554="Punjab",'All Cases - Enter Cases'!A554,"")</f>
        <v/>
      </c>
      <c r="B554" t="str">
        <f>IF($A554&lt;&gt;"",'All Cases - Enter Cases'!B554,"")</f>
        <v/>
      </c>
      <c r="C554" t="str">
        <f>IF($A554&lt;&gt;"",'All Cases - Enter Cases'!C554,"")</f>
        <v/>
      </c>
      <c r="D554" t="str">
        <f>IF($A554&lt;&gt;"",'All Cases - Enter Cases'!D554,"")</f>
        <v/>
      </c>
      <c r="E554" t="str">
        <f>IF($A554&lt;&gt;"",'All Cases - Enter Cases'!E554,"")</f>
        <v/>
      </c>
      <c r="F554" t="str">
        <f>IF($A554&lt;&gt;"",'All Cases - Enter Cases'!F554,"")</f>
        <v/>
      </c>
      <c r="G554" t="str">
        <f>IF($A554&lt;&gt;"",'All Cases - Enter Cases'!G554,"")</f>
        <v/>
      </c>
      <c r="H554" t="str">
        <f>IF($A554&lt;&gt;"",'All Cases - Enter Cases'!H554,"")</f>
        <v/>
      </c>
      <c r="I554" t="str">
        <f>IF($A554&lt;&gt;"",'All Cases - Enter Cases'!I554,"")</f>
        <v/>
      </c>
      <c r="J554" s="4" t="str">
        <f>IF($A554&lt;&gt;"",'All Cases - Enter Cases'!J554,"")</f>
        <v/>
      </c>
      <c r="K554" s="4" t="str">
        <f>IF($A554&lt;&gt;"",'All Cases - Enter Cases'!K554,"")</f>
        <v/>
      </c>
      <c r="L554" s="4" t="str">
        <f>IF($A554&lt;&gt;"",'All Cases - Enter Cases'!L554,"")</f>
        <v/>
      </c>
      <c r="M554" t="str">
        <f>IF($A554&lt;&gt;"",'All Cases - Enter Cases'!M554,"")</f>
        <v/>
      </c>
    </row>
    <row r="555" spans="1:13" x14ac:dyDescent="0.35">
      <c r="A555" s="4" t="str">
        <f>IF('All Cases - Enter Cases'!$F555="Punjab",'All Cases - Enter Cases'!A555,"")</f>
        <v/>
      </c>
      <c r="B555" t="str">
        <f>IF($A555&lt;&gt;"",'All Cases - Enter Cases'!B555,"")</f>
        <v/>
      </c>
      <c r="C555" t="str">
        <f>IF($A555&lt;&gt;"",'All Cases - Enter Cases'!C555,"")</f>
        <v/>
      </c>
      <c r="D555" t="str">
        <f>IF($A555&lt;&gt;"",'All Cases - Enter Cases'!D555,"")</f>
        <v/>
      </c>
      <c r="E555" t="str">
        <f>IF($A555&lt;&gt;"",'All Cases - Enter Cases'!E555,"")</f>
        <v/>
      </c>
      <c r="F555" t="str">
        <f>IF($A555&lt;&gt;"",'All Cases - Enter Cases'!F555,"")</f>
        <v/>
      </c>
      <c r="G555" t="str">
        <f>IF($A555&lt;&gt;"",'All Cases - Enter Cases'!G555,"")</f>
        <v/>
      </c>
      <c r="H555" t="str">
        <f>IF($A555&lt;&gt;"",'All Cases - Enter Cases'!H555,"")</f>
        <v/>
      </c>
      <c r="I555" t="str">
        <f>IF($A555&lt;&gt;"",'All Cases - Enter Cases'!I555,"")</f>
        <v/>
      </c>
      <c r="J555" s="4" t="str">
        <f>IF($A555&lt;&gt;"",'All Cases - Enter Cases'!J555,"")</f>
        <v/>
      </c>
      <c r="K555" s="4" t="str">
        <f>IF($A555&lt;&gt;"",'All Cases - Enter Cases'!K555,"")</f>
        <v/>
      </c>
      <c r="L555" s="4" t="str">
        <f>IF($A555&lt;&gt;"",'All Cases - Enter Cases'!L555,"")</f>
        <v/>
      </c>
      <c r="M555" t="str">
        <f>IF($A555&lt;&gt;"",'All Cases - Enter Cases'!M555,"")</f>
        <v/>
      </c>
    </row>
    <row r="556" spans="1:13" x14ac:dyDescent="0.35">
      <c r="A556" s="4" t="str">
        <f>IF('All Cases - Enter Cases'!$F556="Punjab",'All Cases - Enter Cases'!A556,"")</f>
        <v/>
      </c>
      <c r="B556" t="str">
        <f>IF($A556&lt;&gt;"",'All Cases - Enter Cases'!B556,"")</f>
        <v/>
      </c>
      <c r="C556" t="str">
        <f>IF($A556&lt;&gt;"",'All Cases - Enter Cases'!C556,"")</f>
        <v/>
      </c>
      <c r="D556" t="str">
        <f>IF($A556&lt;&gt;"",'All Cases - Enter Cases'!D556,"")</f>
        <v/>
      </c>
      <c r="E556" t="str">
        <f>IF($A556&lt;&gt;"",'All Cases - Enter Cases'!E556,"")</f>
        <v/>
      </c>
      <c r="F556" t="str">
        <f>IF($A556&lt;&gt;"",'All Cases - Enter Cases'!F556,"")</f>
        <v/>
      </c>
      <c r="G556" t="str">
        <f>IF($A556&lt;&gt;"",'All Cases - Enter Cases'!G556,"")</f>
        <v/>
      </c>
      <c r="H556" t="str">
        <f>IF($A556&lt;&gt;"",'All Cases - Enter Cases'!H556,"")</f>
        <v/>
      </c>
      <c r="I556" t="str">
        <f>IF($A556&lt;&gt;"",'All Cases - Enter Cases'!I556,"")</f>
        <v/>
      </c>
      <c r="J556" s="4" t="str">
        <f>IF($A556&lt;&gt;"",'All Cases - Enter Cases'!J556,"")</f>
        <v/>
      </c>
      <c r="K556" s="4" t="str">
        <f>IF($A556&lt;&gt;"",'All Cases - Enter Cases'!K556,"")</f>
        <v/>
      </c>
      <c r="L556" s="4" t="str">
        <f>IF($A556&lt;&gt;"",'All Cases - Enter Cases'!L556,"")</f>
        <v/>
      </c>
      <c r="M556" t="str">
        <f>IF($A556&lt;&gt;"",'All Cases - Enter Cases'!M556,"")</f>
        <v/>
      </c>
    </row>
    <row r="557" spans="1:13" x14ac:dyDescent="0.35">
      <c r="A557" s="4" t="str">
        <f>IF('All Cases - Enter Cases'!$F557="Punjab",'All Cases - Enter Cases'!A557,"")</f>
        <v/>
      </c>
      <c r="B557" t="str">
        <f>IF($A557&lt;&gt;"",'All Cases - Enter Cases'!B557,"")</f>
        <v/>
      </c>
      <c r="C557" t="str">
        <f>IF($A557&lt;&gt;"",'All Cases - Enter Cases'!C557,"")</f>
        <v/>
      </c>
      <c r="D557" t="str">
        <f>IF($A557&lt;&gt;"",'All Cases - Enter Cases'!D557,"")</f>
        <v/>
      </c>
      <c r="E557" t="str">
        <f>IF($A557&lt;&gt;"",'All Cases - Enter Cases'!E557,"")</f>
        <v/>
      </c>
      <c r="F557" t="str">
        <f>IF($A557&lt;&gt;"",'All Cases - Enter Cases'!F557,"")</f>
        <v/>
      </c>
      <c r="G557" t="str">
        <f>IF($A557&lt;&gt;"",'All Cases - Enter Cases'!G557,"")</f>
        <v/>
      </c>
      <c r="H557" t="str">
        <f>IF($A557&lt;&gt;"",'All Cases - Enter Cases'!H557,"")</f>
        <v/>
      </c>
      <c r="I557" t="str">
        <f>IF($A557&lt;&gt;"",'All Cases - Enter Cases'!I557,"")</f>
        <v/>
      </c>
      <c r="J557" s="4" t="str">
        <f>IF($A557&lt;&gt;"",'All Cases - Enter Cases'!J557,"")</f>
        <v/>
      </c>
      <c r="K557" s="4" t="str">
        <f>IF($A557&lt;&gt;"",'All Cases - Enter Cases'!K557,"")</f>
        <v/>
      </c>
      <c r="L557" s="4" t="str">
        <f>IF($A557&lt;&gt;"",'All Cases - Enter Cases'!L557,"")</f>
        <v/>
      </c>
      <c r="M557" t="str">
        <f>IF($A557&lt;&gt;"",'All Cases - Enter Cases'!M557,"")</f>
        <v/>
      </c>
    </row>
    <row r="558" spans="1:13" x14ac:dyDescent="0.35">
      <c r="A558" s="4" t="str">
        <f>IF('All Cases - Enter Cases'!$F558="Punjab",'All Cases - Enter Cases'!A558,"")</f>
        <v/>
      </c>
      <c r="B558" t="str">
        <f>IF($A558&lt;&gt;"",'All Cases - Enter Cases'!B558,"")</f>
        <v/>
      </c>
      <c r="C558" t="str">
        <f>IF($A558&lt;&gt;"",'All Cases - Enter Cases'!C558,"")</f>
        <v/>
      </c>
      <c r="D558" t="str">
        <f>IF($A558&lt;&gt;"",'All Cases - Enter Cases'!D558,"")</f>
        <v/>
      </c>
      <c r="E558" t="str">
        <f>IF($A558&lt;&gt;"",'All Cases - Enter Cases'!E558,"")</f>
        <v/>
      </c>
      <c r="F558" t="str">
        <f>IF($A558&lt;&gt;"",'All Cases - Enter Cases'!F558,"")</f>
        <v/>
      </c>
      <c r="G558" t="str">
        <f>IF($A558&lt;&gt;"",'All Cases - Enter Cases'!G558,"")</f>
        <v/>
      </c>
      <c r="H558" t="str">
        <f>IF($A558&lt;&gt;"",'All Cases - Enter Cases'!H558,"")</f>
        <v/>
      </c>
      <c r="I558" t="str">
        <f>IF($A558&lt;&gt;"",'All Cases - Enter Cases'!I558,"")</f>
        <v/>
      </c>
      <c r="J558" s="4" t="str">
        <f>IF($A558&lt;&gt;"",'All Cases - Enter Cases'!J558,"")</f>
        <v/>
      </c>
      <c r="K558" s="4" t="str">
        <f>IF($A558&lt;&gt;"",'All Cases - Enter Cases'!K558,"")</f>
        <v/>
      </c>
      <c r="L558" s="4" t="str">
        <f>IF($A558&lt;&gt;"",'All Cases - Enter Cases'!L558,"")</f>
        <v/>
      </c>
      <c r="M558" t="str">
        <f>IF($A558&lt;&gt;"",'All Cases - Enter Cases'!M558,"")</f>
        <v/>
      </c>
    </row>
    <row r="559" spans="1:13" x14ac:dyDescent="0.35">
      <c r="A559" s="4" t="str">
        <f>IF('All Cases - Enter Cases'!$F559="Punjab",'All Cases - Enter Cases'!A559,"")</f>
        <v/>
      </c>
      <c r="B559" t="str">
        <f>IF($A559&lt;&gt;"",'All Cases - Enter Cases'!B559,"")</f>
        <v/>
      </c>
      <c r="C559" t="str">
        <f>IF($A559&lt;&gt;"",'All Cases - Enter Cases'!C559,"")</f>
        <v/>
      </c>
      <c r="D559" t="str">
        <f>IF($A559&lt;&gt;"",'All Cases - Enter Cases'!D559,"")</f>
        <v/>
      </c>
      <c r="E559" t="str">
        <f>IF($A559&lt;&gt;"",'All Cases - Enter Cases'!E559,"")</f>
        <v/>
      </c>
      <c r="F559" t="str">
        <f>IF($A559&lt;&gt;"",'All Cases - Enter Cases'!F559,"")</f>
        <v/>
      </c>
      <c r="G559" t="str">
        <f>IF($A559&lt;&gt;"",'All Cases - Enter Cases'!G559,"")</f>
        <v/>
      </c>
      <c r="H559" t="str">
        <f>IF($A559&lt;&gt;"",'All Cases - Enter Cases'!H559,"")</f>
        <v/>
      </c>
      <c r="I559" t="str">
        <f>IF($A559&lt;&gt;"",'All Cases - Enter Cases'!I559,"")</f>
        <v/>
      </c>
      <c r="J559" s="4" t="str">
        <f>IF($A559&lt;&gt;"",'All Cases - Enter Cases'!J559,"")</f>
        <v/>
      </c>
      <c r="K559" s="4" t="str">
        <f>IF($A559&lt;&gt;"",'All Cases - Enter Cases'!K559,"")</f>
        <v/>
      </c>
      <c r="L559" s="4" t="str">
        <f>IF($A559&lt;&gt;"",'All Cases - Enter Cases'!L559,"")</f>
        <v/>
      </c>
      <c r="M559" t="str">
        <f>IF($A559&lt;&gt;"",'All Cases - Enter Cases'!M559,"")</f>
        <v/>
      </c>
    </row>
    <row r="560" spans="1:13" x14ac:dyDescent="0.35">
      <c r="A560" s="4" t="str">
        <f>IF('All Cases - Enter Cases'!$F560="Punjab",'All Cases - Enter Cases'!A560,"")</f>
        <v/>
      </c>
      <c r="B560" t="str">
        <f>IF($A560&lt;&gt;"",'All Cases - Enter Cases'!B560,"")</f>
        <v/>
      </c>
      <c r="C560" t="str">
        <f>IF($A560&lt;&gt;"",'All Cases - Enter Cases'!C560,"")</f>
        <v/>
      </c>
      <c r="D560" t="str">
        <f>IF($A560&lt;&gt;"",'All Cases - Enter Cases'!D560,"")</f>
        <v/>
      </c>
      <c r="E560" t="str">
        <f>IF($A560&lt;&gt;"",'All Cases - Enter Cases'!E560,"")</f>
        <v/>
      </c>
      <c r="F560" t="str">
        <f>IF($A560&lt;&gt;"",'All Cases - Enter Cases'!F560,"")</f>
        <v/>
      </c>
      <c r="G560" t="str">
        <f>IF($A560&lt;&gt;"",'All Cases - Enter Cases'!G560,"")</f>
        <v/>
      </c>
      <c r="H560" t="str">
        <f>IF($A560&lt;&gt;"",'All Cases - Enter Cases'!H560,"")</f>
        <v/>
      </c>
      <c r="I560" t="str">
        <f>IF($A560&lt;&gt;"",'All Cases - Enter Cases'!I560,"")</f>
        <v/>
      </c>
      <c r="J560" s="4" t="str">
        <f>IF($A560&lt;&gt;"",'All Cases - Enter Cases'!J560,"")</f>
        <v/>
      </c>
      <c r="K560" s="4" t="str">
        <f>IF($A560&lt;&gt;"",'All Cases - Enter Cases'!K560,"")</f>
        <v/>
      </c>
      <c r="L560" s="4" t="str">
        <f>IF($A560&lt;&gt;"",'All Cases - Enter Cases'!L560,"")</f>
        <v/>
      </c>
      <c r="M560" t="str">
        <f>IF($A560&lt;&gt;"",'All Cases - Enter Cases'!M560,"")</f>
        <v/>
      </c>
    </row>
    <row r="561" spans="1:13" x14ac:dyDescent="0.35">
      <c r="A561" s="4" t="str">
        <f>IF('All Cases - Enter Cases'!$F561="Punjab",'All Cases - Enter Cases'!A561,"")</f>
        <v/>
      </c>
      <c r="B561" t="str">
        <f>IF($A561&lt;&gt;"",'All Cases - Enter Cases'!B561,"")</f>
        <v/>
      </c>
      <c r="C561" t="str">
        <f>IF($A561&lt;&gt;"",'All Cases - Enter Cases'!C561,"")</f>
        <v/>
      </c>
      <c r="D561" t="str">
        <f>IF($A561&lt;&gt;"",'All Cases - Enter Cases'!D561,"")</f>
        <v/>
      </c>
      <c r="E561" t="str">
        <f>IF($A561&lt;&gt;"",'All Cases - Enter Cases'!E561,"")</f>
        <v/>
      </c>
      <c r="F561" t="str">
        <f>IF($A561&lt;&gt;"",'All Cases - Enter Cases'!F561,"")</f>
        <v/>
      </c>
      <c r="G561" t="str">
        <f>IF($A561&lt;&gt;"",'All Cases - Enter Cases'!G561,"")</f>
        <v/>
      </c>
      <c r="H561" t="str">
        <f>IF($A561&lt;&gt;"",'All Cases - Enter Cases'!H561,"")</f>
        <v/>
      </c>
      <c r="I561" t="str">
        <f>IF($A561&lt;&gt;"",'All Cases - Enter Cases'!I561,"")</f>
        <v/>
      </c>
      <c r="J561" s="4" t="str">
        <f>IF($A561&lt;&gt;"",'All Cases - Enter Cases'!J561,"")</f>
        <v/>
      </c>
      <c r="K561" s="4" t="str">
        <f>IF($A561&lt;&gt;"",'All Cases - Enter Cases'!K561,"")</f>
        <v/>
      </c>
      <c r="L561" s="4" t="str">
        <f>IF($A561&lt;&gt;"",'All Cases - Enter Cases'!L561,"")</f>
        <v/>
      </c>
      <c r="M561" t="str">
        <f>IF($A561&lt;&gt;"",'All Cases - Enter Cases'!M561,"")</f>
        <v/>
      </c>
    </row>
    <row r="562" spans="1:13" x14ac:dyDescent="0.35">
      <c r="A562" s="4" t="str">
        <f>IF('All Cases - Enter Cases'!$F562="Punjab",'All Cases - Enter Cases'!A562,"")</f>
        <v/>
      </c>
      <c r="B562" t="str">
        <f>IF($A562&lt;&gt;"",'All Cases - Enter Cases'!B562,"")</f>
        <v/>
      </c>
      <c r="C562" t="str">
        <f>IF($A562&lt;&gt;"",'All Cases - Enter Cases'!C562,"")</f>
        <v/>
      </c>
      <c r="D562" t="str">
        <f>IF($A562&lt;&gt;"",'All Cases - Enter Cases'!D562,"")</f>
        <v/>
      </c>
      <c r="E562" t="str">
        <f>IF($A562&lt;&gt;"",'All Cases - Enter Cases'!E562,"")</f>
        <v/>
      </c>
      <c r="F562" t="str">
        <f>IF($A562&lt;&gt;"",'All Cases - Enter Cases'!F562,"")</f>
        <v/>
      </c>
      <c r="G562" t="str">
        <f>IF($A562&lt;&gt;"",'All Cases - Enter Cases'!G562,"")</f>
        <v/>
      </c>
      <c r="H562" t="str">
        <f>IF($A562&lt;&gt;"",'All Cases - Enter Cases'!H562,"")</f>
        <v/>
      </c>
      <c r="I562" t="str">
        <f>IF($A562&lt;&gt;"",'All Cases - Enter Cases'!I562,"")</f>
        <v/>
      </c>
      <c r="J562" s="4" t="str">
        <f>IF($A562&lt;&gt;"",'All Cases - Enter Cases'!J562,"")</f>
        <v/>
      </c>
      <c r="K562" s="4" t="str">
        <f>IF($A562&lt;&gt;"",'All Cases - Enter Cases'!K562,"")</f>
        <v/>
      </c>
      <c r="L562" s="4" t="str">
        <f>IF($A562&lt;&gt;"",'All Cases - Enter Cases'!L562,"")</f>
        <v/>
      </c>
      <c r="M562" t="str">
        <f>IF($A562&lt;&gt;"",'All Cases - Enter Cases'!M562,"")</f>
        <v/>
      </c>
    </row>
    <row r="563" spans="1:13" x14ac:dyDescent="0.35">
      <c r="A563" s="4" t="str">
        <f>IF('All Cases - Enter Cases'!$F563="Punjab",'All Cases - Enter Cases'!A563,"")</f>
        <v/>
      </c>
      <c r="B563" t="str">
        <f>IF($A563&lt;&gt;"",'All Cases - Enter Cases'!B563,"")</f>
        <v/>
      </c>
      <c r="C563" t="str">
        <f>IF($A563&lt;&gt;"",'All Cases - Enter Cases'!C563,"")</f>
        <v/>
      </c>
      <c r="D563" t="str">
        <f>IF($A563&lt;&gt;"",'All Cases - Enter Cases'!D563,"")</f>
        <v/>
      </c>
      <c r="E563" t="str">
        <f>IF($A563&lt;&gt;"",'All Cases - Enter Cases'!E563,"")</f>
        <v/>
      </c>
      <c r="F563" t="str">
        <f>IF($A563&lt;&gt;"",'All Cases - Enter Cases'!F563,"")</f>
        <v/>
      </c>
      <c r="G563" t="str">
        <f>IF($A563&lt;&gt;"",'All Cases - Enter Cases'!G563,"")</f>
        <v/>
      </c>
      <c r="H563" t="str">
        <f>IF($A563&lt;&gt;"",'All Cases - Enter Cases'!H563,"")</f>
        <v/>
      </c>
      <c r="I563" t="str">
        <f>IF($A563&lt;&gt;"",'All Cases - Enter Cases'!I563,"")</f>
        <v/>
      </c>
      <c r="J563" s="4" t="str">
        <f>IF($A563&lt;&gt;"",'All Cases - Enter Cases'!J563,"")</f>
        <v/>
      </c>
      <c r="K563" s="4" t="str">
        <f>IF($A563&lt;&gt;"",'All Cases - Enter Cases'!K563,"")</f>
        <v/>
      </c>
      <c r="L563" s="4" t="str">
        <f>IF($A563&lt;&gt;"",'All Cases - Enter Cases'!L563,"")</f>
        <v/>
      </c>
      <c r="M563" t="str">
        <f>IF($A563&lt;&gt;"",'All Cases - Enter Cases'!M563,"")</f>
        <v/>
      </c>
    </row>
    <row r="564" spans="1:13" x14ac:dyDescent="0.35">
      <c r="A564" s="4" t="str">
        <f>IF('All Cases - Enter Cases'!$F564="Punjab",'All Cases - Enter Cases'!A564,"")</f>
        <v/>
      </c>
      <c r="B564" t="str">
        <f>IF($A564&lt;&gt;"",'All Cases - Enter Cases'!B564,"")</f>
        <v/>
      </c>
      <c r="C564" t="str">
        <f>IF($A564&lt;&gt;"",'All Cases - Enter Cases'!C564,"")</f>
        <v/>
      </c>
      <c r="D564" t="str">
        <f>IF($A564&lt;&gt;"",'All Cases - Enter Cases'!D564,"")</f>
        <v/>
      </c>
      <c r="E564" t="str">
        <f>IF($A564&lt;&gt;"",'All Cases - Enter Cases'!E564,"")</f>
        <v/>
      </c>
      <c r="F564" t="str">
        <f>IF($A564&lt;&gt;"",'All Cases - Enter Cases'!F564,"")</f>
        <v/>
      </c>
      <c r="G564" t="str">
        <f>IF($A564&lt;&gt;"",'All Cases - Enter Cases'!G564,"")</f>
        <v/>
      </c>
      <c r="H564" t="str">
        <f>IF($A564&lt;&gt;"",'All Cases - Enter Cases'!H564,"")</f>
        <v/>
      </c>
      <c r="I564" t="str">
        <f>IF($A564&lt;&gt;"",'All Cases - Enter Cases'!I564,"")</f>
        <v/>
      </c>
      <c r="J564" s="4" t="str">
        <f>IF($A564&lt;&gt;"",'All Cases - Enter Cases'!J564,"")</f>
        <v/>
      </c>
      <c r="K564" s="4" t="str">
        <f>IF($A564&lt;&gt;"",'All Cases - Enter Cases'!K564,"")</f>
        <v/>
      </c>
      <c r="L564" s="4" t="str">
        <f>IF($A564&lt;&gt;"",'All Cases - Enter Cases'!L564,"")</f>
        <v/>
      </c>
      <c r="M564" t="str">
        <f>IF($A564&lt;&gt;"",'All Cases - Enter Cases'!M564,"")</f>
        <v/>
      </c>
    </row>
    <row r="565" spans="1:13" x14ac:dyDescent="0.35">
      <c r="A565" s="4" t="str">
        <f>IF('All Cases - Enter Cases'!$F565="Punjab",'All Cases - Enter Cases'!A565,"")</f>
        <v/>
      </c>
      <c r="B565" t="str">
        <f>IF($A565&lt;&gt;"",'All Cases - Enter Cases'!B565,"")</f>
        <v/>
      </c>
      <c r="C565" t="str">
        <f>IF($A565&lt;&gt;"",'All Cases - Enter Cases'!C565,"")</f>
        <v/>
      </c>
      <c r="D565" t="str">
        <f>IF($A565&lt;&gt;"",'All Cases - Enter Cases'!D565,"")</f>
        <v/>
      </c>
      <c r="E565" t="str">
        <f>IF($A565&lt;&gt;"",'All Cases - Enter Cases'!E565,"")</f>
        <v/>
      </c>
      <c r="F565" t="str">
        <f>IF($A565&lt;&gt;"",'All Cases - Enter Cases'!F565,"")</f>
        <v/>
      </c>
      <c r="G565" t="str">
        <f>IF($A565&lt;&gt;"",'All Cases - Enter Cases'!G565,"")</f>
        <v/>
      </c>
      <c r="H565" t="str">
        <f>IF($A565&lt;&gt;"",'All Cases - Enter Cases'!H565,"")</f>
        <v/>
      </c>
      <c r="I565" t="str">
        <f>IF($A565&lt;&gt;"",'All Cases - Enter Cases'!I565,"")</f>
        <v/>
      </c>
      <c r="J565" s="4" t="str">
        <f>IF($A565&lt;&gt;"",'All Cases - Enter Cases'!J565,"")</f>
        <v/>
      </c>
      <c r="K565" s="4" t="str">
        <f>IF($A565&lt;&gt;"",'All Cases - Enter Cases'!K565,"")</f>
        <v/>
      </c>
      <c r="L565" s="4" t="str">
        <f>IF($A565&lt;&gt;"",'All Cases - Enter Cases'!L565,"")</f>
        <v/>
      </c>
      <c r="M565" t="str">
        <f>IF($A565&lt;&gt;"",'All Cases - Enter Cases'!M565,"")</f>
        <v/>
      </c>
    </row>
    <row r="566" spans="1:13" x14ac:dyDescent="0.35">
      <c r="A566" s="4" t="str">
        <f>IF('All Cases - Enter Cases'!$F566="Punjab",'All Cases - Enter Cases'!A566,"")</f>
        <v/>
      </c>
      <c r="B566" t="str">
        <f>IF($A566&lt;&gt;"",'All Cases - Enter Cases'!B566,"")</f>
        <v/>
      </c>
      <c r="C566" t="str">
        <f>IF($A566&lt;&gt;"",'All Cases - Enter Cases'!C566,"")</f>
        <v/>
      </c>
      <c r="D566" t="str">
        <f>IF($A566&lt;&gt;"",'All Cases - Enter Cases'!D566,"")</f>
        <v/>
      </c>
      <c r="E566" t="str">
        <f>IF($A566&lt;&gt;"",'All Cases - Enter Cases'!E566,"")</f>
        <v/>
      </c>
      <c r="F566" t="str">
        <f>IF($A566&lt;&gt;"",'All Cases - Enter Cases'!F566,"")</f>
        <v/>
      </c>
      <c r="G566" t="str">
        <f>IF($A566&lt;&gt;"",'All Cases - Enter Cases'!G566,"")</f>
        <v/>
      </c>
      <c r="H566" t="str">
        <f>IF($A566&lt;&gt;"",'All Cases - Enter Cases'!H566,"")</f>
        <v/>
      </c>
      <c r="I566" t="str">
        <f>IF($A566&lt;&gt;"",'All Cases - Enter Cases'!I566,"")</f>
        <v/>
      </c>
      <c r="J566" s="4" t="str">
        <f>IF($A566&lt;&gt;"",'All Cases - Enter Cases'!J566,"")</f>
        <v/>
      </c>
      <c r="K566" s="4" t="str">
        <f>IF($A566&lt;&gt;"",'All Cases - Enter Cases'!K566,"")</f>
        <v/>
      </c>
      <c r="L566" s="4" t="str">
        <f>IF($A566&lt;&gt;"",'All Cases - Enter Cases'!L566,"")</f>
        <v/>
      </c>
      <c r="M566" t="str">
        <f>IF($A566&lt;&gt;"",'All Cases - Enter Cases'!M566,"")</f>
        <v/>
      </c>
    </row>
    <row r="567" spans="1:13" x14ac:dyDescent="0.35">
      <c r="A567" s="4" t="str">
        <f>IF('All Cases - Enter Cases'!$F567="Punjab",'All Cases - Enter Cases'!A567,"")</f>
        <v/>
      </c>
      <c r="B567" t="str">
        <f>IF($A567&lt;&gt;"",'All Cases - Enter Cases'!B567,"")</f>
        <v/>
      </c>
      <c r="C567" t="str">
        <f>IF($A567&lt;&gt;"",'All Cases - Enter Cases'!C567,"")</f>
        <v/>
      </c>
      <c r="D567" t="str">
        <f>IF($A567&lt;&gt;"",'All Cases - Enter Cases'!D567,"")</f>
        <v/>
      </c>
      <c r="E567" t="str">
        <f>IF($A567&lt;&gt;"",'All Cases - Enter Cases'!E567,"")</f>
        <v/>
      </c>
      <c r="F567" t="str">
        <f>IF($A567&lt;&gt;"",'All Cases - Enter Cases'!F567,"")</f>
        <v/>
      </c>
      <c r="G567" t="str">
        <f>IF($A567&lt;&gt;"",'All Cases - Enter Cases'!G567,"")</f>
        <v/>
      </c>
      <c r="H567" t="str">
        <f>IF($A567&lt;&gt;"",'All Cases - Enter Cases'!H567,"")</f>
        <v/>
      </c>
      <c r="I567" t="str">
        <f>IF($A567&lt;&gt;"",'All Cases - Enter Cases'!I567,"")</f>
        <v/>
      </c>
      <c r="J567" s="4" t="str">
        <f>IF($A567&lt;&gt;"",'All Cases - Enter Cases'!J567,"")</f>
        <v/>
      </c>
      <c r="K567" s="4" t="str">
        <f>IF($A567&lt;&gt;"",'All Cases - Enter Cases'!K567,"")</f>
        <v/>
      </c>
      <c r="L567" s="4" t="str">
        <f>IF($A567&lt;&gt;"",'All Cases - Enter Cases'!L567,"")</f>
        <v/>
      </c>
      <c r="M567" t="str">
        <f>IF($A567&lt;&gt;"",'All Cases - Enter Cases'!M567,"")</f>
        <v/>
      </c>
    </row>
    <row r="568" spans="1:13" x14ac:dyDescent="0.35">
      <c r="A568" s="4" t="str">
        <f>IF('All Cases - Enter Cases'!$F568="Punjab",'All Cases - Enter Cases'!A568,"")</f>
        <v/>
      </c>
      <c r="B568" t="str">
        <f>IF($A568&lt;&gt;"",'All Cases - Enter Cases'!B568,"")</f>
        <v/>
      </c>
      <c r="C568" t="str">
        <f>IF($A568&lt;&gt;"",'All Cases - Enter Cases'!C568,"")</f>
        <v/>
      </c>
      <c r="D568" t="str">
        <f>IF($A568&lt;&gt;"",'All Cases - Enter Cases'!D568,"")</f>
        <v/>
      </c>
      <c r="E568" t="str">
        <f>IF($A568&lt;&gt;"",'All Cases - Enter Cases'!E568,"")</f>
        <v/>
      </c>
      <c r="F568" t="str">
        <f>IF($A568&lt;&gt;"",'All Cases - Enter Cases'!F568,"")</f>
        <v/>
      </c>
      <c r="G568" t="str">
        <f>IF($A568&lt;&gt;"",'All Cases - Enter Cases'!G568,"")</f>
        <v/>
      </c>
      <c r="H568" t="str">
        <f>IF($A568&lt;&gt;"",'All Cases - Enter Cases'!H568,"")</f>
        <v/>
      </c>
      <c r="I568" t="str">
        <f>IF($A568&lt;&gt;"",'All Cases - Enter Cases'!I568,"")</f>
        <v/>
      </c>
      <c r="J568" s="4" t="str">
        <f>IF($A568&lt;&gt;"",'All Cases - Enter Cases'!J568,"")</f>
        <v/>
      </c>
      <c r="K568" s="4" t="str">
        <f>IF($A568&lt;&gt;"",'All Cases - Enter Cases'!K568,"")</f>
        <v/>
      </c>
      <c r="L568" s="4" t="str">
        <f>IF($A568&lt;&gt;"",'All Cases - Enter Cases'!L568,"")</f>
        <v/>
      </c>
      <c r="M568" t="str">
        <f>IF($A568&lt;&gt;"",'All Cases - Enter Cases'!M568,"")</f>
        <v/>
      </c>
    </row>
    <row r="569" spans="1:13" x14ac:dyDescent="0.35">
      <c r="A569" s="4" t="str">
        <f>IF('All Cases - Enter Cases'!$F569="Punjab",'All Cases - Enter Cases'!A569,"")</f>
        <v/>
      </c>
      <c r="B569" t="str">
        <f>IF($A569&lt;&gt;"",'All Cases - Enter Cases'!B569,"")</f>
        <v/>
      </c>
      <c r="C569" t="str">
        <f>IF($A569&lt;&gt;"",'All Cases - Enter Cases'!C569,"")</f>
        <v/>
      </c>
      <c r="D569" t="str">
        <f>IF($A569&lt;&gt;"",'All Cases - Enter Cases'!D569,"")</f>
        <v/>
      </c>
      <c r="E569" t="str">
        <f>IF($A569&lt;&gt;"",'All Cases - Enter Cases'!E569,"")</f>
        <v/>
      </c>
      <c r="F569" t="str">
        <f>IF($A569&lt;&gt;"",'All Cases - Enter Cases'!F569,"")</f>
        <v/>
      </c>
      <c r="G569" t="str">
        <f>IF($A569&lt;&gt;"",'All Cases - Enter Cases'!G569,"")</f>
        <v/>
      </c>
      <c r="H569" t="str">
        <f>IF($A569&lt;&gt;"",'All Cases - Enter Cases'!H569,"")</f>
        <v/>
      </c>
      <c r="I569" t="str">
        <f>IF($A569&lt;&gt;"",'All Cases - Enter Cases'!I569,"")</f>
        <v/>
      </c>
      <c r="J569" s="4" t="str">
        <f>IF($A569&lt;&gt;"",'All Cases - Enter Cases'!J569,"")</f>
        <v/>
      </c>
      <c r="K569" s="4" t="str">
        <f>IF($A569&lt;&gt;"",'All Cases - Enter Cases'!K569,"")</f>
        <v/>
      </c>
      <c r="L569" s="4" t="str">
        <f>IF($A569&lt;&gt;"",'All Cases - Enter Cases'!L569,"")</f>
        <v/>
      </c>
      <c r="M569" t="str">
        <f>IF($A569&lt;&gt;"",'All Cases - Enter Cases'!M569,"")</f>
        <v/>
      </c>
    </row>
    <row r="570" spans="1:13" x14ac:dyDescent="0.35">
      <c r="A570" s="4" t="str">
        <f>IF('All Cases - Enter Cases'!$F570="Punjab",'All Cases - Enter Cases'!A570,"")</f>
        <v/>
      </c>
      <c r="B570" t="str">
        <f>IF($A570&lt;&gt;"",'All Cases - Enter Cases'!B570,"")</f>
        <v/>
      </c>
      <c r="C570" t="str">
        <f>IF($A570&lt;&gt;"",'All Cases - Enter Cases'!C570,"")</f>
        <v/>
      </c>
      <c r="D570" t="str">
        <f>IF($A570&lt;&gt;"",'All Cases - Enter Cases'!D570,"")</f>
        <v/>
      </c>
      <c r="E570" t="str">
        <f>IF($A570&lt;&gt;"",'All Cases - Enter Cases'!E570,"")</f>
        <v/>
      </c>
      <c r="F570" t="str">
        <f>IF($A570&lt;&gt;"",'All Cases - Enter Cases'!F570,"")</f>
        <v/>
      </c>
      <c r="G570" t="str">
        <f>IF($A570&lt;&gt;"",'All Cases - Enter Cases'!G570,"")</f>
        <v/>
      </c>
      <c r="H570" t="str">
        <f>IF($A570&lt;&gt;"",'All Cases - Enter Cases'!H570,"")</f>
        <v/>
      </c>
      <c r="I570" t="str">
        <f>IF($A570&lt;&gt;"",'All Cases - Enter Cases'!I570,"")</f>
        <v/>
      </c>
      <c r="J570" s="4" t="str">
        <f>IF($A570&lt;&gt;"",'All Cases - Enter Cases'!J570,"")</f>
        <v/>
      </c>
      <c r="K570" s="4" t="str">
        <f>IF($A570&lt;&gt;"",'All Cases - Enter Cases'!K570,"")</f>
        <v/>
      </c>
      <c r="L570" s="4" t="str">
        <f>IF($A570&lt;&gt;"",'All Cases - Enter Cases'!L570,"")</f>
        <v/>
      </c>
      <c r="M570" t="str">
        <f>IF($A570&lt;&gt;"",'All Cases - Enter Cases'!M570,"")</f>
        <v/>
      </c>
    </row>
    <row r="571" spans="1:13" x14ac:dyDescent="0.35">
      <c r="A571" s="4" t="str">
        <f>IF('All Cases - Enter Cases'!$F571="Punjab",'All Cases - Enter Cases'!A571,"")</f>
        <v/>
      </c>
      <c r="B571" t="str">
        <f>IF($A571&lt;&gt;"",'All Cases - Enter Cases'!B571,"")</f>
        <v/>
      </c>
      <c r="C571" t="str">
        <f>IF($A571&lt;&gt;"",'All Cases - Enter Cases'!C571,"")</f>
        <v/>
      </c>
      <c r="D571" t="str">
        <f>IF($A571&lt;&gt;"",'All Cases - Enter Cases'!D571,"")</f>
        <v/>
      </c>
      <c r="E571" t="str">
        <f>IF($A571&lt;&gt;"",'All Cases - Enter Cases'!E571,"")</f>
        <v/>
      </c>
      <c r="F571" t="str">
        <f>IF($A571&lt;&gt;"",'All Cases - Enter Cases'!F571,"")</f>
        <v/>
      </c>
      <c r="G571" t="str">
        <f>IF($A571&lt;&gt;"",'All Cases - Enter Cases'!G571,"")</f>
        <v/>
      </c>
      <c r="H571" t="str">
        <f>IF($A571&lt;&gt;"",'All Cases - Enter Cases'!H571,"")</f>
        <v/>
      </c>
      <c r="I571" t="str">
        <f>IF($A571&lt;&gt;"",'All Cases - Enter Cases'!I571,"")</f>
        <v/>
      </c>
      <c r="J571" s="4" t="str">
        <f>IF($A571&lt;&gt;"",'All Cases - Enter Cases'!J571,"")</f>
        <v/>
      </c>
      <c r="K571" s="4" t="str">
        <f>IF($A571&lt;&gt;"",'All Cases - Enter Cases'!K571,"")</f>
        <v/>
      </c>
      <c r="L571" s="4" t="str">
        <f>IF($A571&lt;&gt;"",'All Cases - Enter Cases'!L571,"")</f>
        <v/>
      </c>
      <c r="M571" t="str">
        <f>IF($A571&lt;&gt;"",'All Cases - Enter Cases'!M571,"")</f>
        <v/>
      </c>
    </row>
    <row r="572" spans="1:13" x14ac:dyDescent="0.35">
      <c r="A572" s="4" t="str">
        <f>IF('All Cases - Enter Cases'!$F572="Punjab",'All Cases - Enter Cases'!A572,"")</f>
        <v/>
      </c>
      <c r="B572" t="str">
        <f>IF($A572&lt;&gt;"",'All Cases - Enter Cases'!B572,"")</f>
        <v/>
      </c>
      <c r="C572" t="str">
        <f>IF($A572&lt;&gt;"",'All Cases - Enter Cases'!C572,"")</f>
        <v/>
      </c>
      <c r="D572" t="str">
        <f>IF($A572&lt;&gt;"",'All Cases - Enter Cases'!D572,"")</f>
        <v/>
      </c>
      <c r="E572" t="str">
        <f>IF($A572&lt;&gt;"",'All Cases - Enter Cases'!E572,"")</f>
        <v/>
      </c>
      <c r="F572" t="str">
        <f>IF($A572&lt;&gt;"",'All Cases - Enter Cases'!F572,"")</f>
        <v/>
      </c>
      <c r="G572" t="str">
        <f>IF($A572&lt;&gt;"",'All Cases - Enter Cases'!G572,"")</f>
        <v/>
      </c>
      <c r="H572" t="str">
        <f>IF($A572&lt;&gt;"",'All Cases - Enter Cases'!H572,"")</f>
        <v/>
      </c>
      <c r="I572" t="str">
        <f>IF($A572&lt;&gt;"",'All Cases - Enter Cases'!I572,"")</f>
        <v/>
      </c>
      <c r="J572" s="4" t="str">
        <f>IF($A572&lt;&gt;"",'All Cases - Enter Cases'!J572,"")</f>
        <v/>
      </c>
      <c r="K572" s="4" t="str">
        <f>IF($A572&lt;&gt;"",'All Cases - Enter Cases'!K572,"")</f>
        <v/>
      </c>
      <c r="L572" s="4" t="str">
        <f>IF($A572&lt;&gt;"",'All Cases - Enter Cases'!L572,"")</f>
        <v/>
      </c>
      <c r="M572" t="str">
        <f>IF($A572&lt;&gt;"",'All Cases - Enter Cases'!M572,"")</f>
        <v/>
      </c>
    </row>
    <row r="573" spans="1:13" x14ac:dyDescent="0.35">
      <c r="A573" s="4" t="str">
        <f>IF('All Cases - Enter Cases'!$F573="Punjab",'All Cases - Enter Cases'!A573,"")</f>
        <v/>
      </c>
      <c r="B573" t="str">
        <f>IF($A573&lt;&gt;"",'All Cases - Enter Cases'!B573,"")</f>
        <v/>
      </c>
      <c r="C573" t="str">
        <f>IF($A573&lt;&gt;"",'All Cases - Enter Cases'!C573,"")</f>
        <v/>
      </c>
      <c r="D573" t="str">
        <f>IF($A573&lt;&gt;"",'All Cases - Enter Cases'!D573,"")</f>
        <v/>
      </c>
      <c r="E573" t="str">
        <f>IF($A573&lt;&gt;"",'All Cases - Enter Cases'!E573,"")</f>
        <v/>
      </c>
      <c r="F573" t="str">
        <f>IF($A573&lt;&gt;"",'All Cases - Enter Cases'!F573,"")</f>
        <v/>
      </c>
      <c r="G573" t="str">
        <f>IF($A573&lt;&gt;"",'All Cases - Enter Cases'!G573,"")</f>
        <v/>
      </c>
      <c r="H573" t="str">
        <f>IF($A573&lt;&gt;"",'All Cases - Enter Cases'!H573,"")</f>
        <v/>
      </c>
      <c r="I573" t="str">
        <f>IF($A573&lt;&gt;"",'All Cases - Enter Cases'!I573,"")</f>
        <v/>
      </c>
      <c r="J573" s="4" t="str">
        <f>IF($A573&lt;&gt;"",'All Cases - Enter Cases'!J573,"")</f>
        <v/>
      </c>
      <c r="K573" s="4" t="str">
        <f>IF($A573&lt;&gt;"",'All Cases - Enter Cases'!K573,"")</f>
        <v/>
      </c>
      <c r="L573" s="4" t="str">
        <f>IF($A573&lt;&gt;"",'All Cases - Enter Cases'!L573,"")</f>
        <v/>
      </c>
      <c r="M573" t="str">
        <f>IF($A573&lt;&gt;"",'All Cases - Enter Cases'!M573,"")</f>
        <v/>
      </c>
    </row>
    <row r="574" spans="1:13" x14ac:dyDescent="0.35">
      <c r="A574" s="4" t="str">
        <f>IF('All Cases - Enter Cases'!$F574="Punjab",'All Cases - Enter Cases'!A574,"")</f>
        <v/>
      </c>
      <c r="B574" t="str">
        <f>IF($A574&lt;&gt;"",'All Cases - Enter Cases'!B574,"")</f>
        <v/>
      </c>
      <c r="C574" t="str">
        <f>IF($A574&lt;&gt;"",'All Cases - Enter Cases'!C574,"")</f>
        <v/>
      </c>
      <c r="D574" t="str">
        <f>IF($A574&lt;&gt;"",'All Cases - Enter Cases'!D574,"")</f>
        <v/>
      </c>
      <c r="E574" t="str">
        <f>IF($A574&lt;&gt;"",'All Cases - Enter Cases'!E574,"")</f>
        <v/>
      </c>
      <c r="F574" t="str">
        <f>IF($A574&lt;&gt;"",'All Cases - Enter Cases'!F574,"")</f>
        <v/>
      </c>
      <c r="G574" t="str">
        <f>IF($A574&lt;&gt;"",'All Cases - Enter Cases'!G574,"")</f>
        <v/>
      </c>
      <c r="H574" t="str">
        <f>IF($A574&lt;&gt;"",'All Cases - Enter Cases'!H574,"")</f>
        <v/>
      </c>
      <c r="I574" t="str">
        <f>IF($A574&lt;&gt;"",'All Cases - Enter Cases'!I574,"")</f>
        <v/>
      </c>
      <c r="J574" s="4" t="str">
        <f>IF($A574&lt;&gt;"",'All Cases - Enter Cases'!J574,"")</f>
        <v/>
      </c>
      <c r="K574" s="4" t="str">
        <f>IF($A574&lt;&gt;"",'All Cases - Enter Cases'!K574,"")</f>
        <v/>
      </c>
      <c r="L574" s="4" t="str">
        <f>IF($A574&lt;&gt;"",'All Cases - Enter Cases'!L574,"")</f>
        <v/>
      </c>
      <c r="M574" t="str">
        <f>IF($A574&lt;&gt;"",'All Cases - Enter Cases'!M574,"")</f>
        <v/>
      </c>
    </row>
    <row r="575" spans="1:13" x14ac:dyDescent="0.35">
      <c r="A575" s="4" t="str">
        <f>IF('All Cases - Enter Cases'!$F575="Punjab",'All Cases - Enter Cases'!A575,"")</f>
        <v/>
      </c>
      <c r="B575" t="str">
        <f>IF($A575&lt;&gt;"",'All Cases - Enter Cases'!B575,"")</f>
        <v/>
      </c>
      <c r="C575" t="str">
        <f>IF($A575&lt;&gt;"",'All Cases - Enter Cases'!C575,"")</f>
        <v/>
      </c>
      <c r="D575" t="str">
        <f>IF($A575&lt;&gt;"",'All Cases - Enter Cases'!D575,"")</f>
        <v/>
      </c>
      <c r="E575" t="str">
        <f>IF($A575&lt;&gt;"",'All Cases - Enter Cases'!E575,"")</f>
        <v/>
      </c>
      <c r="F575" t="str">
        <f>IF($A575&lt;&gt;"",'All Cases - Enter Cases'!F575,"")</f>
        <v/>
      </c>
      <c r="G575" t="str">
        <f>IF($A575&lt;&gt;"",'All Cases - Enter Cases'!G575,"")</f>
        <v/>
      </c>
      <c r="H575" t="str">
        <f>IF($A575&lt;&gt;"",'All Cases - Enter Cases'!H575,"")</f>
        <v/>
      </c>
      <c r="I575" t="str">
        <f>IF($A575&lt;&gt;"",'All Cases - Enter Cases'!I575,"")</f>
        <v/>
      </c>
      <c r="J575" s="4" t="str">
        <f>IF($A575&lt;&gt;"",'All Cases - Enter Cases'!J575,"")</f>
        <v/>
      </c>
      <c r="K575" s="4" t="str">
        <f>IF($A575&lt;&gt;"",'All Cases - Enter Cases'!K575,"")</f>
        <v/>
      </c>
      <c r="L575" s="4" t="str">
        <f>IF($A575&lt;&gt;"",'All Cases - Enter Cases'!L575,"")</f>
        <v/>
      </c>
      <c r="M575" t="str">
        <f>IF($A575&lt;&gt;"",'All Cases - Enter Cases'!M575,"")</f>
        <v/>
      </c>
    </row>
    <row r="576" spans="1:13" x14ac:dyDescent="0.35">
      <c r="A576" s="4" t="str">
        <f>IF('All Cases - Enter Cases'!$F576="Punjab",'All Cases - Enter Cases'!A576,"")</f>
        <v/>
      </c>
      <c r="B576" t="str">
        <f>IF($A576&lt;&gt;"",'All Cases - Enter Cases'!B576,"")</f>
        <v/>
      </c>
      <c r="C576" t="str">
        <f>IF($A576&lt;&gt;"",'All Cases - Enter Cases'!C576,"")</f>
        <v/>
      </c>
      <c r="D576" t="str">
        <f>IF($A576&lt;&gt;"",'All Cases - Enter Cases'!D576,"")</f>
        <v/>
      </c>
      <c r="E576" t="str">
        <f>IF($A576&lt;&gt;"",'All Cases - Enter Cases'!E576,"")</f>
        <v/>
      </c>
      <c r="F576" t="str">
        <f>IF($A576&lt;&gt;"",'All Cases - Enter Cases'!F576,"")</f>
        <v/>
      </c>
      <c r="G576" t="str">
        <f>IF($A576&lt;&gt;"",'All Cases - Enter Cases'!G576,"")</f>
        <v/>
      </c>
      <c r="H576" t="str">
        <f>IF($A576&lt;&gt;"",'All Cases - Enter Cases'!H576,"")</f>
        <v/>
      </c>
      <c r="I576" t="str">
        <f>IF($A576&lt;&gt;"",'All Cases - Enter Cases'!I576,"")</f>
        <v/>
      </c>
      <c r="J576" s="4" t="str">
        <f>IF($A576&lt;&gt;"",'All Cases - Enter Cases'!J576,"")</f>
        <v/>
      </c>
      <c r="K576" s="4" t="str">
        <f>IF($A576&lt;&gt;"",'All Cases - Enter Cases'!K576,"")</f>
        <v/>
      </c>
      <c r="L576" s="4" t="str">
        <f>IF($A576&lt;&gt;"",'All Cases - Enter Cases'!L576,"")</f>
        <v/>
      </c>
      <c r="M576" t="str">
        <f>IF($A576&lt;&gt;"",'All Cases - Enter Cases'!M576,"")</f>
        <v/>
      </c>
    </row>
    <row r="577" spans="1:13" x14ac:dyDescent="0.35">
      <c r="A577" s="4" t="str">
        <f>IF('All Cases - Enter Cases'!$F577="Punjab",'All Cases - Enter Cases'!A577,"")</f>
        <v/>
      </c>
      <c r="B577" t="str">
        <f>IF($A577&lt;&gt;"",'All Cases - Enter Cases'!B577,"")</f>
        <v/>
      </c>
      <c r="C577" t="str">
        <f>IF($A577&lt;&gt;"",'All Cases - Enter Cases'!C577,"")</f>
        <v/>
      </c>
      <c r="D577" t="str">
        <f>IF($A577&lt;&gt;"",'All Cases - Enter Cases'!D577,"")</f>
        <v/>
      </c>
      <c r="E577" t="str">
        <f>IF($A577&lt;&gt;"",'All Cases - Enter Cases'!E577,"")</f>
        <v/>
      </c>
      <c r="F577" t="str">
        <f>IF($A577&lt;&gt;"",'All Cases - Enter Cases'!F577,"")</f>
        <v/>
      </c>
      <c r="G577" t="str">
        <f>IF($A577&lt;&gt;"",'All Cases - Enter Cases'!G577,"")</f>
        <v/>
      </c>
      <c r="H577" t="str">
        <f>IF($A577&lt;&gt;"",'All Cases - Enter Cases'!H577,"")</f>
        <v/>
      </c>
      <c r="I577" t="str">
        <f>IF($A577&lt;&gt;"",'All Cases - Enter Cases'!I577,"")</f>
        <v/>
      </c>
      <c r="J577" s="4" t="str">
        <f>IF($A577&lt;&gt;"",'All Cases - Enter Cases'!J577,"")</f>
        <v/>
      </c>
      <c r="K577" s="4" t="str">
        <f>IF($A577&lt;&gt;"",'All Cases - Enter Cases'!K577,"")</f>
        <v/>
      </c>
      <c r="L577" s="4" t="str">
        <f>IF($A577&lt;&gt;"",'All Cases - Enter Cases'!L577,"")</f>
        <v/>
      </c>
      <c r="M577" t="str">
        <f>IF($A577&lt;&gt;"",'All Cases - Enter Cases'!M577,"")</f>
        <v/>
      </c>
    </row>
    <row r="578" spans="1:13" x14ac:dyDescent="0.35">
      <c r="A578" s="4" t="str">
        <f>IF('All Cases - Enter Cases'!$F578="Punjab",'All Cases - Enter Cases'!A578,"")</f>
        <v/>
      </c>
      <c r="B578" t="str">
        <f>IF($A578&lt;&gt;"",'All Cases - Enter Cases'!B578,"")</f>
        <v/>
      </c>
      <c r="C578" t="str">
        <f>IF($A578&lt;&gt;"",'All Cases - Enter Cases'!C578,"")</f>
        <v/>
      </c>
      <c r="D578" t="str">
        <f>IF($A578&lt;&gt;"",'All Cases - Enter Cases'!D578,"")</f>
        <v/>
      </c>
      <c r="E578" t="str">
        <f>IF($A578&lt;&gt;"",'All Cases - Enter Cases'!E578,"")</f>
        <v/>
      </c>
      <c r="F578" t="str">
        <f>IF($A578&lt;&gt;"",'All Cases - Enter Cases'!F578,"")</f>
        <v/>
      </c>
      <c r="G578" t="str">
        <f>IF($A578&lt;&gt;"",'All Cases - Enter Cases'!G578,"")</f>
        <v/>
      </c>
      <c r="H578" t="str">
        <f>IF($A578&lt;&gt;"",'All Cases - Enter Cases'!H578,"")</f>
        <v/>
      </c>
      <c r="I578" t="str">
        <f>IF($A578&lt;&gt;"",'All Cases - Enter Cases'!I578,"")</f>
        <v/>
      </c>
      <c r="J578" s="4" t="str">
        <f>IF($A578&lt;&gt;"",'All Cases - Enter Cases'!J578,"")</f>
        <v/>
      </c>
      <c r="K578" s="4" t="str">
        <f>IF($A578&lt;&gt;"",'All Cases - Enter Cases'!K578,"")</f>
        <v/>
      </c>
      <c r="L578" s="4" t="str">
        <f>IF($A578&lt;&gt;"",'All Cases - Enter Cases'!L578,"")</f>
        <v/>
      </c>
      <c r="M578" t="str">
        <f>IF($A578&lt;&gt;"",'All Cases - Enter Cases'!M578,"")</f>
        <v/>
      </c>
    </row>
    <row r="579" spans="1:13" x14ac:dyDescent="0.35">
      <c r="A579" s="4" t="str">
        <f>IF('All Cases - Enter Cases'!$F579="Punjab",'All Cases - Enter Cases'!A579,"")</f>
        <v/>
      </c>
      <c r="B579" t="str">
        <f>IF($A579&lt;&gt;"",'All Cases - Enter Cases'!B579,"")</f>
        <v/>
      </c>
      <c r="C579" t="str">
        <f>IF($A579&lt;&gt;"",'All Cases - Enter Cases'!C579,"")</f>
        <v/>
      </c>
      <c r="D579" t="str">
        <f>IF($A579&lt;&gt;"",'All Cases - Enter Cases'!D579,"")</f>
        <v/>
      </c>
      <c r="E579" t="str">
        <f>IF($A579&lt;&gt;"",'All Cases - Enter Cases'!E579,"")</f>
        <v/>
      </c>
      <c r="F579" t="str">
        <f>IF($A579&lt;&gt;"",'All Cases - Enter Cases'!F579,"")</f>
        <v/>
      </c>
      <c r="G579" t="str">
        <f>IF($A579&lt;&gt;"",'All Cases - Enter Cases'!G579,"")</f>
        <v/>
      </c>
      <c r="H579" t="str">
        <f>IF($A579&lt;&gt;"",'All Cases - Enter Cases'!H579,"")</f>
        <v/>
      </c>
      <c r="I579" t="str">
        <f>IF($A579&lt;&gt;"",'All Cases - Enter Cases'!I579,"")</f>
        <v/>
      </c>
      <c r="J579" s="4" t="str">
        <f>IF($A579&lt;&gt;"",'All Cases - Enter Cases'!J579,"")</f>
        <v/>
      </c>
      <c r="K579" s="4" t="str">
        <f>IF($A579&lt;&gt;"",'All Cases - Enter Cases'!K579,"")</f>
        <v/>
      </c>
      <c r="L579" s="4" t="str">
        <f>IF($A579&lt;&gt;"",'All Cases - Enter Cases'!L579,"")</f>
        <v/>
      </c>
      <c r="M579" t="str">
        <f>IF($A579&lt;&gt;"",'All Cases - Enter Cases'!M579,"")</f>
        <v/>
      </c>
    </row>
    <row r="580" spans="1:13" x14ac:dyDescent="0.35">
      <c r="A580" s="4" t="str">
        <f>IF('All Cases - Enter Cases'!$F580="Punjab",'All Cases - Enter Cases'!A580,"")</f>
        <v/>
      </c>
      <c r="B580" t="str">
        <f>IF($A580&lt;&gt;"",'All Cases - Enter Cases'!B580,"")</f>
        <v/>
      </c>
      <c r="C580" t="str">
        <f>IF($A580&lt;&gt;"",'All Cases - Enter Cases'!C580,"")</f>
        <v/>
      </c>
      <c r="D580" t="str">
        <f>IF($A580&lt;&gt;"",'All Cases - Enter Cases'!D580,"")</f>
        <v/>
      </c>
      <c r="E580" t="str">
        <f>IF($A580&lt;&gt;"",'All Cases - Enter Cases'!E580,"")</f>
        <v/>
      </c>
      <c r="F580" t="str">
        <f>IF($A580&lt;&gt;"",'All Cases - Enter Cases'!F580,"")</f>
        <v/>
      </c>
      <c r="G580" t="str">
        <f>IF($A580&lt;&gt;"",'All Cases - Enter Cases'!G580,"")</f>
        <v/>
      </c>
      <c r="H580" t="str">
        <f>IF($A580&lt;&gt;"",'All Cases - Enter Cases'!H580,"")</f>
        <v/>
      </c>
      <c r="I580" t="str">
        <f>IF($A580&lt;&gt;"",'All Cases - Enter Cases'!I580,"")</f>
        <v/>
      </c>
      <c r="J580" s="4" t="str">
        <f>IF($A580&lt;&gt;"",'All Cases - Enter Cases'!J580,"")</f>
        <v/>
      </c>
      <c r="K580" s="4" t="str">
        <f>IF($A580&lt;&gt;"",'All Cases - Enter Cases'!K580,"")</f>
        <v/>
      </c>
      <c r="L580" s="4" t="str">
        <f>IF($A580&lt;&gt;"",'All Cases - Enter Cases'!L580,"")</f>
        <v/>
      </c>
      <c r="M580" t="str">
        <f>IF($A580&lt;&gt;"",'All Cases - Enter Cases'!M580,"")</f>
        <v/>
      </c>
    </row>
    <row r="581" spans="1:13" x14ac:dyDescent="0.35">
      <c r="A581" s="4" t="str">
        <f>IF('All Cases - Enter Cases'!$F581="Punjab",'All Cases - Enter Cases'!A581,"")</f>
        <v/>
      </c>
      <c r="B581" t="str">
        <f>IF($A581&lt;&gt;"",'All Cases - Enter Cases'!B581,"")</f>
        <v/>
      </c>
      <c r="C581" t="str">
        <f>IF($A581&lt;&gt;"",'All Cases - Enter Cases'!C581,"")</f>
        <v/>
      </c>
      <c r="D581" t="str">
        <f>IF($A581&lt;&gt;"",'All Cases - Enter Cases'!D581,"")</f>
        <v/>
      </c>
      <c r="E581" t="str">
        <f>IF($A581&lt;&gt;"",'All Cases - Enter Cases'!E581,"")</f>
        <v/>
      </c>
      <c r="F581" t="str">
        <f>IF($A581&lt;&gt;"",'All Cases - Enter Cases'!F581,"")</f>
        <v/>
      </c>
      <c r="G581" t="str">
        <f>IF($A581&lt;&gt;"",'All Cases - Enter Cases'!G581,"")</f>
        <v/>
      </c>
      <c r="H581" t="str">
        <f>IF($A581&lt;&gt;"",'All Cases - Enter Cases'!H581,"")</f>
        <v/>
      </c>
      <c r="I581" t="str">
        <f>IF($A581&lt;&gt;"",'All Cases - Enter Cases'!I581,"")</f>
        <v/>
      </c>
      <c r="J581" s="4" t="str">
        <f>IF($A581&lt;&gt;"",'All Cases - Enter Cases'!J581,"")</f>
        <v/>
      </c>
      <c r="K581" s="4" t="str">
        <f>IF($A581&lt;&gt;"",'All Cases - Enter Cases'!K581,"")</f>
        <v/>
      </c>
      <c r="L581" s="4" t="str">
        <f>IF($A581&lt;&gt;"",'All Cases - Enter Cases'!L581,"")</f>
        <v/>
      </c>
      <c r="M581" t="str">
        <f>IF($A581&lt;&gt;"",'All Cases - Enter Cases'!M581,"")</f>
        <v/>
      </c>
    </row>
    <row r="582" spans="1:13" x14ac:dyDescent="0.35">
      <c r="A582" s="4" t="str">
        <f>IF('All Cases - Enter Cases'!$F582="Punjab",'All Cases - Enter Cases'!A582,"")</f>
        <v/>
      </c>
      <c r="B582" t="str">
        <f>IF($A582&lt;&gt;"",'All Cases - Enter Cases'!B582,"")</f>
        <v/>
      </c>
      <c r="C582" t="str">
        <f>IF($A582&lt;&gt;"",'All Cases - Enter Cases'!C582,"")</f>
        <v/>
      </c>
      <c r="D582" t="str">
        <f>IF($A582&lt;&gt;"",'All Cases - Enter Cases'!D582,"")</f>
        <v/>
      </c>
      <c r="E582" t="str">
        <f>IF($A582&lt;&gt;"",'All Cases - Enter Cases'!E582,"")</f>
        <v/>
      </c>
      <c r="F582" t="str">
        <f>IF($A582&lt;&gt;"",'All Cases - Enter Cases'!F582,"")</f>
        <v/>
      </c>
      <c r="G582" t="str">
        <f>IF($A582&lt;&gt;"",'All Cases - Enter Cases'!G582,"")</f>
        <v/>
      </c>
      <c r="H582" t="str">
        <f>IF($A582&lt;&gt;"",'All Cases - Enter Cases'!H582,"")</f>
        <v/>
      </c>
      <c r="I582" t="str">
        <f>IF($A582&lt;&gt;"",'All Cases - Enter Cases'!I582,"")</f>
        <v/>
      </c>
      <c r="J582" s="4" t="str">
        <f>IF($A582&lt;&gt;"",'All Cases - Enter Cases'!J582,"")</f>
        <v/>
      </c>
      <c r="K582" s="4" t="str">
        <f>IF($A582&lt;&gt;"",'All Cases - Enter Cases'!K582,"")</f>
        <v/>
      </c>
      <c r="L582" s="4" t="str">
        <f>IF($A582&lt;&gt;"",'All Cases - Enter Cases'!L582,"")</f>
        <v/>
      </c>
      <c r="M582" t="str">
        <f>IF($A582&lt;&gt;"",'All Cases - Enter Cases'!M582,"")</f>
        <v/>
      </c>
    </row>
    <row r="583" spans="1:13" x14ac:dyDescent="0.35">
      <c r="A583" s="4" t="str">
        <f>IF('All Cases - Enter Cases'!$F583="Punjab",'All Cases - Enter Cases'!A583,"")</f>
        <v/>
      </c>
      <c r="B583" t="str">
        <f>IF($A583&lt;&gt;"",'All Cases - Enter Cases'!B583,"")</f>
        <v/>
      </c>
      <c r="C583" t="str">
        <f>IF($A583&lt;&gt;"",'All Cases - Enter Cases'!C583,"")</f>
        <v/>
      </c>
      <c r="D583" t="str">
        <f>IF($A583&lt;&gt;"",'All Cases - Enter Cases'!D583,"")</f>
        <v/>
      </c>
      <c r="E583" t="str">
        <f>IF($A583&lt;&gt;"",'All Cases - Enter Cases'!E583,"")</f>
        <v/>
      </c>
      <c r="F583" t="str">
        <f>IF($A583&lt;&gt;"",'All Cases - Enter Cases'!F583,"")</f>
        <v/>
      </c>
      <c r="G583" t="str">
        <f>IF($A583&lt;&gt;"",'All Cases - Enter Cases'!G583,"")</f>
        <v/>
      </c>
      <c r="H583" t="str">
        <f>IF($A583&lt;&gt;"",'All Cases - Enter Cases'!H583,"")</f>
        <v/>
      </c>
      <c r="I583" t="str">
        <f>IF($A583&lt;&gt;"",'All Cases - Enter Cases'!I583,"")</f>
        <v/>
      </c>
      <c r="J583" s="4" t="str">
        <f>IF($A583&lt;&gt;"",'All Cases - Enter Cases'!J583,"")</f>
        <v/>
      </c>
      <c r="K583" s="4" t="str">
        <f>IF($A583&lt;&gt;"",'All Cases - Enter Cases'!K583,"")</f>
        <v/>
      </c>
      <c r="L583" s="4" t="str">
        <f>IF($A583&lt;&gt;"",'All Cases - Enter Cases'!L583,"")</f>
        <v/>
      </c>
      <c r="M583" t="str">
        <f>IF($A583&lt;&gt;"",'All Cases - Enter Cases'!M583,"")</f>
        <v/>
      </c>
    </row>
    <row r="584" spans="1:13" x14ac:dyDescent="0.35">
      <c r="A584" s="4" t="str">
        <f>IF('All Cases - Enter Cases'!$F584="Punjab",'All Cases - Enter Cases'!A584,"")</f>
        <v/>
      </c>
      <c r="B584" t="str">
        <f>IF($A584&lt;&gt;"",'All Cases - Enter Cases'!B584,"")</f>
        <v/>
      </c>
      <c r="C584" t="str">
        <f>IF($A584&lt;&gt;"",'All Cases - Enter Cases'!C584,"")</f>
        <v/>
      </c>
      <c r="D584" t="str">
        <f>IF($A584&lt;&gt;"",'All Cases - Enter Cases'!D584,"")</f>
        <v/>
      </c>
      <c r="E584" t="str">
        <f>IF($A584&lt;&gt;"",'All Cases - Enter Cases'!E584,"")</f>
        <v/>
      </c>
      <c r="F584" t="str">
        <f>IF($A584&lt;&gt;"",'All Cases - Enter Cases'!F584,"")</f>
        <v/>
      </c>
      <c r="G584" t="str">
        <f>IF($A584&lt;&gt;"",'All Cases - Enter Cases'!G584,"")</f>
        <v/>
      </c>
      <c r="H584" t="str">
        <f>IF($A584&lt;&gt;"",'All Cases - Enter Cases'!H584,"")</f>
        <v/>
      </c>
      <c r="I584" t="str">
        <f>IF($A584&lt;&gt;"",'All Cases - Enter Cases'!I584,"")</f>
        <v/>
      </c>
      <c r="J584" s="4" t="str">
        <f>IF($A584&lt;&gt;"",'All Cases - Enter Cases'!J584,"")</f>
        <v/>
      </c>
      <c r="K584" s="4" t="str">
        <f>IF($A584&lt;&gt;"",'All Cases - Enter Cases'!K584,"")</f>
        <v/>
      </c>
      <c r="L584" s="4" t="str">
        <f>IF($A584&lt;&gt;"",'All Cases - Enter Cases'!L584,"")</f>
        <v/>
      </c>
      <c r="M584" t="str">
        <f>IF($A584&lt;&gt;"",'All Cases - Enter Cases'!M584,"")</f>
        <v/>
      </c>
    </row>
    <row r="585" spans="1:13" x14ac:dyDescent="0.35">
      <c r="A585" s="4" t="str">
        <f>IF('All Cases - Enter Cases'!$F585="Punjab",'All Cases - Enter Cases'!A585,"")</f>
        <v/>
      </c>
      <c r="B585" t="str">
        <f>IF($A585&lt;&gt;"",'All Cases - Enter Cases'!B585,"")</f>
        <v/>
      </c>
      <c r="C585" t="str">
        <f>IF($A585&lt;&gt;"",'All Cases - Enter Cases'!C585,"")</f>
        <v/>
      </c>
      <c r="D585" t="str">
        <f>IF($A585&lt;&gt;"",'All Cases - Enter Cases'!D585,"")</f>
        <v/>
      </c>
      <c r="E585" t="str">
        <f>IF($A585&lt;&gt;"",'All Cases - Enter Cases'!E585,"")</f>
        <v/>
      </c>
      <c r="F585" t="str">
        <f>IF($A585&lt;&gt;"",'All Cases - Enter Cases'!F585,"")</f>
        <v/>
      </c>
      <c r="G585" t="str">
        <f>IF($A585&lt;&gt;"",'All Cases - Enter Cases'!G585,"")</f>
        <v/>
      </c>
      <c r="H585" t="str">
        <f>IF($A585&lt;&gt;"",'All Cases - Enter Cases'!H585,"")</f>
        <v/>
      </c>
      <c r="I585" t="str">
        <f>IF($A585&lt;&gt;"",'All Cases - Enter Cases'!I585,"")</f>
        <v/>
      </c>
      <c r="J585" s="4" t="str">
        <f>IF($A585&lt;&gt;"",'All Cases - Enter Cases'!J585,"")</f>
        <v/>
      </c>
      <c r="K585" s="4" t="str">
        <f>IF($A585&lt;&gt;"",'All Cases - Enter Cases'!K585,"")</f>
        <v/>
      </c>
      <c r="L585" s="4" t="str">
        <f>IF($A585&lt;&gt;"",'All Cases - Enter Cases'!L585,"")</f>
        <v/>
      </c>
      <c r="M585" t="str">
        <f>IF($A585&lt;&gt;"",'All Cases - Enter Cases'!M585,"")</f>
        <v/>
      </c>
    </row>
    <row r="586" spans="1:13" x14ac:dyDescent="0.35">
      <c r="A586" s="4" t="str">
        <f>IF('All Cases - Enter Cases'!$F586="Punjab",'All Cases - Enter Cases'!A586,"")</f>
        <v/>
      </c>
      <c r="B586" t="str">
        <f>IF($A586&lt;&gt;"",'All Cases - Enter Cases'!B586,"")</f>
        <v/>
      </c>
      <c r="C586" t="str">
        <f>IF($A586&lt;&gt;"",'All Cases - Enter Cases'!C586,"")</f>
        <v/>
      </c>
      <c r="D586" t="str">
        <f>IF($A586&lt;&gt;"",'All Cases - Enter Cases'!D586,"")</f>
        <v/>
      </c>
      <c r="E586" t="str">
        <f>IF($A586&lt;&gt;"",'All Cases - Enter Cases'!E586,"")</f>
        <v/>
      </c>
      <c r="F586" t="str">
        <f>IF($A586&lt;&gt;"",'All Cases - Enter Cases'!F586,"")</f>
        <v/>
      </c>
      <c r="G586" t="str">
        <f>IF($A586&lt;&gt;"",'All Cases - Enter Cases'!G586,"")</f>
        <v/>
      </c>
      <c r="H586" t="str">
        <f>IF($A586&lt;&gt;"",'All Cases - Enter Cases'!H586,"")</f>
        <v/>
      </c>
      <c r="I586" t="str">
        <f>IF($A586&lt;&gt;"",'All Cases - Enter Cases'!I586,"")</f>
        <v/>
      </c>
      <c r="J586" s="4" t="str">
        <f>IF($A586&lt;&gt;"",'All Cases - Enter Cases'!J586,"")</f>
        <v/>
      </c>
      <c r="K586" s="4" t="str">
        <f>IF($A586&lt;&gt;"",'All Cases - Enter Cases'!K586,"")</f>
        <v/>
      </c>
      <c r="L586" s="4" t="str">
        <f>IF($A586&lt;&gt;"",'All Cases - Enter Cases'!L586,"")</f>
        <v/>
      </c>
      <c r="M586" t="str">
        <f>IF($A586&lt;&gt;"",'All Cases - Enter Cases'!M586,"")</f>
        <v/>
      </c>
    </row>
    <row r="587" spans="1:13" x14ac:dyDescent="0.35">
      <c r="A587" s="4" t="str">
        <f>IF('All Cases - Enter Cases'!$F587="Punjab",'All Cases - Enter Cases'!A587,"")</f>
        <v/>
      </c>
      <c r="B587" t="str">
        <f>IF($A587&lt;&gt;"",'All Cases - Enter Cases'!B587,"")</f>
        <v/>
      </c>
      <c r="C587" t="str">
        <f>IF($A587&lt;&gt;"",'All Cases - Enter Cases'!C587,"")</f>
        <v/>
      </c>
      <c r="D587" t="str">
        <f>IF($A587&lt;&gt;"",'All Cases - Enter Cases'!D587,"")</f>
        <v/>
      </c>
      <c r="E587" t="str">
        <f>IF($A587&lt;&gt;"",'All Cases - Enter Cases'!E587,"")</f>
        <v/>
      </c>
      <c r="F587" t="str">
        <f>IF($A587&lt;&gt;"",'All Cases - Enter Cases'!F587,"")</f>
        <v/>
      </c>
      <c r="G587" t="str">
        <f>IF($A587&lt;&gt;"",'All Cases - Enter Cases'!G587,"")</f>
        <v/>
      </c>
      <c r="H587" t="str">
        <f>IF($A587&lt;&gt;"",'All Cases - Enter Cases'!H587,"")</f>
        <v/>
      </c>
      <c r="I587" t="str">
        <f>IF($A587&lt;&gt;"",'All Cases - Enter Cases'!I587,"")</f>
        <v/>
      </c>
      <c r="J587" s="4" t="str">
        <f>IF($A587&lt;&gt;"",'All Cases - Enter Cases'!J587,"")</f>
        <v/>
      </c>
      <c r="K587" s="4" t="str">
        <f>IF($A587&lt;&gt;"",'All Cases - Enter Cases'!K587,"")</f>
        <v/>
      </c>
      <c r="L587" s="4" t="str">
        <f>IF($A587&lt;&gt;"",'All Cases - Enter Cases'!L587,"")</f>
        <v/>
      </c>
      <c r="M587" t="str">
        <f>IF($A587&lt;&gt;"",'All Cases - Enter Cases'!M587,"")</f>
        <v/>
      </c>
    </row>
    <row r="588" spans="1:13" x14ac:dyDescent="0.35">
      <c r="A588" s="4" t="str">
        <f>IF('All Cases - Enter Cases'!$F588="Punjab",'All Cases - Enter Cases'!A588,"")</f>
        <v/>
      </c>
      <c r="B588" t="str">
        <f>IF($A588&lt;&gt;"",'All Cases - Enter Cases'!B588,"")</f>
        <v/>
      </c>
      <c r="C588" t="str">
        <f>IF($A588&lt;&gt;"",'All Cases - Enter Cases'!C588,"")</f>
        <v/>
      </c>
      <c r="D588" t="str">
        <f>IF($A588&lt;&gt;"",'All Cases - Enter Cases'!D588,"")</f>
        <v/>
      </c>
      <c r="E588" t="str">
        <f>IF($A588&lt;&gt;"",'All Cases - Enter Cases'!E588,"")</f>
        <v/>
      </c>
      <c r="F588" t="str">
        <f>IF($A588&lt;&gt;"",'All Cases - Enter Cases'!F588,"")</f>
        <v/>
      </c>
      <c r="G588" t="str">
        <f>IF($A588&lt;&gt;"",'All Cases - Enter Cases'!G588,"")</f>
        <v/>
      </c>
      <c r="H588" t="str">
        <f>IF($A588&lt;&gt;"",'All Cases - Enter Cases'!H588,"")</f>
        <v/>
      </c>
      <c r="I588" t="str">
        <f>IF($A588&lt;&gt;"",'All Cases - Enter Cases'!I588,"")</f>
        <v/>
      </c>
      <c r="J588" s="4" t="str">
        <f>IF($A588&lt;&gt;"",'All Cases - Enter Cases'!J588,"")</f>
        <v/>
      </c>
      <c r="K588" s="4" t="str">
        <f>IF($A588&lt;&gt;"",'All Cases - Enter Cases'!K588,"")</f>
        <v/>
      </c>
      <c r="L588" s="4" t="str">
        <f>IF($A588&lt;&gt;"",'All Cases - Enter Cases'!L588,"")</f>
        <v/>
      </c>
      <c r="M588" t="str">
        <f>IF($A588&lt;&gt;"",'All Cases - Enter Cases'!M588,"")</f>
        <v/>
      </c>
    </row>
    <row r="589" spans="1:13" x14ac:dyDescent="0.35">
      <c r="A589" s="4" t="str">
        <f>IF('All Cases - Enter Cases'!$F589="Punjab",'All Cases - Enter Cases'!A589,"")</f>
        <v/>
      </c>
      <c r="B589" t="str">
        <f>IF($A589&lt;&gt;"",'All Cases - Enter Cases'!B589,"")</f>
        <v/>
      </c>
      <c r="C589" t="str">
        <f>IF($A589&lt;&gt;"",'All Cases - Enter Cases'!C589,"")</f>
        <v/>
      </c>
      <c r="D589" t="str">
        <f>IF($A589&lt;&gt;"",'All Cases - Enter Cases'!D589,"")</f>
        <v/>
      </c>
      <c r="E589" t="str">
        <f>IF($A589&lt;&gt;"",'All Cases - Enter Cases'!E589,"")</f>
        <v/>
      </c>
      <c r="F589" t="str">
        <f>IF($A589&lt;&gt;"",'All Cases - Enter Cases'!F589,"")</f>
        <v/>
      </c>
      <c r="G589" t="str">
        <f>IF($A589&lt;&gt;"",'All Cases - Enter Cases'!G589,"")</f>
        <v/>
      </c>
      <c r="H589" t="str">
        <f>IF($A589&lt;&gt;"",'All Cases - Enter Cases'!H589,"")</f>
        <v/>
      </c>
      <c r="I589" t="str">
        <f>IF($A589&lt;&gt;"",'All Cases - Enter Cases'!I589,"")</f>
        <v/>
      </c>
      <c r="J589" s="4" t="str">
        <f>IF($A589&lt;&gt;"",'All Cases - Enter Cases'!J589,"")</f>
        <v/>
      </c>
      <c r="K589" s="4" t="str">
        <f>IF($A589&lt;&gt;"",'All Cases - Enter Cases'!K589,"")</f>
        <v/>
      </c>
      <c r="L589" s="4" t="str">
        <f>IF($A589&lt;&gt;"",'All Cases - Enter Cases'!L589,"")</f>
        <v/>
      </c>
      <c r="M589" t="str">
        <f>IF($A589&lt;&gt;"",'All Cases - Enter Cases'!M589,"")</f>
        <v/>
      </c>
    </row>
    <row r="590" spans="1:13" x14ac:dyDescent="0.35">
      <c r="A590" s="4" t="str">
        <f>IF('All Cases - Enter Cases'!$F590="Punjab",'All Cases - Enter Cases'!A590,"")</f>
        <v/>
      </c>
      <c r="B590" t="str">
        <f>IF($A590&lt;&gt;"",'All Cases - Enter Cases'!B590,"")</f>
        <v/>
      </c>
      <c r="C590" t="str">
        <f>IF($A590&lt;&gt;"",'All Cases - Enter Cases'!C590,"")</f>
        <v/>
      </c>
      <c r="D590" t="str">
        <f>IF($A590&lt;&gt;"",'All Cases - Enter Cases'!D590,"")</f>
        <v/>
      </c>
      <c r="E590" t="str">
        <f>IF($A590&lt;&gt;"",'All Cases - Enter Cases'!E590,"")</f>
        <v/>
      </c>
      <c r="F590" t="str">
        <f>IF($A590&lt;&gt;"",'All Cases - Enter Cases'!F590,"")</f>
        <v/>
      </c>
      <c r="G590" t="str">
        <f>IF($A590&lt;&gt;"",'All Cases - Enter Cases'!G590,"")</f>
        <v/>
      </c>
      <c r="H590" t="str">
        <f>IF($A590&lt;&gt;"",'All Cases - Enter Cases'!H590,"")</f>
        <v/>
      </c>
      <c r="I590" t="str">
        <f>IF($A590&lt;&gt;"",'All Cases - Enter Cases'!I590,"")</f>
        <v/>
      </c>
      <c r="J590" s="4" t="str">
        <f>IF($A590&lt;&gt;"",'All Cases - Enter Cases'!J590,"")</f>
        <v/>
      </c>
      <c r="K590" s="4" t="str">
        <f>IF($A590&lt;&gt;"",'All Cases - Enter Cases'!K590,"")</f>
        <v/>
      </c>
      <c r="L590" s="4" t="str">
        <f>IF($A590&lt;&gt;"",'All Cases - Enter Cases'!L590,"")</f>
        <v/>
      </c>
      <c r="M590" t="str">
        <f>IF($A590&lt;&gt;"",'All Cases - Enter Cases'!M590,"")</f>
        <v/>
      </c>
    </row>
    <row r="591" spans="1:13" x14ac:dyDescent="0.35">
      <c r="A591" s="4" t="str">
        <f>IF('All Cases - Enter Cases'!$F591="Punjab",'All Cases - Enter Cases'!A591,"")</f>
        <v/>
      </c>
      <c r="B591" t="str">
        <f>IF($A591&lt;&gt;"",'All Cases - Enter Cases'!B591,"")</f>
        <v/>
      </c>
      <c r="C591" t="str">
        <f>IF($A591&lt;&gt;"",'All Cases - Enter Cases'!C591,"")</f>
        <v/>
      </c>
      <c r="D591" t="str">
        <f>IF($A591&lt;&gt;"",'All Cases - Enter Cases'!D591,"")</f>
        <v/>
      </c>
      <c r="E591" t="str">
        <f>IF($A591&lt;&gt;"",'All Cases - Enter Cases'!E591,"")</f>
        <v/>
      </c>
      <c r="F591" t="str">
        <f>IF($A591&lt;&gt;"",'All Cases - Enter Cases'!F591,"")</f>
        <v/>
      </c>
      <c r="G591" t="str">
        <f>IF($A591&lt;&gt;"",'All Cases - Enter Cases'!G591,"")</f>
        <v/>
      </c>
      <c r="H591" t="str">
        <f>IF($A591&lt;&gt;"",'All Cases - Enter Cases'!H591,"")</f>
        <v/>
      </c>
      <c r="I591" t="str">
        <f>IF($A591&lt;&gt;"",'All Cases - Enter Cases'!I591,"")</f>
        <v/>
      </c>
      <c r="J591" s="4" t="str">
        <f>IF($A591&lt;&gt;"",'All Cases - Enter Cases'!J591,"")</f>
        <v/>
      </c>
      <c r="K591" s="4" t="str">
        <f>IF($A591&lt;&gt;"",'All Cases - Enter Cases'!K591,"")</f>
        <v/>
      </c>
      <c r="L591" s="4" t="str">
        <f>IF($A591&lt;&gt;"",'All Cases - Enter Cases'!L591,"")</f>
        <v/>
      </c>
      <c r="M591" t="str">
        <f>IF($A591&lt;&gt;"",'All Cases - Enter Cases'!M591,"")</f>
        <v/>
      </c>
    </row>
    <row r="592" spans="1:13" x14ac:dyDescent="0.35">
      <c r="A592" s="4" t="str">
        <f>IF('All Cases - Enter Cases'!$F592="Punjab",'All Cases - Enter Cases'!A592,"")</f>
        <v/>
      </c>
      <c r="B592" t="str">
        <f>IF($A592&lt;&gt;"",'All Cases - Enter Cases'!B592,"")</f>
        <v/>
      </c>
      <c r="C592" t="str">
        <f>IF($A592&lt;&gt;"",'All Cases - Enter Cases'!C592,"")</f>
        <v/>
      </c>
      <c r="D592" t="str">
        <f>IF($A592&lt;&gt;"",'All Cases - Enter Cases'!D592,"")</f>
        <v/>
      </c>
      <c r="E592" t="str">
        <f>IF($A592&lt;&gt;"",'All Cases - Enter Cases'!E592,"")</f>
        <v/>
      </c>
      <c r="F592" t="str">
        <f>IF($A592&lt;&gt;"",'All Cases - Enter Cases'!F592,"")</f>
        <v/>
      </c>
      <c r="G592" t="str">
        <f>IF($A592&lt;&gt;"",'All Cases - Enter Cases'!G592,"")</f>
        <v/>
      </c>
      <c r="H592" t="str">
        <f>IF($A592&lt;&gt;"",'All Cases - Enter Cases'!H592,"")</f>
        <v/>
      </c>
      <c r="I592" t="str">
        <f>IF($A592&lt;&gt;"",'All Cases - Enter Cases'!I592,"")</f>
        <v/>
      </c>
      <c r="J592" s="4" t="str">
        <f>IF($A592&lt;&gt;"",'All Cases - Enter Cases'!J592,"")</f>
        <v/>
      </c>
      <c r="K592" s="4" t="str">
        <f>IF($A592&lt;&gt;"",'All Cases - Enter Cases'!K592,"")</f>
        <v/>
      </c>
      <c r="L592" s="4" t="str">
        <f>IF($A592&lt;&gt;"",'All Cases - Enter Cases'!L592,"")</f>
        <v/>
      </c>
      <c r="M592" t="str">
        <f>IF($A592&lt;&gt;"",'All Cases - Enter Cases'!M592,"")</f>
        <v/>
      </c>
    </row>
    <row r="593" spans="1:13" x14ac:dyDescent="0.35">
      <c r="A593" s="4" t="str">
        <f>IF('All Cases - Enter Cases'!$F593="Punjab",'All Cases - Enter Cases'!A593,"")</f>
        <v/>
      </c>
      <c r="B593" t="str">
        <f>IF($A593&lt;&gt;"",'All Cases - Enter Cases'!B593,"")</f>
        <v/>
      </c>
      <c r="C593" t="str">
        <f>IF($A593&lt;&gt;"",'All Cases - Enter Cases'!C593,"")</f>
        <v/>
      </c>
      <c r="D593" t="str">
        <f>IF($A593&lt;&gt;"",'All Cases - Enter Cases'!D593,"")</f>
        <v/>
      </c>
      <c r="E593" t="str">
        <f>IF($A593&lt;&gt;"",'All Cases - Enter Cases'!E593,"")</f>
        <v/>
      </c>
      <c r="F593" t="str">
        <f>IF($A593&lt;&gt;"",'All Cases - Enter Cases'!F593,"")</f>
        <v/>
      </c>
      <c r="G593" t="str">
        <f>IF($A593&lt;&gt;"",'All Cases - Enter Cases'!G593,"")</f>
        <v/>
      </c>
      <c r="H593" t="str">
        <f>IF($A593&lt;&gt;"",'All Cases - Enter Cases'!H593,"")</f>
        <v/>
      </c>
      <c r="I593" t="str">
        <f>IF($A593&lt;&gt;"",'All Cases - Enter Cases'!I593,"")</f>
        <v/>
      </c>
      <c r="J593" s="4" t="str">
        <f>IF($A593&lt;&gt;"",'All Cases - Enter Cases'!J593,"")</f>
        <v/>
      </c>
      <c r="K593" s="4" t="str">
        <f>IF($A593&lt;&gt;"",'All Cases - Enter Cases'!K593,"")</f>
        <v/>
      </c>
      <c r="L593" s="4" t="str">
        <f>IF($A593&lt;&gt;"",'All Cases - Enter Cases'!L593,"")</f>
        <v/>
      </c>
      <c r="M593" t="str">
        <f>IF($A593&lt;&gt;"",'All Cases - Enter Cases'!M593,"")</f>
        <v/>
      </c>
    </row>
    <row r="594" spans="1:13" x14ac:dyDescent="0.35">
      <c r="A594" s="4" t="str">
        <f>IF('All Cases - Enter Cases'!$F594="Punjab",'All Cases - Enter Cases'!A594,"")</f>
        <v/>
      </c>
      <c r="B594" t="str">
        <f>IF($A594&lt;&gt;"",'All Cases - Enter Cases'!B594,"")</f>
        <v/>
      </c>
      <c r="C594" t="str">
        <f>IF($A594&lt;&gt;"",'All Cases - Enter Cases'!C594,"")</f>
        <v/>
      </c>
      <c r="D594" t="str">
        <f>IF($A594&lt;&gt;"",'All Cases - Enter Cases'!D594,"")</f>
        <v/>
      </c>
      <c r="E594" t="str">
        <f>IF($A594&lt;&gt;"",'All Cases - Enter Cases'!E594,"")</f>
        <v/>
      </c>
      <c r="F594" t="str">
        <f>IF($A594&lt;&gt;"",'All Cases - Enter Cases'!F594,"")</f>
        <v/>
      </c>
      <c r="G594" t="str">
        <f>IF($A594&lt;&gt;"",'All Cases - Enter Cases'!G594,"")</f>
        <v/>
      </c>
      <c r="H594" t="str">
        <f>IF($A594&lt;&gt;"",'All Cases - Enter Cases'!H594,"")</f>
        <v/>
      </c>
      <c r="I594" t="str">
        <f>IF($A594&lt;&gt;"",'All Cases - Enter Cases'!I594,"")</f>
        <v/>
      </c>
      <c r="J594" s="4" t="str">
        <f>IF($A594&lt;&gt;"",'All Cases - Enter Cases'!J594,"")</f>
        <v/>
      </c>
      <c r="K594" s="4" t="str">
        <f>IF($A594&lt;&gt;"",'All Cases - Enter Cases'!K594,"")</f>
        <v/>
      </c>
      <c r="L594" s="4" t="str">
        <f>IF($A594&lt;&gt;"",'All Cases - Enter Cases'!L594,"")</f>
        <v/>
      </c>
      <c r="M594" t="str">
        <f>IF($A594&lt;&gt;"",'All Cases - Enter Cases'!M594,"")</f>
        <v/>
      </c>
    </row>
    <row r="595" spans="1:13" x14ac:dyDescent="0.35">
      <c r="A595" s="4" t="str">
        <f>IF('All Cases - Enter Cases'!$F595="Punjab",'All Cases - Enter Cases'!A595,"")</f>
        <v/>
      </c>
      <c r="B595" t="str">
        <f>IF($A595&lt;&gt;"",'All Cases - Enter Cases'!B595,"")</f>
        <v/>
      </c>
      <c r="C595" t="str">
        <f>IF($A595&lt;&gt;"",'All Cases - Enter Cases'!C595,"")</f>
        <v/>
      </c>
      <c r="D595" t="str">
        <f>IF($A595&lt;&gt;"",'All Cases - Enter Cases'!D595,"")</f>
        <v/>
      </c>
      <c r="E595" t="str">
        <f>IF($A595&lt;&gt;"",'All Cases - Enter Cases'!E595,"")</f>
        <v/>
      </c>
      <c r="F595" t="str">
        <f>IF($A595&lt;&gt;"",'All Cases - Enter Cases'!F595,"")</f>
        <v/>
      </c>
      <c r="G595" t="str">
        <f>IF($A595&lt;&gt;"",'All Cases - Enter Cases'!G595,"")</f>
        <v/>
      </c>
      <c r="H595" t="str">
        <f>IF($A595&lt;&gt;"",'All Cases - Enter Cases'!H595,"")</f>
        <v/>
      </c>
      <c r="I595" t="str">
        <f>IF($A595&lt;&gt;"",'All Cases - Enter Cases'!I595,"")</f>
        <v/>
      </c>
      <c r="J595" s="4" t="str">
        <f>IF($A595&lt;&gt;"",'All Cases - Enter Cases'!J595,"")</f>
        <v/>
      </c>
      <c r="K595" s="4" t="str">
        <f>IF($A595&lt;&gt;"",'All Cases - Enter Cases'!K595,"")</f>
        <v/>
      </c>
      <c r="L595" s="4" t="str">
        <f>IF($A595&lt;&gt;"",'All Cases - Enter Cases'!L595,"")</f>
        <v/>
      </c>
      <c r="M595" t="str">
        <f>IF($A595&lt;&gt;"",'All Cases - Enter Cases'!M595,"")</f>
        <v/>
      </c>
    </row>
    <row r="596" spans="1:13" x14ac:dyDescent="0.35">
      <c r="A596" s="4" t="str">
        <f>IF('All Cases - Enter Cases'!$F596="Punjab",'All Cases - Enter Cases'!A596,"")</f>
        <v/>
      </c>
      <c r="B596" t="str">
        <f>IF($A596&lt;&gt;"",'All Cases - Enter Cases'!B596,"")</f>
        <v/>
      </c>
      <c r="C596" t="str">
        <f>IF($A596&lt;&gt;"",'All Cases - Enter Cases'!C596,"")</f>
        <v/>
      </c>
      <c r="D596" t="str">
        <f>IF($A596&lt;&gt;"",'All Cases - Enter Cases'!D596,"")</f>
        <v/>
      </c>
      <c r="E596" t="str">
        <f>IF($A596&lt;&gt;"",'All Cases - Enter Cases'!E596,"")</f>
        <v/>
      </c>
      <c r="F596" t="str">
        <f>IF($A596&lt;&gt;"",'All Cases - Enter Cases'!F596,"")</f>
        <v/>
      </c>
      <c r="G596" t="str">
        <f>IF($A596&lt;&gt;"",'All Cases - Enter Cases'!G596,"")</f>
        <v/>
      </c>
      <c r="H596" t="str">
        <f>IF($A596&lt;&gt;"",'All Cases - Enter Cases'!H596,"")</f>
        <v/>
      </c>
      <c r="I596" t="str">
        <f>IF($A596&lt;&gt;"",'All Cases - Enter Cases'!I596,"")</f>
        <v/>
      </c>
      <c r="J596" s="4" t="str">
        <f>IF($A596&lt;&gt;"",'All Cases - Enter Cases'!J596,"")</f>
        <v/>
      </c>
      <c r="K596" s="4" t="str">
        <f>IF($A596&lt;&gt;"",'All Cases - Enter Cases'!K596,"")</f>
        <v/>
      </c>
      <c r="L596" s="4" t="str">
        <f>IF($A596&lt;&gt;"",'All Cases - Enter Cases'!L596,"")</f>
        <v/>
      </c>
      <c r="M596" t="str">
        <f>IF($A596&lt;&gt;"",'All Cases - Enter Cases'!M596,"")</f>
        <v/>
      </c>
    </row>
    <row r="597" spans="1:13" x14ac:dyDescent="0.35">
      <c r="A597" s="4" t="str">
        <f>IF('All Cases - Enter Cases'!$F597="Punjab",'All Cases - Enter Cases'!A597,"")</f>
        <v/>
      </c>
      <c r="B597" t="str">
        <f>IF($A597&lt;&gt;"",'All Cases - Enter Cases'!B597,"")</f>
        <v/>
      </c>
      <c r="C597" t="str">
        <f>IF($A597&lt;&gt;"",'All Cases - Enter Cases'!C597,"")</f>
        <v/>
      </c>
      <c r="D597" t="str">
        <f>IF($A597&lt;&gt;"",'All Cases - Enter Cases'!D597,"")</f>
        <v/>
      </c>
      <c r="E597" t="str">
        <f>IF($A597&lt;&gt;"",'All Cases - Enter Cases'!E597,"")</f>
        <v/>
      </c>
      <c r="F597" t="str">
        <f>IF($A597&lt;&gt;"",'All Cases - Enter Cases'!F597,"")</f>
        <v/>
      </c>
      <c r="G597" t="str">
        <f>IF($A597&lt;&gt;"",'All Cases - Enter Cases'!G597,"")</f>
        <v/>
      </c>
      <c r="H597" t="str">
        <f>IF($A597&lt;&gt;"",'All Cases - Enter Cases'!H597,"")</f>
        <v/>
      </c>
      <c r="I597" t="str">
        <f>IF($A597&lt;&gt;"",'All Cases - Enter Cases'!I597,"")</f>
        <v/>
      </c>
      <c r="J597" s="4" t="str">
        <f>IF($A597&lt;&gt;"",'All Cases - Enter Cases'!J597,"")</f>
        <v/>
      </c>
      <c r="K597" s="4" t="str">
        <f>IF($A597&lt;&gt;"",'All Cases - Enter Cases'!K597,"")</f>
        <v/>
      </c>
      <c r="L597" s="4" t="str">
        <f>IF($A597&lt;&gt;"",'All Cases - Enter Cases'!L597,"")</f>
        <v/>
      </c>
      <c r="M597" t="str">
        <f>IF($A597&lt;&gt;"",'All Cases - Enter Cases'!M597,"")</f>
        <v/>
      </c>
    </row>
    <row r="598" spans="1:13" x14ac:dyDescent="0.35">
      <c r="A598" s="4" t="str">
        <f>IF('All Cases - Enter Cases'!$F598="Punjab",'All Cases - Enter Cases'!A598,"")</f>
        <v/>
      </c>
      <c r="B598" t="str">
        <f>IF($A598&lt;&gt;"",'All Cases - Enter Cases'!B598,"")</f>
        <v/>
      </c>
      <c r="C598" t="str">
        <f>IF($A598&lt;&gt;"",'All Cases - Enter Cases'!C598,"")</f>
        <v/>
      </c>
      <c r="D598" t="str">
        <f>IF($A598&lt;&gt;"",'All Cases - Enter Cases'!D598,"")</f>
        <v/>
      </c>
      <c r="E598" t="str">
        <f>IF($A598&lt;&gt;"",'All Cases - Enter Cases'!E598,"")</f>
        <v/>
      </c>
      <c r="F598" t="str">
        <f>IF($A598&lt;&gt;"",'All Cases - Enter Cases'!F598,"")</f>
        <v/>
      </c>
      <c r="G598" t="str">
        <f>IF($A598&lt;&gt;"",'All Cases - Enter Cases'!G598,"")</f>
        <v/>
      </c>
      <c r="H598" t="str">
        <f>IF($A598&lt;&gt;"",'All Cases - Enter Cases'!H598,"")</f>
        <v/>
      </c>
      <c r="I598" t="str">
        <f>IF($A598&lt;&gt;"",'All Cases - Enter Cases'!I598,"")</f>
        <v/>
      </c>
      <c r="J598" s="4" t="str">
        <f>IF($A598&lt;&gt;"",'All Cases - Enter Cases'!J598,"")</f>
        <v/>
      </c>
      <c r="K598" s="4" t="str">
        <f>IF($A598&lt;&gt;"",'All Cases - Enter Cases'!K598,"")</f>
        <v/>
      </c>
      <c r="L598" s="4" t="str">
        <f>IF($A598&lt;&gt;"",'All Cases - Enter Cases'!L598,"")</f>
        <v/>
      </c>
      <c r="M598" t="str">
        <f>IF($A598&lt;&gt;"",'All Cases - Enter Cases'!M598,"")</f>
        <v/>
      </c>
    </row>
    <row r="599" spans="1:13" x14ac:dyDescent="0.35">
      <c r="A599" s="4" t="str">
        <f>IF('All Cases - Enter Cases'!$F599="Punjab",'All Cases - Enter Cases'!A599,"")</f>
        <v/>
      </c>
      <c r="B599" t="str">
        <f>IF($A599&lt;&gt;"",'All Cases - Enter Cases'!B599,"")</f>
        <v/>
      </c>
      <c r="C599" t="str">
        <f>IF($A599&lt;&gt;"",'All Cases - Enter Cases'!C599,"")</f>
        <v/>
      </c>
      <c r="D599" t="str">
        <f>IF($A599&lt;&gt;"",'All Cases - Enter Cases'!D599,"")</f>
        <v/>
      </c>
      <c r="E599" t="str">
        <f>IF($A599&lt;&gt;"",'All Cases - Enter Cases'!E599,"")</f>
        <v/>
      </c>
      <c r="F599" t="str">
        <f>IF($A599&lt;&gt;"",'All Cases - Enter Cases'!F599,"")</f>
        <v/>
      </c>
      <c r="G599" t="str">
        <f>IF($A599&lt;&gt;"",'All Cases - Enter Cases'!G599,"")</f>
        <v/>
      </c>
      <c r="H599" t="str">
        <f>IF($A599&lt;&gt;"",'All Cases - Enter Cases'!H599,"")</f>
        <v/>
      </c>
      <c r="I599" t="str">
        <f>IF($A599&lt;&gt;"",'All Cases - Enter Cases'!I599,"")</f>
        <v/>
      </c>
      <c r="J599" s="4" t="str">
        <f>IF($A599&lt;&gt;"",'All Cases - Enter Cases'!J599,"")</f>
        <v/>
      </c>
      <c r="K599" s="4" t="str">
        <f>IF($A599&lt;&gt;"",'All Cases - Enter Cases'!K599,"")</f>
        <v/>
      </c>
      <c r="L599" s="4" t="str">
        <f>IF($A599&lt;&gt;"",'All Cases - Enter Cases'!L599,"")</f>
        <v/>
      </c>
      <c r="M599" t="str">
        <f>IF($A599&lt;&gt;"",'All Cases - Enter Cases'!M599,"")</f>
        <v/>
      </c>
    </row>
    <row r="600" spans="1:13" x14ac:dyDescent="0.35">
      <c r="A600" s="4" t="str">
        <f>IF('All Cases - Enter Cases'!$F600="Punjab",'All Cases - Enter Cases'!A600,"")</f>
        <v/>
      </c>
      <c r="B600" t="str">
        <f>IF($A600&lt;&gt;"",'All Cases - Enter Cases'!B600,"")</f>
        <v/>
      </c>
      <c r="C600" t="str">
        <f>IF($A600&lt;&gt;"",'All Cases - Enter Cases'!C600,"")</f>
        <v/>
      </c>
      <c r="D600" t="str">
        <f>IF($A600&lt;&gt;"",'All Cases - Enter Cases'!D600,"")</f>
        <v/>
      </c>
      <c r="E600" t="str">
        <f>IF($A600&lt;&gt;"",'All Cases - Enter Cases'!E600,"")</f>
        <v/>
      </c>
      <c r="F600" t="str">
        <f>IF($A600&lt;&gt;"",'All Cases - Enter Cases'!F600,"")</f>
        <v/>
      </c>
      <c r="G600" t="str">
        <f>IF($A600&lt;&gt;"",'All Cases - Enter Cases'!G600,"")</f>
        <v/>
      </c>
      <c r="H600" t="str">
        <f>IF($A600&lt;&gt;"",'All Cases - Enter Cases'!H600,"")</f>
        <v/>
      </c>
      <c r="I600" t="str">
        <f>IF($A600&lt;&gt;"",'All Cases - Enter Cases'!I600,"")</f>
        <v/>
      </c>
      <c r="J600" s="4" t="str">
        <f>IF($A600&lt;&gt;"",'All Cases - Enter Cases'!J600,"")</f>
        <v/>
      </c>
      <c r="K600" s="4" t="str">
        <f>IF($A600&lt;&gt;"",'All Cases - Enter Cases'!K600,"")</f>
        <v/>
      </c>
      <c r="L600" s="4" t="str">
        <f>IF($A600&lt;&gt;"",'All Cases - Enter Cases'!L600,"")</f>
        <v/>
      </c>
      <c r="M600" t="str">
        <f>IF($A600&lt;&gt;"",'All Cases - Enter Cases'!M600,"")</f>
        <v/>
      </c>
    </row>
    <row r="601" spans="1:13" x14ac:dyDescent="0.35">
      <c r="A601" s="4" t="str">
        <f>IF('All Cases - Enter Cases'!$F601="Punjab",'All Cases - Enter Cases'!A601,"")</f>
        <v/>
      </c>
      <c r="B601" t="str">
        <f>IF($A601&lt;&gt;"",'All Cases - Enter Cases'!B601,"")</f>
        <v/>
      </c>
      <c r="C601" t="str">
        <f>IF($A601&lt;&gt;"",'All Cases - Enter Cases'!C601,"")</f>
        <v/>
      </c>
      <c r="D601" t="str">
        <f>IF($A601&lt;&gt;"",'All Cases - Enter Cases'!D601,"")</f>
        <v/>
      </c>
      <c r="E601" t="str">
        <f>IF($A601&lt;&gt;"",'All Cases - Enter Cases'!E601,"")</f>
        <v/>
      </c>
      <c r="F601" t="str">
        <f>IF($A601&lt;&gt;"",'All Cases - Enter Cases'!F601,"")</f>
        <v/>
      </c>
      <c r="G601" t="str">
        <f>IF($A601&lt;&gt;"",'All Cases - Enter Cases'!G601,"")</f>
        <v/>
      </c>
      <c r="H601" t="str">
        <f>IF($A601&lt;&gt;"",'All Cases - Enter Cases'!H601,"")</f>
        <v/>
      </c>
      <c r="I601" t="str">
        <f>IF($A601&lt;&gt;"",'All Cases - Enter Cases'!I601,"")</f>
        <v/>
      </c>
      <c r="J601" s="4" t="str">
        <f>IF($A601&lt;&gt;"",'All Cases - Enter Cases'!J601,"")</f>
        <v/>
      </c>
      <c r="K601" s="4" t="str">
        <f>IF($A601&lt;&gt;"",'All Cases - Enter Cases'!K601,"")</f>
        <v/>
      </c>
      <c r="L601" s="4" t="str">
        <f>IF($A601&lt;&gt;"",'All Cases - Enter Cases'!L601,"")</f>
        <v/>
      </c>
      <c r="M601" t="str">
        <f>IF($A601&lt;&gt;"",'All Cases - Enter Cases'!M601,"")</f>
        <v/>
      </c>
    </row>
    <row r="602" spans="1:13" x14ac:dyDescent="0.35">
      <c r="A602" s="4" t="str">
        <f>IF('All Cases - Enter Cases'!$F602="Punjab",'All Cases - Enter Cases'!A602,"")</f>
        <v/>
      </c>
      <c r="B602" t="str">
        <f>IF($A602&lt;&gt;"",'All Cases - Enter Cases'!B602,"")</f>
        <v/>
      </c>
      <c r="C602" t="str">
        <f>IF($A602&lt;&gt;"",'All Cases - Enter Cases'!C602,"")</f>
        <v/>
      </c>
      <c r="D602" t="str">
        <f>IF($A602&lt;&gt;"",'All Cases - Enter Cases'!D602,"")</f>
        <v/>
      </c>
      <c r="E602" t="str">
        <f>IF($A602&lt;&gt;"",'All Cases - Enter Cases'!E602,"")</f>
        <v/>
      </c>
      <c r="F602" t="str">
        <f>IF($A602&lt;&gt;"",'All Cases - Enter Cases'!F602,"")</f>
        <v/>
      </c>
      <c r="G602" t="str">
        <f>IF($A602&lt;&gt;"",'All Cases - Enter Cases'!G602,"")</f>
        <v/>
      </c>
      <c r="H602" t="str">
        <f>IF($A602&lt;&gt;"",'All Cases - Enter Cases'!H602,"")</f>
        <v/>
      </c>
      <c r="I602" t="str">
        <f>IF($A602&lt;&gt;"",'All Cases - Enter Cases'!I602,"")</f>
        <v/>
      </c>
      <c r="J602" s="4" t="str">
        <f>IF($A602&lt;&gt;"",'All Cases - Enter Cases'!J602,"")</f>
        <v/>
      </c>
      <c r="K602" s="4" t="str">
        <f>IF($A602&lt;&gt;"",'All Cases - Enter Cases'!K602,"")</f>
        <v/>
      </c>
      <c r="L602" s="4" t="str">
        <f>IF($A602&lt;&gt;"",'All Cases - Enter Cases'!L602,"")</f>
        <v/>
      </c>
      <c r="M602" t="str">
        <f>IF($A602&lt;&gt;"",'All Cases - Enter Cases'!M602,"")</f>
        <v/>
      </c>
    </row>
    <row r="603" spans="1:13" x14ac:dyDescent="0.35">
      <c r="A603" s="4" t="str">
        <f>IF('All Cases - Enter Cases'!$F603="Punjab",'All Cases - Enter Cases'!A603,"")</f>
        <v/>
      </c>
      <c r="B603" t="str">
        <f>IF($A603&lt;&gt;"",'All Cases - Enter Cases'!B603,"")</f>
        <v/>
      </c>
      <c r="C603" t="str">
        <f>IF($A603&lt;&gt;"",'All Cases - Enter Cases'!C603,"")</f>
        <v/>
      </c>
      <c r="D603" t="str">
        <f>IF($A603&lt;&gt;"",'All Cases - Enter Cases'!D603,"")</f>
        <v/>
      </c>
      <c r="E603" t="str">
        <f>IF($A603&lt;&gt;"",'All Cases - Enter Cases'!E603,"")</f>
        <v/>
      </c>
      <c r="F603" t="str">
        <f>IF($A603&lt;&gt;"",'All Cases - Enter Cases'!F603,"")</f>
        <v/>
      </c>
      <c r="G603" t="str">
        <f>IF($A603&lt;&gt;"",'All Cases - Enter Cases'!G603,"")</f>
        <v/>
      </c>
      <c r="H603" t="str">
        <f>IF($A603&lt;&gt;"",'All Cases - Enter Cases'!H603,"")</f>
        <v/>
      </c>
      <c r="I603" t="str">
        <f>IF($A603&lt;&gt;"",'All Cases - Enter Cases'!I603,"")</f>
        <v/>
      </c>
      <c r="J603" s="4" t="str">
        <f>IF($A603&lt;&gt;"",'All Cases - Enter Cases'!J603,"")</f>
        <v/>
      </c>
      <c r="K603" s="4" t="str">
        <f>IF($A603&lt;&gt;"",'All Cases - Enter Cases'!K603,"")</f>
        <v/>
      </c>
      <c r="L603" s="4" t="str">
        <f>IF($A603&lt;&gt;"",'All Cases - Enter Cases'!L603,"")</f>
        <v/>
      </c>
      <c r="M603" t="str">
        <f>IF($A603&lt;&gt;"",'All Cases - Enter Cases'!M603,"")</f>
        <v/>
      </c>
    </row>
    <row r="604" spans="1:13" x14ac:dyDescent="0.35">
      <c r="A604" s="4" t="str">
        <f>IF('All Cases - Enter Cases'!$F604="Punjab",'All Cases - Enter Cases'!A604,"")</f>
        <v/>
      </c>
      <c r="B604" t="str">
        <f>IF($A604&lt;&gt;"",'All Cases - Enter Cases'!B604,"")</f>
        <v/>
      </c>
      <c r="C604" t="str">
        <f>IF($A604&lt;&gt;"",'All Cases - Enter Cases'!C604,"")</f>
        <v/>
      </c>
      <c r="D604" t="str">
        <f>IF($A604&lt;&gt;"",'All Cases - Enter Cases'!D604,"")</f>
        <v/>
      </c>
      <c r="E604" t="str">
        <f>IF($A604&lt;&gt;"",'All Cases - Enter Cases'!E604,"")</f>
        <v/>
      </c>
      <c r="F604" t="str">
        <f>IF($A604&lt;&gt;"",'All Cases - Enter Cases'!F604,"")</f>
        <v/>
      </c>
      <c r="G604" t="str">
        <f>IF($A604&lt;&gt;"",'All Cases - Enter Cases'!G604,"")</f>
        <v/>
      </c>
      <c r="H604" t="str">
        <f>IF($A604&lt;&gt;"",'All Cases - Enter Cases'!H604,"")</f>
        <v/>
      </c>
      <c r="I604" t="str">
        <f>IF($A604&lt;&gt;"",'All Cases - Enter Cases'!I604,"")</f>
        <v/>
      </c>
      <c r="J604" s="4" t="str">
        <f>IF($A604&lt;&gt;"",'All Cases - Enter Cases'!J604,"")</f>
        <v/>
      </c>
      <c r="K604" s="4" t="str">
        <f>IF($A604&lt;&gt;"",'All Cases - Enter Cases'!K604,"")</f>
        <v/>
      </c>
      <c r="L604" s="4" t="str">
        <f>IF($A604&lt;&gt;"",'All Cases - Enter Cases'!L604,"")</f>
        <v/>
      </c>
      <c r="M604" t="str">
        <f>IF($A604&lt;&gt;"",'All Cases - Enter Cases'!M604,"")</f>
        <v/>
      </c>
    </row>
    <row r="605" spans="1:13" x14ac:dyDescent="0.35">
      <c r="A605" s="4" t="str">
        <f>IF('All Cases - Enter Cases'!$F605="Punjab",'All Cases - Enter Cases'!A605,"")</f>
        <v/>
      </c>
      <c r="B605" t="str">
        <f>IF($A605&lt;&gt;"",'All Cases - Enter Cases'!B605,"")</f>
        <v/>
      </c>
      <c r="C605" t="str">
        <f>IF($A605&lt;&gt;"",'All Cases - Enter Cases'!C605,"")</f>
        <v/>
      </c>
      <c r="D605" t="str">
        <f>IF($A605&lt;&gt;"",'All Cases - Enter Cases'!D605,"")</f>
        <v/>
      </c>
      <c r="E605" t="str">
        <f>IF($A605&lt;&gt;"",'All Cases - Enter Cases'!E605,"")</f>
        <v/>
      </c>
      <c r="F605" t="str">
        <f>IF($A605&lt;&gt;"",'All Cases - Enter Cases'!F605,"")</f>
        <v/>
      </c>
      <c r="G605" t="str">
        <f>IF($A605&lt;&gt;"",'All Cases - Enter Cases'!G605,"")</f>
        <v/>
      </c>
      <c r="H605" t="str">
        <f>IF($A605&lt;&gt;"",'All Cases - Enter Cases'!H605,"")</f>
        <v/>
      </c>
      <c r="I605" t="str">
        <f>IF($A605&lt;&gt;"",'All Cases - Enter Cases'!I605,"")</f>
        <v/>
      </c>
      <c r="J605" s="4" t="str">
        <f>IF($A605&lt;&gt;"",'All Cases - Enter Cases'!J605,"")</f>
        <v/>
      </c>
      <c r="K605" s="4" t="str">
        <f>IF($A605&lt;&gt;"",'All Cases - Enter Cases'!K605,"")</f>
        <v/>
      </c>
      <c r="L605" s="4" t="str">
        <f>IF($A605&lt;&gt;"",'All Cases - Enter Cases'!L605,"")</f>
        <v/>
      </c>
      <c r="M605" t="str">
        <f>IF($A605&lt;&gt;"",'All Cases - Enter Cases'!M605,"")</f>
        <v/>
      </c>
    </row>
    <row r="606" spans="1:13" x14ac:dyDescent="0.35">
      <c r="A606" s="4" t="str">
        <f>IF('All Cases - Enter Cases'!$F606="Punjab",'All Cases - Enter Cases'!A606,"")</f>
        <v/>
      </c>
      <c r="B606" t="str">
        <f>IF($A606&lt;&gt;"",'All Cases - Enter Cases'!B606,"")</f>
        <v/>
      </c>
      <c r="C606" t="str">
        <f>IF($A606&lt;&gt;"",'All Cases - Enter Cases'!C606,"")</f>
        <v/>
      </c>
      <c r="D606" t="str">
        <f>IF($A606&lt;&gt;"",'All Cases - Enter Cases'!D606,"")</f>
        <v/>
      </c>
      <c r="E606" t="str">
        <f>IF($A606&lt;&gt;"",'All Cases - Enter Cases'!E606,"")</f>
        <v/>
      </c>
      <c r="F606" t="str">
        <f>IF($A606&lt;&gt;"",'All Cases - Enter Cases'!F606,"")</f>
        <v/>
      </c>
      <c r="G606" t="str">
        <f>IF($A606&lt;&gt;"",'All Cases - Enter Cases'!G606,"")</f>
        <v/>
      </c>
      <c r="H606" t="str">
        <f>IF($A606&lt;&gt;"",'All Cases - Enter Cases'!H606,"")</f>
        <v/>
      </c>
      <c r="I606" t="str">
        <f>IF($A606&lt;&gt;"",'All Cases - Enter Cases'!I606,"")</f>
        <v/>
      </c>
      <c r="J606" s="4" t="str">
        <f>IF($A606&lt;&gt;"",'All Cases - Enter Cases'!J606,"")</f>
        <v/>
      </c>
      <c r="K606" s="4" t="str">
        <f>IF($A606&lt;&gt;"",'All Cases - Enter Cases'!K606,"")</f>
        <v/>
      </c>
      <c r="L606" s="4" t="str">
        <f>IF($A606&lt;&gt;"",'All Cases - Enter Cases'!L606,"")</f>
        <v/>
      </c>
      <c r="M606" t="str">
        <f>IF($A606&lt;&gt;"",'All Cases - Enter Cases'!M606,"")</f>
        <v/>
      </c>
    </row>
    <row r="607" spans="1:13" x14ac:dyDescent="0.35">
      <c r="A607" s="4" t="str">
        <f>IF('All Cases - Enter Cases'!$F607="Punjab",'All Cases - Enter Cases'!A607,"")</f>
        <v/>
      </c>
      <c r="B607" t="str">
        <f>IF($A607&lt;&gt;"",'All Cases - Enter Cases'!B607,"")</f>
        <v/>
      </c>
      <c r="C607" t="str">
        <f>IF($A607&lt;&gt;"",'All Cases - Enter Cases'!C607,"")</f>
        <v/>
      </c>
      <c r="D607" t="str">
        <f>IF($A607&lt;&gt;"",'All Cases - Enter Cases'!D607,"")</f>
        <v/>
      </c>
      <c r="E607" t="str">
        <f>IF($A607&lt;&gt;"",'All Cases - Enter Cases'!E607,"")</f>
        <v/>
      </c>
      <c r="F607" t="str">
        <f>IF($A607&lt;&gt;"",'All Cases - Enter Cases'!F607,"")</f>
        <v/>
      </c>
      <c r="G607" t="str">
        <f>IF($A607&lt;&gt;"",'All Cases - Enter Cases'!G607,"")</f>
        <v/>
      </c>
      <c r="H607" t="str">
        <f>IF($A607&lt;&gt;"",'All Cases - Enter Cases'!H607,"")</f>
        <v/>
      </c>
      <c r="I607" t="str">
        <f>IF($A607&lt;&gt;"",'All Cases - Enter Cases'!I607,"")</f>
        <v/>
      </c>
      <c r="J607" s="4" t="str">
        <f>IF($A607&lt;&gt;"",'All Cases - Enter Cases'!J607,"")</f>
        <v/>
      </c>
      <c r="K607" s="4" t="str">
        <f>IF($A607&lt;&gt;"",'All Cases - Enter Cases'!K607,"")</f>
        <v/>
      </c>
      <c r="L607" s="4" t="str">
        <f>IF($A607&lt;&gt;"",'All Cases - Enter Cases'!L607,"")</f>
        <v/>
      </c>
      <c r="M607" t="str">
        <f>IF($A607&lt;&gt;"",'All Cases - Enter Cases'!M607,"")</f>
        <v/>
      </c>
    </row>
    <row r="608" spans="1:13" x14ac:dyDescent="0.35">
      <c r="A608" s="4" t="str">
        <f>IF('All Cases - Enter Cases'!$F608="Punjab",'All Cases - Enter Cases'!A608,"")</f>
        <v/>
      </c>
      <c r="B608" t="str">
        <f>IF($A608&lt;&gt;"",'All Cases - Enter Cases'!B608,"")</f>
        <v/>
      </c>
      <c r="C608" t="str">
        <f>IF($A608&lt;&gt;"",'All Cases - Enter Cases'!C608,"")</f>
        <v/>
      </c>
      <c r="D608" t="str">
        <f>IF($A608&lt;&gt;"",'All Cases - Enter Cases'!D608,"")</f>
        <v/>
      </c>
      <c r="E608" t="str">
        <f>IF($A608&lt;&gt;"",'All Cases - Enter Cases'!E608,"")</f>
        <v/>
      </c>
      <c r="F608" t="str">
        <f>IF($A608&lt;&gt;"",'All Cases - Enter Cases'!F608,"")</f>
        <v/>
      </c>
      <c r="G608" t="str">
        <f>IF($A608&lt;&gt;"",'All Cases - Enter Cases'!G608,"")</f>
        <v/>
      </c>
      <c r="H608" t="str">
        <f>IF($A608&lt;&gt;"",'All Cases - Enter Cases'!H608,"")</f>
        <v/>
      </c>
      <c r="I608" t="str">
        <f>IF($A608&lt;&gt;"",'All Cases - Enter Cases'!I608,"")</f>
        <v/>
      </c>
      <c r="J608" s="4" t="str">
        <f>IF($A608&lt;&gt;"",'All Cases - Enter Cases'!J608,"")</f>
        <v/>
      </c>
      <c r="K608" s="4" t="str">
        <f>IF($A608&lt;&gt;"",'All Cases - Enter Cases'!K608,"")</f>
        <v/>
      </c>
      <c r="L608" s="4" t="str">
        <f>IF($A608&lt;&gt;"",'All Cases - Enter Cases'!L608,"")</f>
        <v/>
      </c>
      <c r="M608" t="str">
        <f>IF($A608&lt;&gt;"",'All Cases - Enter Cases'!M608,"")</f>
        <v/>
      </c>
    </row>
    <row r="609" spans="1:13" x14ac:dyDescent="0.35">
      <c r="A609" s="4" t="str">
        <f>IF('All Cases - Enter Cases'!$F609="Punjab",'All Cases - Enter Cases'!A609,"")</f>
        <v/>
      </c>
      <c r="B609" t="str">
        <f>IF($A609&lt;&gt;"",'All Cases - Enter Cases'!B609,"")</f>
        <v/>
      </c>
      <c r="C609" t="str">
        <f>IF($A609&lt;&gt;"",'All Cases - Enter Cases'!C609,"")</f>
        <v/>
      </c>
      <c r="D609" t="str">
        <f>IF($A609&lt;&gt;"",'All Cases - Enter Cases'!D609,"")</f>
        <v/>
      </c>
      <c r="E609" t="str">
        <f>IF($A609&lt;&gt;"",'All Cases - Enter Cases'!E609,"")</f>
        <v/>
      </c>
      <c r="F609" t="str">
        <f>IF($A609&lt;&gt;"",'All Cases - Enter Cases'!F609,"")</f>
        <v/>
      </c>
      <c r="G609" t="str">
        <f>IF($A609&lt;&gt;"",'All Cases - Enter Cases'!G609,"")</f>
        <v/>
      </c>
      <c r="H609" t="str">
        <f>IF($A609&lt;&gt;"",'All Cases - Enter Cases'!H609,"")</f>
        <v/>
      </c>
      <c r="I609" t="str">
        <f>IF($A609&lt;&gt;"",'All Cases - Enter Cases'!I609,"")</f>
        <v/>
      </c>
      <c r="J609" s="4" t="str">
        <f>IF($A609&lt;&gt;"",'All Cases - Enter Cases'!J609,"")</f>
        <v/>
      </c>
      <c r="K609" s="4" t="str">
        <f>IF($A609&lt;&gt;"",'All Cases - Enter Cases'!K609,"")</f>
        <v/>
      </c>
      <c r="L609" s="4" t="str">
        <f>IF($A609&lt;&gt;"",'All Cases - Enter Cases'!L609,"")</f>
        <v/>
      </c>
      <c r="M609" t="str">
        <f>IF($A609&lt;&gt;"",'All Cases - Enter Cases'!M609,"")</f>
        <v/>
      </c>
    </row>
    <row r="610" spans="1:13" x14ac:dyDescent="0.35">
      <c r="A610" s="4" t="str">
        <f>IF('All Cases - Enter Cases'!$F610="Punjab",'All Cases - Enter Cases'!A610,"")</f>
        <v/>
      </c>
      <c r="B610" t="str">
        <f>IF($A610&lt;&gt;"",'All Cases - Enter Cases'!B610,"")</f>
        <v/>
      </c>
      <c r="C610" t="str">
        <f>IF($A610&lt;&gt;"",'All Cases - Enter Cases'!C610,"")</f>
        <v/>
      </c>
      <c r="D610" t="str">
        <f>IF($A610&lt;&gt;"",'All Cases - Enter Cases'!D610,"")</f>
        <v/>
      </c>
      <c r="E610" t="str">
        <f>IF($A610&lt;&gt;"",'All Cases - Enter Cases'!E610,"")</f>
        <v/>
      </c>
      <c r="F610" t="str">
        <f>IF($A610&lt;&gt;"",'All Cases - Enter Cases'!F610,"")</f>
        <v/>
      </c>
      <c r="G610" t="str">
        <f>IF($A610&lt;&gt;"",'All Cases - Enter Cases'!G610,"")</f>
        <v/>
      </c>
      <c r="H610" t="str">
        <f>IF($A610&lt;&gt;"",'All Cases - Enter Cases'!H610,"")</f>
        <v/>
      </c>
      <c r="I610" t="str">
        <f>IF($A610&lt;&gt;"",'All Cases - Enter Cases'!I610,"")</f>
        <v/>
      </c>
      <c r="J610" s="4" t="str">
        <f>IF($A610&lt;&gt;"",'All Cases - Enter Cases'!J610,"")</f>
        <v/>
      </c>
      <c r="K610" s="4" t="str">
        <f>IF($A610&lt;&gt;"",'All Cases - Enter Cases'!K610,"")</f>
        <v/>
      </c>
      <c r="L610" s="4" t="str">
        <f>IF($A610&lt;&gt;"",'All Cases - Enter Cases'!L610,"")</f>
        <v/>
      </c>
      <c r="M610" t="str">
        <f>IF($A610&lt;&gt;"",'All Cases - Enter Cases'!M610,"")</f>
        <v/>
      </c>
    </row>
    <row r="611" spans="1:13" x14ac:dyDescent="0.35">
      <c r="A611" s="4" t="str">
        <f>IF('All Cases - Enter Cases'!$F611="Punjab",'All Cases - Enter Cases'!A611,"")</f>
        <v/>
      </c>
      <c r="B611" t="str">
        <f>IF($A611&lt;&gt;"",'All Cases - Enter Cases'!B611,"")</f>
        <v/>
      </c>
      <c r="C611" t="str">
        <f>IF($A611&lt;&gt;"",'All Cases - Enter Cases'!C611,"")</f>
        <v/>
      </c>
      <c r="D611" t="str">
        <f>IF($A611&lt;&gt;"",'All Cases - Enter Cases'!D611,"")</f>
        <v/>
      </c>
      <c r="E611" t="str">
        <f>IF($A611&lt;&gt;"",'All Cases - Enter Cases'!E611,"")</f>
        <v/>
      </c>
      <c r="F611" t="str">
        <f>IF($A611&lt;&gt;"",'All Cases - Enter Cases'!F611,"")</f>
        <v/>
      </c>
      <c r="G611" t="str">
        <f>IF($A611&lt;&gt;"",'All Cases - Enter Cases'!G611,"")</f>
        <v/>
      </c>
      <c r="H611" t="str">
        <f>IF($A611&lt;&gt;"",'All Cases - Enter Cases'!H611,"")</f>
        <v/>
      </c>
      <c r="I611" t="str">
        <f>IF($A611&lt;&gt;"",'All Cases - Enter Cases'!I611,"")</f>
        <v/>
      </c>
      <c r="J611" s="4" t="str">
        <f>IF($A611&lt;&gt;"",'All Cases - Enter Cases'!J611,"")</f>
        <v/>
      </c>
      <c r="K611" s="4" t="str">
        <f>IF($A611&lt;&gt;"",'All Cases - Enter Cases'!K611,"")</f>
        <v/>
      </c>
      <c r="L611" s="4" t="str">
        <f>IF($A611&lt;&gt;"",'All Cases - Enter Cases'!L611,"")</f>
        <v/>
      </c>
      <c r="M611" t="str">
        <f>IF($A611&lt;&gt;"",'All Cases - Enter Cases'!M611,"")</f>
        <v/>
      </c>
    </row>
    <row r="612" spans="1:13" x14ac:dyDescent="0.35">
      <c r="A612" s="4" t="str">
        <f>IF('All Cases - Enter Cases'!$F612="Punjab",'All Cases - Enter Cases'!A612,"")</f>
        <v/>
      </c>
      <c r="B612" t="str">
        <f>IF($A612&lt;&gt;"",'All Cases - Enter Cases'!B612,"")</f>
        <v/>
      </c>
      <c r="C612" t="str">
        <f>IF($A612&lt;&gt;"",'All Cases - Enter Cases'!C612,"")</f>
        <v/>
      </c>
      <c r="D612" t="str">
        <f>IF($A612&lt;&gt;"",'All Cases - Enter Cases'!D612,"")</f>
        <v/>
      </c>
      <c r="E612" t="str">
        <f>IF($A612&lt;&gt;"",'All Cases - Enter Cases'!E612,"")</f>
        <v/>
      </c>
      <c r="F612" t="str">
        <f>IF($A612&lt;&gt;"",'All Cases - Enter Cases'!F612,"")</f>
        <v/>
      </c>
      <c r="G612" t="str">
        <f>IF($A612&lt;&gt;"",'All Cases - Enter Cases'!G612,"")</f>
        <v/>
      </c>
      <c r="H612" t="str">
        <f>IF($A612&lt;&gt;"",'All Cases - Enter Cases'!H612,"")</f>
        <v/>
      </c>
      <c r="I612" t="str">
        <f>IF($A612&lt;&gt;"",'All Cases - Enter Cases'!I612,"")</f>
        <v/>
      </c>
      <c r="J612" s="4" t="str">
        <f>IF($A612&lt;&gt;"",'All Cases - Enter Cases'!J612,"")</f>
        <v/>
      </c>
      <c r="K612" s="4" t="str">
        <f>IF($A612&lt;&gt;"",'All Cases - Enter Cases'!K612,"")</f>
        <v/>
      </c>
      <c r="L612" s="4" t="str">
        <f>IF($A612&lt;&gt;"",'All Cases - Enter Cases'!L612,"")</f>
        <v/>
      </c>
      <c r="M612" t="str">
        <f>IF($A612&lt;&gt;"",'All Cases - Enter Cases'!M612,"")</f>
        <v/>
      </c>
    </row>
    <row r="613" spans="1:13" x14ac:dyDescent="0.35">
      <c r="A613" s="4" t="str">
        <f>IF('All Cases - Enter Cases'!$F613="Punjab",'All Cases - Enter Cases'!A613,"")</f>
        <v/>
      </c>
      <c r="B613" t="str">
        <f>IF($A613&lt;&gt;"",'All Cases - Enter Cases'!B613,"")</f>
        <v/>
      </c>
      <c r="C613" t="str">
        <f>IF($A613&lt;&gt;"",'All Cases - Enter Cases'!C613,"")</f>
        <v/>
      </c>
      <c r="D613" t="str">
        <f>IF($A613&lt;&gt;"",'All Cases - Enter Cases'!D613,"")</f>
        <v/>
      </c>
      <c r="E613" t="str">
        <f>IF($A613&lt;&gt;"",'All Cases - Enter Cases'!E613,"")</f>
        <v/>
      </c>
      <c r="F613" t="str">
        <f>IF($A613&lt;&gt;"",'All Cases - Enter Cases'!F613,"")</f>
        <v/>
      </c>
      <c r="G613" t="str">
        <f>IF($A613&lt;&gt;"",'All Cases - Enter Cases'!G613,"")</f>
        <v/>
      </c>
      <c r="H613" t="str">
        <f>IF($A613&lt;&gt;"",'All Cases - Enter Cases'!H613,"")</f>
        <v/>
      </c>
      <c r="I613" t="str">
        <f>IF($A613&lt;&gt;"",'All Cases - Enter Cases'!I613,"")</f>
        <v/>
      </c>
      <c r="J613" s="4" t="str">
        <f>IF($A613&lt;&gt;"",'All Cases - Enter Cases'!J613,"")</f>
        <v/>
      </c>
      <c r="K613" s="4" t="str">
        <f>IF($A613&lt;&gt;"",'All Cases - Enter Cases'!K613,"")</f>
        <v/>
      </c>
      <c r="L613" s="4" t="str">
        <f>IF($A613&lt;&gt;"",'All Cases - Enter Cases'!L613,"")</f>
        <v/>
      </c>
      <c r="M613" t="str">
        <f>IF($A613&lt;&gt;"",'All Cases - Enter Cases'!M613,"")</f>
        <v/>
      </c>
    </row>
    <row r="614" spans="1:13" x14ac:dyDescent="0.35">
      <c r="A614" s="4" t="str">
        <f>IF('All Cases - Enter Cases'!$F614="Punjab",'All Cases - Enter Cases'!A614,"")</f>
        <v/>
      </c>
      <c r="B614" t="str">
        <f>IF($A614&lt;&gt;"",'All Cases - Enter Cases'!B614,"")</f>
        <v/>
      </c>
      <c r="C614" t="str">
        <f>IF($A614&lt;&gt;"",'All Cases - Enter Cases'!C614,"")</f>
        <v/>
      </c>
      <c r="D614" t="str">
        <f>IF($A614&lt;&gt;"",'All Cases - Enter Cases'!D614,"")</f>
        <v/>
      </c>
      <c r="E614" t="str">
        <f>IF($A614&lt;&gt;"",'All Cases - Enter Cases'!E614,"")</f>
        <v/>
      </c>
      <c r="F614" t="str">
        <f>IF($A614&lt;&gt;"",'All Cases - Enter Cases'!F614,"")</f>
        <v/>
      </c>
      <c r="G614" t="str">
        <f>IF($A614&lt;&gt;"",'All Cases - Enter Cases'!G614,"")</f>
        <v/>
      </c>
      <c r="H614" t="str">
        <f>IF($A614&lt;&gt;"",'All Cases - Enter Cases'!H614,"")</f>
        <v/>
      </c>
      <c r="I614" t="str">
        <f>IF($A614&lt;&gt;"",'All Cases - Enter Cases'!I614,"")</f>
        <v/>
      </c>
      <c r="J614" s="4" t="str">
        <f>IF($A614&lt;&gt;"",'All Cases - Enter Cases'!J614,"")</f>
        <v/>
      </c>
      <c r="K614" s="4" t="str">
        <f>IF($A614&lt;&gt;"",'All Cases - Enter Cases'!K614,"")</f>
        <v/>
      </c>
      <c r="L614" s="4" t="str">
        <f>IF($A614&lt;&gt;"",'All Cases - Enter Cases'!L614,"")</f>
        <v/>
      </c>
      <c r="M614" t="str">
        <f>IF($A614&lt;&gt;"",'All Cases - Enter Cases'!M614,"")</f>
        <v/>
      </c>
    </row>
    <row r="615" spans="1:13" x14ac:dyDescent="0.35">
      <c r="A615" s="4" t="str">
        <f>IF('All Cases - Enter Cases'!$F615="Punjab",'All Cases - Enter Cases'!A615,"")</f>
        <v/>
      </c>
      <c r="B615" t="str">
        <f>IF($A615&lt;&gt;"",'All Cases - Enter Cases'!B615,"")</f>
        <v/>
      </c>
      <c r="C615" t="str">
        <f>IF($A615&lt;&gt;"",'All Cases - Enter Cases'!C615,"")</f>
        <v/>
      </c>
      <c r="D615" t="str">
        <f>IF($A615&lt;&gt;"",'All Cases - Enter Cases'!D615,"")</f>
        <v/>
      </c>
      <c r="E615" t="str">
        <f>IF($A615&lt;&gt;"",'All Cases - Enter Cases'!E615,"")</f>
        <v/>
      </c>
      <c r="F615" t="str">
        <f>IF($A615&lt;&gt;"",'All Cases - Enter Cases'!F615,"")</f>
        <v/>
      </c>
      <c r="G615" t="str">
        <f>IF($A615&lt;&gt;"",'All Cases - Enter Cases'!G615,"")</f>
        <v/>
      </c>
      <c r="H615" t="str">
        <f>IF($A615&lt;&gt;"",'All Cases - Enter Cases'!H615,"")</f>
        <v/>
      </c>
      <c r="I615" t="str">
        <f>IF($A615&lt;&gt;"",'All Cases - Enter Cases'!I615,"")</f>
        <v/>
      </c>
      <c r="J615" s="4" t="str">
        <f>IF($A615&lt;&gt;"",'All Cases - Enter Cases'!J615,"")</f>
        <v/>
      </c>
      <c r="K615" s="4" t="str">
        <f>IF($A615&lt;&gt;"",'All Cases - Enter Cases'!K615,"")</f>
        <v/>
      </c>
      <c r="L615" s="4" t="str">
        <f>IF($A615&lt;&gt;"",'All Cases - Enter Cases'!L615,"")</f>
        <v/>
      </c>
      <c r="M615" t="str">
        <f>IF($A615&lt;&gt;"",'All Cases - Enter Cases'!M615,"")</f>
        <v/>
      </c>
    </row>
    <row r="616" spans="1:13" x14ac:dyDescent="0.35">
      <c r="A616" s="4" t="str">
        <f>IF('All Cases - Enter Cases'!$F616="Punjab",'All Cases - Enter Cases'!A616,"")</f>
        <v/>
      </c>
      <c r="B616" t="str">
        <f>IF($A616&lt;&gt;"",'All Cases - Enter Cases'!B616,"")</f>
        <v/>
      </c>
      <c r="C616" t="str">
        <f>IF($A616&lt;&gt;"",'All Cases - Enter Cases'!C616,"")</f>
        <v/>
      </c>
      <c r="D616" t="str">
        <f>IF($A616&lt;&gt;"",'All Cases - Enter Cases'!D616,"")</f>
        <v/>
      </c>
      <c r="E616" t="str">
        <f>IF($A616&lt;&gt;"",'All Cases - Enter Cases'!E616,"")</f>
        <v/>
      </c>
      <c r="F616" t="str">
        <f>IF($A616&lt;&gt;"",'All Cases - Enter Cases'!F616,"")</f>
        <v/>
      </c>
      <c r="G616" t="str">
        <f>IF($A616&lt;&gt;"",'All Cases - Enter Cases'!G616,"")</f>
        <v/>
      </c>
      <c r="H616" t="str">
        <f>IF($A616&lt;&gt;"",'All Cases - Enter Cases'!H616,"")</f>
        <v/>
      </c>
      <c r="I616" t="str">
        <f>IF($A616&lt;&gt;"",'All Cases - Enter Cases'!I616,"")</f>
        <v/>
      </c>
      <c r="J616" s="4" t="str">
        <f>IF($A616&lt;&gt;"",'All Cases - Enter Cases'!J616,"")</f>
        <v/>
      </c>
      <c r="K616" s="4" t="str">
        <f>IF($A616&lt;&gt;"",'All Cases - Enter Cases'!K616,"")</f>
        <v/>
      </c>
      <c r="L616" s="4" t="str">
        <f>IF($A616&lt;&gt;"",'All Cases - Enter Cases'!L616,"")</f>
        <v/>
      </c>
      <c r="M616" t="str">
        <f>IF($A616&lt;&gt;"",'All Cases - Enter Cases'!M616,"")</f>
        <v/>
      </c>
    </row>
    <row r="617" spans="1:13" x14ac:dyDescent="0.35">
      <c r="A617" s="4" t="str">
        <f>IF('All Cases - Enter Cases'!$F617="Punjab",'All Cases - Enter Cases'!A617,"")</f>
        <v/>
      </c>
      <c r="B617" t="str">
        <f>IF($A617&lt;&gt;"",'All Cases - Enter Cases'!B617,"")</f>
        <v/>
      </c>
      <c r="C617" t="str">
        <f>IF($A617&lt;&gt;"",'All Cases - Enter Cases'!C617,"")</f>
        <v/>
      </c>
      <c r="D617" t="str">
        <f>IF($A617&lt;&gt;"",'All Cases - Enter Cases'!D617,"")</f>
        <v/>
      </c>
      <c r="E617" t="str">
        <f>IF($A617&lt;&gt;"",'All Cases - Enter Cases'!E617,"")</f>
        <v/>
      </c>
      <c r="F617" t="str">
        <f>IF($A617&lt;&gt;"",'All Cases - Enter Cases'!F617,"")</f>
        <v/>
      </c>
      <c r="G617" t="str">
        <f>IF($A617&lt;&gt;"",'All Cases - Enter Cases'!G617,"")</f>
        <v/>
      </c>
      <c r="H617" t="str">
        <f>IF($A617&lt;&gt;"",'All Cases - Enter Cases'!H617,"")</f>
        <v/>
      </c>
      <c r="I617" t="str">
        <f>IF($A617&lt;&gt;"",'All Cases - Enter Cases'!I617,"")</f>
        <v/>
      </c>
      <c r="J617" s="4" t="str">
        <f>IF($A617&lt;&gt;"",'All Cases - Enter Cases'!J617,"")</f>
        <v/>
      </c>
      <c r="K617" s="4" t="str">
        <f>IF($A617&lt;&gt;"",'All Cases - Enter Cases'!K617,"")</f>
        <v/>
      </c>
      <c r="L617" s="4" t="str">
        <f>IF($A617&lt;&gt;"",'All Cases - Enter Cases'!L617,"")</f>
        <v/>
      </c>
      <c r="M617" t="str">
        <f>IF($A617&lt;&gt;"",'All Cases - Enter Cases'!M617,"")</f>
        <v/>
      </c>
    </row>
    <row r="618" spans="1:13" x14ac:dyDescent="0.35">
      <c r="A618" s="4" t="str">
        <f>IF('All Cases - Enter Cases'!$F618="Punjab",'All Cases - Enter Cases'!A618,"")</f>
        <v/>
      </c>
      <c r="B618" t="str">
        <f>IF($A618&lt;&gt;"",'All Cases - Enter Cases'!B618,"")</f>
        <v/>
      </c>
      <c r="C618" t="str">
        <f>IF($A618&lt;&gt;"",'All Cases - Enter Cases'!C618,"")</f>
        <v/>
      </c>
      <c r="D618" t="str">
        <f>IF($A618&lt;&gt;"",'All Cases - Enter Cases'!D618,"")</f>
        <v/>
      </c>
      <c r="E618" t="str">
        <f>IF($A618&lt;&gt;"",'All Cases - Enter Cases'!E618,"")</f>
        <v/>
      </c>
      <c r="F618" t="str">
        <f>IF($A618&lt;&gt;"",'All Cases - Enter Cases'!F618,"")</f>
        <v/>
      </c>
      <c r="G618" t="str">
        <f>IF($A618&lt;&gt;"",'All Cases - Enter Cases'!G618,"")</f>
        <v/>
      </c>
      <c r="H618" t="str">
        <f>IF($A618&lt;&gt;"",'All Cases - Enter Cases'!H618,"")</f>
        <v/>
      </c>
      <c r="I618" t="str">
        <f>IF($A618&lt;&gt;"",'All Cases - Enter Cases'!I618,"")</f>
        <v/>
      </c>
      <c r="J618" s="4" t="str">
        <f>IF($A618&lt;&gt;"",'All Cases - Enter Cases'!J618,"")</f>
        <v/>
      </c>
      <c r="K618" s="4" t="str">
        <f>IF($A618&lt;&gt;"",'All Cases - Enter Cases'!K618,"")</f>
        <v/>
      </c>
      <c r="L618" s="4" t="str">
        <f>IF($A618&lt;&gt;"",'All Cases - Enter Cases'!L618,"")</f>
        <v/>
      </c>
      <c r="M618" t="str">
        <f>IF($A618&lt;&gt;"",'All Cases - Enter Cases'!M618,"")</f>
        <v/>
      </c>
    </row>
    <row r="619" spans="1:13" x14ac:dyDescent="0.35">
      <c r="A619" s="4" t="str">
        <f>IF('All Cases - Enter Cases'!$F619="Punjab",'All Cases - Enter Cases'!A619,"")</f>
        <v/>
      </c>
      <c r="B619" t="str">
        <f>IF($A619&lt;&gt;"",'All Cases - Enter Cases'!B619,"")</f>
        <v/>
      </c>
      <c r="C619" t="str">
        <f>IF($A619&lt;&gt;"",'All Cases - Enter Cases'!C619,"")</f>
        <v/>
      </c>
      <c r="D619" t="str">
        <f>IF($A619&lt;&gt;"",'All Cases - Enter Cases'!D619,"")</f>
        <v/>
      </c>
      <c r="E619" t="str">
        <f>IF($A619&lt;&gt;"",'All Cases - Enter Cases'!E619,"")</f>
        <v/>
      </c>
      <c r="F619" t="str">
        <f>IF($A619&lt;&gt;"",'All Cases - Enter Cases'!F619,"")</f>
        <v/>
      </c>
      <c r="G619" t="str">
        <f>IF($A619&lt;&gt;"",'All Cases - Enter Cases'!G619,"")</f>
        <v/>
      </c>
      <c r="H619" t="str">
        <f>IF($A619&lt;&gt;"",'All Cases - Enter Cases'!H619,"")</f>
        <v/>
      </c>
      <c r="I619" t="str">
        <f>IF($A619&lt;&gt;"",'All Cases - Enter Cases'!I619,"")</f>
        <v/>
      </c>
      <c r="J619" s="4" t="str">
        <f>IF($A619&lt;&gt;"",'All Cases - Enter Cases'!J619,"")</f>
        <v/>
      </c>
      <c r="K619" s="4" t="str">
        <f>IF($A619&lt;&gt;"",'All Cases - Enter Cases'!K619,"")</f>
        <v/>
      </c>
      <c r="L619" s="4" t="str">
        <f>IF($A619&lt;&gt;"",'All Cases - Enter Cases'!L619,"")</f>
        <v/>
      </c>
      <c r="M619" t="str">
        <f>IF($A619&lt;&gt;"",'All Cases - Enter Cases'!M619,"")</f>
        <v/>
      </c>
    </row>
    <row r="620" spans="1:13" x14ac:dyDescent="0.35">
      <c r="A620" s="4" t="str">
        <f>IF('All Cases - Enter Cases'!$F620="Punjab",'All Cases - Enter Cases'!A620,"")</f>
        <v/>
      </c>
      <c r="B620" t="str">
        <f>IF($A620&lt;&gt;"",'All Cases - Enter Cases'!B620,"")</f>
        <v/>
      </c>
      <c r="C620" t="str">
        <f>IF($A620&lt;&gt;"",'All Cases - Enter Cases'!C620,"")</f>
        <v/>
      </c>
      <c r="D620" t="str">
        <f>IF($A620&lt;&gt;"",'All Cases - Enter Cases'!D620,"")</f>
        <v/>
      </c>
      <c r="E620" t="str">
        <f>IF($A620&lt;&gt;"",'All Cases - Enter Cases'!E620,"")</f>
        <v/>
      </c>
      <c r="F620" t="str">
        <f>IF($A620&lt;&gt;"",'All Cases - Enter Cases'!F620,"")</f>
        <v/>
      </c>
      <c r="G620" t="str">
        <f>IF($A620&lt;&gt;"",'All Cases - Enter Cases'!G620,"")</f>
        <v/>
      </c>
      <c r="H620" t="str">
        <f>IF($A620&lt;&gt;"",'All Cases - Enter Cases'!H620,"")</f>
        <v/>
      </c>
      <c r="I620" t="str">
        <f>IF($A620&lt;&gt;"",'All Cases - Enter Cases'!I620,"")</f>
        <v/>
      </c>
      <c r="J620" s="4" t="str">
        <f>IF($A620&lt;&gt;"",'All Cases - Enter Cases'!J620,"")</f>
        <v/>
      </c>
      <c r="K620" s="4" t="str">
        <f>IF($A620&lt;&gt;"",'All Cases - Enter Cases'!K620,"")</f>
        <v/>
      </c>
      <c r="L620" s="4" t="str">
        <f>IF($A620&lt;&gt;"",'All Cases - Enter Cases'!L620,"")</f>
        <v/>
      </c>
      <c r="M620" t="str">
        <f>IF($A620&lt;&gt;"",'All Cases - Enter Cases'!M620,"")</f>
        <v/>
      </c>
    </row>
    <row r="621" spans="1:13" x14ac:dyDescent="0.35">
      <c r="A621" s="4" t="str">
        <f>IF('All Cases - Enter Cases'!$F621="Punjab",'All Cases - Enter Cases'!A621,"")</f>
        <v/>
      </c>
      <c r="B621" t="str">
        <f>IF($A621&lt;&gt;"",'All Cases - Enter Cases'!B621,"")</f>
        <v/>
      </c>
      <c r="C621" t="str">
        <f>IF($A621&lt;&gt;"",'All Cases - Enter Cases'!C621,"")</f>
        <v/>
      </c>
      <c r="D621" t="str">
        <f>IF($A621&lt;&gt;"",'All Cases - Enter Cases'!D621,"")</f>
        <v/>
      </c>
      <c r="E621" t="str">
        <f>IF($A621&lt;&gt;"",'All Cases - Enter Cases'!E621,"")</f>
        <v/>
      </c>
      <c r="F621" t="str">
        <f>IF($A621&lt;&gt;"",'All Cases - Enter Cases'!F621,"")</f>
        <v/>
      </c>
      <c r="G621" t="str">
        <f>IF($A621&lt;&gt;"",'All Cases - Enter Cases'!G621,"")</f>
        <v/>
      </c>
      <c r="H621" t="str">
        <f>IF($A621&lt;&gt;"",'All Cases - Enter Cases'!H621,"")</f>
        <v/>
      </c>
      <c r="I621" t="str">
        <f>IF($A621&lt;&gt;"",'All Cases - Enter Cases'!I621,"")</f>
        <v/>
      </c>
      <c r="J621" s="4" t="str">
        <f>IF($A621&lt;&gt;"",'All Cases - Enter Cases'!J621,"")</f>
        <v/>
      </c>
      <c r="K621" s="4" t="str">
        <f>IF($A621&lt;&gt;"",'All Cases - Enter Cases'!K621,"")</f>
        <v/>
      </c>
      <c r="L621" s="4" t="str">
        <f>IF($A621&lt;&gt;"",'All Cases - Enter Cases'!L621,"")</f>
        <v/>
      </c>
      <c r="M621" t="str">
        <f>IF($A621&lt;&gt;"",'All Cases - Enter Cases'!M621,"")</f>
        <v/>
      </c>
    </row>
    <row r="622" spans="1:13" x14ac:dyDescent="0.35">
      <c r="A622" s="4" t="str">
        <f>IF('All Cases - Enter Cases'!$F622="Punjab",'All Cases - Enter Cases'!A622,"")</f>
        <v/>
      </c>
      <c r="B622" t="str">
        <f>IF($A622&lt;&gt;"",'All Cases - Enter Cases'!B622,"")</f>
        <v/>
      </c>
      <c r="C622" t="str">
        <f>IF($A622&lt;&gt;"",'All Cases - Enter Cases'!C622,"")</f>
        <v/>
      </c>
      <c r="D622" t="str">
        <f>IF($A622&lt;&gt;"",'All Cases - Enter Cases'!D622,"")</f>
        <v/>
      </c>
      <c r="E622" t="str">
        <f>IF($A622&lt;&gt;"",'All Cases - Enter Cases'!E622,"")</f>
        <v/>
      </c>
      <c r="F622" t="str">
        <f>IF($A622&lt;&gt;"",'All Cases - Enter Cases'!F622,"")</f>
        <v/>
      </c>
      <c r="G622" t="str">
        <f>IF($A622&lt;&gt;"",'All Cases - Enter Cases'!G622,"")</f>
        <v/>
      </c>
      <c r="H622" t="str">
        <f>IF($A622&lt;&gt;"",'All Cases - Enter Cases'!H622,"")</f>
        <v/>
      </c>
      <c r="I622" t="str">
        <f>IF($A622&lt;&gt;"",'All Cases - Enter Cases'!I622,"")</f>
        <v/>
      </c>
      <c r="J622" s="4" t="str">
        <f>IF($A622&lt;&gt;"",'All Cases - Enter Cases'!J622,"")</f>
        <v/>
      </c>
      <c r="K622" s="4" t="str">
        <f>IF($A622&lt;&gt;"",'All Cases - Enter Cases'!K622,"")</f>
        <v/>
      </c>
      <c r="L622" s="4" t="str">
        <f>IF($A622&lt;&gt;"",'All Cases - Enter Cases'!L622,"")</f>
        <v/>
      </c>
      <c r="M622" t="str">
        <f>IF($A622&lt;&gt;"",'All Cases - Enter Cases'!M622,"")</f>
        <v/>
      </c>
    </row>
    <row r="623" spans="1:13" x14ac:dyDescent="0.35">
      <c r="A623" s="4" t="str">
        <f>IF('All Cases - Enter Cases'!$F623="Punjab",'All Cases - Enter Cases'!A623,"")</f>
        <v/>
      </c>
      <c r="B623" t="str">
        <f>IF($A623&lt;&gt;"",'All Cases - Enter Cases'!B623,"")</f>
        <v/>
      </c>
      <c r="C623" t="str">
        <f>IF($A623&lt;&gt;"",'All Cases - Enter Cases'!C623,"")</f>
        <v/>
      </c>
      <c r="D623" t="str">
        <f>IF($A623&lt;&gt;"",'All Cases - Enter Cases'!D623,"")</f>
        <v/>
      </c>
      <c r="E623" t="str">
        <f>IF($A623&lt;&gt;"",'All Cases - Enter Cases'!E623,"")</f>
        <v/>
      </c>
      <c r="F623" t="str">
        <f>IF($A623&lt;&gt;"",'All Cases - Enter Cases'!F623,"")</f>
        <v/>
      </c>
      <c r="G623" t="str">
        <f>IF($A623&lt;&gt;"",'All Cases - Enter Cases'!G623,"")</f>
        <v/>
      </c>
      <c r="H623" t="str">
        <f>IF($A623&lt;&gt;"",'All Cases - Enter Cases'!H623,"")</f>
        <v/>
      </c>
      <c r="I623" t="str">
        <f>IF($A623&lt;&gt;"",'All Cases - Enter Cases'!I623,"")</f>
        <v/>
      </c>
      <c r="J623" s="4" t="str">
        <f>IF($A623&lt;&gt;"",'All Cases - Enter Cases'!J623,"")</f>
        <v/>
      </c>
      <c r="K623" s="4" t="str">
        <f>IF($A623&lt;&gt;"",'All Cases - Enter Cases'!K623,"")</f>
        <v/>
      </c>
      <c r="L623" s="4" t="str">
        <f>IF($A623&lt;&gt;"",'All Cases - Enter Cases'!L623,"")</f>
        <v/>
      </c>
      <c r="M623" t="str">
        <f>IF($A623&lt;&gt;"",'All Cases - Enter Cases'!M623,"")</f>
        <v/>
      </c>
    </row>
    <row r="624" spans="1:13" x14ac:dyDescent="0.35">
      <c r="A624" s="4" t="str">
        <f>IF('All Cases - Enter Cases'!$F624="Punjab",'All Cases - Enter Cases'!A624,"")</f>
        <v/>
      </c>
      <c r="B624" t="str">
        <f>IF($A624&lt;&gt;"",'All Cases - Enter Cases'!B624,"")</f>
        <v/>
      </c>
      <c r="C624" t="str">
        <f>IF($A624&lt;&gt;"",'All Cases - Enter Cases'!C624,"")</f>
        <v/>
      </c>
      <c r="D624" t="str">
        <f>IF($A624&lt;&gt;"",'All Cases - Enter Cases'!D624,"")</f>
        <v/>
      </c>
      <c r="E624" t="str">
        <f>IF($A624&lt;&gt;"",'All Cases - Enter Cases'!E624,"")</f>
        <v/>
      </c>
      <c r="F624" t="str">
        <f>IF($A624&lt;&gt;"",'All Cases - Enter Cases'!F624,"")</f>
        <v/>
      </c>
      <c r="G624" t="str">
        <f>IF($A624&lt;&gt;"",'All Cases - Enter Cases'!G624,"")</f>
        <v/>
      </c>
      <c r="H624" t="str">
        <f>IF($A624&lt;&gt;"",'All Cases - Enter Cases'!H624,"")</f>
        <v/>
      </c>
      <c r="I624" t="str">
        <f>IF($A624&lt;&gt;"",'All Cases - Enter Cases'!I624,"")</f>
        <v/>
      </c>
      <c r="J624" s="4" t="str">
        <f>IF($A624&lt;&gt;"",'All Cases - Enter Cases'!J624,"")</f>
        <v/>
      </c>
      <c r="K624" s="4" t="str">
        <f>IF($A624&lt;&gt;"",'All Cases - Enter Cases'!K624,"")</f>
        <v/>
      </c>
      <c r="L624" s="4" t="str">
        <f>IF($A624&lt;&gt;"",'All Cases - Enter Cases'!L624,"")</f>
        <v/>
      </c>
      <c r="M624" t="str">
        <f>IF($A624&lt;&gt;"",'All Cases - Enter Cases'!M624,"")</f>
        <v/>
      </c>
    </row>
    <row r="625" spans="1:13" x14ac:dyDescent="0.35">
      <c r="A625" s="4" t="str">
        <f>IF('All Cases - Enter Cases'!$F625="Punjab",'All Cases - Enter Cases'!A625,"")</f>
        <v/>
      </c>
      <c r="B625" t="str">
        <f>IF($A625&lt;&gt;"",'All Cases - Enter Cases'!B625,"")</f>
        <v/>
      </c>
      <c r="C625" t="str">
        <f>IF($A625&lt;&gt;"",'All Cases - Enter Cases'!C625,"")</f>
        <v/>
      </c>
      <c r="D625" t="str">
        <f>IF($A625&lt;&gt;"",'All Cases - Enter Cases'!D625,"")</f>
        <v/>
      </c>
      <c r="E625" t="str">
        <f>IF($A625&lt;&gt;"",'All Cases - Enter Cases'!E625,"")</f>
        <v/>
      </c>
      <c r="F625" t="str">
        <f>IF($A625&lt;&gt;"",'All Cases - Enter Cases'!F625,"")</f>
        <v/>
      </c>
      <c r="G625" t="str">
        <f>IF($A625&lt;&gt;"",'All Cases - Enter Cases'!G625,"")</f>
        <v/>
      </c>
      <c r="H625" t="str">
        <f>IF($A625&lt;&gt;"",'All Cases - Enter Cases'!H625,"")</f>
        <v/>
      </c>
      <c r="I625" t="str">
        <f>IF($A625&lt;&gt;"",'All Cases - Enter Cases'!I625,"")</f>
        <v/>
      </c>
      <c r="J625" s="4" t="str">
        <f>IF($A625&lt;&gt;"",'All Cases - Enter Cases'!J625,"")</f>
        <v/>
      </c>
      <c r="K625" s="4" t="str">
        <f>IF($A625&lt;&gt;"",'All Cases - Enter Cases'!K625,"")</f>
        <v/>
      </c>
      <c r="L625" s="4" t="str">
        <f>IF($A625&lt;&gt;"",'All Cases - Enter Cases'!L625,"")</f>
        <v/>
      </c>
      <c r="M625" t="str">
        <f>IF($A625&lt;&gt;"",'All Cases - Enter Cases'!M625,"")</f>
        <v/>
      </c>
    </row>
    <row r="626" spans="1:13" x14ac:dyDescent="0.35">
      <c r="A626" s="4" t="str">
        <f>IF('All Cases - Enter Cases'!$F626="Punjab",'All Cases - Enter Cases'!A626,"")</f>
        <v/>
      </c>
      <c r="B626" t="str">
        <f>IF($A626&lt;&gt;"",'All Cases - Enter Cases'!B626,"")</f>
        <v/>
      </c>
      <c r="C626" t="str">
        <f>IF($A626&lt;&gt;"",'All Cases - Enter Cases'!C626,"")</f>
        <v/>
      </c>
      <c r="D626" t="str">
        <f>IF($A626&lt;&gt;"",'All Cases - Enter Cases'!D626,"")</f>
        <v/>
      </c>
      <c r="E626" t="str">
        <f>IF($A626&lt;&gt;"",'All Cases - Enter Cases'!E626,"")</f>
        <v/>
      </c>
      <c r="F626" t="str">
        <f>IF($A626&lt;&gt;"",'All Cases - Enter Cases'!F626,"")</f>
        <v/>
      </c>
      <c r="G626" t="str">
        <f>IF($A626&lt;&gt;"",'All Cases - Enter Cases'!G626,"")</f>
        <v/>
      </c>
      <c r="H626" t="str">
        <f>IF($A626&lt;&gt;"",'All Cases - Enter Cases'!H626,"")</f>
        <v/>
      </c>
      <c r="I626" t="str">
        <f>IF($A626&lt;&gt;"",'All Cases - Enter Cases'!I626,"")</f>
        <v/>
      </c>
      <c r="J626" s="4" t="str">
        <f>IF($A626&lt;&gt;"",'All Cases - Enter Cases'!J626,"")</f>
        <v/>
      </c>
      <c r="K626" s="4" t="str">
        <f>IF($A626&lt;&gt;"",'All Cases - Enter Cases'!K626,"")</f>
        <v/>
      </c>
      <c r="L626" s="4" t="str">
        <f>IF($A626&lt;&gt;"",'All Cases - Enter Cases'!L626,"")</f>
        <v/>
      </c>
      <c r="M626" t="str">
        <f>IF($A626&lt;&gt;"",'All Cases - Enter Cases'!M626,"")</f>
        <v/>
      </c>
    </row>
    <row r="627" spans="1:13" x14ac:dyDescent="0.35">
      <c r="A627" s="4" t="str">
        <f>IF('All Cases - Enter Cases'!$F627="Punjab",'All Cases - Enter Cases'!A627,"")</f>
        <v/>
      </c>
      <c r="B627" t="str">
        <f>IF($A627&lt;&gt;"",'All Cases - Enter Cases'!B627,"")</f>
        <v/>
      </c>
      <c r="C627" t="str">
        <f>IF($A627&lt;&gt;"",'All Cases - Enter Cases'!C627,"")</f>
        <v/>
      </c>
      <c r="D627" t="str">
        <f>IF($A627&lt;&gt;"",'All Cases - Enter Cases'!D627,"")</f>
        <v/>
      </c>
      <c r="E627" t="str">
        <f>IF($A627&lt;&gt;"",'All Cases - Enter Cases'!E627,"")</f>
        <v/>
      </c>
      <c r="F627" t="str">
        <f>IF($A627&lt;&gt;"",'All Cases - Enter Cases'!F627,"")</f>
        <v/>
      </c>
      <c r="G627" t="str">
        <f>IF($A627&lt;&gt;"",'All Cases - Enter Cases'!G627,"")</f>
        <v/>
      </c>
      <c r="H627" t="str">
        <f>IF($A627&lt;&gt;"",'All Cases - Enter Cases'!H627,"")</f>
        <v/>
      </c>
      <c r="I627" t="str">
        <f>IF($A627&lt;&gt;"",'All Cases - Enter Cases'!I627,"")</f>
        <v/>
      </c>
      <c r="J627" s="4" t="str">
        <f>IF($A627&lt;&gt;"",'All Cases - Enter Cases'!J627,"")</f>
        <v/>
      </c>
      <c r="K627" s="4" t="str">
        <f>IF($A627&lt;&gt;"",'All Cases - Enter Cases'!K627,"")</f>
        <v/>
      </c>
      <c r="L627" s="4" t="str">
        <f>IF($A627&lt;&gt;"",'All Cases - Enter Cases'!L627,"")</f>
        <v/>
      </c>
      <c r="M627" t="str">
        <f>IF($A627&lt;&gt;"",'All Cases - Enter Cases'!M627,"")</f>
        <v/>
      </c>
    </row>
    <row r="628" spans="1:13" x14ac:dyDescent="0.35">
      <c r="A628" s="4" t="str">
        <f>IF('All Cases - Enter Cases'!$F628="Punjab",'All Cases - Enter Cases'!A628,"")</f>
        <v/>
      </c>
      <c r="B628" t="str">
        <f>IF($A628&lt;&gt;"",'All Cases - Enter Cases'!B628,"")</f>
        <v/>
      </c>
      <c r="C628" t="str">
        <f>IF($A628&lt;&gt;"",'All Cases - Enter Cases'!C628,"")</f>
        <v/>
      </c>
      <c r="D628" t="str">
        <f>IF($A628&lt;&gt;"",'All Cases - Enter Cases'!D628,"")</f>
        <v/>
      </c>
      <c r="E628" t="str">
        <f>IF($A628&lt;&gt;"",'All Cases - Enter Cases'!E628,"")</f>
        <v/>
      </c>
      <c r="F628" t="str">
        <f>IF($A628&lt;&gt;"",'All Cases - Enter Cases'!F628,"")</f>
        <v/>
      </c>
      <c r="G628" t="str">
        <f>IF($A628&lt;&gt;"",'All Cases - Enter Cases'!G628,"")</f>
        <v/>
      </c>
      <c r="H628" t="str">
        <f>IF($A628&lt;&gt;"",'All Cases - Enter Cases'!H628,"")</f>
        <v/>
      </c>
      <c r="I628" t="str">
        <f>IF($A628&lt;&gt;"",'All Cases - Enter Cases'!I628,"")</f>
        <v/>
      </c>
      <c r="J628" s="4" t="str">
        <f>IF($A628&lt;&gt;"",'All Cases - Enter Cases'!J628,"")</f>
        <v/>
      </c>
      <c r="K628" s="4" t="str">
        <f>IF($A628&lt;&gt;"",'All Cases - Enter Cases'!K628,"")</f>
        <v/>
      </c>
      <c r="L628" s="4" t="str">
        <f>IF($A628&lt;&gt;"",'All Cases - Enter Cases'!L628,"")</f>
        <v/>
      </c>
      <c r="M628" t="str">
        <f>IF($A628&lt;&gt;"",'All Cases - Enter Cases'!M628,"")</f>
        <v/>
      </c>
    </row>
    <row r="629" spans="1:13" x14ac:dyDescent="0.35">
      <c r="A629" s="4" t="str">
        <f>IF('All Cases - Enter Cases'!$F629="Punjab",'All Cases - Enter Cases'!A629,"")</f>
        <v/>
      </c>
      <c r="B629" t="str">
        <f>IF($A629&lt;&gt;"",'All Cases - Enter Cases'!B629,"")</f>
        <v/>
      </c>
      <c r="C629" t="str">
        <f>IF($A629&lt;&gt;"",'All Cases - Enter Cases'!C629,"")</f>
        <v/>
      </c>
      <c r="D629" t="str">
        <f>IF($A629&lt;&gt;"",'All Cases - Enter Cases'!D629,"")</f>
        <v/>
      </c>
      <c r="E629" t="str">
        <f>IF($A629&lt;&gt;"",'All Cases - Enter Cases'!E629,"")</f>
        <v/>
      </c>
      <c r="F629" t="str">
        <f>IF($A629&lt;&gt;"",'All Cases - Enter Cases'!F629,"")</f>
        <v/>
      </c>
      <c r="G629" t="str">
        <f>IF($A629&lt;&gt;"",'All Cases - Enter Cases'!G629,"")</f>
        <v/>
      </c>
      <c r="H629" t="str">
        <f>IF($A629&lt;&gt;"",'All Cases - Enter Cases'!H629,"")</f>
        <v/>
      </c>
      <c r="I629" t="str">
        <f>IF($A629&lt;&gt;"",'All Cases - Enter Cases'!I629,"")</f>
        <v/>
      </c>
      <c r="J629" s="4" t="str">
        <f>IF($A629&lt;&gt;"",'All Cases - Enter Cases'!J629,"")</f>
        <v/>
      </c>
      <c r="K629" s="4" t="str">
        <f>IF($A629&lt;&gt;"",'All Cases - Enter Cases'!K629,"")</f>
        <v/>
      </c>
      <c r="L629" s="4" t="str">
        <f>IF($A629&lt;&gt;"",'All Cases - Enter Cases'!L629,"")</f>
        <v/>
      </c>
      <c r="M629" t="str">
        <f>IF($A629&lt;&gt;"",'All Cases - Enter Cases'!M629,"")</f>
        <v/>
      </c>
    </row>
    <row r="630" spans="1:13" x14ac:dyDescent="0.35">
      <c r="A630" s="4" t="str">
        <f>IF('All Cases - Enter Cases'!$F630="Punjab",'All Cases - Enter Cases'!A630,"")</f>
        <v/>
      </c>
      <c r="B630" t="str">
        <f>IF($A630&lt;&gt;"",'All Cases - Enter Cases'!B630,"")</f>
        <v/>
      </c>
      <c r="C630" t="str">
        <f>IF($A630&lt;&gt;"",'All Cases - Enter Cases'!C630,"")</f>
        <v/>
      </c>
      <c r="D630" t="str">
        <f>IF($A630&lt;&gt;"",'All Cases - Enter Cases'!D630,"")</f>
        <v/>
      </c>
      <c r="E630" t="str">
        <f>IF($A630&lt;&gt;"",'All Cases - Enter Cases'!E630,"")</f>
        <v/>
      </c>
      <c r="F630" t="str">
        <f>IF($A630&lt;&gt;"",'All Cases - Enter Cases'!F630,"")</f>
        <v/>
      </c>
      <c r="G630" t="str">
        <f>IF($A630&lt;&gt;"",'All Cases - Enter Cases'!G630,"")</f>
        <v/>
      </c>
      <c r="H630" t="str">
        <f>IF($A630&lt;&gt;"",'All Cases - Enter Cases'!H630,"")</f>
        <v/>
      </c>
      <c r="I630" t="str">
        <f>IF($A630&lt;&gt;"",'All Cases - Enter Cases'!I630,"")</f>
        <v/>
      </c>
      <c r="J630" s="4" t="str">
        <f>IF($A630&lt;&gt;"",'All Cases - Enter Cases'!J630,"")</f>
        <v/>
      </c>
      <c r="K630" s="4" t="str">
        <f>IF($A630&lt;&gt;"",'All Cases - Enter Cases'!K630,"")</f>
        <v/>
      </c>
      <c r="L630" s="4" t="str">
        <f>IF($A630&lt;&gt;"",'All Cases - Enter Cases'!L630,"")</f>
        <v/>
      </c>
      <c r="M630" t="str">
        <f>IF($A630&lt;&gt;"",'All Cases - Enter Cases'!M630,"")</f>
        <v/>
      </c>
    </row>
    <row r="631" spans="1:13" x14ac:dyDescent="0.35">
      <c r="A631" s="4" t="str">
        <f>IF('All Cases - Enter Cases'!$F631="Punjab",'All Cases - Enter Cases'!A631,"")</f>
        <v/>
      </c>
      <c r="B631" t="str">
        <f>IF($A631&lt;&gt;"",'All Cases - Enter Cases'!B631,"")</f>
        <v/>
      </c>
      <c r="C631" t="str">
        <f>IF($A631&lt;&gt;"",'All Cases - Enter Cases'!C631,"")</f>
        <v/>
      </c>
      <c r="D631" t="str">
        <f>IF($A631&lt;&gt;"",'All Cases - Enter Cases'!D631,"")</f>
        <v/>
      </c>
      <c r="E631" t="str">
        <f>IF($A631&lt;&gt;"",'All Cases - Enter Cases'!E631,"")</f>
        <v/>
      </c>
      <c r="F631" t="str">
        <f>IF($A631&lt;&gt;"",'All Cases - Enter Cases'!F631,"")</f>
        <v/>
      </c>
      <c r="G631" t="str">
        <f>IF($A631&lt;&gt;"",'All Cases - Enter Cases'!G631,"")</f>
        <v/>
      </c>
      <c r="H631" t="str">
        <f>IF($A631&lt;&gt;"",'All Cases - Enter Cases'!H631,"")</f>
        <v/>
      </c>
      <c r="I631" t="str">
        <f>IF($A631&lt;&gt;"",'All Cases - Enter Cases'!I631,"")</f>
        <v/>
      </c>
      <c r="J631" s="4" t="str">
        <f>IF($A631&lt;&gt;"",'All Cases - Enter Cases'!J631,"")</f>
        <v/>
      </c>
      <c r="K631" s="4" t="str">
        <f>IF($A631&lt;&gt;"",'All Cases - Enter Cases'!K631,"")</f>
        <v/>
      </c>
      <c r="L631" s="4" t="str">
        <f>IF($A631&lt;&gt;"",'All Cases - Enter Cases'!L631,"")</f>
        <v/>
      </c>
      <c r="M631" t="str">
        <f>IF($A631&lt;&gt;"",'All Cases - Enter Cases'!M631,"")</f>
        <v/>
      </c>
    </row>
    <row r="632" spans="1:13" x14ac:dyDescent="0.35">
      <c r="A632" s="4" t="str">
        <f>IF('All Cases - Enter Cases'!$F632="Punjab",'All Cases - Enter Cases'!A632,"")</f>
        <v/>
      </c>
      <c r="B632" t="str">
        <f>IF($A632&lt;&gt;"",'All Cases - Enter Cases'!B632,"")</f>
        <v/>
      </c>
      <c r="C632" t="str">
        <f>IF($A632&lt;&gt;"",'All Cases - Enter Cases'!C632,"")</f>
        <v/>
      </c>
      <c r="D632" t="str">
        <f>IF($A632&lt;&gt;"",'All Cases - Enter Cases'!D632,"")</f>
        <v/>
      </c>
      <c r="E632" t="str">
        <f>IF($A632&lt;&gt;"",'All Cases - Enter Cases'!E632,"")</f>
        <v/>
      </c>
      <c r="F632" t="str">
        <f>IF($A632&lt;&gt;"",'All Cases - Enter Cases'!F632,"")</f>
        <v/>
      </c>
      <c r="G632" t="str">
        <f>IF($A632&lt;&gt;"",'All Cases - Enter Cases'!G632,"")</f>
        <v/>
      </c>
      <c r="H632" t="str">
        <f>IF($A632&lt;&gt;"",'All Cases - Enter Cases'!H632,"")</f>
        <v/>
      </c>
      <c r="I632" t="str">
        <f>IF($A632&lt;&gt;"",'All Cases - Enter Cases'!I632,"")</f>
        <v/>
      </c>
      <c r="J632" s="4" t="str">
        <f>IF($A632&lt;&gt;"",'All Cases - Enter Cases'!J632,"")</f>
        <v/>
      </c>
      <c r="K632" s="4" t="str">
        <f>IF($A632&lt;&gt;"",'All Cases - Enter Cases'!K632,"")</f>
        <v/>
      </c>
      <c r="L632" s="4" t="str">
        <f>IF($A632&lt;&gt;"",'All Cases - Enter Cases'!L632,"")</f>
        <v/>
      </c>
      <c r="M632" t="str">
        <f>IF($A632&lt;&gt;"",'All Cases - Enter Cases'!M632,"")</f>
        <v/>
      </c>
    </row>
    <row r="633" spans="1:13" x14ac:dyDescent="0.35">
      <c r="A633" s="4" t="str">
        <f>IF('All Cases - Enter Cases'!$F633="Punjab",'All Cases - Enter Cases'!A633,"")</f>
        <v/>
      </c>
      <c r="B633" t="str">
        <f>IF($A633&lt;&gt;"",'All Cases - Enter Cases'!B633,"")</f>
        <v/>
      </c>
      <c r="C633" t="str">
        <f>IF($A633&lt;&gt;"",'All Cases - Enter Cases'!C633,"")</f>
        <v/>
      </c>
      <c r="D633" t="str">
        <f>IF($A633&lt;&gt;"",'All Cases - Enter Cases'!D633,"")</f>
        <v/>
      </c>
      <c r="E633" t="str">
        <f>IF($A633&lt;&gt;"",'All Cases - Enter Cases'!E633,"")</f>
        <v/>
      </c>
      <c r="F633" t="str">
        <f>IF($A633&lt;&gt;"",'All Cases - Enter Cases'!F633,"")</f>
        <v/>
      </c>
      <c r="G633" t="str">
        <f>IF($A633&lt;&gt;"",'All Cases - Enter Cases'!G633,"")</f>
        <v/>
      </c>
      <c r="H633" t="str">
        <f>IF($A633&lt;&gt;"",'All Cases - Enter Cases'!H633,"")</f>
        <v/>
      </c>
      <c r="I633" t="str">
        <f>IF($A633&lt;&gt;"",'All Cases - Enter Cases'!I633,"")</f>
        <v/>
      </c>
      <c r="J633" s="4" t="str">
        <f>IF($A633&lt;&gt;"",'All Cases - Enter Cases'!J633,"")</f>
        <v/>
      </c>
      <c r="K633" s="4" t="str">
        <f>IF($A633&lt;&gt;"",'All Cases - Enter Cases'!K633,"")</f>
        <v/>
      </c>
      <c r="L633" s="4" t="str">
        <f>IF($A633&lt;&gt;"",'All Cases - Enter Cases'!L633,"")</f>
        <v/>
      </c>
      <c r="M633" t="str">
        <f>IF($A633&lt;&gt;"",'All Cases - Enter Cases'!M633,"")</f>
        <v/>
      </c>
    </row>
    <row r="634" spans="1:13" x14ac:dyDescent="0.35">
      <c r="A634" s="4" t="str">
        <f>IF('All Cases - Enter Cases'!$F634="Punjab",'All Cases - Enter Cases'!A634,"")</f>
        <v/>
      </c>
      <c r="B634" t="str">
        <f>IF($A634&lt;&gt;"",'All Cases - Enter Cases'!B634,"")</f>
        <v/>
      </c>
      <c r="C634" t="str">
        <f>IF($A634&lt;&gt;"",'All Cases - Enter Cases'!C634,"")</f>
        <v/>
      </c>
      <c r="D634" t="str">
        <f>IF($A634&lt;&gt;"",'All Cases - Enter Cases'!D634,"")</f>
        <v/>
      </c>
      <c r="E634" t="str">
        <f>IF($A634&lt;&gt;"",'All Cases - Enter Cases'!E634,"")</f>
        <v/>
      </c>
      <c r="F634" t="str">
        <f>IF($A634&lt;&gt;"",'All Cases - Enter Cases'!F634,"")</f>
        <v/>
      </c>
      <c r="G634" t="str">
        <f>IF($A634&lt;&gt;"",'All Cases - Enter Cases'!G634,"")</f>
        <v/>
      </c>
      <c r="H634" t="str">
        <f>IF($A634&lt;&gt;"",'All Cases - Enter Cases'!H634,"")</f>
        <v/>
      </c>
      <c r="I634" t="str">
        <f>IF($A634&lt;&gt;"",'All Cases - Enter Cases'!I634,"")</f>
        <v/>
      </c>
      <c r="J634" s="4" t="str">
        <f>IF($A634&lt;&gt;"",'All Cases - Enter Cases'!J634,"")</f>
        <v/>
      </c>
      <c r="K634" s="4" t="str">
        <f>IF($A634&lt;&gt;"",'All Cases - Enter Cases'!K634,"")</f>
        <v/>
      </c>
      <c r="L634" s="4" t="str">
        <f>IF($A634&lt;&gt;"",'All Cases - Enter Cases'!L634,"")</f>
        <v/>
      </c>
      <c r="M634" t="str">
        <f>IF($A634&lt;&gt;"",'All Cases - Enter Cases'!M634,"")</f>
        <v/>
      </c>
    </row>
    <row r="635" spans="1:13" x14ac:dyDescent="0.35">
      <c r="A635" s="4" t="str">
        <f>IF('All Cases - Enter Cases'!$F635="Punjab",'All Cases - Enter Cases'!A635,"")</f>
        <v/>
      </c>
      <c r="B635" t="str">
        <f>IF($A635&lt;&gt;"",'All Cases - Enter Cases'!B635,"")</f>
        <v/>
      </c>
      <c r="C635" t="str">
        <f>IF($A635&lt;&gt;"",'All Cases - Enter Cases'!C635,"")</f>
        <v/>
      </c>
      <c r="D635" t="str">
        <f>IF($A635&lt;&gt;"",'All Cases - Enter Cases'!D635,"")</f>
        <v/>
      </c>
      <c r="E635" t="str">
        <f>IF($A635&lt;&gt;"",'All Cases - Enter Cases'!E635,"")</f>
        <v/>
      </c>
      <c r="F635" t="str">
        <f>IF($A635&lt;&gt;"",'All Cases - Enter Cases'!F635,"")</f>
        <v/>
      </c>
      <c r="G635" t="str">
        <f>IF($A635&lt;&gt;"",'All Cases - Enter Cases'!G635,"")</f>
        <v/>
      </c>
      <c r="H635" t="str">
        <f>IF($A635&lt;&gt;"",'All Cases - Enter Cases'!H635,"")</f>
        <v/>
      </c>
      <c r="I635" t="str">
        <f>IF($A635&lt;&gt;"",'All Cases - Enter Cases'!I635,"")</f>
        <v/>
      </c>
      <c r="J635" s="4" t="str">
        <f>IF($A635&lt;&gt;"",'All Cases - Enter Cases'!J635,"")</f>
        <v/>
      </c>
      <c r="K635" s="4" t="str">
        <f>IF($A635&lt;&gt;"",'All Cases - Enter Cases'!K635,"")</f>
        <v/>
      </c>
      <c r="L635" s="4" t="str">
        <f>IF($A635&lt;&gt;"",'All Cases - Enter Cases'!L635,"")</f>
        <v/>
      </c>
      <c r="M635" t="str">
        <f>IF($A635&lt;&gt;"",'All Cases - Enter Cases'!M635,"")</f>
        <v/>
      </c>
    </row>
    <row r="636" spans="1:13" x14ac:dyDescent="0.35">
      <c r="A636" s="4" t="str">
        <f>IF('All Cases - Enter Cases'!$F636="Punjab",'All Cases - Enter Cases'!A636,"")</f>
        <v/>
      </c>
      <c r="B636" t="str">
        <f>IF($A636&lt;&gt;"",'All Cases - Enter Cases'!B636,"")</f>
        <v/>
      </c>
      <c r="C636" t="str">
        <f>IF($A636&lt;&gt;"",'All Cases - Enter Cases'!C636,"")</f>
        <v/>
      </c>
      <c r="D636" t="str">
        <f>IF($A636&lt;&gt;"",'All Cases - Enter Cases'!D636,"")</f>
        <v/>
      </c>
      <c r="E636" t="str">
        <f>IF($A636&lt;&gt;"",'All Cases - Enter Cases'!E636,"")</f>
        <v/>
      </c>
      <c r="F636" t="str">
        <f>IF($A636&lt;&gt;"",'All Cases - Enter Cases'!F636,"")</f>
        <v/>
      </c>
      <c r="G636" t="str">
        <f>IF($A636&lt;&gt;"",'All Cases - Enter Cases'!G636,"")</f>
        <v/>
      </c>
      <c r="H636" t="str">
        <f>IF($A636&lt;&gt;"",'All Cases - Enter Cases'!H636,"")</f>
        <v/>
      </c>
      <c r="I636" t="str">
        <f>IF($A636&lt;&gt;"",'All Cases - Enter Cases'!I636,"")</f>
        <v/>
      </c>
      <c r="J636" s="4" t="str">
        <f>IF($A636&lt;&gt;"",'All Cases - Enter Cases'!J636,"")</f>
        <v/>
      </c>
      <c r="K636" s="4" t="str">
        <f>IF($A636&lt;&gt;"",'All Cases - Enter Cases'!K636,"")</f>
        <v/>
      </c>
      <c r="L636" s="4" t="str">
        <f>IF($A636&lt;&gt;"",'All Cases - Enter Cases'!L636,"")</f>
        <v/>
      </c>
      <c r="M636" t="str">
        <f>IF($A636&lt;&gt;"",'All Cases - Enter Cases'!M636,"")</f>
        <v/>
      </c>
    </row>
    <row r="637" spans="1:13" x14ac:dyDescent="0.35">
      <c r="A637" s="4" t="str">
        <f>IF('All Cases - Enter Cases'!$F637="Punjab",'All Cases - Enter Cases'!A637,"")</f>
        <v/>
      </c>
      <c r="B637" t="str">
        <f>IF($A637&lt;&gt;"",'All Cases - Enter Cases'!B637,"")</f>
        <v/>
      </c>
      <c r="C637" t="str">
        <f>IF($A637&lt;&gt;"",'All Cases - Enter Cases'!C637,"")</f>
        <v/>
      </c>
      <c r="D637" t="str">
        <f>IF($A637&lt;&gt;"",'All Cases - Enter Cases'!D637,"")</f>
        <v/>
      </c>
      <c r="E637" t="str">
        <f>IF($A637&lt;&gt;"",'All Cases - Enter Cases'!E637,"")</f>
        <v/>
      </c>
      <c r="F637" t="str">
        <f>IF($A637&lt;&gt;"",'All Cases - Enter Cases'!F637,"")</f>
        <v/>
      </c>
      <c r="G637" t="str">
        <f>IF($A637&lt;&gt;"",'All Cases - Enter Cases'!G637,"")</f>
        <v/>
      </c>
      <c r="H637" t="str">
        <f>IF($A637&lt;&gt;"",'All Cases - Enter Cases'!H637,"")</f>
        <v/>
      </c>
      <c r="I637" t="str">
        <f>IF($A637&lt;&gt;"",'All Cases - Enter Cases'!I637,"")</f>
        <v/>
      </c>
      <c r="J637" s="4" t="str">
        <f>IF($A637&lt;&gt;"",'All Cases - Enter Cases'!J637,"")</f>
        <v/>
      </c>
      <c r="K637" s="4" t="str">
        <f>IF($A637&lt;&gt;"",'All Cases - Enter Cases'!K637,"")</f>
        <v/>
      </c>
      <c r="L637" s="4" t="str">
        <f>IF($A637&lt;&gt;"",'All Cases - Enter Cases'!L637,"")</f>
        <v/>
      </c>
      <c r="M637" t="str">
        <f>IF($A637&lt;&gt;"",'All Cases - Enter Cases'!M637,"")</f>
        <v/>
      </c>
    </row>
    <row r="638" spans="1:13" x14ac:dyDescent="0.35">
      <c r="A638" s="4" t="str">
        <f>IF('All Cases - Enter Cases'!$F638="Punjab",'All Cases - Enter Cases'!A638,"")</f>
        <v/>
      </c>
      <c r="B638" t="str">
        <f>IF($A638&lt;&gt;"",'All Cases - Enter Cases'!B638,"")</f>
        <v/>
      </c>
      <c r="C638" t="str">
        <f>IF($A638&lt;&gt;"",'All Cases - Enter Cases'!C638,"")</f>
        <v/>
      </c>
      <c r="D638" t="str">
        <f>IF($A638&lt;&gt;"",'All Cases - Enter Cases'!D638,"")</f>
        <v/>
      </c>
      <c r="E638" t="str">
        <f>IF($A638&lt;&gt;"",'All Cases - Enter Cases'!E638,"")</f>
        <v/>
      </c>
      <c r="F638" t="str">
        <f>IF($A638&lt;&gt;"",'All Cases - Enter Cases'!F638,"")</f>
        <v/>
      </c>
      <c r="G638" t="str">
        <f>IF($A638&lt;&gt;"",'All Cases - Enter Cases'!G638,"")</f>
        <v/>
      </c>
      <c r="H638" t="str">
        <f>IF($A638&lt;&gt;"",'All Cases - Enter Cases'!H638,"")</f>
        <v/>
      </c>
      <c r="I638" t="str">
        <f>IF($A638&lt;&gt;"",'All Cases - Enter Cases'!I638,"")</f>
        <v/>
      </c>
      <c r="J638" s="4" t="str">
        <f>IF($A638&lt;&gt;"",'All Cases - Enter Cases'!J638,"")</f>
        <v/>
      </c>
      <c r="K638" s="4" t="str">
        <f>IF($A638&lt;&gt;"",'All Cases - Enter Cases'!K638,"")</f>
        <v/>
      </c>
      <c r="L638" s="4" t="str">
        <f>IF($A638&lt;&gt;"",'All Cases - Enter Cases'!L638,"")</f>
        <v/>
      </c>
      <c r="M638" t="str">
        <f>IF($A638&lt;&gt;"",'All Cases - Enter Cases'!M638,"")</f>
        <v/>
      </c>
    </row>
    <row r="639" spans="1:13" x14ac:dyDescent="0.35">
      <c r="A639" s="4" t="str">
        <f>IF('All Cases - Enter Cases'!$F639="Punjab",'All Cases - Enter Cases'!A639,"")</f>
        <v/>
      </c>
      <c r="B639" t="str">
        <f>IF($A639&lt;&gt;"",'All Cases - Enter Cases'!B639,"")</f>
        <v/>
      </c>
      <c r="C639" t="str">
        <f>IF($A639&lt;&gt;"",'All Cases - Enter Cases'!C639,"")</f>
        <v/>
      </c>
      <c r="D639" t="str">
        <f>IF($A639&lt;&gt;"",'All Cases - Enter Cases'!D639,"")</f>
        <v/>
      </c>
      <c r="E639" t="str">
        <f>IF($A639&lt;&gt;"",'All Cases - Enter Cases'!E639,"")</f>
        <v/>
      </c>
      <c r="F639" t="str">
        <f>IF($A639&lt;&gt;"",'All Cases - Enter Cases'!F639,"")</f>
        <v/>
      </c>
      <c r="G639" t="str">
        <f>IF($A639&lt;&gt;"",'All Cases - Enter Cases'!G639,"")</f>
        <v/>
      </c>
      <c r="H639" t="str">
        <f>IF($A639&lt;&gt;"",'All Cases - Enter Cases'!H639,"")</f>
        <v/>
      </c>
      <c r="I639" t="str">
        <f>IF($A639&lt;&gt;"",'All Cases - Enter Cases'!I639,"")</f>
        <v/>
      </c>
      <c r="J639" s="4" t="str">
        <f>IF($A639&lt;&gt;"",'All Cases - Enter Cases'!J639,"")</f>
        <v/>
      </c>
      <c r="K639" s="4" t="str">
        <f>IF($A639&lt;&gt;"",'All Cases - Enter Cases'!K639,"")</f>
        <v/>
      </c>
      <c r="L639" s="4" t="str">
        <f>IF($A639&lt;&gt;"",'All Cases - Enter Cases'!L639,"")</f>
        <v/>
      </c>
      <c r="M639" t="str">
        <f>IF($A639&lt;&gt;"",'All Cases - Enter Cases'!M639,"")</f>
        <v/>
      </c>
    </row>
    <row r="640" spans="1:13" x14ac:dyDescent="0.35">
      <c r="A640" s="4" t="str">
        <f>IF('All Cases - Enter Cases'!$F640="Punjab",'All Cases - Enter Cases'!A640,"")</f>
        <v/>
      </c>
      <c r="B640" t="str">
        <f>IF($A640&lt;&gt;"",'All Cases - Enter Cases'!B640,"")</f>
        <v/>
      </c>
      <c r="C640" t="str">
        <f>IF($A640&lt;&gt;"",'All Cases - Enter Cases'!C640,"")</f>
        <v/>
      </c>
      <c r="D640" t="str">
        <f>IF($A640&lt;&gt;"",'All Cases - Enter Cases'!D640,"")</f>
        <v/>
      </c>
      <c r="E640" t="str">
        <f>IF($A640&lt;&gt;"",'All Cases - Enter Cases'!E640,"")</f>
        <v/>
      </c>
      <c r="F640" t="str">
        <f>IF($A640&lt;&gt;"",'All Cases - Enter Cases'!F640,"")</f>
        <v/>
      </c>
      <c r="G640" t="str">
        <f>IF($A640&lt;&gt;"",'All Cases - Enter Cases'!G640,"")</f>
        <v/>
      </c>
      <c r="H640" t="str">
        <f>IF($A640&lt;&gt;"",'All Cases - Enter Cases'!H640,"")</f>
        <v/>
      </c>
      <c r="I640" t="str">
        <f>IF($A640&lt;&gt;"",'All Cases - Enter Cases'!I640,"")</f>
        <v/>
      </c>
      <c r="J640" s="4" t="str">
        <f>IF($A640&lt;&gt;"",'All Cases - Enter Cases'!J640,"")</f>
        <v/>
      </c>
      <c r="K640" s="4" t="str">
        <f>IF($A640&lt;&gt;"",'All Cases - Enter Cases'!K640,"")</f>
        <v/>
      </c>
      <c r="L640" s="4" t="str">
        <f>IF($A640&lt;&gt;"",'All Cases - Enter Cases'!L640,"")</f>
        <v/>
      </c>
      <c r="M640" t="str">
        <f>IF($A640&lt;&gt;"",'All Cases - Enter Cases'!M640,"")</f>
        <v/>
      </c>
    </row>
    <row r="641" spans="1:13" x14ac:dyDescent="0.35">
      <c r="A641" s="4" t="str">
        <f>IF('All Cases - Enter Cases'!$F641="Punjab",'All Cases - Enter Cases'!A641,"")</f>
        <v/>
      </c>
      <c r="B641" t="str">
        <f>IF($A641&lt;&gt;"",'All Cases - Enter Cases'!B641,"")</f>
        <v/>
      </c>
      <c r="C641" t="str">
        <f>IF($A641&lt;&gt;"",'All Cases - Enter Cases'!C641,"")</f>
        <v/>
      </c>
      <c r="D641" t="str">
        <f>IF($A641&lt;&gt;"",'All Cases - Enter Cases'!D641,"")</f>
        <v/>
      </c>
      <c r="E641" t="str">
        <f>IF($A641&lt;&gt;"",'All Cases - Enter Cases'!E641,"")</f>
        <v/>
      </c>
      <c r="F641" t="str">
        <f>IF($A641&lt;&gt;"",'All Cases - Enter Cases'!F641,"")</f>
        <v/>
      </c>
      <c r="G641" t="str">
        <f>IF($A641&lt;&gt;"",'All Cases - Enter Cases'!G641,"")</f>
        <v/>
      </c>
      <c r="H641" t="str">
        <f>IF($A641&lt;&gt;"",'All Cases - Enter Cases'!H641,"")</f>
        <v/>
      </c>
      <c r="I641" t="str">
        <f>IF($A641&lt;&gt;"",'All Cases - Enter Cases'!I641,"")</f>
        <v/>
      </c>
      <c r="J641" s="4" t="str">
        <f>IF($A641&lt;&gt;"",'All Cases - Enter Cases'!J641,"")</f>
        <v/>
      </c>
      <c r="K641" s="4" t="str">
        <f>IF($A641&lt;&gt;"",'All Cases - Enter Cases'!K641,"")</f>
        <v/>
      </c>
      <c r="L641" s="4" t="str">
        <f>IF($A641&lt;&gt;"",'All Cases - Enter Cases'!L641,"")</f>
        <v/>
      </c>
      <c r="M641" t="str">
        <f>IF($A641&lt;&gt;"",'All Cases - Enter Cases'!M641,"")</f>
        <v/>
      </c>
    </row>
    <row r="642" spans="1:13" x14ac:dyDescent="0.35">
      <c r="A642" s="4" t="str">
        <f>IF('All Cases - Enter Cases'!$F642="Punjab",'All Cases - Enter Cases'!A642,"")</f>
        <v/>
      </c>
      <c r="B642" t="str">
        <f>IF($A642&lt;&gt;"",'All Cases - Enter Cases'!B642,"")</f>
        <v/>
      </c>
      <c r="C642" t="str">
        <f>IF($A642&lt;&gt;"",'All Cases - Enter Cases'!C642,"")</f>
        <v/>
      </c>
      <c r="D642" t="str">
        <f>IF($A642&lt;&gt;"",'All Cases - Enter Cases'!D642,"")</f>
        <v/>
      </c>
      <c r="E642" t="str">
        <f>IF($A642&lt;&gt;"",'All Cases - Enter Cases'!E642,"")</f>
        <v/>
      </c>
      <c r="F642" t="str">
        <f>IF($A642&lt;&gt;"",'All Cases - Enter Cases'!F642,"")</f>
        <v/>
      </c>
      <c r="G642" t="str">
        <f>IF($A642&lt;&gt;"",'All Cases - Enter Cases'!G642,"")</f>
        <v/>
      </c>
      <c r="H642" t="str">
        <f>IF($A642&lt;&gt;"",'All Cases - Enter Cases'!H642,"")</f>
        <v/>
      </c>
      <c r="I642" t="str">
        <f>IF($A642&lt;&gt;"",'All Cases - Enter Cases'!I642,"")</f>
        <v/>
      </c>
      <c r="J642" s="4" t="str">
        <f>IF($A642&lt;&gt;"",'All Cases - Enter Cases'!J642,"")</f>
        <v/>
      </c>
      <c r="K642" s="4" t="str">
        <f>IF($A642&lt;&gt;"",'All Cases - Enter Cases'!K642,"")</f>
        <v/>
      </c>
      <c r="L642" s="4" t="str">
        <f>IF($A642&lt;&gt;"",'All Cases - Enter Cases'!L642,"")</f>
        <v/>
      </c>
      <c r="M642" t="str">
        <f>IF($A642&lt;&gt;"",'All Cases - Enter Cases'!M642,"")</f>
        <v/>
      </c>
    </row>
    <row r="643" spans="1:13" x14ac:dyDescent="0.35">
      <c r="A643" s="4" t="str">
        <f>IF('All Cases - Enter Cases'!$F643="Punjab",'All Cases - Enter Cases'!A643,"")</f>
        <v/>
      </c>
      <c r="B643" t="str">
        <f>IF($A643&lt;&gt;"",'All Cases - Enter Cases'!B643,"")</f>
        <v/>
      </c>
      <c r="C643" t="str">
        <f>IF($A643&lt;&gt;"",'All Cases - Enter Cases'!C643,"")</f>
        <v/>
      </c>
      <c r="D643" t="str">
        <f>IF($A643&lt;&gt;"",'All Cases - Enter Cases'!D643,"")</f>
        <v/>
      </c>
      <c r="E643" t="str">
        <f>IF($A643&lt;&gt;"",'All Cases - Enter Cases'!E643,"")</f>
        <v/>
      </c>
      <c r="F643" t="str">
        <f>IF($A643&lt;&gt;"",'All Cases - Enter Cases'!F643,"")</f>
        <v/>
      </c>
      <c r="G643" t="str">
        <f>IF($A643&lt;&gt;"",'All Cases - Enter Cases'!G643,"")</f>
        <v/>
      </c>
      <c r="H643" t="str">
        <f>IF($A643&lt;&gt;"",'All Cases - Enter Cases'!H643,"")</f>
        <v/>
      </c>
      <c r="I643" t="str">
        <f>IF($A643&lt;&gt;"",'All Cases - Enter Cases'!I643,"")</f>
        <v/>
      </c>
      <c r="J643" s="4" t="str">
        <f>IF($A643&lt;&gt;"",'All Cases - Enter Cases'!J643,"")</f>
        <v/>
      </c>
      <c r="K643" s="4" t="str">
        <f>IF($A643&lt;&gt;"",'All Cases - Enter Cases'!K643,"")</f>
        <v/>
      </c>
      <c r="L643" s="4" t="str">
        <f>IF($A643&lt;&gt;"",'All Cases - Enter Cases'!L643,"")</f>
        <v/>
      </c>
      <c r="M643" t="str">
        <f>IF($A643&lt;&gt;"",'All Cases - Enter Cases'!M643,"")</f>
        <v/>
      </c>
    </row>
    <row r="644" spans="1:13" x14ac:dyDescent="0.35">
      <c r="A644" s="4" t="str">
        <f>IF('All Cases - Enter Cases'!$F644="Punjab",'All Cases - Enter Cases'!A644,"")</f>
        <v/>
      </c>
      <c r="B644" t="str">
        <f>IF($A644&lt;&gt;"",'All Cases - Enter Cases'!B644,"")</f>
        <v/>
      </c>
      <c r="C644" t="str">
        <f>IF($A644&lt;&gt;"",'All Cases - Enter Cases'!C644,"")</f>
        <v/>
      </c>
      <c r="D644" t="str">
        <f>IF($A644&lt;&gt;"",'All Cases - Enter Cases'!D644,"")</f>
        <v/>
      </c>
      <c r="E644" t="str">
        <f>IF($A644&lt;&gt;"",'All Cases - Enter Cases'!E644,"")</f>
        <v/>
      </c>
      <c r="F644" t="str">
        <f>IF($A644&lt;&gt;"",'All Cases - Enter Cases'!F644,"")</f>
        <v/>
      </c>
      <c r="G644" t="str">
        <f>IF($A644&lt;&gt;"",'All Cases - Enter Cases'!G644,"")</f>
        <v/>
      </c>
      <c r="H644" t="str">
        <f>IF($A644&lt;&gt;"",'All Cases - Enter Cases'!H644,"")</f>
        <v/>
      </c>
      <c r="I644" t="str">
        <f>IF($A644&lt;&gt;"",'All Cases - Enter Cases'!I644,"")</f>
        <v/>
      </c>
      <c r="J644" s="4" t="str">
        <f>IF($A644&lt;&gt;"",'All Cases - Enter Cases'!J644,"")</f>
        <v/>
      </c>
      <c r="K644" s="4" t="str">
        <f>IF($A644&lt;&gt;"",'All Cases - Enter Cases'!K644,"")</f>
        <v/>
      </c>
      <c r="L644" s="4" t="str">
        <f>IF($A644&lt;&gt;"",'All Cases - Enter Cases'!L644,"")</f>
        <v/>
      </c>
      <c r="M644" t="str">
        <f>IF($A644&lt;&gt;"",'All Cases - Enter Cases'!M644,"")</f>
        <v/>
      </c>
    </row>
    <row r="645" spans="1:13" x14ac:dyDescent="0.35">
      <c r="A645" s="4" t="str">
        <f>IF('All Cases - Enter Cases'!$F645="Punjab",'All Cases - Enter Cases'!A645,"")</f>
        <v/>
      </c>
      <c r="B645" t="str">
        <f>IF($A645&lt;&gt;"",'All Cases - Enter Cases'!B645,"")</f>
        <v/>
      </c>
      <c r="C645" t="str">
        <f>IF($A645&lt;&gt;"",'All Cases - Enter Cases'!C645,"")</f>
        <v/>
      </c>
      <c r="D645" t="str">
        <f>IF($A645&lt;&gt;"",'All Cases - Enter Cases'!D645,"")</f>
        <v/>
      </c>
      <c r="E645" t="str">
        <f>IF($A645&lt;&gt;"",'All Cases - Enter Cases'!E645,"")</f>
        <v/>
      </c>
      <c r="F645" t="str">
        <f>IF($A645&lt;&gt;"",'All Cases - Enter Cases'!F645,"")</f>
        <v/>
      </c>
      <c r="G645" t="str">
        <f>IF($A645&lt;&gt;"",'All Cases - Enter Cases'!G645,"")</f>
        <v/>
      </c>
      <c r="H645" t="str">
        <f>IF($A645&lt;&gt;"",'All Cases - Enter Cases'!H645,"")</f>
        <v/>
      </c>
      <c r="I645" t="str">
        <f>IF($A645&lt;&gt;"",'All Cases - Enter Cases'!I645,"")</f>
        <v/>
      </c>
      <c r="J645" s="4" t="str">
        <f>IF($A645&lt;&gt;"",'All Cases - Enter Cases'!J645,"")</f>
        <v/>
      </c>
      <c r="K645" s="4" t="str">
        <f>IF($A645&lt;&gt;"",'All Cases - Enter Cases'!K645,"")</f>
        <v/>
      </c>
      <c r="L645" s="4" t="str">
        <f>IF($A645&lt;&gt;"",'All Cases - Enter Cases'!L645,"")</f>
        <v/>
      </c>
      <c r="M645" t="str">
        <f>IF($A645&lt;&gt;"",'All Cases - Enter Cases'!M645,"")</f>
        <v/>
      </c>
    </row>
    <row r="646" spans="1:13" x14ac:dyDescent="0.35">
      <c r="A646" s="4" t="str">
        <f>IF('All Cases - Enter Cases'!$F646="Punjab",'All Cases - Enter Cases'!A646,"")</f>
        <v/>
      </c>
      <c r="B646" t="str">
        <f>IF($A646&lt;&gt;"",'All Cases - Enter Cases'!B646,"")</f>
        <v/>
      </c>
      <c r="C646" t="str">
        <f>IF($A646&lt;&gt;"",'All Cases - Enter Cases'!C646,"")</f>
        <v/>
      </c>
      <c r="D646" t="str">
        <f>IF($A646&lt;&gt;"",'All Cases - Enter Cases'!D646,"")</f>
        <v/>
      </c>
      <c r="E646" t="str">
        <f>IF($A646&lt;&gt;"",'All Cases - Enter Cases'!E646,"")</f>
        <v/>
      </c>
      <c r="F646" t="str">
        <f>IF($A646&lt;&gt;"",'All Cases - Enter Cases'!F646,"")</f>
        <v/>
      </c>
      <c r="G646" t="str">
        <f>IF($A646&lt;&gt;"",'All Cases - Enter Cases'!G646,"")</f>
        <v/>
      </c>
      <c r="H646" t="str">
        <f>IF($A646&lt;&gt;"",'All Cases - Enter Cases'!H646,"")</f>
        <v/>
      </c>
      <c r="I646" t="str">
        <f>IF($A646&lt;&gt;"",'All Cases - Enter Cases'!I646,"")</f>
        <v/>
      </c>
      <c r="J646" s="4" t="str">
        <f>IF($A646&lt;&gt;"",'All Cases - Enter Cases'!J646,"")</f>
        <v/>
      </c>
      <c r="K646" s="4" t="str">
        <f>IF($A646&lt;&gt;"",'All Cases - Enter Cases'!K646,"")</f>
        <v/>
      </c>
      <c r="L646" s="4" t="str">
        <f>IF($A646&lt;&gt;"",'All Cases - Enter Cases'!L646,"")</f>
        <v/>
      </c>
      <c r="M646" t="str">
        <f>IF($A646&lt;&gt;"",'All Cases - Enter Cases'!M646,"")</f>
        <v/>
      </c>
    </row>
    <row r="647" spans="1:13" x14ac:dyDescent="0.35">
      <c r="A647" s="4" t="str">
        <f>IF('All Cases - Enter Cases'!$F647="Punjab",'All Cases - Enter Cases'!A647,"")</f>
        <v/>
      </c>
      <c r="B647" t="str">
        <f>IF($A647&lt;&gt;"",'All Cases - Enter Cases'!B647,"")</f>
        <v/>
      </c>
      <c r="C647" t="str">
        <f>IF($A647&lt;&gt;"",'All Cases - Enter Cases'!C647,"")</f>
        <v/>
      </c>
      <c r="D647" t="str">
        <f>IF($A647&lt;&gt;"",'All Cases - Enter Cases'!D647,"")</f>
        <v/>
      </c>
      <c r="E647" t="str">
        <f>IF($A647&lt;&gt;"",'All Cases - Enter Cases'!E647,"")</f>
        <v/>
      </c>
      <c r="F647" t="str">
        <f>IF($A647&lt;&gt;"",'All Cases - Enter Cases'!F647,"")</f>
        <v/>
      </c>
      <c r="G647" t="str">
        <f>IF($A647&lt;&gt;"",'All Cases - Enter Cases'!G647,"")</f>
        <v/>
      </c>
      <c r="H647" t="str">
        <f>IF($A647&lt;&gt;"",'All Cases - Enter Cases'!H647,"")</f>
        <v/>
      </c>
      <c r="I647" t="str">
        <f>IF($A647&lt;&gt;"",'All Cases - Enter Cases'!I647,"")</f>
        <v/>
      </c>
      <c r="J647" s="4" t="str">
        <f>IF($A647&lt;&gt;"",'All Cases - Enter Cases'!J647,"")</f>
        <v/>
      </c>
      <c r="K647" s="4" t="str">
        <f>IF($A647&lt;&gt;"",'All Cases - Enter Cases'!K647,"")</f>
        <v/>
      </c>
      <c r="L647" s="4" t="str">
        <f>IF($A647&lt;&gt;"",'All Cases - Enter Cases'!L647,"")</f>
        <v/>
      </c>
      <c r="M647" t="str">
        <f>IF($A647&lt;&gt;"",'All Cases - Enter Cases'!M647,"")</f>
        <v/>
      </c>
    </row>
    <row r="648" spans="1:13" x14ac:dyDescent="0.35">
      <c r="A648" s="4" t="str">
        <f>IF('All Cases - Enter Cases'!$F648="Punjab",'All Cases - Enter Cases'!A648,"")</f>
        <v/>
      </c>
      <c r="B648" t="str">
        <f>IF($A648&lt;&gt;"",'All Cases - Enter Cases'!B648,"")</f>
        <v/>
      </c>
      <c r="C648" t="str">
        <f>IF($A648&lt;&gt;"",'All Cases - Enter Cases'!C648,"")</f>
        <v/>
      </c>
      <c r="D648" t="str">
        <f>IF($A648&lt;&gt;"",'All Cases - Enter Cases'!D648,"")</f>
        <v/>
      </c>
      <c r="E648" t="str">
        <f>IF($A648&lt;&gt;"",'All Cases - Enter Cases'!E648,"")</f>
        <v/>
      </c>
      <c r="F648" t="str">
        <f>IF($A648&lt;&gt;"",'All Cases - Enter Cases'!F648,"")</f>
        <v/>
      </c>
      <c r="G648" t="str">
        <f>IF($A648&lt;&gt;"",'All Cases - Enter Cases'!G648,"")</f>
        <v/>
      </c>
      <c r="H648" t="str">
        <f>IF($A648&lt;&gt;"",'All Cases - Enter Cases'!H648,"")</f>
        <v/>
      </c>
      <c r="I648" t="str">
        <f>IF($A648&lt;&gt;"",'All Cases - Enter Cases'!I648,"")</f>
        <v/>
      </c>
      <c r="J648" s="4" t="str">
        <f>IF($A648&lt;&gt;"",'All Cases - Enter Cases'!J648,"")</f>
        <v/>
      </c>
      <c r="K648" s="4" t="str">
        <f>IF($A648&lt;&gt;"",'All Cases - Enter Cases'!K648,"")</f>
        <v/>
      </c>
      <c r="L648" s="4" t="str">
        <f>IF($A648&lt;&gt;"",'All Cases - Enter Cases'!L648,"")</f>
        <v/>
      </c>
      <c r="M648" t="str">
        <f>IF($A648&lt;&gt;"",'All Cases - Enter Cases'!M648,"")</f>
        <v/>
      </c>
    </row>
    <row r="649" spans="1:13" x14ac:dyDescent="0.35">
      <c r="A649" s="4" t="str">
        <f>IF('All Cases - Enter Cases'!$F649="Punjab",'All Cases - Enter Cases'!A649,"")</f>
        <v/>
      </c>
      <c r="B649" t="str">
        <f>IF($A649&lt;&gt;"",'All Cases - Enter Cases'!B649,"")</f>
        <v/>
      </c>
      <c r="C649" t="str">
        <f>IF($A649&lt;&gt;"",'All Cases - Enter Cases'!C649,"")</f>
        <v/>
      </c>
      <c r="D649" t="str">
        <f>IF($A649&lt;&gt;"",'All Cases - Enter Cases'!D649,"")</f>
        <v/>
      </c>
      <c r="E649" t="str">
        <f>IF($A649&lt;&gt;"",'All Cases - Enter Cases'!E649,"")</f>
        <v/>
      </c>
      <c r="F649" t="str">
        <f>IF($A649&lt;&gt;"",'All Cases - Enter Cases'!F649,"")</f>
        <v/>
      </c>
      <c r="G649" t="str">
        <f>IF($A649&lt;&gt;"",'All Cases - Enter Cases'!G649,"")</f>
        <v/>
      </c>
      <c r="H649" t="str">
        <f>IF($A649&lt;&gt;"",'All Cases - Enter Cases'!H649,"")</f>
        <v/>
      </c>
      <c r="I649" t="str">
        <f>IF($A649&lt;&gt;"",'All Cases - Enter Cases'!I649,"")</f>
        <v/>
      </c>
      <c r="J649" s="4" t="str">
        <f>IF($A649&lt;&gt;"",'All Cases - Enter Cases'!J649,"")</f>
        <v/>
      </c>
      <c r="K649" s="4" t="str">
        <f>IF($A649&lt;&gt;"",'All Cases - Enter Cases'!K649,"")</f>
        <v/>
      </c>
      <c r="L649" s="4" t="str">
        <f>IF($A649&lt;&gt;"",'All Cases - Enter Cases'!L649,"")</f>
        <v/>
      </c>
      <c r="M649" t="str">
        <f>IF($A649&lt;&gt;"",'All Cases - Enter Cases'!M649,"")</f>
        <v/>
      </c>
    </row>
    <row r="650" spans="1:13" x14ac:dyDescent="0.35">
      <c r="A650" s="4" t="str">
        <f>IF('All Cases - Enter Cases'!$F650="Punjab",'All Cases - Enter Cases'!A650,"")</f>
        <v/>
      </c>
      <c r="B650" t="str">
        <f>IF($A650&lt;&gt;"",'All Cases - Enter Cases'!B650,"")</f>
        <v/>
      </c>
      <c r="C650" t="str">
        <f>IF($A650&lt;&gt;"",'All Cases - Enter Cases'!C650,"")</f>
        <v/>
      </c>
      <c r="D650" t="str">
        <f>IF($A650&lt;&gt;"",'All Cases - Enter Cases'!D650,"")</f>
        <v/>
      </c>
      <c r="E650" t="str">
        <f>IF($A650&lt;&gt;"",'All Cases - Enter Cases'!E650,"")</f>
        <v/>
      </c>
      <c r="F650" t="str">
        <f>IF($A650&lt;&gt;"",'All Cases - Enter Cases'!F650,"")</f>
        <v/>
      </c>
      <c r="G650" t="str">
        <f>IF($A650&lt;&gt;"",'All Cases - Enter Cases'!G650,"")</f>
        <v/>
      </c>
      <c r="H650" t="str">
        <f>IF($A650&lt;&gt;"",'All Cases - Enter Cases'!H650,"")</f>
        <v/>
      </c>
      <c r="I650" t="str">
        <f>IF($A650&lt;&gt;"",'All Cases - Enter Cases'!I650,"")</f>
        <v/>
      </c>
      <c r="J650" s="4" t="str">
        <f>IF($A650&lt;&gt;"",'All Cases - Enter Cases'!J650,"")</f>
        <v/>
      </c>
      <c r="K650" s="4" t="str">
        <f>IF($A650&lt;&gt;"",'All Cases - Enter Cases'!K650,"")</f>
        <v/>
      </c>
      <c r="L650" s="4" t="str">
        <f>IF($A650&lt;&gt;"",'All Cases - Enter Cases'!L650,"")</f>
        <v/>
      </c>
      <c r="M650" t="str">
        <f>IF($A650&lt;&gt;"",'All Cases - Enter Cases'!M650,"")</f>
        <v/>
      </c>
    </row>
    <row r="651" spans="1:13" x14ac:dyDescent="0.35">
      <c r="A651" s="4" t="str">
        <f>IF('All Cases - Enter Cases'!$F651="Punjab",'All Cases - Enter Cases'!A651,"")</f>
        <v/>
      </c>
      <c r="B651" t="str">
        <f>IF($A651&lt;&gt;"",'All Cases - Enter Cases'!B651,"")</f>
        <v/>
      </c>
      <c r="C651" t="str">
        <f>IF($A651&lt;&gt;"",'All Cases - Enter Cases'!C651,"")</f>
        <v/>
      </c>
      <c r="D651" t="str">
        <f>IF($A651&lt;&gt;"",'All Cases - Enter Cases'!D651,"")</f>
        <v/>
      </c>
      <c r="E651" t="str">
        <f>IF($A651&lt;&gt;"",'All Cases - Enter Cases'!E651,"")</f>
        <v/>
      </c>
      <c r="F651" t="str">
        <f>IF($A651&lt;&gt;"",'All Cases - Enter Cases'!F651,"")</f>
        <v/>
      </c>
      <c r="G651" t="str">
        <f>IF($A651&lt;&gt;"",'All Cases - Enter Cases'!G651,"")</f>
        <v/>
      </c>
      <c r="H651" t="str">
        <f>IF($A651&lt;&gt;"",'All Cases - Enter Cases'!H651,"")</f>
        <v/>
      </c>
      <c r="I651" t="str">
        <f>IF($A651&lt;&gt;"",'All Cases - Enter Cases'!I651,"")</f>
        <v/>
      </c>
      <c r="J651" s="4" t="str">
        <f>IF($A651&lt;&gt;"",'All Cases - Enter Cases'!J651,"")</f>
        <v/>
      </c>
      <c r="K651" s="4" t="str">
        <f>IF($A651&lt;&gt;"",'All Cases - Enter Cases'!K651,"")</f>
        <v/>
      </c>
      <c r="L651" s="4" t="str">
        <f>IF($A651&lt;&gt;"",'All Cases - Enter Cases'!L651,"")</f>
        <v/>
      </c>
      <c r="M651" t="str">
        <f>IF($A651&lt;&gt;"",'All Cases - Enter Cases'!M651,"")</f>
        <v/>
      </c>
    </row>
    <row r="652" spans="1:13" x14ac:dyDescent="0.35">
      <c r="A652" s="4" t="str">
        <f>IF('All Cases - Enter Cases'!$F652="Punjab",'All Cases - Enter Cases'!A652,"")</f>
        <v/>
      </c>
      <c r="B652" t="str">
        <f>IF($A652&lt;&gt;"",'All Cases - Enter Cases'!B652,"")</f>
        <v/>
      </c>
      <c r="C652" t="str">
        <f>IF($A652&lt;&gt;"",'All Cases - Enter Cases'!C652,"")</f>
        <v/>
      </c>
      <c r="D652" t="str">
        <f>IF($A652&lt;&gt;"",'All Cases - Enter Cases'!D652,"")</f>
        <v/>
      </c>
      <c r="E652" t="str">
        <f>IF($A652&lt;&gt;"",'All Cases - Enter Cases'!E652,"")</f>
        <v/>
      </c>
      <c r="F652" t="str">
        <f>IF($A652&lt;&gt;"",'All Cases - Enter Cases'!F652,"")</f>
        <v/>
      </c>
      <c r="G652" t="str">
        <f>IF($A652&lt;&gt;"",'All Cases - Enter Cases'!G652,"")</f>
        <v/>
      </c>
      <c r="H652" t="str">
        <f>IF($A652&lt;&gt;"",'All Cases - Enter Cases'!H652,"")</f>
        <v/>
      </c>
      <c r="I652" t="str">
        <f>IF($A652&lt;&gt;"",'All Cases - Enter Cases'!I652,"")</f>
        <v/>
      </c>
      <c r="J652" s="4" t="str">
        <f>IF($A652&lt;&gt;"",'All Cases - Enter Cases'!J652,"")</f>
        <v/>
      </c>
      <c r="K652" s="4" t="str">
        <f>IF($A652&lt;&gt;"",'All Cases - Enter Cases'!K652,"")</f>
        <v/>
      </c>
      <c r="L652" s="4" t="str">
        <f>IF($A652&lt;&gt;"",'All Cases - Enter Cases'!L652,"")</f>
        <v/>
      </c>
      <c r="M652" t="str">
        <f>IF($A652&lt;&gt;"",'All Cases - Enter Cases'!M652,"")</f>
        <v/>
      </c>
    </row>
    <row r="653" spans="1:13" x14ac:dyDescent="0.35">
      <c r="A653" s="4" t="str">
        <f>IF('All Cases - Enter Cases'!$F653="Punjab",'All Cases - Enter Cases'!A653,"")</f>
        <v/>
      </c>
      <c r="B653" t="str">
        <f>IF($A653&lt;&gt;"",'All Cases - Enter Cases'!B653,"")</f>
        <v/>
      </c>
      <c r="C653" t="str">
        <f>IF($A653&lt;&gt;"",'All Cases - Enter Cases'!C653,"")</f>
        <v/>
      </c>
      <c r="D653" t="str">
        <f>IF($A653&lt;&gt;"",'All Cases - Enter Cases'!D653,"")</f>
        <v/>
      </c>
      <c r="E653" t="str">
        <f>IF($A653&lt;&gt;"",'All Cases - Enter Cases'!E653,"")</f>
        <v/>
      </c>
      <c r="F653" t="str">
        <f>IF($A653&lt;&gt;"",'All Cases - Enter Cases'!F653,"")</f>
        <v/>
      </c>
      <c r="G653" t="str">
        <f>IF($A653&lt;&gt;"",'All Cases - Enter Cases'!G653,"")</f>
        <v/>
      </c>
      <c r="H653" t="str">
        <f>IF($A653&lt;&gt;"",'All Cases - Enter Cases'!H653,"")</f>
        <v/>
      </c>
      <c r="I653" t="str">
        <f>IF($A653&lt;&gt;"",'All Cases - Enter Cases'!I653,"")</f>
        <v/>
      </c>
      <c r="J653" s="4" t="str">
        <f>IF($A653&lt;&gt;"",'All Cases - Enter Cases'!J653,"")</f>
        <v/>
      </c>
      <c r="K653" s="4" t="str">
        <f>IF($A653&lt;&gt;"",'All Cases - Enter Cases'!K653,"")</f>
        <v/>
      </c>
      <c r="L653" s="4" t="str">
        <f>IF($A653&lt;&gt;"",'All Cases - Enter Cases'!L653,"")</f>
        <v/>
      </c>
      <c r="M653" t="str">
        <f>IF($A653&lt;&gt;"",'All Cases - Enter Cases'!M653,"")</f>
        <v/>
      </c>
    </row>
    <row r="654" spans="1:13" x14ac:dyDescent="0.35">
      <c r="A654" s="4" t="str">
        <f>IF('All Cases - Enter Cases'!$F654="Punjab",'All Cases - Enter Cases'!A654,"")</f>
        <v/>
      </c>
      <c r="B654" t="str">
        <f>IF($A654&lt;&gt;"",'All Cases - Enter Cases'!B654,"")</f>
        <v/>
      </c>
      <c r="C654" t="str">
        <f>IF($A654&lt;&gt;"",'All Cases - Enter Cases'!C654,"")</f>
        <v/>
      </c>
      <c r="D654" t="str">
        <f>IF($A654&lt;&gt;"",'All Cases - Enter Cases'!D654,"")</f>
        <v/>
      </c>
      <c r="E654" t="str">
        <f>IF($A654&lt;&gt;"",'All Cases - Enter Cases'!E654,"")</f>
        <v/>
      </c>
      <c r="F654" t="str">
        <f>IF($A654&lt;&gt;"",'All Cases - Enter Cases'!F654,"")</f>
        <v/>
      </c>
      <c r="G654" t="str">
        <f>IF($A654&lt;&gt;"",'All Cases - Enter Cases'!G654,"")</f>
        <v/>
      </c>
      <c r="H654" t="str">
        <f>IF($A654&lt;&gt;"",'All Cases - Enter Cases'!H654,"")</f>
        <v/>
      </c>
      <c r="I654" t="str">
        <f>IF($A654&lt;&gt;"",'All Cases - Enter Cases'!I654,"")</f>
        <v/>
      </c>
      <c r="J654" s="4" t="str">
        <f>IF($A654&lt;&gt;"",'All Cases - Enter Cases'!J654,"")</f>
        <v/>
      </c>
      <c r="K654" s="4" t="str">
        <f>IF($A654&lt;&gt;"",'All Cases - Enter Cases'!K654,"")</f>
        <v/>
      </c>
      <c r="L654" s="4" t="str">
        <f>IF($A654&lt;&gt;"",'All Cases - Enter Cases'!L654,"")</f>
        <v/>
      </c>
      <c r="M654" t="str">
        <f>IF($A654&lt;&gt;"",'All Cases - Enter Cases'!M654,"")</f>
        <v/>
      </c>
    </row>
    <row r="655" spans="1:13" x14ac:dyDescent="0.35">
      <c r="A655" s="4" t="str">
        <f>IF('All Cases - Enter Cases'!$F655="Punjab",'All Cases - Enter Cases'!A655,"")</f>
        <v/>
      </c>
      <c r="B655" t="str">
        <f>IF($A655&lt;&gt;"",'All Cases - Enter Cases'!B655,"")</f>
        <v/>
      </c>
      <c r="C655" t="str">
        <f>IF($A655&lt;&gt;"",'All Cases - Enter Cases'!C655,"")</f>
        <v/>
      </c>
      <c r="D655" t="str">
        <f>IF($A655&lt;&gt;"",'All Cases - Enter Cases'!D655,"")</f>
        <v/>
      </c>
      <c r="E655" t="str">
        <f>IF($A655&lt;&gt;"",'All Cases - Enter Cases'!E655,"")</f>
        <v/>
      </c>
      <c r="F655" t="str">
        <f>IF($A655&lt;&gt;"",'All Cases - Enter Cases'!F655,"")</f>
        <v/>
      </c>
      <c r="G655" t="str">
        <f>IF($A655&lt;&gt;"",'All Cases - Enter Cases'!G655,"")</f>
        <v/>
      </c>
      <c r="H655" t="str">
        <f>IF($A655&lt;&gt;"",'All Cases - Enter Cases'!H655,"")</f>
        <v/>
      </c>
      <c r="I655" t="str">
        <f>IF($A655&lt;&gt;"",'All Cases - Enter Cases'!I655,"")</f>
        <v/>
      </c>
      <c r="J655" s="4" t="str">
        <f>IF($A655&lt;&gt;"",'All Cases - Enter Cases'!J655,"")</f>
        <v/>
      </c>
      <c r="K655" s="4" t="str">
        <f>IF($A655&lt;&gt;"",'All Cases - Enter Cases'!K655,"")</f>
        <v/>
      </c>
      <c r="L655" s="4" t="str">
        <f>IF($A655&lt;&gt;"",'All Cases - Enter Cases'!L655,"")</f>
        <v/>
      </c>
      <c r="M655" t="str">
        <f>IF($A655&lt;&gt;"",'All Cases - Enter Cases'!M655,"")</f>
        <v/>
      </c>
    </row>
    <row r="656" spans="1:13" x14ac:dyDescent="0.35">
      <c r="A656" s="4" t="str">
        <f>IF('All Cases - Enter Cases'!$F656="Punjab",'All Cases - Enter Cases'!A656,"")</f>
        <v/>
      </c>
      <c r="B656" t="str">
        <f>IF($A656&lt;&gt;"",'All Cases - Enter Cases'!B656,"")</f>
        <v/>
      </c>
      <c r="C656" t="str">
        <f>IF($A656&lt;&gt;"",'All Cases - Enter Cases'!C656,"")</f>
        <v/>
      </c>
      <c r="D656" t="str">
        <f>IF($A656&lt;&gt;"",'All Cases - Enter Cases'!D656,"")</f>
        <v/>
      </c>
      <c r="E656" t="str">
        <f>IF($A656&lt;&gt;"",'All Cases - Enter Cases'!E656,"")</f>
        <v/>
      </c>
      <c r="F656" t="str">
        <f>IF($A656&lt;&gt;"",'All Cases - Enter Cases'!F656,"")</f>
        <v/>
      </c>
      <c r="G656" t="str">
        <f>IF($A656&lt;&gt;"",'All Cases - Enter Cases'!G656,"")</f>
        <v/>
      </c>
      <c r="H656" t="str">
        <f>IF($A656&lt;&gt;"",'All Cases - Enter Cases'!H656,"")</f>
        <v/>
      </c>
      <c r="I656" t="str">
        <f>IF($A656&lt;&gt;"",'All Cases - Enter Cases'!I656,"")</f>
        <v/>
      </c>
      <c r="J656" s="4" t="str">
        <f>IF($A656&lt;&gt;"",'All Cases - Enter Cases'!J656,"")</f>
        <v/>
      </c>
      <c r="K656" s="4" t="str">
        <f>IF($A656&lt;&gt;"",'All Cases - Enter Cases'!K656,"")</f>
        <v/>
      </c>
      <c r="L656" s="4" t="str">
        <f>IF($A656&lt;&gt;"",'All Cases - Enter Cases'!L656,"")</f>
        <v/>
      </c>
      <c r="M656" t="str">
        <f>IF($A656&lt;&gt;"",'All Cases - Enter Cases'!M656,"")</f>
        <v/>
      </c>
    </row>
    <row r="657" spans="1:13" x14ac:dyDescent="0.35">
      <c r="A657" s="4" t="str">
        <f>IF('All Cases - Enter Cases'!$F657="Punjab",'All Cases - Enter Cases'!A657,"")</f>
        <v/>
      </c>
      <c r="B657" t="str">
        <f>IF($A657&lt;&gt;"",'All Cases - Enter Cases'!B657,"")</f>
        <v/>
      </c>
      <c r="C657" t="str">
        <f>IF($A657&lt;&gt;"",'All Cases - Enter Cases'!C657,"")</f>
        <v/>
      </c>
      <c r="D657" t="str">
        <f>IF($A657&lt;&gt;"",'All Cases - Enter Cases'!D657,"")</f>
        <v/>
      </c>
      <c r="E657" t="str">
        <f>IF($A657&lt;&gt;"",'All Cases - Enter Cases'!E657,"")</f>
        <v/>
      </c>
      <c r="F657" t="str">
        <f>IF($A657&lt;&gt;"",'All Cases - Enter Cases'!F657,"")</f>
        <v/>
      </c>
      <c r="G657" t="str">
        <f>IF($A657&lt;&gt;"",'All Cases - Enter Cases'!G657,"")</f>
        <v/>
      </c>
      <c r="H657" t="str">
        <f>IF($A657&lt;&gt;"",'All Cases - Enter Cases'!H657,"")</f>
        <v/>
      </c>
      <c r="I657" t="str">
        <f>IF($A657&lt;&gt;"",'All Cases - Enter Cases'!I657,"")</f>
        <v/>
      </c>
      <c r="J657" s="4" t="str">
        <f>IF($A657&lt;&gt;"",'All Cases - Enter Cases'!J657,"")</f>
        <v/>
      </c>
      <c r="K657" s="4" t="str">
        <f>IF($A657&lt;&gt;"",'All Cases - Enter Cases'!K657,"")</f>
        <v/>
      </c>
      <c r="L657" s="4" t="str">
        <f>IF($A657&lt;&gt;"",'All Cases - Enter Cases'!L657,"")</f>
        <v/>
      </c>
      <c r="M657" t="str">
        <f>IF($A657&lt;&gt;"",'All Cases - Enter Cases'!M657,"")</f>
        <v/>
      </c>
    </row>
    <row r="658" spans="1:13" x14ac:dyDescent="0.35">
      <c r="A658" s="4" t="str">
        <f>IF('All Cases - Enter Cases'!$F658="Punjab",'All Cases - Enter Cases'!A658,"")</f>
        <v/>
      </c>
      <c r="B658" t="str">
        <f>IF($A658&lt;&gt;"",'All Cases - Enter Cases'!B658,"")</f>
        <v/>
      </c>
      <c r="C658" t="str">
        <f>IF($A658&lt;&gt;"",'All Cases - Enter Cases'!C658,"")</f>
        <v/>
      </c>
      <c r="D658" t="str">
        <f>IF($A658&lt;&gt;"",'All Cases - Enter Cases'!D658,"")</f>
        <v/>
      </c>
      <c r="E658" t="str">
        <f>IF($A658&lt;&gt;"",'All Cases - Enter Cases'!E658,"")</f>
        <v/>
      </c>
      <c r="F658" t="str">
        <f>IF($A658&lt;&gt;"",'All Cases - Enter Cases'!F658,"")</f>
        <v/>
      </c>
      <c r="G658" t="str">
        <f>IF($A658&lt;&gt;"",'All Cases - Enter Cases'!G658,"")</f>
        <v/>
      </c>
      <c r="H658" t="str">
        <f>IF($A658&lt;&gt;"",'All Cases - Enter Cases'!H658,"")</f>
        <v/>
      </c>
      <c r="I658" t="str">
        <f>IF($A658&lt;&gt;"",'All Cases - Enter Cases'!I658,"")</f>
        <v/>
      </c>
      <c r="J658" s="4" t="str">
        <f>IF($A658&lt;&gt;"",'All Cases - Enter Cases'!J658,"")</f>
        <v/>
      </c>
      <c r="K658" s="4" t="str">
        <f>IF($A658&lt;&gt;"",'All Cases - Enter Cases'!K658,"")</f>
        <v/>
      </c>
      <c r="L658" s="4" t="str">
        <f>IF($A658&lt;&gt;"",'All Cases - Enter Cases'!L658,"")</f>
        <v/>
      </c>
      <c r="M658" t="str">
        <f>IF($A658&lt;&gt;"",'All Cases - Enter Cases'!M658,"")</f>
        <v/>
      </c>
    </row>
    <row r="659" spans="1:13" x14ac:dyDescent="0.35">
      <c r="A659" s="4" t="str">
        <f>IF('All Cases - Enter Cases'!$F659="Punjab",'All Cases - Enter Cases'!A659,"")</f>
        <v/>
      </c>
      <c r="B659" t="str">
        <f>IF($A659&lt;&gt;"",'All Cases - Enter Cases'!B659,"")</f>
        <v/>
      </c>
      <c r="C659" t="str">
        <f>IF($A659&lt;&gt;"",'All Cases - Enter Cases'!C659,"")</f>
        <v/>
      </c>
      <c r="D659" t="str">
        <f>IF($A659&lt;&gt;"",'All Cases - Enter Cases'!D659,"")</f>
        <v/>
      </c>
      <c r="E659" t="str">
        <f>IF($A659&lt;&gt;"",'All Cases - Enter Cases'!E659,"")</f>
        <v/>
      </c>
      <c r="F659" t="str">
        <f>IF($A659&lt;&gt;"",'All Cases - Enter Cases'!F659,"")</f>
        <v/>
      </c>
      <c r="G659" t="str">
        <f>IF($A659&lt;&gt;"",'All Cases - Enter Cases'!G659,"")</f>
        <v/>
      </c>
      <c r="H659" t="str">
        <f>IF($A659&lt;&gt;"",'All Cases - Enter Cases'!H659,"")</f>
        <v/>
      </c>
      <c r="I659" t="str">
        <f>IF($A659&lt;&gt;"",'All Cases - Enter Cases'!I659,"")</f>
        <v/>
      </c>
      <c r="J659" s="4" t="str">
        <f>IF($A659&lt;&gt;"",'All Cases - Enter Cases'!J659,"")</f>
        <v/>
      </c>
      <c r="K659" s="4" t="str">
        <f>IF($A659&lt;&gt;"",'All Cases - Enter Cases'!K659,"")</f>
        <v/>
      </c>
      <c r="L659" s="4" t="str">
        <f>IF($A659&lt;&gt;"",'All Cases - Enter Cases'!L659,"")</f>
        <v/>
      </c>
      <c r="M659" t="str">
        <f>IF($A659&lt;&gt;"",'All Cases - Enter Cases'!M659,"")</f>
        <v/>
      </c>
    </row>
    <row r="660" spans="1:13" x14ac:dyDescent="0.35">
      <c r="A660" s="4" t="str">
        <f>IF('All Cases - Enter Cases'!$F660="Punjab",'All Cases - Enter Cases'!A660,"")</f>
        <v/>
      </c>
      <c r="B660" t="str">
        <f>IF($A660&lt;&gt;"",'All Cases - Enter Cases'!B660,"")</f>
        <v/>
      </c>
      <c r="C660" t="str">
        <f>IF($A660&lt;&gt;"",'All Cases - Enter Cases'!C660,"")</f>
        <v/>
      </c>
      <c r="D660" t="str">
        <f>IF($A660&lt;&gt;"",'All Cases - Enter Cases'!D660,"")</f>
        <v/>
      </c>
      <c r="E660" t="str">
        <f>IF($A660&lt;&gt;"",'All Cases - Enter Cases'!E660,"")</f>
        <v/>
      </c>
      <c r="F660" t="str">
        <f>IF($A660&lt;&gt;"",'All Cases - Enter Cases'!F660,"")</f>
        <v/>
      </c>
      <c r="G660" t="str">
        <f>IF($A660&lt;&gt;"",'All Cases - Enter Cases'!G660,"")</f>
        <v/>
      </c>
      <c r="H660" t="str">
        <f>IF($A660&lt;&gt;"",'All Cases - Enter Cases'!H660,"")</f>
        <v/>
      </c>
      <c r="I660" t="str">
        <f>IF($A660&lt;&gt;"",'All Cases - Enter Cases'!I660,"")</f>
        <v/>
      </c>
      <c r="J660" s="4" t="str">
        <f>IF($A660&lt;&gt;"",'All Cases - Enter Cases'!J660,"")</f>
        <v/>
      </c>
      <c r="K660" s="4" t="str">
        <f>IF($A660&lt;&gt;"",'All Cases - Enter Cases'!K660,"")</f>
        <v/>
      </c>
      <c r="L660" s="4" t="str">
        <f>IF($A660&lt;&gt;"",'All Cases - Enter Cases'!L660,"")</f>
        <v/>
      </c>
      <c r="M660" t="str">
        <f>IF($A660&lt;&gt;"",'All Cases - Enter Cases'!M660,"")</f>
        <v/>
      </c>
    </row>
    <row r="661" spans="1:13" x14ac:dyDescent="0.35">
      <c r="A661" s="4" t="str">
        <f>IF('All Cases - Enter Cases'!$F661="Punjab",'All Cases - Enter Cases'!A661,"")</f>
        <v/>
      </c>
      <c r="B661" t="str">
        <f>IF($A661&lt;&gt;"",'All Cases - Enter Cases'!B661,"")</f>
        <v/>
      </c>
      <c r="C661" t="str">
        <f>IF($A661&lt;&gt;"",'All Cases - Enter Cases'!C661,"")</f>
        <v/>
      </c>
      <c r="D661" t="str">
        <f>IF($A661&lt;&gt;"",'All Cases - Enter Cases'!D661,"")</f>
        <v/>
      </c>
      <c r="E661" t="str">
        <f>IF($A661&lt;&gt;"",'All Cases - Enter Cases'!E661,"")</f>
        <v/>
      </c>
      <c r="F661" t="str">
        <f>IF($A661&lt;&gt;"",'All Cases - Enter Cases'!F661,"")</f>
        <v/>
      </c>
      <c r="G661" t="str">
        <f>IF($A661&lt;&gt;"",'All Cases - Enter Cases'!G661,"")</f>
        <v/>
      </c>
      <c r="H661" t="str">
        <f>IF($A661&lt;&gt;"",'All Cases - Enter Cases'!H661,"")</f>
        <v/>
      </c>
      <c r="I661" t="str">
        <f>IF($A661&lt;&gt;"",'All Cases - Enter Cases'!I661,"")</f>
        <v/>
      </c>
      <c r="J661" s="4" t="str">
        <f>IF($A661&lt;&gt;"",'All Cases - Enter Cases'!J661,"")</f>
        <v/>
      </c>
      <c r="K661" s="4" t="str">
        <f>IF($A661&lt;&gt;"",'All Cases - Enter Cases'!K661,"")</f>
        <v/>
      </c>
      <c r="L661" s="4" t="str">
        <f>IF($A661&lt;&gt;"",'All Cases - Enter Cases'!L661,"")</f>
        <v/>
      </c>
      <c r="M661" t="str">
        <f>IF($A661&lt;&gt;"",'All Cases - Enter Cases'!M661,"")</f>
        <v/>
      </c>
    </row>
    <row r="662" spans="1:13" x14ac:dyDescent="0.35">
      <c r="A662" s="4" t="str">
        <f>IF('All Cases - Enter Cases'!$F662="Punjab",'All Cases - Enter Cases'!A662,"")</f>
        <v/>
      </c>
      <c r="B662" t="str">
        <f>IF($A662&lt;&gt;"",'All Cases - Enter Cases'!B662,"")</f>
        <v/>
      </c>
      <c r="C662" t="str">
        <f>IF($A662&lt;&gt;"",'All Cases - Enter Cases'!C662,"")</f>
        <v/>
      </c>
      <c r="D662" t="str">
        <f>IF($A662&lt;&gt;"",'All Cases - Enter Cases'!D662,"")</f>
        <v/>
      </c>
      <c r="E662" t="str">
        <f>IF($A662&lt;&gt;"",'All Cases - Enter Cases'!E662,"")</f>
        <v/>
      </c>
      <c r="F662" t="str">
        <f>IF($A662&lt;&gt;"",'All Cases - Enter Cases'!F662,"")</f>
        <v/>
      </c>
      <c r="G662" t="str">
        <f>IF($A662&lt;&gt;"",'All Cases - Enter Cases'!G662,"")</f>
        <v/>
      </c>
      <c r="H662" t="str">
        <f>IF($A662&lt;&gt;"",'All Cases - Enter Cases'!H662,"")</f>
        <v/>
      </c>
      <c r="I662" t="str">
        <f>IF($A662&lt;&gt;"",'All Cases - Enter Cases'!I662,"")</f>
        <v/>
      </c>
      <c r="J662" s="4" t="str">
        <f>IF($A662&lt;&gt;"",'All Cases - Enter Cases'!J662,"")</f>
        <v/>
      </c>
      <c r="K662" s="4" t="str">
        <f>IF($A662&lt;&gt;"",'All Cases - Enter Cases'!K662,"")</f>
        <v/>
      </c>
      <c r="L662" s="4" t="str">
        <f>IF($A662&lt;&gt;"",'All Cases - Enter Cases'!L662,"")</f>
        <v/>
      </c>
      <c r="M662" t="str">
        <f>IF($A662&lt;&gt;"",'All Cases - Enter Cases'!M662,"")</f>
        <v/>
      </c>
    </row>
    <row r="663" spans="1:13" x14ac:dyDescent="0.35">
      <c r="A663" s="4" t="str">
        <f>IF('All Cases - Enter Cases'!$F663="Punjab",'All Cases - Enter Cases'!A663,"")</f>
        <v/>
      </c>
      <c r="B663" t="str">
        <f>IF($A663&lt;&gt;"",'All Cases - Enter Cases'!B663,"")</f>
        <v/>
      </c>
      <c r="C663" t="str">
        <f>IF($A663&lt;&gt;"",'All Cases - Enter Cases'!C663,"")</f>
        <v/>
      </c>
      <c r="D663" t="str">
        <f>IF($A663&lt;&gt;"",'All Cases - Enter Cases'!D663,"")</f>
        <v/>
      </c>
      <c r="E663" t="str">
        <f>IF($A663&lt;&gt;"",'All Cases - Enter Cases'!E663,"")</f>
        <v/>
      </c>
      <c r="F663" t="str">
        <f>IF($A663&lt;&gt;"",'All Cases - Enter Cases'!F663,"")</f>
        <v/>
      </c>
      <c r="G663" t="str">
        <f>IF($A663&lt;&gt;"",'All Cases - Enter Cases'!G663,"")</f>
        <v/>
      </c>
      <c r="H663" t="str">
        <f>IF($A663&lt;&gt;"",'All Cases - Enter Cases'!H663,"")</f>
        <v/>
      </c>
      <c r="I663" t="str">
        <f>IF($A663&lt;&gt;"",'All Cases - Enter Cases'!I663,"")</f>
        <v/>
      </c>
      <c r="J663" s="4" t="str">
        <f>IF($A663&lt;&gt;"",'All Cases - Enter Cases'!J663,"")</f>
        <v/>
      </c>
      <c r="K663" s="4" t="str">
        <f>IF($A663&lt;&gt;"",'All Cases - Enter Cases'!K663,"")</f>
        <v/>
      </c>
      <c r="L663" s="4" t="str">
        <f>IF($A663&lt;&gt;"",'All Cases - Enter Cases'!L663,"")</f>
        <v/>
      </c>
      <c r="M663" t="str">
        <f>IF($A663&lt;&gt;"",'All Cases - Enter Cases'!M663,"")</f>
        <v/>
      </c>
    </row>
    <row r="664" spans="1:13" x14ac:dyDescent="0.35">
      <c r="A664" s="4" t="str">
        <f>IF('All Cases - Enter Cases'!$F664="Punjab",'All Cases - Enter Cases'!A664,"")</f>
        <v/>
      </c>
      <c r="B664" t="str">
        <f>IF($A664&lt;&gt;"",'All Cases - Enter Cases'!B664,"")</f>
        <v/>
      </c>
      <c r="C664" t="str">
        <f>IF($A664&lt;&gt;"",'All Cases - Enter Cases'!C664,"")</f>
        <v/>
      </c>
      <c r="D664" t="str">
        <f>IF($A664&lt;&gt;"",'All Cases - Enter Cases'!D664,"")</f>
        <v/>
      </c>
      <c r="E664" t="str">
        <f>IF($A664&lt;&gt;"",'All Cases - Enter Cases'!E664,"")</f>
        <v/>
      </c>
      <c r="F664" t="str">
        <f>IF($A664&lt;&gt;"",'All Cases - Enter Cases'!F664,"")</f>
        <v/>
      </c>
      <c r="G664" t="str">
        <f>IF($A664&lt;&gt;"",'All Cases - Enter Cases'!G664,"")</f>
        <v/>
      </c>
      <c r="H664" t="str">
        <f>IF($A664&lt;&gt;"",'All Cases - Enter Cases'!H664,"")</f>
        <v/>
      </c>
      <c r="I664" t="str">
        <f>IF($A664&lt;&gt;"",'All Cases - Enter Cases'!I664,"")</f>
        <v/>
      </c>
      <c r="J664" s="4" t="str">
        <f>IF($A664&lt;&gt;"",'All Cases - Enter Cases'!J664,"")</f>
        <v/>
      </c>
      <c r="K664" s="4" t="str">
        <f>IF($A664&lt;&gt;"",'All Cases - Enter Cases'!K664,"")</f>
        <v/>
      </c>
      <c r="L664" s="4" t="str">
        <f>IF($A664&lt;&gt;"",'All Cases - Enter Cases'!L664,"")</f>
        <v/>
      </c>
      <c r="M664" t="str">
        <f>IF($A664&lt;&gt;"",'All Cases - Enter Cases'!M664,"")</f>
        <v/>
      </c>
    </row>
    <row r="665" spans="1:13" x14ac:dyDescent="0.35">
      <c r="A665" s="4" t="str">
        <f>IF('All Cases - Enter Cases'!$F665="Punjab",'All Cases - Enter Cases'!A665,"")</f>
        <v/>
      </c>
      <c r="B665" t="str">
        <f>IF($A665&lt;&gt;"",'All Cases - Enter Cases'!B665,"")</f>
        <v/>
      </c>
      <c r="C665" t="str">
        <f>IF($A665&lt;&gt;"",'All Cases - Enter Cases'!C665,"")</f>
        <v/>
      </c>
      <c r="D665" t="str">
        <f>IF($A665&lt;&gt;"",'All Cases - Enter Cases'!D665,"")</f>
        <v/>
      </c>
      <c r="E665" t="str">
        <f>IF($A665&lt;&gt;"",'All Cases - Enter Cases'!E665,"")</f>
        <v/>
      </c>
      <c r="F665" t="str">
        <f>IF($A665&lt;&gt;"",'All Cases - Enter Cases'!F665,"")</f>
        <v/>
      </c>
      <c r="G665" t="str">
        <f>IF($A665&lt;&gt;"",'All Cases - Enter Cases'!G665,"")</f>
        <v/>
      </c>
      <c r="H665" t="str">
        <f>IF($A665&lt;&gt;"",'All Cases - Enter Cases'!H665,"")</f>
        <v/>
      </c>
      <c r="I665" t="str">
        <f>IF($A665&lt;&gt;"",'All Cases - Enter Cases'!I665,"")</f>
        <v/>
      </c>
      <c r="J665" s="4" t="str">
        <f>IF($A665&lt;&gt;"",'All Cases - Enter Cases'!J665,"")</f>
        <v/>
      </c>
      <c r="K665" s="4" t="str">
        <f>IF($A665&lt;&gt;"",'All Cases - Enter Cases'!K665,"")</f>
        <v/>
      </c>
      <c r="L665" s="4" t="str">
        <f>IF($A665&lt;&gt;"",'All Cases - Enter Cases'!L665,"")</f>
        <v/>
      </c>
      <c r="M665" t="str">
        <f>IF($A665&lt;&gt;"",'All Cases - Enter Cases'!M665,"")</f>
        <v/>
      </c>
    </row>
    <row r="666" spans="1:13" x14ac:dyDescent="0.35">
      <c r="A666" s="4" t="str">
        <f>IF('All Cases - Enter Cases'!$F666="Punjab",'All Cases - Enter Cases'!A666,"")</f>
        <v/>
      </c>
      <c r="B666" t="str">
        <f>IF($A666&lt;&gt;"",'All Cases - Enter Cases'!B666,"")</f>
        <v/>
      </c>
      <c r="C666" t="str">
        <f>IF($A666&lt;&gt;"",'All Cases - Enter Cases'!C666,"")</f>
        <v/>
      </c>
      <c r="D666" t="str">
        <f>IF($A666&lt;&gt;"",'All Cases - Enter Cases'!D666,"")</f>
        <v/>
      </c>
      <c r="E666" t="str">
        <f>IF($A666&lt;&gt;"",'All Cases - Enter Cases'!E666,"")</f>
        <v/>
      </c>
      <c r="F666" t="str">
        <f>IF($A666&lt;&gt;"",'All Cases - Enter Cases'!F666,"")</f>
        <v/>
      </c>
      <c r="G666" t="str">
        <f>IF($A666&lt;&gt;"",'All Cases - Enter Cases'!G666,"")</f>
        <v/>
      </c>
      <c r="H666" t="str">
        <f>IF($A666&lt;&gt;"",'All Cases - Enter Cases'!H666,"")</f>
        <v/>
      </c>
      <c r="I666" t="str">
        <f>IF($A666&lt;&gt;"",'All Cases - Enter Cases'!I666,"")</f>
        <v/>
      </c>
      <c r="J666" s="4" t="str">
        <f>IF($A666&lt;&gt;"",'All Cases - Enter Cases'!J666,"")</f>
        <v/>
      </c>
      <c r="K666" s="4" t="str">
        <f>IF($A666&lt;&gt;"",'All Cases - Enter Cases'!K666,"")</f>
        <v/>
      </c>
      <c r="L666" s="4" t="str">
        <f>IF($A666&lt;&gt;"",'All Cases - Enter Cases'!L666,"")</f>
        <v/>
      </c>
      <c r="M666" t="str">
        <f>IF($A666&lt;&gt;"",'All Cases - Enter Cases'!M666,"")</f>
        <v/>
      </c>
    </row>
    <row r="667" spans="1:13" x14ac:dyDescent="0.35">
      <c r="A667" s="4" t="str">
        <f>IF('All Cases - Enter Cases'!$F667="Punjab",'All Cases - Enter Cases'!A667,"")</f>
        <v/>
      </c>
      <c r="B667" t="str">
        <f>IF($A667&lt;&gt;"",'All Cases - Enter Cases'!B667,"")</f>
        <v/>
      </c>
      <c r="C667" t="str">
        <f>IF($A667&lt;&gt;"",'All Cases - Enter Cases'!C667,"")</f>
        <v/>
      </c>
      <c r="D667" t="str">
        <f>IF($A667&lt;&gt;"",'All Cases - Enter Cases'!D667,"")</f>
        <v/>
      </c>
      <c r="E667" t="str">
        <f>IF($A667&lt;&gt;"",'All Cases - Enter Cases'!E667,"")</f>
        <v/>
      </c>
      <c r="F667" t="str">
        <f>IF($A667&lt;&gt;"",'All Cases - Enter Cases'!F667,"")</f>
        <v/>
      </c>
      <c r="G667" t="str">
        <f>IF($A667&lt;&gt;"",'All Cases - Enter Cases'!G667,"")</f>
        <v/>
      </c>
      <c r="H667" t="str">
        <f>IF($A667&lt;&gt;"",'All Cases - Enter Cases'!H667,"")</f>
        <v/>
      </c>
      <c r="I667" t="str">
        <f>IF($A667&lt;&gt;"",'All Cases - Enter Cases'!I667,"")</f>
        <v/>
      </c>
      <c r="J667" s="4" t="str">
        <f>IF($A667&lt;&gt;"",'All Cases - Enter Cases'!J667,"")</f>
        <v/>
      </c>
      <c r="K667" s="4" t="str">
        <f>IF($A667&lt;&gt;"",'All Cases - Enter Cases'!K667,"")</f>
        <v/>
      </c>
      <c r="L667" s="4" t="str">
        <f>IF($A667&lt;&gt;"",'All Cases - Enter Cases'!L667,"")</f>
        <v/>
      </c>
      <c r="M667" t="str">
        <f>IF($A667&lt;&gt;"",'All Cases - Enter Cases'!M667,"")</f>
        <v/>
      </c>
    </row>
    <row r="668" spans="1:13" x14ac:dyDescent="0.35">
      <c r="A668" s="4" t="str">
        <f>IF('All Cases - Enter Cases'!$F668="Punjab",'All Cases - Enter Cases'!A668,"")</f>
        <v/>
      </c>
      <c r="B668" t="str">
        <f>IF($A668&lt;&gt;"",'All Cases - Enter Cases'!B668,"")</f>
        <v/>
      </c>
      <c r="C668" t="str">
        <f>IF($A668&lt;&gt;"",'All Cases - Enter Cases'!C668,"")</f>
        <v/>
      </c>
      <c r="D668" t="str">
        <f>IF($A668&lt;&gt;"",'All Cases - Enter Cases'!D668,"")</f>
        <v/>
      </c>
      <c r="E668" t="str">
        <f>IF($A668&lt;&gt;"",'All Cases - Enter Cases'!E668,"")</f>
        <v/>
      </c>
      <c r="F668" t="str">
        <f>IF($A668&lt;&gt;"",'All Cases - Enter Cases'!F668,"")</f>
        <v/>
      </c>
      <c r="G668" t="str">
        <f>IF($A668&lt;&gt;"",'All Cases - Enter Cases'!G668,"")</f>
        <v/>
      </c>
      <c r="H668" t="str">
        <f>IF($A668&lt;&gt;"",'All Cases - Enter Cases'!H668,"")</f>
        <v/>
      </c>
      <c r="I668" t="str">
        <f>IF($A668&lt;&gt;"",'All Cases - Enter Cases'!I668,"")</f>
        <v/>
      </c>
      <c r="J668" s="4" t="str">
        <f>IF($A668&lt;&gt;"",'All Cases - Enter Cases'!J668,"")</f>
        <v/>
      </c>
      <c r="K668" s="4" t="str">
        <f>IF($A668&lt;&gt;"",'All Cases - Enter Cases'!K668,"")</f>
        <v/>
      </c>
      <c r="L668" s="4" t="str">
        <f>IF($A668&lt;&gt;"",'All Cases - Enter Cases'!L668,"")</f>
        <v/>
      </c>
      <c r="M668" t="str">
        <f>IF($A668&lt;&gt;"",'All Cases - Enter Cases'!M668,"")</f>
        <v/>
      </c>
    </row>
    <row r="669" spans="1:13" x14ac:dyDescent="0.35">
      <c r="A669" s="4" t="str">
        <f>IF('All Cases - Enter Cases'!$F669="Punjab",'All Cases - Enter Cases'!A669,"")</f>
        <v/>
      </c>
      <c r="B669" t="str">
        <f>IF($A669&lt;&gt;"",'All Cases - Enter Cases'!B669,"")</f>
        <v/>
      </c>
      <c r="C669" t="str">
        <f>IF($A669&lt;&gt;"",'All Cases - Enter Cases'!C669,"")</f>
        <v/>
      </c>
      <c r="D669" t="str">
        <f>IF($A669&lt;&gt;"",'All Cases - Enter Cases'!D669,"")</f>
        <v/>
      </c>
      <c r="E669" t="str">
        <f>IF($A669&lt;&gt;"",'All Cases - Enter Cases'!E669,"")</f>
        <v/>
      </c>
      <c r="F669" t="str">
        <f>IF($A669&lt;&gt;"",'All Cases - Enter Cases'!F669,"")</f>
        <v/>
      </c>
      <c r="G669" t="str">
        <f>IF($A669&lt;&gt;"",'All Cases - Enter Cases'!G669,"")</f>
        <v/>
      </c>
      <c r="H669" t="str">
        <f>IF($A669&lt;&gt;"",'All Cases - Enter Cases'!H669,"")</f>
        <v/>
      </c>
      <c r="I669" t="str">
        <f>IF($A669&lt;&gt;"",'All Cases - Enter Cases'!I669,"")</f>
        <v/>
      </c>
      <c r="J669" s="4" t="str">
        <f>IF($A669&lt;&gt;"",'All Cases - Enter Cases'!J669,"")</f>
        <v/>
      </c>
      <c r="K669" s="4" t="str">
        <f>IF($A669&lt;&gt;"",'All Cases - Enter Cases'!K669,"")</f>
        <v/>
      </c>
      <c r="L669" s="4" t="str">
        <f>IF($A669&lt;&gt;"",'All Cases - Enter Cases'!L669,"")</f>
        <v/>
      </c>
      <c r="M669" t="str">
        <f>IF($A669&lt;&gt;"",'All Cases - Enter Cases'!M669,"")</f>
        <v/>
      </c>
    </row>
    <row r="670" spans="1:13" x14ac:dyDescent="0.35">
      <c r="A670" s="4" t="str">
        <f>IF('All Cases - Enter Cases'!$F670="Punjab",'All Cases - Enter Cases'!A670,"")</f>
        <v/>
      </c>
      <c r="B670" t="str">
        <f>IF($A670&lt;&gt;"",'All Cases - Enter Cases'!B670,"")</f>
        <v/>
      </c>
      <c r="C670" t="str">
        <f>IF($A670&lt;&gt;"",'All Cases - Enter Cases'!C670,"")</f>
        <v/>
      </c>
      <c r="D670" t="str">
        <f>IF($A670&lt;&gt;"",'All Cases - Enter Cases'!D670,"")</f>
        <v/>
      </c>
      <c r="E670" t="str">
        <f>IF($A670&lt;&gt;"",'All Cases - Enter Cases'!E670,"")</f>
        <v/>
      </c>
      <c r="F670" t="str">
        <f>IF($A670&lt;&gt;"",'All Cases - Enter Cases'!F670,"")</f>
        <v/>
      </c>
      <c r="G670" t="str">
        <f>IF($A670&lt;&gt;"",'All Cases - Enter Cases'!G670,"")</f>
        <v/>
      </c>
      <c r="H670" t="str">
        <f>IF($A670&lt;&gt;"",'All Cases - Enter Cases'!H670,"")</f>
        <v/>
      </c>
      <c r="I670" t="str">
        <f>IF($A670&lt;&gt;"",'All Cases - Enter Cases'!I670,"")</f>
        <v/>
      </c>
      <c r="J670" s="4" t="str">
        <f>IF($A670&lt;&gt;"",'All Cases - Enter Cases'!J670,"")</f>
        <v/>
      </c>
      <c r="K670" s="4" t="str">
        <f>IF($A670&lt;&gt;"",'All Cases - Enter Cases'!K670,"")</f>
        <v/>
      </c>
      <c r="L670" s="4" t="str">
        <f>IF($A670&lt;&gt;"",'All Cases - Enter Cases'!L670,"")</f>
        <v/>
      </c>
      <c r="M670" t="str">
        <f>IF($A670&lt;&gt;"",'All Cases - Enter Cases'!M670,"")</f>
        <v/>
      </c>
    </row>
    <row r="671" spans="1:13" x14ac:dyDescent="0.35">
      <c r="A671" s="4" t="str">
        <f>IF('All Cases - Enter Cases'!$F671="Punjab",'All Cases - Enter Cases'!A671,"")</f>
        <v/>
      </c>
      <c r="B671" t="str">
        <f>IF($A671&lt;&gt;"",'All Cases - Enter Cases'!B671,"")</f>
        <v/>
      </c>
      <c r="C671" t="str">
        <f>IF($A671&lt;&gt;"",'All Cases - Enter Cases'!C671,"")</f>
        <v/>
      </c>
      <c r="D671" t="str">
        <f>IF($A671&lt;&gt;"",'All Cases - Enter Cases'!D671,"")</f>
        <v/>
      </c>
      <c r="E671" t="str">
        <f>IF($A671&lt;&gt;"",'All Cases - Enter Cases'!E671,"")</f>
        <v/>
      </c>
      <c r="F671" t="str">
        <f>IF($A671&lt;&gt;"",'All Cases - Enter Cases'!F671,"")</f>
        <v/>
      </c>
      <c r="G671" t="str">
        <f>IF($A671&lt;&gt;"",'All Cases - Enter Cases'!G671,"")</f>
        <v/>
      </c>
      <c r="H671" t="str">
        <f>IF($A671&lt;&gt;"",'All Cases - Enter Cases'!H671,"")</f>
        <v/>
      </c>
      <c r="I671" t="str">
        <f>IF($A671&lt;&gt;"",'All Cases - Enter Cases'!I671,"")</f>
        <v/>
      </c>
      <c r="J671" s="4" t="str">
        <f>IF($A671&lt;&gt;"",'All Cases - Enter Cases'!J671,"")</f>
        <v/>
      </c>
      <c r="K671" s="4" t="str">
        <f>IF($A671&lt;&gt;"",'All Cases - Enter Cases'!K671,"")</f>
        <v/>
      </c>
      <c r="L671" s="4" t="str">
        <f>IF($A671&lt;&gt;"",'All Cases - Enter Cases'!L671,"")</f>
        <v/>
      </c>
      <c r="M671" t="str">
        <f>IF($A671&lt;&gt;"",'All Cases - Enter Cases'!M671,"")</f>
        <v/>
      </c>
    </row>
    <row r="672" spans="1:13" x14ac:dyDescent="0.35">
      <c r="A672" s="4" t="str">
        <f>IF('All Cases - Enter Cases'!$F672="Punjab",'All Cases - Enter Cases'!A672,"")</f>
        <v/>
      </c>
      <c r="B672" t="str">
        <f>IF($A672&lt;&gt;"",'All Cases - Enter Cases'!B672,"")</f>
        <v/>
      </c>
      <c r="C672" t="str">
        <f>IF($A672&lt;&gt;"",'All Cases - Enter Cases'!C672,"")</f>
        <v/>
      </c>
      <c r="D672" t="str">
        <f>IF($A672&lt;&gt;"",'All Cases - Enter Cases'!D672,"")</f>
        <v/>
      </c>
      <c r="E672" t="str">
        <f>IF($A672&lt;&gt;"",'All Cases - Enter Cases'!E672,"")</f>
        <v/>
      </c>
      <c r="F672" t="str">
        <f>IF($A672&lt;&gt;"",'All Cases - Enter Cases'!F672,"")</f>
        <v/>
      </c>
      <c r="G672" t="str">
        <f>IF($A672&lt;&gt;"",'All Cases - Enter Cases'!G672,"")</f>
        <v/>
      </c>
      <c r="H672" t="str">
        <f>IF($A672&lt;&gt;"",'All Cases - Enter Cases'!H672,"")</f>
        <v/>
      </c>
      <c r="I672" t="str">
        <f>IF($A672&lt;&gt;"",'All Cases - Enter Cases'!I672,"")</f>
        <v/>
      </c>
      <c r="J672" s="4" t="str">
        <f>IF($A672&lt;&gt;"",'All Cases - Enter Cases'!J672,"")</f>
        <v/>
      </c>
      <c r="K672" s="4" t="str">
        <f>IF($A672&lt;&gt;"",'All Cases - Enter Cases'!K672,"")</f>
        <v/>
      </c>
      <c r="L672" s="4" t="str">
        <f>IF($A672&lt;&gt;"",'All Cases - Enter Cases'!L672,"")</f>
        <v/>
      </c>
      <c r="M672" t="str">
        <f>IF($A672&lt;&gt;"",'All Cases - Enter Cases'!M672,"")</f>
        <v/>
      </c>
    </row>
    <row r="673" spans="1:13" x14ac:dyDescent="0.35">
      <c r="A673" s="4" t="str">
        <f>IF('All Cases - Enter Cases'!$F673="Punjab",'All Cases - Enter Cases'!A673,"")</f>
        <v/>
      </c>
      <c r="B673" t="str">
        <f>IF($A673&lt;&gt;"",'All Cases - Enter Cases'!B673,"")</f>
        <v/>
      </c>
      <c r="C673" t="str">
        <f>IF($A673&lt;&gt;"",'All Cases - Enter Cases'!C673,"")</f>
        <v/>
      </c>
      <c r="D673" t="str">
        <f>IF($A673&lt;&gt;"",'All Cases - Enter Cases'!D673,"")</f>
        <v/>
      </c>
      <c r="E673" t="str">
        <f>IF($A673&lt;&gt;"",'All Cases - Enter Cases'!E673,"")</f>
        <v/>
      </c>
      <c r="F673" t="str">
        <f>IF($A673&lt;&gt;"",'All Cases - Enter Cases'!F673,"")</f>
        <v/>
      </c>
      <c r="G673" t="str">
        <f>IF($A673&lt;&gt;"",'All Cases - Enter Cases'!G673,"")</f>
        <v/>
      </c>
      <c r="H673" t="str">
        <f>IF($A673&lt;&gt;"",'All Cases - Enter Cases'!H673,"")</f>
        <v/>
      </c>
      <c r="I673" t="str">
        <f>IF($A673&lt;&gt;"",'All Cases - Enter Cases'!I673,"")</f>
        <v/>
      </c>
      <c r="J673" s="4" t="str">
        <f>IF($A673&lt;&gt;"",'All Cases - Enter Cases'!J673,"")</f>
        <v/>
      </c>
      <c r="K673" s="4" t="str">
        <f>IF($A673&lt;&gt;"",'All Cases - Enter Cases'!K673,"")</f>
        <v/>
      </c>
      <c r="L673" s="4" t="str">
        <f>IF($A673&lt;&gt;"",'All Cases - Enter Cases'!L673,"")</f>
        <v/>
      </c>
      <c r="M673" t="str">
        <f>IF($A673&lt;&gt;"",'All Cases - Enter Cases'!M673,"")</f>
        <v/>
      </c>
    </row>
    <row r="674" spans="1:13" x14ac:dyDescent="0.35">
      <c r="A674" s="4" t="str">
        <f>IF('All Cases - Enter Cases'!$F674="Punjab",'All Cases - Enter Cases'!A674,"")</f>
        <v/>
      </c>
      <c r="B674" t="str">
        <f>IF($A674&lt;&gt;"",'All Cases - Enter Cases'!B674,"")</f>
        <v/>
      </c>
      <c r="C674" t="str">
        <f>IF($A674&lt;&gt;"",'All Cases - Enter Cases'!C674,"")</f>
        <v/>
      </c>
      <c r="D674" t="str">
        <f>IF($A674&lt;&gt;"",'All Cases - Enter Cases'!D674,"")</f>
        <v/>
      </c>
      <c r="E674" t="str">
        <f>IF($A674&lt;&gt;"",'All Cases - Enter Cases'!E674,"")</f>
        <v/>
      </c>
      <c r="F674" t="str">
        <f>IF($A674&lt;&gt;"",'All Cases - Enter Cases'!F674,"")</f>
        <v/>
      </c>
      <c r="G674" t="str">
        <f>IF($A674&lt;&gt;"",'All Cases - Enter Cases'!G674,"")</f>
        <v/>
      </c>
      <c r="H674" t="str">
        <f>IF($A674&lt;&gt;"",'All Cases - Enter Cases'!H674,"")</f>
        <v/>
      </c>
      <c r="I674" t="str">
        <f>IF($A674&lt;&gt;"",'All Cases - Enter Cases'!I674,"")</f>
        <v/>
      </c>
      <c r="J674" s="4" t="str">
        <f>IF($A674&lt;&gt;"",'All Cases - Enter Cases'!J674,"")</f>
        <v/>
      </c>
      <c r="K674" s="4" t="str">
        <f>IF($A674&lt;&gt;"",'All Cases - Enter Cases'!K674,"")</f>
        <v/>
      </c>
      <c r="L674" s="4" t="str">
        <f>IF($A674&lt;&gt;"",'All Cases - Enter Cases'!L674,"")</f>
        <v/>
      </c>
      <c r="M674" t="str">
        <f>IF($A674&lt;&gt;"",'All Cases - Enter Cases'!M674,"")</f>
        <v/>
      </c>
    </row>
    <row r="675" spans="1:13" x14ac:dyDescent="0.35">
      <c r="A675" s="4" t="str">
        <f>IF('All Cases - Enter Cases'!$F675="Punjab",'All Cases - Enter Cases'!A675,"")</f>
        <v/>
      </c>
      <c r="B675" t="str">
        <f>IF($A675&lt;&gt;"",'All Cases - Enter Cases'!B675,"")</f>
        <v/>
      </c>
      <c r="C675" t="str">
        <f>IF($A675&lt;&gt;"",'All Cases - Enter Cases'!C675,"")</f>
        <v/>
      </c>
      <c r="D675" t="str">
        <f>IF($A675&lt;&gt;"",'All Cases - Enter Cases'!D675,"")</f>
        <v/>
      </c>
      <c r="E675" t="str">
        <f>IF($A675&lt;&gt;"",'All Cases - Enter Cases'!E675,"")</f>
        <v/>
      </c>
      <c r="F675" t="str">
        <f>IF($A675&lt;&gt;"",'All Cases - Enter Cases'!F675,"")</f>
        <v/>
      </c>
      <c r="G675" t="str">
        <f>IF($A675&lt;&gt;"",'All Cases - Enter Cases'!G675,"")</f>
        <v/>
      </c>
      <c r="H675" t="str">
        <f>IF($A675&lt;&gt;"",'All Cases - Enter Cases'!H675,"")</f>
        <v/>
      </c>
      <c r="I675" t="str">
        <f>IF($A675&lt;&gt;"",'All Cases - Enter Cases'!I675,"")</f>
        <v/>
      </c>
      <c r="J675" s="4" t="str">
        <f>IF($A675&lt;&gt;"",'All Cases - Enter Cases'!J675,"")</f>
        <v/>
      </c>
      <c r="K675" s="4" t="str">
        <f>IF($A675&lt;&gt;"",'All Cases - Enter Cases'!K675,"")</f>
        <v/>
      </c>
      <c r="L675" s="4" t="str">
        <f>IF($A675&lt;&gt;"",'All Cases - Enter Cases'!L675,"")</f>
        <v/>
      </c>
      <c r="M675" t="str">
        <f>IF($A675&lt;&gt;"",'All Cases - Enter Cases'!M675,"")</f>
        <v/>
      </c>
    </row>
    <row r="676" spans="1:13" x14ac:dyDescent="0.35">
      <c r="A676" s="4" t="str">
        <f>IF('All Cases - Enter Cases'!$F676="Punjab",'All Cases - Enter Cases'!A676,"")</f>
        <v/>
      </c>
      <c r="B676" t="str">
        <f>IF($A676&lt;&gt;"",'All Cases - Enter Cases'!B676,"")</f>
        <v/>
      </c>
      <c r="C676" t="str">
        <f>IF($A676&lt;&gt;"",'All Cases - Enter Cases'!C676,"")</f>
        <v/>
      </c>
      <c r="D676" t="str">
        <f>IF($A676&lt;&gt;"",'All Cases - Enter Cases'!D676,"")</f>
        <v/>
      </c>
      <c r="E676" t="str">
        <f>IF($A676&lt;&gt;"",'All Cases - Enter Cases'!E676,"")</f>
        <v/>
      </c>
      <c r="F676" t="str">
        <f>IF($A676&lt;&gt;"",'All Cases - Enter Cases'!F676,"")</f>
        <v/>
      </c>
      <c r="G676" t="str">
        <f>IF($A676&lt;&gt;"",'All Cases - Enter Cases'!G676,"")</f>
        <v/>
      </c>
      <c r="H676" t="str">
        <f>IF($A676&lt;&gt;"",'All Cases - Enter Cases'!H676,"")</f>
        <v/>
      </c>
      <c r="I676" t="str">
        <f>IF($A676&lt;&gt;"",'All Cases - Enter Cases'!I676,"")</f>
        <v/>
      </c>
      <c r="J676" s="4" t="str">
        <f>IF($A676&lt;&gt;"",'All Cases - Enter Cases'!J676,"")</f>
        <v/>
      </c>
      <c r="K676" s="4" t="str">
        <f>IF($A676&lt;&gt;"",'All Cases - Enter Cases'!K676,"")</f>
        <v/>
      </c>
      <c r="L676" s="4" t="str">
        <f>IF($A676&lt;&gt;"",'All Cases - Enter Cases'!L676,"")</f>
        <v/>
      </c>
      <c r="M676" t="str">
        <f>IF($A676&lt;&gt;"",'All Cases - Enter Cases'!M676,"")</f>
        <v/>
      </c>
    </row>
    <row r="677" spans="1:13" x14ac:dyDescent="0.35">
      <c r="A677" s="4" t="str">
        <f>IF('All Cases - Enter Cases'!$F677="Punjab",'All Cases - Enter Cases'!A677,"")</f>
        <v/>
      </c>
      <c r="B677" t="str">
        <f>IF($A677&lt;&gt;"",'All Cases - Enter Cases'!B677,"")</f>
        <v/>
      </c>
      <c r="C677" t="str">
        <f>IF($A677&lt;&gt;"",'All Cases - Enter Cases'!C677,"")</f>
        <v/>
      </c>
      <c r="D677" t="str">
        <f>IF($A677&lt;&gt;"",'All Cases - Enter Cases'!D677,"")</f>
        <v/>
      </c>
      <c r="E677" t="str">
        <f>IF($A677&lt;&gt;"",'All Cases - Enter Cases'!E677,"")</f>
        <v/>
      </c>
      <c r="F677" t="str">
        <f>IF($A677&lt;&gt;"",'All Cases - Enter Cases'!F677,"")</f>
        <v/>
      </c>
      <c r="G677" t="str">
        <f>IF($A677&lt;&gt;"",'All Cases - Enter Cases'!G677,"")</f>
        <v/>
      </c>
      <c r="H677" t="str">
        <f>IF($A677&lt;&gt;"",'All Cases - Enter Cases'!H677,"")</f>
        <v/>
      </c>
      <c r="I677" t="str">
        <f>IF($A677&lt;&gt;"",'All Cases - Enter Cases'!I677,"")</f>
        <v/>
      </c>
      <c r="J677" s="4" t="str">
        <f>IF($A677&lt;&gt;"",'All Cases - Enter Cases'!J677,"")</f>
        <v/>
      </c>
      <c r="K677" s="4" t="str">
        <f>IF($A677&lt;&gt;"",'All Cases - Enter Cases'!K677,"")</f>
        <v/>
      </c>
      <c r="L677" s="4" t="str">
        <f>IF($A677&lt;&gt;"",'All Cases - Enter Cases'!L677,"")</f>
        <v/>
      </c>
      <c r="M677" t="str">
        <f>IF($A677&lt;&gt;"",'All Cases - Enter Cases'!M677,"")</f>
        <v/>
      </c>
    </row>
    <row r="678" spans="1:13" x14ac:dyDescent="0.35">
      <c r="A678" s="4" t="str">
        <f>IF('All Cases - Enter Cases'!$F678="Punjab",'All Cases - Enter Cases'!A678,"")</f>
        <v/>
      </c>
      <c r="B678" t="str">
        <f>IF($A678&lt;&gt;"",'All Cases - Enter Cases'!B678,"")</f>
        <v/>
      </c>
      <c r="C678" t="str">
        <f>IF($A678&lt;&gt;"",'All Cases - Enter Cases'!C678,"")</f>
        <v/>
      </c>
      <c r="D678" t="str">
        <f>IF($A678&lt;&gt;"",'All Cases - Enter Cases'!D678,"")</f>
        <v/>
      </c>
      <c r="E678" t="str">
        <f>IF($A678&lt;&gt;"",'All Cases - Enter Cases'!E678,"")</f>
        <v/>
      </c>
      <c r="F678" t="str">
        <f>IF($A678&lt;&gt;"",'All Cases - Enter Cases'!F678,"")</f>
        <v/>
      </c>
      <c r="G678" t="str">
        <f>IF($A678&lt;&gt;"",'All Cases - Enter Cases'!G678,"")</f>
        <v/>
      </c>
      <c r="H678" t="str">
        <f>IF($A678&lt;&gt;"",'All Cases - Enter Cases'!H678,"")</f>
        <v/>
      </c>
      <c r="I678" t="str">
        <f>IF($A678&lt;&gt;"",'All Cases - Enter Cases'!I678,"")</f>
        <v/>
      </c>
      <c r="J678" s="4" t="str">
        <f>IF($A678&lt;&gt;"",'All Cases - Enter Cases'!J678,"")</f>
        <v/>
      </c>
      <c r="K678" s="4" t="str">
        <f>IF($A678&lt;&gt;"",'All Cases - Enter Cases'!K678,"")</f>
        <v/>
      </c>
      <c r="L678" s="4" t="str">
        <f>IF($A678&lt;&gt;"",'All Cases - Enter Cases'!L678,"")</f>
        <v/>
      </c>
      <c r="M678" t="str">
        <f>IF($A678&lt;&gt;"",'All Cases - Enter Cases'!M678,"")</f>
        <v/>
      </c>
    </row>
    <row r="679" spans="1:13" x14ac:dyDescent="0.35">
      <c r="A679" s="4" t="str">
        <f>IF('All Cases - Enter Cases'!$F679="Punjab",'All Cases - Enter Cases'!A679,"")</f>
        <v/>
      </c>
      <c r="B679" t="str">
        <f>IF($A679&lt;&gt;"",'All Cases - Enter Cases'!B679,"")</f>
        <v/>
      </c>
      <c r="C679" t="str">
        <f>IF($A679&lt;&gt;"",'All Cases - Enter Cases'!C679,"")</f>
        <v/>
      </c>
      <c r="D679" t="str">
        <f>IF($A679&lt;&gt;"",'All Cases - Enter Cases'!D679,"")</f>
        <v/>
      </c>
      <c r="E679" t="str">
        <f>IF($A679&lt;&gt;"",'All Cases - Enter Cases'!E679,"")</f>
        <v/>
      </c>
      <c r="F679" t="str">
        <f>IF($A679&lt;&gt;"",'All Cases - Enter Cases'!F679,"")</f>
        <v/>
      </c>
      <c r="G679" t="str">
        <f>IF($A679&lt;&gt;"",'All Cases - Enter Cases'!G679,"")</f>
        <v/>
      </c>
      <c r="H679" t="str">
        <f>IF($A679&lt;&gt;"",'All Cases - Enter Cases'!H679,"")</f>
        <v/>
      </c>
      <c r="I679" t="str">
        <f>IF($A679&lt;&gt;"",'All Cases - Enter Cases'!I679,"")</f>
        <v/>
      </c>
      <c r="J679" s="4" t="str">
        <f>IF($A679&lt;&gt;"",'All Cases - Enter Cases'!J679,"")</f>
        <v/>
      </c>
      <c r="K679" s="4" t="str">
        <f>IF($A679&lt;&gt;"",'All Cases - Enter Cases'!K679,"")</f>
        <v/>
      </c>
      <c r="L679" s="4" t="str">
        <f>IF($A679&lt;&gt;"",'All Cases - Enter Cases'!L679,"")</f>
        <v/>
      </c>
      <c r="M679" t="str">
        <f>IF($A679&lt;&gt;"",'All Cases - Enter Cases'!M679,"")</f>
        <v/>
      </c>
    </row>
    <row r="680" spans="1:13" x14ac:dyDescent="0.35">
      <c r="A680" s="4" t="str">
        <f>IF('All Cases - Enter Cases'!$F680="Punjab",'All Cases - Enter Cases'!A680,"")</f>
        <v/>
      </c>
      <c r="B680" t="str">
        <f>IF($A680&lt;&gt;"",'All Cases - Enter Cases'!B680,"")</f>
        <v/>
      </c>
      <c r="C680" t="str">
        <f>IF($A680&lt;&gt;"",'All Cases - Enter Cases'!C680,"")</f>
        <v/>
      </c>
      <c r="D680" t="str">
        <f>IF($A680&lt;&gt;"",'All Cases - Enter Cases'!D680,"")</f>
        <v/>
      </c>
      <c r="E680" t="str">
        <f>IF($A680&lt;&gt;"",'All Cases - Enter Cases'!E680,"")</f>
        <v/>
      </c>
      <c r="F680" t="str">
        <f>IF($A680&lt;&gt;"",'All Cases - Enter Cases'!F680,"")</f>
        <v/>
      </c>
      <c r="G680" t="str">
        <f>IF($A680&lt;&gt;"",'All Cases - Enter Cases'!G680,"")</f>
        <v/>
      </c>
      <c r="H680" t="str">
        <f>IF($A680&lt;&gt;"",'All Cases - Enter Cases'!H680,"")</f>
        <v/>
      </c>
      <c r="I680" t="str">
        <f>IF($A680&lt;&gt;"",'All Cases - Enter Cases'!I680,"")</f>
        <v/>
      </c>
      <c r="J680" s="4" t="str">
        <f>IF($A680&lt;&gt;"",'All Cases - Enter Cases'!J680,"")</f>
        <v/>
      </c>
      <c r="K680" s="4" t="str">
        <f>IF($A680&lt;&gt;"",'All Cases - Enter Cases'!K680,"")</f>
        <v/>
      </c>
      <c r="L680" s="4" t="str">
        <f>IF($A680&lt;&gt;"",'All Cases - Enter Cases'!L680,"")</f>
        <v/>
      </c>
      <c r="M680" t="str">
        <f>IF($A680&lt;&gt;"",'All Cases - Enter Cases'!M680,"")</f>
        <v/>
      </c>
    </row>
    <row r="681" spans="1:13" x14ac:dyDescent="0.35">
      <c r="A681" s="4" t="str">
        <f>IF('All Cases - Enter Cases'!$F681="Punjab",'All Cases - Enter Cases'!A681,"")</f>
        <v/>
      </c>
      <c r="B681" t="str">
        <f>IF($A681&lt;&gt;"",'All Cases - Enter Cases'!B681,"")</f>
        <v/>
      </c>
      <c r="C681" t="str">
        <f>IF($A681&lt;&gt;"",'All Cases - Enter Cases'!C681,"")</f>
        <v/>
      </c>
      <c r="D681" t="str">
        <f>IF($A681&lt;&gt;"",'All Cases - Enter Cases'!D681,"")</f>
        <v/>
      </c>
      <c r="E681" t="str">
        <f>IF($A681&lt;&gt;"",'All Cases - Enter Cases'!E681,"")</f>
        <v/>
      </c>
      <c r="F681" t="str">
        <f>IF($A681&lt;&gt;"",'All Cases - Enter Cases'!F681,"")</f>
        <v/>
      </c>
      <c r="G681" t="str">
        <f>IF($A681&lt;&gt;"",'All Cases - Enter Cases'!G681,"")</f>
        <v/>
      </c>
      <c r="H681" t="str">
        <f>IF($A681&lt;&gt;"",'All Cases - Enter Cases'!H681,"")</f>
        <v/>
      </c>
      <c r="I681" t="str">
        <f>IF($A681&lt;&gt;"",'All Cases - Enter Cases'!I681,"")</f>
        <v/>
      </c>
      <c r="J681" s="4" t="str">
        <f>IF($A681&lt;&gt;"",'All Cases - Enter Cases'!J681,"")</f>
        <v/>
      </c>
      <c r="K681" s="4" t="str">
        <f>IF($A681&lt;&gt;"",'All Cases - Enter Cases'!K681,"")</f>
        <v/>
      </c>
      <c r="L681" s="4" t="str">
        <f>IF($A681&lt;&gt;"",'All Cases - Enter Cases'!L681,"")</f>
        <v/>
      </c>
      <c r="M681" t="str">
        <f>IF($A681&lt;&gt;"",'All Cases - Enter Cases'!M681,"")</f>
        <v/>
      </c>
    </row>
    <row r="682" spans="1:13" x14ac:dyDescent="0.35">
      <c r="A682" s="4" t="str">
        <f>IF('All Cases - Enter Cases'!$F682="Punjab",'All Cases - Enter Cases'!A682,"")</f>
        <v/>
      </c>
      <c r="B682" t="str">
        <f>IF($A682&lt;&gt;"",'All Cases - Enter Cases'!B682,"")</f>
        <v/>
      </c>
      <c r="C682" t="str">
        <f>IF($A682&lt;&gt;"",'All Cases - Enter Cases'!C682,"")</f>
        <v/>
      </c>
      <c r="D682" t="str">
        <f>IF($A682&lt;&gt;"",'All Cases - Enter Cases'!D682,"")</f>
        <v/>
      </c>
      <c r="E682" t="str">
        <f>IF($A682&lt;&gt;"",'All Cases - Enter Cases'!E682,"")</f>
        <v/>
      </c>
      <c r="F682" t="str">
        <f>IF($A682&lt;&gt;"",'All Cases - Enter Cases'!F682,"")</f>
        <v/>
      </c>
      <c r="G682" t="str">
        <f>IF($A682&lt;&gt;"",'All Cases - Enter Cases'!G682,"")</f>
        <v/>
      </c>
      <c r="H682" t="str">
        <f>IF($A682&lt;&gt;"",'All Cases - Enter Cases'!H682,"")</f>
        <v/>
      </c>
      <c r="I682" t="str">
        <f>IF($A682&lt;&gt;"",'All Cases - Enter Cases'!I682,"")</f>
        <v/>
      </c>
      <c r="J682" s="4" t="str">
        <f>IF($A682&lt;&gt;"",'All Cases - Enter Cases'!J682,"")</f>
        <v/>
      </c>
      <c r="K682" s="4" t="str">
        <f>IF($A682&lt;&gt;"",'All Cases - Enter Cases'!K682,"")</f>
        <v/>
      </c>
      <c r="L682" s="4" t="str">
        <f>IF($A682&lt;&gt;"",'All Cases - Enter Cases'!L682,"")</f>
        <v/>
      </c>
      <c r="M682" t="str">
        <f>IF($A682&lt;&gt;"",'All Cases - Enter Cases'!M682,"")</f>
        <v/>
      </c>
    </row>
    <row r="683" spans="1:13" x14ac:dyDescent="0.35">
      <c r="A683" s="4" t="str">
        <f>IF('All Cases - Enter Cases'!$F683="Punjab",'All Cases - Enter Cases'!A683,"")</f>
        <v/>
      </c>
      <c r="B683" t="str">
        <f>IF($A683&lt;&gt;"",'All Cases - Enter Cases'!B683,"")</f>
        <v/>
      </c>
      <c r="C683" t="str">
        <f>IF($A683&lt;&gt;"",'All Cases - Enter Cases'!C683,"")</f>
        <v/>
      </c>
      <c r="D683" t="str">
        <f>IF($A683&lt;&gt;"",'All Cases - Enter Cases'!D683,"")</f>
        <v/>
      </c>
      <c r="E683" t="str">
        <f>IF($A683&lt;&gt;"",'All Cases - Enter Cases'!E683,"")</f>
        <v/>
      </c>
      <c r="F683" t="str">
        <f>IF($A683&lt;&gt;"",'All Cases - Enter Cases'!F683,"")</f>
        <v/>
      </c>
      <c r="G683" t="str">
        <f>IF($A683&lt;&gt;"",'All Cases - Enter Cases'!G683,"")</f>
        <v/>
      </c>
      <c r="H683" t="str">
        <f>IF($A683&lt;&gt;"",'All Cases - Enter Cases'!H683,"")</f>
        <v/>
      </c>
      <c r="I683" t="str">
        <f>IF($A683&lt;&gt;"",'All Cases - Enter Cases'!I683,"")</f>
        <v/>
      </c>
      <c r="J683" s="4" t="str">
        <f>IF($A683&lt;&gt;"",'All Cases - Enter Cases'!J683,"")</f>
        <v/>
      </c>
      <c r="K683" s="4" t="str">
        <f>IF($A683&lt;&gt;"",'All Cases - Enter Cases'!K683,"")</f>
        <v/>
      </c>
      <c r="L683" s="4" t="str">
        <f>IF($A683&lt;&gt;"",'All Cases - Enter Cases'!L683,"")</f>
        <v/>
      </c>
      <c r="M683" t="str">
        <f>IF($A683&lt;&gt;"",'All Cases - Enter Cases'!M683,"")</f>
        <v/>
      </c>
    </row>
    <row r="684" spans="1:13" x14ac:dyDescent="0.35">
      <c r="A684" s="4" t="str">
        <f>IF('All Cases - Enter Cases'!$F684="Punjab",'All Cases - Enter Cases'!A684,"")</f>
        <v/>
      </c>
      <c r="B684" t="str">
        <f>IF($A684&lt;&gt;"",'All Cases - Enter Cases'!B684,"")</f>
        <v/>
      </c>
      <c r="C684" t="str">
        <f>IF($A684&lt;&gt;"",'All Cases - Enter Cases'!C684,"")</f>
        <v/>
      </c>
      <c r="D684" t="str">
        <f>IF($A684&lt;&gt;"",'All Cases - Enter Cases'!D684,"")</f>
        <v/>
      </c>
      <c r="E684" t="str">
        <f>IF($A684&lt;&gt;"",'All Cases - Enter Cases'!E684,"")</f>
        <v/>
      </c>
      <c r="F684" t="str">
        <f>IF($A684&lt;&gt;"",'All Cases - Enter Cases'!F684,"")</f>
        <v/>
      </c>
      <c r="G684" t="str">
        <f>IF($A684&lt;&gt;"",'All Cases - Enter Cases'!G684,"")</f>
        <v/>
      </c>
      <c r="H684" t="str">
        <f>IF($A684&lt;&gt;"",'All Cases - Enter Cases'!H684,"")</f>
        <v/>
      </c>
      <c r="I684" t="str">
        <f>IF($A684&lt;&gt;"",'All Cases - Enter Cases'!I684,"")</f>
        <v/>
      </c>
      <c r="J684" s="4" t="str">
        <f>IF($A684&lt;&gt;"",'All Cases - Enter Cases'!J684,"")</f>
        <v/>
      </c>
      <c r="K684" s="4" t="str">
        <f>IF($A684&lt;&gt;"",'All Cases - Enter Cases'!K684,"")</f>
        <v/>
      </c>
      <c r="L684" s="4" t="str">
        <f>IF($A684&lt;&gt;"",'All Cases - Enter Cases'!L684,"")</f>
        <v/>
      </c>
      <c r="M684" t="str">
        <f>IF($A684&lt;&gt;"",'All Cases - Enter Cases'!M684,"")</f>
        <v/>
      </c>
    </row>
    <row r="685" spans="1:13" x14ac:dyDescent="0.35">
      <c r="A685" s="4" t="str">
        <f>IF('All Cases - Enter Cases'!$F685="Punjab",'All Cases - Enter Cases'!A685,"")</f>
        <v/>
      </c>
      <c r="B685" t="str">
        <f>IF($A685&lt;&gt;"",'All Cases - Enter Cases'!B685,"")</f>
        <v/>
      </c>
      <c r="C685" t="str">
        <f>IF($A685&lt;&gt;"",'All Cases - Enter Cases'!C685,"")</f>
        <v/>
      </c>
      <c r="D685" t="str">
        <f>IF($A685&lt;&gt;"",'All Cases - Enter Cases'!D685,"")</f>
        <v/>
      </c>
      <c r="E685" t="str">
        <f>IF($A685&lt;&gt;"",'All Cases - Enter Cases'!E685,"")</f>
        <v/>
      </c>
      <c r="F685" t="str">
        <f>IF($A685&lt;&gt;"",'All Cases - Enter Cases'!F685,"")</f>
        <v/>
      </c>
      <c r="G685" t="str">
        <f>IF($A685&lt;&gt;"",'All Cases - Enter Cases'!G685,"")</f>
        <v/>
      </c>
      <c r="H685" t="str">
        <f>IF($A685&lt;&gt;"",'All Cases - Enter Cases'!H685,"")</f>
        <v/>
      </c>
      <c r="I685" t="str">
        <f>IF($A685&lt;&gt;"",'All Cases - Enter Cases'!I685,"")</f>
        <v/>
      </c>
      <c r="J685" s="4" t="str">
        <f>IF($A685&lt;&gt;"",'All Cases - Enter Cases'!J685,"")</f>
        <v/>
      </c>
      <c r="K685" s="4" t="str">
        <f>IF($A685&lt;&gt;"",'All Cases - Enter Cases'!K685,"")</f>
        <v/>
      </c>
      <c r="L685" s="4" t="str">
        <f>IF($A685&lt;&gt;"",'All Cases - Enter Cases'!L685,"")</f>
        <v/>
      </c>
      <c r="M685" t="str">
        <f>IF($A685&lt;&gt;"",'All Cases - Enter Cases'!M685,"")</f>
        <v/>
      </c>
    </row>
    <row r="686" spans="1:13" x14ac:dyDescent="0.35">
      <c r="A686" s="4" t="str">
        <f>IF('All Cases - Enter Cases'!$F686="Punjab",'All Cases - Enter Cases'!A686,"")</f>
        <v/>
      </c>
      <c r="B686" t="str">
        <f>IF($A686&lt;&gt;"",'All Cases - Enter Cases'!B686,"")</f>
        <v/>
      </c>
      <c r="C686" t="str">
        <f>IF($A686&lt;&gt;"",'All Cases - Enter Cases'!C686,"")</f>
        <v/>
      </c>
      <c r="D686" t="str">
        <f>IF($A686&lt;&gt;"",'All Cases - Enter Cases'!D686,"")</f>
        <v/>
      </c>
      <c r="E686" t="str">
        <f>IF($A686&lt;&gt;"",'All Cases - Enter Cases'!E686,"")</f>
        <v/>
      </c>
      <c r="F686" t="str">
        <f>IF($A686&lt;&gt;"",'All Cases - Enter Cases'!F686,"")</f>
        <v/>
      </c>
      <c r="G686" t="str">
        <f>IF($A686&lt;&gt;"",'All Cases - Enter Cases'!G686,"")</f>
        <v/>
      </c>
      <c r="H686" t="str">
        <f>IF($A686&lt;&gt;"",'All Cases - Enter Cases'!H686,"")</f>
        <v/>
      </c>
      <c r="I686" t="str">
        <f>IF($A686&lt;&gt;"",'All Cases - Enter Cases'!I686,"")</f>
        <v/>
      </c>
      <c r="J686" s="4" t="str">
        <f>IF($A686&lt;&gt;"",'All Cases - Enter Cases'!J686,"")</f>
        <v/>
      </c>
      <c r="K686" s="4" t="str">
        <f>IF($A686&lt;&gt;"",'All Cases - Enter Cases'!K686,"")</f>
        <v/>
      </c>
      <c r="L686" s="4" t="str">
        <f>IF($A686&lt;&gt;"",'All Cases - Enter Cases'!L686,"")</f>
        <v/>
      </c>
      <c r="M686" t="str">
        <f>IF($A686&lt;&gt;"",'All Cases - Enter Cases'!M686,"")</f>
        <v/>
      </c>
    </row>
    <row r="687" spans="1:13" x14ac:dyDescent="0.35">
      <c r="A687" s="4" t="str">
        <f>IF('All Cases - Enter Cases'!$F687="Punjab",'All Cases - Enter Cases'!A687,"")</f>
        <v/>
      </c>
      <c r="B687" t="str">
        <f>IF($A687&lt;&gt;"",'All Cases - Enter Cases'!B687,"")</f>
        <v/>
      </c>
      <c r="C687" t="str">
        <f>IF($A687&lt;&gt;"",'All Cases - Enter Cases'!C687,"")</f>
        <v/>
      </c>
      <c r="D687" t="str">
        <f>IF($A687&lt;&gt;"",'All Cases - Enter Cases'!D687,"")</f>
        <v/>
      </c>
      <c r="E687" t="str">
        <f>IF($A687&lt;&gt;"",'All Cases - Enter Cases'!E687,"")</f>
        <v/>
      </c>
      <c r="F687" t="str">
        <f>IF($A687&lt;&gt;"",'All Cases - Enter Cases'!F687,"")</f>
        <v/>
      </c>
      <c r="G687" t="str">
        <f>IF($A687&lt;&gt;"",'All Cases - Enter Cases'!G687,"")</f>
        <v/>
      </c>
      <c r="H687" t="str">
        <f>IF($A687&lt;&gt;"",'All Cases - Enter Cases'!H687,"")</f>
        <v/>
      </c>
      <c r="I687" t="str">
        <f>IF($A687&lt;&gt;"",'All Cases - Enter Cases'!I687,"")</f>
        <v/>
      </c>
      <c r="J687" s="4" t="str">
        <f>IF($A687&lt;&gt;"",'All Cases - Enter Cases'!J687,"")</f>
        <v/>
      </c>
      <c r="K687" s="4" t="str">
        <f>IF($A687&lt;&gt;"",'All Cases - Enter Cases'!K687,"")</f>
        <v/>
      </c>
      <c r="L687" s="4" t="str">
        <f>IF($A687&lt;&gt;"",'All Cases - Enter Cases'!L687,"")</f>
        <v/>
      </c>
      <c r="M687" t="str">
        <f>IF($A687&lt;&gt;"",'All Cases - Enter Cases'!M687,"")</f>
        <v/>
      </c>
    </row>
    <row r="688" spans="1:13" x14ac:dyDescent="0.35">
      <c r="A688" s="4" t="str">
        <f>IF('All Cases - Enter Cases'!$F688="Punjab",'All Cases - Enter Cases'!A688,"")</f>
        <v/>
      </c>
      <c r="B688" t="str">
        <f>IF($A688&lt;&gt;"",'All Cases - Enter Cases'!B688,"")</f>
        <v/>
      </c>
      <c r="C688" t="str">
        <f>IF($A688&lt;&gt;"",'All Cases - Enter Cases'!C688,"")</f>
        <v/>
      </c>
      <c r="D688" t="str">
        <f>IF($A688&lt;&gt;"",'All Cases - Enter Cases'!D688,"")</f>
        <v/>
      </c>
      <c r="E688" t="str">
        <f>IF($A688&lt;&gt;"",'All Cases - Enter Cases'!E688,"")</f>
        <v/>
      </c>
      <c r="F688" t="str">
        <f>IF($A688&lt;&gt;"",'All Cases - Enter Cases'!F688,"")</f>
        <v/>
      </c>
      <c r="G688" t="str">
        <f>IF($A688&lt;&gt;"",'All Cases - Enter Cases'!G688,"")</f>
        <v/>
      </c>
      <c r="H688" t="str">
        <f>IF($A688&lt;&gt;"",'All Cases - Enter Cases'!H688,"")</f>
        <v/>
      </c>
      <c r="I688" t="str">
        <f>IF($A688&lt;&gt;"",'All Cases - Enter Cases'!I688,"")</f>
        <v/>
      </c>
      <c r="J688" s="4" t="str">
        <f>IF($A688&lt;&gt;"",'All Cases - Enter Cases'!J688,"")</f>
        <v/>
      </c>
      <c r="K688" s="4" t="str">
        <f>IF($A688&lt;&gt;"",'All Cases - Enter Cases'!K688,"")</f>
        <v/>
      </c>
      <c r="L688" s="4" t="str">
        <f>IF($A688&lt;&gt;"",'All Cases - Enter Cases'!L688,"")</f>
        <v/>
      </c>
      <c r="M688" t="str">
        <f>IF($A688&lt;&gt;"",'All Cases - Enter Cases'!M688,"")</f>
        <v/>
      </c>
    </row>
    <row r="689" spans="1:13" x14ac:dyDescent="0.35">
      <c r="A689" s="4" t="str">
        <f>IF('All Cases - Enter Cases'!$F689="Punjab",'All Cases - Enter Cases'!A689,"")</f>
        <v/>
      </c>
      <c r="B689" t="str">
        <f>IF($A689&lt;&gt;"",'All Cases - Enter Cases'!B689,"")</f>
        <v/>
      </c>
      <c r="C689" t="str">
        <f>IF($A689&lt;&gt;"",'All Cases - Enter Cases'!C689,"")</f>
        <v/>
      </c>
      <c r="D689" t="str">
        <f>IF($A689&lt;&gt;"",'All Cases - Enter Cases'!D689,"")</f>
        <v/>
      </c>
      <c r="E689" t="str">
        <f>IF($A689&lt;&gt;"",'All Cases - Enter Cases'!E689,"")</f>
        <v/>
      </c>
      <c r="F689" t="str">
        <f>IF($A689&lt;&gt;"",'All Cases - Enter Cases'!F689,"")</f>
        <v/>
      </c>
      <c r="G689" t="str">
        <f>IF($A689&lt;&gt;"",'All Cases - Enter Cases'!G689,"")</f>
        <v/>
      </c>
      <c r="H689" t="str">
        <f>IF($A689&lt;&gt;"",'All Cases - Enter Cases'!H689,"")</f>
        <v/>
      </c>
      <c r="I689" t="str">
        <f>IF($A689&lt;&gt;"",'All Cases - Enter Cases'!I689,"")</f>
        <v/>
      </c>
      <c r="J689" s="4" t="str">
        <f>IF($A689&lt;&gt;"",'All Cases - Enter Cases'!J689,"")</f>
        <v/>
      </c>
      <c r="K689" s="4" t="str">
        <f>IF($A689&lt;&gt;"",'All Cases - Enter Cases'!K689,"")</f>
        <v/>
      </c>
      <c r="L689" s="4" t="str">
        <f>IF($A689&lt;&gt;"",'All Cases - Enter Cases'!L689,"")</f>
        <v/>
      </c>
      <c r="M689" t="str">
        <f>IF($A689&lt;&gt;"",'All Cases - Enter Cases'!M689,"")</f>
        <v/>
      </c>
    </row>
    <row r="690" spans="1:13" x14ac:dyDescent="0.35">
      <c r="A690" s="4" t="str">
        <f>IF('All Cases - Enter Cases'!$F690="Punjab",'All Cases - Enter Cases'!A690,"")</f>
        <v/>
      </c>
      <c r="B690" t="str">
        <f>IF($A690&lt;&gt;"",'All Cases - Enter Cases'!B690,"")</f>
        <v/>
      </c>
      <c r="C690" t="str">
        <f>IF($A690&lt;&gt;"",'All Cases - Enter Cases'!C690,"")</f>
        <v/>
      </c>
      <c r="D690" t="str">
        <f>IF($A690&lt;&gt;"",'All Cases - Enter Cases'!D690,"")</f>
        <v/>
      </c>
      <c r="E690" t="str">
        <f>IF($A690&lt;&gt;"",'All Cases - Enter Cases'!E690,"")</f>
        <v/>
      </c>
      <c r="F690" t="str">
        <f>IF($A690&lt;&gt;"",'All Cases - Enter Cases'!F690,"")</f>
        <v/>
      </c>
      <c r="G690" t="str">
        <f>IF($A690&lt;&gt;"",'All Cases - Enter Cases'!G690,"")</f>
        <v/>
      </c>
      <c r="H690" t="str">
        <f>IF($A690&lt;&gt;"",'All Cases - Enter Cases'!H690,"")</f>
        <v/>
      </c>
      <c r="I690" t="str">
        <f>IF($A690&lt;&gt;"",'All Cases - Enter Cases'!I690,"")</f>
        <v/>
      </c>
      <c r="J690" s="4" t="str">
        <f>IF($A690&lt;&gt;"",'All Cases - Enter Cases'!J690,"")</f>
        <v/>
      </c>
      <c r="K690" s="4" t="str">
        <f>IF($A690&lt;&gt;"",'All Cases - Enter Cases'!K690,"")</f>
        <v/>
      </c>
      <c r="L690" s="4" t="str">
        <f>IF($A690&lt;&gt;"",'All Cases - Enter Cases'!L690,"")</f>
        <v/>
      </c>
      <c r="M690" t="str">
        <f>IF($A690&lt;&gt;"",'All Cases - Enter Cases'!M690,"")</f>
        <v/>
      </c>
    </row>
    <row r="691" spans="1:13" x14ac:dyDescent="0.35">
      <c r="A691" s="4" t="str">
        <f>IF('All Cases - Enter Cases'!$F691="Punjab",'All Cases - Enter Cases'!A691,"")</f>
        <v/>
      </c>
      <c r="B691" t="str">
        <f>IF($A691&lt;&gt;"",'All Cases - Enter Cases'!B691,"")</f>
        <v/>
      </c>
      <c r="C691" t="str">
        <f>IF($A691&lt;&gt;"",'All Cases - Enter Cases'!C691,"")</f>
        <v/>
      </c>
      <c r="D691" t="str">
        <f>IF($A691&lt;&gt;"",'All Cases - Enter Cases'!D691,"")</f>
        <v/>
      </c>
      <c r="E691" t="str">
        <f>IF($A691&lt;&gt;"",'All Cases - Enter Cases'!E691,"")</f>
        <v/>
      </c>
      <c r="F691" t="str">
        <f>IF($A691&lt;&gt;"",'All Cases - Enter Cases'!F691,"")</f>
        <v/>
      </c>
      <c r="G691" t="str">
        <f>IF($A691&lt;&gt;"",'All Cases - Enter Cases'!G691,"")</f>
        <v/>
      </c>
      <c r="H691" t="str">
        <f>IF($A691&lt;&gt;"",'All Cases - Enter Cases'!H691,"")</f>
        <v/>
      </c>
      <c r="I691" t="str">
        <f>IF($A691&lt;&gt;"",'All Cases - Enter Cases'!I691,"")</f>
        <v/>
      </c>
      <c r="J691" s="4" t="str">
        <f>IF($A691&lt;&gt;"",'All Cases - Enter Cases'!J691,"")</f>
        <v/>
      </c>
      <c r="K691" s="4" t="str">
        <f>IF($A691&lt;&gt;"",'All Cases - Enter Cases'!K691,"")</f>
        <v/>
      </c>
      <c r="L691" s="4" t="str">
        <f>IF($A691&lt;&gt;"",'All Cases - Enter Cases'!L691,"")</f>
        <v/>
      </c>
      <c r="M691" t="str">
        <f>IF($A691&lt;&gt;"",'All Cases - Enter Cases'!M691,"")</f>
        <v/>
      </c>
    </row>
    <row r="692" spans="1:13" x14ac:dyDescent="0.35">
      <c r="A692" s="4" t="str">
        <f>IF('All Cases - Enter Cases'!$F692="Punjab",'All Cases - Enter Cases'!A692,"")</f>
        <v/>
      </c>
      <c r="B692" t="str">
        <f>IF($A692&lt;&gt;"",'All Cases - Enter Cases'!B692,"")</f>
        <v/>
      </c>
      <c r="C692" t="str">
        <f>IF($A692&lt;&gt;"",'All Cases - Enter Cases'!C692,"")</f>
        <v/>
      </c>
      <c r="D692" t="str">
        <f>IF($A692&lt;&gt;"",'All Cases - Enter Cases'!D692,"")</f>
        <v/>
      </c>
      <c r="E692" t="str">
        <f>IF($A692&lt;&gt;"",'All Cases - Enter Cases'!E692,"")</f>
        <v/>
      </c>
      <c r="F692" t="str">
        <f>IF($A692&lt;&gt;"",'All Cases - Enter Cases'!F692,"")</f>
        <v/>
      </c>
      <c r="G692" t="str">
        <f>IF($A692&lt;&gt;"",'All Cases - Enter Cases'!G692,"")</f>
        <v/>
      </c>
      <c r="H692" t="str">
        <f>IF($A692&lt;&gt;"",'All Cases - Enter Cases'!H692,"")</f>
        <v/>
      </c>
      <c r="I692" t="str">
        <f>IF($A692&lt;&gt;"",'All Cases - Enter Cases'!I692,"")</f>
        <v/>
      </c>
      <c r="J692" s="4" t="str">
        <f>IF($A692&lt;&gt;"",'All Cases - Enter Cases'!J692,"")</f>
        <v/>
      </c>
      <c r="K692" s="4" t="str">
        <f>IF($A692&lt;&gt;"",'All Cases - Enter Cases'!K692,"")</f>
        <v/>
      </c>
      <c r="L692" s="4" t="str">
        <f>IF($A692&lt;&gt;"",'All Cases - Enter Cases'!L692,"")</f>
        <v/>
      </c>
      <c r="M692" t="str">
        <f>IF($A692&lt;&gt;"",'All Cases - Enter Cases'!M692,"")</f>
        <v/>
      </c>
    </row>
    <row r="693" spans="1:13" x14ac:dyDescent="0.35">
      <c r="A693" s="4" t="str">
        <f>IF('All Cases - Enter Cases'!$F693="Punjab",'All Cases - Enter Cases'!A693,"")</f>
        <v/>
      </c>
      <c r="B693" t="str">
        <f>IF($A693&lt;&gt;"",'All Cases - Enter Cases'!B693,"")</f>
        <v/>
      </c>
      <c r="C693" t="str">
        <f>IF($A693&lt;&gt;"",'All Cases - Enter Cases'!C693,"")</f>
        <v/>
      </c>
      <c r="D693" t="str">
        <f>IF($A693&lt;&gt;"",'All Cases - Enter Cases'!D693,"")</f>
        <v/>
      </c>
      <c r="E693" t="str">
        <f>IF($A693&lt;&gt;"",'All Cases - Enter Cases'!E693,"")</f>
        <v/>
      </c>
      <c r="F693" t="str">
        <f>IF($A693&lt;&gt;"",'All Cases - Enter Cases'!F693,"")</f>
        <v/>
      </c>
      <c r="G693" t="str">
        <f>IF($A693&lt;&gt;"",'All Cases - Enter Cases'!G693,"")</f>
        <v/>
      </c>
      <c r="H693" t="str">
        <f>IF($A693&lt;&gt;"",'All Cases - Enter Cases'!H693,"")</f>
        <v/>
      </c>
      <c r="I693" t="str">
        <f>IF($A693&lt;&gt;"",'All Cases - Enter Cases'!I693,"")</f>
        <v/>
      </c>
      <c r="J693" s="4" t="str">
        <f>IF($A693&lt;&gt;"",'All Cases - Enter Cases'!J693,"")</f>
        <v/>
      </c>
      <c r="K693" s="4" t="str">
        <f>IF($A693&lt;&gt;"",'All Cases - Enter Cases'!K693,"")</f>
        <v/>
      </c>
      <c r="L693" s="4" t="str">
        <f>IF($A693&lt;&gt;"",'All Cases - Enter Cases'!L693,"")</f>
        <v/>
      </c>
      <c r="M693" t="str">
        <f>IF($A693&lt;&gt;"",'All Cases - Enter Cases'!M693,"")</f>
        <v/>
      </c>
    </row>
    <row r="694" spans="1:13" x14ac:dyDescent="0.35">
      <c r="A694" s="4" t="str">
        <f>IF('All Cases - Enter Cases'!$F694="Punjab",'All Cases - Enter Cases'!A694,"")</f>
        <v/>
      </c>
      <c r="B694" t="str">
        <f>IF($A694&lt;&gt;"",'All Cases - Enter Cases'!B694,"")</f>
        <v/>
      </c>
      <c r="C694" t="str">
        <f>IF($A694&lt;&gt;"",'All Cases - Enter Cases'!C694,"")</f>
        <v/>
      </c>
      <c r="D694" t="str">
        <f>IF($A694&lt;&gt;"",'All Cases - Enter Cases'!D694,"")</f>
        <v/>
      </c>
      <c r="E694" t="str">
        <f>IF($A694&lt;&gt;"",'All Cases - Enter Cases'!E694,"")</f>
        <v/>
      </c>
      <c r="F694" t="str">
        <f>IF($A694&lt;&gt;"",'All Cases - Enter Cases'!F694,"")</f>
        <v/>
      </c>
      <c r="G694" t="str">
        <f>IF($A694&lt;&gt;"",'All Cases - Enter Cases'!G694,"")</f>
        <v/>
      </c>
      <c r="H694" t="str">
        <f>IF($A694&lt;&gt;"",'All Cases - Enter Cases'!H694,"")</f>
        <v/>
      </c>
      <c r="I694" t="str">
        <f>IF($A694&lt;&gt;"",'All Cases - Enter Cases'!I694,"")</f>
        <v/>
      </c>
      <c r="J694" s="4" t="str">
        <f>IF($A694&lt;&gt;"",'All Cases - Enter Cases'!J694,"")</f>
        <v/>
      </c>
      <c r="K694" s="4" t="str">
        <f>IF($A694&lt;&gt;"",'All Cases - Enter Cases'!K694,"")</f>
        <v/>
      </c>
      <c r="L694" s="4" t="str">
        <f>IF($A694&lt;&gt;"",'All Cases - Enter Cases'!L694,"")</f>
        <v/>
      </c>
      <c r="M694" t="str">
        <f>IF($A694&lt;&gt;"",'All Cases - Enter Cases'!M694,"")</f>
        <v/>
      </c>
    </row>
    <row r="695" spans="1:13" x14ac:dyDescent="0.35">
      <c r="A695" s="4" t="str">
        <f>IF('All Cases - Enter Cases'!$F695="Punjab",'All Cases - Enter Cases'!A695,"")</f>
        <v/>
      </c>
      <c r="B695" t="str">
        <f>IF($A695&lt;&gt;"",'All Cases - Enter Cases'!B695,"")</f>
        <v/>
      </c>
      <c r="C695" t="str">
        <f>IF($A695&lt;&gt;"",'All Cases - Enter Cases'!C695,"")</f>
        <v/>
      </c>
      <c r="D695" t="str">
        <f>IF($A695&lt;&gt;"",'All Cases - Enter Cases'!D695,"")</f>
        <v/>
      </c>
      <c r="E695" t="str">
        <f>IF($A695&lt;&gt;"",'All Cases - Enter Cases'!E695,"")</f>
        <v/>
      </c>
      <c r="F695" t="str">
        <f>IF($A695&lt;&gt;"",'All Cases - Enter Cases'!F695,"")</f>
        <v/>
      </c>
      <c r="G695" t="str">
        <f>IF($A695&lt;&gt;"",'All Cases - Enter Cases'!G695,"")</f>
        <v/>
      </c>
      <c r="H695" t="str">
        <f>IF($A695&lt;&gt;"",'All Cases - Enter Cases'!H695,"")</f>
        <v/>
      </c>
      <c r="I695" t="str">
        <f>IF($A695&lt;&gt;"",'All Cases - Enter Cases'!I695,"")</f>
        <v/>
      </c>
      <c r="J695" s="4" t="str">
        <f>IF($A695&lt;&gt;"",'All Cases - Enter Cases'!J695,"")</f>
        <v/>
      </c>
      <c r="K695" s="4" t="str">
        <f>IF($A695&lt;&gt;"",'All Cases - Enter Cases'!K695,"")</f>
        <v/>
      </c>
      <c r="L695" s="4" t="str">
        <f>IF($A695&lt;&gt;"",'All Cases - Enter Cases'!L695,"")</f>
        <v/>
      </c>
      <c r="M695" t="str">
        <f>IF($A695&lt;&gt;"",'All Cases - Enter Cases'!M695,"")</f>
        <v/>
      </c>
    </row>
    <row r="696" spans="1:13" x14ac:dyDescent="0.35">
      <c r="A696" s="4" t="str">
        <f>IF('All Cases - Enter Cases'!$F696="Punjab",'All Cases - Enter Cases'!A696,"")</f>
        <v/>
      </c>
      <c r="B696" t="str">
        <f>IF($A696&lt;&gt;"",'All Cases - Enter Cases'!B696,"")</f>
        <v/>
      </c>
      <c r="C696" t="str">
        <f>IF($A696&lt;&gt;"",'All Cases - Enter Cases'!C696,"")</f>
        <v/>
      </c>
      <c r="D696" t="str">
        <f>IF($A696&lt;&gt;"",'All Cases - Enter Cases'!D696,"")</f>
        <v/>
      </c>
      <c r="E696" t="str">
        <f>IF($A696&lt;&gt;"",'All Cases - Enter Cases'!E696,"")</f>
        <v/>
      </c>
      <c r="F696" t="str">
        <f>IF($A696&lt;&gt;"",'All Cases - Enter Cases'!F696,"")</f>
        <v/>
      </c>
      <c r="G696" t="str">
        <f>IF($A696&lt;&gt;"",'All Cases - Enter Cases'!G696,"")</f>
        <v/>
      </c>
      <c r="H696" t="str">
        <f>IF($A696&lt;&gt;"",'All Cases - Enter Cases'!H696,"")</f>
        <v/>
      </c>
      <c r="I696" t="str">
        <f>IF($A696&lt;&gt;"",'All Cases - Enter Cases'!I696,"")</f>
        <v/>
      </c>
      <c r="J696" s="4" t="str">
        <f>IF($A696&lt;&gt;"",'All Cases - Enter Cases'!J696,"")</f>
        <v/>
      </c>
      <c r="K696" s="4" t="str">
        <f>IF($A696&lt;&gt;"",'All Cases - Enter Cases'!K696,"")</f>
        <v/>
      </c>
      <c r="L696" s="4" t="str">
        <f>IF($A696&lt;&gt;"",'All Cases - Enter Cases'!L696,"")</f>
        <v/>
      </c>
      <c r="M696" t="str">
        <f>IF($A696&lt;&gt;"",'All Cases - Enter Cases'!M696,"")</f>
        <v/>
      </c>
    </row>
    <row r="697" spans="1:13" x14ac:dyDescent="0.35">
      <c r="A697" s="4" t="str">
        <f>IF('All Cases - Enter Cases'!$F697="Punjab",'All Cases - Enter Cases'!A697,"")</f>
        <v/>
      </c>
      <c r="B697" t="str">
        <f>IF($A697&lt;&gt;"",'All Cases - Enter Cases'!B697,"")</f>
        <v/>
      </c>
      <c r="C697" t="str">
        <f>IF($A697&lt;&gt;"",'All Cases - Enter Cases'!C697,"")</f>
        <v/>
      </c>
      <c r="D697" t="str">
        <f>IF($A697&lt;&gt;"",'All Cases - Enter Cases'!D697,"")</f>
        <v/>
      </c>
      <c r="E697" t="str">
        <f>IF($A697&lt;&gt;"",'All Cases - Enter Cases'!E697,"")</f>
        <v/>
      </c>
      <c r="F697" t="str">
        <f>IF($A697&lt;&gt;"",'All Cases - Enter Cases'!F697,"")</f>
        <v/>
      </c>
      <c r="G697" t="str">
        <f>IF($A697&lt;&gt;"",'All Cases - Enter Cases'!G697,"")</f>
        <v/>
      </c>
      <c r="H697" t="str">
        <f>IF($A697&lt;&gt;"",'All Cases - Enter Cases'!H697,"")</f>
        <v/>
      </c>
      <c r="I697" t="str">
        <f>IF($A697&lt;&gt;"",'All Cases - Enter Cases'!I697,"")</f>
        <v/>
      </c>
      <c r="J697" s="4" t="str">
        <f>IF($A697&lt;&gt;"",'All Cases - Enter Cases'!J697,"")</f>
        <v/>
      </c>
      <c r="K697" s="4" t="str">
        <f>IF($A697&lt;&gt;"",'All Cases - Enter Cases'!K697,"")</f>
        <v/>
      </c>
      <c r="L697" s="4" t="str">
        <f>IF($A697&lt;&gt;"",'All Cases - Enter Cases'!L697,"")</f>
        <v/>
      </c>
      <c r="M697" t="str">
        <f>IF($A697&lt;&gt;"",'All Cases - Enter Cases'!M697,"")</f>
        <v/>
      </c>
    </row>
    <row r="698" spans="1:13" x14ac:dyDescent="0.35">
      <c r="A698" s="4" t="str">
        <f>IF('All Cases - Enter Cases'!$F698="Punjab",'All Cases - Enter Cases'!A698,"")</f>
        <v/>
      </c>
      <c r="B698" t="str">
        <f>IF($A698&lt;&gt;"",'All Cases - Enter Cases'!B698,"")</f>
        <v/>
      </c>
      <c r="C698" t="str">
        <f>IF($A698&lt;&gt;"",'All Cases - Enter Cases'!C698,"")</f>
        <v/>
      </c>
      <c r="D698" t="str">
        <f>IF($A698&lt;&gt;"",'All Cases - Enter Cases'!D698,"")</f>
        <v/>
      </c>
      <c r="E698" t="str">
        <f>IF($A698&lt;&gt;"",'All Cases - Enter Cases'!E698,"")</f>
        <v/>
      </c>
      <c r="F698" t="str">
        <f>IF($A698&lt;&gt;"",'All Cases - Enter Cases'!F698,"")</f>
        <v/>
      </c>
      <c r="G698" t="str">
        <f>IF($A698&lt;&gt;"",'All Cases - Enter Cases'!G698,"")</f>
        <v/>
      </c>
      <c r="H698" t="str">
        <f>IF($A698&lt;&gt;"",'All Cases - Enter Cases'!H698,"")</f>
        <v/>
      </c>
      <c r="I698" t="str">
        <f>IF($A698&lt;&gt;"",'All Cases - Enter Cases'!I698,"")</f>
        <v/>
      </c>
      <c r="J698" s="4" t="str">
        <f>IF($A698&lt;&gt;"",'All Cases - Enter Cases'!J698,"")</f>
        <v/>
      </c>
      <c r="K698" s="4" t="str">
        <f>IF($A698&lt;&gt;"",'All Cases - Enter Cases'!K698,"")</f>
        <v/>
      </c>
      <c r="L698" s="4" t="str">
        <f>IF($A698&lt;&gt;"",'All Cases - Enter Cases'!L698,"")</f>
        <v/>
      </c>
      <c r="M698" t="str">
        <f>IF($A698&lt;&gt;"",'All Cases - Enter Cases'!M698,"")</f>
        <v/>
      </c>
    </row>
    <row r="699" spans="1:13" x14ac:dyDescent="0.35">
      <c r="A699" s="4" t="str">
        <f>IF('All Cases - Enter Cases'!$F699="Punjab",'All Cases - Enter Cases'!A699,"")</f>
        <v/>
      </c>
      <c r="B699" t="str">
        <f>IF($A699&lt;&gt;"",'All Cases - Enter Cases'!B699,"")</f>
        <v/>
      </c>
      <c r="C699" t="str">
        <f>IF($A699&lt;&gt;"",'All Cases - Enter Cases'!C699,"")</f>
        <v/>
      </c>
      <c r="D699" t="str">
        <f>IF($A699&lt;&gt;"",'All Cases - Enter Cases'!D699,"")</f>
        <v/>
      </c>
      <c r="E699" t="str">
        <f>IF($A699&lt;&gt;"",'All Cases - Enter Cases'!E699,"")</f>
        <v/>
      </c>
      <c r="F699" t="str">
        <f>IF($A699&lt;&gt;"",'All Cases - Enter Cases'!F699,"")</f>
        <v/>
      </c>
      <c r="G699" t="str">
        <f>IF($A699&lt;&gt;"",'All Cases - Enter Cases'!G699,"")</f>
        <v/>
      </c>
      <c r="H699" t="str">
        <f>IF($A699&lt;&gt;"",'All Cases - Enter Cases'!H699,"")</f>
        <v/>
      </c>
      <c r="I699" t="str">
        <f>IF($A699&lt;&gt;"",'All Cases - Enter Cases'!I699,"")</f>
        <v/>
      </c>
      <c r="J699" s="4" t="str">
        <f>IF($A699&lt;&gt;"",'All Cases - Enter Cases'!J699,"")</f>
        <v/>
      </c>
      <c r="K699" s="4" t="str">
        <f>IF($A699&lt;&gt;"",'All Cases - Enter Cases'!K699,"")</f>
        <v/>
      </c>
      <c r="L699" s="4" t="str">
        <f>IF($A699&lt;&gt;"",'All Cases - Enter Cases'!L699,"")</f>
        <v/>
      </c>
      <c r="M699" t="str">
        <f>IF($A699&lt;&gt;"",'All Cases - Enter Cases'!M699,"")</f>
        <v/>
      </c>
    </row>
    <row r="700" spans="1:13" x14ac:dyDescent="0.35">
      <c r="A700" s="4" t="str">
        <f>IF('All Cases - Enter Cases'!$F700="Punjab",'All Cases - Enter Cases'!A700,"")</f>
        <v/>
      </c>
      <c r="B700" t="str">
        <f>IF($A700&lt;&gt;"",'All Cases - Enter Cases'!B700,"")</f>
        <v/>
      </c>
      <c r="C700" t="str">
        <f>IF($A700&lt;&gt;"",'All Cases - Enter Cases'!C700,"")</f>
        <v/>
      </c>
      <c r="D700" t="str">
        <f>IF($A700&lt;&gt;"",'All Cases - Enter Cases'!D700,"")</f>
        <v/>
      </c>
      <c r="E700" t="str">
        <f>IF($A700&lt;&gt;"",'All Cases - Enter Cases'!E700,"")</f>
        <v/>
      </c>
      <c r="F700" t="str">
        <f>IF($A700&lt;&gt;"",'All Cases - Enter Cases'!F700,"")</f>
        <v/>
      </c>
      <c r="G700" t="str">
        <f>IF($A700&lt;&gt;"",'All Cases - Enter Cases'!G700,"")</f>
        <v/>
      </c>
      <c r="H700" t="str">
        <f>IF($A700&lt;&gt;"",'All Cases - Enter Cases'!H700,"")</f>
        <v/>
      </c>
      <c r="I700" t="str">
        <f>IF($A700&lt;&gt;"",'All Cases - Enter Cases'!I700,"")</f>
        <v/>
      </c>
      <c r="J700" s="4" t="str">
        <f>IF($A700&lt;&gt;"",'All Cases - Enter Cases'!J700,"")</f>
        <v/>
      </c>
      <c r="K700" s="4" t="str">
        <f>IF($A700&lt;&gt;"",'All Cases - Enter Cases'!K700,"")</f>
        <v/>
      </c>
      <c r="L700" s="4" t="str">
        <f>IF($A700&lt;&gt;"",'All Cases - Enter Cases'!L700,"")</f>
        <v/>
      </c>
      <c r="M700" t="str">
        <f>IF($A700&lt;&gt;"",'All Cases - Enter Cases'!M700,"")</f>
        <v/>
      </c>
    </row>
    <row r="701" spans="1:13" x14ac:dyDescent="0.35">
      <c r="A701" s="4" t="str">
        <f>IF('All Cases - Enter Cases'!$F701="Punjab",'All Cases - Enter Cases'!A701,"")</f>
        <v/>
      </c>
      <c r="B701" t="str">
        <f>IF($A701&lt;&gt;"",'All Cases - Enter Cases'!B701,"")</f>
        <v/>
      </c>
      <c r="C701" t="str">
        <f>IF($A701&lt;&gt;"",'All Cases - Enter Cases'!C701,"")</f>
        <v/>
      </c>
      <c r="D701" t="str">
        <f>IF($A701&lt;&gt;"",'All Cases - Enter Cases'!D701,"")</f>
        <v/>
      </c>
      <c r="E701" t="str">
        <f>IF($A701&lt;&gt;"",'All Cases - Enter Cases'!E701,"")</f>
        <v/>
      </c>
      <c r="F701" t="str">
        <f>IF($A701&lt;&gt;"",'All Cases - Enter Cases'!F701,"")</f>
        <v/>
      </c>
      <c r="G701" t="str">
        <f>IF($A701&lt;&gt;"",'All Cases - Enter Cases'!G701,"")</f>
        <v/>
      </c>
      <c r="H701" t="str">
        <f>IF($A701&lt;&gt;"",'All Cases - Enter Cases'!H701,"")</f>
        <v/>
      </c>
      <c r="I701" t="str">
        <f>IF($A701&lt;&gt;"",'All Cases - Enter Cases'!I701,"")</f>
        <v/>
      </c>
      <c r="J701" s="4" t="str">
        <f>IF($A701&lt;&gt;"",'All Cases - Enter Cases'!J701,"")</f>
        <v/>
      </c>
      <c r="K701" s="4" t="str">
        <f>IF($A701&lt;&gt;"",'All Cases - Enter Cases'!K701,"")</f>
        <v/>
      </c>
      <c r="L701" s="4" t="str">
        <f>IF($A701&lt;&gt;"",'All Cases - Enter Cases'!L701,"")</f>
        <v/>
      </c>
      <c r="M701" t="str">
        <f>IF($A701&lt;&gt;"",'All Cases - Enter Cases'!M701,"")</f>
        <v/>
      </c>
    </row>
    <row r="702" spans="1:13" x14ac:dyDescent="0.35">
      <c r="A702" s="4" t="str">
        <f>IF('All Cases - Enter Cases'!$F702="Punjab",'All Cases - Enter Cases'!A702,"")</f>
        <v/>
      </c>
      <c r="B702" t="str">
        <f>IF($A702&lt;&gt;"",'All Cases - Enter Cases'!B702,"")</f>
        <v/>
      </c>
      <c r="C702" t="str">
        <f>IF($A702&lt;&gt;"",'All Cases - Enter Cases'!C702,"")</f>
        <v/>
      </c>
      <c r="D702" t="str">
        <f>IF($A702&lt;&gt;"",'All Cases - Enter Cases'!D702,"")</f>
        <v/>
      </c>
      <c r="E702" t="str">
        <f>IF($A702&lt;&gt;"",'All Cases - Enter Cases'!E702,"")</f>
        <v/>
      </c>
      <c r="F702" t="str">
        <f>IF($A702&lt;&gt;"",'All Cases - Enter Cases'!F702,"")</f>
        <v/>
      </c>
      <c r="G702" t="str">
        <f>IF($A702&lt;&gt;"",'All Cases - Enter Cases'!G702,"")</f>
        <v/>
      </c>
      <c r="H702" t="str">
        <f>IF($A702&lt;&gt;"",'All Cases - Enter Cases'!H702,"")</f>
        <v/>
      </c>
      <c r="I702" t="str">
        <f>IF($A702&lt;&gt;"",'All Cases - Enter Cases'!I702,"")</f>
        <v/>
      </c>
      <c r="J702" s="4" t="str">
        <f>IF($A702&lt;&gt;"",'All Cases - Enter Cases'!J702,"")</f>
        <v/>
      </c>
      <c r="K702" s="4" t="str">
        <f>IF($A702&lt;&gt;"",'All Cases - Enter Cases'!K702,"")</f>
        <v/>
      </c>
      <c r="L702" s="4" t="str">
        <f>IF($A702&lt;&gt;"",'All Cases - Enter Cases'!L702,"")</f>
        <v/>
      </c>
      <c r="M702" t="str">
        <f>IF($A702&lt;&gt;"",'All Cases - Enter Cases'!M702,"")</f>
        <v/>
      </c>
    </row>
    <row r="703" spans="1:13" x14ac:dyDescent="0.35">
      <c r="A703" s="4" t="str">
        <f>IF('All Cases - Enter Cases'!$F703="Punjab",'All Cases - Enter Cases'!A703,"")</f>
        <v/>
      </c>
      <c r="B703" t="str">
        <f>IF($A703&lt;&gt;"",'All Cases - Enter Cases'!B703,"")</f>
        <v/>
      </c>
      <c r="C703" t="str">
        <f>IF($A703&lt;&gt;"",'All Cases - Enter Cases'!C703,"")</f>
        <v/>
      </c>
      <c r="D703" t="str">
        <f>IF($A703&lt;&gt;"",'All Cases - Enter Cases'!D703,"")</f>
        <v/>
      </c>
      <c r="E703" t="str">
        <f>IF($A703&lt;&gt;"",'All Cases - Enter Cases'!E703,"")</f>
        <v/>
      </c>
      <c r="F703" t="str">
        <f>IF($A703&lt;&gt;"",'All Cases - Enter Cases'!F703,"")</f>
        <v/>
      </c>
      <c r="G703" t="str">
        <f>IF($A703&lt;&gt;"",'All Cases - Enter Cases'!G703,"")</f>
        <v/>
      </c>
      <c r="H703" t="str">
        <f>IF($A703&lt;&gt;"",'All Cases - Enter Cases'!H703,"")</f>
        <v/>
      </c>
      <c r="I703" t="str">
        <f>IF($A703&lt;&gt;"",'All Cases - Enter Cases'!I703,"")</f>
        <v/>
      </c>
      <c r="J703" s="4" t="str">
        <f>IF($A703&lt;&gt;"",'All Cases - Enter Cases'!J703,"")</f>
        <v/>
      </c>
      <c r="K703" s="4" t="str">
        <f>IF($A703&lt;&gt;"",'All Cases - Enter Cases'!K703,"")</f>
        <v/>
      </c>
      <c r="L703" s="4" t="str">
        <f>IF($A703&lt;&gt;"",'All Cases - Enter Cases'!L703,"")</f>
        <v/>
      </c>
      <c r="M703" t="str">
        <f>IF($A703&lt;&gt;"",'All Cases - Enter Cases'!M703,"")</f>
        <v/>
      </c>
    </row>
    <row r="704" spans="1:13" x14ac:dyDescent="0.35">
      <c r="A704" s="4" t="str">
        <f>IF('All Cases - Enter Cases'!$F704="Punjab",'All Cases - Enter Cases'!A704,"")</f>
        <v/>
      </c>
      <c r="B704" t="str">
        <f>IF($A704&lt;&gt;"",'All Cases - Enter Cases'!B704,"")</f>
        <v/>
      </c>
      <c r="C704" t="str">
        <f>IF($A704&lt;&gt;"",'All Cases - Enter Cases'!C704,"")</f>
        <v/>
      </c>
      <c r="D704" t="str">
        <f>IF($A704&lt;&gt;"",'All Cases - Enter Cases'!D704,"")</f>
        <v/>
      </c>
      <c r="E704" t="str">
        <f>IF($A704&lt;&gt;"",'All Cases - Enter Cases'!E704,"")</f>
        <v/>
      </c>
      <c r="F704" t="str">
        <f>IF($A704&lt;&gt;"",'All Cases - Enter Cases'!F704,"")</f>
        <v/>
      </c>
      <c r="G704" t="str">
        <f>IF($A704&lt;&gt;"",'All Cases - Enter Cases'!G704,"")</f>
        <v/>
      </c>
      <c r="H704" t="str">
        <f>IF($A704&lt;&gt;"",'All Cases - Enter Cases'!H704,"")</f>
        <v/>
      </c>
      <c r="I704" t="str">
        <f>IF($A704&lt;&gt;"",'All Cases - Enter Cases'!I704,"")</f>
        <v/>
      </c>
      <c r="J704" s="4" t="str">
        <f>IF($A704&lt;&gt;"",'All Cases - Enter Cases'!J704,"")</f>
        <v/>
      </c>
      <c r="K704" s="4" t="str">
        <f>IF($A704&lt;&gt;"",'All Cases - Enter Cases'!K704,"")</f>
        <v/>
      </c>
      <c r="L704" s="4" t="str">
        <f>IF($A704&lt;&gt;"",'All Cases - Enter Cases'!L704,"")</f>
        <v/>
      </c>
      <c r="M704" t="str">
        <f>IF($A704&lt;&gt;"",'All Cases - Enter Cases'!M704,"")</f>
        <v/>
      </c>
    </row>
    <row r="705" spans="1:13" x14ac:dyDescent="0.35">
      <c r="A705" s="4" t="str">
        <f>IF('All Cases - Enter Cases'!$F705="Punjab",'All Cases - Enter Cases'!A705,"")</f>
        <v/>
      </c>
      <c r="B705" t="str">
        <f>IF($A705&lt;&gt;"",'All Cases - Enter Cases'!B705,"")</f>
        <v/>
      </c>
      <c r="C705" t="str">
        <f>IF($A705&lt;&gt;"",'All Cases - Enter Cases'!C705,"")</f>
        <v/>
      </c>
      <c r="D705" t="str">
        <f>IF($A705&lt;&gt;"",'All Cases - Enter Cases'!D705,"")</f>
        <v/>
      </c>
      <c r="E705" t="str">
        <f>IF($A705&lt;&gt;"",'All Cases - Enter Cases'!E705,"")</f>
        <v/>
      </c>
      <c r="F705" t="str">
        <f>IF($A705&lt;&gt;"",'All Cases - Enter Cases'!F705,"")</f>
        <v/>
      </c>
      <c r="G705" t="str">
        <f>IF($A705&lt;&gt;"",'All Cases - Enter Cases'!G705,"")</f>
        <v/>
      </c>
      <c r="H705" t="str">
        <f>IF($A705&lt;&gt;"",'All Cases - Enter Cases'!H705,"")</f>
        <v/>
      </c>
      <c r="I705" t="str">
        <f>IF($A705&lt;&gt;"",'All Cases - Enter Cases'!I705,"")</f>
        <v/>
      </c>
      <c r="J705" s="4" t="str">
        <f>IF($A705&lt;&gt;"",'All Cases - Enter Cases'!J705,"")</f>
        <v/>
      </c>
      <c r="K705" s="4" t="str">
        <f>IF($A705&lt;&gt;"",'All Cases - Enter Cases'!K705,"")</f>
        <v/>
      </c>
      <c r="L705" s="4" t="str">
        <f>IF($A705&lt;&gt;"",'All Cases - Enter Cases'!L705,"")</f>
        <v/>
      </c>
      <c r="M705" t="str">
        <f>IF($A705&lt;&gt;"",'All Cases - Enter Cases'!M705,"")</f>
        <v/>
      </c>
    </row>
    <row r="706" spans="1:13" x14ac:dyDescent="0.35">
      <c r="A706" s="4" t="str">
        <f>IF('All Cases - Enter Cases'!$F706="Punjab",'All Cases - Enter Cases'!A706,"")</f>
        <v/>
      </c>
      <c r="B706" t="str">
        <f>IF($A706&lt;&gt;"",'All Cases - Enter Cases'!B706,"")</f>
        <v/>
      </c>
      <c r="C706" t="str">
        <f>IF($A706&lt;&gt;"",'All Cases - Enter Cases'!C706,"")</f>
        <v/>
      </c>
      <c r="D706" t="str">
        <f>IF($A706&lt;&gt;"",'All Cases - Enter Cases'!D706,"")</f>
        <v/>
      </c>
      <c r="E706" t="str">
        <f>IF($A706&lt;&gt;"",'All Cases - Enter Cases'!E706,"")</f>
        <v/>
      </c>
      <c r="F706" t="str">
        <f>IF($A706&lt;&gt;"",'All Cases - Enter Cases'!F706,"")</f>
        <v/>
      </c>
      <c r="G706" t="str">
        <f>IF($A706&lt;&gt;"",'All Cases - Enter Cases'!G706,"")</f>
        <v/>
      </c>
      <c r="H706" t="str">
        <f>IF($A706&lt;&gt;"",'All Cases - Enter Cases'!H706,"")</f>
        <v/>
      </c>
      <c r="I706" t="str">
        <f>IF($A706&lt;&gt;"",'All Cases - Enter Cases'!I706,"")</f>
        <v/>
      </c>
      <c r="J706" s="4" t="str">
        <f>IF($A706&lt;&gt;"",'All Cases - Enter Cases'!J706,"")</f>
        <v/>
      </c>
      <c r="K706" s="4" t="str">
        <f>IF($A706&lt;&gt;"",'All Cases - Enter Cases'!K706,"")</f>
        <v/>
      </c>
      <c r="L706" s="4" t="str">
        <f>IF($A706&lt;&gt;"",'All Cases - Enter Cases'!L706,"")</f>
        <v/>
      </c>
      <c r="M706" t="str">
        <f>IF($A706&lt;&gt;"",'All Cases - Enter Cases'!M706,"")</f>
        <v/>
      </c>
    </row>
    <row r="707" spans="1:13" x14ac:dyDescent="0.35">
      <c r="A707" s="4" t="str">
        <f>IF('All Cases - Enter Cases'!$F707="Punjab",'All Cases - Enter Cases'!A707,"")</f>
        <v/>
      </c>
      <c r="B707" t="str">
        <f>IF($A707&lt;&gt;"",'All Cases - Enter Cases'!B707,"")</f>
        <v/>
      </c>
      <c r="C707" t="str">
        <f>IF($A707&lt;&gt;"",'All Cases - Enter Cases'!C707,"")</f>
        <v/>
      </c>
      <c r="D707" t="str">
        <f>IF($A707&lt;&gt;"",'All Cases - Enter Cases'!D707,"")</f>
        <v/>
      </c>
      <c r="E707" t="str">
        <f>IF($A707&lt;&gt;"",'All Cases - Enter Cases'!E707,"")</f>
        <v/>
      </c>
      <c r="F707" t="str">
        <f>IF($A707&lt;&gt;"",'All Cases - Enter Cases'!F707,"")</f>
        <v/>
      </c>
      <c r="G707" t="str">
        <f>IF($A707&lt;&gt;"",'All Cases - Enter Cases'!G707,"")</f>
        <v/>
      </c>
      <c r="H707" t="str">
        <f>IF($A707&lt;&gt;"",'All Cases - Enter Cases'!H707,"")</f>
        <v/>
      </c>
      <c r="I707" t="str">
        <f>IF($A707&lt;&gt;"",'All Cases - Enter Cases'!I707,"")</f>
        <v/>
      </c>
      <c r="J707" s="4" t="str">
        <f>IF($A707&lt;&gt;"",'All Cases - Enter Cases'!J707,"")</f>
        <v/>
      </c>
      <c r="K707" s="4" t="str">
        <f>IF($A707&lt;&gt;"",'All Cases - Enter Cases'!K707,"")</f>
        <v/>
      </c>
      <c r="L707" s="4" t="str">
        <f>IF($A707&lt;&gt;"",'All Cases - Enter Cases'!L707,"")</f>
        <v/>
      </c>
      <c r="M707" t="str">
        <f>IF($A707&lt;&gt;"",'All Cases - Enter Cases'!M707,"")</f>
        <v/>
      </c>
    </row>
    <row r="708" spans="1:13" x14ac:dyDescent="0.35">
      <c r="A708" s="4" t="str">
        <f>IF('All Cases - Enter Cases'!$F708="Punjab",'All Cases - Enter Cases'!A708,"")</f>
        <v/>
      </c>
      <c r="B708" t="str">
        <f>IF($A708&lt;&gt;"",'All Cases - Enter Cases'!B708,"")</f>
        <v/>
      </c>
      <c r="C708" t="str">
        <f>IF($A708&lt;&gt;"",'All Cases - Enter Cases'!C708,"")</f>
        <v/>
      </c>
      <c r="D708" t="str">
        <f>IF($A708&lt;&gt;"",'All Cases - Enter Cases'!D708,"")</f>
        <v/>
      </c>
      <c r="E708" t="str">
        <f>IF($A708&lt;&gt;"",'All Cases - Enter Cases'!E708,"")</f>
        <v/>
      </c>
      <c r="F708" t="str">
        <f>IF($A708&lt;&gt;"",'All Cases - Enter Cases'!F708,"")</f>
        <v/>
      </c>
      <c r="G708" t="str">
        <f>IF($A708&lt;&gt;"",'All Cases - Enter Cases'!G708,"")</f>
        <v/>
      </c>
      <c r="H708" t="str">
        <f>IF($A708&lt;&gt;"",'All Cases - Enter Cases'!H708,"")</f>
        <v/>
      </c>
      <c r="I708" t="str">
        <f>IF($A708&lt;&gt;"",'All Cases - Enter Cases'!I708,"")</f>
        <v/>
      </c>
      <c r="J708" s="4" t="str">
        <f>IF($A708&lt;&gt;"",'All Cases - Enter Cases'!J708,"")</f>
        <v/>
      </c>
      <c r="K708" s="4" t="str">
        <f>IF($A708&lt;&gt;"",'All Cases - Enter Cases'!K708,"")</f>
        <v/>
      </c>
      <c r="L708" s="4" t="str">
        <f>IF($A708&lt;&gt;"",'All Cases - Enter Cases'!L708,"")</f>
        <v/>
      </c>
      <c r="M708" t="str">
        <f>IF($A708&lt;&gt;"",'All Cases - Enter Cases'!M708,"")</f>
        <v/>
      </c>
    </row>
    <row r="709" spans="1:13" x14ac:dyDescent="0.35">
      <c r="A709" s="4" t="str">
        <f>IF('All Cases - Enter Cases'!$F709="Punjab",'All Cases - Enter Cases'!A709,"")</f>
        <v/>
      </c>
      <c r="B709" t="str">
        <f>IF($A709&lt;&gt;"",'All Cases - Enter Cases'!B709,"")</f>
        <v/>
      </c>
      <c r="C709" t="str">
        <f>IF($A709&lt;&gt;"",'All Cases - Enter Cases'!C709,"")</f>
        <v/>
      </c>
      <c r="D709" t="str">
        <f>IF($A709&lt;&gt;"",'All Cases - Enter Cases'!D709,"")</f>
        <v/>
      </c>
      <c r="E709" t="str">
        <f>IF($A709&lt;&gt;"",'All Cases - Enter Cases'!E709,"")</f>
        <v/>
      </c>
      <c r="F709" t="str">
        <f>IF($A709&lt;&gt;"",'All Cases - Enter Cases'!F709,"")</f>
        <v/>
      </c>
      <c r="G709" t="str">
        <f>IF($A709&lt;&gt;"",'All Cases - Enter Cases'!G709,"")</f>
        <v/>
      </c>
      <c r="H709" t="str">
        <f>IF($A709&lt;&gt;"",'All Cases - Enter Cases'!H709,"")</f>
        <v/>
      </c>
      <c r="I709" t="str">
        <f>IF($A709&lt;&gt;"",'All Cases - Enter Cases'!I709,"")</f>
        <v/>
      </c>
      <c r="J709" s="4" t="str">
        <f>IF($A709&lt;&gt;"",'All Cases - Enter Cases'!J709,"")</f>
        <v/>
      </c>
      <c r="K709" s="4" t="str">
        <f>IF($A709&lt;&gt;"",'All Cases - Enter Cases'!K709,"")</f>
        <v/>
      </c>
      <c r="L709" s="4" t="str">
        <f>IF($A709&lt;&gt;"",'All Cases - Enter Cases'!L709,"")</f>
        <v/>
      </c>
      <c r="M709" t="str">
        <f>IF($A709&lt;&gt;"",'All Cases - Enter Cases'!M709,"")</f>
        <v/>
      </c>
    </row>
    <row r="710" spans="1:13" x14ac:dyDescent="0.35">
      <c r="A710" s="4" t="str">
        <f>IF('All Cases - Enter Cases'!$F710="Punjab",'All Cases - Enter Cases'!A710,"")</f>
        <v/>
      </c>
      <c r="B710" t="str">
        <f>IF($A710&lt;&gt;"",'All Cases - Enter Cases'!B710,"")</f>
        <v/>
      </c>
      <c r="C710" t="str">
        <f>IF($A710&lt;&gt;"",'All Cases - Enter Cases'!C710,"")</f>
        <v/>
      </c>
      <c r="D710" t="str">
        <f>IF($A710&lt;&gt;"",'All Cases - Enter Cases'!D710,"")</f>
        <v/>
      </c>
      <c r="E710" t="str">
        <f>IF($A710&lt;&gt;"",'All Cases - Enter Cases'!E710,"")</f>
        <v/>
      </c>
      <c r="F710" t="str">
        <f>IF($A710&lt;&gt;"",'All Cases - Enter Cases'!F710,"")</f>
        <v/>
      </c>
      <c r="G710" t="str">
        <f>IF($A710&lt;&gt;"",'All Cases - Enter Cases'!G710,"")</f>
        <v/>
      </c>
      <c r="H710" t="str">
        <f>IF($A710&lt;&gt;"",'All Cases - Enter Cases'!H710,"")</f>
        <v/>
      </c>
      <c r="I710" t="str">
        <f>IF($A710&lt;&gt;"",'All Cases - Enter Cases'!I710,"")</f>
        <v/>
      </c>
      <c r="J710" s="4" t="str">
        <f>IF($A710&lt;&gt;"",'All Cases - Enter Cases'!J710,"")</f>
        <v/>
      </c>
      <c r="K710" s="4" t="str">
        <f>IF($A710&lt;&gt;"",'All Cases - Enter Cases'!K710,"")</f>
        <v/>
      </c>
      <c r="L710" s="4" t="str">
        <f>IF($A710&lt;&gt;"",'All Cases - Enter Cases'!L710,"")</f>
        <v/>
      </c>
      <c r="M710" t="str">
        <f>IF($A710&lt;&gt;"",'All Cases - Enter Cases'!M710,"")</f>
        <v/>
      </c>
    </row>
    <row r="711" spans="1:13" x14ac:dyDescent="0.35">
      <c r="A711" s="4" t="str">
        <f>IF('All Cases - Enter Cases'!$F711="Punjab",'All Cases - Enter Cases'!A711,"")</f>
        <v/>
      </c>
      <c r="B711" t="str">
        <f>IF($A711&lt;&gt;"",'All Cases - Enter Cases'!B711,"")</f>
        <v/>
      </c>
      <c r="C711" t="str">
        <f>IF($A711&lt;&gt;"",'All Cases - Enter Cases'!C711,"")</f>
        <v/>
      </c>
      <c r="D711" t="str">
        <f>IF($A711&lt;&gt;"",'All Cases - Enter Cases'!D711,"")</f>
        <v/>
      </c>
      <c r="E711" t="str">
        <f>IF($A711&lt;&gt;"",'All Cases - Enter Cases'!E711,"")</f>
        <v/>
      </c>
      <c r="F711" t="str">
        <f>IF($A711&lt;&gt;"",'All Cases - Enter Cases'!F711,"")</f>
        <v/>
      </c>
      <c r="G711" t="str">
        <f>IF($A711&lt;&gt;"",'All Cases - Enter Cases'!G711,"")</f>
        <v/>
      </c>
      <c r="H711" t="str">
        <f>IF($A711&lt;&gt;"",'All Cases - Enter Cases'!H711,"")</f>
        <v/>
      </c>
      <c r="I711" t="str">
        <f>IF($A711&lt;&gt;"",'All Cases - Enter Cases'!I711,"")</f>
        <v/>
      </c>
      <c r="J711" s="4" t="str">
        <f>IF($A711&lt;&gt;"",'All Cases - Enter Cases'!J711,"")</f>
        <v/>
      </c>
      <c r="K711" s="4" t="str">
        <f>IF($A711&lt;&gt;"",'All Cases - Enter Cases'!K711,"")</f>
        <v/>
      </c>
      <c r="L711" s="4" t="str">
        <f>IF($A711&lt;&gt;"",'All Cases - Enter Cases'!L711,"")</f>
        <v/>
      </c>
      <c r="M711" t="str">
        <f>IF($A711&lt;&gt;"",'All Cases - Enter Cases'!M711,"")</f>
        <v/>
      </c>
    </row>
    <row r="712" spans="1:13" x14ac:dyDescent="0.35">
      <c r="A712" s="4" t="str">
        <f>IF('All Cases - Enter Cases'!$F712="Punjab",'All Cases - Enter Cases'!A712,"")</f>
        <v/>
      </c>
      <c r="B712" t="str">
        <f>IF($A712&lt;&gt;"",'All Cases - Enter Cases'!B712,"")</f>
        <v/>
      </c>
      <c r="C712" t="str">
        <f>IF($A712&lt;&gt;"",'All Cases - Enter Cases'!C712,"")</f>
        <v/>
      </c>
      <c r="D712" t="str">
        <f>IF($A712&lt;&gt;"",'All Cases - Enter Cases'!D712,"")</f>
        <v/>
      </c>
      <c r="E712" t="str">
        <f>IF($A712&lt;&gt;"",'All Cases - Enter Cases'!E712,"")</f>
        <v/>
      </c>
      <c r="F712" t="str">
        <f>IF($A712&lt;&gt;"",'All Cases - Enter Cases'!F712,"")</f>
        <v/>
      </c>
      <c r="G712" t="str">
        <f>IF($A712&lt;&gt;"",'All Cases - Enter Cases'!G712,"")</f>
        <v/>
      </c>
      <c r="H712" t="str">
        <f>IF($A712&lt;&gt;"",'All Cases - Enter Cases'!H712,"")</f>
        <v/>
      </c>
      <c r="I712" t="str">
        <f>IF($A712&lt;&gt;"",'All Cases - Enter Cases'!I712,"")</f>
        <v/>
      </c>
      <c r="J712" s="4" t="str">
        <f>IF($A712&lt;&gt;"",'All Cases - Enter Cases'!J712,"")</f>
        <v/>
      </c>
      <c r="K712" s="4" t="str">
        <f>IF($A712&lt;&gt;"",'All Cases - Enter Cases'!K712,"")</f>
        <v/>
      </c>
      <c r="L712" s="4" t="str">
        <f>IF($A712&lt;&gt;"",'All Cases - Enter Cases'!L712,"")</f>
        <v/>
      </c>
      <c r="M712" t="str">
        <f>IF($A712&lt;&gt;"",'All Cases - Enter Cases'!M712,"")</f>
        <v/>
      </c>
    </row>
    <row r="713" spans="1:13" x14ac:dyDescent="0.35">
      <c r="A713" s="4" t="str">
        <f>IF('All Cases - Enter Cases'!$F713="Punjab",'All Cases - Enter Cases'!A713,"")</f>
        <v/>
      </c>
      <c r="B713" t="str">
        <f>IF($A713&lt;&gt;"",'All Cases - Enter Cases'!B713,"")</f>
        <v/>
      </c>
      <c r="C713" t="str">
        <f>IF($A713&lt;&gt;"",'All Cases - Enter Cases'!C713,"")</f>
        <v/>
      </c>
      <c r="D713" t="str">
        <f>IF($A713&lt;&gt;"",'All Cases - Enter Cases'!D713,"")</f>
        <v/>
      </c>
      <c r="E713" t="str">
        <f>IF($A713&lt;&gt;"",'All Cases - Enter Cases'!E713,"")</f>
        <v/>
      </c>
      <c r="F713" t="str">
        <f>IF($A713&lt;&gt;"",'All Cases - Enter Cases'!F713,"")</f>
        <v/>
      </c>
      <c r="G713" t="str">
        <f>IF($A713&lt;&gt;"",'All Cases - Enter Cases'!G713,"")</f>
        <v/>
      </c>
      <c r="H713" t="str">
        <f>IF($A713&lt;&gt;"",'All Cases - Enter Cases'!H713,"")</f>
        <v/>
      </c>
      <c r="I713" t="str">
        <f>IF($A713&lt;&gt;"",'All Cases - Enter Cases'!I713,"")</f>
        <v/>
      </c>
      <c r="J713" s="4" t="str">
        <f>IF($A713&lt;&gt;"",'All Cases - Enter Cases'!J713,"")</f>
        <v/>
      </c>
      <c r="K713" s="4" t="str">
        <f>IF($A713&lt;&gt;"",'All Cases - Enter Cases'!K713,"")</f>
        <v/>
      </c>
      <c r="L713" s="4" t="str">
        <f>IF($A713&lt;&gt;"",'All Cases - Enter Cases'!L713,"")</f>
        <v/>
      </c>
      <c r="M713" t="str">
        <f>IF($A713&lt;&gt;"",'All Cases - Enter Cases'!M713,"")</f>
        <v/>
      </c>
    </row>
    <row r="714" spans="1:13" x14ac:dyDescent="0.35">
      <c r="A714" s="4" t="str">
        <f>IF('All Cases - Enter Cases'!$F714="Punjab",'All Cases - Enter Cases'!A714,"")</f>
        <v/>
      </c>
      <c r="B714" t="str">
        <f>IF($A714&lt;&gt;"",'All Cases - Enter Cases'!B714,"")</f>
        <v/>
      </c>
      <c r="C714" t="str">
        <f>IF($A714&lt;&gt;"",'All Cases - Enter Cases'!C714,"")</f>
        <v/>
      </c>
      <c r="D714" t="str">
        <f>IF($A714&lt;&gt;"",'All Cases - Enter Cases'!D714,"")</f>
        <v/>
      </c>
      <c r="E714" t="str">
        <f>IF($A714&lt;&gt;"",'All Cases - Enter Cases'!E714,"")</f>
        <v/>
      </c>
      <c r="F714" t="str">
        <f>IF($A714&lt;&gt;"",'All Cases - Enter Cases'!F714,"")</f>
        <v/>
      </c>
      <c r="G714" t="str">
        <f>IF($A714&lt;&gt;"",'All Cases - Enter Cases'!G714,"")</f>
        <v/>
      </c>
      <c r="H714" t="str">
        <f>IF($A714&lt;&gt;"",'All Cases - Enter Cases'!H714,"")</f>
        <v/>
      </c>
      <c r="I714" t="str">
        <f>IF($A714&lt;&gt;"",'All Cases - Enter Cases'!I714,"")</f>
        <v/>
      </c>
      <c r="J714" s="4" t="str">
        <f>IF($A714&lt;&gt;"",'All Cases - Enter Cases'!J714,"")</f>
        <v/>
      </c>
      <c r="K714" s="4" t="str">
        <f>IF($A714&lt;&gt;"",'All Cases - Enter Cases'!K714,"")</f>
        <v/>
      </c>
      <c r="L714" s="4" t="str">
        <f>IF($A714&lt;&gt;"",'All Cases - Enter Cases'!L714,"")</f>
        <v/>
      </c>
      <c r="M714" t="str">
        <f>IF($A714&lt;&gt;"",'All Cases - Enter Cases'!M714,"")</f>
        <v/>
      </c>
    </row>
    <row r="715" spans="1:13" x14ac:dyDescent="0.35">
      <c r="A715" s="4" t="str">
        <f>IF('All Cases - Enter Cases'!$F715="Punjab",'All Cases - Enter Cases'!A715,"")</f>
        <v/>
      </c>
      <c r="B715" t="str">
        <f>IF($A715&lt;&gt;"",'All Cases - Enter Cases'!B715,"")</f>
        <v/>
      </c>
      <c r="C715" t="str">
        <f>IF($A715&lt;&gt;"",'All Cases - Enter Cases'!C715,"")</f>
        <v/>
      </c>
      <c r="D715" t="str">
        <f>IF($A715&lt;&gt;"",'All Cases - Enter Cases'!D715,"")</f>
        <v/>
      </c>
      <c r="E715" t="str">
        <f>IF($A715&lt;&gt;"",'All Cases - Enter Cases'!E715,"")</f>
        <v/>
      </c>
      <c r="F715" t="str">
        <f>IF($A715&lt;&gt;"",'All Cases - Enter Cases'!F715,"")</f>
        <v/>
      </c>
      <c r="G715" t="str">
        <f>IF($A715&lt;&gt;"",'All Cases - Enter Cases'!G715,"")</f>
        <v/>
      </c>
      <c r="H715" t="str">
        <f>IF($A715&lt;&gt;"",'All Cases - Enter Cases'!H715,"")</f>
        <v/>
      </c>
      <c r="I715" t="str">
        <f>IF($A715&lt;&gt;"",'All Cases - Enter Cases'!I715,"")</f>
        <v/>
      </c>
      <c r="J715" s="4" t="str">
        <f>IF($A715&lt;&gt;"",'All Cases - Enter Cases'!J715,"")</f>
        <v/>
      </c>
      <c r="K715" s="4" t="str">
        <f>IF($A715&lt;&gt;"",'All Cases - Enter Cases'!K715,"")</f>
        <v/>
      </c>
      <c r="L715" s="4" t="str">
        <f>IF($A715&lt;&gt;"",'All Cases - Enter Cases'!L715,"")</f>
        <v/>
      </c>
      <c r="M715" t="str">
        <f>IF($A715&lt;&gt;"",'All Cases - Enter Cases'!M715,"")</f>
        <v/>
      </c>
    </row>
    <row r="716" spans="1:13" x14ac:dyDescent="0.35">
      <c r="A716" s="4" t="str">
        <f>IF('All Cases - Enter Cases'!$F716="Punjab",'All Cases - Enter Cases'!A716,"")</f>
        <v/>
      </c>
      <c r="B716" t="str">
        <f>IF($A716&lt;&gt;"",'All Cases - Enter Cases'!B716,"")</f>
        <v/>
      </c>
      <c r="C716" t="str">
        <f>IF($A716&lt;&gt;"",'All Cases - Enter Cases'!C716,"")</f>
        <v/>
      </c>
      <c r="D716" t="str">
        <f>IF($A716&lt;&gt;"",'All Cases - Enter Cases'!D716,"")</f>
        <v/>
      </c>
      <c r="E716" t="str">
        <f>IF($A716&lt;&gt;"",'All Cases - Enter Cases'!E716,"")</f>
        <v/>
      </c>
      <c r="F716" t="str">
        <f>IF($A716&lt;&gt;"",'All Cases - Enter Cases'!F716,"")</f>
        <v/>
      </c>
      <c r="G716" t="str">
        <f>IF($A716&lt;&gt;"",'All Cases - Enter Cases'!G716,"")</f>
        <v/>
      </c>
      <c r="H716" t="str">
        <f>IF($A716&lt;&gt;"",'All Cases - Enter Cases'!H716,"")</f>
        <v/>
      </c>
      <c r="I716" t="str">
        <f>IF($A716&lt;&gt;"",'All Cases - Enter Cases'!I716,"")</f>
        <v/>
      </c>
      <c r="J716" s="4" t="str">
        <f>IF($A716&lt;&gt;"",'All Cases - Enter Cases'!J716,"")</f>
        <v/>
      </c>
      <c r="K716" s="4" t="str">
        <f>IF($A716&lt;&gt;"",'All Cases - Enter Cases'!K716,"")</f>
        <v/>
      </c>
      <c r="L716" s="4" t="str">
        <f>IF($A716&lt;&gt;"",'All Cases - Enter Cases'!L716,"")</f>
        <v/>
      </c>
      <c r="M716" t="str">
        <f>IF($A716&lt;&gt;"",'All Cases - Enter Cases'!M716,"")</f>
        <v/>
      </c>
    </row>
    <row r="717" spans="1:13" x14ac:dyDescent="0.35">
      <c r="A717" s="4" t="str">
        <f>IF('All Cases - Enter Cases'!$F717="Punjab",'All Cases - Enter Cases'!A717,"")</f>
        <v/>
      </c>
      <c r="B717" t="str">
        <f>IF($A717&lt;&gt;"",'All Cases - Enter Cases'!B717,"")</f>
        <v/>
      </c>
      <c r="C717" t="str">
        <f>IF($A717&lt;&gt;"",'All Cases - Enter Cases'!C717,"")</f>
        <v/>
      </c>
      <c r="D717" t="str">
        <f>IF($A717&lt;&gt;"",'All Cases - Enter Cases'!D717,"")</f>
        <v/>
      </c>
      <c r="E717" t="str">
        <f>IF($A717&lt;&gt;"",'All Cases - Enter Cases'!E717,"")</f>
        <v/>
      </c>
      <c r="F717" t="str">
        <f>IF($A717&lt;&gt;"",'All Cases - Enter Cases'!F717,"")</f>
        <v/>
      </c>
      <c r="G717" t="str">
        <f>IF($A717&lt;&gt;"",'All Cases - Enter Cases'!G717,"")</f>
        <v/>
      </c>
      <c r="H717" t="str">
        <f>IF($A717&lt;&gt;"",'All Cases - Enter Cases'!H717,"")</f>
        <v/>
      </c>
      <c r="I717" t="str">
        <f>IF($A717&lt;&gt;"",'All Cases - Enter Cases'!I717,"")</f>
        <v/>
      </c>
      <c r="J717" s="4" t="str">
        <f>IF($A717&lt;&gt;"",'All Cases - Enter Cases'!J717,"")</f>
        <v/>
      </c>
      <c r="K717" s="4" t="str">
        <f>IF($A717&lt;&gt;"",'All Cases - Enter Cases'!K717,"")</f>
        <v/>
      </c>
      <c r="L717" s="4" t="str">
        <f>IF($A717&lt;&gt;"",'All Cases - Enter Cases'!L717,"")</f>
        <v/>
      </c>
      <c r="M717" t="str">
        <f>IF($A717&lt;&gt;"",'All Cases - Enter Cases'!M717,"")</f>
        <v/>
      </c>
    </row>
    <row r="718" spans="1:13" x14ac:dyDescent="0.35">
      <c r="A718" s="4" t="str">
        <f>IF('All Cases - Enter Cases'!$F718="Punjab",'All Cases - Enter Cases'!A718,"")</f>
        <v/>
      </c>
      <c r="B718" t="str">
        <f>IF($A718&lt;&gt;"",'All Cases - Enter Cases'!B718,"")</f>
        <v/>
      </c>
      <c r="C718" t="str">
        <f>IF($A718&lt;&gt;"",'All Cases - Enter Cases'!C718,"")</f>
        <v/>
      </c>
      <c r="D718" t="str">
        <f>IF($A718&lt;&gt;"",'All Cases - Enter Cases'!D718,"")</f>
        <v/>
      </c>
      <c r="E718" t="str">
        <f>IF($A718&lt;&gt;"",'All Cases - Enter Cases'!E718,"")</f>
        <v/>
      </c>
      <c r="F718" t="str">
        <f>IF($A718&lt;&gt;"",'All Cases - Enter Cases'!F718,"")</f>
        <v/>
      </c>
      <c r="G718" t="str">
        <f>IF($A718&lt;&gt;"",'All Cases - Enter Cases'!G718,"")</f>
        <v/>
      </c>
      <c r="H718" t="str">
        <f>IF($A718&lt;&gt;"",'All Cases - Enter Cases'!H718,"")</f>
        <v/>
      </c>
      <c r="I718" t="str">
        <f>IF($A718&lt;&gt;"",'All Cases - Enter Cases'!I718,"")</f>
        <v/>
      </c>
      <c r="J718" s="4" t="str">
        <f>IF($A718&lt;&gt;"",'All Cases - Enter Cases'!J718,"")</f>
        <v/>
      </c>
      <c r="K718" s="4" t="str">
        <f>IF($A718&lt;&gt;"",'All Cases - Enter Cases'!K718,"")</f>
        <v/>
      </c>
      <c r="L718" s="4" t="str">
        <f>IF($A718&lt;&gt;"",'All Cases - Enter Cases'!L718,"")</f>
        <v/>
      </c>
      <c r="M718" t="str">
        <f>IF($A718&lt;&gt;"",'All Cases - Enter Cases'!M718,"")</f>
        <v/>
      </c>
    </row>
    <row r="719" spans="1:13" x14ac:dyDescent="0.35">
      <c r="A719" s="4" t="str">
        <f>IF('All Cases - Enter Cases'!$F719="Punjab",'All Cases - Enter Cases'!A719,"")</f>
        <v/>
      </c>
      <c r="B719" t="str">
        <f>IF($A719&lt;&gt;"",'All Cases - Enter Cases'!B719,"")</f>
        <v/>
      </c>
      <c r="C719" t="str">
        <f>IF($A719&lt;&gt;"",'All Cases - Enter Cases'!C719,"")</f>
        <v/>
      </c>
      <c r="D719" t="str">
        <f>IF($A719&lt;&gt;"",'All Cases - Enter Cases'!D719,"")</f>
        <v/>
      </c>
      <c r="E719" t="str">
        <f>IF($A719&lt;&gt;"",'All Cases - Enter Cases'!E719,"")</f>
        <v/>
      </c>
      <c r="F719" t="str">
        <f>IF($A719&lt;&gt;"",'All Cases - Enter Cases'!F719,"")</f>
        <v/>
      </c>
      <c r="G719" t="str">
        <f>IF($A719&lt;&gt;"",'All Cases - Enter Cases'!G719,"")</f>
        <v/>
      </c>
      <c r="H719" t="str">
        <f>IF($A719&lt;&gt;"",'All Cases - Enter Cases'!H719,"")</f>
        <v/>
      </c>
      <c r="I719" t="str">
        <f>IF($A719&lt;&gt;"",'All Cases - Enter Cases'!I719,"")</f>
        <v/>
      </c>
      <c r="J719" s="4" t="str">
        <f>IF($A719&lt;&gt;"",'All Cases - Enter Cases'!J719,"")</f>
        <v/>
      </c>
      <c r="K719" s="4" t="str">
        <f>IF($A719&lt;&gt;"",'All Cases - Enter Cases'!K719,"")</f>
        <v/>
      </c>
      <c r="L719" s="4" t="str">
        <f>IF($A719&lt;&gt;"",'All Cases - Enter Cases'!L719,"")</f>
        <v/>
      </c>
      <c r="M719" t="str">
        <f>IF($A719&lt;&gt;"",'All Cases - Enter Cases'!M719,"")</f>
        <v/>
      </c>
    </row>
    <row r="720" spans="1:13" x14ac:dyDescent="0.35">
      <c r="A720" s="4" t="str">
        <f>IF('All Cases - Enter Cases'!$F720="Punjab",'All Cases - Enter Cases'!A720,"")</f>
        <v/>
      </c>
      <c r="B720" t="str">
        <f>IF($A720&lt;&gt;"",'All Cases - Enter Cases'!B720,"")</f>
        <v/>
      </c>
      <c r="C720" t="str">
        <f>IF($A720&lt;&gt;"",'All Cases - Enter Cases'!C720,"")</f>
        <v/>
      </c>
      <c r="D720" t="str">
        <f>IF($A720&lt;&gt;"",'All Cases - Enter Cases'!D720,"")</f>
        <v/>
      </c>
      <c r="E720" t="str">
        <f>IF($A720&lt;&gt;"",'All Cases - Enter Cases'!E720,"")</f>
        <v/>
      </c>
      <c r="F720" t="str">
        <f>IF($A720&lt;&gt;"",'All Cases - Enter Cases'!F720,"")</f>
        <v/>
      </c>
      <c r="G720" t="str">
        <f>IF($A720&lt;&gt;"",'All Cases - Enter Cases'!G720,"")</f>
        <v/>
      </c>
      <c r="H720" t="str">
        <f>IF($A720&lt;&gt;"",'All Cases - Enter Cases'!H720,"")</f>
        <v/>
      </c>
      <c r="I720" t="str">
        <f>IF($A720&lt;&gt;"",'All Cases - Enter Cases'!I720,"")</f>
        <v/>
      </c>
      <c r="J720" s="4" t="str">
        <f>IF($A720&lt;&gt;"",'All Cases - Enter Cases'!J720,"")</f>
        <v/>
      </c>
      <c r="K720" s="4" t="str">
        <f>IF($A720&lt;&gt;"",'All Cases - Enter Cases'!K720,"")</f>
        <v/>
      </c>
      <c r="L720" s="4" t="str">
        <f>IF($A720&lt;&gt;"",'All Cases - Enter Cases'!L720,"")</f>
        <v/>
      </c>
      <c r="M720" t="str">
        <f>IF($A720&lt;&gt;"",'All Cases - Enter Cases'!M720,"")</f>
        <v/>
      </c>
    </row>
    <row r="721" spans="1:13" x14ac:dyDescent="0.35">
      <c r="A721" s="4" t="str">
        <f>IF('All Cases - Enter Cases'!$F721="Punjab",'All Cases - Enter Cases'!A721,"")</f>
        <v/>
      </c>
      <c r="B721" t="str">
        <f>IF($A721&lt;&gt;"",'All Cases - Enter Cases'!B721,"")</f>
        <v/>
      </c>
      <c r="C721" t="str">
        <f>IF($A721&lt;&gt;"",'All Cases - Enter Cases'!C721,"")</f>
        <v/>
      </c>
      <c r="D721" t="str">
        <f>IF($A721&lt;&gt;"",'All Cases - Enter Cases'!D721,"")</f>
        <v/>
      </c>
      <c r="E721" t="str">
        <f>IF($A721&lt;&gt;"",'All Cases - Enter Cases'!E721,"")</f>
        <v/>
      </c>
      <c r="F721" t="str">
        <f>IF($A721&lt;&gt;"",'All Cases - Enter Cases'!F721,"")</f>
        <v/>
      </c>
      <c r="G721" t="str">
        <f>IF($A721&lt;&gt;"",'All Cases - Enter Cases'!G721,"")</f>
        <v/>
      </c>
      <c r="H721" t="str">
        <f>IF($A721&lt;&gt;"",'All Cases - Enter Cases'!H721,"")</f>
        <v/>
      </c>
      <c r="I721" t="str">
        <f>IF($A721&lt;&gt;"",'All Cases - Enter Cases'!I721,"")</f>
        <v/>
      </c>
      <c r="J721" s="4" t="str">
        <f>IF($A721&lt;&gt;"",'All Cases - Enter Cases'!J721,"")</f>
        <v/>
      </c>
      <c r="K721" s="4" t="str">
        <f>IF($A721&lt;&gt;"",'All Cases - Enter Cases'!K721,"")</f>
        <v/>
      </c>
      <c r="L721" s="4" t="str">
        <f>IF($A721&lt;&gt;"",'All Cases - Enter Cases'!L721,"")</f>
        <v/>
      </c>
      <c r="M721" t="str">
        <f>IF($A721&lt;&gt;"",'All Cases - Enter Cases'!M721,"")</f>
        <v/>
      </c>
    </row>
    <row r="722" spans="1:13" x14ac:dyDescent="0.35">
      <c r="A722" s="4" t="str">
        <f>IF('All Cases - Enter Cases'!$F722="Punjab",'All Cases - Enter Cases'!A722,"")</f>
        <v/>
      </c>
      <c r="B722" t="str">
        <f>IF($A722&lt;&gt;"",'All Cases - Enter Cases'!B722,"")</f>
        <v/>
      </c>
      <c r="C722" t="str">
        <f>IF($A722&lt;&gt;"",'All Cases - Enter Cases'!C722,"")</f>
        <v/>
      </c>
      <c r="D722" t="str">
        <f>IF($A722&lt;&gt;"",'All Cases - Enter Cases'!D722,"")</f>
        <v/>
      </c>
      <c r="E722" t="str">
        <f>IF($A722&lt;&gt;"",'All Cases - Enter Cases'!E722,"")</f>
        <v/>
      </c>
      <c r="F722" t="str">
        <f>IF($A722&lt;&gt;"",'All Cases - Enter Cases'!F722,"")</f>
        <v/>
      </c>
      <c r="G722" t="str">
        <f>IF($A722&lt;&gt;"",'All Cases - Enter Cases'!G722,"")</f>
        <v/>
      </c>
      <c r="H722" t="str">
        <f>IF($A722&lt;&gt;"",'All Cases - Enter Cases'!H722,"")</f>
        <v/>
      </c>
      <c r="I722" t="str">
        <f>IF($A722&lt;&gt;"",'All Cases - Enter Cases'!I722,"")</f>
        <v/>
      </c>
      <c r="J722" s="4" t="str">
        <f>IF($A722&lt;&gt;"",'All Cases - Enter Cases'!J722,"")</f>
        <v/>
      </c>
      <c r="K722" s="4" t="str">
        <f>IF($A722&lt;&gt;"",'All Cases - Enter Cases'!K722,"")</f>
        <v/>
      </c>
      <c r="L722" s="4" t="str">
        <f>IF($A722&lt;&gt;"",'All Cases - Enter Cases'!L722,"")</f>
        <v/>
      </c>
      <c r="M722" t="str">
        <f>IF($A722&lt;&gt;"",'All Cases - Enter Cases'!M722,"")</f>
        <v/>
      </c>
    </row>
    <row r="723" spans="1:13" x14ac:dyDescent="0.35">
      <c r="A723" s="4" t="str">
        <f>IF('All Cases - Enter Cases'!$F723="Punjab",'All Cases - Enter Cases'!A723,"")</f>
        <v/>
      </c>
      <c r="B723" t="str">
        <f>IF($A723&lt;&gt;"",'All Cases - Enter Cases'!B723,"")</f>
        <v/>
      </c>
      <c r="C723" t="str">
        <f>IF($A723&lt;&gt;"",'All Cases - Enter Cases'!C723,"")</f>
        <v/>
      </c>
      <c r="D723" t="str">
        <f>IF($A723&lt;&gt;"",'All Cases - Enter Cases'!D723,"")</f>
        <v/>
      </c>
      <c r="E723" t="str">
        <f>IF($A723&lt;&gt;"",'All Cases - Enter Cases'!E723,"")</f>
        <v/>
      </c>
      <c r="F723" t="str">
        <f>IF($A723&lt;&gt;"",'All Cases - Enter Cases'!F723,"")</f>
        <v/>
      </c>
      <c r="G723" t="str">
        <f>IF($A723&lt;&gt;"",'All Cases - Enter Cases'!G723,"")</f>
        <v/>
      </c>
      <c r="H723" t="str">
        <f>IF($A723&lt;&gt;"",'All Cases - Enter Cases'!H723,"")</f>
        <v/>
      </c>
      <c r="I723" t="str">
        <f>IF($A723&lt;&gt;"",'All Cases - Enter Cases'!I723,"")</f>
        <v/>
      </c>
      <c r="J723" s="4" t="str">
        <f>IF($A723&lt;&gt;"",'All Cases - Enter Cases'!J723,"")</f>
        <v/>
      </c>
      <c r="K723" s="4" t="str">
        <f>IF($A723&lt;&gt;"",'All Cases - Enter Cases'!K723,"")</f>
        <v/>
      </c>
      <c r="L723" s="4" t="str">
        <f>IF($A723&lt;&gt;"",'All Cases - Enter Cases'!L723,"")</f>
        <v/>
      </c>
      <c r="M723" t="str">
        <f>IF($A723&lt;&gt;"",'All Cases - Enter Cases'!M723,"")</f>
        <v/>
      </c>
    </row>
    <row r="724" spans="1:13" x14ac:dyDescent="0.35">
      <c r="A724" s="4" t="str">
        <f>IF('All Cases - Enter Cases'!$F724="Punjab",'All Cases - Enter Cases'!A724,"")</f>
        <v/>
      </c>
      <c r="B724" t="str">
        <f>IF($A724&lt;&gt;"",'All Cases - Enter Cases'!B724,"")</f>
        <v/>
      </c>
      <c r="C724" t="str">
        <f>IF($A724&lt;&gt;"",'All Cases - Enter Cases'!C724,"")</f>
        <v/>
      </c>
      <c r="D724" t="str">
        <f>IF($A724&lt;&gt;"",'All Cases - Enter Cases'!D724,"")</f>
        <v/>
      </c>
      <c r="E724" t="str">
        <f>IF($A724&lt;&gt;"",'All Cases - Enter Cases'!E724,"")</f>
        <v/>
      </c>
      <c r="F724" t="str">
        <f>IF($A724&lt;&gt;"",'All Cases - Enter Cases'!F724,"")</f>
        <v/>
      </c>
      <c r="G724" t="str">
        <f>IF($A724&lt;&gt;"",'All Cases - Enter Cases'!G724,"")</f>
        <v/>
      </c>
      <c r="H724" t="str">
        <f>IF($A724&lt;&gt;"",'All Cases - Enter Cases'!H724,"")</f>
        <v/>
      </c>
      <c r="I724" t="str">
        <f>IF($A724&lt;&gt;"",'All Cases - Enter Cases'!I724,"")</f>
        <v/>
      </c>
      <c r="J724" s="4" t="str">
        <f>IF($A724&lt;&gt;"",'All Cases - Enter Cases'!J724,"")</f>
        <v/>
      </c>
      <c r="K724" s="4" t="str">
        <f>IF($A724&lt;&gt;"",'All Cases - Enter Cases'!K724,"")</f>
        <v/>
      </c>
      <c r="L724" s="4" t="str">
        <f>IF($A724&lt;&gt;"",'All Cases - Enter Cases'!L724,"")</f>
        <v/>
      </c>
      <c r="M724" t="str">
        <f>IF($A724&lt;&gt;"",'All Cases - Enter Cases'!M724,"")</f>
        <v/>
      </c>
    </row>
    <row r="725" spans="1:13" x14ac:dyDescent="0.35">
      <c r="A725" s="4" t="str">
        <f>IF('All Cases - Enter Cases'!$F725="Punjab",'All Cases - Enter Cases'!A725,"")</f>
        <v/>
      </c>
      <c r="B725" t="str">
        <f>IF($A725&lt;&gt;"",'All Cases - Enter Cases'!B725,"")</f>
        <v/>
      </c>
      <c r="C725" t="str">
        <f>IF($A725&lt;&gt;"",'All Cases - Enter Cases'!C725,"")</f>
        <v/>
      </c>
      <c r="D725" t="str">
        <f>IF($A725&lt;&gt;"",'All Cases - Enter Cases'!D725,"")</f>
        <v/>
      </c>
      <c r="E725" t="str">
        <f>IF($A725&lt;&gt;"",'All Cases - Enter Cases'!E725,"")</f>
        <v/>
      </c>
      <c r="F725" t="str">
        <f>IF($A725&lt;&gt;"",'All Cases - Enter Cases'!F725,"")</f>
        <v/>
      </c>
      <c r="G725" t="str">
        <f>IF($A725&lt;&gt;"",'All Cases - Enter Cases'!G725,"")</f>
        <v/>
      </c>
      <c r="H725" t="str">
        <f>IF($A725&lt;&gt;"",'All Cases - Enter Cases'!H725,"")</f>
        <v/>
      </c>
      <c r="I725" t="str">
        <f>IF($A725&lt;&gt;"",'All Cases - Enter Cases'!I725,"")</f>
        <v/>
      </c>
      <c r="J725" s="4" t="str">
        <f>IF($A725&lt;&gt;"",'All Cases - Enter Cases'!J725,"")</f>
        <v/>
      </c>
      <c r="K725" s="4" t="str">
        <f>IF($A725&lt;&gt;"",'All Cases - Enter Cases'!K725,"")</f>
        <v/>
      </c>
      <c r="L725" s="4" t="str">
        <f>IF($A725&lt;&gt;"",'All Cases - Enter Cases'!L725,"")</f>
        <v/>
      </c>
      <c r="M725" t="str">
        <f>IF($A725&lt;&gt;"",'All Cases - Enter Cases'!M725,"")</f>
        <v/>
      </c>
    </row>
    <row r="726" spans="1:13" x14ac:dyDescent="0.35">
      <c r="A726" s="4" t="str">
        <f>IF('All Cases - Enter Cases'!$F726="Punjab",'All Cases - Enter Cases'!A726,"")</f>
        <v/>
      </c>
      <c r="B726" t="str">
        <f>IF($A726&lt;&gt;"",'All Cases - Enter Cases'!B726,"")</f>
        <v/>
      </c>
      <c r="C726" t="str">
        <f>IF($A726&lt;&gt;"",'All Cases - Enter Cases'!C726,"")</f>
        <v/>
      </c>
      <c r="D726" t="str">
        <f>IF($A726&lt;&gt;"",'All Cases - Enter Cases'!D726,"")</f>
        <v/>
      </c>
      <c r="E726" t="str">
        <f>IF($A726&lt;&gt;"",'All Cases - Enter Cases'!E726,"")</f>
        <v/>
      </c>
      <c r="F726" t="str">
        <f>IF($A726&lt;&gt;"",'All Cases - Enter Cases'!F726,"")</f>
        <v/>
      </c>
      <c r="G726" t="str">
        <f>IF($A726&lt;&gt;"",'All Cases - Enter Cases'!G726,"")</f>
        <v/>
      </c>
      <c r="H726" t="str">
        <f>IF($A726&lt;&gt;"",'All Cases - Enter Cases'!H726,"")</f>
        <v/>
      </c>
      <c r="I726" t="str">
        <f>IF($A726&lt;&gt;"",'All Cases - Enter Cases'!I726,"")</f>
        <v/>
      </c>
      <c r="J726" s="4" t="str">
        <f>IF($A726&lt;&gt;"",'All Cases - Enter Cases'!J726,"")</f>
        <v/>
      </c>
      <c r="K726" s="4" t="str">
        <f>IF($A726&lt;&gt;"",'All Cases - Enter Cases'!K726,"")</f>
        <v/>
      </c>
      <c r="L726" s="4" t="str">
        <f>IF($A726&lt;&gt;"",'All Cases - Enter Cases'!L726,"")</f>
        <v/>
      </c>
      <c r="M726" t="str">
        <f>IF($A726&lt;&gt;"",'All Cases - Enter Cases'!M726,"")</f>
        <v/>
      </c>
    </row>
    <row r="727" spans="1:13" x14ac:dyDescent="0.35">
      <c r="A727" s="4" t="str">
        <f>IF('All Cases - Enter Cases'!$F727="Punjab",'All Cases - Enter Cases'!A727,"")</f>
        <v/>
      </c>
      <c r="B727" t="str">
        <f>IF($A727&lt;&gt;"",'All Cases - Enter Cases'!B727,"")</f>
        <v/>
      </c>
      <c r="C727" t="str">
        <f>IF($A727&lt;&gt;"",'All Cases - Enter Cases'!C727,"")</f>
        <v/>
      </c>
      <c r="D727" t="str">
        <f>IF($A727&lt;&gt;"",'All Cases - Enter Cases'!D727,"")</f>
        <v/>
      </c>
      <c r="E727" t="str">
        <f>IF($A727&lt;&gt;"",'All Cases - Enter Cases'!E727,"")</f>
        <v/>
      </c>
      <c r="F727" t="str">
        <f>IF($A727&lt;&gt;"",'All Cases - Enter Cases'!F727,"")</f>
        <v/>
      </c>
      <c r="G727" t="str">
        <f>IF($A727&lt;&gt;"",'All Cases - Enter Cases'!G727,"")</f>
        <v/>
      </c>
      <c r="H727" t="str">
        <f>IF($A727&lt;&gt;"",'All Cases - Enter Cases'!H727,"")</f>
        <v/>
      </c>
      <c r="I727" t="str">
        <f>IF($A727&lt;&gt;"",'All Cases - Enter Cases'!I727,"")</f>
        <v/>
      </c>
      <c r="J727" s="4" t="str">
        <f>IF($A727&lt;&gt;"",'All Cases - Enter Cases'!J727,"")</f>
        <v/>
      </c>
      <c r="K727" s="4" t="str">
        <f>IF($A727&lt;&gt;"",'All Cases - Enter Cases'!K727,"")</f>
        <v/>
      </c>
      <c r="L727" s="4" t="str">
        <f>IF($A727&lt;&gt;"",'All Cases - Enter Cases'!L727,"")</f>
        <v/>
      </c>
      <c r="M727" t="str">
        <f>IF($A727&lt;&gt;"",'All Cases - Enter Cases'!M727,"")</f>
        <v/>
      </c>
    </row>
    <row r="728" spans="1:13" x14ac:dyDescent="0.35">
      <c r="A728" s="4" t="str">
        <f>IF('All Cases - Enter Cases'!$F728="Punjab",'All Cases - Enter Cases'!A728,"")</f>
        <v/>
      </c>
      <c r="B728" t="str">
        <f>IF($A728&lt;&gt;"",'All Cases - Enter Cases'!B728,"")</f>
        <v/>
      </c>
      <c r="C728" t="str">
        <f>IF($A728&lt;&gt;"",'All Cases - Enter Cases'!C728,"")</f>
        <v/>
      </c>
      <c r="D728" t="str">
        <f>IF($A728&lt;&gt;"",'All Cases - Enter Cases'!D728,"")</f>
        <v/>
      </c>
      <c r="E728" t="str">
        <f>IF($A728&lt;&gt;"",'All Cases - Enter Cases'!E728,"")</f>
        <v/>
      </c>
      <c r="F728" t="str">
        <f>IF($A728&lt;&gt;"",'All Cases - Enter Cases'!F728,"")</f>
        <v/>
      </c>
      <c r="G728" t="str">
        <f>IF($A728&lt;&gt;"",'All Cases - Enter Cases'!G728,"")</f>
        <v/>
      </c>
      <c r="H728" t="str">
        <f>IF($A728&lt;&gt;"",'All Cases - Enter Cases'!H728,"")</f>
        <v/>
      </c>
      <c r="I728" t="str">
        <f>IF($A728&lt;&gt;"",'All Cases - Enter Cases'!I728,"")</f>
        <v/>
      </c>
      <c r="J728" s="4" t="str">
        <f>IF($A728&lt;&gt;"",'All Cases - Enter Cases'!J728,"")</f>
        <v/>
      </c>
      <c r="K728" s="4" t="str">
        <f>IF($A728&lt;&gt;"",'All Cases - Enter Cases'!K728,"")</f>
        <v/>
      </c>
      <c r="L728" s="4" t="str">
        <f>IF($A728&lt;&gt;"",'All Cases - Enter Cases'!L728,"")</f>
        <v/>
      </c>
      <c r="M728" t="str">
        <f>IF($A728&lt;&gt;"",'All Cases - Enter Cases'!M728,"")</f>
        <v/>
      </c>
    </row>
    <row r="729" spans="1:13" x14ac:dyDescent="0.35">
      <c r="A729" s="4" t="str">
        <f>IF('All Cases - Enter Cases'!$F729="Punjab",'All Cases - Enter Cases'!A729,"")</f>
        <v/>
      </c>
      <c r="B729" t="str">
        <f>IF($A729&lt;&gt;"",'All Cases - Enter Cases'!B729,"")</f>
        <v/>
      </c>
      <c r="C729" t="str">
        <f>IF($A729&lt;&gt;"",'All Cases - Enter Cases'!C729,"")</f>
        <v/>
      </c>
      <c r="D729" t="str">
        <f>IF($A729&lt;&gt;"",'All Cases - Enter Cases'!D729,"")</f>
        <v/>
      </c>
      <c r="E729" t="str">
        <f>IF($A729&lt;&gt;"",'All Cases - Enter Cases'!E729,"")</f>
        <v/>
      </c>
      <c r="F729" t="str">
        <f>IF($A729&lt;&gt;"",'All Cases - Enter Cases'!F729,"")</f>
        <v/>
      </c>
      <c r="G729" t="str">
        <f>IF($A729&lt;&gt;"",'All Cases - Enter Cases'!G729,"")</f>
        <v/>
      </c>
      <c r="H729" t="str">
        <f>IF($A729&lt;&gt;"",'All Cases - Enter Cases'!H729,"")</f>
        <v/>
      </c>
      <c r="I729" t="str">
        <f>IF($A729&lt;&gt;"",'All Cases - Enter Cases'!I729,"")</f>
        <v/>
      </c>
      <c r="J729" s="4" t="str">
        <f>IF($A729&lt;&gt;"",'All Cases - Enter Cases'!J729,"")</f>
        <v/>
      </c>
      <c r="K729" s="4" t="str">
        <f>IF($A729&lt;&gt;"",'All Cases - Enter Cases'!K729,"")</f>
        <v/>
      </c>
      <c r="L729" s="4" t="str">
        <f>IF($A729&lt;&gt;"",'All Cases - Enter Cases'!L729,"")</f>
        <v/>
      </c>
      <c r="M729" t="str">
        <f>IF($A729&lt;&gt;"",'All Cases - Enter Cases'!M729,"")</f>
        <v/>
      </c>
    </row>
    <row r="730" spans="1:13" x14ac:dyDescent="0.35">
      <c r="A730" s="4" t="str">
        <f>IF('All Cases - Enter Cases'!$F730="Punjab",'All Cases - Enter Cases'!A730,"")</f>
        <v/>
      </c>
      <c r="B730" t="str">
        <f>IF($A730&lt;&gt;"",'All Cases - Enter Cases'!B730,"")</f>
        <v/>
      </c>
      <c r="C730" t="str">
        <f>IF($A730&lt;&gt;"",'All Cases - Enter Cases'!C730,"")</f>
        <v/>
      </c>
      <c r="D730" t="str">
        <f>IF($A730&lt;&gt;"",'All Cases - Enter Cases'!D730,"")</f>
        <v/>
      </c>
      <c r="E730" t="str">
        <f>IF($A730&lt;&gt;"",'All Cases - Enter Cases'!E730,"")</f>
        <v/>
      </c>
      <c r="F730" t="str">
        <f>IF($A730&lt;&gt;"",'All Cases - Enter Cases'!F730,"")</f>
        <v/>
      </c>
      <c r="G730" t="str">
        <f>IF($A730&lt;&gt;"",'All Cases - Enter Cases'!G730,"")</f>
        <v/>
      </c>
      <c r="H730" t="str">
        <f>IF($A730&lt;&gt;"",'All Cases - Enter Cases'!H730,"")</f>
        <v/>
      </c>
      <c r="I730" t="str">
        <f>IF($A730&lt;&gt;"",'All Cases - Enter Cases'!I730,"")</f>
        <v/>
      </c>
      <c r="J730" s="4" t="str">
        <f>IF($A730&lt;&gt;"",'All Cases - Enter Cases'!J730,"")</f>
        <v/>
      </c>
      <c r="K730" s="4" t="str">
        <f>IF($A730&lt;&gt;"",'All Cases - Enter Cases'!K730,"")</f>
        <v/>
      </c>
      <c r="L730" s="4" t="str">
        <f>IF($A730&lt;&gt;"",'All Cases - Enter Cases'!L730,"")</f>
        <v/>
      </c>
      <c r="M730" t="str">
        <f>IF($A730&lt;&gt;"",'All Cases - Enter Cases'!M730,"")</f>
        <v/>
      </c>
    </row>
    <row r="731" spans="1:13" x14ac:dyDescent="0.35">
      <c r="A731" s="4" t="str">
        <f>IF('All Cases - Enter Cases'!$F731="Punjab",'All Cases - Enter Cases'!A731,"")</f>
        <v/>
      </c>
      <c r="B731" t="str">
        <f>IF($A731&lt;&gt;"",'All Cases - Enter Cases'!B731,"")</f>
        <v/>
      </c>
      <c r="C731" t="str">
        <f>IF($A731&lt;&gt;"",'All Cases - Enter Cases'!C731,"")</f>
        <v/>
      </c>
      <c r="D731" t="str">
        <f>IF($A731&lt;&gt;"",'All Cases - Enter Cases'!D731,"")</f>
        <v/>
      </c>
      <c r="E731" t="str">
        <f>IF($A731&lt;&gt;"",'All Cases - Enter Cases'!E731,"")</f>
        <v/>
      </c>
      <c r="F731" t="str">
        <f>IF($A731&lt;&gt;"",'All Cases - Enter Cases'!F731,"")</f>
        <v/>
      </c>
      <c r="G731" t="str">
        <f>IF($A731&lt;&gt;"",'All Cases - Enter Cases'!G731,"")</f>
        <v/>
      </c>
      <c r="H731" t="str">
        <f>IF($A731&lt;&gt;"",'All Cases - Enter Cases'!H731,"")</f>
        <v/>
      </c>
      <c r="I731" t="str">
        <f>IF($A731&lt;&gt;"",'All Cases - Enter Cases'!I731,"")</f>
        <v/>
      </c>
      <c r="J731" s="4" t="str">
        <f>IF($A731&lt;&gt;"",'All Cases - Enter Cases'!J731,"")</f>
        <v/>
      </c>
      <c r="K731" s="4" t="str">
        <f>IF($A731&lt;&gt;"",'All Cases - Enter Cases'!K731,"")</f>
        <v/>
      </c>
      <c r="L731" s="4" t="str">
        <f>IF($A731&lt;&gt;"",'All Cases - Enter Cases'!L731,"")</f>
        <v/>
      </c>
      <c r="M731" t="str">
        <f>IF($A731&lt;&gt;"",'All Cases - Enter Cases'!M731,"")</f>
        <v/>
      </c>
    </row>
    <row r="732" spans="1:13" x14ac:dyDescent="0.35">
      <c r="A732" s="4" t="str">
        <f>IF('All Cases - Enter Cases'!$F732="Punjab",'All Cases - Enter Cases'!A732,"")</f>
        <v/>
      </c>
      <c r="B732" t="str">
        <f>IF($A732&lt;&gt;"",'All Cases - Enter Cases'!B732,"")</f>
        <v/>
      </c>
      <c r="C732" t="str">
        <f>IF($A732&lt;&gt;"",'All Cases - Enter Cases'!C732,"")</f>
        <v/>
      </c>
      <c r="D732" t="str">
        <f>IF($A732&lt;&gt;"",'All Cases - Enter Cases'!D732,"")</f>
        <v/>
      </c>
      <c r="E732" t="str">
        <f>IF($A732&lt;&gt;"",'All Cases - Enter Cases'!E732,"")</f>
        <v/>
      </c>
      <c r="F732" t="str">
        <f>IF($A732&lt;&gt;"",'All Cases - Enter Cases'!F732,"")</f>
        <v/>
      </c>
      <c r="G732" t="str">
        <f>IF($A732&lt;&gt;"",'All Cases - Enter Cases'!G732,"")</f>
        <v/>
      </c>
      <c r="H732" t="str">
        <f>IF($A732&lt;&gt;"",'All Cases - Enter Cases'!H732,"")</f>
        <v/>
      </c>
      <c r="I732" t="str">
        <f>IF($A732&lt;&gt;"",'All Cases - Enter Cases'!I732,"")</f>
        <v/>
      </c>
      <c r="J732" s="4" t="str">
        <f>IF($A732&lt;&gt;"",'All Cases - Enter Cases'!J732,"")</f>
        <v/>
      </c>
      <c r="K732" s="4" t="str">
        <f>IF($A732&lt;&gt;"",'All Cases - Enter Cases'!K732,"")</f>
        <v/>
      </c>
      <c r="L732" s="4" t="str">
        <f>IF($A732&lt;&gt;"",'All Cases - Enter Cases'!L732,"")</f>
        <v/>
      </c>
      <c r="M732" t="str">
        <f>IF($A732&lt;&gt;"",'All Cases - Enter Cases'!M732,"")</f>
        <v/>
      </c>
    </row>
    <row r="733" spans="1:13" x14ac:dyDescent="0.35">
      <c r="A733" s="4" t="str">
        <f>IF('All Cases - Enter Cases'!$F733="Punjab",'All Cases - Enter Cases'!A733,"")</f>
        <v/>
      </c>
      <c r="B733" t="str">
        <f>IF($A733&lt;&gt;"",'All Cases - Enter Cases'!B733,"")</f>
        <v/>
      </c>
      <c r="C733" t="str">
        <f>IF($A733&lt;&gt;"",'All Cases - Enter Cases'!C733,"")</f>
        <v/>
      </c>
      <c r="D733" t="str">
        <f>IF($A733&lt;&gt;"",'All Cases - Enter Cases'!D733,"")</f>
        <v/>
      </c>
      <c r="E733" t="str">
        <f>IF($A733&lt;&gt;"",'All Cases - Enter Cases'!E733,"")</f>
        <v/>
      </c>
      <c r="F733" t="str">
        <f>IF($A733&lt;&gt;"",'All Cases - Enter Cases'!F733,"")</f>
        <v/>
      </c>
      <c r="G733" t="str">
        <f>IF($A733&lt;&gt;"",'All Cases - Enter Cases'!G733,"")</f>
        <v/>
      </c>
      <c r="H733" t="str">
        <f>IF($A733&lt;&gt;"",'All Cases - Enter Cases'!H733,"")</f>
        <v/>
      </c>
      <c r="I733" t="str">
        <f>IF($A733&lt;&gt;"",'All Cases - Enter Cases'!I733,"")</f>
        <v/>
      </c>
      <c r="J733" s="4" t="str">
        <f>IF($A733&lt;&gt;"",'All Cases - Enter Cases'!J733,"")</f>
        <v/>
      </c>
      <c r="K733" s="4" t="str">
        <f>IF($A733&lt;&gt;"",'All Cases - Enter Cases'!K733,"")</f>
        <v/>
      </c>
      <c r="L733" s="4" t="str">
        <f>IF($A733&lt;&gt;"",'All Cases - Enter Cases'!L733,"")</f>
        <v/>
      </c>
      <c r="M733" t="str">
        <f>IF($A733&lt;&gt;"",'All Cases - Enter Cases'!M733,"")</f>
        <v/>
      </c>
    </row>
    <row r="734" spans="1:13" x14ac:dyDescent="0.35">
      <c r="A734" s="4" t="str">
        <f>IF('All Cases - Enter Cases'!$F734="Punjab",'All Cases - Enter Cases'!A734,"")</f>
        <v/>
      </c>
      <c r="B734" t="str">
        <f>IF($A734&lt;&gt;"",'All Cases - Enter Cases'!B734,"")</f>
        <v/>
      </c>
      <c r="C734" t="str">
        <f>IF($A734&lt;&gt;"",'All Cases - Enter Cases'!C734,"")</f>
        <v/>
      </c>
      <c r="D734" t="str">
        <f>IF($A734&lt;&gt;"",'All Cases - Enter Cases'!D734,"")</f>
        <v/>
      </c>
      <c r="E734" t="str">
        <f>IF($A734&lt;&gt;"",'All Cases - Enter Cases'!E734,"")</f>
        <v/>
      </c>
      <c r="F734" t="str">
        <f>IF($A734&lt;&gt;"",'All Cases - Enter Cases'!F734,"")</f>
        <v/>
      </c>
      <c r="G734" t="str">
        <f>IF($A734&lt;&gt;"",'All Cases - Enter Cases'!G734,"")</f>
        <v/>
      </c>
      <c r="H734" t="str">
        <f>IF($A734&lt;&gt;"",'All Cases - Enter Cases'!H734,"")</f>
        <v/>
      </c>
      <c r="I734" t="str">
        <f>IF($A734&lt;&gt;"",'All Cases - Enter Cases'!I734,"")</f>
        <v/>
      </c>
      <c r="J734" s="4" t="str">
        <f>IF($A734&lt;&gt;"",'All Cases - Enter Cases'!J734,"")</f>
        <v/>
      </c>
      <c r="K734" s="4" t="str">
        <f>IF($A734&lt;&gt;"",'All Cases - Enter Cases'!K734,"")</f>
        <v/>
      </c>
      <c r="L734" s="4" t="str">
        <f>IF($A734&lt;&gt;"",'All Cases - Enter Cases'!L734,"")</f>
        <v/>
      </c>
      <c r="M734" t="str">
        <f>IF($A734&lt;&gt;"",'All Cases - Enter Cases'!M734,"")</f>
        <v/>
      </c>
    </row>
    <row r="735" spans="1:13" x14ac:dyDescent="0.35">
      <c r="A735" s="4" t="str">
        <f>IF('All Cases - Enter Cases'!$F735="Punjab",'All Cases - Enter Cases'!A735,"")</f>
        <v/>
      </c>
      <c r="B735" t="str">
        <f>IF($A735&lt;&gt;"",'All Cases - Enter Cases'!B735,"")</f>
        <v/>
      </c>
      <c r="C735" t="str">
        <f>IF($A735&lt;&gt;"",'All Cases - Enter Cases'!C735,"")</f>
        <v/>
      </c>
      <c r="D735" t="str">
        <f>IF($A735&lt;&gt;"",'All Cases - Enter Cases'!D735,"")</f>
        <v/>
      </c>
      <c r="E735" t="str">
        <f>IF($A735&lt;&gt;"",'All Cases - Enter Cases'!E735,"")</f>
        <v/>
      </c>
      <c r="F735" t="str">
        <f>IF($A735&lt;&gt;"",'All Cases - Enter Cases'!F735,"")</f>
        <v/>
      </c>
      <c r="G735" t="str">
        <f>IF($A735&lt;&gt;"",'All Cases - Enter Cases'!G735,"")</f>
        <v/>
      </c>
      <c r="H735" t="str">
        <f>IF($A735&lt;&gt;"",'All Cases - Enter Cases'!H735,"")</f>
        <v/>
      </c>
      <c r="I735" t="str">
        <f>IF($A735&lt;&gt;"",'All Cases - Enter Cases'!I735,"")</f>
        <v/>
      </c>
      <c r="J735" s="4" t="str">
        <f>IF($A735&lt;&gt;"",'All Cases - Enter Cases'!J735,"")</f>
        <v/>
      </c>
      <c r="K735" s="4" t="str">
        <f>IF($A735&lt;&gt;"",'All Cases - Enter Cases'!K735,"")</f>
        <v/>
      </c>
      <c r="L735" s="4" t="str">
        <f>IF($A735&lt;&gt;"",'All Cases - Enter Cases'!L735,"")</f>
        <v/>
      </c>
      <c r="M735" t="str">
        <f>IF($A735&lt;&gt;"",'All Cases - Enter Cases'!M735,"")</f>
        <v/>
      </c>
    </row>
    <row r="736" spans="1:13" x14ac:dyDescent="0.35">
      <c r="A736" s="4" t="str">
        <f>IF('All Cases - Enter Cases'!$F736="Punjab",'All Cases - Enter Cases'!A736,"")</f>
        <v/>
      </c>
      <c r="B736" t="str">
        <f>IF($A736&lt;&gt;"",'All Cases - Enter Cases'!B736,"")</f>
        <v/>
      </c>
      <c r="C736" t="str">
        <f>IF($A736&lt;&gt;"",'All Cases - Enter Cases'!C736,"")</f>
        <v/>
      </c>
      <c r="D736" t="str">
        <f>IF($A736&lt;&gt;"",'All Cases - Enter Cases'!D736,"")</f>
        <v/>
      </c>
      <c r="E736" t="str">
        <f>IF($A736&lt;&gt;"",'All Cases - Enter Cases'!E736,"")</f>
        <v/>
      </c>
      <c r="F736" t="str">
        <f>IF($A736&lt;&gt;"",'All Cases - Enter Cases'!F736,"")</f>
        <v/>
      </c>
      <c r="G736" t="str">
        <f>IF($A736&lt;&gt;"",'All Cases - Enter Cases'!G736,"")</f>
        <v/>
      </c>
      <c r="H736" t="str">
        <f>IF($A736&lt;&gt;"",'All Cases - Enter Cases'!H736,"")</f>
        <v/>
      </c>
      <c r="I736" t="str">
        <f>IF($A736&lt;&gt;"",'All Cases - Enter Cases'!I736,"")</f>
        <v/>
      </c>
      <c r="J736" s="4" t="str">
        <f>IF($A736&lt;&gt;"",'All Cases - Enter Cases'!J736,"")</f>
        <v/>
      </c>
      <c r="K736" s="4" t="str">
        <f>IF($A736&lt;&gt;"",'All Cases - Enter Cases'!K736,"")</f>
        <v/>
      </c>
      <c r="L736" s="4" t="str">
        <f>IF($A736&lt;&gt;"",'All Cases - Enter Cases'!L736,"")</f>
        <v/>
      </c>
      <c r="M736" t="str">
        <f>IF($A736&lt;&gt;"",'All Cases - Enter Cases'!M736,"")</f>
        <v/>
      </c>
    </row>
    <row r="737" spans="1:13" x14ac:dyDescent="0.35">
      <c r="A737" s="4" t="str">
        <f>IF('All Cases - Enter Cases'!$F737="Punjab",'All Cases - Enter Cases'!A737,"")</f>
        <v/>
      </c>
      <c r="B737" t="str">
        <f>IF($A737&lt;&gt;"",'All Cases - Enter Cases'!B737,"")</f>
        <v/>
      </c>
      <c r="C737" t="str">
        <f>IF($A737&lt;&gt;"",'All Cases - Enter Cases'!C737,"")</f>
        <v/>
      </c>
      <c r="D737" t="str">
        <f>IF($A737&lt;&gt;"",'All Cases - Enter Cases'!D737,"")</f>
        <v/>
      </c>
      <c r="E737" t="str">
        <f>IF($A737&lt;&gt;"",'All Cases - Enter Cases'!E737,"")</f>
        <v/>
      </c>
      <c r="F737" t="str">
        <f>IF($A737&lt;&gt;"",'All Cases - Enter Cases'!F737,"")</f>
        <v/>
      </c>
      <c r="G737" t="str">
        <f>IF($A737&lt;&gt;"",'All Cases - Enter Cases'!G737,"")</f>
        <v/>
      </c>
      <c r="H737" t="str">
        <f>IF($A737&lt;&gt;"",'All Cases - Enter Cases'!H737,"")</f>
        <v/>
      </c>
      <c r="I737" t="str">
        <f>IF($A737&lt;&gt;"",'All Cases - Enter Cases'!I737,"")</f>
        <v/>
      </c>
      <c r="J737" s="4" t="str">
        <f>IF($A737&lt;&gt;"",'All Cases - Enter Cases'!J737,"")</f>
        <v/>
      </c>
      <c r="K737" s="4" t="str">
        <f>IF($A737&lt;&gt;"",'All Cases - Enter Cases'!K737,"")</f>
        <v/>
      </c>
      <c r="L737" s="4" t="str">
        <f>IF($A737&lt;&gt;"",'All Cases - Enter Cases'!L737,"")</f>
        <v/>
      </c>
      <c r="M737" t="str">
        <f>IF($A737&lt;&gt;"",'All Cases - Enter Cases'!M737,"")</f>
        <v/>
      </c>
    </row>
    <row r="738" spans="1:13" x14ac:dyDescent="0.35">
      <c r="A738" s="4" t="str">
        <f>IF('All Cases - Enter Cases'!$F738="Punjab",'All Cases - Enter Cases'!A738,"")</f>
        <v/>
      </c>
      <c r="B738" t="str">
        <f>IF($A738&lt;&gt;"",'All Cases - Enter Cases'!B738,"")</f>
        <v/>
      </c>
      <c r="C738" t="str">
        <f>IF($A738&lt;&gt;"",'All Cases - Enter Cases'!C738,"")</f>
        <v/>
      </c>
      <c r="D738" t="str">
        <f>IF($A738&lt;&gt;"",'All Cases - Enter Cases'!D738,"")</f>
        <v/>
      </c>
      <c r="E738" t="str">
        <f>IF($A738&lt;&gt;"",'All Cases - Enter Cases'!E738,"")</f>
        <v/>
      </c>
      <c r="F738" t="str">
        <f>IF($A738&lt;&gt;"",'All Cases - Enter Cases'!F738,"")</f>
        <v/>
      </c>
      <c r="G738" t="str">
        <f>IF($A738&lt;&gt;"",'All Cases - Enter Cases'!G738,"")</f>
        <v/>
      </c>
      <c r="H738" t="str">
        <f>IF($A738&lt;&gt;"",'All Cases - Enter Cases'!H738,"")</f>
        <v/>
      </c>
      <c r="I738" t="str">
        <f>IF($A738&lt;&gt;"",'All Cases - Enter Cases'!I738,"")</f>
        <v/>
      </c>
      <c r="J738" s="4" t="str">
        <f>IF($A738&lt;&gt;"",'All Cases - Enter Cases'!J738,"")</f>
        <v/>
      </c>
      <c r="K738" s="4" t="str">
        <f>IF($A738&lt;&gt;"",'All Cases - Enter Cases'!K738,"")</f>
        <v/>
      </c>
      <c r="L738" s="4" t="str">
        <f>IF($A738&lt;&gt;"",'All Cases - Enter Cases'!L738,"")</f>
        <v/>
      </c>
      <c r="M738" t="str">
        <f>IF($A738&lt;&gt;"",'All Cases - Enter Cases'!M738,"")</f>
        <v/>
      </c>
    </row>
    <row r="739" spans="1:13" x14ac:dyDescent="0.35">
      <c r="A739" s="4" t="str">
        <f>IF('All Cases - Enter Cases'!$F739="Punjab",'All Cases - Enter Cases'!A739,"")</f>
        <v/>
      </c>
      <c r="B739" t="str">
        <f>IF($A739&lt;&gt;"",'All Cases - Enter Cases'!B739,"")</f>
        <v/>
      </c>
      <c r="C739" t="str">
        <f>IF($A739&lt;&gt;"",'All Cases - Enter Cases'!C739,"")</f>
        <v/>
      </c>
      <c r="D739" t="str">
        <f>IF($A739&lt;&gt;"",'All Cases - Enter Cases'!D739,"")</f>
        <v/>
      </c>
      <c r="E739" t="str">
        <f>IF($A739&lt;&gt;"",'All Cases - Enter Cases'!E739,"")</f>
        <v/>
      </c>
      <c r="F739" t="str">
        <f>IF($A739&lt;&gt;"",'All Cases - Enter Cases'!F739,"")</f>
        <v/>
      </c>
      <c r="G739" t="str">
        <f>IF($A739&lt;&gt;"",'All Cases - Enter Cases'!G739,"")</f>
        <v/>
      </c>
      <c r="H739" t="str">
        <f>IF($A739&lt;&gt;"",'All Cases - Enter Cases'!H739,"")</f>
        <v/>
      </c>
      <c r="I739" t="str">
        <f>IF($A739&lt;&gt;"",'All Cases - Enter Cases'!I739,"")</f>
        <v/>
      </c>
      <c r="J739" s="4" t="str">
        <f>IF($A739&lt;&gt;"",'All Cases - Enter Cases'!J739,"")</f>
        <v/>
      </c>
      <c r="K739" s="4" t="str">
        <f>IF($A739&lt;&gt;"",'All Cases - Enter Cases'!K739,"")</f>
        <v/>
      </c>
      <c r="L739" s="4" t="str">
        <f>IF($A739&lt;&gt;"",'All Cases - Enter Cases'!L739,"")</f>
        <v/>
      </c>
      <c r="M739" t="str">
        <f>IF($A739&lt;&gt;"",'All Cases - Enter Cases'!M739,"")</f>
        <v/>
      </c>
    </row>
    <row r="740" spans="1:13" x14ac:dyDescent="0.35">
      <c r="A740" s="4" t="str">
        <f>IF('All Cases - Enter Cases'!$F740="Punjab",'All Cases - Enter Cases'!A740,"")</f>
        <v/>
      </c>
      <c r="B740" t="str">
        <f>IF($A740&lt;&gt;"",'All Cases - Enter Cases'!B740,"")</f>
        <v/>
      </c>
      <c r="C740" t="str">
        <f>IF($A740&lt;&gt;"",'All Cases - Enter Cases'!C740,"")</f>
        <v/>
      </c>
      <c r="D740" t="str">
        <f>IF($A740&lt;&gt;"",'All Cases - Enter Cases'!D740,"")</f>
        <v/>
      </c>
      <c r="E740" t="str">
        <f>IF($A740&lt;&gt;"",'All Cases - Enter Cases'!E740,"")</f>
        <v/>
      </c>
      <c r="F740" t="str">
        <f>IF($A740&lt;&gt;"",'All Cases - Enter Cases'!F740,"")</f>
        <v/>
      </c>
      <c r="G740" t="str">
        <f>IF($A740&lt;&gt;"",'All Cases - Enter Cases'!G740,"")</f>
        <v/>
      </c>
      <c r="H740" t="str">
        <f>IF($A740&lt;&gt;"",'All Cases - Enter Cases'!H740,"")</f>
        <v/>
      </c>
      <c r="I740" t="str">
        <f>IF($A740&lt;&gt;"",'All Cases - Enter Cases'!I740,"")</f>
        <v/>
      </c>
      <c r="J740" s="4" t="str">
        <f>IF($A740&lt;&gt;"",'All Cases - Enter Cases'!J740,"")</f>
        <v/>
      </c>
      <c r="K740" s="4" t="str">
        <f>IF($A740&lt;&gt;"",'All Cases - Enter Cases'!K740,"")</f>
        <v/>
      </c>
      <c r="L740" s="4" t="str">
        <f>IF($A740&lt;&gt;"",'All Cases - Enter Cases'!L740,"")</f>
        <v/>
      </c>
      <c r="M740" t="str">
        <f>IF($A740&lt;&gt;"",'All Cases - Enter Cases'!M740,"")</f>
        <v/>
      </c>
    </row>
    <row r="741" spans="1:13" x14ac:dyDescent="0.35">
      <c r="A741" s="4" t="str">
        <f>IF('All Cases - Enter Cases'!$F741="Punjab",'All Cases - Enter Cases'!A741,"")</f>
        <v/>
      </c>
      <c r="B741" t="str">
        <f>IF($A741&lt;&gt;"",'All Cases - Enter Cases'!B741,"")</f>
        <v/>
      </c>
      <c r="C741" t="str">
        <f>IF($A741&lt;&gt;"",'All Cases - Enter Cases'!C741,"")</f>
        <v/>
      </c>
      <c r="D741" t="str">
        <f>IF($A741&lt;&gt;"",'All Cases - Enter Cases'!D741,"")</f>
        <v/>
      </c>
      <c r="E741" t="str">
        <f>IF($A741&lt;&gt;"",'All Cases - Enter Cases'!E741,"")</f>
        <v/>
      </c>
      <c r="F741" t="str">
        <f>IF($A741&lt;&gt;"",'All Cases - Enter Cases'!F741,"")</f>
        <v/>
      </c>
      <c r="G741" t="str">
        <f>IF($A741&lt;&gt;"",'All Cases - Enter Cases'!G741,"")</f>
        <v/>
      </c>
      <c r="H741" t="str">
        <f>IF($A741&lt;&gt;"",'All Cases - Enter Cases'!H741,"")</f>
        <v/>
      </c>
      <c r="I741" t="str">
        <f>IF($A741&lt;&gt;"",'All Cases - Enter Cases'!I741,"")</f>
        <v/>
      </c>
      <c r="J741" s="4" t="str">
        <f>IF($A741&lt;&gt;"",'All Cases - Enter Cases'!J741,"")</f>
        <v/>
      </c>
      <c r="K741" s="4" t="str">
        <f>IF($A741&lt;&gt;"",'All Cases - Enter Cases'!K741,"")</f>
        <v/>
      </c>
      <c r="L741" s="4" t="str">
        <f>IF($A741&lt;&gt;"",'All Cases - Enter Cases'!L741,"")</f>
        <v/>
      </c>
      <c r="M741" t="str">
        <f>IF($A741&lt;&gt;"",'All Cases - Enter Cases'!M741,"")</f>
        <v/>
      </c>
    </row>
    <row r="742" spans="1:13" x14ac:dyDescent="0.35">
      <c r="A742" s="4" t="str">
        <f>IF('All Cases - Enter Cases'!$F742="Punjab",'All Cases - Enter Cases'!A742,"")</f>
        <v/>
      </c>
      <c r="B742" t="str">
        <f>IF($A742&lt;&gt;"",'All Cases - Enter Cases'!B742,"")</f>
        <v/>
      </c>
      <c r="C742" t="str">
        <f>IF($A742&lt;&gt;"",'All Cases - Enter Cases'!C742,"")</f>
        <v/>
      </c>
      <c r="D742" t="str">
        <f>IF($A742&lt;&gt;"",'All Cases - Enter Cases'!D742,"")</f>
        <v/>
      </c>
      <c r="E742" t="str">
        <f>IF($A742&lt;&gt;"",'All Cases - Enter Cases'!E742,"")</f>
        <v/>
      </c>
      <c r="F742" t="str">
        <f>IF($A742&lt;&gt;"",'All Cases - Enter Cases'!F742,"")</f>
        <v/>
      </c>
      <c r="G742" t="str">
        <f>IF($A742&lt;&gt;"",'All Cases - Enter Cases'!G742,"")</f>
        <v/>
      </c>
      <c r="H742" t="str">
        <f>IF($A742&lt;&gt;"",'All Cases - Enter Cases'!H742,"")</f>
        <v/>
      </c>
      <c r="I742" t="str">
        <f>IF($A742&lt;&gt;"",'All Cases - Enter Cases'!I742,"")</f>
        <v/>
      </c>
      <c r="J742" s="4" t="str">
        <f>IF($A742&lt;&gt;"",'All Cases - Enter Cases'!J742,"")</f>
        <v/>
      </c>
      <c r="K742" s="4" t="str">
        <f>IF($A742&lt;&gt;"",'All Cases - Enter Cases'!K742,"")</f>
        <v/>
      </c>
      <c r="L742" s="4" t="str">
        <f>IF($A742&lt;&gt;"",'All Cases - Enter Cases'!L742,"")</f>
        <v/>
      </c>
      <c r="M742" t="str">
        <f>IF($A742&lt;&gt;"",'All Cases - Enter Cases'!M742,"")</f>
        <v/>
      </c>
    </row>
    <row r="743" spans="1:13" x14ac:dyDescent="0.35">
      <c r="A743" s="4" t="str">
        <f>IF('All Cases - Enter Cases'!$F743="Punjab",'All Cases - Enter Cases'!A743,"")</f>
        <v/>
      </c>
      <c r="B743" t="str">
        <f>IF($A743&lt;&gt;"",'All Cases - Enter Cases'!B743,"")</f>
        <v/>
      </c>
      <c r="C743" t="str">
        <f>IF($A743&lt;&gt;"",'All Cases - Enter Cases'!C743,"")</f>
        <v/>
      </c>
      <c r="D743" t="str">
        <f>IF($A743&lt;&gt;"",'All Cases - Enter Cases'!D743,"")</f>
        <v/>
      </c>
      <c r="E743" t="str">
        <f>IF($A743&lt;&gt;"",'All Cases - Enter Cases'!E743,"")</f>
        <v/>
      </c>
      <c r="F743" t="str">
        <f>IF($A743&lt;&gt;"",'All Cases - Enter Cases'!F743,"")</f>
        <v/>
      </c>
      <c r="G743" t="str">
        <f>IF($A743&lt;&gt;"",'All Cases - Enter Cases'!G743,"")</f>
        <v/>
      </c>
      <c r="H743" t="str">
        <f>IF($A743&lt;&gt;"",'All Cases - Enter Cases'!H743,"")</f>
        <v/>
      </c>
      <c r="I743" t="str">
        <f>IF($A743&lt;&gt;"",'All Cases - Enter Cases'!I743,"")</f>
        <v/>
      </c>
      <c r="J743" s="4" t="str">
        <f>IF($A743&lt;&gt;"",'All Cases - Enter Cases'!J743,"")</f>
        <v/>
      </c>
      <c r="K743" s="4" t="str">
        <f>IF($A743&lt;&gt;"",'All Cases - Enter Cases'!K743,"")</f>
        <v/>
      </c>
      <c r="L743" s="4" t="str">
        <f>IF($A743&lt;&gt;"",'All Cases - Enter Cases'!L743,"")</f>
        <v/>
      </c>
      <c r="M743" t="str">
        <f>IF($A743&lt;&gt;"",'All Cases - Enter Cases'!M743,"")</f>
        <v/>
      </c>
    </row>
    <row r="744" spans="1:13" x14ac:dyDescent="0.35">
      <c r="A744" s="4" t="str">
        <f>IF('All Cases - Enter Cases'!$F744="Punjab",'All Cases - Enter Cases'!A744,"")</f>
        <v/>
      </c>
      <c r="B744" t="str">
        <f>IF($A744&lt;&gt;"",'All Cases - Enter Cases'!B744,"")</f>
        <v/>
      </c>
      <c r="C744" t="str">
        <f>IF($A744&lt;&gt;"",'All Cases - Enter Cases'!C744,"")</f>
        <v/>
      </c>
      <c r="D744" t="str">
        <f>IF($A744&lt;&gt;"",'All Cases - Enter Cases'!D744,"")</f>
        <v/>
      </c>
      <c r="E744" t="str">
        <f>IF($A744&lt;&gt;"",'All Cases - Enter Cases'!E744,"")</f>
        <v/>
      </c>
      <c r="F744" t="str">
        <f>IF($A744&lt;&gt;"",'All Cases - Enter Cases'!F744,"")</f>
        <v/>
      </c>
      <c r="G744" t="str">
        <f>IF($A744&lt;&gt;"",'All Cases - Enter Cases'!G744,"")</f>
        <v/>
      </c>
      <c r="H744" t="str">
        <f>IF($A744&lt;&gt;"",'All Cases - Enter Cases'!H744,"")</f>
        <v/>
      </c>
      <c r="I744" t="str">
        <f>IF($A744&lt;&gt;"",'All Cases - Enter Cases'!I744,"")</f>
        <v/>
      </c>
      <c r="J744" s="4" t="str">
        <f>IF($A744&lt;&gt;"",'All Cases - Enter Cases'!J744,"")</f>
        <v/>
      </c>
      <c r="K744" s="4" t="str">
        <f>IF($A744&lt;&gt;"",'All Cases - Enter Cases'!K744,"")</f>
        <v/>
      </c>
      <c r="L744" s="4" t="str">
        <f>IF($A744&lt;&gt;"",'All Cases - Enter Cases'!L744,"")</f>
        <v/>
      </c>
      <c r="M744" t="str">
        <f>IF($A744&lt;&gt;"",'All Cases - Enter Cases'!M744,"")</f>
        <v/>
      </c>
    </row>
    <row r="745" spans="1:13" x14ac:dyDescent="0.35">
      <c r="A745" s="4" t="str">
        <f>IF('All Cases - Enter Cases'!$F745="Punjab",'All Cases - Enter Cases'!A745,"")</f>
        <v/>
      </c>
      <c r="B745" t="str">
        <f>IF($A745&lt;&gt;"",'All Cases - Enter Cases'!B745,"")</f>
        <v/>
      </c>
      <c r="C745" t="str">
        <f>IF($A745&lt;&gt;"",'All Cases - Enter Cases'!C745,"")</f>
        <v/>
      </c>
      <c r="D745" t="str">
        <f>IF($A745&lt;&gt;"",'All Cases - Enter Cases'!D745,"")</f>
        <v/>
      </c>
      <c r="E745" t="str">
        <f>IF($A745&lt;&gt;"",'All Cases - Enter Cases'!E745,"")</f>
        <v/>
      </c>
      <c r="F745" t="str">
        <f>IF($A745&lt;&gt;"",'All Cases - Enter Cases'!F745,"")</f>
        <v/>
      </c>
      <c r="G745" t="str">
        <f>IF($A745&lt;&gt;"",'All Cases - Enter Cases'!G745,"")</f>
        <v/>
      </c>
      <c r="H745" t="str">
        <f>IF($A745&lt;&gt;"",'All Cases - Enter Cases'!H745,"")</f>
        <v/>
      </c>
      <c r="I745" t="str">
        <f>IF($A745&lt;&gt;"",'All Cases - Enter Cases'!I745,"")</f>
        <v/>
      </c>
      <c r="J745" s="4" t="str">
        <f>IF($A745&lt;&gt;"",'All Cases - Enter Cases'!J745,"")</f>
        <v/>
      </c>
      <c r="K745" s="4" t="str">
        <f>IF($A745&lt;&gt;"",'All Cases - Enter Cases'!K745,"")</f>
        <v/>
      </c>
      <c r="L745" s="4" t="str">
        <f>IF($A745&lt;&gt;"",'All Cases - Enter Cases'!L745,"")</f>
        <v/>
      </c>
      <c r="M745" t="str">
        <f>IF($A745&lt;&gt;"",'All Cases - Enter Cases'!M745,"")</f>
        <v/>
      </c>
    </row>
    <row r="746" spans="1:13" x14ac:dyDescent="0.35">
      <c r="A746" s="4" t="str">
        <f>IF('All Cases - Enter Cases'!$F746="Punjab",'All Cases - Enter Cases'!A746,"")</f>
        <v/>
      </c>
      <c r="B746" t="str">
        <f>IF($A746&lt;&gt;"",'All Cases - Enter Cases'!B746,"")</f>
        <v/>
      </c>
      <c r="C746" t="str">
        <f>IF($A746&lt;&gt;"",'All Cases - Enter Cases'!C746,"")</f>
        <v/>
      </c>
      <c r="D746" t="str">
        <f>IF($A746&lt;&gt;"",'All Cases - Enter Cases'!D746,"")</f>
        <v/>
      </c>
      <c r="E746" t="str">
        <f>IF($A746&lt;&gt;"",'All Cases - Enter Cases'!E746,"")</f>
        <v/>
      </c>
      <c r="F746" t="str">
        <f>IF($A746&lt;&gt;"",'All Cases - Enter Cases'!F746,"")</f>
        <v/>
      </c>
      <c r="G746" t="str">
        <f>IF($A746&lt;&gt;"",'All Cases - Enter Cases'!G746,"")</f>
        <v/>
      </c>
      <c r="H746" t="str">
        <f>IF($A746&lt;&gt;"",'All Cases - Enter Cases'!H746,"")</f>
        <v/>
      </c>
      <c r="I746" t="str">
        <f>IF($A746&lt;&gt;"",'All Cases - Enter Cases'!I746,"")</f>
        <v/>
      </c>
      <c r="J746" s="4" t="str">
        <f>IF($A746&lt;&gt;"",'All Cases - Enter Cases'!J746,"")</f>
        <v/>
      </c>
      <c r="K746" s="4" t="str">
        <f>IF($A746&lt;&gt;"",'All Cases - Enter Cases'!K746,"")</f>
        <v/>
      </c>
      <c r="L746" s="4" t="str">
        <f>IF($A746&lt;&gt;"",'All Cases - Enter Cases'!L746,"")</f>
        <v/>
      </c>
      <c r="M746" t="str">
        <f>IF($A746&lt;&gt;"",'All Cases - Enter Cases'!M746,"")</f>
        <v/>
      </c>
    </row>
    <row r="747" spans="1:13" x14ac:dyDescent="0.35">
      <c r="A747" s="4" t="str">
        <f>IF('All Cases - Enter Cases'!$F747="Punjab",'All Cases - Enter Cases'!A747,"")</f>
        <v/>
      </c>
      <c r="B747" t="str">
        <f>IF($A747&lt;&gt;"",'All Cases - Enter Cases'!B747,"")</f>
        <v/>
      </c>
      <c r="C747" t="str">
        <f>IF($A747&lt;&gt;"",'All Cases - Enter Cases'!C747,"")</f>
        <v/>
      </c>
      <c r="D747" t="str">
        <f>IF($A747&lt;&gt;"",'All Cases - Enter Cases'!D747,"")</f>
        <v/>
      </c>
      <c r="E747" t="str">
        <f>IF($A747&lt;&gt;"",'All Cases - Enter Cases'!E747,"")</f>
        <v/>
      </c>
      <c r="F747" t="str">
        <f>IF($A747&lt;&gt;"",'All Cases - Enter Cases'!F747,"")</f>
        <v/>
      </c>
      <c r="G747" t="str">
        <f>IF($A747&lt;&gt;"",'All Cases - Enter Cases'!G747,"")</f>
        <v/>
      </c>
      <c r="H747" t="str">
        <f>IF($A747&lt;&gt;"",'All Cases - Enter Cases'!H747,"")</f>
        <v/>
      </c>
      <c r="I747" t="str">
        <f>IF($A747&lt;&gt;"",'All Cases - Enter Cases'!I747,"")</f>
        <v/>
      </c>
      <c r="J747" s="4" t="str">
        <f>IF($A747&lt;&gt;"",'All Cases - Enter Cases'!J747,"")</f>
        <v/>
      </c>
      <c r="K747" s="4" t="str">
        <f>IF($A747&lt;&gt;"",'All Cases - Enter Cases'!K747,"")</f>
        <v/>
      </c>
      <c r="L747" s="4" t="str">
        <f>IF($A747&lt;&gt;"",'All Cases - Enter Cases'!L747,"")</f>
        <v/>
      </c>
      <c r="M747" t="str">
        <f>IF($A747&lt;&gt;"",'All Cases - Enter Cases'!M747,"")</f>
        <v/>
      </c>
    </row>
    <row r="748" spans="1:13" x14ac:dyDescent="0.35">
      <c r="A748" s="4" t="str">
        <f>IF('All Cases - Enter Cases'!$F748="Punjab",'All Cases - Enter Cases'!A748,"")</f>
        <v/>
      </c>
      <c r="B748" t="str">
        <f>IF($A748&lt;&gt;"",'All Cases - Enter Cases'!B748,"")</f>
        <v/>
      </c>
      <c r="C748" t="str">
        <f>IF($A748&lt;&gt;"",'All Cases - Enter Cases'!C748,"")</f>
        <v/>
      </c>
      <c r="D748" t="str">
        <f>IF($A748&lt;&gt;"",'All Cases - Enter Cases'!D748,"")</f>
        <v/>
      </c>
      <c r="E748" t="str">
        <f>IF($A748&lt;&gt;"",'All Cases - Enter Cases'!E748,"")</f>
        <v/>
      </c>
      <c r="F748" t="str">
        <f>IF($A748&lt;&gt;"",'All Cases - Enter Cases'!F748,"")</f>
        <v/>
      </c>
      <c r="G748" t="str">
        <f>IF($A748&lt;&gt;"",'All Cases - Enter Cases'!G748,"")</f>
        <v/>
      </c>
      <c r="H748" t="str">
        <f>IF($A748&lt;&gt;"",'All Cases - Enter Cases'!H748,"")</f>
        <v/>
      </c>
      <c r="I748" t="str">
        <f>IF($A748&lt;&gt;"",'All Cases - Enter Cases'!I748,"")</f>
        <v/>
      </c>
      <c r="J748" s="4" t="str">
        <f>IF($A748&lt;&gt;"",'All Cases - Enter Cases'!J748,"")</f>
        <v/>
      </c>
      <c r="K748" s="4" t="str">
        <f>IF($A748&lt;&gt;"",'All Cases - Enter Cases'!K748,"")</f>
        <v/>
      </c>
      <c r="L748" s="4" t="str">
        <f>IF($A748&lt;&gt;"",'All Cases - Enter Cases'!L748,"")</f>
        <v/>
      </c>
      <c r="M748" t="str">
        <f>IF($A748&lt;&gt;"",'All Cases - Enter Cases'!M748,"")</f>
        <v/>
      </c>
    </row>
    <row r="749" spans="1:13" x14ac:dyDescent="0.35">
      <c r="A749" s="4" t="str">
        <f>IF('All Cases - Enter Cases'!$F749="Punjab",'All Cases - Enter Cases'!A749,"")</f>
        <v/>
      </c>
      <c r="B749" t="str">
        <f>IF($A749&lt;&gt;"",'All Cases - Enter Cases'!B749,"")</f>
        <v/>
      </c>
      <c r="C749" t="str">
        <f>IF($A749&lt;&gt;"",'All Cases - Enter Cases'!C749,"")</f>
        <v/>
      </c>
      <c r="D749" t="str">
        <f>IF($A749&lt;&gt;"",'All Cases - Enter Cases'!D749,"")</f>
        <v/>
      </c>
      <c r="E749" t="str">
        <f>IF($A749&lt;&gt;"",'All Cases - Enter Cases'!E749,"")</f>
        <v/>
      </c>
      <c r="F749" t="str">
        <f>IF($A749&lt;&gt;"",'All Cases - Enter Cases'!F749,"")</f>
        <v/>
      </c>
      <c r="G749" t="str">
        <f>IF($A749&lt;&gt;"",'All Cases - Enter Cases'!G749,"")</f>
        <v/>
      </c>
      <c r="H749" t="str">
        <f>IF($A749&lt;&gt;"",'All Cases - Enter Cases'!H749,"")</f>
        <v/>
      </c>
      <c r="I749" t="str">
        <f>IF($A749&lt;&gt;"",'All Cases - Enter Cases'!I749,"")</f>
        <v/>
      </c>
      <c r="J749" s="4" t="str">
        <f>IF($A749&lt;&gt;"",'All Cases - Enter Cases'!J749,"")</f>
        <v/>
      </c>
      <c r="K749" s="4" t="str">
        <f>IF($A749&lt;&gt;"",'All Cases - Enter Cases'!K749,"")</f>
        <v/>
      </c>
      <c r="L749" s="4" t="str">
        <f>IF($A749&lt;&gt;"",'All Cases - Enter Cases'!L749,"")</f>
        <v/>
      </c>
      <c r="M749" t="str">
        <f>IF($A749&lt;&gt;"",'All Cases - Enter Cases'!M749,"")</f>
        <v/>
      </c>
    </row>
    <row r="750" spans="1:13" x14ac:dyDescent="0.35">
      <c r="A750" s="4" t="str">
        <f>IF('All Cases - Enter Cases'!$F750="Punjab",'All Cases - Enter Cases'!A750,"")</f>
        <v/>
      </c>
      <c r="B750" t="str">
        <f>IF($A750&lt;&gt;"",'All Cases - Enter Cases'!B750,"")</f>
        <v/>
      </c>
      <c r="C750" t="str">
        <f>IF($A750&lt;&gt;"",'All Cases - Enter Cases'!C750,"")</f>
        <v/>
      </c>
      <c r="D750" t="str">
        <f>IF($A750&lt;&gt;"",'All Cases - Enter Cases'!D750,"")</f>
        <v/>
      </c>
      <c r="E750" t="str">
        <f>IF($A750&lt;&gt;"",'All Cases - Enter Cases'!E750,"")</f>
        <v/>
      </c>
      <c r="F750" t="str">
        <f>IF($A750&lt;&gt;"",'All Cases - Enter Cases'!F750,"")</f>
        <v/>
      </c>
      <c r="G750" t="str">
        <f>IF($A750&lt;&gt;"",'All Cases - Enter Cases'!G750,"")</f>
        <v/>
      </c>
      <c r="H750" t="str">
        <f>IF($A750&lt;&gt;"",'All Cases - Enter Cases'!H750,"")</f>
        <v/>
      </c>
      <c r="I750" t="str">
        <f>IF($A750&lt;&gt;"",'All Cases - Enter Cases'!I750,"")</f>
        <v/>
      </c>
      <c r="J750" s="4" t="str">
        <f>IF($A750&lt;&gt;"",'All Cases - Enter Cases'!J750,"")</f>
        <v/>
      </c>
      <c r="K750" s="4" t="str">
        <f>IF($A750&lt;&gt;"",'All Cases - Enter Cases'!K750,"")</f>
        <v/>
      </c>
      <c r="L750" s="4" t="str">
        <f>IF($A750&lt;&gt;"",'All Cases - Enter Cases'!L750,"")</f>
        <v/>
      </c>
      <c r="M750" t="str">
        <f>IF($A750&lt;&gt;"",'All Cases - Enter Cases'!M750,"")</f>
        <v/>
      </c>
    </row>
    <row r="751" spans="1:13" x14ac:dyDescent="0.35">
      <c r="A751" s="4" t="str">
        <f>IF('All Cases - Enter Cases'!$F751="Punjab",'All Cases - Enter Cases'!A751,"")</f>
        <v/>
      </c>
      <c r="B751" t="str">
        <f>IF($A751&lt;&gt;"",'All Cases - Enter Cases'!B751,"")</f>
        <v/>
      </c>
      <c r="C751" t="str">
        <f>IF($A751&lt;&gt;"",'All Cases - Enter Cases'!C751,"")</f>
        <v/>
      </c>
      <c r="D751" t="str">
        <f>IF($A751&lt;&gt;"",'All Cases - Enter Cases'!D751,"")</f>
        <v/>
      </c>
      <c r="E751" t="str">
        <f>IF($A751&lt;&gt;"",'All Cases - Enter Cases'!E751,"")</f>
        <v/>
      </c>
      <c r="F751" t="str">
        <f>IF($A751&lt;&gt;"",'All Cases - Enter Cases'!F751,"")</f>
        <v/>
      </c>
      <c r="G751" t="str">
        <f>IF($A751&lt;&gt;"",'All Cases - Enter Cases'!G751,"")</f>
        <v/>
      </c>
      <c r="H751" t="str">
        <f>IF($A751&lt;&gt;"",'All Cases - Enter Cases'!H751,"")</f>
        <v/>
      </c>
      <c r="I751" t="str">
        <f>IF($A751&lt;&gt;"",'All Cases - Enter Cases'!I751,"")</f>
        <v/>
      </c>
      <c r="J751" s="4" t="str">
        <f>IF($A751&lt;&gt;"",'All Cases - Enter Cases'!J751,"")</f>
        <v/>
      </c>
      <c r="K751" s="4" t="str">
        <f>IF($A751&lt;&gt;"",'All Cases - Enter Cases'!K751,"")</f>
        <v/>
      </c>
      <c r="L751" s="4" t="str">
        <f>IF($A751&lt;&gt;"",'All Cases - Enter Cases'!L751,"")</f>
        <v/>
      </c>
      <c r="M751" t="str">
        <f>IF($A751&lt;&gt;"",'All Cases - Enter Cases'!M751,"")</f>
        <v/>
      </c>
    </row>
    <row r="752" spans="1:13" x14ac:dyDescent="0.35">
      <c r="A752" s="4" t="str">
        <f>IF('All Cases - Enter Cases'!$F752="Punjab",'All Cases - Enter Cases'!A752,"")</f>
        <v/>
      </c>
      <c r="B752" t="str">
        <f>IF($A752&lt;&gt;"",'All Cases - Enter Cases'!B752,"")</f>
        <v/>
      </c>
      <c r="C752" t="str">
        <f>IF($A752&lt;&gt;"",'All Cases - Enter Cases'!C752,"")</f>
        <v/>
      </c>
      <c r="D752" t="str">
        <f>IF($A752&lt;&gt;"",'All Cases - Enter Cases'!D752,"")</f>
        <v/>
      </c>
      <c r="E752" t="str">
        <f>IF($A752&lt;&gt;"",'All Cases - Enter Cases'!E752,"")</f>
        <v/>
      </c>
      <c r="F752" t="str">
        <f>IF($A752&lt;&gt;"",'All Cases - Enter Cases'!F752,"")</f>
        <v/>
      </c>
      <c r="G752" t="str">
        <f>IF($A752&lt;&gt;"",'All Cases - Enter Cases'!G752,"")</f>
        <v/>
      </c>
      <c r="H752" t="str">
        <f>IF($A752&lt;&gt;"",'All Cases - Enter Cases'!H752,"")</f>
        <v/>
      </c>
      <c r="I752" t="str">
        <f>IF($A752&lt;&gt;"",'All Cases - Enter Cases'!I752,"")</f>
        <v/>
      </c>
      <c r="J752" s="4" t="str">
        <f>IF($A752&lt;&gt;"",'All Cases - Enter Cases'!J752,"")</f>
        <v/>
      </c>
      <c r="K752" s="4" t="str">
        <f>IF($A752&lt;&gt;"",'All Cases - Enter Cases'!K752,"")</f>
        <v/>
      </c>
      <c r="L752" s="4" t="str">
        <f>IF($A752&lt;&gt;"",'All Cases - Enter Cases'!L752,"")</f>
        <v/>
      </c>
      <c r="M752" t="str">
        <f>IF($A752&lt;&gt;"",'All Cases - Enter Cases'!M752,"")</f>
        <v/>
      </c>
    </row>
    <row r="753" spans="1:13" x14ac:dyDescent="0.35">
      <c r="A753" s="4" t="str">
        <f>IF('All Cases - Enter Cases'!$F753="Punjab",'All Cases - Enter Cases'!A753,"")</f>
        <v/>
      </c>
      <c r="B753" t="str">
        <f>IF($A753&lt;&gt;"",'All Cases - Enter Cases'!B753,"")</f>
        <v/>
      </c>
      <c r="C753" t="str">
        <f>IF($A753&lt;&gt;"",'All Cases - Enter Cases'!C753,"")</f>
        <v/>
      </c>
      <c r="D753" t="str">
        <f>IF($A753&lt;&gt;"",'All Cases - Enter Cases'!D753,"")</f>
        <v/>
      </c>
      <c r="E753" t="str">
        <f>IF($A753&lt;&gt;"",'All Cases - Enter Cases'!E753,"")</f>
        <v/>
      </c>
      <c r="F753" t="str">
        <f>IF($A753&lt;&gt;"",'All Cases - Enter Cases'!F753,"")</f>
        <v/>
      </c>
      <c r="G753" t="str">
        <f>IF($A753&lt;&gt;"",'All Cases - Enter Cases'!G753,"")</f>
        <v/>
      </c>
      <c r="H753" t="str">
        <f>IF($A753&lt;&gt;"",'All Cases - Enter Cases'!H753,"")</f>
        <v/>
      </c>
      <c r="I753" t="str">
        <f>IF($A753&lt;&gt;"",'All Cases - Enter Cases'!I753,"")</f>
        <v/>
      </c>
      <c r="J753" s="4" t="str">
        <f>IF($A753&lt;&gt;"",'All Cases - Enter Cases'!J753,"")</f>
        <v/>
      </c>
      <c r="K753" s="4" t="str">
        <f>IF($A753&lt;&gt;"",'All Cases - Enter Cases'!K753,"")</f>
        <v/>
      </c>
      <c r="L753" s="4" t="str">
        <f>IF($A753&lt;&gt;"",'All Cases - Enter Cases'!L753,"")</f>
        <v/>
      </c>
      <c r="M753" t="str">
        <f>IF($A753&lt;&gt;"",'All Cases - Enter Cases'!M753,"")</f>
        <v/>
      </c>
    </row>
    <row r="754" spans="1:13" x14ac:dyDescent="0.35">
      <c r="A754" s="4" t="str">
        <f>IF('All Cases - Enter Cases'!$F754="Punjab",'All Cases - Enter Cases'!A754,"")</f>
        <v/>
      </c>
      <c r="B754" t="str">
        <f>IF($A754&lt;&gt;"",'All Cases - Enter Cases'!B754,"")</f>
        <v/>
      </c>
      <c r="C754" t="str">
        <f>IF($A754&lt;&gt;"",'All Cases - Enter Cases'!C754,"")</f>
        <v/>
      </c>
      <c r="D754" t="str">
        <f>IF($A754&lt;&gt;"",'All Cases - Enter Cases'!D754,"")</f>
        <v/>
      </c>
      <c r="E754" t="str">
        <f>IF($A754&lt;&gt;"",'All Cases - Enter Cases'!E754,"")</f>
        <v/>
      </c>
      <c r="F754" t="str">
        <f>IF($A754&lt;&gt;"",'All Cases - Enter Cases'!F754,"")</f>
        <v/>
      </c>
      <c r="G754" t="str">
        <f>IF($A754&lt;&gt;"",'All Cases - Enter Cases'!G754,"")</f>
        <v/>
      </c>
      <c r="H754" t="str">
        <f>IF($A754&lt;&gt;"",'All Cases - Enter Cases'!H754,"")</f>
        <v/>
      </c>
      <c r="I754" t="str">
        <f>IF($A754&lt;&gt;"",'All Cases - Enter Cases'!I754,"")</f>
        <v/>
      </c>
      <c r="J754" s="4" t="str">
        <f>IF($A754&lt;&gt;"",'All Cases - Enter Cases'!J754,"")</f>
        <v/>
      </c>
      <c r="K754" s="4" t="str">
        <f>IF($A754&lt;&gt;"",'All Cases - Enter Cases'!K754,"")</f>
        <v/>
      </c>
      <c r="L754" s="4" t="str">
        <f>IF($A754&lt;&gt;"",'All Cases - Enter Cases'!L754,"")</f>
        <v/>
      </c>
      <c r="M754" t="str">
        <f>IF($A754&lt;&gt;"",'All Cases - Enter Cases'!M754,"")</f>
        <v/>
      </c>
    </row>
    <row r="755" spans="1:13" x14ac:dyDescent="0.35">
      <c r="A755" s="4" t="str">
        <f>IF('All Cases - Enter Cases'!$F755="Punjab",'All Cases - Enter Cases'!A755,"")</f>
        <v/>
      </c>
      <c r="B755" t="str">
        <f>IF($A755&lt;&gt;"",'All Cases - Enter Cases'!B755,"")</f>
        <v/>
      </c>
      <c r="C755" t="str">
        <f>IF($A755&lt;&gt;"",'All Cases - Enter Cases'!C755,"")</f>
        <v/>
      </c>
      <c r="D755" t="str">
        <f>IF($A755&lt;&gt;"",'All Cases - Enter Cases'!D755,"")</f>
        <v/>
      </c>
      <c r="E755" t="str">
        <f>IF($A755&lt;&gt;"",'All Cases - Enter Cases'!E755,"")</f>
        <v/>
      </c>
      <c r="F755" t="str">
        <f>IF($A755&lt;&gt;"",'All Cases - Enter Cases'!F755,"")</f>
        <v/>
      </c>
      <c r="G755" t="str">
        <f>IF($A755&lt;&gt;"",'All Cases - Enter Cases'!G755,"")</f>
        <v/>
      </c>
      <c r="H755" t="str">
        <f>IF($A755&lt;&gt;"",'All Cases - Enter Cases'!H755,"")</f>
        <v/>
      </c>
      <c r="I755" t="str">
        <f>IF($A755&lt;&gt;"",'All Cases - Enter Cases'!I755,"")</f>
        <v/>
      </c>
      <c r="J755" s="4" t="str">
        <f>IF($A755&lt;&gt;"",'All Cases - Enter Cases'!J755,"")</f>
        <v/>
      </c>
      <c r="K755" s="4" t="str">
        <f>IF($A755&lt;&gt;"",'All Cases - Enter Cases'!K755,"")</f>
        <v/>
      </c>
      <c r="L755" s="4" t="str">
        <f>IF($A755&lt;&gt;"",'All Cases - Enter Cases'!L755,"")</f>
        <v/>
      </c>
      <c r="M755" t="str">
        <f>IF($A755&lt;&gt;"",'All Cases - Enter Cases'!M755,"")</f>
        <v/>
      </c>
    </row>
    <row r="756" spans="1:13" x14ac:dyDescent="0.35">
      <c r="A756" s="4" t="str">
        <f>IF('All Cases - Enter Cases'!$F756="Punjab",'All Cases - Enter Cases'!A756,"")</f>
        <v/>
      </c>
      <c r="B756" t="str">
        <f>IF($A756&lt;&gt;"",'All Cases - Enter Cases'!B756,"")</f>
        <v/>
      </c>
      <c r="C756" t="str">
        <f>IF($A756&lt;&gt;"",'All Cases - Enter Cases'!C756,"")</f>
        <v/>
      </c>
      <c r="D756" t="str">
        <f>IF($A756&lt;&gt;"",'All Cases - Enter Cases'!D756,"")</f>
        <v/>
      </c>
      <c r="E756" t="str">
        <f>IF($A756&lt;&gt;"",'All Cases - Enter Cases'!E756,"")</f>
        <v/>
      </c>
      <c r="F756" t="str">
        <f>IF($A756&lt;&gt;"",'All Cases - Enter Cases'!F756,"")</f>
        <v/>
      </c>
      <c r="G756" t="str">
        <f>IF($A756&lt;&gt;"",'All Cases - Enter Cases'!G756,"")</f>
        <v/>
      </c>
      <c r="H756" t="str">
        <f>IF($A756&lt;&gt;"",'All Cases - Enter Cases'!H756,"")</f>
        <v/>
      </c>
      <c r="I756" t="str">
        <f>IF($A756&lt;&gt;"",'All Cases - Enter Cases'!I756,"")</f>
        <v/>
      </c>
      <c r="J756" s="4" t="str">
        <f>IF($A756&lt;&gt;"",'All Cases - Enter Cases'!J756,"")</f>
        <v/>
      </c>
      <c r="K756" s="4" t="str">
        <f>IF($A756&lt;&gt;"",'All Cases - Enter Cases'!K756,"")</f>
        <v/>
      </c>
      <c r="L756" s="4" t="str">
        <f>IF($A756&lt;&gt;"",'All Cases - Enter Cases'!L756,"")</f>
        <v/>
      </c>
      <c r="M756" t="str">
        <f>IF($A756&lt;&gt;"",'All Cases - Enter Cases'!M756,"")</f>
        <v/>
      </c>
    </row>
    <row r="757" spans="1:13" x14ac:dyDescent="0.35">
      <c r="A757" s="4" t="str">
        <f>IF('All Cases - Enter Cases'!$F757="Punjab",'All Cases - Enter Cases'!A757,"")</f>
        <v/>
      </c>
      <c r="B757" t="str">
        <f>IF($A757&lt;&gt;"",'All Cases - Enter Cases'!B757,"")</f>
        <v/>
      </c>
      <c r="C757" t="str">
        <f>IF($A757&lt;&gt;"",'All Cases - Enter Cases'!C757,"")</f>
        <v/>
      </c>
      <c r="D757" t="str">
        <f>IF($A757&lt;&gt;"",'All Cases - Enter Cases'!D757,"")</f>
        <v/>
      </c>
      <c r="E757" t="str">
        <f>IF($A757&lt;&gt;"",'All Cases - Enter Cases'!E757,"")</f>
        <v/>
      </c>
      <c r="F757" t="str">
        <f>IF($A757&lt;&gt;"",'All Cases - Enter Cases'!F757,"")</f>
        <v/>
      </c>
      <c r="G757" t="str">
        <f>IF($A757&lt;&gt;"",'All Cases - Enter Cases'!G757,"")</f>
        <v/>
      </c>
      <c r="H757" t="str">
        <f>IF($A757&lt;&gt;"",'All Cases - Enter Cases'!H757,"")</f>
        <v/>
      </c>
      <c r="I757" t="str">
        <f>IF($A757&lt;&gt;"",'All Cases - Enter Cases'!I757,"")</f>
        <v/>
      </c>
      <c r="J757" s="4" t="str">
        <f>IF($A757&lt;&gt;"",'All Cases - Enter Cases'!J757,"")</f>
        <v/>
      </c>
      <c r="K757" s="4" t="str">
        <f>IF($A757&lt;&gt;"",'All Cases - Enter Cases'!K757,"")</f>
        <v/>
      </c>
      <c r="L757" s="4" t="str">
        <f>IF($A757&lt;&gt;"",'All Cases - Enter Cases'!L757,"")</f>
        <v/>
      </c>
      <c r="M757" t="str">
        <f>IF($A757&lt;&gt;"",'All Cases - Enter Cases'!M757,"")</f>
        <v/>
      </c>
    </row>
    <row r="758" spans="1:13" x14ac:dyDescent="0.35">
      <c r="A758" s="4" t="str">
        <f>IF('All Cases - Enter Cases'!$F758="Punjab",'All Cases - Enter Cases'!A758,"")</f>
        <v/>
      </c>
      <c r="B758" t="str">
        <f>IF($A758&lt;&gt;"",'All Cases - Enter Cases'!B758,"")</f>
        <v/>
      </c>
      <c r="C758" t="str">
        <f>IF($A758&lt;&gt;"",'All Cases - Enter Cases'!C758,"")</f>
        <v/>
      </c>
      <c r="D758" t="str">
        <f>IF($A758&lt;&gt;"",'All Cases - Enter Cases'!D758,"")</f>
        <v/>
      </c>
      <c r="E758" t="str">
        <f>IF($A758&lt;&gt;"",'All Cases - Enter Cases'!E758,"")</f>
        <v/>
      </c>
      <c r="F758" t="str">
        <f>IF($A758&lt;&gt;"",'All Cases - Enter Cases'!F758,"")</f>
        <v/>
      </c>
      <c r="G758" t="str">
        <f>IF($A758&lt;&gt;"",'All Cases - Enter Cases'!G758,"")</f>
        <v/>
      </c>
      <c r="H758" t="str">
        <f>IF($A758&lt;&gt;"",'All Cases - Enter Cases'!H758,"")</f>
        <v/>
      </c>
      <c r="I758" t="str">
        <f>IF($A758&lt;&gt;"",'All Cases - Enter Cases'!I758,"")</f>
        <v/>
      </c>
      <c r="J758" s="4" t="str">
        <f>IF($A758&lt;&gt;"",'All Cases - Enter Cases'!J758,"")</f>
        <v/>
      </c>
      <c r="K758" s="4" t="str">
        <f>IF($A758&lt;&gt;"",'All Cases - Enter Cases'!K758,"")</f>
        <v/>
      </c>
      <c r="L758" s="4" t="str">
        <f>IF($A758&lt;&gt;"",'All Cases - Enter Cases'!L758,"")</f>
        <v/>
      </c>
      <c r="M758" t="str">
        <f>IF($A758&lt;&gt;"",'All Cases - Enter Cases'!M758,"")</f>
        <v/>
      </c>
    </row>
    <row r="759" spans="1:13" x14ac:dyDescent="0.35">
      <c r="A759" s="4" t="str">
        <f>IF('All Cases - Enter Cases'!$F759="Punjab",'All Cases - Enter Cases'!A759,"")</f>
        <v/>
      </c>
      <c r="B759" t="str">
        <f>IF($A759&lt;&gt;"",'All Cases - Enter Cases'!B759,"")</f>
        <v/>
      </c>
      <c r="C759" t="str">
        <f>IF($A759&lt;&gt;"",'All Cases - Enter Cases'!C759,"")</f>
        <v/>
      </c>
      <c r="D759" t="str">
        <f>IF($A759&lt;&gt;"",'All Cases - Enter Cases'!D759,"")</f>
        <v/>
      </c>
      <c r="E759" t="str">
        <f>IF($A759&lt;&gt;"",'All Cases - Enter Cases'!E759,"")</f>
        <v/>
      </c>
      <c r="F759" t="str">
        <f>IF($A759&lt;&gt;"",'All Cases - Enter Cases'!F759,"")</f>
        <v/>
      </c>
      <c r="G759" t="str">
        <f>IF($A759&lt;&gt;"",'All Cases - Enter Cases'!G759,"")</f>
        <v/>
      </c>
      <c r="H759" t="str">
        <f>IF($A759&lt;&gt;"",'All Cases - Enter Cases'!H759,"")</f>
        <v/>
      </c>
      <c r="I759" t="str">
        <f>IF($A759&lt;&gt;"",'All Cases - Enter Cases'!I759,"")</f>
        <v/>
      </c>
      <c r="J759" s="4" t="str">
        <f>IF($A759&lt;&gt;"",'All Cases - Enter Cases'!J759,"")</f>
        <v/>
      </c>
      <c r="K759" s="4" t="str">
        <f>IF($A759&lt;&gt;"",'All Cases - Enter Cases'!K759,"")</f>
        <v/>
      </c>
      <c r="L759" s="4" t="str">
        <f>IF($A759&lt;&gt;"",'All Cases - Enter Cases'!L759,"")</f>
        <v/>
      </c>
      <c r="M759" t="str">
        <f>IF($A759&lt;&gt;"",'All Cases - Enter Cases'!M759,"")</f>
        <v/>
      </c>
    </row>
    <row r="760" spans="1:13" x14ac:dyDescent="0.35">
      <c r="A760" s="4" t="str">
        <f>IF('All Cases - Enter Cases'!$F760="Punjab",'All Cases - Enter Cases'!A760,"")</f>
        <v/>
      </c>
      <c r="B760" t="str">
        <f>IF($A760&lt;&gt;"",'All Cases - Enter Cases'!B760,"")</f>
        <v/>
      </c>
      <c r="C760" t="str">
        <f>IF($A760&lt;&gt;"",'All Cases - Enter Cases'!C760,"")</f>
        <v/>
      </c>
      <c r="D760" t="str">
        <f>IF($A760&lt;&gt;"",'All Cases - Enter Cases'!D760,"")</f>
        <v/>
      </c>
      <c r="E760" t="str">
        <f>IF($A760&lt;&gt;"",'All Cases - Enter Cases'!E760,"")</f>
        <v/>
      </c>
      <c r="F760" t="str">
        <f>IF($A760&lt;&gt;"",'All Cases - Enter Cases'!F760,"")</f>
        <v/>
      </c>
      <c r="G760" t="str">
        <f>IF($A760&lt;&gt;"",'All Cases - Enter Cases'!G760,"")</f>
        <v/>
      </c>
      <c r="H760" t="str">
        <f>IF($A760&lt;&gt;"",'All Cases - Enter Cases'!H760,"")</f>
        <v/>
      </c>
      <c r="I760" t="str">
        <f>IF($A760&lt;&gt;"",'All Cases - Enter Cases'!I760,"")</f>
        <v/>
      </c>
      <c r="J760" s="4" t="str">
        <f>IF($A760&lt;&gt;"",'All Cases - Enter Cases'!J760,"")</f>
        <v/>
      </c>
      <c r="K760" s="4" t="str">
        <f>IF($A760&lt;&gt;"",'All Cases - Enter Cases'!K760,"")</f>
        <v/>
      </c>
      <c r="L760" s="4" t="str">
        <f>IF($A760&lt;&gt;"",'All Cases - Enter Cases'!L760,"")</f>
        <v/>
      </c>
      <c r="M760" t="str">
        <f>IF($A760&lt;&gt;"",'All Cases - Enter Cases'!M760,"")</f>
        <v/>
      </c>
    </row>
    <row r="761" spans="1:13" x14ac:dyDescent="0.35">
      <c r="A761" s="4" t="str">
        <f>IF('All Cases - Enter Cases'!$F761="Punjab",'All Cases - Enter Cases'!A761,"")</f>
        <v/>
      </c>
      <c r="B761" t="str">
        <f>IF($A761&lt;&gt;"",'All Cases - Enter Cases'!B761,"")</f>
        <v/>
      </c>
      <c r="C761" t="str">
        <f>IF($A761&lt;&gt;"",'All Cases - Enter Cases'!C761,"")</f>
        <v/>
      </c>
      <c r="D761" t="str">
        <f>IF($A761&lt;&gt;"",'All Cases - Enter Cases'!D761,"")</f>
        <v/>
      </c>
      <c r="E761" t="str">
        <f>IF($A761&lt;&gt;"",'All Cases - Enter Cases'!E761,"")</f>
        <v/>
      </c>
      <c r="F761" t="str">
        <f>IF($A761&lt;&gt;"",'All Cases - Enter Cases'!F761,"")</f>
        <v/>
      </c>
      <c r="G761" t="str">
        <f>IF($A761&lt;&gt;"",'All Cases - Enter Cases'!G761,"")</f>
        <v/>
      </c>
      <c r="H761" t="str">
        <f>IF($A761&lt;&gt;"",'All Cases - Enter Cases'!H761,"")</f>
        <v/>
      </c>
      <c r="I761" t="str">
        <f>IF($A761&lt;&gt;"",'All Cases - Enter Cases'!I761,"")</f>
        <v/>
      </c>
      <c r="J761" s="4" t="str">
        <f>IF($A761&lt;&gt;"",'All Cases - Enter Cases'!J761,"")</f>
        <v/>
      </c>
      <c r="K761" s="4" t="str">
        <f>IF($A761&lt;&gt;"",'All Cases - Enter Cases'!K761,"")</f>
        <v/>
      </c>
      <c r="L761" s="4" t="str">
        <f>IF($A761&lt;&gt;"",'All Cases - Enter Cases'!L761,"")</f>
        <v/>
      </c>
      <c r="M761" t="str">
        <f>IF($A761&lt;&gt;"",'All Cases - Enter Cases'!M761,"")</f>
        <v/>
      </c>
    </row>
    <row r="762" spans="1:13" x14ac:dyDescent="0.35">
      <c r="A762" s="4" t="str">
        <f>IF('All Cases - Enter Cases'!$F762="Punjab",'All Cases - Enter Cases'!A762,"")</f>
        <v/>
      </c>
      <c r="B762" t="str">
        <f>IF($A762&lt;&gt;"",'All Cases - Enter Cases'!B762,"")</f>
        <v/>
      </c>
      <c r="C762" t="str">
        <f>IF($A762&lt;&gt;"",'All Cases - Enter Cases'!C762,"")</f>
        <v/>
      </c>
      <c r="D762" t="str">
        <f>IF($A762&lt;&gt;"",'All Cases - Enter Cases'!D762,"")</f>
        <v/>
      </c>
      <c r="E762" t="str">
        <f>IF($A762&lt;&gt;"",'All Cases - Enter Cases'!E762,"")</f>
        <v/>
      </c>
      <c r="F762" t="str">
        <f>IF($A762&lt;&gt;"",'All Cases - Enter Cases'!F762,"")</f>
        <v/>
      </c>
      <c r="G762" t="str">
        <f>IF($A762&lt;&gt;"",'All Cases - Enter Cases'!G762,"")</f>
        <v/>
      </c>
      <c r="H762" t="str">
        <f>IF($A762&lt;&gt;"",'All Cases - Enter Cases'!H762,"")</f>
        <v/>
      </c>
      <c r="I762" t="str">
        <f>IF($A762&lt;&gt;"",'All Cases - Enter Cases'!I762,"")</f>
        <v/>
      </c>
      <c r="J762" s="4" t="str">
        <f>IF($A762&lt;&gt;"",'All Cases - Enter Cases'!J762,"")</f>
        <v/>
      </c>
      <c r="K762" s="4" t="str">
        <f>IF($A762&lt;&gt;"",'All Cases - Enter Cases'!K762,"")</f>
        <v/>
      </c>
      <c r="L762" s="4" t="str">
        <f>IF($A762&lt;&gt;"",'All Cases - Enter Cases'!L762,"")</f>
        <v/>
      </c>
      <c r="M762" t="str">
        <f>IF($A762&lt;&gt;"",'All Cases - Enter Cases'!M762,"")</f>
        <v/>
      </c>
    </row>
    <row r="763" spans="1:13" x14ac:dyDescent="0.35">
      <c r="A763" s="4" t="str">
        <f>IF('All Cases - Enter Cases'!$F763="Punjab",'All Cases - Enter Cases'!A763,"")</f>
        <v/>
      </c>
      <c r="B763" t="str">
        <f>IF($A763&lt;&gt;"",'All Cases - Enter Cases'!B763,"")</f>
        <v/>
      </c>
      <c r="C763" t="str">
        <f>IF($A763&lt;&gt;"",'All Cases - Enter Cases'!C763,"")</f>
        <v/>
      </c>
      <c r="D763" t="str">
        <f>IF($A763&lt;&gt;"",'All Cases - Enter Cases'!D763,"")</f>
        <v/>
      </c>
      <c r="E763" t="str">
        <f>IF($A763&lt;&gt;"",'All Cases - Enter Cases'!E763,"")</f>
        <v/>
      </c>
      <c r="F763" t="str">
        <f>IF($A763&lt;&gt;"",'All Cases - Enter Cases'!F763,"")</f>
        <v/>
      </c>
      <c r="G763" t="str">
        <f>IF($A763&lt;&gt;"",'All Cases - Enter Cases'!G763,"")</f>
        <v/>
      </c>
      <c r="H763" t="str">
        <f>IF($A763&lt;&gt;"",'All Cases - Enter Cases'!H763,"")</f>
        <v/>
      </c>
      <c r="I763" t="str">
        <f>IF($A763&lt;&gt;"",'All Cases - Enter Cases'!I763,"")</f>
        <v/>
      </c>
      <c r="J763" s="4" t="str">
        <f>IF($A763&lt;&gt;"",'All Cases - Enter Cases'!J763,"")</f>
        <v/>
      </c>
      <c r="K763" s="4" t="str">
        <f>IF($A763&lt;&gt;"",'All Cases - Enter Cases'!K763,"")</f>
        <v/>
      </c>
      <c r="L763" s="4" t="str">
        <f>IF($A763&lt;&gt;"",'All Cases - Enter Cases'!L763,"")</f>
        <v/>
      </c>
      <c r="M763" t="str">
        <f>IF($A763&lt;&gt;"",'All Cases - Enter Cases'!M763,"")</f>
        <v/>
      </c>
    </row>
    <row r="764" spans="1:13" x14ac:dyDescent="0.35">
      <c r="A764" s="4" t="str">
        <f>IF('All Cases - Enter Cases'!$F764="Punjab",'All Cases - Enter Cases'!A764,"")</f>
        <v/>
      </c>
      <c r="B764" t="str">
        <f>IF($A764&lt;&gt;"",'All Cases - Enter Cases'!B764,"")</f>
        <v/>
      </c>
      <c r="C764" t="str">
        <f>IF($A764&lt;&gt;"",'All Cases - Enter Cases'!C764,"")</f>
        <v/>
      </c>
      <c r="D764" t="str">
        <f>IF($A764&lt;&gt;"",'All Cases - Enter Cases'!D764,"")</f>
        <v/>
      </c>
      <c r="E764" t="str">
        <f>IF($A764&lt;&gt;"",'All Cases - Enter Cases'!E764,"")</f>
        <v/>
      </c>
      <c r="F764" t="str">
        <f>IF($A764&lt;&gt;"",'All Cases - Enter Cases'!F764,"")</f>
        <v/>
      </c>
      <c r="G764" t="str">
        <f>IF($A764&lt;&gt;"",'All Cases - Enter Cases'!G764,"")</f>
        <v/>
      </c>
      <c r="H764" t="str">
        <f>IF($A764&lt;&gt;"",'All Cases - Enter Cases'!H764,"")</f>
        <v/>
      </c>
      <c r="I764" t="str">
        <f>IF($A764&lt;&gt;"",'All Cases - Enter Cases'!I764,"")</f>
        <v/>
      </c>
      <c r="J764" s="4" t="str">
        <f>IF($A764&lt;&gt;"",'All Cases - Enter Cases'!J764,"")</f>
        <v/>
      </c>
      <c r="K764" s="4" t="str">
        <f>IF($A764&lt;&gt;"",'All Cases - Enter Cases'!K764,"")</f>
        <v/>
      </c>
      <c r="L764" s="4" t="str">
        <f>IF($A764&lt;&gt;"",'All Cases - Enter Cases'!L764,"")</f>
        <v/>
      </c>
      <c r="M764" t="str">
        <f>IF($A764&lt;&gt;"",'All Cases - Enter Cases'!M764,"")</f>
        <v/>
      </c>
    </row>
    <row r="765" spans="1:13" x14ac:dyDescent="0.35">
      <c r="A765" s="4" t="str">
        <f>IF('All Cases - Enter Cases'!$F765="Punjab",'All Cases - Enter Cases'!A765,"")</f>
        <v/>
      </c>
      <c r="B765" t="str">
        <f>IF($A765&lt;&gt;"",'All Cases - Enter Cases'!B765,"")</f>
        <v/>
      </c>
      <c r="C765" t="str">
        <f>IF($A765&lt;&gt;"",'All Cases - Enter Cases'!C765,"")</f>
        <v/>
      </c>
      <c r="D765" t="str">
        <f>IF($A765&lt;&gt;"",'All Cases - Enter Cases'!D765,"")</f>
        <v/>
      </c>
      <c r="E765" t="str">
        <f>IF($A765&lt;&gt;"",'All Cases - Enter Cases'!E765,"")</f>
        <v/>
      </c>
      <c r="F765" t="str">
        <f>IF($A765&lt;&gt;"",'All Cases - Enter Cases'!F765,"")</f>
        <v/>
      </c>
      <c r="G765" t="str">
        <f>IF($A765&lt;&gt;"",'All Cases - Enter Cases'!G765,"")</f>
        <v/>
      </c>
      <c r="H765" t="str">
        <f>IF($A765&lt;&gt;"",'All Cases - Enter Cases'!H765,"")</f>
        <v/>
      </c>
      <c r="I765" t="str">
        <f>IF($A765&lt;&gt;"",'All Cases - Enter Cases'!I765,"")</f>
        <v/>
      </c>
      <c r="J765" s="4" t="str">
        <f>IF($A765&lt;&gt;"",'All Cases - Enter Cases'!J765,"")</f>
        <v/>
      </c>
      <c r="K765" s="4" t="str">
        <f>IF($A765&lt;&gt;"",'All Cases - Enter Cases'!K765,"")</f>
        <v/>
      </c>
      <c r="L765" s="4" t="str">
        <f>IF($A765&lt;&gt;"",'All Cases - Enter Cases'!L765,"")</f>
        <v/>
      </c>
      <c r="M765" t="str">
        <f>IF($A765&lt;&gt;"",'All Cases - Enter Cases'!M765,"")</f>
        <v/>
      </c>
    </row>
    <row r="766" spans="1:13" x14ac:dyDescent="0.35">
      <c r="A766" s="4" t="str">
        <f>IF('All Cases - Enter Cases'!$F766="Punjab",'All Cases - Enter Cases'!A766,"")</f>
        <v/>
      </c>
      <c r="B766" t="str">
        <f>IF($A766&lt;&gt;"",'All Cases - Enter Cases'!B766,"")</f>
        <v/>
      </c>
      <c r="C766" t="str">
        <f>IF($A766&lt;&gt;"",'All Cases - Enter Cases'!C766,"")</f>
        <v/>
      </c>
      <c r="D766" t="str">
        <f>IF($A766&lt;&gt;"",'All Cases - Enter Cases'!D766,"")</f>
        <v/>
      </c>
      <c r="E766" t="str">
        <f>IF($A766&lt;&gt;"",'All Cases - Enter Cases'!E766,"")</f>
        <v/>
      </c>
      <c r="F766" t="str">
        <f>IF($A766&lt;&gt;"",'All Cases - Enter Cases'!F766,"")</f>
        <v/>
      </c>
      <c r="G766" t="str">
        <f>IF($A766&lt;&gt;"",'All Cases - Enter Cases'!G766,"")</f>
        <v/>
      </c>
      <c r="H766" t="str">
        <f>IF($A766&lt;&gt;"",'All Cases - Enter Cases'!H766,"")</f>
        <v/>
      </c>
      <c r="I766" t="str">
        <f>IF($A766&lt;&gt;"",'All Cases - Enter Cases'!I766,"")</f>
        <v/>
      </c>
      <c r="J766" s="4" t="str">
        <f>IF($A766&lt;&gt;"",'All Cases - Enter Cases'!J766,"")</f>
        <v/>
      </c>
      <c r="K766" s="4" t="str">
        <f>IF($A766&lt;&gt;"",'All Cases - Enter Cases'!K766,"")</f>
        <v/>
      </c>
      <c r="L766" s="4" t="str">
        <f>IF($A766&lt;&gt;"",'All Cases - Enter Cases'!L766,"")</f>
        <v/>
      </c>
      <c r="M766" t="str">
        <f>IF($A766&lt;&gt;"",'All Cases - Enter Cases'!M766,"")</f>
        <v/>
      </c>
    </row>
    <row r="767" spans="1:13" x14ac:dyDescent="0.35">
      <c r="A767" s="4" t="str">
        <f>IF('All Cases - Enter Cases'!$F767="Punjab",'All Cases - Enter Cases'!A767,"")</f>
        <v/>
      </c>
      <c r="B767" t="str">
        <f>IF($A767&lt;&gt;"",'All Cases - Enter Cases'!B767,"")</f>
        <v/>
      </c>
      <c r="C767" t="str">
        <f>IF($A767&lt;&gt;"",'All Cases - Enter Cases'!C767,"")</f>
        <v/>
      </c>
      <c r="D767" t="str">
        <f>IF($A767&lt;&gt;"",'All Cases - Enter Cases'!D767,"")</f>
        <v/>
      </c>
      <c r="E767" t="str">
        <f>IF($A767&lt;&gt;"",'All Cases - Enter Cases'!E767,"")</f>
        <v/>
      </c>
      <c r="F767" t="str">
        <f>IF($A767&lt;&gt;"",'All Cases - Enter Cases'!F767,"")</f>
        <v/>
      </c>
      <c r="G767" t="str">
        <f>IF($A767&lt;&gt;"",'All Cases - Enter Cases'!G767,"")</f>
        <v/>
      </c>
      <c r="H767" t="str">
        <f>IF($A767&lt;&gt;"",'All Cases - Enter Cases'!H767,"")</f>
        <v/>
      </c>
      <c r="I767" t="str">
        <f>IF($A767&lt;&gt;"",'All Cases - Enter Cases'!I767,"")</f>
        <v/>
      </c>
      <c r="J767" s="4" t="str">
        <f>IF($A767&lt;&gt;"",'All Cases - Enter Cases'!J767,"")</f>
        <v/>
      </c>
      <c r="K767" s="4" t="str">
        <f>IF($A767&lt;&gt;"",'All Cases - Enter Cases'!K767,"")</f>
        <v/>
      </c>
      <c r="L767" s="4" t="str">
        <f>IF($A767&lt;&gt;"",'All Cases - Enter Cases'!L767,"")</f>
        <v/>
      </c>
      <c r="M767" t="str">
        <f>IF($A767&lt;&gt;"",'All Cases - Enter Cases'!M767,"")</f>
        <v/>
      </c>
    </row>
    <row r="768" spans="1:13" x14ac:dyDescent="0.35">
      <c r="A768" s="4" t="str">
        <f>IF('All Cases - Enter Cases'!$F768="Punjab",'All Cases - Enter Cases'!A768,"")</f>
        <v/>
      </c>
      <c r="B768" t="str">
        <f>IF($A768&lt;&gt;"",'All Cases - Enter Cases'!B768,"")</f>
        <v/>
      </c>
      <c r="C768" t="str">
        <f>IF($A768&lt;&gt;"",'All Cases - Enter Cases'!C768,"")</f>
        <v/>
      </c>
      <c r="D768" t="str">
        <f>IF($A768&lt;&gt;"",'All Cases - Enter Cases'!D768,"")</f>
        <v/>
      </c>
      <c r="E768" t="str">
        <f>IF($A768&lt;&gt;"",'All Cases - Enter Cases'!E768,"")</f>
        <v/>
      </c>
      <c r="F768" t="str">
        <f>IF($A768&lt;&gt;"",'All Cases - Enter Cases'!F768,"")</f>
        <v/>
      </c>
      <c r="G768" t="str">
        <f>IF($A768&lt;&gt;"",'All Cases - Enter Cases'!G768,"")</f>
        <v/>
      </c>
      <c r="H768" t="str">
        <f>IF($A768&lt;&gt;"",'All Cases - Enter Cases'!H768,"")</f>
        <v/>
      </c>
      <c r="I768" t="str">
        <f>IF($A768&lt;&gt;"",'All Cases - Enter Cases'!I768,"")</f>
        <v/>
      </c>
      <c r="J768" s="4" t="str">
        <f>IF($A768&lt;&gt;"",'All Cases - Enter Cases'!J768,"")</f>
        <v/>
      </c>
      <c r="K768" s="4" t="str">
        <f>IF($A768&lt;&gt;"",'All Cases - Enter Cases'!K768,"")</f>
        <v/>
      </c>
      <c r="L768" s="4" t="str">
        <f>IF($A768&lt;&gt;"",'All Cases - Enter Cases'!L768,"")</f>
        <v/>
      </c>
      <c r="M768" t="str">
        <f>IF($A768&lt;&gt;"",'All Cases - Enter Cases'!M768,"")</f>
        <v/>
      </c>
    </row>
    <row r="769" spans="1:13" x14ac:dyDescent="0.35">
      <c r="A769" s="4" t="str">
        <f>IF('All Cases - Enter Cases'!$F769="Punjab",'All Cases - Enter Cases'!A769,"")</f>
        <v/>
      </c>
      <c r="B769" t="str">
        <f>IF($A769&lt;&gt;"",'All Cases - Enter Cases'!B769,"")</f>
        <v/>
      </c>
      <c r="C769" t="str">
        <f>IF($A769&lt;&gt;"",'All Cases - Enter Cases'!C769,"")</f>
        <v/>
      </c>
      <c r="D769" t="str">
        <f>IF($A769&lt;&gt;"",'All Cases - Enter Cases'!D769,"")</f>
        <v/>
      </c>
      <c r="E769" t="str">
        <f>IF($A769&lt;&gt;"",'All Cases - Enter Cases'!E769,"")</f>
        <v/>
      </c>
      <c r="F769" t="str">
        <f>IF($A769&lt;&gt;"",'All Cases - Enter Cases'!F769,"")</f>
        <v/>
      </c>
      <c r="G769" t="str">
        <f>IF($A769&lt;&gt;"",'All Cases - Enter Cases'!G769,"")</f>
        <v/>
      </c>
      <c r="H769" t="str">
        <f>IF($A769&lt;&gt;"",'All Cases - Enter Cases'!H769,"")</f>
        <v/>
      </c>
      <c r="I769" t="str">
        <f>IF($A769&lt;&gt;"",'All Cases - Enter Cases'!I769,"")</f>
        <v/>
      </c>
      <c r="J769" s="4" t="str">
        <f>IF($A769&lt;&gt;"",'All Cases - Enter Cases'!J769,"")</f>
        <v/>
      </c>
      <c r="K769" s="4" t="str">
        <f>IF($A769&lt;&gt;"",'All Cases - Enter Cases'!K769,"")</f>
        <v/>
      </c>
      <c r="L769" s="4" t="str">
        <f>IF($A769&lt;&gt;"",'All Cases - Enter Cases'!L769,"")</f>
        <v/>
      </c>
      <c r="M769" t="str">
        <f>IF($A769&lt;&gt;"",'All Cases - Enter Cases'!M769,"")</f>
        <v/>
      </c>
    </row>
    <row r="770" spans="1:13" x14ac:dyDescent="0.35">
      <c r="A770" s="4" t="str">
        <f>IF('All Cases - Enter Cases'!$F770="Punjab",'All Cases - Enter Cases'!A770,"")</f>
        <v/>
      </c>
      <c r="B770" t="str">
        <f>IF($A770&lt;&gt;"",'All Cases - Enter Cases'!B770,"")</f>
        <v/>
      </c>
      <c r="C770" t="str">
        <f>IF($A770&lt;&gt;"",'All Cases - Enter Cases'!C770,"")</f>
        <v/>
      </c>
      <c r="D770" t="str">
        <f>IF($A770&lt;&gt;"",'All Cases - Enter Cases'!D770,"")</f>
        <v/>
      </c>
      <c r="E770" t="str">
        <f>IF($A770&lt;&gt;"",'All Cases - Enter Cases'!E770,"")</f>
        <v/>
      </c>
      <c r="F770" t="str">
        <f>IF($A770&lt;&gt;"",'All Cases - Enter Cases'!F770,"")</f>
        <v/>
      </c>
      <c r="G770" t="str">
        <f>IF($A770&lt;&gt;"",'All Cases - Enter Cases'!G770,"")</f>
        <v/>
      </c>
      <c r="H770" t="str">
        <f>IF($A770&lt;&gt;"",'All Cases - Enter Cases'!H770,"")</f>
        <v/>
      </c>
      <c r="I770" t="str">
        <f>IF($A770&lt;&gt;"",'All Cases - Enter Cases'!I770,"")</f>
        <v/>
      </c>
      <c r="J770" s="4" t="str">
        <f>IF($A770&lt;&gt;"",'All Cases - Enter Cases'!J770,"")</f>
        <v/>
      </c>
      <c r="K770" s="4" t="str">
        <f>IF($A770&lt;&gt;"",'All Cases - Enter Cases'!K770,"")</f>
        <v/>
      </c>
      <c r="L770" s="4" t="str">
        <f>IF($A770&lt;&gt;"",'All Cases - Enter Cases'!L770,"")</f>
        <v/>
      </c>
      <c r="M770" t="str">
        <f>IF($A770&lt;&gt;"",'All Cases - Enter Cases'!M770,"")</f>
        <v/>
      </c>
    </row>
    <row r="771" spans="1:13" x14ac:dyDescent="0.35">
      <c r="A771" s="4" t="str">
        <f>IF('All Cases - Enter Cases'!$F771="Punjab",'All Cases - Enter Cases'!A771,"")</f>
        <v/>
      </c>
      <c r="B771" t="str">
        <f>IF($A771&lt;&gt;"",'All Cases - Enter Cases'!B771,"")</f>
        <v/>
      </c>
      <c r="C771" t="str">
        <f>IF($A771&lt;&gt;"",'All Cases - Enter Cases'!C771,"")</f>
        <v/>
      </c>
      <c r="D771" t="str">
        <f>IF($A771&lt;&gt;"",'All Cases - Enter Cases'!D771,"")</f>
        <v/>
      </c>
      <c r="E771" t="str">
        <f>IF($A771&lt;&gt;"",'All Cases - Enter Cases'!E771,"")</f>
        <v/>
      </c>
      <c r="F771" t="str">
        <f>IF($A771&lt;&gt;"",'All Cases - Enter Cases'!F771,"")</f>
        <v/>
      </c>
      <c r="G771" t="str">
        <f>IF($A771&lt;&gt;"",'All Cases - Enter Cases'!G771,"")</f>
        <v/>
      </c>
      <c r="H771" t="str">
        <f>IF($A771&lt;&gt;"",'All Cases - Enter Cases'!H771,"")</f>
        <v/>
      </c>
      <c r="I771" t="str">
        <f>IF($A771&lt;&gt;"",'All Cases - Enter Cases'!I771,"")</f>
        <v/>
      </c>
      <c r="J771" s="4" t="str">
        <f>IF($A771&lt;&gt;"",'All Cases - Enter Cases'!J771,"")</f>
        <v/>
      </c>
      <c r="K771" s="4" t="str">
        <f>IF($A771&lt;&gt;"",'All Cases - Enter Cases'!K771,"")</f>
        <v/>
      </c>
      <c r="L771" s="4" t="str">
        <f>IF($A771&lt;&gt;"",'All Cases - Enter Cases'!L771,"")</f>
        <v/>
      </c>
      <c r="M771" t="str">
        <f>IF($A771&lt;&gt;"",'All Cases - Enter Cases'!M771,"")</f>
        <v/>
      </c>
    </row>
    <row r="772" spans="1:13" x14ac:dyDescent="0.35">
      <c r="A772" s="4" t="str">
        <f>IF('All Cases - Enter Cases'!$F772="Punjab",'All Cases - Enter Cases'!A772,"")</f>
        <v/>
      </c>
      <c r="B772" t="str">
        <f>IF($A772&lt;&gt;"",'All Cases - Enter Cases'!B772,"")</f>
        <v/>
      </c>
      <c r="C772" t="str">
        <f>IF($A772&lt;&gt;"",'All Cases - Enter Cases'!C772,"")</f>
        <v/>
      </c>
      <c r="D772" t="str">
        <f>IF($A772&lt;&gt;"",'All Cases - Enter Cases'!D772,"")</f>
        <v/>
      </c>
      <c r="E772" t="str">
        <f>IF($A772&lt;&gt;"",'All Cases - Enter Cases'!E772,"")</f>
        <v/>
      </c>
      <c r="F772" t="str">
        <f>IF($A772&lt;&gt;"",'All Cases - Enter Cases'!F772,"")</f>
        <v/>
      </c>
      <c r="G772" t="str">
        <f>IF($A772&lt;&gt;"",'All Cases - Enter Cases'!G772,"")</f>
        <v/>
      </c>
      <c r="H772" t="str">
        <f>IF($A772&lt;&gt;"",'All Cases - Enter Cases'!H772,"")</f>
        <v/>
      </c>
      <c r="I772" t="str">
        <f>IF($A772&lt;&gt;"",'All Cases - Enter Cases'!I772,"")</f>
        <v/>
      </c>
      <c r="J772" s="4" t="str">
        <f>IF($A772&lt;&gt;"",'All Cases - Enter Cases'!J772,"")</f>
        <v/>
      </c>
      <c r="K772" s="4" t="str">
        <f>IF($A772&lt;&gt;"",'All Cases - Enter Cases'!K772,"")</f>
        <v/>
      </c>
      <c r="L772" s="4" t="str">
        <f>IF($A772&lt;&gt;"",'All Cases - Enter Cases'!L772,"")</f>
        <v/>
      </c>
      <c r="M772" t="str">
        <f>IF($A772&lt;&gt;"",'All Cases - Enter Cases'!M772,"")</f>
        <v/>
      </c>
    </row>
    <row r="773" spans="1:13" x14ac:dyDescent="0.35">
      <c r="A773" s="4" t="str">
        <f>IF('All Cases - Enter Cases'!$F773="Punjab",'All Cases - Enter Cases'!A773,"")</f>
        <v/>
      </c>
      <c r="B773" t="str">
        <f>IF($A773&lt;&gt;"",'All Cases - Enter Cases'!B773,"")</f>
        <v/>
      </c>
      <c r="C773" t="str">
        <f>IF($A773&lt;&gt;"",'All Cases - Enter Cases'!C773,"")</f>
        <v/>
      </c>
      <c r="D773" t="str">
        <f>IF($A773&lt;&gt;"",'All Cases - Enter Cases'!D773,"")</f>
        <v/>
      </c>
      <c r="E773" t="str">
        <f>IF($A773&lt;&gt;"",'All Cases - Enter Cases'!E773,"")</f>
        <v/>
      </c>
      <c r="F773" t="str">
        <f>IF($A773&lt;&gt;"",'All Cases - Enter Cases'!F773,"")</f>
        <v/>
      </c>
      <c r="G773" t="str">
        <f>IF($A773&lt;&gt;"",'All Cases - Enter Cases'!G773,"")</f>
        <v/>
      </c>
      <c r="H773" t="str">
        <f>IF($A773&lt;&gt;"",'All Cases - Enter Cases'!H773,"")</f>
        <v/>
      </c>
      <c r="I773" t="str">
        <f>IF($A773&lt;&gt;"",'All Cases - Enter Cases'!I773,"")</f>
        <v/>
      </c>
      <c r="J773" s="4" t="str">
        <f>IF($A773&lt;&gt;"",'All Cases - Enter Cases'!J773,"")</f>
        <v/>
      </c>
      <c r="K773" s="4" t="str">
        <f>IF($A773&lt;&gt;"",'All Cases - Enter Cases'!K773,"")</f>
        <v/>
      </c>
      <c r="L773" s="4" t="str">
        <f>IF($A773&lt;&gt;"",'All Cases - Enter Cases'!L773,"")</f>
        <v/>
      </c>
      <c r="M773" t="str">
        <f>IF($A773&lt;&gt;"",'All Cases - Enter Cases'!M773,"")</f>
        <v/>
      </c>
    </row>
    <row r="774" spans="1:13" x14ac:dyDescent="0.35">
      <c r="A774" s="4" t="str">
        <f>IF('All Cases - Enter Cases'!$F774="Punjab",'All Cases - Enter Cases'!A774,"")</f>
        <v/>
      </c>
      <c r="B774" t="str">
        <f>IF($A774&lt;&gt;"",'All Cases - Enter Cases'!B774,"")</f>
        <v/>
      </c>
      <c r="C774" t="str">
        <f>IF($A774&lt;&gt;"",'All Cases - Enter Cases'!C774,"")</f>
        <v/>
      </c>
      <c r="D774" t="str">
        <f>IF($A774&lt;&gt;"",'All Cases - Enter Cases'!D774,"")</f>
        <v/>
      </c>
      <c r="E774" t="str">
        <f>IF($A774&lt;&gt;"",'All Cases - Enter Cases'!E774,"")</f>
        <v/>
      </c>
      <c r="F774" t="str">
        <f>IF($A774&lt;&gt;"",'All Cases - Enter Cases'!F774,"")</f>
        <v/>
      </c>
      <c r="G774" t="str">
        <f>IF($A774&lt;&gt;"",'All Cases - Enter Cases'!G774,"")</f>
        <v/>
      </c>
      <c r="H774" t="str">
        <f>IF($A774&lt;&gt;"",'All Cases - Enter Cases'!H774,"")</f>
        <v/>
      </c>
      <c r="I774" t="str">
        <f>IF($A774&lt;&gt;"",'All Cases - Enter Cases'!I774,"")</f>
        <v/>
      </c>
      <c r="J774" s="4" t="str">
        <f>IF($A774&lt;&gt;"",'All Cases - Enter Cases'!J774,"")</f>
        <v/>
      </c>
      <c r="K774" s="4" t="str">
        <f>IF($A774&lt;&gt;"",'All Cases - Enter Cases'!K774,"")</f>
        <v/>
      </c>
      <c r="L774" s="4" t="str">
        <f>IF($A774&lt;&gt;"",'All Cases - Enter Cases'!L774,"")</f>
        <v/>
      </c>
      <c r="M774" t="str">
        <f>IF($A774&lt;&gt;"",'All Cases - Enter Cases'!M774,"")</f>
        <v/>
      </c>
    </row>
    <row r="775" spans="1:13" x14ac:dyDescent="0.35">
      <c r="A775" s="4" t="str">
        <f>IF('All Cases - Enter Cases'!$F775="Punjab",'All Cases - Enter Cases'!A775,"")</f>
        <v/>
      </c>
      <c r="B775" t="str">
        <f>IF($A775&lt;&gt;"",'All Cases - Enter Cases'!B775,"")</f>
        <v/>
      </c>
      <c r="C775" t="str">
        <f>IF($A775&lt;&gt;"",'All Cases - Enter Cases'!C775,"")</f>
        <v/>
      </c>
      <c r="D775" t="str">
        <f>IF($A775&lt;&gt;"",'All Cases - Enter Cases'!D775,"")</f>
        <v/>
      </c>
      <c r="E775" t="str">
        <f>IF($A775&lt;&gt;"",'All Cases - Enter Cases'!E775,"")</f>
        <v/>
      </c>
      <c r="F775" t="str">
        <f>IF($A775&lt;&gt;"",'All Cases - Enter Cases'!F775,"")</f>
        <v/>
      </c>
      <c r="G775" t="str">
        <f>IF($A775&lt;&gt;"",'All Cases - Enter Cases'!G775,"")</f>
        <v/>
      </c>
      <c r="H775" t="str">
        <f>IF($A775&lt;&gt;"",'All Cases - Enter Cases'!H775,"")</f>
        <v/>
      </c>
      <c r="I775" t="str">
        <f>IF($A775&lt;&gt;"",'All Cases - Enter Cases'!I775,"")</f>
        <v/>
      </c>
      <c r="J775" s="4" t="str">
        <f>IF($A775&lt;&gt;"",'All Cases - Enter Cases'!J775,"")</f>
        <v/>
      </c>
      <c r="K775" s="4" t="str">
        <f>IF($A775&lt;&gt;"",'All Cases - Enter Cases'!K775,"")</f>
        <v/>
      </c>
      <c r="L775" s="4" t="str">
        <f>IF($A775&lt;&gt;"",'All Cases - Enter Cases'!L775,"")</f>
        <v/>
      </c>
      <c r="M775" t="str">
        <f>IF($A775&lt;&gt;"",'All Cases - Enter Cases'!M775,"")</f>
        <v/>
      </c>
    </row>
    <row r="776" spans="1:13" x14ac:dyDescent="0.35">
      <c r="A776" s="4" t="str">
        <f>IF('All Cases - Enter Cases'!$F776="Punjab",'All Cases - Enter Cases'!A776,"")</f>
        <v/>
      </c>
      <c r="B776" t="str">
        <f>IF($A776&lt;&gt;"",'All Cases - Enter Cases'!B776,"")</f>
        <v/>
      </c>
      <c r="C776" t="str">
        <f>IF($A776&lt;&gt;"",'All Cases - Enter Cases'!C776,"")</f>
        <v/>
      </c>
      <c r="D776" t="str">
        <f>IF($A776&lt;&gt;"",'All Cases - Enter Cases'!D776,"")</f>
        <v/>
      </c>
      <c r="E776" t="str">
        <f>IF($A776&lt;&gt;"",'All Cases - Enter Cases'!E776,"")</f>
        <v/>
      </c>
      <c r="F776" t="str">
        <f>IF($A776&lt;&gt;"",'All Cases - Enter Cases'!F776,"")</f>
        <v/>
      </c>
      <c r="G776" t="str">
        <f>IF($A776&lt;&gt;"",'All Cases - Enter Cases'!G776,"")</f>
        <v/>
      </c>
      <c r="H776" t="str">
        <f>IF($A776&lt;&gt;"",'All Cases - Enter Cases'!H776,"")</f>
        <v/>
      </c>
      <c r="I776" t="str">
        <f>IF($A776&lt;&gt;"",'All Cases - Enter Cases'!I776,"")</f>
        <v/>
      </c>
      <c r="J776" s="4" t="str">
        <f>IF($A776&lt;&gt;"",'All Cases - Enter Cases'!J776,"")</f>
        <v/>
      </c>
      <c r="K776" s="4" t="str">
        <f>IF($A776&lt;&gt;"",'All Cases - Enter Cases'!K776,"")</f>
        <v/>
      </c>
      <c r="L776" s="4" t="str">
        <f>IF($A776&lt;&gt;"",'All Cases - Enter Cases'!L776,"")</f>
        <v/>
      </c>
      <c r="M776" t="str">
        <f>IF($A776&lt;&gt;"",'All Cases - Enter Cases'!M776,"")</f>
        <v/>
      </c>
    </row>
    <row r="777" spans="1:13" x14ac:dyDescent="0.35">
      <c r="A777" s="4" t="str">
        <f>IF('All Cases - Enter Cases'!$F777="Punjab",'All Cases - Enter Cases'!A777,"")</f>
        <v/>
      </c>
      <c r="B777" t="str">
        <f>IF($A777&lt;&gt;"",'All Cases - Enter Cases'!B777,"")</f>
        <v/>
      </c>
      <c r="C777" t="str">
        <f>IF($A777&lt;&gt;"",'All Cases - Enter Cases'!C777,"")</f>
        <v/>
      </c>
      <c r="D777" t="str">
        <f>IF($A777&lt;&gt;"",'All Cases - Enter Cases'!D777,"")</f>
        <v/>
      </c>
      <c r="E777" t="str">
        <f>IF($A777&lt;&gt;"",'All Cases - Enter Cases'!E777,"")</f>
        <v/>
      </c>
      <c r="F777" t="str">
        <f>IF($A777&lt;&gt;"",'All Cases - Enter Cases'!F777,"")</f>
        <v/>
      </c>
      <c r="G777" t="str">
        <f>IF($A777&lt;&gt;"",'All Cases - Enter Cases'!G777,"")</f>
        <v/>
      </c>
      <c r="H777" t="str">
        <f>IF($A777&lt;&gt;"",'All Cases - Enter Cases'!H777,"")</f>
        <v/>
      </c>
      <c r="I777" t="str">
        <f>IF($A777&lt;&gt;"",'All Cases - Enter Cases'!I777,"")</f>
        <v/>
      </c>
      <c r="J777" s="4" t="str">
        <f>IF($A777&lt;&gt;"",'All Cases - Enter Cases'!J777,"")</f>
        <v/>
      </c>
      <c r="K777" s="4" t="str">
        <f>IF($A777&lt;&gt;"",'All Cases - Enter Cases'!K777,"")</f>
        <v/>
      </c>
      <c r="L777" s="4" t="str">
        <f>IF($A777&lt;&gt;"",'All Cases - Enter Cases'!L777,"")</f>
        <v/>
      </c>
      <c r="M777" t="str">
        <f>IF($A777&lt;&gt;"",'All Cases - Enter Cases'!M777,"")</f>
        <v/>
      </c>
    </row>
    <row r="778" spans="1:13" x14ac:dyDescent="0.35">
      <c r="A778" s="4" t="str">
        <f>IF('All Cases - Enter Cases'!$F778="Punjab",'All Cases - Enter Cases'!A778,"")</f>
        <v/>
      </c>
      <c r="B778" t="str">
        <f>IF($A778&lt;&gt;"",'All Cases - Enter Cases'!B778,"")</f>
        <v/>
      </c>
      <c r="C778" t="str">
        <f>IF($A778&lt;&gt;"",'All Cases - Enter Cases'!C778,"")</f>
        <v/>
      </c>
      <c r="D778" t="str">
        <f>IF($A778&lt;&gt;"",'All Cases - Enter Cases'!D778,"")</f>
        <v/>
      </c>
      <c r="E778" t="str">
        <f>IF($A778&lt;&gt;"",'All Cases - Enter Cases'!E778,"")</f>
        <v/>
      </c>
      <c r="F778" t="str">
        <f>IF($A778&lt;&gt;"",'All Cases - Enter Cases'!F778,"")</f>
        <v/>
      </c>
      <c r="G778" t="str">
        <f>IF($A778&lt;&gt;"",'All Cases - Enter Cases'!G778,"")</f>
        <v/>
      </c>
      <c r="H778" t="str">
        <f>IF($A778&lt;&gt;"",'All Cases - Enter Cases'!H778,"")</f>
        <v/>
      </c>
      <c r="I778" t="str">
        <f>IF($A778&lt;&gt;"",'All Cases - Enter Cases'!I778,"")</f>
        <v/>
      </c>
      <c r="J778" s="4" t="str">
        <f>IF($A778&lt;&gt;"",'All Cases - Enter Cases'!J778,"")</f>
        <v/>
      </c>
      <c r="K778" s="4" t="str">
        <f>IF($A778&lt;&gt;"",'All Cases - Enter Cases'!K778,"")</f>
        <v/>
      </c>
      <c r="L778" s="4" t="str">
        <f>IF($A778&lt;&gt;"",'All Cases - Enter Cases'!L778,"")</f>
        <v/>
      </c>
      <c r="M778" t="str">
        <f>IF($A778&lt;&gt;"",'All Cases - Enter Cases'!M778,"")</f>
        <v/>
      </c>
    </row>
    <row r="779" spans="1:13" x14ac:dyDescent="0.35">
      <c r="A779" s="4" t="str">
        <f>IF('All Cases - Enter Cases'!$F779="Punjab",'All Cases - Enter Cases'!A779,"")</f>
        <v/>
      </c>
      <c r="B779" t="str">
        <f>IF($A779&lt;&gt;"",'All Cases - Enter Cases'!B779,"")</f>
        <v/>
      </c>
      <c r="C779" t="str">
        <f>IF($A779&lt;&gt;"",'All Cases - Enter Cases'!C779,"")</f>
        <v/>
      </c>
      <c r="D779" t="str">
        <f>IF($A779&lt;&gt;"",'All Cases - Enter Cases'!D779,"")</f>
        <v/>
      </c>
      <c r="E779" t="str">
        <f>IF($A779&lt;&gt;"",'All Cases - Enter Cases'!E779,"")</f>
        <v/>
      </c>
      <c r="F779" t="str">
        <f>IF($A779&lt;&gt;"",'All Cases - Enter Cases'!F779,"")</f>
        <v/>
      </c>
      <c r="G779" t="str">
        <f>IF($A779&lt;&gt;"",'All Cases - Enter Cases'!G779,"")</f>
        <v/>
      </c>
      <c r="H779" t="str">
        <f>IF($A779&lt;&gt;"",'All Cases - Enter Cases'!H779,"")</f>
        <v/>
      </c>
      <c r="I779" t="str">
        <f>IF($A779&lt;&gt;"",'All Cases - Enter Cases'!I779,"")</f>
        <v/>
      </c>
      <c r="J779" s="4" t="str">
        <f>IF($A779&lt;&gt;"",'All Cases - Enter Cases'!J779,"")</f>
        <v/>
      </c>
      <c r="K779" s="4" t="str">
        <f>IF($A779&lt;&gt;"",'All Cases - Enter Cases'!K779,"")</f>
        <v/>
      </c>
      <c r="L779" s="4" t="str">
        <f>IF($A779&lt;&gt;"",'All Cases - Enter Cases'!L779,"")</f>
        <v/>
      </c>
      <c r="M779" t="str">
        <f>IF($A779&lt;&gt;"",'All Cases - Enter Cases'!M779,"")</f>
        <v/>
      </c>
    </row>
    <row r="780" spans="1:13" x14ac:dyDescent="0.35">
      <c r="A780" s="4" t="str">
        <f>IF('All Cases - Enter Cases'!$F780="Punjab",'All Cases - Enter Cases'!A780,"")</f>
        <v/>
      </c>
      <c r="B780" t="str">
        <f>IF($A780&lt;&gt;"",'All Cases - Enter Cases'!B780,"")</f>
        <v/>
      </c>
      <c r="C780" t="str">
        <f>IF($A780&lt;&gt;"",'All Cases - Enter Cases'!C780,"")</f>
        <v/>
      </c>
      <c r="D780" t="str">
        <f>IF($A780&lt;&gt;"",'All Cases - Enter Cases'!D780,"")</f>
        <v/>
      </c>
      <c r="E780" t="str">
        <f>IF($A780&lt;&gt;"",'All Cases - Enter Cases'!E780,"")</f>
        <v/>
      </c>
      <c r="F780" t="str">
        <f>IF($A780&lt;&gt;"",'All Cases - Enter Cases'!F780,"")</f>
        <v/>
      </c>
      <c r="G780" t="str">
        <f>IF($A780&lt;&gt;"",'All Cases - Enter Cases'!G780,"")</f>
        <v/>
      </c>
      <c r="H780" t="str">
        <f>IF($A780&lt;&gt;"",'All Cases - Enter Cases'!H780,"")</f>
        <v/>
      </c>
      <c r="I780" t="str">
        <f>IF($A780&lt;&gt;"",'All Cases - Enter Cases'!I780,"")</f>
        <v/>
      </c>
      <c r="J780" s="4" t="str">
        <f>IF($A780&lt;&gt;"",'All Cases - Enter Cases'!J780,"")</f>
        <v/>
      </c>
      <c r="K780" s="4" t="str">
        <f>IF($A780&lt;&gt;"",'All Cases - Enter Cases'!K780,"")</f>
        <v/>
      </c>
      <c r="L780" s="4" t="str">
        <f>IF($A780&lt;&gt;"",'All Cases - Enter Cases'!L780,"")</f>
        <v/>
      </c>
      <c r="M780" t="str">
        <f>IF($A780&lt;&gt;"",'All Cases - Enter Cases'!M780,"")</f>
        <v/>
      </c>
    </row>
    <row r="781" spans="1:13" x14ac:dyDescent="0.35">
      <c r="A781" s="4" t="str">
        <f>IF('All Cases - Enter Cases'!$F781="Punjab",'All Cases - Enter Cases'!A781,"")</f>
        <v/>
      </c>
      <c r="B781" t="str">
        <f>IF($A781&lt;&gt;"",'All Cases - Enter Cases'!B781,"")</f>
        <v/>
      </c>
      <c r="C781" t="str">
        <f>IF($A781&lt;&gt;"",'All Cases - Enter Cases'!C781,"")</f>
        <v/>
      </c>
      <c r="D781" t="str">
        <f>IF($A781&lt;&gt;"",'All Cases - Enter Cases'!D781,"")</f>
        <v/>
      </c>
      <c r="E781" t="str">
        <f>IF($A781&lt;&gt;"",'All Cases - Enter Cases'!E781,"")</f>
        <v/>
      </c>
      <c r="F781" t="str">
        <f>IF($A781&lt;&gt;"",'All Cases - Enter Cases'!F781,"")</f>
        <v/>
      </c>
      <c r="G781" t="str">
        <f>IF($A781&lt;&gt;"",'All Cases - Enter Cases'!G781,"")</f>
        <v/>
      </c>
      <c r="H781" t="str">
        <f>IF($A781&lt;&gt;"",'All Cases - Enter Cases'!H781,"")</f>
        <v/>
      </c>
      <c r="I781" t="str">
        <f>IF($A781&lt;&gt;"",'All Cases - Enter Cases'!I781,"")</f>
        <v/>
      </c>
      <c r="J781" s="4" t="str">
        <f>IF($A781&lt;&gt;"",'All Cases - Enter Cases'!J781,"")</f>
        <v/>
      </c>
      <c r="K781" s="4" t="str">
        <f>IF($A781&lt;&gt;"",'All Cases - Enter Cases'!K781,"")</f>
        <v/>
      </c>
      <c r="L781" s="4" t="str">
        <f>IF($A781&lt;&gt;"",'All Cases - Enter Cases'!L781,"")</f>
        <v/>
      </c>
      <c r="M781" t="str">
        <f>IF($A781&lt;&gt;"",'All Cases - Enter Cases'!M781,"")</f>
        <v/>
      </c>
    </row>
    <row r="782" spans="1:13" x14ac:dyDescent="0.35">
      <c r="A782" s="4" t="str">
        <f>IF('All Cases - Enter Cases'!$F782="Punjab",'All Cases - Enter Cases'!A782,"")</f>
        <v/>
      </c>
      <c r="B782" t="str">
        <f>IF($A782&lt;&gt;"",'All Cases - Enter Cases'!B782,"")</f>
        <v/>
      </c>
      <c r="C782" t="str">
        <f>IF($A782&lt;&gt;"",'All Cases - Enter Cases'!C782,"")</f>
        <v/>
      </c>
      <c r="D782" t="str">
        <f>IF($A782&lt;&gt;"",'All Cases - Enter Cases'!D782,"")</f>
        <v/>
      </c>
      <c r="E782" t="str">
        <f>IF($A782&lt;&gt;"",'All Cases - Enter Cases'!E782,"")</f>
        <v/>
      </c>
      <c r="F782" t="str">
        <f>IF($A782&lt;&gt;"",'All Cases - Enter Cases'!F782,"")</f>
        <v/>
      </c>
      <c r="G782" t="str">
        <f>IF($A782&lt;&gt;"",'All Cases - Enter Cases'!G782,"")</f>
        <v/>
      </c>
      <c r="H782" t="str">
        <f>IF($A782&lt;&gt;"",'All Cases - Enter Cases'!H782,"")</f>
        <v/>
      </c>
      <c r="I782" t="str">
        <f>IF($A782&lt;&gt;"",'All Cases - Enter Cases'!I782,"")</f>
        <v/>
      </c>
      <c r="J782" s="4" t="str">
        <f>IF($A782&lt;&gt;"",'All Cases - Enter Cases'!J782,"")</f>
        <v/>
      </c>
      <c r="K782" s="4" t="str">
        <f>IF($A782&lt;&gt;"",'All Cases - Enter Cases'!K782,"")</f>
        <v/>
      </c>
      <c r="L782" s="4" t="str">
        <f>IF($A782&lt;&gt;"",'All Cases - Enter Cases'!L782,"")</f>
        <v/>
      </c>
      <c r="M782" t="str">
        <f>IF($A782&lt;&gt;"",'All Cases - Enter Cases'!M782,"")</f>
        <v/>
      </c>
    </row>
    <row r="783" spans="1:13" x14ac:dyDescent="0.35">
      <c r="A783" s="4" t="str">
        <f>IF('All Cases - Enter Cases'!$F783="Punjab",'All Cases - Enter Cases'!A783,"")</f>
        <v/>
      </c>
      <c r="B783" t="str">
        <f>IF($A783&lt;&gt;"",'All Cases - Enter Cases'!B783,"")</f>
        <v/>
      </c>
      <c r="C783" t="str">
        <f>IF($A783&lt;&gt;"",'All Cases - Enter Cases'!C783,"")</f>
        <v/>
      </c>
      <c r="D783" t="str">
        <f>IF($A783&lt;&gt;"",'All Cases - Enter Cases'!D783,"")</f>
        <v/>
      </c>
      <c r="E783" t="str">
        <f>IF($A783&lt;&gt;"",'All Cases - Enter Cases'!E783,"")</f>
        <v/>
      </c>
      <c r="F783" t="str">
        <f>IF($A783&lt;&gt;"",'All Cases - Enter Cases'!F783,"")</f>
        <v/>
      </c>
      <c r="G783" t="str">
        <f>IF($A783&lt;&gt;"",'All Cases - Enter Cases'!G783,"")</f>
        <v/>
      </c>
      <c r="H783" t="str">
        <f>IF($A783&lt;&gt;"",'All Cases - Enter Cases'!H783,"")</f>
        <v/>
      </c>
      <c r="I783" t="str">
        <f>IF($A783&lt;&gt;"",'All Cases - Enter Cases'!I783,"")</f>
        <v/>
      </c>
      <c r="J783" s="4" t="str">
        <f>IF($A783&lt;&gt;"",'All Cases - Enter Cases'!J783,"")</f>
        <v/>
      </c>
      <c r="K783" s="4" t="str">
        <f>IF($A783&lt;&gt;"",'All Cases - Enter Cases'!K783,"")</f>
        <v/>
      </c>
      <c r="L783" s="4" t="str">
        <f>IF($A783&lt;&gt;"",'All Cases - Enter Cases'!L783,"")</f>
        <v/>
      </c>
      <c r="M783" t="str">
        <f>IF($A783&lt;&gt;"",'All Cases - Enter Cases'!M783,"")</f>
        <v/>
      </c>
    </row>
    <row r="784" spans="1:13" x14ac:dyDescent="0.35">
      <c r="A784" s="4" t="str">
        <f>IF('All Cases - Enter Cases'!$F784="Punjab",'All Cases - Enter Cases'!A784,"")</f>
        <v/>
      </c>
      <c r="B784" t="str">
        <f>IF($A784&lt;&gt;"",'All Cases - Enter Cases'!B784,"")</f>
        <v/>
      </c>
      <c r="C784" t="str">
        <f>IF($A784&lt;&gt;"",'All Cases - Enter Cases'!C784,"")</f>
        <v/>
      </c>
      <c r="D784" t="str">
        <f>IF($A784&lt;&gt;"",'All Cases - Enter Cases'!D784,"")</f>
        <v/>
      </c>
      <c r="E784" t="str">
        <f>IF($A784&lt;&gt;"",'All Cases - Enter Cases'!E784,"")</f>
        <v/>
      </c>
      <c r="F784" t="str">
        <f>IF($A784&lt;&gt;"",'All Cases - Enter Cases'!F784,"")</f>
        <v/>
      </c>
      <c r="G784" t="str">
        <f>IF($A784&lt;&gt;"",'All Cases - Enter Cases'!G784,"")</f>
        <v/>
      </c>
      <c r="H784" t="str">
        <f>IF($A784&lt;&gt;"",'All Cases - Enter Cases'!H784,"")</f>
        <v/>
      </c>
      <c r="I784" t="str">
        <f>IF($A784&lt;&gt;"",'All Cases - Enter Cases'!I784,"")</f>
        <v/>
      </c>
      <c r="J784" s="4" t="str">
        <f>IF($A784&lt;&gt;"",'All Cases - Enter Cases'!J784,"")</f>
        <v/>
      </c>
      <c r="K784" s="4" t="str">
        <f>IF($A784&lt;&gt;"",'All Cases - Enter Cases'!K784,"")</f>
        <v/>
      </c>
      <c r="L784" s="4" t="str">
        <f>IF($A784&lt;&gt;"",'All Cases - Enter Cases'!L784,"")</f>
        <v/>
      </c>
      <c r="M784" t="str">
        <f>IF($A784&lt;&gt;"",'All Cases - Enter Cases'!M784,"")</f>
        <v/>
      </c>
    </row>
    <row r="785" spans="1:13" x14ac:dyDescent="0.35">
      <c r="A785" s="4" t="str">
        <f>IF('All Cases - Enter Cases'!$F785="Punjab",'All Cases - Enter Cases'!A785,"")</f>
        <v/>
      </c>
      <c r="B785" t="str">
        <f>IF($A785&lt;&gt;"",'All Cases - Enter Cases'!B785,"")</f>
        <v/>
      </c>
      <c r="C785" t="str">
        <f>IF($A785&lt;&gt;"",'All Cases - Enter Cases'!C785,"")</f>
        <v/>
      </c>
      <c r="D785" t="str">
        <f>IF($A785&lt;&gt;"",'All Cases - Enter Cases'!D785,"")</f>
        <v/>
      </c>
      <c r="E785" t="str">
        <f>IF($A785&lt;&gt;"",'All Cases - Enter Cases'!E785,"")</f>
        <v/>
      </c>
      <c r="F785" t="str">
        <f>IF($A785&lt;&gt;"",'All Cases - Enter Cases'!F785,"")</f>
        <v/>
      </c>
      <c r="G785" t="str">
        <f>IF($A785&lt;&gt;"",'All Cases - Enter Cases'!G785,"")</f>
        <v/>
      </c>
      <c r="H785" t="str">
        <f>IF($A785&lt;&gt;"",'All Cases - Enter Cases'!H785,"")</f>
        <v/>
      </c>
      <c r="I785" t="str">
        <f>IF($A785&lt;&gt;"",'All Cases - Enter Cases'!I785,"")</f>
        <v/>
      </c>
      <c r="J785" s="4" t="str">
        <f>IF($A785&lt;&gt;"",'All Cases - Enter Cases'!J785,"")</f>
        <v/>
      </c>
      <c r="K785" s="4" t="str">
        <f>IF($A785&lt;&gt;"",'All Cases - Enter Cases'!K785,"")</f>
        <v/>
      </c>
      <c r="L785" s="4" t="str">
        <f>IF($A785&lt;&gt;"",'All Cases - Enter Cases'!L785,"")</f>
        <v/>
      </c>
      <c r="M785" t="str">
        <f>IF($A785&lt;&gt;"",'All Cases - Enter Cases'!M785,"")</f>
        <v/>
      </c>
    </row>
    <row r="786" spans="1:13" x14ac:dyDescent="0.35">
      <c r="A786" s="4" t="str">
        <f>IF('All Cases - Enter Cases'!$F786="Punjab",'All Cases - Enter Cases'!A786,"")</f>
        <v/>
      </c>
      <c r="B786" t="str">
        <f>IF($A786&lt;&gt;"",'All Cases - Enter Cases'!B786,"")</f>
        <v/>
      </c>
      <c r="C786" t="str">
        <f>IF($A786&lt;&gt;"",'All Cases - Enter Cases'!C786,"")</f>
        <v/>
      </c>
      <c r="D786" t="str">
        <f>IF($A786&lt;&gt;"",'All Cases - Enter Cases'!D786,"")</f>
        <v/>
      </c>
      <c r="E786" t="str">
        <f>IF($A786&lt;&gt;"",'All Cases - Enter Cases'!E786,"")</f>
        <v/>
      </c>
      <c r="F786" t="str">
        <f>IF($A786&lt;&gt;"",'All Cases - Enter Cases'!F786,"")</f>
        <v/>
      </c>
      <c r="G786" t="str">
        <f>IF($A786&lt;&gt;"",'All Cases - Enter Cases'!G786,"")</f>
        <v/>
      </c>
      <c r="H786" t="str">
        <f>IF($A786&lt;&gt;"",'All Cases - Enter Cases'!H786,"")</f>
        <v/>
      </c>
      <c r="I786" t="str">
        <f>IF($A786&lt;&gt;"",'All Cases - Enter Cases'!I786,"")</f>
        <v/>
      </c>
      <c r="J786" s="4" t="str">
        <f>IF($A786&lt;&gt;"",'All Cases - Enter Cases'!J786,"")</f>
        <v/>
      </c>
      <c r="K786" s="4" t="str">
        <f>IF($A786&lt;&gt;"",'All Cases - Enter Cases'!K786,"")</f>
        <v/>
      </c>
      <c r="L786" s="4" t="str">
        <f>IF($A786&lt;&gt;"",'All Cases - Enter Cases'!L786,"")</f>
        <v/>
      </c>
      <c r="M786" t="str">
        <f>IF($A786&lt;&gt;"",'All Cases - Enter Cases'!M786,"")</f>
        <v/>
      </c>
    </row>
    <row r="787" spans="1:13" x14ac:dyDescent="0.35">
      <c r="A787" s="4" t="str">
        <f>IF('All Cases - Enter Cases'!$F787="Punjab",'All Cases - Enter Cases'!A787,"")</f>
        <v/>
      </c>
      <c r="B787" t="str">
        <f>IF($A787&lt;&gt;"",'All Cases - Enter Cases'!B787,"")</f>
        <v/>
      </c>
      <c r="C787" t="str">
        <f>IF($A787&lt;&gt;"",'All Cases - Enter Cases'!C787,"")</f>
        <v/>
      </c>
      <c r="D787" t="str">
        <f>IF($A787&lt;&gt;"",'All Cases - Enter Cases'!D787,"")</f>
        <v/>
      </c>
      <c r="E787" t="str">
        <f>IF($A787&lt;&gt;"",'All Cases - Enter Cases'!E787,"")</f>
        <v/>
      </c>
      <c r="F787" t="str">
        <f>IF($A787&lt;&gt;"",'All Cases - Enter Cases'!F787,"")</f>
        <v/>
      </c>
      <c r="G787" t="str">
        <f>IF($A787&lt;&gt;"",'All Cases - Enter Cases'!G787,"")</f>
        <v/>
      </c>
      <c r="H787" t="str">
        <f>IF($A787&lt;&gt;"",'All Cases - Enter Cases'!H787,"")</f>
        <v/>
      </c>
      <c r="I787" t="str">
        <f>IF($A787&lt;&gt;"",'All Cases - Enter Cases'!I787,"")</f>
        <v/>
      </c>
      <c r="J787" s="4" t="str">
        <f>IF($A787&lt;&gt;"",'All Cases - Enter Cases'!J787,"")</f>
        <v/>
      </c>
      <c r="K787" s="4" t="str">
        <f>IF($A787&lt;&gt;"",'All Cases - Enter Cases'!K787,"")</f>
        <v/>
      </c>
      <c r="L787" s="4" t="str">
        <f>IF($A787&lt;&gt;"",'All Cases - Enter Cases'!L787,"")</f>
        <v/>
      </c>
      <c r="M787" t="str">
        <f>IF($A787&lt;&gt;"",'All Cases - Enter Cases'!M787,"")</f>
        <v/>
      </c>
    </row>
    <row r="788" spans="1:13" x14ac:dyDescent="0.35">
      <c r="A788" s="4" t="str">
        <f>IF('All Cases - Enter Cases'!$F788="Punjab",'All Cases - Enter Cases'!A788,"")</f>
        <v/>
      </c>
      <c r="B788" t="str">
        <f>IF($A788&lt;&gt;"",'All Cases - Enter Cases'!B788,"")</f>
        <v/>
      </c>
      <c r="C788" t="str">
        <f>IF($A788&lt;&gt;"",'All Cases - Enter Cases'!C788,"")</f>
        <v/>
      </c>
      <c r="D788" t="str">
        <f>IF($A788&lt;&gt;"",'All Cases - Enter Cases'!D788,"")</f>
        <v/>
      </c>
      <c r="E788" t="str">
        <f>IF($A788&lt;&gt;"",'All Cases - Enter Cases'!E788,"")</f>
        <v/>
      </c>
      <c r="F788" t="str">
        <f>IF($A788&lt;&gt;"",'All Cases - Enter Cases'!F788,"")</f>
        <v/>
      </c>
      <c r="G788" t="str">
        <f>IF($A788&lt;&gt;"",'All Cases - Enter Cases'!G788,"")</f>
        <v/>
      </c>
      <c r="H788" t="str">
        <f>IF($A788&lt;&gt;"",'All Cases - Enter Cases'!H788,"")</f>
        <v/>
      </c>
      <c r="I788" t="str">
        <f>IF($A788&lt;&gt;"",'All Cases - Enter Cases'!I788,"")</f>
        <v/>
      </c>
      <c r="J788" s="4" t="str">
        <f>IF($A788&lt;&gt;"",'All Cases - Enter Cases'!J788,"")</f>
        <v/>
      </c>
      <c r="K788" s="4" t="str">
        <f>IF($A788&lt;&gt;"",'All Cases - Enter Cases'!K788,"")</f>
        <v/>
      </c>
      <c r="L788" s="4" t="str">
        <f>IF($A788&lt;&gt;"",'All Cases - Enter Cases'!L788,"")</f>
        <v/>
      </c>
      <c r="M788" t="str">
        <f>IF($A788&lt;&gt;"",'All Cases - Enter Cases'!M788,"")</f>
        <v/>
      </c>
    </row>
    <row r="789" spans="1:13" x14ac:dyDescent="0.35">
      <c r="A789" s="4" t="str">
        <f>IF('All Cases - Enter Cases'!$F789="Punjab",'All Cases - Enter Cases'!A789,"")</f>
        <v/>
      </c>
      <c r="B789" t="str">
        <f>IF($A789&lt;&gt;"",'All Cases - Enter Cases'!B789,"")</f>
        <v/>
      </c>
      <c r="C789" t="str">
        <f>IF($A789&lt;&gt;"",'All Cases - Enter Cases'!C789,"")</f>
        <v/>
      </c>
      <c r="D789" t="str">
        <f>IF($A789&lt;&gt;"",'All Cases - Enter Cases'!D789,"")</f>
        <v/>
      </c>
      <c r="E789" t="str">
        <f>IF($A789&lt;&gt;"",'All Cases - Enter Cases'!E789,"")</f>
        <v/>
      </c>
      <c r="F789" t="str">
        <f>IF($A789&lt;&gt;"",'All Cases - Enter Cases'!F789,"")</f>
        <v/>
      </c>
      <c r="G789" t="str">
        <f>IF($A789&lt;&gt;"",'All Cases - Enter Cases'!G789,"")</f>
        <v/>
      </c>
      <c r="H789" t="str">
        <f>IF($A789&lt;&gt;"",'All Cases - Enter Cases'!H789,"")</f>
        <v/>
      </c>
      <c r="I789" t="str">
        <f>IF($A789&lt;&gt;"",'All Cases - Enter Cases'!I789,"")</f>
        <v/>
      </c>
      <c r="J789" s="4" t="str">
        <f>IF($A789&lt;&gt;"",'All Cases - Enter Cases'!J789,"")</f>
        <v/>
      </c>
      <c r="K789" s="4" t="str">
        <f>IF($A789&lt;&gt;"",'All Cases - Enter Cases'!K789,"")</f>
        <v/>
      </c>
      <c r="L789" s="4" t="str">
        <f>IF($A789&lt;&gt;"",'All Cases - Enter Cases'!L789,"")</f>
        <v/>
      </c>
      <c r="M789" t="str">
        <f>IF($A789&lt;&gt;"",'All Cases - Enter Cases'!M789,"")</f>
        <v/>
      </c>
    </row>
    <row r="790" spans="1:13" x14ac:dyDescent="0.35">
      <c r="A790" s="4" t="str">
        <f>IF('All Cases - Enter Cases'!$F790="Punjab",'All Cases - Enter Cases'!A790,"")</f>
        <v/>
      </c>
      <c r="B790" t="str">
        <f>IF($A790&lt;&gt;"",'All Cases - Enter Cases'!B790,"")</f>
        <v/>
      </c>
      <c r="C790" t="str">
        <f>IF($A790&lt;&gt;"",'All Cases - Enter Cases'!C790,"")</f>
        <v/>
      </c>
      <c r="D790" t="str">
        <f>IF($A790&lt;&gt;"",'All Cases - Enter Cases'!D790,"")</f>
        <v/>
      </c>
      <c r="E790" t="str">
        <f>IF($A790&lt;&gt;"",'All Cases - Enter Cases'!E790,"")</f>
        <v/>
      </c>
      <c r="F790" t="str">
        <f>IF($A790&lt;&gt;"",'All Cases - Enter Cases'!F790,"")</f>
        <v/>
      </c>
      <c r="G790" t="str">
        <f>IF($A790&lt;&gt;"",'All Cases - Enter Cases'!G790,"")</f>
        <v/>
      </c>
      <c r="H790" t="str">
        <f>IF($A790&lt;&gt;"",'All Cases - Enter Cases'!H790,"")</f>
        <v/>
      </c>
      <c r="I790" t="str">
        <f>IF($A790&lt;&gt;"",'All Cases - Enter Cases'!I790,"")</f>
        <v/>
      </c>
      <c r="J790" s="4" t="str">
        <f>IF($A790&lt;&gt;"",'All Cases - Enter Cases'!J790,"")</f>
        <v/>
      </c>
      <c r="K790" s="4" t="str">
        <f>IF($A790&lt;&gt;"",'All Cases - Enter Cases'!K790,"")</f>
        <v/>
      </c>
      <c r="L790" s="4" t="str">
        <f>IF($A790&lt;&gt;"",'All Cases - Enter Cases'!L790,"")</f>
        <v/>
      </c>
      <c r="M790" t="str">
        <f>IF($A790&lt;&gt;"",'All Cases - Enter Cases'!M790,"")</f>
        <v/>
      </c>
    </row>
    <row r="791" spans="1:13" x14ac:dyDescent="0.35">
      <c r="A791" s="4" t="str">
        <f>IF('All Cases - Enter Cases'!$F791="Punjab",'All Cases - Enter Cases'!A791,"")</f>
        <v/>
      </c>
      <c r="B791" t="str">
        <f>IF($A791&lt;&gt;"",'All Cases - Enter Cases'!B791,"")</f>
        <v/>
      </c>
      <c r="C791" t="str">
        <f>IF($A791&lt;&gt;"",'All Cases - Enter Cases'!C791,"")</f>
        <v/>
      </c>
      <c r="D791" t="str">
        <f>IF($A791&lt;&gt;"",'All Cases - Enter Cases'!D791,"")</f>
        <v/>
      </c>
      <c r="E791" t="str">
        <f>IF($A791&lt;&gt;"",'All Cases - Enter Cases'!E791,"")</f>
        <v/>
      </c>
      <c r="F791" t="str">
        <f>IF($A791&lt;&gt;"",'All Cases - Enter Cases'!F791,"")</f>
        <v/>
      </c>
      <c r="G791" t="str">
        <f>IF($A791&lt;&gt;"",'All Cases - Enter Cases'!G791,"")</f>
        <v/>
      </c>
      <c r="H791" t="str">
        <f>IF($A791&lt;&gt;"",'All Cases - Enter Cases'!H791,"")</f>
        <v/>
      </c>
      <c r="I791" t="str">
        <f>IF($A791&lt;&gt;"",'All Cases - Enter Cases'!I791,"")</f>
        <v/>
      </c>
      <c r="J791" s="4" t="str">
        <f>IF($A791&lt;&gt;"",'All Cases - Enter Cases'!J791,"")</f>
        <v/>
      </c>
      <c r="K791" s="4" t="str">
        <f>IF($A791&lt;&gt;"",'All Cases - Enter Cases'!K791,"")</f>
        <v/>
      </c>
      <c r="L791" s="4" t="str">
        <f>IF($A791&lt;&gt;"",'All Cases - Enter Cases'!L791,"")</f>
        <v/>
      </c>
      <c r="M791" t="str">
        <f>IF($A791&lt;&gt;"",'All Cases - Enter Cases'!M791,"")</f>
        <v/>
      </c>
    </row>
    <row r="792" spans="1:13" x14ac:dyDescent="0.35">
      <c r="A792" s="4" t="str">
        <f>IF('All Cases - Enter Cases'!$F792="Punjab",'All Cases - Enter Cases'!A792,"")</f>
        <v/>
      </c>
      <c r="B792" t="str">
        <f>IF($A792&lt;&gt;"",'All Cases - Enter Cases'!B792,"")</f>
        <v/>
      </c>
      <c r="C792" t="str">
        <f>IF($A792&lt;&gt;"",'All Cases - Enter Cases'!C792,"")</f>
        <v/>
      </c>
      <c r="D792" t="str">
        <f>IF($A792&lt;&gt;"",'All Cases - Enter Cases'!D792,"")</f>
        <v/>
      </c>
      <c r="E792" t="str">
        <f>IF($A792&lt;&gt;"",'All Cases - Enter Cases'!E792,"")</f>
        <v/>
      </c>
      <c r="F792" t="str">
        <f>IF($A792&lt;&gt;"",'All Cases - Enter Cases'!F792,"")</f>
        <v/>
      </c>
      <c r="G792" t="str">
        <f>IF($A792&lt;&gt;"",'All Cases - Enter Cases'!G792,"")</f>
        <v/>
      </c>
      <c r="H792" t="str">
        <f>IF($A792&lt;&gt;"",'All Cases - Enter Cases'!H792,"")</f>
        <v/>
      </c>
      <c r="I792" t="str">
        <f>IF($A792&lt;&gt;"",'All Cases - Enter Cases'!I792,"")</f>
        <v/>
      </c>
      <c r="J792" s="4" t="str">
        <f>IF($A792&lt;&gt;"",'All Cases - Enter Cases'!J792,"")</f>
        <v/>
      </c>
      <c r="K792" s="4" t="str">
        <f>IF($A792&lt;&gt;"",'All Cases - Enter Cases'!K792,"")</f>
        <v/>
      </c>
      <c r="L792" s="4" t="str">
        <f>IF($A792&lt;&gt;"",'All Cases - Enter Cases'!L792,"")</f>
        <v/>
      </c>
      <c r="M792" t="str">
        <f>IF($A792&lt;&gt;"",'All Cases - Enter Cases'!M792,"")</f>
        <v/>
      </c>
    </row>
    <row r="793" spans="1:13" x14ac:dyDescent="0.35">
      <c r="A793" s="4" t="str">
        <f>IF('All Cases - Enter Cases'!$F793="Punjab",'All Cases - Enter Cases'!A793,"")</f>
        <v/>
      </c>
      <c r="B793" t="str">
        <f>IF($A793&lt;&gt;"",'All Cases - Enter Cases'!B793,"")</f>
        <v/>
      </c>
      <c r="C793" t="str">
        <f>IF($A793&lt;&gt;"",'All Cases - Enter Cases'!C793,"")</f>
        <v/>
      </c>
      <c r="D793" t="str">
        <f>IF($A793&lt;&gt;"",'All Cases - Enter Cases'!D793,"")</f>
        <v/>
      </c>
      <c r="E793" t="str">
        <f>IF($A793&lt;&gt;"",'All Cases - Enter Cases'!E793,"")</f>
        <v/>
      </c>
      <c r="F793" t="str">
        <f>IF($A793&lt;&gt;"",'All Cases - Enter Cases'!F793,"")</f>
        <v/>
      </c>
      <c r="G793" t="str">
        <f>IF($A793&lt;&gt;"",'All Cases - Enter Cases'!G793,"")</f>
        <v/>
      </c>
      <c r="H793" t="str">
        <f>IF($A793&lt;&gt;"",'All Cases - Enter Cases'!H793,"")</f>
        <v/>
      </c>
      <c r="I793" t="str">
        <f>IF($A793&lt;&gt;"",'All Cases - Enter Cases'!I793,"")</f>
        <v/>
      </c>
      <c r="J793" s="4" t="str">
        <f>IF($A793&lt;&gt;"",'All Cases - Enter Cases'!J793,"")</f>
        <v/>
      </c>
      <c r="K793" s="4" t="str">
        <f>IF($A793&lt;&gt;"",'All Cases - Enter Cases'!K793,"")</f>
        <v/>
      </c>
      <c r="L793" s="4" t="str">
        <f>IF($A793&lt;&gt;"",'All Cases - Enter Cases'!L793,"")</f>
        <v/>
      </c>
      <c r="M793" t="str">
        <f>IF($A793&lt;&gt;"",'All Cases - Enter Cases'!M793,"")</f>
        <v/>
      </c>
    </row>
    <row r="794" spans="1:13" x14ac:dyDescent="0.35">
      <c r="A794" s="4" t="str">
        <f>IF('All Cases - Enter Cases'!$F794="Punjab",'All Cases - Enter Cases'!A794,"")</f>
        <v/>
      </c>
      <c r="B794" t="str">
        <f>IF($A794&lt;&gt;"",'All Cases - Enter Cases'!B794,"")</f>
        <v/>
      </c>
      <c r="C794" t="str">
        <f>IF($A794&lt;&gt;"",'All Cases - Enter Cases'!C794,"")</f>
        <v/>
      </c>
      <c r="D794" t="str">
        <f>IF($A794&lt;&gt;"",'All Cases - Enter Cases'!D794,"")</f>
        <v/>
      </c>
      <c r="E794" t="str">
        <f>IF($A794&lt;&gt;"",'All Cases - Enter Cases'!E794,"")</f>
        <v/>
      </c>
      <c r="F794" t="str">
        <f>IF($A794&lt;&gt;"",'All Cases - Enter Cases'!F794,"")</f>
        <v/>
      </c>
      <c r="G794" t="str">
        <f>IF($A794&lt;&gt;"",'All Cases - Enter Cases'!G794,"")</f>
        <v/>
      </c>
      <c r="H794" t="str">
        <f>IF($A794&lt;&gt;"",'All Cases - Enter Cases'!H794,"")</f>
        <v/>
      </c>
      <c r="I794" t="str">
        <f>IF($A794&lt;&gt;"",'All Cases - Enter Cases'!I794,"")</f>
        <v/>
      </c>
      <c r="J794" s="4" t="str">
        <f>IF($A794&lt;&gt;"",'All Cases - Enter Cases'!J794,"")</f>
        <v/>
      </c>
      <c r="K794" s="4" t="str">
        <f>IF($A794&lt;&gt;"",'All Cases - Enter Cases'!K794,"")</f>
        <v/>
      </c>
      <c r="L794" s="4" t="str">
        <f>IF($A794&lt;&gt;"",'All Cases - Enter Cases'!L794,"")</f>
        <v/>
      </c>
      <c r="M794" t="str">
        <f>IF($A794&lt;&gt;"",'All Cases - Enter Cases'!M794,"")</f>
        <v/>
      </c>
    </row>
    <row r="795" spans="1:13" x14ac:dyDescent="0.35">
      <c r="A795" s="4" t="str">
        <f>IF('All Cases - Enter Cases'!$F795="Punjab",'All Cases - Enter Cases'!A795,"")</f>
        <v/>
      </c>
      <c r="B795" t="str">
        <f>IF($A795&lt;&gt;"",'All Cases - Enter Cases'!B795,"")</f>
        <v/>
      </c>
      <c r="C795" t="str">
        <f>IF($A795&lt;&gt;"",'All Cases - Enter Cases'!C795,"")</f>
        <v/>
      </c>
      <c r="D795" t="str">
        <f>IF($A795&lt;&gt;"",'All Cases - Enter Cases'!D795,"")</f>
        <v/>
      </c>
      <c r="E795" t="str">
        <f>IF($A795&lt;&gt;"",'All Cases - Enter Cases'!E795,"")</f>
        <v/>
      </c>
      <c r="F795" t="str">
        <f>IF($A795&lt;&gt;"",'All Cases - Enter Cases'!F795,"")</f>
        <v/>
      </c>
      <c r="G795" t="str">
        <f>IF($A795&lt;&gt;"",'All Cases - Enter Cases'!G795,"")</f>
        <v/>
      </c>
      <c r="H795" t="str">
        <f>IF($A795&lt;&gt;"",'All Cases - Enter Cases'!H795,"")</f>
        <v/>
      </c>
      <c r="I795" t="str">
        <f>IF($A795&lt;&gt;"",'All Cases - Enter Cases'!I795,"")</f>
        <v/>
      </c>
      <c r="J795" s="4" t="str">
        <f>IF($A795&lt;&gt;"",'All Cases - Enter Cases'!J795,"")</f>
        <v/>
      </c>
      <c r="K795" s="4" t="str">
        <f>IF($A795&lt;&gt;"",'All Cases - Enter Cases'!K795,"")</f>
        <v/>
      </c>
      <c r="L795" s="4" t="str">
        <f>IF($A795&lt;&gt;"",'All Cases - Enter Cases'!L795,"")</f>
        <v/>
      </c>
      <c r="M795" t="str">
        <f>IF($A795&lt;&gt;"",'All Cases - Enter Cases'!M795,"")</f>
        <v/>
      </c>
    </row>
    <row r="796" spans="1:13" x14ac:dyDescent="0.35">
      <c r="A796" s="4" t="str">
        <f>IF('All Cases - Enter Cases'!$F796="Punjab",'All Cases - Enter Cases'!A796,"")</f>
        <v/>
      </c>
      <c r="B796" t="str">
        <f>IF($A796&lt;&gt;"",'All Cases - Enter Cases'!B796,"")</f>
        <v/>
      </c>
      <c r="C796" t="str">
        <f>IF($A796&lt;&gt;"",'All Cases - Enter Cases'!C796,"")</f>
        <v/>
      </c>
      <c r="D796" t="str">
        <f>IF($A796&lt;&gt;"",'All Cases - Enter Cases'!D796,"")</f>
        <v/>
      </c>
      <c r="E796" t="str">
        <f>IF($A796&lt;&gt;"",'All Cases - Enter Cases'!E796,"")</f>
        <v/>
      </c>
      <c r="F796" t="str">
        <f>IF($A796&lt;&gt;"",'All Cases - Enter Cases'!F796,"")</f>
        <v/>
      </c>
      <c r="G796" t="str">
        <f>IF($A796&lt;&gt;"",'All Cases - Enter Cases'!G796,"")</f>
        <v/>
      </c>
      <c r="H796" t="str">
        <f>IF($A796&lt;&gt;"",'All Cases - Enter Cases'!H796,"")</f>
        <v/>
      </c>
      <c r="I796" t="str">
        <f>IF($A796&lt;&gt;"",'All Cases - Enter Cases'!I796,"")</f>
        <v/>
      </c>
      <c r="J796" s="4" t="str">
        <f>IF($A796&lt;&gt;"",'All Cases - Enter Cases'!J796,"")</f>
        <v/>
      </c>
      <c r="K796" s="4" t="str">
        <f>IF($A796&lt;&gt;"",'All Cases - Enter Cases'!K796,"")</f>
        <v/>
      </c>
      <c r="L796" s="4" t="str">
        <f>IF($A796&lt;&gt;"",'All Cases - Enter Cases'!L796,"")</f>
        <v/>
      </c>
      <c r="M796" t="str">
        <f>IF($A796&lt;&gt;"",'All Cases - Enter Cases'!M796,"")</f>
        <v/>
      </c>
    </row>
    <row r="797" spans="1:13" x14ac:dyDescent="0.35">
      <c r="A797" s="4" t="str">
        <f>IF('All Cases - Enter Cases'!$F797="Punjab",'All Cases - Enter Cases'!A797,"")</f>
        <v/>
      </c>
      <c r="B797" t="str">
        <f>IF($A797&lt;&gt;"",'All Cases - Enter Cases'!B797,"")</f>
        <v/>
      </c>
      <c r="C797" t="str">
        <f>IF($A797&lt;&gt;"",'All Cases - Enter Cases'!C797,"")</f>
        <v/>
      </c>
      <c r="D797" t="str">
        <f>IF($A797&lt;&gt;"",'All Cases - Enter Cases'!D797,"")</f>
        <v/>
      </c>
      <c r="E797" t="str">
        <f>IF($A797&lt;&gt;"",'All Cases - Enter Cases'!E797,"")</f>
        <v/>
      </c>
      <c r="F797" t="str">
        <f>IF($A797&lt;&gt;"",'All Cases - Enter Cases'!F797,"")</f>
        <v/>
      </c>
      <c r="G797" t="str">
        <f>IF($A797&lt;&gt;"",'All Cases - Enter Cases'!G797,"")</f>
        <v/>
      </c>
      <c r="H797" t="str">
        <f>IF($A797&lt;&gt;"",'All Cases - Enter Cases'!H797,"")</f>
        <v/>
      </c>
      <c r="I797" t="str">
        <f>IF($A797&lt;&gt;"",'All Cases - Enter Cases'!I797,"")</f>
        <v/>
      </c>
      <c r="J797" s="4" t="str">
        <f>IF($A797&lt;&gt;"",'All Cases - Enter Cases'!J797,"")</f>
        <v/>
      </c>
      <c r="K797" s="4" t="str">
        <f>IF($A797&lt;&gt;"",'All Cases - Enter Cases'!K797,"")</f>
        <v/>
      </c>
      <c r="L797" s="4" t="str">
        <f>IF($A797&lt;&gt;"",'All Cases - Enter Cases'!L797,"")</f>
        <v/>
      </c>
      <c r="M797" t="str">
        <f>IF($A797&lt;&gt;"",'All Cases - Enter Cases'!M797,"")</f>
        <v/>
      </c>
    </row>
    <row r="798" spans="1:13" x14ac:dyDescent="0.35">
      <c r="A798" s="4" t="str">
        <f>IF('All Cases - Enter Cases'!$F798="Punjab",'All Cases - Enter Cases'!A798,"")</f>
        <v/>
      </c>
      <c r="B798" t="str">
        <f>IF($A798&lt;&gt;"",'All Cases - Enter Cases'!B798,"")</f>
        <v/>
      </c>
      <c r="C798" t="str">
        <f>IF($A798&lt;&gt;"",'All Cases - Enter Cases'!C798,"")</f>
        <v/>
      </c>
      <c r="D798" t="str">
        <f>IF($A798&lt;&gt;"",'All Cases - Enter Cases'!D798,"")</f>
        <v/>
      </c>
      <c r="E798" t="str">
        <f>IF($A798&lt;&gt;"",'All Cases - Enter Cases'!E798,"")</f>
        <v/>
      </c>
      <c r="F798" t="str">
        <f>IF($A798&lt;&gt;"",'All Cases - Enter Cases'!F798,"")</f>
        <v/>
      </c>
      <c r="G798" t="str">
        <f>IF($A798&lt;&gt;"",'All Cases - Enter Cases'!G798,"")</f>
        <v/>
      </c>
      <c r="H798" t="str">
        <f>IF($A798&lt;&gt;"",'All Cases - Enter Cases'!H798,"")</f>
        <v/>
      </c>
      <c r="I798" t="str">
        <f>IF($A798&lt;&gt;"",'All Cases - Enter Cases'!I798,"")</f>
        <v/>
      </c>
      <c r="J798" s="4" t="str">
        <f>IF($A798&lt;&gt;"",'All Cases - Enter Cases'!J798,"")</f>
        <v/>
      </c>
      <c r="K798" s="4" t="str">
        <f>IF($A798&lt;&gt;"",'All Cases - Enter Cases'!K798,"")</f>
        <v/>
      </c>
      <c r="L798" s="4" t="str">
        <f>IF($A798&lt;&gt;"",'All Cases - Enter Cases'!L798,"")</f>
        <v/>
      </c>
      <c r="M798" t="str">
        <f>IF($A798&lt;&gt;"",'All Cases - Enter Cases'!M798,"")</f>
        <v/>
      </c>
    </row>
    <row r="799" spans="1:13" x14ac:dyDescent="0.35">
      <c r="A799" s="4" t="str">
        <f>IF('All Cases - Enter Cases'!$F799="Punjab",'All Cases - Enter Cases'!A799,"")</f>
        <v/>
      </c>
      <c r="B799" t="str">
        <f>IF($A799&lt;&gt;"",'All Cases - Enter Cases'!B799,"")</f>
        <v/>
      </c>
      <c r="C799" t="str">
        <f>IF($A799&lt;&gt;"",'All Cases - Enter Cases'!C799,"")</f>
        <v/>
      </c>
      <c r="D799" t="str">
        <f>IF($A799&lt;&gt;"",'All Cases - Enter Cases'!D799,"")</f>
        <v/>
      </c>
      <c r="E799" t="str">
        <f>IF($A799&lt;&gt;"",'All Cases - Enter Cases'!E799,"")</f>
        <v/>
      </c>
      <c r="F799" t="str">
        <f>IF($A799&lt;&gt;"",'All Cases - Enter Cases'!F799,"")</f>
        <v/>
      </c>
      <c r="G799" t="str">
        <f>IF($A799&lt;&gt;"",'All Cases - Enter Cases'!G799,"")</f>
        <v/>
      </c>
      <c r="H799" t="str">
        <f>IF($A799&lt;&gt;"",'All Cases - Enter Cases'!H799,"")</f>
        <v/>
      </c>
      <c r="I799" t="str">
        <f>IF($A799&lt;&gt;"",'All Cases - Enter Cases'!I799,"")</f>
        <v/>
      </c>
      <c r="J799" s="4" t="str">
        <f>IF($A799&lt;&gt;"",'All Cases - Enter Cases'!J799,"")</f>
        <v/>
      </c>
      <c r="K799" s="4" t="str">
        <f>IF($A799&lt;&gt;"",'All Cases - Enter Cases'!K799,"")</f>
        <v/>
      </c>
      <c r="L799" s="4" t="str">
        <f>IF($A799&lt;&gt;"",'All Cases - Enter Cases'!L799,"")</f>
        <v/>
      </c>
      <c r="M799" t="str">
        <f>IF($A799&lt;&gt;"",'All Cases - Enter Cases'!M799,"")</f>
        <v/>
      </c>
    </row>
    <row r="800" spans="1:13" x14ac:dyDescent="0.35">
      <c r="A800" s="4" t="str">
        <f>IF('All Cases - Enter Cases'!$F800="Punjab",'All Cases - Enter Cases'!A800,"")</f>
        <v/>
      </c>
      <c r="B800" t="str">
        <f>IF($A800&lt;&gt;"",'All Cases - Enter Cases'!B800,"")</f>
        <v/>
      </c>
      <c r="C800" t="str">
        <f>IF($A800&lt;&gt;"",'All Cases - Enter Cases'!C800,"")</f>
        <v/>
      </c>
      <c r="D800" t="str">
        <f>IF($A800&lt;&gt;"",'All Cases - Enter Cases'!D800,"")</f>
        <v/>
      </c>
      <c r="E800" t="str">
        <f>IF($A800&lt;&gt;"",'All Cases - Enter Cases'!E800,"")</f>
        <v/>
      </c>
      <c r="F800" t="str">
        <f>IF($A800&lt;&gt;"",'All Cases - Enter Cases'!F800,"")</f>
        <v/>
      </c>
      <c r="G800" t="str">
        <f>IF($A800&lt;&gt;"",'All Cases - Enter Cases'!G800,"")</f>
        <v/>
      </c>
      <c r="H800" t="str">
        <f>IF($A800&lt;&gt;"",'All Cases - Enter Cases'!H800,"")</f>
        <v/>
      </c>
      <c r="I800" t="str">
        <f>IF($A800&lt;&gt;"",'All Cases - Enter Cases'!I800,"")</f>
        <v/>
      </c>
      <c r="J800" s="4" t="str">
        <f>IF($A800&lt;&gt;"",'All Cases - Enter Cases'!J800,"")</f>
        <v/>
      </c>
      <c r="K800" s="4" t="str">
        <f>IF($A800&lt;&gt;"",'All Cases - Enter Cases'!K800,"")</f>
        <v/>
      </c>
      <c r="L800" s="4" t="str">
        <f>IF($A800&lt;&gt;"",'All Cases - Enter Cases'!L800,"")</f>
        <v/>
      </c>
      <c r="M800" t="str">
        <f>IF($A800&lt;&gt;"",'All Cases - Enter Cases'!M800,"")</f>
        <v/>
      </c>
    </row>
    <row r="801" spans="1:13" x14ac:dyDescent="0.35">
      <c r="A801" s="4" t="str">
        <f>IF('All Cases - Enter Cases'!$F801="Punjab",'All Cases - Enter Cases'!A801,"")</f>
        <v/>
      </c>
      <c r="B801" t="str">
        <f>IF($A801&lt;&gt;"",'All Cases - Enter Cases'!B801,"")</f>
        <v/>
      </c>
      <c r="C801" t="str">
        <f>IF($A801&lt;&gt;"",'All Cases - Enter Cases'!C801,"")</f>
        <v/>
      </c>
      <c r="D801" t="str">
        <f>IF($A801&lt;&gt;"",'All Cases - Enter Cases'!D801,"")</f>
        <v/>
      </c>
      <c r="E801" t="str">
        <f>IF($A801&lt;&gt;"",'All Cases - Enter Cases'!E801,"")</f>
        <v/>
      </c>
      <c r="F801" t="str">
        <f>IF($A801&lt;&gt;"",'All Cases - Enter Cases'!F801,"")</f>
        <v/>
      </c>
      <c r="G801" t="str">
        <f>IF($A801&lt;&gt;"",'All Cases - Enter Cases'!G801,"")</f>
        <v/>
      </c>
      <c r="H801" t="str">
        <f>IF($A801&lt;&gt;"",'All Cases - Enter Cases'!H801,"")</f>
        <v/>
      </c>
      <c r="I801" t="str">
        <f>IF($A801&lt;&gt;"",'All Cases - Enter Cases'!I801,"")</f>
        <v/>
      </c>
      <c r="J801" s="4" t="str">
        <f>IF($A801&lt;&gt;"",'All Cases - Enter Cases'!J801,"")</f>
        <v/>
      </c>
      <c r="K801" s="4" t="str">
        <f>IF($A801&lt;&gt;"",'All Cases - Enter Cases'!K801,"")</f>
        <v/>
      </c>
      <c r="L801" s="4" t="str">
        <f>IF($A801&lt;&gt;"",'All Cases - Enter Cases'!L801,"")</f>
        <v/>
      </c>
      <c r="M801" t="str">
        <f>IF($A801&lt;&gt;"",'All Cases - Enter Cases'!M801,"")</f>
        <v/>
      </c>
    </row>
    <row r="802" spans="1:13" x14ac:dyDescent="0.35">
      <c r="A802" s="4" t="str">
        <f>IF('All Cases - Enter Cases'!$F802="Punjab",'All Cases - Enter Cases'!A802,"")</f>
        <v/>
      </c>
      <c r="B802" t="str">
        <f>IF($A802&lt;&gt;"",'All Cases - Enter Cases'!B802,"")</f>
        <v/>
      </c>
      <c r="C802" t="str">
        <f>IF($A802&lt;&gt;"",'All Cases - Enter Cases'!C802,"")</f>
        <v/>
      </c>
      <c r="D802" t="str">
        <f>IF($A802&lt;&gt;"",'All Cases - Enter Cases'!D802,"")</f>
        <v/>
      </c>
      <c r="E802" t="str">
        <f>IF($A802&lt;&gt;"",'All Cases - Enter Cases'!E802,"")</f>
        <v/>
      </c>
      <c r="F802" t="str">
        <f>IF($A802&lt;&gt;"",'All Cases - Enter Cases'!F802,"")</f>
        <v/>
      </c>
      <c r="G802" t="str">
        <f>IF($A802&lt;&gt;"",'All Cases - Enter Cases'!G802,"")</f>
        <v/>
      </c>
      <c r="H802" t="str">
        <f>IF($A802&lt;&gt;"",'All Cases - Enter Cases'!H802,"")</f>
        <v/>
      </c>
      <c r="I802" t="str">
        <f>IF($A802&lt;&gt;"",'All Cases - Enter Cases'!I802,"")</f>
        <v/>
      </c>
      <c r="J802" s="4" t="str">
        <f>IF($A802&lt;&gt;"",'All Cases - Enter Cases'!J802,"")</f>
        <v/>
      </c>
      <c r="K802" s="4" t="str">
        <f>IF($A802&lt;&gt;"",'All Cases - Enter Cases'!K802,"")</f>
        <v/>
      </c>
      <c r="L802" s="4" t="str">
        <f>IF($A802&lt;&gt;"",'All Cases - Enter Cases'!L802,"")</f>
        <v/>
      </c>
      <c r="M802" t="str">
        <f>IF($A802&lt;&gt;"",'All Cases - Enter Cases'!M802,"")</f>
        <v/>
      </c>
    </row>
    <row r="803" spans="1:13" x14ac:dyDescent="0.35">
      <c r="A803" s="4" t="str">
        <f>IF('All Cases - Enter Cases'!$F803="Punjab",'All Cases - Enter Cases'!A803,"")</f>
        <v/>
      </c>
      <c r="B803" t="str">
        <f>IF($A803&lt;&gt;"",'All Cases - Enter Cases'!B803,"")</f>
        <v/>
      </c>
      <c r="C803" t="str">
        <f>IF($A803&lt;&gt;"",'All Cases - Enter Cases'!C803,"")</f>
        <v/>
      </c>
      <c r="D803" t="str">
        <f>IF($A803&lt;&gt;"",'All Cases - Enter Cases'!D803,"")</f>
        <v/>
      </c>
      <c r="E803" t="str">
        <f>IF($A803&lt;&gt;"",'All Cases - Enter Cases'!E803,"")</f>
        <v/>
      </c>
      <c r="F803" t="str">
        <f>IF($A803&lt;&gt;"",'All Cases - Enter Cases'!F803,"")</f>
        <v/>
      </c>
      <c r="G803" t="str">
        <f>IF($A803&lt;&gt;"",'All Cases - Enter Cases'!G803,"")</f>
        <v/>
      </c>
      <c r="H803" t="str">
        <f>IF($A803&lt;&gt;"",'All Cases - Enter Cases'!H803,"")</f>
        <v/>
      </c>
      <c r="I803" t="str">
        <f>IF($A803&lt;&gt;"",'All Cases - Enter Cases'!I803,"")</f>
        <v/>
      </c>
      <c r="J803" s="4" t="str">
        <f>IF($A803&lt;&gt;"",'All Cases - Enter Cases'!J803,"")</f>
        <v/>
      </c>
      <c r="K803" s="4" t="str">
        <f>IF($A803&lt;&gt;"",'All Cases - Enter Cases'!K803,"")</f>
        <v/>
      </c>
      <c r="L803" s="4" t="str">
        <f>IF($A803&lt;&gt;"",'All Cases - Enter Cases'!L803,"")</f>
        <v/>
      </c>
      <c r="M803" t="str">
        <f>IF($A803&lt;&gt;"",'All Cases - Enter Cases'!M803,"")</f>
        <v/>
      </c>
    </row>
    <row r="804" spans="1:13" x14ac:dyDescent="0.35">
      <c r="A804" s="4" t="str">
        <f>IF('All Cases - Enter Cases'!$F804="Punjab",'All Cases - Enter Cases'!A804,"")</f>
        <v/>
      </c>
      <c r="B804" t="str">
        <f>IF($A804&lt;&gt;"",'All Cases - Enter Cases'!B804,"")</f>
        <v/>
      </c>
      <c r="C804" t="str">
        <f>IF($A804&lt;&gt;"",'All Cases - Enter Cases'!C804,"")</f>
        <v/>
      </c>
      <c r="D804" t="str">
        <f>IF($A804&lt;&gt;"",'All Cases - Enter Cases'!D804,"")</f>
        <v/>
      </c>
      <c r="E804" t="str">
        <f>IF($A804&lt;&gt;"",'All Cases - Enter Cases'!E804,"")</f>
        <v/>
      </c>
      <c r="F804" t="str">
        <f>IF($A804&lt;&gt;"",'All Cases - Enter Cases'!F804,"")</f>
        <v/>
      </c>
      <c r="G804" t="str">
        <f>IF($A804&lt;&gt;"",'All Cases - Enter Cases'!G804,"")</f>
        <v/>
      </c>
      <c r="H804" t="str">
        <f>IF($A804&lt;&gt;"",'All Cases - Enter Cases'!H804,"")</f>
        <v/>
      </c>
      <c r="I804" t="str">
        <f>IF($A804&lt;&gt;"",'All Cases - Enter Cases'!I804,"")</f>
        <v/>
      </c>
      <c r="J804" s="4" t="str">
        <f>IF($A804&lt;&gt;"",'All Cases - Enter Cases'!J804,"")</f>
        <v/>
      </c>
      <c r="K804" s="4" t="str">
        <f>IF($A804&lt;&gt;"",'All Cases - Enter Cases'!K804,"")</f>
        <v/>
      </c>
      <c r="L804" s="4" t="str">
        <f>IF($A804&lt;&gt;"",'All Cases - Enter Cases'!L804,"")</f>
        <v/>
      </c>
      <c r="M804" t="str">
        <f>IF($A804&lt;&gt;"",'All Cases - Enter Cases'!M804,"")</f>
        <v/>
      </c>
    </row>
    <row r="805" spans="1:13" x14ac:dyDescent="0.35">
      <c r="A805" s="4" t="str">
        <f>IF('All Cases - Enter Cases'!$F805="Punjab",'All Cases - Enter Cases'!A805,"")</f>
        <v/>
      </c>
      <c r="B805" t="str">
        <f>IF($A805&lt;&gt;"",'All Cases - Enter Cases'!B805,"")</f>
        <v/>
      </c>
      <c r="C805" t="str">
        <f>IF($A805&lt;&gt;"",'All Cases - Enter Cases'!C805,"")</f>
        <v/>
      </c>
      <c r="D805" t="str">
        <f>IF($A805&lt;&gt;"",'All Cases - Enter Cases'!D805,"")</f>
        <v/>
      </c>
      <c r="E805" t="str">
        <f>IF($A805&lt;&gt;"",'All Cases - Enter Cases'!E805,"")</f>
        <v/>
      </c>
      <c r="F805" t="str">
        <f>IF($A805&lt;&gt;"",'All Cases - Enter Cases'!F805,"")</f>
        <v/>
      </c>
      <c r="G805" t="str">
        <f>IF($A805&lt;&gt;"",'All Cases - Enter Cases'!G805,"")</f>
        <v/>
      </c>
      <c r="H805" t="str">
        <f>IF($A805&lt;&gt;"",'All Cases - Enter Cases'!H805,"")</f>
        <v/>
      </c>
      <c r="I805" t="str">
        <f>IF($A805&lt;&gt;"",'All Cases - Enter Cases'!I805,"")</f>
        <v/>
      </c>
      <c r="J805" s="4" t="str">
        <f>IF($A805&lt;&gt;"",'All Cases - Enter Cases'!J805,"")</f>
        <v/>
      </c>
      <c r="K805" s="4" t="str">
        <f>IF($A805&lt;&gt;"",'All Cases - Enter Cases'!K805,"")</f>
        <v/>
      </c>
      <c r="L805" s="4" t="str">
        <f>IF($A805&lt;&gt;"",'All Cases - Enter Cases'!L805,"")</f>
        <v/>
      </c>
      <c r="M805" t="str">
        <f>IF($A805&lt;&gt;"",'All Cases - Enter Cases'!M805,"")</f>
        <v/>
      </c>
    </row>
    <row r="806" spans="1:13" x14ac:dyDescent="0.35">
      <c r="A806" s="4" t="str">
        <f>IF('All Cases - Enter Cases'!$F806="Punjab",'All Cases - Enter Cases'!A806,"")</f>
        <v/>
      </c>
      <c r="B806" t="str">
        <f>IF($A806&lt;&gt;"",'All Cases - Enter Cases'!B806,"")</f>
        <v/>
      </c>
      <c r="C806" t="str">
        <f>IF($A806&lt;&gt;"",'All Cases - Enter Cases'!C806,"")</f>
        <v/>
      </c>
      <c r="D806" t="str">
        <f>IF($A806&lt;&gt;"",'All Cases - Enter Cases'!D806,"")</f>
        <v/>
      </c>
      <c r="E806" t="str">
        <f>IF($A806&lt;&gt;"",'All Cases - Enter Cases'!E806,"")</f>
        <v/>
      </c>
      <c r="F806" t="str">
        <f>IF($A806&lt;&gt;"",'All Cases - Enter Cases'!F806,"")</f>
        <v/>
      </c>
      <c r="G806" t="str">
        <f>IF($A806&lt;&gt;"",'All Cases - Enter Cases'!G806,"")</f>
        <v/>
      </c>
      <c r="H806" t="str">
        <f>IF($A806&lt;&gt;"",'All Cases - Enter Cases'!H806,"")</f>
        <v/>
      </c>
      <c r="I806" t="str">
        <f>IF($A806&lt;&gt;"",'All Cases - Enter Cases'!I806,"")</f>
        <v/>
      </c>
      <c r="J806" s="4" t="str">
        <f>IF($A806&lt;&gt;"",'All Cases - Enter Cases'!J806,"")</f>
        <v/>
      </c>
      <c r="K806" s="4" t="str">
        <f>IF($A806&lt;&gt;"",'All Cases - Enter Cases'!K806,"")</f>
        <v/>
      </c>
      <c r="L806" s="4" t="str">
        <f>IF($A806&lt;&gt;"",'All Cases - Enter Cases'!L806,"")</f>
        <v/>
      </c>
      <c r="M806" t="str">
        <f>IF($A806&lt;&gt;"",'All Cases - Enter Cases'!M806,"")</f>
        <v/>
      </c>
    </row>
    <row r="807" spans="1:13" x14ac:dyDescent="0.35">
      <c r="A807" s="4" t="str">
        <f>IF('All Cases - Enter Cases'!$F807="Punjab",'All Cases - Enter Cases'!A807,"")</f>
        <v/>
      </c>
      <c r="B807" t="str">
        <f>IF($A807&lt;&gt;"",'All Cases - Enter Cases'!B807,"")</f>
        <v/>
      </c>
      <c r="C807" t="str">
        <f>IF($A807&lt;&gt;"",'All Cases - Enter Cases'!C807,"")</f>
        <v/>
      </c>
      <c r="D807" t="str">
        <f>IF($A807&lt;&gt;"",'All Cases - Enter Cases'!D807,"")</f>
        <v/>
      </c>
      <c r="E807" t="str">
        <f>IF($A807&lt;&gt;"",'All Cases - Enter Cases'!E807,"")</f>
        <v/>
      </c>
      <c r="F807" t="str">
        <f>IF($A807&lt;&gt;"",'All Cases - Enter Cases'!F807,"")</f>
        <v/>
      </c>
      <c r="G807" t="str">
        <f>IF($A807&lt;&gt;"",'All Cases - Enter Cases'!G807,"")</f>
        <v/>
      </c>
      <c r="H807" t="str">
        <f>IF($A807&lt;&gt;"",'All Cases - Enter Cases'!H807,"")</f>
        <v/>
      </c>
      <c r="I807" t="str">
        <f>IF($A807&lt;&gt;"",'All Cases - Enter Cases'!I807,"")</f>
        <v/>
      </c>
      <c r="J807" s="4" t="str">
        <f>IF($A807&lt;&gt;"",'All Cases - Enter Cases'!J807,"")</f>
        <v/>
      </c>
      <c r="K807" s="4" t="str">
        <f>IF($A807&lt;&gt;"",'All Cases - Enter Cases'!K807,"")</f>
        <v/>
      </c>
      <c r="L807" s="4" t="str">
        <f>IF($A807&lt;&gt;"",'All Cases - Enter Cases'!L807,"")</f>
        <v/>
      </c>
      <c r="M807" t="str">
        <f>IF($A807&lt;&gt;"",'All Cases - Enter Cases'!M807,"")</f>
        <v/>
      </c>
    </row>
    <row r="808" spans="1:13" x14ac:dyDescent="0.35">
      <c r="A808" s="4" t="str">
        <f>IF('All Cases - Enter Cases'!$F808="Punjab",'All Cases - Enter Cases'!A808,"")</f>
        <v/>
      </c>
      <c r="B808" t="str">
        <f>IF($A808&lt;&gt;"",'All Cases - Enter Cases'!B808,"")</f>
        <v/>
      </c>
      <c r="C808" t="str">
        <f>IF($A808&lt;&gt;"",'All Cases - Enter Cases'!C808,"")</f>
        <v/>
      </c>
      <c r="D808" t="str">
        <f>IF($A808&lt;&gt;"",'All Cases - Enter Cases'!D808,"")</f>
        <v/>
      </c>
      <c r="E808" t="str">
        <f>IF($A808&lt;&gt;"",'All Cases - Enter Cases'!E808,"")</f>
        <v/>
      </c>
      <c r="F808" t="str">
        <f>IF($A808&lt;&gt;"",'All Cases - Enter Cases'!F808,"")</f>
        <v/>
      </c>
      <c r="G808" t="str">
        <f>IF($A808&lt;&gt;"",'All Cases - Enter Cases'!G808,"")</f>
        <v/>
      </c>
      <c r="H808" t="str">
        <f>IF($A808&lt;&gt;"",'All Cases - Enter Cases'!H808,"")</f>
        <v/>
      </c>
      <c r="I808" t="str">
        <f>IF($A808&lt;&gt;"",'All Cases - Enter Cases'!I808,"")</f>
        <v/>
      </c>
      <c r="J808" s="4" t="str">
        <f>IF($A808&lt;&gt;"",'All Cases - Enter Cases'!J808,"")</f>
        <v/>
      </c>
      <c r="K808" s="4" t="str">
        <f>IF($A808&lt;&gt;"",'All Cases - Enter Cases'!K808,"")</f>
        <v/>
      </c>
      <c r="L808" s="4" t="str">
        <f>IF($A808&lt;&gt;"",'All Cases - Enter Cases'!L808,"")</f>
        <v/>
      </c>
      <c r="M808" t="str">
        <f>IF($A808&lt;&gt;"",'All Cases - Enter Cases'!M808,"")</f>
        <v/>
      </c>
    </row>
    <row r="809" spans="1:13" x14ac:dyDescent="0.35">
      <c r="A809" s="4" t="str">
        <f>IF('All Cases - Enter Cases'!$F809="Punjab",'All Cases - Enter Cases'!A809,"")</f>
        <v/>
      </c>
      <c r="B809" t="str">
        <f>IF($A809&lt;&gt;"",'All Cases - Enter Cases'!B809,"")</f>
        <v/>
      </c>
      <c r="C809" t="str">
        <f>IF($A809&lt;&gt;"",'All Cases - Enter Cases'!C809,"")</f>
        <v/>
      </c>
      <c r="D809" t="str">
        <f>IF($A809&lt;&gt;"",'All Cases - Enter Cases'!D809,"")</f>
        <v/>
      </c>
      <c r="E809" t="str">
        <f>IF($A809&lt;&gt;"",'All Cases - Enter Cases'!E809,"")</f>
        <v/>
      </c>
      <c r="F809" t="str">
        <f>IF($A809&lt;&gt;"",'All Cases - Enter Cases'!F809,"")</f>
        <v/>
      </c>
      <c r="G809" t="str">
        <f>IF($A809&lt;&gt;"",'All Cases - Enter Cases'!G809,"")</f>
        <v/>
      </c>
      <c r="H809" t="str">
        <f>IF($A809&lt;&gt;"",'All Cases - Enter Cases'!H809,"")</f>
        <v/>
      </c>
      <c r="I809" t="str">
        <f>IF($A809&lt;&gt;"",'All Cases - Enter Cases'!I809,"")</f>
        <v/>
      </c>
      <c r="J809" s="4" t="str">
        <f>IF($A809&lt;&gt;"",'All Cases - Enter Cases'!J809,"")</f>
        <v/>
      </c>
      <c r="K809" s="4" t="str">
        <f>IF($A809&lt;&gt;"",'All Cases - Enter Cases'!K809,"")</f>
        <v/>
      </c>
      <c r="L809" s="4" t="str">
        <f>IF($A809&lt;&gt;"",'All Cases - Enter Cases'!L809,"")</f>
        <v/>
      </c>
      <c r="M809" t="str">
        <f>IF($A809&lt;&gt;"",'All Cases - Enter Cases'!M809,"")</f>
        <v/>
      </c>
    </row>
    <row r="810" spans="1:13" x14ac:dyDescent="0.35">
      <c r="A810" s="4" t="str">
        <f>IF('All Cases - Enter Cases'!$F810="Punjab",'All Cases - Enter Cases'!A810,"")</f>
        <v/>
      </c>
      <c r="B810" t="str">
        <f>IF($A810&lt;&gt;"",'All Cases - Enter Cases'!B810,"")</f>
        <v/>
      </c>
      <c r="C810" t="str">
        <f>IF($A810&lt;&gt;"",'All Cases - Enter Cases'!C810,"")</f>
        <v/>
      </c>
      <c r="D810" t="str">
        <f>IF($A810&lt;&gt;"",'All Cases - Enter Cases'!D810,"")</f>
        <v/>
      </c>
      <c r="E810" t="str">
        <f>IF($A810&lt;&gt;"",'All Cases - Enter Cases'!E810,"")</f>
        <v/>
      </c>
      <c r="F810" t="str">
        <f>IF($A810&lt;&gt;"",'All Cases - Enter Cases'!F810,"")</f>
        <v/>
      </c>
      <c r="G810" t="str">
        <f>IF($A810&lt;&gt;"",'All Cases - Enter Cases'!G810,"")</f>
        <v/>
      </c>
      <c r="H810" t="str">
        <f>IF($A810&lt;&gt;"",'All Cases - Enter Cases'!H810,"")</f>
        <v/>
      </c>
      <c r="I810" t="str">
        <f>IF($A810&lt;&gt;"",'All Cases - Enter Cases'!I810,"")</f>
        <v/>
      </c>
      <c r="J810" s="4" t="str">
        <f>IF($A810&lt;&gt;"",'All Cases - Enter Cases'!J810,"")</f>
        <v/>
      </c>
      <c r="K810" s="4" t="str">
        <f>IF($A810&lt;&gt;"",'All Cases - Enter Cases'!K810,"")</f>
        <v/>
      </c>
      <c r="L810" s="4" t="str">
        <f>IF($A810&lt;&gt;"",'All Cases - Enter Cases'!L810,"")</f>
        <v/>
      </c>
      <c r="M810" t="str">
        <f>IF($A810&lt;&gt;"",'All Cases - Enter Cases'!M810,"")</f>
        <v/>
      </c>
    </row>
    <row r="811" spans="1:13" x14ac:dyDescent="0.35">
      <c r="A811" s="4" t="str">
        <f>IF('All Cases - Enter Cases'!$F811="Punjab",'All Cases - Enter Cases'!A811,"")</f>
        <v/>
      </c>
      <c r="B811" t="str">
        <f>IF($A811&lt;&gt;"",'All Cases - Enter Cases'!B811,"")</f>
        <v/>
      </c>
      <c r="C811" t="str">
        <f>IF($A811&lt;&gt;"",'All Cases - Enter Cases'!C811,"")</f>
        <v/>
      </c>
      <c r="D811" t="str">
        <f>IF($A811&lt;&gt;"",'All Cases - Enter Cases'!D811,"")</f>
        <v/>
      </c>
      <c r="E811" t="str">
        <f>IF($A811&lt;&gt;"",'All Cases - Enter Cases'!E811,"")</f>
        <v/>
      </c>
      <c r="F811" t="str">
        <f>IF($A811&lt;&gt;"",'All Cases - Enter Cases'!F811,"")</f>
        <v/>
      </c>
      <c r="G811" t="str">
        <f>IF($A811&lt;&gt;"",'All Cases - Enter Cases'!G811,"")</f>
        <v/>
      </c>
      <c r="H811" t="str">
        <f>IF($A811&lt;&gt;"",'All Cases - Enter Cases'!H811,"")</f>
        <v/>
      </c>
      <c r="I811" t="str">
        <f>IF($A811&lt;&gt;"",'All Cases - Enter Cases'!I811,"")</f>
        <v/>
      </c>
      <c r="J811" s="4" t="str">
        <f>IF($A811&lt;&gt;"",'All Cases - Enter Cases'!J811,"")</f>
        <v/>
      </c>
      <c r="K811" s="4" t="str">
        <f>IF($A811&lt;&gt;"",'All Cases - Enter Cases'!K811,"")</f>
        <v/>
      </c>
      <c r="L811" s="4" t="str">
        <f>IF($A811&lt;&gt;"",'All Cases - Enter Cases'!L811,"")</f>
        <v/>
      </c>
      <c r="M811" t="str">
        <f>IF($A811&lt;&gt;"",'All Cases - Enter Cases'!M811,"")</f>
        <v/>
      </c>
    </row>
    <row r="812" spans="1:13" x14ac:dyDescent="0.35">
      <c r="A812" s="4" t="str">
        <f>IF('All Cases - Enter Cases'!$F812="Punjab",'All Cases - Enter Cases'!A812,"")</f>
        <v/>
      </c>
      <c r="B812" t="str">
        <f>IF($A812&lt;&gt;"",'All Cases - Enter Cases'!B812,"")</f>
        <v/>
      </c>
      <c r="C812" t="str">
        <f>IF($A812&lt;&gt;"",'All Cases - Enter Cases'!C812,"")</f>
        <v/>
      </c>
      <c r="D812" t="str">
        <f>IF($A812&lt;&gt;"",'All Cases - Enter Cases'!D812,"")</f>
        <v/>
      </c>
      <c r="E812" t="str">
        <f>IF($A812&lt;&gt;"",'All Cases - Enter Cases'!E812,"")</f>
        <v/>
      </c>
      <c r="F812" t="str">
        <f>IF($A812&lt;&gt;"",'All Cases - Enter Cases'!F812,"")</f>
        <v/>
      </c>
      <c r="G812" t="str">
        <f>IF($A812&lt;&gt;"",'All Cases - Enter Cases'!G812,"")</f>
        <v/>
      </c>
      <c r="H812" t="str">
        <f>IF($A812&lt;&gt;"",'All Cases - Enter Cases'!H812,"")</f>
        <v/>
      </c>
      <c r="I812" t="str">
        <f>IF($A812&lt;&gt;"",'All Cases - Enter Cases'!I812,"")</f>
        <v/>
      </c>
      <c r="J812" s="4" t="str">
        <f>IF($A812&lt;&gt;"",'All Cases - Enter Cases'!J812,"")</f>
        <v/>
      </c>
      <c r="K812" s="4" t="str">
        <f>IF($A812&lt;&gt;"",'All Cases - Enter Cases'!K812,"")</f>
        <v/>
      </c>
      <c r="L812" s="4" t="str">
        <f>IF($A812&lt;&gt;"",'All Cases - Enter Cases'!L812,"")</f>
        <v/>
      </c>
      <c r="M812" t="str">
        <f>IF($A812&lt;&gt;"",'All Cases - Enter Cases'!M812,"")</f>
        <v/>
      </c>
    </row>
    <row r="813" spans="1:13" x14ac:dyDescent="0.35">
      <c r="A813" s="4" t="str">
        <f>IF('All Cases - Enter Cases'!$F813="Punjab",'All Cases - Enter Cases'!A813,"")</f>
        <v/>
      </c>
      <c r="B813" t="str">
        <f>IF($A813&lt;&gt;"",'All Cases - Enter Cases'!B813,"")</f>
        <v/>
      </c>
      <c r="C813" t="str">
        <f>IF($A813&lt;&gt;"",'All Cases - Enter Cases'!C813,"")</f>
        <v/>
      </c>
      <c r="D813" t="str">
        <f>IF($A813&lt;&gt;"",'All Cases - Enter Cases'!D813,"")</f>
        <v/>
      </c>
      <c r="E813" t="str">
        <f>IF($A813&lt;&gt;"",'All Cases - Enter Cases'!E813,"")</f>
        <v/>
      </c>
      <c r="F813" t="str">
        <f>IF($A813&lt;&gt;"",'All Cases - Enter Cases'!F813,"")</f>
        <v/>
      </c>
      <c r="G813" t="str">
        <f>IF($A813&lt;&gt;"",'All Cases - Enter Cases'!G813,"")</f>
        <v/>
      </c>
      <c r="H813" t="str">
        <f>IF($A813&lt;&gt;"",'All Cases - Enter Cases'!H813,"")</f>
        <v/>
      </c>
      <c r="I813" t="str">
        <f>IF($A813&lt;&gt;"",'All Cases - Enter Cases'!I813,"")</f>
        <v/>
      </c>
      <c r="J813" s="4" t="str">
        <f>IF($A813&lt;&gt;"",'All Cases - Enter Cases'!J813,"")</f>
        <v/>
      </c>
      <c r="K813" s="4" t="str">
        <f>IF($A813&lt;&gt;"",'All Cases - Enter Cases'!K813,"")</f>
        <v/>
      </c>
      <c r="L813" s="4" t="str">
        <f>IF($A813&lt;&gt;"",'All Cases - Enter Cases'!L813,"")</f>
        <v/>
      </c>
      <c r="M813" t="str">
        <f>IF($A813&lt;&gt;"",'All Cases - Enter Cases'!M813,"")</f>
        <v/>
      </c>
    </row>
    <row r="814" spans="1:13" x14ac:dyDescent="0.35">
      <c r="A814" s="4" t="str">
        <f>IF('All Cases - Enter Cases'!$F814="Punjab",'All Cases - Enter Cases'!A814,"")</f>
        <v/>
      </c>
      <c r="B814" t="str">
        <f>IF($A814&lt;&gt;"",'All Cases - Enter Cases'!B814,"")</f>
        <v/>
      </c>
      <c r="C814" t="str">
        <f>IF($A814&lt;&gt;"",'All Cases - Enter Cases'!C814,"")</f>
        <v/>
      </c>
      <c r="D814" t="str">
        <f>IF($A814&lt;&gt;"",'All Cases - Enter Cases'!D814,"")</f>
        <v/>
      </c>
      <c r="E814" t="str">
        <f>IF($A814&lt;&gt;"",'All Cases - Enter Cases'!E814,"")</f>
        <v/>
      </c>
      <c r="F814" t="str">
        <f>IF($A814&lt;&gt;"",'All Cases - Enter Cases'!F814,"")</f>
        <v/>
      </c>
      <c r="G814" t="str">
        <f>IF($A814&lt;&gt;"",'All Cases - Enter Cases'!G814,"")</f>
        <v/>
      </c>
      <c r="H814" t="str">
        <f>IF($A814&lt;&gt;"",'All Cases - Enter Cases'!H814,"")</f>
        <v/>
      </c>
      <c r="I814" t="str">
        <f>IF($A814&lt;&gt;"",'All Cases - Enter Cases'!I814,"")</f>
        <v/>
      </c>
      <c r="J814" s="4" t="str">
        <f>IF($A814&lt;&gt;"",'All Cases - Enter Cases'!J814,"")</f>
        <v/>
      </c>
      <c r="K814" s="4" t="str">
        <f>IF($A814&lt;&gt;"",'All Cases - Enter Cases'!K814,"")</f>
        <v/>
      </c>
      <c r="L814" s="4" t="str">
        <f>IF($A814&lt;&gt;"",'All Cases - Enter Cases'!L814,"")</f>
        <v/>
      </c>
      <c r="M814" t="str">
        <f>IF($A814&lt;&gt;"",'All Cases - Enter Cases'!M814,"")</f>
        <v/>
      </c>
    </row>
    <row r="815" spans="1:13" x14ac:dyDescent="0.35">
      <c r="A815" s="4" t="str">
        <f>IF('All Cases - Enter Cases'!$F815="Punjab",'All Cases - Enter Cases'!A815,"")</f>
        <v/>
      </c>
      <c r="B815" t="str">
        <f>IF($A815&lt;&gt;"",'All Cases - Enter Cases'!B815,"")</f>
        <v/>
      </c>
      <c r="C815" t="str">
        <f>IF($A815&lt;&gt;"",'All Cases - Enter Cases'!C815,"")</f>
        <v/>
      </c>
      <c r="D815" t="str">
        <f>IF($A815&lt;&gt;"",'All Cases - Enter Cases'!D815,"")</f>
        <v/>
      </c>
      <c r="E815" t="str">
        <f>IF($A815&lt;&gt;"",'All Cases - Enter Cases'!E815,"")</f>
        <v/>
      </c>
      <c r="F815" t="str">
        <f>IF($A815&lt;&gt;"",'All Cases - Enter Cases'!F815,"")</f>
        <v/>
      </c>
      <c r="G815" t="str">
        <f>IF($A815&lt;&gt;"",'All Cases - Enter Cases'!G815,"")</f>
        <v/>
      </c>
      <c r="H815" t="str">
        <f>IF($A815&lt;&gt;"",'All Cases - Enter Cases'!H815,"")</f>
        <v/>
      </c>
      <c r="I815" t="str">
        <f>IF($A815&lt;&gt;"",'All Cases - Enter Cases'!I815,"")</f>
        <v/>
      </c>
      <c r="J815" s="4" t="str">
        <f>IF($A815&lt;&gt;"",'All Cases - Enter Cases'!J815,"")</f>
        <v/>
      </c>
      <c r="K815" s="4" t="str">
        <f>IF($A815&lt;&gt;"",'All Cases - Enter Cases'!K815,"")</f>
        <v/>
      </c>
      <c r="L815" s="4" t="str">
        <f>IF($A815&lt;&gt;"",'All Cases - Enter Cases'!L815,"")</f>
        <v/>
      </c>
      <c r="M815" t="str">
        <f>IF($A815&lt;&gt;"",'All Cases - Enter Cases'!M815,"")</f>
        <v/>
      </c>
    </row>
    <row r="816" spans="1:13" x14ac:dyDescent="0.35">
      <c r="A816" s="4" t="str">
        <f>IF('All Cases - Enter Cases'!$F816="Punjab",'All Cases - Enter Cases'!A816,"")</f>
        <v/>
      </c>
      <c r="B816" t="str">
        <f>IF($A816&lt;&gt;"",'All Cases - Enter Cases'!B816,"")</f>
        <v/>
      </c>
      <c r="C816" t="str">
        <f>IF($A816&lt;&gt;"",'All Cases - Enter Cases'!C816,"")</f>
        <v/>
      </c>
      <c r="D816" t="str">
        <f>IF($A816&lt;&gt;"",'All Cases - Enter Cases'!D816,"")</f>
        <v/>
      </c>
      <c r="E816" t="str">
        <f>IF($A816&lt;&gt;"",'All Cases - Enter Cases'!E816,"")</f>
        <v/>
      </c>
      <c r="F816" t="str">
        <f>IF($A816&lt;&gt;"",'All Cases - Enter Cases'!F816,"")</f>
        <v/>
      </c>
      <c r="G816" t="str">
        <f>IF($A816&lt;&gt;"",'All Cases - Enter Cases'!G816,"")</f>
        <v/>
      </c>
      <c r="H816" t="str">
        <f>IF($A816&lt;&gt;"",'All Cases - Enter Cases'!H816,"")</f>
        <v/>
      </c>
      <c r="I816" t="str">
        <f>IF($A816&lt;&gt;"",'All Cases - Enter Cases'!I816,"")</f>
        <v/>
      </c>
      <c r="J816" s="4" t="str">
        <f>IF($A816&lt;&gt;"",'All Cases - Enter Cases'!J816,"")</f>
        <v/>
      </c>
      <c r="K816" s="4" t="str">
        <f>IF($A816&lt;&gt;"",'All Cases - Enter Cases'!K816,"")</f>
        <v/>
      </c>
      <c r="L816" s="4" t="str">
        <f>IF($A816&lt;&gt;"",'All Cases - Enter Cases'!L816,"")</f>
        <v/>
      </c>
      <c r="M816" t="str">
        <f>IF($A816&lt;&gt;"",'All Cases - Enter Cases'!M816,"")</f>
        <v/>
      </c>
    </row>
    <row r="817" spans="1:13" x14ac:dyDescent="0.35">
      <c r="A817" s="4" t="str">
        <f>IF('All Cases - Enter Cases'!$F817="Punjab",'All Cases - Enter Cases'!A817,"")</f>
        <v/>
      </c>
      <c r="B817" t="str">
        <f>IF($A817&lt;&gt;"",'All Cases - Enter Cases'!B817,"")</f>
        <v/>
      </c>
      <c r="C817" t="str">
        <f>IF($A817&lt;&gt;"",'All Cases - Enter Cases'!C817,"")</f>
        <v/>
      </c>
      <c r="D817" t="str">
        <f>IF($A817&lt;&gt;"",'All Cases - Enter Cases'!D817,"")</f>
        <v/>
      </c>
      <c r="E817" t="str">
        <f>IF($A817&lt;&gt;"",'All Cases - Enter Cases'!E817,"")</f>
        <v/>
      </c>
      <c r="F817" t="str">
        <f>IF($A817&lt;&gt;"",'All Cases - Enter Cases'!F817,"")</f>
        <v/>
      </c>
      <c r="G817" t="str">
        <f>IF($A817&lt;&gt;"",'All Cases - Enter Cases'!G817,"")</f>
        <v/>
      </c>
      <c r="H817" t="str">
        <f>IF($A817&lt;&gt;"",'All Cases - Enter Cases'!H817,"")</f>
        <v/>
      </c>
      <c r="I817" t="str">
        <f>IF($A817&lt;&gt;"",'All Cases - Enter Cases'!I817,"")</f>
        <v/>
      </c>
      <c r="J817" s="4" t="str">
        <f>IF($A817&lt;&gt;"",'All Cases - Enter Cases'!J817,"")</f>
        <v/>
      </c>
      <c r="K817" s="4" t="str">
        <f>IF($A817&lt;&gt;"",'All Cases - Enter Cases'!K817,"")</f>
        <v/>
      </c>
      <c r="L817" s="4" t="str">
        <f>IF($A817&lt;&gt;"",'All Cases - Enter Cases'!L817,"")</f>
        <v/>
      </c>
      <c r="M817" t="str">
        <f>IF($A817&lt;&gt;"",'All Cases - Enter Cases'!M817,"")</f>
        <v/>
      </c>
    </row>
    <row r="818" spans="1:13" x14ac:dyDescent="0.35">
      <c r="A818" s="4" t="str">
        <f>IF('All Cases - Enter Cases'!$F818="Punjab",'All Cases - Enter Cases'!A818,"")</f>
        <v/>
      </c>
      <c r="B818" t="str">
        <f>IF($A818&lt;&gt;"",'All Cases - Enter Cases'!B818,"")</f>
        <v/>
      </c>
      <c r="C818" t="str">
        <f>IF($A818&lt;&gt;"",'All Cases - Enter Cases'!C818,"")</f>
        <v/>
      </c>
      <c r="D818" t="str">
        <f>IF($A818&lt;&gt;"",'All Cases - Enter Cases'!D818,"")</f>
        <v/>
      </c>
      <c r="E818" t="str">
        <f>IF($A818&lt;&gt;"",'All Cases - Enter Cases'!E818,"")</f>
        <v/>
      </c>
      <c r="F818" t="str">
        <f>IF($A818&lt;&gt;"",'All Cases - Enter Cases'!F818,"")</f>
        <v/>
      </c>
      <c r="G818" t="str">
        <f>IF($A818&lt;&gt;"",'All Cases - Enter Cases'!G818,"")</f>
        <v/>
      </c>
      <c r="H818" t="str">
        <f>IF($A818&lt;&gt;"",'All Cases - Enter Cases'!H818,"")</f>
        <v/>
      </c>
      <c r="I818" t="str">
        <f>IF($A818&lt;&gt;"",'All Cases - Enter Cases'!I818,"")</f>
        <v/>
      </c>
      <c r="J818" s="4" t="str">
        <f>IF($A818&lt;&gt;"",'All Cases - Enter Cases'!J818,"")</f>
        <v/>
      </c>
      <c r="K818" s="4" t="str">
        <f>IF($A818&lt;&gt;"",'All Cases - Enter Cases'!K818,"")</f>
        <v/>
      </c>
      <c r="L818" s="4" t="str">
        <f>IF($A818&lt;&gt;"",'All Cases - Enter Cases'!L818,"")</f>
        <v/>
      </c>
      <c r="M818" t="str">
        <f>IF($A818&lt;&gt;"",'All Cases - Enter Cases'!M818,"")</f>
        <v/>
      </c>
    </row>
    <row r="819" spans="1:13" x14ac:dyDescent="0.35">
      <c r="A819" s="4" t="str">
        <f>IF('All Cases - Enter Cases'!$F819="Punjab",'All Cases - Enter Cases'!A819,"")</f>
        <v/>
      </c>
      <c r="B819" t="str">
        <f>IF($A819&lt;&gt;"",'All Cases - Enter Cases'!B819,"")</f>
        <v/>
      </c>
      <c r="C819" t="str">
        <f>IF($A819&lt;&gt;"",'All Cases - Enter Cases'!C819,"")</f>
        <v/>
      </c>
      <c r="D819" t="str">
        <f>IF($A819&lt;&gt;"",'All Cases - Enter Cases'!D819,"")</f>
        <v/>
      </c>
      <c r="E819" t="str">
        <f>IF($A819&lt;&gt;"",'All Cases - Enter Cases'!E819,"")</f>
        <v/>
      </c>
      <c r="F819" t="str">
        <f>IF($A819&lt;&gt;"",'All Cases - Enter Cases'!F819,"")</f>
        <v/>
      </c>
      <c r="G819" t="str">
        <f>IF($A819&lt;&gt;"",'All Cases - Enter Cases'!G819,"")</f>
        <v/>
      </c>
      <c r="H819" t="str">
        <f>IF($A819&lt;&gt;"",'All Cases - Enter Cases'!H819,"")</f>
        <v/>
      </c>
      <c r="I819" t="str">
        <f>IF($A819&lt;&gt;"",'All Cases - Enter Cases'!I819,"")</f>
        <v/>
      </c>
      <c r="J819" s="4" t="str">
        <f>IF($A819&lt;&gt;"",'All Cases - Enter Cases'!J819,"")</f>
        <v/>
      </c>
      <c r="K819" s="4" t="str">
        <f>IF($A819&lt;&gt;"",'All Cases - Enter Cases'!K819,"")</f>
        <v/>
      </c>
      <c r="L819" s="4" t="str">
        <f>IF($A819&lt;&gt;"",'All Cases - Enter Cases'!L819,"")</f>
        <v/>
      </c>
      <c r="M819" t="str">
        <f>IF($A819&lt;&gt;"",'All Cases - Enter Cases'!M819,"")</f>
        <v/>
      </c>
    </row>
    <row r="820" spans="1:13" x14ac:dyDescent="0.35">
      <c r="A820" s="4" t="str">
        <f>IF('All Cases - Enter Cases'!$F820="Punjab",'All Cases - Enter Cases'!A820,"")</f>
        <v/>
      </c>
      <c r="B820" t="str">
        <f>IF($A820&lt;&gt;"",'All Cases - Enter Cases'!B820,"")</f>
        <v/>
      </c>
      <c r="C820" t="str">
        <f>IF($A820&lt;&gt;"",'All Cases - Enter Cases'!C820,"")</f>
        <v/>
      </c>
      <c r="D820" t="str">
        <f>IF($A820&lt;&gt;"",'All Cases - Enter Cases'!D820,"")</f>
        <v/>
      </c>
      <c r="E820" t="str">
        <f>IF($A820&lt;&gt;"",'All Cases - Enter Cases'!E820,"")</f>
        <v/>
      </c>
      <c r="F820" t="str">
        <f>IF($A820&lt;&gt;"",'All Cases - Enter Cases'!F820,"")</f>
        <v/>
      </c>
      <c r="G820" t="str">
        <f>IF($A820&lt;&gt;"",'All Cases - Enter Cases'!G820,"")</f>
        <v/>
      </c>
      <c r="H820" t="str">
        <f>IF($A820&lt;&gt;"",'All Cases - Enter Cases'!H820,"")</f>
        <v/>
      </c>
      <c r="I820" t="str">
        <f>IF($A820&lt;&gt;"",'All Cases - Enter Cases'!I820,"")</f>
        <v/>
      </c>
      <c r="J820" s="4" t="str">
        <f>IF($A820&lt;&gt;"",'All Cases - Enter Cases'!J820,"")</f>
        <v/>
      </c>
      <c r="K820" s="4" t="str">
        <f>IF($A820&lt;&gt;"",'All Cases - Enter Cases'!K820,"")</f>
        <v/>
      </c>
      <c r="L820" s="4" t="str">
        <f>IF($A820&lt;&gt;"",'All Cases - Enter Cases'!L820,"")</f>
        <v/>
      </c>
      <c r="M820" t="str">
        <f>IF($A820&lt;&gt;"",'All Cases - Enter Cases'!M820,"")</f>
        <v/>
      </c>
    </row>
    <row r="821" spans="1:13" x14ac:dyDescent="0.35">
      <c r="A821" s="4" t="str">
        <f>IF('All Cases - Enter Cases'!$F821="Punjab",'All Cases - Enter Cases'!A821,"")</f>
        <v/>
      </c>
      <c r="B821" t="str">
        <f>IF($A821&lt;&gt;"",'All Cases - Enter Cases'!B821,"")</f>
        <v/>
      </c>
      <c r="C821" t="str">
        <f>IF($A821&lt;&gt;"",'All Cases - Enter Cases'!C821,"")</f>
        <v/>
      </c>
      <c r="D821" t="str">
        <f>IF($A821&lt;&gt;"",'All Cases - Enter Cases'!D821,"")</f>
        <v/>
      </c>
      <c r="E821" t="str">
        <f>IF($A821&lt;&gt;"",'All Cases - Enter Cases'!E821,"")</f>
        <v/>
      </c>
      <c r="F821" t="str">
        <f>IF($A821&lt;&gt;"",'All Cases - Enter Cases'!F821,"")</f>
        <v/>
      </c>
      <c r="G821" t="str">
        <f>IF($A821&lt;&gt;"",'All Cases - Enter Cases'!G821,"")</f>
        <v/>
      </c>
      <c r="H821" t="str">
        <f>IF($A821&lt;&gt;"",'All Cases - Enter Cases'!H821,"")</f>
        <v/>
      </c>
      <c r="I821" t="str">
        <f>IF($A821&lt;&gt;"",'All Cases - Enter Cases'!I821,"")</f>
        <v/>
      </c>
      <c r="J821" s="4" t="str">
        <f>IF($A821&lt;&gt;"",'All Cases - Enter Cases'!J821,"")</f>
        <v/>
      </c>
      <c r="K821" s="4" t="str">
        <f>IF($A821&lt;&gt;"",'All Cases - Enter Cases'!K821,"")</f>
        <v/>
      </c>
      <c r="L821" s="4" t="str">
        <f>IF($A821&lt;&gt;"",'All Cases - Enter Cases'!L821,"")</f>
        <v/>
      </c>
      <c r="M821" t="str">
        <f>IF($A821&lt;&gt;"",'All Cases - Enter Cases'!M821,"")</f>
        <v/>
      </c>
    </row>
    <row r="822" spans="1:13" x14ac:dyDescent="0.35">
      <c r="A822" s="4" t="str">
        <f>IF('All Cases - Enter Cases'!$F822="Punjab",'All Cases - Enter Cases'!A822,"")</f>
        <v/>
      </c>
      <c r="B822" t="str">
        <f>IF($A822&lt;&gt;"",'All Cases - Enter Cases'!B822,"")</f>
        <v/>
      </c>
      <c r="C822" t="str">
        <f>IF($A822&lt;&gt;"",'All Cases - Enter Cases'!C822,"")</f>
        <v/>
      </c>
      <c r="D822" t="str">
        <f>IF($A822&lt;&gt;"",'All Cases - Enter Cases'!D822,"")</f>
        <v/>
      </c>
      <c r="E822" t="str">
        <f>IF($A822&lt;&gt;"",'All Cases - Enter Cases'!E822,"")</f>
        <v/>
      </c>
      <c r="F822" t="str">
        <f>IF($A822&lt;&gt;"",'All Cases - Enter Cases'!F822,"")</f>
        <v/>
      </c>
      <c r="G822" t="str">
        <f>IF($A822&lt;&gt;"",'All Cases - Enter Cases'!G822,"")</f>
        <v/>
      </c>
      <c r="H822" t="str">
        <f>IF($A822&lt;&gt;"",'All Cases - Enter Cases'!H822,"")</f>
        <v/>
      </c>
      <c r="I822" t="str">
        <f>IF($A822&lt;&gt;"",'All Cases - Enter Cases'!I822,"")</f>
        <v/>
      </c>
      <c r="J822" s="4" t="str">
        <f>IF($A822&lt;&gt;"",'All Cases - Enter Cases'!J822,"")</f>
        <v/>
      </c>
      <c r="K822" s="4" t="str">
        <f>IF($A822&lt;&gt;"",'All Cases - Enter Cases'!K822,"")</f>
        <v/>
      </c>
      <c r="L822" s="4" t="str">
        <f>IF($A822&lt;&gt;"",'All Cases - Enter Cases'!L822,"")</f>
        <v/>
      </c>
      <c r="M822" t="str">
        <f>IF($A822&lt;&gt;"",'All Cases - Enter Cases'!M822,"")</f>
        <v/>
      </c>
    </row>
    <row r="823" spans="1:13" x14ac:dyDescent="0.35">
      <c r="A823" s="4" t="str">
        <f>IF('All Cases - Enter Cases'!$F823="Punjab",'All Cases - Enter Cases'!A823,"")</f>
        <v/>
      </c>
      <c r="B823" t="str">
        <f>IF($A823&lt;&gt;"",'All Cases - Enter Cases'!B823,"")</f>
        <v/>
      </c>
      <c r="C823" t="str">
        <f>IF($A823&lt;&gt;"",'All Cases - Enter Cases'!C823,"")</f>
        <v/>
      </c>
      <c r="D823" t="str">
        <f>IF($A823&lt;&gt;"",'All Cases - Enter Cases'!D823,"")</f>
        <v/>
      </c>
      <c r="E823" t="str">
        <f>IF($A823&lt;&gt;"",'All Cases - Enter Cases'!E823,"")</f>
        <v/>
      </c>
      <c r="F823" t="str">
        <f>IF($A823&lt;&gt;"",'All Cases - Enter Cases'!F823,"")</f>
        <v/>
      </c>
      <c r="G823" t="str">
        <f>IF($A823&lt;&gt;"",'All Cases - Enter Cases'!G823,"")</f>
        <v/>
      </c>
      <c r="H823" t="str">
        <f>IF($A823&lt;&gt;"",'All Cases - Enter Cases'!H823,"")</f>
        <v/>
      </c>
      <c r="I823" t="str">
        <f>IF($A823&lt;&gt;"",'All Cases - Enter Cases'!I823,"")</f>
        <v/>
      </c>
      <c r="J823" s="4" t="str">
        <f>IF($A823&lt;&gt;"",'All Cases - Enter Cases'!J823,"")</f>
        <v/>
      </c>
      <c r="K823" s="4" t="str">
        <f>IF($A823&lt;&gt;"",'All Cases - Enter Cases'!K823,"")</f>
        <v/>
      </c>
      <c r="L823" s="4" t="str">
        <f>IF($A823&lt;&gt;"",'All Cases - Enter Cases'!L823,"")</f>
        <v/>
      </c>
      <c r="M823" t="str">
        <f>IF($A823&lt;&gt;"",'All Cases - Enter Cases'!M823,"")</f>
        <v/>
      </c>
    </row>
    <row r="824" spans="1:13" x14ac:dyDescent="0.35">
      <c r="A824" s="4" t="str">
        <f>IF('All Cases - Enter Cases'!$F824="Punjab",'All Cases - Enter Cases'!A824,"")</f>
        <v/>
      </c>
      <c r="B824" t="str">
        <f>IF($A824&lt;&gt;"",'All Cases - Enter Cases'!B824,"")</f>
        <v/>
      </c>
      <c r="C824" t="str">
        <f>IF($A824&lt;&gt;"",'All Cases - Enter Cases'!C824,"")</f>
        <v/>
      </c>
      <c r="D824" t="str">
        <f>IF($A824&lt;&gt;"",'All Cases - Enter Cases'!D824,"")</f>
        <v/>
      </c>
      <c r="E824" t="str">
        <f>IF($A824&lt;&gt;"",'All Cases - Enter Cases'!E824,"")</f>
        <v/>
      </c>
      <c r="F824" t="str">
        <f>IF($A824&lt;&gt;"",'All Cases - Enter Cases'!F824,"")</f>
        <v/>
      </c>
      <c r="G824" t="str">
        <f>IF($A824&lt;&gt;"",'All Cases - Enter Cases'!G824,"")</f>
        <v/>
      </c>
      <c r="H824" t="str">
        <f>IF($A824&lt;&gt;"",'All Cases - Enter Cases'!H824,"")</f>
        <v/>
      </c>
      <c r="I824" t="str">
        <f>IF($A824&lt;&gt;"",'All Cases - Enter Cases'!I824,"")</f>
        <v/>
      </c>
      <c r="J824" s="4" t="str">
        <f>IF($A824&lt;&gt;"",'All Cases - Enter Cases'!J824,"")</f>
        <v/>
      </c>
      <c r="K824" s="4" t="str">
        <f>IF($A824&lt;&gt;"",'All Cases - Enter Cases'!K824,"")</f>
        <v/>
      </c>
      <c r="L824" s="4" t="str">
        <f>IF($A824&lt;&gt;"",'All Cases - Enter Cases'!L824,"")</f>
        <v/>
      </c>
      <c r="M824" t="str">
        <f>IF($A824&lt;&gt;"",'All Cases - Enter Cases'!M824,"")</f>
        <v/>
      </c>
    </row>
    <row r="825" spans="1:13" x14ac:dyDescent="0.35">
      <c r="A825" s="4" t="str">
        <f>IF('All Cases - Enter Cases'!$F825="Punjab",'All Cases - Enter Cases'!A825,"")</f>
        <v/>
      </c>
      <c r="B825" t="str">
        <f>IF($A825&lt;&gt;"",'All Cases - Enter Cases'!B825,"")</f>
        <v/>
      </c>
      <c r="C825" t="str">
        <f>IF($A825&lt;&gt;"",'All Cases - Enter Cases'!C825,"")</f>
        <v/>
      </c>
      <c r="D825" t="str">
        <f>IF($A825&lt;&gt;"",'All Cases - Enter Cases'!D825,"")</f>
        <v/>
      </c>
      <c r="E825" t="str">
        <f>IF($A825&lt;&gt;"",'All Cases - Enter Cases'!E825,"")</f>
        <v/>
      </c>
      <c r="F825" t="str">
        <f>IF($A825&lt;&gt;"",'All Cases - Enter Cases'!F825,"")</f>
        <v/>
      </c>
      <c r="G825" t="str">
        <f>IF($A825&lt;&gt;"",'All Cases - Enter Cases'!G825,"")</f>
        <v/>
      </c>
      <c r="H825" t="str">
        <f>IF($A825&lt;&gt;"",'All Cases - Enter Cases'!H825,"")</f>
        <v/>
      </c>
      <c r="I825" t="str">
        <f>IF($A825&lt;&gt;"",'All Cases - Enter Cases'!I825,"")</f>
        <v/>
      </c>
      <c r="J825" s="4" t="str">
        <f>IF($A825&lt;&gt;"",'All Cases - Enter Cases'!J825,"")</f>
        <v/>
      </c>
      <c r="K825" s="4" t="str">
        <f>IF($A825&lt;&gt;"",'All Cases - Enter Cases'!K825,"")</f>
        <v/>
      </c>
      <c r="L825" s="4" t="str">
        <f>IF($A825&lt;&gt;"",'All Cases - Enter Cases'!L825,"")</f>
        <v/>
      </c>
      <c r="M825" t="str">
        <f>IF($A825&lt;&gt;"",'All Cases - Enter Cases'!M825,"")</f>
        <v/>
      </c>
    </row>
    <row r="826" spans="1:13" x14ac:dyDescent="0.35">
      <c r="A826" s="4" t="str">
        <f>IF('All Cases - Enter Cases'!$F826="Punjab",'All Cases - Enter Cases'!A826,"")</f>
        <v/>
      </c>
      <c r="B826" t="str">
        <f>IF($A826&lt;&gt;"",'All Cases - Enter Cases'!B826,"")</f>
        <v/>
      </c>
      <c r="C826" t="str">
        <f>IF($A826&lt;&gt;"",'All Cases - Enter Cases'!C826,"")</f>
        <v/>
      </c>
      <c r="D826" t="str">
        <f>IF($A826&lt;&gt;"",'All Cases - Enter Cases'!D826,"")</f>
        <v/>
      </c>
      <c r="E826" t="str">
        <f>IF($A826&lt;&gt;"",'All Cases - Enter Cases'!E826,"")</f>
        <v/>
      </c>
      <c r="F826" t="str">
        <f>IF($A826&lt;&gt;"",'All Cases - Enter Cases'!F826,"")</f>
        <v/>
      </c>
      <c r="G826" t="str">
        <f>IF($A826&lt;&gt;"",'All Cases - Enter Cases'!G826,"")</f>
        <v/>
      </c>
      <c r="H826" t="str">
        <f>IF($A826&lt;&gt;"",'All Cases - Enter Cases'!H826,"")</f>
        <v/>
      </c>
      <c r="I826" t="str">
        <f>IF($A826&lt;&gt;"",'All Cases - Enter Cases'!I826,"")</f>
        <v/>
      </c>
      <c r="J826" s="4" t="str">
        <f>IF($A826&lt;&gt;"",'All Cases - Enter Cases'!J826,"")</f>
        <v/>
      </c>
      <c r="K826" s="4" t="str">
        <f>IF($A826&lt;&gt;"",'All Cases - Enter Cases'!K826,"")</f>
        <v/>
      </c>
      <c r="L826" s="4" t="str">
        <f>IF($A826&lt;&gt;"",'All Cases - Enter Cases'!L826,"")</f>
        <v/>
      </c>
      <c r="M826" t="str">
        <f>IF($A826&lt;&gt;"",'All Cases - Enter Cases'!M826,"")</f>
        <v/>
      </c>
    </row>
    <row r="827" spans="1:13" x14ac:dyDescent="0.35">
      <c r="A827" s="4" t="str">
        <f>IF('All Cases - Enter Cases'!$F827="Punjab",'All Cases - Enter Cases'!A827,"")</f>
        <v/>
      </c>
      <c r="B827" t="str">
        <f>IF($A827&lt;&gt;"",'All Cases - Enter Cases'!B827,"")</f>
        <v/>
      </c>
      <c r="C827" t="str">
        <f>IF($A827&lt;&gt;"",'All Cases - Enter Cases'!C827,"")</f>
        <v/>
      </c>
      <c r="D827" t="str">
        <f>IF($A827&lt;&gt;"",'All Cases - Enter Cases'!D827,"")</f>
        <v/>
      </c>
      <c r="E827" t="str">
        <f>IF($A827&lt;&gt;"",'All Cases - Enter Cases'!E827,"")</f>
        <v/>
      </c>
      <c r="F827" t="str">
        <f>IF($A827&lt;&gt;"",'All Cases - Enter Cases'!F827,"")</f>
        <v/>
      </c>
      <c r="G827" t="str">
        <f>IF($A827&lt;&gt;"",'All Cases - Enter Cases'!G827,"")</f>
        <v/>
      </c>
      <c r="H827" t="str">
        <f>IF($A827&lt;&gt;"",'All Cases - Enter Cases'!H827,"")</f>
        <v/>
      </c>
      <c r="I827" t="str">
        <f>IF($A827&lt;&gt;"",'All Cases - Enter Cases'!I827,"")</f>
        <v/>
      </c>
      <c r="J827" s="4" t="str">
        <f>IF($A827&lt;&gt;"",'All Cases - Enter Cases'!J827,"")</f>
        <v/>
      </c>
      <c r="K827" s="4" t="str">
        <f>IF($A827&lt;&gt;"",'All Cases - Enter Cases'!K827,"")</f>
        <v/>
      </c>
      <c r="L827" s="4" t="str">
        <f>IF($A827&lt;&gt;"",'All Cases - Enter Cases'!L827,"")</f>
        <v/>
      </c>
      <c r="M827" t="str">
        <f>IF($A827&lt;&gt;"",'All Cases - Enter Cases'!M827,"")</f>
        <v/>
      </c>
    </row>
    <row r="828" spans="1:13" x14ac:dyDescent="0.35">
      <c r="A828" s="4" t="str">
        <f>IF('All Cases - Enter Cases'!$F828="Punjab",'All Cases - Enter Cases'!A828,"")</f>
        <v/>
      </c>
      <c r="B828" t="str">
        <f>IF($A828&lt;&gt;"",'All Cases - Enter Cases'!B828,"")</f>
        <v/>
      </c>
      <c r="C828" t="str">
        <f>IF($A828&lt;&gt;"",'All Cases - Enter Cases'!C828,"")</f>
        <v/>
      </c>
      <c r="D828" t="str">
        <f>IF($A828&lt;&gt;"",'All Cases - Enter Cases'!D828,"")</f>
        <v/>
      </c>
      <c r="E828" t="str">
        <f>IF($A828&lt;&gt;"",'All Cases - Enter Cases'!E828,"")</f>
        <v/>
      </c>
      <c r="F828" t="str">
        <f>IF($A828&lt;&gt;"",'All Cases - Enter Cases'!F828,"")</f>
        <v/>
      </c>
      <c r="G828" t="str">
        <f>IF($A828&lt;&gt;"",'All Cases - Enter Cases'!G828,"")</f>
        <v/>
      </c>
      <c r="H828" t="str">
        <f>IF($A828&lt;&gt;"",'All Cases - Enter Cases'!H828,"")</f>
        <v/>
      </c>
      <c r="I828" t="str">
        <f>IF($A828&lt;&gt;"",'All Cases - Enter Cases'!I828,"")</f>
        <v/>
      </c>
      <c r="J828" s="4" t="str">
        <f>IF($A828&lt;&gt;"",'All Cases - Enter Cases'!J828,"")</f>
        <v/>
      </c>
      <c r="K828" s="4" t="str">
        <f>IF($A828&lt;&gt;"",'All Cases - Enter Cases'!K828,"")</f>
        <v/>
      </c>
      <c r="L828" s="4" t="str">
        <f>IF($A828&lt;&gt;"",'All Cases - Enter Cases'!L828,"")</f>
        <v/>
      </c>
      <c r="M828" t="str">
        <f>IF($A828&lt;&gt;"",'All Cases - Enter Cases'!M828,"")</f>
        <v/>
      </c>
    </row>
    <row r="829" spans="1:13" x14ac:dyDescent="0.35">
      <c r="A829" s="4" t="str">
        <f>IF('All Cases - Enter Cases'!$F829="Punjab",'All Cases - Enter Cases'!A829,"")</f>
        <v/>
      </c>
      <c r="B829" t="str">
        <f>IF($A829&lt;&gt;"",'All Cases - Enter Cases'!B829,"")</f>
        <v/>
      </c>
      <c r="C829" t="str">
        <f>IF($A829&lt;&gt;"",'All Cases - Enter Cases'!C829,"")</f>
        <v/>
      </c>
      <c r="D829" t="str">
        <f>IF($A829&lt;&gt;"",'All Cases - Enter Cases'!D829,"")</f>
        <v/>
      </c>
      <c r="E829" t="str">
        <f>IF($A829&lt;&gt;"",'All Cases - Enter Cases'!E829,"")</f>
        <v/>
      </c>
      <c r="F829" t="str">
        <f>IF($A829&lt;&gt;"",'All Cases - Enter Cases'!F829,"")</f>
        <v/>
      </c>
      <c r="G829" t="str">
        <f>IF($A829&lt;&gt;"",'All Cases - Enter Cases'!G829,"")</f>
        <v/>
      </c>
      <c r="H829" t="str">
        <f>IF($A829&lt;&gt;"",'All Cases - Enter Cases'!H829,"")</f>
        <v/>
      </c>
      <c r="I829" t="str">
        <f>IF($A829&lt;&gt;"",'All Cases - Enter Cases'!I829,"")</f>
        <v/>
      </c>
      <c r="J829" s="4" t="str">
        <f>IF($A829&lt;&gt;"",'All Cases - Enter Cases'!J829,"")</f>
        <v/>
      </c>
      <c r="K829" s="4" t="str">
        <f>IF($A829&lt;&gt;"",'All Cases - Enter Cases'!K829,"")</f>
        <v/>
      </c>
      <c r="L829" s="4" t="str">
        <f>IF($A829&lt;&gt;"",'All Cases - Enter Cases'!L829,"")</f>
        <v/>
      </c>
      <c r="M829" t="str">
        <f>IF($A829&lt;&gt;"",'All Cases - Enter Cases'!M829,"")</f>
        <v/>
      </c>
    </row>
    <row r="830" spans="1:13" x14ac:dyDescent="0.35">
      <c r="A830" s="4" t="str">
        <f>IF('All Cases - Enter Cases'!$F830="Punjab",'All Cases - Enter Cases'!A830,"")</f>
        <v/>
      </c>
      <c r="B830" t="str">
        <f>IF($A830&lt;&gt;"",'All Cases - Enter Cases'!B830,"")</f>
        <v/>
      </c>
      <c r="C830" t="str">
        <f>IF($A830&lt;&gt;"",'All Cases - Enter Cases'!C830,"")</f>
        <v/>
      </c>
      <c r="D830" t="str">
        <f>IF($A830&lt;&gt;"",'All Cases - Enter Cases'!D830,"")</f>
        <v/>
      </c>
      <c r="E830" t="str">
        <f>IF($A830&lt;&gt;"",'All Cases - Enter Cases'!E830,"")</f>
        <v/>
      </c>
      <c r="F830" t="str">
        <f>IF($A830&lt;&gt;"",'All Cases - Enter Cases'!F830,"")</f>
        <v/>
      </c>
      <c r="G830" t="str">
        <f>IF($A830&lt;&gt;"",'All Cases - Enter Cases'!G830,"")</f>
        <v/>
      </c>
      <c r="H830" t="str">
        <f>IF($A830&lt;&gt;"",'All Cases - Enter Cases'!H830,"")</f>
        <v/>
      </c>
      <c r="I830" t="str">
        <f>IF($A830&lt;&gt;"",'All Cases - Enter Cases'!I830,"")</f>
        <v/>
      </c>
      <c r="J830" s="4" t="str">
        <f>IF($A830&lt;&gt;"",'All Cases - Enter Cases'!J830,"")</f>
        <v/>
      </c>
      <c r="K830" s="4" t="str">
        <f>IF($A830&lt;&gt;"",'All Cases - Enter Cases'!K830,"")</f>
        <v/>
      </c>
      <c r="L830" s="4" t="str">
        <f>IF($A830&lt;&gt;"",'All Cases - Enter Cases'!L830,"")</f>
        <v/>
      </c>
      <c r="M830" t="str">
        <f>IF($A830&lt;&gt;"",'All Cases - Enter Cases'!M830,"")</f>
        <v/>
      </c>
    </row>
    <row r="831" spans="1:13" x14ac:dyDescent="0.35">
      <c r="A831" s="4" t="str">
        <f>IF('All Cases - Enter Cases'!$F831="Punjab",'All Cases - Enter Cases'!A831,"")</f>
        <v/>
      </c>
      <c r="B831" t="str">
        <f>IF($A831&lt;&gt;"",'All Cases - Enter Cases'!B831,"")</f>
        <v/>
      </c>
      <c r="C831" t="str">
        <f>IF($A831&lt;&gt;"",'All Cases - Enter Cases'!C831,"")</f>
        <v/>
      </c>
      <c r="D831" t="str">
        <f>IF($A831&lt;&gt;"",'All Cases - Enter Cases'!D831,"")</f>
        <v/>
      </c>
      <c r="E831" t="str">
        <f>IF($A831&lt;&gt;"",'All Cases - Enter Cases'!E831,"")</f>
        <v/>
      </c>
      <c r="F831" t="str">
        <f>IF($A831&lt;&gt;"",'All Cases - Enter Cases'!F831,"")</f>
        <v/>
      </c>
      <c r="G831" t="str">
        <f>IF($A831&lt;&gt;"",'All Cases - Enter Cases'!G831,"")</f>
        <v/>
      </c>
      <c r="H831" t="str">
        <f>IF($A831&lt;&gt;"",'All Cases - Enter Cases'!H831,"")</f>
        <v/>
      </c>
      <c r="I831" t="str">
        <f>IF($A831&lt;&gt;"",'All Cases - Enter Cases'!I831,"")</f>
        <v/>
      </c>
      <c r="J831" s="4" t="str">
        <f>IF($A831&lt;&gt;"",'All Cases - Enter Cases'!J831,"")</f>
        <v/>
      </c>
      <c r="K831" s="4" t="str">
        <f>IF($A831&lt;&gt;"",'All Cases - Enter Cases'!K831,"")</f>
        <v/>
      </c>
      <c r="L831" s="4" t="str">
        <f>IF($A831&lt;&gt;"",'All Cases - Enter Cases'!L831,"")</f>
        <v/>
      </c>
      <c r="M831" t="str">
        <f>IF($A831&lt;&gt;"",'All Cases - Enter Cases'!M831,"")</f>
        <v/>
      </c>
    </row>
    <row r="832" spans="1:13" x14ac:dyDescent="0.35">
      <c r="A832" s="4" t="str">
        <f>IF('All Cases - Enter Cases'!$F832="Punjab",'All Cases - Enter Cases'!A832,"")</f>
        <v/>
      </c>
      <c r="B832" t="str">
        <f>IF($A832&lt;&gt;"",'All Cases - Enter Cases'!B832,"")</f>
        <v/>
      </c>
      <c r="C832" t="str">
        <f>IF($A832&lt;&gt;"",'All Cases - Enter Cases'!C832,"")</f>
        <v/>
      </c>
      <c r="D832" t="str">
        <f>IF($A832&lt;&gt;"",'All Cases - Enter Cases'!D832,"")</f>
        <v/>
      </c>
      <c r="E832" t="str">
        <f>IF($A832&lt;&gt;"",'All Cases - Enter Cases'!E832,"")</f>
        <v/>
      </c>
      <c r="F832" t="str">
        <f>IF($A832&lt;&gt;"",'All Cases - Enter Cases'!F832,"")</f>
        <v/>
      </c>
      <c r="G832" t="str">
        <f>IF($A832&lt;&gt;"",'All Cases - Enter Cases'!G832,"")</f>
        <v/>
      </c>
      <c r="H832" t="str">
        <f>IF($A832&lt;&gt;"",'All Cases - Enter Cases'!H832,"")</f>
        <v/>
      </c>
      <c r="I832" t="str">
        <f>IF($A832&lt;&gt;"",'All Cases - Enter Cases'!I832,"")</f>
        <v/>
      </c>
      <c r="J832" s="4" t="str">
        <f>IF($A832&lt;&gt;"",'All Cases - Enter Cases'!J832,"")</f>
        <v/>
      </c>
      <c r="K832" s="4" t="str">
        <f>IF($A832&lt;&gt;"",'All Cases - Enter Cases'!K832,"")</f>
        <v/>
      </c>
      <c r="L832" s="4" t="str">
        <f>IF($A832&lt;&gt;"",'All Cases - Enter Cases'!L832,"")</f>
        <v/>
      </c>
      <c r="M832" t="str">
        <f>IF($A832&lt;&gt;"",'All Cases - Enter Cases'!M832,"")</f>
        <v/>
      </c>
    </row>
    <row r="833" spans="1:13" x14ac:dyDescent="0.35">
      <c r="A833" s="4" t="str">
        <f>IF('All Cases - Enter Cases'!$F833="Punjab",'All Cases - Enter Cases'!A833,"")</f>
        <v/>
      </c>
      <c r="B833" t="str">
        <f>IF($A833&lt;&gt;"",'All Cases - Enter Cases'!B833,"")</f>
        <v/>
      </c>
      <c r="C833" t="str">
        <f>IF($A833&lt;&gt;"",'All Cases - Enter Cases'!C833,"")</f>
        <v/>
      </c>
      <c r="D833" t="str">
        <f>IF($A833&lt;&gt;"",'All Cases - Enter Cases'!D833,"")</f>
        <v/>
      </c>
      <c r="E833" t="str">
        <f>IF($A833&lt;&gt;"",'All Cases - Enter Cases'!E833,"")</f>
        <v/>
      </c>
      <c r="F833" t="str">
        <f>IF($A833&lt;&gt;"",'All Cases - Enter Cases'!F833,"")</f>
        <v/>
      </c>
      <c r="G833" t="str">
        <f>IF($A833&lt;&gt;"",'All Cases - Enter Cases'!G833,"")</f>
        <v/>
      </c>
      <c r="H833" t="str">
        <f>IF($A833&lt;&gt;"",'All Cases - Enter Cases'!H833,"")</f>
        <v/>
      </c>
      <c r="I833" t="str">
        <f>IF($A833&lt;&gt;"",'All Cases - Enter Cases'!I833,"")</f>
        <v/>
      </c>
      <c r="J833" s="4" t="str">
        <f>IF($A833&lt;&gt;"",'All Cases - Enter Cases'!J833,"")</f>
        <v/>
      </c>
      <c r="K833" s="4" t="str">
        <f>IF($A833&lt;&gt;"",'All Cases - Enter Cases'!K833,"")</f>
        <v/>
      </c>
      <c r="L833" s="4" t="str">
        <f>IF($A833&lt;&gt;"",'All Cases - Enter Cases'!L833,"")</f>
        <v/>
      </c>
      <c r="M833" t="str">
        <f>IF($A833&lt;&gt;"",'All Cases - Enter Cases'!M833,"")</f>
        <v/>
      </c>
    </row>
    <row r="834" spans="1:13" x14ac:dyDescent="0.35">
      <c r="A834" s="4" t="str">
        <f>IF('All Cases - Enter Cases'!$F834="Punjab",'All Cases - Enter Cases'!A834,"")</f>
        <v/>
      </c>
      <c r="B834" t="str">
        <f>IF($A834&lt;&gt;"",'All Cases - Enter Cases'!B834,"")</f>
        <v/>
      </c>
      <c r="C834" t="str">
        <f>IF($A834&lt;&gt;"",'All Cases - Enter Cases'!C834,"")</f>
        <v/>
      </c>
      <c r="D834" t="str">
        <f>IF($A834&lt;&gt;"",'All Cases - Enter Cases'!D834,"")</f>
        <v/>
      </c>
      <c r="E834" t="str">
        <f>IF($A834&lt;&gt;"",'All Cases - Enter Cases'!E834,"")</f>
        <v/>
      </c>
      <c r="F834" t="str">
        <f>IF($A834&lt;&gt;"",'All Cases - Enter Cases'!F834,"")</f>
        <v/>
      </c>
      <c r="G834" t="str">
        <f>IF($A834&lt;&gt;"",'All Cases - Enter Cases'!G834,"")</f>
        <v/>
      </c>
      <c r="H834" t="str">
        <f>IF($A834&lt;&gt;"",'All Cases - Enter Cases'!H834,"")</f>
        <v/>
      </c>
      <c r="I834" t="str">
        <f>IF($A834&lt;&gt;"",'All Cases - Enter Cases'!I834,"")</f>
        <v/>
      </c>
      <c r="J834" s="4" t="str">
        <f>IF($A834&lt;&gt;"",'All Cases - Enter Cases'!J834,"")</f>
        <v/>
      </c>
      <c r="K834" s="4" t="str">
        <f>IF($A834&lt;&gt;"",'All Cases - Enter Cases'!K834,"")</f>
        <v/>
      </c>
      <c r="L834" s="4" t="str">
        <f>IF($A834&lt;&gt;"",'All Cases - Enter Cases'!L834,"")</f>
        <v/>
      </c>
      <c r="M834" t="str">
        <f>IF($A834&lt;&gt;"",'All Cases - Enter Cases'!M834,"")</f>
        <v/>
      </c>
    </row>
    <row r="835" spans="1:13" x14ac:dyDescent="0.35">
      <c r="A835" s="4" t="str">
        <f>IF('All Cases - Enter Cases'!$F835="Punjab",'All Cases - Enter Cases'!A835,"")</f>
        <v/>
      </c>
      <c r="B835" t="str">
        <f>IF($A835&lt;&gt;"",'All Cases - Enter Cases'!B835,"")</f>
        <v/>
      </c>
      <c r="C835" t="str">
        <f>IF($A835&lt;&gt;"",'All Cases - Enter Cases'!C835,"")</f>
        <v/>
      </c>
      <c r="D835" t="str">
        <f>IF($A835&lt;&gt;"",'All Cases - Enter Cases'!D835,"")</f>
        <v/>
      </c>
      <c r="E835" t="str">
        <f>IF($A835&lt;&gt;"",'All Cases - Enter Cases'!E835,"")</f>
        <v/>
      </c>
      <c r="F835" t="str">
        <f>IF($A835&lt;&gt;"",'All Cases - Enter Cases'!F835,"")</f>
        <v/>
      </c>
      <c r="G835" t="str">
        <f>IF($A835&lt;&gt;"",'All Cases - Enter Cases'!G835,"")</f>
        <v/>
      </c>
      <c r="H835" t="str">
        <f>IF($A835&lt;&gt;"",'All Cases - Enter Cases'!H835,"")</f>
        <v/>
      </c>
      <c r="I835" t="str">
        <f>IF($A835&lt;&gt;"",'All Cases - Enter Cases'!I835,"")</f>
        <v/>
      </c>
      <c r="J835" s="4" t="str">
        <f>IF($A835&lt;&gt;"",'All Cases - Enter Cases'!J835,"")</f>
        <v/>
      </c>
      <c r="K835" s="4" t="str">
        <f>IF($A835&lt;&gt;"",'All Cases - Enter Cases'!K835,"")</f>
        <v/>
      </c>
      <c r="L835" s="4" t="str">
        <f>IF($A835&lt;&gt;"",'All Cases - Enter Cases'!L835,"")</f>
        <v/>
      </c>
      <c r="M835" t="str">
        <f>IF($A835&lt;&gt;"",'All Cases - Enter Cases'!M835,"")</f>
        <v/>
      </c>
    </row>
    <row r="836" spans="1:13" x14ac:dyDescent="0.35">
      <c r="A836" s="4" t="str">
        <f>IF('All Cases - Enter Cases'!$F836="Punjab",'All Cases - Enter Cases'!A836,"")</f>
        <v/>
      </c>
      <c r="B836" t="str">
        <f>IF($A836&lt;&gt;"",'All Cases - Enter Cases'!B836,"")</f>
        <v/>
      </c>
      <c r="C836" t="str">
        <f>IF($A836&lt;&gt;"",'All Cases - Enter Cases'!C836,"")</f>
        <v/>
      </c>
      <c r="D836" t="str">
        <f>IF($A836&lt;&gt;"",'All Cases - Enter Cases'!D836,"")</f>
        <v/>
      </c>
      <c r="E836" t="str">
        <f>IF($A836&lt;&gt;"",'All Cases - Enter Cases'!E836,"")</f>
        <v/>
      </c>
      <c r="F836" t="str">
        <f>IF($A836&lt;&gt;"",'All Cases - Enter Cases'!F836,"")</f>
        <v/>
      </c>
      <c r="G836" t="str">
        <f>IF($A836&lt;&gt;"",'All Cases - Enter Cases'!G836,"")</f>
        <v/>
      </c>
      <c r="H836" t="str">
        <f>IF($A836&lt;&gt;"",'All Cases - Enter Cases'!H836,"")</f>
        <v/>
      </c>
      <c r="I836" t="str">
        <f>IF($A836&lt;&gt;"",'All Cases - Enter Cases'!I836,"")</f>
        <v/>
      </c>
      <c r="J836" s="4" t="str">
        <f>IF($A836&lt;&gt;"",'All Cases - Enter Cases'!J836,"")</f>
        <v/>
      </c>
      <c r="K836" s="4" t="str">
        <f>IF($A836&lt;&gt;"",'All Cases - Enter Cases'!K836,"")</f>
        <v/>
      </c>
      <c r="L836" s="4" t="str">
        <f>IF($A836&lt;&gt;"",'All Cases - Enter Cases'!L836,"")</f>
        <v/>
      </c>
      <c r="M836" t="str">
        <f>IF($A836&lt;&gt;"",'All Cases - Enter Cases'!M836,"")</f>
        <v/>
      </c>
    </row>
    <row r="837" spans="1:13" x14ac:dyDescent="0.35">
      <c r="A837" s="4" t="str">
        <f>IF('All Cases - Enter Cases'!$F837="Punjab",'All Cases - Enter Cases'!A837,"")</f>
        <v/>
      </c>
      <c r="B837" t="str">
        <f>IF($A837&lt;&gt;"",'All Cases - Enter Cases'!B837,"")</f>
        <v/>
      </c>
      <c r="C837" t="str">
        <f>IF($A837&lt;&gt;"",'All Cases - Enter Cases'!C837,"")</f>
        <v/>
      </c>
      <c r="D837" t="str">
        <f>IF($A837&lt;&gt;"",'All Cases - Enter Cases'!D837,"")</f>
        <v/>
      </c>
      <c r="E837" t="str">
        <f>IF($A837&lt;&gt;"",'All Cases - Enter Cases'!E837,"")</f>
        <v/>
      </c>
      <c r="F837" t="str">
        <f>IF($A837&lt;&gt;"",'All Cases - Enter Cases'!F837,"")</f>
        <v/>
      </c>
      <c r="G837" t="str">
        <f>IF($A837&lt;&gt;"",'All Cases - Enter Cases'!G837,"")</f>
        <v/>
      </c>
      <c r="H837" t="str">
        <f>IF($A837&lt;&gt;"",'All Cases - Enter Cases'!H837,"")</f>
        <v/>
      </c>
      <c r="I837" t="str">
        <f>IF($A837&lt;&gt;"",'All Cases - Enter Cases'!I837,"")</f>
        <v/>
      </c>
      <c r="J837" s="4" t="str">
        <f>IF($A837&lt;&gt;"",'All Cases - Enter Cases'!J837,"")</f>
        <v/>
      </c>
      <c r="K837" s="4" t="str">
        <f>IF($A837&lt;&gt;"",'All Cases - Enter Cases'!K837,"")</f>
        <v/>
      </c>
      <c r="L837" s="4" t="str">
        <f>IF($A837&lt;&gt;"",'All Cases - Enter Cases'!L837,"")</f>
        <v/>
      </c>
      <c r="M837" t="str">
        <f>IF($A837&lt;&gt;"",'All Cases - Enter Cases'!M837,"")</f>
        <v/>
      </c>
    </row>
    <row r="838" spans="1:13" x14ac:dyDescent="0.35">
      <c r="A838" s="4" t="str">
        <f>IF('All Cases - Enter Cases'!$F838="Punjab",'All Cases - Enter Cases'!A838,"")</f>
        <v/>
      </c>
      <c r="B838" t="str">
        <f>IF($A838&lt;&gt;"",'All Cases - Enter Cases'!B838,"")</f>
        <v/>
      </c>
      <c r="C838" t="str">
        <f>IF($A838&lt;&gt;"",'All Cases - Enter Cases'!C838,"")</f>
        <v/>
      </c>
      <c r="D838" t="str">
        <f>IF($A838&lt;&gt;"",'All Cases - Enter Cases'!D838,"")</f>
        <v/>
      </c>
      <c r="E838" t="str">
        <f>IF($A838&lt;&gt;"",'All Cases - Enter Cases'!E838,"")</f>
        <v/>
      </c>
      <c r="F838" t="str">
        <f>IF($A838&lt;&gt;"",'All Cases - Enter Cases'!F838,"")</f>
        <v/>
      </c>
      <c r="G838" t="str">
        <f>IF($A838&lt;&gt;"",'All Cases - Enter Cases'!G838,"")</f>
        <v/>
      </c>
      <c r="H838" t="str">
        <f>IF($A838&lt;&gt;"",'All Cases - Enter Cases'!H838,"")</f>
        <v/>
      </c>
      <c r="I838" t="str">
        <f>IF($A838&lt;&gt;"",'All Cases - Enter Cases'!I838,"")</f>
        <v/>
      </c>
      <c r="J838" s="4" t="str">
        <f>IF($A838&lt;&gt;"",'All Cases - Enter Cases'!J838,"")</f>
        <v/>
      </c>
      <c r="K838" s="4" t="str">
        <f>IF($A838&lt;&gt;"",'All Cases - Enter Cases'!K838,"")</f>
        <v/>
      </c>
      <c r="L838" s="4" t="str">
        <f>IF($A838&lt;&gt;"",'All Cases - Enter Cases'!L838,"")</f>
        <v/>
      </c>
      <c r="M838" t="str">
        <f>IF($A838&lt;&gt;"",'All Cases - Enter Cases'!M838,"")</f>
        <v/>
      </c>
    </row>
    <row r="839" spans="1:13" x14ac:dyDescent="0.35">
      <c r="A839" s="4" t="str">
        <f>IF('All Cases - Enter Cases'!$F839="Punjab",'All Cases - Enter Cases'!A839,"")</f>
        <v/>
      </c>
      <c r="B839" t="str">
        <f>IF($A839&lt;&gt;"",'All Cases - Enter Cases'!B839,"")</f>
        <v/>
      </c>
      <c r="C839" t="str">
        <f>IF($A839&lt;&gt;"",'All Cases - Enter Cases'!C839,"")</f>
        <v/>
      </c>
      <c r="D839" t="str">
        <f>IF($A839&lt;&gt;"",'All Cases - Enter Cases'!D839,"")</f>
        <v/>
      </c>
      <c r="E839" t="str">
        <f>IF($A839&lt;&gt;"",'All Cases - Enter Cases'!E839,"")</f>
        <v/>
      </c>
      <c r="F839" t="str">
        <f>IF($A839&lt;&gt;"",'All Cases - Enter Cases'!F839,"")</f>
        <v/>
      </c>
      <c r="G839" t="str">
        <f>IF($A839&lt;&gt;"",'All Cases - Enter Cases'!G839,"")</f>
        <v/>
      </c>
      <c r="H839" t="str">
        <f>IF($A839&lt;&gt;"",'All Cases - Enter Cases'!H839,"")</f>
        <v/>
      </c>
      <c r="I839" t="str">
        <f>IF($A839&lt;&gt;"",'All Cases - Enter Cases'!I839,"")</f>
        <v/>
      </c>
      <c r="J839" s="4" t="str">
        <f>IF($A839&lt;&gt;"",'All Cases - Enter Cases'!J839,"")</f>
        <v/>
      </c>
      <c r="K839" s="4" t="str">
        <f>IF($A839&lt;&gt;"",'All Cases - Enter Cases'!K839,"")</f>
        <v/>
      </c>
      <c r="L839" s="4" t="str">
        <f>IF($A839&lt;&gt;"",'All Cases - Enter Cases'!L839,"")</f>
        <v/>
      </c>
      <c r="M839" t="str">
        <f>IF($A839&lt;&gt;"",'All Cases - Enter Cases'!M839,"")</f>
        <v/>
      </c>
    </row>
    <row r="840" spans="1:13" x14ac:dyDescent="0.35">
      <c r="A840" s="4" t="str">
        <f>IF('All Cases - Enter Cases'!$F840="Punjab",'All Cases - Enter Cases'!A840,"")</f>
        <v/>
      </c>
      <c r="B840" t="str">
        <f>IF($A840&lt;&gt;"",'All Cases - Enter Cases'!B840,"")</f>
        <v/>
      </c>
      <c r="C840" t="str">
        <f>IF($A840&lt;&gt;"",'All Cases - Enter Cases'!C840,"")</f>
        <v/>
      </c>
      <c r="D840" t="str">
        <f>IF($A840&lt;&gt;"",'All Cases - Enter Cases'!D840,"")</f>
        <v/>
      </c>
      <c r="E840" t="str">
        <f>IF($A840&lt;&gt;"",'All Cases - Enter Cases'!E840,"")</f>
        <v/>
      </c>
      <c r="F840" t="str">
        <f>IF($A840&lt;&gt;"",'All Cases - Enter Cases'!F840,"")</f>
        <v/>
      </c>
      <c r="G840" t="str">
        <f>IF($A840&lt;&gt;"",'All Cases - Enter Cases'!G840,"")</f>
        <v/>
      </c>
      <c r="H840" t="str">
        <f>IF($A840&lt;&gt;"",'All Cases - Enter Cases'!H840,"")</f>
        <v/>
      </c>
      <c r="I840" t="str">
        <f>IF($A840&lt;&gt;"",'All Cases - Enter Cases'!I840,"")</f>
        <v/>
      </c>
      <c r="J840" s="4" t="str">
        <f>IF($A840&lt;&gt;"",'All Cases - Enter Cases'!J840,"")</f>
        <v/>
      </c>
      <c r="K840" s="4" t="str">
        <f>IF($A840&lt;&gt;"",'All Cases - Enter Cases'!K840,"")</f>
        <v/>
      </c>
      <c r="L840" s="4" t="str">
        <f>IF($A840&lt;&gt;"",'All Cases - Enter Cases'!L840,"")</f>
        <v/>
      </c>
      <c r="M840" t="str">
        <f>IF($A840&lt;&gt;"",'All Cases - Enter Cases'!M840,"")</f>
        <v/>
      </c>
    </row>
    <row r="841" spans="1:13" x14ac:dyDescent="0.35">
      <c r="A841" s="4" t="str">
        <f>IF('All Cases - Enter Cases'!$F841="Punjab",'All Cases - Enter Cases'!A841,"")</f>
        <v/>
      </c>
      <c r="B841" t="str">
        <f>IF($A841&lt;&gt;"",'All Cases - Enter Cases'!B841,"")</f>
        <v/>
      </c>
      <c r="C841" t="str">
        <f>IF($A841&lt;&gt;"",'All Cases - Enter Cases'!C841,"")</f>
        <v/>
      </c>
      <c r="D841" t="str">
        <f>IF($A841&lt;&gt;"",'All Cases - Enter Cases'!D841,"")</f>
        <v/>
      </c>
      <c r="E841" t="str">
        <f>IF($A841&lt;&gt;"",'All Cases - Enter Cases'!E841,"")</f>
        <v/>
      </c>
      <c r="F841" t="str">
        <f>IF($A841&lt;&gt;"",'All Cases - Enter Cases'!F841,"")</f>
        <v/>
      </c>
      <c r="G841" t="str">
        <f>IF($A841&lt;&gt;"",'All Cases - Enter Cases'!G841,"")</f>
        <v/>
      </c>
      <c r="H841" t="str">
        <f>IF($A841&lt;&gt;"",'All Cases - Enter Cases'!H841,"")</f>
        <v/>
      </c>
      <c r="I841" t="str">
        <f>IF($A841&lt;&gt;"",'All Cases - Enter Cases'!I841,"")</f>
        <v/>
      </c>
      <c r="J841" s="4" t="str">
        <f>IF($A841&lt;&gt;"",'All Cases - Enter Cases'!J841,"")</f>
        <v/>
      </c>
      <c r="K841" s="4" t="str">
        <f>IF($A841&lt;&gt;"",'All Cases - Enter Cases'!K841,"")</f>
        <v/>
      </c>
      <c r="L841" s="4" t="str">
        <f>IF($A841&lt;&gt;"",'All Cases - Enter Cases'!L841,"")</f>
        <v/>
      </c>
      <c r="M841" t="str">
        <f>IF($A841&lt;&gt;"",'All Cases - Enter Cases'!M841,"")</f>
        <v/>
      </c>
    </row>
    <row r="842" spans="1:13" x14ac:dyDescent="0.35">
      <c r="A842" s="4" t="str">
        <f>IF('All Cases - Enter Cases'!$F842="Punjab",'All Cases - Enter Cases'!A842,"")</f>
        <v/>
      </c>
      <c r="B842" t="str">
        <f>IF($A842&lt;&gt;"",'All Cases - Enter Cases'!B842,"")</f>
        <v/>
      </c>
      <c r="C842" t="str">
        <f>IF($A842&lt;&gt;"",'All Cases - Enter Cases'!C842,"")</f>
        <v/>
      </c>
      <c r="D842" t="str">
        <f>IF($A842&lt;&gt;"",'All Cases - Enter Cases'!D842,"")</f>
        <v/>
      </c>
      <c r="E842" t="str">
        <f>IF($A842&lt;&gt;"",'All Cases - Enter Cases'!E842,"")</f>
        <v/>
      </c>
      <c r="F842" t="str">
        <f>IF($A842&lt;&gt;"",'All Cases - Enter Cases'!F842,"")</f>
        <v/>
      </c>
      <c r="G842" t="str">
        <f>IF($A842&lt;&gt;"",'All Cases - Enter Cases'!G842,"")</f>
        <v/>
      </c>
      <c r="H842" t="str">
        <f>IF($A842&lt;&gt;"",'All Cases - Enter Cases'!H842,"")</f>
        <v/>
      </c>
      <c r="I842" t="str">
        <f>IF($A842&lt;&gt;"",'All Cases - Enter Cases'!I842,"")</f>
        <v/>
      </c>
      <c r="J842" s="4" t="str">
        <f>IF($A842&lt;&gt;"",'All Cases - Enter Cases'!J842,"")</f>
        <v/>
      </c>
      <c r="K842" s="4" t="str">
        <f>IF($A842&lt;&gt;"",'All Cases - Enter Cases'!K842,"")</f>
        <v/>
      </c>
      <c r="L842" s="4" t="str">
        <f>IF($A842&lt;&gt;"",'All Cases - Enter Cases'!L842,"")</f>
        <v/>
      </c>
      <c r="M842" t="str">
        <f>IF($A842&lt;&gt;"",'All Cases - Enter Cases'!M842,"")</f>
        <v/>
      </c>
    </row>
    <row r="843" spans="1:13" x14ac:dyDescent="0.35">
      <c r="A843" s="4" t="str">
        <f>IF('All Cases - Enter Cases'!$F843="Punjab",'All Cases - Enter Cases'!A843,"")</f>
        <v/>
      </c>
      <c r="B843" t="str">
        <f>IF($A843&lt;&gt;"",'All Cases - Enter Cases'!B843,"")</f>
        <v/>
      </c>
      <c r="C843" t="str">
        <f>IF($A843&lt;&gt;"",'All Cases - Enter Cases'!C843,"")</f>
        <v/>
      </c>
      <c r="D843" t="str">
        <f>IF($A843&lt;&gt;"",'All Cases - Enter Cases'!D843,"")</f>
        <v/>
      </c>
      <c r="E843" t="str">
        <f>IF($A843&lt;&gt;"",'All Cases - Enter Cases'!E843,"")</f>
        <v/>
      </c>
      <c r="F843" t="str">
        <f>IF($A843&lt;&gt;"",'All Cases - Enter Cases'!F843,"")</f>
        <v/>
      </c>
      <c r="G843" t="str">
        <f>IF($A843&lt;&gt;"",'All Cases - Enter Cases'!G843,"")</f>
        <v/>
      </c>
      <c r="H843" t="str">
        <f>IF($A843&lt;&gt;"",'All Cases - Enter Cases'!H843,"")</f>
        <v/>
      </c>
      <c r="I843" t="str">
        <f>IF($A843&lt;&gt;"",'All Cases - Enter Cases'!I843,"")</f>
        <v/>
      </c>
      <c r="J843" s="4" t="str">
        <f>IF($A843&lt;&gt;"",'All Cases - Enter Cases'!J843,"")</f>
        <v/>
      </c>
      <c r="K843" s="4" t="str">
        <f>IF($A843&lt;&gt;"",'All Cases - Enter Cases'!K843,"")</f>
        <v/>
      </c>
      <c r="L843" s="4" t="str">
        <f>IF($A843&lt;&gt;"",'All Cases - Enter Cases'!L843,"")</f>
        <v/>
      </c>
      <c r="M843" t="str">
        <f>IF($A843&lt;&gt;"",'All Cases - Enter Cases'!M843,"")</f>
        <v/>
      </c>
    </row>
    <row r="844" spans="1:13" x14ac:dyDescent="0.35">
      <c r="A844" s="4" t="str">
        <f>IF('All Cases - Enter Cases'!$F844="Punjab",'All Cases - Enter Cases'!A844,"")</f>
        <v/>
      </c>
      <c r="B844" t="str">
        <f>IF($A844&lt;&gt;"",'All Cases - Enter Cases'!B844,"")</f>
        <v/>
      </c>
      <c r="C844" t="str">
        <f>IF($A844&lt;&gt;"",'All Cases - Enter Cases'!C844,"")</f>
        <v/>
      </c>
      <c r="D844" t="str">
        <f>IF($A844&lt;&gt;"",'All Cases - Enter Cases'!D844,"")</f>
        <v/>
      </c>
      <c r="E844" t="str">
        <f>IF($A844&lt;&gt;"",'All Cases - Enter Cases'!E844,"")</f>
        <v/>
      </c>
      <c r="F844" t="str">
        <f>IF($A844&lt;&gt;"",'All Cases - Enter Cases'!F844,"")</f>
        <v/>
      </c>
      <c r="G844" t="str">
        <f>IF($A844&lt;&gt;"",'All Cases - Enter Cases'!G844,"")</f>
        <v/>
      </c>
      <c r="H844" t="str">
        <f>IF($A844&lt;&gt;"",'All Cases - Enter Cases'!H844,"")</f>
        <v/>
      </c>
      <c r="I844" t="str">
        <f>IF($A844&lt;&gt;"",'All Cases - Enter Cases'!I844,"")</f>
        <v/>
      </c>
      <c r="J844" s="4" t="str">
        <f>IF($A844&lt;&gt;"",'All Cases - Enter Cases'!J844,"")</f>
        <v/>
      </c>
      <c r="K844" s="4" t="str">
        <f>IF($A844&lt;&gt;"",'All Cases - Enter Cases'!K844,"")</f>
        <v/>
      </c>
      <c r="L844" s="4" t="str">
        <f>IF($A844&lt;&gt;"",'All Cases - Enter Cases'!L844,"")</f>
        <v/>
      </c>
      <c r="M844" t="str">
        <f>IF($A844&lt;&gt;"",'All Cases - Enter Cases'!M844,"")</f>
        <v/>
      </c>
    </row>
    <row r="845" spans="1:13" x14ac:dyDescent="0.35">
      <c r="A845" s="4" t="str">
        <f>IF('All Cases - Enter Cases'!$F845="Punjab",'All Cases - Enter Cases'!A845,"")</f>
        <v/>
      </c>
      <c r="B845" t="str">
        <f>IF($A845&lt;&gt;"",'All Cases - Enter Cases'!B845,"")</f>
        <v/>
      </c>
      <c r="C845" t="str">
        <f>IF($A845&lt;&gt;"",'All Cases - Enter Cases'!C845,"")</f>
        <v/>
      </c>
      <c r="D845" t="str">
        <f>IF($A845&lt;&gt;"",'All Cases - Enter Cases'!D845,"")</f>
        <v/>
      </c>
      <c r="E845" t="str">
        <f>IF($A845&lt;&gt;"",'All Cases - Enter Cases'!E845,"")</f>
        <v/>
      </c>
      <c r="F845" t="str">
        <f>IF($A845&lt;&gt;"",'All Cases - Enter Cases'!F845,"")</f>
        <v/>
      </c>
      <c r="G845" t="str">
        <f>IF($A845&lt;&gt;"",'All Cases - Enter Cases'!G845,"")</f>
        <v/>
      </c>
      <c r="H845" t="str">
        <f>IF($A845&lt;&gt;"",'All Cases - Enter Cases'!H845,"")</f>
        <v/>
      </c>
      <c r="I845" t="str">
        <f>IF($A845&lt;&gt;"",'All Cases - Enter Cases'!I845,"")</f>
        <v/>
      </c>
      <c r="J845" s="4" t="str">
        <f>IF($A845&lt;&gt;"",'All Cases - Enter Cases'!J845,"")</f>
        <v/>
      </c>
      <c r="K845" s="4" t="str">
        <f>IF($A845&lt;&gt;"",'All Cases - Enter Cases'!K845,"")</f>
        <v/>
      </c>
      <c r="L845" s="4" t="str">
        <f>IF($A845&lt;&gt;"",'All Cases - Enter Cases'!L845,"")</f>
        <v/>
      </c>
      <c r="M845" t="str">
        <f>IF($A845&lt;&gt;"",'All Cases - Enter Cases'!M845,"")</f>
        <v/>
      </c>
    </row>
    <row r="846" spans="1:13" x14ac:dyDescent="0.35">
      <c r="A846" s="4" t="str">
        <f>IF('All Cases - Enter Cases'!$F846="Punjab",'All Cases - Enter Cases'!A846,"")</f>
        <v/>
      </c>
      <c r="B846" t="str">
        <f>IF($A846&lt;&gt;"",'All Cases - Enter Cases'!B846,"")</f>
        <v/>
      </c>
      <c r="C846" t="str">
        <f>IF($A846&lt;&gt;"",'All Cases - Enter Cases'!C846,"")</f>
        <v/>
      </c>
      <c r="D846" t="str">
        <f>IF($A846&lt;&gt;"",'All Cases - Enter Cases'!D846,"")</f>
        <v/>
      </c>
      <c r="E846" t="str">
        <f>IF($A846&lt;&gt;"",'All Cases - Enter Cases'!E846,"")</f>
        <v/>
      </c>
      <c r="F846" t="str">
        <f>IF($A846&lt;&gt;"",'All Cases - Enter Cases'!F846,"")</f>
        <v/>
      </c>
      <c r="G846" t="str">
        <f>IF($A846&lt;&gt;"",'All Cases - Enter Cases'!G846,"")</f>
        <v/>
      </c>
      <c r="H846" t="str">
        <f>IF($A846&lt;&gt;"",'All Cases - Enter Cases'!H846,"")</f>
        <v/>
      </c>
      <c r="I846" t="str">
        <f>IF($A846&lt;&gt;"",'All Cases - Enter Cases'!I846,"")</f>
        <v/>
      </c>
      <c r="J846" s="4" t="str">
        <f>IF($A846&lt;&gt;"",'All Cases - Enter Cases'!J846,"")</f>
        <v/>
      </c>
      <c r="K846" s="4" t="str">
        <f>IF($A846&lt;&gt;"",'All Cases - Enter Cases'!K846,"")</f>
        <v/>
      </c>
      <c r="L846" s="4" t="str">
        <f>IF($A846&lt;&gt;"",'All Cases - Enter Cases'!L846,"")</f>
        <v/>
      </c>
      <c r="M846" t="str">
        <f>IF($A846&lt;&gt;"",'All Cases - Enter Cases'!M846,"")</f>
        <v/>
      </c>
    </row>
    <row r="847" spans="1:13" x14ac:dyDescent="0.35">
      <c r="A847" s="4" t="str">
        <f>IF('All Cases - Enter Cases'!$F847="Punjab",'All Cases - Enter Cases'!A847,"")</f>
        <v/>
      </c>
      <c r="B847" t="str">
        <f>IF($A847&lt;&gt;"",'All Cases - Enter Cases'!B847,"")</f>
        <v/>
      </c>
      <c r="C847" t="str">
        <f>IF($A847&lt;&gt;"",'All Cases - Enter Cases'!C847,"")</f>
        <v/>
      </c>
      <c r="D847" t="str">
        <f>IF($A847&lt;&gt;"",'All Cases - Enter Cases'!D847,"")</f>
        <v/>
      </c>
      <c r="E847" t="str">
        <f>IF($A847&lt;&gt;"",'All Cases - Enter Cases'!E847,"")</f>
        <v/>
      </c>
      <c r="F847" t="str">
        <f>IF($A847&lt;&gt;"",'All Cases - Enter Cases'!F847,"")</f>
        <v/>
      </c>
      <c r="G847" t="str">
        <f>IF($A847&lt;&gt;"",'All Cases - Enter Cases'!G847,"")</f>
        <v/>
      </c>
      <c r="H847" t="str">
        <f>IF($A847&lt;&gt;"",'All Cases - Enter Cases'!H847,"")</f>
        <v/>
      </c>
      <c r="I847" t="str">
        <f>IF($A847&lt;&gt;"",'All Cases - Enter Cases'!I847,"")</f>
        <v/>
      </c>
      <c r="J847" s="4" t="str">
        <f>IF($A847&lt;&gt;"",'All Cases - Enter Cases'!J847,"")</f>
        <v/>
      </c>
      <c r="K847" s="4" t="str">
        <f>IF($A847&lt;&gt;"",'All Cases - Enter Cases'!K847,"")</f>
        <v/>
      </c>
      <c r="L847" s="4" t="str">
        <f>IF($A847&lt;&gt;"",'All Cases - Enter Cases'!L847,"")</f>
        <v/>
      </c>
      <c r="M847" t="str">
        <f>IF($A847&lt;&gt;"",'All Cases - Enter Cases'!M847,"")</f>
        <v/>
      </c>
    </row>
    <row r="848" spans="1:13" x14ac:dyDescent="0.35">
      <c r="A848" s="4" t="str">
        <f>IF('All Cases - Enter Cases'!$F848="Punjab",'All Cases - Enter Cases'!A848,"")</f>
        <v/>
      </c>
      <c r="B848" t="str">
        <f>IF($A848&lt;&gt;"",'All Cases - Enter Cases'!B848,"")</f>
        <v/>
      </c>
      <c r="C848" t="str">
        <f>IF($A848&lt;&gt;"",'All Cases - Enter Cases'!C848,"")</f>
        <v/>
      </c>
      <c r="D848" t="str">
        <f>IF($A848&lt;&gt;"",'All Cases - Enter Cases'!D848,"")</f>
        <v/>
      </c>
      <c r="E848" t="str">
        <f>IF($A848&lt;&gt;"",'All Cases - Enter Cases'!E848,"")</f>
        <v/>
      </c>
      <c r="F848" t="str">
        <f>IF($A848&lt;&gt;"",'All Cases - Enter Cases'!F848,"")</f>
        <v/>
      </c>
      <c r="G848" t="str">
        <f>IF($A848&lt;&gt;"",'All Cases - Enter Cases'!G848,"")</f>
        <v/>
      </c>
      <c r="H848" t="str">
        <f>IF($A848&lt;&gt;"",'All Cases - Enter Cases'!H848,"")</f>
        <v/>
      </c>
      <c r="I848" t="str">
        <f>IF($A848&lt;&gt;"",'All Cases - Enter Cases'!I848,"")</f>
        <v/>
      </c>
      <c r="J848" s="4" t="str">
        <f>IF($A848&lt;&gt;"",'All Cases - Enter Cases'!J848,"")</f>
        <v/>
      </c>
      <c r="K848" s="4" t="str">
        <f>IF($A848&lt;&gt;"",'All Cases - Enter Cases'!K848,"")</f>
        <v/>
      </c>
      <c r="L848" s="4" t="str">
        <f>IF($A848&lt;&gt;"",'All Cases - Enter Cases'!L848,"")</f>
        <v/>
      </c>
      <c r="M848" t="str">
        <f>IF($A848&lt;&gt;"",'All Cases - Enter Cases'!M848,"")</f>
        <v/>
      </c>
    </row>
    <row r="849" spans="1:13" x14ac:dyDescent="0.35">
      <c r="A849" s="4" t="str">
        <f>IF('All Cases - Enter Cases'!$F849="Punjab",'All Cases - Enter Cases'!A849,"")</f>
        <v/>
      </c>
      <c r="B849" t="str">
        <f>IF($A849&lt;&gt;"",'All Cases - Enter Cases'!B849,"")</f>
        <v/>
      </c>
      <c r="C849" t="str">
        <f>IF($A849&lt;&gt;"",'All Cases - Enter Cases'!C849,"")</f>
        <v/>
      </c>
      <c r="D849" t="str">
        <f>IF($A849&lt;&gt;"",'All Cases - Enter Cases'!D849,"")</f>
        <v/>
      </c>
      <c r="E849" t="str">
        <f>IF($A849&lt;&gt;"",'All Cases - Enter Cases'!E849,"")</f>
        <v/>
      </c>
      <c r="F849" t="str">
        <f>IF($A849&lt;&gt;"",'All Cases - Enter Cases'!F849,"")</f>
        <v/>
      </c>
      <c r="G849" t="str">
        <f>IF($A849&lt;&gt;"",'All Cases - Enter Cases'!G849,"")</f>
        <v/>
      </c>
      <c r="H849" t="str">
        <f>IF($A849&lt;&gt;"",'All Cases - Enter Cases'!H849,"")</f>
        <v/>
      </c>
      <c r="I849" t="str">
        <f>IF($A849&lt;&gt;"",'All Cases - Enter Cases'!I849,"")</f>
        <v/>
      </c>
      <c r="J849" s="4" t="str">
        <f>IF($A849&lt;&gt;"",'All Cases - Enter Cases'!J849,"")</f>
        <v/>
      </c>
      <c r="K849" s="4" t="str">
        <f>IF($A849&lt;&gt;"",'All Cases - Enter Cases'!K849,"")</f>
        <v/>
      </c>
      <c r="L849" s="4" t="str">
        <f>IF($A849&lt;&gt;"",'All Cases - Enter Cases'!L849,"")</f>
        <v/>
      </c>
      <c r="M849" t="str">
        <f>IF($A849&lt;&gt;"",'All Cases - Enter Cases'!M849,"")</f>
        <v/>
      </c>
    </row>
    <row r="850" spans="1:13" x14ac:dyDescent="0.35">
      <c r="A850" s="4" t="str">
        <f>IF('All Cases - Enter Cases'!$F850="Punjab",'All Cases - Enter Cases'!A850,"")</f>
        <v/>
      </c>
      <c r="B850" t="str">
        <f>IF($A850&lt;&gt;"",'All Cases - Enter Cases'!B850,"")</f>
        <v/>
      </c>
      <c r="C850" t="str">
        <f>IF($A850&lt;&gt;"",'All Cases - Enter Cases'!C850,"")</f>
        <v/>
      </c>
      <c r="D850" t="str">
        <f>IF($A850&lt;&gt;"",'All Cases - Enter Cases'!D850,"")</f>
        <v/>
      </c>
      <c r="E850" t="str">
        <f>IF($A850&lt;&gt;"",'All Cases - Enter Cases'!E850,"")</f>
        <v/>
      </c>
      <c r="F850" t="str">
        <f>IF($A850&lt;&gt;"",'All Cases - Enter Cases'!F850,"")</f>
        <v/>
      </c>
      <c r="G850" t="str">
        <f>IF($A850&lt;&gt;"",'All Cases - Enter Cases'!G850,"")</f>
        <v/>
      </c>
      <c r="H850" t="str">
        <f>IF($A850&lt;&gt;"",'All Cases - Enter Cases'!H850,"")</f>
        <v/>
      </c>
      <c r="I850" t="str">
        <f>IF($A850&lt;&gt;"",'All Cases - Enter Cases'!I850,"")</f>
        <v/>
      </c>
      <c r="J850" s="4" t="str">
        <f>IF($A850&lt;&gt;"",'All Cases - Enter Cases'!J850,"")</f>
        <v/>
      </c>
      <c r="K850" s="4" t="str">
        <f>IF($A850&lt;&gt;"",'All Cases - Enter Cases'!K850,"")</f>
        <v/>
      </c>
      <c r="L850" s="4" t="str">
        <f>IF($A850&lt;&gt;"",'All Cases - Enter Cases'!L850,"")</f>
        <v/>
      </c>
      <c r="M850" t="str">
        <f>IF($A850&lt;&gt;"",'All Cases - Enter Cases'!M850,"")</f>
        <v/>
      </c>
    </row>
    <row r="851" spans="1:13" x14ac:dyDescent="0.35">
      <c r="A851" s="4" t="str">
        <f>IF('All Cases - Enter Cases'!$F851="Punjab",'All Cases - Enter Cases'!A851,"")</f>
        <v/>
      </c>
      <c r="B851" t="str">
        <f>IF($A851&lt;&gt;"",'All Cases - Enter Cases'!B851,"")</f>
        <v/>
      </c>
      <c r="C851" t="str">
        <f>IF($A851&lt;&gt;"",'All Cases - Enter Cases'!C851,"")</f>
        <v/>
      </c>
      <c r="D851" t="str">
        <f>IF($A851&lt;&gt;"",'All Cases - Enter Cases'!D851,"")</f>
        <v/>
      </c>
      <c r="E851" t="str">
        <f>IF($A851&lt;&gt;"",'All Cases - Enter Cases'!E851,"")</f>
        <v/>
      </c>
      <c r="F851" t="str">
        <f>IF($A851&lt;&gt;"",'All Cases - Enter Cases'!F851,"")</f>
        <v/>
      </c>
      <c r="G851" t="str">
        <f>IF($A851&lt;&gt;"",'All Cases - Enter Cases'!G851,"")</f>
        <v/>
      </c>
      <c r="H851" t="str">
        <f>IF($A851&lt;&gt;"",'All Cases - Enter Cases'!H851,"")</f>
        <v/>
      </c>
      <c r="I851" t="str">
        <f>IF($A851&lt;&gt;"",'All Cases - Enter Cases'!I851,"")</f>
        <v/>
      </c>
      <c r="J851" s="4" t="str">
        <f>IF($A851&lt;&gt;"",'All Cases - Enter Cases'!J851,"")</f>
        <v/>
      </c>
      <c r="K851" s="4" t="str">
        <f>IF($A851&lt;&gt;"",'All Cases - Enter Cases'!K851,"")</f>
        <v/>
      </c>
      <c r="L851" s="4" t="str">
        <f>IF($A851&lt;&gt;"",'All Cases - Enter Cases'!L851,"")</f>
        <v/>
      </c>
      <c r="M851" t="str">
        <f>IF($A851&lt;&gt;"",'All Cases - Enter Cases'!M851,"")</f>
        <v/>
      </c>
    </row>
    <row r="852" spans="1:13" x14ac:dyDescent="0.35">
      <c r="A852" s="4" t="str">
        <f>IF('All Cases - Enter Cases'!$F852="Punjab",'All Cases - Enter Cases'!A852,"")</f>
        <v/>
      </c>
      <c r="B852" t="str">
        <f>IF($A852&lt;&gt;"",'All Cases - Enter Cases'!B852,"")</f>
        <v/>
      </c>
      <c r="C852" t="str">
        <f>IF($A852&lt;&gt;"",'All Cases - Enter Cases'!C852,"")</f>
        <v/>
      </c>
      <c r="D852" t="str">
        <f>IF($A852&lt;&gt;"",'All Cases - Enter Cases'!D852,"")</f>
        <v/>
      </c>
      <c r="E852" t="str">
        <f>IF($A852&lt;&gt;"",'All Cases - Enter Cases'!E852,"")</f>
        <v/>
      </c>
      <c r="F852" t="str">
        <f>IF($A852&lt;&gt;"",'All Cases - Enter Cases'!F852,"")</f>
        <v/>
      </c>
      <c r="G852" t="str">
        <f>IF($A852&lt;&gt;"",'All Cases - Enter Cases'!G852,"")</f>
        <v/>
      </c>
      <c r="H852" t="str">
        <f>IF($A852&lt;&gt;"",'All Cases - Enter Cases'!H852,"")</f>
        <v/>
      </c>
      <c r="I852" t="str">
        <f>IF($A852&lt;&gt;"",'All Cases - Enter Cases'!I852,"")</f>
        <v/>
      </c>
      <c r="J852" s="4" t="str">
        <f>IF($A852&lt;&gt;"",'All Cases - Enter Cases'!J852,"")</f>
        <v/>
      </c>
      <c r="K852" s="4" t="str">
        <f>IF($A852&lt;&gt;"",'All Cases - Enter Cases'!K852,"")</f>
        <v/>
      </c>
      <c r="L852" s="4" t="str">
        <f>IF($A852&lt;&gt;"",'All Cases - Enter Cases'!L852,"")</f>
        <v/>
      </c>
      <c r="M852" t="str">
        <f>IF($A852&lt;&gt;"",'All Cases - Enter Cases'!M852,"")</f>
        <v/>
      </c>
    </row>
    <row r="853" spans="1:13" x14ac:dyDescent="0.35">
      <c r="A853" s="4" t="str">
        <f>IF('All Cases - Enter Cases'!$F853="Punjab",'All Cases - Enter Cases'!A853,"")</f>
        <v/>
      </c>
      <c r="B853" t="str">
        <f>IF($A853&lt;&gt;"",'All Cases - Enter Cases'!B853,"")</f>
        <v/>
      </c>
      <c r="C853" t="str">
        <f>IF($A853&lt;&gt;"",'All Cases - Enter Cases'!C853,"")</f>
        <v/>
      </c>
      <c r="D853" t="str">
        <f>IF($A853&lt;&gt;"",'All Cases - Enter Cases'!D853,"")</f>
        <v/>
      </c>
      <c r="E853" t="str">
        <f>IF($A853&lt;&gt;"",'All Cases - Enter Cases'!E853,"")</f>
        <v/>
      </c>
      <c r="F853" t="str">
        <f>IF($A853&lt;&gt;"",'All Cases - Enter Cases'!F853,"")</f>
        <v/>
      </c>
      <c r="G853" t="str">
        <f>IF($A853&lt;&gt;"",'All Cases - Enter Cases'!G853,"")</f>
        <v/>
      </c>
      <c r="H853" t="str">
        <f>IF($A853&lt;&gt;"",'All Cases - Enter Cases'!H853,"")</f>
        <v/>
      </c>
      <c r="I853" t="str">
        <f>IF($A853&lt;&gt;"",'All Cases - Enter Cases'!I853,"")</f>
        <v/>
      </c>
      <c r="J853" s="4" t="str">
        <f>IF($A853&lt;&gt;"",'All Cases - Enter Cases'!J853,"")</f>
        <v/>
      </c>
      <c r="K853" s="4" t="str">
        <f>IF($A853&lt;&gt;"",'All Cases - Enter Cases'!K853,"")</f>
        <v/>
      </c>
      <c r="L853" s="4" t="str">
        <f>IF($A853&lt;&gt;"",'All Cases - Enter Cases'!L853,"")</f>
        <v/>
      </c>
      <c r="M853" t="str">
        <f>IF($A853&lt;&gt;"",'All Cases - Enter Cases'!M853,"")</f>
        <v/>
      </c>
    </row>
    <row r="854" spans="1:13" x14ac:dyDescent="0.35">
      <c r="A854" s="4" t="str">
        <f>IF('All Cases - Enter Cases'!$F854="Punjab",'All Cases - Enter Cases'!A854,"")</f>
        <v/>
      </c>
      <c r="B854" t="str">
        <f>IF($A854&lt;&gt;"",'All Cases - Enter Cases'!B854,"")</f>
        <v/>
      </c>
      <c r="C854" t="str">
        <f>IF($A854&lt;&gt;"",'All Cases - Enter Cases'!C854,"")</f>
        <v/>
      </c>
      <c r="D854" t="str">
        <f>IF($A854&lt;&gt;"",'All Cases - Enter Cases'!D854,"")</f>
        <v/>
      </c>
      <c r="E854" t="str">
        <f>IF($A854&lt;&gt;"",'All Cases - Enter Cases'!E854,"")</f>
        <v/>
      </c>
      <c r="F854" t="str">
        <f>IF($A854&lt;&gt;"",'All Cases - Enter Cases'!F854,"")</f>
        <v/>
      </c>
      <c r="G854" t="str">
        <f>IF($A854&lt;&gt;"",'All Cases - Enter Cases'!G854,"")</f>
        <v/>
      </c>
      <c r="H854" t="str">
        <f>IF($A854&lt;&gt;"",'All Cases - Enter Cases'!H854,"")</f>
        <v/>
      </c>
      <c r="I854" t="str">
        <f>IF($A854&lt;&gt;"",'All Cases - Enter Cases'!I854,"")</f>
        <v/>
      </c>
      <c r="J854" s="4" t="str">
        <f>IF($A854&lt;&gt;"",'All Cases - Enter Cases'!J854,"")</f>
        <v/>
      </c>
      <c r="K854" s="4" t="str">
        <f>IF($A854&lt;&gt;"",'All Cases - Enter Cases'!K854,"")</f>
        <v/>
      </c>
      <c r="L854" s="4" t="str">
        <f>IF($A854&lt;&gt;"",'All Cases - Enter Cases'!L854,"")</f>
        <v/>
      </c>
      <c r="M854" t="str">
        <f>IF($A854&lt;&gt;"",'All Cases - Enter Cases'!M854,"")</f>
        <v/>
      </c>
    </row>
    <row r="855" spans="1:13" x14ac:dyDescent="0.35">
      <c r="A855" s="4" t="str">
        <f>IF('All Cases - Enter Cases'!$F855="Punjab",'All Cases - Enter Cases'!A855,"")</f>
        <v/>
      </c>
      <c r="B855" t="str">
        <f>IF($A855&lt;&gt;"",'All Cases - Enter Cases'!B855,"")</f>
        <v/>
      </c>
      <c r="C855" t="str">
        <f>IF($A855&lt;&gt;"",'All Cases - Enter Cases'!C855,"")</f>
        <v/>
      </c>
      <c r="D855" t="str">
        <f>IF($A855&lt;&gt;"",'All Cases - Enter Cases'!D855,"")</f>
        <v/>
      </c>
      <c r="E855" t="str">
        <f>IF($A855&lt;&gt;"",'All Cases - Enter Cases'!E855,"")</f>
        <v/>
      </c>
      <c r="F855" t="str">
        <f>IF($A855&lt;&gt;"",'All Cases - Enter Cases'!F855,"")</f>
        <v/>
      </c>
      <c r="G855" t="str">
        <f>IF($A855&lt;&gt;"",'All Cases - Enter Cases'!G855,"")</f>
        <v/>
      </c>
      <c r="H855" t="str">
        <f>IF($A855&lt;&gt;"",'All Cases - Enter Cases'!H855,"")</f>
        <v/>
      </c>
      <c r="I855" t="str">
        <f>IF($A855&lt;&gt;"",'All Cases - Enter Cases'!I855,"")</f>
        <v/>
      </c>
      <c r="J855" s="4" t="str">
        <f>IF($A855&lt;&gt;"",'All Cases - Enter Cases'!J855,"")</f>
        <v/>
      </c>
      <c r="K855" s="4" t="str">
        <f>IF($A855&lt;&gt;"",'All Cases - Enter Cases'!K855,"")</f>
        <v/>
      </c>
      <c r="L855" s="4" t="str">
        <f>IF($A855&lt;&gt;"",'All Cases - Enter Cases'!L855,"")</f>
        <v/>
      </c>
      <c r="M855" t="str">
        <f>IF($A855&lt;&gt;"",'All Cases - Enter Cases'!M855,"")</f>
        <v/>
      </c>
    </row>
    <row r="856" spans="1:13" x14ac:dyDescent="0.35">
      <c r="A856" s="4" t="str">
        <f>IF('All Cases - Enter Cases'!$F856="Punjab",'All Cases - Enter Cases'!A856,"")</f>
        <v/>
      </c>
      <c r="B856" t="str">
        <f>IF($A856&lt;&gt;"",'All Cases - Enter Cases'!B856,"")</f>
        <v/>
      </c>
      <c r="C856" t="str">
        <f>IF($A856&lt;&gt;"",'All Cases - Enter Cases'!C856,"")</f>
        <v/>
      </c>
      <c r="D856" t="str">
        <f>IF($A856&lt;&gt;"",'All Cases - Enter Cases'!D856,"")</f>
        <v/>
      </c>
      <c r="E856" t="str">
        <f>IF($A856&lt;&gt;"",'All Cases - Enter Cases'!E856,"")</f>
        <v/>
      </c>
      <c r="F856" t="str">
        <f>IF($A856&lt;&gt;"",'All Cases - Enter Cases'!F856,"")</f>
        <v/>
      </c>
      <c r="G856" t="str">
        <f>IF($A856&lt;&gt;"",'All Cases - Enter Cases'!G856,"")</f>
        <v/>
      </c>
      <c r="H856" t="str">
        <f>IF($A856&lt;&gt;"",'All Cases - Enter Cases'!H856,"")</f>
        <v/>
      </c>
      <c r="I856" t="str">
        <f>IF($A856&lt;&gt;"",'All Cases - Enter Cases'!I856,"")</f>
        <v/>
      </c>
      <c r="J856" s="4" t="str">
        <f>IF($A856&lt;&gt;"",'All Cases - Enter Cases'!J856,"")</f>
        <v/>
      </c>
      <c r="K856" s="4" t="str">
        <f>IF($A856&lt;&gt;"",'All Cases - Enter Cases'!K856,"")</f>
        <v/>
      </c>
      <c r="L856" s="4" t="str">
        <f>IF($A856&lt;&gt;"",'All Cases - Enter Cases'!L856,"")</f>
        <v/>
      </c>
      <c r="M856" t="str">
        <f>IF($A856&lt;&gt;"",'All Cases - Enter Cases'!M856,"")</f>
        <v/>
      </c>
    </row>
    <row r="857" spans="1:13" x14ac:dyDescent="0.35">
      <c r="A857" s="4" t="str">
        <f>IF('All Cases - Enter Cases'!$F857="Punjab",'All Cases - Enter Cases'!A857,"")</f>
        <v/>
      </c>
      <c r="B857" t="str">
        <f>IF($A857&lt;&gt;"",'All Cases - Enter Cases'!B857,"")</f>
        <v/>
      </c>
      <c r="C857" t="str">
        <f>IF($A857&lt;&gt;"",'All Cases - Enter Cases'!C857,"")</f>
        <v/>
      </c>
      <c r="D857" t="str">
        <f>IF($A857&lt;&gt;"",'All Cases - Enter Cases'!D857,"")</f>
        <v/>
      </c>
      <c r="E857" t="str">
        <f>IF($A857&lt;&gt;"",'All Cases - Enter Cases'!E857,"")</f>
        <v/>
      </c>
      <c r="F857" t="str">
        <f>IF($A857&lt;&gt;"",'All Cases - Enter Cases'!F857,"")</f>
        <v/>
      </c>
      <c r="G857" t="str">
        <f>IF($A857&lt;&gt;"",'All Cases - Enter Cases'!G857,"")</f>
        <v/>
      </c>
      <c r="H857" t="str">
        <f>IF($A857&lt;&gt;"",'All Cases - Enter Cases'!H857,"")</f>
        <v/>
      </c>
      <c r="I857" t="str">
        <f>IF($A857&lt;&gt;"",'All Cases - Enter Cases'!I857,"")</f>
        <v/>
      </c>
      <c r="J857" s="4" t="str">
        <f>IF($A857&lt;&gt;"",'All Cases - Enter Cases'!J857,"")</f>
        <v/>
      </c>
      <c r="K857" s="4" t="str">
        <f>IF($A857&lt;&gt;"",'All Cases - Enter Cases'!K857,"")</f>
        <v/>
      </c>
      <c r="L857" s="4" t="str">
        <f>IF($A857&lt;&gt;"",'All Cases - Enter Cases'!L857,"")</f>
        <v/>
      </c>
      <c r="M857" t="str">
        <f>IF($A857&lt;&gt;"",'All Cases - Enter Cases'!M857,"")</f>
        <v/>
      </c>
    </row>
    <row r="858" spans="1:13" x14ac:dyDescent="0.35">
      <c r="A858" s="4" t="str">
        <f>IF('All Cases - Enter Cases'!$F858="Punjab",'All Cases - Enter Cases'!A858,"")</f>
        <v/>
      </c>
      <c r="B858" t="str">
        <f>IF($A858&lt;&gt;"",'All Cases - Enter Cases'!B858,"")</f>
        <v/>
      </c>
      <c r="C858" t="str">
        <f>IF($A858&lt;&gt;"",'All Cases - Enter Cases'!C858,"")</f>
        <v/>
      </c>
      <c r="D858" t="str">
        <f>IF($A858&lt;&gt;"",'All Cases - Enter Cases'!D858,"")</f>
        <v/>
      </c>
      <c r="E858" t="str">
        <f>IF($A858&lt;&gt;"",'All Cases - Enter Cases'!E858,"")</f>
        <v/>
      </c>
      <c r="F858" t="str">
        <f>IF($A858&lt;&gt;"",'All Cases - Enter Cases'!F858,"")</f>
        <v/>
      </c>
      <c r="G858" t="str">
        <f>IF($A858&lt;&gt;"",'All Cases - Enter Cases'!G858,"")</f>
        <v/>
      </c>
      <c r="H858" t="str">
        <f>IF($A858&lt;&gt;"",'All Cases - Enter Cases'!H858,"")</f>
        <v/>
      </c>
      <c r="I858" t="str">
        <f>IF($A858&lt;&gt;"",'All Cases - Enter Cases'!I858,"")</f>
        <v/>
      </c>
      <c r="J858" s="4" t="str">
        <f>IF($A858&lt;&gt;"",'All Cases - Enter Cases'!J858,"")</f>
        <v/>
      </c>
      <c r="K858" s="4" t="str">
        <f>IF($A858&lt;&gt;"",'All Cases - Enter Cases'!K858,"")</f>
        <v/>
      </c>
      <c r="L858" s="4" t="str">
        <f>IF($A858&lt;&gt;"",'All Cases - Enter Cases'!L858,"")</f>
        <v/>
      </c>
      <c r="M858" t="str">
        <f>IF($A858&lt;&gt;"",'All Cases - Enter Cases'!M858,"")</f>
        <v/>
      </c>
    </row>
    <row r="859" spans="1:13" x14ac:dyDescent="0.35">
      <c r="A859" s="4" t="str">
        <f>IF('All Cases - Enter Cases'!$F859="Punjab",'All Cases - Enter Cases'!A859,"")</f>
        <v/>
      </c>
      <c r="B859" t="str">
        <f>IF($A859&lt;&gt;"",'All Cases - Enter Cases'!B859,"")</f>
        <v/>
      </c>
      <c r="C859" t="str">
        <f>IF($A859&lt;&gt;"",'All Cases - Enter Cases'!C859,"")</f>
        <v/>
      </c>
      <c r="D859" t="str">
        <f>IF($A859&lt;&gt;"",'All Cases - Enter Cases'!D859,"")</f>
        <v/>
      </c>
      <c r="E859" t="str">
        <f>IF($A859&lt;&gt;"",'All Cases - Enter Cases'!E859,"")</f>
        <v/>
      </c>
      <c r="F859" t="str">
        <f>IF($A859&lt;&gt;"",'All Cases - Enter Cases'!F859,"")</f>
        <v/>
      </c>
      <c r="G859" t="str">
        <f>IF($A859&lt;&gt;"",'All Cases - Enter Cases'!G859,"")</f>
        <v/>
      </c>
      <c r="H859" t="str">
        <f>IF($A859&lt;&gt;"",'All Cases - Enter Cases'!H859,"")</f>
        <v/>
      </c>
      <c r="I859" t="str">
        <f>IF($A859&lt;&gt;"",'All Cases - Enter Cases'!I859,"")</f>
        <v/>
      </c>
      <c r="J859" s="4" t="str">
        <f>IF($A859&lt;&gt;"",'All Cases - Enter Cases'!J859,"")</f>
        <v/>
      </c>
      <c r="K859" s="4" t="str">
        <f>IF($A859&lt;&gt;"",'All Cases - Enter Cases'!K859,"")</f>
        <v/>
      </c>
      <c r="L859" s="4" t="str">
        <f>IF($A859&lt;&gt;"",'All Cases - Enter Cases'!L859,"")</f>
        <v/>
      </c>
      <c r="M859" t="str">
        <f>IF($A859&lt;&gt;"",'All Cases - Enter Cases'!M859,"")</f>
        <v/>
      </c>
    </row>
    <row r="860" spans="1:13" x14ac:dyDescent="0.35">
      <c r="A860" s="4" t="str">
        <f>IF('All Cases - Enter Cases'!$F860="Punjab",'All Cases - Enter Cases'!A860,"")</f>
        <v/>
      </c>
      <c r="B860" t="str">
        <f>IF($A860&lt;&gt;"",'All Cases - Enter Cases'!B860,"")</f>
        <v/>
      </c>
      <c r="C860" t="str">
        <f>IF($A860&lt;&gt;"",'All Cases - Enter Cases'!C860,"")</f>
        <v/>
      </c>
      <c r="D860" t="str">
        <f>IF($A860&lt;&gt;"",'All Cases - Enter Cases'!D860,"")</f>
        <v/>
      </c>
      <c r="E860" t="str">
        <f>IF($A860&lt;&gt;"",'All Cases - Enter Cases'!E860,"")</f>
        <v/>
      </c>
      <c r="F860" t="str">
        <f>IF($A860&lt;&gt;"",'All Cases - Enter Cases'!F860,"")</f>
        <v/>
      </c>
      <c r="G860" t="str">
        <f>IF($A860&lt;&gt;"",'All Cases - Enter Cases'!G860,"")</f>
        <v/>
      </c>
      <c r="H860" t="str">
        <f>IF($A860&lt;&gt;"",'All Cases - Enter Cases'!H860,"")</f>
        <v/>
      </c>
      <c r="I860" t="str">
        <f>IF($A860&lt;&gt;"",'All Cases - Enter Cases'!I860,"")</f>
        <v/>
      </c>
      <c r="J860" s="4" t="str">
        <f>IF($A860&lt;&gt;"",'All Cases - Enter Cases'!J860,"")</f>
        <v/>
      </c>
      <c r="K860" s="4" t="str">
        <f>IF($A860&lt;&gt;"",'All Cases - Enter Cases'!K860,"")</f>
        <v/>
      </c>
      <c r="L860" s="4" t="str">
        <f>IF($A860&lt;&gt;"",'All Cases - Enter Cases'!L860,"")</f>
        <v/>
      </c>
      <c r="M860" t="str">
        <f>IF($A860&lt;&gt;"",'All Cases - Enter Cases'!M860,"")</f>
        <v/>
      </c>
    </row>
    <row r="861" spans="1:13" x14ac:dyDescent="0.35">
      <c r="A861" s="4" t="str">
        <f>IF('All Cases - Enter Cases'!$F861="Punjab",'All Cases - Enter Cases'!A861,"")</f>
        <v/>
      </c>
      <c r="B861" t="str">
        <f>IF($A861&lt;&gt;"",'All Cases - Enter Cases'!B861,"")</f>
        <v/>
      </c>
      <c r="C861" t="str">
        <f>IF($A861&lt;&gt;"",'All Cases - Enter Cases'!C861,"")</f>
        <v/>
      </c>
      <c r="D861" t="str">
        <f>IF($A861&lt;&gt;"",'All Cases - Enter Cases'!D861,"")</f>
        <v/>
      </c>
      <c r="E861" t="str">
        <f>IF($A861&lt;&gt;"",'All Cases - Enter Cases'!E861,"")</f>
        <v/>
      </c>
      <c r="F861" t="str">
        <f>IF($A861&lt;&gt;"",'All Cases - Enter Cases'!F861,"")</f>
        <v/>
      </c>
      <c r="G861" t="str">
        <f>IF($A861&lt;&gt;"",'All Cases - Enter Cases'!G861,"")</f>
        <v/>
      </c>
      <c r="H861" t="str">
        <f>IF($A861&lt;&gt;"",'All Cases - Enter Cases'!H861,"")</f>
        <v/>
      </c>
      <c r="I861" t="str">
        <f>IF($A861&lt;&gt;"",'All Cases - Enter Cases'!I861,"")</f>
        <v/>
      </c>
      <c r="J861" s="4" t="str">
        <f>IF($A861&lt;&gt;"",'All Cases - Enter Cases'!J861,"")</f>
        <v/>
      </c>
      <c r="K861" s="4" t="str">
        <f>IF($A861&lt;&gt;"",'All Cases - Enter Cases'!K861,"")</f>
        <v/>
      </c>
      <c r="L861" s="4" t="str">
        <f>IF($A861&lt;&gt;"",'All Cases - Enter Cases'!L861,"")</f>
        <v/>
      </c>
      <c r="M861" t="str">
        <f>IF($A861&lt;&gt;"",'All Cases - Enter Cases'!M861,"")</f>
        <v/>
      </c>
    </row>
    <row r="862" spans="1:13" x14ac:dyDescent="0.35">
      <c r="A862" s="4" t="str">
        <f>IF('All Cases - Enter Cases'!$F862="Punjab",'All Cases - Enter Cases'!A862,"")</f>
        <v/>
      </c>
      <c r="B862" t="str">
        <f>IF($A862&lt;&gt;"",'All Cases - Enter Cases'!B862,"")</f>
        <v/>
      </c>
      <c r="C862" t="str">
        <f>IF($A862&lt;&gt;"",'All Cases - Enter Cases'!C862,"")</f>
        <v/>
      </c>
      <c r="D862" t="str">
        <f>IF($A862&lt;&gt;"",'All Cases - Enter Cases'!D862,"")</f>
        <v/>
      </c>
      <c r="E862" t="str">
        <f>IF($A862&lt;&gt;"",'All Cases - Enter Cases'!E862,"")</f>
        <v/>
      </c>
      <c r="F862" t="str">
        <f>IF($A862&lt;&gt;"",'All Cases - Enter Cases'!F862,"")</f>
        <v/>
      </c>
      <c r="G862" t="str">
        <f>IF($A862&lt;&gt;"",'All Cases - Enter Cases'!G862,"")</f>
        <v/>
      </c>
      <c r="H862" t="str">
        <f>IF($A862&lt;&gt;"",'All Cases - Enter Cases'!H862,"")</f>
        <v/>
      </c>
      <c r="I862" t="str">
        <f>IF($A862&lt;&gt;"",'All Cases - Enter Cases'!I862,"")</f>
        <v/>
      </c>
      <c r="J862" s="4" t="str">
        <f>IF($A862&lt;&gt;"",'All Cases - Enter Cases'!J862,"")</f>
        <v/>
      </c>
      <c r="K862" s="4" t="str">
        <f>IF($A862&lt;&gt;"",'All Cases - Enter Cases'!K862,"")</f>
        <v/>
      </c>
      <c r="L862" s="4" t="str">
        <f>IF($A862&lt;&gt;"",'All Cases - Enter Cases'!L862,"")</f>
        <v/>
      </c>
      <c r="M862" t="str">
        <f>IF($A862&lt;&gt;"",'All Cases - Enter Cases'!M862,"")</f>
        <v/>
      </c>
    </row>
    <row r="863" spans="1:13" x14ac:dyDescent="0.35">
      <c r="A863" s="4" t="str">
        <f>IF('All Cases - Enter Cases'!$F863="Punjab",'All Cases - Enter Cases'!A863,"")</f>
        <v/>
      </c>
      <c r="B863" t="str">
        <f>IF($A863&lt;&gt;"",'All Cases - Enter Cases'!B863,"")</f>
        <v/>
      </c>
      <c r="C863" t="str">
        <f>IF($A863&lt;&gt;"",'All Cases - Enter Cases'!C863,"")</f>
        <v/>
      </c>
      <c r="D863" t="str">
        <f>IF($A863&lt;&gt;"",'All Cases - Enter Cases'!D863,"")</f>
        <v/>
      </c>
      <c r="E863" t="str">
        <f>IF($A863&lt;&gt;"",'All Cases - Enter Cases'!E863,"")</f>
        <v/>
      </c>
      <c r="F863" t="str">
        <f>IF($A863&lt;&gt;"",'All Cases - Enter Cases'!F863,"")</f>
        <v/>
      </c>
      <c r="G863" t="str">
        <f>IF($A863&lt;&gt;"",'All Cases - Enter Cases'!G863,"")</f>
        <v/>
      </c>
      <c r="H863" t="str">
        <f>IF($A863&lt;&gt;"",'All Cases - Enter Cases'!H863,"")</f>
        <v/>
      </c>
      <c r="I863" t="str">
        <f>IF($A863&lt;&gt;"",'All Cases - Enter Cases'!I863,"")</f>
        <v/>
      </c>
      <c r="J863" s="4" t="str">
        <f>IF($A863&lt;&gt;"",'All Cases - Enter Cases'!J863,"")</f>
        <v/>
      </c>
      <c r="K863" s="4" t="str">
        <f>IF($A863&lt;&gt;"",'All Cases - Enter Cases'!K863,"")</f>
        <v/>
      </c>
      <c r="L863" s="4" t="str">
        <f>IF($A863&lt;&gt;"",'All Cases - Enter Cases'!L863,"")</f>
        <v/>
      </c>
      <c r="M863" t="str">
        <f>IF($A863&lt;&gt;"",'All Cases - Enter Cases'!M863,"")</f>
        <v/>
      </c>
    </row>
    <row r="864" spans="1:13" x14ac:dyDescent="0.35">
      <c r="A864" s="4" t="str">
        <f>IF('All Cases - Enter Cases'!$F864="Punjab",'All Cases - Enter Cases'!A864,"")</f>
        <v/>
      </c>
      <c r="B864" t="str">
        <f>IF($A864&lt;&gt;"",'All Cases - Enter Cases'!B864,"")</f>
        <v/>
      </c>
      <c r="C864" t="str">
        <f>IF($A864&lt;&gt;"",'All Cases - Enter Cases'!C864,"")</f>
        <v/>
      </c>
      <c r="D864" t="str">
        <f>IF($A864&lt;&gt;"",'All Cases - Enter Cases'!D864,"")</f>
        <v/>
      </c>
      <c r="E864" t="str">
        <f>IF($A864&lt;&gt;"",'All Cases - Enter Cases'!E864,"")</f>
        <v/>
      </c>
      <c r="F864" t="str">
        <f>IF($A864&lt;&gt;"",'All Cases - Enter Cases'!F864,"")</f>
        <v/>
      </c>
      <c r="G864" t="str">
        <f>IF($A864&lt;&gt;"",'All Cases - Enter Cases'!G864,"")</f>
        <v/>
      </c>
      <c r="H864" t="str">
        <f>IF($A864&lt;&gt;"",'All Cases - Enter Cases'!H864,"")</f>
        <v/>
      </c>
      <c r="I864" t="str">
        <f>IF($A864&lt;&gt;"",'All Cases - Enter Cases'!I864,"")</f>
        <v/>
      </c>
      <c r="J864" s="4" t="str">
        <f>IF($A864&lt;&gt;"",'All Cases - Enter Cases'!J864,"")</f>
        <v/>
      </c>
      <c r="K864" s="4" t="str">
        <f>IF($A864&lt;&gt;"",'All Cases - Enter Cases'!K864,"")</f>
        <v/>
      </c>
      <c r="L864" s="4" t="str">
        <f>IF($A864&lt;&gt;"",'All Cases - Enter Cases'!L864,"")</f>
        <v/>
      </c>
      <c r="M864" t="str">
        <f>IF($A864&lt;&gt;"",'All Cases - Enter Cases'!M864,"")</f>
        <v/>
      </c>
    </row>
    <row r="865" spans="1:13" x14ac:dyDescent="0.35">
      <c r="A865" s="4" t="str">
        <f>IF('All Cases - Enter Cases'!$F865="Punjab",'All Cases - Enter Cases'!A865,"")</f>
        <v/>
      </c>
      <c r="B865" t="str">
        <f>IF($A865&lt;&gt;"",'All Cases - Enter Cases'!B865,"")</f>
        <v/>
      </c>
      <c r="C865" t="str">
        <f>IF($A865&lt;&gt;"",'All Cases - Enter Cases'!C865,"")</f>
        <v/>
      </c>
      <c r="D865" t="str">
        <f>IF($A865&lt;&gt;"",'All Cases - Enter Cases'!D865,"")</f>
        <v/>
      </c>
      <c r="E865" t="str">
        <f>IF($A865&lt;&gt;"",'All Cases - Enter Cases'!E865,"")</f>
        <v/>
      </c>
      <c r="F865" t="str">
        <f>IF($A865&lt;&gt;"",'All Cases - Enter Cases'!F865,"")</f>
        <v/>
      </c>
      <c r="G865" t="str">
        <f>IF($A865&lt;&gt;"",'All Cases - Enter Cases'!G865,"")</f>
        <v/>
      </c>
      <c r="H865" t="str">
        <f>IF($A865&lt;&gt;"",'All Cases - Enter Cases'!H865,"")</f>
        <v/>
      </c>
      <c r="I865" t="str">
        <f>IF($A865&lt;&gt;"",'All Cases - Enter Cases'!I865,"")</f>
        <v/>
      </c>
      <c r="J865" s="4" t="str">
        <f>IF($A865&lt;&gt;"",'All Cases - Enter Cases'!J865,"")</f>
        <v/>
      </c>
      <c r="K865" s="4" t="str">
        <f>IF($A865&lt;&gt;"",'All Cases - Enter Cases'!K865,"")</f>
        <v/>
      </c>
      <c r="L865" s="4" t="str">
        <f>IF($A865&lt;&gt;"",'All Cases - Enter Cases'!L865,"")</f>
        <v/>
      </c>
      <c r="M865" t="str">
        <f>IF($A865&lt;&gt;"",'All Cases - Enter Cases'!M865,"")</f>
        <v/>
      </c>
    </row>
    <row r="866" spans="1:13" x14ac:dyDescent="0.35">
      <c r="A866" s="4" t="str">
        <f>IF('All Cases - Enter Cases'!$F866="Punjab",'All Cases - Enter Cases'!A866,"")</f>
        <v/>
      </c>
      <c r="B866" t="str">
        <f>IF($A866&lt;&gt;"",'All Cases - Enter Cases'!B866,"")</f>
        <v/>
      </c>
      <c r="C866" t="str">
        <f>IF($A866&lt;&gt;"",'All Cases - Enter Cases'!C866,"")</f>
        <v/>
      </c>
      <c r="D866" t="str">
        <f>IF($A866&lt;&gt;"",'All Cases - Enter Cases'!D866,"")</f>
        <v/>
      </c>
      <c r="E866" t="str">
        <f>IF($A866&lt;&gt;"",'All Cases - Enter Cases'!E866,"")</f>
        <v/>
      </c>
      <c r="F866" t="str">
        <f>IF($A866&lt;&gt;"",'All Cases - Enter Cases'!F866,"")</f>
        <v/>
      </c>
      <c r="G866" t="str">
        <f>IF($A866&lt;&gt;"",'All Cases - Enter Cases'!G866,"")</f>
        <v/>
      </c>
      <c r="H866" t="str">
        <f>IF($A866&lt;&gt;"",'All Cases - Enter Cases'!H866,"")</f>
        <v/>
      </c>
      <c r="I866" t="str">
        <f>IF($A866&lt;&gt;"",'All Cases - Enter Cases'!I866,"")</f>
        <v/>
      </c>
      <c r="J866" s="4" t="str">
        <f>IF($A866&lt;&gt;"",'All Cases - Enter Cases'!J866,"")</f>
        <v/>
      </c>
      <c r="K866" s="4" t="str">
        <f>IF($A866&lt;&gt;"",'All Cases - Enter Cases'!K866,"")</f>
        <v/>
      </c>
      <c r="L866" s="4" t="str">
        <f>IF($A866&lt;&gt;"",'All Cases - Enter Cases'!L866,"")</f>
        <v/>
      </c>
      <c r="M866" t="str">
        <f>IF($A866&lt;&gt;"",'All Cases - Enter Cases'!M866,"")</f>
        <v/>
      </c>
    </row>
    <row r="867" spans="1:13" x14ac:dyDescent="0.35">
      <c r="A867" s="4" t="str">
        <f>IF('All Cases - Enter Cases'!$F867="Punjab",'All Cases - Enter Cases'!A867,"")</f>
        <v/>
      </c>
      <c r="B867" t="str">
        <f>IF($A867&lt;&gt;"",'All Cases - Enter Cases'!B867,"")</f>
        <v/>
      </c>
      <c r="C867" t="str">
        <f>IF($A867&lt;&gt;"",'All Cases - Enter Cases'!C867,"")</f>
        <v/>
      </c>
      <c r="D867" t="str">
        <f>IF($A867&lt;&gt;"",'All Cases - Enter Cases'!D867,"")</f>
        <v/>
      </c>
      <c r="E867" t="str">
        <f>IF($A867&lt;&gt;"",'All Cases - Enter Cases'!E867,"")</f>
        <v/>
      </c>
      <c r="F867" t="str">
        <f>IF($A867&lt;&gt;"",'All Cases - Enter Cases'!F867,"")</f>
        <v/>
      </c>
      <c r="G867" t="str">
        <f>IF($A867&lt;&gt;"",'All Cases - Enter Cases'!G867,"")</f>
        <v/>
      </c>
      <c r="H867" t="str">
        <f>IF($A867&lt;&gt;"",'All Cases - Enter Cases'!H867,"")</f>
        <v/>
      </c>
      <c r="I867" t="str">
        <f>IF($A867&lt;&gt;"",'All Cases - Enter Cases'!I867,"")</f>
        <v/>
      </c>
      <c r="J867" s="4" t="str">
        <f>IF($A867&lt;&gt;"",'All Cases - Enter Cases'!J867,"")</f>
        <v/>
      </c>
      <c r="K867" s="4" t="str">
        <f>IF($A867&lt;&gt;"",'All Cases - Enter Cases'!K867,"")</f>
        <v/>
      </c>
      <c r="L867" s="4" t="str">
        <f>IF($A867&lt;&gt;"",'All Cases - Enter Cases'!L867,"")</f>
        <v/>
      </c>
      <c r="M867" t="str">
        <f>IF($A867&lt;&gt;"",'All Cases - Enter Cases'!M867,"")</f>
        <v/>
      </c>
    </row>
    <row r="868" spans="1:13" x14ac:dyDescent="0.35">
      <c r="A868" s="4" t="str">
        <f>IF('All Cases - Enter Cases'!$F868="Punjab",'All Cases - Enter Cases'!A868,"")</f>
        <v/>
      </c>
      <c r="B868" t="str">
        <f>IF($A868&lt;&gt;"",'All Cases - Enter Cases'!B868,"")</f>
        <v/>
      </c>
      <c r="C868" t="str">
        <f>IF($A868&lt;&gt;"",'All Cases - Enter Cases'!C868,"")</f>
        <v/>
      </c>
      <c r="D868" t="str">
        <f>IF($A868&lt;&gt;"",'All Cases - Enter Cases'!D868,"")</f>
        <v/>
      </c>
      <c r="E868" t="str">
        <f>IF($A868&lt;&gt;"",'All Cases - Enter Cases'!E868,"")</f>
        <v/>
      </c>
      <c r="F868" t="str">
        <f>IF($A868&lt;&gt;"",'All Cases - Enter Cases'!F868,"")</f>
        <v/>
      </c>
      <c r="G868" t="str">
        <f>IF($A868&lt;&gt;"",'All Cases - Enter Cases'!G868,"")</f>
        <v/>
      </c>
      <c r="H868" t="str">
        <f>IF($A868&lt;&gt;"",'All Cases - Enter Cases'!H868,"")</f>
        <v/>
      </c>
      <c r="I868" t="str">
        <f>IF($A868&lt;&gt;"",'All Cases - Enter Cases'!I868,"")</f>
        <v/>
      </c>
      <c r="J868" s="4" t="str">
        <f>IF($A868&lt;&gt;"",'All Cases - Enter Cases'!J868,"")</f>
        <v/>
      </c>
      <c r="K868" s="4" t="str">
        <f>IF($A868&lt;&gt;"",'All Cases - Enter Cases'!K868,"")</f>
        <v/>
      </c>
      <c r="L868" s="4" t="str">
        <f>IF($A868&lt;&gt;"",'All Cases - Enter Cases'!L868,"")</f>
        <v/>
      </c>
      <c r="M868" t="str">
        <f>IF($A868&lt;&gt;"",'All Cases - Enter Cases'!M868,"")</f>
        <v/>
      </c>
    </row>
    <row r="869" spans="1:13" x14ac:dyDescent="0.35">
      <c r="A869" s="4" t="str">
        <f>IF('All Cases - Enter Cases'!$F869="Punjab",'All Cases - Enter Cases'!A869,"")</f>
        <v/>
      </c>
      <c r="B869" t="str">
        <f>IF($A869&lt;&gt;"",'All Cases - Enter Cases'!B869,"")</f>
        <v/>
      </c>
      <c r="C869" t="str">
        <f>IF($A869&lt;&gt;"",'All Cases - Enter Cases'!C869,"")</f>
        <v/>
      </c>
      <c r="D869" t="str">
        <f>IF($A869&lt;&gt;"",'All Cases - Enter Cases'!D869,"")</f>
        <v/>
      </c>
      <c r="E869" t="str">
        <f>IF($A869&lt;&gt;"",'All Cases - Enter Cases'!E869,"")</f>
        <v/>
      </c>
      <c r="F869" t="str">
        <f>IF($A869&lt;&gt;"",'All Cases - Enter Cases'!F869,"")</f>
        <v/>
      </c>
      <c r="G869" t="str">
        <f>IF($A869&lt;&gt;"",'All Cases - Enter Cases'!G869,"")</f>
        <v/>
      </c>
      <c r="H869" t="str">
        <f>IF($A869&lt;&gt;"",'All Cases - Enter Cases'!H869,"")</f>
        <v/>
      </c>
      <c r="I869" t="str">
        <f>IF($A869&lt;&gt;"",'All Cases - Enter Cases'!I869,"")</f>
        <v/>
      </c>
      <c r="J869" s="4" t="str">
        <f>IF($A869&lt;&gt;"",'All Cases - Enter Cases'!J869,"")</f>
        <v/>
      </c>
      <c r="K869" s="4" t="str">
        <f>IF($A869&lt;&gt;"",'All Cases - Enter Cases'!K869,"")</f>
        <v/>
      </c>
      <c r="L869" s="4" t="str">
        <f>IF($A869&lt;&gt;"",'All Cases - Enter Cases'!L869,"")</f>
        <v/>
      </c>
      <c r="M869" t="str">
        <f>IF($A869&lt;&gt;"",'All Cases - Enter Cases'!M869,"")</f>
        <v/>
      </c>
    </row>
    <row r="870" spans="1:13" x14ac:dyDescent="0.35">
      <c r="A870" s="4" t="str">
        <f>IF('All Cases - Enter Cases'!$F870="Punjab",'All Cases - Enter Cases'!A870,"")</f>
        <v/>
      </c>
      <c r="B870" t="str">
        <f>IF($A870&lt;&gt;"",'All Cases - Enter Cases'!B870,"")</f>
        <v/>
      </c>
      <c r="C870" t="str">
        <f>IF($A870&lt;&gt;"",'All Cases - Enter Cases'!C870,"")</f>
        <v/>
      </c>
      <c r="D870" t="str">
        <f>IF($A870&lt;&gt;"",'All Cases - Enter Cases'!D870,"")</f>
        <v/>
      </c>
      <c r="E870" t="str">
        <f>IF($A870&lt;&gt;"",'All Cases - Enter Cases'!E870,"")</f>
        <v/>
      </c>
      <c r="F870" t="str">
        <f>IF($A870&lt;&gt;"",'All Cases - Enter Cases'!F870,"")</f>
        <v/>
      </c>
      <c r="G870" t="str">
        <f>IF($A870&lt;&gt;"",'All Cases - Enter Cases'!G870,"")</f>
        <v/>
      </c>
      <c r="H870" t="str">
        <f>IF($A870&lt;&gt;"",'All Cases - Enter Cases'!H870,"")</f>
        <v/>
      </c>
      <c r="I870" t="str">
        <f>IF($A870&lt;&gt;"",'All Cases - Enter Cases'!I870,"")</f>
        <v/>
      </c>
      <c r="J870" s="4" t="str">
        <f>IF($A870&lt;&gt;"",'All Cases - Enter Cases'!J870,"")</f>
        <v/>
      </c>
      <c r="K870" s="4" t="str">
        <f>IF($A870&lt;&gt;"",'All Cases - Enter Cases'!K870,"")</f>
        <v/>
      </c>
      <c r="L870" s="4" t="str">
        <f>IF($A870&lt;&gt;"",'All Cases - Enter Cases'!L870,"")</f>
        <v/>
      </c>
      <c r="M870" t="str">
        <f>IF($A870&lt;&gt;"",'All Cases - Enter Cases'!M870,"")</f>
        <v/>
      </c>
    </row>
    <row r="871" spans="1:13" x14ac:dyDescent="0.35">
      <c r="A871" s="4" t="str">
        <f>IF('All Cases - Enter Cases'!$F871="Punjab",'All Cases - Enter Cases'!A871,"")</f>
        <v/>
      </c>
      <c r="B871" t="str">
        <f>IF($A871&lt;&gt;"",'All Cases - Enter Cases'!B871,"")</f>
        <v/>
      </c>
      <c r="C871" t="str">
        <f>IF($A871&lt;&gt;"",'All Cases - Enter Cases'!C871,"")</f>
        <v/>
      </c>
      <c r="D871" t="str">
        <f>IF($A871&lt;&gt;"",'All Cases - Enter Cases'!D871,"")</f>
        <v/>
      </c>
      <c r="E871" t="str">
        <f>IF($A871&lt;&gt;"",'All Cases - Enter Cases'!E871,"")</f>
        <v/>
      </c>
      <c r="F871" t="str">
        <f>IF($A871&lt;&gt;"",'All Cases - Enter Cases'!F871,"")</f>
        <v/>
      </c>
      <c r="G871" t="str">
        <f>IF($A871&lt;&gt;"",'All Cases - Enter Cases'!G871,"")</f>
        <v/>
      </c>
      <c r="H871" t="str">
        <f>IF($A871&lt;&gt;"",'All Cases - Enter Cases'!H871,"")</f>
        <v/>
      </c>
      <c r="I871" t="str">
        <f>IF($A871&lt;&gt;"",'All Cases - Enter Cases'!I871,"")</f>
        <v/>
      </c>
      <c r="J871" s="4" t="str">
        <f>IF($A871&lt;&gt;"",'All Cases - Enter Cases'!J871,"")</f>
        <v/>
      </c>
      <c r="K871" s="4" t="str">
        <f>IF($A871&lt;&gt;"",'All Cases - Enter Cases'!K871,"")</f>
        <v/>
      </c>
      <c r="L871" s="4" t="str">
        <f>IF($A871&lt;&gt;"",'All Cases - Enter Cases'!L871,"")</f>
        <v/>
      </c>
      <c r="M871" t="str">
        <f>IF($A871&lt;&gt;"",'All Cases - Enter Cases'!M871,"")</f>
        <v/>
      </c>
    </row>
    <row r="872" spans="1:13" x14ac:dyDescent="0.35">
      <c r="A872" s="4" t="str">
        <f>IF('All Cases - Enter Cases'!$F872="Punjab",'All Cases - Enter Cases'!A872,"")</f>
        <v/>
      </c>
      <c r="B872" t="str">
        <f>IF($A872&lt;&gt;"",'All Cases - Enter Cases'!B872,"")</f>
        <v/>
      </c>
      <c r="C872" t="str">
        <f>IF($A872&lt;&gt;"",'All Cases - Enter Cases'!C872,"")</f>
        <v/>
      </c>
      <c r="D872" t="str">
        <f>IF($A872&lt;&gt;"",'All Cases - Enter Cases'!D872,"")</f>
        <v/>
      </c>
      <c r="E872" t="str">
        <f>IF($A872&lt;&gt;"",'All Cases - Enter Cases'!E872,"")</f>
        <v/>
      </c>
      <c r="F872" t="str">
        <f>IF($A872&lt;&gt;"",'All Cases - Enter Cases'!F872,"")</f>
        <v/>
      </c>
      <c r="G872" t="str">
        <f>IF($A872&lt;&gt;"",'All Cases - Enter Cases'!G872,"")</f>
        <v/>
      </c>
      <c r="H872" t="str">
        <f>IF($A872&lt;&gt;"",'All Cases - Enter Cases'!H872,"")</f>
        <v/>
      </c>
      <c r="I872" t="str">
        <f>IF($A872&lt;&gt;"",'All Cases - Enter Cases'!I872,"")</f>
        <v/>
      </c>
      <c r="J872" s="4" t="str">
        <f>IF($A872&lt;&gt;"",'All Cases - Enter Cases'!J872,"")</f>
        <v/>
      </c>
      <c r="K872" s="4" t="str">
        <f>IF($A872&lt;&gt;"",'All Cases - Enter Cases'!K872,"")</f>
        <v/>
      </c>
      <c r="L872" s="4" t="str">
        <f>IF($A872&lt;&gt;"",'All Cases - Enter Cases'!L872,"")</f>
        <v/>
      </c>
      <c r="M872" t="str">
        <f>IF($A872&lt;&gt;"",'All Cases - Enter Cases'!M872,"")</f>
        <v/>
      </c>
    </row>
    <row r="873" spans="1:13" x14ac:dyDescent="0.35">
      <c r="A873" s="4" t="str">
        <f>IF('All Cases - Enter Cases'!$F873="Punjab",'All Cases - Enter Cases'!A873,"")</f>
        <v/>
      </c>
      <c r="B873" t="str">
        <f>IF($A873&lt;&gt;"",'All Cases - Enter Cases'!B873,"")</f>
        <v/>
      </c>
      <c r="C873" t="str">
        <f>IF($A873&lt;&gt;"",'All Cases - Enter Cases'!C873,"")</f>
        <v/>
      </c>
      <c r="D873" t="str">
        <f>IF($A873&lt;&gt;"",'All Cases - Enter Cases'!D873,"")</f>
        <v/>
      </c>
      <c r="E873" t="str">
        <f>IF($A873&lt;&gt;"",'All Cases - Enter Cases'!E873,"")</f>
        <v/>
      </c>
      <c r="F873" t="str">
        <f>IF($A873&lt;&gt;"",'All Cases - Enter Cases'!F873,"")</f>
        <v/>
      </c>
      <c r="G873" t="str">
        <f>IF($A873&lt;&gt;"",'All Cases - Enter Cases'!G873,"")</f>
        <v/>
      </c>
      <c r="H873" t="str">
        <f>IF($A873&lt;&gt;"",'All Cases - Enter Cases'!H873,"")</f>
        <v/>
      </c>
      <c r="I873" t="str">
        <f>IF($A873&lt;&gt;"",'All Cases - Enter Cases'!I873,"")</f>
        <v/>
      </c>
      <c r="J873" s="4" t="str">
        <f>IF($A873&lt;&gt;"",'All Cases - Enter Cases'!J873,"")</f>
        <v/>
      </c>
      <c r="K873" s="4" t="str">
        <f>IF($A873&lt;&gt;"",'All Cases - Enter Cases'!K873,"")</f>
        <v/>
      </c>
      <c r="L873" s="4" t="str">
        <f>IF($A873&lt;&gt;"",'All Cases - Enter Cases'!L873,"")</f>
        <v/>
      </c>
      <c r="M873" t="str">
        <f>IF($A873&lt;&gt;"",'All Cases - Enter Cases'!M873,"")</f>
        <v/>
      </c>
    </row>
    <row r="874" spans="1:13" x14ac:dyDescent="0.35">
      <c r="A874" s="4" t="str">
        <f>IF('All Cases - Enter Cases'!$F874="Punjab",'All Cases - Enter Cases'!A874,"")</f>
        <v/>
      </c>
      <c r="B874" t="str">
        <f>IF($A874&lt;&gt;"",'All Cases - Enter Cases'!B874,"")</f>
        <v/>
      </c>
      <c r="C874" t="str">
        <f>IF($A874&lt;&gt;"",'All Cases - Enter Cases'!C874,"")</f>
        <v/>
      </c>
      <c r="D874" t="str">
        <f>IF($A874&lt;&gt;"",'All Cases - Enter Cases'!D874,"")</f>
        <v/>
      </c>
      <c r="E874" t="str">
        <f>IF($A874&lt;&gt;"",'All Cases - Enter Cases'!E874,"")</f>
        <v/>
      </c>
      <c r="F874" t="str">
        <f>IF($A874&lt;&gt;"",'All Cases - Enter Cases'!F874,"")</f>
        <v/>
      </c>
      <c r="G874" t="str">
        <f>IF($A874&lt;&gt;"",'All Cases - Enter Cases'!G874,"")</f>
        <v/>
      </c>
      <c r="H874" t="str">
        <f>IF($A874&lt;&gt;"",'All Cases - Enter Cases'!H874,"")</f>
        <v/>
      </c>
      <c r="I874" t="str">
        <f>IF($A874&lt;&gt;"",'All Cases - Enter Cases'!I874,"")</f>
        <v/>
      </c>
      <c r="J874" s="4" t="str">
        <f>IF($A874&lt;&gt;"",'All Cases - Enter Cases'!J874,"")</f>
        <v/>
      </c>
      <c r="K874" s="4" t="str">
        <f>IF($A874&lt;&gt;"",'All Cases - Enter Cases'!K874,"")</f>
        <v/>
      </c>
      <c r="L874" s="4" t="str">
        <f>IF($A874&lt;&gt;"",'All Cases - Enter Cases'!L874,"")</f>
        <v/>
      </c>
      <c r="M874" t="str">
        <f>IF($A874&lt;&gt;"",'All Cases - Enter Cases'!M874,"")</f>
        <v/>
      </c>
    </row>
    <row r="875" spans="1:13" x14ac:dyDescent="0.35">
      <c r="A875" s="4" t="str">
        <f>IF('All Cases - Enter Cases'!$F875="Punjab",'All Cases - Enter Cases'!A875,"")</f>
        <v/>
      </c>
      <c r="B875" t="str">
        <f>IF($A875&lt;&gt;"",'All Cases - Enter Cases'!B875,"")</f>
        <v/>
      </c>
      <c r="C875" t="str">
        <f>IF($A875&lt;&gt;"",'All Cases - Enter Cases'!C875,"")</f>
        <v/>
      </c>
      <c r="D875" t="str">
        <f>IF($A875&lt;&gt;"",'All Cases - Enter Cases'!D875,"")</f>
        <v/>
      </c>
      <c r="E875" t="str">
        <f>IF($A875&lt;&gt;"",'All Cases - Enter Cases'!E875,"")</f>
        <v/>
      </c>
      <c r="F875" t="str">
        <f>IF($A875&lt;&gt;"",'All Cases - Enter Cases'!F875,"")</f>
        <v/>
      </c>
      <c r="G875" t="str">
        <f>IF($A875&lt;&gt;"",'All Cases - Enter Cases'!G875,"")</f>
        <v/>
      </c>
      <c r="H875" t="str">
        <f>IF($A875&lt;&gt;"",'All Cases - Enter Cases'!H875,"")</f>
        <v/>
      </c>
      <c r="I875" t="str">
        <f>IF($A875&lt;&gt;"",'All Cases - Enter Cases'!I875,"")</f>
        <v/>
      </c>
      <c r="J875" s="4" t="str">
        <f>IF($A875&lt;&gt;"",'All Cases - Enter Cases'!J875,"")</f>
        <v/>
      </c>
      <c r="K875" s="4" t="str">
        <f>IF($A875&lt;&gt;"",'All Cases - Enter Cases'!K875,"")</f>
        <v/>
      </c>
      <c r="L875" s="4" t="str">
        <f>IF($A875&lt;&gt;"",'All Cases - Enter Cases'!L875,"")</f>
        <v/>
      </c>
      <c r="M875" t="str">
        <f>IF($A875&lt;&gt;"",'All Cases - Enter Cases'!M875,"")</f>
        <v/>
      </c>
    </row>
    <row r="876" spans="1:13" x14ac:dyDescent="0.35">
      <c r="A876" s="4" t="str">
        <f>IF('All Cases - Enter Cases'!$F876="Punjab",'All Cases - Enter Cases'!A876,"")</f>
        <v/>
      </c>
      <c r="B876" t="str">
        <f>IF($A876&lt;&gt;"",'All Cases - Enter Cases'!B876,"")</f>
        <v/>
      </c>
      <c r="C876" t="str">
        <f>IF($A876&lt;&gt;"",'All Cases - Enter Cases'!C876,"")</f>
        <v/>
      </c>
      <c r="D876" t="str">
        <f>IF($A876&lt;&gt;"",'All Cases - Enter Cases'!D876,"")</f>
        <v/>
      </c>
      <c r="E876" t="str">
        <f>IF($A876&lt;&gt;"",'All Cases - Enter Cases'!E876,"")</f>
        <v/>
      </c>
      <c r="F876" t="str">
        <f>IF($A876&lt;&gt;"",'All Cases - Enter Cases'!F876,"")</f>
        <v/>
      </c>
      <c r="G876" t="str">
        <f>IF($A876&lt;&gt;"",'All Cases - Enter Cases'!G876,"")</f>
        <v/>
      </c>
      <c r="H876" t="str">
        <f>IF($A876&lt;&gt;"",'All Cases - Enter Cases'!H876,"")</f>
        <v/>
      </c>
      <c r="I876" t="str">
        <f>IF($A876&lt;&gt;"",'All Cases - Enter Cases'!I876,"")</f>
        <v/>
      </c>
      <c r="J876" s="4" t="str">
        <f>IF($A876&lt;&gt;"",'All Cases - Enter Cases'!J876,"")</f>
        <v/>
      </c>
      <c r="K876" s="4" t="str">
        <f>IF($A876&lt;&gt;"",'All Cases - Enter Cases'!K876,"")</f>
        <v/>
      </c>
      <c r="L876" s="4" t="str">
        <f>IF($A876&lt;&gt;"",'All Cases - Enter Cases'!L876,"")</f>
        <v/>
      </c>
      <c r="M876" t="str">
        <f>IF($A876&lt;&gt;"",'All Cases - Enter Cases'!M876,"")</f>
        <v/>
      </c>
    </row>
    <row r="877" spans="1:13" x14ac:dyDescent="0.35">
      <c r="A877" s="4" t="str">
        <f>IF('All Cases - Enter Cases'!$F877="Punjab",'All Cases - Enter Cases'!A877,"")</f>
        <v/>
      </c>
      <c r="B877" t="str">
        <f>IF($A877&lt;&gt;"",'All Cases - Enter Cases'!B877,"")</f>
        <v/>
      </c>
      <c r="C877" t="str">
        <f>IF($A877&lt;&gt;"",'All Cases - Enter Cases'!C877,"")</f>
        <v/>
      </c>
      <c r="D877" t="str">
        <f>IF($A877&lt;&gt;"",'All Cases - Enter Cases'!D877,"")</f>
        <v/>
      </c>
      <c r="E877" t="str">
        <f>IF($A877&lt;&gt;"",'All Cases - Enter Cases'!E877,"")</f>
        <v/>
      </c>
      <c r="F877" t="str">
        <f>IF($A877&lt;&gt;"",'All Cases - Enter Cases'!F877,"")</f>
        <v/>
      </c>
      <c r="G877" t="str">
        <f>IF($A877&lt;&gt;"",'All Cases - Enter Cases'!G877,"")</f>
        <v/>
      </c>
      <c r="H877" t="str">
        <f>IF($A877&lt;&gt;"",'All Cases - Enter Cases'!H877,"")</f>
        <v/>
      </c>
      <c r="I877" t="str">
        <f>IF($A877&lt;&gt;"",'All Cases - Enter Cases'!I877,"")</f>
        <v/>
      </c>
      <c r="J877" s="4" t="str">
        <f>IF($A877&lt;&gt;"",'All Cases - Enter Cases'!J877,"")</f>
        <v/>
      </c>
      <c r="K877" s="4" t="str">
        <f>IF($A877&lt;&gt;"",'All Cases - Enter Cases'!K877,"")</f>
        <v/>
      </c>
      <c r="L877" s="4" t="str">
        <f>IF($A877&lt;&gt;"",'All Cases - Enter Cases'!L877,"")</f>
        <v/>
      </c>
      <c r="M877" t="str">
        <f>IF($A877&lt;&gt;"",'All Cases - Enter Cases'!M877,"")</f>
        <v/>
      </c>
    </row>
    <row r="878" spans="1:13" x14ac:dyDescent="0.35">
      <c r="A878" s="4" t="str">
        <f>IF('All Cases - Enter Cases'!$F878="Punjab",'All Cases - Enter Cases'!A878,"")</f>
        <v/>
      </c>
      <c r="B878" t="str">
        <f>IF($A878&lt;&gt;"",'All Cases - Enter Cases'!B878,"")</f>
        <v/>
      </c>
      <c r="C878" t="str">
        <f>IF($A878&lt;&gt;"",'All Cases - Enter Cases'!C878,"")</f>
        <v/>
      </c>
      <c r="D878" t="str">
        <f>IF($A878&lt;&gt;"",'All Cases - Enter Cases'!D878,"")</f>
        <v/>
      </c>
      <c r="E878" t="str">
        <f>IF($A878&lt;&gt;"",'All Cases - Enter Cases'!E878,"")</f>
        <v/>
      </c>
      <c r="F878" t="str">
        <f>IF($A878&lt;&gt;"",'All Cases - Enter Cases'!F878,"")</f>
        <v/>
      </c>
      <c r="G878" t="str">
        <f>IF($A878&lt;&gt;"",'All Cases - Enter Cases'!G878,"")</f>
        <v/>
      </c>
      <c r="H878" t="str">
        <f>IF($A878&lt;&gt;"",'All Cases - Enter Cases'!H878,"")</f>
        <v/>
      </c>
      <c r="I878" t="str">
        <f>IF($A878&lt;&gt;"",'All Cases - Enter Cases'!I878,"")</f>
        <v/>
      </c>
      <c r="J878" s="4" t="str">
        <f>IF($A878&lt;&gt;"",'All Cases - Enter Cases'!J878,"")</f>
        <v/>
      </c>
      <c r="K878" s="4" t="str">
        <f>IF($A878&lt;&gt;"",'All Cases - Enter Cases'!K878,"")</f>
        <v/>
      </c>
      <c r="L878" s="4" t="str">
        <f>IF($A878&lt;&gt;"",'All Cases - Enter Cases'!L878,"")</f>
        <v/>
      </c>
      <c r="M878" t="str">
        <f>IF($A878&lt;&gt;"",'All Cases - Enter Cases'!M878,"")</f>
        <v/>
      </c>
    </row>
    <row r="879" spans="1:13" x14ac:dyDescent="0.35">
      <c r="A879" s="4" t="str">
        <f>IF('All Cases - Enter Cases'!$F879="Punjab",'All Cases - Enter Cases'!A879,"")</f>
        <v/>
      </c>
      <c r="B879" t="str">
        <f>IF($A879&lt;&gt;"",'All Cases - Enter Cases'!B879,"")</f>
        <v/>
      </c>
      <c r="C879" t="str">
        <f>IF($A879&lt;&gt;"",'All Cases - Enter Cases'!C879,"")</f>
        <v/>
      </c>
      <c r="D879" t="str">
        <f>IF($A879&lt;&gt;"",'All Cases - Enter Cases'!D879,"")</f>
        <v/>
      </c>
      <c r="E879" t="str">
        <f>IF($A879&lt;&gt;"",'All Cases - Enter Cases'!E879,"")</f>
        <v/>
      </c>
      <c r="F879" t="str">
        <f>IF($A879&lt;&gt;"",'All Cases - Enter Cases'!F879,"")</f>
        <v/>
      </c>
      <c r="G879" t="str">
        <f>IF($A879&lt;&gt;"",'All Cases - Enter Cases'!G879,"")</f>
        <v/>
      </c>
      <c r="H879" t="str">
        <f>IF($A879&lt;&gt;"",'All Cases - Enter Cases'!H879,"")</f>
        <v/>
      </c>
      <c r="I879" t="str">
        <f>IF($A879&lt;&gt;"",'All Cases - Enter Cases'!I879,"")</f>
        <v/>
      </c>
      <c r="J879" s="4" t="str">
        <f>IF($A879&lt;&gt;"",'All Cases - Enter Cases'!J879,"")</f>
        <v/>
      </c>
      <c r="K879" s="4" t="str">
        <f>IF($A879&lt;&gt;"",'All Cases - Enter Cases'!K879,"")</f>
        <v/>
      </c>
      <c r="L879" s="4" t="str">
        <f>IF($A879&lt;&gt;"",'All Cases - Enter Cases'!L879,"")</f>
        <v/>
      </c>
      <c r="M879" t="str">
        <f>IF($A879&lt;&gt;"",'All Cases - Enter Cases'!M879,"")</f>
        <v/>
      </c>
    </row>
    <row r="880" spans="1:13" x14ac:dyDescent="0.35">
      <c r="A880" s="4" t="str">
        <f>IF('All Cases - Enter Cases'!$F880="Punjab",'All Cases - Enter Cases'!A880,"")</f>
        <v/>
      </c>
      <c r="B880" t="str">
        <f>IF($A880&lt;&gt;"",'All Cases - Enter Cases'!B880,"")</f>
        <v/>
      </c>
      <c r="C880" t="str">
        <f>IF($A880&lt;&gt;"",'All Cases - Enter Cases'!C880,"")</f>
        <v/>
      </c>
      <c r="D880" t="str">
        <f>IF($A880&lt;&gt;"",'All Cases - Enter Cases'!D880,"")</f>
        <v/>
      </c>
      <c r="E880" t="str">
        <f>IF($A880&lt;&gt;"",'All Cases - Enter Cases'!E880,"")</f>
        <v/>
      </c>
      <c r="F880" t="str">
        <f>IF($A880&lt;&gt;"",'All Cases - Enter Cases'!F880,"")</f>
        <v/>
      </c>
      <c r="G880" t="str">
        <f>IF($A880&lt;&gt;"",'All Cases - Enter Cases'!G880,"")</f>
        <v/>
      </c>
      <c r="H880" t="str">
        <f>IF($A880&lt;&gt;"",'All Cases - Enter Cases'!H880,"")</f>
        <v/>
      </c>
      <c r="I880" t="str">
        <f>IF($A880&lt;&gt;"",'All Cases - Enter Cases'!I880,"")</f>
        <v/>
      </c>
      <c r="J880" s="4" t="str">
        <f>IF($A880&lt;&gt;"",'All Cases - Enter Cases'!J880,"")</f>
        <v/>
      </c>
      <c r="K880" s="4" t="str">
        <f>IF($A880&lt;&gt;"",'All Cases - Enter Cases'!K880,"")</f>
        <v/>
      </c>
      <c r="L880" s="4" t="str">
        <f>IF($A880&lt;&gt;"",'All Cases - Enter Cases'!L880,"")</f>
        <v/>
      </c>
      <c r="M880" t="str">
        <f>IF($A880&lt;&gt;"",'All Cases - Enter Cases'!M880,"")</f>
        <v/>
      </c>
    </row>
    <row r="881" spans="1:13" x14ac:dyDescent="0.35">
      <c r="A881" s="4" t="str">
        <f>IF('All Cases - Enter Cases'!$F881="Punjab",'All Cases - Enter Cases'!A881,"")</f>
        <v/>
      </c>
      <c r="B881" t="str">
        <f>IF($A881&lt;&gt;"",'All Cases - Enter Cases'!B881,"")</f>
        <v/>
      </c>
      <c r="C881" t="str">
        <f>IF($A881&lt;&gt;"",'All Cases - Enter Cases'!C881,"")</f>
        <v/>
      </c>
      <c r="D881" t="str">
        <f>IF($A881&lt;&gt;"",'All Cases - Enter Cases'!D881,"")</f>
        <v/>
      </c>
      <c r="E881" t="str">
        <f>IF($A881&lt;&gt;"",'All Cases - Enter Cases'!E881,"")</f>
        <v/>
      </c>
      <c r="F881" t="str">
        <f>IF($A881&lt;&gt;"",'All Cases - Enter Cases'!F881,"")</f>
        <v/>
      </c>
      <c r="G881" t="str">
        <f>IF($A881&lt;&gt;"",'All Cases - Enter Cases'!G881,"")</f>
        <v/>
      </c>
      <c r="H881" t="str">
        <f>IF($A881&lt;&gt;"",'All Cases - Enter Cases'!H881,"")</f>
        <v/>
      </c>
      <c r="I881" t="str">
        <f>IF($A881&lt;&gt;"",'All Cases - Enter Cases'!I881,"")</f>
        <v/>
      </c>
      <c r="J881" s="4" t="str">
        <f>IF($A881&lt;&gt;"",'All Cases - Enter Cases'!J881,"")</f>
        <v/>
      </c>
      <c r="K881" s="4" t="str">
        <f>IF($A881&lt;&gt;"",'All Cases - Enter Cases'!K881,"")</f>
        <v/>
      </c>
      <c r="L881" s="4" t="str">
        <f>IF($A881&lt;&gt;"",'All Cases - Enter Cases'!L881,"")</f>
        <v/>
      </c>
      <c r="M881" t="str">
        <f>IF($A881&lt;&gt;"",'All Cases - Enter Cases'!M881,"")</f>
        <v/>
      </c>
    </row>
    <row r="882" spans="1:13" x14ac:dyDescent="0.35">
      <c r="A882" s="4" t="str">
        <f>IF('All Cases - Enter Cases'!$F882="Punjab",'All Cases - Enter Cases'!A882,"")</f>
        <v/>
      </c>
      <c r="B882" t="str">
        <f>IF($A882&lt;&gt;"",'All Cases - Enter Cases'!B882,"")</f>
        <v/>
      </c>
      <c r="C882" t="str">
        <f>IF($A882&lt;&gt;"",'All Cases - Enter Cases'!C882,"")</f>
        <v/>
      </c>
      <c r="D882" t="str">
        <f>IF($A882&lt;&gt;"",'All Cases - Enter Cases'!D882,"")</f>
        <v/>
      </c>
      <c r="E882" t="str">
        <f>IF($A882&lt;&gt;"",'All Cases - Enter Cases'!E882,"")</f>
        <v/>
      </c>
      <c r="F882" t="str">
        <f>IF($A882&lt;&gt;"",'All Cases - Enter Cases'!F882,"")</f>
        <v/>
      </c>
      <c r="G882" t="str">
        <f>IF($A882&lt;&gt;"",'All Cases - Enter Cases'!G882,"")</f>
        <v/>
      </c>
      <c r="H882" t="str">
        <f>IF($A882&lt;&gt;"",'All Cases - Enter Cases'!H882,"")</f>
        <v/>
      </c>
      <c r="I882" t="str">
        <f>IF($A882&lt;&gt;"",'All Cases - Enter Cases'!I882,"")</f>
        <v/>
      </c>
      <c r="J882" s="4" t="str">
        <f>IF($A882&lt;&gt;"",'All Cases - Enter Cases'!J882,"")</f>
        <v/>
      </c>
      <c r="K882" s="4" t="str">
        <f>IF($A882&lt;&gt;"",'All Cases - Enter Cases'!K882,"")</f>
        <v/>
      </c>
      <c r="L882" s="4" t="str">
        <f>IF($A882&lt;&gt;"",'All Cases - Enter Cases'!L882,"")</f>
        <v/>
      </c>
      <c r="M882" t="str">
        <f>IF($A882&lt;&gt;"",'All Cases - Enter Cases'!M882,"")</f>
        <v/>
      </c>
    </row>
    <row r="883" spans="1:13" x14ac:dyDescent="0.35">
      <c r="A883" s="4" t="str">
        <f>IF('All Cases - Enter Cases'!$F883="Punjab",'All Cases - Enter Cases'!A883,"")</f>
        <v/>
      </c>
      <c r="B883" t="str">
        <f>IF($A883&lt;&gt;"",'All Cases - Enter Cases'!B883,"")</f>
        <v/>
      </c>
      <c r="C883" t="str">
        <f>IF($A883&lt;&gt;"",'All Cases - Enter Cases'!C883,"")</f>
        <v/>
      </c>
      <c r="D883" t="str">
        <f>IF($A883&lt;&gt;"",'All Cases - Enter Cases'!D883,"")</f>
        <v/>
      </c>
      <c r="E883" t="str">
        <f>IF($A883&lt;&gt;"",'All Cases - Enter Cases'!E883,"")</f>
        <v/>
      </c>
      <c r="F883" t="str">
        <f>IF($A883&lt;&gt;"",'All Cases - Enter Cases'!F883,"")</f>
        <v/>
      </c>
      <c r="G883" t="str">
        <f>IF($A883&lt;&gt;"",'All Cases - Enter Cases'!G883,"")</f>
        <v/>
      </c>
      <c r="H883" t="str">
        <f>IF($A883&lt;&gt;"",'All Cases - Enter Cases'!H883,"")</f>
        <v/>
      </c>
      <c r="I883" t="str">
        <f>IF($A883&lt;&gt;"",'All Cases - Enter Cases'!I883,"")</f>
        <v/>
      </c>
      <c r="J883" s="4" t="str">
        <f>IF($A883&lt;&gt;"",'All Cases - Enter Cases'!J883,"")</f>
        <v/>
      </c>
      <c r="K883" s="4" t="str">
        <f>IF($A883&lt;&gt;"",'All Cases - Enter Cases'!K883,"")</f>
        <v/>
      </c>
      <c r="L883" s="4" t="str">
        <f>IF($A883&lt;&gt;"",'All Cases - Enter Cases'!L883,"")</f>
        <v/>
      </c>
      <c r="M883" t="str">
        <f>IF($A883&lt;&gt;"",'All Cases - Enter Cases'!M883,"")</f>
        <v/>
      </c>
    </row>
    <row r="884" spans="1:13" x14ac:dyDescent="0.35">
      <c r="A884" s="4" t="str">
        <f>IF('All Cases - Enter Cases'!$F884="Punjab",'All Cases - Enter Cases'!A884,"")</f>
        <v/>
      </c>
      <c r="B884" t="str">
        <f>IF($A884&lt;&gt;"",'All Cases - Enter Cases'!B884,"")</f>
        <v/>
      </c>
      <c r="C884" t="str">
        <f>IF($A884&lt;&gt;"",'All Cases - Enter Cases'!C884,"")</f>
        <v/>
      </c>
      <c r="D884" t="str">
        <f>IF($A884&lt;&gt;"",'All Cases - Enter Cases'!D884,"")</f>
        <v/>
      </c>
      <c r="E884" t="str">
        <f>IF($A884&lt;&gt;"",'All Cases - Enter Cases'!E884,"")</f>
        <v/>
      </c>
      <c r="F884" t="str">
        <f>IF($A884&lt;&gt;"",'All Cases - Enter Cases'!F884,"")</f>
        <v/>
      </c>
      <c r="G884" t="str">
        <f>IF($A884&lt;&gt;"",'All Cases - Enter Cases'!G884,"")</f>
        <v/>
      </c>
      <c r="H884" t="str">
        <f>IF($A884&lt;&gt;"",'All Cases - Enter Cases'!H884,"")</f>
        <v/>
      </c>
      <c r="I884" t="str">
        <f>IF($A884&lt;&gt;"",'All Cases - Enter Cases'!I884,"")</f>
        <v/>
      </c>
      <c r="J884" s="4" t="str">
        <f>IF($A884&lt;&gt;"",'All Cases - Enter Cases'!J884,"")</f>
        <v/>
      </c>
      <c r="K884" s="4" t="str">
        <f>IF($A884&lt;&gt;"",'All Cases - Enter Cases'!K884,"")</f>
        <v/>
      </c>
      <c r="L884" s="4" t="str">
        <f>IF($A884&lt;&gt;"",'All Cases - Enter Cases'!L884,"")</f>
        <v/>
      </c>
      <c r="M884" t="str">
        <f>IF($A884&lt;&gt;"",'All Cases - Enter Cases'!M884,"")</f>
        <v/>
      </c>
    </row>
    <row r="885" spans="1:13" x14ac:dyDescent="0.35">
      <c r="A885" s="4" t="str">
        <f>IF('All Cases - Enter Cases'!$F885="Punjab",'All Cases - Enter Cases'!A885,"")</f>
        <v/>
      </c>
      <c r="B885" t="str">
        <f>IF($A885&lt;&gt;"",'All Cases - Enter Cases'!B885,"")</f>
        <v/>
      </c>
      <c r="C885" t="str">
        <f>IF($A885&lt;&gt;"",'All Cases - Enter Cases'!C885,"")</f>
        <v/>
      </c>
      <c r="D885" t="str">
        <f>IF($A885&lt;&gt;"",'All Cases - Enter Cases'!D885,"")</f>
        <v/>
      </c>
      <c r="E885" t="str">
        <f>IF($A885&lt;&gt;"",'All Cases - Enter Cases'!E885,"")</f>
        <v/>
      </c>
      <c r="F885" t="str">
        <f>IF($A885&lt;&gt;"",'All Cases - Enter Cases'!F885,"")</f>
        <v/>
      </c>
      <c r="G885" t="str">
        <f>IF($A885&lt;&gt;"",'All Cases - Enter Cases'!G885,"")</f>
        <v/>
      </c>
      <c r="H885" t="str">
        <f>IF($A885&lt;&gt;"",'All Cases - Enter Cases'!H885,"")</f>
        <v/>
      </c>
      <c r="I885" t="str">
        <f>IF($A885&lt;&gt;"",'All Cases - Enter Cases'!I885,"")</f>
        <v/>
      </c>
      <c r="J885" s="4" t="str">
        <f>IF($A885&lt;&gt;"",'All Cases - Enter Cases'!J885,"")</f>
        <v/>
      </c>
      <c r="K885" s="4" t="str">
        <f>IF($A885&lt;&gt;"",'All Cases - Enter Cases'!K885,"")</f>
        <v/>
      </c>
      <c r="L885" s="4" t="str">
        <f>IF($A885&lt;&gt;"",'All Cases - Enter Cases'!L885,"")</f>
        <v/>
      </c>
      <c r="M885" t="str">
        <f>IF($A885&lt;&gt;"",'All Cases - Enter Cases'!M885,"")</f>
        <v/>
      </c>
    </row>
    <row r="886" spans="1:13" x14ac:dyDescent="0.35">
      <c r="A886" s="4" t="str">
        <f>IF('All Cases - Enter Cases'!$F886="Punjab",'All Cases - Enter Cases'!A886,"")</f>
        <v/>
      </c>
      <c r="B886" t="str">
        <f>IF($A886&lt;&gt;"",'All Cases - Enter Cases'!B886,"")</f>
        <v/>
      </c>
      <c r="C886" t="str">
        <f>IF($A886&lt;&gt;"",'All Cases - Enter Cases'!C886,"")</f>
        <v/>
      </c>
      <c r="D886" t="str">
        <f>IF($A886&lt;&gt;"",'All Cases - Enter Cases'!D886,"")</f>
        <v/>
      </c>
      <c r="E886" t="str">
        <f>IF($A886&lt;&gt;"",'All Cases - Enter Cases'!E886,"")</f>
        <v/>
      </c>
      <c r="F886" t="str">
        <f>IF($A886&lt;&gt;"",'All Cases - Enter Cases'!F886,"")</f>
        <v/>
      </c>
      <c r="G886" t="str">
        <f>IF($A886&lt;&gt;"",'All Cases - Enter Cases'!G886,"")</f>
        <v/>
      </c>
      <c r="H886" t="str">
        <f>IF($A886&lt;&gt;"",'All Cases - Enter Cases'!H886,"")</f>
        <v/>
      </c>
      <c r="I886" t="str">
        <f>IF($A886&lt;&gt;"",'All Cases - Enter Cases'!I886,"")</f>
        <v/>
      </c>
      <c r="J886" s="4" t="str">
        <f>IF($A886&lt;&gt;"",'All Cases - Enter Cases'!J886,"")</f>
        <v/>
      </c>
      <c r="K886" s="4" t="str">
        <f>IF($A886&lt;&gt;"",'All Cases - Enter Cases'!K886,"")</f>
        <v/>
      </c>
      <c r="L886" s="4" t="str">
        <f>IF($A886&lt;&gt;"",'All Cases - Enter Cases'!L886,"")</f>
        <v/>
      </c>
      <c r="M886" t="str">
        <f>IF($A886&lt;&gt;"",'All Cases - Enter Cases'!M886,"")</f>
        <v/>
      </c>
    </row>
    <row r="887" spans="1:13" x14ac:dyDescent="0.35">
      <c r="A887" s="4" t="str">
        <f>IF('All Cases - Enter Cases'!$F887="Punjab",'All Cases - Enter Cases'!A887,"")</f>
        <v/>
      </c>
      <c r="B887" t="str">
        <f>IF($A887&lt;&gt;"",'All Cases - Enter Cases'!B887,"")</f>
        <v/>
      </c>
      <c r="C887" t="str">
        <f>IF($A887&lt;&gt;"",'All Cases - Enter Cases'!C887,"")</f>
        <v/>
      </c>
      <c r="D887" t="str">
        <f>IF($A887&lt;&gt;"",'All Cases - Enter Cases'!D887,"")</f>
        <v/>
      </c>
      <c r="E887" t="str">
        <f>IF($A887&lt;&gt;"",'All Cases - Enter Cases'!E887,"")</f>
        <v/>
      </c>
      <c r="F887" t="str">
        <f>IF($A887&lt;&gt;"",'All Cases - Enter Cases'!F887,"")</f>
        <v/>
      </c>
      <c r="G887" t="str">
        <f>IF($A887&lt;&gt;"",'All Cases - Enter Cases'!G887,"")</f>
        <v/>
      </c>
      <c r="H887" t="str">
        <f>IF($A887&lt;&gt;"",'All Cases - Enter Cases'!H887,"")</f>
        <v/>
      </c>
      <c r="I887" t="str">
        <f>IF($A887&lt;&gt;"",'All Cases - Enter Cases'!I887,"")</f>
        <v/>
      </c>
      <c r="J887" s="4" t="str">
        <f>IF($A887&lt;&gt;"",'All Cases - Enter Cases'!J887,"")</f>
        <v/>
      </c>
      <c r="K887" s="4" t="str">
        <f>IF($A887&lt;&gt;"",'All Cases - Enter Cases'!K887,"")</f>
        <v/>
      </c>
      <c r="L887" s="4" t="str">
        <f>IF($A887&lt;&gt;"",'All Cases - Enter Cases'!L887,"")</f>
        <v/>
      </c>
      <c r="M887" t="str">
        <f>IF($A887&lt;&gt;"",'All Cases - Enter Cases'!M887,"")</f>
        <v/>
      </c>
    </row>
    <row r="888" spans="1:13" x14ac:dyDescent="0.35">
      <c r="A888" s="4" t="str">
        <f>IF('All Cases - Enter Cases'!$F888="Punjab",'All Cases - Enter Cases'!A888,"")</f>
        <v/>
      </c>
      <c r="B888" t="str">
        <f>IF($A888&lt;&gt;"",'All Cases - Enter Cases'!B888,"")</f>
        <v/>
      </c>
      <c r="C888" t="str">
        <f>IF($A888&lt;&gt;"",'All Cases - Enter Cases'!C888,"")</f>
        <v/>
      </c>
      <c r="D888" t="str">
        <f>IF($A888&lt;&gt;"",'All Cases - Enter Cases'!D888,"")</f>
        <v/>
      </c>
      <c r="E888" t="str">
        <f>IF($A888&lt;&gt;"",'All Cases - Enter Cases'!E888,"")</f>
        <v/>
      </c>
      <c r="F888" t="str">
        <f>IF($A888&lt;&gt;"",'All Cases - Enter Cases'!F888,"")</f>
        <v/>
      </c>
      <c r="G888" t="str">
        <f>IF($A888&lt;&gt;"",'All Cases - Enter Cases'!G888,"")</f>
        <v/>
      </c>
      <c r="H888" t="str">
        <f>IF($A888&lt;&gt;"",'All Cases - Enter Cases'!H888,"")</f>
        <v/>
      </c>
      <c r="I888" t="str">
        <f>IF($A888&lt;&gt;"",'All Cases - Enter Cases'!I888,"")</f>
        <v/>
      </c>
      <c r="J888" s="4" t="str">
        <f>IF($A888&lt;&gt;"",'All Cases - Enter Cases'!J888,"")</f>
        <v/>
      </c>
      <c r="K888" s="4" t="str">
        <f>IF($A888&lt;&gt;"",'All Cases - Enter Cases'!K888,"")</f>
        <v/>
      </c>
      <c r="L888" s="4" t="str">
        <f>IF($A888&lt;&gt;"",'All Cases - Enter Cases'!L888,"")</f>
        <v/>
      </c>
      <c r="M888" t="str">
        <f>IF($A888&lt;&gt;"",'All Cases - Enter Cases'!M888,"")</f>
        <v/>
      </c>
    </row>
    <row r="889" spans="1:13" x14ac:dyDescent="0.35">
      <c r="A889" s="4" t="str">
        <f>IF('All Cases - Enter Cases'!$F889="Punjab",'All Cases - Enter Cases'!A889,"")</f>
        <v/>
      </c>
      <c r="B889" t="str">
        <f>IF($A889&lt;&gt;"",'All Cases - Enter Cases'!B889,"")</f>
        <v/>
      </c>
      <c r="C889" t="str">
        <f>IF($A889&lt;&gt;"",'All Cases - Enter Cases'!C889,"")</f>
        <v/>
      </c>
      <c r="D889" t="str">
        <f>IF($A889&lt;&gt;"",'All Cases - Enter Cases'!D889,"")</f>
        <v/>
      </c>
      <c r="E889" t="str">
        <f>IF($A889&lt;&gt;"",'All Cases - Enter Cases'!E889,"")</f>
        <v/>
      </c>
      <c r="F889" t="str">
        <f>IF($A889&lt;&gt;"",'All Cases - Enter Cases'!F889,"")</f>
        <v/>
      </c>
      <c r="G889" t="str">
        <f>IF($A889&lt;&gt;"",'All Cases - Enter Cases'!G889,"")</f>
        <v/>
      </c>
      <c r="H889" t="str">
        <f>IF($A889&lt;&gt;"",'All Cases - Enter Cases'!H889,"")</f>
        <v/>
      </c>
      <c r="I889" t="str">
        <f>IF($A889&lt;&gt;"",'All Cases - Enter Cases'!I889,"")</f>
        <v/>
      </c>
      <c r="J889" s="4" t="str">
        <f>IF($A889&lt;&gt;"",'All Cases - Enter Cases'!J889,"")</f>
        <v/>
      </c>
      <c r="K889" s="4" t="str">
        <f>IF($A889&lt;&gt;"",'All Cases - Enter Cases'!K889,"")</f>
        <v/>
      </c>
      <c r="L889" s="4" t="str">
        <f>IF($A889&lt;&gt;"",'All Cases - Enter Cases'!L889,"")</f>
        <v/>
      </c>
      <c r="M889" t="str">
        <f>IF($A889&lt;&gt;"",'All Cases - Enter Cases'!M889,"")</f>
        <v/>
      </c>
    </row>
    <row r="890" spans="1:13" x14ac:dyDescent="0.35">
      <c r="A890" s="4" t="str">
        <f>IF('All Cases - Enter Cases'!$F890="Punjab",'All Cases - Enter Cases'!A890,"")</f>
        <v/>
      </c>
      <c r="B890" t="str">
        <f>IF($A890&lt;&gt;"",'All Cases - Enter Cases'!B890,"")</f>
        <v/>
      </c>
      <c r="C890" t="str">
        <f>IF($A890&lt;&gt;"",'All Cases - Enter Cases'!C890,"")</f>
        <v/>
      </c>
      <c r="D890" t="str">
        <f>IF($A890&lt;&gt;"",'All Cases - Enter Cases'!D890,"")</f>
        <v/>
      </c>
      <c r="E890" t="str">
        <f>IF($A890&lt;&gt;"",'All Cases - Enter Cases'!E890,"")</f>
        <v/>
      </c>
      <c r="F890" t="str">
        <f>IF($A890&lt;&gt;"",'All Cases - Enter Cases'!F890,"")</f>
        <v/>
      </c>
      <c r="G890" t="str">
        <f>IF($A890&lt;&gt;"",'All Cases - Enter Cases'!G890,"")</f>
        <v/>
      </c>
      <c r="H890" t="str">
        <f>IF($A890&lt;&gt;"",'All Cases - Enter Cases'!H890,"")</f>
        <v/>
      </c>
      <c r="I890" t="str">
        <f>IF($A890&lt;&gt;"",'All Cases - Enter Cases'!I890,"")</f>
        <v/>
      </c>
      <c r="J890" s="4" t="str">
        <f>IF($A890&lt;&gt;"",'All Cases - Enter Cases'!J890,"")</f>
        <v/>
      </c>
      <c r="K890" s="4" t="str">
        <f>IF($A890&lt;&gt;"",'All Cases - Enter Cases'!K890,"")</f>
        <v/>
      </c>
      <c r="L890" s="4" t="str">
        <f>IF($A890&lt;&gt;"",'All Cases - Enter Cases'!L890,"")</f>
        <v/>
      </c>
      <c r="M890" t="str">
        <f>IF($A890&lt;&gt;"",'All Cases - Enter Cases'!M890,"")</f>
        <v/>
      </c>
    </row>
    <row r="891" spans="1:13" x14ac:dyDescent="0.35">
      <c r="A891" s="4" t="str">
        <f>IF('All Cases - Enter Cases'!$F891="Punjab",'All Cases - Enter Cases'!A891,"")</f>
        <v/>
      </c>
      <c r="B891" t="str">
        <f>IF($A891&lt;&gt;"",'All Cases - Enter Cases'!B891,"")</f>
        <v/>
      </c>
      <c r="C891" t="str">
        <f>IF($A891&lt;&gt;"",'All Cases - Enter Cases'!C891,"")</f>
        <v/>
      </c>
      <c r="D891" t="str">
        <f>IF($A891&lt;&gt;"",'All Cases - Enter Cases'!D891,"")</f>
        <v/>
      </c>
      <c r="E891" t="str">
        <f>IF($A891&lt;&gt;"",'All Cases - Enter Cases'!E891,"")</f>
        <v/>
      </c>
      <c r="F891" t="str">
        <f>IF($A891&lt;&gt;"",'All Cases - Enter Cases'!F891,"")</f>
        <v/>
      </c>
      <c r="G891" t="str">
        <f>IF($A891&lt;&gt;"",'All Cases - Enter Cases'!G891,"")</f>
        <v/>
      </c>
      <c r="H891" t="str">
        <f>IF($A891&lt;&gt;"",'All Cases - Enter Cases'!H891,"")</f>
        <v/>
      </c>
      <c r="I891" t="str">
        <f>IF($A891&lt;&gt;"",'All Cases - Enter Cases'!I891,"")</f>
        <v/>
      </c>
      <c r="J891" s="4" t="str">
        <f>IF($A891&lt;&gt;"",'All Cases - Enter Cases'!J891,"")</f>
        <v/>
      </c>
      <c r="K891" s="4" t="str">
        <f>IF($A891&lt;&gt;"",'All Cases - Enter Cases'!K891,"")</f>
        <v/>
      </c>
      <c r="L891" s="4" t="str">
        <f>IF($A891&lt;&gt;"",'All Cases - Enter Cases'!L891,"")</f>
        <v/>
      </c>
      <c r="M891" t="str">
        <f>IF($A891&lt;&gt;"",'All Cases - Enter Cases'!M891,"")</f>
        <v/>
      </c>
    </row>
    <row r="892" spans="1:13" x14ac:dyDescent="0.35">
      <c r="A892" s="4" t="str">
        <f>IF('All Cases - Enter Cases'!$F892="Punjab",'All Cases - Enter Cases'!A892,"")</f>
        <v/>
      </c>
      <c r="B892" t="str">
        <f>IF($A892&lt;&gt;"",'All Cases - Enter Cases'!B892,"")</f>
        <v/>
      </c>
      <c r="C892" t="str">
        <f>IF($A892&lt;&gt;"",'All Cases - Enter Cases'!C892,"")</f>
        <v/>
      </c>
      <c r="D892" t="str">
        <f>IF($A892&lt;&gt;"",'All Cases - Enter Cases'!D892,"")</f>
        <v/>
      </c>
      <c r="E892" t="str">
        <f>IF($A892&lt;&gt;"",'All Cases - Enter Cases'!E892,"")</f>
        <v/>
      </c>
      <c r="F892" t="str">
        <f>IF($A892&lt;&gt;"",'All Cases - Enter Cases'!F892,"")</f>
        <v/>
      </c>
      <c r="G892" t="str">
        <f>IF($A892&lt;&gt;"",'All Cases - Enter Cases'!G892,"")</f>
        <v/>
      </c>
      <c r="H892" t="str">
        <f>IF($A892&lt;&gt;"",'All Cases - Enter Cases'!H892,"")</f>
        <v/>
      </c>
      <c r="I892" t="str">
        <f>IF($A892&lt;&gt;"",'All Cases - Enter Cases'!I892,"")</f>
        <v/>
      </c>
      <c r="J892" s="4" t="str">
        <f>IF($A892&lt;&gt;"",'All Cases - Enter Cases'!J892,"")</f>
        <v/>
      </c>
      <c r="K892" s="4" t="str">
        <f>IF($A892&lt;&gt;"",'All Cases - Enter Cases'!K892,"")</f>
        <v/>
      </c>
      <c r="L892" s="4" t="str">
        <f>IF($A892&lt;&gt;"",'All Cases - Enter Cases'!L892,"")</f>
        <v/>
      </c>
      <c r="M892" t="str">
        <f>IF($A892&lt;&gt;"",'All Cases - Enter Cases'!M892,"")</f>
        <v/>
      </c>
    </row>
    <row r="893" spans="1:13" x14ac:dyDescent="0.35">
      <c r="A893" s="4" t="str">
        <f>IF('All Cases - Enter Cases'!$F893="Punjab",'All Cases - Enter Cases'!A893,"")</f>
        <v/>
      </c>
      <c r="B893" t="str">
        <f>IF($A893&lt;&gt;"",'All Cases - Enter Cases'!B893,"")</f>
        <v/>
      </c>
      <c r="C893" t="str">
        <f>IF($A893&lt;&gt;"",'All Cases - Enter Cases'!C893,"")</f>
        <v/>
      </c>
      <c r="D893" t="str">
        <f>IF($A893&lt;&gt;"",'All Cases - Enter Cases'!D893,"")</f>
        <v/>
      </c>
      <c r="E893" t="str">
        <f>IF($A893&lt;&gt;"",'All Cases - Enter Cases'!E893,"")</f>
        <v/>
      </c>
      <c r="F893" t="str">
        <f>IF($A893&lt;&gt;"",'All Cases - Enter Cases'!F893,"")</f>
        <v/>
      </c>
      <c r="G893" t="str">
        <f>IF($A893&lt;&gt;"",'All Cases - Enter Cases'!G893,"")</f>
        <v/>
      </c>
      <c r="H893" t="str">
        <f>IF($A893&lt;&gt;"",'All Cases - Enter Cases'!H893,"")</f>
        <v/>
      </c>
      <c r="I893" t="str">
        <f>IF($A893&lt;&gt;"",'All Cases - Enter Cases'!I893,"")</f>
        <v/>
      </c>
      <c r="J893" s="4" t="str">
        <f>IF($A893&lt;&gt;"",'All Cases - Enter Cases'!J893,"")</f>
        <v/>
      </c>
      <c r="K893" s="4" t="str">
        <f>IF($A893&lt;&gt;"",'All Cases - Enter Cases'!K893,"")</f>
        <v/>
      </c>
      <c r="L893" s="4" t="str">
        <f>IF($A893&lt;&gt;"",'All Cases - Enter Cases'!L893,"")</f>
        <v/>
      </c>
      <c r="M893" t="str">
        <f>IF($A893&lt;&gt;"",'All Cases - Enter Cases'!M893,"")</f>
        <v/>
      </c>
    </row>
    <row r="894" spans="1:13" x14ac:dyDescent="0.35">
      <c r="A894" s="4" t="str">
        <f>IF('All Cases - Enter Cases'!$F894="Punjab",'All Cases - Enter Cases'!A894,"")</f>
        <v/>
      </c>
      <c r="B894" t="str">
        <f>IF($A894&lt;&gt;"",'All Cases - Enter Cases'!B894,"")</f>
        <v/>
      </c>
      <c r="C894" t="str">
        <f>IF($A894&lt;&gt;"",'All Cases - Enter Cases'!C894,"")</f>
        <v/>
      </c>
      <c r="D894" t="str">
        <f>IF($A894&lt;&gt;"",'All Cases - Enter Cases'!D894,"")</f>
        <v/>
      </c>
      <c r="E894" t="str">
        <f>IF($A894&lt;&gt;"",'All Cases - Enter Cases'!E894,"")</f>
        <v/>
      </c>
      <c r="F894" t="str">
        <f>IF($A894&lt;&gt;"",'All Cases - Enter Cases'!F894,"")</f>
        <v/>
      </c>
      <c r="G894" t="str">
        <f>IF($A894&lt;&gt;"",'All Cases - Enter Cases'!G894,"")</f>
        <v/>
      </c>
      <c r="H894" t="str">
        <f>IF($A894&lt;&gt;"",'All Cases - Enter Cases'!H894,"")</f>
        <v/>
      </c>
      <c r="I894" t="str">
        <f>IF($A894&lt;&gt;"",'All Cases - Enter Cases'!I894,"")</f>
        <v/>
      </c>
      <c r="J894" s="4" t="str">
        <f>IF($A894&lt;&gt;"",'All Cases - Enter Cases'!J894,"")</f>
        <v/>
      </c>
      <c r="K894" s="4" t="str">
        <f>IF($A894&lt;&gt;"",'All Cases - Enter Cases'!K894,"")</f>
        <v/>
      </c>
      <c r="L894" s="4" t="str">
        <f>IF($A894&lt;&gt;"",'All Cases - Enter Cases'!L894,"")</f>
        <v/>
      </c>
      <c r="M894" t="str">
        <f>IF($A894&lt;&gt;"",'All Cases - Enter Cases'!M894,"")</f>
        <v/>
      </c>
    </row>
    <row r="895" spans="1:13" x14ac:dyDescent="0.35">
      <c r="A895" s="4" t="str">
        <f>IF('All Cases - Enter Cases'!$F895="Punjab",'All Cases - Enter Cases'!A895,"")</f>
        <v/>
      </c>
      <c r="B895" t="str">
        <f>IF($A895&lt;&gt;"",'All Cases - Enter Cases'!B895,"")</f>
        <v/>
      </c>
      <c r="C895" t="str">
        <f>IF($A895&lt;&gt;"",'All Cases - Enter Cases'!C895,"")</f>
        <v/>
      </c>
      <c r="D895" t="str">
        <f>IF($A895&lt;&gt;"",'All Cases - Enter Cases'!D895,"")</f>
        <v/>
      </c>
      <c r="E895" t="str">
        <f>IF($A895&lt;&gt;"",'All Cases - Enter Cases'!E895,"")</f>
        <v/>
      </c>
      <c r="F895" t="str">
        <f>IF($A895&lt;&gt;"",'All Cases - Enter Cases'!F895,"")</f>
        <v/>
      </c>
      <c r="G895" t="str">
        <f>IF($A895&lt;&gt;"",'All Cases - Enter Cases'!G895,"")</f>
        <v/>
      </c>
      <c r="H895" t="str">
        <f>IF($A895&lt;&gt;"",'All Cases - Enter Cases'!H895,"")</f>
        <v/>
      </c>
      <c r="I895" t="str">
        <f>IF($A895&lt;&gt;"",'All Cases - Enter Cases'!I895,"")</f>
        <v/>
      </c>
      <c r="J895" s="4" t="str">
        <f>IF($A895&lt;&gt;"",'All Cases - Enter Cases'!J895,"")</f>
        <v/>
      </c>
      <c r="K895" s="4" t="str">
        <f>IF($A895&lt;&gt;"",'All Cases - Enter Cases'!K895,"")</f>
        <v/>
      </c>
      <c r="L895" s="4" t="str">
        <f>IF($A895&lt;&gt;"",'All Cases - Enter Cases'!L895,"")</f>
        <v/>
      </c>
      <c r="M895" t="str">
        <f>IF($A895&lt;&gt;"",'All Cases - Enter Cases'!M895,"")</f>
        <v/>
      </c>
    </row>
    <row r="896" spans="1:13" x14ac:dyDescent="0.35">
      <c r="A896" s="4" t="str">
        <f>IF('All Cases - Enter Cases'!$F896="Punjab",'All Cases - Enter Cases'!A896,"")</f>
        <v/>
      </c>
      <c r="B896" t="str">
        <f>IF($A896&lt;&gt;"",'All Cases - Enter Cases'!B896,"")</f>
        <v/>
      </c>
      <c r="C896" t="str">
        <f>IF($A896&lt;&gt;"",'All Cases - Enter Cases'!C896,"")</f>
        <v/>
      </c>
      <c r="D896" t="str">
        <f>IF($A896&lt;&gt;"",'All Cases - Enter Cases'!D896,"")</f>
        <v/>
      </c>
      <c r="E896" t="str">
        <f>IF($A896&lt;&gt;"",'All Cases - Enter Cases'!E896,"")</f>
        <v/>
      </c>
      <c r="F896" t="str">
        <f>IF($A896&lt;&gt;"",'All Cases - Enter Cases'!F896,"")</f>
        <v/>
      </c>
      <c r="G896" t="str">
        <f>IF($A896&lt;&gt;"",'All Cases - Enter Cases'!G896,"")</f>
        <v/>
      </c>
      <c r="H896" t="str">
        <f>IF($A896&lt;&gt;"",'All Cases - Enter Cases'!H896,"")</f>
        <v/>
      </c>
      <c r="I896" t="str">
        <f>IF($A896&lt;&gt;"",'All Cases - Enter Cases'!I896,"")</f>
        <v/>
      </c>
      <c r="J896" s="4" t="str">
        <f>IF($A896&lt;&gt;"",'All Cases - Enter Cases'!J896,"")</f>
        <v/>
      </c>
      <c r="K896" s="4" t="str">
        <f>IF($A896&lt;&gt;"",'All Cases - Enter Cases'!K896,"")</f>
        <v/>
      </c>
      <c r="L896" s="4" t="str">
        <f>IF($A896&lt;&gt;"",'All Cases - Enter Cases'!L896,"")</f>
        <v/>
      </c>
      <c r="M896" t="str">
        <f>IF($A896&lt;&gt;"",'All Cases - Enter Cases'!M896,"")</f>
        <v/>
      </c>
    </row>
    <row r="897" spans="1:13" x14ac:dyDescent="0.35">
      <c r="A897" s="4" t="str">
        <f>IF('All Cases - Enter Cases'!$F897="Punjab",'All Cases - Enter Cases'!A897,"")</f>
        <v/>
      </c>
      <c r="B897" t="str">
        <f>IF($A897&lt;&gt;"",'All Cases - Enter Cases'!B897,"")</f>
        <v/>
      </c>
      <c r="C897" t="str">
        <f>IF($A897&lt;&gt;"",'All Cases - Enter Cases'!C897,"")</f>
        <v/>
      </c>
      <c r="D897" t="str">
        <f>IF($A897&lt;&gt;"",'All Cases - Enter Cases'!D897,"")</f>
        <v/>
      </c>
      <c r="E897" t="str">
        <f>IF($A897&lt;&gt;"",'All Cases - Enter Cases'!E897,"")</f>
        <v/>
      </c>
      <c r="F897" t="str">
        <f>IF($A897&lt;&gt;"",'All Cases - Enter Cases'!F897,"")</f>
        <v/>
      </c>
      <c r="G897" t="str">
        <f>IF($A897&lt;&gt;"",'All Cases - Enter Cases'!G897,"")</f>
        <v/>
      </c>
      <c r="H897" t="str">
        <f>IF($A897&lt;&gt;"",'All Cases - Enter Cases'!H897,"")</f>
        <v/>
      </c>
      <c r="I897" t="str">
        <f>IF($A897&lt;&gt;"",'All Cases - Enter Cases'!I897,"")</f>
        <v/>
      </c>
      <c r="J897" s="4" t="str">
        <f>IF($A897&lt;&gt;"",'All Cases - Enter Cases'!J897,"")</f>
        <v/>
      </c>
      <c r="K897" s="4" t="str">
        <f>IF($A897&lt;&gt;"",'All Cases - Enter Cases'!K897,"")</f>
        <v/>
      </c>
      <c r="L897" s="4" t="str">
        <f>IF($A897&lt;&gt;"",'All Cases - Enter Cases'!L897,"")</f>
        <v/>
      </c>
      <c r="M897" t="str">
        <f>IF($A897&lt;&gt;"",'All Cases - Enter Cases'!M897,"")</f>
        <v/>
      </c>
    </row>
    <row r="898" spans="1:13" x14ac:dyDescent="0.35">
      <c r="A898" s="4" t="str">
        <f>IF('All Cases - Enter Cases'!$F898="Punjab",'All Cases - Enter Cases'!A898,"")</f>
        <v/>
      </c>
      <c r="B898" t="str">
        <f>IF($A898&lt;&gt;"",'All Cases - Enter Cases'!B898,"")</f>
        <v/>
      </c>
      <c r="C898" t="str">
        <f>IF($A898&lt;&gt;"",'All Cases - Enter Cases'!C898,"")</f>
        <v/>
      </c>
      <c r="D898" t="str">
        <f>IF($A898&lt;&gt;"",'All Cases - Enter Cases'!D898,"")</f>
        <v/>
      </c>
      <c r="E898" t="str">
        <f>IF($A898&lt;&gt;"",'All Cases - Enter Cases'!E898,"")</f>
        <v/>
      </c>
      <c r="F898" t="str">
        <f>IF($A898&lt;&gt;"",'All Cases - Enter Cases'!F898,"")</f>
        <v/>
      </c>
      <c r="G898" t="str">
        <f>IF($A898&lt;&gt;"",'All Cases - Enter Cases'!G898,"")</f>
        <v/>
      </c>
      <c r="H898" t="str">
        <f>IF($A898&lt;&gt;"",'All Cases - Enter Cases'!H898,"")</f>
        <v/>
      </c>
      <c r="I898" t="str">
        <f>IF($A898&lt;&gt;"",'All Cases - Enter Cases'!I898,"")</f>
        <v/>
      </c>
      <c r="J898" s="4" t="str">
        <f>IF($A898&lt;&gt;"",'All Cases - Enter Cases'!J898,"")</f>
        <v/>
      </c>
      <c r="K898" s="4" t="str">
        <f>IF($A898&lt;&gt;"",'All Cases - Enter Cases'!K898,"")</f>
        <v/>
      </c>
      <c r="L898" s="4" t="str">
        <f>IF($A898&lt;&gt;"",'All Cases - Enter Cases'!L898,"")</f>
        <v/>
      </c>
      <c r="M898" t="str">
        <f>IF($A898&lt;&gt;"",'All Cases - Enter Cases'!M898,"")</f>
        <v/>
      </c>
    </row>
    <row r="899" spans="1:13" x14ac:dyDescent="0.35">
      <c r="A899" s="4" t="str">
        <f>IF('All Cases - Enter Cases'!$F899="Punjab",'All Cases - Enter Cases'!A899,"")</f>
        <v/>
      </c>
      <c r="B899" t="str">
        <f>IF($A899&lt;&gt;"",'All Cases - Enter Cases'!B899,"")</f>
        <v/>
      </c>
      <c r="C899" t="str">
        <f>IF($A899&lt;&gt;"",'All Cases - Enter Cases'!C899,"")</f>
        <v/>
      </c>
      <c r="D899" t="str">
        <f>IF($A899&lt;&gt;"",'All Cases - Enter Cases'!D899,"")</f>
        <v/>
      </c>
      <c r="E899" t="str">
        <f>IF($A899&lt;&gt;"",'All Cases - Enter Cases'!E899,"")</f>
        <v/>
      </c>
      <c r="F899" t="str">
        <f>IF($A899&lt;&gt;"",'All Cases - Enter Cases'!F899,"")</f>
        <v/>
      </c>
      <c r="G899" t="str">
        <f>IF($A899&lt;&gt;"",'All Cases - Enter Cases'!G899,"")</f>
        <v/>
      </c>
      <c r="H899" t="str">
        <f>IF($A899&lt;&gt;"",'All Cases - Enter Cases'!H899,"")</f>
        <v/>
      </c>
      <c r="I899" t="str">
        <f>IF($A899&lt;&gt;"",'All Cases - Enter Cases'!I899,"")</f>
        <v/>
      </c>
      <c r="J899" s="4" t="str">
        <f>IF($A899&lt;&gt;"",'All Cases - Enter Cases'!J899,"")</f>
        <v/>
      </c>
      <c r="K899" s="4" t="str">
        <f>IF($A899&lt;&gt;"",'All Cases - Enter Cases'!K899,"")</f>
        <v/>
      </c>
      <c r="L899" s="4" t="str">
        <f>IF($A899&lt;&gt;"",'All Cases - Enter Cases'!L899,"")</f>
        <v/>
      </c>
      <c r="M899" t="str">
        <f>IF($A899&lt;&gt;"",'All Cases - Enter Cases'!M899,"")</f>
        <v/>
      </c>
    </row>
    <row r="900" spans="1:13" x14ac:dyDescent="0.35">
      <c r="A900" s="4" t="str">
        <f>IF('All Cases - Enter Cases'!$F900="Punjab",'All Cases - Enter Cases'!A900,"")</f>
        <v/>
      </c>
      <c r="B900" t="str">
        <f>IF($A900&lt;&gt;"",'All Cases - Enter Cases'!B900,"")</f>
        <v/>
      </c>
      <c r="C900" t="str">
        <f>IF($A900&lt;&gt;"",'All Cases - Enter Cases'!C900,"")</f>
        <v/>
      </c>
      <c r="D900" t="str">
        <f>IF($A900&lt;&gt;"",'All Cases - Enter Cases'!D900,"")</f>
        <v/>
      </c>
      <c r="E900" t="str">
        <f>IF($A900&lt;&gt;"",'All Cases - Enter Cases'!E900,"")</f>
        <v/>
      </c>
      <c r="F900" t="str">
        <f>IF($A900&lt;&gt;"",'All Cases - Enter Cases'!F900,"")</f>
        <v/>
      </c>
      <c r="G900" t="str">
        <f>IF($A900&lt;&gt;"",'All Cases - Enter Cases'!G900,"")</f>
        <v/>
      </c>
      <c r="H900" t="str">
        <f>IF($A900&lt;&gt;"",'All Cases - Enter Cases'!H900,"")</f>
        <v/>
      </c>
      <c r="I900" t="str">
        <f>IF($A900&lt;&gt;"",'All Cases - Enter Cases'!I900,"")</f>
        <v/>
      </c>
      <c r="J900" s="4" t="str">
        <f>IF($A900&lt;&gt;"",'All Cases - Enter Cases'!J900,"")</f>
        <v/>
      </c>
      <c r="K900" s="4" t="str">
        <f>IF($A900&lt;&gt;"",'All Cases - Enter Cases'!K900,"")</f>
        <v/>
      </c>
      <c r="L900" s="4" t="str">
        <f>IF($A900&lt;&gt;"",'All Cases - Enter Cases'!L900,"")</f>
        <v/>
      </c>
      <c r="M900" t="str">
        <f>IF($A900&lt;&gt;"",'All Cases - Enter Cases'!M900,"")</f>
        <v/>
      </c>
    </row>
    <row r="901" spans="1:13" x14ac:dyDescent="0.35">
      <c r="A901" s="4" t="str">
        <f>IF('All Cases - Enter Cases'!$F901="Punjab",'All Cases - Enter Cases'!A901,"")</f>
        <v/>
      </c>
      <c r="B901" t="str">
        <f>IF($A901&lt;&gt;"",'All Cases - Enter Cases'!B901,"")</f>
        <v/>
      </c>
      <c r="C901" t="str">
        <f>IF($A901&lt;&gt;"",'All Cases - Enter Cases'!C901,"")</f>
        <v/>
      </c>
      <c r="D901" t="str">
        <f>IF($A901&lt;&gt;"",'All Cases - Enter Cases'!D901,"")</f>
        <v/>
      </c>
      <c r="E901" t="str">
        <f>IF($A901&lt;&gt;"",'All Cases - Enter Cases'!E901,"")</f>
        <v/>
      </c>
      <c r="F901" t="str">
        <f>IF($A901&lt;&gt;"",'All Cases - Enter Cases'!F901,"")</f>
        <v/>
      </c>
      <c r="G901" t="str">
        <f>IF($A901&lt;&gt;"",'All Cases - Enter Cases'!G901,"")</f>
        <v/>
      </c>
      <c r="H901" t="str">
        <f>IF($A901&lt;&gt;"",'All Cases - Enter Cases'!H901,"")</f>
        <v/>
      </c>
      <c r="I901" t="str">
        <f>IF($A901&lt;&gt;"",'All Cases - Enter Cases'!I901,"")</f>
        <v/>
      </c>
      <c r="J901" s="4" t="str">
        <f>IF($A901&lt;&gt;"",'All Cases - Enter Cases'!J901,"")</f>
        <v/>
      </c>
      <c r="K901" s="4" t="str">
        <f>IF($A901&lt;&gt;"",'All Cases - Enter Cases'!K901,"")</f>
        <v/>
      </c>
      <c r="L901" s="4" t="str">
        <f>IF($A901&lt;&gt;"",'All Cases - Enter Cases'!L901,"")</f>
        <v/>
      </c>
      <c r="M901" t="str">
        <f>IF($A901&lt;&gt;"",'All Cases - Enter Cases'!M901,"")</f>
        <v/>
      </c>
    </row>
    <row r="902" spans="1:13" x14ac:dyDescent="0.35">
      <c r="A902" s="4" t="str">
        <f>IF('All Cases - Enter Cases'!$F902="Punjab",'All Cases - Enter Cases'!A902,"")</f>
        <v/>
      </c>
      <c r="B902" t="str">
        <f>IF($A902&lt;&gt;"",'All Cases - Enter Cases'!B902,"")</f>
        <v/>
      </c>
      <c r="C902" t="str">
        <f>IF($A902&lt;&gt;"",'All Cases - Enter Cases'!C902,"")</f>
        <v/>
      </c>
      <c r="D902" t="str">
        <f>IF($A902&lt;&gt;"",'All Cases - Enter Cases'!D902,"")</f>
        <v/>
      </c>
      <c r="E902" t="str">
        <f>IF($A902&lt;&gt;"",'All Cases - Enter Cases'!E902,"")</f>
        <v/>
      </c>
      <c r="F902" t="str">
        <f>IF($A902&lt;&gt;"",'All Cases - Enter Cases'!F902,"")</f>
        <v/>
      </c>
      <c r="G902" t="str">
        <f>IF($A902&lt;&gt;"",'All Cases - Enter Cases'!G902,"")</f>
        <v/>
      </c>
      <c r="H902" t="str">
        <f>IF($A902&lt;&gt;"",'All Cases - Enter Cases'!H902,"")</f>
        <v/>
      </c>
      <c r="I902" t="str">
        <f>IF($A902&lt;&gt;"",'All Cases - Enter Cases'!I902,"")</f>
        <v/>
      </c>
      <c r="J902" s="4" t="str">
        <f>IF($A902&lt;&gt;"",'All Cases - Enter Cases'!J902,"")</f>
        <v/>
      </c>
      <c r="K902" s="4" t="str">
        <f>IF($A902&lt;&gt;"",'All Cases - Enter Cases'!K902,"")</f>
        <v/>
      </c>
      <c r="L902" s="4" t="str">
        <f>IF($A902&lt;&gt;"",'All Cases - Enter Cases'!L902,"")</f>
        <v/>
      </c>
      <c r="M902" t="str">
        <f>IF($A902&lt;&gt;"",'All Cases - Enter Cases'!M902,"")</f>
        <v/>
      </c>
    </row>
    <row r="903" spans="1:13" x14ac:dyDescent="0.35">
      <c r="A903" s="4" t="str">
        <f>IF('All Cases - Enter Cases'!$F903="Punjab",'All Cases - Enter Cases'!A903,"")</f>
        <v/>
      </c>
      <c r="B903" t="str">
        <f>IF($A903&lt;&gt;"",'All Cases - Enter Cases'!B903,"")</f>
        <v/>
      </c>
      <c r="C903" t="str">
        <f>IF($A903&lt;&gt;"",'All Cases - Enter Cases'!C903,"")</f>
        <v/>
      </c>
      <c r="D903" t="str">
        <f>IF($A903&lt;&gt;"",'All Cases - Enter Cases'!D903,"")</f>
        <v/>
      </c>
      <c r="E903" t="str">
        <f>IF($A903&lt;&gt;"",'All Cases - Enter Cases'!E903,"")</f>
        <v/>
      </c>
      <c r="F903" t="str">
        <f>IF($A903&lt;&gt;"",'All Cases - Enter Cases'!F903,"")</f>
        <v/>
      </c>
      <c r="G903" t="str">
        <f>IF($A903&lt;&gt;"",'All Cases - Enter Cases'!G903,"")</f>
        <v/>
      </c>
      <c r="H903" t="str">
        <f>IF($A903&lt;&gt;"",'All Cases - Enter Cases'!H903,"")</f>
        <v/>
      </c>
      <c r="I903" t="str">
        <f>IF($A903&lt;&gt;"",'All Cases - Enter Cases'!I903,"")</f>
        <v/>
      </c>
      <c r="J903" s="4" t="str">
        <f>IF($A903&lt;&gt;"",'All Cases - Enter Cases'!J903,"")</f>
        <v/>
      </c>
      <c r="K903" s="4" t="str">
        <f>IF($A903&lt;&gt;"",'All Cases - Enter Cases'!K903,"")</f>
        <v/>
      </c>
      <c r="L903" s="4" t="str">
        <f>IF($A903&lt;&gt;"",'All Cases - Enter Cases'!L903,"")</f>
        <v/>
      </c>
      <c r="M903" t="str">
        <f>IF($A903&lt;&gt;"",'All Cases - Enter Cases'!M903,"")</f>
        <v/>
      </c>
    </row>
    <row r="904" spans="1:13" x14ac:dyDescent="0.35">
      <c r="A904" s="4" t="str">
        <f>IF('All Cases - Enter Cases'!$F904="Punjab",'All Cases - Enter Cases'!A904,"")</f>
        <v/>
      </c>
      <c r="B904" t="str">
        <f>IF($A904&lt;&gt;"",'All Cases - Enter Cases'!B904,"")</f>
        <v/>
      </c>
      <c r="C904" t="str">
        <f>IF($A904&lt;&gt;"",'All Cases - Enter Cases'!C904,"")</f>
        <v/>
      </c>
      <c r="D904" t="str">
        <f>IF($A904&lt;&gt;"",'All Cases - Enter Cases'!D904,"")</f>
        <v/>
      </c>
      <c r="E904" t="str">
        <f>IF($A904&lt;&gt;"",'All Cases - Enter Cases'!E904,"")</f>
        <v/>
      </c>
      <c r="F904" t="str">
        <f>IF($A904&lt;&gt;"",'All Cases - Enter Cases'!F904,"")</f>
        <v/>
      </c>
      <c r="G904" t="str">
        <f>IF($A904&lt;&gt;"",'All Cases - Enter Cases'!G904,"")</f>
        <v/>
      </c>
      <c r="H904" t="str">
        <f>IF($A904&lt;&gt;"",'All Cases - Enter Cases'!H904,"")</f>
        <v/>
      </c>
      <c r="I904" t="str">
        <f>IF($A904&lt;&gt;"",'All Cases - Enter Cases'!I904,"")</f>
        <v/>
      </c>
      <c r="J904" s="4" t="str">
        <f>IF($A904&lt;&gt;"",'All Cases - Enter Cases'!J904,"")</f>
        <v/>
      </c>
      <c r="K904" s="4" t="str">
        <f>IF($A904&lt;&gt;"",'All Cases - Enter Cases'!K904,"")</f>
        <v/>
      </c>
      <c r="L904" s="4" t="str">
        <f>IF($A904&lt;&gt;"",'All Cases - Enter Cases'!L904,"")</f>
        <v/>
      </c>
      <c r="M904" t="str">
        <f>IF($A904&lt;&gt;"",'All Cases - Enter Cases'!M904,"")</f>
        <v/>
      </c>
    </row>
    <row r="905" spans="1:13" x14ac:dyDescent="0.35">
      <c r="A905" s="4" t="str">
        <f>IF('All Cases - Enter Cases'!$F905="Punjab",'All Cases - Enter Cases'!A905,"")</f>
        <v/>
      </c>
      <c r="B905" t="str">
        <f>IF($A905&lt;&gt;"",'All Cases - Enter Cases'!B905,"")</f>
        <v/>
      </c>
      <c r="C905" t="str">
        <f>IF($A905&lt;&gt;"",'All Cases - Enter Cases'!C905,"")</f>
        <v/>
      </c>
      <c r="D905" t="str">
        <f>IF($A905&lt;&gt;"",'All Cases - Enter Cases'!D905,"")</f>
        <v/>
      </c>
      <c r="E905" t="str">
        <f>IF($A905&lt;&gt;"",'All Cases - Enter Cases'!E905,"")</f>
        <v/>
      </c>
      <c r="F905" t="str">
        <f>IF($A905&lt;&gt;"",'All Cases - Enter Cases'!F905,"")</f>
        <v/>
      </c>
      <c r="G905" t="str">
        <f>IF($A905&lt;&gt;"",'All Cases - Enter Cases'!G905,"")</f>
        <v/>
      </c>
      <c r="H905" t="str">
        <f>IF($A905&lt;&gt;"",'All Cases - Enter Cases'!H905,"")</f>
        <v/>
      </c>
      <c r="I905" t="str">
        <f>IF($A905&lt;&gt;"",'All Cases - Enter Cases'!I905,"")</f>
        <v/>
      </c>
      <c r="J905" s="4" t="str">
        <f>IF($A905&lt;&gt;"",'All Cases - Enter Cases'!J905,"")</f>
        <v/>
      </c>
      <c r="K905" s="4" t="str">
        <f>IF($A905&lt;&gt;"",'All Cases - Enter Cases'!K905,"")</f>
        <v/>
      </c>
      <c r="L905" s="4" t="str">
        <f>IF($A905&lt;&gt;"",'All Cases - Enter Cases'!L905,"")</f>
        <v/>
      </c>
      <c r="M905" t="str">
        <f>IF($A905&lt;&gt;"",'All Cases - Enter Cases'!M905,"")</f>
        <v/>
      </c>
    </row>
    <row r="906" spans="1:13" x14ac:dyDescent="0.35">
      <c r="A906" s="4" t="str">
        <f>IF('All Cases - Enter Cases'!$F906="Punjab",'All Cases - Enter Cases'!A906,"")</f>
        <v/>
      </c>
      <c r="B906" t="str">
        <f>IF($A906&lt;&gt;"",'All Cases - Enter Cases'!B906,"")</f>
        <v/>
      </c>
      <c r="C906" t="str">
        <f>IF($A906&lt;&gt;"",'All Cases - Enter Cases'!C906,"")</f>
        <v/>
      </c>
      <c r="D906" t="str">
        <f>IF($A906&lt;&gt;"",'All Cases - Enter Cases'!D906,"")</f>
        <v/>
      </c>
      <c r="E906" t="str">
        <f>IF($A906&lt;&gt;"",'All Cases - Enter Cases'!E906,"")</f>
        <v/>
      </c>
      <c r="F906" t="str">
        <f>IF($A906&lt;&gt;"",'All Cases - Enter Cases'!F906,"")</f>
        <v/>
      </c>
      <c r="G906" t="str">
        <f>IF($A906&lt;&gt;"",'All Cases - Enter Cases'!G906,"")</f>
        <v/>
      </c>
      <c r="H906" t="str">
        <f>IF($A906&lt;&gt;"",'All Cases - Enter Cases'!H906,"")</f>
        <v/>
      </c>
      <c r="I906" t="str">
        <f>IF($A906&lt;&gt;"",'All Cases - Enter Cases'!I906,"")</f>
        <v/>
      </c>
      <c r="J906" s="4" t="str">
        <f>IF($A906&lt;&gt;"",'All Cases - Enter Cases'!J906,"")</f>
        <v/>
      </c>
      <c r="K906" s="4" t="str">
        <f>IF($A906&lt;&gt;"",'All Cases - Enter Cases'!K906,"")</f>
        <v/>
      </c>
      <c r="L906" s="4" t="str">
        <f>IF($A906&lt;&gt;"",'All Cases - Enter Cases'!L906,"")</f>
        <v/>
      </c>
      <c r="M906" t="str">
        <f>IF($A906&lt;&gt;"",'All Cases - Enter Cases'!M906,"")</f>
        <v/>
      </c>
    </row>
    <row r="907" spans="1:13" x14ac:dyDescent="0.35">
      <c r="A907" s="4" t="str">
        <f>IF('All Cases - Enter Cases'!$F907="Punjab",'All Cases - Enter Cases'!A907,"")</f>
        <v/>
      </c>
      <c r="B907" t="str">
        <f>IF($A907&lt;&gt;"",'All Cases - Enter Cases'!B907,"")</f>
        <v/>
      </c>
      <c r="C907" t="str">
        <f>IF($A907&lt;&gt;"",'All Cases - Enter Cases'!C907,"")</f>
        <v/>
      </c>
      <c r="D907" t="str">
        <f>IF($A907&lt;&gt;"",'All Cases - Enter Cases'!D907,"")</f>
        <v/>
      </c>
      <c r="E907" t="str">
        <f>IF($A907&lt;&gt;"",'All Cases - Enter Cases'!E907,"")</f>
        <v/>
      </c>
      <c r="F907" t="str">
        <f>IF($A907&lt;&gt;"",'All Cases - Enter Cases'!F907,"")</f>
        <v/>
      </c>
      <c r="G907" t="str">
        <f>IF($A907&lt;&gt;"",'All Cases - Enter Cases'!G907,"")</f>
        <v/>
      </c>
      <c r="H907" t="str">
        <f>IF($A907&lt;&gt;"",'All Cases - Enter Cases'!H907,"")</f>
        <v/>
      </c>
      <c r="I907" t="str">
        <f>IF($A907&lt;&gt;"",'All Cases - Enter Cases'!I907,"")</f>
        <v/>
      </c>
      <c r="J907" s="4" t="str">
        <f>IF($A907&lt;&gt;"",'All Cases - Enter Cases'!J907,"")</f>
        <v/>
      </c>
      <c r="K907" s="4" t="str">
        <f>IF($A907&lt;&gt;"",'All Cases - Enter Cases'!K907,"")</f>
        <v/>
      </c>
      <c r="L907" s="4" t="str">
        <f>IF($A907&lt;&gt;"",'All Cases - Enter Cases'!L907,"")</f>
        <v/>
      </c>
      <c r="M907" t="str">
        <f>IF($A907&lt;&gt;"",'All Cases - Enter Cases'!M907,"")</f>
        <v/>
      </c>
    </row>
    <row r="908" spans="1:13" x14ac:dyDescent="0.35">
      <c r="A908" s="4" t="str">
        <f>IF('All Cases - Enter Cases'!$F908="Punjab",'All Cases - Enter Cases'!A908,"")</f>
        <v/>
      </c>
      <c r="B908" t="str">
        <f>IF($A908&lt;&gt;"",'All Cases - Enter Cases'!B908,"")</f>
        <v/>
      </c>
      <c r="C908" t="str">
        <f>IF($A908&lt;&gt;"",'All Cases - Enter Cases'!C908,"")</f>
        <v/>
      </c>
      <c r="D908" t="str">
        <f>IF($A908&lt;&gt;"",'All Cases - Enter Cases'!D908,"")</f>
        <v/>
      </c>
      <c r="E908" t="str">
        <f>IF($A908&lt;&gt;"",'All Cases - Enter Cases'!E908,"")</f>
        <v/>
      </c>
      <c r="F908" t="str">
        <f>IF($A908&lt;&gt;"",'All Cases - Enter Cases'!F908,"")</f>
        <v/>
      </c>
      <c r="G908" t="str">
        <f>IF($A908&lt;&gt;"",'All Cases - Enter Cases'!G908,"")</f>
        <v/>
      </c>
      <c r="H908" t="str">
        <f>IF($A908&lt;&gt;"",'All Cases - Enter Cases'!H908,"")</f>
        <v/>
      </c>
      <c r="I908" t="str">
        <f>IF($A908&lt;&gt;"",'All Cases - Enter Cases'!I908,"")</f>
        <v/>
      </c>
      <c r="J908" s="4" t="str">
        <f>IF($A908&lt;&gt;"",'All Cases - Enter Cases'!J908,"")</f>
        <v/>
      </c>
      <c r="K908" s="4" t="str">
        <f>IF($A908&lt;&gt;"",'All Cases - Enter Cases'!K908,"")</f>
        <v/>
      </c>
      <c r="L908" s="4" t="str">
        <f>IF($A908&lt;&gt;"",'All Cases - Enter Cases'!L908,"")</f>
        <v/>
      </c>
      <c r="M908" t="str">
        <f>IF($A908&lt;&gt;"",'All Cases - Enter Cases'!M908,"")</f>
        <v/>
      </c>
    </row>
    <row r="909" spans="1:13" x14ac:dyDescent="0.35">
      <c r="A909" s="4" t="str">
        <f>IF('All Cases - Enter Cases'!$F909="Punjab",'All Cases - Enter Cases'!A909,"")</f>
        <v/>
      </c>
      <c r="B909" t="str">
        <f>IF($A909&lt;&gt;"",'All Cases - Enter Cases'!B909,"")</f>
        <v/>
      </c>
      <c r="C909" t="str">
        <f>IF($A909&lt;&gt;"",'All Cases - Enter Cases'!C909,"")</f>
        <v/>
      </c>
      <c r="D909" t="str">
        <f>IF($A909&lt;&gt;"",'All Cases - Enter Cases'!D909,"")</f>
        <v/>
      </c>
      <c r="E909" t="str">
        <f>IF($A909&lt;&gt;"",'All Cases - Enter Cases'!E909,"")</f>
        <v/>
      </c>
      <c r="F909" t="str">
        <f>IF($A909&lt;&gt;"",'All Cases - Enter Cases'!F909,"")</f>
        <v/>
      </c>
      <c r="G909" t="str">
        <f>IF($A909&lt;&gt;"",'All Cases - Enter Cases'!G909,"")</f>
        <v/>
      </c>
      <c r="H909" t="str">
        <f>IF($A909&lt;&gt;"",'All Cases - Enter Cases'!H909,"")</f>
        <v/>
      </c>
      <c r="I909" t="str">
        <f>IF($A909&lt;&gt;"",'All Cases - Enter Cases'!I909,"")</f>
        <v/>
      </c>
      <c r="J909" s="4" t="str">
        <f>IF($A909&lt;&gt;"",'All Cases - Enter Cases'!J909,"")</f>
        <v/>
      </c>
      <c r="K909" s="4" t="str">
        <f>IF($A909&lt;&gt;"",'All Cases - Enter Cases'!K909,"")</f>
        <v/>
      </c>
      <c r="L909" s="4" t="str">
        <f>IF($A909&lt;&gt;"",'All Cases - Enter Cases'!L909,"")</f>
        <v/>
      </c>
      <c r="M909" t="str">
        <f>IF($A909&lt;&gt;"",'All Cases - Enter Cases'!M909,"")</f>
        <v/>
      </c>
    </row>
    <row r="910" spans="1:13" x14ac:dyDescent="0.35">
      <c r="A910" s="4" t="str">
        <f>IF('All Cases - Enter Cases'!$F910="Punjab",'All Cases - Enter Cases'!A910,"")</f>
        <v/>
      </c>
      <c r="B910" t="str">
        <f>IF($A910&lt;&gt;"",'All Cases - Enter Cases'!B910,"")</f>
        <v/>
      </c>
      <c r="C910" t="str">
        <f>IF($A910&lt;&gt;"",'All Cases - Enter Cases'!C910,"")</f>
        <v/>
      </c>
      <c r="D910" t="str">
        <f>IF($A910&lt;&gt;"",'All Cases - Enter Cases'!D910,"")</f>
        <v/>
      </c>
      <c r="E910" t="str">
        <f>IF($A910&lt;&gt;"",'All Cases - Enter Cases'!E910,"")</f>
        <v/>
      </c>
      <c r="F910" t="str">
        <f>IF($A910&lt;&gt;"",'All Cases - Enter Cases'!F910,"")</f>
        <v/>
      </c>
      <c r="G910" t="str">
        <f>IF($A910&lt;&gt;"",'All Cases - Enter Cases'!G910,"")</f>
        <v/>
      </c>
      <c r="H910" t="str">
        <f>IF($A910&lt;&gt;"",'All Cases - Enter Cases'!H910,"")</f>
        <v/>
      </c>
      <c r="I910" t="str">
        <f>IF($A910&lt;&gt;"",'All Cases - Enter Cases'!I910,"")</f>
        <v/>
      </c>
      <c r="J910" s="4" t="str">
        <f>IF($A910&lt;&gt;"",'All Cases - Enter Cases'!J910,"")</f>
        <v/>
      </c>
      <c r="K910" s="4" t="str">
        <f>IF($A910&lt;&gt;"",'All Cases - Enter Cases'!K910,"")</f>
        <v/>
      </c>
      <c r="L910" s="4" t="str">
        <f>IF($A910&lt;&gt;"",'All Cases - Enter Cases'!L910,"")</f>
        <v/>
      </c>
      <c r="M910" t="str">
        <f>IF($A910&lt;&gt;"",'All Cases - Enter Cases'!M910,"")</f>
        <v/>
      </c>
    </row>
    <row r="911" spans="1:13" x14ac:dyDescent="0.35">
      <c r="A911" s="4" t="str">
        <f>IF('All Cases - Enter Cases'!$F911="Punjab",'All Cases - Enter Cases'!A911,"")</f>
        <v/>
      </c>
      <c r="B911" t="str">
        <f>IF($A911&lt;&gt;"",'All Cases - Enter Cases'!B911,"")</f>
        <v/>
      </c>
      <c r="C911" t="str">
        <f>IF($A911&lt;&gt;"",'All Cases - Enter Cases'!C911,"")</f>
        <v/>
      </c>
      <c r="D911" t="str">
        <f>IF($A911&lt;&gt;"",'All Cases - Enter Cases'!D911,"")</f>
        <v/>
      </c>
      <c r="E911" t="str">
        <f>IF($A911&lt;&gt;"",'All Cases - Enter Cases'!E911,"")</f>
        <v/>
      </c>
      <c r="F911" t="str">
        <f>IF($A911&lt;&gt;"",'All Cases - Enter Cases'!F911,"")</f>
        <v/>
      </c>
      <c r="G911" t="str">
        <f>IF($A911&lt;&gt;"",'All Cases - Enter Cases'!G911,"")</f>
        <v/>
      </c>
      <c r="H911" t="str">
        <f>IF($A911&lt;&gt;"",'All Cases - Enter Cases'!H911,"")</f>
        <v/>
      </c>
      <c r="I911" t="str">
        <f>IF($A911&lt;&gt;"",'All Cases - Enter Cases'!I911,"")</f>
        <v/>
      </c>
      <c r="J911" s="4" t="str">
        <f>IF($A911&lt;&gt;"",'All Cases - Enter Cases'!J911,"")</f>
        <v/>
      </c>
      <c r="K911" s="4" t="str">
        <f>IF($A911&lt;&gt;"",'All Cases - Enter Cases'!K911,"")</f>
        <v/>
      </c>
      <c r="L911" s="4" t="str">
        <f>IF($A911&lt;&gt;"",'All Cases - Enter Cases'!L911,"")</f>
        <v/>
      </c>
      <c r="M911" t="str">
        <f>IF($A911&lt;&gt;"",'All Cases - Enter Cases'!M911,"")</f>
        <v/>
      </c>
    </row>
    <row r="912" spans="1:13" x14ac:dyDescent="0.35">
      <c r="A912" s="4" t="str">
        <f>IF('All Cases - Enter Cases'!$F912="Punjab",'All Cases - Enter Cases'!A912,"")</f>
        <v/>
      </c>
      <c r="B912" t="str">
        <f>IF($A912&lt;&gt;"",'All Cases - Enter Cases'!B912,"")</f>
        <v/>
      </c>
      <c r="C912" t="str">
        <f>IF($A912&lt;&gt;"",'All Cases - Enter Cases'!C912,"")</f>
        <v/>
      </c>
      <c r="D912" t="str">
        <f>IF($A912&lt;&gt;"",'All Cases - Enter Cases'!D912,"")</f>
        <v/>
      </c>
      <c r="E912" t="str">
        <f>IF($A912&lt;&gt;"",'All Cases - Enter Cases'!E912,"")</f>
        <v/>
      </c>
      <c r="F912" t="str">
        <f>IF($A912&lt;&gt;"",'All Cases - Enter Cases'!F912,"")</f>
        <v/>
      </c>
      <c r="G912" t="str">
        <f>IF($A912&lt;&gt;"",'All Cases - Enter Cases'!G912,"")</f>
        <v/>
      </c>
      <c r="H912" t="str">
        <f>IF($A912&lt;&gt;"",'All Cases - Enter Cases'!H912,"")</f>
        <v/>
      </c>
      <c r="I912" t="str">
        <f>IF($A912&lt;&gt;"",'All Cases - Enter Cases'!I912,"")</f>
        <v/>
      </c>
      <c r="J912" s="4" t="str">
        <f>IF($A912&lt;&gt;"",'All Cases - Enter Cases'!J912,"")</f>
        <v/>
      </c>
      <c r="K912" s="4" t="str">
        <f>IF($A912&lt;&gt;"",'All Cases - Enter Cases'!K912,"")</f>
        <v/>
      </c>
      <c r="L912" s="4" t="str">
        <f>IF($A912&lt;&gt;"",'All Cases - Enter Cases'!L912,"")</f>
        <v/>
      </c>
      <c r="M912" t="str">
        <f>IF($A912&lt;&gt;"",'All Cases - Enter Cases'!M912,"")</f>
        <v/>
      </c>
    </row>
    <row r="913" spans="1:13" x14ac:dyDescent="0.35">
      <c r="A913" s="4" t="str">
        <f>IF('All Cases - Enter Cases'!$F913="Punjab",'All Cases - Enter Cases'!A913,"")</f>
        <v/>
      </c>
      <c r="B913" t="str">
        <f>IF($A913&lt;&gt;"",'All Cases - Enter Cases'!B913,"")</f>
        <v/>
      </c>
      <c r="C913" t="str">
        <f>IF($A913&lt;&gt;"",'All Cases - Enter Cases'!C913,"")</f>
        <v/>
      </c>
      <c r="D913" t="str">
        <f>IF($A913&lt;&gt;"",'All Cases - Enter Cases'!D913,"")</f>
        <v/>
      </c>
      <c r="E913" t="str">
        <f>IF($A913&lt;&gt;"",'All Cases - Enter Cases'!E913,"")</f>
        <v/>
      </c>
      <c r="F913" t="str">
        <f>IF($A913&lt;&gt;"",'All Cases - Enter Cases'!F913,"")</f>
        <v/>
      </c>
      <c r="G913" t="str">
        <f>IF($A913&lt;&gt;"",'All Cases - Enter Cases'!G913,"")</f>
        <v/>
      </c>
      <c r="H913" t="str">
        <f>IF($A913&lt;&gt;"",'All Cases - Enter Cases'!H913,"")</f>
        <v/>
      </c>
      <c r="I913" t="str">
        <f>IF($A913&lt;&gt;"",'All Cases - Enter Cases'!I913,"")</f>
        <v/>
      </c>
      <c r="J913" s="4" t="str">
        <f>IF($A913&lt;&gt;"",'All Cases - Enter Cases'!J913,"")</f>
        <v/>
      </c>
      <c r="K913" s="4" t="str">
        <f>IF($A913&lt;&gt;"",'All Cases - Enter Cases'!K913,"")</f>
        <v/>
      </c>
      <c r="L913" s="4" t="str">
        <f>IF($A913&lt;&gt;"",'All Cases - Enter Cases'!L913,"")</f>
        <v/>
      </c>
      <c r="M913" t="str">
        <f>IF($A913&lt;&gt;"",'All Cases - Enter Cases'!M913,"")</f>
        <v/>
      </c>
    </row>
    <row r="914" spans="1:13" x14ac:dyDescent="0.35">
      <c r="A914" s="4" t="str">
        <f>IF('All Cases - Enter Cases'!$F914="Punjab",'All Cases - Enter Cases'!A914,"")</f>
        <v/>
      </c>
      <c r="B914" t="str">
        <f>IF($A914&lt;&gt;"",'All Cases - Enter Cases'!B914,"")</f>
        <v/>
      </c>
      <c r="C914" t="str">
        <f>IF($A914&lt;&gt;"",'All Cases - Enter Cases'!C914,"")</f>
        <v/>
      </c>
      <c r="D914" t="str">
        <f>IF($A914&lt;&gt;"",'All Cases - Enter Cases'!D914,"")</f>
        <v/>
      </c>
      <c r="E914" t="str">
        <f>IF($A914&lt;&gt;"",'All Cases - Enter Cases'!E914,"")</f>
        <v/>
      </c>
      <c r="F914" t="str">
        <f>IF($A914&lt;&gt;"",'All Cases - Enter Cases'!F914,"")</f>
        <v/>
      </c>
      <c r="G914" t="str">
        <f>IF($A914&lt;&gt;"",'All Cases - Enter Cases'!G914,"")</f>
        <v/>
      </c>
      <c r="H914" t="str">
        <f>IF($A914&lt;&gt;"",'All Cases - Enter Cases'!H914,"")</f>
        <v/>
      </c>
      <c r="I914" t="str">
        <f>IF($A914&lt;&gt;"",'All Cases - Enter Cases'!I914,"")</f>
        <v/>
      </c>
      <c r="J914" s="4" t="str">
        <f>IF($A914&lt;&gt;"",'All Cases - Enter Cases'!J914,"")</f>
        <v/>
      </c>
      <c r="K914" s="4" t="str">
        <f>IF($A914&lt;&gt;"",'All Cases - Enter Cases'!K914,"")</f>
        <v/>
      </c>
      <c r="L914" s="4" t="str">
        <f>IF($A914&lt;&gt;"",'All Cases - Enter Cases'!L914,"")</f>
        <v/>
      </c>
      <c r="M914" t="str">
        <f>IF($A914&lt;&gt;"",'All Cases - Enter Cases'!M914,"")</f>
        <v/>
      </c>
    </row>
    <row r="915" spans="1:13" x14ac:dyDescent="0.35">
      <c r="A915" s="4" t="str">
        <f>IF('All Cases - Enter Cases'!$F915="Punjab",'All Cases - Enter Cases'!A915,"")</f>
        <v/>
      </c>
      <c r="B915" t="str">
        <f>IF($A915&lt;&gt;"",'All Cases - Enter Cases'!B915,"")</f>
        <v/>
      </c>
      <c r="C915" t="str">
        <f>IF($A915&lt;&gt;"",'All Cases - Enter Cases'!C915,"")</f>
        <v/>
      </c>
      <c r="D915" t="str">
        <f>IF($A915&lt;&gt;"",'All Cases - Enter Cases'!D915,"")</f>
        <v/>
      </c>
      <c r="E915" t="str">
        <f>IF($A915&lt;&gt;"",'All Cases - Enter Cases'!E915,"")</f>
        <v/>
      </c>
      <c r="F915" t="str">
        <f>IF($A915&lt;&gt;"",'All Cases - Enter Cases'!F915,"")</f>
        <v/>
      </c>
      <c r="G915" t="str">
        <f>IF($A915&lt;&gt;"",'All Cases - Enter Cases'!G915,"")</f>
        <v/>
      </c>
      <c r="H915" t="str">
        <f>IF($A915&lt;&gt;"",'All Cases - Enter Cases'!H915,"")</f>
        <v/>
      </c>
      <c r="I915" t="str">
        <f>IF($A915&lt;&gt;"",'All Cases - Enter Cases'!I915,"")</f>
        <v/>
      </c>
      <c r="J915" s="4" t="str">
        <f>IF($A915&lt;&gt;"",'All Cases - Enter Cases'!J915,"")</f>
        <v/>
      </c>
      <c r="K915" s="4" t="str">
        <f>IF($A915&lt;&gt;"",'All Cases - Enter Cases'!K915,"")</f>
        <v/>
      </c>
      <c r="L915" s="4" t="str">
        <f>IF($A915&lt;&gt;"",'All Cases - Enter Cases'!L915,"")</f>
        <v/>
      </c>
      <c r="M915" t="str">
        <f>IF($A915&lt;&gt;"",'All Cases - Enter Cases'!M915,"")</f>
        <v/>
      </c>
    </row>
    <row r="916" spans="1:13" x14ac:dyDescent="0.35">
      <c r="A916" s="4" t="str">
        <f>IF('All Cases - Enter Cases'!$F916="Punjab",'All Cases - Enter Cases'!A916,"")</f>
        <v/>
      </c>
      <c r="B916" t="str">
        <f>IF($A916&lt;&gt;"",'All Cases - Enter Cases'!B916,"")</f>
        <v/>
      </c>
      <c r="C916" t="str">
        <f>IF($A916&lt;&gt;"",'All Cases - Enter Cases'!C916,"")</f>
        <v/>
      </c>
      <c r="D916" t="str">
        <f>IF($A916&lt;&gt;"",'All Cases - Enter Cases'!D916,"")</f>
        <v/>
      </c>
      <c r="E916" t="str">
        <f>IF($A916&lt;&gt;"",'All Cases - Enter Cases'!E916,"")</f>
        <v/>
      </c>
      <c r="F916" t="str">
        <f>IF($A916&lt;&gt;"",'All Cases - Enter Cases'!F916,"")</f>
        <v/>
      </c>
      <c r="G916" t="str">
        <f>IF($A916&lt;&gt;"",'All Cases - Enter Cases'!G916,"")</f>
        <v/>
      </c>
      <c r="H916" t="str">
        <f>IF($A916&lt;&gt;"",'All Cases - Enter Cases'!H916,"")</f>
        <v/>
      </c>
      <c r="I916" t="str">
        <f>IF($A916&lt;&gt;"",'All Cases - Enter Cases'!I916,"")</f>
        <v/>
      </c>
      <c r="J916" s="4" t="str">
        <f>IF($A916&lt;&gt;"",'All Cases - Enter Cases'!J916,"")</f>
        <v/>
      </c>
      <c r="K916" s="4" t="str">
        <f>IF($A916&lt;&gt;"",'All Cases - Enter Cases'!K916,"")</f>
        <v/>
      </c>
      <c r="L916" s="4" t="str">
        <f>IF($A916&lt;&gt;"",'All Cases - Enter Cases'!L916,"")</f>
        <v/>
      </c>
      <c r="M916" t="str">
        <f>IF($A916&lt;&gt;"",'All Cases - Enter Cases'!M916,"")</f>
        <v/>
      </c>
    </row>
    <row r="917" spans="1:13" x14ac:dyDescent="0.35">
      <c r="A917" s="4" t="str">
        <f>IF('All Cases - Enter Cases'!$F917="Punjab",'All Cases - Enter Cases'!A917,"")</f>
        <v/>
      </c>
      <c r="B917" t="str">
        <f>IF($A917&lt;&gt;"",'All Cases - Enter Cases'!B917,"")</f>
        <v/>
      </c>
      <c r="C917" t="str">
        <f>IF($A917&lt;&gt;"",'All Cases - Enter Cases'!C917,"")</f>
        <v/>
      </c>
      <c r="D917" t="str">
        <f>IF($A917&lt;&gt;"",'All Cases - Enter Cases'!D917,"")</f>
        <v/>
      </c>
      <c r="E917" t="str">
        <f>IF($A917&lt;&gt;"",'All Cases - Enter Cases'!E917,"")</f>
        <v/>
      </c>
      <c r="F917" t="str">
        <f>IF($A917&lt;&gt;"",'All Cases - Enter Cases'!F917,"")</f>
        <v/>
      </c>
      <c r="G917" t="str">
        <f>IF($A917&lt;&gt;"",'All Cases - Enter Cases'!G917,"")</f>
        <v/>
      </c>
      <c r="H917" t="str">
        <f>IF($A917&lt;&gt;"",'All Cases - Enter Cases'!H917,"")</f>
        <v/>
      </c>
      <c r="I917" t="str">
        <f>IF($A917&lt;&gt;"",'All Cases - Enter Cases'!I917,"")</f>
        <v/>
      </c>
      <c r="J917" s="4" t="str">
        <f>IF($A917&lt;&gt;"",'All Cases - Enter Cases'!J917,"")</f>
        <v/>
      </c>
      <c r="K917" s="4" t="str">
        <f>IF($A917&lt;&gt;"",'All Cases - Enter Cases'!K917,"")</f>
        <v/>
      </c>
      <c r="L917" s="4" t="str">
        <f>IF($A917&lt;&gt;"",'All Cases - Enter Cases'!L917,"")</f>
        <v/>
      </c>
      <c r="M917" t="str">
        <f>IF($A917&lt;&gt;"",'All Cases - Enter Cases'!M917,"")</f>
        <v/>
      </c>
    </row>
    <row r="918" spans="1:13" x14ac:dyDescent="0.35">
      <c r="A918" s="4" t="str">
        <f>IF('All Cases - Enter Cases'!$F918="Punjab",'All Cases - Enter Cases'!A918,"")</f>
        <v/>
      </c>
      <c r="B918" t="str">
        <f>IF($A918&lt;&gt;"",'All Cases - Enter Cases'!B918,"")</f>
        <v/>
      </c>
      <c r="C918" t="str">
        <f>IF($A918&lt;&gt;"",'All Cases - Enter Cases'!C918,"")</f>
        <v/>
      </c>
      <c r="D918" t="str">
        <f>IF($A918&lt;&gt;"",'All Cases - Enter Cases'!D918,"")</f>
        <v/>
      </c>
      <c r="E918" t="str">
        <f>IF($A918&lt;&gt;"",'All Cases - Enter Cases'!E918,"")</f>
        <v/>
      </c>
      <c r="F918" t="str">
        <f>IF($A918&lt;&gt;"",'All Cases - Enter Cases'!F918,"")</f>
        <v/>
      </c>
      <c r="G918" t="str">
        <f>IF($A918&lt;&gt;"",'All Cases - Enter Cases'!G918,"")</f>
        <v/>
      </c>
      <c r="H918" t="str">
        <f>IF($A918&lt;&gt;"",'All Cases - Enter Cases'!H918,"")</f>
        <v/>
      </c>
      <c r="I918" t="str">
        <f>IF($A918&lt;&gt;"",'All Cases - Enter Cases'!I918,"")</f>
        <v/>
      </c>
      <c r="J918" s="4" t="str">
        <f>IF($A918&lt;&gt;"",'All Cases - Enter Cases'!J918,"")</f>
        <v/>
      </c>
      <c r="K918" s="4" t="str">
        <f>IF($A918&lt;&gt;"",'All Cases - Enter Cases'!K918,"")</f>
        <v/>
      </c>
      <c r="L918" s="4" t="str">
        <f>IF($A918&lt;&gt;"",'All Cases - Enter Cases'!L918,"")</f>
        <v/>
      </c>
      <c r="M918" t="str">
        <f>IF($A918&lt;&gt;"",'All Cases - Enter Cases'!M918,"")</f>
        <v/>
      </c>
    </row>
    <row r="919" spans="1:13" x14ac:dyDescent="0.35">
      <c r="A919" s="4" t="str">
        <f>IF('All Cases - Enter Cases'!$F919="Punjab",'All Cases - Enter Cases'!A919,"")</f>
        <v/>
      </c>
      <c r="B919" t="str">
        <f>IF($A919&lt;&gt;"",'All Cases - Enter Cases'!B919,"")</f>
        <v/>
      </c>
      <c r="C919" t="str">
        <f>IF($A919&lt;&gt;"",'All Cases - Enter Cases'!C919,"")</f>
        <v/>
      </c>
      <c r="D919" t="str">
        <f>IF($A919&lt;&gt;"",'All Cases - Enter Cases'!D919,"")</f>
        <v/>
      </c>
      <c r="E919" t="str">
        <f>IF($A919&lt;&gt;"",'All Cases - Enter Cases'!E919,"")</f>
        <v/>
      </c>
      <c r="F919" t="str">
        <f>IF($A919&lt;&gt;"",'All Cases - Enter Cases'!F919,"")</f>
        <v/>
      </c>
      <c r="G919" t="str">
        <f>IF($A919&lt;&gt;"",'All Cases - Enter Cases'!G919,"")</f>
        <v/>
      </c>
      <c r="H919" t="str">
        <f>IF($A919&lt;&gt;"",'All Cases - Enter Cases'!H919,"")</f>
        <v/>
      </c>
      <c r="I919" t="str">
        <f>IF($A919&lt;&gt;"",'All Cases - Enter Cases'!I919,"")</f>
        <v/>
      </c>
      <c r="J919" s="4" t="str">
        <f>IF($A919&lt;&gt;"",'All Cases - Enter Cases'!J919,"")</f>
        <v/>
      </c>
      <c r="K919" s="4" t="str">
        <f>IF($A919&lt;&gt;"",'All Cases - Enter Cases'!K919,"")</f>
        <v/>
      </c>
      <c r="L919" s="4" t="str">
        <f>IF($A919&lt;&gt;"",'All Cases - Enter Cases'!L919,"")</f>
        <v/>
      </c>
      <c r="M919" t="str">
        <f>IF($A919&lt;&gt;"",'All Cases - Enter Cases'!M919,"")</f>
        <v/>
      </c>
    </row>
    <row r="920" spans="1:13" x14ac:dyDescent="0.35">
      <c r="A920" s="4" t="str">
        <f>IF('All Cases - Enter Cases'!$F920="Punjab",'All Cases - Enter Cases'!A920,"")</f>
        <v/>
      </c>
      <c r="B920" t="str">
        <f>IF($A920&lt;&gt;"",'All Cases - Enter Cases'!B920,"")</f>
        <v/>
      </c>
      <c r="C920" t="str">
        <f>IF($A920&lt;&gt;"",'All Cases - Enter Cases'!C920,"")</f>
        <v/>
      </c>
      <c r="D920" t="str">
        <f>IF($A920&lt;&gt;"",'All Cases - Enter Cases'!D920,"")</f>
        <v/>
      </c>
      <c r="E920" t="str">
        <f>IF($A920&lt;&gt;"",'All Cases - Enter Cases'!E920,"")</f>
        <v/>
      </c>
      <c r="F920" t="str">
        <f>IF($A920&lt;&gt;"",'All Cases - Enter Cases'!F920,"")</f>
        <v/>
      </c>
      <c r="G920" t="str">
        <f>IF($A920&lt;&gt;"",'All Cases - Enter Cases'!G920,"")</f>
        <v/>
      </c>
      <c r="H920" t="str">
        <f>IF($A920&lt;&gt;"",'All Cases - Enter Cases'!H920,"")</f>
        <v/>
      </c>
      <c r="I920" t="str">
        <f>IF($A920&lt;&gt;"",'All Cases - Enter Cases'!I920,"")</f>
        <v/>
      </c>
      <c r="J920" s="4" t="str">
        <f>IF($A920&lt;&gt;"",'All Cases - Enter Cases'!J920,"")</f>
        <v/>
      </c>
      <c r="K920" s="4" t="str">
        <f>IF($A920&lt;&gt;"",'All Cases - Enter Cases'!K920,"")</f>
        <v/>
      </c>
      <c r="L920" s="4" t="str">
        <f>IF($A920&lt;&gt;"",'All Cases - Enter Cases'!L920,"")</f>
        <v/>
      </c>
      <c r="M920" t="str">
        <f>IF($A920&lt;&gt;"",'All Cases - Enter Cases'!M920,"")</f>
        <v/>
      </c>
    </row>
    <row r="921" spans="1:13" x14ac:dyDescent="0.35">
      <c r="A921" s="4" t="str">
        <f>IF('All Cases - Enter Cases'!$F921="Punjab",'All Cases - Enter Cases'!A921,"")</f>
        <v/>
      </c>
      <c r="B921" t="str">
        <f>IF($A921&lt;&gt;"",'All Cases - Enter Cases'!B921,"")</f>
        <v/>
      </c>
      <c r="C921" t="str">
        <f>IF($A921&lt;&gt;"",'All Cases - Enter Cases'!C921,"")</f>
        <v/>
      </c>
      <c r="D921" t="str">
        <f>IF($A921&lt;&gt;"",'All Cases - Enter Cases'!D921,"")</f>
        <v/>
      </c>
      <c r="E921" t="str">
        <f>IF($A921&lt;&gt;"",'All Cases - Enter Cases'!E921,"")</f>
        <v/>
      </c>
      <c r="F921" t="str">
        <f>IF($A921&lt;&gt;"",'All Cases - Enter Cases'!F921,"")</f>
        <v/>
      </c>
      <c r="G921" t="str">
        <f>IF($A921&lt;&gt;"",'All Cases - Enter Cases'!G921,"")</f>
        <v/>
      </c>
      <c r="H921" t="str">
        <f>IF($A921&lt;&gt;"",'All Cases - Enter Cases'!H921,"")</f>
        <v/>
      </c>
      <c r="I921" t="str">
        <f>IF($A921&lt;&gt;"",'All Cases - Enter Cases'!I921,"")</f>
        <v/>
      </c>
      <c r="J921" s="4" t="str">
        <f>IF($A921&lt;&gt;"",'All Cases - Enter Cases'!J921,"")</f>
        <v/>
      </c>
      <c r="K921" s="4" t="str">
        <f>IF($A921&lt;&gt;"",'All Cases - Enter Cases'!K921,"")</f>
        <v/>
      </c>
      <c r="L921" s="4" t="str">
        <f>IF($A921&lt;&gt;"",'All Cases - Enter Cases'!L921,"")</f>
        <v/>
      </c>
      <c r="M921" t="str">
        <f>IF($A921&lt;&gt;"",'All Cases - Enter Cases'!M921,"")</f>
        <v/>
      </c>
    </row>
    <row r="922" spans="1:13" x14ac:dyDescent="0.35">
      <c r="A922" s="4" t="str">
        <f>IF('All Cases - Enter Cases'!$F922="Punjab",'All Cases - Enter Cases'!A922,"")</f>
        <v/>
      </c>
      <c r="B922" t="str">
        <f>IF($A922&lt;&gt;"",'All Cases - Enter Cases'!B922,"")</f>
        <v/>
      </c>
      <c r="C922" t="str">
        <f>IF($A922&lt;&gt;"",'All Cases - Enter Cases'!C922,"")</f>
        <v/>
      </c>
      <c r="D922" t="str">
        <f>IF($A922&lt;&gt;"",'All Cases - Enter Cases'!D922,"")</f>
        <v/>
      </c>
      <c r="E922" t="str">
        <f>IF($A922&lt;&gt;"",'All Cases - Enter Cases'!E922,"")</f>
        <v/>
      </c>
      <c r="F922" t="str">
        <f>IF($A922&lt;&gt;"",'All Cases - Enter Cases'!F922,"")</f>
        <v/>
      </c>
      <c r="G922" t="str">
        <f>IF($A922&lt;&gt;"",'All Cases - Enter Cases'!G922,"")</f>
        <v/>
      </c>
      <c r="H922" t="str">
        <f>IF($A922&lt;&gt;"",'All Cases - Enter Cases'!H922,"")</f>
        <v/>
      </c>
      <c r="I922" t="str">
        <f>IF($A922&lt;&gt;"",'All Cases - Enter Cases'!I922,"")</f>
        <v/>
      </c>
      <c r="J922" s="4" t="str">
        <f>IF($A922&lt;&gt;"",'All Cases - Enter Cases'!J922,"")</f>
        <v/>
      </c>
      <c r="K922" s="4" t="str">
        <f>IF($A922&lt;&gt;"",'All Cases - Enter Cases'!K922,"")</f>
        <v/>
      </c>
      <c r="L922" s="4" t="str">
        <f>IF($A922&lt;&gt;"",'All Cases - Enter Cases'!L922,"")</f>
        <v/>
      </c>
      <c r="M922" t="str">
        <f>IF($A922&lt;&gt;"",'All Cases - Enter Cases'!M922,"")</f>
        <v/>
      </c>
    </row>
    <row r="923" spans="1:13" x14ac:dyDescent="0.35">
      <c r="A923" s="4" t="str">
        <f>IF('All Cases - Enter Cases'!$F923="Punjab",'All Cases - Enter Cases'!A923,"")</f>
        <v/>
      </c>
      <c r="B923" t="str">
        <f>IF($A923&lt;&gt;"",'All Cases - Enter Cases'!B923,"")</f>
        <v/>
      </c>
      <c r="C923" t="str">
        <f>IF($A923&lt;&gt;"",'All Cases - Enter Cases'!C923,"")</f>
        <v/>
      </c>
      <c r="D923" t="str">
        <f>IF($A923&lt;&gt;"",'All Cases - Enter Cases'!D923,"")</f>
        <v/>
      </c>
      <c r="E923" t="str">
        <f>IF($A923&lt;&gt;"",'All Cases - Enter Cases'!E923,"")</f>
        <v/>
      </c>
      <c r="F923" t="str">
        <f>IF($A923&lt;&gt;"",'All Cases - Enter Cases'!F923,"")</f>
        <v/>
      </c>
      <c r="G923" t="str">
        <f>IF($A923&lt;&gt;"",'All Cases - Enter Cases'!G923,"")</f>
        <v/>
      </c>
      <c r="H923" t="str">
        <f>IF($A923&lt;&gt;"",'All Cases - Enter Cases'!H923,"")</f>
        <v/>
      </c>
      <c r="I923" t="str">
        <f>IF($A923&lt;&gt;"",'All Cases - Enter Cases'!I923,"")</f>
        <v/>
      </c>
      <c r="J923" s="4" t="str">
        <f>IF($A923&lt;&gt;"",'All Cases - Enter Cases'!J923,"")</f>
        <v/>
      </c>
      <c r="K923" s="4" t="str">
        <f>IF($A923&lt;&gt;"",'All Cases - Enter Cases'!K923,"")</f>
        <v/>
      </c>
      <c r="L923" s="4" t="str">
        <f>IF($A923&lt;&gt;"",'All Cases - Enter Cases'!L923,"")</f>
        <v/>
      </c>
      <c r="M923" t="str">
        <f>IF($A923&lt;&gt;"",'All Cases - Enter Cases'!M923,"")</f>
        <v/>
      </c>
    </row>
    <row r="924" spans="1:13" x14ac:dyDescent="0.35">
      <c r="A924" s="4" t="str">
        <f>IF('All Cases - Enter Cases'!$F924="Punjab",'All Cases - Enter Cases'!A924,"")</f>
        <v/>
      </c>
      <c r="B924" t="str">
        <f>IF($A924&lt;&gt;"",'All Cases - Enter Cases'!B924,"")</f>
        <v/>
      </c>
      <c r="C924" t="str">
        <f>IF($A924&lt;&gt;"",'All Cases - Enter Cases'!C924,"")</f>
        <v/>
      </c>
      <c r="D924" t="str">
        <f>IF($A924&lt;&gt;"",'All Cases - Enter Cases'!D924,"")</f>
        <v/>
      </c>
      <c r="E924" t="str">
        <f>IF($A924&lt;&gt;"",'All Cases - Enter Cases'!E924,"")</f>
        <v/>
      </c>
      <c r="F924" t="str">
        <f>IF($A924&lt;&gt;"",'All Cases - Enter Cases'!F924,"")</f>
        <v/>
      </c>
      <c r="G924" t="str">
        <f>IF($A924&lt;&gt;"",'All Cases - Enter Cases'!G924,"")</f>
        <v/>
      </c>
      <c r="H924" t="str">
        <f>IF($A924&lt;&gt;"",'All Cases - Enter Cases'!H924,"")</f>
        <v/>
      </c>
      <c r="I924" t="str">
        <f>IF($A924&lt;&gt;"",'All Cases - Enter Cases'!I924,"")</f>
        <v/>
      </c>
      <c r="J924" s="4" t="str">
        <f>IF($A924&lt;&gt;"",'All Cases - Enter Cases'!J924,"")</f>
        <v/>
      </c>
      <c r="K924" s="4" t="str">
        <f>IF($A924&lt;&gt;"",'All Cases - Enter Cases'!K924,"")</f>
        <v/>
      </c>
      <c r="L924" s="4" t="str">
        <f>IF($A924&lt;&gt;"",'All Cases - Enter Cases'!L924,"")</f>
        <v/>
      </c>
      <c r="M924" t="str">
        <f>IF($A924&lt;&gt;"",'All Cases - Enter Cases'!M924,"")</f>
        <v/>
      </c>
    </row>
    <row r="925" spans="1:13" x14ac:dyDescent="0.35">
      <c r="A925" s="4" t="str">
        <f>IF('All Cases - Enter Cases'!$F925="Punjab",'All Cases - Enter Cases'!A925,"")</f>
        <v/>
      </c>
      <c r="B925" t="str">
        <f>IF($A925&lt;&gt;"",'All Cases - Enter Cases'!B925,"")</f>
        <v/>
      </c>
      <c r="C925" t="str">
        <f>IF($A925&lt;&gt;"",'All Cases - Enter Cases'!C925,"")</f>
        <v/>
      </c>
      <c r="D925" t="str">
        <f>IF($A925&lt;&gt;"",'All Cases - Enter Cases'!D925,"")</f>
        <v/>
      </c>
      <c r="E925" t="str">
        <f>IF($A925&lt;&gt;"",'All Cases - Enter Cases'!E925,"")</f>
        <v/>
      </c>
      <c r="F925" t="str">
        <f>IF($A925&lt;&gt;"",'All Cases - Enter Cases'!F925,"")</f>
        <v/>
      </c>
      <c r="G925" t="str">
        <f>IF($A925&lt;&gt;"",'All Cases - Enter Cases'!G925,"")</f>
        <v/>
      </c>
      <c r="H925" t="str">
        <f>IF($A925&lt;&gt;"",'All Cases - Enter Cases'!H925,"")</f>
        <v/>
      </c>
      <c r="I925" t="str">
        <f>IF($A925&lt;&gt;"",'All Cases - Enter Cases'!I925,"")</f>
        <v/>
      </c>
      <c r="J925" s="4" t="str">
        <f>IF($A925&lt;&gt;"",'All Cases - Enter Cases'!J925,"")</f>
        <v/>
      </c>
      <c r="K925" s="4" t="str">
        <f>IF($A925&lt;&gt;"",'All Cases - Enter Cases'!K925,"")</f>
        <v/>
      </c>
      <c r="L925" s="4" t="str">
        <f>IF($A925&lt;&gt;"",'All Cases - Enter Cases'!L925,"")</f>
        <v/>
      </c>
      <c r="M925" t="str">
        <f>IF($A925&lt;&gt;"",'All Cases - Enter Cases'!M925,"")</f>
        <v/>
      </c>
    </row>
    <row r="926" spans="1:13" x14ac:dyDescent="0.35">
      <c r="A926" s="4" t="str">
        <f>IF('All Cases - Enter Cases'!$F926="Punjab",'All Cases - Enter Cases'!A926,"")</f>
        <v/>
      </c>
      <c r="B926" t="str">
        <f>IF($A926&lt;&gt;"",'All Cases - Enter Cases'!B926,"")</f>
        <v/>
      </c>
      <c r="C926" t="str">
        <f>IF($A926&lt;&gt;"",'All Cases - Enter Cases'!C926,"")</f>
        <v/>
      </c>
      <c r="D926" t="str">
        <f>IF($A926&lt;&gt;"",'All Cases - Enter Cases'!D926,"")</f>
        <v/>
      </c>
      <c r="E926" t="str">
        <f>IF($A926&lt;&gt;"",'All Cases - Enter Cases'!E926,"")</f>
        <v/>
      </c>
      <c r="F926" t="str">
        <f>IF($A926&lt;&gt;"",'All Cases - Enter Cases'!F926,"")</f>
        <v/>
      </c>
      <c r="G926" t="str">
        <f>IF($A926&lt;&gt;"",'All Cases - Enter Cases'!G926,"")</f>
        <v/>
      </c>
      <c r="H926" t="str">
        <f>IF($A926&lt;&gt;"",'All Cases - Enter Cases'!H926,"")</f>
        <v/>
      </c>
      <c r="I926" t="str">
        <f>IF($A926&lt;&gt;"",'All Cases - Enter Cases'!I926,"")</f>
        <v/>
      </c>
      <c r="J926" s="4" t="str">
        <f>IF($A926&lt;&gt;"",'All Cases - Enter Cases'!J926,"")</f>
        <v/>
      </c>
      <c r="K926" s="4" t="str">
        <f>IF($A926&lt;&gt;"",'All Cases - Enter Cases'!K926,"")</f>
        <v/>
      </c>
      <c r="L926" s="4" t="str">
        <f>IF($A926&lt;&gt;"",'All Cases - Enter Cases'!L926,"")</f>
        <v/>
      </c>
      <c r="M926" t="str">
        <f>IF($A926&lt;&gt;"",'All Cases - Enter Cases'!M926,"")</f>
        <v/>
      </c>
    </row>
    <row r="927" spans="1:13" x14ac:dyDescent="0.35">
      <c r="A927" s="4" t="str">
        <f>IF('All Cases - Enter Cases'!$F927="Punjab",'All Cases - Enter Cases'!A927,"")</f>
        <v/>
      </c>
      <c r="B927" t="str">
        <f>IF($A927&lt;&gt;"",'All Cases - Enter Cases'!B927,"")</f>
        <v/>
      </c>
      <c r="C927" t="str">
        <f>IF($A927&lt;&gt;"",'All Cases - Enter Cases'!C927,"")</f>
        <v/>
      </c>
      <c r="D927" t="str">
        <f>IF($A927&lt;&gt;"",'All Cases - Enter Cases'!D927,"")</f>
        <v/>
      </c>
      <c r="E927" t="str">
        <f>IF($A927&lt;&gt;"",'All Cases - Enter Cases'!E927,"")</f>
        <v/>
      </c>
      <c r="F927" t="str">
        <f>IF($A927&lt;&gt;"",'All Cases - Enter Cases'!F927,"")</f>
        <v/>
      </c>
      <c r="G927" t="str">
        <f>IF($A927&lt;&gt;"",'All Cases - Enter Cases'!G927,"")</f>
        <v/>
      </c>
      <c r="H927" t="str">
        <f>IF($A927&lt;&gt;"",'All Cases - Enter Cases'!H927,"")</f>
        <v/>
      </c>
      <c r="I927" t="str">
        <f>IF($A927&lt;&gt;"",'All Cases - Enter Cases'!I927,"")</f>
        <v/>
      </c>
      <c r="J927" s="4" t="str">
        <f>IF($A927&lt;&gt;"",'All Cases - Enter Cases'!J927,"")</f>
        <v/>
      </c>
      <c r="K927" s="4" t="str">
        <f>IF($A927&lt;&gt;"",'All Cases - Enter Cases'!K927,"")</f>
        <v/>
      </c>
      <c r="L927" s="4" t="str">
        <f>IF($A927&lt;&gt;"",'All Cases - Enter Cases'!L927,"")</f>
        <v/>
      </c>
      <c r="M927" t="str">
        <f>IF($A927&lt;&gt;"",'All Cases - Enter Cases'!M927,"")</f>
        <v/>
      </c>
    </row>
    <row r="928" spans="1:13" x14ac:dyDescent="0.35">
      <c r="A928" s="4" t="str">
        <f>IF('All Cases - Enter Cases'!$F928="Punjab",'All Cases - Enter Cases'!A928,"")</f>
        <v/>
      </c>
      <c r="B928" t="str">
        <f>IF($A928&lt;&gt;"",'All Cases - Enter Cases'!B928,"")</f>
        <v/>
      </c>
      <c r="C928" t="str">
        <f>IF($A928&lt;&gt;"",'All Cases - Enter Cases'!C928,"")</f>
        <v/>
      </c>
      <c r="D928" t="str">
        <f>IF($A928&lt;&gt;"",'All Cases - Enter Cases'!D928,"")</f>
        <v/>
      </c>
      <c r="E928" t="str">
        <f>IF($A928&lt;&gt;"",'All Cases - Enter Cases'!E928,"")</f>
        <v/>
      </c>
      <c r="F928" t="str">
        <f>IF($A928&lt;&gt;"",'All Cases - Enter Cases'!F928,"")</f>
        <v/>
      </c>
      <c r="G928" t="str">
        <f>IF($A928&lt;&gt;"",'All Cases - Enter Cases'!G928,"")</f>
        <v/>
      </c>
      <c r="H928" t="str">
        <f>IF($A928&lt;&gt;"",'All Cases - Enter Cases'!H928,"")</f>
        <v/>
      </c>
      <c r="I928" t="str">
        <f>IF($A928&lt;&gt;"",'All Cases - Enter Cases'!I928,"")</f>
        <v/>
      </c>
      <c r="J928" s="4" t="str">
        <f>IF($A928&lt;&gt;"",'All Cases - Enter Cases'!J928,"")</f>
        <v/>
      </c>
      <c r="K928" s="4" t="str">
        <f>IF($A928&lt;&gt;"",'All Cases - Enter Cases'!K928,"")</f>
        <v/>
      </c>
      <c r="L928" s="4" t="str">
        <f>IF($A928&lt;&gt;"",'All Cases - Enter Cases'!L928,"")</f>
        <v/>
      </c>
      <c r="M928" t="str">
        <f>IF($A928&lt;&gt;"",'All Cases - Enter Cases'!M928,"")</f>
        <v/>
      </c>
    </row>
    <row r="929" spans="1:13" x14ac:dyDescent="0.35">
      <c r="A929" s="4" t="str">
        <f>IF('All Cases - Enter Cases'!$F929="Punjab",'All Cases - Enter Cases'!A929,"")</f>
        <v/>
      </c>
      <c r="B929" t="str">
        <f>IF($A929&lt;&gt;"",'All Cases - Enter Cases'!B929,"")</f>
        <v/>
      </c>
      <c r="C929" t="str">
        <f>IF($A929&lt;&gt;"",'All Cases - Enter Cases'!C929,"")</f>
        <v/>
      </c>
      <c r="D929" t="str">
        <f>IF($A929&lt;&gt;"",'All Cases - Enter Cases'!D929,"")</f>
        <v/>
      </c>
      <c r="E929" t="str">
        <f>IF($A929&lt;&gt;"",'All Cases - Enter Cases'!E929,"")</f>
        <v/>
      </c>
      <c r="F929" t="str">
        <f>IF($A929&lt;&gt;"",'All Cases - Enter Cases'!F929,"")</f>
        <v/>
      </c>
      <c r="G929" t="str">
        <f>IF($A929&lt;&gt;"",'All Cases - Enter Cases'!G929,"")</f>
        <v/>
      </c>
      <c r="H929" t="str">
        <f>IF($A929&lt;&gt;"",'All Cases - Enter Cases'!H929,"")</f>
        <v/>
      </c>
      <c r="I929" t="str">
        <f>IF($A929&lt;&gt;"",'All Cases - Enter Cases'!I929,"")</f>
        <v/>
      </c>
      <c r="J929" s="4" t="str">
        <f>IF($A929&lt;&gt;"",'All Cases - Enter Cases'!J929,"")</f>
        <v/>
      </c>
      <c r="K929" s="4" t="str">
        <f>IF($A929&lt;&gt;"",'All Cases - Enter Cases'!K929,"")</f>
        <v/>
      </c>
      <c r="L929" s="4" t="str">
        <f>IF($A929&lt;&gt;"",'All Cases - Enter Cases'!L929,"")</f>
        <v/>
      </c>
      <c r="M929" t="str">
        <f>IF($A929&lt;&gt;"",'All Cases - Enter Cases'!M929,"")</f>
        <v/>
      </c>
    </row>
    <row r="930" spans="1:13" x14ac:dyDescent="0.35">
      <c r="A930" s="4" t="str">
        <f>IF('All Cases - Enter Cases'!$F930="Punjab",'All Cases - Enter Cases'!A930,"")</f>
        <v/>
      </c>
      <c r="B930" t="str">
        <f>IF($A930&lt;&gt;"",'All Cases - Enter Cases'!B930,"")</f>
        <v/>
      </c>
      <c r="C930" t="str">
        <f>IF($A930&lt;&gt;"",'All Cases - Enter Cases'!C930,"")</f>
        <v/>
      </c>
      <c r="D930" t="str">
        <f>IF($A930&lt;&gt;"",'All Cases - Enter Cases'!D930,"")</f>
        <v/>
      </c>
      <c r="E930" t="str">
        <f>IF($A930&lt;&gt;"",'All Cases - Enter Cases'!E930,"")</f>
        <v/>
      </c>
      <c r="F930" t="str">
        <f>IF($A930&lt;&gt;"",'All Cases - Enter Cases'!F930,"")</f>
        <v/>
      </c>
      <c r="G930" t="str">
        <f>IF($A930&lt;&gt;"",'All Cases - Enter Cases'!G930,"")</f>
        <v/>
      </c>
      <c r="H930" t="str">
        <f>IF($A930&lt;&gt;"",'All Cases - Enter Cases'!H930,"")</f>
        <v/>
      </c>
      <c r="I930" t="str">
        <f>IF($A930&lt;&gt;"",'All Cases - Enter Cases'!I930,"")</f>
        <v/>
      </c>
      <c r="J930" s="4" t="str">
        <f>IF($A930&lt;&gt;"",'All Cases - Enter Cases'!J930,"")</f>
        <v/>
      </c>
      <c r="K930" s="4" t="str">
        <f>IF($A930&lt;&gt;"",'All Cases - Enter Cases'!K930,"")</f>
        <v/>
      </c>
      <c r="L930" s="4" t="str">
        <f>IF($A930&lt;&gt;"",'All Cases - Enter Cases'!L930,"")</f>
        <v/>
      </c>
      <c r="M930" t="str">
        <f>IF($A930&lt;&gt;"",'All Cases - Enter Cases'!M930,"")</f>
        <v/>
      </c>
    </row>
    <row r="931" spans="1:13" x14ac:dyDescent="0.35">
      <c r="A931" s="4" t="str">
        <f>IF('All Cases - Enter Cases'!$F931="Punjab",'All Cases - Enter Cases'!A931,"")</f>
        <v/>
      </c>
      <c r="B931" t="str">
        <f>IF($A931&lt;&gt;"",'All Cases - Enter Cases'!B931,"")</f>
        <v/>
      </c>
      <c r="C931" t="str">
        <f>IF($A931&lt;&gt;"",'All Cases - Enter Cases'!C931,"")</f>
        <v/>
      </c>
      <c r="D931" t="str">
        <f>IF($A931&lt;&gt;"",'All Cases - Enter Cases'!D931,"")</f>
        <v/>
      </c>
      <c r="E931" t="str">
        <f>IF($A931&lt;&gt;"",'All Cases - Enter Cases'!E931,"")</f>
        <v/>
      </c>
      <c r="F931" t="str">
        <f>IF($A931&lt;&gt;"",'All Cases - Enter Cases'!F931,"")</f>
        <v/>
      </c>
      <c r="G931" t="str">
        <f>IF($A931&lt;&gt;"",'All Cases - Enter Cases'!G931,"")</f>
        <v/>
      </c>
      <c r="H931" t="str">
        <f>IF($A931&lt;&gt;"",'All Cases - Enter Cases'!H931,"")</f>
        <v/>
      </c>
      <c r="I931" t="str">
        <f>IF($A931&lt;&gt;"",'All Cases - Enter Cases'!I931,"")</f>
        <v/>
      </c>
      <c r="J931" s="4" t="str">
        <f>IF($A931&lt;&gt;"",'All Cases - Enter Cases'!J931,"")</f>
        <v/>
      </c>
      <c r="K931" s="4" t="str">
        <f>IF($A931&lt;&gt;"",'All Cases - Enter Cases'!K931,"")</f>
        <v/>
      </c>
      <c r="L931" s="4" t="str">
        <f>IF($A931&lt;&gt;"",'All Cases - Enter Cases'!L931,"")</f>
        <v/>
      </c>
      <c r="M931" t="str">
        <f>IF($A931&lt;&gt;"",'All Cases - Enter Cases'!M931,"")</f>
        <v/>
      </c>
    </row>
    <row r="932" spans="1:13" x14ac:dyDescent="0.35">
      <c r="A932" s="4" t="str">
        <f>IF('All Cases - Enter Cases'!$F932="Punjab",'All Cases - Enter Cases'!A932,"")</f>
        <v/>
      </c>
      <c r="B932" t="str">
        <f>IF($A932&lt;&gt;"",'All Cases - Enter Cases'!B932,"")</f>
        <v/>
      </c>
      <c r="C932" t="str">
        <f>IF($A932&lt;&gt;"",'All Cases - Enter Cases'!C932,"")</f>
        <v/>
      </c>
      <c r="D932" t="str">
        <f>IF($A932&lt;&gt;"",'All Cases - Enter Cases'!D932,"")</f>
        <v/>
      </c>
      <c r="E932" t="str">
        <f>IF($A932&lt;&gt;"",'All Cases - Enter Cases'!E932,"")</f>
        <v/>
      </c>
      <c r="F932" t="str">
        <f>IF($A932&lt;&gt;"",'All Cases - Enter Cases'!F932,"")</f>
        <v/>
      </c>
      <c r="G932" t="str">
        <f>IF($A932&lt;&gt;"",'All Cases - Enter Cases'!G932,"")</f>
        <v/>
      </c>
      <c r="H932" t="str">
        <f>IF($A932&lt;&gt;"",'All Cases - Enter Cases'!H932,"")</f>
        <v/>
      </c>
      <c r="I932" t="str">
        <f>IF($A932&lt;&gt;"",'All Cases - Enter Cases'!I932,"")</f>
        <v/>
      </c>
      <c r="J932" s="4" t="str">
        <f>IF($A932&lt;&gt;"",'All Cases - Enter Cases'!J932,"")</f>
        <v/>
      </c>
      <c r="K932" s="4" t="str">
        <f>IF($A932&lt;&gt;"",'All Cases - Enter Cases'!K932,"")</f>
        <v/>
      </c>
      <c r="L932" s="4" t="str">
        <f>IF($A932&lt;&gt;"",'All Cases - Enter Cases'!L932,"")</f>
        <v/>
      </c>
      <c r="M932" t="str">
        <f>IF($A932&lt;&gt;"",'All Cases - Enter Cases'!M932,"")</f>
        <v/>
      </c>
    </row>
    <row r="933" spans="1:13" x14ac:dyDescent="0.35">
      <c r="A933" s="4" t="str">
        <f>IF('All Cases - Enter Cases'!$F933="Punjab",'All Cases - Enter Cases'!A933,"")</f>
        <v/>
      </c>
      <c r="B933" t="str">
        <f>IF($A933&lt;&gt;"",'All Cases - Enter Cases'!B933,"")</f>
        <v/>
      </c>
      <c r="C933" t="str">
        <f>IF($A933&lt;&gt;"",'All Cases - Enter Cases'!C933,"")</f>
        <v/>
      </c>
      <c r="D933" t="str">
        <f>IF($A933&lt;&gt;"",'All Cases - Enter Cases'!D933,"")</f>
        <v/>
      </c>
      <c r="E933" t="str">
        <f>IF($A933&lt;&gt;"",'All Cases - Enter Cases'!E933,"")</f>
        <v/>
      </c>
      <c r="F933" t="str">
        <f>IF($A933&lt;&gt;"",'All Cases - Enter Cases'!F933,"")</f>
        <v/>
      </c>
      <c r="G933" t="str">
        <f>IF($A933&lt;&gt;"",'All Cases - Enter Cases'!G933,"")</f>
        <v/>
      </c>
      <c r="H933" t="str">
        <f>IF($A933&lt;&gt;"",'All Cases - Enter Cases'!H933,"")</f>
        <v/>
      </c>
      <c r="I933" t="str">
        <f>IF($A933&lt;&gt;"",'All Cases - Enter Cases'!I933,"")</f>
        <v/>
      </c>
      <c r="J933" s="4" t="str">
        <f>IF($A933&lt;&gt;"",'All Cases - Enter Cases'!J933,"")</f>
        <v/>
      </c>
      <c r="K933" s="4" t="str">
        <f>IF($A933&lt;&gt;"",'All Cases - Enter Cases'!K933,"")</f>
        <v/>
      </c>
      <c r="L933" s="4" t="str">
        <f>IF($A933&lt;&gt;"",'All Cases - Enter Cases'!L933,"")</f>
        <v/>
      </c>
      <c r="M933" t="str">
        <f>IF($A933&lt;&gt;"",'All Cases - Enter Cases'!M933,"")</f>
        <v/>
      </c>
    </row>
    <row r="934" spans="1:13" x14ac:dyDescent="0.35">
      <c r="A934" s="4" t="str">
        <f>IF('All Cases - Enter Cases'!$F934="Punjab",'All Cases - Enter Cases'!A934,"")</f>
        <v/>
      </c>
      <c r="B934" t="str">
        <f>IF($A934&lt;&gt;"",'All Cases - Enter Cases'!B934,"")</f>
        <v/>
      </c>
      <c r="C934" t="str">
        <f>IF($A934&lt;&gt;"",'All Cases - Enter Cases'!C934,"")</f>
        <v/>
      </c>
      <c r="D934" t="str">
        <f>IF($A934&lt;&gt;"",'All Cases - Enter Cases'!D934,"")</f>
        <v/>
      </c>
      <c r="E934" t="str">
        <f>IF($A934&lt;&gt;"",'All Cases - Enter Cases'!E934,"")</f>
        <v/>
      </c>
      <c r="F934" t="str">
        <f>IF($A934&lt;&gt;"",'All Cases - Enter Cases'!F934,"")</f>
        <v/>
      </c>
      <c r="G934" t="str">
        <f>IF($A934&lt;&gt;"",'All Cases - Enter Cases'!G934,"")</f>
        <v/>
      </c>
      <c r="H934" t="str">
        <f>IF($A934&lt;&gt;"",'All Cases - Enter Cases'!H934,"")</f>
        <v/>
      </c>
      <c r="I934" t="str">
        <f>IF($A934&lt;&gt;"",'All Cases - Enter Cases'!I934,"")</f>
        <v/>
      </c>
      <c r="J934" s="4" t="str">
        <f>IF($A934&lt;&gt;"",'All Cases - Enter Cases'!J934,"")</f>
        <v/>
      </c>
      <c r="K934" s="4" t="str">
        <f>IF($A934&lt;&gt;"",'All Cases - Enter Cases'!K934,"")</f>
        <v/>
      </c>
      <c r="L934" s="4" t="str">
        <f>IF($A934&lt;&gt;"",'All Cases - Enter Cases'!L934,"")</f>
        <v/>
      </c>
      <c r="M934" t="str">
        <f>IF($A934&lt;&gt;"",'All Cases - Enter Cases'!M934,"")</f>
        <v/>
      </c>
    </row>
    <row r="935" spans="1:13" x14ac:dyDescent="0.35">
      <c r="A935" s="4" t="str">
        <f>IF('All Cases - Enter Cases'!$F935="Punjab",'All Cases - Enter Cases'!A935,"")</f>
        <v/>
      </c>
      <c r="B935" t="str">
        <f>IF($A935&lt;&gt;"",'All Cases - Enter Cases'!B935,"")</f>
        <v/>
      </c>
      <c r="C935" t="str">
        <f>IF($A935&lt;&gt;"",'All Cases - Enter Cases'!C935,"")</f>
        <v/>
      </c>
      <c r="D935" t="str">
        <f>IF($A935&lt;&gt;"",'All Cases - Enter Cases'!D935,"")</f>
        <v/>
      </c>
      <c r="E935" t="str">
        <f>IF($A935&lt;&gt;"",'All Cases - Enter Cases'!E935,"")</f>
        <v/>
      </c>
      <c r="F935" t="str">
        <f>IF($A935&lt;&gt;"",'All Cases - Enter Cases'!F935,"")</f>
        <v/>
      </c>
      <c r="G935" t="str">
        <f>IF($A935&lt;&gt;"",'All Cases - Enter Cases'!G935,"")</f>
        <v/>
      </c>
      <c r="H935" t="str">
        <f>IF($A935&lt;&gt;"",'All Cases - Enter Cases'!H935,"")</f>
        <v/>
      </c>
      <c r="I935" t="str">
        <f>IF($A935&lt;&gt;"",'All Cases - Enter Cases'!I935,"")</f>
        <v/>
      </c>
      <c r="J935" s="4" t="str">
        <f>IF($A935&lt;&gt;"",'All Cases - Enter Cases'!J935,"")</f>
        <v/>
      </c>
      <c r="K935" s="4" t="str">
        <f>IF($A935&lt;&gt;"",'All Cases - Enter Cases'!K935,"")</f>
        <v/>
      </c>
      <c r="L935" s="4" t="str">
        <f>IF($A935&lt;&gt;"",'All Cases - Enter Cases'!L935,"")</f>
        <v/>
      </c>
      <c r="M935" t="str">
        <f>IF($A935&lt;&gt;"",'All Cases - Enter Cases'!M935,"")</f>
        <v/>
      </c>
    </row>
    <row r="936" spans="1:13" x14ac:dyDescent="0.35">
      <c r="A936" s="4" t="str">
        <f>IF('All Cases - Enter Cases'!$F936="Punjab",'All Cases - Enter Cases'!A936,"")</f>
        <v/>
      </c>
      <c r="B936" t="str">
        <f>IF($A936&lt;&gt;"",'All Cases - Enter Cases'!B936,"")</f>
        <v/>
      </c>
      <c r="C936" t="str">
        <f>IF($A936&lt;&gt;"",'All Cases - Enter Cases'!C936,"")</f>
        <v/>
      </c>
      <c r="D936" t="str">
        <f>IF($A936&lt;&gt;"",'All Cases - Enter Cases'!D936,"")</f>
        <v/>
      </c>
      <c r="E936" t="str">
        <f>IF($A936&lt;&gt;"",'All Cases - Enter Cases'!E936,"")</f>
        <v/>
      </c>
      <c r="F936" t="str">
        <f>IF($A936&lt;&gt;"",'All Cases - Enter Cases'!F936,"")</f>
        <v/>
      </c>
      <c r="G936" t="str">
        <f>IF($A936&lt;&gt;"",'All Cases - Enter Cases'!G936,"")</f>
        <v/>
      </c>
      <c r="H936" t="str">
        <f>IF($A936&lt;&gt;"",'All Cases - Enter Cases'!H936,"")</f>
        <v/>
      </c>
      <c r="I936" t="str">
        <f>IF($A936&lt;&gt;"",'All Cases - Enter Cases'!I936,"")</f>
        <v/>
      </c>
      <c r="J936" s="4" t="str">
        <f>IF($A936&lt;&gt;"",'All Cases - Enter Cases'!J936,"")</f>
        <v/>
      </c>
      <c r="K936" s="4" t="str">
        <f>IF($A936&lt;&gt;"",'All Cases - Enter Cases'!K936,"")</f>
        <v/>
      </c>
      <c r="L936" s="4" t="str">
        <f>IF($A936&lt;&gt;"",'All Cases - Enter Cases'!L936,"")</f>
        <v/>
      </c>
      <c r="M936" t="str">
        <f>IF($A936&lt;&gt;"",'All Cases - Enter Cases'!M936,"")</f>
        <v/>
      </c>
    </row>
    <row r="937" spans="1:13" x14ac:dyDescent="0.35">
      <c r="A937" s="4" t="str">
        <f>IF('All Cases - Enter Cases'!$F937="Punjab",'All Cases - Enter Cases'!A937,"")</f>
        <v/>
      </c>
      <c r="B937" t="str">
        <f>IF($A937&lt;&gt;"",'All Cases - Enter Cases'!B937,"")</f>
        <v/>
      </c>
      <c r="C937" t="str">
        <f>IF($A937&lt;&gt;"",'All Cases - Enter Cases'!C937,"")</f>
        <v/>
      </c>
      <c r="D937" t="str">
        <f>IF($A937&lt;&gt;"",'All Cases - Enter Cases'!D937,"")</f>
        <v/>
      </c>
      <c r="E937" t="str">
        <f>IF($A937&lt;&gt;"",'All Cases - Enter Cases'!E937,"")</f>
        <v/>
      </c>
      <c r="F937" t="str">
        <f>IF($A937&lt;&gt;"",'All Cases - Enter Cases'!F937,"")</f>
        <v/>
      </c>
      <c r="G937" t="str">
        <f>IF($A937&lt;&gt;"",'All Cases - Enter Cases'!G937,"")</f>
        <v/>
      </c>
      <c r="H937" t="str">
        <f>IF($A937&lt;&gt;"",'All Cases - Enter Cases'!H937,"")</f>
        <v/>
      </c>
      <c r="I937" t="str">
        <f>IF($A937&lt;&gt;"",'All Cases - Enter Cases'!I937,"")</f>
        <v/>
      </c>
      <c r="J937" s="4" t="str">
        <f>IF($A937&lt;&gt;"",'All Cases - Enter Cases'!J937,"")</f>
        <v/>
      </c>
      <c r="K937" s="4" t="str">
        <f>IF($A937&lt;&gt;"",'All Cases - Enter Cases'!K937,"")</f>
        <v/>
      </c>
      <c r="L937" s="4" t="str">
        <f>IF($A937&lt;&gt;"",'All Cases - Enter Cases'!L937,"")</f>
        <v/>
      </c>
      <c r="M937" t="str">
        <f>IF($A937&lt;&gt;"",'All Cases - Enter Cases'!M937,"")</f>
        <v/>
      </c>
    </row>
    <row r="938" spans="1:13" x14ac:dyDescent="0.35">
      <c r="A938" s="4" t="str">
        <f>IF('All Cases - Enter Cases'!$F938="Punjab",'All Cases - Enter Cases'!A938,"")</f>
        <v/>
      </c>
      <c r="B938" t="str">
        <f>IF($A938&lt;&gt;"",'All Cases - Enter Cases'!B938,"")</f>
        <v/>
      </c>
      <c r="C938" t="str">
        <f>IF($A938&lt;&gt;"",'All Cases - Enter Cases'!C938,"")</f>
        <v/>
      </c>
      <c r="D938" t="str">
        <f>IF($A938&lt;&gt;"",'All Cases - Enter Cases'!D938,"")</f>
        <v/>
      </c>
      <c r="E938" t="str">
        <f>IF($A938&lt;&gt;"",'All Cases - Enter Cases'!E938,"")</f>
        <v/>
      </c>
      <c r="F938" t="str">
        <f>IF($A938&lt;&gt;"",'All Cases - Enter Cases'!F938,"")</f>
        <v/>
      </c>
      <c r="G938" t="str">
        <f>IF($A938&lt;&gt;"",'All Cases - Enter Cases'!G938,"")</f>
        <v/>
      </c>
      <c r="H938" t="str">
        <f>IF($A938&lt;&gt;"",'All Cases - Enter Cases'!H938,"")</f>
        <v/>
      </c>
      <c r="I938" t="str">
        <f>IF($A938&lt;&gt;"",'All Cases - Enter Cases'!I938,"")</f>
        <v/>
      </c>
      <c r="J938" s="4" t="str">
        <f>IF($A938&lt;&gt;"",'All Cases - Enter Cases'!J938,"")</f>
        <v/>
      </c>
      <c r="K938" s="4" t="str">
        <f>IF($A938&lt;&gt;"",'All Cases - Enter Cases'!K938,"")</f>
        <v/>
      </c>
      <c r="L938" s="4" t="str">
        <f>IF($A938&lt;&gt;"",'All Cases - Enter Cases'!L938,"")</f>
        <v/>
      </c>
      <c r="M938" t="str">
        <f>IF($A938&lt;&gt;"",'All Cases - Enter Cases'!M938,"")</f>
        <v/>
      </c>
    </row>
    <row r="939" spans="1:13" x14ac:dyDescent="0.35">
      <c r="A939" s="4" t="str">
        <f>IF('All Cases - Enter Cases'!$F939="Punjab",'All Cases - Enter Cases'!A939,"")</f>
        <v/>
      </c>
      <c r="B939" t="str">
        <f>IF($A939&lt;&gt;"",'All Cases - Enter Cases'!B939,"")</f>
        <v/>
      </c>
      <c r="C939" t="str">
        <f>IF($A939&lt;&gt;"",'All Cases - Enter Cases'!C939,"")</f>
        <v/>
      </c>
      <c r="D939" t="str">
        <f>IF($A939&lt;&gt;"",'All Cases - Enter Cases'!D939,"")</f>
        <v/>
      </c>
      <c r="E939" t="str">
        <f>IF($A939&lt;&gt;"",'All Cases - Enter Cases'!E939,"")</f>
        <v/>
      </c>
      <c r="F939" t="str">
        <f>IF($A939&lt;&gt;"",'All Cases - Enter Cases'!F939,"")</f>
        <v/>
      </c>
      <c r="G939" t="str">
        <f>IF($A939&lt;&gt;"",'All Cases - Enter Cases'!G939,"")</f>
        <v/>
      </c>
      <c r="H939" t="str">
        <f>IF($A939&lt;&gt;"",'All Cases - Enter Cases'!H939,"")</f>
        <v/>
      </c>
      <c r="I939" t="str">
        <f>IF($A939&lt;&gt;"",'All Cases - Enter Cases'!I939,"")</f>
        <v/>
      </c>
      <c r="J939" s="4" t="str">
        <f>IF($A939&lt;&gt;"",'All Cases - Enter Cases'!J939,"")</f>
        <v/>
      </c>
      <c r="K939" s="4" t="str">
        <f>IF($A939&lt;&gt;"",'All Cases - Enter Cases'!K939,"")</f>
        <v/>
      </c>
      <c r="L939" s="4" t="str">
        <f>IF($A939&lt;&gt;"",'All Cases - Enter Cases'!L939,"")</f>
        <v/>
      </c>
      <c r="M939" t="str">
        <f>IF($A939&lt;&gt;"",'All Cases - Enter Cases'!M939,"")</f>
        <v/>
      </c>
    </row>
    <row r="940" spans="1:13" x14ac:dyDescent="0.35">
      <c r="A940" s="4" t="str">
        <f>IF('All Cases - Enter Cases'!$F940="Punjab",'All Cases - Enter Cases'!A940,"")</f>
        <v/>
      </c>
      <c r="B940" t="str">
        <f>IF($A940&lt;&gt;"",'All Cases - Enter Cases'!B940,"")</f>
        <v/>
      </c>
      <c r="C940" t="str">
        <f>IF($A940&lt;&gt;"",'All Cases - Enter Cases'!C940,"")</f>
        <v/>
      </c>
      <c r="D940" t="str">
        <f>IF($A940&lt;&gt;"",'All Cases - Enter Cases'!D940,"")</f>
        <v/>
      </c>
      <c r="E940" t="str">
        <f>IF($A940&lt;&gt;"",'All Cases - Enter Cases'!E940,"")</f>
        <v/>
      </c>
      <c r="F940" t="str">
        <f>IF($A940&lt;&gt;"",'All Cases - Enter Cases'!F940,"")</f>
        <v/>
      </c>
      <c r="G940" t="str">
        <f>IF($A940&lt;&gt;"",'All Cases - Enter Cases'!G940,"")</f>
        <v/>
      </c>
      <c r="H940" t="str">
        <f>IF($A940&lt;&gt;"",'All Cases - Enter Cases'!H940,"")</f>
        <v/>
      </c>
      <c r="I940" t="str">
        <f>IF($A940&lt;&gt;"",'All Cases - Enter Cases'!I940,"")</f>
        <v/>
      </c>
      <c r="J940" s="4" t="str">
        <f>IF($A940&lt;&gt;"",'All Cases - Enter Cases'!J940,"")</f>
        <v/>
      </c>
      <c r="K940" s="4" t="str">
        <f>IF($A940&lt;&gt;"",'All Cases - Enter Cases'!K940,"")</f>
        <v/>
      </c>
      <c r="L940" s="4" t="str">
        <f>IF($A940&lt;&gt;"",'All Cases - Enter Cases'!L940,"")</f>
        <v/>
      </c>
      <c r="M940" t="str">
        <f>IF($A940&lt;&gt;"",'All Cases - Enter Cases'!M940,"")</f>
        <v/>
      </c>
    </row>
    <row r="941" spans="1:13" x14ac:dyDescent="0.35">
      <c r="A941" s="4" t="str">
        <f>IF('All Cases - Enter Cases'!$F941="Punjab",'All Cases - Enter Cases'!A941,"")</f>
        <v/>
      </c>
      <c r="B941" t="str">
        <f>IF($A941&lt;&gt;"",'All Cases - Enter Cases'!B941,"")</f>
        <v/>
      </c>
      <c r="C941" t="str">
        <f>IF($A941&lt;&gt;"",'All Cases - Enter Cases'!C941,"")</f>
        <v/>
      </c>
      <c r="D941" t="str">
        <f>IF($A941&lt;&gt;"",'All Cases - Enter Cases'!D941,"")</f>
        <v/>
      </c>
      <c r="E941" t="str">
        <f>IF($A941&lt;&gt;"",'All Cases - Enter Cases'!E941,"")</f>
        <v/>
      </c>
      <c r="F941" t="str">
        <f>IF($A941&lt;&gt;"",'All Cases - Enter Cases'!F941,"")</f>
        <v/>
      </c>
      <c r="G941" t="str">
        <f>IF($A941&lt;&gt;"",'All Cases - Enter Cases'!G941,"")</f>
        <v/>
      </c>
      <c r="H941" t="str">
        <f>IF($A941&lt;&gt;"",'All Cases - Enter Cases'!H941,"")</f>
        <v/>
      </c>
      <c r="I941" t="str">
        <f>IF($A941&lt;&gt;"",'All Cases - Enter Cases'!I941,"")</f>
        <v/>
      </c>
      <c r="J941" s="4" t="str">
        <f>IF($A941&lt;&gt;"",'All Cases - Enter Cases'!J941,"")</f>
        <v/>
      </c>
      <c r="K941" s="4" t="str">
        <f>IF($A941&lt;&gt;"",'All Cases - Enter Cases'!K941,"")</f>
        <v/>
      </c>
      <c r="L941" s="4" t="str">
        <f>IF($A941&lt;&gt;"",'All Cases - Enter Cases'!L941,"")</f>
        <v/>
      </c>
      <c r="M941" t="str">
        <f>IF($A941&lt;&gt;"",'All Cases - Enter Cases'!M941,"")</f>
        <v/>
      </c>
    </row>
    <row r="942" spans="1:13" x14ac:dyDescent="0.35">
      <c r="A942" s="4" t="str">
        <f>IF('All Cases - Enter Cases'!$F942="Punjab",'All Cases - Enter Cases'!A942,"")</f>
        <v/>
      </c>
      <c r="B942" t="str">
        <f>IF($A942&lt;&gt;"",'All Cases - Enter Cases'!B942,"")</f>
        <v/>
      </c>
      <c r="C942" t="str">
        <f>IF($A942&lt;&gt;"",'All Cases - Enter Cases'!C942,"")</f>
        <v/>
      </c>
      <c r="D942" t="str">
        <f>IF($A942&lt;&gt;"",'All Cases - Enter Cases'!D942,"")</f>
        <v/>
      </c>
      <c r="E942" t="str">
        <f>IF($A942&lt;&gt;"",'All Cases - Enter Cases'!E942,"")</f>
        <v/>
      </c>
      <c r="F942" t="str">
        <f>IF($A942&lt;&gt;"",'All Cases - Enter Cases'!F942,"")</f>
        <v/>
      </c>
      <c r="G942" t="str">
        <f>IF($A942&lt;&gt;"",'All Cases - Enter Cases'!G942,"")</f>
        <v/>
      </c>
      <c r="H942" t="str">
        <f>IF($A942&lt;&gt;"",'All Cases - Enter Cases'!H942,"")</f>
        <v/>
      </c>
      <c r="I942" t="str">
        <f>IF($A942&lt;&gt;"",'All Cases - Enter Cases'!I942,"")</f>
        <v/>
      </c>
      <c r="J942" s="4" t="str">
        <f>IF($A942&lt;&gt;"",'All Cases - Enter Cases'!J942,"")</f>
        <v/>
      </c>
      <c r="K942" s="4" t="str">
        <f>IF($A942&lt;&gt;"",'All Cases - Enter Cases'!K942,"")</f>
        <v/>
      </c>
      <c r="L942" s="4" t="str">
        <f>IF($A942&lt;&gt;"",'All Cases - Enter Cases'!L942,"")</f>
        <v/>
      </c>
      <c r="M942" t="str">
        <f>IF($A942&lt;&gt;"",'All Cases - Enter Cases'!M942,"")</f>
        <v/>
      </c>
    </row>
    <row r="943" spans="1:13" x14ac:dyDescent="0.35">
      <c r="A943" s="4" t="str">
        <f>IF('All Cases - Enter Cases'!$F943="Punjab",'All Cases - Enter Cases'!A943,"")</f>
        <v/>
      </c>
      <c r="B943" t="str">
        <f>IF($A943&lt;&gt;"",'All Cases - Enter Cases'!B943,"")</f>
        <v/>
      </c>
      <c r="C943" t="str">
        <f>IF($A943&lt;&gt;"",'All Cases - Enter Cases'!C943,"")</f>
        <v/>
      </c>
      <c r="D943" t="str">
        <f>IF($A943&lt;&gt;"",'All Cases - Enter Cases'!D943,"")</f>
        <v/>
      </c>
      <c r="E943" t="str">
        <f>IF($A943&lt;&gt;"",'All Cases - Enter Cases'!E943,"")</f>
        <v/>
      </c>
      <c r="F943" t="str">
        <f>IF($A943&lt;&gt;"",'All Cases - Enter Cases'!F943,"")</f>
        <v/>
      </c>
      <c r="G943" t="str">
        <f>IF($A943&lt;&gt;"",'All Cases - Enter Cases'!G943,"")</f>
        <v/>
      </c>
      <c r="H943" t="str">
        <f>IF($A943&lt;&gt;"",'All Cases - Enter Cases'!H943,"")</f>
        <v/>
      </c>
      <c r="I943" t="str">
        <f>IF($A943&lt;&gt;"",'All Cases - Enter Cases'!I943,"")</f>
        <v/>
      </c>
      <c r="J943" s="4" t="str">
        <f>IF($A943&lt;&gt;"",'All Cases - Enter Cases'!J943,"")</f>
        <v/>
      </c>
      <c r="K943" s="4" t="str">
        <f>IF($A943&lt;&gt;"",'All Cases - Enter Cases'!K943,"")</f>
        <v/>
      </c>
      <c r="L943" s="4" t="str">
        <f>IF($A943&lt;&gt;"",'All Cases - Enter Cases'!L943,"")</f>
        <v/>
      </c>
      <c r="M943" t="str">
        <f>IF($A943&lt;&gt;"",'All Cases - Enter Cases'!M943,"")</f>
        <v/>
      </c>
    </row>
    <row r="944" spans="1:13" x14ac:dyDescent="0.35">
      <c r="A944" s="4" t="str">
        <f>IF('All Cases - Enter Cases'!$F944="Punjab",'All Cases - Enter Cases'!A944,"")</f>
        <v/>
      </c>
      <c r="B944" t="str">
        <f>IF($A944&lt;&gt;"",'All Cases - Enter Cases'!B944,"")</f>
        <v/>
      </c>
      <c r="C944" t="str">
        <f>IF($A944&lt;&gt;"",'All Cases - Enter Cases'!C944,"")</f>
        <v/>
      </c>
      <c r="D944" t="str">
        <f>IF($A944&lt;&gt;"",'All Cases - Enter Cases'!D944,"")</f>
        <v/>
      </c>
      <c r="E944" t="str">
        <f>IF($A944&lt;&gt;"",'All Cases - Enter Cases'!E944,"")</f>
        <v/>
      </c>
      <c r="F944" t="str">
        <f>IF($A944&lt;&gt;"",'All Cases - Enter Cases'!F944,"")</f>
        <v/>
      </c>
      <c r="G944" t="str">
        <f>IF($A944&lt;&gt;"",'All Cases - Enter Cases'!G944,"")</f>
        <v/>
      </c>
      <c r="H944" t="str">
        <f>IF($A944&lt;&gt;"",'All Cases - Enter Cases'!H944,"")</f>
        <v/>
      </c>
      <c r="I944" t="str">
        <f>IF($A944&lt;&gt;"",'All Cases - Enter Cases'!I944,"")</f>
        <v/>
      </c>
      <c r="J944" s="4" t="str">
        <f>IF($A944&lt;&gt;"",'All Cases - Enter Cases'!J944,"")</f>
        <v/>
      </c>
      <c r="K944" s="4" t="str">
        <f>IF($A944&lt;&gt;"",'All Cases - Enter Cases'!K944,"")</f>
        <v/>
      </c>
      <c r="L944" s="4" t="str">
        <f>IF($A944&lt;&gt;"",'All Cases - Enter Cases'!L944,"")</f>
        <v/>
      </c>
      <c r="M944" t="str">
        <f>IF($A944&lt;&gt;"",'All Cases - Enter Cases'!M944,"")</f>
        <v/>
      </c>
    </row>
    <row r="945" spans="1:13" x14ac:dyDescent="0.35">
      <c r="A945" s="4" t="str">
        <f>IF('All Cases - Enter Cases'!$F945="Punjab",'All Cases - Enter Cases'!A945,"")</f>
        <v/>
      </c>
      <c r="B945" t="str">
        <f>IF($A945&lt;&gt;"",'All Cases - Enter Cases'!B945,"")</f>
        <v/>
      </c>
      <c r="C945" t="str">
        <f>IF($A945&lt;&gt;"",'All Cases - Enter Cases'!C945,"")</f>
        <v/>
      </c>
      <c r="D945" t="str">
        <f>IF($A945&lt;&gt;"",'All Cases - Enter Cases'!D945,"")</f>
        <v/>
      </c>
      <c r="E945" t="str">
        <f>IF($A945&lt;&gt;"",'All Cases - Enter Cases'!E945,"")</f>
        <v/>
      </c>
      <c r="F945" t="str">
        <f>IF($A945&lt;&gt;"",'All Cases - Enter Cases'!F945,"")</f>
        <v/>
      </c>
      <c r="G945" t="str">
        <f>IF($A945&lt;&gt;"",'All Cases - Enter Cases'!G945,"")</f>
        <v/>
      </c>
      <c r="H945" t="str">
        <f>IF($A945&lt;&gt;"",'All Cases - Enter Cases'!H945,"")</f>
        <v/>
      </c>
      <c r="I945" t="str">
        <f>IF($A945&lt;&gt;"",'All Cases - Enter Cases'!I945,"")</f>
        <v/>
      </c>
      <c r="J945" s="4" t="str">
        <f>IF($A945&lt;&gt;"",'All Cases - Enter Cases'!J945,"")</f>
        <v/>
      </c>
      <c r="K945" s="4" t="str">
        <f>IF($A945&lt;&gt;"",'All Cases - Enter Cases'!K945,"")</f>
        <v/>
      </c>
      <c r="L945" s="4" t="str">
        <f>IF($A945&lt;&gt;"",'All Cases - Enter Cases'!L945,"")</f>
        <v/>
      </c>
      <c r="M945" t="str">
        <f>IF($A945&lt;&gt;"",'All Cases - Enter Cases'!M945,"")</f>
        <v/>
      </c>
    </row>
    <row r="946" spans="1:13" x14ac:dyDescent="0.35">
      <c r="A946" s="4" t="str">
        <f>IF('All Cases - Enter Cases'!$F946="Punjab",'All Cases - Enter Cases'!A946,"")</f>
        <v/>
      </c>
      <c r="B946" t="str">
        <f>IF($A946&lt;&gt;"",'All Cases - Enter Cases'!B946,"")</f>
        <v/>
      </c>
      <c r="C946" t="str">
        <f>IF($A946&lt;&gt;"",'All Cases - Enter Cases'!C946,"")</f>
        <v/>
      </c>
      <c r="D946" t="str">
        <f>IF($A946&lt;&gt;"",'All Cases - Enter Cases'!D946,"")</f>
        <v/>
      </c>
      <c r="E946" t="str">
        <f>IF($A946&lt;&gt;"",'All Cases - Enter Cases'!E946,"")</f>
        <v/>
      </c>
      <c r="F946" t="str">
        <f>IF($A946&lt;&gt;"",'All Cases - Enter Cases'!F946,"")</f>
        <v/>
      </c>
      <c r="G946" t="str">
        <f>IF($A946&lt;&gt;"",'All Cases - Enter Cases'!G946,"")</f>
        <v/>
      </c>
      <c r="H946" t="str">
        <f>IF($A946&lt;&gt;"",'All Cases - Enter Cases'!H946,"")</f>
        <v/>
      </c>
      <c r="I946" t="str">
        <f>IF($A946&lt;&gt;"",'All Cases - Enter Cases'!I946,"")</f>
        <v/>
      </c>
      <c r="J946" s="4" t="str">
        <f>IF($A946&lt;&gt;"",'All Cases - Enter Cases'!J946,"")</f>
        <v/>
      </c>
      <c r="K946" s="4" t="str">
        <f>IF($A946&lt;&gt;"",'All Cases - Enter Cases'!K946,"")</f>
        <v/>
      </c>
      <c r="L946" s="4" t="str">
        <f>IF($A946&lt;&gt;"",'All Cases - Enter Cases'!L946,"")</f>
        <v/>
      </c>
      <c r="M946" t="str">
        <f>IF($A946&lt;&gt;"",'All Cases - Enter Cases'!M946,"")</f>
        <v/>
      </c>
    </row>
    <row r="947" spans="1:13" x14ac:dyDescent="0.35">
      <c r="A947" s="4" t="str">
        <f>IF('All Cases - Enter Cases'!$F947="Punjab",'All Cases - Enter Cases'!A947,"")</f>
        <v/>
      </c>
      <c r="B947" t="str">
        <f>IF($A947&lt;&gt;"",'All Cases - Enter Cases'!B947,"")</f>
        <v/>
      </c>
      <c r="C947" t="str">
        <f>IF($A947&lt;&gt;"",'All Cases - Enter Cases'!C947,"")</f>
        <v/>
      </c>
      <c r="D947" t="str">
        <f>IF($A947&lt;&gt;"",'All Cases - Enter Cases'!D947,"")</f>
        <v/>
      </c>
      <c r="E947" t="str">
        <f>IF($A947&lt;&gt;"",'All Cases - Enter Cases'!E947,"")</f>
        <v/>
      </c>
      <c r="F947" t="str">
        <f>IF($A947&lt;&gt;"",'All Cases - Enter Cases'!F947,"")</f>
        <v/>
      </c>
      <c r="G947" t="str">
        <f>IF($A947&lt;&gt;"",'All Cases - Enter Cases'!G947,"")</f>
        <v/>
      </c>
      <c r="H947" t="str">
        <f>IF($A947&lt;&gt;"",'All Cases - Enter Cases'!H947,"")</f>
        <v/>
      </c>
      <c r="I947" t="str">
        <f>IF($A947&lt;&gt;"",'All Cases - Enter Cases'!I947,"")</f>
        <v/>
      </c>
      <c r="J947" s="4" t="str">
        <f>IF($A947&lt;&gt;"",'All Cases - Enter Cases'!J947,"")</f>
        <v/>
      </c>
      <c r="K947" s="4" t="str">
        <f>IF($A947&lt;&gt;"",'All Cases - Enter Cases'!K947,"")</f>
        <v/>
      </c>
      <c r="L947" s="4" t="str">
        <f>IF($A947&lt;&gt;"",'All Cases - Enter Cases'!L947,"")</f>
        <v/>
      </c>
      <c r="M947" t="str">
        <f>IF($A947&lt;&gt;"",'All Cases - Enter Cases'!M947,"")</f>
        <v/>
      </c>
    </row>
    <row r="948" spans="1:13" x14ac:dyDescent="0.35">
      <c r="A948" s="4" t="str">
        <f>IF('All Cases - Enter Cases'!$F948="Punjab",'All Cases - Enter Cases'!A948,"")</f>
        <v/>
      </c>
      <c r="B948" t="str">
        <f>IF($A948&lt;&gt;"",'All Cases - Enter Cases'!B948,"")</f>
        <v/>
      </c>
      <c r="C948" t="str">
        <f>IF($A948&lt;&gt;"",'All Cases - Enter Cases'!C948,"")</f>
        <v/>
      </c>
      <c r="D948" t="str">
        <f>IF($A948&lt;&gt;"",'All Cases - Enter Cases'!D948,"")</f>
        <v/>
      </c>
      <c r="E948" t="str">
        <f>IF($A948&lt;&gt;"",'All Cases - Enter Cases'!E948,"")</f>
        <v/>
      </c>
      <c r="F948" t="str">
        <f>IF($A948&lt;&gt;"",'All Cases - Enter Cases'!F948,"")</f>
        <v/>
      </c>
      <c r="G948" t="str">
        <f>IF($A948&lt;&gt;"",'All Cases - Enter Cases'!G948,"")</f>
        <v/>
      </c>
      <c r="H948" t="str">
        <f>IF($A948&lt;&gt;"",'All Cases - Enter Cases'!H948,"")</f>
        <v/>
      </c>
      <c r="I948" t="str">
        <f>IF($A948&lt;&gt;"",'All Cases - Enter Cases'!I948,"")</f>
        <v/>
      </c>
      <c r="J948" s="4" t="str">
        <f>IF($A948&lt;&gt;"",'All Cases - Enter Cases'!J948,"")</f>
        <v/>
      </c>
      <c r="K948" s="4" t="str">
        <f>IF($A948&lt;&gt;"",'All Cases - Enter Cases'!K948,"")</f>
        <v/>
      </c>
      <c r="L948" s="4" t="str">
        <f>IF($A948&lt;&gt;"",'All Cases - Enter Cases'!L948,"")</f>
        <v/>
      </c>
      <c r="M948" t="str">
        <f>IF($A948&lt;&gt;"",'All Cases - Enter Cases'!M948,"")</f>
        <v/>
      </c>
    </row>
    <row r="949" spans="1:13" x14ac:dyDescent="0.35">
      <c r="A949" s="4" t="str">
        <f>IF('All Cases - Enter Cases'!$F949="Punjab",'All Cases - Enter Cases'!A949,"")</f>
        <v/>
      </c>
      <c r="B949" t="str">
        <f>IF($A949&lt;&gt;"",'All Cases - Enter Cases'!B949,"")</f>
        <v/>
      </c>
      <c r="C949" t="str">
        <f>IF($A949&lt;&gt;"",'All Cases - Enter Cases'!C949,"")</f>
        <v/>
      </c>
      <c r="D949" t="str">
        <f>IF($A949&lt;&gt;"",'All Cases - Enter Cases'!D949,"")</f>
        <v/>
      </c>
      <c r="E949" t="str">
        <f>IF($A949&lt;&gt;"",'All Cases - Enter Cases'!E949,"")</f>
        <v/>
      </c>
      <c r="F949" t="str">
        <f>IF($A949&lt;&gt;"",'All Cases - Enter Cases'!F949,"")</f>
        <v/>
      </c>
      <c r="G949" t="str">
        <f>IF($A949&lt;&gt;"",'All Cases - Enter Cases'!G949,"")</f>
        <v/>
      </c>
      <c r="H949" t="str">
        <f>IF($A949&lt;&gt;"",'All Cases - Enter Cases'!H949,"")</f>
        <v/>
      </c>
      <c r="I949" t="str">
        <f>IF($A949&lt;&gt;"",'All Cases - Enter Cases'!I949,"")</f>
        <v/>
      </c>
      <c r="J949" s="4" t="str">
        <f>IF($A949&lt;&gt;"",'All Cases - Enter Cases'!J949,"")</f>
        <v/>
      </c>
      <c r="K949" s="4" t="str">
        <f>IF($A949&lt;&gt;"",'All Cases - Enter Cases'!K949,"")</f>
        <v/>
      </c>
      <c r="L949" s="4" t="str">
        <f>IF($A949&lt;&gt;"",'All Cases - Enter Cases'!L949,"")</f>
        <v/>
      </c>
      <c r="M949" t="str">
        <f>IF($A949&lt;&gt;"",'All Cases - Enter Cases'!M949,"")</f>
        <v/>
      </c>
    </row>
    <row r="950" spans="1:13" x14ac:dyDescent="0.35">
      <c r="A950" s="4" t="str">
        <f>IF('All Cases - Enter Cases'!$F950="Punjab",'All Cases - Enter Cases'!A950,"")</f>
        <v/>
      </c>
      <c r="B950" t="str">
        <f>IF($A950&lt;&gt;"",'All Cases - Enter Cases'!B950,"")</f>
        <v/>
      </c>
      <c r="C950" t="str">
        <f>IF($A950&lt;&gt;"",'All Cases - Enter Cases'!C950,"")</f>
        <v/>
      </c>
      <c r="D950" t="str">
        <f>IF($A950&lt;&gt;"",'All Cases - Enter Cases'!D950,"")</f>
        <v/>
      </c>
      <c r="E950" t="str">
        <f>IF($A950&lt;&gt;"",'All Cases - Enter Cases'!E950,"")</f>
        <v/>
      </c>
      <c r="F950" t="str">
        <f>IF($A950&lt;&gt;"",'All Cases - Enter Cases'!F950,"")</f>
        <v/>
      </c>
      <c r="G950" t="str">
        <f>IF($A950&lt;&gt;"",'All Cases - Enter Cases'!G950,"")</f>
        <v/>
      </c>
      <c r="H950" t="str">
        <f>IF($A950&lt;&gt;"",'All Cases - Enter Cases'!H950,"")</f>
        <v/>
      </c>
      <c r="I950" t="str">
        <f>IF($A950&lt;&gt;"",'All Cases - Enter Cases'!I950,"")</f>
        <v/>
      </c>
      <c r="J950" s="4" t="str">
        <f>IF($A950&lt;&gt;"",'All Cases - Enter Cases'!J950,"")</f>
        <v/>
      </c>
      <c r="K950" s="4" t="str">
        <f>IF($A950&lt;&gt;"",'All Cases - Enter Cases'!K950,"")</f>
        <v/>
      </c>
      <c r="L950" s="4" t="str">
        <f>IF($A950&lt;&gt;"",'All Cases - Enter Cases'!L950,"")</f>
        <v/>
      </c>
      <c r="M950" t="str">
        <f>IF($A950&lt;&gt;"",'All Cases - Enter Cases'!M950,"")</f>
        <v/>
      </c>
    </row>
    <row r="951" spans="1:13" x14ac:dyDescent="0.35">
      <c r="A951" s="4" t="str">
        <f>IF('All Cases - Enter Cases'!$F951="Punjab",'All Cases - Enter Cases'!A951,"")</f>
        <v/>
      </c>
      <c r="B951" t="str">
        <f>IF($A951&lt;&gt;"",'All Cases - Enter Cases'!B951,"")</f>
        <v/>
      </c>
      <c r="C951" t="str">
        <f>IF($A951&lt;&gt;"",'All Cases - Enter Cases'!C951,"")</f>
        <v/>
      </c>
      <c r="D951" t="str">
        <f>IF($A951&lt;&gt;"",'All Cases - Enter Cases'!D951,"")</f>
        <v/>
      </c>
      <c r="E951" t="str">
        <f>IF($A951&lt;&gt;"",'All Cases - Enter Cases'!E951,"")</f>
        <v/>
      </c>
      <c r="F951" t="str">
        <f>IF($A951&lt;&gt;"",'All Cases - Enter Cases'!F951,"")</f>
        <v/>
      </c>
      <c r="G951" t="str">
        <f>IF($A951&lt;&gt;"",'All Cases - Enter Cases'!G951,"")</f>
        <v/>
      </c>
      <c r="H951" t="str">
        <f>IF($A951&lt;&gt;"",'All Cases - Enter Cases'!H951,"")</f>
        <v/>
      </c>
      <c r="I951" t="str">
        <f>IF($A951&lt;&gt;"",'All Cases - Enter Cases'!I951,"")</f>
        <v/>
      </c>
      <c r="J951" s="4" t="str">
        <f>IF($A951&lt;&gt;"",'All Cases - Enter Cases'!J951,"")</f>
        <v/>
      </c>
      <c r="K951" s="4" t="str">
        <f>IF($A951&lt;&gt;"",'All Cases - Enter Cases'!K951,"")</f>
        <v/>
      </c>
      <c r="L951" s="4" t="str">
        <f>IF($A951&lt;&gt;"",'All Cases - Enter Cases'!L951,"")</f>
        <v/>
      </c>
      <c r="M951" t="str">
        <f>IF($A951&lt;&gt;"",'All Cases - Enter Cases'!M951,"")</f>
        <v/>
      </c>
    </row>
    <row r="952" spans="1:13" x14ac:dyDescent="0.35">
      <c r="A952" s="4" t="str">
        <f>IF('All Cases - Enter Cases'!$F952="Punjab",'All Cases - Enter Cases'!A952,"")</f>
        <v/>
      </c>
      <c r="B952" t="str">
        <f>IF($A952&lt;&gt;"",'All Cases - Enter Cases'!B952,"")</f>
        <v/>
      </c>
      <c r="C952" t="str">
        <f>IF($A952&lt;&gt;"",'All Cases - Enter Cases'!C952,"")</f>
        <v/>
      </c>
      <c r="D952" t="str">
        <f>IF($A952&lt;&gt;"",'All Cases - Enter Cases'!D952,"")</f>
        <v/>
      </c>
      <c r="E952" t="str">
        <f>IF($A952&lt;&gt;"",'All Cases - Enter Cases'!E952,"")</f>
        <v/>
      </c>
      <c r="F952" t="str">
        <f>IF($A952&lt;&gt;"",'All Cases - Enter Cases'!F952,"")</f>
        <v/>
      </c>
      <c r="G952" t="str">
        <f>IF($A952&lt;&gt;"",'All Cases - Enter Cases'!G952,"")</f>
        <v/>
      </c>
      <c r="H952" t="str">
        <f>IF($A952&lt;&gt;"",'All Cases - Enter Cases'!H952,"")</f>
        <v/>
      </c>
      <c r="I952" t="str">
        <f>IF($A952&lt;&gt;"",'All Cases - Enter Cases'!I952,"")</f>
        <v/>
      </c>
      <c r="J952" s="4" t="str">
        <f>IF($A952&lt;&gt;"",'All Cases - Enter Cases'!J952,"")</f>
        <v/>
      </c>
      <c r="K952" s="4" t="str">
        <f>IF($A952&lt;&gt;"",'All Cases - Enter Cases'!K952,"")</f>
        <v/>
      </c>
      <c r="L952" s="4" t="str">
        <f>IF($A952&lt;&gt;"",'All Cases - Enter Cases'!L952,"")</f>
        <v/>
      </c>
      <c r="M952" t="str">
        <f>IF($A952&lt;&gt;"",'All Cases - Enter Cases'!M952,"")</f>
        <v/>
      </c>
    </row>
    <row r="953" spans="1:13" x14ac:dyDescent="0.35">
      <c r="A953" s="4" t="str">
        <f>IF('All Cases - Enter Cases'!$F953="Punjab",'All Cases - Enter Cases'!A953,"")</f>
        <v/>
      </c>
      <c r="B953" t="str">
        <f>IF($A953&lt;&gt;"",'All Cases - Enter Cases'!B953,"")</f>
        <v/>
      </c>
      <c r="C953" t="str">
        <f>IF($A953&lt;&gt;"",'All Cases - Enter Cases'!C953,"")</f>
        <v/>
      </c>
      <c r="D953" t="str">
        <f>IF($A953&lt;&gt;"",'All Cases - Enter Cases'!D953,"")</f>
        <v/>
      </c>
      <c r="E953" t="str">
        <f>IF($A953&lt;&gt;"",'All Cases - Enter Cases'!E953,"")</f>
        <v/>
      </c>
      <c r="F953" t="str">
        <f>IF($A953&lt;&gt;"",'All Cases - Enter Cases'!F953,"")</f>
        <v/>
      </c>
      <c r="G953" t="str">
        <f>IF($A953&lt;&gt;"",'All Cases - Enter Cases'!G953,"")</f>
        <v/>
      </c>
      <c r="H953" t="str">
        <f>IF($A953&lt;&gt;"",'All Cases - Enter Cases'!H953,"")</f>
        <v/>
      </c>
      <c r="I953" t="str">
        <f>IF($A953&lt;&gt;"",'All Cases - Enter Cases'!I953,"")</f>
        <v/>
      </c>
      <c r="J953" s="4" t="str">
        <f>IF($A953&lt;&gt;"",'All Cases - Enter Cases'!J953,"")</f>
        <v/>
      </c>
      <c r="K953" s="4" t="str">
        <f>IF($A953&lt;&gt;"",'All Cases - Enter Cases'!K953,"")</f>
        <v/>
      </c>
      <c r="L953" s="4" t="str">
        <f>IF($A953&lt;&gt;"",'All Cases - Enter Cases'!L953,"")</f>
        <v/>
      </c>
      <c r="M953" t="str">
        <f>IF($A953&lt;&gt;"",'All Cases - Enter Cases'!M953,"")</f>
        <v/>
      </c>
    </row>
    <row r="954" spans="1:13" x14ac:dyDescent="0.35">
      <c r="A954" s="4" t="str">
        <f>IF('All Cases - Enter Cases'!$F954="Punjab",'All Cases - Enter Cases'!A954,"")</f>
        <v/>
      </c>
      <c r="B954" t="str">
        <f>IF($A954&lt;&gt;"",'All Cases - Enter Cases'!B954,"")</f>
        <v/>
      </c>
      <c r="C954" t="str">
        <f>IF($A954&lt;&gt;"",'All Cases - Enter Cases'!C954,"")</f>
        <v/>
      </c>
      <c r="D954" t="str">
        <f>IF($A954&lt;&gt;"",'All Cases - Enter Cases'!D954,"")</f>
        <v/>
      </c>
      <c r="E954" t="str">
        <f>IF($A954&lt;&gt;"",'All Cases - Enter Cases'!E954,"")</f>
        <v/>
      </c>
      <c r="F954" t="str">
        <f>IF($A954&lt;&gt;"",'All Cases - Enter Cases'!F954,"")</f>
        <v/>
      </c>
      <c r="G954" t="str">
        <f>IF($A954&lt;&gt;"",'All Cases - Enter Cases'!G954,"")</f>
        <v/>
      </c>
      <c r="H954" t="str">
        <f>IF($A954&lt;&gt;"",'All Cases - Enter Cases'!H954,"")</f>
        <v/>
      </c>
      <c r="I954" t="str">
        <f>IF($A954&lt;&gt;"",'All Cases - Enter Cases'!I954,"")</f>
        <v/>
      </c>
      <c r="J954" s="4" t="str">
        <f>IF($A954&lt;&gt;"",'All Cases - Enter Cases'!J954,"")</f>
        <v/>
      </c>
      <c r="K954" s="4" t="str">
        <f>IF($A954&lt;&gt;"",'All Cases - Enter Cases'!K954,"")</f>
        <v/>
      </c>
      <c r="L954" s="4" t="str">
        <f>IF($A954&lt;&gt;"",'All Cases - Enter Cases'!L954,"")</f>
        <v/>
      </c>
      <c r="M954" t="str">
        <f>IF($A954&lt;&gt;"",'All Cases - Enter Cases'!M954,"")</f>
        <v/>
      </c>
    </row>
    <row r="955" spans="1:13" x14ac:dyDescent="0.35">
      <c r="A955" s="4" t="str">
        <f>IF('All Cases - Enter Cases'!$F955="Punjab",'All Cases - Enter Cases'!A955,"")</f>
        <v/>
      </c>
      <c r="B955" t="str">
        <f>IF($A955&lt;&gt;"",'All Cases - Enter Cases'!B955,"")</f>
        <v/>
      </c>
      <c r="C955" t="str">
        <f>IF($A955&lt;&gt;"",'All Cases - Enter Cases'!C955,"")</f>
        <v/>
      </c>
      <c r="D955" t="str">
        <f>IF($A955&lt;&gt;"",'All Cases - Enter Cases'!D955,"")</f>
        <v/>
      </c>
      <c r="E955" t="str">
        <f>IF($A955&lt;&gt;"",'All Cases - Enter Cases'!E955,"")</f>
        <v/>
      </c>
      <c r="F955" t="str">
        <f>IF($A955&lt;&gt;"",'All Cases - Enter Cases'!F955,"")</f>
        <v/>
      </c>
      <c r="G955" t="str">
        <f>IF($A955&lt;&gt;"",'All Cases - Enter Cases'!G955,"")</f>
        <v/>
      </c>
      <c r="H955" t="str">
        <f>IF($A955&lt;&gt;"",'All Cases - Enter Cases'!H955,"")</f>
        <v/>
      </c>
      <c r="I955" t="str">
        <f>IF($A955&lt;&gt;"",'All Cases - Enter Cases'!I955,"")</f>
        <v/>
      </c>
      <c r="J955" s="4" t="str">
        <f>IF($A955&lt;&gt;"",'All Cases - Enter Cases'!J955,"")</f>
        <v/>
      </c>
      <c r="K955" s="4" t="str">
        <f>IF($A955&lt;&gt;"",'All Cases - Enter Cases'!K955,"")</f>
        <v/>
      </c>
      <c r="L955" s="4" t="str">
        <f>IF($A955&lt;&gt;"",'All Cases - Enter Cases'!L955,"")</f>
        <v/>
      </c>
      <c r="M955" t="str">
        <f>IF($A955&lt;&gt;"",'All Cases - Enter Cases'!M955,"")</f>
        <v/>
      </c>
    </row>
    <row r="956" spans="1:13" x14ac:dyDescent="0.35">
      <c r="A956" s="4" t="str">
        <f>IF('All Cases - Enter Cases'!$F956="Punjab",'All Cases - Enter Cases'!A956,"")</f>
        <v/>
      </c>
      <c r="B956" t="str">
        <f>IF($A956&lt;&gt;"",'All Cases - Enter Cases'!B956,"")</f>
        <v/>
      </c>
      <c r="C956" t="str">
        <f>IF($A956&lt;&gt;"",'All Cases - Enter Cases'!C956,"")</f>
        <v/>
      </c>
      <c r="D956" t="str">
        <f>IF($A956&lt;&gt;"",'All Cases - Enter Cases'!D956,"")</f>
        <v/>
      </c>
      <c r="E956" t="str">
        <f>IF($A956&lt;&gt;"",'All Cases - Enter Cases'!E956,"")</f>
        <v/>
      </c>
      <c r="F956" t="str">
        <f>IF($A956&lt;&gt;"",'All Cases - Enter Cases'!F956,"")</f>
        <v/>
      </c>
      <c r="G956" t="str">
        <f>IF($A956&lt;&gt;"",'All Cases - Enter Cases'!G956,"")</f>
        <v/>
      </c>
      <c r="H956" t="str">
        <f>IF($A956&lt;&gt;"",'All Cases - Enter Cases'!H956,"")</f>
        <v/>
      </c>
      <c r="I956" t="str">
        <f>IF($A956&lt;&gt;"",'All Cases - Enter Cases'!I956,"")</f>
        <v/>
      </c>
      <c r="J956" s="4" t="str">
        <f>IF($A956&lt;&gt;"",'All Cases - Enter Cases'!J956,"")</f>
        <v/>
      </c>
      <c r="K956" s="4" t="str">
        <f>IF($A956&lt;&gt;"",'All Cases - Enter Cases'!K956,"")</f>
        <v/>
      </c>
      <c r="L956" s="4" t="str">
        <f>IF($A956&lt;&gt;"",'All Cases - Enter Cases'!L956,"")</f>
        <v/>
      </c>
      <c r="M956" t="str">
        <f>IF($A956&lt;&gt;"",'All Cases - Enter Cases'!M956,"")</f>
        <v/>
      </c>
    </row>
    <row r="957" spans="1:13" x14ac:dyDescent="0.35">
      <c r="A957" s="4" t="str">
        <f>IF('All Cases - Enter Cases'!$F957="Punjab",'All Cases - Enter Cases'!A957,"")</f>
        <v/>
      </c>
      <c r="B957" t="str">
        <f>IF($A957&lt;&gt;"",'All Cases - Enter Cases'!B957,"")</f>
        <v/>
      </c>
      <c r="C957" t="str">
        <f>IF($A957&lt;&gt;"",'All Cases - Enter Cases'!C957,"")</f>
        <v/>
      </c>
      <c r="D957" t="str">
        <f>IF($A957&lt;&gt;"",'All Cases - Enter Cases'!D957,"")</f>
        <v/>
      </c>
      <c r="E957" t="str">
        <f>IF($A957&lt;&gt;"",'All Cases - Enter Cases'!E957,"")</f>
        <v/>
      </c>
      <c r="F957" t="str">
        <f>IF($A957&lt;&gt;"",'All Cases - Enter Cases'!F957,"")</f>
        <v/>
      </c>
      <c r="G957" t="str">
        <f>IF($A957&lt;&gt;"",'All Cases - Enter Cases'!G957,"")</f>
        <v/>
      </c>
      <c r="H957" t="str">
        <f>IF($A957&lt;&gt;"",'All Cases - Enter Cases'!H957,"")</f>
        <v/>
      </c>
      <c r="I957" t="str">
        <f>IF($A957&lt;&gt;"",'All Cases - Enter Cases'!I957,"")</f>
        <v/>
      </c>
      <c r="J957" s="4" t="str">
        <f>IF($A957&lt;&gt;"",'All Cases - Enter Cases'!J957,"")</f>
        <v/>
      </c>
      <c r="K957" s="4" t="str">
        <f>IF($A957&lt;&gt;"",'All Cases - Enter Cases'!K957,"")</f>
        <v/>
      </c>
      <c r="L957" s="4" t="str">
        <f>IF($A957&lt;&gt;"",'All Cases - Enter Cases'!L957,"")</f>
        <v/>
      </c>
      <c r="M957" t="str">
        <f>IF($A957&lt;&gt;"",'All Cases - Enter Cases'!M957,"")</f>
        <v/>
      </c>
    </row>
    <row r="958" spans="1:13" x14ac:dyDescent="0.35">
      <c r="A958" s="4" t="str">
        <f>IF('All Cases - Enter Cases'!$F958="Punjab",'All Cases - Enter Cases'!A958,"")</f>
        <v/>
      </c>
      <c r="B958" t="str">
        <f>IF($A958&lt;&gt;"",'All Cases - Enter Cases'!B958,"")</f>
        <v/>
      </c>
      <c r="C958" t="str">
        <f>IF($A958&lt;&gt;"",'All Cases - Enter Cases'!C958,"")</f>
        <v/>
      </c>
      <c r="D958" t="str">
        <f>IF($A958&lt;&gt;"",'All Cases - Enter Cases'!D958,"")</f>
        <v/>
      </c>
      <c r="E958" t="str">
        <f>IF($A958&lt;&gt;"",'All Cases - Enter Cases'!E958,"")</f>
        <v/>
      </c>
      <c r="F958" t="str">
        <f>IF($A958&lt;&gt;"",'All Cases - Enter Cases'!F958,"")</f>
        <v/>
      </c>
      <c r="G958" t="str">
        <f>IF($A958&lt;&gt;"",'All Cases - Enter Cases'!G958,"")</f>
        <v/>
      </c>
      <c r="H958" t="str">
        <f>IF($A958&lt;&gt;"",'All Cases - Enter Cases'!H958,"")</f>
        <v/>
      </c>
      <c r="I958" t="str">
        <f>IF($A958&lt;&gt;"",'All Cases - Enter Cases'!I958,"")</f>
        <v/>
      </c>
      <c r="J958" s="4" t="str">
        <f>IF($A958&lt;&gt;"",'All Cases - Enter Cases'!J958,"")</f>
        <v/>
      </c>
      <c r="K958" s="4" t="str">
        <f>IF($A958&lt;&gt;"",'All Cases - Enter Cases'!K958,"")</f>
        <v/>
      </c>
      <c r="L958" s="4" t="str">
        <f>IF($A958&lt;&gt;"",'All Cases - Enter Cases'!L958,"")</f>
        <v/>
      </c>
      <c r="M958" t="str">
        <f>IF($A958&lt;&gt;"",'All Cases - Enter Cases'!M958,"")</f>
        <v/>
      </c>
    </row>
    <row r="959" spans="1:13" x14ac:dyDescent="0.35">
      <c r="A959" s="4" t="str">
        <f>IF('All Cases - Enter Cases'!$F959="Punjab",'All Cases - Enter Cases'!A959,"")</f>
        <v/>
      </c>
      <c r="B959" t="str">
        <f>IF($A959&lt;&gt;"",'All Cases - Enter Cases'!B959,"")</f>
        <v/>
      </c>
      <c r="C959" t="str">
        <f>IF($A959&lt;&gt;"",'All Cases - Enter Cases'!C959,"")</f>
        <v/>
      </c>
      <c r="D959" t="str">
        <f>IF($A959&lt;&gt;"",'All Cases - Enter Cases'!D959,"")</f>
        <v/>
      </c>
      <c r="E959" t="str">
        <f>IF($A959&lt;&gt;"",'All Cases - Enter Cases'!E959,"")</f>
        <v/>
      </c>
      <c r="F959" t="str">
        <f>IF($A959&lt;&gt;"",'All Cases - Enter Cases'!F959,"")</f>
        <v/>
      </c>
      <c r="G959" t="str">
        <f>IF($A959&lt;&gt;"",'All Cases - Enter Cases'!G959,"")</f>
        <v/>
      </c>
      <c r="H959" t="str">
        <f>IF($A959&lt;&gt;"",'All Cases - Enter Cases'!H959,"")</f>
        <v/>
      </c>
      <c r="I959" t="str">
        <f>IF($A959&lt;&gt;"",'All Cases - Enter Cases'!I959,"")</f>
        <v/>
      </c>
      <c r="J959" s="4" t="str">
        <f>IF($A959&lt;&gt;"",'All Cases - Enter Cases'!J959,"")</f>
        <v/>
      </c>
      <c r="K959" s="4" t="str">
        <f>IF($A959&lt;&gt;"",'All Cases - Enter Cases'!K959,"")</f>
        <v/>
      </c>
      <c r="L959" s="4" t="str">
        <f>IF($A959&lt;&gt;"",'All Cases - Enter Cases'!L959,"")</f>
        <v/>
      </c>
      <c r="M959" t="str">
        <f>IF($A959&lt;&gt;"",'All Cases - Enter Cases'!M959,"")</f>
        <v/>
      </c>
    </row>
    <row r="960" spans="1:13" x14ac:dyDescent="0.35">
      <c r="A960" s="4" t="str">
        <f>IF('All Cases - Enter Cases'!$F960="Punjab",'All Cases - Enter Cases'!A960,"")</f>
        <v/>
      </c>
      <c r="B960" t="str">
        <f>IF($A960&lt;&gt;"",'All Cases - Enter Cases'!B960,"")</f>
        <v/>
      </c>
      <c r="C960" t="str">
        <f>IF($A960&lt;&gt;"",'All Cases - Enter Cases'!C960,"")</f>
        <v/>
      </c>
      <c r="D960" t="str">
        <f>IF($A960&lt;&gt;"",'All Cases - Enter Cases'!D960,"")</f>
        <v/>
      </c>
      <c r="E960" t="str">
        <f>IF($A960&lt;&gt;"",'All Cases - Enter Cases'!E960,"")</f>
        <v/>
      </c>
      <c r="F960" t="str">
        <f>IF($A960&lt;&gt;"",'All Cases - Enter Cases'!F960,"")</f>
        <v/>
      </c>
      <c r="G960" t="str">
        <f>IF($A960&lt;&gt;"",'All Cases - Enter Cases'!G960,"")</f>
        <v/>
      </c>
      <c r="H960" t="str">
        <f>IF($A960&lt;&gt;"",'All Cases - Enter Cases'!H960,"")</f>
        <v/>
      </c>
      <c r="I960" t="str">
        <f>IF($A960&lt;&gt;"",'All Cases - Enter Cases'!I960,"")</f>
        <v/>
      </c>
      <c r="J960" s="4" t="str">
        <f>IF($A960&lt;&gt;"",'All Cases - Enter Cases'!J960,"")</f>
        <v/>
      </c>
      <c r="K960" s="4" t="str">
        <f>IF($A960&lt;&gt;"",'All Cases - Enter Cases'!K960,"")</f>
        <v/>
      </c>
      <c r="L960" s="4" t="str">
        <f>IF($A960&lt;&gt;"",'All Cases - Enter Cases'!L960,"")</f>
        <v/>
      </c>
      <c r="M960" t="str">
        <f>IF($A960&lt;&gt;"",'All Cases - Enter Cases'!M960,"")</f>
        <v/>
      </c>
    </row>
    <row r="961" spans="1:13" x14ac:dyDescent="0.35">
      <c r="A961" s="4" t="str">
        <f>IF('All Cases - Enter Cases'!$F961="Punjab",'All Cases - Enter Cases'!A961,"")</f>
        <v/>
      </c>
      <c r="B961" t="str">
        <f>IF($A961&lt;&gt;"",'All Cases - Enter Cases'!B961,"")</f>
        <v/>
      </c>
      <c r="C961" t="str">
        <f>IF($A961&lt;&gt;"",'All Cases - Enter Cases'!C961,"")</f>
        <v/>
      </c>
      <c r="D961" t="str">
        <f>IF($A961&lt;&gt;"",'All Cases - Enter Cases'!D961,"")</f>
        <v/>
      </c>
      <c r="E961" t="str">
        <f>IF($A961&lt;&gt;"",'All Cases - Enter Cases'!E961,"")</f>
        <v/>
      </c>
      <c r="F961" t="str">
        <f>IF($A961&lt;&gt;"",'All Cases - Enter Cases'!F961,"")</f>
        <v/>
      </c>
      <c r="G961" t="str">
        <f>IF($A961&lt;&gt;"",'All Cases - Enter Cases'!G961,"")</f>
        <v/>
      </c>
      <c r="H961" t="str">
        <f>IF($A961&lt;&gt;"",'All Cases - Enter Cases'!H961,"")</f>
        <v/>
      </c>
      <c r="I961" t="str">
        <f>IF($A961&lt;&gt;"",'All Cases - Enter Cases'!I961,"")</f>
        <v/>
      </c>
      <c r="J961" s="4" t="str">
        <f>IF($A961&lt;&gt;"",'All Cases - Enter Cases'!J961,"")</f>
        <v/>
      </c>
      <c r="K961" s="4" t="str">
        <f>IF($A961&lt;&gt;"",'All Cases - Enter Cases'!K961,"")</f>
        <v/>
      </c>
      <c r="L961" s="4" t="str">
        <f>IF($A961&lt;&gt;"",'All Cases - Enter Cases'!L961,"")</f>
        <v/>
      </c>
      <c r="M961" t="str">
        <f>IF($A961&lt;&gt;"",'All Cases - Enter Cases'!M961,"")</f>
        <v/>
      </c>
    </row>
    <row r="962" spans="1:13" x14ac:dyDescent="0.35">
      <c r="A962" s="4" t="str">
        <f>IF('All Cases - Enter Cases'!$F962="Punjab",'All Cases - Enter Cases'!A962,"")</f>
        <v/>
      </c>
      <c r="B962" t="str">
        <f>IF($A962&lt;&gt;"",'All Cases - Enter Cases'!B962,"")</f>
        <v/>
      </c>
      <c r="C962" t="str">
        <f>IF($A962&lt;&gt;"",'All Cases - Enter Cases'!C962,"")</f>
        <v/>
      </c>
      <c r="D962" t="str">
        <f>IF($A962&lt;&gt;"",'All Cases - Enter Cases'!D962,"")</f>
        <v/>
      </c>
      <c r="E962" t="str">
        <f>IF($A962&lt;&gt;"",'All Cases - Enter Cases'!E962,"")</f>
        <v/>
      </c>
      <c r="F962" t="str">
        <f>IF($A962&lt;&gt;"",'All Cases - Enter Cases'!F962,"")</f>
        <v/>
      </c>
      <c r="G962" t="str">
        <f>IF($A962&lt;&gt;"",'All Cases - Enter Cases'!G962,"")</f>
        <v/>
      </c>
      <c r="H962" t="str">
        <f>IF($A962&lt;&gt;"",'All Cases - Enter Cases'!H962,"")</f>
        <v/>
      </c>
      <c r="I962" t="str">
        <f>IF($A962&lt;&gt;"",'All Cases - Enter Cases'!I962,"")</f>
        <v/>
      </c>
      <c r="J962" s="4" t="str">
        <f>IF($A962&lt;&gt;"",'All Cases - Enter Cases'!J962,"")</f>
        <v/>
      </c>
      <c r="K962" s="4" t="str">
        <f>IF($A962&lt;&gt;"",'All Cases - Enter Cases'!K962,"")</f>
        <v/>
      </c>
      <c r="L962" s="4" t="str">
        <f>IF($A962&lt;&gt;"",'All Cases - Enter Cases'!L962,"")</f>
        <v/>
      </c>
      <c r="M962" t="str">
        <f>IF($A962&lt;&gt;"",'All Cases - Enter Cases'!M962,"")</f>
        <v/>
      </c>
    </row>
    <row r="963" spans="1:13" x14ac:dyDescent="0.35">
      <c r="A963" s="4" t="str">
        <f>IF('All Cases - Enter Cases'!$F963="Punjab",'All Cases - Enter Cases'!A963,"")</f>
        <v/>
      </c>
      <c r="B963" t="str">
        <f>IF($A963&lt;&gt;"",'All Cases - Enter Cases'!B963,"")</f>
        <v/>
      </c>
      <c r="C963" t="str">
        <f>IF($A963&lt;&gt;"",'All Cases - Enter Cases'!C963,"")</f>
        <v/>
      </c>
      <c r="D963" t="str">
        <f>IF($A963&lt;&gt;"",'All Cases - Enter Cases'!D963,"")</f>
        <v/>
      </c>
      <c r="E963" t="str">
        <f>IF($A963&lt;&gt;"",'All Cases - Enter Cases'!E963,"")</f>
        <v/>
      </c>
      <c r="F963" t="str">
        <f>IF($A963&lt;&gt;"",'All Cases - Enter Cases'!F963,"")</f>
        <v/>
      </c>
      <c r="G963" t="str">
        <f>IF($A963&lt;&gt;"",'All Cases - Enter Cases'!G963,"")</f>
        <v/>
      </c>
      <c r="H963" t="str">
        <f>IF($A963&lt;&gt;"",'All Cases - Enter Cases'!H963,"")</f>
        <v/>
      </c>
      <c r="I963" t="str">
        <f>IF($A963&lt;&gt;"",'All Cases - Enter Cases'!I963,"")</f>
        <v/>
      </c>
      <c r="J963" s="4" t="str">
        <f>IF($A963&lt;&gt;"",'All Cases - Enter Cases'!J963,"")</f>
        <v/>
      </c>
      <c r="K963" s="4" t="str">
        <f>IF($A963&lt;&gt;"",'All Cases - Enter Cases'!K963,"")</f>
        <v/>
      </c>
      <c r="L963" s="4" t="str">
        <f>IF($A963&lt;&gt;"",'All Cases - Enter Cases'!L963,"")</f>
        <v/>
      </c>
      <c r="M963" t="str">
        <f>IF($A963&lt;&gt;"",'All Cases - Enter Cases'!M963,"")</f>
        <v/>
      </c>
    </row>
    <row r="964" spans="1:13" x14ac:dyDescent="0.35">
      <c r="A964" s="4" t="str">
        <f>IF('All Cases - Enter Cases'!$F964="Punjab",'All Cases - Enter Cases'!A964,"")</f>
        <v/>
      </c>
      <c r="B964" t="str">
        <f>IF($A964&lt;&gt;"",'All Cases - Enter Cases'!B964,"")</f>
        <v/>
      </c>
      <c r="C964" t="str">
        <f>IF($A964&lt;&gt;"",'All Cases - Enter Cases'!C964,"")</f>
        <v/>
      </c>
      <c r="D964" t="str">
        <f>IF($A964&lt;&gt;"",'All Cases - Enter Cases'!D964,"")</f>
        <v/>
      </c>
      <c r="E964" t="str">
        <f>IF($A964&lt;&gt;"",'All Cases - Enter Cases'!E964,"")</f>
        <v/>
      </c>
      <c r="F964" t="str">
        <f>IF($A964&lt;&gt;"",'All Cases - Enter Cases'!F964,"")</f>
        <v/>
      </c>
      <c r="G964" t="str">
        <f>IF($A964&lt;&gt;"",'All Cases - Enter Cases'!G964,"")</f>
        <v/>
      </c>
      <c r="H964" t="str">
        <f>IF($A964&lt;&gt;"",'All Cases - Enter Cases'!H964,"")</f>
        <v/>
      </c>
      <c r="I964" t="str">
        <f>IF($A964&lt;&gt;"",'All Cases - Enter Cases'!I964,"")</f>
        <v/>
      </c>
      <c r="J964" s="4" t="str">
        <f>IF($A964&lt;&gt;"",'All Cases - Enter Cases'!J964,"")</f>
        <v/>
      </c>
      <c r="K964" s="4" t="str">
        <f>IF($A964&lt;&gt;"",'All Cases - Enter Cases'!K964,"")</f>
        <v/>
      </c>
      <c r="L964" s="4" t="str">
        <f>IF($A964&lt;&gt;"",'All Cases - Enter Cases'!L964,"")</f>
        <v/>
      </c>
      <c r="M964" t="str">
        <f>IF($A964&lt;&gt;"",'All Cases - Enter Cases'!M964,"")</f>
        <v/>
      </c>
    </row>
    <row r="965" spans="1:13" x14ac:dyDescent="0.35">
      <c r="A965" s="4" t="str">
        <f>IF('All Cases - Enter Cases'!$F965="Punjab",'All Cases - Enter Cases'!A965,"")</f>
        <v/>
      </c>
      <c r="B965" t="str">
        <f>IF($A965&lt;&gt;"",'All Cases - Enter Cases'!B965,"")</f>
        <v/>
      </c>
      <c r="C965" t="str">
        <f>IF($A965&lt;&gt;"",'All Cases - Enter Cases'!C965,"")</f>
        <v/>
      </c>
      <c r="D965" t="str">
        <f>IF($A965&lt;&gt;"",'All Cases - Enter Cases'!D965,"")</f>
        <v/>
      </c>
      <c r="E965" t="str">
        <f>IF($A965&lt;&gt;"",'All Cases - Enter Cases'!E965,"")</f>
        <v/>
      </c>
      <c r="F965" t="str">
        <f>IF($A965&lt;&gt;"",'All Cases - Enter Cases'!F965,"")</f>
        <v/>
      </c>
      <c r="G965" t="str">
        <f>IF($A965&lt;&gt;"",'All Cases - Enter Cases'!G965,"")</f>
        <v/>
      </c>
      <c r="H965" t="str">
        <f>IF($A965&lt;&gt;"",'All Cases - Enter Cases'!H965,"")</f>
        <v/>
      </c>
      <c r="I965" t="str">
        <f>IF($A965&lt;&gt;"",'All Cases - Enter Cases'!I965,"")</f>
        <v/>
      </c>
      <c r="J965" s="4" t="str">
        <f>IF($A965&lt;&gt;"",'All Cases - Enter Cases'!J965,"")</f>
        <v/>
      </c>
      <c r="K965" s="4" t="str">
        <f>IF($A965&lt;&gt;"",'All Cases - Enter Cases'!K965,"")</f>
        <v/>
      </c>
      <c r="L965" s="4" t="str">
        <f>IF($A965&lt;&gt;"",'All Cases - Enter Cases'!L965,"")</f>
        <v/>
      </c>
      <c r="M965" t="str">
        <f>IF($A965&lt;&gt;"",'All Cases - Enter Cases'!M965,"")</f>
        <v/>
      </c>
    </row>
    <row r="966" spans="1:13" x14ac:dyDescent="0.35">
      <c r="A966" s="4" t="str">
        <f>IF('All Cases - Enter Cases'!$F966="Punjab",'All Cases - Enter Cases'!A966,"")</f>
        <v/>
      </c>
      <c r="B966" t="str">
        <f>IF($A966&lt;&gt;"",'All Cases - Enter Cases'!B966,"")</f>
        <v/>
      </c>
      <c r="C966" t="str">
        <f>IF($A966&lt;&gt;"",'All Cases - Enter Cases'!C966,"")</f>
        <v/>
      </c>
      <c r="D966" t="str">
        <f>IF($A966&lt;&gt;"",'All Cases - Enter Cases'!D966,"")</f>
        <v/>
      </c>
      <c r="E966" t="str">
        <f>IF($A966&lt;&gt;"",'All Cases - Enter Cases'!E966,"")</f>
        <v/>
      </c>
      <c r="F966" t="str">
        <f>IF($A966&lt;&gt;"",'All Cases - Enter Cases'!F966,"")</f>
        <v/>
      </c>
      <c r="G966" t="str">
        <f>IF($A966&lt;&gt;"",'All Cases - Enter Cases'!G966,"")</f>
        <v/>
      </c>
      <c r="H966" t="str">
        <f>IF($A966&lt;&gt;"",'All Cases - Enter Cases'!H966,"")</f>
        <v/>
      </c>
      <c r="I966" t="str">
        <f>IF($A966&lt;&gt;"",'All Cases - Enter Cases'!I966,"")</f>
        <v/>
      </c>
      <c r="J966" s="4" t="str">
        <f>IF($A966&lt;&gt;"",'All Cases - Enter Cases'!J966,"")</f>
        <v/>
      </c>
      <c r="K966" s="4" t="str">
        <f>IF($A966&lt;&gt;"",'All Cases - Enter Cases'!K966,"")</f>
        <v/>
      </c>
      <c r="L966" s="4" t="str">
        <f>IF($A966&lt;&gt;"",'All Cases - Enter Cases'!L966,"")</f>
        <v/>
      </c>
      <c r="M966" t="str">
        <f>IF($A966&lt;&gt;"",'All Cases - Enter Cases'!M966,"")</f>
        <v/>
      </c>
    </row>
    <row r="967" spans="1:13" x14ac:dyDescent="0.35">
      <c r="A967" s="4" t="str">
        <f>IF('All Cases - Enter Cases'!$F967="Punjab",'All Cases - Enter Cases'!A967,"")</f>
        <v/>
      </c>
      <c r="B967" t="str">
        <f>IF($A967&lt;&gt;"",'All Cases - Enter Cases'!B967,"")</f>
        <v/>
      </c>
      <c r="C967" t="str">
        <f>IF($A967&lt;&gt;"",'All Cases - Enter Cases'!C967,"")</f>
        <v/>
      </c>
      <c r="D967" t="str">
        <f>IF($A967&lt;&gt;"",'All Cases - Enter Cases'!D967,"")</f>
        <v/>
      </c>
      <c r="E967" t="str">
        <f>IF($A967&lt;&gt;"",'All Cases - Enter Cases'!E967,"")</f>
        <v/>
      </c>
      <c r="F967" t="str">
        <f>IF($A967&lt;&gt;"",'All Cases - Enter Cases'!F967,"")</f>
        <v/>
      </c>
      <c r="G967" t="str">
        <f>IF($A967&lt;&gt;"",'All Cases - Enter Cases'!G967,"")</f>
        <v/>
      </c>
      <c r="H967" t="str">
        <f>IF($A967&lt;&gt;"",'All Cases - Enter Cases'!H967,"")</f>
        <v/>
      </c>
      <c r="I967" t="str">
        <f>IF($A967&lt;&gt;"",'All Cases - Enter Cases'!I967,"")</f>
        <v/>
      </c>
      <c r="J967" s="4" t="str">
        <f>IF($A967&lt;&gt;"",'All Cases - Enter Cases'!J967,"")</f>
        <v/>
      </c>
      <c r="K967" s="4" t="str">
        <f>IF($A967&lt;&gt;"",'All Cases - Enter Cases'!K967,"")</f>
        <v/>
      </c>
      <c r="L967" s="4" t="str">
        <f>IF($A967&lt;&gt;"",'All Cases - Enter Cases'!L967,"")</f>
        <v/>
      </c>
      <c r="M967" t="str">
        <f>IF($A967&lt;&gt;"",'All Cases - Enter Cases'!M967,"")</f>
        <v/>
      </c>
    </row>
    <row r="968" spans="1:13" x14ac:dyDescent="0.35">
      <c r="A968" s="4" t="str">
        <f>IF('All Cases - Enter Cases'!$F968="Punjab",'All Cases - Enter Cases'!A968,"")</f>
        <v/>
      </c>
      <c r="B968" t="str">
        <f>IF($A968&lt;&gt;"",'All Cases - Enter Cases'!B968,"")</f>
        <v/>
      </c>
      <c r="C968" t="str">
        <f>IF($A968&lt;&gt;"",'All Cases - Enter Cases'!C968,"")</f>
        <v/>
      </c>
      <c r="D968" t="str">
        <f>IF($A968&lt;&gt;"",'All Cases - Enter Cases'!D968,"")</f>
        <v/>
      </c>
      <c r="E968" t="str">
        <f>IF($A968&lt;&gt;"",'All Cases - Enter Cases'!E968,"")</f>
        <v/>
      </c>
      <c r="F968" t="str">
        <f>IF($A968&lt;&gt;"",'All Cases - Enter Cases'!F968,"")</f>
        <v/>
      </c>
      <c r="G968" t="str">
        <f>IF($A968&lt;&gt;"",'All Cases - Enter Cases'!G968,"")</f>
        <v/>
      </c>
      <c r="H968" t="str">
        <f>IF($A968&lt;&gt;"",'All Cases - Enter Cases'!H968,"")</f>
        <v/>
      </c>
      <c r="I968" t="str">
        <f>IF($A968&lt;&gt;"",'All Cases - Enter Cases'!I968,"")</f>
        <v/>
      </c>
      <c r="J968" s="4" t="str">
        <f>IF($A968&lt;&gt;"",'All Cases - Enter Cases'!J968,"")</f>
        <v/>
      </c>
      <c r="K968" s="4" t="str">
        <f>IF($A968&lt;&gt;"",'All Cases - Enter Cases'!K968,"")</f>
        <v/>
      </c>
      <c r="L968" s="4" t="str">
        <f>IF($A968&lt;&gt;"",'All Cases - Enter Cases'!L968,"")</f>
        <v/>
      </c>
      <c r="M968" t="str">
        <f>IF($A968&lt;&gt;"",'All Cases - Enter Cases'!M968,"")</f>
        <v/>
      </c>
    </row>
    <row r="969" spans="1:13" x14ac:dyDescent="0.35">
      <c r="A969" s="4" t="str">
        <f>IF('All Cases - Enter Cases'!$F969="Punjab",'All Cases - Enter Cases'!A969,"")</f>
        <v/>
      </c>
      <c r="B969" t="str">
        <f>IF($A969&lt;&gt;"",'All Cases - Enter Cases'!B969,"")</f>
        <v/>
      </c>
      <c r="C969" t="str">
        <f>IF($A969&lt;&gt;"",'All Cases - Enter Cases'!C969,"")</f>
        <v/>
      </c>
      <c r="D969" t="str">
        <f>IF($A969&lt;&gt;"",'All Cases - Enter Cases'!D969,"")</f>
        <v/>
      </c>
      <c r="E969" t="str">
        <f>IF($A969&lt;&gt;"",'All Cases - Enter Cases'!E969,"")</f>
        <v/>
      </c>
      <c r="F969" t="str">
        <f>IF($A969&lt;&gt;"",'All Cases - Enter Cases'!F969,"")</f>
        <v/>
      </c>
      <c r="G969" t="str">
        <f>IF($A969&lt;&gt;"",'All Cases - Enter Cases'!G969,"")</f>
        <v/>
      </c>
      <c r="H969" t="str">
        <f>IF($A969&lt;&gt;"",'All Cases - Enter Cases'!H969,"")</f>
        <v/>
      </c>
      <c r="I969" t="str">
        <f>IF($A969&lt;&gt;"",'All Cases - Enter Cases'!I969,"")</f>
        <v/>
      </c>
      <c r="J969" s="4" t="str">
        <f>IF($A969&lt;&gt;"",'All Cases - Enter Cases'!J969,"")</f>
        <v/>
      </c>
      <c r="K969" s="4" t="str">
        <f>IF($A969&lt;&gt;"",'All Cases - Enter Cases'!K969,"")</f>
        <v/>
      </c>
      <c r="L969" s="4" t="str">
        <f>IF($A969&lt;&gt;"",'All Cases - Enter Cases'!L969,"")</f>
        <v/>
      </c>
      <c r="M969" t="str">
        <f>IF($A969&lt;&gt;"",'All Cases - Enter Cases'!M969,"")</f>
        <v/>
      </c>
    </row>
    <row r="970" spans="1:13" x14ac:dyDescent="0.35">
      <c r="A970" s="4" t="str">
        <f>IF('All Cases - Enter Cases'!$F970="Punjab",'All Cases - Enter Cases'!A970,"")</f>
        <v/>
      </c>
      <c r="B970" t="str">
        <f>IF($A970&lt;&gt;"",'All Cases - Enter Cases'!B970,"")</f>
        <v/>
      </c>
      <c r="C970" t="str">
        <f>IF($A970&lt;&gt;"",'All Cases - Enter Cases'!C970,"")</f>
        <v/>
      </c>
      <c r="D970" t="str">
        <f>IF($A970&lt;&gt;"",'All Cases - Enter Cases'!D970,"")</f>
        <v/>
      </c>
      <c r="E970" t="str">
        <f>IF($A970&lt;&gt;"",'All Cases - Enter Cases'!E970,"")</f>
        <v/>
      </c>
      <c r="F970" t="str">
        <f>IF($A970&lt;&gt;"",'All Cases - Enter Cases'!F970,"")</f>
        <v/>
      </c>
      <c r="G970" t="str">
        <f>IF($A970&lt;&gt;"",'All Cases - Enter Cases'!G970,"")</f>
        <v/>
      </c>
      <c r="H970" t="str">
        <f>IF($A970&lt;&gt;"",'All Cases - Enter Cases'!H970,"")</f>
        <v/>
      </c>
      <c r="I970" t="str">
        <f>IF($A970&lt;&gt;"",'All Cases - Enter Cases'!I970,"")</f>
        <v/>
      </c>
      <c r="J970" s="4" t="str">
        <f>IF($A970&lt;&gt;"",'All Cases - Enter Cases'!J970,"")</f>
        <v/>
      </c>
      <c r="K970" s="4" t="str">
        <f>IF($A970&lt;&gt;"",'All Cases - Enter Cases'!K970,"")</f>
        <v/>
      </c>
      <c r="L970" s="4" t="str">
        <f>IF($A970&lt;&gt;"",'All Cases - Enter Cases'!L970,"")</f>
        <v/>
      </c>
      <c r="M970" t="str">
        <f>IF($A970&lt;&gt;"",'All Cases - Enter Cases'!M970,"")</f>
        <v/>
      </c>
    </row>
    <row r="971" spans="1:13" x14ac:dyDescent="0.35">
      <c r="A971" s="4" t="str">
        <f>IF('All Cases - Enter Cases'!$F971="Punjab",'All Cases - Enter Cases'!A971,"")</f>
        <v/>
      </c>
      <c r="B971" t="str">
        <f>IF($A971&lt;&gt;"",'All Cases - Enter Cases'!B971,"")</f>
        <v/>
      </c>
      <c r="C971" t="str">
        <f>IF($A971&lt;&gt;"",'All Cases - Enter Cases'!C971,"")</f>
        <v/>
      </c>
      <c r="D971" t="str">
        <f>IF($A971&lt;&gt;"",'All Cases - Enter Cases'!D971,"")</f>
        <v/>
      </c>
      <c r="E971" t="str">
        <f>IF($A971&lt;&gt;"",'All Cases - Enter Cases'!E971,"")</f>
        <v/>
      </c>
      <c r="F971" t="str">
        <f>IF($A971&lt;&gt;"",'All Cases - Enter Cases'!F971,"")</f>
        <v/>
      </c>
      <c r="G971" t="str">
        <f>IF($A971&lt;&gt;"",'All Cases - Enter Cases'!G971,"")</f>
        <v/>
      </c>
      <c r="H971" t="str">
        <f>IF($A971&lt;&gt;"",'All Cases - Enter Cases'!H971,"")</f>
        <v/>
      </c>
      <c r="I971" t="str">
        <f>IF($A971&lt;&gt;"",'All Cases - Enter Cases'!I971,"")</f>
        <v/>
      </c>
      <c r="J971" s="4" t="str">
        <f>IF($A971&lt;&gt;"",'All Cases - Enter Cases'!J971,"")</f>
        <v/>
      </c>
      <c r="K971" s="4" t="str">
        <f>IF($A971&lt;&gt;"",'All Cases - Enter Cases'!K971,"")</f>
        <v/>
      </c>
      <c r="L971" s="4" t="str">
        <f>IF($A971&lt;&gt;"",'All Cases - Enter Cases'!L971,"")</f>
        <v/>
      </c>
      <c r="M971" t="str">
        <f>IF($A971&lt;&gt;"",'All Cases - Enter Cases'!M971,"")</f>
        <v/>
      </c>
    </row>
    <row r="972" spans="1:13" x14ac:dyDescent="0.35">
      <c r="A972" s="4" t="str">
        <f>IF('All Cases - Enter Cases'!$F972="Punjab",'All Cases - Enter Cases'!A972,"")</f>
        <v/>
      </c>
      <c r="B972" t="str">
        <f>IF($A972&lt;&gt;"",'All Cases - Enter Cases'!B972,"")</f>
        <v/>
      </c>
      <c r="C972" t="str">
        <f>IF($A972&lt;&gt;"",'All Cases - Enter Cases'!C972,"")</f>
        <v/>
      </c>
      <c r="D972" t="str">
        <f>IF($A972&lt;&gt;"",'All Cases - Enter Cases'!D972,"")</f>
        <v/>
      </c>
      <c r="E972" t="str">
        <f>IF($A972&lt;&gt;"",'All Cases - Enter Cases'!E972,"")</f>
        <v/>
      </c>
      <c r="F972" t="str">
        <f>IF($A972&lt;&gt;"",'All Cases - Enter Cases'!F972,"")</f>
        <v/>
      </c>
      <c r="G972" t="str">
        <f>IF($A972&lt;&gt;"",'All Cases - Enter Cases'!G972,"")</f>
        <v/>
      </c>
      <c r="H972" t="str">
        <f>IF($A972&lt;&gt;"",'All Cases - Enter Cases'!H972,"")</f>
        <v/>
      </c>
      <c r="I972" t="str">
        <f>IF($A972&lt;&gt;"",'All Cases - Enter Cases'!I972,"")</f>
        <v/>
      </c>
      <c r="J972" s="4" t="str">
        <f>IF($A972&lt;&gt;"",'All Cases - Enter Cases'!J972,"")</f>
        <v/>
      </c>
      <c r="K972" s="4" t="str">
        <f>IF($A972&lt;&gt;"",'All Cases - Enter Cases'!K972,"")</f>
        <v/>
      </c>
      <c r="L972" s="4" t="str">
        <f>IF($A972&lt;&gt;"",'All Cases - Enter Cases'!L972,"")</f>
        <v/>
      </c>
      <c r="M972" t="str">
        <f>IF($A972&lt;&gt;"",'All Cases - Enter Cases'!M972,"")</f>
        <v/>
      </c>
    </row>
    <row r="973" spans="1:13" x14ac:dyDescent="0.35">
      <c r="A973" s="4" t="str">
        <f>IF('All Cases - Enter Cases'!$F973="Punjab",'All Cases - Enter Cases'!A973,"")</f>
        <v/>
      </c>
      <c r="B973" t="str">
        <f>IF($A973&lt;&gt;"",'All Cases - Enter Cases'!B973,"")</f>
        <v/>
      </c>
      <c r="C973" t="str">
        <f>IF($A973&lt;&gt;"",'All Cases - Enter Cases'!C973,"")</f>
        <v/>
      </c>
      <c r="D973" t="str">
        <f>IF($A973&lt;&gt;"",'All Cases - Enter Cases'!D973,"")</f>
        <v/>
      </c>
      <c r="E973" t="str">
        <f>IF($A973&lt;&gt;"",'All Cases - Enter Cases'!E973,"")</f>
        <v/>
      </c>
      <c r="F973" t="str">
        <f>IF($A973&lt;&gt;"",'All Cases - Enter Cases'!F973,"")</f>
        <v/>
      </c>
      <c r="G973" t="str">
        <f>IF($A973&lt;&gt;"",'All Cases - Enter Cases'!G973,"")</f>
        <v/>
      </c>
      <c r="H973" t="str">
        <f>IF($A973&lt;&gt;"",'All Cases - Enter Cases'!H973,"")</f>
        <v/>
      </c>
      <c r="I973" t="str">
        <f>IF($A973&lt;&gt;"",'All Cases - Enter Cases'!I973,"")</f>
        <v/>
      </c>
      <c r="J973" s="4" t="str">
        <f>IF($A973&lt;&gt;"",'All Cases - Enter Cases'!J973,"")</f>
        <v/>
      </c>
      <c r="K973" s="4" t="str">
        <f>IF($A973&lt;&gt;"",'All Cases - Enter Cases'!K973,"")</f>
        <v/>
      </c>
      <c r="L973" s="4" t="str">
        <f>IF($A973&lt;&gt;"",'All Cases - Enter Cases'!L973,"")</f>
        <v/>
      </c>
      <c r="M973" t="str">
        <f>IF($A973&lt;&gt;"",'All Cases - Enter Cases'!M973,"")</f>
        <v/>
      </c>
    </row>
    <row r="974" spans="1:13" x14ac:dyDescent="0.35">
      <c r="A974" s="4" t="str">
        <f>IF('All Cases - Enter Cases'!$F974="Punjab",'All Cases - Enter Cases'!A974,"")</f>
        <v/>
      </c>
      <c r="B974" t="str">
        <f>IF($A974&lt;&gt;"",'All Cases - Enter Cases'!B974,"")</f>
        <v/>
      </c>
      <c r="C974" t="str">
        <f>IF($A974&lt;&gt;"",'All Cases - Enter Cases'!C974,"")</f>
        <v/>
      </c>
      <c r="D974" t="str">
        <f>IF($A974&lt;&gt;"",'All Cases - Enter Cases'!D974,"")</f>
        <v/>
      </c>
      <c r="E974" t="str">
        <f>IF($A974&lt;&gt;"",'All Cases - Enter Cases'!E974,"")</f>
        <v/>
      </c>
      <c r="F974" t="str">
        <f>IF($A974&lt;&gt;"",'All Cases - Enter Cases'!F974,"")</f>
        <v/>
      </c>
      <c r="G974" t="str">
        <f>IF($A974&lt;&gt;"",'All Cases - Enter Cases'!G974,"")</f>
        <v/>
      </c>
      <c r="H974" t="str">
        <f>IF($A974&lt;&gt;"",'All Cases - Enter Cases'!H974,"")</f>
        <v/>
      </c>
      <c r="I974" t="str">
        <f>IF($A974&lt;&gt;"",'All Cases - Enter Cases'!I974,"")</f>
        <v/>
      </c>
      <c r="J974" s="4" t="str">
        <f>IF($A974&lt;&gt;"",'All Cases - Enter Cases'!J974,"")</f>
        <v/>
      </c>
      <c r="K974" s="4" t="str">
        <f>IF($A974&lt;&gt;"",'All Cases - Enter Cases'!K974,"")</f>
        <v/>
      </c>
      <c r="L974" s="4" t="str">
        <f>IF($A974&lt;&gt;"",'All Cases - Enter Cases'!L974,"")</f>
        <v/>
      </c>
      <c r="M974" t="str">
        <f>IF($A974&lt;&gt;"",'All Cases - Enter Cases'!M974,"")</f>
        <v/>
      </c>
    </row>
    <row r="975" spans="1:13" x14ac:dyDescent="0.35">
      <c r="A975" s="4" t="str">
        <f>IF('All Cases - Enter Cases'!$F975="Punjab",'All Cases - Enter Cases'!A975,"")</f>
        <v/>
      </c>
      <c r="B975" t="str">
        <f>IF($A975&lt;&gt;"",'All Cases - Enter Cases'!B975,"")</f>
        <v/>
      </c>
      <c r="C975" t="str">
        <f>IF($A975&lt;&gt;"",'All Cases - Enter Cases'!C975,"")</f>
        <v/>
      </c>
      <c r="D975" t="str">
        <f>IF($A975&lt;&gt;"",'All Cases - Enter Cases'!D975,"")</f>
        <v/>
      </c>
      <c r="E975" t="str">
        <f>IF($A975&lt;&gt;"",'All Cases - Enter Cases'!E975,"")</f>
        <v/>
      </c>
      <c r="F975" t="str">
        <f>IF($A975&lt;&gt;"",'All Cases - Enter Cases'!F975,"")</f>
        <v/>
      </c>
      <c r="G975" t="str">
        <f>IF($A975&lt;&gt;"",'All Cases - Enter Cases'!G975,"")</f>
        <v/>
      </c>
      <c r="H975" t="str">
        <f>IF($A975&lt;&gt;"",'All Cases - Enter Cases'!H975,"")</f>
        <v/>
      </c>
      <c r="I975" t="str">
        <f>IF($A975&lt;&gt;"",'All Cases - Enter Cases'!I975,"")</f>
        <v/>
      </c>
      <c r="J975" s="4" t="str">
        <f>IF($A975&lt;&gt;"",'All Cases - Enter Cases'!J975,"")</f>
        <v/>
      </c>
      <c r="K975" s="4" t="str">
        <f>IF($A975&lt;&gt;"",'All Cases - Enter Cases'!K975,"")</f>
        <v/>
      </c>
      <c r="L975" s="4" t="str">
        <f>IF($A975&lt;&gt;"",'All Cases - Enter Cases'!L975,"")</f>
        <v/>
      </c>
      <c r="M975" t="str">
        <f>IF($A975&lt;&gt;"",'All Cases - Enter Cases'!M975,"")</f>
        <v/>
      </c>
    </row>
    <row r="976" spans="1:13" x14ac:dyDescent="0.35">
      <c r="A976" s="4" t="str">
        <f>IF('All Cases - Enter Cases'!$F976="Punjab",'All Cases - Enter Cases'!A976,"")</f>
        <v/>
      </c>
      <c r="B976" t="str">
        <f>IF($A976&lt;&gt;"",'All Cases - Enter Cases'!B976,"")</f>
        <v/>
      </c>
      <c r="C976" t="str">
        <f>IF($A976&lt;&gt;"",'All Cases - Enter Cases'!C976,"")</f>
        <v/>
      </c>
      <c r="D976" t="str">
        <f>IF($A976&lt;&gt;"",'All Cases - Enter Cases'!D976,"")</f>
        <v/>
      </c>
      <c r="E976" t="str">
        <f>IF($A976&lt;&gt;"",'All Cases - Enter Cases'!E976,"")</f>
        <v/>
      </c>
      <c r="F976" t="str">
        <f>IF($A976&lt;&gt;"",'All Cases - Enter Cases'!F976,"")</f>
        <v/>
      </c>
      <c r="G976" t="str">
        <f>IF($A976&lt;&gt;"",'All Cases - Enter Cases'!G976,"")</f>
        <v/>
      </c>
      <c r="H976" t="str">
        <f>IF($A976&lt;&gt;"",'All Cases - Enter Cases'!H976,"")</f>
        <v/>
      </c>
      <c r="I976" t="str">
        <f>IF($A976&lt;&gt;"",'All Cases - Enter Cases'!I976,"")</f>
        <v/>
      </c>
      <c r="J976" s="4" t="str">
        <f>IF($A976&lt;&gt;"",'All Cases - Enter Cases'!J976,"")</f>
        <v/>
      </c>
      <c r="K976" s="4" t="str">
        <f>IF($A976&lt;&gt;"",'All Cases - Enter Cases'!K976,"")</f>
        <v/>
      </c>
      <c r="L976" s="4" t="str">
        <f>IF($A976&lt;&gt;"",'All Cases - Enter Cases'!L976,"")</f>
        <v/>
      </c>
      <c r="M976" t="str">
        <f>IF($A976&lt;&gt;"",'All Cases - Enter Cases'!M976,"")</f>
        <v/>
      </c>
    </row>
    <row r="977" spans="1:13" x14ac:dyDescent="0.35">
      <c r="A977" s="4" t="str">
        <f>IF('All Cases - Enter Cases'!$F977="Punjab",'All Cases - Enter Cases'!A977,"")</f>
        <v/>
      </c>
      <c r="B977" t="str">
        <f>IF($A977&lt;&gt;"",'All Cases - Enter Cases'!B977,"")</f>
        <v/>
      </c>
      <c r="C977" t="str">
        <f>IF($A977&lt;&gt;"",'All Cases - Enter Cases'!C977,"")</f>
        <v/>
      </c>
      <c r="D977" t="str">
        <f>IF($A977&lt;&gt;"",'All Cases - Enter Cases'!D977,"")</f>
        <v/>
      </c>
      <c r="E977" t="str">
        <f>IF($A977&lt;&gt;"",'All Cases - Enter Cases'!E977,"")</f>
        <v/>
      </c>
      <c r="F977" t="str">
        <f>IF($A977&lt;&gt;"",'All Cases - Enter Cases'!F977,"")</f>
        <v/>
      </c>
      <c r="G977" t="str">
        <f>IF($A977&lt;&gt;"",'All Cases - Enter Cases'!G977,"")</f>
        <v/>
      </c>
      <c r="H977" t="str">
        <f>IF($A977&lt;&gt;"",'All Cases - Enter Cases'!H977,"")</f>
        <v/>
      </c>
      <c r="I977" t="str">
        <f>IF($A977&lt;&gt;"",'All Cases - Enter Cases'!I977,"")</f>
        <v/>
      </c>
      <c r="J977" s="4" t="str">
        <f>IF($A977&lt;&gt;"",'All Cases - Enter Cases'!J977,"")</f>
        <v/>
      </c>
      <c r="K977" s="4" t="str">
        <f>IF($A977&lt;&gt;"",'All Cases - Enter Cases'!K977,"")</f>
        <v/>
      </c>
      <c r="L977" s="4" t="str">
        <f>IF($A977&lt;&gt;"",'All Cases - Enter Cases'!L977,"")</f>
        <v/>
      </c>
      <c r="M977" t="str">
        <f>IF($A977&lt;&gt;"",'All Cases - Enter Cases'!M977,"")</f>
        <v/>
      </c>
    </row>
    <row r="978" spans="1:13" x14ac:dyDescent="0.35">
      <c r="A978" s="4" t="str">
        <f>IF('All Cases - Enter Cases'!$F978="Punjab",'All Cases - Enter Cases'!A978,"")</f>
        <v/>
      </c>
      <c r="B978" t="str">
        <f>IF($A978&lt;&gt;"",'All Cases - Enter Cases'!B978,"")</f>
        <v/>
      </c>
      <c r="C978" t="str">
        <f>IF($A978&lt;&gt;"",'All Cases - Enter Cases'!C978,"")</f>
        <v/>
      </c>
      <c r="D978" t="str">
        <f>IF($A978&lt;&gt;"",'All Cases - Enter Cases'!D978,"")</f>
        <v/>
      </c>
      <c r="E978" t="str">
        <f>IF($A978&lt;&gt;"",'All Cases - Enter Cases'!E978,"")</f>
        <v/>
      </c>
      <c r="F978" t="str">
        <f>IF($A978&lt;&gt;"",'All Cases - Enter Cases'!F978,"")</f>
        <v/>
      </c>
      <c r="G978" t="str">
        <f>IF($A978&lt;&gt;"",'All Cases - Enter Cases'!G978,"")</f>
        <v/>
      </c>
      <c r="H978" t="str">
        <f>IF($A978&lt;&gt;"",'All Cases - Enter Cases'!H978,"")</f>
        <v/>
      </c>
      <c r="I978" t="str">
        <f>IF($A978&lt;&gt;"",'All Cases - Enter Cases'!I978,"")</f>
        <v/>
      </c>
      <c r="J978" s="4" t="str">
        <f>IF($A978&lt;&gt;"",'All Cases - Enter Cases'!J978,"")</f>
        <v/>
      </c>
      <c r="K978" s="4" t="str">
        <f>IF($A978&lt;&gt;"",'All Cases - Enter Cases'!K978,"")</f>
        <v/>
      </c>
      <c r="L978" s="4" t="str">
        <f>IF($A978&lt;&gt;"",'All Cases - Enter Cases'!L978,"")</f>
        <v/>
      </c>
      <c r="M978" t="str">
        <f>IF($A978&lt;&gt;"",'All Cases - Enter Cases'!M978,"")</f>
        <v/>
      </c>
    </row>
    <row r="979" spans="1:13" x14ac:dyDescent="0.35">
      <c r="A979" s="4" t="str">
        <f>IF('All Cases - Enter Cases'!$F979="Punjab",'All Cases - Enter Cases'!A979,"")</f>
        <v/>
      </c>
      <c r="B979" t="str">
        <f>IF($A979&lt;&gt;"",'All Cases - Enter Cases'!B979,"")</f>
        <v/>
      </c>
      <c r="C979" t="str">
        <f>IF($A979&lt;&gt;"",'All Cases - Enter Cases'!C979,"")</f>
        <v/>
      </c>
      <c r="D979" t="str">
        <f>IF($A979&lt;&gt;"",'All Cases - Enter Cases'!D979,"")</f>
        <v/>
      </c>
      <c r="E979" t="str">
        <f>IF($A979&lt;&gt;"",'All Cases - Enter Cases'!E979,"")</f>
        <v/>
      </c>
      <c r="F979" t="str">
        <f>IF($A979&lt;&gt;"",'All Cases - Enter Cases'!F979,"")</f>
        <v/>
      </c>
      <c r="G979" t="str">
        <f>IF($A979&lt;&gt;"",'All Cases - Enter Cases'!G979,"")</f>
        <v/>
      </c>
      <c r="H979" t="str">
        <f>IF($A979&lt;&gt;"",'All Cases - Enter Cases'!H979,"")</f>
        <v/>
      </c>
      <c r="I979" t="str">
        <f>IF($A979&lt;&gt;"",'All Cases - Enter Cases'!I979,"")</f>
        <v/>
      </c>
      <c r="J979" s="4" t="str">
        <f>IF($A979&lt;&gt;"",'All Cases - Enter Cases'!J979,"")</f>
        <v/>
      </c>
      <c r="K979" s="4" t="str">
        <f>IF($A979&lt;&gt;"",'All Cases - Enter Cases'!K979,"")</f>
        <v/>
      </c>
      <c r="L979" s="4" t="str">
        <f>IF($A979&lt;&gt;"",'All Cases - Enter Cases'!L979,"")</f>
        <v/>
      </c>
      <c r="M979" t="str">
        <f>IF($A979&lt;&gt;"",'All Cases - Enter Cases'!M979,"")</f>
        <v/>
      </c>
    </row>
    <row r="980" spans="1:13" x14ac:dyDescent="0.35">
      <c r="A980" s="4" t="str">
        <f>IF('All Cases - Enter Cases'!$F980="Punjab",'All Cases - Enter Cases'!A980,"")</f>
        <v/>
      </c>
      <c r="B980" t="str">
        <f>IF($A980&lt;&gt;"",'All Cases - Enter Cases'!B980,"")</f>
        <v/>
      </c>
      <c r="C980" t="str">
        <f>IF($A980&lt;&gt;"",'All Cases - Enter Cases'!C980,"")</f>
        <v/>
      </c>
      <c r="D980" t="str">
        <f>IF($A980&lt;&gt;"",'All Cases - Enter Cases'!D980,"")</f>
        <v/>
      </c>
      <c r="E980" t="str">
        <f>IF($A980&lt;&gt;"",'All Cases - Enter Cases'!E980,"")</f>
        <v/>
      </c>
      <c r="F980" t="str">
        <f>IF($A980&lt;&gt;"",'All Cases - Enter Cases'!F980,"")</f>
        <v/>
      </c>
      <c r="G980" t="str">
        <f>IF($A980&lt;&gt;"",'All Cases - Enter Cases'!G980,"")</f>
        <v/>
      </c>
      <c r="H980" t="str">
        <f>IF($A980&lt;&gt;"",'All Cases - Enter Cases'!H980,"")</f>
        <v/>
      </c>
      <c r="I980" t="str">
        <f>IF($A980&lt;&gt;"",'All Cases - Enter Cases'!I980,"")</f>
        <v/>
      </c>
      <c r="J980" s="4" t="str">
        <f>IF($A980&lt;&gt;"",'All Cases - Enter Cases'!J980,"")</f>
        <v/>
      </c>
      <c r="K980" s="4" t="str">
        <f>IF($A980&lt;&gt;"",'All Cases - Enter Cases'!K980,"")</f>
        <v/>
      </c>
      <c r="L980" s="4" t="str">
        <f>IF($A980&lt;&gt;"",'All Cases - Enter Cases'!L980,"")</f>
        <v/>
      </c>
      <c r="M980" t="str">
        <f>IF($A980&lt;&gt;"",'All Cases - Enter Cases'!M980,"")</f>
        <v/>
      </c>
    </row>
    <row r="981" spans="1:13" x14ac:dyDescent="0.35">
      <c r="A981" s="4" t="str">
        <f>IF('All Cases - Enter Cases'!$F981="Punjab",'All Cases - Enter Cases'!A981,"")</f>
        <v/>
      </c>
      <c r="B981" t="str">
        <f>IF($A981&lt;&gt;"",'All Cases - Enter Cases'!B981,"")</f>
        <v/>
      </c>
      <c r="C981" t="str">
        <f>IF($A981&lt;&gt;"",'All Cases - Enter Cases'!C981,"")</f>
        <v/>
      </c>
      <c r="D981" t="str">
        <f>IF($A981&lt;&gt;"",'All Cases - Enter Cases'!D981,"")</f>
        <v/>
      </c>
      <c r="E981" t="str">
        <f>IF($A981&lt;&gt;"",'All Cases - Enter Cases'!E981,"")</f>
        <v/>
      </c>
      <c r="F981" t="str">
        <f>IF($A981&lt;&gt;"",'All Cases - Enter Cases'!F981,"")</f>
        <v/>
      </c>
      <c r="G981" t="str">
        <f>IF($A981&lt;&gt;"",'All Cases - Enter Cases'!G981,"")</f>
        <v/>
      </c>
      <c r="H981" t="str">
        <f>IF($A981&lt;&gt;"",'All Cases - Enter Cases'!H981,"")</f>
        <v/>
      </c>
      <c r="I981" t="str">
        <f>IF($A981&lt;&gt;"",'All Cases - Enter Cases'!I981,"")</f>
        <v/>
      </c>
      <c r="J981" s="4" t="str">
        <f>IF($A981&lt;&gt;"",'All Cases - Enter Cases'!J981,"")</f>
        <v/>
      </c>
      <c r="K981" s="4" t="str">
        <f>IF($A981&lt;&gt;"",'All Cases - Enter Cases'!K981,"")</f>
        <v/>
      </c>
      <c r="L981" s="4" t="str">
        <f>IF($A981&lt;&gt;"",'All Cases - Enter Cases'!L981,"")</f>
        <v/>
      </c>
      <c r="M981" t="str">
        <f>IF($A981&lt;&gt;"",'All Cases - Enter Cases'!M981,"")</f>
        <v/>
      </c>
    </row>
    <row r="982" spans="1:13" x14ac:dyDescent="0.35">
      <c r="A982" s="4" t="str">
        <f>IF('All Cases - Enter Cases'!$F982="Punjab",'All Cases - Enter Cases'!A982,"")</f>
        <v/>
      </c>
      <c r="B982" t="str">
        <f>IF($A982&lt;&gt;"",'All Cases - Enter Cases'!B982,"")</f>
        <v/>
      </c>
      <c r="C982" t="str">
        <f>IF($A982&lt;&gt;"",'All Cases - Enter Cases'!C982,"")</f>
        <v/>
      </c>
      <c r="D982" t="str">
        <f>IF($A982&lt;&gt;"",'All Cases - Enter Cases'!D982,"")</f>
        <v/>
      </c>
      <c r="E982" t="str">
        <f>IF($A982&lt;&gt;"",'All Cases - Enter Cases'!E982,"")</f>
        <v/>
      </c>
      <c r="F982" t="str">
        <f>IF($A982&lt;&gt;"",'All Cases - Enter Cases'!F982,"")</f>
        <v/>
      </c>
      <c r="G982" t="str">
        <f>IF($A982&lt;&gt;"",'All Cases - Enter Cases'!G982,"")</f>
        <v/>
      </c>
      <c r="H982" t="str">
        <f>IF($A982&lt;&gt;"",'All Cases - Enter Cases'!H982,"")</f>
        <v/>
      </c>
      <c r="I982" t="str">
        <f>IF($A982&lt;&gt;"",'All Cases - Enter Cases'!I982,"")</f>
        <v/>
      </c>
      <c r="J982" s="4" t="str">
        <f>IF($A982&lt;&gt;"",'All Cases - Enter Cases'!J982,"")</f>
        <v/>
      </c>
      <c r="K982" s="4" t="str">
        <f>IF($A982&lt;&gt;"",'All Cases - Enter Cases'!K982,"")</f>
        <v/>
      </c>
      <c r="L982" s="4" t="str">
        <f>IF($A982&lt;&gt;"",'All Cases - Enter Cases'!L982,"")</f>
        <v/>
      </c>
      <c r="M982" t="str">
        <f>IF($A982&lt;&gt;"",'All Cases - Enter Cases'!M982,"")</f>
        <v/>
      </c>
    </row>
    <row r="983" spans="1:13" x14ac:dyDescent="0.35">
      <c r="A983" s="4" t="str">
        <f>IF('All Cases - Enter Cases'!$F983="Punjab",'All Cases - Enter Cases'!A983,"")</f>
        <v/>
      </c>
      <c r="B983" t="str">
        <f>IF($A983&lt;&gt;"",'All Cases - Enter Cases'!B983,"")</f>
        <v/>
      </c>
      <c r="C983" t="str">
        <f>IF($A983&lt;&gt;"",'All Cases - Enter Cases'!C983,"")</f>
        <v/>
      </c>
      <c r="D983" t="str">
        <f>IF($A983&lt;&gt;"",'All Cases - Enter Cases'!D983,"")</f>
        <v/>
      </c>
      <c r="E983" t="str">
        <f>IF($A983&lt;&gt;"",'All Cases - Enter Cases'!E983,"")</f>
        <v/>
      </c>
      <c r="F983" t="str">
        <f>IF($A983&lt;&gt;"",'All Cases - Enter Cases'!F983,"")</f>
        <v/>
      </c>
      <c r="G983" t="str">
        <f>IF($A983&lt;&gt;"",'All Cases - Enter Cases'!G983,"")</f>
        <v/>
      </c>
      <c r="H983" t="str">
        <f>IF($A983&lt;&gt;"",'All Cases - Enter Cases'!H983,"")</f>
        <v/>
      </c>
      <c r="I983" t="str">
        <f>IF($A983&lt;&gt;"",'All Cases - Enter Cases'!I983,"")</f>
        <v/>
      </c>
      <c r="J983" s="4" t="str">
        <f>IF($A983&lt;&gt;"",'All Cases - Enter Cases'!J983,"")</f>
        <v/>
      </c>
      <c r="K983" s="4" t="str">
        <f>IF($A983&lt;&gt;"",'All Cases - Enter Cases'!K983,"")</f>
        <v/>
      </c>
      <c r="L983" s="4" t="str">
        <f>IF($A983&lt;&gt;"",'All Cases - Enter Cases'!L983,"")</f>
        <v/>
      </c>
      <c r="M983" t="str">
        <f>IF($A983&lt;&gt;"",'All Cases - Enter Cases'!M983,"")</f>
        <v/>
      </c>
    </row>
    <row r="984" spans="1:13" x14ac:dyDescent="0.35">
      <c r="A984" s="4" t="str">
        <f>IF('All Cases - Enter Cases'!$F984="Punjab",'All Cases - Enter Cases'!A984,"")</f>
        <v/>
      </c>
      <c r="B984" t="str">
        <f>IF($A984&lt;&gt;"",'All Cases - Enter Cases'!B984,"")</f>
        <v/>
      </c>
      <c r="C984" t="str">
        <f>IF($A984&lt;&gt;"",'All Cases - Enter Cases'!C984,"")</f>
        <v/>
      </c>
      <c r="D984" t="str">
        <f>IF($A984&lt;&gt;"",'All Cases - Enter Cases'!D984,"")</f>
        <v/>
      </c>
      <c r="E984" t="str">
        <f>IF($A984&lt;&gt;"",'All Cases - Enter Cases'!E984,"")</f>
        <v/>
      </c>
      <c r="F984" t="str">
        <f>IF($A984&lt;&gt;"",'All Cases - Enter Cases'!F984,"")</f>
        <v/>
      </c>
      <c r="G984" t="str">
        <f>IF($A984&lt;&gt;"",'All Cases - Enter Cases'!G984,"")</f>
        <v/>
      </c>
      <c r="H984" t="str">
        <f>IF($A984&lt;&gt;"",'All Cases - Enter Cases'!H984,"")</f>
        <v/>
      </c>
      <c r="I984" t="str">
        <f>IF($A984&lt;&gt;"",'All Cases - Enter Cases'!I984,"")</f>
        <v/>
      </c>
      <c r="J984" s="4" t="str">
        <f>IF($A984&lt;&gt;"",'All Cases - Enter Cases'!J984,"")</f>
        <v/>
      </c>
      <c r="K984" s="4" t="str">
        <f>IF($A984&lt;&gt;"",'All Cases - Enter Cases'!K984,"")</f>
        <v/>
      </c>
      <c r="L984" s="4" t="str">
        <f>IF($A984&lt;&gt;"",'All Cases - Enter Cases'!L984,"")</f>
        <v/>
      </c>
      <c r="M984" t="str">
        <f>IF($A984&lt;&gt;"",'All Cases - Enter Cases'!M984,"")</f>
        <v/>
      </c>
    </row>
    <row r="985" spans="1:13" x14ac:dyDescent="0.35">
      <c r="A985" s="4" t="str">
        <f>IF('All Cases - Enter Cases'!$F985="Punjab",'All Cases - Enter Cases'!A985,"")</f>
        <v/>
      </c>
      <c r="B985" t="str">
        <f>IF($A985&lt;&gt;"",'All Cases - Enter Cases'!B985,"")</f>
        <v/>
      </c>
      <c r="C985" t="str">
        <f>IF($A985&lt;&gt;"",'All Cases - Enter Cases'!C985,"")</f>
        <v/>
      </c>
      <c r="D985" t="str">
        <f>IF($A985&lt;&gt;"",'All Cases - Enter Cases'!D985,"")</f>
        <v/>
      </c>
      <c r="E985" t="str">
        <f>IF($A985&lt;&gt;"",'All Cases - Enter Cases'!E985,"")</f>
        <v/>
      </c>
      <c r="F985" t="str">
        <f>IF($A985&lt;&gt;"",'All Cases - Enter Cases'!F985,"")</f>
        <v/>
      </c>
      <c r="G985" t="str">
        <f>IF($A985&lt;&gt;"",'All Cases - Enter Cases'!G985,"")</f>
        <v/>
      </c>
      <c r="H985" t="str">
        <f>IF($A985&lt;&gt;"",'All Cases - Enter Cases'!H985,"")</f>
        <v/>
      </c>
      <c r="I985" t="str">
        <f>IF($A985&lt;&gt;"",'All Cases - Enter Cases'!I985,"")</f>
        <v/>
      </c>
      <c r="J985" s="4" t="str">
        <f>IF($A985&lt;&gt;"",'All Cases - Enter Cases'!J985,"")</f>
        <v/>
      </c>
      <c r="K985" s="4" t="str">
        <f>IF($A985&lt;&gt;"",'All Cases - Enter Cases'!K985,"")</f>
        <v/>
      </c>
      <c r="L985" s="4" t="str">
        <f>IF($A985&lt;&gt;"",'All Cases - Enter Cases'!L985,"")</f>
        <v/>
      </c>
      <c r="M985" t="str">
        <f>IF($A985&lt;&gt;"",'All Cases - Enter Cases'!M985,"")</f>
        <v/>
      </c>
    </row>
    <row r="986" spans="1:13" x14ac:dyDescent="0.35">
      <c r="A986" s="4" t="str">
        <f>IF('All Cases - Enter Cases'!$F986="Punjab",'All Cases - Enter Cases'!A986,"")</f>
        <v/>
      </c>
      <c r="B986" t="str">
        <f>IF($A986&lt;&gt;"",'All Cases - Enter Cases'!B986,"")</f>
        <v/>
      </c>
      <c r="C986" t="str">
        <f>IF($A986&lt;&gt;"",'All Cases - Enter Cases'!C986,"")</f>
        <v/>
      </c>
      <c r="D986" t="str">
        <f>IF($A986&lt;&gt;"",'All Cases - Enter Cases'!D986,"")</f>
        <v/>
      </c>
      <c r="E986" t="str">
        <f>IF($A986&lt;&gt;"",'All Cases - Enter Cases'!E986,"")</f>
        <v/>
      </c>
      <c r="F986" t="str">
        <f>IF($A986&lt;&gt;"",'All Cases - Enter Cases'!F986,"")</f>
        <v/>
      </c>
      <c r="G986" t="str">
        <f>IF($A986&lt;&gt;"",'All Cases - Enter Cases'!G986,"")</f>
        <v/>
      </c>
      <c r="H986" t="str">
        <f>IF($A986&lt;&gt;"",'All Cases - Enter Cases'!H986,"")</f>
        <v/>
      </c>
      <c r="I986" t="str">
        <f>IF($A986&lt;&gt;"",'All Cases - Enter Cases'!I986,"")</f>
        <v/>
      </c>
      <c r="J986" s="4" t="str">
        <f>IF($A986&lt;&gt;"",'All Cases - Enter Cases'!J986,"")</f>
        <v/>
      </c>
      <c r="K986" s="4" t="str">
        <f>IF($A986&lt;&gt;"",'All Cases - Enter Cases'!K986,"")</f>
        <v/>
      </c>
      <c r="L986" s="4" t="str">
        <f>IF($A986&lt;&gt;"",'All Cases - Enter Cases'!L986,"")</f>
        <v/>
      </c>
      <c r="M986" t="str">
        <f>IF($A986&lt;&gt;"",'All Cases - Enter Cases'!M986,"")</f>
        <v/>
      </c>
    </row>
    <row r="987" spans="1:13" x14ac:dyDescent="0.35">
      <c r="A987" s="4" t="str">
        <f>IF('All Cases - Enter Cases'!$F987="Punjab",'All Cases - Enter Cases'!A987,"")</f>
        <v/>
      </c>
      <c r="B987" t="str">
        <f>IF($A987&lt;&gt;"",'All Cases - Enter Cases'!B987,"")</f>
        <v/>
      </c>
      <c r="C987" t="str">
        <f>IF($A987&lt;&gt;"",'All Cases - Enter Cases'!C987,"")</f>
        <v/>
      </c>
      <c r="D987" t="str">
        <f>IF($A987&lt;&gt;"",'All Cases - Enter Cases'!D987,"")</f>
        <v/>
      </c>
      <c r="E987" t="str">
        <f>IF($A987&lt;&gt;"",'All Cases - Enter Cases'!E987,"")</f>
        <v/>
      </c>
      <c r="F987" t="str">
        <f>IF($A987&lt;&gt;"",'All Cases - Enter Cases'!F987,"")</f>
        <v/>
      </c>
      <c r="G987" t="str">
        <f>IF($A987&lt;&gt;"",'All Cases - Enter Cases'!G987,"")</f>
        <v/>
      </c>
      <c r="H987" t="str">
        <f>IF($A987&lt;&gt;"",'All Cases - Enter Cases'!H987,"")</f>
        <v/>
      </c>
      <c r="I987" t="str">
        <f>IF($A987&lt;&gt;"",'All Cases - Enter Cases'!I987,"")</f>
        <v/>
      </c>
      <c r="J987" s="4" t="str">
        <f>IF($A987&lt;&gt;"",'All Cases - Enter Cases'!J987,"")</f>
        <v/>
      </c>
      <c r="K987" s="4" t="str">
        <f>IF($A987&lt;&gt;"",'All Cases - Enter Cases'!K987,"")</f>
        <v/>
      </c>
      <c r="L987" s="4" t="str">
        <f>IF($A987&lt;&gt;"",'All Cases - Enter Cases'!L987,"")</f>
        <v/>
      </c>
      <c r="M987" t="str">
        <f>IF($A987&lt;&gt;"",'All Cases - Enter Cases'!M987,"")</f>
        <v/>
      </c>
    </row>
    <row r="988" spans="1:13" x14ac:dyDescent="0.35">
      <c r="A988" s="4" t="str">
        <f>IF('All Cases - Enter Cases'!$F988="Punjab",'All Cases - Enter Cases'!A988,"")</f>
        <v/>
      </c>
      <c r="B988" t="str">
        <f>IF($A988&lt;&gt;"",'All Cases - Enter Cases'!B988,"")</f>
        <v/>
      </c>
      <c r="C988" t="str">
        <f>IF($A988&lt;&gt;"",'All Cases - Enter Cases'!C988,"")</f>
        <v/>
      </c>
      <c r="D988" t="str">
        <f>IF($A988&lt;&gt;"",'All Cases - Enter Cases'!D988,"")</f>
        <v/>
      </c>
      <c r="E988" t="str">
        <f>IF($A988&lt;&gt;"",'All Cases - Enter Cases'!E988,"")</f>
        <v/>
      </c>
      <c r="F988" t="str">
        <f>IF($A988&lt;&gt;"",'All Cases - Enter Cases'!F988,"")</f>
        <v/>
      </c>
      <c r="G988" t="str">
        <f>IF($A988&lt;&gt;"",'All Cases - Enter Cases'!G988,"")</f>
        <v/>
      </c>
      <c r="H988" t="str">
        <f>IF($A988&lt;&gt;"",'All Cases - Enter Cases'!H988,"")</f>
        <v/>
      </c>
      <c r="I988" t="str">
        <f>IF($A988&lt;&gt;"",'All Cases - Enter Cases'!I988,"")</f>
        <v/>
      </c>
      <c r="J988" s="4" t="str">
        <f>IF($A988&lt;&gt;"",'All Cases - Enter Cases'!J988,"")</f>
        <v/>
      </c>
      <c r="K988" s="4" t="str">
        <f>IF($A988&lt;&gt;"",'All Cases - Enter Cases'!K988,"")</f>
        <v/>
      </c>
      <c r="L988" s="4" t="str">
        <f>IF($A988&lt;&gt;"",'All Cases - Enter Cases'!L988,"")</f>
        <v/>
      </c>
      <c r="M988" t="str">
        <f>IF($A988&lt;&gt;"",'All Cases - Enter Cases'!M988,"")</f>
        <v/>
      </c>
    </row>
    <row r="989" spans="1:13" x14ac:dyDescent="0.35">
      <c r="A989" s="4" t="str">
        <f>IF('All Cases - Enter Cases'!$F989="Punjab",'All Cases - Enter Cases'!A989,"")</f>
        <v/>
      </c>
      <c r="B989" t="str">
        <f>IF($A989&lt;&gt;"",'All Cases - Enter Cases'!B989,"")</f>
        <v/>
      </c>
      <c r="C989" t="str">
        <f>IF($A989&lt;&gt;"",'All Cases - Enter Cases'!C989,"")</f>
        <v/>
      </c>
      <c r="D989" t="str">
        <f>IF($A989&lt;&gt;"",'All Cases - Enter Cases'!D989,"")</f>
        <v/>
      </c>
      <c r="E989" t="str">
        <f>IF($A989&lt;&gt;"",'All Cases - Enter Cases'!E989,"")</f>
        <v/>
      </c>
      <c r="F989" t="str">
        <f>IF($A989&lt;&gt;"",'All Cases - Enter Cases'!F989,"")</f>
        <v/>
      </c>
      <c r="G989" t="str">
        <f>IF($A989&lt;&gt;"",'All Cases - Enter Cases'!G989,"")</f>
        <v/>
      </c>
      <c r="H989" t="str">
        <f>IF($A989&lt;&gt;"",'All Cases - Enter Cases'!H989,"")</f>
        <v/>
      </c>
      <c r="I989" t="str">
        <f>IF($A989&lt;&gt;"",'All Cases - Enter Cases'!I989,"")</f>
        <v/>
      </c>
      <c r="J989" s="4" t="str">
        <f>IF($A989&lt;&gt;"",'All Cases - Enter Cases'!J989,"")</f>
        <v/>
      </c>
      <c r="K989" s="4" t="str">
        <f>IF($A989&lt;&gt;"",'All Cases - Enter Cases'!K989,"")</f>
        <v/>
      </c>
      <c r="L989" s="4" t="str">
        <f>IF($A989&lt;&gt;"",'All Cases - Enter Cases'!L989,"")</f>
        <v/>
      </c>
      <c r="M989" t="str">
        <f>IF($A989&lt;&gt;"",'All Cases - Enter Cases'!M989,"")</f>
        <v/>
      </c>
    </row>
    <row r="990" spans="1:13" x14ac:dyDescent="0.35">
      <c r="A990" s="4" t="str">
        <f>IF('All Cases - Enter Cases'!$F990="Punjab",'All Cases - Enter Cases'!A990,"")</f>
        <v/>
      </c>
      <c r="B990" t="str">
        <f>IF($A990&lt;&gt;"",'All Cases - Enter Cases'!B990,"")</f>
        <v/>
      </c>
      <c r="C990" t="str">
        <f>IF($A990&lt;&gt;"",'All Cases - Enter Cases'!C990,"")</f>
        <v/>
      </c>
      <c r="D990" t="str">
        <f>IF($A990&lt;&gt;"",'All Cases - Enter Cases'!D990,"")</f>
        <v/>
      </c>
      <c r="E990" t="str">
        <f>IF($A990&lt;&gt;"",'All Cases - Enter Cases'!E990,"")</f>
        <v/>
      </c>
      <c r="F990" t="str">
        <f>IF($A990&lt;&gt;"",'All Cases - Enter Cases'!F990,"")</f>
        <v/>
      </c>
      <c r="G990" t="str">
        <f>IF($A990&lt;&gt;"",'All Cases - Enter Cases'!G990,"")</f>
        <v/>
      </c>
      <c r="H990" t="str">
        <f>IF($A990&lt;&gt;"",'All Cases - Enter Cases'!H990,"")</f>
        <v/>
      </c>
      <c r="I990" t="str">
        <f>IF($A990&lt;&gt;"",'All Cases - Enter Cases'!I990,"")</f>
        <v/>
      </c>
      <c r="J990" s="4" t="str">
        <f>IF($A990&lt;&gt;"",'All Cases - Enter Cases'!J990,"")</f>
        <v/>
      </c>
      <c r="K990" s="4" t="str">
        <f>IF($A990&lt;&gt;"",'All Cases - Enter Cases'!K990,"")</f>
        <v/>
      </c>
      <c r="L990" s="4" t="str">
        <f>IF($A990&lt;&gt;"",'All Cases - Enter Cases'!L990,"")</f>
        <v/>
      </c>
      <c r="M990" t="str">
        <f>IF($A990&lt;&gt;"",'All Cases - Enter Cases'!M990,"")</f>
        <v/>
      </c>
    </row>
    <row r="991" spans="1:13" x14ac:dyDescent="0.35">
      <c r="A991" s="4" t="str">
        <f>IF('All Cases - Enter Cases'!$F991="Punjab",'All Cases - Enter Cases'!A991,"")</f>
        <v/>
      </c>
      <c r="B991" t="str">
        <f>IF($A991&lt;&gt;"",'All Cases - Enter Cases'!B991,"")</f>
        <v/>
      </c>
      <c r="C991" t="str">
        <f>IF($A991&lt;&gt;"",'All Cases - Enter Cases'!C991,"")</f>
        <v/>
      </c>
      <c r="D991" t="str">
        <f>IF($A991&lt;&gt;"",'All Cases - Enter Cases'!D991,"")</f>
        <v/>
      </c>
      <c r="E991" t="str">
        <f>IF($A991&lt;&gt;"",'All Cases - Enter Cases'!E991,"")</f>
        <v/>
      </c>
      <c r="F991" t="str">
        <f>IF($A991&lt;&gt;"",'All Cases - Enter Cases'!F991,"")</f>
        <v/>
      </c>
      <c r="G991" t="str">
        <f>IF($A991&lt;&gt;"",'All Cases - Enter Cases'!G991,"")</f>
        <v/>
      </c>
      <c r="H991" t="str">
        <f>IF($A991&lt;&gt;"",'All Cases - Enter Cases'!H991,"")</f>
        <v/>
      </c>
      <c r="I991" t="str">
        <f>IF($A991&lt;&gt;"",'All Cases - Enter Cases'!I991,"")</f>
        <v/>
      </c>
      <c r="J991" s="4" t="str">
        <f>IF($A991&lt;&gt;"",'All Cases - Enter Cases'!J991,"")</f>
        <v/>
      </c>
      <c r="K991" s="4" t="str">
        <f>IF($A991&lt;&gt;"",'All Cases - Enter Cases'!K991,"")</f>
        <v/>
      </c>
      <c r="L991" s="4" t="str">
        <f>IF($A991&lt;&gt;"",'All Cases - Enter Cases'!L991,"")</f>
        <v/>
      </c>
      <c r="M991" t="str">
        <f>IF($A991&lt;&gt;"",'All Cases - Enter Cases'!M991,"")</f>
        <v/>
      </c>
    </row>
    <row r="992" spans="1:13" x14ac:dyDescent="0.35">
      <c r="A992" s="4" t="str">
        <f>IF('All Cases - Enter Cases'!$F992="Punjab",'All Cases - Enter Cases'!A992,"")</f>
        <v/>
      </c>
      <c r="B992" t="str">
        <f>IF($A992&lt;&gt;"",'All Cases - Enter Cases'!B992,"")</f>
        <v/>
      </c>
      <c r="C992" t="str">
        <f>IF($A992&lt;&gt;"",'All Cases - Enter Cases'!C992,"")</f>
        <v/>
      </c>
      <c r="D992" t="str">
        <f>IF($A992&lt;&gt;"",'All Cases - Enter Cases'!D992,"")</f>
        <v/>
      </c>
      <c r="E992" t="str">
        <f>IF($A992&lt;&gt;"",'All Cases - Enter Cases'!E992,"")</f>
        <v/>
      </c>
      <c r="F992" t="str">
        <f>IF($A992&lt;&gt;"",'All Cases - Enter Cases'!F992,"")</f>
        <v/>
      </c>
      <c r="G992" t="str">
        <f>IF($A992&lt;&gt;"",'All Cases - Enter Cases'!G992,"")</f>
        <v/>
      </c>
      <c r="H992" t="str">
        <f>IF($A992&lt;&gt;"",'All Cases - Enter Cases'!H992,"")</f>
        <v/>
      </c>
      <c r="I992" t="str">
        <f>IF($A992&lt;&gt;"",'All Cases - Enter Cases'!I992,"")</f>
        <v/>
      </c>
      <c r="J992" s="4" t="str">
        <f>IF($A992&lt;&gt;"",'All Cases - Enter Cases'!J992,"")</f>
        <v/>
      </c>
      <c r="K992" s="4" t="str">
        <f>IF($A992&lt;&gt;"",'All Cases - Enter Cases'!K992,"")</f>
        <v/>
      </c>
      <c r="L992" s="4" t="str">
        <f>IF($A992&lt;&gt;"",'All Cases - Enter Cases'!L992,"")</f>
        <v/>
      </c>
      <c r="M992" t="str">
        <f>IF($A992&lt;&gt;"",'All Cases - Enter Cases'!M992,"")</f>
        <v/>
      </c>
    </row>
    <row r="993" spans="1:13" x14ac:dyDescent="0.35">
      <c r="A993" s="4" t="str">
        <f>IF('All Cases - Enter Cases'!$F993="Punjab",'All Cases - Enter Cases'!A993,"")</f>
        <v/>
      </c>
      <c r="B993" t="str">
        <f>IF($A993&lt;&gt;"",'All Cases - Enter Cases'!B993,"")</f>
        <v/>
      </c>
      <c r="C993" t="str">
        <f>IF($A993&lt;&gt;"",'All Cases - Enter Cases'!C993,"")</f>
        <v/>
      </c>
      <c r="D993" t="str">
        <f>IF($A993&lt;&gt;"",'All Cases - Enter Cases'!D993,"")</f>
        <v/>
      </c>
      <c r="E993" t="str">
        <f>IF($A993&lt;&gt;"",'All Cases - Enter Cases'!E993,"")</f>
        <v/>
      </c>
      <c r="F993" t="str">
        <f>IF($A993&lt;&gt;"",'All Cases - Enter Cases'!F993,"")</f>
        <v/>
      </c>
      <c r="G993" t="str">
        <f>IF($A993&lt;&gt;"",'All Cases - Enter Cases'!G993,"")</f>
        <v/>
      </c>
      <c r="H993" t="str">
        <f>IF($A993&lt;&gt;"",'All Cases - Enter Cases'!H993,"")</f>
        <v/>
      </c>
      <c r="I993" t="str">
        <f>IF($A993&lt;&gt;"",'All Cases - Enter Cases'!I993,"")</f>
        <v/>
      </c>
      <c r="J993" s="4" t="str">
        <f>IF($A993&lt;&gt;"",'All Cases - Enter Cases'!J993,"")</f>
        <v/>
      </c>
      <c r="K993" s="4" t="str">
        <f>IF($A993&lt;&gt;"",'All Cases - Enter Cases'!K993,"")</f>
        <v/>
      </c>
      <c r="L993" s="4" t="str">
        <f>IF($A993&lt;&gt;"",'All Cases - Enter Cases'!L993,"")</f>
        <v/>
      </c>
      <c r="M993" t="str">
        <f>IF($A993&lt;&gt;"",'All Cases - Enter Cases'!M993,"")</f>
        <v/>
      </c>
    </row>
    <row r="994" spans="1:13" x14ac:dyDescent="0.35">
      <c r="A994" s="4" t="str">
        <f>IF('All Cases - Enter Cases'!$F994="Punjab",'All Cases - Enter Cases'!A994,"")</f>
        <v/>
      </c>
      <c r="B994" t="str">
        <f>IF($A994&lt;&gt;"",'All Cases - Enter Cases'!B994,"")</f>
        <v/>
      </c>
      <c r="C994" t="str">
        <f>IF($A994&lt;&gt;"",'All Cases - Enter Cases'!C994,"")</f>
        <v/>
      </c>
      <c r="D994" t="str">
        <f>IF($A994&lt;&gt;"",'All Cases - Enter Cases'!D994,"")</f>
        <v/>
      </c>
      <c r="E994" t="str">
        <f>IF($A994&lt;&gt;"",'All Cases - Enter Cases'!E994,"")</f>
        <v/>
      </c>
      <c r="F994" t="str">
        <f>IF($A994&lt;&gt;"",'All Cases - Enter Cases'!F994,"")</f>
        <v/>
      </c>
      <c r="G994" t="str">
        <f>IF($A994&lt;&gt;"",'All Cases - Enter Cases'!G994,"")</f>
        <v/>
      </c>
      <c r="H994" t="str">
        <f>IF($A994&lt;&gt;"",'All Cases - Enter Cases'!H994,"")</f>
        <v/>
      </c>
      <c r="I994" t="str">
        <f>IF($A994&lt;&gt;"",'All Cases - Enter Cases'!I994,"")</f>
        <v/>
      </c>
      <c r="J994" s="4" t="str">
        <f>IF($A994&lt;&gt;"",'All Cases - Enter Cases'!J994,"")</f>
        <v/>
      </c>
      <c r="K994" s="4" t="str">
        <f>IF($A994&lt;&gt;"",'All Cases - Enter Cases'!K994,"")</f>
        <v/>
      </c>
      <c r="L994" s="4" t="str">
        <f>IF($A994&lt;&gt;"",'All Cases - Enter Cases'!L994,"")</f>
        <v/>
      </c>
      <c r="M994" t="str">
        <f>IF($A994&lt;&gt;"",'All Cases - Enter Cases'!M994,"")</f>
        <v/>
      </c>
    </row>
    <row r="995" spans="1:13" x14ac:dyDescent="0.35">
      <c r="A995" s="4" t="str">
        <f>IF('All Cases - Enter Cases'!$F995="Punjab",'All Cases - Enter Cases'!A995,"")</f>
        <v/>
      </c>
      <c r="B995" t="str">
        <f>IF($A995&lt;&gt;"",'All Cases - Enter Cases'!B995,"")</f>
        <v/>
      </c>
      <c r="C995" t="str">
        <f>IF($A995&lt;&gt;"",'All Cases - Enter Cases'!C995,"")</f>
        <v/>
      </c>
      <c r="D995" t="str">
        <f>IF($A995&lt;&gt;"",'All Cases - Enter Cases'!D995,"")</f>
        <v/>
      </c>
      <c r="E995" t="str">
        <f>IF($A995&lt;&gt;"",'All Cases - Enter Cases'!E995,"")</f>
        <v/>
      </c>
      <c r="F995" t="str">
        <f>IF($A995&lt;&gt;"",'All Cases - Enter Cases'!F995,"")</f>
        <v/>
      </c>
      <c r="G995" t="str">
        <f>IF($A995&lt;&gt;"",'All Cases - Enter Cases'!G995,"")</f>
        <v/>
      </c>
      <c r="H995" t="str">
        <f>IF($A995&lt;&gt;"",'All Cases - Enter Cases'!H995,"")</f>
        <v/>
      </c>
      <c r="I995" t="str">
        <f>IF($A995&lt;&gt;"",'All Cases - Enter Cases'!I995,"")</f>
        <v/>
      </c>
      <c r="J995" s="4" t="str">
        <f>IF($A995&lt;&gt;"",'All Cases - Enter Cases'!J995,"")</f>
        <v/>
      </c>
      <c r="K995" s="4" t="str">
        <f>IF($A995&lt;&gt;"",'All Cases - Enter Cases'!K995,"")</f>
        <v/>
      </c>
      <c r="L995" s="4" t="str">
        <f>IF($A995&lt;&gt;"",'All Cases - Enter Cases'!L995,"")</f>
        <v/>
      </c>
      <c r="M995" t="str">
        <f>IF($A995&lt;&gt;"",'All Cases - Enter Cases'!M995,"")</f>
        <v/>
      </c>
    </row>
    <row r="996" spans="1:13" x14ac:dyDescent="0.35">
      <c r="A996" s="4" t="str">
        <f>IF('All Cases - Enter Cases'!$F996="Punjab",'All Cases - Enter Cases'!A996,"")</f>
        <v/>
      </c>
      <c r="B996" t="str">
        <f>IF($A996&lt;&gt;"",'All Cases - Enter Cases'!B996,"")</f>
        <v/>
      </c>
      <c r="C996" t="str">
        <f>IF($A996&lt;&gt;"",'All Cases - Enter Cases'!C996,"")</f>
        <v/>
      </c>
      <c r="D996" t="str">
        <f>IF($A996&lt;&gt;"",'All Cases - Enter Cases'!D996,"")</f>
        <v/>
      </c>
      <c r="E996" t="str">
        <f>IF($A996&lt;&gt;"",'All Cases - Enter Cases'!E996,"")</f>
        <v/>
      </c>
      <c r="F996" t="str">
        <f>IF($A996&lt;&gt;"",'All Cases - Enter Cases'!F996,"")</f>
        <v/>
      </c>
      <c r="G996" t="str">
        <f>IF($A996&lt;&gt;"",'All Cases - Enter Cases'!G996,"")</f>
        <v/>
      </c>
      <c r="H996" t="str">
        <f>IF($A996&lt;&gt;"",'All Cases - Enter Cases'!H996,"")</f>
        <v/>
      </c>
      <c r="I996" t="str">
        <f>IF($A996&lt;&gt;"",'All Cases - Enter Cases'!I996,"")</f>
        <v/>
      </c>
      <c r="J996" s="4" t="str">
        <f>IF($A996&lt;&gt;"",'All Cases - Enter Cases'!J996,"")</f>
        <v/>
      </c>
      <c r="K996" s="4" t="str">
        <f>IF($A996&lt;&gt;"",'All Cases - Enter Cases'!K996,"")</f>
        <v/>
      </c>
      <c r="L996" s="4" t="str">
        <f>IF($A996&lt;&gt;"",'All Cases - Enter Cases'!L996,"")</f>
        <v/>
      </c>
      <c r="M996" t="str">
        <f>IF($A996&lt;&gt;"",'All Cases - Enter Cases'!M996,"")</f>
        <v/>
      </c>
    </row>
    <row r="997" spans="1:13" x14ac:dyDescent="0.35">
      <c r="A997" s="4" t="str">
        <f>IF('All Cases - Enter Cases'!$F997="Punjab",'All Cases - Enter Cases'!A997,"")</f>
        <v/>
      </c>
      <c r="B997" t="str">
        <f>IF($A997&lt;&gt;"",'All Cases - Enter Cases'!B997,"")</f>
        <v/>
      </c>
      <c r="C997" t="str">
        <f>IF($A997&lt;&gt;"",'All Cases - Enter Cases'!C997,"")</f>
        <v/>
      </c>
      <c r="D997" t="str">
        <f>IF($A997&lt;&gt;"",'All Cases - Enter Cases'!D997,"")</f>
        <v/>
      </c>
      <c r="E997" t="str">
        <f>IF($A997&lt;&gt;"",'All Cases - Enter Cases'!E997,"")</f>
        <v/>
      </c>
      <c r="F997" t="str">
        <f>IF($A997&lt;&gt;"",'All Cases - Enter Cases'!F997,"")</f>
        <v/>
      </c>
      <c r="G997" t="str">
        <f>IF($A997&lt;&gt;"",'All Cases - Enter Cases'!G997,"")</f>
        <v/>
      </c>
      <c r="H997" t="str">
        <f>IF($A997&lt;&gt;"",'All Cases - Enter Cases'!H997,"")</f>
        <v/>
      </c>
      <c r="I997" t="str">
        <f>IF($A997&lt;&gt;"",'All Cases - Enter Cases'!I997,"")</f>
        <v/>
      </c>
      <c r="J997" s="4" t="str">
        <f>IF($A997&lt;&gt;"",'All Cases - Enter Cases'!J997,"")</f>
        <v/>
      </c>
      <c r="K997" s="4" t="str">
        <f>IF($A997&lt;&gt;"",'All Cases - Enter Cases'!K997,"")</f>
        <v/>
      </c>
      <c r="L997" s="4" t="str">
        <f>IF($A997&lt;&gt;"",'All Cases - Enter Cases'!L997,"")</f>
        <v/>
      </c>
      <c r="M997" t="str">
        <f>IF($A997&lt;&gt;"",'All Cases - Enter Cases'!M997,"")</f>
        <v/>
      </c>
    </row>
    <row r="998" spans="1:13" x14ac:dyDescent="0.35">
      <c r="A998" s="4" t="str">
        <f>IF('All Cases - Enter Cases'!$F998="Punjab",'All Cases - Enter Cases'!A998,"")</f>
        <v/>
      </c>
      <c r="B998" t="str">
        <f>IF($A998&lt;&gt;"",'All Cases - Enter Cases'!B998,"")</f>
        <v/>
      </c>
      <c r="C998" t="str">
        <f>IF($A998&lt;&gt;"",'All Cases - Enter Cases'!C998,"")</f>
        <v/>
      </c>
      <c r="D998" t="str">
        <f>IF($A998&lt;&gt;"",'All Cases - Enter Cases'!D998,"")</f>
        <v/>
      </c>
      <c r="E998" t="str">
        <f>IF($A998&lt;&gt;"",'All Cases - Enter Cases'!E998,"")</f>
        <v/>
      </c>
      <c r="F998" t="str">
        <f>IF($A998&lt;&gt;"",'All Cases - Enter Cases'!F998,"")</f>
        <v/>
      </c>
      <c r="G998" t="str">
        <f>IF($A998&lt;&gt;"",'All Cases - Enter Cases'!G998,"")</f>
        <v/>
      </c>
      <c r="H998" t="str">
        <f>IF($A998&lt;&gt;"",'All Cases - Enter Cases'!H998,"")</f>
        <v/>
      </c>
      <c r="I998" t="str">
        <f>IF($A998&lt;&gt;"",'All Cases - Enter Cases'!I998,"")</f>
        <v/>
      </c>
      <c r="J998" s="4" t="str">
        <f>IF($A998&lt;&gt;"",'All Cases - Enter Cases'!J998,"")</f>
        <v/>
      </c>
      <c r="K998" s="4" t="str">
        <f>IF($A998&lt;&gt;"",'All Cases - Enter Cases'!K998,"")</f>
        <v/>
      </c>
      <c r="L998" s="4" t="str">
        <f>IF($A998&lt;&gt;"",'All Cases - Enter Cases'!L998,"")</f>
        <v/>
      </c>
      <c r="M998" t="str">
        <f>IF($A998&lt;&gt;"",'All Cases - Enter Cases'!M998,"")</f>
        <v/>
      </c>
    </row>
    <row r="999" spans="1:13" x14ac:dyDescent="0.35">
      <c r="A999" s="4" t="str">
        <f>IF('All Cases - Enter Cases'!$F999="Punjab",'All Cases - Enter Cases'!A999,"")</f>
        <v/>
      </c>
      <c r="B999" t="str">
        <f>IF($A999&lt;&gt;"",'All Cases - Enter Cases'!B999,"")</f>
        <v/>
      </c>
      <c r="C999" t="str">
        <f>IF($A999&lt;&gt;"",'All Cases - Enter Cases'!C999,"")</f>
        <v/>
      </c>
      <c r="D999" t="str">
        <f>IF($A999&lt;&gt;"",'All Cases - Enter Cases'!D999,"")</f>
        <v/>
      </c>
      <c r="E999" t="str">
        <f>IF($A999&lt;&gt;"",'All Cases - Enter Cases'!E999,"")</f>
        <v/>
      </c>
      <c r="F999" t="str">
        <f>IF($A999&lt;&gt;"",'All Cases - Enter Cases'!F999,"")</f>
        <v/>
      </c>
      <c r="G999" t="str">
        <f>IF($A999&lt;&gt;"",'All Cases - Enter Cases'!G999,"")</f>
        <v/>
      </c>
      <c r="H999" t="str">
        <f>IF($A999&lt;&gt;"",'All Cases - Enter Cases'!H999,"")</f>
        <v/>
      </c>
      <c r="I999" t="str">
        <f>IF($A999&lt;&gt;"",'All Cases - Enter Cases'!I999,"")</f>
        <v/>
      </c>
      <c r="J999" s="4" t="str">
        <f>IF($A999&lt;&gt;"",'All Cases - Enter Cases'!J999,"")</f>
        <v/>
      </c>
      <c r="K999" s="4" t="str">
        <f>IF($A999&lt;&gt;"",'All Cases - Enter Cases'!K999,"")</f>
        <v/>
      </c>
      <c r="L999" s="4" t="str">
        <f>IF($A999&lt;&gt;"",'All Cases - Enter Cases'!L999,"")</f>
        <v/>
      </c>
      <c r="M999" t="str">
        <f>IF($A999&lt;&gt;"",'All Cases - Enter Cases'!M999,"")</f>
        <v/>
      </c>
    </row>
    <row r="1000" spans="1:13" x14ac:dyDescent="0.35">
      <c r="A1000" s="4" t="str">
        <f>IF('All Cases - Enter Cases'!$F1000="Punjab",'All Cases - Enter Cases'!A1000,"")</f>
        <v/>
      </c>
      <c r="B1000" t="str">
        <f>IF($A1000&lt;&gt;"",'All Cases - Enter Cases'!B1000,"")</f>
        <v/>
      </c>
      <c r="C1000" t="str">
        <f>IF($A1000&lt;&gt;"",'All Cases - Enter Cases'!C1000,"")</f>
        <v/>
      </c>
      <c r="D1000" t="str">
        <f>IF($A1000&lt;&gt;"",'All Cases - Enter Cases'!D1000,"")</f>
        <v/>
      </c>
      <c r="E1000" t="str">
        <f>IF($A1000&lt;&gt;"",'All Cases - Enter Cases'!E1000,"")</f>
        <v/>
      </c>
      <c r="F1000" t="str">
        <f>IF($A1000&lt;&gt;"",'All Cases - Enter Cases'!F1000,"")</f>
        <v/>
      </c>
      <c r="G1000" t="str">
        <f>IF($A1000&lt;&gt;"",'All Cases - Enter Cases'!G1000,"")</f>
        <v/>
      </c>
      <c r="H1000" t="str">
        <f>IF($A1000&lt;&gt;"",'All Cases - Enter Cases'!H1000,"")</f>
        <v/>
      </c>
      <c r="I1000" t="str">
        <f>IF($A1000&lt;&gt;"",'All Cases - Enter Cases'!I1000,"")</f>
        <v/>
      </c>
      <c r="J1000" s="4" t="str">
        <f>IF($A1000&lt;&gt;"",'All Cases - Enter Cases'!J1000,"")</f>
        <v/>
      </c>
      <c r="K1000" s="4" t="str">
        <f>IF($A1000&lt;&gt;"",'All Cases - Enter Cases'!K1000,"")</f>
        <v/>
      </c>
      <c r="L1000" s="4" t="str">
        <f>IF($A1000&lt;&gt;"",'All Cases - Enter Cases'!L1000,"")</f>
        <v/>
      </c>
      <c r="M1000" t="str">
        <f>IF($A1000&lt;&gt;"",'All Cases - Enter Cases'!M1000,"")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3" customWidth="1"/>
    <col min="3" max="3" width="17" customWidth="1"/>
    <col min="4" max="4" width="16" customWidth="1"/>
    <col min="5" max="7" width="10" customWidth="1"/>
    <col min="8" max="8" width="12" customWidth="1"/>
    <col min="9" max="9" width="14" customWidth="1"/>
    <col min="10" max="10" width="22" customWidth="1"/>
    <col min="11" max="12" width="13" customWidth="1"/>
    <col min="13" max="13" width="10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tr">
        <f>IF('All Cases - Enter Cases'!$F2="KPK",'All Cases - Enter Cases'!A2,"")</f>
        <v/>
      </c>
      <c r="B2" t="str">
        <f>IF($A2&lt;&gt;"",'All Cases - Enter Cases'!B2,"")</f>
        <v/>
      </c>
      <c r="C2" t="str">
        <f>IF($A2&lt;&gt;"",'All Cases - Enter Cases'!C2,"")</f>
        <v/>
      </c>
      <c r="D2" t="str">
        <f>IF($A2&lt;&gt;"",'All Cases - Enter Cases'!D2,"")</f>
        <v/>
      </c>
      <c r="E2" t="str">
        <f>IF($A2&lt;&gt;"",'All Cases - Enter Cases'!E2,"")</f>
        <v/>
      </c>
      <c r="F2" t="str">
        <f>IF($A2&lt;&gt;"",'All Cases - Enter Cases'!F2,"")</f>
        <v/>
      </c>
      <c r="G2" t="str">
        <f>IF($A2&lt;&gt;"",'All Cases - Enter Cases'!G2,"")</f>
        <v/>
      </c>
      <c r="H2" t="str">
        <f>IF($A2&lt;&gt;"",'All Cases - Enter Cases'!H2,"")</f>
        <v/>
      </c>
      <c r="I2" t="str">
        <f>IF($A2&lt;&gt;"",'All Cases - Enter Cases'!I2,"")</f>
        <v/>
      </c>
      <c r="J2" t="str">
        <f>IF($A2&lt;&gt;"",'All Cases - Enter Cases'!J2,"")</f>
        <v/>
      </c>
      <c r="K2" t="str">
        <f>IF($A2&lt;&gt;"",'All Cases - Enter Cases'!K2,"")</f>
        <v/>
      </c>
      <c r="L2" t="str">
        <f>IF($A2&lt;&gt;"",'All Cases - Enter Cases'!L2,"")</f>
        <v/>
      </c>
      <c r="M2" t="str">
        <f>IF($A2&lt;&gt;"",'All Cases - Enter Cases'!M2,"")</f>
        <v/>
      </c>
    </row>
    <row r="3" spans="1:13" x14ac:dyDescent="0.35">
      <c r="A3" t="str">
        <f>IF('All Cases - Enter Cases'!$F3="KPK",'All Cases - Enter Cases'!A3,"")</f>
        <v/>
      </c>
      <c r="B3" t="str">
        <f>IF($A3&lt;&gt;"",'All Cases - Enter Cases'!B3,"")</f>
        <v/>
      </c>
      <c r="C3" t="str">
        <f>IF($A3&lt;&gt;"",'All Cases - Enter Cases'!C3,"")</f>
        <v/>
      </c>
      <c r="D3" t="str">
        <f>IF($A3&lt;&gt;"",'All Cases - Enter Cases'!D3,"")</f>
        <v/>
      </c>
      <c r="E3" t="str">
        <f>IF($A3&lt;&gt;"",'All Cases - Enter Cases'!E3,"")</f>
        <v/>
      </c>
      <c r="F3" t="str">
        <f>IF($A3&lt;&gt;"",'All Cases - Enter Cases'!F3,"")</f>
        <v/>
      </c>
      <c r="G3" t="str">
        <f>IF($A3&lt;&gt;"",'All Cases - Enter Cases'!G3,"")</f>
        <v/>
      </c>
      <c r="H3" t="str">
        <f>IF($A3&lt;&gt;"",'All Cases - Enter Cases'!H3,"")</f>
        <v/>
      </c>
      <c r="I3" t="str">
        <f>IF($A3&lt;&gt;"",'All Cases - Enter Cases'!I3,"")</f>
        <v/>
      </c>
      <c r="J3" t="str">
        <f>IF($A3&lt;&gt;"",'All Cases - Enter Cases'!J3,"")</f>
        <v/>
      </c>
      <c r="K3" t="str">
        <f>IF($A3&lt;&gt;"",'All Cases - Enter Cases'!K3,"")</f>
        <v/>
      </c>
      <c r="L3" t="str">
        <f>IF($A3&lt;&gt;"",'All Cases - Enter Cases'!L3,"")</f>
        <v/>
      </c>
      <c r="M3" t="str">
        <f>IF($A3&lt;&gt;"",'All Cases - Enter Cases'!M3,"")</f>
        <v/>
      </c>
    </row>
    <row r="4" spans="1:13" x14ac:dyDescent="0.35">
      <c r="A4" t="str">
        <f>IF('All Cases - Enter Cases'!$F4="KPK",'All Cases - Enter Cases'!A4,"")</f>
        <v/>
      </c>
      <c r="B4" t="str">
        <f>IF($A4&lt;&gt;"",'All Cases - Enter Cases'!B4,"")</f>
        <v/>
      </c>
      <c r="C4" t="str">
        <f>IF($A4&lt;&gt;"",'All Cases - Enter Cases'!C4,"")</f>
        <v/>
      </c>
      <c r="D4" t="str">
        <f>IF($A4&lt;&gt;"",'All Cases - Enter Cases'!D4,"")</f>
        <v/>
      </c>
      <c r="E4" t="str">
        <f>IF($A4&lt;&gt;"",'All Cases - Enter Cases'!E4,"")</f>
        <v/>
      </c>
      <c r="F4" t="str">
        <f>IF($A4&lt;&gt;"",'All Cases - Enter Cases'!F4,"")</f>
        <v/>
      </c>
      <c r="G4" t="str">
        <f>IF($A4&lt;&gt;"",'All Cases - Enter Cases'!G4,"")</f>
        <v/>
      </c>
      <c r="H4" t="str">
        <f>IF($A4&lt;&gt;"",'All Cases - Enter Cases'!H4,"")</f>
        <v/>
      </c>
      <c r="I4" t="str">
        <f>IF($A4&lt;&gt;"",'All Cases - Enter Cases'!I4,"")</f>
        <v/>
      </c>
      <c r="J4" t="str">
        <f>IF($A4&lt;&gt;"",'All Cases - Enter Cases'!J4,"")</f>
        <v/>
      </c>
      <c r="K4" t="str">
        <f>IF($A4&lt;&gt;"",'All Cases - Enter Cases'!K4,"")</f>
        <v/>
      </c>
      <c r="L4" t="str">
        <f>IF($A4&lt;&gt;"",'All Cases - Enter Cases'!L4,"")</f>
        <v/>
      </c>
      <c r="M4" t="str">
        <f>IF($A4&lt;&gt;"",'All Cases - Enter Cases'!M4,"")</f>
        <v/>
      </c>
    </row>
    <row r="5" spans="1:13" x14ac:dyDescent="0.35">
      <c r="A5" t="str">
        <f>IF('All Cases - Enter Cases'!$F5="KPK",'All Cases - Enter Cases'!A5,"")</f>
        <v/>
      </c>
      <c r="B5" t="str">
        <f>IF($A5&lt;&gt;"",'All Cases - Enter Cases'!B5,"")</f>
        <v/>
      </c>
      <c r="C5" t="str">
        <f>IF($A5&lt;&gt;"",'All Cases - Enter Cases'!C5,"")</f>
        <v/>
      </c>
      <c r="D5" t="str">
        <f>IF($A5&lt;&gt;"",'All Cases - Enter Cases'!D5,"")</f>
        <v/>
      </c>
      <c r="E5" t="str">
        <f>IF($A5&lt;&gt;"",'All Cases - Enter Cases'!E5,"")</f>
        <v/>
      </c>
      <c r="F5" t="str">
        <f>IF($A5&lt;&gt;"",'All Cases - Enter Cases'!F5,"")</f>
        <v/>
      </c>
      <c r="G5" t="str">
        <f>IF($A5&lt;&gt;"",'All Cases - Enter Cases'!G5,"")</f>
        <v/>
      </c>
      <c r="H5" t="str">
        <f>IF($A5&lt;&gt;"",'All Cases - Enter Cases'!H5,"")</f>
        <v/>
      </c>
      <c r="I5" t="str">
        <f>IF($A5&lt;&gt;"",'All Cases - Enter Cases'!I5,"")</f>
        <v/>
      </c>
      <c r="J5" t="str">
        <f>IF($A5&lt;&gt;"",'All Cases - Enter Cases'!J5,"")</f>
        <v/>
      </c>
      <c r="K5" t="str">
        <f>IF($A5&lt;&gt;"",'All Cases - Enter Cases'!K5,"")</f>
        <v/>
      </c>
      <c r="L5" t="str">
        <f>IF($A5&lt;&gt;"",'All Cases - Enter Cases'!L5,"")</f>
        <v/>
      </c>
      <c r="M5" t="str">
        <f>IF($A5&lt;&gt;"",'All Cases - Enter Cases'!M5,"")</f>
        <v/>
      </c>
    </row>
    <row r="6" spans="1:13" x14ac:dyDescent="0.35">
      <c r="A6" t="str">
        <f>IF('All Cases - Enter Cases'!$F6="KPK",'All Cases - Enter Cases'!A6,"")</f>
        <v/>
      </c>
      <c r="B6" t="str">
        <f>IF($A6&lt;&gt;"",'All Cases - Enter Cases'!B6,"")</f>
        <v/>
      </c>
      <c r="C6" t="str">
        <f>IF($A6&lt;&gt;"",'All Cases - Enter Cases'!C6,"")</f>
        <v/>
      </c>
      <c r="D6" t="str">
        <f>IF($A6&lt;&gt;"",'All Cases - Enter Cases'!D6,"")</f>
        <v/>
      </c>
      <c r="E6" t="str">
        <f>IF($A6&lt;&gt;"",'All Cases - Enter Cases'!E6,"")</f>
        <v/>
      </c>
      <c r="F6" t="str">
        <f>IF($A6&lt;&gt;"",'All Cases - Enter Cases'!F6,"")</f>
        <v/>
      </c>
      <c r="G6" t="str">
        <f>IF($A6&lt;&gt;"",'All Cases - Enter Cases'!G6,"")</f>
        <v/>
      </c>
      <c r="H6" t="str">
        <f>IF($A6&lt;&gt;"",'All Cases - Enter Cases'!H6,"")</f>
        <v/>
      </c>
      <c r="I6" t="str">
        <f>IF($A6&lt;&gt;"",'All Cases - Enter Cases'!I6,"")</f>
        <v/>
      </c>
      <c r="J6" t="str">
        <f>IF($A6&lt;&gt;"",'All Cases - Enter Cases'!J6,"")</f>
        <v/>
      </c>
      <c r="K6" t="str">
        <f>IF($A6&lt;&gt;"",'All Cases - Enter Cases'!K6,"")</f>
        <v/>
      </c>
      <c r="L6" t="str">
        <f>IF($A6&lt;&gt;"",'All Cases - Enter Cases'!L6,"")</f>
        <v/>
      </c>
      <c r="M6" t="str">
        <f>IF($A6&lt;&gt;"",'All Cases - Enter Cases'!M6,"")</f>
        <v/>
      </c>
    </row>
    <row r="7" spans="1:13" x14ac:dyDescent="0.35">
      <c r="A7" t="str">
        <f>IF('All Cases - Enter Cases'!$F7="KPK",'All Cases - Enter Cases'!A7,"")</f>
        <v/>
      </c>
      <c r="B7" t="str">
        <f>IF($A7&lt;&gt;"",'All Cases - Enter Cases'!B7,"")</f>
        <v/>
      </c>
      <c r="C7" t="str">
        <f>IF($A7&lt;&gt;"",'All Cases - Enter Cases'!C7,"")</f>
        <v/>
      </c>
      <c r="D7" t="str">
        <f>IF($A7&lt;&gt;"",'All Cases - Enter Cases'!D7,"")</f>
        <v/>
      </c>
      <c r="E7" t="str">
        <f>IF($A7&lt;&gt;"",'All Cases - Enter Cases'!E7,"")</f>
        <v/>
      </c>
      <c r="F7" t="str">
        <f>IF($A7&lt;&gt;"",'All Cases - Enter Cases'!F7,"")</f>
        <v/>
      </c>
      <c r="G7" t="str">
        <f>IF($A7&lt;&gt;"",'All Cases - Enter Cases'!G7,"")</f>
        <v/>
      </c>
      <c r="H7" t="str">
        <f>IF($A7&lt;&gt;"",'All Cases - Enter Cases'!H7,"")</f>
        <v/>
      </c>
      <c r="I7" t="str">
        <f>IF($A7&lt;&gt;"",'All Cases - Enter Cases'!I7,"")</f>
        <v/>
      </c>
      <c r="J7" t="str">
        <f>IF($A7&lt;&gt;"",'All Cases - Enter Cases'!J7,"")</f>
        <v/>
      </c>
      <c r="K7" t="str">
        <f>IF($A7&lt;&gt;"",'All Cases - Enter Cases'!K7,"")</f>
        <v/>
      </c>
      <c r="L7" t="str">
        <f>IF($A7&lt;&gt;"",'All Cases - Enter Cases'!L7,"")</f>
        <v/>
      </c>
      <c r="M7" t="str">
        <f>IF($A7&lt;&gt;"",'All Cases - Enter Cases'!M7,"")</f>
        <v/>
      </c>
    </row>
    <row r="8" spans="1:13" x14ac:dyDescent="0.35">
      <c r="A8" t="str">
        <f>IF('All Cases - Enter Cases'!$F8="KPK",'All Cases - Enter Cases'!A8,"")</f>
        <v/>
      </c>
      <c r="B8" t="str">
        <f>IF($A8&lt;&gt;"",'All Cases - Enter Cases'!B8,"")</f>
        <v/>
      </c>
      <c r="C8" t="str">
        <f>IF($A8&lt;&gt;"",'All Cases - Enter Cases'!C8,"")</f>
        <v/>
      </c>
      <c r="D8" t="str">
        <f>IF($A8&lt;&gt;"",'All Cases - Enter Cases'!D8,"")</f>
        <v/>
      </c>
      <c r="E8" t="str">
        <f>IF($A8&lt;&gt;"",'All Cases - Enter Cases'!E8,"")</f>
        <v/>
      </c>
      <c r="F8" t="str">
        <f>IF($A8&lt;&gt;"",'All Cases - Enter Cases'!F8,"")</f>
        <v/>
      </c>
      <c r="G8" t="str">
        <f>IF($A8&lt;&gt;"",'All Cases - Enter Cases'!G8,"")</f>
        <v/>
      </c>
      <c r="H8" t="str">
        <f>IF($A8&lt;&gt;"",'All Cases - Enter Cases'!H8,"")</f>
        <v/>
      </c>
      <c r="I8" t="str">
        <f>IF($A8&lt;&gt;"",'All Cases - Enter Cases'!I8,"")</f>
        <v/>
      </c>
      <c r="J8" t="str">
        <f>IF($A8&lt;&gt;"",'All Cases - Enter Cases'!J8,"")</f>
        <v/>
      </c>
      <c r="K8" t="str">
        <f>IF($A8&lt;&gt;"",'All Cases - Enter Cases'!K8,"")</f>
        <v/>
      </c>
      <c r="L8" t="str">
        <f>IF($A8&lt;&gt;"",'All Cases - Enter Cases'!L8,"")</f>
        <v/>
      </c>
      <c r="M8" t="str">
        <f>IF($A8&lt;&gt;"",'All Cases - Enter Cases'!M8,"")</f>
        <v/>
      </c>
    </row>
    <row r="9" spans="1:13" x14ac:dyDescent="0.35">
      <c r="A9" t="str">
        <f>IF('All Cases - Enter Cases'!$F9="KPK",'All Cases - Enter Cases'!A9,"")</f>
        <v/>
      </c>
      <c r="B9" t="str">
        <f>IF($A9&lt;&gt;"",'All Cases - Enter Cases'!B9,"")</f>
        <v/>
      </c>
      <c r="C9" t="str">
        <f>IF($A9&lt;&gt;"",'All Cases - Enter Cases'!C9,"")</f>
        <v/>
      </c>
      <c r="D9" t="str">
        <f>IF($A9&lt;&gt;"",'All Cases - Enter Cases'!D9,"")</f>
        <v/>
      </c>
      <c r="E9" t="str">
        <f>IF($A9&lt;&gt;"",'All Cases - Enter Cases'!E9,"")</f>
        <v/>
      </c>
      <c r="F9" t="str">
        <f>IF($A9&lt;&gt;"",'All Cases - Enter Cases'!F9,"")</f>
        <v/>
      </c>
      <c r="G9" t="str">
        <f>IF($A9&lt;&gt;"",'All Cases - Enter Cases'!G9,"")</f>
        <v/>
      </c>
      <c r="H9" t="str">
        <f>IF($A9&lt;&gt;"",'All Cases - Enter Cases'!H9,"")</f>
        <v/>
      </c>
      <c r="I9" t="str">
        <f>IF($A9&lt;&gt;"",'All Cases - Enter Cases'!I9,"")</f>
        <v/>
      </c>
      <c r="J9" t="str">
        <f>IF($A9&lt;&gt;"",'All Cases - Enter Cases'!J9,"")</f>
        <v/>
      </c>
      <c r="K9" t="str">
        <f>IF($A9&lt;&gt;"",'All Cases - Enter Cases'!K9,"")</f>
        <v/>
      </c>
      <c r="L9" t="str">
        <f>IF($A9&lt;&gt;"",'All Cases - Enter Cases'!L9,"")</f>
        <v/>
      </c>
      <c r="M9" t="str">
        <f>IF($A9&lt;&gt;"",'All Cases - Enter Cases'!M9,"")</f>
        <v/>
      </c>
    </row>
    <row r="10" spans="1:13" x14ac:dyDescent="0.35">
      <c r="A10" t="str">
        <f>IF('All Cases - Enter Cases'!$F10="KPK",'All Cases - Enter Cases'!A10,"")</f>
        <v/>
      </c>
      <c r="B10" t="str">
        <f>IF($A10&lt;&gt;"",'All Cases - Enter Cases'!B10,"")</f>
        <v/>
      </c>
      <c r="C10" t="str">
        <f>IF($A10&lt;&gt;"",'All Cases - Enter Cases'!C10,"")</f>
        <v/>
      </c>
      <c r="D10" t="str">
        <f>IF($A10&lt;&gt;"",'All Cases - Enter Cases'!D10,"")</f>
        <v/>
      </c>
      <c r="E10" t="str">
        <f>IF($A10&lt;&gt;"",'All Cases - Enter Cases'!E10,"")</f>
        <v/>
      </c>
      <c r="F10" t="str">
        <f>IF($A10&lt;&gt;"",'All Cases - Enter Cases'!F10,"")</f>
        <v/>
      </c>
      <c r="G10" t="str">
        <f>IF($A10&lt;&gt;"",'All Cases - Enter Cases'!G10,"")</f>
        <v/>
      </c>
      <c r="H10" t="str">
        <f>IF($A10&lt;&gt;"",'All Cases - Enter Cases'!H10,"")</f>
        <v/>
      </c>
      <c r="I10" t="str">
        <f>IF($A10&lt;&gt;"",'All Cases - Enter Cases'!I10,"")</f>
        <v/>
      </c>
      <c r="J10" t="str">
        <f>IF($A10&lt;&gt;"",'All Cases - Enter Cases'!J10,"")</f>
        <v/>
      </c>
      <c r="K10" t="str">
        <f>IF($A10&lt;&gt;"",'All Cases - Enter Cases'!K10,"")</f>
        <v/>
      </c>
      <c r="L10" t="str">
        <f>IF($A10&lt;&gt;"",'All Cases - Enter Cases'!L10,"")</f>
        <v/>
      </c>
      <c r="M10" t="str">
        <f>IF($A10&lt;&gt;"",'All Cases - Enter Cases'!M10,"")</f>
        <v/>
      </c>
    </row>
    <row r="11" spans="1:13" x14ac:dyDescent="0.35">
      <c r="A11" t="str">
        <f>IF('All Cases - Enter Cases'!$F11="KPK",'All Cases - Enter Cases'!A11,"")</f>
        <v/>
      </c>
      <c r="B11" t="str">
        <f>IF($A11&lt;&gt;"",'All Cases - Enter Cases'!B11,"")</f>
        <v/>
      </c>
      <c r="C11" t="str">
        <f>IF($A11&lt;&gt;"",'All Cases - Enter Cases'!C11,"")</f>
        <v/>
      </c>
      <c r="D11" t="str">
        <f>IF($A11&lt;&gt;"",'All Cases - Enter Cases'!D11,"")</f>
        <v/>
      </c>
      <c r="E11" t="str">
        <f>IF($A11&lt;&gt;"",'All Cases - Enter Cases'!E11,"")</f>
        <v/>
      </c>
      <c r="F11" t="str">
        <f>IF($A11&lt;&gt;"",'All Cases - Enter Cases'!F11,"")</f>
        <v/>
      </c>
      <c r="G11" t="str">
        <f>IF($A11&lt;&gt;"",'All Cases - Enter Cases'!G11,"")</f>
        <v/>
      </c>
      <c r="H11" t="str">
        <f>IF($A11&lt;&gt;"",'All Cases - Enter Cases'!H11,"")</f>
        <v/>
      </c>
      <c r="I11" t="str">
        <f>IF($A11&lt;&gt;"",'All Cases - Enter Cases'!I11,"")</f>
        <v/>
      </c>
      <c r="J11" t="str">
        <f>IF($A11&lt;&gt;"",'All Cases - Enter Cases'!J11,"")</f>
        <v/>
      </c>
      <c r="K11" t="str">
        <f>IF($A11&lt;&gt;"",'All Cases - Enter Cases'!K11,"")</f>
        <v/>
      </c>
      <c r="L11" t="str">
        <f>IF($A11&lt;&gt;"",'All Cases - Enter Cases'!L11,"")</f>
        <v/>
      </c>
      <c r="M11" t="str">
        <f>IF($A11&lt;&gt;"",'All Cases - Enter Cases'!M11,"")</f>
        <v/>
      </c>
    </row>
    <row r="12" spans="1:13" x14ac:dyDescent="0.35">
      <c r="A12" t="str">
        <f>IF('All Cases - Enter Cases'!$F12="KPK",'All Cases - Enter Cases'!A12,"")</f>
        <v/>
      </c>
      <c r="B12" t="str">
        <f>IF($A12&lt;&gt;"",'All Cases - Enter Cases'!B12,"")</f>
        <v/>
      </c>
      <c r="C12" t="str">
        <f>IF($A12&lt;&gt;"",'All Cases - Enter Cases'!C12,"")</f>
        <v/>
      </c>
      <c r="D12" t="str">
        <f>IF($A12&lt;&gt;"",'All Cases - Enter Cases'!D12,"")</f>
        <v/>
      </c>
      <c r="E12" t="str">
        <f>IF($A12&lt;&gt;"",'All Cases - Enter Cases'!E12,"")</f>
        <v/>
      </c>
      <c r="F12" t="str">
        <f>IF($A12&lt;&gt;"",'All Cases - Enter Cases'!F12,"")</f>
        <v/>
      </c>
      <c r="G12" t="str">
        <f>IF($A12&lt;&gt;"",'All Cases - Enter Cases'!G12,"")</f>
        <v/>
      </c>
      <c r="H12" t="str">
        <f>IF($A12&lt;&gt;"",'All Cases - Enter Cases'!H12,"")</f>
        <v/>
      </c>
      <c r="I12" t="str">
        <f>IF($A12&lt;&gt;"",'All Cases - Enter Cases'!I12,"")</f>
        <v/>
      </c>
      <c r="J12" t="str">
        <f>IF($A12&lt;&gt;"",'All Cases - Enter Cases'!J12,"")</f>
        <v/>
      </c>
      <c r="K12" t="str">
        <f>IF($A12&lt;&gt;"",'All Cases - Enter Cases'!K12,"")</f>
        <v/>
      </c>
      <c r="L12" t="str">
        <f>IF($A12&lt;&gt;"",'All Cases - Enter Cases'!L12,"")</f>
        <v/>
      </c>
      <c r="M12" t="str">
        <f>IF($A12&lt;&gt;"",'All Cases - Enter Cases'!M12,"")</f>
        <v/>
      </c>
    </row>
    <row r="13" spans="1:13" x14ac:dyDescent="0.35">
      <c r="A13" t="str">
        <f>IF('All Cases - Enter Cases'!$F13="KPK",'All Cases - Enter Cases'!A13,"")</f>
        <v/>
      </c>
      <c r="B13" t="str">
        <f>IF($A13&lt;&gt;"",'All Cases - Enter Cases'!B13,"")</f>
        <v/>
      </c>
      <c r="C13" t="str">
        <f>IF($A13&lt;&gt;"",'All Cases - Enter Cases'!C13,"")</f>
        <v/>
      </c>
      <c r="D13" t="str">
        <f>IF($A13&lt;&gt;"",'All Cases - Enter Cases'!D13,"")</f>
        <v/>
      </c>
      <c r="E13" t="str">
        <f>IF($A13&lt;&gt;"",'All Cases - Enter Cases'!E13,"")</f>
        <v/>
      </c>
      <c r="F13" t="str">
        <f>IF($A13&lt;&gt;"",'All Cases - Enter Cases'!F13,"")</f>
        <v/>
      </c>
      <c r="G13" t="str">
        <f>IF($A13&lt;&gt;"",'All Cases - Enter Cases'!G13,"")</f>
        <v/>
      </c>
      <c r="H13" t="str">
        <f>IF($A13&lt;&gt;"",'All Cases - Enter Cases'!H13,"")</f>
        <v/>
      </c>
      <c r="I13" t="str">
        <f>IF($A13&lt;&gt;"",'All Cases - Enter Cases'!I13,"")</f>
        <v/>
      </c>
      <c r="J13" t="str">
        <f>IF($A13&lt;&gt;"",'All Cases - Enter Cases'!J13,"")</f>
        <v/>
      </c>
      <c r="K13" t="str">
        <f>IF($A13&lt;&gt;"",'All Cases - Enter Cases'!K13,"")</f>
        <v/>
      </c>
      <c r="L13" t="str">
        <f>IF($A13&lt;&gt;"",'All Cases - Enter Cases'!L13,"")</f>
        <v/>
      </c>
      <c r="M13" t="str">
        <f>IF($A13&lt;&gt;"",'All Cases - Enter Cases'!M13,"")</f>
        <v/>
      </c>
    </row>
    <row r="14" spans="1:13" x14ac:dyDescent="0.35">
      <c r="A14" t="str">
        <f>IF('All Cases - Enter Cases'!$F14="KPK",'All Cases - Enter Cases'!A14,"")</f>
        <v/>
      </c>
      <c r="B14" t="str">
        <f>IF($A14&lt;&gt;"",'All Cases - Enter Cases'!B14,"")</f>
        <v/>
      </c>
      <c r="C14" t="str">
        <f>IF($A14&lt;&gt;"",'All Cases - Enter Cases'!C14,"")</f>
        <v/>
      </c>
      <c r="D14" t="str">
        <f>IF($A14&lt;&gt;"",'All Cases - Enter Cases'!D14,"")</f>
        <v/>
      </c>
      <c r="E14" t="str">
        <f>IF($A14&lt;&gt;"",'All Cases - Enter Cases'!E14,"")</f>
        <v/>
      </c>
      <c r="F14" t="str">
        <f>IF($A14&lt;&gt;"",'All Cases - Enter Cases'!F14,"")</f>
        <v/>
      </c>
      <c r="G14" t="str">
        <f>IF($A14&lt;&gt;"",'All Cases - Enter Cases'!G14,"")</f>
        <v/>
      </c>
      <c r="H14" t="str">
        <f>IF($A14&lt;&gt;"",'All Cases - Enter Cases'!H14,"")</f>
        <v/>
      </c>
      <c r="I14" t="str">
        <f>IF($A14&lt;&gt;"",'All Cases - Enter Cases'!I14,"")</f>
        <v/>
      </c>
      <c r="J14" t="str">
        <f>IF($A14&lt;&gt;"",'All Cases - Enter Cases'!J14,"")</f>
        <v/>
      </c>
      <c r="K14" t="str">
        <f>IF($A14&lt;&gt;"",'All Cases - Enter Cases'!K14,"")</f>
        <v/>
      </c>
      <c r="L14" t="str">
        <f>IF($A14&lt;&gt;"",'All Cases - Enter Cases'!L14,"")</f>
        <v/>
      </c>
      <c r="M14" t="str">
        <f>IF($A14&lt;&gt;"",'All Cases - Enter Cases'!M14,"")</f>
        <v/>
      </c>
    </row>
    <row r="15" spans="1:13" x14ac:dyDescent="0.35">
      <c r="A15" t="str">
        <f>IF('All Cases - Enter Cases'!$F15="KPK",'All Cases - Enter Cases'!A15,"")</f>
        <v/>
      </c>
      <c r="B15" t="str">
        <f>IF($A15&lt;&gt;"",'All Cases - Enter Cases'!B15,"")</f>
        <v/>
      </c>
      <c r="C15" t="str">
        <f>IF($A15&lt;&gt;"",'All Cases - Enter Cases'!C15,"")</f>
        <v/>
      </c>
      <c r="D15" t="str">
        <f>IF($A15&lt;&gt;"",'All Cases - Enter Cases'!D15,"")</f>
        <v/>
      </c>
      <c r="E15" t="str">
        <f>IF($A15&lt;&gt;"",'All Cases - Enter Cases'!E15,"")</f>
        <v/>
      </c>
      <c r="F15" t="str">
        <f>IF($A15&lt;&gt;"",'All Cases - Enter Cases'!F15,"")</f>
        <v/>
      </c>
      <c r="G15" t="str">
        <f>IF($A15&lt;&gt;"",'All Cases - Enter Cases'!G15,"")</f>
        <v/>
      </c>
      <c r="H15" t="str">
        <f>IF($A15&lt;&gt;"",'All Cases - Enter Cases'!H15,"")</f>
        <v/>
      </c>
      <c r="I15" t="str">
        <f>IF($A15&lt;&gt;"",'All Cases - Enter Cases'!I15,"")</f>
        <v/>
      </c>
      <c r="J15" t="str">
        <f>IF($A15&lt;&gt;"",'All Cases - Enter Cases'!J15,"")</f>
        <v/>
      </c>
      <c r="K15" t="str">
        <f>IF($A15&lt;&gt;"",'All Cases - Enter Cases'!K15,"")</f>
        <v/>
      </c>
      <c r="L15" t="str">
        <f>IF($A15&lt;&gt;"",'All Cases - Enter Cases'!L15,"")</f>
        <v/>
      </c>
      <c r="M15" t="str">
        <f>IF($A15&lt;&gt;"",'All Cases - Enter Cases'!M15,"")</f>
        <v/>
      </c>
    </row>
    <row r="16" spans="1:13" x14ac:dyDescent="0.35">
      <c r="A16" t="str">
        <f>IF('All Cases - Enter Cases'!$F16="KPK",'All Cases - Enter Cases'!A16,"")</f>
        <v/>
      </c>
      <c r="B16" t="str">
        <f>IF($A16&lt;&gt;"",'All Cases - Enter Cases'!B16,"")</f>
        <v/>
      </c>
      <c r="C16" t="str">
        <f>IF($A16&lt;&gt;"",'All Cases - Enter Cases'!C16,"")</f>
        <v/>
      </c>
      <c r="D16" t="str">
        <f>IF($A16&lt;&gt;"",'All Cases - Enter Cases'!D16,"")</f>
        <v/>
      </c>
      <c r="E16" t="str">
        <f>IF($A16&lt;&gt;"",'All Cases - Enter Cases'!E16,"")</f>
        <v/>
      </c>
      <c r="F16" t="str">
        <f>IF($A16&lt;&gt;"",'All Cases - Enter Cases'!F16,"")</f>
        <v/>
      </c>
      <c r="G16" t="str">
        <f>IF($A16&lt;&gt;"",'All Cases - Enter Cases'!G16,"")</f>
        <v/>
      </c>
      <c r="H16" t="str">
        <f>IF($A16&lt;&gt;"",'All Cases - Enter Cases'!H16,"")</f>
        <v/>
      </c>
      <c r="I16" t="str">
        <f>IF($A16&lt;&gt;"",'All Cases - Enter Cases'!I16,"")</f>
        <v/>
      </c>
      <c r="J16" t="str">
        <f>IF($A16&lt;&gt;"",'All Cases - Enter Cases'!J16,"")</f>
        <v/>
      </c>
      <c r="K16" t="str">
        <f>IF($A16&lt;&gt;"",'All Cases - Enter Cases'!K16,"")</f>
        <v/>
      </c>
      <c r="L16" t="str">
        <f>IF($A16&lt;&gt;"",'All Cases - Enter Cases'!L16,"")</f>
        <v/>
      </c>
      <c r="M16" t="str">
        <f>IF($A16&lt;&gt;"",'All Cases - Enter Cases'!M16,"")</f>
        <v/>
      </c>
    </row>
    <row r="17" spans="1:13" x14ac:dyDescent="0.35">
      <c r="A17" t="str">
        <f>IF('All Cases - Enter Cases'!$F17="KPK",'All Cases - Enter Cases'!A17,"")</f>
        <v/>
      </c>
      <c r="B17" t="str">
        <f>IF($A17&lt;&gt;"",'All Cases - Enter Cases'!B17,"")</f>
        <v/>
      </c>
      <c r="C17" t="str">
        <f>IF($A17&lt;&gt;"",'All Cases - Enter Cases'!C17,"")</f>
        <v/>
      </c>
      <c r="D17" t="str">
        <f>IF($A17&lt;&gt;"",'All Cases - Enter Cases'!D17,"")</f>
        <v/>
      </c>
      <c r="E17" t="str">
        <f>IF($A17&lt;&gt;"",'All Cases - Enter Cases'!E17,"")</f>
        <v/>
      </c>
      <c r="F17" t="str">
        <f>IF($A17&lt;&gt;"",'All Cases - Enter Cases'!F17,"")</f>
        <v/>
      </c>
      <c r="G17" t="str">
        <f>IF($A17&lt;&gt;"",'All Cases - Enter Cases'!G17,"")</f>
        <v/>
      </c>
      <c r="H17" t="str">
        <f>IF($A17&lt;&gt;"",'All Cases - Enter Cases'!H17,"")</f>
        <v/>
      </c>
      <c r="I17" t="str">
        <f>IF($A17&lt;&gt;"",'All Cases - Enter Cases'!I17,"")</f>
        <v/>
      </c>
      <c r="J17" t="str">
        <f>IF($A17&lt;&gt;"",'All Cases - Enter Cases'!J17,"")</f>
        <v/>
      </c>
      <c r="K17" t="str">
        <f>IF($A17&lt;&gt;"",'All Cases - Enter Cases'!K17,"")</f>
        <v/>
      </c>
      <c r="L17" t="str">
        <f>IF($A17&lt;&gt;"",'All Cases - Enter Cases'!L17,"")</f>
        <v/>
      </c>
      <c r="M17" t="str">
        <f>IF($A17&lt;&gt;"",'All Cases - Enter Cases'!M17,"")</f>
        <v/>
      </c>
    </row>
    <row r="18" spans="1:13" x14ac:dyDescent="0.35">
      <c r="A18" t="str">
        <f>IF('All Cases - Enter Cases'!$F18="KPK",'All Cases - Enter Cases'!A18,"")</f>
        <v/>
      </c>
      <c r="B18" t="str">
        <f>IF($A18&lt;&gt;"",'All Cases - Enter Cases'!B18,"")</f>
        <v/>
      </c>
      <c r="C18" t="str">
        <f>IF($A18&lt;&gt;"",'All Cases - Enter Cases'!C18,"")</f>
        <v/>
      </c>
      <c r="D18" t="str">
        <f>IF($A18&lt;&gt;"",'All Cases - Enter Cases'!D18,"")</f>
        <v/>
      </c>
      <c r="E18" t="str">
        <f>IF($A18&lt;&gt;"",'All Cases - Enter Cases'!E18,"")</f>
        <v/>
      </c>
      <c r="F18" t="str">
        <f>IF($A18&lt;&gt;"",'All Cases - Enter Cases'!F18,"")</f>
        <v/>
      </c>
      <c r="G18" t="str">
        <f>IF($A18&lt;&gt;"",'All Cases - Enter Cases'!G18,"")</f>
        <v/>
      </c>
      <c r="H18" t="str">
        <f>IF($A18&lt;&gt;"",'All Cases - Enter Cases'!H18,"")</f>
        <v/>
      </c>
      <c r="I18" t="str">
        <f>IF($A18&lt;&gt;"",'All Cases - Enter Cases'!I18,"")</f>
        <v/>
      </c>
      <c r="J18" t="str">
        <f>IF($A18&lt;&gt;"",'All Cases - Enter Cases'!J18,"")</f>
        <v/>
      </c>
      <c r="K18" t="str">
        <f>IF($A18&lt;&gt;"",'All Cases - Enter Cases'!K18,"")</f>
        <v/>
      </c>
      <c r="L18" t="str">
        <f>IF($A18&lt;&gt;"",'All Cases - Enter Cases'!L18,"")</f>
        <v/>
      </c>
      <c r="M18" t="str">
        <f>IF($A18&lt;&gt;"",'All Cases - Enter Cases'!M18,"")</f>
        <v/>
      </c>
    </row>
    <row r="19" spans="1:13" x14ac:dyDescent="0.35">
      <c r="A19" t="str">
        <f>IF('All Cases - Enter Cases'!$F19="KPK",'All Cases - Enter Cases'!A19,"")</f>
        <v/>
      </c>
      <c r="B19" t="str">
        <f>IF($A19&lt;&gt;"",'All Cases - Enter Cases'!B19,"")</f>
        <v/>
      </c>
      <c r="C19" t="str">
        <f>IF($A19&lt;&gt;"",'All Cases - Enter Cases'!C19,"")</f>
        <v/>
      </c>
      <c r="D19" t="str">
        <f>IF($A19&lt;&gt;"",'All Cases - Enter Cases'!D19,"")</f>
        <v/>
      </c>
      <c r="E19" t="str">
        <f>IF($A19&lt;&gt;"",'All Cases - Enter Cases'!E19,"")</f>
        <v/>
      </c>
      <c r="F19" t="str">
        <f>IF($A19&lt;&gt;"",'All Cases - Enter Cases'!F19,"")</f>
        <v/>
      </c>
      <c r="G19" t="str">
        <f>IF($A19&lt;&gt;"",'All Cases - Enter Cases'!G19,"")</f>
        <v/>
      </c>
      <c r="H19" t="str">
        <f>IF($A19&lt;&gt;"",'All Cases - Enter Cases'!H19,"")</f>
        <v/>
      </c>
      <c r="I19" t="str">
        <f>IF($A19&lt;&gt;"",'All Cases - Enter Cases'!I19,"")</f>
        <v/>
      </c>
      <c r="J19" t="str">
        <f>IF($A19&lt;&gt;"",'All Cases - Enter Cases'!J19,"")</f>
        <v/>
      </c>
      <c r="K19" t="str">
        <f>IF($A19&lt;&gt;"",'All Cases - Enter Cases'!K19,"")</f>
        <v/>
      </c>
      <c r="L19" t="str">
        <f>IF($A19&lt;&gt;"",'All Cases - Enter Cases'!L19,"")</f>
        <v/>
      </c>
      <c r="M19" t="str">
        <f>IF($A19&lt;&gt;"",'All Cases - Enter Cases'!M19,"")</f>
        <v/>
      </c>
    </row>
    <row r="20" spans="1:13" x14ac:dyDescent="0.35">
      <c r="A20" t="str">
        <f>IF('All Cases - Enter Cases'!$F20="KPK",'All Cases - Enter Cases'!A20,"")</f>
        <v/>
      </c>
      <c r="B20" t="str">
        <f>IF($A20&lt;&gt;"",'All Cases - Enter Cases'!B20,"")</f>
        <v/>
      </c>
      <c r="C20" t="str">
        <f>IF($A20&lt;&gt;"",'All Cases - Enter Cases'!C20,"")</f>
        <v/>
      </c>
      <c r="D20" t="str">
        <f>IF($A20&lt;&gt;"",'All Cases - Enter Cases'!D20,"")</f>
        <v/>
      </c>
      <c r="E20" t="str">
        <f>IF($A20&lt;&gt;"",'All Cases - Enter Cases'!E20,"")</f>
        <v/>
      </c>
      <c r="F20" t="str">
        <f>IF($A20&lt;&gt;"",'All Cases - Enter Cases'!F20,"")</f>
        <v/>
      </c>
      <c r="G20" t="str">
        <f>IF($A20&lt;&gt;"",'All Cases - Enter Cases'!G20,"")</f>
        <v/>
      </c>
      <c r="H20" t="str">
        <f>IF($A20&lt;&gt;"",'All Cases - Enter Cases'!H20,"")</f>
        <v/>
      </c>
      <c r="I20" t="str">
        <f>IF($A20&lt;&gt;"",'All Cases - Enter Cases'!I20,"")</f>
        <v/>
      </c>
      <c r="J20" t="str">
        <f>IF($A20&lt;&gt;"",'All Cases - Enter Cases'!J20,"")</f>
        <v/>
      </c>
      <c r="K20" t="str">
        <f>IF($A20&lt;&gt;"",'All Cases - Enter Cases'!K20,"")</f>
        <v/>
      </c>
      <c r="L20" t="str">
        <f>IF($A20&lt;&gt;"",'All Cases - Enter Cases'!L20,"")</f>
        <v/>
      </c>
      <c r="M20" t="str">
        <f>IF($A20&lt;&gt;"",'All Cases - Enter Cases'!M20,"")</f>
        <v/>
      </c>
    </row>
    <row r="21" spans="1:13" x14ac:dyDescent="0.35">
      <c r="A21" t="str">
        <f>IF('All Cases - Enter Cases'!$F21="KPK",'All Cases - Enter Cases'!A21,"")</f>
        <v/>
      </c>
      <c r="B21" t="str">
        <f>IF($A21&lt;&gt;"",'All Cases - Enter Cases'!B21,"")</f>
        <v/>
      </c>
      <c r="C21" t="str">
        <f>IF($A21&lt;&gt;"",'All Cases - Enter Cases'!C21,"")</f>
        <v/>
      </c>
      <c r="D21" t="str">
        <f>IF($A21&lt;&gt;"",'All Cases - Enter Cases'!D21,"")</f>
        <v/>
      </c>
      <c r="E21" t="str">
        <f>IF($A21&lt;&gt;"",'All Cases - Enter Cases'!E21,"")</f>
        <v/>
      </c>
      <c r="F21" t="str">
        <f>IF($A21&lt;&gt;"",'All Cases - Enter Cases'!F21,"")</f>
        <v/>
      </c>
      <c r="G21" t="str">
        <f>IF($A21&lt;&gt;"",'All Cases - Enter Cases'!G21,"")</f>
        <v/>
      </c>
      <c r="H21" t="str">
        <f>IF($A21&lt;&gt;"",'All Cases - Enter Cases'!H21,"")</f>
        <v/>
      </c>
      <c r="I21" t="str">
        <f>IF($A21&lt;&gt;"",'All Cases - Enter Cases'!I21,"")</f>
        <v/>
      </c>
      <c r="J21" t="str">
        <f>IF($A21&lt;&gt;"",'All Cases - Enter Cases'!J21,"")</f>
        <v/>
      </c>
      <c r="K21" t="str">
        <f>IF($A21&lt;&gt;"",'All Cases - Enter Cases'!K21,"")</f>
        <v/>
      </c>
      <c r="L21" t="str">
        <f>IF($A21&lt;&gt;"",'All Cases - Enter Cases'!L21,"")</f>
        <v/>
      </c>
      <c r="M21" t="str">
        <f>IF($A21&lt;&gt;"",'All Cases - Enter Cases'!M21,"")</f>
        <v/>
      </c>
    </row>
    <row r="22" spans="1:13" x14ac:dyDescent="0.35">
      <c r="A22" t="str">
        <f>IF('All Cases - Enter Cases'!$F22="KPK",'All Cases - Enter Cases'!A22,"")</f>
        <v/>
      </c>
      <c r="B22" t="str">
        <f>IF($A22&lt;&gt;"",'All Cases - Enter Cases'!B22,"")</f>
        <v/>
      </c>
      <c r="C22" t="str">
        <f>IF($A22&lt;&gt;"",'All Cases - Enter Cases'!C22,"")</f>
        <v/>
      </c>
      <c r="D22" t="str">
        <f>IF($A22&lt;&gt;"",'All Cases - Enter Cases'!D22,"")</f>
        <v/>
      </c>
      <c r="E22" t="str">
        <f>IF($A22&lt;&gt;"",'All Cases - Enter Cases'!E22,"")</f>
        <v/>
      </c>
      <c r="F22" t="str">
        <f>IF($A22&lt;&gt;"",'All Cases - Enter Cases'!F22,"")</f>
        <v/>
      </c>
      <c r="G22" t="str">
        <f>IF($A22&lt;&gt;"",'All Cases - Enter Cases'!G22,"")</f>
        <v/>
      </c>
      <c r="H22" t="str">
        <f>IF($A22&lt;&gt;"",'All Cases - Enter Cases'!H22,"")</f>
        <v/>
      </c>
      <c r="I22" t="str">
        <f>IF($A22&lt;&gt;"",'All Cases - Enter Cases'!I22,"")</f>
        <v/>
      </c>
      <c r="J22" t="str">
        <f>IF($A22&lt;&gt;"",'All Cases - Enter Cases'!J22,"")</f>
        <v/>
      </c>
      <c r="K22" t="str">
        <f>IF($A22&lt;&gt;"",'All Cases - Enter Cases'!K22,"")</f>
        <v/>
      </c>
      <c r="L22" t="str">
        <f>IF($A22&lt;&gt;"",'All Cases - Enter Cases'!L22,"")</f>
        <v/>
      </c>
      <c r="M22" t="str">
        <f>IF($A22&lt;&gt;"",'All Cases - Enter Cases'!M22,"")</f>
        <v/>
      </c>
    </row>
    <row r="23" spans="1:13" x14ac:dyDescent="0.35">
      <c r="A23" t="str">
        <f>IF('All Cases - Enter Cases'!$F23="KPK",'All Cases - Enter Cases'!A23,"")</f>
        <v/>
      </c>
      <c r="B23" t="str">
        <f>IF($A23&lt;&gt;"",'All Cases - Enter Cases'!B23,"")</f>
        <v/>
      </c>
      <c r="C23" t="str">
        <f>IF($A23&lt;&gt;"",'All Cases - Enter Cases'!C23,"")</f>
        <v/>
      </c>
      <c r="D23" t="str">
        <f>IF($A23&lt;&gt;"",'All Cases - Enter Cases'!D23,"")</f>
        <v/>
      </c>
      <c r="E23" t="str">
        <f>IF($A23&lt;&gt;"",'All Cases - Enter Cases'!E23,"")</f>
        <v/>
      </c>
      <c r="F23" t="str">
        <f>IF($A23&lt;&gt;"",'All Cases - Enter Cases'!F23,"")</f>
        <v/>
      </c>
      <c r="G23" t="str">
        <f>IF($A23&lt;&gt;"",'All Cases - Enter Cases'!G23,"")</f>
        <v/>
      </c>
      <c r="H23" t="str">
        <f>IF($A23&lt;&gt;"",'All Cases - Enter Cases'!H23,"")</f>
        <v/>
      </c>
      <c r="I23" t="str">
        <f>IF($A23&lt;&gt;"",'All Cases - Enter Cases'!I23,"")</f>
        <v/>
      </c>
      <c r="J23" t="str">
        <f>IF($A23&lt;&gt;"",'All Cases - Enter Cases'!J23,"")</f>
        <v/>
      </c>
      <c r="K23" t="str">
        <f>IF($A23&lt;&gt;"",'All Cases - Enter Cases'!K23,"")</f>
        <v/>
      </c>
      <c r="L23" t="str">
        <f>IF($A23&lt;&gt;"",'All Cases - Enter Cases'!L23,"")</f>
        <v/>
      </c>
      <c r="M23" t="str">
        <f>IF($A23&lt;&gt;"",'All Cases - Enter Cases'!M23,"")</f>
        <v/>
      </c>
    </row>
    <row r="24" spans="1:13" x14ac:dyDescent="0.35">
      <c r="A24" t="str">
        <f>IF('All Cases - Enter Cases'!$F24="KPK",'All Cases - Enter Cases'!A24,"")</f>
        <v/>
      </c>
      <c r="B24" t="str">
        <f>IF($A24&lt;&gt;"",'All Cases - Enter Cases'!B24,"")</f>
        <v/>
      </c>
      <c r="C24" t="str">
        <f>IF($A24&lt;&gt;"",'All Cases - Enter Cases'!C24,"")</f>
        <v/>
      </c>
      <c r="D24" t="str">
        <f>IF($A24&lt;&gt;"",'All Cases - Enter Cases'!D24,"")</f>
        <v/>
      </c>
      <c r="E24" t="str">
        <f>IF($A24&lt;&gt;"",'All Cases - Enter Cases'!E24,"")</f>
        <v/>
      </c>
      <c r="F24" t="str">
        <f>IF($A24&lt;&gt;"",'All Cases - Enter Cases'!F24,"")</f>
        <v/>
      </c>
      <c r="G24" t="str">
        <f>IF($A24&lt;&gt;"",'All Cases - Enter Cases'!G24,"")</f>
        <v/>
      </c>
      <c r="H24" t="str">
        <f>IF($A24&lt;&gt;"",'All Cases - Enter Cases'!H24,"")</f>
        <v/>
      </c>
      <c r="I24" t="str">
        <f>IF($A24&lt;&gt;"",'All Cases - Enter Cases'!I24,"")</f>
        <v/>
      </c>
      <c r="J24" t="str">
        <f>IF($A24&lt;&gt;"",'All Cases - Enter Cases'!J24,"")</f>
        <v/>
      </c>
      <c r="K24" t="str">
        <f>IF($A24&lt;&gt;"",'All Cases - Enter Cases'!K24,"")</f>
        <v/>
      </c>
      <c r="L24" t="str">
        <f>IF($A24&lt;&gt;"",'All Cases - Enter Cases'!L24,"")</f>
        <v/>
      </c>
      <c r="M24" t="str">
        <f>IF($A24&lt;&gt;"",'All Cases - Enter Cases'!M24,"")</f>
        <v/>
      </c>
    </row>
    <row r="25" spans="1:13" x14ac:dyDescent="0.35">
      <c r="A25" t="str">
        <f>IF('All Cases - Enter Cases'!$F25="KPK",'All Cases - Enter Cases'!A25,"")</f>
        <v/>
      </c>
      <c r="B25" t="str">
        <f>IF($A25&lt;&gt;"",'All Cases - Enter Cases'!B25,"")</f>
        <v/>
      </c>
      <c r="C25" t="str">
        <f>IF($A25&lt;&gt;"",'All Cases - Enter Cases'!C25,"")</f>
        <v/>
      </c>
      <c r="D25" t="str">
        <f>IF($A25&lt;&gt;"",'All Cases - Enter Cases'!D25,"")</f>
        <v/>
      </c>
      <c r="E25" t="str">
        <f>IF($A25&lt;&gt;"",'All Cases - Enter Cases'!E25,"")</f>
        <v/>
      </c>
      <c r="F25" t="str">
        <f>IF($A25&lt;&gt;"",'All Cases - Enter Cases'!F25,"")</f>
        <v/>
      </c>
      <c r="G25" t="str">
        <f>IF($A25&lt;&gt;"",'All Cases - Enter Cases'!G25,"")</f>
        <v/>
      </c>
      <c r="H25" t="str">
        <f>IF($A25&lt;&gt;"",'All Cases - Enter Cases'!H25,"")</f>
        <v/>
      </c>
      <c r="I25" t="str">
        <f>IF($A25&lt;&gt;"",'All Cases - Enter Cases'!I25,"")</f>
        <v/>
      </c>
      <c r="J25" t="str">
        <f>IF($A25&lt;&gt;"",'All Cases - Enter Cases'!J25,"")</f>
        <v/>
      </c>
      <c r="K25" t="str">
        <f>IF($A25&lt;&gt;"",'All Cases - Enter Cases'!K25,"")</f>
        <v/>
      </c>
      <c r="L25" t="str">
        <f>IF($A25&lt;&gt;"",'All Cases - Enter Cases'!L25,"")</f>
        <v/>
      </c>
      <c r="M25" t="str">
        <f>IF($A25&lt;&gt;"",'All Cases - Enter Cases'!M25,"")</f>
        <v/>
      </c>
    </row>
    <row r="26" spans="1:13" x14ac:dyDescent="0.35">
      <c r="A26" t="str">
        <f>IF('All Cases - Enter Cases'!$F26="KPK",'All Cases - Enter Cases'!A26,"")</f>
        <v/>
      </c>
      <c r="B26" t="str">
        <f>IF($A26&lt;&gt;"",'All Cases - Enter Cases'!B26,"")</f>
        <v/>
      </c>
      <c r="C26" t="str">
        <f>IF($A26&lt;&gt;"",'All Cases - Enter Cases'!C26,"")</f>
        <v/>
      </c>
      <c r="D26" t="str">
        <f>IF($A26&lt;&gt;"",'All Cases - Enter Cases'!D26,"")</f>
        <v/>
      </c>
      <c r="E26" t="str">
        <f>IF($A26&lt;&gt;"",'All Cases - Enter Cases'!E26,"")</f>
        <v/>
      </c>
      <c r="F26" t="str">
        <f>IF($A26&lt;&gt;"",'All Cases - Enter Cases'!F26,"")</f>
        <v/>
      </c>
      <c r="G26" t="str">
        <f>IF($A26&lt;&gt;"",'All Cases - Enter Cases'!G26,"")</f>
        <v/>
      </c>
      <c r="H26" t="str">
        <f>IF($A26&lt;&gt;"",'All Cases - Enter Cases'!H26,"")</f>
        <v/>
      </c>
      <c r="I26" t="str">
        <f>IF($A26&lt;&gt;"",'All Cases - Enter Cases'!I26,"")</f>
        <v/>
      </c>
      <c r="J26" t="str">
        <f>IF($A26&lt;&gt;"",'All Cases - Enter Cases'!J26,"")</f>
        <v/>
      </c>
      <c r="K26" t="str">
        <f>IF($A26&lt;&gt;"",'All Cases - Enter Cases'!K26,"")</f>
        <v/>
      </c>
      <c r="L26" t="str">
        <f>IF($A26&lt;&gt;"",'All Cases - Enter Cases'!L26,"")</f>
        <v/>
      </c>
      <c r="M26" t="str">
        <f>IF($A26&lt;&gt;"",'All Cases - Enter Cases'!M26,"")</f>
        <v/>
      </c>
    </row>
    <row r="27" spans="1:13" x14ac:dyDescent="0.35">
      <c r="A27" t="str">
        <f>IF('All Cases - Enter Cases'!$F27="KPK",'All Cases - Enter Cases'!A27,"")</f>
        <v/>
      </c>
      <c r="B27" t="str">
        <f>IF($A27&lt;&gt;"",'All Cases - Enter Cases'!B27,"")</f>
        <v/>
      </c>
      <c r="C27" t="str">
        <f>IF($A27&lt;&gt;"",'All Cases - Enter Cases'!C27,"")</f>
        <v/>
      </c>
      <c r="D27" t="str">
        <f>IF($A27&lt;&gt;"",'All Cases - Enter Cases'!D27,"")</f>
        <v/>
      </c>
      <c r="E27" t="str">
        <f>IF($A27&lt;&gt;"",'All Cases - Enter Cases'!E27,"")</f>
        <v/>
      </c>
      <c r="F27" t="str">
        <f>IF($A27&lt;&gt;"",'All Cases - Enter Cases'!F27,"")</f>
        <v/>
      </c>
      <c r="G27" t="str">
        <f>IF($A27&lt;&gt;"",'All Cases - Enter Cases'!G27,"")</f>
        <v/>
      </c>
      <c r="H27" t="str">
        <f>IF($A27&lt;&gt;"",'All Cases - Enter Cases'!H27,"")</f>
        <v/>
      </c>
      <c r="I27" t="str">
        <f>IF($A27&lt;&gt;"",'All Cases - Enter Cases'!I27,"")</f>
        <v/>
      </c>
      <c r="J27" t="str">
        <f>IF($A27&lt;&gt;"",'All Cases - Enter Cases'!J27,"")</f>
        <v/>
      </c>
      <c r="K27" t="str">
        <f>IF($A27&lt;&gt;"",'All Cases - Enter Cases'!K27,"")</f>
        <v/>
      </c>
      <c r="L27" t="str">
        <f>IF($A27&lt;&gt;"",'All Cases - Enter Cases'!L27,"")</f>
        <v/>
      </c>
      <c r="M27" t="str">
        <f>IF($A27&lt;&gt;"",'All Cases - Enter Cases'!M27,"")</f>
        <v/>
      </c>
    </row>
    <row r="28" spans="1:13" x14ac:dyDescent="0.35">
      <c r="A28" t="str">
        <f>IF('All Cases - Enter Cases'!$F28="KPK",'All Cases - Enter Cases'!A28,"")</f>
        <v/>
      </c>
      <c r="B28" t="str">
        <f>IF($A28&lt;&gt;"",'All Cases - Enter Cases'!B28,"")</f>
        <v/>
      </c>
      <c r="C28" t="str">
        <f>IF($A28&lt;&gt;"",'All Cases - Enter Cases'!C28,"")</f>
        <v/>
      </c>
      <c r="D28" t="str">
        <f>IF($A28&lt;&gt;"",'All Cases - Enter Cases'!D28,"")</f>
        <v/>
      </c>
      <c r="E28" t="str">
        <f>IF($A28&lt;&gt;"",'All Cases - Enter Cases'!E28,"")</f>
        <v/>
      </c>
      <c r="F28" t="str">
        <f>IF($A28&lt;&gt;"",'All Cases - Enter Cases'!F28,"")</f>
        <v/>
      </c>
      <c r="G28" t="str">
        <f>IF($A28&lt;&gt;"",'All Cases - Enter Cases'!G28,"")</f>
        <v/>
      </c>
      <c r="H28" t="str">
        <f>IF($A28&lt;&gt;"",'All Cases - Enter Cases'!H28,"")</f>
        <v/>
      </c>
      <c r="I28" t="str">
        <f>IF($A28&lt;&gt;"",'All Cases - Enter Cases'!I28,"")</f>
        <v/>
      </c>
      <c r="J28" t="str">
        <f>IF($A28&lt;&gt;"",'All Cases - Enter Cases'!J28,"")</f>
        <v/>
      </c>
      <c r="K28" t="str">
        <f>IF($A28&lt;&gt;"",'All Cases - Enter Cases'!K28,"")</f>
        <v/>
      </c>
      <c r="L28" t="str">
        <f>IF($A28&lt;&gt;"",'All Cases - Enter Cases'!L28,"")</f>
        <v/>
      </c>
      <c r="M28" t="str">
        <f>IF($A28&lt;&gt;"",'All Cases - Enter Cases'!M28,"")</f>
        <v/>
      </c>
    </row>
    <row r="29" spans="1:13" x14ac:dyDescent="0.35">
      <c r="A29" t="str">
        <f>IF('All Cases - Enter Cases'!$F29="KPK",'All Cases - Enter Cases'!A29,"")</f>
        <v/>
      </c>
      <c r="B29" t="str">
        <f>IF($A29&lt;&gt;"",'All Cases - Enter Cases'!B29,"")</f>
        <v/>
      </c>
      <c r="C29" t="str">
        <f>IF($A29&lt;&gt;"",'All Cases - Enter Cases'!C29,"")</f>
        <v/>
      </c>
      <c r="D29" t="str">
        <f>IF($A29&lt;&gt;"",'All Cases - Enter Cases'!D29,"")</f>
        <v/>
      </c>
      <c r="E29" t="str">
        <f>IF($A29&lt;&gt;"",'All Cases - Enter Cases'!E29,"")</f>
        <v/>
      </c>
      <c r="F29" t="str">
        <f>IF($A29&lt;&gt;"",'All Cases - Enter Cases'!F29,"")</f>
        <v/>
      </c>
      <c r="G29" t="str">
        <f>IF($A29&lt;&gt;"",'All Cases - Enter Cases'!G29,"")</f>
        <v/>
      </c>
      <c r="H29" t="str">
        <f>IF($A29&lt;&gt;"",'All Cases - Enter Cases'!H29,"")</f>
        <v/>
      </c>
      <c r="I29" t="str">
        <f>IF($A29&lt;&gt;"",'All Cases - Enter Cases'!I29,"")</f>
        <v/>
      </c>
      <c r="J29" t="str">
        <f>IF($A29&lt;&gt;"",'All Cases - Enter Cases'!J29,"")</f>
        <v/>
      </c>
      <c r="K29" t="str">
        <f>IF($A29&lt;&gt;"",'All Cases - Enter Cases'!K29,"")</f>
        <v/>
      </c>
      <c r="L29" t="str">
        <f>IF($A29&lt;&gt;"",'All Cases - Enter Cases'!L29,"")</f>
        <v/>
      </c>
      <c r="M29" t="str">
        <f>IF($A29&lt;&gt;"",'All Cases - Enter Cases'!M29,"")</f>
        <v/>
      </c>
    </row>
    <row r="30" spans="1:13" x14ac:dyDescent="0.35">
      <c r="A30" t="str">
        <f>IF('All Cases - Enter Cases'!$F30="KPK",'All Cases - Enter Cases'!A30,"")</f>
        <v/>
      </c>
      <c r="B30" t="str">
        <f>IF($A30&lt;&gt;"",'All Cases - Enter Cases'!B30,"")</f>
        <v/>
      </c>
      <c r="C30" t="str">
        <f>IF($A30&lt;&gt;"",'All Cases - Enter Cases'!C30,"")</f>
        <v/>
      </c>
      <c r="D30" t="str">
        <f>IF($A30&lt;&gt;"",'All Cases - Enter Cases'!D30,"")</f>
        <v/>
      </c>
      <c r="E30" t="str">
        <f>IF($A30&lt;&gt;"",'All Cases - Enter Cases'!E30,"")</f>
        <v/>
      </c>
      <c r="F30" t="str">
        <f>IF($A30&lt;&gt;"",'All Cases - Enter Cases'!F30,"")</f>
        <v/>
      </c>
      <c r="G30" t="str">
        <f>IF($A30&lt;&gt;"",'All Cases - Enter Cases'!G30,"")</f>
        <v/>
      </c>
      <c r="H30" t="str">
        <f>IF($A30&lt;&gt;"",'All Cases - Enter Cases'!H30,"")</f>
        <v/>
      </c>
      <c r="I30" t="str">
        <f>IF($A30&lt;&gt;"",'All Cases - Enter Cases'!I30,"")</f>
        <v/>
      </c>
      <c r="J30" t="str">
        <f>IF($A30&lt;&gt;"",'All Cases - Enter Cases'!J30,"")</f>
        <v/>
      </c>
      <c r="K30" t="str">
        <f>IF($A30&lt;&gt;"",'All Cases - Enter Cases'!K30,"")</f>
        <v/>
      </c>
      <c r="L30" t="str">
        <f>IF($A30&lt;&gt;"",'All Cases - Enter Cases'!L30,"")</f>
        <v/>
      </c>
      <c r="M30" t="str">
        <f>IF($A30&lt;&gt;"",'All Cases - Enter Cases'!M30,"")</f>
        <v/>
      </c>
    </row>
    <row r="31" spans="1:13" x14ac:dyDescent="0.35">
      <c r="A31" t="str">
        <f>IF('All Cases - Enter Cases'!$F31="KPK",'All Cases - Enter Cases'!A31,"")</f>
        <v/>
      </c>
      <c r="B31" t="str">
        <f>IF($A31&lt;&gt;"",'All Cases - Enter Cases'!B31,"")</f>
        <v/>
      </c>
      <c r="C31" t="str">
        <f>IF($A31&lt;&gt;"",'All Cases - Enter Cases'!C31,"")</f>
        <v/>
      </c>
      <c r="D31" t="str">
        <f>IF($A31&lt;&gt;"",'All Cases - Enter Cases'!D31,"")</f>
        <v/>
      </c>
      <c r="E31" t="str">
        <f>IF($A31&lt;&gt;"",'All Cases - Enter Cases'!E31,"")</f>
        <v/>
      </c>
      <c r="F31" t="str">
        <f>IF($A31&lt;&gt;"",'All Cases - Enter Cases'!F31,"")</f>
        <v/>
      </c>
      <c r="G31" t="str">
        <f>IF($A31&lt;&gt;"",'All Cases - Enter Cases'!G31,"")</f>
        <v/>
      </c>
      <c r="H31" t="str">
        <f>IF($A31&lt;&gt;"",'All Cases - Enter Cases'!H31,"")</f>
        <v/>
      </c>
      <c r="I31" t="str">
        <f>IF($A31&lt;&gt;"",'All Cases - Enter Cases'!I31,"")</f>
        <v/>
      </c>
      <c r="J31" t="str">
        <f>IF($A31&lt;&gt;"",'All Cases - Enter Cases'!J31,"")</f>
        <v/>
      </c>
      <c r="K31" t="str">
        <f>IF($A31&lt;&gt;"",'All Cases - Enter Cases'!K31,"")</f>
        <v/>
      </c>
      <c r="L31" t="str">
        <f>IF($A31&lt;&gt;"",'All Cases - Enter Cases'!L31,"")</f>
        <v/>
      </c>
      <c r="M31" t="str">
        <f>IF($A31&lt;&gt;"",'All Cases - Enter Cases'!M31,"")</f>
        <v/>
      </c>
    </row>
    <row r="32" spans="1:13" x14ac:dyDescent="0.35">
      <c r="A32" t="str">
        <f>IF('All Cases - Enter Cases'!$F32="KPK",'All Cases - Enter Cases'!A32,"")</f>
        <v/>
      </c>
      <c r="B32" t="str">
        <f>IF($A32&lt;&gt;"",'All Cases - Enter Cases'!B32,"")</f>
        <v/>
      </c>
      <c r="C32" t="str">
        <f>IF($A32&lt;&gt;"",'All Cases - Enter Cases'!C32,"")</f>
        <v/>
      </c>
      <c r="D32" t="str">
        <f>IF($A32&lt;&gt;"",'All Cases - Enter Cases'!D32,"")</f>
        <v/>
      </c>
      <c r="E32" t="str">
        <f>IF($A32&lt;&gt;"",'All Cases - Enter Cases'!E32,"")</f>
        <v/>
      </c>
      <c r="F32" t="str">
        <f>IF($A32&lt;&gt;"",'All Cases - Enter Cases'!F32,"")</f>
        <v/>
      </c>
      <c r="G32" t="str">
        <f>IF($A32&lt;&gt;"",'All Cases - Enter Cases'!G32,"")</f>
        <v/>
      </c>
      <c r="H32" t="str">
        <f>IF($A32&lt;&gt;"",'All Cases - Enter Cases'!H32,"")</f>
        <v/>
      </c>
      <c r="I32" t="str">
        <f>IF($A32&lt;&gt;"",'All Cases - Enter Cases'!I32,"")</f>
        <v/>
      </c>
      <c r="J32" t="str">
        <f>IF($A32&lt;&gt;"",'All Cases - Enter Cases'!J32,"")</f>
        <v/>
      </c>
      <c r="K32" t="str">
        <f>IF($A32&lt;&gt;"",'All Cases - Enter Cases'!K32,"")</f>
        <v/>
      </c>
      <c r="L32" t="str">
        <f>IF($A32&lt;&gt;"",'All Cases - Enter Cases'!L32,"")</f>
        <v/>
      </c>
      <c r="M32" t="str">
        <f>IF($A32&lt;&gt;"",'All Cases - Enter Cases'!M32,"")</f>
        <v/>
      </c>
    </row>
    <row r="33" spans="1:13" x14ac:dyDescent="0.35">
      <c r="A33" t="str">
        <f>IF('All Cases - Enter Cases'!$F33="KPK",'All Cases - Enter Cases'!A33,"")</f>
        <v/>
      </c>
      <c r="B33" t="str">
        <f>IF($A33&lt;&gt;"",'All Cases - Enter Cases'!B33,"")</f>
        <v/>
      </c>
      <c r="C33" t="str">
        <f>IF($A33&lt;&gt;"",'All Cases - Enter Cases'!C33,"")</f>
        <v/>
      </c>
      <c r="D33" t="str">
        <f>IF($A33&lt;&gt;"",'All Cases - Enter Cases'!D33,"")</f>
        <v/>
      </c>
      <c r="E33" t="str">
        <f>IF($A33&lt;&gt;"",'All Cases - Enter Cases'!E33,"")</f>
        <v/>
      </c>
      <c r="F33" t="str">
        <f>IF($A33&lt;&gt;"",'All Cases - Enter Cases'!F33,"")</f>
        <v/>
      </c>
      <c r="G33" t="str">
        <f>IF($A33&lt;&gt;"",'All Cases - Enter Cases'!G33,"")</f>
        <v/>
      </c>
      <c r="H33" t="str">
        <f>IF($A33&lt;&gt;"",'All Cases - Enter Cases'!H33,"")</f>
        <v/>
      </c>
      <c r="I33" t="str">
        <f>IF($A33&lt;&gt;"",'All Cases - Enter Cases'!I33,"")</f>
        <v/>
      </c>
      <c r="J33" t="str">
        <f>IF($A33&lt;&gt;"",'All Cases - Enter Cases'!J33,"")</f>
        <v/>
      </c>
      <c r="K33" t="str">
        <f>IF($A33&lt;&gt;"",'All Cases - Enter Cases'!K33,"")</f>
        <v/>
      </c>
      <c r="L33" t="str">
        <f>IF($A33&lt;&gt;"",'All Cases - Enter Cases'!L33,"")</f>
        <v/>
      </c>
      <c r="M33" t="str">
        <f>IF($A33&lt;&gt;"",'All Cases - Enter Cases'!M33,"")</f>
        <v/>
      </c>
    </row>
    <row r="34" spans="1:13" x14ac:dyDescent="0.35">
      <c r="A34" t="str">
        <f>IF('All Cases - Enter Cases'!$F34="KPK",'All Cases - Enter Cases'!A34,"")</f>
        <v/>
      </c>
      <c r="B34" t="str">
        <f>IF($A34&lt;&gt;"",'All Cases - Enter Cases'!B34,"")</f>
        <v/>
      </c>
      <c r="C34" t="str">
        <f>IF($A34&lt;&gt;"",'All Cases - Enter Cases'!C34,"")</f>
        <v/>
      </c>
      <c r="D34" t="str">
        <f>IF($A34&lt;&gt;"",'All Cases - Enter Cases'!D34,"")</f>
        <v/>
      </c>
      <c r="E34" t="str">
        <f>IF($A34&lt;&gt;"",'All Cases - Enter Cases'!E34,"")</f>
        <v/>
      </c>
      <c r="F34" t="str">
        <f>IF($A34&lt;&gt;"",'All Cases - Enter Cases'!F34,"")</f>
        <v/>
      </c>
      <c r="G34" t="str">
        <f>IF($A34&lt;&gt;"",'All Cases - Enter Cases'!G34,"")</f>
        <v/>
      </c>
      <c r="H34" t="str">
        <f>IF($A34&lt;&gt;"",'All Cases - Enter Cases'!H34,"")</f>
        <v/>
      </c>
      <c r="I34" t="str">
        <f>IF($A34&lt;&gt;"",'All Cases - Enter Cases'!I34,"")</f>
        <v/>
      </c>
      <c r="J34" t="str">
        <f>IF($A34&lt;&gt;"",'All Cases - Enter Cases'!J34,"")</f>
        <v/>
      </c>
      <c r="K34" t="str">
        <f>IF($A34&lt;&gt;"",'All Cases - Enter Cases'!K34,"")</f>
        <v/>
      </c>
      <c r="L34" t="str">
        <f>IF($A34&lt;&gt;"",'All Cases - Enter Cases'!L34,"")</f>
        <v/>
      </c>
      <c r="M34" t="str">
        <f>IF($A34&lt;&gt;"",'All Cases - Enter Cases'!M34,"")</f>
        <v/>
      </c>
    </row>
    <row r="35" spans="1:13" x14ac:dyDescent="0.35">
      <c r="A35" t="str">
        <f>IF('All Cases - Enter Cases'!$F35="KPK",'All Cases - Enter Cases'!A35,"")</f>
        <v/>
      </c>
      <c r="B35" t="str">
        <f>IF($A35&lt;&gt;"",'All Cases - Enter Cases'!B35,"")</f>
        <v/>
      </c>
      <c r="C35" t="str">
        <f>IF($A35&lt;&gt;"",'All Cases - Enter Cases'!C35,"")</f>
        <v/>
      </c>
      <c r="D35" t="str">
        <f>IF($A35&lt;&gt;"",'All Cases - Enter Cases'!D35,"")</f>
        <v/>
      </c>
      <c r="E35" t="str">
        <f>IF($A35&lt;&gt;"",'All Cases - Enter Cases'!E35,"")</f>
        <v/>
      </c>
      <c r="F35" t="str">
        <f>IF($A35&lt;&gt;"",'All Cases - Enter Cases'!F35,"")</f>
        <v/>
      </c>
      <c r="G35" t="str">
        <f>IF($A35&lt;&gt;"",'All Cases - Enter Cases'!G35,"")</f>
        <v/>
      </c>
      <c r="H35" t="str">
        <f>IF($A35&lt;&gt;"",'All Cases - Enter Cases'!H35,"")</f>
        <v/>
      </c>
      <c r="I35" t="str">
        <f>IF($A35&lt;&gt;"",'All Cases - Enter Cases'!I35,"")</f>
        <v/>
      </c>
      <c r="J35" t="str">
        <f>IF($A35&lt;&gt;"",'All Cases - Enter Cases'!J35,"")</f>
        <v/>
      </c>
      <c r="K35" t="str">
        <f>IF($A35&lt;&gt;"",'All Cases - Enter Cases'!K35,"")</f>
        <v/>
      </c>
      <c r="L35" t="str">
        <f>IF($A35&lt;&gt;"",'All Cases - Enter Cases'!L35,"")</f>
        <v/>
      </c>
      <c r="M35" t="str">
        <f>IF($A35&lt;&gt;"",'All Cases - Enter Cases'!M35,"")</f>
        <v/>
      </c>
    </row>
    <row r="36" spans="1:13" x14ac:dyDescent="0.35">
      <c r="A36" t="str">
        <f>IF('All Cases - Enter Cases'!$F36="KPK",'All Cases - Enter Cases'!A36,"")</f>
        <v/>
      </c>
      <c r="B36" t="str">
        <f>IF($A36&lt;&gt;"",'All Cases - Enter Cases'!B36,"")</f>
        <v/>
      </c>
      <c r="C36" t="str">
        <f>IF($A36&lt;&gt;"",'All Cases - Enter Cases'!C36,"")</f>
        <v/>
      </c>
      <c r="D36" t="str">
        <f>IF($A36&lt;&gt;"",'All Cases - Enter Cases'!D36,"")</f>
        <v/>
      </c>
      <c r="E36" t="str">
        <f>IF($A36&lt;&gt;"",'All Cases - Enter Cases'!E36,"")</f>
        <v/>
      </c>
      <c r="F36" t="str">
        <f>IF($A36&lt;&gt;"",'All Cases - Enter Cases'!F36,"")</f>
        <v/>
      </c>
      <c r="G36" t="str">
        <f>IF($A36&lt;&gt;"",'All Cases - Enter Cases'!G36,"")</f>
        <v/>
      </c>
      <c r="H36" t="str">
        <f>IF($A36&lt;&gt;"",'All Cases - Enter Cases'!H36,"")</f>
        <v/>
      </c>
      <c r="I36" t="str">
        <f>IF($A36&lt;&gt;"",'All Cases - Enter Cases'!I36,"")</f>
        <v/>
      </c>
      <c r="J36" t="str">
        <f>IF($A36&lt;&gt;"",'All Cases - Enter Cases'!J36,"")</f>
        <v/>
      </c>
      <c r="K36" t="str">
        <f>IF($A36&lt;&gt;"",'All Cases - Enter Cases'!K36,"")</f>
        <v/>
      </c>
      <c r="L36" t="str">
        <f>IF($A36&lt;&gt;"",'All Cases - Enter Cases'!L36,"")</f>
        <v/>
      </c>
      <c r="M36" t="str">
        <f>IF($A36&lt;&gt;"",'All Cases - Enter Cases'!M36,"")</f>
        <v/>
      </c>
    </row>
    <row r="37" spans="1:13" x14ac:dyDescent="0.35">
      <c r="A37" t="str">
        <f>IF('All Cases - Enter Cases'!$F37="KPK",'All Cases - Enter Cases'!A37,"")</f>
        <v/>
      </c>
      <c r="B37" t="str">
        <f>IF($A37&lt;&gt;"",'All Cases - Enter Cases'!B37,"")</f>
        <v/>
      </c>
      <c r="C37" t="str">
        <f>IF($A37&lt;&gt;"",'All Cases - Enter Cases'!C37,"")</f>
        <v/>
      </c>
      <c r="D37" t="str">
        <f>IF($A37&lt;&gt;"",'All Cases - Enter Cases'!D37,"")</f>
        <v/>
      </c>
      <c r="E37" t="str">
        <f>IF($A37&lt;&gt;"",'All Cases - Enter Cases'!E37,"")</f>
        <v/>
      </c>
      <c r="F37" t="str">
        <f>IF($A37&lt;&gt;"",'All Cases - Enter Cases'!F37,"")</f>
        <v/>
      </c>
      <c r="G37" t="str">
        <f>IF($A37&lt;&gt;"",'All Cases - Enter Cases'!G37,"")</f>
        <v/>
      </c>
      <c r="H37" t="str">
        <f>IF($A37&lt;&gt;"",'All Cases - Enter Cases'!H37,"")</f>
        <v/>
      </c>
      <c r="I37" t="str">
        <f>IF($A37&lt;&gt;"",'All Cases - Enter Cases'!I37,"")</f>
        <v/>
      </c>
      <c r="J37" t="str">
        <f>IF($A37&lt;&gt;"",'All Cases - Enter Cases'!J37,"")</f>
        <v/>
      </c>
      <c r="K37" t="str">
        <f>IF($A37&lt;&gt;"",'All Cases - Enter Cases'!K37,"")</f>
        <v/>
      </c>
      <c r="L37" t="str">
        <f>IF($A37&lt;&gt;"",'All Cases - Enter Cases'!L37,"")</f>
        <v/>
      </c>
      <c r="M37" t="str">
        <f>IF($A37&lt;&gt;"",'All Cases - Enter Cases'!M37,"")</f>
        <v/>
      </c>
    </row>
    <row r="38" spans="1:13" x14ac:dyDescent="0.35">
      <c r="A38" t="str">
        <f>IF('All Cases - Enter Cases'!$F38="KPK",'All Cases - Enter Cases'!A38,"")</f>
        <v/>
      </c>
      <c r="B38" t="str">
        <f>IF($A38&lt;&gt;"",'All Cases - Enter Cases'!B38,"")</f>
        <v/>
      </c>
      <c r="C38" t="str">
        <f>IF($A38&lt;&gt;"",'All Cases - Enter Cases'!C38,"")</f>
        <v/>
      </c>
      <c r="D38" t="str">
        <f>IF($A38&lt;&gt;"",'All Cases - Enter Cases'!D38,"")</f>
        <v/>
      </c>
      <c r="E38" t="str">
        <f>IF($A38&lt;&gt;"",'All Cases - Enter Cases'!E38,"")</f>
        <v/>
      </c>
      <c r="F38" t="str">
        <f>IF($A38&lt;&gt;"",'All Cases - Enter Cases'!F38,"")</f>
        <v/>
      </c>
      <c r="G38" t="str">
        <f>IF($A38&lt;&gt;"",'All Cases - Enter Cases'!G38,"")</f>
        <v/>
      </c>
      <c r="H38" t="str">
        <f>IF($A38&lt;&gt;"",'All Cases - Enter Cases'!H38,"")</f>
        <v/>
      </c>
      <c r="I38" t="str">
        <f>IF($A38&lt;&gt;"",'All Cases - Enter Cases'!I38,"")</f>
        <v/>
      </c>
      <c r="J38" t="str">
        <f>IF($A38&lt;&gt;"",'All Cases - Enter Cases'!J38,"")</f>
        <v/>
      </c>
      <c r="K38" t="str">
        <f>IF($A38&lt;&gt;"",'All Cases - Enter Cases'!K38,"")</f>
        <v/>
      </c>
      <c r="L38" t="str">
        <f>IF($A38&lt;&gt;"",'All Cases - Enter Cases'!L38,"")</f>
        <v/>
      </c>
      <c r="M38" t="str">
        <f>IF($A38&lt;&gt;"",'All Cases - Enter Cases'!M38,"")</f>
        <v/>
      </c>
    </row>
    <row r="39" spans="1:13" x14ac:dyDescent="0.35">
      <c r="A39" t="str">
        <f>IF('All Cases - Enter Cases'!$F39="KPK",'All Cases - Enter Cases'!A39,"")</f>
        <v/>
      </c>
      <c r="B39" t="str">
        <f>IF($A39&lt;&gt;"",'All Cases - Enter Cases'!B39,"")</f>
        <v/>
      </c>
      <c r="C39" t="str">
        <f>IF($A39&lt;&gt;"",'All Cases - Enter Cases'!C39,"")</f>
        <v/>
      </c>
      <c r="D39" t="str">
        <f>IF($A39&lt;&gt;"",'All Cases - Enter Cases'!D39,"")</f>
        <v/>
      </c>
      <c r="E39" t="str">
        <f>IF($A39&lt;&gt;"",'All Cases - Enter Cases'!E39,"")</f>
        <v/>
      </c>
      <c r="F39" t="str">
        <f>IF($A39&lt;&gt;"",'All Cases - Enter Cases'!F39,"")</f>
        <v/>
      </c>
      <c r="G39" t="str">
        <f>IF($A39&lt;&gt;"",'All Cases - Enter Cases'!G39,"")</f>
        <v/>
      </c>
      <c r="H39" t="str">
        <f>IF($A39&lt;&gt;"",'All Cases - Enter Cases'!H39,"")</f>
        <v/>
      </c>
      <c r="I39" t="str">
        <f>IF($A39&lt;&gt;"",'All Cases - Enter Cases'!I39,"")</f>
        <v/>
      </c>
      <c r="J39" t="str">
        <f>IF($A39&lt;&gt;"",'All Cases - Enter Cases'!J39,"")</f>
        <v/>
      </c>
      <c r="K39" t="str">
        <f>IF($A39&lt;&gt;"",'All Cases - Enter Cases'!K39,"")</f>
        <v/>
      </c>
      <c r="L39" t="str">
        <f>IF($A39&lt;&gt;"",'All Cases - Enter Cases'!L39,"")</f>
        <v/>
      </c>
      <c r="M39" t="str">
        <f>IF($A39&lt;&gt;"",'All Cases - Enter Cases'!M39,"")</f>
        <v/>
      </c>
    </row>
    <row r="40" spans="1:13" x14ac:dyDescent="0.35">
      <c r="A40" t="str">
        <f>IF('All Cases - Enter Cases'!$F40="KPK",'All Cases - Enter Cases'!A40,"")</f>
        <v/>
      </c>
      <c r="B40" t="str">
        <f>IF($A40&lt;&gt;"",'All Cases - Enter Cases'!B40,"")</f>
        <v/>
      </c>
      <c r="C40" t="str">
        <f>IF($A40&lt;&gt;"",'All Cases - Enter Cases'!C40,"")</f>
        <v/>
      </c>
      <c r="D40" t="str">
        <f>IF($A40&lt;&gt;"",'All Cases - Enter Cases'!D40,"")</f>
        <v/>
      </c>
      <c r="E40" t="str">
        <f>IF($A40&lt;&gt;"",'All Cases - Enter Cases'!E40,"")</f>
        <v/>
      </c>
      <c r="F40" t="str">
        <f>IF($A40&lt;&gt;"",'All Cases - Enter Cases'!F40,"")</f>
        <v/>
      </c>
      <c r="G40" t="str">
        <f>IF($A40&lt;&gt;"",'All Cases - Enter Cases'!G40,"")</f>
        <v/>
      </c>
      <c r="H40" t="str">
        <f>IF($A40&lt;&gt;"",'All Cases - Enter Cases'!H40,"")</f>
        <v/>
      </c>
      <c r="I40" t="str">
        <f>IF($A40&lt;&gt;"",'All Cases - Enter Cases'!I40,"")</f>
        <v/>
      </c>
      <c r="J40" t="str">
        <f>IF($A40&lt;&gt;"",'All Cases - Enter Cases'!J40,"")</f>
        <v/>
      </c>
      <c r="K40" t="str">
        <f>IF($A40&lt;&gt;"",'All Cases - Enter Cases'!K40,"")</f>
        <v/>
      </c>
      <c r="L40" t="str">
        <f>IF($A40&lt;&gt;"",'All Cases - Enter Cases'!L40,"")</f>
        <v/>
      </c>
      <c r="M40" t="str">
        <f>IF($A40&lt;&gt;"",'All Cases - Enter Cases'!M40,"")</f>
        <v/>
      </c>
    </row>
    <row r="41" spans="1:13" x14ac:dyDescent="0.35">
      <c r="A41" t="str">
        <f>IF('All Cases - Enter Cases'!$F41="KPK",'All Cases - Enter Cases'!A41,"")</f>
        <v/>
      </c>
      <c r="B41" t="str">
        <f>IF($A41&lt;&gt;"",'All Cases - Enter Cases'!B41,"")</f>
        <v/>
      </c>
      <c r="C41" t="str">
        <f>IF($A41&lt;&gt;"",'All Cases - Enter Cases'!C41,"")</f>
        <v/>
      </c>
      <c r="D41" t="str">
        <f>IF($A41&lt;&gt;"",'All Cases - Enter Cases'!D41,"")</f>
        <v/>
      </c>
      <c r="E41" t="str">
        <f>IF($A41&lt;&gt;"",'All Cases - Enter Cases'!E41,"")</f>
        <v/>
      </c>
      <c r="F41" t="str">
        <f>IF($A41&lt;&gt;"",'All Cases - Enter Cases'!F41,"")</f>
        <v/>
      </c>
      <c r="G41" t="str">
        <f>IF($A41&lt;&gt;"",'All Cases - Enter Cases'!G41,"")</f>
        <v/>
      </c>
      <c r="H41" t="str">
        <f>IF($A41&lt;&gt;"",'All Cases - Enter Cases'!H41,"")</f>
        <v/>
      </c>
      <c r="I41" t="str">
        <f>IF($A41&lt;&gt;"",'All Cases - Enter Cases'!I41,"")</f>
        <v/>
      </c>
      <c r="J41" t="str">
        <f>IF($A41&lt;&gt;"",'All Cases - Enter Cases'!J41,"")</f>
        <v/>
      </c>
      <c r="K41" t="str">
        <f>IF($A41&lt;&gt;"",'All Cases - Enter Cases'!K41,"")</f>
        <v/>
      </c>
      <c r="L41" t="str">
        <f>IF($A41&lt;&gt;"",'All Cases - Enter Cases'!L41,"")</f>
        <v/>
      </c>
      <c r="M41" t="str">
        <f>IF($A41&lt;&gt;"",'All Cases - Enter Cases'!M41,"")</f>
        <v/>
      </c>
    </row>
    <row r="42" spans="1:13" x14ac:dyDescent="0.35">
      <c r="A42" t="str">
        <f>IF('All Cases - Enter Cases'!$F42="KPK",'All Cases - Enter Cases'!A42,"")</f>
        <v/>
      </c>
      <c r="B42" t="str">
        <f>IF($A42&lt;&gt;"",'All Cases - Enter Cases'!B42,"")</f>
        <v/>
      </c>
      <c r="C42" t="str">
        <f>IF($A42&lt;&gt;"",'All Cases - Enter Cases'!C42,"")</f>
        <v/>
      </c>
      <c r="D42" t="str">
        <f>IF($A42&lt;&gt;"",'All Cases - Enter Cases'!D42,"")</f>
        <v/>
      </c>
      <c r="E42" t="str">
        <f>IF($A42&lt;&gt;"",'All Cases - Enter Cases'!E42,"")</f>
        <v/>
      </c>
      <c r="F42" t="str">
        <f>IF($A42&lt;&gt;"",'All Cases - Enter Cases'!F42,"")</f>
        <v/>
      </c>
      <c r="G42" t="str">
        <f>IF($A42&lt;&gt;"",'All Cases - Enter Cases'!G42,"")</f>
        <v/>
      </c>
      <c r="H42" t="str">
        <f>IF($A42&lt;&gt;"",'All Cases - Enter Cases'!H42,"")</f>
        <v/>
      </c>
      <c r="I42" t="str">
        <f>IF($A42&lt;&gt;"",'All Cases - Enter Cases'!I42,"")</f>
        <v/>
      </c>
      <c r="J42" t="str">
        <f>IF($A42&lt;&gt;"",'All Cases - Enter Cases'!J42,"")</f>
        <v/>
      </c>
      <c r="K42" t="str">
        <f>IF($A42&lt;&gt;"",'All Cases - Enter Cases'!K42,"")</f>
        <v/>
      </c>
      <c r="L42" t="str">
        <f>IF($A42&lt;&gt;"",'All Cases - Enter Cases'!L42,"")</f>
        <v/>
      </c>
      <c r="M42" t="str">
        <f>IF($A42&lt;&gt;"",'All Cases - Enter Cases'!M42,"")</f>
        <v/>
      </c>
    </row>
    <row r="43" spans="1:13" x14ac:dyDescent="0.35">
      <c r="A43" t="str">
        <f>IF('All Cases - Enter Cases'!$F43="KPK",'All Cases - Enter Cases'!A43,"")</f>
        <v/>
      </c>
      <c r="B43" t="str">
        <f>IF($A43&lt;&gt;"",'All Cases - Enter Cases'!B43,"")</f>
        <v/>
      </c>
      <c r="C43" t="str">
        <f>IF($A43&lt;&gt;"",'All Cases - Enter Cases'!C43,"")</f>
        <v/>
      </c>
      <c r="D43" t="str">
        <f>IF($A43&lt;&gt;"",'All Cases - Enter Cases'!D43,"")</f>
        <v/>
      </c>
      <c r="E43" t="str">
        <f>IF($A43&lt;&gt;"",'All Cases - Enter Cases'!E43,"")</f>
        <v/>
      </c>
      <c r="F43" t="str">
        <f>IF($A43&lt;&gt;"",'All Cases - Enter Cases'!F43,"")</f>
        <v/>
      </c>
      <c r="G43" t="str">
        <f>IF($A43&lt;&gt;"",'All Cases - Enter Cases'!G43,"")</f>
        <v/>
      </c>
      <c r="H43" t="str">
        <f>IF($A43&lt;&gt;"",'All Cases - Enter Cases'!H43,"")</f>
        <v/>
      </c>
      <c r="I43" t="str">
        <f>IF($A43&lt;&gt;"",'All Cases - Enter Cases'!I43,"")</f>
        <v/>
      </c>
      <c r="J43" t="str">
        <f>IF($A43&lt;&gt;"",'All Cases - Enter Cases'!J43,"")</f>
        <v/>
      </c>
      <c r="K43" t="str">
        <f>IF($A43&lt;&gt;"",'All Cases - Enter Cases'!K43,"")</f>
        <v/>
      </c>
      <c r="L43" t="str">
        <f>IF($A43&lt;&gt;"",'All Cases - Enter Cases'!L43,"")</f>
        <v/>
      </c>
      <c r="M43" t="str">
        <f>IF($A43&lt;&gt;"",'All Cases - Enter Cases'!M43,"")</f>
        <v/>
      </c>
    </row>
    <row r="44" spans="1:13" x14ac:dyDescent="0.35">
      <c r="A44" t="str">
        <f>IF('All Cases - Enter Cases'!$F44="KPK",'All Cases - Enter Cases'!A44,"")</f>
        <v/>
      </c>
      <c r="B44" t="str">
        <f>IF($A44&lt;&gt;"",'All Cases - Enter Cases'!B44,"")</f>
        <v/>
      </c>
      <c r="C44" t="str">
        <f>IF($A44&lt;&gt;"",'All Cases - Enter Cases'!C44,"")</f>
        <v/>
      </c>
      <c r="D44" t="str">
        <f>IF($A44&lt;&gt;"",'All Cases - Enter Cases'!D44,"")</f>
        <v/>
      </c>
      <c r="E44" t="str">
        <f>IF($A44&lt;&gt;"",'All Cases - Enter Cases'!E44,"")</f>
        <v/>
      </c>
      <c r="F44" t="str">
        <f>IF($A44&lt;&gt;"",'All Cases - Enter Cases'!F44,"")</f>
        <v/>
      </c>
      <c r="G44" t="str">
        <f>IF($A44&lt;&gt;"",'All Cases - Enter Cases'!G44,"")</f>
        <v/>
      </c>
      <c r="H44" t="str">
        <f>IF($A44&lt;&gt;"",'All Cases - Enter Cases'!H44,"")</f>
        <v/>
      </c>
      <c r="I44" t="str">
        <f>IF($A44&lt;&gt;"",'All Cases - Enter Cases'!I44,"")</f>
        <v/>
      </c>
      <c r="J44" t="str">
        <f>IF($A44&lt;&gt;"",'All Cases - Enter Cases'!J44,"")</f>
        <v/>
      </c>
      <c r="K44" t="str">
        <f>IF($A44&lt;&gt;"",'All Cases - Enter Cases'!K44,"")</f>
        <v/>
      </c>
      <c r="L44" t="str">
        <f>IF($A44&lt;&gt;"",'All Cases - Enter Cases'!L44,"")</f>
        <v/>
      </c>
      <c r="M44" t="str">
        <f>IF($A44&lt;&gt;"",'All Cases - Enter Cases'!M44,"")</f>
        <v/>
      </c>
    </row>
    <row r="45" spans="1:13" x14ac:dyDescent="0.35">
      <c r="A45" t="str">
        <f>IF('All Cases - Enter Cases'!$F45="KPK",'All Cases - Enter Cases'!A45,"")</f>
        <v/>
      </c>
      <c r="B45" t="str">
        <f>IF($A45&lt;&gt;"",'All Cases - Enter Cases'!B45,"")</f>
        <v/>
      </c>
      <c r="C45" t="str">
        <f>IF($A45&lt;&gt;"",'All Cases - Enter Cases'!C45,"")</f>
        <v/>
      </c>
      <c r="D45" t="str">
        <f>IF($A45&lt;&gt;"",'All Cases - Enter Cases'!D45,"")</f>
        <v/>
      </c>
      <c r="E45" t="str">
        <f>IF($A45&lt;&gt;"",'All Cases - Enter Cases'!E45,"")</f>
        <v/>
      </c>
      <c r="F45" t="str">
        <f>IF($A45&lt;&gt;"",'All Cases - Enter Cases'!F45,"")</f>
        <v/>
      </c>
      <c r="G45" t="str">
        <f>IF($A45&lt;&gt;"",'All Cases - Enter Cases'!G45,"")</f>
        <v/>
      </c>
      <c r="H45" t="str">
        <f>IF($A45&lt;&gt;"",'All Cases - Enter Cases'!H45,"")</f>
        <v/>
      </c>
      <c r="I45" t="str">
        <f>IF($A45&lt;&gt;"",'All Cases - Enter Cases'!I45,"")</f>
        <v/>
      </c>
      <c r="J45" t="str">
        <f>IF($A45&lt;&gt;"",'All Cases - Enter Cases'!J45,"")</f>
        <v/>
      </c>
      <c r="K45" t="str">
        <f>IF($A45&lt;&gt;"",'All Cases - Enter Cases'!K45,"")</f>
        <v/>
      </c>
      <c r="L45" t="str">
        <f>IF($A45&lt;&gt;"",'All Cases - Enter Cases'!L45,"")</f>
        <v/>
      </c>
      <c r="M45" t="str">
        <f>IF($A45&lt;&gt;"",'All Cases - Enter Cases'!M45,"")</f>
        <v/>
      </c>
    </row>
    <row r="46" spans="1:13" x14ac:dyDescent="0.35">
      <c r="A46" t="str">
        <f>IF('All Cases - Enter Cases'!$F46="KPK",'All Cases - Enter Cases'!A46,"")</f>
        <v/>
      </c>
      <c r="B46" t="str">
        <f>IF($A46&lt;&gt;"",'All Cases - Enter Cases'!B46,"")</f>
        <v/>
      </c>
      <c r="C46" t="str">
        <f>IF($A46&lt;&gt;"",'All Cases - Enter Cases'!C46,"")</f>
        <v/>
      </c>
      <c r="D46" t="str">
        <f>IF($A46&lt;&gt;"",'All Cases - Enter Cases'!D46,"")</f>
        <v/>
      </c>
      <c r="E46" t="str">
        <f>IF($A46&lt;&gt;"",'All Cases - Enter Cases'!E46,"")</f>
        <v/>
      </c>
      <c r="F46" t="str">
        <f>IF($A46&lt;&gt;"",'All Cases - Enter Cases'!F46,"")</f>
        <v/>
      </c>
      <c r="G46" t="str">
        <f>IF($A46&lt;&gt;"",'All Cases - Enter Cases'!G46,"")</f>
        <v/>
      </c>
      <c r="H46" t="str">
        <f>IF($A46&lt;&gt;"",'All Cases - Enter Cases'!H46,"")</f>
        <v/>
      </c>
      <c r="I46" t="str">
        <f>IF($A46&lt;&gt;"",'All Cases - Enter Cases'!I46,"")</f>
        <v/>
      </c>
      <c r="J46" t="str">
        <f>IF($A46&lt;&gt;"",'All Cases - Enter Cases'!J46,"")</f>
        <v/>
      </c>
      <c r="K46" t="str">
        <f>IF($A46&lt;&gt;"",'All Cases - Enter Cases'!K46,"")</f>
        <v/>
      </c>
      <c r="L46" t="str">
        <f>IF($A46&lt;&gt;"",'All Cases - Enter Cases'!L46,"")</f>
        <v/>
      </c>
      <c r="M46" t="str">
        <f>IF($A46&lt;&gt;"",'All Cases - Enter Cases'!M46,"")</f>
        <v/>
      </c>
    </row>
    <row r="47" spans="1:13" x14ac:dyDescent="0.35">
      <c r="A47" t="str">
        <f>IF('All Cases - Enter Cases'!$F47="KPK",'All Cases - Enter Cases'!A47,"")</f>
        <v/>
      </c>
      <c r="B47" t="str">
        <f>IF($A47&lt;&gt;"",'All Cases - Enter Cases'!B47,"")</f>
        <v/>
      </c>
      <c r="C47" t="str">
        <f>IF($A47&lt;&gt;"",'All Cases - Enter Cases'!C47,"")</f>
        <v/>
      </c>
      <c r="D47" t="str">
        <f>IF($A47&lt;&gt;"",'All Cases - Enter Cases'!D47,"")</f>
        <v/>
      </c>
      <c r="E47" t="str">
        <f>IF($A47&lt;&gt;"",'All Cases - Enter Cases'!E47,"")</f>
        <v/>
      </c>
      <c r="F47" t="str">
        <f>IF($A47&lt;&gt;"",'All Cases - Enter Cases'!F47,"")</f>
        <v/>
      </c>
      <c r="G47" t="str">
        <f>IF($A47&lt;&gt;"",'All Cases - Enter Cases'!G47,"")</f>
        <v/>
      </c>
      <c r="H47" t="str">
        <f>IF($A47&lt;&gt;"",'All Cases - Enter Cases'!H47,"")</f>
        <v/>
      </c>
      <c r="I47" t="str">
        <f>IF($A47&lt;&gt;"",'All Cases - Enter Cases'!I47,"")</f>
        <v/>
      </c>
      <c r="J47" t="str">
        <f>IF($A47&lt;&gt;"",'All Cases - Enter Cases'!J47,"")</f>
        <v/>
      </c>
      <c r="K47" t="str">
        <f>IF($A47&lt;&gt;"",'All Cases - Enter Cases'!K47,"")</f>
        <v/>
      </c>
      <c r="L47" t="str">
        <f>IF($A47&lt;&gt;"",'All Cases - Enter Cases'!L47,"")</f>
        <v/>
      </c>
      <c r="M47" t="str">
        <f>IF($A47&lt;&gt;"",'All Cases - Enter Cases'!M47,"")</f>
        <v/>
      </c>
    </row>
    <row r="48" spans="1:13" x14ac:dyDescent="0.35">
      <c r="A48" t="str">
        <f>IF('All Cases - Enter Cases'!$F48="KPK",'All Cases - Enter Cases'!A48,"")</f>
        <v/>
      </c>
      <c r="B48" t="str">
        <f>IF($A48&lt;&gt;"",'All Cases - Enter Cases'!B48,"")</f>
        <v/>
      </c>
      <c r="C48" t="str">
        <f>IF($A48&lt;&gt;"",'All Cases - Enter Cases'!C48,"")</f>
        <v/>
      </c>
      <c r="D48" t="str">
        <f>IF($A48&lt;&gt;"",'All Cases - Enter Cases'!D48,"")</f>
        <v/>
      </c>
      <c r="E48" t="str">
        <f>IF($A48&lt;&gt;"",'All Cases - Enter Cases'!E48,"")</f>
        <v/>
      </c>
      <c r="F48" t="str">
        <f>IF($A48&lt;&gt;"",'All Cases - Enter Cases'!F48,"")</f>
        <v/>
      </c>
      <c r="G48" t="str">
        <f>IF($A48&lt;&gt;"",'All Cases - Enter Cases'!G48,"")</f>
        <v/>
      </c>
      <c r="H48" t="str">
        <f>IF($A48&lt;&gt;"",'All Cases - Enter Cases'!H48,"")</f>
        <v/>
      </c>
      <c r="I48" t="str">
        <f>IF($A48&lt;&gt;"",'All Cases - Enter Cases'!I48,"")</f>
        <v/>
      </c>
      <c r="J48" t="str">
        <f>IF($A48&lt;&gt;"",'All Cases - Enter Cases'!J48,"")</f>
        <v/>
      </c>
      <c r="K48" t="str">
        <f>IF($A48&lt;&gt;"",'All Cases - Enter Cases'!K48,"")</f>
        <v/>
      </c>
      <c r="L48" t="str">
        <f>IF($A48&lt;&gt;"",'All Cases - Enter Cases'!L48,"")</f>
        <v/>
      </c>
      <c r="M48" t="str">
        <f>IF($A48&lt;&gt;"",'All Cases - Enter Cases'!M48,"")</f>
        <v/>
      </c>
    </row>
    <row r="49" spans="1:13" x14ac:dyDescent="0.35">
      <c r="A49" t="str">
        <f>IF('All Cases - Enter Cases'!$F49="KPK",'All Cases - Enter Cases'!A49,"")</f>
        <v/>
      </c>
      <c r="B49" t="str">
        <f>IF($A49&lt;&gt;"",'All Cases - Enter Cases'!B49,"")</f>
        <v/>
      </c>
      <c r="C49" t="str">
        <f>IF($A49&lt;&gt;"",'All Cases - Enter Cases'!C49,"")</f>
        <v/>
      </c>
      <c r="D49" t="str">
        <f>IF($A49&lt;&gt;"",'All Cases - Enter Cases'!D49,"")</f>
        <v/>
      </c>
      <c r="E49" t="str">
        <f>IF($A49&lt;&gt;"",'All Cases - Enter Cases'!E49,"")</f>
        <v/>
      </c>
      <c r="F49" t="str">
        <f>IF($A49&lt;&gt;"",'All Cases - Enter Cases'!F49,"")</f>
        <v/>
      </c>
      <c r="G49" t="str">
        <f>IF($A49&lt;&gt;"",'All Cases - Enter Cases'!G49,"")</f>
        <v/>
      </c>
      <c r="H49" t="str">
        <f>IF($A49&lt;&gt;"",'All Cases - Enter Cases'!H49,"")</f>
        <v/>
      </c>
      <c r="I49" t="str">
        <f>IF($A49&lt;&gt;"",'All Cases - Enter Cases'!I49,"")</f>
        <v/>
      </c>
      <c r="J49" t="str">
        <f>IF($A49&lt;&gt;"",'All Cases - Enter Cases'!J49,"")</f>
        <v/>
      </c>
      <c r="K49" t="str">
        <f>IF($A49&lt;&gt;"",'All Cases - Enter Cases'!K49,"")</f>
        <v/>
      </c>
      <c r="L49" t="str">
        <f>IF($A49&lt;&gt;"",'All Cases - Enter Cases'!L49,"")</f>
        <v/>
      </c>
      <c r="M49" t="str">
        <f>IF($A49&lt;&gt;"",'All Cases - Enter Cases'!M49,"")</f>
        <v/>
      </c>
    </row>
    <row r="50" spans="1:13" x14ac:dyDescent="0.35">
      <c r="A50" t="str">
        <f>IF('All Cases - Enter Cases'!$F50="KPK",'All Cases - Enter Cases'!A50,"")</f>
        <v/>
      </c>
      <c r="B50" t="str">
        <f>IF($A50&lt;&gt;"",'All Cases - Enter Cases'!B50,"")</f>
        <v/>
      </c>
      <c r="C50" t="str">
        <f>IF($A50&lt;&gt;"",'All Cases - Enter Cases'!C50,"")</f>
        <v/>
      </c>
      <c r="D50" t="str">
        <f>IF($A50&lt;&gt;"",'All Cases - Enter Cases'!D50,"")</f>
        <v/>
      </c>
      <c r="E50" t="str">
        <f>IF($A50&lt;&gt;"",'All Cases - Enter Cases'!E50,"")</f>
        <v/>
      </c>
      <c r="F50" t="str">
        <f>IF($A50&lt;&gt;"",'All Cases - Enter Cases'!F50,"")</f>
        <v/>
      </c>
      <c r="G50" t="str">
        <f>IF($A50&lt;&gt;"",'All Cases - Enter Cases'!G50,"")</f>
        <v/>
      </c>
      <c r="H50" t="str">
        <f>IF($A50&lt;&gt;"",'All Cases - Enter Cases'!H50,"")</f>
        <v/>
      </c>
      <c r="I50" t="str">
        <f>IF($A50&lt;&gt;"",'All Cases - Enter Cases'!I50,"")</f>
        <v/>
      </c>
      <c r="J50" t="str">
        <f>IF($A50&lt;&gt;"",'All Cases - Enter Cases'!J50,"")</f>
        <v/>
      </c>
      <c r="K50" t="str">
        <f>IF($A50&lt;&gt;"",'All Cases - Enter Cases'!K50,"")</f>
        <v/>
      </c>
      <c r="L50" t="str">
        <f>IF($A50&lt;&gt;"",'All Cases - Enter Cases'!L50,"")</f>
        <v/>
      </c>
      <c r="M50" t="str">
        <f>IF($A50&lt;&gt;"",'All Cases - Enter Cases'!M50,"")</f>
        <v/>
      </c>
    </row>
    <row r="51" spans="1:13" x14ac:dyDescent="0.35">
      <c r="A51" t="str">
        <f>IF('All Cases - Enter Cases'!$F51="KPK",'All Cases - Enter Cases'!A51,"")</f>
        <v/>
      </c>
      <c r="B51" t="str">
        <f>IF($A51&lt;&gt;"",'All Cases - Enter Cases'!B51,"")</f>
        <v/>
      </c>
      <c r="C51" t="str">
        <f>IF($A51&lt;&gt;"",'All Cases - Enter Cases'!C51,"")</f>
        <v/>
      </c>
      <c r="D51" t="str">
        <f>IF($A51&lt;&gt;"",'All Cases - Enter Cases'!D51,"")</f>
        <v/>
      </c>
      <c r="E51" t="str">
        <f>IF($A51&lt;&gt;"",'All Cases - Enter Cases'!E51,"")</f>
        <v/>
      </c>
      <c r="F51" t="str">
        <f>IF($A51&lt;&gt;"",'All Cases - Enter Cases'!F51,"")</f>
        <v/>
      </c>
      <c r="G51" t="str">
        <f>IF($A51&lt;&gt;"",'All Cases - Enter Cases'!G51,"")</f>
        <v/>
      </c>
      <c r="H51" t="str">
        <f>IF($A51&lt;&gt;"",'All Cases - Enter Cases'!H51,"")</f>
        <v/>
      </c>
      <c r="I51" t="str">
        <f>IF($A51&lt;&gt;"",'All Cases - Enter Cases'!I51,"")</f>
        <v/>
      </c>
      <c r="J51" t="str">
        <f>IF($A51&lt;&gt;"",'All Cases - Enter Cases'!J51,"")</f>
        <v/>
      </c>
      <c r="K51" t="str">
        <f>IF($A51&lt;&gt;"",'All Cases - Enter Cases'!K51,"")</f>
        <v/>
      </c>
      <c r="L51" t="str">
        <f>IF($A51&lt;&gt;"",'All Cases - Enter Cases'!L51,"")</f>
        <v/>
      </c>
      <c r="M51" t="str">
        <f>IF($A51&lt;&gt;"",'All Cases - Enter Cases'!M51,"")</f>
        <v/>
      </c>
    </row>
    <row r="52" spans="1:13" x14ac:dyDescent="0.35">
      <c r="A52" t="str">
        <f>IF('All Cases - Enter Cases'!$F52="KPK",'All Cases - Enter Cases'!A52,"")</f>
        <v/>
      </c>
      <c r="B52" t="str">
        <f>IF($A52&lt;&gt;"",'All Cases - Enter Cases'!B52,"")</f>
        <v/>
      </c>
      <c r="C52" t="str">
        <f>IF($A52&lt;&gt;"",'All Cases - Enter Cases'!C52,"")</f>
        <v/>
      </c>
      <c r="D52" t="str">
        <f>IF($A52&lt;&gt;"",'All Cases - Enter Cases'!D52,"")</f>
        <v/>
      </c>
      <c r="E52" t="str">
        <f>IF($A52&lt;&gt;"",'All Cases - Enter Cases'!E52,"")</f>
        <v/>
      </c>
      <c r="F52" t="str">
        <f>IF($A52&lt;&gt;"",'All Cases - Enter Cases'!F52,"")</f>
        <v/>
      </c>
      <c r="G52" t="str">
        <f>IF($A52&lt;&gt;"",'All Cases - Enter Cases'!G52,"")</f>
        <v/>
      </c>
      <c r="H52" t="str">
        <f>IF($A52&lt;&gt;"",'All Cases - Enter Cases'!H52,"")</f>
        <v/>
      </c>
      <c r="I52" t="str">
        <f>IF($A52&lt;&gt;"",'All Cases - Enter Cases'!I52,"")</f>
        <v/>
      </c>
      <c r="J52" t="str">
        <f>IF($A52&lt;&gt;"",'All Cases - Enter Cases'!J52,"")</f>
        <v/>
      </c>
      <c r="K52" t="str">
        <f>IF($A52&lt;&gt;"",'All Cases - Enter Cases'!K52,"")</f>
        <v/>
      </c>
      <c r="L52" t="str">
        <f>IF($A52&lt;&gt;"",'All Cases - Enter Cases'!L52,"")</f>
        <v/>
      </c>
      <c r="M52" t="str">
        <f>IF($A52&lt;&gt;"",'All Cases - Enter Cases'!M52,"")</f>
        <v/>
      </c>
    </row>
    <row r="53" spans="1:13" x14ac:dyDescent="0.35">
      <c r="A53" t="str">
        <f>IF('All Cases - Enter Cases'!$F53="KPK",'All Cases - Enter Cases'!A53,"")</f>
        <v/>
      </c>
      <c r="B53" t="str">
        <f>IF($A53&lt;&gt;"",'All Cases - Enter Cases'!B53,"")</f>
        <v/>
      </c>
      <c r="C53" t="str">
        <f>IF($A53&lt;&gt;"",'All Cases - Enter Cases'!C53,"")</f>
        <v/>
      </c>
      <c r="D53" t="str">
        <f>IF($A53&lt;&gt;"",'All Cases - Enter Cases'!D53,"")</f>
        <v/>
      </c>
      <c r="E53" t="str">
        <f>IF($A53&lt;&gt;"",'All Cases - Enter Cases'!E53,"")</f>
        <v/>
      </c>
      <c r="F53" t="str">
        <f>IF($A53&lt;&gt;"",'All Cases - Enter Cases'!F53,"")</f>
        <v/>
      </c>
      <c r="G53" t="str">
        <f>IF($A53&lt;&gt;"",'All Cases - Enter Cases'!G53,"")</f>
        <v/>
      </c>
      <c r="H53" t="str">
        <f>IF($A53&lt;&gt;"",'All Cases - Enter Cases'!H53,"")</f>
        <v/>
      </c>
      <c r="I53" t="str">
        <f>IF($A53&lt;&gt;"",'All Cases - Enter Cases'!I53,"")</f>
        <v/>
      </c>
      <c r="J53" t="str">
        <f>IF($A53&lt;&gt;"",'All Cases - Enter Cases'!J53,"")</f>
        <v/>
      </c>
      <c r="K53" t="str">
        <f>IF($A53&lt;&gt;"",'All Cases - Enter Cases'!K53,"")</f>
        <v/>
      </c>
      <c r="L53" t="str">
        <f>IF($A53&lt;&gt;"",'All Cases - Enter Cases'!L53,"")</f>
        <v/>
      </c>
      <c r="M53" t="str">
        <f>IF($A53&lt;&gt;"",'All Cases - Enter Cases'!M53,"")</f>
        <v/>
      </c>
    </row>
    <row r="54" spans="1:13" x14ac:dyDescent="0.35">
      <c r="A54" t="str">
        <f>IF('All Cases - Enter Cases'!$F54="KPK",'All Cases - Enter Cases'!A54,"")</f>
        <v/>
      </c>
      <c r="B54" t="str">
        <f>IF($A54&lt;&gt;"",'All Cases - Enter Cases'!B54,"")</f>
        <v/>
      </c>
      <c r="C54" t="str">
        <f>IF($A54&lt;&gt;"",'All Cases - Enter Cases'!C54,"")</f>
        <v/>
      </c>
      <c r="D54" t="str">
        <f>IF($A54&lt;&gt;"",'All Cases - Enter Cases'!D54,"")</f>
        <v/>
      </c>
      <c r="E54" t="str">
        <f>IF($A54&lt;&gt;"",'All Cases - Enter Cases'!E54,"")</f>
        <v/>
      </c>
      <c r="F54" t="str">
        <f>IF($A54&lt;&gt;"",'All Cases - Enter Cases'!F54,"")</f>
        <v/>
      </c>
      <c r="G54" t="str">
        <f>IF($A54&lt;&gt;"",'All Cases - Enter Cases'!G54,"")</f>
        <v/>
      </c>
      <c r="H54" t="str">
        <f>IF($A54&lt;&gt;"",'All Cases - Enter Cases'!H54,"")</f>
        <v/>
      </c>
      <c r="I54" t="str">
        <f>IF($A54&lt;&gt;"",'All Cases - Enter Cases'!I54,"")</f>
        <v/>
      </c>
      <c r="J54" t="str">
        <f>IF($A54&lt;&gt;"",'All Cases - Enter Cases'!J54,"")</f>
        <v/>
      </c>
      <c r="K54" t="str">
        <f>IF($A54&lt;&gt;"",'All Cases - Enter Cases'!K54,"")</f>
        <v/>
      </c>
      <c r="L54" t="str">
        <f>IF($A54&lt;&gt;"",'All Cases - Enter Cases'!L54,"")</f>
        <v/>
      </c>
      <c r="M54" t="str">
        <f>IF($A54&lt;&gt;"",'All Cases - Enter Cases'!M54,"")</f>
        <v/>
      </c>
    </row>
    <row r="55" spans="1:13" x14ac:dyDescent="0.35">
      <c r="A55" t="str">
        <f>IF('All Cases - Enter Cases'!$F55="KPK",'All Cases - Enter Cases'!A55,"")</f>
        <v/>
      </c>
      <c r="B55" t="str">
        <f>IF($A55&lt;&gt;"",'All Cases - Enter Cases'!B55,"")</f>
        <v/>
      </c>
      <c r="C55" t="str">
        <f>IF($A55&lt;&gt;"",'All Cases - Enter Cases'!C55,"")</f>
        <v/>
      </c>
      <c r="D55" t="str">
        <f>IF($A55&lt;&gt;"",'All Cases - Enter Cases'!D55,"")</f>
        <v/>
      </c>
      <c r="E55" t="str">
        <f>IF($A55&lt;&gt;"",'All Cases - Enter Cases'!E55,"")</f>
        <v/>
      </c>
      <c r="F55" t="str">
        <f>IF($A55&lt;&gt;"",'All Cases - Enter Cases'!F55,"")</f>
        <v/>
      </c>
      <c r="G55" t="str">
        <f>IF($A55&lt;&gt;"",'All Cases - Enter Cases'!G55,"")</f>
        <v/>
      </c>
      <c r="H55" t="str">
        <f>IF($A55&lt;&gt;"",'All Cases - Enter Cases'!H55,"")</f>
        <v/>
      </c>
      <c r="I55" t="str">
        <f>IF($A55&lt;&gt;"",'All Cases - Enter Cases'!I55,"")</f>
        <v/>
      </c>
      <c r="J55" t="str">
        <f>IF($A55&lt;&gt;"",'All Cases - Enter Cases'!J55,"")</f>
        <v/>
      </c>
      <c r="K55" t="str">
        <f>IF($A55&lt;&gt;"",'All Cases - Enter Cases'!K55,"")</f>
        <v/>
      </c>
      <c r="L55" t="str">
        <f>IF($A55&lt;&gt;"",'All Cases - Enter Cases'!L55,"")</f>
        <v/>
      </c>
      <c r="M55" t="str">
        <f>IF($A55&lt;&gt;"",'All Cases - Enter Cases'!M55,"")</f>
        <v/>
      </c>
    </row>
    <row r="56" spans="1:13" x14ac:dyDescent="0.35">
      <c r="A56" t="str">
        <f>IF('All Cases - Enter Cases'!$F56="KPK",'All Cases - Enter Cases'!A56,"")</f>
        <v/>
      </c>
      <c r="B56" t="str">
        <f>IF($A56&lt;&gt;"",'All Cases - Enter Cases'!B56,"")</f>
        <v/>
      </c>
      <c r="C56" t="str">
        <f>IF($A56&lt;&gt;"",'All Cases - Enter Cases'!C56,"")</f>
        <v/>
      </c>
      <c r="D56" t="str">
        <f>IF($A56&lt;&gt;"",'All Cases - Enter Cases'!D56,"")</f>
        <v/>
      </c>
      <c r="E56" t="str">
        <f>IF($A56&lt;&gt;"",'All Cases - Enter Cases'!E56,"")</f>
        <v/>
      </c>
      <c r="F56" t="str">
        <f>IF($A56&lt;&gt;"",'All Cases - Enter Cases'!F56,"")</f>
        <v/>
      </c>
      <c r="G56" t="str">
        <f>IF($A56&lt;&gt;"",'All Cases - Enter Cases'!G56,"")</f>
        <v/>
      </c>
      <c r="H56" t="str">
        <f>IF($A56&lt;&gt;"",'All Cases - Enter Cases'!H56,"")</f>
        <v/>
      </c>
      <c r="I56" t="str">
        <f>IF($A56&lt;&gt;"",'All Cases - Enter Cases'!I56,"")</f>
        <v/>
      </c>
      <c r="J56" t="str">
        <f>IF($A56&lt;&gt;"",'All Cases - Enter Cases'!J56,"")</f>
        <v/>
      </c>
      <c r="K56" t="str">
        <f>IF($A56&lt;&gt;"",'All Cases - Enter Cases'!K56,"")</f>
        <v/>
      </c>
      <c r="L56" t="str">
        <f>IF($A56&lt;&gt;"",'All Cases - Enter Cases'!L56,"")</f>
        <v/>
      </c>
      <c r="M56" t="str">
        <f>IF($A56&lt;&gt;"",'All Cases - Enter Cases'!M56,"")</f>
        <v/>
      </c>
    </row>
    <row r="57" spans="1:13" x14ac:dyDescent="0.35">
      <c r="A57" t="str">
        <f>IF('All Cases - Enter Cases'!$F57="KPK",'All Cases - Enter Cases'!A57,"")</f>
        <v/>
      </c>
      <c r="B57" t="str">
        <f>IF($A57&lt;&gt;"",'All Cases - Enter Cases'!B57,"")</f>
        <v/>
      </c>
      <c r="C57" t="str">
        <f>IF($A57&lt;&gt;"",'All Cases - Enter Cases'!C57,"")</f>
        <v/>
      </c>
      <c r="D57" t="str">
        <f>IF($A57&lt;&gt;"",'All Cases - Enter Cases'!D57,"")</f>
        <v/>
      </c>
      <c r="E57" t="str">
        <f>IF($A57&lt;&gt;"",'All Cases - Enter Cases'!E57,"")</f>
        <v/>
      </c>
      <c r="F57" t="str">
        <f>IF($A57&lt;&gt;"",'All Cases - Enter Cases'!F57,"")</f>
        <v/>
      </c>
      <c r="G57" t="str">
        <f>IF($A57&lt;&gt;"",'All Cases - Enter Cases'!G57,"")</f>
        <v/>
      </c>
      <c r="H57" t="str">
        <f>IF($A57&lt;&gt;"",'All Cases - Enter Cases'!H57,"")</f>
        <v/>
      </c>
      <c r="I57" t="str">
        <f>IF($A57&lt;&gt;"",'All Cases - Enter Cases'!I57,"")</f>
        <v/>
      </c>
      <c r="J57" t="str">
        <f>IF($A57&lt;&gt;"",'All Cases - Enter Cases'!J57,"")</f>
        <v/>
      </c>
      <c r="K57" t="str">
        <f>IF($A57&lt;&gt;"",'All Cases - Enter Cases'!K57,"")</f>
        <v/>
      </c>
      <c r="L57" t="str">
        <f>IF($A57&lt;&gt;"",'All Cases - Enter Cases'!L57,"")</f>
        <v/>
      </c>
      <c r="M57" t="str">
        <f>IF($A57&lt;&gt;"",'All Cases - Enter Cases'!M57,"")</f>
        <v/>
      </c>
    </row>
    <row r="58" spans="1:13" x14ac:dyDescent="0.35">
      <c r="A58" t="str">
        <f>IF('All Cases - Enter Cases'!$F58="KPK",'All Cases - Enter Cases'!A58,"")</f>
        <v/>
      </c>
      <c r="B58" t="str">
        <f>IF($A58&lt;&gt;"",'All Cases - Enter Cases'!B58,"")</f>
        <v/>
      </c>
      <c r="C58" t="str">
        <f>IF($A58&lt;&gt;"",'All Cases - Enter Cases'!C58,"")</f>
        <v/>
      </c>
      <c r="D58" t="str">
        <f>IF($A58&lt;&gt;"",'All Cases - Enter Cases'!D58,"")</f>
        <v/>
      </c>
      <c r="E58" t="str">
        <f>IF($A58&lt;&gt;"",'All Cases - Enter Cases'!E58,"")</f>
        <v/>
      </c>
      <c r="F58" t="str">
        <f>IF($A58&lt;&gt;"",'All Cases - Enter Cases'!F58,"")</f>
        <v/>
      </c>
      <c r="G58" t="str">
        <f>IF($A58&lt;&gt;"",'All Cases - Enter Cases'!G58,"")</f>
        <v/>
      </c>
      <c r="H58" t="str">
        <f>IF($A58&lt;&gt;"",'All Cases - Enter Cases'!H58,"")</f>
        <v/>
      </c>
      <c r="I58" t="str">
        <f>IF($A58&lt;&gt;"",'All Cases - Enter Cases'!I58,"")</f>
        <v/>
      </c>
      <c r="J58" t="str">
        <f>IF($A58&lt;&gt;"",'All Cases - Enter Cases'!J58,"")</f>
        <v/>
      </c>
      <c r="K58" t="str">
        <f>IF($A58&lt;&gt;"",'All Cases - Enter Cases'!K58,"")</f>
        <v/>
      </c>
      <c r="L58" t="str">
        <f>IF($A58&lt;&gt;"",'All Cases - Enter Cases'!L58,"")</f>
        <v/>
      </c>
      <c r="M58" t="str">
        <f>IF($A58&lt;&gt;"",'All Cases - Enter Cases'!M58,"")</f>
        <v/>
      </c>
    </row>
    <row r="59" spans="1:13" x14ac:dyDescent="0.35">
      <c r="A59" t="str">
        <f>IF('All Cases - Enter Cases'!$F59="KPK",'All Cases - Enter Cases'!A59,"")</f>
        <v/>
      </c>
      <c r="B59" t="str">
        <f>IF($A59&lt;&gt;"",'All Cases - Enter Cases'!B59,"")</f>
        <v/>
      </c>
      <c r="C59" t="str">
        <f>IF($A59&lt;&gt;"",'All Cases - Enter Cases'!C59,"")</f>
        <v/>
      </c>
      <c r="D59" t="str">
        <f>IF($A59&lt;&gt;"",'All Cases - Enter Cases'!D59,"")</f>
        <v/>
      </c>
      <c r="E59" t="str">
        <f>IF($A59&lt;&gt;"",'All Cases - Enter Cases'!E59,"")</f>
        <v/>
      </c>
      <c r="F59" t="str">
        <f>IF($A59&lt;&gt;"",'All Cases - Enter Cases'!F59,"")</f>
        <v/>
      </c>
      <c r="G59" t="str">
        <f>IF($A59&lt;&gt;"",'All Cases - Enter Cases'!G59,"")</f>
        <v/>
      </c>
      <c r="H59" t="str">
        <f>IF($A59&lt;&gt;"",'All Cases - Enter Cases'!H59,"")</f>
        <v/>
      </c>
      <c r="I59" t="str">
        <f>IF($A59&lt;&gt;"",'All Cases - Enter Cases'!I59,"")</f>
        <v/>
      </c>
      <c r="J59" t="str">
        <f>IF($A59&lt;&gt;"",'All Cases - Enter Cases'!J59,"")</f>
        <v/>
      </c>
      <c r="K59" t="str">
        <f>IF($A59&lt;&gt;"",'All Cases - Enter Cases'!K59,"")</f>
        <v/>
      </c>
      <c r="L59" t="str">
        <f>IF($A59&lt;&gt;"",'All Cases - Enter Cases'!L59,"")</f>
        <v/>
      </c>
      <c r="M59" t="str">
        <f>IF($A59&lt;&gt;"",'All Cases - Enter Cases'!M59,"")</f>
        <v/>
      </c>
    </row>
    <row r="60" spans="1:13" x14ac:dyDescent="0.35">
      <c r="A60" t="str">
        <f>IF('All Cases - Enter Cases'!$F60="KPK",'All Cases - Enter Cases'!A60,"")</f>
        <v/>
      </c>
      <c r="B60" t="str">
        <f>IF($A60&lt;&gt;"",'All Cases - Enter Cases'!B60,"")</f>
        <v/>
      </c>
      <c r="C60" t="str">
        <f>IF($A60&lt;&gt;"",'All Cases - Enter Cases'!C60,"")</f>
        <v/>
      </c>
      <c r="D60" t="str">
        <f>IF($A60&lt;&gt;"",'All Cases - Enter Cases'!D60,"")</f>
        <v/>
      </c>
      <c r="E60" t="str">
        <f>IF($A60&lt;&gt;"",'All Cases - Enter Cases'!E60,"")</f>
        <v/>
      </c>
      <c r="F60" t="str">
        <f>IF($A60&lt;&gt;"",'All Cases - Enter Cases'!F60,"")</f>
        <v/>
      </c>
      <c r="G60" t="str">
        <f>IF($A60&lt;&gt;"",'All Cases - Enter Cases'!G60,"")</f>
        <v/>
      </c>
      <c r="H60" t="str">
        <f>IF($A60&lt;&gt;"",'All Cases - Enter Cases'!H60,"")</f>
        <v/>
      </c>
      <c r="I60" t="str">
        <f>IF($A60&lt;&gt;"",'All Cases - Enter Cases'!I60,"")</f>
        <v/>
      </c>
      <c r="J60" t="str">
        <f>IF($A60&lt;&gt;"",'All Cases - Enter Cases'!J60,"")</f>
        <v/>
      </c>
      <c r="K60" t="str">
        <f>IF($A60&lt;&gt;"",'All Cases - Enter Cases'!K60,"")</f>
        <v/>
      </c>
      <c r="L60" t="str">
        <f>IF($A60&lt;&gt;"",'All Cases - Enter Cases'!L60,"")</f>
        <v/>
      </c>
      <c r="M60" t="str">
        <f>IF($A60&lt;&gt;"",'All Cases - Enter Cases'!M60,"")</f>
        <v/>
      </c>
    </row>
    <row r="61" spans="1:13" x14ac:dyDescent="0.35">
      <c r="A61" t="str">
        <f>IF('All Cases - Enter Cases'!$F61="KPK",'All Cases - Enter Cases'!A61,"")</f>
        <v/>
      </c>
      <c r="B61" t="str">
        <f>IF($A61&lt;&gt;"",'All Cases - Enter Cases'!B61,"")</f>
        <v/>
      </c>
      <c r="C61" t="str">
        <f>IF($A61&lt;&gt;"",'All Cases - Enter Cases'!C61,"")</f>
        <v/>
      </c>
      <c r="D61" t="str">
        <f>IF($A61&lt;&gt;"",'All Cases - Enter Cases'!D61,"")</f>
        <v/>
      </c>
      <c r="E61" t="str">
        <f>IF($A61&lt;&gt;"",'All Cases - Enter Cases'!E61,"")</f>
        <v/>
      </c>
      <c r="F61" t="str">
        <f>IF($A61&lt;&gt;"",'All Cases - Enter Cases'!F61,"")</f>
        <v/>
      </c>
      <c r="G61" t="str">
        <f>IF($A61&lt;&gt;"",'All Cases - Enter Cases'!G61,"")</f>
        <v/>
      </c>
      <c r="H61" t="str">
        <f>IF($A61&lt;&gt;"",'All Cases - Enter Cases'!H61,"")</f>
        <v/>
      </c>
      <c r="I61" t="str">
        <f>IF($A61&lt;&gt;"",'All Cases - Enter Cases'!I61,"")</f>
        <v/>
      </c>
      <c r="J61" t="str">
        <f>IF($A61&lt;&gt;"",'All Cases - Enter Cases'!J61,"")</f>
        <v/>
      </c>
      <c r="K61" t="str">
        <f>IF($A61&lt;&gt;"",'All Cases - Enter Cases'!K61,"")</f>
        <v/>
      </c>
      <c r="L61" t="str">
        <f>IF($A61&lt;&gt;"",'All Cases - Enter Cases'!L61,"")</f>
        <v/>
      </c>
      <c r="M61" t="str">
        <f>IF($A61&lt;&gt;"",'All Cases - Enter Cases'!M61,"")</f>
        <v/>
      </c>
    </row>
    <row r="62" spans="1:13" x14ac:dyDescent="0.35">
      <c r="A62" t="str">
        <f>IF('All Cases - Enter Cases'!$F62="KPK",'All Cases - Enter Cases'!A62,"")</f>
        <v/>
      </c>
      <c r="B62" t="str">
        <f>IF($A62&lt;&gt;"",'All Cases - Enter Cases'!B62,"")</f>
        <v/>
      </c>
      <c r="C62" t="str">
        <f>IF($A62&lt;&gt;"",'All Cases - Enter Cases'!C62,"")</f>
        <v/>
      </c>
      <c r="D62" t="str">
        <f>IF($A62&lt;&gt;"",'All Cases - Enter Cases'!D62,"")</f>
        <v/>
      </c>
      <c r="E62" t="str">
        <f>IF($A62&lt;&gt;"",'All Cases - Enter Cases'!E62,"")</f>
        <v/>
      </c>
      <c r="F62" t="str">
        <f>IF($A62&lt;&gt;"",'All Cases - Enter Cases'!F62,"")</f>
        <v/>
      </c>
      <c r="G62" t="str">
        <f>IF($A62&lt;&gt;"",'All Cases - Enter Cases'!G62,"")</f>
        <v/>
      </c>
      <c r="H62" t="str">
        <f>IF($A62&lt;&gt;"",'All Cases - Enter Cases'!H62,"")</f>
        <v/>
      </c>
      <c r="I62" t="str">
        <f>IF($A62&lt;&gt;"",'All Cases - Enter Cases'!I62,"")</f>
        <v/>
      </c>
      <c r="J62" t="str">
        <f>IF($A62&lt;&gt;"",'All Cases - Enter Cases'!J62,"")</f>
        <v/>
      </c>
      <c r="K62" t="str">
        <f>IF($A62&lt;&gt;"",'All Cases - Enter Cases'!K62,"")</f>
        <v/>
      </c>
      <c r="L62" t="str">
        <f>IF($A62&lt;&gt;"",'All Cases - Enter Cases'!L62,"")</f>
        <v/>
      </c>
      <c r="M62" t="str">
        <f>IF($A62&lt;&gt;"",'All Cases - Enter Cases'!M62,"")</f>
        <v/>
      </c>
    </row>
    <row r="63" spans="1:13" x14ac:dyDescent="0.35">
      <c r="A63" t="str">
        <f>IF('All Cases - Enter Cases'!$F63="KPK",'All Cases - Enter Cases'!A63,"")</f>
        <v/>
      </c>
      <c r="B63" t="str">
        <f>IF($A63&lt;&gt;"",'All Cases - Enter Cases'!B63,"")</f>
        <v/>
      </c>
      <c r="C63" t="str">
        <f>IF($A63&lt;&gt;"",'All Cases - Enter Cases'!C63,"")</f>
        <v/>
      </c>
      <c r="D63" t="str">
        <f>IF($A63&lt;&gt;"",'All Cases - Enter Cases'!D63,"")</f>
        <v/>
      </c>
      <c r="E63" t="str">
        <f>IF($A63&lt;&gt;"",'All Cases - Enter Cases'!E63,"")</f>
        <v/>
      </c>
      <c r="F63" t="str">
        <f>IF($A63&lt;&gt;"",'All Cases - Enter Cases'!F63,"")</f>
        <v/>
      </c>
      <c r="G63" t="str">
        <f>IF($A63&lt;&gt;"",'All Cases - Enter Cases'!G63,"")</f>
        <v/>
      </c>
      <c r="H63" t="str">
        <f>IF($A63&lt;&gt;"",'All Cases - Enter Cases'!H63,"")</f>
        <v/>
      </c>
      <c r="I63" t="str">
        <f>IF($A63&lt;&gt;"",'All Cases - Enter Cases'!I63,"")</f>
        <v/>
      </c>
      <c r="J63" t="str">
        <f>IF($A63&lt;&gt;"",'All Cases - Enter Cases'!J63,"")</f>
        <v/>
      </c>
      <c r="K63" t="str">
        <f>IF($A63&lt;&gt;"",'All Cases - Enter Cases'!K63,"")</f>
        <v/>
      </c>
      <c r="L63" t="str">
        <f>IF($A63&lt;&gt;"",'All Cases - Enter Cases'!L63,"")</f>
        <v/>
      </c>
      <c r="M63" t="str">
        <f>IF($A63&lt;&gt;"",'All Cases - Enter Cases'!M63,"")</f>
        <v/>
      </c>
    </row>
    <row r="64" spans="1:13" x14ac:dyDescent="0.35">
      <c r="A64" t="str">
        <f>IF('All Cases - Enter Cases'!$F64="KPK",'All Cases - Enter Cases'!A64,"")</f>
        <v/>
      </c>
      <c r="B64" t="str">
        <f>IF($A64&lt;&gt;"",'All Cases - Enter Cases'!B64,"")</f>
        <v/>
      </c>
      <c r="C64" t="str">
        <f>IF($A64&lt;&gt;"",'All Cases - Enter Cases'!C64,"")</f>
        <v/>
      </c>
      <c r="D64" t="str">
        <f>IF($A64&lt;&gt;"",'All Cases - Enter Cases'!D64,"")</f>
        <v/>
      </c>
      <c r="E64" t="str">
        <f>IF($A64&lt;&gt;"",'All Cases - Enter Cases'!E64,"")</f>
        <v/>
      </c>
      <c r="F64" t="str">
        <f>IF($A64&lt;&gt;"",'All Cases - Enter Cases'!F64,"")</f>
        <v/>
      </c>
      <c r="G64" t="str">
        <f>IF($A64&lt;&gt;"",'All Cases - Enter Cases'!G64,"")</f>
        <v/>
      </c>
      <c r="H64" t="str">
        <f>IF($A64&lt;&gt;"",'All Cases - Enter Cases'!H64,"")</f>
        <v/>
      </c>
      <c r="I64" t="str">
        <f>IF($A64&lt;&gt;"",'All Cases - Enter Cases'!I64,"")</f>
        <v/>
      </c>
      <c r="J64" t="str">
        <f>IF($A64&lt;&gt;"",'All Cases - Enter Cases'!J64,"")</f>
        <v/>
      </c>
      <c r="K64" t="str">
        <f>IF($A64&lt;&gt;"",'All Cases - Enter Cases'!K64,"")</f>
        <v/>
      </c>
      <c r="L64" t="str">
        <f>IF($A64&lt;&gt;"",'All Cases - Enter Cases'!L64,"")</f>
        <v/>
      </c>
      <c r="M64" t="str">
        <f>IF($A64&lt;&gt;"",'All Cases - Enter Cases'!M64,"")</f>
        <v/>
      </c>
    </row>
    <row r="65" spans="1:13" x14ac:dyDescent="0.35">
      <c r="A65" t="str">
        <f>IF('All Cases - Enter Cases'!$F65="KPK",'All Cases - Enter Cases'!A65,"")</f>
        <v/>
      </c>
      <c r="B65" t="str">
        <f>IF($A65&lt;&gt;"",'All Cases - Enter Cases'!B65,"")</f>
        <v/>
      </c>
      <c r="C65" t="str">
        <f>IF($A65&lt;&gt;"",'All Cases - Enter Cases'!C65,"")</f>
        <v/>
      </c>
      <c r="D65" t="str">
        <f>IF($A65&lt;&gt;"",'All Cases - Enter Cases'!D65,"")</f>
        <v/>
      </c>
      <c r="E65" t="str">
        <f>IF($A65&lt;&gt;"",'All Cases - Enter Cases'!E65,"")</f>
        <v/>
      </c>
      <c r="F65" t="str">
        <f>IF($A65&lt;&gt;"",'All Cases - Enter Cases'!F65,"")</f>
        <v/>
      </c>
      <c r="G65" t="str">
        <f>IF($A65&lt;&gt;"",'All Cases - Enter Cases'!G65,"")</f>
        <v/>
      </c>
      <c r="H65" t="str">
        <f>IF($A65&lt;&gt;"",'All Cases - Enter Cases'!H65,"")</f>
        <v/>
      </c>
      <c r="I65" t="str">
        <f>IF($A65&lt;&gt;"",'All Cases - Enter Cases'!I65,"")</f>
        <v/>
      </c>
      <c r="J65" t="str">
        <f>IF($A65&lt;&gt;"",'All Cases - Enter Cases'!J65,"")</f>
        <v/>
      </c>
      <c r="K65" t="str">
        <f>IF($A65&lt;&gt;"",'All Cases - Enter Cases'!K65,"")</f>
        <v/>
      </c>
      <c r="L65" t="str">
        <f>IF($A65&lt;&gt;"",'All Cases - Enter Cases'!L65,"")</f>
        <v/>
      </c>
      <c r="M65" t="str">
        <f>IF($A65&lt;&gt;"",'All Cases - Enter Cases'!M65,"")</f>
        <v/>
      </c>
    </row>
    <row r="66" spans="1:13" x14ac:dyDescent="0.35">
      <c r="A66" t="str">
        <f>IF('All Cases - Enter Cases'!$F66="KPK",'All Cases - Enter Cases'!A66,"")</f>
        <v/>
      </c>
      <c r="B66" t="str">
        <f>IF($A66&lt;&gt;"",'All Cases - Enter Cases'!B66,"")</f>
        <v/>
      </c>
      <c r="C66" t="str">
        <f>IF($A66&lt;&gt;"",'All Cases - Enter Cases'!C66,"")</f>
        <v/>
      </c>
      <c r="D66" t="str">
        <f>IF($A66&lt;&gt;"",'All Cases - Enter Cases'!D66,"")</f>
        <v/>
      </c>
      <c r="E66" t="str">
        <f>IF($A66&lt;&gt;"",'All Cases - Enter Cases'!E66,"")</f>
        <v/>
      </c>
      <c r="F66" t="str">
        <f>IF($A66&lt;&gt;"",'All Cases - Enter Cases'!F66,"")</f>
        <v/>
      </c>
      <c r="G66" t="str">
        <f>IF($A66&lt;&gt;"",'All Cases - Enter Cases'!G66,"")</f>
        <v/>
      </c>
      <c r="H66" t="str">
        <f>IF($A66&lt;&gt;"",'All Cases - Enter Cases'!H66,"")</f>
        <v/>
      </c>
      <c r="I66" t="str">
        <f>IF($A66&lt;&gt;"",'All Cases - Enter Cases'!I66,"")</f>
        <v/>
      </c>
      <c r="J66" t="str">
        <f>IF($A66&lt;&gt;"",'All Cases - Enter Cases'!J66,"")</f>
        <v/>
      </c>
      <c r="K66" t="str">
        <f>IF($A66&lt;&gt;"",'All Cases - Enter Cases'!K66,"")</f>
        <v/>
      </c>
      <c r="L66" t="str">
        <f>IF($A66&lt;&gt;"",'All Cases - Enter Cases'!L66,"")</f>
        <v/>
      </c>
      <c r="M66" t="str">
        <f>IF($A66&lt;&gt;"",'All Cases - Enter Cases'!M66,"")</f>
        <v/>
      </c>
    </row>
    <row r="67" spans="1:13" x14ac:dyDescent="0.35">
      <c r="A67" t="str">
        <f>IF('All Cases - Enter Cases'!$F67="KPK",'All Cases - Enter Cases'!A67,"")</f>
        <v/>
      </c>
      <c r="B67" t="str">
        <f>IF($A67&lt;&gt;"",'All Cases - Enter Cases'!B67,"")</f>
        <v/>
      </c>
      <c r="C67" t="str">
        <f>IF($A67&lt;&gt;"",'All Cases - Enter Cases'!C67,"")</f>
        <v/>
      </c>
      <c r="D67" t="str">
        <f>IF($A67&lt;&gt;"",'All Cases - Enter Cases'!D67,"")</f>
        <v/>
      </c>
      <c r="E67" t="str">
        <f>IF($A67&lt;&gt;"",'All Cases - Enter Cases'!E67,"")</f>
        <v/>
      </c>
      <c r="F67" t="str">
        <f>IF($A67&lt;&gt;"",'All Cases - Enter Cases'!F67,"")</f>
        <v/>
      </c>
      <c r="G67" t="str">
        <f>IF($A67&lt;&gt;"",'All Cases - Enter Cases'!G67,"")</f>
        <v/>
      </c>
      <c r="H67" t="str">
        <f>IF($A67&lt;&gt;"",'All Cases - Enter Cases'!H67,"")</f>
        <v/>
      </c>
      <c r="I67" t="str">
        <f>IF($A67&lt;&gt;"",'All Cases - Enter Cases'!I67,"")</f>
        <v/>
      </c>
      <c r="J67" t="str">
        <f>IF($A67&lt;&gt;"",'All Cases - Enter Cases'!J67,"")</f>
        <v/>
      </c>
      <c r="K67" t="str">
        <f>IF($A67&lt;&gt;"",'All Cases - Enter Cases'!K67,"")</f>
        <v/>
      </c>
      <c r="L67" t="str">
        <f>IF($A67&lt;&gt;"",'All Cases - Enter Cases'!L67,"")</f>
        <v/>
      </c>
      <c r="M67" t="str">
        <f>IF($A67&lt;&gt;"",'All Cases - Enter Cases'!M67,"")</f>
        <v/>
      </c>
    </row>
    <row r="68" spans="1:13" x14ac:dyDescent="0.35">
      <c r="A68" t="str">
        <f>IF('All Cases - Enter Cases'!$F68="KPK",'All Cases - Enter Cases'!A68,"")</f>
        <v/>
      </c>
      <c r="B68" t="str">
        <f>IF($A68&lt;&gt;"",'All Cases - Enter Cases'!B68,"")</f>
        <v/>
      </c>
      <c r="C68" t="str">
        <f>IF($A68&lt;&gt;"",'All Cases - Enter Cases'!C68,"")</f>
        <v/>
      </c>
      <c r="D68" t="str">
        <f>IF($A68&lt;&gt;"",'All Cases - Enter Cases'!D68,"")</f>
        <v/>
      </c>
      <c r="E68" t="str">
        <f>IF($A68&lt;&gt;"",'All Cases - Enter Cases'!E68,"")</f>
        <v/>
      </c>
      <c r="F68" t="str">
        <f>IF($A68&lt;&gt;"",'All Cases - Enter Cases'!F68,"")</f>
        <v/>
      </c>
      <c r="G68" t="str">
        <f>IF($A68&lt;&gt;"",'All Cases - Enter Cases'!G68,"")</f>
        <v/>
      </c>
      <c r="H68" t="str">
        <f>IF($A68&lt;&gt;"",'All Cases - Enter Cases'!H68,"")</f>
        <v/>
      </c>
      <c r="I68" t="str">
        <f>IF($A68&lt;&gt;"",'All Cases - Enter Cases'!I68,"")</f>
        <v/>
      </c>
      <c r="J68" t="str">
        <f>IF($A68&lt;&gt;"",'All Cases - Enter Cases'!J68,"")</f>
        <v/>
      </c>
      <c r="K68" t="str">
        <f>IF($A68&lt;&gt;"",'All Cases - Enter Cases'!K68,"")</f>
        <v/>
      </c>
      <c r="L68" t="str">
        <f>IF($A68&lt;&gt;"",'All Cases - Enter Cases'!L68,"")</f>
        <v/>
      </c>
      <c r="M68" t="str">
        <f>IF($A68&lt;&gt;"",'All Cases - Enter Cases'!M68,"")</f>
        <v/>
      </c>
    </row>
    <row r="69" spans="1:13" x14ac:dyDescent="0.35">
      <c r="A69" t="str">
        <f>IF('All Cases - Enter Cases'!$F69="KPK",'All Cases - Enter Cases'!A69,"")</f>
        <v/>
      </c>
      <c r="B69" t="str">
        <f>IF($A69&lt;&gt;"",'All Cases - Enter Cases'!B69,"")</f>
        <v/>
      </c>
      <c r="C69" t="str">
        <f>IF($A69&lt;&gt;"",'All Cases - Enter Cases'!C69,"")</f>
        <v/>
      </c>
      <c r="D69" t="str">
        <f>IF($A69&lt;&gt;"",'All Cases - Enter Cases'!D69,"")</f>
        <v/>
      </c>
      <c r="E69" t="str">
        <f>IF($A69&lt;&gt;"",'All Cases - Enter Cases'!E69,"")</f>
        <v/>
      </c>
      <c r="F69" t="str">
        <f>IF($A69&lt;&gt;"",'All Cases - Enter Cases'!F69,"")</f>
        <v/>
      </c>
      <c r="G69" t="str">
        <f>IF($A69&lt;&gt;"",'All Cases - Enter Cases'!G69,"")</f>
        <v/>
      </c>
      <c r="H69" t="str">
        <f>IF($A69&lt;&gt;"",'All Cases - Enter Cases'!H69,"")</f>
        <v/>
      </c>
      <c r="I69" t="str">
        <f>IF($A69&lt;&gt;"",'All Cases - Enter Cases'!I69,"")</f>
        <v/>
      </c>
      <c r="J69" t="str">
        <f>IF($A69&lt;&gt;"",'All Cases - Enter Cases'!J69,"")</f>
        <v/>
      </c>
      <c r="K69" t="str">
        <f>IF($A69&lt;&gt;"",'All Cases - Enter Cases'!K69,"")</f>
        <v/>
      </c>
      <c r="L69" t="str">
        <f>IF($A69&lt;&gt;"",'All Cases - Enter Cases'!L69,"")</f>
        <v/>
      </c>
      <c r="M69" t="str">
        <f>IF($A69&lt;&gt;"",'All Cases - Enter Cases'!M69,"")</f>
        <v/>
      </c>
    </row>
    <row r="70" spans="1:13" x14ac:dyDescent="0.35">
      <c r="A70" t="str">
        <f>IF('All Cases - Enter Cases'!$F70="KPK",'All Cases - Enter Cases'!A70,"")</f>
        <v/>
      </c>
      <c r="B70" t="str">
        <f>IF($A70&lt;&gt;"",'All Cases - Enter Cases'!B70,"")</f>
        <v/>
      </c>
      <c r="C70" t="str">
        <f>IF($A70&lt;&gt;"",'All Cases - Enter Cases'!C70,"")</f>
        <v/>
      </c>
      <c r="D70" t="str">
        <f>IF($A70&lt;&gt;"",'All Cases - Enter Cases'!D70,"")</f>
        <v/>
      </c>
      <c r="E70" t="str">
        <f>IF($A70&lt;&gt;"",'All Cases - Enter Cases'!E70,"")</f>
        <v/>
      </c>
      <c r="F70" t="str">
        <f>IF($A70&lt;&gt;"",'All Cases - Enter Cases'!F70,"")</f>
        <v/>
      </c>
      <c r="G70" t="str">
        <f>IF($A70&lt;&gt;"",'All Cases - Enter Cases'!G70,"")</f>
        <v/>
      </c>
      <c r="H70" t="str">
        <f>IF($A70&lt;&gt;"",'All Cases - Enter Cases'!H70,"")</f>
        <v/>
      </c>
      <c r="I70" t="str">
        <f>IF($A70&lt;&gt;"",'All Cases - Enter Cases'!I70,"")</f>
        <v/>
      </c>
      <c r="J70" t="str">
        <f>IF($A70&lt;&gt;"",'All Cases - Enter Cases'!J70,"")</f>
        <v/>
      </c>
      <c r="K70" t="str">
        <f>IF($A70&lt;&gt;"",'All Cases - Enter Cases'!K70,"")</f>
        <v/>
      </c>
      <c r="L70" t="str">
        <f>IF($A70&lt;&gt;"",'All Cases - Enter Cases'!L70,"")</f>
        <v/>
      </c>
      <c r="M70" t="str">
        <f>IF($A70&lt;&gt;"",'All Cases - Enter Cases'!M70,"")</f>
        <v/>
      </c>
    </row>
    <row r="71" spans="1:13" x14ac:dyDescent="0.35">
      <c r="A71" t="str">
        <f>IF('All Cases - Enter Cases'!$F71="KPK",'All Cases - Enter Cases'!A71,"")</f>
        <v/>
      </c>
      <c r="B71" t="str">
        <f>IF($A71&lt;&gt;"",'All Cases - Enter Cases'!B71,"")</f>
        <v/>
      </c>
      <c r="C71" t="str">
        <f>IF($A71&lt;&gt;"",'All Cases - Enter Cases'!C71,"")</f>
        <v/>
      </c>
      <c r="D71" t="str">
        <f>IF($A71&lt;&gt;"",'All Cases - Enter Cases'!D71,"")</f>
        <v/>
      </c>
      <c r="E71" t="str">
        <f>IF($A71&lt;&gt;"",'All Cases - Enter Cases'!E71,"")</f>
        <v/>
      </c>
      <c r="F71" t="str">
        <f>IF($A71&lt;&gt;"",'All Cases - Enter Cases'!F71,"")</f>
        <v/>
      </c>
      <c r="G71" t="str">
        <f>IF($A71&lt;&gt;"",'All Cases - Enter Cases'!G71,"")</f>
        <v/>
      </c>
      <c r="H71" t="str">
        <f>IF($A71&lt;&gt;"",'All Cases - Enter Cases'!H71,"")</f>
        <v/>
      </c>
      <c r="I71" t="str">
        <f>IF($A71&lt;&gt;"",'All Cases - Enter Cases'!I71,"")</f>
        <v/>
      </c>
      <c r="J71" t="str">
        <f>IF($A71&lt;&gt;"",'All Cases - Enter Cases'!J71,"")</f>
        <v/>
      </c>
      <c r="K71" t="str">
        <f>IF($A71&lt;&gt;"",'All Cases - Enter Cases'!K71,"")</f>
        <v/>
      </c>
      <c r="L71" t="str">
        <f>IF($A71&lt;&gt;"",'All Cases - Enter Cases'!L71,"")</f>
        <v/>
      </c>
      <c r="M71" t="str">
        <f>IF($A71&lt;&gt;"",'All Cases - Enter Cases'!M71,"")</f>
        <v/>
      </c>
    </row>
    <row r="72" spans="1:13" x14ac:dyDescent="0.35">
      <c r="A72" t="str">
        <f>IF('All Cases - Enter Cases'!$F72="KPK",'All Cases - Enter Cases'!A72,"")</f>
        <v/>
      </c>
      <c r="B72" t="str">
        <f>IF($A72&lt;&gt;"",'All Cases - Enter Cases'!B72,"")</f>
        <v/>
      </c>
      <c r="C72" t="str">
        <f>IF($A72&lt;&gt;"",'All Cases - Enter Cases'!C72,"")</f>
        <v/>
      </c>
      <c r="D72" t="str">
        <f>IF($A72&lt;&gt;"",'All Cases - Enter Cases'!D72,"")</f>
        <v/>
      </c>
      <c r="E72" t="str">
        <f>IF($A72&lt;&gt;"",'All Cases - Enter Cases'!E72,"")</f>
        <v/>
      </c>
      <c r="F72" t="str">
        <f>IF($A72&lt;&gt;"",'All Cases - Enter Cases'!F72,"")</f>
        <v/>
      </c>
      <c r="G72" t="str">
        <f>IF($A72&lt;&gt;"",'All Cases - Enter Cases'!G72,"")</f>
        <v/>
      </c>
      <c r="H72" t="str">
        <f>IF($A72&lt;&gt;"",'All Cases - Enter Cases'!H72,"")</f>
        <v/>
      </c>
      <c r="I72" t="str">
        <f>IF($A72&lt;&gt;"",'All Cases - Enter Cases'!I72,"")</f>
        <v/>
      </c>
      <c r="J72" t="str">
        <f>IF($A72&lt;&gt;"",'All Cases - Enter Cases'!J72,"")</f>
        <v/>
      </c>
      <c r="K72" t="str">
        <f>IF($A72&lt;&gt;"",'All Cases - Enter Cases'!K72,"")</f>
        <v/>
      </c>
      <c r="L72" t="str">
        <f>IF($A72&lt;&gt;"",'All Cases - Enter Cases'!L72,"")</f>
        <v/>
      </c>
      <c r="M72" t="str">
        <f>IF($A72&lt;&gt;"",'All Cases - Enter Cases'!M72,"")</f>
        <v/>
      </c>
    </row>
    <row r="73" spans="1:13" x14ac:dyDescent="0.35">
      <c r="A73" t="str">
        <f>IF('All Cases - Enter Cases'!$F73="KPK",'All Cases - Enter Cases'!A73,"")</f>
        <v/>
      </c>
      <c r="B73" t="str">
        <f>IF($A73&lt;&gt;"",'All Cases - Enter Cases'!B73,"")</f>
        <v/>
      </c>
      <c r="C73" t="str">
        <f>IF($A73&lt;&gt;"",'All Cases - Enter Cases'!C73,"")</f>
        <v/>
      </c>
      <c r="D73" t="str">
        <f>IF($A73&lt;&gt;"",'All Cases - Enter Cases'!D73,"")</f>
        <v/>
      </c>
      <c r="E73" t="str">
        <f>IF($A73&lt;&gt;"",'All Cases - Enter Cases'!E73,"")</f>
        <v/>
      </c>
      <c r="F73" t="str">
        <f>IF($A73&lt;&gt;"",'All Cases - Enter Cases'!F73,"")</f>
        <v/>
      </c>
      <c r="G73" t="str">
        <f>IF($A73&lt;&gt;"",'All Cases - Enter Cases'!G73,"")</f>
        <v/>
      </c>
      <c r="H73" t="str">
        <f>IF($A73&lt;&gt;"",'All Cases - Enter Cases'!H73,"")</f>
        <v/>
      </c>
      <c r="I73" t="str">
        <f>IF($A73&lt;&gt;"",'All Cases - Enter Cases'!I73,"")</f>
        <v/>
      </c>
      <c r="J73" t="str">
        <f>IF($A73&lt;&gt;"",'All Cases - Enter Cases'!J73,"")</f>
        <v/>
      </c>
      <c r="K73" t="str">
        <f>IF($A73&lt;&gt;"",'All Cases - Enter Cases'!K73,"")</f>
        <v/>
      </c>
      <c r="L73" t="str">
        <f>IF($A73&lt;&gt;"",'All Cases - Enter Cases'!L73,"")</f>
        <v/>
      </c>
      <c r="M73" t="str">
        <f>IF($A73&lt;&gt;"",'All Cases - Enter Cases'!M73,"")</f>
        <v/>
      </c>
    </row>
    <row r="74" spans="1:13" x14ac:dyDescent="0.35">
      <c r="A74" t="str">
        <f>IF('All Cases - Enter Cases'!$F74="KPK",'All Cases - Enter Cases'!A74,"")</f>
        <v/>
      </c>
      <c r="B74" t="str">
        <f>IF($A74&lt;&gt;"",'All Cases - Enter Cases'!B74,"")</f>
        <v/>
      </c>
      <c r="C74" t="str">
        <f>IF($A74&lt;&gt;"",'All Cases - Enter Cases'!C74,"")</f>
        <v/>
      </c>
      <c r="D74" t="str">
        <f>IF($A74&lt;&gt;"",'All Cases - Enter Cases'!D74,"")</f>
        <v/>
      </c>
      <c r="E74" t="str">
        <f>IF($A74&lt;&gt;"",'All Cases - Enter Cases'!E74,"")</f>
        <v/>
      </c>
      <c r="F74" t="str">
        <f>IF($A74&lt;&gt;"",'All Cases - Enter Cases'!F74,"")</f>
        <v/>
      </c>
      <c r="G74" t="str">
        <f>IF($A74&lt;&gt;"",'All Cases - Enter Cases'!G74,"")</f>
        <v/>
      </c>
      <c r="H74" t="str">
        <f>IF($A74&lt;&gt;"",'All Cases - Enter Cases'!H74,"")</f>
        <v/>
      </c>
      <c r="I74" t="str">
        <f>IF($A74&lt;&gt;"",'All Cases - Enter Cases'!I74,"")</f>
        <v/>
      </c>
      <c r="J74" t="str">
        <f>IF($A74&lt;&gt;"",'All Cases - Enter Cases'!J74,"")</f>
        <v/>
      </c>
      <c r="K74" t="str">
        <f>IF($A74&lt;&gt;"",'All Cases - Enter Cases'!K74,"")</f>
        <v/>
      </c>
      <c r="L74" t="str">
        <f>IF($A74&lt;&gt;"",'All Cases - Enter Cases'!L74,"")</f>
        <v/>
      </c>
      <c r="M74" t="str">
        <f>IF($A74&lt;&gt;"",'All Cases - Enter Cases'!M74,"")</f>
        <v/>
      </c>
    </row>
    <row r="75" spans="1:13" x14ac:dyDescent="0.35">
      <c r="A75" t="str">
        <f>IF('All Cases - Enter Cases'!$F75="KPK",'All Cases - Enter Cases'!A75,"")</f>
        <v/>
      </c>
      <c r="B75" t="str">
        <f>IF($A75&lt;&gt;"",'All Cases - Enter Cases'!B75,"")</f>
        <v/>
      </c>
      <c r="C75" t="str">
        <f>IF($A75&lt;&gt;"",'All Cases - Enter Cases'!C75,"")</f>
        <v/>
      </c>
      <c r="D75" t="str">
        <f>IF($A75&lt;&gt;"",'All Cases - Enter Cases'!D75,"")</f>
        <v/>
      </c>
      <c r="E75" t="str">
        <f>IF($A75&lt;&gt;"",'All Cases - Enter Cases'!E75,"")</f>
        <v/>
      </c>
      <c r="F75" t="str">
        <f>IF($A75&lt;&gt;"",'All Cases - Enter Cases'!F75,"")</f>
        <v/>
      </c>
      <c r="G75" t="str">
        <f>IF($A75&lt;&gt;"",'All Cases - Enter Cases'!G75,"")</f>
        <v/>
      </c>
      <c r="H75" t="str">
        <f>IF($A75&lt;&gt;"",'All Cases - Enter Cases'!H75,"")</f>
        <v/>
      </c>
      <c r="I75" t="str">
        <f>IF($A75&lt;&gt;"",'All Cases - Enter Cases'!I75,"")</f>
        <v/>
      </c>
      <c r="J75" t="str">
        <f>IF($A75&lt;&gt;"",'All Cases - Enter Cases'!J75,"")</f>
        <v/>
      </c>
      <c r="K75" t="str">
        <f>IF($A75&lt;&gt;"",'All Cases - Enter Cases'!K75,"")</f>
        <v/>
      </c>
      <c r="L75" t="str">
        <f>IF($A75&lt;&gt;"",'All Cases - Enter Cases'!L75,"")</f>
        <v/>
      </c>
      <c r="M75" t="str">
        <f>IF($A75&lt;&gt;"",'All Cases - Enter Cases'!M75,"")</f>
        <v/>
      </c>
    </row>
    <row r="76" spans="1:13" x14ac:dyDescent="0.35">
      <c r="A76" t="str">
        <f>IF('All Cases - Enter Cases'!$F76="KPK",'All Cases - Enter Cases'!A76,"")</f>
        <v/>
      </c>
      <c r="B76" t="str">
        <f>IF($A76&lt;&gt;"",'All Cases - Enter Cases'!B76,"")</f>
        <v/>
      </c>
      <c r="C76" t="str">
        <f>IF($A76&lt;&gt;"",'All Cases - Enter Cases'!C76,"")</f>
        <v/>
      </c>
      <c r="D76" t="str">
        <f>IF($A76&lt;&gt;"",'All Cases - Enter Cases'!D76,"")</f>
        <v/>
      </c>
      <c r="E76" t="str">
        <f>IF($A76&lt;&gt;"",'All Cases - Enter Cases'!E76,"")</f>
        <v/>
      </c>
      <c r="F76" t="str">
        <f>IF($A76&lt;&gt;"",'All Cases - Enter Cases'!F76,"")</f>
        <v/>
      </c>
      <c r="G76" t="str">
        <f>IF($A76&lt;&gt;"",'All Cases - Enter Cases'!G76,"")</f>
        <v/>
      </c>
      <c r="H76" t="str">
        <f>IF($A76&lt;&gt;"",'All Cases - Enter Cases'!H76,"")</f>
        <v/>
      </c>
      <c r="I76" t="str">
        <f>IF($A76&lt;&gt;"",'All Cases - Enter Cases'!I76,"")</f>
        <v/>
      </c>
      <c r="J76" t="str">
        <f>IF($A76&lt;&gt;"",'All Cases - Enter Cases'!J76,"")</f>
        <v/>
      </c>
      <c r="K76" t="str">
        <f>IF($A76&lt;&gt;"",'All Cases - Enter Cases'!K76,"")</f>
        <v/>
      </c>
      <c r="L76" t="str">
        <f>IF($A76&lt;&gt;"",'All Cases - Enter Cases'!L76,"")</f>
        <v/>
      </c>
      <c r="M76" t="str">
        <f>IF($A76&lt;&gt;"",'All Cases - Enter Cases'!M76,"")</f>
        <v/>
      </c>
    </row>
    <row r="77" spans="1:13" x14ac:dyDescent="0.35">
      <c r="A77" t="str">
        <f>IF('All Cases - Enter Cases'!$F77="KPK",'All Cases - Enter Cases'!A77,"")</f>
        <v/>
      </c>
      <c r="B77" t="str">
        <f>IF($A77&lt;&gt;"",'All Cases - Enter Cases'!B77,"")</f>
        <v/>
      </c>
      <c r="C77" t="str">
        <f>IF($A77&lt;&gt;"",'All Cases - Enter Cases'!C77,"")</f>
        <v/>
      </c>
      <c r="D77" t="str">
        <f>IF($A77&lt;&gt;"",'All Cases - Enter Cases'!D77,"")</f>
        <v/>
      </c>
      <c r="E77" t="str">
        <f>IF($A77&lt;&gt;"",'All Cases - Enter Cases'!E77,"")</f>
        <v/>
      </c>
      <c r="F77" t="str">
        <f>IF($A77&lt;&gt;"",'All Cases - Enter Cases'!F77,"")</f>
        <v/>
      </c>
      <c r="G77" t="str">
        <f>IF($A77&lt;&gt;"",'All Cases - Enter Cases'!G77,"")</f>
        <v/>
      </c>
      <c r="H77" t="str">
        <f>IF($A77&lt;&gt;"",'All Cases - Enter Cases'!H77,"")</f>
        <v/>
      </c>
      <c r="I77" t="str">
        <f>IF($A77&lt;&gt;"",'All Cases - Enter Cases'!I77,"")</f>
        <v/>
      </c>
      <c r="J77" t="str">
        <f>IF($A77&lt;&gt;"",'All Cases - Enter Cases'!J77,"")</f>
        <v/>
      </c>
      <c r="K77" t="str">
        <f>IF($A77&lt;&gt;"",'All Cases - Enter Cases'!K77,"")</f>
        <v/>
      </c>
      <c r="L77" t="str">
        <f>IF($A77&lt;&gt;"",'All Cases - Enter Cases'!L77,"")</f>
        <v/>
      </c>
      <c r="M77" t="str">
        <f>IF($A77&lt;&gt;"",'All Cases - Enter Cases'!M77,"")</f>
        <v/>
      </c>
    </row>
    <row r="78" spans="1:13" x14ac:dyDescent="0.35">
      <c r="A78" t="str">
        <f>IF('All Cases - Enter Cases'!$F78="KPK",'All Cases - Enter Cases'!A78,"")</f>
        <v/>
      </c>
      <c r="B78" t="str">
        <f>IF($A78&lt;&gt;"",'All Cases - Enter Cases'!B78,"")</f>
        <v/>
      </c>
      <c r="C78" t="str">
        <f>IF($A78&lt;&gt;"",'All Cases - Enter Cases'!C78,"")</f>
        <v/>
      </c>
      <c r="D78" t="str">
        <f>IF($A78&lt;&gt;"",'All Cases - Enter Cases'!D78,"")</f>
        <v/>
      </c>
      <c r="E78" t="str">
        <f>IF($A78&lt;&gt;"",'All Cases - Enter Cases'!E78,"")</f>
        <v/>
      </c>
      <c r="F78" t="str">
        <f>IF($A78&lt;&gt;"",'All Cases - Enter Cases'!F78,"")</f>
        <v/>
      </c>
      <c r="G78" t="str">
        <f>IF($A78&lt;&gt;"",'All Cases - Enter Cases'!G78,"")</f>
        <v/>
      </c>
      <c r="H78" t="str">
        <f>IF($A78&lt;&gt;"",'All Cases - Enter Cases'!H78,"")</f>
        <v/>
      </c>
      <c r="I78" t="str">
        <f>IF($A78&lt;&gt;"",'All Cases - Enter Cases'!I78,"")</f>
        <v/>
      </c>
      <c r="J78" t="str">
        <f>IF($A78&lt;&gt;"",'All Cases - Enter Cases'!J78,"")</f>
        <v/>
      </c>
      <c r="K78" t="str">
        <f>IF($A78&lt;&gt;"",'All Cases - Enter Cases'!K78,"")</f>
        <v/>
      </c>
      <c r="L78" t="str">
        <f>IF($A78&lt;&gt;"",'All Cases - Enter Cases'!L78,"")</f>
        <v/>
      </c>
      <c r="M78" t="str">
        <f>IF($A78&lt;&gt;"",'All Cases - Enter Cases'!M78,"")</f>
        <v/>
      </c>
    </row>
    <row r="79" spans="1:13" x14ac:dyDescent="0.35">
      <c r="A79" t="str">
        <f>IF('All Cases - Enter Cases'!$F79="KPK",'All Cases - Enter Cases'!A79,"")</f>
        <v/>
      </c>
      <c r="B79" t="str">
        <f>IF($A79&lt;&gt;"",'All Cases - Enter Cases'!B79,"")</f>
        <v/>
      </c>
      <c r="C79" t="str">
        <f>IF($A79&lt;&gt;"",'All Cases - Enter Cases'!C79,"")</f>
        <v/>
      </c>
      <c r="D79" t="str">
        <f>IF($A79&lt;&gt;"",'All Cases - Enter Cases'!D79,"")</f>
        <v/>
      </c>
      <c r="E79" t="str">
        <f>IF($A79&lt;&gt;"",'All Cases - Enter Cases'!E79,"")</f>
        <v/>
      </c>
      <c r="F79" t="str">
        <f>IF($A79&lt;&gt;"",'All Cases - Enter Cases'!F79,"")</f>
        <v/>
      </c>
      <c r="G79" t="str">
        <f>IF($A79&lt;&gt;"",'All Cases - Enter Cases'!G79,"")</f>
        <v/>
      </c>
      <c r="H79" t="str">
        <f>IF($A79&lt;&gt;"",'All Cases - Enter Cases'!H79,"")</f>
        <v/>
      </c>
      <c r="I79" t="str">
        <f>IF($A79&lt;&gt;"",'All Cases - Enter Cases'!I79,"")</f>
        <v/>
      </c>
      <c r="J79" t="str">
        <f>IF($A79&lt;&gt;"",'All Cases - Enter Cases'!J79,"")</f>
        <v/>
      </c>
      <c r="K79" t="str">
        <f>IF($A79&lt;&gt;"",'All Cases - Enter Cases'!K79,"")</f>
        <v/>
      </c>
      <c r="L79" t="str">
        <f>IF($A79&lt;&gt;"",'All Cases - Enter Cases'!L79,"")</f>
        <v/>
      </c>
      <c r="M79" t="str">
        <f>IF($A79&lt;&gt;"",'All Cases - Enter Cases'!M79,"")</f>
        <v/>
      </c>
    </row>
    <row r="80" spans="1:13" x14ac:dyDescent="0.35">
      <c r="A80" t="str">
        <f>IF('All Cases - Enter Cases'!$F80="KPK",'All Cases - Enter Cases'!A80,"")</f>
        <v/>
      </c>
      <c r="B80" t="str">
        <f>IF($A80&lt;&gt;"",'All Cases - Enter Cases'!B80,"")</f>
        <v/>
      </c>
      <c r="C80" t="str">
        <f>IF($A80&lt;&gt;"",'All Cases - Enter Cases'!C80,"")</f>
        <v/>
      </c>
      <c r="D80" t="str">
        <f>IF($A80&lt;&gt;"",'All Cases - Enter Cases'!D80,"")</f>
        <v/>
      </c>
      <c r="E80" t="str">
        <f>IF($A80&lt;&gt;"",'All Cases - Enter Cases'!E80,"")</f>
        <v/>
      </c>
      <c r="F80" t="str">
        <f>IF($A80&lt;&gt;"",'All Cases - Enter Cases'!F80,"")</f>
        <v/>
      </c>
      <c r="G80" t="str">
        <f>IF($A80&lt;&gt;"",'All Cases - Enter Cases'!G80,"")</f>
        <v/>
      </c>
      <c r="H80" t="str">
        <f>IF($A80&lt;&gt;"",'All Cases - Enter Cases'!H80,"")</f>
        <v/>
      </c>
      <c r="I80" t="str">
        <f>IF($A80&lt;&gt;"",'All Cases - Enter Cases'!I80,"")</f>
        <v/>
      </c>
      <c r="J80" t="str">
        <f>IF($A80&lt;&gt;"",'All Cases - Enter Cases'!J80,"")</f>
        <v/>
      </c>
      <c r="K80" t="str">
        <f>IF($A80&lt;&gt;"",'All Cases - Enter Cases'!K80,"")</f>
        <v/>
      </c>
      <c r="L80" t="str">
        <f>IF($A80&lt;&gt;"",'All Cases - Enter Cases'!L80,"")</f>
        <v/>
      </c>
      <c r="M80" t="str">
        <f>IF($A80&lt;&gt;"",'All Cases - Enter Cases'!M80,"")</f>
        <v/>
      </c>
    </row>
    <row r="81" spans="1:13" x14ac:dyDescent="0.35">
      <c r="A81" t="str">
        <f>IF('All Cases - Enter Cases'!$F81="KPK",'All Cases - Enter Cases'!A81,"")</f>
        <v/>
      </c>
      <c r="B81" t="str">
        <f>IF($A81&lt;&gt;"",'All Cases - Enter Cases'!B81,"")</f>
        <v/>
      </c>
      <c r="C81" t="str">
        <f>IF($A81&lt;&gt;"",'All Cases - Enter Cases'!C81,"")</f>
        <v/>
      </c>
      <c r="D81" t="str">
        <f>IF($A81&lt;&gt;"",'All Cases - Enter Cases'!D81,"")</f>
        <v/>
      </c>
      <c r="E81" t="str">
        <f>IF($A81&lt;&gt;"",'All Cases - Enter Cases'!E81,"")</f>
        <v/>
      </c>
      <c r="F81" t="str">
        <f>IF($A81&lt;&gt;"",'All Cases - Enter Cases'!F81,"")</f>
        <v/>
      </c>
      <c r="G81" t="str">
        <f>IF($A81&lt;&gt;"",'All Cases - Enter Cases'!G81,"")</f>
        <v/>
      </c>
      <c r="H81" t="str">
        <f>IF($A81&lt;&gt;"",'All Cases - Enter Cases'!H81,"")</f>
        <v/>
      </c>
      <c r="I81" t="str">
        <f>IF($A81&lt;&gt;"",'All Cases - Enter Cases'!I81,"")</f>
        <v/>
      </c>
      <c r="J81" t="str">
        <f>IF($A81&lt;&gt;"",'All Cases - Enter Cases'!J81,"")</f>
        <v/>
      </c>
      <c r="K81" t="str">
        <f>IF($A81&lt;&gt;"",'All Cases - Enter Cases'!K81,"")</f>
        <v/>
      </c>
      <c r="L81" t="str">
        <f>IF($A81&lt;&gt;"",'All Cases - Enter Cases'!L81,"")</f>
        <v/>
      </c>
      <c r="M81" t="str">
        <f>IF($A81&lt;&gt;"",'All Cases - Enter Cases'!M81,"")</f>
        <v/>
      </c>
    </row>
    <row r="82" spans="1:13" x14ac:dyDescent="0.35">
      <c r="A82" t="str">
        <f>IF('All Cases - Enter Cases'!$F82="KPK",'All Cases - Enter Cases'!A82,"")</f>
        <v/>
      </c>
      <c r="B82" t="str">
        <f>IF($A82&lt;&gt;"",'All Cases - Enter Cases'!B82,"")</f>
        <v/>
      </c>
      <c r="C82" t="str">
        <f>IF($A82&lt;&gt;"",'All Cases - Enter Cases'!C82,"")</f>
        <v/>
      </c>
      <c r="D82" t="str">
        <f>IF($A82&lt;&gt;"",'All Cases - Enter Cases'!D82,"")</f>
        <v/>
      </c>
      <c r="E82" t="str">
        <f>IF($A82&lt;&gt;"",'All Cases - Enter Cases'!E82,"")</f>
        <v/>
      </c>
      <c r="F82" t="str">
        <f>IF($A82&lt;&gt;"",'All Cases - Enter Cases'!F82,"")</f>
        <v/>
      </c>
      <c r="G82" t="str">
        <f>IF($A82&lt;&gt;"",'All Cases - Enter Cases'!G82,"")</f>
        <v/>
      </c>
      <c r="H82" t="str">
        <f>IF($A82&lt;&gt;"",'All Cases - Enter Cases'!H82,"")</f>
        <v/>
      </c>
      <c r="I82" t="str">
        <f>IF($A82&lt;&gt;"",'All Cases - Enter Cases'!I82,"")</f>
        <v/>
      </c>
      <c r="J82" t="str">
        <f>IF($A82&lt;&gt;"",'All Cases - Enter Cases'!J82,"")</f>
        <v/>
      </c>
      <c r="K82" t="str">
        <f>IF($A82&lt;&gt;"",'All Cases - Enter Cases'!K82,"")</f>
        <v/>
      </c>
      <c r="L82" t="str">
        <f>IF($A82&lt;&gt;"",'All Cases - Enter Cases'!L82,"")</f>
        <v/>
      </c>
      <c r="M82" t="str">
        <f>IF($A82&lt;&gt;"",'All Cases - Enter Cases'!M82,"")</f>
        <v/>
      </c>
    </row>
    <row r="83" spans="1:13" x14ac:dyDescent="0.35">
      <c r="A83" t="str">
        <f>IF('All Cases - Enter Cases'!$F83="KPK",'All Cases - Enter Cases'!A83,"")</f>
        <v/>
      </c>
      <c r="B83" t="str">
        <f>IF($A83&lt;&gt;"",'All Cases - Enter Cases'!B83,"")</f>
        <v/>
      </c>
      <c r="C83" t="str">
        <f>IF($A83&lt;&gt;"",'All Cases - Enter Cases'!C83,"")</f>
        <v/>
      </c>
      <c r="D83" t="str">
        <f>IF($A83&lt;&gt;"",'All Cases - Enter Cases'!D83,"")</f>
        <v/>
      </c>
      <c r="E83" t="str">
        <f>IF($A83&lt;&gt;"",'All Cases - Enter Cases'!E83,"")</f>
        <v/>
      </c>
      <c r="F83" t="str">
        <f>IF($A83&lt;&gt;"",'All Cases - Enter Cases'!F83,"")</f>
        <v/>
      </c>
      <c r="G83" t="str">
        <f>IF($A83&lt;&gt;"",'All Cases - Enter Cases'!G83,"")</f>
        <v/>
      </c>
      <c r="H83" t="str">
        <f>IF($A83&lt;&gt;"",'All Cases - Enter Cases'!H83,"")</f>
        <v/>
      </c>
      <c r="I83" t="str">
        <f>IF($A83&lt;&gt;"",'All Cases - Enter Cases'!I83,"")</f>
        <v/>
      </c>
      <c r="J83" t="str">
        <f>IF($A83&lt;&gt;"",'All Cases - Enter Cases'!J83,"")</f>
        <v/>
      </c>
      <c r="K83" t="str">
        <f>IF($A83&lt;&gt;"",'All Cases - Enter Cases'!K83,"")</f>
        <v/>
      </c>
      <c r="L83" t="str">
        <f>IF($A83&lt;&gt;"",'All Cases - Enter Cases'!L83,"")</f>
        <v/>
      </c>
      <c r="M83" t="str">
        <f>IF($A83&lt;&gt;"",'All Cases - Enter Cases'!M83,"")</f>
        <v/>
      </c>
    </row>
    <row r="84" spans="1:13" x14ac:dyDescent="0.35">
      <c r="A84" t="str">
        <f>IF('All Cases - Enter Cases'!$F84="KPK",'All Cases - Enter Cases'!A84,"")</f>
        <v/>
      </c>
      <c r="B84" t="str">
        <f>IF($A84&lt;&gt;"",'All Cases - Enter Cases'!B84,"")</f>
        <v/>
      </c>
      <c r="C84" t="str">
        <f>IF($A84&lt;&gt;"",'All Cases - Enter Cases'!C84,"")</f>
        <v/>
      </c>
      <c r="D84" t="str">
        <f>IF($A84&lt;&gt;"",'All Cases - Enter Cases'!D84,"")</f>
        <v/>
      </c>
      <c r="E84" t="str">
        <f>IF($A84&lt;&gt;"",'All Cases - Enter Cases'!E84,"")</f>
        <v/>
      </c>
      <c r="F84" t="str">
        <f>IF($A84&lt;&gt;"",'All Cases - Enter Cases'!F84,"")</f>
        <v/>
      </c>
      <c r="G84" t="str">
        <f>IF($A84&lt;&gt;"",'All Cases - Enter Cases'!G84,"")</f>
        <v/>
      </c>
      <c r="H84" t="str">
        <f>IF($A84&lt;&gt;"",'All Cases - Enter Cases'!H84,"")</f>
        <v/>
      </c>
      <c r="I84" t="str">
        <f>IF($A84&lt;&gt;"",'All Cases - Enter Cases'!I84,"")</f>
        <v/>
      </c>
      <c r="J84" t="str">
        <f>IF($A84&lt;&gt;"",'All Cases - Enter Cases'!J84,"")</f>
        <v/>
      </c>
      <c r="K84" t="str">
        <f>IF($A84&lt;&gt;"",'All Cases - Enter Cases'!K84,"")</f>
        <v/>
      </c>
      <c r="L84" t="str">
        <f>IF($A84&lt;&gt;"",'All Cases - Enter Cases'!L84,"")</f>
        <v/>
      </c>
      <c r="M84" t="str">
        <f>IF($A84&lt;&gt;"",'All Cases - Enter Cases'!M84,"")</f>
        <v/>
      </c>
    </row>
    <row r="85" spans="1:13" x14ac:dyDescent="0.35">
      <c r="A85" t="str">
        <f>IF('All Cases - Enter Cases'!$F85="KPK",'All Cases - Enter Cases'!A85,"")</f>
        <v/>
      </c>
      <c r="B85" t="str">
        <f>IF($A85&lt;&gt;"",'All Cases - Enter Cases'!B85,"")</f>
        <v/>
      </c>
      <c r="C85" t="str">
        <f>IF($A85&lt;&gt;"",'All Cases - Enter Cases'!C85,"")</f>
        <v/>
      </c>
      <c r="D85" t="str">
        <f>IF($A85&lt;&gt;"",'All Cases - Enter Cases'!D85,"")</f>
        <v/>
      </c>
      <c r="E85" t="str">
        <f>IF($A85&lt;&gt;"",'All Cases - Enter Cases'!E85,"")</f>
        <v/>
      </c>
      <c r="F85" t="str">
        <f>IF($A85&lt;&gt;"",'All Cases - Enter Cases'!F85,"")</f>
        <v/>
      </c>
      <c r="G85" t="str">
        <f>IF($A85&lt;&gt;"",'All Cases - Enter Cases'!G85,"")</f>
        <v/>
      </c>
      <c r="H85" t="str">
        <f>IF($A85&lt;&gt;"",'All Cases - Enter Cases'!H85,"")</f>
        <v/>
      </c>
      <c r="I85" t="str">
        <f>IF($A85&lt;&gt;"",'All Cases - Enter Cases'!I85,"")</f>
        <v/>
      </c>
      <c r="J85" t="str">
        <f>IF($A85&lt;&gt;"",'All Cases - Enter Cases'!J85,"")</f>
        <v/>
      </c>
      <c r="K85" t="str">
        <f>IF($A85&lt;&gt;"",'All Cases - Enter Cases'!K85,"")</f>
        <v/>
      </c>
      <c r="L85" t="str">
        <f>IF($A85&lt;&gt;"",'All Cases - Enter Cases'!L85,"")</f>
        <v/>
      </c>
      <c r="M85" t="str">
        <f>IF($A85&lt;&gt;"",'All Cases - Enter Cases'!M85,"")</f>
        <v/>
      </c>
    </row>
    <row r="86" spans="1:13" x14ac:dyDescent="0.35">
      <c r="A86" t="str">
        <f>IF('All Cases - Enter Cases'!$F86="KPK",'All Cases - Enter Cases'!A86,"")</f>
        <v/>
      </c>
      <c r="B86" t="str">
        <f>IF($A86&lt;&gt;"",'All Cases - Enter Cases'!B86,"")</f>
        <v/>
      </c>
      <c r="C86" t="str">
        <f>IF($A86&lt;&gt;"",'All Cases - Enter Cases'!C86,"")</f>
        <v/>
      </c>
      <c r="D86" t="str">
        <f>IF($A86&lt;&gt;"",'All Cases - Enter Cases'!D86,"")</f>
        <v/>
      </c>
      <c r="E86" t="str">
        <f>IF($A86&lt;&gt;"",'All Cases - Enter Cases'!E86,"")</f>
        <v/>
      </c>
      <c r="F86" t="str">
        <f>IF($A86&lt;&gt;"",'All Cases - Enter Cases'!F86,"")</f>
        <v/>
      </c>
      <c r="G86" t="str">
        <f>IF($A86&lt;&gt;"",'All Cases - Enter Cases'!G86,"")</f>
        <v/>
      </c>
      <c r="H86" t="str">
        <f>IF($A86&lt;&gt;"",'All Cases - Enter Cases'!H86,"")</f>
        <v/>
      </c>
      <c r="I86" t="str">
        <f>IF($A86&lt;&gt;"",'All Cases - Enter Cases'!I86,"")</f>
        <v/>
      </c>
      <c r="J86" t="str">
        <f>IF($A86&lt;&gt;"",'All Cases - Enter Cases'!J86,"")</f>
        <v/>
      </c>
      <c r="K86" t="str">
        <f>IF($A86&lt;&gt;"",'All Cases - Enter Cases'!K86,"")</f>
        <v/>
      </c>
      <c r="L86" t="str">
        <f>IF($A86&lt;&gt;"",'All Cases - Enter Cases'!L86,"")</f>
        <v/>
      </c>
      <c r="M86" t="str">
        <f>IF($A86&lt;&gt;"",'All Cases - Enter Cases'!M86,"")</f>
        <v/>
      </c>
    </row>
    <row r="87" spans="1:13" x14ac:dyDescent="0.35">
      <c r="A87" t="str">
        <f>IF('All Cases - Enter Cases'!$F87="KPK",'All Cases - Enter Cases'!A87,"")</f>
        <v/>
      </c>
      <c r="B87" t="str">
        <f>IF($A87&lt;&gt;"",'All Cases - Enter Cases'!B87,"")</f>
        <v/>
      </c>
      <c r="C87" t="str">
        <f>IF($A87&lt;&gt;"",'All Cases - Enter Cases'!C87,"")</f>
        <v/>
      </c>
      <c r="D87" t="str">
        <f>IF($A87&lt;&gt;"",'All Cases - Enter Cases'!D87,"")</f>
        <v/>
      </c>
      <c r="E87" t="str">
        <f>IF($A87&lt;&gt;"",'All Cases - Enter Cases'!E87,"")</f>
        <v/>
      </c>
      <c r="F87" t="str">
        <f>IF($A87&lt;&gt;"",'All Cases - Enter Cases'!F87,"")</f>
        <v/>
      </c>
      <c r="G87" t="str">
        <f>IF($A87&lt;&gt;"",'All Cases - Enter Cases'!G87,"")</f>
        <v/>
      </c>
      <c r="H87" t="str">
        <f>IF($A87&lt;&gt;"",'All Cases - Enter Cases'!H87,"")</f>
        <v/>
      </c>
      <c r="I87" t="str">
        <f>IF($A87&lt;&gt;"",'All Cases - Enter Cases'!I87,"")</f>
        <v/>
      </c>
      <c r="J87" t="str">
        <f>IF($A87&lt;&gt;"",'All Cases - Enter Cases'!J87,"")</f>
        <v/>
      </c>
      <c r="K87" t="str">
        <f>IF($A87&lt;&gt;"",'All Cases - Enter Cases'!K87,"")</f>
        <v/>
      </c>
      <c r="L87" t="str">
        <f>IF($A87&lt;&gt;"",'All Cases - Enter Cases'!L87,"")</f>
        <v/>
      </c>
      <c r="M87" t="str">
        <f>IF($A87&lt;&gt;"",'All Cases - Enter Cases'!M87,"")</f>
        <v/>
      </c>
    </row>
    <row r="88" spans="1:13" x14ac:dyDescent="0.35">
      <c r="A88" t="str">
        <f>IF('All Cases - Enter Cases'!$F88="KPK",'All Cases - Enter Cases'!A88,"")</f>
        <v/>
      </c>
      <c r="B88" t="str">
        <f>IF($A88&lt;&gt;"",'All Cases - Enter Cases'!B88,"")</f>
        <v/>
      </c>
      <c r="C88" t="str">
        <f>IF($A88&lt;&gt;"",'All Cases - Enter Cases'!C88,"")</f>
        <v/>
      </c>
      <c r="D88" t="str">
        <f>IF($A88&lt;&gt;"",'All Cases - Enter Cases'!D88,"")</f>
        <v/>
      </c>
      <c r="E88" t="str">
        <f>IF($A88&lt;&gt;"",'All Cases - Enter Cases'!E88,"")</f>
        <v/>
      </c>
      <c r="F88" t="str">
        <f>IF($A88&lt;&gt;"",'All Cases - Enter Cases'!F88,"")</f>
        <v/>
      </c>
      <c r="G88" t="str">
        <f>IF($A88&lt;&gt;"",'All Cases - Enter Cases'!G88,"")</f>
        <v/>
      </c>
      <c r="H88" t="str">
        <f>IF($A88&lt;&gt;"",'All Cases - Enter Cases'!H88,"")</f>
        <v/>
      </c>
      <c r="I88" t="str">
        <f>IF($A88&lt;&gt;"",'All Cases - Enter Cases'!I88,"")</f>
        <v/>
      </c>
      <c r="J88" t="str">
        <f>IF($A88&lt;&gt;"",'All Cases - Enter Cases'!J88,"")</f>
        <v/>
      </c>
      <c r="K88" t="str">
        <f>IF($A88&lt;&gt;"",'All Cases - Enter Cases'!K88,"")</f>
        <v/>
      </c>
      <c r="L88" t="str">
        <f>IF($A88&lt;&gt;"",'All Cases - Enter Cases'!L88,"")</f>
        <v/>
      </c>
      <c r="M88" t="str">
        <f>IF($A88&lt;&gt;"",'All Cases - Enter Cases'!M88,"")</f>
        <v/>
      </c>
    </row>
    <row r="89" spans="1:13" x14ac:dyDescent="0.35">
      <c r="A89" t="str">
        <f>IF('All Cases - Enter Cases'!$F89="KPK",'All Cases - Enter Cases'!A89,"")</f>
        <v/>
      </c>
      <c r="B89" t="str">
        <f>IF($A89&lt;&gt;"",'All Cases - Enter Cases'!B89,"")</f>
        <v/>
      </c>
      <c r="C89" t="str">
        <f>IF($A89&lt;&gt;"",'All Cases - Enter Cases'!C89,"")</f>
        <v/>
      </c>
      <c r="D89" t="str">
        <f>IF($A89&lt;&gt;"",'All Cases - Enter Cases'!D89,"")</f>
        <v/>
      </c>
      <c r="E89" t="str">
        <f>IF($A89&lt;&gt;"",'All Cases - Enter Cases'!E89,"")</f>
        <v/>
      </c>
      <c r="F89" t="str">
        <f>IF($A89&lt;&gt;"",'All Cases - Enter Cases'!F89,"")</f>
        <v/>
      </c>
      <c r="G89" t="str">
        <f>IF($A89&lt;&gt;"",'All Cases - Enter Cases'!G89,"")</f>
        <v/>
      </c>
      <c r="H89" t="str">
        <f>IF($A89&lt;&gt;"",'All Cases - Enter Cases'!H89,"")</f>
        <v/>
      </c>
      <c r="I89" t="str">
        <f>IF($A89&lt;&gt;"",'All Cases - Enter Cases'!I89,"")</f>
        <v/>
      </c>
      <c r="J89" t="str">
        <f>IF($A89&lt;&gt;"",'All Cases - Enter Cases'!J89,"")</f>
        <v/>
      </c>
      <c r="K89" t="str">
        <f>IF($A89&lt;&gt;"",'All Cases - Enter Cases'!K89,"")</f>
        <v/>
      </c>
      <c r="L89" t="str">
        <f>IF($A89&lt;&gt;"",'All Cases - Enter Cases'!L89,"")</f>
        <v/>
      </c>
      <c r="M89" t="str">
        <f>IF($A89&lt;&gt;"",'All Cases - Enter Cases'!M89,"")</f>
        <v/>
      </c>
    </row>
    <row r="90" spans="1:13" x14ac:dyDescent="0.35">
      <c r="A90" t="str">
        <f>IF('All Cases - Enter Cases'!$F90="KPK",'All Cases - Enter Cases'!A90,"")</f>
        <v/>
      </c>
      <c r="B90" t="str">
        <f>IF($A90&lt;&gt;"",'All Cases - Enter Cases'!B90,"")</f>
        <v/>
      </c>
      <c r="C90" t="str">
        <f>IF($A90&lt;&gt;"",'All Cases - Enter Cases'!C90,"")</f>
        <v/>
      </c>
      <c r="D90" t="str">
        <f>IF($A90&lt;&gt;"",'All Cases - Enter Cases'!D90,"")</f>
        <v/>
      </c>
      <c r="E90" t="str">
        <f>IF($A90&lt;&gt;"",'All Cases - Enter Cases'!E90,"")</f>
        <v/>
      </c>
      <c r="F90" t="str">
        <f>IF($A90&lt;&gt;"",'All Cases - Enter Cases'!F90,"")</f>
        <v/>
      </c>
      <c r="G90" t="str">
        <f>IF($A90&lt;&gt;"",'All Cases - Enter Cases'!G90,"")</f>
        <v/>
      </c>
      <c r="H90" t="str">
        <f>IF($A90&lt;&gt;"",'All Cases - Enter Cases'!H90,"")</f>
        <v/>
      </c>
      <c r="I90" t="str">
        <f>IF($A90&lt;&gt;"",'All Cases - Enter Cases'!I90,"")</f>
        <v/>
      </c>
      <c r="J90" t="str">
        <f>IF($A90&lt;&gt;"",'All Cases - Enter Cases'!J90,"")</f>
        <v/>
      </c>
      <c r="K90" t="str">
        <f>IF($A90&lt;&gt;"",'All Cases - Enter Cases'!K90,"")</f>
        <v/>
      </c>
      <c r="L90" t="str">
        <f>IF($A90&lt;&gt;"",'All Cases - Enter Cases'!L90,"")</f>
        <v/>
      </c>
      <c r="M90" t="str">
        <f>IF($A90&lt;&gt;"",'All Cases - Enter Cases'!M90,"")</f>
        <v/>
      </c>
    </row>
    <row r="91" spans="1:13" x14ac:dyDescent="0.35">
      <c r="A91" t="str">
        <f>IF('All Cases - Enter Cases'!$F91="KPK",'All Cases - Enter Cases'!A91,"")</f>
        <v/>
      </c>
      <c r="B91" t="str">
        <f>IF($A91&lt;&gt;"",'All Cases - Enter Cases'!B91,"")</f>
        <v/>
      </c>
      <c r="C91" t="str">
        <f>IF($A91&lt;&gt;"",'All Cases - Enter Cases'!C91,"")</f>
        <v/>
      </c>
      <c r="D91" t="str">
        <f>IF($A91&lt;&gt;"",'All Cases - Enter Cases'!D91,"")</f>
        <v/>
      </c>
      <c r="E91" t="str">
        <f>IF($A91&lt;&gt;"",'All Cases - Enter Cases'!E91,"")</f>
        <v/>
      </c>
      <c r="F91" t="str">
        <f>IF($A91&lt;&gt;"",'All Cases - Enter Cases'!F91,"")</f>
        <v/>
      </c>
      <c r="G91" t="str">
        <f>IF($A91&lt;&gt;"",'All Cases - Enter Cases'!G91,"")</f>
        <v/>
      </c>
      <c r="H91" t="str">
        <f>IF($A91&lt;&gt;"",'All Cases - Enter Cases'!H91,"")</f>
        <v/>
      </c>
      <c r="I91" t="str">
        <f>IF($A91&lt;&gt;"",'All Cases - Enter Cases'!I91,"")</f>
        <v/>
      </c>
      <c r="J91" t="str">
        <f>IF($A91&lt;&gt;"",'All Cases - Enter Cases'!J91,"")</f>
        <v/>
      </c>
      <c r="K91" t="str">
        <f>IF($A91&lt;&gt;"",'All Cases - Enter Cases'!K91,"")</f>
        <v/>
      </c>
      <c r="L91" t="str">
        <f>IF($A91&lt;&gt;"",'All Cases - Enter Cases'!L91,"")</f>
        <v/>
      </c>
      <c r="M91" t="str">
        <f>IF($A91&lt;&gt;"",'All Cases - Enter Cases'!M91,"")</f>
        <v/>
      </c>
    </row>
    <row r="92" spans="1:13" x14ac:dyDescent="0.35">
      <c r="A92" t="str">
        <f>IF('All Cases - Enter Cases'!$F92="KPK",'All Cases - Enter Cases'!A92,"")</f>
        <v/>
      </c>
      <c r="B92" t="str">
        <f>IF($A92&lt;&gt;"",'All Cases - Enter Cases'!B92,"")</f>
        <v/>
      </c>
      <c r="C92" t="str">
        <f>IF($A92&lt;&gt;"",'All Cases - Enter Cases'!C92,"")</f>
        <v/>
      </c>
      <c r="D92" t="str">
        <f>IF($A92&lt;&gt;"",'All Cases - Enter Cases'!D92,"")</f>
        <v/>
      </c>
      <c r="E92" t="str">
        <f>IF($A92&lt;&gt;"",'All Cases - Enter Cases'!E92,"")</f>
        <v/>
      </c>
      <c r="F92" t="str">
        <f>IF($A92&lt;&gt;"",'All Cases - Enter Cases'!F92,"")</f>
        <v/>
      </c>
      <c r="G92" t="str">
        <f>IF($A92&lt;&gt;"",'All Cases - Enter Cases'!G92,"")</f>
        <v/>
      </c>
      <c r="H92" t="str">
        <f>IF($A92&lt;&gt;"",'All Cases - Enter Cases'!H92,"")</f>
        <v/>
      </c>
      <c r="I92" t="str">
        <f>IF($A92&lt;&gt;"",'All Cases - Enter Cases'!I92,"")</f>
        <v/>
      </c>
      <c r="J92" t="str">
        <f>IF($A92&lt;&gt;"",'All Cases - Enter Cases'!J92,"")</f>
        <v/>
      </c>
      <c r="K92" t="str">
        <f>IF($A92&lt;&gt;"",'All Cases - Enter Cases'!K92,"")</f>
        <v/>
      </c>
      <c r="L92" t="str">
        <f>IF($A92&lt;&gt;"",'All Cases - Enter Cases'!L92,"")</f>
        <v/>
      </c>
      <c r="M92" t="str">
        <f>IF($A92&lt;&gt;"",'All Cases - Enter Cases'!M92,"")</f>
        <v/>
      </c>
    </row>
    <row r="93" spans="1:13" x14ac:dyDescent="0.35">
      <c r="A93" t="str">
        <f>IF('All Cases - Enter Cases'!$F93="KPK",'All Cases - Enter Cases'!A93,"")</f>
        <v/>
      </c>
      <c r="B93" t="str">
        <f>IF($A93&lt;&gt;"",'All Cases - Enter Cases'!B93,"")</f>
        <v/>
      </c>
      <c r="C93" t="str">
        <f>IF($A93&lt;&gt;"",'All Cases - Enter Cases'!C93,"")</f>
        <v/>
      </c>
      <c r="D93" t="str">
        <f>IF($A93&lt;&gt;"",'All Cases - Enter Cases'!D93,"")</f>
        <v/>
      </c>
      <c r="E93" t="str">
        <f>IF($A93&lt;&gt;"",'All Cases - Enter Cases'!E93,"")</f>
        <v/>
      </c>
      <c r="F93" t="str">
        <f>IF($A93&lt;&gt;"",'All Cases - Enter Cases'!F93,"")</f>
        <v/>
      </c>
      <c r="G93" t="str">
        <f>IF($A93&lt;&gt;"",'All Cases - Enter Cases'!G93,"")</f>
        <v/>
      </c>
      <c r="H93" t="str">
        <f>IF($A93&lt;&gt;"",'All Cases - Enter Cases'!H93,"")</f>
        <v/>
      </c>
      <c r="I93" t="str">
        <f>IF($A93&lt;&gt;"",'All Cases - Enter Cases'!I93,"")</f>
        <v/>
      </c>
      <c r="J93" t="str">
        <f>IF($A93&lt;&gt;"",'All Cases - Enter Cases'!J93,"")</f>
        <v/>
      </c>
      <c r="K93" t="str">
        <f>IF($A93&lt;&gt;"",'All Cases - Enter Cases'!K93,"")</f>
        <v/>
      </c>
      <c r="L93" t="str">
        <f>IF($A93&lt;&gt;"",'All Cases - Enter Cases'!L93,"")</f>
        <v/>
      </c>
      <c r="M93" t="str">
        <f>IF($A93&lt;&gt;"",'All Cases - Enter Cases'!M93,"")</f>
        <v/>
      </c>
    </row>
    <row r="94" spans="1:13" x14ac:dyDescent="0.35">
      <c r="A94" t="str">
        <f>IF('All Cases - Enter Cases'!$F94="KPK",'All Cases - Enter Cases'!A94,"")</f>
        <v/>
      </c>
      <c r="B94" t="str">
        <f>IF($A94&lt;&gt;"",'All Cases - Enter Cases'!B94,"")</f>
        <v/>
      </c>
      <c r="C94" t="str">
        <f>IF($A94&lt;&gt;"",'All Cases - Enter Cases'!C94,"")</f>
        <v/>
      </c>
      <c r="D94" t="str">
        <f>IF($A94&lt;&gt;"",'All Cases - Enter Cases'!D94,"")</f>
        <v/>
      </c>
      <c r="E94" t="str">
        <f>IF($A94&lt;&gt;"",'All Cases - Enter Cases'!E94,"")</f>
        <v/>
      </c>
      <c r="F94" t="str">
        <f>IF($A94&lt;&gt;"",'All Cases - Enter Cases'!F94,"")</f>
        <v/>
      </c>
      <c r="G94" t="str">
        <f>IF($A94&lt;&gt;"",'All Cases - Enter Cases'!G94,"")</f>
        <v/>
      </c>
      <c r="H94" t="str">
        <f>IF($A94&lt;&gt;"",'All Cases - Enter Cases'!H94,"")</f>
        <v/>
      </c>
      <c r="I94" t="str">
        <f>IF($A94&lt;&gt;"",'All Cases - Enter Cases'!I94,"")</f>
        <v/>
      </c>
      <c r="J94" t="str">
        <f>IF($A94&lt;&gt;"",'All Cases - Enter Cases'!J94,"")</f>
        <v/>
      </c>
      <c r="K94" t="str">
        <f>IF($A94&lt;&gt;"",'All Cases - Enter Cases'!K94,"")</f>
        <v/>
      </c>
      <c r="L94" t="str">
        <f>IF($A94&lt;&gt;"",'All Cases - Enter Cases'!L94,"")</f>
        <v/>
      </c>
      <c r="M94" t="str">
        <f>IF($A94&lt;&gt;"",'All Cases - Enter Cases'!M94,"")</f>
        <v/>
      </c>
    </row>
    <row r="95" spans="1:13" x14ac:dyDescent="0.35">
      <c r="A95" t="str">
        <f>IF('All Cases - Enter Cases'!$F95="KPK",'All Cases - Enter Cases'!A95,"")</f>
        <v/>
      </c>
      <c r="B95" t="str">
        <f>IF($A95&lt;&gt;"",'All Cases - Enter Cases'!B95,"")</f>
        <v/>
      </c>
      <c r="C95" t="str">
        <f>IF($A95&lt;&gt;"",'All Cases - Enter Cases'!C95,"")</f>
        <v/>
      </c>
      <c r="D95" t="str">
        <f>IF($A95&lt;&gt;"",'All Cases - Enter Cases'!D95,"")</f>
        <v/>
      </c>
      <c r="E95" t="str">
        <f>IF($A95&lt;&gt;"",'All Cases - Enter Cases'!E95,"")</f>
        <v/>
      </c>
      <c r="F95" t="str">
        <f>IF($A95&lt;&gt;"",'All Cases - Enter Cases'!F95,"")</f>
        <v/>
      </c>
      <c r="G95" t="str">
        <f>IF($A95&lt;&gt;"",'All Cases - Enter Cases'!G95,"")</f>
        <v/>
      </c>
      <c r="H95" t="str">
        <f>IF($A95&lt;&gt;"",'All Cases - Enter Cases'!H95,"")</f>
        <v/>
      </c>
      <c r="I95" t="str">
        <f>IF($A95&lt;&gt;"",'All Cases - Enter Cases'!I95,"")</f>
        <v/>
      </c>
      <c r="J95" t="str">
        <f>IF($A95&lt;&gt;"",'All Cases - Enter Cases'!J95,"")</f>
        <v/>
      </c>
      <c r="K95" t="str">
        <f>IF($A95&lt;&gt;"",'All Cases - Enter Cases'!K95,"")</f>
        <v/>
      </c>
      <c r="L95" t="str">
        <f>IF($A95&lt;&gt;"",'All Cases - Enter Cases'!L95,"")</f>
        <v/>
      </c>
      <c r="M95" t="str">
        <f>IF($A95&lt;&gt;"",'All Cases - Enter Cases'!M95,"")</f>
        <v/>
      </c>
    </row>
    <row r="96" spans="1:13" x14ac:dyDescent="0.35">
      <c r="A96" t="str">
        <f>IF('All Cases - Enter Cases'!$F96="KPK",'All Cases - Enter Cases'!A96,"")</f>
        <v/>
      </c>
      <c r="B96" t="str">
        <f>IF($A96&lt;&gt;"",'All Cases - Enter Cases'!B96,"")</f>
        <v/>
      </c>
      <c r="C96" t="str">
        <f>IF($A96&lt;&gt;"",'All Cases - Enter Cases'!C96,"")</f>
        <v/>
      </c>
      <c r="D96" t="str">
        <f>IF($A96&lt;&gt;"",'All Cases - Enter Cases'!D96,"")</f>
        <v/>
      </c>
      <c r="E96" t="str">
        <f>IF($A96&lt;&gt;"",'All Cases - Enter Cases'!E96,"")</f>
        <v/>
      </c>
      <c r="F96" t="str">
        <f>IF($A96&lt;&gt;"",'All Cases - Enter Cases'!F96,"")</f>
        <v/>
      </c>
      <c r="G96" t="str">
        <f>IF($A96&lt;&gt;"",'All Cases - Enter Cases'!G96,"")</f>
        <v/>
      </c>
      <c r="H96" t="str">
        <f>IF($A96&lt;&gt;"",'All Cases - Enter Cases'!H96,"")</f>
        <v/>
      </c>
      <c r="I96" t="str">
        <f>IF($A96&lt;&gt;"",'All Cases - Enter Cases'!I96,"")</f>
        <v/>
      </c>
      <c r="J96" t="str">
        <f>IF($A96&lt;&gt;"",'All Cases - Enter Cases'!J96,"")</f>
        <v/>
      </c>
      <c r="K96" t="str">
        <f>IF($A96&lt;&gt;"",'All Cases - Enter Cases'!K96,"")</f>
        <v/>
      </c>
      <c r="L96" t="str">
        <f>IF($A96&lt;&gt;"",'All Cases - Enter Cases'!L96,"")</f>
        <v/>
      </c>
      <c r="M96" t="str">
        <f>IF($A96&lt;&gt;"",'All Cases - Enter Cases'!M96,"")</f>
        <v/>
      </c>
    </row>
    <row r="97" spans="1:13" x14ac:dyDescent="0.35">
      <c r="A97" t="str">
        <f>IF('All Cases - Enter Cases'!$F97="KPK",'All Cases - Enter Cases'!A97,"")</f>
        <v/>
      </c>
      <c r="B97" t="str">
        <f>IF($A97&lt;&gt;"",'All Cases - Enter Cases'!B97,"")</f>
        <v/>
      </c>
      <c r="C97" t="str">
        <f>IF($A97&lt;&gt;"",'All Cases - Enter Cases'!C97,"")</f>
        <v/>
      </c>
      <c r="D97" t="str">
        <f>IF($A97&lt;&gt;"",'All Cases - Enter Cases'!D97,"")</f>
        <v/>
      </c>
      <c r="E97" t="str">
        <f>IF($A97&lt;&gt;"",'All Cases - Enter Cases'!E97,"")</f>
        <v/>
      </c>
      <c r="F97" t="str">
        <f>IF($A97&lt;&gt;"",'All Cases - Enter Cases'!F97,"")</f>
        <v/>
      </c>
      <c r="G97" t="str">
        <f>IF($A97&lt;&gt;"",'All Cases - Enter Cases'!G97,"")</f>
        <v/>
      </c>
      <c r="H97" t="str">
        <f>IF($A97&lt;&gt;"",'All Cases - Enter Cases'!H97,"")</f>
        <v/>
      </c>
      <c r="I97" t="str">
        <f>IF($A97&lt;&gt;"",'All Cases - Enter Cases'!I97,"")</f>
        <v/>
      </c>
      <c r="J97" t="str">
        <f>IF($A97&lt;&gt;"",'All Cases - Enter Cases'!J97,"")</f>
        <v/>
      </c>
      <c r="K97" t="str">
        <f>IF($A97&lt;&gt;"",'All Cases - Enter Cases'!K97,"")</f>
        <v/>
      </c>
      <c r="L97" t="str">
        <f>IF($A97&lt;&gt;"",'All Cases - Enter Cases'!L97,"")</f>
        <v/>
      </c>
      <c r="M97" t="str">
        <f>IF($A97&lt;&gt;"",'All Cases - Enter Cases'!M97,"")</f>
        <v/>
      </c>
    </row>
    <row r="98" spans="1:13" x14ac:dyDescent="0.35">
      <c r="A98" t="str">
        <f>IF('All Cases - Enter Cases'!$F98="KPK",'All Cases - Enter Cases'!A98,"")</f>
        <v/>
      </c>
      <c r="B98" t="str">
        <f>IF($A98&lt;&gt;"",'All Cases - Enter Cases'!B98,"")</f>
        <v/>
      </c>
      <c r="C98" t="str">
        <f>IF($A98&lt;&gt;"",'All Cases - Enter Cases'!C98,"")</f>
        <v/>
      </c>
      <c r="D98" t="str">
        <f>IF($A98&lt;&gt;"",'All Cases - Enter Cases'!D98,"")</f>
        <v/>
      </c>
      <c r="E98" t="str">
        <f>IF($A98&lt;&gt;"",'All Cases - Enter Cases'!E98,"")</f>
        <v/>
      </c>
      <c r="F98" t="str">
        <f>IF($A98&lt;&gt;"",'All Cases - Enter Cases'!F98,"")</f>
        <v/>
      </c>
      <c r="G98" t="str">
        <f>IF($A98&lt;&gt;"",'All Cases - Enter Cases'!G98,"")</f>
        <v/>
      </c>
      <c r="H98" t="str">
        <f>IF($A98&lt;&gt;"",'All Cases - Enter Cases'!H98,"")</f>
        <v/>
      </c>
      <c r="I98" t="str">
        <f>IF($A98&lt;&gt;"",'All Cases - Enter Cases'!I98,"")</f>
        <v/>
      </c>
      <c r="J98" t="str">
        <f>IF($A98&lt;&gt;"",'All Cases - Enter Cases'!J98,"")</f>
        <v/>
      </c>
      <c r="K98" t="str">
        <f>IF($A98&lt;&gt;"",'All Cases - Enter Cases'!K98,"")</f>
        <v/>
      </c>
      <c r="L98" t="str">
        <f>IF($A98&lt;&gt;"",'All Cases - Enter Cases'!L98,"")</f>
        <v/>
      </c>
      <c r="M98" t="str">
        <f>IF($A98&lt;&gt;"",'All Cases - Enter Cases'!M98,"")</f>
        <v/>
      </c>
    </row>
    <row r="99" spans="1:13" x14ac:dyDescent="0.35">
      <c r="A99" t="str">
        <f>IF('All Cases - Enter Cases'!$F99="KPK",'All Cases - Enter Cases'!A99,"")</f>
        <v/>
      </c>
      <c r="B99" t="str">
        <f>IF($A99&lt;&gt;"",'All Cases - Enter Cases'!B99,"")</f>
        <v/>
      </c>
      <c r="C99" t="str">
        <f>IF($A99&lt;&gt;"",'All Cases - Enter Cases'!C99,"")</f>
        <v/>
      </c>
      <c r="D99" t="str">
        <f>IF($A99&lt;&gt;"",'All Cases - Enter Cases'!D99,"")</f>
        <v/>
      </c>
      <c r="E99" t="str">
        <f>IF($A99&lt;&gt;"",'All Cases - Enter Cases'!E99,"")</f>
        <v/>
      </c>
      <c r="F99" t="str">
        <f>IF($A99&lt;&gt;"",'All Cases - Enter Cases'!F99,"")</f>
        <v/>
      </c>
      <c r="G99" t="str">
        <f>IF($A99&lt;&gt;"",'All Cases - Enter Cases'!G99,"")</f>
        <v/>
      </c>
      <c r="H99" t="str">
        <f>IF($A99&lt;&gt;"",'All Cases - Enter Cases'!H99,"")</f>
        <v/>
      </c>
      <c r="I99" t="str">
        <f>IF($A99&lt;&gt;"",'All Cases - Enter Cases'!I99,"")</f>
        <v/>
      </c>
      <c r="J99" t="str">
        <f>IF($A99&lt;&gt;"",'All Cases - Enter Cases'!J99,"")</f>
        <v/>
      </c>
      <c r="K99" t="str">
        <f>IF($A99&lt;&gt;"",'All Cases - Enter Cases'!K99,"")</f>
        <v/>
      </c>
      <c r="L99" t="str">
        <f>IF($A99&lt;&gt;"",'All Cases - Enter Cases'!L99,"")</f>
        <v/>
      </c>
      <c r="M99" t="str">
        <f>IF($A99&lt;&gt;"",'All Cases - Enter Cases'!M99,"")</f>
        <v/>
      </c>
    </row>
    <row r="100" spans="1:13" x14ac:dyDescent="0.35">
      <c r="A100" t="str">
        <f>IF('All Cases - Enter Cases'!$F100="KPK",'All Cases - Enter Cases'!A100,"")</f>
        <v/>
      </c>
      <c r="B100" t="str">
        <f>IF($A100&lt;&gt;"",'All Cases - Enter Cases'!B100,"")</f>
        <v/>
      </c>
      <c r="C100" t="str">
        <f>IF($A100&lt;&gt;"",'All Cases - Enter Cases'!C100,"")</f>
        <v/>
      </c>
      <c r="D100" t="str">
        <f>IF($A100&lt;&gt;"",'All Cases - Enter Cases'!D100,"")</f>
        <v/>
      </c>
      <c r="E100" t="str">
        <f>IF($A100&lt;&gt;"",'All Cases - Enter Cases'!E100,"")</f>
        <v/>
      </c>
      <c r="F100" t="str">
        <f>IF($A100&lt;&gt;"",'All Cases - Enter Cases'!F100,"")</f>
        <v/>
      </c>
      <c r="G100" t="str">
        <f>IF($A100&lt;&gt;"",'All Cases - Enter Cases'!G100,"")</f>
        <v/>
      </c>
      <c r="H100" t="str">
        <f>IF($A100&lt;&gt;"",'All Cases - Enter Cases'!H100,"")</f>
        <v/>
      </c>
      <c r="I100" t="str">
        <f>IF($A100&lt;&gt;"",'All Cases - Enter Cases'!I100,"")</f>
        <v/>
      </c>
      <c r="J100" t="str">
        <f>IF($A100&lt;&gt;"",'All Cases - Enter Cases'!J100,"")</f>
        <v/>
      </c>
      <c r="K100" t="str">
        <f>IF($A100&lt;&gt;"",'All Cases - Enter Cases'!K100,"")</f>
        <v/>
      </c>
      <c r="L100" t="str">
        <f>IF($A100&lt;&gt;"",'All Cases - Enter Cases'!L100,"")</f>
        <v/>
      </c>
      <c r="M100" t="str">
        <f>IF($A100&lt;&gt;"",'All Cases - Enter Cases'!M100,"")</f>
        <v/>
      </c>
    </row>
    <row r="101" spans="1:13" x14ac:dyDescent="0.35">
      <c r="A101" t="str">
        <f>IF('All Cases - Enter Cases'!$F101="KPK",'All Cases - Enter Cases'!A101,"")</f>
        <v/>
      </c>
      <c r="B101" t="str">
        <f>IF($A101&lt;&gt;"",'All Cases - Enter Cases'!B101,"")</f>
        <v/>
      </c>
      <c r="C101" t="str">
        <f>IF($A101&lt;&gt;"",'All Cases - Enter Cases'!C101,"")</f>
        <v/>
      </c>
      <c r="D101" t="str">
        <f>IF($A101&lt;&gt;"",'All Cases - Enter Cases'!D101,"")</f>
        <v/>
      </c>
      <c r="E101" t="str">
        <f>IF($A101&lt;&gt;"",'All Cases - Enter Cases'!E101,"")</f>
        <v/>
      </c>
      <c r="F101" t="str">
        <f>IF($A101&lt;&gt;"",'All Cases - Enter Cases'!F101,"")</f>
        <v/>
      </c>
      <c r="G101" t="str">
        <f>IF($A101&lt;&gt;"",'All Cases - Enter Cases'!G101,"")</f>
        <v/>
      </c>
      <c r="H101" t="str">
        <f>IF($A101&lt;&gt;"",'All Cases - Enter Cases'!H101,"")</f>
        <v/>
      </c>
      <c r="I101" t="str">
        <f>IF($A101&lt;&gt;"",'All Cases - Enter Cases'!I101,"")</f>
        <v/>
      </c>
      <c r="J101" t="str">
        <f>IF($A101&lt;&gt;"",'All Cases - Enter Cases'!J101,"")</f>
        <v/>
      </c>
      <c r="K101" t="str">
        <f>IF($A101&lt;&gt;"",'All Cases - Enter Cases'!K101,"")</f>
        <v/>
      </c>
      <c r="L101" t="str">
        <f>IF($A101&lt;&gt;"",'All Cases - Enter Cases'!L101,"")</f>
        <v/>
      </c>
      <c r="M101" t="str">
        <f>IF($A101&lt;&gt;"",'All Cases - Enter Cases'!M101,"")</f>
        <v/>
      </c>
    </row>
    <row r="102" spans="1:13" x14ac:dyDescent="0.35">
      <c r="A102" t="str">
        <f>IF('All Cases - Enter Cases'!$F102="KPK",'All Cases - Enter Cases'!A102,"")</f>
        <v/>
      </c>
      <c r="B102" t="str">
        <f>IF($A102&lt;&gt;"",'All Cases - Enter Cases'!B102,"")</f>
        <v/>
      </c>
      <c r="C102" t="str">
        <f>IF($A102&lt;&gt;"",'All Cases - Enter Cases'!C102,"")</f>
        <v/>
      </c>
      <c r="D102" t="str">
        <f>IF($A102&lt;&gt;"",'All Cases - Enter Cases'!D102,"")</f>
        <v/>
      </c>
      <c r="E102" t="str">
        <f>IF($A102&lt;&gt;"",'All Cases - Enter Cases'!E102,"")</f>
        <v/>
      </c>
      <c r="F102" t="str">
        <f>IF($A102&lt;&gt;"",'All Cases - Enter Cases'!F102,"")</f>
        <v/>
      </c>
      <c r="G102" t="str">
        <f>IF($A102&lt;&gt;"",'All Cases - Enter Cases'!G102,"")</f>
        <v/>
      </c>
      <c r="H102" t="str">
        <f>IF($A102&lt;&gt;"",'All Cases - Enter Cases'!H102,"")</f>
        <v/>
      </c>
      <c r="I102" t="str">
        <f>IF($A102&lt;&gt;"",'All Cases - Enter Cases'!I102,"")</f>
        <v/>
      </c>
      <c r="J102" t="str">
        <f>IF($A102&lt;&gt;"",'All Cases - Enter Cases'!J102,"")</f>
        <v/>
      </c>
      <c r="K102" t="str">
        <f>IF($A102&lt;&gt;"",'All Cases - Enter Cases'!K102,"")</f>
        <v/>
      </c>
      <c r="L102" t="str">
        <f>IF($A102&lt;&gt;"",'All Cases - Enter Cases'!L102,"")</f>
        <v/>
      </c>
      <c r="M102" t="str">
        <f>IF($A102&lt;&gt;"",'All Cases - Enter Cases'!M102,"")</f>
        <v/>
      </c>
    </row>
    <row r="103" spans="1:13" x14ac:dyDescent="0.35">
      <c r="A103" t="str">
        <f>IF('All Cases - Enter Cases'!$F103="KPK",'All Cases - Enter Cases'!A103,"")</f>
        <v/>
      </c>
      <c r="B103" t="str">
        <f>IF($A103&lt;&gt;"",'All Cases - Enter Cases'!B103,"")</f>
        <v/>
      </c>
      <c r="C103" t="str">
        <f>IF($A103&lt;&gt;"",'All Cases - Enter Cases'!C103,"")</f>
        <v/>
      </c>
      <c r="D103" t="str">
        <f>IF($A103&lt;&gt;"",'All Cases - Enter Cases'!D103,"")</f>
        <v/>
      </c>
      <c r="E103" t="str">
        <f>IF($A103&lt;&gt;"",'All Cases - Enter Cases'!E103,"")</f>
        <v/>
      </c>
      <c r="F103" t="str">
        <f>IF($A103&lt;&gt;"",'All Cases - Enter Cases'!F103,"")</f>
        <v/>
      </c>
      <c r="G103" t="str">
        <f>IF($A103&lt;&gt;"",'All Cases - Enter Cases'!G103,"")</f>
        <v/>
      </c>
      <c r="H103" t="str">
        <f>IF($A103&lt;&gt;"",'All Cases - Enter Cases'!H103,"")</f>
        <v/>
      </c>
      <c r="I103" t="str">
        <f>IF($A103&lt;&gt;"",'All Cases - Enter Cases'!I103,"")</f>
        <v/>
      </c>
      <c r="J103" t="str">
        <f>IF($A103&lt;&gt;"",'All Cases - Enter Cases'!J103,"")</f>
        <v/>
      </c>
      <c r="K103" t="str">
        <f>IF($A103&lt;&gt;"",'All Cases - Enter Cases'!K103,"")</f>
        <v/>
      </c>
      <c r="L103" t="str">
        <f>IF($A103&lt;&gt;"",'All Cases - Enter Cases'!L103,"")</f>
        <v/>
      </c>
      <c r="M103" t="str">
        <f>IF($A103&lt;&gt;"",'All Cases - Enter Cases'!M103,"")</f>
        <v/>
      </c>
    </row>
    <row r="104" spans="1:13" x14ac:dyDescent="0.35">
      <c r="A104" t="str">
        <f>IF('All Cases - Enter Cases'!$F104="KPK",'All Cases - Enter Cases'!A104,"")</f>
        <v/>
      </c>
      <c r="B104" t="str">
        <f>IF($A104&lt;&gt;"",'All Cases - Enter Cases'!B104,"")</f>
        <v/>
      </c>
      <c r="C104" t="str">
        <f>IF($A104&lt;&gt;"",'All Cases - Enter Cases'!C104,"")</f>
        <v/>
      </c>
      <c r="D104" t="str">
        <f>IF($A104&lt;&gt;"",'All Cases - Enter Cases'!D104,"")</f>
        <v/>
      </c>
      <c r="E104" t="str">
        <f>IF($A104&lt;&gt;"",'All Cases - Enter Cases'!E104,"")</f>
        <v/>
      </c>
      <c r="F104" t="str">
        <f>IF($A104&lt;&gt;"",'All Cases - Enter Cases'!F104,"")</f>
        <v/>
      </c>
      <c r="G104" t="str">
        <f>IF($A104&lt;&gt;"",'All Cases - Enter Cases'!G104,"")</f>
        <v/>
      </c>
      <c r="H104" t="str">
        <f>IF($A104&lt;&gt;"",'All Cases - Enter Cases'!H104,"")</f>
        <v/>
      </c>
      <c r="I104" t="str">
        <f>IF($A104&lt;&gt;"",'All Cases - Enter Cases'!I104,"")</f>
        <v/>
      </c>
      <c r="J104" t="str">
        <f>IF($A104&lt;&gt;"",'All Cases - Enter Cases'!J104,"")</f>
        <v/>
      </c>
      <c r="K104" t="str">
        <f>IF($A104&lt;&gt;"",'All Cases - Enter Cases'!K104,"")</f>
        <v/>
      </c>
      <c r="L104" t="str">
        <f>IF($A104&lt;&gt;"",'All Cases - Enter Cases'!L104,"")</f>
        <v/>
      </c>
      <c r="M104" t="str">
        <f>IF($A104&lt;&gt;"",'All Cases - Enter Cases'!M104,"")</f>
        <v/>
      </c>
    </row>
    <row r="105" spans="1:13" x14ac:dyDescent="0.35">
      <c r="A105" t="str">
        <f>IF('All Cases - Enter Cases'!$F105="KPK",'All Cases - Enter Cases'!A105,"")</f>
        <v/>
      </c>
      <c r="B105" t="str">
        <f>IF($A105&lt;&gt;"",'All Cases - Enter Cases'!B105,"")</f>
        <v/>
      </c>
      <c r="C105" t="str">
        <f>IF($A105&lt;&gt;"",'All Cases - Enter Cases'!C105,"")</f>
        <v/>
      </c>
      <c r="D105" t="str">
        <f>IF($A105&lt;&gt;"",'All Cases - Enter Cases'!D105,"")</f>
        <v/>
      </c>
      <c r="E105" t="str">
        <f>IF($A105&lt;&gt;"",'All Cases - Enter Cases'!E105,"")</f>
        <v/>
      </c>
      <c r="F105" t="str">
        <f>IF($A105&lt;&gt;"",'All Cases - Enter Cases'!F105,"")</f>
        <v/>
      </c>
      <c r="G105" t="str">
        <f>IF($A105&lt;&gt;"",'All Cases - Enter Cases'!G105,"")</f>
        <v/>
      </c>
      <c r="H105" t="str">
        <f>IF($A105&lt;&gt;"",'All Cases - Enter Cases'!H105,"")</f>
        <v/>
      </c>
      <c r="I105" t="str">
        <f>IF($A105&lt;&gt;"",'All Cases - Enter Cases'!I105,"")</f>
        <v/>
      </c>
      <c r="J105" t="str">
        <f>IF($A105&lt;&gt;"",'All Cases - Enter Cases'!J105,"")</f>
        <v/>
      </c>
      <c r="K105" t="str">
        <f>IF($A105&lt;&gt;"",'All Cases - Enter Cases'!K105,"")</f>
        <v/>
      </c>
      <c r="L105" t="str">
        <f>IF($A105&lt;&gt;"",'All Cases - Enter Cases'!L105,"")</f>
        <v/>
      </c>
      <c r="M105" t="str">
        <f>IF($A105&lt;&gt;"",'All Cases - Enter Cases'!M105,"")</f>
        <v/>
      </c>
    </row>
    <row r="106" spans="1:13" x14ac:dyDescent="0.35">
      <c r="A106" t="str">
        <f>IF('All Cases - Enter Cases'!$F106="KPK",'All Cases - Enter Cases'!A106,"")</f>
        <v/>
      </c>
      <c r="B106" t="str">
        <f>IF($A106&lt;&gt;"",'All Cases - Enter Cases'!B106,"")</f>
        <v/>
      </c>
      <c r="C106" t="str">
        <f>IF($A106&lt;&gt;"",'All Cases - Enter Cases'!C106,"")</f>
        <v/>
      </c>
      <c r="D106" t="str">
        <f>IF($A106&lt;&gt;"",'All Cases - Enter Cases'!D106,"")</f>
        <v/>
      </c>
      <c r="E106" t="str">
        <f>IF($A106&lt;&gt;"",'All Cases - Enter Cases'!E106,"")</f>
        <v/>
      </c>
      <c r="F106" t="str">
        <f>IF($A106&lt;&gt;"",'All Cases - Enter Cases'!F106,"")</f>
        <v/>
      </c>
      <c r="G106" t="str">
        <f>IF($A106&lt;&gt;"",'All Cases - Enter Cases'!G106,"")</f>
        <v/>
      </c>
      <c r="H106" t="str">
        <f>IF($A106&lt;&gt;"",'All Cases - Enter Cases'!H106,"")</f>
        <v/>
      </c>
      <c r="I106" t="str">
        <f>IF($A106&lt;&gt;"",'All Cases - Enter Cases'!I106,"")</f>
        <v/>
      </c>
      <c r="J106" t="str">
        <f>IF($A106&lt;&gt;"",'All Cases - Enter Cases'!J106,"")</f>
        <v/>
      </c>
      <c r="K106" t="str">
        <f>IF($A106&lt;&gt;"",'All Cases - Enter Cases'!K106,"")</f>
        <v/>
      </c>
      <c r="L106" t="str">
        <f>IF($A106&lt;&gt;"",'All Cases - Enter Cases'!L106,"")</f>
        <v/>
      </c>
      <c r="M106" t="str">
        <f>IF($A106&lt;&gt;"",'All Cases - Enter Cases'!M106,"")</f>
        <v/>
      </c>
    </row>
    <row r="107" spans="1:13" x14ac:dyDescent="0.35">
      <c r="A107" t="str">
        <f>IF('All Cases - Enter Cases'!$F107="KPK",'All Cases - Enter Cases'!A107,"")</f>
        <v/>
      </c>
      <c r="B107" t="str">
        <f>IF($A107&lt;&gt;"",'All Cases - Enter Cases'!B107,"")</f>
        <v/>
      </c>
      <c r="C107" t="str">
        <f>IF($A107&lt;&gt;"",'All Cases - Enter Cases'!C107,"")</f>
        <v/>
      </c>
      <c r="D107" t="str">
        <f>IF($A107&lt;&gt;"",'All Cases - Enter Cases'!D107,"")</f>
        <v/>
      </c>
      <c r="E107" t="str">
        <f>IF($A107&lt;&gt;"",'All Cases - Enter Cases'!E107,"")</f>
        <v/>
      </c>
      <c r="F107" t="str">
        <f>IF($A107&lt;&gt;"",'All Cases - Enter Cases'!F107,"")</f>
        <v/>
      </c>
      <c r="G107" t="str">
        <f>IF($A107&lt;&gt;"",'All Cases - Enter Cases'!G107,"")</f>
        <v/>
      </c>
      <c r="H107" t="str">
        <f>IF($A107&lt;&gt;"",'All Cases - Enter Cases'!H107,"")</f>
        <v/>
      </c>
      <c r="I107" t="str">
        <f>IF($A107&lt;&gt;"",'All Cases - Enter Cases'!I107,"")</f>
        <v/>
      </c>
      <c r="J107" t="str">
        <f>IF($A107&lt;&gt;"",'All Cases - Enter Cases'!J107,"")</f>
        <v/>
      </c>
      <c r="K107" t="str">
        <f>IF($A107&lt;&gt;"",'All Cases - Enter Cases'!K107,"")</f>
        <v/>
      </c>
      <c r="L107" t="str">
        <f>IF($A107&lt;&gt;"",'All Cases - Enter Cases'!L107,"")</f>
        <v/>
      </c>
      <c r="M107" t="str">
        <f>IF($A107&lt;&gt;"",'All Cases - Enter Cases'!M107,"")</f>
        <v/>
      </c>
    </row>
    <row r="108" spans="1:13" x14ac:dyDescent="0.35">
      <c r="A108" t="str">
        <f>IF('All Cases - Enter Cases'!$F108="KPK",'All Cases - Enter Cases'!A108,"")</f>
        <v/>
      </c>
      <c r="B108" t="str">
        <f>IF($A108&lt;&gt;"",'All Cases - Enter Cases'!B108,"")</f>
        <v/>
      </c>
      <c r="C108" t="str">
        <f>IF($A108&lt;&gt;"",'All Cases - Enter Cases'!C108,"")</f>
        <v/>
      </c>
      <c r="D108" t="str">
        <f>IF($A108&lt;&gt;"",'All Cases - Enter Cases'!D108,"")</f>
        <v/>
      </c>
      <c r="E108" t="str">
        <f>IF($A108&lt;&gt;"",'All Cases - Enter Cases'!E108,"")</f>
        <v/>
      </c>
      <c r="F108" t="str">
        <f>IF($A108&lt;&gt;"",'All Cases - Enter Cases'!F108,"")</f>
        <v/>
      </c>
      <c r="G108" t="str">
        <f>IF($A108&lt;&gt;"",'All Cases - Enter Cases'!G108,"")</f>
        <v/>
      </c>
      <c r="H108" t="str">
        <f>IF($A108&lt;&gt;"",'All Cases - Enter Cases'!H108,"")</f>
        <v/>
      </c>
      <c r="I108" t="str">
        <f>IF($A108&lt;&gt;"",'All Cases - Enter Cases'!I108,"")</f>
        <v/>
      </c>
      <c r="J108" t="str">
        <f>IF($A108&lt;&gt;"",'All Cases - Enter Cases'!J108,"")</f>
        <v/>
      </c>
      <c r="K108" t="str">
        <f>IF($A108&lt;&gt;"",'All Cases - Enter Cases'!K108,"")</f>
        <v/>
      </c>
      <c r="L108" t="str">
        <f>IF($A108&lt;&gt;"",'All Cases - Enter Cases'!L108,"")</f>
        <v/>
      </c>
      <c r="M108" t="str">
        <f>IF($A108&lt;&gt;"",'All Cases - Enter Cases'!M108,"")</f>
        <v/>
      </c>
    </row>
    <row r="109" spans="1:13" x14ac:dyDescent="0.35">
      <c r="A109" t="str">
        <f>IF('All Cases - Enter Cases'!$F109="KPK",'All Cases - Enter Cases'!A109,"")</f>
        <v/>
      </c>
      <c r="B109" t="str">
        <f>IF($A109&lt;&gt;"",'All Cases - Enter Cases'!B109,"")</f>
        <v/>
      </c>
      <c r="C109" t="str">
        <f>IF($A109&lt;&gt;"",'All Cases - Enter Cases'!C109,"")</f>
        <v/>
      </c>
      <c r="D109" t="str">
        <f>IF($A109&lt;&gt;"",'All Cases - Enter Cases'!D109,"")</f>
        <v/>
      </c>
      <c r="E109" t="str">
        <f>IF($A109&lt;&gt;"",'All Cases - Enter Cases'!E109,"")</f>
        <v/>
      </c>
      <c r="F109" t="str">
        <f>IF($A109&lt;&gt;"",'All Cases - Enter Cases'!F109,"")</f>
        <v/>
      </c>
      <c r="G109" t="str">
        <f>IF($A109&lt;&gt;"",'All Cases - Enter Cases'!G109,"")</f>
        <v/>
      </c>
      <c r="H109" t="str">
        <f>IF($A109&lt;&gt;"",'All Cases - Enter Cases'!H109,"")</f>
        <v/>
      </c>
      <c r="I109" t="str">
        <f>IF($A109&lt;&gt;"",'All Cases - Enter Cases'!I109,"")</f>
        <v/>
      </c>
      <c r="J109" t="str">
        <f>IF($A109&lt;&gt;"",'All Cases - Enter Cases'!J109,"")</f>
        <v/>
      </c>
      <c r="K109" t="str">
        <f>IF($A109&lt;&gt;"",'All Cases - Enter Cases'!K109,"")</f>
        <v/>
      </c>
      <c r="L109" t="str">
        <f>IF($A109&lt;&gt;"",'All Cases - Enter Cases'!L109,"")</f>
        <v/>
      </c>
      <c r="M109" t="str">
        <f>IF($A109&lt;&gt;"",'All Cases - Enter Cases'!M109,"")</f>
        <v/>
      </c>
    </row>
    <row r="110" spans="1:13" x14ac:dyDescent="0.35">
      <c r="A110" t="str">
        <f>IF('All Cases - Enter Cases'!$F110="KPK",'All Cases - Enter Cases'!A110,"")</f>
        <v/>
      </c>
      <c r="B110" t="str">
        <f>IF($A110&lt;&gt;"",'All Cases - Enter Cases'!B110,"")</f>
        <v/>
      </c>
      <c r="C110" t="str">
        <f>IF($A110&lt;&gt;"",'All Cases - Enter Cases'!C110,"")</f>
        <v/>
      </c>
      <c r="D110" t="str">
        <f>IF($A110&lt;&gt;"",'All Cases - Enter Cases'!D110,"")</f>
        <v/>
      </c>
      <c r="E110" t="str">
        <f>IF($A110&lt;&gt;"",'All Cases - Enter Cases'!E110,"")</f>
        <v/>
      </c>
      <c r="F110" t="str">
        <f>IF($A110&lt;&gt;"",'All Cases - Enter Cases'!F110,"")</f>
        <v/>
      </c>
      <c r="G110" t="str">
        <f>IF($A110&lt;&gt;"",'All Cases - Enter Cases'!G110,"")</f>
        <v/>
      </c>
      <c r="H110" t="str">
        <f>IF($A110&lt;&gt;"",'All Cases - Enter Cases'!H110,"")</f>
        <v/>
      </c>
      <c r="I110" t="str">
        <f>IF($A110&lt;&gt;"",'All Cases - Enter Cases'!I110,"")</f>
        <v/>
      </c>
      <c r="J110" t="str">
        <f>IF($A110&lt;&gt;"",'All Cases - Enter Cases'!J110,"")</f>
        <v/>
      </c>
      <c r="K110" t="str">
        <f>IF($A110&lt;&gt;"",'All Cases - Enter Cases'!K110,"")</f>
        <v/>
      </c>
      <c r="L110" t="str">
        <f>IF($A110&lt;&gt;"",'All Cases - Enter Cases'!L110,"")</f>
        <v/>
      </c>
      <c r="M110" t="str">
        <f>IF($A110&lt;&gt;"",'All Cases - Enter Cases'!M110,"")</f>
        <v/>
      </c>
    </row>
    <row r="111" spans="1:13" x14ac:dyDescent="0.35">
      <c r="A111" t="str">
        <f>IF('All Cases - Enter Cases'!$F111="KPK",'All Cases - Enter Cases'!A111,"")</f>
        <v/>
      </c>
      <c r="B111" t="str">
        <f>IF($A111&lt;&gt;"",'All Cases - Enter Cases'!B111,"")</f>
        <v/>
      </c>
      <c r="C111" t="str">
        <f>IF($A111&lt;&gt;"",'All Cases - Enter Cases'!C111,"")</f>
        <v/>
      </c>
      <c r="D111" t="str">
        <f>IF($A111&lt;&gt;"",'All Cases - Enter Cases'!D111,"")</f>
        <v/>
      </c>
      <c r="E111" t="str">
        <f>IF($A111&lt;&gt;"",'All Cases - Enter Cases'!E111,"")</f>
        <v/>
      </c>
      <c r="F111" t="str">
        <f>IF($A111&lt;&gt;"",'All Cases - Enter Cases'!F111,"")</f>
        <v/>
      </c>
      <c r="G111" t="str">
        <f>IF($A111&lt;&gt;"",'All Cases - Enter Cases'!G111,"")</f>
        <v/>
      </c>
      <c r="H111" t="str">
        <f>IF($A111&lt;&gt;"",'All Cases - Enter Cases'!H111,"")</f>
        <v/>
      </c>
      <c r="I111" t="str">
        <f>IF($A111&lt;&gt;"",'All Cases - Enter Cases'!I111,"")</f>
        <v/>
      </c>
      <c r="J111" t="str">
        <f>IF($A111&lt;&gt;"",'All Cases - Enter Cases'!J111,"")</f>
        <v/>
      </c>
      <c r="K111" t="str">
        <f>IF($A111&lt;&gt;"",'All Cases - Enter Cases'!K111,"")</f>
        <v/>
      </c>
      <c r="L111" t="str">
        <f>IF($A111&lt;&gt;"",'All Cases - Enter Cases'!L111,"")</f>
        <v/>
      </c>
      <c r="M111" t="str">
        <f>IF($A111&lt;&gt;"",'All Cases - Enter Cases'!M111,"")</f>
        <v/>
      </c>
    </row>
    <row r="112" spans="1:13" x14ac:dyDescent="0.35">
      <c r="A112" t="str">
        <f>IF('All Cases - Enter Cases'!$F112="KPK",'All Cases - Enter Cases'!A112,"")</f>
        <v/>
      </c>
      <c r="B112" t="str">
        <f>IF($A112&lt;&gt;"",'All Cases - Enter Cases'!B112,"")</f>
        <v/>
      </c>
      <c r="C112" t="str">
        <f>IF($A112&lt;&gt;"",'All Cases - Enter Cases'!C112,"")</f>
        <v/>
      </c>
      <c r="D112" t="str">
        <f>IF($A112&lt;&gt;"",'All Cases - Enter Cases'!D112,"")</f>
        <v/>
      </c>
      <c r="E112" t="str">
        <f>IF($A112&lt;&gt;"",'All Cases - Enter Cases'!E112,"")</f>
        <v/>
      </c>
      <c r="F112" t="str">
        <f>IF($A112&lt;&gt;"",'All Cases - Enter Cases'!F112,"")</f>
        <v/>
      </c>
      <c r="G112" t="str">
        <f>IF($A112&lt;&gt;"",'All Cases - Enter Cases'!G112,"")</f>
        <v/>
      </c>
      <c r="H112" t="str">
        <f>IF($A112&lt;&gt;"",'All Cases - Enter Cases'!H112,"")</f>
        <v/>
      </c>
      <c r="I112" t="str">
        <f>IF($A112&lt;&gt;"",'All Cases - Enter Cases'!I112,"")</f>
        <v/>
      </c>
      <c r="J112" t="str">
        <f>IF($A112&lt;&gt;"",'All Cases - Enter Cases'!J112,"")</f>
        <v/>
      </c>
      <c r="K112" t="str">
        <f>IF($A112&lt;&gt;"",'All Cases - Enter Cases'!K112,"")</f>
        <v/>
      </c>
      <c r="L112" t="str">
        <f>IF($A112&lt;&gt;"",'All Cases - Enter Cases'!L112,"")</f>
        <v/>
      </c>
      <c r="M112" t="str">
        <f>IF($A112&lt;&gt;"",'All Cases - Enter Cases'!M112,"")</f>
        <v/>
      </c>
    </row>
    <row r="113" spans="1:13" x14ac:dyDescent="0.35">
      <c r="A113" t="str">
        <f>IF('All Cases - Enter Cases'!$F113="KPK",'All Cases - Enter Cases'!A113,"")</f>
        <v/>
      </c>
      <c r="B113" t="str">
        <f>IF($A113&lt;&gt;"",'All Cases - Enter Cases'!B113,"")</f>
        <v/>
      </c>
      <c r="C113" t="str">
        <f>IF($A113&lt;&gt;"",'All Cases - Enter Cases'!C113,"")</f>
        <v/>
      </c>
      <c r="D113" t="str">
        <f>IF($A113&lt;&gt;"",'All Cases - Enter Cases'!D113,"")</f>
        <v/>
      </c>
      <c r="E113" t="str">
        <f>IF($A113&lt;&gt;"",'All Cases - Enter Cases'!E113,"")</f>
        <v/>
      </c>
      <c r="F113" t="str">
        <f>IF($A113&lt;&gt;"",'All Cases - Enter Cases'!F113,"")</f>
        <v/>
      </c>
      <c r="G113" t="str">
        <f>IF($A113&lt;&gt;"",'All Cases - Enter Cases'!G113,"")</f>
        <v/>
      </c>
      <c r="H113" t="str">
        <f>IF($A113&lt;&gt;"",'All Cases - Enter Cases'!H113,"")</f>
        <v/>
      </c>
      <c r="I113" t="str">
        <f>IF($A113&lt;&gt;"",'All Cases - Enter Cases'!I113,"")</f>
        <v/>
      </c>
      <c r="J113" t="str">
        <f>IF($A113&lt;&gt;"",'All Cases - Enter Cases'!J113,"")</f>
        <v/>
      </c>
      <c r="K113" t="str">
        <f>IF($A113&lt;&gt;"",'All Cases - Enter Cases'!K113,"")</f>
        <v/>
      </c>
      <c r="L113" t="str">
        <f>IF($A113&lt;&gt;"",'All Cases - Enter Cases'!L113,"")</f>
        <v/>
      </c>
      <c r="M113" t="str">
        <f>IF($A113&lt;&gt;"",'All Cases - Enter Cases'!M113,"")</f>
        <v/>
      </c>
    </row>
    <row r="114" spans="1:13" x14ac:dyDescent="0.35">
      <c r="A114" t="str">
        <f>IF('All Cases - Enter Cases'!$F114="KPK",'All Cases - Enter Cases'!A114,"")</f>
        <v/>
      </c>
      <c r="B114" t="str">
        <f>IF($A114&lt;&gt;"",'All Cases - Enter Cases'!B114,"")</f>
        <v/>
      </c>
      <c r="C114" t="str">
        <f>IF($A114&lt;&gt;"",'All Cases - Enter Cases'!C114,"")</f>
        <v/>
      </c>
      <c r="D114" t="str">
        <f>IF($A114&lt;&gt;"",'All Cases - Enter Cases'!D114,"")</f>
        <v/>
      </c>
      <c r="E114" t="str">
        <f>IF($A114&lt;&gt;"",'All Cases - Enter Cases'!E114,"")</f>
        <v/>
      </c>
      <c r="F114" t="str">
        <f>IF($A114&lt;&gt;"",'All Cases - Enter Cases'!F114,"")</f>
        <v/>
      </c>
      <c r="G114" t="str">
        <f>IF($A114&lt;&gt;"",'All Cases - Enter Cases'!G114,"")</f>
        <v/>
      </c>
      <c r="H114" t="str">
        <f>IF($A114&lt;&gt;"",'All Cases - Enter Cases'!H114,"")</f>
        <v/>
      </c>
      <c r="I114" t="str">
        <f>IF($A114&lt;&gt;"",'All Cases - Enter Cases'!I114,"")</f>
        <v/>
      </c>
      <c r="J114" t="str">
        <f>IF($A114&lt;&gt;"",'All Cases - Enter Cases'!J114,"")</f>
        <v/>
      </c>
      <c r="K114" t="str">
        <f>IF($A114&lt;&gt;"",'All Cases - Enter Cases'!K114,"")</f>
        <v/>
      </c>
      <c r="L114" t="str">
        <f>IF($A114&lt;&gt;"",'All Cases - Enter Cases'!L114,"")</f>
        <v/>
      </c>
      <c r="M114" t="str">
        <f>IF($A114&lt;&gt;"",'All Cases - Enter Cases'!M114,"")</f>
        <v/>
      </c>
    </row>
    <row r="115" spans="1:13" x14ac:dyDescent="0.35">
      <c r="A115" t="str">
        <f>IF('All Cases - Enter Cases'!$F115="KPK",'All Cases - Enter Cases'!A115,"")</f>
        <v/>
      </c>
      <c r="B115" t="str">
        <f>IF($A115&lt;&gt;"",'All Cases - Enter Cases'!B115,"")</f>
        <v/>
      </c>
      <c r="C115" t="str">
        <f>IF($A115&lt;&gt;"",'All Cases - Enter Cases'!C115,"")</f>
        <v/>
      </c>
      <c r="D115" t="str">
        <f>IF($A115&lt;&gt;"",'All Cases - Enter Cases'!D115,"")</f>
        <v/>
      </c>
      <c r="E115" t="str">
        <f>IF($A115&lt;&gt;"",'All Cases - Enter Cases'!E115,"")</f>
        <v/>
      </c>
      <c r="F115" t="str">
        <f>IF($A115&lt;&gt;"",'All Cases - Enter Cases'!F115,"")</f>
        <v/>
      </c>
      <c r="G115" t="str">
        <f>IF($A115&lt;&gt;"",'All Cases - Enter Cases'!G115,"")</f>
        <v/>
      </c>
      <c r="H115" t="str">
        <f>IF($A115&lt;&gt;"",'All Cases - Enter Cases'!H115,"")</f>
        <v/>
      </c>
      <c r="I115" t="str">
        <f>IF($A115&lt;&gt;"",'All Cases - Enter Cases'!I115,"")</f>
        <v/>
      </c>
      <c r="J115" t="str">
        <f>IF($A115&lt;&gt;"",'All Cases - Enter Cases'!J115,"")</f>
        <v/>
      </c>
      <c r="K115" t="str">
        <f>IF($A115&lt;&gt;"",'All Cases - Enter Cases'!K115,"")</f>
        <v/>
      </c>
      <c r="L115" t="str">
        <f>IF($A115&lt;&gt;"",'All Cases - Enter Cases'!L115,"")</f>
        <v/>
      </c>
      <c r="M115" t="str">
        <f>IF($A115&lt;&gt;"",'All Cases - Enter Cases'!M115,"")</f>
        <v/>
      </c>
    </row>
    <row r="116" spans="1:13" x14ac:dyDescent="0.35">
      <c r="A116" t="str">
        <f>IF('All Cases - Enter Cases'!$F116="KPK",'All Cases - Enter Cases'!A116,"")</f>
        <v/>
      </c>
      <c r="B116" t="str">
        <f>IF($A116&lt;&gt;"",'All Cases - Enter Cases'!B116,"")</f>
        <v/>
      </c>
      <c r="C116" t="str">
        <f>IF($A116&lt;&gt;"",'All Cases - Enter Cases'!C116,"")</f>
        <v/>
      </c>
      <c r="D116" t="str">
        <f>IF($A116&lt;&gt;"",'All Cases - Enter Cases'!D116,"")</f>
        <v/>
      </c>
      <c r="E116" t="str">
        <f>IF($A116&lt;&gt;"",'All Cases - Enter Cases'!E116,"")</f>
        <v/>
      </c>
      <c r="F116" t="str">
        <f>IF($A116&lt;&gt;"",'All Cases - Enter Cases'!F116,"")</f>
        <v/>
      </c>
      <c r="G116" t="str">
        <f>IF($A116&lt;&gt;"",'All Cases - Enter Cases'!G116,"")</f>
        <v/>
      </c>
      <c r="H116" t="str">
        <f>IF($A116&lt;&gt;"",'All Cases - Enter Cases'!H116,"")</f>
        <v/>
      </c>
      <c r="I116" t="str">
        <f>IF($A116&lt;&gt;"",'All Cases - Enter Cases'!I116,"")</f>
        <v/>
      </c>
      <c r="J116" t="str">
        <f>IF($A116&lt;&gt;"",'All Cases - Enter Cases'!J116,"")</f>
        <v/>
      </c>
      <c r="K116" t="str">
        <f>IF($A116&lt;&gt;"",'All Cases - Enter Cases'!K116,"")</f>
        <v/>
      </c>
      <c r="L116" t="str">
        <f>IF($A116&lt;&gt;"",'All Cases - Enter Cases'!L116,"")</f>
        <v/>
      </c>
      <c r="M116" t="str">
        <f>IF($A116&lt;&gt;"",'All Cases - Enter Cases'!M116,"")</f>
        <v/>
      </c>
    </row>
    <row r="117" spans="1:13" x14ac:dyDescent="0.35">
      <c r="A117" t="str">
        <f>IF('All Cases - Enter Cases'!$F117="KPK",'All Cases - Enter Cases'!A117,"")</f>
        <v/>
      </c>
      <c r="B117" t="str">
        <f>IF($A117&lt;&gt;"",'All Cases - Enter Cases'!B117,"")</f>
        <v/>
      </c>
      <c r="C117" t="str">
        <f>IF($A117&lt;&gt;"",'All Cases - Enter Cases'!C117,"")</f>
        <v/>
      </c>
      <c r="D117" t="str">
        <f>IF($A117&lt;&gt;"",'All Cases - Enter Cases'!D117,"")</f>
        <v/>
      </c>
      <c r="E117" t="str">
        <f>IF($A117&lt;&gt;"",'All Cases - Enter Cases'!E117,"")</f>
        <v/>
      </c>
      <c r="F117" t="str">
        <f>IF($A117&lt;&gt;"",'All Cases - Enter Cases'!F117,"")</f>
        <v/>
      </c>
      <c r="G117" t="str">
        <f>IF($A117&lt;&gt;"",'All Cases - Enter Cases'!G117,"")</f>
        <v/>
      </c>
      <c r="H117" t="str">
        <f>IF($A117&lt;&gt;"",'All Cases - Enter Cases'!H117,"")</f>
        <v/>
      </c>
      <c r="I117" t="str">
        <f>IF($A117&lt;&gt;"",'All Cases - Enter Cases'!I117,"")</f>
        <v/>
      </c>
      <c r="J117" t="str">
        <f>IF($A117&lt;&gt;"",'All Cases - Enter Cases'!J117,"")</f>
        <v/>
      </c>
      <c r="K117" t="str">
        <f>IF($A117&lt;&gt;"",'All Cases - Enter Cases'!K117,"")</f>
        <v/>
      </c>
      <c r="L117" t="str">
        <f>IF($A117&lt;&gt;"",'All Cases - Enter Cases'!L117,"")</f>
        <v/>
      </c>
      <c r="M117" t="str">
        <f>IF($A117&lt;&gt;"",'All Cases - Enter Cases'!M117,"")</f>
        <v/>
      </c>
    </row>
    <row r="118" spans="1:13" x14ac:dyDescent="0.35">
      <c r="A118" t="str">
        <f>IF('All Cases - Enter Cases'!$F118="KPK",'All Cases - Enter Cases'!A118,"")</f>
        <v/>
      </c>
      <c r="B118" t="str">
        <f>IF($A118&lt;&gt;"",'All Cases - Enter Cases'!B118,"")</f>
        <v/>
      </c>
      <c r="C118" t="str">
        <f>IF($A118&lt;&gt;"",'All Cases - Enter Cases'!C118,"")</f>
        <v/>
      </c>
      <c r="D118" t="str">
        <f>IF($A118&lt;&gt;"",'All Cases - Enter Cases'!D118,"")</f>
        <v/>
      </c>
      <c r="E118" t="str">
        <f>IF($A118&lt;&gt;"",'All Cases - Enter Cases'!E118,"")</f>
        <v/>
      </c>
      <c r="F118" t="str">
        <f>IF($A118&lt;&gt;"",'All Cases - Enter Cases'!F118,"")</f>
        <v/>
      </c>
      <c r="G118" t="str">
        <f>IF($A118&lt;&gt;"",'All Cases - Enter Cases'!G118,"")</f>
        <v/>
      </c>
      <c r="H118" t="str">
        <f>IF($A118&lt;&gt;"",'All Cases - Enter Cases'!H118,"")</f>
        <v/>
      </c>
      <c r="I118" t="str">
        <f>IF($A118&lt;&gt;"",'All Cases - Enter Cases'!I118,"")</f>
        <v/>
      </c>
      <c r="J118" t="str">
        <f>IF($A118&lt;&gt;"",'All Cases - Enter Cases'!J118,"")</f>
        <v/>
      </c>
      <c r="K118" t="str">
        <f>IF($A118&lt;&gt;"",'All Cases - Enter Cases'!K118,"")</f>
        <v/>
      </c>
      <c r="L118" t="str">
        <f>IF($A118&lt;&gt;"",'All Cases - Enter Cases'!L118,"")</f>
        <v/>
      </c>
      <c r="M118" t="str">
        <f>IF($A118&lt;&gt;"",'All Cases - Enter Cases'!M118,"")</f>
        <v/>
      </c>
    </row>
    <row r="119" spans="1:13" x14ac:dyDescent="0.35">
      <c r="A119" t="str">
        <f>IF('All Cases - Enter Cases'!$F119="KPK",'All Cases - Enter Cases'!A119,"")</f>
        <v/>
      </c>
      <c r="B119" t="str">
        <f>IF($A119&lt;&gt;"",'All Cases - Enter Cases'!B119,"")</f>
        <v/>
      </c>
      <c r="C119" t="str">
        <f>IF($A119&lt;&gt;"",'All Cases - Enter Cases'!C119,"")</f>
        <v/>
      </c>
      <c r="D119" t="str">
        <f>IF($A119&lt;&gt;"",'All Cases - Enter Cases'!D119,"")</f>
        <v/>
      </c>
      <c r="E119" t="str">
        <f>IF($A119&lt;&gt;"",'All Cases - Enter Cases'!E119,"")</f>
        <v/>
      </c>
      <c r="F119" t="str">
        <f>IF($A119&lt;&gt;"",'All Cases - Enter Cases'!F119,"")</f>
        <v/>
      </c>
      <c r="G119" t="str">
        <f>IF($A119&lt;&gt;"",'All Cases - Enter Cases'!G119,"")</f>
        <v/>
      </c>
      <c r="H119" t="str">
        <f>IF($A119&lt;&gt;"",'All Cases - Enter Cases'!H119,"")</f>
        <v/>
      </c>
      <c r="I119" t="str">
        <f>IF($A119&lt;&gt;"",'All Cases - Enter Cases'!I119,"")</f>
        <v/>
      </c>
      <c r="J119" t="str">
        <f>IF($A119&lt;&gt;"",'All Cases - Enter Cases'!J119,"")</f>
        <v/>
      </c>
      <c r="K119" t="str">
        <f>IF($A119&lt;&gt;"",'All Cases - Enter Cases'!K119,"")</f>
        <v/>
      </c>
      <c r="L119" t="str">
        <f>IF($A119&lt;&gt;"",'All Cases - Enter Cases'!L119,"")</f>
        <v/>
      </c>
      <c r="M119" t="str">
        <f>IF($A119&lt;&gt;"",'All Cases - Enter Cases'!M119,"")</f>
        <v/>
      </c>
    </row>
    <row r="120" spans="1:13" x14ac:dyDescent="0.35">
      <c r="A120" t="str">
        <f>IF('All Cases - Enter Cases'!$F120="KPK",'All Cases - Enter Cases'!A120,"")</f>
        <v/>
      </c>
      <c r="B120" t="str">
        <f>IF($A120&lt;&gt;"",'All Cases - Enter Cases'!B120,"")</f>
        <v/>
      </c>
      <c r="C120" t="str">
        <f>IF($A120&lt;&gt;"",'All Cases - Enter Cases'!C120,"")</f>
        <v/>
      </c>
      <c r="D120" t="str">
        <f>IF($A120&lt;&gt;"",'All Cases - Enter Cases'!D120,"")</f>
        <v/>
      </c>
      <c r="E120" t="str">
        <f>IF($A120&lt;&gt;"",'All Cases - Enter Cases'!E120,"")</f>
        <v/>
      </c>
      <c r="F120" t="str">
        <f>IF($A120&lt;&gt;"",'All Cases - Enter Cases'!F120,"")</f>
        <v/>
      </c>
      <c r="G120" t="str">
        <f>IF($A120&lt;&gt;"",'All Cases - Enter Cases'!G120,"")</f>
        <v/>
      </c>
      <c r="H120" t="str">
        <f>IF($A120&lt;&gt;"",'All Cases - Enter Cases'!H120,"")</f>
        <v/>
      </c>
      <c r="I120" t="str">
        <f>IF($A120&lt;&gt;"",'All Cases - Enter Cases'!I120,"")</f>
        <v/>
      </c>
      <c r="J120" t="str">
        <f>IF($A120&lt;&gt;"",'All Cases - Enter Cases'!J120,"")</f>
        <v/>
      </c>
      <c r="K120" t="str">
        <f>IF($A120&lt;&gt;"",'All Cases - Enter Cases'!K120,"")</f>
        <v/>
      </c>
      <c r="L120" t="str">
        <f>IF($A120&lt;&gt;"",'All Cases - Enter Cases'!L120,"")</f>
        <v/>
      </c>
      <c r="M120" t="str">
        <f>IF($A120&lt;&gt;"",'All Cases - Enter Cases'!M120,"")</f>
        <v/>
      </c>
    </row>
    <row r="121" spans="1:13" x14ac:dyDescent="0.35">
      <c r="A121" t="str">
        <f>IF('All Cases - Enter Cases'!$F121="KPK",'All Cases - Enter Cases'!A121,"")</f>
        <v/>
      </c>
      <c r="B121" t="str">
        <f>IF($A121&lt;&gt;"",'All Cases - Enter Cases'!B121,"")</f>
        <v/>
      </c>
      <c r="C121" t="str">
        <f>IF($A121&lt;&gt;"",'All Cases - Enter Cases'!C121,"")</f>
        <v/>
      </c>
      <c r="D121" t="str">
        <f>IF($A121&lt;&gt;"",'All Cases - Enter Cases'!D121,"")</f>
        <v/>
      </c>
      <c r="E121" t="str">
        <f>IF($A121&lt;&gt;"",'All Cases - Enter Cases'!E121,"")</f>
        <v/>
      </c>
      <c r="F121" t="str">
        <f>IF($A121&lt;&gt;"",'All Cases - Enter Cases'!F121,"")</f>
        <v/>
      </c>
      <c r="G121" t="str">
        <f>IF($A121&lt;&gt;"",'All Cases - Enter Cases'!G121,"")</f>
        <v/>
      </c>
      <c r="H121" t="str">
        <f>IF($A121&lt;&gt;"",'All Cases - Enter Cases'!H121,"")</f>
        <v/>
      </c>
      <c r="I121" t="str">
        <f>IF($A121&lt;&gt;"",'All Cases - Enter Cases'!I121,"")</f>
        <v/>
      </c>
      <c r="J121" t="str">
        <f>IF($A121&lt;&gt;"",'All Cases - Enter Cases'!J121,"")</f>
        <v/>
      </c>
      <c r="K121" t="str">
        <f>IF($A121&lt;&gt;"",'All Cases - Enter Cases'!K121,"")</f>
        <v/>
      </c>
      <c r="L121" t="str">
        <f>IF($A121&lt;&gt;"",'All Cases - Enter Cases'!L121,"")</f>
        <v/>
      </c>
      <c r="M121" t="str">
        <f>IF($A121&lt;&gt;"",'All Cases - Enter Cases'!M121,"")</f>
        <v/>
      </c>
    </row>
    <row r="122" spans="1:13" x14ac:dyDescent="0.35">
      <c r="A122" t="str">
        <f>IF('All Cases - Enter Cases'!$F122="KPK",'All Cases - Enter Cases'!A122,"")</f>
        <v/>
      </c>
      <c r="B122" t="str">
        <f>IF($A122&lt;&gt;"",'All Cases - Enter Cases'!B122,"")</f>
        <v/>
      </c>
      <c r="C122" t="str">
        <f>IF($A122&lt;&gt;"",'All Cases - Enter Cases'!C122,"")</f>
        <v/>
      </c>
      <c r="D122" t="str">
        <f>IF($A122&lt;&gt;"",'All Cases - Enter Cases'!D122,"")</f>
        <v/>
      </c>
      <c r="E122" t="str">
        <f>IF($A122&lt;&gt;"",'All Cases - Enter Cases'!E122,"")</f>
        <v/>
      </c>
      <c r="F122" t="str">
        <f>IF($A122&lt;&gt;"",'All Cases - Enter Cases'!F122,"")</f>
        <v/>
      </c>
      <c r="G122" t="str">
        <f>IF($A122&lt;&gt;"",'All Cases - Enter Cases'!G122,"")</f>
        <v/>
      </c>
      <c r="H122" t="str">
        <f>IF($A122&lt;&gt;"",'All Cases - Enter Cases'!H122,"")</f>
        <v/>
      </c>
      <c r="I122" t="str">
        <f>IF($A122&lt;&gt;"",'All Cases - Enter Cases'!I122,"")</f>
        <v/>
      </c>
      <c r="J122" t="str">
        <f>IF($A122&lt;&gt;"",'All Cases - Enter Cases'!J122,"")</f>
        <v/>
      </c>
      <c r="K122" t="str">
        <f>IF($A122&lt;&gt;"",'All Cases - Enter Cases'!K122,"")</f>
        <v/>
      </c>
      <c r="L122" t="str">
        <f>IF($A122&lt;&gt;"",'All Cases - Enter Cases'!L122,"")</f>
        <v/>
      </c>
      <c r="M122" t="str">
        <f>IF($A122&lt;&gt;"",'All Cases - Enter Cases'!M122,"")</f>
        <v/>
      </c>
    </row>
    <row r="123" spans="1:13" x14ac:dyDescent="0.35">
      <c r="A123" t="str">
        <f>IF('All Cases - Enter Cases'!$F123="KPK",'All Cases - Enter Cases'!A123,"")</f>
        <v/>
      </c>
      <c r="B123" t="str">
        <f>IF($A123&lt;&gt;"",'All Cases - Enter Cases'!B123,"")</f>
        <v/>
      </c>
      <c r="C123" t="str">
        <f>IF($A123&lt;&gt;"",'All Cases - Enter Cases'!C123,"")</f>
        <v/>
      </c>
      <c r="D123" t="str">
        <f>IF($A123&lt;&gt;"",'All Cases - Enter Cases'!D123,"")</f>
        <v/>
      </c>
      <c r="E123" t="str">
        <f>IF($A123&lt;&gt;"",'All Cases - Enter Cases'!E123,"")</f>
        <v/>
      </c>
      <c r="F123" t="str">
        <f>IF($A123&lt;&gt;"",'All Cases - Enter Cases'!F123,"")</f>
        <v/>
      </c>
      <c r="G123" t="str">
        <f>IF($A123&lt;&gt;"",'All Cases - Enter Cases'!G123,"")</f>
        <v/>
      </c>
      <c r="H123" t="str">
        <f>IF($A123&lt;&gt;"",'All Cases - Enter Cases'!H123,"")</f>
        <v/>
      </c>
      <c r="I123" t="str">
        <f>IF($A123&lt;&gt;"",'All Cases - Enter Cases'!I123,"")</f>
        <v/>
      </c>
      <c r="J123" t="str">
        <f>IF($A123&lt;&gt;"",'All Cases - Enter Cases'!J123,"")</f>
        <v/>
      </c>
      <c r="K123" t="str">
        <f>IF($A123&lt;&gt;"",'All Cases - Enter Cases'!K123,"")</f>
        <v/>
      </c>
      <c r="L123" t="str">
        <f>IF($A123&lt;&gt;"",'All Cases - Enter Cases'!L123,"")</f>
        <v/>
      </c>
      <c r="M123" t="str">
        <f>IF($A123&lt;&gt;"",'All Cases - Enter Cases'!M123,"")</f>
        <v/>
      </c>
    </row>
    <row r="124" spans="1:13" x14ac:dyDescent="0.35">
      <c r="A124" t="str">
        <f>IF('All Cases - Enter Cases'!$F124="KPK",'All Cases - Enter Cases'!A124,"")</f>
        <v/>
      </c>
      <c r="B124" t="str">
        <f>IF($A124&lt;&gt;"",'All Cases - Enter Cases'!B124,"")</f>
        <v/>
      </c>
      <c r="C124" t="str">
        <f>IF($A124&lt;&gt;"",'All Cases - Enter Cases'!C124,"")</f>
        <v/>
      </c>
      <c r="D124" t="str">
        <f>IF($A124&lt;&gt;"",'All Cases - Enter Cases'!D124,"")</f>
        <v/>
      </c>
      <c r="E124" t="str">
        <f>IF($A124&lt;&gt;"",'All Cases - Enter Cases'!E124,"")</f>
        <v/>
      </c>
      <c r="F124" t="str">
        <f>IF($A124&lt;&gt;"",'All Cases - Enter Cases'!F124,"")</f>
        <v/>
      </c>
      <c r="G124" t="str">
        <f>IF($A124&lt;&gt;"",'All Cases - Enter Cases'!G124,"")</f>
        <v/>
      </c>
      <c r="H124" t="str">
        <f>IF($A124&lt;&gt;"",'All Cases - Enter Cases'!H124,"")</f>
        <v/>
      </c>
      <c r="I124" t="str">
        <f>IF($A124&lt;&gt;"",'All Cases - Enter Cases'!I124,"")</f>
        <v/>
      </c>
      <c r="J124" t="str">
        <f>IF($A124&lt;&gt;"",'All Cases - Enter Cases'!J124,"")</f>
        <v/>
      </c>
      <c r="K124" t="str">
        <f>IF($A124&lt;&gt;"",'All Cases - Enter Cases'!K124,"")</f>
        <v/>
      </c>
      <c r="L124" t="str">
        <f>IF($A124&lt;&gt;"",'All Cases - Enter Cases'!L124,"")</f>
        <v/>
      </c>
      <c r="M124" t="str">
        <f>IF($A124&lt;&gt;"",'All Cases - Enter Cases'!M124,"")</f>
        <v/>
      </c>
    </row>
    <row r="125" spans="1:13" x14ac:dyDescent="0.35">
      <c r="A125" t="str">
        <f>IF('All Cases - Enter Cases'!$F125="KPK",'All Cases - Enter Cases'!A125,"")</f>
        <v/>
      </c>
      <c r="B125" t="str">
        <f>IF($A125&lt;&gt;"",'All Cases - Enter Cases'!B125,"")</f>
        <v/>
      </c>
      <c r="C125" t="str">
        <f>IF($A125&lt;&gt;"",'All Cases - Enter Cases'!C125,"")</f>
        <v/>
      </c>
      <c r="D125" t="str">
        <f>IF($A125&lt;&gt;"",'All Cases - Enter Cases'!D125,"")</f>
        <v/>
      </c>
      <c r="E125" t="str">
        <f>IF($A125&lt;&gt;"",'All Cases - Enter Cases'!E125,"")</f>
        <v/>
      </c>
      <c r="F125" t="str">
        <f>IF($A125&lt;&gt;"",'All Cases - Enter Cases'!F125,"")</f>
        <v/>
      </c>
      <c r="G125" t="str">
        <f>IF($A125&lt;&gt;"",'All Cases - Enter Cases'!G125,"")</f>
        <v/>
      </c>
      <c r="H125" t="str">
        <f>IF($A125&lt;&gt;"",'All Cases - Enter Cases'!H125,"")</f>
        <v/>
      </c>
      <c r="I125" t="str">
        <f>IF($A125&lt;&gt;"",'All Cases - Enter Cases'!I125,"")</f>
        <v/>
      </c>
      <c r="J125" t="str">
        <f>IF($A125&lt;&gt;"",'All Cases - Enter Cases'!J125,"")</f>
        <v/>
      </c>
      <c r="K125" t="str">
        <f>IF($A125&lt;&gt;"",'All Cases - Enter Cases'!K125,"")</f>
        <v/>
      </c>
      <c r="L125" t="str">
        <f>IF($A125&lt;&gt;"",'All Cases - Enter Cases'!L125,"")</f>
        <v/>
      </c>
      <c r="M125" t="str">
        <f>IF($A125&lt;&gt;"",'All Cases - Enter Cases'!M125,"")</f>
        <v/>
      </c>
    </row>
    <row r="126" spans="1:13" x14ac:dyDescent="0.35">
      <c r="A126" t="str">
        <f>IF('All Cases - Enter Cases'!$F126="KPK",'All Cases - Enter Cases'!A126,"")</f>
        <v/>
      </c>
      <c r="B126" t="str">
        <f>IF($A126&lt;&gt;"",'All Cases - Enter Cases'!B126,"")</f>
        <v/>
      </c>
      <c r="C126" t="str">
        <f>IF($A126&lt;&gt;"",'All Cases - Enter Cases'!C126,"")</f>
        <v/>
      </c>
      <c r="D126" t="str">
        <f>IF($A126&lt;&gt;"",'All Cases - Enter Cases'!D126,"")</f>
        <v/>
      </c>
      <c r="E126" t="str">
        <f>IF($A126&lt;&gt;"",'All Cases - Enter Cases'!E126,"")</f>
        <v/>
      </c>
      <c r="F126" t="str">
        <f>IF($A126&lt;&gt;"",'All Cases - Enter Cases'!F126,"")</f>
        <v/>
      </c>
      <c r="G126" t="str">
        <f>IF($A126&lt;&gt;"",'All Cases - Enter Cases'!G126,"")</f>
        <v/>
      </c>
      <c r="H126" t="str">
        <f>IF($A126&lt;&gt;"",'All Cases - Enter Cases'!H126,"")</f>
        <v/>
      </c>
      <c r="I126" t="str">
        <f>IF($A126&lt;&gt;"",'All Cases - Enter Cases'!I126,"")</f>
        <v/>
      </c>
      <c r="J126" t="str">
        <f>IF($A126&lt;&gt;"",'All Cases - Enter Cases'!J126,"")</f>
        <v/>
      </c>
      <c r="K126" t="str">
        <f>IF($A126&lt;&gt;"",'All Cases - Enter Cases'!K126,"")</f>
        <v/>
      </c>
      <c r="L126" t="str">
        <f>IF($A126&lt;&gt;"",'All Cases - Enter Cases'!L126,"")</f>
        <v/>
      </c>
      <c r="M126" t="str">
        <f>IF($A126&lt;&gt;"",'All Cases - Enter Cases'!M126,"")</f>
        <v/>
      </c>
    </row>
    <row r="127" spans="1:13" x14ac:dyDescent="0.35">
      <c r="A127" t="str">
        <f>IF('All Cases - Enter Cases'!$F127="KPK",'All Cases - Enter Cases'!A127,"")</f>
        <v/>
      </c>
      <c r="B127" t="str">
        <f>IF($A127&lt;&gt;"",'All Cases - Enter Cases'!B127,"")</f>
        <v/>
      </c>
      <c r="C127" t="str">
        <f>IF($A127&lt;&gt;"",'All Cases - Enter Cases'!C127,"")</f>
        <v/>
      </c>
      <c r="D127" t="str">
        <f>IF($A127&lt;&gt;"",'All Cases - Enter Cases'!D127,"")</f>
        <v/>
      </c>
      <c r="E127" t="str">
        <f>IF($A127&lt;&gt;"",'All Cases - Enter Cases'!E127,"")</f>
        <v/>
      </c>
      <c r="F127" t="str">
        <f>IF($A127&lt;&gt;"",'All Cases - Enter Cases'!F127,"")</f>
        <v/>
      </c>
      <c r="G127" t="str">
        <f>IF($A127&lt;&gt;"",'All Cases - Enter Cases'!G127,"")</f>
        <v/>
      </c>
      <c r="H127" t="str">
        <f>IF($A127&lt;&gt;"",'All Cases - Enter Cases'!H127,"")</f>
        <v/>
      </c>
      <c r="I127" t="str">
        <f>IF($A127&lt;&gt;"",'All Cases - Enter Cases'!I127,"")</f>
        <v/>
      </c>
      <c r="J127" t="str">
        <f>IF($A127&lt;&gt;"",'All Cases - Enter Cases'!J127,"")</f>
        <v/>
      </c>
      <c r="K127" t="str">
        <f>IF($A127&lt;&gt;"",'All Cases - Enter Cases'!K127,"")</f>
        <v/>
      </c>
      <c r="L127" t="str">
        <f>IF($A127&lt;&gt;"",'All Cases - Enter Cases'!L127,"")</f>
        <v/>
      </c>
      <c r="M127" t="str">
        <f>IF($A127&lt;&gt;"",'All Cases - Enter Cases'!M127,"")</f>
        <v/>
      </c>
    </row>
    <row r="128" spans="1:13" x14ac:dyDescent="0.35">
      <c r="A128" t="str">
        <f>IF('All Cases - Enter Cases'!$F128="KPK",'All Cases - Enter Cases'!A128,"")</f>
        <v/>
      </c>
      <c r="B128" t="str">
        <f>IF($A128&lt;&gt;"",'All Cases - Enter Cases'!B128,"")</f>
        <v/>
      </c>
      <c r="C128" t="str">
        <f>IF($A128&lt;&gt;"",'All Cases - Enter Cases'!C128,"")</f>
        <v/>
      </c>
      <c r="D128" t="str">
        <f>IF($A128&lt;&gt;"",'All Cases - Enter Cases'!D128,"")</f>
        <v/>
      </c>
      <c r="E128" t="str">
        <f>IF($A128&lt;&gt;"",'All Cases - Enter Cases'!E128,"")</f>
        <v/>
      </c>
      <c r="F128" t="str">
        <f>IF($A128&lt;&gt;"",'All Cases - Enter Cases'!F128,"")</f>
        <v/>
      </c>
      <c r="G128" t="str">
        <f>IF($A128&lt;&gt;"",'All Cases - Enter Cases'!G128,"")</f>
        <v/>
      </c>
      <c r="H128" t="str">
        <f>IF($A128&lt;&gt;"",'All Cases - Enter Cases'!H128,"")</f>
        <v/>
      </c>
      <c r="I128" t="str">
        <f>IF($A128&lt;&gt;"",'All Cases - Enter Cases'!I128,"")</f>
        <v/>
      </c>
      <c r="J128" t="str">
        <f>IF($A128&lt;&gt;"",'All Cases - Enter Cases'!J128,"")</f>
        <v/>
      </c>
      <c r="K128" t="str">
        <f>IF($A128&lt;&gt;"",'All Cases - Enter Cases'!K128,"")</f>
        <v/>
      </c>
      <c r="L128" t="str">
        <f>IF($A128&lt;&gt;"",'All Cases - Enter Cases'!L128,"")</f>
        <v/>
      </c>
      <c r="M128" t="str">
        <f>IF($A128&lt;&gt;"",'All Cases - Enter Cases'!M128,"")</f>
        <v/>
      </c>
    </row>
    <row r="129" spans="1:13" x14ac:dyDescent="0.35">
      <c r="A129" t="str">
        <f>IF('All Cases - Enter Cases'!$F129="KPK",'All Cases - Enter Cases'!A129,"")</f>
        <v/>
      </c>
      <c r="B129" t="str">
        <f>IF($A129&lt;&gt;"",'All Cases - Enter Cases'!B129,"")</f>
        <v/>
      </c>
      <c r="C129" t="str">
        <f>IF($A129&lt;&gt;"",'All Cases - Enter Cases'!C129,"")</f>
        <v/>
      </c>
      <c r="D129" t="str">
        <f>IF($A129&lt;&gt;"",'All Cases - Enter Cases'!D129,"")</f>
        <v/>
      </c>
      <c r="E129" t="str">
        <f>IF($A129&lt;&gt;"",'All Cases - Enter Cases'!E129,"")</f>
        <v/>
      </c>
      <c r="F129" t="str">
        <f>IF($A129&lt;&gt;"",'All Cases - Enter Cases'!F129,"")</f>
        <v/>
      </c>
      <c r="G129" t="str">
        <f>IF($A129&lt;&gt;"",'All Cases - Enter Cases'!G129,"")</f>
        <v/>
      </c>
      <c r="H129" t="str">
        <f>IF($A129&lt;&gt;"",'All Cases - Enter Cases'!H129,"")</f>
        <v/>
      </c>
      <c r="I129" t="str">
        <f>IF($A129&lt;&gt;"",'All Cases - Enter Cases'!I129,"")</f>
        <v/>
      </c>
      <c r="J129" t="str">
        <f>IF($A129&lt;&gt;"",'All Cases - Enter Cases'!J129,"")</f>
        <v/>
      </c>
      <c r="K129" t="str">
        <f>IF($A129&lt;&gt;"",'All Cases - Enter Cases'!K129,"")</f>
        <v/>
      </c>
      <c r="L129" t="str">
        <f>IF($A129&lt;&gt;"",'All Cases - Enter Cases'!L129,"")</f>
        <v/>
      </c>
      <c r="M129" t="str">
        <f>IF($A129&lt;&gt;"",'All Cases - Enter Cases'!M129,"")</f>
        <v/>
      </c>
    </row>
    <row r="130" spans="1:13" x14ac:dyDescent="0.35">
      <c r="A130" t="str">
        <f>IF('All Cases - Enter Cases'!$F130="KPK",'All Cases - Enter Cases'!A130,"")</f>
        <v/>
      </c>
      <c r="B130" t="str">
        <f>IF($A130&lt;&gt;"",'All Cases - Enter Cases'!B130,"")</f>
        <v/>
      </c>
      <c r="C130" t="str">
        <f>IF($A130&lt;&gt;"",'All Cases - Enter Cases'!C130,"")</f>
        <v/>
      </c>
      <c r="D130" t="str">
        <f>IF($A130&lt;&gt;"",'All Cases - Enter Cases'!D130,"")</f>
        <v/>
      </c>
      <c r="E130" t="str">
        <f>IF($A130&lt;&gt;"",'All Cases - Enter Cases'!E130,"")</f>
        <v/>
      </c>
      <c r="F130" t="str">
        <f>IF($A130&lt;&gt;"",'All Cases - Enter Cases'!F130,"")</f>
        <v/>
      </c>
      <c r="G130" t="str">
        <f>IF($A130&lt;&gt;"",'All Cases - Enter Cases'!G130,"")</f>
        <v/>
      </c>
      <c r="H130" t="str">
        <f>IF($A130&lt;&gt;"",'All Cases - Enter Cases'!H130,"")</f>
        <v/>
      </c>
      <c r="I130" t="str">
        <f>IF($A130&lt;&gt;"",'All Cases - Enter Cases'!I130,"")</f>
        <v/>
      </c>
      <c r="J130" t="str">
        <f>IF($A130&lt;&gt;"",'All Cases - Enter Cases'!J130,"")</f>
        <v/>
      </c>
      <c r="K130" t="str">
        <f>IF($A130&lt;&gt;"",'All Cases - Enter Cases'!K130,"")</f>
        <v/>
      </c>
      <c r="L130" t="str">
        <f>IF($A130&lt;&gt;"",'All Cases - Enter Cases'!L130,"")</f>
        <v/>
      </c>
      <c r="M130" t="str">
        <f>IF($A130&lt;&gt;"",'All Cases - Enter Cases'!M130,"")</f>
        <v/>
      </c>
    </row>
    <row r="131" spans="1:13" x14ac:dyDescent="0.35">
      <c r="A131" t="str">
        <f>IF('All Cases - Enter Cases'!$F131="KPK",'All Cases - Enter Cases'!A131,"")</f>
        <v/>
      </c>
      <c r="B131" t="str">
        <f>IF($A131&lt;&gt;"",'All Cases - Enter Cases'!B131,"")</f>
        <v/>
      </c>
      <c r="C131" t="str">
        <f>IF($A131&lt;&gt;"",'All Cases - Enter Cases'!C131,"")</f>
        <v/>
      </c>
      <c r="D131" t="str">
        <f>IF($A131&lt;&gt;"",'All Cases - Enter Cases'!D131,"")</f>
        <v/>
      </c>
      <c r="E131" t="str">
        <f>IF($A131&lt;&gt;"",'All Cases - Enter Cases'!E131,"")</f>
        <v/>
      </c>
      <c r="F131" t="str">
        <f>IF($A131&lt;&gt;"",'All Cases - Enter Cases'!F131,"")</f>
        <v/>
      </c>
      <c r="G131" t="str">
        <f>IF($A131&lt;&gt;"",'All Cases - Enter Cases'!G131,"")</f>
        <v/>
      </c>
      <c r="H131" t="str">
        <f>IF($A131&lt;&gt;"",'All Cases - Enter Cases'!H131,"")</f>
        <v/>
      </c>
      <c r="I131" t="str">
        <f>IF($A131&lt;&gt;"",'All Cases - Enter Cases'!I131,"")</f>
        <v/>
      </c>
      <c r="J131" t="str">
        <f>IF($A131&lt;&gt;"",'All Cases - Enter Cases'!J131,"")</f>
        <v/>
      </c>
      <c r="K131" t="str">
        <f>IF($A131&lt;&gt;"",'All Cases - Enter Cases'!K131,"")</f>
        <v/>
      </c>
      <c r="L131" t="str">
        <f>IF($A131&lt;&gt;"",'All Cases - Enter Cases'!L131,"")</f>
        <v/>
      </c>
      <c r="M131" t="str">
        <f>IF($A131&lt;&gt;"",'All Cases - Enter Cases'!M131,"")</f>
        <v/>
      </c>
    </row>
    <row r="132" spans="1:13" x14ac:dyDescent="0.35">
      <c r="A132" t="str">
        <f>IF('All Cases - Enter Cases'!$F132="KPK",'All Cases - Enter Cases'!A132,"")</f>
        <v/>
      </c>
      <c r="B132" t="str">
        <f>IF($A132&lt;&gt;"",'All Cases - Enter Cases'!B132,"")</f>
        <v/>
      </c>
      <c r="C132" t="str">
        <f>IF($A132&lt;&gt;"",'All Cases - Enter Cases'!C132,"")</f>
        <v/>
      </c>
      <c r="D132" t="str">
        <f>IF($A132&lt;&gt;"",'All Cases - Enter Cases'!D132,"")</f>
        <v/>
      </c>
      <c r="E132" t="str">
        <f>IF($A132&lt;&gt;"",'All Cases - Enter Cases'!E132,"")</f>
        <v/>
      </c>
      <c r="F132" t="str">
        <f>IF($A132&lt;&gt;"",'All Cases - Enter Cases'!F132,"")</f>
        <v/>
      </c>
      <c r="G132" t="str">
        <f>IF($A132&lt;&gt;"",'All Cases - Enter Cases'!G132,"")</f>
        <v/>
      </c>
      <c r="H132" t="str">
        <f>IF($A132&lt;&gt;"",'All Cases - Enter Cases'!H132,"")</f>
        <v/>
      </c>
      <c r="I132" t="str">
        <f>IF($A132&lt;&gt;"",'All Cases - Enter Cases'!I132,"")</f>
        <v/>
      </c>
      <c r="J132" t="str">
        <f>IF($A132&lt;&gt;"",'All Cases - Enter Cases'!J132,"")</f>
        <v/>
      </c>
      <c r="K132" t="str">
        <f>IF($A132&lt;&gt;"",'All Cases - Enter Cases'!K132,"")</f>
        <v/>
      </c>
      <c r="L132" t="str">
        <f>IF($A132&lt;&gt;"",'All Cases - Enter Cases'!L132,"")</f>
        <v/>
      </c>
      <c r="M132" t="str">
        <f>IF($A132&lt;&gt;"",'All Cases - Enter Cases'!M132,"")</f>
        <v/>
      </c>
    </row>
    <row r="133" spans="1:13" x14ac:dyDescent="0.35">
      <c r="A133" t="str">
        <f>IF('All Cases - Enter Cases'!$F133="KPK",'All Cases - Enter Cases'!A133,"")</f>
        <v/>
      </c>
      <c r="B133" t="str">
        <f>IF($A133&lt;&gt;"",'All Cases - Enter Cases'!B133,"")</f>
        <v/>
      </c>
      <c r="C133" t="str">
        <f>IF($A133&lt;&gt;"",'All Cases - Enter Cases'!C133,"")</f>
        <v/>
      </c>
      <c r="D133" t="str">
        <f>IF($A133&lt;&gt;"",'All Cases - Enter Cases'!D133,"")</f>
        <v/>
      </c>
      <c r="E133" t="str">
        <f>IF($A133&lt;&gt;"",'All Cases - Enter Cases'!E133,"")</f>
        <v/>
      </c>
      <c r="F133" t="str">
        <f>IF($A133&lt;&gt;"",'All Cases - Enter Cases'!F133,"")</f>
        <v/>
      </c>
      <c r="G133" t="str">
        <f>IF($A133&lt;&gt;"",'All Cases - Enter Cases'!G133,"")</f>
        <v/>
      </c>
      <c r="H133" t="str">
        <f>IF($A133&lt;&gt;"",'All Cases - Enter Cases'!H133,"")</f>
        <v/>
      </c>
      <c r="I133" t="str">
        <f>IF($A133&lt;&gt;"",'All Cases - Enter Cases'!I133,"")</f>
        <v/>
      </c>
      <c r="J133" t="str">
        <f>IF($A133&lt;&gt;"",'All Cases - Enter Cases'!J133,"")</f>
        <v/>
      </c>
      <c r="K133" t="str">
        <f>IF($A133&lt;&gt;"",'All Cases - Enter Cases'!K133,"")</f>
        <v/>
      </c>
      <c r="L133" t="str">
        <f>IF($A133&lt;&gt;"",'All Cases - Enter Cases'!L133,"")</f>
        <v/>
      </c>
      <c r="M133" t="str">
        <f>IF($A133&lt;&gt;"",'All Cases - Enter Cases'!M133,"")</f>
        <v/>
      </c>
    </row>
    <row r="134" spans="1:13" x14ac:dyDescent="0.35">
      <c r="A134" t="str">
        <f>IF('All Cases - Enter Cases'!$F134="KPK",'All Cases - Enter Cases'!A134,"")</f>
        <v/>
      </c>
      <c r="B134" t="str">
        <f>IF($A134&lt;&gt;"",'All Cases - Enter Cases'!B134,"")</f>
        <v/>
      </c>
      <c r="C134" t="str">
        <f>IF($A134&lt;&gt;"",'All Cases - Enter Cases'!C134,"")</f>
        <v/>
      </c>
      <c r="D134" t="str">
        <f>IF($A134&lt;&gt;"",'All Cases - Enter Cases'!D134,"")</f>
        <v/>
      </c>
      <c r="E134" t="str">
        <f>IF($A134&lt;&gt;"",'All Cases - Enter Cases'!E134,"")</f>
        <v/>
      </c>
      <c r="F134" t="str">
        <f>IF($A134&lt;&gt;"",'All Cases - Enter Cases'!F134,"")</f>
        <v/>
      </c>
      <c r="G134" t="str">
        <f>IF($A134&lt;&gt;"",'All Cases - Enter Cases'!G134,"")</f>
        <v/>
      </c>
      <c r="H134" t="str">
        <f>IF($A134&lt;&gt;"",'All Cases - Enter Cases'!H134,"")</f>
        <v/>
      </c>
      <c r="I134" t="str">
        <f>IF($A134&lt;&gt;"",'All Cases - Enter Cases'!I134,"")</f>
        <v/>
      </c>
      <c r="J134" t="str">
        <f>IF($A134&lt;&gt;"",'All Cases - Enter Cases'!J134,"")</f>
        <v/>
      </c>
      <c r="K134" t="str">
        <f>IF($A134&lt;&gt;"",'All Cases - Enter Cases'!K134,"")</f>
        <v/>
      </c>
      <c r="L134" t="str">
        <f>IF($A134&lt;&gt;"",'All Cases - Enter Cases'!L134,"")</f>
        <v/>
      </c>
      <c r="M134" t="str">
        <f>IF($A134&lt;&gt;"",'All Cases - Enter Cases'!M134,"")</f>
        <v/>
      </c>
    </row>
    <row r="135" spans="1:13" x14ac:dyDescent="0.35">
      <c r="A135" t="str">
        <f>IF('All Cases - Enter Cases'!$F135="KPK",'All Cases - Enter Cases'!A135,"")</f>
        <v/>
      </c>
      <c r="B135" t="str">
        <f>IF($A135&lt;&gt;"",'All Cases - Enter Cases'!B135,"")</f>
        <v/>
      </c>
      <c r="C135" t="str">
        <f>IF($A135&lt;&gt;"",'All Cases - Enter Cases'!C135,"")</f>
        <v/>
      </c>
      <c r="D135" t="str">
        <f>IF($A135&lt;&gt;"",'All Cases - Enter Cases'!D135,"")</f>
        <v/>
      </c>
      <c r="E135" t="str">
        <f>IF($A135&lt;&gt;"",'All Cases - Enter Cases'!E135,"")</f>
        <v/>
      </c>
      <c r="F135" t="str">
        <f>IF($A135&lt;&gt;"",'All Cases - Enter Cases'!F135,"")</f>
        <v/>
      </c>
      <c r="G135" t="str">
        <f>IF($A135&lt;&gt;"",'All Cases - Enter Cases'!G135,"")</f>
        <v/>
      </c>
      <c r="H135" t="str">
        <f>IF($A135&lt;&gt;"",'All Cases - Enter Cases'!H135,"")</f>
        <v/>
      </c>
      <c r="I135" t="str">
        <f>IF($A135&lt;&gt;"",'All Cases - Enter Cases'!I135,"")</f>
        <v/>
      </c>
      <c r="J135" t="str">
        <f>IF($A135&lt;&gt;"",'All Cases - Enter Cases'!J135,"")</f>
        <v/>
      </c>
      <c r="K135" t="str">
        <f>IF($A135&lt;&gt;"",'All Cases - Enter Cases'!K135,"")</f>
        <v/>
      </c>
      <c r="L135" t="str">
        <f>IF($A135&lt;&gt;"",'All Cases - Enter Cases'!L135,"")</f>
        <v/>
      </c>
      <c r="M135" t="str">
        <f>IF($A135&lt;&gt;"",'All Cases - Enter Cases'!M135,"")</f>
        <v/>
      </c>
    </row>
    <row r="136" spans="1:13" x14ac:dyDescent="0.35">
      <c r="A136" t="str">
        <f>IF('All Cases - Enter Cases'!$F136="KPK",'All Cases - Enter Cases'!A136,"")</f>
        <v/>
      </c>
      <c r="B136" t="str">
        <f>IF($A136&lt;&gt;"",'All Cases - Enter Cases'!B136,"")</f>
        <v/>
      </c>
      <c r="C136" t="str">
        <f>IF($A136&lt;&gt;"",'All Cases - Enter Cases'!C136,"")</f>
        <v/>
      </c>
      <c r="D136" t="str">
        <f>IF($A136&lt;&gt;"",'All Cases - Enter Cases'!D136,"")</f>
        <v/>
      </c>
      <c r="E136" t="str">
        <f>IF($A136&lt;&gt;"",'All Cases - Enter Cases'!E136,"")</f>
        <v/>
      </c>
      <c r="F136" t="str">
        <f>IF($A136&lt;&gt;"",'All Cases - Enter Cases'!F136,"")</f>
        <v/>
      </c>
      <c r="G136" t="str">
        <f>IF($A136&lt;&gt;"",'All Cases - Enter Cases'!G136,"")</f>
        <v/>
      </c>
      <c r="H136" t="str">
        <f>IF($A136&lt;&gt;"",'All Cases - Enter Cases'!H136,"")</f>
        <v/>
      </c>
      <c r="I136" t="str">
        <f>IF($A136&lt;&gt;"",'All Cases - Enter Cases'!I136,"")</f>
        <v/>
      </c>
      <c r="J136" t="str">
        <f>IF($A136&lt;&gt;"",'All Cases - Enter Cases'!J136,"")</f>
        <v/>
      </c>
      <c r="K136" t="str">
        <f>IF($A136&lt;&gt;"",'All Cases - Enter Cases'!K136,"")</f>
        <v/>
      </c>
      <c r="L136" t="str">
        <f>IF($A136&lt;&gt;"",'All Cases - Enter Cases'!L136,"")</f>
        <v/>
      </c>
      <c r="M136" t="str">
        <f>IF($A136&lt;&gt;"",'All Cases - Enter Cases'!M136,"")</f>
        <v/>
      </c>
    </row>
    <row r="137" spans="1:13" x14ac:dyDescent="0.35">
      <c r="A137" t="str">
        <f>IF('All Cases - Enter Cases'!$F137="KPK",'All Cases - Enter Cases'!A137,"")</f>
        <v/>
      </c>
      <c r="B137" t="str">
        <f>IF($A137&lt;&gt;"",'All Cases - Enter Cases'!B137,"")</f>
        <v/>
      </c>
      <c r="C137" t="str">
        <f>IF($A137&lt;&gt;"",'All Cases - Enter Cases'!C137,"")</f>
        <v/>
      </c>
      <c r="D137" t="str">
        <f>IF($A137&lt;&gt;"",'All Cases - Enter Cases'!D137,"")</f>
        <v/>
      </c>
      <c r="E137" t="str">
        <f>IF($A137&lt;&gt;"",'All Cases - Enter Cases'!E137,"")</f>
        <v/>
      </c>
      <c r="F137" t="str">
        <f>IF($A137&lt;&gt;"",'All Cases - Enter Cases'!F137,"")</f>
        <v/>
      </c>
      <c r="G137" t="str">
        <f>IF($A137&lt;&gt;"",'All Cases - Enter Cases'!G137,"")</f>
        <v/>
      </c>
      <c r="H137" t="str">
        <f>IF($A137&lt;&gt;"",'All Cases - Enter Cases'!H137,"")</f>
        <v/>
      </c>
      <c r="I137" t="str">
        <f>IF($A137&lt;&gt;"",'All Cases - Enter Cases'!I137,"")</f>
        <v/>
      </c>
      <c r="J137" t="str">
        <f>IF($A137&lt;&gt;"",'All Cases - Enter Cases'!J137,"")</f>
        <v/>
      </c>
      <c r="K137" t="str">
        <f>IF($A137&lt;&gt;"",'All Cases - Enter Cases'!K137,"")</f>
        <v/>
      </c>
      <c r="L137" t="str">
        <f>IF($A137&lt;&gt;"",'All Cases - Enter Cases'!L137,"")</f>
        <v/>
      </c>
      <c r="M137" t="str">
        <f>IF($A137&lt;&gt;"",'All Cases - Enter Cases'!M137,"")</f>
        <v/>
      </c>
    </row>
    <row r="138" spans="1:13" x14ac:dyDescent="0.35">
      <c r="A138" t="str">
        <f>IF('All Cases - Enter Cases'!$F138="KPK",'All Cases - Enter Cases'!A138,"")</f>
        <v/>
      </c>
      <c r="B138" t="str">
        <f>IF($A138&lt;&gt;"",'All Cases - Enter Cases'!B138,"")</f>
        <v/>
      </c>
      <c r="C138" t="str">
        <f>IF($A138&lt;&gt;"",'All Cases - Enter Cases'!C138,"")</f>
        <v/>
      </c>
      <c r="D138" t="str">
        <f>IF($A138&lt;&gt;"",'All Cases - Enter Cases'!D138,"")</f>
        <v/>
      </c>
      <c r="E138" t="str">
        <f>IF($A138&lt;&gt;"",'All Cases - Enter Cases'!E138,"")</f>
        <v/>
      </c>
      <c r="F138" t="str">
        <f>IF($A138&lt;&gt;"",'All Cases - Enter Cases'!F138,"")</f>
        <v/>
      </c>
      <c r="G138" t="str">
        <f>IF($A138&lt;&gt;"",'All Cases - Enter Cases'!G138,"")</f>
        <v/>
      </c>
      <c r="H138" t="str">
        <f>IF($A138&lt;&gt;"",'All Cases - Enter Cases'!H138,"")</f>
        <v/>
      </c>
      <c r="I138" t="str">
        <f>IF($A138&lt;&gt;"",'All Cases - Enter Cases'!I138,"")</f>
        <v/>
      </c>
      <c r="J138" t="str">
        <f>IF($A138&lt;&gt;"",'All Cases - Enter Cases'!J138,"")</f>
        <v/>
      </c>
      <c r="K138" t="str">
        <f>IF($A138&lt;&gt;"",'All Cases - Enter Cases'!K138,"")</f>
        <v/>
      </c>
      <c r="L138" t="str">
        <f>IF($A138&lt;&gt;"",'All Cases - Enter Cases'!L138,"")</f>
        <v/>
      </c>
      <c r="M138" t="str">
        <f>IF($A138&lt;&gt;"",'All Cases - Enter Cases'!M138,"")</f>
        <v/>
      </c>
    </row>
    <row r="139" spans="1:13" x14ac:dyDescent="0.35">
      <c r="A139" t="str">
        <f>IF('All Cases - Enter Cases'!$F139="KPK",'All Cases - Enter Cases'!A139,"")</f>
        <v/>
      </c>
      <c r="B139" t="str">
        <f>IF($A139&lt;&gt;"",'All Cases - Enter Cases'!B139,"")</f>
        <v/>
      </c>
      <c r="C139" t="str">
        <f>IF($A139&lt;&gt;"",'All Cases - Enter Cases'!C139,"")</f>
        <v/>
      </c>
      <c r="D139" t="str">
        <f>IF($A139&lt;&gt;"",'All Cases - Enter Cases'!D139,"")</f>
        <v/>
      </c>
      <c r="E139" t="str">
        <f>IF($A139&lt;&gt;"",'All Cases - Enter Cases'!E139,"")</f>
        <v/>
      </c>
      <c r="F139" t="str">
        <f>IF($A139&lt;&gt;"",'All Cases - Enter Cases'!F139,"")</f>
        <v/>
      </c>
      <c r="G139" t="str">
        <f>IF($A139&lt;&gt;"",'All Cases - Enter Cases'!G139,"")</f>
        <v/>
      </c>
      <c r="H139" t="str">
        <f>IF($A139&lt;&gt;"",'All Cases - Enter Cases'!H139,"")</f>
        <v/>
      </c>
      <c r="I139" t="str">
        <f>IF($A139&lt;&gt;"",'All Cases - Enter Cases'!I139,"")</f>
        <v/>
      </c>
      <c r="J139" t="str">
        <f>IF($A139&lt;&gt;"",'All Cases - Enter Cases'!J139,"")</f>
        <v/>
      </c>
      <c r="K139" t="str">
        <f>IF($A139&lt;&gt;"",'All Cases - Enter Cases'!K139,"")</f>
        <v/>
      </c>
      <c r="L139" t="str">
        <f>IF($A139&lt;&gt;"",'All Cases - Enter Cases'!L139,"")</f>
        <v/>
      </c>
      <c r="M139" t="str">
        <f>IF($A139&lt;&gt;"",'All Cases - Enter Cases'!M139,"")</f>
        <v/>
      </c>
    </row>
    <row r="140" spans="1:13" x14ac:dyDescent="0.35">
      <c r="A140" t="str">
        <f>IF('All Cases - Enter Cases'!$F140="KPK",'All Cases - Enter Cases'!A140,"")</f>
        <v/>
      </c>
      <c r="B140" t="str">
        <f>IF($A140&lt;&gt;"",'All Cases - Enter Cases'!B140,"")</f>
        <v/>
      </c>
      <c r="C140" t="str">
        <f>IF($A140&lt;&gt;"",'All Cases - Enter Cases'!C140,"")</f>
        <v/>
      </c>
      <c r="D140" t="str">
        <f>IF($A140&lt;&gt;"",'All Cases - Enter Cases'!D140,"")</f>
        <v/>
      </c>
      <c r="E140" t="str">
        <f>IF($A140&lt;&gt;"",'All Cases - Enter Cases'!E140,"")</f>
        <v/>
      </c>
      <c r="F140" t="str">
        <f>IF($A140&lt;&gt;"",'All Cases - Enter Cases'!F140,"")</f>
        <v/>
      </c>
      <c r="G140" t="str">
        <f>IF($A140&lt;&gt;"",'All Cases - Enter Cases'!G140,"")</f>
        <v/>
      </c>
      <c r="H140" t="str">
        <f>IF($A140&lt;&gt;"",'All Cases - Enter Cases'!H140,"")</f>
        <v/>
      </c>
      <c r="I140" t="str">
        <f>IF($A140&lt;&gt;"",'All Cases - Enter Cases'!I140,"")</f>
        <v/>
      </c>
      <c r="J140" t="str">
        <f>IF($A140&lt;&gt;"",'All Cases - Enter Cases'!J140,"")</f>
        <v/>
      </c>
      <c r="K140" t="str">
        <f>IF($A140&lt;&gt;"",'All Cases - Enter Cases'!K140,"")</f>
        <v/>
      </c>
      <c r="L140" t="str">
        <f>IF($A140&lt;&gt;"",'All Cases - Enter Cases'!L140,"")</f>
        <v/>
      </c>
      <c r="M140" t="str">
        <f>IF($A140&lt;&gt;"",'All Cases - Enter Cases'!M140,"")</f>
        <v/>
      </c>
    </row>
    <row r="141" spans="1:13" x14ac:dyDescent="0.35">
      <c r="A141" t="str">
        <f>IF('All Cases - Enter Cases'!$F141="KPK",'All Cases - Enter Cases'!A141,"")</f>
        <v/>
      </c>
      <c r="B141" t="str">
        <f>IF($A141&lt;&gt;"",'All Cases - Enter Cases'!B141,"")</f>
        <v/>
      </c>
      <c r="C141" t="str">
        <f>IF($A141&lt;&gt;"",'All Cases - Enter Cases'!C141,"")</f>
        <v/>
      </c>
      <c r="D141" t="str">
        <f>IF($A141&lt;&gt;"",'All Cases - Enter Cases'!D141,"")</f>
        <v/>
      </c>
      <c r="E141" t="str">
        <f>IF($A141&lt;&gt;"",'All Cases - Enter Cases'!E141,"")</f>
        <v/>
      </c>
      <c r="F141" t="str">
        <f>IF($A141&lt;&gt;"",'All Cases - Enter Cases'!F141,"")</f>
        <v/>
      </c>
      <c r="G141" t="str">
        <f>IF($A141&lt;&gt;"",'All Cases - Enter Cases'!G141,"")</f>
        <v/>
      </c>
      <c r="H141" t="str">
        <f>IF($A141&lt;&gt;"",'All Cases - Enter Cases'!H141,"")</f>
        <v/>
      </c>
      <c r="I141" t="str">
        <f>IF($A141&lt;&gt;"",'All Cases - Enter Cases'!I141,"")</f>
        <v/>
      </c>
      <c r="J141" t="str">
        <f>IF($A141&lt;&gt;"",'All Cases - Enter Cases'!J141,"")</f>
        <v/>
      </c>
      <c r="K141" t="str">
        <f>IF($A141&lt;&gt;"",'All Cases - Enter Cases'!K141,"")</f>
        <v/>
      </c>
      <c r="L141" t="str">
        <f>IF($A141&lt;&gt;"",'All Cases - Enter Cases'!L141,"")</f>
        <v/>
      </c>
      <c r="M141" t="str">
        <f>IF($A141&lt;&gt;"",'All Cases - Enter Cases'!M141,"")</f>
        <v/>
      </c>
    </row>
    <row r="142" spans="1:13" x14ac:dyDescent="0.35">
      <c r="A142" t="str">
        <f>IF('All Cases - Enter Cases'!$F142="KPK",'All Cases - Enter Cases'!A142,"")</f>
        <v/>
      </c>
      <c r="B142" t="str">
        <f>IF($A142&lt;&gt;"",'All Cases - Enter Cases'!B142,"")</f>
        <v/>
      </c>
      <c r="C142" t="str">
        <f>IF($A142&lt;&gt;"",'All Cases - Enter Cases'!C142,"")</f>
        <v/>
      </c>
      <c r="D142" t="str">
        <f>IF($A142&lt;&gt;"",'All Cases - Enter Cases'!D142,"")</f>
        <v/>
      </c>
      <c r="E142" t="str">
        <f>IF($A142&lt;&gt;"",'All Cases - Enter Cases'!E142,"")</f>
        <v/>
      </c>
      <c r="F142" t="str">
        <f>IF($A142&lt;&gt;"",'All Cases - Enter Cases'!F142,"")</f>
        <v/>
      </c>
      <c r="G142" t="str">
        <f>IF($A142&lt;&gt;"",'All Cases - Enter Cases'!G142,"")</f>
        <v/>
      </c>
      <c r="H142" t="str">
        <f>IF($A142&lt;&gt;"",'All Cases - Enter Cases'!H142,"")</f>
        <v/>
      </c>
      <c r="I142" t="str">
        <f>IF($A142&lt;&gt;"",'All Cases - Enter Cases'!I142,"")</f>
        <v/>
      </c>
      <c r="J142" t="str">
        <f>IF($A142&lt;&gt;"",'All Cases - Enter Cases'!J142,"")</f>
        <v/>
      </c>
      <c r="K142" t="str">
        <f>IF($A142&lt;&gt;"",'All Cases - Enter Cases'!K142,"")</f>
        <v/>
      </c>
      <c r="L142" t="str">
        <f>IF($A142&lt;&gt;"",'All Cases - Enter Cases'!L142,"")</f>
        <v/>
      </c>
      <c r="M142" t="str">
        <f>IF($A142&lt;&gt;"",'All Cases - Enter Cases'!M142,"")</f>
        <v/>
      </c>
    </row>
    <row r="143" spans="1:13" x14ac:dyDescent="0.35">
      <c r="A143" t="str">
        <f>IF('All Cases - Enter Cases'!$F143="KPK",'All Cases - Enter Cases'!A143,"")</f>
        <v/>
      </c>
      <c r="B143" t="str">
        <f>IF($A143&lt;&gt;"",'All Cases - Enter Cases'!B143,"")</f>
        <v/>
      </c>
      <c r="C143" t="str">
        <f>IF($A143&lt;&gt;"",'All Cases - Enter Cases'!C143,"")</f>
        <v/>
      </c>
      <c r="D143" t="str">
        <f>IF($A143&lt;&gt;"",'All Cases - Enter Cases'!D143,"")</f>
        <v/>
      </c>
      <c r="E143" t="str">
        <f>IF($A143&lt;&gt;"",'All Cases - Enter Cases'!E143,"")</f>
        <v/>
      </c>
      <c r="F143" t="str">
        <f>IF($A143&lt;&gt;"",'All Cases - Enter Cases'!F143,"")</f>
        <v/>
      </c>
      <c r="G143" t="str">
        <f>IF($A143&lt;&gt;"",'All Cases - Enter Cases'!G143,"")</f>
        <v/>
      </c>
      <c r="H143" t="str">
        <f>IF($A143&lt;&gt;"",'All Cases - Enter Cases'!H143,"")</f>
        <v/>
      </c>
      <c r="I143" t="str">
        <f>IF($A143&lt;&gt;"",'All Cases - Enter Cases'!I143,"")</f>
        <v/>
      </c>
      <c r="J143" t="str">
        <f>IF($A143&lt;&gt;"",'All Cases - Enter Cases'!J143,"")</f>
        <v/>
      </c>
      <c r="K143" t="str">
        <f>IF($A143&lt;&gt;"",'All Cases - Enter Cases'!K143,"")</f>
        <v/>
      </c>
      <c r="L143" t="str">
        <f>IF($A143&lt;&gt;"",'All Cases - Enter Cases'!L143,"")</f>
        <v/>
      </c>
      <c r="M143" t="str">
        <f>IF($A143&lt;&gt;"",'All Cases - Enter Cases'!M143,"")</f>
        <v/>
      </c>
    </row>
    <row r="144" spans="1:13" x14ac:dyDescent="0.35">
      <c r="A144" t="str">
        <f>IF('All Cases - Enter Cases'!$F144="KPK",'All Cases - Enter Cases'!A144,"")</f>
        <v/>
      </c>
      <c r="B144" t="str">
        <f>IF($A144&lt;&gt;"",'All Cases - Enter Cases'!B144,"")</f>
        <v/>
      </c>
      <c r="C144" t="str">
        <f>IF($A144&lt;&gt;"",'All Cases - Enter Cases'!C144,"")</f>
        <v/>
      </c>
      <c r="D144" t="str">
        <f>IF($A144&lt;&gt;"",'All Cases - Enter Cases'!D144,"")</f>
        <v/>
      </c>
      <c r="E144" t="str">
        <f>IF($A144&lt;&gt;"",'All Cases - Enter Cases'!E144,"")</f>
        <v/>
      </c>
      <c r="F144" t="str">
        <f>IF($A144&lt;&gt;"",'All Cases - Enter Cases'!F144,"")</f>
        <v/>
      </c>
      <c r="G144" t="str">
        <f>IF($A144&lt;&gt;"",'All Cases - Enter Cases'!G144,"")</f>
        <v/>
      </c>
      <c r="H144" t="str">
        <f>IF($A144&lt;&gt;"",'All Cases - Enter Cases'!H144,"")</f>
        <v/>
      </c>
      <c r="I144" t="str">
        <f>IF($A144&lt;&gt;"",'All Cases - Enter Cases'!I144,"")</f>
        <v/>
      </c>
      <c r="J144" t="str">
        <f>IF($A144&lt;&gt;"",'All Cases - Enter Cases'!J144,"")</f>
        <v/>
      </c>
      <c r="K144" t="str">
        <f>IF($A144&lt;&gt;"",'All Cases - Enter Cases'!K144,"")</f>
        <v/>
      </c>
      <c r="L144" t="str">
        <f>IF($A144&lt;&gt;"",'All Cases - Enter Cases'!L144,"")</f>
        <v/>
      </c>
      <c r="M144" t="str">
        <f>IF($A144&lt;&gt;"",'All Cases - Enter Cases'!M144,"")</f>
        <v/>
      </c>
    </row>
    <row r="145" spans="1:13" x14ac:dyDescent="0.35">
      <c r="A145" t="str">
        <f>IF('All Cases - Enter Cases'!$F145="KPK",'All Cases - Enter Cases'!A145,"")</f>
        <v/>
      </c>
      <c r="B145" t="str">
        <f>IF($A145&lt;&gt;"",'All Cases - Enter Cases'!B145,"")</f>
        <v/>
      </c>
      <c r="C145" t="str">
        <f>IF($A145&lt;&gt;"",'All Cases - Enter Cases'!C145,"")</f>
        <v/>
      </c>
      <c r="D145" t="str">
        <f>IF($A145&lt;&gt;"",'All Cases - Enter Cases'!D145,"")</f>
        <v/>
      </c>
      <c r="E145" t="str">
        <f>IF($A145&lt;&gt;"",'All Cases - Enter Cases'!E145,"")</f>
        <v/>
      </c>
      <c r="F145" t="str">
        <f>IF($A145&lt;&gt;"",'All Cases - Enter Cases'!F145,"")</f>
        <v/>
      </c>
      <c r="G145" t="str">
        <f>IF($A145&lt;&gt;"",'All Cases - Enter Cases'!G145,"")</f>
        <v/>
      </c>
      <c r="H145" t="str">
        <f>IF($A145&lt;&gt;"",'All Cases - Enter Cases'!H145,"")</f>
        <v/>
      </c>
      <c r="I145" t="str">
        <f>IF($A145&lt;&gt;"",'All Cases - Enter Cases'!I145,"")</f>
        <v/>
      </c>
      <c r="J145" t="str">
        <f>IF($A145&lt;&gt;"",'All Cases - Enter Cases'!J145,"")</f>
        <v/>
      </c>
      <c r="K145" t="str">
        <f>IF($A145&lt;&gt;"",'All Cases - Enter Cases'!K145,"")</f>
        <v/>
      </c>
      <c r="L145" t="str">
        <f>IF($A145&lt;&gt;"",'All Cases - Enter Cases'!L145,"")</f>
        <v/>
      </c>
      <c r="M145" t="str">
        <f>IF($A145&lt;&gt;"",'All Cases - Enter Cases'!M145,"")</f>
        <v/>
      </c>
    </row>
    <row r="146" spans="1:13" x14ac:dyDescent="0.35">
      <c r="A146" t="str">
        <f>IF('All Cases - Enter Cases'!$F146="KPK",'All Cases - Enter Cases'!A146,"")</f>
        <v/>
      </c>
      <c r="B146" t="str">
        <f>IF($A146&lt;&gt;"",'All Cases - Enter Cases'!B146,"")</f>
        <v/>
      </c>
      <c r="C146" t="str">
        <f>IF($A146&lt;&gt;"",'All Cases - Enter Cases'!C146,"")</f>
        <v/>
      </c>
      <c r="D146" t="str">
        <f>IF($A146&lt;&gt;"",'All Cases - Enter Cases'!D146,"")</f>
        <v/>
      </c>
      <c r="E146" t="str">
        <f>IF($A146&lt;&gt;"",'All Cases - Enter Cases'!E146,"")</f>
        <v/>
      </c>
      <c r="F146" t="str">
        <f>IF($A146&lt;&gt;"",'All Cases - Enter Cases'!F146,"")</f>
        <v/>
      </c>
      <c r="G146" t="str">
        <f>IF($A146&lt;&gt;"",'All Cases - Enter Cases'!G146,"")</f>
        <v/>
      </c>
      <c r="H146" t="str">
        <f>IF($A146&lt;&gt;"",'All Cases - Enter Cases'!H146,"")</f>
        <v/>
      </c>
      <c r="I146" t="str">
        <f>IF($A146&lt;&gt;"",'All Cases - Enter Cases'!I146,"")</f>
        <v/>
      </c>
      <c r="J146" t="str">
        <f>IF($A146&lt;&gt;"",'All Cases - Enter Cases'!J146,"")</f>
        <v/>
      </c>
      <c r="K146" t="str">
        <f>IF($A146&lt;&gt;"",'All Cases - Enter Cases'!K146,"")</f>
        <v/>
      </c>
      <c r="L146" t="str">
        <f>IF($A146&lt;&gt;"",'All Cases - Enter Cases'!L146,"")</f>
        <v/>
      </c>
      <c r="M146" t="str">
        <f>IF($A146&lt;&gt;"",'All Cases - Enter Cases'!M146,"")</f>
        <v/>
      </c>
    </row>
    <row r="147" spans="1:13" x14ac:dyDescent="0.35">
      <c r="A147" t="str">
        <f>IF('All Cases - Enter Cases'!$F147="KPK",'All Cases - Enter Cases'!A147,"")</f>
        <v/>
      </c>
      <c r="B147" t="str">
        <f>IF($A147&lt;&gt;"",'All Cases - Enter Cases'!B147,"")</f>
        <v/>
      </c>
      <c r="C147" t="str">
        <f>IF($A147&lt;&gt;"",'All Cases - Enter Cases'!C147,"")</f>
        <v/>
      </c>
      <c r="D147" t="str">
        <f>IF($A147&lt;&gt;"",'All Cases - Enter Cases'!D147,"")</f>
        <v/>
      </c>
      <c r="E147" t="str">
        <f>IF($A147&lt;&gt;"",'All Cases - Enter Cases'!E147,"")</f>
        <v/>
      </c>
      <c r="F147" t="str">
        <f>IF($A147&lt;&gt;"",'All Cases - Enter Cases'!F147,"")</f>
        <v/>
      </c>
      <c r="G147" t="str">
        <f>IF($A147&lt;&gt;"",'All Cases - Enter Cases'!G147,"")</f>
        <v/>
      </c>
      <c r="H147" t="str">
        <f>IF($A147&lt;&gt;"",'All Cases - Enter Cases'!H147,"")</f>
        <v/>
      </c>
      <c r="I147" t="str">
        <f>IF($A147&lt;&gt;"",'All Cases - Enter Cases'!I147,"")</f>
        <v/>
      </c>
      <c r="J147" t="str">
        <f>IF($A147&lt;&gt;"",'All Cases - Enter Cases'!J147,"")</f>
        <v/>
      </c>
      <c r="K147" t="str">
        <f>IF($A147&lt;&gt;"",'All Cases - Enter Cases'!K147,"")</f>
        <v/>
      </c>
      <c r="L147" t="str">
        <f>IF($A147&lt;&gt;"",'All Cases - Enter Cases'!L147,"")</f>
        <v/>
      </c>
      <c r="M147" t="str">
        <f>IF($A147&lt;&gt;"",'All Cases - Enter Cases'!M147,"")</f>
        <v/>
      </c>
    </row>
    <row r="148" spans="1:13" x14ac:dyDescent="0.35">
      <c r="A148" t="str">
        <f>IF('All Cases - Enter Cases'!$F148="KPK",'All Cases - Enter Cases'!A148,"")</f>
        <v/>
      </c>
      <c r="B148" t="str">
        <f>IF($A148&lt;&gt;"",'All Cases - Enter Cases'!B148,"")</f>
        <v/>
      </c>
      <c r="C148" t="str">
        <f>IF($A148&lt;&gt;"",'All Cases - Enter Cases'!C148,"")</f>
        <v/>
      </c>
      <c r="D148" t="str">
        <f>IF($A148&lt;&gt;"",'All Cases - Enter Cases'!D148,"")</f>
        <v/>
      </c>
      <c r="E148" t="str">
        <f>IF($A148&lt;&gt;"",'All Cases - Enter Cases'!E148,"")</f>
        <v/>
      </c>
      <c r="F148" t="str">
        <f>IF($A148&lt;&gt;"",'All Cases - Enter Cases'!F148,"")</f>
        <v/>
      </c>
      <c r="G148" t="str">
        <f>IF($A148&lt;&gt;"",'All Cases - Enter Cases'!G148,"")</f>
        <v/>
      </c>
      <c r="H148" t="str">
        <f>IF($A148&lt;&gt;"",'All Cases - Enter Cases'!H148,"")</f>
        <v/>
      </c>
      <c r="I148" t="str">
        <f>IF($A148&lt;&gt;"",'All Cases - Enter Cases'!I148,"")</f>
        <v/>
      </c>
      <c r="J148" t="str">
        <f>IF($A148&lt;&gt;"",'All Cases - Enter Cases'!J148,"")</f>
        <v/>
      </c>
      <c r="K148" t="str">
        <f>IF($A148&lt;&gt;"",'All Cases - Enter Cases'!K148,"")</f>
        <v/>
      </c>
      <c r="L148" t="str">
        <f>IF($A148&lt;&gt;"",'All Cases - Enter Cases'!L148,"")</f>
        <v/>
      </c>
      <c r="M148" t="str">
        <f>IF($A148&lt;&gt;"",'All Cases - Enter Cases'!M148,"")</f>
        <v/>
      </c>
    </row>
    <row r="149" spans="1:13" x14ac:dyDescent="0.35">
      <c r="A149" t="str">
        <f>IF('All Cases - Enter Cases'!$F149="KPK",'All Cases - Enter Cases'!A149,"")</f>
        <v/>
      </c>
      <c r="B149" t="str">
        <f>IF($A149&lt;&gt;"",'All Cases - Enter Cases'!B149,"")</f>
        <v/>
      </c>
      <c r="C149" t="str">
        <f>IF($A149&lt;&gt;"",'All Cases - Enter Cases'!C149,"")</f>
        <v/>
      </c>
      <c r="D149" t="str">
        <f>IF($A149&lt;&gt;"",'All Cases - Enter Cases'!D149,"")</f>
        <v/>
      </c>
      <c r="E149" t="str">
        <f>IF($A149&lt;&gt;"",'All Cases - Enter Cases'!E149,"")</f>
        <v/>
      </c>
      <c r="F149" t="str">
        <f>IF($A149&lt;&gt;"",'All Cases - Enter Cases'!F149,"")</f>
        <v/>
      </c>
      <c r="G149" t="str">
        <f>IF($A149&lt;&gt;"",'All Cases - Enter Cases'!G149,"")</f>
        <v/>
      </c>
      <c r="H149" t="str">
        <f>IF($A149&lt;&gt;"",'All Cases - Enter Cases'!H149,"")</f>
        <v/>
      </c>
      <c r="I149" t="str">
        <f>IF($A149&lt;&gt;"",'All Cases - Enter Cases'!I149,"")</f>
        <v/>
      </c>
      <c r="J149" t="str">
        <f>IF($A149&lt;&gt;"",'All Cases - Enter Cases'!J149,"")</f>
        <v/>
      </c>
      <c r="K149" t="str">
        <f>IF($A149&lt;&gt;"",'All Cases - Enter Cases'!K149,"")</f>
        <v/>
      </c>
      <c r="L149" t="str">
        <f>IF($A149&lt;&gt;"",'All Cases - Enter Cases'!L149,"")</f>
        <v/>
      </c>
      <c r="M149" t="str">
        <f>IF($A149&lt;&gt;"",'All Cases - Enter Cases'!M149,"")</f>
        <v/>
      </c>
    </row>
    <row r="150" spans="1:13" x14ac:dyDescent="0.35">
      <c r="A150" t="str">
        <f>IF('All Cases - Enter Cases'!$F150="KPK",'All Cases - Enter Cases'!A150,"")</f>
        <v/>
      </c>
      <c r="B150" t="str">
        <f>IF($A150&lt;&gt;"",'All Cases - Enter Cases'!B150,"")</f>
        <v/>
      </c>
      <c r="C150" t="str">
        <f>IF($A150&lt;&gt;"",'All Cases - Enter Cases'!C150,"")</f>
        <v/>
      </c>
      <c r="D150" t="str">
        <f>IF($A150&lt;&gt;"",'All Cases - Enter Cases'!D150,"")</f>
        <v/>
      </c>
      <c r="E150" t="str">
        <f>IF($A150&lt;&gt;"",'All Cases - Enter Cases'!E150,"")</f>
        <v/>
      </c>
      <c r="F150" t="str">
        <f>IF($A150&lt;&gt;"",'All Cases - Enter Cases'!F150,"")</f>
        <v/>
      </c>
      <c r="G150" t="str">
        <f>IF($A150&lt;&gt;"",'All Cases - Enter Cases'!G150,"")</f>
        <v/>
      </c>
      <c r="H150" t="str">
        <f>IF($A150&lt;&gt;"",'All Cases - Enter Cases'!H150,"")</f>
        <v/>
      </c>
      <c r="I150" t="str">
        <f>IF($A150&lt;&gt;"",'All Cases - Enter Cases'!I150,"")</f>
        <v/>
      </c>
      <c r="J150" t="str">
        <f>IF($A150&lt;&gt;"",'All Cases - Enter Cases'!J150,"")</f>
        <v/>
      </c>
      <c r="K150" t="str">
        <f>IF($A150&lt;&gt;"",'All Cases - Enter Cases'!K150,"")</f>
        <v/>
      </c>
      <c r="L150" t="str">
        <f>IF($A150&lt;&gt;"",'All Cases - Enter Cases'!L150,"")</f>
        <v/>
      </c>
      <c r="M150" t="str">
        <f>IF($A150&lt;&gt;"",'All Cases - Enter Cases'!M150,"")</f>
        <v/>
      </c>
    </row>
    <row r="151" spans="1:13" x14ac:dyDescent="0.35">
      <c r="A151" t="str">
        <f>IF('All Cases - Enter Cases'!$F151="KPK",'All Cases - Enter Cases'!A151,"")</f>
        <v/>
      </c>
      <c r="B151" t="str">
        <f>IF($A151&lt;&gt;"",'All Cases - Enter Cases'!B151,"")</f>
        <v/>
      </c>
      <c r="C151" t="str">
        <f>IF($A151&lt;&gt;"",'All Cases - Enter Cases'!C151,"")</f>
        <v/>
      </c>
      <c r="D151" t="str">
        <f>IF($A151&lt;&gt;"",'All Cases - Enter Cases'!D151,"")</f>
        <v/>
      </c>
      <c r="E151" t="str">
        <f>IF($A151&lt;&gt;"",'All Cases - Enter Cases'!E151,"")</f>
        <v/>
      </c>
      <c r="F151" t="str">
        <f>IF($A151&lt;&gt;"",'All Cases - Enter Cases'!F151,"")</f>
        <v/>
      </c>
      <c r="G151" t="str">
        <f>IF($A151&lt;&gt;"",'All Cases - Enter Cases'!G151,"")</f>
        <v/>
      </c>
      <c r="H151" t="str">
        <f>IF($A151&lt;&gt;"",'All Cases - Enter Cases'!H151,"")</f>
        <v/>
      </c>
      <c r="I151" t="str">
        <f>IF($A151&lt;&gt;"",'All Cases - Enter Cases'!I151,"")</f>
        <v/>
      </c>
      <c r="J151" t="str">
        <f>IF($A151&lt;&gt;"",'All Cases - Enter Cases'!J151,"")</f>
        <v/>
      </c>
      <c r="K151" t="str">
        <f>IF($A151&lt;&gt;"",'All Cases - Enter Cases'!K151,"")</f>
        <v/>
      </c>
      <c r="L151" t="str">
        <f>IF($A151&lt;&gt;"",'All Cases - Enter Cases'!L151,"")</f>
        <v/>
      </c>
      <c r="M151" t="str">
        <f>IF($A151&lt;&gt;"",'All Cases - Enter Cases'!M151,"")</f>
        <v/>
      </c>
    </row>
    <row r="152" spans="1:13" x14ac:dyDescent="0.35">
      <c r="A152" t="str">
        <f>IF('All Cases - Enter Cases'!$F152="KPK",'All Cases - Enter Cases'!A152,"")</f>
        <v/>
      </c>
      <c r="B152" t="str">
        <f>IF($A152&lt;&gt;"",'All Cases - Enter Cases'!B152,"")</f>
        <v/>
      </c>
      <c r="C152" t="str">
        <f>IF($A152&lt;&gt;"",'All Cases - Enter Cases'!C152,"")</f>
        <v/>
      </c>
      <c r="D152" t="str">
        <f>IF($A152&lt;&gt;"",'All Cases - Enter Cases'!D152,"")</f>
        <v/>
      </c>
      <c r="E152" t="str">
        <f>IF($A152&lt;&gt;"",'All Cases - Enter Cases'!E152,"")</f>
        <v/>
      </c>
      <c r="F152" t="str">
        <f>IF($A152&lt;&gt;"",'All Cases - Enter Cases'!F152,"")</f>
        <v/>
      </c>
      <c r="G152" t="str">
        <f>IF($A152&lt;&gt;"",'All Cases - Enter Cases'!G152,"")</f>
        <v/>
      </c>
      <c r="H152" t="str">
        <f>IF($A152&lt;&gt;"",'All Cases - Enter Cases'!H152,"")</f>
        <v/>
      </c>
      <c r="I152" t="str">
        <f>IF($A152&lt;&gt;"",'All Cases - Enter Cases'!I152,"")</f>
        <v/>
      </c>
      <c r="J152" t="str">
        <f>IF($A152&lt;&gt;"",'All Cases - Enter Cases'!J152,"")</f>
        <v/>
      </c>
      <c r="K152" t="str">
        <f>IF($A152&lt;&gt;"",'All Cases - Enter Cases'!K152,"")</f>
        <v/>
      </c>
      <c r="L152" t="str">
        <f>IF($A152&lt;&gt;"",'All Cases - Enter Cases'!L152,"")</f>
        <v/>
      </c>
      <c r="M152" t="str">
        <f>IF($A152&lt;&gt;"",'All Cases - Enter Cases'!M152,"")</f>
        <v/>
      </c>
    </row>
    <row r="153" spans="1:13" x14ac:dyDescent="0.35">
      <c r="A153" t="str">
        <f>IF('All Cases - Enter Cases'!$F153="KPK",'All Cases - Enter Cases'!A153,"")</f>
        <v/>
      </c>
      <c r="B153" t="str">
        <f>IF($A153&lt;&gt;"",'All Cases - Enter Cases'!B153,"")</f>
        <v/>
      </c>
      <c r="C153" t="str">
        <f>IF($A153&lt;&gt;"",'All Cases - Enter Cases'!C153,"")</f>
        <v/>
      </c>
      <c r="D153" t="str">
        <f>IF($A153&lt;&gt;"",'All Cases - Enter Cases'!D153,"")</f>
        <v/>
      </c>
      <c r="E153" t="str">
        <f>IF($A153&lt;&gt;"",'All Cases - Enter Cases'!E153,"")</f>
        <v/>
      </c>
      <c r="F153" t="str">
        <f>IF($A153&lt;&gt;"",'All Cases - Enter Cases'!F153,"")</f>
        <v/>
      </c>
      <c r="G153" t="str">
        <f>IF($A153&lt;&gt;"",'All Cases - Enter Cases'!G153,"")</f>
        <v/>
      </c>
      <c r="H153" t="str">
        <f>IF($A153&lt;&gt;"",'All Cases - Enter Cases'!H153,"")</f>
        <v/>
      </c>
      <c r="I153" t="str">
        <f>IF($A153&lt;&gt;"",'All Cases - Enter Cases'!I153,"")</f>
        <v/>
      </c>
      <c r="J153" t="str">
        <f>IF($A153&lt;&gt;"",'All Cases - Enter Cases'!J153,"")</f>
        <v/>
      </c>
      <c r="K153" t="str">
        <f>IF($A153&lt;&gt;"",'All Cases - Enter Cases'!K153,"")</f>
        <v/>
      </c>
      <c r="L153" t="str">
        <f>IF($A153&lt;&gt;"",'All Cases - Enter Cases'!L153,"")</f>
        <v/>
      </c>
      <c r="M153" t="str">
        <f>IF($A153&lt;&gt;"",'All Cases - Enter Cases'!M153,"")</f>
        <v/>
      </c>
    </row>
    <row r="154" spans="1:13" x14ac:dyDescent="0.35">
      <c r="A154" t="str">
        <f>IF('All Cases - Enter Cases'!$F154="KPK",'All Cases - Enter Cases'!A154,"")</f>
        <v/>
      </c>
      <c r="B154" t="str">
        <f>IF($A154&lt;&gt;"",'All Cases - Enter Cases'!B154,"")</f>
        <v/>
      </c>
      <c r="C154" t="str">
        <f>IF($A154&lt;&gt;"",'All Cases - Enter Cases'!C154,"")</f>
        <v/>
      </c>
      <c r="D154" t="str">
        <f>IF($A154&lt;&gt;"",'All Cases - Enter Cases'!D154,"")</f>
        <v/>
      </c>
      <c r="E154" t="str">
        <f>IF($A154&lt;&gt;"",'All Cases - Enter Cases'!E154,"")</f>
        <v/>
      </c>
      <c r="F154" t="str">
        <f>IF($A154&lt;&gt;"",'All Cases - Enter Cases'!F154,"")</f>
        <v/>
      </c>
      <c r="G154" t="str">
        <f>IF($A154&lt;&gt;"",'All Cases - Enter Cases'!G154,"")</f>
        <v/>
      </c>
      <c r="H154" t="str">
        <f>IF($A154&lt;&gt;"",'All Cases - Enter Cases'!H154,"")</f>
        <v/>
      </c>
      <c r="I154" t="str">
        <f>IF($A154&lt;&gt;"",'All Cases - Enter Cases'!I154,"")</f>
        <v/>
      </c>
      <c r="J154" t="str">
        <f>IF($A154&lt;&gt;"",'All Cases - Enter Cases'!J154,"")</f>
        <v/>
      </c>
      <c r="K154" t="str">
        <f>IF($A154&lt;&gt;"",'All Cases - Enter Cases'!K154,"")</f>
        <v/>
      </c>
      <c r="L154" t="str">
        <f>IF($A154&lt;&gt;"",'All Cases - Enter Cases'!L154,"")</f>
        <v/>
      </c>
      <c r="M154" t="str">
        <f>IF($A154&lt;&gt;"",'All Cases - Enter Cases'!M154,"")</f>
        <v/>
      </c>
    </row>
    <row r="155" spans="1:13" x14ac:dyDescent="0.35">
      <c r="A155" t="str">
        <f>IF('All Cases - Enter Cases'!$F155="KPK",'All Cases - Enter Cases'!A155,"")</f>
        <v/>
      </c>
      <c r="B155" t="str">
        <f>IF($A155&lt;&gt;"",'All Cases - Enter Cases'!B155,"")</f>
        <v/>
      </c>
      <c r="C155" t="str">
        <f>IF($A155&lt;&gt;"",'All Cases - Enter Cases'!C155,"")</f>
        <v/>
      </c>
      <c r="D155" t="str">
        <f>IF($A155&lt;&gt;"",'All Cases - Enter Cases'!D155,"")</f>
        <v/>
      </c>
      <c r="E155" t="str">
        <f>IF($A155&lt;&gt;"",'All Cases - Enter Cases'!E155,"")</f>
        <v/>
      </c>
      <c r="F155" t="str">
        <f>IF($A155&lt;&gt;"",'All Cases - Enter Cases'!F155,"")</f>
        <v/>
      </c>
      <c r="G155" t="str">
        <f>IF($A155&lt;&gt;"",'All Cases - Enter Cases'!G155,"")</f>
        <v/>
      </c>
      <c r="H155" t="str">
        <f>IF($A155&lt;&gt;"",'All Cases - Enter Cases'!H155,"")</f>
        <v/>
      </c>
      <c r="I155" t="str">
        <f>IF($A155&lt;&gt;"",'All Cases - Enter Cases'!I155,"")</f>
        <v/>
      </c>
      <c r="J155" t="str">
        <f>IF($A155&lt;&gt;"",'All Cases - Enter Cases'!J155,"")</f>
        <v/>
      </c>
      <c r="K155" t="str">
        <f>IF($A155&lt;&gt;"",'All Cases - Enter Cases'!K155,"")</f>
        <v/>
      </c>
      <c r="L155" t="str">
        <f>IF($A155&lt;&gt;"",'All Cases - Enter Cases'!L155,"")</f>
        <v/>
      </c>
      <c r="M155" t="str">
        <f>IF($A155&lt;&gt;"",'All Cases - Enter Cases'!M155,"")</f>
        <v/>
      </c>
    </row>
    <row r="156" spans="1:13" x14ac:dyDescent="0.35">
      <c r="A156" t="str">
        <f>IF('All Cases - Enter Cases'!$F156="KPK",'All Cases - Enter Cases'!A156,"")</f>
        <v/>
      </c>
      <c r="B156" t="str">
        <f>IF($A156&lt;&gt;"",'All Cases - Enter Cases'!B156,"")</f>
        <v/>
      </c>
      <c r="C156" t="str">
        <f>IF($A156&lt;&gt;"",'All Cases - Enter Cases'!C156,"")</f>
        <v/>
      </c>
      <c r="D156" t="str">
        <f>IF($A156&lt;&gt;"",'All Cases - Enter Cases'!D156,"")</f>
        <v/>
      </c>
      <c r="E156" t="str">
        <f>IF($A156&lt;&gt;"",'All Cases - Enter Cases'!E156,"")</f>
        <v/>
      </c>
      <c r="F156" t="str">
        <f>IF($A156&lt;&gt;"",'All Cases - Enter Cases'!F156,"")</f>
        <v/>
      </c>
      <c r="G156" t="str">
        <f>IF($A156&lt;&gt;"",'All Cases - Enter Cases'!G156,"")</f>
        <v/>
      </c>
      <c r="H156" t="str">
        <f>IF($A156&lt;&gt;"",'All Cases - Enter Cases'!H156,"")</f>
        <v/>
      </c>
      <c r="I156" t="str">
        <f>IF($A156&lt;&gt;"",'All Cases - Enter Cases'!I156,"")</f>
        <v/>
      </c>
      <c r="J156" t="str">
        <f>IF($A156&lt;&gt;"",'All Cases - Enter Cases'!J156,"")</f>
        <v/>
      </c>
      <c r="K156" t="str">
        <f>IF($A156&lt;&gt;"",'All Cases - Enter Cases'!K156,"")</f>
        <v/>
      </c>
      <c r="L156" t="str">
        <f>IF($A156&lt;&gt;"",'All Cases - Enter Cases'!L156,"")</f>
        <v/>
      </c>
      <c r="M156" t="str">
        <f>IF($A156&lt;&gt;"",'All Cases - Enter Cases'!M156,"")</f>
        <v/>
      </c>
    </row>
    <row r="157" spans="1:13" x14ac:dyDescent="0.35">
      <c r="A157" t="str">
        <f>IF('All Cases - Enter Cases'!$F157="KPK",'All Cases - Enter Cases'!A157,"")</f>
        <v/>
      </c>
      <c r="B157" t="str">
        <f>IF($A157&lt;&gt;"",'All Cases - Enter Cases'!B157,"")</f>
        <v/>
      </c>
      <c r="C157" t="str">
        <f>IF($A157&lt;&gt;"",'All Cases - Enter Cases'!C157,"")</f>
        <v/>
      </c>
      <c r="D157" t="str">
        <f>IF($A157&lt;&gt;"",'All Cases - Enter Cases'!D157,"")</f>
        <v/>
      </c>
      <c r="E157" t="str">
        <f>IF($A157&lt;&gt;"",'All Cases - Enter Cases'!E157,"")</f>
        <v/>
      </c>
      <c r="F157" t="str">
        <f>IF($A157&lt;&gt;"",'All Cases - Enter Cases'!F157,"")</f>
        <v/>
      </c>
      <c r="G157" t="str">
        <f>IF($A157&lt;&gt;"",'All Cases - Enter Cases'!G157,"")</f>
        <v/>
      </c>
      <c r="H157" t="str">
        <f>IF($A157&lt;&gt;"",'All Cases - Enter Cases'!H157,"")</f>
        <v/>
      </c>
      <c r="I157" t="str">
        <f>IF($A157&lt;&gt;"",'All Cases - Enter Cases'!I157,"")</f>
        <v/>
      </c>
      <c r="J157" t="str">
        <f>IF($A157&lt;&gt;"",'All Cases - Enter Cases'!J157,"")</f>
        <v/>
      </c>
      <c r="K157" t="str">
        <f>IF($A157&lt;&gt;"",'All Cases - Enter Cases'!K157,"")</f>
        <v/>
      </c>
      <c r="L157" t="str">
        <f>IF($A157&lt;&gt;"",'All Cases - Enter Cases'!L157,"")</f>
        <v/>
      </c>
      <c r="M157" t="str">
        <f>IF($A157&lt;&gt;"",'All Cases - Enter Cases'!M157,"")</f>
        <v/>
      </c>
    </row>
    <row r="158" spans="1:13" x14ac:dyDescent="0.35">
      <c r="A158" t="str">
        <f>IF('All Cases - Enter Cases'!$F158="KPK",'All Cases - Enter Cases'!A158,"")</f>
        <v/>
      </c>
      <c r="B158" t="str">
        <f>IF($A158&lt;&gt;"",'All Cases - Enter Cases'!B158,"")</f>
        <v/>
      </c>
      <c r="C158" t="str">
        <f>IF($A158&lt;&gt;"",'All Cases - Enter Cases'!C158,"")</f>
        <v/>
      </c>
      <c r="D158" t="str">
        <f>IF($A158&lt;&gt;"",'All Cases - Enter Cases'!D158,"")</f>
        <v/>
      </c>
      <c r="E158" t="str">
        <f>IF($A158&lt;&gt;"",'All Cases - Enter Cases'!E158,"")</f>
        <v/>
      </c>
      <c r="F158" t="str">
        <f>IF($A158&lt;&gt;"",'All Cases - Enter Cases'!F158,"")</f>
        <v/>
      </c>
      <c r="G158" t="str">
        <f>IF($A158&lt;&gt;"",'All Cases - Enter Cases'!G158,"")</f>
        <v/>
      </c>
      <c r="H158" t="str">
        <f>IF($A158&lt;&gt;"",'All Cases - Enter Cases'!H158,"")</f>
        <v/>
      </c>
      <c r="I158" t="str">
        <f>IF($A158&lt;&gt;"",'All Cases - Enter Cases'!I158,"")</f>
        <v/>
      </c>
      <c r="J158" t="str">
        <f>IF($A158&lt;&gt;"",'All Cases - Enter Cases'!J158,"")</f>
        <v/>
      </c>
      <c r="K158" t="str">
        <f>IF($A158&lt;&gt;"",'All Cases - Enter Cases'!K158,"")</f>
        <v/>
      </c>
      <c r="L158" t="str">
        <f>IF($A158&lt;&gt;"",'All Cases - Enter Cases'!L158,"")</f>
        <v/>
      </c>
      <c r="M158" t="str">
        <f>IF($A158&lt;&gt;"",'All Cases - Enter Cases'!M158,"")</f>
        <v/>
      </c>
    </row>
    <row r="159" spans="1:13" x14ac:dyDescent="0.35">
      <c r="A159" t="str">
        <f>IF('All Cases - Enter Cases'!$F159="KPK",'All Cases - Enter Cases'!A159,"")</f>
        <v/>
      </c>
      <c r="B159" t="str">
        <f>IF($A159&lt;&gt;"",'All Cases - Enter Cases'!B159,"")</f>
        <v/>
      </c>
      <c r="C159" t="str">
        <f>IF($A159&lt;&gt;"",'All Cases - Enter Cases'!C159,"")</f>
        <v/>
      </c>
      <c r="D159" t="str">
        <f>IF($A159&lt;&gt;"",'All Cases - Enter Cases'!D159,"")</f>
        <v/>
      </c>
      <c r="E159" t="str">
        <f>IF($A159&lt;&gt;"",'All Cases - Enter Cases'!E159,"")</f>
        <v/>
      </c>
      <c r="F159" t="str">
        <f>IF($A159&lt;&gt;"",'All Cases - Enter Cases'!F159,"")</f>
        <v/>
      </c>
      <c r="G159" t="str">
        <f>IF($A159&lt;&gt;"",'All Cases - Enter Cases'!G159,"")</f>
        <v/>
      </c>
      <c r="H159" t="str">
        <f>IF($A159&lt;&gt;"",'All Cases - Enter Cases'!H159,"")</f>
        <v/>
      </c>
      <c r="I159" t="str">
        <f>IF($A159&lt;&gt;"",'All Cases - Enter Cases'!I159,"")</f>
        <v/>
      </c>
      <c r="J159" t="str">
        <f>IF($A159&lt;&gt;"",'All Cases - Enter Cases'!J159,"")</f>
        <v/>
      </c>
      <c r="K159" t="str">
        <f>IF($A159&lt;&gt;"",'All Cases - Enter Cases'!K159,"")</f>
        <v/>
      </c>
      <c r="L159" t="str">
        <f>IF($A159&lt;&gt;"",'All Cases - Enter Cases'!L159,"")</f>
        <v/>
      </c>
      <c r="M159" t="str">
        <f>IF($A159&lt;&gt;"",'All Cases - Enter Cases'!M159,"")</f>
        <v/>
      </c>
    </row>
    <row r="160" spans="1:13" x14ac:dyDescent="0.35">
      <c r="A160" t="str">
        <f>IF('All Cases - Enter Cases'!$F160="KPK",'All Cases - Enter Cases'!A160,"")</f>
        <v/>
      </c>
      <c r="B160" t="str">
        <f>IF($A160&lt;&gt;"",'All Cases - Enter Cases'!B160,"")</f>
        <v/>
      </c>
      <c r="C160" t="str">
        <f>IF($A160&lt;&gt;"",'All Cases - Enter Cases'!C160,"")</f>
        <v/>
      </c>
      <c r="D160" t="str">
        <f>IF($A160&lt;&gt;"",'All Cases - Enter Cases'!D160,"")</f>
        <v/>
      </c>
      <c r="E160" t="str">
        <f>IF($A160&lt;&gt;"",'All Cases - Enter Cases'!E160,"")</f>
        <v/>
      </c>
      <c r="F160" t="str">
        <f>IF($A160&lt;&gt;"",'All Cases - Enter Cases'!F160,"")</f>
        <v/>
      </c>
      <c r="G160" t="str">
        <f>IF($A160&lt;&gt;"",'All Cases - Enter Cases'!G160,"")</f>
        <v/>
      </c>
      <c r="H160" t="str">
        <f>IF($A160&lt;&gt;"",'All Cases - Enter Cases'!H160,"")</f>
        <v/>
      </c>
      <c r="I160" t="str">
        <f>IF($A160&lt;&gt;"",'All Cases - Enter Cases'!I160,"")</f>
        <v/>
      </c>
      <c r="J160" t="str">
        <f>IF($A160&lt;&gt;"",'All Cases - Enter Cases'!J160,"")</f>
        <v/>
      </c>
      <c r="K160" t="str">
        <f>IF($A160&lt;&gt;"",'All Cases - Enter Cases'!K160,"")</f>
        <v/>
      </c>
      <c r="L160" t="str">
        <f>IF($A160&lt;&gt;"",'All Cases - Enter Cases'!L160,"")</f>
        <v/>
      </c>
      <c r="M160" t="str">
        <f>IF($A160&lt;&gt;"",'All Cases - Enter Cases'!M160,"")</f>
        <v/>
      </c>
    </row>
    <row r="161" spans="1:13" x14ac:dyDescent="0.35">
      <c r="A161" t="str">
        <f>IF('All Cases - Enter Cases'!$F161="KPK",'All Cases - Enter Cases'!A161,"")</f>
        <v/>
      </c>
      <c r="B161" t="str">
        <f>IF($A161&lt;&gt;"",'All Cases - Enter Cases'!B161,"")</f>
        <v/>
      </c>
      <c r="C161" t="str">
        <f>IF($A161&lt;&gt;"",'All Cases - Enter Cases'!C161,"")</f>
        <v/>
      </c>
      <c r="D161" t="str">
        <f>IF($A161&lt;&gt;"",'All Cases - Enter Cases'!D161,"")</f>
        <v/>
      </c>
      <c r="E161" t="str">
        <f>IF($A161&lt;&gt;"",'All Cases - Enter Cases'!E161,"")</f>
        <v/>
      </c>
      <c r="F161" t="str">
        <f>IF($A161&lt;&gt;"",'All Cases - Enter Cases'!F161,"")</f>
        <v/>
      </c>
      <c r="G161" t="str">
        <f>IF($A161&lt;&gt;"",'All Cases - Enter Cases'!G161,"")</f>
        <v/>
      </c>
      <c r="H161" t="str">
        <f>IF($A161&lt;&gt;"",'All Cases - Enter Cases'!H161,"")</f>
        <v/>
      </c>
      <c r="I161" t="str">
        <f>IF($A161&lt;&gt;"",'All Cases - Enter Cases'!I161,"")</f>
        <v/>
      </c>
      <c r="J161" t="str">
        <f>IF($A161&lt;&gt;"",'All Cases - Enter Cases'!J161,"")</f>
        <v/>
      </c>
      <c r="K161" t="str">
        <f>IF($A161&lt;&gt;"",'All Cases - Enter Cases'!K161,"")</f>
        <v/>
      </c>
      <c r="L161" t="str">
        <f>IF($A161&lt;&gt;"",'All Cases - Enter Cases'!L161,"")</f>
        <v/>
      </c>
      <c r="M161" t="str">
        <f>IF($A161&lt;&gt;"",'All Cases - Enter Cases'!M161,"")</f>
        <v/>
      </c>
    </row>
    <row r="162" spans="1:13" x14ac:dyDescent="0.35">
      <c r="A162" t="str">
        <f>IF('All Cases - Enter Cases'!$F162="KPK",'All Cases - Enter Cases'!A162,"")</f>
        <v/>
      </c>
      <c r="B162" t="str">
        <f>IF($A162&lt;&gt;"",'All Cases - Enter Cases'!B162,"")</f>
        <v/>
      </c>
      <c r="C162" t="str">
        <f>IF($A162&lt;&gt;"",'All Cases - Enter Cases'!C162,"")</f>
        <v/>
      </c>
      <c r="D162" t="str">
        <f>IF($A162&lt;&gt;"",'All Cases - Enter Cases'!D162,"")</f>
        <v/>
      </c>
      <c r="E162" t="str">
        <f>IF($A162&lt;&gt;"",'All Cases - Enter Cases'!E162,"")</f>
        <v/>
      </c>
      <c r="F162" t="str">
        <f>IF($A162&lt;&gt;"",'All Cases - Enter Cases'!F162,"")</f>
        <v/>
      </c>
      <c r="G162" t="str">
        <f>IF($A162&lt;&gt;"",'All Cases - Enter Cases'!G162,"")</f>
        <v/>
      </c>
      <c r="H162" t="str">
        <f>IF($A162&lt;&gt;"",'All Cases - Enter Cases'!H162,"")</f>
        <v/>
      </c>
      <c r="I162" t="str">
        <f>IF($A162&lt;&gt;"",'All Cases - Enter Cases'!I162,"")</f>
        <v/>
      </c>
      <c r="J162" t="str">
        <f>IF($A162&lt;&gt;"",'All Cases - Enter Cases'!J162,"")</f>
        <v/>
      </c>
      <c r="K162" t="str">
        <f>IF($A162&lt;&gt;"",'All Cases - Enter Cases'!K162,"")</f>
        <v/>
      </c>
      <c r="L162" t="str">
        <f>IF($A162&lt;&gt;"",'All Cases - Enter Cases'!L162,"")</f>
        <v/>
      </c>
      <c r="M162" t="str">
        <f>IF($A162&lt;&gt;"",'All Cases - Enter Cases'!M162,"")</f>
        <v/>
      </c>
    </row>
    <row r="163" spans="1:13" x14ac:dyDescent="0.35">
      <c r="A163" t="str">
        <f>IF('All Cases - Enter Cases'!$F163="KPK",'All Cases - Enter Cases'!A163,"")</f>
        <v/>
      </c>
      <c r="B163" t="str">
        <f>IF($A163&lt;&gt;"",'All Cases - Enter Cases'!B163,"")</f>
        <v/>
      </c>
      <c r="C163" t="str">
        <f>IF($A163&lt;&gt;"",'All Cases - Enter Cases'!C163,"")</f>
        <v/>
      </c>
      <c r="D163" t="str">
        <f>IF($A163&lt;&gt;"",'All Cases - Enter Cases'!D163,"")</f>
        <v/>
      </c>
      <c r="E163" t="str">
        <f>IF($A163&lt;&gt;"",'All Cases - Enter Cases'!E163,"")</f>
        <v/>
      </c>
      <c r="F163" t="str">
        <f>IF($A163&lt;&gt;"",'All Cases - Enter Cases'!F163,"")</f>
        <v/>
      </c>
      <c r="G163" t="str">
        <f>IF($A163&lt;&gt;"",'All Cases - Enter Cases'!G163,"")</f>
        <v/>
      </c>
      <c r="H163" t="str">
        <f>IF($A163&lt;&gt;"",'All Cases - Enter Cases'!H163,"")</f>
        <v/>
      </c>
      <c r="I163" t="str">
        <f>IF($A163&lt;&gt;"",'All Cases - Enter Cases'!I163,"")</f>
        <v/>
      </c>
      <c r="J163" t="str">
        <f>IF($A163&lt;&gt;"",'All Cases - Enter Cases'!J163,"")</f>
        <v/>
      </c>
      <c r="K163" t="str">
        <f>IF($A163&lt;&gt;"",'All Cases - Enter Cases'!K163,"")</f>
        <v/>
      </c>
      <c r="L163" t="str">
        <f>IF($A163&lt;&gt;"",'All Cases - Enter Cases'!L163,"")</f>
        <v/>
      </c>
      <c r="M163" t="str">
        <f>IF($A163&lt;&gt;"",'All Cases - Enter Cases'!M163,"")</f>
        <v/>
      </c>
    </row>
    <row r="164" spans="1:13" x14ac:dyDescent="0.35">
      <c r="A164" t="str">
        <f>IF('All Cases - Enter Cases'!$F164="KPK",'All Cases - Enter Cases'!A164,"")</f>
        <v/>
      </c>
      <c r="B164" t="str">
        <f>IF($A164&lt;&gt;"",'All Cases - Enter Cases'!B164,"")</f>
        <v/>
      </c>
      <c r="C164" t="str">
        <f>IF($A164&lt;&gt;"",'All Cases - Enter Cases'!C164,"")</f>
        <v/>
      </c>
      <c r="D164" t="str">
        <f>IF($A164&lt;&gt;"",'All Cases - Enter Cases'!D164,"")</f>
        <v/>
      </c>
      <c r="E164" t="str">
        <f>IF($A164&lt;&gt;"",'All Cases - Enter Cases'!E164,"")</f>
        <v/>
      </c>
      <c r="F164" t="str">
        <f>IF($A164&lt;&gt;"",'All Cases - Enter Cases'!F164,"")</f>
        <v/>
      </c>
      <c r="G164" t="str">
        <f>IF($A164&lt;&gt;"",'All Cases - Enter Cases'!G164,"")</f>
        <v/>
      </c>
      <c r="H164" t="str">
        <f>IF($A164&lt;&gt;"",'All Cases - Enter Cases'!H164,"")</f>
        <v/>
      </c>
      <c r="I164" t="str">
        <f>IF($A164&lt;&gt;"",'All Cases - Enter Cases'!I164,"")</f>
        <v/>
      </c>
      <c r="J164" t="str">
        <f>IF($A164&lt;&gt;"",'All Cases - Enter Cases'!J164,"")</f>
        <v/>
      </c>
      <c r="K164" t="str">
        <f>IF($A164&lt;&gt;"",'All Cases - Enter Cases'!K164,"")</f>
        <v/>
      </c>
      <c r="L164" t="str">
        <f>IF($A164&lt;&gt;"",'All Cases - Enter Cases'!L164,"")</f>
        <v/>
      </c>
      <c r="M164" t="str">
        <f>IF($A164&lt;&gt;"",'All Cases - Enter Cases'!M164,"")</f>
        <v/>
      </c>
    </row>
    <row r="165" spans="1:13" x14ac:dyDescent="0.35">
      <c r="A165" t="str">
        <f>IF('All Cases - Enter Cases'!$F165="KPK",'All Cases - Enter Cases'!A165,"")</f>
        <v/>
      </c>
      <c r="B165" t="str">
        <f>IF($A165&lt;&gt;"",'All Cases - Enter Cases'!B165,"")</f>
        <v/>
      </c>
      <c r="C165" t="str">
        <f>IF($A165&lt;&gt;"",'All Cases - Enter Cases'!C165,"")</f>
        <v/>
      </c>
      <c r="D165" t="str">
        <f>IF($A165&lt;&gt;"",'All Cases - Enter Cases'!D165,"")</f>
        <v/>
      </c>
      <c r="E165" t="str">
        <f>IF($A165&lt;&gt;"",'All Cases - Enter Cases'!E165,"")</f>
        <v/>
      </c>
      <c r="F165" t="str">
        <f>IF($A165&lt;&gt;"",'All Cases - Enter Cases'!F165,"")</f>
        <v/>
      </c>
      <c r="G165" t="str">
        <f>IF($A165&lt;&gt;"",'All Cases - Enter Cases'!G165,"")</f>
        <v/>
      </c>
      <c r="H165" t="str">
        <f>IF($A165&lt;&gt;"",'All Cases - Enter Cases'!H165,"")</f>
        <v/>
      </c>
      <c r="I165" t="str">
        <f>IF($A165&lt;&gt;"",'All Cases - Enter Cases'!I165,"")</f>
        <v/>
      </c>
      <c r="J165" t="str">
        <f>IF($A165&lt;&gt;"",'All Cases - Enter Cases'!J165,"")</f>
        <v/>
      </c>
      <c r="K165" t="str">
        <f>IF($A165&lt;&gt;"",'All Cases - Enter Cases'!K165,"")</f>
        <v/>
      </c>
      <c r="L165" t="str">
        <f>IF($A165&lt;&gt;"",'All Cases - Enter Cases'!L165,"")</f>
        <v/>
      </c>
      <c r="M165" t="str">
        <f>IF($A165&lt;&gt;"",'All Cases - Enter Cases'!M165,"")</f>
        <v/>
      </c>
    </row>
    <row r="166" spans="1:13" x14ac:dyDescent="0.35">
      <c r="A166" t="str">
        <f>IF('All Cases - Enter Cases'!$F166="KPK",'All Cases - Enter Cases'!A166,"")</f>
        <v/>
      </c>
      <c r="B166" t="str">
        <f>IF($A166&lt;&gt;"",'All Cases - Enter Cases'!B166,"")</f>
        <v/>
      </c>
      <c r="C166" t="str">
        <f>IF($A166&lt;&gt;"",'All Cases - Enter Cases'!C166,"")</f>
        <v/>
      </c>
      <c r="D166" t="str">
        <f>IF($A166&lt;&gt;"",'All Cases - Enter Cases'!D166,"")</f>
        <v/>
      </c>
      <c r="E166" t="str">
        <f>IF($A166&lt;&gt;"",'All Cases - Enter Cases'!E166,"")</f>
        <v/>
      </c>
      <c r="F166" t="str">
        <f>IF($A166&lt;&gt;"",'All Cases - Enter Cases'!F166,"")</f>
        <v/>
      </c>
      <c r="G166" t="str">
        <f>IF($A166&lt;&gt;"",'All Cases - Enter Cases'!G166,"")</f>
        <v/>
      </c>
      <c r="H166" t="str">
        <f>IF($A166&lt;&gt;"",'All Cases - Enter Cases'!H166,"")</f>
        <v/>
      </c>
      <c r="I166" t="str">
        <f>IF($A166&lt;&gt;"",'All Cases - Enter Cases'!I166,"")</f>
        <v/>
      </c>
      <c r="J166" t="str">
        <f>IF($A166&lt;&gt;"",'All Cases - Enter Cases'!J166,"")</f>
        <v/>
      </c>
      <c r="K166" t="str">
        <f>IF($A166&lt;&gt;"",'All Cases - Enter Cases'!K166,"")</f>
        <v/>
      </c>
      <c r="L166" t="str">
        <f>IF($A166&lt;&gt;"",'All Cases - Enter Cases'!L166,"")</f>
        <v/>
      </c>
      <c r="M166" t="str">
        <f>IF($A166&lt;&gt;"",'All Cases - Enter Cases'!M166,"")</f>
        <v/>
      </c>
    </row>
    <row r="167" spans="1:13" x14ac:dyDescent="0.35">
      <c r="A167" t="str">
        <f>IF('All Cases - Enter Cases'!$F167="KPK",'All Cases - Enter Cases'!A167,"")</f>
        <v/>
      </c>
      <c r="B167" t="str">
        <f>IF($A167&lt;&gt;"",'All Cases - Enter Cases'!B167,"")</f>
        <v/>
      </c>
      <c r="C167" t="str">
        <f>IF($A167&lt;&gt;"",'All Cases - Enter Cases'!C167,"")</f>
        <v/>
      </c>
      <c r="D167" t="str">
        <f>IF($A167&lt;&gt;"",'All Cases - Enter Cases'!D167,"")</f>
        <v/>
      </c>
      <c r="E167" t="str">
        <f>IF($A167&lt;&gt;"",'All Cases - Enter Cases'!E167,"")</f>
        <v/>
      </c>
      <c r="F167" t="str">
        <f>IF($A167&lt;&gt;"",'All Cases - Enter Cases'!F167,"")</f>
        <v/>
      </c>
      <c r="G167" t="str">
        <f>IF($A167&lt;&gt;"",'All Cases - Enter Cases'!G167,"")</f>
        <v/>
      </c>
      <c r="H167" t="str">
        <f>IF($A167&lt;&gt;"",'All Cases - Enter Cases'!H167,"")</f>
        <v/>
      </c>
      <c r="I167" t="str">
        <f>IF($A167&lt;&gt;"",'All Cases - Enter Cases'!I167,"")</f>
        <v/>
      </c>
      <c r="J167" t="str">
        <f>IF($A167&lt;&gt;"",'All Cases - Enter Cases'!J167,"")</f>
        <v/>
      </c>
      <c r="K167" t="str">
        <f>IF($A167&lt;&gt;"",'All Cases - Enter Cases'!K167,"")</f>
        <v/>
      </c>
      <c r="L167" t="str">
        <f>IF($A167&lt;&gt;"",'All Cases - Enter Cases'!L167,"")</f>
        <v/>
      </c>
      <c r="M167" t="str">
        <f>IF($A167&lt;&gt;"",'All Cases - Enter Cases'!M167,"")</f>
        <v/>
      </c>
    </row>
    <row r="168" spans="1:13" x14ac:dyDescent="0.35">
      <c r="A168" t="str">
        <f>IF('All Cases - Enter Cases'!$F168="KPK",'All Cases - Enter Cases'!A168,"")</f>
        <v/>
      </c>
      <c r="B168" t="str">
        <f>IF($A168&lt;&gt;"",'All Cases - Enter Cases'!B168,"")</f>
        <v/>
      </c>
      <c r="C168" t="str">
        <f>IF($A168&lt;&gt;"",'All Cases - Enter Cases'!C168,"")</f>
        <v/>
      </c>
      <c r="D168" t="str">
        <f>IF($A168&lt;&gt;"",'All Cases - Enter Cases'!D168,"")</f>
        <v/>
      </c>
      <c r="E168" t="str">
        <f>IF($A168&lt;&gt;"",'All Cases - Enter Cases'!E168,"")</f>
        <v/>
      </c>
      <c r="F168" t="str">
        <f>IF($A168&lt;&gt;"",'All Cases - Enter Cases'!F168,"")</f>
        <v/>
      </c>
      <c r="G168" t="str">
        <f>IF($A168&lt;&gt;"",'All Cases - Enter Cases'!G168,"")</f>
        <v/>
      </c>
      <c r="H168" t="str">
        <f>IF($A168&lt;&gt;"",'All Cases - Enter Cases'!H168,"")</f>
        <v/>
      </c>
      <c r="I168" t="str">
        <f>IF($A168&lt;&gt;"",'All Cases - Enter Cases'!I168,"")</f>
        <v/>
      </c>
      <c r="J168" t="str">
        <f>IF($A168&lt;&gt;"",'All Cases - Enter Cases'!J168,"")</f>
        <v/>
      </c>
      <c r="K168" t="str">
        <f>IF($A168&lt;&gt;"",'All Cases - Enter Cases'!K168,"")</f>
        <v/>
      </c>
      <c r="L168" t="str">
        <f>IF($A168&lt;&gt;"",'All Cases - Enter Cases'!L168,"")</f>
        <v/>
      </c>
      <c r="M168" t="str">
        <f>IF($A168&lt;&gt;"",'All Cases - Enter Cases'!M168,"")</f>
        <v/>
      </c>
    </row>
    <row r="169" spans="1:13" x14ac:dyDescent="0.35">
      <c r="A169" t="str">
        <f>IF('All Cases - Enter Cases'!$F169="KPK",'All Cases - Enter Cases'!A169,"")</f>
        <v/>
      </c>
      <c r="B169" t="str">
        <f>IF($A169&lt;&gt;"",'All Cases - Enter Cases'!B169,"")</f>
        <v/>
      </c>
      <c r="C169" t="str">
        <f>IF($A169&lt;&gt;"",'All Cases - Enter Cases'!C169,"")</f>
        <v/>
      </c>
      <c r="D169" t="str">
        <f>IF($A169&lt;&gt;"",'All Cases - Enter Cases'!D169,"")</f>
        <v/>
      </c>
      <c r="E169" t="str">
        <f>IF($A169&lt;&gt;"",'All Cases - Enter Cases'!E169,"")</f>
        <v/>
      </c>
      <c r="F169" t="str">
        <f>IF($A169&lt;&gt;"",'All Cases - Enter Cases'!F169,"")</f>
        <v/>
      </c>
      <c r="G169" t="str">
        <f>IF($A169&lt;&gt;"",'All Cases - Enter Cases'!G169,"")</f>
        <v/>
      </c>
      <c r="H169" t="str">
        <f>IF($A169&lt;&gt;"",'All Cases - Enter Cases'!H169,"")</f>
        <v/>
      </c>
      <c r="I169" t="str">
        <f>IF($A169&lt;&gt;"",'All Cases - Enter Cases'!I169,"")</f>
        <v/>
      </c>
      <c r="J169" t="str">
        <f>IF($A169&lt;&gt;"",'All Cases - Enter Cases'!J169,"")</f>
        <v/>
      </c>
      <c r="K169" t="str">
        <f>IF($A169&lt;&gt;"",'All Cases - Enter Cases'!K169,"")</f>
        <v/>
      </c>
      <c r="L169" t="str">
        <f>IF($A169&lt;&gt;"",'All Cases - Enter Cases'!L169,"")</f>
        <v/>
      </c>
      <c r="M169" t="str">
        <f>IF($A169&lt;&gt;"",'All Cases - Enter Cases'!M169,"")</f>
        <v/>
      </c>
    </row>
    <row r="170" spans="1:13" x14ac:dyDescent="0.35">
      <c r="A170" t="str">
        <f>IF('All Cases - Enter Cases'!$F170="KPK",'All Cases - Enter Cases'!A170,"")</f>
        <v/>
      </c>
      <c r="B170" t="str">
        <f>IF($A170&lt;&gt;"",'All Cases - Enter Cases'!B170,"")</f>
        <v/>
      </c>
      <c r="C170" t="str">
        <f>IF($A170&lt;&gt;"",'All Cases - Enter Cases'!C170,"")</f>
        <v/>
      </c>
      <c r="D170" t="str">
        <f>IF($A170&lt;&gt;"",'All Cases - Enter Cases'!D170,"")</f>
        <v/>
      </c>
      <c r="E170" t="str">
        <f>IF($A170&lt;&gt;"",'All Cases - Enter Cases'!E170,"")</f>
        <v/>
      </c>
      <c r="F170" t="str">
        <f>IF($A170&lt;&gt;"",'All Cases - Enter Cases'!F170,"")</f>
        <v/>
      </c>
      <c r="G170" t="str">
        <f>IF($A170&lt;&gt;"",'All Cases - Enter Cases'!G170,"")</f>
        <v/>
      </c>
      <c r="H170" t="str">
        <f>IF($A170&lt;&gt;"",'All Cases - Enter Cases'!H170,"")</f>
        <v/>
      </c>
      <c r="I170" t="str">
        <f>IF($A170&lt;&gt;"",'All Cases - Enter Cases'!I170,"")</f>
        <v/>
      </c>
      <c r="J170" t="str">
        <f>IF($A170&lt;&gt;"",'All Cases - Enter Cases'!J170,"")</f>
        <v/>
      </c>
      <c r="K170" t="str">
        <f>IF($A170&lt;&gt;"",'All Cases - Enter Cases'!K170,"")</f>
        <v/>
      </c>
      <c r="L170" t="str">
        <f>IF($A170&lt;&gt;"",'All Cases - Enter Cases'!L170,"")</f>
        <v/>
      </c>
      <c r="M170" t="str">
        <f>IF($A170&lt;&gt;"",'All Cases - Enter Cases'!M170,"")</f>
        <v/>
      </c>
    </row>
    <row r="171" spans="1:13" x14ac:dyDescent="0.35">
      <c r="A171" t="str">
        <f>IF('All Cases - Enter Cases'!$F171="KPK",'All Cases - Enter Cases'!A171,"")</f>
        <v/>
      </c>
      <c r="B171" t="str">
        <f>IF($A171&lt;&gt;"",'All Cases - Enter Cases'!B171,"")</f>
        <v/>
      </c>
      <c r="C171" t="str">
        <f>IF($A171&lt;&gt;"",'All Cases - Enter Cases'!C171,"")</f>
        <v/>
      </c>
      <c r="D171" t="str">
        <f>IF($A171&lt;&gt;"",'All Cases - Enter Cases'!D171,"")</f>
        <v/>
      </c>
      <c r="E171" t="str">
        <f>IF($A171&lt;&gt;"",'All Cases - Enter Cases'!E171,"")</f>
        <v/>
      </c>
      <c r="F171" t="str">
        <f>IF($A171&lt;&gt;"",'All Cases - Enter Cases'!F171,"")</f>
        <v/>
      </c>
      <c r="G171" t="str">
        <f>IF($A171&lt;&gt;"",'All Cases - Enter Cases'!G171,"")</f>
        <v/>
      </c>
      <c r="H171" t="str">
        <f>IF($A171&lt;&gt;"",'All Cases - Enter Cases'!H171,"")</f>
        <v/>
      </c>
      <c r="I171" t="str">
        <f>IF($A171&lt;&gt;"",'All Cases - Enter Cases'!I171,"")</f>
        <v/>
      </c>
      <c r="J171" t="str">
        <f>IF($A171&lt;&gt;"",'All Cases - Enter Cases'!J171,"")</f>
        <v/>
      </c>
      <c r="K171" t="str">
        <f>IF($A171&lt;&gt;"",'All Cases - Enter Cases'!K171,"")</f>
        <v/>
      </c>
      <c r="L171" t="str">
        <f>IF($A171&lt;&gt;"",'All Cases - Enter Cases'!L171,"")</f>
        <v/>
      </c>
      <c r="M171" t="str">
        <f>IF($A171&lt;&gt;"",'All Cases - Enter Cases'!M171,"")</f>
        <v/>
      </c>
    </row>
    <row r="172" spans="1:13" x14ac:dyDescent="0.35">
      <c r="A172" t="str">
        <f>IF('All Cases - Enter Cases'!$F172="KPK",'All Cases - Enter Cases'!A172,"")</f>
        <v/>
      </c>
      <c r="B172" t="str">
        <f>IF($A172&lt;&gt;"",'All Cases - Enter Cases'!B172,"")</f>
        <v/>
      </c>
      <c r="C172" t="str">
        <f>IF($A172&lt;&gt;"",'All Cases - Enter Cases'!C172,"")</f>
        <v/>
      </c>
      <c r="D172" t="str">
        <f>IF($A172&lt;&gt;"",'All Cases - Enter Cases'!D172,"")</f>
        <v/>
      </c>
      <c r="E172" t="str">
        <f>IF($A172&lt;&gt;"",'All Cases - Enter Cases'!E172,"")</f>
        <v/>
      </c>
      <c r="F172" t="str">
        <f>IF($A172&lt;&gt;"",'All Cases - Enter Cases'!F172,"")</f>
        <v/>
      </c>
      <c r="G172" t="str">
        <f>IF($A172&lt;&gt;"",'All Cases - Enter Cases'!G172,"")</f>
        <v/>
      </c>
      <c r="H172" t="str">
        <f>IF($A172&lt;&gt;"",'All Cases - Enter Cases'!H172,"")</f>
        <v/>
      </c>
      <c r="I172" t="str">
        <f>IF($A172&lt;&gt;"",'All Cases - Enter Cases'!I172,"")</f>
        <v/>
      </c>
      <c r="J172" t="str">
        <f>IF($A172&lt;&gt;"",'All Cases - Enter Cases'!J172,"")</f>
        <v/>
      </c>
      <c r="K172" t="str">
        <f>IF($A172&lt;&gt;"",'All Cases - Enter Cases'!K172,"")</f>
        <v/>
      </c>
      <c r="L172" t="str">
        <f>IF($A172&lt;&gt;"",'All Cases - Enter Cases'!L172,"")</f>
        <v/>
      </c>
      <c r="M172" t="str">
        <f>IF($A172&lt;&gt;"",'All Cases - Enter Cases'!M172,"")</f>
        <v/>
      </c>
    </row>
    <row r="173" spans="1:13" x14ac:dyDescent="0.35">
      <c r="A173" t="str">
        <f>IF('All Cases - Enter Cases'!$F173="KPK",'All Cases - Enter Cases'!A173,"")</f>
        <v/>
      </c>
      <c r="B173" t="str">
        <f>IF($A173&lt;&gt;"",'All Cases - Enter Cases'!B173,"")</f>
        <v/>
      </c>
      <c r="C173" t="str">
        <f>IF($A173&lt;&gt;"",'All Cases - Enter Cases'!C173,"")</f>
        <v/>
      </c>
      <c r="D173" t="str">
        <f>IF($A173&lt;&gt;"",'All Cases - Enter Cases'!D173,"")</f>
        <v/>
      </c>
      <c r="E173" t="str">
        <f>IF($A173&lt;&gt;"",'All Cases - Enter Cases'!E173,"")</f>
        <v/>
      </c>
      <c r="F173" t="str">
        <f>IF($A173&lt;&gt;"",'All Cases - Enter Cases'!F173,"")</f>
        <v/>
      </c>
      <c r="G173" t="str">
        <f>IF($A173&lt;&gt;"",'All Cases - Enter Cases'!G173,"")</f>
        <v/>
      </c>
      <c r="H173" t="str">
        <f>IF($A173&lt;&gt;"",'All Cases - Enter Cases'!H173,"")</f>
        <v/>
      </c>
      <c r="I173" t="str">
        <f>IF($A173&lt;&gt;"",'All Cases - Enter Cases'!I173,"")</f>
        <v/>
      </c>
      <c r="J173" t="str">
        <f>IF($A173&lt;&gt;"",'All Cases - Enter Cases'!J173,"")</f>
        <v/>
      </c>
      <c r="K173" t="str">
        <f>IF($A173&lt;&gt;"",'All Cases - Enter Cases'!K173,"")</f>
        <v/>
      </c>
      <c r="L173" t="str">
        <f>IF($A173&lt;&gt;"",'All Cases - Enter Cases'!L173,"")</f>
        <v/>
      </c>
      <c r="M173" t="str">
        <f>IF($A173&lt;&gt;"",'All Cases - Enter Cases'!M173,"")</f>
        <v/>
      </c>
    </row>
    <row r="174" spans="1:13" x14ac:dyDescent="0.35">
      <c r="A174" t="str">
        <f>IF('All Cases - Enter Cases'!$F174="KPK",'All Cases - Enter Cases'!A174,"")</f>
        <v/>
      </c>
      <c r="B174" t="str">
        <f>IF($A174&lt;&gt;"",'All Cases - Enter Cases'!B174,"")</f>
        <v/>
      </c>
      <c r="C174" t="str">
        <f>IF($A174&lt;&gt;"",'All Cases - Enter Cases'!C174,"")</f>
        <v/>
      </c>
      <c r="D174" t="str">
        <f>IF($A174&lt;&gt;"",'All Cases - Enter Cases'!D174,"")</f>
        <v/>
      </c>
      <c r="E174" t="str">
        <f>IF($A174&lt;&gt;"",'All Cases - Enter Cases'!E174,"")</f>
        <v/>
      </c>
      <c r="F174" t="str">
        <f>IF($A174&lt;&gt;"",'All Cases - Enter Cases'!F174,"")</f>
        <v/>
      </c>
      <c r="G174" t="str">
        <f>IF($A174&lt;&gt;"",'All Cases - Enter Cases'!G174,"")</f>
        <v/>
      </c>
      <c r="H174" t="str">
        <f>IF($A174&lt;&gt;"",'All Cases - Enter Cases'!H174,"")</f>
        <v/>
      </c>
      <c r="I174" t="str">
        <f>IF($A174&lt;&gt;"",'All Cases - Enter Cases'!I174,"")</f>
        <v/>
      </c>
      <c r="J174" t="str">
        <f>IF($A174&lt;&gt;"",'All Cases - Enter Cases'!J174,"")</f>
        <v/>
      </c>
      <c r="K174" t="str">
        <f>IF($A174&lt;&gt;"",'All Cases - Enter Cases'!K174,"")</f>
        <v/>
      </c>
      <c r="L174" t="str">
        <f>IF($A174&lt;&gt;"",'All Cases - Enter Cases'!L174,"")</f>
        <v/>
      </c>
      <c r="M174" t="str">
        <f>IF($A174&lt;&gt;"",'All Cases - Enter Cases'!M174,"")</f>
        <v/>
      </c>
    </row>
    <row r="175" spans="1:13" x14ac:dyDescent="0.35">
      <c r="A175" t="str">
        <f>IF('All Cases - Enter Cases'!$F175="KPK",'All Cases - Enter Cases'!A175,"")</f>
        <v/>
      </c>
      <c r="B175" t="str">
        <f>IF($A175&lt;&gt;"",'All Cases - Enter Cases'!B175,"")</f>
        <v/>
      </c>
      <c r="C175" t="str">
        <f>IF($A175&lt;&gt;"",'All Cases - Enter Cases'!C175,"")</f>
        <v/>
      </c>
      <c r="D175" t="str">
        <f>IF($A175&lt;&gt;"",'All Cases - Enter Cases'!D175,"")</f>
        <v/>
      </c>
      <c r="E175" t="str">
        <f>IF($A175&lt;&gt;"",'All Cases - Enter Cases'!E175,"")</f>
        <v/>
      </c>
      <c r="F175" t="str">
        <f>IF($A175&lt;&gt;"",'All Cases - Enter Cases'!F175,"")</f>
        <v/>
      </c>
      <c r="G175" t="str">
        <f>IF($A175&lt;&gt;"",'All Cases - Enter Cases'!G175,"")</f>
        <v/>
      </c>
      <c r="H175" t="str">
        <f>IF($A175&lt;&gt;"",'All Cases - Enter Cases'!H175,"")</f>
        <v/>
      </c>
      <c r="I175" t="str">
        <f>IF($A175&lt;&gt;"",'All Cases - Enter Cases'!I175,"")</f>
        <v/>
      </c>
      <c r="J175" t="str">
        <f>IF($A175&lt;&gt;"",'All Cases - Enter Cases'!J175,"")</f>
        <v/>
      </c>
      <c r="K175" t="str">
        <f>IF($A175&lt;&gt;"",'All Cases - Enter Cases'!K175,"")</f>
        <v/>
      </c>
      <c r="L175" t="str">
        <f>IF($A175&lt;&gt;"",'All Cases - Enter Cases'!L175,"")</f>
        <v/>
      </c>
      <c r="M175" t="str">
        <f>IF($A175&lt;&gt;"",'All Cases - Enter Cases'!M175,"")</f>
        <v/>
      </c>
    </row>
    <row r="176" spans="1:13" x14ac:dyDescent="0.35">
      <c r="A176" t="str">
        <f>IF('All Cases - Enter Cases'!$F176="KPK",'All Cases - Enter Cases'!A176,"")</f>
        <v/>
      </c>
      <c r="B176" t="str">
        <f>IF($A176&lt;&gt;"",'All Cases - Enter Cases'!B176,"")</f>
        <v/>
      </c>
      <c r="C176" t="str">
        <f>IF($A176&lt;&gt;"",'All Cases - Enter Cases'!C176,"")</f>
        <v/>
      </c>
      <c r="D176" t="str">
        <f>IF($A176&lt;&gt;"",'All Cases - Enter Cases'!D176,"")</f>
        <v/>
      </c>
      <c r="E176" t="str">
        <f>IF($A176&lt;&gt;"",'All Cases - Enter Cases'!E176,"")</f>
        <v/>
      </c>
      <c r="F176" t="str">
        <f>IF($A176&lt;&gt;"",'All Cases - Enter Cases'!F176,"")</f>
        <v/>
      </c>
      <c r="G176" t="str">
        <f>IF($A176&lt;&gt;"",'All Cases - Enter Cases'!G176,"")</f>
        <v/>
      </c>
      <c r="H176" t="str">
        <f>IF($A176&lt;&gt;"",'All Cases - Enter Cases'!H176,"")</f>
        <v/>
      </c>
      <c r="I176" t="str">
        <f>IF($A176&lt;&gt;"",'All Cases - Enter Cases'!I176,"")</f>
        <v/>
      </c>
      <c r="J176" t="str">
        <f>IF($A176&lt;&gt;"",'All Cases - Enter Cases'!J176,"")</f>
        <v/>
      </c>
      <c r="K176" t="str">
        <f>IF($A176&lt;&gt;"",'All Cases - Enter Cases'!K176,"")</f>
        <v/>
      </c>
      <c r="L176" t="str">
        <f>IF($A176&lt;&gt;"",'All Cases - Enter Cases'!L176,"")</f>
        <v/>
      </c>
      <c r="M176" t="str">
        <f>IF($A176&lt;&gt;"",'All Cases - Enter Cases'!M176,"")</f>
        <v/>
      </c>
    </row>
    <row r="177" spans="1:13" x14ac:dyDescent="0.35">
      <c r="A177" t="str">
        <f>IF('All Cases - Enter Cases'!$F177="KPK",'All Cases - Enter Cases'!A177,"")</f>
        <v/>
      </c>
      <c r="B177" t="str">
        <f>IF($A177&lt;&gt;"",'All Cases - Enter Cases'!B177,"")</f>
        <v/>
      </c>
      <c r="C177" t="str">
        <f>IF($A177&lt;&gt;"",'All Cases - Enter Cases'!C177,"")</f>
        <v/>
      </c>
      <c r="D177" t="str">
        <f>IF($A177&lt;&gt;"",'All Cases - Enter Cases'!D177,"")</f>
        <v/>
      </c>
      <c r="E177" t="str">
        <f>IF($A177&lt;&gt;"",'All Cases - Enter Cases'!E177,"")</f>
        <v/>
      </c>
      <c r="F177" t="str">
        <f>IF($A177&lt;&gt;"",'All Cases - Enter Cases'!F177,"")</f>
        <v/>
      </c>
      <c r="G177" t="str">
        <f>IF($A177&lt;&gt;"",'All Cases - Enter Cases'!G177,"")</f>
        <v/>
      </c>
      <c r="H177" t="str">
        <f>IF($A177&lt;&gt;"",'All Cases - Enter Cases'!H177,"")</f>
        <v/>
      </c>
      <c r="I177" t="str">
        <f>IF($A177&lt;&gt;"",'All Cases - Enter Cases'!I177,"")</f>
        <v/>
      </c>
      <c r="J177" t="str">
        <f>IF($A177&lt;&gt;"",'All Cases - Enter Cases'!J177,"")</f>
        <v/>
      </c>
      <c r="K177" t="str">
        <f>IF($A177&lt;&gt;"",'All Cases - Enter Cases'!K177,"")</f>
        <v/>
      </c>
      <c r="L177" t="str">
        <f>IF($A177&lt;&gt;"",'All Cases - Enter Cases'!L177,"")</f>
        <v/>
      </c>
      <c r="M177" t="str">
        <f>IF($A177&lt;&gt;"",'All Cases - Enter Cases'!M177,"")</f>
        <v/>
      </c>
    </row>
    <row r="178" spans="1:13" x14ac:dyDescent="0.35">
      <c r="A178" t="str">
        <f>IF('All Cases - Enter Cases'!$F178="KPK",'All Cases - Enter Cases'!A178,"")</f>
        <v/>
      </c>
      <c r="B178" t="str">
        <f>IF($A178&lt;&gt;"",'All Cases - Enter Cases'!B178,"")</f>
        <v/>
      </c>
      <c r="C178" t="str">
        <f>IF($A178&lt;&gt;"",'All Cases - Enter Cases'!C178,"")</f>
        <v/>
      </c>
      <c r="D178" t="str">
        <f>IF($A178&lt;&gt;"",'All Cases - Enter Cases'!D178,"")</f>
        <v/>
      </c>
      <c r="E178" t="str">
        <f>IF($A178&lt;&gt;"",'All Cases - Enter Cases'!E178,"")</f>
        <v/>
      </c>
      <c r="F178" t="str">
        <f>IF($A178&lt;&gt;"",'All Cases - Enter Cases'!F178,"")</f>
        <v/>
      </c>
      <c r="G178" t="str">
        <f>IF($A178&lt;&gt;"",'All Cases - Enter Cases'!G178,"")</f>
        <v/>
      </c>
      <c r="H178" t="str">
        <f>IF($A178&lt;&gt;"",'All Cases - Enter Cases'!H178,"")</f>
        <v/>
      </c>
      <c r="I178" t="str">
        <f>IF($A178&lt;&gt;"",'All Cases - Enter Cases'!I178,"")</f>
        <v/>
      </c>
      <c r="J178" t="str">
        <f>IF($A178&lt;&gt;"",'All Cases - Enter Cases'!J178,"")</f>
        <v/>
      </c>
      <c r="K178" t="str">
        <f>IF($A178&lt;&gt;"",'All Cases - Enter Cases'!K178,"")</f>
        <v/>
      </c>
      <c r="L178" t="str">
        <f>IF($A178&lt;&gt;"",'All Cases - Enter Cases'!L178,"")</f>
        <v/>
      </c>
      <c r="M178" t="str">
        <f>IF($A178&lt;&gt;"",'All Cases - Enter Cases'!M178,"")</f>
        <v/>
      </c>
    </row>
    <row r="179" spans="1:13" x14ac:dyDescent="0.35">
      <c r="A179" t="str">
        <f>IF('All Cases - Enter Cases'!$F179="KPK",'All Cases - Enter Cases'!A179,"")</f>
        <v/>
      </c>
      <c r="B179" t="str">
        <f>IF($A179&lt;&gt;"",'All Cases - Enter Cases'!B179,"")</f>
        <v/>
      </c>
      <c r="C179" t="str">
        <f>IF($A179&lt;&gt;"",'All Cases - Enter Cases'!C179,"")</f>
        <v/>
      </c>
      <c r="D179" t="str">
        <f>IF($A179&lt;&gt;"",'All Cases - Enter Cases'!D179,"")</f>
        <v/>
      </c>
      <c r="E179" t="str">
        <f>IF($A179&lt;&gt;"",'All Cases - Enter Cases'!E179,"")</f>
        <v/>
      </c>
      <c r="F179" t="str">
        <f>IF($A179&lt;&gt;"",'All Cases - Enter Cases'!F179,"")</f>
        <v/>
      </c>
      <c r="G179" t="str">
        <f>IF($A179&lt;&gt;"",'All Cases - Enter Cases'!G179,"")</f>
        <v/>
      </c>
      <c r="H179" t="str">
        <f>IF($A179&lt;&gt;"",'All Cases - Enter Cases'!H179,"")</f>
        <v/>
      </c>
      <c r="I179" t="str">
        <f>IF($A179&lt;&gt;"",'All Cases - Enter Cases'!I179,"")</f>
        <v/>
      </c>
      <c r="J179" t="str">
        <f>IF($A179&lt;&gt;"",'All Cases - Enter Cases'!J179,"")</f>
        <v/>
      </c>
      <c r="K179" t="str">
        <f>IF($A179&lt;&gt;"",'All Cases - Enter Cases'!K179,"")</f>
        <v/>
      </c>
      <c r="L179" t="str">
        <f>IF($A179&lt;&gt;"",'All Cases - Enter Cases'!L179,"")</f>
        <v/>
      </c>
      <c r="M179" t="str">
        <f>IF($A179&lt;&gt;"",'All Cases - Enter Cases'!M179,"")</f>
        <v/>
      </c>
    </row>
    <row r="180" spans="1:13" x14ac:dyDescent="0.35">
      <c r="A180" t="str">
        <f>IF('All Cases - Enter Cases'!$F180="KPK",'All Cases - Enter Cases'!A180,"")</f>
        <v/>
      </c>
      <c r="B180" t="str">
        <f>IF($A180&lt;&gt;"",'All Cases - Enter Cases'!B180,"")</f>
        <v/>
      </c>
      <c r="C180" t="str">
        <f>IF($A180&lt;&gt;"",'All Cases - Enter Cases'!C180,"")</f>
        <v/>
      </c>
      <c r="D180" t="str">
        <f>IF($A180&lt;&gt;"",'All Cases - Enter Cases'!D180,"")</f>
        <v/>
      </c>
      <c r="E180" t="str">
        <f>IF($A180&lt;&gt;"",'All Cases - Enter Cases'!E180,"")</f>
        <v/>
      </c>
      <c r="F180" t="str">
        <f>IF($A180&lt;&gt;"",'All Cases - Enter Cases'!F180,"")</f>
        <v/>
      </c>
      <c r="G180" t="str">
        <f>IF($A180&lt;&gt;"",'All Cases - Enter Cases'!G180,"")</f>
        <v/>
      </c>
      <c r="H180" t="str">
        <f>IF($A180&lt;&gt;"",'All Cases - Enter Cases'!H180,"")</f>
        <v/>
      </c>
      <c r="I180" t="str">
        <f>IF($A180&lt;&gt;"",'All Cases - Enter Cases'!I180,"")</f>
        <v/>
      </c>
      <c r="J180" t="str">
        <f>IF($A180&lt;&gt;"",'All Cases - Enter Cases'!J180,"")</f>
        <v/>
      </c>
      <c r="K180" t="str">
        <f>IF($A180&lt;&gt;"",'All Cases - Enter Cases'!K180,"")</f>
        <v/>
      </c>
      <c r="L180" t="str">
        <f>IF($A180&lt;&gt;"",'All Cases - Enter Cases'!L180,"")</f>
        <v/>
      </c>
      <c r="M180" t="str">
        <f>IF($A180&lt;&gt;"",'All Cases - Enter Cases'!M180,"")</f>
        <v/>
      </c>
    </row>
    <row r="181" spans="1:13" x14ac:dyDescent="0.35">
      <c r="A181" t="str">
        <f>IF('All Cases - Enter Cases'!$F181="KPK",'All Cases - Enter Cases'!A181,"")</f>
        <v/>
      </c>
      <c r="B181" t="str">
        <f>IF($A181&lt;&gt;"",'All Cases - Enter Cases'!B181,"")</f>
        <v/>
      </c>
      <c r="C181" t="str">
        <f>IF($A181&lt;&gt;"",'All Cases - Enter Cases'!C181,"")</f>
        <v/>
      </c>
      <c r="D181" t="str">
        <f>IF($A181&lt;&gt;"",'All Cases - Enter Cases'!D181,"")</f>
        <v/>
      </c>
      <c r="E181" t="str">
        <f>IF($A181&lt;&gt;"",'All Cases - Enter Cases'!E181,"")</f>
        <v/>
      </c>
      <c r="F181" t="str">
        <f>IF($A181&lt;&gt;"",'All Cases - Enter Cases'!F181,"")</f>
        <v/>
      </c>
      <c r="G181" t="str">
        <f>IF($A181&lt;&gt;"",'All Cases - Enter Cases'!G181,"")</f>
        <v/>
      </c>
      <c r="H181" t="str">
        <f>IF($A181&lt;&gt;"",'All Cases - Enter Cases'!H181,"")</f>
        <v/>
      </c>
      <c r="I181" t="str">
        <f>IF($A181&lt;&gt;"",'All Cases - Enter Cases'!I181,"")</f>
        <v/>
      </c>
      <c r="J181" t="str">
        <f>IF($A181&lt;&gt;"",'All Cases - Enter Cases'!J181,"")</f>
        <v/>
      </c>
      <c r="K181" t="str">
        <f>IF($A181&lt;&gt;"",'All Cases - Enter Cases'!K181,"")</f>
        <v/>
      </c>
      <c r="L181" t="str">
        <f>IF($A181&lt;&gt;"",'All Cases - Enter Cases'!L181,"")</f>
        <v/>
      </c>
      <c r="M181" t="str">
        <f>IF($A181&lt;&gt;"",'All Cases - Enter Cases'!M181,"")</f>
        <v/>
      </c>
    </row>
    <row r="182" spans="1:13" x14ac:dyDescent="0.35">
      <c r="A182" t="str">
        <f>IF('All Cases - Enter Cases'!$F182="KPK",'All Cases - Enter Cases'!A182,"")</f>
        <v/>
      </c>
      <c r="B182" t="str">
        <f>IF($A182&lt;&gt;"",'All Cases - Enter Cases'!B182,"")</f>
        <v/>
      </c>
      <c r="C182" t="str">
        <f>IF($A182&lt;&gt;"",'All Cases - Enter Cases'!C182,"")</f>
        <v/>
      </c>
      <c r="D182" t="str">
        <f>IF($A182&lt;&gt;"",'All Cases - Enter Cases'!D182,"")</f>
        <v/>
      </c>
      <c r="E182" t="str">
        <f>IF($A182&lt;&gt;"",'All Cases - Enter Cases'!E182,"")</f>
        <v/>
      </c>
      <c r="F182" t="str">
        <f>IF($A182&lt;&gt;"",'All Cases - Enter Cases'!F182,"")</f>
        <v/>
      </c>
      <c r="G182" t="str">
        <f>IF($A182&lt;&gt;"",'All Cases - Enter Cases'!G182,"")</f>
        <v/>
      </c>
      <c r="H182" t="str">
        <f>IF($A182&lt;&gt;"",'All Cases - Enter Cases'!H182,"")</f>
        <v/>
      </c>
      <c r="I182" t="str">
        <f>IF($A182&lt;&gt;"",'All Cases - Enter Cases'!I182,"")</f>
        <v/>
      </c>
      <c r="J182" t="str">
        <f>IF($A182&lt;&gt;"",'All Cases - Enter Cases'!J182,"")</f>
        <v/>
      </c>
      <c r="K182" t="str">
        <f>IF($A182&lt;&gt;"",'All Cases - Enter Cases'!K182,"")</f>
        <v/>
      </c>
      <c r="L182" t="str">
        <f>IF($A182&lt;&gt;"",'All Cases - Enter Cases'!L182,"")</f>
        <v/>
      </c>
      <c r="M182" t="str">
        <f>IF($A182&lt;&gt;"",'All Cases - Enter Cases'!M182,"")</f>
        <v/>
      </c>
    </row>
    <row r="183" spans="1:13" x14ac:dyDescent="0.35">
      <c r="A183" t="str">
        <f>IF('All Cases - Enter Cases'!$F183="KPK",'All Cases - Enter Cases'!A183,"")</f>
        <v/>
      </c>
      <c r="B183" t="str">
        <f>IF($A183&lt;&gt;"",'All Cases - Enter Cases'!B183,"")</f>
        <v/>
      </c>
      <c r="C183" t="str">
        <f>IF($A183&lt;&gt;"",'All Cases - Enter Cases'!C183,"")</f>
        <v/>
      </c>
      <c r="D183" t="str">
        <f>IF($A183&lt;&gt;"",'All Cases - Enter Cases'!D183,"")</f>
        <v/>
      </c>
      <c r="E183" t="str">
        <f>IF($A183&lt;&gt;"",'All Cases - Enter Cases'!E183,"")</f>
        <v/>
      </c>
      <c r="F183" t="str">
        <f>IF($A183&lt;&gt;"",'All Cases - Enter Cases'!F183,"")</f>
        <v/>
      </c>
      <c r="G183" t="str">
        <f>IF($A183&lt;&gt;"",'All Cases - Enter Cases'!G183,"")</f>
        <v/>
      </c>
      <c r="H183" t="str">
        <f>IF($A183&lt;&gt;"",'All Cases - Enter Cases'!H183,"")</f>
        <v/>
      </c>
      <c r="I183" t="str">
        <f>IF($A183&lt;&gt;"",'All Cases - Enter Cases'!I183,"")</f>
        <v/>
      </c>
      <c r="J183" t="str">
        <f>IF($A183&lt;&gt;"",'All Cases - Enter Cases'!J183,"")</f>
        <v/>
      </c>
      <c r="K183" t="str">
        <f>IF($A183&lt;&gt;"",'All Cases - Enter Cases'!K183,"")</f>
        <v/>
      </c>
      <c r="L183" t="str">
        <f>IF($A183&lt;&gt;"",'All Cases - Enter Cases'!L183,"")</f>
        <v/>
      </c>
      <c r="M183" t="str">
        <f>IF($A183&lt;&gt;"",'All Cases - Enter Cases'!M183,"")</f>
        <v/>
      </c>
    </row>
    <row r="184" spans="1:13" x14ac:dyDescent="0.35">
      <c r="A184" t="str">
        <f>IF('All Cases - Enter Cases'!$F184="KPK",'All Cases - Enter Cases'!A184,"")</f>
        <v/>
      </c>
      <c r="B184" t="str">
        <f>IF($A184&lt;&gt;"",'All Cases - Enter Cases'!B184,"")</f>
        <v/>
      </c>
      <c r="C184" t="str">
        <f>IF($A184&lt;&gt;"",'All Cases - Enter Cases'!C184,"")</f>
        <v/>
      </c>
      <c r="D184" t="str">
        <f>IF($A184&lt;&gt;"",'All Cases - Enter Cases'!D184,"")</f>
        <v/>
      </c>
      <c r="E184" t="str">
        <f>IF($A184&lt;&gt;"",'All Cases - Enter Cases'!E184,"")</f>
        <v/>
      </c>
      <c r="F184" t="str">
        <f>IF($A184&lt;&gt;"",'All Cases - Enter Cases'!F184,"")</f>
        <v/>
      </c>
      <c r="G184" t="str">
        <f>IF($A184&lt;&gt;"",'All Cases - Enter Cases'!G184,"")</f>
        <v/>
      </c>
      <c r="H184" t="str">
        <f>IF($A184&lt;&gt;"",'All Cases - Enter Cases'!H184,"")</f>
        <v/>
      </c>
      <c r="I184" t="str">
        <f>IF($A184&lt;&gt;"",'All Cases - Enter Cases'!I184,"")</f>
        <v/>
      </c>
      <c r="J184" t="str">
        <f>IF($A184&lt;&gt;"",'All Cases - Enter Cases'!J184,"")</f>
        <v/>
      </c>
      <c r="K184" t="str">
        <f>IF($A184&lt;&gt;"",'All Cases - Enter Cases'!K184,"")</f>
        <v/>
      </c>
      <c r="L184" t="str">
        <f>IF($A184&lt;&gt;"",'All Cases - Enter Cases'!L184,"")</f>
        <v/>
      </c>
      <c r="M184" t="str">
        <f>IF($A184&lt;&gt;"",'All Cases - Enter Cases'!M184,"")</f>
        <v/>
      </c>
    </row>
    <row r="185" spans="1:13" x14ac:dyDescent="0.35">
      <c r="A185" t="str">
        <f>IF('All Cases - Enter Cases'!$F185="KPK",'All Cases - Enter Cases'!A185,"")</f>
        <v/>
      </c>
      <c r="B185" t="str">
        <f>IF($A185&lt;&gt;"",'All Cases - Enter Cases'!B185,"")</f>
        <v/>
      </c>
      <c r="C185" t="str">
        <f>IF($A185&lt;&gt;"",'All Cases - Enter Cases'!C185,"")</f>
        <v/>
      </c>
      <c r="D185" t="str">
        <f>IF($A185&lt;&gt;"",'All Cases - Enter Cases'!D185,"")</f>
        <v/>
      </c>
      <c r="E185" t="str">
        <f>IF($A185&lt;&gt;"",'All Cases - Enter Cases'!E185,"")</f>
        <v/>
      </c>
      <c r="F185" t="str">
        <f>IF($A185&lt;&gt;"",'All Cases - Enter Cases'!F185,"")</f>
        <v/>
      </c>
      <c r="G185" t="str">
        <f>IF($A185&lt;&gt;"",'All Cases - Enter Cases'!G185,"")</f>
        <v/>
      </c>
      <c r="H185" t="str">
        <f>IF($A185&lt;&gt;"",'All Cases - Enter Cases'!H185,"")</f>
        <v/>
      </c>
      <c r="I185" t="str">
        <f>IF($A185&lt;&gt;"",'All Cases - Enter Cases'!I185,"")</f>
        <v/>
      </c>
      <c r="J185" t="str">
        <f>IF($A185&lt;&gt;"",'All Cases - Enter Cases'!J185,"")</f>
        <v/>
      </c>
      <c r="K185" t="str">
        <f>IF($A185&lt;&gt;"",'All Cases - Enter Cases'!K185,"")</f>
        <v/>
      </c>
      <c r="L185" t="str">
        <f>IF($A185&lt;&gt;"",'All Cases - Enter Cases'!L185,"")</f>
        <v/>
      </c>
      <c r="M185" t="str">
        <f>IF($A185&lt;&gt;"",'All Cases - Enter Cases'!M185,"")</f>
        <v/>
      </c>
    </row>
    <row r="186" spans="1:13" x14ac:dyDescent="0.35">
      <c r="A186" t="str">
        <f>IF('All Cases - Enter Cases'!$F186="KPK",'All Cases - Enter Cases'!A186,"")</f>
        <v/>
      </c>
      <c r="B186" t="str">
        <f>IF($A186&lt;&gt;"",'All Cases - Enter Cases'!B186,"")</f>
        <v/>
      </c>
      <c r="C186" t="str">
        <f>IF($A186&lt;&gt;"",'All Cases - Enter Cases'!C186,"")</f>
        <v/>
      </c>
      <c r="D186" t="str">
        <f>IF($A186&lt;&gt;"",'All Cases - Enter Cases'!D186,"")</f>
        <v/>
      </c>
      <c r="E186" t="str">
        <f>IF($A186&lt;&gt;"",'All Cases - Enter Cases'!E186,"")</f>
        <v/>
      </c>
      <c r="F186" t="str">
        <f>IF($A186&lt;&gt;"",'All Cases - Enter Cases'!F186,"")</f>
        <v/>
      </c>
      <c r="G186" t="str">
        <f>IF($A186&lt;&gt;"",'All Cases - Enter Cases'!G186,"")</f>
        <v/>
      </c>
      <c r="H186" t="str">
        <f>IF($A186&lt;&gt;"",'All Cases - Enter Cases'!H186,"")</f>
        <v/>
      </c>
      <c r="I186" t="str">
        <f>IF($A186&lt;&gt;"",'All Cases - Enter Cases'!I186,"")</f>
        <v/>
      </c>
      <c r="J186" t="str">
        <f>IF($A186&lt;&gt;"",'All Cases - Enter Cases'!J186,"")</f>
        <v/>
      </c>
      <c r="K186" t="str">
        <f>IF($A186&lt;&gt;"",'All Cases - Enter Cases'!K186,"")</f>
        <v/>
      </c>
      <c r="L186" t="str">
        <f>IF($A186&lt;&gt;"",'All Cases - Enter Cases'!L186,"")</f>
        <v/>
      </c>
      <c r="M186" t="str">
        <f>IF($A186&lt;&gt;"",'All Cases - Enter Cases'!M186,"")</f>
        <v/>
      </c>
    </row>
    <row r="187" spans="1:13" x14ac:dyDescent="0.35">
      <c r="A187" t="str">
        <f>IF('All Cases - Enter Cases'!$F187="KPK",'All Cases - Enter Cases'!A187,"")</f>
        <v/>
      </c>
      <c r="B187" t="str">
        <f>IF($A187&lt;&gt;"",'All Cases - Enter Cases'!B187,"")</f>
        <v/>
      </c>
      <c r="C187" t="str">
        <f>IF($A187&lt;&gt;"",'All Cases - Enter Cases'!C187,"")</f>
        <v/>
      </c>
      <c r="D187" t="str">
        <f>IF($A187&lt;&gt;"",'All Cases - Enter Cases'!D187,"")</f>
        <v/>
      </c>
      <c r="E187" t="str">
        <f>IF($A187&lt;&gt;"",'All Cases - Enter Cases'!E187,"")</f>
        <v/>
      </c>
      <c r="F187" t="str">
        <f>IF($A187&lt;&gt;"",'All Cases - Enter Cases'!F187,"")</f>
        <v/>
      </c>
      <c r="G187" t="str">
        <f>IF($A187&lt;&gt;"",'All Cases - Enter Cases'!G187,"")</f>
        <v/>
      </c>
      <c r="H187" t="str">
        <f>IF($A187&lt;&gt;"",'All Cases - Enter Cases'!H187,"")</f>
        <v/>
      </c>
      <c r="I187" t="str">
        <f>IF($A187&lt;&gt;"",'All Cases - Enter Cases'!I187,"")</f>
        <v/>
      </c>
      <c r="J187" t="str">
        <f>IF($A187&lt;&gt;"",'All Cases - Enter Cases'!J187,"")</f>
        <v/>
      </c>
      <c r="K187" t="str">
        <f>IF($A187&lt;&gt;"",'All Cases - Enter Cases'!K187,"")</f>
        <v/>
      </c>
      <c r="L187" t="str">
        <f>IF($A187&lt;&gt;"",'All Cases - Enter Cases'!L187,"")</f>
        <v/>
      </c>
      <c r="M187" t="str">
        <f>IF($A187&lt;&gt;"",'All Cases - Enter Cases'!M187,"")</f>
        <v/>
      </c>
    </row>
    <row r="188" spans="1:13" x14ac:dyDescent="0.35">
      <c r="A188" t="str">
        <f>IF('All Cases - Enter Cases'!$F188="KPK",'All Cases - Enter Cases'!A188,"")</f>
        <v/>
      </c>
      <c r="B188" t="str">
        <f>IF($A188&lt;&gt;"",'All Cases - Enter Cases'!B188,"")</f>
        <v/>
      </c>
      <c r="C188" t="str">
        <f>IF($A188&lt;&gt;"",'All Cases - Enter Cases'!C188,"")</f>
        <v/>
      </c>
      <c r="D188" t="str">
        <f>IF($A188&lt;&gt;"",'All Cases - Enter Cases'!D188,"")</f>
        <v/>
      </c>
      <c r="E188" t="str">
        <f>IF($A188&lt;&gt;"",'All Cases - Enter Cases'!E188,"")</f>
        <v/>
      </c>
      <c r="F188" t="str">
        <f>IF($A188&lt;&gt;"",'All Cases - Enter Cases'!F188,"")</f>
        <v/>
      </c>
      <c r="G188" t="str">
        <f>IF($A188&lt;&gt;"",'All Cases - Enter Cases'!G188,"")</f>
        <v/>
      </c>
      <c r="H188" t="str">
        <f>IF($A188&lt;&gt;"",'All Cases - Enter Cases'!H188,"")</f>
        <v/>
      </c>
      <c r="I188" t="str">
        <f>IF($A188&lt;&gt;"",'All Cases - Enter Cases'!I188,"")</f>
        <v/>
      </c>
      <c r="J188" t="str">
        <f>IF($A188&lt;&gt;"",'All Cases - Enter Cases'!J188,"")</f>
        <v/>
      </c>
      <c r="K188" t="str">
        <f>IF($A188&lt;&gt;"",'All Cases - Enter Cases'!K188,"")</f>
        <v/>
      </c>
      <c r="L188" t="str">
        <f>IF($A188&lt;&gt;"",'All Cases - Enter Cases'!L188,"")</f>
        <v/>
      </c>
      <c r="M188" t="str">
        <f>IF($A188&lt;&gt;"",'All Cases - Enter Cases'!M188,"")</f>
        <v/>
      </c>
    </row>
    <row r="189" spans="1:13" x14ac:dyDescent="0.35">
      <c r="A189" t="str">
        <f>IF('All Cases - Enter Cases'!$F189="KPK",'All Cases - Enter Cases'!A189,"")</f>
        <v/>
      </c>
      <c r="B189" t="str">
        <f>IF($A189&lt;&gt;"",'All Cases - Enter Cases'!B189,"")</f>
        <v/>
      </c>
      <c r="C189" t="str">
        <f>IF($A189&lt;&gt;"",'All Cases - Enter Cases'!C189,"")</f>
        <v/>
      </c>
      <c r="D189" t="str">
        <f>IF($A189&lt;&gt;"",'All Cases - Enter Cases'!D189,"")</f>
        <v/>
      </c>
      <c r="E189" t="str">
        <f>IF($A189&lt;&gt;"",'All Cases - Enter Cases'!E189,"")</f>
        <v/>
      </c>
      <c r="F189" t="str">
        <f>IF($A189&lt;&gt;"",'All Cases - Enter Cases'!F189,"")</f>
        <v/>
      </c>
      <c r="G189" t="str">
        <f>IF($A189&lt;&gt;"",'All Cases - Enter Cases'!G189,"")</f>
        <v/>
      </c>
      <c r="H189" t="str">
        <f>IF($A189&lt;&gt;"",'All Cases - Enter Cases'!H189,"")</f>
        <v/>
      </c>
      <c r="I189" t="str">
        <f>IF($A189&lt;&gt;"",'All Cases - Enter Cases'!I189,"")</f>
        <v/>
      </c>
      <c r="J189" t="str">
        <f>IF($A189&lt;&gt;"",'All Cases - Enter Cases'!J189,"")</f>
        <v/>
      </c>
      <c r="K189" t="str">
        <f>IF($A189&lt;&gt;"",'All Cases - Enter Cases'!K189,"")</f>
        <v/>
      </c>
      <c r="L189" t="str">
        <f>IF($A189&lt;&gt;"",'All Cases - Enter Cases'!L189,"")</f>
        <v/>
      </c>
      <c r="M189" t="str">
        <f>IF($A189&lt;&gt;"",'All Cases - Enter Cases'!M189,"")</f>
        <v/>
      </c>
    </row>
    <row r="190" spans="1:13" x14ac:dyDescent="0.35">
      <c r="A190" t="str">
        <f>IF('All Cases - Enter Cases'!$F190="KPK",'All Cases - Enter Cases'!A190,"")</f>
        <v/>
      </c>
      <c r="B190" t="str">
        <f>IF($A190&lt;&gt;"",'All Cases - Enter Cases'!B190,"")</f>
        <v/>
      </c>
      <c r="C190" t="str">
        <f>IF($A190&lt;&gt;"",'All Cases - Enter Cases'!C190,"")</f>
        <v/>
      </c>
      <c r="D190" t="str">
        <f>IF($A190&lt;&gt;"",'All Cases - Enter Cases'!D190,"")</f>
        <v/>
      </c>
      <c r="E190" t="str">
        <f>IF($A190&lt;&gt;"",'All Cases - Enter Cases'!E190,"")</f>
        <v/>
      </c>
      <c r="F190" t="str">
        <f>IF($A190&lt;&gt;"",'All Cases - Enter Cases'!F190,"")</f>
        <v/>
      </c>
      <c r="G190" t="str">
        <f>IF($A190&lt;&gt;"",'All Cases - Enter Cases'!G190,"")</f>
        <v/>
      </c>
      <c r="H190" t="str">
        <f>IF($A190&lt;&gt;"",'All Cases - Enter Cases'!H190,"")</f>
        <v/>
      </c>
      <c r="I190" t="str">
        <f>IF($A190&lt;&gt;"",'All Cases - Enter Cases'!I190,"")</f>
        <v/>
      </c>
      <c r="J190" t="str">
        <f>IF($A190&lt;&gt;"",'All Cases - Enter Cases'!J190,"")</f>
        <v/>
      </c>
      <c r="K190" t="str">
        <f>IF($A190&lt;&gt;"",'All Cases - Enter Cases'!K190,"")</f>
        <v/>
      </c>
      <c r="L190" t="str">
        <f>IF($A190&lt;&gt;"",'All Cases - Enter Cases'!L190,"")</f>
        <v/>
      </c>
      <c r="M190" t="str">
        <f>IF($A190&lt;&gt;"",'All Cases - Enter Cases'!M190,"")</f>
        <v/>
      </c>
    </row>
    <row r="191" spans="1:13" x14ac:dyDescent="0.35">
      <c r="A191" t="str">
        <f>IF('All Cases - Enter Cases'!$F191="KPK",'All Cases - Enter Cases'!A191,"")</f>
        <v/>
      </c>
      <c r="B191" t="str">
        <f>IF($A191&lt;&gt;"",'All Cases - Enter Cases'!B191,"")</f>
        <v/>
      </c>
      <c r="C191" t="str">
        <f>IF($A191&lt;&gt;"",'All Cases - Enter Cases'!C191,"")</f>
        <v/>
      </c>
      <c r="D191" t="str">
        <f>IF($A191&lt;&gt;"",'All Cases - Enter Cases'!D191,"")</f>
        <v/>
      </c>
      <c r="E191" t="str">
        <f>IF($A191&lt;&gt;"",'All Cases - Enter Cases'!E191,"")</f>
        <v/>
      </c>
      <c r="F191" t="str">
        <f>IF($A191&lt;&gt;"",'All Cases - Enter Cases'!F191,"")</f>
        <v/>
      </c>
      <c r="G191" t="str">
        <f>IF($A191&lt;&gt;"",'All Cases - Enter Cases'!G191,"")</f>
        <v/>
      </c>
      <c r="H191" t="str">
        <f>IF($A191&lt;&gt;"",'All Cases - Enter Cases'!H191,"")</f>
        <v/>
      </c>
      <c r="I191" t="str">
        <f>IF($A191&lt;&gt;"",'All Cases - Enter Cases'!I191,"")</f>
        <v/>
      </c>
      <c r="J191" t="str">
        <f>IF($A191&lt;&gt;"",'All Cases - Enter Cases'!J191,"")</f>
        <v/>
      </c>
      <c r="K191" t="str">
        <f>IF($A191&lt;&gt;"",'All Cases - Enter Cases'!K191,"")</f>
        <v/>
      </c>
      <c r="L191" t="str">
        <f>IF($A191&lt;&gt;"",'All Cases - Enter Cases'!L191,"")</f>
        <v/>
      </c>
      <c r="M191" t="str">
        <f>IF($A191&lt;&gt;"",'All Cases - Enter Cases'!M191,"")</f>
        <v/>
      </c>
    </row>
    <row r="192" spans="1:13" x14ac:dyDescent="0.35">
      <c r="A192" t="str">
        <f>IF('All Cases - Enter Cases'!$F192="KPK",'All Cases - Enter Cases'!A192,"")</f>
        <v/>
      </c>
      <c r="B192" t="str">
        <f>IF($A192&lt;&gt;"",'All Cases - Enter Cases'!B192,"")</f>
        <v/>
      </c>
      <c r="C192" t="str">
        <f>IF($A192&lt;&gt;"",'All Cases - Enter Cases'!C192,"")</f>
        <v/>
      </c>
      <c r="D192" t="str">
        <f>IF($A192&lt;&gt;"",'All Cases - Enter Cases'!D192,"")</f>
        <v/>
      </c>
      <c r="E192" t="str">
        <f>IF($A192&lt;&gt;"",'All Cases - Enter Cases'!E192,"")</f>
        <v/>
      </c>
      <c r="F192" t="str">
        <f>IF($A192&lt;&gt;"",'All Cases - Enter Cases'!F192,"")</f>
        <v/>
      </c>
      <c r="G192" t="str">
        <f>IF($A192&lt;&gt;"",'All Cases - Enter Cases'!G192,"")</f>
        <v/>
      </c>
      <c r="H192" t="str">
        <f>IF($A192&lt;&gt;"",'All Cases - Enter Cases'!H192,"")</f>
        <v/>
      </c>
      <c r="I192" t="str">
        <f>IF($A192&lt;&gt;"",'All Cases - Enter Cases'!I192,"")</f>
        <v/>
      </c>
      <c r="J192" t="str">
        <f>IF($A192&lt;&gt;"",'All Cases - Enter Cases'!J192,"")</f>
        <v/>
      </c>
      <c r="K192" t="str">
        <f>IF($A192&lt;&gt;"",'All Cases - Enter Cases'!K192,"")</f>
        <v/>
      </c>
      <c r="L192" t="str">
        <f>IF($A192&lt;&gt;"",'All Cases - Enter Cases'!L192,"")</f>
        <v/>
      </c>
      <c r="M192" t="str">
        <f>IF($A192&lt;&gt;"",'All Cases - Enter Cases'!M192,"")</f>
        <v/>
      </c>
    </row>
    <row r="193" spans="1:13" x14ac:dyDescent="0.35">
      <c r="A193" t="str">
        <f>IF('All Cases - Enter Cases'!$F193="KPK",'All Cases - Enter Cases'!A193,"")</f>
        <v/>
      </c>
      <c r="B193" t="str">
        <f>IF($A193&lt;&gt;"",'All Cases - Enter Cases'!B193,"")</f>
        <v/>
      </c>
      <c r="C193" t="str">
        <f>IF($A193&lt;&gt;"",'All Cases - Enter Cases'!C193,"")</f>
        <v/>
      </c>
      <c r="D193" t="str">
        <f>IF($A193&lt;&gt;"",'All Cases - Enter Cases'!D193,"")</f>
        <v/>
      </c>
      <c r="E193" t="str">
        <f>IF($A193&lt;&gt;"",'All Cases - Enter Cases'!E193,"")</f>
        <v/>
      </c>
      <c r="F193" t="str">
        <f>IF($A193&lt;&gt;"",'All Cases - Enter Cases'!F193,"")</f>
        <v/>
      </c>
      <c r="G193" t="str">
        <f>IF($A193&lt;&gt;"",'All Cases - Enter Cases'!G193,"")</f>
        <v/>
      </c>
      <c r="H193" t="str">
        <f>IF($A193&lt;&gt;"",'All Cases - Enter Cases'!H193,"")</f>
        <v/>
      </c>
      <c r="I193" t="str">
        <f>IF($A193&lt;&gt;"",'All Cases - Enter Cases'!I193,"")</f>
        <v/>
      </c>
      <c r="J193" t="str">
        <f>IF($A193&lt;&gt;"",'All Cases - Enter Cases'!J193,"")</f>
        <v/>
      </c>
      <c r="K193" t="str">
        <f>IF($A193&lt;&gt;"",'All Cases - Enter Cases'!K193,"")</f>
        <v/>
      </c>
      <c r="L193" t="str">
        <f>IF($A193&lt;&gt;"",'All Cases - Enter Cases'!L193,"")</f>
        <v/>
      </c>
      <c r="M193" t="str">
        <f>IF($A193&lt;&gt;"",'All Cases - Enter Cases'!M193,"")</f>
        <v/>
      </c>
    </row>
    <row r="194" spans="1:13" x14ac:dyDescent="0.35">
      <c r="A194" t="str">
        <f>IF('All Cases - Enter Cases'!$F194="KPK",'All Cases - Enter Cases'!A194,"")</f>
        <v/>
      </c>
      <c r="B194" t="str">
        <f>IF($A194&lt;&gt;"",'All Cases - Enter Cases'!B194,"")</f>
        <v/>
      </c>
      <c r="C194" t="str">
        <f>IF($A194&lt;&gt;"",'All Cases - Enter Cases'!C194,"")</f>
        <v/>
      </c>
      <c r="D194" t="str">
        <f>IF($A194&lt;&gt;"",'All Cases - Enter Cases'!D194,"")</f>
        <v/>
      </c>
      <c r="E194" t="str">
        <f>IF($A194&lt;&gt;"",'All Cases - Enter Cases'!E194,"")</f>
        <v/>
      </c>
      <c r="F194" t="str">
        <f>IF($A194&lt;&gt;"",'All Cases - Enter Cases'!F194,"")</f>
        <v/>
      </c>
      <c r="G194" t="str">
        <f>IF($A194&lt;&gt;"",'All Cases - Enter Cases'!G194,"")</f>
        <v/>
      </c>
      <c r="H194" t="str">
        <f>IF($A194&lt;&gt;"",'All Cases - Enter Cases'!H194,"")</f>
        <v/>
      </c>
      <c r="I194" t="str">
        <f>IF($A194&lt;&gt;"",'All Cases - Enter Cases'!I194,"")</f>
        <v/>
      </c>
      <c r="J194" t="str">
        <f>IF($A194&lt;&gt;"",'All Cases - Enter Cases'!J194,"")</f>
        <v/>
      </c>
      <c r="K194" t="str">
        <f>IF($A194&lt;&gt;"",'All Cases - Enter Cases'!K194,"")</f>
        <v/>
      </c>
      <c r="L194" t="str">
        <f>IF($A194&lt;&gt;"",'All Cases - Enter Cases'!L194,"")</f>
        <v/>
      </c>
      <c r="M194" t="str">
        <f>IF($A194&lt;&gt;"",'All Cases - Enter Cases'!M194,"")</f>
        <v/>
      </c>
    </row>
    <row r="195" spans="1:13" x14ac:dyDescent="0.35">
      <c r="A195" t="str">
        <f>IF('All Cases - Enter Cases'!$F195="KPK",'All Cases - Enter Cases'!A195,"")</f>
        <v/>
      </c>
      <c r="B195" t="str">
        <f>IF($A195&lt;&gt;"",'All Cases - Enter Cases'!B195,"")</f>
        <v/>
      </c>
      <c r="C195" t="str">
        <f>IF($A195&lt;&gt;"",'All Cases - Enter Cases'!C195,"")</f>
        <v/>
      </c>
      <c r="D195" t="str">
        <f>IF($A195&lt;&gt;"",'All Cases - Enter Cases'!D195,"")</f>
        <v/>
      </c>
      <c r="E195" t="str">
        <f>IF($A195&lt;&gt;"",'All Cases - Enter Cases'!E195,"")</f>
        <v/>
      </c>
      <c r="F195" t="str">
        <f>IF($A195&lt;&gt;"",'All Cases - Enter Cases'!F195,"")</f>
        <v/>
      </c>
      <c r="G195" t="str">
        <f>IF($A195&lt;&gt;"",'All Cases - Enter Cases'!G195,"")</f>
        <v/>
      </c>
      <c r="H195" t="str">
        <f>IF($A195&lt;&gt;"",'All Cases - Enter Cases'!H195,"")</f>
        <v/>
      </c>
      <c r="I195" t="str">
        <f>IF($A195&lt;&gt;"",'All Cases - Enter Cases'!I195,"")</f>
        <v/>
      </c>
      <c r="J195" t="str">
        <f>IF($A195&lt;&gt;"",'All Cases - Enter Cases'!J195,"")</f>
        <v/>
      </c>
      <c r="K195" t="str">
        <f>IF($A195&lt;&gt;"",'All Cases - Enter Cases'!K195,"")</f>
        <v/>
      </c>
      <c r="L195" t="str">
        <f>IF($A195&lt;&gt;"",'All Cases - Enter Cases'!L195,"")</f>
        <v/>
      </c>
      <c r="M195" t="str">
        <f>IF($A195&lt;&gt;"",'All Cases - Enter Cases'!M195,"")</f>
        <v/>
      </c>
    </row>
    <row r="196" spans="1:13" x14ac:dyDescent="0.35">
      <c r="A196" t="str">
        <f>IF('All Cases - Enter Cases'!$F196="KPK",'All Cases - Enter Cases'!A196,"")</f>
        <v/>
      </c>
      <c r="B196" t="str">
        <f>IF($A196&lt;&gt;"",'All Cases - Enter Cases'!B196,"")</f>
        <v/>
      </c>
      <c r="C196" t="str">
        <f>IF($A196&lt;&gt;"",'All Cases - Enter Cases'!C196,"")</f>
        <v/>
      </c>
      <c r="D196" t="str">
        <f>IF($A196&lt;&gt;"",'All Cases - Enter Cases'!D196,"")</f>
        <v/>
      </c>
      <c r="E196" t="str">
        <f>IF($A196&lt;&gt;"",'All Cases - Enter Cases'!E196,"")</f>
        <v/>
      </c>
      <c r="F196" t="str">
        <f>IF($A196&lt;&gt;"",'All Cases - Enter Cases'!F196,"")</f>
        <v/>
      </c>
      <c r="G196" t="str">
        <f>IF($A196&lt;&gt;"",'All Cases - Enter Cases'!G196,"")</f>
        <v/>
      </c>
      <c r="H196" t="str">
        <f>IF($A196&lt;&gt;"",'All Cases - Enter Cases'!H196,"")</f>
        <v/>
      </c>
      <c r="I196" t="str">
        <f>IF($A196&lt;&gt;"",'All Cases - Enter Cases'!I196,"")</f>
        <v/>
      </c>
      <c r="J196" t="str">
        <f>IF($A196&lt;&gt;"",'All Cases - Enter Cases'!J196,"")</f>
        <v/>
      </c>
      <c r="K196" t="str">
        <f>IF($A196&lt;&gt;"",'All Cases - Enter Cases'!K196,"")</f>
        <v/>
      </c>
      <c r="L196" t="str">
        <f>IF($A196&lt;&gt;"",'All Cases - Enter Cases'!L196,"")</f>
        <v/>
      </c>
      <c r="M196" t="str">
        <f>IF($A196&lt;&gt;"",'All Cases - Enter Cases'!M196,"")</f>
        <v/>
      </c>
    </row>
    <row r="197" spans="1:13" x14ac:dyDescent="0.35">
      <c r="A197" t="str">
        <f>IF('All Cases - Enter Cases'!$F197="KPK",'All Cases - Enter Cases'!A197,"")</f>
        <v/>
      </c>
      <c r="B197" t="str">
        <f>IF($A197&lt;&gt;"",'All Cases - Enter Cases'!B197,"")</f>
        <v/>
      </c>
      <c r="C197" t="str">
        <f>IF($A197&lt;&gt;"",'All Cases - Enter Cases'!C197,"")</f>
        <v/>
      </c>
      <c r="D197" t="str">
        <f>IF($A197&lt;&gt;"",'All Cases - Enter Cases'!D197,"")</f>
        <v/>
      </c>
      <c r="E197" t="str">
        <f>IF($A197&lt;&gt;"",'All Cases - Enter Cases'!E197,"")</f>
        <v/>
      </c>
      <c r="F197" t="str">
        <f>IF($A197&lt;&gt;"",'All Cases - Enter Cases'!F197,"")</f>
        <v/>
      </c>
      <c r="G197" t="str">
        <f>IF($A197&lt;&gt;"",'All Cases - Enter Cases'!G197,"")</f>
        <v/>
      </c>
      <c r="H197" t="str">
        <f>IF($A197&lt;&gt;"",'All Cases - Enter Cases'!H197,"")</f>
        <v/>
      </c>
      <c r="I197" t="str">
        <f>IF($A197&lt;&gt;"",'All Cases - Enter Cases'!I197,"")</f>
        <v/>
      </c>
      <c r="J197" t="str">
        <f>IF($A197&lt;&gt;"",'All Cases - Enter Cases'!J197,"")</f>
        <v/>
      </c>
      <c r="K197" t="str">
        <f>IF($A197&lt;&gt;"",'All Cases - Enter Cases'!K197,"")</f>
        <v/>
      </c>
      <c r="L197" t="str">
        <f>IF($A197&lt;&gt;"",'All Cases - Enter Cases'!L197,"")</f>
        <v/>
      </c>
      <c r="M197" t="str">
        <f>IF($A197&lt;&gt;"",'All Cases - Enter Cases'!M197,"")</f>
        <v/>
      </c>
    </row>
    <row r="198" spans="1:13" x14ac:dyDescent="0.35">
      <c r="A198" t="str">
        <f>IF('All Cases - Enter Cases'!$F198="KPK",'All Cases - Enter Cases'!A198,"")</f>
        <v/>
      </c>
      <c r="B198" t="str">
        <f>IF($A198&lt;&gt;"",'All Cases - Enter Cases'!B198,"")</f>
        <v/>
      </c>
      <c r="C198" t="str">
        <f>IF($A198&lt;&gt;"",'All Cases - Enter Cases'!C198,"")</f>
        <v/>
      </c>
      <c r="D198" t="str">
        <f>IF($A198&lt;&gt;"",'All Cases - Enter Cases'!D198,"")</f>
        <v/>
      </c>
      <c r="E198" t="str">
        <f>IF($A198&lt;&gt;"",'All Cases - Enter Cases'!E198,"")</f>
        <v/>
      </c>
      <c r="F198" t="str">
        <f>IF($A198&lt;&gt;"",'All Cases - Enter Cases'!F198,"")</f>
        <v/>
      </c>
      <c r="G198" t="str">
        <f>IF($A198&lt;&gt;"",'All Cases - Enter Cases'!G198,"")</f>
        <v/>
      </c>
      <c r="H198" t="str">
        <f>IF($A198&lt;&gt;"",'All Cases - Enter Cases'!H198,"")</f>
        <v/>
      </c>
      <c r="I198" t="str">
        <f>IF($A198&lt;&gt;"",'All Cases - Enter Cases'!I198,"")</f>
        <v/>
      </c>
      <c r="J198" t="str">
        <f>IF($A198&lt;&gt;"",'All Cases - Enter Cases'!J198,"")</f>
        <v/>
      </c>
      <c r="K198" t="str">
        <f>IF($A198&lt;&gt;"",'All Cases - Enter Cases'!K198,"")</f>
        <v/>
      </c>
      <c r="L198" t="str">
        <f>IF($A198&lt;&gt;"",'All Cases - Enter Cases'!L198,"")</f>
        <v/>
      </c>
      <c r="M198" t="str">
        <f>IF($A198&lt;&gt;"",'All Cases - Enter Cases'!M198,"")</f>
        <v/>
      </c>
    </row>
    <row r="199" spans="1:13" x14ac:dyDescent="0.35">
      <c r="A199" t="str">
        <f>IF('All Cases - Enter Cases'!$F199="KPK",'All Cases - Enter Cases'!A199,"")</f>
        <v/>
      </c>
      <c r="B199" t="str">
        <f>IF($A199&lt;&gt;"",'All Cases - Enter Cases'!B199,"")</f>
        <v/>
      </c>
      <c r="C199" t="str">
        <f>IF($A199&lt;&gt;"",'All Cases - Enter Cases'!C199,"")</f>
        <v/>
      </c>
      <c r="D199" t="str">
        <f>IF($A199&lt;&gt;"",'All Cases - Enter Cases'!D199,"")</f>
        <v/>
      </c>
      <c r="E199" t="str">
        <f>IF($A199&lt;&gt;"",'All Cases - Enter Cases'!E199,"")</f>
        <v/>
      </c>
      <c r="F199" t="str">
        <f>IF($A199&lt;&gt;"",'All Cases - Enter Cases'!F199,"")</f>
        <v/>
      </c>
      <c r="G199" t="str">
        <f>IF($A199&lt;&gt;"",'All Cases - Enter Cases'!G199,"")</f>
        <v/>
      </c>
      <c r="H199" t="str">
        <f>IF($A199&lt;&gt;"",'All Cases - Enter Cases'!H199,"")</f>
        <v/>
      </c>
      <c r="I199" t="str">
        <f>IF($A199&lt;&gt;"",'All Cases - Enter Cases'!I199,"")</f>
        <v/>
      </c>
      <c r="J199" t="str">
        <f>IF($A199&lt;&gt;"",'All Cases - Enter Cases'!J199,"")</f>
        <v/>
      </c>
      <c r="K199" t="str">
        <f>IF($A199&lt;&gt;"",'All Cases - Enter Cases'!K199,"")</f>
        <v/>
      </c>
      <c r="L199" t="str">
        <f>IF($A199&lt;&gt;"",'All Cases - Enter Cases'!L199,"")</f>
        <v/>
      </c>
      <c r="M199" t="str">
        <f>IF($A199&lt;&gt;"",'All Cases - Enter Cases'!M199,"")</f>
        <v/>
      </c>
    </row>
    <row r="200" spans="1:13" x14ac:dyDescent="0.35">
      <c r="A200" t="str">
        <f>IF('All Cases - Enter Cases'!$F200="KPK",'All Cases - Enter Cases'!A200,"")</f>
        <v/>
      </c>
      <c r="B200" t="str">
        <f>IF($A200&lt;&gt;"",'All Cases - Enter Cases'!B200,"")</f>
        <v/>
      </c>
      <c r="C200" t="str">
        <f>IF($A200&lt;&gt;"",'All Cases - Enter Cases'!C200,"")</f>
        <v/>
      </c>
      <c r="D200" t="str">
        <f>IF($A200&lt;&gt;"",'All Cases - Enter Cases'!D200,"")</f>
        <v/>
      </c>
      <c r="E200" t="str">
        <f>IF($A200&lt;&gt;"",'All Cases - Enter Cases'!E200,"")</f>
        <v/>
      </c>
      <c r="F200" t="str">
        <f>IF($A200&lt;&gt;"",'All Cases - Enter Cases'!F200,"")</f>
        <v/>
      </c>
      <c r="G200" t="str">
        <f>IF($A200&lt;&gt;"",'All Cases - Enter Cases'!G200,"")</f>
        <v/>
      </c>
      <c r="H200" t="str">
        <f>IF($A200&lt;&gt;"",'All Cases - Enter Cases'!H200,"")</f>
        <v/>
      </c>
      <c r="I200" t="str">
        <f>IF($A200&lt;&gt;"",'All Cases - Enter Cases'!I200,"")</f>
        <v/>
      </c>
      <c r="J200" t="str">
        <f>IF($A200&lt;&gt;"",'All Cases - Enter Cases'!J200,"")</f>
        <v/>
      </c>
      <c r="K200" t="str">
        <f>IF($A200&lt;&gt;"",'All Cases - Enter Cases'!K200,"")</f>
        <v/>
      </c>
      <c r="L200" t="str">
        <f>IF($A200&lt;&gt;"",'All Cases - Enter Cases'!L200,"")</f>
        <v/>
      </c>
      <c r="M200" t="str">
        <f>IF($A200&lt;&gt;"",'All Cases - Enter Cases'!M200,"")</f>
        <v/>
      </c>
    </row>
    <row r="201" spans="1:13" x14ac:dyDescent="0.35">
      <c r="A201" t="str">
        <f>IF('All Cases - Enter Cases'!$F201="KPK",'All Cases - Enter Cases'!A201,"")</f>
        <v/>
      </c>
      <c r="B201" t="str">
        <f>IF($A201&lt;&gt;"",'All Cases - Enter Cases'!B201,"")</f>
        <v/>
      </c>
      <c r="C201" t="str">
        <f>IF($A201&lt;&gt;"",'All Cases - Enter Cases'!C201,"")</f>
        <v/>
      </c>
      <c r="D201" t="str">
        <f>IF($A201&lt;&gt;"",'All Cases - Enter Cases'!D201,"")</f>
        <v/>
      </c>
      <c r="E201" t="str">
        <f>IF($A201&lt;&gt;"",'All Cases - Enter Cases'!E201,"")</f>
        <v/>
      </c>
      <c r="F201" t="str">
        <f>IF($A201&lt;&gt;"",'All Cases - Enter Cases'!F201,"")</f>
        <v/>
      </c>
      <c r="G201" t="str">
        <f>IF($A201&lt;&gt;"",'All Cases - Enter Cases'!G201,"")</f>
        <v/>
      </c>
      <c r="H201" t="str">
        <f>IF($A201&lt;&gt;"",'All Cases - Enter Cases'!H201,"")</f>
        <v/>
      </c>
      <c r="I201" t="str">
        <f>IF($A201&lt;&gt;"",'All Cases - Enter Cases'!I201,"")</f>
        <v/>
      </c>
      <c r="J201" t="str">
        <f>IF($A201&lt;&gt;"",'All Cases - Enter Cases'!J201,"")</f>
        <v/>
      </c>
      <c r="K201" t="str">
        <f>IF($A201&lt;&gt;"",'All Cases - Enter Cases'!K201,"")</f>
        <v/>
      </c>
      <c r="L201" t="str">
        <f>IF($A201&lt;&gt;"",'All Cases - Enter Cases'!L201,"")</f>
        <v/>
      </c>
      <c r="M201" t="str">
        <f>IF($A201&lt;&gt;"",'All Cases - Enter Cases'!M201,"")</f>
        <v/>
      </c>
    </row>
    <row r="202" spans="1:13" x14ac:dyDescent="0.35">
      <c r="A202" t="str">
        <f>IF('All Cases - Enter Cases'!$F202="KPK",'All Cases - Enter Cases'!A202,"")</f>
        <v/>
      </c>
      <c r="B202" t="str">
        <f>IF($A202&lt;&gt;"",'All Cases - Enter Cases'!B202,"")</f>
        <v/>
      </c>
      <c r="C202" t="str">
        <f>IF($A202&lt;&gt;"",'All Cases - Enter Cases'!C202,"")</f>
        <v/>
      </c>
      <c r="D202" t="str">
        <f>IF($A202&lt;&gt;"",'All Cases - Enter Cases'!D202,"")</f>
        <v/>
      </c>
      <c r="E202" t="str">
        <f>IF($A202&lt;&gt;"",'All Cases - Enter Cases'!E202,"")</f>
        <v/>
      </c>
      <c r="F202" t="str">
        <f>IF($A202&lt;&gt;"",'All Cases - Enter Cases'!F202,"")</f>
        <v/>
      </c>
      <c r="G202" t="str">
        <f>IF($A202&lt;&gt;"",'All Cases - Enter Cases'!G202,"")</f>
        <v/>
      </c>
      <c r="H202" t="str">
        <f>IF($A202&lt;&gt;"",'All Cases - Enter Cases'!H202,"")</f>
        <v/>
      </c>
      <c r="I202" t="str">
        <f>IF($A202&lt;&gt;"",'All Cases - Enter Cases'!I202,"")</f>
        <v/>
      </c>
      <c r="J202" t="str">
        <f>IF($A202&lt;&gt;"",'All Cases - Enter Cases'!J202,"")</f>
        <v/>
      </c>
      <c r="K202" t="str">
        <f>IF($A202&lt;&gt;"",'All Cases - Enter Cases'!K202,"")</f>
        <v/>
      </c>
      <c r="L202" t="str">
        <f>IF($A202&lt;&gt;"",'All Cases - Enter Cases'!L202,"")</f>
        <v/>
      </c>
      <c r="M202" t="str">
        <f>IF($A202&lt;&gt;"",'All Cases - Enter Cases'!M202,"")</f>
        <v/>
      </c>
    </row>
    <row r="203" spans="1:13" x14ac:dyDescent="0.35">
      <c r="A203" t="str">
        <f>IF('All Cases - Enter Cases'!$F203="KPK",'All Cases - Enter Cases'!A203,"")</f>
        <v/>
      </c>
      <c r="B203" t="str">
        <f>IF($A203&lt;&gt;"",'All Cases - Enter Cases'!B203,"")</f>
        <v/>
      </c>
      <c r="C203" t="str">
        <f>IF($A203&lt;&gt;"",'All Cases - Enter Cases'!C203,"")</f>
        <v/>
      </c>
      <c r="D203" t="str">
        <f>IF($A203&lt;&gt;"",'All Cases - Enter Cases'!D203,"")</f>
        <v/>
      </c>
      <c r="E203" t="str">
        <f>IF($A203&lt;&gt;"",'All Cases - Enter Cases'!E203,"")</f>
        <v/>
      </c>
      <c r="F203" t="str">
        <f>IF($A203&lt;&gt;"",'All Cases - Enter Cases'!F203,"")</f>
        <v/>
      </c>
      <c r="G203" t="str">
        <f>IF($A203&lt;&gt;"",'All Cases - Enter Cases'!G203,"")</f>
        <v/>
      </c>
      <c r="H203" t="str">
        <f>IF($A203&lt;&gt;"",'All Cases - Enter Cases'!H203,"")</f>
        <v/>
      </c>
      <c r="I203" t="str">
        <f>IF($A203&lt;&gt;"",'All Cases - Enter Cases'!I203,"")</f>
        <v/>
      </c>
      <c r="J203" t="str">
        <f>IF($A203&lt;&gt;"",'All Cases - Enter Cases'!J203,"")</f>
        <v/>
      </c>
      <c r="K203" t="str">
        <f>IF($A203&lt;&gt;"",'All Cases - Enter Cases'!K203,"")</f>
        <v/>
      </c>
      <c r="L203" t="str">
        <f>IF($A203&lt;&gt;"",'All Cases - Enter Cases'!L203,"")</f>
        <v/>
      </c>
      <c r="M203" t="str">
        <f>IF($A203&lt;&gt;"",'All Cases - Enter Cases'!M203,"")</f>
        <v/>
      </c>
    </row>
    <row r="204" spans="1:13" x14ac:dyDescent="0.35">
      <c r="A204" t="str">
        <f>IF('All Cases - Enter Cases'!$F204="KPK",'All Cases - Enter Cases'!A204,"")</f>
        <v/>
      </c>
      <c r="B204" t="str">
        <f>IF($A204&lt;&gt;"",'All Cases - Enter Cases'!B204,"")</f>
        <v/>
      </c>
      <c r="C204" t="str">
        <f>IF($A204&lt;&gt;"",'All Cases - Enter Cases'!C204,"")</f>
        <v/>
      </c>
      <c r="D204" t="str">
        <f>IF($A204&lt;&gt;"",'All Cases - Enter Cases'!D204,"")</f>
        <v/>
      </c>
      <c r="E204" t="str">
        <f>IF($A204&lt;&gt;"",'All Cases - Enter Cases'!E204,"")</f>
        <v/>
      </c>
      <c r="F204" t="str">
        <f>IF($A204&lt;&gt;"",'All Cases - Enter Cases'!F204,"")</f>
        <v/>
      </c>
      <c r="G204" t="str">
        <f>IF($A204&lt;&gt;"",'All Cases - Enter Cases'!G204,"")</f>
        <v/>
      </c>
      <c r="H204" t="str">
        <f>IF($A204&lt;&gt;"",'All Cases - Enter Cases'!H204,"")</f>
        <v/>
      </c>
      <c r="I204" t="str">
        <f>IF($A204&lt;&gt;"",'All Cases - Enter Cases'!I204,"")</f>
        <v/>
      </c>
      <c r="J204" t="str">
        <f>IF($A204&lt;&gt;"",'All Cases - Enter Cases'!J204,"")</f>
        <v/>
      </c>
      <c r="K204" t="str">
        <f>IF($A204&lt;&gt;"",'All Cases - Enter Cases'!K204,"")</f>
        <v/>
      </c>
      <c r="L204" t="str">
        <f>IF($A204&lt;&gt;"",'All Cases - Enter Cases'!L204,"")</f>
        <v/>
      </c>
      <c r="M204" t="str">
        <f>IF($A204&lt;&gt;"",'All Cases - Enter Cases'!M204,"")</f>
        <v/>
      </c>
    </row>
    <row r="205" spans="1:13" x14ac:dyDescent="0.35">
      <c r="A205" t="str">
        <f>IF('All Cases - Enter Cases'!$F205="KPK",'All Cases - Enter Cases'!A205,"")</f>
        <v/>
      </c>
      <c r="B205" t="str">
        <f>IF($A205&lt;&gt;"",'All Cases - Enter Cases'!B205,"")</f>
        <v/>
      </c>
      <c r="C205" t="str">
        <f>IF($A205&lt;&gt;"",'All Cases - Enter Cases'!C205,"")</f>
        <v/>
      </c>
      <c r="D205" t="str">
        <f>IF($A205&lt;&gt;"",'All Cases - Enter Cases'!D205,"")</f>
        <v/>
      </c>
      <c r="E205" t="str">
        <f>IF($A205&lt;&gt;"",'All Cases - Enter Cases'!E205,"")</f>
        <v/>
      </c>
      <c r="F205" t="str">
        <f>IF($A205&lt;&gt;"",'All Cases - Enter Cases'!F205,"")</f>
        <v/>
      </c>
      <c r="G205" t="str">
        <f>IF($A205&lt;&gt;"",'All Cases - Enter Cases'!G205,"")</f>
        <v/>
      </c>
      <c r="H205" t="str">
        <f>IF($A205&lt;&gt;"",'All Cases - Enter Cases'!H205,"")</f>
        <v/>
      </c>
      <c r="I205" t="str">
        <f>IF($A205&lt;&gt;"",'All Cases - Enter Cases'!I205,"")</f>
        <v/>
      </c>
      <c r="J205" t="str">
        <f>IF($A205&lt;&gt;"",'All Cases - Enter Cases'!J205,"")</f>
        <v/>
      </c>
      <c r="K205" t="str">
        <f>IF($A205&lt;&gt;"",'All Cases - Enter Cases'!K205,"")</f>
        <v/>
      </c>
      <c r="L205" t="str">
        <f>IF($A205&lt;&gt;"",'All Cases - Enter Cases'!L205,"")</f>
        <v/>
      </c>
      <c r="M205" t="str">
        <f>IF($A205&lt;&gt;"",'All Cases - Enter Cases'!M205,"")</f>
        <v/>
      </c>
    </row>
    <row r="206" spans="1:13" x14ac:dyDescent="0.35">
      <c r="A206" t="str">
        <f>IF('All Cases - Enter Cases'!$F206="KPK",'All Cases - Enter Cases'!A206,"")</f>
        <v/>
      </c>
      <c r="B206" t="str">
        <f>IF($A206&lt;&gt;"",'All Cases - Enter Cases'!B206,"")</f>
        <v/>
      </c>
      <c r="C206" t="str">
        <f>IF($A206&lt;&gt;"",'All Cases - Enter Cases'!C206,"")</f>
        <v/>
      </c>
      <c r="D206" t="str">
        <f>IF($A206&lt;&gt;"",'All Cases - Enter Cases'!D206,"")</f>
        <v/>
      </c>
      <c r="E206" t="str">
        <f>IF($A206&lt;&gt;"",'All Cases - Enter Cases'!E206,"")</f>
        <v/>
      </c>
      <c r="F206" t="str">
        <f>IF($A206&lt;&gt;"",'All Cases - Enter Cases'!F206,"")</f>
        <v/>
      </c>
      <c r="G206" t="str">
        <f>IF($A206&lt;&gt;"",'All Cases - Enter Cases'!G206,"")</f>
        <v/>
      </c>
      <c r="H206" t="str">
        <f>IF($A206&lt;&gt;"",'All Cases - Enter Cases'!H206,"")</f>
        <v/>
      </c>
      <c r="I206" t="str">
        <f>IF($A206&lt;&gt;"",'All Cases - Enter Cases'!I206,"")</f>
        <v/>
      </c>
      <c r="J206" t="str">
        <f>IF($A206&lt;&gt;"",'All Cases - Enter Cases'!J206,"")</f>
        <v/>
      </c>
      <c r="K206" t="str">
        <f>IF($A206&lt;&gt;"",'All Cases - Enter Cases'!K206,"")</f>
        <v/>
      </c>
      <c r="L206" t="str">
        <f>IF($A206&lt;&gt;"",'All Cases - Enter Cases'!L206,"")</f>
        <v/>
      </c>
      <c r="M206" t="str">
        <f>IF($A206&lt;&gt;"",'All Cases - Enter Cases'!M206,"")</f>
        <v/>
      </c>
    </row>
    <row r="207" spans="1:13" x14ac:dyDescent="0.35">
      <c r="A207" t="str">
        <f>IF('All Cases - Enter Cases'!$F207="KPK",'All Cases - Enter Cases'!A207,"")</f>
        <v/>
      </c>
      <c r="B207" t="str">
        <f>IF($A207&lt;&gt;"",'All Cases - Enter Cases'!B207,"")</f>
        <v/>
      </c>
      <c r="C207" t="str">
        <f>IF($A207&lt;&gt;"",'All Cases - Enter Cases'!C207,"")</f>
        <v/>
      </c>
      <c r="D207" t="str">
        <f>IF($A207&lt;&gt;"",'All Cases - Enter Cases'!D207,"")</f>
        <v/>
      </c>
      <c r="E207" t="str">
        <f>IF($A207&lt;&gt;"",'All Cases - Enter Cases'!E207,"")</f>
        <v/>
      </c>
      <c r="F207" t="str">
        <f>IF($A207&lt;&gt;"",'All Cases - Enter Cases'!F207,"")</f>
        <v/>
      </c>
      <c r="G207" t="str">
        <f>IF($A207&lt;&gt;"",'All Cases - Enter Cases'!G207,"")</f>
        <v/>
      </c>
      <c r="H207" t="str">
        <f>IF($A207&lt;&gt;"",'All Cases - Enter Cases'!H207,"")</f>
        <v/>
      </c>
      <c r="I207" t="str">
        <f>IF($A207&lt;&gt;"",'All Cases - Enter Cases'!I207,"")</f>
        <v/>
      </c>
      <c r="J207" t="str">
        <f>IF($A207&lt;&gt;"",'All Cases - Enter Cases'!J207,"")</f>
        <v/>
      </c>
      <c r="K207" t="str">
        <f>IF($A207&lt;&gt;"",'All Cases - Enter Cases'!K207,"")</f>
        <v/>
      </c>
      <c r="L207" t="str">
        <f>IF($A207&lt;&gt;"",'All Cases - Enter Cases'!L207,"")</f>
        <v/>
      </c>
      <c r="M207" t="str">
        <f>IF($A207&lt;&gt;"",'All Cases - Enter Cases'!M207,"")</f>
        <v/>
      </c>
    </row>
    <row r="208" spans="1:13" x14ac:dyDescent="0.35">
      <c r="A208" t="str">
        <f>IF('All Cases - Enter Cases'!$F208="KPK",'All Cases - Enter Cases'!A208,"")</f>
        <v/>
      </c>
      <c r="B208" t="str">
        <f>IF($A208&lt;&gt;"",'All Cases - Enter Cases'!B208,"")</f>
        <v/>
      </c>
      <c r="C208" t="str">
        <f>IF($A208&lt;&gt;"",'All Cases - Enter Cases'!C208,"")</f>
        <v/>
      </c>
      <c r="D208" t="str">
        <f>IF($A208&lt;&gt;"",'All Cases - Enter Cases'!D208,"")</f>
        <v/>
      </c>
      <c r="E208" t="str">
        <f>IF($A208&lt;&gt;"",'All Cases - Enter Cases'!E208,"")</f>
        <v/>
      </c>
      <c r="F208" t="str">
        <f>IF($A208&lt;&gt;"",'All Cases - Enter Cases'!F208,"")</f>
        <v/>
      </c>
      <c r="G208" t="str">
        <f>IF($A208&lt;&gt;"",'All Cases - Enter Cases'!G208,"")</f>
        <v/>
      </c>
      <c r="H208" t="str">
        <f>IF($A208&lt;&gt;"",'All Cases - Enter Cases'!H208,"")</f>
        <v/>
      </c>
      <c r="I208" t="str">
        <f>IF($A208&lt;&gt;"",'All Cases - Enter Cases'!I208,"")</f>
        <v/>
      </c>
      <c r="J208" t="str">
        <f>IF($A208&lt;&gt;"",'All Cases - Enter Cases'!J208,"")</f>
        <v/>
      </c>
      <c r="K208" t="str">
        <f>IF($A208&lt;&gt;"",'All Cases - Enter Cases'!K208,"")</f>
        <v/>
      </c>
      <c r="L208" t="str">
        <f>IF($A208&lt;&gt;"",'All Cases - Enter Cases'!L208,"")</f>
        <v/>
      </c>
      <c r="M208" t="str">
        <f>IF($A208&lt;&gt;"",'All Cases - Enter Cases'!M208,"")</f>
        <v/>
      </c>
    </row>
    <row r="209" spans="1:13" x14ac:dyDescent="0.35">
      <c r="A209" t="str">
        <f>IF('All Cases - Enter Cases'!$F209="KPK",'All Cases - Enter Cases'!A209,"")</f>
        <v/>
      </c>
      <c r="B209" t="str">
        <f>IF($A209&lt;&gt;"",'All Cases - Enter Cases'!B209,"")</f>
        <v/>
      </c>
      <c r="C209" t="str">
        <f>IF($A209&lt;&gt;"",'All Cases - Enter Cases'!C209,"")</f>
        <v/>
      </c>
      <c r="D209" t="str">
        <f>IF($A209&lt;&gt;"",'All Cases - Enter Cases'!D209,"")</f>
        <v/>
      </c>
      <c r="E209" t="str">
        <f>IF($A209&lt;&gt;"",'All Cases - Enter Cases'!E209,"")</f>
        <v/>
      </c>
      <c r="F209" t="str">
        <f>IF($A209&lt;&gt;"",'All Cases - Enter Cases'!F209,"")</f>
        <v/>
      </c>
      <c r="G209" t="str">
        <f>IF($A209&lt;&gt;"",'All Cases - Enter Cases'!G209,"")</f>
        <v/>
      </c>
      <c r="H209" t="str">
        <f>IF($A209&lt;&gt;"",'All Cases - Enter Cases'!H209,"")</f>
        <v/>
      </c>
      <c r="I209" t="str">
        <f>IF($A209&lt;&gt;"",'All Cases - Enter Cases'!I209,"")</f>
        <v/>
      </c>
      <c r="J209" t="str">
        <f>IF($A209&lt;&gt;"",'All Cases - Enter Cases'!J209,"")</f>
        <v/>
      </c>
      <c r="K209" t="str">
        <f>IF($A209&lt;&gt;"",'All Cases - Enter Cases'!K209,"")</f>
        <v/>
      </c>
      <c r="L209" t="str">
        <f>IF($A209&lt;&gt;"",'All Cases - Enter Cases'!L209,"")</f>
        <v/>
      </c>
      <c r="M209" t="str">
        <f>IF($A209&lt;&gt;"",'All Cases - Enter Cases'!M209,"")</f>
        <v/>
      </c>
    </row>
    <row r="210" spans="1:13" x14ac:dyDescent="0.35">
      <c r="A210" t="str">
        <f>IF('All Cases - Enter Cases'!$F210="KPK",'All Cases - Enter Cases'!A210,"")</f>
        <v/>
      </c>
      <c r="B210" t="str">
        <f>IF($A210&lt;&gt;"",'All Cases - Enter Cases'!B210,"")</f>
        <v/>
      </c>
      <c r="C210" t="str">
        <f>IF($A210&lt;&gt;"",'All Cases - Enter Cases'!C210,"")</f>
        <v/>
      </c>
      <c r="D210" t="str">
        <f>IF($A210&lt;&gt;"",'All Cases - Enter Cases'!D210,"")</f>
        <v/>
      </c>
      <c r="E210" t="str">
        <f>IF($A210&lt;&gt;"",'All Cases - Enter Cases'!E210,"")</f>
        <v/>
      </c>
      <c r="F210" t="str">
        <f>IF($A210&lt;&gt;"",'All Cases - Enter Cases'!F210,"")</f>
        <v/>
      </c>
      <c r="G210" t="str">
        <f>IF($A210&lt;&gt;"",'All Cases - Enter Cases'!G210,"")</f>
        <v/>
      </c>
      <c r="H210" t="str">
        <f>IF($A210&lt;&gt;"",'All Cases - Enter Cases'!H210,"")</f>
        <v/>
      </c>
      <c r="I210" t="str">
        <f>IF($A210&lt;&gt;"",'All Cases - Enter Cases'!I210,"")</f>
        <v/>
      </c>
      <c r="J210" t="str">
        <f>IF($A210&lt;&gt;"",'All Cases - Enter Cases'!J210,"")</f>
        <v/>
      </c>
      <c r="K210" t="str">
        <f>IF($A210&lt;&gt;"",'All Cases - Enter Cases'!K210,"")</f>
        <v/>
      </c>
      <c r="L210" t="str">
        <f>IF($A210&lt;&gt;"",'All Cases - Enter Cases'!L210,"")</f>
        <v/>
      </c>
      <c r="M210" t="str">
        <f>IF($A210&lt;&gt;"",'All Cases - Enter Cases'!M210,"")</f>
        <v/>
      </c>
    </row>
    <row r="211" spans="1:13" x14ac:dyDescent="0.35">
      <c r="A211" t="str">
        <f>IF('All Cases - Enter Cases'!$F211="KPK",'All Cases - Enter Cases'!A211,"")</f>
        <v/>
      </c>
      <c r="B211" t="str">
        <f>IF($A211&lt;&gt;"",'All Cases - Enter Cases'!B211,"")</f>
        <v/>
      </c>
      <c r="C211" t="str">
        <f>IF($A211&lt;&gt;"",'All Cases - Enter Cases'!C211,"")</f>
        <v/>
      </c>
      <c r="D211" t="str">
        <f>IF($A211&lt;&gt;"",'All Cases - Enter Cases'!D211,"")</f>
        <v/>
      </c>
      <c r="E211" t="str">
        <f>IF($A211&lt;&gt;"",'All Cases - Enter Cases'!E211,"")</f>
        <v/>
      </c>
      <c r="F211" t="str">
        <f>IF($A211&lt;&gt;"",'All Cases - Enter Cases'!F211,"")</f>
        <v/>
      </c>
      <c r="G211" t="str">
        <f>IF($A211&lt;&gt;"",'All Cases - Enter Cases'!G211,"")</f>
        <v/>
      </c>
      <c r="H211" t="str">
        <f>IF($A211&lt;&gt;"",'All Cases - Enter Cases'!H211,"")</f>
        <v/>
      </c>
      <c r="I211" t="str">
        <f>IF($A211&lt;&gt;"",'All Cases - Enter Cases'!I211,"")</f>
        <v/>
      </c>
      <c r="J211" t="str">
        <f>IF($A211&lt;&gt;"",'All Cases - Enter Cases'!J211,"")</f>
        <v/>
      </c>
      <c r="K211" t="str">
        <f>IF($A211&lt;&gt;"",'All Cases - Enter Cases'!K211,"")</f>
        <v/>
      </c>
      <c r="L211" t="str">
        <f>IF($A211&lt;&gt;"",'All Cases - Enter Cases'!L211,"")</f>
        <v/>
      </c>
      <c r="M211" t="str">
        <f>IF($A211&lt;&gt;"",'All Cases - Enter Cases'!M211,"")</f>
        <v/>
      </c>
    </row>
    <row r="212" spans="1:13" x14ac:dyDescent="0.35">
      <c r="A212" t="str">
        <f>IF('All Cases - Enter Cases'!$F212="KPK",'All Cases - Enter Cases'!A212,"")</f>
        <v/>
      </c>
      <c r="B212" t="str">
        <f>IF($A212&lt;&gt;"",'All Cases - Enter Cases'!B212,"")</f>
        <v/>
      </c>
      <c r="C212" t="str">
        <f>IF($A212&lt;&gt;"",'All Cases - Enter Cases'!C212,"")</f>
        <v/>
      </c>
      <c r="D212" t="str">
        <f>IF($A212&lt;&gt;"",'All Cases - Enter Cases'!D212,"")</f>
        <v/>
      </c>
      <c r="E212" t="str">
        <f>IF($A212&lt;&gt;"",'All Cases - Enter Cases'!E212,"")</f>
        <v/>
      </c>
      <c r="F212" t="str">
        <f>IF($A212&lt;&gt;"",'All Cases - Enter Cases'!F212,"")</f>
        <v/>
      </c>
      <c r="G212" t="str">
        <f>IF($A212&lt;&gt;"",'All Cases - Enter Cases'!G212,"")</f>
        <v/>
      </c>
      <c r="H212" t="str">
        <f>IF($A212&lt;&gt;"",'All Cases - Enter Cases'!H212,"")</f>
        <v/>
      </c>
      <c r="I212" t="str">
        <f>IF($A212&lt;&gt;"",'All Cases - Enter Cases'!I212,"")</f>
        <v/>
      </c>
      <c r="J212" t="str">
        <f>IF($A212&lt;&gt;"",'All Cases - Enter Cases'!J212,"")</f>
        <v/>
      </c>
      <c r="K212" t="str">
        <f>IF($A212&lt;&gt;"",'All Cases - Enter Cases'!K212,"")</f>
        <v/>
      </c>
      <c r="L212" t="str">
        <f>IF($A212&lt;&gt;"",'All Cases - Enter Cases'!L212,"")</f>
        <v/>
      </c>
      <c r="M212" t="str">
        <f>IF($A212&lt;&gt;"",'All Cases - Enter Cases'!M212,"")</f>
        <v/>
      </c>
    </row>
    <row r="213" spans="1:13" x14ac:dyDescent="0.35">
      <c r="A213" t="str">
        <f>IF('All Cases - Enter Cases'!$F213="KPK",'All Cases - Enter Cases'!A213,"")</f>
        <v/>
      </c>
      <c r="B213" t="str">
        <f>IF($A213&lt;&gt;"",'All Cases - Enter Cases'!B213,"")</f>
        <v/>
      </c>
      <c r="C213" t="str">
        <f>IF($A213&lt;&gt;"",'All Cases - Enter Cases'!C213,"")</f>
        <v/>
      </c>
      <c r="D213" t="str">
        <f>IF($A213&lt;&gt;"",'All Cases - Enter Cases'!D213,"")</f>
        <v/>
      </c>
      <c r="E213" t="str">
        <f>IF($A213&lt;&gt;"",'All Cases - Enter Cases'!E213,"")</f>
        <v/>
      </c>
      <c r="F213" t="str">
        <f>IF($A213&lt;&gt;"",'All Cases - Enter Cases'!F213,"")</f>
        <v/>
      </c>
      <c r="G213" t="str">
        <f>IF($A213&lt;&gt;"",'All Cases - Enter Cases'!G213,"")</f>
        <v/>
      </c>
      <c r="H213" t="str">
        <f>IF($A213&lt;&gt;"",'All Cases - Enter Cases'!H213,"")</f>
        <v/>
      </c>
      <c r="I213" t="str">
        <f>IF($A213&lt;&gt;"",'All Cases - Enter Cases'!I213,"")</f>
        <v/>
      </c>
      <c r="J213" t="str">
        <f>IF($A213&lt;&gt;"",'All Cases - Enter Cases'!J213,"")</f>
        <v/>
      </c>
      <c r="K213" t="str">
        <f>IF($A213&lt;&gt;"",'All Cases - Enter Cases'!K213,"")</f>
        <v/>
      </c>
      <c r="L213" t="str">
        <f>IF($A213&lt;&gt;"",'All Cases - Enter Cases'!L213,"")</f>
        <v/>
      </c>
      <c r="M213" t="str">
        <f>IF($A213&lt;&gt;"",'All Cases - Enter Cases'!M213,"")</f>
        <v/>
      </c>
    </row>
    <row r="214" spans="1:13" x14ac:dyDescent="0.35">
      <c r="A214" t="str">
        <f>IF('All Cases - Enter Cases'!$F214="KPK",'All Cases - Enter Cases'!A214,"")</f>
        <v/>
      </c>
      <c r="B214" t="str">
        <f>IF($A214&lt;&gt;"",'All Cases - Enter Cases'!B214,"")</f>
        <v/>
      </c>
      <c r="C214" t="str">
        <f>IF($A214&lt;&gt;"",'All Cases - Enter Cases'!C214,"")</f>
        <v/>
      </c>
      <c r="D214" t="str">
        <f>IF($A214&lt;&gt;"",'All Cases - Enter Cases'!D214,"")</f>
        <v/>
      </c>
      <c r="E214" t="str">
        <f>IF($A214&lt;&gt;"",'All Cases - Enter Cases'!E214,"")</f>
        <v/>
      </c>
      <c r="F214" t="str">
        <f>IF($A214&lt;&gt;"",'All Cases - Enter Cases'!F214,"")</f>
        <v/>
      </c>
      <c r="G214" t="str">
        <f>IF($A214&lt;&gt;"",'All Cases - Enter Cases'!G214,"")</f>
        <v/>
      </c>
      <c r="H214" t="str">
        <f>IF($A214&lt;&gt;"",'All Cases - Enter Cases'!H214,"")</f>
        <v/>
      </c>
      <c r="I214" t="str">
        <f>IF($A214&lt;&gt;"",'All Cases - Enter Cases'!I214,"")</f>
        <v/>
      </c>
      <c r="J214" t="str">
        <f>IF($A214&lt;&gt;"",'All Cases - Enter Cases'!J214,"")</f>
        <v/>
      </c>
      <c r="K214" t="str">
        <f>IF($A214&lt;&gt;"",'All Cases - Enter Cases'!K214,"")</f>
        <v/>
      </c>
      <c r="L214" t="str">
        <f>IF($A214&lt;&gt;"",'All Cases - Enter Cases'!L214,"")</f>
        <v/>
      </c>
      <c r="M214" t="str">
        <f>IF($A214&lt;&gt;"",'All Cases - Enter Cases'!M214,"")</f>
        <v/>
      </c>
    </row>
    <row r="215" spans="1:13" x14ac:dyDescent="0.35">
      <c r="A215" t="str">
        <f>IF('All Cases - Enter Cases'!$F215="KPK",'All Cases - Enter Cases'!A215,"")</f>
        <v/>
      </c>
      <c r="B215" t="str">
        <f>IF($A215&lt;&gt;"",'All Cases - Enter Cases'!B215,"")</f>
        <v/>
      </c>
      <c r="C215" t="str">
        <f>IF($A215&lt;&gt;"",'All Cases - Enter Cases'!C215,"")</f>
        <v/>
      </c>
      <c r="D215" t="str">
        <f>IF($A215&lt;&gt;"",'All Cases - Enter Cases'!D215,"")</f>
        <v/>
      </c>
      <c r="E215" t="str">
        <f>IF($A215&lt;&gt;"",'All Cases - Enter Cases'!E215,"")</f>
        <v/>
      </c>
      <c r="F215" t="str">
        <f>IF($A215&lt;&gt;"",'All Cases - Enter Cases'!F215,"")</f>
        <v/>
      </c>
      <c r="G215" t="str">
        <f>IF($A215&lt;&gt;"",'All Cases - Enter Cases'!G215,"")</f>
        <v/>
      </c>
      <c r="H215" t="str">
        <f>IF($A215&lt;&gt;"",'All Cases - Enter Cases'!H215,"")</f>
        <v/>
      </c>
      <c r="I215" t="str">
        <f>IF($A215&lt;&gt;"",'All Cases - Enter Cases'!I215,"")</f>
        <v/>
      </c>
      <c r="J215" t="str">
        <f>IF($A215&lt;&gt;"",'All Cases - Enter Cases'!J215,"")</f>
        <v/>
      </c>
      <c r="K215" t="str">
        <f>IF($A215&lt;&gt;"",'All Cases - Enter Cases'!K215,"")</f>
        <v/>
      </c>
      <c r="L215" t="str">
        <f>IF($A215&lt;&gt;"",'All Cases - Enter Cases'!L215,"")</f>
        <v/>
      </c>
      <c r="M215" t="str">
        <f>IF($A215&lt;&gt;"",'All Cases - Enter Cases'!M215,"")</f>
        <v/>
      </c>
    </row>
    <row r="216" spans="1:13" x14ac:dyDescent="0.35">
      <c r="A216" t="str">
        <f>IF('All Cases - Enter Cases'!$F216="KPK",'All Cases - Enter Cases'!A216,"")</f>
        <v/>
      </c>
      <c r="B216" t="str">
        <f>IF($A216&lt;&gt;"",'All Cases - Enter Cases'!B216,"")</f>
        <v/>
      </c>
      <c r="C216" t="str">
        <f>IF($A216&lt;&gt;"",'All Cases - Enter Cases'!C216,"")</f>
        <v/>
      </c>
      <c r="D216" t="str">
        <f>IF($A216&lt;&gt;"",'All Cases - Enter Cases'!D216,"")</f>
        <v/>
      </c>
      <c r="E216" t="str">
        <f>IF($A216&lt;&gt;"",'All Cases - Enter Cases'!E216,"")</f>
        <v/>
      </c>
      <c r="F216" t="str">
        <f>IF($A216&lt;&gt;"",'All Cases - Enter Cases'!F216,"")</f>
        <v/>
      </c>
      <c r="G216" t="str">
        <f>IF($A216&lt;&gt;"",'All Cases - Enter Cases'!G216,"")</f>
        <v/>
      </c>
      <c r="H216" t="str">
        <f>IF($A216&lt;&gt;"",'All Cases - Enter Cases'!H216,"")</f>
        <v/>
      </c>
      <c r="I216" t="str">
        <f>IF($A216&lt;&gt;"",'All Cases - Enter Cases'!I216,"")</f>
        <v/>
      </c>
      <c r="J216" t="str">
        <f>IF($A216&lt;&gt;"",'All Cases - Enter Cases'!J216,"")</f>
        <v/>
      </c>
      <c r="K216" t="str">
        <f>IF($A216&lt;&gt;"",'All Cases - Enter Cases'!K216,"")</f>
        <v/>
      </c>
      <c r="L216" t="str">
        <f>IF($A216&lt;&gt;"",'All Cases - Enter Cases'!L216,"")</f>
        <v/>
      </c>
      <c r="M216" t="str">
        <f>IF($A216&lt;&gt;"",'All Cases - Enter Cases'!M216,"")</f>
        <v/>
      </c>
    </row>
    <row r="217" spans="1:13" x14ac:dyDescent="0.35">
      <c r="A217" t="str">
        <f>IF('All Cases - Enter Cases'!$F217="KPK",'All Cases - Enter Cases'!A217,"")</f>
        <v/>
      </c>
      <c r="B217" t="str">
        <f>IF($A217&lt;&gt;"",'All Cases - Enter Cases'!B217,"")</f>
        <v/>
      </c>
      <c r="C217" t="str">
        <f>IF($A217&lt;&gt;"",'All Cases - Enter Cases'!C217,"")</f>
        <v/>
      </c>
      <c r="D217" t="str">
        <f>IF($A217&lt;&gt;"",'All Cases - Enter Cases'!D217,"")</f>
        <v/>
      </c>
      <c r="E217" t="str">
        <f>IF($A217&lt;&gt;"",'All Cases - Enter Cases'!E217,"")</f>
        <v/>
      </c>
      <c r="F217" t="str">
        <f>IF($A217&lt;&gt;"",'All Cases - Enter Cases'!F217,"")</f>
        <v/>
      </c>
      <c r="G217" t="str">
        <f>IF($A217&lt;&gt;"",'All Cases - Enter Cases'!G217,"")</f>
        <v/>
      </c>
      <c r="H217" t="str">
        <f>IF($A217&lt;&gt;"",'All Cases - Enter Cases'!H217,"")</f>
        <v/>
      </c>
      <c r="I217" t="str">
        <f>IF($A217&lt;&gt;"",'All Cases - Enter Cases'!I217,"")</f>
        <v/>
      </c>
      <c r="J217" t="str">
        <f>IF($A217&lt;&gt;"",'All Cases - Enter Cases'!J217,"")</f>
        <v/>
      </c>
      <c r="K217" t="str">
        <f>IF($A217&lt;&gt;"",'All Cases - Enter Cases'!K217,"")</f>
        <v/>
      </c>
      <c r="L217" t="str">
        <f>IF($A217&lt;&gt;"",'All Cases - Enter Cases'!L217,"")</f>
        <v/>
      </c>
      <c r="M217" t="str">
        <f>IF($A217&lt;&gt;"",'All Cases - Enter Cases'!M217,"")</f>
        <v/>
      </c>
    </row>
    <row r="218" spans="1:13" x14ac:dyDescent="0.35">
      <c r="A218" t="str">
        <f>IF('All Cases - Enter Cases'!$F218="KPK",'All Cases - Enter Cases'!A218,"")</f>
        <v/>
      </c>
      <c r="B218" t="str">
        <f>IF($A218&lt;&gt;"",'All Cases - Enter Cases'!B218,"")</f>
        <v/>
      </c>
      <c r="C218" t="str">
        <f>IF($A218&lt;&gt;"",'All Cases - Enter Cases'!C218,"")</f>
        <v/>
      </c>
      <c r="D218" t="str">
        <f>IF($A218&lt;&gt;"",'All Cases - Enter Cases'!D218,"")</f>
        <v/>
      </c>
      <c r="E218" t="str">
        <f>IF($A218&lt;&gt;"",'All Cases - Enter Cases'!E218,"")</f>
        <v/>
      </c>
      <c r="F218" t="str">
        <f>IF($A218&lt;&gt;"",'All Cases - Enter Cases'!F218,"")</f>
        <v/>
      </c>
      <c r="G218" t="str">
        <f>IF($A218&lt;&gt;"",'All Cases - Enter Cases'!G218,"")</f>
        <v/>
      </c>
      <c r="H218" t="str">
        <f>IF($A218&lt;&gt;"",'All Cases - Enter Cases'!H218,"")</f>
        <v/>
      </c>
      <c r="I218" t="str">
        <f>IF($A218&lt;&gt;"",'All Cases - Enter Cases'!I218,"")</f>
        <v/>
      </c>
      <c r="J218" t="str">
        <f>IF($A218&lt;&gt;"",'All Cases - Enter Cases'!J218,"")</f>
        <v/>
      </c>
      <c r="K218" t="str">
        <f>IF($A218&lt;&gt;"",'All Cases - Enter Cases'!K218,"")</f>
        <v/>
      </c>
      <c r="L218" t="str">
        <f>IF($A218&lt;&gt;"",'All Cases - Enter Cases'!L218,"")</f>
        <v/>
      </c>
      <c r="M218" t="str">
        <f>IF($A218&lt;&gt;"",'All Cases - Enter Cases'!M218,"")</f>
        <v/>
      </c>
    </row>
    <row r="219" spans="1:13" x14ac:dyDescent="0.35">
      <c r="A219" t="str">
        <f>IF('All Cases - Enter Cases'!$F219="KPK",'All Cases - Enter Cases'!A219,"")</f>
        <v/>
      </c>
      <c r="B219" t="str">
        <f>IF($A219&lt;&gt;"",'All Cases - Enter Cases'!B219,"")</f>
        <v/>
      </c>
      <c r="C219" t="str">
        <f>IF($A219&lt;&gt;"",'All Cases - Enter Cases'!C219,"")</f>
        <v/>
      </c>
      <c r="D219" t="str">
        <f>IF($A219&lt;&gt;"",'All Cases - Enter Cases'!D219,"")</f>
        <v/>
      </c>
      <c r="E219" t="str">
        <f>IF($A219&lt;&gt;"",'All Cases - Enter Cases'!E219,"")</f>
        <v/>
      </c>
      <c r="F219" t="str">
        <f>IF($A219&lt;&gt;"",'All Cases - Enter Cases'!F219,"")</f>
        <v/>
      </c>
      <c r="G219" t="str">
        <f>IF($A219&lt;&gt;"",'All Cases - Enter Cases'!G219,"")</f>
        <v/>
      </c>
      <c r="H219" t="str">
        <f>IF($A219&lt;&gt;"",'All Cases - Enter Cases'!H219,"")</f>
        <v/>
      </c>
      <c r="I219" t="str">
        <f>IF($A219&lt;&gt;"",'All Cases - Enter Cases'!I219,"")</f>
        <v/>
      </c>
      <c r="J219" t="str">
        <f>IF($A219&lt;&gt;"",'All Cases - Enter Cases'!J219,"")</f>
        <v/>
      </c>
      <c r="K219" t="str">
        <f>IF($A219&lt;&gt;"",'All Cases - Enter Cases'!K219,"")</f>
        <v/>
      </c>
      <c r="L219" t="str">
        <f>IF($A219&lt;&gt;"",'All Cases - Enter Cases'!L219,"")</f>
        <v/>
      </c>
      <c r="M219" t="str">
        <f>IF($A219&lt;&gt;"",'All Cases - Enter Cases'!M219,"")</f>
        <v/>
      </c>
    </row>
    <row r="220" spans="1:13" x14ac:dyDescent="0.35">
      <c r="A220" t="str">
        <f>IF('All Cases - Enter Cases'!$F220="KPK",'All Cases - Enter Cases'!A220,"")</f>
        <v/>
      </c>
      <c r="B220" t="str">
        <f>IF($A220&lt;&gt;"",'All Cases - Enter Cases'!B220,"")</f>
        <v/>
      </c>
      <c r="C220" t="str">
        <f>IF($A220&lt;&gt;"",'All Cases - Enter Cases'!C220,"")</f>
        <v/>
      </c>
      <c r="D220" t="str">
        <f>IF($A220&lt;&gt;"",'All Cases - Enter Cases'!D220,"")</f>
        <v/>
      </c>
      <c r="E220" t="str">
        <f>IF($A220&lt;&gt;"",'All Cases - Enter Cases'!E220,"")</f>
        <v/>
      </c>
      <c r="F220" t="str">
        <f>IF($A220&lt;&gt;"",'All Cases - Enter Cases'!F220,"")</f>
        <v/>
      </c>
      <c r="G220" t="str">
        <f>IF($A220&lt;&gt;"",'All Cases - Enter Cases'!G220,"")</f>
        <v/>
      </c>
      <c r="H220" t="str">
        <f>IF($A220&lt;&gt;"",'All Cases - Enter Cases'!H220,"")</f>
        <v/>
      </c>
      <c r="I220" t="str">
        <f>IF($A220&lt;&gt;"",'All Cases - Enter Cases'!I220,"")</f>
        <v/>
      </c>
      <c r="J220" t="str">
        <f>IF($A220&lt;&gt;"",'All Cases - Enter Cases'!J220,"")</f>
        <v/>
      </c>
      <c r="K220" t="str">
        <f>IF($A220&lt;&gt;"",'All Cases - Enter Cases'!K220,"")</f>
        <v/>
      </c>
      <c r="L220" t="str">
        <f>IF($A220&lt;&gt;"",'All Cases - Enter Cases'!L220,"")</f>
        <v/>
      </c>
      <c r="M220" t="str">
        <f>IF($A220&lt;&gt;"",'All Cases - Enter Cases'!M220,"")</f>
        <v/>
      </c>
    </row>
    <row r="221" spans="1:13" x14ac:dyDescent="0.35">
      <c r="A221" t="str">
        <f>IF('All Cases - Enter Cases'!$F221="KPK",'All Cases - Enter Cases'!A221,"")</f>
        <v/>
      </c>
      <c r="B221" t="str">
        <f>IF($A221&lt;&gt;"",'All Cases - Enter Cases'!B221,"")</f>
        <v/>
      </c>
      <c r="C221" t="str">
        <f>IF($A221&lt;&gt;"",'All Cases - Enter Cases'!C221,"")</f>
        <v/>
      </c>
      <c r="D221" t="str">
        <f>IF($A221&lt;&gt;"",'All Cases - Enter Cases'!D221,"")</f>
        <v/>
      </c>
      <c r="E221" t="str">
        <f>IF($A221&lt;&gt;"",'All Cases - Enter Cases'!E221,"")</f>
        <v/>
      </c>
      <c r="F221" t="str">
        <f>IF($A221&lt;&gt;"",'All Cases - Enter Cases'!F221,"")</f>
        <v/>
      </c>
      <c r="G221" t="str">
        <f>IF($A221&lt;&gt;"",'All Cases - Enter Cases'!G221,"")</f>
        <v/>
      </c>
      <c r="H221" t="str">
        <f>IF($A221&lt;&gt;"",'All Cases - Enter Cases'!H221,"")</f>
        <v/>
      </c>
      <c r="I221" t="str">
        <f>IF($A221&lt;&gt;"",'All Cases - Enter Cases'!I221,"")</f>
        <v/>
      </c>
      <c r="J221" t="str">
        <f>IF($A221&lt;&gt;"",'All Cases - Enter Cases'!J221,"")</f>
        <v/>
      </c>
      <c r="K221" t="str">
        <f>IF($A221&lt;&gt;"",'All Cases - Enter Cases'!K221,"")</f>
        <v/>
      </c>
      <c r="L221" t="str">
        <f>IF($A221&lt;&gt;"",'All Cases - Enter Cases'!L221,"")</f>
        <v/>
      </c>
      <c r="M221" t="str">
        <f>IF($A221&lt;&gt;"",'All Cases - Enter Cases'!M221,"")</f>
        <v/>
      </c>
    </row>
    <row r="222" spans="1:13" x14ac:dyDescent="0.35">
      <c r="A222" t="str">
        <f>IF('All Cases - Enter Cases'!$F222="KPK",'All Cases - Enter Cases'!A222,"")</f>
        <v/>
      </c>
      <c r="B222" t="str">
        <f>IF($A222&lt;&gt;"",'All Cases - Enter Cases'!B222,"")</f>
        <v/>
      </c>
      <c r="C222" t="str">
        <f>IF($A222&lt;&gt;"",'All Cases - Enter Cases'!C222,"")</f>
        <v/>
      </c>
      <c r="D222" t="str">
        <f>IF($A222&lt;&gt;"",'All Cases - Enter Cases'!D222,"")</f>
        <v/>
      </c>
      <c r="E222" t="str">
        <f>IF($A222&lt;&gt;"",'All Cases - Enter Cases'!E222,"")</f>
        <v/>
      </c>
      <c r="F222" t="str">
        <f>IF($A222&lt;&gt;"",'All Cases - Enter Cases'!F222,"")</f>
        <v/>
      </c>
      <c r="G222" t="str">
        <f>IF($A222&lt;&gt;"",'All Cases - Enter Cases'!G222,"")</f>
        <v/>
      </c>
      <c r="H222" t="str">
        <f>IF($A222&lt;&gt;"",'All Cases - Enter Cases'!H222,"")</f>
        <v/>
      </c>
      <c r="I222" t="str">
        <f>IF($A222&lt;&gt;"",'All Cases - Enter Cases'!I222,"")</f>
        <v/>
      </c>
      <c r="J222" t="str">
        <f>IF($A222&lt;&gt;"",'All Cases - Enter Cases'!J222,"")</f>
        <v/>
      </c>
      <c r="K222" t="str">
        <f>IF($A222&lt;&gt;"",'All Cases - Enter Cases'!K222,"")</f>
        <v/>
      </c>
      <c r="L222" t="str">
        <f>IF($A222&lt;&gt;"",'All Cases - Enter Cases'!L222,"")</f>
        <v/>
      </c>
      <c r="M222" t="str">
        <f>IF($A222&lt;&gt;"",'All Cases - Enter Cases'!M222,"")</f>
        <v/>
      </c>
    </row>
    <row r="223" spans="1:13" x14ac:dyDescent="0.35">
      <c r="A223" t="str">
        <f>IF('All Cases - Enter Cases'!$F223="KPK",'All Cases - Enter Cases'!A223,"")</f>
        <v/>
      </c>
      <c r="B223" t="str">
        <f>IF($A223&lt;&gt;"",'All Cases - Enter Cases'!B223,"")</f>
        <v/>
      </c>
      <c r="C223" t="str">
        <f>IF($A223&lt;&gt;"",'All Cases - Enter Cases'!C223,"")</f>
        <v/>
      </c>
      <c r="D223" t="str">
        <f>IF($A223&lt;&gt;"",'All Cases - Enter Cases'!D223,"")</f>
        <v/>
      </c>
      <c r="E223" t="str">
        <f>IF($A223&lt;&gt;"",'All Cases - Enter Cases'!E223,"")</f>
        <v/>
      </c>
      <c r="F223" t="str">
        <f>IF($A223&lt;&gt;"",'All Cases - Enter Cases'!F223,"")</f>
        <v/>
      </c>
      <c r="G223" t="str">
        <f>IF($A223&lt;&gt;"",'All Cases - Enter Cases'!G223,"")</f>
        <v/>
      </c>
      <c r="H223" t="str">
        <f>IF($A223&lt;&gt;"",'All Cases - Enter Cases'!H223,"")</f>
        <v/>
      </c>
      <c r="I223" t="str">
        <f>IF($A223&lt;&gt;"",'All Cases - Enter Cases'!I223,"")</f>
        <v/>
      </c>
      <c r="J223" t="str">
        <f>IF($A223&lt;&gt;"",'All Cases - Enter Cases'!J223,"")</f>
        <v/>
      </c>
      <c r="K223" t="str">
        <f>IF($A223&lt;&gt;"",'All Cases - Enter Cases'!K223,"")</f>
        <v/>
      </c>
      <c r="L223" t="str">
        <f>IF($A223&lt;&gt;"",'All Cases - Enter Cases'!L223,"")</f>
        <v/>
      </c>
      <c r="M223" t="str">
        <f>IF($A223&lt;&gt;"",'All Cases - Enter Cases'!M223,"")</f>
        <v/>
      </c>
    </row>
    <row r="224" spans="1:13" x14ac:dyDescent="0.35">
      <c r="A224" t="str">
        <f>IF('All Cases - Enter Cases'!$F224="KPK",'All Cases - Enter Cases'!A224,"")</f>
        <v/>
      </c>
      <c r="B224" t="str">
        <f>IF($A224&lt;&gt;"",'All Cases - Enter Cases'!B224,"")</f>
        <v/>
      </c>
      <c r="C224" t="str">
        <f>IF($A224&lt;&gt;"",'All Cases - Enter Cases'!C224,"")</f>
        <v/>
      </c>
      <c r="D224" t="str">
        <f>IF($A224&lt;&gt;"",'All Cases - Enter Cases'!D224,"")</f>
        <v/>
      </c>
      <c r="E224" t="str">
        <f>IF($A224&lt;&gt;"",'All Cases - Enter Cases'!E224,"")</f>
        <v/>
      </c>
      <c r="F224" t="str">
        <f>IF($A224&lt;&gt;"",'All Cases - Enter Cases'!F224,"")</f>
        <v/>
      </c>
      <c r="G224" t="str">
        <f>IF($A224&lt;&gt;"",'All Cases - Enter Cases'!G224,"")</f>
        <v/>
      </c>
      <c r="H224" t="str">
        <f>IF($A224&lt;&gt;"",'All Cases - Enter Cases'!H224,"")</f>
        <v/>
      </c>
      <c r="I224" t="str">
        <f>IF($A224&lt;&gt;"",'All Cases - Enter Cases'!I224,"")</f>
        <v/>
      </c>
      <c r="J224" t="str">
        <f>IF($A224&lt;&gt;"",'All Cases - Enter Cases'!J224,"")</f>
        <v/>
      </c>
      <c r="K224" t="str">
        <f>IF($A224&lt;&gt;"",'All Cases - Enter Cases'!K224,"")</f>
        <v/>
      </c>
      <c r="L224" t="str">
        <f>IF($A224&lt;&gt;"",'All Cases - Enter Cases'!L224,"")</f>
        <v/>
      </c>
      <c r="M224" t="str">
        <f>IF($A224&lt;&gt;"",'All Cases - Enter Cases'!M224,"")</f>
        <v/>
      </c>
    </row>
    <row r="225" spans="1:13" x14ac:dyDescent="0.35">
      <c r="A225" t="str">
        <f>IF('All Cases - Enter Cases'!$F225="KPK",'All Cases - Enter Cases'!A225,"")</f>
        <v/>
      </c>
      <c r="B225" t="str">
        <f>IF($A225&lt;&gt;"",'All Cases - Enter Cases'!B225,"")</f>
        <v/>
      </c>
      <c r="C225" t="str">
        <f>IF($A225&lt;&gt;"",'All Cases - Enter Cases'!C225,"")</f>
        <v/>
      </c>
      <c r="D225" t="str">
        <f>IF($A225&lt;&gt;"",'All Cases - Enter Cases'!D225,"")</f>
        <v/>
      </c>
      <c r="E225" t="str">
        <f>IF($A225&lt;&gt;"",'All Cases - Enter Cases'!E225,"")</f>
        <v/>
      </c>
      <c r="F225" t="str">
        <f>IF($A225&lt;&gt;"",'All Cases - Enter Cases'!F225,"")</f>
        <v/>
      </c>
      <c r="G225" t="str">
        <f>IF($A225&lt;&gt;"",'All Cases - Enter Cases'!G225,"")</f>
        <v/>
      </c>
      <c r="H225" t="str">
        <f>IF($A225&lt;&gt;"",'All Cases - Enter Cases'!H225,"")</f>
        <v/>
      </c>
      <c r="I225" t="str">
        <f>IF($A225&lt;&gt;"",'All Cases - Enter Cases'!I225,"")</f>
        <v/>
      </c>
      <c r="J225" t="str">
        <f>IF($A225&lt;&gt;"",'All Cases - Enter Cases'!J225,"")</f>
        <v/>
      </c>
      <c r="K225" t="str">
        <f>IF($A225&lt;&gt;"",'All Cases - Enter Cases'!K225,"")</f>
        <v/>
      </c>
      <c r="L225" t="str">
        <f>IF($A225&lt;&gt;"",'All Cases - Enter Cases'!L225,"")</f>
        <v/>
      </c>
      <c r="M225" t="str">
        <f>IF($A225&lt;&gt;"",'All Cases - Enter Cases'!M225,"")</f>
        <v/>
      </c>
    </row>
    <row r="226" spans="1:13" x14ac:dyDescent="0.35">
      <c r="A226" t="str">
        <f>IF('All Cases - Enter Cases'!$F226="KPK",'All Cases - Enter Cases'!A226,"")</f>
        <v/>
      </c>
      <c r="B226" t="str">
        <f>IF($A226&lt;&gt;"",'All Cases - Enter Cases'!B226,"")</f>
        <v/>
      </c>
      <c r="C226" t="str">
        <f>IF($A226&lt;&gt;"",'All Cases - Enter Cases'!C226,"")</f>
        <v/>
      </c>
      <c r="D226" t="str">
        <f>IF($A226&lt;&gt;"",'All Cases - Enter Cases'!D226,"")</f>
        <v/>
      </c>
      <c r="E226" t="str">
        <f>IF($A226&lt;&gt;"",'All Cases - Enter Cases'!E226,"")</f>
        <v/>
      </c>
      <c r="F226" t="str">
        <f>IF($A226&lt;&gt;"",'All Cases - Enter Cases'!F226,"")</f>
        <v/>
      </c>
      <c r="G226" t="str">
        <f>IF($A226&lt;&gt;"",'All Cases - Enter Cases'!G226,"")</f>
        <v/>
      </c>
      <c r="H226" t="str">
        <f>IF($A226&lt;&gt;"",'All Cases - Enter Cases'!H226,"")</f>
        <v/>
      </c>
      <c r="I226" t="str">
        <f>IF($A226&lt;&gt;"",'All Cases - Enter Cases'!I226,"")</f>
        <v/>
      </c>
      <c r="J226" t="str">
        <f>IF($A226&lt;&gt;"",'All Cases - Enter Cases'!J226,"")</f>
        <v/>
      </c>
      <c r="K226" t="str">
        <f>IF($A226&lt;&gt;"",'All Cases - Enter Cases'!K226,"")</f>
        <v/>
      </c>
      <c r="L226" t="str">
        <f>IF($A226&lt;&gt;"",'All Cases - Enter Cases'!L226,"")</f>
        <v/>
      </c>
      <c r="M226" t="str">
        <f>IF($A226&lt;&gt;"",'All Cases - Enter Cases'!M226,"")</f>
        <v/>
      </c>
    </row>
    <row r="227" spans="1:13" x14ac:dyDescent="0.35">
      <c r="A227" t="str">
        <f>IF('All Cases - Enter Cases'!$F227="KPK",'All Cases - Enter Cases'!A227,"")</f>
        <v/>
      </c>
      <c r="B227" t="str">
        <f>IF($A227&lt;&gt;"",'All Cases - Enter Cases'!B227,"")</f>
        <v/>
      </c>
      <c r="C227" t="str">
        <f>IF($A227&lt;&gt;"",'All Cases - Enter Cases'!C227,"")</f>
        <v/>
      </c>
      <c r="D227" t="str">
        <f>IF($A227&lt;&gt;"",'All Cases - Enter Cases'!D227,"")</f>
        <v/>
      </c>
      <c r="E227" t="str">
        <f>IF($A227&lt;&gt;"",'All Cases - Enter Cases'!E227,"")</f>
        <v/>
      </c>
      <c r="F227" t="str">
        <f>IF($A227&lt;&gt;"",'All Cases - Enter Cases'!F227,"")</f>
        <v/>
      </c>
      <c r="G227" t="str">
        <f>IF($A227&lt;&gt;"",'All Cases - Enter Cases'!G227,"")</f>
        <v/>
      </c>
      <c r="H227" t="str">
        <f>IF($A227&lt;&gt;"",'All Cases - Enter Cases'!H227,"")</f>
        <v/>
      </c>
      <c r="I227" t="str">
        <f>IF($A227&lt;&gt;"",'All Cases - Enter Cases'!I227,"")</f>
        <v/>
      </c>
      <c r="J227" t="str">
        <f>IF($A227&lt;&gt;"",'All Cases - Enter Cases'!J227,"")</f>
        <v/>
      </c>
      <c r="K227" t="str">
        <f>IF($A227&lt;&gt;"",'All Cases - Enter Cases'!K227,"")</f>
        <v/>
      </c>
      <c r="L227" t="str">
        <f>IF($A227&lt;&gt;"",'All Cases - Enter Cases'!L227,"")</f>
        <v/>
      </c>
      <c r="M227" t="str">
        <f>IF($A227&lt;&gt;"",'All Cases - Enter Cases'!M227,"")</f>
        <v/>
      </c>
    </row>
    <row r="228" spans="1:13" x14ac:dyDescent="0.35">
      <c r="A228" t="str">
        <f>IF('All Cases - Enter Cases'!$F228="KPK",'All Cases - Enter Cases'!A228,"")</f>
        <v/>
      </c>
      <c r="B228" t="str">
        <f>IF($A228&lt;&gt;"",'All Cases - Enter Cases'!B228,"")</f>
        <v/>
      </c>
      <c r="C228" t="str">
        <f>IF($A228&lt;&gt;"",'All Cases - Enter Cases'!C228,"")</f>
        <v/>
      </c>
      <c r="D228" t="str">
        <f>IF($A228&lt;&gt;"",'All Cases - Enter Cases'!D228,"")</f>
        <v/>
      </c>
      <c r="E228" t="str">
        <f>IF($A228&lt;&gt;"",'All Cases - Enter Cases'!E228,"")</f>
        <v/>
      </c>
      <c r="F228" t="str">
        <f>IF($A228&lt;&gt;"",'All Cases - Enter Cases'!F228,"")</f>
        <v/>
      </c>
      <c r="G228" t="str">
        <f>IF($A228&lt;&gt;"",'All Cases - Enter Cases'!G228,"")</f>
        <v/>
      </c>
      <c r="H228" t="str">
        <f>IF($A228&lt;&gt;"",'All Cases - Enter Cases'!H228,"")</f>
        <v/>
      </c>
      <c r="I228" t="str">
        <f>IF($A228&lt;&gt;"",'All Cases - Enter Cases'!I228,"")</f>
        <v/>
      </c>
      <c r="J228" t="str">
        <f>IF($A228&lt;&gt;"",'All Cases - Enter Cases'!J228,"")</f>
        <v/>
      </c>
      <c r="K228" t="str">
        <f>IF($A228&lt;&gt;"",'All Cases - Enter Cases'!K228,"")</f>
        <v/>
      </c>
      <c r="L228" t="str">
        <f>IF($A228&lt;&gt;"",'All Cases - Enter Cases'!L228,"")</f>
        <v/>
      </c>
      <c r="M228" t="str">
        <f>IF($A228&lt;&gt;"",'All Cases - Enter Cases'!M228,"")</f>
        <v/>
      </c>
    </row>
    <row r="229" spans="1:13" x14ac:dyDescent="0.35">
      <c r="A229" t="str">
        <f>IF('All Cases - Enter Cases'!$F229="KPK",'All Cases - Enter Cases'!A229,"")</f>
        <v/>
      </c>
      <c r="B229" t="str">
        <f>IF($A229&lt;&gt;"",'All Cases - Enter Cases'!B229,"")</f>
        <v/>
      </c>
      <c r="C229" t="str">
        <f>IF($A229&lt;&gt;"",'All Cases - Enter Cases'!C229,"")</f>
        <v/>
      </c>
      <c r="D229" t="str">
        <f>IF($A229&lt;&gt;"",'All Cases - Enter Cases'!D229,"")</f>
        <v/>
      </c>
      <c r="E229" t="str">
        <f>IF($A229&lt;&gt;"",'All Cases - Enter Cases'!E229,"")</f>
        <v/>
      </c>
      <c r="F229" t="str">
        <f>IF($A229&lt;&gt;"",'All Cases - Enter Cases'!F229,"")</f>
        <v/>
      </c>
      <c r="G229" t="str">
        <f>IF($A229&lt;&gt;"",'All Cases - Enter Cases'!G229,"")</f>
        <v/>
      </c>
      <c r="H229" t="str">
        <f>IF($A229&lt;&gt;"",'All Cases - Enter Cases'!H229,"")</f>
        <v/>
      </c>
      <c r="I229" t="str">
        <f>IF($A229&lt;&gt;"",'All Cases - Enter Cases'!I229,"")</f>
        <v/>
      </c>
      <c r="J229" t="str">
        <f>IF($A229&lt;&gt;"",'All Cases - Enter Cases'!J229,"")</f>
        <v/>
      </c>
      <c r="K229" t="str">
        <f>IF($A229&lt;&gt;"",'All Cases - Enter Cases'!K229,"")</f>
        <v/>
      </c>
      <c r="L229" t="str">
        <f>IF($A229&lt;&gt;"",'All Cases - Enter Cases'!L229,"")</f>
        <v/>
      </c>
      <c r="M229" t="str">
        <f>IF($A229&lt;&gt;"",'All Cases - Enter Cases'!M229,"")</f>
        <v/>
      </c>
    </row>
    <row r="230" spans="1:13" x14ac:dyDescent="0.35">
      <c r="A230" t="str">
        <f>IF('All Cases - Enter Cases'!$F230="KPK",'All Cases - Enter Cases'!A230,"")</f>
        <v/>
      </c>
      <c r="B230" t="str">
        <f>IF($A230&lt;&gt;"",'All Cases - Enter Cases'!B230,"")</f>
        <v/>
      </c>
      <c r="C230" t="str">
        <f>IF($A230&lt;&gt;"",'All Cases - Enter Cases'!C230,"")</f>
        <v/>
      </c>
      <c r="D230" t="str">
        <f>IF($A230&lt;&gt;"",'All Cases - Enter Cases'!D230,"")</f>
        <v/>
      </c>
      <c r="E230" t="str">
        <f>IF($A230&lt;&gt;"",'All Cases - Enter Cases'!E230,"")</f>
        <v/>
      </c>
      <c r="F230" t="str">
        <f>IF($A230&lt;&gt;"",'All Cases - Enter Cases'!F230,"")</f>
        <v/>
      </c>
      <c r="G230" t="str">
        <f>IF($A230&lt;&gt;"",'All Cases - Enter Cases'!G230,"")</f>
        <v/>
      </c>
      <c r="H230" t="str">
        <f>IF($A230&lt;&gt;"",'All Cases - Enter Cases'!H230,"")</f>
        <v/>
      </c>
      <c r="I230" t="str">
        <f>IF($A230&lt;&gt;"",'All Cases - Enter Cases'!I230,"")</f>
        <v/>
      </c>
      <c r="J230" t="str">
        <f>IF($A230&lt;&gt;"",'All Cases - Enter Cases'!J230,"")</f>
        <v/>
      </c>
      <c r="K230" t="str">
        <f>IF($A230&lt;&gt;"",'All Cases - Enter Cases'!K230,"")</f>
        <v/>
      </c>
      <c r="L230" t="str">
        <f>IF($A230&lt;&gt;"",'All Cases - Enter Cases'!L230,"")</f>
        <v/>
      </c>
      <c r="M230" t="str">
        <f>IF($A230&lt;&gt;"",'All Cases - Enter Cases'!M230,"")</f>
        <v/>
      </c>
    </row>
    <row r="231" spans="1:13" x14ac:dyDescent="0.35">
      <c r="A231" t="str">
        <f>IF('All Cases - Enter Cases'!$F231="KPK",'All Cases - Enter Cases'!A231,"")</f>
        <v/>
      </c>
      <c r="B231" t="str">
        <f>IF($A231&lt;&gt;"",'All Cases - Enter Cases'!B231,"")</f>
        <v/>
      </c>
      <c r="C231" t="str">
        <f>IF($A231&lt;&gt;"",'All Cases - Enter Cases'!C231,"")</f>
        <v/>
      </c>
      <c r="D231" t="str">
        <f>IF($A231&lt;&gt;"",'All Cases - Enter Cases'!D231,"")</f>
        <v/>
      </c>
      <c r="E231" t="str">
        <f>IF($A231&lt;&gt;"",'All Cases - Enter Cases'!E231,"")</f>
        <v/>
      </c>
      <c r="F231" t="str">
        <f>IF($A231&lt;&gt;"",'All Cases - Enter Cases'!F231,"")</f>
        <v/>
      </c>
      <c r="G231" t="str">
        <f>IF($A231&lt;&gt;"",'All Cases - Enter Cases'!G231,"")</f>
        <v/>
      </c>
      <c r="H231" t="str">
        <f>IF($A231&lt;&gt;"",'All Cases - Enter Cases'!H231,"")</f>
        <v/>
      </c>
      <c r="I231" t="str">
        <f>IF($A231&lt;&gt;"",'All Cases - Enter Cases'!I231,"")</f>
        <v/>
      </c>
      <c r="J231" t="str">
        <f>IF($A231&lt;&gt;"",'All Cases - Enter Cases'!J231,"")</f>
        <v/>
      </c>
      <c r="K231" t="str">
        <f>IF($A231&lt;&gt;"",'All Cases - Enter Cases'!K231,"")</f>
        <v/>
      </c>
      <c r="L231" t="str">
        <f>IF($A231&lt;&gt;"",'All Cases - Enter Cases'!L231,"")</f>
        <v/>
      </c>
      <c r="M231" t="str">
        <f>IF($A231&lt;&gt;"",'All Cases - Enter Cases'!M231,"")</f>
        <v/>
      </c>
    </row>
    <row r="232" spans="1:13" x14ac:dyDescent="0.35">
      <c r="A232" t="str">
        <f>IF('All Cases - Enter Cases'!$F232="KPK",'All Cases - Enter Cases'!A232,"")</f>
        <v/>
      </c>
      <c r="B232" t="str">
        <f>IF($A232&lt;&gt;"",'All Cases - Enter Cases'!B232,"")</f>
        <v/>
      </c>
      <c r="C232" t="str">
        <f>IF($A232&lt;&gt;"",'All Cases - Enter Cases'!C232,"")</f>
        <v/>
      </c>
      <c r="D232" t="str">
        <f>IF($A232&lt;&gt;"",'All Cases - Enter Cases'!D232,"")</f>
        <v/>
      </c>
      <c r="E232" t="str">
        <f>IF($A232&lt;&gt;"",'All Cases - Enter Cases'!E232,"")</f>
        <v/>
      </c>
      <c r="F232" t="str">
        <f>IF($A232&lt;&gt;"",'All Cases - Enter Cases'!F232,"")</f>
        <v/>
      </c>
      <c r="G232" t="str">
        <f>IF($A232&lt;&gt;"",'All Cases - Enter Cases'!G232,"")</f>
        <v/>
      </c>
      <c r="H232" t="str">
        <f>IF($A232&lt;&gt;"",'All Cases - Enter Cases'!H232,"")</f>
        <v/>
      </c>
      <c r="I232" t="str">
        <f>IF($A232&lt;&gt;"",'All Cases - Enter Cases'!I232,"")</f>
        <v/>
      </c>
      <c r="J232" t="str">
        <f>IF($A232&lt;&gt;"",'All Cases - Enter Cases'!J232,"")</f>
        <v/>
      </c>
      <c r="K232" t="str">
        <f>IF($A232&lt;&gt;"",'All Cases - Enter Cases'!K232,"")</f>
        <v/>
      </c>
      <c r="L232" t="str">
        <f>IF($A232&lt;&gt;"",'All Cases - Enter Cases'!L232,"")</f>
        <v/>
      </c>
      <c r="M232" t="str">
        <f>IF($A232&lt;&gt;"",'All Cases - Enter Cases'!M232,"")</f>
        <v/>
      </c>
    </row>
    <row r="233" spans="1:13" x14ac:dyDescent="0.35">
      <c r="A233" t="str">
        <f>IF('All Cases - Enter Cases'!$F233="KPK",'All Cases - Enter Cases'!A233,"")</f>
        <v/>
      </c>
      <c r="B233" t="str">
        <f>IF($A233&lt;&gt;"",'All Cases - Enter Cases'!B233,"")</f>
        <v/>
      </c>
      <c r="C233" t="str">
        <f>IF($A233&lt;&gt;"",'All Cases - Enter Cases'!C233,"")</f>
        <v/>
      </c>
      <c r="D233" t="str">
        <f>IF($A233&lt;&gt;"",'All Cases - Enter Cases'!D233,"")</f>
        <v/>
      </c>
      <c r="E233" t="str">
        <f>IF($A233&lt;&gt;"",'All Cases - Enter Cases'!E233,"")</f>
        <v/>
      </c>
      <c r="F233" t="str">
        <f>IF($A233&lt;&gt;"",'All Cases - Enter Cases'!F233,"")</f>
        <v/>
      </c>
      <c r="G233" t="str">
        <f>IF($A233&lt;&gt;"",'All Cases - Enter Cases'!G233,"")</f>
        <v/>
      </c>
      <c r="H233" t="str">
        <f>IF($A233&lt;&gt;"",'All Cases - Enter Cases'!H233,"")</f>
        <v/>
      </c>
      <c r="I233" t="str">
        <f>IF($A233&lt;&gt;"",'All Cases - Enter Cases'!I233,"")</f>
        <v/>
      </c>
      <c r="J233" t="str">
        <f>IF($A233&lt;&gt;"",'All Cases - Enter Cases'!J233,"")</f>
        <v/>
      </c>
      <c r="K233" t="str">
        <f>IF($A233&lt;&gt;"",'All Cases - Enter Cases'!K233,"")</f>
        <v/>
      </c>
      <c r="L233" t="str">
        <f>IF($A233&lt;&gt;"",'All Cases - Enter Cases'!L233,"")</f>
        <v/>
      </c>
      <c r="M233" t="str">
        <f>IF($A233&lt;&gt;"",'All Cases - Enter Cases'!M233,"")</f>
        <v/>
      </c>
    </row>
    <row r="234" spans="1:13" x14ac:dyDescent="0.35">
      <c r="A234" t="str">
        <f>IF('All Cases - Enter Cases'!$F234="KPK",'All Cases - Enter Cases'!A234,"")</f>
        <v/>
      </c>
      <c r="B234" t="str">
        <f>IF($A234&lt;&gt;"",'All Cases - Enter Cases'!B234,"")</f>
        <v/>
      </c>
      <c r="C234" t="str">
        <f>IF($A234&lt;&gt;"",'All Cases - Enter Cases'!C234,"")</f>
        <v/>
      </c>
      <c r="D234" t="str">
        <f>IF($A234&lt;&gt;"",'All Cases - Enter Cases'!D234,"")</f>
        <v/>
      </c>
      <c r="E234" t="str">
        <f>IF($A234&lt;&gt;"",'All Cases - Enter Cases'!E234,"")</f>
        <v/>
      </c>
      <c r="F234" t="str">
        <f>IF($A234&lt;&gt;"",'All Cases - Enter Cases'!F234,"")</f>
        <v/>
      </c>
      <c r="G234" t="str">
        <f>IF($A234&lt;&gt;"",'All Cases - Enter Cases'!G234,"")</f>
        <v/>
      </c>
      <c r="H234" t="str">
        <f>IF($A234&lt;&gt;"",'All Cases - Enter Cases'!H234,"")</f>
        <v/>
      </c>
      <c r="I234" t="str">
        <f>IF($A234&lt;&gt;"",'All Cases - Enter Cases'!I234,"")</f>
        <v/>
      </c>
      <c r="J234" t="str">
        <f>IF($A234&lt;&gt;"",'All Cases - Enter Cases'!J234,"")</f>
        <v/>
      </c>
      <c r="K234" t="str">
        <f>IF($A234&lt;&gt;"",'All Cases - Enter Cases'!K234,"")</f>
        <v/>
      </c>
      <c r="L234" t="str">
        <f>IF($A234&lt;&gt;"",'All Cases - Enter Cases'!L234,"")</f>
        <v/>
      </c>
      <c r="M234" t="str">
        <f>IF($A234&lt;&gt;"",'All Cases - Enter Cases'!M234,"")</f>
        <v/>
      </c>
    </row>
    <row r="235" spans="1:13" x14ac:dyDescent="0.35">
      <c r="A235" t="str">
        <f>IF('All Cases - Enter Cases'!$F235="KPK",'All Cases - Enter Cases'!A235,"")</f>
        <v/>
      </c>
      <c r="B235" t="str">
        <f>IF($A235&lt;&gt;"",'All Cases - Enter Cases'!B235,"")</f>
        <v/>
      </c>
      <c r="C235" t="str">
        <f>IF($A235&lt;&gt;"",'All Cases - Enter Cases'!C235,"")</f>
        <v/>
      </c>
      <c r="D235" t="str">
        <f>IF($A235&lt;&gt;"",'All Cases - Enter Cases'!D235,"")</f>
        <v/>
      </c>
      <c r="E235" t="str">
        <f>IF($A235&lt;&gt;"",'All Cases - Enter Cases'!E235,"")</f>
        <v/>
      </c>
      <c r="F235" t="str">
        <f>IF($A235&lt;&gt;"",'All Cases - Enter Cases'!F235,"")</f>
        <v/>
      </c>
      <c r="G235" t="str">
        <f>IF($A235&lt;&gt;"",'All Cases - Enter Cases'!G235,"")</f>
        <v/>
      </c>
      <c r="H235" t="str">
        <f>IF($A235&lt;&gt;"",'All Cases - Enter Cases'!H235,"")</f>
        <v/>
      </c>
      <c r="I235" t="str">
        <f>IF($A235&lt;&gt;"",'All Cases - Enter Cases'!I235,"")</f>
        <v/>
      </c>
      <c r="J235" t="str">
        <f>IF($A235&lt;&gt;"",'All Cases - Enter Cases'!J235,"")</f>
        <v/>
      </c>
      <c r="K235" t="str">
        <f>IF($A235&lt;&gt;"",'All Cases - Enter Cases'!K235,"")</f>
        <v/>
      </c>
      <c r="L235" t="str">
        <f>IF($A235&lt;&gt;"",'All Cases - Enter Cases'!L235,"")</f>
        <v/>
      </c>
      <c r="M235" t="str">
        <f>IF($A235&lt;&gt;"",'All Cases - Enter Cases'!M235,"")</f>
        <v/>
      </c>
    </row>
    <row r="236" spans="1:13" x14ac:dyDescent="0.35">
      <c r="A236" t="str">
        <f>IF('All Cases - Enter Cases'!$F236="KPK",'All Cases - Enter Cases'!A236,"")</f>
        <v/>
      </c>
      <c r="B236" t="str">
        <f>IF($A236&lt;&gt;"",'All Cases - Enter Cases'!B236,"")</f>
        <v/>
      </c>
      <c r="C236" t="str">
        <f>IF($A236&lt;&gt;"",'All Cases - Enter Cases'!C236,"")</f>
        <v/>
      </c>
      <c r="D236" t="str">
        <f>IF($A236&lt;&gt;"",'All Cases - Enter Cases'!D236,"")</f>
        <v/>
      </c>
      <c r="E236" t="str">
        <f>IF($A236&lt;&gt;"",'All Cases - Enter Cases'!E236,"")</f>
        <v/>
      </c>
      <c r="F236" t="str">
        <f>IF($A236&lt;&gt;"",'All Cases - Enter Cases'!F236,"")</f>
        <v/>
      </c>
      <c r="G236" t="str">
        <f>IF($A236&lt;&gt;"",'All Cases - Enter Cases'!G236,"")</f>
        <v/>
      </c>
      <c r="H236" t="str">
        <f>IF($A236&lt;&gt;"",'All Cases - Enter Cases'!H236,"")</f>
        <v/>
      </c>
      <c r="I236" t="str">
        <f>IF($A236&lt;&gt;"",'All Cases - Enter Cases'!I236,"")</f>
        <v/>
      </c>
      <c r="J236" t="str">
        <f>IF($A236&lt;&gt;"",'All Cases - Enter Cases'!J236,"")</f>
        <v/>
      </c>
      <c r="K236" t="str">
        <f>IF($A236&lt;&gt;"",'All Cases - Enter Cases'!K236,"")</f>
        <v/>
      </c>
      <c r="L236" t="str">
        <f>IF($A236&lt;&gt;"",'All Cases - Enter Cases'!L236,"")</f>
        <v/>
      </c>
      <c r="M236" t="str">
        <f>IF($A236&lt;&gt;"",'All Cases - Enter Cases'!M236,"")</f>
        <v/>
      </c>
    </row>
    <row r="237" spans="1:13" x14ac:dyDescent="0.35">
      <c r="A237" t="str">
        <f>IF('All Cases - Enter Cases'!$F237="KPK",'All Cases - Enter Cases'!A237,"")</f>
        <v/>
      </c>
      <c r="B237" t="str">
        <f>IF($A237&lt;&gt;"",'All Cases - Enter Cases'!B237,"")</f>
        <v/>
      </c>
      <c r="C237" t="str">
        <f>IF($A237&lt;&gt;"",'All Cases - Enter Cases'!C237,"")</f>
        <v/>
      </c>
      <c r="D237" t="str">
        <f>IF($A237&lt;&gt;"",'All Cases - Enter Cases'!D237,"")</f>
        <v/>
      </c>
      <c r="E237" t="str">
        <f>IF($A237&lt;&gt;"",'All Cases - Enter Cases'!E237,"")</f>
        <v/>
      </c>
      <c r="F237" t="str">
        <f>IF($A237&lt;&gt;"",'All Cases - Enter Cases'!F237,"")</f>
        <v/>
      </c>
      <c r="G237" t="str">
        <f>IF($A237&lt;&gt;"",'All Cases - Enter Cases'!G237,"")</f>
        <v/>
      </c>
      <c r="H237" t="str">
        <f>IF($A237&lt;&gt;"",'All Cases - Enter Cases'!H237,"")</f>
        <v/>
      </c>
      <c r="I237" t="str">
        <f>IF($A237&lt;&gt;"",'All Cases - Enter Cases'!I237,"")</f>
        <v/>
      </c>
      <c r="J237" t="str">
        <f>IF($A237&lt;&gt;"",'All Cases - Enter Cases'!J237,"")</f>
        <v/>
      </c>
      <c r="K237" t="str">
        <f>IF($A237&lt;&gt;"",'All Cases - Enter Cases'!K237,"")</f>
        <v/>
      </c>
      <c r="L237" t="str">
        <f>IF($A237&lt;&gt;"",'All Cases - Enter Cases'!L237,"")</f>
        <v/>
      </c>
      <c r="M237" t="str">
        <f>IF($A237&lt;&gt;"",'All Cases - Enter Cases'!M237,"")</f>
        <v/>
      </c>
    </row>
    <row r="238" spans="1:13" x14ac:dyDescent="0.35">
      <c r="A238" t="str">
        <f>IF('All Cases - Enter Cases'!$F238="KPK",'All Cases - Enter Cases'!A238,"")</f>
        <v/>
      </c>
      <c r="B238" t="str">
        <f>IF($A238&lt;&gt;"",'All Cases - Enter Cases'!B238,"")</f>
        <v/>
      </c>
      <c r="C238" t="str">
        <f>IF($A238&lt;&gt;"",'All Cases - Enter Cases'!C238,"")</f>
        <v/>
      </c>
      <c r="D238" t="str">
        <f>IF($A238&lt;&gt;"",'All Cases - Enter Cases'!D238,"")</f>
        <v/>
      </c>
      <c r="E238" t="str">
        <f>IF($A238&lt;&gt;"",'All Cases - Enter Cases'!E238,"")</f>
        <v/>
      </c>
      <c r="F238" t="str">
        <f>IF($A238&lt;&gt;"",'All Cases - Enter Cases'!F238,"")</f>
        <v/>
      </c>
      <c r="G238" t="str">
        <f>IF($A238&lt;&gt;"",'All Cases - Enter Cases'!G238,"")</f>
        <v/>
      </c>
      <c r="H238" t="str">
        <f>IF($A238&lt;&gt;"",'All Cases - Enter Cases'!H238,"")</f>
        <v/>
      </c>
      <c r="I238" t="str">
        <f>IF($A238&lt;&gt;"",'All Cases - Enter Cases'!I238,"")</f>
        <v/>
      </c>
      <c r="J238" t="str">
        <f>IF($A238&lt;&gt;"",'All Cases - Enter Cases'!J238,"")</f>
        <v/>
      </c>
      <c r="K238" t="str">
        <f>IF($A238&lt;&gt;"",'All Cases - Enter Cases'!K238,"")</f>
        <v/>
      </c>
      <c r="L238" t="str">
        <f>IF($A238&lt;&gt;"",'All Cases - Enter Cases'!L238,"")</f>
        <v/>
      </c>
      <c r="M238" t="str">
        <f>IF($A238&lt;&gt;"",'All Cases - Enter Cases'!M238,"")</f>
        <v/>
      </c>
    </row>
    <row r="239" spans="1:13" x14ac:dyDescent="0.35">
      <c r="A239" t="str">
        <f>IF('All Cases - Enter Cases'!$F239="KPK",'All Cases - Enter Cases'!A239,"")</f>
        <v/>
      </c>
      <c r="B239" t="str">
        <f>IF($A239&lt;&gt;"",'All Cases - Enter Cases'!B239,"")</f>
        <v/>
      </c>
      <c r="C239" t="str">
        <f>IF($A239&lt;&gt;"",'All Cases - Enter Cases'!C239,"")</f>
        <v/>
      </c>
      <c r="D239" t="str">
        <f>IF($A239&lt;&gt;"",'All Cases - Enter Cases'!D239,"")</f>
        <v/>
      </c>
      <c r="E239" t="str">
        <f>IF($A239&lt;&gt;"",'All Cases - Enter Cases'!E239,"")</f>
        <v/>
      </c>
      <c r="F239" t="str">
        <f>IF($A239&lt;&gt;"",'All Cases - Enter Cases'!F239,"")</f>
        <v/>
      </c>
      <c r="G239" t="str">
        <f>IF($A239&lt;&gt;"",'All Cases - Enter Cases'!G239,"")</f>
        <v/>
      </c>
      <c r="H239" t="str">
        <f>IF($A239&lt;&gt;"",'All Cases - Enter Cases'!H239,"")</f>
        <v/>
      </c>
      <c r="I239" t="str">
        <f>IF($A239&lt;&gt;"",'All Cases - Enter Cases'!I239,"")</f>
        <v/>
      </c>
      <c r="J239" t="str">
        <f>IF($A239&lt;&gt;"",'All Cases - Enter Cases'!J239,"")</f>
        <v/>
      </c>
      <c r="K239" t="str">
        <f>IF($A239&lt;&gt;"",'All Cases - Enter Cases'!K239,"")</f>
        <v/>
      </c>
      <c r="L239" t="str">
        <f>IF($A239&lt;&gt;"",'All Cases - Enter Cases'!L239,"")</f>
        <v/>
      </c>
      <c r="M239" t="str">
        <f>IF($A239&lt;&gt;"",'All Cases - Enter Cases'!M239,"")</f>
        <v/>
      </c>
    </row>
    <row r="240" spans="1:13" x14ac:dyDescent="0.35">
      <c r="A240" t="str">
        <f>IF('All Cases - Enter Cases'!$F240="KPK",'All Cases - Enter Cases'!A240,"")</f>
        <v/>
      </c>
      <c r="B240" t="str">
        <f>IF($A240&lt;&gt;"",'All Cases - Enter Cases'!B240,"")</f>
        <v/>
      </c>
      <c r="C240" t="str">
        <f>IF($A240&lt;&gt;"",'All Cases - Enter Cases'!C240,"")</f>
        <v/>
      </c>
      <c r="D240" t="str">
        <f>IF($A240&lt;&gt;"",'All Cases - Enter Cases'!D240,"")</f>
        <v/>
      </c>
      <c r="E240" t="str">
        <f>IF($A240&lt;&gt;"",'All Cases - Enter Cases'!E240,"")</f>
        <v/>
      </c>
      <c r="F240" t="str">
        <f>IF($A240&lt;&gt;"",'All Cases - Enter Cases'!F240,"")</f>
        <v/>
      </c>
      <c r="G240" t="str">
        <f>IF($A240&lt;&gt;"",'All Cases - Enter Cases'!G240,"")</f>
        <v/>
      </c>
      <c r="H240" t="str">
        <f>IF($A240&lt;&gt;"",'All Cases - Enter Cases'!H240,"")</f>
        <v/>
      </c>
      <c r="I240" t="str">
        <f>IF($A240&lt;&gt;"",'All Cases - Enter Cases'!I240,"")</f>
        <v/>
      </c>
      <c r="J240" t="str">
        <f>IF($A240&lt;&gt;"",'All Cases - Enter Cases'!J240,"")</f>
        <v/>
      </c>
      <c r="K240" t="str">
        <f>IF($A240&lt;&gt;"",'All Cases - Enter Cases'!K240,"")</f>
        <v/>
      </c>
      <c r="L240" t="str">
        <f>IF($A240&lt;&gt;"",'All Cases - Enter Cases'!L240,"")</f>
        <v/>
      </c>
      <c r="M240" t="str">
        <f>IF($A240&lt;&gt;"",'All Cases - Enter Cases'!M240,"")</f>
        <v/>
      </c>
    </row>
    <row r="241" spans="1:13" x14ac:dyDescent="0.35">
      <c r="A241" t="str">
        <f>IF('All Cases - Enter Cases'!$F241="KPK",'All Cases - Enter Cases'!A241,"")</f>
        <v/>
      </c>
      <c r="B241" t="str">
        <f>IF($A241&lt;&gt;"",'All Cases - Enter Cases'!B241,"")</f>
        <v/>
      </c>
      <c r="C241" t="str">
        <f>IF($A241&lt;&gt;"",'All Cases - Enter Cases'!C241,"")</f>
        <v/>
      </c>
      <c r="D241" t="str">
        <f>IF($A241&lt;&gt;"",'All Cases - Enter Cases'!D241,"")</f>
        <v/>
      </c>
      <c r="E241" t="str">
        <f>IF($A241&lt;&gt;"",'All Cases - Enter Cases'!E241,"")</f>
        <v/>
      </c>
      <c r="F241" t="str">
        <f>IF($A241&lt;&gt;"",'All Cases - Enter Cases'!F241,"")</f>
        <v/>
      </c>
      <c r="G241" t="str">
        <f>IF($A241&lt;&gt;"",'All Cases - Enter Cases'!G241,"")</f>
        <v/>
      </c>
      <c r="H241" t="str">
        <f>IF($A241&lt;&gt;"",'All Cases - Enter Cases'!H241,"")</f>
        <v/>
      </c>
      <c r="I241" t="str">
        <f>IF($A241&lt;&gt;"",'All Cases - Enter Cases'!I241,"")</f>
        <v/>
      </c>
      <c r="J241" t="str">
        <f>IF($A241&lt;&gt;"",'All Cases - Enter Cases'!J241,"")</f>
        <v/>
      </c>
      <c r="K241" t="str">
        <f>IF($A241&lt;&gt;"",'All Cases - Enter Cases'!K241,"")</f>
        <v/>
      </c>
      <c r="L241" t="str">
        <f>IF($A241&lt;&gt;"",'All Cases - Enter Cases'!L241,"")</f>
        <v/>
      </c>
      <c r="M241" t="str">
        <f>IF($A241&lt;&gt;"",'All Cases - Enter Cases'!M241,"")</f>
        <v/>
      </c>
    </row>
    <row r="242" spans="1:13" x14ac:dyDescent="0.35">
      <c r="A242" t="str">
        <f>IF('All Cases - Enter Cases'!$F242="KPK",'All Cases - Enter Cases'!A242,"")</f>
        <v/>
      </c>
      <c r="B242" t="str">
        <f>IF($A242&lt;&gt;"",'All Cases - Enter Cases'!B242,"")</f>
        <v/>
      </c>
      <c r="C242" t="str">
        <f>IF($A242&lt;&gt;"",'All Cases - Enter Cases'!C242,"")</f>
        <v/>
      </c>
      <c r="D242" t="str">
        <f>IF($A242&lt;&gt;"",'All Cases - Enter Cases'!D242,"")</f>
        <v/>
      </c>
      <c r="E242" t="str">
        <f>IF($A242&lt;&gt;"",'All Cases - Enter Cases'!E242,"")</f>
        <v/>
      </c>
      <c r="F242" t="str">
        <f>IF($A242&lt;&gt;"",'All Cases - Enter Cases'!F242,"")</f>
        <v/>
      </c>
      <c r="G242" t="str">
        <f>IF($A242&lt;&gt;"",'All Cases - Enter Cases'!G242,"")</f>
        <v/>
      </c>
      <c r="H242" t="str">
        <f>IF($A242&lt;&gt;"",'All Cases - Enter Cases'!H242,"")</f>
        <v/>
      </c>
      <c r="I242" t="str">
        <f>IF($A242&lt;&gt;"",'All Cases - Enter Cases'!I242,"")</f>
        <v/>
      </c>
      <c r="J242" t="str">
        <f>IF($A242&lt;&gt;"",'All Cases - Enter Cases'!J242,"")</f>
        <v/>
      </c>
      <c r="K242" t="str">
        <f>IF($A242&lt;&gt;"",'All Cases - Enter Cases'!K242,"")</f>
        <v/>
      </c>
      <c r="L242" t="str">
        <f>IF($A242&lt;&gt;"",'All Cases - Enter Cases'!L242,"")</f>
        <v/>
      </c>
      <c r="M242" t="str">
        <f>IF($A242&lt;&gt;"",'All Cases - Enter Cases'!M242,"")</f>
        <v/>
      </c>
    </row>
    <row r="243" spans="1:13" x14ac:dyDescent="0.35">
      <c r="A243" t="str">
        <f>IF('All Cases - Enter Cases'!$F243="KPK",'All Cases - Enter Cases'!A243,"")</f>
        <v/>
      </c>
      <c r="B243" t="str">
        <f>IF($A243&lt;&gt;"",'All Cases - Enter Cases'!B243,"")</f>
        <v/>
      </c>
      <c r="C243" t="str">
        <f>IF($A243&lt;&gt;"",'All Cases - Enter Cases'!C243,"")</f>
        <v/>
      </c>
      <c r="D243" t="str">
        <f>IF($A243&lt;&gt;"",'All Cases - Enter Cases'!D243,"")</f>
        <v/>
      </c>
      <c r="E243" t="str">
        <f>IF($A243&lt;&gt;"",'All Cases - Enter Cases'!E243,"")</f>
        <v/>
      </c>
      <c r="F243" t="str">
        <f>IF($A243&lt;&gt;"",'All Cases - Enter Cases'!F243,"")</f>
        <v/>
      </c>
      <c r="G243" t="str">
        <f>IF($A243&lt;&gt;"",'All Cases - Enter Cases'!G243,"")</f>
        <v/>
      </c>
      <c r="H243" t="str">
        <f>IF($A243&lt;&gt;"",'All Cases - Enter Cases'!H243,"")</f>
        <v/>
      </c>
      <c r="I243" t="str">
        <f>IF($A243&lt;&gt;"",'All Cases - Enter Cases'!I243,"")</f>
        <v/>
      </c>
      <c r="J243" t="str">
        <f>IF($A243&lt;&gt;"",'All Cases - Enter Cases'!J243,"")</f>
        <v/>
      </c>
      <c r="K243" t="str">
        <f>IF($A243&lt;&gt;"",'All Cases - Enter Cases'!K243,"")</f>
        <v/>
      </c>
      <c r="L243" t="str">
        <f>IF($A243&lt;&gt;"",'All Cases - Enter Cases'!L243,"")</f>
        <v/>
      </c>
      <c r="M243" t="str">
        <f>IF($A243&lt;&gt;"",'All Cases - Enter Cases'!M243,"")</f>
        <v/>
      </c>
    </row>
    <row r="244" spans="1:13" x14ac:dyDescent="0.35">
      <c r="A244" t="str">
        <f>IF('All Cases - Enter Cases'!$F244="KPK",'All Cases - Enter Cases'!A244,"")</f>
        <v/>
      </c>
      <c r="B244" t="str">
        <f>IF($A244&lt;&gt;"",'All Cases - Enter Cases'!B244,"")</f>
        <v/>
      </c>
      <c r="C244" t="str">
        <f>IF($A244&lt;&gt;"",'All Cases - Enter Cases'!C244,"")</f>
        <v/>
      </c>
      <c r="D244" t="str">
        <f>IF($A244&lt;&gt;"",'All Cases - Enter Cases'!D244,"")</f>
        <v/>
      </c>
      <c r="E244" t="str">
        <f>IF($A244&lt;&gt;"",'All Cases - Enter Cases'!E244,"")</f>
        <v/>
      </c>
      <c r="F244" t="str">
        <f>IF($A244&lt;&gt;"",'All Cases - Enter Cases'!F244,"")</f>
        <v/>
      </c>
      <c r="G244" t="str">
        <f>IF($A244&lt;&gt;"",'All Cases - Enter Cases'!G244,"")</f>
        <v/>
      </c>
      <c r="H244" t="str">
        <f>IF($A244&lt;&gt;"",'All Cases - Enter Cases'!H244,"")</f>
        <v/>
      </c>
      <c r="I244" t="str">
        <f>IF($A244&lt;&gt;"",'All Cases - Enter Cases'!I244,"")</f>
        <v/>
      </c>
      <c r="J244" t="str">
        <f>IF($A244&lt;&gt;"",'All Cases - Enter Cases'!J244,"")</f>
        <v/>
      </c>
      <c r="K244" t="str">
        <f>IF($A244&lt;&gt;"",'All Cases - Enter Cases'!K244,"")</f>
        <v/>
      </c>
      <c r="L244" t="str">
        <f>IF($A244&lt;&gt;"",'All Cases - Enter Cases'!L244,"")</f>
        <v/>
      </c>
      <c r="M244" t="str">
        <f>IF($A244&lt;&gt;"",'All Cases - Enter Cases'!M244,"")</f>
        <v/>
      </c>
    </row>
    <row r="245" spans="1:13" x14ac:dyDescent="0.35">
      <c r="A245" t="str">
        <f>IF('All Cases - Enter Cases'!$F245="KPK",'All Cases - Enter Cases'!A245,"")</f>
        <v/>
      </c>
      <c r="B245" t="str">
        <f>IF($A245&lt;&gt;"",'All Cases - Enter Cases'!B245,"")</f>
        <v/>
      </c>
      <c r="C245" t="str">
        <f>IF($A245&lt;&gt;"",'All Cases - Enter Cases'!C245,"")</f>
        <v/>
      </c>
      <c r="D245" t="str">
        <f>IF($A245&lt;&gt;"",'All Cases - Enter Cases'!D245,"")</f>
        <v/>
      </c>
      <c r="E245" t="str">
        <f>IF($A245&lt;&gt;"",'All Cases - Enter Cases'!E245,"")</f>
        <v/>
      </c>
      <c r="F245" t="str">
        <f>IF($A245&lt;&gt;"",'All Cases - Enter Cases'!F245,"")</f>
        <v/>
      </c>
      <c r="G245" t="str">
        <f>IF($A245&lt;&gt;"",'All Cases - Enter Cases'!G245,"")</f>
        <v/>
      </c>
      <c r="H245" t="str">
        <f>IF($A245&lt;&gt;"",'All Cases - Enter Cases'!H245,"")</f>
        <v/>
      </c>
      <c r="I245" t="str">
        <f>IF($A245&lt;&gt;"",'All Cases - Enter Cases'!I245,"")</f>
        <v/>
      </c>
      <c r="J245" t="str">
        <f>IF($A245&lt;&gt;"",'All Cases - Enter Cases'!J245,"")</f>
        <v/>
      </c>
      <c r="K245" t="str">
        <f>IF($A245&lt;&gt;"",'All Cases - Enter Cases'!K245,"")</f>
        <v/>
      </c>
      <c r="L245" t="str">
        <f>IF($A245&lt;&gt;"",'All Cases - Enter Cases'!L245,"")</f>
        <v/>
      </c>
      <c r="M245" t="str">
        <f>IF($A245&lt;&gt;"",'All Cases - Enter Cases'!M245,"")</f>
        <v/>
      </c>
    </row>
    <row r="246" spans="1:13" x14ac:dyDescent="0.35">
      <c r="A246" t="str">
        <f>IF('All Cases - Enter Cases'!$F246="KPK",'All Cases - Enter Cases'!A246,"")</f>
        <v/>
      </c>
      <c r="B246" t="str">
        <f>IF($A246&lt;&gt;"",'All Cases - Enter Cases'!B246,"")</f>
        <v/>
      </c>
      <c r="C246" t="str">
        <f>IF($A246&lt;&gt;"",'All Cases - Enter Cases'!C246,"")</f>
        <v/>
      </c>
      <c r="D246" t="str">
        <f>IF($A246&lt;&gt;"",'All Cases - Enter Cases'!D246,"")</f>
        <v/>
      </c>
      <c r="E246" t="str">
        <f>IF($A246&lt;&gt;"",'All Cases - Enter Cases'!E246,"")</f>
        <v/>
      </c>
      <c r="F246" t="str">
        <f>IF($A246&lt;&gt;"",'All Cases - Enter Cases'!F246,"")</f>
        <v/>
      </c>
      <c r="G246" t="str">
        <f>IF($A246&lt;&gt;"",'All Cases - Enter Cases'!G246,"")</f>
        <v/>
      </c>
      <c r="H246" t="str">
        <f>IF($A246&lt;&gt;"",'All Cases - Enter Cases'!H246,"")</f>
        <v/>
      </c>
      <c r="I246" t="str">
        <f>IF($A246&lt;&gt;"",'All Cases - Enter Cases'!I246,"")</f>
        <v/>
      </c>
      <c r="J246" t="str">
        <f>IF($A246&lt;&gt;"",'All Cases - Enter Cases'!J246,"")</f>
        <v/>
      </c>
      <c r="K246" t="str">
        <f>IF($A246&lt;&gt;"",'All Cases - Enter Cases'!K246,"")</f>
        <v/>
      </c>
      <c r="L246" t="str">
        <f>IF($A246&lt;&gt;"",'All Cases - Enter Cases'!L246,"")</f>
        <v/>
      </c>
      <c r="M246" t="str">
        <f>IF($A246&lt;&gt;"",'All Cases - Enter Cases'!M246,"")</f>
        <v/>
      </c>
    </row>
    <row r="247" spans="1:13" x14ac:dyDescent="0.35">
      <c r="A247" t="str">
        <f>IF('All Cases - Enter Cases'!$F247="KPK",'All Cases - Enter Cases'!A247,"")</f>
        <v/>
      </c>
      <c r="B247" t="str">
        <f>IF($A247&lt;&gt;"",'All Cases - Enter Cases'!B247,"")</f>
        <v/>
      </c>
      <c r="C247" t="str">
        <f>IF($A247&lt;&gt;"",'All Cases - Enter Cases'!C247,"")</f>
        <v/>
      </c>
      <c r="D247" t="str">
        <f>IF($A247&lt;&gt;"",'All Cases - Enter Cases'!D247,"")</f>
        <v/>
      </c>
      <c r="E247" t="str">
        <f>IF($A247&lt;&gt;"",'All Cases - Enter Cases'!E247,"")</f>
        <v/>
      </c>
      <c r="F247" t="str">
        <f>IF($A247&lt;&gt;"",'All Cases - Enter Cases'!F247,"")</f>
        <v/>
      </c>
      <c r="G247" t="str">
        <f>IF($A247&lt;&gt;"",'All Cases - Enter Cases'!G247,"")</f>
        <v/>
      </c>
      <c r="H247" t="str">
        <f>IF($A247&lt;&gt;"",'All Cases - Enter Cases'!H247,"")</f>
        <v/>
      </c>
      <c r="I247" t="str">
        <f>IF($A247&lt;&gt;"",'All Cases - Enter Cases'!I247,"")</f>
        <v/>
      </c>
      <c r="J247" t="str">
        <f>IF($A247&lt;&gt;"",'All Cases - Enter Cases'!J247,"")</f>
        <v/>
      </c>
      <c r="K247" t="str">
        <f>IF($A247&lt;&gt;"",'All Cases - Enter Cases'!K247,"")</f>
        <v/>
      </c>
      <c r="L247" t="str">
        <f>IF($A247&lt;&gt;"",'All Cases - Enter Cases'!L247,"")</f>
        <v/>
      </c>
      <c r="M247" t="str">
        <f>IF($A247&lt;&gt;"",'All Cases - Enter Cases'!M247,"")</f>
        <v/>
      </c>
    </row>
    <row r="248" spans="1:13" x14ac:dyDescent="0.35">
      <c r="A248" t="str">
        <f>IF('All Cases - Enter Cases'!$F248="KPK",'All Cases - Enter Cases'!A248,"")</f>
        <v/>
      </c>
      <c r="B248" t="str">
        <f>IF($A248&lt;&gt;"",'All Cases - Enter Cases'!B248,"")</f>
        <v/>
      </c>
      <c r="C248" t="str">
        <f>IF($A248&lt;&gt;"",'All Cases - Enter Cases'!C248,"")</f>
        <v/>
      </c>
      <c r="D248" t="str">
        <f>IF($A248&lt;&gt;"",'All Cases - Enter Cases'!D248,"")</f>
        <v/>
      </c>
      <c r="E248" t="str">
        <f>IF($A248&lt;&gt;"",'All Cases - Enter Cases'!E248,"")</f>
        <v/>
      </c>
      <c r="F248" t="str">
        <f>IF($A248&lt;&gt;"",'All Cases - Enter Cases'!F248,"")</f>
        <v/>
      </c>
      <c r="G248" t="str">
        <f>IF($A248&lt;&gt;"",'All Cases - Enter Cases'!G248,"")</f>
        <v/>
      </c>
      <c r="H248" t="str">
        <f>IF($A248&lt;&gt;"",'All Cases - Enter Cases'!H248,"")</f>
        <v/>
      </c>
      <c r="I248" t="str">
        <f>IF($A248&lt;&gt;"",'All Cases - Enter Cases'!I248,"")</f>
        <v/>
      </c>
      <c r="J248" t="str">
        <f>IF($A248&lt;&gt;"",'All Cases - Enter Cases'!J248,"")</f>
        <v/>
      </c>
      <c r="K248" t="str">
        <f>IF($A248&lt;&gt;"",'All Cases - Enter Cases'!K248,"")</f>
        <v/>
      </c>
      <c r="L248" t="str">
        <f>IF($A248&lt;&gt;"",'All Cases - Enter Cases'!L248,"")</f>
        <v/>
      </c>
      <c r="M248" t="str">
        <f>IF($A248&lt;&gt;"",'All Cases - Enter Cases'!M248,"")</f>
        <v/>
      </c>
    </row>
    <row r="249" spans="1:13" x14ac:dyDescent="0.35">
      <c r="A249" t="str">
        <f>IF('All Cases - Enter Cases'!$F249="KPK",'All Cases - Enter Cases'!A249,"")</f>
        <v/>
      </c>
      <c r="B249" t="str">
        <f>IF($A249&lt;&gt;"",'All Cases - Enter Cases'!B249,"")</f>
        <v/>
      </c>
      <c r="C249" t="str">
        <f>IF($A249&lt;&gt;"",'All Cases - Enter Cases'!C249,"")</f>
        <v/>
      </c>
      <c r="D249" t="str">
        <f>IF($A249&lt;&gt;"",'All Cases - Enter Cases'!D249,"")</f>
        <v/>
      </c>
      <c r="E249" t="str">
        <f>IF($A249&lt;&gt;"",'All Cases - Enter Cases'!E249,"")</f>
        <v/>
      </c>
      <c r="F249" t="str">
        <f>IF($A249&lt;&gt;"",'All Cases - Enter Cases'!F249,"")</f>
        <v/>
      </c>
      <c r="G249" t="str">
        <f>IF($A249&lt;&gt;"",'All Cases - Enter Cases'!G249,"")</f>
        <v/>
      </c>
      <c r="H249" t="str">
        <f>IF($A249&lt;&gt;"",'All Cases - Enter Cases'!H249,"")</f>
        <v/>
      </c>
      <c r="I249" t="str">
        <f>IF($A249&lt;&gt;"",'All Cases - Enter Cases'!I249,"")</f>
        <v/>
      </c>
      <c r="J249" t="str">
        <f>IF($A249&lt;&gt;"",'All Cases - Enter Cases'!J249,"")</f>
        <v/>
      </c>
      <c r="K249" t="str">
        <f>IF($A249&lt;&gt;"",'All Cases - Enter Cases'!K249,"")</f>
        <v/>
      </c>
      <c r="L249" t="str">
        <f>IF($A249&lt;&gt;"",'All Cases - Enter Cases'!L249,"")</f>
        <v/>
      </c>
      <c r="M249" t="str">
        <f>IF($A249&lt;&gt;"",'All Cases - Enter Cases'!M249,"")</f>
        <v/>
      </c>
    </row>
    <row r="250" spans="1:13" x14ac:dyDescent="0.35">
      <c r="A250" t="str">
        <f>IF('All Cases - Enter Cases'!$F250="KPK",'All Cases - Enter Cases'!A250,"")</f>
        <v/>
      </c>
      <c r="B250" t="str">
        <f>IF($A250&lt;&gt;"",'All Cases - Enter Cases'!B250,"")</f>
        <v/>
      </c>
      <c r="C250" t="str">
        <f>IF($A250&lt;&gt;"",'All Cases - Enter Cases'!C250,"")</f>
        <v/>
      </c>
      <c r="D250" t="str">
        <f>IF($A250&lt;&gt;"",'All Cases - Enter Cases'!D250,"")</f>
        <v/>
      </c>
      <c r="E250" t="str">
        <f>IF($A250&lt;&gt;"",'All Cases - Enter Cases'!E250,"")</f>
        <v/>
      </c>
      <c r="F250" t="str">
        <f>IF($A250&lt;&gt;"",'All Cases - Enter Cases'!F250,"")</f>
        <v/>
      </c>
      <c r="G250" t="str">
        <f>IF($A250&lt;&gt;"",'All Cases - Enter Cases'!G250,"")</f>
        <v/>
      </c>
      <c r="H250" t="str">
        <f>IF($A250&lt;&gt;"",'All Cases - Enter Cases'!H250,"")</f>
        <v/>
      </c>
      <c r="I250" t="str">
        <f>IF($A250&lt;&gt;"",'All Cases - Enter Cases'!I250,"")</f>
        <v/>
      </c>
      <c r="J250" t="str">
        <f>IF($A250&lt;&gt;"",'All Cases - Enter Cases'!J250,"")</f>
        <v/>
      </c>
      <c r="K250" t="str">
        <f>IF($A250&lt;&gt;"",'All Cases - Enter Cases'!K250,"")</f>
        <v/>
      </c>
      <c r="L250" t="str">
        <f>IF($A250&lt;&gt;"",'All Cases - Enter Cases'!L250,"")</f>
        <v/>
      </c>
      <c r="M250" t="str">
        <f>IF($A250&lt;&gt;"",'All Cases - Enter Cases'!M250,"")</f>
        <v/>
      </c>
    </row>
    <row r="251" spans="1:13" x14ac:dyDescent="0.35">
      <c r="A251" t="str">
        <f>IF('All Cases - Enter Cases'!$F251="KPK",'All Cases - Enter Cases'!A251,"")</f>
        <v/>
      </c>
      <c r="B251" t="str">
        <f>IF($A251&lt;&gt;"",'All Cases - Enter Cases'!B251,"")</f>
        <v/>
      </c>
      <c r="C251" t="str">
        <f>IF($A251&lt;&gt;"",'All Cases - Enter Cases'!C251,"")</f>
        <v/>
      </c>
      <c r="D251" t="str">
        <f>IF($A251&lt;&gt;"",'All Cases - Enter Cases'!D251,"")</f>
        <v/>
      </c>
      <c r="E251" t="str">
        <f>IF($A251&lt;&gt;"",'All Cases - Enter Cases'!E251,"")</f>
        <v/>
      </c>
      <c r="F251" t="str">
        <f>IF($A251&lt;&gt;"",'All Cases - Enter Cases'!F251,"")</f>
        <v/>
      </c>
      <c r="G251" t="str">
        <f>IF($A251&lt;&gt;"",'All Cases - Enter Cases'!G251,"")</f>
        <v/>
      </c>
      <c r="H251" t="str">
        <f>IF($A251&lt;&gt;"",'All Cases - Enter Cases'!H251,"")</f>
        <v/>
      </c>
      <c r="I251" t="str">
        <f>IF($A251&lt;&gt;"",'All Cases - Enter Cases'!I251,"")</f>
        <v/>
      </c>
      <c r="J251" t="str">
        <f>IF($A251&lt;&gt;"",'All Cases - Enter Cases'!J251,"")</f>
        <v/>
      </c>
      <c r="K251" t="str">
        <f>IF($A251&lt;&gt;"",'All Cases - Enter Cases'!K251,"")</f>
        <v/>
      </c>
      <c r="L251" t="str">
        <f>IF($A251&lt;&gt;"",'All Cases - Enter Cases'!L251,"")</f>
        <v/>
      </c>
      <c r="M251" t="str">
        <f>IF($A251&lt;&gt;"",'All Cases - Enter Cases'!M251,"")</f>
        <v/>
      </c>
    </row>
    <row r="252" spans="1:13" x14ac:dyDescent="0.35">
      <c r="A252" t="str">
        <f>IF('All Cases - Enter Cases'!$F252="KPK",'All Cases - Enter Cases'!A252,"")</f>
        <v/>
      </c>
      <c r="B252" t="str">
        <f>IF($A252&lt;&gt;"",'All Cases - Enter Cases'!B252,"")</f>
        <v/>
      </c>
      <c r="C252" t="str">
        <f>IF($A252&lt;&gt;"",'All Cases - Enter Cases'!C252,"")</f>
        <v/>
      </c>
      <c r="D252" t="str">
        <f>IF($A252&lt;&gt;"",'All Cases - Enter Cases'!D252,"")</f>
        <v/>
      </c>
      <c r="E252" t="str">
        <f>IF($A252&lt;&gt;"",'All Cases - Enter Cases'!E252,"")</f>
        <v/>
      </c>
      <c r="F252" t="str">
        <f>IF($A252&lt;&gt;"",'All Cases - Enter Cases'!F252,"")</f>
        <v/>
      </c>
      <c r="G252" t="str">
        <f>IF($A252&lt;&gt;"",'All Cases - Enter Cases'!G252,"")</f>
        <v/>
      </c>
      <c r="H252" t="str">
        <f>IF($A252&lt;&gt;"",'All Cases - Enter Cases'!H252,"")</f>
        <v/>
      </c>
      <c r="I252" t="str">
        <f>IF($A252&lt;&gt;"",'All Cases - Enter Cases'!I252,"")</f>
        <v/>
      </c>
      <c r="J252" t="str">
        <f>IF($A252&lt;&gt;"",'All Cases - Enter Cases'!J252,"")</f>
        <v/>
      </c>
      <c r="K252" t="str">
        <f>IF($A252&lt;&gt;"",'All Cases - Enter Cases'!K252,"")</f>
        <v/>
      </c>
      <c r="L252" t="str">
        <f>IF($A252&lt;&gt;"",'All Cases - Enter Cases'!L252,"")</f>
        <v/>
      </c>
      <c r="M252" t="str">
        <f>IF($A252&lt;&gt;"",'All Cases - Enter Cases'!M252,"")</f>
        <v/>
      </c>
    </row>
    <row r="253" spans="1:13" x14ac:dyDescent="0.35">
      <c r="A253" t="str">
        <f>IF('All Cases - Enter Cases'!$F253="KPK",'All Cases - Enter Cases'!A253,"")</f>
        <v/>
      </c>
      <c r="B253" t="str">
        <f>IF($A253&lt;&gt;"",'All Cases - Enter Cases'!B253,"")</f>
        <v/>
      </c>
      <c r="C253" t="str">
        <f>IF($A253&lt;&gt;"",'All Cases - Enter Cases'!C253,"")</f>
        <v/>
      </c>
      <c r="D253" t="str">
        <f>IF($A253&lt;&gt;"",'All Cases - Enter Cases'!D253,"")</f>
        <v/>
      </c>
      <c r="E253" t="str">
        <f>IF($A253&lt;&gt;"",'All Cases - Enter Cases'!E253,"")</f>
        <v/>
      </c>
      <c r="F253" t="str">
        <f>IF($A253&lt;&gt;"",'All Cases - Enter Cases'!F253,"")</f>
        <v/>
      </c>
      <c r="G253" t="str">
        <f>IF($A253&lt;&gt;"",'All Cases - Enter Cases'!G253,"")</f>
        <v/>
      </c>
      <c r="H253" t="str">
        <f>IF($A253&lt;&gt;"",'All Cases - Enter Cases'!H253,"")</f>
        <v/>
      </c>
      <c r="I253" t="str">
        <f>IF($A253&lt;&gt;"",'All Cases - Enter Cases'!I253,"")</f>
        <v/>
      </c>
      <c r="J253" t="str">
        <f>IF($A253&lt;&gt;"",'All Cases - Enter Cases'!J253,"")</f>
        <v/>
      </c>
      <c r="K253" t="str">
        <f>IF($A253&lt;&gt;"",'All Cases - Enter Cases'!K253,"")</f>
        <v/>
      </c>
      <c r="L253" t="str">
        <f>IF($A253&lt;&gt;"",'All Cases - Enter Cases'!L253,"")</f>
        <v/>
      </c>
      <c r="M253" t="str">
        <f>IF($A253&lt;&gt;"",'All Cases - Enter Cases'!M253,"")</f>
        <v/>
      </c>
    </row>
    <row r="254" spans="1:13" x14ac:dyDescent="0.35">
      <c r="A254" t="str">
        <f>IF('All Cases - Enter Cases'!$F254="KPK",'All Cases - Enter Cases'!A254,"")</f>
        <v/>
      </c>
      <c r="B254" t="str">
        <f>IF($A254&lt;&gt;"",'All Cases - Enter Cases'!B254,"")</f>
        <v/>
      </c>
      <c r="C254" t="str">
        <f>IF($A254&lt;&gt;"",'All Cases - Enter Cases'!C254,"")</f>
        <v/>
      </c>
      <c r="D254" t="str">
        <f>IF($A254&lt;&gt;"",'All Cases - Enter Cases'!D254,"")</f>
        <v/>
      </c>
      <c r="E254" t="str">
        <f>IF($A254&lt;&gt;"",'All Cases - Enter Cases'!E254,"")</f>
        <v/>
      </c>
      <c r="F254" t="str">
        <f>IF($A254&lt;&gt;"",'All Cases - Enter Cases'!F254,"")</f>
        <v/>
      </c>
      <c r="G254" t="str">
        <f>IF($A254&lt;&gt;"",'All Cases - Enter Cases'!G254,"")</f>
        <v/>
      </c>
      <c r="H254" t="str">
        <f>IF($A254&lt;&gt;"",'All Cases - Enter Cases'!H254,"")</f>
        <v/>
      </c>
      <c r="I254" t="str">
        <f>IF($A254&lt;&gt;"",'All Cases - Enter Cases'!I254,"")</f>
        <v/>
      </c>
      <c r="J254" t="str">
        <f>IF($A254&lt;&gt;"",'All Cases - Enter Cases'!J254,"")</f>
        <v/>
      </c>
      <c r="K254" t="str">
        <f>IF($A254&lt;&gt;"",'All Cases - Enter Cases'!K254,"")</f>
        <v/>
      </c>
      <c r="L254" t="str">
        <f>IF($A254&lt;&gt;"",'All Cases - Enter Cases'!L254,"")</f>
        <v/>
      </c>
      <c r="M254" t="str">
        <f>IF($A254&lt;&gt;"",'All Cases - Enter Cases'!M254,"")</f>
        <v/>
      </c>
    </row>
    <row r="255" spans="1:13" x14ac:dyDescent="0.35">
      <c r="A255" t="str">
        <f>IF('All Cases - Enter Cases'!$F255="KPK",'All Cases - Enter Cases'!A255,"")</f>
        <v/>
      </c>
      <c r="B255" t="str">
        <f>IF($A255&lt;&gt;"",'All Cases - Enter Cases'!B255,"")</f>
        <v/>
      </c>
      <c r="C255" t="str">
        <f>IF($A255&lt;&gt;"",'All Cases - Enter Cases'!C255,"")</f>
        <v/>
      </c>
      <c r="D255" t="str">
        <f>IF($A255&lt;&gt;"",'All Cases - Enter Cases'!D255,"")</f>
        <v/>
      </c>
      <c r="E255" t="str">
        <f>IF($A255&lt;&gt;"",'All Cases - Enter Cases'!E255,"")</f>
        <v/>
      </c>
      <c r="F255" t="str">
        <f>IF($A255&lt;&gt;"",'All Cases - Enter Cases'!F255,"")</f>
        <v/>
      </c>
      <c r="G255" t="str">
        <f>IF($A255&lt;&gt;"",'All Cases - Enter Cases'!G255,"")</f>
        <v/>
      </c>
      <c r="H255" t="str">
        <f>IF($A255&lt;&gt;"",'All Cases - Enter Cases'!H255,"")</f>
        <v/>
      </c>
      <c r="I255" t="str">
        <f>IF($A255&lt;&gt;"",'All Cases - Enter Cases'!I255,"")</f>
        <v/>
      </c>
      <c r="J255" t="str">
        <f>IF($A255&lt;&gt;"",'All Cases - Enter Cases'!J255,"")</f>
        <v/>
      </c>
      <c r="K255" t="str">
        <f>IF($A255&lt;&gt;"",'All Cases - Enter Cases'!K255,"")</f>
        <v/>
      </c>
      <c r="L255" t="str">
        <f>IF($A255&lt;&gt;"",'All Cases - Enter Cases'!L255,"")</f>
        <v/>
      </c>
      <c r="M255" t="str">
        <f>IF($A255&lt;&gt;"",'All Cases - Enter Cases'!M255,"")</f>
        <v/>
      </c>
    </row>
    <row r="256" spans="1:13" x14ac:dyDescent="0.35">
      <c r="A256" t="str">
        <f>IF('All Cases - Enter Cases'!$F256="KPK",'All Cases - Enter Cases'!A256,"")</f>
        <v/>
      </c>
      <c r="B256" t="str">
        <f>IF($A256&lt;&gt;"",'All Cases - Enter Cases'!B256,"")</f>
        <v/>
      </c>
      <c r="C256" t="str">
        <f>IF($A256&lt;&gt;"",'All Cases - Enter Cases'!C256,"")</f>
        <v/>
      </c>
      <c r="D256" t="str">
        <f>IF($A256&lt;&gt;"",'All Cases - Enter Cases'!D256,"")</f>
        <v/>
      </c>
      <c r="E256" t="str">
        <f>IF($A256&lt;&gt;"",'All Cases - Enter Cases'!E256,"")</f>
        <v/>
      </c>
      <c r="F256" t="str">
        <f>IF($A256&lt;&gt;"",'All Cases - Enter Cases'!F256,"")</f>
        <v/>
      </c>
      <c r="G256" t="str">
        <f>IF($A256&lt;&gt;"",'All Cases - Enter Cases'!G256,"")</f>
        <v/>
      </c>
      <c r="H256" t="str">
        <f>IF($A256&lt;&gt;"",'All Cases - Enter Cases'!H256,"")</f>
        <v/>
      </c>
      <c r="I256" t="str">
        <f>IF($A256&lt;&gt;"",'All Cases - Enter Cases'!I256,"")</f>
        <v/>
      </c>
      <c r="J256" t="str">
        <f>IF($A256&lt;&gt;"",'All Cases - Enter Cases'!J256,"")</f>
        <v/>
      </c>
      <c r="K256" t="str">
        <f>IF($A256&lt;&gt;"",'All Cases - Enter Cases'!K256,"")</f>
        <v/>
      </c>
      <c r="L256" t="str">
        <f>IF($A256&lt;&gt;"",'All Cases - Enter Cases'!L256,"")</f>
        <v/>
      </c>
      <c r="M256" t="str">
        <f>IF($A256&lt;&gt;"",'All Cases - Enter Cases'!M256,"")</f>
        <v/>
      </c>
    </row>
    <row r="257" spans="1:13" x14ac:dyDescent="0.35">
      <c r="A257" t="str">
        <f>IF('All Cases - Enter Cases'!$F257="KPK",'All Cases - Enter Cases'!A257,"")</f>
        <v/>
      </c>
      <c r="B257" t="str">
        <f>IF($A257&lt;&gt;"",'All Cases - Enter Cases'!B257,"")</f>
        <v/>
      </c>
      <c r="C257" t="str">
        <f>IF($A257&lt;&gt;"",'All Cases - Enter Cases'!C257,"")</f>
        <v/>
      </c>
      <c r="D257" t="str">
        <f>IF($A257&lt;&gt;"",'All Cases - Enter Cases'!D257,"")</f>
        <v/>
      </c>
      <c r="E257" t="str">
        <f>IF($A257&lt;&gt;"",'All Cases - Enter Cases'!E257,"")</f>
        <v/>
      </c>
      <c r="F257" t="str">
        <f>IF($A257&lt;&gt;"",'All Cases - Enter Cases'!F257,"")</f>
        <v/>
      </c>
      <c r="G257" t="str">
        <f>IF($A257&lt;&gt;"",'All Cases - Enter Cases'!G257,"")</f>
        <v/>
      </c>
      <c r="H257" t="str">
        <f>IF($A257&lt;&gt;"",'All Cases - Enter Cases'!H257,"")</f>
        <v/>
      </c>
      <c r="I257" t="str">
        <f>IF($A257&lt;&gt;"",'All Cases - Enter Cases'!I257,"")</f>
        <v/>
      </c>
      <c r="J257" t="str">
        <f>IF($A257&lt;&gt;"",'All Cases - Enter Cases'!J257,"")</f>
        <v/>
      </c>
      <c r="K257" t="str">
        <f>IF($A257&lt;&gt;"",'All Cases - Enter Cases'!K257,"")</f>
        <v/>
      </c>
      <c r="L257" t="str">
        <f>IF($A257&lt;&gt;"",'All Cases - Enter Cases'!L257,"")</f>
        <v/>
      </c>
      <c r="M257" t="str">
        <f>IF($A257&lt;&gt;"",'All Cases - Enter Cases'!M257,"")</f>
        <v/>
      </c>
    </row>
    <row r="258" spans="1:13" x14ac:dyDescent="0.35">
      <c r="A258" t="str">
        <f>IF('All Cases - Enter Cases'!$F258="KPK",'All Cases - Enter Cases'!A258,"")</f>
        <v/>
      </c>
      <c r="B258" t="str">
        <f>IF($A258&lt;&gt;"",'All Cases - Enter Cases'!B258,"")</f>
        <v/>
      </c>
      <c r="C258" t="str">
        <f>IF($A258&lt;&gt;"",'All Cases - Enter Cases'!C258,"")</f>
        <v/>
      </c>
      <c r="D258" t="str">
        <f>IF($A258&lt;&gt;"",'All Cases - Enter Cases'!D258,"")</f>
        <v/>
      </c>
      <c r="E258" t="str">
        <f>IF($A258&lt;&gt;"",'All Cases - Enter Cases'!E258,"")</f>
        <v/>
      </c>
      <c r="F258" t="str">
        <f>IF($A258&lt;&gt;"",'All Cases - Enter Cases'!F258,"")</f>
        <v/>
      </c>
      <c r="G258" t="str">
        <f>IF($A258&lt;&gt;"",'All Cases - Enter Cases'!G258,"")</f>
        <v/>
      </c>
      <c r="H258" t="str">
        <f>IF($A258&lt;&gt;"",'All Cases - Enter Cases'!H258,"")</f>
        <v/>
      </c>
      <c r="I258" t="str">
        <f>IF($A258&lt;&gt;"",'All Cases - Enter Cases'!I258,"")</f>
        <v/>
      </c>
      <c r="J258" t="str">
        <f>IF($A258&lt;&gt;"",'All Cases - Enter Cases'!J258,"")</f>
        <v/>
      </c>
      <c r="K258" t="str">
        <f>IF($A258&lt;&gt;"",'All Cases - Enter Cases'!K258,"")</f>
        <v/>
      </c>
      <c r="L258" t="str">
        <f>IF($A258&lt;&gt;"",'All Cases - Enter Cases'!L258,"")</f>
        <v/>
      </c>
      <c r="M258" t="str">
        <f>IF($A258&lt;&gt;"",'All Cases - Enter Cases'!M258,"")</f>
        <v/>
      </c>
    </row>
    <row r="259" spans="1:13" x14ac:dyDescent="0.35">
      <c r="A259" t="str">
        <f>IF('All Cases - Enter Cases'!$F259="KPK",'All Cases - Enter Cases'!A259,"")</f>
        <v/>
      </c>
      <c r="B259" t="str">
        <f>IF($A259&lt;&gt;"",'All Cases - Enter Cases'!B259,"")</f>
        <v/>
      </c>
      <c r="C259" t="str">
        <f>IF($A259&lt;&gt;"",'All Cases - Enter Cases'!C259,"")</f>
        <v/>
      </c>
      <c r="D259" t="str">
        <f>IF($A259&lt;&gt;"",'All Cases - Enter Cases'!D259,"")</f>
        <v/>
      </c>
      <c r="E259" t="str">
        <f>IF($A259&lt;&gt;"",'All Cases - Enter Cases'!E259,"")</f>
        <v/>
      </c>
      <c r="F259" t="str">
        <f>IF($A259&lt;&gt;"",'All Cases - Enter Cases'!F259,"")</f>
        <v/>
      </c>
      <c r="G259" t="str">
        <f>IF($A259&lt;&gt;"",'All Cases - Enter Cases'!G259,"")</f>
        <v/>
      </c>
      <c r="H259" t="str">
        <f>IF($A259&lt;&gt;"",'All Cases - Enter Cases'!H259,"")</f>
        <v/>
      </c>
      <c r="I259" t="str">
        <f>IF($A259&lt;&gt;"",'All Cases - Enter Cases'!I259,"")</f>
        <v/>
      </c>
      <c r="J259" t="str">
        <f>IF($A259&lt;&gt;"",'All Cases - Enter Cases'!J259,"")</f>
        <v/>
      </c>
      <c r="K259" t="str">
        <f>IF($A259&lt;&gt;"",'All Cases - Enter Cases'!K259,"")</f>
        <v/>
      </c>
      <c r="L259" t="str">
        <f>IF($A259&lt;&gt;"",'All Cases - Enter Cases'!L259,"")</f>
        <v/>
      </c>
      <c r="M259" t="str">
        <f>IF($A259&lt;&gt;"",'All Cases - Enter Cases'!M259,"")</f>
        <v/>
      </c>
    </row>
    <row r="260" spans="1:13" x14ac:dyDescent="0.35">
      <c r="A260" t="str">
        <f>IF('All Cases - Enter Cases'!$F260="KPK",'All Cases - Enter Cases'!A260,"")</f>
        <v/>
      </c>
      <c r="B260" t="str">
        <f>IF($A260&lt;&gt;"",'All Cases - Enter Cases'!B260,"")</f>
        <v/>
      </c>
      <c r="C260" t="str">
        <f>IF($A260&lt;&gt;"",'All Cases - Enter Cases'!C260,"")</f>
        <v/>
      </c>
      <c r="D260" t="str">
        <f>IF($A260&lt;&gt;"",'All Cases - Enter Cases'!D260,"")</f>
        <v/>
      </c>
      <c r="E260" t="str">
        <f>IF($A260&lt;&gt;"",'All Cases - Enter Cases'!E260,"")</f>
        <v/>
      </c>
      <c r="F260" t="str">
        <f>IF($A260&lt;&gt;"",'All Cases - Enter Cases'!F260,"")</f>
        <v/>
      </c>
      <c r="G260" t="str">
        <f>IF($A260&lt;&gt;"",'All Cases - Enter Cases'!G260,"")</f>
        <v/>
      </c>
      <c r="H260" t="str">
        <f>IF($A260&lt;&gt;"",'All Cases - Enter Cases'!H260,"")</f>
        <v/>
      </c>
      <c r="I260" t="str">
        <f>IF($A260&lt;&gt;"",'All Cases - Enter Cases'!I260,"")</f>
        <v/>
      </c>
      <c r="J260" t="str">
        <f>IF($A260&lt;&gt;"",'All Cases - Enter Cases'!J260,"")</f>
        <v/>
      </c>
      <c r="K260" t="str">
        <f>IF($A260&lt;&gt;"",'All Cases - Enter Cases'!K260,"")</f>
        <v/>
      </c>
      <c r="L260" t="str">
        <f>IF($A260&lt;&gt;"",'All Cases - Enter Cases'!L260,"")</f>
        <v/>
      </c>
      <c r="M260" t="str">
        <f>IF($A260&lt;&gt;"",'All Cases - Enter Cases'!M260,"")</f>
        <v/>
      </c>
    </row>
    <row r="261" spans="1:13" x14ac:dyDescent="0.35">
      <c r="A261" t="str">
        <f>IF('All Cases - Enter Cases'!$F261="KPK",'All Cases - Enter Cases'!A261,"")</f>
        <v/>
      </c>
      <c r="B261" t="str">
        <f>IF($A261&lt;&gt;"",'All Cases - Enter Cases'!B261,"")</f>
        <v/>
      </c>
      <c r="C261" t="str">
        <f>IF($A261&lt;&gt;"",'All Cases - Enter Cases'!C261,"")</f>
        <v/>
      </c>
      <c r="D261" t="str">
        <f>IF($A261&lt;&gt;"",'All Cases - Enter Cases'!D261,"")</f>
        <v/>
      </c>
      <c r="E261" t="str">
        <f>IF($A261&lt;&gt;"",'All Cases - Enter Cases'!E261,"")</f>
        <v/>
      </c>
      <c r="F261" t="str">
        <f>IF($A261&lt;&gt;"",'All Cases - Enter Cases'!F261,"")</f>
        <v/>
      </c>
      <c r="G261" t="str">
        <f>IF($A261&lt;&gt;"",'All Cases - Enter Cases'!G261,"")</f>
        <v/>
      </c>
      <c r="H261" t="str">
        <f>IF($A261&lt;&gt;"",'All Cases - Enter Cases'!H261,"")</f>
        <v/>
      </c>
      <c r="I261" t="str">
        <f>IF($A261&lt;&gt;"",'All Cases - Enter Cases'!I261,"")</f>
        <v/>
      </c>
      <c r="J261" t="str">
        <f>IF($A261&lt;&gt;"",'All Cases - Enter Cases'!J261,"")</f>
        <v/>
      </c>
      <c r="K261" t="str">
        <f>IF($A261&lt;&gt;"",'All Cases - Enter Cases'!K261,"")</f>
        <v/>
      </c>
      <c r="L261" t="str">
        <f>IF($A261&lt;&gt;"",'All Cases - Enter Cases'!L261,"")</f>
        <v/>
      </c>
      <c r="M261" t="str">
        <f>IF($A261&lt;&gt;"",'All Cases - Enter Cases'!M261,"")</f>
        <v/>
      </c>
    </row>
    <row r="262" spans="1:13" x14ac:dyDescent="0.35">
      <c r="A262" t="str">
        <f>IF('All Cases - Enter Cases'!$F262="KPK",'All Cases - Enter Cases'!A262,"")</f>
        <v/>
      </c>
      <c r="B262" t="str">
        <f>IF($A262&lt;&gt;"",'All Cases - Enter Cases'!B262,"")</f>
        <v/>
      </c>
      <c r="C262" t="str">
        <f>IF($A262&lt;&gt;"",'All Cases - Enter Cases'!C262,"")</f>
        <v/>
      </c>
      <c r="D262" t="str">
        <f>IF($A262&lt;&gt;"",'All Cases - Enter Cases'!D262,"")</f>
        <v/>
      </c>
      <c r="E262" t="str">
        <f>IF($A262&lt;&gt;"",'All Cases - Enter Cases'!E262,"")</f>
        <v/>
      </c>
      <c r="F262" t="str">
        <f>IF($A262&lt;&gt;"",'All Cases - Enter Cases'!F262,"")</f>
        <v/>
      </c>
      <c r="G262" t="str">
        <f>IF($A262&lt;&gt;"",'All Cases - Enter Cases'!G262,"")</f>
        <v/>
      </c>
      <c r="H262" t="str">
        <f>IF($A262&lt;&gt;"",'All Cases - Enter Cases'!H262,"")</f>
        <v/>
      </c>
      <c r="I262" t="str">
        <f>IF($A262&lt;&gt;"",'All Cases - Enter Cases'!I262,"")</f>
        <v/>
      </c>
      <c r="J262" t="str">
        <f>IF($A262&lt;&gt;"",'All Cases - Enter Cases'!J262,"")</f>
        <v/>
      </c>
      <c r="K262" t="str">
        <f>IF($A262&lt;&gt;"",'All Cases - Enter Cases'!K262,"")</f>
        <v/>
      </c>
      <c r="L262" t="str">
        <f>IF($A262&lt;&gt;"",'All Cases - Enter Cases'!L262,"")</f>
        <v/>
      </c>
      <c r="M262" t="str">
        <f>IF($A262&lt;&gt;"",'All Cases - Enter Cases'!M262,"")</f>
        <v/>
      </c>
    </row>
    <row r="263" spans="1:13" x14ac:dyDescent="0.35">
      <c r="A263" t="str">
        <f>IF('All Cases - Enter Cases'!$F263="KPK",'All Cases - Enter Cases'!A263,"")</f>
        <v/>
      </c>
      <c r="B263" t="str">
        <f>IF($A263&lt;&gt;"",'All Cases - Enter Cases'!B263,"")</f>
        <v/>
      </c>
      <c r="C263" t="str">
        <f>IF($A263&lt;&gt;"",'All Cases - Enter Cases'!C263,"")</f>
        <v/>
      </c>
      <c r="D263" t="str">
        <f>IF($A263&lt;&gt;"",'All Cases - Enter Cases'!D263,"")</f>
        <v/>
      </c>
      <c r="E263" t="str">
        <f>IF($A263&lt;&gt;"",'All Cases - Enter Cases'!E263,"")</f>
        <v/>
      </c>
      <c r="F263" t="str">
        <f>IF($A263&lt;&gt;"",'All Cases - Enter Cases'!F263,"")</f>
        <v/>
      </c>
      <c r="G263" t="str">
        <f>IF($A263&lt;&gt;"",'All Cases - Enter Cases'!G263,"")</f>
        <v/>
      </c>
      <c r="H263" t="str">
        <f>IF($A263&lt;&gt;"",'All Cases - Enter Cases'!H263,"")</f>
        <v/>
      </c>
      <c r="I263" t="str">
        <f>IF($A263&lt;&gt;"",'All Cases - Enter Cases'!I263,"")</f>
        <v/>
      </c>
      <c r="J263" t="str">
        <f>IF($A263&lt;&gt;"",'All Cases - Enter Cases'!J263,"")</f>
        <v/>
      </c>
      <c r="K263" t="str">
        <f>IF($A263&lt;&gt;"",'All Cases - Enter Cases'!K263,"")</f>
        <v/>
      </c>
      <c r="L263" t="str">
        <f>IF($A263&lt;&gt;"",'All Cases - Enter Cases'!L263,"")</f>
        <v/>
      </c>
      <c r="M263" t="str">
        <f>IF($A263&lt;&gt;"",'All Cases - Enter Cases'!M263,"")</f>
        <v/>
      </c>
    </row>
    <row r="264" spans="1:13" x14ac:dyDescent="0.35">
      <c r="A264" t="str">
        <f>IF('All Cases - Enter Cases'!$F264="KPK",'All Cases - Enter Cases'!A264,"")</f>
        <v/>
      </c>
      <c r="B264" t="str">
        <f>IF($A264&lt;&gt;"",'All Cases - Enter Cases'!B264,"")</f>
        <v/>
      </c>
      <c r="C264" t="str">
        <f>IF($A264&lt;&gt;"",'All Cases - Enter Cases'!C264,"")</f>
        <v/>
      </c>
      <c r="D264" t="str">
        <f>IF($A264&lt;&gt;"",'All Cases - Enter Cases'!D264,"")</f>
        <v/>
      </c>
      <c r="E264" t="str">
        <f>IF($A264&lt;&gt;"",'All Cases - Enter Cases'!E264,"")</f>
        <v/>
      </c>
      <c r="F264" t="str">
        <f>IF($A264&lt;&gt;"",'All Cases - Enter Cases'!F264,"")</f>
        <v/>
      </c>
      <c r="G264" t="str">
        <f>IF($A264&lt;&gt;"",'All Cases - Enter Cases'!G264,"")</f>
        <v/>
      </c>
      <c r="H264" t="str">
        <f>IF($A264&lt;&gt;"",'All Cases - Enter Cases'!H264,"")</f>
        <v/>
      </c>
      <c r="I264" t="str">
        <f>IF($A264&lt;&gt;"",'All Cases - Enter Cases'!I264,"")</f>
        <v/>
      </c>
      <c r="J264" t="str">
        <f>IF($A264&lt;&gt;"",'All Cases - Enter Cases'!J264,"")</f>
        <v/>
      </c>
      <c r="K264" t="str">
        <f>IF($A264&lt;&gt;"",'All Cases - Enter Cases'!K264,"")</f>
        <v/>
      </c>
      <c r="L264" t="str">
        <f>IF($A264&lt;&gt;"",'All Cases - Enter Cases'!L264,"")</f>
        <v/>
      </c>
      <c r="M264" t="str">
        <f>IF($A264&lt;&gt;"",'All Cases - Enter Cases'!M264,"")</f>
        <v/>
      </c>
    </row>
    <row r="265" spans="1:13" x14ac:dyDescent="0.35">
      <c r="A265" t="str">
        <f>IF('All Cases - Enter Cases'!$F265="KPK",'All Cases - Enter Cases'!A265,"")</f>
        <v/>
      </c>
      <c r="B265" t="str">
        <f>IF($A265&lt;&gt;"",'All Cases - Enter Cases'!B265,"")</f>
        <v/>
      </c>
      <c r="C265" t="str">
        <f>IF($A265&lt;&gt;"",'All Cases - Enter Cases'!C265,"")</f>
        <v/>
      </c>
      <c r="D265" t="str">
        <f>IF($A265&lt;&gt;"",'All Cases - Enter Cases'!D265,"")</f>
        <v/>
      </c>
      <c r="E265" t="str">
        <f>IF($A265&lt;&gt;"",'All Cases - Enter Cases'!E265,"")</f>
        <v/>
      </c>
      <c r="F265" t="str">
        <f>IF($A265&lt;&gt;"",'All Cases - Enter Cases'!F265,"")</f>
        <v/>
      </c>
      <c r="G265" t="str">
        <f>IF($A265&lt;&gt;"",'All Cases - Enter Cases'!G265,"")</f>
        <v/>
      </c>
      <c r="H265" t="str">
        <f>IF($A265&lt;&gt;"",'All Cases - Enter Cases'!H265,"")</f>
        <v/>
      </c>
      <c r="I265" t="str">
        <f>IF($A265&lt;&gt;"",'All Cases - Enter Cases'!I265,"")</f>
        <v/>
      </c>
      <c r="J265" t="str">
        <f>IF($A265&lt;&gt;"",'All Cases - Enter Cases'!J265,"")</f>
        <v/>
      </c>
      <c r="K265" t="str">
        <f>IF($A265&lt;&gt;"",'All Cases - Enter Cases'!K265,"")</f>
        <v/>
      </c>
      <c r="L265" t="str">
        <f>IF($A265&lt;&gt;"",'All Cases - Enter Cases'!L265,"")</f>
        <v/>
      </c>
      <c r="M265" t="str">
        <f>IF($A265&lt;&gt;"",'All Cases - Enter Cases'!M265,"")</f>
        <v/>
      </c>
    </row>
    <row r="266" spans="1:13" x14ac:dyDescent="0.35">
      <c r="A266" t="str">
        <f>IF('All Cases - Enter Cases'!$F266="KPK",'All Cases - Enter Cases'!A266,"")</f>
        <v/>
      </c>
      <c r="B266" t="str">
        <f>IF($A266&lt;&gt;"",'All Cases - Enter Cases'!B266,"")</f>
        <v/>
      </c>
      <c r="C266" t="str">
        <f>IF($A266&lt;&gt;"",'All Cases - Enter Cases'!C266,"")</f>
        <v/>
      </c>
      <c r="D266" t="str">
        <f>IF($A266&lt;&gt;"",'All Cases - Enter Cases'!D266,"")</f>
        <v/>
      </c>
      <c r="E266" t="str">
        <f>IF($A266&lt;&gt;"",'All Cases - Enter Cases'!E266,"")</f>
        <v/>
      </c>
      <c r="F266" t="str">
        <f>IF($A266&lt;&gt;"",'All Cases - Enter Cases'!F266,"")</f>
        <v/>
      </c>
      <c r="G266" t="str">
        <f>IF($A266&lt;&gt;"",'All Cases - Enter Cases'!G266,"")</f>
        <v/>
      </c>
      <c r="H266" t="str">
        <f>IF($A266&lt;&gt;"",'All Cases - Enter Cases'!H266,"")</f>
        <v/>
      </c>
      <c r="I266" t="str">
        <f>IF($A266&lt;&gt;"",'All Cases - Enter Cases'!I266,"")</f>
        <v/>
      </c>
      <c r="J266" t="str">
        <f>IF($A266&lt;&gt;"",'All Cases - Enter Cases'!J266,"")</f>
        <v/>
      </c>
      <c r="K266" t="str">
        <f>IF($A266&lt;&gt;"",'All Cases - Enter Cases'!K266,"")</f>
        <v/>
      </c>
      <c r="L266" t="str">
        <f>IF($A266&lt;&gt;"",'All Cases - Enter Cases'!L266,"")</f>
        <v/>
      </c>
      <c r="M266" t="str">
        <f>IF($A266&lt;&gt;"",'All Cases - Enter Cases'!M266,"")</f>
        <v/>
      </c>
    </row>
    <row r="267" spans="1:13" x14ac:dyDescent="0.35">
      <c r="A267" t="str">
        <f>IF('All Cases - Enter Cases'!$F267="KPK",'All Cases - Enter Cases'!A267,"")</f>
        <v/>
      </c>
      <c r="B267" t="str">
        <f>IF($A267&lt;&gt;"",'All Cases - Enter Cases'!B267,"")</f>
        <v/>
      </c>
      <c r="C267" t="str">
        <f>IF($A267&lt;&gt;"",'All Cases - Enter Cases'!C267,"")</f>
        <v/>
      </c>
      <c r="D267" t="str">
        <f>IF($A267&lt;&gt;"",'All Cases - Enter Cases'!D267,"")</f>
        <v/>
      </c>
      <c r="E267" t="str">
        <f>IF($A267&lt;&gt;"",'All Cases - Enter Cases'!E267,"")</f>
        <v/>
      </c>
      <c r="F267" t="str">
        <f>IF($A267&lt;&gt;"",'All Cases - Enter Cases'!F267,"")</f>
        <v/>
      </c>
      <c r="G267" t="str">
        <f>IF($A267&lt;&gt;"",'All Cases - Enter Cases'!G267,"")</f>
        <v/>
      </c>
      <c r="H267" t="str">
        <f>IF($A267&lt;&gt;"",'All Cases - Enter Cases'!H267,"")</f>
        <v/>
      </c>
      <c r="I267" t="str">
        <f>IF($A267&lt;&gt;"",'All Cases - Enter Cases'!I267,"")</f>
        <v/>
      </c>
      <c r="J267" t="str">
        <f>IF($A267&lt;&gt;"",'All Cases - Enter Cases'!J267,"")</f>
        <v/>
      </c>
      <c r="K267" t="str">
        <f>IF($A267&lt;&gt;"",'All Cases - Enter Cases'!K267,"")</f>
        <v/>
      </c>
      <c r="L267" t="str">
        <f>IF($A267&lt;&gt;"",'All Cases - Enter Cases'!L267,"")</f>
        <v/>
      </c>
      <c r="M267" t="str">
        <f>IF($A267&lt;&gt;"",'All Cases - Enter Cases'!M267,"")</f>
        <v/>
      </c>
    </row>
    <row r="268" spans="1:13" x14ac:dyDescent="0.35">
      <c r="A268" t="str">
        <f>IF('All Cases - Enter Cases'!$F268="KPK",'All Cases - Enter Cases'!A268,"")</f>
        <v/>
      </c>
      <c r="B268" t="str">
        <f>IF($A268&lt;&gt;"",'All Cases - Enter Cases'!B268,"")</f>
        <v/>
      </c>
      <c r="C268" t="str">
        <f>IF($A268&lt;&gt;"",'All Cases - Enter Cases'!C268,"")</f>
        <v/>
      </c>
      <c r="D268" t="str">
        <f>IF($A268&lt;&gt;"",'All Cases - Enter Cases'!D268,"")</f>
        <v/>
      </c>
      <c r="E268" t="str">
        <f>IF($A268&lt;&gt;"",'All Cases - Enter Cases'!E268,"")</f>
        <v/>
      </c>
      <c r="F268" t="str">
        <f>IF($A268&lt;&gt;"",'All Cases - Enter Cases'!F268,"")</f>
        <v/>
      </c>
      <c r="G268" t="str">
        <f>IF($A268&lt;&gt;"",'All Cases - Enter Cases'!G268,"")</f>
        <v/>
      </c>
      <c r="H268" t="str">
        <f>IF($A268&lt;&gt;"",'All Cases - Enter Cases'!H268,"")</f>
        <v/>
      </c>
      <c r="I268" t="str">
        <f>IF($A268&lt;&gt;"",'All Cases - Enter Cases'!I268,"")</f>
        <v/>
      </c>
      <c r="J268" t="str">
        <f>IF($A268&lt;&gt;"",'All Cases - Enter Cases'!J268,"")</f>
        <v/>
      </c>
      <c r="K268" t="str">
        <f>IF($A268&lt;&gt;"",'All Cases - Enter Cases'!K268,"")</f>
        <v/>
      </c>
      <c r="L268" t="str">
        <f>IF($A268&lt;&gt;"",'All Cases - Enter Cases'!L268,"")</f>
        <v/>
      </c>
      <c r="M268" t="str">
        <f>IF($A268&lt;&gt;"",'All Cases - Enter Cases'!M268,"")</f>
        <v/>
      </c>
    </row>
    <row r="269" spans="1:13" x14ac:dyDescent="0.35">
      <c r="A269" t="str">
        <f>IF('All Cases - Enter Cases'!$F269="KPK",'All Cases - Enter Cases'!A269,"")</f>
        <v/>
      </c>
      <c r="B269" t="str">
        <f>IF($A269&lt;&gt;"",'All Cases - Enter Cases'!B269,"")</f>
        <v/>
      </c>
      <c r="C269" t="str">
        <f>IF($A269&lt;&gt;"",'All Cases - Enter Cases'!C269,"")</f>
        <v/>
      </c>
      <c r="D269" t="str">
        <f>IF($A269&lt;&gt;"",'All Cases - Enter Cases'!D269,"")</f>
        <v/>
      </c>
      <c r="E269" t="str">
        <f>IF($A269&lt;&gt;"",'All Cases - Enter Cases'!E269,"")</f>
        <v/>
      </c>
      <c r="F269" t="str">
        <f>IF($A269&lt;&gt;"",'All Cases - Enter Cases'!F269,"")</f>
        <v/>
      </c>
      <c r="G269" t="str">
        <f>IF($A269&lt;&gt;"",'All Cases - Enter Cases'!G269,"")</f>
        <v/>
      </c>
      <c r="H269" t="str">
        <f>IF($A269&lt;&gt;"",'All Cases - Enter Cases'!H269,"")</f>
        <v/>
      </c>
      <c r="I269" t="str">
        <f>IF($A269&lt;&gt;"",'All Cases - Enter Cases'!I269,"")</f>
        <v/>
      </c>
      <c r="J269" t="str">
        <f>IF($A269&lt;&gt;"",'All Cases - Enter Cases'!J269,"")</f>
        <v/>
      </c>
      <c r="K269" t="str">
        <f>IF($A269&lt;&gt;"",'All Cases - Enter Cases'!K269,"")</f>
        <v/>
      </c>
      <c r="L269" t="str">
        <f>IF($A269&lt;&gt;"",'All Cases - Enter Cases'!L269,"")</f>
        <v/>
      </c>
      <c r="M269" t="str">
        <f>IF($A269&lt;&gt;"",'All Cases - Enter Cases'!M269,"")</f>
        <v/>
      </c>
    </row>
    <row r="270" spans="1:13" x14ac:dyDescent="0.35">
      <c r="A270" t="str">
        <f>IF('All Cases - Enter Cases'!$F270="KPK",'All Cases - Enter Cases'!A270,"")</f>
        <v/>
      </c>
      <c r="B270" t="str">
        <f>IF($A270&lt;&gt;"",'All Cases - Enter Cases'!B270,"")</f>
        <v/>
      </c>
      <c r="C270" t="str">
        <f>IF($A270&lt;&gt;"",'All Cases - Enter Cases'!C270,"")</f>
        <v/>
      </c>
      <c r="D270" t="str">
        <f>IF($A270&lt;&gt;"",'All Cases - Enter Cases'!D270,"")</f>
        <v/>
      </c>
      <c r="E270" t="str">
        <f>IF($A270&lt;&gt;"",'All Cases - Enter Cases'!E270,"")</f>
        <v/>
      </c>
      <c r="F270" t="str">
        <f>IF($A270&lt;&gt;"",'All Cases - Enter Cases'!F270,"")</f>
        <v/>
      </c>
      <c r="G270" t="str">
        <f>IF($A270&lt;&gt;"",'All Cases - Enter Cases'!G270,"")</f>
        <v/>
      </c>
      <c r="H270" t="str">
        <f>IF($A270&lt;&gt;"",'All Cases - Enter Cases'!H270,"")</f>
        <v/>
      </c>
      <c r="I270" t="str">
        <f>IF($A270&lt;&gt;"",'All Cases - Enter Cases'!I270,"")</f>
        <v/>
      </c>
      <c r="J270" t="str">
        <f>IF($A270&lt;&gt;"",'All Cases - Enter Cases'!J270,"")</f>
        <v/>
      </c>
      <c r="K270" t="str">
        <f>IF($A270&lt;&gt;"",'All Cases - Enter Cases'!K270,"")</f>
        <v/>
      </c>
      <c r="L270" t="str">
        <f>IF($A270&lt;&gt;"",'All Cases - Enter Cases'!L270,"")</f>
        <v/>
      </c>
      <c r="M270" t="str">
        <f>IF($A270&lt;&gt;"",'All Cases - Enter Cases'!M270,"")</f>
        <v/>
      </c>
    </row>
    <row r="271" spans="1:13" x14ac:dyDescent="0.35">
      <c r="A271" t="str">
        <f>IF('All Cases - Enter Cases'!$F271="KPK",'All Cases - Enter Cases'!A271,"")</f>
        <v/>
      </c>
      <c r="B271" t="str">
        <f>IF($A271&lt;&gt;"",'All Cases - Enter Cases'!B271,"")</f>
        <v/>
      </c>
      <c r="C271" t="str">
        <f>IF($A271&lt;&gt;"",'All Cases - Enter Cases'!C271,"")</f>
        <v/>
      </c>
      <c r="D271" t="str">
        <f>IF($A271&lt;&gt;"",'All Cases - Enter Cases'!D271,"")</f>
        <v/>
      </c>
      <c r="E271" t="str">
        <f>IF($A271&lt;&gt;"",'All Cases - Enter Cases'!E271,"")</f>
        <v/>
      </c>
      <c r="F271" t="str">
        <f>IF($A271&lt;&gt;"",'All Cases - Enter Cases'!F271,"")</f>
        <v/>
      </c>
      <c r="G271" t="str">
        <f>IF($A271&lt;&gt;"",'All Cases - Enter Cases'!G271,"")</f>
        <v/>
      </c>
      <c r="H271" t="str">
        <f>IF($A271&lt;&gt;"",'All Cases - Enter Cases'!H271,"")</f>
        <v/>
      </c>
      <c r="I271" t="str">
        <f>IF($A271&lt;&gt;"",'All Cases - Enter Cases'!I271,"")</f>
        <v/>
      </c>
      <c r="J271" t="str">
        <f>IF($A271&lt;&gt;"",'All Cases - Enter Cases'!J271,"")</f>
        <v/>
      </c>
      <c r="K271" t="str">
        <f>IF($A271&lt;&gt;"",'All Cases - Enter Cases'!K271,"")</f>
        <v/>
      </c>
      <c r="L271" t="str">
        <f>IF($A271&lt;&gt;"",'All Cases - Enter Cases'!L271,"")</f>
        <v/>
      </c>
      <c r="M271" t="str">
        <f>IF($A271&lt;&gt;"",'All Cases - Enter Cases'!M271,"")</f>
        <v/>
      </c>
    </row>
    <row r="272" spans="1:13" x14ac:dyDescent="0.35">
      <c r="A272" t="str">
        <f>IF('All Cases - Enter Cases'!$F272="KPK",'All Cases - Enter Cases'!A272,"")</f>
        <v/>
      </c>
      <c r="B272" t="str">
        <f>IF($A272&lt;&gt;"",'All Cases - Enter Cases'!B272,"")</f>
        <v/>
      </c>
      <c r="C272" t="str">
        <f>IF($A272&lt;&gt;"",'All Cases - Enter Cases'!C272,"")</f>
        <v/>
      </c>
      <c r="D272" t="str">
        <f>IF($A272&lt;&gt;"",'All Cases - Enter Cases'!D272,"")</f>
        <v/>
      </c>
      <c r="E272" t="str">
        <f>IF($A272&lt;&gt;"",'All Cases - Enter Cases'!E272,"")</f>
        <v/>
      </c>
      <c r="F272" t="str">
        <f>IF($A272&lt;&gt;"",'All Cases - Enter Cases'!F272,"")</f>
        <v/>
      </c>
      <c r="G272" t="str">
        <f>IF($A272&lt;&gt;"",'All Cases - Enter Cases'!G272,"")</f>
        <v/>
      </c>
      <c r="H272" t="str">
        <f>IF($A272&lt;&gt;"",'All Cases - Enter Cases'!H272,"")</f>
        <v/>
      </c>
      <c r="I272" t="str">
        <f>IF($A272&lt;&gt;"",'All Cases - Enter Cases'!I272,"")</f>
        <v/>
      </c>
      <c r="J272" t="str">
        <f>IF($A272&lt;&gt;"",'All Cases - Enter Cases'!J272,"")</f>
        <v/>
      </c>
      <c r="K272" t="str">
        <f>IF($A272&lt;&gt;"",'All Cases - Enter Cases'!K272,"")</f>
        <v/>
      </c>
      <c r="L272" t="str">
        <f>IF($A272&lt;&gt;"",'All Cases - Enter Cases'!L272,"")</f>
        <v/>
      </c>
      <c r="M272" t="str">
        <f>IF($A272&lt;&gt;"",'All Cases - Enter Cases'!M272,"")</f>
        <v/>
      </c>
    </row>
    <row r="273" spans="1:13" x14ac:dyDescent="0.35">
      <c r="A273" t="str">
        <f>IF('All Cases - Enter Cases'!$F273="KPK",'All Cases - Enter Cases'!A273,"")</f>
        <v/>
      </c>
      <c r="B273" t="str">
        <f>IF($A273&lt;&gt;"",'All Cases - Enter Cases'!B273,"")</f>
        <v/>
      </c>
      <c r="C273" t="str">
        <f>IF($A273&lt;&gt;"",'All Cases - Enter Cases'!C273,"")</f>
        <v/>
      </c>
      <c r="D273" t="str">
        <f>IF($A273&lt;&gt;"",'All Cases - Enter Cases'!D273,"")</f>
        <v/>
      </c>
      <c r="E273" t="str">
        <f>IF($A273&lt;&gt;"",'All Cases - Enter Cases'!E273,"")</f>
        <v/>
      </c>
      <c r="F273" t="str">
        <f>IF($A273&lt;&gt;"",'All Cases - Enter Cases'!F273,"")</f>
        <v/>
      </c>
      <c r="G273" t="str">
        <f>IF($A273&lt;&gt;"",'All Cases - Enter Cases'!G273,"")</f>
        <v/>
      </c>
      <c r="H273" t="str">
        <f>IF($A273&lt;&gt;"",'All Cases - Enter Cases'!H273,"")</f>
        <v/>
      </c>
      <c r="I273" t="str">
        <f>IF($A273&lt;&gt;"",'All Cases - Enter Cases'!I273,"")</f>
        <v/>
      </c>
      <c r="J273" t="str">
        <f>IF($A273&lt;&gt;"",'All Cases - Enter Cases'!J273,"")</f>
        <v/>
      </c>
      <c r="K273" t="str">
        <f>IF($A273&lt;&gt;"",'All Cases - Enter Cases'!K273,"")</f>
        <v/>
      </c>
      <c r="L273" t="str">
        <f>IF($A273&lt;&gt;"",'All Cases - Enter Cases'!L273,"")</f>
        <v/>
      </c>
      <c r="M273" t="str">
        <f>IF($A273&lt;&gt;"",'All Cases - Enter Cases'!M273,"")</f>
        <v/>
      </c>
    </row>
    <row r="274" spans="1:13" x14ac:dyDescent="0.35">
      <c r="A274" t="str">
        <f>IF('All Cases - Enter Cases'!$F274="KPK",'All Cases - Enter Cases'!A274,"")</f>
        <v/>
      </c>
      <c r="B274" t="str">
        <f>IF($A274&lt;&gt;"",'All Cases - Enter Cases'!B274,"")</f>
        <v/>
      </c>
      <c r="C274" t="str">
        <f>IF($A274&lt;&gt;"",'All Cases - Enter Cases'!C274,"")</f>
        <v/>
      </c>
      <c r="D274" t="str">
        <f>IF($A274&lt;&gt;"",'All Cases - Enter Cases'!D274,"")</f>
        <v/>
      </c>
      <c r="E274" t="str">
        <f>IF($A274&lt;&gt;"",'All Cases - Enter Cases'!E274,"")</f>
        <v/>
      </c>
      <c r="F274" t="str">
        <f>IF($A274&lt;&gt;"",'All Cases - Enter Cases'!F274,"")</f>
        <v/>
      </c>
      <c r="G274" t="str">
        <f>IF($A274&lt;&gt;"",'All Cases - Enter Cases'!G274,"")</f>
        <v/>
      </c>
      <c r="H274" t="str">
        <f>IF($A274&lt;&gt;"",'All Cases - Enter Cases'!H274,"")</f>
        <v/>
      </c>
      <c r="I274" t="str">
        <f>IF($A274&lt;&gt;"",'All Cases - Enter Cases'!I274,"")</f>
        <v/>
      </c>
      <c r="J274" t="str">
        <f>IF($A274&lt;&gt;"",'All Cases - Enter Cases'!J274,"")</f>
        <v/>
      </c>
      <c r="K274" t="str">
        <f>IF($A274&lt;&gt;"",'All Cases - Enter Cases'!K274,"")</f>
        <v/>
      </c>
      <c r="L274" t="str">
        <f>IF($A274&lt;&gt;"",'All Cases - Enter Cases'!L274,"")</f>
        <v/>
      </c>
      <c r="M274" t="str">
        <f>IF($A274&lt;&gt;"",'All Cases - Enter Cases'!M274,"")</f>
        <v/>
      </c>
    </row>
    <row r="275" spans="1:13" x14ac:dyDescent="0.35">
      <c r="A275" t="str">
        <f>IF('All Cases - Enter Cases'!$F275="KPK",'All Cases - Enter Cases'!A275,"")</f>
        <v/>
      </c>
      <c r="B275" t="str">
        <f>IF($A275&lt;&gt;"",'All Cases - Enter Cases'!B275,"")</f>
        <v/>
      </c>
      <c r="C275" t="str">
        <f>IF($A275&lt;&gt;"",'All Cases - Enter Cases'!C275,"")</f>
        <v/>
      </c>
      <c r="D275" t="str">
        <f>IF($A275&lt;&gt;"",'All Cases - Enter Cases'!D275,"")</f>
        <v/>
      </c>
      <c r="E275" t="str">
        <f>IF($A275&lt;&gt;"",'All Cases - Enter Cases'!E275,"")</f>
        <v/>
      </c>
      <c r="F275" t="str">
        <f>IF($A275&lt;&gt;"",'All Cases - Enter Cases'!F275,"")</f>
        <v/>
      </c>
      <c r="G275" t="str">
        <f>IF($A275&lt;&gt;"",'All Cases - Enter Cases'!G275,"")</f>
        <v/>
      </c>
      <c r="H275" t="str">
        <f>IF($A275&lt;&gt;"",'All Cases - Enter Cases'!H275,"")</f>
        <v/>
      </c>
      <c r="I275" t="str">
        <f>IF($A275&lt;&gt;"",'All Cases - Enter Cases'!I275,"")</f>
        <v/>
      </c>
      <c r="J275" t="str">
        <f>IF($A275&lt;&gt;"",'All Cases - Enter Cases'!J275,"")</f>
        <v/>
      </c>
      <c r="K275" t="str">
        <f>IF($A275&lt;&gt;"",'All Cases - Enter Cases'!K275,"")</f>
        <v/>
      </c>
      <c r="L275" t="str">
        <f>IF($A275&lt;&gt;"",'All Cases - Enter Cases'!L275,"")</f>
        <v/>
      </c>
      <c r="M275" t="str">
        <f>IF($A275&lt;&gt;"",'All Cases - Enter Cases'!M275,"")</f>
        <v/>
      </c>
    </row>
    <row r="276" spans="1:13" x14ac:dyDescent="0.35">
      <c r="A276" t="str">
        <f>IF('All Cases - Enter Cases'!$F276="KPK",'All Cases - Enter Cases'!A276,"")</f>
        <v/>
      </c>
      <c r="B276" t="str">
        <f>IF($A276&lt;&gt;"",'All Cases - Enter Cases'!B276,"")</f>
        <v/>
      </c>
      <c r="C276" t="str">
        <f>IF($A276&lt;&gt;"",'All Cases - Enter Cases'!C276,"")</f>
        <v/>
      </c>
      <c r="D276" t="str">
        <f>IF($A276&lt;&gt;"",'All Cases - Enter Cases'!D276,"")</f>
        <v/>
      </c>
      <c r="E276" t="str">
        <f>IF($A276&lt;&gt;"",'All Cases - Enter Cases'!E276,"")</f>
        <v/>
      </c>
      <c r="F276" t="str">
        <f>IF($A276&lt;&gt;"",'All Cases - Enter Cases'!F276,"")</f>
        <v/>
      </c>
      <c r="G276" t="str">
        <f>IF($A276&lt;&gt;"",'All Cases - Enter Cases'!G276,"")</f>
        <v/>
      </c>
      <c r="H276" t="str">
        <f>IF($A276&lt;&gt;"",'All Cases - Enter Cases'!H276,"")</f>
        <v/>
      </c>
      <c r="I276" t="str">
        <f>IF($A276&lt;&gt;"",'All Cases - Enter Cases'!I276,"")</f>
        <v/>
      </c>
      <c r="J276" t="str">
        <f>IF($A276&lt;&gt;"",'All Cases - Enter Cases'!J276,"")</f>
        <v/>
      </c>
      <c r="K276" t="str">
        <f>IF($A276&lt;&gt;"",'All Cases - Enter Cases'!K276,"")</f>
        <v/>
      </c>
      <c r="L276" t="str">
        <f>IF($A276&lt;&gt;"",'All Cases - Enter Cases'!L276,"")</f>
        <v/>
      </c>
      <c r="M276" t="str">
        <f>IF($A276&lt;&gt;"",'All Cases - Enter Cases'!M276,"")</f>
        <v/>
      </c>
    </row>
    <row r="277" spans="1:13" x14ac:dyDescent="0.35">
      <c r="A277" t="str">
        <f>IF('All Cases - Enter Cases'!$F277="KPK",'All Cases - Enter Cases'!A277,"")</f>
        <v/>
      </c>
      <c r="B277" t="str">
        <f>IF($A277&lt;&gt;"",'All Cases - Enter Cases'!B277,"")</f>
        <v/>
      </c>
      <c r="C277" t="str">
        <f>IF($A277&lt;&gt;"",'All Cases - Enter Cases'!C277,"")</f>
        <v/>
      </c>
      <c r="D277" t="str">
        <f>IF($A277&lt;&gt;"",'All Cases - Enter Cases'!D277,"")</f>
        <v/>
      </c>
      <c r="E277" t="str">
        <f>IF($A277&lt;&gt;"",'All Cases - Enter Cases'!E277,"")</f>
        <v/>
      </c>
      <c r="F277" t="str">
        <f>IF($A277&lt;&gt;"",'All Cases - Enter Cases'!F277,"")</f>
        <v/>
      </c>
      <c r="G277" t="str">
        <f>IF($A277&lt;&gt;"",'All Cases - Enter Cases'!G277,"")</f>
        <v/>
      </c>
      <c r="H277" t="str">
        <f>IF($A277&lt;&gt;"",'All Cases - Enter Cases'!H277,"")</f>
        <v/>
      </c>
      <c r="I277" t="str">
        <f>IF($A277&lt;&gt;"",'All Cases - Enter Cases'!I277,"")</f>
        <v/>
      </c>
      <c r="J277" t="str">
        <f>IF($A277&lt;&gt;"",'All Cases - Enter Cases'!J277,"")</f>
        <v/>
      </c>
      <c r="K277" t="str">
        <f>IF($A277&lt;&gt;"",'All Cases - Enter Cases'!K277,"")</f>
        <v/>
      </c>
      <c r="L277" t="str">
        <f>IF($A277&lt;&gt;"",'All Cases - Enter Cases'!L277,"")</f>
        <v/>
      </c>
      <c r="M277" t="str">
        <f>IF($A277&lt;&gt;"",'All Cases - Enter Cases'!M277,"")</f>
        <v/>
      </c>
    </row>
    <row r="278" spans="1:13" x14ac:dyDescent="0.35">
      <c r="A278" t="str">
        <f>IF('All Cases - Enter Cases'!$F278="KPK",'All Cases - Enter Cases'!A278,"")</f>
        <v/>
      </c>
      <c r="B278" t="str">
        <f>IF($A278&lt;&gt;"",'All Cases - Enter Cases'!B278,"")</f>
        <v/>
      </c>
      <c r="C278" t="str">
        <f>IF($A278&lt;&gt;"",'All Cases - Enter Cases'!C278,"")</f>
        <v/>
      </c>
      <c r="D278" t="str">
        <f>IF($A278&lt;&gt;"",'All Cases - Enter Cases'!D278,"")</f>
        <v/>
      </c>
      <c r="E278" t="str">
        <f>IF($A278&lt;&gt;"",'All Cases - Enter Cases'!E278,"")</f>
        <v/>
      </c>
      <c r="F278" t="str">
        <f>IF($A278&lt;&gt;"",'All Cases - Enter Cases'!F278,"")</f>
        <v/>
      </c>
      <c r="G278" t="str">
        <f>IF($A278&lt;&gt;"",'All Cases - Enter Cases'!G278,"")</f>
        <v/>
      </c>
      <c r="H278" t="str">
        <f>IF($A278&lt;&gt;"",'All Cases - Enter Cases'!H278,"")</f>
        <v/>
      </c>
      <c r="I278" t="str">
        <f>IF($A278&lt;&gt;"",'All Cases - Enter Cases'!I278,"")</f>
        <v/>
      </c>
      <c r="J278" t="str">
        <f>IF($A278&lt;&gt;"",'All Cases - Enter Cases'!J278,"")</f>
        <v/>
      </c>
      <c r="K278" t="str">
        <f>IF($A278&lt;&gt;"",'All Cases - Enter Cases'!K278,"")</f>
        <v/>
      </c>
      <c r="L278" t="str">
        <f>IF($A278&lt;&gt;"",'All Cases - Enter Cases'!L278,"")</f>
        <v/>
      </c>
      <c r="M278" t="str">
        <f>IF($A278&lt;&gt;"",'All Cases - Enter Cases'!M278,"")</f>
        <v/>
      </c>
    </row>
    <row r="279" spans="1:13" x14ac:dyDescent="0.35">
      <c r="A279" t="str">
        <f>IF('All Cases - Enter Cases'!$F279="KPK",'All Cases - Enter Cases'!A279,"")</f>
        <v/>
      </c>
      <c r="B279" t="str">
        <f>IF($A279&lt;&gt;"",'All Cases - Enter Cases'!B279,"")</f>
        <v/>
      </c>
      <c r="C279" t="str">
        <f>IF($A279&lt;&gt;"",'All Cases - Enter Cases'!C279,"")</f>
        <v/>
      </c>
      <c r="D279" t="str">
        <f>IF($A279&lt;&gt;"",'All Cases - Enter Cases'!D279,"")</f>
        <v/>
      </c>
      <c r="E279" t="str">
        <f>IF($A279&lt;&gt;"",'All Cases - Enter Cases'!E279,"")</f>
        <v/>
      </c>
      <c r="F279" t="str">
        <f>IF($A279&lt;&gt;"",'All Cases - Enter Cases'!F279,"")</f>
        <v/>
      </c>
      <c r="G279" t="str">
        <f>IF($A279&lt;&gt;"",'All Cases - Enter Cases'!G279,"")</f>
        <v/>
      </c>
      <c r="H279" t="str">
        <f>IF($A279&lt;&gt;"",'All Cases - Enter Cases'!H279,"")</f>
        <v/>
      </c>
      <c r="I279" t="str">
        <f>IF($A279&lt;&gt;"",'All Cases - Enter Cases'!I279,"")</f>
        <v/>
      </c>
      <c r="J279" t="str">
        <f>IF($A279&lt;&gt;"",'All Cases - Enter Cases'!J279,"")</f>
        <v/>
      </c>
      <c r="K279" t="str">
        <f>IF($A279&lt;&gt;"",'All Cases - Enter Cases'!K279,"")</f>
        <v/>
      </c>
      <c r="L279" t="str">
        <f>IF($A279&lt;&gt;"",'All Cases - Enter Cases'!L279,"")</f>
        <v/>
      </c>
      <c r="M279" t="str">
        <f>IF($A279&lt;&gt;"",'All Cases - Enter Cases'!M279,"")</f>
        <v/>
      </c>
    </row>
    <row r="280" spans="1:13" x14ac:dyDescent="0.35">
      <c r="A280" t="str">
        <f>IF('All Cases - Enter Cases'!$F280="KPK",'All Cases - Enter Cases'!A280,"")</f>
        <v/>
      </c>
      <c r="B280" t="str">
        <f>IF($A280&lt;&gt;"",'All Cases - Enter Cases'!B280,"")</f>
        <v/>
      </c>
      <c r="C280" t="str">
        <f>IF($A280&lt;&gt;"",'All Cases - Enter Cases'!C280,"")</f>
        <v/>
      </c>
      <c r="D280" t="str">
        <f>IF($A280&lt;&gt;"",'All Cases - Enter Cases'!D280,"")</f>
        <v/>
      </c>
      <c r="E280" t="str">
        <f>IF($A280&lt;&gt;"",'All Cases - Enter Cases'!E280,"")</f>
        <v/>
      </c>
      <c r="F280" t="str">
        <f>IF($A280&lt;&gt;"",'All Cases - Enter Cases'!F280,"")</f>
        <v/>
      </c>
      <c r="G280" t="str">
        <f>IF($A280&lt;&gt;"",'All Cases - Enter Cases'!G280,"")</f>
        <v/>
      </c>
      <c r="H280" t="str">
        <f>IF($A280&lt;&gt;"",'All Cases - Enter Cases'!H280,"")</f>
        <v/>
      </c>
      <c r="I280" t="str">
        <f>IF($A280&lt;&gt;"",'All Cases - Enter Cases'!I280,"")</f>
        <v/>
      </c>
      <c r="J280" t="str">
        <f>IF($A280&lt;&gt;"",'All Cases - Enter Cases'!J280,"")</f>
        <v/>
      </c>
      <c r="K280" t="str">
        <f>IF($A280&lt;&gt;"",'All Cases - Enter Cases'!K280,"")</f>
        <v/>
      </c>
      <c r="L280" t="str">
        <f>IF($A280&lt;&gt;"",'All Cases - Enter Cases'!L280,"")</f>
        <v/>
      </c>
      <c r="M280" t="str">
        <f>IF($A280&lt;&gt;"",'All Cases - Enter Cases'!M280,"")</f>
        <v/>
      </c>
    </row>
    <row r="281" spans="1:13" x14ac:dyDescent="0.35">
      <c r="A281" t="str">
        <f>IF('All Cases - Enter Cases'!$F281="KPK",'All Cases - Enter Cases'!A281,"")</f>
        <v/>
      </c>
      <c r="B281" t="str">
        <f>IF($A281&lt;&gt;"",'All Cases - Enter Cases'!B281,"")</f>
        <v/>
      </c>
      <c r="C281" t="str">
        <f>IF($A281&lt;&gt;"",'All Cases - Enter Cases'!C281,"")</f>
        <v/>
      </c>
      <c r="D281" t="str">
        <f>IF($A281&lt;&gt;"",'All Cases - Enter Cases'!D281,"")</f>
        <v/>
      </c>
      <c r="E281" t="str">
        <f>IF($A281&lt;&gt;"",'All Cases - Enter Cases'!E281,"")</f>
        <v/>
      </c>
      <c r="F281" t="str">
        <f>IF($A281&lt;&gt;"",'All Cases - Enter Cases'!F281,"")</f>
        <v/>
      </c>
      <c r="G281" t="str">
        <f>IF($A281&lt;&gt;"",'All Cases - Enter Cases'!G281,"")</f>
        <v/>
      </c>
      <c r="H281" t="str">
        <f>IF($A281&lt;&gt;"",'All Cases - Enter Cases'!H281,"")</f>
        <v/>
      </c>
      <c r="I281" t="str">
        <f>IF($A281&lt;&gt;"",'All Cases - Enter Cases'!I281,"")</f>
        <v/>
      </c>
      <c r="J281" t="str">
        <f>IF($A281&lt;&gt;"",'All Cases - Enter Cases'!J281,"")</f>
        <v/>
      </c>
      <c r="K281" t="str">
        <f>IF($A281&lt;&gt;"",'All Cases - Enter Cases'!K281,"")</f>
        <v/>
      </c>
      <c r="L281" t="str">
        <f>IF($A281&lt;&gt;"",'All Cases - Enter Cases'!L281,"")</f>
        <v/>
      </c>
      <c r="M281" t="str">
        <f>IF($A281&lt;&gt;"",'All Cases - Enter Cases'!M281,"")</f>
        <v/>
      </c>
    </row>
    <row r="282" spans="1:13" x14ac:dyDescent="0.35">
      <c r="A282" t="str">
        <f>IF('All Cases - Enter Cases'!$F282="KPK",'All Cases - Enter Cases'!A282,"")</f>
        <v/>
      </c>
      <c r="B282" t="str">
        <f>IF($A282&lt;&gt;"",'All Cases - Enter Cases'!B282,"")</f>
        <v/>
      </c>
      <c r="C282" t="str">
        <f>IF($A282&lt;&gt;"",'All Cases - Enter Cases'!C282,"")</f>
        <v/>
      </c>
      <c r="D282" t="str">
        <f>IF($A282&lt;&gt;"",'All Cases - Enter Cases'!D282,"")</f>
        <v/>
      </c>
      <c r="E282" t="str">
        <f>IF($A282&lt;&gt;"",'All Cases - Enter Cases'!E282,"")</f>
        <v/>
      </c>
      <c r="F282" t="str">
        <f>IF($A282&lt;&gt;"",'All Cases - Enter Cases'!F282,"")</f>
        <v/>
      </c>
      <c r="G282" t="str">
        <f>IF($A282&lt;&gt;"",'All Cases - Enter Cases'!G282,"")</f>
        <v/>
      </c>
      <c r="H282" t="str">
        <f>IF($A282&lt;&gt;"",'All Cases - Enter Cases'!H282,"")</f>
        <v/>
      </c>
      <c r="I282" t="str">
        <f>IF($A282&lt;&gt;"",'All Cases - Enter Cases'!I282,"")</f>
        <v/>
      </c>
      <c r="J282" t="str">
        <f>IF($A282&lt;&gt;"",'All Cases - Enter Cases'!J282,"")</f>
        <v/>
      </c>
      <c r="K282" t="str">
        <f>IF($A282&lt;&gt;"",'All Cases - Enter Cases'!K282,"")</f>
        <v/>
      </c>
      <c r="L282" t="str">
        <f>IF($A282&lt;&gt;"",'All Cases - Enter Cases'!L282,"")</f>
        <v/>
      </c>
      <c r="M282" t="str">
        <f>IF($A282&lt;&gt;"",'All Cases - Enter Cases'!M282,"")</f>
        <v/>
      </c>
    </row>
    <row r="283" spans="1:13" x14ac:dyDescent="0.35">
      <c r="A283" t="str">
        <f>IF('All Cases - Enter Cases'!$F283="KPK",'All Cases - Enter Cases'!A283,"")</f>
        <v/>
      </c>
      <c r="B283" t="str">
        <f>IF($A283&lt;&gt;"",'All Cases - Enter Cases'!B283,"")</f>
        <v/>
      </c>
      <c r="C283" t="str">
        <f>IF($A283&lt;&gt;"",'All Cases - Enter Cases'!C283,"")</f>
        <v/>
      </c>
      <c r="D283" t="str">
        <f>IF($A283&lt;&gt;"",'All Cases - Enter Cases'!D283,"")</f>
        <v/>
      </c>
      <c r="E283" t="str">
        <f>IF($A283&lt;&gt;"",'All Cases - Enter Cases'!E283,"")</f>
        <v/>
      </c>
      <c r="F283" t="str">
        <f>IF($A283&lt;&gt;"",'All Cases - Enter Cases'!F283,"")</f>
        <v/>
      </c>
      <c r="G283" t="str">
        <f>IF($A283&lt;&gt;"",'All Cases - Enter Cases'!G283,"")</f>
        <v/>
      </c>
      <c r="H283" t="str">
        <f>IF($A283&lt;&gt;"",'All Cases - Enter Cases'!H283,"")</f>
        <v/>
      </c>
      <c r="I283" t="str">
        <f>IF($A283&lt;&gt;"",'All Cases - Enter Cases'!I283,"")</f>
        <v/>
      </c>
      <c r="J283" t="str">
        <f>IF($A283&lt;&gt;"",'All Cases - Enter Cases'!J283,"")</f>
        <v/>
      </c>
      <c r="K283" t="str">
        <f>IF($A283&lt;&gt;"",'All Cases - Enter Cases'!K283,"")</f>
        <v/>
      </c>
      <c r="L283" t="str">
        <f>IF($A283&lt;&gt;"",'All Cases - Enter Cases'!L283,"")</f>
        <v/>
      </c>
      <c r="M283" t="str">
        <f>IF($A283&lt;&gt;"",'All Cases - Enter Cases'!M283,"")</f>
        <v/>
      </c>
    </row>
    <row r="284" spans="1:13" x14ac:dyDescent="0.35">
      <c r="A284" t="str">
        <f>IF('All Cases - Enter Cases'!$F284="KPK",'All Cases - Enter Cases'!A284,"")</f>
        <v/>
      </c>
      <c r="B284" t="str">
        <f>IF($A284&lt;&gt;"",'All Cases - Enter Cases'!B284,"")</f>
        <v/>
      </c>
      <c r="C284" t="str">
        <f>IF($A284&lt;&gt;"",'All Cases - Enter Cases'!C284,"")</f>
        <v/>
      </c>
      <c r="D284" t="str">
        <f>IF($A284&lt;&gt;"",'All Cases - Enter Cases'!D284,"")</f>
        <v/>
      </c>
      <c r="E284" t="str">
        <f>IF($A284&lt;&gt;"",'All Cases - Enter Cases'!E284,"")</f>
        <v/>
      </c>
      <c r="F284" t="str">
        <f>IF($A284&lt;&gt;"",'All Cases - Enter Cases'!F284,"")</f>
        <v/>
      </c>
      <c r="G284" t="str">
        <f>IF($A284&lt;&gt;"",'All Cases - Enter Cases'!G284,"")</f>
        <v/>
      </c>
      <c r="H284" t="str">
        <f>IF($A284&lt;&gt;"",'All Cases - Enter Cases'!H284,"")</f>
        <v/>
      </c>
      <c r="I284" t="str">
        <f>IF($A284&lt;&gt;"",'All Cases - Enter Cases'!I284,"")</f>
        <v/>
      </c>
      <c r="J284" t="str">
        <f>IF($A284&lt;&gt;"",'All Cases - Enter Cases'!J284,"")</f>
        <v/>
      </c>
      <c r="K284" t="str">
        <f>IF($A284&lt;&gt;"",'All Cases - Enter Cases'!K284,"")</f>
        <v/>
      </c>
      <c r="L284" t="str">
        <f>IF($A284&lt;&gt;"",'All Cases - Enter Cases'!L284,"")</f>
        <v/>
      </c>
      <c r="M284" t="str">
        <f>IF($A284&lt;&gt;"",'All Cases - Enter Cases'!M284,"")</f>
        <v/>
      </c>
    </row>
    <row r="285" spans="1:13" x14ac:dyDescent="0.35">
      <c r="A285" t="str">
        <f>IF('All Cases - Enter Cases'!$F285="KPK",'All Cases - Enter Cases'!A285,"")</f>
        <v/>
      </c>
      <c r="B285" t="str">
        <f>IF($A285&lt;&gt;"",'All Cases - Enter Cases'!B285,"")</f>
        <v/>
      </c>
      <c r="C285" t="str">
        <f>IF($A285&lt;&gt;"",'All Cases - Enter Cases'!C285,"")</f>
        <v/>
      </c>
      <c r="D285" t="str">
        <f>IF($A285&lt;&gt;"",'All Cases - Enter Cases'!D285,"")</f>
        <v/>
      </c>
      <c r="E285" t="str">
        <f>IF($A285&lt;&gt;"",'All Cases - Enter Cases'!E285,"")</f>
        <v/>
      </c>
      <c r="F285" t="str">
        <f>IF($A285&lt;&gt;"",'All Cases - Enter Cases'!F285,"")</f>
        <v/>
      </c>
      <c r="G285" t="str">
        <f>IF($A285&lt;&gt;"",'All Cases - Enter Cases'!G285,"")</f>
        <v/>
      </c>
      <c r="H285" t="str">
        <f>IF($A285&lt;&gt;"",'All Cases - Enter Cases'!H285,"")</f>
        <v/>
      </c>
      <c r="I285" t="str">
        <f>IF($A285&lt;&gt;"",'All Cases - Enter Cases'!I285,"")</f>
        <v/>
      </c>
      <c r="J285" t="str">
        <f>IF($A285&lt;&gt;"",'All Cases - Enter Cases'!J285,"")</f>
        <v/>
      </c>
      <c r="K285" t="str">
        <f>IF($A285&lt;&gt;"",'All Cases - Enter Cases'!K285,"")</f>
        <v/>
      </c>
      <c r="L285" t="str">
        <f>IF($A285&lt;&gt;"",'All Cases - Enter Cases'!L285,"")</f>
        <v/>
      </c>
      <c r="M285" t="str">
        <f>IF($A285&lt;&gt;"",'All Cases - Enter Cases'!M285,"")</f>
        <v/>
      </c>
    </row>
    <row r="286" spans="1:13" x14ac:dyDescent="0.35">
      <c r="A286" t="str">
        <f>IF('All Cases - Enter Cases'!$F286="KPK",'All Cases - Enter Cases'!A286,"")</f>
        <v/>
      </c>
      <c r="B286" t="str">
        <f>IF($A286&lt;&gt;"",'All Cases - Enter Cases'!B286,"")</f>
        <v/>
      </c>
      <c r="C286" t="str">
        <f>IF($A286&lt;&gt;"",'All Cases - Enter Cases'!C286,"")</f>
        <v/>
      </c>
      <c r="D286" t="str">
        <f>IF($A286&lt;&gt;"",'All Cases - Enter Cases'!D286,"")</f>
        <v/>
      </c>
      <c r="E286" t="str">
        <f>IF($A286&lt;&gt;"",'All Cases - Enter Cases'!E286,"")</f>
        <v/>
      </c>
      <c r="F286" t="str">
        <f>IF($A286&lt;&gt;"",'All Cases - Enter Cases'!F286,"")</f>
        <v/>
      </c>
      <c r="G286" t="str">
        <f>IF($A286&lt;&gt;"",'All Cases - Enter Cases'!G286,"")</f>
        <v/>
      </c>
      <c r="H286" t="str">
        <f>IF($A286&lt;&gt;"",'All Cases - Enter Cases'!H286,"")</f>
        <v/>
      </c>
      <c r="I286" t="str">
        <f>IF($A286&lt;&gt;"",'All Cases - Enter Cases'!I286,"")</f>
        <v/>
      </c>
      <c r="J286" t="str">
        <f>IF($A286&lt;&gt;"",'All Cases - Enter Cases'!J286,"")</f>
        <v/>
      </c>
      <c r="K286" t="str">
        <f>IF($A286&lt;&gt;"",'All Cases - Enter Cases'!K286,"")</f>
        <v/>
      </c>
      <c r="L286" t="str">
        <f>IF($A286&lt;&gt;"",'All Cases - Enter Cases'!L286,"")</f>
        <v/>
      </c>
      <c r="M286" t="str">
        <f>IF($A286&lt;&gt;"",'All Cases - Enter Cases'!M286,"")</f>
        <v/>
      </c>
    </row>
    <row r="287" spans="1:13" x14ac:dyDescent="0.35">
      <c r="A287" t="str">
        <f>IF('All Cases - Enter Cases'!$F287="KPK",'All Cases - Enter Cases'!A287,"")</f>
        <v/>
      </c>
      <c r="B287" t="str">
        <f>IF($A287&lt;&gt;"",'All Cases - Enter Cases'!B287,"")</f>
        <v/>
      </c>
      <c r="C287" t="str">
        <f>IF($A287&lt;&gt;"",'All Cases - Enter Cases'!C287,"")</f>
        <v/>
      </c>
      <c r="D287" t="str">
        <f>IF($A287&lt;&gt;"",'All Cases - Enter Cases'!D287,"")</f>
        <v/>
      </c>
      <c r="E287" t="str">
        <f>IF($A287&lt;&gt;"",'All Cases - Enter Cases'!E287,"")</f>
        <v/>
      </c>
      <c r="F287" t="str">
        <f>IF($A287&lt;&gt;"",'All Cases - Enter Cases'!F287,"")</f>
        <v/>
      </c>
      <c r="G287" t="str">
        <f>IF($A287&lt;&gt;"",'All Cases - Enter Cases'!G287,"")</f>
        <v/>
      </c>
      <c r="H287" t="str">
        <f>IF($A287&lt;&gt;"",'All Cases - Enter Cases'!H287,"")</f>
        <v/>
      </c>
      <c r="I287" t="str">
        <f>IF($A287&lt;&gt;"",'All Cases - Enter Cases'!I287,"")</f>
        <v/>
      </c>
      <c r="J287" t="str">
        <f>IF($A287&lt;&gt;"",'All Cases - Enter Cases'!J287,"")</f>
        <v/>
      </c>
      <c r="K287" t="str">
        <f>IF($A287&lt;&gt;"",'All Cases - Enter Cases'!K287,"")</f>
        <v/>
      </c>
      <c r="L287" t="str">
        <f>IF($A287&lt;&gt;"",'All Cases - Enter Cases'!L287,"")</f>
        <v/>
      </c>
      <c r="M287" t="str">
        <f>IF($A287&lt;&gt;"",'All Cases - Enter Cases'!M287,"")</f>
        <v/>
      </c>
    </row>
    <row r="288" spans="1:13" x14ac:dyDescent="0.35">
      <c r="A288" t="str">
        <f>IF('All Cases - Enter Cases'!$F288="KPK",'All Cases - Enter Cases'!A288,"")</f>
        <v/>
      </c>
      <c r="B288" t="str">
        <f>IF($A288&lt;&gt;"",'All Cases - Enter Cases'!B288,"")</f>
        <v/>
      </c>
      <c r="C288" t="str">
        <f>IF($A288&lt;&gt;"",'All Cases - Enter Cases'!C288,"")</f>
        <v/>
      </c>
      <c r="D288" t="str">
        <f>IF($A288&lt;&gt;"",'All Cases - Enter Cases'!D288,"")</f>
        <v/>
      </c>
      <c r="E288" t="str">
        <f>IF($A288&lt;&gt;"",'All Cases - Enter Cases'!E288,"")</f>
        <v/>
      </c>
      <c r="F288" t="str">
        <f>IF($A288&lt;&gt;"",'All Cases - Enter Cases'!F288,"")</f>
        <v/>
      </c>
      <c r="G288" t="str">
        <f>IF($A288&lt;&gt;"",'All Cases - Enter Cases'!G288,"")</f>
        <v/>
      </c>
      <c r="H288" t="str">
        <f>IF($A288&lt;&gt;"",'All Cases - Enter Cases'!H288,"")</f>
        <v/>
      </c>
      <c r="I288" t="str">
        <f>IF($A288&lt;&gt;"",'All Cases - Enter Cases'!I288,"")</f>
        <v/>
      </c>
      <c r="J288" t="str">
        <f>IF($A288&lt;&gt;"",'All Cases - Enter Cases'!J288,"")</f>
        <v/>
      </c>
      <c r="K288" t="str">
        <f>IF($A288&lt;&gt;"",'All Cases - Enter Cases'!K288,"")</f>
        <v/>
      </c>
      <c r="L288" t="str">
        <f>IF($A288&lt;&gt;"",'All Cases - Enter Cases'!L288,"")</f>
        <v/>
      </c>
      <c r="M288" t="str">
        <f>IF($A288&lt;&gt;"",'All Cases - Enter Cases'!M288,"")</f>
        <v/>
      </c>
    </row>
    <row r="289" spans="1:13" x14ac:dyDescent="0.35">
      <c r="A289" t="str">
        <f>IF('All Cases - Enter Cases'!$F289="KPK",'All Cases - Enter Cases'!A289,"")</f>
        <v/>
      </c>
      <c r="B289" t="str">
        <f>IF($A289&lt;&gt;"",'All Cases - Enter Cases'!B289,"")</f>
        <v/>
      </c>
      <c r="C289" t="str">
        <f>IF($A289&lt;&gt;"",'All Cases - Enter Cases'!C289,"")</f>
        <v/>
      </c>
      <c r="D289" t="str">
        <f>IF($A289&lt;&gt;"",'All Cases - Enter Cases'!D289,"")</f>
        <v/>
      </c>
      <c r="E289" t="str">
        <f>IF($A289&lt;&gt;"",'All Cases - Enter Cases'!E289,"")</f>
        <v/>
      </c>
      <c r="F289" t="str">
        <f>IF($A289&lt;&gt;"",'All Cases - Enter Cases'!F289,"")</f>
        <v/>
      </c>
      <c r="G289" t="str">
        <f>IF($A289&lt;&gt;"",'All Cases - Enter Cases'!G289,"")</f>
        <v/>
      </c>
      <c r="H289" t="str">
        <f>IF($A289&lt;&gt;"",'All Cases - Enter Cases'!H289,"")</f>
        <v/>
      </c>
      <c r="I289" t="str">
        <f>IF($A289&lt;&gt;"",'All Cases - Enter Cases'!I289,"")</f>
        <v/>
      </c>
      <c r="J289" t="str">
        <f>IF($A289&lt;&gt;"",'All Cases - Enter Cases'!J289,"")</f>
        <v/>
      </c>
      <c r="K289" t="str">
        <f>IF($A289&lt;&gt;"",'All Cases - Enter Cases'!K289,"")</f>
        <v/>
      </c>
      <c r="L289" t="str">
        <f>IF($A289&lt;&gt;"",'All Cases - Enter Cases'!L289,"")</f>
        <v/>
      </c>
      <c r="M289" t="str">
        <f>IF($A289&lt;&gt;"",'All Cases - Enter Cases'!M289,"")</f>
        <v/>
      </c>
    </row>
    <row r="290" spans="1:13" x14ac:dyDescent="0.35">
      <c r="A290" t="str">
        <f>IF('All Cases - Enter Cases'!$F290="KPK",'All Cases - Enter Cases'!A290,"")</f>
        <v/>
      </c>
      <c r="B290" t="str">
        <f>IF($A290&lt;&gt;"",'All Cases - Enter Cases'!B290,"")</f>
        <v/>
      </c>
      <c r="C290" t="str">
        <f>IF($A290&lt;&gt;"",'All Cases - Enter Cases'!C290,"")</f>
        <v/>
      </c>
      <c r="D290" t="str">
        <f>IF($A290&lt;&gt;"",'All Cases - Enter Cases'!D290,"")</f>
        <v/>
      </c>
      <c r="E290" t="str">
        <f>IF($A290&lt;&gt;"",'All Cases - Enter Cases'!E290,"")</f>
        <v/>
      </c>
      <c r="F290" t="str">
        <f>IF($A290&lt;&gt;"",'All Cases - Enter Cases'!F290,"")</f>
        <v/>
      </c>
      <c r="G290" t="str">
        <f>IF($A290&lt;&gt;"",'All Cases - Enter Cases'!G290,"")</f>
        <v/>
      </c>
      <c r="H290" t="str">
        <f>IF($A290&lt;&gt;"",'All Cases - Enter Cases'!H290,"")</f>
        <v/>
      </c>
      <c r="I290" t="str">
        <f>IF($A290&lt;&gt;"",'All Cases - Enter Cases'!I290,"")</f>
        <v/>
      </c>
      <c r="J290" t="str">
        <f>IF($A290&lt;&gt;"",'All Cases - Enter Cases'!J290,"")</f>
        <v/>
      </c>
      <c r="K290" t="str">
        <f>IF($A290&lt;&gt;"",'All Cases - Enter Cases'!K290,"")</f>
        <v/>
      </c>
      <c r="L290" t="str">
        <f>IF($A290&lt;&gt;"",'All Cases - Enter Cases'!L290,"")</f>
        <v/>
      </c>
      <c r="M290" t="str">
        <f>IF($A290&lt;&gt;"",'All Cases - Enter Cases'!M290,"")</f>
        <v/>
      </c>
    </row>
    <row r="291" spans="1:13" x14ac:dyDescent="0.35">
      <c r="A291" t="str">
        <f>IF('All Cases - Enter Cases'!$F291="KPK",'All Cases - Enter Cases'!A291,"")</f>
        <v/>
      </c>
      <c r="B291" t="str">
        <f>IF($A291&lt;&gt;"",'All Cases - Enter Cases'!B291,"")</f>
        <v/>
      </c>
      <c r="C291" t="str">
        <f>IF($A291&lt;&gt;"",'All Cases - Enter Cases'!C291,"")</f>
        <v/>
      </c>
      <c r="D291" t="str">
        <f>IF($A291&lt;&gt;"",'All Cases - Enter Cases'!D291,"")</f>
        <v/>
      </c>
      <c r="E291" t="str">
        <f>IF($A291&lt;&gt;"",'All Cases - Enter Cases'!E291,"")</f>
        <v/>
      </c>
      <c r="F291" t="str">
        <f>IF($A291&lt;&gt;"",'All Cases - Enter Cases'!F291,"")</f>
        <v/>
      </c>
      <c r="G291" t="str">
        <f>IF($A291&lt;&gt;"",'All Cases - Enter Cases'!G291,"")</f>
        <v/>
      </c>
      <c r="H291" t="str">
        <f>IF($A291&lt;&gt;"",'All Cases - Enter Cases'!H291,"")</f>
        <v/>
      </c>
      <c r="I291" t="str">
        <f>IF($A291&lt;&gt;"",'All Cases - Enter Cases'!I291,"")</f>
        <v/>
      </c>
      <c r="J291" t="str">
        <f>IF($A291&lt;&gt;"",'All Cases - Enter Cases'!J291,"")</f>
        <v/>
      </c>
      <c r="K291" t="str">
        <f>IF($A291&lt;&gt;"",'All Cases - Enter Cases'!K291,"")</f>
        <v/>
      </c>
      <c r="L291" t="str">
        <f>IF($A291&lt;&gt;"",'All Cases - Enter Cases'!L291,"")</f>
        <v/>
      </c>
      <c r="M291" t="str">
        <f>IF($A291&lt;&gt;"",'All Cases - Enter Cases'!M291,"")</f>
        <v/>
      </c>
    </row>
    <row r="292" spans="1:13" x14ac:dyDescent="0.35">
      <c r="A292" t="str">
        <f>IF('All Cases - Enter Cases'!$F292="KPK",'All Cases - Enter Cases'!A292,"")</f>
        <v/>
      </c>
      <c r="B292" t="str">
        <f>IF($A292&lt;&gt;"",'All Cases - Enter Cases'!B292,"")</f>
        <v/>
      </c>
      <c r="C292" t="str">
        <f>IF($A292&lt;&gt;"",'All Cases - Enter Cases'!C292,"")</f>
        <v/>
      </c>
      <c r="D292" t="str">
        <f>IF($A292&lt;&gt;"",'All Cases - Enter Cases'!D292,"")</f>
        <v/>
      </c>
      <c r="E292" t="str">
        <f>IF($A292&lt;&gt;"",'All Cases - Enter Cases'!E292,"")</f>
        <v/>
      </c>
      <c r="F292" t="str">
        <f>IF($A292&lt;&gt;"",'All Cases - Enter Cases'!F292,"")</f>
        <v/>
      </c>
      <c r="G292" t="str">
        <f>IF($A292&lt;&gt;"",'All Cases - Enter Cases'!G292,"")</f>
        <v/>
      </c>
      <c r="H292" t="str">
        <f>IF($A292&lt;&gt;"",'All Cases - Enter Cases'!H292,"")</f>
        <v/>
      </c>
      <c r="I292" t="str">
        <f>IF($A292&lt;&gt;"",'All Cases - Enter Cases'!I292,"")</f>
        <v/>
      </c>
      <c r="J292" t="str">
        <f>IF($A292&lt;&gt;"",'All Cases - Enter Cases'!J292,"")</f>
        <v/>
      </c>
      <c r="K292" t="str">
        <f>IF($A292&lt;&gt;"",'All Cases - Enter Cases'!K292,"")</f>
        <v/>
      </c>
      <c r="L292" t="str">
        <f>IF($A292&lt;&gt;"",'All Cases - Enter Cases'!L292,"")</f>
        <v/>
      </c>
      <c r="M292" t="str">
        <f>IF($A292&lt;&gt;"",'All Cases - Enter Cases'!M292,"")</f>
        <v/>
      </c>
    </row>
    <row r="293" spans="1:13" x14ac:dyDescent="0.35">
      <c r="A293" t="str">
        <f>IF('All Cases - Enter Cases'!$F293="KPK",'All Cases - Enter Cases'!A293,"")</f>
        <v/>
      </c>
      <c r="B293" t="str">
        <f>IF($A293&lt;&gt;"",'All Cases - Enter Cases'!B293,"")</f>
        <v/>
      </c>
      <c r="C293" t="str">
        <f>IF($A293&lt;&gt;"",'All Cases - Enter Cases'!C293,"")</f>
        <v/>
      </c>
      <c r="D293" t="str">
        <f>IF($A293&lt;&gt;"",'All Cases - Enter Cases'!D293,"")</f>
        <v/>
      </c>
      <c r="E293" t="str">
        <f>IF($A293&lt;&gt;"",'All Cases - Enter Cases'!E293,"")</f>
        <v/>
      </c>
      <c r="F293" t="str">
        <f>IF($A293&lt;&gt;"",'All Cases - Enter Cases'!F293,"")</f>
        <v/>
      </c>
      <c r="G293" t="str">
        <f>IF($A293&lt;&gt;"",'All Cases - Enter Cases'!G293,"")</f>
        <v/>
      </c>
      <c r="H293" t="str">
        <f>IF($A293&lt;&gt;"",'All Cases - Enter Cases'!H293,"")</f>
        <v/>
      </c>
      <c r="I293" t="str">
        <f>IF($A293&lt;&gt;"",'All Cases - Enter Cases'!I293,"")</f>
        <v/>
      </c>
      <c r="J293" t="str">
        <f>IF($A293&lt;&gt;"",'All Cases - Enter Cases'!J293,"")</f>
        <v/>
      </c>
      <c r="K293" t="str">
        <f>IF($A293&lt;&gt;"",'All Cases - Enter Cases'!K293,"")</f>
        <v/>
      </c>
      <c r="L293" t="str">
        <f>IF($A293&lt;&gt;"",'All Cases - Enter Cases'!L293,"")</f>
        <v/>
      </c>
      <c r="M293" t="str">
        <f>IF($A293&lt;&gt;"",'All Cases - Enter Cases'!M293,"")</f>
        <v/>
      </c>
    </row>
    <row r="294" spans="1:13" x14ac:dyDescent="0.35">
      <c r="A294" t="str">
        <f>IF('All Cases - Enter Cases'!$F294="KPK",'All Cases - Enter Cases'!A294,"")</f>
        <v/>
      </c>
      <c r="B294" t="str">
        <f>IF($A294&lt;&gt;"",'All Cases - Enter Cases'!B294,"")</f>
        <v/>
      </c>
      <c r="C294" t="str">
        <f>IF($A294&lt;&gt;"",'All Cases - Enter Cases'!C294,"")</f>
        <v/>
      </c>
      <c r="D294" t="str">
        <f>IF($A294&lt;&gt;"",'All Cases - Enter Cases'!D294,"")</f>
        <v/>
      </c>
      <c r="E294" t="str">
        <f>IF($A294&lt;&gt;"",'All Cases - Enter Cases'!E294,"")</f>
        <v/>
      </c>
      <c r="F294" t="str">
        <f>IF($A294&lt;&gt;"",'All Cases - Enter Cases'!F294,"")</f>
        <v/>
      </c>
      <c r="G294" t="str">
        <f>IF($A294&lt;&gt;"",'All Cases - Enter Cases'!G294,"")</f>
        <v/>
      </c>
      <c r="H294" t="str">
        <f>IF($A294&lt;&gt;"",'All Cases - Enter Cases'!H294,"")</f>
        <v/>
      </c>
      <c r="I294" t="str">
        <f>IF($A294&lt;&gt;"",'All Cases - Enter Cases'!I294,"")</f>
        <v/>
      </c>
      <c r="J294" t="str">
        <f>IF($A294&lt;&gt;"",'All Cases - Enter Cases'!J294,"")</f>
        <v/>
      </c>
      <c r="K294" t="str">
        <f>IF($A294&lt;&gt;"",'All Cases - Enter Cases'!K294,"")</f>
        <v/>
      </c>
      <c r="L294" t="str">
        <f>IF($A294&lt;&gt;"",'All Cases - Enter Cases'!L294,"")</f>
        <v/>
      </c>
      <c r="M294" t="str">
        <f>IF($A294&lt;&gt;"",'All Cases - Enter Cases'!M294,"")</f>
        <v/>
      </c>
    </row>
    <row r="295" spans="1:13" x14ac:dyDescent="0.35">
      <c r="A295" t="str">
        <f>IF('All Cases - Enter Cases'!$F295="KPK",'All Cases - Enter Cases'!A295,"")</f>
        <v/>
      </c>
      <c r="B295" t="str">
        <f>IF($A295&lt;&gt;"",'All Cases - Enter Cases'!B295,"")</f>
        <v/>
      </c>
      <c r="C295" t="str">
        <f>IF($A295&lt;&gt;"",'All Cases - Enter Cases'!C295,"")</f>
        <v/>
      </c>
      <c r="D295" t="str">
        <f>IF($A295&lt;&gt;"",'All Cases - Enter Cases'!D295,"")</f>
        <v/>
      </c>
      <c r="E295" t="str">
        <f>IF($A295&lt;&gt;"",'All Cases - Enter Cases'!E295,"")</f>
        <v/>
      </c>
      <c r="F295" t="str">
        <f>IF($A295&lt;&gt;"",'All Cases - Enter Cases'!F295,"")</f>
        <v/>
      </c>
      <c r="G295" t="str">
        <f>IF($A295&lt;&gt;"",'All Cases - Enter Cases'!G295,"")</f>
        <v/>
      </c>
      <c r="H295" t="str">
        <f>IF($A295&lt;&gt;"",'All Cases - Enter Cases'!H295,"")</f>
        <v/>
      </c>
      <c r="I295" t="str">
        <f>IF($A295&lt;&gt;"",'All Cases - Enter Cases'!I295,"")</f>
        <v/>
      </c>
      <c r="J295" t="str">
        <f>IF($A295&lt;&gt;"",'All Cases - Enter Cases'!J295,"")</f>
        <v/>
      </c>
      <c r="K295" t="str">
        <f>IF($A295&lt;&gt;"",'All Cases - Enter Cases'!K295,"")</f>
        <v/>
      </c>
      <c r="L295" t="str">
        <f>IF($A295&lt;&gt;"",'All Cases - Enter Cases'!L295,"")</f>
        <v/>
      </c>
      <c r="M295" t="str">
        <f>IF($A295&lt;&gt;"",'All Cases - Enter Cases'!M295,"")</f>
        <v/>
      </c>
    </row>
    <row r="296" spans="1:13" x14ac:dyDescent="0.35">
      <c r="A296" t="str">
        <f>IF('All Cases - Enter Cases'!$F296="KPK",'All Cases - Enter Cases'!A296,"")</f>
        <v/>
      </c>
      <c r="B296" t="str">
        <f>IF($A296&lt;&gt;"",'All Cases - Enter Cases'!B296,"")</f>
        <v/>
      </c>
      <c r="C296" t="str">
        <f>IF($A296&lt;&gt;"",'All Cases - Enter Cases'!C296,"")</f>
        <v/>
      </c>
      <c r="D296" t="str">
        <f>IF($A296&lt;&gt;"",'All Cases - Enter Cases'!D296,"")</f>
        <v/>
      </c>
      <c r="E296" t="str">
        <f>IF($A296&lt;&gt;"",'All Cases - Enter Cases'!E296,"")</f>
        <v/>
      </c>
      <c r="F296" t="str">
        <f>IF($A296&lt;&gt;"",'All Cases - Enter Cases'!F296,"")</f>
        <v/>
      </c>
      <c r="G296" t="str">
        <f>IF($A296&lt;&gt;"",'All Cases - Enter Cases'!G296,"")</f>
        <v/>
      </c>
      <c r="H296" t="str">
        <f>IF($A296&lt;&gt;"",'All Cases - Enter Cases'!H296,"")</f>
        <v/>
      </c>
      <c r="I296" t="str">
        <f>IF($A296&lt;&gt;"",'All Cases - Enter Cases'!I296,"")</f>
        <v/>
      </c>
      <c r="J296" t="str">
        <f>IF($A296&lt;&gt;"",'All Cases - Enter Cases'!J296,"")</f>
        <v/>
      </c>
      <c r="K296" t="str">
        <f>IF($A296&lt;&gt;"",'All Cases - Enter Cases'!K296,"")</f>
        <v/>
      </c>
      <c r="L296" t="str">
        <f>IF($A296&lt;&gt;"",'All Cases - Enter Cases'!L296,"")</f>
        <v/>
      </c>
      <c r="M296" t="str">
        <f>IF($A296&lt;&gt;"",'All Cases - Enter Cases'!M296,"")</f>
        <v/>
      </c>
    </row>
    <row r="297" spans="1:13" x14ac:dyDescent="0.35">
      <c r="A297" t="str">
        <f>IF('All Cases - Enter Cases'!$F297="KPK",'All Cases - Enter Cases'!A297,"")</f>
        <v/>
      </c>
      <c r="B297" t="str">
        <f>IF($A297&lt;&gt;"",'All Cases - Enter Cases'!B297,"")</f>
        <v/>
      </c>
      <c r="C297" t="str">
        <f>IF($A297&lt;&gt;"",'All Cases - Enter Cases'!C297,"")</f>
        <v/>
      </c>
      <c r="D297" t="str">
        <f>IF($A297&lt;&gt;"",'All Cases - Enter Cases'!D297,"")</f>
        <v/>
      </c>
      <c r="E297" t="str">
        <f>IF($A297&lt;&gt;"",'All Cases - Enter Cases'!E297,"")</f>
        <v/>
      </c>
      <c r="F297" t="str">
        <f>IF($A297&lt;&gt;"",'All Cases - Enter Cases'!F297,"")</f>
        <v/>
      </c>
      <c r="G297" t="str">
        <f>IF($A297&lt;&gt;"",'All Cases - Enter Cases'!G297,"")</f>
        <v/>
      </c>
      <c r="H297" t="str">
        <f>IF($A297&lt;&gt;"",'All Cases - Enter Cases'!H297,"")</f>
        <v/>
      </c>
      <c r="I297" t="str">
        <f>IF($A297&lt;&gt;"",'All Cases - Enter Cases'!I297,"")</f>
        <v/>
      </c>
      <c r="J297" t="str">
        <f>IF($A297&lt;&gt;"",'All Cases - Enter Cases'!J297,"")</f>
        <v/>
      </c>
      <c r="K297" t="str">
        <f>IF($A297&lt;&gt;"",'All Cases - Enter Cases'!K297,"")</f>
        <v/>
      </c>
      <c r="L297" t="str">
        <f>IF($A297&lt;&gt;"",'All Cases - Enter Cases'!L297,"")</f>
        <v/>
      </c>
      <c r="M297" t="str">
        <f>IF($A297&lt;&gt;"",'All Cases - Enter Cases'!M297,"")</f>
        <v/>
      </c>
    </row>
    <row r="298" spans="1:13" x14ac:dyDescent="0.35">
      <c r="A298" t="str">
        <f>IF('All Cases - Enter Cases'!$F298="KPK",'All Cases - Enter Cases'!A298,"")</f>
        <v/>
      </c>
      <c r="B298" t="str">
        <f>IF($A298&lt;&gt;"",'All Cases - Enter Cases'!B298,"")</f>
        <v/>
      </c>
      <c r="C298" t="str">
        <f>IF($A298&lt;&gt;"",'All Cases - Enter Cases'!C298,"")</f>
        <v/>
      </c>
      <c r="D298" t="str">
        <f>IF($A298&lt;&gt;"",'All Cases - Enter Cases'!D298,"")</f>
        <v/>
      </c>
      <c r="E298" t="str">
        <f>IF($A298&lt;&gt;"",'All Cases - Enter Cases'!E298,"")</f>
        <v/>
      </c>
      <c r="F298" t="str">
        <f>IF($A298&lt;&gt;"",'All Cases - Enter Cases'!F298,"")</f>
        <v/>
      </c>
      <c r="G298" t="str">
        <f>IF($A298&lt;&gt;"",'All Cases - Enter Cases'!G298,"")</f>
        <v/>
      </c>
      <c r="H298" t="str">
        <f>IF($A298&lt;&gt;"",'All Cases - Enter Cases'!H298,"")</f>
        <v/>
      </c>
      <c r="I298" t="str">
        <f>IF($A298&lt;&gt;"",'All Cases - Enter Cases'!I298,"")</f>
        <v/>
      </c>
      <c r="J298" t="str">
        <f>IF($A298&lt;&gt;"",'All Cases - Enter Cases'!J298,"")</f>
        <v/>
      </c>
      <c r="K298" t="str">
        <f>IF($A298&lt;&gt;"",'All Cases - Enter Cases'!K298,"")</f>
        <v/>
      </c>
      <c r="L298" t="str">
        <f>IF($A298&lt;&gt;"",'All Cases - Enter Cases'!L298,"")</f>
        <v/>
      </c>
      <c r="M298" t="str">
        <f>IF($A298&lt;&gt;"",'All Cases - Enter Cases'!M298,"")</f>
        <v/>
      </c>
    </row>
    <row r="299" spans="1:13" x14ac:dyDescent="0.35">
      <c r="A299" t="str">
        <f>IF('All Cases - Enter Cases'!$F299="KPK",'All Cases - Enter Cases'!A299,"")</f>
        <v/>
      </c>
      <c r="B299" t="str">
        <f>IF($A299&lt;&gt;"",'All Cases - Enter Cases'!B299,"")</f>
        <v/>
      </c>
      <c r="C299" t="str">
        <f>IF($A299&lt;&gt;"",'All Cases - Enter Cases'!C299,"")</f>
        <v/>
      </c>
      <c r="D299" t="str">
        <f>IF($A299&lt;&gt;"",'All Cases - Enter Cases'!D299,"")</f>
        <v/>
      </c>
      <c r="E299" t="str">
        <f>IF($A299&lt;&gt;"",'All Cases - Enter Cases'!E299,"")</f>
        <v/>
      </c>
      <c r="F299" t="str">
        <f>IF($A299&lt;&gt;"",'All Cases - Enter Cases'!F299,"")</f>
        <v/>
      </c>
      <c r="G299" t="str">
        <f>IF($A299&lt;&gt;"",'All Cases - Enter Cases'!G299,"")</f>
        <v/>
      </c>
      <c r="H299" t="str">
        <f>IF($A299&lt;&gt;"",'All Cases - Enter Cases'!H299,"")</f>
        <v/>
      </c>
      <c r="I299" t="str">
        <f>IF($A299&lt;&gt;"",'All Cases - Enter Cases'!I299,"")</f>
        <v/>
      </c>
      <c r="J299" t="str">
        <f>IF($A299&lt;&gt;"",'All Cases - Enter Cases'!J299,"")</f>
        <v/>
      </c>
      <c r="K299" t="str">
        <f>IF($A299&lt;&gt;"",'All Cases - Enter Cases'!K299,"")</f>
        <v/>
      </c>
      <c r="L299" t="str">
        <f>IF($A299&lt;&gt;"",'All Cases - Enter Cases'!L299,"")</f>
        <v/>
      </c>
      <c r="M299" t="str">
        <f>IF($A299&lt;&gt;"",'All Cases - Enter Cases'!M299,"")</f>
        <v/>
      </c>
    </row>
    <row r="300" spans="1:13" x14ac:dyDescent="0.35">
      <c r="A300" t="str">
        <f>IF('All Cases - Enter Cases'!$F300="KPK",'All Cases - Enter Cases'!A300,"")</f>
        <v/>
      </c>
      <c r="B300" t="str">
        <f>IF($A300&lt;&gt;"",'All Cases - Enter Cases'!B300,"")</f>
        <v/>
      </c>
      <c r="C300" t="str">
        <f>IF($A300&lt;&gt;"",'All Cases - Enter Cases'!C300,"")</f>
        <v/>
      </c>
      <c r="D300" t="str">
        <f>IF($A300&lt;&gt;"",'All Cases - Enter Cases'!D300,"")</f>
        <v/>
      </c>
      <c r="E300" t="str">
        <f>IF($A300&lt;&gt;"",'All Cases - Enter Cases'!E300,"")</f>
        <v/>
      </c>
      <c r="F300" t="str">
        <f>IF($A300&lt;&gt;"",'All Cases - Enter Cases'!F300,"")</f>
        <v/>
      </c>
      <c r="G300" t="str">
        <f>IF($A300&lt;&gt;"",'All Cases - Enter Cases'!G300,"")</f>
        <v/>
      </c>
      <c r="H300" t="str">
        <f>IF($A300&lt;&gt;"",'All Cases - Enter Cases'!H300,"")</f>
        <v/>
      </c>
      <c r="I300" t="str">
        <f>IF($A300&lt;&gt;"",'All Cases - Enter Cases'!I300,"")</f>
        <v/>
      </c>
      <c r="J300" t="str">
        <f>IF($A300&lt;&gt;"",'All Cases - Enter Cases'!J300,"")</f>
        <v/>
      </c>
      <c r="K300" t="str">
        <f>IF($A300&lt;&gt;"",'All Cases - Enter Cases'!K300,"")</f>
        <v/>
      </c>
      <c r="L300" t="str">
        <f>IF($A300&lt;&gt;"",'All Cases - Enter Cases'!L300,"")</f>
        <v/>
      </c>
      <c r="M300" t="str">
        <f>IF($A300&lt;&gt;"",'All Cases - Enter Cases'!M300,"")</f>
        <v/>
      </c>
    </row>
    <row r="301" spans="1:13" x14ac:dyDescent="0.35">
      <c r="A301" t="str">
        <f>IF('All Cases - Enter Cases'!$F301="KPK",'All Cases - Enter Cases'!A301,"")</f>
        <v/>
      </c>
      <c r="B301" t="str">
        <f>IF($A301&lt;&gt;"",'All Cases - Enter Cases'!B301,"")</f>
        <v/>
      </c>
      <c r="C301" t="str">
        <f>IF($A301&lt;&gt;"",'All Cases - Enter Cases'!C301,"")</f>
        <v/>
      </c>
      <c r="D301" t="str">
        <f>IF($A301&lt;&gt;"",'All Cases - Enter Cases'!D301,"")</f>
        <v/>
      </c>
      <c r="E301" t="str">
        <f>IF($A301&lt;&gt;"",'All Cases - Enter Cases'!E301,"")</f>
        <v/>
      </c>
      <c r="F301" t="str">
        <f>IF($A301&lt;&gt;"",'All Cases - Enter Cases'!F301,"")</f>
        <v/>
      </c>
      <c r="G301" t="str">
        <f>IF($A301&lt;&gt;"",'All Cases - Enter Cases'!G301,"")</f>
        <v/>
      </c>
      <c r="H301" t="str">
        <f>IF($A301&lt;&gt;"",'All Cases - Enter Cases'!H301,"")</f>
        <v/>
      </c>
      <c r="I301" t="str">
        <f>IF($A301&lt;&gt;"",'All Cases - Enter Cases'!I301,"")</f>
        <v/>
      </c>
      <c r="J301" t="str">
        <f>IF($A301&lt;&gt;"",'All Cases - Enter Cases'!J301,"")</f>
        <v/>
      </c>
      <c r="K301" t="str">
        <f>IF($A301&lt;&gt;"",'All Cases - Enter Cases'!K301,"")</f>
        <v/>
      </c>
      <c r="L301" t="str">
        <f>IF($A301&lt;&gt;"",'All Cases - Enter Cases'!L301,"")</f>
        <v/>
      </c>
      <c r="M301" t="str">
        <f>IF($A301&lt;&gt;"",'All Cases - Enter Cases'!M301,"")</f>
        <v/>
      </c>
    </row>
    <row r="302" spans="1:13" x14ac:dyDescent="0.35">
      <c r="A302" t="str">
        <f>IF('All Cases - Enter Cases'!$F302="KPK",'All Cases - Enter Cases'!A302,"")</f>
        <v/>
      </c>
      <c r="B302" t="str">
        <f>IF($A302&lt;&gt;"",'All Cases - Enter Cases'!B302,"")</f>
        <v/>
      </c>
      <c r="C302" t="str">
        <f>IF($A302&lt;&gt;"",'All Cases - Enter Cases'!C302,"")</f>
        <v/>
      </c>
      <c r="D302" t="str">
        <f>IF($A302&lt;&gt;"",'All Cases - Enter Cases'!D302,"")</f>
        <v/>
      </c>
      <c r="E302" t="str">
        <f>IF($A302&lt;&gt;"",'All Cases - Enter Cases'!E302,"")</f>
        <v/>
      </c>
      <c r="F302" t="str">
        <f>IF($A302&lt;&gt;"",'All Cases - Enter Cases'!F302,"")</f>
        <v/>
      </c>
      <c r="G302" t="str">
        <f>IF($A302&lt;&gt;"",'All Cases - Enter Cases'!G302,"")</f>
        <v/>
      </c>
      <c r="H302" t="str">
        <f>IF($A302&lt;&gt;"",'All Cases - Enter Cases'!H302,"")</f>
        <v/>
      </c>
      <c r="I302" t="str">
        <f>IF($A302&lt;&gt;"",'All Cases - Enter Cases'!I302,"")</f>
        <v/>
      </c>
      <c r="J302" t="str">
        <f>IF($A302&lt;&gt;"",'All Cases - Enter Cases'!J302,"")</f>
        <v/>
      </c>
      <c r="K302" t="str">
        <f>IF($A302&lt;&gt;"",'All Cases - Enter Cases'!K302,"")</f>
        <v/>
      </c>
      <c r="L302" t="str">
        <f>IF($A302&lt;&gt;"",'All Cases - Enter Cases'!L302,"")</f>
        <v/>
      </c>
      <c r="M302" t="str">
        <f>IF($A302&lt;&gt;"",'All Cases - Enter Cases'!M302,"")</f>
        <v/>
      </c>
    </row>
    <row r="303" spans="1:13" x14ac:dyDescent="0.35">
      <c r="A303" t="str">
        <f>IF('All Cases - Enter Cases'!$F303="KPK",'All Cases - Enter Cases'!A303,"")</f>
        <v/>
      </c>
      <c r="B303" t="str">
        <f>IF($A303&lt;&gt;"",'All Cases - Enter Cases'!B303,"")</f>
        <v/>
      </c>
      <c r="C303" t="str">
        <f>IF($A303&lt;&gt;"",'All Cases - Enter Cases'!C303,"")</f>
        <v/>
      </c>
      <c r="D303" t="str">
        <f>IF($A303&lt;&gt;"",'All Cases - Enter Cases'!D303,"")</f>
        <v/>
      </c>
      <c r="E303" t="str">
        <f>IF($A303&lt;&gt;"",'All Cases - Enter Cases'!E303,"")</f>
        <v/>
      </c>
      <c r="F303" t="str">
        <f>IF($A303&lt;&gt;"",'All Cases - Enter Cases'!F303,"")</f>
        <v/>
      </c>
      <c r="G303" t="str">
        <f>IF($A303&lt;&gt;"",'All Cases - Enter Cases'!G303,"")</f>
        <v/>
      </c>
      <c r="H303" t="str">
        <f>IF($A303&lt;&gt;"",'All Cases - Enter Cases'!H303,"")</f>
        <v/>
      </c>
      <c r="I303" t="str">
        <f>IF($A303&lt;&gt;"",'All Cases - Enter Cases'!I303,"")</f>
        <v/>
      </c>
      <c r="J303" t="str">
        <f>IF($A303&lt;&gt;"",'All Cases - Enter Cases'!J303,"")</f>
        <v/>
      </c>
      <c r="K303" t="str">
        <f>IF($A303&lt;&gt;"",'All Cases - Enter Cases'!K303,"")</f>
        <v/>
      </c>
      <c r="L303" t="str">
        <f>IF($A303&lt;&gt;"",'All Cases - Enter Cases'!L303,"")</f>
        <v/>
      </c>
      <c r="M303" t="str">
        <f>IF($A303&lt;&gt;"",'All Cases - Enter Cases'!M303,"")</f>
        <v/>
      </c>
    </row>
    <row r="304" spans="1:13" x14ac:dyDescent="0.35">
      <c r="A304" t="str">
        <f>IF('All Cases - Enter Cases'!$F304="KPK",'All Cases - Enter Cases'!A304,"")</f>
        <v/>
      </c>
      <c r="B304" t="str">
        <f>IF($A304&lt;&gt;"",'All Cases - Enter Cases'!B304,"")</f>
        <v/>
      </c>
      <c r="C304" t="str">
        <f>IF($A304&lt;&gt;"",'All Cases - Enter Cases'!C304,"")</f>
        <v/>
      </c>
      <c r="D304" t="str">
        <f>IF($A304&lt;&gt;"",'All Cases - Enter Cases'!D304,"")</f>
        <v/>
      </c>
      <c r="E304" t="str">
        <f>IF($A304&lt;&gt;"",'All Cases - Enter Cases'!E304,"")</f>
        <v/>
      </c>
      <c r="F304" t="str">
        <f>IF($A304&lt;&gt;"",'All Cases - Enter Cases'!F304,"")</f>
        <v/>
      </c>
      <c r="G304" t="str">
        <f>IF($A304&lt;&gt;"",'All Cases - Enter Cases'!G304,"")</f>
        <v/>
      </c>
      <c r="H304" t="str">
        <f>IF($A304&lt;&gt;"",'All Cases - Enter Cases'!H304,"")</f>
        <v/>
      </c>
      <c r="I304" t="str">
        <f>IF($A304&lt;&gt;"",'All Cases - Enter Cases'!I304,"")</f>
        <v/>
      </c>
      <c r="J304" t="str">
        <f>IF($A304&lt;&gt;"",'All Cases - Enter Cases'!J304,"")</f>
        <v/>
      </c>
      <c r="K304" t="str">
        <f>IF($A304&lt;&gt;"",'All Cases - Enter Cases'!K304,"")</f>
        <v/>
      </c>
      <c r="L304" t="str">
        <f>IF($A304&lt;&gt;"",'All Cases - Enter Cases'!L304,"")</f>
        <v/>
      </c>
      <c r="M304" t="str">
        <f>IF($A304&lt;&gt;"",'All Cases - Enter Cases'!M304,"")</f>
        <v/>
      </c>
    </row>
    <row r="305" spans="1:13" x14ac:dyDescent="0.35">
      <c r="A305" t="str">
        <f>IF('All Cases - Enter Cases'!$F305="KPK",'All Cases - Enter Cases'!A305,"")</f>
        <v/>
      </c>
      <c r="B305" t="str">
        <f>IF($A305&lt;&gt;"",'All Cases - Enter Cases'!B305,"")</f>
        <v/>
      </c>
      <c r="C305" t="str">
        <f>IF($A305&lt;&gt;"",'All Cases - Enter Cases'!C305,"")</f>
        <v/>
      </c>
      <c r="D305" t="str">
        <f>IF($A305&lt;&gt;"",'All Cases - Enter Cases'!D305,"")</f>
        <v/>
      </c>
      <c r="E305" t="str">
        <f>IF($A305&lt;&gt;"",'All Cases - Enter Cases'!E305,"")</f>
        <v/>
      </c>
      <c r="F305" t="str">
        <f>IF($A305&lt;&gt;"",'All Cases - Enter Cases'!F305,"")</f>
        <v/>
      </c>
      <c r="G305" t="str">
        <f>IF($A305&lt;&gt;"",'All Cases - Enter Cases'!G305,"")</f>
        <v/>
      </c>
      <c r="H305" t="str">
        <f>IF($A305&lt;&gt;"",'All Cases - Enter Cases'!H305,"")</f>
        <v/>
      </c>
      <c r="I305" t="str">
        <f>IF($A305&lt;&gt;"",'All Cases - Enter Cases'!I305,"")</f>
        <v/>
      </c>
      <c r="J305" t="str">
        <f>IF($A305&lt;&gt;"",'All Cases - Enter Cases'!J305,"")</f>
        <v/>
      </c>
      <c r="K305" t="str">
        <f>IF($A305&lt;&gt;"",'All Cases - Enter Cases'!K305,"")</f>
        <v/>
      </c>
      <c r="L305" t="str">
        <f>IF($A305&lt;&gt;"",'All Cases - Enter Cases'!L305,"")</f>
        <v/>
      </c>
      <c r="M305" t="str">
        <f>IF($A305&lt;&gt;"",'All Cases - Enter Cases'!M305,"")</f>
        <v/>
      </c>
    </row>
    <row r="306" spans="1:13" x14ac:dyDescent="0.35">
      <c r="A306" t="str">
        <f>IF('All Cases - Enter Cases'!$F306="KPK",'All Cases - Enter Cases'!A306,"")</f>
        <v/>
      </c>
      <c r="B306" t="str">
        <f>IF($A306&lt;&gt;"",'All Cases - Enter Cases'!B306,"")</f>
        <v/>
      </c>
      <c r="C306" t="str">
        <f>IF($A306&lt;&gt;"",'All Cases - Enter Cases'!C306,"")</f>
        <v/>
      </c>
      <c r="D306" t="str">
        <f>IF($A306&lt;&gt;"",'All Cases - Enter Cases'!D306,"")</f>
        <v/>
      </c>
      <c r="E306" t="str">
        <f>IF($A306&lt;&gt;"",'All Cases - Enter Cases'!E306,"")</f>
        <v/>
      </c>
      <c r="F306" t="str">
        <f>IF($A306&lt;&gt;"",'All Cases - Enter Cases'!F306,"")</f>
        <v/>
      </c>
      <c r="G306" t="str">
        <f>IF($A306&lt;&gt;"",'All Cases - Enter Cases'!G306,"")</f>
        <v/>
      </c>
      <c r="H306" t="str">
        <f>IF($A306&lt;&gt;"",'All Cases - Enter Cases'!H306,"")</f>
        <v/>
      </c>
      <c r="I306" t="str">
        <f>IF($A306&lt;&gt;"",'All Cases - Enter Cases'!I306,"")</f>
        <v/>
      </c>
      <c r="J306" t="str">
        <f>IF($A306&lt;&gt;"",'All Cases - Enter Cases'!J306,"")</f>
        <v/>
      </c>
      <c r="K306" t="str">
        <f>IF($A306&lt;&gt;"",'All Cases - Enter Cases'!K306,"")</f>
        <v/>
      </c>
      <c r="L306" t="str">
        <f>IF($A306&lt;&gt;"",'All Cases - Enter Cases'!L306,"")</f>
        <v/>
      </c>
      <c r="M306" t="str">
        <f>IF($A306&lt;&gt;"",'All Cases - Enter Cases'!M306,"")</f>
        <v/>
      </c>
    </row>
    <row r="307" spans="1:13" x14ac:dyDescent="0.35">
      <c r="A307" t="str">
        <f>IF('All Cases - Enter Cases'!$F307="KPK",'All Cases - Enter Cases'!A307,"")</f>
        <v/>
      </c>
      <c r="B307" t="str">
        <f>IF($A307&lt;&gt;"",'All Cases - Enter Cases'!B307,"")</f>
        <v/>
      </c>
      <c r="C307" t="str">
        <f>IF($A307&lt;&gt;"",'All Cases - Enter Cases'!C307,"")</f>
        <v/>
      </c>
      <c r="D307" t="str">
        <f>IF($A307&lt;&gt;"",'All Cases - Enter Cases'!D307,"")</f>
        <v/>
      </c>
      <c r="E307" t="str">
        <f>IF($A307&lt;&gt;"",'All Cases - Enter Cases'!E307,"")</f>
        <v/>
      </c>
      <c r="F307" t="str">
        <f>IF($A307&lt;&gt;"",'All Cases - Enter Cases'!F307,"")</f>
        <v/>
      </c>
      <c r="G307" t="str">
        <f>IF($A307&lt;&gt;"",'All Cases - Enter Cases'!G307,"")</f>
        <v/>
      </c>
      <c r="H307" t="str">
        <f>IF($A307&lt;&gt;"",'All Cases - Enter Cases'!H307,"")</f>
        <v/>
      </c>
      <c r="I307" t="str">
        <f>IF($A307&lt;&gt;"",'All Cases - Enter Cases'!I307,"")</f>
        <v/>
      </c>
      <c r="J307" t="str">
        <f>IF($A307&lt;&gt;"",'All Cases - Enter Cases'!J307,"")</f>
        <v/>
      </c>
      <c r="K307" t="str">
        <f>IF($A307&lt;&gt;"",'All Cases - Enter Cases'!K307,"")</f>
        <v/>
      </c>
      <c r="L307" t="str">
        <f>IF($A307&lt;&gt;"",'All Cases - Enter Cases'!L307,"")</f>
        <v/>
      </c>
      <c r="M307" t="str">
        <f>IF($A307&lt;&gt;"",'All Cases - Enter Cases'!M307,"")</f>
        <v/>
      </c>
    </row>
    <row r="308" spans="1:13" x14ac:dyDescent="0.35">
      <c r="A308" t="str">
        <f>IF('All Cases - Enter Cases'!$F308="KPK",'All Cases - Enter Cases'!A308,"")</f>
        <v/>
      </c>
      <c r="B308" t="str">
        <f>IF($A308&lt;&gt;"",'All Cases - Enter Cases'!B308,"")</f>
        <v/>
      </c>
      <c r="C308" t="str">
        <f>IF($A308&lt;&gt;"",'All Cases - Enter Cases'!C308,"")</f>
        <v/>
      </c>
      <c r="D308" t="str">
        <f>IF($A308&lt;&gt;"",'All Cases - Enter Cases'!D308,"")</f>
        <v/>
      </c>
      <c r="E308" t="str">
        <f>IF($A308&lt;&gt;"",'All Cases - Enter Cases'!E308,"")</f>
        <v/>
      </c>
      <c r="F308" t="str">
        <f>IF($A308&lt;&gt;"",'All Cases - Enter Cases'!F308,"")</f>
        <v/>
      </c>
      <c r="G308" t="str">
        <f>IF($A308&lt;&gt;"",'All Cases - Enter Cases'!G308,"")</f>
        <v/>
      </c>
      <c r="H308" t="str">
        <f>IF($A308&lt;&gt;"",'All Cases - Enter Cases'!H308,"")</f>
        <v/>
      </c>
      <c r="I308" t="str">
        <f>IF($A308&lt;&gt;"",'All Cases - Enter Cases'!I308,"")</f>
        <v/>
      </c>
      <c r="J308" t="str">
        <f>IF($A308&lt;&gt;"",'All Cases - Enter Cases'!J308,"")</f>
        <v/>
      </c>
      <c r="K308" t="str">
        <f>IF($A308&lt;&gt;"",'All Cases - Enter Cases'!K308,"")</f>
        <v/>
      </c>
      <c r="L308" t="str">
        <f>IF($A308&lt;&gt;"",'All Cases - Enter Cases'!L308,"")</f>
        <v/>
      </c>
      <c r="M308" t="str">
        <f>IF($A308&lt;&gt;"",'All Cases - Enter Cases'!M308,"")</f>
        <v/>
      </c>
    </row>
    <row r="309" spans="1:13" x14ac:dyDescent="0.35">
      <c r="A309" t="str">
        <f>IF('All Cases - Enter Cases'!$F309="KPK",'All Cases - Enter Cases'!A309,"")</f>
        <v/>
      </c>
      <c r="B309" t="str">
        <f>IF($A309&lt;&gt;"",'All Cases - Enter Cases'!B309,"")</f>
        <v/>
      </c>
      <c r="C309" t="str">
        <f>IF($A309&lt;&gt;"",'All Cases - Enter Cases'!C309,"")</f>
        <v/>
      </c>
      <c r="D309" t="str">
        <f>IF($A309&lt;&gt;"",'All Cases - Enter Cases'!D309,"")</f>
        <v/>
      </c>
      <c r="E309" t="str">
        <f>IF($A309&lt;&gt;"",'All Cases - Enter Cases'!E309,"")</f>
        <v/>
      </c>
      <c r="F309" t="str">
        <f>IF($A309&lt;&gt;"",'All Cases - Enter Cases'!F309,"")</f>
        <v/>
      </c>
      <c r="G309" t="str">
        <f>IF($A309&lt;&gt;"",'All Cases - Enter Cases'!G309,"")</f>
        <v/>
      </c>
      <c r="H309" t="str">
        <f>IF($A309&lt;&gt;"",'All Cases - Enter Cases'!H309,"")</f>
        <v/>
      </c>
      <c r="I309" t="str">
        <f>IF($A309&lt;&gt;"",'All Cases - Enter Cases'!I309,"")</f>
        <v/>
      </c>
      <c r="J309" t="str">
        <f>IF($A309&lt;&gt;"",'All Cases - Enter Cases'!J309,"")</f>
        <v/>
      </c>
      <c r="K309" t="str">
        <f>IF($A309&lt;&gt;"",'All Cases - Enter Cases'!K309,"")</f>
        <v/>
      </c>
      <c r="L309" t="str">
        <f>IF($A309&lt;&gt;"",'All Cases - Enter Cases'!L309,"")</f>
        <v/>
      </c>
      <c r="M309" t="str">
        <f>IF($A309&lt;&gt;"",'All Cases - Enter Cases'!M309,"")</f>
        <v/>
      </c>
    </row>
    <row r="310" spans="1:13" x14ac:dyDescent="0.35">
      <c r="A310" t="str">
        <f>IF('All Cases - Enter Cases'!$F310="KPK",'All Cases - Enter Cases'!A310,"")</f>
        <v/>
      </c>
      <c r="B310" t="str">
        <f>IF($A310&lt;&gt;"",'All Cases - Enter Cases'!B310,"")</f>
        <v/>
      </c>
      <c r="C310" t="str">
        <f>IF($A310&lt;&gt;"",'All Cases - Enter Cases'!C310,"")</f>
        <v/>
      </c>
      <c r="D310" t="str">
        <f>IF($A310&lt;&gt;"",'All Cases - Enter Cases'!D310,"")</f>
        <v/>
      </c>
      <c r="E310" t="str">
        <f>IF($A310&lt;&gt;"",'All Cases - Enter Cases'!E310,"")</f>
        <v/>
      </c>
      <c r="F310" t="str">
        <f>IF($A310&lt;&gt;"",'All Cases - Enter Cases'!F310,"")</f>
        <v/>
      </c>
      <c r="G310" t="str">
        <f>IF($A310&lt;&gt;"",'All Cases - Enter Cases'!G310,"")</f>
        <v/>
      </c>
      <c r="H310" t="str">
        <f>IF($A310&lt;&gt;"",'All Cases - Enter Cases'!H310,"")</f>
        <v/>
      </c>
      <c r="I310" t="str">
        <f>IF($A310&lt;&gt;"",'All Cases - Enter Cases'!I310,"")</f>
        <v/>
      </c>
      <c r="J310" t="str">
        <f>IF($A310&lt;&gt;"",'All Cases - Enter Cases'!J310,"")</f>
        <v/>
      </c>
      <c r="K310" t="str">
        <f>IF($A310&lt;&gt;"",'All Cases - Enter Cases'!K310,"")</f>
        <v/>
      </c>
      <c r="L310" t="str">
        <f>IF($A310&lt;&gt;"",'All Cases - Enter Cases'!L310,"")</f>
        <v/>
      </c>
      <c r="M310" t="str">
        <f>IF($A310&lt;&gt;"",'All Cases - Enter Cases'!M310,"")</f>
        <v/>
      </c>
    </row>
    <row r="311" spans="1:13" x14ac:dyDescent="0.35">
      <c r="A311" t="str">
        <f>IF('All Cases - Enter Cases'!$F311="KPK",'All Cases - Enter Cases'!A311,"")</f>
        <v/>
      </c>
      <c r="B311" t="str">
        <f>IF($A311&lt;&gt;"",'All Cases - Enter Cases'!B311,"")</f>
        <v/>
      </c>
      <c r="C311" t="str">
        <f>IF($A311&lt;&gt;"",'All Cases - Enter Cases'!C311,"")</f>
        <v/>
      </c>
      <c r="D311" t="str">
        <f>IF($A311&lt;&gt;"",'All Cases - Enter Cases'!D311,"")</f>
        <v/>
      </c>
      <c r="E311" t="str">
        <f>IF($A311&lt;&gt;"",'All Cases - Enter Cases'!E311,"")</f>
        <v/>
      </c>
      <c r="F311" t="str">
        <f>IF($A311&lt;&gt;"",'All Cases - Enter Cases'!F311,"")</f>
        <v/>
      </c>
      <c r="G311" t="str">
        <f>IF($A311&lt;&gt;"",'All Cases - Enter Cases'!G311,"")</f>
        <v/>
      </c>
      <c r="H311" t="str">
        <f>IF($A311&lt;&gt;"",'All Cases - Enter Cases'!H311,"")</f>
        <v/>
      </c>
      <c r="I311" t="str">
        <f>IF($A311&lt;&gt;"",'All Cases - Enter Cases'!I311,"")</f>
        <v/>
      </c>
      <c r="J311" t="str">
        <f>IF($A311&lt;&gt;"",'All Cases - Enter Cases'!J311,"")</f>
        <v/>
      </c>
      <c r="K311" t="str">
        <f>IF($A311&lt;&gt;"",'All Cases - Enter Cases'!K311,"")</f>
        <v/>
      </c>
      <c r="L311" t="str">
        <f>IF($A311&lt;&gt;"",'All Cases - Enter Cases'!L311,"")</f>
        <v/>
      </c>
      <c r="M311" t="str">
        <f>IF($A311&lt;&gt;"",'All Cases - Enter Cases'!M311,"")</f>
        <v/>
      </c>
    </row>
    <row r="312" spans="1:13" x14ac:dyDescent="0.35">
      <c r="A312" t="str">
        <f>IF('All Cases - Enter Cases'!$F312="KPK",'All Cases - Enter Cases'!A312,"")</f>
        <v/>
      </c>
      <c r="B312" t="str">
        <f>IF($A312&lt;&gt;"",'All Cases - Enter Cases'!B312,"")</f>
        <v/>
      </c>
      <c r="C312" t="str">
        <f>IF($A312&lt;&gt;"",'All Cases - Enter Cases'!C312,"")</f>
        <v/>
      </c>
      <c r="D312" t="str">
        <f>IF($A312&lt;&gt;"",'All Cases - Enter Cases'!D312,"")</f>
        <v/>
      </c>
      <c r="E312" t="str">
        <f>IF($A312&lt;&gt;"",'All Cases - Enter Cases'!E312,"")</f>
        <v/>
      </c>
      <c r="F312" t="str">
        <f>IF($A312&lt;&gt;"",'All Cases - Enter Cases'!F312,"")</f>
        <v/>
      </c>
      <c r="G312" t="str">
        <f>IF($A312&lt;&gt;"",'All Cases - Enter Cases'!G312,"")</f>
        <v/>
      </c>
      <c r="H312" t="str">
        <f>IF($A312&lt;&gt;"",'All Cases - Enter Cases'!H312,"")</f>
        <v/>
      </c>
      <c r="I312" t="str">
        <f>IF($A312&lt;&gt;"",'All Cases - Enter Cases'!I312,"")</f>
        <v/>
      </c>
      <c r="J312" t="str">
        <f>IF($A312&lt;&gt;"",'All Cases - Enter Cases'!J312,"")</f>
        <v/>
      </c>
      <c r="K312" t="str">
        <f>IF($A312&lt;&gt;"",'All Cases - Enter Cases'!K312,"")</f>
        <v/>
      </c>
      <c r="L312" t="str">
        <f>IF($A312&lt;&gt;"",'All Cases - Enter Cases'!L312,"")</f>
        <v/>
      </c>
      <c r="M312" t="str">
        <f>IF($A312&lt;&gt;"",'All Cases - Enter Cases'!M312,"")</f>
        <v/>
      </c>
    </row>
    <row r="313" spans="1:13" x14ac:dyDescent="0.35">
      <c r="A313" t="str">
        <f>IF('All Cases - Enter Cases'!$F313="KPK",'All Cases - Enter Cases'!A313,"")</f>
        <v/>
      </c>
      <c r="B313" t="str">
        <f>IF($A313&lt;&gt;"",'All Cases - Enter Cases'!B313,"")</f>
        <v/>
      </c>
      <c r="C313" t="str">
        <f>IF($A313&lt;&gt;"",'All Cases - Enter Cases'!C313,"")</f>
        <v/>
      </c>
      <c r="D313" t="str">
        <f>IF($A313&lt;&gt;"",'All Cases - Enter Cases'!D313,"")</f>
        <v/>
      </c>
      <c r="E313" t="str">
        <f>IF($A313&lt;&gt;"",'All Cases - Enter Cases'!E313,"")</f>
        <v/>
      </c>
      <c r="F313" t="str">
        <f>IF($A313&lt;&gt;"",'All Cases - Enter Cases'!F313,"")</f>
        <v/>
      </c>
      <c r="G313" t="str">
        <f>IF($A313&lt;&gt;"",'All Cases - Enter Cases'!G313,"")</f>
        <v/>
      </c>
      <c r="H313" t="str">
        <f>IF($A313&lt;&gt;"",'All Cases - Enter Cases'!H313,"")</f>
        <v/>
      </c>
      <c r="I313" t="str">
        <f>IF($A313&lt;&gt;"",'All Cases - Enter Cases'!I313,"")</f>
        <v/>
      </c>
      <c r="J313" t="str">
        <f>IF($A313&lt;&gt;"",'All Cases - Enter Cases'!J313,"")</f>
        <v/>
      </c>
      <c r="K313" t="str">
        <f>IF($A313&lt;&gt;"",'All Cases - Enter Cases'!K313,"")</f>
        <v/>
      </c>
      <c r="L313" t="str">
        <f>IF($A313&lt;&gt;"",'All Cases - Enter Cases'!L313,"")</f>
        <v/>
      </c>
      <c r="M313" t="str">
        <f>IF($A313&lt;&gt;"",'All Cases - Enter Cases'!M313,"")</f>
        <v/>
      </c>
    </row>
    <row r="314" spans="1:13" x14ac:dyDescent="0.35">
      <c r="A314" t="str">
        <f>IF('All Cases - Enter Cases'!$F314="KPK",'All Cases - Enter Cases'!A314,"")</f>
        <v/>
      </c>
      <c r="B314" t="str">
        <f>IF($A314&lt;&gt;"",'All Cases - Enter Cases'!B314,"")</f>
        <v/>
      </c>
      <c r="C314" t="str">
        <f>IF($A314&lt;&gt;"",'All Cases - Enter Cases'!C314,"")</f>
        <v/>
      </c>
      <c r="D314" t="str">
        <f>IF($A314&lt;&gt;"",'All Cases - Enter Cases'!D314,"")</f>
        <v/>
      </c>
      <c r="E314" t="str">
        <f>IF($A314&lt;&gt;"",'All Cases - Enter Cases'!E314,"")</f>
        <v/>
      </c>
      <c r="F314" t="str">
        <f>IF($A314&lt;&gt;"",'All Cases - Enter Cases'!F314,"")</f>
        <v/>
      </c>
      <c r="G314" t="str">
        <f>IF($A314&lt;&gt;"",'All Cases - Enter Cases'!G314,"")</f>
        <v/>
      </c>
      <c r="H314" t="str">
        <f>IF($A314&lt;&gt;"",'All Cases - Enter Cases'!H314,"")</f>
        <v/>
      </c>
      <c r="I314" t="str">
        <f>IF($A314&lt;&gt;"",'All Cases - Enter Cases'!I314,"")</f>
        <v/>
      </c>
      <c r="J314" t="str">
        <f>IF($A314&lt;&gt;"",'All Cases - Enter Cases'!J314,"")</f>
        <v/>
      </c>
      <c r="K314" t="str">
        <f>IF($A314&lt;&gt;"",'All Cases - Enter Cases'!K314,"")</f>
        <v/>
      </c>
      <c r="L314" t="str">
        <f>IF($A314&lt;&gt;"",'All Cases - Enter Cases'!L314,"")</f>
        <v/>
      </c>
      <c r="M314" t="str">
        <f>IF($A314&lt;&gt;"",'All Cases - Enter Cases'!M314,"")</f>
        <v/>
      </c>
    </row>
    <row r="315" spans="1:13" x14ac:dyDescent="0.35">
      <c r="A315" t="str">
        <f>IF('All Cases - Enter Cases'!$F315="KPK",'All Cases - Enter Cases'!A315,"")</f>
        <v/>
      </c>
      <c r="B315" t="str">
        <f>IF($A315&lt;&gt;"",'All Cases - Enter Cases'!B315,"")</f>
        <v/>
      </c>
      <c r="C315" t="str">
        <f>IF($A315&lt;&gt;"",'All Cases - Enter Cases'!C315,"")</f>
        <v/>
      </c>
      <c r="D315" t="str">
        <f>IF($A315&lt;&gt;"",'All Cases - Enter Cases'!D315,"")</f>
        <v/>
      </c>
      <c r="E315" t="str">
        <f>IF($A315&lt;&gt;"",'All Cases - Enter Cases'!E315,"")</f>
        <v/>
      </c>
      <c r="F315" t="str">
        <f>IF($A315&lt;&gt;"",'All Cases - Enter Cases'!F315,"")</f>
        <v/>
      </c>
      <c r="G315" t="str">
        <f>IF($A315&lt;&gt;"",'All Cases - Enter Cases'!G315,"")</f>
        <v/>
      </c>
      <c r="H315" t="str">
        <f>IF($A315&lt;&gt;"",'All Cases - Enter Cases'!H315,"")</f>
        <v/>
      </c>
      <c r="I315" t="str">
        <f>IF($A315&lt;&gt;"",'All Cases - Enter Cases'!I315,"")</f>
        <v/>
      </c>
      <c r="J315" t="str">
        <f>IF($A315&lt;&gt;"",'All Cases - Enter Cases'!J315,"")</f>
        <v/>
      </c>
      <c r="K315" t="str">
        <f>IF($A315&lt;&gt;"",'All Cases - Enter Cases'!K315,"")</f>
        <v/>
      </c>
      <c r="L315" t="str">
        <f>IF($A315&lt;&gt;"",'All Cases - Enter Cases'!L315,"")</f>
        <v/>
      </c>
      <c r="M315" t="str">
        <f>IF($A315&lt;&gt;"",'All Cases - Enter Cases'!M315,"")</f>
        <v/>
      </c>
    </row>
    <row r="316" spans="1:13" x14ac:dyDescent="0.35">
      <c r="A316" t="str">
        <f>IF('All Cases - Enter Cases'!$F316="KPK",'All Cases - Enter Cases'!A316,"")</f>
        <v/>
      </c>
      <c r="B316" t="str">
        <f>IF($A316&lt;&gt;"",'All Cases - Enter Cases'!B316,"")</f>
        <v/>
      </c>
      <c r="C316" t="str">
        <f>IF($A316&lt;&gt;"",'All Cases - Enter Cases'!C316,"")</f>
        <v/>
      </c>
      <c r="D316" t="str">
        <f>IF($A316&lt;&gt;"",'All Cases - Enter Cases'!D316,"")</f>
        <v/>
      </c>
      <c r="E316" t="str">
        <f>IF($A316&lt;&gt;"",'All Cases - Enter Cases'!E316,"")</f>
        <v/>
      </c>
      <c r="F316" t="str">
        <f>IF($A316&lt;&gt;"",'All Cases - Enter Cases'!F316,"")</f>
        <v/>
      </c>
      <c r="G316" t="str">
        <f>IF($A316&lt;&gt;"",'All Cases - Enter Cases'!G316,"")</f>
        <v/>
      </c>
      <c r="H316" t="str">
        <f>IF($A316&lt;&gt;"",'All Cases - Enter Cases'!H316,"")</f>
        <v/>
      </c>
      <c r="I316" t="str">
        <f>IF($A316&lt;&gt;"",'All Cases - Enter Cases'!I316,"")</f>
        <v/>
      </c>
      <c r="J316" t="str">
        <f>IF($A316&lt;&gt;"",'All Cases - Enter Cases'!J316,"")</f>
        <v/>
      </c>
      <c r="K316" t="str">
        <f>IF($A316&lt;&gt;"",'All Cases - Enter Cases'!K316,"")</f>
        <v/>
      </c>
      <c r="L316" t="str">
        <f>IF($A316&lt;&gt;"",'All Cases - Enter Cases'!L316,"")</f>
        <v/>
      </c>
      <c r="M316" t="str">
        <f>IF($A316&lt;&gt;"",'All Cases - Enter Cases'!M316,"")</f>
        <v/>
      </c>
    </row>
    <row r="317" spans="1:13" x14ac:dyDescent="0.35">
      <c r="A317" t="str">
        <f>IF('All Cases - Enter Cases'!$F317="KPK",'All Cases - Enter Cases'!A317,"")</f>
        <v/>
      </c>
      <c r="B317" t="str">
        <f>IF($A317&lt;&gt;"",'All Cases - Enter Cases'!B317,"")</f>
        <v/>
      </c>
      <c r="C317" t="str">
        <f>IF($A317&lt;&gt;"",'All Cases - Enter Cases'!C317,"")</f>
        <v/>
      </c>
      <c r="D317" t="str">
        <f>IF($A317&lt;&gt;"",'All Cases - Enter Cases'!D317,"")</f>
        <v/>
      </c>
      <c r="E317" t="str">
        <f>IF($A317&lt;&gt;"",'All Cases - Enter Cases'!E317,"")</f>
        <v/>
      </c>
      <c r="F317" t="str">
        <f>IF($A317&lt;&gt;"",'All Cases - Enter Cases'!F317,"")</f>
        <v/>
      </c>
      <c r="G317" t="str">
        <f>IF($A317&lt;&gt;"",'All Cases - Enter Cases'!G317,"")</f>
        <v/>
      </c>
      <c r="H317" t="str">
        <f>IF($A317&lt;&gt;"",'All Cases - Enter Cases'!H317,"")</f>
        <v/>
      </c>
      <c r="I317" t="str">
        <f>IF($A317&lt;&gt;"",'All Cases - Enter Cases'!I317,"")</f>
        <v/>
      </c>
      <c r="J317" t="str">
        <f>IF($A317&lt;&gt;"",'All Cases - Enter Cases'!J317,"")</f>
        <v/>
      </c>
      <c r="K317" t="str">
        <f>IF($A317&lt;&gt;"",'All Cases - Enter Cases'!K317,"")</f>
        <v/>
      </c>
      <c r="L317" t="str">
        <f>IF($A317&lt;&gt;"",'All Cases - Enter Cases'!L317,"")</f>
        <v/>
      </c>
      <c r="M317" t="str">
        <f>IF($A317&lt;&gt;"",'All Cases - Enter Cases'!M317,"")</f>
        <v/>
      </c>
    </row>
    <row r="318" spans="1:13" x14ac:dyDescent="0.35">
      <c r="A318" t="str">
        <f>IF('All Cases - Enter Cases'!$F318="KPK",'All Cases - Enter Cases'!A318,"")</f>
        <v/>
      </c>
      <c r="B318" t="str">
        <f>IF($A318&lt;&gt;"",'All Cases - Enter Cases'!B318,"")</f>
        <v/>
      </c>
      <c r="C318" t="str">
        <f>IF($A318&lt;&gt;"",'All Cases - Enter Cases'!C318,"")</f>
        <v/>
      </c>
      <c r="D318" t="str">
        <f>IF($A318&lt;&gt;"",'All Cases - Enter Cases'!D318,"")</f>
        <v/>
      </c>
      <c r="E318" t="str">
        <f>IF($A318&lt;&gt;"",'All Cases - Enter Cases'!E318,"")</f>
        <v/>
      </c>
      <c r="F318" t="str">
        <f>IF($A318&lt;&gt;"",'All Cases - Enter Cases'!F318,"")</f>
        <v/>
      </c>
      <c r="G318" t="str">
        <f>IF($A318&lt;&gt;"",'All Cases - Enter Cases'!G318,"")</f>
        <v/>
      </c>
      <c r="H318" t="str">
        <f>IF($A318&lt;&gt;"",'All Cases - Enter Cases'!H318,"")</f>
        <v/>
      </c>
      <c r="I318" t="str">
        <f>IF($A318&lt;&gt;"",'All Cases - Enter Cases'!I318,"")</f>
        <v/>
      </c>
      <c r="J318" t="str">
        <f>IF($A318&lt;&gt;"",'All Cases - Enter Cases'!J318,"")</f>
        <v/>
      </c>
      <c r="K318" t="str">
        <f>IF($A318&lt;&gt;"",'All Cases - Enter Cases'!K318,"")</f>
        <v/>
      </c>
      <c r="L318" t="str">
        <f>IF($A318&lt;&gt;"",'All Cases - Enter Cases'!L318,"")</f>
        <v/>
      </c>
      <c r="M318" t="str">
        <f>IF($A318&lt;&gt;"",'All Cases - Enter Cases'!M318,"")</f>
        <v/>
      </c>
    </row>
    <row r="319" spans="1:13" x14ac:dyDescent="0.35">
      <c r="A319" t="str">
        <f>IF('All Cases - Enter Cases'!$F319="KPK",'All Cases - Enter Cases'!A319,"")</f>
        <v/>
      </c>
      <c r="B319" t="str">
        <f>IF($A319&lt;&gt;"",'All Cases - Enter Cases'!B319,"")</f>
        <v/>
      </c>
      <c r="C319" t="str">
        <f>IF($A319&lt;&gt;"",'All Cases - Enter Cases'!C319,"")</f>
        <v/>
      </c>
      <c r="D319" t="str">
        <f>IF($A319&lt;&gt;"",'All Cases - Enter Cases'!D319,"")</f>
        <v/>
      </c>
      <c r="E319" t="str">
        <f>IF($A319&lt;&gt;"",'All Cases - Enter Cases'!E319,"")</f>
        <v/>
      </c>
      <c r="F319" t="str">
        <f>IF($A319&lt;&gt;"",'All Cases - Enter Cases'!F319,"")</f>
        <v/>
      </c>
      <c r="G319" t="str">
        <f>IF($A319&lt;&gt;"",'All Cases - Enter Cases'!G319,"")</f>
        <v/>
      </c>
      <c r="H319" t="str">
        <f>IF($A319&lt;&gt;"",'All Cases - Enter Cases'!H319,"")</f>
        <v/>
      </c>
      <c r="I319" t="str">
        <f>IF($A319&lt;&gt;"",'All Cases - Enter Cases'!I319,"")</f>
        <v/>
      </c>
      <c r="J319" t="str">
        <f>IF($A319&lt;&gt;"",'All Cases - Enter Cases'!J319,"")</f>
        <v/>
      </c>
      <c r="K319" t="str">
        <f>IF($A319&lt;&gt;"",'All Cases - Enter Cases'!K319,"")</f>
        <v/>
      </c>
      <c r="L319" t="str">
        <f>IF($A319&lt;&gt;"",'All Cases - Enter Cases'!L319,"")</f>
        <v/>
      </c>
      <c r="M319" t="str">
        <f>IF($A319&lt;&gt;"",'All Cases - Enter Cases'!M319,"")</f>
        <v/>
      </c>
    </row>
    <row r="320" spans="1:13" x14ac:dyDescent="0.35">
      <c r="A320" t="str">
        <f>IF('All Cases - Enter Cases'!$F320="KPK",'All Cases - Enter Cases'!A320,"")</f>
        <v/>
      </c>
      <c r="B320" t="str">
        <f>IF($A320&lt;&gt;"",'All Cases - Enter Cases'!B320,"")</f>
        <v/>
      </c>
      <c r="C320" t="str">
        <f>IF($A320&lt;&gt;"",'All Cases - Enter Cases'!C320,"")</f>
        <v/>
      </c>
      <c r="D320" t="str">
        <f>IF($A320&lt;&gt;"",'All Cases - Enter Cases'!D320,"")</f>
        <v/>
      </c>
      <c r="E320" t="str">
        <f>IF($A320&lt;&gt;"",'All Cases - Enter Cases'!E320,"")</f>
        <v/>
      </c>
      <c r="F320" t="str">
        <f>IF($A320&lt;&gt;"",'All Cases - Enter Cases'!F320,"")</f>
        <v/>
      </c>
      <c r="G320" t="str">
        <f>IF($A320&lt;&gt;"",'All Cases - Enter Cases'!G320,"")</f>
        <v/>
      </c>
      <c r="H320" t="str">
        <f>IF($A320&lt;&gt;"",'All Cases - Enter Cases'!H320,"")</f>
        <v/>
      </c>
      <c r="I320" t="str">
        <f>IF($A320&lt;&gt;"",'All Cases - Enter Cases'!I320,"")</f>
        <v/>
      </c>
      <c r="J320" t="str">
        <f>IF($A320&lt;&gt;"",'All Cases - Enter Cases'!J320,"")</f>
        <v/>
      </c>
      <c r="K320" t="str">
        <f>IF($A320&lt;&gt;"",'All Cases - Enter Cases'!K320,"")</f>
        <v/>
      </c>
      <c r="L320" t="str">
        <f>IF($A320&lt;&gt;"",'All Cases - Enter Cases'!L320,"")</f>
        <v/>
      </c>
      <c r="M320" t="str">
        <f>IF($A320&lt;&gt;"",'All Cases - Enter Cases'!M320,"")</f>
        <v/>
      </c>
    </row>
    <row r="321" spans="1:13" x14ac:dyDescent="0.35">
      <c r="A321" t="str">
        <f>IF('All Cases - Enter Cases'!$F321="KPK",'All Cases - Enter Cases'!A321,"")</f>
        <v/>
      </c>
      <c r="B321" t="str">
        <f>IF($A321&lt;&gt;"",'All Cases - Enter Cases'!B321,"")</f>
        <v/>
      </c>
      <c r="C321" t="str">
        <f>IF($A321&lt;&gt;"",'All Cases - Enter Cases'!C321,"")</f>
        <v/>
      </c>
      <c r="D321" t="str">
        <f>IF($A321&lt;&gt;"",'All Cases - Enter Cases'!D321,"")</f>
        <v/>
      </c>
      <c r="E321" t="str">
        <f>IF($A321&lt;&gt;"",'All Cases - Enter Cases'!E321,"")</f>
        <v/>
      </c>
      <c r="F321" t="str">
        <f>IF($A321&lt;&gt;"",'All Cases - Enter Cases'!F321,"")</f>
        <v/>
      </c>
      <c r="G321" t="str">
        <f>IF($A321&lt;&gt;"",'All Cases - Enter Cases'!G321,"")</f>
        <v/>
      </c>
      <c r="H321" t="str">
        <f>IF($A321&lt;&gt;"",'All Cases - Enter Cases'!H321,"")</f>
        <v/>
      </c>
      <c r="I321" t="str">
        <f>IF($A321&lt;&gt;"",'All Cases - Enter Cases'!I321,"")</f>
        <v/>
      </c>
      <c r="J321" t="str">
        <f>IF($A321&lt;&gt;"",'All Cases - Enter Cases'!J321,"")</f>
        <v/>
      </c>
      <c r="K321" t="str">
        <f>IF($A321&lt;&gt;"",'All Cases - Enter Cases'!K321,"")</f>
        <v/>
      </c>
      <c r="L321" t="str">
        <f>IF($A321&lt;&gt;"",'All Cases - Enter Cases'!L321,"")</f>
        <v/>
      </c>
      <c r="M321" t="str">
        <f>IF($A321&lt;&gt;"",'All Cases - Enter Cases'!M321,"")</f>
        <v/>
      </c>
    </row>
    <row r="322" spans="1:13" x14ac:dyDescent="0.35">
      <c r="A322" t="str">
        <f>IF('All Cases - Enter Cases'!$F322="KPK",'All Cases - Enter Cases'!A322,"")</f>
        <v/>
      </c>
      <c r="B322" t="str">
        <f>IF($A322&lt;&gt;"",'All Cases - Enter Cases'!B322,"")</f>
        <v/>
      </c>
      <c r="C322" t="str">
        <f>IF($A322&lt;&gt;"",'All Cases - Enter Cases'!C322,"")</f>
        <v/>
      </c>
      <c r="D322" t="str">
        <f>IF($A322&lt;&gt;"",'All Cases - Enter Cases'!D322,"")</f>
        <v/>
      </c>
      <c r="E322" t="str">
        <f>IF($A322&lt;&gt;"",'All Cases - Enter Cases'!E322,"")</f>
        <v/>
      </c>
      <c r="F322" t="str">
        <f>IF($A322&lt;&gt;"",'All Cases - Enter Cases'!F322,"")</f>
        <v/>
      </c>
      <c r="G322" t="str">
        <f>IF($A322&lt;&gt;"",'All Cases - Enter Cases'!G322,"")</f>
        <v/>
      </c>
      <c r="H322" t="str">
        <f>IF($A322&lt;&gt;"",'All Cases - Enter Cases'!H322,"")</f>
        <v/>
      </c>
      <c r="I322" t="str">
        <f>IF($A322&lt;&gt;"",'All Cases - Enter Cases'!I322,"")</f>
        <v/>
      </c>
      <c r="J322" t="str">
        <f>IF($A322&lt;&gt;"",'All Cases - Enter Cases'!J322,"")</f>
        <v/>
      </c>
      <c r="K322" t="str">
        <f>IF($A322&lt;&gt;"",'All Cases - Enter Cases'!K322,"")</f>
        <v/>
      </c>
      <c r="L322" t="str">
        <f>IF($A322&lt;&gt;"",'All Cases - Enter Cases'!L322,"")</f>
        <v/>
      </c>
      <c r="M322" t="str">
        <f>IF($A322&lt;&gt;"",'All Cases - Enter Cases'!M322,"")</f>
        <v/>
      </c>
    </row>
    <row r="323" spans="1:13" x14ac:dyDescent="0.35">
      <c r="A323" t="str">
        <f>IF('All Cases - Enter Cases'!$F323="KPK",'All Cases - Enter Cases'!A323,"")</f>
        <v/>
      </c>
      <c r="B323" t="str">
        <f>IF($A323&lt;&gt;"",'All Cases - Enter Cases'!B323,"")</f>
        <v/>
      </c>
      <c r="C323" t="str">
        <f>IF($A323&lt;&gt;"",'All Cases - Enter Cases'!C323,"")</f>
        <v/>
      </c>
      <c r="D323" t="str">
        <f>IF($A323&lt;&gt;"",'All Cases - Enter Cases'!D323,"")</f>
        <v/>
      </c>
      <c r="E323" t="str">
        <f>IF($A323&lt;&gt;"",'All Cases - Enter Cases'!E323,"")</f>
        <v/>
      </c>
      <c r="F323" t="str">
        <f>IF($A323&lt;&gt;"",'All Cases - Enter Cases'!F323,"")</f>
        <v/>
      </c>
      <c r="G323" t="str">
        <f>IF($A323&lt;&gt;"",'All Cases - Enter Cases'!G323,"")</f>
        <v/>
      </c>
      <c r="H323" t="str">
        <f>IF($A323&lt;&gt;"",'All Cases - Enter Cases'!H323,"")</f>
        <v/>
      </c>
      <c r="I323" t="str">
        <f>IF($A323&lt;&gt;"",'All Cases - Enter Cases'!I323,"")</f>
        <v/>
      </c>
      <c r="J323" t="str">
        <f>IF($A323&lt;&gt;"",'All Cases - Enter Cases'!J323,"")</f>
        <v/>
      </c>
      <c r="K323" t="str">
        <f>IF($A323&lt;&gt;"",'All Cases - Enter Cases'!K323,"")</f>
        <v/>
      </c>
      <c r="L323" t="str">
        <f>IF($A323&lt;&gt;"",'All Cases - Enter Cases'!L323,"")</f>
        <v/>
      </c>
      <c r="M323" t="str">
        <f>IF($A323&lt;&gt;"",'All Cases - Enter Cases'!M323,"")</f>
        <v/>
      </c>
    </row>
    <row r="324" spans="1:13" x14ac:dyDescent="0.35">
      <c r="A324" t="str">
        <f>IF('All Cases - Enter Cases'!$F324="KPK",'All Cases - Enter Cases'!A324,"")</f>
        <v/>
      </c>
      <c r="B324" t="str">
        <f>IF($A324&lt;&gt;"",'All Cases - Enter Cases'!B324,"")</f>
        <v/>
      </c>
      <c r="C324" t="str">
        <f>IF($A324&lt;&gt;"",'All Cases - Enter Cases'!C324,"")</f>
        <v/>
      </c>
      <c r="D324" t="str">
        <f>IF($A324&lt;&gt;"",'All Cases - Enter Cases'!D324,"")</f>
        <v/>
      </c>
      <c r="E324" t="str">
        <f>IF($A324&lt;&gt;"",'All Cases - Enter Cases'!E324,"")</f>
        <v/>
      </c>
      <c r="F324" t="str">
        <f>IF($A324&lt;&gt;"",'All Cases - Enter Cases'!F324,"")</f>
        <v/>
      </c>
      <c r="G324" t="str">
        <f>IF($A324&lt;&gt;"",'All Cases - Enter Cases'!G324,"")</f>
        <v/>
      </c>
      <c r="H324" t="str">
        <f>IF($A324&lt;&gt;"",'All Cases - Enter Cases'!H324,"")</f>
        <v/>
      </c>
      <c r="I324" t="str">
        <f>IF($A324&lt;&gt;"",'All Cases - Enter Cases'!I324,"")</f>
        <v/>
      </c>
      <c r="J324" t="str">
        <f>IF($A324&lt;&gt;"",'All Cases - Enter Cases'!J324,"")</f>
        <v/>
      </c>
      <c r="K324" t="str">
        <f>IF($A324&lt;&gt;"",'All Cases - Enter Cases'!K324,"")</f>
        <v/>
      </c>
      <c r="L324" t="str">
        <f>IF($A324&lt;&gt;"",'All Cases - Enter Cases'!L324,"")</f>
        <v/>
      </c>
      <c r="M324" t="str">
        <f>IF($A324&lt;&gt;"",'All Cases - Enter Cases'!M324,"")</f>
        <v/>
      </c>
    </row>
    <row r="325" spans="1:13" x14ac:dyDescent="0.35">
      <c r="A325" t="str">
        <f>IF('All Cases - Enter Cases'!$F325="KPK",'All Cases - Enter Cases'!A325,"")</f>
        <v/>
      </c>
      <c r="B325" t="str">
        <f>IF($A325&lt;&gt;"",'All Cases - Enter Cases'!B325,"")</f>
        <v/>
      </c>
      <c r="C325" t="str">
        <f>IF($A325&lt;&gt;"",'All Cases - Enter Cases'!C325,"")</f>
        <v/>
      </c>
      <c r="D325" t="str">
        <f>IF($A325&lt;&gt;"",'All Cases - Enter Cases'!D325,"")</f>
        <v/>
      </c>
      <c r="E325" t="str">
        <f>IF($A325&lt;&gt;"",'All Cases - Enter Cases'!E325,"")</f>
        <v/>
      </c>
      <c r="F325" t="str">
        <f>IF($A325&lt;&gt;"",'All Cases - Enter Cases'!F325,"")</f>
        <v/>
      </c>
      <c r="G325" t="str">
        <f>IF($A325&lt;&gt;"",'All Cases - Enter Cases'!G325,"")</f>
        <v/>
      </c>
      <c r="H325" t="str">
        <f>IF($A325&lt;&gt;"",'All Cases - Enter Cases'!H325,"")</f>
        <v/>
      </c>
      <c r="I325" t="str">
        <f>IF($A325&lt;&gt;"",'All Cases - Enter Cases'!I325,"")</f>
        <v/>
      </c>
      <c r="J325" t="str">
        <f>IF($A325&lt;&gt;"",'All Cases - Enter Cases'!J325,"")</f>
        <v/>
      </c>
      <c r="K325" t="str">
        <f>IF($A325&lt;&gt;"",'All Cases - Enter Cases'!K325,"")</f>
        <v/>
      </c>
      <c r="L325" t="str">
        <f>IF($A325&lt;&gt;"",'All Cases - Enter Cases'!L325,"")</f>
        <v/>
      </c>
      <c r="M325" t="str">
        <f>IF($A325&lt;&gt;"",'All Cases - Enter Cases'!M325,"")</f>
        <v/>
      </c>
    </row>
    <row r="326" spans="1:13" x14ac:dyDescent="0.35">
      <c r="A326" t="str">
        <f>IF('All Cases - Enter Cases'!$F326="KPK",'All Cases - Enter Cases'!A326,"")</f>
        <v/>
      </c>
      <c r="B326" t="str">
        <f>IF($A326&lt;&gt;"",'All Cases - Enter Cases'!B326,"")</f>
        <v/>
      </c>
      <c r="C326" t="str">
        <f>IF($A326&lt;&gt;"",'All Cases - Enter Cases'!C326,"")</f>
        <v/>
      </c>
      <c r="D326" t="str">
        <f>IF($A326&lt;&gt;"",'All Cases - Enter Cases'!D326,"")</f>
        <v/>
      </c>
      <c r="E326" t="str">
        <f>IF($A326&lt;&gt;"",'All Cases - Enter Cases'!E326,"")</f>
        <v/>
      </c>
      <c r="F326" t="str">
        <f>IF($A326&lt;&gt;"",'All Cases - Enter Cases'!F326,"")</f>
        <v/>
      </c>
      <c r="G326" t="str">
        <f>IF($A326&lt;&gt;"",'All Cases - Enter Cases'!G326,"")</f>
        <v/>
      </c>
      <c r="H326" t="str">
        <f>IF($A326&lt;&gt;"",'All Cases - Enter Cases'!H326,"")</f>
        <v/>
      </c>
      <c r="I326" t="str">
        <f>IF($A326&lt;&gt;"",'All Cases - Enter Cases'!I326,"")</f>
        <v/>
      </c>
      <c r="J326" t="str">
        <f>IF($A326&lt;&gt;"",'All Cases - Enter Cases'!J326,"")</f>
        <v/>
      </c>
      <c r="K326" t="str">
        <f>IF($A326&lt;&gt;"",'All Cases - Enter Cases'!K326,"")</f>
        <v/>
      </c>
      <c r="L326" t="str">
        <f>IF($A326&lt;&gt;"",'All Cases - Enter Cases'!L326,"")</f>
        <v/>
      </c>
      <c r="M326" t="str">
        <f>IF($A326&lt;&gt;"",'All Cases - Enter Cases'!M326,"")</f>
        <v/>
      </c>
    </row>
    <row r="327" spans="1:13" x14ac:dyDescent="0.35">
      <c r="A327" t="str">
        <f>IF('All Cases - Enter Cases'!$F327="KPK",'All Cases - Enter Cases'!A327,"")</f>
        <v/>
      </c>
      <c r="B327" t="str">
        <f>IF($A327&lt;&gt;"",'All Cases - Enter Cases'!B327,"")</f>
        <v/>
      </c>
      <c r="C327" t="str">
        <f>IF($A327&lt;&gt;"",'All Cases - Enter Cases'!C327,"")</f>
        <v/>
      </c>
      <c r="D327" t="str">
        <f>IF($A327&lt;&gt;"",'All Cases - Enter Cases'!D327,"")</f>
        <v/>
      </c>
      <c r="E327" t="str">
        <f>IF($A327&lt;&gt;"",'All Cases - Enter Cases'!E327,"")</f>
        <v/>
      </c>
      <c r="F327" t="str">
        <f>IF($A327&lt;&gt;"",'All Cases - Enter Cases'!F327,"")</f>
        <v/>
      </c>
      <c r="G327" t="str">
        <f>IF($A327&lt;&gt;"",'All Cases - Enter Cases'!G327,"")</f>
        <v/>
      </c>
      <c r="H327" t="str">
        <f>IF($A327&lt;&gt;"",'All Cases - Enter Cases'!H327,"")</f>
        <v/>
      </c>
      <c r="I327" t="str">
        <f>IF($A327&lt;&gt;"",'All Cases - Enter Cases'!I327,"")</f>
        <v/>
      </c>
      <c r="J327" t="str">
        <f>IF($A327&lt;&gt;"",'All Cases - Enter Cases'!J327,"")</f>
        <v/>
      </c>
      <c r="K327" t="str">
        <f>IF($A327&lt;&gt;"",'All Cases - Enter Cases'!K327,"")</f>
        <v/>
      </c>
      <c r="L327" t="str">
        <f>IF($A327&lt;&gt;"",'All Cases - Enter Cases'!L327,"")</f>
        <v/>
      </c>
      <c r="M327" t="str">
        <f>IF($A327&lt;&gt;"",'All Cases - Enter Cases'!M327,"")</f>
        <v/>
      </c>
    </row>
    <row r="328" spans="1:13" x14ac:dyDescent="0.35">
      <c r="A328" t="str">
        <f>IF('All Cases - Enter Cases'!$F328="KPK",'All Cases - Enter Cases'!A328,"")</f>
        <v/>
      </c>
      <c r="B328" t="str">
        <f>IF($A328&lt;&gt;"",'All Cases - Enter Cases'!B328,"")</f>
        <v/>
      </c>
      <c r="C328" t="str">
        <f>IF($A328&lt;&gt;"",'All Cases - Enter Cases'!C328,"")</f>
        <v/>
      </c>
      <c r="D328" t="str">
        <f>IF($A328&lt;&gt;"",'All Cases - Enter Cases'!D328,"")</f>
        <v/>
      </c>
      <c r="E328" t="str">
        <f>IF($A328&lt;&gt;"",'All Cases - Enter Cases'!E328,"")</f>
        <v/>
      </c>
      <c r="F328" t="str">
        <f>IF($A328&lt;&gt;"",'All Cases - Enter Cases'!F328,"")</f>
        <v/>
      </c>
      <c r="G328" t="str">
        <f>IF($A328&lt;&gt;"",'All Cases - Enter Cases'!G328,"")</f>
        <v/>
      </c>
      <c r="H328" t="str">
        <f>IF($A328&lt;&gt;"",'All Cases - Enter Cases'!H328,"")</f>
        <v/>
      </c>
      <c r="I328" t="str">
        <f>IF($A328&lt;&gt;"",'All Cases - Enter Cases'!I328,"")</f>
        <v/>
      </c>
      <c r="J328" t="str">
        <f>IF($A328&lt;&gt;"",'All Cases - Enter Cases'!J328,"")</f>
        <v/>
      </c>
      <c r="K328" t="str">
        <f>IF($A328&lt;&gt;"",'All Cases - Enter Cases'!K328,"")</f>
        <v/>
      </c>
      <c r="L328" t="str">
        <f>IF($A328&lt;&gt;"",'All Cases - Enter Cases'!L328,"")</f>
        <v/>
      </c>
      <c r="M328" t="str">
        <f>IF($A328&lt;&gt;"",'All Cases - Enter Cases'!M328,"")</f>
        <v/>
      </c>
    </row>
    <row r="329" spans="1:13" x14ac:dyDescent="0.35">
      <c r="A329" t="str">
        <f>IF('All Cases - Enter Cases'!$F329="KPK",'All Cases - Enter Cases'!A329,"")</f>
        <v/>
      </c>
      <c r="B329" t="str">
        <f>IF($A329&lt;&gt;"",'All Cases - Enter Cases'!B329,"")</f>
        <v/>
      </c>
      <c r="C329" t="str">
        <f>IF($A329&lt;&gt;"",'All Cases - Enter Cases'!C329,"")</f>
        <v/>
      </c>
      <c r="D329" t="str">
        <f>IF($A329&lt;&gt;"",'All Cases - Enter Cases'!D329,"")</f>
        <v/>
      </c>
      <c r="E329" t="str">
        <f>IF($A329&lt;&gt;"",'All Cases - Enter Cases'!E329,"")</f>
        <v/>
      </c>
      <c r="F329" t="str">
        <f>IF($A329&lt;&gt;"",'All Cases - Enter Cases'!F329,"")</f>
        <v/>
      </c>
      <c r="G329" t="str">
        <f>IF($A329&lt;&gt;"",'All Cases - Enter Cases'!G329,"")</f>
        <v/>
      </c>
      <c r="H329" t="str">
        <f>IF($A329&lt;&gt;"",'All Cases - Enter Cases'!H329,"")</f>
        <v/>
      </c>
      <c r="I329" t="str">
        <f>IF($A329&lt;&gt;"",'All Cases - Enter Cases'!I329,"")</f>
        <v/>
      </c>
      <c r="J329" t="str">
        <f>IF($A329&lt;&gt;"",'All Cases - Enter Cases'!J329,"")</f>
        <v/>
      </c>
      <c r="K329" t="str">
        <f>IF($A329&lt;&gt;"",'All Cases - Enter Cases'!K329,"")</f>
        <v/>
      </c>
      <c r="L329" t="str">
        <f>IF($A329&lt;&gt;"",'All Cases - Enter Cases'!L329,"")</f>
        <v/>
      </c>
      <c r="M329" t="str">
        <f>IF($A329&lt;&gt;"",'All Cases - Enter Cases'!M329,"")</f>
        <v/>
      </c>
    </row>
    <row r="330" spans="1:13" x14ac:dyDescent="0.35">
      <c r="A330" t="str">
        <f>IF('All Cases - Enter Cases'!$F330="KPK",'All Cases - Enter Cases'!A330,"")</f>
        <v/>
      </c>
      <c r="B330" t="str">
        <f>IF($A330&lt;&gt;"",'All Cases - Enter Cases'!B330,"")</f>
        <v/>
      </c>
      <c r="C330" t="str">
        <f>IF($A330&lt;&gt;"",'All Cases - Enter Cases'!C330,"")</f>
        <v/>
      </c>
      <c r="D330" t="str">
        <f>IF($A330&lt;&gt;"",'All Cases - Enter Cases'!D330,"")</f>
        <v/>
      </c>
      <c r="E330" t="str">
        <f>IF($A330&lt;&gt;"",'All Cases - Enter Cases'!E330,"")</f>
        <v/>
      </c>
      <c r="F330" t="str">
        <f>IF($A330&lt;&gt;"",'All Cases - Enter Cases'!F330,"")</f>
        <v/>
      </c>
      <c r="G330" t="str">
        <f>IF($A330&lt;&gt;"",'All Cases - Enter Cases'!G330,"")</f>
        <v/>
      </c>
      <c r="H330" t="str">
        <f>IF($A330&lt;&gt;"",'All Cases - Enter Cases'!H330,"")</f>
        <v/>
      </c>
      <c r="I330" t="str">
        <f>IF($A330&lt;&gt;"",'All Cases - Enter Cases'!I330,"")</f>
        <v/>
      </c>
      <c r="J330" t="str">
        <f>IF($A330&lt;&gt;"",'All Cases - Enter Cases'!J330,"")</f>
        <v/>
      </c>
      <c r="K330" t="str">
        <f>IF($A330&lt;&gt;"",'All Cases - Enter Cases'!K330,"")</f>
        <v/>
      </c>
      <c r="L330" t="str">
        <f>IF($A330&lt;&gt;"",'All Cases - Enter Cases'!L330,"")</f>
        <v/>
      </c>
      <c r="M330" t="str">
        <f>IF($A330&lt;&gt;"",'All Cases - Enter Cases'!M330,"")</f>
        <v/>
      </c>
    </row>
    <row r="331" spans="1:13" x14ac:dyDescent="0.35">
      <c r="A331" t="str">
        <f>IF('All Cases - Enter Cases'!$F331="KPK",'All Cases - Enter Cases'!A331,"")</f>
        <v/>
      </c>
      <c r="B331" t="str">
        <f>IF($A331&lt;&gt;"",'All Cases - Enter Cases'!B331,"")</f>
        <v/>
      </c>
      <c r="C331" t="str">
        <f>IF($A331&lt;&gt;"",'All Cases - Enter Cases'!C331,"")</f>
        <v/>
      </c>
      <c r="D331" t="str">
        <f>IF($A331&lt;&gt;"",'All Cases - Enter Cases'!D331,"")</f>
        <v/>
      </c>
      <c r="E331" t="str">
        <f>IF($A331&lt;&gt;"",'All Cases - Enter Cases'!E331,"")</f>
        <v/>
      </c>
      <c r="F331" t="str">
        <f>IF($A331&lt;&gt;"",'All Cases - Enter Cases'!F331,"")</f>
        <v/>
      </c>
      <c r="G331" t="str">
        <f>IF($A331&lt;&gt;"",'All Cases - Enter Cases'!G331,"")</f>
        <v/>
      </c>
      <c r="H331" t="str">
        <f>IF($A331&lt;&gt;"",'All Cases - Enter Cases'!H331,"")</f>
        <v/>
      </c>
      <c r="I331" t="str">
        <f>IF($A331&lt;&gt;"",'All Cases - Enter Cases'!I331,"")</f>
        <v/>
      </c>
      <c r="J331" t="str">
        <f>IF($A331&lt;&gt;"",'All Cases - Enter Cases'!J331,"")</f>
        <v/>
      </c>
      <c r="K331" t="str">
        <f>IF($A331&lt;&gt;"",'All Cases - Enter Cases'!K331,"")</f>
        <v/>
      </c>
      <c r="L331" t="str">
        <f>IF($A331&lt;&gt;"",'All Cases - Enter Cases'!L331,"")</f>
        <v/>
      </c>
      <c r="M331" t="str">
        <f>IF($A331&lt;&gt;"",'All Cases - Enter Cases'!M331,"")</f>
        <v/>
      </c>
    </row>
    <row r="332" spans="1:13" x14ac:dyDescent="0.35">
      <c r="A332" t="str">
        <f>IF('All Cases - Enter Cases'!$F332="KPK",'All Cases - Enter Cases'!A332,"")</f>
        <v/>
      </c>
      <c r="B332" t="str">
        <f>IF($A332&lt;&gt;"",'All Cases - Enter Cases'!B332,"")</f>
        <v/>
      </c>
      <c r="C332" t="str">
        <f>IF($A332&lt;&gt;"",'All Cases - Enter Cases'!C332,"")</f>
        <v/>
      </c>
      <c r="D332" t="str">
        <f>IF($A332&lt;&gt;"",'All Cases - Enter Cases'!D332,"")</f>
        <v/>
      </c>
      <c r="E332" t="str">
        <f>IF($A332&lt;&gt;"",'All Cases - Enter Cases'!E332,"")</f>
        <v/>
      </c>
      <c r="F332" t="str">
        <f>IF($A332&lt;&gt;"",'All Cases - Enter Cases'!F332,"")</f>
        <v/>
      </c>
      <c r="G332" t="str">
        <f>IF($A332&lt;&gt;"",'All Cases - Enter Cases'!G332,"")</f>
        <v/>
      </c>
      <c r="H332" t="str">
        <f>IF($A332&lt;&gt;"",'All Cases - Enter Cases'!H332,"")</f>
        <v/>
      </c>
      <c r="I332" t="str">
        <f>IF($A332&lt;&gt;"",'All Cases - Enter Cases'!I332,"")</f>
        <v/>
      </c>
      <c r="J332" t="str">
        <f>IF($A332&lt;&gt;"",'All Cases - Enter Cases'!J332,"")</f>
        <v/>
      </c>
      <c r="K332" t="str">
        <f>IF($A332&lt;&gt;"",'All Cases - Enter Cases'!K332,"")</f>
        <v/>
      </c>
      <c r="L332" t="str">
        <f>IF($A332&lt;&gt;"",'All Cases - Enter Cases'!L332,"")</f>
        <v/>
      </c>
      <c r="M332" t="str">
        <f>IF($A332&lt;&gt;"",'All Cases - Enter Cases'!M332,"")</f>
        <v/>
      </c>
    </row>
    <row r="333" spans="1:13" x14ac:dyDescent="0.35">
      <c r="A333" t="str">
        <f>IF('All Cases - Enter Cases'!$F333="KPK",'All Cases - Enter Cases'!A333,"")</f>
        <v/>
      </c>
      <c r="B333" t="str">
        <f>IF($A333&lt;&gt;"",'All Cases - Enter Cases'!B333,"")</f>
        <v/>
      </c>
      <c r="C333" t="str">
        <f>IF($A333&lt;&gt;"",'All Cases - Enter Cases'!C333,"")</f>
        <v/>
      </c>
      <c r="D333" t="str">
        <f>IF($A333&lt;&gt;"",'All Cases - Enter Cases'!D333,"")</f>
        <v/>
      </c>
      <c r="E333" t="str">
        <f>IF($A333&lt;&gt;"",'All Cases - Enter Cases'!E333,"")</f>
        <v/>
      </c>
      <c r="F333" t="str">
        <f>IF($A333&lt;&gt;"",'All Cases - Enter Cases'!F333,"")</f>
        <v/>
      </c>
      <c r="G333" t="str">
        <f>IF($A333&lt;&gt;"",'All Cases - Enter Cases'!G333,"")</f>
        <v/>
      </c>
      <c r="H333" t="str">
        <f>IF($A333&lt;&gt;"",'All Cases - Enter Cases'!H333,"")</f>
        <v/>
      </c>
      <c r="I333" t="str">
        <f>IF($A333&lt;&gt;"",'All Cases - Enter Cases'!I333,"")</f>
        <v/>
      </c>
      <c r="J333" t="str">
        <f>IF($A333&lt;&gt;"",'All Cases - Enter Cases'!J333,"")</f>
        <v/>
      </c>
      <c r="K333" t="str">
        <f>IF($A333&lt;&gt;"",'All Cases - Enter Cases'!K333,"")</f>
        <v/>
      </c>
      <c r="L333" t="str">
        <f>IF($A333&lt;&gt;"",'All Cases - Enter Cases'!L333,"")</f>
        <v/>
      </c>
      <c r="M333" t="str">
        <f>IF($A333&lt;&gt;"",'All Cases - Enter Cases'!M333,"")</f>
        <v/>
      </c>
    </row>
    <row r="334" spans="1:13" x14ac:dyDescent="0.35">
      <c r="A334" t="str">
        <f>IF('All Cases - Enter Cases'!$F334="KPK",'All Cases - Enter Cases'!A334,"")</f>
        <v/>
      </c>
      <c r="B334" t="str">
        <f>IF($A334&lt;&gt;"",'All Cases - Enter Cases'!B334,"")</f>
        <v/>
      </c>
      <c r="C334" t="str">
        <f>IF($A334&lt;&gt;"",'All Cases - Enter Cases'!C334,"")</f>
        <v/>
      </c>
      <c r="D334" t="str">
        <f>IF($A334&lt;&gt;"",'All Cases - Enter Cases'!D334,"")</f>
        <v/>
      </c>
      <c r="E334" t="str">
        <f>IF($A334&lt;&gt;"",'All Cases - Enter Cases'!E334,"")</f>
        <v/>
      </c>
      <c r="F334" t="str">
        <f>IF($A334&lt;&gt;"",'All Cases - Enter Cases'!F334,"")</f>
        <v/>
      </c>
      <c r="G334" t="str">
        <f>IF($A334&lt;&gt;"",'All Cases - Enter Cases'!G334,"")</f>
        <v/>
      </c>
      <c r="H334" t="str">
        <f>IF($A334&lt;&gt;"",'All Cases - Enter Cases'!H334,"")</f>
        <v/>
      </c>
      <c r="I334" t="str">
        <f>IF($A334&lt;&gt;"",'All Cases - Enter Cases'!I334,"")</f>
        <v/>
      </c>
      <c r="J334" t="str">
        <f>IF($A334&lt;&gt;"",'All Cases - Enter Cases'!J334,"")</f>
        <v/>
      </c>
      <c r="K334" t="str">
        <f>IF($A334&lt;&gt;"",'All Cases - Enter Cases'!K334,"")</f>
        <v/>
      </c>
      <c r="L334" t="str">
        <f>IF($A334&lt;&gt;"",'All Cases - Enter Cases'!L334,"")</f>
        <v/>
      </c>
      <c r="M334" t="str">
        <f>IF($A334&lt;&gt;"",'All Cases - Enter Cases'!M334,"")</f>
        <v/>
      </c>
    </row>
    <row r="335" spans="1:13" x14ac:dyDescent="0.35">
      <c r="A335" t="str">
        <f>IF('All Cases - Enter Cases'!$F335="KPK",'All Cases - Enter Cases'!A335,"")</f>
        <v/>
      </c>
      <c r="B335" t="str">
        <f>IF($A335&lt;&gt;"",'All Cases - Enter Cases'!B335,"")</f>
        <v/>
      </c>
      <c r="C335" t="str">
        <f>IF($A335&lt;&gt;"",'All Cases - Enter Cases'!C335,"")</f>
        <v/>
      </c>
      <c r="D335" t="str">
        <f>IF($A335&lt;&gt;"",'All Cases - Enter Cases'!D335,"")</f>
        <v/>
      </c>
      <c r="E335" t="str">
        <f>IF($A335&lt;&gt;"",'All Cases - Enter Cases'!E335,"")</f>
        <v/>
      </c>
      <c r="F335" t="str">
        <f>IF($A335&lt;&gt;"",'All Cases - Enter Cases'!F335,"")</f>
        <v/>
      </c>
      <c r="G335" t="str">
        <f>IF($A335&lt;&gt;"",'All Cases - Enter Cases'!G335,"")</f>
        <v/>
      </c>
      <c r="H335" t="str">
        <f>IF($A335&lt;&gt;"",'All Cases - Enter Cases'!H335,"")</f>
        <v/>
      </c>
      <c r="I335" t="str">
        <f>IF($A335&lt;&gt;"",'All Cases - Enter Cases'!I335,"")</f>
        <v/>
      </c>
      <c r="J335" t="str">
        <f>IF($A335&lt;&gt;"",'All Cases - Enter Cases'!J335,"")</f>
        <v/>
      </c>
      <c r="K335" t="str">
        <f>IF($A335&lt;&gt;"",'All Cases - Enter Cases'!K335,"")</f>
        <v/>
      </c>
      <c r="L335" t="str">
        <f>IF($A335&lt;&gt;"",'All Cases - Enter Cases'!L335,"")</f>
        <v/>
      </c>
      <c r="M335" t="str">
        <f>IF($A335&lt;&gt;"",'All Cases - Enter Cases'!M335,"")</f>
        <v/>
      </c>
    </row>
    <row r="336" spans="1:13" x14ac:dyDescent="0.35">
      <c r="A336" t="str">
        <f>IF('All Cases - Enter Cases'!$F336="KPK",'All Cases - Enter Cases'!A336,"")</f>
        <v/>
      </c>
      <c r="B336" t="str">
        <f>IF($A336&lt;&gt;"",'All Cases - Enter Cases'!B336,"")</f>
        <v/>
      </c>
      <c r="C336" t="str">
        <f>IF($A336&lt;&gt;"",'All Cases - Enter Cases'!C336,"")</f>
        <v/>
      </c>
      <c r="D336" t="str">
        <f>IF($A336&lt;&gt;"",'All Cases - Enter Cases'!D336,"")</f>
        <v/>
      </c>
      <c r="E336" t="str">
        <f>IF($A336&lt;&gt;"",'All Cases - Enter Cases'!E336,"")</f>
        <v/>
      </c>
      <c r="F336" t="str">
        <f>IF($A336&lt;&gt;"",'All Cases - Enter Cases'!F336,"")</f>
        <v/>
      </c>
      <c r="G336" t="str">
        <f>IF($A336&lt;&gt;"",'All Cases - Enter Cases'!G336,"")</f>
        <v/>
      </c>
      <c r="H336" t="str">
        <f>IF($A336&lt;&gt;"",'All Cases - Enter Cases'!H336,"")</f>
        <v/>
      </c>
      <c r="I336" t="str">
        <f>IF($A336&lt;&gt;"",'All Cases - Enter Cases'!I336,"")</f>
        <v/>
      </c>
      <c r="J336" t="str">
        <f>IF($A336&lt;&gt;"",'All Cases - Enter Cases'!J336,"")</f>
        <v/>
      </c>
      <c r="K336" t="str">
        <f>IF($A336&lt;&gt;"",'All Cases - Enter Cases'!K336,"")</f>
        <v/>
      </c>
      <c r="L336" t="str">
        <f>IF($A336&lt;&gt;"",'All Cases - Enter Cases'!L336,"")</f>
        <v/>
      </c>
      <c r="M336" t="str">
        <f>IF($A336&lt;&gt;"",'All Cases - Enter Cases'!M336,"")</f>
        <v/>
      </c>
    </row>
    <row r="337" spans="1:13" x14ac:dyDescent="0.35">
      <c r="A337" t="str">
        <f>IF('All Cases - Enter Cases'!$F337="KPK",'All Cases - Enter Cases'!A337,"")</f>
        <v/>
      </c>
      <c r="B337" t="str">
        <f>IF($A337&lt;&gt;"",'All Cases - Enter Cases'!B337,"")</f>
        <v/>
      </c>
      <c r="C337" t="str">
        <f>IF($A337&lt;&gt;"",'All Cases - Enter Cases'!C337,"")</f>
        <v/>
      </c>
      <c r="D337" t="str">
        <f>IF($A337&lt;&gt;"",'All Cases - Enter Cases'!D337,"")</f>
        <v/>
      </c>
      <c r="E337" t="str">
        <f>IF($A337&lt;&gt;"",'All Cases - Enter Cases'!E337,"")</f>
        <v/>
      </c>
      <c r="F337" t="str">
        <f>IF($A337&lt;&gt;"",'All Cases - Enter Cases'!F337,"")</f>
        <v/>
      </c>
      <c r="G337" t="str">
        <f>IF($A337&lt;&gt;"",'All Cases - Enter Cases'!G337,"")</f>
        <v/>
      </c>
      <c r="H337" t="str">
        <f>IF($A337&lt;&gt;"",'All Cases - Enter Cases'!H337,"")</f>
        <v/>
      </c>
      <c r="I337" t="str">
        <f>IF($A337&lt;&gt;"",'All Cases - Enter Cases'!I337,"")</f>
        <v/>
      </c>
      <c r="J337" t="str">
        <f>IF($A337&lt;&gt;"",'All Cases - Enter Cases'!J337,"")</f>
        <v/>
      </c>
      <c r="K337" t="str">
        <f>IF($A337&lt;&gt;"",'All Cases - Enter Cases'!K337,"")</f>
        <v/>
      </c>
      <c r="L337" t="str">
        <f>IF($A337&lt;&gt;"",'All Cases - Enter Cases'!L337,"")</f>
        <v/>
      </c>
      <c r="M337" t="str">
        <f>IF($A337&lt;&gt;"",'All Cases - Enter Cases'!M337,"")</f>
        <v/>
      </c>
    </row>
    <row r="338" spans="1:13" x14ac:dyDescent="0.35">
      <c r="A338" t="str">
        <f>IF('All Cases - Enter Cases'!$F338="KPK",'All Cases - Enter Cases'!A338,"")</f>
        <v/>
      </c>
      <c r="B338" t="str">
        <f>IF($A338&lt;&gt;"",'All Cases - Enter Cases'!B338,"")</f>
        <v/>
      </c>
      <c r="C338" t="str">
        <f>IF($A338&lt;&gt;"",'All Cases - Enter Cases'!C338,"")</f>
        <v/>
      </c>
      <c r="D338" t="str">
        <f>IF($A338&lt;&gt;"",'All Cases - Enter Cases'!D338,"")</f>
        <v/>
      </c>
      <c r="E338" t="str">
        <f>IF($A338&lt;&gt;"",'All Cases - Enter Cases'!E338,"")</f>
        <v/>
      </c>
      <c r="F338" t="str">
        <f>IF($A338&lt;&gt;"",'All Cases - Enter Cases'!F338,"")</f>
        <v/>
      </c>
      <c r="G338" t="str">
        <f>IF($A338&lt;&gt;"",'All Cases - Enter Cases'!G338,"")</f>
        <v/>
      </c>
      <c r="H338" t="str">
        <f>IF($A338&lt;&gt;"",'All Cases - Enter Cases'!H338,"")</f>
        <v/>
      </c>
      <c r="I338" t="str">
        <f>IF($A338&lt;&gt;"",'All Cases - Enter Cases'!I338,"")</f>
        <v/>
      </c>
      <c r="J338" t="str">
        <f>IF($A338&lt;&gt;"",'All Cases - Enter Cases'!J338,"")</f>
        <v/>
      </c>
      <c r="K338" t="str">
        <f>IF($A338&lt;&gt;"",'All Cases - Enter Cases'!K338,"")</f>
        <v/>
      </c>
      <c r="L338" t="str">
        <f>IF($A338&lt;&gt;"",'All Cases - Enter Cases'!L338,"")</f>
        <v/>
      </c>
      <c r="M338" t="str">
        <f>IF($A338&lt;&gt;"",'All Cases - Enter Cases'!M338,"")</f>
        <v/>
      </c>
    </row>
    <row r="339" spans="1:13" x14ac:dyDescent="0.35">
      <c r="A339" t="str">
        <f>IF('All Cases - Enter Cases'!$F339="KPK",'All Cases - Enter Cases'!A339,"")</f>
        <v/>
      </c>
      <c r="B339" t="str">
        <f>IF($A339&lt;&gt;"",'All Cases - Enter Cases'!B339,"")</f>
        <v/>
      </c>
      <c r="C339" t="str">
        <f>IF($A339&lt;&gt;"",'All Cases - Enter Cases'!C339,"")</f>
        <v/>
      </c>
      <c r="D339" t="str">
        <f>IF($A339&lt;&gt;"",'All Cases - Enter Cases'!D339,"")</f>
        <v/>
      </c>
      <c r="E339" t="str">
        <f>IF($A339&lt;&gt;"",'All Cases - Enter Cases'!E339,"")</f>
        <v/>
      </c>
      <c r="F339" t="str">
        <f>IF($A339&lt;&gt;"",'All Cases - Enter Cases'!F339,"")</f>
        <v/>
      </c>
      <c r="G339" t="str">
        <f>IF($A339&lt;&gt;"",'All Cases - Enter Cases'!G339,"")</f>
        <v/>
      </c>
      <c r="H339" t="str">
        <f>IF($A339&lt;&gt;"",'All Cases - Enter Cases'!H339,"")</f>
        <v/>
      </c>
      <c r="I339" t="str">
        <f>IF($A339&lt;&gt;"",'All Cases - Enter Cases'!I339,"")</f>
        <v/>
      </c>
      <c r="J339" t="str">
        <f>IF($A339&lt;&gt;"",'All Cases - Enter Cases'!J339,"")</f>
        <v/>
      </c>
      <c r="K339" t="str">
        <f>IF($A339&lt;&gt;"",'All Cases - Enter Cases'!K339,"")</f>
        <v/>
      </c>
      <c r="L339" t="str">
        <f>IF($A339&lt;&gt;"",'All Cases - Enter Cases'!L339,"")</f>
        <v/>
      </c>
      <c r="M339" t="str">
        <f>IF($A339&lt;&gt;"",'All Cases - Enter Cases'!M339,"")</f>
        <v/>
      </c>
    </row>
    <row r="340" spans="1:13" x14ac:dyDescent="0.35">
      <c r="A340" t="str">
        <f>IF('All Cases - Enter Cases'!$F340="KPK",'All Cases - Enter Cases'!A340,"")</f>
        <v/>
      </c>
      <c r="B340" t="str">
        <f>IF($A340&lt;&gt;"",'All Cases - Enter Cases'!B340,"")</f>
        <v/>
      </c>
      <c r="C340" t="str">
        <f>IF($A340&lt;&gt;"",'All Cases - Enter Cases'!C340,"")</f>
        <v/>
      </c>
      <c r="D340" t="str">
        <f>IF($A340&lt;&gt;"",'All Cases - Enter Cases'!D340,"")</f>
        <v/>
      </c>
      <c r="E340" t="str">
        <f>IF($A340&lt;&gt;"",'All Cases - Enter Cases'!E340,"")</f>
        <v/>
      </c>
      <c r="F340" t="str">
        <f>IF($A340&lt;&gt;"",'All Cases - Enter Cases'!F340,"")</f>
        <v/>
      </c>
      <c r="G340" t="str">
        <f>IF($A340&lt;&gt;"",'All Cases - Enter Cases'!G340,"")</f>
        <v/>
      </c>
      <c r="H340" t="str">
        <f>IF($A340&lt;&gt;"",'All Cases - Enter Cases'!H340,"")</f>
        <v/>
      </c>
      <c r="I340" t="str">
        <f>IF($A340&lt;&gt;"",'All Cases - Enter Cases'!I340,"")</f>
        <v/>
      </c>
      <c r="J340" t="str">
        <f>IF($A340&lt;&gt;"",'All Cases - Enter Cases'!J340,"")</f>
        <v/>
      </c>
      <c r="K340" t="str">
        <f>IF($A340&lt;&gt;"",'All Cases - Enter Cases'!K340,"")</f>
        <v/>
      </c>
      <c r="L340" t="str">
        <f>IF($A340&lt;&gt;"",'All Cases - Enter Cases'!L340,"")</f>
        <v/>
      </c>
      <c r="M340" t="str">
        <f>IF($A340&lt;&gt;"",'All Cases - Enter Cases'!M340,"")</f>
        <v/>
      </c>
    </row>
    <row r="341" spans="1:13" x14ac:dyDescent="0.35">
      <c r="A341" t="str">
        <f>IF('All Cases - Enter Cases'!$F341="KPK",'All Cases - Enter Cases'!A341,"")</f>
        <v/>
      </c>
      <c r="B341" t="str">
        <f>IF($A341&lt;&gt;"",'All Cases - Enter Cases'!B341,"")</f>
        <v/>
      </c>
      <c r="C341" t="str">
        <f>IF($A341&lt;&gt;"",'All Cases - Enter Cases'!C341,"")</f>
        <v/>
      </c>
      <c r="D341" t="str">
        <f>IF($A341&lt;&gt;"",'All Cases - Enter Cases'!D341,"")</f>
        <v/>
      </c>
      <c r="E341" t="str">
        <f>IF($A341&lt;&gt;"",'All Cases - Enter Cases'!E341,"")</f>
        <v/>
      </c>
      <c r="F341" t="str">
        <f>IF($A341&lt;&gt;"",'All Cases - Enter Cases'!F341,"")</f>
        <v/>
      </c>
      <c r="G341" t="str">
        <f>IF($A341&lt;&gt;"",'All Cases - Enter Cases'!G341,"")</f>
        <v/>
      </c>
      <c r="H341" t="str">
        <f>IF($A341&lt;&gt;"",'All Cases - Enter Cases'!H341,"")</f>
        <v/>
      </c>
      <c r="I341" t="str">
        <f>IF($A341&lt;&gt;"",'All Cases - Enter Cases'!I341,"")</f>
        <v/>
      </c>
      <c r="J341" t="str">
        <f>IF($A341&lt;&gt;"",'All Cases - Enter Cases'!J341,"")</f>
        <v/>
      </c>
      <c r="K341" t="str">
        <f>IF($A341&lt;&gt;"",'All Cases - Enter Cases'!K341,"")</f>
        <v/>
      </c>
      <c r="L341" t="str">
        <f>IF($A341&lt;&gt;"",'All Cases - Enter Cases'!L341,"")</f>
        <v/>
      </c>
      <c r="M341" t="str">
        <f>IF($A341&lt;&gt;"",'All Cases - Enter Cases'!M341,"")</f>
        <v/>
      </c>
    </row>
    <row r="342" spans="1:13" x14ac:dyDescent="0.35">
      <c r="A342" t="str">
        <f>IF('All Cases - Enter Cases'!$F342="KPK",'All Cases - Enter Cases'!A342,"")</f>
        <v/>
      </c>
      <c r="B342" t="str">
        <f>IF($A342&lt;&gt;"",'All Cases - Enter Cases'!B342,"")</f>
        <v/>
      </c>
      <c r="C342" t="str">
        <f>IF($A342&lt;&gt;"",'All Cases - Enter Cases'!C342,"")</f>
        <v/>
      </c>
      <c r="D342" t="str">
        <f>IF($A342&lt;&gt;"",'All Cases - Enter Cases'!D342,"")</f>
        <v/>
      </c>
      <c r="E342" t="str">
        <f>IF($A342&lt;&gt;"",'All Cases - Enter Cases'!E342,"")</f>
        <v/>
      </c>
      <c r="F342" t="str">
        <f>IF($A342&lt;&gt;"",'All Cases - Enter Cases'!F342,"")</f>
        <v/>
      </c>
      <c r="G342" t="str">
        <f>IF($A342&lt;&gt;"",'All Cases - Enter Cases'!G342,"")</f>
        <v/>
      </c>
      <c r="H342" t="str">
        <f>IF($A342&lt;&gt;"",'All Cases - Enter Cases'!H342,"")</f>
        <v/>
      </c>
      <c r="I342" t="str">
        <f>IF($A342&lt;&gt;"",'All Cases - Enter Cases'!I342,"")</f>
        <v/>
      </c>
      <c r="J342" t="str">
        <f>IF($A342&lt;&gt;"",'All Cases - Enter Cases'!J342,"")</f>
        <v/>
      </c>
      <c r="K342" t="str">
        <f>IF($A342&lt;&gt;"",'All Cases - Enter Cases'!K342,"")</f>
        <v/>
      </c>
      <c r="L342" t="str">
        <f>IF($A342&lt;&gt;"",'All Cases - Enter Cases'!L342,"")</f>
        <v/>
      </c>
      <c r="M342" t="str">
        <f>IF($A342&lt;&gt;"",'All Cases - Enter Cases'!M342,"")</f>
        <v/>
      </c>
    </row>
    <row r="343" spans="1:13" x14ac:dyDescent="0.35">
      <c r="A343" t="str">
        <f>IF('All Cases - Enter Cases'!$F343="KPK",'All Cases - Enter Cases'!A343,"")</f>
        <v/>
      </c>
      <c r="B343" t="str">
        <f>IF($A343&lt;&gt;"",'All Cases - Enter Cases'!B343,"")</f>
        <v/>
      </c>
      <c r="C343" t="str">
        <f>IF($A343&lt;&gt;"",'All Cases - Enter Cases'!C343,"")</f>
        <v/>
      </c>
      <c r="D343" t="str">
        <f>IF($A343&lt;&gt;"",'All Cases - Enter Cases'!D343,"")</f>
        <v/>
      </c>
      <c r="E343" t="str">
        <f>IF($A343&lt;&gt;"",'All Cases - Enter Cases'!E343,"")</f>
        <v/>
      </c>
      <c r="F343" t="str">
        <f>IF($A343&lt;&gt;"",'All Cases - Enter Cases'!F343,"")</f>
        <v/>
      </c>
      <c r="G343" t="str">
        <f>IF($A343&lt;&gt;"",'All Cases - Enter Cases'!G343,"")</f>
        <v/>
      </c>
      <c r="H343" t="str">
        <f>IF($A343&lt;&gt;"",'All Cases - Enter Cases'!H343,"")</f>
        <v/>
      </c>
      <c r="I343" t="str">
        <f>IF($A343&lt;&gt;"",'All Cases - Enter Cases'!I343,"")</f>
        <v/>
      </c>
      <c r="J343" t="str">
        <f>IF($A343&lt;&gt;"",'All Cases - Enter Cases'!J343,"")</f>
        <v/>
      </c>
      <c r="K343" t="str">
        <f>IF($A343&lt;&gt;"",'All Cases - Enter Cases'!K343,"")</f>
        <v/>
      </c>
      <c r="L343" t="str">
        <f>IF($A343&lt;&gt;"",'All Cases - Enter Cases'!L343,"")</f>
        <v/>
      </c>
      <c r="M343" t="str">
        <f>IF($A343&lt;&gt;"",'All Cases - Enter Cases'!M343,"")</f>
        <v/>
      </c>
    </row>
    <row r="344" spans="1:13" x14ac:dyDescent="0.35">
      <c r="A344" t="str">
        <f>IF('All Cases - Enter Cases'!$F344="KPK",'All Cases - Enter Cases'!A344,"")</f>
        <v/>
      </c>
      <c r="B344" t="str">
        <f>IF($A344&lt;&gt;"",'All Cases - Enter Cases'!B344,"")</f>
        <v/>
      </c>
      <c r="C344" t="str">
        <f>IF($A344&lt;&gt;"",'All Cases - Enter Cases'!C344,"")</f>
        <v/>
      </c>
      <c r="D344" t="str">
        <f>IF($A344&lt;&gt;"",'All Cases - Enter Cases'!D344,"")</f>
        <v/>
      </c>
      <c r="E344" t="str">
        <f>IF($A344&lt;&gt;"",'All Cases - Enter Cases'!E344,"")</f>
        <v/>
      </c>
      <c r="F344" t="str">
        <f>IF($A344&lt;&gt;"",'All Cases - Enter Cases'!F344,"")</f>
        <v/>
      </c>
      <c r="G344" t="str">
        <f>IF($A344&lt;&gt;"",'All Cases - Enter Cases'!G344,"")</f>
        <v/>
      </c>
      <c r="H344" t="str">
        <f>IF($A344&lt;&gt;"",'All Cases - Enter Cases'!H344,"")</f>
        <v/>
      </c>
      <c r="I344" t="str">
        <f>IF($A344&lt;&gt;"",'All Cases - Enter Cases'!I344,"")</f>
        <v/>
      </c>
      <c r="J344" t="str">
        <f>IF($A344&lt;&gt;"",'All Cases - Enter Cases'!J344,"")</f>
        <v/>
      </c>
      <c r="K344" t="str">
        <f>IF($A344&lt;&gt;"",'All Cases - Enter Cases'!K344,"")</f>
        <v/>
      </c>
      <c r="L344" t="str">
        <f>IF($A344&lt;&gt;"",'All Cases - Enter Cases'!L344,"")</f>
        <v/>
      </c>
      <c r="M344" t="str">
        <f>IF($A344&lt;&gt;"",'All Cases - Enter Cases'!M344,"")</f>
        <v/>
      </c>
    </row>
    <row r="345" spans="1:13" x14ac:dyDescent="0.35">
      <c r="A345" t="str">
        <f>IF('All Cases - Enter Cases'!$F345="KPK",'All Cases - Enter Cases'!A345,"")</f>
        <v/>
      </c>
      <c r="B345" t="str">
        <f>IF($A345&lt;&gt;"",'All Cases - Enter Cases'!B345,"")</f>
        <v/>
      </c>
      <c r="C345" t="str">
        <f>IF($A345&lt;&gt;"",'All Cases - Enter Cases'!C345,"")</f>
        <v/>
      </c>
      <c r="D345" t="str">
        <f>IF($A345&lt;&gt;"",'All Cases - Enter Cases'!D345,"")</f>
        <v/>
      </c>
      <c r="E345" t="str">
        <f>IF($A345&lt;&gt;"",'All Cases - Enter Cases'!E345,"")</f>
        <v/>
      </c>
      <c r="F345" t="str">
        <f>IF($A345&lt;&gt;"",'All Cases - Enter Cases'!F345,"")</f>
        <v/>
      </c>
      <c r="G345" t="str">
        <f>IF($A345&lt;&gt;"",'All Cases - Enter Cases'!G345,"")</f>
        <v/>
      </c>
      <c r="H345" t="str">
        <f>IF($A345&lt;&gt;"",'All Cases - Enter Cases'!H345,"")</f>
        <v/>
      </c>
      <c r="I345" t="str">
        <f>IF($A345&lt;&gt;"",'All Cases - Enter Cases'!I345,"")</f>
        <v/>
      </c>
      <c r="J345" t="str">
        <f>IF($A345&lt;&gt;"",'All Cases - Enter Cases'!J345,"")</f>
        <v/>
      </c>
      <c r="K345" t="str">
        <f>IF($A345&lt;&gt;"",'All Cases - Enter Cases'!K345,"")</f>
        <v/>
      </c>
      <c r="L345" t="str">
        <f>IF($A345&lt;&gt;"",'All Cases - Enter Cases'!L345,"")</f>
        <v/>
      </c>
      <c r="M345" t="str">
        <f>IF($A345&lt;&gt;"",'All Cases - Enter Cases'!M345,"")</f>
        <v/>
      </c>
    </row>
    <row r="346" spans="1:13" x14ac:dyDescent="0.35">
      <c r="A346" t="str">
        <f>IF('All Cases - Enter Cases'!$F346="KPK",'All Cases - Enter Cases'!A346,"")</f>
        <v/>
      </c>
      <c r="B346" t="str">
        <f>IF($A346&lt;&gt;"",'All Cases - Enter Cases'!B346,"")</f>
        <v/>
      </c>
      <c r="C346" t="str">
        <f>IF($A346&lt;&gt;"",'All Cases - Enter Cases'!C346,"")</f>
        <v/>
      </c>
      <c r="D346" t="str">
        <f>IF($A346&lt;&gt;"",'All Cases - Enter Cases'!D346,"")</f>
        <v/>
      </c>
      <c r="E346" t="str">
        <f>IF($A346&lt;&gt;"",'All Cases - Enter Cases'!E346,"")</f>
        <v/>
      </c>
      <c r="F346" t="str">
        <f>IF($A346&lt;&gt;"",'All Cases - Enter Cases'!F346,"")</f>
        <v/>
      </c>
      <c r="G346" t="str">
        <f>IF($A346&lt;&gt;"",'All Cases - Enter Cases'!G346,"")</f>
        <v/>
      </c>
      <c r="H346" t="str">
        <f>IF($A346&lt;&gt;"",'All Cases - Enter Cases'!H346,"")</f>
        <v/>
      </c>
      <c r="I346" t="str">
        <f>IF($A346&lt;&gt;"",'All Cases - Enter Cases'!I346,"")</f>
        <v/>
      </c>
      <c r="J346" t="str">
        <f>IF($A346&lt;&gt;"",'All Cases - Enter Cases'!J346,"")</f>
        <v/>
      </c>
      <c r="K346" t="str">
        <f>IF($A346&lt;&gt;"",'All Cases - Enter Cases'!K346,"")</f>
        <v/>
      </c>
      <c r="L346" t="str">
        <f>IF($A346&lt;&gt;"",'All Cases - Enter Cases'!L346,"")</f>
        <v/>
      </c>
      <c r="M346" t="str">
        <f>IF($A346&lt;&gt;"",'All Cases - Enter Cases'!M346,"")</f>
        <v/>
      </c>
    </row>
    <row r="347" spans="1:13" x14ac:dyDescent="0.35">
      <c r="A347" t="str">
        <f>IF('All Cases - Enter Cases'!$F347="KPK",'All Cases - Enter Cases'!A347,"")</f>
        <v/>
      </c>
      <c r="B347" t="str">
        <f>IF($A347&lt;&gt;"",'All Cases - Enter Cases'!B347,"")</f>
        <v/>
      </c>
      <c r="C347" t="str">
        <f>IF($A347&lt;&gt;"",'All Cases - Enter Cases'!C347,"")</f>
        <v/>
      </c>
      <c r="D347" t="str">
        <f>IF($A347&lt;&gt;"",'All Cases - Enter Cases'!D347,"")</f>
        <v/>
      </c>
      <c r="E347" t="str">
        <f>IF($A347&lt;&gt;"",'All Cases - Enter Cases'!E347,"")</f>
        <v/>
      </c>
      <c r="F347" t="str">
        <f>IF($A347&lt;&gt;"",'All Cases - Enter Cases'!F347,"")</f>
        <v/>
      </c>
      <c r="G347" t="str">
        <f>IF($A347&lt;&gt;"",'All Cases - Enter Cases'!G347,"")</f>
        <v/>
      </c>
      <c r="H347" t="str">
        <f>IF($A347&lt;&gt;"",'All Cases - Enter Cases'!H347,"")</f>
        <v/>
      </c>
      <c r="I347" t="str">
        <f>IF($A347&lt;&gt;"",'All Cases - Enter Cases'!I347,"")</f>
        <v/>
      </c>
      <c r="J347" t="str">
        <f>IF($A347&lt;&gt;"",'All Cases - Enter Cases'!J347,"")</f>
        <v/>
      </c>
      <c r="K347" t="str">
        <f>IF($A347&lt;&gt;"",'All Cases - Enter Cases'!K347,"")</f>
        <v/>
      </c>
      <c r="L347" t="str">
        <f>IF($A347&lt;&gt;"",'All Cases - Enter Cases'!L347,"")</f>
        <v/>
      </c>
      <c r="M347" t="str">
        <f>IF($A347&lt;&gt;"",'All Cases - Enter Cases'!M347,"")</f>
        <v/>
      </c>
    </row>
    <row r="348" spans="1:13" x14ac:dyDescent="0.35">
      <c r="A348" t="str">
        <f>IF('All Cases - Enter Cases'!$F348="KPK",'All Cases - Enter Cases'!A348,"")</f>
        <v/>
      </c>
      <c r="B348" t="str">
        <f>IF($A348&lt;&gt;"",'All Cases - Enter Cases'!B348,"")</f>
        <v/>
      </c>
      <c r="C348" t="str">
        <f>IF($A348&lt;&gt;"",'All Cases - Enter Cases'!C348,"")</f>
        <v/>
      </c>
      <c r="D348" t="str">
        <f>IF($A348&lt;&gt;"",'All Cases - Enter Cases'!D348,"")</f>
        <v/>
      </c>
      <c r="E348" t="str">
        <f>IF($A348&lt;&gt;"",'All Cases - Enter Cases'!E348,"")</f>
        <v/>
      </c>
      <c r="F348" t="str">
        <f>IF($A348&lt;&gt;"",'All Cases - Enter Cases'!F348,"")</f>
        <v/>
      </c>
      <c r="G348" t="str">
        <f>IF($A348&lt;&gt;"",'All Cases - Enter Cases'!G348,"")</f>
        <v/>
      </c>
      <c r="H348" t="str">
        <f>IF($A348&lt;&gt;"",'All Cases - Enter Cases'!H348,"")</f>
        <v/>
      </c>
      <c r="I348" t="str">
        <f>IF($A348&lt;&gt;"",'All Cases - Enter Cases'!I348,"")</f>
        <v/>
      </c>
      <c r="J348" t="str">
        <f>IF($A348&lt;&gt;"",'All Cases - Enter Cases'!J348,"")</f>
        <v/>
      </c>
      <c r="K348" t="str">
        <f>IF($A348&lt;&gt;"",'All Cases - Enter Cases'!K348,"")</f>
        <v/>
      </c>
      <c r="L348" t="str">
        <f>IF($A348&lt;&gt;"",'All Cases - Enter Cases'!L348,"")</f>
        <v/>
      </c>
      <c r="M348" t="str">
        <f>IF($A348&lt;&gt;"",'All Cases - Enter Cases'!M348,"")</f>
        <v/>
      </c>
    </row>
    <row r="349" spans="1:13" x14ac:dyDescent="0.35">
      <c r="A349" t="str">
        <f>IF('All Cases - Enter Cases'!$F349="KPK",'All Cases - Enter Cases'!A349,"")</f>
        <v/>
      </c>
      <c r="B349" t="str">
        <f>IF($A349&lt;&gt;"",'All Cases - Enter Cases'!B349,"")</f>
        <v/>
      </c>
      <c r="C349" t="str">
        <f>IF($A349&lt;&gt;"",'All Cases - Enter Cases'!C349,"")</f>
        <v/>
      </c>
      <c r="D349" t="str">
        <f>IF($A349&lt;&gt;"",'All Cases - Enter Cases'!D349,"")</f>
        <v/>
      </c>
      <c r="E349" t="str">
        <f>IF($A349&lt;&gt;"",'All Cases - Enter Cases'!E349,"")</f>
        <v/>
      </c>
      <c r="F349" t="str">
        <f>IF($A349&lt;&gt;"",'All Cases - Enter Cases'!F349,"")</f>
        <v/>
      </c>
      <c r="G349" t="str">
        <f>IF($A349&lt;&gt;"",'All Cases - Enter Cases'!G349,"")</f>
        <v/>
      </c>
      <c r="H349" t="str">
        <f>IF($A349&lt;&gt;"",'All Cases - Enter Cases'!H349,"")</f>
        <v/>
      </c>
      <c r="I349" t="str">
        <f>IF($A349&lt;&gt;"",'All Cases - Enter Cases'!I349,"")</f>
        <v/>
      </c>
      <c r="J349" t="str">
        <f>IF($A349&lt;&gt;"",'All Cases - Enter Cases'!J349,"")</f>
        <v/>
      </c>
      <c r="K349" t="str">
        <f>IF($A349&lt;&gt;"",'All Cases - Enter Cases'!K349,"")</f>
        <v/>
      </c>
      <c r="L349" t="str">
        <f>IF($A349&lt;&gt;"",'All Cases - Enter Cases'!L349,"")</f>
        <v/>
      </c>
      <c r="M349" t="str">
        <f>IF($A349&lt;&gt;"",'All Cases - Enter Cases'!M349,"")</f>
        <v/>
      </c>
    </row>
    <row r="350" spans="1:13" x14ac:dyDescent="0.35">
      <c r="A350" t="str">
        <f>IF('All Cases - Enter Cases'!$F350="KPK",'All Cases - Enter Cases'!A350,"")</f>
        <v/>
      </c>
      <c r="B350" t="str">
        <f>IF($A350&lt;&gt;"",'All Cases - Enter Cases'!B350,"")</f>
        <v/>
      </c>
      <c r="C350" t="str">
        <f>IF($A350&lt;&gt;"",'All Cases - Enter Cases'!C350,"")</f>
        <v/>
      </c>
      <c r="D350" t="str">
        <f>IF($A350&lt;&gt;"",'All Cases - Enter Cases'!D350,"")</f>
        <v/>
      </c>
      <c r="E350" t="str">
        <f>IF($A350&lt;&gt;"",'All Cases - Enter Cases'!E350,"")</f>
        <v/>
      </c>
      <c r="F350" t="str">
        <f>IF($A350&lt;&gt;"",'All Cases - Enter Cases'!F350,"")</f>
        <v/>
      </c>
      <c r="G350" t="str">
        <f>IF($A350&lt;&gt;"",'All Cases - Enter Cases'!G350,"")</f>
        <v/>
      </c>
      <c r="H350" t="str">
        <f>IF($A350&lt;&gt;"",'All Cases - Enter Cases'!H350,"")</f>
        <v/>
      </c>
      <c r="I350" t="str">
        <f>IF($A350&lt;&gt;"",'All Cases - Enter Cases'!I350,"")</f>
        <v/>
      </c>
      <c r="J350" t="str">
        <f>IF($A350&lt;&gt;"",'All Cases - Enter Cases'!J350,"")</f>
        <v/>
      </c>
      <c r="K350" t="str">
        <f>IF($A350&lt;&gt;"",'All Cases - Enter Cases'!K350,"")</f>
        <v/>
      </c>
      <c r="L350" t="str">
        <f>IF($A350&lt;&gt;"",'All Cases - Enter Cases'!L350,"")</f>
        <v/>
      </c>
      <c r="M350" t="str">
        <f>IF($A350&lt;&gt;"",'All Cases - Enter Cases'!M350,"")</f>
        <v/>
      </c>
    </row>
    <row r="351" spans="1:13" x14ac:dyDescent="0.35">
      <c r="A351" t="str">
        <f>IF('All Cases - Enter Cases'!$F351="KPK",'All Cases - Enter Cases'!A351,"")</f>
        <v/>
      </c>
      <c r="B351" t="str">
        <f>IF($A351&lt;&gt;"",'All Cases - Enter Cases'!B351,"")</f>
        <v/>
      </c>
      <c r="C351" t="str">
        <f>IF($A351&lt;&gt;"",'All Cases - Enter Cases'!C351,"")</f>
        <v/>
      </c>
      <c r="D351" t="str">
        <f>IF($A351&lt;&gt;"",'All Cases - Enter Cases'!D351,"")</f>
        <v/>
      </c>
      <c r="E351" t="str">
        <f>IF($A351&lt;&gt;"",'All Cases - Enter Cases'!E351,"")</f>
        <v/>
      </c>
      <c r="F351" t="str">
        <f>IF($A351&lt;&gt;"",'All Cases - Enter Cases'!F351,"")</f>
        <v/>
      </c>
      <c r="G351" t="str">
        <f>IF($A351&lt;&gt;"",'All Cases - Enter Cases'!G351,"")</f>
        <v/>
      </c>
      <c r="H351" t="str">
        <f>IF($A351&lt;&gt;"",'All Cases - Enter Cases'!H351,"")</f>
        <v/>
      </c>
      <c r="I351" t="str">
        <f>IF($A351&lt;&gt;"",'All Cases - Enter Cases'!I351,"")</f>
        <v/>
      </c>
      <c r="J351" t="str">
        <f>IF($A351&lt;&gt;"",'All Cases - Enter Cases'!J351,"")</f>
        <v/>
      </c>
      <c r="K351" t="str">
        <f>IF($A351&lt;&gt;"",'All Cases - Enter Cases'!K351,"")</f>
        <v/>
      </c>
      <c r="L351" t="str">
        <f>IF($A351&lt;&gt;"",'All Cases - Enter Cases'!L351,"")</f>
        <v/>
      </c>
      <c r="M351" t="str">
        <f>IF($A351&lt;&gt;"",'All Cases - Enter Cases'!M351,"")</f>
        <v/>
      </c>
    </row>
    <row r="352" spans="1:13" x14ac:dyDescent="0.35">
      <c r="A352" t="str">
        <f>IF('All Cases - Enter Cases'!$F352="KPK",'All Cases - Enter Cases'!A352,"")</f>
        <v/>
      </c>
      <c r="B352" t="str">
        <f>IF($A352&lt;&gt;"",'All Cases - Enter Cases'!B352,"")</f>
        <v/>
      </c>
      <c r="C352" t="str">
        <f>IF($A352&lt;&gt;"",'All Cases - Enter Cases'!C352,"")</f>
        <v/>
      </c>
      <c r="D352" t="str">
        <f>IF($A352&lt;&gt;"",'All Cases - Enter Cases'!D352,"")</f>
        <v/>
      </c>
      <c r="E352" t="str">
        <f>IF($A352&lt;&gt;"",'All Cases - Enter Cases'!E352,"")</f>
        <v/>
      </c>
      <c r="F352" t="str">
        <f>IF($A352&lt;&gt;"",'All Cases - Enter Cases'!F352,"")</f>
        <v/>
      </c>
      <c r="G352" t="str">
        <f>IF($A352&lt;&gt;"",'All Cases - Enter Cases'!G352,"")</f>
        <v/>
      </c>
      <c r="H352" t="str">
        <f>IF($A352&lt;&gt;"",'All Cases - Enter Cases'!H352,"")</f>
        <v/>
      </c>
      <c r="I352" t="str">
        <f>IF($A352&lt;&gt;"",'All Cases - Enter Cases'!I352,"")</f>
        <v/>
      </c>
      <c r="J352" t="str">
        <f>IF($A352&lt;&gt;"",'All Cases - Enter Cases'!J352,"")</f>
        <v/>
      </c>
      <c r="K352" t="str">
        <f>IF($A352&lt;&gt;"",'All Cases - Enter Cases'!K352,"")</f>
        <v/>
      </c>
      <c r="L352" t="str">
        <f>IF($A352&lt;&gt;"",'All Cases - Enter Cases'!L352,"")</f>
        <v/>
      </c>
      <c r="M352" t="str">
        <f>IF($A352&lt;&gt;"",'All Cases - Enter Cases'!M352,"")</f>
        <v/>
      </c>
    </row>
    <row r="353" spans="1:13" x14ac:dyDescent="0.35">
      <c r="A353" t="str">
        <f>IF('All Cases - Enter Cases'!$F353="KPK",'All Cases - Enter Cases'!A353,"")</f>
        <v/>
      </c>
      <c r="B353" t="str">
        <f>IF($A353&lt;&gt;"",'All Cases - Enter Cases'!B353,"")</f>
        <v/>
      </c>
      <c r="C353" t="str">
        <f>IF($A353&lt;&gt;"",'All Cases - Enter Cases'!C353,"")</f>
        <v/>
      </c>
      <c r="D353" t="str">
        <f>IF($A353&lt;&gt;"",'All Cases - Enter Cases'!D353,"")</f>
        <v/>
      </c>
      <c r="E353" t="str">
        <f>IF($A353&lt;&gt;"",'All Cases - Enter Cases'!E353,"")</f>
        <v/>
      </c>
      <c r="F353" t="str">
        <f>IF($A353&lt;&gt;"",'All Cases - Enter Cases'!F353,"")</f>
        <v/>
      </c>
      <c r="G353" t="str">
        <f>IF($A353&lt;&gt;"",'All Cases - Enter Cases'!G353,"")</f>
        <v/>
      </c>
      <c r="H353" t="str">
        <f>IF($A353&lt;&gt;"",'All Cases - Enter Cases'!H353,"")</f>
        <v/>
      </c>
      <c r="I353" t="str">
        <f>IF($A353&lt;&gt;"",'All Cases - Enter Cases'!I353,"")</f>
        <v/>
      </c>
      <c r="J353" t="str">
        <f>IF($A353&lt;&gt;"",'All Cases - Enter Cases'!J353,"")</f>
        <v/>
      </c>
      <c r="K353" t="str">
        <f>IF($A353&lt;&gt;"",'All Cases - Enter Cases'!K353,"")</f>
        <v/>
      </c>
      <c r="L353" t="str">
        <f>IF($A353&lt;&gt;"",'All Cases - Enter Cases'!L353,"")</f>
        <v/>
      </c>
      <c r="M353" t="str">
        <f>IF($A353&lt;&gt;"",'All Cases - Enter Cases'!M353,"")</f>
        <v/>
      </c>
    </row>
    <row r="354" spans="1:13" x14ac:dyDescent="0.35">
      <c r="A354" t="str">
        <f>IF('All Cases - Enter Cases'!$F354="KPK",'All Cases - Enter Cases'!A354,"")</f>
        <v/>
      </c>
      <c r="B354" t="str">
        <f>IF($A354&lt;&gt;"",'All Cases - Enter Cases'!B354,"")</f>
        <v/>
      </c>
      <c r="C354" t="str">
        <f>IF($A354&lt;&gt;"",'All Cases - Enter Cases'!C354,"")</f>
        <v/>
      </c>
      <c r="D354" t="str">
        <f>IF($A354&lt;&gt;"",'All Cases - Enter Cases'!D354,"")</f>
        <v/>
      </c>
      <c r="E354" t="str">
        <f>IF($A354&lt;&gt;"",'All Cases - Enter Cases'!E354,"")</f>
        <v/>
      </c>
      <c r="F354" t="str">
        <f>IF($A354&lt;&gt;"",'All Cases - Enter Cases'!F354,"")</f>
        <v/>
      </c>
      <c r="G354" t="str">
        <f>IF($A354&lt;&gt;"",'All Cases - Enter Cases'!G354,"")</f>
        <v/>
      </c>
      <c r="H354" t="str">
        <f>IF($A354&lt;&gt;"",'All Cases - Enter Cases'!H354,"")</f>
        <v/>
      </c>
      <c r="I354" t="str">
        <f>IF($A354&lt;&gt;"",'All Cases - Enter Cases'!I354,"")</f>
        <v/>
      </c>
      <c r="J354" t="str">
        <f>IF($A354&lt;&gt;"",'All Cases - Enter Cases'!J354,"")</f>
        <v/>
      </c>
      <c r="K354" t="str">
        <f>IF($A354&lt;&gt;"",'All Cases - Enter Cases'!K354,"")</f>
        <v/>
      </c>
      <c r="L354" t="str">
        <f>IF($A354&lt;&gt;"",'All Cases - Enter Cases'!L354,"")</f>
        <v/>
      </c>
      <c r="M354" t="str">
        <f>IF($A354&lt;&gt;"",'All Cases - Enter Cases'!M354,"")</f>
        <v/>
      </c>
    </row>
    <row r="355" spans="1:13" x14ac:dyDescent="0.35">
      <c r="A355" t="str">
        <f>IF('All Cases - Enter Cases'!$F355="KPK",'All Cases - Enter Cases'!A355,"")</f>
        <v/>
      </c>
      <c r="B355" t="str">
        <f>IF($A355&lt;&gt;"",'All Cases - Enter Cases'!B355,"")</f>
        <v/>
      </c>
      <c r="C355" t="str">
        <f>IF($A355&lt;&gt;"",'All Cases - Enter Cases'!C355,"")</f>
        <v/>
      </c>
      <c r="D355" t="str">
        <f>IF($A355&lt;&gt;"",'All Cases - Enter Cases'!D355,"")</f>
        <v/>
      </c>
      <c r="E355" t="str">
        <f>IF($A355&lt;&gt;"",'All Cases - Enter Cases'!E355,"")</f>
        <v/>
      </c>
      <c r="F355" t="str">
        <f>IF($A355&lt;&gt;"",'All Cases - Enter Cases'!F355,"")</f>
        <v/>
      </c>
      <c r="G355" t="str">
        <f>IF($A355&lt;&gt;"",'All Cases - Enter Cases'!G355,"")</f>
        <v/>
      </c>
      <c r="H355" t="str">
        <f>IF($A355&lt;&gt;"",'All Cases - Enter Cases'!H355,"")</f>
        <v/>
      </c>
      <c r="I355" t="str">
        <f>IF($A355&lt;&gt;"",'All Cases - Enter Cases'!I355,"")</f>
        <v/>
      </c>
      <c r="J355" t="str">
        <f>IF($A355&lt;&gt;"",'All Cases - Enter Cases'!J355,"")</f>
        <v/>
      </c>
      <c r="K355" t="str">
        <f>IF($A355&lt;&gt;"",'All Cases - Enter Cases'!K355,"")</f>
        <v/>
      </c>
      <c r="L355" t="str">
        <f>IF($A355&lt;&gt;"",'All Cases - Enter Cases'!L355,"")</f>
        <v/>
      </c>
      <c r="M355" t="str">
        <f>IF($A355&lt;&gt;"",'All Cases - Enter Cases'!M355,"")</f>
        <v/>
      </c>
    </row>
    <row r="356" spans="1:13" x14ac:dyDescent="0.35">
      <c r="A356" t="str">
        <f>IF('All Cases - Enter Cases'!$F356="KPK",'All Cases - Enter Cases'!A356,"")</f>
        <v/>
      </c>
      <c r="B356" t="str">
        <f>IF($A356&lt;&gt;"",'All Cases - Enter Cases'!B356,"")</f>
        <v/>
      </c>
      <c r="C356" t="str">
        <f>IF($A356&lt;&gt;"",'All Cases - Enter Cases'!C356,"")</f>
        <v/>
      </c>
      <c r="D356" t="str">
        <f>IF($A356&lt;&gt;"",'All Cases - Enter Cases'!D356,"")</f>
        <v/>
      </c>
      <c r="E356" t="str">
        <f>IF($A356&lt;&gt;"",'All Cases - Enter Cases'!E356,"")</f>
        <v/>
      </c>
      <c r="F356" t="str">
        <f>IF($A356&lt;&gt;"",'All Cases - Enter Cases'!F356,"")</f>
        <v/>
      </c>
      <c r="G356" t="str">
        <f>IF($A356&lt;&gt;"",'All Cases - Enter Cases'!G356,"")</f>
        <v/>
      </c>
      <c r="H356" t="str">
        <f>IF($A356&lt;&gt;"",'All Cases - Enter Cases'!H356,"")</f>
        <v/>
      </c>
      <c r="I356" t="str">
        <f>IF($A356&lt;&gt;"",'All Cases - Enter Cases'!I356,"")</f>
        <v/>
      </c>
      <c r="J356" t="str">
        <f>IF($A356&lt;&gt;"",'All Cases - Enter Cases'!J356,"")</f>
        <v/>
      </c>
      <c r="K356" t="str">
        <f>IF($A356&lt;&gt;"",'All Cases - Enter Cases'!K356,"")</f>
        <v/>
      </c>
      <c r="L356" t="str">
        <f>IF($A356&lt;&gt;"",'All Cases - Enter Cases'!L356,"")</f>
        <v/>
      </c>
      <c r="M356" t="str">
        <f>IF($A356&lt;&gt;"",'All Cases - Enter Cases'!M356,"")</f>
        <v/>
      </c>
    </row>
    <row r="357" spans="1:13" x14ac:dyDescent="0.35">
      <c r="A357" t="str">
        <f>IF('All Cases - Enter Cases'!$F357="KPK",'All Cases - Enter Cases'!A357,"")</f>
        <v/>
      </c>
      <c r="B357" t="str">
        <f>IF($A357&lt;&gt;"",'All Cases - Enter Cases'!B357,"")</f>
        <v/>
      </c>
      <c r="C357" t="str">
        <f>IF($A357&lt;&gt;"",'All Cases - Enter Cases'!C357,"")</f>
        <v/>
      </c>
      <c r="D357" t="str">
        <f>IF($A357&lt;&gt;"",'All Cases - Enter Cases'!D357,"")</f>
        <v/>
      </c>
      <c r="E357" t="str">
        <f>IF($A357&lt;&gt;"",'All Cases - Enter Cases'!E357,"")</f>
        <v/>
      </c>
      <c r="F357" t="str">
        <f>IF($A357&lt;&gt;"",'All Cases - Enter Cases'!F357,"")</f>
        <v/>
      </c>
      <c r="G357" t="str">
        <f>IF($A357&lt;&gt;"",'All Cases - Enter Cases'!G357,"")</f>
        <v/>
      </c>
      <c r="H357" t="str">
        <f>IF($A357&lt;&gt;"",'All Cases - Enter Cases'!H357,"")</f>
        <v/>
      </c>
      <c r="I357" t="str">
        <f>IF($A357&lt;&gt;"",'All Cases - Enter Cases'!I357,"")</f>
        <v/>
      </c>
      <c r="J357" t="str">
        <f>IF($A357&lt;&gt;"",'All Cases - Enter Cases'!J357,"")</f>
        <v/>
      </c>
      <c r="K357" t="str">
        <f>IF($A357&lt;&gt;"",'All Cases - Enter Cases'!K357,"")</f>
        <v/>
      </c>
      <c r="L357" t="str">
        <f>IF($A357&lt;&gt;"",'All Cases - Enter Cases'!L357,"")</f>
        <v/>
      </c>
      <c r="M357" t="str">
        <f>IF($A357&lt;&gt;"",'All Cases - Enter Cases'!M357,"")</f>
        <v/>
      </c>
    </row>
    <row r="358" spans="1:13" x14ac:dyDescent="0.35">
      <c r="A358" t="str">
        <f>IF('All Cases - Enter Cases'!$F358="KPK",'All Cases - Enter Cases'!A358,"")</f>
        <v/>
      </c>
      <c r="B358" t="str">
        <f>IF($A358&lt;&gt;"",'All Cases - Enter Cases'!B358,"")</f>
        <v/>
      </c>
      <c r="C358" t="str">
        <f>IF($A358&lt;&gt;"",'All Cases - Enter Cases'!C358,"")</f>
        <v/>
      </c>
      <c r="D358" t="str">
        <f>IF($A358&lt;&gt;"",'All Cases - Enter Cases'!D358,"")</f>
        <v/>
      </c>
      <c r="E358" t="str">
        <f>IF($A358&lt;&gt;"",'All Cases - Enter Cases'!E358,"")</f>
        <v/>
      </c>
      <c r="F358" t="str">
        <f>IF($A358&lt;&gt;"",'All Cases - Enter Cases'!F358,"")</f>
        <v/>
      </c>
      <c r="G358" t="str">
        <f>IF($A358&lt;&gt;"",'All Cases - Enter Cases'!G358,"")</f>
        <v/>
      </c>
      <c r="H358" t="str">
        <f>IF($A358&lt;&gt;"",'All Cases - Enter Cases'!H358,"")</f>
        <v/>
      </c>
      <c r="I358" t="str">
        <f>IF($A358&lt;&gt;"",'All Cases - Enter Cases'!I358,"")</f>
        <v/>
      </c>
      <c r="J358" t="str">
        <f>IF($A358&lt;&gt;"",'All Cases - Enter Cases'!J358,"")</f>
        <v/>
      </c>
      <c r="K358" t="str">
        <f>IF($A358&lt;&gt;"",'All Cases - Enter Cases'!K358,"")</f>
        <v/>
      </c>
      <c r="L358" t="str">
        <f>IF($A358&lt;&gt;"",'All Cases - Enter Cases'!L358,"")</f>
        <v/>
      </c>
      <c r="M358" t="str">
        <f>IF($A358&lt;&gt;"",'All Cases - Enter Cases'!M358,"")</f>
        <v/>
      </c>
    </row>
    <row r="359" spans="1:13" x14ac:dyDescent="0.35">
      <c r="A359" t="str">
        <f>IF('All Cases - Enter Cases'!$F359="KPK",'All Cases - Enter Cases'!A359,"")</f>
        <v/>
      </c>
      <c r="B359" t="str">
        <f>IF($A359&lt;&gt;"",'All Cases - Enter Cases'!B359,"")</f>
        <v/>
      </c>
      <c r="C359" t="str">
        <f>IF($A359&lt;&gt;"",'All Cases - Enter Cases'!C359,"")</f>
        <v/>
      </c>
      <c r="D359" t="str">
        <f>IF($A359&lt;&gt;"",'All Cases - Enter Cases'!D359,"")</f>
        <v/>
      </c>
      <c r="E359" t="str">
        <f>IF($A359&lt;&gt;"",'All Cases - Enter Cases'!E359,"")</f>
        <v/>
      </c>
      <c r="F359" t="str">
        <f>IF($A359&lt;&gt;"",'All Cases - Enter Cases'!F359,"")</f>
        <v/>
      </c>
      <c r="G359" t="str">
        <f>IF($A359&lt;&gt;"",'All Cases - Enter Cases'!G359,"")</f>
        <v/>
      </c>
      <c r="H359" t="str">
        <f>IF($A359&lt;&gt;"",'All Cases - Enter Cases'!H359,"")</f>
        <v/>
      </c>
      <c r="I359" t="str">
        <f>IF($A359&lt;&gt;"",'All Cases - Enter Cases'!I359,"")</f>
        <v/>
      </c>
      <c r="J359" t="str">
        <f>IF($A359&lt;&gt;"",'All Cases - Enter Cases'!J359,"")</f>
        <v/>
      </c>
      <c r="K359" t="str">
        <f>IF($A359&lt;&gt;"",'All Cases - Enter Cases'!K359,"")</f>
        <v/>
      </c>
      <c r="L359" t="str">
        <f>IF($A359&lt;&gt;"",'All Cases - Enter Cases'!L359,"")</f>
        <v/>
      </c>
      <c r="M359" t="str">
        <f>IF($A359&lt;&gt;"",'All Cases - Enter Cases'!M359,"")</f>
        <v/>
      </c>
    </row>
    <row r="360" spans="1:13" x14ac:dyDescent="0.35">
      <c r="A360" t="str">
        <f>IF('All Cases - Enter Cases'!$F360="KPK",'All Cases - Enter Cases'!A360,"")</f>
        <v/>
      </c>
      <c r="B360" t="str">
        <f>IF($A360&lt;&gt;"",'All Cases - Enter Cases'!B360,"")</f>
        <v/>
      </c>
      <c r="C360" t="str">
        <f>IF($A360&lt;&gt;"",'All Cases - Enter Cases'!C360,"")</f>
        <v/>
      </c>
      <c r="D360" t="str">
        <f>IF($A360&lt;&gt;"",'All Cases - Enter Cases'!D360,"")</f>
        <v/>
      </c>
      <c r="E360" t="str">
        <f>IF($A360&lt;&gt;"",'All Cases - Enter Cases'!E360,"")</f>
        <v/>
      </c>
      <c r="F360" t="str">
        <f>IF($A360&lt;&gt;"",'All Cases - Enter Cases'!F360,"")</f>
        <v/>
      </c>
      <c r="G360" t="str">
        <f>IF($A360&lt;&gt;"",'All Cases - Enter Cases'!G360,"")</f>
        <v/>
      </c>
      <c r="H360" t="str">
        <f>IF($A360&lt;&gt;"",'All Cases - Enter Cases'!H360,"")</f>
        <v/>
      </c>
      <c r="I360" t="str">
        <f>IF($A360&lt;&gt;"",'All Cases - Enter Cases'!I360,"")</f>
        <v/>
      </c>
      <c r="J360" t="str">
        <f>IF($A360&lt;&gt;"",'All Cases - Enter Cases'!J360,"")</f>
        <v/>
      </c>
      <c r="K360" t="str">
        <f>IF($A360&lt;&gt;"",'All Cases - Enter Cases'!K360,"")</f>
        <v/>
      </c>
      <c r="L360" t="str">
        <f>IF($A360&lt;&gt;"",'All Cases - Enter Cases'!L360,"")</f>
        <v/>
      </c>
      <c r="M360" t="str">
        <f>IF($A360&lt;&gt;"",'All Cases - Enter Cases'!M360,"")</f>
        <v/>
      </c>
    </row>
    <row r="361" spans="1:13" x14ac:dyDescent="0.35">
      <c r="A361" t="str">
        <f>IF('All Cases - Enter Cases'!$F361="KPK",'All Cases - Enter Cases'!A361,"")</f>
        <v/>
      </c>
      <c r="B361" t="str">
        <f>IF($A361&lt;&gt;"",'All Cases - Enter Cases'!B361,"")</f>
        <v/>
      </c>
      <c r="C361" t="str">
        <f>IF($A361&lt;&gt;"",'All Cases - Enter Cases'!C361,"")</f>
        <v/>
      </c>
      <c r="D361" t="str">
        <f>IF($A361&lt;&gt;"",'All Cases - Enter Cases'!D361,"")</f>
        <v/>
      </c>
      <c r="E361" t="str">
        <f>IF($A361&lt;&gt;"",'All Cases - Enter Cases'!E361,"")</f>
        <v/>
      </c>
      <c r="F361" t="str">
        <f>IF($A361&lt;&gt;"",'All Cases - Enter Cases'!F361,"")</f>
        <v/>
      </c>
      <c r="G361" t="str">
        <f>IF($A361&lt;&gt;"",'All Cases - Enter Cases'!G361,"")</f>
        <v/>
      </c>
      <c r="H361" t="str">
        <f>IF($A361&lt;&gt;"",'All Cases - Enter Cases'!H361,"")</f>
        <v/>
      </c>
      <c r="I361" t="str">
        <f>IF($A361&lt;&gt;"",'All Cases - Enter Cases'!I361,"")</f>
        <v/>
      </c>
      <c r="J361" t="str">
        <f>IF($A361&lt;&gt;"",'All Cases - Enter Cases'!J361,"")</f>
        <v/>
      </c>
      <c r="K361" t="str">
        <f>IF($A361&lt;&gt;"",'All Cases - Enter Cases'!K361,"")</f>
        <v/>
      </c>
      <c r="L361" t="str">
        <f>IF($A361&lt;&gt;"",'All Cases - Enter Cases'!L361,"")</f>
        <v/>
      </c>
      <c r="M361" t="str">
        <f>IF($A361&lt;&gt;"",'All Cases - Enter Cases'!M361,"")</f>
        <v/>
      </c>
    </row>
    <row r="362" spans="1:13" x14ac:dyDescent="0.35">
      <c r="A362" t="str">
        <f>IF('All Cases - Enter Cases'!$F362="KPK",'All Cases - Enter Cases'!A362,"")</f>
        <v/>
      </c>
      <c r="B362" t="str">
        <f>IF($A362&lt;&gt;"",'All Cases - Enter Cases'!B362,"")</f>
        <v/>
      </c>
      <c r="C362" t="str">
        <f>IF($A362&lt;&gt;"",'All Cases - Enter Cases'!C362,"")</f>
        <v/>
      </c>
      <c r="D362" t="str">
        <f>IF($A362&lt;&gt;"",'All Cases - Enter Cases'!D362,"")</f>
        <v/>
      </c>
      <c r="E362" t="str">
        <f>IF($A362&lt;&gt;"",'All Cases - Enter Cases'!E362,"")</f>
        <v/>
      </c>
      <c r="F362" t="str">
        <f>IF($A362&lt;&gt;"",'All Cases - Enter Cases'!F362,"")</f>
        <v/>
      </c>
      <c r="G362" t="str">
        <f>IF($A362&lt;&gt;"",'All Cases - Enter Cases'!G362,"")</f>
        <v/>
      </c>
      <c r="H362" t="str">
        <f>IF($A362&lt;&gt;"",'All Cases - Enter Cases'!H362,"")</f>
        <v/>
      </c>
      <c r="I362" t="str">
        <f>IF($A362&lt;&gt;"",'All Cases - Enter Cases'!I362,"")</f>
        <v/>
      </c>
      <c r="J362" t="str">
        <f>IF($A362&lt;&gt;"",'All Cases - Enter Cases'!J362,"")</f>
        <v/>
      </c>
      <c r="K362" t="str">
        <f>IF($A362&lt;&gt;"",'All Cases - Enter Cases'!K362,"")</f>
        <v/>
      </c>
      <c r="L362" t="str">
        <f>IF($A362&lt;&gt;"",'All Cases - Enter Cases'!L362,"")</f>
        <v/>
      </c>
      <c r="M362" t="str">
        <f>IF($A362&lt;&gt;"",'All Cases - Enter Cases'!M362,"")</f>
        <v/>
      </c>
    </row>
    <row r="363" spans="1:13" x14ac:dyDescent="0.35">
      <c r="A363" t="str">
        <f>IF('All Cases - Enter Cases'!$F363="KPK",'All Cases - Enter Cases'!A363,"")</f>
        <v/>
      </c>
      <c r="B363" t="str">
        <f>IF($A363&lt;&gt;"",'All Cases - Enter Cases'!B363,"")</f>
        <v/>
      </c>
      <c r="C363" t="str">
        <f>IF($A363&lt;&gt;"",'All Cases - Enter Cases'!C363,"")</f>
        <v/>
      </c>
      <c r="D363" t="str">
        <f>IF($A363&lt;&gt;"",'All Cases - Enter Cases'!D363,"")</f>
        <v/>
      </c>
      <c r="E363" t="str">
        <f>IF($A363&lt;&gt;"",'All Cases - Enter Cases'!E363,"")</f>
        <v/>
      </c>
      <c r="F363" t="str">
        <f>IF($A363&lt;&gt;"",'All Cases - Enter Cases'!F363,"")</f>
        <v/>
      </c>
      <c r="G363" t="str">
        <f>IF($A363&lt;&gt;"",'All Cases - Enter Cases'!G363,"")</f>
        <v/>
      </c>
      <c r="H363" t="str">
        <f>IF($A363&lt;&gt;"",'All Cases - Enter Cases'!H363,"")</f>
        <v/>
      </c>
      <c r="I363" t="str">
        <f>IF($A363&lt;&gt;"",'All Cases - Enter Cases'!I363,"")</f>
        <v/>
      </c>
      <c r="J363" t="str">
        <f>IF($A363&lt;&gt;"",'All Cases - Enter Cases'!J363,"")</f>
        <v/>
      </c>
      <c r="K363" t="str">
        <f>IF($A363&lt;&gt;"",'All Cases - Enter Cases'!K363,"")</f>
        <v/>
      </c>
      <c r="L363" t="str">
        <f>IF($A363&lt;&gt;"",'All Cases - Enter Cases'!L363,"")</f>
        <v/>
      </c>
      <c r="M363" t="str">
        <f>IF($A363&lt;&gt;"",'All Cases - Enter Cases'!M363,"")</f>
        <v/>
      </c>
    </row>
    <row r="364" spans="1:13" x14ac:dyDescent="0.35">
      <c r="A364" t="str">
        <f>IF('All Cases - Enter Cases'!$F364="KPK",'All Cases - Enter Cases'!A364,"")</f>
        <v/>
      </c>
      <c r="B364" t="str">
        <f>IF($A364&lt;&gt;"",'All Cases - Enter Cases'!B364,"")</f>
        <v/>
      </c>
      <c r="C364" t="str">
        <f>IF($A364&lt;&gt;"",'All Cases - Enter Cases'!C364,"")</f>
        <v/>
      </c>
      <c r="D364" t="str">
        <f>IF($A364&lt;&gt;"",'All Cases - Enter Cases'!D364,"")</f>
        <v/>
      </c>
      <c r="E364" t="str">
        <f>IF($A364&lt;&gt;"",'All Cases - Enter Cases'!E364,"")</f>
        <v/>
      </c>
      <c r="F364" t="str">
        <f>IF($A364&lt;&gt;"",'All Cases - Enter Cases'!F364,"")</f>
        <v/>
      </c>
      <c r="G364" t="str">
        <f>IF($A364&lt;&gt;"",'All Cases - Enter Cases'!G364,"")</f>
        <v/>
      </c>
      <c r="H364" t="str">
        <f>IF($A364&lt;&gt;"",'All Cases - Enter Cases'!H364,"")</f>
        <v/>
      </c>
      <c r="I364" t="str">
        <f>IF($A364&lt;&gt;"",'All Cases - Enter Cases'!I364,"")</f>
        <v/>
      </c>
      <c r="J364" t="str">
        <f>IF($A364&lt;&gt;"",'All Cases - Enter Cases'!J364,"")</f>
        <v/>
      </c>
      <c r="K364" t="str">
        <f>IF($A364&lt;&gt;"",'All Cases - Enter Cases'!K364,"")</f>
        <v/>
      </c>
      <c r="L364" t="str">
        <f>IF($A364&lt;&gt;"",'All Cases - Enter Cases'!L364,"")</f>
        <v/>
      </c>
      <c r="M364" t="str">
        <f>IF($A364&lt;&gt;"",'All Cases - Enter Cases'!M364,"")</f>
        <v/>
      </c>
    </row>
    <row r="365" spans="1:13" x14ac:dyDescent="0.35">
      <c r="A365" t="str">
        <f>IF('All Cases - Enter Cases'!$F365="KPK",'All Cases - Enter Cases'!A365,"")</f>
        <v/>
      </c>
      <c r="B365" t="str">
        <f>IF($A365&lt;&gt;"",'All Cases - Enter Cases'!B365,"")</f>
        <v/>
      </c>
      <c r="C365" t="str">
        <f>IF($A365&lt;&gt;"",'All Cases - Enter Cases'!C365,"")</f>
        <v/>
      </c>
      <c r="D365" t="str">
        <f>IF($A365&lt;&gt;"",'All Cases - Enter Cases'!D365,"")</f>
        <v/>
      </c>
      <c r="E365" t="str">
        <f>IF($A365&lt;&gt;"",'All Cases - Enter Cases'!E365,"")</f>
        <v/>
      </c>
      <c r="F365" t="str">
        <f>IF($A365&lt;&gt;"",'All Cases - Enter Cases'!F365,"")</f>
        <v/>
      </c>
      <c r="G365" t="str">
        <f>IF($A365&lt;&gt;"",'All Cases - Enter Cases'!G365,"")</f>
        <v/>
      </c>
      <c r="H365" t="str">
        <f>IF($A365&lt;&gt;"",'All Cases - Enter Cases'!H365,"")</f>
        <v/>
      </c>
      <c r="I365" t="str">
        <f>IF($A365&lt;&gt;"",'All Cases - Enter Cases'!I365,"")</f>
        <v/>
      </c>
      <c r="J365" t="str">
        <f>IF($A365&lt;&gt;"",'All Cases - Enter Cases'!J365,"")</f>
        <v/>
      </c>
      <c r="K365" t="str">
        <f>IF($A365&lt;&gt;"",'All Cases - Enter Cases'!K365,"")</f>
        <v/>
      </c>
      <c r="L365" t="str">
        <f>IF($A365&lt;&gt;"",'All Cases - Enter Cases'!L365,"")</f>
        <v/>
      </c>
      <c r="M365" t="str">
        <f>IF($A365&lt;&gt;"",'All Cases - Enter Cases'!M365,"")</f>
        <v/>
      </c>
    </row>
    <row r="366" spans="1:13" x14ac:dyDescent="0.35">
      <c r="A366" t="str">
        <f>IF('All Cases - Enter Cases'!$F366="KPK",'All Cases - Enter Cases'!A366,"")</f>
        <v/>
      </c>
      <c r="B366" t="str">
        <f>IF($A366&lt;&gt;"",'All Cases - Enter Cases'!B366,"")</f>
        <v/>
      </c>
      <c r="C366" t="str">
        <f>IF($A366&lt;&gt;"",'All Cases - Enter Cases'!C366,"")</f>
        <v/>
      </c>
      <c r="D366" t="str">
        <f>IF($A366&lt;&gt;"",'All Cases - Enter Cases'!D366,"")</f>
        <v/>
      </c>
      <c r="E366" t="str">
        <f>IF($A366&lt;&gt;"",'All Cases - Enter Cases'!E366,"")</f>
        <v/>
      </c>
      <c r="F366" t="str">
        <f>IF($A366&lt;&gt;"",'All Cases - Enter Cases'!F366,"")</f>
        <v/>
      </c>
      <c r="G366" t="str">
        <f>IF($A366&lt;&gt;"",'All Cases - Enter Cases'!G366,"")</f>
        <v/>
      </c>
      <c r="H366" t="str">
        <f>IF($A366&lt;&gt;"",'All Cases - Enter Cases'!H366,"")</f>
        <v/>
      </c>
      <c r="I366" t="str">
        <f>IF($A366&lt;&gt;"",'All Cases - Enter Cases'!I366,"")</f>
        <v/>
      </c>
      <c r="J366" t="str">
        <f>IF($A366&lt;&gt;"",'All Cases - Enter Cases'!J366,"")</f>
        <v/>
      </c>
      <c r="K366" t="str">
        <f>IF($A366&lt;&gt;"",'All Cases - Enter Cases'!K366,"")</f>
        <v/>
      </c>
      <c r="L366" t="str">
        <f>IF($A366&lt;&gt;"",'All Cases - Enter Cases'!L366,"")</f>
        <v/>
      </c>
      <c r="M366" t="str">
        <f>IF($A366&lt;&gt;"",'All Cases - Enter Cases'!M366,"")</f>
        <v/>
      </c>
    </row>
    <row r="367" spans="1:13" x14ac:dyDescent="0.35">
      <c r="A367" t="str">
        <f>IF('All Cases - Enter Cases'!$F367="KPK",'All Cases - Enter Cases'!A367,"")</f>
        <v/>
      </c>
      <c r="B367" t="str">
        <f>IF($A367&lt;&gt;"",'All Cases - Enter Cases'!B367,"")</f>
        <v/>
      </c>
      <c r="C367" t="str">
        <f>IF($A367&lt;&gt;"",'All Cases - Enter Cases'!C367,"")</f>
        <v/>
      </c>
      <c r="D367" t="str">
        <f>IF($A367&lt;&gt;"",'All Cases - Enter Cases'!D367,"")</f>
        <v/>
      </c>
      <c r="E367" t="str">
        <f>IF($A367&lt;&gt;"",'All Cases - Enter Cases'!E367,"")</f>
        <v/>
      </c>
      <c r="F367" t="str">
        <f>IF($A367&lt;&gt;"",'All Cases - Enter Cases'!F367,"")</f>
        <v/>
      </c>
      <c r="G367" t="str">
        <f>IF($A367&lt;&gt;"",'All Cases - Enter Cases'!G367,"")</f>
        <v/>
      </c>
      <c r="H367" t="str">
        <f>IF($A367&lt;&gt;"",'All Cases - Enter Cases'!H367,"")</f>
        <v/>
      </c>
      <c r="I367" t="str">
        <f>IF($A367&lt;&gt;"",'All Cases - Enter Cases'!I367,"")</f>
        <v/>
      </c>
      <c r="J367" t="str">
        <f>IF($A367&lt;&gt;"",'All Cases - Enter Cases'!J367,"")</f>
        <v/>
      </c>
      <c r="K367" t="str">
        <f>IF($A367&lt;&gt;"",'All Cases - Enter Cases'!K367,"")</f>
        <v/>
      </c>
      <c r="L367" t="str">
        <f>IF($A367&lt;&gt;"",'All Cases - Enter Cases'!L367,"")</f>
        <v/>
      </c>
      <c r="M367" t="str">
        <f>IF($A367&lt;&gt;"",'All Cases - Enter Cases'!M367,"")</f>
        <v/>
      </c>
    </row>
    <row r="368" spans="1:13" x14ac:dyDescent="0.35">
      <c r="A368" t="str">
        <f>IF('All Cases - Enter Cases'!$F368="KPK",'All Cases - Enter Cases'!A368,"")</f>
        <v/>
      </c>
      <c r="B368" t="str">
        <f>IF($A368&lt;&gt;"",'All Cases - Enter Cases'!B368,"")</f>
        <v/>
      </c>
      <c r="C368" t="str">
        <f>IF($A368&lt;&gt;"",'All Cases - Enter Cases'!C368,"")</f>
        <v/>
      </c>
      <c r="D368" t="str">
        <f>IF($A368&lt;&gt;"",'All Cases - Enter Cases'!D368,"")</f>
        <v/>
      </c>
      <c r="E368" t="str">
        <f>IF($A368&lt;&gt;"",'All Cases - Enter Cases'!E368,"")</f>
        <v/>
      </c>
      <c r="F368" t="str">
        <f>IF($A368&lt;&gt;"",'All Cases - Enter Cases'!F368,"")</f>
        <v/>
      </c>
      <c r="G368" t="str">
        <f>IF($A368&lt;&gt;"",'All Cases - Enter Cases'!G368,"")</f>
        <v/>
      </c>
      <c r="H368" t="str">
        <f>IF($A368&lt;&gt;"",'All Cases - Enter Cases'!H368,"")</f>
        <v/>
      </c>
      <c r="I368" t="str">
        <f>IF($A368&lt;&gt;"",'All Cases - Enter Cases'!I368,"")</f>
        <v/>
      </c>
      <c r="J368" t="str">
        <f>IF($A368&lt;&gt;"",'All Cases - Enter Cases'!J368,"")</f>
        <v/>
      </c>
      <c r="K368" t="str">
        <f>IF($A368&lt;&gt;"",'All Cases - Enter Cases'!K368,"")</f>
        <v/>
      </c>
      <c r="L368" t="str">
        <f>IF($A368&lt;&gt;"",'All Cases - Enter Cases'!L368,"")</f>
        <v/>
      </c>
      <c r="M368" t="str">
        <f>IF($A368&lt;&gt;"",'All Cases - Enter Cases'!M368,"")</f>
        <v/>
      </c>
    </row>
    <row r="369" spans="1:13" x14ac:dyDescent="0.35">
      <c r="A369" t="str">
        <f>IF('All Cases - Enter Cases'!$F369="KPK",'All Cases - Enter Cases'!A369,"")</f>
        <v/>
      </c>
      <c r="B369" t="str">
        <f>IF($A369&lt;&gt;"",'All Cases - Enter Cases'!B369,"")</f>
        <v/>
      </c>
      <c r="C369" t="str">
        <f>IF($A369&lt;&gt;"",'All Cases - Enter Cases'!C369,"")</f>
        <v/>
      </c>
      <c r="D369" t="str">
        <f>IF($A369&lt;&gt;"",'All Cases - Enter Cases'!D369,"")</f>
        <v/>
      </c>
      <c r="E369" t="str">
        <f>IF($A369&lt;&gt;"",'All Cases - Enter Cases'!E369,"")</f>
        <v/>
      </c>
      <c r="F369" t="str">
        <f>IF($A369&lt;&gt;"",'All Cases - Enter Cases'!F369,"")</f>
        <v/>
      </c>
      <c r="G369" t="str">
        <f>IF($A369&lt;&gt;"",'All Cases - Enter Cases'!G369,"")</f>
        <v/>
      </c>
      <c r="H369" t="str">
        <f>IF($A369&lt;&gt;"",'All Cases - Enter Cases'!H369,"")</f>
        <v/>
      </c>
      <c r="I369" t="str">
        <f>IF($A369&lt;&gt;"",'All Cases - Enter Cases'!I369,"")</f>
        <v/>
      </c>
      <c r="J369" t="str">
        <f>IF($A369&lt;&gt;"",'All Cases - Enter Cases'!J369,"")</f>
        <v/>
      </c>
      <c r="K369" t="str">
        <f>IF($A369&lt;&gt;"",'All Cases - Enter Cases'!K369,"")</f>
        <v/>
      </c>
      <c r="L369" t="str">
        <f>IF($A369&lt;&gt;"",'All Cases - Enter Cases'!L369,"")</f>
        <v/>
      </c>
      <c r="M369" t="str">
        <f>IF($A369&lt;&gt;"",'All Cases - Enter Cases'!M369,"")</f>
        <v/>
      </c>
    </row>
    <row r="370" spans="1:13" x14ac:dyDescent="0.35">
      <c r="A370" t="str">
        <f>IF('All Cases - Enter Cases'!$F370="KPK",'All Cases - Enter Cases'!A370,"")</f>
        <v/>
      </c>
      <c r="B370" t="str">
        <f>IF($A370&lt;&gt;"",'All Cases - Enter Cases'!B370,"")</f>
        <v/>
      </c>
      <c r="C370" t="str">
        <f>IF($A370&lt;&gt;"",'All Cases - Enter Cases'!C370,"")</f>
        <v/>
      </c>
      <c r="D370" t="str">
        <f>IF($A370&lt;&gt;"",'All Cases - Enter Cases'!D370,"")</f>
        <v/>
      </c>
      <c r="E370" t="str">
        <f>IF($A370&lt;&gt;"",'All Cases - Enter Cases'!E370,"")</f>
        <v/>
      </c>
      <c r="F370" t="str">
        <f>IF($A370&lt;&gt;"",'All Cases - Enter Cases'!F370,"")</f>
        <v/>
      </c>
      <c r="G370" t="str">
        <f>IF($A370&lt;&gt;"",'All Cases - Enter Cases'!G370,"")</f>
        <v/>
      </c>
      <c r="H370" t="str">
        <f>IF($A370&lt;&gt;"",'All Cases - Enter Cases'!H370,"")</f>
        <v/>
      </c>
      <c r="I370" t="str">
        <f>IF($A370&lt;&gt;"",'All Cases - Enter Cases'!I370,"")</f>
        <v/>
      </c>
      <c r="J370" t="str">
        <f>IF($A370&lt;&gt;"",'All Cases - Enter Cases'!J370,"")</f>
        <v/>
      </c>
      <c r="K370" t="str">
        <f>IF($A370&lt;&gt;"",'All Cases - Enter Cases'!K370,"")</f>
        <v/>
      </c>
      <c r="L370" t="str">
        <f>IF($A370&lt;&gt;"",'All Cases - Enter Cases'!L370,"")</f>
        <v/>
      </c>
      <c r="M370" t="str">
        <f>IF($A370&lt;&gt;"",'All Cases - Enter Cases'!M370,"")</f>
        <v/>
      </c>
    </row>
    <row r="371" spans="1:13" x14ac:dyDescent="0.35">
      <c r="A371" t="str">
        <f>IF('All Cases - Enter Cases'!$F371="KPK",'All Cases - Enter Cases'!A371,"")</f>
        <v/>
      </c>
      <c r="B371" t="str">
        <f>IF($A371&lt;&gt;"",'All Cases - Enter Cases'!B371,"")</f>
        <v/>
      </c>
      <c r="C371" t="str">
        <f>IF($A371&lt;&gt;"",'All Cases - Enter Cases'!C371,"")</f>
        <v/>
      </c>
      <c r="D371" t="str">
        <f>IF($A371&lt;&gt;"",'All Cases - Enter Cases'!D371,"")</f>
        <v/>
      </c>
      <c r="E371" t="str">
        <f>IF($A371&lt;&gt;"",'All Cases - Enter Cases'!E371,"")</f>
        <v/>
      </c>
      <c r="F371" t="str">
        <f>IF($A371&lt;&gt;"",'All Cases - Enter Cases'!F371,"")</f>
        <v/>
      </c>
      <c r="G371" t="str">
        <f>IF($A371&lt;&gt;"",'All Cases - Enter Cases'!G371,"")</f>
        <v/>
      </c>
      <c r="H371" t="str">
        <f>IF($A371&lt;&gt;"",'All Cases - Enter Cases'!H371,"")</f>
        <v/>
      </c>
      <c r="I371" t="str">
        <f>IF($A371&lt;&gt;"",'All Cases - Enter Cases'!I371,"")</f>
        <v/>
      </c>
      <c r="J371" t="str">
        <f>IF($A371&lt;&gt;"",'All Cases - Enter Cases'!J371,"")</f>
        <v/>
      </c>
      <c r="K371" t="str">
        <f>IF($A371&lt;&gt;"",'All Cases - Enter Cases'!K371,"")</f>
        <v/>
      </c>
      <c r="L371" t="str">
        <f>IF($A371&lt;&gt;"",'All Cases - Enter Cases'!L371,"")</f>
        <v/>
      </c>
      <c r="M371" t="str">
        <f>IF($A371&lt;&gt;"",'All Cases - Enter Cases'!M371,"")</f>
        <v/>
      </c>
    </row>
    <row r="372" spans="1:13" x14ac:dyDescent="0.35">
      <c r="A372" t="str">
        <f>IF('All Cases - Enter Cases'!$F372="KPK",'All Cases - Enter Cases'!A372,"")</f>
        <v/>
      </c>
      <c r="B372" t="str">
        <f>IF($A372&lt;&gt;"",'All Cases - Enter Cases'!B372,"")</f>
        <v/>
      </c>
      <c r="C372" t="str">
        <f>IF($A372&lt;&gt;"",'All Cases - Enter Cases'!C372,"")</f>
        <v/>
      </c>
      <c r="D372" t="str">
        <f>IF($A372&lt;&gt;"",'All Cases - Enter Cases'!D372,"")</f>
        <v/>
      </c>
      <c r="E372" t="str">
        <f>IF($A372&lt;&gt;"",'All Cases - Enter Cases'!E372,"")</f>
        <v/>
      </c>
      <c r="F372" t="str">
        <f>IF($A372&lt;&gt;"",'All Cases - Enter Cases'!F372,"")</f>
        <v/>
      </c>
      <c r="G372" t="str">
        <f>IF($A372&lt;&gt;"",'All Cases - Enter Cases'!G372,"")</f>
        <v/>
      </c>
      <c r="H372" t="str">
        <f>IF($A372&lt;&gt;"",'All Cases - Enter Cases'!H372,"")</f>
        <v/>
      </c>
      <c r="I372" t="str">
        <f>IF($A372&lt;&gt;"",'All Cases - Enter Cases'!I372,"")</f>
        <v/>
      </c>
      <c r="J372" t="str">
        <f>IF($A372&lt;&gt;"",'All Cases - Enter Cases'!J372,"")</f>
        <v/>
      </c>
      <c r="K372" t="str">
        <f>IF($A372&lt;&gt;"",'All Cases - Enter Cases'!K372,"")</f>
        <v/>
      </c>
      <c r="L372" t="str">
        <f>IF($A372&lt;&gt;"",'All Cases - Enter Cases'!L372,"")</f>
        <v/>
      </c>
      <c r="M372" t="str">
        <f>IF($A372&lt;&gt;"",'All Cases - Enter Cases'!M372,"")</f>
        <v/>
      </c>
    </row>
    <row r="373" spans="1:13" x14ac:dyDescent="0.35">
      <c r="A373" t="str">
        <f>IF('All Cases - Enter Cases'!$F373="KPK",'All Cases - Enter Cases'!A373,"")</f>
        <v/>
      </c>
      <c r="B373" t="str">
        <f>IF($A373&lt;&gt;"",'All Cases - Enter Cases'!B373,"")</f>
        <v/>
      </c>
      <c r="C373" t="str">
        <f>IF($A373&lt;&gt;"",'All Cases - Enter Cases'!C373,"")</f>
        <v/>
      </c>
      <c r="D373" t="str">
        <f>IF($A373&lt;&gt;"",'All Cases - Enter Cases'!D373,"")</f>
        <v/>
      </c>
      <c r="E373" t="str">
        <f>IF($A373&lt;&gt;"",'All Cases - Enter Cases'!E373,"")</f>
        <v/>
      </c>
      <c r="F373" t="str">
        <f>IF($A373&lt;&gt;"",'All Cases - Enter Cases'!F373,"")</f>
        <v/>
      </c>
      <c r="G373" t="str">
        <f>IF($A373&lt;&gt;"",'All Cases - Enter Cases'!G373,"")</f>
        <v/>
      </c>
      <c r="H373" t="str">
        <f>IF($A373&lt;&gt;"",'All Cases - Enter Cases'!H373,"")</f>
        <v/>
      </c>
      <c r="I373" t="str">
        <f>IF($A373&lt;&gt;"",'All Cases - Enter Cases'!I373,"")</f>
        <v/>
      </c>
      <c r="J373" t="str">
        <f>IF($A373&lt;&gt;"",'All Cases - Enter Cases'!J373,"")</f>
        <v/>
      </c>
      <c r="K373" t="str">
        <f>IF($A373&lt;&gt;"",'All Cases - Enter Cases'!K373,"")</f>
        <v/>
      </c>
      <c r="L373" t="str">
        <f>IF($A373&lt;&gt;"",'All Cases - Enter Cases'!L373,"")</f>
        <v/>
      </c>
      <c r="M373" t="str">
        <f>IF($A373&lt;&gt;"",'All Cases - Enter Cases'!M373,"")</f>
        <v/>
      </c>
    </row>
    <row r="374" spans="1:13" x14ac:dyDescent="0.35">
      <c r="A374" t="str">
        <f>IF('All Cases - Enter Cases'!$F374="KPK",'All Cases - Enter Cases'!A374,"")</f>
        <v/>
      </c>
      <c r="B374" t="str">
        <f>IF($A374&lt;&gt;"",'All Cases - Enter Cases'!B374,"")</f>
        <v/>
      </c>
      <c r="C374" t="str">
        <f>IF($A374&lt;&gt;"",'All Cases - Enter Cases'!C374,"")</f>
        <v/>
      </c>
      <c r="D374" t="str">
        <f>IF($A374&lt;&gt;"",'All Cases - Enter Cases'!D374,"")</f>
        <v/>
      </c>
      <c r="E374" t="str">
        <f>IF($A374&lt;&gt;"",'All Cases - Enter Cases'!E374,"")</f>
        <v/>
      </c>
      <c r="F374" t="str">
        <f>IF($A374&lt;&gt;"",'All Cases - Enter Cases'!F374,"")</f>
        <v/>
      </c>
      <c r="G374" t="str">
        <f>IF($A374&lt;&gt;"",'All Cases - Enter Cases'!G374,"")</f>
        <v/>
      </c>
      <c r="H374" t="str">
        <f>IF($A374&lt;&gt;"",'All Cases - Enter Cases'!H374,"")</f>
        <v/>
      </c>
      <c r="I374" t="str">
        <f>IF($A374&lt;&gt;"",'All Cases - Enter Cases'!I374,"")</f>
        <v/>
      </c>
      <c r="J374" t="str">
        <f>IF($A374&lt;&gt;"",'All Cases - Enter Cases'!J374,"")</f>
        <v/>
      </c>
      <c r="K374" t="str">
        <f>IF($A374&lt;&gt;"",'All Cases - Enter Cases'!K374,"")</f>
        <v/>
      </c>
      <c r="L374" t="str">
        <f>IF($A374&lt;&gt;"",'All Cases - Enter Cases'!L374,"")</f>
        <v/>
      </c>
      <c r="M374" t="str">
        <f>IF($A374&lt;&gt;"",'All Cases - Enter Cases'!M374,"")</f>
        <v/>
      </c>
    </row>
    <row r="375" spans="1:13" x14ac:dyDescent="0.35">
      <c r="A375" t="str">
        <f>IF('All Cases - Enter Cases'!$F375="KPK",'All Cases - Enter Cases'!A375,"")</f>
        <v/>
      </c>
      <c r="B375" t="str">
        <f>IF($A375&lt;&gt;"",'All Cases - Enter Cases'!B375,"")</f>
        <v/>
      </c>
      <c r="C375" t="str">
        <f>IF($A375&lt;&gt;"",'All Cases - Enter Cases'!C375,"")</f>
        <v/>
      </c>
      <c r="D375" t="str">
        <f>IF($A375&lt;&gt;"",'All Cases - Enter Cases'!D375,"")</f>
        <v/>
      </c>
      <c r="E375" t="str">
        <f>IF($A375&lt;&gt;"",'All Cases - Enter Cases'!E375,"")</f>
        <v/>
      </c>
      <c r="F375" t="str">
        <f>IF($A375&lt;&gt;"",'All Cases - Enter Cases'!F375,"")</f>
        <v/>
      </c>
      <c r="G375" t="str">
        <f>IF($A375&lt;&gt;"",'All Cases - Enter Cases'!G375,"")</f>
        <v/>
      </c>
      <c r="H375" t="str">
        <f>IF($A375&lt;&gt;"",'All Cases - Enter Cases'!H375,"")</f>
        <v/>
      </c>
      <c r="I375" t="str">
        <f>IF($A375&lt;&gt;"",'All Cases - Enter Cases'!I375,"")</f>
        <v/>
      </c>
      <c r="J375" t="str">
        <f>IF($A375&lt;&gt;"",'All Cases - Enter Cases'!J375,"")</f>
        <v/>
      </c>
      <c r="K375" t="str">
        <f>IF($A375&lt;&gt;"",'All Cases - Enter Cases'!K375,"")</f>
        <v/>
      </c>
      <c r="L375" t="str">
        <f>IF($A375&lt;&gt;"",'All Cases - Enter Cases'!L375,"")</f>
        <v/>
      </c>
      <c r="M375" t="str">
        <f>IF($A375&lt;&gt;"",'All Cases - Enter Cases'!M375,"")</f>
        <v/>
      </c>
    </row>
    <row r="376" spans="1:13" x14ac:dyDescent="0.35">
      <c r="A376" t="str">
        <f>IF('All Cases - Enter Cases'!$F376="KPK",'All Cases - Enter Cases'!A376,"")</f>
        <v/>
      </c>
      <c r="B376" t="str">
        <f>IF($A376&lt;&gt;"",'All Cases - Enter Cases'!B376,"")</f>
        <v/>
      </c>
      <c r="C376" t="str">
        <f>IF($A376&lt;&gt;"",'All Cases - Enter Cases'!C376,"")</f>
        <v/>
      </c>
      <c r="D376" t="str">
        <f>IF($A376&lt;&gt;"",'All Cases - Enter Cases'!D376,"")</f>
        <v/>
      </c>
      <c r="E376" t="str">
        <f>IF($A376&lt;&gt;"",'All Cases - Enter Cases'!E376,"")</f>
        <v/>
      </c>
      <c r="F376" t="str">
        <f>IF($A376&lt;&gt;"",'All Cases - Enter Cases'!F376,"")</f>
        <v/>
      </c>
      <c r="G376" t="str">
        <f>IF($A376&lt;&gt;"",'All Cases - Enter Cases'!G376,"")</f>
        <v/>
      </c>
      <c r="H376" t="str">
        <f>IF($A376&lt;&gt;"",'All Cases - Enter Cases'!H376,"")</f>
        <v/>
      </c>
      <c r="I376" t="str">
        <f>IF($A376&lt;&gt;"",'All Cases - Enter Cases'!I376,"")</f>
        <v/>
      </c>
      <c r="J376" t="str">
        <f>IF($A376&lt;&gt;"",'All Cases - Enter Cases'!J376,"")</f>
        <v/>
      </c>
      <c r="K376" t="str">
        <f>IF($A376&lt;&gt;"",'All Cases - Enter Cases'!K376,"")</f>
        <v/>
      </c>
      <c r="L376" t="str">
        <f>IF($A376&lt;&gt;"",'All Cases - Enter Cases'!L376,"")</f>
        <v/>
      </c>
      <c r="M376" t="str">
        <f>IF($A376&lt;&gt;"",'All Cases - Enter Cases'!M376,"")</f>
        <v/>
      </c>
    </row>
    <row r="377" spans="1:13" x14ac:dyDescent="0.35">
      <c r="A377" t="str">
        <f>IF('All Cases - Enter Cases'!$F377="KPK",'All Cases - Enter Cases'!A377,"")</f>
        <v/>
      </c>
      <c r="B377" t="str">
        <f>IF($A377&lt;&gt;"",'All Cases - Enter Cases'!B377,"")</f>
        <v/>
      </c>
      <c r="C377" t="str">
        <f>IF($A377&lt;&gt;"",'All Cases - Enter Cases'!C377,"")</f>
        <v/>
      </c>
      <c r="D377" t="str">
        <f>IF($A377&lt;&gt;"",'All Cases - Enter Cases'!D377,"")</f>
        <v/>
      </c>
      <c r="E377" t="str">
        <f>IF($A377&lt;&gt;"",'All Cases - Enter Cases'!E377,"")</f>
        <v/>
      </c>
      <c r="F377" t="str">
        <f>IF($A377&lt;&gt;"",'All Cases - Enter Cases'!F377,"")</f>
        <v/>
      </c>
      <c r="G377" t="str">
        <f>IF($A377&lt;&gt;"",'All Cases - Enter Cases'!G377,"")</f>
        <v/>
      </c>
      <c r="H377" t="str">
        <f>IF($A377&lt;&gt;"",'All Cases - Enter Cases'!H377,"")</f>
        <v/>
      </c>
      <c r="I377" t="str">
        <f>IF($A377&lt;&gt;"",'All Cases - Enter Cases'!I377,"")</f>
        <v/>
      </c>
      <c r="J377" t="str">
        <f>IF($A377&lt;&gt;"",'All Cases - Enter Cases'!J377,"")</f>
        <v/>
      </c>
      <c r="K377" t="str">
        <f>IF($A377&lt;&gt;"",'All Cases - Enter Cases'!K377,"")</f>
        <v/>
      </c>
      <c r="L377" t="str">
        <f>IF($A377&lt;&gt;"",'All Cases - Enter Cases'!L377,"")</f>
        <v/>
      </c>
      <c r="M377" t="str">
        <f>IF($A377&lt;&gt;"",'All Cases - Enter Cases'!M377,"")</f>
        <v/>
      </c>
    </row>
    <row r="378" spans="1:13" x14ac:dyDescent="0.35">
      <c r="A378" t="str">
        <f>IF('All Cases - Enter Cases'!$F378="KPK",'All Cases - Enter Cases'!A378,"")</f>
        <v/>
      </c>
      <c r="B378" t="str">
        <f>IF($A378&lt;&gt;"",'All Cases - Enter Cases'!B378,"")</f>
        <v/>
      </c>
      <c r="C378" t="str">
        <f>IF($A378&lt;&gt;"",'All Cases - Enter Cases'!C378,"")</f>
        <v/>
      </c>
      <c r="D378" t="str">
        <f>IF($A378&lt;&gt;"",'All Cases - Enter Cases'!D378,"")</f>
        <v/>
      </c>
      <c r="E378" t="str">
        <f>IF($A378&lt;&gt;"",'All Cases - Enter Cases'!E378,"")</f>
        <v/>
      </c>
      <c r="F378" t="str">
        <f>IF($A378&lt;&gt;"",'All Cases - Enter Cases'!F378,"")</f>
        <v/>
      </c>
      <c r="G378" t="str">
        <f>IF($A378&lt;&gt;"",'All Cases - Enter Cases'!G378,"")</f>
        <v/>
      </c>
      <c r="H378" t="str">
        <f>IF($A378&lt;&gt;"",'All Cases - Enter Cases'!H378,"")</f>
        <v/>
      </c>
      <c r="I378" t="str">
        <f>IF($A378&lt;&gt;"",'All Cases - Enter Cases'!I378,"")</f>
        <v/>
      </c>
      <c r="J378" t="str">
        <f>IF($A378&lt;&gt;"",'All Cases - Enter Cases'!J378,"")</f>
        <v/>
      </c>
      <c r="K378" t="str">
        <f>IF($A378&lt;&gt;"",'All Cases - Enter Cases'!K378,"")</f>
        <v/>
      </c>
      <c r="L378" t="str">
        <f>IF($A378&lt;&gt;"",'All Cases - Enter Cases'!L378,"")</f>
        <v/>
      </c>
      <c r="M378" t="str">
        <f>IF($A378&lt;&gt;"",'All Cases - Enter Cases'!M378,"")</f>
        <v/>
      </c>
    </row>
    <row r="379" spans="1:13" x14ac:dyDescent="0.35">
      <c r="A379" t="str">
        <f>IF('All Cases - Enter Cases'!$F379="KPK",'All Cases - Enter Cases'!A379,"")</f>
        <v/>
      </c>
      <c r="B379" t="str">
        <f>IF($A379&lt;&gt;"",'All Cases - Enter Cases'!B379,"")</f>
        <v/>
      </c>
      <c r="C379" t="str">
        <f>IF($A379&lt;&gt;"",'All Cases - Enter Cases'!C379,"")</f>
        <v/>
      </c>
      <c r="D379" t="str">
        <f>IF($A379&lt;&gt;"",'All Cases - Enter Cases'!D379,"")</f>
        <v/>
      </c>
      <c r="E379" t="str">
        <f>IF($A379&lt;&gt;"",'All Cases - Enter Cases'!E379,"")</f>
        <v/>
      </c>
      <c r="F379" t="str">
        <f>IF($A379&lt;&gt;"",'All Cases - Enter Cases'!F379,"")</f>
        <v/>
      </c>
      <c r="G379" t="str">
        <f>IF($A379&lt;&gt;"",'All Cases - Enter Cases'!G379,"")</f>
        <v/>
      </c>
      <c r="H379" t="str">
        <f>IF($A379&lt;&gt;"",'All Cases - Enter Cases'!H379,"")</f>
        <v/>
      </c>
      <c r="I379" t="str">
        <f>IF($A379&lt;&gt;"",'All Cases - Enter Cases'!I379,"")</f>
        <v/>
      </c>
      <c r="J379" t="str">
        <f>IF($A379&lt;&gt;"",'All Cases - Enter Cases'!J379,"")</f>
        <v/>
      </c>
      <c r="K379" t="str">
        <f>IF($A379&lt;&gt;"",'All Cases - Enter Cases'!K379,"")</f>
        <v/>
      </c>
      <c r="L379" t="str">
        <f>IF($A379&lt;&gt;"",'All Cases - Enter Cases'!L379,"")</f>
        <v/>
      </c>
      <c r="M379" t="str">
        <f>IF($A379&lt;&gt;"",'All Cases - Enter Cases'!M379,"")</f>
        <v/>
      </c>
    </row>
    <row r="380" spans="1:13" x14ac:dyDescent="0.35">
      <c r="A380" t="str">
        <f>IF('All Cases - Enter Cases'!$F380="KPK",'All Cases - Enter Cases'!A380,"")</f>
        <v/>
      </c>
      <c r="B380" t="str">
        <f>IF($A380&lt;&gt;"",'All Cases - Enter Cases'!B380,"")</f>
        <v/>
      </c>
      <c r="C380" t="str">
        <f>IF($A380&lt;&gt;"",'All Cases - Enter Cases'!C380,"")</f>
        <v/>
      </c>
      <c r="D380" t="str">
        <f>IF($A380&lt;&gt;"",'All Cases - Enter Cases'!D380,"")</f>
        <v/>
      </c>
      <c r="E380" t="str">
        <f>IF($A380&lt;&gt;"",'All Cases - Enter Cases'!E380,"")</f>
        <v/>
      </c>
      <c r="F380" t="str">
        <f>IF($A380&lt;&gt;"",'All Cases - Enter Cases'!F380,"")</f>
        <v/>
      </c>
      <c r="G380" t="str">
        <f>IF($A380&lt;&gt;"",'All Cases - Enter Cases'!G380,"")</f>
        <v/>
      </c>
      <c r="H380" t="str">
        <f>IF($A380&lt;&gt;"",'All Cases - Enter Cases'!H380,"")</f>
        <v/>
      </c>
      <c r="I380" t="str">
        <f>IF($A380&lt;&gt;"",'All Cases - Enter Cases'!I380,"")</f>
        <v/>
      </c>
      <c r="J380" t="str">
        <f>IF($A380&lt;&gt;"",'All Cases - Enter Cases'!J380,"")</f>
        <v/>
      </c>
      <c r="K380" t="str">
        <f>IF($A380&lt;&gt;"",'All Cases - Enter Cases'!K380,"")</f>
        <v/>
      </c>
      <c r="L380" t="str">
        <f>IF($A380&lt;&gt;"",'All Cases - Enter Cases'!L380,"")</f>
        <v/>
      </c>
      <c r="M380" t="str">
        <f>IF($A380&lt;&gt;"",'All Cases - Enter Cases'!M380,"")</f>
        <v/>
      </c>
    </row>
    <row r="381" spans="1:13" x14ac:dyDescent="0.35">
      <c r="A381" t="str">
        <f>IF('All Cases - Enter Cases'!$F381="KPK",'All Cases - Enter Cases'!A381,"")</f>
        <v/>
      </c>
      <c r="B381" t="str">
        <f>IF($A381&lt;&gt;"",'All Cases - Enter Cases'!B381,"")</f>
        <v/>
      </c>
      <c r="C381" t="str">
        <f>IF($A381&lt;&gt;"",'All Cases - Enter Cases'!C381,"")</f>
        <v/>
      </c>
      <c r="D381" t="str">
        <f>IF($A381&lt;&gt;"",'All Cases - Enter Cases'!D381,"")</f>
        <v/>
      </c>
      <c r="E381" t="str">
        <f>IF($A381&lt;&gt;"",'All Cases - Enter Cases'!E381,"")</f>
        <v/>
      </c>
      <c r="F381" t="str">
        <f>IF($A381&lt;&gt;"",'All Cases - Enter Cases'!F381,"")</f>
        <v/>
      </c>
      <c r="G381" t="str">
        <f>IF($A381&lt;&gt;"",'All Cases - Enter Cases'!G381,"")</f>
        <v/>
      </c>
      <c r="H381" t="str">
        <f>IF($A381&lt;&gt;"",'All Cases - Enter Cases'!H381,"")</f>
        <v/>
      </c>
      <c r="I381" t="str">
        <f>IF($A381&lt;&gt;"",'All Cases - Enter Cases'!I381,"")</f>
        <v/>
      </c>
      <c r="J381" t="str">
        <f>IF($A381&lt;&gt;"",'All Cases - Enter Cases'!J381,"")</f>
        <v/>
      </c>
      <c r="K381" t="str">
        <f>IF($A381&lt;&gt;"",'All Cases - Enter Cases'!K381,"")</f>
        <v/>
      </c>
      <c r="L381" t="str">
        <f>IF($A381&lt;&gt;"",'All Cases - Enter Cases'!L381,"")</f>
        <v/>
      </c>
      <c r="M381" t="str">
        <f>IF($A381&lt;&gt;"",'All Cases - Enter Cases'!M381,"")</f>
        <v/>
      </c>
    </row>
    <row r="382" spans="1:13" x14ac:dyDescent="0.35">
      <c r="A382" t="str">
        <f>IF('All Cases - Enter Cases'!$F382="KPK",'All Cases - Enter Cases'!A382,"")</f>
        <v/>
      </c>
      <c r="B382" t="str">
        <f>IF($A382&lt;&gt;"",'All Cases - Enter Cases'!B382,"")</f>
        <v/>
      </c>
      <c r="C382" t="str">
        <f>IF($A382&lt;&gt;"",'All Cases - Enter Cases'!C382,"")</f>
        <v/>
      </c>
      <c r="D382" t="str">
        <f>IF($A382&lt;&gt;"",'All Cases - Enter Cases'!D382,"")</f>
        <v/>
      </c>
      <c r="E382" t="str">
        <f>IF($A382&lt;&gt;"",'All Cases - Enter Cases'!E382,"")</f>
        <v/>
      </c>
      <c r="F382" t="str">
        <f>IF($A382&lt;&gt;"",'All Cases - Enter Cases'!F382,"")</f>
        <v/>
      </c>
      <c r="G382" t="str">
        <f>IF($A382&lt;&gt;"",'All Cases - Enter Cases'!G382,"")</f>
        <v/>
      </c>
      <c r="H382" t="str">
        <f>IF($A382&lt;&gt;"",'All Cases - Enter Cases'!H382,"")</f>
        <v/>
      </c>
      <c r="I382" t="str">
        <f>IF($A382&lt;&gt;"",'All Cases - Enter Cases'!I382,"")</f>
        <v/>
      </c>
      <c r="J382" t="str">
        <f>IF($A382&lt;&gt;"",'All Cases - Enter Cases'!J382,"")</f>
        <v/>
      </c>
      <c r="K382" t="str">
        <f>IF($A382&lt;&gt;"",'All Cases - Enter Cases'!K382,"")</f>
        <v/>
      </c>
      <c r="L382" t="str">
        <f>IF($A382&lt;&gt;"",'All Cases - Enter Cases'!L382,"")</f>
        <v/>
      </c>
      <c r="M382" t="str">
        <f>IF($A382&lt;&gt;"",'All Cases - Enter Cases'!M382,"")</f>
        <v/>
      </c>
    </row>
    <row r="383" spans="1:13" x14ac:dyDescent="0.35">
      <c r="A383" t="str">
        <f>IF('All Cases - Enter Cases'!$F383="KPK",'All Cases - Enter Cases'!A383,"")</f>
        <v/>
      </c>
      <c r="B383" t="str">
        <f>IF($A383&lt;&gt;"",'All Cases - Enter Cases'!B383,"")</f>
        <v/>
      </c>
      <c r="C383" t="str">
        <f>IF($A383&lt;&gt;"",'All Cases - Enter Cases'!C383,"")</f>
        <v/>
      </c>
      <c r="D383" t="str">
        <f>IF($A383&lt;&gt;"",'All Cases - Enter Cases'!D383,"")</f>
        <v/>
      </c>
      <c r="E383" t="str">
        <f>IF($A383&lt;&gt;"",'All Cases - Enter Cases'!E383,"")</f>
        <v/>
      </c>
      <c r="F383" t="str">
        <f>IF($A383&lt;&gt;"",'All Cases - Enter Cases'!F383,"")</f>
        <v/>
      </c>
      <c r="G383" t="str">
        <f>IF($A383&lt;&gt;"",'All Cases - Enter Cases'!G383,"")</f>
        <v/>
      </c>
      <c r="H383" t="str">
        <f>IF($A383&lt;&gt;"",'All Cases - Enter Cases'!H383,"")</f>
        <v/>
      </c>
      <c r="I383" t="str">
        <f>IF($A383&lt;&gt;"",'All Cases - Enter Cases'!I383,"")</f>
        <v/>
      </c>
      <c r="J383" t="str">
        <f>IF($A383&lt;&gt;"",'All Cases - Enter Cases'!J383,"")</f>
        <v/>
      </c>
      <c r="K383" t="str">
        <f>IF($A383&lt;&gt;"",'All Cases - Enter Cases'!K383,"")</f>
        <v/>
      </c>
      <c r="L383" t="str">
        <f>IF($A383&lt;&gt;"",'All Cases - Enter Cases'!L383,"")</f>
        <v/>
      </c>
      <c r="M383" t="str">
        <f>IF($A383&lt;&gt;"",'All Cases - Enter Cases'!M383,"")</f>
        <v/>
      </c>
    </row>
    <row r="384" spans="1:13" x14ac:dyDescent="0.35">
      <c r="A384" t="str">
        <f>IF('All Cases - Enter Cases'!$F384="KPK",'All Cases - Enter Cases'!A384,"")</f>
        <v/>
      </c>
      <c r="B384" t="str">
        <f>IF($A384&lt;&gt;"",'All Cases - Enter Cases'!B384,"")</f>
        <v/>
      </c>
      <c r="C384" t="str">
        <f>IF($A384&lt;&gt;"",'All Cases - Enter Cases'!C384,"")</f>
        <v/>
      </c>
      <c r="D384" t="str">
        <f>IF($A384&lt;&gt;"",'All Cases - Enter Cases'!D384,"")</f>
        <v/>
      </c>
      <c r="E384" t="str">
        <f>IF($A384&lt;&gt;"",'All Cases - Enter Cases'!E384,"")</f>
        <v/>
      </c>
      <c r="F384" t="str">
        <f>IF($A384&lt;&gt;"",'All Cases - Enter Cases'!F384,"")</f>
        <v/>
      </c>
      <c r="G384" t="str">
        <f>IF($A384&lt;&gt;"",'All Cases - Enter Cases'!G384,"")</f>
        <v/>
      </c>
      <c r="H384" t="str">
        <f>IF($A384&lt;&gt;"",'All Cases - Enter Cases'!H384,"")</f>
        <v/>
      </c>
      <c r="I384" t="str">
        <f>IF($A384&lt;&gt;"",'All Cases - Enter Cases'!I384,"")</f>
        <v/>
      </c>
      <c r="J384" t="str">
        <f>IF($A384&lt;&gt;"",'All Cases - Enter Cases'!J384,"")</f>
        <v/>
      </c>
      <c r="K384" t="str">
        <f>IF($A384&lt;&gt;"",'All Cases - Enter Cases'!K384,"")</f>
        <v/>
      </c>
      <c r="L384" t="str">
        <f>IF($A384&lt;&gt;"",'All Cases - Enter Cases'!L384,"")</f>
        <v/>
      </c>
      <c r="M384" t="str">
        <f>IF($A384&lt;&gt;"",'All Cases - Enter Cases'!M384,"")</f>
        <v/>
      </c>
    </row>
    <row r="385" spans="1:13" x14ac:dyDescent="0.35">
      <c r="A385" t="str">
        <f>IF('All Cases - Enter Cases'!$F385="KPK",'All Cases - Enter Cases'!A385,"")</f>
        <v/>
      </c>
      <c r="B385" t="str">
        <f>IF($A385&lt;&gt;"",'All Cases - Enter Cases'!B385,"")</f>
        <v/>
      </c>
      <c r="C385" t="str">
        <f>IF($A385&lt;&gt;"",'All Cases - Enter Cases'!C385,"")</f>
        <v/>
      </c>
      <c r="D385" t="str">
        <f>IF($A385&lt;&gt;"",'All Cases - Enter Cases'!D385,"")</f>
        <v/>
      </c>
      <c r="E385" t="str">
        <f>IF($A385&lt;&gt;"",'All Cases - Enter Cases'!E385,"")</f>
        <v/>
      </c>
      <c r="F385" t="str">
        <f>IF($A385&lt;&gt;"",'All Cases - Enter Cases'!F385,"")</f>
        <v/>
      </c>
      <c r="G385" t="str">
        <f>IF($A385&lt;&gt;"",'All Cases - Enter Cases'!G385,"")</f>
        <v/>
      </c>
      <c r="H385" t="str">
        <f>IF($A385&lt;&gt;"",'All Cases - Enter Cases'!H385,"")</f>
        <v/>
      </c>
      <c r="I385" t="str">
        <f>IF($A385&lt;&gt;"",'All Cases - Enter Cases'!I385,"")</f>
        <v/>
      </c>
      <c r="J385" t="str">
        <f>IF($A385&lt;&gt;"",'All Cases - Enter Cases'!J385,"")</f>
        <v/>
      </c>
      <c r="K385" t="str">
        <f>IF($A385&lt;&gt;"",'All Cases - Enter Cases'!K385,"")</f>
        <v/>
      </c>
      <c r="L385" t="str">
        <f>IF($A385&lt;&gt;"",'All Cases - Enter Cases'!L385,"")</f>
        <v/>
      </c>
      <c r="M385" t="str">
        <f>IF($A385&lt;&gt;"",'All Cases - Enter Cases'!M385,"")</f>
        <v/>
      </c>
    </row>
    <row r="386" spans="1:13" x14ac:dyDescent="0.35">
      <c r="A386" t="str">
        <f>IF('All Cases - Enter Cases'!$F386="KPK",'All Cases - Enter Cases'!A386,"")</f>
        <v/>
      </c>
      <c r="B386" t="str">
        <f>IF($A386&lt;&gt;"",'All Cases - Enter Cases'!B386,"")</f>
        <v/>
      </c>
      <c r="C386" t="str">
        <f>IF($A386&lt;&gt;"",'All Cases - Enter Cases'!C386,"")</f>
        <v/>
      </c>
      <c r="D386" t="str">
        <f>IF($A386&lt;&gt;"",'All Cases - Enter Cases'!D386,"")</f>
        <v/>
      </c>
      <c r="E386" t="str">
        <f>IF($A386&lt;&gt;"",'All Cases - Enter Cases'!E386,"")</f>
        <v/>
      </c>
      <c r="F386" t="str">
        <f>IF($A386&lt;&gt;"",'All Cases - Enter Cases'!F386,"")</f>
        <v/>
      </c>
      <c r="G386" t="str">
        <f>IF($A386&lt;&gt;"",'All Cases - Enter Cases'!G386,"")</f>
        <v/>
      </c>
      <c r="H386" t="str">
        <f>IF($A386&lt;&gt;"",'All Cases - Enter Cases'!H386,"")</f>
        <v/>
      </c>
      <c r="I386" t="str">
        <f>IF($A386&lt;&gt;"",'All Cases - Enter Cases'!I386,"")</f>
        <v/>
      </c>
      <c r="J386" t="str">
        <f>IF($A386&lt;&gt;"",'All Cases - Enter Cases'!J386,"")</f>
        <v/>
      </c>
      <c r="K386" t="str">
        <f>IF($A386&lt;&gt;"",'All Cases - Enter Cases'!K386,"")</f>
        <v/>
      </c>
      <c r="L386" t="str">
        <f>IF($A386&lt;&gt;"",'All Cases - Enter Cases'!L386,"")</f>
        <v/>
      </c>
      <c r="M386" t="str">
        <f>IF($A386&lt;&gt;"",'All Cases - Enter Cases'!M386,"")</f>
        <v/>
      </c>
    </row>
    <row r="387" spans="1:13" x14ac:dyDescent="0.35">
      <c r="A387" t="str">
        <f>IF('All Cases - Enter Cases'!$F387="KPK",'All Cases - Enter Cases'!A387,"")</f>
        <v/>
      </c>
      <c r="B387" t="str">
        <f>IF($A387&lt;&gt;"",'All Cases - Enter Cases'!B387,"")</f>
        <v/>
      </c>
      <c r="C387" t="str">
        <f>IF($A387&lt;&gt;"",'All Cases - Enter Cases'!C387,"")</f>
        <v/>
      </c>
      <c r="D387" t="str">
        <f>IF($A387&lt;&gt;"",'All Cases - Enter Cases'!D387,"")</f>
        <v/>
      </c>
      <c r="E387" t="str">
        <f>IF($A387&lt;&gt;"",'All Cases - Enter Cases'!E387,"")</f>
        <v/>
      </c>
      <c r="F387" t="str">
        <f>IF($A387&lt;&gt;"",'All Cases - Enter Cases'!F387,"")</f>
        <v/>
      </c>
      <c r="G387" t="str">
        <f>IF($A387&lt;&gt;"",'All Cases - Enter Cases'!G387,"")</f>
        <v/>
      </c>
      <c r="H387" t="str">
        <f>IF($A387&lt;&gt;"",'All Cases - Enter Cases'!H387,"")</f>
        <v/>
      </c>
      <c r="I387" t="str">
        <f>IF($A387&lt;&gt;"",'All Cases - Enter Cases'!I387,"")</f>
        <v/>
      </c>
      <c r="J387" t="str">
        <f>IF($A387&lt;&gt;"",'All Cases - Enter Cases'!J387,"")</f>
        <v/>
      </c>
      <c r="K387" t="str">
        <f>IF($A387&lt;&gt;"",'All Cases - Enter Cases'!K387,"")</f>
        <v/>
      </c>
      <c r="L387" t="str">
        <f>IF($A387&lt;&gt;"",'All Cases - Enter Cases'!L387,"")</f>
        <v/>
      </c>
      <c r="M387" t="str">
        <f>IF($A387&lt;&gt;"",'All Cases - Enter Cases'!M387,"")</f>
        <v/>
      </c>
    </row>
    <row r="388" spans="1:13" x14ac:dyDescent="0.35">
      <c r="A388" t="str">
        <f>IF('All Cases - Enter Cases'!$F388="KPK",'All Cases - Enter Cases'!A388,"")</f>
        <v/>
      </c>
      <c r="B388" t="str">
        <f>IF($A388&lt;&gt;"",'All Cases - Enter Cases'!B388,"")</f>
        <v/>
      </c>
      <c r="C388" t="str">
        <f>IF($A388&lt;&gt;"",'All Cases - Enter Cases'!C388,"")</f>
        <v/>
      </c>
      <c r="D388" t="str">
        <f>IF($A388&lt;&gt;"",'All Cases - Enter Cases'!D388,"")</f>
        <v/>
      </c>
      <c r="E388" t="str">
        <f>IF($A388&lt;&gt;"",'All Cases - Enter Cases'!E388,"")</f>
        <v/>
      </c>
      <c r="F388" t="str">
        <f>IF($A388&lt;&gt;"",'All Cases - Enter Cases'!F388,"")</f>
        <v/>
      </c>
      <c r="G388" t="str">
        <f>IF($A388&lt;&gt;"",'All Cases - Enter Cases'!G388,"")</f>
        <v/>
      </c>
      <c r="H388" t="str">
        <f>IF($A388&lt;&gt;"",'All Cases - Enter Cases'!H388,"")</f>
        <v/>
      </c>
      <c r="I388" t="str">
        <f>IF($A388&lt;&gt;"",'All Cases - Enter Cases'!I388,"")</f>
        <v/>
      </c>
      <c r="J388" t="str">
        <f>IF($A388&lt;&gt;"",'All Cases - Enter Cases'!J388,"")</f>
        <v/>
      </c>
      <c r="K388" t="str">
        <f>IF($A388&lt;&gt;"",'All Cases - Enter Cases'!K388,"")</f>
        <v/>
      </c>
      <c r="L388" t="str">
        <f>IF($A388&lt;&gt;"",'All Cases - Enter Cases'!L388,"")</f>
        <v/>
      </c>
      <c r="M388" t="str">
        <f>IF($A388&lt;&gt;"",'All Cases - Enter Cases'!M388,"")</f>
        <v/>
      </c>
    </row>
    <row r="389" spans="1:13" x14ac:dyDescent="0.35">
      <c r="A389" t="str">
        <f>IF('All Cases - Enter Cases'!$F389="KPK",'All Cases - Enter Cases'!A389,"")</f>
        <v/>
      </c>
      <c r="B389" t="str">
        <f>IF($A389&lt;&gt;"",'All Cases - Enter Cases'!B389,"")</f>
        <v/>
      </c>
      <c r="C389" t="str">
        <f>IF($A389&lt;&gt;"",'All Cases - Enter Cases'!C389,"")</f>
        <v/>
      </c>
      <c r="D389" t="str">
        <f>IF($A389&lt;&gt;"",'All Cases - Enter Cases'!D389,"")</f>
        <v/>
      </c>
      <c r="E389" t="str">
        <f>IF($A389&lt;&gt;"",'All Cases - Enter Cases'!E389,"")</f>
        <v/>
      </c>
      <c r="F389" t="str">
        <f>IF($A389&lt;&gt;"",'All Cases - Enter Cases'!F389,"")</f>
        <v/>
      </c>
      <c r="G389" t="str">
        <f>IF($A389&lt;&gt;"",'All Cases - Enter Cases'!G389,"")</f>
        <v/>
      </c>
      <c r="H389" t="str">
        <f>IF($A389&lt;&gt;"",'All Cases - Enter Cases'!H389,"")</f>
        <v/>
      </c>
      <c r="I389" t="str">
        <f>IF($A389&lt;&gt;"",'All Cases - Enter Cases'!I389,"")</f>
        <v/>
      </c>
      <c r="J389" t="str">
        <f>IF($A389&lt;&gt;"",'All Cases - Enter Cases'!J389,"")</f>
        <v/>
      </c>
      <c r="K389" t="str">
        <f>IF($A389&lt;&gt;"",'All Cases - Enter Cases'!K389,"")</f>
        <v/>
      </c>
      <c r="L389" t="str">
        <f>IF($A389&lt;&gt;"",'All Cases - Enter Cases'!L389,"")</f>
        <v/>
      </c>
      <c r="M389" t="str">
        <f>IF($A389&lt;&gt;"",'All Cases - Enter Cases'!M389,"")</f>
        <v/>
      </c>
    </row>
    <row r="390" spans="1:13" x14ac:dyDescent="0.35">
      <c r="A390" t="str">
        <f>IF('All Cases - Enter Cases'!$F390="KPK",'All Cases - Enter Cases'!A390,"")</f>
        <v/>
      </c>
      <c r="B390" t="str">
        <f>IF($A390&lt;&gt;"",'All Cases - Enter Cases'!B390,"")</f>
        <v/>
      </c>
      <c r="C390" t="str">
        <f>IF($A390&lt;&gt;"",'All Cases - Enter Cases'!C390,"")</f>
        <v/>
      </c>
      <c r="D390" t="str">
        <f>IF($A390&lt;&gt;"",'All Cases - Enter Cases'!D390,"")</f>
        <v/>
      </c>
      <c r="E390" t="str">
        <f>IF($A390&lt;&gt;"",'All Cases - Enter Cases'!E390,"")</f>
        <v/>
      </c>
      <c r="F390" t="str">
        <f>IF($A390&lt;&gt;"",'All Cases - Enter Cases'!F390,"")</f>
        <v/>
      </c>
      <c r="G390" t="str">
        <f>IF($A390&lt;&gt;"",'All Cases - Enter Cases'!G390,"")</f>
        <v/>
      </c>
      <c r="H390" t="str">
        <f>IF($A390&lt;&gt;"",'All Cases - Enter Cases'!H390,"")</f>
        <v/>
      </c>
      <c r="I390" t="str">
        <f>IF($A390&lt;&gt;"",'All Cases - Enter Cases'!I390,"")</f>
        <v/>
      </c>
      <c r="J390" t="str">
        <f>IF($A390&lt;&gt;"",'All Cases - Enter Cases'!J390,"")</f>
        <v/>
      </c>
      <c r="K390" t="str">
        <f>IF($A390&lt;&gt;"",'All Cases - Enter Cases'!K390,"")</f>
        <v/>
      </c>
      <c r="L390" t="str">
        <f>IF($A390&lt;&gt;"",'All Cases - Enter Cases'!L390,"")</f>
        <v/>
      </c>
      <c r="M390" t="str">
        <f>IF($A390&lt;&gt;"",'All Cases - Enter Cases'!M390,"")</f>
        <v/>
      </c>
    </row>
    <row r="391" spans="1:13" x14ac:dyDescent="0.35">
      <c r="A391" t="str">
        <f>IF('All Cases - Enter Cases'!$F391="KPK",'All Cases - Enter Cases'!A391,"")</f>
        <v/>
      </c>
      <c r="B391" t="str">
        <f>IF($A391&lt;&gt;"",'All Cases - Enter Cases'!B391,"")</f>
        <v/>
      </c>
      <c r="C391" t="str">
        <f>IF($A391&lt;&gt;"",'All Cases - Enter Cases'!C391,"")</f>
        <v/>
      </c>
      <c r="D391" t="str">
        <f>IF($A391&lt;&gt;"",'All Cases - Enter Cases'!D391,"")</f>
        <v/>
      </c>
      <c r="E391" t="str">
        <f>IF($A391&lt;&gt;"",'All Cases - Enter Cases'!E391,"")</f>
        <v/>
      </c>
      <c r="F391" t="str">
        <f>IF($A391&lt;&gt;"",'All Cases - Enter Cases'!F391,"")</f>
        <v/>
      </c>
      <c r="G391" t="str">
        <f>IF($A391&lt;&gt;"",'All Cases - Enter Cases'!G391,"")</f>
        <v/>
      </c>
      <c r="H391" t="str">
        <f>IF($A391&lt;&gt;"",'All Cases - Enter Cases'!H391,"")</f>
        <v/>
      </c>
      <c r="I391" t="str">
        <f>IF($A391&lt;&gt;"",'All Cases - Enter Cases'!I391,"")</f>
        <v/>
      </c>
      <c r="J391" t="str">
        <f>IF($A391&lt;&gt;"",'All Cases - Enter Cases'!J391,"")</f>
        <v/>
      </c>
      <c r="K391" t="str">
        <f>IF($A391&lt;&gt;"",'All Cases - Enter Cases'!K391,"")</f>
        <v/>
      </c>
      <c r="L391" t="str">
        <f>IF($A391&lt;&gt;"",'All Cases - Enter Cases'!L391,"")</f>
        <v/>
      </c>
      <c r="M391" t="str">
        <f>IF($A391&lt;&gt;"",'All Cases - Enter Cases'!M391,"")</f>
        <v/>
      </c>
    </row>
    <row r="392" spans="1:13" x14ac:dyDescent="0.35">
      <c r="A392" t="str">
        <f>IF('All Cases - Enter Cases'!$F392="KPK",'All Cases - Enter Cases'!A392,"")</f>
        <v/>
      </c>
      <c r="B392" t="str">
        <f>IF($A392&lt;&gt;"",'All Cases - Enter Cases'!B392,"")</f>
        <v/>
      </c>
      <c r="C392" t="str">
        <f>IF($A392&lt;&gt;"",'All Cases - Enter Cases'!C392,"")</f>
        <v/>
      </c>
      <c r="D392" t="str">
        <f>IF($A392&lt;&gt;"",'All Cases - Enter Cases'!D392,"")</f>
        <v/>
      </c>
      <c r="E392" t="str">
        <f>IF($A392&lt;&gt;"",'All Cases - Enter Cases'!E392,"")</f>
        <v/>
      </c>
      <c r="F392" t="str">
        <f>IF($A392&lt;&gt;"",'All Cases - Enter Cases'!F392,"")</f>
        <v/>
      </c>
      <c r="G392" t="str">
        <f>IF($A392&lt;&gt;"",'All Cases - Enter Cases'!G392,"")</f>
        <v/>
      </c>
      <c r="H392" t="str">
        <f>IF($A392&lt;&gt;"",'All Cases - Enter Cases'!H392,"")</f>
        <v/>
      </c>
      <c r="I392" t="str">
        <f>IF($A392&lt;&gt;"",'All Cases - Enter Cases'!I392,"")</f>
        <v/>
      </c>
      <c r="J392" t="str">
        <f>IF($A392&lt;&gt;"",'All Cases - Enter Cases'!J392,"")</f>
        <v/>
      </c>
      <c r="K392" t="str">
        <f>IF($A392&lt;&gt;"",'All Cases - Enter Cases'!K392,"")</f>
        <v/>
      </c>
      <c r="L392" t="str">
        <f>IF($A392&lt;&gt;"",'All Cases - Enter Cases'!L392,"")</f>
        <v/>
      </c>
      <c r="M392" t="str">
        <f>IF($A392&lt;&gt;"",'All Cases - Enter Cases'!M392,"")</f>
        <v/>
      </c>
    </row>
    <row r="393" spans="1:13" x14ac:dyDescent="0.35">
      <c r="A393" t="str">
        <f>IF('All Cases - Enter Cases'!$F393="KPK",'All Cases - Enter Cases'!A393,"")</f>
        <v/>
      </c>
      <c r="B393" t="str">
        <f>IF($A393&lt;&gt;"",'All Cases - Enter Cases'!B393,"")</f>
        <v/>
      </c>
      <c r="C393" t="str">
        <f>IF($A393&lt;&gt;"",'All Cases - Enter Cases'!C393,"")</f>
        <v/>
      </c>
      <c r="D393" t="str">
        <f>IF($A393&lt;&gt;"",'All Cases - Enter Cases'!D393,"")</f>
        <v/>
      </c>
      <c r="E393" t="str">
        <f>IF($A393&lt;&gt;"",'All Cases - Enter Cases'!E393,"")</f>
        <v/>
      </c>
      <c r="F393" t="str">
        <f>IF($A393&lt;&gt;"",'All Cases - Enter Cases'!F393,"")</f>
        <v/>
      </c>
      <c r="G393" t="str">
        <f>IF($A393&lt;&gt;"",'All Cases - Enter Cases'!G393,"")</f>
        <v/>
      </c>
      <c r="H393" t="str">
        <f>IF($A393&lt;&gt;"",'All Cases - Enter Cases'!H393,"")</f>
        <v/>
      </c>
      <c r="I393" t="str">
        <f>IF($A393&lt;&gt;"",'All Cases - Enter Cases'!I393,"")</f>
        <v/>
      </c>
      <c r="J393" t="str">
        <f>IF($A393&lt;&gt;"",'All Cases - Enter Cases'!J393,"")</f>
        <v/>
      </c>
      <c r="K393" t="str">
        <f>IF($A393&lt;&gt;"",'All Cases - Enter Cases'!K393,"")</f>
        <v/>
      </c>
      <c r="L393" t="str">
        <f>IF($A393&lt;&gt;"",'All Cases - Enter Cases'!L393,"")</f>
        <v/>
      </c>
      <c r="M393" t="str">
        <f>IF($A393&lt;&gt;"",'All Cases - Enter Cases'!M393,"")</f>
        <v/>
      </c>
    </row>
    <row r="394" spans="1:13" x14ac:dyDescent="0.35">
      <c r="A394" t="str">
        <f>IF('All Cases - Enter Cases'!$F394="KPK",'All Cases - Enter Cases'!A394,"")</f>
        <v/>
      </c>
      <c r="B394" t="str">
        <f>IF($A394&lt;&gt;"",'All Cases - Enter Cases'!B394,"")</f>
        <v/>
      </c>
      <c r="C394" t="str">
        <f>IF($A394&lt;&gt;"",'All Cases - Enter Cases'!C394,"")</f>
        <v/>
      </c>
      <c r="D394" t="str">
        <f>IF($A394&lt;&gt;"",'All Cases - Enter Cases'!D394,"")</f>
        <v/>
      </c>
      <c r="E394" t="str">
        <f>IF($A394&lt;&gt;"",'All Cases - Enter Cases'!E394,"")</f>
        <v/>
      </c>
      <c r="F394" t="str">
        <f>IF($A394&lt;&gt;"",'All Cases - Enter Cases'!F394,"")</f>
        <v/>
      </c>
      <c r="G394" t="str">
        <f>IF($A394&lt;&gt;"",'All Cases - Enter Cases'!G394,"")</f>
        <v/>
      </c>
      <c r="H394" t="str">
        <f>IF($A394&lt;&gt;"",'All Cases - Enter Cases'!H394,"")</f>
        <v/>
      </c>
      <c r="I394" t="str">
        <f>IF($A394&lt;&gt;"",'All Cases - Enter Cases'!I394,"")</f>
        <v/>
      </c>
      <c r="J394" t="str">
        <f>IF($A394&lt;&gt;"",'All Cases - Enter Cases'!J394,"")</f>
        <v/>
      </c>
      <c r="K394" t="str">
        <f>IF($A394&lt;&gt;"",'All Cases - Enter Cases'!K394,"")</f>
        <v/>
      </c>
      <c r="L394" t="str">
        <f>IF($A394&lt;&gt;"",'All Cases - Enter Cases'!L394,"")</f>
        <v/>
      </c>
      <c r="M394" t="str">
        <f>IF($A394&lt;&gt;"",'All Cases - Enter Cases'!M394,"")</f>
        <v/>
      </c>
    </row>
    <row r="395" spans="1:13" x14ac:dyDescent="0.35">
      <c r="A395" t="str">
        <f>IF('All Cases - Enter Cases'!$F395="KPK",'All Cases - Enter Cases'!A395,"")</f>
        <v/>
      </c>
      <c r="B395" t="str">
        <f>IF($A395&lt;&gt;"",'All Cases - Enter Cases'!B395,"")</f>
        <v/>
      </c>
      <c r="C395" t="str">
        <f>IF($A395&lt;&gt;"",'All Cases - Enter Cases'!C395,"")</f>
        <v/>
      </c>
      <c r="D395" t="str">
        <f>IF($A395&lt;&gt;"",'All Cases - Enter Cases'!D395,"")</f>
        <v/>
      </c>
      <c r="E395" t="str">
        <f>IF($A395&lt;&gt;"",'All Cases - Enter Cases'!E395,"")</f>
        <v/>
      </c>
      <c r="F395" t="str">
        <f>IF($A395&lt;&gt;"",'All Cases - Enter Cases'!F395,"")</f>
        <v/>
      </c>
      <c r="G395" t="str">
        <f>IF($A395&lt;&gt;"",'All Cases - Enter Cases'!G395,"")</f>
        <v/>
      </c>
      <c r="H395" t="str">
        <f>IF($A395&lt;&gt;"",'All Cases - Enter Cases'!H395,"")</f>
        <v/>
      </c>
      <c r="I395" t="str">
        <f>IF($A395&lt;&gt;"",'All Cases - Enter Cases'!I395,"")</f>
        <v/>
      </c>
      <c r="J395" t="str">
        <f>IF($A395&lt;&gt;"",'All Cases - Enter Cases'!J395,"")</f>
        <v/>
      </c>
      <c r="K395" t="str">
        <f>IF($A395&lt;&gt;"",'All Cases - Enter Cases'!K395,"")</f>
        <v/>
      </c>
      <c r="L395" t="str">
        <f>IF($A395&lt;&gt;"",'All Cases - Enter Cases'!L395,"")</f>
        <v/>
      </c>
      <c r="M395" t="str">
        <f>IF($A395&lt;&gt;"",'All Cases - Enter Cases'!M395,"")</f>
        <v/>
      </c>
    </row>
    <row r="396" spans="1:13" x14ac:dyDescent="0.35">
      <c r="A396" t="str">
        <f>IF('All Cases - Enter Cases'!$F396="KPK",'All Cases - Enter Cases'!A396,"")</f>
        <v/>
      </c>
      <c r="B396" t="str">
        <f>IF($A396&lt;&gt;"",'All Cases - Enter Cases'!B396,"")</f>
        <v/>
      </c>
      <c r="C396" t="str">
        <f>IF($A396&lt;&gt;"",'All Cases - Enter Cases'!C396,"")</f>
        <v/>
      </c>
      <c r="D396" t="str">
        <f>IF($A396&lt;&gt;"",'All Cases - Enter Cases'!D396,"")</f>
        <v/>
      </c>
      <c r="E396" t="str">
        <f>IF($A396&lt;&gt;"",'All Cases - Enter Cases'!E396,"")</f>
        <v/>
      </c>
      <c r="F396" t="str">
        <f>IF($A396&lt;&gt;"",'All Cases - Enter Cases'!F396,"")</f>
        <v/>
      </c>
      <c r="G396" t="str">
        <f>IF($A396&lt;&gt;"",'All Cases - Enter Cases'!G396,"")</f>
        <v/>
      </c>
      <c r="H396" t="str">
        <f>IF($A396&lt;&gt;"",'All Cases - Enter Cases'!H396,"")</f>
        <v/>
      </c>
      <c r="I396" t="str">
        <f>IF($A396&lt;&gt;"",'All Cases - Enter Cases'!I396,"")</f>
        <v/>
      </c>
      <c r="J396" t="str">
        <f>IF($A396&lt;&gt;"",'All Cases - Enter Cases'!J396,"")</f>
        <v/>
      </c>
      <c r="K396" t="str">
        <f>IF($A396&lt;&gt;"",'All Cases - Enter Cases'!K396,"")</f>
        <v/>
      </c>
      <c r="L396" t="str">
        <f>IF($A396&lt;&gt;"",'All Cases - Enter Cases'!L396,"")</f>
        <v/>
      </c>
      <c r="M396" t="str">
        <f>IF($A396&lt;&gt;"",'All Cases - Enter Cases'!M396,"")</f>
        <v/>
      </c>
    </row>
    <row r="397" spans="1:13" x14ac:dyDescent="0.35">
      <c r="A397" t="str">
        <f>IF('All Cases - Enter Cases'!$F397="KPK",'All Cases - Enter Cases'!A397,"")</f>
        <v/>
      </c>
      <c r="B397" t="str">
        <f>IF($A397&lt;&gt;"",'All Cases - Enter Cases'!B397,"")</f>
        <v/>
      </c>
      <c r="C397" t="str">
        <f>IF($A397&lt;&gt;"",'All Cases - Enter Cases'!C397,"")</f>
        <v/>
      </c>
      <c r="D397" t="str">
        <f>IF($A397&lt;&gt;"",'All Cases - Enter Cases'!D397,"")</f>
        <v/>
      </c>
      <c r="E397" t="str">
        <f>IF($A397&lt;&gt;"",'All Cases - Enter Cases'!E397,"")</f>
        <v/>
      </c>
      <c r="F397" t="str">
        <f>IF($A397&lt;&gt;"",'All Cases - Enter Cases'!F397,"")</f>
        <v/>
      </c>
      <c r="G397" t="str">
        <f>IF($A397&lt;&gt;"",'All Cases - Enter Cases'!G397,"")</f>
        <v/>
      </c>
      <c r="H397" t="str">
        <f>IF($A397&lt;&gt;"",'All Cases - Enter Cases'!H397,"")</f>
        <v/>
      </c>
      <c r="I397" t="str">
        <f>IF($A397&lt;&gt;"",'All Cases - Enter Cases'!I397,"")</f>
        <v/>
      </c>
      <c r="J397" t="str">
        <f>IF($A397&lt;&gt;"",'All Cases - Enter Cases'!J397,"")</f>
        <v/>
      </c>
      <c r="K397" t="str">
        <f>IF($A397&lt;&gt;"",'All Cases - Enter Cases'!K397,"")</f>
        <v/>
      </c>
      <c r="L397" t="str">
        <f>IF($A397&lt;&gt;"",'All Cases - Enter Cases'!L397,"")</f>
        <v/>
      </c>
      <c r="M397" t="str">
        <f>IF($A397&lt;&gt;"",'All Cases - Enter Cases'!M397,"")</f>
        <v/>
      </c>
    </row>
    <row r="398" spans="1:13" x14ac:dyDescent="0.35">
      <c r="A398" t="str">
        <f>IF('All Cases - Enter Cases'!$F398="KPK",'All Cases - Enter Cases'!A398,"")</f>
        <v/>
      </c>
      <c r="B398" t="str">
        <f>IF($A398&lt;&gt;"",'All Cases - Enter Cases'!B398,"")</f>
        <v/>
      </c>
      <c r="C398" t="str">
        <f>IF($A398&lt;&gt;"",'All Cases - Enter Cases'!C398,"")</f>
        <v/>
      </c>
      <c r="D398" t="str">
        <f>IF($A398&lt;&gt;"",'All Cases - Enter Cases'!D398,"")</f>
        <v/>
      </c>
      <c r="E398" t="str">
        <f>IF($A398&lt;&gt;"",'All Cases - Enter Cases'!E398,"")</f>
        <v/>
      </c>
      <c r="F398" t="str">
        <f>IF($A398&lt;&gt;"",'All Cases - Enter Cases'!F398,"")</f>
        <v/>
      </c>
      <c r="G398" t="str">
        <f>IF($A398&lt;&gt;"",'All Cases - Enter Cases'!G398,"")</f>
        <v/>
      </c>
      <c r="H398" t="str">
        <f>IF($A398&lt;&gt;"",'All Cases - Enter Cases'!H398,"")</f>
        <v/>
      </c>
      <c r="I398" t="str">
        <f>IF($A398&lt;&gt;"",'All Cases - Enter Cases'!I398,"")</f>
        <v/>
      </c>
      <c r="J398" t="str">
        <f>IF($A398&lt;&gt;"",'All Cases - Enter Cases'!J398,"")</f>
        <v/>
      </c>
      <c r="K398" t="str">
        <f>IF($A398&lt;&gt;"",'All Cases - Enter Cases'!K398,"")</f>
        <v/>
      </c>
      <c r="L398" t="str">
        <f>IF($A398&lt;&gt;"",'All Cases - Enter Cases'!L398,"")</f>
        <v/>
      </c>
      <c r="M398" t="str">
        <f>IF($A398&lt;&gt;"",'All Cases - Enter Cases'!M398,"")</f>
        <v/>
      </c>
    </row>
    <row r="399" spans="1:13" x14ac:dyDescent="0.35">
      <c r="A399" t="str">
        <f>IF('All Cases - Enter Cases'!$F399="KPK",'All Cases - Enter Cases'!A399,"")</f>
        <v/>
      </c>
      <c r="B399" t="str">
        <f>IF($A399&lt;&gt;"",'All Cases - Enter Cases'!B399,"")</f>
        <v/>
      </c>
      <c r="C399" t="str">
        <f>IF($A399&lt;&gt;"",'All Cases - Enter Cases'!C399,"")</f>
        <v/>
      </c>
      <c r="D399" t="str">
        <f>IF($A399&lt;&gt;"",'All Cases - Enter Cases'!D399,"")</f>
        <v/>
      </c>
      <c r="E399" t="str">
        <f>IF($A399&lt;&gt;"",'All Cases - Enter Cases'!E399,"")</f>
        <v/>
      </c>
      <c r="F399" t="str">
        <f>IF($A399&lt;&gt;"",'All Cases - Enter Cases'!F399,"")</f>
        <v/>
      </c>
      <c r="G399" t="str">
        <f>IF($A399&lt;&gt;"",'All Cases - Enter Cases'!G399,"")</f>
        <v/>
      </c>
      <c r="H399" t="str">
        <f>IF($A399&lt;&gt;"",'All Cases - Enter Cases'!H399,"")</f>
        <v/>
      </c>
      <c r="I399" t="str">
        <f>IF($A399&lt;&gt;"",'All Cases - Enter Cases'!I399,"")</f>
        <v/>
      </c>
      <c r="J399" t="str">
        <f>IF($A399&lt;&gt;"",'All Cases - Enter Cases'!J399,"")</f>
        <v/>
      </c>
      <c r="K399" t="str">
        <f>IF($A399&lt;&gt;"",'All Cases - Enter Cases'!K399,"")</f>
        <v/>
      </c>
      <c r="L399" t="str">
        <f>IF($A399&lt;&gt;"",'All Cases - Enter Cases'!L399,"")</f>
        <v/>
      </c>
      <c r="M399" t="str">
        <f>IF($A399&lt;&gt;"",'All Cases - Enter Cases'!M399,"")</f>
        <v/>
      </c>
    </row>
    <row r="400" spans="1:13" x14ac:dyDescent="0.35">
      <c r="A400" t="str">
        <f>IF('All Cases - Enter Cases'!$F400="KPK",'All Cases - Enter Cases'!A400,"")</f>
        <v/>
      </c>
      <c r="B400" t="str">
        <f>IF($A400&lt;&gt;"",'All Cases - Enter Cases'!B400,"")</f>
        <v/>
      </c>
      <c r="C400" t="str">
        <f>IF($A400&lt;&gt;"",'All Cases - Enter Cases'!C400,"")</f>
        <v/>
      </c>
      <c r="D400" t="str">
        <f>IF($A400&lt;&gt;"",'All Cases - Enter Cases'!D400,"")</f>
        <v/>
      </c>
      <c r="E400" t="str">
        <f>IF($A400&lt;&gt;"",'All Cases - Enter Cases'!E400,"")</f>
        <v/>
      </c>
      <c r="F400" t="str">
        <f>IF($A400&lt;&gt;"",'All Cases - Enter Cases'!F400,"")</f>
        <v/>
      </c>
      <c r="G400" t="str">
        <f>IF($A400&lt;&gt;"",'All Cases - Enter Cases'!G400,"")</f>
        <v/>
      </c>
      <c r="H400" t="str">
        <f>IF($A400&lt;&gt;"",'All Cases - Enter Cases'!H400,"")</f>
        <v/>
      </c>
      <c r="I400" t="str">
        <f>IF($A400&lt;&gt;"",'All Cases - Enter Cases'!I400,"")</f>
        <v/>
      </c>
      <c r="J400" t="str">
        <f>IF($A400&lt;&gt;"",'All Cases - Enter Cases'!J400,"")</f>
        <v/>
      </c>
      <c r="K400" t="str">
        <f>IF($A400&lt;&gt;"",'All Cases - Enter Cases'!K400,"")</f>
        <v/>
      </c>
      <c r="L400" t="str">
        <f>IF($A400&lt;&gt;"",'All Cases - Enter Cases'!L400,"")</f>
        <v/>
      </c>
      <c r="M400" t="str">
        <f>IF($A400&lt;&gt;"",'All Cases - Enter Cases'!M400,"")</f>
        <v/>
      </c>
    </row>
    <row r="401" spans="1:13" x14ac:dyDescent="0.35">
      <c r="A401" t="str">
        <f>IF('All Cases - Enter Cases'!$F401="KPK",'All Cases - Enter Cases'!A401,"")</f>
        <v/>
      </c>
      <c r="B401" t="str">
        <f>IF($A401&lt;&gt;"",'All Cases - Enter Cases'!B401,"")</f>
        <v/>
      </c>
      <c r="C401" t="str">
        <f>IF($A401&lt;&gt;"",'All Cases - Enter Cases'!C401,"")</f>
        <v/>
      </c>
      <c r="D401" t="str">
        <f>IF($A401&lt;&gt;"",'All Cases - Enter Cases'!D401,"")</f>
        <v/>
      </c>
      <c r="E401" t="str">
        <f>IF($A401&lt;&gt;"",'All Cases - Enter Cases'!E401,"")</f>
        <v/>
      </c>
      <c r="F401" t="str">
        <f>IF($A401&lt;&gt;"",'All Cases - Enter Cases'!F401,"")</f>
        <v/>
      </c>
      <c r="G401" t="str">
        <f>IF($A401&lt;&gt;"",'All Cases - Enter Cases'!G401,"")</f>
        <v/>
      </c>
      <c r="H401" t="str">
        <f>IF($A401&lt;&gt;"",'All Cases - Enter Cases'!H401,"")</f>
        <v/>
      </c>
      <c r="I401" t="str">
        <f>IF($A401&lt;&gt;"",'All Cases - Enter Cases'!I401,"")</f>
        <v/>
      </c>
      <c r="J401" t="str">
        <f>IF($A401&lt;&gt;"",'All Cases - Enter Cases'!J401,"")</f>
        <v/>
      </c>
      <c r="K401" t="str">
        <f>IF($A401&lt;&gt;"",'All Cases - Enter Cases'!K401,"")</f>
        <v/>
      </c>
      <c r="L401" t="str">
        <f>IF($A401&lt;&gt;"",'All Cases - Enter Cases'!L401,"")</f>
        <v/>
      </c>
      <c r="M401" t="str">
        <f>IF($A401&lt;&gt;"",'All Cases - Enter Cases'!M401,"")</f>
        <v/>
      </c>
    </row>
    <row r="402" spans="1:13" x14ac:dyDescent="0.35">
      <c r="A402" t="str">
        <f>IF('All Cases - Enter Cases'!$F402="KPK",'All Cases - Enter Cases'!A402,"")</f>
        <v/>
      </c>
      <c r="B402" t="str">
        <f>IF($A402&lt;&gt;"",'All Cases - Enter Cases'!B402,"")</f>
        <v/>
      </c>
      <c r="C402" t="str">
        <f>IF($A402&lt;&gt;"",'All Cases - Enter Cases'!C402,"")</f>
        <v/>
      </c>
      <c r="D402" t="str">
        <f>IF($A402&lt;&gt;"",'All Cases - Enter Cases'!D402,"")</f>
        <v/>
      </c>
      <c r="E402" t="str">
        <f>IF($A402&lt;&gt;"",'All Cases - Enter Cases'!E402,"")</f>
        <v/>
      </c>
      <c r="F402" t="str">
        <f>IF($A402&lt;&gt;"",'All Cases - Enter Cases'!F402,"")</f>
        <v/>
      </c>
      <c r="G402" t="str">
        <f>IF($A402&lt;&gt;"",'All Cases - Enter Cases'!G402,"")</f>
        <v/>
      </c>
      <c r="H402" t="str">
        <f>IF($A402&lt;&gt;"",'All Cases - Enter Cases'!H402,"")</f>
        <v/>
      </c>
      <c r="I402" t="str">
        <f>IF($A402&lt;&gt;"",'All Cases - Enter Cases'!I402,"")</f>
        <v/>
      </c>
      <c r="J402" t="str">
        <f>IF($A402&lt;&gt;"",'All Cases - Enter Cases'!J402,"")</f>
        <v/>
      </c>
      <c r="K402" t="str">
        <f>IF($A402&lt;&gt;"",'All Cases - Enter Cases'!K402,"")</f>
        <v/>
      </c>
      <c r="L402" t="str">
        <f>IF($A402&lt;&gt;"",'All Cases - Enter Cases'!L402,"")</f>
        <v/>
      </c>
      <c r="M402" t="str">
        <f>IF($A402&lt;&gt;"",'All Cases - Enter Cases'!M402,"")</f>
        <v/>
      </c>
    </row>
    <row r="403" spans="1:13" x14ac:dyDescent="0.35">
      <c r="A403" t="str">
        <f>IF('All Cases - Enter Cases'!$F403="KPK",'All Cases - Enter Cases'!A403,"")</f>
        <v/>
      </c>
      <c r="B403" t="str">
        <f>IF($A403&lt;&gt;"",'All Cases - Enter Cases'!B403,"")</f>
        <v/>
      </c>
      <c r="C403" t="str">
        <f>IF($A403&lt;&gt;"",'All Cases - Enter Cases'!C403,"")</f>
        <v/>
      </c>
      <c r="D403" t="str">
        <f>IF($A403&lt;&gt;"",'All Cases - Enter Cases'!D403,"")</f>
        <v/>
      </c>
      <c r="E403" t="str">
        <f>IF($A403&lt;&gt;"",'All Cases - Enter Cases'!E403,"")</f>
        <v/>
      </c>
      <c r="F403" t="str">
        <f>IF($A403&lt;&gt;"",'All Cases - Enter Cases'!F403,"")</f>
        <v/>
      </c>
      <c r="G403" t="str">
        <f>IF($A403&lt;&gt;"",'All Cases - Enter Cases'!G403,"")</f>
        <v/>
      </c>
      <c r="H403" t="str">
        <f>IF($A403&lt;&gt;"",'All Cases - Enter Cases'!H403,"")</f>
        <v/>
      </c>
      <c r="I403" t="str">
        <f>IF($A403&lt;&gt;"",'All Cases - Enter Cases'!I403,"")</f>
        <v/>
      </c>
      <c r="J403" t="str">
        <f>IF($A403&lt;&gt;"",'All Cases - Enter Cases'!J403,"")</f>
        <v/>
      </c>
      <c r="K403" t="str">
        <f>IF($A403&lt;&gt;"",'All Cases - Enter Cases'!K403,"")</f>
        <v/>
      </c>
      <c r="L403" t="str">
        <f>IF($A403&lt;&gt;"",'All Cases - Enter Cases'!L403,"")</f>
        <v/>
      </c>
      <c r="M403" t="str">
        <f>IF($A403&lt;&gt;"",'All Cases - Enter Cases'!M403,"")</f>
        <v/>
      </c>
    </row>
    <row r="404" spans="1:13" x14ac:dyDescent="0.35">
      <c r="A404" t="str">
        <f>IF('All Cases - Enter Cases'!$F404="KPK",'All Cases - Enter Cases'!A404,"")</f>
        <v/>
      </c>
      <c r="B404" t="str">
        <f>IF($A404&lt;&gt;"",'All Cases - Enter Cases'!B404,"")</f>
        <v/>
      </c>
      <c r="C404" t="str">
        <f>IF($A404&lt;&gt;"",'All Cases - Enter Cases'!C404,"")</f>
        <v/>
      </c>
      <c r="D404" t="str">
        <f>IF($A404&lt;&gt;"",'All Cases - Enter Cases'!D404,"")</f>
        <v/>
      </c>
      <c r="E404" t="str">
        <f>IF($A404&lt;&gt;"",'All Cases - Enter Cases'!E404,"")</f>
        <v/>
      </c>
      <c r="F404" t="str">
        <f>IF($A404&lt;&gt;"",'All Cases - Enter Cases'!F404,"")</f>
        <v/>
      </c>
      <c r="G404" t="str">
        <f>IF($A404&lt;&gt;"",'All Cases - Enter Cases'!G404,"")</f>
        <v/>
      </c>
      <c r="H404" t="str">
        <f>IF($A404&lt;&gt;"",'All Cases - Enter Cases'!H404,"")</f>
        <v/>
      </c>
      <c r="I404" t="str">
        <f>IF($A404&lt;&gt;"",'All Cases - Enter Cases'!I404,"")</f>
        <v/>
      </c>
      <c r="J404" t="str">
        <f>IF($A404&lt;&gt;"",'All Cases - Enter Cases'!J404,"")</f>
        <v/>
      </c>
      <c r="K404" t="str">
        <f>IF($A404&lt;&gt;"",'All Cases - Enter Cases'!K404,"")</f>
        <v/>
      </c>
      <c r="L404" t="str">
        <f>IF($A404&lt;&gt;"",'All Cases - Enter Cases'!L404,"")</f>
        <v/>
      </c>
      <c r="M404" t="str">
        <f>IF($A404&lt;&gt;"",'All Cases - Enter Cases'!M404,"")</f>
        <v/>
      </c>
    </row>
    <row r="405" spans="1:13" x14ac:dyDescent="0.35">
      <c r="A405" t="str">
        <f>IF('All Cases - Enter Cases'!$F405="KPK",'All Cases - Enter Cases'!A405,"")</f>
        <v/>
      </c>
      <c r="B405" t="str">
        <f>IF($A405&lt;&gt;"",'All Cases - Enter Cases'!B405,"")</f>
        <v/>
      </c>
      <c r="C405" t="str">
        <f>IF($A405&lt;&gt;"",'All Cases - Enter Cases'!C405,"")</f>
        <v/>
      </c>
      <c r="D405" t="str">
        <f>IF($A405&lt;&gt;"",'All Cases - Enter Cases'!D405,"")</f>
        <v/>
      </c>
      <c r="E405" t="str">
        <f>IF($A405&lt;&gt;"",'All Cases - Enter Cases'!E405,"")</f>
        <v/>
      </c>
      <c r="F405" t="str">
        <f>IF($A405&lt;&gt;"",'All Cases - Enter Cases'!F405,"")</f>
        <v/>
      </c>
      <c r="G405" t="str">
        <f>IF($A405&lt;&gt;"",'All Cases - Enter Cases'!G405,"")</f>
        <v/>
      </c>
      <c r="H405" t="str">
        <f>IF($A405&lt;&gt;"",'All Cases - Enter Cases'!H405,"")</f>
        <v/>
      </c>
      <c r="I405" t="str">
        <f>IF($A405&lt;&gt;"",'All Cases - Enter Cases'!I405,"")</f>
        <v/>
      </c>
      <c r="J405" t="str">
        <f>IF($A405&lt;&gt;"",'All Cases - Enter Cases'!J405,"")</f>
        <v/>
      </c>
      <c r="K405" t="str">
        <f>IF($A405&lt;&gt;"",'All Cases - Enter Cases'!K405,"")</f>
        <v/>
      </c>
      <c r="L405" t="str">
        <f>IF($A405&lt;&gt;"",'All Cases - Enter Cases'!L405,"")</f>
        <v/>
      </c>
      <c r="M405" t="str">
        <f>IF($A405&lt;&gt;"",'All Cases - Enter Cases'!M405,"")</f>
        <v/>
      </c>
    </row>
    <row r="406" spans="1:13" x14ac:dyDescent="0.35">
      <c r="A406" t="str">
        <f>IF('All Cases - Enter Cases'!$F406="KPK",'All Cases - Enter Cases'!A406,"")</f>
        <v/>
      </c>
      <c r="B406" t="str">
        <f>IF($A406&lt;&gt;"",'All Cases - Enter Cases'!B406,"")</f>
        <v/>
      </c>
      <c r="C406" t="str">
        <f>IF($A406&lt;&gt;"",'All Cases - Enter Cases'!C406,"")</f>
        <v/>
      </c>
      <c r="D406" t="str">
        <f>IF($A406&lt;&gt;"",'All Cases - Enter Cases'!D406,"")</f>
        <v/>
      </c>
      <c r="E406" t="str">
        <f>IF($A406&lt;&gt;"",'All Cases - Enter Cases'!E406,"")</f>
        <v/>
      </c>
      <c r="F406" t="str">
        <f>IF($A406&lt;&gt;"",'All Cases - Enter Cases'!F406,"")</f>
        <v/>
      </c>
      <c r="G406" t="str">
        <f>IF($A406&lt;&gt;"",'All Cases - Enter Cases'!G406,"")</f>
        <v/>
      </c>
      <c r="H406" t="str">
        <f>IF($A406&lt;&gt;"",'All Cases - Enter Cases'!H406,"")</f>
        <v/>
      </c>
      <c r="I406" t="str">
        <f>IF($A406&lt;&gt;"",'All Cases - Enter Cases'!I406,"")</f>
        <v/>
      </c>
      <c r="J406" t="str">
        <f>IF($A406&lt;&gt;"",'All Cases - Enter Cases'!J406,"")</f>
        <v/>
      </c>
      <c r="K406" t="str">
        <f>IF($A406&lt;&gt;"",'All Cases - Enter Cases'!K406,"")</f>
        <v/>
      </c>
      <c r="L406" t="str">
        <f>IF($A406&lt;&gt;"",'All Cases - Enter Cases'!L406,"")</f>
        <v/>
      </c>
      <c r="M406" t="str">
        <f>IF($A406&lt;&gt;"",'All Cases - Enter Cases'!M406,"")</f>
        <v/>
      </c>
    </row>
    <row r="407" spans="1:13" x14ac:dyDescent="0.35">
      <c r="A407" t="str">
        <f>IF('All Cases - Enter Cases'!$F407="KPK",'All Cases - Enter Cases'!A407,"")</f>
        <v/>
      </c>
      <c r="B407" t="str">
        <f>IF($A407&lt;&gt;"",'All Cases - Enter Cases'!B407,"")</f>
        <v/>
      </c>
      <c r="C407" t="str">
        <f>IF($A407&lt;&gt;"",'All Cases - Enter Cases'!C407,"")</f>
        <v/>
      </c>
      <c r="D407" t="str">
        <f>IF($A407&lt;&gt;"",'All Cases - Enter Cases'!D407,"")</f>
        <v/>
      </c>
      <c r="E407" t="str">
        <f>IF($A407&lt;&gt;"",'All Cases - Enter Cases'!E407,"")</f>
        <v/>
      </c>
      <c r="F407" t="str">
        <f>IF($A407&lt;&gt;"",'All Cases - Enter Cases'!F407,"")</f>
        <v/>
      </c>
      <c r="G407" t="str">
        <f>IF($A407&lt;&gt;"",'All Cases - Enter Cases'!G407,"")</f>
        <v/>
      </c>
      <c r="H407" t="str">
        <f>IF($A407&lt;&gt;"",'All Cases - Enter Cases'!H407,"")</f>
        <v/>
      </c>
      <c r="I407" t="str">
        <f>IF($A407&lt;&gt;"",'All Cases - Enter Cases'!I407,"")</f>
        <v/>
      </c>
      <c r="J407" t="str">
        <f>IF($A407&lt;&gt;"",'All Cases - Enter Cases'!J407,"")</f>
        <v/>
      </c>
      <c r="K407" t="str">
        <f>IF($A407&lt;&gt;"",'All Cases - Enter Cases'!K407,"")</f>
        <v/>
      </c>
      <c r="L407" t="str">
        <f>IF($A407&lt;&gt;"",'All Cases - Enter Cases'!L407,"")</f>
        <v/>
      </c>
      <c r="M407" t="str">
        <f>IF($A407&lt;&gt;"",'All Cases - Enter Cases'!M407,"")</f>
        <v/>
      </c>
    </row>
    <row r="408" spans="1:13" x14ac:dyDescent="0.35">
      <c r="A408" t="str">
        <f>IF('All Cases - Enter Cases'!$F408="KPK",'All Cases - Enter Cases'!A408,"")</f>
        <v/>
      </c>
      <c r="B408" t="str">
        <f>IF($A408&lt;&gt;"",'All Cases - Enter Cases'!B408,"")</f>
        <v/>
      </c>
      <c r="C408" t="str">
        <f>IF($A408&lt;&gt;"",'All Cases - Enter Cases'!C408,"")</f>
        <v/>
      </c>
      <c r="D408" t="str">
        <f>IF($A408&lt;&gt;"",'All Cases - Enter Cases'!D408,"")</f>
        <v/>
      </c>
      <c r="E408" t="str">
        <f>IF($A408&lt;&gt;"",'All Cases - Enter Cases'!E408,"")</f>
        <v/>
      </c>
      <c r="F408" t="str">
        <f>IF($A408&lt;&gt;"",'All Cases - Enter Cases'!F408,"")</f>
        <v/>
      </c>
      <c r="G408" t="str">
        <f>IF($A408&lt;&gt;"",'All Cases - Enter Cases'!G408,"")</f>
        <v/>
      </c>
      <c r="H408" t="str">
        <f>IF($A408&lt;&gt;"",'All Cases - Enter Cases'!H408,"")</f>
        <v/>
      </c>
      <c r="I408" t="str">
        <f>IF($A408&lt;&gt;"",'All Cases - Enter Cases'!I408,"")</f>
        <v/>
      </c>
      <c r="J408" t="str">
        <f>IF($A408&lt;&gt;"",'All Cases - Enter Cases'!J408,"")</f>
        <v/>
      </c>
      <c r="K408" t="str">
        <f>IF($A408&lt;&gt;"",'All Cases - Enter Cases'!K408,"")</f>
        <v/>
      </c>
      <c r="L408" t="str">
        <f>IF($A408&lt;&gt;"",'All Cases - Enter Cases'!L408,"")</f>
        <v/>
      </c>
      <c r="M408" t="str">
        <f>IF($A408&lt;&gt;"",'All Cases - Enter Cases'!M408,"")</f>
        <v/>
      </c>
    </row>
    <row r="409" spans="1:13" x14ac:dyDescent="0.35">
      <c r="A409" t="str">
        <f>IF('All Cases - Enter Cases'!$F409="KPK",'All Cases - Enter Cases'!A409,"")</f>
        <v/>
      </c>
      <c r="B409" t="str">
        <f>IF($A409&lt;&gt;"",'All Cases - Enter Cases'!B409,"")</f>
        <v/>
      </c>
      <c r="C409" t="str">
        <f>IF($A409&lt;&gt;"",'All Cases - Enter Cases'!C409,"")</f>
        <v/>
      </c>
      <c r="D409" t="str">
        <f>IF($A409&lt;&gt;"",'All Cases - Enter Cases'!D409,"")</f>
        <v/>
      </c>
      <c r="E409" t="str">
        <f>IF($A409&lt;&gt;"",'All Cases - Enter Cases'!E409,"")</f>
        <v/>
      </c>
      <c r="F409" t="str">
        <f>IF($A409&lt;&gt;"",'All Cases - Enter Cases'!F409,"")</f>
        <v/>
      </c>
      <c r="G409" t="str">
        <f>IF($A409&lt;&gt;"",'All Cases - Enter Cases'!G409,"")</f>
        <v/>
      </c>
      <c r="H409" t="str">
        <f>IF($A409&lt;&gt;"",'All Cases - Enter Cases'!H409,"")</f>
        <v/>
      </c>
      <c r="I409" t="str">
        <f>IF($A409&lt;&gt;"",'All Cases - Enter Cases'!I409,"")</f>
        <v/>
      </c>
      <c r="J409" t="str">
        <f>IF($A409&lt;&gt;"",'All Cases - Enter Cases'!J409,"")</f>
        <v/>
      </c>
      <c r="K409" t="str">
        <f>IF($A409&lt;&gt;"",'All Cases - Enter Cases'!K409,"")</f>
        <v/>
      </c>
      <c r="L409" t="str">
        <f>IF($A409&lt;&gt;"",'All Cases - Enter Cases'!L409,"")</f>
        <v/>
      </c>
      <c r="M409" t="str">
        <f>IF($A409&lt;&gt;"",'All Cases - Enter Cases'!M409,"")</f>
        <v/>
      </c>
    </row>
    <row r="410" spans="1:13" x14ac:dyDescent="0.35">
      <c r="A410" t="str">
        <f>IF('All Cases - Enter Cases'!$F410="KPK",'All Cases - Enter Cases'!A410,"")</f>
        <v/>
      </c>
      <c r="B410" t="str">
        <f>IF($A410&lt;&gt;"",'All Cases - Enter Cases'!B410,"")</f>
        <v/>
      </c>
      <c r="C410" t="str">
        <f>IF($A410&lt;&gt;"",'All Cases - Enter Cases'!C410,"")</f>
        <v/>
      </c>
      <c r="D410" t="str">
        <f>IF($A410&lt;&gt;"",'All Cases - Enter Cases'!D410,"")</f>
        <v/>
      </c>
      <c r="E410" t="str">
        <f>IF($A410&lt;&gt;"",'All Cases - Enter Cases'!E410,"")</f>
        <v/>
      </c>
      <c r="F410" t="str">
        <f>IF($A410&lt;&gt;"",'All Cases - Enter Cases'!F410,"")</f>
        <v/>
      </c>
      <c r="G410" t="str">
        <f>IF($A410&lt;&gt;"",'All Cases - Enter Cases'!G410,"")</f>
        <v/>
      </c>
      <c r="H410" t="str">
        <f>IF($A410&lt;&gt;"",'All Cases - Enter Cases'!H410,"")</f>
        <v/>
      </c>
      <c r="I410" t="str">
        <f>IF($A410&lt;&gt;"",'All Cases - Enter Cases'!I410,"")</f>
        <v/>
      </c>
      <c r="J410" t="str">
        <f>IF($A410&lt;&gt;"",'All Cases - Enter Cases'!J410,"")</f>
        <v/>
      </c>
      <c r="K410" t="str">
        <f>IF($A410&lt;&gt;"",'All Cases - Enter Cases'!K410,"")</f>
        <v/>
      </c>
      <c r="L410" t="str">
        <f>IF($A410&lt;&gt;"",'All Cases - Enter Cases'!L410,"")</f>
        <v/>
      </c>
      <c r="M410" t="str">
        <f>IF($A410&lt;&gt;"",'All Cases - Enter Cases'!M410,"")</f>
        <v/>
      </c>
    </row>
    <row r="411" spans="1:13" x14ac:dyDescent="0.35">
      <c r="A411" t="str">
        <f>IF('All Cases - Enter Cases'!$F411="KPK",'All Cases - Enter Cases'!A411,"")</f>
        <v/>
      </c>
      <c r="B411" t="str">
        <f>IF($A411&lt;&gt;"",'All Cases - Enter Cases'!B411,"")</f>
        <v/>
      </c>
      <c r="C411" t="str">
        <f>IF($A411&lt;&gt;"",'All Cases - Enter Cases'!C411,"")</f>
        <v/>
      </c>
      <c r="D411" t="str">
        <f>IF($A411&lt;&gt;"",'All Cases - Enter Cases'!D411,"")</f>
        <v/>
      </c>
      <c r="E411" t="str">
        <f>IF($A411&lt;&gt;"",'All Cases - Enter Cases'!E411,"")</f>
        <v/>
      </c>
      <c r="F411" t="str">
        <f>IF($A411&lt;&gt;"",'All Cases - Enter Cases'!F411,"")</f>
        <v/>
      </c>
      <c r="G411" t="str">
        <f>IF($A411&lt;&gt;"",'All Cases - Enter Cases'!G411,"")</f>
        <v/>
      </c>
      <c r="H411" t="str">
        <f>IF($A411&lt;&gt;"",'All Cases - Enter Cases'!H411,"")</f>
        <v/>
      </c>
      <c r="I411" t="str">
        <f>IF($A411&lt;&gt;"",'All Cases - Enter Cases'!I411,"")</f>
        <v/>
      </c>
      <c r="J411" t="str">
        <f>IF($A411&lt;&gt;"",'All Cases - Enter Cases'!J411,"")</f>
        <v/>
      </c>
      <c r="K411" t="str">
        <f>IF($A411&lt;&gt;"",'All Cases - Enter Cases'!K411,"")</f>
        <v/>
      </c>
      <c r="L411" t="str">
        <f>IF($A411&lt;&gt;"",'All Cases - Enter Cases'!L411,"")</f>
        <v/>
      </c>
      <c r="M411" t="str">
        <f>IF($A411&lt;&gt;"",'All Cases - Enter Cases'!M411,"")</f>
        <v/>
      </c>
    </row>
    <row r="412" spans="1:13" x14ac:dyDescent="0.35">
      <c r="A412" t="str">
        <f>IF('All Cases - Enter Cases'!$F412="KPK",'All Cases - Enter Cases'!A412,"")</f>
        <v/>
      </c>
      <c r="B412" t="str">
        <f>IF($A412&lt;&gt;"",'All Cases - Enter Cases'!B412,"")</f>
        <v/>
      </c>
      <c r="C412" t="str">
        <f>IF($A412&lt;&gt;"",'All Cases - Enter Cases'!C412,"")</f>
        <v/>
      </c>
      <c r="D412" t="str">
        <f>IF($A412&lt;&gt;"",'All Cases - Enter Cases'!D412,"")</f>
        <v/>
      </c>
      <c r="E412" t="str">
        <f>IF($A412&lt;&gt;"",'All Cases - Enter Cases'!E412,"")</f>
        <v/>
      </c>
      <c r="F412" t="str">
        <f>IF($A412&lt;&gt;"",'All Cases - Enter Cases'!F412,"")</f>
        <v/>
      </c>
      <c r="G412" t="str">
        <f>IF($A412&lt;&gt;"",'All Cases - Enter Cases'!G412,"")</f>
        <v/>
      </c>
      <c r="H412" t="str">
        <f>IF($A412&lt;&gt;"",'All Cases - Enter Cases'!H412,"")</f>
        <v/>
      </c>
      <c r="I412" t="str">
        <f>IF($A412&lt;&gt;"",'All Cases - Enter Cases'!I412,"")</f>
        <v/>
      </c>
      <c r="J412" t="str">
        <f>IF($A412&lt;&gt;"",'All Cases - Enter Cases'!J412,"")</f>
        <v/>
      </c>
      <c r="K412" t="str">
        <f>IF($A412&lt;&gt;"",'All Cases - Enter Cases'!K412,"")</f>
        <v/>
      </c>
      <c r="L412" t="str">
        <f>IF($A412&lt;&gt;"",'All Cases - Enter Cases'!L412,"")</f>
        <v/>
      </c>
      <c r="M412" t="str">
        <f>IF($A412&lt;&gt;"",'All Cases - Enter Cases'!M412,"")</f>
        <v/>
      </c>
    </row>
    <row r="413" spans="1:13" x14ac:dyDescent="0.35">
      <c r="A413" t="str">
        <f>IF('All Cases - Enter Cases'!$F413="KPK",'All Cases - Enter Cases'!A413,"")</f>
        <v/>
      </c>
      <c r="B413" t="str">
        <f>IF($A413&lt;&gt;"",'All Cases - Enter Cases'!B413,"")</f>
        <v/>
      </c>
      <c r="C413" t="str">
        <f>IF($A413&lt;&gt;"",'All Cases - Enter Cases'!C413,"")</f>
        <v/>
      </c>
      <c r="D413" t="str">
        <f>IF($A413&lt;&gt;"",'All Cases - Enter Cases'!D413,"")</f>
        <v/>
      </c>
      <c r="E413" t="str">
        <f>IF($A413&lt;&gt;"",'All Cases - Enter Cases'!E413,"")</f>
        <v/>
      </c>
      <c r="F413" t="str">
        <f>IF($A413&lt;&gt;"",'All Cases - Enter Cases'!F413,"")</f>
        <v/>
      </c>
      <c r="G413" t="str">
        <f>IF($A413&lt;&gt;"",'All Cases - Enter Cases'!G413,"")</f>
        <v/>
      </c>
      <c r="H413" t="str">
        <f>IF($A413&lt;&gt;"",'All Cases - Enter Cases'!H413,"")</f>
        <v/>
      </c>
      <c r="I413" t="str">
        <f>IF($A413&lt;&gt;"",'All Cases - Enter Cases'!I413,"")</f>
        <v/>
      </c>
      <c r="J413" t="str">
        <f>IF($A413&lt;&gt;"",'All Cases - Enter Cases'!J413,"")</f>
        <v/>
      </c>
      <c r="K413" t="str">
        <f>IF($A413&lt;&gt;"",'All Cases - Enter Cases'!K413,"")</f>
        <v/>
      </c>
      <c r="L413" t="str">
        <f>IF($A413&lt;&gt;"",'All Cases - Enter Cases'!L413,"")</f>
        <v/>
      </c>
      <c r="M413" t="str">
        <f>IF($A413&lt;&gt;"",'All Cases - Enter Cases'!M413,"")</f>
        <v/>
      </c>
    </row>
    <row r="414" spans="1:13" x14ac:dyDescent="0.35">
      <c r="A414" t="str">
        <f>IF('All Cases - Enter Cases'!$F414="KPK",'All Cases - Enter Cases'!A414,"")</f>
        <v/>
      </c>
      <c r="B414" t="str">
        <f>IF($A414&lt;&gt;"",'All Cases - Enter Cases'!B414,"")</f>
        <v/>
      </c>
      <c r="C414" t="str">
        <f>IF($A414&lt;&gt;"",'All Cases - Enter Cases'!C414,"")</f>
        <v/>
      </c>
      <c r="D414" t="str">
        <f>IF($A414&lt;&gt;"",'All Cases - Enter Cases'!D414,"")</f>
        <v/>
      </c>
      <c r="E414" t="str">
        <f>IF($A414&lt;&gt;"",'All Cases - Enter Cases'!E414,"")</f>
        <v/>
      </c>
      <c r="F414" t="str">
        <f>IF($A414&lt;&gt;"",'All Cases - Enter Cases'!F414,"")</f>
        <v/>
      </c>
      <c r="G414" t="str">
        <f>IF($A414&lt;&gt;"",'All Cases - Enter Cases'!G414,"")</f>
        <v/>
      </c>
      <c r="H414" t="str">
        <f>IF($A414&lt;&gt;"",'All Cases - Enter Cases'!H414,"")</f>
        <v/>
      </c>
      <c r="I414" t="str">
        <f>IF($A414&lt;&gt;"",'All Cases - Enter Cases'!I414,"")</f>
        <v/>
      </c>
      <c r="J414" t="str">
        <f>IF($A414&lt;&gt;"",'All Cases - Enter Cases'!J414,"")</f>
        <v/>
      </c>
      <c r="K414" t="str">
        <f>IF($A414&lt;&gt;"",'All Cases - Enter Cases'!K414,"")</f>
        <v/>
      </c>
      <c r="L414" t="str">
        <f>IF($A414&lt;&gt;"",'All Cases - Enter Cases'!L414,"")</f>
        <v/>
      </c>
      <c r="M414" t="str">
        <f>IF($A414&lt;&gt;"",'All Cases - Enter Cases'!M414,"")</f>
        <v/>
      </c>
    </row>
    <row r="415" spans="1:13" x14ac:dyDescent="0.35">
      <c r="A415" t="str">
        <f>IF('All Cases - Enter Cases'!$F415="KPK",'All Cases - Enter Cases'!A415,"")</f>
        <v/>
      </c>
      <c r="B415" t="str">
        <f>IF($A415&lt;&gt;"",'All Cases - Enter Cases'!B415,"")</f>
        <v/>
      </c>
      <c r="C415" t="str">
        <f>IF($A415&lt;&gt;"",'All Cases - Enter Cases'!C415,"")</f>
        <v/>
      </c>
      <c r="D415" t="str">
        <f>IF($A415&lt;&gt;"",'All Cases - Enter Cases'!D415,"")</f>
        <v/>
      </c>
      <c r="E415" t="str">
        <f>IF($A415&lt;&gt;"",'All Cases - Enter Cases'!E415,"")</f>
        <v/>
      </c>
      <c r="F415" t="str">
        <f>IF($A415&lt;&gt;"",'All Cases - Enter Cases'!F415,"")</f>
        <v/>
      </c>
      <c r="G415" t="str">
        <f>IF($A415&lt;&gt;"",'All Cases - Enter Cases'!G415,"")</f>
        <v/>
      </c>
      <c r="H415" t="str">
        <f>IF($A415&lt;&gt;"",'All Cases - Enter Cases'!H415,"")</f>
        <v/>
      </c>
      <c r="I415" t="str">
        <f>IF($A415&lt;&gt;"",'All Cases - Enter Cases'!I415,"")</f>
        <v/>
      </c>
      <c r="J415" t="str">
        <f>IF($A415&lt;&gt;"",'All Cases - Enter Cases'!J415,"")</f>
        <v/>
      </c>
      <c r="K415" t="str">
        <f>IF($A415&lt;&gt;"",'All Cases - Enter Cases'!K415,"")</f>
        <v/>
      </c>
      <c r="L415" t="str">
        <f>IF($A415&lt;&gt;"",'All Cases - Enter Cases'!L415,"")</f>
        <v/>
      </c>
      <c r="M415" t="str">
        <f>IF($A415&lt;&gt;"",'All Cases - Enter Cases'!M415,"")</f>
        <v/>
      </c>
    </row>
    <row r="416" spans="1:13" x14ac:dyDescent="0.35">
      <c r="A416" t="str">
        <f>IF('All Cases - Enter Cases'!$F416="KPK",'All Cases - Enter Cases'!A416,"")</f>
        <v/>
      </c>
      <c r="B416" t="str">
        <f>IF($A416&lt;&gt;"",'All Cases - Enter Cases'!B416,"")</f>
        <v/>
      </c>
      <c r="C416" t="str">
        <f>IF($A416&lt;&gt;"",'All Cases - Enter Cases'!C416,"")</f>
        <v/>
      </c>
      <c r="D416" t="str">
        <f>IF($A416&lt;&gt;"",'All Cases - Enter Cases'!D416,"")</f>
        <v/>
      </c>
      <c r="E416" t="str">
        <f>IF($A416&lt;&gt;"",'All Cases - Enter Cases'!E416,"")</f>
        <v/>
      </c>
      <c r="F416" t="str">
        <f>IF($A416&lt;&gt;"",'All Cases - Enter Cases'!F416,"")</f>
        <v/>
      </c>
      <c r="G416" t="str">
        <f>IF($A416&lt;&gt;"",'All Cases - Enter Cases'!G416,"")</f>
        <v/>
      </c>
      <c r="H416" t="str">
        <f>IF($A416&lt;&gt;"",'All Cases - Enter Cases'!H416,"")</f>
        <v/>
      </c>
      <c r="I416" t="str">
        <f>IF($A416&lt;&gt;"",'All Cases - Enter Cases'!I416,"")</f>
        <v/>
      </c>
      <c r="J416" t="str">
        <f>IF($A416&lt;&gt;"",'All Cases - Enter Cases'!J416,"")</f>
        <v/>
      </c>
      <c r="K416" t="str">
        <f>IF($A416&lt;&gt;"",'All Cases - Enter Cases'!K416,"")</f>
        <v/>
      </c>
      <c r="L416" t="str">
        <f>IF($A416&lt;&gt;"",'All Cases - Enter Cases'!L416,"")</f>
        <v/>
      </c>
      <c r="M416" t="str">
        <f>IF($A416&lt;&gt;"",'All Cases - Enter Cases'!M416,"")</f>
        <v/>
      </c>
    </row>
    <row r="417" spans="1:13" x14ac:dyDescent="0.35">
      <c r="A417" t="str">
        <f>IF('All Cases - Enter Cases'!$F417="KPK",'All Cases - Enter Cases'!A417,"")</f>
        <v/>
      </c>
      <c r="B417" t="str">
        <f>IF($A417&lt;&gt;"",'All Cases - Enter Cases'!B417,"")</f>
        <v/>
      </c>
      <c r="C417" t="str">
        <f>IF($A417&lt;&gt;"",'All Cases - Enter Cases'!C417,"")</f>
        <v/>
      </c>
      <c r="D417" t="str">
        <f>IF($A417&lt;&gt;"",'All Cases - Enter Cases'!D417,"")</f>
        <v/>
      </c>
      <c r="E417" t="str">
        <f>IF($A417&lt;&gt;"",'All Cases - Enter Cases'!E417,"")</f>
        <v/>
      </c>
      <c r="F417" t="str">
        <f>IF($A417&lt;&gt;"",'All Cases - Enter Cases'!F417,"")</f>
        <v/>
      </c>
      <c r="G417" t="str">
        <f>IF($A417&lt;&gt;"",'All Cases - Enter Cases'!G417,"")</f>
        <v/>
      </c>
      <c r="H417" t="str">
        <f>IF($A417&lt;&gt;"",'All Cases - Enter Cases'!H417,"")</f>
        <v/>
      </c>
      <c r="I417" t="str">
        <f>IF($A417&lt;&gt;"",'All Cases - Enter Cases'!I417,"")</f>
        <v/>
      </c>
      <c r="J417" t="str">
        <f>IF($A417&lt;&gt;"",'All Cases - Enter Cases'!J417,"")</f>
        <v/>
      </c>
      <c r="K417" t="str">
        <f>IF($A417&lt;&gt;"",'All Cases - Enter Cases'!K417,"")</f>
        <v/>
      </c>
      <c r="L417" t="str">
        <f>IF($A417&lt;&gt;"",'All Cases - Enter Cases'!L417,"")</f>
        <v/>
      </c>
      <c r="M417" t="str">
        <f>IF($A417&lt;&gt;"",'All Cases - Enter Cases'!M417,"")</f>
        <v/>
      </c>
    </row>
    <row r="418" spans="1:13" x14ac:dyDescent="0.35">
      <c r="A418" t="str">
        <f>IF('All Cases - Enter Cases'!$F418="KPK",'All Cases - Enter Cases'!A418,"")</f>
        <v/>
      </c>
      <c r="B418" t="str">
        <f>IF($A418&lt;&gt;"",'All Cases - Enter Cases'!B418,"")</f>
        <v/>
      </c>
      <c r="C418" t="str">
        <f>IF($A418&lt;&gt;"",'All Cases - Enter Cases'!C418,"")</f>
        <v/>
      </c>
      <c r="D418" t="str">
        <f>IF($A418&lt;&gt;"",'All Cases - Enter Cases'!D418,"")</f>
        <v/>
      </c>
      <c r="E418" t="str">
        <f>IF($A418&lt;&gt;"",'All Cases - Enter Cases'!E418,"")</f>
        <v/>
      </c>
      <c r="F418" t="str">
        <f>IF($A418&lt;&gt;"",'All Cases - Enter Cases'!F418,"")</f>
        <v/>
      </c>
      <c r="G418" t="str">
        <f>IF($A418&lt;&gt;"",'All Cases - Enter Cases'!G418,"")</f>
        <v/>
      </c>
      <c r="H418" t="str">
        <f>IF($A418&lt;&gt;"",'All Cases - Enter Cases'!H418,"")</f>
        <v/>
      </c>
      <c r="I418" t="str">
        <f>IF($A418&lt;&gt;"",'All Cases - Enter Cases'!I418,"")</f>
        <v/>
      </c>
      <c r="J418" t="str">
        <f>IF($A418&lt;&gt;"",'All Cases - Enter Cases'!J418,"")</f>
        <v/>
      </c>
      <c r="K418" t="str">
        <f>IF($A418&lt;&gt;"",'All Cases - Enter Cases'!K418,"")</f>
        <v/>
      </c>
      <c r="L418" t="str">
        <f>IF($A418&lt;&gt;"",'All Cases - Enter Cases'!L418,"")</f>
        <v/>
      </c>
      <c r="M418" t="str">
        <f>IF($A418&lt;&gt;"",'All Cases - Enter Cases'!M418,"")</f>
        <v/>
      </c>
    </row>
    <row r="419" spans="1:13" x14ac:dyDescent="0.35">
      <c r="A419" t="str">
        <f>IF('All Cases - Enter Cases'!$F419="KPK",'All Cases - Enter Cases'!A419,"")</f>
        <v/>
      </c>
      <c r="B419" t="str">
        <f>IF($A419&lt;&gt;"",'All Cases - Enter Cases'!B419,"")</f>
        <v/>
      </c>
      <c r="C419" t="str">
        <f>IF($A419&lt;&gt;"",'All Cases - Enter Cases'!C419,"")</f>
        <v/>
      </c>
      <c r="D419" t="str">
        <f>IF($A419&lt;&gt;"",'All Cases - Enter Cases'!D419,"")</f>
        <v/>
      </c>
      <c r="E419" t="str">
        <f>IF($A419&lt;&gt;"",'All Cases - Enter Cases'!E419,"")</f>
        <v/>
      </c>
      <c r="F419" t="str">
        <f>IF($A419&lt;&gt;"",'All Cases - Enter Cases'!F419,"")</f>
        <v/>
      </c>
      <c r="G419" t="str">
        <f>IF($A419&lt;&gt;"",'All Cases - Enter Cases'!G419,"")</f>
        <v/>
      </c>
      <c r="H419" t="str">
        <f>IF($A419&lt;&gt;"",'All Cases - Enter Cases'!H419,"")</f>
        <v/>
      </c>
      <c r="I419" t="str">
        <f>IF($A419&lt;&gt;"",'All Cases - Enter Cases'!I419,"")</f>
        <v/>
      </c>
      <c r="J419" t="str">
        <f>IF($A419&lt;&gt;"",'All Cases - Enter Cases'!J419,"")</f>
        <v/>
      </c>
      <c r="K419" t="str">
        <f>IF($A419&lt;&gt;"",'All Cases - Enter Cases'!K419,"")</f>
        <v/>
      </c>
      <c r="L419" t="str">
        <f>IF($A419&lt;&gt;"",'All Cases - Enter Cases'!L419,"")</f>
        <v/>
      </c>
      <c r="M419" t="str">
        <f>IF($A419&lt;&gt;"",'All Cases - Enter Cases'!M419,"")</f>
        <v/>
      </c>
    </row>
    <row r="420" spans="1:13" x14ac:dyDescent="0.35">
      <c r="A420" t="str">
        <f>IF('All Cases - Enter Cases'!$F420="KPK",'All Cases - Enter Cases'!A420,"")</f>
        <v/>
      </c>
      <c r="B420" t="str">
        <f>IF($A420&lt;&gt;"",'All Cases - Enter Cases'!B420,"")</f>
        <v/>
      </c>
      <c r="C420" t="str">
        <f>IF($A420&lt;&gt;"",'All Cases - Enter Cases'!C420,"")</f>
        <v/>
      </c>
      <c r="D420" t="str">
        <f>IF($A420&lt;&gt;"",'All Cases - Enter Cases'!D420,"")</f>
        <v/>
      </c>
      <c r="E420" t="str">
        <f>IF($A420&lt;&gt;"",'All Cases - Enter Cases'!E420,"")</f>
        <v/>
      </c>
      <c r="F420" t="str">
        <f>IF($A420&lt;&gt;"",'All Cases - Enter Cases'!F420,"")</f>
        <v/>
      </c>
      <c r="G420" t="str">
        <f>IF($A420&lt;&gt;"",'All Cases - Enter Cases'!G420,"")</f>
        <v/>
      </c>
      <c r="H420" t="str">
        <f>IF($A420&lt;&gt;"",'All Cases - Enter Cases'!H420,"")</f>
        <v/>
      </c>
      <c r="I420" t="str">
        <f>IF($A420&lt;&gt;"",'All Cases - Enter Cases'!I420,"")</f>
        <v/>
      </c>
      <c r="J420" t="str">
        <f>IF($A420&lt;&gt;"",'All Cases - Enter Cases'!J420,"")</f>
        <v/>
      </c>
      <c r="K420" t="str">
        <f>IF($A420&lt;&gt;"",'All Cases - Enter Cases'!K420,"")</f>
        <v/>
      </c>
      <c r="L420" t="str">
        <f>IF($A420&lt;&gt;"",'All Cases - Enter Cases'!L420,"")</f>
        <v/>
      </c>
      <c r="M420" t="str">
        <f>IF($A420&lt;&gt;"",'All Cases - Enter Cases'!M420,"")</f>
        <v/>
      </c>
    </row>
    <row r="421" spans="1:13" x14ac:dyDescent="0.35">
      <c r="A421" t="str">
        <f>IF('All Cases - Enter Cases'!$F421="KPK",'All Cases - Enter Cases'!A421,"")</f>
        <v/>
      </c>
      <c r="B421" t="str">
        <f>IF($A421&lt;&gt;"",'All Cases - Enter Cases'!B421,"")</f>
        <v/>
      </c>
      <c r="C421" t="str">
        <f>IF($A421&lt;&gt;"",'All Cases - Enter Cases'!C421,"")</f>
        <v/>
      </c>
      <c r="D421" t="str">
        <f>IF($A421&lt;&gt;"",'All Cases - Enter Cases'!D421,"")</f>
        <v/>
      </c>
      <c r="E421" t="str">
        <f>IF($A421&lt;&gt;"",'All Cases - Enter Cases'!E421,"")</f>
        <v/>
      </c>
      <c r="F421" t="str">
        <f>IF($A421&lt;&gt;"",'All Cases - Enter Cases'!F421,"")</f>
        <v/>
      </c>
      <c r="G421" t="str">
        <f>IF($A421&lt;&gt;"",'All Cases - Enter Cases'!G421,"")</f>
        <v/>
      </c>
      <c r="H421" t="str">
        <f>IF($A421&lt;&gt;"",'All Cases - Enter Cases'!H421,"")</f>
        <v/>
      </c>
      <c r="I421" t="str">
        <f>IF($A421&lt;&gt;"",'All Cases - Enter Cases'!I421,"")</f>
        <v/>
      </c>
      <c r="J421" t="str">
        <f>IF($A421&lt;&gt;"",'All Cases - Enter Cases'!J421,"")</f>
        <v/>
      </c>
      <c r="K421" t="str">
        <f>IF($A421&lt;&gt;"",'All Cases - Enter Cases'!K421,"")</f>
        <v/>
      </c>
      <c r="L421" t="str">
        <f>IF($A421&lt;&gt;"",'All Cases - Enter Cases'!L421,"")</f>
        <v/>
      </c>
      <c r="M421" t="str">
        <f>IF($A421&lt;&gt;"",'All Cases - Enter Cases'!M421,"")</f>
        <v/>
      </c>
    </row>
    <row r="422" spans="1:13" x14ac:dyDescent="0.35">
      <c r="A422" t="str">
        <f>IF('All Cases - Enter Cases'!$F422="KPK",'All Cases - Enter Cases'!A422,"")</f>
        <v/>
      </c>
      <c r="B422" t="str">
        <f>IF($A422&lt;&gt;"",'All Cases - Enter Cases'!B422,"")</f>
        <v/>
      </c>
      <c r="C422" t="str">
        <f>IF($A422&lt;&gt;"",'All Cases - Enter Cases'!C422,"")</f>
        <v/>
      </c>
      <c r="D422" t="str">
        <f>IF($A422&lt;&gt;"",'All Cases - Enter Cases'!D422,"")</f>
        <v/>
      </c>
      <c r="E422" t="str">
        <f>IF($A422&lt;&gt;"",'All Cases - Enter Cases'!E422,"")</f>
        <v/>
      </c>
      <c r="F422" t="str">
        <f>IF($A422&lt;&gt;"",'All Cases - Enter Cases'!F422,"")</f>
        <v/>
      </c>
      <c r="G422" t="str">
        <f>IF($A422&lt;&gt;"",'All Cases - Enter Cases'!G422,"")</f>
        <v/>
      </c>
      <c r="H422" t="str">
        <f>IF($A422&lt;&gt;"",'All Cases - Enter Cases'!H422,"")</f>
        <v/>
      </c>
      <c r="I422" t="str">
        <f>IF($A422&lt;&gt;"",'All Cases - Enter Cases'!I422,"")</f>
        <v/>
      </c>
      <c r="J422" t="str">
        <f>IF($A422&lt;&gt;"",'All Cases - Enter Cases'!J422,"")</f>
        <v/>
      </c>
      <c r="K422" t="str">
        <f>IF($A422&lt;&gt;"",'All Cases - Enter Cases'!K422,"")</f>
        <v/>
      </c>
      <c r="L422" t="str">
        <f>IF($A422&lt;&gt;"",'All Cases - Enter Cases'!L422,"")</f>
        <v/>
      </c>
      <c r="M422" t="str">
        <f>IF($A422&lt;&gt;"",'All Cases - Enter Cases'!M422,"")</f>
        <v/>
      </c>
    </row>
    <row r="423" spans="1:13" x14ac:dyDescent="0.35">
      <c r="A423" t="str">
        <f>IF('All Cases - Enter Cases'!$F423="KPK",'All Cases - Enter Cases'!A423,"")</f>
        <v/>
      </c>
      <c r="B423" t="str">
        <f>IF($A423&lt;&gt;"",'All Cases - Enter Cases'!B423,"")</f>
        <v/>
      </c>
      <c r="C423" t="str">
        <f>IF($A423&lt;&gt;"",'All Cases - Enter Cases'!C423,"")</f>
        <v/>
      </c>
      <c r="D423" t="str">
        <f>IF($A423&lt;&gt;"",'All Cases - Enter Cases'!D423,"")</f>
        <v/>
      </c>
      <c r="E423" t="str">
        <f>IF($A423&lt;&gt;"",'All Cases - Enter Cases'!E423,"")</f>
        <v/>
      </c>
      <c r="F423" t="str">
        <f>IF($A423&lt;&gt;"",'All Cases - Enter Cases'!F423,"")</f>
        <v/>
      </c>
      <c r="G423" t="str">
        <f>IF($A423&lt;&gt;"",'All Cases - Enter Cases'!G423,"")</f>
        <v/>
      </c>
      <c r="H423" t="str">
        <f>IF($A423&lt;&gt;"",'All Cases - Enter Cases'!H423,"")</f>
        <v/>
      </c>
      <c r="I423" t="str">
        <f>IF($A423&lt;&gt;"",'All Cases - Enter Cases'!I423,"")</f>
        <v/>
      </c>
      <c r="J423" t="str">
        <f>IF($A423&lt;&gt;"",'All Cases - Enter Cases'!J423,"")</f>
        <v/>
      </c>
      <c r="K423" t="str">
        <f>IF($A423&lt;&gt;"",'All Cases - Enter Cases'!K423,"")</f>
        <v/>
      </c>
      <c r="L423" t="str">
        <f>IF($A423&lt;&gt;"",'All Cases - Enter Cases'!L423,"")</f>
        <v/>
      </c>
      <c r="M423" t="str">
        <f>IF($A423&lt;&gt;"",'All Cases - Enter Cases'!M423,"")</f>
        <v/>
      </c>
    </row>
    <row r="424" spans="1:13" x14ac:dyDescent="0.35">
      <c r="A424" t="str">
        <f>IF('All Cases - Enter Cases'!$F424="KPK",'All Cases - Enter Cases'!A424,"")</f>
        <v/>
      </c>
      <c r="B424" t="str">
        <f>IF($A424&lt;&gt;"",'All Cases - Enter Cases'!B424,"")</f>
        <v/>
      </c>
      <c r="C424" t="str">
        <f>IF($A424&lt;&gt;"",'All Cases - Enter Cases'!C424,"")</f>
        <v/>
      </c>
      <c r="D424" t="str">
        <f>IF($A424&lt;&gt;"",'All Cases - Enter Cases'!D424,"")</f>
        <v/>
      </c>
      <c r="E424" t="str">
        <f>IF($A424&lt;&gt;"",'All Cases - Enter Cases'!E424,"")</f>
        <v/>
      </c>
      <c r="F424" t="str">
        <f>IF($A424&lt;&gt;"",'All Cases - Enter Cases'!F424,"")</f>
        <v/>
      </c>
      <c r="G424" t="str">
        <f>IF($A424&lt;&gt;"",'All Cases - Enter Cases'!G424,"")</f>
        <v/>
      </c>
      <c r="H424" t="str">
        <f>IF($A424&lt;&gt;"",'All Cases - Enter Cases'!H424,"")</f>
        <v/>
      </c>
      <c r="I424" t="str">
        <f>IF($A424&lt;&gt;"",'All Cases - Enter Cases'!I424,"")</f>
        <v/>
      </c>
      <c r="J424" t="str">
        <f>IF($A424&lt;&gt;"",'All Cases - Enter Cases'!J424,"")</f>
        <v/>
      </c>
      <c r="K424" t="str">
        <f>IF($A424&lt;&gt;"",'All Cases - Enter Cases'!K424,"")</f>
        <v/>
      </c>
      <c r="L424" t="str">
        <f>IF($A424&lt;&gt;"",'All Cases - Enter Cases'!L424,"")</f>
        <v/>
      </c>
      <c r="M424" t="str">
        <f>IF($A424&lt;&gt;"",'All Cases - Enter Cases'!M424,"")</f>
        <v/>
      </c>
    </row>
    <row r="425" spans="1:13" x14ac:dyDescent="0.35">
      <c r="A425" t="str">
        <f>IF('All Cases - Enter Cases'!$F425="KPK",'All Cases - Enter Cases'!A425,"")</f>
        <v/>
      </c>
      <c r="B425" t="str">
        <f>IF($A425&lt;&gt;"",'All Cases - Enter Cases'!B425,"")</f>
        <v/>
      </c>
      <c r="C425" t="str">
        <f>IF($A425&lt;&gt;"",'All Cases - Enter Cases'!C425,"")</f>
        <v/>
      </c>
      <c r="D425" t="str">
        <f>IF($A425&lt;&gt;"",'All Cases - Enter Cases'!D425,"")</f>
        <v/>
      </c>
      <c r="E425" t="str">
        <f>IF($A425&lt;&gt;"",'All Cases - Enter Cases'!E425,"")</f>
        <v/>
      </c>
      <c r="F425" t="str">
        <f>IF($A425&lt;&gt;"",'All Cases - Enter Cases'!F425,"")</f>
        <v/>
      </c>
      <c r="G425" t="str">
        <f>IF($A425&lt;&gt;"",'All Cases - Enter Cases'!G425,"")</f>
        <v/>
      </c>
      <c r="H425" t="str">
        <f>IF($A425&lt;&gt;"",'All Cases - Enter Cases'!H425,"")</f>
        <v/>
      </c>
      <c r="I425" t="str">
        <f>IF($A425&lt;&gt;"",'All Cases - Enter Cases'!I425,"")</f>
        <v/>
      </c>
      <c r="J425" t="str">
        <f>IF($A425&lt;&gt;"",'All Cases - Enter Cases'!J425,"")</f>
        <v/>
      </c>
      <c r="K425" t="str">
        <f>IF($A425&lt;&gt;"",'All Cases - Enter Cases'!K425,"")</f>
        <v/>
      </c>
      <c r="L425" t="str">
        <f>IF($A425&lt;&gt;"",'All Cases - Enter Cases'!L425,"")</f>
        <v/>
      </c>
      <c r="M425" t="str">
        <f>IF($A425&lt;&gt;"",'All Cases - Enter Cases'!M425,"")</f>
        <v/>
      </c>
    </row>
    <row r="426" spans="1:13" x14ac:dyDescent="0.35">
      <c r="A426" t="str">
        <f>IF('All Cases - Enter Cases'!$F426="KPK",'All Cases - Enter Cases'!A426,"")</f>
        <v/>
      </c>
      <c r="B426" t="str">
        <f>IF($A426&lt;&gt;"",'All Cases - Enter Cases'!B426,"")</f>
        <v/>
      </c>
      <c r="C426" t="str">
        <f>IF($A426&lt;&gt;"",'All Cases - Enter Cases'!C426,"")</f>
        <v/>
      </c>
      <c r="D426" t="str">
        <f>IF($A426&lt;&gt;"",'All Cases - Enter Cases'!D426,"")</f>
        <v/>
      </c>
      <c r="E426" t="str">
        <f>IF($A426&lt;&gt;"",'All Cases - Enter Cases'!E426,"")</f>
        <v/>
      </c>
      <c r="F426" t="str">
        <f>IF($A426&lt;&gt;"",'All Cases - Enter Cases'!F426,"")</f>
        <v/>
      </c>
      <c r="G426" t="str">
        <f>IF($A426&lt;&gt;"",'All Cases - Enter Cases'!G426,"")</f>
        <v/>
      </c>
      <c r="H426" t="str">
        <f>IF($A426&lt;&gt;"",'All Cases - Enter Cases'!H426,"")</f>
        <v/>
      </c>
      <c r="I426" t="str">
        <f>IF($A426&lt;&gt;"",'All Cases - Enter Cases'!I426,"")</f>
        <v/>
      </c>
      <c r="J426" t="str">
        <f>IF($A426&lt;&gt;"",'All Cases - Enter Cases'!J426,"")</f>
        <v/>
      </c>
      <c r="K426" t="str">
        <f>IF($A426&lt;&gt;"",'All Cases - Enter Cases'!K426,"")</f>
        <v/>
      </c>
      <c r="L426" t="str">
        <f>IF($A426&lt;&gt;"",'All Cases - Enter Cases'!L426,"")</f>
        <v/>
      </c>
      <c r="M426" t="str">
        <f>IF($A426&lt;&gt;"",'All Cases - Enter Cases'!M426,"")</f>
        <v/>
      </c>
    </row>
    <row r="427" spans="1:13" x14ac:dyDescent="0.35">
      <c r="A427" t="str">
        <f>IF('All Cases - Enter Cases'!$F427="KPK",'All Cases - Enter Cases'!A427,"")</f>
        <v/>
      </c>
      <c r="B427" t="str">
        <f>IF($A427&lt;&gt;"",'All Cases - Enter Cases'!B427,"")</f>
        <v/>
      </c>
      <c r="C427" t="str">
        <f>IF($A427&lt;&gt;"",'All Cases - Enter Cases'!C427,"")</f>
        <v/>
      </c>
      <c r="D427" t="str">
        <f>IF($A427&lt;&gt;"",'All Cases - Enter Cases'!D427,"")</f>
        <v/>
      </c>
      <c r="E427" t="str">
        <f>IF($A427&lt;&gt;"",'All Cases - Enter Cases'!E427,"")</f>
        <v/>
      </c>
      <c r="F427" t="str">
        <f>IF($A427&lt;&gt;"",'All Cases - Enter Cases'!F427,"")</f>
        <v/>
      </c>
      <c r="G427" t="str">
        <f>IF($A427&lt;&gt;"",'All Cases - Enter Cases'!G427,"")</f>
        <v/>
      </c>
      <c r="H427" t="str">
        <f>IF($A427&lt;&gt;"",'All Cases - Enter Cases'!H427,"")</f>
        <v/>
      </c>
      <c r="I427" t="str">
        <f>IF($A427&lt;&gt;"",'All Cases - Enter Cases'!I427,"")</f>
        <v/>
      </c>
      <c r="J427" t="str">
        <f>IF($A427&lt;&gt;"",'All Cases - Enter Cases'!J427,"")</f>
        <v/>
      </c>
      <c r="K427" t="str">
        <f>IF($A427&lt;&gt;"",'All Cases - Enter Cases'!K427,"")</f>
        <v/>
      </c>
      <c r="L427" t="str">
        <f>IF($A427&lt;&gt;"",'All Cases - Enter Cases'!L427,"")</f>
        <v/>
      </c>
      <c r="M427" t="str">
        <f>IF($A427&lt;&gt;"",'All Cases - Enter Cases'!M427,"")</f>
        <v/>
      </c>
    </row>
    <row r="428" spans="1:13" x14ac:dyDescent="0.35">
      <c r="A428" t="str">
        <f>IF('All Cases - Enter Cases'!$F428="KPK",'All Cases - Enter Cases'!A428,"")</f>
        <v/>
      </c>
      <c r="B428" t="str">
        <f>IF($A428&lt;&gt;"",'All Cases - Enter Cases'!B428,"")</f>
        <v/>
      </c>
      <c r="C428" t="str">
        <f>IF($A428&lt;&gt;"",'All Cases - Enter Cases'!C428,"")</f>
        <v/>
      </c>
      <c r="D428" t="str">
        <f>IF($A428&lt;&gt;"",'All Cases - Enter Cases'!D428,"")</f>
        <v/>
      </c>
      <c r="E428" t="str">
        <f>IF($A428&lt;&gt;"",'All Cases - Enter Cases'!E428,"")</f>
        <v/>
      </c>
      <c r="F428" t="str">
        <f>IF($A428&lt;&gt;"",'All Cases - Enter Cases'!F428,"")</f>
        <v/>
      </c>
      <c r="G428" t="str">
        <f>IF($A428&lt;&gt;"",'All Cases - Enter Cases'!G428,"")</f>
        <v/>
      </c>
      <c r="H428" t="str">
        <f>IF($A428&lt;&gt;"",'All Cases - Enter Cases'!H428,"")</f>
        <v/>
      </c>
      <c r="I428" t="str">
        <f>IF($A428&lt;&gt;"",'All Cases - Enter Cases'!I428,"")</f>
        <v/>
      </c>
      <c r="J428" t="str">
        <f>IF($A428&lt;&gt;"",'All Cases - Enter Cases'!J428,"")</f>
        <v/>
      </c>
      <c r="K428" t="str">
        <f>IF($A428&lt;&gt;"",'All Cases - Enter Cases'!K428,"")</f>
        <v/>
      </c>
      <c r="L428" t="str">
        <f>IF($A428&lt;&gt;"",'All Cases - Enter Cases'!L428,"")</f>
        <v/>
      </c>
      <c r="M428" t="str">
        <f>IF($A428&lt;&gt;"",'All Cases - Enter Cases'!M428,"")</f>
        <v/>
      </c>
    </row>
    <row r="429" spans="1:13" x14ac:dyDescent="0.35">
      <c r="A429" t="str">
        <f>IF('All Cases - Enter Cases'!$F429="KPK",'All Cases - Enter Cases'!A429,"")</f>
        <v/>
      </c>
      <c r="B429" t="str">
        <f>IF($A429&lt;&gt;"",'All Cases - Enter Cases'!B429,"")</f>
        <v/>
      </c>
      <c r="C429" t="str">
        <f>IF($A429&lt;&gt;"",'All Cases - Enter Cases'!C429,"")</f>
        <v/>
      </c>
      <c r="D429" t="str">
        <f>IF($A429&lt;&gt;"",'All Cases - Enter Cases'!D429,"")</f>
        <v/>
      </c>
      <c r="E429" t="str">
        <f>IF($A429&lt;&gt;"",'All Cases - Enter Cases'!E429,"")</f>
        <v/>
      </c>
      <c r="F429" t="str">
        <f>IF($A429&lt;&gt;"",'All Cases - Enter Cases'!F429,"")</f>
        <v/>
      </c>
      <c r="G429" t="str">
        <f>IF($A429&lt;&gt;"",'All Cases - Enter Cases'!G429,"")</f>
        <v/>
      </c>
      <c r="H429" t="str">
        <f>IF($A429&lt;&gt;"",'All Cases - Enter Cases'!H429,"")</f>
        <v/>
      </c>
      <c r="I429" t="str">
        <f>IF($A429&lt;&gt;"",'All Cases - Enter Cases'!I429,"")</f>
        <v/>
      </c>
      <c r="J429" t="str">
        <f>IF($A429&lt;&gt;"",'All Cases - Enter Cases'!J429,"")</f>
        <v/>
      </c>
      <c r="K429" t="str">
        <f>IF($A429&lt;&gt;"",'All Cases - Enter Cases'!K429,"")</f>
        <v/>
      </c>
      <c r="L429" t="str">
        <f>IF($A429&lt;&gt;"",'All Cases - Enter Cases'!L429,"")</f>
        <v/>
      </c>
      <c r="M429" t="str">
        <f>IF($A429&lt;&gt;"",'All Cases - Enter Cases'!M429,"")</f>
        <v/>
      </c>
    </row>
    <row r="430" spans="1:13" x14ac:dyDescent="0.35">
      <c r="A430" t="str">
        <f>IF('All Cases - Enter Cases'!$F430="KPK",'All Cases - Enter Cases'!A430,"")</f>
        <v/>
      </c>
      <c r="B430" t="str">
        <f>IF($A430&lt;&gt;"",'All Cases - Enter Cases'!B430,"")</f>
        <v/>
      </c>
      <c r="C430" t="str">
        <f>IF($A430&lt;&gt;"",'All Cases - Enter Cases'!C430,"")</f>
        <v/>
      </c>
      <c r="D430" t="str">
        <f>IF($A430&lt;&gt;"",'All Cases - Enter Cases'!D430,"")</f>
        <v/>
      </c>
      <c r="E430" t="str">
        <f>IF($A430&lt;&gt;"",'All Cases - Enter Cases'!E430,"")</f>
        <v/>
      </c>
      <c r="F430" t="str">
        <f>IF($A430&lt;&gt;"",'All Cases - Enter Cases'!F430,"")</f>
        <v/>
      </c>
      <c r="G430" t="str">
        <f>IF($A430&lt;&gt;"",'All Cases - Enter Cases'!G430,"")</f>
        <v/>
      </c>
      <c r="H430" t="str">
        <f>IF($A430&lt;&gt;"",'All Cases - Enter Cases'!H430,"")</f>
        <v/>
      </c>
      <c r="I430" t="str">
        <f>IF($A430&lt;&gt;"",'All Cases - Enter Cases'!I430,"")</f>
        <v/>
      </c>
      <c r="J430" t="str">
        <f>IF($A430&lt;&gt;"",'All Cases - Enter Cases'!J430,"")</f>
        <v/>
      </c>
      <c r="K430" t="str">
        <f>IF($A430&lt;&gt;"",'All Cases - Enter Cases'!K430,"")</f>
        <v/>
      </c>
      <c r="L430" t="str">
        <f>IF($A430&lt;&gt;"",'All Cases - Enter Cases'!L430,"")</f>
        <v/>
      </c>
      <c r="M430" t="str">
        <f>IF($A430&lt;&gt;"",'All Cases - Enter Cases'!M430,"")</f>
        <v/>
      </c>
    </row>
    <row r="431" spans="1:13" x14ac:dyDescent="0.35">
      <c r="A431" t="str">
        <f>IF('All Cases - Enter Cases'!$F431="KPK",'All Cases - Enter Cases'!A431,"")</f>
        <v/>
      </c>
      <c r="B431" t="str">
        <f>IF($A431&lt;&gt;"",'All Cases - Enter Cases'!B431,"")</f>
        <v/>
      </c>
      <c r="C431" t="str">
        <f>IF($A431&lt;&gt;"",'All Cases - Enter Cases'!C431,"")</f>
        <v/>
      </c>
      <c r="D431" t="str">
        <f>IF($A431&lt;&gt;"",'All Cases - Enter Cases'!D431,"")</f>
        <v/>
      </c>
      <c r="E431" t="str">
        <f>IF($A431&lt;&gt;"",'All Cases - Enter Cases'!E431,"")</f>
        <v/>
      </c>
      <c r="F431" t="str">
        <f>IF($A431&lt;&gt;"",'All Cases - Enter Cases'!F431,"")</f>
        <v/>
      </c>
      <c r="G431" t="str">
        <f>IF($A431&lt;&gt;"",'All Cases - Enter Cases'!G431,"")</f>
        <v/>
      </c>
      <c r="H431" t="str">
        <f>IF($A431&lt;&gt;"",'All Cases - Enter Cases'!H431,"")</f>
        <v/>
      </c>
      <c r="I431" t="str">
        <f>IF($A431&lt;&gt;"",'All Cases - Enter Cases'!I431,"")</f>
        <v/>
      </c>
      <c r="J431" t="str">
        <f>IF($A431&lt;&gt;"",'All Cases - Enter Cases'!J431,"")</f>
        <v/>
      </c>
      <c r="K431" t="str">
        <f>IF($A431&lt;&gt;"",'All Cases - Enter Cases'!K431,"")</f>
        <v/>
      </c>
      <c r="L431" t="str">
        <f>IF($A431&lt;&gt;"",'All Cases - Enter Cases'!L431,"")</f>
        <v/>
      </c>
      <c r="M431" t="str">
        <f>IF($A431&lt;&gt;"",'All Cases - Enter Cases'!M431,"")</f>
        <v/>
      </c>
    </row>
    <row r="432" spans="1:13" x14ac:dyDescent="0.35">
      <c r="A432" t="str">
        <f>IF('All Cases - Enter Cases'!$F432="KPK",'All Cases - Enter Cases'!A432,"")</f>
        <v/>
      </c>
      <c r="B432" t="str">
        <f>IF($A432&lt;&gt;"",'All Cases - Enter Cases'!B432,"")</f>
        <v/>
      </c>
      <c r="C432" t="str">
        <f>IF($A432&lt;&gt;"",'All Cases - Enter Cases'!C432,"")</f>
        <v/>
      </c>
      <c r="D432" t="str">
        <f>IF($A432&lt;&gt;"",'All Cases - Enter Cases'!D432,"")</f>
        <v/>
      </c>
      <c r="E432" t="str">
        <f>IF($A432&lt;&gt;"",'All Cases - Enter Cases'!E432,"")</f>
        <v/>
      </c>
      <c r="F432" t="str">
        <f>IF($A432&lt;&gt;"",'All Cases - Enter Cases'!F432,"")</f>
        <v/>
      </c>
      <c r="G432" t="str">
        <f>IF($A432&lt;&gt;"",'All Cases - Enter Cases'!G432,"")</f>
        <v/>
      </c>
      <c r="H432" t="str">
        <f>IF($A432&lt;&gt;"",'All Cases - Enter Cases'!H432,"")</f>
        <v/>
      </c>
      <c r="I432" t="str">
        <f>IF($A432&lt;&gt;"",'All Cases - Enter Cases'!I432,"")</f>
        <v/>
      </c>
      <c r="J432" t="str">
        <f>IF($A432&lt;&gt;"",'All Cases - Enter Cases'!J432,"")</f>
        <v/>
      </c>
      <c r="K432" t="str">
        <f>IF($A432&lt;&gt;"",'All Cases - Enter Cases'!K432,"")</f>
        <v/>
      </c>
      <c r="L432" t="str">
        <f>IF($A432&lt;&gt;"",'All Cases - Enter Cases'!L432,"")</f>
        <v/>
      </c>
      <c r="M432" t="str">
        <f>IF($A432&lt;&gt;"",'All Cases - Enter Cases'!M432,"")</f>
        <v/>
      </c>
    </row>
    <row r="433" spans="1:13" x14ac:dyDescent="0.35">
      <c r="A433" t="str">
        <f>IF('All Cases - Enter Cases'!$F433="KPK",'All Cases - Enter Cases'!A433,"")</f>
        <v/>
      </c>
      <c r="B433" t="str">
        <f>IF($A433&lt;&gt;"",'All Cases - Enter Cases'!B433,"")</f>
        <v/>
      </c>
      <c r="C433" t="str">
        <f>IF($A433&lt;&gt;"",'All Cases - Enter Cases'!C433,"")</f>
        <v/>
      </c>
      <c r="D433" t="str">
        <f>IF($A433&lt;&gt;"",'All Cases - Enter Cases'!D433,"")</f>
        <v/>
      </c>
      <c r="E433" t="str">
        <f>IF($A433&lt;&gt;"",'All Cases - Enter Cases'!E433,"")</f>
        <v/>
      </c>
      <c r="F433" t="str">
        <f>IF($A433&lt;&gt;"",'All Cases - Enter Cases'!F433,"")</f>
        <v/>
      </c>
      <c r="G433" t="str">
        <f>IF($A433&lt;&gt;"",'All Cases - Enter Cases'!G433,"")</f>
        <v/>
      </c>
      <c r="H433" t="str">
        <f>IF($A433&lt;&gt;"",'All Cases - Enter Cases'!H433,"")</f>
        <v/>
      </c>
      <c r="I433" t="str">
        <f>IF($A433&lt;&gt;"",'All Cases - Enter Cases'!I433,"")</f>
        <v/>
      </c>
      <c r="J433" t="str">
        <f>IF($A433&lt;&gt;"",'All Cases - Enter Cases'!J433,"")</f>
        <v/>
      </c>
      <c r="K433" t="str">
        <f>IF($A433&lt;&gt;"",'All Cases - Enter Cases'!K433,"")</f>
        <v/>
      </c>
      <c r="L433" t="str">
        <f>IF($A433&lt;&gt;"",'All Cases - Enter Cases'!L433,"")</f>
        <v/>
      </c>
      <c r="M433" t="str">
        <f>IF($A433&lt;&gt;"",'All Cases - Enter Cases'!M433,"")</f>
        <v/>
      </c>
    </row>
    <row r="434" spans="1:13" x14ac:dyDescent="0.35">
      <c r="A434" t="str">
        <f>IF('All Cases - Enter Cases'!$F434="KPK",'All Cases - Enter Cases'!A434,"")</f>
        <v/>
      </c>
      <c r="B434" t="str">
        <f>IF($A434&lt;&gt;"",'All Cases - Enter Cases'!B434,"")</f>
        <v/>
      </c>
      <c r="C434" t="str">
        <f>IF($A434&lt;&gt;"",'All Cases - Enter Cases'!C434,"")</f>
        <v/>
      </c>
      <c r="D434" t="str">
        <f>IF($A434&lt;&gt;"",'All Cases - Enter Cases'!D434,"")</f>
        <v/>
      </c>
      <c r="E434" t="str">
        <f>IF($A434&lt;&gt;"",'All Cases - Enter Cases'!E434,"")</f>
        <v/>
      </c>
      <c r="F434" t="str">
        <f>IF($A434&lt;&gt;"",'All Cases - Enter Cases'!F434,"")</f>
        <v/>
      </c>
      <c r="G434" t="str">
        <f>IF($A434&lt;&gt;"",'All Cases - Enter Cases'!G434,"")</f>
        <v/>
      </c>
      <c r="H434" t="str">
        <f>IF($A434&lt;&gt;"",'All Cases - Enter Cases'!H434,"")</f>
        <v/>
      </c>
      <c r="I434" t="str">
        <f>IF($A434&lt;&gt;"",'All Cases - Enter Cases'!I434,"")</f>
        <v/>
      </c>
      <c r="J434" t="str">
        <f>IF($A434&lt;&gt;"",'All Cases - Enter Cases'!J434,"")</f>
        <v/>
      </c>
      <c r="K434" t="str">
        <f>IF($A434&lt;&gt;"",'All Cases - Enter Cases'!K434,"")</f>
        <v/>
      </c>
      <c r="L434" t="str">
        <f>IF($A434&lt;&gt;"",'All Cases - Enter Cases'!L434,"")</f>
        <v/>
      </c>
      <c r="M434" t="str">
        <f>IF($A434&lt;&gt;"",'All Cases - Enter Cases'!M434,"")</f>
        <v/>
      </c>
    </row>
    <row r="435" spans="1:13" x14ac:dyDescent="0.35">
      <c r="A435" t="str">
        <f>IF('All Cases - Enter Cases'!$F435="KPK",'All Cases - Enter Cases'!A435,"")</f>
        <v/>
      </c>
      <c r="B435" t="str">
        <f>IF($A435&lt;&gt;"",'All Cases - Enter Cases'!B435,"")</f>
        <v/>
      </c>
      <c r="C435" t="str">
        <f>IF($A435&lt;&gt;"",'All Cases - Enter Cases'!C435,"")</f>
        <v/>
      </c>
      <c r="D435" t="str">
        <f>IF($A435&lt;&gt;"",'All Cases - Enter Cases'!D435,"")</f>
        <v/>
      </c>
      <c r="E435" t="str">
        <f>IF($A435&lt;&gt;"",'All Cases - Enter Cases'!E435,"")</f>
        <v/>
      </c>
      <c r="F435" t="str">
        <f>IF($A435&lt;&gt;"",'All Cases - Enter Cases'!F435,"")</f>
        <v/>
      </c>
      <c r="G435" t="str">
        <f>IF($A435&lt;&gt;"",'All Cases - Enter Cases'!G435,"")</f>
        <v/>
      </c>
      <c r="H435" t="str">
        <f>IF($A435&lt;&gt;"",'All Cases - Enter Cases'!H435,"")</f>
        <v/>
      </c>
      <c r="I435" t="str">
        <f>IF($A435&lt;&gt;"",'All Cases - Enter Cases'!I435,"")</f>
        <v/>
      </c>
      <c r="J435" t="str">
        <f>IF($A435&lt;&gt;"",'All Cases - Enter Cases'!J435,"")</f>
        <v/>
      </c>
      <c r="K435" t="str">
        <f>IF($A435&lt;&gt;"",'All Cases - Enter Cases'!K435,"")</f>
        <v/>
      </c>
      <c r="L435" t="str">
        <f>IF($A435&lt;&gt;"",'All Cases - Enter Cases'!L435,"")</f>
        <v/>
      </c>
      <c r="M435" t="str">
        <f>IF($A435&lt;&gt;"",'All Cases - Enter Cases'!M435,"")</f>
        <v/>
      </c>
    </row>
    <row r="436" spans="1:13" x14ac:dyDescent="0.35">
      <c r="A436" t="str">
        <f>IF('All Cases - Enter Cases'!$F436="KPK",'All Cases - Enter Cases'!A436,"")</f>
        <v/>
      </c>
      <c r="B436" t="str">
        <f>IF($A436&lt;&gt;"",'All Cases - Enter Cases'!B436,"")</f>
        <v/>
      </c>
      <c r="C436" t="str">
        <f>IF($A436&lt;&gt;"",'All Cases - Enter Cases'!C436,"")</f>
        <v/>
      </c>
      <c r="D436" t="str">
        <f>IF($A436&lt;&gt;"",'All Cases - Enter Cases'!D436,"")</f>
        <v/>
      </c>
      <c r="E436" t="str">
        <f>IF($A436&lt;&gt;"",'All Cases - Enter Cases'!E436,"")</f>
        <v/>
      </c>
      <c r="F436" t="str">
        <f>IF($A436&lt;&gt;"",'All Cases - Enter Cases'!F436,"")</f>
        <v/>
      </c>
      <c r="G436" t="str">
        <f>IF($A436&lt;&gt;"",'All Cases - Enter Cases'!G436,"")</f>
        <v/>
      </c>
      <c r="H436" t="str">
        <f>IF($A436&lt;&gt;"",'All Cases - Enter Cases'!H436,"")</f>
        <v/>
      </c>
      <c r="I436" t="str">
        <f>IF($A436&lt;&gt;"",'All Cases - Enter Cases'!I436,"")</f>
        <v/>
      </c>
      <c r="J436" t="str">
        <f>IF($A436&lt;&gt;"",'All Cases - Enter Cases'!J436,"")</f>
        <v/>
      </c>
      <c r="K436" t="str">
        <f>IF($A436&lt;&gt;"",'All Cases - Enter Cases'!K436,"")</f>
        <v/>
      </c>
      <c r="L436" t="str">
        <f>IF($A436&lt;&gt;"",'All Cases - Enter Cases'!L436,"")</f>
        <v/>
      </c>
      <c r="M436" t="str">
        <f>IF($A436&lt;&gt;"",'All Cases - Enter Cases'!M436,"")</f>
        <v/>
      </c>
    </row>
    <row r="437" spans="1:13" x14ac:dyDescent="0.35">
      <c r="A437" t="str">
        <f>IF('All Cases - Enter Cases'!$F437="KPK",'All Cases - Enter Cases'!A437,"")</f>
        <v/>
      </c>
      <c r="B437" t="str">
        <f>IF($A437&lt;&gt;"",'All Cases - Enter Cases'!B437,"")</f>
        <v/>
      </c>
      <c r="C437" t="str">
        <f>IF($A437&lt;&gt;"",'All Cases - Enter Cases'!C437,"")</f>
        <v/>
      </c>
      <c r="D437" t="str">
        <f>IF($A437&lt;&gt;"",'All Cases - Enter Cases'!D437,"")</f>
        <v/>
      </c>
      <c r="E437" t="str">
        <f>IF($A437&lt;&gt;"",'All Cases - Enter Cases'!E437,"")</f>
        <v/>
      </c>
      <c r="F437" t="str">
        <f>IF($A437&lt;&gt;"",'All Cases - Enter Cases'!F437,"")</f>
        <v/>
      </c>
      <c r="G437" t="str">
        <f>IF($A437&lt;&gt;"",'All Cases - Enter Cases'!G437,"")</f>
        <v/>
      </c>
      <c r="H437" t="str">
        <f>IF($A437&lt;&gt;"",'All Cases - Enter Cases'!H437,"")</f>
        <v/>
      </c>
      <c r="I437" t="str">
        <f>IF($A437&lt;&gt;"",'All Cases - Enter Cases'!I437,"")</f>
        <v/>
      </c>
      <c r="J437" t="str">
        <f>IF($A437&lt;&gt;"",'All Cases - Enter Cases'!J437,"")</f>
        <v/>
      </c>
      <c r="K437" t="str">
        <f>IF($A437&lt;&gt;"",'All Cases - Enter Cases'!K437,"")</f>
        <v/>
      </c>
      <c r="L437" t="str">
        <f>IF($A437&lt;&gt;"",'All Cases - Enter Cases'!L437,"")</f>
        <v/>
      </c>
      <c r="M437" t="str">
        <f>IF($A437&lt;&gt;"",'All Cases - Enter Cases'!M437,"")</f>
        <v/>
      </c>
    </row>
    <row r="438" spans="1:13" x14ac:dyDescent="0.35">
      <c r="A438" t="str">
        <f>IF('All Cases - Enter Cases'!$F438="KPK",'All Cases - Enter Cases'!A438,"")</f>
        <v/>
      </c>
      <c r="B438" t="str">
        <f>IF($A438&lt;&gt;"",'All Cases - Enter Cases'!B438,"")</f>
        <v/>
      </c>
      <c r="C438" t="str">
        <f>IF($A438&lt;&gt;"",'All Cases - Enter Cases'!C438,"")</f>
        <v/>
      </c>
      <c r="D438" t="str">
        <f>IF($A438&lt;&gt;"",'All Cases - Enter Cases'!D438,"")</f>
        <v/>
      </c>
      <c r="E438" t="str">
        <f>IF($A438&lt;&gt;"",'All Cases - Enter Cases'!E438,"")</f>
        <v/>
      </c>
      <c r="F438" t="str">
        <f>IF($A438&lt;&gt;"",'All Cases - Enter Cases'!F438,"")</f>
        <v/>
      </c>
      <c r="G438" t="str">
        <f>IF($A438&lt;&gt;"",'All Cases - Enter Cases'!G438,"")</f>
        <v/>
      </c>
      <c r="H438" t="str">
        <f>IF($A438&lt;&gt;"",'All Cases - Enter Cases'!H438,"")</f>
        <v/>
      </c>
      <c r="I438" t="str">
        <f>IF($A438&lt;&gt;"",'All Cases - Enter Cases'!I438,"")</f>
        <v/>
      </c>
      <c r="J438" t="str">
        <f>IF($A438&lt;&gt;"",'All Cases - Enter Cases'!J438,"")</f>
        <v/>
      </c>
      <c r="K438" t="str">
        <f>IF($A438&lt;&gt;"",'All Cases - Enter Cases'!K438,"")</f>
        <v/>
      </c>
      <c r="L438" t="str">
        <f>IF($A438&lt;&gt;"",'All Cases - Enter Cases'!L438,"")</f>
        <v/>
      </c>
      <c r="M438" t="str">
        <f>IF($A438&lt;&gt;"",'All Cases - Enter Cases'!M438,"")</f>
        <v/>
      </c>
    </row>
    <row r="439" spans="1:13" x14ac:dyDescent="0.35">
      <c r="A439" t="str">
        <f>IF('All Cases - Enter Cases'!$F439="KPK",'All Cases - Enter Cases'!A439,"")</f>
        <v/>
      </c>
      <c r="B439" t="str">
        <f>IF($A439&lt;&gt;"",'All Cases - Enter Cases'!B439,"")</f>
        <v/>
      </c>
      <c r="C439" t="str">
        <f>IF($A439&lt;&gt;"",'All Cases - Enter Cases'!C439,"")</f>
        <v/>
      </c>
      <c r="D439" t="str">
        <f>IF($A439&lt;&gt;"",'All Cases - Enter Cases'!D439,"")</f>
        <v/>
      </c>
      <c r="E439" t="str">
        <f>IF($A439&lt;&gt;"",'All Cases - Enter Cases'!E439,"")</f>
        <v/>
      </c>
      <c r="F439" t="str">
        <f>IF($A439&lt;&gt;"",'All Cases - Enter Cases'!F439,"")</f>
        <v/>
      </c>
      <c r="G439" t="str">
        <f>IF($A439&lt;&gt;"",'All Cases - Enter Cases'!G439,"")</f>
        <v/>
      </c>
      <c r="H439" t="str">
        <f>IF($A439&lt;&gt;"",'All Cases - Enter Cases'!H439,"")</f>
        <v/>
      </c>
      <c r="I439" t="str">
        <f>IF($A439&lt;&gt;"",'All Cases - Enter Cases'!I439,"")</f>
        <v/>
      </c>
      <c r="J439" t="str">
        <f>IF($A439&lt;&gt;"",'All Cases - Enter Cases'!J439,"")</f>
        <v/>
      </c>
      <c r="K439" t="str">
        <f>IF($A439&lt;&gt;"",'All Cases - Enter Cases'!K439,"")</f>
        <v/>
      </c>
      <c r="L439" t="str">
        <f>IF($A439&lt;&gt;"",'All Cases - Enter Cases'!L439,"")</f>
        <v/>
      </c>
      <c r="M439" t="str">
        <f>IF($A439&lt;&gt;"",'All Cases - Enter Cases'!M439,"")</f>
        <v/>
      </c>
    </row>
    <row r="440" spans="1:13" x14ac:dyDescent="0.35">
      <c r="A440" t="str">
        <f>IF('All Cases - Enter Cases'!$F440="KPK",'All Cases - Enter Cases'!A440,"")</f>
        <v/>
      </c>
      <c r="B440" t="str">
        <f>IF($A440&lt;&gt;"",'All Cases - Enter Cases'!B440,"")</f>
        <v/>
      </c>
      <c r="C440" t="str">
        <f>IF($A440&lt;&gt;"",'All Cases - Enter Cases'!C440,"")</f>
        <v/>
      </c>
      <c r="D440" t="str">
        <f>IF($A440&lt;&gt;"",'All Cases - Enter Cases'!D440,"")</f>
        <v/>
      </c>
      <c r="E440" t="str">
        <f>IF($A440&lt;&gt;"",'All Cases - Enter Cases'!E440,"")</f>
        <v/>
      </c>
      <c r="F440" t="str">
        <f>IF($A440&lt;&gt;"",'All Cases - Enter Cases'!F440,"")</f>
        <v/>
      </c>
      <c r="G440" t="str">
        <f>IF($A440&lt;&gt;"",'All Cases - Enter Cases'!G440,"")</f>
        <v/>
      </c>
      <c r="H440" t="str">
        <f>IF($A440&lt;&gt;"",'All Cases - Enter Cases'!H440,"")</f>
        <v/>
      </c>
      <c r="I440" t="str">
        <f>IF($A440&lt;&gt;"",'All Cases - Enter Cases'!I440,"")</f>
        <v/>
      </c>
      <c r="J440" t="str">
        <f>IF($A440&lt;&gt;"",'All Cases - Enter Cases'!J440,"")</f>
        <v/>
      </c>
      <c r="K440" t="str">
        <f>IF($A440&lt;&gt;"",'All Cases - Enter Cases'!K440,"")</f>
        <v/>
      </c>
      <c r="L440" t="str">
        <f>IF($A440&lt;&gt;"",'All Cases - Enter Cases'!L440,"")</f>
        <v/>
      </c>
      <c r="M440" t="str">
        <f>IF($A440&lt;&gt;"",'All Cases - Enter Cases'!M440,"")</f>
        <v/>
      </c>
    </row>
    <row r="441" spans="1:13" x14ac:dyDescent="0.35">
      <c r="A441" t="str">
        <f>IF('All Cases - Enter Cases'!$F441="KPK",'All Cases - Enter Cases'!A441,"")</f>
        <v/>
      </c>
      <c r="B441" t="str">
        <f>IF($A441&lt;&gt;"",'All Cases - Enter Cases'!B441,"")</f>
        <v/>
      </c>
      <c r="C441" t="str">
        <f>IF($A441&lt;&gt;"",'All Cases - Enter Cases'!C441,"")</f>
        <v/>
      </c>
      <c r="D441" t="str">
        <f>IF($A441&lt;&gt;"",'All Cases - Enter Cases'!D441,"")</f>
        <v/>
      </c>
      <c r="E441" t="str">
        <f>IF($A441&lt;&gt;"",'All Cases - Enter Cases'!E441,"")</f>
        <v/>
      </c>
      <c r="F441" t="str">
        <f>IF($A441&lt;&gt;"",'All Cases - Enter Cases'!F441,"")</f>
        <v/>
      </c>
      <c r="G441" t="str">
        <f>IF($A441&lt;&gt;"",'All Cases - Enter Cases'!G441,"")</f>
        <v/>
      </c>
      <c r="H441" t="str">
        <f>IF($A441&lt;&gt;"",'All Cases - Enter Cases'!H441,"")</f>
        <v/>
      </c>
      <c r="I441" t="str">
        <f>IF($A441&lt;&gt;"",'All Cases - Enter Cases'!I441,"")</f>
        <v/>
      </c>
      <c r="J441" t="str">
        <f>IF($A441&lt;&gt;"",'All Cases - Enter Cases'!J441,"")</f>
        <v/>
      </c>
      <c r="K441" t="str">
        <f>IF($A441&lt;&gt;"",'All Cases - Enter Cases'!K441,"")</f>
        <v/>
      </c>
      <c r="L441" t="str">
        <f>IF($A441&lt;&gt;"",'All Cases - Enter Cases'!L441,"")</f>
        <v/>
      </c>
      <c r="M441" t="str">
        <f>IF($A441&lt;&gt;"",'All Cases - Enter Cases'!M441,"")</f>
        <v/>
      </c>
    </row>
    <row r="442" spans="1:13" x14ac:dyDescent="0.35">
      <c r="A442" t="str">
        <f>IF('All Cases - Enter Cases'!$F442="KPK",'All Cases - Enter Cases'!A442,"")</f>
        <v/>
      </c>
      <c r="B442" t="str">
        <f>IF($A442&lt;&gt;"",'All Cases - Enter Cases'!B442,"")</f>
        <v/>
      </c>
      <c r="C442" t="str">
        <f>IF($A442&lt;&gt;"",'All Cases - Enter Cases'!C442,"")</f>
        <v/>
      </c>
      <c r="D442" t="str">
        <f>IF($A442&lt;&gt;"",'All Cases - Enter Cases'!D442,"")</f>
        <v/>
      </c>
      <c r="E442" t="str">
        <f>IF($A442&lt;&gt;"",'All Cases - Enter Cases'!E442,"")</f>
        <v/>
      </c>
      <c r="F442" t="str">
        <f>IF($A442&lt;&gt;"",'All Cases - Enter Cases'!F442,"")</f>
        <v/>
      </c>
      <c r="G442" t="str">
        <f>IF($A442&lt;&gt;"",'All Cases - Enter Cases'!G442,"")</f>
        <v/>
      </c>
      <c r="H442" t="str">
        <f>IF($A442&lt;&gt;"",'All Cases - Enter Cases'!H442,"")</f>
        <v/>
      </c>
      <c r="I442" t="str">
        <f>IF($A442&lt;&gt;"",'All Cases - Enter Cases'!I442,"")</f>
        <v/>
      </c>
      <c r="J442" t="str">
        <f>IF($A442&lt;&gt;"",'All Cases - Enter Cases'!J442,"")</f>
        <v/>
      </c>
      <c r="K442" t="str">
        <f>IF($A442&lt;&gt;"",'All Cases - Enter Cases'!K442,"")</f>
        <v/>
      </c>
      <c r="L442" t="str">
        <f>IF($A442&lt;&gt;"",'All Cases - Enter Cases'!L442,"")</f>
        <v/>
      </c>
      <c r="M442" t="str">
        <f>IF($A442&lt;&gt;"",'All Cases - Enter Cases'!M442,"")</f>
        <v/>
      </c>
    </row>
    <row r="443" spans="1:13" x14ac:dyDescent="0.35">
      <c r="A443" t="str">
        <f>IF('All Cases - Enter Cases'!$F443="KPK",'All Cases - Enter Cases'!A443,"")</f>
        <v/>
      </c>
      <c r="B443" t="str">
        <f>IF($A443&lt;&gt;"",'All Cases - Enter Cases'!B443,"")</f>
        <v/>
      </c>
      <c r="C443" t="str">
        <f>IF($A443&lt;&gt;"",'All Cases - Enter Cases'!C443,"")</f>
        <v/>
      </c>
      <c r="D443" t="str">
        <f>IF($A443&lt;&gt;"",'All Cases - Enter Cases'!D443,"")</f>
        <v/>
      </c>
      <c r="E443" t="str">
        <f>IF($A443&lt;&gt;"",'All Cases - Enter Cases'!E443,"")</f>
        <v/>
      </c>
      <c r="F443" t="str">
        <f>IF($A443&lt;&gt;"",'All Cases - Enter Cases'!F443,"")</f>
        <v/>
      </c>
      <c r="G443" t="str">
        <f>IF($A443&lt;&gt;"",'All Cases - Enter Cases'!G443,"")</f>
        <v/>
      </c>
      <c r="H443" t="str">
        <f>IF($A443&lt;&gt;"",'All Cases - Enter Cases'!H443,"")</f>
        <v/>
      </c>
      <c r="I443" t="str">
        <f>IF($A443&lt;&gt;"",'All Cases - Enter Cases'!I443,"")</f>
        <v/>
      </c>
      <c r="J443" t="str">
        <f>IF($A443&lt;&gt;"",'All Cases - Enter Cases'!J443,"")</f>
        <v/>
      </c>
      <c r="K443" t="str">
        <f>IF($A443&lt;&gt;"",'All Cases - Enter Cases'!K443,"")</f>
        <v/>
      </c>
      <c r="L443" t="str">
        <f>IF($A443&lt;&gt;"",'All Cases - Enter Cases'!L443,"")</f>
        <v/>
      </c>
      <c r="M443" t="str">
        <f>IF($A443&lt;&gt;"",'All Cases - Enter Cases'!M443,"")</f>
        <v/>
      </c>
    </row>
    <row r="444" spans="1:13" x14ac:dyDescent="0.35">
      <c r="A444" t="str">
        <f>IF('All Cases - Enter Cases'!$F444="KPK",'All Cases - Enter Cases'!A444,"")</f>
        <v/>
      </c>
      <c r="B444" t="str">
        <f>IF($A444&lt;&gt;"",'All Cases - Enter Cases'!B444,"")</f>
        <v/>
      </c>
      <c r="C444" t="str">
        <f>IF($A444&lt;&gt;"",'All Cases - Enter Cases'!C444,"")</f>
        <v/>
      </c>
      <c r="D444" t="str">
        <f>IF($A444&lt;&gt;"",'All Cases - Enter Cases'!D444,"")</f>
        <v/>
      </c>
      <c r="E444" t="str">
        <f>IF($A444&lt;&gt;"",'All Cases - Enter Cases'!E444,"")</f>
        <v/>
      </c>
      <c r="F444" t="str">
        <f>IF($A444&lt;&gt;"",'All Cases - Enter Cases'!F444,"")</f>
        <v/>
      </c>
      <c r="G444" t="str">
        <f>IF($A444&lt;&gt;"",'All Cases - Enter Cases'!G444,"")</f>
        <v/>
      </c>
      <c r="H444" t="str">
        <f>IF($A444&lt;&gt;"",'All Cases - Enter Cases'!H444,"")</f>
        <v/>
      </c>
      <c r="I444" t="str">
        <f>IF($A444&lt;&gt;"",'All Cases - Enter Cases'!I444,"")</f>
        <v/>
      </c>
      <c r="J444" t="str">
        <f>IF($A444&lt;&gt;"",'All Cases - Enter Cases'!J444,"")</f>
        <v/>
      </c>
      <c r="K444" t="str">
        <f>IF($A444&lt;&gt;"",'All Cases - Enter Cases'!K444,"")</f>
        <v/>
      </c>
      <c r="L444" t="str">
        <f>IF($A444&lt;&gt;"",'All Cases - Enter Cases'!L444,"")</f>
        <v/>
      </c>
      <c r="M444" t="str">
        <f>IF($A444&lt;&gt;"",'All Cases - Enter Cases'!M444,"")</f>
        <v/>
      </c>
    </row>
    <row r="445" spans="1:13" x14ac:dyDescent="0.35">
      <c r="A445" t="str">
        <f>IF('All Cases - Enter Cases'!$F445="KPK",'All Cases - Enter Cases'!A445,"")</f>
        <v/>
      </c>
      <c r="B445" t="str">
        <f>IF($A445&lt;&gt;"",'All Cases - Enter Cases'!B445,"")</f>
        <v/>
      </c>
      <c r="C445" t="str">
        <f>IF($A445&lt;&gt;"",'All Cases - Enter Cases'!C445,"")</f>
        <v/>
      </c>
      <c r="D445" t="str">
        <f>IF($A445&lt;&gt;"",'All Cases - Enter Cases'!D445,"")</f>
        <v/>
      </c>
      <c r="E445" t="str">
        <f>IF($A445&lt;&gt;"",'All Cases - Enter Cases'!E445,"")</f>
        <v/>
      </c>
      <c r="F445" t="str">
        <f>IF($A445&lt;&gt;"",'All Cases - Enter Cases'!F445,"")</f>
        <v/>
      </c>
      <c r="G445" t="str">
        <f>IF($A445&lt;&gt;"",'All Cases - Enter Cases'!G445,"")</f>
        <v/>
      </c>
      <c r="H445" t="str">
        <f>IF($A445&lt;&gt;"",'All Cases - Enter Cases'!H445,"")</f>
        <v/>
      </c>
      <c r="I445" t="str">
        <f>IF($A445&lt;&gt;"",'All Cases - Enter Cases'!I445,"")</f>
        <v/>
      </c>
      <c r="J445" t="str">
        <f>IF($A445&lt;&gt;"",'All Cases - Enter Cases'!J445,"")</f>
        <v/>
      </c>
      <c r="K445" t="str">
        <f>IF($A445&lt;&gt;"",'All Cases - Enter Cases'!K445,"")</f>
        <v/>
      </c>
      <c r="L445" t="str">
        <f>IF($A445&lt;&gt;"",'All Cases - Enter Cases'!L445,"")</f>
        <v/>
      </c>
      <c r="M445" t="str">
        <f>IF($A445&lt;&gt;"",'All Cases - Enter Cases'!M445,"")</f>
        <v/>
      </c>
    </row>
    <row r="446" spans="1:13" x14ac:dyDescent="0.35">
      <c r="A446" t="str">
        <f>IF('All Cases - Enter Cases'!$F446="KPK",'All Cases - Enter Cases'!A446,"")</f>
        <v/>
      </c>
      <c r="B446" t="str">
        <f>IF($A446&lt;&gt;"",'All Cases - Enter Cases'!B446,"")</f>
        <v/>
      </c>
      <c r="C446" t="str">
        <f>IF($A446&lt;&gt;"",'All Cases - Enter Cases'!C446,"")</f>
        <v/>
      </c>
      <c r="D446" t="str">
        <f>IF($A446&lt;&gt;"",'All Cases - Enter Cases'!D446,"")</f>
        <v/>
      </c>
      <c r="E446" t="str">
        <f>IF($A446&lt;&gt;"",'All Cases - Enter Cases'!E446,"")</f>
        <v/>
      </c>
      <c r="F446" t="str">
        <f>IF($A446&lt;&gt;"",'All Cases - Enter Cases'!F446,"")</f>
        <v/>
      </c>
      <c r="G446" t="str">
        <f>IF($A446&lt;&gt;"",'All Cases - Enter Cases'!G446,"")</f>
        <v/>
      </c>
      <c r="H446" t="str">
        <f>IF($A446&lt;&gt;"",'All Cases - Enter Cases'!H446,"")</f>
        <v/>
      </c>
      <c r="I446" t="str">
        <f>IF($A446&lt;&gt;"",'All Cases - Enter Cases'!I446,"")</f>
        <v/>
      </c>
      <c r="J446" t="str">
        <f>IF($A446&lt;&gt;"",'All Cases - Enter Cases'!J446,"")</f>
        <v/>
      </c>
      <c r="K446" t="str">
        <f>IF($A446&lt;&gt;"",'All Cases - Enter Cases'!K446,"")</f>
        <v/>
      </c>
      <c r="L446" t="str">
        <f>IF($A446&lt;&gt;"",'All Cases - Enter Cases'!L446,"")</f>
        <v/>
      </c>
      <c r="M446" t="str">
        <f>IF($A446&lt;&gt;"",'All Cases - Enter Cases'!M446,"")</f>
        <v/>
      </c>
    </row>
    <row r="447" spans="1:13" x14ac:dyDescent="0.35">
      <c r="A447" t="str">
        <f>IF('All Cases - Enter Cases'!$F447="KPK",'All Cases - Enter Cases'!A447,"")</f>
        <v/>
      </c>
      <c r="B447" t="str">
        <f>IF($A447&lt;&gt;"",'All Cases - Enter Cases'!B447,"")</f>
        <v/>
      </c>
      <c r="C447" t="str">
        <f>IF($A447&lt;&gt;"",'All Cases - Enter Cases'!C447,"")</f>
        <v/>
      </c>
      <c r="D447" t="str">
        <f>IF($A447&lt;&gt;"",'All Cases - Enter Cases'!D447,"")</f>
        <v/>
      </c>
      <c r="E447" t="str">
        <f>IF($A447&lt;&gt;"",'All Cases - Enter Cases'!E447,"")</f>
        <v/>
      </c>
      <c r="F447" t="str">
        <f>IF($A447&lt;&gt;"",'All Cases - Enter Cases'!F447,"")</f>
        <v/>
      </c>
      <c r="G447" t="str">
        <f>IF($A447&lt;&gt;"",'All Cases - Enter Cases'!G447,"")</f>
        <v/>
      </c>
      <c r="H447" t="str">
        <f>IF($A447&lt;&gt;"",'All Cases - Enter Cases'!H447,"")</f>
        <v/>
      </c>
      <c r="I447" t="str">
        <f>IF($A447&lt;&gt;"",'All Cases - Enter Cases'!I447,"")</f>
        <v/>
      </c>
      <c r="J447" t="str">
        <f>IF($A447&lt;&gt;"",'All Cases - Enter Cases'!J447,"")</f>
        <v/>
      </c>
      <c r="K447" t="str">
        <f>IF($A447&lt;&gt;"",'All Cases - Enter Cases'!K447,"")</f>
        <v/>
      </c>
      <c r="L447" t="str">
        <f>IF($A447&lt;&gt;"",'All Cases - Enter Cases'!L447,"")</f>
        <v/>
      </c>
      <c r="M447" t="str">
        <f>IF($A447&lt;&gt;"",'All Cases - Enter Cases'!M447,"")</f>
        <v/>
      </c>
    </row>
    <row r="448" spans="1:13" x14ac:dyDescent="0.35">
      <c r="A448" t="str">
        <f>IF('All Cases - Enter Cases'!$F448="KPK",'All Cases - Enter Cases'!A448,"")</f>
        <v/>
      </c>
      <c r="B448" t="str">
        <f>IF($A448&lt;&gt;"",'All Cases - Enter Cases'!B448,"")</f>
        <v/>
      </c>
      <c r="C448" t="str">
        <f>IF($A448&lt;&gt;"",'All Cases - Enter Cases'!C448,"")</f>
        <v/>
      </c>
      <c r="D448" t="str">
        <f>IF($A448&lt;&gt;"",'All Cases - Enter Cases'!D448,"")</f>
        <v/>
      </c>
      <c r="E448" t="str">
        <f>IF($A448&lt;&gt;"",'All Cases - Enter Cases'!E448,"")</f>
        <v/>
      </c>
      <c r="F448" t="str">
        <f>IF($A448&lt;&gt;"",'All Cases - Enter Cases'!F448,"")</f>
        <v/>
      </c>
      <c r="G448" t="str">
        <f>IF($A448&lt;&gt;"",'All Cases - Enter Cases'!G448,"")</f>
        <v/>
      </c>
      <c r="H448" t="str">
        <f>IF($A448&lt;&gt;"",'All Cases - Enter Cases'!H448,"")</f>
        <v/>
      </c>
      <c r="I448" t="str">
        <f>IF($A448&lt;&gt;"",'All Cases - Enter Cases'!I448,"")</f>
        <v/>
      </c>
      <c r="J448" t="str">
        <f>IF($A448&lt;&gt;"",'All Cases - Enter Cases'!J448,"")</f>
        <v/>
      </c>
      <c r="K448" t="str">
        <f>IF($A448&lt;&gt;"",'All Cases - Enter Cases'!K448,"")</f>
        <v/>
      </c>
      <c r="L448" t="str">
        <f>IF($A448&lt;&gt;"",'All Cases - Enter Cases'!L448,"")</f>
        <v/>
      </c>
      <c r="M448" t="str">
        <f>IF($A448&lt;&gt;"",'All Cases - Enter Cases'!M448,"")</f>
        <v/>
      </c>
    </row>
    <row r="449" spans="1:13" x14ac:dyDescent="0.35">
      <c r="A449" t="str">
        <f>IF('All Cases - Enter Cases'!$F449="KPK",'All Cases - Enter Cases'!A449,"")</f>
        <v/>
      </c>
      <c r="B449" t="str">
        <f>IF($A449&lt;&gt;"",'All Cases - Enter Cases'!B449,"")</f>
        <v/>
      </c>
      <c r="C449" t="str">
        <f>IF($A449&lt;&gt;"",'All Cases - Enter Cases'!C449,"")</f>
        <v/>
      </c>
      <c r="D449" t="str">
        <f>IF($A449&lt;&gt;"",'All Cases - Enter Cases'!D449,"")</f>
        <v/>
      </c>
      <c r="E449" t="str">
        <f>IF($A449&lt;&gt;"",'All Cases - Enter Cases'!E449,"")</f>
        <v/>
      </c>
      <c r="F449" t="str">
        <f>IF($A449&lt;&gt;"",'All Cases - Enter Cases'!F449,"")</f>
        <v/>
      </c>
      <c r="G449" t="str">
        <f>IF($A449&lt;&gt;"",'All Cases - Enter Cases'!G449,"")</f>
        <v/>
      </c>
      <c r="H449" t="str">
        <f>IF($A449&lt;&gt;"",'All Cases - Enter Cases'!H449,"")</f>
        <v/>
      </c>
      <c r="I449" t="str">
        <f>IF($A449&lt;&gt;"",'All Cases - Enter Cases'!I449,"")</f>
        <v/>
      </c>
      <c r="J449" t="str">
        <f>IF($A449&lt;&gt;"",'All Cases - Enter Cases'!J449,"")</f>
        <v/>
      </c>
      <c r="K449" t="str">
        <f>IF($A449&lt;&gt;"",'All Cases - Enter Cases'!K449,"")</f>
        <v/>
      </c>
      <c r="L449" t="str">
        <f>IF($A449&lt;&gt;"",'All Cases - Enter Cases'!L449,"")</f>
        <v/>
      </c>
      <c r="M449" t="str">
        <f>IF($A449&lt;&gt;"",'All Cases - Enter Cases'!M449,"")</f>
        <v/>
      </c>
    </row>
    <row r="450" spans="1:13" x14ac:dyDescent="0.35">
      <c r="A450" t="str">
        <f>IF('All Cases - Enter Cases'!$F450="KPK",'All Cases - Enter Cases'!A450,"")</f>
        <v/>
      </c>
      <c r="B450" t="str">
        <f>IF($A450&lt;&gt;"",'All Cases - Enter Cases'!B450,"")</f>
        <v/>
      </c>
      <c r="C450" t="str">
        <f>IF($A450&lt;&gt;"",'All Cases - Enter Cases'!C450,"")</f>
        <v/>
      </c>
      <c r="D450" t="str">
        <f>IF($A450&lt;&gt;"",'All Cases - Enter Cases'!D450,"")</f>
        <v/>
      </c>
      <c r="E450" t="str">
        <f>IF($A450&lt;&gt;"",'All Cases - Enter Cases'!E450,"")</f>
        <v/>
      </c>
      <c r="F450" t="str">
        <f>IF($A450&lt;&gt;"",'All Cases - Enter Cases'!F450,"")</f>
        <v/>
      </c>
      <c r="G450" t="str">
        <f>IF($A450&lt;&gt;"",'All Cases - Enter Cases'!G450,"")</f>
        <v/>
      </c>
      <c r="H450" t="str">
        <f>IF($A450&lt;&gt;"",'All Cases - Enter Cases'!H450,"")</f>
        <v/>
      </c>
      <c r="I450" t="str">
        <f>IF($A450&lt;&gt;"",'All Cases - Enter Cases'!I450,"")</f>
        <v/>
      </c>
      <c r="J450" t="str">
        <f>IF($A450&lt;&gt;"",'All Cases - Enter Cases'!J450,"")</f>
        <v/>
      </c>
      <c r="K450" t="str">
        <f>IF($A450&lt;&gt;"",'All Cases - Enter Cases'!K450,"")</f>
        <v/>
      </c>
      <c r="L450" t="str">
        <f>IF($A450&lt;&gt;"",'All Cases - Enter Cases'!L450,"")</f>
        <v/>
      </c>
      <c r="M450" t="str">
        <f>IF($A450&lt;&gt;"",'All Cases - Enter Cases'!M450,"")</f>
        <v/>
      </c>
    </row>
    <row r="451" spans="1:13" x14ac:dyDescent="0.35">
      <c r="A451" t="str">
        <f>IF('All Cases - Enter Cases'!$F451="KPK",'All Cases - Enter Cases'!A451,"")</f>
        <v/>
      </c>
      <c r="B451" t="str">
        <f>IF($A451&lt;&gt;"",'All Cases - Enter Cases'!B451,"")</f>
        <v/>
      </c>
      <c r="C451" t="str">
        <f>IF($A451&lt;&gt;"",'All Cases - Enter Cases'!C451,"")</f>
        <v/>
      </c>
      <c r="D451" t="str">
        <f>IF($A451&lt;&gt;"",'All Cases - Enter Cases'!D451,"")</f>
        <v/>
      </c>
      <c r="E451" t="str">
        <f>IF($A451&lt;&gt;"",'All Cases - Enter Cases'!E451,"")</f>
        <v/>
      </c>
      <c r="F451" t="str">
        <f>IF($A451&lt;&gt;"",'All Cases - Enter Cases'!F451,"")</f>
        <v/>
      </c>
      <c r="G451" t="str">
        <f>IF($A451&lt;&gt;"",'All Cases - Enter Cases'!G451,"")</f>
        <v/>
      </c>
      <c r="H451" t="str">
        <f>IF($A451&lt;&gt;"",'All Cases - Enter Cases'!H451,"")</f>
        <v/>
      </c>
      <c r="I451" t="str">
        <f>IF($A451&lt;&gt;"",'All Cases - Enter Cases'!I451,"")</f>
        <v/>
      </c>
      <c r="J451" t="str">
        <f>IF($A451&lt;&gt;"",'All Cases - Enter Cases'!J451,"")</f>
        <v/>
      </c>
      <c r="K451" t="str">
        <f>IF($A451&lt;&gt;"",'All Cases - Enter Cases'!K451,"")</f>
        <v/>
      </c>
      <c r="L451" t="str">
        <f>IF($A451&lt;&gt;"",'All Cases - Enter Cases'!L451,"")</f>
        <v/>
      </c>
      <c r="M451" t="str">
        <f>IF($A451&lt;&gt;"",'All Cases - Enter Cases'!M451,"")</f>
        <v/>
      </c>
    </row>
    <row r="452" spans="1:13" x14ac:dyDescent="0.35">
      <c r="A452" t="str">
        <f>IF('All Cases - Enter Cases'!$F452="KPK",'All Cases - Enter Cases'!A452,"")</f>
        <v/>
      </c>
      <c r="B452" t="str">
        <f>IF($A452&lt;&gt;"",'All Cases - Enter Cases'!B452,"")</f>
        <v/>
      </c>
      <c r="C452" t="str">
        <f>IF($A452&lt;&gt;"",'All Cases - Enter Cases'!C452,"")</f>
        <v/>
      </c>
      <c r="D452" t="str">
        <f>IF($A452&lt;&gt;"",'All Cases - Enter Cases'!D452,"")</f>
        <v/>
      </c>
      <c r="E452" t="str">
        <f>IF($A452&lt;&gt;"",'All Cases - Enter Cases'!E452,"")</f>
        <v/>
      </c>
      <c r="F452" t="str">
        <f>IF($A452&lt;&gt;"",'All Cases - Enter Cases'!F452,"")</f>
        <v/>
      </c>
      <c r="G452" t="str">
        <f>IF($A452&lt;&gt;"",'All Cases - Enter Cases'!G452,"")</f>
        <v/>
      </c>
      <c r="H452" t="str">
        <f>IF($A452&lt;&gt;"",'All Cases - Enter Cases'!H452,"")</f>
        <v/>
      </c>
      <c r="I452" t="str">
        <f>IF($A452&lt;&gt;"",'All Cases - Enter Cases'!I452,"")</f>
        <v/>
      </c>
      <c r="J452" t="str">
        <f>IF($A452&lt;&gt;"",'All Cases - Enter Cases'!J452,"")</f>
        <v/>
      </c>
      <c r="K452" t="str">
        <f>IF($A452&lt;&gt;"",'All Cases - Enter Cases'!K452,"")</f>
        <v/>
      </c>
      <c r="L452" t="str">
        <f>IF($A452&lt;&gt;"",'All Cases - Enter Cases'!L452,"")</f>
        <v/>
      </c>
      <c r="M452" t="str">
        <f>IF($A452&lt;&gt;"",'All Cases - Enter Cases'!M452,"")</f>
        <v/>
      </c>
    </row>
    <row r="453" spans="1:13" x14ac:dyDescent="0.35">
      <c r="A453" t="str">
        <f>IF('All Cases - Enter Cases'!$F453="KPK",'All Cases - Enter Cases'!A453,"")</f>
        <v/>
      </c>
      <c r="B453" t="str">
        <f>IF($A453&lt;&gt;"",'All Cases - Enter Cases'!B453,"")</f>
        <v/>
      </c>
      <c r="C453" t="str">
        <f>IF($A453&lt;&gt;"",'All Cases - Enter Cases'!C453,"")</f>
        <v/>
      </c>
      <c r="D453" t="str">
        <f>IF($A453&lt;&gt;"",'All Cases - Enter Cases'!D453,"")</f>
        <v/>
      </c>
      <c r="E453" t="str">
        <f>IF($A453&lt;&gt;"",'All Cases - Enter Cases'!E453,"")</f>
        <v/>
      </c>
      <c r="F453" t="str">
        <f>IF($A453&lt;&gt;"",'All Cases - Enter Cases'!F453,"")</f>
        <v/>
      </c>
      <c r="G453" t="str">
        <f>IF($A453&lt;&gt;"",'All Cases - Enter Cases'!G453,"")</f>
        <v/>
      </c>
      <c r="H453" t="str">
        <f>IF($A453&lt;&gt;"",'All Cases - Enter Cases'!H453,"")</f>
        <v/>
      </c>
      <c r="I453" t="str">
        <f>IF($A453&lt;&gt;"",'All Cases - Enter Cases'!I453,"")</f>
        <v/>
      </c>
      <c r="J453" t="str">
        <f>IF($A453&lt;&gt;"",'All Cases - Enter Cases'!J453,"")</f>
        <v/>
      </c>
      <c r="K453" t="str">
        <f>IF($A453&lt;&gt;"",'All Cases - Enter Cases'!K453,"")</f>
        <v/>
      </c>
      <c r="L453" t="str">
        <f>IF($A453&lt;&gt;"",'All Cases - Enter Cases'!L453,"")</f>
        <v/>
      </c>
      <c r="M453" t="str">
        <f>IF($A453&lt;&gt;"",'All Cases - Enter Cases'!M453,"")</f>
        <v/>
      </c>
    </row>
    <row r="454" spans="1:13" x14ac:dyDescent="0.35">
      <c r="A454" t="str">
        <f>IF('All Cases - Enter Cases'!$F454="KPK",'All Cases - Enter Cases'!A454,"")</f>
        <v/>
      </c>
      <c r="B454" t="str">
        <f>IF($A454&lt;&gt;"",'All Cases - Enter Cases'!B454,"")</f>
        <v/>
      </c>
      <c r="C454" t="str">
        <f>IF($A454&lt;&gt;"",'All Cases - Enter Cases'!C454,"")</f>
        <v/>
      </c>
      <c r="D454" t="str">
        <f>IF($A454&lt;&gt;"",'All Cases - Enter Cases'!D454,"")</f>
        <v/>
      </c>
      <c r="E454" t="str">
        <f>IF($A454&lt;&gt;"",'All Cases - Enter Cases'!E454,"")</f>
        <v/>
      </c>
      <c r="F454" t="str">
        <f>IF($A454&lt;&gt;"",'All Cases - Enter Cases'!F454,"")</f>
        <v/>
      </c>
      <c r="G454" t="str">
        <f>IF($A454&lt;&gt;"",'All Cases - Enter Cases'!G454,"")</f>
        <v/>
      </c>
      <c r="H454" t="str">
        <f>IF($A454&lt;&gt;"",'All Cases - Enter Cases'!H454,"")</f>
        <v/>
      </c>
      <c r="I454" t="str">
        <f>IF($A454&lt;&gt;"",'All Cases - Enter Cases'!I454,"")</f>
        <v/>
      </c>
      <c r="J454" t="str">
        <f>IF($A454&lt;&gt;"",'All Cases - Enter Cases'!J454,"")</f>
        <v/>
      </c>
      <c r="K454" t="str">
        <f>IF($A454&lt;&gt;"",'All Cases - Enter Cases'!K454,"")</f>
        <v/>
      </c>
      <c r="L454" t="str">
        <f>IF($A454&lt;&gt;"",'All Cases - Enter Cases'!L454,"")</f>
        <v/>
      </c>
      <c r="M454" t="str">
        <f>IF($A454&lt;&gt;"",'All Cases - Enter Cases'!M454,"")</f>
        <v/>
      </c>
    </row>
    <row r="455" spans="1:13" x14ac:dyDescent="0.35">
      <c r="A455" t="str">
        <f>IF('All Cases - Enter Cases'!$F455="KPK",'All Cases - Enter Cases'!A455,"")</f>
        <v/>
      </c>
      <c r="B455" t="str">
        <f>IF($A455&lt;&gt;"",'All Cases - Enter Cases'!B455,"")</f>
        <v/>
      </c>
      <c r="C455" t="str">
        <f>IF($A455&lt;&gt;"",'All Cases - Enter Cases'!C455,"")</f>
        <v/>
      </c>
      <c r="D455" t="str">
        <f>IF($A455&lt;&gt;"",'All Cases - Enter Cases'!D455,"")</f>
        <v/>
      </c>
      <c r="E455" t="str">
        <f>IF($A455&lt;&gt;"",'All Cases - Enter Cases'!E455,"")</f>
        <v/>
      </c>
      <c r="F455" t="str">
        <f>IF($A455&lt;&gt;"",'All Cases - Enter Cases'!F455,"")</f>
        <v/>
      </c>
      <c r="G455" t="str">
        <f>IF($A455&lt;&gt;"",'All Cases - Enter Cases'!G455,"")</f>
        <v/>
      </c>
      <c r="H455" t="str">
        <f>IF($A455&lt;&gt;"",'All Cases - Enter Cases'!H455,"")</f>
        <v/>
      </c>
      <c r="I455" t="str">
        <f>IF($A455&lt;&gt;"",'All Cases - Enter Cases'!I455,"")</f>
        <v/>
      </c>
      <c r="J455" t="str">
        <f>IF($A455&lt;&gt;"",'All Cases - Enter Cases'!J455,"")</f>
        <v/>
      </c>
      <c r="K455" t="str">
        <f>IF($A455&lt;&gt;"",'All Cases - Enter Cases'!K455,"")</f>
        <v/>
      </c>
      <c r="L455" t="str">
        <f>IF($A455&lt;&gt;"",'All Cases - Enter Cases'!L455,"")</f>
        <v/>
      </c>
      <c r="M455" t="str">
        <f>IF($A455&lt;&gt;"",'All Cases - Enter Cases'!M455,"")</f>
        <v/>
      </c>
    </row>
    <row r="456" spans="1:13" x14ac:dyDescent="0.35">
      <c r="A456" t="str">
        <f>IF('All Cases - Enter Cases'!$F456="KPK",'All Cases - Enter Cases'!A456,"")</f>
        <v/>
      </c>
      <c r="B456" t="str">
        <f>IF($A456&lt;&gt;"",'All Cases - Enter Cases'!B456,"")</f>
        <v/>
      </c>
      <c r="C456" t="str">
        <f>IF($A456&lt;&gt;"",'All Cases - Enter Cases'!C456,"")</f>
        <v/>
      </c>
      <c r="D456" t="str">
        <f>IF($A456&lt;&gt;"",'All Cases - Enter Cases'!D456,"")</f>
        <v/>
      </c>
      <c r="E456" t="str">
        <f>IF($A456&lt;&gt;"",'All Cases - Enter Cases'!E456,"")</f>
        <v/>
      </c>
      <c r="F456" t="str">
        <f>IF($A456&lt;&gt;"",'All Cases - Enter Cases'!F456,"")</f>
        <v/>
      </c>
      <c r="G456" t="str">
        <f>IF($A456&lt;&gt;"",'All Cases - Enter Cases'!G456,"")</f>
        <v/>
      </c>
      <c r="H456" t="str">
        <f>IF($A456&lt;&gt;"",'All Cases - Enter Cases'!H456,"")</f>
        <v/>
      </c>
      <c r="I456" t="str">
        <f>IF($A456&lt;&gt;"",'All Cases - Enter Cases'!I456,"")</f>
        <v/>
      </c>
      <c r="J456" t="str">
        <f>IF($A456&lt;&gt;"",'All Cases - Enter Cases'!J456,"")</f>
        <v/>
      </c>
      <c r="K456" t="str">
        <f>IF($A456&lt;&gt;"",'All Cases - Enter Cases'!K456,"")</f>
        <v/>
      </c>
      <c r="L456" t="str">
        <f>IF($A456&lt;&gt;"",'All Cases - Enter Cases'!L456,"")</f>
        <v/>
      </c>
      <c r="M456" t="str">
        <f>IF($A456&lt;&gt;"",'All Cases - Enter Cases'!M456,"")</f>
        <v/>
      </c>
    </row>
    <row r="457" spans="1:13" x14ac:dyDescent="0.35">
      <c r="A457" t="str">
        <f>IF('All Cases - Enter Cases'!$F457="KPK",'All Cases - Enter Cases'!A457,"")</f>
        <v/>
      </c>
      <c r="B457" t="str">
        <f>IF($A457&lt;&gt;"",'All Cases - Enter Cases'!B457,"")</f>
        <v/>
      </c>
      <c r="C457" t="str">
        <f>IF($A457&lt;&gt;"",'All Cases - Enter Cases'!C457,"")</f>
        <v/>
      </c>
      <c r="D457" t="str">
        <f>IF($A457&lt;&gt;"",'All Cases - Enter Cases'!D457,"")</f>
        <v/>
      </c>
      <c r="E457" t="str">
        <f>IF($A457&lt;&gt;"",'All Cases - Enter Cases'!E457,"")</f>
        <v/>
      </c>
      <c r="F457" t="str">
        <f>IF($A457&lt;&gt;"",'All Cases - Enter Cases'!F457,"")</f>
        <v/>
      </c>
      <c r="G457" t="str">
        <f>IF($A457&lt;&gt;"",'All Cases - Enter Cases'!G457,"")</f>
        <v/>
      </c>
      <c r="H457" t="str">
        <f>IF($A457&lt;&gt;"",'All Cases - Enter Cases'!H457,"")</f>
        <v/>
      </c>
      <c r="I457" t="str">
        <f>IF($A457&lt;&gt;"",'All Cases - Enter Cases'!I457,"")</f>
        <v/>
      </c>
      <c r="J457" t="str">
        <f>IF($A457&lt;&gt;"",'All Cases - Enter Cases'!J457,"")</f>
        <v/>
      </c>
      <c r="K457" t="str">
        <f>IF($A457&lt;&gt;"",'All Cases - Enter Cases'!K457,"")</f>
        <v/>
      </c>
      <c r="L457" t="str">
        <f>IF($A457&lt;&gt;"",'All Cases - Enter Cases'!L457,"")</f>
        <v/>
      </c>
      <c r="M457" t="str">
        <f>IF($A457&lt;&gt;"",'All Cases - Enter Cases'!M457,"")</f>
        <v/>
      </c>
    </row>
    <row r="458" spans="1:13" x14ac:dyDescent="0.35">
      <c r="A458" t="str">
        <f>IF('All Cases - Enter Cases'!$F458="KPK",'All Cases - Enter Cases'!A458,"")</f>
        <v/>
      </c>
      <c r="B458" t="str">
        <f>IF($A458&lt;&gt;"",'All Cases - Enter Cases'!B458,"")</f>
        <v/>
      </c>
      <c r="C458" t="str">
        <f>IF($A458&lt;&gt;"",'All Cases - Enter Cases'!C458,"")</f>
        <v/>
      </c>
      <c r="D458" t="str">
        <f>IF($A458&lt;&gt;"",'All Cases - Enter Cases'!D458,"")</f>
        <v/>
      </c>
      <c r="E458" t="str">
        <f>IF($A458&lt;&gt;"",'All Cases - Enter Cases'!E458,"")</f>
        <v/>
      </c>
      <c r="F458" t="str">
        <f>IF($A458&lt;&gt;"",'All Cases - Enter Cases'!F458,"")</f>
        <v/>
      </c>
      <c r="G458" t="str">
        <f>IF($A458&lt;&gt;"",'All Cases - Enter Cases'!G458,"")</f>
        <v/>
      </c>
      <c r="H458" t="str">
        <f>IF($A458&lt;&gt;"",'All Cases - Enter Cases'!H458,"")</f>
        <v/>
      </c>
      <c r="I458" t="str">
        <f>IF($A458&lt;&gt;"",'All Cases - Enter Cases'!I458,"")</f>
        <v/>
      </c>
      <c r="J458" t="str">
        <f>IF($A458&lt;&gt;"",'All Cases - Enter Cases'!J458,"")</f>
        <v/>
      </c>
      <c r="K458" t="str">
        <f>IF($A458&lt;&gt;"",'All Cases - Enter Cases'!K458,"")</f>
        <v/>
      </c>
      <c r="L458" t="str">
        <f>IF($A458&lt;&gt;"",'All Cases - Enter Cases'!L458,"")</f>
        <v/>
      </c>
      <c r="M458" t="str">
        <f>IF($A458&lt;&gt;"",'All Cases - Enter Cases'!M458,"")</f>
        <v/>
      </c>
    </row>
    <row r="459" spans="1:13" x14ac:dyDescent="0.35">
      <c r="A459" t="str">
        <f>IF('All Cases - Enter Cases'!$F459="KPK",'All Cases - Enter Cases'!A459,"")</f>
        <v/>
      </c>
      <c r="B459" t="str">
        <f>IF($A459&lt;&gt;"",'All Cases - Enter Cases'!B459,"")</f>
        <v/>
      </c>
      <c r="C459" t="str">
        <f>IF($A459&lt;&gt;"",'All Cases - Enter Cases'!C459,"")</f>
        <v/>
      </c>
      <c r="D459" t="str">
        <f>IF($A459&lt;&gt;"",'All Cases - Enter Cases'!D459,"")</f>
        <v/>
      </c>
      <c r="E459" t="str">
        <f>IF($A459&lt;&gt;"",'All Cases - Enter Cases'!E459,"")</f>
        <v/>
      </c>
      <c r="F459" t="str">
        <f>IF($A459&lt;&gt;"",'All Cases - Enter Cases'!F459,"")</f>
        <v/>
      </c>
      <c r="G459" t="str">
        <f>IF($A459&lt;&gt;"",'All Cases - Enter Cases'!G459,"")</f>
        <v/>
      </c>
      <c r="H459" t="str">
        <f>IF($A459&lt;&gt;"",'All Cases - Enter Cases'!H459,"")</f>
        <v/>
      </c>
      <c r="I459" t="str">
        <f>IF($A459&lt;&gt;"",'All Cases - Enter Cases'!I459,"")</f>
        <v/>
      </c>
      <c r="J459" t="str">
        <f>IF($A459&lt;&gt;"",'All Cases - Enter Cases'!J459,"")</f>
        <v/>
      </c>
      <c r="K459" t="str">
        <f>IF($A459&lt;&gt;"",'All Cases - Enter Cases'!K459,"")</f>
        <v/>
      </c>
      <c r="L459" t="str">
        <f>IF($A459&lt;&gt;"",'All Cases - Enter Cases'!L459,"")</f>
        <v/>
      </c>
      <c r="M459" t="str">
        <f>IF($A459&lt;&gt;"",'All Cases - Enter Cases'!M459,"")</f>
        <v/>
      </c>
    </row>
    <row r="460" spans="1:13" x14ac:dyDescent="0.35">
      <c r="A460" t="str">
        <f>IF('All Cases - Enter Cases'!$F460="KPK",'All Cases - Enter Cases'!A460,"")</f>
        <v/>
      </c>
      <c r="B460" t="str">
        <f>IF($A460&lt;&gt;"",'All Cases - Enter Cases'!B460,"")</f>
        <v/>
      </c>
      <c r="C460" t="str">
        <f>IF($A460&lt;&gt;"",'All Cases - Enter Cases'!C460,"")</f>
        <v/>
      </c>
      <c r="D460" t="str">
        <f>IF($A460&lt;&gt;"",'All Cases - Enter Cases'!D460,"")</f>
        <v/>
      </c>
      <c r="E460" t="str">
        <f>IF($A460&lt;&gt;"",'All Cases - Enter Cases'!E460,"")</f>
        <v/>
      </c>
      <c r="F460" t="str">
        <f>IF($A460&lt;&gt;"",'All Cases - Enter Cases'!F460,"")</f>
        <v/>
      </c>
      <c r="G460" t="str">
        <f>IF($A460&lt;&gt;"",'All Cases - Enter Cases'!G460,"")</f>
        <v/>
      </c>
      <c r="H460" t="str">
        <f>IF($A460&lt;&gt;"",'All Cases - Enter Cases'!H460,"")</f>
        <v/>
      </c>
      <c r="I460" t="str">
        <f>IF($A460&lt;&gt;"",'All Cases - Enter Cases'!I460,"")</f>
        <v/>
      </c>
      <c r="J460" t="str">
        <f>IF($A460&lt;&gt;"",'All Cases - Enter Cases'!J460,"")</f>
        <v/>
      </c>
      <c r="K460" t="str">
        <f>IF($A460&lt;&gt;"",'All Cases - Enter Cases'!K460,"")</f>
        <v/>
      </c>
      <c r="L460" t="str">
        <f>IF($A460&lt;&gt;"",'All Cases - Enter Cases'!L460,"")</f>
        <v/>
      </c>
      <c r="M460" t="str">
        <f>IF($A460&lt;&gt;"",'All Cases - Enter Cases'!M460,"")</f>
        <v/>
      </c>
    </row>
    <row r="461" spans="1:13" x14ac:dyDescent="0.35">
      <c r="A461" t="str">
        <f>IF('All Cases - Enter Cases'!$F461="KPK",'All Cases - Enter Cases'!A461,"")</f>
        <v/>
      </c>
      <c r="B461" t="str">
        <f>IF($A461&lt;&gt;"",'All Cases - Enter Cases'!B461,"")</f>
        <v/>
      </c>
      <c r="C461" t="str">
        <f>IF($A461&lt;&gt;"",'All Cases - Enter Cases'!C461,"")</f>
        <v/>
      </c>
      <c r="D461" t="str">
        <f>IF($A461&lt;&gt;"",'All Cases - Enter Cases'!D461,"")</f>
        <v/>
      </c>
      <c r="E461" t="str">
        <f>IF($A461&lt;&gt;"",'All Cases - Enter Cases'!E461,"")</f>
        <v/>
      </c>
      <c r="F461" t="str">
        <f>IF($A461&lt;&gt;"",'All Cases - Enter Cases'!F461,"")</f>
        <v/>
      </c>
      <c r="G461" t="str">
        <f>IF($A461&lt;&gt;"",'All Cases - Enter Cases'!G461,"")</f>
        <v/>
      </c>
      <c r="H461" t="str">
        <f>IF($A461&lt;&gt;"",'All Cases - Enter Cases'!H461,"")</f>
        <v/>
      </c>
      <c r="I461" t="str">
        <f>IF($A461&lt;&gt;"",'All Cases - Enter Cases'!I461,"")</f>
        <v/>
      </c>
      <c r="J461" t="str">
        <f>IF($A461&lt;&gt;"",'All Cases - Enter Cases'!J461,"")</f>
        <v/>
      </c>
      <c r="K461" t="str">
        <f>IF($A461&lt;&gt;"",'All Cases - Enter Cases'!K461,"")</f>
        <v/>
      </c>
      <c r="L461" t="str">
        <f>IF($A461&lt;&gt;"",'All Cases - Enter Cases'!L461,"")</f>
        <v/>
      </c>
      <c r="M461" t="str">
        <f>IF($A461&lt;&gt;"",'All Cases - Enter Cases'!M461,"")</f>
        <v/>
      </c>
    </row>
    <row r="462" spans="1:13" x14ac:dyDescent="0.35">
      <c r="A462" t="str">
        <f>IF('All Cases - Enter Cases'!$F462="KPK",'All Cases - Enter Cases'!A462,"")</f>
        <v/>
      </c>
      <c r="B462" t="str">
        <f>IF($A462&lt;&gt;"",'All Cases - Enter Cases'!B462,"")</f>
        <v/>
      </c>
      <c r="C462" t="str">
        <f>IF($A462&lt;&gt;"",'All Cases - Enter Cases'!C462,"")</f>
        <v/>
      </c>
      <c r="D462" t="str">
        <f>IF($A462&lt;&gt;"",'All Cases - Enter Cases'!D462,"")</f>
        <v/>
      </c>
      <c r="E462" t="str">
        <f>IF($A462&lt;&gt;"",'All Cases - Enter Cases'!E462,"")</f>
        <v/>
      </c>
      <c r="F462" t="str">
        <f>IF($A462&lt;&gt;"",'All Cases - Enter Cases'!F462,"")</f>
        <v/>
      </c>
      <c r="G462" t="str">
        <f>IF($A462&lt;&gt;"",'All Cases - Enter Cases'!G462,"")</f>
        <v/>
      </c>
      <c r="H462" t="str">
        <f>IF($A462&lt;&gt;"",'All Cases - Enter Cases'!H462,"")</f>
        <v/>
      </c>
      <c r="I462" t="str">
        <f>IF($A462&lt;&gt;"",'All Cases - Enter Cases'!I462,"")</f>
        <v/>
      </c>
      <c r="J462" t="str">
        <f>IF($A462&lt;&gt;"",'All Cases - Enter Cases'!J462,"")</f>
        <v/>
      </c>
      <c r="K462" t="str">
        <f>IF($A462&lt;&gt;"",'All Cases - Enter Cases'!K462,"")</f>
        <v/>
      </c>
      <c r="L462" t="str">
        <f>IF($A462&lt;&gt;"",'All Cases - Enter Cases'!L462,"")</f>
        <v/>
      </c>
      <c r="M462" t="str">
        <f>IF($A462&lt;&gt;"",'All Cases - Enter Cases'!M462,"")</f>
        <v/>
      </c>
    </row>
    <row r="463" spans="1:13" x14ac:dyDescent="0.35">
      <c r="A463" t="str">
        <f>IF('All Cases - Enter Cases'!$F463="KPK",'All Cases - Enter Cases'!A463,"")</f>
        <v/>
      </c>
      <c r="B463" t="str">
        <f>IF($A463&lt;&gt;"",'All Cases - Enter Cases'!B463,"")</f>
        <v/>
      </c>
      <c r="C463" t="str">
        <f>IF($A463&lt;&gt;"",'All Cases - Enter Cases'!C463,"")</f>
        <v/>
      </c>
      <c r="D463" t="str">
        <f>IF($A463&lt;&gt;"",'All Cases - Enter Cases'!D463,"")</f>
        <v/>
      </c>
      <c r="E463" t="str">
        <f>IF($A463&lt;&gt;"",'All Cases - Enter Cases'!E463,"")</f>
        <v/>
      </c>
      <c r="F463" t="str">
        <f>IF($A463&lt;&gt;"",'All Cases - Enter Cases'!F463,"")</f>
        <v/>
      </c>
      <c r="G463" t="str">
        <f>IF($A463&lt;&gt;"",'All Cases - Enter Cases'!G463,"")</f>
        <v/>
      </c>
      <c r="H463" t="str">
        <f>IF($A463&lt;&gt;"",'All Cases - Enter Cases'!H463,"")</f>
        <v/>
      </c>
      <c r="I463" t="str">
        <f>IF($A463&lt;&gt;"",'All Cases - Enter Cases'!I463,"")</f>
        <v/>
      </c>
      <c r="J463" t="str">
        <f>IF($A463&lt;&gt;"",'All Cases - Enter Cases'!J463,"")</f>
        <v/>
      </c>
      <c r="K463" t="str">
        <f>IF($A463&lt;&gt;"",'All Cases - Enter Cases'!K463,"")</f>
        <v/>
      </c>
      <c r="L463" t="str">
        <f>IF($A463&lt;&gt;"",'All Cases - Enter Cases'!L463,"")</f>
        <v/>
      </c>
      <c r="M463" t="str">
        <f>IF($A463&lt;&gt;"",'All Cases - Enter Cases'!M463,"")</f>
        <v/>
      </c>
    </row>
    <row r="464" spans="1:13" x14ac:dyDescent="0.35">
      <c r="A464" t="str">
        <f>IF('All Cases - Enter Cases'!$F464="KPK",'All Cases - Enter Cases'!A464,"")</f>
        <v/>
      </c>
      <c r="B464" t="str">
        <f>IF($A464&lt;&gt;"",'All Cases - Enter Cases'!B464,"")</f>
        <v/>
      </c>
      <c r="C464" t="str">
        <f>IF($A464&lt;&gt;"",'All Cases - Enter Cases'!C464,"")</f>
        <v/>
      </c>
      <c r="D464" t="str">
        <f>IF($A464&lt;&gt;"",'All Cases - Enter Cases'!D464,"")</f>
        <v/>
      </c>
      <c r="E464" t="str">
        <f>IF($A464&lt;&gt;"",'All Cases - Enter Cases'!E464,"")</f>
        <v/>
      </c>
      <c r="F464" t="str">
        <f>IF($A464&lt;&gt;"",'All Cases - Enter Cases'!F464,"")</f>
        <v/>
      </c>
      <c r="G464" t="str">
        <f>IF($A464&lt;&gt;"",'All Cases - Enter Cases'!G464,"")</f>
        <v/>
      </c>
      <c r="H464" t="str">
        <f>IF($A464&lt;&gt;"",'All Cases - Enter Cases'!H464,"")</f>
        <v/>
      </c>
      <c r="I464" t="str">
        <f>IF($A464&lt;&gt;"",'All Cases - Enter Cases'!I464,"")</f>
        <v/>
      </c>
      <c r="J464" t="str">
        <f>IF($A464&lt;&gt;"",'All Cases - Enter Cases'!J464,"")</f>
        <v/>
      </c>
      <c r="K464" t="str">
        <f>IF($A464&lt;&gt;"",'All Cases - Enter Cases'!K464,"")</f>
        <v/>
      </c>
      <c r="L464" t="str">
        <f>IF($A464&lt;&gt;"",'All Cases - Enter Cases'!L464,"")</f>
        <v/>
      </c>
      <c r="M464" t="str">
        <f>IF($A464&lt;&gt;"",'All Cases - Enter Cases'!M464,"")</f>
        <v/>
      </c>
    </row>
    <row r="465" spans="1:13" x14ac:dyDescent="0.35">
      <c r="A465" t="str">
        <f>IF('All Cases - Enter Cases'!$F465="KPK",'All Cases - Enter Cases'!A465,"")</f>
        <v/>
      </c>
      <c r="B465" t="str">
        <f>IF($A465&lt;&gt;"",'All Cases - Enter Cases'!B465,"")</f>
        <v/>
      </c>
      <c r="C465" t="str">
        <f>IF($A465&lt;&gt;"",'All Cases - Enter Cases'!C465,"")</f>
        <v/>
      </c>
      <c r="D465" t="str">
        <f>IF($A465&lt;&gt;"",'All Cases - Enter Cases'!D465,"")</f>
        <v/>
      </c>
      <c r="E465" t="str">
        <f>IF($A465&lt;&gt;"",'All Cases - Enter Cases'!E465,"")</f>
        <v/>
      </c>
      <c r="F465" t="str">
        <f>IF($A465&lt;&gt;"",'All Cases - Enter Cases'!F465,"")</f>
        <v/>
      </c>
      <c r="G465" t="str">
        <f>IF($A465&lt;&gt;"",'All Cases - Enter Cases'!G465,"")</f>
        <v/>
      </c>
      <c r="H465" t="str">
        <f>IF($A465&lt;&gt;"",'All Cases - Enter Cases'!H465,"")</f>
        <v/>
      </c>
      <c r="I465" t="str">
        <f>IF($A465&lt;&gt;"",'All Cases - Enter Cases'!I465,"")</f>
        <v/>
      </c>
      <c r="J465" t="str">
        <f>IF($A465&lt;&gt;"",'All Cases - Enter Cases'!J465,"")</f>
        <v/>
      </c>
      <c r="K465" t="str">
        <f>IF($A465&lt;&gt;"",'All Cases - Enter Cases'!K465,"")</f>
        <v/>
      </c>
      <c r="L465" t="str">
        <f>IF($A465&lt;&gt;"",'All Cases - Enter Cases'!L465,"")</f>
        <v/>
      </c>
      <c r="M465" t="str">
        <f>IF($A465&lt;&gt;"",'All Cases - Enter Cases'!M465,"")</f>
        <v/>
      </c>
    </row>
    <row r="466" spans="1:13" x14ac:dyDescent="0.35">
      <c r="A466" t="str">
        <f>IF('All Cases - Enter Cases'!$F466="KPK",'All Cases - Enter Cases'!A466,"")</f>
        <v/>
      </c>
      <c r="B466" t="str">
        <f>IF($A466&lt;&gt;"",'All Cases - Enter Cases'!B466,"")</f>
        <v/>
      </c>
      <c r="C466" t="str">
        <f>IF($A466&lt;&gt;"",'All Cases - Enter Cases'!C466,"")</f>
        <v/>
      </c>
      <c r="D466" t="str">
        <f>IF($A466&lt;&gt;"",'All Cases - Enter Cases'!D466,"")</f>
        <v/>
      </c>
      <c r="E466" t="str">
        <f>IF($A466&lt;&gt;"",'All Cases - Enter Cases'!E466,"")</f>
        <v/>
      </c>
      <c r="F466" t="str">
        <f>IF($A466&lt;&gt;"",'All Cases - Enter Cases'!F466,"")</f>
        <v/>
      </c>
      <c r="G466" t="str">
        <f>IF($A466&lt;&gt;"",'All Cases - Enter Cases'!G466,"")</f>
        <v/>
      </c>
      <c r="H466" t="str">
        <f>IF($A466&lt;&gt;"",'All Cases - Enter Cases'!H466,"")</f>
        <v/>
      </c>
      <c r="I466" t="str">
        <f>IF($A466&lt;&gt;"",'All Cases - Enter Cases'!I466,"")</f>
        <v/>
      </c>
      <c r="J466" t="str">
        <f>IF($A466&lt;&gt;"",'All Cases - Enter Cases'!J466,"")</f>
        <v/>
      </c>
      <c r="K466" t="str">
        <f>IF($A466&lt;&gt;"",'All Cases - Enter Cases'!K466,"")</f>
        <v/>
      </c>
      <c r="L466" t="str">
        <f>IF($A466&lt;&gt;"",'All Cases - Enter Cases'!L466,"")</f>
        <v/>
      </c>
      <c r="M466" t="str">
        <f>IF($A466&lt;&gt;"",'All Cases - Enter Cases'!M466,"")</f>
        <v/>
      </c>
    </row>
    <row r="467" spans="1:13" x14ac:dyDescent="0.35">
      <c r="A467" t="str">
        <f>IF('All Cases - Enter Cases'!$F467="KPK",'All Cases - Enter Cases'!A467,"")</f>
        <v/>
      </c>
      <c r="B467" t="str">
        <f>IF($A467&lt;&gt;"",'All Cases - Enter Cases'!B467,"")</f>
        <v/>
      </c>
      <c r="C467" t="str">
        <f>IF($A467&lt;&gt;"",'All Cases - Enter Cases'!C467,"")</f>
        <v/>
      </c>
      <c r="D467" t="str">
        <f>IF($A467&lt;&gt;"",'All Cases - Enter Cases'!D467,"")</f>
        <v/>
      </c>
      <c r="E467" t="str">
        <f>IF($A467&lt;&gt;"",'All Cases - Enter Cases'!E467,"")</f>
        <v/>
      </c>
      <c r="F467" t="str">
        <f>IF($A467&lt;&gt;"",'All Cases - Enter Cases'!F467,"")</f>
        <v/>
      </c>
      <c r="G467" t="str">
        <f>IF($A467&lt;&gt;"",'All Cases - Enter Cases'!G467,"")</f>
        <v/>
      </c>
      <c r="H467" t="str">
        <f>IF($A467&lt;&gt;"",'All Cases - Enter Cases'!H467,"")</f>
        <v/>
      </c>
      <c r="I467" t="str">
        <f>IF($A467&lt;&gt;"",'All Cases - Enter Cases'!I467,"")</f>
        <v/>
      </c>
      <c r="J467" t="str">
        <f>IF($A467&lt;&gt;"",'All Cases - Enter Cases'!J467,"")</f>
        <v/>
      </c>
      <c r="K467" t="str">
        <f>IF($A467&lt;&gt;"",'All Cases - Enter Cases'!K467,"")</f>
        <v/>
      </c>
      <c r="L467" t="str">
        <f>IF($A467&lt;&gt;"",'All Cases - Enter Cases'!L467,"")</f>
        <v/>
      </c>
      <c r="M467" t="str">
        <f>IF($A467&lt;&gt;"",'All Cases - Enter Cases'!M467,"")</f>
        <v/>
      </c>
    </row>
    <row r="468" spans="1:13" x14ac:dyDescent="0.35">
      <c r="A468" t="str">
        <f>IF('All Cases - Enter Cases'!$F468="KPK",'All Cases - Enter Cases'!A468,"")</f>
        <v/>
      </c>
      <c r="B468" t="str">
        <f>IF($A468&lt;&gt;"",'All Cases - Enter Cases'!B468,"")</f>
        <v/>
      </c>
      <c r="C468" t="str">
        <f>IF($A468&lt;&gt;"",'All Cases - Enter Cases'!C468,"")</f>
        <v/>
      </c>
      <c r="D468" t="str">
        <f>IF($A468&lt;&gt;"",'All Cases - Enter Cases'!D468,"")</f>
        <v/>
      </c>
      <c r="E468" t="str">
        <f>IF($A468&lt;&gt;"",'All Cases - Enter Cases'!E468,"")</f>
        <v/>
      </c>
      <c r="F468" t="str">
        <f>IF($A468&lt;&gt;"",'All Cases - Enter Cases'!F468,"")</f>
        <v/>
      </c>
      <c r="G468" t="str">
        <f>IF($A468&lt;&gt;"",'All Cases - Enter Cases'!G468,"")</f>
        <v/>
      </c>
      <c r="H468" t="str">
        <f>IF($A468&lt;&gt;"",'All Cases - Enter Cases'!H468,"")</f>
        <v/>
      </c>
      <c r="I468" t="str">
        <f>IF($A468&lt;&gt;"",'All Cases - Enter Cases'!I468,"")</f>
        <v/>
      </c>
      <c r="J468" t="str">
        <f>IF($A468&lt;&gt;"",'All Cases - Enter Cases'!J468,"")</f>
        <v/>
      </c>
      <c r="K468" t="str">
        <f>IF($A468&lt;&gt;"",'All Cases - Enter Cases'!K468,"")</f>
        <v/>
      </c>
      <c r="L468" t="str">
        <f>IF($A468&lt;&gt;"",'All Cases - Enter Cases'!L468,"")</f>
        <v/>
      </c>
      <c r="M468" t="str">
        <f>IF($A468&lt;&gt;"",'All Cases - Enter Cases'!M468,"")</f>
        <v/>
      </c>
    </row>
    <row r="469" spans="1:13" x14ac:dyDescent="0.35">
      <c r="A469" t="str">
        <f>IF('All Cases - Enter Cases'!$F469="KPK",'All Cases - Enter Cases'!A469,"")</f>
        <v/>
      </c>
      <c r="B469" t="str">
        <f>IF($A469&lt;&gt;"",'All Cases - Enter Cases'!B469,"")</f>
        <v/>
      </c>
      <c r="C469" t="str">
        <f>IF($A469&lt;&gt;"",'All Cases - Enter Cases'!C469,"")</f>
        <v/>
      </c>
      <c r="D469" t="str">
        <f>IF($A469&lt;&gt;"",'All Cases - Enter Cases'!D469,"")</f>
        <v/>
      </c>
      <c r="E469" t="str">
        <f>IF($A469&lt;&gt;"",'All Cases - Enter Cases'!E469,"")</f>
        <v/>
      </c>
      <c r="F469" t="str">
        <f>IF($A469&lt;&gt;"",'All Cases - Enter Cases'!F469,"")</f>
        <v/>
      </c>
      <c r="G469" t="str">
        <f>IF($A469&lt;&gt;"",'All Cases - Enter Cases'!G469,"")</f>
        <v/>
      </c>
      <c r="H469" t="str">
        <f>IF($A469&lt;&gt;"",'All Cases - Enter Cases'!H469,"")</f>
        <v/>
      </c>
      <c r="I469" t="str">
        <f>IF($A469&lt;&gt;"",'All Cases - Enter Cases'!I469,"")</f>
        <v/>
      </c>
      <c r="J469" t="str">
        <f>IF($A469&lt;&gt;"",'All Cases - Enter Cases'!J469,"")</f>
        <v/>
      </c>
      <c r="K469" t="str">
        <f>IF($A469&lt;&gt;"",'All Cases - Enter Cases'!K469,"")</f>
        <v/>
      </c>
      <c r="L469" t="str">
        <f>IF($A469&lt;&gt;"",'All Cases - Enter Cases'!L469,"")</f>
        <v/>
      </c>
      <c r="M469" t="str">
        <f>IF($A469&lt;&gt;"",'All Cases - Enter Cases'!M469,"")</f>
        <v/>
      </c>
    </row>
    <row r="470" spans="1:13" x14ac:dyDescent="0.35">
      <c r="A470" t="str">
        <f>IF('All Cases - Enter Cases'!$F470="KPK",'All Cases - Enter Cases'!A470,"")</f>
        <v/>
      </c>
      <c r="B470" t="str">
        <f>IF($A470&lt;&gt;"",'All Cases - Enter Cases'!B470,"")</f>
        <v/>
      </c>
      <c r="C470" t="str">
        <f>IF($A470&lt;&gt;"",'All Cases - Enter Cases'!C470,"")</f>
        <v/>
      </c>
      <c r="D470" t="str">
        <f>IF($A470&lt;&gt;"",'All Cases - Enter Cases'!D470,"")</f>
        <v/>
      </c>
      <c r="E470" t="str">
        <f>IF($A470&lt;&gt;"",'All Cases - Enter Cases'!E470,"")</f>
        <v/>
      </c>
      <c r="F470" t="str">
        <f>IF($A470&lt;&gt;"",'All Cases - Enter Cases'!F470,"")</f>
        <v/>
      </c>
      <c r="G470" t="str">
        <f>IF($A470&lt;&gt;"",'All Cases - Enter Cases'!G470,"")</f>
        <v/>
      </c>
      <c r="H470" t="str">
        <f>IF($A470&lt;&gt;"",'All Cases - Enter Cases'!H470,"")</f>
        <v/>
      </c>
      <c r="I470" t="str">
        <f>IF($A470&lt;&gt;"",'All Cases - Enter Cases'!I470,"")</f>
        <v/>
      </c>
      <c r="J470" t="str">
        <f>IF($A470&lt;&gt;"",'All Cases - Enter Cases'!J470,"")</f>
        <v/>
      </c>
      <c r="K470" t="str">
        <f>IF($A470&lt;&gt;"",'All Cases - Enter Cases'!K470,"")</f>
        <v/>
      </c>
      <c r="L470" t="str">
        <f>IF($A470&lt;&gt;"",'All Cases - Enter Cases'!L470,"")</f>
        <v/>
      </c>
      <c r="M470" t="str">
        <f>IF($A470&lt;&gt;"",'All Cases - Enter Cases'!M470,"")</f>
        <v/>
      </c>
    </row>
    <row r="471" spans="1:13" x14ac:dyDescent="0.35">
      <c r="A471" t="str">
        <f>IF('All Cases - Enter Cases'!$F471="KPK",'All Cases - Enter Cases'!A471,"")</f>
        <v/>
      </c>
      <c r="B471" t="str">
        <f>IF($A471&lt;&gt;"",'All Cases - Enter Cases'!B471,"")</f>
        <v/>
      </c>
      <c r="C471" t="str">
        <f>IF($A471&lt;&gt;"",'All Cases - Enter Cases'!C471,"")</f>
        <v/>
      </c>
      <c r="D471" t="str">
        <f>IF($A471&lt;&gt;"",'All Cases - Enter Cases'!D471,"")</f>
        <v/>
      </c>
      <c r="E471" t="str">
        <f>IF($A471&lt;&gt;"",'All Cases - Enter Cases'!E471,"")</f>
        <v/>
      </c>
      <c r="F471" t="str">
        <f>IF($A471&lt;&gt;"",'All Cases - Enter Cases'!F471,"")</f>
        <v/>
      </c>
      <c r="G471" t="str">
        <f>IF($A471&lt;&gt;"",'All Cases - Enter Cases'!G471,"")</f>
        <v/>
      </c>
      <c r="H471" t="str">
        <f>IF($A471&lt;&gt;"",'All Cases - Enter Cases'!H471,"")</f>
        <v/>
      </c>
      <c r="I471" t="str">
        <f>IF($A471&lt;&gt;"",'All Cases - Enter Cases'!I471,"")</f>
        <v/>
      </c>
      <c r="J471" t="str">
        <f>IF($A471&lt;&gt;"",'All Cases - Enter Cases'!J471,"")</f>
        <v/>
      </c>
      <c r="K471" t="str">
        <f>IF($A471&lt;&gt;"",'All Cases - Enter Cases'!K471,"")</f>
        <v/>
      </c>
      <c r="L471" t="str">
        <f>IF($A471&lt;&gt;"",'All Cases - Enter Cases'!L471,"")</f>
        <v/>
      </c>
      <c r="M471" t="str">
        <f>IF($A471&lt;&gt;"",'All Cases - Enter Cases'!M471,"")</f>
        <v/>
      </c>
    </row>
    <row r="472" spans="1:13" x14ac:dyDescent="0.35">
      <c r="A472" t="str">
        <f>IF('All Cases - Enter Cases'!$F472="KPK",'All Cases - Enter Cases'!A472,"")</f>
        <v/>
      </c>
      <c r="B472" t="str">
        <f>IF($A472&lt;&gt;"",'All Cases - Enter Cases'!B472,"")</f>
        <v/>
      </c>
      <c r="C472" t="str">
        <f>IF($A472&lt;&gt;"",'All Cases - Enter Cases'!C472,"")</f>
        <v/>
      </c>
      <c r="D472" t="str">
        <f>IF($A472&lt;&gt;"",'All Cases - Enter Cases'!D472,"")</f>
        <v/>
      </c>
      <c r="E472" t="str">
        <f>IF($A472&lt;&gt;"",'All Cases - Enter Cases'!E472,"")</f>
        <v/>
      </c>
      <c r="F472" t="str">
        <f>IF($A472&lt;&gt;"",'All Cases - Enter Cases'!F472,"")</f>
        <v/>
      </c>
      <c r="G472" t="str">
        <f>IF($A472&lt;&gt;"",'All Cases - Enter Cases'!G472,"")</f>
        <v/>
      </c>
      <c r="H472" t="str">
        <f>IF($A472&lt;&gt;"",'All Cases - Enter Cases'!H472,"")</f>
        <v/>
      </c>
      <c r="I472" t="str">
        <f>IF($A472&lt;&gt;"",'All Cases - Enter Cases'!I472,"")</f>
        <v/>
      </c>
      <c r="J472" t="str">
        <f>IF($A472&lt;&gt;"",'All Cases - Enter Cases'!J472,"")</f>
        <v/>
      </c>
      <c r="K472" t="str">
        <f>IF($A472&lt;&gt;"",'All Cases - Enter Cases'!K472,"")</f>
        <v/>
      </c>
      <c r="L472" t="str">
        <f>IF($A472&lt;&gt;"",'All Cases - Enter Cases'!L472,"")</f>
        <v/>
      </c>
      <c r="M472" t="str">
        <f>IF($A472&lt;&gt;"",'All Cases - Enter Cases'!M472,"")</f>
        <v/>
      </c>
    </row>
    <row r="473" spans="1:13" x14ac:dyDescent="0.35">
      <c r="A473" t="str">
        <f>IF('All Cases - Enter Cases'!$F473="KPK",'All Cases - Enter Cases'!A473,"")</f>
        <v/>
      </c>
      <c r="B473" t="str">
        <f>IF($A473&lt;&gt;"",'All Cases - Enter Cases'!B473,"")</f>
        <v/>
      </c>
      <c r="C473" t="str">
        <f>IF($A473&lt;&gt;"",'All Cases - Enter Cases'!C473,"")</f>
        <v/>
      </c>
      <c r="D473" t="str">
        <f>IF($A473&lt;&gt;"",'All Cases - Enter Cases'!D473,"")</f>
        <v/>
      </c>
      <c r="E473" t="str">
        <f>IF($A473&lt;&gt;"",'All Cases - Enter Cases'!E473,"")</f>
        <v/>
      </c>
      <c r="F473" t="str">
        <f>IF($A473&lt;&gt;"",'All Cases - Enter Cases'!F473,"")</f>
        <v/>
      </c>
      <c r="G473" t="str">
        <f>IF($A473&lt;&gt;"",'All Cases - Enter Cases'!G473,"")</f>
        <v/>
      </c>
      <c r="H473" t="str">
        <f>IF($A473&lt;&gt;"",'All Cases - Enter Cases'!H473,"")</f>
        <v/>
      </c>
      <c r="I473" t="str">
        <f>IF($A473&lt;&gt;"",'All Cases - Enter Cases'!I473,"")</f>
        <v/>
      </c>
      <c r="J473" t="str">
        <f>IF($A473&lt;&gt;"",'All Cases - Enter Cases'!J473,"")</f>
        <v/>
      </c>
      <c r="K473" t="str">
        <f>IF($A473&lt;&gt;"",'All Cases - Enter Cases'!K473,"")</f>
        <v/>
      </c>
      <c r="L473" t="str">
        <f>IF($A473&lt;&gt;"",'All Cases - Enter Cases'!L473,"")</f>
        <v/>
      </c>
      <c r="M473" t="str">
        <f>IF($A473&lt;&gt;"",'All Cases - Enter Cases'!M473,"")</f>
        <v/>
      </c>
    </row>
    <row r="474" spans="1:13" x14ac:dyDescent="0.35">
      <c r="A474" t="str">
        <f>IF('All Cases - Enter Cases'!$F474="KPK",'All Cases - Enter Cases'!A474,"")</f>
        <v/>
      </c>
      <c r="B474" t="str">
        <f>IF($A474&lt;&gt;"",'All Cases - Enter Cases'!B474,"")</f>
        <v/>
      </c>
      <c r="C474" t="str">
        <f>IF($A474&lt;&gt;"",'All Cases - Enter Cases'!C474,"")</f>
        <v/>
      </c>
      <c r="D474" t="str">
        <f>IF($A474&lt;&gt;"",'All Cases - Enter Cases'!D474,"")</f>
        <v/>
      </c>
      <c r="E474" t="str">
        <f>IF($A474&lt;&gt;"",'All Cases - Enter Cases'!E474,"")</f>
        <v/>
      </c>
      <c r="F474" t="str">
        <f>IF($A474&lt;&gt;"",'All Cases - Enter Cases'!F474,"")</f>
        <v/>
      </c>
      <c r="G474" t="str">
        <f>IF($A474&lt;&gt;"",'All Cases - Enter Cases'!G474,"")</f>
        <v/>
      </c>
      <c r="H474" t="str">
        <f>IF($A474&lt;&gt;"",'All Cases - Enter Cases'!H474,"")</f>
        <v/>
      </c>
      <c r="I474" t="str">
        <f>IF($A474&lt;&gt;"",'All Cases - Enter Cases'!I474,"")</f>
        <v/>
      </c>
      <c r="J474" t="str">
        <f>IF($A474&lt;&gt;"",'All Cases - Enter Cases'!J474,"")</f>
        <v/>
      </c>
      <c r="K474" t="str">
        <f>IF($A474&lt;&gt;"",'All Cases - Enter Cases'!K474,"")</f>
        <v/>
      </c>
      <c r="L474" t="str">
        <f>IF($A474&lt;&gt;"",'All Cases - Enter Cases'!L474,"")</f>
        <v/>
      </c>
      <c r="M474" t="str">
        <f>IF($A474&lt;&gt;"",'All Cases - Enter Cases'!M474,"")</f>
        <v/>
      </c>
    </row>
    <row r="475" spans="1:13" x14ac:dyDescent="0.35">
      <c r="A475" t="str">
        <f>IF('All Cases - Enter Cases'!$F475="KPK",'All Cases - Enter Cases'!A475,"")</f>
        <v/>
      </c>
      <c r="B475" t="str">
        <f>IF($A475&lt;&gt;"",'All Cases - Enter Cases'!B475,"")</f>
        <v/>
      </c>
      <c r="C475" t="str">
        <f>IF($A475&lt;&gt;"",'All Cases - Enter Cases'!C475,"")</f>
        <v/>
      </c>
      <c r="D475" t="str">
        <f>IF($A475&lt;&gt;"",'All Cases - Enter Cases'!D475,"")</f>
        <v/>
      </c>
      <c r="E475" t="str">
        <f>IF($A475&lt;&gt;"",'All Cases - Enter Cases'!E475,"")</f>
        <v/>
      </c>
      <c r="F475" t="str">
        <f>IF($A475&lt;&gt;"",'All Cases - Enter Cases'!F475,"")</f>
        <v/>
      </c>
      <c r="G475" t="str">
        <f>IF($A475&lt;&gt;"",'All Cases - Enter Cases'!G475,"")</f>
        <v/>
      </c>
      <c r="H475" t="str">
        <f>IF($A475&lt;&gt;"",'All Cases - Enter Cases'!H475,"")</f>
        <v/>
      </c>
      <c r="I475" t="str">
        <f>IF($A475&lt;&gt;"",'All Cases - Enter Cases'!I475,"")</f>
        <v/>
      </c>
      <c r="J475" t="str">
        <f>IF($A475&lt;&gt;"",'All Cases - Enter Cases'!J475,"")</f>
        <v/>
      </c>
      <c r="K475" t="str">
        <f>IF($A475&lt;&gt;"",'All Cases - Enter Cases'!K475,"")</f>
        <v/>
      </c>
      <c r="L475" t="str">
        <f>IF($A475&lt;&gt;"",'All Cases - Enter Cases'!L475,"")</f>
        <v/>
      </c>
      <c r="M475" t="str">
        <f>IF($A475&lt;&gt;"",'All Cases - Enter Cases'!M475,"")</f>
        <v/>
      </c>
    </row>
    <row r="476" spans="1:13" x14ac:dyDescent="0.35">
      <c r="A476" t="str">
        <f>IF('All Cases - Enter Cases'!$F476="KPK",'All Cases - Enter Cases'!A476,"")</f>
        <v/>
      </c>
      <c r="B476" t="str">
        <f>IF($A476&lt;&gt;"",'All Cases - Enter Cases'!B476,"")</f>
        <v/>
      </c>
      <c r="C476" t="str">
        <f>IF($A476&lt;&gt;"",'All Cases - Enter Cases'!C476,"")</f>
        <v/>
      </c>
      <c r="D476" t="str">
        <f>IF($A476&lt;&gt;"",'All Cases - Enter Cases'!D476,"")</f>
        <v/>
      </c>
      <c r="E476" t="str">
        <f>IF($A476&lt;&gt;"",'All Cases - Enter Cases'!E476,"")</f>
        <v/>
      </c>
      <c r="F476" t="str">
        <f>IF($A476&lt;&gt;"",'All Cases - Enter Cases'!F476,"")</f>
        <v/>
      </c>
      <c r="G476" t="str">
        <f>IF($A476&lt;&gt;"",'All Cases - Enter Cases'!G476,"")</f>
        <v/>
      </c>
      <c r="H476" t="str">
        <f>IF($A476&lt;&gt;"",'All Cases - Enter Cases'!H476,"")</f>
        <v/>
      </c>
      <c r="I476" t="str">
        <f>IF($A476&lt;&gt;"",'All Cases - Enter Cases'!I476,"")</f>
        <v/>
      </c>
      <c r="J476" t="str">
        <f>IF($A476&lt;&gt;"",'All Cases - Enter Cases'!J476,"")</f>
        <v/>
      </c>
      <c r="K476" t="str">
        <f>IF($A476&lt;&gt;"",'All Cases - Enter Cases'!K476,"")</f>
        <v/>
      </c>
      <c r="L476" t="str">
        <f>IF($A476&lt;&gt;"",'All Cases - Enter Cases'!L476,"")</f>
        <v/>
      </c>
      <c r="M476" t="str">
        <f>IF($A476&lt;&gt;"",'All Cases - Enter Cases'!M476,"")</f>
        <v/>
      </c>
    </row>
    <row r="477" spans="1:13" x14ac:dyDescent="0.35">
      <c r="A477" t="str">
        <f>IF('All Cases - Enter Cases'!$F477="KPK",'All Cases - Enter Cases'!A477,"")</f>
        <v/>
      </c>
      <c r="B477" t="str">
        <f>IF($A477&lt;&gt;"",'All Cases - Enter Cases'!B477,"")</f>
        <v/>
      </c>
      <c r="C477" t="str">
        <f>IF($A477&lt;&gt;"",'All Cases - Enter Cases'!C477,"")</f>
        <v/>
      </c>
      <c r="D477" t="str">
        <f>IF($A477&lt;&gt;"",'All Cases - Enter Cases'!D477,"")</f>
        <v/>
      </c>
      <c r="E477" t="str">
        <f>IF($A477&lt;&gt;"",'All Cases - Enter Cases'!E477,"")</f>
        <v/>
      </c>
      <c r="F477" t="str">
        <f>IF($A477&lt;&gt;"",'All Cases - Enter Cases'!F477,"")</f>
        <v/>
      </c>
      <c r="G477" t="str">
        <f>IF($A477&lt;&gt;"",'All Cases - Enter Cases'!G477,"")</f>
        <v/>
      </c>
      <c r="H477" t="str">
        <f>IF($A477&lt;&gt;"",'All Cases - Enter Cases'!H477,"")</f>
        <v/>
      </c>
      <c r="I477" t="str">
        <f>IF($A477&lt;&gt;"",'All Cases - Enter Cases'!I477,"")</f>
        <v/>
      </c>
      <c r="J477" t="str">
        <f>IF($A477&lt;&gt;"",'All Cases - Enter Cases'!J477,"")</f>
        <v/>
      </c>
      <c r="K477" t="str">
        <f>IF($A477&lt;&gt;"",'All Cases - Enter Cases'!K477,"")</f>
        <v/>
      </c>
      <c r="L477" t="str">
        <f>IF($A477&lt;&gt;"",'All Cases - Enter Cases'!L477,"")</f>
        <v/>
      </c>
      <c r="M477" t="str">
        <f>IF($A477&lt;&gt;"",'All Cases - Enter Cases'!M477,"")</f>
        <v/>
      </c>
    </row>
    <row r="478" spans="1:13" x14ac:dyDescent="0.35">
      <c r="A478" t="str">
        <f>IF('All Cases - Enter Cases'!$F478="KPK",'All Cases - Enter Cases'!A478,"")</f>
        <v/>
      </c>
      <c r="B478" t="str">
        <f>IF($A478&lt;&gt;"",'All Cases - Enter Cases'!B478,"")</f>
        <v/>
      </c>
      <c r="C478" t="str">
        <f>IF($A478&lt;&gt;"",'All Cases - Enter Cases'!C478,"")</f>
        <v/>
      </c>
      <c r="D478" t="str">
        <f>IF($A478&lt;&gt;"",'All Cases - Enter Cases'!D478,"")</f>
        <v/>
      </c>
      <c r="E478" t="str">
        <f>IF($A478&lt;&gt;"",'All Cases - Enter Cases'!E478,"")</f>
        <v/>
      </c>
      <c r="F478" t="str">
        <f>IF($A478&lt;&gt;"",'All Cases - Enter Cases'!F478,"")</f>
        <v/>
      </c>
      <c r="G478" t="str">
        <f>IF($A478&lt;&gt;"",'All Cases - Enter Cases'!G478,"")</f>
        <v/>
      </c>
      <c r="H478" t="str">
        <f>IF($A478&lt;&gt;"",'All Cases - Enter Cases'!H478,"")</f>
        <v/>
      </c>
      <c r="I478" t="str">
        <f>IF($A478&lt;&gt;"",'All Cases - Enter Cases'!I478,"")</f>
        <v/>
      </c>
      <c r="J478" t="str">
        <f>IF($A478&lt;&gt;"",'All Cases - Enter Cases'!J478,"")</f>
        <v/>
      </c>
      <c r="K478" t="str">
        <f>IF($A478&lt;&gt;"",'All Cases - Enter Cases'!K478,"")</f>
        <v/>
      </c>
      <c r="L478" t="str">
        <f>IF($A478&lt;&gt;"",'All Cases - Enter Cases'!L478,"")</f>
        <v/>
      </c>
      <c r="M478" t="str">
        <f>IF($A478&lt;&gt;"",'All Cases - Enter Cases'!M478,"")</f>
        <v/>
      </c>
    </row>
    <row r="479" spans="1:13" x14ac:dyDescent="0.35">
      <c r="A479" t="str">
        <f>IF('All Cases - Enter Cases'!$F479="KPK",'All Cases - Enter Cases'!A479,"")</f>
        <v/>
      </c>
      <c r="B479" t="str">
        <f>IF($A479&lt;&gt;"",'All Cases - Enter Cases'!B479,"")</f>
        <v/>
      </c>
      <c r="C479" t="str">
        <f>IF($A479&lt;&gt;"",'All Cases - Enter Cases'!C479,"")</f>
        <v/>
      </c>
      <c r="D479" t="str">
        <f>IF($A479&lt;&gt;"",'All Cases - Enter Cases'!D479,"")</f>
        <v/>
      </c>
      <c r="E479" t="str">
        <f>IF($A479&lt;&gt;"",'All Cases - Enter Cases'!E479,"")</f>
        <v/>
      </c>
      <c r="F479" t="str">
        <f>IF($A479&lt;&gt;"",'All Cases - Enter Cases'!F479,"")</f>
        <v/>
      </c>
      <c r="G479" t="str">
        <f>IF($A479&lt;&gt;"",'All Cases - Enter Cases'!G479,"")</f>
        <v/>
      </c>
      <c r="H479" t="str">
        <f>IF($A479&lt;&gt;"",'All Cases - Enter Cases'!H479,"")</f>
        <v/>
      </c>
      <c r="I479" t="str">
        <f>IF($A479&lt;&gt;"",'All Cases - Enter Cases'!I479,"")</f>
        <v/>
      </c>
      <c r="J479" t="str">
        <f>IF($A479&lt;&gt;"",'All Cases - Enter Cases'!J479,"")</f>
        <v/>
      </c>
      <c r="K479" t="str">
        <f>IF($A479&lt;&gt;"",'All Cases - Enter Cases'!K479,"")</f>
        <v/>
      </c>
      <c r="L479" t="str">
        <f>IF($A479&lt;&gt;"",'All Cases - Enter Cases'!L479,"")</f>
        <v/>
      </c>
      <c r="M479" t="str">
        <f>IF($A479&lt;&gt;"",'All Cases - Enter Cases'!M479,"")</f>
        <v/>
      </c>
    </row>
    <row r="480" spans="1:13" x14ac:dyDescent="0.35">
      <c r="A480" t="str">
        <f>IF('All Cases - Enter Cases'!$F480="KPK",'All Cases - Enter Cases'!A480,"")</f>
        <v/>
      </c>
      <c r="B480" t="str">
        <f>IF($A480&lt;&gt;"",'All Cases - Enter Cases'!B480,"")</f>
        <v/>
      </c>
      <c r="C480" t="str">
        <f>IF($A480&lt;&gt;"",'All Cases - Enter Cases'!C480,"")</f>
        <v/>
      </c>
      <c r="D480" t="str">
        <f>IF($A480&lt;&gt;"",'All Cases - Enter Cases'!D480,"")</f>
        <v/>
      </c>
      <c r="E480" t="str">
        <f>IF($A480&lt;&gt;"",'All Cases - Enter Cases'!E480,"")</f>
        <v/>
      </c>
      <c r="F480" t="str">
        <f>IF($A480&lt;&gt;"",'All Cases - Enter Cases'!F480,"")</f>
        <v/>
      </c>
      <c r="G480" t="str">
        <f>IF($A480&lt;&gt;"",'All Cases - Enter Cases'!G480,"")</f>
        <v/>
      </c>
      <c r="H480" t="str">
        <f>IF($A480&lt;&gt;"",'All Cases - Enter Cases'!H480,"")</f>
        <v/>
      </c>
      <c r="I480" t="str">
        <f>IF($A480&lt;&gt;"",'All Cases - Enter Cases'!I480,"")</f>
        <v/>
      </c>
      <c r="J480" t="str">
        <f>IF($A480&lt;&gt;"",'All Cases - Enter Cases'!J480,"")</f>
        <v/>
      </c>
      <c r="K480" t="str">
        <f>IF($A480&lt;&gt;"",'All Cases - Enter Cases'!K480,"")</f>
        <v/>
      </c>
      <c r="L480" t="str">
        <f>IF($A480&lt;&gt;"",'All Cases - Enter Cases'!L480,"")</f>
        <v/>
      </c>
      <c r="M480" t="str">
        <f>IF($A480&lt;&gt;"",'All Cases - Enter Cases'!M480,"")</f>
        <v/>
      </c>
    </row>
    <row r="481" spans="1:13" x14ac:dyDescent="0.35">
      <c r="A481" t="str">
        <f>IF('All Cases - Enter Cases'!$F481="KPK",'All Cases - Enter Cases'!A481,"")</f>
        <v/>
      </c>
      <c r="B481" t="str">
        <f>IF($A481&lt;&gt;"",'All Cases - Enter Cases'!B481,"")</f>
        <v/>
      </c>
      <c r="C481" t="str">
        <f>IF($A481&lt;&gt;"",'All Cases - Enter Cases'!C481,"")</f>
        <v/>
      </c>
      <c r="D481" t="str">
        <f>IF($A481&lt;&gt;"",'All Cases - Enter Cases'!D481,"")</f>
        <v/>
      </c>
      <c r="E481" t="str">
        <f>IF($A481&lt;&gt;"",'All Cases - Enter Cases'!E481,"")</f>
        <v/>
      </c>
      <c r="F481" t="str">
        <f>IF($A481&lt;&gt;"",'All Cases - Enter Cases'!F481,"")</f>
        <v/>
      </c>
      <c r="G481" t="str">
        <f>IF($A481&lt;&gt;"",'All Cases - Enter Cases'!G481,"")</f>
        <v/>
      </c>
      <c r="H481" t="str">
        <f>IF($A481&lt;&gt;"",'All Cases - Enter Cases'!H481,"")</f>
        <v/>
      </c>
      <c r="I481" t="str">
        <f>IF($A481&lt;&gt;"",'All Cases - Enter Cases'!I481,"")</f>
        <v/>
      </c>
      <c r="J481" t="str">
        <f>IF($A481&lt;&gt;"",'All Cases - Enter Cases'!J481,"")</f>
        <v/>
      </c>
      <c r="K481" t="str">
        <f>IF($A481&lt;&gt;"",'All Cases - Enter Cases'!K481,"")</f>
        <v/>
      </c>
      <c r="L481" t="str">
        <f>IF($A481&lt;&gt;"",'All Cases - Enter Cases'!L481,"")</f>
        <v/>
      </c>
      <c r="M481" t="str">
        <f>IF($A481&lt;&gt;"",'All Cases - Enter Cases'!M481,"")</f>
        <v/>
      </c>
    </row>
    <row r="482" spans="1:13" x14ac:dyDescent="0.35">
      <c r="A482" t="str">
        <f>IF('All Cases - Enter Cases'!$F482="KPK",'All Cases - Enter Cases'!A482,"")</f>
        <v/>
      </c>
      <c r="B482" t="str">
        <f>IF($A482&lt;&gt;"",'All Cases - Enter Cases'!B482,"")</f>
        <v/>
      </c>
      <c r="C482" t="str">
        <f>IF($A482&lt;&gt;"",'All Cases - Enter Cases'!C482,"")</f>
        <v/>
      </c>
      <c r="D482" t="str">
        <f>IF($A482&lt;&gt;"",'All Cases - Enter Cases'!D482,"")</f>
        <v/>
      </c>
      <c r="E482" t="str">
        <f>IF($A482&lt;&gt;"",'All Cases - Enter Cases'!E482,"")</f>
        <v/>
      </c>
      <c r="F482" t="str">
        <f>IF($A482&lt;&gt;"",'All Cases - Enter Cases'!F482,"")</f>
        <v/>
      </c>
      <c r="G482" t="str">
        <f>IF($A482&lt;&gt;"",'All Cases - Enter Cases'!G482,"")</f>
        <v/>
      </c>
      <c r="H482" t="str">
        <f>IF($A482&lt;&gt;"",'All Cases - Enter Cases'!H482,"")</f>
        <v/>
      </c>
      <c r="I482" t="str">
        <f>IF($A482&lt;&gt;"",'All Cases - Enter Cases'!I482,"")</f>
        <v/>
      </c>
      <c r="J482" t="str">
        <f>IF($A482&lt;&gt;"",'All Cases - Enter Cases'!J482,"")</f>
        <v/>
      </c>
      <c r="K482" t="str">
        <f>IF($A482&lt;&gt;"",'All Cases - Enter Cases'!K482,"")</f>
        <v/>
      </c>
      <c r="L482" t="str">
        <f>IF($A482&lt;&gt;"",'All Cases - Enter Cases'!L482,"")</f>
        <v/>
      </c>
      <c r="M482" t="str">
        <f>IF($A482&lt;&gt;"",'All Cases - Enter Cases'!M482,"")</f>
        <v/>
      </c>
    </row>
    <row r="483" spans="1:13" x14ac:dyDescent="0.35">
      <c r="A483" t="str">
        <f>IF('All Cases - Enter Cases'!$F483="KPK",'All Cases - Enter Cases'!A483,"")</f>
        <v/>
      </c>
      <c r="B483" t="str">
        <f>IF($A483&lt;&gt;"",'All Cases - Enter Cases'!B483,"")</f>
        <v/>
      </c>
      <c r="C483" t="str">
        <f>IF($A483&lt;&gt;"",'All Cases - Enter Cases'!C483,"")</f>
        <v/>
      </c>
      <c r="D483" t="str">
        <f>IF($A483&lt;&gt;"",'All Cases - Enter Cases'!D483,"")</f>
        <v/>
      </c>
      <c r="E483" t="str">
        <f>IF($A483&lt;&gt;"",'All Cases - Enter Cases'!E483,"")</f>
        <v/>
      </c>
      <c r="F483" t="str">
        <f>IF($A483&lt;&gt;"",'All Cases - Enter Cases'!F483,"")</f>
        <v/>
      </c>
      <c r="G483" t="str">
        <f>IF($A483&lt;&gt;"",'All Cases - Enter Cases'!G483,"")</f>
        <v/>
      </c>
      <c r="H483" t="str">
        <f>IF($A483&lt;&gt;"",'All Cases - Enter Cases'!H483,"")</f>
        <v/>
      </c>
      <c r="I483" t="str">
        <f>IF($A483&lt;&gt;"",'All Cases - Enter Cases'!I483,"")</f>
        <v/>
      </c>
      <c r="J483" t="str">
        <f>IF($A483&lt;&gt;"",'All Cases - Enter Cases'!J483,"")</f>
        <v/>
      </c>
      <c r="K483" t="str">
        <f>IF($A483&lt;&gt;"",'All Cases - Enter Cases'!K483,"")</f>
        <v/>
      </c>
      <c r="L483" t="str">
        <f>IF($A483&lt;&gt;"",'All Cases - Enter Cases'!L483,"")</f>
        <v/>
      </c>
      <c r="M483" t="str">
        <f>IF($A483&lt;&gt;"",'All Cases - Enter Cases'!M483,"")</f>
        <v/>
      </c>
    </row>
    <row r="484" spans="1:13" x14ac:dyDescent="0.35">
      <c r="A484" t="str">
        <f>IF('All Cases - Enter Cases'!$F484="KPK",'All Cases - Enter Cases'!A484,"")</f>
        <v/>
      </c>
      <c r="B484" t="str">
        <f>IF($A484&lt;&gt;"",'All Cases - Enter Cases'!B484,"")</f>
        <v/>
      </c>
      <c r="C484" t="str">
        <f>IF($A484&lt;&gt;"",'All Cases - Enter Cases'!C484,"")</f>
        <v/>
      </c>
      <c r="D484" t="str">
        <f>IF($A484&lt;&gt;"",'All Cases - Enter Cases'!D484,"")</f>
        <v/>
      </c>
      <c r="E484" t="str">
        <f>IF($A484&lt;&gt;"",'All Cases - Enter Cases'!E484,"")</f>
        <v/>
      </c>
      <c r="F484" t="str">
        <f>IF($A484&lt;&gt;"",'All Cases - Enter Cases'!F484,"")</f>
        <v/>
      </c>
      <c r="G484" t="str">
        <f>IF($A484&lt;&gt;"",'All Cases - Enter Cases'!G484,"")</f>
        <v/>
      </c>
      <c r="H484" t="str">
        <f>IF($A484&lt;&gt;"",'All Cases - Enter Cases'!H484,"")</f>
        <v/>
      </c>
      <c r="I484" t="str">
        <f>IF($A484&lt;&gt;"",'All Cases - Enter Cases'!I484,"")</f>
        <v/>
      </c>
      <c r="J484" t="str">
        <f>IF($A484&lt;&gt;"",'All Cases - Enter Cases'!J484,"")</f>
        <v/>
      </c>
      <c r="K484" t="str">
        <f>IF($A484&lt;&gt;"",'All Cases - Enter Cases'!K484,"")</f>
        <v/>
      </c>
      <c r="L484" t="str">
        <f>IF($A484&lt;&gt;"",'All Cases - Enter Cases'!L484,"")</f>
        <v/>
      </c>
      <c r="M484" t="str">
        <f>IF($A484&lt;&gt;"",'All Cases - Enter Cases'!M484,"")</f>
        <v/>
      </c>
    </row>
    <row r="485" spans="1:13" x14ac:dyDescent="0.35">
      <c r="A485" t="str">
        <f>IF('All Cases - Enter Cases'!$F485="KPK",'All Cases - Enter Cases'!A485,"")</f>
        <v/>
      </c>
      <c r="B485" t="str">
        <f>IF($A485&lt;&gt;"",'All Cases - Enter Cases'!B485,"")</f>
        <v/>
      </c>
      <c r="C485" t="str">
        <f>IF($A485&lt;&gt;"",'All Cases - Enter Cases'!C485,"")</f>
        <v/>
      </c>
      <c r="D485" t="str">
        <f>IF($A485&lt;&gt;"",'All Cases - Enter Cases'!D485,"")</f>
        <v/>
      </c>
      <c r="E485" t="str">
        <f>IF($A485&lt;&gt;"",'All Cases - Enter Cases'!E485,"")</f>
        <v/>
      </c>
      <c r="F485" t="str">
        <f>IF($A485&lt;&gt;"",'All Cases - Enter Cases'!F485,"")</f>
        <v/>
      </c>
      <c r="G485" t="str">
        <f>IF($A485&lt;&gt;"",'All Cases - Enter Cases'!G485,"")</f>
        <v/>
      </c>
      <c r="H485" t="str">
        <f>IF($A485&lt;&gt;"",'All Cases - Enter Cases'!H485,"")</f>
        <v/>
      </c>
      <c r="I485" t="str">
        <f>IF($A485&lt;&gt;"",'All Cases - Enter Cases'!I485,"")</f>
        <v/>
      </c>
      <c r="J485" t="str">
        <f>IF($A485&lt;&gt;"",'All Cases - Enter Cases'!J485,"")</f>
        <v/>
      </c>
      <c r="K485" t="str">
        <f>IF($A485&lt;&gt;"",'All Cases - Enter Cases'!K485,"")</f>
        <v/>
      </c>
      <c r="L485" t="str">
        <f>IF($A485&lt;&gt;"",'All Cases - Enter Cases'!L485,"")</f>
        <v/>
      </c>
      <c r="M485" t="str">
        <f>IF($A485&lt;&gt;"",'All Cases - Enter Cases'!M485,"")</f>
        <v/>
      </c>
    </row>
    <row r="486" spans="1:13" x14ac:dyDescent="0.35">
      <c r="A486" t="str">
        <f>IF('All Cases - Enter Cases'!$F486="KPK",'All Cases - Enter Cases'!A486,"")</f>
        <v/>
      </c>
      <c r="B486" t="str">
        <f>IF($A486&lt;&gt;"",'All Cases - Enter Cases'!B486,"")</f>
        <v/>
      </c>
      <c r="C486" t="str">
        <f>IF($A486&lt;&gt;"",'All Cases - Enter Cases'!C486,"")</f>
        <v/>
      </c>
      <c r="D486" t="str">
        <f>IF($A486&lt;&gt;"",'All Cases - Enter Cases'!D486,"")</f>
        <v/>
      </c>
      <c r="E486" t="str">
        <f>IF($A486&lt;&gt;"",'All Cases - Enter Cases'!E486,"")</f>
        <v/>
      </c>
      <c r="F486" t="str">
        <f>IF($A486&lt;&gt;"",'All Cases - Enter Cases'!F486,"")</f>
        <v/>
      </c>
      <c r="G486" t="str">
        <f>IF($A486&lt;&gt;"",'All Cases - Enter Cases'!G486,"")</f>
        <v/>
      </c>
      <c r="H486" t="str">
        <f>IF($A486&lt;&gt;"",'All Cases - Enter Cases'!H486,"")</f>
        <v/>
      </c>
      <c r="I486" t="str">
        <f>IF($A486&lt;&gt;"",'All Cases - Enter Cases'!I486,"")</f>
        <v/>
      </c>
      <c r="J486" t="str">
        <f>IF($A486&lt;&gt;"",'All Cases - Enter Cases'!J486,"")</f>
        <v/>
      </c>
      <c r="K486" t="str">
        <f>IF($A486&lt;&gt;"",'All Cases - Enter Cases'!K486,"")</f>
        <v/>
      </c>
      <c r="L486" t="str">
        <f>IF($A486&lt;&gt;"",'All Cases - Enter Cases'!L486,"")</f>
        <v/>
      </c>
      <c r="M486" t="str">
        <f>IF($A486&lt;&gt;"",'All Cases - Enter Cases'!M486,"")</f>
        <v/>
      </c>
    </row>
    <row r="487" spans="1:13" x14ac:dyDescent="0.35">
      <c r="A487" t="str">
        <f>IF('All Cases - Enter Cases'!$F487="KPK",'All Cases - Enter Cases'!A487,"")</f>
        <v/>
      </c>
      <c r="B487" t="str">
        <f>IF($A487&lt;&gt;"",'All Cases - Enter Cases'!B487,"")</f>
        <v/>
      </c>
      <c r="C487" t="str">
        <f>IF($A487&lt;&gt;"",'All Cases - Enter Cases'!C487,"")</f>
        <v/>
      </c>
      <c r="D487" t="str">
        <f>IF($A487&lt;&gt;"",'All Cases - Enter Cases'!D487,"")</f>
        <v/>
      </c>
      <c r="E487" t="str">
        <f>IF($A487&lt;&gt;"",'All Cases - Enter Cases'!E487,"")</f>
        <v/>
      </c>
      <c r="F487" t="str">
        <f>IF($A487&lt;&gt;"",'All Cases - Enter Cases'!F487,"")</f>
        <v/>
      </c>
      <c r="G487" t="str">
        <f>IF($A487&lt;&gt;"",'All Cases - Enter Cases'!G487,"")</f>
        <v/>
      </c>
      <c r="H487" t="str">
        <f>IF($A487&lt;&gt;"",'All Cases - Enter Cases'!H487,"")</f>
        <v/>
      </c>
      <c r="I487" t="str">
        <f>IF($A487&lt;&gt;"",'All Cases - Enter Cases'!I487,"")</f>
        <v/>
      </c>
      <c r="J487" t="str">
        <f>IF($A487&lt;&gt;"",'All Cases - Enter Cases'!J487,"")</f>
        <v/>
      </c>
      <c r="K487" t="str">
        <f>IF($A487&lt;&gt;"",'All Cases - Enter Cases'!K487,"")</f>
        <v/>
      </c>
      <c r="L487" t="str">
        <f>IF($A487&lt;&gt;"",'All Cases - Enter Cases'!L487,"")</f>
        <v/>
      </c>
      <c r="M487" t="str">
        <f>IF($A487&lt;&gt;"",'All Cases - Enter Cases'!M487,"")</f>
        <v/>
      </c>
    </row>
    <row r="488" spans="1:13" x14ac:dyDescent="0.35">
      <c r="A488" t="str">
        <f>IF('All Cases - Enter Cases'!$F488="KPK",'All Cases - Enter Cases'!A488,"")</f>
        <v/>
      </c>
      <c r="B488" t="str">
        <f>IF($A488&lt;&gt;"",'All Cases - Enter Cases'!B488,"")</f>
        <v/>
      </c>
      <c r="C488" t="str">
        <f>IF($A488&lt;&gt;"",'All Cases - Enter Cases'!C488,"")</f>
        <v/>
      </c>
      <c r="D488" t="str">
        <f>IF($A488&lt;&gt;"",'All Cases - Enter Cases'!D488,"")</f>
        <v/>
      </c>
      <c r="E488" t="str">
        <f>IF($A488&lt;&gt;"",'All Cases - Enter Cases'!E488,"")</f>
        <v/>
      </c>
      <c r="F488" t="str">
        <f>IF($A488&lt;&gt;"",'All Cases - Enter Cases'!F488,"")</f>
        <v/>
      </c>
      <c r="G488" t="str">
        <f>IF($A488&lt;&gt;"",'All Cases - Enter Cases'!G488,"")</f>
        <v/>
      </c>
      <c r="H488" t="str">
        <f>IF($A488&lt;&gt;"",'All Cases - Enter Cases'!H488,"")</f>
        <v/>
      </c>
      <c r="I488" t="str">
        <f>IF($A488&lt;&gt;"",'All Cases - Enter Cases'!I488,"")</f>
        <v/>
      </c>
      <c r="J488" t="str">
        <f>IF($A488&lt;&gt;"",'All Cases - Enter Cases'!J488,"")</f>
        <v/>
      </c>
      <c r="K488" t="str">
        <f>IF($A488&lt;&gt;"",'All Cases - Enter Cases'!K488,"")</f>
        <v/>
      </c>
      <c r="L488" t="str">
        <f>IF($A488&lt;&gt;"",'All Cases - Enter Cases'!L488,"")</f>
        <v/>
      </c>
      <c r="M488" t="str">
        <f>IF($A488&lt;&gt;"",'All Cases - Enter Cases'!M488,"")</f>
        <v/>
      </c>
    </row>
    <row r="489" spans="1:13" x14ac:dyDescent="0.35">
      <c r="A489" t="str">
        <f>IF('All Cases - Enter Cases'!$F489="KPK",'All Cases - Enter Cases'!A489,"")</f>
        <v/>
      </c>
      <c r="B489" t="str">
        <f>IF($A489&lt;&gt;"",'All Cases - Enter Cases'!B489,"")</f>
        <v/>
      </c>
      <c r="C489" t="str">
        <f>IF($A489&lt;&gt;"",'All Cases - Enter Cases'!C489,"")</f>
        <v/>
      </c>
      <c r="D489" t="str">
        <f>IF($A489&lt;&gt;"",'All Cases - Enter Cases'!D489,"")</f>
        <v/>
      </c>
      <c r="E489" t="str">
        <f>IF($A489&lt;&gt;"",'All Cases - Enter Cases'!E489,"")</f>
        <v/>
      </c>
      <c r="F489" t="str">
        <f>IF($A489&lt;&gt;"",'All Cases - Enter Cases'!F489,"")</f>
        <v/>
      </c>
      <c r="G489" t="str">
        <f>IF($A489&lt;&gt;"",'All Cases - Enter Cases'!G489,"")</f>
        <v/>
      </c>
      <c r="H489" t="str">
        <f>IF($A489&lt;&gt;"",'All Cases - Enter Cases'!H489,"")</f>
        <v/>
      </c>
      <c r="I489" t="str">
        <f>IF($A489&lt;&gt;"",'All Cases - Enter Cases'!I489,"")</f>
        <v/>
      </c>
      <c r="J489" t="str">
        <f>IF($A489&lt;&gt;"",'All Cases - Enter Cases'!J489,"")</f>
        <v/>
      </c>
      <c r="K489" t="str">
        <f>IF($A489&lt;&gt;"",'All Cases - Enter Cases'!K489,"")</f>
        <v/>
      </c>
      <c r="L489" t="str">
        <f>IF($A489&lt;&gt;"",'All Cases - Enter Cases'!L489,"")</f>
        <v/>
      </c>
      <c r="M489" t="str">
        <f>IF($A489&lt;&gt;"",'All Cases - Enter Cases'!M489,"")</f>
        <v/>
      </c>
    </row>
    <row r="490" spans="1:13" x14ac:dyDescent="0.35">
      <c r="A490" t="str">
        <f>IF('All Cases - Enter Cases'!$F490="KPK",'All Cases - Enter Cases'!A490,"")</f>
        <v/>
      </c>
      <c r="B490" t="str">
        <f>IF($A490&lt;&gt;"",'All Cases - Enter Cases'!B490,"")</f>
        <v/>
      </c>
      <c r="C490" t="str">
        <f>IF($A490&lt;&gt;"",'All Cases - Enter Cases'!C490,"")</f>
        <v/>
      </c>
      <c r="D490" t="str">
        <f>IF($A490&lt;&gt;"",'All Cases - Enter Cases'!D490,"")</f>
        <v/>
      </c>
      <c r="E490" t="str">
        <f>IF($A490&lt;&gt;"",'All Cases - Enter Cases'!E490,"")</f>
        <v/>
      </c>
      <c r="F490" t="str">
        <f>IF($A490&lt;&gt;"",'All Cases - Enter Cases'!F490,"")</f>
        <v/>
      </c>
      <c r="G490" t="str">
        <f>IF($A490&lt;&gt;"",'All Cases - Enter Cases'!G490,"")</f>
        <v/>
      </c>
      <c r="H490" t="str">
        <f>IF($A490&lt;&gt;"",'All Cases - Enter Cases'!H490,"")</f>
        <v/>
      </c>
      <c r="I490" t="str">
        <f>IF($A490&lt;&gt;"",'All Cases - Enter Cases'!I490,"")</f>
        <v/>
      </c>
      <c r="J490" t="str">
        <f>IF($A490&lt;&gt;"",'All Cases - Enter Cases'!J490,"")</f>
        <v/>
      </c>
      <c r="K490" t="str">
        <f>IF($A490&lt;&gt;"",'All Cases - Enter Cases'!K490,"")</f>
        <v/>
      </c>
      <c r="L490" t="str">
        <f>IF($A490&lt;&gt;"",'All Cases - Enter Cases'!L490,"")</f>
        <v/>
      </c>
      <c r="M490" t="str">
        <f>IF($A490&lt;&gt;"",'All Cases - Enter Cases'!M490,"")</f>
        <v/>
      </c>
    </row>
    <row r="491" spans="1:13" x14ac:dyDescent="0.35">
      <c r="A491" t="str">
        <f>IF('All Cases - Enter Cases'!$F491="KPK",'All Cases - Enter Cases'!A491,"")</f>
        <v/>
      </c>
      <c r="B491" t="str">
        <f>IF($A491&lt;&gt;"",'All Cases - Enter Cases'!B491,"")</f>
        <v/>
      </c>
      <c r="C491" t="str">
        <f>IF($A491&lt;&gt;"",'All Cases - Enter Cases'!C491,"")</f>
        <v/>
      </c>
      <c r="D491" t="str">
        <f>IF($A491&lt;&gt;"",'All Cases - Enter Cases'!D491,"")</f>
        <v/>
      </c>
      <c r="E491" t="str">
        <f>IF($A491&lt;&gt;"",'All Cases - Enter Cases'!E491,"")</f>
        <v/>
      </c>
      <c r="F491" t="str">
        <f>IF($A491&lt;&gt;"",'All Cases - Enter Cases'!F491,"")</f>
        <v/>
      </c>
      <c r="G491" t="str">
        <f>IF($A491&lt;&gt;"",'All Cases - Enter Cases'!G491,"")</f>
        <v/>
      </c>
      <c r="H491" t="str">
        <f>IF($A491&lt;&gt;"",'All Cases - Enter Cases'!H491,"")</f>
        <v/>
      </c>
      <c r="I491" t="str">
        <f>IF($A491&lt;&gt;"",'All Cases - Enter Cases'!I491,"")</f>
        <v/>
      </c>
      <c r="J491" t="str">
        <f>IF($A491&lt;&gt;"",'All Cases - Enter Cases'!J491,"")</f>
        <v/>
      </c>
      <c r="K491" t="str">
        <f>IF($A491&lt;&gt;"",'All Cases - Enter Cases'!K491,"")</f>
        <v/>
      </c>
      <c r="L491" t="str">
        <f>IF($A491&lt;&gt;"",'All Cases - Enter Cases'!L491,"")</f>
        <v/>
      </c>
      <c r="M491" t="str">
        <f>IF($A491&lt;&gt;"",'All Cases - Enter Cases'!M491,"")</f>
        <v/>
      </c>
    </row>
    <row r="492" spans="1:13" x14ac:dyDescent="0.35">
      <c r="A492" t="str">
        <f>IF('All Cases - Enter Cases'!$F492="KPK",'All Cases - Enter Cases'!A492,"")</f>
        <v/>
      </c>
      <c r="B492" t="str">
        <f>IF($A492&lt;&gt;"",'All Cases - Enter Cases'!B492,"")</f>
        <v/>
      </c>
      <c r="C492" t="str">
        <f>IF($A492&lt;&gt;"",'All Cases - Enter Cases'!C492,"")</f>
        <v/>
      </c>
      <c r="D492" t="str">
        <f>IF($A492&lt;&gt;"",'All Cases - Enter Cases'!D492,"")</f>
        <v/>
      </c>
      <c r="E492" t="str">
        <f>IF($A492&lt;&gt;"",'All Cases - Enter Cases'!E492,"")</f>
        <v/>
      </c>
      <c r="F492" t="str">
        <f>IF($A492&lt;&gt;"",'All Cases - Enter Cases'!F492,"")</f>
        <v/>
      </c>
      <c r="G492" t="str">
        <f>IF($A492&lt;&gt;"",'All Cases - Enter Cases'!G492,"")</f>
        <v/>
      </c>
      <c r="H492" t="str">
        <f>IF($A492&lt;&gt;"",'All Cases - Enter Cases'!H492,"")</f>
        <v/>
      </c>
      <c r="I492" t="str">
        <f>IF($A492&lt;&gt;"",'All Cases - Enter Cases'!I492,"")</f>
        <v/>
      </c>
      <c r="J492" t="str">
        <f>IF($A492&lt;&gt;"",'All Cases - Enter Cases'!J492,"")</f>
        <v/>
      </c>
      <c r="K492" t="str">
        <f>IF($A492&lt;&gt;"",'All Cases - Enter Cases'!K492,"")</f>
        <v/>
      </c>
      <c r="L492" t="str">
        <f>IF($A492&lt;&gt;"",'All Cases - Enter Cases'!L492,"")</f>
        <v/>
      </c>
      <c r="M492" t="str">
        <f>IF($A492&lt;&gt;"",'All Cases - Enter Cases'!M492,"")</f>
        <v/>
      </c>
    </row>
    <row r="493" spans="1:13" x14ac:dyDescent="0.35">
      <c r="A493" t="str">
        <f>IF('All Cases - Enter Cases'!$F493="KPK",'All Cases - Enter Cases'!A493,"")</f>
        <v/>
      </c>
      <c r="B493" t="str">
        <f>IF($A493&lt;&gt;"",'All Cases - Enter Cases'!B493,"")</f>
        <v/>
      </c>
      <c r="C493" t="str">
        <f>IF($A493&lt;&gt;"",'All Cases - Enter Cases'!C493,"")</f>
        <v/>
      </c>
      <c r="D493" t="str">
        <f>IF($A493&lt;&gt;"",'All Cases - Enter Cases'!D493,"")</f>
        <v/>
      </c>
      <c r="E493" t="str">
        <f>IF($A493&lt;&gt;"",'All Cases - Enter Cases'!E493,"")</f>
        <v/>
      </c>
      <c r="F493" t="str">
        <f>IF($A493&lt;&gt;"",'All Cases - Enter Cases'!F493,"")</f>
        <v/>
      </c>
      <c r="G493" t="str">
        <f>IF($A493&lt;&gt;"",'All Cases - Enter Cases'!G493,"")</f>
        <v/>
      </c>
      <c r="H493" t="str">
        <f>IF($A493&lt;&gt;"",'All Cases - Enter Cases'!H493,"")</f>
        <v/>
      </c>
      <c r="I493" t="str">
        <f>IF($A493&lt;&gt;"",'All Cases - Enter Cases'!I493,"")</f>
        <v/>
      </c>
      <c r="J493" t="str">
        <f>IF($A493&lt;&gt;"",'All Cases - Enter Cases'!J493,"")</f>
        <v/>
      </c>
      <c r="K493" t="str">
        <f>IF($A493&lt;&gt;"",'All Cases - Enter Cases'!K493,"")</f>
        <v/>
      </c>
      <c r="L493" t="str">
        <f>IF($A493&lt;&gt;"",'All Cases - Enter Cases'!L493,"")</f>
        <v/>
      </c>
      <c r="M493" t="str">
        <f>IF($A493&lt;&gt;"",'All Cases - Enter Cases'!M493,"")</f>
        <v/>
      </c>
    </row>
    <row r="494" spans="1:13" x14ac:dyDescent="0.35">
      <c r="A494" t="str">
        <f>IF('All Cases - Enter Cases'!$F494="KPK",'All Cases - Enter Cases'!A494,"")</f>
        <v/>
      </c>
      <c r="B494" t="str">
        <f>IF($A494&lt;&gt;"",'All Cases - Enter Cases'!B494,"")</f>
        <v/>
      </c>
      <c r="C494" t="str">
        <f>IF($A494&lt;&gt;"",'All Cases - Enter Cases'!C494,"")</f>
        <v/>
      </c>
      <c r="D494" t="str">
        <f>IF($A494&lt;&gt;"",'All Cases - Enter Cases'!D494,"")</f>
        <v/>
      </c>
      <c r="E494" t="str">
        <f>IF($A494&lt;&gt;"",'All Cases - Enter Cases'!E494,"")</f>
        <v/>
      </c>
      <c r="F494" t="str">
        <f>IF($A494&lt;&gt;"",'All Cases - Enter Cases'!F494,"")</f>
        <v/>
      </c>
      <c r="G494" t="str">
        <f>IF($A494&lt;&gt;"",'All Cases - Enter Cases'!G494,"")</f>
        <v/>
      </c>
      <c r="H494" t="str">
        <f>IF($A494&lt;&gt;"",'All Cases - Enter Cases'!H494,"")</f>
        <v/>
      </c>
      <c r="I494" t="str">
        <f>IF($A494&lt;&gt;"",'All Cases - Enter Cases'!I494,"")</f>
        <v/>
      </c>
      <c r="J494" t="str">
        <f>IF($A494&lt;&gt;"",'All Cases - Enter Cases'!J494,"")</f>
        <v/>
      </c>
      <c r="K494" t="str">
        <f>IF($A494&lt;&gt;"",'All Cases - Enter Cases'!K494,"")</f>
        <v/>
      </c>
      <c r="L494" t="str">
        <f>IF($A494&lt;&gt;"",'All Cases - Enter Cases'!L494,"")</f>
        <v/>
      </c>
      <c r="M494" t="str">
        <f>IF($A494&lt;&gt;"",'All Cases - Enter Cases'!M494,"")</f>
        <v/>
      </c>
    </row>
    <row r="495" spans="1:13" x14ac:dyDescent="0.35">
      <c r="A495" t="str">
        <f>IF('All Cases - Enter Cases'!$F495="KPK",'All Cases - Enter Cases'!A495,"")</f>
        <v/>
      </c>
      <c r="B495" t="str">
        <f>IF($A495&lt;&gt;"",'All Cases - Enter Cases'!B495,"")</f>
        <v/>
      </c>
      <c r="C495" t="str">
        <f>IF($A495&lt;&gt;"",'All Cases - Enter Cases'!C495,"")</f>
        <v/>
      </c>
      <c r="D495" t="str">
        <f>IF($A495&lt;&gt;"",'All Cases - Enter Cases'!D495,"")</f>
        <v/>
      </c>
      <c r="E495" t="str">
        <f>IF($A495&lt;&gt;"",'All Cases - Enter Cases'!E495,"")</f>
        <v/>
      </c>
      <c r="F495" t="str">
        <f>IF($A495&lt;&gt;"",'All Cases - Enter Cases'!F495,"")</f>
        <v/>
      </c>
      <c r="G495" t="str">
        <f>IF($A495&lt;&gt;"",'All Cases - Enter Cases'!G495,"")</f>
        <v/>
      </c>
      <c r="H495" t="str">
        <f>IF($A495&lt;&gt;"",'All Cases - Enter Cases'!H495,"")</f>
        <v/>
      </c>
      <c r="I495" t="str">
        <f>IF($A495&lt;&gt;"",'All Cases - Enter Cases'!I495,"")</f>
        <v/>
      </c>
      <c r="J495" t="str">
        <f>IF($A495&lt;&gt;"",'All Cases - Enter Cases'!J495,"")</f>
        <v/>
      </c>
      <c r="K495" t="str">
        <f>IF($A495&lt;&gt;"",'All Cases - Enter Cases'!K495,"")</f>
        <v/>
      </c>
      <c r="L495" t="str">
        <f>IF($A495&lt;&gt;"",'All Cases - Enter Cases'!L495,"")</f>
        <v/>
      </c>
      <c r="M495" t="str">
        <f>IF($A495&lt;&gt;"",'All Cases - Enter Cases'!M495,"")</f>
        <v/>
      </c>
    </row>
    <row r="496" spans="1:13" x14ac:dyDescent="0.35">
      <c r="A496" t="str">
        <f>IF('All Cases - Enter Cases'!$F496="KPK",'All Cases - Enter Cases'!A496,"")</f>
        <v/>
      </c>
      <c r="B496" t="str">
        <f>IF($A496&lt;&gt;"",'All Cases - Enter Cases'!B496,"")</f>
        <v/>
      </c>
      <c r="C496" t="str">
        <f>IF($A496&lt;&gt;"",'All Cases - Enter Cases'!C496,"")</f>
        <v/>
      </c>
      <c r="D496" t="str">
        <f>IF($A496&lt;&gt;"",'All Cases - Enter Cases'!D496,"")</f>
        <v/>
      </c>
      <c r="E496" t="str">
        <f>IF($A496&lt;&gt;"",'All Cases - Enter Cases'!E496,"")</f>
        <v/>
      </c>
      <c r="F496" t="str">
        <f>IF($A496&lt;&gt;"",'All Cases - Enter Cases'!F496,"")</f>
        <v/>
      </c>
      <c r="G496" t="str">
        <f>IF($A496&lt;&gt;"",'All Cases - Enter Cases'!G496,"")</f>
        <v/>
      </c>
      <c r="H496" t="str">
        <f>IF($A496&lt;&gt;"",'All Cases - Enter Cases'!H496,"")</f>
        <v/>
      </c>
      <c r="I496" t="str">
        <f>IF($A496&lt;&gt;"",'All Cases - Enter Cases'!I496,"")</f>
        <v/>
      </c>
      <c r="J496" t="str">
        <f>IF($A496&lt;&gt;"",'All Cases - Enter Cases'!J496,"")</f>
        <v/>
      </c>
      <c r="K496" t="str">
        <f>IF($A496&lt;&gt;"",'All Cases - Enter Cases'!K496,"")</f>
        <v/>
      </c>
      <c r="L496" t="str">
        <f>IF($A496&lt;&gt;"",'All Cases - Enter Cases'!L496,"")</f>
        <v/>
      </c>
      <c r="M496" t="str">
        <f>IF($A496&lt;&gt;"",'All Cases - Enter Cases'!M496,"")</f>
        <v/>
      </c>
    </row>
    <row r="497" spans="1:13" x14ac:dyDescent="0.35">
      <c r="A497" t="str">
        <f>IF('All Cases - Enter Cases'!$F497="KPK",'All Cases - Enter Cases'!A497,"")</f>
        <v/>
      </c>
      <c r="B497" t="str">
        <f>IF($A497&lt;&gt;"",'All Cases - Enter Cases'!B497,"")</f>
        <v/>
      </c>
      <c r="C497" t="str">
        <f>IF($A497&lt;&gt;"",'All Cases - Enter Cases'!C497,"")</f>
        <v/>
      </c>
      <c r="D497" t="str">
        <f>IF($A497&lt;&gt;"",'All Cases - Enter Cases'!D497,"")</f>
        <v/>
      </c>
      <c r="E497" t="str">
        <f>IF($A497&lt;&gt;"",'All Cases - Enter Cases'!E497,"")</f>
        <v/>
      </c>
      <c r="F497" t="str">
        <f>IF($A497&lt;&gt;"",'All Cases - Enter Cases'!F497,"")</f>
        <v/>
      </c>
      <c r="G497" t="str">
        <f>IF($A497&lt;&gt;"",'All Cases - Enter Cases'!G497,"")</f>
        <v/>
      </c>
      <c r="H497" t="str">
        <f>IF($A497&lt;&gt;"",'All Cases - Enter Cases'!H497,"")</f>
        <v/>
      </c>
      <c r="I497" t="str">
        <f>IF($A497&lt;&gt;"",'All Cases - Enter Cases'!I497,"")</f>
        <v/>
      </c>
      <c r="J497" t="str">
        <f>IF($A497&lt;&gt;"",'All Cases - Enter Cases'!J497,"")</f>
        <v/>
      </c>
      <c r="K497" t="str">
        <f>IF($A497&lt;&gt;"",'All Cases - Enter Cases'!K497,"")</f>
        <v/>
      </c>
      <c r="L497" t="str">
        <f>IF($A497&lt;&gt;"",'All Cases - Enter Cases'!L497,"")</f>
        <v/>
      </c>
      <c r="M497" t="str">
        <f>IF($A497&lt;&gt;"",'All Cases - Enter Cases'!M497,"")</f>
        <v/>
      </c>
    </row>
    <row r="498" spans="1:13" x14ac:dyDescent="0.35">
      <c r="A498" t="str">
        <f>IF('All Cases - Enter Cases'!$F498="KPK",'All Cases - Enter Cases'!A498,"")</f>
        <v/>
      </c>
      <c r="B498" t="str">
        <f>IF($A498&lt;&gt;"",'All Cases - Enter Cases'!B498,"")</f>
        <v/>
      </c>
      <c r="C498" t="str">
        <f>IF($A498&lt;&gt;"",'All Cases - Enter Cases'!C498,"")</f>
        <v/>
      </c>
      <c r="D498" t="str">
        <f>IF($A498&lt;&gt;"",'All Cases - Enter Cases'!D498,"")</f>
        <v/>
      </c>
      <c r="E498" t="str">
        <f>IF($A498&lt;&gt;"",'All Cases - Enter Cases'!E498,"")</f>
        <v/>
      </c>
      <c r="F498" t="str">
        <f>IF($A498&lt;&gt;"",'All Cases - Enter Cases'!F498,"")</f>
        <v/>
      </c>
      <c r="G498" t="str">
        <f>IF($A498&lt;&gt;"",'All Cases - Enter Cases'!G498,"")</f>
        <v/>
      </c>
      <c r="H498" t="str">
        <f>IF($A498&lt;&gt;"",'All Cases - Enter Cases'!H498,"")</f>
        <v/>
      </c>
      <c r="I498" t="str">
        <f>IF($A498&lt;&gt;"",'All Cases - Enter Cases'!I498,"")</f>
        <v/>
      </c>
      <c r="J498" t="str">
        <f>IF($A498&lt;&gt;"",'All Cases - Enter Cases'!J498,"")</f>
        <v/>
      </c>
      <c r="K498" t="str">
        <f>IF($A498&lt;&gt;"",'All Cases - Enter Cases'!K498,"")</f>
        <v/>
      </c>
      <c r="L498" t="str">
        <f>IF($A498&lt;&gt;"",'All Cases - Enter Cases'!L498,"")</f>
        <v/>
      </c>
      <c r="M498" t="str">
        <f>IF($A498&lt;&gt;"",'All Cases - Enter Cases'!M498,"")</f>
        <v/>
      </c>
    </row>
    <row r="499" spans="1:13" x14ac:dyDescent="0.35">
      <c r="A499" t="str">
        <f>IF('All Cases - Enter Cases'!$F499="KPK",'All Cases - Enter Cases'!A499,"")</f>
        <v/>
      </c>
      <c r="B499" t="str">
        <f>IF($A499&lt;&gt;"",'All Cases - Enter Cases'!B499,"")</f>
        <v/>
      </c>
      <c r="C499" t="str">
        <f>IF($A499&lt;&gt;"",'All Cases - Enter Cases'!C499,"")</f>
        <v/>
      </c>
      <c r="D499" t="str">
        <f>IF($A499&lt;&gt;"",'All Cases - Enter Cases'!D499,"")</f>
        <v/>
      </c>
      <c r="E499" t="str">
        <f>IF($A499&lt;&gt;"",'All Cases - Enter Cases'!E499,"")</f>
        <v/>
      </c>
      <c r="F499" t="str">
        <f>IF($A499&lt;&gt;"",'All Cases - Enter Cases'!F499,"")</f>
        <v/>
      </c>
      <c r="G499" t="str">
        <f>IF($A499&lt;&gt;"",'All Cases - Enter Cases'!G499,"")</f>
        <v/>
      </c>
      <c r="H499" t="str">
        <f>IF($A499&lt;&gt;"",'All Cases - Enter Cases'!H499,"")</f>
        <v/>
      </c>
      <c r="I499" t="str">
        <f>IF($A499&lt;&gt;"",'All Cases - Enter Cases'!I499,"")</f>
        <v/>
      </c>
      <c r="J499" t="str">
        <f>IF($A499&lt;&gt;"",'All Cases - Enter Cases'!J499,"")</f>
        <v/>
      </c>
      <c r="K499" t="str">
        <f>IF($A499&lt;&gt;"",'All Cases - Enter Cases'!K499,"")</f>
        <v/>
      </c>
      <c r="L499" t="str">
        <f>IF($A499&lt;&gt;"",'All Cases - Enter Cases'!L499,"")</f>
        <v/>
      </c>
      <c r="M499" t="str">
        <f>IF($A499&lt;&gt;"",'All Cases - Enter Cases'!M499,"")</f>
        <v/>
      </c>
    </row>
    <row r="500" spans="1:13" x14ac:dyDescent="0.35">
      <c r="A500" t="str">
        <f>IF('All Cases - Enter Cases'!$F500="KPK",'All Cases - Enter Cases'!A500,"")</f>
        <v/>
      </c>
      <c r="B500" t="str">
        <f>IF($A500&lt;&gt;"",'All Cases - Enter Cases'!B500,"")</f>
        <v/>
      </c>
      <c r="C500" t="str">
        <f>IF($A500&lt;&gt;"",'All Cases - Enter Cases'!C500,"")</f>
        <v/>
      </c>
      <c r="D500" t="str">
        <f>IF($A500&lt;&gt;"",'All Cases - Enter Cases'!D500,"")</f>
        <v/>
      </c>
      <c r="E500" t="str">
        <f>IF($A500&lt;&gt;"",'All Cases - Enter Cases'!E500,"")</f>
        <v/>
      </c>
      <c r="F500" t="str">
        <f>IF($A500&lt;&gt;"",'All Cases - Enter Cases'!F500,"")</f>
        <v/>
      </c>
      <c r="G500" t="str">
        <f>IF($A500&lt;&gt;"",'All Cases - Enter Cases'!G500,"")</f>
        <v/>
      </c>
      <c r="H500" t="str">
        <f>IF($A500&lt;&gt;"",'All Cases - Enter Cases'!H500,"")</f>
        <v/>
      </c>
      <c r="I500" t="str">
        <f>IF($A500&lt;&gt;"",'All Cases - Enter Cases'!I500,"")</f>
        <v/>
      </c>
      <c r="J500" t="str">
        <f>IF($A500&lt;&gt;"",'All Cases - Enter Cases'!J500,"")</f>
        <v/>
      </c>
      <c r="K500" t="str">
        <f>IF($A500&lt;&gt;"",'All Cases - Enter Cases'!K500,"")</f>
        <v/>
      </c>
      <c r="L500" t="str">
        <f>IF($A500&lt;&gt;"",'All Cases - Enter Cases'!L500,"")</f>
        <v/>
      </c>
      <c r="M500" t="str">
        <f>IF($A500&lt;&gt;"",'All Cases - Enter Cases'!M500,"")</f>
        <v/>
      </c>
    </row>
    <row r="501" spans="1:13" x14ac:dyDescent="0.35">
      <c r="A501" t="str">
        <f>IF('All Cases - Enter Cases'!$F501="KPK",'All Cases - Enter Cases'!A501,"")</f>
        <v/>
      </c>
      <c r="B501" t="str">
        <f>IF($A501&lt;&gt;"",'All Cases - Enter Cases'!B501,"")</f>
        <v/>
      </c>
      <c r="C501" t="str">
        <f>IF($A501&lt;&gt;"",'All Cases - Enter Cases'!C501,"")</f>
        <v/>
      </c>
      <c r="D501" t="str">
        <f>IF($A501&lt;&gt;"",'All Cases - Enter Cases'!D501,"")</f>
        <v/>
      </c>
      <c r="E501" t="str">
        <f>IF($A501&lt;&gt;"",'All Cases - Enter Cases'!E501,"")</f>
        <v/>
      </c>
      <c r="F501" t="str">
        <f>IF($A501&lt;&gt;"",'All Cases - Enter Cases'!F501,"")</f>
        <v/>
      </c>
      <c r="G501" t="str">
        <f>IF($A501&lt;&gt;"",'All Cases - Enter Cases'!G501,"")</f>
        <v/>
      </c>
      <c r="H501" t="str">
        <f>IF($A501&lt;&gt;"",'All Cases - Enter Cases'!H501,"")</f>
        <v/>
      </c>
      <c r="I501" t="str">
        <f>IF($A501&lt;&gt;"",'All Cases - Enter Cases'!I501,"")</f>
        <v/>
      </c>
      <c r="J501" t="str">
        <f>IF($A501&lt;&gt;"",'All Cases - Enter Cases'!J501,"")</f>
        <v/>
      </c>
      <c r="K501" t="str">
        <f>IF($A501&lt;&gt;"",'All Cases - Enter Cases'!K501,"")</f>
        <v/>
      </c>
      <c r="L501" t="str">
        <f>IF($A501&lt;&gt;"",'All Cases - Enter Cases'!L501,"")</f>
        <v/>
      </c>
      <c r="M501" t="str">
        <f>IF($A501&lt;&gt;"",'All Cases - Enter Cases'!M501,"")</f>
        <v/>
      </c>
    </row>
    <row r="502" spans="1:13" x14ac:dyDescent="0.35">
      <c r="A502" t="str">
        <f>IF('All Cases - Enter Cases'!$F502="KPK",'All Cases - Enter Cases'!A502,"")</f>
        <v/>
      </c>
      <c r="B502" t="str">
        <f>IF($A502&lt;&gt;"",'All Cases - Enter Cases'!B502,"")</f>
        <v/>
      </c>
      <c r="C502" t="str">
        <f>IF($A502&lt;&gt;"",'All Cases - Enter Cases'!C502,"")</f>
        <v/>
      </c>
      <c r="D502" t="str">
        <f>IF($A502&lt;&gt;"",'All Cases - Enter Cases'!D502,"")</f>
        <v/>
      </c>
      <c r="E502" t="str">
        <f>IF($A502&lt;&gt;"",'All Cases - Enter Cases'!E502,"")</f>
        <v/>
      </c>
      <c r="F502" t="str">
        <f>IF($A502&lt;&gt;"",'All Cases - Enter Cases'!F502,"")</f>
        <v/>
      </c>
      <c r="G502" t="str">
        <f>IF($A502&lt;&gt;"",'All Cases - Enter Cases'!G502,"")</f>
        <v/>
      </c>
      <c r="H502" t="str">
        <f>IF($A502&lt;&gt;"",'All Cases - Enter Cases'!H502,"")</f>
        <v/>
      </c>
      <c r="I502" t="str">
        <f>IF($A502&lt;&gt;"",'All Cases - Enter Cases'!I502,"")</f>
        <v/>
      </c>
      <c r="J502" t="str">
        <f>IF($A502&lt;&gt;"",'All Cases - Enter Cases'!J502,"")</f>
        <v/>
      </c>
      <c r="K502" t="str">
        <f>IF($A502&lt;&gt;"",'All Cases - Enter Cases'!K502,"")</f>
        <v/>
      </c>
      <c r="L502" t="str">
        <f>IF($A502&lt;&gt;"",'All Cases - Enter Cases'!L502,"")</f>
        <v/>
      </c>
      <c r="M502" t="str">
        <f>IF($A502&lt;&gt;"",'All Cases - Enter Cases'!M502,"")</f>
        <v/>
      </c>
    </row>
    <row r="503" spans="1:13" x14ac:dyDescent="0.35">
      <c r="A503" t="str">
        <f>IF('All Cases - Enter Cases'!$F503="KPK",'All Cases - Enter Cases'!A503,"")</f>
        <v/>
      </c>
      <c r="B503" t="str">
        <f>IF($A503&lt;&gt;"",'All Cases - Enter Cases'!B503,"")</f>
        <v/>
      </c>
      <c r="C503" t="str">
        <f>IF($A503&lt;&gt;"",'All Cases - Enter Cases'!C503,"")</f>
        <v/>
      </c>
      <c r="D503" t="str">
        <f>IF($A503&lt;&gt;"",'All Cases - Enter Cases'!D503,"")</f>
        <v/>
      </c>
      <c r="E503" t="str">
        <f>IF($A503&lt;&gt;"",'All Cases - Enter Cases'!E503,"")</f>
        <v/>
      </c>
      <c r="F503" t="str">
        <f>IF($A503&lt;&gt;"",'All Cases - Enter Cases'!F503,"")</f>
        <v/>
      </c>
      <c r="G503" t="str">
        <f>IF($A503&lt;&gt;"",'All Cases - Enter Cases'!G503,"")</f>
        <v/>
      </c>
      <c r="H503" t="str">
        <f>IF($A503&lt;&gt;"",'All Cases - Enter Cases'!H503,"")</f>
        <v/>
      </c>
      <c r="I503" t="str">
        <f>IF($A503&lt;&gt;"",'All Cases - Enter Cases'!I503,"")</f>
        <v/>
      </c>
      <c r="J503" t="str">
        <f>IF($A503&lt;&gt;"",'All Cases - Enter Cases'!J503,"")</f>
        <v/>
      </c>
      <c r="K503" t="str">
        <f>IF($A503&lt;&gt;"",'All Cases - Enter Cases'!K503,"")</f>
        <v/>
      </c>
      <c r="L503" t="str">
        <f>IF($A503&lt;&gt;"",'All Cases - Enter Cases'!L503,"")</f>
        <v/>
      </c>
      <c r="M503" t="str">
        <f>IF($A503&lt;&gt;"",'All Cases - Enter Cases'!M503,"")</f>
        <v/>
      </c>
    </row>
    <row r="504" spans="1:13" x14ac:dyDescent="0.35">
      <c r="A504" t="str">
        <f>IF('All Cases - Enter Cases'!$F504="KPK",'All Cases - Enter Cases'!A504,"")</f>
        <v/>
      </c>
      <c r="B504" t="str">
        <f>IF($A504&lt;&gt;"",'All Cases - Enter Cases'!B504,"")</f>
        <v/>
      </c>
      <c r="C504" t="str">
        <f>IF($A504&lt;&gt;"",'All Cases - Enter Cases'!C504,"")</f>
        <v/>
      </c>
      <c r="D504" t="str">
        <f>IF($A504&lt;&gt;"",'All Cases - Enter Cases'!D504,"")</f>
        <v/>
      </c>
      <c r="E504" t="str">
        <f>IF($A504&lt;&gt;"",'All Cases - Enter Cases'!E504,"")</f>
        <v/>
      </c>
      <c r="F504" t="str">
        <f>IF($A504&lt;&gt;"",'All Cases - Enter Cases'!F504,"")</f>
        <v/>
      </c>
      <c r="G504" t="str">
        <f>IF($A504&lt;&gt;"",'All Cases - Enter Cases'!G504,"")</f>
        <v/>
      </c>
      <c r="H504" t="str">
        <f>IF($A504&lt;&gt;"",'All Cases - Enter Cases'!H504,"")</f>
        <v/>
      </c>
      <c r="I504" t="str">
        <f>IF($A504&lt;&gt;"",'All Cases - Enter Cases'!I504,"")</f>
        <v/>
      </c>
      <c r="J504" t="str">
        <f>IF($A504&lt;&gt;"",'All Cases - Enter Cases'!J504,"")</f>
        <v/>
      </c>
      <c r="K504" t="str">
        <f>IF($A504&lt;&gt;"",'All Cases - Enter Cases'!K504,"")</f>
        <v/>
      </c>
      <c r="L504" t="str">
        <f>IF($A504&lt;&gt;"",'All Cases - Enter Cases'!L504,"")</f>
        <v/>
      </c>
      <c r="M504" t="str">
        <f>IF($A504&lt;&gt;"",'All Cases - Enter Cases'!M504,"")</f>
        <v/>
      </c>
    </row>
    <row r="505" spans="1:13" x14ac:dyDescent="0.35">
      <c r="A505" t="str">
        <f>IF('All Cases - Enter Cases'!$F505="KPK",'All Cases - Enter Cases'!A505,"")</f>
        <v/>
      </c>
      <c r="B505" t="str">
        <f>IF($A505&lt;&gt;"",'All Cases - Enter Cases'!B505,"")</f>
        <v/>
      </c>
      <c r="C505" t="str">
        <f>IF($A505&lt;&gt;"",'All Cases - Enter Cases'!C505,"")</f>
        <v/>
      </c>
      <c r="D505" t="str">
        <f>IF($A505&lt;&gt;"",'All Cases - Enter Cases'!D505,"")</f>
        <v/>
      </c>
      <c r="E505" t="str">
        <f>IF($A505&lt;&gt;"",'All Cases - Enter Cases'!E505,"")</f>
        <v/>
      </c>
      <c r="F505" t="str">
        <f>IF($A505&lt;&gt;"",'All Cases - Enter Cases'!F505,"")</f>
        <v/>
      </c>
      <c r="G505" t="str">
        <f>IF($A505&lt;&gt;"",'All Cases - Enter Cases'!G505,"")</f>
        <v/>
      </c>
      <c r="H505" t="str">
        <f>IF($A505&lt;&gt;"",'All Cases - Enter Cases'!H505,"")</f>
        <v/>
      </c>
      <c r="I505" t="str">
        <f>IF($A505&lt;&gt;"",'All Cases - Enter Cases'!I505,"")</f>
        <v/>
      </c>
      <c r="J505" t="str">
        <f>IF($A505&lt;&gt;"",'All Cases - Enter Cases'!J505,"")</f>
        <v/>
      </c>
      <c r="K505" t="str">
        <f>IF($A505&lt;&gt;"",'All Cases - Enter Cases'!K505,"")</f>
        <v/>
      </c>
      <c r="L505" t="str">
        <f>IF($A505&lt;&gt;"",'All Cases - Enter Cases'!L505,"")</f>
        <v/>
      </c>
      <c r="M505" t="str">
        <f>IF($A505&lt;&gt;"",'All Cases - Enter Cases'!M505,"")</f>
        <v/>
      </c>
    </row>
    <row r="506" spans="1:13" x14ac:dyDescent="0.35">
      <c r="A506" t="str">
        <f>IF('All Cases - Enter Cases'!$F506="KPK",'All Cases - Enter Cases'!A506,"")</f>
        <v/>
      </c>
      <c r="B506" t="str">
        <f>IF($A506&lt;&gt;"",'All Cases - Enter Cases'!B506,"")</f>
        <v/>
      </c>
      <c r="C506" t="str">
        <f>IF($A506&lt;&gt;"",'All Cases - Enter Cases'!C506,"")</f>
        <v/>
      </c>
      <c r="D506" t="str">
        <f>IF($A506&lt;&gt;"",'All Cases - Enter Cases'!D506,"")</f>
        <v/>
      </c>
      <c r="E506" t="str">
        <f>IF($A506&lt;&gt;"",'All Cases - Enter Cases'!E506,"")</f>
        <v/>
      </c>
      <c r="F506" t="str">
        <f>IF($A506&lt;&gt;"",'All Cases - Enter Cases'!F506,"")</f>
        <v/>
      </c>
      <c r="G506" t="str">
        <f>IF($A506&lt;&gt;"",'All Cases - Enter Cases'!G506,"")</f>
        <v/>
      </c>
      <c r="H506" t="str">
        <f>IF($A506&lt;&gt;"",'All Cases - Enter Cases'!H506,"")</f>
        <v/>
      </c>
      <c r="I506" t="str">
        <f>IF($A506&lt;&gt;"",'All Cases - Enter Cases'!I506,"")</f>
        <v/>
      </c>
      <c r="J506" t="str">
        <f>IF($A506&lt;&gt;"",'All Cases - Enter Cases'!J506,"")</f>
        <v/>
      </c>
      <c r="K506" t="str">
        <f>IF($A506&lt;&gt;"",'All Cases - Enter Cases'!K506,"")</f>
        <v/>
      </c>
      <c r="L506" t="str">
        <f>IF($A506&lt;&gt;"",'All Cases - Enter Cases'!L506,"")</f>
        <v/>
      </c>
      <c r="M506" t="str">
        <f>IF($A506&lt;&gt;"",'All Cases - Enter Cases'!M506,"")</f>
        <v/>
      </c>
    </row>
    <row r="507" spans="1:13" x14ac:dyDescent="0.35">
      <c r="A507" t="str">
        <f>IF('All Cases - Enter Cases'!$F507="KPK",'All Cases - Enter Cases'!A507,"")</f>
        <v/>
      </c>
      <c r="B507" t="str">
        <f>IF($A507&lt;&gt;"",'All Cases - Enter Cases'!B507,"")</f>
        <v/>
      </c>
      <c r="C507" t="str">
        <f>IF($A507&lt;&gt;"",'All Cases - Enter Cases'!C507,"")</f>
        <v/>
      </c>
      <c r="D507" t="str">
        <f>IF($A507&lt;&gt;"",'All Cases - Enter Cases'!D507,"")</f>
        <v/>
      </c>
      <c r="E507" t="str">
        <f>IF($A507&lt;&gt;"",'All Cases - Enter Cases'!E507,"")</f>
        <v/>
      </c>
      <c r="F507" t="str">
        <f>IF($A507&lt;&gt;"",'All Cases - Enter Cases'!F507,"")</f>
        <v/>
      </c>
      <c r="G507" t="str">
        <f>IF($A507&lt;&gt;"",'All Cases - Enter Cases'!G507,"")</f>
        <v/>
      </c>
      <c r="H507" t="str">
        <f>IF($A507&lt;&gt;"",'All Cases - Enter Cases'!H507,"")</f>
        <v/>
      </c>
      <c r="I507" t="str">
        <f>IF($A507&lt;&gt;"",'All Cases - Enter Cases'!I507,"")</f>
        <v/>
      </c>
      <c r="J507" t="str">
        <f>IF($A507&lt;&gt;"",'All Cases - Enter Cases'!J507,"")</f>
        <v/>
      </c>
      <c r="K507" t="str">
        <f>IF($A507&lt;&gt;"",'All Cases - Enter Cases'!K507,"")</f>
        <v/>
      </c>
      <c r="L507" t="str">
        <f>IF($A507&lt;&gt;"",'All Cases - Enter Cases'!L507,"")</f>
        <v/>
      </c>
      <c r="M507" t="str">
        <f>IF($A507&lt;&gt;"",'All Cases - Enter Cases'!M507,"")</f>
        <v/>
      </c>
    </row>
    <row r="508" spans="1:13" x14ac:dyDescent="0.35">
      <c r="A508" t="str">
        <f>IF('All Cases - Enter Cases'!$F508="KPK",'All Cases - Enter Cases'!A508,"")</f>
        <v/>
      </c>
      <c r="B508" t="str">
        <f>IF($A508&lt;&gt;"",'All Cases - Enter Cases'!B508,"")</f>
        <v/>
      </c>
      <c r="C508" t="str">
        <f>IF($A508&lt;&gt;"",'All Cases - Enter Cases'!C508,"")</f>
        <v/>
      </c>
      <c r="D508" t="str">
        <f>IF($A508&lt;&gt;"",'All Cases - Enter Cases'!D508,"")</f>
        <v/>
      </c>
      <c r="E508" t="str">
        <f>IF($A508&lt;&gt;"",'All Cases - Enter Cases'!E508,"")</f>
        <v/>
      </c>
      <c r="F508" t="str">
        <f>IF($A508&lt;&gt;"",'All Cases - Enter Cases'!F508,"")</f>
        <v/>
      </c>
      <c r="G508" t="str">
        <f>IF($A508&lt;&gt;"",'All Cases - Enter Cases'!G508,"")</f>
        <v/>
      </c>
      <c r="H508" t="str">
        <f>IF($A508&lt;&gt;"",'All Cases - Enter Cases'!H508,"")</f>
        <v/>
      </c>
      <c r="I508" t="str">
        <f>IF($A508&lt;&gt;"",'All Cases - Enter Cases'!I508,"")</f>
        <v/>
      </c>
      <c r="J508" t="str">
        <f>IF($A508&lt;&gt;"",'All Cases - Enter Cases'!J508,"")</f>
        <v/>
      </c>
      <c r="K508" t="str">
        <f>IF($A508&lt;&gt;"",'All Cases - Enter Cases'!K508,"")</f>
        <v/>
      </c>
      <c r="L508" t="str">
        <f>IF($A508&lt;&gt;"",'All Cases - Enter Cases'!L508,"")</f>
        <v/>
      </c>
      <c r="M508" t="str">
        <f>IF($A508&lt;&gt;"",'All Cases - Enter Cases'!M508,"")</f>
        <v/>
      </c>
    </row>
    <row r="509" spans="1:13" x14ac:dyDescent="0.35">
      <c r="A509" t="str">
        <f>IF('All Cases - Enter Cases'!$F509="KPK",'All Cases - Enter Cases'!A509,"")</f>
        <v/>
      </c>
      <c r="B509" t="str">
        <f>IF($A509&lt;&gt;"",'All Cases - Enter Cases'!B509,"")</f>
        <v/>
      </c>
      <c r="C509" t="str">
        <f>IF($A509&lt;&gt;"",'All Cases - Enter Cases'!C509,"")</f>
        <v/>
      </c>
      <c r="D509" t="str">
        <f>IF($A509&lt;&gt;"",'All Cases - Enter Cases'!D509,"")</f>
        <v/>
      </c>
      <c r="E509" t="str">
        <f>IF($A509&lt;&gt;"",'All Cases - Enter Cases'!E509,"")</f>
        <v/>
      </c>
      <c r="F509" t="str">
        <f>IF($A509&lt;&gt;"",'All Cases - Enter Cases'!F509,"")</f>
        <v/>
      </c>
      <c r="G509" t="str">
        <f>IF($A509&lt;&gt;"",'All Cases - Enter Cases'!G509,"")</f>
        <v/>
      </c>
      <c r="H509" t="str">
        <f>IF($A509&lt;&gt;"",'All Cases - Enter Cases'!H509,"")</f>
        <v/>
      </c>
      <c r="I509" t="str">
        <f>IF($A509&lt;&gt;"",'All Cases - Enter Cases'!I509,"")</f>
        <v/>
      </c>
      <c r="J509" t="str">
        <f>IF($A509&lt;&gt;"",'All Cases - Enter Cases'!J509,"")</f>
        <v/>
      </c>
      <c r="K509" t="str">
        <f>IF($A509&lt;&gt;"",'All Cases - Enter Cases'!K509,"")</f>
        <v/>
      </c>
      <c r="L509" t="str">
        <f>IF($A509&lt;&gt;"",'All Cases - Enter Cases'!L509,"")</f>
        <v/>
      </c>
      <c r="M509" t="str">
        <f>IF($A509&lt;&gt;"",'All Cases - Enter Cases'!M509,"")</f>
        <v/>
      </c>
    </row>
    <row r="510" spans="1:13" x14ac:dyDescent="0.35">
      <c r="A510" t="str">
        <f>IF('All Cases - Enter Cases'!$F510="KPK",'All Cases - Enter Cases'!A510,"")</f>
        <v/>
      </c>
      <c r="B510" t="str">
        <f>IF($A510&lt;&gt;"",'All Cases - Enter Cases'!B510,"")</f>
        <v/>
      </c>
      <c r="C510" t="str">
        <f>IF($A510&lt;&gt;"",'All Cases - Enter Cases'!C510,"")</f>
        <v/>
      </c>
      <c r="D510" t="str">
        <f>IF($A510&lt;&gt;"",'All Cases - Enter Cases'!D510,"")</f>
        <v/>
      </c>
      <c r="E510" t="str">
        <f>IF($A510&lt;&gt;"",'All Cases - Enter Cases'!E510,"")</f>
        <v/>
      </c>
      <c r="F510" t="str">
        <f>IF($A510&lt;&gt;"",'All Cases - Enter Cases'!F510,"")</f>
        <v/>
      </c>
      <c r="G510" t="str">
        <f>IF($A510&lt;&gt;"",'All Cases - Enter Cases'!G510,"")</f>
        <v/>
      </c>
      <c r="H510" t="str">
        <f>IF($A510&lt;&gt;"",'All Cases - Enter Cases'!H510,"")</f>
        <v/>
      </c>
      <c r="I510" t="str">
        <f>IF($A510&lt;&gt;"",'All Cases - Enter Cases'!I510,"")</f>
        <v/>
      </c>
      <c r="J510" t="str">
        <f>IF($A510&lt;&gt;"",'All Cases - Enter Cases'!J510,"")</f>
        <v/>
      </c>
      <c r="K510" t="str">
        <f>IF($A510&lt;&gt;"",'All Cases - Enter Cases'!K510,"")</f>
        <v/>
      </c>
      <c r="L510" t="str">
        <f>IF($A510&lt;&gt;"",'All Cases - Enter Cases'!L510,"")</f>
        <v/>
      </c>
      <c r="M510" t="str">
        <f>IF($A510&lt;&gt;"",'All Cases - Enter Cases'!M510,"")</f>
        <v/>
      </c>
    </row>
    <row r="511" spans="1:13" x14ac:dyDescent="0.35">
      <c r="A511" t="str">
        <f>IF('All Cases - Enter Cases'!$F511="KPK",'All Cases - Enter Cases'!A511,"")</f>
        <v/>
      </c>
      <c r="B511" t="str">
        <f>IF($A511&lt;&gt;"",'All Cases - Enter Cases'!B511,"")</f>
        <v/>
      </c>
      <c r="C511" t="str">
        <f>IF($A511&lt;&gt;"",'All Cases - Enter Cases'!C511,"")</f>
        <v/>
      </c>
      <c r="D511" t="str">
        <f>IF($A511&lt;&gt;"",'All Cases - Enter Cases'!D511,"")</f>
        <v/>
      </c>
      <c r="E511" t="str">
        <f>IF($A511&lt;&gt;"",'All Cases - Enter Cases'!E511,"")</f>
        <v/>
      </c>
      <c r="F511" t="str">
        <f>IF($A511&lt;&gt;"",'All Cases - Enter Cases'!F511,"")</f>
        <v/>
      </c>
      <c r="G511" t="str">
        <f>IF($A511&lt;&gt;"",'All Cases - Enter Cases'!G511,"")</f>
        <v/>
      </c>
      <c r="H511" t="str">
        <f>IF($A511&lt;&gt;"",'All Cases - Enter Cases'!H511,"")</f>
        <v/>
      </c>
      <c r="I511" t="str">
        <f>IF($A511&lt;&gt;"",'All Cases - Enter Cases'!I511,"")</f>
        <v/>
      </c>
      <c r="J511" t="str">
        <f>IF($A511&lt;&gt;"",'All Cases - Enter Cases'!J511,"")</f>
        <v/>
      </c>
      <c r="K511" t="str">
        <f>IF($A511&lt;&gt;"",'All Cases - Enter Cases'!K511,"")</f>
        <v/>
      </c>
      <c r="L511" t="str">
        <f>IF($A511&lt;&gt;"",'All Cases - Enter Cases'!L511,"")</f>
        <v/>
      </c>
      <c r="M511" t="str">
        <f>IF($A511&lt;&gt;"",'All Cases - Enter Cases'!M511,"")</f>
        <v/>
      </c>
    </row>
    <row r="512" spans="1:13" x14ac:dyDescent="0.35">
      <c r="A512" t="str">
        <f>IF('All Cases - Enter Cases'!$F512="KPK",'All Cases - Enter Cases'!A512,"")</f>
        <v/>
      </c>
      <c r="B512" t="str">
        <f>IF($A512&lt;&gt;"",'All Cases - Enter Cases'!B512,"")</f>
        <v/>
      </c>
      <c r="C512" t="str">
        <f>IF($A512&lt;&gt;"",'All Cases - Enter Cases'!C512,"")</f>
        <v/>
      </c>
      <c r="D512" t="str">
        <f>IF($A512&lt;&gt;"",'All Cases - Enter Cases'!D512,"")</f>
        <v/>
      </c>
      <c r="E512" t="str">
        <f>IF($A512&lt;&gt;"",'All Cases - Enter Cases'!E512,"")</f>
        <v/>
      </c>
      <c r="F512" t="str">
        <f>IF($A512&lt;&gt;"",'All Cases - Enter Cases'!F512,"")</f>
        <v/>
      </c>
      <c r="G512" t="str">
        <f>IF($A512&lt;&gt;"",'All Cases - Enter Cases'!G512,"")</f>
        <v/>
      </c>
      <c r="H512" t="str">
        <f>IF($A512&lt;&gt;"",'All Cases - Enter Cases'!H512,"")</f>
        <v/>
      </c>
      <c r="I512" t="str">
        <f>IF($A512&lt;&gt;"",'All Cases - Enter Cases'!I512,"")</f>
        <v/>
      </c>
      <c r="J512" t="str">
        <f>IF($A512&lt;&gt;"",'All Cases - Enter Cases'!J512,"")</f>
        <v/>
      </c>
      <c r="K512" t="str">
        <f>IF($A512&lt;&gt;"",'All Cases - Enter Cases'!K512,"")</f>
        <v/>
      </c>
      <c r="L512" t="str">
        <f>IF($A512&lt;&gt;"",'All Cases - Enter Cases'!L512,"")</f>
        <v/>
      </c>
      <c r="M512" t="str">
        <f>IF($A512&lt;&gt;"",'All Cases - Enter Cases'!M512,"")</f>
        <v/>
      </c>
    </row>
    <row r="513" spans="1:13" x14ac:dyDescent="0.35">
      <c r="A513" t="str">
        <f>IF('All Cases - Enter Cases'!$F513="KPK",'All Cases - Enter Cases'!A513,"")</f>
        <v/>
      </c>
      <c r="B513" t="str">
        <f>IF($A513&lt;&gt;"",'All Cases - Enter Cases'!B513,"")</f>
        <v/>
      </c>
      <c r="C513" t="str">
        <f>IF($A513&lt;&gt;"",'All Cases - Enter Cases'!C513,"")</f>
        <v/>
      </c>
      <c r="D513" t="str">
        <f>IF($A513&lt;&gt;"",'All Cases - Enter Cases'!D513,"")</f>
        <v/>
      </c>
      <c r="E513" t="str">
        <f>IF($A513&lt;&gt;"",'All Cases - Enter Cases'!E513,"")</f>
        <v/>
      </c>
      <c r="F513" t="str">
        <f>IF($A513&lt;&gt;"",'All Cases - Enter Cases'!F513,"")</f>
        <v/>
      </c>
      <c r="G513" t="str">
        <f>IF($A513&lt;&gt;"",'All Cases - Enter Cases'!G513,"")</f>
        <v/>
      </c>
      <c r="H513" t="str">
        <f>IF($A513&lt;&gt;"",'All Cases - Enter Cases'!H513,"")</f>
        <v/>
      </c>
      <c r="I513" t="str">
        <f>IF($A513&lt;&gt;"",'All Cases - Enter Cases'!I513,"")</f>
        <v/>
      </c>
      <c r="J513" t="str">
        <f>IF($A513&lt;&gt;"",'All Cases - Enter Cases'!J513,"")</f>
        <v/>
      </c>
      <c r="K513" t="str">
        <f>IF($A513&lt;&gt;"",'All Cases - Enter Cases'!K513,"")</f>
        <v/>
      </c>
      <c r="L513" t="str">
        <f>IF($A513&lt;&gt;"",'All Cases - Enter Cases'!L513,"")</f>
        <v/>
      </c>
      <c r="M513" t="str">
        <f>IF($A513&lt;&gt;"",'All Cases - Enter Cases'!M513,"")</f>
        <v/>
      </c>
    </row>
    <row r="514" spans="1:13" x14ac:dyDescent="0.35">
      <c r="A514" t="str">
        <f>IF('All Cases - Enter Cases'!$F514="KPK",'All Cases - Enter Cases'!A514,"")</f>
        <v/>
      </c>
      <c r="B514" t="str">
        <f>IF($A514&lt;&gt;"",'All Cases - Enter Cases'!B514,"")</f>
        <v/>
      </c>
      <c r="C514" t="str">
        <f>IF($A514&lt;&gt;"",'All Cases - Enter Cases'!C514,"")</f>
        <v/>
      </c>
      <c r="D514" t="str">
        <f>IF($A514&lt;&gt;"",'All Cases - Enter Cases'!D514,"")</f>
        <v/>
      </c>
      <c r="E514" t="str">
        <f>IF($A514&lt;&gt;"",'All Cases - Enter Cases'!E514,"")</f>
        <v/>
      </c>
      <c r="F514" t="str">
        <f>IF($A514&lt;&gt;"",'All Cases - Enter Cases'!F514,"")</f>
        <v/>
      </c>
      <c r="G514" t="str">
        <f>IF($A514&lt;&gt;"",'All Cases - Enter Cases'!G514,"")</f>
        <v/>
      </c>
      <c r="H514" t="str">
        <f>IF($A514&lt;&gt;"",'All Cases - Enter Cases'!H514,"")</f>
        <v/>
      </c>
      <c r="I514" t="str">
        <f>IF($A514&lt;&gt;"",'All Cases - Enter Cases'!I514,"")</f>
        <v/>
      </c>
      <c r="J514" t="str">
        <f>IF($A514&lt;&gt;"",'All Cases - Enter Cases'!J514,"")</f>
        <v/>
      </c>
      <c r="K514" t="str">
        <f>IF($A514&lt;&gt;"",'All Cases - Enter Cases'!K514,"")</f>
        <v/>
      </c>
      <c r="L514" t="str">
        <f>IF($A514&lt;&gt;"",'All Cases - Enter Cases'!L514,"")</f>
        <v/>
      </c>
      <c r="M514" t="str">
        <f>IF($A514&lt;&gt;"",'All Cases - Enter Cases'!M514,"")</f>
        <v/>
      </c>
    </row>
    <row r="515" spans="1:13" x14ac:dyDescent="0.35">
      <c r="A515" t="str">
        <f>IF('All Cases - Enter Cases'!$F515="KPK",'All Cases - Enter Cases'!A515,"")</f>
        <v/>
      </c>
      <c r="B515" t="str">
        <f>IF($A515&lt;&gt;"",'All Cases - Enter Cases'!B515,"")</f>
        <v/>
      </c>
      <c r="C515" t="str">
        <f>IF($A515&lt;&gt;"",'All Cases - Enter Cases'!C515,"")</f>
        <v/>
      </c>
      <c r="D515" t="str">
        <f>IF($A515&lt;&gt;"",'All Cases - Enter Cases'!D515,"")</f>
        <v/>
      </c>
      <c r="E515" t="str">
        <f>IF($A515&lt;&gt;"",'All Cases - Enter Cases'!E515,"")</f>
        <v/>
      </c>
      <c r="F515" t="str">
        <f>IF($A515&lt;&gt;"",'All Cases - Enter Cases'!F515,"")</f>
        <v/>
      </c>
      <c r="G515" t="str">
        <f>IF($A515&lt;&gt;"",'All Cases - Enter Cases'!G515,"")</f>
        <v/>
      </c>
      <c r="H515" t="str">
        <f>IF($A515&lt;&gt;"",'All Cases - Enter Cases'!H515,"")</f>
        <v/>
      </c>
      <c r="I515" t="str">
        <f>IF($A515&lt;&gt;"",'All Cases - Enter Cases'!I515,"")</f>
        <v/>
      </c>
      <c r="J515" t="str">
        <f>IF($A515&lt;&gt;"",'All Cases - Enter Cases'!J515,"")</f>
        <v/>
      </c>
      <c r="K515" t="str">
        <f>IF($A515&lt;&gt;"",'All Cases - Enter Cases'!K515,"")</f>
        <v/>
      </c>
      <c r="L515" t="str">
        <f>IF($A515&lt;&gt;"",'All Cases - Enter Cases'!L515,"")</f>
        <v/>
      </c>
      <c r="M515" t="str">
        <f>IF($A515&lt;&gt;"",'All Cases - Enter Cases'!M515,"")</f>
        <v/>
      </c>
    </row>
    <row r="516" spans="1:13" x14ac:dyDescent="0.35">
      <c r="A516" t="str">
        <f>IF('All Cases - Enter Cases'!$F516="KPK",'All Cases - Enter Cases'!A516,"")</f>
        <v/>
      </c>
      <c r="B516" t="str">
        <f>IF($A516&lt;&gt;"",'All Cases - Enter Cases'!B516,"")</f>
        <v/>
      </c>
      <c r="C516" t="str">
        <f>IF($A516&lt;&gt;"",'All Cases - Enter Cases'!C516,"")</f>
        <v/>
      </c>
      <c r="D516" t="str">
        <f>IF($A516&lt;&gt;"",'All Cases - Enter Cases'!D516,"")</f>
        <v/>
      </c>
      <c r="E516" t="str">
        <f>IF($A516&lt;&gt;"",'All Cases - Enter Cases'!E516,"")</f>
        <v/>
      </c>
      <c r="F516" t="str">
        <f>IF($A516&lt;&gt;"",'All Cases - Enter Cases'!F516,"")</f>
        <v/>
      </c>
      <c r="G516" t="str">
        <f>IF($A516&lt;&gt;"",'All Cases - Enter Cases'!G516,"")</f>
        <v/>
      </c>
      <c r="H516" t="str">
        <f>IF($A516&lt;&gt;"",'All Cases - Enter Cases'!H516,"")</f>
        <v/>
      </c>
      <c r="I516" t="str">
        <f>IF($A516&lt;&gt;"",'All Cases - Enter Cases'!I516,"")</f>
        <v/>
      </c>
      <c r="J516" t="str">
        <f>IF($A516&lt;&gt;"",'All Cases - Enter Cases'!J516,"")</f>
        <v/>
      </c>
      <c r="K516" t="str">
        <f>IF($A516&lt;&gt;"",'All Cases - Enter Cases'!K516,"")</f>
        <v/>
      </c>
      <c r="L516" t="str">
        <f>IF($A516&lt;&gt;"",'All Cases - Enter Cases'!L516,"")</f>
        <v/>
      </c>
      <c r="M516" t="str">
        <f>IF($A516&lt;&gt;"",'All Cases - Enter Cases'!M516,"")</f>
        <v/>
      </c>
    </row>
    <row r="517" spans="1:13" x14ac:dyDescent="0.35">
      <c r="A517" t="str">
        <f>IF('All Cases - Enter Cases'!$F517="KPK",'All Cases - Enter Cases'!A517,"")</f>
        <v/>
      </c>
      <c r="B517" t="str">
        <f>IF($A517&lt;&gt;"",'All Cases - Enter Cases'!B517,"")</f>
        <v/>
      </c>
      <c r="C517" t="str">
        <f>IF($A517&lt;&gt;"",'All Cases - Enter Cases'!C517,"")</f>
        <v/>
      </c>
      <c r="D517" t="str">
        <f>IF($A517&lt;&gt;"",'All Cases - Enter Cases'!D517,"")</f>
        <v/>
      </c>
      <c r="E517" t="str">
        <f>IF($A517&lt;&gt;"",'All Cases - Enter Cases'!E517,"")</f>
        <v/>
      </c>
      <c r="F517" t="str">
        <f>IF($A517&lt;&gt;"",'All Cases - Enter Cases'!F517,"")</f>
        <v/>
      </c>
      <c r="G517" t="str">
        <f>IF($A517&lt;&gt;"",'All Cases - Enter Cases'!G517,"")</f>
        <v/>
      </c>
      <c r="H517" t="str">
        <f>IF($A517&lt;&gt;"",'All Cases - Enter Cases'!H517,"")</f>
        <v/>
      </c>
      <c r="I517" t="str">
        <f>IF($A517&lt;&gt;"",'All Cases - Enter Cases'!I517,"")</f>
        <v/>
      </c>
      <c r="J517" t="str">
        <f>IF($A517&lt;&gt;"",'All Cases - Enter Cases'!J517,"")</f>
        <v/>
      </c>
      <c r="K517" t="str">
        <f>IF($A517&lt;&gt;"",'All Cases - Enter Cases'!K517,"")</f>
        <v/>
      </c>
      <c r="L517" t="str">
        <f>IF($A517&lt;&gt;"",'All Cases - Enter Cases'!L517,"")</f>
        <v/>
      </c>
      <c r="M517" t="str">
        <f>IF($A517&lt;&gt;"",'All Cases - Enter Cases'!M517,"")</f>
        <v/>
      </c>
    </row>
    <row r="518" spans="1:13" x14ac:dyDescent="0.35">
      <c r="A518" t="str">
        <f>IF('All Cases - Enter Cases'!$F518="KPK",'All Cases - Enter Cases'!A518,"")</f>
        <v/>
      </c>
      <c r="B518" t="str">
        <f>IF($A518&lt;&gt;"",'All Cases - Enter Cases'!B518,"")</f>
        <v/>
      </c>
      <c r="C518" t="str">
        <f>IF($A518&lt;&gt;"",'All Cases - Enter Cases'!C518,"")</f>
        <v/>
      </c>
      <c r="D518" t="str">
        <f>IF($A518&lt;&gt;"",'All Cases - Enter Cases'!D518,"")</f>
        <v/>
      </c>
      <c r="E518" t="str">
        <f>IF($A518&lt;&gt;"",'All Cases - Enter Cases'!E518,"")</f>
        <v/>
      </c>
      <c r="F518" t="str">
        <f>IF($A518&lt;&gt;"",'All Cases - Enter Cases'!F518,"")</f>
        <v/>
      </c>
      <c r="G518" t="str">
        <f>IF($A518&lt;&gt;"",'All Cases - Enter Cases'!G518,"")</f>
        <v/>
      </c>
      <c r="H518" t="str">
        <f>IF($A518&lt;&gt;"",'All Cases - Enter Cases'!H518,"")</f>
        <v/>
      </c>
      <c r="I518" t="str">
        <f>IF($A518&lt;&gt;"",'All Cases - Enter Cases'!I518,"")</f>
        <v/>
      </c>
      <c r="J518" t="str">
        <f>IF($A518&lt;&gt;"",'All Cases - Enter Cases'!J518,"")</f>
        <v/>
      </c>
      <c r="K518" t="str">
        <f>IF($A518&lt;&gt;"",'All Cases - Enter Cases'!K518,"")</f>
        <v/>
      </c>
      <c r="L518" t="str">
        <f>IF($A518&lt;&gt;"",'All Cases - Enter Cases'!L518,"")</f>
        <v/>
      </c>
      <c r="M518" t="str">
        <f>IF($A518&lt;&gt;"",'All Cases - Enter Cases'!M518,"")</f>
        <v/>
      </c>
    </row>
    <row r="519" spans="1:13" x14ac:dyDescent="0.35">
      <c r="A519" t="str">
        <f>IF('All Cases - Enter Cases'!$F519="KPK",'All Cases - Enter Cases'!A519,"")</f>
        <v/>
      </c>
      <c r="B519" t="str">
        <f>IF($A519&lt;&gt;"",'All Cases - Enter Cases'!B519,"")</f>
        <v/>
      </c>
      <c r="C519" t="str">
        <f>IF($A519&lt;&gt;"",'All Cases - Enter Cases'!C519,"")</f>
        <v/>
      </c>
      <c r="D519" t="str">
        <f>IF($A519&lt;&gt;"",'All Cases - Enter Cases'!D519,"")</f>
        <v/>
      </c>
      <c r="E519" t="str">
        <f>IF($A519&lt;&gt;"",'All Cases - Enter Cases'!E519,"")</f>
        <v/>
      </c>
      <c r="F519" t="str">
        <f>IF($A519&lt;&gt;"",'All Cases - Enter Cases'!F519,"")</f>
        <v/>
      </c>
      <c r="G519" t="str">
        <f>IF($A519&lt;&gt;"",'All Cases - Enter Cases'!G519,"")</f>
        <v/>
      </c>
      <c r="H519" t="str">
        <f>IF($A519&lt;&gt;"",'All Cases - Enter Cases'!H519,"")</f>
        <v/>
      </c>
      <c r="I519" t="str">
        <f>IF($A519&lt;&gt;"",'All Cases - Enter Cases'!I519,"")</f>
        <v/>
      </c>
      <c r="J519" t="str">
        <f>IF($A519&lt;&gt;"",'All Cases - Enter Cases'!J519,"")</f>
        <v/>
      </c>
      <c r="K519" t="str">
        <f>IF($A519&lt;&gt;"",'All Cases - Enter Cases'!K519,"")</f>
        <v/>
      </c>
      <c r="L519" t="str">
        <f>IF($A519&lt;&gt;"",'All Cases - Enter Cases'!L519,"")</f>
        <v/>
      </c>
      <c r="M519" t="str">
        <f>IF($A519&lt;&gt;"",'All Cases - Enter Cases'!M519,"")</f>
        <v/>
      </c>
    </row>
    <row r="520" spans="1:13" x14ac:dyDescent="0.35">
      <c r="A520" t="str">
        <f>IF('All Cases - Enter Cases'!$F520="KPK",'All Cases - Enter Cases'!A520,"")</f>
        <v/>
      </c>
      <c r="B520" t="str">
        <f>IF($A520&lt;&gt;"",'All Cases - Enter Cases'!B520,"")</f>
        <v/>
      </c>
      <c r="C520" t="str">
        <f>IF($A520&lt;&gt;"",'All Cases - Enter Cases'!C520,"")</f>
        <v/>
      </c>
      <c r="D520" t="str">
        <f>IF($A520&lt;&gt;"",'All Cases - Enter Cases'!D520,"")</f>
        <v/>
      </c>
      <c r="E520" t="str">
        <f>IF($A520&lt;&gt;"",'All Cases - Enter Cases'!E520,"")</f>
        <v/>
      </c>
      <c r="F520" t="str">
        <f>IF($A520&lt;&gt;"",'All Cases - Enter Cases'!F520,"")</f>
        <v/>
      </c>
      <c r="G520" t="str">
        <f>IF($A520&lt;&gt;"",'All Cases - Enter Cases'!G520,"")</f>
        <v/>
      </c>
      <c r="H520" t="str">
        <f>IF($A520&lt;&gt;"",'All Cases - Enter Cases'!H520,"")</f>
        <v/>
      </c>
      <c r="I520" t="str">
        <f>IF($A520&lt;&gt;"",'All Cases - Enter Cases'!I520,"")</f>
        <v/>
      </c>
      <c r="J520" t="str">
        <f>IF($A520&lt;&gt;"",'All Cases - Enter Cases'!J520,"")</f>
        <v/>
      </c>
      <c r="K520" t="str">
        <f>IF($A520&lt;&gt;"",'All Cases - Enter Cases'!K520,"")</f>
        <v/>
      </c>
      <c r="L520" t="str">
        <f>IF($A520&lt;&gt;"",'All Cases - Enter Cases'!L520,"")</f>
        <v/>
      </c>
      <c r="M520" t="str">
        <f>IF($A520&lt;&gt;"",'All Cases - Enter Cases'!M520,"")</f>
        <v/>
      </c>
    </row>
    <row r="521" spans="1:13" x14ac:dyDescent="0.35">
      <c r="A521" t="str">
        <f>IF('All Cases - Enter Cases'!$F521="KPK",'All Cases - Enter Cases'!A521,"")</f>
        <v/>
      </c>
      <c r="B521" t="str">
        <f>IF($A521&lt;&gt;"",'All Cases - Enter Cases'!B521,"")</f>
        <v/>
      </c>
      <c r="C521" t="str">
        <f>IF($A521&lt;&gt;"",'All Cases - Enter Cases'!C521,"")</f>
        <v/>
      </c>
      <c r="D521" t="str">
        <f>IF($A521&lt;&gt;"",'All Cases - Enter Cases'!D521,"")</f>
        <v/>
      </c>
      <c r="E521" t="str">
        <f>IF($A521&lt;&gt;"",'All Cases - Enter Cases'!E521,"")</f>
        <v/>
      </c>
      <c r="F521" t="str">
        <f>IF($A521&lt;&gt;"",'All Cases - Enter Cases'!F521,"")</f>
        <v/>
      </c>
      <c r="G521" t="str">
        <f>IF($A521&lt;&gt;"",'All Cases - Enter Cases'!G521,"")</f>
        <v/>
      </c>
      <c r="H521" t="str">
        <f>IF($A521&lt;&gt;"",'All Cases - Enter Cases'!H521,"")</f>
        <v/>
      </c>
      <c r="I521" t="str">
        <f>IF($A521&lt;&gt;"",'All Cases - Enter Cases'!I521,"")</f>
        <v/>
      </c>
      <c r="J521" t="str">
        <f>IF($A521&lt;&gt;"",'All Cases - Enter Cases'!J521,"")</f>
        <v/>
      </c>
      <c r="K521" t="str">
        <f>IF($A521&lt;&gt;"",'All Cases - Enter Cases'!K521,"")</f>
        <v/>
      </c>
      <c r="L521" t="str">
        <f>IF($A521&lt;&gt;"",'All Cases - Enter Cases'!L521,"")</f>
        <v/>
      </c>
      <c r="M521" t="str">
        <f>IF($A521&lt;&gt;"",'All Cases - Enter Cases'!M521,"")</f>
        <v/>
      </c>
    </row>
    <row r="522" spans="1:13" x14ac:dyDescent="0.35">
      <c r="A522" t="str">
        <f>IF('All Cases - Enter Cases'!$F522="KPK",'All Cases - Enter Cases'!A522,"")</f>
        <v/>
      </c>
      <c r="B522" t="str">
        <f>IF($A522&lt;&gt;"",'All Cases - Enter Cases'!B522,"")</f>
        <v/>
      </c>
      <c r="C522" t="str">
        <f>IF($A522&lt;&gt;"",'All Cases - Enter Cases'!C522,"")</f>
        <v/>
      </c>
      <c r="D522" t="str">
        <f>IF($A522&lt;&gt;"",'All Cases - Enter Cases'!D522,"")</f>
        <v/>
      </c>
      <c r="E522" t="str">
        <f>IF($A522&lt;&gt;"",'All Cases - Enter Cases'!E522,"")</f>
        <v/>
      </c>
      <c r="F522" t="str">
        <f>IF($A522&lt;&gt;"",'All Cases - Enter Cases'!F522,"")</f>
        <v/>
      </c>
      <c r="G522" t="str">
        <f>IF($A522&lt;&gt;"",'All Cases - Enter Cases'!G522,"")</f>
        <v/>
      </c>
      <c r="H522" t="str">
        <f>IF($A522&lt;&gt;"",'All Cases - Enter Cases'!H522,"")</f>
        <v/>
      </c>
      <c r="I522" t="str">
        <f>IF($A522&lt;&gt;"",'All Cases - Enter Cases'!I522,"")</f>
        <v/>
      </c>
      <c r="J522" t="str">
        <f>IF($A522&lt;&gt;"",'All Cases - Enter Cases'!J522,"")</f>
        <v/>
      </c>
      <c r="K522" t="str">
        <f>IF($A522&lt;&gt;"",'All Cases - Enter Cases'!K522,"")</f>
        <v/>
      </c>
      <c r="L522" t="str">
        <f>IF($A522&lt;&gt;"",'All Cases - Enter Cases'!L522,"")</f>
        <v/>
      </c>
      <c r="M522" t="str">
        <f>IF($A522&lt;&gt;"",'All Cases - Enter Cases'!M522,"")</f>
        <v/>
      </c>
    </row>
    <row r="523" spans="1:13" x14ac:dyDescent="0.35">
      <c r="A523" t="str">
        <f>IF('All Cases - Enter Cases'!$F523="KPK",'All Cases - Enter Cases'!A523,"")</f>
        <v/>
      </c>
      <c r="B523" t="str">
        <f>IF($A523&lt;&gt;"",'All Cases - Enter Cases'!B523,"")</f>
        <v/>
      </c>
      <c r="C523" t="str">
        <f>IF($A523&lt;&gt;"",'All Cases - Enter Cases'!C523,"")</f>
        <v/>
      </c>
      <c r="D523" t="str">
        <f>IF($A523&lt;&gt;"",'All Cases - Enter Cases'!D523,"")</f>
        <v/>
      </c>
      <c r="E523" t="str">
        <f>IF($A523&lt;&gt;"",'All Cases - Enter Cases'!E523,"")</f>
        <v/>
      </c>
      <c r="F523" t="str">
        <f>IF($A523&lt;&gt;"",'All Cases - Enter Cases'!F523,"")</f>
        <v/>
      </c>
      <c r="G523" t="str">
        <f>IF($A523&lt;&gt;"",'All Cases - Enter Cases'!G523,"")</f>
        <v/>
      </c>
      <c r="H523" t="str">
        <f>IF($A523&lt;&gt;"",'All Cases - Enter Cases'!H523,"")</f>
        <v/>
      </c>
      <c r="I523" t="str">
        <f>IF($A523&lt;&gt;"",'All Cases - Enter Cases'!I523,"")</f>
        <v/>
      </c>
      <c r="J523" t="str">
        <f>IF($A523&lt;&gt;"",'All Cases - Enter Cases'!J523,"")</f>
        <v/>
      </c>
      <c r="K523" t="str">
        <f>IF($A523&lt;&gt;"",'All Cases - Enter Cases'!K523,"")</f>
        <v/>
      </c>
      <c r="L523" t="str">
        <f>IF($A523&lt;&gt;"",'All Cases - Enter Cases'!L523,"")</f>
        <v/>
      </c>
      <c r="M523" t="str">
        <f>IF($A523&lt;&gt;"",'All Cases - Enter Cases'!M523,"")</f>
        <v/>
      </c>
    </row>
    <row r="524" spans="1:13" x14ac:dyDescent="0.35">
      <c r="A524" t="str">
        <f>IF('All Cases - Enter Cases'!$F524="KPK",'All Cases - Enter Cases'!A524,"")</f>
        <v/>
      </c>
      <c r="B524" t="str">
        <f>IF($A524&lt;&gt;"",'All Cases - Enter Cases'!B524,"")</f>
        <v/>
      </c>
      <c r="C524" t="str">
        <f>IF($A524&lt;&gt;"",'All Cases - Enter Cases'!C524,"")</f>
        <v/>
      </c>
      <c r="D524" t="str">
        <f>IF($A524&lt;&gt;"",'All Cases - Enter Cases'!D524,"")</f>
        <v/>
      </c>
      <c r="E524" t="str">
        <f>IF($A524&lt;&gt;"",'All Cases - Enter Cases'!E524,"")</f>
        <v/>
      </c>
      <c r="F524" t="str">
        <f>IF($A524&lt;&gt;"",'All Cases - Enter Cases'!F524,"")</f>
        <v/>
      </c>
      <c r="G524" t="str">
        <f>IF($A524&lt;&gt;"",'All Cases - Enter Cases'!G524,"")</f>
        <v/>
      </c>
      <c r="H524" t="str">
        <f>IF($A524&lt;&gt;"",'All Cases - Enter Cases'!H524,"")</f>
        <v/>
      </c>
      <c r="I524" t="str">
        <f>IF($A524&lt;&gt;"",'All Cases - Enter Cases'!I524,"")</f>
        <v/>
      </c>
      <c r="J524" t="str">
        <f>IF($A524&lt;&gt;"",'All Cases - Enter Cases'!J524,"")</f>
        <v/>
      </c>
      <c r="K524" t="str">
        <f>IF($A524&lt;&gt;"",'All Cases - Enter Cases'!K524,"")</f>
        <v/>
      </c>
      <c r="L524" t="str">
        <f>IF($A524&lt;&gt;"",'All Cases - Enter Cases'!L524,"")</f>
        <v/>
      </c>
      <c r="M524" t="str">
        <f>IF($A524&lt;&gt;"",'All Cases - Enter Cases'!M524,"")</f>
        <v/>
      </c>
    </row>
    <row r="525" spans="1:13" x14ac:dyDescent="0.35">
      <c r="A525" t="str">
        <f>IF('All Cases - Enter Cases'!$F525="KPK",'All Cases - Enter Cases'!A525,"")</f>
        <v/>
      </c>
      <c r="B525" t="str">
        <f>IF($A525&lt;&gt;"",'All Cases - Enter Cases'!B525,"")</f>
        <v/>
      </c>
      <c r="C525" t="str">
        <f>IF($A525&lt;&gt;"",'All Cases - Enter Cases'!C525,"")</f>
        <v/>
      </c>
      <c r="D525" t="str">
        <f>IF($A525&lt;&gt;"",'All Cases - Enter Cases'!D525,"")</f>
        <v/>
      </c>
      <c r="E525" t="str">
        <f>IF($A525&lt;&gt;"",'All Cases - Enter Cases'!E525,"")</f>
        <v/>
      </c>
      <c r="F525" t="str">
        <f>IF($A525&lt;&gt;"",'All Cases - Enter Cases'!F525,"")</f>
        <v/>
      </c>
      <c r="G525" t="str">
        <f>IF($A525&lt;&gt;"",'All Cases - Enter Cases'!G525,"")</f>
        <v/>
      </c>
      <c r="H525" t="str">
        <f>IF($A525&lt;&gt;"",'All Cases - Enter Cases'!H525,"")</f>
        <v/>
      </c>
      <c r="I525" t="str">
        <f>IF($A525&lt;&gt;"",'All Cases - Enter Cases'!I525,"")</f>
        <v/>
      </c>
      <c r="J525" t="str">
        <f>IF($A525&lt;&gt;"",'All Cases - Enter Cases'!J525,"")</f>
        <v/>
      </c>
      <c r="K525" t="str">
        <f>IF($A525&lt;&gt;"",'All Cases - Enter Cases'!K525,"")</f>
        <v/>
      </c>
      <c r="L525" t="str">
        <f>IF($A525&lt;&gt;"",'All Cases - Enter Cases'!L525,"")</f>
        <v/>
      </c>
      <c r="M525" t="str">
        <f>IF($A525&lt;&gt;"",'All Cases - Enter Cases'!M525,"")</f>
        <v/>
      </c>
    </row>
    <row r="526" spans="1:13" x14ac:dyDescent="0.35">
      <c r="A526" t="str">
        <f>IF('All Cases - Enter Cases'!$F526="KPK",'All Cases - Enter Cases'!A526,"")</f>
        <v/>
      </c>
      <c r="B526" t="str">
        <f>IF($A526&lt;&gt;"",'All Cases - Enter Cases'!B526,"")</f>
        <v/>
      </c>
      <c r="C526" t="str">
        <f>IF($A526&lt;&gt;"",'All Cases - Enter Cases'!C526,"")</f>
        <v/>
      </c>
      <c r="D526" t="str">
        <f>IF($A526&lt;&gt;"",'All Cases - Enter Cases'!D526,"")</f>
        <v/>
      </c>
      <c r="E526" t="str">
        <f>IF($A526&lt;&gt;"",'All Cases - Enter Cases'!E526,"")</f>
        <v/>
      </c>
      <c r="F526" t="str">
        <f>IF($A526&lt;&gt;"",'All Cases - Enter Cases'!F526,"")</f>
        <v/>
      </c>
      <c r="G526" t="str">
        <f>IF($A526&lt;&gt;"",'All Cases - Enter Cases'!G526,"")</f>
        <v/>
      </c>
      <c r="H526" t="str">
        <f>IF($A526&lt;&gt;"",'All Cases - Enter Cases'!H526,"")</f>
        <v/>
      </c>
      <c r="I526" t="str">
        <f>IF($A526&lt;&gt;"",'All Cases - Enter Cases'!I526,"")</f>
        <v/>
      </c>
      <c r="J526" t="str">
        <f>IF($A526&lt;&gt;"",'All Cases - Enter Cases'!J526,"")</f>
        <v/>
      </c>
      <c r="K526" t="str">
        <f>IF($A526&lt;&gt;"",'All Cases - Enter Cases'!K526,"")</f>
        <v/>
      </c>
      <c r="L526" t="str">
        <f>IF($A526&lt;&gt;"",'All Cases - Enter Cases'!L526,"")</f>
        <v/>
      </c>
      <c r="M526" t="str">
        <f>IF($A526&lt;&gt;"",'All Cases - Enter Cases'!M526,"")</f>
        <v/>
      </c>
    </row>
    <row r="527" spans="1:13" x14ac:dyDescent="0.35">
      <c r="A527" t="str">
        <f>IF('All Cases - Enter Cases'!$F527="KPK",'All Cases - Enter Cases'!A527,"")</f>
        <v/>
      </c>
      <c r="B527" t="str">
        <f>IF($A527&lt;&gt;"",'All Cases - Enter Cases'!B527,"")</f>
        <v/>
      </c>
      <c r="C527" t="str">
        <f>IF($A527&lt;&gt;"",'All Cases - Enter Cases'!C527,"")</f>
        <v/>
      </c>
      <c r="D527" t="str">
        <f>IF($A527&lt;&gt;"",'All Cases - Enter Cases'!D527,"")</f>
        <v/>
      </c>
      <c r="E527" t="str">
        <f>IF($A527&lt;&gt;"",'All Cases - Enter Cases'!E527,"")</f>
        <v/>
      </c>
      <c r="F527" t="str">
        <f>IF($A527&lt;&gt;"",'All Cases - Enter Cases'!F527,"")</f>
        <v/>
      </c>
      <c r="G527" t="str">
        <f>IF($A527&lt;&gt;"",'All Cases - Enter Cases'!G527,"")</f>
        <v/>
      </c>
      <c r="H527" t="str">
        <f>IF($A527&lt;&gt;"",'All Cases - Enter Cases'!H527,"")</f>
        <v/>
      </c>
      <c r="I527" t="str">
        <f>IF($A527&lt;&gt;"",'All Cases - Enter Cases'!I527,"")</f>
        <v/>
      </c>
      <c r="J527" t="str">
        <f>IF($A527&lt;&gt;"",'All Cases - Enter Cases'!J527,"")</f>
        <v/>
      </c>
      <c r="K527" t="str">
        <f>IF($A527&lt;&gt;"",'All Cases - Enter Cases'!K527,"")</f>
        <v/>
      </c>
      <c r="L527" t="str">
        <f>IF($A527&lt;&gt;"",'All Cases - Enter Cases'!L527,"")</f>
        <v/>
      </c>
      <c r="M527" t="str">
        <f>IF($A527&lt;&gt;"",'All Cases - Enter Cases'!M527,"")</f>
        <v/>
      </c>
    </row>
    <row r="528" spans="1:13" x14ac:dyDescent="0.35">
      <c r="A528" t="str">
        <f>IF('All Cases - Enter Cases'!$F528="KPK",'All Cases - Enter Cases'!A528,"")</f>
        <v/>
      </c>
      <c r="B528" t="str">
        <f>IF($A528&lt;&gt;"",'All Cases - Enter Cases'!B528,"")</f>
        <v/>
      </c>
      <c r="C528" t="str">
        <f>IF($A528&lt;&gt;"",'All Cases - Enter Cases'!C528,"")</f>
        <v/>
      </c>
      <c r="D528" t="str">
        <f>IF($A528&lt;&gt;"",'All Cases - Enter Cases'!D528,"")</f>
        <v/>
      </c>
      <c r="E528" t="str">
        <f>IF($A528&lt;&gt;"",'All Cases - Enter Cases'!E528,"")</f>
        <v/>
      </c>
      <c r="F528" t="str">
        <f>IF($A528&lt;&gt;"",'All Cases - Enter Cases'!F528,"")</f>
        <v/>
      </c>
      <c r="G528" t="str">
        <f>IF($A528&lt;&gt;"",'All Cases - Enter Cases'!G528,"")</f>
        <v/>
      </c>
      <c r="H528" t="str">
        <f>IF($A528&lt;&gt;"",'All Cases - Enter Cases'!H528,"")</f>
        <v/>
      </c>
      <c r="I528" t="str">
        <f>IF($A528&lt;&gt;"",'All Cases - Enter Cases'!I528,"")</f>
        <v/>
      </c>
      <c r="J528" t="str">
        <f>IF($A528&lt;&gt;"",'All Cases - Enter Cases'!J528,"")</f>
        <v/>
      </c>
      <c r="K528" t="str">
        <f>IF($A528&lt;&gt;"",'All Cases - Enter Cases'!K528,"")</f>
        <v/>
      </c>
      <c r="L528" t="str">
        <f>IF($A528&lt;&gt;"",'All Cases - Enter Cases'!L528,"")</f>
        <v/>
      </c>
      <c r="M528" t="str">
        <f>IF($A528&lt;&gt;"",'All Cases - Enter Cases'!M528,"")</f>
        <v/>
      </c>
    </row>
    <row r="529" spans="1:13" x14ac:dyDescent="0.35">
      <c r="A529" t="str">
        <f>IF('All Cases - Enter Cases'!$F529="KPK",'All Cases - Enter Cases'!A529,"")</f>
        <v/>
      </c>
      <c r="B529" t="str">
        <f>IF($A529&lt;&gt;"",'All Cases - Enter Cases'!B529,"")</f>
        <v/>
      </c>
      <c r="C529" t="str">
        <f>IF($A529&lt;&gt;"",'All Cases - Enter Cases'!C529,"")</f>
        <v/>
      </c>
      <c r="D529" t="str">
        <f>IF($A529&lt;&gt;"",'All Cases - Enter Cases'!D529,"")</f>
        <v/>
      </c>
      <c r="E529" t="str">
        <f>IF($A529&lt;&gt;"",'All Cases - Enter Cases'!E529,"")</f>
        <v/>
      </c>
      <c r="F529" t="str">
        <f>IF($A529&lt;&gt;"",'All Cases - Enter Cases'!F529,"")</f>
        <v/>
      </c>
      <c r="G529" t="str">
        <f>IF($A529&lt;&gt;"",'All Cases - Enter Cases'!G529,"")</f>
        <v/>
      </c>
      <c r="H529" t="str">
        <f>IF($A529&lt;&gt;"",'All Cases - Enter Cases'!H529,"")</f>
        <v/>
      </c>
      <c r="I529" t="str">
        <f>IF($A529&lt;&gt;"",'All Cases - Enter Cases'!I529,"")</f>
        <v/>
      </c>
      <c r="J529" t="str">
        <f>IF($A529&lt;&gt;"",'All Cases - Enter Cases'!J529,"")</f>
        <v/>
      </c>
      <c r="K529" t="str">
        <f>IF($A529&lt;&gt;"",'All Cases - Enter Cases'!K529,"")</f>
        <v/>
      </c>
      <c r="L529" t="str">
        <f>IF($A529&lt;&gt;"",'All Cases - Enter Cases'!L529,"")</f>
        <v/>
      </c>
      <c r="M529" t="str">
        <f>IF($A529&lt;&gt;"",'All Cases - Enter Cases'!M529,"")</f>
        <v/>
      </c>
    </row>
    <row r="530" spans="1:13" x14ac:dyDescent="0.35">
      <c r="A530" t="str">
        <f>IF('All Cases - Enter Cases'!$F530="KPK",'All Cases - Enter Cases'!A530,"")</f>
        <v/>
      </c>
      <c r="B530" t="str">
        <f>IF($A530&lt;&gt;"",'All Cases - Enter Cases'!B530,"")</f>
        <v/>
      </c>
      <c r="C530" t="str">
        <f>IF($A530&lt;&gt;"",'All Cases - Enter Cases'!C530,"")</f>
        <v/>
      </c>
      <c r="D530" t="str">
        <f>IF($A530&lt;&gt;"",'All Cases - Enter Cases'!D530,"")</f>
        <v/>
      </c>
      <c r="E530" t="str">
        <f>IF($A530&lt;&gt;"",'All Cases - Enter Cases'!E530,"")</f>
        <v/>
      </c>
      <c r="F530" t="str">
        <f>IF($A530&lt;&gt;"",'All Cases - Enter Cases'!F530,"")</f>
        <v/>
      </c>
      <c r="G530" t="str">
        <f>IF($A530&lt;&gt;"",'All Cases - Enter Cases'!G530,"")</f>
        <v/>
      </c>
      <c r="H530" t="str">
        <f>IF($A530&lt;&gt;"",'All Cases - Enter Cases'!H530,"")</f>
        <v/>
      </c>
      <c r="I530" t="str">
        <f>IF($A530&lt;&gt;"",'All Cases - Enter Cases'!I530,"")</f>
        <v/>
      </c>
      <c r="J530" t="str">
        <f>IF($A530&lt;&gt;"",'All Cases - Enter Cases'!J530,"")</f>
        <v/>
      </c>
      <c r="K530" t="str">
        <f>IF($A530&lt;&gt;"",'All Cases - Enter Cases'!K530,"")</f>
        <v/>
      </c>
      <c r="L530" t="str">
        <f>IF($A530&lt;&gt;"",'All Cases - Enter Cases'!L530,"")</f>
        <v/>
      </c>
      <c r="M530" t="str">
        <f>IF($A530&lt;&gt;"",'All Cases - Enter Cases'!M530,"")</f>
        <v/>
      </c>
    </row>
    <row r="531" spans="1:13" x14ac:dyDescent="0.35">
      <c r="A531" t="str">
        <f>IF('All Cases - Enter Cases'!$F531="KPK",'All Cases - Enter Cases'!A531,"")</f>
        <v/>
      </c>
      <c r="B531" t="str">
        <f>IF($A531&lt;&gt;"",'All Cases - Enter Cases'!B531,"")</f>
        <v/>
      </c>
      <c r="C531" t="str">
        <f>IF($A531&lt;&gt;"",'All Cases - Enter Cases'!C531,"")</f>
        <v/>
      </c>
      <c r="D531" t="str">
        <f>IF($A531&lt;&gt;"",'All Cases - Enter Cases'!D531,"")</f>
        <v/>
      </c>
      <c r="E531" t="str">
        <f>IF($A531&lt;&gt;"",'All Cases - Enter Cases'!E531,"")</f>
        <v/>
      </c>
      <c r="F531" t="str">
        <f>IF($A531&lt;&gt;"",'All Cases - Enter Cases'!F531,"")</f>
        <v/>
      </c>
      <c r="G531" t="str">
        <f>IF($A531&lt;&gt;"",'All Cases - Enter Cases'!G531,"")</f>
        <v/>
      </c>
      <c r="H531" t="str">
        <f>IF($A531&lt;&gt;"",'All Cases - Enter Cases'!H531,"")</f>
        <v/>
      </c>
      <c r="I531" t="str">
        <f>IF($A531&lt;&gt;"",'All Cases - Enter Cases'!I531,"")</f>
        <v/>
      </c>
      <c r="J531" t="str">
        <f>IF($A531&lt;&gt;"",'All Cases - Enter Cases'!J531,"")</f>
        <v/>
      </c>
      <c r="K531" t="str">
        <f>IF($A531&lt;&gt;"",'All Cases - Enter Cases'!K531,"")</f>
        <v/>
      </c>
      <c r="L531" t="str">
        <f>IF($A531&lt;&gt;"",'All Cases - Enter Cases'!L531,"")</f>
        <v/>
      </c>
      <c r="M531" t="str">
        <f>IF($A531&lt;&gt;"",'All Cases - Enter Cases'!M531,"")</f>
        <v/>
      </c>
    </row>
    <row r="532" spans="1:13" x14ac:dyDescent="0.35">
      <c r="A532" t="str">
        <f>IF('All Cases - Enter Cases'!$F532="KPK",'All Cases - Enter Cases'!A532,"")</f>
        <v/>
      </c>
      <c r="B532" t="str">
        <f>IF($A532&lt;&gt;"",'All Cases - Enter Cases'!B532,"")</f>
        <v/>
      </c>
      <c r="C532" t="str">
        <f>IF($A532&lt;&gt;"",'All Cases - Enter Cases'!C532,"")</f>
        <v/>
      </c>
      <c r="D532" t="str">
        <f>IF($A532&lt;&gt;"",'All Cases - Enter Cases'!D532,"")</f>
        <v/>
      </c>
      <c r="E532" t="str">
        <f>IF($A532&lt;&gt;"",'All Cases - Enter Cases'!E532,"")</f>
        <v/>
      </c>
      <c r="F532" t="str">
        <f>IF($A532&lt;&gt;"",'All Cases - Enter Cases'!F532,"")</f>
        <v/>
      </c>
      <c r="G532" t="str">
        <f>IF($A532&lt;&gt;"",'All Cases - Enter Cases'!G532,"")</f>
        <v/>
      </c>
      <c r="H532" t="str">
        <f>IF($A532&lt;&gt;"",'All Cases - Enter Cases'!H532,"")</f>
        <v/>
      </c>
      <c r="I532" t="str">
        <f>IF($A532&lt;&gt;"",'All Cases - Enter Cases'!I532,"")</f>
        <v/>
      </c>
      <c r="J532" t="str">
        <f>IF($A532&lt;&gt;"",'All Cases - Enter Cases'!J532,"")</f>
        <v/>
      </c>
      <c r="K532" t="str">
        <f>IF($A532&lt;&gt;"",'All Cases - Enter Cases'!K532,"")</f>
        <v/>
      </c>
      <c r="L532" t="str">
        <f>IF($A532&lt;&gt;"",'All Cases - Enter Cases'!L532,"")</f>
        <v/>
      </c>
      <c r="M532" t="str">
        <f>IF($A532&lt;&gt;"",'All Cases - Enter Cases'!M532,"")</f>
        <v/>
      </c>
    </row>
    <row r="533" spans="1:13" x14ac:dyDescent="0.35">
      <c r="A533" t="str">
        <f>IF('All Cases - Enter Cases'!$F533="KPK",'All Cases - Enter Cases'!A533,"")</f>
        <v/>
      </c>
      <c r="B533" t="str">
        <f>IF($A533&lt;&gt;"",'All Cases - Enter Cases'!B533,"")</f>
        <v/>
      </c>
      <c r="C533" t="str">
        <f>IF($A533&lt;&gt;"",'All Cases - Enter Cases'!C533,"")</f>
        <v/>
      </c>
      <c r="D533" t="str">
        <f>IF($A533&lt;&gt;"",'All Cases - Enter Cases'!D533,"")</f>
        <v/>
      </c>
      <c r="E533" t="str">
        <f>IF($A533&lt;&gt;"",'All Cases - Enter Cases'!E533,"")</f>
        <v/>
      </c>
      <c r="F533" t="str">
        <f>IF($A533&lt;&gt;"",'All Cases - Enter Cases'!F533,"")</f>
        <v/>
      </c>
      <c r="G533" t="str">
        <f>IF($A533&lt;&gt;"",'All Cases - Enter Cases'!G533,"")</f>
        <v/>
      </c>
      <c r="H533" t="str">
        <f>IF($A533&lt;&gt;"",'All Cases - Enter Cases'!H533,"")</f>
        <v/>
      </c>
      <c r="I533" t="str">
        <f>IF($A533&lt;&gt;"",'All Cases - Enter Cases'!I533,"")</f>
        <v/>
      </c>
      <c r="J533" t="str">
        <f>IF($A533&lt;&gt;"",'All Cases - Enter Cases'!J533,"")</f>
        <v/>
      </c>
      <c r="K533" t="str">
        <f>IF($A533&lt;&gt;"",'All Cases - Enter Cases'!K533,"")</f>
        <v/>
      </c>
      <c r="L533" t="str">
        <f>IF($A533&lt;&gt;"",'All Cases - Enter Cases'!L533,"")</f>
        <v/>
      </c>
      <c r="M533" t="str">
        <f>IF($A533&lt;&gt;"",'All Cases - Enter Cases'!M533,"")</f>
        <v/>
      </c>
    </row>
    <row r="534" spans="1:13" x14ac:dyDescent="0.35">
      <c r="A534" t="str">
        <f>IF('All Cases - Enter Cases'!$F534="KPK",'All Cases - Enter Cases'!A534,"")</f>
        <v/>
      </c>
      <c r="B534" t="str">
        <f>IF($A534&lt;&gt;"",'All Cases - Enter Cases'!B534,"")</f>
        <v/>
      </c>
      <c r="C534" t="str">
        <f>IF($A534&lt;&gt;"",'All Cases - Enter Cases'!C534,"")</f>
        <v/>
      </c>
      <c r="D534" t="str">
        <f>IF($A534&lt;&gt;"",'All Cases - Enter Cases'!D534,"")</f>
        <v/>
      </c>
      <c r="E534" t="str">
        <f>IF($A534&lt;&gt;"",'All Cases - Enter Cases'!E534,"")</f>
        <v/>
      </c>
      <c r="F534" t="str">
        <f>IF($A534&lt;&gt;"",'All Cases - Enter Cases'!F534,"")</f>
        <v/>
      </c>
      <c r="G534" t="str">
        <f>IF($A534&lt;&gt;"",'All Cases - Enter Cases'!G534,"")</f>
        <v/>
      </c>
      <c r="H534" t="str">
        <f>IF($A534&lt;&gt;"",'All Cases - Enter Cases'!H534,"")</f>
        <v/>
      </c>
      <c r="I534" t="str">
        <f>IF($A534&lt;&gt;"",'All Cases - Enter Cases'!I534,"")</f>
        <v/>
      </c>
      <c r="J534" t="str">
        <f>IF($A534&lt;&gt;"",'All Cases - Enter Cases'!J534,"")</f>
        <v/>
      </c>
      <c r="K534" t="str">
        <f>IF($A534&lt;&gt;"",'All Cases - Enter Cases'!K534,"")</f>
        <v/>
      </c>
      <c r="L534" t="str">
        <f>IF($A534&lt;&gt;"",'All Cases - Enter Cases'!L534,"")</f>
        <v/>
      </c>
      <c r="M534" t="str">
        <f>IF($A534&lt;&gt;"",'All Cases - Enter Cases'!M534,"")</f>
        <v/>
      </c>
    </row>
    <row r="535" spans="1:13" x14ac:dyDescent="0.35">
      <c r="A535" t="str">
        <f>IF('All Cases - Enter Cases'!$F535="KPK",'All Cases - Enter Cases'!A535,"")</f>
        <v/>
      </c>
      <c r="B535" t="str">
        <f>IF($A535&lt;&gt;"",'All Cases - Enter Cases'!B535,"")</f>
        <v/>
      </c>
      <c r="C535" t="str">
        <f>IF($A535&lt;&gt;"",'All Cases - Enter Cases'!C535,"")</f>
        <v/>
      </c>
      <c r="D535" t="str">
        <f>IF($A535&lt;&gt;"",'All Cases - Enter Cases'!D535,"")</f>
        <v/>
      </c>
      <c r="E535" t="str">
        <f>IF($A535&lt;&gt;"",'All Cases - Enter Cases'!E535,"")</f>
        <v/>
      </c>
      <c r="F535" t="str">
        <f>IF($A535&lt;&gt;"",'All Cases - Enter Cases'!F535,"")</f>
        <v/>
      </c>
      <c r="G535" t="str">
        <f>IF($A535&lt;&gt;"",'All Cases - Enter Cases'!G535,"")</f>
        <v/>
      </c>
      <c r="H535" t="str">
        <f>IF($A535&lt;&gt;"",'All Cases - Enter Cases'!H535,"")</f>
        <v/>
      </c>
      <c r="I535" t="str">
        <f>IF($A535&lt;&gt;"",'All Cases - Enter Cases'!I535,"")</f>
        <v/>
      </c>
      <c r="J535" t="str">
        <f>IF($A535&lt;&gt;"",'All Cases - Enter Cases'!J535,"")</f>
        <v/>
      </c>
      <c r="K535" t="str">
        <f>IF($A535&lt;&gt;"",'All Cases - Enter Cases'!K535,"")</f>
        <v/>
      </c>
      <c r="L535" t="str">
        <f>IF($A535&lt;&gt;"",'All Cases - Enter Cases'!L535,"")</f>
        <v/>
      </c>
      <c r="M535" t="str">
        <f>IF($A535&lt;&gt;"",'All Cases - Enter Cases'!M535,"")</f>
        <v/>
      </c>
    </row>
    <row r="536" spans="1:13" x14ac:dyDescent="0.35">
      <c r="A536" t="str">
        <f>IF('All Cases - Enter Cases'!$F536="KPK",'All Cases - Enter Cases'!A536,"")</f>
        <v/>
      </c>
      <c r="B536" t="str">
        <f>IF($A536&lt;&gt;"",'All Cases - Enter Cases'!B536,"")</f>
        <v/>
      </c>
      <c r="C536" t="str">
        <f>IF($A536&lt;&gt;"",'All Cases - Enter Cases'!C536,"")</f>
        <v/>
      </c>
      <c r="D536" t="str">
        <f>IF($A536&lt;&gt;"",'All Cases - Enter Cases'!D536,"")</f>
        <v/>
      </c>
      <c r="E536" t="str">
        <f>IF($A536&lt;&gt;"",'All Cases - Enter Cases'!E536,"")</f>
        <v/>
      </c>
      <c r="F536" t="str">
        <f>IF($A536&lt;&gt;"",'All Cases - Enter Cases'!F536,"")</f>
        <v/>
      </c>
      <c r="G536" t="str">
        <f>IF($A536&lt;&gt;"",'All Cases - Enter Cases'!G536,"")</f>
        <v/>
      </c>
      <c r="H536" t="str">
        <f>IF($A536&lt;&gt;"",'All Cases - Enter Cases'!H536,"")</f>
        <v/>
      </c>
      <c r="I536" t="str">
        <f>IF($A536&lt;&gt;"",'All Cases - Enter Cases'!I536,"")</f>
        <v/>
      </c>
      <c r="J536" t="str">
        <f>IF($A536&lt;&gt;"",'All Cases - Enter Cases'!J536,"")</f>
        <v/>
      </c>
      <c r="K536" t="str">
        <f>IF($A536&lt;&gt;"",'All Cases - Enter Cases'!K536,"")</f>
        <v/>
      </c>
      <c r="L536" t="str">
        <f>IF($A536&lt;&gt;"",'All Cases - Enter Cases'!L536,"")</f>
        <v/>
      </c>
      <c r="M536" t="str">
        <f>IF($A536&lt;&gt;"",'All Cases - Enter Cases'!M536,"")</f>
        <v/>
      </c>
    </row>
    <row r="537" spans="1:13" x14ac:dyDescent="0.35">
      <c r="A537" t="str">
        <f>IF('All Cases - Enter Cases'!$F537="KPK",'All Cases - Enter Cases'!A537,"")</f>
        <v/>
      </c>
      <c r="B537" t="str">
        <f>IF($A537&lt;&gt;"",'All Cases - Enter Cases'!B537,"")</f>
        <v/>
      </c>
      <c r="C537" t="str">
        <f>IF($A537&lt;&gt;"",'All Cases - Enter Cases'!C537,"")</f>
        <v/>
      </c>
      <c r="D537" t="str">
        <f>IF($A537&lt;&gt;"",'All Cases - Enter Cases'!D537,"")</f>
        <v/>
      </c>
      <c r="E537" t="str">
        <f>IF($A537&lt;&gt;"",'All Cases - Enter Cases'!E537,"")</f>
        <v/>
      </c>
      <c r="F537" t="str">
        <f>IF($A537&lt;&gt;"",'All Cases - Enter Cases'!F537,"")</f>
        <v/>
      </c>
      <c r="G537" t="str">
        <f>IF($A537&lt;&gt;"",'All Cases - Enter Cases'!G537,"")</f>
        <v/>
      </c>
      <c r="H537" t="str">
        <f>IF($A537&lt;&gt;"",'All Cases - Enter Cases'!H537,"")</f>
        <v/>
      </c>
      <c r="I537" t="str">
        <f>IF($A537&lt;&gt;"",'All Cases - Enter Cases'!I537,"")</f>
        <v/>
      </c>
      <c r="J537" t="str">
        <f>IF($A537&lt;&gt;"",'All Cases - Enter Cases'!J537,"")</f>
        <v/>
      </c>
      <c r="K537" t="str">
        <f>IF($A537&lt;&gt;"",'All Cases - Enter Cases'!K537,"")</f>
        <v/>
      </c>
      <c r="L537" t="str">
        <f>IF($A537&lt;&gt;"",'All Cases - Enter Cases'!L537,"")</f>
        <v/>
      </c>
      <c r="M537" t="str">
        <f>IF($A537&lt;&gt;"",'All Cases - Enter Cases'!M537,"")</f>
        <v/>
      </c>
    </row>
    <row r="538" spans="1:13" x14ac:dyDescent="0.35">
      <c r="A538" t="str">
        <f>IF('All Cases - Enter Cases'!$F538="KPK",'All Cases - Enter Cases'!A538,"")</f>
        <v/>
      </c>
      <c r="B538" t="str">
        <f>IF($A538&lt;&gt;"",'All Cases - Enter Cases'!B538,"")</f>
        <v/>
      </c>
      <c r="C538" t="str">
        <f>IF($A538&lt;&gt;"",'All Cases - Enter Cases'!C538,"")</f>
        <v/>
      </c>
      <c r="D538" t="str">
        <f>IF($A538&lt;&gt;"",'All Cases - Enter Cases'!D538,"")</f>
        <v/>
      </c>
      <c r="E538" t="str">
        <f>IF($A538&lt;&gt;"",'All Cases - Enter Cases'!E538,"")</f>
        <v/>
      </c>
      <c r="F538" t="str">
        <f>IF($A538&lt;&gt;"",'All Cases - Enter Cases'!F538,"")</f>
        <v/>
      </c>
      <c r="G538" t="str">
        <f>IF($A538&lt;&gt;"",'All Cases - Enter Cases'!G538,"")</f>
        <v/>
      </c>
      <c r="H538" t="str">
        <f>IF($A538&lt;&gt;"",'All Cases - Enter Cases'!H538,"")</f>
        <v/>
      </c>
      <c r="I538" t="str">
        <f>IF($A538&lt;&gt;"",'All Cases - Enter Cases'!I538,"")</f>
        <v/>
      </c>
      <c r="J538" t="str">
        <f>IF($A538&lt;&gt;"",'All Cases - Enter Cases'!J538,"")</f>
        <v/>
      </c>
      <c r="K538" t="str">
        <f>IF($A538&lt;&gt;"",'All Cases - Enter Cases'!K538,"")</f>
        <v/>
      </c>
      <c r="L538" t="str">
        <f>IF($A538&lt;&gt;"",'All Cases - Enter Cases'!L538,"")</f>
        <v/>
      </c>
      <c r="M538" t="str">
        <f>IF($A538&lt;&gt;"",'All Cases - Enter Cases'!M538,"")</f>
        <v/>
      </c>
    </row>
    <row r="539" spans="1:13" x14ac:dyDescent="0.35">
      <c r="A539" t="str">
        <f>IF('All Cases - Enter Cases'!$F539="KPK",'All Cases - Enter Cases'!A539,"")</f>
        <v/>
      </c>
      <c r="B539" t="str">
        <f>IF($A539&lt;&gt;"",'All Cases - Enter Cases'!B539,"")</f>
        <v/>
      </c>
      <c r="C539" t="str">
        <f>IF($A539&lt;&gt;"",'All Cases - Enter Cases'!C539,"")</f>
        <v/>
      </c>
      <c r="D539" t="str">
        <f>IF($A539&lt;&gt;"",'All Cases - Enter Cases'!D539,"")</f>
        <v/>
      </c>
      <c r="E539" t="str">
        <f>IF($A539&lt;&gt;"",'All Cases - Enter Cases'!E539,"")</f>
        <v/>
      </c>
      <c r="F539" t="str">
        <f>IF($A539&lt;&gt;"",'All Cases - Enter Cases'!F539,"")</f>
        <v/>
      </c>
      <c r="G539" t="str">
        <f>IF($A539&lt;&gt;"",'All Cases - Enter Cases'!G539,"")</f>
        <v/>
      </c>
      <c r="H539" t="str">
        <f>IF($A539&lt;&gt;"",'All Cases - Enter Cases'!H539,"")</f>
        <v/>
      </c>
      <c r="I539" t="str">
        <f>IF($A539&lt;&gt;"",'All Cases - Enter Cases'!I539,"")</f>
        <v/>
      </c>
      <c r="J539" t="str">
        <f>IF($A539&lt;&gt;"",'All Cases - Enter Cases'!J539,"")</f>
        <v/>
      </c>
      <c r="K539" t="str">
        <f>IF($A539&lt;&gt;"",'All Cases - Enter Cases'!K539,"")</f>
        <v/>
      </c>
      <c r="L539" t="str">
        <f>IF($A539&lt;&gt;"",'All Cases - Enter Cases'!L539,"")</f>
        <v/>
      </c>
      <c r="M539" t="str">
        <f>IF($A539&lt;&gt;"",'All Cases - Enter Cases'!M539,"")</f>
        <v/>
      </c>
    </row>
    <row r="540" spans="1:13" x14ac:dyDescent="0.35">
      <c r="A540" t="str">
        <f>IF('All Cases - Enter Cases'!$F540="KPK",'All Cases - Enter Cases'!A540,"")</f>
        <v/>
      </c>
      <c r="B540" t="str">
        <f>IF($A540&lt;&gt;"",'All Cases - Enter Cases'!B540,"")</f>
        <v/>
      </c>
      <c r="C540" t="str">
        <f>IF($A540&lt;&gt;"",'All Cases - Enter Cases'!C540,"")</f>
        <v/>
      </c>
      <c r="D540" t="str">
        <f>IF($A540&lt;&gt;"",'All Cases - Enter Cases'!D540,"")</f>
        <v/>
      </c>
      <c r="E540" t="str">
        <f>IF($A540&lt;&gt;"",'All Cases - Enter Cases'!E540,"")</f>
        <v/>
      </c>
      <c r="F540" t="str">
        <f>IF($A540&lt;&gt;"",'All Cases - Enter Cases'!F540,"")</f>
        <v/>
      </c>
      <c r="G540" t="str">
        <f>IF($A540&lt;&gt;"",'All Cases - Enter Cases'!G540,"")</f>
        <v/>
      </c>
      <c r="H540" t="str">
        <f>IF($A540&lt;&gt;"",'All Cases - Enter Cases'!H540,"")</f>
        <v/>
      </c>
      <c r="I540" t="str">
        <f>IF($A540&lt;&gt;"",'All Cases - Enter Cases'!I540,"")</f>
        <v/>
      </c>
      <c r="J540" t="str">
        <f>IF($A540&lt;&gt;"",'All Cases - Enter Cases'!J540,"")</f>
        <v/>
      </c>
      <c r="K540" t="str">
        <f>IF($A540&lt;&gt;"",'All Cases - Enter Cases'!K540,"")</f>
        <v/>
      </c>
      <c r="L540" t="str">
        <f>IF($A540&lt;&gt;"",'All Cases - Enter Cases'!L540,"")</f>
        <v/>
      </c>
      <c r="M540" t="str">
        <f>IF($A540&lt;&gt;"",'All Cases - Enter Cases'!M540,"")</f>
        <v/>
      </c>
    </row>
    <row r="541" spans="1:13" x14ac:dyDescent="0.35">
      <c r="A541" t="str">
        <f>IF('All Cases - Enter Cases'!$F541="KPK",'All Cases - Enter Cases'!A541,"")</f>
        <v/>
      </c>
      <c r="B541" t="str">
        <f>IF($A541&lt;&gt;"",'All Cases - Enter Cases'!B541,"")</f>
        <v/>
      </c>
      <c r="C541" t="str">
        <f>IF($A541&lt;&gt;"",'All Cases - Enter Cases'!C541,"")</f>
        <v/>
      </c>
      <c r="D541" t="str">
        <f>IF($A541&lt;&gt;"",'All Cases - Enter Cases'!D541,"")</f>
        <v/>
      </c>
      <c r="E541" t="str">
        <f>IF($A541&lt;&gt;"",'All Cases - Enter Cases'!E541,"")</f>
        <v/>
      </c>
      <c r="F541" t="str">
        <f>IF($A541&lt;&gt;"",'All Cases - Enter Cases'!F541,"")</f>
        <v/>
      </c>
      <c r="G541" t="str">
        <f>IF($A541&lt;&gt;"",'All Cases - Enter Cases'!G541,"")</f>
        <v/>
      </c>
      <c r="H541" t="str">
        <f>IF($A541&lt;&gt;"",'All Cases - Enter Cases'!H541,"")</f>
        <v/>
      </c>
      <c r="I541" t="str">
        <f>IF($A541&lt;&gt;"",'All Cases - Enter Cases'!I541,"")</f>
        <v/>
      </c>
      <c r="J541" t="str">
        <f>IF($A541&lt;&gt;"",'All Cases - Enter Cases'!J541,"")</f>
        <v/>
      </c>
      <c r="K541" t="str">
        <f>IF($A541&lt;&gt;"",'All Cases - Enter Cases'!K541,"")</f>
        <v/>
      </c>
      <c r="L541" t="str">
        <f>IF($A541&lt;&gt;"",'All Cases - Enter Cases'!L541,"")</f>
        <v/>
      </c>
      <c r="M541" t="str">
        <f>IF($A541&lt;&gt;"",'All Cases - Enter Cases'!M541,"")</f>
        <v/>
      </c>
    </row>
    <row r="542" spans="1:13" x14ac:dyDescent="0.35">
      <c r="A542" t="str">
        <f>IF('All Cases - Enter Cases'!$F542="KPK",'All Cases - Enter Cases'!A542,"")</f>
        <v/>
      </c>
      <c r="B542" t="str">
        <f>IF($A542&lt;&gt;"",'All Cases - Enter Cases'!B542,"")</f>
        <v/>
      </c>
      <c r="C542" t="str">
        <f>IF($A542&lt;&gt;"",'All Cases - Enter Cases'!C542,"")</f>
        <v/>
      </c>
      <c r="D542" t="str">
        <f>IF($A542&lt;&gt;"",'All Cases - Enter Cases'!D542,"")</f>
        <v/>
      </c>
      <c r="E542" t="str">
        <f>IF($A542&lt;&gt;"",'All Cases - Enter Cases'!E542,"")</f>
        <v/>
      </c>
      <c r="F542" t="str">
        <f>IF($A542&lt;&gt;"",'All Cases - Enter Cases'!F542,"")</f>
        <v/>
      </c>
      <c r="G542" t="str">
        <f>IF($A542&lt;&gt;"",'All Cases - Enter Cases'!G542,"")</f>
        <v/>
      </c>
      <c r="H542" t="str">
        <f>IF($A542&lt;&gt;"",'All Cases - Enter Cases'!H542,"")</f>
        <v/>
      </c>
      <c r="I542" t="str">
        <f>IF($A542&lt;&gt;"",'All Cases - Enter Cases'!I542,"")</f>
        <v/>
      </c>
      <c r="J542" t="str">
        <f>IF($A542&lt;&gt;"",'All Cases - Enter Cases'!J542,"")</f>
        <v/>
      </c>
      <c r="K542" t="str">
        <f>IF($A542&lt;&gt;"",'All Cases - Enter Cases'!K542,"")</f>
        <v/>
      </c>
      <c r="L542" t="str">
        <f>IF($A542&lt;&gt;"",'All Cases - Enter Cases'!L542,"")</f>
        <v/>
      </c>
      <c r="M542" t="str">
        <f>IF($A542&lt;&gt;"",'All Cases - Enter Cases'!M542,"")</f>
        <v/>
      </c>
    </row>
    <row r="543" spans="1:13" x14ac:dyDescent="0.35">
      <c r="A543" t="str">
        <f>IF('All Cases - Enter Cases'!$F543="KPK",'All Cases - Enter Cases'!A543,"")</f>
        <v/>
      </c>
      <c r="B543" t="str">
        <f>IF($A543&lt;&gt;"",'All Cases - Enter Cases'!B543,"")</f>
        <v/>
      </c>
      <c r="C543" t="str">
        <f>IF($A543&lt;&gt;"",'All Cases - Enter Cases'!C543,"")</f>
        <v/>
      </c>
      <c r="D543" t="str">
        <f>IF($A543&lt;&gt;"",'All Cases - Enter Cases'!D543,"")</f>
        <v/>
      </c>
      <c r="E543" t="str">
        <f>IF($A543&lt;&gt;"",'All Cases - Enter Cases'!E543,"")</f>
        <v/>
      </c>
      <c r="F543" t="str">
        <f>IF($A543&lt;&gt;"",'All Cases - Enter Cases'!F543,"")</f>
        <v/>
      </c>
      <c r="G543" t="str">
        <f>IF($A543&lt;&gt;"",'All Cases - Enter Cases'!G543,"")</f>
        <v/>
      </c>
      <c r="H543" t="str">
        <f>IF($A543&lt;&gt;"",'All Cases - Enter Cases'!H543,"")</f>
        <v/>
      </c>
      <c r="I543" t="str">
        <f>IF($A543&lt;&gt;"",'All Cases - Enter Cases'!I543,"")</f>
        <v/>
      </c>
      <c r="J543" t="str">
        <f>IF($A543&lt;&gt;"",'All Cases - Enter Cases'!J543,"")</f>
        <v/>
      </c>
      <c r="K543" t="str">
        <f>IF($A543&lt;&gt;"",'All Cases - Enter Cases'!K543,"")</f>
        <v/>
      </c>
      <c r="L543" t="str">
        <f>IF($A543&lt;&gt;"",'All Cases - Enter Cases'!L543,"")</f>
        <v/>
      </c>
      <c r="M543" t="str">
        <f>IF($A543&lt;&gt;"",'All Cases - Enter Cases'!M543,"")</f>
        <v/>
      </c>
    </row>
    <row r="544" spans="1:13" x14ac:dyDescent="0.35">
      <c r="A544" t="str">
        <f>IF('All Cases - Enter Cases'!$F544="KPK",'All Cases - Enter Cases'!A544,"")</f>
        <v/>
      </c>
      <c r="B544" t="str">
        <f>IF($A544&lt;&gt;"",'All Cases - Enter Cases'!B544,"")</f>
        <v/>
      </c>
      <c r="C544" t="str">
        <f>IF($A544&lt;&gt;"",'All Cases - Enter Cases'!C544,"")</f>
        <v/>
      </c>
      <c r="D544" t="str">
        <f>IF($A544&lt;&gt;"",'All Cases - Enter Cases'!D544,"")</f>
        <v/>
      </c>
      <c r="E544" t="str">
        <f>IF($A544&lt;&gt;"",'All Cases - Enter Cases'!E544,"")</f>
        <v/>
      </c>
      <c r="F544" t="str">
        <f>IF($A544&lt;&gt;"",'All Cases - Enter Cases'!F544,"")</f>
        <v/>
      </c>
      <c r="G544" t="str">
        <f>IF($A544&lt;&gt;"",'All Cases - Enter Cases'!G544,"")</f>
        <v/>
      </c>
      <c r="H544" t="str">
        <f>IF($A544&lt;&gt;"",'All Cases - Enter Cases'!H544,"")</f>
        <v/>
      </c>
      <c r="I544" t="str">
        <f>IF($A544&lt;&gt;"",'All Cases - Enter Cases'!I544,"")</f>
        <v/>
      </c>
      <c r="J544" t="str">
        <f>IF($A544&lt;&gt;"",'All Cases - Enter Cases'!J544,"")</f>
        <v/>
      </c>
      <c r="K544" t="str">
        <f>IF($A544&lt;&gt;"",'All Cases - Enter Cases'!K544,"")</f>
        <v/>
      </c>
      <c r="L544" t="str">
        <f>IF($A544&lt;&gt;"",'All Cases - Enter Cases'!L544,"")</f>
        <v/>
      </c>
      <c r="M544" t="str">
        <f>IF($A544&lt;&gt;"",'All Cases - Enter Cases'!M544,"")</f>
        <v/>
      </c>
    </row>
    <row r="545" spans="1:13" x14ac:dyDescent="0.35">
      <c r="A545" t="str">
        <f>IF('All Cases - Enter Cases'!$F545="KPK",'All Cases - Enter Cases'!A545,"")</f>
        <v/>
      </c>
      <c r="B545" t="str">
        <f>IF($A545&lt;&gt;"",'All Cases - Enter Cases'!B545,"")</f>
        <v/>
      </c>
      <c r="C545" t="str">
        <f>IF($A545&lt;&gt;"",'All Cases - Enter Cases'!C545,"")</f>
        <v/>
      </c>
      <c r="D545" t="str">
        <f>IF($A545&lt;&gt;"",'All Cases - Enter Cases'!D545,"")</f>
        <v/>
      </c>
      <c r="E545" t="str">
        <f>IF($A545&lt;&gt;"",'All Cases - Enter Cases'!E545,"")</f>
        <v/>
      </c>
      <c r="F545" t="str">
        <f>IF($A545&lt;&gt;"",'All Cases - Enter Cases'!F545,"")</f>
        <v/>
      </c>
      <c r="G545" t="str">
        <f>IF($A545&lt;&gt;"",'All Cases - Enter Cases'!G545,"")</f>
        <v/>
      </c>
      <c r="H545" t="str">
        <f>IF($A545&lt;&gt;"",'All Cases - Enter Cases'!H545,"")</f>
        <v/>
      </c>
      <c r="I545" t="str">
        <f>IF($A545&lt;&gt;"",'All Cases - Enter Cases'!I545,"")</f>
        <v/>
      </c>
      <c r="J545" t="str">
        <f>IF($A545&lt;&gt;"",'All Cases - Enter Cases'!J545,"")</f>
        <v/>
      </c>
      <c r="K545" t="str">
        <f>IF($A545&lt;&gt;"",'All Cases - Enter Cases'!K545,"")</f>
        <v/>
      </c>
      <c r="L545" t="str">
        <f>IF($A545&lt;&gt;"",'All Cases - Enter Cases'!L545,"")</f>
        <v/>
      </c>
      <c r="M545" t="str">
        <f>IF($A545&lt;&gt;"",'All Cases - Enter Cases'!M545,"")</f>
        <v/>
      </c>
    </row>
    <row r="546" spans="1:13" x14ac:dyDescent="0.35">
      <c r="A546" t="str">
        <f>IF('All Cases - Enter Cases'!$F546="KPK",'All Cases - Enter Cases'!A546,"")</f>
        <v/>
      </c>
      <c r="B546" t="str">
        <f>IF($A546&lt;&gt;"",'All Cases - Enter Cases'!B546,"")</f>
        <v/>
      </c>
      <c r="C546" t="str">
        <f>IF($A546&lt;&gt;"",'All Cases - Enter Cases'!C546,"")</f>
        <v/>
      </c>
      <c r="D546" t="str">
        <f>IF($A546&lt;&gt;"",'All Cases - Enter Cases'!D546,"")</f>
        <v/>
      </c>
      <c r="E546" t="str">
        <f>IF($A546&lt;&gt;"",'All Cases - Enter Cases'!E546,"")</f>
        <v/>
      </c>
      <c r="F546" t="str">
        <f>IF($A546&lt;&gt;"",'All Cases - Enter Cases'!F546,"")</f>
        <v/>
      </c>
      <c r="G546" t="str">
        <f>IF($A546&lt;&gt;"",'All Cases - Enter Cases'!G546,"")</f>
        <v/>
      </c>
      <c r="H546" t="str">
        <f>IF($A546&lt;&gt;"",'All Cases - Enter Cases'!H546,"")</f>
        <v/>
      </c>
      <c r="I546" t="str">
        <f>IF($A546&lt;&gt;"",'All Cases - Enter Cases'!I546,"")</f>
        <v/>
      </c>
      <c r="J546" t="str">
        <f>IF($A546&lt;&gt;"",'All Cases - Enter Cases'!J546,"")</f>
        <v/>
      </c>
      <c r="K546" t="str">
        <f>IF($A546&lt;&gt;"",'All Cases - Enter Cases'!K546,"")</f>
        <v/>
      </c>
      <c r="L546" t="str">
        <f>IF($A546&lt;&gt;"",'All Cases - Enter Cases'!L546,"")</f>
        <v/>
      </c>
      <c r="M546" t="str">
        <f>IF($A546&lt;&gt;"",'All Cases - Enter Cases'!M546,"")</f>
        <v/>
      </c>
    </row>
    <row r="547" spans="1:13" x14ac:dyDescent="0.35">
      <c r="A547" t="str">
        <f>IF('All Cases - Enter Cases'!$F547="KPK",'All Cases - Enter Cases'!A547,"")</f>
        <v/>
      </c>
      <c r="B547" t="str">
        <f>IF($A547&lt;&gt;"",'All Cases - Enter Cases'!B547,"")</f>
        <v/>
      </c>
      <c r="C547" t="str">
        <f>IF($A547&lt;&gt;"",'All Cases - Enter Cases'!C547,"")</f>
        <v/>
      </c>
      <c r="D547" t="str">
        <f>IF($A547&lt;&gt;"",'All Cases - Enter Cases'!D547,"")</f>
        <v/>
      </c>
      <c r="E547" t="str">
        <f>IF($A547&lt;&gt;"",'All Cases - Enter Cases'!E547,"")</f>
        <v/>
      </c>
      <c r="F547" t="str">
        <f>IF($A547&lt;&gt;"",'All Cases - Enter Cases'!F547,"")</f>
        <v/>
      </c>
      <c r="G547" t="str">
        <f>IF($A547&lt;&gt;"",'All Cases - Enter Cases'!G547,"")</f>
        <v/>
      </c>
      <c r="H547" t="str">
        <f>IF($A547&lt;&gt;"",'All Cases - Enter Cases'!H547,"")</f>
        <v/>
      </c>
      <c r="I547" t="str">
        <f>IF($A547&lt;&gt;"",'All Cases - Enter Cases'!I547,"")</f>
        <v/>
      </c>
      <c r="J547" t="str">
        <f>IF($A547&lt;&gt;"",'All Cases - Enter Cases'!J547,"")</f>
        <v/>
      </c>
      <c r="K547" t="str">
        <f>IF($A547&lt;&gt;"",'All Cases - Enter Cases'!K547,"")</f>
        <v/>
      </c>
      <c r="L547" t="str">
        <f>IF($A547&lt;&gt;"",'All Cases - Enter Cases'!L547,"")</f>
        <v/>
      </c>
      <c r="M547" t="str">
        <f>IF($A547&lt;&gt;"",'All Cases - Enter Cases'!M547,"")</f>
        <v/>
      </c>
    </row>
    <row r="548" spans="1:13" x14ac:dyDescent="0.35">
      <c r="A548" t="str">
        <f>IF('All Cases - Enter Cases'!$F548="KPK",'All Cases - Enter Cases'!A548,"")</f>
        <v/>
      </c>
      <c r="B548" t="str">
        <f>IF($A548&lt;&gt;"",'All Cases - Enter Cases'!B548,"")</f>
        <v/>
      </c>
      <c r="C548" t="str">
        <f>IF($A548&lt;&gt;"",'All Cases - Enter Cases'!C548,"")</f>
        <v/>
      </c>
      <c r="D548" t="str">
        <f>IF($A548&lt;&gt;"",'All Cases - Enter Cases'!D548,"")</f>
        <v/>
      </c>
      <c r="E548" t="str">
        <f>IF($A548&lt;&gt;"",'All Cases - Enter Cases'!E548,"")</f>
        <v/>
      </c>
      <c r="F548" t="str">
        <f>IF($A548&lt;&gt;"",'All Cases - Enter Cases'!F548,"")</f>
        <v/>
      </c>
      <c r="G548" t="str">
        <f>IF($A548&lt;&gt;"",'All Cases - Enter Cases'!G548,"")</f>
        <v/>
      </c>
      <c r="H548" t="str">
        <f>IF($A548&lt;&gt;"",'All Cases - Enter Cases'!H548,"")</f>
        <v/>
      </c>
      <c r="I548" t="str">
        <f>IF($A548&lt;&gt;"",'All Cases - Enter Cases'!I548,"")</f>
        <v/>
      </c>
      <c r="J548" t="str">
        <f>IF($A548&lt;&gt;"",'All Cases - Enter Cases'!J548,"")</f>
        <v/>
      </c>
      <c r="K548" t="str">
        <f>IF($A548&lt;&gt;"",'All Cases - Enter Cases'!K548,"")</f>
        <v/>
      </c>
      <c r="L548" t="str">
        <f>IF($A548&lt;&gt;"",'All Cases - Enter Cases'!L548,"")</f>
        <v/>
      </c>
      <c r="M548" t="str">
        <f>IF($A548&lt;&gt;"",'All Cases - Enter Cases'!M548,"")</f>
        <v/>
      </c>
    </row>
    <row r="549" spans="1:13" x14ac:dyDescent="0.35">
      <c r="A549" t="str">
        <f>IF('All Cases - Enter Cases'!$F549="KPK",'All Cases - Enter Cases'!A549,"")</f>
        <v/>
      </c>
      <c r="B549" t="str">
        <f>IF($A549&lt;&gt;"",'All Cases - Enter Cases'!B549,"")</f>
        <v/>
      </c>
      <c r="C549" t="str">
        <f>IF($A549&lt;&gt;"",'All Cases - Enter Cases'!C549,"")</f>
        <v/>
      </c>
      <c r="D549" t="str">
        <f>IF($A549&lt;&gt;"",'All Cases - Enter Cases'!D549,"")</f>
        <v/>
      </c>
      <c r="E549" t="str">
        <f>IF($A549&lt;&gt;"",'All Cases - Enter Cases'!E549,"")</f>
        <v/>
      </c>
      <c r="F549" t="str">
        <f>IF($A549&lt;&gt;"",'All Cases - Enter Cases'!F549,"")</f>
        <v/>
      </c>
      <c r="G549" t="str">
        <f>IF($A549&lt;&gt;"",'All Cases - Enter Cases'!G549,"")</f>
        <v/>
      </c>
      <c r="H549" t="str">
        <f>IF($A549&lt;&gt;"",'All Cases - Enter Cases'!H549,"")</f>
        <v/>
      </c>
      <c r="I549" t="str">
        <f>IF($A549&lt;&gt;"",'All Cases - Enter Cases'!I549,"")</f>
        <v/>
      </c>
      <c r="J549" t="str">
        <f>IF($A549&lt;&gt;"",'All Cases - Enter Cases'!J549,"")</f>
        <v/>
      </c>
      <c r="K549" t="str">
        <f>IF($A549&lt;&gt;"",'All Cases - Enter Cases'!K549,"")</f>
        <v/>
      </c>
      <c r="L549" t="str">
        <f>IF($A549&lt;&gt;"",'All Cases - Enter Cases'!L549,"")</f>
        <v/>
      </c>
      <c r="M549" t="str">
        <f>IF($A549&lt;&gt;"",'All Cases - Enter Cases'!M549,"")</f>
        <v/>
      </c>
    </row>
    <row r="550" spans="1:13" x14ac:dyDescent="0.35">
      <c r="A550" t="str">
        <f>IF('All Cases - Enter Cases'!$F550="KPK",'All Cases - Enter Cases'!A550,"")</f>
        <v/>
      </c>
      <c r="B550" t="str">
        <f>IF($A550&lt;&gt;"",'All Cases - Enter Cases'!B550,"")</f>
        <v/>
      </c>
      <c r="C550" t="str">
        <f>IF($A550&lt;&gt;"",'All Cases - Enter Cases'!C550,"")</f>
        <v/>
      </c>
      <c r="D550" t="str">
        <f>IF($A550&lt;&gt;"",'All Cases - Enter Cases'!D550,"")</f>
        <v/>
      </c>
      <c r="E550" t="str">
        <f>IF($A550&lt;&gt;"",'All Cases - Enter Cases'!E550,"")</f>
        <v/>
      </c>
      <c r="F550" t="str">
        <f>IF($A550&lt;&gt;"",'All Cases - Enter Cases'!F550,"")</f>
        <v/>
      </c>
      <c r="G550" t="str">
        <f>IF($A550&lt;&gt;"",'All Cases - Enter Cases'!G550,"")</f>
        <v/>
      </c>
      <c r="H550" t="str">
        <f>IF($A550&lt;&gt;"",'All Cases - Enter Cases'!H550,"")</f>
        <v/>
      </c>
      <c r="I550" t="str">
        <f>IF($A550&lt;&gt;"",'All Cases - Enter Cases'!I550,"")</f>
        <v/>
      </c>
      <c r="J550" t="str">
        <f>IF($A550&lt;&gt;"",'All Cases - Enter Cases'!J550,"")</f>
        <v/>
      </c>
      <c r="K550" t="str">
        <f>IF($A550&lt;&gt;"",'All Cases - Enter Cases'!K550,"")</f>
        <v/>
      </c>
      <c r="L550" t="str">
        <f>IF($A550&lt;&gt;"",'All Cases - Enter Cases'!L550,"")</f>
        <v/>
      </c>
      <c r="M550" t="str">
        <f>IF($A550&lt;&gt;"",'All Cases - Enter Cases'!M550,"")</f>
        <v/>
      </c>
    </row>
    <row r="551" spans="1:13" x14ac:dyDescent="0.35">
      <c r="A551" t="str">
        <f>IF('All Cases - Enter Cases'!$F551="KPK",'All Cases - Enter Cases'!A551,"")</f>
        <v/>
      </c>
      <c r="B551" t="str">
        <f>IF($A551&lt;&gt;"",'All Cases - Enter Cases'!B551,"")</f>
        <v/>
      </c>
      <c r="C551" t="str">
        <f>IF($A551&lt;&gt;"",'All Cases - Enter Cases'!C551,"")</f>
        <v/>
      </c>
      <c r="D551" t="str">
        <f>IF($A551&lt;&gt;"",'All Cases - Enter Cases'!D551,"")</f>
        <v/>
      </c>
      <c r="E551" t="str">
        <f>IF($A551&lt;&gt;"",'All Cases - Enter Cases'!E551,"")</f>
        <v/>
      </c>
      <c r="F551" t="str">
        <f>IF($A551&lt;&gt;"",'All Cases - Enter Cases'!F551,"")</f>
        <v/>
      </c>
      <c r="G551" t="str">
        <f>IF($A551&lt;&gt;"",'All Cases - Enter Cases'!G551,"")</f>
        <v/>
      </c>
      <c r="H551" t="str">
        <f>IF($A551&lt;&gt;"",'All Cases - Enter Cases'!H551,"")</f>
        <v/>
      </c>
      <c r="I551" t="str">
        <f>IF($A551&lt;&gt;"",'All Cases - Enter Cases'!I551,"")</f>
        <v/>
      </c>
      <c r="J551" t="str">
        <f>IF($A551&lt;&gt;"",'All Cases - Enter Cases'!J551,"")</f>
        <v/>
      </c>
      <c r="K551" t="str">
        <f>IF($A551&lt;&gt;"",'All Cases - Enter Cases'!K551,"")</f>
        <v/>
      </c>
      <c r="L551" t="str">
        <f>IF($A551&lt;&gt;"",'All Cases - Enter Cases'!L551,"")</f>
        <v/>
      </c>
      <c r="M551" t="str">
        <f>IF($A551&lt;&gt;"",'All Cases - Enter Cases'!M551,"")</f>
        <v/>
      </c>
    </row>
    <row r="552" spans="1:13" x14ac:dyDescent="0.35">
      <c r="A552" t="str">
        <f>IF('All Cases - Enter Cases'!$F552="KPK",'All Cases - Enter Cases'!A552,"")</f>
        <v/>
      </c>
      <c r="B552" t="str">
        <f>IF($A552&lt;&gt;"",'All Cases - Enter Cases'!B552,"")</f>
        <v/>
      </c>
      <c r="C552" t="str">
        <f>IF($A552&lt;&gt;"",'All Cases - Enter Cases'!C552,"")</f>
        <v/>
      </c>
      <c r="D552" t="str">
        <f>IF($A552&lt;&gt;"",'All Cases - Enter Cases'!D552,"")</f>
        <v/>
      </c>
      <c r="E552" t="str">
        <f>IF($A552&lt;&gt;"",'All Cases - Enter Cases'!E552,"")</f>
        <v/>
      </c>
      <c r="F552" t="str">
        <f>IF($A552&lt;&gt;"",'All Cases - Enter Cases'!F552,"")</f>
        <v/>
      </c>
      <c r="G552" t="str">
        <f>IF($A552&lt;&gt;"",'All Cases - Enter Cases'!G552,"")</f>
        <v/>
      </c>
      <c r="H552" t="str">
        <f>IF($A552&lt;&gt;"",'All Cases - Enter Cases'!H552,"")</f>
        <v/>
      </c>
      <c r="I552" t="str">
        <f>IF($A552&lt;&gt;"",'All Cases - Enter Cases'!I552,"")</f>
        <v/>
      </c>
      <c r="J552" t="str">
        <f>IF($A552&lt;&gt;"",'All Cases - Enter Cases'!J552,"")</f>
        <v/>
      </c>
      <c r="K552" t="str">
        <f>IF($A552&lt;&gt;"",'All Cases - Enter Cases'!K552,"")</f>
        <v/>
      </c>
      <c r="L552" t="str">
        <f>IF($A552&lt;&gt;"",'All Cases - Enter Cases'!L552,"")</f>
        <v/>
      </c>
      <c r="M552" t="str">
        <f>IF($A552&lt;&gt;"",'All Cases - Enter Cases'!M552,"")</f>
        <v/>
      </c>
    </row>
    <row r="553" spans="1:13" x14ac:dyDescent="0.35">
      <c r="A553" t="str">
        <f>IF('All Cases - Enter Cases'!$F553="KPK",'All Cases - Enter Cases'!A553,"")</f>
        <v/>
      </c>
      <c r="B553" t="str">
        <f>IF($A553&lt;&gt;"",'All Cases - Enter Cases'!B553,"")</f>
        <v/>
      </c>
      <c r="C553" t="str">
        <f>IF($A553&lt;&gt;"",'All Cases - Enter Cases'!C553,"")</f>
        <v/>
      </c>
      <c r="D553" t="str">
        <f>IF($A553&lt;&gt;"",'All Cases - Enter Cases'!D553,"")</f>
        <v/>
      </c>
      <c r="E553" t="str">
        <f>IF($A553&lt;&gt;"",'All Cases - Enter Cases'!E553,"")</f>
        <v/>
      </c>
      <c r="F553" t="str">
        <f>IF($A553&lt;&gt;"",'All Cases - Enter Cases'!F553,"")</f>
        <v/>
      </c>
      <c r="G553" t="str">
        <f>IF($A553&lt;&gt;"",'All Cases - Enter Cases'!G553,"")</f>
        <v/>
      </c>
      <c r="H553" t="str">
        <f>IF($A553&lt;&gt;"",'All Cases - Enter Cases'!H553,"")</f>
        <v/>
      </c>
      <c r="I553" t="str">
        <f>IF($A553&lt;&gt;"",'All Cases - Enter Cases'!I553,"")</f>
        <v/>
      </c>
      <c r="J553" t="str">
        <f>IF($A553&lt;&gt;"",'All Cases - Enter Cases'!J553,"")</f>
        <v/>
      </c>
      <c r="K553" t="str">
        <f>IF($A553&lt;&gt;"",'All Cases - Enter Cases'!K553,"")</f>
        <v/>
      </c>
      <c r="L553" t="str">
        <f>IF($A553&lt;&gt;"",'All Cases - Enter Cases'!L553,"")</f>
        <v/>
      </c>
      <c r="M553" t="str">
        <f>IF($A553&lt;&gt;"",'All Cases - Enter Cases'!M553,"")</f>
        <v/>
      </c>
    </row>
    <row r="554" spans="1:13" x14ac:dyDescent="0.35">
      <c r="A554" t="str">
        <f>IF('All Cases - Enter Cases'!$F554="KPK",'All Cases - Enter Cases'!A554,"")</f>
        <v/>
      </c>
      <c r="B554" t="str">
        <f>IF($A554&lt;&gt;"",'All Cases - Enter Cases'!B554,"")</f>
        <v/>
      </c>
      <c r="C554" t="str">
        <f>IF($A554&lt;&gt;"",'All Cases - Enter Cases'!C554,"")</f>
        <v/>
      </c>
      <c r="D554" t="str">
        <f>IF($A554&lt;&gt;"",'All Cases - Enter Cases'!D554,"")</f>
        <v/>
      </c>
      <c r="E554" t="str">
        <f>IF($A554&lt;&gt;"",'All Cases - Enter Cases'!E554,"")</f>
        <v/>
      </c>
      <c r="F554" t="str">
        <f>IF($A554&lt;&gt;"",'All Cases - Enter Cases'!F554,"")</f>
        <v/>
      </c>
      <c r="G554" t="str">
        <f>IF($A554&lt;&gt;"",'All Cases - Enter Cases'!G554,"")</f>
        <v/>
      </c>
      <c r="H554" t="str">
        <f>IF($A554&lt;&gt;"",'All Cases - Enter Cases'!H554,"")</f>
        <v/>
      </c>
      <c r="I554" t="str">
        <f>IF($A554&lt;&gt;"",'All Cases - Enter Cases'!I554,"")</f>
        <v/>
      </c>
      <c r="J554" t="str">
        <f>IF($A554&lt;&gt;"",'All Cases - Enter Cases'!J554,"")</f>
        <v/>
      </c>
      <c r="K554" t="str">
        <f>IF($A554&lt;&gt;"",'All Cases - Enter Cases'!K554,"")</f>
        <v/>
      </c>
      <c r="L554" t="str">
        <f>IF($A554&lt;&gt;"",'All Cases - Enter Cases'!L554,"")</f>
        <v/>
      </c>
      <c r="M554" t="str">
        <f>IF($A554&lt;&gt;"",'All Cases - Enter Cases'!M554,"")</f>
        <v/>
      </c>
    </row>
    <row r="555" spans="1:13" x14ac:dyDescent="0.35">
      <c r="A555" t="str">
        <f>IF('All Cases - Enter Cases'!$F555="KPK",'All Cases - Enter Cases'!A555,"")</f>
        <v/>
      </c>
      <c r="B555" t="str">
        <f>IF($A555&lt;&gt;"",'All Cases - Enter Cases'!B555,"")</f>
        <v/>
      </c>
      <c r="C555" t="str">
        <f>IF($A555&lt;&gt;"",'All Cases - Enter Cases'!C555,"")</f>
        <v/>
      </c>
      <c r="D555" t="str">
        <f>IF($A555&lt;&gt;"",'All Cases - Enter Cases'!D555,"")</f>
        <v/>
      </c>
      <c r="E555" t="str">
        <f>IF($A555&lt;&gt;"",'All Cases - Enter Cases'!E555,"")</f>
        <v/>
      </c>
      <c r="F555" t="str">
        <f>IF($A555&lt;&gt;"",'All Cases - Enter Cases'!F555,"")</f>
        <v/>
      </c>
      <c r="G555" t="str">
        <f>IF($A555&lt;&gt;"",'All Cases - Enter Cases'!G555,"")</f>
        <v/>
      </c>
      <c r="H555" t="str">
        <f>IF($A555&lt;&gt;"",'All Cases - Enter Cases'!H555,"")</f>
        <v/>
      </c>
      <c r="I555" t="str">
        <f>IF($A555&lt;&gt;"",'All Cases - Enter Cases'!I555,"")</f>
        <v/>
      </c>
      <c r="J555" t="str">
        <f>IF($A555&lt;&gt;"",'All Cases - Enter Cases'!J555,"")</f>
        <v/>
      </c>
      <c r="K555" t="str">
        <f>IF($A555&lt;&gt;"",'All Cases - Enter Cases'!K555,"")</f>
        <v/>
      </c>
      <c r="L555" t="str">
        <f>IF($A555&lt;&gt;"",'All Cases - Enter Cases'!L555,"")</f>
        <v/>
      </c>
      <c r="M555" t="str">
        <f>IF($A555&lt;&gt;"",'All Cases - Enter Cases'!M555,"")</f>
        <v/>
      </c>
    </row>
    <row r="556" spans="1:13" x14ac:dyDescent="0.35">
      <c r="A556" t="str">
        <f>IF('All Cases - Enter Cases'!$F556="KPK",'All Cases - Enter Cases'!A556,"")</f>
        <v/>
      </c>
      <c r="B556" t="str">
        <f>IF($A556&lt;&gt;"",'All Cases - Enter Cases'!B556,"")</f>
        <v/>
      </c>
      <c r="C556" t="str">
        <f>IF($A556&lt;&gt;"",'All Cases - Enter Cases'!C556,"")</f>
        <v/>
      </c>
      <c r="D556" t="str">
        <f>IF($A556&lt;&gt;"",'All Cases - Enter Cases'!D556,"")</f>
        <v/>
      </c>
      <c r="E556" t="str">
        <f>IF($A556&lt;&gt;"",'All Cases - Enter Cases'!E556,"")</f>
        <v/>
      </c>
      <c r="F556" t="str">
        <f>IF($A556&lt;&gt;"",'All Cases - Enter Cases'!F556,"")</f>
        <v/>
      </c>
      <c r="G556" t="str">
        <f>IF($A556&lt;&gt;"",'All Cases - Enter Cases'!G556,"")</f>
        <v/>
      </c>
      <c r="H556" t="str">
        <f>IF($A556&lt;&gt;"",'All Cases - Enter Cases'!H556,"")</f>
        <v/>
      </c>
      <c r="I556" t="str">
        <f>IF($A556&lt;&gt;"",'All Cases - Enter Cases'!I556,"")</f>
        <v/>
      </c>
      <c r="J556" t="str">
        <f>IF($A556&lt;&gt;"",'All Cases - Enter Cases'!J556,"")</f>
        <v/>
      </c>
      <c r="K556" t="str">
        <f>IF($A556&lt;&gt;"",'All Cases - Enter Cases'!K556,"")</f>
        <v/>
      </c>
      <c r="L556" t="str">
        <f>IF($A556&lt;&gt;"",'All Cases - Enter Cases'!L556,"")</f>
        <v/>
      </c>
      <c r="M556" t="str">
        <f>IF($A556&lt;&gt;"",'All Cases - Enter Cases'!M556,"")</f>
        <v/>
      </c>
    </row>
    <row r="557" spans="1:13" x14ac:dyDescent="0.35">
      <c r="A557" t="str">
        <f>IF('All Cases - Enter Cases'!$F557="KPK",'All Cases - Enter Cases'!A557,"")</f>
        <v/>
      </c>
      <c r="B557" t="str">
        <f>IF($A557&lt;&gt;"",'All Cases - Enter Cases'!B557,"")</f>
        <v/>
      </c>
      <c r="C557" t="str">
        <f>IF($A557&lt;&gt;"",'All Cases - Enter Cases'!C557,"")</f>
        <v/>
      </c>
      <c r="D557" t="str">
        <f>IF($A557&lt;&gt;"",'All Cases - Enter Cases'!D557,"")</f>
        <v/>
      </c>
      <c r="E557" t="str">
        <f>IF($A557&lt;&gt;"",'All Cases - Enter Cases'!E557,"")</f>
        <v/>
      </c>
      <c r="F557" t="str">
        <f>IF($A557&lt;&gt;"",'All Cases - Enter Cases'!F557,"")</f>
        <v/>
      </c>
      <c r="G557" t="str">
        <f>IF($A557&lt;&gt;"",'All Cases - Enter Cases'!G557,"")</f>
        <v/>
      </c>
      <c r="H557" t="str">
        <f>IF($A557&lt;&gt;"",'All Cases - Enter Cases'!H557,"")</f>
        <v/>
      </c>
      <c r="I557" t="str">
        <f>IF($A557&lt;&gt;"",'All Cases - Enter Cases'!I557,"")</f>
        <v/>
      </c>
      <c r="J557" t="str">
        <f>IF($A557&lt;&gt;"",'All Cases - Enter Cases'!J557,"")</f>
        <v/>
      </c>
      <c r="K557" t="str">
        <f>IF($A557&lt;&gt;"",'All Cases - Enter Cases'!K557,"")</f>
        <v/>
      </c>
      <c r="L557" t="str">
        <f>IF($A557&lt;&gt;"",'All Cases - Enter Cases'!L557,"")</f>
        <v/>
      </c>
      <c r="M557" t="str">
        <f>IF($A557&lt;&gt;"",'All Cases - Enter Cases'!M557,"")</f>
        <v/>
      </c>
    </row>
    <row r="558" spans="1:13" x14ac:dyDescent="0.35">
      <c r="A558" t="str">
        <f>IF('All Cases - Enter Cases'!$F558="KPK",'All Cases - Enter Cases'!A558,"")</f>
        <v/>
      </c>
      <c r="B558" t="str">
        <f>IF($A558&lt;&gt;"",'All Cases - Enter Cases'!B558,"")</f>
        <v/>
      </c>
      <c r="C558" t="str">
        <f>IF($A558&lt;&gt;"",'All Cases - Enter Cases'!C558,"")</f>
        <v/>
      </c>
      <c r="D558" t="str">
        <f>IF($A558&lt;&gt;"",'All Cases - Enter Cases'!D558,"")</f>
        <v/>
      </c>
      <c r="E558" t="str">
        <f>IF($A558&lt;&gt;"",'All Cases - Enter Cases'!E558,"")</f>
        <v/>
      </c>
      <c r="F558" t="str">
        <f>IF($A558&lt;&gt;"",'All Cases - Enter Cases'!F558,"")</f>
        <v/>
      </c>
      <c r="G558" t="str">
        <f>IF($A558&lt;&gt;"",'All Cases - Enter Cases'!G558,"")</f>
        <v/>
      </c>
      <c r="H558" t="str">
        <f>IF($A558&lt;&gt;"",'All Cases - Enter Cases'!H558,"")</f>
        <v/>
      </c>
      <c r="I558" t="str">
        <f>IF($A558&lt;&gt;"",'All Cases - Enter Cases'!I558,"")</f>
        <v/>
      </c>
      <c r="J558" t="str">
        <f>IF($A558&lt;&gt;"",'All Cases - Enter Cases'!J558,"")</f>
        <v/>
      </c>
      <c r="K558" t="str">
        <f>IF($A558&lt;&gt;"",'All Cases - Enter Cases'!K558,"")</f>
        <v/>
      </c>
      <c r="L558" t="str">
        <f>IF($A558&lt;&gt;"",'All Cases - Enter Cases'!L558,"")</f>
        <v/>
      </c>
      <c r="M558" t="str">
        <f>IF($A558&lt;&gt;"",'All Cases - Enter Cases'!M558,"")</f>
        <v/>
      </c>
    </row>
    <row r="559" spans="1:13" x14ac:dyDescent="0.35">
      <c r="A559" t="str">
        <f>IF('All Cases - Enter Cases'!$F559="KPK",'All Cases - Enter Cases'!A559,"")</f>
        <v/>
      </c>
      <c r="B559" t="str">
        <f>IF($A559&lt;&gt;"",'All Cases - Enter Cases'!B559,"")</f>
        <v/>
      </c>
      <c r="C559" t="str">
        <f>IF($A559&lt;&gt;"",'All Cases - Enter Cases'!C559,"")</f>
        <v/>
      </c>
      <c r="D559" t="str">
        <f>IF($A559&lt;&gt;"",'All Cases - Enter Cases'!D559,"")</f>
        <v/>
      </c>
      <c r="E559" t="str">
        <f>IF($A559&lt;&gt;"",'All Cases - Enter Cases'!E559,"")</f>
        <v/>
      </c>
      <c r="F559" t="str">
        <f>IF($A559&lt;&gt;"",'All Cases - Enter Cases'!F559,"")</f>
        <v/>
      </c>
      <c r="G559" t="str">
        <f>IF($A559&lt;&gt;"",'All Cases - Enter Cases'!G559,"")</f>
        <v/>
      </c>
      <c r="H559" t="str">
        <f>IF($A559&lt;&gt;"",'All Cases - Enter Cases'!H559,"")</f>
        <v/>
      </c>
      <c r="I559" t="str">
        <f>IF($A559&lt;&gt;"",'All Cases - Enter Cases'!I559,"")</f>
        <v/>
      </c>
      <c r="J559" t="str">
        <f>IF($A559&lt;&gt;"",'All Cases - Enter Cases'!J559,"")</f>
        <v/>
      </c>
      <c r="K559" t="str">
        <f>IF($A559&lt;&gt;"",'All Cases - Enter Cases'!K559,"")</f>
        <v/>
      </c>
      <c r="L559" t="str">
        <f>IF($A559&lt;&gt;"",'All Cases - Enter Cases'!L559,"")</f>
        <v/>
      </c>
      <c r="M559" t="str">
        <f>IF($A559&lt;&gt;"",'All Cases - Enter Cases'!M559,"")</f>
        <v/>
      </c>
    </row>
    <row r="560" spans="1:13" x14ac:dyDescent="0.35">
      <c r="A560" t="str">
        <f>IF('All Cases - Enter Cases'!$F560="KPK",'All Cases - Enter Cases'!A560,"")</f>
        <v/>
      </c>
      <c r="B560" t="str">
        <f>IF($A560&lt;&gt;"",'All Cases - Enter Cases'!B560,"")</f>
        <v/>
      </c>
      <c r="C560" t="str">
        <f>IF($A560&lt;&gt;"",'All Cases - Enter Cases'!C560,"")</f>
        <v/>
      </c>
      <c r="D560" t="str">
        <f>IF($A560&lt;&gt;"",'All Cases - Enter Cases'!D560,"")</f>
        <v/>
      </c>
      <c r="E560" t="str">
        <f>IF($A560&lt;&gt;"",'All Cases - Enter Cases'!E560,"")</f>
        <v/>
      </c>
      <c r="F560" t="str">
        <f>IF($A560&lt;&gt;"",'All Cases - Enter Cases'!F560,"")</f>
        <v/>
      </c>
      <c r="G560" t="str">
        <f>IF($A560&lt;&gt;"",'All Cases - Enter Cases'!G560,"")</f>
        <v/>
      </c>
      <c r="H560" t="str">
        <f>IF($A560&lt;&gt;"",'All Cases - Enter Cases'!H560,"")</f>
        <v/>
      </c>
      <c r="I560" t="str">
        <f>IF($A560&lt;&gt;"",'All Cases - Enter Cases'!I560,"")</f>
        <v/>
      </c>
      <c r="J560" t="str">
        <f>IF($A560&lt;&gt;"",'All Cases - Enter Cases'!J560,"")</f>
        <v/>
      </c>
      <c r="K560" t="str">
        <f>IF($A560&lt;&gt;"",'All Cases - Enter Cases'!K560,"")</f>
        <v/>
      </c>
      <c r="L560" t="str">
        <f>IF($A560&lt;&gt;"",'All Cases - Enter Cases'!L560,"")</f>
        <v/>
      </c>
      <c r="M560" t="str">
        <f>IF($A560&lt;&gt;"",'All Cases - Enter Cases'!M560,"")</f>
        <v/>
      </c>
    </row>
    <row r="561" spans="1:13" x14ac:dyDescent="0.35">
      <c r="A561" t="str">
        <f>IF('All Cases - Enter Cases'!$F561="KPK",'All Cases - Enter Cases'!A561,"")</f>
        <v/>
      </c>
      <c r="B561" t="str">
        <f>IF($A561&lt;&gt;"",'All Cases - Enter Cases'!B561,"")</f>
        <v/>
      </c>
      <c r="C561" t="str">
        <f>IF($A561&lt;&gt;"",'All Cases - Enter Cases'!C561,"")</f>
        <v/>
      </c>
      <c r="D561" t="str">
        <f>IF($A561&lt;&gt;"",'All Cases - Enter Cases'!D561,"")</f>
        <v/>
      </c>
      <c r="E561" t="str">
        <f>IF($A561&lt;&gt;"",'All Cases - Enter Cases'!E561,"")</f>
        <v/>
      </c>
      <c r="F561" t="str">
        <f>IF($A561&lt;&gt;"",'All Cases - Enter Cases'!F561,"")</f>
        <v/>
      </c>
      <c r="G561" t="str">
        <f>IF($A561&lt;&gt;"",'All Cases - Enter Cases'!G561,"")</f>
        <v/>
      </c>
      <c r="H561" t="str">
        <f>IF($A561&lt;&gt;"",'All Cases - Enter Cases'!H561,"")</f>
        <v/>
      </c>
      <c r="I561" t="str">
        <f>IF($A561&lt;&gt;"",'All Cases - Enter Cases'!I561,"")</f>
        <v/>
      </c>
      <c r="J561" t="str">
        <f>IF($A561&lt;&gt;"",'All Cases - Enter Cases'!J561,"")</f>
        <v/>
      </c>
      <c r="K561" t="str">
        <f>IF($A561&lt;&gt;"",'All Cases - Enter Cases'!K561,"")</f>
        <v/>
      </c>
      <c r="L561" t="str">
        <f>IF($A561&lt;&gt;"",'All Cases - Enter Cases'!L561,"")</f>
        <v/>
      </c>
      <c r="M561" t="str">
        <f>IF($A561&lt;&gt;"",'All Cases - Enter Cases'!M561,"")</f>
        <v/>
      </c>
    </row>
    <row r="562" spans="1:13" x14ac:dyDescent="0.35">
      <c r="A562" t="str">
        <f>IF('All Cases - Enter Cases'!$F562="KPK",'All Cases - Enter Cases'!A562,"")</f>
        <v/>
      </c>
      <c r="B562" t="str">
        <f>IF($A562&lt;&gt;"",'All Cases - Enter Cases'!B562,"")</f>
        <v/>
      </c>
      <c r="C562" t="str">
        <f>IF($A562&lt;&gt;"",'All Cases - Enter Cases'!C562,"")</f>
        <v/>
      </c>
      <c r="D562" t="str">
        <f>IF($A562&lt;&gt;"",'All Cases - Enter Cases'!D562,"")</f>
        <v/>
      </c>
      <c r="E562" t="str">
        <f>IF($A562&lt;&gt;"",'All Cases - Enter Cases'!E562,"")</f>
        <v/>
      </c>
      <c r="F562" t="str">
        <f>IF($A562&lt;&gt;"",'All Cases - Enter Cases'!F562,"")</f>
        <v/>
      </c>
      <c r="G562" t="str">
        <f>IF($A562&lt;&gt;"",'All Cases - Enter Cases'!G562,"")</f>
        <v/>
      </c>
      <c r="H562" t="str">
        <f>IF($A562&lt;&gt;"",'All Cases - Enter Cases'!H562,"")</f>
        <v/>
      </c>
      <c r="I562" t="str">
        <f>IF($A562&lt;&gt;"",'All Cases - Enter Cases'!I562,"")</f>
        <v/>
      </c>
      <c r="J562" t="str">
        <f>IF($A562&lt;&gt;"",'All Cases - Enter Cases'!J562,"")</f>
        <v/>
      </c>
      <c r="K562" t="str">
        <f>IF($A562&lt;&gt;"",'All Cases - Enter Cases'!K562,"")</f>
        <v/>
      </c>
      <c r="L562" t="str">
        <f>IF($A562&lt;&gt;"",'All Cases - Enter Cases'!L562,"")</f>
        <v/>
      </c>
      <c r="M562" t="str">
        <f>IF($A562&lt;&gt;"",'All Cases - Enter Cases'!M562,"")</f>
        <v/>
      </c>
    </row>
    <row r="563" spans="1:13" x14ac:dyDescent="0.35">
      <c r="A563" t="str">
        <f>IF('All Cases - Enter Cases'!$F563="KPK",'All Cases - Enter Cases'!A563,"")</f>
        <v/>
      </c>
      <c r="B563" t="str">
        <f>IF($A563&lt;&gt;"",'All Cases - Enter Cases'!B563,"")</f>
        <v/>
      </c>
      <c r="C563" t="str">
        <f>IF($A563&lt;&gt;"",'All Cases - Enter Cases'!C563,"")</f>
        <v/>
      </c>
      <c r="D563" t="str">
        <f>IF($A563&lt;&gt;"",'All Cases - Enter Cases'!D563,"")</f>
        <v/>
      </c>
      <c r="E563" t="str">
        <f>IF($A563&lt;&gt;"",'All Cases - Enter Cases'!E563,"")</f>
        <v/>
      </c>
      <c r="F563" t="str">
        <f>IF($A563&lt;&gt;"",'All Cases - Enter Cases'!F563,"")</f>
        <v/>
      </c>
      <c r="G563" t="str">
        <f>IF($A563&lt;&gt;"",'All Cases - Enter Cases'!G563,"")</f>
        <v/>
      </c>
      <c r="H563" t="str">
        <f>IF($A563&lt;&gt;"",'All Cases - Enter Cases'!H563,"")</f>
        <v/>
      </c>
      <c r="I563" t="str">
        <f>IF($A563&lt;&gt;"",'All Cases - Enter Cases'!I563,"")</f>
        <v/>
      </c>
      <c r="J563" t="str">
        <f>IF($A563&lt;&gt;"",'All Cases - Enter Cases'!J563,"")</f>
        <v/>
      </c>
      <c r="K563" t="str">
        <f>IF($A563&lt;&gt;"",'All Cases - Enter Cases'!K563,"")</f>
        <v/>
      </c>
      <c r="L563" t="str">
        <f>IF($A563&lt;&gt;"",'All Cases - Enter Cases'!L563,"")</f>
        <v/>
      </c>
      <c r="M563" t="str">
        <f>IF($A563&lt;&gt;"",'All Cases - Enter Cases'!M563,"")</f>
        <v/>
      </c>
    </row>
    <row r="564" spans="1:13" x14ac:dyDescent="0.35">
      <c r="A564" t="str">
        <f>IF('All Cases - Enter Cases'!$F564="KPK",'All Cases - Enter Cases'!A564,"")</f>
        <v/>
      </c>
      <c r="B564" t="str">
        <f>IF($A564&lt;&gt;"",'All Cases - Enter Cases'!B564,"")</f>
        <v/>
      </c>
      <c r="C564" t="str">
        <f>IF($A564&lt;&gt;"",'All Cases - Enter Cases'!C564,"")</f>
        <v/>
      </c>
      <c r="D564" t="str">
        <f>IF($A564&lt;&gt;"",'All Cases - Enter Cases'!D564,"")</f>
        <v/>
      </c>
      <c r="E564" t="str">
        <f>IF($A564&lt;&gt;"",'All Cases - Enter Cases'!E564,"")</f>
        <v/>
      </c>
      <c r="F564" t="str">
        <f>IF($A564&lt;&gt;"",'All Cases - Enter Cases'!F564,"")</f>
        <v/>
      </c>
      <c r="G564" t="str">
        <f>IF($A564&lt;&gt;"",'All Cases - Enter Cases'!G564,"")</f>
        <v/>
      </c>
      <c r="H564" t="str">
        <f>IF($A564&lt;&gt;"",'All Cases - Enter Cases'!H564,"")</f>
        <v/>
      </c>
      <c r="I564" t="str">
        <f>IF($A564&lt;&gt;"",'All Cases - Enter Cases'!I564,"")</f>
        <v/>
      </c>
      <c r="J564" t="str">
        <f>IF($A564&lt;&gt;"",'All Cases - Enter Cases'!J564,"")</f>
        <v/>
      </c>
      <c r="K564" t="str">
        <f>IF($A564&lt;&gt;"",'All Cases - Enter Cases'!K564,"")</f>
        <v/>
      </c>
      <c r="L564" t="str">
        <f>IF($A564&lt;&gt;"",'All Cases - Enter Cases'!L564,"")</f>
        <v/>
      </c>
      <c r="M564" t="str">
        <f>IF($A564&lt;&gt;"",'All Cases - Enter Cases'!M564,"")</f>
        <v/>
      </c>
    </row>
    <row r="565" spans="1:13" x14ac:dyDescent="0.35">
      <c r="A565" t="str">
        <f>IF('All Cases - Enter Cases'!$F565="KPK",'All Cases - Enter Cases'!A565,"")</f>
        <v/>
      </c>
      <c r="B565" t="str">
        <f>IF($A565&lt;&gt;"",'All Cases - Enter Cases'!B565,"")</f>
        <v/>
      </c>
      <c r="C565" t="str">
        <f>IF($A565&lt;&gt;"",'All Cases - Enter Cases'!C565,"")</f>
        <v/>
      </c>
      <c r="D565" t="str">
        <f>IF($A565&lt;&gt;"",'All Cases - Enter Cases'!D565,"")</f>
        <v/>
      </c>
      <c r="E565" t="str">
        <f>IF($A565&lt;&gt;"",'All Cases - Enter Cases'!E565,"")</f>
        <v/>
      </c>
      <c r="F565" t="str">
        <f>IF($A565&lt;&gt;"",'All Cases - Enter Cases'!F565,"")</f>
        <v/>
      </c>
      <c r="G565" t="str">
        <f>IF($A565&lt;&gt;"",'All Cases - Enter Cases'!G565,"")</f>
        <v/>
      </c>
      <c r="H565" t="str">
        <f>IF($A565&lt;&gt;"",'All Cases - Enter Cases'!H565,"")</f>
        <v/>
      </c>
      <c r="I565" t="str">
        <f>IF($A565&lt;&gt;"",'All Cases - Enter Cases'!I565,"")</f>
        <v/>
      </c>
      <c r="J565" t="str">
        <f>IF($A565&lt;&gt;"",'All Cases - Enter Cases'!J565,"")</f>
        <v/>
      </c>
      <c r="K565" t="str">
        <f>IF($A565&lt;&gt;"",'All Cases - Enter Cases'!K565,"")</f>
        <v/>
      </c>
      <c r="L565" t="str">
        <f>IF($A565&lt;&gt;"",'All Cases - Enter Cases'!L565,"")</f>
        <v/>
      </c>
      <c r="M565" t="str">
        <f>IF($A565&lt;&gt;"",'All Cases - Enter Cases'!M565,"")</f>
        <v/>
      </c>
    </row>
    <row r="566" spans="1:13" x14ac:dyDescent="0.35">
      <c r="A566" t="str">
        <f>IF('All Cases - Enter Cases'!$F566="KPK",'All Cases - Enter Cases'!A566,"")</f>
        <v/>
      </c>
      <c r="B566" t="str">
        <f>IF($A566&lt;&gt;"",'All Cases - Enter Cases'!B566,"")</f>
        <v/>
      </c>
      <c r="C566" t="str">
        <f>IF($A566&lt;&gt;"",'All Cases - Enter Cases'!C566,"")</f>
        <v/>
      </c>
      <c r="D566" t="str">
        <f>IF($A566&lt;&gt;"",'All Cases - Enter Cases'!D566,"")</f>
        <v/>
      </c>
      <c r="E566" t="str">
        <f>IF($A566&lt;&gt;"",'All Cases - Enter Cases'!E566,"")</f>
        <v/>
      </c>
      <c r="F566" t="str">
        <f>IF($A566&lt;&gt;"",'All Cases - Enter Cases'!F566,"")</f>
        <v/>
      </c>
      <c r="G566" t="str">
        <f>IF($A566&lt;&gt;"",'All Cases - Enter Cases'!G566,"")</f>
        <v/>
      </c>
      <c r="H566" t="str">
        <f>IF($A566&lt;&gt;"",'All Cases - Enter Cases'!H566,"")</f>
        <v/>
      </c>
      <c r="I566" t="str">
        <f>IF($A566&lt;&gt;"",'All Cases - Enter Cases'!I566,"")</f>
        <v/>
      </c>
      <c r="J566" t="str">
        <f>IF($A566&lt;&gt;"",'All Cases - Enter Cases'!J566,"")</f>
        <v/>
      </c>
      <c r="K566" t="str">
        <f>IF($A566&lt;&gt;"",'All Cases - Enter Cases'!K566,"")</f>
        <v/>
      </c>
      <c r="L566" t="str">
        <f>IF($A566&lt;&gt;"",'All Cases - Enter Cases'!L566,"")</f>
        <v/>
      </c>
      <c r="M566" t="str">
        <f>IF($A566&lt;&gt;"",'All Cases - Enter Cases'!M566,"")</f>
        <v/>
      </c>
    </row>
    <row r="567" spans="1:13" x14ac:dyDescent="0.35">
      <c r="A567" t="str">
        <f>IF('All Cases - Enter Cases'!$F567="KPK",'All Cases - Enter Cases'!A567,"")</f>
        <v/>
      </c>
      <c r="B567" t="str">
        <f>IF($A567&lt;&gt;"",'All Cases - Enter Cases'!B567,"")</f>
        <v/>
      </c>
      <c r="C567" t="str">
        <f>IF($A567&lt;&gt;"",'All Cases - Enter Cases'!C567,"")</f>
        <v/>
      </c>
      <c r="D567" t="str">
        <f>IF($A567&lt;&gt;"",'All Cases - Enter Cases'!D567,"")</f>
        <v/>
      </c>
      <c r="E567" t="str">
        <f>IF($A567&lt;&gt;"",'All Cases - Enter Cases'!E567,"")</f>
        <v/>
      </c>
      <c r="F567" t="str">
        <f>IF($A567&lt;&gt;"",'All Cases - Enter Cases'!F567,"")</f>
        <v/>
      </c>
      <c r="G567" t="str">
        <f>IF($A567&lt;&gt;"",'All Cases - Enter Cases'!G567,"")</f>
        <v/>
      </c>
      <c r="H567" t="str">
        <f>IF($A567&lt;&gt;"",'All Cases - Enter Cases'!H567,"")</f>
        <v/>
      </c>
      <c r="I567" t="str">
        <f>IF($A567&lt;&gt;"",'All Cases - Enter Cases'!I567,"")</f>
        <v/>
      </c>
      <c r="J567" t="str">
        <f>IF($A567&lt;&gt;"",'All Cases - Enter Cases'!J567,"")</f>
        <v/>
      </c>
      <c r="K567" t="str">
        <f>IF($A567&lt;&gt;"",'All Cases - Enter Cases'!K567,"")</f>
        <v/>
      </c>
      <c r="L567" t="str">
        <f>IF($A567&lt;&gt;"",'All Cases - Enter Cases'!L567,"")</f>
        <v/>
      </c>
      <c r="M567" t="str">
        <f>IF($A567&lt;&gt;"",'All Cases - Enter Cases'!M567,"")</f>
        <v/>
      </c>
    </row>
    <row r="568" spans="1:13" x14ac:dyDescent="0.35">
      <c r="A568" t="str">
        <f>IF('All Cases - Enter Cases'!$F568="KPK",'All Cases - Enter Cases'!A568,"")</f>
        <v/>
      </c>
      <c r="B568" t="str">
        <f>IF($A568&lt;&gt;"",'All Cases - Enter Cases'!B568,"")</f>
        <v/>
      </c>
      <c r="C568" t="str">
        <f>IF($A568&lt;&gt;"",'All Cases - Enter Cases'!C568,"")</f>
        <v/>
      </c>
      <c r="D568" t="str">
        <f>IF($A568&lt;&gt;"",'All Cases - Enter Cases'!D568,"")</f>
        <v/>
      </c>
      <c r="E568" t="str">
        <f>IF($A568&lt;&gt;"",'All Cases - Enter Cases'!E568,"")</f>
        <v/>
      </c>
      <c r="F568" t="str">
        <f>IF($A568&lt;&gt;"",'All Cases - Enter Cases'!F568,"")</f>
        <v/>
      </c>
      <c r="G568" t="str">
        <f>IF($A568&lt;&gt;"",'All Cases - Enter Cases'!G568,"")</f>
        <v/>
      </c>
      <c r="H568" t="str">
        <f>IF($A568&lt;&gt;"",'All Cases - Enter Cases'!H568,"")</f>
        <v/>
      </c>
      <c r="I568" t="str">
        <f>IF($A568&lt;&gt;"",'All Cases - Enter Cases'!I568,"")</f>
        <v/>
      </c>
      <c r="J568" t="str">
        <f>IF($A568&lt;&gt;"",'All Cases - Enter Cases'!J568,"")</f>
        <v/>
      </c>
      <c r="K568" t="str">
        <f>IF($A568&lt;&gt;"",'All Cases - Enter Cases'!K568,"")</f>
        <v/>
      </c>
      <c r="L568" t="str">
        <f>IF($A568&lt;&gt;"",'All Cases - Enter Cases'!L568,"")</f>
        <v/>
      </c>
      <c r="M568" t="str">
        <f>IF($A568&lt;&gt;"",'All Cases - Enter Cases'!M568,"")</f>
        <v/>
      </c>
    </row>
    <row r="569" spans="1:13" x14ac:dyDescent="0.35">
      <c r="A569" t="str">
        <f>IF('All Cases - Enter Cases'!$F569="KPK",'All Cases - Enter Cases'!A569,"")</f>
        <v/>
      </c>
      <c r="B569" t="str">
        <f>IF($A569&lt;&gt;"",'All Cases - Enter Cases'!B569,"")</f>
        <v/>
      </c>
      <c r="C569" t="str">
        <f>IF($A569&lt;&gt;"",'All Cases - Enter Cases'!C569,"")</f>
        <v/>
      </c>
      <c r="D569" t="str">
        <f>IF($A569&lt;&gt;"",'All Cases - Enter Cases'!D569,"")</f>
        <v/>
      </c>
      <c r="E569" t="str">
        <f>IF($A569&lt;&gt;"",'All Cases - Enter Cases'!E569,"")</f>
        <v/>
      </c>
      <c r="F569" t="str">
        <f>IF($A569&lt;&gt;"",'All Cases - Enter Cases'!F569,"")</f>
        <v/>
      </c>
      <c r="G569" t="str">
        <f>IF($A569&lt;&gt;"",'All Cases - Enter Cases'!G569,"")</f>
        <v/>
      </c>
      <c r="H569" t="str">
        <f>IF($A569&lt;&gt;"",'All Cases - Enter Cases'!H569,"")</f>
        <v/>
      </c>
      <c r="I569" t="str">
        <f>IF($A569&lt;&gt;"",'All Cases - Enter Cases'!I569,"")</f>
        <v/>
      </c>
      <c r="J569" t="str">
        <f>IF($A569&lt;&gt;"",'All Cases - Enter Cases'!J569,"")</f>
        <v/>
      </c>
      <c r="K569" t="str">
        <f>IF($A569&lt;&gt;"",'All Cases - Enter Cases'!K569,"")</f>
        <v/>
      </c>
      <c r="L569" t="str">
        <f>IF($A569&lt;&gt;"",'All Cases - Enter Cases'!L569,"")</f>
        <v/>
      </c>
      <c r="M569" t="str">
        <f>IF($A569&lt;&gt;"",'All Cases - Enter Cases'!M569,"")</f>
        <v/>
      </c>
    </row>
    <row r="570" spans="1:13" x14ac:dyDescent="0.35">
      <c r="A570" t="str">
        <f>IF('All Cases - Enter Cases'!$F570="KPK",'All Cases - Enter Cases'!A570,"")</f>
        <v/>
      </c>
      <c r="B570" t="str">
        <f>IF($A570&lt;&gt;"",'All Cases - Enter Cases'!B570,"")</f>
        <v/>
      </c>
      <c r="C570" t="str">
        <f>IF($A570&lt;&gt;"",'All Cases - Enter Cases'!C570,"")</f>
        <v/>
      </c>
      <c r="D570" t="str">
        <f>IF($A570&lt;&gt;"",'All Cases - Enter Cases'!D570,"")</f>
        <v/>
      </c>
      <c r="E570" t="str">
        <f>IF($A570&lt;&gt;"",'All Cases - Enter Cases'!E570,"")</f>
        <v/>
      </c>
      <c r="F570" t="str">
        <f>IF($A570&lt;&gt;"",'All Cases - Enter Cases'!F570,"")</f>
        <v/>
      </c>
      <c r="G570" t="str">
        <f>IF($A570&lt;&gt;"",'All Cases - Enter Cases'!G570,"")</f>
        <v/>
      </c>
      <c r="H570" t="str">
        <f>IF($A570&lt;&gt;"",'All Cases - Enter Cases'!H570,"")</f>
        <v/>
      </c>
      <c r="I570" t="str">
        <f>IF($A570&lt;&gt;"",'All Cases - Enter Cases'!I570,"")</f>
        <v/>
      </c>
      <c r="J570" t="str">
        <f>IF($A570&lt;&gt;"",'All Cases - Enter Cases'!J570,"")</f>
        <v/>
      </c>
      <c r="K570" t="str">
        <f>IF($A570&lt;&gt;"",'All Cases - Enter Cases'!K570,"")</f>
        <v/>
      </c>
      <c r="L570" t="str">
        <f>IF($A570&lt;&gt;"",'All Cases - Enter Cases'!L570,"")</f>
        <v/>
      </c>
      <c r="M570" t="str">
        <f>IF($A570&lt;&gt;"",'All Cases - Enter Cases'!M570,"")</f>
        <v/>
      </c>
    </row>
    <row r="571" spans="1:13" x14ac:dyDescent="0.35">
      <c r="A571" t="str">
        <f>IF('All Cases - Enter Cases'!$F571="KPK",'All Cases - Enter Cases'!A571,"")</f>
        <v/>
      </c>
      <c r="B571" t="str">
        <f>IF($A571&lt;&gt;"",'All Cases - Enter Cases'!B571,"")</f>
        <v/>
      </c>
      <c r="C571" t="str">
        <f>IF($A571&lt;&gt;"",'All Cases - Enter Cases'!C571,"")</f>
        <v/>
      </c>
      <c r="D571" t="str">
        <f>IF($A571&lt;&gt;"",'All Cases - Enter Cases'!D571,"")</f>
        <v/>
      </c>
      <c r="E571" t="str">
        <f>IF($A571&lt;&gt;"",'All Cases - Enter Cases'!E571,"")</f>
        <v/>
      </c>
      <c r="F571" t="str">
        <f>IF($A571&lt;&gt;"",'All Cases - Enter Cases'!F571,"")</f>
        <v/>
      </c>
      <c r="G571" t="str">
        <f>IF($A571&lt;&gt;"",'All Cases - Enter Cases'!G571,"")</f>
        <v/>
      </c>
      <c r="H571" t="str">
        <f>IF($A571&lt;&gt;"",'All Cases - Enter Cases'!H571,"")</f>
        <v/>
      </c>
      <c r="I571" t="str">
        <f>IF($A571&lt;&gt;"",'All Cases - Enter Cases'!I571,"")</f>
        <v/>
      </c>
      <c r="J571" t="str">
        <f>IF($A571&lt;&gt;"",'All Cases - Enter Cases'!J571,"")</f>
        <v/>
      </c>
      <c r="K571" t="str">
        <f>IF($A571&lt;&gt;"",'All Cases - Enter Cases'!K571,"")</f>
        <v/>
      </c>
      <c r="L571" t="str">
        <f>IF($A571&lt;&gt;"",'All Cases - Enter Cases'!L571,"")</f>
        <v/>
      </c>
      <c r="M571" t="str">
        <f>IF($A571&lt;&gt;"",'All Cases - Enter Cases'!M571,"")</f>
        <v/>
      </c>
    </row>
    <row r="572" spans="1:13" x14ac:dyDescent="0.35">
      <c r="A572" t="str">
        <f>IF('All Cases - Enter Cases'!$F572="KPK",'All Cases - Enter Cases'!A572,"")</f>
        <v/>
      </c>
      <c r="B572" t="str">
        <f>IF($A572&lt;&gt;"",'All Cases - Enter Cases'!B572,"")</f>
        <v/>
      </c>
      <c r="C572" t="str">
        <f>IF($A572&lt;&gt;"",'All Cases - Enter Cases'!C572,"")</f>
        <v/>
      </c>
      <c r="D572" t="str">
        <f>IF($A572&lt;&gt;"",'All Cases - Enter Cases'!D572,"")</f>
        <v/>
      </c>
      <c r="E572" t="str">
        <f>IF($A572&lt;&gt;"",'All Cases - Enter Cases'!E572,"")</f>
        <v/>
      </c>
      <c r="F572" t="str">
        <f>IF($A572&lt;&gt;"",'All Cases - Enter Cases'!F572,"")</f>
        <v/>
      </c>
      <c r="G572" t="str">
        <f>IF($A572&lt;&gt;"",'All Cases - Enter Cases'!G572,"")</f>
        <v/>
      </c>
      <c r="H572" t="str">
        <f>IF($A572&lt;&gt;"",'All Cases - Enter Cases'!H572,"")</f>
        <v/>
      </c>
      <c r="I572" t="str">
        <f>IF($A572&lt;&gt;"",'All Cases - Enter Cases'!I572,"")</f>
        <v/>
      </c>
      <c r="J572" t="str">
        <f>IF($A572&lt;&gt;"",'All Cases - Enter Cases'!J572,"")</f>
        <v/>
      </c>
      <c r="K572" t="str">
        <f>IF($A572&lt;&gt;"",'All Cases - Enter Cases'!K572,"")</f>
        <v/>
      </c>
      <c r="L572" t="str">
        <f>IF($A572&lt;&gt;"",'All Cases - Enter Cases'!L572,"")</f>
        <v/>
      </c>
      <c r="M572" t="str">
        <f>IF($A572&lt;&gt;"",'All Cases - Enter Cases'!M572,"")</f>
        <v/>
      </c>
    </row>
    <row r="573" spans="1:13" x14ac:dyDescent="0.35">
      <c r="A573" t="str">
        <f>IF('All Cases - Enter Cases'!$F573="KPK",'All Cases - Enter Cases'!A573,"")</f>
        <v/>
      </c>
      <c r="B573" t="str">
        <f>IF($A573&lt;&gt;"",'All Cases - Enter Cases'!B573,"")</f>
        <v/>
      </c>
      <c r="C573" t="str">
        <f>IF($A573&lt;&gt;"",'All Cases - Enter Cases'!C573,"")</f>
        <v/>
      </c>
      <c r="D573" t="str">
        <f>IF($A573&lt;&gt;"",'All Cases - Enter Cases'!D573,"")</f>
        <v/>
      </c>
      <c r="E573" t="str">
        <f>IF($A573&lt;&gt;"",'All Cases - Enter Cases'!E573,"")</f>
        <v/>
      </c>
      <c r="F573" t="str">
        <f>IF($A573&lt;&gt;"",'All Cases - Enter Cases'!F573,"")</f>
        <v/>
      </c>
      <c r="G573" t="str">
        <f>IF($A573&lt;&gt;"",'All Cases - Enter Cases'!G573,"")</f>
        <v/>
      </c>
      <c r="H573" t="str">
        <f>IF($A573&lt;&gt;"",'All Cases - Enter Cases'!H573,"")</f>
        <v/>
      </c>
      <c r="I573" t="str">
        <f>IF($A573&lt;&gt;"",'All Cases - Enter Cases'!I573,"")</f>
        <v/>
      </c>
      <c r="J573" t="str">
        <f>IF($A573&lt;&gt;"",'All Cases - Enter Cases'!J573,"")</f>
        <v/>
      </c>
      <c r="K573" t="str">
        <f>IF($A573&lt;&gt;"",'All Cases - Enter Cases'!K573,"")</f>
        <v/>
      </c>
      <c r="L573" t="str">
        <f>IF($A573&lt;&gt;"",'All Cases - Enter Cases'!L573,"")</f>
        <v/>
      </c>
      <c r="M573" t="str">
        <f>IF($A573&lt;&gt;"",'All Cases - Enter Cases'!M573,"")</f>
        <v/>
      </c>
    </row>
    <row r="574" spans="1:13" x14ac:dyDescent="0.35">
      <c r="A574" t="str">
        <f>IF('All Cases - Enter Cases'!$F574="KPK",'All Cases - Enter Cases'!A574,"")</f>
        <v/>
      </c>
      <c r="B574" t="str">
        <f>IF($A574&lt;&gt;"",'All Cases - Enter Cases'!B574,"")</f>
        <v/>
      </c>
      <c r="C574" t="str">
        <f>IF($A574&lt;&gt;"",'All Cases - Enter Cases'!C574,"")</f>
        <v/>
      </c>
      <c r="D574" t="str">
        <f>IF($A574&lt;&gt;"",'All Cases - Enter Cases'!D574,"")</f>
        <v/>
      </c>
      <c r="E574" t="str">
        <f>IF($A574&lt;&gt;"",'All Cases - Enter Cases'!E574,"")</f>
        <v/>
      </c>
      <c r="F574" t="str">
        <f>IF($A574&lt;&gt;"",'All Cases - Enter Cases'!F574,"")</f>
        <v/>
      </c>
      <c r="G574" t="str">
        <f>IF($A574&lt;&gt;"",'All Cases - Enter Cases'!G574,"")</f>
        <v/>
      </c>
      <c r="H574" t="str">
        <f>IF($A574&lt;&gt;"",'All Cases - Enter Cases'!H574,"")</f>
        <v/>
      </c>
      <c r="I574" t="str">
        <f>IF($A574&lt;&gt;"",'All Cases - Enter Cases'!I574,"")</f>
        <v/>
      </c>
      <c r="J574" t="str">
        <f>IF($A574&lt;&gt;"",'All Cases - Enter Cases'!J574,"")</f>
        <v/>
      </c>
      <c r="K574" t="str">
        <f>IF($A574&lt;&gt;"",'All Cases - Enter Cases'!K574,"")</f>
        <v/>
      </c>
      <c r="L574" t="str">
        <f>IF($A574&lt;&gt;"",'All Cases - Enter Cases'!L574,"")</f>
        <v/>
      </c>
      <c r="M574" t="str">
        <f>IF($A574&lt;&gt;"",'All Cases - Enter Cases'!M574,"")</f>
        <v/>
      </c>
    </row>
    <row r="575" spans="1:13" x14ac:dyDescent="0.35">
      <c r="A575" t="str">
        <f>IF('All Cases - Enter Cases'!$F575="KPK",'All Cases - Enter Cases'!A575,"")</f>
        <v/>
      </c>
      <c r="B575" t="str">
        <f>IF($A575&lt;&gt;"",'All Cases - Enter Cases'!B575,"")</f>
        <v/>
      </c>
      <c r="C575" t="str">
        <f>IF($A575&lt;&gt;"",'All Cases - Enter Cases'!C575,"")</f>
        <v/>
      </c>
      <c r="D575" t="str">
        <f>IF($A575&lt;&gt;"",'All Cases - Enter Cases'!D575,"")</f>
        <v/>
      </c>
      <c r="E575" t="str">
        <f>IF($A575&lt;&gt;"",'All Cases - Enter Cases'!E575,"")</f>
        <v/>
      </c>
      <c r="F575" t="str">
        <f>IF($A575&lt;&gt;"",'All Cases - Enter Cases'!F575,"")</f>
        <v/>
      </c>
      <c r="G575" t="str">
        <f>IF($A575&lt;&gt;"",'All Cases - Enter Cases'!G575,"")</f>
        <v/>
      </c>
      <c r="H575" t="str">
        <f>IF($A575&lt;&gt;"",'All Cases - Enter Cases'!H575,"")</f>
        <v/>
      </c>
      <c r="I575" t="str">
        <f>IF($A575&lt;&gt;"",'All Cases - Enter Cases'!I575,"")</f>
        <v/>
      </c>
      <c r="J575" t="str">
        <f>IF($A575&lt;&gt;"",'All Cases - Enter Cases'!J575,"")</f>
        <v/>
      </c>
      <c r="K575" t="str">
        <f>IF($A575&lt;&gt;"",'All Cases - Enter Cases'!K575,"")</f>
        <v/>
      </c>
      <c r="L575" t="str">
        <f>IF($A575&lt;&gt;"",'All Cases - Enter Cases'!L575,"")</f>
        <v/>
      </c>
      <c r="M575" t="str">
        <f>IF($A575&lt;&gt;"",'All Cases - Enter Cases'!M575,"")</f>
        <v/>
      </c>
    </row>
    <row r="576" spans="1:13" x14ac:dyDescent="0.35">
      <c r="A576" t="str">
        <f>IF('All Cases - Enter Cases'!$F576="KPK",'All Cases - Enter Cases'!A576,"")</f>
        <v/>
      </c>
      <c r="B576" t="str">
        <f>IF($A576&lt;&gt;"",'All Cases - Enter Cases'!B576,"")</f>
        <v/>
      </c>
      <c r="C576" t="str">
        <f>IF($A576&lt;&gt;"",'All Cases - Enter Cases'!C576,"")</f>
        <v/>
      </c>
      <c r="D576" t="str">
        <f>IF($A576&lt;&gt;"",'All Cases - Enter Cases'!D576,"")</f>
        <v/>
      </c>
      <c r="E576" t="str">
        <f>IF($A576&lt;&gt;"",'All Cases - Enter Cases'!E576,"")</f>
        <v/>
      </c>
      <c r="F576" t="str">
        <f>IF($A576&lt;&gt;"",'All Cases - Enter Cases'!F576,"")</f>
        <v/>
      </c>
      <c r="G576" t="str">
        <f>IF($A576&lt;&gt;"",'All Cases - Enter Cases'!G576,"")</f>
        <v/>
      </c>
      <c r="H576" t="str">
        <f>IF($A576&lt;&gt;"",'All Cases - Enter Cases'!H576,"")</f>
        <v/>
      </c>
      <c r="I576" t="str">
        <f>IF($A576&lt;&gt;"",'All Cases - Enter Cases'!I576,"")</f>
        <v/>
      </c>
      <c r="J576" t="str">
        <f>IF($A576&lt;&gt;"",'All Cases - Enter Cases'!J576,"")</f>
        <v/>
      </c>
      <c r="K576" t="str">
        <f>IF($A576&lt;&gt;"",'All Cases - Enter Cases'!K576,"")</f>
        <v/>
      </c>
      <c r="L576" t="str">
        <f>IF($A576&lt;&gt;"",'All Cases - Enter Cases'!L576,"")</f>
        <v/>
      </c>
      <c r="M576" t="str">
        <f>IF($A576&lt;&gt;"",'All Cases - Enter Cases'!M576,"")</f>
        <v/>
      </c>
    </row>
    <row r="577" spans="1:13" x14ac:dyDescent="0.35">
      <c r="A577" t="str">
        <f>IF('All Cases - Enter Cases'!$F577="KPK",'All Cases - Enter Cases'!A577,"")</f>
        <v/>
      </c>
      <c r="B577" t="str">
        <f>IF($A577&lt;&gt;"",'All Cases - Enter Cases'!B577,"")</f>
        <v/>
      </c>
      <c r="C577" t="str">
        <f>IF($A577&lt;&gt;"",'All Cases - Enter Cases'!C577,"")</f>
        <v/>
      </c>
      <c r="D577" t="str">
        <f>IF($A577&lt;&gt;"",'All Cases - Enter Cases'!D577,"")</f>
        <v/>
      </c>
      <c r="E577" t="str">
        <f>IF($A577&lt;&gt;"",'All Cases - Enter Cases'!E577,"")</f>
        <v/>
      </c>
      <c r="F577" t="str">
        <f>IF($A577&lt;&gt;"",'All Cases - Enter Cases'!F577,"")</f>
        <v/>
      </c>
      <c r="G577" t="str">
        <f>IF($A577&lt;&gt;"",'All Cases - Enter Cases'!G577,"")</f>
        <v/>
      </c>
      <c r="H577" t="str">
        <f>IF($A577&lt;&gt;"",'All Cases - Enter Cases'!H577,"")</f>
        <v/>
      </c>
      <c r="I577" t="str">
        <f>IF($A577&lt;&gt;"",'All Cases - Enter Cases'!I577,"")</f>
        <v/>
      </c>
      <c r="J577" t="str">
        <f>IF($A577&lt;&gt;"",'All Cases - Enter Cases'!J577,"")</f>
        <v/>
      </c>
      <c r="K577" t="str">
        <f>IF($A577&lt;&gt;"",'All Cases - Enter Cases'!K577,"")</f>
        <v/>
      </c>
      <c r="L577" t="str">
        <f>IF($A577&lt;&gt;"",'All Cases - Enter Cases'!L577,"")</f>
        <v/>
      </c>
      <c r="M577" t="str">
        <f>IF($A577&lt;&gt;"",'All Cases - Enter Cases'!M577,"")</f>
        <v/>
      </c>
    </row>
    <row r="578" spans="1:13" x14ac:dyDescent="0.35">
      <c r="A578" t="str">
        <f>IF('All Cases - Enter Cases'!$F578="KPK",'All Cases - Enter Cases'!A578,"")</f>
        <v/>
      </c>
      <c r="B578" t="str">
        <f>IF($A578&lt;&gt;"",'All Cases - Enter Cases'!B578,"")</f>
        <v/>
      </c>
      <c r="C578" t="str">
        <f>IF($A578&lt;&gt;"",'All Cases - Enter Cases'!C578,"")</f>
        <v/>
      </c>
      <c r="D578" t="str">
        <f>IF($A578&lt;&gt;"",'All Cases - Enter Cases'!D578,"")</f>
        <v/>
      </c>
      <c r="E578" t="str">
        <f>IF($A578&lt;&gt;"",'All Cases - Enter Cases'!E578,"")</f>
        <v/>
      </c>
      <c r="F578" t="str">
        <f>IF($A578&lt;&gt;"",'All Cases - Enter Cases'!F578,"")</f>
        <v/>
      </c>
      <c r="G578" t="str">
        <f>IF($A578&lt;&gt;"",'All Cases - Enter Cases'!G578,"")</f>
        <v/>
      </c>
      <c r="H578" t="str">
        <f>IF($A578&lt;&gt;"",'All Cases - Enter Cases'!H578,"")</f>
        <v/>
      </c>
      <c r="I578" t="str">
        <f>IF($A578&lt;&gt;"",'All Cases - Enter Cases'!I578,"")</f>
        <v/>
      </c>
      <c r="J578" t="str">
        <f>IF($A578&lt;&gt;"",'All Cases - Enter Cases'!J578,"")</f>
        <v/>
      </c>
      <c r="K578" t="str">
        <f>IF($A578&lt;&gt;"",'All Cases - Enter Cases'!K578,"")</f>
        <v/>
      </c>
      <c r="L578" t="str">
        <f>IF($A578&lt;&gt;"",'All Cases - Enter Cases'!L578,"")</f>
        <v/>
      </c>
      <c r="M578" t="str">
        <f>IF($A578&lt;&gt;"",'All Cases - Enter Cases'!M578,"")</f>
        <v/>
      </c>
    </row>
    <row r="579" spans="1:13" x14ac:dyDescent="0.35">
      <c r="A579" t="str">
        <f>IF('All Cases - Enter Cases'!$F579="KPK",'All Cases - Enter Cases'!A579,"")</f>
        <v/>
      </c>
      <c r="B579" t="str">
        <f>IF($A579&lt;&gt;"",'All Cases - Enter Cases'!B579,"")</f>
        <v/>
      </c>
      <c r="C579" t="str">
        <f>IF($A579&lt;&gt;"",'All Cases - Enter Cases'!C579,"")</f>
        <v/>
      </c>
      <c r="D579" t="str">
        <f>IF($A579&lt;&gt;"",'All Cases - Enter Cases'!D579,"")</f>
        <v/>
      </c>
      <c r="E579" t="str">
        <f>IF($A579&lt;&gt;"",'All Cases - Enter Cases'!E579,"")</f>
        <v/>
      </c>
      <c r="F579" t="str">
        <f>IF($A579&lt;&gt;"",'All Cases - Enter Cases'!F579,"")</f>
        <v/>
      </c>
      <c r="G579" t="str">
        <f>IF($A579&lt;&gt;"",'All Cases - Enter Cases'!G579,"")</f>
        <v/>
      </c>
      <c r="H579" t="str">
        <f>IF($A579&lt;&gt;"",'All Cases - Enter Cases'!H579,"")</f>
        <v/>
      </c>
      <c r="I579" t="str">
        <f>IF($A579&lt;&gt;"",'All Cases - Enter Cases'!I579,"")</f>
        <v/>
      </c>
      <c r="J579" t="str">
        <f>IF($A579&lt;&gt;"",'All Cases - Enter Cases'!J579,"")</f>
        <v/>
      </c>
      <c r="K579" t="str">
        <f>IF($A579&lt;&gt;"",'All Cases - Enter Cases'!K579,"")</f>
        <v/>
      </c>
      <c r="L579" t="str">
        <f>IF($A579&lt;&gt;"",'All Cases - Enter Cases'!L579,"")</f>
        <v/>
      </c>
      <c r="M579" t="str">
        <f>IF($A579&lt;&gt;"",'All Cases - Enter Cases'!M579,"")</f>
        <v/>
      </c>
    </row>
    <row r="580" spans="1:13" x14ac:dyDescent="0.35">
      <c r="A580" t="str">
        <f>IF('All Cases - Enter Cases'!$F580="KPK",'All Cases - Enter Cases'!A580,"")</f>
        <v/>
      </c>
      <c r="B580" t="str">
        <f>IF($A580&lt;&gt;"",'All Cases - Enter Cases'!B580,"")</f>
        <v/>
      </c>
      <c r="C580" t="str">
        <f>IF($A580&lt;&gt;"",'All Cases - Enter Cases'!C580,"")</f>
        <v/>
      </c>
      <c r="D580" t="str">
        <f>IF($A580&lt;&gt;"",'All Cases - Enter Cases'!D580,"")</f>
        <v/>
      </c>
      <c r="E580" t="str">
        <f>IF($A580&lt;&gt;"",'All Cases - Enter Cases'!E580,"")</f>
        <v/>
      </c>
      <c r="F580" t="str">
        <f>IF($A580&lt;&gt;"",'All Cases - Enter Cases'!F580,"")</f>
        <v/>
      </c>
      <c r="G580" t="str">
        <f>IF($A580&lt;&gt;"",'All Cases - Enter Cases'!G580,"")</f>
        <v/>
      </c>
      <c r="H580" t="str">
        <f>IF($A580&lt;&gt;"",'All Cases - Enter Cases'!H580,"")</f>
        <v/>
      </c>
      <c r="I580" t="str">
        <f>IF($A580&lt;&gt;"",'All Cases - Enter Cases'!I580,"")</f>
        <v/>
      </c>
      <c r="J580" t="str">
        <f>IF($A580&lt;&gt;"",'All Cases - Enter Cases'!J580,"")</f>
        <v/>
      </c>
      <c r="K580" t="str">
        <f>IF($A580&lt;&gt;"",'All Cases - Enter Cases'!K580,"")</f>
        <v/>
      </c>
      <c r="L580" t="str">
        <f>IF($A580&lt;&gt;"",'All Cases - Enter Cases'!L580,"")</f>
        <v/>
      </c>
      <c r="M580" t="str">
        <f>IF($A580&lt;&gt;"",'All Cases - Enter Cases'!M580,"")</f>
        <v/>
      </c>
    </row>
    <row r="581" spans="1:13" x14ac:dyDescent="0.35">
      <c r="A581" t="str">
        <f>IF('All Cases - Enter Cases'!$F581="KPK",'All Cases - Enter Cases'!A581,"")</f>
        <v/>
      </c>
      <c r="B581" t="str">
        <f>IF($A581&lt;&gt;"",'All Cases - Enter Cases'!B581,"")</f>
        <v/>
      </c>
      <c r="C581" t="str">
        <f>IF($A581&lt;&gt;"",'All Cases - Enter Cases'!C581,"")</f>
        <v/>
      </c>
      <c r="D581" t="str">
        <f>IF($A581&lt;&gt;"",'All Cases - Enter Cases'!D581,"")</f>
        <v/>
      </c>
      <c r="E581" t="str">
        <f>IF($A581&lt;&gt;"",'All Cases - Enter Cases'!E581,"")</f>
        <v/>
      </c>
      <c r="F581" t="str">
        <f>IF($A581&lt;&gt;"",'All Cases - Enter Cases'!F581,"")</f>
        <v/>
      </c>
      <c r="G581" t="str">
        <f>IF($A581&lt;&gt;"",'All Cases - Enter Cases'!G581,"")</f>
        <v/>
      </c>
      <c r="H581" t="str">
        <f>IF($A581&lt;&gt;"",'All Cases - Enter Cases'!H581,"")</f>
        <v/>
      </c>
      <c r="I581" t="str">
        <f>IF($A581&lt;&gt;"",'All Cases - Enter Cases'!I581,"")</f>
        <v/>
      </c>
      <c r="J581" t="str">
        <f>IF($A581&lt;&gt;"",'All Cases - Enter Cases'!J581,"")</f>
        <v/>
      </c>
      <c r="K581" t="str">
        <f>IF($A581&lt;&gt;"",'All Cases - Enter Cases'!K581,"")</f>
        <v/>
      </c>
      <c r="L581" t="str">
        <f>IF($A581&lt;&gt;"",'All Cases - Enter Cases'!L581,"")</f>
        <v/>
      </c>
      <c r="M581" t="str">
        <f>IF($A581&lt;&gt;"",'All Cases - Enter Cases'!M581,"")</f>
        <v/>
      </c>
    </row>
    <row r="582" spans="1:13" x14ac:dyDescent="0.35">
      <c r="A582" t="str">
        <f>IF('All Cases - Enter Cases'!$F582="KPK",'All Cases - Enter Cases'!A582,"")</f>
        <v/>
      </c>
      <c r="B582" t="str">
        <f>IF($A582&lt;&gt;"",'All Cases - Enter Cases'!B582,"")</f>
        <v/>
      </c>
      <c r="C582" t="str">
        <f>IF($A582&lt;&gt;"",'All Cases - Enter Cases'!C582,"")</f>
        <v/>
      </c>
      <c r="D582" t="str">
        <f>IF($A582&lt;&gt;"",'All Cases - Enter Cases'!D582,"")</f>
        <v/>
      </c>
      <c r="E582" t="str">
        <f>IF($A582&lt;&gt;"",'All Cases - Enter Cases'!E582,"")</f>
        <v/>
      </c>
      <c r="F582" t="str">
        <f>IF($A582&lt;&gt;"",'All Cases - Enter Cases'!F582,"")</f>
        <v/>
      </c>
      <c r="G582" t="str">
        <f>IF($A582&lt;&gt;"",'All Cases - Enter Cases'!G582,"")</f>
        <v/>
      </c>
      <c r="H582" t="str">
        <f>IF($A582&lt;&gt;"",'All Cases - Enter Cases'!H582,"")</f>
        <v/>
      </c>
      <c r="I582" t="str">
        <f>IF($A582&lt;&gt;"",'All Cases - Enter Cases'!I582,"")</f>
        <v/>
      </c>
      <c r="J582" t="str">
        <f>IF($A582&lt;&gt;"",'All Cases - Enter Cases'!J582,"")</f>
        <v/>
      </c>
      <c r="K582" t="str">
        <f>IF($A582&lt;&gt;"",'All Cases - Enter Cases'!K582,"")</f>
        <v/>
      </c>
      <c r="L582" t="str">
        <f>IF($A582&lt;&gt;"",'All Cases - Enter Cases'!L582,"")</f>
        <v/>
      </c>
      <c r="M582" t="str">
        <f>IF($A582&lt;&gt;"",'All Cases - Enter Cases'!M582,"")</f>
        <v/>
      </c>
    </row>
    <row r="583" spans="1:13" x14ac:dyDescent="0.35">
      <c r="A583" t="str">
        <f>IF('All Cases - Enter Cases'!$F583="KPK",'All Cases - Enter Cases'!A583,"")</f>
        <v/>
      </c>
      <c r="B583" t="str">
        <f>IF($A583&lt;&gt;"",'All Cases - Enter Cases'!B583,"")</f>
        <v/>
      </c>
      <c r="C583" t="str">
        <f>IF($A583&lt;&gt;"",'All Cases - Enter Cases'!C583,"")</f>
        <v/>
      </c>
      <c r="D583" t="str">
        <f>IF($A583&lt;&gt;"",'All Cases - Enter Cases'!D583,"")</f>
        <v/>
      </c>
      <c r="E583" t="str">
        <f>IF($A583&lt;&gt;"",'All Cases - Enter Cases'!E583,"")</f>
        <v/>
      </c>
      <c r="F583" t="str">
        <f>IF($A583&lt;&gt;"",'All Cases - Enter Cases'!F583,"")</f>
        <v/>
      </c>
      <c r="G583" t="str">
        <f>IF($A583&lt;&gt;"",'All Cases - Enter Cases'!G583,"")</f>
        <v/>
      </c>
      <c r="H583" t="str">
        <f>IF($A583&lt;&gt;"",'All Cases - Enter Cases'!H583,"")</f>
        <v/>
      </c>
      <c r="I583" t="str">
        <f>IF($A583&lt;&gt;"",'All Cases - Enter Cases'!I583,"")</f>
        <v/>
      </c>
      <c r="J583" t="str">
        <f>IF($A583&lt;&gt;"",'All Cases - Enter Cases'!J583,"")</f>
        <v/>
      </c>
      <c r="K583" t="str">
        <f>IF($A583&lt;&gt;"",'All Cases - Enter Cases'!K583,"")</f>
        <v/>
      </c>
      <c r="L583" t="str">
        <f>IF($A583&lt;&gt;"",'All Cases - Enter Cases'!L583,"")</f>
        <v/>
      </c>
      <c r="M583" t="str">
        <f>IF($A583&lt;&gt;"",'All Cases - Enter Cases'!M583,"")</f>
        <v/>
      </c>
    </row>
    <row r="584" spans="1:13" x14ac:dyDescent="0.35">
      <c r="A584" t="str">
        <f>IF('All Cases - Enter Cases'!$F584="KPK",'All Cases - Enter Cases'!A584,"")</f>
        <v/>
      </c>
      <c r="B584" t="str">
        <f>IF($A584&lt;&gt;"",'All Cases - Enter Cases'!B584,"")</f>
        <v/>
      </c>
      <c r="C584" t="str">
        <f>IF($A584&lt;&gt;"",'All Cases - Enter Cases'!C584,"")</f>
        <v/>
      </c>
      <c r="D584" t="str">
        <f>IF($A584&lt;&gt;"",'All Cases - Enter Cases'!D584,"")</f>
        <v/>
      </c>
      <c r="E584" t="str">
        <f>IF($A584&lt;&gt;"",'All Cases - Enter Cases'!E584,"")</f>
        <v/>
      </c>
      <c r="F584" t="str">
        <f>IF($A584&lt;&gt;"",'All Cases - Enter Cases'!F584,"")</f>
        <v/>
      </c>
      <c r="G584" t="str">
        <f>IF($A584&lt;&gt;"",'All Cases - Enter Cases'!G584,"")</f>
        <v/>
      </c>
      <c r="H584" t="str">
        <f>IF($A584&lt;&gt;"",'All Cases - Enter Cases'!H584,"")</f>
        <v/>
      </c>
      <c r="I584" t="str">
        <f>IF($A584&lt;&gt;"",'All Cases - Enter Cases'!I584,"")</f>
        <v/>
      </c>
      <c r="J584" t="str">
        <f>IF($A584&lt;&gt;"",'All Cases - Enter Cases'!J584,"")</f>
        <v/>
      </c>
      <c r="K584" t="str">
        <f>IF($A584&lt;&gt;"",'All Cases - Enter Cases'!K584,"")</f>
        <v/>
      </c>
      <c r="L584" t="str">
        <f>IF($A584&lt;&gt;"",'All Cases - Enter Cases'!L584,"")</f>
        <v/>
      </c>
      <c r="M584" t="str">
        <f>IF($A584&lt;&gt;"",'All Cases - Enter Cases'!M584,"")</f>
        <v/>
      </c>
    </row>
    <row r="585" spans="1:13" x14ac:dyDescent="0.35">
      <c r="A585" t="str">
        <f>IF('All Cases - Enter Cases'!$F585="KPK",'All Cases - Enter Cases'!A585,"")</f>
        <v/>
      </c>
      <c r="B585" t="str">
        <f>IF($A585&lt;&gt;"",'All Cases - Enter Cases'!B585,"")</f>
        <v/>
      </c>
      <c r="C585" t="str">
        <f>IF($A585&lt;&gt;"",'All Cases - Enter Cases'!C585,"")</f>
        <v/>
      </c>
      <c r="D585" t="str">
        <f>IF($A585&lt;&gt;"",'All Cases - Enter Cases'!D585,"")</f>
        <v/>
      </c>
      <c r="E585" t="str">
        <f>IF($A585&lt;&gt;"",'All Cases - Enter Cases'!E585,"")</f>
        <v/>
      </c>
      <c r="F585" t="str">
        <f>IF($A585&lt;&gt;"",'All Cases - Enter Cases'!F585,"")</f>
        <v/>
      </c>
      <c r="G585" t="str">
        <f>IF($A585&lt;&gt;"",'All Cases - Enter Cases'!G585,"")</f>
        <v/>
      </c>
      <c r="H585" t="str">
        <f>IF($A585&lt;&gt;"",'All Cases - Enter Cases'!H585,"")</f>
        <v/>
      </c>
      <c r="I585" t="str">
        <f>IF($A585&lt;&gt;"",'All Cases - Enter Cases'!I585,"")</f>
        <v/>
      </c>
      <c r="J585" t="str">
        <f>IF($A585&lt;&gt;"",'All Cases - Enter Cases'!J585,"")</f>
        <v/>
      </c>
      <c r="K585" t="str">
        <f>IF($A585&lt;&gt;"",'All Cases - Enter Cases'!K585,"")</f>
        <v/>
      </c>
      <c r="L585" t="str">
        <f>IF($A585&lt;&gt;"",'All Cases - Enter Cases'!L585,"")</f>
        <v/>
      </c>
      <c r="M585" t="str">
        <f>IF($A585&lt;&gt;"",'All Cases - Enter Cases'!M585,"")</f>
        <v/>
      </c>
    </row>
    <row r="586" spans="1:13" x14ac:dyDescent="0.35">
      <c r="A586" t="str">
        <f>IF('All Cases - Enter Cases'!$F586="KPK",'All Cases - Enter Cases'!A586,"")</f>
        <v/>
      </c>
      <c r="B586" t="str">
        <f>IF($A586&lt;&gt;"",'All Cases - Enter Cases'!B586,"")</f>
        <v/>
      </c>
      <c r="C586" t="str">
        <f>IF($A586&lt;&gt;"",'All Cases - Enter Cases'!C586,"")</f>
        <v/>
      </c>
      <c r="D586" t="str">
        <f>IF($A586&lt;&gt;"",'All Cases - Enter Cases'!D586,"")</f>
        <v/>
      </c>
      <c r="E586" t="str">
        <f>IF($A586&lt;&gt;"",'All Cases - Enter Cases'!E586,"")</f>
        <v/>
      </c>
      <c r="F586" t="str">
        <f>IF($A586&lt;&gt;"",'All Cases - Enter Cases'!F586,"")</f>
        <v/>
      </c>
      <c r="G586" t="str">
        <f>IF($A586&lt;&gt;"",'All Cases - Enter Cases'!G586,"")</f>
        <v/>
      </c>
      <c r="H586" t="str">
        <f>IF($A586&lt;&gt;"",'All Cases - Enter Cases'!H586,"")</f>
        <v/>
      </c>
      <c r="I586" t="str">
        <f>IF($A586&lt;&gt;"",'All Cases - Enter Cases'!I586,"")</f>
        <v/>
      </c>
      <c r="J586" t="str">
        <f>IF($A586&lt;&gt;"",'All Cases - Enter Cases'!J586,"")</f>
        <v/>
      </c>
      <c r="K586" t="str">
        <f>IF($A586&lt;&gt;"",'All Cases - Enter Cases'!K586,"")</f>
        <v/>
      </c>
      <c r="L586" t="str">
        <f>IF($A586&lt;&gt;"",'All Cases - Enter Cases'!L586,"")</f>
        <v/>
      </c>
      <c r="M586" t="str">
        <f>IF($A586&lt;&gt;"",'All Cases - Enter Cases'!M586,"")</f>
        <v/>
      </c>
    </row>
    <row r="587" spans="1:13" x14ac:dyDescent="0.35">
      <c r="A587" t="str">
        <f>IF('All Cases - Enter Cases'!$F587="KPK",'All Cases - Enter Cases'!A587,"")</f>
        <v/>
      </c>
      <c r="B587" t="str">
        <f>IF($A587&lt;&gt;"",'All Cases - Enter Cases'!B587,"")</f>
        <v/>
      </c>
      <c r="C587" t="str">
        <f>IF($A587&lt;&gt;"",'All Cases - Enter Cases'!C587,"")</f>
        <v/>
      </c>
      <c r="D587" t="str">
        <f>IF($A587&lt;&gt;"",'All Cases - Enter Cases'!D587,"")</f>
        <v/>
      </c>
      <c r="E587" t="str">
        <f>IF($A587&lt;&gt;"",'All Cases - Enter Cases'!E587,"")</f>
        <v/>
      </c>
      <c r="F587" t="str">
        <f>IF($A587&lt;&gt;"",'All Cases - Enter Cases'!F587,"")</f>
        <v/>
      </c>
      <c r="G587" t="str">
        <f>IF($A587&lt;&gt;"",'All Cases - Enter Cases'!G587,"")</f>
        <v/>
      </c>
      <c r="H587" t="str">
        <f>IF($A587&lt;&gt;"",'All Cases - Enter Cases'!H587,"")</f>
        <v/>
      </c>
      <c r="I587" t="str">
        <f>IF($A587&lt;&gt;"",'All Cases - Enter Cases'!I587,"")</f>
        <v/>
      </c>
      <c r="J587" t="str">
        <f>IF($A587&lt;&gt;"",'All Cases - Enter Cases'!J587,"")</f>
        <v/>
      </c>
      <c r="K587" t="str">
        <f>IF($A587&lt;&gt;"",'All Cases - Enter Cases'!K587,"")</f>
        <v/>
      </c>
      <c r="L587" t="str">
        <f>IF($A587&lt;&gt;"",'All Cases - Enter Cases'!L587,"")</f>
        <v/>
      </c>
      <c r="M587" t="str">
        <f>IF($A587&lt;&gt;"",'All Cases - Enter Cases'!M587,"")</f>
        <v/>
      </c>
    </row>
    <row r="588" spans="1:13" x14ac:dyDescent="0.35">
      <c r="A588" t="str">
        <f>IF('All Cases - Enter Cases'!$F588="KPK",'All Cases - Enter Cases'!A588,"")</f>
        <v/>
      </c>
      <c r="B588" t="str">
        <f>IF($A588&lt;&gt;"",'All Cases - Enter Cases'!B588,"")</f>
        <v/>
      </c>
      <c r="C588" t="str">
        <f>IF($A588&lt;&gt;"",'All Cases - Enter Cases'!C588,"")</f>
        <v/>
      </c>
      <c r="D588" t="str">
        <f>IF($A588&lt;&gt;"",'All Cases - Enter Cases'!D588,"")</f>
        <v/>
      </c>
      <c r="E588" t="str">
        <f>IF($A588&lt;&gt;"",'All Cases - Enter Cases'!E588,"")</f>
        <v/>
      </c>
      <c r="F588" t="str">
        <f>IF($A588&lt;&gt;"",'All Cases - Enter Cases'!F588,"")</f>
        <v/>
      </c>
      <c r="G588" t="str">
        <f>IF($A588&lt;&gt;"",'All Cases - Enter Cases'!G588,"")</f>
        <v/>
      </c>
      <c r="H588" t="str">
        <f>IF($A588&lt;&gt;"",'All Cases - Enter Cases'!H588,"")</f>
        <v/>
      </c>
      <c r="I588" t="str">
        <f>IF($A588&lt;&gt;"",'All Cases - Enter Cases'!I588,"")</f>
        <v/>
      </c>
      <c r="J588" t="str">
        <f>IF($A588&lt;&gt;"",'All Cases - Enter Cases'!J588,"")</f>
        <v/>
      </c>
      <c r="K588" t="str">
        <f>IF($A588&lt;&gt;"",'All Cases - Enter Cases'!K588,"")</f>
        <v/>
      </c>
      <c r="L588" t="str">
        <f>IF($A588&lt;&gt;"",'All Cases - Enter Cases'!L588,"")</f>
        <v/>
      </c>
      <c r="M588" t="str">
        <f>IF($A588&lt;&gt;"",'All Cases - Enter Cases'!M588,"")</f>
        <v/>
      </c>
    </row>
    <row r="589" spans="1:13" x14ac:dyDescent="0.35">
      <c r="A589" t="str">
        <f>IF('All Cases - Enter Cases'!$F589="KPK",'All Cases - Enter Cases'!A589,"")</f>
        <v/>
      </c>
      <c r="B589" t="str">
        <f>IF($A589&lt;&gt;"",'All Cases - Enter Cases'!B589,"")</f>
        <v/>
      </c>
      <c r="C589" t="str">
        <f>IF($A589&lt;&gt;"",'All Cases - Enter Cases'!C589,"")</f>
        <v/>
      </c>
      <c r="D589" t="str">
        <f>IF($A589&lt;&gt;"",'All Cases - Enter Cases'!D589,"")</f>
        <v/>
      </c>
      <c r="E589" t="str">
        <f>IF($A589&lt;&gt;"",'All Cases - Enter Cases'!E589,"")</f>
        <v/>
      </c>
      <c r="F589" t="str">
        <f>IF($A589&lt;&gt;"",'All Cases - Enter Cases'!F589,"")</f>
        <v/>
      </c>
      <c r="G589" t="str">
        <f>IF($A589&lt;&gt;"",'All Cases - Enter Cases'!G589,"")</f>
        <v/>
      </c>
      <c r="H589" t="str">
        <f>IF($A589&lt;&gt;"",'All Cases - Enter Cases'!H589,"")</f>
        <v/>
      </c>
      <c r="I589" t="str">
        <f>IF($A589&lt;&gt;"",'All Cases - Enter Cases'!I589,"")</f>
        <v/>
      </c>
      <c r="J589" t="str">
        <f>IF($A589&lt;&gt;"",'All Cases - Enter Cases'!J589,"")</f>
        <v/>
      </c>
      <c r="K589" t="str">
        <f>IF($A589&lt;&gt;"",'All Cases - Enter Cases'!K589,"")</f>
        <v/>
      </c>
      <c r="L589" t="str">
        <f>IF($A589&lt;&gt;"",'All Cases - Enter Cases'!L589,"")</f>
        <v/>
      </c>
      <c r="M589" t="str">
        <f>IF($A589&lt;&gt;"",'All Cases - Enter Cases'!M589,"")</f>
        <v/>
      </c>
    </row>
    <row r="590" spans="1:13" x14ac:dyDescent="0.35">
      <c r="A590" t="str">
        <f>IF('All Cases - Enter Cases'!$F590="KPK",'All Cases - Enter Cases'!A590,"")</f>
        <v/>
      </c>
      <c r="B590" t="str">
        <f>IF($A590&lt;&gt;"",'All Cases - Enter Cases'!B590,"")</f>
        <v/>
      </c>
      <c r="C590" t="str">
        <f>IF($A590&lt;&gt;"",'All Cases - Enter Cases'!C590,"")</f>
        <v/>
      </c>
      <c r="D590" t="str">
        <f>IF($A590&lt;&gt;"",'All Cases - Enter Cases'!D590,"")</f>
        <v/>
      </c>
      <c r="E590" t="str">
        <f>IF($A590&lt;&gt;"",'All Cases - Enter Cases'!E590,"")</f>
        <v/>
      </c>
      <c r="F590" t="str">
        <f>IF($A590&lt;&gt;"",'All Cases - Enter Cases'!F590,"")</f>
        <v/>
      </c>
      <c r="G590" t="str">
        <f>IF($A590&lt;&gt;"",'All Cases - Enter Cases'!G590,"")</f>
        <v/>
      </c>
      <c r="H590" t="str">
        <f>IF($A590&lt;&gt;"",'All Cases - Enter Cases'!H590,"")</f>
        <v/>
      </c>
      <c r="I590" t="str">
        <f>IF($A590&lt;&gt;"",'All Cases - Enter Cases'!I590,"")</f>
        <v/>
      </c>
      <c r="J590" t="str">
        <f>IF($A590&lt;&gt;"",'All Cases - Enter Cases'!J590,"")</f>
        <v/>
      </c>
      <c r="K590" t="str">
        <f>IF($A590&lt;&gt;"",'All Cases - Enter Cases'!K590,"")</f>
        <v/>
      </c>
      <c r="L590" t="str">
        <f>IF($A590&lt;&gt;"",'All Cases - Enter Cases'!L590,"")</f>
        <v/>
      </c>
      <c r="M590" t="str">
        <f>IF($A590&lt;&gt;"",'All Cases - Enter Cases'!M590,"")</f>
        <v/>
      </c>
    </row>
    <row r="591" spans="1:13" x14ac:dyDescent="0.35">
      <c r="A591" t="str">
        <f>IF('All Cases - Enter Cases'!$F591="KPK",'All Cases - Enter Cases'!A591,"")</f>
        <v/>
      </c>
      <c r="B591" t="str">
        <f>IF($A591&lt;&gt;"",'All Cases - Enter Cases'!B591,"")</f>
        <v/>
      </c>
      <c r="C591" t="str">
        <f>IF($A591&lt;&gt;"",'All Cases - Enter Cases'!C591,"")</f>
        <v/>
      </c>
      <c r="D591" t="str">
        <f>IF($A591&lt;&gt;"",'All Cases - Enter Cases'!D591,"")</f>
        <v/>
      </c>
      <c r="E591" t="str">
        <f>IF($A591&lt;&gt;"",'All Cases - Enter Cases'!E591,"")</f>
        <v/>
      </c>
      <c r="F591" t="str">
        <f>IF($A591&lt;&gt;"",'All Cases - Enter Cases'!F591,"")</f>
        <v/>
      </c>
      <c r="G591" t="str">
        <f>IF($A591&lt;&gt;"",'All Cases - Enter Cases'!G591,"")</f>
        <v/>
      </c>
      <c r="H591" t="str">
        <f>IF($A591&lt;&gt;"",'All Cases - Enter Cases'!H591,"")</f>
        <v/>
      </c>
      <c r="I591" t="str">
        <f>IF($A591&lt;&gt;"",'All Cases - Enter Cases'!I591,"")</f>
        <v/>
      </c>
      <c r="J591" t="str">
        <f>IF($A591&lt;&gt;"",'All Cases - Enter Cases'!J591,"")</f>
        <v/>
      </c>
      <c r="K591" t="str">
        <f>IF($A591&lt;&gt;"",'All Cases - Enter Cases'!K591,"")</f>
        <v/>
      </c>
      <c r="L591" t="str">
        <f>IF($A591&lt;&gt;"",'All Cases - Enter Cases'!L591,"")</f>
        <v/>
      </c>
      <c r="M591" t="str">
        <f>IF($A591&lt;&gt;"",'All Cases - Enter Cases'!M591,"")</f>
        <v/>
      </c>
    </row>
    <row r="592" spans="1:13" x14ac:dyDescent="0.35">
      <c r="A592" t="str">
        <f>IF('All Cases - Enter Cases'!$F592="KPK",'All Cases - Enter Cases'!A592,"")</f>
        <v/>
      </c>
      <c r="B592" t="str">
        <f>IF($A592&lt;&gt;"",'All Cases - Enter Cases'!B592,"")</f>
        <v/>
      </c>
      <c r="C592" t="str">
        <f>IF($A592&lt;&gt;"",'All Cases - Enter Cases'!C592,"")</f>
        <v/>
      </c>
      <c r="D592" t="str">
        <f>IF($A592&lt;&gt;"",'All Cases - Enter Cases'!D592,"")</f>
        <v/>
      </c>
      <c r="E592" t="str">
        <f>IF($A592&lt;&gt;"",'All Cases - Enter Cases'!E592,"")</f>
        <v/>
      </c>
      <c r="F592" t="str">
        <f>IF($A592&lt;&gt;"",'All Cases - Enter Cases'!F592,"")</f>
        <v/>
      </c>
      <c r="G592" t="str">
        <f>IF($A592&lt;&gt;"",'All Cases - Enter Cases'!G592,"")</f>
        <v/>
      </c>
      <c r="H592" t="str">
        <f>IF($A592&lt;&gt;"",'All Cases - Enter Cases'!H592,"")</f>
        <v/>
      </c>
      <c r="I592" t="str">
        <f>IF($A592&lt;&gt;"",'All Cases - Enter Cases'!I592,"")</f>
        <v/>
      </c>
      <c r="J592" t="str">
        <f>IF($A592&lt;&gt;"",'All Cases - Enter Cases'!J592,"")</f>
        <v/>
      </c>
      <c r="K592" t="str">
        <f>IF($A592&lt;&gt;"",'All Cases - Enter Cases'!K592,"")</f>
        <v/>
      </c>
      <c r="L592" t="str">
        <f>IF($A592&lt;&gt;"",'All Cases - Enter Cases'!L592,"")</f>
        <v/>
      </c>
      <c r="M592" t="str">
        <f>IF($A592&lt;&gt;"",'All Cases - Enter Cases'!M592,"")</f>
        <v/>
      </c>
    </row>
    <row r="593" spans="1:13" x14ac:dyDescent="0.35">
      <c r="A593" t="str">
        <f>IF('All Cases - Enter Cases'!$F593="KPK",'All Cases - Enter Cases'!A593,"")</f>
        <v/>
      </c>
      <c r="B593" t="str">
        <f>IF($A593&lt;&gt;"",'All Cases - Enter Cases'!B593,"")</f>
        <v/>
      </c>
      <c r="C593" t="str">
        <f>IF($A593&lt;&gt;"",'All Cases - Enter Cases'!C593,"")</f>
        <v/>
      </c>
      <c r="D593" t="str">
        <f>IF($A593&lt;&gt;"",'All Cases - Enter Cases'!D593,"")</f>
        <v/>
      </c>
      <c r="E593" t="str">
        <f>IF($A593&lt;&gt;"",'All Cases - Enter Cases'!E593,"")</f>
        <v/>
      </c>
      <c r="F593" t="str">
        <f>IF($A593&lt;&gt;"",'All Cases - Enter Cases'!F593,"")</f>
        <v/>
      </c>
      <c r="G593" t="str">
        <f>IF($A593&lt;&gt;"",'All Cases - Enter Cases'!G593,"")</f>
        <v/>
      </c>
      <c r="H593" t="str">
        <f>IF($A593&lt;&gt;"",'All Cases - Enter Cases'!H593,"")</f>
        <v/>
      </c>
      <c r="I593" t="str">
        <f>IF($A593&lt;&gt;"",'All Cases - Enter Cases'!I593,"")</f>
        <v/>
      </c>
      <c r="J593" t="str">
        <f>IF($A593&lt;&gt;"",'All Cases - Enter Cases'!J593,"")</f>
        <v/>
      </c>
      <c r="K593" t="str">
        <f>IF($A593&lt;&gt;"",'All Cases - Enter Cases'!K593,"")</f>
        <v/>
      </c>
      <c r="L593" t="str">
        <f>IF($A593&lt;&gt;"",'All Cases - Enter Cases'!L593,"")</f>
        <v/>
      </c>
      <c r="M593" t="str">
        <f>IF($A593&lt;&gt;"",'All Cases - Enter Cases'!M593,"")</f>
        <v/>
      </c>
    </row>
    <row r="594" spans="1:13" x14ac:dyDescent="0.35">
      <c r="A594" t="str">
        <f>IF('All Cases - Enter Cases'!$F594="KPK",'All Cases - Enter Cases'!A594,"")</f>
        <v/>
      </c>
      <c r="B594" t="str">
        <f>IF($A594&lt;&gt;"",'All Cases - Enter Cases'!B594,"")</f>
        <v/>
      </c>
      <c r="C594" t="str">
        <f>IF($A594&lt;&gt;"",'All Cases - Enter Cases'!C594,"")</f>
        <v/>
      </c>
      <c r="D594" t="str">
        <f>IF($A594&lt;&gt;"",'All Cases - Enter Cases'!D594,"")</f>
        <v/>
      </c>
      <c r="E594" t="str">
        <f>IF($A594&lt;&gt;"",'All Cases - Enter Cases'!E594,"")</f>
        <v/>
      </c>
      <c r="F594" t="str">
        <f>IF($A594&lt;&gt;"",'All Cases - Enter Cases'!F594,"")</f>
        <v/>
      </c>
      <c r="G594" t="str">
        <f>IF($A594&lt;&gt;"",'All Cases - Enter Cases'!G594,"")</f>
        <v/>
      </c>
      <c r="H594" t="str">
        <f>IF($A594&lt;&gt;"",'All Cases - Enter Cases'!H594,"")</f>
        <v/>
      </c>
      <c r="I594" t="str">
        <f>IF($A594&lt;&gt;"",'All Cases - Enter Cases'!I594,"")</f>
        <v/>
      </c>
      <c r="J594" t="str">
        <f>IF($A594&lt;&gt;"",'All Cases - Enter Cases'!J594,"")</f>
        <v/>
      </c>
      <c r="K594" t="str">
        <f>IF($A594&lt;&gt;"",'All Cases - Enter Cases'!K594,"")</f>
        <v/>
      </c>
      <c r="L594" t="str">
        <f>IF($A594&lt;&gt;"",'All Cases - Enter Cases'!L594,"")</f>
        <v/>
      </c>
      <c r="M594" t="str">
        <f>IF($A594&lt;&gt;"",'All Cases - Enter Cases'!M594,"")</f>
        <v/>
      </c>
    </row>
    <row r="595" spans="1:13" x14ac:dyDescent="0.35">
      <c r="A595" t="str">
        <f>IF('All Cases - Enter Cases'!$F595="KPK",'All Cases - Enter Cases'!A595,"")</f>
        <v/>
      </c>
      <c r="B595" t="str">
        <f>IF($A595&lt;&gt;"",'All Cases - Enter Cases'!B595,"")</f>
        <v/>
      </c>
      <c r="C595" t="str">
        <f>IF($A595&lt;&gt;"",'All Cases - Enter Cases'!C595,"")</f>
        <v/>
      </c>
      <c r="D595" t="str">
        <f>IF($A595&lt;&gt;"",'All Cases - Enter Cases'!D595,"")</f>
        <v/>
      </c>
      <c r="E595" t="str">
        <f>IF($A595&lt;&gt;"",'All Cases - Enter Cases'!E595,"")</f>
        <v/>
      </c>
      <c r="F595" t="str">
        <f>IF($A595&lt;&gt;"",'All Cases - Enter Cases'!F595,"")</f>
        <v/>
      </c>
      <c r="G595" t="str">
        <f>IF($A595&lt;&gt;"",'All Cases - Enter Cases'!G595,"")</f>
        <v/>
      </c>
      <c r="H595" t="str">
        <f>IF($A595&lt;&gt;"",'All Cases - Enter Cases'!H595,"")</f>
        <v/>
      </c>
      <c r="I595" t="str">
        <f>IF($A595&lt;&gt;"",'All Cases - Enter Cases'!I595,"")</f>
        <v/>
      </c>
      <c r="J595" t="str">
        <f>IF($A595&lt;&gt;"",'All Cases - Enter Cases'!J595,"")</f>
        <v/>
      </c>
      <c r="K595" t="str">
        <f>IF($A595&lt;&gt;"",'All Cases - Enter Cases'!K595,"")</f>
        <v/>
      </c>
      <c r="L595" t="str">
        <f>IF($A595&lt;&gt;"",'All Cases - Enter Cases'!L595,"")</f>
        <v/>
      </c>
      <c r="M595" t="str">
        <f>IF($A595&lt;&gt;"",'All Cases - Enter Cases'!M595,"")</f>
        <v/>
      </c>
    </row>
    <row r="596" spans="1:13" x14ac:dyDescent="0.35">
      <c r="A596" t="str">
        <f>IF('All Cases - Enter Cases'!$F596="KPK",'All Cases - Enter Cases'!A596,"")</f>
        <v/>
      </c>
      <c r="B596" t="str">
        <f>IF($A596&lt;&gt;"",'All Cases - Enter Cases'!B596,"")</f>
        <v/>
      </c>
      <c r="C596" t="str">
        <f>IF($A596&lt;&gt;"",'All Cases - Enter Cases'!C596,"")</f>
        <v/>
      </c>
      <c r="D596" t="str">
        <f>IF($A596&lt;&gt;"",'All Cases - Enter Cases'!D596,"")</f>
        <v/>
      </c>
      <c r="E596" t="str">
        <f>IF($A596&lt;&gt;"",'All Cases - Enter Cases'!E596,"")</f>
        <v/>
      </c>
      <c r="F596" t="str">
        <f>IF($A596&lt;&gt;"",'All Cases - Enter Cases'!F596,"")</f>
        <v/>
      </c>
      <c r="G596" t="str">
        <f>IF($A596&lt;&gt;"",'All Cases - Enter Cases'!G596,"")</f>
        <v/>
      </c>
      <c r="H596" t="str">
        <f>IF($A596&lt;&gt;"",'All Cases - Enter Cases'!H596,"")</f>
        <v/>
      </c>
      <c r="I596" t="str">
        <f>IF($A596&lt;&gt;"",'All Cases - Enter Cases'!I596,"")</f>
        <v/>
      </c>
      <c r="J596" t="str">
        <f>IF($A596&lt;&gt;"",'All Cases - Enter Cases'!J596,"")</f>
        <v/>
      </c>
      <c r="K596" t="str">
        <f>IF($A596&lt;&gt;"",'All Cases - Enter Cases'!K596,"")</f>
        <v/>
      </c>
      <c r="L596" t="str">
        <f>IF($A596&lt;&gt;"",'All Cases - Enter Cases'!L596,"")</f>
        <v/>
      </c>
      <c r="M596" t="str">
        <f>IF($A596&lt;&gt;"",'All Cases - Enter Cases'!M596,"")</f>
        <v/>
      </c>
    </row>
    <row r="597" spans="1:13" x14ac:dyDescent="0.35">
      <c r="A597" t="str">
        <f>IF('All Cases - Enter Cases'!$F597="KPK",'All Cases - Enter Cases'!A597,"")</f>
        <v/>
      </c>
      <c r="B597" t="str">
        <f>IF($A597&lt;&gt;"",'All Cases - Enter Cases'!B597,"")</f>
        <v/>
      </c>
      <c r="C597" t="str">
        <f>IF($A597&lt;&gt;"",'All Cases - Enter Cases'!C597,"")</f>
        <v/>
      </c>
      <c r="D597" t="str">
        <f>IF($A597&lt;&gt;"",'All Cases - Enter Cases'!D597,"")</f>
        <v/>
      </c>
      <c r="E597" t="str">
        <f>IF($A597&lt;&gt;"",'All Cases - Enter Cases'!E597,"")</f>
        <v/>
      </c>
      <c r="F597" t="str">
        <f>IF($A597&lt;&gt;"",'All Cases - Enter Cases'!F597,"")</f>
        <v/>
      </c>
      <c r="G597" t="str">
        <f>IF($A597&lt;&gt;"",'All Cases - Enter Cases'!G597,"")</f>
        <v/>
      </c>
      <c r="H597" t="str">
        <f>IF($A597&lt;&gt;"",'All Cases - Enter Cases'!H597,"")</f>
        <v/>
      </c>
      <c r="I597" t="str">
        <f>IF($A597&lt;&gt;"",'All Cases - Enter Cases'!I597,"")</f>
        <v/>
      </c>
      <c r="J597" t="str">
        <f>IF($A597&lt;&gt;"",'All Cases - Enter Cases'!J597,"")</f>
        <v/>
      </c>
      <c r="K597" t="str">
        <f>IF($A597&lt;&gt;"",'All Cases - Enter Cases'!K597,"")</f>
        <v/>
      </c>
      <c r="L597" t="str">
        <f>IF($A597&lt;&gt;"",'All Cases - Enter Cases'!L597,"")</f>
        <v/>
      </c>
      <c r="M597" t="str">
        <f>IF($A597&lt;&gt;"",'All Cases - Enter Cases'!M597,"")</f>
        <v/>
      </c>
    </row>
    <row r="598" spans="1:13" x14ac:dyDescent="0.35">
      <c r="A598" t="str">
        <f>IF('All Cases - Enter Cases'!$F598="KPK",'All Cases - Enter Cases'!A598,"")</f>
        <v/>
      </c>
      <c r="B598" t="str">
        <f>IF($A598&lt;&gt;"",'All Cases - Enter Cases'!B598,"")</f>
        <v/>
      </c>
      <c r="C598" t="str">
        <f>IF($A598&lt;&gt;"",'All Cases - Enter Cases'!C598,"")</f>
        <v/>
      </c>
      <c r="D598" t="str">
        <f>IF($A598&lt;&gt;"",'All Cases - Enter Cases'!D598,"")</f>
        <v/>
      </c>
      <c r="E598" t="str">
        <f>IF($A598&lt;&gt;"",'All Cases - Enter Cases'!E598,"")</f>
        <v/>
      </c>
      <c r="F598" t="str">
        <f>IF($A598&lt;&gt;"",'All Cases - Enter Cases'!F598,"")</f>
        <v/>
      </c>
      <c r="G598" t="str">
        <f>IF($A598&lt;&gt;"",'All Cases - Enter Cases'!G598,"")</f>
        <v/>
      </c>
      <c r="H598" t="str">
        <f>IF($A598&lt;&gt;"",'All Cases - Enter Cases'!H598,"")</f>
        <v/>
      </c>
      <c r="I598" t="str">
        <f>IF($A598&lt;&gt;"",'All Cases - Enter Cases'!I598,"")</f>
        <v/>
      </c>
      <c r="J598" t="str">
        <f>IF($A598&lt;&gt;"",'All Cases - Enter Cases'!J598,"")</f>
        <v/>
      </c>
      <c r="K598" t="str">
        <f>IF($A598&lt;&gt;"",'All Cases - Enter Cases'!K598,"")</f>
        <v/>
      </c>
      <c r="L598" t="str">
        <f>IF($A598&lt;&gt;"",'All Cases - Enter Cases'!L598,"")</f>
        <v/>
      </c>
      <c r="M598" t="str">
        <f>IF($A598&lt;&gt;"",'All Cases - Enter Cases'!M598,"")</f>
        <v/>
      </c>
    </row>
    <row r="599" spans="1:13" x14ac:dyDescent="0.35">
      <c r="A599" t="str">
        <f>IF('All Cases - Enter Cases'!$F599="KPK",'All Cases - Enter Cases'!A599,"")</f>
        <v/>
      </c>
      <c r="B599" t="str">
        <f>IF($A599&lt;&gt;"",'All Cases - Enter Cases'!B599,"")</f>
        <v/>
      </c>
      <c r="C599" t="str">
        <f>IF($A599&lt;&gt;"",'All Cases - Enter Cases'!C599,"")</f>
        <v/>
      </c>
      <c r="D599" t="str">
        <f>IF($A599&lt;&gt;"",'All Cases - Enter Cases'!D599,"")</f>
        <v/>
      </c>
      <c r="E599" t="str">
        <f>IF($A599&lt;&gt;"",'All Cases - Enter Cases'!E599,"")</f>
        <v/>
      </c>
      <c r="F599" t="str">
        <f>IF($A599&lt;&gt;"",'All Cases - Enter Cases'!F599,"")</f>
        <v/>
      </c>
      <c r="G599" t="str">
        <f>IF($A599&lt;&gt;"",'All Cases - Enter Cases'!G599,"")</f>
        <v/>
      </c>
      <c r="H599" t="str">
        <f>IF($A599&lt;&gt;"",'All Cases - Enter Cases'!H599,"")</f>
        <v/>
      </c>
      <c r="I599" t="str">
        <f>IF($A599&lt;&gt;"",'All Cases - Enter Cases'!I599,"")</f>
        <v/>
      </c>
      <c r="J599" t="str">
        <f>IF($A599&lt;&gt;"",'All Cases - Enter Cases'!J599,"")</f>
        <v/>
      </c>
      <c r="K599" t="str">
        <f>IF($A599&lt;&gt;"",'All Cases - Enter Cases'!K599,"")</f>
        <v/>
      </c>
      <c r="L599" t="str">
        <f>IF($A599&lt;&gt;"",'All Cases - Enter Cases'!L599,"")</f>
        <v/>
      </c>
      <c r="M599" t="str">
        <f>IF($A599&lt;&gt;"",'All Cases - Enter Cases'!M599,"")</f>
        <v/>
      </c>
    </row>
    <row r="600" spans="1:13" x14ac:dyDescent="0.35">
      <c r="A600" t="str">
        <f>IF('All Cases - Enter Cases'!$F600="KPK",'All Cases - Enter Cases'!A600,"")</f>
        <v/>
      </c>
      <c r="B600" t="str">
        <f>IF($A600&lt;&gt;"",'All Cases - Enter Cases'!B600,"")</f>
        <v/>
      </c>
      <c r="C600" t="str">
        <f>IF($A600&lt;&gt;"",'All Cases - Enter Cases'!C600,"")</f>
        <v/>
      </c>
      <c r="D600" t="str">
        <f>IF($A600&lt;&gt;"",'All Cases - Enter Cases'!D600,"")</f>
        <v/>
      </c>
      <c r="E600" t="str">
        <f>IF($A600&lt;&gt;"",'All Cases - Enter Cases'!E600,"")</f>
        <v/>
      </c>
      <c r="F600" t="str">
        <f>IF($A600&lt;&gt;"",'All Cases - Enter Cases'!F600,"")</f>
        <v/>
      </c>
      <c r="G600" t="str">
        <f>IF($A600&lt;&gt;"",'All Cases - Enter Cases'!G600,"")</f>
        <v/>
      </c>
      <c r="H600" t="str">
        <f>IF($A600&lt;&gt;"",'All Cases - Enter Cases'!H600,"")</f>
        <v/>
      </c>
      <c r="I600" t="str">
        <f>IF($A600&lt;&gt;"",'All Cases - Enter Cases'!I600,"")</f>
        <v/>
      </c>
      <c r="J600" t="str">
        <f>IF($A600&lt;&gt;"",'All Cases - Enter Cases'!J600,"")</f>
        <v/>
      </c>
      <c r="K600" t="str">
        <f>IF($A600&lt;&gt;"",'All Cases - Enter Cases'!K600,"")</f>
        <v/>
      </c>
      <c r="L600" t="str">
        <f>IF($A600&lt;&gt;"",'All Cases - Enter Cases'!L600,"")</f>
        <v/>
      </c>
      <c r="M600" t="str">
        <f>IF($A600&lt;&gt;"",'All Cases - Enter Cases'!M600,"")</f>
        <v/>
      </c>
    </row>
    <row r="601" spans="1:13" x14ac:dyDescent="0.35">
      <c r="A601" t="str">
        <f>IF('All Cases - Enter Cases'!$F601="KPK",'All Cases - Enter Cases'!A601,"")</f>
        <v/>
      </c>
      <c r="B601" t="str">
        <f>IF($A601&lt;&gt;"",'All Cases - Enter Cases'!B601,"")</f>
        <v/>
      </c>
      <c r="C601" t="str">
        <f>IF($A601&lt;&gt;"",'All Cases - Enter Cases'!C601,"")</f>
        <v/>
      </c>
      <c r="D601" t="str">
        <f>IF($A601&lt;&gt;"",'All Cases - Enter Cases'!D601,"")</f>
        <v/>
      </c>
      <c r="E601" t="str">
        <f>IF($A601&lt;&gt;"",'All Cases - Enter Cases'!E601,"")</f>
        <v/>
      </c>
      <c r="F601" t="str">
        <f>IF($A601&lt;&gt;"",'All Cases - Enter Cases'!F601,"")</f>
        <v/>
      </c>
      <c r="G601" t="str">
        <f>IF($A601&lt;&gt;"",'All Cases - Enter Cases'!G601,"")</f>
        <v/>
      </c>
      <c r="H601" t="str">
        <f>IF($A601&lt;&gt;"",'All Cases - Enter Cases'!H601,"")</f>
        <v/>
      </c>
      <c r="I601" t="str">
        <f>IF($A601&lt;&gt;"",'All Cases - Enter Cases'!I601,"")</f>
        <v/>
      </c>
      <c r="J601" t="str">
        <f>IF($A601&lt;&gt;"",'All Cases - Enter Cases'!J601,"")</f>
        <v/>
      </c>
      <c r="K601" t="str">
        <f>IF($A601&lt;&gt;"",'All Cases - Enter Cases'!K601,"")</f>
        <v/>
      </c>
      <c r="L601" t="str">
        <f>IF($A601&lt;&gt;"",'All Cases - Enter Cases'!L601,"")</f>
        <v/>
      </c>
      <c r="M601" t="str">
        <f>IF($A601&lt;&gt;"",'All Cases - Enter Cases'!M601,"")</f>
        <v/>
      </c>
    </row>
    <row r="602" spans="1:13" x14ac:dyDescent="0.35">
      <c r="A602" t="str">
        <f>IF('All Cases - Enter Cases'!$F602="KPK",'All Cases - Enter Cases'!A602,"")</f>
        <v/>
      </c>
      <c r="B602" t="str">
        <f>IF($A602&lt;&gt;"",'All Cases - Enter Cases'!B602,"")</f>
        <v/>
      </c>
      <c r="C602" t="str">
        <f>IF($A602&lt;&gt;"",'All Cases - Enter Cases'!C602,"")</f>
        <v/>
      </c>
      <c r="D602" t="str">
        <f>IF($A602&lt;&gt;"",'All Cases - Enter Cases'!D602,"")</f>
        <v/>
      </c>
      <c r="E602" t="str">
        <f>IF($A602&lt;&gt;"",'All Cases - Enter Cases'!E602,"")</f>
        <v/>
      </c>
      <c r="F602" t="str">
        <f>IF($A602&lt;&gt;"",'All Cases - Enter Cases'!F602,"")</f>
        <v/>
      </c>
      <c r="G602" t="str">
        <f>IF($A602&lt;&gt;"",'All Cases - Enter Cases'!G602,"")</f>
        <v/>
      </c>
      <c r="H602" t="str">
        <f>IF($A602&lt;&gt;"",'All Cases - Enter Cases'!H602,"")</f>
        <v/>
      </c>
      <c r="I602" t="str">
        <f>IF($A602&lt;&gt;"",'All Cases - Enter Cases'!I602,"")</f>
        <v/>
      </c>
      <c r="J602" t="str">
        <f>IF($A602&lt;&gt;"",'All Cases - Enter Cases'!J602,"")</f>
        <v/>
      </c>
      <c r="K602" t="str">
        <f>IF($A602&lt;&gt;"",'All Cases - Enter Cases'!K602,"")</f>
        <v/>
      </c>
      <c r="L602" t="str">
        <f>IF($A602&lt;&gt;"",'All Cases - Enter Cases'!L602,"")</f>
        <v/>
      </c>
      <c r="M602" t="str">
        <f>IF($A602&lt;&gt;"",'All Cases - Enter Cases'!M602,"")</f>
        <v/>
      </c>
    </row>
    <row r="603" spans="1:13" x14ac:dyDescent="0.35">
      <c r="A603" t="str">
        <f>IF('All Cases - Enter Cases'!$F603="KPK",'All Cases - Enter Cases'!A603,"")</f>
        <v/>
      </c>
      <c r="B603" t="str">
        <f>IF($A603&lt;&gt;"",'All Cases - Enter Cases'!B603,"")</f>
        <v/>
      </c>
      <c r="C603" t="str">
        <f>IF($A603&lt;&gt;"",'All Cases - Enter Cases'!C603,"")</f>
        <v/>
      </c>
      <c r="D603" t="str">
        <f>IF($A603&lt;&gt;"",'All Cases - Enter Cases'!D603,"")</f>
        <v/>
      </c>
      <c r="E603" t="str">
        <f>IF($A603&lt;&gt;"",'All Cases - Enter Cases'!E603,"")</f>
        <v/>
      </c>
      <c r="F603" t="str">
        <f>IF($A603&lt;&gt;"",'All Cases - Enter Cases'!F603,"")</f>
        <v/>
      </c>
      <c r="G603" t="str">
        <f>IF($A603&lt;&gt;"",'All Cases - Enter Cases'!G603,"")</f>
        <v/>
      </c>
      <c r="H603" t="str">
        <f>IF($A603&lt;&gt;"",'All Cases - Enter Cases'!H603,"")</f>
        <v/>
      </c>
      <c r="I603" t="str">
        <f>IF($A603&lt;&gt;"",'All Cases - Enter Cases'!I603,"")</f>
        <v/>
      </c>
      <c r="J603" t="str">
        <f>IF($A603&lt;&gt;"",'All Cases - Enter Cases'!J603,"")</f>
        <v/>
      </c>
      <c r="K603" t="str">
        <f>IF($A603&lt;&gt;"",'All Cases - Enter Cases'!K603,"")</f>
        <v/>
      </c>
      <c r="L603" t="str">
        <f>IF($A603&lt;&gt;"",'All Cases - Enter Cases'!L603,"")</f>
        <v/>
      </c>
      <c r="M603" t="str">
        <f>IF($A603&lt;&gt;"",'All Cases - Enter Cases'!M603,"")</f>
        <v/>
      </c>
    </row>
    <row r="604" spans="1:13" x14ac:dyDescent="0.35">
      <c r="A604" t="str">
        <f>IF('All Cases - Enter Cases'!$F604="KPK",'All Cases - Enter Cases'!A604,"")</f>
        <v/>
      </c>
      <c r="B604" t="str">
        <f>IF($A604&lt;&gt;"",'All Cases - Enter Cases'!B604,"")</f>
        <v/>
      </c>
      <c r="C604" t="str">
        <f>IF($A604&lt;&gt;"",'All Cases - Enter Cases'!C604,"")</f>
        <v/>
      </c>
      <c r="D604" t="str">
        <f>IF($A604&lt;&gt;"",'All Cases - Enter Cases'!D604,"")</f>
        <v/>
      </c>
      <c r="E604" t="str">
        <f>IF($A604&lt;&gt;"",'All Cases - Enter Cases'!E604,"")</f>
        <v/>
      </c>
      <c r="F604" t="str">
        <f>IF($A604&lt;&gt;"",'All Cases - Enter Cases'!F604,"")</f>
        <v/>
      </c>
      <c r="G604" t="str">
        <f>IF($A604&lt;&gt;"",'All Cases - Enter Cases'!G604,"")</f>
        <v/>
      </c>
      <c r="H604" t="str">
        <f>IF($A604&lt;&gt;"",'All Cases - Enter Cases'!H604,"")</f>
        <v/>
      </c>
      <c r="I604" t="str">
        <f>IF($A604&lt;&gt;"",'All Cases - Enter Cases'!I604,"")</f>
        <v/>
      </c>
      <c r="J604" t="str">
        <f>IF($A604&lt;&gt;"",'All Cases - Enter Cases'!J604,"")</f>
        <v/>
      </c>
      <c r="K604" t="str">
        <f>IF($A604&lt;&gt;"",'All Cases - Enter Cases'!K604,"")</f>
        <v/>
      </c>
      <c r="L604" t="str">
        <f>IF($A604&lt;&gt;"",'All Cases - Enter Cases'!L604,"")</f>
        <v/>
      </c>
      <c r="M604" t="str">
        <f>IF($A604&lt;&gt;"",'All Cases - Enter Cases'!M604,"")</f>
        <v/>
      </c>
    </row>
    <row r="605" spans="1:13" x14ac:dyDescent="0.35">
      <c r="A605" t="str">
        <f>IF('All Cases - Enter Cases'!$F605="KPK",'All Cases - Enter Cases'!A605,"")</f>
        <v/>
      </c>
      <c r="B605" t="str">
        <f>IF($A605&lt;&gt;"",'All Cases - Enter Cases'!B605,"")</f>
        <v/>
      </c>
      <c r="C605" t="str">
        <f>IF($A605&lt;&gt;"",'All Cases - Enter Cases'!C605,"")</f>
        <v/>
      </c>
      <c r="D605" t="str">
        <f>IF($A605&lt;&gt;"",'All Cases - Enter Cases'!D605,"")</f>
        <v/>
      </c>
      <c r="E605" t="str">
        <f>IF($A605&lt;&gt;"",'All Cases - Enter Cases'!E605,"")</f>
        <v/>
      </c>
      <c r="F605" t="str">
        <f>IF($A605&lt;&gt;"",'All Cases - Enter Cases'!F605,"")</f>
        <v/>
      </c>
      <c r="G605" t="str">
        <f>IF($A605&lt;&gt;"",'All Cases - Enter Cases'!G605,"")</f>
        <v/>
      </c>
      <c r="H605" t="str">
        <f>IF($A605&lt;&gt;"",'All Cases - Enter Cases'!H605,"")</f>
        <v/>
      </c>
      <c r="I605" t="str">
        <f>IF($A605&lt;&gt;"",'All Cases - Enter Cases'!I605,"")</f>
        <v/>
      </c>
      <c r="J605" t="str">
        <f>IF($A605&lt;&gt;"",'All Cases - Enter Cases'!J605,"")</f>
        <v/>
      </c>
      <c r="K605" t="str">
        <f>IF($A605&lt;&gt;"",'All Cases - Enter Cases'!K605,"")</f>
        <v/>
      </c>
      <c r="L605" t="str">
        <f>IF($A605&lt;&gt;"",'All Cases - Enter Cases'!L605,"")</f>
        <v/>
      </c>
      <c r="M605" t="str">
        <f>IF($A605&lt;&gt;"",'All Cases - Enter Cases'!M605,"")</f>
        <v/>
      </c>
    </row>
    <row r="606" spans="1:13" x14ac:dyDescent="0.35">
      <c r="A606" t="str">
        <f>IF('All Cases - Enter Cases'!$F606="KPK",'All Cases - Enter Cases'!A606,"")</f>
        <v/>
      </c>
      <c r="B606" t="str">
        <f>IF($A606&lt;&gt;"",'All Cases - Enter Cases'!B606,"")</f>
        <v/>
      </c>
      <c r="C606" t="str">
        <f>IF($A606&lt;&gt;"",'All Cases - Enter Cases'!C606,"")</f>
        <v/>
      </c>
      <c r="D606" t="str">
        <f>IF($A606&lt;&gt;"",'All Cases - Enter Cases'!D606,"")</f>
        <v/>
      </c>
      <c r="E606" t="str">
        <f>IF($A606&lt;&gt;"",'All Cases - Enter Cases'!E606,"")</f>
        <v/>
      </c>
      <c r="F606" t="str">
        <f>IF($A606&lt;&gt;"",'All Cases - Enter Cases'!F606,"")</f>
        <v/>
      </c>
      <c r="G606" t="str">
        <f>IF($A606&lt;&gt;"",'All Cases - Enter Cases'!G606,"")</f>
        <v/>
      </c>
      <c r="H606" t="str">
        <f>IF($A606&lt;&gt;"",'All Cases - Enter Cases'!H606,"")</f>
        <v/>
      </c>
      <c r="I606" t="str">
        <f>IF($A606&lt;&gt;"",'All Cases - Enter Cases'!I606,"")</f>
        <v/>
      </c>
      <c r="J606" t="str">
        <f>IF($A606&lt;&gt;"",'All Cases - Enter Cases'!J606,"")</f>
        <v/>
      </c>
      <c r="K606" t="str">
        <f>IF($A606&lt;&gt;"",'All Cases - Enter Cases'!K606,"")</f>
        <v/>
      </c>
      <c r="L606" t="str">
        <f>IF($A606&lt;&gt;"",'All Cases - Enter Cases'!L606,"")</f>
        <v/>
      </c>
      <c r="M606" t="str">
        <f>IF($A606&lt;&gt;"",'All Cases - Enter Cases'!M606,"")</f>
        <v/>
      </c>
    </row>
    <row r="607" spans="1:13" x14ac:dyDescent="0.35">
      <c r="A607" t="str">
        <f>IF('All Cases - Enter Cases'!$F607="KPK",'All Cases - Enter Cases'!A607,"")</f>
        <v/>
      </c>
      <c r="B607" t="str">
        <f>IF($A607&lt;&gt;"",'All Cases - Enter Cases'!B607,"")</f>
        <v/>
      </c>
      <c r="C607" t="str">
        <f>IF($A607&lt;&gt;"",'All Cases - Enter Cases'!C607,"")</f>
        <v/>
      </c>
      <c r="D607" t="str">
        <f>IF($A607&lt;&gt;"",'All Cases - Enter Cases'!D607,"")</f>
        <v/>
      </c>
      <c r="E607" t="str">
        <f>IF($A607&lt;&gt;"",'All Cases - Enter Cases'!E607,"")</f>
        <v/>
      </c>
      <c r="F607" t="str">
        <f>IF($A607&lt;&gt;"",'All Cases - Enter Cases'!F607,"")</f>
        <v/>
      </c>
      <c r="G607" t="str">
        <f>IF($A607&lt;&gt;"",'All Cases - Enter Cases'!G607,"")</f>
        <v/>
      </c>
      <c r="H607" t="str">
        <f>IF($A607&lt;&gt;"",'All Cases - Enter Cases'!H607,"")</f>
        <v/>
      </c>
      <c r="I607" t="str">
        <f>IF($A607&lt;&gt;"",'All Cases - Enter Cases'!I607,"")</f>
        <v/>
      </c>
      <c r="J607" t="str">
        <f>IF($A607&lt;&gt;"",'All Cases - Enter Cases'!J607,"")</f>
        <v/>
      </c>
      <c r="K607" t="str">
        <f>IF($A607&lt;&gt;"",'All Cases - Enter Cases'!K607,"")</f>
        <v/>
      </c>
      <c r="L607" t="str">
        <f>IF($A607&lt;&gt;"",'All Cases - Enter Cases'!L607,"")</f>
        <v/>
      </c>
      <c r="M607" t="str">
        <f>IF($A607&lt;&gt;"",'All Cases - Enter Cases'!M607,"")</f>
        <v/>
      </c>
    </row>
    <row r="608" spans="1:13" x14ac:dyDescent="0.35">
      <c r="A608" t="str">
        <f>IF('All Cases - Enter Cases'!$F608="KPK",'All Cases - Enter Cases'!A608,"")</f>
        <v/>
      </c>
      <c r="B608" t="str">
        <f>IF($A608&lt;&gt;"",'All Cases - Enter Cases'!B608,"")</f>
        <v/>
      </c>
      <c r="C608" t="str">
        <f>IF($A608&lt;&gt;"",'All Cases - Enter Cases'!C608,"")</f>
        <v/>
      </c>
      <c r="D608" t="str">
        <f>IF($A608&lt;&gt;"",'All Cases - Enter Cases'!D608,"")</f>
        <v/>
      </c>
      <c r="E608" t="str">
        <f>IF($A608&lt;&gt;"",'All Cases - Enter Cases'!E608,"")</f>
        <v/>
      </c>
      <c r="F608" t="str">
        <f>IF($A608&lt;&gt;"",'All Cases - Enter Cases'!F608,"")</f>
        <v/>
      </c>
      <c r="G608" t="str">
        <f>IF($A608&lt;&gt;"",'All Cases - Enter Cases'!G608,"")</f>
        <v/>
      </c>
      <c r="H608" t="str">
        <f>IF($A608&lt;&gt;"",'All Cases - Enter Cases'!H608,"")</f>
        <v/>
      </c>
      <c r="I608" t="str">
        <f>IF($A608&lt;&gt;"",'All Cases - Enter Cases'!I608,"")</f>
        <v/>
      </c>
      <c r="J608" t="str">
        <f>IF($A608&lt;&gt;"",'All Cases - Enter Cases'!J608,"")</f>
        <v/>
      </c>
      <c r="K608" t="str">
        <f>IF($A608&lt;&gt;"",'All Cases - Enter Cases'!K608,"")</f>
        <v/>
      </c>
      <c r="L608" t="str">
        <f>IF($A608&lt;&gt;"",'All Cases - Enter Cases'!L608,"")</f>
        <v/>
      </c>
      <c r="M608" t="str">
        <f>IF($A608&lt;&gt;"",'All Cases - Enter Cases'!M608,"")</f>
        <v/>
      </c>
    </row>
    <row r="609" spans="1:13" x14ac:dyDescent="0.35">
      <c r="A609" t="str">
        <f>IF('All Cases - Enter Cases'!$F609="KPK",'All Cases - Enter Cases'!A609,"")</f>
        <v/>
      </c>
      <c r="B609" t="str">
        <f>IF($A609&lt;&gt;"",'All Cases - Enter Cases'!B609,"")</f>
        <v/>
      </c>
      <c r="C609" t="str">
        <f>IF($A609&lt;&gt;"",'All Cases - Enter Cases'!C609,"")</f>
        <v/>
      </c>
      <c r="D609" t="str">
        <f>IF($A609&lt;&gt;"",'All Cases - Enter Cases'!D609,"")</f>
        <v/>
      </c>
      <c r="E609" t="str">
        <f>IF($A609&lt;&gt;"",'All Cases - Enter Cases'!E609,"")</f>
        <v/>
      </c>
      <c r="F609" t="str">
        <f>IF($A609&lt;&gt;"",'All Cases - Enter Cases'!F609,"")</f>
        <v/>
      </c>
      <c r="G609" t="str">
        <f>IF($A609&lt;&gt;"",'All Cases - Enter Cases'!G609,"")</f>
        <v/>
      </c>
      <c r="H609" t="str">
        <f>IF($A609&lt;&gt;"",'All Cases - Enter Cases'!H609,"")</f>
        <v/>
      </c>
      <c r="I609" t="str">
        <f>IF($A609&lt;&gt;"",'All Cases - Enter Cases'!I609,"")</f>
        <v/>
      </c>
      <c r="J609" t="str">
        <f>IF($A609&lt;&gt;"",'All Cases - Enter Cases'!J609,"")</f>
        <v/>
      </c>
      <c r="K609" t="str">
        <f>IF($A609&lt;&gt;"",'All Cases - Enter Cases'!K609,"")</f>
        <v/>
      </c>
      <c r="L609" t="str">
        <f>IF($A609&lt;&gt;"",'All Cases - Enter Cases'!L609,"")</f>
        <v/>
      </c>
      <c r="M609" t="str">
        <f>IF($A609&lt;&gt;"",'All Cases - Enter Cases'!M609,"")</f>
        <v/>
      </c>
    </row>
    <row r="610" spans="1:13" x14ac:dyDescent="0.35">
      <c r="A610" t="str">
        <f>IF('All Cases - Enter Cases'!$F610="KPK",'All Cases - Enter Cases'!A610,"")</f>
        <v/>
      </c>
      <c r="B610" t="str">
        <f>IF($A610&lt;&gt;"",'All Cases - Enter Cases'!B610,"")</f>
        <v/>
      </c>
      <c r="C610" t="str">
        <f>IF($A610&lt;&gt;"",'All Cases - Enter Cases'!C610,"")</f>
        <v/>
      </c>
      <c r="D610" t="str">
        <f>IF($A610&lt;&gt;"",'All Cases - Enter Cases'!D610,"")</f>
        <v/>
      </c>
      <c r="E610" t="str">
        <f>IF($A610&lt;&gt;"",'All Cases - Enter Cases'!E610,"")</f>
        <v/>
      </c>
      <c r="F610" t="str">
        <f>IF($A610&lt;&gt;"",'All Cases - Enter Cases'!F610,"")</f>
        <v/>
      </c>
      <c r="G610" t="str">
        <f>IF($A610&lt;&gt;"",'All Cases - Enter Cases'!G610,"")</f>
        <v/>
      </c>
      <c r="H610" t="str">
        <f>IF($A610&lt;&gt;"",'All Cases - Enter Cases'!H610,"")</f>
        <v/>
      </c>
      <c r="I610" t="str">
        <f>IF($A610&lt;&gt;"",'All Cases - Enter Cases'!I610,"")</f>
        <v/>
      </c>
      <c r="J610" t="str">
        <f>IF($A610&lt;&gt;"",'All Cases - Enter Cases'!J610,"")</f>
        <v/>
      </c>
      <c r="K610" t="str">
        <f>IF($A610&lt;&gt;"",'All Cases - Enter Cases'!K610,"")</f>
        <v/>
      </c>
      <c r="L610" t="str">
        <f>IF($A610&lt;&gt;"",'All Cases - Enter Cases'!L610,"")</f>
        <v/>
      </c>
      <c r="M610" t="str">
        <f>IF($A610&lt;&gt;"",'All Cases - Enter Cases'!M610,"")</f>
        <v/>
      </c>
    </row>
    <row r="611" spans="1:13" x14ac:dyDescent="0.35">
      <c r="A611" t="str">
        <f>IF('All Cases - Enter Cases'!$F611="KPK",'All Cases - Enter Cases'!A611,"")</f>
        <v/>
      </c>
      <c r="B611" t="str">
        <f>IF($A611&lt;&gt;"",'All Cases - Enter Cases'!B611,"")</f>
        <v/>
      </c>
      <c r="C611" t="str">
        <f>IF($A611&lt;&gt;"",'All Cases - Enter Cases'!C611,"")</f>
        <v/>
      </c>
      <c r="D611" t="str">
        <f>IF($A611&lt;&gt;"",'All Cases - Enter Cases'!D611,"")</f>
        <v/>
      </c>
      <c r="E611" t="str">
        <f>IF($A611&lt;&gt;"",'All Cases - Enter Cases'!E611,"")</f>
        <v/>
      </c>
      <c r="F611" t="str">
        <f>IF($A611&lt;&gt;"",'All Cases - Enter Cases'!F611,"")</f>
        <v/>
      </c>
      <c r="G611" t="str">
        <f>IF($A611&lt;&gt;"",'All Cases - Enter Cases'!G611,"")</f>
        <v/>
      </c>
      <c r="H611" t="str">
        <f>IF($A611&lt;&gt;"",'All Cases - Enter Cases'!H611,"")</f>
        <v/>
      </c>
      <c r="I611" t="str">
        <f>IF($A611&lt;&gt;"",'All Cases - Enter Cases'!I611,"")</f>
        <v/>
      </c>
      <c r="J611" t="str">
        <f>IF($A611&lt;&gt;"",'All Cases - Enter Cases'!J611,"")</f>
        <v/>
      </c>
      <c r="K611" t="str">
        <f>IF($A611&lt;&gt;"",'All Cases - Enter Cases'!K611,"")</f>
        <v/>
      </c>
      <c r="L611" t="str">
        <f>IF($A611&lt;&gt;"",'All Cases - Enter Cases'!L611,"")</f>
        <v/>
      </c>
      <c r="M611" t="str">
        <f>IF($A611&lt;&gt;"",'All Cases - Enter Cases'!M611,"")</f>
        <v/>
      </c>
    </row>
    <row r="612" spans="1:13" x14ac:dyDescent="0.35">
      <c r="A612" t="str">
        <f>IF('All Cases - Enter Cases'!$F612="KPK",'All Cases - Enter Cases'!A612,"")</f>
        <v/>
      </c>
      <c r="B612" t="str">
        <f>IF($A612&lt;&gt;"",'All Cases - Enter Cases'!B612,"")</f>
        <v/>
      </c>
      <c r="C612" t="str">
        <f>IF($A612&lt;&gt;"",'All Cases - Enter Cases'!C612,"")</f>
        <v/>
      </c>
      <c r="D612" t="str">
        <f>IF($A612&lt;&gt;"",'All Cases - Enter Cases'!D612,"")</f>
        <v/>
      </c>
      <c r="E612" t="str">
        <f>IF($A612&lt;&gt;"",'All Cases - Enter Cases'!E612,"")</f>
        <v/>
      </c>
      <c r="F612" t="str">
        <f>IF($A612&lt;&gt;"",'All Cases - Enter Cases'!F612,"")</f>
        <v/>
      </c>
      <c r="G612" t="str">
        <f>IF($A612&lt;&gt;"",'All Cases - Enter Cases'!G612,"")</f>
        <v/>
      </c>
      <c r="H612" t="str">
        <f>IF($A612&lt;&gt;"",'All Cases - Enter Cases'!H612,"")</f>
        <v/>
      </c>
      <c r="I612" t="str">
        <f>IF($A612&lt;&gt;"",'All Cases - Enter Cases'!I612,"")</f>
        <v/>
      </c>
      <c r="J612" t="str">
        <f>IF($A612&lt;&gt;"",'All Cases - Enter Cases'!J612,"")</f>
        <v/>
      </c>
      <c r="K612" t="str">
        <f>IF($A612&lt;&gt;"",'All Cases - Enter Cases'!K612,"")</f>
        <v/>
      </c>
      <c r="L612" t="str">
        <f>IF($A612&lt;&gt;"",'All Cases - Enter Cases'!L612,"")</f>
        <v/>
      </c>
      <c r="M612" t="str">
        <f>IF($A612&lt;&gt;"",'All Cases - Enter Cases'!M612,"")</f>
        <v/>
      </c>
    </row>
    <row r="613" spans="1:13" x14ac:dyDescent="0.35">
      <c r="A613" t="str">
        <f>IF('All Cases - Enter Cases'!$F613="KPK",'All Cases - Enter Cases'!A613,"")</f>
        <v/>
      </c>
      <c r="B613" t="str">
        <f>IF($A613&lt;&gt;"",'All Cases - Enter Cases'!B613,"")</f>
        <v/>
      </c>
      <c r="C613" t="str">
        <f>IF($A613&lt;&gt;"",'All Cases - Enter Cases'!C613,"")</f>
        <v/>
      </c>
      <c r="D613" t="str">
        <f>IF($A613&lt;&gt;"",'All Cases - Enter Cases'!D613,"")</f>
        <v/>
      </c>
      <c r="E613" t="str">
        <f>IF($A613&lt;&gt;"",'All Cases - Enter Cases'!E613,"")</f>
        <v/>
      </c>
      <c r="F613" t="str">
        <f>IF($A613&lt;&gt;"",'All Cases - Enter Cases'!F613,"")</f>
        <v/>
      </c>
      <c r="G613" t="str">
        <f>IF($A613&lt;&gt;"",'All Cases - Enter Cases'!G613,"")</f>
        <v/>
      </c>
      <c r="H613" t="str">
        <f>IF($A613&lt;&gt;"",'All Cases - Enter Cases'!H613,"")</f>
        <v/>
      </c>
      <c r="I613" t="str">
        <f>IF($A613&lt;&gt;"",'All Cases - Enter Cases'!I613,"")</f>
        <v/>
      </c>
      <c r="J613" t="str">
        <f>IF($A613&lt;&gt;"",'All Cases - Enter Cases'!J613,"")</f>
        <v/>
      </c>
      <c r="K613" t="str">
        <f>IF($A613&lt;&gt;"",'All Cases - Enter Cases'!K613,"")</f>
        <v/>
      </c>
      <c r="L613" t="str">
        <f>IF($A613&lt;&gt;"",'All Cases - Enter Cases'!L613,"")</f>
        <v/>
      </c>
      <c r="M613" t="str">
        <f>IF($A613&lt;&gt;"",'All Cases - Enter Cases'!M613,"")</f>
        <v/>
      </c>
    </row>
    <row r="614" spans="1:13" x14ac:dyDescent="0.35">
      <c r="A614" t="str">
        <f>IF('All Cases - Enter Cases'!$F614="KPK",'All Cases - Enter Cases'!A614,"")</f>
        <v/>
      </c>
      <c r="B614" t="str">
        <f>IF($A614&lt;&gt;"",'All Cases - Enter Cases'!B614,"")</f>
        <v/>
      </c>
      <c r="C614" t="str">
        <f>IF($A614&lt;&gt;"",'All Cases - Enter Cases'!C614,"")</f>
        <v/>
      </c>
      <c r="D614" t="str">
        <f>IF($A614&lt;&gt;"",'All Cases - Enter Cases'!D614,"")</f>
        <v/>
      </c>
      <c r="E614" t="str">
        <f>IF($A614&lt;&gt;"",'All Cases - Enter Cases'!E614,"")</f>
        <v/>
      </c>
      <c r="F614" t="str">
        <f>IF($A614&lt;&gt;"",'All Cases - Enter Cases'!F614,"")</f>
        <v/>
      </c>
      <c r="G614" t="str">
        <f>IF($A614&lt;&gt;"",'All Cases - Enter Cases'!G614,"")</f>
        <v/>
      </c>
      <c r="H614" t="str">
        <f>IF($A614&lt;&gt;"",'All Cases - Enter Cases'!H614,"")</f>
        <v/>
      </c>
      <c r="I614" t="str">
        <f>IF($A614&lt;&gt;"",'All Cases - Enter Cases'!I614,"")</f>
        <v/>
      </c>
      <c r="J614" t="str">
        <f>IF($A614&lt;&gt;"",'All Cases - Enter Cases'!J614,"")</f>
        <v/>
      </c>
      <c r="K614" t="str">
        <f>IF($A614&lt;&gt;"",'All Cases - Enter Cases'!K614,"")</f>
        <v/>
      </c>
      <c r="L614" t="str">
        <f>IF($A614&lt;&gt;"",'All Cases - Enter Cases'!L614,"")</f>
        <v/>
      </c>
      <c r="M614" t="str">
        <f>IF($A614&lt;&gt;"",'All Cases - Enter Cases'!M614,"")</f>
        <v/>
      </c>
    </row>
    <row r="615" spans="1:13" x14ac:dyDescent="0.35">
      <c r="A615" t="str">
        <f>IF('All Cases - Enter Cases'!$F615="KPK",'All Cases - Enter Cases'!A615,"")</f>
        <v/>
      </c>
      <c r="B615" t="str">
        <f>IF($A615&lt;&gt;"",'All Cases - Enter Cases'!B615,"")</f>
        <v/>
      </c>
      <c r="C615" t="str">
        <f>IF($A615&lt;&gt;"",'All Cases - Enter Cases'!C615,"")</f>
        <v/>
      </c>
      <c r="D615" t="str">
        <f>IF($A615&lt;&gt;"",'All Cases - Enter Cases'!D615,"")</f>
        <v/>
      </c>
      <c r="E615" t="str">
        <f>IF($A615&lt;&gt;"",'All Cases - Enter Cases'!E615,"")</f>
        <v/>
      </c>
      <c r="F615" t="str">
        <f>IF($A615&lt;&gt;"",'All Cases - Enter Cases'!F615,"")</f>
        <v/>
      </c>
      <c r="G615" t="str">
        <f>IF($A615&lt;&gt;"",'All Cases - Enter Cases'!G615,"")</f>
        <v/>
      </c>
      <c r="H615" t="str">
        <f>IF($A615&lt;&gt;"",'All Cases - Enter Cases'!H615,"")</f>
        <v/>
      </c>
      <c r="I615" t="str">
        <f>IF($A615&lt;&gt;"",'All Cases - Enter Cases'!I615,"")</f>
        <v/>
      </c>
      <c r="J615" t="str">
        <f>IF($A615&lt;&gt;"",'All Cases - Enter Cases'!J615,"")</f>
        <v/>
      </c>
      <c r="K615" t="str">
        <f>IF($A615&lt;&gt;"",'All Cases - Enter Cases'!K615,"")</f>
        <v/>
      </c>
      <c r="L615" t="str">
        <f>IF($A615&lt;&gt;"",'All Cases - Enter Cases'!L615,"")</f>
        <v/>
      </c>
      <c r="M615" t="str">
        <f>IF($A615&lt;&gt;"",'All Cases - Enter Cases'!M615,"")</f>
        <v/>
      </c>
    </row>
    <row r="616" spans="1:13" x14ac:dyDescent="0.35">
      <c r="A616" t="str">
        <f>IF('All Cases - Enter Cases'!$F616="KPK",'All Cases - Enter Cases'!A616,"")</f>
        <v/>
      </c>
      <c r="B616" t="str">
        <f>IF($A616&lt;&gt;"",'All Cases - Enter Cases'!B616,"")</f>
        <v/>
      </c>
      <c r="C616" t="str">
        <f>IF($A616&lt;&gt;"",'All Cases - Enter Cases'!C616,"")</f>
        <v/>
      </c>
      <c r="D616" t="str">
        <f>IF($A616&lt;&gt;"",'All Cases - Enter Cases'!D616,"")</f>
        <v/>
      </c>
      <c r="E616" t="str">
        <f>IF($A616&lt;&gt;"",'All Cases - Enter Cases'!E616,"")</f>
        <v/>
      </c>
      <c r="F616" t="str">
        <f>IF($A616&lt;&gt;"",'All Cases - Enter Cases'!F616,"")</f>
        <v/>
      </c>
      <c r="G616" t="str">
        <f>IF($A616&lt;&gt;"",'All Cases - Enter Cases'!G616,"")</f>
        <v/>
      </c>
      <c r="H616" t="str">
        <f>IF($A616&lt;&gt;"",'All Cases - Enter Cases'!H616,"")</f>
        <v/>
      </c>
      <c r="I616" t="str">
        <f>IF($A616&lt;&gt;"",'All Cases - Enter Cases'!I616,"")</f>
        <v/>
      </c>
      <c r="J616" t="str">
        <f>IF($A616&lt;&gt;"",'All Cases - Enter Cases'!J616,"")</f>
        <v/>
      </c>
      <c r="K616" t="str">
        <f>IF($A616&lt;&gt;"",'All Cases - Enter Cases'!K616,"")</f>
        <v/>
      </c>
      <c r="L616" t="str">
        <f>IF($A616&lt;&gt;"",'All Cases - Enter Cases'!L616,"")</f>
        <v/>
      </c>
      <c r="M616" t="str">
        <f>IF($A616&lt;&gt;"",'All Cases - Enter Cases'!M616,"")</f>
        <v/>
      </c>
    </row>
    <row r="617" spans="1:13" x14ac:dyDescent="0.35">
      <c r="A617" t="str">
        <f>IF('All Cases - Enter Cases'!$F617="KPK",'All Cases - Enter Cases'!A617,"")</f>
        <v/>
      </c>
      <c r="B617" t="str">
        <f>IF($A617&lt;&gt;"",'All Cases - Enter Cases'!B617,"")</f>
        <v/>
      </c>
      <c r="C617" t="str">
        <f>IF($A617&lt;&gt;"",'All Cases - Enter Cases'!C617,"")</f>
        <v/>
      </c>
      <c r="D617" t="str">
        <f>IF($A617&lt;&gt;"",'All Cases - Enter Cases'!D617,"")</f>
        <v/>
      </c>
      <c r="E617" t="str">
        <f>IF($A617&lt;&gt;"",'All Cases - Enter Cases'!E617,"")</f>
        <v/>
      </c>
      <c r="F617" t="str">
        <f>IF($A617&lt;&gt;"",'All Cases - Enter Cases'!F617,"")</f>
        <v/>
      </c>
      <c r="G617" t="str">
        <f>IF($A617&lt;&gt;"",'All Cases - Enter Cases'!G617,"")</f>
        <v/>
      </c>
      <c r="H617" t="str">
        <f>IF($A617&lt;&gt;"",'All Cases - Enter Cases'!H617,"")</f>
        <v/>
      </c>
      <c r="I617" t="str">
        <f>IF($A617&lt;&gt;"",'All Cases - Enter Cases'!I617,"")</f>
        <v/>
      </c>
      <c r="J617" t="str">
        <f>IF($A617&lt;&gt;"",'All Cases - Enter Cases'!J617,"")</f>
        <v/>
      </c>
      <c r="K617" t="str">
        <f>IF($A617&lt;&gt;"",'All Cases - Enter Cases'!K617,"")</f>
        <v/>
      </c>
      <c r="L617" t="str">
        <f>IF($A617&lt;&gt;"",'All Cases - Enter Cases'!L617,"")</f>
        <v/>
      </c>
      <c r="M617" t="str">
        <f>IF($A617&lt;&gt;"",'All Cases - Enter Cases'!M617,"")</f>
        <v/>
      </c>
    </row>
    <row r="618" spans="1:13" x14ac:dyDescent="0.35">
      <c r="A618" t="str">
        <f>IF('All Cases - Enter Cases'!$F618="KPK",'All Cases - Enter Cases'!A618,"")</f>
        <v/>
      </c>
      <c r="B618" t="str">
        <f>IF($A618&lt;&gt;"",'All Cases - Enter Cases'!B618,"")</f>
        <v/>
      </c>
      <c r="C618" t="str">
        <f>IF($A618&lt;&gt;"",'All Cases - Enter Cases'!C618,"")</f>
        <v/>
      </c>
      <c r="D618" t="str">
        <f>IF($A618&lt;&gt;"",'All Cases - Enter Cases'!D618,"")</f>
        <v/>
      </c>
      <c r="E618" t="str">
        <f>IF($A618&lt;&gt;"",'All Cases - Enter Cases'!E618,"")</f>
        <v/>
      </c>
      <c r="F618" t="str">
        <f>IF($A618&lt;&gt;"",'All Cases - Enter Cases'!F618,"")</f>
        <v/>
      </c>
      <c r="G618" t="str">
        <f>IF($A618&lt;&gt;"",'All Cases - Enter Cases'!G618,"")</f>
        <v/>
      </c>
      <c r="H618" t="str">
        <f>IF($A618&lt;&gt;"",'All Cases - Enter Cases'!H618,"")</f>
        <v/>
      </c>
      <c r="I618" t="str">
        <f>IF($A618&lt;&gt;"",'All Cases - Enter Cases'!I618,"")</f>
        <v/>
      </c>
      <c r="J618" t="str">
        <f>IF($A618&lt;&gt;"",'All Cases - Enter Cases'!J618,"")</f>
        <v/>
      </c>
      <c r="K618" t="str">
        <f>IF($A618&lt;&gt;"",'All Cases - Enter Cases'!K618,"")</f>
        <v/>
      </c>
      <c r="L618" t="str">
        <f>IF($A618&lt;&gt;"",'All Cases - Enter Cases'!L618,"")</f>
        <v/>
      </c>
      <c r="M618" t="str">
        <f>IF($A618&lt;&gt;"",'All Cases - Enter Cases'!M618,"")</f>
        <v/>
      </c>
    </row>
    <row r="619" spans="1:13" x14ac:dyDescent="0.35">
      <c r="A619" t="str">
        <f>IF('All Cases - Enter Cases'!$F619="KPK",'All Cases - Enter Cases'!A619,"")</f>
        <v/>
      </c>
      <c r="B619" t="str">
        <f>IF($A619&lt;&gt;"",'All Cases - Enter Cases'!B619,"")</f>
        <v/>
      </c>
      <c r="C619" t="str">
        <f>IF($A619&lt;&gt;"",'All Cases - Enter Cases'!C619,"")</f>
        <v/>
      </c>
      <c r="D619" t="str">
        <f>IF($A619&lt;&gt;"",'All Cases - Enter Cases'!D619,"")</f>
        <v/>
      </c>
      <c r="E619" t="str">
        <f>IF($A619&lt;&gt;"",'All Cases - Enter Cases'!E619,"")</f>
        <v/>
      </c>
      <c r="F619" t="str">
        <f>IF($A619&lt;&gt;"",'All Cases - Enter Cases'!F619,"")</f>
        <v/>
      </c>
      <c r="G619" t="str">
        <f>IF($A619&lt;&gt;"",'All Cases - Enter Cases'!G619,"")</f>
        <v/>
      </c>
      <c r="H619" t="str">
        <f>IF($A619&lt;&gt;"",'All Cases - Enter Cases'!H619,"")</f>
        <v/>
      </c>
      <c r="I619" t="str">
        <f>IF($A619&lt;&gt;"",'All Cases - Enter Cases'!I619,"")</f>
        <v/>
      </c>
      <c r="J619" t="str">
        <f>IF($A619&lt;&gt;"",'All Cases - Enter Cases'!J619,"")</f>
        <v/>
      </c>
      <c r="K619" t="str">
        <f>IF($A619&lt;&gt;"",'All Cases - Enter Cases'!K619,"")</f>
        <v/>
      </c>
      <c r="L619" t="str">
        <f>IF($A619&lt;&gt;"",'All Cases - Enter Cases'!L619,"")</f>
        <v/>
      </c>
      <c r="M619" t="str">
        <f>IF($A619&lt;&gt;"",'All Cases - Enter Cases'!M619,"")</f>
        <v/>
      </c>
    </row>
    <row r="620" spans="1:13" x14ac:dyDescent="0.35">
      <c r="A620" t="str">
        <f>IF('All Cases - Enter Cases'!$F620="KPK",'All Cases - Enter Cases'!A620,"")</f>
        <v/>
      </c>
      <c r="B620" t="str">
        <f>IF($A620&lt;&gt;"",'All Cases - Enter Cases'!B620,"")</f>
        <v/>
      </c>
      <c r="C620" t="str">
        <f>IF($A620&lt;&gt;"",'All Cases - Enter Cases'!C620,"")</f>
        <v/>
      </c>
      <c r="D620" t="str">
        <f>IF($A620&lt;&gt;"",'All Cases - Enter Cases'!D620,"")</f>
        <v/>
      </c>
      <c r="E620" t="str">
        <f>IF($A620&lt;&gt;"",'All Cases - Enter Cases'!E620,"")</f>
        <v/>
      </c>
      <c r="F620" t="str">
        <f>IF($A620&lt;&gt;"",'All Cases - Enter Cases'!F620,"")</f>
        <v/>
      </c>
      <c r="G620" t="str">
        <f>IF($A620&lt;&gt;"",'All Cases - Enter Cases'!G620,"")</f>
        <v/>
      </c>
      <c r="H620" t="str">
        <f>IF($A620&lt;&gt;"",'All Cases - Enter Cases'!H620,"")</f>
        <v/>
      </c>
      <c r="I620" t="str">
        <f>IF($A620&lt;&gt;"",'All Cases - Enter Cases'!I620,"")</f>
        <v/>
      </c>
      <c r="J620" t="str">
        <f>IF($A620&lt;&gt;"",'All Cases - Enter Cases'!J620,"")</f>
        <v/>
      </c>
      <c r="K620" t="str">
        <f>IF($A620&lt;&gt;"",'All Cases - Enter Cases'!K620,"")</f>
        <v/>
      </c>
      <c r="L620" t="str">
        <f>IF($A620&lt;&gt;"",'All Cases - Enter Cases'!L620,"")</f>
        <v/>
      </c>
      <c r="M620" t="str">
        <f>IF($A620&lt;&gt;"",'All Cases - Enter Cases'!M620,"")</f>
        <v/>
      </c>
    </row>
    <row r="621" spans="1:13" x14ac:dyDescent="0.35">
      <c r="A621" t="str">
        <f>IF('All Cases - Enter Cases'!$F621="KPK",'All Cases - Enter Cases'!A621,"")</f>
        <v/>
      </c>
      <c r="B621" t="str">
        <f>IF($A621&lt;&gt;"",'All Cases - Enter Cases'!B621,"")</f>
        <v/>
      </c>
      <c r="C621" t="str">
        <f>IF($A621&lt;&gt;"",'All Cases - Enter Cases'!C621,"")</f>
        <v/>
      </c>
      <c r="D621" t="str">
        <f>IF($A621&lt;&gt;"",'All Cases - Enter Cases'!D621,"")</f>
        <v/>
      </c>
      <c r="E621" t="str">
        <f>IF($A621&lt;&gt;"",'All Cases - Enter Cases'!E621,"")</f>
        <v/>
      </c>
      <c r="F621" t="str">
        <f>IF($A621&lt;&gt;"",'All Cases - Enter Cases'!F621,"")</f>
        <v/>
      </c>
      <c r="G621" t="str">
        <f>IF($A621&lt;&gt;"",'All Cases - Enter Cases'!G621,"")</f>
        <v/>
      </c>
      <c r="H621" t="str">
        <f>IF($A621&lt;&gt;"",'All Cases - Enter Cases'!H621,"")</f>
        <v/>
      </c>
      <c r="I621" t="str">
        <f>IF($A621&lt;&gt;"",'All Cases - Enter Cases'!I621,"")</f>
        <v/>
      </c>
      <c r="J621" t="str">
        <f>IF($A621&lt;&gt;"",'All Cases - Enter Cases'!J621,"")</f>
        <v/>
      </c>
      <c r="K621" t="str">
        <f>IF($A621&lt;&gt;"",'All Cases - Enter Cases'!K621,"")</f>
        <v/>
      </c>
      <c r="L621" t="str">
        <f>IF($A621&lt;&gt;"",'All Cases - Enter Cases'!L621,"")</f>
        <v/>
      </c>
      <c r="M621" t="str">
        <f>IF($A621&lt;&gt;"",'All Cases - Enter Cases'!M621,"")</f>
        <v/>
      </c>
    </row>
    <row r="622" spans="1:13" x14ac:dyDescent="0.35">
      <c r="A622" t="str">
        <f>IF('All Cases - Enter Cases'!$F622="KPK",'All Cases - Enter Cases'!A622,"")</f>
        <v/>
      </c>
      <c r="B622" t="str">
        <f>IF($A622&lt;&gt;"",'All Cases - Enter Cases'!B622,"")</f>
        <v/>
      </c>
      <c r="C622" t="str">
        <f>IF($A622&lt;&gt;"",'All Cases - Enter Cases'!C622,"")</f>
        <v/>
      </c>
      <c r="D622" t="str">
        <f>IF($A622&lt;&gt;"",'All Cases - Enter Cases'!D622,"")</f>
        <v/>
      </c>
      <c r="E622" t="str">
        <f>IF($A622&lt;&gt;"",'All Cases - Enter Cases'!E622,"")</f>
        <v/>
      </c>
      <c r="F622" t="str">
        <f>IF($A622&lt;&gt;"",'All Cases - Enter Cases'!F622,"")</f>
        <v/>
      </c>
      <c r="G622" t="str">
        <f>IF($A622&lt;&gt;"",'All Cases - Enter Cases'!G622,"")</f>
        <v/>
      </c>
      <c r="H622" t="str">
        <f>IF($A622&lt;&gt;"",'All Cases - Enter Cases'!H622,"")</f>
        <v/>
      </c>
      <c r="I622" t="str">
        <f>IF($A622&lt;&gt;"",'All Cases - Enter Cases'!I622,"")</f>
        <v/>
      </c>
      <c r="J622" t="str">
        <f>IF($A622&lt;&gt;"",'All Cases - Enter Cases'!J622,"")</f>
        <v/>
      </c>
      <c r="K622" t="str">
        <f>IF($A622&lt;&gt;"",'All Cases - Enter Cases'!K622,"")</f>
        <v/>
      </c>
      <c r="L622" t="str">
        <f>IF($A622&lt;&gt;"",'All Cases - Enter Cases'!L622,"")</f>
        <v/>
      </c>
      <c r="M622" t="str">
        <f>IF($A622&lt;&gt;"",'All Cases - Enter Cases'!M622,"")</f>
        <v/>
      </c>
    </row>
    <row r="623" spans="1:13" x14ac:dyDescent="0.35">
      <c r="A623" t="str">
        <f>IF('All Cases - Enter Cases'!$F623="KPK",'All Cases - Enter Cases'!A623,"")</f>
        <v/>
      </c>
      <c r="B623" t="str">
        <f>IF($A623&lt;&gt;"",'All Cases - Enter Cases'!B623,"")</f>
        <v/>
      </c>
      <c r="C623" t="str">
        <f>IF($A623&lt;&gt;"",'All Cases - Enter Cases'!C623,"")</f>
        <v/>
      </c>
      <c r="D623" t="str">
        <f>IF($A623&lt;&gt;"",'All Cases - Enter Cases'!D623,"")</f>
        <v/>
      </c>
      <c r="E623" t="str">
        <f>IF($A623&lt;&gt;"",'All Cases - Enter Cases'!E623,"")</f>
        <v/>
      </c>
      <c r="F623" t="str">
        <f>IF($A623&lt;&gt;"",'All Cases - Enter Cases'!F623,"")</f>
        <v/>
      </c>
      <c r="G623" t="str">
        <f>IF($A623&lt;&gt;"",'All Cases - Enter Cases'!G623,"")</f>
        <v/>
      </c>
      <c r="H623" t="str">
        <f>IF($A623&lt;&gt;"",'All Cases - Enter Cases'!H623,"")</f>
        <v/>
      </c>
      <c r="I623" t="str">
        <f>IF($A623&lt;&gt;"",'All Cases - Enter Cases'!I623,"")</f>
        <v/>
      </c>
      <c r="J623" t="str">
        <f>IF($A623&lt;&gt;"",'All Cases - Enter Cases'!J623,"")</f>
        <v/>
      </c>
      <c r="K623" t="str">
        <f>IF($A623&lt;&gt;"",'All Cases - Enter Cases'!K623,"")</f>
        <v/>
      </c>
      <c r="L623" t="str">
        <f>IF($A623&lt;&gt;"",'All Cases - Enter Cases'!L623,"")</f>
        <v/>
      </c>
      <c r="M623" t="str">
        <f>IF($A623&lt;&gt;"",'All Cases - Enter Cases'!M623,"")</f>
        <v/>
      </c>
    </row>
    <row r="624" spans="1:13" x14ac:dyDescent="0.35">
      <c r="A624" t="str">
        <f>IF('All Cases - Enter Cases'!$F624="KPK",'All Cases - Enter Cases'!A624,"")</f>
        <v/>
      </c>
      <c r="B624" t="str">
        <f>IF($A624&lt;&gt;"",'All Cases - Enter Cases'!B624,"")</f>
        <v/>
      </c>
      <c r="C624" t="str">
        <f>IF($A624&lt;&gt;"",'All Cases - Enter Cases'!C624,"")</f>
        <v/>
      </c>
      <c r="D624" t="str">
        <f>IF($A624&lt;&gt;"",'All Cases - Enter Cases'!D624,"")</f>
        <v/>
      </c>
      <c r="E624" t="str">
        <f>IF($A624&lt;&gt;"",'All Cases - Enter Cases'!E624,"")</f>
        <v/>
      </c>
      <c r="F624" t="str">
        <f>IF($A624&lt;&gt;"",'All Cases - Enter Cases'!F624,"")</f>
        <v/>
      </c>
      <c r="G624" t="str">
        <f>IF($A624&lt;&gt;"",'All Cases - Enter Cases'!G624,"")</f>
        <v/>
      </c>
      <c r="H624" t="str">
        <f>IF($A624&lt;&gt;"",'All Cases - Enter Cases'!H624,"")</f>
        <v/>
      </c>
      <c r="I624" t="str">
        <f>IF($A624&lt;&gt;"",'All Cases - Enter Cases'!I624,"")</f>
        <v/>
      </c>
      <c r="J624" t="str">
        <f>IF($A624&lt;&gt;"",'All Cases - Enter Cases'!J624,"")</f>
        <v/>
      </c>
      <c r="K624" t="str">
        <f>IF($A624&lt;&gt;"",'All Cases - Enter Cases'!K624,"")</f>
        <v/>
      </c>
      <c r="L624" t="str">
        <f>IF($A624&lt;&gt;"",'All Cases - Enter Cases'!L624,"")</f>
        <v/>
      </c>
      <c r="M624" t="str">
        <f>IF($A624&lt;&gt;"",'All Cases - Enter Cases'!M624,"")</f>
        <v/>
      </c>
    </row>
    <row r="625" spans="1:13" x14ac:dyDescent="0.35">
      <c r="A625" t="str">
        <f>IF('All Cases - Enter Cases'!$F625="KPK",'All Cases - Enter Cases'!A625,"")</f>
        <v/>
      </c>
      <c r="B625" t="str">
        <f>IF($A625&lt;&gt;"",'All Cases - Enter Cases'!B625,"")</f>
        <v/>
      </c>
      <c r="C625" t="str">
        <f>IF($A625&lt;&gt;"",'All Cases - Enter Cases'!C625,"")</f>
        <v/>
      </c>
      <c r="D625" t="str">
        <f>IF($A625&lt;&gt;"",'All Cases - Enter Cases'!D625,"")</f>
        <v/>
      </c>
      <c r="E625" t="str">
        <f>IF($A625&lt;&gt;"",'All Cases - Enter Cases'!E625,"")</f>
        <v/>
      </c>
      <c r="F625" t="str">
        <f>IF($A625&lt;&gt;"",'All Cases - Enter Cases'!F625,"")</f>
        <v/>
      </c>
      <c r="G625" t="str">
        <f>IF($A625&lt;&gt;"",'All Cases - Enter Cases'!G625,"")</f>
        <v/>
      </c>
      <c r="H625" t="str">
        <f>IF($A625&lt;&gt;"",'All Cases - Enter Cases'!H625,"")</f>
        <v/>
      </c>
      <c r="I625" t="str">
        <f>IF($A625&lt;&gt;"",'All Cases - Enter Cases'!I625,"")</f>
        <v/>
      </c>
      <c r="J625" t="str">
        <f>IF($A625&lt;&gt;"",'All Cases - Enter Cases'!J625,"")</f>
        <v/>
      </c>
      <c r="K625" t="str">
        <f>IF($A625&lt;&gt;"",'All Cases - Enter Cases'!K625,"")</f>
        <v/>
      </c>
      <c r="L625" t="str">
        <f>IF($A625&lt;&gt;"",'All Cases - Enter Cases'!L625,"")</f>
        <v/>
      </c>
      <c r="M625" t="str">
        <f>IF($A625&lt;&gt;"",'All Cases - Enter Cases'!M625,"")</f>
        <v/>
      </c>
    </row>
    <row r="626" spans="1:13" x14ac:dyDescent="0.35">
      <c r="A626" t="str">
        <f>IF('All Cases - Enter Cases'!$F626="KPK",'All Cases - Enter Cases'!A626,"")</f>
        <v/>
      </c>
      <c r="B626" t="str">
        <f>IF($A626&lt;&gt;"",'All Cases - Enter Cases'!B626,"")</f>
        <v/>
      </c>
      <c r="C626" t="str">
        <f>IF($A626&lt;&gt;"",'All Cases - Enter Cases'!C626,"")</f>
        <v/>
      </c>
      <c r="D626" t="str">
        <f>IF($A626&lt;&gt;"",'All Cases - Enter Cases'!D626,"")</f>
        <v/>
      </c>
      <c r="E626" t="str">
        <f>IF($A626&lt;&gt;"",'All Cases - Enter Cases'!E626,"")</f>
        <v/>
      </c>
      <c r="F626" t="str">
        <f>IF($A626&lt;&gt;"",'All Cases - Enter Cases'!F626,"")</f>
        <v/>
      </c>
      <c r="G626" t="str">
        <f>IF($A626&lt;&gt;"",'All Cases - Enter Cases'!G626,"")</f>
        <v/>
      </c>
      <c r="H626" t="str">
        <f>IF($A626&lt;&gt;"",'All Cases - Enter Cases'!H626,"")</f>
        <v/>
      </c>
      <c r="I626" t="str">
        <f>IF($A626&lt;&gt;"",'All Cases - Enter Cases'!I626,"")</f>
        <v/>
      </c>
      <c r="J626" t="str">
        <f>IF($A626&lt;&gt;"",'All Cases - Enter Cases'!J626,"")</f>
        <v/>
      </c>
      <c r="K626" t="str">
        <f>IF($A626&lt;&gt;"",'All Cases - Enter Cases'!K626,"")</f>
        <v/>
      </c>
      <c r="L626" t="str">
        <f>IF($A626&lt;&gt;"",'All Cases - Enter Cases'!L626,"")</f>
        <v/>
      </c>
      <c r="M626" t="str">
        <f>IF($A626&lt;&gt;"",'All Cases - Enter Cases'!M626,"")</f>
        <v/>
      </c>
    </row>
    <row r="627" spans="1:13" x14ac:dyDescent="0.35">
      <c r="A627" t="str">
        <f>IF('All Cases - Enter Cases'!$F627="KPK",'All Cases - Enter Cases'!A627,"")</f>
        <v/>
      </c>
      <c r="B627" t="str">
        <f>IF($A627&lt;&gt;"",'All Cases - Enter Cases'!B627,"")</f>
        <v/>
      </c>
      <c r="C627" t="str">
        <f>IF($A627&lt;&gt;"",'All Cases - Enter Cases'!C627,"")</f>
        <v/>
      </c>
      <c r="D627" t="str">
        <f>IF($A627&lt;&gt;"",'All Cases - Enter Cases'!D627,"")</f>
        <v/>
      </c>
      <c r="E627" t="str">
        <f>IF($A627&lt;&gt;"",'All Cases - Enter Cases'!E627,"")</f>
        <v/>
      </c>
      <c r="F627" t="str">
        <f>IF($A627&lt;&gt;"",'All Cases - Enter Cases'!F627,"")</f>
        <v/>
      </c>
      <c r="G627" t="str">
        <f>IF($A627&lt;&gt;"",'All Cases - Enter Cases'!G627,"")</f>
        <v/>
      </c>
      <c r="H627" t="str">
        <f>IF($A627&lt;&gt;"",'All Cases - Enter Cases'!H627,"")</f>
        <v/>
      </c>
      <c r="I627" t="str">
        <f>IF($A627&lt;&gt;"",'All Cases - Enter Cases'!I627,"")</f>
        <v/>
      </c>
      <c r="J627" t="str">
        <f>IF($A627&lt;&gt;"",'All Cases - Enter Cases'!J627,"")</f>
        <v/>
      </c>
      <c r="K627" t="str">
        <f>IF($A627&lt;&gt;"",'All Cases - Enter Cases'!K627,"")</f>
        <v/>
      </c>
      <c r="L627" t="str">
        <f>IF($A627&lt;&gt;"",'All Cases - Enter Cases'!L627,"")</f>
        <v/>
      </c>
      <c r="M627" t="str">
        <f>IF($A627&lt;&gt;"",'All Cases - Enter Cases'!M627,"")</f>
        <v/>
      </c>
    </row>
    <row r="628" spans="1:13" x14ac:dyDescent="0.35">
      <c r="A628" t="str">
        <f>IF('All Cases - Enter Cases'!$F628="KPK",'All Cases - Enter Cases'!A628,"")</f>
        <v/>
      </c>
      <c r="B628" t="str">
        <f>IF($A628&lt;&gt;"",'All Cases - Enter Cases'!B628,"")</f>
        <v/>
      </c>
      <c r="C628" t="str">
        <f>IF($A628&lt;&gt;"",'All Cases - Enter Cases'!C628,"")</f>
        <v/>
      </c>
      <c r="D628" t="str">
        <f>IF($A628&lt;&gt;"",'All Cases - Enter Cases'!D628,"")</f>
        <v/>
      </c>
      <c r="E628" t="str">
        <f>IF($A628&lt;&gt;"",'All Cases - Enter Cases'!E628,"")</f>
        <v/>
      </c>
      <c r="F628" t="str">
        <f>IF($A628&lt;&gt;"",'All Cases - Enter Cases'!F628,"")</f>
        <v/>
      </c>
      <c r="G628" t="str">
        <f>IF($A628&lt;&gt;"",'All Cases - Enter Cases'!G628,"")</f>
        <v/>
      </c>
      <c r="H628" t="str">
        <f>IF($A628&lt;&gt;"",'All Cases - Enter Cases'!H628,"")</f>
        <v/>
      </c>
      <c r="I628" t="str">
        <f>IF($A628&lt;&gt;"",'All Cases - Enter Cases'!I628,"")</f>
        <v/>
      </c>
      <c r="J628" t="str">
        <f>IF($A628&lt;&gt;"",'All Cases - Enter Cases'!J628,"")</f>
        <v/>
      </c>
      <c r="K628" t="str">
        <f>IF($A628&lt;&gt;"",'All Cases - Enter Cases'!K628,"")</f>
        <v/>
      </c>
      <c r="L628" t="str">
        <f>IF($A628&lt;&gt;"",'All Cases - Enter Cases'!L628,"")</f>
        <v/>
      </c>
      <c r="M628" t="str">
        <f>IF($A628&lt;&gt;"",'All Cases - Enter Cases'!M628,"")</f>
        <v/>
      </c>
    </row>
    <row r="629" spans="1:13" x14ac:dyDescent="0.35">
      <c r="A629" t="str">
        <f>IF('All Cases - Enter Cases'!$F629="KPK",'All Cases - Enter Cases'!A629,"")</f>
        <v/>
      </c>
      <c r="B629" t="str">
        <f>IF($A629&lt;&gt;"",'All Cases - Enter Cases'!B629,"")</f>
        <v/>
      </c>
      <c r="C629" t="str">
        <f>IF($A629&lt;&gt;"",'All Cases - Enter Cases'!C629,"")</f>
        <v/>
      </c>
      <c r="D629" t="str">
        <f>IF($A629&lt;&gt;"",'All Cases - Enter Cases'!D629,"")</f>
        <v/>
      </c>
      <c r="E629" t="str">
        <f>IF($A629&lt;&gt;"",'All Cases - Enter Cases'!E629,"")</f>
        <v/>
      </c>
      <c r="F629" t="str">
        <f>IF($A629&lt;&gt;"",'All Cases - Enter Cases'!F629,"")</f>
        <v/>
      </c>
      <c r="G629" t="str">
        <f>IF($A629&lt;&gt;"",'All Cases - Enter Cases'!G629,"")</f>
        <v/>
      </c>
      <c r="H629" t="str">
        <f>IF($A629&lt;&gt;"",'All Cases - Enter Cases'!H629,"")</f>
        <v/>
      </c>
      <c r="I629" t="str">
        <f>IF($A629&lt;&gt;"",'All Cases - Enter Cases'!I629,"")</f>
        <v/>
      </c>
      <c r="J629" t="str">
        <f>IF($A629&lt;&gt;"",'All Cases - Enter Cases'!J629,"")</f>
        <v/>
      </c>
      <c r="K629" t="str">
        <f>IF($A629&lt;&gt;"",'All Cases - Enter Cases'!K629,"")</f>
        <v/>
      </c>
      <c r="L629" t="str">
        <f>IF($A629&lt;&gt;"",'All Cases - Enter Cases'!L629,"")</f>
        <v/>
      </c>
      <c r="M629" t="str">
        <f>IF($A629&lt;&gt;"",'All Cases - Enter Cases'!M629,"")</f>
        <v/>
      </c>
    </row>
    <row r="630" spans="1:13" x14ac:dyDescent="0.35">
      <c r="A630" t="str">
        <f>IF('All Cases - Enter Cases'!$F630="KPK",'All Cases - Enter Cases'!A630,"")</f>
        <v/>
      </c>
      <c r="B630" t="str">
        <f>IF($A630&lt;&gt;"",'All Cases - Enter Cases'!B630,"")</f>
        <v/>
      </c>
      <c r="C630" t="str">
        <f>IF($A630&lt;&gt;"",'All Cases - Enter Cases'!C630,"")</f>
        <v/>
      </c>
      <c r="D630" t="str">
        <f>IF($A630&lt;&gt;"",'All Cases - Enter Cases'!D630,"")</f>
        <v/>
      </c>
      <c r="E630" t="str">
        <f>IF($A630&lt;&gt;"",'All Cases - Enter Cases'!E630,"")</f>
        <v/>
      </c>
      <c r="F630" t="str">
        <f>IF($A630&lt;&gt;"",'All Cases - Enter Cases'!F630,"")</f>
        <v/>
      </c>
      <c r="G630" t="str">
        <f>IF($A630&lt;&gt;"",'All Cases - Enter Cases'!G630,"")</f>
        <v/>
      </c>
      <c r="H630" t="str">
        <f>IF($A630&lt;&gt;"",'All Cases - Enter Cases'!H630,"")</f>
        <v/>
      </c>
      <c r="I630" t="str">
        <f>IF($A630&lt;&gt;"",'All Cases - Enter Cases'!I630,"")</f>
        <v/>
      </c>
      <c r="J630" t="str">
        <f>IF($A630&lt;&gt;"",'All Cases - Enter Cases'!J630,"")</f>
        <v/>
      </c>
      <c r="K630" t="str">
        <f>IF($A630&lt;&gt;"",'All Cases - Enter Cases'!K630,"")</f>
        <v/>
      </c>
      <c r="L630" t="str">
        <f>IF($A630&lt;&gt;"",'All Cases - Enter Cases'!L630,"")</f>
        <v/>
      </c>
      <c r="M630" t="str">
        <f>IF($A630&lt;&gt;"",'All Cases - Enter Cases'!M630,"")</f>
        <v/>
      </c>
    </row>
    <row r="631" spans="1:13" x14ac:dyDescent="0.35">
      <c r="A631" t="str">
        <f>IF('All Cases - Enter Cases'!$F631="KPK",'All Cases - Enter Cases'!A631,"")</f>
        <v/>
      </c>
      <c r="B631" t="str">
        <f>IF($A631&lt;&gt;"",'All Cases - Enter Cases'!B631,"")</f>
        <v/>
      </c>
      <c r="C631" t="str">
        <f>IF($A631&lt;&gt;"",'All Cases - Enter Cases'!C631,"")</f>
        <v/>
      </c>
      <c r="D631" t="str">
        <f>IF($A631&lt;&gt;"",'All Cases - Enter Cases'!D631,"")</f>
        <v/>
      </c>
      <c r="E631" t="str">
        <f>IF($A631&lt;&gt;"",'All Cases - Enter Cases'!E631,"")</f>
        <v/>
      </c>
      <c r="F631" t="str">
        <f>IF($A631&lt;&gt;"",'All Cases - Enter Cases'!F631,"")</f>
        <v/>
      </c>
      <c r="G631" t="str">
        <f>IF($A631&lt;&gt;"",'All Cases - Enter Cases'!G631,"")</f>
        <v/>
      </c>
      <c r="H631" t="str">
        <f>IF($A631&lt;&gt;"",'All Cases - Enter Cases'!H631,"")</f>
        <v/>
      </c>
      <c r="I631" t="str">
        <f>IF($A631&lt;&gt;"",'All Cases - Enter Cases'!I631,"")</f>
        <v/>
      </c>
      <c r="J631" t="str">
        <f>IF($A631&lt;&gt;"",'All Cases - Enter Cases'!J631,"")</f>
        <v/>
      </c>
      <c r="K631" t="str">
        <f>IF($A631&lt;&gt;"",'All Cases - Enter Cases'!K631,"")</f>
        <v/>
      </c>
      <c r="L631" t="str">
        <f>IF($A631&lt;&gt;"",'All Cases - Enter Cases'!L631,"")</f>
        <v/>
      </c>
      <c r="M631" t="str">
        <f>IF($A631&lt;&gt;"",'All Cases - Enter Cases'!M631,"")</f>
        <v/>
      </c>
    </row>
    <row r="632" spans="1:13" x14ac:dyDescent="0.35">
      <c r="A632" t="str">
        <f>IF('All Cases - Enter Cases'!$F632="KPK",'All Cases - Enter Cases'!A632,"")</f>
        <v/>
      </c>
      <c r="B632" t="str">
        <f>IF($A632&lt;&gt;"",'All Cases - Enter Cases'!B632,"")</f>
        <v/>
      </c>
      <c r="C632" t="str">
        <f>IF($A632&lt;&gt;"",'All Cases - Enter Cases'!C632,"")</f>
        <v/>
      </c>
      <c r="D632" t="str">
        <f>IF($A632&lt;&gt;"",'All Cases - Enter Cases'!D632,"")</f>
        <v/>
      </c>
      <c r="E632" t="str">
        <f>IF($A632&lt;&gt;"",'All Cases - Enter Cases'!E632,"")</f>
        <v/>
      </c>
      <c r="F632" t="str">
        <f>IF($A632&lt;&gt;"",'All Cases - Enter Cases'!F632,"")</f>
        <v/>
      </c>
      <c r="G632" t="str">
        <f>IF($A632&lt;&gt;"",'All Cases - Enter Cases'!G632,"")</f>
        <v/>
      </c>
      <c r="H632" t="str">
        <f>IF($A632&lt;&gt;"",'All Cases - Enter Cases'!H632,"")</f>
        <v/>
      </c>
      <c r="I632" t="str">
        <f>IF($A632&lt;&gt;"",'All Cases - Enter Cases'!I632,"")</f>
        <v/>
      </c>
      <c r="J632" t="str">
        <f>IF($A632&lt;&gt;"",'All Cases - Enter Cases'!J632,"")</f>
        <v/>
      </c>
      <c r="K632" t="str">
        <f>IF($A632&lt;&gt;"",'All Cases - Enter Cases'!K632,"")</f>
        <v/>
      </c>
      <c r="L632" t="str">
        <f>IF($A632&lt;&gt;"",'All Cases - Enter Cases'!L632,"")</f>
        <v/>
      </c>
      <c r="M632" t="str">
        <f>IF($A632&lt;&gt;"",'All Cases - Enter Cases'!M632,"")</f>
        <v/>
      </c>
    </row>
    <row r="633" spans="1:13" x14ac:dyDescent="0.35">
      <c r="A633" t="str">
        <f>IF('All Cases - Enter Cases'!$F633="KPK",'All Cases - Enter Cases'!A633,"")</f>
        <v/>
      </c>
      <c r="B633" t="str">
        <f>IF($A633&lt;&gt;"",'All Cases - Enter Cases'!B633,"")</f>
        <v/>
      </c>
      <c r="C633" t="str">
        <f>IF($A633&lt;&gt;"",'All Cases - Enter Cases'!C633,"")</f>
        <v/>
      </c>
      <c r="D633" t="str">
        <f>IF($A633&lt;&gt;"",'All Cases - Enter Cases'!D633,"")</f>
        <v/>
      </c>
      <c r="E633" t="str">
        <f>IF($A633&lt;&gt;"",'All Cases - Enter Cases'!E633,"")</f>
        <v/>
      </c>
      <c r="F633" t="str">
        <f>IF($A633&lt;&gt;"",'All Cases - Enter Cases'!F633,"")</f>
        <v/>
      </c>
      <c r="G633" t="str">
        <f>IF($A633&lt;&gt;"",'All Cases - Enter Cases'!G633,"")</f>
        <v/>
      </c>
      <c r="H633" t="str">
        <f>IF($A633&lt;&gt;"",'All Cases - Enter Cases'!H633,"")</f>
        <v/>
      </c>
      <c r="I633" t="str">
        <f>IF($A633&lt;&gt;"",'All Cases - Enter Cases'!I633,"")</f>
        <v/>
      </c>
      <c r="J633" t="str">
        <f>IF($A633&lt;&gt;"",'All Cases - Enter Cases'!J633,"")</f>
        <v/>
      </c>
      <c r="K633" t="str">
        <f>IF($A633&lt;&gt;"",'All Cases - Enter Cases'!K633,"")</f>
        <v/>
      </c>
      <c r="L633" t="str">
        <f>IF($A633&lt;&gt;"",'All Cases - Enter Cases'!L633,"")</f>
        <v/>
      </c>
      <c r="M633" t="str">
        <f>IF($A633&lt;&gt;"",'All Cases - Enter Cases'!M633,"")</f>
        <v/>
      </c>
    </row>
    <row r="634" spans="1:13" x14ac:dyDescent="0.35">
      <c r="A634" t="str">
        <f>IF('All Cases - Enter Cases'!$F634="KPK",'All Cases - Enter Cases'!A634,"")</f>
        <v/>
      </c>
      <c r="B634" t="str">
        <f>IF($A634&lt;&gt;"",'All Cases - Enter Cases'!B634,"")</f>
        <v/>
      </c>
      <c r="C634" t="str">
        <f>IF($A634&lt;&gt;"",'All Cases - Enter Cases'!C634,"")</f>
        <v/>
      </c>
      <c r="D634" t="str">
        <f>IF($A634&lt;&gt;"",'All Cases - Enter Cases'!D634,"")</f>
        <v/>
      </c>
      <c r="E634" t="str">
        <f>IF($A634&lt;&gt;"",'All Cases - Enter Cases'!E634,"")</f>
        <v/>
      </c>
      <c r="F634" t="str">
        <f>IF($A634&lt;&gt;"",'All Cases - Enter Cases'!F634,"")</f>
        <v/>
      </c>
      <c r="G634" t="str">
        <f>IF($A634&lt;&gt;"",'All Cases - Enter Cases'!G634,"")</f>
        <v/>
      </c>
      <c r="H634" t="str">
        <f>IF($A634&lt;&gt;"",'All Cases - Enter Cases'!H634,"")</f>
        <v/>
      </c>
      <c r="I634" t="str">
        <f>IF($A634&lt;&gt;"",'All Cases - Enter Cases'!I634,"")</f>
        <v/>
      </c>
      <c r="J634" t="str">
        <f>IF($A634&lt;&gt;"",'All Cases - Enter Cases'!J634,"")</f>
        <v/>
      </c>
      <c r="K634" t="str">
        <f>IF($A634&lt;&gt;"",'All Cases - Enter Cases'!K634,"")</f>
        <v/>
      </c>
      <c r="L634" t="str">
        <f>IF($A634&lt;&gt;"",'All Cases - Enter Cases'!L634,"")</f>
        <v/>
      </c>
      <c r="M634" t="str">
        <f>IF($A634&lt;&gt;"",'All Cases - Enter Cases'!M634,"")</f>
        <v/>
      </c>
    </row>
    <row r="635" spans="1:13" x14ac:dyDescent="0.35">
      <c r="A635" t="str">
        <f>IF('All Cases - Enter Cases'!$F635="KPK",'All Cases - Enter Cases'!A635,"")</f>
        <v/>
      </c>
      <c r="B635" t="str">
        <f>IF($A635&lt;&gt;"",'All Cases - Enter Cases'!B635,"")</f>
        <v/>
      </c>
      <c r="C635" t="str">
        <f>IF($A635&lt;&gt;"",'All Cases - Enter Cases'!C635,"")</f>
        <v/>
      </c>
      <c r="D635" t="str">
        <f>IF($A635&lt;&gt;"",'All Cases - Enter Cases'!D635,"")</f>
        <v/>
      </c>
      <c r="E635" t="str">
        <f>IF($A635&lt;&gt;"",'All Cases - Enter Cases'!E635,"")</f>
        <v/>
      </c>
      <c r="F635" t="str">
        <f>IF($A635&lt;&gt;"",'All Cases - Enter Cases'!F635,"")</f>
        <v/>
      </c>
      <c r="G635" t="str">
        <f>IF($A635&lt;&gt;"",'All Cases - Enter Cases'!G635,"")</f>
        <v/>
      </c>
      <c r="H635" t="str">
        <f>IF($A635&lt;&gt;"",'All Cases - Enter Cases'!H635,"")</f>
        <v/>
      </c>
      <c r="I635" t="str">
        <f>IF($A635&lt;&gt;"",'All Cases - Enter Cases'!I635,"")</f>
        <v/>
      </c>
      <c r="J635" t="str">
        <f>IF($A635&lt;&gt;"",'All Cases - Enter Cases'!J635,"")</f>
        <v/>
      </c>
      <c r="K635" t="str">
        <f>IF($A635&lt;&gt;"",'All Cases - Enter Cases'!K635,"")</f>
        <v/>
      </c>
      <c r="L635" t="str">
        <f>IF($A635&lt;&gt;"",'All Cases - Enter Cases'!L635,"")</f>
        <v/>
      </c>
      <c r="M635" t="str">
        <f>IF($A635&lt;&gt;"",'All Cases - Enter Cases'!M635,"")</f>
        <v/>
      </c>
    </row>
    <row r="636" spans="1:13" x14ac:dyDescent="0.35">
      <c r="A636" t="str">
        <f>IF('All Cases - Enter Cases'!$F636="KPK",'All Cases - Enter Cases'!A636,"")</f>
        <v/>
      </c>
      <c r="B636" t="str">
        <f>IF($A636&lt;&gt;"",'All Cases - Enter Cases'!B636,"")</f>
        <v/>
      </c>
      <c r="C636" t="str">
        <f>IF($A636&lt;&gt;"",'All Cases - Enter Cases'!C636,"")</f>
        <v/>
      </c>
      <c r="D636" t="str">
        <f>IF($A636&lt;&gt;"",'All Cases - Enter Cases'!D636,"")</f>
        <v/>
      </c>
      <c r="E636" t="str">
        <f>IF($A636&lt;&gt;"",'All Cases - Enter Cases'!E636,"")</f>
        <v/>
      </c>
      <c r="F636" t="str">
        <f>IF($A636&lt;&gt;"",'All Cases - Enter Cases'!F636,"")</f>
        <v/>
      </c>
      <c r="G636" t="str">
        <f>IF($A636&lt;&gt;"",'All Cases - Enter Cases'!G636,"")</f>
        <v/>
      </c>
      <c r="H636" t="str">
        <f>IF($A636&lt;&gt;"",'All Cases - Enter Cases'!H636,"")</f>
        <v/>
      </c>
      <c r="I636" t="str">
        <f>IF($A636&lt;&gt;"",'All Cases - Enter Cases'!I636,"")</f>
        <v/>
      </c>
      <c r="J636" t="str">
        <f>IF($A636&lt;&gt;"",'All Cases - Enter Cases'!J636,"")</f>
        <v/>
      </c>
      <c r="K636" t="str">
        <f>IF($A636&lt;&gt;"",'All Cases - Enter Cases'!K636,"")</f>
        <v/>
      </c>
      <c r="L636" t="str">
        <f>IF($A636&lt;&gt;"",'All Cases - Enter Cases'!L636,"")</f>
        <v/>
      </c>
      <c r="M636" t="str">
        <f>IF($A636&lt;&gt;"",'All Cases - Enter Cases'!M636,"")</f>
        <v/>
      </c>
    </row>
    <row r="637" spans="1:13" x14ac:dyDescent="0.35">
      <c r="A637" t="str">
        <f>IF('All Cases - Enter Cases'!$F637="KPK",'All Cases - Enter Cases'!A637,"")</f>
        <v/>
      </c>
      <c r="B637" t="str">
        <f>IF($A637&lt;&gt;"",'All Cases - Enter Cases'!B637,"")</f>
        <v/>
      </c>
      <c r="C637" t="str">
        <f>IF($A637&lt;&gt;"",'All Cases - Enter Cases'!C637,"")</f>
        <v/>
      </c>
      <c r="D637" t="str">
        <f>IF($A637&lt;&gt;"",'All Cases - Enter Cases'!D637,"")</f>
        <v/>
      </c>
      <c r="E637" t="str">
        <f>IF($A637&lt;&gt;"",'All Cases - Enter Cases'!E637,"")</f>
        <v/>
      </c>
      <c r="F637" t="str">
        <f>IF($A637&lt;&gt;"",'All Cases - Enter Cases'!F637,"")</f>
        <v/>
      </c>
      <c r="G637" t="str">
        <f>IF($A637&lt;&gt;"",'All Cases - Enter Cases'!G637,"")</f>
        <v/>
      </c>
      <c r="H637" t="str">
        <f>IF($A637&lt;&gt;"",'All Cases - Enter Cases'!H637,"")</f>
        <v/>
      </c>
      <c r="I637" t="str">
        <f>IF($A637&lt;&gt;"",'All Cases - Enter Cases'!I637,"")</f>
        <v/>
      </c>
      <c r="J637" t="str">
        <f>IF($A637&lt;&gt;"",'All Cases - Enter Cases'!J637,"")</f>
        <v/>
      </c>
      <c r="K637" t="str">
        <f>IF($A637&lt;&gt;"",'All Cases - Enter Cases'!K637,"")</f>
        <v/>
      </c>
      <c r="L637" t="str">
        <f>IF($A637&lt;&gt;"",'All Cases - Enter Cases'!L637,"")</f>
        <v/>
      </c>
      <c r="M637" t="str">
        <f>IF($A637&lt;&gt;"",'All Cases - Enter Cases'!M637,"")</f>
        <v/>
      </c>
    </row>
    <row r="638" spans="1:13" x14ac:dyDescent="0.35">
      <c r="A638" t="str">
        <f>IF('All Cases - Enter Cases'!$F638="KPK",'All Cases - Enter Cases'!A638,"")</f>
        <v/>
      </c>
      <c r="B638" t="str">
        <f>IF($A638&lt;&gt;"",'All Cases - Enter Cases'!B638,"")</f>
        <v/>
      </c>
      <c r="C638" t="str">
        <f>IF($A638&lt;&gt;"",'All Cases - Enter Cases'!C638,"")</f>
        <v/>
      </c>
      <c r="D638" t="str">
        <f>IF($A638&lt;&gt;"",'All Cases - Enter Cases'!D638,"")</f>
        <v/>
      </c>
      <c r="E638" t="str">
        <f>IF($A638&lt;&gt;"",'All Cases - Enter Cases'!E638,"")</f>
        <v/>
      </c>
      <c r="F638" t="str">
        <f>IF($A638&lt;&gt;"",'All Cases - Enter Cases'!F638,"")</f>
        <v/>
      </c>
      <c r="G638" t="str">
        <f>IF($A638&lt;&gt;"",'All Cases - Enter Cases'!G638,"")</f>
        <v/>
      </c>
      <c r="H638" t="str">
        <f>IF($A638&lt;&gt;"",'All Cases - Enter Cases'!H638,"")</f>
        <v/>
      </c>
      <c r="I638" t="str">
        <f>IF($A638&lt;&gt;"",'All Cases - Enter Cases'!I638,"")</f>
        <v/>
      </c>
      <c r="J638" t="str">
        <f>IF($A638&lt;&gt;"",'All Cases - Enter Cases'!J638,"")</f>
        <v/>
      </c>
      <c r="K638" t="str">
        <f>IF($A638&lt;&gt;"",'All Cases - Enter Cases'!K638,"")</f>
        <v/>
      </c>
      <c r="L638" t="str">
        <f>IF($A638&lt;&gt;"",'All Cases - Enter Cases'!L638,"")</f>
        <v/>
      </c>
      <c r="M638" t="str">
        <f>IF($A638&lt;&gt;"",'All Cases - Enter Cases'!M638,"")</f>
        <v/>
      </c>
    </row>
    <row r="639" spans="1:13" x14ac:dyDescent="0.35">
      <c r="A639" t="str">
        <f>IF('All Cases - Enter Cases'!$F639="KPK",'All Cases - Enter Cases'!A639,"")</f>
        <v/>
      </c>
      <c r="B639" t="str">
        <f>IF($A639&lt;&gt;"",'All Cases - Enter Cases'!B639,"")</f>
        <v/>
      </c>
      <c r="C639" t="str">
        <f>IF($A639&lt;&gt;"",'All Cases - Enter Cases'!C639,"")</f>
        <v/>
      </c>
      <c r="D639" t="str">
        <f>IF($A639&lt;&gt;"",'All Cases - Enter Cases'!D639,"")</f>
        <v/>
      </c>
      <c r="E639" t="str">
        <f>IF($A639&lt;&gt;"",'All Cases - Enter Cases'!E639,"")</f>
        <v/>
      </c>
      <c r="F639" t="str">
        <f>IF($A639&lt;&gt;"",'All Cases - Enter Cases'!F639,"")</f>
        <v/>
      </c>
      <c r="G639" t="str">
        <f>IF($A639&lt;&gt;"",'All Cases - Enter Cases'!G639,"")</f>
        <v/>
      </c>
      <c r="H639" t="str">
        <f>IF($A639&lt;&gt;"",'All Cases - Enter Cases'!H639,"")</f>
        <v/>
      </c>
      <c r="I639" t="str">
        <f>IF($A639&lt;&gt;"",'All Cases - Enter Cases'!I639,"")</f>
        <v/>
      </c>
      <c r="J639" t="str">
        <f>IF($A639&lt;&gt;"",'All Cases - Enter Cases'!J639,"")</f>
        <v/>
      </c>
      <c r="K639" t="str">
        <f>IF($A639&lt;&gt;"",'All Cases - Enter Cases'!K639,"")</f>
        <v/>
      </c>
      <c r="L639" t="str">
        <f>IF($A639&lt;&gt;"",'All Cases - Enter Cases'!L639,"")</f>
        <v/>
      </c>
      <c r="M639" t="str">
        <f>IF($A639&lt;&gt;"",'All Cases - Enter Cases'!M639,"")</f>
        <v/>
      </c>
    </row>
    <row r="640" spans="1:13" x14ac:dyDescent="0.35">
      <c r="A640" t="str">
        <f>IF('All Cases - Enter Cases'!$F640="KPK",'All Cases - Enter Cases'!A640,"")</f>
        <v/>
      </c>
      <c r="B640" t="str">
        <f>IF($A640&lt;&gt;"",'All Cases - Enter Cases'!B640,"")</f>
        <v/>
      </c>
      <c r="C640" t="str">
        <f>IF($A640&lt;&gt;"",'All Cases - Enter Cases'!C640,"")</f>
        <v/>
      </c>
      <c r="D640" t="str">
        <f>IF($A640&lt;&gt;"",'All Cases - Enter Cases'!D640,"")</f>
        <v/>
      </c>
      <c r="E640" t="str">
        <f>IF($A640&lt;&gt;"",'All Cases - Enter Cases'!E640,"")</f>
        <v/>
      </c>
      <c r="F640" t="str">
        <f>IF($A640&lt;&gt;"",'All Cases - Enter Cases'!F640,"")</f>
        <v/>
      </c>
      <c r="G640" t="str">
        <f>IF($A640&lt;&gt;"",'All Cases - Enter Cases'!G640,"")</f>
        <v/>
      </c>
      <c r="H640" t="str">
        <f>IF($A640&lt;&gt;"",'All Cases - Enter Cases'!H640,"")</f>
        <v/>
      </c>
      <c r="I640" t="str">
        <f>IF($A640&lt;&gt;"",'All Cases - Enter Cases'!I640,"")</f>
        <v/>
      </c>
      <c r="J640" t="str">
        <f>IF($A640&lt;&gt;"",'All Cases - Enter Cases'!J640,"")</f>
        <v/>
      </c>
      <c r="K640" t="str">
        <f>IF($A640&lt;&gt;"",'All Cases - Enter Cases'!K640,"")</f>
        <v/>
      </c>
      <c r="L640" t="str">
        <f>IF($A640&lt;&gt;"",'All Cases - Enter Cases'!L640,"")</f>
        <v/>
      </c>
      <c r="M640" t="str">
        <f>IF($A640&lt;&gt;"",'All Cases - Enter Cases'!M640,"")</f>
        <v/>
      </c>
    </row>
    <row r="641" spans="1:13" x14ac:dyDescent="0.35">
      <c r="A641" t="str">
        <f>IF('All Cases - Enter Cases'!$F641="KPK",'All Cases - Enter Cases'!A641,"")</f>
        <v/>
      </c>
      <c r="B641" t="str">
        <f>IF($A641&lt;&gt;"",'All Cases - Enter Cases'!B641,"")</f>
        <v/>
      </c>
      <c r="C641" t="str">
        <f>IF($A641&lt;&gt;"",'All Cases - Enter Cases'!C641,"")</f>
        <v/>
      </c>
      <c r="D641" t="str">
        <f>IF($A641&lt;&gt;"",'All Cases - Enter Cases'!D641,"")</f>
        <v/>
      </c>
      <c r="E641" t="str">
        <f>IF($A641&lt;&gt;"",'All Cases - Enter Cases'!E641,"")</f>
        <v/>
      </c>
      <c r="F641" t="str">
        <f>IF($A641&lt;&gt;"",'All Cases - Enter Cases'!F641,"")</f>
        <v/>
      </c>
      <c r="G641" t="str">
        <f>IF($A641&lt;&gt;"",'All Cases - Enter Cases'!G641,"")</f>
        <v/>
      </c>
      <c r="H641" t="str">
        <f>IF($A641&lt;&gt;"",'All Cases - Enter Cases'!H641,"")</f>
        <v/>
      </c>
      <c r="I641" t="str">
        <f>IF($A641&lt;&gt;"",'All Cases - Enter Cases'!I641,"")</f>
        <v/>
      </c>
      <c r="J641" t="str">
        <f>IF($A641&lt;&gt;"",'All Cases - Enter Cases'!J641,"")</f>
        <v/>
      </c>
      <c r="K641" t="str">
        <f>IF($A641&lt;&gt;"",'All Cases - Enter Cases'!K641,"")</f>
        <v/>
      </c>
      <c r="L641" t="str">
        <f>IF($A641&lt;&gt;"",'All Cases - Enter Cases'!L641,"")</f>
        <v/>
      </c>
      <c r="M641" t="str">
        <f>IF($A641&lt;&gt;"",'All Cases - Enter Cases'!M641,"")</f>
        <v/>
      </c>
    </row>
    <row r="642" spans="1:13" x14ac:dyDescent="0.35">
      <c r="A642" t="str">
        <f>IF('All Cases - Enter Cases'!$F642="KPK",'All Cases - Enter Cases'!A642,"")</f>
        <v/>
      </c>
      <c r="B642" t="str">
        <f>IF($A642&lt;&gt;"",'All Cases - Enter Cases'!B642,"")</f>
        <v/>
      </c>
      <c r="C642" t="str">
        <f>IF($A642&lt;&gt;"",'All Cases - Enter Cases'!C642,"")</f>
        <v/>
      </c>
      <c r="D642" t="str">
        <f>IF($A642&lt;&gt;"",'All Cases - Enter Cases'!D642,"")</f>
        <v/>
      </c>
      <c r="E642" t="str">
        <f>IF($A642&lt;&gt;"",'All Cases - Enter Cases'!E642,"")</f>
        <v/>
      </c>
      <c r="F642" t="str">
        <f>IF($A642&lt;&gt;"",'All Cases - Enter Cases'!F642,"")</f>
        <v/>
      </c>
      <c r="G642" t="str">
        <f>IF($A642&lt;&gt;"",'All Cases - Enter Cases'!G642,"")</f>
        <v/>
      </c>
      <c r="H642" t="str">
        <f>IF($A642&lt;&gt;"",'All Cases - Enter Cases'!H642,"")</f>
        <v/>
      </c>
      <c r="I642" t="str">
        <f>IF($A642&lt;&gt;"",'All Cases - Enter Cases'!I642,"")</f>
        <v/>
      </c>
      <c r="J642" t="str">
        <f>IF($A642&lt;&gt;"",'All Cases - Enter Cases'!J642,"")</f>
        <v/>
      </c>
      <c r="K642" t="str">
        <f>IF($A642&lt;&gt;"",'All Cases - Enter Cases'!K642,"")</f>
        <v/>
      </c>
      <c r="L642" t="str">
        <f>IF($A642&lt;&gt;"",'All Cases - Enter Cases'!L642,"")</f>
        <v/>
      </c>
      <c r="M642" t="str">
        <f>IF($A642&lt;&gt;"",'All Cases - Enter Cases'!M642,"")</f>
        <v/>
      </c>
    </row>
    <row r="643" spans="1:13" x14ac:dyDescent="0.35">
      <c r="A643" t="str">
        <f>IF('All Cases - Enter Cases'!$F643="KPK",'All Cases - Enter Cases'!A643,"")</f>
        <v/>
      </c>
      <c r="B643" t="str">
        <f>IF($A643&lt;&gt;"",'All Cases - Enter Cases'!B643,"")</f>
        <v/>
      </c>
      <c r="C643" t="str">
        <f>IF($A643&lt;&gt;"",'All Cases - Enter Cases'!C643,"")</f>
        <v/>
      </c>
      <c r="D643" t="str">
        <f>IF($A643&lt;&gt;"",'All Cases - Enter Cases'!D643,"")</f>
        <v/>
      </c>
      <c r="E643" t="str">
        <f>IF($A643&lt;&gt;"",'All Cases - Enter Cases'!E643,"")</f>
        <v/>
      </c>
      <c r="F643" t="str">
        <f>IF($A643&lt;&gt;"",'All Cases - Enter Cases'!F643,"")</f>
        <v/>
      </c>
      <c r="G643" t="str">
        <f>IF($A643&lt;&gt;"",'All Cases - Enter Cases'!G643,"")</f>
        <v/>
      </c>
      <c r="H643" t="str">
        <f>IF($A643&lt;&gt;"",'All Cases - Enter Cases'!H643,"")</f>
        <v/>
      </c>
      <c r="I643" t="str">
        <f>IF($A643&lt;&gt;"",'All Cases - Enter Cases'!I643,"")</f>
        <v/>
      </c>
      <c r="J643" t="str">
        <f>IF($A643&lt;&gt;"",'All Cases - Enter Cases'!J643,"")</f>
        <v/>
      </c>
      <c r="K643" t="str">
        <f>IF($A643&lt;&gt;"",'All Cases - Enter Cases'!K643,"")</f>
        <v/>
      </c>
      <c r="L643" t="str">
        <f>IF($A643&lt;&gt;"",'All Cases - Enter Cases'!L643,"")</f>
        <v/>
      </c>
      <c r="M643" t="str">
        <f>IF($A643&lt;&gt;"",'All Cases - Enter Cases'!M643,"")</f>
        <v/>
      </c>
    </row>
    <row r="644" spans="1:13" x14ac:dyDescent="0.35">
      <c r="A644" t="str">
        <f>IF('All Cases - Enter Cases'!$F644="KPK",'All Cases - Enter Cases'!A644,"")</f>
        <v/>
      </c>
      <c r="B644" t="str">
        <f>IF($A644&lt;&gt;"",'All Cases - Enter Cases'!B644,"")</f>
        <v/>
      </c>
      <c r="C644" t="str">
        <f>IF($A644&lt;&gt;"",'All Cases - Enter Cases'!C644,"")</f>
        <v/>
      </c>
      <c r="D644" t="str">
        <f>IF($A644&lt;&gt;"",'All Cases - Enter Cases'!D644,"")</f>
        <v/>
      </c>
      <c r="E644" t="str">
        <f>IF($A644&lt;&gt;"",'All Cases - Enter Cases'!E644,"")</f>
        <v/>
      </c>
      <c r="F644" t="str">
        <f>IF($A644&lt;&gt;"",'All Cases - Enter Cases'!F644,"")</f>
        <v/>
      </c>
      <c r="G644" t="str">
        <f>IF($A644&lt;&gt;"",'All Cases - Enter Cases'!G644,"")</f>
        <v/>
      </c>
      <c r="H644" t="str">
        <f>IF($A644&lt;&gt;"",'All Cases - Enter Cases'!H644,"")</f>
        <v/>
      </c>
      <c r="I644" t="str">
        <f>IF($A644&lt;&gt;"",'All Cases - Enter Cases'!I644,"")</f>
        <v/>
      </c>
      <c r="J644" t="str">
        <f>IF($A644&lt;&gt;"",'All Cases - Enter Cases'!J644,"")</f>
        <v/>
      </c>
      <c r="K644" t="str">
        <f>IF($A644&lt;&gt;"",'All Cases - Enter Cases'!K644,"")</f>
        <v/>
      </c>
      <c r="L644" t="str">
        <f>IF($A644&lt;&gt;"",'All Cases - Enter Cases'!L644,"")</f>
        <v/>
      </c>
      <c r="M644" t="str">
        <f>IF($A644&lt;&gt;"",'All Cases - Enter Cases'!M644,"")</f>
        <v/>
      </c>
    </row>
    <row r="645" spans="1:13" x14ac:dyDescent="0.35">
      <c r="A645" t="str">
        <f>IF('All Cases - Enter Cases'!$F645="KPK",'All Cases - Enter Cases'!A645,"")</f>
        <v/>
      </c>
      <c r="B645" t="str">
        <f>IF($A645&lt;&gt;"",'All Cases - Enter Cases'!B645,"")</f>
        <v/>
      </c>
      <c r="C645" t="str">
        <f>IF($A645&lt;&gt;"",'All Cases - Enter Cases'!C645,"")</f>
        <v/>
      </c>
      <c r="D645" t="str">
        <f>IF($A645&lt;&gt;"",'All Cases - Enter Cases'!D645,"")</f>
        <v/>
      </c>
      <c r="E645" t="str">
        <f>IF($A645&lt;&gt;"",'All Cases - Enter Cases'!E645,"")</f>
        <v/>
      </c>
      <c r="F645" t="str">
        <f>IF($A645&lt;&gt;"",'All Cases - Enter Cases'!F645,"")</f>
        <v/>
      </c>
      <c r="G645" t="str">
        <f>IF($A645&lt;&gt;"",'All Cases - Enter Cases'!G645,"")</f>
        <v/>
      </c>
      <c r="H645" t="str">
        <f>IF($A645&lt;&gt;"",'All Cases - Enter Cases'!H645,"")</f>
        <v/>
      </c>
      <c r="I645" t="str">
        <f>IF($A645&lt;&gt;"",'All Cases - Enter Cases'!I645,"")</f>
        <v/>
      </c>
      <c r="J645" t="str">
        <f>IF($A645&lt;&gt;"",'All Cases - Enter Cases'!J645,"")</f>
        <v/>
      </c>
      <c r="K645" t="str">
        <f>IF($A645&lt;&gt;"",'All Cases - Enter Cases'!K645,"")</f>
        <v/>
      </c>
      <c r="L645" t="str">
        <f>IF($A645&lt;&gt;"",'All Cases - Enter Cases'!L645,"")</f>
        <v/>
      </c>
      <c r="M645" t="str">
        <f>IF($A645&lt;&gt;"",'All Cases - Enter Cases'!M645,"")</f>
        <v/>
      </c>
    </row>
    <row r="646" spans="1:13" x14ac:dyDescent="0.35">
      <c r="A646" t="str">
        <f>IF('All Cases - Enter Cases'!$F646="KPK",'All Cases - Enter Cases'!A646,"")</f>
        <v/>
      </c>
      <c r="B646" t="str">
        <f>IF($A646&lt;&gt;"",'All Cases - Enter Cases'!B646,"")</f>
        <v/>
      </c>
      <c r="C646" t="str">
        <f>IF($A646&lt;&gt;"",'All Cases - Enter Cases'!C646,"")</f>
        <v/>
      </c>
      <c r="D646" t="str">
        <f>IF($A646&lt;&gt;"",'All Cases - Enter Cases'!D646,"")</f>
        <v/>
      </c>
      <c r="E646" t="str">
        <f>IF($A646&lt;&gt;"",'All Cases - Enter Cases'!E646,"")</f>
        <v/>
      </c>
      <c r="F646" t="str">
        <f>IF($A646&lt;&gt;"",'All Cases - Enter Cases'!F646,"")</f>
        <v/>
      </c>
      <c r="G646" t="str">
        <f>IF($A646&lt;&gt;"",'All Cases - Enter Cases'!G646,"")</f>
        <v/>
      </c>
      <c r="H646" t="str">
        <f>IF($A646&lt;&gt;"",'All Cases - Enter Cases'!H646,"")</f>
        <v/>
      </c>
      <c r="I646" t="str">
        <f>IF($A646&lt;&gt;"",'All Cases - Enter Cases'!I646,"")</f>
        <v/>
      </c>
      <c r="J646" t="str">
        <f>IF($A646&lt;&gt;"",'All Cases - Enter Cases'!J646,"")</f>
        <v/>
      </c>
      <c r="K646" t="str">
        <f>IF($A646&lt;&gt;"",'All Cases - Enter Cases'!K646,"")</f>
        <v/>
      </c>
      <c r="L646" t="str">
        <f>IF($A646&lt;&gt;"",'All Cases - Enter Cases'!L646,"")</f>
        <v/>
      </c>
      <c r="M646" t="str">
        <f>IF($A646&lt;&gt;"",'All Cases - Enter Cases'!M646,"")</f>
        <v/>
      </c>
    </row>
    <row r="647" spans="1:13" x14ac:dyDescent="0.35">
      <c r="A647" t="str">
        <f>IF('All Cases - Enter Cases'!$F647="KPK",'All Cases - Enter Cases'!A647,"")</f>
        <v/>
      </c>
      <c r="B647" t="str">
        <f>IF($A647&lt;&gt;"",'All Cases - Enter Cases'!B647,"")</f>
        <v/>
      </c>
      <c r="C647" t="str">
        <f>IF($A647&lt;&gt;"",'All Cases - Enter Cases'!C647,"")</f>
        <v/>
      </c>
      <c r="D647" t="str">
        <f>IF($A647&lt;&gt;"",'All Cases - Enter Cases'!D647,"")</f>
        <v/>
      </c>
      <c r="E647" t="str">
        <f>IF($A647&lt;&gt;"",'All Cases - Enter Cases'!E647,"")</f>
        <v/>
      </c>
      <c r="F647" t="str">
        <f>IF($A647&lt;&gt;"",'All Cases - Enter Cases'!F647,"")</f>
        <v/>
      </c>
      <c r="G647" t="str">
        <f>IF($A647&lt;&gt;"",'All Cases - Enter Cases'!G647,"")</f>
        <v/>
      </c>
      <c r="H647" t="str">
        <f>IF($A647&lt;&gt;"",'All Cases - Enter Cases'!H647,"")</f>
        <v/>
      </c>
      <c r="I647" t="str">
        <f>IF($A647&lt;&gt;"",'All Cases - Enter Cases'!I647,"")</f>
        <v/>
      </c>
      <c r="J647" t="str">
        <f>IF($A647&lt;&gt;"",'All Cases - Enter Cases'!J647,"")</f>
        <v/>
      </c>
      <c r="K647" t="str">
        <f>IF($A647&lt;&gt;"",'All Cases - Enter Cases'!K647,"")</f>
        <v/>
      </c>
      <c r="L647" t="str">
        <f>IF($A647&lt;&gt;"",'All Cases - Enter Cases'!L647,"")</f>
        <v/>
      </c>
      <c r="M647" t="str">
        <f>IF($A647&lt;&gt;"",'All Cases - Enter Cases'!M647,"")</f>
        <v/>
      </c>
    </row>
    <row r="648" spans="1:13" x14ac:dyDescent="0.35">
      <c r="A648" t="str">
        <f>IF('All Cases - Enter Cases'!$F648="KPK",'All Cases - Enter Cases'!A648,"")</f>
        <v/>
      </c>
      <c r="B648" t="str">
        <f>IF($A648&lt;&gt;"",'All Cases - Enter Cases'!B648,"")</f>
        <v/>
      </c>
      <c r="C648" t="str">
        <f>IF($A648&lt;&gt;"",'All Cases - Enter Cases'!C648,"")</f>
        <v/>
      </c>
      <c r="D648" t="str">
        <f>IF($A648&lt;&gt;"",'All Cases - Enter Cases'!D648,"")</f>
        <v/>
      </c>
      <c r="E648" t="str">
        <f>IF($A648&lt;&gt;"",'All Cases - Enter Cases'!E648,"")</f>
        <v/>
      </c>
      <c r="F648" t="str">
        <f>IF($A648&lt;&gt;"",'All Cases - Enter Cases'!F648,"")</f>
        <v/>
      </c>
      <c r="G648" t="str">
        <f>IF($A648&lt;&gt;"",'All Cases - Enter Cases'!G648,"")</f>
        <v/>
      </c>
      <c r="H648" t="str">
        <f>IF($A648&lt;&gt;"",'All Cases - Enter Cases'!H648,"")</f>
        <v/>
      </c>
      <c r="I648" t="str">
        <f>IF($A648&lt;&gt;"",'All Cases - Enter Cases'!I648,"")</f>
        <v/>
      </c>
      <c r="J648" t="str">
        <f>IF($A648&lt;&gt;"",'All Cases - Enter Cases'!J648,"")</f>
        <v/>
      </c>
      <c r="K648" t="str">
        <f>IF($A648&lt;&gt;"",'All Cases - Enter Cases'!K648,"")</f>
        <v/>
      </c>
      <c r="L648" t="str">
        <f>IF($A648&lt;&gt;"",'All Cases - Enter Cases'!L648,"")</f>
        <v/>
      </c>
      <c r="M648" t="str">
        <f>IF($A648&lt;&gt;"",'All Cases - Enter Cases'!M648,"")</f>
        <v/>
      </c>
    </row>
    <row r="649" spans="1:13" x14ac:dyDescent="0.35">
      <c r="A649" t="str">
        <f>IF('All Cases - Enter Cases'!$F649="KPK",'All Cases - Enter Cases'!A649,"")</f>
        <v/>
      </c>
      <c r="B649" t="str">
        <f>IF($A649&lt;&gt;"",'All Cases - Enter Cases'!B649,"")</f>
        <v/>
      </c>
      <c r="C649" t="str">
        <f>IF($A649&lt;&gt;"",'All Cases - Enter Cases'!C649,"")</f>
        <v/>
      </c>
      <c r="D649" t="str">
        <f>IF($A649&lt;&gt;"",'All Cases - Enter Cases'!D649,"")</f>
        <v/>
      </c>
      <c r="E649" t="str">
        <f>IF($A649&lt;&gt;"",'All Cases - Enter Cases'!E649,"")</f>
        <v/>
      </c>
      <c r="F649" t="str">
        <f>IF($A649&lt;&gt;"",'All Cases - Enter Cases'!F649,"")</f>
        <v/>
      </c>
      <c r="G649" t="str">
        <f>IF($A649&lt;&gt;"",'All Cases - Enter Cases'!G649,"")</f>
        <v/>
      </c>
      <c r="H649" t="str">
        <f>IF($A649&lt;&gt;"",'All Cases - Enter Cases'!H649,"")</f>
        <v/>
      </c>
      <c r="I649" t="str">
        <f>IF($A649&lt;&gt;"",'All Cases - Enter Cases'!I649,"")</f>
        <v/>
      </c>
      <c r="J649" t="str">
        <f>IF($A649&lt;&gt;"",'All Cases - Enter Cases'!J649,"")</f>
        <v/>
      </c>
      <c r="K649" t="str">
        <f>IF($A649&lt;&gt;"",'All Cases - Enter Cases'!K649,"")</f>
        <v/>
      </c>
      <c r="L649" t="str">
        <f>IF($A649&lt;&gt;"",'All Cases - Enter Cases'!L649,"")</f>
        <v/>
      </c>
      <c r="M649" t="str">
        <f>IF($A649&lt;&gt;"",'All Cases - Enter Cases'!M649,"")</f>
        <v/>
      </c>
    </row>
    <row r="650" spans="1:13" x14ac:dyDescent="0.35">
      <c r="A650" t="str">
        <f>IF('All Cases - Enter Cases'!$F650="KPK",'All Cases - Enter Cases'!A650,"")</f>
        <v/>
      </c>
      <c r="B650" t="str">
        <f>IF($A650&lt;&gt;"",'All Cases - Enter Cases'!B650,"")</f>
        <v/>
      </c>
      <c r="C650" t="str">
        <f>IF($A650&lt;&gt;"",'All Cases - Enter Cases'!C650,"")</f>
        <v/>
      </c>
      <c r="D650" t="str">
        <f>IF($A650&lt;&gt;"",'All Cases - Enter Cases'!D650,"")</f>
        <v/>
      </c>
      <c r="E650" t="str">
        <f>IF($A650&lt;&gt;"",'All Cases - Enter Cases'!E650,"")</f>
        <v/>
      </c>
      <c r="F650" t="str">
        <f>IF($A650&lt;&gt;"",'All Cases - Enter Cases'!F650,"")</f>
        <v/>
      </c>
      <c r="G650" t="str">
        <f>IF($A650&lt;&gt;"",'All Cases - Enter Cases'!G650,"")</f>
        <v/>
      </c>
      <c r="H650" t="str">
        <f>IF($A650&lt;&gt;"",'All Cases - Enter Cases'!H650,"")</f>
        <v/>
      </c>
      <c r="I650" t="str">
        <f>IF($A650&lt;&gt;"",'All Cases - Enter Cases'!I650,"")</f>
        <v/>
      </c>
      <c r="J650" t="str">
        <f>IF($A650&lt;&gt;"",'All Cases - Enter Cases'!J650,"")</f>
        <v/>
      </c>
      <c r="K650" t="str">
        <f>IF($A650&lt;&gt;"",'All Cases - Enter Cases'!K650,"")</f>
        <v/>
      </c>
      <c r="L650" t="str">
        <f>IF($A650&lt;&gt;"",'All Cases - Enter Cases'!L650,"")</f>
        <v/>
      </c>
      <c r="M650" t="str">
        <f>IF($A650&lt;&gt;"",'All Cases - Enter Cases'!M650,"")</f>
        <v/>
      </c>
    </row>
    <row r="651" spans="1:13" x14ac:dyDescent="0.35">
      <c r="A651" t="str">
        <f>IF('All Cases - Enter Cases'!$F651="KPK",'All Cases - Enter Cases'!A651,"")</f>
        <v/>
      </c>
      <c r="B651" t="str">
        <f>IF($A651&lt;&gt;"",'All Cases - Enter Cases'!B651,"")</f>
        <v/>
      </c>
      <c r="C651" t="str">
        <f>IF($A651&lt;&gt;"",'All Cases - Enter Cases'!C651,"")</f>
        <v/>
      </c>
      <c r="D651" t="str">
        <f>IF($A651&lt;&gt;"",'All Cases - Enter Cases'!D651,"")</f>
        <v/>
      </c>
      <c r="E651" t="str">
        <f>IF($A651&lt;&gt;"",'All Cases - Enter Cases'!E651,"")</f>
        <v/>
      </c>
      <c r="F651" t="str">
        <f>IF($A651&lt;&gt;"",'All Cases - Enter Cases'!F651,"")</f>
        <v/>
      </c>
      <c r="G651" t="str">
        <f>IF($A651&lt;&gt;"",'All Cases - Enter Cases'!G651,"")</f>
        <v/>
      </c>
      <c r="H651" t="str">
        <f>IF($A651&lt;&gt;"",'All Cases - Enter Cases'!H651,"")</f>
        <v/>
      </c>
      <c r="I651" t="str">
        <f>IF($A651&lt;&gt;"",'All Cases - Enter Cases'!I651,"")</f>
        <v/>
      </c>
      <c r="J651" t="str">
        <f>IF($A651&lt;&gt;"",'All Cases - Enter Cases'!J651,"")</f>
        <v/>
      </c>
      <c r="K651" t="str">
        <f>IF($A651&lt;&gt;"",'All Cases - Enter Cases'!K651,"")</f>
        <v/>
      </c>
      <c r="L651" t="str">
        <f>IF($A651&lt;&gt;"",'All Cases - Enter Cases'!L651,"")</f>
        <v/>
      </c>
      <c r="M651" t="str">
        <f>IF($A651&lt;&gt;"",'All Cases - Enter Cases'!M651,"")</f>
        <v/>
      </c>
    </row>
    <row r="652" spans="1:13" x14ac:dyDescent="0.35">
      <c r="A652" t="str">
        <f>IF('All Cases - Enter Cases'!$F652="KPK",'All Cases - Enter Cases'!A652,"")</f>
        <v/>
      </c>
      <c r="B652" t="str">
        <f>IF($A652&lt;&gt;"",'All Cases - Enter Cases'!B652,"")</f>
        <v/>
      </c>
      <c r="C652" t="str">
        <f>IF($A652&lt;&gt;"",'All Cases - Enter Cases'!C652,"")</f>
        <v/>
      </c>
      <c r="D652" t="str">
        <f>IF($A652&lt;&gt;"",'All Cases - Enter Cases'!D652,"")</f>
        <v/>
      </c>
      <c r="E652" t="str">
        <f>IF($A652&lt;&gt;"",'All Cases - Enter Cases'!E652,"")</f>
        <v/>
      </c>
      <c r="F652" t="str">
        <f>IF($A652&lt;&gt;"",'All Cases - Enter Cases'!F652,"")</f>
        <v/>
      </c>
      <c r="G652" t="str">
        <f>IF($A652&lt;&gt;"",'All Cases - Enter Cases'!G652,"")</f>
        <v/>
      </c>
      <c r="H652" t="str">
        <f>IF($A652&lt;&gt;"",'All Cases - Enter Cases'!H652,"")</f>
        <v/>
      </c>
      <c r="I652" t="str">
        <f>IF($A652&lt;&gt;"",'All Cases - Enter Cases'!I652,"")</f>
        <v/>
      </c>
      <c r="J652" t="str">
        <f>IF($A652&lt;&gt;"",'All Cases - Enter Cases'!J652,"")</f>
        <v/>
      </c>
      <c r="K652" t="str">
        <f>IF($A652&lt;&gt;"",'All Cases - Enter Cases'!K652,"")</f>
        <v/>
      </c>
      <c r="L652" t="str">
        <f>IF($A652&lt;&gt;"",'All Cases - Enter Cases'!L652,"")</f>
        <v/>
      </c>
      <c r="M652" t="str">
        <f>IF($A652&lt;&gt;"",'All Cases - Enter Cases'!M652,"")</f>
        <v/>
      </c>
    </row>
    <row r="653" spans="1:13" x14ac:dyDescent="0.35">
      <c r="A653" t="str">
        <f>IF('All Cases - Enter Cases'!$F653="KPK",'All Cases - Enter Cases'!A653,"")</f>
        <v/>
      </c>
      <c r="B653" t="str">
        <f>IF($A653&lt;&gt;"",'All Cases - Enter Cases'!B653,"")</f>
        <v/>
      </c>
      <c r="C653" t="str">
        <f>IF($A653&lt;&gt;"",'All Cases - Enter Cases'!C653,"")</f>
        <v/>
      </c>
      <c r="D653" t="str">
        <f>IF($A653&lt;&gt;"",'All Cases - Enter Cases'!D653,"")</f>
        <v/>
      </c>
      <c r="E653" t="str">
        <f>IF($A653&lt;&gt;"",'All Cases - Enter Cases'!E653,"")</f>
        <v/>
      </c>
      <c r="F653" t="str">
        <f>IF($A653&lt;&gt;"",'All Cases - Enter Cases'!F653,"")</f>
        <v/>
      </c>
      <c r="G653" t="str">
        <f>IF($A653&lt;&gt;"",'All Cases - Enter Cases'!G653,"")</f>
        <v/>
      </c>
      <c r="H653" t="str">
        <f>IF($A653&lt;&gt;"",'All Cases - Enter Cases'!H653,"")</f>
        <v/>
      </c>
      <c r="I653" t="str">
        <f>IF($A653&lt;&gt;"",'All Cases - Enter Cases'!I653,"")</f>
        <v/>
      </c>
      <c r="J653" t="str">
        <f>IF($A653&lt;&gt;"",'All Cases - Enter Cases'!J653,"")</f>
        <v/>
      </c>
      <c r="K653" t="str">
        <f>IF($A653&lt;&gt;"",'All Cases - Enter Cases'!K653,"")</f>
        <v/>
      </c>
      <c r="L653" t="str">
        <f>IF($A653&lt;&gt;"",'All Cases - Enter Cases'!L653,"")</f>
        <v/>
      </c>
      <c r="M653" t="str">
        <f>IF($A653&lt;&gt;"",'All Cases - Enter Cases'!M653,"")</f>
        <v/>
      </c>
    </row>
    <row r="654" spans="1:13" x14ac:dyDescent="0.35">
      <c r="A654" t="str">
        <f>IF('All Cases - Enter Cases'!$F654="KPK",'All Cases - Enter Cases'!A654,"")</f>
        <v/>
      </c>
      <c r="B654" t="str">
        <f>IF($A654&lt;&gt;"",'All Cases - Enter Cases'!B654,"")</f>
        <v/>
      </c>
      <c r="C654" t="str">
        <f>IF($A654&lt;&gt;"",'All Cases - Enter Cases'!C654,"")</f>
        <v/>
      </c>
      <c r="D654" t="str">
        <f>IF($A654&lt;&gt;"",'All Cases - Enter Cases'!D654,"")</f>
        <v/>
      </c>
      <c r="E654" t="str">
        <f>IF($A654&lt;&gt;"",'All Cases - Enter Cases'!E654,"")</f>
        <v/>
      </c>
      <c r="F654" t="str">
        <f>IF($A654&lt;&gt;"",'All Cases - Enter Cases'!F654,"")</f>
        <v/>
      </c>
      <c r="G654" t="str">
        <f>IF($A654&lt;&gt;"",'All Cases - Enter Cases'!G654,"")</f>
        <v/>
      </c>
      <c r="H654" t="str">
        <f>IF($A654&lt;&gt;"",'All Cases - Enter Cases'!H654,"")</f>
        <v/>
      </c>
      <c r="I654" t="str">
        <f>IF($A654&lt;&gt;"",'All Cases - Enter Cases'!I654,"")</f>
        <v/>
      </c>
      <c r="J654" t="str">
        <f>IF($A654&lt;&gt;"",'All Cases - Enter Cases'!J654,"")</f>
        <v/>
      </c>
      <c r="K654" t="str">
        <f>IF($A654&lt;&gt;"",'All Cases - Enter Cases'!K654,"")</f>
        <v/>
      </c>
      <c r="L654" t="str">
        <f>IF($A654&lt;&gt;"",'All Cases - Enter Cases'!L654,"")</f>
        <v/>
      </c>
      <c r="M654" t="str">
        <f>IF($A654&lt;&gt;"",'All Cases - Enter Cases'!M654,"")</f>
        <v/>
      </c>
    </row>
    <row r="655" spans="1:13" x14ac:dyDescent="0.35">
      <c r="A655" t="str">
        <f>IF('All Cases - Enter Cases'!$F655="KPK",'All Cases - Enter Cases'!A655,"")</f>
        <v/>
      </c>
      <c r="B655" t="str">
        <f>IF($A655&lt;&gt;"",'All Cases - Enter Cases'!B655,"")</f>
        <v/>
      </c>
      <c r="C655" t="str">
        <f>IF($A655&lt;&gt;"",'All Cases - Enter Cases'!C655,"")</f>
        <v/>
      </c>
      <c r="D655" t="str">
        <f>IF($A655&lt;&gt;"",'All Cases - Enter Cases'!D655,"")</f>
        <v/>
      </c>
      <c r="E655" t="str">
        <f>IF($A655&lt;&gt;"",'All Cases - Enter Cases'!E655,"")</f>
        <v/>
      </c>
      <c r="F655" t="str">
        <f>IF($A655&lt;&gt;"",'All Cases - Enter Cases'!F655,"")</f>
        <v/>
      </c>
      <c r="G655" t="str">
        <f>IF($A655&lt;&gt;"",'All Cases - Enter Cases'!G655,"")</f>
        <v/>
      </c>
      <c r="H655" t="str">
        <f>IF($A655&lt;&gt;"",'All Cases - Enter Cases'!H655,"")</f>
        <v/>
      </c>
      <c r="I655" t="str">
        <f>IF($A655&lt;&gt;"",'All Cases - Enter Cases'!I655,"")</f>
        <v/>
      </c>
      <c r="J655" t="str">
        <f>IF($A655&lt;&gt;"",'All Cases - Enter Cases'!J655,"")</f>
        <v/>
      </c>
      <c r="K655" t="str">
        <f>IF($A655&lt;&gt;"",'All Cases - Enter Cases'!K655,"")</f>
        <v/>
      </c>
      <c r="L655" t="str">
        <f>IF($A655&lt;&gt;"",'All Cases - Enter Cases'!L655,"")</f>
        <v/>
      </c>
      <c r="M655" t="str">
        <f>IF($A655&lt;&gt;"",'All Cases - Enter Cases'!M655,"")</f>
        <v/>
      </c>
    </row>
    <row r="656" spans="1:13" x14ac:dyDescent="0.35">
      <c r="A656" t="str">
        <f>IF('All Cases - Enter Cases'!$F656="KPK",'All Cases - Enter Cases'!A656,"")</f>
        <v/>
      </c>
      <c r="B656" t="str">
        <f>IF($A656&lt;&gt;"",'All Cases - Enter Cases'!B656,"")</f>
        <v/>
      </c>
      <c r="C656" t="str">
        <f>IF($A656&lt;&gt;"",'All Cases - Enter Cases'!C656,"")</f>
        <v/>
      </c>
      <c r="D656" t="str">
        <f>IF($A656&lt;&gt;"",'All Cases - Enter Cases'!D656,"")</f>
        <v/>
      </c>
      <c r="E656" t="str">
        <f>IF($A656&lt;&gt;"",'All Cases - Enter Cases'!E656,"")</f>
        <v/>
      </c>
      <c r="F656" t="str">
        <f>IF($A656&lt;&gt;"",'All Cases - Enter Cases'!F656,"")</f>
        <v/>
      </c>
      <c r="G656" t="str">
        <f>IF($A656&lt;&gt;"",'All Cases - Enter Cases'!G656,"")</f>
        <v/>
      </c>
      <c r="H656" t="str">
        <f>IF($A656&lt;&gt;"",'All Cases - Enter Cases'!H656,"")</f>
        <v/>
      </c>
      <c r="I656" t="str">
        <f>IF($A656&lt;&gt;"",'All Cases - Enter Cases'!I656,"")</f>
        <v/>
      </c>
      <c r="J656" t="str">
        <f>IF($A656&lt;&gt;"",'All Cases - Enter Cases'!J656,"")</f>
        <v/>
      </c>
      <c r="K656" t="str">
        <f>IF($A656&lt;&gt;"",'All Cases - Enter Cases'!K656,"")</f>
        <v/>
      </c>
      <c r="L656" t="str">
        <f>IF($A656&lt;&gt;"",'All Cases - Enter Cases'!L656,"")</f>
        <v/>
      </c>
      <c r="M656" t="str">
        <f>IF($A656&lt;&gt;"",'All Cases - Enter Cases'!M656,"")</f>
        <v/>
      </c>
    </row>
    <row r="657" spans="1:13" x14ac:dyDescent="0.35">
      <c r="A657" t="str">
        <f>IF('All Cases - Enter Cases'!$F657="KPK",'All Cases - Enter Cases'!A657,"")</f>
        <v/>
      </c>
      <c r="B657" t="str">
        <f>IF($A657&lt;&gt;"",'All Cases - Enter Cases'!B657,"")</f>
        <v/>
      </c>
      <c r="C657" t="str">
        <f>IF($A657&lt;&gt;"",'All Cases - Enter Cases'!C657,"")</f>
        <v/>
      </c>
      <c r="D657" t="str">
        <f>IF($A657&lt;&gt;"",'All Cases - Enter Cases'!D657,"")</f>
        <v/>
      </c>
      <c r="E657" t="str">
        <f>IF($A657&lt;&gt;"",'All Cases - Enter Cases'!E657,"")</f>
        <v/>
      </c>
      <c r="F657" t="str">
        <f>IF($A657&lt;&gt;"",'All Cases - Enter Cases'!F657,"")</f>
        <v/>
      </c>
      <c r="G657" t="str">
        <f>IF($A657&lt;&gt;"",'All Cases - Enter Cases'!G657,"")</f>
        <v/>
      </c>
      <c r="H657" t="str">
        <f>IF($A657&lt;&gt;"",'All Cases - Enter Cases'!H657,"")</f>
        <v/>
      </c>
      <c r="I657" t="str">
        <f>IF($A657&lt;&gt;"",'All Cases - Enter Cases'!I657,"")</f>
        <v/>
      </c>
      <c r="J657" t="str">
        <f>IF($A657&lt;&gt;"",'All Cases - Enter Cases'!J657,"")</f>
        <v/>
      </c>
      <c r="K657" t="str">
        <f>IF($A657&lt;&gt;"",'All Cases - Enter Cases'!K657,"")</f>
        <v/>
      </c>
      <c r="L657" t="str">
        <f>IF($A657&lt;&gt;"",'All Cases - Enter Cases'!L657,"")</f>
        <v/>
      </c>
      <c r="M657" t="str">
        <f>IF($A657&lt;&gt;"",'All Cases - Enter Cases'!M657,"")</f>
        <v/>
      </c>
    </row>
    <row r="658" spans="1:13" x14ac:dyDescent="0.35">
      <c r="A658" t="str">
        <f>IF('All Cases - Enter Cases'!$F658="KPK",'All Cases - Enter Cases'!A658,"")</f>
        <v/>
      </c>
      <c r="B658" t="str">
        <f>IF($A658&lt;&gt;"",'All Cases - Enter Cases'!B658,"")</f>
        <v/>
      </c>
      <c r="C658" t="str">
        <f>IF($A658&lt;&gt;"",'All Cases - Enter Cases'!C658,"")</f>
        <v/>
      </c>
      <c r="D658" t="str">
        <f>IF($A658&lt;&gt;"",'All Cases - Enter Cases'!D658,"")</f>
        <v/>
      </c>
      <c r="E658" t="str">
        <f>IF($A658&lt;&gt;"",'All Cases - Enter Cases'!E658,"")</f>
        <v/>
      </c>
      <c r="F658" t="str">
        <f>IF($A658&lt;&gt;"",'All Cases - Enter Cases'!F658,"")</f>
        <v/>
      </c>
      <c r="G658" t="str">
        <f>IF($A658&lt;&gt;"",'All Cases - Enter Cases'!G658,"")</f>
        <v/>
      </c>
      <c r="H658" t="str">
        <f>IF($A658&lt;&gt;"",'All Cases - Enter Cases'!H658,"")</f>
        <v/>
      </c>
      <c r="I658" t="str">
        <f>IF($A658&lt;&gt;"",'All Cases - Enter Cases'!I658,"")</f>
        <v/>
      </c>
      <c r="J658" t="str">
        <f>IF($A658&lt;&gt;"",'All Cases - Enter Cases'!J658,"")</f>
        <v/>
      </c>
      <c r="K658" t="str">
        <f>IF($A658&lt;&gt;"",'All Cases - Enter Cases'!K658,"")</f>
        <v/>
      </c>
      <c r="L658" t="str">
        <f>IF($A658&lt;&gt;"",'All Cases - Enter Cases'!L658,"")</f>
        <v/>
      </c>
      <c r="M658" t="str">
        <f>IF($A658&lt;&gt;"",'All Cases - Enter Cases'!M658,"")</f>
        <v/>
      </c>
    </row>
    <row r="659" spans="1:13" x14ac:dyDescent="0.35">
      <c r="A659" t="str">
        <f>IF('All Cases - Enter Cases'!$F659="KPK",'All Cases - Enter Cases'!A659,"")</f>
        <v/>
      </c>
      <c r="B659" t="str">
        <f>IF($A659&lt;&gt;"",'All Cases - Enter Cases'!B659,"")</f>
        <v/>
      </c>
      <c r="C659" t="str">
        <f>IF($A659&lt;&gt;"",'All Cases - Enter Cases'!C659,"")</f>
        <v/>
      </c>
      <c r="D659" t="str">
        <f>IF($A659&lt;&gt;"",'All Cases - Enter Cases'!D659,"")</f>
        <v/>
      </c>
      <c r="E659" t="str">
        <f>IF($A659&lt;&gt;"",'All Cases - Enter Cases'!E659,"")</f>
        <v/>
      </c>
      <c r="F659" t="str">
        <f>IF($A659&lt;&gt;"",'All Cases - Enter Cases'!F659,"")</f>
        <v/>
      </c>
      <c r="G659" t="str">
        <f>IF($A659&lt;&gt;"",'All Cases - Enter Cases'!G659,"")</f>
        <v/>
      </c>
      <c r="H659" t="str">
        <f>IF($A659&lt;&gt;"",'All Cases - Enter Cases'!H659,"")</f>
        <v/>
      </c>
      <c r="I659" t="str">
        <f>IF($A659&lt;&gt;"",'All Cases - Enter Cases'!I659,"")</f>
        <v/>
      </c>
      <c r="J659" t="str">
        <f>IF($A659&lt;&gt;"",'All Cases - Enter Cases'!J659,"")</f>
        <v/>
      </c>
      <c r="K659" t="str">
        <f>IF($A659&lt;&gt;"",'All Cases - Enter Cases'!K659,"")</f>
        <v/>
      </c>
      <c r="L659" t="str">
        <f>IF($A659&lt;&gt;"",'All Cases - Enter Cases'!L659,"")</f>
        <v/>
      </c>
      <c r="M659" t="str">
        <f>IF($A659&lt;&gt;"",'All Cases - Enter Cases'!M659,"")</f>
        <v/>
      </c>
    </row>
    <row r="660" spans="1:13" x14ac:dyDescent="0.35">
      <c r="A660" t="str">
        <f>IF('All Cases - Enter Cases'!$F660="KPK",'All Cases - Enter Cases'!A660,"")</f>
        <v/>
      </c>
      <c r="B660" t="str">
        <f>IF($A660&lt;&gt;"",'All Cases - Enter Cases'!B660,"")</f>
        <v/>
      </c>
      <c r="C660" t="str">
        <f>IF($A660&lt;&gt;"",'All Cases - Enter Cases'!C660,"")</f>
        <v/>
      </c>
      <c r="D660" t="str">
        <f>IF($A660&lt;&gt;"",'All Cases - Enter Cases'!D660,"")</f>
        <v/>
      </c>
      <c r="E660" t="str">
        <f>IF($A660&lt;&gt;"",'All Cases - Enter Cases'!E660,"")</f>
        <v/>
      </c>
      <c r="F660" t="str">
        <f>IF($A660&lt;&gt;"",'All Cases - Enter Cases'!F660,"")</f>
        <v/>
      </c>
      <c r="G660" t="str">
        <f>IF($A660&lt;&gt;"",'All Cases - Enter Cases'!G660,"")</f>
        <v/>
      </c>
      <c r="H660" t="str">
        <f>IF($A660&lt;&gt;"",'All Cases - Enter Cases'!H660,"")</f>
        <v/>
      </c>
      <c r="I660" t="str">
        <f>IF($A660&lt;&gt;"",'All Cases - Enter Cases'!I660,"")</f>
        <v/>
      </c>
      <c r="J660" t="str">
        <f>IF($A660&lt;&gt;"",'All Cases - Enter Cases'!J660,"")</f>
        <v/>
      </c>
      <c r="K660" t="str">
        <f>IF($A660&lt;&gt;"",'All Cases - Enter Cases'!K660,"")</f>
        <v/>
      </c>
      <c r="L660" t="str">
        <f>IF($A660&lt;&gt;"",'All Cases - Enter Cases'!L660,"")</f>
        <v/>
      </c>
      <c r="M660" t="str">
        <f>IF($A660&lt;&gt;"",'All Cases - Enter Cases'!M660,"")</f>
        <v/>
      </c>
    </row>
    <row r="661" spans="1:13" x14ac:dyDescent="0.35">
      <c r="A661" t="str">
        <f>IF('All Cases - Enter Cases'!$F661="KPK",'All Cases - Enter Cases'!A661,"")</f>
        <v/>
      </c>
      <c r="B661" t="str">
        <f>IF($A661&lt;&gt;"",'All Cases - Enter Cases'!B661,"")</f>
        <v/>
      </c>
      <c r="C661" t="str">
        <f>IF($A661&lt;&gt;"",'All Cases - Enter Cases'!C661,"")</f>
        <v/>
      </c>
      <c r="D661" t="str">
        <f>IF($A661&lt;&gt;"",'All Cases - Enter Cases'!D661,"")</f>
        <v/>
      </c>
      <c r="E661" t="str">
        <f>IF($A661&lt;&gt;"",'All Cases - Enter Cases'!E661,"")</f>
        <v/>
      </c>
      <c r="F661" t="str">
        <f>IF($A661&lt;&gt;"",'All Cases - Enter Cases'!F661,"")</f>
        <v/>
      </c>
      <c r="G661" t="str">
        <f>IF($A661&lt;&gt;"",'All Cases - Enter Cases'!G661,"")</f>
        <v/>
      </c>
      <c r="H661" t="str">
        <f>IF($A661&lt;&gt;"",'All Cases - Enter Cases'!H661,"")</f>
        <v/>
      </c>
      <c r="I661" t="str">
        <f>IF($A661&lt;&gt;"",'All Cases - Enter Cases'!I661,"")</f>
        <v/>
      </c>
      <c r="J661" t="str">
        <f>IF($A661&lt;&gt;"",'All Cases - Enter Cases'!J661,"")</f>
        <v/>
      </c>
      <c r="K661" t="str">
        <f>IF($A661&lt;&gt;"",'All Cases - Enter Cases'!K661,"")</f>
        <v/>
      </c>
      <c r="L661" t="str">
        <f>IF($A661&lt;&gt;"",'All Cases - Enter Cases'!L661,"")</f>
        <v/>
      </c>
      <c r="M661" t="str">
        <f>IF($A661&lt;&gt;"",'All Cases - Enter Cases'!M661,"")</f>
        <v/>
      </c>
    </row>
    <row r="662" spans="1:13" x14ac:dyDescent="0.35">
      <c r="A662" t="str">
        <f>IF('All Cases - Enter Cases'!$F662="KPK",'All Cases - Enter Cases'!A662,"")</f>
        <v/>
      </c>
      <c r="B662" t="str">
        <f>IF($A662&lt;&gt;"",'All Cases - Enter Cases'!B662,"")</f>
        <v/>
      </c>
      <c r="C662" t="str">
        <f>IF($A662&lt;&gt;"",'All Cases - Enter Cases'!C662,"")</f>
        <v/>
      </c>
      <c r="D662" t="str">
        <f>IF($A662&lt;&gt;"",'All Cases - Enter Cases'!D662,"")</f>
        <v/>
      </c>
      <c r="E662" t="str">
        <f>IF($A662&lt;&gt;"",'All Cases - Enter Cases'!E662,"")</f>
        <v/>
      </c>
      <c r="F662" t="str">
        <f>IF($A662&lt;&gt;"",'All Cases - Enter Cases'!F662,"")</f>
        <v/>
      </c>
      <c r="G662" t="str">
        <f>IF($A662&lt;&gt;"",'All Cases - Enter Cases'!G662,"")</f>
        <v/>
      </c>
      <c r="H662" t="str">
        <f>IF($A662&lt;&gt;"",'All Cases - Enter Cases'!H662,"")</f>
        <v/>
      </c>
      <c r="I662" t="str">
        <f>IF($A662&lt;&gt;"",'All Cases - Enter Cases'!I662,"")</f>
        <v/>
      </c>
      <c r="J662" t="str">
        <f>IF($A662&lt;&gt;"",'All Cases - Enter Cases'!J662,"")</f>
        <v/>
      </c>
      <c r="K662" t="str">
        <f>IF($A662&lt;&gt;"",'All Cases - Enter Cases'!K662,"")</f>
        <v/>
      </c>
      <c r="L662" t="str">
        <f>IF($A662&lt;&gt;"",'All Cases - Enter Cases'!L662,"")</f>
        <v/>
      </c>
      <c r="M662" t="str">
        <f>IF($A662&lt;&gt;"",'All Cases - Enter Cases'!M662,"")</f>
        <v/>
      </c>
    </row>
    <row r="663" spans="1:13" x14ac:dyDescent="0.35">
      <c r="A663" t="str">
        <f>IF('All Cases - Enter Cases'!$F663="KPK",'All Cases - Enter Cases'!A663,"")</f>
        <v/>
      </c>
      <c r="B663" t="str">
        <f>IF($A663&lt;&gt;"",'All Cases - Enter Cases'!B663,"")</f>
        <v/>
      </c>
      <c r="C663" t="str">
        <f>IF($A663&lt;&gt;"",'All Cases - Enter Cases'!C663,"")</f>
        <v/>
      </c>
      <c r="D663" t="str">
        <f>IF($A663&lt;&gt;"",'All Cases - Enter Cases'!D663,"")</f>
        <v/>
      </c>
      <c r="E663" t="str">
        <f>IF($A663&lt;&gt;"",'All Cases - Enter Cases'!E663,"")</f>
        <v/>
      </c>
      <c r="F663" t="str">
        <f>IF($A663&lt;&gt;"",'All Cases - Enter Cases'!F663,"")</f>
        <v/>
      </c>
      <c r="G663" t="str">
        <f>IF($A663&lt;&gt;"",'All Cases - Enter Cases'!G663,"")</f>
        <v/>
      </c>
      <c r="H663" t="str">
        <f>IF($A663&lt;&gt;"",'All Cases - Enter Cases'!H663,"")</f>
        <v/>
      </c>
      <c r="I663" t="str">
        <f>IF($A663&lt;&gt;"",'All Cases - Enter Cases'!I663,"")</f>
        <v/>
      </c>
      <c r="J663" t="str">
        <f>IF($A663&lt;&gt;"",'All Cases - Enter Cases'!J663,"")</f>
        <v/>
      </c>
      <c r="K663" t="str">
        <f>IF($A663&lt;&gt;"",'All Cases - Enter Cases'!K663,"")</f>
        <v/>
      </c>
      <c r="L663" t="str">
        <f>IF($A663&lt;&gt;"",'All Cases - Enter Cases'!L663,"")</f>
        <v/>
      </c>
      <c r="M663" t="str">
        <f>IF($A663&lt;&gt;"",'All Cases - Enter Cases'!M663,"")</f>
        <v/>
      </c>
    </row>
    <row r="664" spans="1:13" x14ac:dyDescent="0.35">
      <c r="A664" t="str">
        <f>IF('All Cases - Enter Cases'!$F664="KPK",'All Cases - Enter Cases'!A664,"")</f>
        <v/>
      </c>
      <c r="B664" t="str">
        <f>IF($A664&lt;&gt;"",'All Cases - Enter Cases'!B664,"")</f>
        <v/>
      </c>
      <c r="C664" t="str">
        <f>IF($A664&lt;&gt;"",'All Cases - Enter Cases'!C664,"")</f>
        <v/>
      </c>
      <c r="D664" t="str">
        <f>IF($A664&lt;&gt;"",'All Cases - Enter Cases'!D664,"")</f>
        <v/>
      </c>
      <c r="E664" t="str">
        <f>IF($A664&lt;&gt;"",'All Cases - Enter Cases'!E664,"")</f>
        <v/>
      </c>
      <c r="F664" t="str">
        <f>IF($A664&lt;&gt;"",'All Cases - Enter Cases'!F664,"")</f>
        <v/>
      </c>
      <c r="G664" t="str">
        <f>IF($A664&lt;&gt;"",'All Cases - Enter Cases'!G664,"")</f>
        <v/>
      </c>
      <c r="H664" t="str">
        <f>IF($A664&lt;&gt;"",'All Cases - Enter Cases'!H664,"")</f>
        <v/>
      </c>
      <c r="I664" t="str">
        <f>IF($A664&lt;&gt;"",'All Cases - Enter Cases'!I664,"")</f>
        <v/>
      </c>
      <c r="J664" t="str">
        <f>IF($A664&lt;&gt;"",'All Cases - Enter Cases'!J664,"")</f>
        <v/>
      </c>
      <c r="K664" t="str">
        <f>IF($A664&lt;&gt;"",'All Cases - Enter Cases'!K664,"")</f>
        <v/>
      </c>
      <c r="L664" t="str">
        <f>IF($A664&lt;&gt;"",'All Cases - Enter Cases'!L664,"")</f>
        <v/>
      </c>
      <c r="M664" t="str">
        <f>IF($A664&lt;&gt;"",'All Cases - Enter Cases'!M664,"")</f>
        <v/>
      </c>
    </row>
    <row r="665" spans="1:13" x14ac:dyDescent="0.35">
      <c r="A665" t="str">
        <f>IF('All Cases - Enter Cases'!$F665="KPK",'All Cases - Enter Cases'!A665,"")</f>
        <v/>
      </c>
      <c r="B665" t="str">
        <f>IF($A665&lt;&gt;"",'All Cases - Enter Cases'!B665,"")</f>
        <v/>
      </c>
      <c r="C665" t="str">
        <f>IF($A665&lt;&gt;"",'All Cases - Enter Cases'!C665,"")</f>
        <v/>
      </c>
      <c r="D665" t="str">
        <f>IF($A665&lt;&gt;"",'All Cases - Enter Cases'!D665,"")</f>
        <v/>
      </c>
      <c r="E665" t="str">
        <f>IF($A665&lt;&gt;"",'All Cases - Enter Cases'!E665,"")</f>
        <v/>
      </c>
      <c r="F665" t="str">
        <f>IF($A665&lt;&gt;"",'All Cases - Enter Cases'!F665,"")</f>
        <v/>
      </c>
      <c r="G665" t="str">
        <f>IF($A665&lt;&gt;"",'All Cases - Enter Cases'!G665,"")</f>
        <v/>
      </c>
      <c r="H665" t="str">
        <f>IF($A665&lt;&gt;"",'All Cases - Enter Cases'!H665,"")</f>
        <v/>
      </c>
      <c r="I665" t="str">
        <f>IF($A665&lt;&gt;"",'All Cases - Enter Cases'!I665,"")</f>
        <v/>
      </c>
      <c r="J665" t="str">
        <f>IF($A665&lt;&gt;"",'All Cases - Enter Cases'!J665,"")</f>
        <v/>
      </c>
      <c r="K665" t="str">
        <f>IF($A665&lt;&gt;"",'All Cases - Enter Cases'!K665,"")</f>
        <v/>
      </c>
      <c r="L665" t="str">
        <f>IF($A665&lt;&gt;"",'All Cases - Enter Cases'!L665,"")</f>
        <v/>
      </c>
      <c r="M665" t="str">
        <f>IF($A665&lt;&gt;"",'All Cases - Enter Cases'!M665,"")</f>
        <v/>
      </c>
    </row>
    <row r="666" spans="1:13" x14ac:dyDescent="0.35">
      <c r="A666" t="str">
        <f>IF('All Cases - Enter Cases'!$F666="KPK",'All Cases - Enter Cases'!A666,"")</f>
        <v/>
      </c>
      <c r="B666" t="str">
        <f>IF($A666&lt;&gt;"",'All Cases - Enter Cases'!B666,"")</f>
        <v/>
      </c>
      <c r="C666" t="str">
        <f>IF($A666&lt;&gt;"",'All Cases - Enter Cases'!C666,"")</f>
        <v/>
      </c>
      <c r="D666" t="str">
        <f>IF($A666&lt;&gt;"",'All Cases - Enter Cases'!D666,"")</f>
        <v/>
      </c>
      <c r="E666" t="str">
        <f>IF($A666&lt;&gt;"",'All Cases - Enter Cases'!E666,"")</f>
        <v/>
      </c>
      <c r="F666" t="str">
        <f>IF($A666&lt;&gt;"",'All Cases - Enter Cases'!F666,"")</f>
        <v/>
      </c>
      <c r="G666" t="str">
        <f>IF($A666&lt;&gt;"",'All Cases - Enter Cases'!G666,"")</f>
        <v/>
      </c>
      <c r="H666" t="str">
        <f>IF($A666&lt;&gt;"",'All Cases - Enter Cases'!H666,"")</f>
        <v/>
      </c>
      <c r="I666" t="str">
        <f>IF($A666&lt;&gt;"",'All Cases - Enter Cases'!I666,"")</f>
        <v/>
      </c>
      <c r="J666" t="str">
        <f>IF($A666&lt;&gt;"",'All Cases - Enter Cases'!J666,"")</f>
        <v/>
      </c>
      <c r="K666" t="str">
        <f>IF($A666&lt;&gt;"",'All Cases - Enter Cases'!K666,"")</f>
        <v/>
      </c>
      <c r="L666" t="str">
        <f>IF($A666&lt;&gt;"",'All Cases - Enter Cases'!L666,"")</f>
        <v/>
      </c>
      <c r="M666" t="str">
        <f>IF($A666&lt;&gt;"",'All Cases - Enter Cases'!M666,"")</f>
        <v/>
      </c>
    </row>
    <row r="667" spans="1:13" x14ac:dyDescent="0.35">
      <c r="A667" t="str">
        <f>IF('All Cases - Enter Cases'!$F667="KPK",'All Cases - Enter Cases'!A667,"")</f>
        <v/>
      </c>
      <c r="B667" t="str">
        <f>IF($A667&lt;&gt;"",'All Cases - Enter Cases'!B667,"")</f>
        <v/>
      </c>
      <c r="C667" t="str">
        <f>IF($A667&lt;&gt;"",'All Cases - Enter Cases'!C667,"")</f>
        <v/>
      </c>
      <c r="D667" t="str">
        <f>IF($A667&lt;&gt;"",'All Cases - Enter Cases'!D667,"")</f>
        <v/>
      </c>
      <c r="E667" t="str">
        <f>IF($A667&lt;&gt;"",'All Cases - Enter Cases'!E667,"")</f>
        <v/>
      </c>
      <c r="F667" t="str">
        <f>IF($A667&lt;&gt;"",'All Cases - Enter Cases'!F667,"")</f>
        <v/>
      </c>
      <c r="G667" t="str">
        <f>IF($A667&lt;&gt;"",'All Cases - Enter Cases'!G667,"")</f>
        <v/>
      </c>
      <c r="H667" t="str">
        <f>IF($A667&lt;&gt;"",'All Cases - Enter Cases'!H667,"")</f>
        <v/>
      </c>
      <c r="I667" t="str">
        <f>IF($A667&lt;&gt;"",'All Cases - Enter Cases'!I667,"")</f>
        <v/>
      </c>
      <c r="J667" t="str">
        <f>IF($A667&lt;&gt;"",'All Cases - Enter Cases'!J667,"")</f>
        <v/>
      </c>
      <c r="K667" t="str">
        <f>IF($A667&lt;&gt;"",'All Cases - Enter Cases'!K667,"")</f>
        <v/>
      </c>
      <c r="L667" t="str">
        <f>IF($A667&lt;&gt;"",'All Cases - Enter Cases'!L667,"")</f>
        <v/>
      </c>
      <c r="M667" t="str">
        <f>IF($A667&lt;&gt;"",'All Cases - Enter Cases'!M667,"")</f>
        <v/>
      </c>
    </row>
    <row r="668" spans="1:13" x14ac:dyDescent="0.35">
      <c r="A668" t="str">
        <f>IF('All Cases - Enter Cases'!$F668="KPK",'All Cases - Enter Cases'!A668,"")</f>
        <v/>
      </c>
      <c r="B668" t="str">
        <f>IF($A668&lt;&gt;"",'All Cases - Enter Cases'!B668,"")</f>
        <v/>
      </c>
      <c r="C668" t="str">
        <f>IF($A668&lt;&gt;"",'All Cases - Enter Cases'!C668,"")</f>
        <v/>
      </c>
      <c r="D668" t="str">
        <f>IF($A668&lt;&gt;"",'All Cases - Enter Cases'!D668,"")</f>
        <v/>
      </c>
      <c r="E668" t="str">
        <f>IF($A668&lt;&gt;"",'All Cases - Enter Cases'!E668,"")</f>
        <v/>
      </c>
      <c r="F668" t="str">
        <f>IF($A668&lt;&gt;"",'All Cases - Enter Cases'!F668,"")</f>
        <v/>
      </c>
      <c r="G668" t="str">
        <f>IF($A668&lt;&gt;"",'All Cases - Enter Cases'!G668,"")</f>
        <v/>
      </c>
      <c r="H668" t="str">
        <f>IF($A668&lt;&gt;"",'All Cases - Enter Cases'!H668,"")</f>
        <v/>
      </c>
      <c r="I668" t="str">
        <f>IF($A668&lt;&gt;"",'All Cases - Enter Cases'!I668,"")</f>
        <v/>
      </c>
      <c r="J668" t="str">
        <f>IF($A668&lt;&gt;"",'All Cases - Enter Cases'!J668,"")</f>
        <v/>
      </c>
      <c r="K668" t="str">
        <f>IF($A668&lt;&gt;"",'All Cases - Enter Cases'!K668,"")</f>
        <v/>
      </c>
      <c r="L668" t="str">
        <f>IF($A668&lt;&gt;"",'All Cases - Enter Cases'!L668,"")</f>
        <v/>
      </c>
      <c r="M668" t="str">
        <f>IF($A668&lt;&gt;"",'All Cases - Enter Cases'!M668,"")</f>
        <v/>
      </c>
    </row>
    <row r="669" spans="1:13" x14ac:dyDescent="0.35">
      <c r="A669" t="str">
        <f>IF('All Cases - Enter Cases'!$F669="KPK",'All Cases - Enter Cases'!A669,"")</f>
        <v/>
      </c>
      <c r="B669" t="str">
        <f>IF($A669&lt;&gt;"",'All Cases - Enter Cases'!B669,"")</f>
        <v/>
      </c>
      <c r="C669" t="str">
        <f>IF($A669&lt;&gt;"",'All Cases - Enter Cases'!C669,"")</f>
        <v/>
      </c>
      <c r="D669" t="str">
        <f>IF($A669&lt;&gt;"",'All Cases - Enter Cases'!D669,"")</f>
        <v/>
      </c>
      <c r="E669" t="str">
        <f>IF($A669&lt;&gt;"",'All Cases - Enter Cases'!E669,"")</f>
        <v/>
      </c>
      <c r="F669" t="str">
        <f>IF($A669&lt;&gt;"",'All Cases - Enter Cases'!F669,"")</f>
        <v/>
      </c>
      <c r="G669" t="str">
        <f>IF($A669&lt;&gt;"",'All Cases - Enter Cases'!G669,"")</f>
        <v/>
      </c>
      <c r="H669" t="str">
        <f>IF($A669&lt;&gt;"",'All Cases - Enter Cases'!H669,"")</f>
        <v/>
      </c>
      <c r="I669" t="str">
        <f>IF($A669&lt;&gt;"",'All Cases - Enter Cases'!I669,"")</f>
        <v/>
      </c>
      <c r="J669" t="str">
        <f>IF($A669&lt;&gt;"",'All Cases - Enter Cases'!J669,"")</f>
        <v/>
      </c>
      <c r="K669" t="str">
        <f>IF($A669&lt;&gt;"",'All Cases - Enter Cases'!K669,"")</f>
        <v/>
      </c>
      <c r="L669" t="str">
        <f>IF($A669&lt;&gt;"",'All Cases - Enter Cases'!L669,"")</f>
        <v/>
      </c>
      <c r="M669" t="str">
        <f>IF($A669&lt;&gt;"",'All Cases - Enter Cases'!M669,"")</f>
        <v/>
      </c>
    </row>
    <row r="670" spans="1:13" x14ac:dyDescent="0.35">
      <c r="A670" t="str">
        <f>IF('All Cases - Enter Cases'!$F670="KPK",'All Cases - Enter Cases'!A670,"")</f>
        <v/>
      </c>
      <c r="B670" t="str">
        <f>IF($A670&lt;&gt;"",'All Cases - Enter Cases'!B670,"")</f>
        <v/>
      </c>
      <c r="C670" t="str">
        <f>IF($A670&lt;&gt;"",'All Cases - Enter Cases'!C670,"")</f>
        <v/>
      </c>
      <c r="D670" t="str">
        <f>IF($A670&lt;&gt;"",'All Cases - Enter Cases'!D670,"")</f>
        <v/>
      </c>
      <c r="E670" t="str">
        <f>IF($A670&lt;&gt;"",'All Cases - Enter Cases'!E670,"")</f>
        <v/>
      </c>
      <c r="F670" t="str">
        <f>IF($A670&lt;&gt;"",'All Cases - Enter Cases'!F670,"")</f>
        <v/>
      </c>
      <c r="G670" t="str">
        <f>IF($A670&lt;&gt;"",'All Cases - Enter Cases'!G670,"")</f>
        <v/>
      </c>
      <c r="H670" t="str">
        <f>IF($A670&lt;&gt;"",'All Cases - Enter Cases'!H670,"")</f>
        <v/>
      </c>
      <c r="I670" t="str">
        <f>IF($A670&lt;&gt;"",'All Cases - Enter Cases'!I670,"")</f>
        <v/>
      </c>
      <c r="J670" t="str">
        <f>IF($A670&lt;&gt;"",'All Cases - Enter Cases'!J670,"")</f>
        <v/>
      </c>
      <c r="K670" t="str">
        <f>IF($A670&lt;&gt;"",'All Cases - Enter Cases'!K670,"")</f>
        <v/>
      </c>
      <c r="L670" t="str">
        <f>IF($A670&lt;&gt;"",'All Cases - Enter Cases'!L670,"")</f>
        <v/>
      </c>
      <c r="M670" t="str">
        <f>IF($A670&lt;&gt;"",'All Cases - Enter Cases'!M670,"")</f>
        <v/>
      </c>
    </row>
    <row r="671" spans="1:13" x14ac:dyDescent="0.35">
      <c r="A671" t="str">
        <f>IF('All Cases - Enter Cases'!$F671="KPK",'All Cases - Enter Cases'!A671,"")</f>
        <v/>
      </c>
      <c r="B671" t="str">
        <f>IF($A671&lt;&gt;"",'All Cases - Enter Cases'!B671,"")</f>
        <v/>
      </c>
      <c r="C671" t="str">
        <f>IF($A671&lt;&gt;"",'All Cases - Enter Cases'!C671,"")</f>
        <v/>
      </c>
      <c r="D671" t="str">
        <f>IF($A671&lt;&gt;"",'All Cases - Enter Cases'!D671,"")</f>
        <v/>
      </c>
      <c r="E671" t="str">
        <f>IF($A671&lt;&gt;"",'All Cases - Enter Cases'!E671,"")</f>
        <v/>
      </c>
      <c r="F671" t="str">
        <f>IF($A671&lt;&gt;"",'All Cases - Enter Cases'!F671,"")</f>
        <v/>
      </c>
      <c r="G671" t="str">
        <f>IF($A671&lt;&gt;"",'All Cases - Enter Cases'!G671,"")</f>
        <v/>
      </c>
      <c r="H671" t="str">
        <f>IF($A671&lt;&gt;"",'All Cases - Enter Cases'!H671,"")</f>
        <v/>
      </c>
      <c r="I671" t="str">
        <f>IF($A671&lt;&gt;"",'All Cases - Enter Cases'!I671,"")</f>
        <v/>
      </c>
      <c r="J671" t="str">
        <f>IF($A671&lt;&gt;"",'All Cases - Enter Cases'!J671,"")</f>
        <v/>
      </c>
      <c r="K671" t="str">
        <f>IF($A671&lt;&gt;"",'All Cases - Enter Cases'!K671,"")</f>
        <v/>
      </c>
      <c r="L671" t="str">
        <f>IF($A671&lt;&gt;"",'All Cases - Enter Cases'!L671,"")</f>
        <v/>
      </c>
      <c r="M671" t="str">
        <f>IF($A671&lt;&gt;"",'All Cases - Enter Cases'!M671,"")</f>
        <v/>
      </c>
    </row>
    <row r="672" spans="1:13" x14ac:dyDescent="0.35">
      <c r="A672" t="str">
        <f>IF('All Cases - Enter Cases'!$F672="KPK",'All Cases - Enter Cases'!A672,"")</f>
        <v/>
      </c>
      <c r="B672" t="str">
        <f>IF($A672&lt;&gt;"",'All Cases - Enter Cases'!B672,"")</f>
        <v/>
      </c>
      <c r="C672" t="str">
        <f>IF($A672&lt;&gt;"",'All Cases - Enter Cases'!C672,"")</f>
        <v/>
      </c>
      <c r="D672" t="str">
        <f>IF($A672&lt;&gt;"",'All Cases - Enter Cases'!D672,"")</f>
        <v/>
      </c>
      <c r="E672" t="str">
        <f>IF($A672&lt;&gt;"",'All Cases - Enter Cases'!E672,"")</f>
        <v/>
      </c>
      <c r="F672" t="str">
        <f>IF($A672&lt;&gt;"",'All Cases - Enter Cases'!F672,"")</f>
        <v/>
      </c>
      <c r="G672" t="str">
        <f>IF($A672&lt;&gt;"",'All Cases - Enter Cases'!G672,"")</f>
        <v/>
      </c>
      <c r="H672" t="str">
        <f>IF($A672&lt;&gt;"",'All Cases - Enter Cases'!H672,"")</f>
        <v/>
      </c>
      <c r="I672" t="str">
        <f>IF($A672&lt;&gt;"",'All Cases - Enter Cases'!I672,"")</f>
        <v/>
      </c>
      <c r="J672" t="str">
        <f>IF($A672&lt;&gt;"",'All Cases - Enter Cases'!J672,"")</f>
        <v/>
      </c>
      <c r="K672" t="str">
        <f>IF($A672&lt;&gt;"",'All Cases - Enter Cases'!K672,"")</f>
        <v/>
      </c>
      <c r="L672" t="str">
        <f>IF($A672&lt;&gt;"",'All Cases - Enter Cases'!L672,"")</f>
        <v/>
      </c>
      <c r="M672" t="str">
        <f>IF($A672&lt;&gt;"",'All Cases - Enter Cases'!M672,"")</f>
        <v/>
      </c>
    </row>
    <row r="673" spans="1:13" x14ac:dyDescent="0.35">
      <c r="A673" t="str">
        <f>IF('All Cases - Enter Cases'!$F673="KPK",'All Cases - Enter Cases'!A673,"")</f>
        <v/>
      </c>
      <c r="B673" t="str">
        <f>IF($A673&lt;&gt;"",'All Cases - Enter Cases'!B673,"")</f>
        <v/>
      </c>
      <c r="C673" t="str">
        <f>IF($A673&lt;&gt;"",'All Cases - Enter Cases'!C673,"")</f>
        <v/>
      </c>
      <c r="D673" t="str">
        <f>IF($A673&lt;&gt;"",'All Cases - Enter Cases'!D673,"")</f>
        <v/>
      </c>
      <c r="E673" t="str">
        <f>IF($A673&lt;&gt;"",'All Cases - Enter Cases'!E673,"")</f>
        <v/>
      </c>
      <c r="F673" t="str">
        <f>IF($A673&lt;&gt;"",'All Cases - Enter Cases'!F673,"")</f>
        <v/>
      </c>
      <c r="G673" t="str">
        <f>IF($A673&lt;&gt;"",'All Cases - Enter Cases'!G673,"")</f>
        <v/>
      </c>
      <c r="H673" t="str">
        <f>IF($A673&lt;&gt;"",'All Cases - Enter Cases'!H673,"")</f>
        <v/>
      </c>
      <c r="I673" t="str">
        <f>IF($A673&lt;&gt;"",'All Cases - Enter Cases'!I673,"")</f>
        <v/>
      </c>
      <c r="J673" t="str">
        <f>IF($A673&lt;&gt;"",'All Cases - Enter Cases'!J673,"")</f>
        <v/>
      </c>
      <c r="K673" t="str">
        <f>IF($A673&lt;&gt;"",'All Cases - Enter Cases'!K673,"")</f>
        <v/>
      </c>
      <c r="L673" t="str">
        <f>IF($A673&lt;&gt;"",'All Cases - Enter Cases'!L673,"")</f>
        <v/>
      </c>
      <c r="M673" t="str">
        <f>IF($A673&lt;&gt;"",'All Cases - Enter Cases'!M673,"")</f>
        <v/>
      </c>
    </row>
    <row r="674" spans="1:13" x14ac:dyDescent="0.35">
      <c r="A674" t="str">
        <f>IF('All Cases - Enter Cases'!$F674="KPK",'All Cases - Enter Cases'!A674,"")</f>
        <v/>
      </c>
      <c r="B674" t="str">
        <f>IF($A674&lt;&gt;"",'All Cases - Enter Cases'!B674,"")</f>
        <v/>
      </c>
      <c r="C674" t="str">
        <f>IF($A674&lt;&gt;"",'All Cases - Enter Cases'!C674,"")</f>
        <v/>
      </c>
      <c r="D674" t="str">
        <f>IF($A674&lt;&gt;"",'All Cases - Enter Cases'!D674,"")</f>
        <v/>
      </c>
      <c r="E674" t="str">
        <f>IF($A674&lt;&gt;"",'All Cases - Enter Cases'!E674,"")</f>
        <v/>
      </c>
      <c r="F674" t="str">
        <f>IF($A674&lt;&gt;"",'All Cases - Enter Cases'!F674,"")</f>
        <v/>
      </c>
      <c r="G674" t="str">
        <f>IF($A674&lt;&gt;"",'All Cases - Enter Cases'!G674,"")</f>
        <v/>
      </c>
      <c r="H674" t="str">
        <f>IF($A674&lt;&gt;"",'All Cases - Enter Cases'!H674,"")</f>
        <v/>
      </c>
      <c r="I674" t="str">
        <f>IF($A674&lt;&gt;"",'All Cases - Enter Cases'!I674,"")</f>
        <v/>
      </c>
      <c r="J674" t="str">
        <f>IF($A674&lt;&gt;"",'All Cases - Enter Cases'!J674,"")</f>
        <v/>
      </c>
      <c r="K674" t="str">
        <f>IF($A674&lt;&gt;"",'All Cases - Enter Cases'!K674,"")</f>
        <v/>
      </c>
      <c r="L674" t="str">
        <f>IF($A674&lt;&gt;"",'All Cases - Enter Cases'!L674,"")</f>
        <v/>
      </c>
      <c r="M674" t="str">
        <f>IF($A674&lt;&gt;"",'All Cases - Enter Cases'!M674,"")</f>
        <v/>
      </c>
    </row>
    <row r="675" spans="1:13" x14ac:dyDescent="0.35">
      <c r="A675" t="str">
        <f>IF('All Cases - Enter Cases'!$F675="KPK",'All Cases - Enter Cases'!A675,"")</f>
        <v/>
      </c>
      <c r="B675" t="str">
        <f>IF($A675&lt;&gt;"",'All Cases - Enter Cases'!B675,"")</f>
        <v/>
      </c>
      <c r="C675" t="str">
        <f>IF($A675&lt;&gt;"",'All Cases - Enter Cases'!C675,"")</f>
        <v/>
      </c>
      <c r="D675" t="str">
        <f>IF($A675&lt;&gt;"",'All Cases - Enter Cases'!D675,"")</f>
        <v/>
      </c>
      <c r="E675" t="str">
        <f>IF($A675&lt;&gt;"",'All Cases - Enter Cases'!E675,"")</f>
        <v/>
      </c>
      <c r="F675" t="str">
        <f>IF($A675&lt;&gt;"",'All Cases - Enter Cases'!F675,"")</f>
        <v/>
      </c>
      <c r="G675" t="str">
        <f>IF($A675&lt;&gt;"",'All Cases - Enter Cases'!G675,"")</f>
        <v/>
      </c>
      <c r="H675" t="str">
        <f>IF($A675&lt;&gt;"",'All Cases - Enter Cases'!H675,"")</f>
        <v/>
      </c>
      <c r="I675" t="str">
        <f>IF($A675&lt;&gt;"",'All Cases - Enter Cases'!I675,"")</f>
        <v/>
      </c>
      <c r="J675" t="str">
        <f>IF($A675&lt;&gt;"",'All Cases - Enter Cases'!J675,"")</f>
        <v/>
      </c>
      <c r="K675" t="str">
        <f>IF($A675&lt;&gt;"",'All Cases - Enter Cases'!K675,"")</f>
        <v/>
      </c>
      <c r="L675" t="str">
        <f>IF($A675&lt;&gt;"",'All Cases - Enter Cases'!L675,"")</f>
        <v/>
      </c>
      <c r="M675" t="str">
        <f>IF($A675&lt;&gt;"",'All Cases - Enter Cases'!M675,"")</f>
        <v/>
      </c>
    </row>
    <row r="676" spans="1:13" x14ac:dyDescent="0.35">
      <c r="A676" t="str">
        <f>IF('All Cases - Enter Cases'!$F676="KPK",'All Cases - Enter Cases'!A676,"")</f>
        <v/>
      </c>
      <c r="B676" t="str">
        <f>IF($A676&lt;&gt;"",'All Cases - Enter Cases'!B676,"")</f>
        <v/>
      </c>
      <c r="C676" t="str">
        <f>IF($A676&lt;&gt;"",'All Cases - Enter Cases'!C676,"")</f>
        <v/>
      </c>
      <c r="D676" t="str">
        <f>IF($A676&lt;&gt;"",'All Cases - Enter Cases'!D676,"")</f>
        <v/>
      </c>
      <c r="E676" t="str">
        <f>IF($A676&lt;&gt;"",'All Cases - Enter Cases'!E676,"")</f>
        <v/>
      </c>
      <c r="F676" t="str">
        <f>IF($A676&lt;&gt;"",'All Cases - Enter Cases'!F676,"")</f>
        <v/>
      </c>
      <c r="G676" t="str">
        <f>IF($A676&lt;&gt;"",'All Cases - Enter Cases'!G676,"")</f>
        <v/>
      </c>
      <c r="H676" t="str">
        <f>IF($A676&lt;&gt;"",'All Cases - Enter Cases'!H676,"")</f>
        <v/>
      </c>
      <c r="I676" t="str">
        <f>IF($A676&lt;&gt;"",'All Cases - Enter Cases'!I676,"")</f>
        <v/>
      </c>
      <c r="J676" t="str">
        <f>IF($A676&lt;&gt;"",'All Cases - Enter Cases'!J676,"")</f>
        <v/>
      </c>
      <c r="K676" t="str">
        <f>IF($A676&lt;&gt;"",'All Cases - Enter Cases'!K676,"")</f>
        <v/>
      </c>
      <c r="L676" t="str">
        <f>IF($A676&lt;&gt;"",'All Cases - Enter Cases'!L676,"")</f>
        <v/>
      </c>
      <c r="M676" t="str">
        <f>IF($A676&lt;&gt;"",'All Cases - Enter Cases'!M676,"")</f>
        <v/>
      </c>
    </row>
    <row r="677" spans="1:13" x14ac:dyDescent="0.35">
      <c r="A677" t="str">
        <f>IF('All Cases - Enter Cases'!$F677="KPK",'All Cases - Enter Cases'!A677,"")</f>
        <v/>
      </c>
      <c r="B677" t="str">
        <f>IF($A677&lt;&gt;"",'All Cases - Enter Cases'!B677,"")</f>
        <v/>
      </c>
      <c r="C677" t="str">
        <f>IF($A677&lt;&gt;"",'All Cases - Enter Cases'!C677,"")</f>
        <v/>
      </c>
      <c r="D677" t="str">
        <f>IF($A677&lt;&gt;"",'All Cases - Enter Cases'!D677,"")</f>
        <v/>
      </c>
      <c r="E677" t="str">
        <f>IF($A677&lt;&gt;"",'All Cases - Enter Cases'!E677,"")</f>
        <v/>
      </c>
      <c r="F677" t="str">
        <f>IF($A677&lt;&gt;"",'All Cases - Enter Cases'!F677,"")</f>
        <v/>
      </c>
      <c r="G677" t="str">
        <f>IF($A677&lt;&gt;"",'All Cases - Enter Cases'!G677,"")</f>
        <v/>
      </c>
      <c r="H677" t="str">
        <f>IF($A677&lt;&gt;"",'All Cases - Enter Cases'!H677,"")</f>
        <v/>
      </c>
      <c r="I677" t="str">
        <f>IF($A677&lt;&gt;"",'All Cases - Enter Cases'!I677,"")</f>
        <v/>
      </c>
      <c r="J677" t="str">
        <f>IF($A677&lt;&gt;"",'All Cases - Enter Cases'!J677,"")</f>
        <v/>
      </c>
      <c r="K677" t="str">
        <f>IF($A677&lt;&gt;"",'All Cases - Enter Cases'!K677,"")</f>
        <v/>
      </c>
      <c r="L677" t="str">
        <f>IF($A677&lt;&gt;"",'All Cases - Enter Cases'!L677,"")</f>
        <v/>
      </c>
      <c r="M677" t="str">
        <f>IF($A677&lt;&gt;"",'All Cases - Enter Cases'!M677,"")</f>
        <v/>
      </c>
    </row>
    <row r="678" spans="1:13" x14ac:dyDescent="0.35">
      <c r="A678" t="str">
        <f>IF('All Cases - Enter Cases'!$F678="KPK",'All Cases - Enter Cases'!A678,"")</f>
        <v/>
      </c>
      <c r="B678" t="str">
        <f>IF($A678&lt;&gt;"",'All Cases - Enter Cases'!B678,"")</f>
        <v/>
      </c>
      <c r="C678" t="str">
        <f>IF($A678&lt;&gt;"",'All Cases - Enter Cases'!C678,"")</f>
        <v/>
      </c>
      <c r="D678" t="str">
        <f>IF($A678&lt;&gt;"",'All Cases - Enter Cases'!D678,"")</f>
        <v/>
      </c>
      <c r="E678" t="str">
        <f>IF($A678&lt;&gt;"",'All Cases - Enter Cases'!E678,"")</f>
        <v/>
      </c>
      <c r="F678" t="str">
        <f>IF($A678&lt;&gt;"",'All Cases - Enter Cases'!F678,"")</f>
        <v/>
      </c>
      <c r="G678" t="str">
        <f>IF($A678&lt;&gt;"",'All Cases - Enter Cases'!G678,"")</f>
        <v/>
      </c>
      <c r="H678" t="str">
        <f>IF($A678&lt;&gt;"",'All Cases - Enter Cases'!H678,"")</f>
        <v/>
      </c>
      <c r="I678" t="str">
        <f>IF($A678&lt;&gt;"",'All Cases - Enter Cases'!I678,"")</f>
        <v/>
      </c>
      <c r="J678" t="str">
        <f>IF($A678&lt;&gt;"",'All Cases - Enter Cases'!J678,"")</f>
        <v/>
      </c>
      <c r="K678" t="str">
        <f>IF($A678&lt;&gt;"",'All Cases - Enter Cases'!K678,"")</f>
        <v/>
      </c>
      <c r="L678" t="str">
        <f>IF($A678&lt;&gt;"",'All Cases - Enter Cases'!L678,"")</f>
        <v/>
      </c>
      <c r="M678" t="str">
        <f>IF($A678&lt;&gt;"",'All Cases - Enter Cases'!M678,"")</f>
        <v/>
      </c>
    </row>
    <row r="679" spans="1:13" x14ac:dyDescent="0.35">
      <c r="A679" t="str">
        <f>IF('All Cases - Enter Cases'!$F679="KPK",'All Cases - Enter Cases'!A679,"")</f>
        <v/>
      </c>
      <c r="B679" t="str">
        <f>IF($A679&lt;&gt;"",'All Cases - Enter Cases'!B679,"")</f>
        <v/>
      </c>
      <c r="C679" t="str">
        <f>IF($A679&lt;&gt;"",'All Cases - Enter Cases'!C679,"")</f>
        <v/>
      </c>
      <c r="D679" t="str">
        <f>IF($A679&lt;&gt;"",'All Cases - Enter Cases'!D679,"")</f>
        <v/>
      </c>
      <c r="E679" t="str">
        <f>IF($A679&lt;&gt;"",'All Cases - Enter Cases'!E679,"")</f>
        <v/>
      </c>
      <c r="F679" t="str">
        <f>IF($A679&lt;&gt;"",'All Cases - Enter Cases'!F679,"")</f>
        <v/>
      </c>
      <c r="G679" t="str">
        <f>IF($A679&lt;&gt;"",'All Cases - Enter Cases'!G679,"")</f>
        <v/>
      </c>
      <c r="H679" t="str">
        <f>IF($A679&lt;&gt;"",'All Cases - Enter Cases'!H679,"")</f>
        <v/>
      </c>
      <c r="I679" t="str">
        <f>IF($A679&lt;&gt;"",'All Cases - Enter Cases'!I679,"")</f>
        <v/>
      </c>
      <c r="J679" t="str">
        <f>IF($A679&lt;&gt;"",'All Cases - Enter Cases'!J679,"")</f>
        <v/>
      </c>
      <c r="K679" t="str">
        <f>IF($A679&lt;&gt;"",'All Cases - Enter Cases'!K679,"")</f>
        <v/>
      </c>
      <c r="L679" t="str">
        <f>IF($A679&lt;&gt;"",'All Cases - Enter Cases'!L679,"")</f>
        <v/>
      </c>
      <c r="M679" t="str">
        <f>IF($A679&lt;&gt;"",'All Cases - Enter Cases'!M679,"")</f>
        <v/>
      </c>
    </row>
    <row r="680" spans="1:13" x14ac:dyDescent="0.35">
      <c r="A680" t="str">
        <f>IF('All Cases - Enter Cases'!$F680="KPK",'All Cases - Enter Cases'!A680,"")</f>
        <v/>
      </c>
      <c r="B680" t="str">
        <f>IF($A680&lt;&gt;"",'All Cases - Enter Cases'!B680,"")</f>
        <v/>
      </c>
      <c r="C680" t="str">
        <f>IF($A680&lt;&gt;"",'All Cases - Enter Cases'!C680,"")</f>
        <v/>
      </c>
      <c r="D680" t="str">
        <f>IF($A680&lt;&gt;"",'All Cases - Enter Cases'!D680,"")</f>
        <v/>
      </c>
      <c r="E680" t="str">
        <f>IF($A680&lt;&gt;"",'All Cases - Enter Cases'!E680,"")</f>
        <v/>
      </c>
      <c r="F680" t="str">
        <f>IF($A680&lt;&gt;"",'All Cases - Enter Cases'!F680,"")</f>
        <v/>
      </c>
      <c r="G680" t="str">
        <f>IF($A680&lt;&gt;"",'All Cases - Enter Cases'!G680,"")</f>
        <v/>
      </c>
      <c r="H680" t="str">
        <f>IF($A680&lt;&gt;"",'All Cases - Enter Cases'!H680,"")</f>
        <v/>
      </c>
      <c r="I680" t="str">
        <f>IF($A680&lt;&gt;"",'All Cases - Enter Cases'!I680,"")</f>
        <v/>
      </c>
      <c r="J680" t="str">
        <f>IF($A680&lt;&gt;"",'All Cases - Enter Cases'!J680,"")</f>
        <v/>
      </c>
      <c r="K680" t="str">
        <f>IF($A680&lt;&gt;"",'All Cases - Enter Cases'!K680,"")</f>
        <v/>
      </c>
      <c r="L680" t="str">
        <f>IF($A680&lt;&gt;"",'All Cases - Enter Cases'!L680,"")</f>
        <v/>
      </c>
      <c r="M680" t="str">
        <f>IF($A680&lt;&gt;"",'All Cases - Enter Cases'!M680,"")</f>
        <v/>
      </c>
    </row>
    <row r="681" spans="1:13" x14ac:dyDescent="0.35">
      <c r="A681" t="str">
        <f>IF('All Cases - Enter Cases'!$F681="KPK",'All Cases - Enter Cases'!A681,"")</f>
        <v/>
      </c>
      <c r="B681" t="str">
        <f>IF($A681&lt;&gt;"",'All Cases - Enter Cases'!B681,"")</f>
        <v/>
      </c>
      <c r="C681" t="str">
        <f>IF($A681&lt;&gt;"",'All Cases - Enter Cases'!C681,"")</f>
        <v/>
      </c>
      <c r="D681" t="str">
        <f>IF($A681&lt;&gt;"",'All Cases - Enter Cases'!D681,"")</f>
        <v/>
      </c>
      <c r="E681" t="str">
        <f>IF($A681&lt;&gt;"",'All Cases - Enter Cases'!E681,"")</f>
        <v/>
      </c>
      <c r="F681" t="str">
        <f>IF($A681&lt;&gt;"",'All Cases - Enter Cases'!F681,"")</f>
        <v/>
      </c>
      <c r="G681" t="str">
        <f>IF($A681&lt;&gt;"",'All Cases - Enter Cases'!G681,"")</f>
        <v/>
      </c>
      <c r="H681" t="str">
        <f>IF($A681&lt;&gt;"",'All Cases - Enter Cases'!H681,"")</f>
        <v/>
      </c>
      <c r="I681" t="str">
        <f>IF($A681&lt;&gt;"",'All Cases - Enter Cases'!I681,"")</f>
        <v/>
      </c>
      <c r="J681" t="str">
        <f>IF($A681&lt;&gt;"",'All Cases - Enter Cases'!J681,"")</f>
        <v/>
      </c>
      <c r="K681" t="str">
        <f>IF($A681&lt;&gt;"",'All Cases - Enter Cases'!K681,"")</f>
        <v/>
      </c>
      <c r="L681" t="str">
        <f>IF($A681&lt;&gt;"",'All Cases - Enter Cases'!L681,"")</f>
        <v/>
      </c>
      <c r="M681" t="str">
        <f>IF($A681&lt;&gt;"",'All Cases - Enter Cases'!M681,"")</f>
        <v/>
      </c>
    </row>
    <row r="682" spans="1:13" x14ac:dyDescent="0.35">
      <c r="A682" t="str">
        <f>IF('All Cases - Enter Cases'!$F682="KPK",'All Cases - Enter Cases'!A682,"")</f>
        <v/>
      </c>
      <c r="B682" t="str">
        <f>IF($A682&lt;&gt;"",'All Cases - Enter Cases'!B682,"")</f>
        <v/>
      </c>
      <c r="C682" t="str">
        <f>IF($A682&lt;&gt;"",'All Cases - Enter Cases'!C682,"")</f>
        <v/>
      </c>
      <c r="D682" t="str">
        <f>IF($A682&lt;&gt;"",'All Cases - Enter Cases'!D682,"")</f>
        <v/>
      </c>
      <c r="E682" t="str">
        <f>IF($A682&lt;&gt;"",'All Cases - Enter Cases'!E682,"")</f>
        <v/>
      </c>
      <c r="F682" t="str">
        <f>IF($A682&lt;&gt;"",'All Cases - Enter Cases'!F682,"")</f>
        <v/>
      </c>
      <c r="G682" t="str">
        <f>IF($A682&lt;&gt;"",'All Cases - Enter Cases'!G682,"")</f>
        <v/>
      </c>
      <c r="H682" t="str">
        <f>IF($A682&lt;&gt;"",'All Cases - Enter Cases'!H682,"")</f>
        <v/>
      </c>
      <c r="I682" t="str">
        <f>IF($A682&lt;&gt;"",'All Cases - Enter Cases'!I682,"")</f>
        <v/>
      </c>
      <c r="J682" t="str">
        <f>IF($A682&lt;&gt;"",'All Cases - Enter Cases'!J682,"")</f>
        <v/>
      </c>
      <c r="K682" t="str">
        <f>IF($A682&lt;&gt;"",'All Cases - Enter Cases'!K682,"")</f>
        <v/>
      </c>
      <c r="L682" t="str">
        <f>IF($A682&lt;&gt;"",'All Cases - Enter Cases'!L682,"")</f>
        <v/>
      </c>
      <c r="M682" t="str">
        <f>IF($A682&lt;&gt;"",'All Cases - Enter Cases'!M682,"")</f>
        <v/>
      </c>
    </row>
    <row r="683" spans="1:13" x14ac:dyDescent="0.35">
      <c r="A683" t="str">
        <f>IF('All Cases - Enter Cases'!$F683="KPK",'All Cases - Enter Cases'!A683,"")</f>
        <v/>
      </c>
      <c r="B683" t="str">
        <f>IF($A683&lt;&gt;"",'All Cases - Enter Cases'!B683,"")</f>
        <v/>
      </c>
      <c r="C683" t="str">
        <f>IF($A683&lt;&gt;"",'All Cases - Enter Cases'!C683,"")</f>
        <v/>
      </c>
      <c r="D683" t="str">
        <f>IF($A683&lt;&gt;"",'All Cases - Enter Cases'!D683,"")</f>
        <v/>
      </c>
      <c r="E683" t="str">
        <f>IF($A683&lt;&gt;"",'All Cases - Enter Cases'!E683,"")</f>
        <v/>
      </c>
      <c r="F683" t="str">
        <f>IF($A683&lt;&gt;"",'All Cases - Enter Cases'!F683,"")</f>
        <v/>
      </c>
      <c r="G683" t="str">
        <f>IF($A683&lt;&gt;"",'All Cases - Enter Cases'!G683,"")</f>
        <v/>
      </c>
      <c r="H683" t="str">
        <f>IF($A683&lt;&gt;"",'All Cases - Enter Cases'!H683,"")</f>
        <v/>
      </c>
      <c r="I683" t="str">
        <f>IF($A683&lt;&gt;"",'All Cases - Enter Cases'!I683,"")</f>
        <v/>
      </c>
      <c r="J683" t="str">
        <f>IF($A683&lt;&gt;"",'All Cases - Enter Cases'!J683,"")</f>
        <v/>
      </c>
      <c r="K683" t="str">
        <f>IF($A683&lt;&gt;"",'All Cases - Enter Cases'!K683,"")</f>
        <v/>
      </c>
      <c r="L683" t="str">
        <f>IF($A683&lt;&gt;"",'All Cases - Enter Cases'!L683,"")</f>
        <v/>
      </c>
      <c r="M683" t="str">
        <f>IF($A683&lt;&gt;"",'All Cases - Enter Cases'!M683,"")</f>
        <v/>
      </c>
    </row>
    <row r="684" spans="1:13" x14ac:dyDescent="0.35">
      <c r="A684" t="str">
        <f>IF('All Cases - Enter Cases'!$F684="KPK",'All Cases - Enter Cases'!A684,"")</f>
        <v/>
      </c>
      <c r="B684" t="str">
        <f>IF($A684&lt;&gt;"",'All Cases - Enter Cases'!B684,"")</f>
        <v/>
      </c>
      <c r="C684" t="str">
        <f>IF($A684&lt;&gt;"",'All Cases - Enter Cases'!C684,"")</f>
        <v/>
      </c>
      <c r="D684" t="str">
        <f>IF($A684&lt;&gt;"",'All Cases - Enter Cases'!D684,"")</f>
        <v/>
      </c>
      <c r="E684" t="str">
        <f>IF($A684&lt;&gt;"",'All Cases - Enter Cases'!E684,"")</f>
        <v/>
      </c>
      <c r="F684" t="str">
        <f>IF($A684&lt;&gt;"",'All Cases - Enter Cases'!F684,"")</f>
        <v/>
      </c>
      <c r="G684" t="str">
        <f>IF($A684&lt;&gt;"",'All Cases - Enter Cases'!G684,"")</f>
        <v/>
      </c>
      <c r="H684" t="str">
        <f>IF($A684&lt;&gt;"",'All Cases - Enter Cases'!H684,"")</f>
        <v/>
      </c>
      <c r="I684" t="str">
        <f>IF($A684&lt;&gt;"",'All Cases - Enter Cases'!I684,"")</f>
        <v/>
      </c>
      <c r="J684" t="str">
        <f>IF($A684&lt;&gt;"",'All Cases - Enter Cases'!J684,"")</f>
        <v/>
      </c>
      <c r="K684" t="str">
        <f>IF($A684&lt;&gt;"",'All Cases - Enter Cases'!K684,"")</f>
        <v/>
      </c>
      <c r="L684" t="str">
        <f>IF($A684&lt;&gt;"",'All Cases - Enter Cases'!L684,"")</f>
        <v/>
      </c>
      <c r="M684" t="str">
        <f>IF($A684&lt;&gt;"",'All Cases - Enter Cases'!M684,"")</f>
        <v/>
      </c>
    </row>
    <row r="685" spans="1:13" x14ac:dyDescent="0.35">
      <c r="A685" t="str">
        <f>IF('All Cases - Enter Cases'!$F685="KPK",'All Cases - Enter Cases'!A685,"")</f>
        <v/>
      </c>
      <c r="B685" t="str">
        <f>IF($A685&lt;&gt;"",'All Cases - Enter Cases'!B685,"")</f>
        <v/>
      </c>
      <c r="C685" t="str">
        <f>IF($A685&lt;&gt;"",'All Cases - Enter Cases'!C685,"")</f>
        <v/>
      </c>
      <c r="D685" t="str">
        <f>IF($A685&lt;&gt;"",'All Cases - Enter Cases'!D685,"")</f>
        <v/>
      </c>
      <c r="E685" t="str">
        <f>IF($A685&lt;&gt;"",'All Cases - Enter Cases'!E685,"")</f>
        <v/>
      </c>
      <c r="F685" t="str">
        <f>IF($A685&lt;&gt;"",'All Cases - Enter Cases'!F685,"")</f>
        <v/>
      </c>
      <c r="G685" t="str">
        <f>IF($A685&lt;&gt;"",'All Cases - Enter Cases'!G685,"")</f>
        <v/>
      </c>
      <c r="H685" t="str">
        <f>IF($A685&lt;&gt;"",'All Cases - Enter Cases'!H685,"")</f>
        <v/>
      </c>
      <c r="I685" t="str">
        <f>IF($A685&lt;&gt;"",'All Cases - Enter Cases'!I685,"")</f>
        <v/>
      </c>
      <c r="J685" t="str">
        <f>IF($A685&lt;&gt;"",'All Cases - Enter Cases'!J685,"")</f>
        <v/>
      </c>
      <c r="K685" t="str">
        <f>IF($A685&lt;&gt;"",'All Cases - Enter Cases'!K685,"")</f>
        <v/>
      </c>
      <c r="L685" t="str">
        <f>IF($A685&lt;&gt;"",'All Cases - Enter Cases'!L685,"")</f>
        <v/>
      </c>
      <c r="M685" t="str">
        <f>IF($A685&lt;&gt;"",'All Cases - Enter Cases'!M685,"")</f>
        <v/>
      </c>
    </row>
    <row r="686" spans="1:13" x14ac:dyDescent="0.35">
      <c r="A686" t="str">
        <f>IF('All Cases - Enter Cases'!$F686="KPK",'All Cases - Enter Cases'!A686,"")</f>
        <v/>
      </c>
      <c r="B686" t="str">
        <f>IF($A686&lt;&gt;"",'All Cases - Enter Cases'!B686,"")</f>
        <v/>
      </c>
      <c r="C686" t="str">
        <f>IF($A686&lt;&gt;"",'All Cases - Enter Cases'!C686,"")</f>
        <v/>
      </c>
      <c r="D686" t="str">
        <f>IF($A686&lt;&gt;"",'All Cases - Enter Cases'!D686,"")</f>
        <v/>
      </c>
      <c r="E686" t="str">
        <f>IF($A686&lt;&gt;"",'All Cases - Enter Cases'!E686,"")</f>
        <v/>
      </c>
      <c r="F686" t="str">
        <f>IF($A686&lt;&gt;"",'All Cases - Enter Cases'!F686,"")</f>
        <v/>
      </c>
      <c r="G686" t="str">
        <f>IF($A686&lt;&gt;"",'All Cases - Enter Cases'!G686,"")</f>
        <v/>
      </c>
      <c r="H686" t="str">
        <f>IF($A686&lt;&gt;"",'All Cases - Enter Cases'!H686,"")</f>
        <v/>
      </c>
      <c r="I686" t="str">
        <f>IF($A686&lt;&gt;"",'All Cases - Enter Cases'!I686,"")</f>
        <v/>
      </c>
      <c r="J686" t="str">
        <f>IF($A686&lt;&gt;"",'All Cases - Enter Cases'!J686,"")</f>
        <v/>
      </c>
      <c r="K686" t="str">
        <f>IF($A686&lt;&gt;"",'All Cases - Enter Cases'!K686,"")</f>
        <v/>
      </c>
      <c r="L686" t="str">
        <f>IF($A686&lt;&gt;"",'All Cases - Enter Cases'!L686,"")</f>
        <v/>
      </c>
      <c r="M686" t="str">
        <f>IF($A686&lt;&gt;"",'All Cases - Enter Cases'!M686,"")</f>
        <v/>
      </c>
    </row>
    <row r="687" spans="1:13" x14ac:dyDescent="0.35">
      <c r="A687" t="str">
        <f>IF('All Cases - Enter Cases'!$F687="KPK",'All Cases - Enter Cases'!A687,"")</f>
        <v/>
      </c>
      <c r="B687" t="str">
        <f>IF($A687&lt;&gt;"",'All Cases - Enter Cases'!B687,"")</f>
        <v/>
      </c>
      <c r="C687" t="str">
        <f>IF($A687&lt;&gt;"",'All Cases - Enter Cases'!C687,"")</f>
        <v/>
      </c>
      <c r="D687" t="str">
        <f>IF($A687&lt;&gt;"",'All Cases - Enter Cases'!D687,"")</f>
        <v/>
      </c>
      <c r="E687" t="str">
        <f>IF($A687&lt;&gt;"",'All Cases - Enter Cases'!E687,"")</f>
        <v/>
      </c>
      <c r="F687" t="str">
        <f>IF($A687&lt;&gt;"",'All Cases - Enter Cases'!F687,"")</f>
        <v/>
      </c>
      <c r="G687" t="str">
        <f>IF($A687&lt;&gt;"",'All Cases - Enter Cases'!G687,"")</f>
        <v/>
      </c>
      <c r="H687" t="str">
        <f>IF($A687&lt;&gt;"",'All Cases - Enter Cases'!H687,"")</f>
        <v/>
      </c>
      <c r="I687" t="str">
        <f>IF($A687&lt;&gt;"",'All Cases - Enter Cases'!I687,"")</f>
        <v/>
      </c>
      <c r="J687" t="str">
        <f>IF($A687&lt;&gt;"",'All Cases - Enter Cases'!J687,"")</f>
        <v/>
      </c>
      <c r="K687" t="str">
        <f>IF($A687&lt;&gt;"",'All Cases - Enter Cases'!K687,"")</f>
        <v/>
      </c>
      <c r="L687" t="str">
        <f>IF($A687&lt;&gt;"",'All Cases - Enter Cases'!L687,"")</f>
        <v/>
      </c>
      <c r="M687" t="str">
        <f>IF($A687&lt;&gt;"",'All Cases - Enter Cases'!M687,"")</f>
        <v/>
      </c>
    </row>
    <row r="688" spans="1:13" x14ac:dyDescent="0.35">
      <c r="A688" t="str">
        <f>IF('All Cases - Enter Cases'!$F688="KPK",'All Cases - Enter Cases'!A688,"")</f>
        <v/>
      </c>
      <c r="B688" t="str">
        <f>IF($A688&lt;&gt;"",'All Cases - Enter Cases'!B688,"")</f>
        <v/>
      </c>
      <c r="C688" t="str">
        <f>IF($A688&lt;&gt;"",'All Cases - Enter Cases'!C688,"")</f>
        <v/>
      </c>
      <c r="D688" t="str">
        <f>IF($A688&lt;&gt;"",'All Cases - Enter Cases'!D688,"")</f>
        <v/>
      </c>
      <c r="E688" t="str">
        <f>IF($A688&lt;&gt;"",'All Cases - Enter Cases'!E688,"")</f>
        <v/>
      </c>
      <c r="F688" t="str">
        <f>IF($A688&lt;&gt;"",'All Cases - Enter Cases'!F688,"")</f>
        <v/>
      </c>
      <c r="G688" t="str">
        <f>IF($A688&lt;&gt;"",'All Cases - Enter Cases'!G688,"")</f>
        <v/>
      </c>
      <c r="H688" t="str">
        <f>IF($A688&lt;&gt;"",'All Cases - Enter Cases'!H688,"")</f>
        <v/>
      </c>
      <c r="I688" t="str">
        <f>IF($A688&lt;&gt;"",'All Cases - Enter Cases'!I688,"")</f>
        <v/>
      </c>
      <c r="J688" t="str">
        <f>IF($A688&lt;&gt;"",'All Cases - Enter Cases'!J688,"")</f>
        <v/>
      </c>
      <c r="K688" t="str">
        <f>IF($A688&lt;&gt;"",'All Cases - Enter Cases'!K688,"")</f>
        <v/>
      </c>
      <c r="L688" t="str">
        <f>IF($A688&lt;&gt;"",'All Cases - Enter Cases'!L688,"")</f>
        <v/>
      </c>
      <c r="M688" t="str">
        <f>IF($A688&lt;&gt;"",'All Cases - Enter Cases'!M688,"")</f>
        <v/>
      </c>
    </row>
    <row r="689" spans="1:13" x14ac:dyDescent="0.35">
      <c r="A689" t="str">
        <f>IF('All Cases - Enter Cases'!$F689="KPK",'All Cases - Enter Cases'!A689,"")</f>
        <v/>
      </c>
      <c r="B689" t="str">
        <f>IF($A689&lt;&gt;"",'All Cases - Enter Cases'!B689,"")</f>
        <v/>
      </c>
      <c r="C689" t="str">
        <f>IF($A689&lt;&gt;"",'All Cases - Enter Cases'!C689,"")</f>
        <v/>
      </c>
      <c r="D689" t="str">
        <f>IF($A689&lt;&gt;"",'All Cases - Enter Cases'!D689,"")</f>
        <v/>
      </c>
      <c r="E689" t="str">
        <f>IF($A689&lt;&gt;"",'All Cases - Enter Cases'!E689,"")</f>
        <v/>
      </c>
      <c r="F689" t="str">
        <f>IF($A689&lt;&gt;"",'All Cases - Enter Cases'!F689,"")</f>
        <v/>
      </c>
      <c r="G689" t="str">
        <f>IF($A689&lt;&gt;"",'All Cases - Enter Cases'!G689,"")</f>
        <v/>
      </c>
      <c r="H689" t="str">
        <f>IF($A689&lt;&gt;"",'All Cases - Enter Cases'!H689,"")</f>
        <v/>
      </c>
      <c r="I689" t="str">
        <f>IF($A689&lt;&gt;"",'All Cases - Enter Cases'!I689,"")</f>
        <v/>
      </c>
      <c r="J689" t="str">
        <f>IF($A689&lt;&gt;"",'All Cases - Enter Cases'!J689,"")</f>
        <v/>
      </c>
      <c r="K689" t="str">
        <f>IF($A689&lt;&gt;"",'All Cases - Enter Cases'!K689,"")</f>
        <v/>
      </c>
      <c r="L689" t="str">
        <f>IF($A689&lt;&gt;"",'All Cases - Enter Cases'!L689,"")</f>
        <v/>
      </c>
      <c r="M689" t="str">
        <f>IF($A689&lt;&gt;"",'All Cases - Enter Cases'!M689,"")</f>
        <v/>
      </c>
    </row>
    <row r="690" spans="1:13" x14ac:dyDescent="0.35">
      <c r="A690" t="str">
        <f>IF('All Cases - Enter Cases'!$F690="KPK",'All Cases - Enter Cases'!A690,"")</f>
        <v/>
      </c>
      <c r="B690" t="str">
        <f>IF($A690&lt;&gt;"",'All Cases - Enter Cases'!B690,"")</f>
        <v/>
      </c>
      <c r="C690" t="str">
        <f>IF($A690&lt;&gt;"",'All Cases - Enter Cases'!C690,"")</f>
        <v/>
      </c>
      <c r="D690" t="str">
        <f>IF($A690&lt;&gt;"",'All Cases - Enter Cases'!D690,"")</f>
        <v/>
      </c>
      <c r="E690" t="str">
        <f>IF($A690&lt;&gt;"",'All Cases - Enter Cases'!E690,"")</f>
        <v/>
      </c>
      <c r="F690" t="str">
        <f>IF($A690&lt;&gt;"",'All Cases - Enter Cases'!F690,"")</f>
        <v/>
      </c>
      <c r="G690" t="str">
        <f>IF($A690&lt;&gt;"",'All Cases - Enter Cases'!G690,"")</f>
        <v/>
      </c>
      <c r="H690" t="str">
        <f>IF($A690&lt;&gt;"",'All Cases - Enter Cases'!H690,"")</f>
        <v/>
      </c>
      <c r="I690" t="str">
        <f>IF($A690&lt;&gt;"",'All Cases - Enter Cases'!I690,"")</f>
        <v/>
      </c>
      <c r="J690" t="str">
        <f>IF($A690&lt;&gt;"",'All Cases - Enter Cases'!J690,"")</f>
        <v/>
      </c>
      <c r="K690" t="str">
        <f>IF($A690&lt;&gt;"",'All Cases - Enter Cases'!K690,"")</f>
        <v/>
      </c>
      <c r="L690" t="str">
        <f>IF($A690&lt;&gt;"",'All Cases - Enter Cases'!L690,"")</f>
        <v/>
      </c>
      <c r="M690" t="str">
        <f>IF($A690&lt;&gt;"",'All Cases - Enter Cases'!M690,"")</f>
        <v/>
      </c>
    </row>
    <row r="691" spans="1:13" x14ac:dyDescent="0.35">
      <c r="A691" t="str">
        <f>IF('All Cases - Enter Cases'!$F691="KPK",'All Cases - Enter Cases'!A691,"")</f>
        <v/>
      </c>
      <c r="B691" t="str">
        <f>IF($A691&lt;&gt;"",'All Cases - Enter Cases'!B691,"")</f>
        <v/>
      </c>
      <c r="C691" t="str">
        <f>IF($A691&lt;&gt;"",'All Cases - Enter Cases'!C691,"")</f>
        <v/>
      </c>
      <c r="D691" t="str">
        <f>IF($A691&lt;&gt;"",'All Cases - Enter Cases'!D691,"")</f>
        <v/>
      </c>
      <c r="E691" t="str">
        <f>IF($A691&lt;&gt;"",'All Cases - Enter Cases'!E691,"")</f>
        <v/>
      </c>
      <c r="F691" t="str">
        <f>IF($A691&lt;&gt;"",'All Cases - Enter Cases'!F691,"")</f>
        <v/>
      </c>
      <c r="G691" t="str">
        <f>IF($A691&lt;&gt;"",'All Cases - Enter Cases'!G691,"")</f>
        <v/>
      </c>
      <c r="H691" t="str">
        <f>IF($A691&lt;&gt;"",'All Cases - Enter Cases'!H691,"")</f>
        <v/>
      </c>
      <c r="I691" t="str">
        <f>IF($A691&lt;&gt;"",'All Cases - Enter Cases'!I691,"")</f>
        <v/>
      </c>
      <c r="J691" t="str">
        <f>IF($A691&lt;&gt;"",'All Cases - Enter Cases'!J691,"")</f>
        <v/>
      </c>
      <c r="K691" t="str">
        <f>IF($A691&lt;&gt;"",'All Cases - Enter Cases'!K691,"")</f>
        <v/>
      </c>
      <c r="L691" t="str">
        <f>IF($A691&lt;&gt;"",'All Cases - Enter Cases'!L691,"")</f>
        <v/>
      </c>
      <c r="M691" t="str">
        <f>IF($A691&lt;&gt;"",'All Cases - Enter Cases'!M691,"")</f>
        <v/>
      </c>
    </row>
    <row r="692" spans="1:13" x14ac:dyDescent="0.35">
      <c r="A692" t="str">
        <f>IF('All Cases - Enter Cases'!$F692="KPK",'All Cases - Enter Cases'!A692,"")</f>
        <v/>
      </c>
      <c r="B692" t="str">
        <f>IF($A692&lt;&gt;"",'All Cases - Enter Cases'!B692,"")</f>
        <v/>
      </c>
      <c r="C692" t="str">
        <f>IF($A692&lt;&gt;"",'All Cases - Enter Cases'!C692,"")</f>
        <v/>
      </c>
      <c r="D692" t="str">
        <f>IF($A692&lt;&gt;"",'All Cases - Enter Cases'!D692,"")</f>
        <v/>
      </c>
      <c r="E692" t="str">
        <f>IF($A692&lt;&gt;"",'All Cases - Enter Cases'!E692,"")</f>
        <v/>
      </c>
      <c r="F692" t="str">
        <f>IF($A692&lt;&gt;"",'All Cases - Enter Cases'!F692,"")</f>
        <v/>
      </c>
      <c r="G692" t="str">
        <f>IF($A692&lt;&gt;"",'All Cases - Enter Cases'!G692,"")</f>
        <v/>
      </c>
      <c r="H692" t="str">
        <f>IF($A692&lt;&gt;"",'All Cases - Enter Cases'!H692,"")</f>
        <v/>
      </c>
      <c r="I692" t="str">
        <f>IF($A692&lt;&gt;"",'All Cases - Enter Cases'!I692,"")</f>
        <v/>
      </c>
      <c r="J692" t="str">
        <f>IF($A692&lt;&gt;"",'All Cases - Enter Cases'!J692,"")</f>
        <v/>
      </c>
      <c r="K692" t="str">
        <f>IF($A692&lt;&gt;"",'All Cases - Enter Cases'!K692,"")</f>
        <v/>
      </c>
      <c r="L692" t="str">
        <f>IF($A692&lt;&gt;"",'All Cases - Enter Cases'!L692,"")</f>
        <v/>
      </c>
      <c r="M692" t="str">
        <f>IF($A692&lt;&gt;"",'All Cases - Enter Cases'!M692,"")</f>
        <v/>
      </c>
    </row>
    <row r="693" spans="1:13" x14ac:dyDescent="0.35">
      <c r="A693" t="str">
        <f>IF('All Cases - Enter Cases'!$F693="KPK",'All Cases - Enter Cases'!A693,"")</f>
        <v/>
      </c>
      <c r="B693" t="str">
        <f>IF($A693&lt;&gt;"",'All Cases - Enter Cases'!B693,"")</f>
        <v/>
      </c>
      <c r="C693" t="str">
        <f>IF($A693&lt;&gt;"",'All Cases - Enter Cases'!C693,"")</f>
        <v/>
      </c>
      <c r="D693" t="str">
        <f>IF($A693&lt;&gt;"",'All Cases - Enter Cases'!D693,"")</f>
        <v/>
      </c>
      <c r="E693" t="str">
        <f>IF($A693&lt;&gt;"",'All Cases - Enter Cases'!E693,"")</f>
        <v/>
      </c>
      <c r="F693" t="str">
        <f>IF($A693&lt;&gt;"",'All Cases - Enter Cases'!F693,"")</f>
        <v/>
      </c>
      <c r="G693" t="str">
        <f>IF($A693&lt;&gt;"",'All Cases - Enter Cases'!G693,"")</f>
        <v/>
      </c>
      <c r="H693" t="str">
        <f>IF($A693&lt;&gt;"",'All Cases - Enter Cases'!H693,"")</f>
        <v/>
      </c>
      <c r="I693" t="str">
        <f>IF($A693&lt;&gt;"",'All Cases - Enter Cases'!I693,"")</f>
        <v/>
      </c>
      <c r="J693" t="str">
        <f>IF($A693&lt;&gt;"",'All Cases - Enter Cases'!J693,"")</f>
        <v/>
      </c>
      <c r="K693" t="str">
        <f>IF($A693&lt;&gt;"",'All Cases - Enter Cases'!K693,"")</f>
        <v/>
      </c>
      <c r="L693" t="str">
        <f>IF($A693&lt;&gt;"",'All Cases - Enter Cases'!L693,"")</f>
        <v/>
      </c>
      <c r="M693" t="str">
        <f>IF($A693&lt;&gt;"",'All Cases - Enter Cases'!M693,"")</f>
        <v/>
      </c>
    </row>
    <row r="694" spans="1:13" x14ac:dyDescent="0.35">
      <c r="A694" t="str">
        <f>IF('All Cases - Enter Cases'!$F694="KPK",'All Cases - Enter Cases'!A694,"")</f>
        <v/>
      </c>
      <c r="B694" t="str">
        <f>IF($A694&lt;&gt;"",'All Cases - Enter Cases'!B694,"")</f>
        <v/>
      </c>
      <c r="C694" t="str">
        <f>IF($A694&lt;&gt;"",'All Cases - Enter Cases'!C694,"")</f>
        <v/>
      </c>
      <c r="D694" t="str">
        <f>IF($A694&lt;&gt;"",'All Cases - Enter Cases'!D694,"")</f>
        <v/>
      </c>
      <c r="E694" t="str">
        <f>IF($A694&lt;&gt;"",'All Cases - Enter Cases'!E694,"")</f>
        <v/>
      </c>
      <c r="F694" t="str">
        <f>IF($A694&lt;&gt;"",'All Cases - Enter Cases'!F694,"")</f>
        <v/>
      </c>
      <c r="G694" t="str">
        <f>IF($A694&lt;&gt;"",'All Cases - Enter Cases'!G694,"")</f>
        <v/>
      </c>
      <c r="H694" t="str">
        <f>IF($A694&lt;&gt;"",'All Cases - Enter Cases'!H694,"")</f>
        <v/>
      </c>
      <c r="I694" t="str">
        <f>IF($A694&lt;&gt;"",'All Cases - Enter Cases'!I694,"")</f>
        <v/>
      </c>
      <c r="J694" t="str">
        <f>IF($A694&lt;&gt;"",'All Cases - Enter Cases'!J694,"")</f>
        <v/>
      </c>
      <c r="K694" t="str">
        <f>IF($A694&lt;&gt;"",'All Cases - Enter Cases'!K694,"")</f>
        <v/>
      </c>
      <c r="L694" t="str">
        <f>IF($A694&lt;&gt;"",'All Cases - Enter Cases'!L694,"")</f>
        <v/>
      </c>
      <c r="M694" t="str">
        <f>IF($A694&lt;&gt;"",'All Cases - Enter Cases'!M694,"")</f>
        <v/>
      </c>
    </row>
    <row r="695" spans="1:13" x14ac:dyDescent="0.35">
      <c r="A695" t="str">
        <f>IF('All Cases - Enter Cases'!$F695="KPK",'All Cases - Enter Cases'!A695,"")</f>
        <v/>
      </c>
      <c r="B695" t="str">
        <f>IF($A695&lt;&gt;"",'All Cases - Enter Cases'!B695,"")</f>
        <v/>
      </c>
      <c r="C695" t="str">
        <f>IF($A695&lt;&gt;"",'All Cases - Enter Cases'!C695,"")</f>
        <v/>
      </c>
      <c r="D695" t="str">
        <f>IF($A695&lt;&gt;"",'All Cases - Enter Cases'!D695,"")</f>
        <v/>
      </c>
      <c r="E695" t="str">
        <f>IF($A695&lt;&gt;"",'All Cases - Enter Cases'!E695,"")</f>
        <v/>
      </c>
      <c r="F695" t="str">
        <f>IF($A695&lt;&gt;"",'All Cases - Enter Cases'!F695,"")</f>
        <v/>
      </c>
      <c r="G695" t="str">
        <f>IF($A695&lt;&gt;"",'All Cases - Enter Cases'!G695,"")</f>
        <v/>
      </c>
      <c r="H695" t="str">
        <f>IF($A695&lt;&gt;"",'All Cases - Enter Cases'!H695,"")</f>
        <v/>
      </c>
      <c r="I695" t="str">
        <f>IF($A695&lt;&gt;"",'All Cases - Enter Cases'!I695,"")</f>
        <v/>
      </c>
      <c r="J695" t="str">
        <f>IF($A695&lt;&gt;"",'All Cases - Enter Cases'!J695,"")</f>
        <v/>
      </c>
      <c r="K695" t="str">
        <f>IF($A695&lt;&gt;"",'All Cases - Enter Cases'!K695,"")</f>
        <v/>
      </c>
      <c r="L695" t="str">
        <f>IF($A695&lt;&gt;"",'All Cases - Enter Cases'!L695,"")</f>
        <v/>
      </c>
      <c r="M695" t="str">
        <f>IF($A695&lt;&gt;"",'All Cases - Enter Cases'!M695,"")</f>
        <v/>
      </c>
    </row>
    <row r="696" spans="1:13" x14ac:dyDescent="0.35">
      <c r="A696" t="str">
        <f>IF('All Cases - Enter Cases'!$F696="KPK",'All Cases - Enter Cases'!A696,"")</f>
        <v/>
      </c>
      <c r="B696" t="str">
        <f>IF($A696&lt;&gt;"",'All Cases - Enter Cases'!B696,"")</f>
        <v/>
      </c>
      <c r="C696" t="str">
        <f>IF($A696&lt;&gt;"",'All Cases - Enter Cases'!C696,"")</f>
        <v/>
      </c>
      <c r="D696" t="str">
        <f>IF($A696&lt;&gt;"",'All Cases - Enter Cases'!D696,"")</f>
        <v/>
      </c>
      <c r="E696" t="str">
        <f>IF($A696&lt;&gt;"",'All Cases - Enter Cases'!E696,"")</f>
        <v/>
      </c>
      <c r="F696" t="str">
        <f>IF($A696&lt;&gt;"",'All Cases - Enter Cases'!F696,"")</f>
        <v/>
      </c>
      <c r="G696" t="str">
        <f>IF($A696&lt;&gt;"",'All Cases - Enter Cases'!G696,"")</f>
        <v/>
      </c>
      <c r="H696" t="str">
        <f>IF($A696&lt;&gt;"",'All Cases - Enter Cases'!H696,"")</f>
        <v/>
      </c>
      <c r="I696" t="str">
        <f>IF($A696&lt;&gt;"",'All Cases - Enter Cases'!I696,"")</f>
        <v/>
      </c>
      <c r="J696" t="str">
        <f>IF($A696&lt;&gt;"",'All Cases - Enter Cases'!J696,"")</f>
        <v/>
      </c>
      <c r="K696" t="str">
        <f>IF($A696&lt;&gt;"",'All Cases - Enter Cases'!K696,"")</f>
        <v/>
      </c>
      <c r="L696" t="str">
        <f>IF($A696&lt;&gt;"",'All Cases - Enter Cases'!L696,"")</f>
        <v/>
      </c>
      <c r="M696" t="str">
        <f>IF($A696&lt;&gt;"",'All Cases - Enter Cases'!M696,"")</f>
        <v/>
      </c>
    </row>
    <row r="697" spans="1:13" x14ac:dyDescent="0.35">
      <c r="A697" t="str">
        <f>IF('All Cases - Enter Cases'!$F697="KPK",'All Cases - Enter Cases'!A697,"")</f>
        <v/>
      </c>
      <c r="B697" t="str">
        <f>IF($A697&lt;&gt;"",'All Cases - Enter Cases'!B697,"")</f>
        <v/>
      </c>
      <c r="C697" t="str">
        <f>IF($A697&lt;&gt;"",'All Cases - Enter Cases'!C697,"")</f>
        <v/>
      </c>
      <c r="D697" t="str">
        <f>IF($A697&lt;&gt;"",'All Cases - Enter Cases'!D697,"")</f>
        <v/>
      </c>
      <c r="E697" t="str">
        <f>IF($A697&lt;&gt;"",'All Cases - Enter Cases'!E697,"")</f>
        <v/>
      </c>
      <c r="F697" t="str">
        <f>IF($A697&lt;&gt;"",'All Cases - Enter Cases'!F697,"")</f>
        <v/>
      </c>
      <c r="G697" t="str">
        <f>IF($A697&lt;&gt;"",'All Cases - Enter Cases'!G697,"")</f>
        <v/>
      </c>
      <c r="H697" t="str">
        <f>IF($A697&lt;&gt;"",'All Cases - Enter Cases'!H697,"")</f>
        <v/>
      </c>
      <c r="I697" t="str">
        <f>IF($A697&lt;&gt;"",'All Cases - Enter Cases'!I697,"")</f>
        <v/>
      </c>
      <c r="J697" t="str">
        <f>IF($A697&lt;&gt;"",'All Cases - Enter Cases'!J697,"")</f>
        <v/>
      </c>
      <c r="K697" t="str">
        <f>IF($A697&lt;&gt;"",'All Cases - Enter Cases'!K697,"")</f>
        <v/>
      </c>
      <c r="L697" t="str">
        <f>IF($A697&lt;&gt;"",'All Cases - Enter Cases'!L697,"")</f>
        <v/>
      </c>
      <c r="M697" t="str">
        <f>IF($A697&lt;&gt;"",'All Cases - Enter Cases'!M697,"")</f>
        <v/>
      </c>
    </row>
    <row r="698" spans="1:13" x14ac:dyDescent="0.35">
      <c r="A698" t="str">
        <f>IF('All Cases - Enter Cases'!$F698="KPK",'All Cases - Enter Cases'!A698,"")</f>
        <v/>
      </c>
      <c r="B698" t="str">
        <f>IF($A698&lt;&gt;"",'All Cases - Enter Cases'!B698,"")</f>
        <v/>
      </c>
      <c r="C698" t="str">
        <f>IF($A698&lt;&gt;"",'All Cases - Enter Cases'!C698,"")</f>
        <v/>
      </c>
      <c r="D698" t="str">
        <f>IF($A698&lt;&gt;"",'All Cases - Enter Cases'!D698,"")</f>
        <v/>
      </c>
      <c r="E698" t="str">
        <f>IF($A698&lt;&gt;"",'All Cases - Enter Cases'!E698,"")</f>
        <v/>
      </c>
      <c r="F698" t="str">
        <f>IF($A698&lt;&gt;"",'All Cases - Enter Cases'!F698,"")</f>
        <v/>
      </c>
      <c r="G698" t="str">
        <f>IF($A698&lt;&gt;"",'All Cases - Enter Cases'!G698,"")</f>
        <v/>
      </c>
      <c r="H698" t="str">
        <f>IF($A698&lt;&gt;"",'All Cases - Enter Cases'!H698,"")</f>
        <v/>
      </c>
      <c r="I698" t="str">
        <f>IF($A698&lt;&gt;"",'All Cases - Enter Cases'!I698,"")</f>
        <v/>
      </c>
      <c r="J698" t="str">
        <f>IF($A698&lt;&gt;"",'All Cases - Enter Cases'!J698,"")</f>
        <v/>
      </c>
      <c r="K698" t="str">
        <f>IF($A698&lt;&gt;"",'All Cases - Enter Cases'!K698,"")</f>
        <v/>
      </c>
      <c r="L698" t="str">
        <f>IF($A698&lt;&gt;"",'All Cases - Enter Cases'!L698,"")</f>
        <v/>
      </c>
      <c r="M698" t="str">
        <f>IF($A698&lt;&gt;"",'All Cases - Enter Cases'!M698,"")</f>
        <v/>
      </c>
    </row>
    <row r="699" spans="1:13" x14ac:dyDescent="0.35">
      <c r="A699" t="str">
        <f>IF('All Cases - Enter Cases'!$F699="KPK",'All Cases - Enter Cases'!A699,"")</f>
        <v/>
      </c>
      <c r="B699" t="str">
        <f>IF($A699&lt;&gt;"",'All Cases - Enter Cases'!B699,"")</f>
        <v/>
      </c>
      <c r="C699" t="str">
        <f>IF($A699&lt;&gt;"",'All Cases - Enter Cases'!C699,"")</f>
        <v/>
      </c>
      <c r="D699" t="str">
        <f>IF($A699&lt;&gt;"",'All Cases - Enter Cases'!D699,"")</f>
        <v/>
      </c>
      <c r="E699" t="str">
        <f>IF($A699&lt;&gt;"",'All Cases - Enter Cases'!E699,"")</f>
        <v/>
      </c>
      <c r="F699" t="str">
        <f>IF($A699&lt;&gt;"",'All Cases - Enter Cases'!F699,"")</f>
        <v/>
      </c>
      <c r="G699" t="str">
        <f>IF($A699&lt;&gt;"",'All Cases - Enter Cases'!G699,"")</f>
        <v/>
      </c>
      <c r="H699" t="str">
        <f>IF($A699&lt;&gt;"",'All Cases - Enter Cases'!H699,"")</f>
        <v/>
      </c>
      <c r="I699" t="str">
        <f>IF($A699&lt;&gt;"",'All Cases - Enter Cases'!I699,"")</f>
        <v/>
      </c>
      <c r="J699" t="str">
        <f>IF($A699&lt;&gt;"",'All Cases - Enter Cases'!J699,"")</f>
        <v/>
      </c>
      <c r="K699" t="str">
        <f>IF($A699&lt;&gt;"",'All Cases - Enter Cases'!K699,"")</f>
        <v/>
      </c>
      <c r="L699" t="str">
        <f>IF($A699&lt;&gt;"",'All Cases - Enter Cases'!L699,"")</f>
        <v/>
      </c>
      <c r="M699" t="str">
        <f>IF($A699&lt;&gt;"",'All Cases - Enter Cases'!M699,"")</f>
        <v/>
      </c>
    </row>
    <row r="700" spans="1:13" x14ac:dyDescent="0.35">
      <c r="A700" t="str">
        <f>IF('All Cases - Enter Cases'!$F700="KPK",'All Cases - Enter Cases'!A700,"")</f>
        <v/>
      </c>
      <c r="B700" t="str">
        <f>IF($A700&lt;&gt;"",'All Cases - Enter Cases'!B700,"")</f>
        <v/>
      </c>
      <c r="C700" t="str">
        <f>IF($A700&lt;&gt;"",'All Cases - Enter Cases'!C700,"")</f>
        <v/>
      </c>
      <c r="D700" t="str">
        <f>IF($A700&lt;&gt;"",'All Cases - Enter Cases'!D700,"")</f>
        <v/>
      </c>
      <c r="E700" t="str">
        <f>IF($A700&lt;&gt;"",'All Cases - Enter Cases'!E700,"")</f>
        <v/>
      </c>
      <c r="F700" t="str">
        <f>IF($A700&lt;&gt;"",'All Cases - Enter Cases'!F700,"")</f>
        <v/>
      </c>
      <c r="G700" t="str">
        <f>IF($A700&lt;&gt;"",'All Cases - Enter Cases'!G700,"")</f>
        <v/>
      </c>
      <c r="H700" t="str">
        <f>IF($A700&lt;&gt;"",'All Cases - Enter Cases'!H700,"")</f>
        <v/>
      </c>
      <c r="I700" t="str">
        <f>IF($A700&lt;&gt;"",'All Cases - Enter Cases'!I700,"")</f>
        <v/>
      </c>
      <c r="J700" t="str">
        <f>IF($A700&lt;&gt;"",'All Cases - Enter Cases'!J700,"")</f>
        <v/>
      </c>
      <c r="K700" t="str">
        <f>IF($A700&lt;&gt;"",'All Cases - Enter Cases'!K700,"")</f>
        <v/>
      </c>
      <c r="L700" t="str">
        <f>IF($A700&lt;&gt;"",'All Cases - Enter Cases'!L700,"")</f>
        <v/>
      </c>
      <c r="M700" t="str">
        <f>IF($A700&lt;&gt;"",'All Cases - Enter Cases'!M700,"")</f>
        <v/>
      </c>
    </row>
    <row r="701" spans="1:13" x14ac:dyDescent="0.35">
      <c r="A701" t="str">
        <f>IF('All Cases - Enter Cases'!$F701="KPK",'All Cases - Enter Cases'!A701,"")</f>
        <v/>
      </c>
      <c r="B701" t="str">
        <f>IF($A701&lt;&gt;"",'All Cases - Enter Cases'!B701,"")</f>
        <v/>
      </c>
      <c r="C701" t="str">
        <f>IF($A701&lt;&gt;"",'All Cases - Enter Cases'!C701,"")</f>
        <v/>
      </c>
      <c r="D701" t="str">
        <f>IF($A701&lt;&gt;"",'All Cases - Enter Cases'!D701,"")</f>
        <v/>
      </c>
      <c r="E701" t="str">
        <f>IF($A701&lt;&gt;"",'All Cases - Enter Cases'!E701,"")</f>
        <v/>
      </c>
      <c r="F701" t="str">
        <f>IF($A701&lt;&gt;"",'All Cases - Enter Cases'!F701,"")</f>
        <v/>
      </c>
      <c r="G701" t="str">
        <f>IF($A701&lt;&gt;"",'All Cases - Enter Cases'!G701,"")</f>
        <v/>
      </c>
      <c r="H701" t="str">
        <f>IF($A701&lt;&gt;"",'All Cases - Enter Cases'!H701,"")</f>
        <v/>
      </c>
      <c r="I701" t="str">
        <f>IF($A701&lt;&gt;"",'All Cases - Enter Cases'!I701,"")</f>
        <v/>
      </c>
      <c r="J701" t="str">
        <f>IF($A701&lt;&gt;"",'All Cases - Enter Cases'!J701,"")</f>
        <v/>
      </c>
      <c r="K701" t="str">
        <f>IF($A701&lt;&gt;"",'All Cases - Enter Cases'!K701,"")</f>
        <v/>
      </c>
      <c r="L701" t="str">
        <f>IF($A701&lt;&gt;"",'All Cases - Enter Cases'!L701,"")</f>
        <v/>
      </c>
      <c r="M701" t="str">
        <f>IF($A701&lt;&gt;"",'All Cases - Enter Cases'!M701,"")</f>
        <v/>
      </c>
    </row>
    <row r="702" spans="1:13" x14ac:dyDescent="0.35">
      <c r="A702" t="str">
        <f>IF('All Cases - Enter Cases'!$F702="KPK",'All Cases - Enter Cases'!A702,"")</f>
        <v/>
      </c>
      <c r="B702" t="str">
        <f>IF($A702&lt;&gt;"",'All Cases - Enter Cases'!B702,"")</f>
        <v/>
      </c>
      <c r="C702" t="str">
        <f>IF($A702&lt;&gt;"",'All Cases - Enter Cases'!C702,"")</f>
        <v/>
      </c>
      <c r="D702" t="str">
        <f>IF($A702&lt;&gt;"",'All Cases - Enter Cases'!D702,"")</f>
        <v/>
      </c>
      <c r="E702" t="str">
        <f>IF($A702&lt;&gt;"",'All Cases - Enter Cases'!E702,"")</f>
        <v/>
      </c>
      <c r="F702" t="str">
        <f>IF($A702&lt;&gt;"",'All Cases - Enter Cases'!F702,"")</f>
        <v/>
      </c>
      <c r="G702" t="str">
        <f>IF($A702&lt;&gt;"",'All Cases - Enter Cases'!G702,"")</f>
        <v/>
      </c>
      <c r="H702" t="str">
        <f>IF($A702&lt;&gt;"",'All Cases - Enter Cases'!H702,"")</f>
        <v/>
      </c>
      <c r="I702" t="str">
        <f>IF($A702&lt;&gt;"",'All Cases - Enter Cases'!I702,"")</f>
        <v/>
      </c>
      <c r="J702" t="str">
        <f>IF($A702&lt;&gt;"",'All Cases - Enter Cases'!J702,"")</f>
        <v/>
      </c>
      <c r="K702" t="str">
        <f>IF($A702&lt;&gt;"",'All Cases - Enter Cases'!K702,"")</f>
        <v/>
      </c>
      <c r="L702" t="str">
        <f>IF($A702&lt;&gt;"",'All Cases - Enter Cases'!L702,"")</f>
        <v/>
      </c>
      <c r="M702" t="str">
        <f>IF($A702&lt;&gt;"",'All Cases - Enter Cases'!M702,"")</f>
        <v/>
      </c>
    </row>
    <row r="703" spans="1:13" x14ac:dyDescent="0.35">
      <c r="A703" t="str">
        <f>IF('All Cases - Enter Cases'!$F703="KPK",'All Cases - Enter Cases'!A703,"")</f>
        <v/>
      </c>
      <c r="B703" t="str">
        <f>IF($A703&lt;&gt;"",'All Cases - Enter Cases'!B703,"")</f>
        <v/>
      </c>
      <c r="C703" t="str">
        <f>IF($A703&lt;&gt;"",'All Cases - Enter Cases'!C703,"")</f>
        <v/>
      </c>
      <c r="D703" t="str">
        <f>IF($A703&lt;&gt;"",'All Cases - Enter Cases'!D703,"")</f>
        <v/>
      </c>
      <c r="E703" t="str">
        <f>IF($A703&lt;&gt;"",'All Cases - Enter Cases'!E703,"")</f>
        <v/>
      </c>
      <c r="F703" t="str">
        <f>IF($A703&lt;&gt;"",'All Cases - Enter Cases'!F703,"")</f>
        <v/>
      </c>
      <c r="G703" t="str">
        <f>IF($A703&lt;&gt;"",'All Cases - Enter Cases'!G703,"")</f>
        <v/>
      </c>
      <c r="H703" t="str">
        <f>IF($A703&lt;&gt;"",'All Cases - Enter Cases'!H703,"")</f>
        <v/>
      </c>
      <c r="I703" t="str">
        <f>IF($A703&lt;&gt;"",'All Cases - Enter Cases'!I703,"")</f>
        <v/>
      </c>
      <c r="J703" t="str">
        <f>IF($A703&lt;&gt;"",'All Cases - Enter Cases'!J703,"")</f>
        <v/>
      </c>
      <c r="K703" t="str">
        <f>IF($A703&lt;&gt;"",'All Cases - Enter Cases'!K703,"")</f>
        <v/>
      </c>
      <c r="L703" t="str">
        <f>IF($A703&lt;&gt;"",'All Cases - Enter Cases'!L703,"")</f>
        <v/>
      </c>
      <c r="M703" t="str">
        <f>IF($A703&lt;&gt;"",'All Cases - Enter Cases'!M703,"")</f>
        <v/>
      </c>
    </row>
    <row r="704" spans="1:13" x14ac:dyDescent="0.35">
      <c r="A704" t="str">
        <f>IF('All Cases - Enter Cases'!$F704="KPK",'All Cases - Enter Cases'!A704,"")</f>
        <v/>
      </c>
      <c r="B704" t="str">
        <f>IF($A704&lt;&gt;"",'All Cases - Enter Cases'!B704,"")</f>
        <v/>
      </c>
      <c r="C704" t="str">
        <f>IF($A704&lt;&gt;"",'All Cases - Enter Cases'!C704,"")</f>
        <v/>
      </c>
      <c r="D704" t="str">
        <f>IF($A704&lt;&gt;"",'All Cases - Enter Cases'!D704,"")</f>
        <v/>
      </c>
      <c r="E704" t="str">
        <f>IF($A704&lt;&gt;"",'All Cases - Enter Cases'!E704,"")</f>
        <v/>
      </c>
      <c r="F704" t="str">
        <f>IF($A704&lt;&gt;"",'All Cases - Enter Cases'!F704,"")</f>
        <v/>
      </c>
      <c r="G704" t="str">
        <f>IF($A704&lt;&gt;"",'All Cases - Enter Cases'!G704,"")</f>
        <v/>
      </c>
      <c r="H704" t="str">
        <f>IF($A704&lt;&gt;"",'All Cases - Enter Cases'!H704,"")</f>
        <v/>
      </c>
      <c r="I704" t="str">
        <f>IF($A704&lt;&gt;"",'All Cases - Enter Cases'!I704,"")</f>
        <v/>
      </c>
      <c r="J704" t="str">
        <f>IF($A704&lt;&gt;"",'All Cases - Enter Cases'!J704,"")</f>
        <v/>
      </c>
      <c r="K704" t="str">
        <f>IF($A704&lt;&gt;"",'All Cases - Enter Cases'!K704,"")</f>
        <v/>
      </c>
      <c r="L704" t="str">
        <f>IF($A704&lt;&gt;"",'All Cases - Enter Cases'!L704,"")</f>
        <v/>
      </c>
      <c r="M704" t="str">
        <f>IF($A704&lt;&gt;"",'All Cases - Enter Cases'!M704,"")</f>
        <v/>
      </c>
    </row>
    <row r="705" spans="1:13" x14ac:dyDescent="0.35">
      <c r="A705" t="str">
        <f>IF('All Cases - Enter Cases'!$F705="KPK",'All Cases - Enter Cases'!A705,"")</f>
        <v/>
      </c>
      <c r="B705" t="str">
        <f>IF($A705&lt;&gt;"",'All Cases - Enter Cases'!B705,"")</f>
        <v/>
      </c>
      <c r="C705" t="str">
        <f>IF($A705&lt;&gt;"",'All Cases - Enter Cases'!C705,"")</f>
        <v/>
      </c>
      <c r="D705" t="str">
        <f>IF($A705&lt;&gt;"",'All Cases - Enter Cases'!D705,"")</f>
        <v/>
      </c>
      <c r="E705" t="str">
        <f>IF($A705&lt;&gt;"",'All Cases - Enter Cases'!E705,"")</f>
        <v/>
      </c>
      <c r="F705" t="str">
        <f>IF($A705&lt;&gt;"",'All Cases - Enter Cases'!F705,"")</f>
        <v/>
      </c>
      <c r="G705" t="str">
        <f>IF($A705&lt;&gt;"",'All Cases - Enter Cases'!G705,"")</f>
        <v/>
      </c>
      <c r="H705" t="str">
        <f>IF($A705&lt;&gt;"",'All Cases - Enter Cases'!H705,"")</f>
        <v/>
      </c>
      <c r="I705" t="str">
        <f>IF($A705&lt;&gt;"",'All Cases - Enter Cases'!I705,"")</f>
        <v/>
      </c>
      <c r="J705" t="str">
        <f>IF($A705&lt;&gt;"",'All Cases - Enter Cases'!J705,"")</f>
        <v/>
      </c>
      <c r="K705" t="str">
        <f>IF($A705&lt;&gt;"",'All Cases - Enter Cases'!K705,"")</f>
        <v/>
      </c>
      <c r="L705" t="str">
        <f>IF($A705&lt;&gt;"",'All Cases - Enter Cases'!L705,"")</f>
        <v/>
      </c>
      <c r="M705" t="str">
        <f>IF($A705&lt;&gt;"",'All Cases - Enter Cases'!M705,"")</f>
        <v/>
      </c>
    </row>
    <row r="706" spans="1:13" x14ac:dyDescent="0.35">
      <c r="A706" t="str">
        <f>IF('All Cases - Enter Cases'!$F706="KPK",'All Cases - Enter Cases'!A706,"")</f>
        <v/>
      </c>
      <c r="B706" t="str">
        <f>IF($A706&lt;&gt;"",'All Cases - Enter Cases'!B706,"")</f>
        <v/>
      </c>
      <c r="C706" t="str">
        <f>IF($A706&lt;&gt;"",'All Cases - Enter Cases'!C706,"")</f>
        <v/>
      </c>
      <c r="D706" t="str">
        <f>IF($A706&lt;&gt;"",'All Cases - Enter Cases'!D706,"")</f>
        <v/>
      </c>
      <c r="E706" t="str">
        <f>IF($A706&lt;&gt;"",'All Cases - Enter Cases'!E706,"")</f>
        <v/>
      </c>
      <c r="F706" t="str">
        <f>IF($A706&lt;&gt;"",'All Cases - Enter Cases'!F706,"")</f>
        <v/>
      </c>
      <c r="G706" t="str">
        <f>IF($A706&lt;&gt;"",'All Cases - Enter Cases'!G706,"")</f>
        <v/>
      </c>
      <c r="H706" t="str">
        <f>IF($A706&lt;&gt;"",'All Cases - Enter Cases'!H706,"")</f>
        <v/>
      </c>
      <c r="I706" t="str">
        <f>IF($A706&lt;&gt;"",'All Cases - Enter Cases'!I706,"")</f>
        <v/>
      </c>
      <c r="J706" t="str">
        <f>IF($A706&lt;&gt;"",'All Cases - Enter Cases'!J706,"")</f>
        <v/>
      </c>
      <c r="K706" t="str">
        <f>IF($A706&lt;&gt;"",'All Cases - Enter Cases'!K706,"")</f>
        <v/>
      </c>
      <c r="L706" t="str">
        <f>IF($A706&lt;&gt;"",'All Cases - Enter Cases'!L706,"")</f>
        <v/>
      </c>
      <c r="M706" t="str">
        <f>IF($A706&lt;&gt;"",'All Cases - Enter Cases'!M706,"")</f>
        <v/>
      </c>
    </row>
    <row r="707" spans="1:13" x14ac:dyDescent="0.35">
      <c r="A707" t="str">
        <f>IF('All Cases - Enter Cases'!$F707="KPK",'All Cases - Enter Cases'!A707,"")</f>
        <v/>
      </c>
      <c r="B707" t="str">
        <f>IF($A707&lt;&gt;"",'All Cases - Enter Cases'!B707,"")</f>
        <v/>
      </c>
      <c r="C707" t="str">
        <f>IF($A707&lt;&gt;"",'All Cases - Enter Cases'!C707,"")</f>
        <v/>
      </c>
      <c r="D707" t="str">
        <f>IF($A707&lt;&gt;"",'All Cases - Enter Cases'!D707,"")</f>
        <v/>
      </c>
      <c r="E707" t="str">
        <f>IF($A707&lt;&gt;"",'All Cases - Enter Cases'!E707,"")</f>
        <v/>
      </c>
      <c r="F707" t="str">
        <f>IF($A707&lt;&gt;"",'All Cases - Enter Cases'!F707,"")</f>
        <v/>
      </c>
      <c r="G707" t="str">
        <f>IF($A707&lt;&gt;"",'All Cases - Enter Cases'!G707,"")</f>
        <v/>
      </c>
      <c r="H707" t="str">
        <f>IF($A707&lt;&gt;"",'All Cases - Enter Cases'!H707,"")</f>
        <v/>
      </c>
      <c r="I707" t="str">
        <f>IF($A707&lt;&gt;"",'All Cases - Enter Cases'!I707,"")</f>
        <v/>
      </c>
      <c r="J707" t="str">
        <f>IF($A707&lt;&gt;"",'All Cases - Enter Cases'!J707,"")</f>
        <v/>
      </c>
      <c r="K707" t="str">
        <f>IF($A707&lt;&gt;"",'All Cases - Enter Cases'!K707,"")</f>
        <v/>
      </c>
      <c r="L707" t="str">
        <f>IF($A707&lt;&gt;"",'All Cases - Enter Cases'!L707,"")</f>
        <v/>
      </c>
      <c r="M707" t="str">
        <f>IF($A707&lt;&gt;"",'All Cases - Enter Cases'!M707,"")</f>
        <v/>
      </c>
    </row>
    <row r="708" spans="1:13" x14ac:dyDescent="0.35">
      <c r="A708" t="str">
        <f>IF('All Cases - Enter Cases'!$F708="KPK",'All Cases - Enter Cases'!A708,"")</f>
        <v/>
      </c>
      <c r="B708" t="str">
        <f>IF($A708&lt;&gt;"",'All Cases - Enter Cases'!B708,"")</f>
        <v/>
      </c>
      <c r="C708" t="str">
        <f>IF($A708&lt;&gt;"",'All Cases - Enter Cases'!C708,"")</f>
        <v/>
      </c>
      <c r="D708" t="str">
        <f>IF($A708&lt;&gt;"",'All Cases - Enter Cases'!D708,"")</f>
        <v/>
      </c>
      <c r="E708" t="str">
        <f>IF($A708&lt;&gt;"",'All Cases - Enter Cases'!E708,"")</f>
        <v/>
      </c>
      <c r="F708" t="str">
        <f>IF($A708&lt;&gt;"",'All Cases - Enter Cases'!F708,"")</f>
        <v/>
      </c>
      <c r="G708" t="str">
        <f>IF($A708&lt;&gt;"",'All Cases - Enter Cases'!G708,"")</f>
        <v/>
      </c>
      <c r="H708" t="str">
        <f>IF($A708&lt;&gt;"",'All Cases - Enter Cases'!H708,"")</f>
        <v/>
      </c>
      <c r="I708" t="str">
        <f>IF($A708&lt;&gt;"",'All Cases - Enter Cases'!I708,"")</f>
        <v/>
      </c>
      <c r="J708" t="str">
        <f>IF($A708&lt;&gt;"",'All Cases - Enter Cases'!J708,"")</f>
        <v/>
      </c>
      <c r="K708" t="str">
        <f>IF($A708&lt;&gt;"",'All Cases - Enter Cases'!K708,"")</f>
        <v/>
      </c>
      <c r="L708" t="str">
        <f>IF($A708&lt;&gt;"",'All Cases - Enter Cases'!L708,"")</f>
        <v/>
      </c>
      <c r="M708" t="str">
        <f>IF($A708&lt;&gt;"",'All Cases - Enter Cases'!M708,"")</f>
        <v/>
      </c>
    </row>
    <row r="709" spans="1:13" x14ac:dyDescent="0.35">
      <c r="A709" t="str">
        <f>IF('All Cases - Enter Cases'!$F709="KPK",'All Cases - Enter Cases'!A709,"")</f>
        <v/>
      </c>
      <c r="B709" t="str">
        <f>IF($A709&lt;&gt;"",'All Cases - Enter Cases'!B709,"")</f>
        <v/>
      </c>
      <c r="C709" t="str">
        <f>IF($A709&lt;&gt;"",'All Cases - Enter Cases'!C709,"")</f>
        <v/>
      </c>
      <c r="D709" t="str">
        <f>IF($A709&lt;&gt;"",'All Cases - Enter Cases'!D709,"")</f>
        <v/>
      </c>
      <c r="E709" t="str">
        <f>IF($A709&lt;&gt;"",'All Cases - Enter Cases'!E709,"")</f>
        <v/>
      </c>
      <c r="F709" t="str">
        <f>IF($A709&lt;&gt;"",'All Cases - Enter Cases'!F709,"")</f>
        <v/>
      </c>
      <c r="G709" t="str">
        <f>IF($A709&lt;&gt;"",'All Cases - Enter Cases'!G709,"")</f>
        <v/>
      </c>
      <c r="H709" t="str">
        <f>IF($A709&lt;&gt;"",'All Cases - Enter Cases'!H709,"")</f>
        <v/>
      </c>
      <c r="I709" t="str">
        <f>IF($A709&lt;&gt;"",'All Cases - Enter Cases'!I709,"")</f>
        <v/>
      </c>
      <c r="J709" t="str">
        <f>IF($A709&lt;&gt;"",'All Cases - Enter Cases'!J709,"")</f>
        <v/>
      </c>
      <c r="K709" t="str">
        <f>IF($A709&lt;&gt;"",'All Cases - Enter Cases'!K709,"")</f>
        <v/>
      </c>
      <c r="L709" t="str">
        <f>IF($A709&lt;&gt;"",'All Cases - Enter Cases'!L709,"")</f>
        <v/>
      </c>
      <c r="M709" t="str">
        <f>IF($A709&lt;&gt;"",'All Cases - Enter Cases'!M709,"")</f>
        <v/>
      </c>
    </row>
    <row r="710" spans="1:13" x14ac:dyDescent="0.35">
      <c r="A710" t="str">
        <f>IF('All Cases - Enter Cases'!$F710="KPK",'All Cases - Enter Cases'!A710,"")</f>
        <v/>
      </c>
      <c r="B710" t="str">
        <f>IF($A710&lt;&gt;"",'All Cases - Enter Cases'!B710,"")</f>
        <v/>
      </c>
      <c r="C710" t="str">
        <f>IF($A710&lt;&gt;"",'All Cases - Enter Cases'!C710,"")</f>
        <v/>
      </c>
      <c r="D710" t="str">
        <f>IF($A710&lt;&gt;"",'All Cases - Enter Cases'!D710,"")</f>
        <v/>
      </c>
      <c r="E710" t="str">
        <f>IF($A710&lt;&gt;"",'All Cases - Enter Cases'!E710,"")</f>
        <v/>
      </c>
      <c r="F710" t="str">
        <f>IF($A710&lt;&gt;"",'All Cases - Enter Cases'!F710,"")</f>
        <v/>
      </c>
      <c r="G710" t="str">
        <f>IF($A710&lt;&gt;"",'All Cases - Enter Cases'!G710,"")</f>
        <v/>
      </c>
      <c r="H710" t="str">
        <f>IF($A710&lt;&gt;"",'All Cases - Enter Cases'!H710,"")</f>
        <v/>
      </c>
      <c r="I710" t="str">
        <f>IF($A710&lt;&gt;"",'All Cases - Enter Cases'!I710,"")</f>
        <v/>
      </c>
      <c r="J710" t="str">
        <f>IF($A710&lt;&gt;"",'All Cases - Enter Cases'!J710,"")</f>
        <v/>
      </c>
      <c r="K710" t="str">
        <f>IF($A710&lt;&gt;"",'All Cases - Enter Cases'!K710,"")</f>
        <v/>
      </c>
      <c r="L710" t="str">
        <f>IF($A710&lt;&gt;"",'All Cases - Enter Cases'!L710,"")</f>
        <v/>
      </c>
      <c r="M710" t="str">
        <f>IF($A710&lt;&gt;"",'All Cases - Enter Cases'!M710,"")</f>
        <v/>
      </c>
    </row>
    <row r="711" spans="1:13" x14ac:dyDescent="0.35">
      <c r="A711" t="str">
        <f>IF('All Cases - Enter Cases'!$F711="KPK",'All Cases - Enter Cases'!A711,"")</f>
        <v/>
      </c>
      <c r="B711" t="str">
        <f>IF($A711&lt;&gt;"",'All Cases - Enter Cases'!B711,"")</f>
        <v/>
      </c>
      <c r="C711" t="str">
        <f>IF($A711&lt;&gt;"",'All Cases - Enter Cases'!C711,"")</f>
        <v/>
      </c>
      <c r="D711" t="str">
        <f>IF($A711&lt;&gt;"",'All Cases - Enter Cases'!D711,"")</f>
        <v/>
      </c>
      <c r="E711" t="str">
        <f>IF($A711&lt;&gt;"",'All Cases - Enter Cases'!E711,"")</f>
        <v/>
      </c>
      <c r="F711" t="str">
        <f>IF($A711&lt;&gt;"",'All Cases - Enter Cases'!F711,"")</f>
        <v/>
      </c>
      <c r="G711" t="str">
        <f>IF($A711&lt;&gt;"",'All Cases - Enter Cases'!G711,"")</f>
        <v/>
      </c>
      <c r="H711" t="str">
        <f>IF($A711&lt;&gt;"",'All Cases - Enter Cases'!H711,"")</f>
        <v/>
      </c>
      <c r="I711" t="str">
        <f>IF($A711&lt;&gt;"",'All Cases - Enter Cases'!I711,"")</f>
        <v/>
      </c>
      <c r="J711" t="str">
        <f>IF($A711&lt;&gt;"",'All Cases - Enter Cases'!J711,"")</f>
        <v/>
      </c>
      <c r="K711" t="str">
        <f>IF($A711&lt;&gt;"",'All Cases - Enter Cases'!K711,"")</f>
        <v/>
      </c>
      <c r="L711" t="str">
        <f>IF($A711&lt;&gt;"",'All Cases - Enter Cases'!L711,"")</f>
        <v/>
      </c>
      <c r="M711" t="str">
        <f>IF($A711&lt;&gt;"",'All Cases - Enter Cases'!M711,"")</f>
        <v/>
      </c>
    </row>
    <row r="712" spans="1:13" x14ac:dyDescent="0.35">
      <c r="A712" t="str">
        <f>IF('All Cases - Enter Cases'!$F712="KPK",'All Cases - Enter Cases'!A712,"")</f>
        <v/>
      </c>
      <c r="B712" t="str">
        <f>IF($A712&lt;&gt;"",'All Cases - Enter Cases'!B712,"")</f>
        <v/>
      </c>
      <c r="C712" t="str">
        <f>IF($A712&lt;&gt;"",'All Cases - Enter Cases'!C712,"")</f>
        <v/>
      </c>
      <c r="D712" t="str">
        <f>IF($A712&lt;&gt;"",'All Cases - Enter Cases'!D712,"")</f>
        <v/>
      </c>
      <c r="E712" t="str">
        <f>IF($A712&lt;&gt;"",'All Cases - Enter Cases'!E712,"")</f>
        <v/>
      </c>
      <c r="F712" t="str">
        <f>IF($A712&lt;&gt;"",'All Cases - Enter Cases'!F712,"")</f>
        <v/>
      </c>
      <c r="G712" t="str">
        <f>IF($A712&lt;&gt;"",'All Cases - Enter Cases'!G712,"")</f>
        <v/>
      </c>
      <c r="H712" t="str">
        <f>IF($A712&lt;&gt;"",'All Cases - Enter Cases'!H712,"")</f>
        <v/>
      </c>
      <c r="I712" t="str">
        <f>IF($A712&lt;&gt;"",'All Cases - Enter Cases'!I712,"")</f>
        <v/>
      </c>
      <c r="J712" t="str">
        <f>IF($A712&lt;&gt;"",'All Cases - Enter Cases'!J712,"")</f>
        <v/>
      </c>
      <c r="K712" t="str">
        <f>IF($A712&lt;&gt;"",'All Cases - Enter Cases'!K712,"")</f>
        <v/>
      </c>
      <c r="L712" t="str">
        <f>IF($A712&lt;&gt;"",'All Cases - Enter Cases'!L712,"")</f>
        <v/>
      </c>
      <c r="M712" t="str">
        <f>IF($A712&lt;&gt;"",'All Cases - Enter Cases'!M712,"")</f>
        <v/>
      </c>
    </row>
    <row r="713" spans="1:13" x14ac:dyDescent="0.35">
      <c r="A713" t="str">
        <f>IF('All Cases - Enter Cases'!$F713="KPK",'All Cases - Enter Cases'!A713,"")</f>
        <v/>
      </c>
      <c r="B713" t="str">
        <f>IF($A713&lt;&gt;"",'All Cases - Enter Cases'!B713,"")</f>
        <v/>
      </c>
      <c r="C713" t="str">
        <f>IF($A713&lt;&gt;"",'All Cases - Enter Cases'!C713,"")</f>
        <v/>
      </c>
      <c r="D713" t="str">
        <f>IF($A713&lt;&gt;"",'All Cases - Enter Cases'!D713,"")</f>
        <v/>
      </c>
      <c r="E713" t="str">
        <f>IF($A713&lt;&gt;"",'All Cases - Enter Cases'!E713,"")</f>
        <v/>
      </c>
      <c r="F713" t="str">
        <f>IF($A713&lt;&gt;"",'All Cases - Enter Cases'!F713,"")</f>
        <v/>
      </c>
      <c r="G713" t="str">
        <f>IF($A713&lt;&gt;"",'All Cases - Enter Cases'!G713,"")</f>
        <v/>
      </c>
      <c r="H713" t="str">
        <f>IF($A713&lt;&gt;"",'All Cases - Enter Cases'!H713,"")</f>
        <v/>
      </c>
      <c r="I713" t="str">
        <f>IF($A713&lt;&gt;"",'All Cases - Enter Cases'!I713,"")</f>
        <v/>
      </c>
      <c r="J713" t="str">
        <f>IF($A713&lt;&gt;"",'All Cases - Enter Cases'!J713,"")</f>
        <v/>
      </c>
      <c r="K713" t="str">
        <f>IF($A713&lt;&gt;"",'All Cases - Enter Cases'!K713,"")</f>
        <v/>
      </c>
      <c r="L713" t="str">
        <f>IF($A713&lt;&gt;"",'All Cases - Enter Cases'!L713,"")</f>
        <v/>
      </c>
      <c r="M713" t="str">
        <f>IF($A713&lt;&gt;"",'All Cases - Enter Cases'!M713,"")</f>
        <v/>
      </c>
    </row>
    <row r="714" spans="1:13" x14ac:dyDescent="0.35">
      <c r="A714" t="str">
        <f>IF('All Cases - Enter Cases'!$F714="KPK",'All Cases - Enter Cases'!A714,"")</f>
        <v/>
      </c>
      <c r="B714" t="str">
        <f>IF($A714&lt;&gt;"",'All Cases - Enter Cases'!B714,"")</f>
        <v/>
      </c>
      <c r="C714" t="str">
        <f>IF($A714&lt;&gt;"",'All Cases - Enter Cases'!C714,"")</f>
        <v/>
      </c>
      <c r="D714" t="str">
        <f>IF($A714&lt;&gt;"",'All Cases - Enter Cases'!D714,"")</f>
        <v/>
      </c>
      <c r="E714" t="str">
        <f>IF($A714&lt;&gt;"",'All Cases - Enter Cases'!E714,"")</f>
        <v/>
      </c>
      <c r="F714" t="str">
        <f>IF($A714&lt;&gt;"",'All Cases - Enter Cases'!F714,"")</f>
        <v/>
      </c>
      <c r="G714" t="str">
        <f>IF($A714&lt;&gt;"",'All Cases - Enter Cases'!G714,"")</f>
        <v/>
      </c>
      <c r="H714" t="str">
        <f>IF($A714&lt;&gt;"",'All Cases - Enter Cases'!H714,"")</f>
        <v/>
      </c>
      <c r="I714" t="str">
        <f>IF($A714&lt;&gt;"",'All Cases - Enter Cases'!I714,"")</f>
        <v/>
      </c>
      <c r="J714" t="str">
        <f>IF($A714&lt;&gt;"",'All Cases - Enter Cases'!J714,"")</f>
        <v/>
      </c>
      <c r="K714" t="str">
        <f>IF($A714&lt;&gt;"",'All Cases - Enter Cases'!K714,"")</f>
        <v/>
      </c>
      <c r="L714" t="str">
        <f>IF($A714&lt;&gt;"",'All Cases - Enter Cases'!L714,"")</f>
        <v/>
      </c>
      <c r="M714" t="str">
        <f>IF($A714&lt;&gt;"",'All Cases - Enter Cases'!M714,"")</f>
        <v/>
      </c>
    </row>
    <row r="715" spans="1:13" x14ac:dyDescent="0.35">
      <c r="A715" t="str">
        <f>IF('All Cases - Enter Cases'!$F715="KPK",'All Cases - Enter Cases'!A715,"")</f>
        <v/>
      </c>
      <c r="B715" t="str">
        <f>IF($A715&lt;&gt;"",'All Cases - Enter Cases'!B715,"")</f>
        <v/>
      </c>
      <c r="C715" t="str">
        <f>IF($A715&lt;&gt;"",'All Cases - Enter Cases'!C715,"")</f>
        <v/>
      </c>
      <c r="D715" t="str">
        <f>IF($A715&lt;&gt;"",'All Cases - Enter Cases'!D715,"")</f>
        <v/>
      </c>
      <c r="E715" t="str">
        <f>IF($A715&lt;&gt;"",'All Cases - Enter Cases'!E715,"")</f>
        <v/>
      </c>
      <c r="F715" t="str">
        <f>IF($A715&lt;&gt;"",'All Cases - Enter Cases'!F715,"")</f>
        <v/>
      </c>
      <c r="G715" t="str">
        <f>IF($A715&lt;&gt;"",'All Cases - Enter Cases'!G715,"")</f>
        <v/>
      </c>
      <c r="H715" t="str">
        <f>IF($A715&lt;&gt;"",'All Cases - Enter Cases'!H715,"")</f>
        <v/>
      </c>
      <c r="I715" t="str">
        <f>IF($A715&lt;&gt;"",'All Cases - Enter Cases'!I715,"")</f>
        <v/>
      </c>
      <c r="J715" t="str">
        <f>IF($A715&lt;&gt;"",'All Cases - Enter Cases'!J715,"")</f>
        <v/>
      </c>
      <c r="K715" t="str">
        <f>IF($A715&lt;&gt;"",'All Cases - Enter Cases'!K715,"")</f>
        <v/>
      </c>
      <c r="L715" t="str">
        <f>IF($A715&lt;&gt;"",'All Cases - Enter Cases'!L715,"")</f>
        <v/>
      </c>
      <c r="M715" t="str">
        <f>IF($A715&lt;&gt;"",'All Cases - Enter Cases'!M715,"")</f>
        <v/>
      </c>
    </row>
    <row r="716" spans="1:13" x14ac:dyDescent="0.35">
      <c r="A716" t="str">
        <f>IF('All Cases - Enter Cases'!$F716="KPK",'All Cases - Enter Cases'!A716,"")</f>
        <v/>
      </c>
      <c r="B716" t="str">
        <f>IF($A716&lt;&gt;"",'All Cases - Enter Cases'!B716,"")</f>
        <v/>
      </c>
      <c r="C716" t="str">
        <f>IF($A716&lt;&gt;"",'All Cases - Enter Cases'!C716,"")</f>
        <v/>
      </c>
      <c r="D716" t="str">
        <f>IF($A716&lt;&gt;"",'All Cases - Enter Cases'!D716,"")</f>
        <v/>
      </c>
      <c r="E716" t="str">
        <f>IF($A716&lt;&gt;"",'All Cases - Enter Cases'!E716,"")</f>
        <v/>
      </c>
      <c r="F716" t="str">
        <f>IF($A716&lt;&gt;"",'All Cases - Enter Cases'!F716,"")</f>
        <v/>
      </c>
      <c r="G716" t="str">
        <f>IF($A716&lt;&gt;"",'All Cases - Enter Cases'!G716,"")</f>
        <v/>
      </c>
      <c r="H716" t="str">
        <f>IF($A716&lt;&gt;"",'All Cases - Enter Cases'!H716,"")</f>
        <v/>
      </c>
      <c r="I716" t="str">
        <f>IF($A716&lt;&gt;"",'All Cases - Enter Cases'!I716,"")</f>
        <v/>
      </c>
      <c r="J716" t="str">
        <f>IF($A716&lt;&gt;"",'All Cases - Enter Cases'!J716,"")</f>
        <v/>
      </c>
      <c r="K716" t="str">
        <f>IF($A716&lt;&gt;"",'All Cases - Enter Cases'!K716,"")</f>
        <v/>
      </c>
      <c r="L716" t="str">
        <f>IF($A716&lt;&gt;"",'All Cases - Enter Cases'!L716,"")</f>
        <v/>
      </c>
      <c r="M716" t="str">
        <f>IF($A716&lt;&gt;"",'All Cases - Enter Cases'!M716,"")</f>
        <v/>
      </c>
    </row>
    <row r="717" spans="1:13" x14ac:dyDescent="0.35">
      <c r="A717" t="str">
        <f>IF('All Cases - Enter Cases'!$F717="KPK",'All Cases - Enter Cases'!A717,"")</f>
        <v/>
      </c>
      <c r="B717" t="str">
        <f>IF($A717&lt;&gt;"",'All Cases - Enter Cases'!B717,"")</f>
        <v/>
      </c>
      <c r="C717" t="str">
        <f>IF($A717&lt;&gt;"",'All Cases - Enter Cases'!C717,"")</f>
        <v/>
      </c>
      <c r="D717" t="str">
        <f>IF($A717&lt;&gt;"",'All Cases - Enter Cases'!D717,"")</f>
        <v/>
      </c>
      <c r="E717" t="str">
        <f>IF($A717&lt;&gt;"",'All Cases - Enter Cases'!E717,"")</f>
        <v/>
      </c>
      <c r="F717" t="str">
        <f>IF($A717&lt;&gt;"",'All Cases - Enter Cases'!F717,"")</f>
        <v/>
      </c>
      <c r="G717" t="str">
        <f>IF($A717&lt;&gt;"",'All Cases - Enter Cases'!G717,"")</f>
        <v/>
      </c>
      <c r="H717" t="str">
        <f>IF($A717&lt;&gt;"",'All Cases - Enter Cases'!H717,"")</f>
        <v/>
      </c>
      <c r="I717" t="str">
        <f>IF($A717&lt;&gt;"",'All Cases - Enter Cases'!I717,"")</f>
        <v/>
      </c>
      <c r="J717" t="str">
        <f>IF($A717&lt;&gt;"",'All Cases - Enter Cases'!J717,"")</f>
        <v/>
      </c>
      <c r="K717" t="str">
        <f>IF($A717&lt;&gt;"",'All Cases - Enter Cases'!K717,"")</f>
        <v/>
      </c>
      <c r="L717" t="str">
        <f>IF($A717&lt;&gt;"",'All Cases - Enter Cases'!L717,"")</f>
        <v/>
      </c>
      <c r="M717" t="str">
        <f>IF($A717&lt;&gt;"",'All Cases - Enter Cases'!M717,"")</f>
        <v/>
      </c>
    </row>
    <row r="718" spans="1:13" x14ac:dyDescent="0.35">
      <c r="A718" t="str">
        <f>IF('All Cases - Enter Cases'!$F718="KPK",'All Cases - Enter Cases'!A718,"")</f>
        <v/>
      </c>
      <c r="B718" t="str">
        <f>IF($A718&lt;&gt;"",'All Cases - Enter Cases'!B718,"")</f>
        <v/>
      </c>
      <c r="C718" t="str">
        <f>IF($A718&lt;&gt;"",'All Cases - Enter Cases'!C718,"")</f>
        <v/>
      </c>
      <c r="D718" t="str">
        <f>IF($A718&lt;&gt;"",'All Cases - Enter Cases'!D718,"")</f>
        <v/>
      </c>
      <c r="E718" t="str">
        <f>IF($A718&lt;&gt;"",'All Cases - Enter Cases'!E718,"")</f>
        <v/>
      </c>
      <c r="F718" t="str">
        <f>IF($A718&lt;&gt;"",'All Cases - Enter Cases'!F718,"")</f>
        <v/>
      </c>
      <c r="G718" t="str">
        <f>IF($A718&lt;&gt;"",'All Cases - Enter Cases'!G718,"")</f>
        <v/>
      </c>
      <c r="H718" t="str">
        <f>IF($A718&lt;&gt;"",'All Cases - Enter Cases'!H718,"")</f>
        <v/>
      </c>
      <c r="I718" t="str">
        <f>IF($A718&lt;&gt;"",'All Cases - Enter Cases'!I718,"")</f>
        <v/>
      </c>
      <c r="J718" t="str">
        <f>IF($A718&lt;&gt;"",'All Cases - Enter Cases'!J718,"")</f>
        <v/>
      </c>
      <c r="K718" t="str">
        <f>IF($A718&lt;&gt;"",'All Cases - Enter Cases'!K718,"")</f>
        <v/>
      </c>
      <c r="L718" t="str">
        <f>IF($A718&lt;&gt;"",'All Cases - Enter Cases'!L718,"")</f>
        <v/>
      </c>
      <c r="M718" t="str">
        <f>IF($A718&lt;&gt;"",'All Cases - Enter Cases'!M718,"")</f>
        <v/>
      </c>
    </row>
    <row r="719" spans="1:13" x14ac:dyDescent="0.35">
      <c r="A719" t="str">
        <f>IF('All Cases - Enter Cases'!$F719="KPK",'All Cases - Enter Cases'!A719,"")</f>
        <v/>
      </c>
      <c r="B719" t="str">
        <f>IF($A719&lt;&gt;"",'All Cases - Enter Cases'!B719,"")</f>
        <v/>
      </c>
      <c r="C719" t="str">
        <f>IF($A719&lt;&gt;"",'All Cases - Enter Cases'!C719,"")</f>
        <v/>
      </c>
      <c r="D719" t="str">
        <f>IF($A719&lt;&gt;"",'All Cases - Enter Cases'!D719,"")</f>
        <v/>
      </c>
      <c r="E719" t="str">
        <f>IF($A719&lt;&gt;"",'All Cases - Enter Cases'!E719,"")</f>
        <v/>
      </c>
      <c r="F719" t="str">
        <f>IF($A719&lt;&gt;"",'All Cases - Enter Cases'!F719,"")</f>
        <v/>
      </c>
      <c r="G719" t="str">
        <f>IF($A719&lt;&gt;"",'All Cases - Enter Cases'!G719,"")</f>
        <v/>
      </c>
      <c r="H719" t="str">
        <f>IF($A719&lt;&gt;"",'All Cases - Enter Cases'!H719,"")</f>
        <v/>
      </c>
      <c r="I719" t="str">
        <f>IF($A719&lt;&gt;"",'All Cases - Enter Cases'!I719,"")</f>
        <v/>
      </c>
      <c r="J719" t="str">
        <f>IF($A719&lt;&gt;"",'All Cases - Enter Cases'!J719,"")</f>
        <v/>
      </c>
      <c r="K719" t="str">
        <f>IF($A719&lt;&gt;"",'All Cases - Enter Cases'!K719,"")</f>
        <v/>
      </c>
      <c r="L719" t="str">
        <f>IF($A719&lt;&gt;"",'All Cases - Enter Cases'!L719,"")</f>
        <v/>
      </c>
      <c r="M719" t="str">
        <f>IF($A719&lt;&gt;"",'All Cases - Enter Cases'!M719,"")</f>
        <v/>
      </c>
    </row>
    <row r="720" spans="1:13" x14ac:dyDescent="0.35">
      <c r="A720" t="str">
        <f>IF('All Cases - Enter Cases'!$F720="KPK",'All Cases - Enter Cases'!A720,"")</f>
        <v/>
      </c>
      <c r="B720" t="str">
        <f>IF($A720&lt;&gt;"",'All Cases - Enter Cases'!B720,"")</f>
        <v/>
      </c>
      <c r="C720" t="str">
        <f>IF($A720&lt;&gt;"",'All Cases - Enter Cases'!C720,"")</f>
        <v/>
      </c>
      <c r="D720" t="str">
        <f>IF($A720&lt;&gt;"",'All Cases - Enter Cases'!D720,"")</f>
        <v/>
      </c>
      <c r="E720" t="str">
        <f>IF($A720&lt;&gt;"",'All Cases - Enter Cases'!E720,"")</f>
        <v/>
      </c>
      <c r="F720" t="str">
        <f>IF($A720&lt;&gt;"",'All Cases - Enter Cases'!F720,"")</f>
        <v/>
      </c>
      <c r="G720" t="str">
        <f>IF($A720&lt;&gt;"",'All Cases - Enter Cases'!G720,"")</f>
        <v/>
      </c>
      <c r="H720" t="str">
        <f>IF($A720&lt;&gt;"",'All Cases - Enter Cases'!H720,"")</f>
        <v/>
      </c>
      <c r="I720" t="str">
        <f>IF($A720&lt;&gt;"",'All Cases - Enter Cases'!I720,"")</f>
        <v/>
      </c>
      <c r="J720" t="str">
        <f>IF($A720&lt;&gt;"",'All Cases - Enter Cases'!J720,"")</f>
        <v/>
      </c>
      <c r="K720" t="str">
        <f>IF($A720&lt;&gt;"",'All Cases - Enter Cases'!K720,"")</f>
        <v/>
      </c>
      <c r="L720" t="str">
        <f>IF($A720&lt;&gt;"",'All Cases - Enter Cases'!L720,"")</f>
        <v/>
      </c>
      <c r="M720" t="str">
        <f>IF($A720&lt;&gt;"",'All Cases - Enter Cases'!M720,"")</f>
        <v/>
      </c>
    </row>
    <row r="721" spans="1:13" x14ac:dyDescent="0.35">
      <c r="A721" t="str">
        <f>IF('All Cases - Enter Cases'!$F721="KPK",'All Cases - Enter Cases'!A721,"")</f>
        <v/>
      </c>
      <c r="B721" t="str">
        <f>IF($A721&lt;&gt;"",'All Cases - Enter Cases'!B721,"")</f>
        <v/>
      </c>
      <c r="C721" t="str">
        <f>IF($A721&lt;&gt;"",'All Cases - Enter Cases'!C721,"")</f>
        <v/>
      </c>
      <c r="D721" t="str">
        <f>IF($A721&lt;&gt;"",'All Cases - Enter Cases'!D721,"")</f>
        <v/>
      </c>
      <c r="E721" t="str">
        <f>IF($A721&lt;&gt;"",'All Cases - Enter Cases'!E721,"")</f>
        <v/>
      </c>
      <c r="F721" t="str">
        <f>IF($A721&lt;&gt;"",'All Cases - Enter Cases'!F721,"")</f>
        <v/>
      </c>
      <c r="G721" t="str">
        <f>IF($A721&lt;&gt;"",'All Cases - Enter Cases'!G721,"")</f>
        <v/>
      </c>
      <c r="H721" t="str">
        <f>IF($A721&lt;&gt;"",'All Cases - Enter Cases'!H721,"")</f>
        <v/>
      </c>
      <c r="I721" t="str">
        <f>IF($A721&lt;&gt;"",'All Cases - Enter Cases'!I721,"")</f>
        <v/>
      </c>
      <c r="J721" t="str">
        <f>IF($A721&lt;&gt;"",'All Cases - Enter Cases'!J721,"")</f>
        <v/>
      </c>
      <c r="K721" t="str">
        <f>IF($A721&lt;&gt;"",'All Cases - Enter Cases'!K721,"")</f>
        <v/>
      </c>
      <c r="L721" t="str">
        <f>IF($A721&lt;&gt;"",'All Cases - Enter Cases'!L721,"")</f>
        <v/>
      </c>
      <c r="M721" t="str">
        <f>IF($A721&lt;&gt;"",'All Cases - Enter Cases'!M721,"")</f>
        <v/>
      </c>
    </row>
    <row r="722" spans="1:13" x14ac:dyDescent="0.35">
      <c r="A722" t="str">
        <f>IF('All Cases - Enter Cases'!$F722="KPK",'All Cases - Enter Cases'!A722,"")</f>
        <v/>
      </c>
      <c r="B722" t="str">
        <f>IF($A722&lt;&gt;"",'All Cases - Enter Cases'!B722,"")</f>
        <v/>
      </c>
      <c r="C722" t="str">
        <f>IF($A722&lt;&gt;"",'All Cases - Enter Cases'!C722,"")</f>
        <v/>
      </c>
      <c r="D722" t="str">
        <f>IF($A722&lt;&gt;"",'All Cases - Enter Cases'!D722,"")</f>
        <v/>
      </c>
      <c r="E722" t="str">
        <f>IF($A722&lt;&gt;"",'All Cases - Enter Cases'!E722,"")</f>
        <v/>
      </c>
      <c r="F722" t="str">
        <f>IF($A722&lt;&gt;"",'All Cases - Enter Cases'!F722,"")</f>
        <v/>
      </c>
      <c r="G722" t="str">
        <f>IF($A722&lt;&gt;"",'All Cases - Enter Cases'!G722,"")</f>
        <v/>
      </c>
      <c r="H722" t="str">
        <f>IF($A722&lt;&gt;"",'All Cases - Enter Cases'!H722,"")</f>
        <v/>
      </c>
      <c r="I722" t="str">
        <f>IF($A722&lt;&gt;"",'All Cases - Enter Cases'!I722,"")</f>
        <v/>
      </c>
      <c r="J722" t="str">
        <f>IF($A722&lt;&gt;"",'All Cases - Enter Cases'!J722,"")</f>
        <v/>
      </c>
      <c r="K722" t="str">
        <f>IF($A722&lt;&gt;"",'All Cases - Enter Cases'!K722,"")</f>
        <v/>
      </c>
      <c r="L722" t="str">
        <f>IF($A722&lt;&gt;"",'All Cases - Enter Cases'!L722,"")</f>
        <v/>
      </c>
      <c r="M722" t="str">
        <f>IF($A722&lt;&gt;"",'All Cases - Enter Cases'!M722,"")</f>
        <v/>
      </c>
    </row>
    <row r="723" spans="1:13" x14ac:dyDescent="0.35">
      <c r="A723" t="str">
        <f>IF('All Cases - Enter Cases'!$F723="KPK",'All Cases - Enter Cases'!A723,"")</f>
        <v/>
      </c>
      <c r="B723" t="str">
        <f>IF($A723&lt;&gt;"",'All Cases - Enter Cases'!B723,"")</f>
        <v/>
      </c>
      <c r="C723" t="str">
        <f>IF($A723&lt;&gt;"",'All Cases - Enter Cases'!C723,"")</f>
        <v/>
      </c>
      <c r="D723" t="str">
        <f>IF($A723&lt;&gt;"",'All Cases - Enter Cases'!D723,"")</f>
        <v/>
      </c>
      <c r="E723" t="str">
        <f>IF($A723&lt;&gt;"",'All Cases - Enter Cases'!E723,"")</f>
        <v/>
      </c>
      <c r="F723" t="str">
        <f>IF($A723&lt;&gt;"",'All Cases - Enter Cases'!F723,"")</f>
        <v/>
      </c>
      <c r="G723" t="str">
        <f>IF($A723&lt;&gt;"",'All Cases - Enter Cases'!G723,"")</f>
        <v/>
      </c>
      <c r="H723" t="str">
        <f>IF($A723&lt;&gt;"",'All Cases - Enter Cases'!H723,"")</f>
        <v/>
      </c>
      <c r="I723" t="str">
        <f>IF($A723&lt;&gt;"",'All Cases - Enter Cases'!I723,"")</f>
        <v/>
      </c>
      <c r="J723" t="str">
        <f>IF($A723&lt;&gt;"",'All Cases - Enter Cases'!J723,"")</f>
        <v/>
      </c>
      <c r="K723" t="str">
        <f>IF($A723&lt;&gt;"",'All Cases - Enter Cases'!K723,"")</f>
        <v/>
      </c>
      <c r="L723" t="str">
        <f>IF($A723&lt;&gt;"",'All Cases - Enter Cases'!L723,"")</f>
        <v/>
      </c>
      <c r="M723" t="str">
        <f>IF($A723&lt;&gt;"",'All Cases - Enter Cases'!M723,"")</f>
        <v/>
      </c>
    </row>
    <row r="724" spans="1:13" x14ac:dyDescent="0.35">
      <c r="A724" t="str">
        <f>IF('All Cases - Enter Cases'!$F724="KPK",'All Cases - Enter Cases'!A724,"")</f>
        <v/>
      </c>
      <c r="B724" t="str">
        <f>IF($A724&lt;&gt;"",'All Cases - Enter Cases'!B724,"")</f>
        <v/>
      </c>
      <c r="C724" t="str">
        <f>IF($A724&lt;&gt;"",'All Cases - Enter Cases'!C724,"")</f>
        <v/>
      </c>
      <c r="D724" t="str">
        <f>IF($A724&lt;&gt;"",'All Cases - Enter Cases'!D724,"")</f>
        <v/>
      </c>
      <c r="E724" t="str">
        <f>IF($A724&lt;&gt;"",'All Cases - Enter Cases'!E724,"")</f>
        <v/>
      </c>
      <c r="F724" t="str">
        <f>IF($A724&lt;&gt;"",'All Cases - Enter Cases'!F724,"")</f>
        <v/>
      </c>
      <c r="G724" t="str">
        <f>IF($A724&lt;&gt;"",'All Cases - Enter Cases'!G724,"")</f>
        <v/>
      </c>
      <c r="H724" t="str">
        <f>IF($A724&lt;&gt;"",'All Cases - Enter Cases'!H724,"")</f>
        <v/>
      </c>
      <c r="I724" t="str">
        <f>IF($A724&lt;&gt;"",'All Cases - Enter Cases'!I724,"")</f>
        <v/>
      </c>
      <c r="J724" t="str">
        <f>IF($A724&lt;&gt;"",'All Cases - Enter Cases'!J724,"")</f>
        <v/>
      </c>
      <c r="K724" t="str">
        <f>IF($A724&lt;&gt;"",'All Cases - Enter Cases'!K724,"")</f>
        <v/>
      </c>
      <c r="L724" t="str">
        <f>IF($A724&lt;&gt;"",'All Cases - Enter Cases'!L724,"")</f>
        <v/>
      </c>
      <c r="M724" t="str">
        <f>IF($A724&lt;&gt;"",'All Cases - Enter Cases'!M724,"")</f>
        <v/>
      </c>
    </row>
    <row r="725" spans="1:13" x14ac:dyDescent="0.35">
      <c r="A725" t="str">
        <f>IF('All Cases - Enter Cases'!$F725="KPK",'All Cases - Enter Cases'!A725,"")</f>
        <v/>
      </c>
      <c r="B725" t="str">
        <f>IF($A725&lt;&gt;"",'All Cases - Enter Cases'!B725,"")</f>
        <v/>
      </c>
      <c r="C725" t="str">
        <f>IF($A725&lt;&gt;"",'All Cases - Enter Cases'!C725,"")</f>
        <v/>
      </c>
      <c r="D725" t="str">
        <f>IF($A725&lt;&gt;"",'All Cases - Enter Cases'!D725,"")</f>
        <v/>
      </c>
      <c r="E725" t="str">
        <f>IF($A725&lt;&gt;"",'All Cases - Enter Cases'!E725,"")</f>
        <v/>
      </c>
      <c r="F725" t="str">
        <f>IF($A725&lt;&gt;"",'All Cases - Enter Cases'!F725,"")</f>
        <v/>
      </c>
      <c r="G725" t="str">
        <f>IF($A725&lt;&gt;"",'All Cases - Enter Cases'!G725,"")</f>
        <v/>
      </c>
      <c r="H725" t="str">
        <f>IF($A725&lt;&gt;"",'All Cases - Enter Cases'!H725,"")</f>
        <v/>
      </c>
      <c r="I725" t="str">
        <f>IF($A725&lt;&gt;"",'All Cases - Enter Cases'!I725,"")</f>
        <v/>
      </c>
      <c r="J725" t="str">
        <f>IF($A725&lt;&gt;"",'All Cases - Enter Cases'!J725,"")</f>
        <v/>
      </c>
      <c r="K725" t="str">
        <f>IF($A725&lt;&gt;"",'All Cases - Enter Cases'!K725,"")</f>
        <v/>
      </c>
      <c r="L725" t="str">
        <f>IF($A725&lt;&gt;"",'All Cases - Enter Cases'!L725,"")</f>
        <v/>
      </c>
      <c r="M725" t="str">
        <f>IF($A725&lt;&gt;"",'All Cases - Enter Cases'!M725,"")</f>
        <v/>
      </c>
    </row>
    <row r="726" spans="1:13" x14ac:dyDescent="0.35">
      <c r="A726" t="str">
        <f>IF('All Cases - Enter Cases'!$F726="KPK",'All Cases - Enter Cases'!A726,"")</f>
        <v/>
      </c>
      <c r="B726" t="str">
        <f>IF($A726&lt;&gt;"",'All Cases - Enter Cases'!B726,"")</f>
        <v/>
      </c>
      <c r="C726" t="str">
        <f>IF($A726&lt;&gt;"",'All Cases - Enter Cases'!C726,"")</f>
        <v/>
      </c>
      <c r="D726" t="str">
        <f>IF($A726&lt;&gt;"",'All Cases - Enter Cases'!D726,"")</f>
        <v/>
      </c>
      <c r="E726" t="str">
        <f>IF($A726&lt;&gt;"",'All Cases - Enter Cases'!E726,"")</f>
        <v/>
      </c>
      <c r="F726" t="str">
        <f>IF($A726&lt;&gt;"",'All Cases - Enter Cases'!F726,"")</f>
        <v/>
      </c>
      <c r="G726" t="str">
        <f>IF($A726&lt;&gt;"",'All Cases - Enter Cases'!G726,"")</f>
        <v/>
      </c>
      <c r="H726" t="str">
        <f>IF($A726&lt;&gt;"",'All Cases - Enter Cases'!H726,"")</f>
        <v/>
      </c>
      <c r="I726" t="str">
        <f>IF($A726&lt;&gt;"",'All Cases - Enter Cases'!I726,"")</f>
        <v/>
      </c>
      <c r="J726" t="str">
        <f>IF($A726&lt;&gt;"",'All Cases - Enter Cases'!J726,"")</f>
        <v/>
      </c>
      <c r="K726" t="str">
        <f>IF($A726&lt;&gt;"",'All Cases - Enter Cases'!K726,"")</f>
        <v/>
      </c>
      <c r="L726" t="str">
        <f>IF($A726&lt;&gt;"",'All Cases - Enter Cases'!L726,"")</f>
        <v/>
      </c>
      <c r="M726" t="str">
        <f>IF($A726&lt;&gt;"",'All Cases - Enter Cases'!M726,"")</f>
        <v/>
      </c>
    </row>
    <row r="727" spans="1:13" x14ac:dyDescent="0.35">
      <c r="A727" t="str">
        <f>IF('All Cases - Enter Cases'!$F727="KPK",'All Cases - Enter Cases'!A727,"")</f>
        <v/>
      </c>
      <c r="B727" t="str">
        <f>IF($A727&lt;&gt;"",'All Cases - Enter Cases'!B727,"")</f>
        <v/>
      </c>
      <c r="C727" t="str">
        <f>IF($A727&lt;&gt;"",'All Cases - Enter Cases'!C727,"")</f>
        <v/>
      </c>
      <c r="D727" t="str">
        <f>IF($A727&lt;&gt;"",'All Cases - Enter Cases'!D727,"")</f>
        <v/>
      </c>
      <c r="E727" t="str">
        <f>IF($A727&lt;&gt;"",'All Cases - Enter Cases'!E727,"")</f>
        <v/>
      </c>
      <c r="F727" t="str">
        <f>IF($A727&lt;&gt;"",'All Cases - Enter Cases'!F727,"")</f>
        <v/>
      </c>
      <c r="G727" t="str">
        <f>IF($A727&lt;&gt;"",'All Cases - Enter Cases'!G727,"")</f>
        <v/>
      </c>
      <c r="H727" t="str">
        <f>IF($A727&lt;&gt;"",'All Cases - Enter Cases'!H727,"")</f>
        <v/>
      </c>
      <c r="I727" t="str">
        <f>IF($A727&lt;&gt;"",'All Cases - Enter Cases'!I727,"")</f>
        <v/>
      </c>
      <c r="J727" t="str">
        <f>IF($A727&lt;&gt;"",'All Cases - Enter Cases'!J727,"")</f>
        <v/>
      </c>
      <c r="K727" t="str">
        <f>IF($A727&lt;&gt;"",'All Cases - Enter Cases'!K727,"")</f>
        <v/>
      </c>
      <c r="L727" t="str">
        <f>IF($A727&lt;&gt;"",'All Cases - Enter Cases'!L727,"")</f>
        <v/>
      </c>
      <c r="M727" t="str">
        <f>IF($A727&lt;&gt;"",'All Cases - Enter Cases'!M727,"")</f>
        <v/>
      </c>
    </row>
    <row r="728" spans="1:13" x14ac:dyDescent="0.35">
      <c r="A728" t="str">
        <f>IF('All Cases - Enter Cases'!$F728="KPK",'All Cases - Enter Cases'!A728,"")</f>
        <v/>
      </c>
      <c r="B728" t="str">
        <f>IF($A728&lt;&gt;"",'All Cases - Enter Cases'!B728,"")</f>
        <v/>
      </c>
      <c r="C728" t="str">
        <f>IF($A728&lt;&gt;"",'All Cases - Enter Cases'!C728,"")</f>
        <v/>
      </c>
      <c r="D728" t="str">
        <f>IF($A728&lt;&gt;"",'All Cases - Enter Cases'!D728,"")</f>
        <v/>
      </c>
      <c r="E728" t="str">
        <f>IF($A728&lt;&gt;"",'All Cases - Enter Cases'!E728,"")</f>
        <v/>
      </c>
      <c r="F728" t="str">
        <f>IF($A728&lt;&gt;"",'All Cases - Enter Cases'!F728,"")</f>
        <v/>
      </c>
      <c r="G728" t="str">
        <f>IF($A728&lt;&gt;"",'All Cases - Enter Cases'!G728,"")</f>
        <v/>
      </c>
      <c r="H728" t="str">
        <f>IF($A728&lt;&gt;"",'All Cases - Enter Cases'!H728,"")</f>
        <v/>
      </c>
      <c r="I728" t="str">
        <f>IF($A728&lt;&gt;"",'All Cases - Enter Cases'!I728,"")</f>
        <v/>
      </c>
      <c r="J728" t="str">
        <f>IF($A728&lt;&gt;"",'All Cases - Enter Cases'!J728,"")</f>
        <v/>
      </c>
      <c r="K728" t="str">
        <f>IF($A728&lt;&gt;"",'All Cases - Enter Cases'!K728,"")</f>
        <v/>
      </c>
      <c r="L728" t="str">
        <f>IF($A728&lt;&gt;"",'All Cases - Enter Cases'!L728,"")</f>
        <v/>
      </c>
      <c r="M728" t="str">
        <f>IF($A728&lt;&gt;"",'All Cases - Enter Cases'!M728,"")</f>
        <v/>
      </c>
    </row>
    <row r="729" spans="1:13" x14ac:dyDescent="0.35">
      <c r="A729" t="str">
        <f>IF('All Cases - Enter Cases'!$F729="KPK",'All Cases - Enter Cases'!A729,"")</f>
        <v/>
      </c>
      <c r="B729" t="str">
        <f>IF($A729&lt;&gt;"",'All Cases - Enter Cases'!B729,"")</f>
        <v/>
      </c>
      <c r="C729" t="str">
        <f>IF($A729&lt;&gt;"",'All Cases - Enter Cases'!C729,"")</f>
        <v/>
      </c>
      <c r="D729" t="str">
        <f>IF($A729&lt;&gt;"",'All Cases - Enter Cases'!D729,"")</f>
        <v/>
      </c>
      <c r="E729" t="str">
        <f>IF($A729&lt;&gt;"",'All Cases - Enter Cases'!E729,"")</f>
        <v/>
      </c>
      <c r="F729" t="str">
        <f>IF($A729&lt;&gt;"",'All Cases - Enter Cases'!F729,"")</f>
        <v/>
      </c>
      <c r="G729" t="str">
        <f>IF($A729&lt;&gt;"",'All Cases - Enter Cases'!G729,"")</f>
        <v/>
      </c>
      <c r="H729" t="str">
        <f>IF($A729&lt;&gt;"",'All Cases - Enter Cases'!H729,"")</f>
        <v/>
      </c>
      <c r="I729" t="str">
        <f>IF($A729&lt;&gt;"",'All Cases - Enter Cases'!I729,"")</f>
        <v/>
      </c>
      <c r="J729" t="str">
        <f>IF($A729&lt;&gt;"",'All Cases - Enter Cases'!J729,"")</f>
        <v/>
      </c>
      <c r="K729" t="str">
        <f>IF($A729&lt;&gt;"",'All Cases - Enter Cases'!K729,"")</f>
        <v/>
      </c>
      <c r="L729" t="str">
        <f>IF($A729&lt;&gt;"",'All Cases - Enter Cases'!L729,"")</f>
        <v/>
      </c>
      <c r="M729" t="str">
        <f>IF($A729&lt;&gt;"",'All Cases - Enter Cases'!M729,"")</f>
        <v/>
      </c>
    </row>
    <row r="730" spans="1:13" x14ac:dyDescent="0.35">
      <c r="A730" t="str">
        <f>IF('All Cases - Enter Cases'!$F730="KPK",'All Cases - Enter Cases'!A730,"")</f>
        <v/>
      </c>
      <c r="B730" t="str">
        <f>IF($A730&lt;&gt;"",'All Cases - Enter Cases'!B730,"")</f>
        <v/>
      </c>
      <c r="C730" t="str">
        <f>IF($A730&lt;&gt;"",'All Cases - Enter Cases'!C730,"")</f>
        <v/>
      </c>
      <c r="D730" t="str">
        <f>IF($A730&lt;&gt;"",'All Cases - Enter Cases'!D730,"")</f>
        <v/>
      </c>
      <c r="E730" t="str">
        <f>IF($A730&lt;&gt;"",'All Cases - Enter Cases'!E730,"")</f>
        <v/>
      </c>
      <c r="F730" t="str">
        <f>IF($A730&lt;&gt;"",'All Cases - Enter Cases'!F730,"")</f>
        <v/>
      </c>
      <c r="G730" t="str">
        <f>IF($A730&lt;&gt;"",'All Cases - Enter Cases'!G730,"")</f>
        <v/>
      </c>
      <c r="H730" t="str">
        <f>IF($A730&lt;&gt;"",'All Cases - Enter Cases'!H730,"")</f>
        <v/>
      </c>
      <c r="I730" t="str">
        <f>IF($A730&lt;&gt;"",'All Cases - Enter Cases'!I730,"")</f>
        <v/>
      </c>
      <c r="J730" t="str">
        <f>IF($A730&lt;&gt;"",'All Cases - Enter Cases'!J730,"")</f>
        <v/>
      </c>
      <c r="K730" t="str">
        <f>IF($A730&lt;&gt;"",'All Cases - Enter Cases'!K730,"")</f>
        <v/>
      </c>
      <c r="L730" t="str">
        <f>IF($A730&lt;&gt;"",'All Cases - Enter Cases'!L730,"")</f>
        <v/>
      </c>
      <c r="M730" t="str">
        <f>IF($A730&lt;&gt;"",'All Cases - Enter Cases'!M730,"")</f>
        <v/>
      </c>
    </row>
    <row r="731" spans="1:13" x14ac:dyDescent="0.35">
      <c r="A731" t="str">
        <f>IF('All Cases - Enter Cases'!$F731="KPK",'All Cases - Enter Cases'!A731,"")</f>
        <v/>
      </c>
      <c r="B731" t="str">
        <f>IF($A731&lt;&gt;"",'All Cases - Enter Cases'!B731,"")</f>
        <v/>
      </c>
      <c r="C731" t="str">
        <f>IF($A731&lt;&gt;"",'All Cases - Enter Cases'!C731,"")</f>
        <v/>
      </c>
      <c r="D731" t="str">
        <f>IF($A731&lt;&gt;"",'All Cases - Enter Cases'!D731,"")</f>
        <v/>
      </c>
      <c r="E731" t="str">
        <f>IF($A731&lt;&gt;"",'All Cases - Enter Cases'!E731,"")</f>
        <v/>
      </c>
      <c r="F731" t="str">
        <f>IF($A731&lt;&gt;"",'All Cases - Enter Cases'!F731,"")</f>
        <v/>
      </c>
      <c r="G731" t="str">
        <f>IF($A731&lt;&gt;"",'All Cases - Enter Cases'!G731,"")</f>
        <v/>
      </c>
      <c r="H731" t="str">
        <f>IF($A731&lt;&gt;"",'All Cases - Enter Cases'!H731,"")</f>
        <v/>
      </c>
      <c r="I731" t="str">
        <f>IF($A731&lt;&gt;"",'All Cases - Enter Cases'!I731,"")</f>
        <v/>
      </c>
      <c r="J731" t="str">
        <f>IF($A731&lt;&gt;"",'All Cases - Enter Cases'!J731,"")</f>
        <v/>
      </c>
      <c r="K731" t="str">
        <f>IF($A731&lt;&gt;"",'All Cases - Enter Cases'!K731,"")</f>
        <v/>
      </c>
      <c r="L731" t="str">
        <f>IF($A731&lt;&gt;"",'All Cases - Enter Cases'!L731,"")</f>
        <v/>
      </c>
      <c r="M731" t="str">
        <f>IF($A731&lt;&gt;"",'All Cases - Enter Cases'!M731,"")</f>
        <v/>
      </c>
    </row>
    <row r="732" spans="1:13" x14ac:dyDescent="0.35">
      <c r="A732" t="str">
        <f>IF('All Cases - Enter Cases'!$F732="KPK",'All Cases - Enter Cases'!A732,"")</f>
        <v/>
      </c>
      <c r="B732" t="str">
        <f>IF($A732&lt;&gt;"",'All Cases - Enter Cases'!B732,"")</f>
        <v/>
      </c>
      <c r="C732" t="str">
        <f>IF($A732&lt;&gt;"",'All Cases - Enter Cases'!C732,"")</f>
        <v/>
      </c>
      <c r="D732" t="str">
        <f>IF($A732&lt;&gt;"",'All Cases - Enter Cases'!D732,"")</f>
        <v/>
      </c>
      <c r="E732" t="str">
        <f>IF($A732&lt;&gt;"",'All Cases - Enter Cases'!E732,"")</f>
        <v/>
      </c>
      <c r="F732" t="str">
        <f>IF($A732&lt;&gt;"",'All Cases - Enter Cases'!F732,"")</f>
        <v/>
      </c>
      <c r="G732" t="str">
        <f>IF($A732&lt;&gt;"",'All Cases - Enter Cases'!G732,"")</f>
        <v/>
      </c>
      <c r="H732" t="str">
        <f>IF($A732&lt;&gt;"",'All Cases - Enter Cases'!H732,"")</f>
        <v/>
      </c>
      <c r="I732" t="str">
        <f>IF($A732&lt;&gt;"",'All Cases - Enter Cases'!I732,"")</f>
        <v/>
      </c>
      <c r="J732" t="str">
        <f>IF($A732&lt;&gt;"",'All Cases - Enter Cases'!J732,"")</f>
        <v/>
      </c>
      <c r="K732" t="str">
        <f>IF($A732&lt;&gt;"",'All Cases - Enter Cases'!K732,"")</f>
        <v/>
      </c>
      <c r="L732" t="str">
        <f>IF($A732&lt;&gt;"",'All Cases - Enter Cases'!L732,"")</f>
        <v/>
      </c>
      <c r="M732" t="str">
        <f>IF($A732&lt;&gt;"",'All Cases - Enter Cases'!M732,"")</f>
        <v/>
      </c>
    </row>
    <row r="733" spans="1:13" x14ac:dyDescent="0.35">
      <c r="A733" t="str">
        <f>IF('All Cases - Enter Cases'!$F733="KPK",'All Cases - Enter Cases'!A733,"")</f>
        <v/>
      </c>
      <c r="B733" t="str">
        <f>IF($A733&lt;&gt;"",'All Cases - Enter Cases'!B733,"")</f>
        <v/>
      </c>
      <c r="C733" t="str">
        <f>IF($A733&lt;&gt;"",'All Cases - Enter Cases'!C733,"")</f>
        <v/>
      </c>
      <c r="D733" t="str">
        <f>IF($A733&lt;&gt;"",'All Cases - Enter Cases'!D733,"")</f>
        <v/>
      </c>
      <c r="E733" t="str">
        <f>IF($A733&lt;&gt;"",'All Cases - Enter Cases'!E733,"")</f>
        <v/>
      </c>
      <c r="F733" t="str">
        <f>IF($A733&lt;&gt;"",'All Cases - Enter Cases'!F733,"")</f>
        <v/>
      </c>
      <c r="G733" t="str">
        <f>IF($A733&lt;&gt;"",'All Cases - Enter Cases'!G733,"")</f>
        <v/>
      </c>
      <c r="H733" t="str">
        <f>IF($A733&lt;&gt;"",'All Cases - Enter Cases'!H733,"")</f>
        <v/>
      </c>
      <c r="I733" t="str">
        <f>IF($A733&lt;&gt;"",'All Cases - Enter Cases'!I733,"")</f>
        <v/>
      </c>
      <c r="J733" t="str">
        <f>IF($A733&lt;&gt;"",'All Cases - Enter Cases'!J733,"")</f>
        <v/>
      </c>
      <c r="K733" t="str">
        <f>IF($A733&lt;&gt;"",'All Cases - Enter Cases'!K733,"")</f>
        <v/>
      </c>
      <c r="L733" t="str">
        <f>IF($A733&lt;&gt;"",'All Cases - Enter Cases'!L733,"")</f>
        <v/>
      </c>
      <c r="M733" t="str">
        <f>IF($A733&lt;&gt;"",'All Cases - Enter Cases'!M733,"")</f>
        <v/>
      </c>
    </row>
    <row r="734" spans="1:13" x14ac:dyDescent="0.35">
      <c r="A734" t="str">
        <f>IF('All Cases - Enter Cases'!$F734="KPK",'All Cases - Enter Cases'!A734,"")</f>
        <v/>
      </c>
      <c r="B734" t="str">
        <f>IF($A734&lt;&gt;"",'All Cases - Enter Cases'!B734,"")</f>
        <v/>
      </c>
      <c r="C734" t="str">
        <f>IF($A734&lt;&gt;"",'All Cases - Enter Cases'!C734,"")</f>
        <v/>
      </c>
      <c r="D734" t="str">
        <f>IF($A734&lt;&gt;"",'All Cases - Enter Cases'!D734,"")</f>
        <v/>
      </c>
      <c r="E734" t="str">
        <f>IF($A734&lt;&gt;"",'All Cases - Enter Cases'!E734,"")</f>
        <v/>
      </c>
      <c r="F734" t="str">
        <f>IF($A734&lt;&gt;"",'All Cases - Enter Cases'!F734,"")</f>
        <v/>
      </c>
      <c r="G734" t="str">
        <f>IF($A734&lt;&gt;"",'All Cases - Enter Cases'!G734,"")</f>
        <v/>
      </c>
      <c r="H734" t="str">
        <f>IF($A734&lt;&gt;"",'All Cases - Enter Cases'!H734,"")</f>
        <v/>
      </c>
      <c r="I734" t="str">
        <f>IF($A734&lt;&gt;"",'All Cases - Enter Cases'!I734,"")</f>
        <v/>
      </c>
      <c r="J734" t="str">
        <f>IF($A734&lt;&gt;"",'All Cases - Enter Cases'!J734,"")</f>
        <v/>
      </c>
      <c r="K734" t="str">
        <f>IF($A734&lt;&gt;"",'All Cases - Enter Cases'!K734,"")</f>
        <v/>
      </c>
      <c r="L734" t="str">
        <f>IF($A734&lt;&gt;"",'All Cases - Enter Cases'!L734,"")</f>
        <v/>
      </c>
      <c r="M734" t="str">
        <f>IF($A734&lt;&gt;"",'All Cases - Enter Cases'!M734,"")</f>
        <v/>
      </c>
    </row>
    <row r="735" spans="1:13" x14ac:dyDescent="0.35">
      <c r="A735" t="str">
        <f>IF('All Cases - Enter Cases'!$F735="KPK",'All Cases - Enter Cases'!A735,"")</f>
        <v/>
      </c>
      <c r="B735" t="str">
        <f>IF($A735&lt;&gt;"",'All Cases - Enter Cases'!B735,"")</f>
        <v/>
      </c>
      <c r="C735" t="str">
        <f>IF($A735&lt;&gt;"",'All Cases - Enter Cases'!C735,"")</f>
        <v/>
      </c>
      <c r="D735" t="str">
        <f>IF($A735&lt;&gt;"",'All Cases - Enter Cases'!D735,"")</f>
        <v/>
      </c>
      <c r="E735" t="str">
        <f>IF($A735&lt;&gt;"",'All Cases - Enter Cases'!E735,"")</f>
        <v/>
      </c>
      <c r="F735" t="str">
        <f>IF($A735&lt;&gt;"",'All Cases - Enter Cases'!F735,"")</f>
        <v/>
      </c>
      <c r="G735" t="str">
        <f>IF($A735&lt;&gt;"",'All Cases - Enter Cases'!G735,"")</f>
        <v/>
      </c>
      <c r="H735" t="str">
        <f>IF($A735&lt;&gt;"",'All Cases - Enter Cases'!H735,"")</f>
        <v/>
      </c>
      <c r="I735" t="str">
        <f>IF($A735&lt;&gt;"",'All Cases - Enter Cases'!I735,"")</f>
        <v/>
      </c>
      <c r="J735" t="str">
        <f>IF($A735&lt;&gt;"",'All Cases - Enter Cases'!J735,"")</f>
        <v/>
      </c>
      <c r="K735" t="str">
        <f>IF($A735&lt;&gt;"",'All Cases - Enter Cases'!K735,"")</f>
        <v/>
      </c>
      <c r="L735" t="str">
        <f>IF($A735&lt;&gt;"",'All Cases - Enter Cases'!L735,"")</f>
        <v/>
      </c>
      <c r="M735" t="str">
        <f>IF($A735&lt;&gt;"",'All Cases - Enter Cases'!M735,"")</f>
        <v/>
      </c>
    </row>
    <row r="736" spans="1:13" x14ac:dyDescent="0.35">
      <c r="A736" t="str">
        <f>IF('All Cases - Enter Cases'!$F736="KPK",'All Cases - Enter Cases'!A736,"")</f>
        <v/>
      </c>
      <c r="B736" t="str">
        <f>IF($A736&lt;&gt;"",'All Cases - Enter Cases'!B736,"")</f>
        <v/>
      </c>
      <c r="C736" t="str">
        <f>IF($A736&lt;&gt;"",'All Cases - Enter Cases'!C736,"")</f>
        <v/>
      </c>
      <c r="D736" t="str">
        <f>IF($A736&lt;&gt;"",'All Cases - Enter Cases'!D736,"")</f>
        <v/>
      </c>
      <c r="E736" t="str">
        <f>IF($A736&lt;&gt;"",'All Cases - Enter Cases'!E736,"")</f>
        <v/>
      </c>
      <c r="F736" t="str">
        <f>IF($A736&lt;&gt;"",'All Cases - Enter Cases'!F736,"")</f>
        <v/>
      </c>
      <c r="G736" t="str">
        <f>IF($A736&lt;&gt;"",'All Cases - Enter Cases'!G736,"")</f>
        <v/>
      </c>
      <c r="H736" t="str">
        <f>IF($A736&lt;&gt;"",'All Cases - Enter Cases'!H736,"")</f>
        <v/>
      </c>
      <c r="I736" t="str">
        <f>IF($A736&lt;&gt;"",'All Cases - Enter Cases'!I736,"")</f>
        <v/>
      </c>
      <c r="J736" t="str">
        <f>IF($A736&lt;&gt;"",'All Cases - Enter Cases'!J736,"")</f>
        <v/>
      </c>
      <c r="K736" t="str">
        <f>IF($A736&lt;&gt;"",'All Cases - Enter Cases'!K736,"")</f>
        <v/>
      </c>
      <c r="L736" t="str">
        <f>IF($A736&lt;&gt;"",'All Cases - Enter Cases'!L736,"")</f>
        <v/>
      </c>
      <c r="M736" t="str">
        <f>IF($A736&lt;&gt;"",'All Cases - Enter Cases'!M736,"")</f>
        <v/>
      </c>
    </row>
    <row r="737" spans="1:13" x14ac:dyDescent="0.35">
      <c r="A737" t="str">
        <f>IF('All Cases - Enter Cases'!$F737="KPK",'All Cases - Enter Cases'!A737,"")</f>
        <v/>
      </c>
      <c r="B737" t="str">
        <f>IF($A737&lt;&gt;"",'All Cases - Enter Cases'!B737,"")</f>
        <v/>
      </c>
      <c r="C737" t="str">
        <f>IF($A737&lt;&gt;"",'All Cases - Enter Cases'!C737,"")</f>
        <v/>
      </c>
      <c r="D737" t="str">
        <f>IF($A737&lt;&gt;"",'All Cases - Enter Cases'!D737,"")</f>
        <v/>
      </c>
      <c r="E737" t="str">
        <f>IF($A737&lt;&gt;"",'All Cases - Enter Cases'!E737,"")</f>
        <v/>
      </c>
      <c r="F737" t="str">
        <f>IF($A737&lt;&gt;"",'All Cases - Enter Cases'!F737,"")</f>
        <v/>
      </c>
      <c r="G737" t="str">
        <f>IF($A737&lt;&gt;"",'All Cases - Enter Cases'!G737,"")</f>
        <v/>
      </c>
      <c r="H737" t="str">
        <f>IF($A737&lt;&gt;"",'All Cases - Enter Cases'!H737,"")</f>
        <v/>
      </c>
      <c r="I737" t="str">
        <f>IF($A737&lt;&gt;"",'All Cases - Enter Cases'!I737,"")</f>
        <v/>
      </c>
      <c r="J737" t="str">
        <f>IF($A737&lt;&gt;"",'All Cases - Enter Cases'!J737,"")</f>
        <v/>
      </c>
      <c r="K737" t="str">
        <f>IF($A737&lt;&gt;"",'All Cases - Enter Cases'!K737,"")</f>
        <v/>
      </c>
      <c r="L737" t="str">
        <f>IF($A737&lt;&gt;"",'All Cases - Enter Cases'!L737,"")</f>
        <v/>
      </c>
      <c r="M737" t="str">
        <f>IF($A737&lt;&gt;"",'All Cases - Enter Cases'!M737,"")</f>
        <v/>
      </c>
    </row>
    <row r="738" spans="1:13" x14ac:dyDescent="0.35">
      <c r="A738" t="str">
        <f>IF('All Cases - Enter Cases'!$F738="KPK",'All Cases - Enter Cases'!A738,"")</f>
        <v/>
      </c>
      <c r="B738" t="str">
        <f>IF($A738&lt;&gt;"",'All Cases - Enter Cases'!B738,"")</f>
        <v/>
      </c>
      <c r="C738" t="str">
        <f>IF($A738&lt;&gt;"",'All Cases - Enter Cases'!C738,"")</f>
        <v/>
      </c>
      <c r="D738" t="str">
        <f>IF($A738&lt;&gt;"",'All Cases - Enter Cases'!D738,"")</f>
        <v/>
      </c>
      <c r="E738" t="str">
        <f>IF($A738&lt;&gt;"",'All Cases - Enter Cases'!E738,"")</f>
        <v/>
      </c>
      <c r="F738" t="str">
        <f>IF($A738&lt;&gt;"",'All Cases - Enter Cases'!F738,"")</f>
        <v/>
      </c>
      <c r="G738" t="str">
        <f>IF($A738&lt;&gt;"",'All Cases - Enter Cases'!G738,"")</f>
        <v/>
      </c>
      <c r="H738" t="str">
        <f>IF($A738&lt;&gt;"",'All Cases - Enter Cases'!H738,"")</f>
        <v/>
      </c>
      <c r="I738" t="str">
        <f>IF($A738&lt;&gt;"",'All Cases - Enter Cases'!I738,"")</f>
        <v/>
      </c>
      <c r="J738" t="str">
        <f>IF($A738&lt;&gt;"",'All Cases - Enter Cases'!J738,"")</f>
        <v/>
      </c>
      <c r="K738" t="str">
        <f>IF($A738&lt;&gt;"",'All Cases - Enter Cases'!K738,"")</f>
        <v/>
      </c>
      <c r="L738" t="str">
        <f>IF($A738&lt;&gt;"",'All Cases - Enter Cases'!L738,"")</f>
        <v/>
      </c>
      <c r="M738" t="str">
        <f>IF($A738&lt;&gt;"",'All Cases - Enter Cases'!M738,"")</f>
        <v/>
      </c>
    </row>
    <row r="739" spans="1:13" x14ac:dyDescent="0.35">
      <c r="A739" t="str">
        <f>IF('All Cases - Enter Cases'!$F739="KPK",'All Cases - Enter Cases'!A739,"")</f>
        <v/>
      </c>
      <c r="B739" t="str">
        <f>IF($A739&lt;&gt;"",'All Cases - Enter Cases'!B739,"")</f>
        <v/>
      </c>
      <c r="C739" t="str">
        <f>IF($A739&lt;&gt;"",'All Cases - Enter Cases'!C739,"")</f>
        <v/>
      </c>
      <c r="D739" t="str">
        <f>IF($A739&lt;&gt;"",'All Cases - Enter Cases'!D739,"")</f>
        <v/>
      </c>
      <c r="E739" t="str">
        <f>IF($A739&lt;&gt;"",'All Cases - Enter Cases'!E739,"")</f>
        <v/>
      </c>
      <c r="F739" t="str">
        <f>IF($A739&lt;&gt;"",'All Cases - Enter Cases'!F739,"")</f>
        <v/>
      </c>
      <c r="G739" t="str">
        <f>IF($A739&lt;&gt;"",'All Cases - Enter Cases'!G739,"")</f>
        <v/>
      </c>
      <c r="H739" t="str">
        <f>IF($A739&lt;&gt;"",'All Cases - Enter Cases'!H739,"")</f>
        <v/>
      </c>
      <c r="I739" t="str">
        <f>IF($A739&lt;&gt;"",'All Cases - Enter Cases'!I739,"")</f>
        <v/>
      </c>
      <c r="J739" t="str">
        <f>IF($A739&lt;&gt;"",'All Cases - Enter Cases'!J739,"")</f>
        <v/>
      </c>
      <c r="K739" t="str">
        <f>IF($A739&lt;&gt;"",'All Cases - Enter Cases'!K739,"")</f>
        <v/>
      </c>
      <c r="L739" t="str">
        <f>IF($A739&lt;&gt;"",'All Cases - Enter Cases'!L739,"")</f>
        <v/>
      </c>
      <c r="M739" t="str">
        <f>IF($A739&lt;&gt;"",'All Cases - Enter Cases'!M739,"")</f>
        <v/>
      </c>
    </row>
    <row r="740" spans="1:13" x14ac:dyDescent="0.35">
      <c r="A740" t="str">
        <f>IF('All Cases - Enter Cases'!$F740="KPK",'All Cases - Enter Cases'!A740,"")</f>
        <v/>
      </c>
      <c r="B740" t="str">
        <f>IF($A740&lt;&gt;"",'All Cases - Enter Cases'!B740,"")</f>
        <v/>
      </c>
      <c r="C740" t="str">
        <f>IF($A740&lt;&gt;"",'All Cases - Enter Cases'!C740,"")</f>
        <v/>
      </c>
      <c r="D740" t="str">
        <f>IF($A740&lt;&gt;"",'All Cases - Enter Cases'!D740,"")</f>
        <v/>
      </c>
      <c r="E740" t="str">
        <f>IF($A740&lt;&gt;"",'All Cases - Enter Cases'!E740,"")</f>
        <v/>
      </c>
      <c r="F740" t="str">
        <f>IF($A740&lt;&gt;"",'All Cases - Enter Cases'!F740,"")</f>
        <v/>
      </c>
      <c r="G740" t="str">
        <f>IF($A740&lt;&gt;"",'All Cases - Enter Cases'!G740,"")</f>
        <v/>
      </c>
      <c r="H740" t="str">
        <f>IF($A740&lt;&gt;"",'All Cases - Enter Cases'!H740,"")</f>
        <v/>
      </c>
      <c r="I740" t="str">
        <f>IF($A740&lt;&gt;"",'All Cases - Enter Cases'!I740,"")</f>
        <v/>
      </c>
      <c r="J740" t="str">
        <f>IF($A740&lt;&gt;"",'All Cases - Enter Cases'!J740,"")</f>
        <v/>
      </c>
      <c r="K740" t="str">
        <f>IF($A740&lt;&gt;"",'All Cases - Enter Cases'!K740,"")</f>
        <v/>
      </c>
      <c r="L740" t="str">
        <f>IF($A740&lt;&gt;"",'All Cases - Enter Cases'!L740,"")</f>
        <v/>
      </c>
      <c r="M740" t="str">
        <f>IF($A740&lt;&gt;"",'All Cases - Enter Cases'!M740,"")</f>
        <v/>
      </c>
    </row>
    <row r="741" spans="1:13" x14ac:dyDescent="0.35">
      <c r="A741" t="str">
        <f>IF('All Cases - Enter Cases'!$F741="KPK",'All Cases - Enter Cases'!A741,"")</f>
        <v/>
      </c>
      <c r="B741" t="str">
        <f>IF($A741&lt;&gt;"",'All Cases - Enter Cases'!B741,"")</f>
        <v/>
      </c>
      <c r="C741" t="str">
        <f>IF($A741&lt;&gt;"",'All Cases - Enter Cases'!C741,"")</f>
        <v/>
      </c>
      <c r="D741" t="str">
        <f>IF($A741&lt;&gt;"",'All Cases - Enter Cases'!D741,"")</f>
        <v/>
      </c>
      <c r="E741" t="str">
        <f>IF($A741&lt;&gt;"",'All Cases - Enter Cases'!E741,"")</f>
        <v/>
      </c>
      <c r="F741" t="str">
        <f>IF($A741&lt;&gt;"",'All Cases - Enter Cases'!F741,"")</f>
        <v/>
      </c>
      <c r="G741" t="str">
        <f>IF($A741&lt;&gt;"",'All Cases - Enter Cases'!G741,"")</f>
        <v/>
      </c>
      <c r="H741" t="str">
        <f>IF($A741&lt;&gt;"",'All Cases - Enter Cases'!H741,"")</f>
        <v/>
      </c>
      <c r="I741" t="str">
        <f>IF($A741&lt;&gt;"",'All Cases - Enter Cases'!I741,"")</f>
        <v/>
      </c>
      <c r="J741" t="str">
        <f>IF($A741&lt;&gt;"",'All Cases - Enter Cases'!J741,"")</f>
        <v/>
      </c>
      <c r="K741" t="str">
        <f>IF($A741&lt;&gt;"",'All Cases - Enter Cases'!K741,"")</f>
        <v/>
      </c>
      <c r="L741" t="str">
        <f>IF($A741&lt;&gt;"",'All Cases - Enter Cases'!L741,"")</f>
        <v/>
      </c>
      <c r="M741" t="str">
        <f>IF($A741&lt;&gt;"",'All Cases - Enter Cases'!M741,"")</f>
        <v/>
      </c>
    </row>
    <row r="742" spans="1:13" x14ac:dyDescent="0.35">
      <c r="A742" t="str">
        <f>IF('All Cases - Enter Cases'!$F742="KPK",'All Cases - Enter Cases'!A742,"")</f>
        <v/>
      </c>
      <c r="B742" t="str">
        <f>IF($A742&lt;&gt;"",'All Cases - Enter Cases'!B742,"")</f>
        <v/>
      </c>
      <c r="C742" t="str">
        <f>IF($A742&lt;&gt;"",'All Cases - Enter Cases'!C742,"")</f>
        <v/>
      </c>
      <c r="D742" t="str">
        <f>IF($A742&lt;&gt;"",'All Cases - Enter Cases'!D742,"")</f>
        <v/>
      </c>
      <c r="E742" t="str">
        <f>IF($A742&lt;&gt;"",'All Cases - Enter Cases'!E742,"")</f>
        <v/>
      </c>
      <c r="F742" t="str">
        <f>IF($A742&lt;&gt;"",'All Cases - Enter Cases'!F742,"")</f>
        <v/>
      </c>
      <c r="G742" t="str">
        <f>IF($A742&lt;&gt;"",'All Cases - Enter Cases'!G742,"")</f>
        <v/>
      </c>
      <c r="H742" t="str">
        <f>IF($A742&lt;&gt;"",'All Cases - Enter Cases'!H742,"")</f>
        <v/>
      </c>
      <c r="I742" t="str">
        <f>IF($A742&lt;&gt;"",'All Cases - Enter Cases'!I742,"")</f>
        <v/>
      </c>
      <c r="J742" t="str">
        <f>IF($A742&lt;&gt;"",'All Cases - Enter Cases'!J742,"")</f>
        <v/>
      </c>
      <c r="K742" t="str">
        <f>IF($A742&lt;&gt;"",'All Cases - Enter Cases'!K742,"")</f>
        <v/>
      </c>
      <c r="L742" t="str">
        <f>IF($A742&lt;&gt;"",'All Cases - Enter Cases'!L742,"")</f>
        <v/>
      </c>
      <c r="M742" t="str">
        <f>IF($A742&lt;&gt;"",'All Cases - Enter Cases'!M742,"")</f>
        <v/>
      </c>
    </row>
    <row r="743" spans="1:13" x14ac:dyDescent="0.35">
      <c r="A743" t="str">
        <f>IF('All Cases - Enter Cases'!$F743="KPK",'All Cases - Enter Cases'!A743,"")</f>
        <v/>
      </c>
      <c r="B743" t="str">
        <f>IF($A743&lt;&gt;"",'All Cases - Enter Cases'!B743,"")</f>
        <v/>
      </c>
      <c r="C743" t="str">
        <f>IF($A743&lt;&gt;"",'All Cases - Enter Cases'!C743,"")</f>
        <v/>
      </c>
      <c r="D743" t="str">
        <f>IF($A743&lt;&gt;"",'All Cases - Enter Cases'!D743,"")</f>
        <v/>
      </c>
      <c r="E743" t="str">
        <f>IF($A743&lt;&gt;"",'All Cases - Enter Cases'!E743,"")</f>
        <v/>
      </c>
      <c r="F743" t="str">
        <f>IF($A743&lt;&gt;"",'All Cases - Enter Cases'!F743,"")</f>
        <v/>
      </c>
      <c r="G743" t="str">
        <f>IF($A743&lt;&gt;"",'All Cases - Enter Cases'!G743,"")</f>
        <v/>
      </c>
      <c r="H743" t="str">
        <f>IF($A743&lt;&gt;"",'All Cases - Enter Cases'!H743,"")</f>
        <v/>
      </c>
      <c r="I743" t="str">
        <f>IF($A743&lt;&gt;"",'All Cases - Enter Cases'!I743,"")</f>
        <v/>
      </c>
      <c r="J743" t="str">
        <f>IF($A743&lt;&gt;"",'All Cases - Enter Cases'!J743,"")</f>
        <v/>
      </c>
      <c r="K743" t="str">
        <f>IF($A743&lt;&gt;"",'All Cases - Enter Cases'!K743,"")</f>
        <v/>
      </c>
      <c r="L743" t="str">
        <f>IF($A743&lt;&gt;"",'All Cases - Enter Cases'!L743,"")</f>
        <v/>
      </c>
      <c r="M743" t="str">
        <f>IF($A743&lt;&gt;"",'All Cases - Enter Cases'!M743,"")</f>
        <v/>
      </c>
    </row>
    <row r="744" spans="1:13" x14ac:dyDescent="0.35">
      <c r="A744" t="str">
        <f>IF('All Cases - Enter Cases'!$F744="KPK",'All Cases - Enter Cases'!A744,"")</f>
        <v/>
      </c>
      <c r="B744" t="str">
        <f>IF($A744&lt;&gt;"",'All Cases - Enter Cases'!B744,"")</f>
        <v/>
      </c>
      <c r="C744" t="str">
        <f>IF($A744&lt;&gt;"",'All Cases - Enter Cases'!C744,"")</f>
        <v/>
      </c>
      <c r="D744" t="str">
        <f>IF($A744&lt;&gt;"",'All Cases - Enter Cases'!D744,"")</f>
        <v/>
      </c>
      <c r="E744" t="str">
        <f>IF($A744&lt;&gt;"",'All Cases - Enter Cases'!E744,"")</f>
        <v/>
      </c>
      <c r="F744" t="str">
        <f>IF($A744&lt;&gt;"",'All Cases - Enter Cases'!F744,"")</f>
        <v/>
      </c>
      <c r="G744" t="str">
        <f>IF($A744&lt;&gt;"",'All Cases - Enter Cases'!G744,"")</f>
        <v/>
      </c>
      <c r="H744" t="str">
        <f>IF($A744&lt;&gt;"",'All Cases - Enter Cases'!H744,"")</f>
        <v/>
      </c>
      <c r="I744" t="str">
        <f>IF($A744&lt;&gt;"",'All Cases - Enter Cases'!I744,"")</f>
        <v/>
      </c>
      <c r="J744" t="str">
        <f>IF($A744&lt;&gt;"",'All Cases - Enter Cases'!J744,"")</f>
        <v/>
      </c>
      <c r="K744" t="str">
        <f>IF($A744&lt;&gt;"",'All Cases - Enter Cases'!K744,"")</f>
        <v/>
      </c>
      <c r="L744" t="str">
        <f>IF($A744&lt;&gt;"",'All Cases - Enter Cases'!L744,"")</f>
        <v/>
      </c>
      <c r="M744" t="str">
        <f>IF($A744&lt;&gt;"",'All Cases - Enter Cases'!M744,"")</f>
        <v/>
      </c>
    </row>
    <row r="745" spans="1:13" x14ac:dyDescent="0.35">
      <c r="A745" t="str">
        <f>IF('All Cases - Enter Cases'!$F745="KPK",'All Cases - Enter Cases'!A745,"")</f>
        <v/>
      </c>
      <c r="B745" t="str">
        <f>IF($A745&lt;&gt;"",'All Cases - Enter Cases'!B745,"")</f>
        <v/>
      </c>
      <c r="C745" t="str">
        <f>IF($A745&lt;&gt;"",'All Cases - Enter Cases'!C745,"")</f>
        <v/>
      </c>
      <c r="D745" t="str">
        <f>IF($A745&lt;&gt;"",'All Cases - Enter Cases'!D745,"")</f>
        <v/>
      </c>
      <c r="E745" t="str">
        <f>IF($A745&lt;&gt;"",'All Cases - Enter Cases'!E745,"")</f>
        <v/>
      </c>
      <c r="F745" t="str">
        <f>IF($A745&lt;&gt;"",'All Cases - Enter Cases'!F745,"")</f>
        <v/>
      </c>
      <c r="G745" t="str">
        <f>IF($A745&lt;&gt;"",'All Cases - Enter Cases'!G745,"")</f>
        <v/>
      </c>
      <c r="H745" t="str">
        <f>IF($A745&lt;&gt;"",'All Cases - Enter Cases'!H745,"")</f>
        <v/>
      </c>
      <c r="I745" t="str">
        <f>IF($A745&lt;&gt;"",'All Cases - Enter Cases'!I745,"")</f>
        <v/>
      </c>
      <c r="J745" t="str">
        <f>IF($A745&lt;&gt;"",'All Cases - Enter Cases'!J745,"")</f>
        <v/>
      </c>
      <c r="K745" t="str">
        <f>IF($A745&lt;&gt;"",'All Cases - Enter Cases'!K745,"")</f>
        <v/>
      </c>
      <c r="L745" t="str">
        <f>IF($A745&lt;&gt;"",'All Cases - Enter Cases'!L745,"")</f>
        <v/>
      </c>
      <c r="M745" t="str">
        <f>IF($A745&lt;&gt;"",'All Cases - Enter Cases'!M745,"")</f>
        <v/>
      </c>
    </row>
    <row r="746" spans="1:13" x14ac:dyDescent="0.35">
      <c r="A746" t="str">
        <f>IF('All Cases - Enter Cases'!$F746="KPK",'All Cases - Enter Cases'!A746,"")</f>
        <v/>
      </c>
      <c r="B746" t="str">
        <f>IF($A746&lt;&gt;"",'All Cases - Enter Cases'!B746,"")</f>
        <v/>
      </c>
      <c r="C746" t="str">
        <f>IF($A746&lt;&gt;"",'All Cases - Enter Cases'!C746,"")</f>
        <v/>
      </c>
      <c r="D746" t="str">
        <f>IF($A746&lt;&gt;"",'All Cases - Enter Cases'!D746,"")</f>
        <v/>
      </c>
      <c r="E746" t="str">
        <f>IF($A746&lt;&gt;"",'All Cases - Enter Cases'!E746,"")</f>
        <v/>
      </c>
      <c r="F746" t="str">
        <f>IF($A746&lt;&gt;"",'All Cases - Enter Cases'!F746,"")</f>
        <v/>
      </c>
      <c r="G746" t="str">
        <f>IF($A746&lt;&gt;"",'All Cases - Enter Cases'!G746,"")</f>
        <v/>
      </c>
      <c r="H746" t="str">
        <f>IF($A746&lt;&gt;"",'All Cases - Enter Cases'!H746,"")</f>
        <v/>
      </c>
      <c r="I746" t="str">
        <f>IF($A746&lt;&gt;"",'All Cases - Enter Cases'!I746,"")</f>
        <v/>
      </c>
      <c r="J746" t="str">
        <f>IF($A746&lt;&gt;"",'All Cases - Enter Cases'!J746,"")</f>
        <v/>
      </c>
      <c r="K746" t="str">
        <f>IF($A746&lt;&gt;"",'All Cases - Enter Cases'!K746,"")</f>
        <v/>
      </c>
      <c r="L746" t="str">
        <f>IF($A746&lt;&gt;"",'All Cases - Enter Cases'!L746,"")</f>
        <v/>
      </c>
      <c r="M746" t="str">
        <f>IF($A746&lt;&gt;"",'All Cases - Enter Cases'!M746,"")</f>
        <v/>
      </c>
    </row>
    <row r="747" spans="1:13" x14ac:dyDescent="0.35">
      <c r="A747" t="str">
        <f>IF('All Cases - Enter Cases'!$F747="KPK",'All Cases - Enter Cases'!A747,"")</f>
        <v/>
      </c>
      <c r="B747" t="str">
        <f>IF($A747&lt;&gt;"",'All Cases - Enter Cases'!B747,"")</f>
        <v/>
      </c>
      <c r="C747" t="str">
        <f>IF($A747&lt;&gt;"",'All Cases - Enter Cases'!C747,"")</f>
        <v/>
      </c>
      <c r="D747" t="str">
        <f>IF($A747&lt;&gt;"",'All Cases - Enter Cases'!D747,"")</f>
        <v/>
      </c>
      <c r="E747" t="str">
        <f>IF($A747&lt;&gt;"",'All Cases - Enter Cases'!E747,"")</f>
        <v/>
      </c>
      <c r="F747" t="str">
        <f>IF($A747&lt;&gt;"",'All Cases - Enter Cases'!F747,"")</f>
        <v/>
      </c>
      <c r="G747" t="str">
        <f>IF($A747&lt;&gt;"",'All Cases - Enter Cases'!G747,"")</f>
        <v/>
      </c>
      <c r="H747" t="str">
        <f>IF($A747&lt;&gt;"",'All Cases - Enter Cases'!H747,"")</f>
        <v/>
      </c>
      <c r="I747" t="str">
        <f>IF($A747&lt;&gt;"",'All Cases - Enter Cases'!I747,"")</f>
        <v/>
      </c>
      <c r="J747" t="str">
        <f>IF($A747&lt;&gt;"",'All Cases - Enter Cases'!J747,"")</f>
        <v/>
      </c>
      <c r="K747" t="str">
        <f>IF($A747&lt;&gt;"",'All Cases - Enter Cases'!K747,"")</f>
        <v/>
      </c>
      <c r="L747" t="str">
        <f>IF($A747&lt;&gt;"",'All Cases - Enter Cases'!L747,"")</f>
        <v/>
      </c>
      <c r="M747" t="str">
        <f>IF($A747&lt;&gt;"",'All Cases - Enter Cases'!M747,"")</f>
        <v/>
      </c>
    </row>
    <row r="748" spans="1:13" x14ac:dyDescent="0.35">
      <c r="A748" t="str">
        <f>IF('All Cases - Enter Cases'!$F748="KPK",'All Cases - Enter Cases'!A748,"")</f>
        <v/>
      </c>
      <c r="B748" t="str">
        <f>IF($A748&lt;&gt;"",'All Cases - Enter Cases'!B748,"")</f>
        <v/>
      </c>
      <c r="C748" t="str">
        <f>IF($A748&lt;&gt;"",'All Cases - Enter Cases'!C748,"")</f>
        <v/>
      </c>
      <c r="D748" t="str">
        <f>IF($A748&lt;&gt;"",'All Cases - Enter Cases'!D748,"")</f>
        <v/>
      </c>
      <c r="E748" t="str">
        <f>IF($A748&lt;&gt;"",'All Cases - Enter Cases'!E748,"")</f>
        <v/>
      </c>
      <c r="F748" t="str">
        <f>IF($A748&lt;&gt;"",'All Cases - Enter Cases'!F748,"")</f>
        <v/>
      </c>
      <c r="G748" t="str">
        <f>IF($A748&lt;&gt;"",'All Cases - Enter Cases'!G748,"")</f>
        <v/>
      </c>
      <c r="H748" t="str">
        <f>IF($A748&lt;&gt;"",'All Cases - Enter Cases'!H748,"")</f>
        <v/>
      </c>
      <c r="I748" t="str">
        <f>IF($A748&lt;&gt;"",'All Cases - Enter Cases'!I748,"")</f>
        <v/>
      </c>
      <c r="J748" t="str">
        <f>IF($A748&lt;&gt;"",'All Cases - Enter Cases'!J748,"")</f>
        <v/>
      </c>
      <c r="K748" t="str">
        <f>IF($A748&lt;&gt;"",'All Cases - Enter Cases'!K748,"")</f>
        <v/>
      </c>
      <c r="L748" t="str">
        <f>IF($A748&lt;&gt;"",'All Cases - Enter Cases'!L748,"")</f>
        <v/>
      </c>
      <c r="M748" t="str">
        <f>IF($A748&lt;&gt;"",'All Cases - Enter Cases'!M748,"")</f>
        <v/>
      </c>
    </row>
    <row r="749" spans="1:13" x14ac:dyDescent="0.35">
      <c r="A749" t="str">
        <f>IF('All Cases - Enter Cases'!$F749="KPK",'All Cases - Enter Cases'!A749,"")</f>
        <v/>
      </c>
      <c r="B749" t="str">
        <f>IF($A749&lt;&gt;"",'All Cases - Enter Cases'!B749,"")</f>
        <v/>
      </c>
      <c r="C749" t="str">
        <f>IF($A749&lt;&gt;"",'All Cases - Enter Cases'!C749,"")</f>
        <v/>
      </c>
      <c r="D749" t="str">
        <f>IF($A749&lt;&gt;"",'All Cases - Enter Cases'!D749,"")</f>
        <v/>
      </c>
      <c r="E749" t="str">
        <f>IF($A749&lt;&gt;"",'All Cases - Enter Cases'!E749,"")</f>
        <v/>
      </c>
      <c r="F749" t="str">
        <f>IF($A749&lt;&gt;"",'All Cases - Enter Cases'!F749,"")</f>
        <v/>
      </c>
      <c r="G749" t="str">
        <f>IF($A749&lt;&gt;"",'All Cases - Enter Cases'!G749,"")</f>
        <v/>
      </c>
      <c r="H749" t="str">
        <f>IF($A749&lt;&gt;"",'All Cases - Enter Cases'!H749,"")</f>
        <v/>
      </c>
      <c r="I749" t="str">
        <f>IF($A749&lt;&gt;"",'All Cases - Enter Cases'!I749,"")</f>
        <v/>
      </c>
      <c r="J749" t="str">
        <f>IF($A749&lt;&gt;"",'All Cases - Enter Cases'!J749,"")</f>
        <v/>
      </c>
      <c r="K749" t="str">
        <f>IF($A749&lt;&gt;"",'All Cases - Enter Cases'!K749,"")</f>
        <v/>
      </c>
      <c r="L749" t="str">
        <f>IF($A749&lt;&gt;"",'All Cases - Enter Cases'!L749,"")</f>
        <v/>
      </c>
      <c r="M749" t="str">
        <f>IF($A749&lt;&gt;"",'All Cases - Enter Cases'!M749,"")</f>
        <v/>
      </c>
    </row>
    <row r="750" spans="1:13" x14ac:dyDescent="0.35">
      <c r="A750" t="str">
        <f>IF('All Cases - Enter Cases'!$F750="KPK",'All Cases - Enter Cases'!A750,"")</f>
        <v/>
      </c>
      <c r="B750" t="str">
        <f>IF($A750&lt;&gt;"",'All Cases - Enter Cases'!B750,"")</f>
        <v/>
      </c>
      <c r="C750" t="str">
        <f>IF($A750&lt;&gt;"",'All Cases - Enter Cases'!C750,"")</f>
        <v/>
      </c>
      <c r="D750" t="str">
        <f>IF($A750&lt;&gt;"",'All Cases - Enter Cases'!D750,"")</f>
        <v/>
      </c>
      <c r="E750" t="str">
        <f>IF($A750&lt;&gt;"",'All Cases - Enter Cases'!E750,"")</f>
        <v/>
      </c>
      <c r="F750" t="str">
        <f>IF($A750&lt;&gt;"",'All Cases - Enter Cases'!F750,"")</f>
        <v/>
      </c>
      <c r="G750" t="str">
        <f>IF($A750&lt;&gt;"",'All Cases - Enter Cases'!G750,"")</f>
        <v/>
      </c>
      <c r="H750" t="str">
        <f>IF($A750&lt;&gt;"",'All Cases - Enter Cases'!H750,"")</f>
        <v/>
      </c>
      <c r="I750" t="str">
        <f>IF($A750&lt;&gt;"",'All Cases - Enter Cases'!I750,"")</f>
        <v/>
      </c>
      <c r="J750" t="str">
        <f>IF($A750&lt;&gt;"",'All Cases - Enter Cases'!J750,"")</f>
        <v/>
      </c>
      <c r="K750" t="str">
        <f>IF($A750&lt;&gt;"",'All Cases - Enter Cases'!K750,"")</f>
        <v/>
      </c>
      <c r="L750" t="str">
        <f>IF($A750&lt;&gt;"",'All Cases - Enter Cases'!L750,"")</f>
        <v/>
      </c>
      <c r="M750" t="str">
        <f>IF($A750&lt;&gt;"",'All Cases - Enter Cases'!M750,"")</f>
        <v/>
      </c>
    </row>
    <row r="751" spans="1:13" x14ac:dyDescent="0.35">
      <c r="A751" t="str">
        <f>IF('All Cases - Enter Cases'!$F751="KPK",'All Cases - Enter Cases'!A751,"")</f>
        <v/>
      </c>
      <c r="B751" t="str">
        <f>IF($A751&lt;&gt;"",'All Cases - Enter Cases'!B751,"")</f>
        <v/>
      </c>
      <c r="C751" t="str">
        <f>IF($A751&lt;&gt;"",'All Cases - Enter Cases'!C751,"")</f>
        <v/>
      </c>
      <c r="D751" t="str">
        <f>IF($A751&lt;&gt;"",'All Cases - Enter Cases'!D751,"")</f>
        <v/>
      </c>
      <c r="E751" t="str">
        <f>IF($A751&lt;&gt;"",'All Cases - Enter Cases'!E751,"")</f>
        <v/>
      </c>
      <c r="F751" t="str">
        <f>IF($A751&lt;&gt;"",'All Cases - Enter Cases'!F751,"")</f>
        <v/>
      </c>
      <c r="G751" t="str">
        <f>IF($A751&lt;&gt;"",'All Cases - Enter Cases'!G751,"")</f>
        <v/>
      </c>
      <c r="H751" t="str">
        <f>IF($A751&lt;&gt;"",'All Cases - Enter Cases'!H751,"")</f>
        <v/>
      </c>
      <c r="I751" t="str">
        <f>IF($A751&lt;&gt;"",'All Cases - Enter Cases'!I751,"")</f>
        <v/>
      </c>
      <c r="J751" t="str">
        <f>IF($A751&lt;&gt;"",'All Cases - Enter Cases'!J751,"")</f>
        <v/>
      </c>
      <c r="K751" t="str">
        <f>IF($A751&lt;&gt;"",'All Cases - Enter Cases'!K751,"")</f>
        <v/>
      </c>
      <c r="L751" t="str">
        <f>IF($A751&lt;&gt;"",'All Cases - Enter Cases'!L751,"")</f>
        <v/>
      </c>
      <c r="M751" t="str">
        <f>IF($A751&lt;&gt;"",'All Cases - Enter Cases'!M751,"")</f>
        <v/>
      </c>
    </row>
    <row r="752" spans="1:13" x14ac:dyDescent="0.35">
      <c r="A752" t="str">
        <f>IF('All Cases - Enter Cases'!$F752="KPK",'All Cases - Enter Cases'!A752,"")</f>
        <v/>
      </c>
      <c r="B752" t="str">
        <f>IF($A752&lt;&gt;"",'All Cases - Enter Cases'!B752,"")</f>
        <v/>
      </c>
      <c r="C752" t="str">
        <f>IF($A752&lt;&gt;"",'All Cases - Enter Cases'!C752,"")</f>
        <v/>
      </c>
      <c r="D752" t="str">
        <f>IF($A752&lt;&gt;"",'All Cases - Enter Cases'!D752,"")</f>
        <v/>
      </c>
      <c r="E752" t="str">
        <f>IF($A752&lt;&gt;"",'All Cases - Enter Cases'!E752,"")</f>
        <v/>
      </c>
      <c r="F752" t="str">
        <f>IF($A752&lt;&gt;"",'All Cases - Enter Cases'!F752,"")</f>
        <v/>
      </c>
      <c r="G752" t="str">
        <f>IF($A752&lt;&gt;"",'All Cases - Enter Cases'!G752,"")</f>
        <v/>
      </c>
      <c r="H752" t="str">
        <f>IF($A752&lt;&gt;"",'All Cases - Enter Cases'!H752,"")</f>
        <v/>
      </c>
      <c r="I752" t="str">
        <f>IF($A752&lt;&gt;"",'All Cases - Enter Cases'!I752,"")</f>
        <v/>
      </c>
      <c r="J752" t="str">
        <f>IF($A752&lt;&gt;"",'All Cases - Enter Cases'!J752,"")</f>
        <v/>
      </c>
      <c r="K752" t="str">
        <f>IF($A752&lt;&gt;"",'All Cases - Enter Cases'!K752,"")</f>
        <v/>
      </c>
      <c r="L752" t="str">
        <f>IF($A752&lt;&gt;"",'All Cases - Enter Cases'!L752,"")</f>
        <v/>
      </c>
      <c r="M752" t="str">
        <f>IF($A752&lt;&gt;"",'All Cases - Enter Cases'!M752,"")</f>
        <v/>
      </c>
    </row>
    <row r="753" spans="1:13" x14ac:dyDescent="0.35">
      <c r="A753" t="str">
        <f>IF('All Cases - Enter Cases'!$F753="KPK",'All Cases - Enter Cases'!A753,"")</f>
        <v/>
      </c>
      <c r="B753" t="str">
        <f>IF($A753&lt;&gt;"",'All Cases - Enter Cases'!B753,"")</f>
        <v/>
      </c>
      <c r="C753" t="str">
        <f>IF($A753&lt;&gt;"",'All Cases - Enter Cases'!C753,"")</f>
        <v/>
      </c>
      <c r="D753" t="str">
        <f>IF($A753&lt;&gt;"",'All Cases - Enter Cases'!D753,"")</f>
        <v/>
      </c>
      <c r="E753" t="str">
        <f>IF($A753&lt;&gt;"",'All Cases - Enter Cases'!E753,"")</f>
        <v/>
      </c>
      <c r="F753" t="str">
        <f>IF($A753&lt;&gt;"",'All Cases - Enter Cases'!F753,"")</f>
        <v/>
      </c>
      <c r="G753" t="str">
        <f>IF($A753&lt;&gt;"",'All Cases - Enter Cases'!G753,"")</f>
        <v/>
      </c>
      <c r="H753" t="str">
        <f>IF($A753&lt;&gt;"",'All Cases - Enter Cases'!H753,"")</f>
        <v/>
      </c>
      <c r="I753" t="str">
        <f>IF($A753&lt;&gt;"",'All Cases - Enter Cases'!I753,"")</f>
        <v/>
      </c>
      <c r="J753" t="str">
        <f>IF($A753&lt;&gt;"",'All Cases - Enter Cases'!J753,"")</f>
        <v/>
      </c>
      <c r="K753" t="str">
        <f>IF($A753&lt;&gt;"",'All Cases - Enter Cases'!K753,"")</f>
        <v/>
      </c>
      <c r="L753" t="str">
        <f>IF($A753&lt;&gt;"",'All Cases - Enter Cases'!L753,"")</f>
        <v/>
      </c>
      <c r="M753" t="str">
        <f>IF($A753&lt;&gt;"",'All Cases - Enter Cases'!M753,"")</f>
        <v/>
      </c>
    </row>
    <row r="754" spans="1:13" x14ac:dyDescent="0.35">
      <c r="A754" t="str">
        <f>IF('All Cases - Enter Cases'!$F754="KPK",'All Cases - Enter Cases'!A754,"")</f>
        <v/>
      </c>
      <c r="B754" t="str">
        <f>IF($A754&lt;&gt;"",'All Cases - Enter Cases'!B754,"")</f>
        <v/>
      </c>
      <c r="C754" t="str">
        <f>IF($A754&lt;&gt;"",'All Cases - Enter Cases'!C754,"")</f>
        <v/>
      </c>
      <c r="D754" t="str">
        <f>IF($A754&lt;&gt;"",'All Cases - Enter Cases'!D754,"")</f>
        <v/>
      </c>
      <c r="E754" t="str">
        <f>IF($A754&lt;&gt;"",'All Cases - Enter Cases'!E754,"")</f>
        <v/>
      </c>
      <c r="F754" t="str">
        <f>IF($A754&lt;&gt;"",'All Cases - Enter Cases'!F754,"")</f>
        <v/>
      </c>
      <c r="G754" t="str">
        <f>IF($A754&lt;&gt;"",'All Cases - Enter Cases'!G754,"")</f>
        <v/>
      </c>
      <c r="H754" t="str">
        <f>IF($A754&lt;&gt;"",'All Cases - Enter Cases'!H754,"")</f>
        <v/>
      </c>
      <c r="I754" t="str">
        <f>IF($A754&lt;&gt;"",'All Cases - Enter Cases'!I754,"")</f>
        <v/>
      </c>
      <c r="J754" t="str">
        <f>IF($A754&lt;&gt;"",'All Cases - Enter Cases'!J754,"")</f>
        <v/>
      </c>
      <c r="K754" t="str">
        <f>IF($A754&lt;&gt;"",'All Cases - Enter Cases'!K754,"")</f>
        <v/>
      </c>
      <c r="L754" t="str">
        <f>IF($A754&lt;&gt;"",'All Cases - Enter Cases'!L754,"")</f>
        <v/>
      </c>
      <c r="M754" t="str">
        <f>IF($A754&lt;&gt;"",'All Cases - Enter Cases'!M754,"")</f>
        <v/>
      </c>
    </row>
    <row r="755" spans="1:13" x14ac:dyDescent="0.35">
      <c r="A755" t="str">
        <f>IF('All Cases - Enter Cases'!$F755="KPK",'All Cases - Enter Cases'!A755,"")</f>
        <v/>
      </c>
      <c r="B755" t="str">
        <f>IF($A755&lt;&gt;"",'All Cases - Enter Cases'!B755,"")</f>
        <v/>
      </c>
      <c r="C755" t="str">
        <f>IF($A755&lt;&gt;"",'All Cases - Enter Cases'!C755,"")</f>
        <v/>
      </c>
      <c r="D755" t="str">
        <f>IF($A755&lt;&gt;"",'All Cases - Enter Cases'!D755,"")</f>
        <v/>
      </c>
      <c r="E755" t="str">
        <f>IF($A755&lt;&gt;"",'All Cases - Enter Cases'!E755,"")</f>
        <v/>
      </c>
      <c r="F755" t="str">
        <f>IF($A755&lt;&gt;"",'All Cases - Enter Cases'!F755,"")</f>
        <v/>
      </c>
      <c r="G755" t="str">
        <f>IF($A755&lt;&gt;"",'All Cases - Enter Cases'!G755,"")</f>
        <v/>
      </c>
      <c r="H755" t="str">
        <f>IF($A755&lt;&gt;"",'All Cases - Enter Cases'!H755,"")</f>
        <v/>
      </c>
      <c r="I755" t="str">
        <f>IF($A755&lt;&gt;"",'All Cases - Enter Cases'!I755,"")</f>
        <v/>
      </c>
      <c r="J755" t="str">
        <f>IF($A755&lt;&gt;"",'All Cases - Enter Cases'!J755,"")</f>
        <v/>
      </c>
      <c r="K755" t="str">
        <f>IF($A755&lt;&gt;"",'All Cases - Enter Cases'!K755,"")</f>
        <v/>
      </c>
      <c r="L755" t="str">
        <f>IF($A755&lt;&gt;"",'All Cases - Enter Cases'!L755,"")</f>
        <v/>
      </c>
      <c r="M755" t="str">
        <f>IF($A755&lt;&gt;"",'All Cases - Enter Cases'!M755,"")</f>
        <v/>
      </c>
    </row>
    <row r="756" spans="1:13" x14ac:dyDescent="0.35">
      <c r="A756" t="str">
        <f>IF('All Cases - Enter Cases'!$F756="KPK",'All Cases - Enter Cases'!A756,"")</f>
        <v/>
      </c>
      <c r="B756" t="str">
        <f>IF($A756&lt;&gt;"",'All Cases - Enter Cases'!B756,"")</f>
        <v/>
      </c>
      <c r="C756" t="str">
        <f>IF($A756&lt;&gt;"",'All Cases - Enter Cases'!C756,"")</f>
        <v/>
      </c>
      <c r="D756" t="str">
        <f>IF($A756&lt;&gt;"",'All Cases - Enter Cases'!D756,"")</f>
        <v/>
      </c>
      <c r="E756" t="str">
        <f>IF($A756&lt;&gt;"",'All Cases - Enter Cases'!E756,"")</f>
        <v/>
      </c>
      <c r="F756" t="str">
        <f>IF($A756&lt;&gt;"",'All Cases - Enter Cases'!F756,"")</f>
        <v/>
      </c>
      <c r="G756" t="str">
        <f>IF($A756&lt;&gt;"",'All Cases - Enter Cases'!G756,"")</f>
        <v/>
      </c>
      <c r="H756" t="str">
        <f>IF($A756&lt;&gt;"",'All Cases - Enter Cases'!H756,"")</f>
        <v/>
      </c>
      <c r="I756" t="str">
        <f>IF($A756&lt;&gt;"",'All Cases - Enter Cases'!I756,"")</f>
        <v/>
      </c>
      <c r="J756" t="str">
        <f>IF($A756&lt;&gt;"",'All Cases - Enter Cases'!J756,"")</f>
        <v/>
      </c>
      <c r="K756" t="str">
        <f>IF($A756&lt;&gt;"",'All Cases - Enter Cases'!K756,"")</f>
        <v/>
      </c>
      <c r="L756" t="str">
        <f>IF($A756&lt;&gt;"",'All Cases - Enter Cases'!L756,"")</f>
        <v/>
      </c>
      <c r="M756" t="str">
        <f>IF($A756&lt;&gt;"",'All Cases - Enter Cases'!M756,"")</f>
        <v/>
      </c>
    </row>
    <row r="757" spans="1:13" x14ac:dyDescent="0.35">
      <c r="A757" t="str">
        <f>IF('All Cases - Enter Cases'!$F757="KPK",'All Cases - Enter Cases'!A757,"")</f>
        <v/>
      </c>
      <c r="B757" t="str">
        <f>IF($A757&lt;&gt;"",'All Cases - Enter Cases'!B757,"")</f>
        <v/>
      </c>
      <c r="C757" t="str">
        <f>IF($A757&lt;&gt;"",'All Cases - Enter Cases'!C757,"")</f>
        <v/>
      </c>
      <c r="D757" t="str">
        <f>IF($A757&lt;&gt;"",'All Cases - Enter Cases'!D757,"")</f>
        <v/>
      </c>
      <c r="E757" t="str">
        <f>IF($A757&lt;&gt;"",'All Cases - Enter Cases'!E757,"")</f>
        <v/>
      </c>
      <c r="F757" t="str">
        <f>IF($A757&lt;&gt;"",'All Cases - Enter Cases'!F757,"")</f>
        <v/>
      </c>
      <c r="G757" t="str">
        <f>IF($A757&lt;&gt;"",'All Cases - Enter Cases'!G757,"")</f>
        <v/>
      </c>
      <c r="H757" t="str">
        <f>IF($A757&lt;&gt;"",'All Cases - Enter Cases'!H757,"")</f>
        <v/>
      </c>
      <c r="I757" t="str">
        <f>IF($A757&lt;&gt;"",'All Cases - Enter Cases'!I757,"")</f>
        <v/>
      </c>
      <c r="J757" t="str">
        <f>IF($A757&lt;&gt;"",'All Cases - Enter Cases'!J757,"")</f>
        <v/>
      </c>
      <c r="K757" t="str">
        <f>IF($A757&lt;&gt;"",'All Cases - Enter Cases'!K757,"")</f>
        <v/>
      </c>
      <c r="L757" t="str">
        <f>IF($A757&lt;&gt;"",'All Cases - Enter Cases'!L757,"")</f>
        <v/>
      </c>
      <c r="M757" t="str">
        <f>IF($A757&lt;&gt;"",'All Cases - Enter Cases'!M757,"")</f>
        <v/>
      </c>
    </row>
    <row r="758" spans="1:13" x14ac:dyDescent="0.35">
      <c r="A758" t="str">
        <f>IF('All Cases - Enter Cases'!$F758="KPK",'All Cases - Enter Cases'!A758,"")</f>
        <v/>
      </c>
      <c r="B758" t="str">
        <f>IF($A758&lt;&gt;"",'All Cases - Enter Cases'!B758,"")</f>
        <v/>
      </c>
      <c r="C758" t="str">
        <f>IF($A758&lt;&gt;"",'All Cases - Enter Cases'!C758,"")</f>
        <v/>
      </c>
      <c r="D758" t="str">
        <f>IF($A758&lt;&gt;"",'All Cases - Enter Cases'!D758,"")</f>
        <v/>
      </c>
      <c r="E758" t="str">
        <f>IF($A758&lt;&gt;"",'All Cases - Enter Cases'!E758,"")</f>
        <v/>
      </c>
      <c r="F758" t="str">
        <f>IF($A758&lt;&gt;"",'All Cases - Enter Cases'!F758,"")</f>
        <v/>
      </c>
      <c r="G758" t="str">
        <f>IF($A758&lt;&gt;"",'All Cases - Enter Cases'!G758,"")</f>
        <v/>
      </c>
      <c r="H758" t="str">
        <f>IF($A758&lt;&gt;"",'All Cases - Enter Cases'!H758,"")</f>
        <v/>
      </c>
      <c r="I758" t="str">
        <f>IF($A758&lt;&gt;"",'All Cases - Enter Cases'!I758,"")</f>
        <v/>
      </c>
      <c r="J758" t="str">
        <f>IF($A758&lt;&gt;"",'All Cases - Enter Cases'!J758,"")</f>
        <v/>
      </c>
      <c r="K758" t="str">
        <f>IF($A758&lt;&gt;"",'All Cases - Enter Cases'!K758,"")</f>
        <v/>
      </c>
      <c r="L758" t="str">
        <f>IF($A758&lt;&gt;"",'All Cases - Enter Cases'!L758,"")</f>
        <v/>
      </c>
      <c r="M758" t="str">
        <f>IF($A758&lt;&gt;"",'All Cases - Enter Cases'!M758,"")</f>
        <v/>
      </c>
    </row>
    <row r="759" spans="1:13" x14ac:dyDescent="0.35">
      <c r="A759" t="str">
        <f>IF('All Cases - Enter Cases'!$F759="KPK",'All Cases - Enter Cases'!A759,"")</f>
        <v/>
      </c>
      <c r="B759" t="str">
        <f>IF($A759&lt;&gt;"",'All Cases - Enter Cases'!B759,"")</f>
        <v/>
      </c>
      <c r="C759" t="str">
        <f>IF($A759&lt;&gt;"",'All Cases - Enter Cases'!C759,"")</f>
        <v/>
      </c>
      <c r="D759" t="str">
        <f>IF($A759&lt;&gt;"",'All Cases - Enter Cases'!D759,"")</f>
        <v/>
      </c>
      <c r="E759" t="str">
        <f>IF($A759&lt;&gt;"",'All Cases - Enter Cases'!E759,"")</f>
        <v/>
      </c>
      <c r="F759" t="str">
        <f>IF($A759&lt;&gt;"",'All Cases - Enter Cases'!F759,"")</f>
        <v/>
      </c>
      <c r="G759" t="str">
        <f>IF($A759&lt;&gt;"",'All Cases - Enter Cases'!G759,"")</f>
        <v/>
      </c>
      <c r="H759" t="str">
        <f>IF($A759&lt;&gt;"",'All Cases - Enter Cases'!H759,"")</f>
        <v/>
      </c>
      <c r="I759" t="str">
        <f>IF($A759&lt;&gt;"",'All Cases - Enter Cases'!I759,"")</f>
        <v/>
      </c>
      <c r="J759" t="str">
        <f>IF($A759&lt;&gt;"",'All Cases - Enter Cases'!J759,"")</f>
        <v/>
      </c>
      <c r="K759" t="str">
        <f>IF($A759&lt;&gt;"",'All Cases - Enter Cases'!K759,"")</f>
        <v/>
      </c>
      <c r="L759" t="str">
        <f>IF($A759&lt;&gt;"",'All Cases - Enter Cases'!L759,"")</f>
        <v/>
      </c>
      <c r="M759" t="str">
        <f>IF($A759&lt;&gt;"",'All Cases - Enter Cases'!M759,"")</f>
        <v/>
      </c>
    </row>
    <row r="760" spans="1:13" x14ac:dyDescent="0.35">
      <c r="A760" t="str">
        <f>IF('All Cases - Enter Cases'!$F760="KPK",'All Cases - Enter Cases'!A760,"")</f>
        <v/>
      </c>
      <c r="B760" t="str">
        <f>IF($A760&lt;&gt;"",'All Cases - Enter Cases'!B760,"")</f>
        <v/>
      </c>
      <c r="C760" t="str">
        <f>IF($A760&lt;&gt;"",'All Cases - Enter Cases'!C760,"")</f>
        <v/>
      </c>
      <c r="D760" t="str">
        <f>IF($A760&lt;&gt;"",'All Cases - Enter Cases'!D760,"")</f>
        <v/>
      </c>
      <c r="E760" t="str">
        <f>IF($A760&lt;&gt;"",'All Cases - Enter Cases'!E760,"")</f>
        <v/>
      </c>
      <c r="F760" t="str">
        <f>IF($A760&lt;&gt;"",'All Cases - Enter Cases'!F760,"")</f>
        <v/>
      </c>
      <c r="G760" t="str">
        <f>IF($A760&lt;&gt;"",'All Cases - Enter Cases'!G760,"")</f>
        <v/>
      </c>
      <c r="H760" t="str">
        <f>IF($A760&lt;&gt;"",'All Cases - Enter Cases'!H760,"")</f>
        <v/>
      </c>
      <c r="I760" t="str">
        <f>IF($A760&lt;&gt;"",'All Cases - Enter Cases'!I760,"")</f>
        <v/>
      </c>
      <c r="J760" t="str">
        <f>IF($A760&lt;&gt;"",'All Cases - Enter Cases'!J760,"")</f>
        <v/>
      </c>
      <c r="K760" t="str">
        <f>IF($A760&lt;&gt;"",'All Cases - Enter Cases'!K760,"")</f>
        <v/>
      </c>
      <c r="L760" t="str">
        <f>IF($A760&lt;&gt;"",'All Cases - Enter Cases'!L760,"")</f>
        <v/>
      </c>
      <c r="M760" t="str">
        <f>IF($A760&lt;&gt;"",'All Cases - Enter Cases'!M760,"")</f>
        <v/>
      </c>
    </row>
    <row r="761" spans="1:13" x14ac:dyDescent="0.35">
      <c r="A761" t="str">
        <f>IF('All Cases - Enter Cases'!$F761="KPK",'All Cases - Enter Cases'!A761,"")</f>
        <v/>
      </c>
      <c r="B761" t="str">
        <f>IF($A761&lt;&gt;"",'All Cases - Enter Cases'!B761,"")</f>
        <v/>
      </c>
      <c r="C761" t="str">
        <f>IF($A761&lt;&gt;"",'All Cases - Enter Cases'!C761,"")</f>
        <v/>
      </c>
      <c r="D761" t="str">
        <f>IF($A761&lt;&gt;"",'All Cases - Enter Cases'!D761,"")</f>
        <v/>
      </c>
      <c r="E761" t="str">
        <f>IF($A761&lt;&gt;"",'All Cases - Enter Cases'!E761,"")</f>
        <v/>
      </c>
      <c r="F761" t="str">
        <f>IF($A761&lt;&gt;"",'All Cases - Enter Cases'!F761,"")</f>
        <v/>
      </c>
      <c r="G761" t="str">
        <f>IF($A761&lt;&gt;"",'All Cases - Enter Cases'!G761,"")</f>
        <v/>
      </c>
      <c r="H761" t="str">
        <f>IF($A761&lt;&gt;"",'All Cases - Enter Cases'!H761,"")</f>
        <v/>
      </c>
      <c r="I761" t="str">
        <f>IF($A761&lt;&gt;"",'All Cases - Enter Cases'!I761,"")</f>
        <v/>
      </c>
      <c r="J761" t="str">
        <f>IF($A761&lt;&gt;"",'All Cases - Enter Cases'!J761,"")</f>
        <v/>
      </c>
      <c r="K761" t="str">
        <f>IF($A761&lt;&gt;"",'All Cases - Enter Cases'!K761,"")</f>
        <v/>
      </c>
      <c r="L761" t="str">
        <f>IF($A761&lt;&gt;"",'All Cases - Enter Cases'!L761,"")</f>
        <v/>
      </c>
      <c r="M761" t="str">
        <f>IF($A761&lt;&gt;"",'All Cases - Enter Cases'!M761,"")</f>
        <v/>
      </c>
    </row>
    <row r="762" spans="1:13" x14ac:dyDescent="0.35">
      <c r="A762" t="str">
        <f>IF('All Cases - Enter Cases'!$F762="KPK",'All Cases - Enter Cases'!A762,"")</f>
        <v/>
      </c>
      <c r="B762" t="str">
        <f>IF($A762&lt;&gt;"",'All Cases - Enter Cases'!B762,"")</f>
        <v/>
      </c>
      <c r="C762" t="str">
        <f>IF($A762&lt;&gt;"",'All Cases - Enter Cases'!C762,"")</f>
        <v/>
      </c>
      <c r="D762" t="str">
        <f>IF($A762&lt;&gt;"",'All Cases - Enter Cases'!D762,"")</f>
        <v/>
      </c>
      <c r="E762" t="str">
        <f>IF($A762&lt;&gt;"",'All Cases - Enter Cases'!E762,"")</f>
        <v/>
      </c>
      <c r="F762" t="str">
        <f>IF($A762&lt;&gt;"",'All Cases - Enter Cases'!F762,"")</f>
        <v/>
      </c>
      <c r="G762" t="str">
        <f>IF($A762&lt;&gt;"",'All Cases - Enter Cases'!G762,"")</f>
        <v/>
      </c>
      <c r="H762" t="str">
        <f>IF($A762&lt;&gt;"",'All Cases - Enter Cases'!H762,"")</f>
        <v/>
      </c>
      <c r="I762" t="str">
        <f>IF($A762&lt;&gt;"",'All Cases - Enter Cases'!I762,"")</f>
        <v/>
      </c>
      <c r="J762" t="str">
        <f>IF($A762&lt;&gt;"",'All Cases - Enter Cases'!J762,"")</f>
        <v/>
      </c>
      <c r="K762" t="str">
        <f>IF($A762&lt;&gt;"",'All Cases - Enter Cases'!K762,"")</f>
        <v/>
      </c>
      <c r="L762" t="str">
        <f>IF($A762&lt;&gt;"",'All Cases - Enter Cases'!L762,"")</f>
        <v/>
      </c>
      <c r="M762" t="str">
        <f>IF($A762&lt;&gt;"",'All Cases - Enter Cases'!M762,"")</f>
        <v/>
      </c>
    </row>
    <row r="763" spans="1:13" x14ac:dyDescent="0.35">
      <c r="A763" t="str">
        <f>IF('All Cases - Enter Cases'!$F763="KPK",'All Cases - Enter Cases'!A763,"")</f>
        <v/>
      </c>
      <c r="B763" t="str">
        <f>IF($A763&lt;&gt;"",'All Cases - Enter Cases'!B763,"")</f>
        <v/>
      </c>
      <c r="C763" t="str">
        <f>IF($A763&lt;&gt;"",'All Cases - Enter Cases'!C763,"")</f>
        <v/>
      </c>
      <c r="D763" t="str">
        <f>IF($A763&lt;&gt;"",'All Cases - Enter Cases'!D763,"")</f>
        <v/>
      </c>
      <c r="E763" t="str">
        <f>IF($A763&lt;&gt;"",'All Cases - Enter Cases'!E763,"")</f>
        <v/>
      </c>
      <c r="F763" t="str">
        <f>IF($A763&lt;&gt;"",'All Cases - Enter Cases'!F763,"")</f>
        <v/>
      </c>
      <c r="G763" t="str">
        <f>IF($A763&lt;&gt;"",'All Cases - Enter Cases'!G763,"")</f>
        <v/>
      </c>
      <c r="H763" t="str">
        <f>IF($A763&lt;&gt;"",'All Cases - Enter Cases'!H763,"")</f>
        <v/>
      </c>
      <c r="I763" t="str">
        <f>IF($A763&lt;&gt;"",'All Cases - Enter Cases'!I763,"")</f>
        <v/>
      </c>
      <c r="J763" t="str">
        <f>IF($A763&lt;&gt;"",'All Cases - Enter Cases'!J763,"")</f>
        <v/>
      </c>
      <c r="K763" t="str">
        <f>IF($A763&lt;&gt;"",'All Cases - Enter Cases'!K763,"")</f>
        <v/>
      </c>
      <c r="L763" t="str">
        <f>IF($A763&lt;&gt;"",'All Cases - Enter Cases'!L763,"")</f>
        <v/>
      </c>
      <c r="M763" t="str">
        <f>IF($A763&lt;&gt;"",'All Cases - Enter Cases'!M763,"")</f>
        <v/>
      </c>
    </row>
    <row r="764" spans="1:13" x14ac:dyDescent="0.35">
      <c r="A764" t="str">
        <f>IF('All Cases - Enter Cases'!$F764="KPK",'All Cases - Enter Cases'!A764,"")</f>
        <v/>
      </c>
      <c r="B764" t="str">
        <f>IF($A764&lt;&gt;"",'All Cases - Enter Cases'!B764,"")</f>
        <v/>
      </c>
      <c r="C764" t="str">
        <f>IF($A764&lt;&gt;"",'All Cases - Enter Cases'!C764,"")</f>
        <v/>
      </c>
      <c r="D764" t="str">
        <f>IF($A764&lt;&gt;"",'All Cases - Enter Cases'!D764,"")</f>
        <v/>
      </c>
      <c r="E764" t="str">
        <f>IF($A764&lt;&gt;"",'All Cases - Enter Cases'!E764,"")</f>
        <v/>
      </c>
      <c r="F764" t="str">
        <f>IF($A764&lt;&gt;"",'All Cases - Enter Cases'!F764,"")</f>
        <v/>
      </c>
      <c r="G764" t="str">
        <f>IF($A764&lt;&gt;"",'All Cases - Enter Cases'!G764,"")</f>
        <v/>
      </c>
      <c r="H764" t="str">
        <f>IF($A764&lt;&gt;"",'All Cases - Enter Cases'!H764,"")</f>
        <v/>
      </c>
      <c r="I764" t="str">
        <f>IF($A764&lt;&gt;"",'All Cases - Enter Cases'!I764,"")</f>
        <v/>
      </c>
      <c r="J764" t="str">
        <f>IF($A764&lt;&gt;"",'All Cases - Enter Cases'!J764,"")</f>
        <v/>
      </c>
      <c r="K764" t="str">
        <f>IF($A764&lt;&gt;"",'All Cases - Enter Cases'!K764,"")</f>
        <v/>
      </c>
      <c r="L764" t="str">
        <f>IF($A764&lt;&gt;"",'All Cases - Enter Cases'!L764,"")</f>
        <v/>
      </c>
      <c r="M764" t="str">
        <f>IF($A764&lt;&gt;"",'All Cases - Enter Cases'!M764,"")</f>
        <v/>
      </c>
    </row>
    <row r="765" spans="1:13" x14ac:dyDescent="0.35">
      <c r="A765" t="str">
        <f>IF('All Cases - Enter Cases'!$F765="KPK",'All Cases - Enter Cases'!A765,"")</f>
        <v/>
      </c>
      <c r="B765" t="str">
        <f>IF($A765&lt;&gt;"",'All Cases - Enter Cases'!B765,"")</f>
        <v/>
      </c>
      <c r="C765" t="str">
        <f>IF($A765&lt;&gt;"",'All Cases - Enter Cases'!C765,"")</f>
        <v/>
      </c>
      <c r="D765" t="str">
        <f>IF($A765&lt;&gt;"",'All Cases - Enter Cases'!D765,"")</f>
        <v/>
      </c>
      <c r="E765" t="str">
        <f>IF($A765&lt;&gt;"",'All Cases - Enter Cases'!E765,"")</f>
        <v/>
      </c>
      <c r="F765" t="str">
        <f>IF($A765&lt;&gt;"",'All Cases - Enter Cases'!F765,"")</f>
        <v/>
      </c>
      <c r="G765" t="str">
        <f>IF($A765&lt;&gt;"",'All Cases - Enter Cases'!G765,"")</f>
        <v/>
      </c>
      <c r="H765" t="str">
        <f>IF($A765&lt;&gt;"",'All Cases - Enter Cases'!H765,"")</f>
        <v/>
      </c>
      <c r="I765" t="str">
        <f>IF($A765&lt;&gt;"",'All Cases - Enter Cases'!I765,"")</f>
        <v/>
      </c>
      <c r="J765" t="str">
        <f>IF($A765&lt;&gt;"",'All Cases - Enter Cases'!J765,"")</f>
        <v/>
      </c>
      <c r="K765" t="str">
        <f>IF($A765&lt;&gt;"",'All Cases - Enter Cases'!K765,"")</f>
        <v/>
      </c>
      <c r="L765" t="str">
        <f>IF($A765&lt;&gt;"",'All Cases - Enter Cases'!L765,"")</f>
        <v/>
      </c>
      <c r="M765" t="str">
        <f>IF($A765&lt;&gt;"",'All Cases - Enter Cases'!M765,"")</f>
        <v/>
      </c>
    </row>
    <row r="766" spans="1:13" x14ac:dyDescent="0.35">
      <c r="A766" t="str">
        <f>IF('All Cases - Enter Cases'!$F766="KPK",'All Cases - Enter Cases'!A766,"")</f>
        <v/>
      </c>
      <c r="B766" t="str">
        <f>IF($A766&lt;&gt;"",'All Cases - Enter Cases'!B766,"")</f>
        <v/>
      </c>
      <c r="C766" t="str">
        <f>IF($A766&lt;&gt;"",'All Cases - Enter Cases'!C766,"")</f>
        <v/>
      </c>
      <c r="D766" t="str">
        <f>IF($A766&lt;&gt;"",'All Cases - Enter Cases'!D766,"")</f>
        <v/>
      </c>
      <c r="E766" t="str">
        <f>IF($A766&lt;&gt;"",'All Cases - Enter Cases'!E766,"")</f>
        <v/>
      </c>
      <c r="F766" t="str">
        <f>IF($A766&lt;&gt;"",'All Cases - Enter Cases'!F766,"")</f>
        <v/>
      </c>
      <c r="G766" t="str">
        <f>IF($A766&lt;&gt;"",'All Cases - Enter Cases'!G766,"")</f>
        <v/>
      </c>
      <c r="H766" t="str">
        <f>IF($A766&lt;&gt;"",'All Cases - Enter Cases'!H766,"")</f>
        <v/>
      </c>
      <c r="I766" t="str">
        <f>IF($A766&lt;&gt;"",'All Cases - Enter Cases'!I766,"")</f>
        <v/>
      </c>
      <c r="J766" t="str">
        <f>IF($A766&lt;&gt;"",'All Cases - Enter Cases'!J766,"")</f>
        <v/>
      </c>
      <c r="K766" t="str">
        <f>IF($A766&lt;&gt;"",'All Cases - Enter Cases'!K766,"")</f>
        <v/>
      </c>
      <c r="L766" t="str">
        <f>IF($A766&lt;&gt;"",'All Cases - Enter Cases'!L766,"")</f>
        <v/>
      </c>
      <c r="M766" t="str">
        <f>IF($A766&lt;&gt;"",'All Cases - Enter Cases'!M766,"")</f>
        <v/>
      </c>
    </row>
    <row r="767" spans="1:13" x14ac:dyDescent="0.35">
      <c r="A767" t="str">
        <f>IF('All Cases - Enter Cases'!$F767="KPK",'All Cases - Enter Cases'!A767,"")</f>
        <v/>
      </c>
      <c r="B767" t="str">
        <f>IF($A767&lt;&gt;"",'All Cases - Enter Cases'!B767,"")</f>
        <v/>
      </c>
      <c r="C767" t="str">
        <f>IF($A767&lt;&gt;"",'All Cases - Enter Cases'!C767,"")</f>
        <v/>
      </c>
      <c r="D767" t="str">
        <f>IF($A767&lt;&gt;"",'All Cases - Enter Cases'!D767,"")</f>
        <v/>
      </c>
      <c r="E767" t="str">
        <f>IF($A767&lt;&gt;"",'All Cases - Enter Cases'!E767,"")</f>
        <v/>
      </c>
      <c r="F767" t="str">
        <f>IF($A767&lt;&gt;"",'All Cases - Enter Cases'!F767,"")</f>
        <v/>
      </c>
      <c r="G767" t="str">
        <f>IF($A767&lt;&gt;"",'All Cases - Enter Cases'!G767,"")</f>
        <v/>
      </c>
      <c r="H767" t="str">
        <f>IF($A767&lt;&gt;"",'All Cases - Enter Cases'!H767,"")</f>
        <v/>
      </c>
      <c r="I767" t="str">
        <f>IF($A767&lt;&gt;"",'All Cases - Enter Cases'!I767,"")</f>
        <v/>
      </c>
      <c r="J767" t="str">
        <f>IF($A767&lt;&gt;"",'All Cases - Enter Cases'!J767,"")</f>
        <v/>
      </c>
      <c r="K767" t="str">
        <f>IF($A767&lt;&gt;"",'All Cases - Enter Cases'!K767,"")</f>
        <v/>
      </c>
      <c r="L767" t="str">
        <f>IF($A767&lt;&gt;"",'All Cases - Enter Cases'!L767,"")</f>
        <v/>
      </c>
      <c r="M767" t="str">
        <f>IF($A767&lt;&gt;"",'All Cases - Enter Cases'!M767,"")</f>
        <v/>
      </c>
    </row>
    <row r="768" spans="1:13" x14ac:dyDescent="0.35">
      <c r="A768" t="str">
        <f>IF('All Cases - Enter Cases'!$F768="KPK",'All Cases - Enter Cases'!A768,"")</f>
        <v/>
      </c>
      <c r="B768" t="str">
        <f>IF($A768&lt;&gt;"",'All Cases - Enter Cases'!B768,"")</f>
        <v/>
      </c>
      <c r="C768" t="str">
        <f>IF($A768&lt;&gt;"",'All Cases - Enter Cases'!C768,"")</f>
        <v/>
      </c>
      <c r="D768" t="str">
        <f>IF($A768&lt;&gt;"",'All Cases - Enter Cases'!D768,"")</f>
        <v/>
      </c>
      <c r="E768" t="str">
        <f>IF($A768&lt;&gt;"",'All Cases - Enter Cases'!E768,"")</f>
        <v/>
      </c>
      <c r="F768" t="str">
        <f>IF($A768&lt;&gt;"",'All Cases - Enter Cases'!F768,"")</f>
        <v/>
      </c>
      <c r="G768" t="str">
        <f>IF($A768&lt;&gt;"",'All Cases - Enter Cases'!G768,"")</f>
        <v/>
      </c>
      <c r="H768" t="str">
        <f>IF($A768&lt;&gt;"",'All Cases - Enter Cases'!H768,"")</f>
        <v/>
      </c>
      <c r="I768" t="str">
        <f>IF($A768&lt;&gt;"",'All Cases - Enter Cases'!I768,"")</f>
        <v/>
      </c>
      <c r="J768" t="str">
        <f>IF($A768&lt;&gt;"",'All Cases - Enter Cases'!J768,"")</f>
        <v/>
      </c>
      <c r="K768" t="str">
        <f>IF($A768&lt;&gt;"",'All Cases - Enter Cases'!K768,"")</f>
        <v/>
      </c>
      <c r="L768" t="str">
        <f>IF($A768&lt;&gt;"",'All Cases - Enter Cases'!L768,"")</f>
        <v/>
      </c>
      <c r="M768" t="str">
        <f>IF($A768&lt;&gt;"",'All Cases - Enter Cases'!M768,"")</f>
        <v/>
      </c>
    </row>
    <row r="769" spans="1:13" x14ac:dyDescent="0.35">
      <c r="A769" t="str">
        <f>IF('All Cases - Enter Cases'!$F769="KPK",'All Cases - Enter Cases'!A769,"")</f>
        <v/>
      </c>
      <c r="B769" t="str">
        <f>IF($A769&lt;&gt;"",'All Cases - Enter Cases'!B769,"")</f>
        <v/>
      </c>
      <c r="C769" t="str">
        <f>IF($A769&lt;&gt;"",'All Cases - Enter Cases'!C769,"")</f>
        <v/>
      </c>
      <c r="D769" t="str">
        <f>IF($A769&lt;&gt;"",'All Cases - Enter Cases'!D769,"")</f>
        <v/>
      </c>
      <c r="E769" t="str">
        <f>IF($A769&lt;&gt;"",'All Cases - Enter Cases'!E769,"")</f>
        <v/>
      </c>
      <c r="F769" t="str">
        <f>IF($A769&lt;&gt;"",'All Cases - Enter Cases'!F769,"")</f>
        <v/>
      </c>
      <c r="G769" t="str">
        <f>IF($A769&lt;&gt;"",'All Cases - Enter Cases'!G769,"")</f>
        <v/>
      </c>
      <c r="H769" t="str">
        <f>IF($A769&lt;&gt;"",'All Cases - Enter Cases'!H769,"")</f>
        <v/>
      </c>
      <c r="I769" t="str">
        <f>IF($A769&lt;&gt;"",'All Cases - Enter Cases'!I769,"")</f>
        <v/>
      </c>
      <c r="J769" t="str">
        <f>IF($A769&lt;&gt;"",'All Cases - Enter Cases'!J769,"")</f>
        <v/>
      </c>
      <c r="K769" t="str">
        <f>IF($A769&lt;&gt;"",'All Cases - Enter Cases'!K769,"")</f>
        <v/>
      </c>
      <c r="L769" t="str">
        <f>IF($A769&lt;&gt;"",'All Cases - Enter Cases'!L769,"")</f>
        <v/>
      </c>
      <c r="M769" t="str">
        <f>IF($A769&lt;&gt;"",'All Cases - Enter Cases'!M769,"")</f>
        <v/>
      </c>
    </row>
    <row r="770" spans="1:13" x14ac:dyDescent="0.35">
      <c r="A770" t="str">
        <f>IF('All Cases - Enter Cases'!$F770="KPK",'All Cases - Enter Cases'!A770,"")</f>
        <v/>
      </c>
      <c r="B770" t="str">
        <f>IF($A770&lt;&gt;"",'All Cases - Enter Cases'!B770,"")</f>
        <v/>
      </c>
      <c r="C770" t="str">
        <f>IF($A770&lt;&gt;"",'All Cases - Enter Cases'!C770,"")</f>
        <v/>
      </c>
      <c r="D770" t="str">
        <f>IF($A770&lt;&gt;"",'All Cases - Enter Cases'!D770,"")</f>
        <v/>
      </c>
      <c r="E770" t="str">
        <f>IF($A770&lt;&gt;"",'All Cases - Enter Cases'!E770,"")</f>
        <v/>
      </c>
      <c r="F770" t="str">
        <f>IF($A770&lt;&gt;"",'All Cases - Enter Cases'!F770,"")</f>
        <v/>
      </c>
      <c r="G770" t="str">
        <f>IF($A770&lt;&gt;"",'All Cases - Enter Cases'!G770,"")</f>
        <v/>
      </c>
      <c r="H770" t="str">
        <f>IF($A770&lt;&gt;"",'All Cases - Enter Cases'!H770,"")</f>
        <v/>
      </c>
      <c r="I770" t="str">
        <f>IF($A770&lt;&gt;"",'All Cases - Enter Cases'!I770,"")</f>
        <v/>
      </c>
      <c r="J770" t="str">
        <f>IF($A770&lt;&gt;"",'All Cases - Enter Cases'!J770,"")</f>
        <v/>
      </c>
      <c r="K770" t="str">
        <f>IF($A770&lt;&gt;"",'All Cases - Enter Cases'!K770,"")</f>
        <v/>
      </c>
      <c r="L770" t="str">
        <f>IF($A770&lt;&gt;"",'All Cases - Enter Cases'!L770,"")</f>
        <v/>
      </c>
      <c r="M770" t="str">
        <f>IF($A770&lt;&gt;"",'All Cases - Enter Cases'!M770,"")</f>
        <v/>
      </c>
    </row>
    <row r="771" spans="1:13" x14ac:dyDescent="0.35">
      <c r="A771" t="str">
        <f>IF('All Cases - Enter Cases'!$F771="KPK",'All Cases - Enter Cases'!A771,"")</f>
        <v/>
      </c>
      <c r="B771" t="str">
        <f>IF($A771&lt;&gt;"",'All Cases - Enter Cases'!B771,"")</f>
        <v/>
      </c>
      <c r="C771" t="str">
        <f>IF($A771&lt;&gt;"",'All Cases - Enter Cases'!C771,"")</f>
        <v/>
      </c>
      <c r="D771" t="str">
        <f>IF($A771&lt;&gt;"",'All Cases - Enter Cases'!D771,"")</f>
        <v/>
      </c>
      <c r="E771" t="str">
        <f>IF($A771&lt;&gt;"",'All Cases - Enter Cases'!E771,"")</f>
        <v/>
      </c>
      <c r="F771" t="str">
        <f>IF($A771&lt;&gt;"",'All Cases - Enter Cases'!F771,"")</f>
        <v/>
      </c>
      <c r="G771" t="str">
        <f>IF($A771&lt;&gt;"",'All Cases - Enter Cases'!G771,"")</f>
        <v/>
      </c>
      <c r="H771" t="str">
        <f>IF($A771&lt;&gt;"",'All Cases - Enter Cases'!H771,"")</f>
        <v/>
      </c>
      <c r="I771" t="str">
        <f>IF($A771&lt;&gt;"",'All Cases - Enter Cases'!I771,"")</f>
        <v/>
      </c>
      <c r="J771" t="str">
        <f>IF($A771&lt;&gt;"",'All Cases - Enter Cases'!J771,"")</f>
        <v/>
      </c>
      <c r="K771" t="str">
        <f>IF($A771&lt;&gt;"",'All Cases - Enter Cases'!K771,"")</f>
        <v/>
      </c>
      <c r="L771" t="str">
        <f>IF($A771&lt;&gt;"",'All Cases - Enter Cases'!L771,"")</f>
        <v/>
      </c>
      <c r="M771" t="str">
        <f>IF($A771&lt;&gt;"",'All Cases - Enter Cases'!M771,"")</f>
        <v/>
      </c>
    </row>
    <row r="772" spans="1:13" x14ac:dyDescent="0.35">
      <c r="A772" t="str">
        <f>IF('All Cases - Enter Cases'!$F772="KPK",'All Cases - Enter Cases'!A772,"")</f>
        <v/>
      </c>
      <c r="B772" t="str">
        <f>IF($A772&lt;&gt;"",'All Cases - Enter Cases'!B772,"")</f>
        <v/>
      </c>
      <c r="C772" t="str">
        <f>IF($A772&lt;&gt;"",'All Cases - Enter Cases'!C772,"")</f>
        <v/>
      </c>
      <c r="D772" t="str">
        <f>IF($A772&lt;&gt;"",'All Cases - Enter Cases'!D772,"")</f>
        <v/>
      </c>
      <c r="E772" t="str">
        <f>IF($A772&lt;&gt;"",'All Cases - Enter Cases'!E772,"")</f>
        <v/>
      </c>
      <c r="F772" t="str">
        <f>IF($A772&lt;&gt;"",'All Cases - Enter Cases'!F772,"")</f>
        <v/>
      </c>
      <c r="G772" t="str">
        <f>IF($A772&lt;&gt;"",'All Cases - Enter Cases'!G772,"")</f>
        <v/>
      </c>
      <c r="H772" t="str">
        <f>IF($A772&lt;&gt;"",'All Cases - Enter Cases'!H772,"")</f>
        <v/>
      </c>
      <c r="I772" t="str">
        <f>IF($A772&lt;&gt;"",'All Cases - Enter Cases'!I772,"")</f>
        <v/>
      </c>
      <c r="J772" t="str">
        <f>IF($A772&lt;&gt;"",'All Cases - Enter Cases'!J772,"")</f>
        <v/>
      </c>
      <c r="K772" t="str">
        <f>IF($A772&lt;&gt;"",'All Cases - Enter Cases'!K772,"")</f>
        <v/>
      </c>
      <c r="L772" t="str">
        <f>IF($A772&lt;&gt;"",'All Cases - Enter Cases'!L772,"")</f>
        <v/>
      </c>
      <c r="M772" t="str">
        <f>IF($A772&lt;&gt;"",'All Cases - Enter Cases'!M772,"")</f>
        <v/>
      </c>
    </row>
    <row r="773" spans="1:13" x14ac:dyDescent="0.35">
      <c r="A773" t="str">
        <f>IF('All Cases - Enter Cases'!$F773="KPK",'All Cases - Enter Cases'!A773,"")</f>
        <v/>
      </c>
      <c r="B773" t="str">
        <f>IF($A773&lt;&gt;"",'All Cases - Enter Cases'!B773,"")</f>
        <v/>
      </c>
      <c r="C773" t="str">
        <f>IF($A773&lt;&gt;"",'All Cases - Enter Cases'!C773,"")</f>
        <v/>
      </c>
      <c r="D773" t="str">
        <f>IF($A773&lt;&gt;"",'All Cases - Enter Cases'!D773,"")</f>
        <v/>
      </c>
      <c r="E773" t="str">
        <f>IF($A773&lt;&gt;"",'All Cases - Enter Cases'!E773,"")</f>
        <v/>
      </c>
      <c r="F773" t="str">
        <f>IF($A773&lt;&gt;"",'All Cases - Enter Cases'!F773,"")</f>
        <v/>
      </c>
      <c r="G773" t="str">
        <f>IF($A773&lt;&gt;"",'All Cases - Enter Cases'!G773,"")</f>
        <v/>
      </c>
      <c r="H773" t="str">
        <f>IF($A773&lt;&gt;"",'All Cases - Enter Cases'!H773,"")</f>
        <v/>
      </c>
      <c r="I773" t="str">
        <f>IF($A773&lt;&gt;"",'All Cases - Enter Cases'!I773,"")</f>
        <v/>
      </c>
      <c r="J773" t="str">
        <f>IF($A773&lt;&gt;"",'All Cases - Enter Cases'!J773,"")</f>
        <v/>
      </c>
      <c r="K773" t="str">
        <f>IF($A773&lt;&gt;"",'All Cases - Enter Cases'!K773,"")</f>
        <v/>
      </c>
      <c r="L773" t="str">
        <f>IF($A773&lt;&gt;"",'All Cases - Enter Cases'!L773,"")</f>
        <v/>
      </c>
      <c r="M773" t="str">
        <f>IF($A773&lt;&gt;"",'All Cases - Enter Cases'!M773,"")</f>
        <v/>
      </c>
    </row>
    <row r="774" spans="1:13" x14ac:dyDescent="0.35">
      <c r="A774" t="str">
        <f>IF('All Cases - Enter Cases'!$F774="KPK",'All Cases - Enter Cases'!A774,"")</f>
        <v/>
      </c>
      <c r="B774" t="str">
        <f>IF($A774&lt;&gt;"",'All Cases - Enter Cases'!B774,"")</f>
        <v/>
      </c>
      <c r="C774" t="str">
        <f>IF($A774&lt;&gt;"",'All Cases - Enter Cases'!C774,"")</f>
        <v/>
      </c>
      <c r="D774" t="str">
        <f>IF($A774&lt;&gt;"",'All Cases - Enter Cases'!D774,"")</f>
        <v/>
      </c>
      <c r="E774" t="str">
        <f>IF($A774&lt;&gt;"",'All Cases - Enter Cases'!E774,"")</f>
        <v/>
      </c>
      <c r="F774" t="str">
        <f>IF($A774&lt;&gt;"",'All Cases - Enter Cases'!F774,"")</f>
        <v/>
      </c>
      <c r="G774" t="str">
        <f>IF($A774&lt;&gt;"",'All Cases - Enter Cases'!G774,"")</f>
        <v/>
      </c>
      <c r="H774" t="str">
        <f>IF($A774&lt;&gt;"",'All Cases - Enter Cases'!H774,"")</f>
        <v/>
      </c>
      <c r="I774" t="str">
        <f>IF($A774&lt;&gt;"",'All Cases - Enter Cases'!I774,"")</f>
        <v/>
      </c>
      <c r="J774" t="str">
        <f>IF($A774&lt;&gt;"",'All Cases - Enter Cases'!J774,"")</f>
        <v/>
      </c>
      <c r="K774" t="str">
        <f>IF($A774&lt;&gt;"",'All Cases - Enter Cases'!K774,"")</f>
        <v/>
      </c>
      <c r="L774" t="str">
        <f>IF($A774&lt;&gt;"",'All Cases - Enter Cases'!L774,"")</f>
        <v/>
      </c>
      <c r="M774" t="str">
        <f>IF($A774&lt;&gt;"",'All Cases - Enter Cases'!M774,"")</f>
        <v/>
      </c>
    </row>
    <row r="775" spans="1:13" x14ac:dyDescent="0.35">
      <c r="A775" t="str">
        <f>IF('All Cases - Enter Cases'!$F775="KPK",'All Cases - Enter Cases'!A775,"")</f>
        <v/>
      </c>
      <c r="B775" t="str">
        <f>IF($A775&lt;&gt;"",'All Cases - Enter Cases'!B775,"")</f>
        <v/>
      </c>
      <c r="C775" t="str">
        <f>IF($A775&lt;&gt;"",'All Cases - Enter Cases'!C775,"")</f>
        <v/>
      </c>
      <c r="D775" t="str">
        <f>IF($A775&lt;&gt;"",'All Cases - Enter Cases'!D775,"")</f>
        <v/>
      </c>
      <c r="E775" t="str">
        <f>IF($A775&lt;&gt;"",'All Cases - Enter Cases'!E775,"")</f>
        <v/>
      </c>
      <c r="F775" t="str">
        <f>IF($A775&lt;&gt;"",'All Cases - Enter Cases'!F775,"")</f>
        <v/>
      </c>
      <c r="G775" t="str">
        <f>IF($A775&lt;&gt;"",'All Cases - Enter Cases'!G775,"")</f>
        <v/>
      </c>
      <c r="H775" t="str">
        <f>IF($A775&lt;&gt;"",'All Cases - Enter Cases'!H775,"")</f>
        <v/>
      </c>
      <c r="I775" t="str">
        <f>IF($A775&lt;&gt;"",'All Cases - Enter Cases'!I775,"")</f>
        <v/>
      </c>
      <c r="J775" t="str">
        <f>IF($A775&lt;&gt;"",'All Cases - Enter Cases'!J775,"")</f>
        <v/>
      </c>
      <c r="K775" t="str">
        <f>IF($A775&lt;&gt;"",'All Cases - Enter Cases'!K775,"")</f>
        <v/>
      </c>
      <c r="L775" t="str">
        <f>IF($A775&lt;&gt;"",'All Cases - Enter Cases'!L775,"")</f>
        <v/>
      </c>
      <c r="M775" t="str">
        <f>IF($A775&lt;&gt;"",'All Cases - Enter Cases'!M775,"")</f>
        <v/>
      </c>
    </row>
    <row r="776" spans="1:13" x14ac:dyDescent="0.35">
      <c r="A776" t="str">
        <f>IF('All Cases - Enter Cases'!$F776="KPK",'All Cases - Enter Cases'!A776,"")</f>
        <v/>
      </c>
      <c r="B776" t="str">
        <f>IF($A776&lt;&gt;"",'All Cases - Enter Cases'!B776,"")</f>
        <v/>
      </c>
      <c r="C776" t="str">
        <f>IF($A776&lt;&gt;"",'All Cases - Enter Cases'!C776,"")</f>
        <v/>
      </c>
      <c r="D776" t="str">
        <f>IF($A776&lt;&gt;"",'All Cases - Enter Cases'!D776,"")</f>
        <v/>
      </c>
      <c r="E776" t="str">
        <f>IF($A776&lt;&gt;"",'All Cases - Enter Cases'!E776,"")</f>
        <v/>
      </c>
      <c r="F776" t="str">
        <f>IF($A776&lt;&gt;"",'All Cases - Enter Cases'!F776,"")</f>
        <v/>
      </c>
      <c r="G776" t="str">
        <f>IF($A776&lt;&gt;"",'All Cases - Enter Cases'!G776,"")</f>
        <v/>
      </c>
      <c r="H776" t="str">
        <f>IF($A776&lt;&gt;"",'All Cases - Enter Cases'!H776,"")</f>
        <v/>
      </c>
      <c r="I776" t="str">
        <f>IF($A776&lt;&gt;"",'All Cases - Enter Cases'!I776,"")</f>
        <v/>
      </c>
      <c r="J776" t="str">
        <f>IF($A776&lt;&gt;"",'All Cases - Enter Cases'!J776,"")</f>
        <v/>
      </c>
      <c r="K776" t="str">
        <f>IF($A776&lt;&gt;"",'All Cases - Enter Cases'!K776,"")</f>
        <v/>
      </c>
      <c r="L776" t="str">
        <f>IF($A776&lt;&gt;"",'All Cases - Enter Cases'!L776,"")</f>
        <v/>
      </c>
      <c r="M776" t="str">
        <f>IF($A776&lt;&gt;"",'All Cases - Enter Cases'!M776,"")</f>
        <v/>
      </c>
    </row>
    <row r="777" spans="1:13" x14ac:dyDescent="0.35">
      <c r="A777" t="str">
        <f>IF('All Cases - Enter Cases'!$F777="KPK",'All Cases - Enter Cases'!A777,"")</f>
        <v/>
      </c>
      <c r="B777" t="str">
        <f>IF($A777&lt;&gt;"",'All Cases - Enter Cases'!B777,"")</f>
        <v/>
      </c>
      <c r="C777" t="str">
        <f>IF($A777&lt;&gt;"",'All Cases - Enter Cases'!C777,"")</f>
        <v/>
      </c>
      <c r="D777" t="str">
        <f>IF($A777&lt;&gt;"",'All Cases - Enter Cases'!D777,"")</f>
        <v/>
      </c>
      <c r="E777" t="str">
        <f>IF($A777&lt;&gt;"",'All Cases - Enter Cases'!E777,"")</f>
        <v/>
      </c>
      <c r="F777" t="str">
        <f>IF($A777&lt;&gt;"",'All Cases - Enter Cases'!F777,"")</f>
        <v/>
      </c>
      <c r="G777" t="str">
        <f>IF($A777&lt;&gt;"",'All Cases - Enter Cases'!G777,"")</f>
        <v/>
      </c>
      <c r="H777" t="str">
        <f>IF($A777&lt;&gt;"",'All Cases - Enter Cases'!H777,"")</f>
        <v/>
      </c>
      <c r="I777" t="str">
        <f>IF($A777&lt;&gt;"",'All Cases - Enter Cases'!I777,"")</f>
        <v/>
      </c>
      <c r="J777" t="str">
        <f>IF($A777&lt;&gt;"",'All Cases - Enter Cases'!J777,"")</f>
        <v/>
      </c>
      <c r="K777" t="str">
        <f>IF($A777&lt;&gt;"",'All Cases - Enter Cases'!K777,"")</f>
        <v/>
      </c>
      <c r="L777" t="str">
        <f>IF($A777&lt;&gt;"",'All Cases - Enter Cases'!L777,"")</f>
        <v/>
      </c>
      <c r="M777" t="str">
        <f>IF($A777&lt;&gt;"",'All Cases - Enter Cases'!M777,"")</f>
        <v/>
      </c>
    </row>
    <row r="778" spans="1:13" x14ac:dyDescent="0.35">
      <c r="A778" t="str">
        <f>IF('All Cases - Enter Cases'!$F778="KPK",'All Cases - Enter Cases'!A778,"")</f>
        <v/>
      </c>
      <c r="B778" t="str">
        <f>IF($A778&lt;&gt;"",'All Cases - Enter Cases'!B778,"")</f>
        <v/>
      </c>
      <c r="C778" t="str">
        <f>IF($A778&lt;&gt;"",'All Cases - Enter Cases'!C778,"")</f>
        <v/>
      </c>
      <c r="D778" t="str">
        <f>IF($A778&lt;&gt;"",'All Cases - Enter Cases'!D778,"")</f>
        <v/>
      </c>
      <c r="E778" t="str">
        <f>IF($A778&lt;&gt;"",'All Cases - Enter Cases'!E778,"")</f>
        <v/>
      </c>
      <c r="F778" t="str">
        <f>IF($A778&lt;&gt;"",'All Cases - Enter Cases'!F778,"")</f>
        <v/>
      </c>
      <c r="G778" t="str">
        <f>IF($A778&lt;&gt;"",'All Cases - Enter Cases'!G778,"")</f>
        <v/>
      </c>
      <c r="H778" t="str">
        <f>IF($A778&lt;&gt;"",'All Cases - Enter Cases'!H778,"")</f>
        <v/>
      </c>
      <c r="I778" t="str">
        <f>IF($A778&lt;&gt;"",'All Cases - Enter Cases'!I778,"")</f>
        <v/>
      </c>
      <c r="J778" t="str">
        <f>IF($A778&lt;&gt;"",'All Cases - Enter Cases'!J778,"")</f>
        <v/>
      </c>
      <c r="K778" t="str">
        <f>IF($A778&lt;&gt;"",'All Cases - Enter Cases'!K778,"")</f>
        <v/>
      </c>
      <c r="L778" t="str">
        <f>IF($A778&lt;&gt;"",'All Cases - Enter Cases'!L778,"")</f>
        <v/>
      </c>
      <c r="M778" t="str">
        <f>IF($A778&lt;&gt;"",'All Cases - Enter Cases'!M778,"")</f>
        <v/>
      </c>
    </row>
    <row r="779" spans="1:13" x14ac:dyDescent="0.35">
      <c r="A779" t="str">
        <f>IF('All Cases - Enter Cases'!$F779="KPK",'All Cases - Enter Cases'!A779,"")</f>
        <v/>
      </c>
      <c r="B779" t="str">
        <f>IF($A779&lt;&gt;"",'All Cases - Enter Cases'!B779,"")</f>
        <v/>
      </c>
      <c r="C779" t="str">
        <f>IF($A779&lt;&gt;"",'All Cases - Enter Cases'!C779,"")</f>
        <v/>
      </c>
      <c r="D779" t="str">
        <f>IF($A779&lt;&gt;"",'All Cases - Enter Cases'!D779,"")</f>
        <v/>
      </c>
      <c r="E779" t="str">
        <f>IF($A779&lt;&gt;"",'All Cases - Enter Cases'!E779,"")</f>
        <v/>
      </c>
      <c r="F779" t="str">
        <f>IF($A779&lt;&gt;"",'All Cases - Enter Cases'!F779,"")</f>
        <v/>
      </c>
      <c r="G779" t="str">
        <f>IF($A779&lt;&gt;"",'All Cases - Enter Cases'!G779,"")</f>
        <v/>
      </c>
      <c r="H779" t="str">
        <f>IF($A779&lt;&gt;"",'All Cases - Enter Cases'!H779,"")</f>
        <v/>
      </c>
      <c r="I779" t="str">
        <f>IF($A779&lt;&gt;"",'All Cases - Enter Cases'!I779,"")</f>
        <v/>
      </c>
      <c r="J779" t="str">
        <f>IF($A779&lt;&gt;"",'All Cases - Enter Cases'!J779,"")</f>
        <v/>
      </c>
      <c r="K779" t="str">
        <f>IF($A779&lt;&gt;"",'All Cases - Enter Cases'!K779,"")</f>
        <v/>
      </c>
      <c r="L779" t="str">
        <f>IF($A779&lt;&gt;"",'All Cases - Enter Cases'!L779,"")</f>
        <v/>
      </c>
      <c r="M779" t="str">
        <f>IF($A779&lt;&gt;"",'All Cases - Enter Cases'!M779,"")</f>
        <v/>
      </c>
    </row>
    <row r="780" spans="1:13" x14ac:dyDescent="0.35">
      <c r="A780" t="str">
        <f>IF('All Cases - Enter Cases'!$F780="KPK",'All Cases - Enter Cases'!A780,"")</f>
        <v/>
      </c>
      <c r="B780" t="str">
        <f>IF($A780&lt;&gt;"",'All Cases - Enter Cases'!B780,"")</f>
        <v/>
      </c>
      <c r="C780" t="str">
        <f>IF($A780&lt;&gt;"",'All Cases - Enter Cases'!C780,"")</f>
        <v/>
      </c>
      <c r="D780" t="str">
        <f>IF($A780&lt;&gt;"",'All Cases - Enter Cases'!D780,"")</f>
        <v/>
      </c>
      <c r="E780" t="str">
        <f>IF($A780&lt;&gt;"",'All Cases - Enter Cases'!E780,"")</f>
        <v/>
      </c>
      <c r="F780" t="str">
        <f>IF($A780&lt;&gt;"",'All Cases - Enter Cases'!F780,"")</f>
        <v/>
      </c>
      <c r="G780" t="str">
        <f>IF($A780&lt;&gt;"",'All Cases - Enter Cases'!G780,"")</f>
        <v/>
      </c>
      <c r="H780" t="str">
        <f>IF($A780&lt;&gt;"",'All Cases - Enter Cases'!H780,"")</f>
        <v/>
      </c>
      <c r="I780" t="str">
        <f>IF($A780&lt;&gt;"",'All Cases - Enter Cases'!I780,"")</f>
        <v/>
      </c>
      <c r="J780" t="str">
        <f>IF($A780&lt;&gt;"",'All Cases - Enter Cases'!J780,"")</f>
        <v/>
      </c>
      <c r="K780" t="str">
        <f>IF($A780&lt;&gt;"",'All Cases - Enter Cases'!K780,"")</f>
        <v/>
      </c>
      <c r="L780" t="str">
        <f>IF($A780&lt;&gt;"",'All Cases - Enter Cases'!L780,"")</f>
        <v/>
      </c>
      <c r="M780" t="str">
        <f>IF($A780&lt;&gt;"",'All Cases - Enter Cases'!M780,"")</f>
        <v/>
      </c>
    </row>
    <row r="781" spans="1:13" x14ac:dyDescent="0.35">
      <c r="A781" t="str">
        <f>IF('All Cases - Enter Cases'!$F781="KPK",'All Cases - Enter Cases'!A781,"")</f>
        <v/>
      </c>
      <c r="B781" t="str">
        <f>IF($A781&lt;&gt;"",'All Cases - Enter Cases'!B781,"")</f>
        <v/>
      </c>
      <c r="C781" t="str">
        <f>IF($A781&lt;&gt;"",'All Cases - Enter Cases'!C781,"")</f>
        <v/>
      </c>
      <c r="D781" t="str">
        <f>IF($A781&lt;&gt;"",'All Cases - Enter Cases'!D781,"")</f>
        <v/>
      </c>
      <c r="E781" t="str">
        <f>IF($A781&lt;&gt;"",'All Cases - Enter Cases'!E781,"")</f>
        <v/>
      </c>
      <c r="F781" t="str">
        <f>IF($A781&lt;&gt;"",'All Cases - Enter Cases'!F781,"")</f>
        <v/>
      </c>
      <c r="G781" t="str">
        <f>IF($A781&lt;&gt;"",'All Cases - Enter Cases'!G781,"")</f>
        <v/>
      </c>
      <c r="H781" t="str">
        <f>IF($A781&lt;&gt;"",'All Cases - Enter Cases'!H781,"")</f>
        <v/>
      </c>
      <c r="I781" t="str">
        <f>IF($A781&lt;&gt;"",'All Cases - Enter Cases'!I781,"")</f>
        <v/>
      </c>
      <c r="J781" t="str">
        <f>IF($A781&lt;&gt;"",'All Cases - Enter Cases'!J781,"")</f>
        <v/>
      </c>
      <c r="K781" t="str">
        <f>IF($A781&lt;&gt;"",'All Cases - Enter Cases'!K781,"")</f>
        <v/>
      </c>
      <c r="L781" t="str">
        <f>IF($A781&lt;&gt;"",'All Cases - Enter Cases'!L781,"")</f>
        <v/>
      </c>
      <c r="M781" t="str">
        <f>IF($A781&lt;&gt;"",'All Cases - Enter Cases'!M781,"")</f>
        <v/>
      </c>
    </row>
    <row r="782" spans="1:13" x14ac:dyDescent="0.35">
      <c r="A782" t="str">
        <f>IF('All Cases - Enter Cases'!$F782="KPK",'All Cases - Enter Cases'!A782,"")</f>
        <v/>
      </c>
      <c r="B782" t="str">
        <f>IF($A782&lt;&gt;"",'All Cases - Enter Cases'!B782,"")</f>
        <v/>
      </c>
      <c r="C782" t="str">
        <f>IF($A782&lt;&gt;"",'All Cases - Enter Cases'!C782,"")</f>
        <v/>
      </c>
      <c r="D782" t="str">
        <f>IF($A782&lt;&gt;"",'All Cases - Enter Cases'!D782,"")</f>
        <v/>
      </c>
      <c r="E782" t="str">
        <f>IF($A782&lt;&gt;"",'All Cases - Enter Cases'!E782,"")</f>
        <v/>
      </c>
      <c r="F782" t="str">
        <f>IF($A782&lt;&gt;"",'All Cases - Enter Cases'!F782,"")</f>
        <v/>
      </c>
      <c r="G782" t="str">
        <f>IF($A782&lt;&gt;"",'All Cases - Enter Cases'!G782,"")</f>
        <v/>
      </c>
      <c r="H782" t="str">
        <f>IF($A782&lt;&gt;"",'All Cases - Enter Cases'!H782,"")</f>
        <v/>
      </c>
      <c r="I782" t="str">
        <f>IF($A782&lt;&gt;"",'All Cases - Enter Cases'!I782,"")</f>
        <v/>
      </c>
      <c r="J782" t="str">
        <f>IF($A782&lt;&gt;"",'All Cases - Enter Cases'!J782,"")</f>
        <v/>
      </c>
      <c r="K782" t="str">
        <f>IF($A782&lt;&gt;"",'All Cases - Enter Cases'!K782,"")</f>
        <v/>
      </c>
      <c r="L782" t="str">
        <f>IF($A782&lt;&gt;"",'All Cases - Enter Cases'!L782,"")</f>
        <v/>
      </c>
      <c r="M782" t="str">
        <f>IF($A782&lt;&gt;"",'All Cases - Enter Cases'!M782,"")</f>
        <v/>
      </c>
    </row>
    <row r="783" spans="1:13" x14ac:dyDescent="0.35">
      <c r="A783" t="str">
        <f>IF('All Cases - Enter Cases'!$F783="KPK",'All Cases - Enter Cases'!A783,"")</f>
        <v/>
      </c>
      <c r="B783" t="str">
        <f>IF($A783&lt;&gt;"",'All Cases - Enter Cases'!B783,"")</f>
        <v/>
      </c>
      <c r="C783" t="str">
        <f>IF($A783&lt;&gt;"",'All Cases - Enter Cases'!C783,"")</f>
        <v/>
      </c>
      <c r="D783" t="str">
        <f>IF($A783&lt;&gt;"",'All Cases - Enter Cases'!D783,"")</f>
        <v/>
      </c>
      <c r="E783" t="str">
        <f>IF($A783&lt;&gt;"",'All Cases - Enter Cases'!E783,"")</f>
        <v/>
      </c>
      <c r="F783" t="str">
        <f>IF($A783&lt;&gt;"",'All Cases - Enter Cases'!F783,"")</f>
        <v/>
      </c>
      <c r="G783" t="str">
        <f>IF($A783&lt;&gt;"",'All Cases - Enter Cases'!G783,"")</f>
        <v/>
      </c>
      <c r="H783" t="str">
        <f>IF($A783&lt;&gt;"",'All Cases - Enter Cases'!H783,"")</f>
        <v/>
      </c>
      <c r="I783" t="str">
        <f>IF($A783&lt;&gt;"",'All Cases - Enter Cases'!I783,"")</f>
        <v/>
      </c>
      <c r="J783" t="str">
        <f>IF($A783&lt;&gt;"",'All Cases - Enter Cases'!J783,"")</f>
        <v/>
      </c>
      <c r="K783" t="str">
        <f>IF($A783&lt;&gt;"",'All Cases - Enter Cases'!K783,"")</f>
        <v/>
      </c>
      <c r="L783" t="str">
        <f>IF($A783&lt;&gt;"",'All Cases - Enter Cases'!L783,"")</f>
        <v/>
      </c>
      <c r="M783" t="str">
        <f>IF($A783&lt;&gt;"",'All Cases - Enter Cases'!M783,"")</f>
        <v/>
      </c>
    </row>
    <row r="784" spans="1:13" x14ac:dyDescent="0.35">
      <c r="A784" t="str">
        <f>IF('All Cases - Enter Cases'!$F784="KPK",'All Cases - Enter Cases'!A784,"")</f>
        <v/>
      </c>
      <c r="B784" t="str">
        <f>IF($A784&lt;&gt;"",'All Cases - Enter Cases'!B784,"")</f>
        <v/>
      </c>
      <c r="C784" t="str">
        <f>IF($A784&lt;&gt;"",'All Cases - Enter Cases'!C784,"")</f>
        <v/>
      </c>
      <c r="D784" t="str">
        <f>IF($A784&lt;&gt;"",'All Cases - Enter Cases'!D784,"")</f>
        <v/>
      </c>
      <c r="E784" t="str">
        <f>IF($A784&lt;&gt;"",'All Cases - Enter Cases'!E784,"")</f>
        <v/>
      </c>
      <c r="F784" t="str">
        <f>IF($A784&lt;&gt;"",'All Cases - Enter Cases'!F784,"")</f>
        <v/>
      </c>
      <c r="G784" t="str">
        <f>IF($A784&lt;&gt;"",'All Cases - Enter Cases'!G784,"")</f>
        <v/>
      </c>
      <c r="H784" t="str">
        <f>IF($A784&lt;&gt;"",'All Cases - Enter Cases'!H784,"")</f>
        <v/>
      </c>
      <c r="I784" t="str">
        <f>IF($A784&lt;&gt;"",'All Cases - Enter Cases'!I784,"")</f>
        <v/>
      </c>
      <c r="J784" t="str">
        <f>IF($A784&lt;&gt;"",'All Cases - Enter Cases'!J784,"")</f>
        <v/>
      </c>
      <c r="K784" t="str">
        <f>IF($A784&lt;&gt;"",'All Cases - Enter Cases'!K784,"")</f>
        <v/>
      </c>
      <c r="L784" t="str">
        <f>IF($A784&lt;&gt;"",'All Cases - Enter Cases'!L784,"")</f>
        <v/>
      </c>
      <c r="M784" t="str">
        <f>IF($A784&lt;&gt;"",'All Cases - Enter Cases'!M784,"")</f>
        <v/>
      </c>
    </row>
    <row r="785" spans="1:13" x14ac:dyDescent="0.35">
      <c r="A785" t="str">
        <f>IF('All Cases - Enter Cases'!$F785="KPK",'All Cases - Enter Cases'!A785,"")</f>
        <v/>
      </c>
      <c r="B785" t="str">
        <f>IF($A785&lt;&gt;"",'All Cases - Enter Cases'!B785,"")</f>
        <v/>
      </c>
      <c r="C785" t="str">
        <f>IF($A785&lt;&gt;"",'All Cases - Enter Cases'!C785,"")</f>
        <v/>
      </c>
      <c r="D785" t="str">
        <f>IF($A785&lt;&gt;"",'All Cases - Enter Cases'!D785,"")</f>
        <v/>
      </c>
      <c r="E785" t="str">
        <f>IF($A785&lt;&gt;"",'All Cases - Enter Cases'!E785,"")</f>
        <v/>
      </c>
      <c r="F785" t="str">
        <f>IF($A785&lt;&gt;"",'All Cases - Enter Cases'!F785,"")</f>
        <v/>
      </c>
      <c r="G785" t="str">
        <f>IF($A785&lt;&gt;"",'All Cases - Enter Cases'!G785,"")</f>
        <v/>
      </c>
      <c r="H785" t="str">
        <f>IF($A785&lt;&gt;"",'All Cases - Enter Cases'!H785,"")</f>
        <v/>
      </c>
      <c r="I785" t="str">
        <f>IF($A785&lt;&gt;"",'All Cases - Enter Cases'!I785,"")</f>
        <v/>
      </c>
      <c r="J785" t="str">
        <f>IF($A785&lt;&gt;"",'All Cases - Enter Cases'!J785,"")</f>
        <v/>
      </c>
      <c r="K785" t="str">
        <f>IF($A785&lt;&gt;"",'All Cases - Enter Cases'!K785,"")</f>
        <v/>
      </c>
      <c r="L785" t="str">
        <f>IF($A785&lt;&gt;"",'All Cases - Enter Cases'!L785,"")</f>
        <v/>
      </c>
      <c r="M785" t="str">
        <f>IF($A785&lt;&gt;"",'All Cases - Enter Cases'!M785,"")</f>
        <v/>
      </c>
    </row>
    <row r="786" spans="1:13" x14ac:dyDescent="0.35">
      <c r="A786" t="str">
        <f>IF('All Cases - Enter Cases'!$F786="KPK",'All Cases - Enter Cases'!A786,"")</f>
        <v/>
      </c>
      <c r="B786" t="str">
        <f>IF($A786&lt;&gt;"",'All Cases - Enter Cases'!B786,"")</f>
        <v/>
      </c>
      <c r="C786" t="str">
        <f>IF($A786&lt;&gt;"",'All Cases - Enter Cases'!C786,"")</f>
        <v/>
      </c>
      <c r="D786" t="str">
        <f>IF($A786&lt;&gt;"",'All Cases - Enter Cases'!D786,"")</f>
        <v/>
      </c>
      <c r="E786" t="str">
        <f>IF($A786&lt;&gt;"",'All Cases - Enter Cases'!E786,"")</f>
        <v/>
      </c>
      <c r="F786" t="str">
        <f>IF($A786&lt;&gt;"",'All Cases - Enter Cases'!F786,"")</f>
        <v/>
      </c>
      <c r="G786" t="str">
        <f>IF($A786&lt;&gt;"",'All Cases - Enter Cases'!G786,"")</f>
        <v/>
      </c>
      <c r="H786" t="str">
        <f>IF($A786&lt;&gt;"",'All Cases - Enter Cases'!H786,"")</f>
        <v/>
      </c>
      <c r="I786" t="str">
        <f>IF($A786&lt;&gt;"",'All Cases - Enter Cases'!I786,"")</f>
        <v/>
      </c>
      <c r="J786" t="str">
        <f>IF($A786&lt;&gt;"",'All Cases - Enter Cases'!J786,"")</f>
        <v/>
      </c>
      <c r="K786" t="str">
        <f>IF($A786&lt;&gt;"",'All Cases - Enter Cases'!K786,"")</f>
        <v/>
      </c>
      <c r="L786" t="str">
        <f>IF($A786&lt;&gt;"",'All Cases - Enter Cases'!L786,"")</f>
        <v/>
      </c>
      <c r="M786" t="str">
        <f>IF($A786&lt;&gt;"",'All Cases - Enter Cases'!M786,"")</f>
        <v/>
      </c>
    </row>
    <row r="787" spans="1:13" x14ac:dyDescent="0.35">
      <c r="A787" t="str">
        <f>IF('All Cases - Enter Cases'!$F787="KPK",'All Cases - Enter Cases'!A787,"")</f>
        <v/>
      </c>
      <c r="B787" t="str">
        <f>IF($A787&lt;&gt;"",'All Cases - Enter Cases'!B787,"")</f>
        <v/>
      </c>
      <c r="C787" t="str">
        <f>IF($A787&lt;&gt;"",'All Cases - Enter Cases'!C787,"")</f>
        <v/>
      </c>
      <c r="D787" t="str">
        <f>IF($A787&lt;&gt;"",'All Cases - Enter Cases'!D787,"")</f>
        <v/>
      </c>
      <c r="E787" t="str">
        <f>IF($A787&lt;&gt;"",'All Cases - Enter Cases'!E787,"")</f>
        <v/>
      </c>
      <c r="F787" t="str">
        <f>IF($A787&lt;&gt;"",'All Cases - Enter Cases'!F787,"")</f>
        <v/>
      </c>
      <c r="G787" t="str">
        <f>IF($A787&lt;&gt;"",'All Cases - Enter Cases'!G787,"")</f>
        <v/>
      </c>
      <c r="H787" t="str">
        <f>IF($A787&lt;&gt;"",'All Cases - Enter Cases'!H787,"")</f>
        <v/>
      </c>
      <c r="I787" t="str">
        <f>IF($A787&lt;&gt;"",'All Cases - Enter Cases'!I787,"")</f>
        <v/>
      </c>
      <c r="J787" t="str">
        <f>IF($A787&lt;&gt;"",'All Cases - Enter Cases'!J787,"")</f>
        <v/>
      </c>
      <c r="K787" t="str">
        <f>IF($A787&lt;&gt;"",'All Cases - Enter Cases'!K787,"")</f>
        <v/>
      </c>
      <c r="L787" t="str">
        <f>IF($A787&lt;&gt;"",'All Cases - Enter Cases'!L787,"")</f>
        <v/>
      </c>
      <c r="M787" t="str">
        <f>IF($A787&lt;&gt;"",'All Cases - Enter Cases'!M787,"")</f>
        <v/>
      </c>
    </row>
    <row r="788" spans="1:13" x14ac:dyDescent="0.35">
      <c r="A788" t="str">
        <f>IF('All Cases - Enter Cases'!$F788="KPK",'All Cases - Enter Cases'!A788,"")</f>
        <v/>
      </c>
      <c r="B788" t="str">
        <f>IF($A788&lt;&gt;"",'All Cases - Enter Cases'!B788,"")</f>
        <v/>
      </c>
      <c r="C788" t="str">
        <f>IF($A788&lt;&gt;"",'All Cases - Enter Cases'!C788,"")</f>
        <v/>
      </c>
      <c r="D788" t="str">
        <f>IF($A788&lt;&gt;"",'All Cases - Enter Cases'!D788,"")</f>
        <v/>
      </c>
      <c r="E788" t="str">
        <f>IF($A788&lt;&gt;"",'All Cases - Enter Cases'!E788,"")</f>
        <v/>
      </c>
      <c r="F788" t="str">
        <f>IF($A788&lt;&gt;"",'All Cases - Enter Cases'!F788,"")</f>
        <v/>
      </c>
      <c r="G788" t="str">
        <f>IF($A788&lt;&gt;"",'All Cases - Enter Cases'!G788,"")</f>
        <v/>
      </c>
      <c r="H788" t="str">
        <f>IF($A788&lt;&gt;"",'All Cases - Enter Cases'!H788,"")</f>
        <v/>
      </c>
      <c r="I788" t="str">
        <f>IF($A788&lt;&gt;"",'All Cases - Enter Cases'!I788,"")</f>
        <v/>
      </c>
      <c r="J788" t="str">
        <f>IF($A788&lt;&gt;"",'All Cases - Enter Cases'!J788,"")</f>
        <v/>
      </c>
      <c r="K788" t="str">
        <f>IF($A788&lt;&gt;"",'All Cases - Enter Cases'!K788,"")</f>
        <v/>
      </c>
      <c r="L788" t="str">
        <f>IF($A788&lt;&gt;"",'All Cases - Enter Cases'!L788,"")</f>
        <v/>
      </c>
      <c r="M788" t="str">
        <f>IF($A788&lt;&gt;"",'All Cases - Enter Cases'!M788,"")</f>
        <v/>
      </c>
    </row>
    <row r="789" spans="1:13" x14ac:dyDescent="0.35">
      <c r="A789" t="str">
        <f>IF('All Cases - Enter Cases'!$F789="KPK",'All Cases - Enter Cases'!A789,"")</f>
        <v/>
      </c>
      <c r="B789" t="str">
        <f>IF($A789&lt;&gt;"",'All Cases - Enter Cases'!B789,"")</f>
        <v/>
      </c>
      <c r="C789" t="str">
        <f>IF($A789&lt;&gt;"",'All Cases - Enter Cases'!C789,"")</f>
        <v/>
      </c>
      <c r="D789" t="str">
        <f>IF($A789&lt;&gt;"",'All Cases - Enter Cases'!D789,"")</f>
        <v/>
      </c>
      <c r="E789" t="str">
        <f>IF($A789&lt;&gt;"",'All Cases - Enter Cases'!E789,"")</f>
        <v/>
      </c>
      <c r="F789" t="str">
        <f>IF($A789&lt;&gt;"",'All Cases - Enter Cases'!F789,"")</f>
        <v/>
      </c>
      <c r="G789" t="str">
        <f>IF($A789&lt;&gt;"",'All Cases - Enter Cases'!G789,"")</f>
        <v/>
      </c>
      <c r="H789" t="str">
        <f>IF($A789&lt;&gt;"",'All Cases - Enter Cases'!H789,"")</f>
        <v/>
      </c>
      <c r="I789" t="str">
        <f>IF($A789&lt;&gt;"",'All Cases - Enter Cases'!I789,"")</f>
        <v/>
      </c>
      <c r="J789" t="str">
        <f>IF($A789&lt;&gt;"",'All Cases - Enter Cases'!J789,"")</f>
        <v/>
      </c>
      <c r="K789" t="str">
        <f>IF($A789&lt;&gt;"",'All Cases - Enter Cases'!K789,"")</f>
        <v/>
      </c>
      <c r="L789" t="str">
        <f>IF($A789&lt;&gt;"",'All Cases - Enter Cases'!L789,"")</f>
        <v/>
      </c>
      <c r="M789" t="str">
        <f>IF($A789&lt;&gt;"",'All Cases - Enter Cases'!M789,"")</f>
        <v/>
      </c>
    </row>
    <row r="790" spans="1:13" x14ac:dyDescent="0.35">
      <c r="A790" t="str">
        <f>IF('All Cases - Enter Cases'!$F790="KPK",'All Cases - Enter Cases'!A790,"")</f>
        <v/>
      </c>
      <c r="B790" t="str">
        <f>IF($A790&lt;&gt;"",'All Cases - Enter Cases'!B790,"")</f>
        <v/>
      </c>
      <c r="C790" t="str">
        <f>IF($A790&lt;&gt;"",'All Cases - Enter Cases'!C790,"")</f>
        <v/>
      </c>
      <c r="D790" t="str">
        <f>IF($A790&lt;&gt;"",'All Cases - Enter Cases'!D790,"")</f>
        <v/>
      </c>
      <c r="E790" t="str">
        <f>IF($A790&lt;&gt;"",'All Cases - Enter Cases'!E790,"")</f>
        <v/>
      </c>
      <c r="F790" t="str">
        <f>IF($A790&lt;&gt;"",'All Cases - Enter Cases'!F790,"")</f>
        <v/>
      </c>
      <c r="G790" t="str">
        <f>IF($A790&lt;&gt;"",'All Cases - Enter Cases'!G790,"")</f>
        <v/>
      </c>
      <c r="H790" t="str">
        <f>IF($A790&lt;&gt;"",'All Cases - Enter Cases'!H790,"")</f>
        <v/>
      </c>
      <c r="I790" t="str">
        <f>IF($A790&lt;&gt;"",'All Cases - Enter Cases'!I790,"")</f>
        <v/>
      </c>
      <c r="J790" t="str">
        <f>IF($A790&lt;&gt;"",'All Cases - Enter Cases'!J790,"")</f>
        <v/>
      </c>
      <c r="K790" t="str">
        <f>IF($A790&lt;&gt;"",'All Cases - Enter Cases'!K790,"")</f>
        <v/>
      </c>
      <c r="L790" t="str">
        <f>IF($A790&lt;&gt;"",'All Cases - Enter Cases'!L790,"")</f>
        <v/>
      </c>
      <c r="M790" t="str">
        <f>IF($A790&lt;&gt;"",'All Cases - Enter Cases'!M790,"")</f>
        <v/>
      </c>
    </row>
    <row r="791" spans="1:13" x14ac:dyDescent="0.35">
      <c r="A791" t="str">
        <f>IF('All Cases - Enter Cases'!$F791="KPK",'All Cases - Enter Cases'!A791,"")</f>
        <v/>
      </c>
      <c r="B791" t="str">
        <f>IF($A791&lt;&gt;"",'All Cases - Enter Cases'!B791,"")</f>
        <v/>
      </c>
      <c r="C791" t="str">
        <f>IF($A791&lt;&gt;"",'All Cases - Enter Cases'!C791,"")</f>
        <v/>
      </c>
      <c r="D791" t="str">
        <f>IF($A791&lt;&gt;"",'All Cases - Enter Cases'!D791,"")</f>
        <v/>
      </c>
      <c r="E791" t="str">
        <f>IF($A791&lt;&gt;"",'All Cases - Enter Cases'!E791,"")</f>
        <v/>
      </c>
      <c r="F791" t="str">
        <f>IF($A791&lt;&gt;"",'All Cases - Enter Cases'!F791,"")</f>
        <v/>
      </c>
      <c r="G791" t="str">
        <f>IF($A791&lt;&gt;"",'All Cases - Enter Cases'!G791,"")</f>
        <v/>
      </c>
      <c r="H791" t="str">
        <f>IF($A791&lt;&gt;"",'All Cases - Enter Cases'!H791,"")</f>
        <v/>
      </c>
      <c r="I791" t="str">
        <f>IF($A791&lt;&gt;"",'All Cases - Enter Cases'!I791,"")</f>
        <v/>
      </c>
      <c r="J791" t="str">
        <f>IF($A791&lt;&gt;"",'All Cases - Enter Cases'!J791,"")</f>
        <v/>
      </c>
      <c r="K791" t="str">
        <f>IF($A791&lt;&gt;"",'All Cases - Enter Cases'!K791,"")</f>
        <v/>
      </c>
      <c r="L791" t="str">
        <f>IF($A791&lt;&gt;"",'All Cases - Enter Cases'!L791,"")</f>
        <v/>
      </c>
      <c r="M791" t="str">
        <f>IF($A791&lt;&gt;"",'All Cases - Enter Cases'!M791,"")</f>
        <v/>
      </c>
    </row>
    <row r="792" spans="1:13" x14ac:dyDescent="0.35">
      <c r="A792" t="str">
        <f>IF('All Cases - Enter Cases'!$F792="KPK",'All Cases - Enter Cases'!A792,"")</f>
        <v/>
      </c>
      <c r="B792" t="str">
        <f>IF($A792&lt;&gt;"",'All Cases - Enter Cases'!B792,"")</f>
        <v/>
      </c>
      <c r="C792" t="str">
        <f>IF($A792&lt;&gt;"",'All Cases - Enter Cases'!C792,"")</f>
        <v/>
      </c>
      <c r="D792" t="str">
        <f>IF($A792&lt;&gt;"",'All Cases - Enter Cases'!D792,"")</f>
        <v/>
      </c>
      <c r="E792" t="str">
        <f>IF($A792&lt;&gt;"",'All Cases - Enter Cases'!E792,"")</f>
        <v/>
      </c>
      <c r="F792" t="str">
        <f>IF($A792&lt;&gt;"",'All Cases - Enter Cases'!F792,"")</f>
        <v/>
      </c>
      <c r="G792" t="str">
        <f>IF($A792&lt;&gt;"",'All Cases - Enter Cases'!G792,"")</f>
        <v/>
      </c>
      <c r="H792" t="str">
        <f>IF($A792&lt;&gt;"",'All Cases - Enter Cases'!H792,"")</f>
        <v/>
      </c>
      <c r="I792" t="str">
        <f>IF($A792&lt;&gt;"",'All Cases - Enter Cases'!I792,"")</f>
        <v/>
      </c>
      <c r="J792" t="str">
        <f>IF($A792&lt;&gt;"",'All Cases - Enter Cases'!J792,"")</f>
        <v/>
      </c>
      <c r="K792" t="str">
        <f>IF($A792&lt;&gt;"",'All Cases - Enter Cases'!K792,"")</f>
        <v/>
      </c>
      <c r="L792" t="str">
        <f>IF($A792&lt;&gt;"",'All Cases - Enter Cases'!L792,"")</f>
        <v/>
      </c>
      <c r="M792" t="str">
        <f>IF($A792&lt;&gt;"",'All Cases - Enter Cases'!M792,"")</f>
        <v/>
      </c>
    </row>
    <row r="793" spans="1:13" x14ac:dyDescent="0.35">
      <c r="A793" t="str">
        <f>IF('All Cases - Enter Cases'!$F793="KPK",'All Cases - Enter Cases'!A793,"")</f>
        <v/>
      </c>
      <c r="B793" t="str">
        <f>IF($A793&lt;&gt;"",'All Cases - Enter Cases'!B793,"")</f>
        <v/>
      </c>
      <c r="C793" t="str">
        <f>IF($A793&lt;&gt;"",'All Cases - Enter Cases'!C793,"")</f>
        <v/>
      </c>
      <c r="D793" t="str">
        <f>IF($A793&lt;&gt;"",'All Cases - Enter Cases'!D793,"")</f>
        <v/>
      </c>
      <c r="E793" t="str">
        <f>IF($A793&lt;&gt;"",'All Cases - Enter Cases'!E793,"")</f>
        <v/>
      </c>
      <c r="F793" t="str">
        <f>IF($A793&lt;&gt;"",'All Cases - Enter Cases'!F793,"")</f>
        <v/>
      </c>
      <c r="G793" t="str">
        <f>IF($A793&lt;&gt;"",'All Cases - Enter Cases'!G793,"")</f>
        <v/>
      </c>
      <c r="H793" t="str">
        <f>IF($A793&lt;&gt;"",'All Cases - Enter Cases'!H793,"")</f>
        <v/>
      </c>
      <c r="I793" t="str">
        <f>IF($A793&lt;&gt;"",'All Cases - Enter Cases'!I793,"")</f>
        <v/>
      </c>
      <c r="J793" t="str">
        <f>IF($A793&lt;&gt;"",'All Cases - Enter Cases'!J793,"")</f>
        <v/>
      </c>
      <c r="K793" t="str">
        <f>IF($A793&lt;&gt;"",'All Cases - Enter Cases'!K793,"")</f>
        <v/>
      </c>
      <c r="L793" t="str">
        <f>IF($A793&lt;&gt;"",'All Cases - Enter Cases'!L793,"")</f>
        <v/>
      </c>
      <c r="M793" t="str">
        <f>IF($A793&lt;&gt;"",'All Cases - Enter Cases'!M793,"")</f>
        <v/>
      </c>
    </row>
    <row r="794" spans="1:13" x14ac:dyDescent="0.35">
      <c r="A794" t="str">
        <f>IF('All Cases - Enter Cases'!$F794="KPK",'All Cases - Enter Cases'!A794,"")</f>
        <v/>
      </c>
      <c r="B794" t="str">
        <f>IF($A794&lt;&gt;"",'All Cases - Enter Cases'!B794,"")</f>
        <v/>
      </c>
      <c r="C794" t="str">
        <f>IF($A794&lt;&gt;"",'All Cases - Enter Cases'!C794,"")</f>
        <v/>
      </c>
      <c r="D794" t="str">
        <f>IF($A794&lt;&gt;"",'All Cases - Enter Cases'!D794,"")</f>
        <v/>
      </c>
      <c r="E794" t="str">
        <f>IF($A794&lt;&gt;"",'All Cases - Enter Cases'!E794,"")</f>
        <v/>
      </c>
      <c r="F794" t="str">
        <f>IF($A794&lt;&gt;"",'All Cases - Enter Cases'!F794,"")</f>
        <v/>
      </c>
      <c r="G794" t="str">
        <f>IF($A794&lt;&gt;"",'All Cases - Enter Cases'!G794,"")</f>
        <v/>
      </c>
      <c r="H794" t="str">
        <f>IF($A794&lt;&gt;"",'All Cases - Enter Cases'!H794,"")</f>
        <v/>
      </c>
      <c r="I794" t="str">
        <f>IF($A794&lt;&gt;"",'All Cases - Enter Cases'!I794,"")</f>
        <v/>
      </c>
      <c r="J794" t="str">
        <f>IF($A794&lt;&gt;"",'All Cases - Enter Cases'!J794,"")</f>
        <v/>
      </c>
      <c r="K794" t="str">
        <f>IF($A794&lt;&gt;"",'All Cases - Enter Cases'!K794,"")</f>
        <v/>
      </c>
      <c r="L794" t="str">
        <f>IF($A794&lt;&gt;"",'All Cases - Enter Cases'!L794,"")</f>
        <v/>
      </c>
      <c r="M794" t="str">
        <f>IF($A794&lt;&gt;"",'All Cases - Enter Cases'!M794,"")</f>
        <v/>
      </c>
    </row>
    <row r="795" spans="1:13" x14ac:dyDescent="0.35">
      <c r="A795" t="str">
        <f>IF('All Cases - Enter Cases'!$F795="KPK",'All Cases - Enter Cases'!A795,"")</f>
        <v/>
      </c>
      <c r="B795" t="str">
        <f>IF($A795&lt;&gt;"",'All Cases - Enter Cases'!B795,"")</f>
        <v/>
      </c>
      <c r="C795" t="str">
        <f>IF($A795&lt;&gt;"",'All Cases - Enter Cases'!C795,"")</f>
        <v/>
      </c>
      <c r="D795" t="str">
        <f>IF($A795&lt;&gt;"",'All Cases - Enter Cases'!D795,"")</f>
        <v/>
      </c>
      <c r="E795" t="str">
        <f>IF($A795&lt;&gt;"",'All Cases - Enter Cases'!E795,"")</f>
        <v/>
      </c>
      <c r="F795" t="str">
        <f>IF($A795&lt;&gt;"",'All Cases - Enter Cases'!F795,"")</f>
        <v/>
      </c>
      <c r="G795" t="str">
        <f>IF($A795&lt;&gt;"",'All Cases - Enter Cases'!G795,"")</f>
        <v/>
      </c>
      <c r="H795" t="str">
        <f>IF($A795&lt;&gt;"",'All Cases - Enter Cases'!H795,"")</f>
        <v/>
      </c>
      <c r="I795" t="str">
        <f>IF($A795&lt;&gt;"",'All Cases - Enter Cases'!I795,"")</f>
        <v/>
      </c>
      <c r="J795" t="str">
        <f>IF($A795&lt;&gt;"",'All Cases - Enter Cases'!J795,"")</f>
        <v/>
      </c>
      <c r="K795" t="str">
        <f>IF($A795&lt;&gt;"",'All Cases - Enter Cases'!K795,"")</f>
        <v/>
      </c>
      <c r="L795" t="str">
        <f>IF($A795&lt;&gt;"",'All Cases - Enter Cases'!L795,"")</f>
        <v/>
      </c>
      <c r="M795" t="str">
        <f>IF($A795&lt;&gt;"",'All Cases - Enter Cases'!M795,"")</f>
        <v/>
      </c>
    </row>
    <row r="796" spans="1:13" x14ac:dyDescent="0.35">
      <c r="A796" t="str">
        <f>IF('All Cases - Enter Cases'!$F796="KPK",'All Cases - Enter Cases'!A796,"")</f>
        <v/>
      </c>
      <c r="B796" t="str">
        <f>IF($A796&lt;&gt;"",'All Cases - Enter Cases'!B796,"")</f>
        <v/>
      </c>
      <c r="C796" t="str">
        <f>IF($A796&lt;&gt;"",'All Cases - Enter Cases'!C796,"")</f>
        <v/>
      </c>
      <c r="D796" t="str">
        <f>IF($A796&lt;&gt;"",'All Cases - Enter Cases'!D796,"")</f>
        <v/>
      </c>
      <c r="E796" t="str">
        <f>IF($A796&lt;&gt;"",'All Cases - Enter Cases'!E796,"")</f>
        <v/>
      </c>
      <c r="F796" t="str">
        <f>IF($A796&lt;&gt;"",'All Cases - Enter Cases'!F796,"")</f>
        <v/>
      </c>
      <c r="G796" t="str">
        <f>IF($A796&lt;&gt;"",'All Cases - Enter Cases'!G796,"")</f>
        <v/>
      </c>
      <c r="H796" t="str">
        <f>IF($A796&lt;&gt;"",'All Cases - Enter Cases'!H796,"")</f>
        <v/>
      </c>
      <c r="I796" t="str">
        <f>IF($A796&lt;&gt;"",'All Cases - Enter Cases'!I796,"")</f>
        <v/>
      </c>
      <c r="J796" t="str">
        <f>IF($A796&lt;&gt;"",'All Cases - Enter Cases'!J796,"")</f>
        <v/>
      </c>
      <c r="K796" t="str">
        <f>IF($A796&lt;&gt;"",'All Cases - Enter Cases'!K796,"")</f>
        <v/>
      </c>
      <c r="L796" t="str">
        <f>IF($A796&lt;&gt;"",'All Cases - Enter Cases'!L796,"")</f>
        <v/>
      </c>
      <c r="M796" t="str">
        <f>IF($A796&lt;&gt;"",'All Cases - Enter Cases'!M796,"")</f>
        <v/>
      </c>
    </row>
    <row r="797" spans="1:13" x14ac:dyDescent="0.35">
      <c r="A797" t="str">
        <f>IF('All Cases - Enter Cases'!$F797="KPK",'All Cases - Enter Cases'!A797,"")</f>
        <v/>
      </c>
      <c r="B797" t="str">
        <f>IF($A797&lt;&gt;"",'All Cases - Enter Cases'!B797,"")</f>
        <v/>
      </c>
      <c r="C797" t="str">
        <f>IF($A797&lt;&gt;"",'All Cases - Enter Cases'!C797,"")</f>
        <v/>
      </c>
      <c r="D797" t="str">
        <f>IF($A797&lt;&gt;"",'All Cases - Enter Cases'!D797,"")</f>
        <v/>
      </c>
      <c r="E797" t="str">
        <f>IF($A797&lt;&gt;"",'All Cases - Enter Cases'!E797,"")</f>
        <v/>
      </c>
      <c r="F797" t="str">
        <f>IF($A797&lt;&gt;"",'All Cases - Enter Cases'!F797,"")</f>
        <v/>
      </c>
      <c r="G797" t="str">
        <f>IF($A797&lt;&gt;"",'All Cases - Enter Cases'!G797,"")</f>
        <v/>
      </c>
      <c r="H797" t="str">
        <f>IF($A797&lt;&gt;"",'All Cases - Enter Cases'!H797,"")</f>
        <v/>
      </c>
      <c r="I797" t="str">
        <f>IF($A797&lt;&gt;"",'All Cases - Enter Cases'!I797,"")</f>
        <v/>
      </c>
      <c r="J797" t="str">
        <f>IF($A797&lt;&gt;"",'All Cases - Enter Cases'!J797,"")</f>
        <v/>
      </c>
      <c r="K797" t="str">
        <f>IF($A797&lt;&gt;"",'All Cases - Enter Cases'!K797,"")</f>
        <v/>
      </c>
      <c r="L797" t="str">
        <f>IF($A797&lt;&gt;"",'All Cases - Enter Cases'!L797,"")</f>
        <v/>
      </c>
      <c r="M797" t="str">
        <f>IF($A797&lt;&gt;"",'All Cases - Enter Cases'!M797,"")</f>
        <v/>
      </c>
    </row>
    <row r="798" spans="1:13" x14ac:dyDescent="0.35">
      <c r="A798" t="str">
        <f>IF('All Cases - Enter Cases'!$F798="KPK",'All Cases - Enter Cases'!A798,"")</f>
        <v/>
      </c>
      <c r="B798" t="str">
        <f>IF($A798&lt;&gt;"",'All Cases - Enter Cases'!B798,"")</f>
        <v/>
      </c>
      <c r="C798" t="str">
        <f>IF($A798&lt;&gt;"",'All Cases - Enter Cases'!C798,"")</f>
        <v/>
      </c>
      <c r="D798" t="str">
        <f>IF($A798&lt;&gt;"",'All Cases - Enter Cases'!D798,"")</f>
        <v/>
      </c>
      <c r="E798" t="str">
        <f>IF($A798&lt;&gt;"",'All Cases - Enter Cases'!E798,"")</f>
        <v/>
      </c>
      <c r="F798" t="str">
        <f>IF($A798&lt;&gt;"",'All Cases - Enter Cases'!F798,"")</f>
        <v/>
      </c>
      <c r="G798" t="str">
        <f>IF($A798&lt;&gt;"",'All Cases - Enter Cases'!G798,"")</f>
        <v/>
      </c>
      <c r="H798" t="str">
        <f>IF($A798&lt;&gt;"",'All Cases - Enter Cases'!H798,"")</f>
        <v/>
      </c>
      <c r="I798" t="str">
        <f>IF($A798&lt;&gt;"",'All Cases - Enter Cases'!I798,"")</f>
        <v/>
      </c>
      <c r="J798" t="str">
        <f>IF($A798&lt;&gt;"",'All Cases - Enter Cases'!J798,"")</f>
        <v/>
      </c>
      <c r="K798" t="str">
        <f>IF($A798&lt;&gt;"",'All Cases - Enter Cases'!K798,"")</f>
        <v/>
      </c>
      <c r="L798" t="str">
        <f>IF($A798&lt;&gt;"",'All Cases - Enter Cases'!L798,"")</f>
        <v/>
      </c>
      <c r="M798" t="str">
        <f>IF($A798&lt;&gt;"",'All Cases - Enter Cases'!M798,"")</f>
        <v/>
      </c>
    </row>
    <row r="799" spans="1:13" x14ac:dyDescent="0.35">
      <c r="A799" t="str">
        <f>IF('All Cases - Enter Cases'!$F799="KPK",'All Cases - Enter Cases'!A799,"")</f>
        <v/>
      </c>
      <c r="B799" t="str">
        <f>IF($A799&lt;&gt;"",'All Cases - Enter Cases'!B799,"")</f>
        <v/>
      </c>
      <c r="C799" t="str">
        <f>IF($A799&lt;&gt;"",'All Cases - Enter Cases'!C799,"")</f>
        <v/>
      </c>
      <c r="D799" t="str">
        <f>IF($A799&lt;&gt;"",'All Cases - Enter Cases'!D799,"")</f>
        <v/>
      </c>
      <c r="E799" t="str">
        <f>IF($A799&lt;&gt;"",'All Cases - Enter Cases'!E799,"")</f>
        <v/>
      </c>
      <c r="F799" t="str">
        <f>IF($A799&lt;&gt;"",'All Cases - Enter Cases'!F799,"")</f>
        <v/>
      </c>
      <c r="G799" t="str">
        <f>IF($A799&lt;&gt;"",'All Cases - Enter Cases'!G799,"")</f>
        <v/>
      </c>
      <c r="H799" t="str">
        <f>IF($A799&lt;&gt;"",'All Cases - Enter Cases'!H799,"")</f>
        <v/>
      </c>
      <c r="I799" t="str">
        <f>IF($A799&lt;&gt;"",'All Cases - Enter Cases'!I799,"")</f>
        <v/>
      </c>
      <c r="J799" t="str">
        <f>IF($A799&lt;&gt;"",'All Cases - Enter Cases'!J799,"")</f>
        <v/>
      </c>
      <c r="K799" t="str">
        <f>IF($A799&lt;&gt;"",'All Cases - Enter Cases'!K799,"")</f>
        <v/>
      </c>
      <c r="L799" t="str">
        <f>IF($A799&lt;&gt;"",'All Cases - Enter Cases'!L799,"")</f>
        <v/>
      </c>
      <c r="M799" t="str">
        <f>IF($A799&lt;&gt;"",'All Cases - Enter Cases'!M799,"")</f>
        <v/>
      </c>
    </row>
    <row r="800" spans="1:13" x14ac:dyDescent="0.35">
      <c r="A800" t="str">
        <f>IF('All Cases - Enter Cases'!$F800="KPK",'All Cases - Enter Cases'!A800,"")</f>
        <v/>
      </c>
      <c r="B800" t="str">
        <f>IF($A800&lt;&gt;"",'All Cases - Enter Cases'!B800,"")</f>
        <v/>
      </c>
      <c r="C800" t="str">
        <f>IF($A800&lt;&gt;"",'All Cases - Enter Cases'!C800,"")</f>
        <v/>
      </c>
      <c r="D800" t="str">
        <f>IF($A800&lt;&gt;"",'All Cases - Enter Cases'!D800,"")</f>
        <v/>
      </c>
      <c r="E800" t="str">
        <f>IF($A800&lt;&gt;"",'All Cases - Enter Cases'!E800,"")</f>
        <v/>
      </c>
      <c r="F800" t="str">
        <f>IF($A800&lt;&gt;"",'All Cases - Enter Cases'!F800,"")</f>
        <v/>
      </c>
      <c r="G800" t="str">
        <f>IF($A800&lt;&gt;"",'All Cases - Enter Cases'!G800,"")</f>
        <v/>
      </c>
      <c r="H800" t="str">
        <f>IF($A800&lt;&gt;"",'All Cases - Enter Cases'!H800,"")</f>
        <v/>
      </c>
      <c r="I800" t="str">
        <f>IF($A800&lt;&gt;"",'All Cases - Enter Cases'!I800,"")</f>
        <v/>
      </c>
      <c r="J800" t="str">
        <f>IF($A800&lt;&gt;"",'All Cases - Enter Cases'!J800,"")</f>
        <v/>
      </c>
      <c r="K800" t="str">
        <f>IF($A800&lt;&gt;"",'All Cases - Enter Cases'!K800,"")</f>
        <v/>
      </c>
      <c r="L800" t="str">
        <f>IF($A800&lt;&gt;"",'All Cases - Enter Cases'!L800,"")</f>
        <v/>
      </c>
      <c r="M800" t="str">
        <f>IF($A800&lt;&gt;"",'All Cases - Enter Cases'!M800,"")</f>
        <v/>
      </c>
    </row>
    <row r="801" spans="1:13" x14ac:dyDescent="0.35">
      <c r="A801" t="str">
        <f>IF('All Cases - Enter Cases'!$F801="KPK",'All Cases - Enter Cases'!A801,"")</f>
        <v/>
      </c>
      <c r="B801" t="str">
        <f>IF($A801&lt;&gt;"",'All Cases - Enter Cases'!B801,"")</f>
        <v/>
      </c>
      <c r="C801" t="str">
        <f>IF($A801&lt;&gt;"",'All Cases - Enter Cases'!C801,"")</f>
        <v/>
      </c>
      <c r="D801" t="str">
        <f>IF($A801&lt;&gt;"",'All Cases - Enter Cases'!D801,"")</f>
        <v/>
      </c>
      <c r="E801" t="str">
        <f>IF($A801&lt;&gt;"",'All Cases - Enter Cases'!E801,"")</f>
        <v/>
      </c>
      <c r="F801" t="str">
        <f>IF($A801&lt;&gt;"",'All Cases - Enter Cases'!F801,"")</f>
        <v/>
      </c>
      <c r="G801" t="str">
        <f>IF($A801&lt;&gt;"",'All Cases - Enter Cases'!G801,"")</f>
        <v/>
      </c>
      <c r="H801" t="str">
        <f>IF($A801&lt;&gt;"",'All Cases - Enter Cases'!H801,"")</f>
        <v/>
      </c>
      <c r="I801" t="str">
        <f>IF($A801&lt;&gt;"",'All Cases - Enter Cases'!I801,"")</f>
        <v/>
      </c>
      <c r="J801" t="str">
        <f>IF($A801&lt;&gt;"",'All Cases - Enter Cases'!J801,"")</f>
        <v/>
      </c>
      <c r="K801" t="str">
        <f>IF($A801&lt;&gt;"",'All Cases - Enter Cases'!K801,"")</f>
        <v/>
      </c>
      <c r="L801" t="str">
        <f>IF($A801&lt;&gt;"",'All Cases - Enter Cases'!L801,"")</f>
        <v/>
      </c>
      <c r="M801" t="str">
        <f>IF($A801&lt;&gt;"",'All Cases - Enter Cases'!M801,"")</f>
        <v/>
      </c>
    </row>
    <row r="802" spans="1:13" x14ac:dyDescent="0.35">
      <c r="A802" t="str">
        <f>IF('All Cases - Enter Cases'!$F802="KPK",'All Cases - Enter Cases'!A802,"")</f>
        <v/>
      </c>
      <c r="B802" t="str">
        <f>IF($A802&lt;&gt;"",'All Cases - Enter Cases'!B802,"")</f>
        <v/>
      </c>
      <c r="C802" t="str">
        <f>IF($A802&lt;&gt;"",'All Cases - Enter Cases'!C802,"")</f>
        <v/>
      </c>
      <c r="D802" t="str">
        <f>IF($A802&lt;&gt;"",'All Cases - Enter Cases'!D802,"")</f>
        <v/>
      </c>
      <c r="E802" t="str">
        <f>IF($A802&lt;&gt;"",'All Cases - Enter Cases'!E802,"")</f>
        <v/>
      </c>
      <c r="F802" t="str">
        <f>IF($A802&lt;&gt;"",'All Cases - Enter Cases'!F802,"")</f>
        <v/>
      </c>
      <c r="G802" t="str">
        <f>IF($A802&lt;&gt;"",'All Cases - Enter Cases'!G802,"")</f>
        <v/>
      </c>
      <c r="H802" t="str">
        <f>IF($A802&lt;&gt;"",'All Cases - Enter Cases'!H802,"")</f>
        <v/>
      </c>
      <c r="I802" t="str">
        <f>IF($A802&lt;&gt;"",'All Cases - Enter Cases'!I802,"")</f>
        <v/>
      </c>
      <c r="J802" t="str">
        <f>IF($A802&lt;&gt;"",'All Cases - Enter Cases'!J802,"")</f>
        <v/>
      </c>
      <c r="K802" t="str">
        <f>IF($A802&lt;&gt;"",'All Cases - Enter Cases'!K802,"")</f>
        <v/>
      </c>
      <c r="L802" t="str">
        <f>IF($A802&lt;&gt;"",'All Cases - Enter Cases'!L802,"")</f>
        <v/>
      </c>
      <c r="M802" t="str">
        <f>IF($A802&lt;&gt;"",'All Cases - Enter Cases'!M802,"")</f>
        <v/>
      </c>
    </row>
    <row r="803" spans="1:13" x14ac:dyDescent="0.35">
      <c r="A803" t="str">
        <f>IF('All Cases - Enter Cases'!$F803="KPK",'All Cases - Enter Cases'!A803,"")</f>
        <v/>
      </c>
      <c r="B803" t="str">
        <f>IF($A803&lt;&gt;"",'All Cases - Enter Cases'!B803,"")</f>
        <v/>
      </c>
      <c r="C803" t="str">
        <f>IF($A803&lt;&gt;"",'All Cases - Enter Cases'!C803,"")</f>
        <v/>
      </c>
      <c r="D803" t="str">
        <f>IF($A803&lt;&gt;"",'All Cases - Enter Cases'!D803,"")</f>
        <v/>
      </c>
      <c r="E803" t="str">
        <f>IF($A803&lt;&gt;"",'All Cases - Enter Cases'!E803,"")</f>
        <v/>
      </c>
      <c r="F803" t="str">
        <f>IF($A803&lt;&gt;"",'All Cases - Enter Cases'!F803,"")</f>
        <v/>
      </c>
      <c r="G803" t="str">
        <f>IF($A803&lt;&gt;"",'All Cases - Enter Cases'!G803,"")</f>
        <v/>
      </c>
      <c r="H803" t="str">
        <f>IF($A803&lt;&gt;"",'All Cases - Enter Cases'!H803,"")</f>
        <v/>
      </c>
      <c r="I803" t="str">
        <f>IF($A803&lt;&gt;"",'All Cases - Enter Cases'!I803,"")</f>
        <v/>
      </c>
      <c r="J803" t="str">
        <f>IF($A803&lt;&gt;"",'All Cases - Enter Cases'!J803,"")</f>
        <v/>
      </c>
      <c r="K803" t="str">
        <f>IF($A803&lt;&gt;"",'All Cases - Enter Cases'!K803,"")</f>
        <v/>
      </c>
      <c r="L803" t="str">
        <f>IF($A803&lt;&gt;"",'All Cases - Enter Cases'!L803,"")</f>
        <v/>
      </c>
      <c r="M803" t="str">
        <f>IF($A803&lt;&gt;"",'All Cases - Enter Cases'!M803,"")</f>
        <v/>
      </c>
    </row>
    <row r="804" spans="1:13" x14ac:dyDescent="0.35">
      <c r="A804" t="str">
        <f>IF('All Cases - Enter Cases'!$F804="KPK",'All Cases - Enter Cases'!A804,"")</f>
        <v/>
      </c>
      <c r="B804" t="str">
        <f>IF($A804&lt;&gt;"",'All Cases - Enter Cases'!B804,"")</f>
        <v/>
      </c>
      <c r="C804" t="str">
        <f>IF($A804&lt;&gt;"",'All Cases - Enter Cases'!C804,"")</f>
        <v/>
      </c>
      <c r="D804" t="str">
        <f>IF($A804&lt;&gt;"",'All Cases - Enter Cases'!D804,"")</f>
        <v/>
      </c>
      <c r="E804" t="str">
        <f>IF($A804&lt;&gt;"",'All Cases - Enter Cases'!E804,"")</f>
        <v/>
      </c>
      <c r="F804" t="str">
        <f>IF($A804&lt;&gt;"",'All Cases - Enter Cases'!F804,"")</f>
        <v/>
      </c>
      <c r="G804" t="str">
        <f>IF($A804&lt;&gt;"",'All Cases - Enter Cases'!G804,"")</f>
        <v/>
      </c>
      <c r="H804" t="str">
        <f>IF($A804&lt;&gt;"",'All Cases - Enter Cases'!H804,"")</f>
        <v/>
      </c>
      <c r="I804" t="str">
        <f>IF($A804&lt;&gt;"",'All Cases - Enter Cases'!I804,"")</f>
        <v/>
      </c>
      <c r="J804" t="str">
        <f>IF($A804&lt;&gt;"",'All Cases - Enter Cases'!J804,"")</f>
        <v/>
      </c>
      <c r="K804" t="str">
        <f>IF($A804&lt;&gt;"",'All Cases - Enter Cases'!K804,"")</f>
        <v/>
      </c>
      <c r="L804" t="str">
        <f>IF($A804&lt;&gt;"",'All Cases - Enter Cases'!L804,"")</f>
        <v/>
      </c>
      <c r="M804" t="str">
        <f>IF($A804&lt;&gt;"",'All Cases - Enter Cases'!M804,"")</f>
        <v/>
      </c>
    </row>
    <row r="805" spans="1:13" x14ac:dyDescent="0.35">
      <c r="A805" t="str">
        <f>IF('All Cases - Enter Cases'!$F805="KPK",'All Cases - Enter Cases'!A805,"")</f>
        <v/>
      </c>
      <c r="B805" t="str">
        <f>IF($A805&lt;&gt;"",'All Cases - Enter Cases'!B805,"")</f>
        <v/>
      </c>
      <c r="C805" t="str">
        <f>IF($A805&lt;&gt;"",'All Cases - Enter Cases'!C805,"")</f>
        <v/>
      </c>
      <c r="D805" t="str">
        <f>IF($A805&lt;&gt;"",'All Cases - Enter Cases'!D805,"")</f>
        <v/>
      </c>
      <c r="E805" t="str">
        <f>IF($A805&lt;&gt;"",'All Cases - Enter Cases'!E805,"")</f>
        <v/>
      </c>
      <c r="F805" t="str">
        <f>IF($A805&lt;&gt;"",'All Cases - Enter Cases'!F805,"")</f>
        <v/>
      </c>
      <c r="G805" t="str">
        <f>IF($A805&lt;&gt;"",'All Cases - Enter Cases'!G805,"")</f>
        <v/>
      </c>
      <c r="H805" t="str">
        <f>IF($A805&lt;&gt;"",'All Cases - Enter Cases'!H805,"")</f>
        <v/>
      </c>
      <c r="I805" t="str">
        <f>IF($A805&lt;&gt;"",'All Cases - Enter Cases'!I805,"")</f>
        <v/>
      </c>
      <c r="J805" t="str">
        <f>IF($A805&lt;&gt;"",'All Cases - Enter Cases'!J805,"")</f>
        <v/>
      </c>
      <c r="K805" t="str">
        <f>IF($A805&lt;&gt;"",'All Cases - Enter Cases'!K805,"")</f>
        <v/>
      </c>
      <c r="L805" t="str">
        <f>IF($A805&lt;&gt;"",'All Cases - Enter Cases'!L805,"")</f>
        <v/>
      </c>
      <c r="M805" t="str">
        <f>IF($A805&lt;&gt;"",'All Cases - Enter Cases'!M805,"")</f>
        <v/>
      </c>
    </row>
    <row r="806" spans="1:13" x14ac:dyDescent="0.35">
      <c r="A806" t="str">
        <f>IF('All Cases - Enter Cases'!$F806="KPK",'All Cases - Enter Cases'!A806,"")</f>
        <v/>
      </c>
      <c r="B806" t="str">
        <f>IF($A806&lt;&gt;"",'All Cases - Enter Cases'!B806,"")</f>
        <v/>
      </c>
      <c r="C806" t="str">
        <f>IF($A806&lt;&gt;"",'All Cases - Enter Cases'!C806,"")</f>
        <v/>
      </c>
      <c r="D806" t="str">
        <f>IF($A806&lt;&gt;"",'All Cases - Enter Cases'!D806,"")</f>
        <v/>
      </c>
      <c r="E806" t="str">
        <f>IF($A806&lt;&gt;"",'All Cases - Enter Cases'!E806,"")</f>
        <v/>
      </c>
      <c r="F806" t="str">
        <f>IF($A806&lt;&gt;"",'All Cases - Enter Cases'!F806,"")</f>
        <v/>
      </c>
      <c r="G806" t="str">
        <f>IF($A806&lt;&gt;"",'All Cases - Enter Cases'!G806,"")</f>
        <v/>
      </c>
      <c r="H806" t="str">
        <f>IF($A806&lt;&gt;"",'All Cases - Enter Cases'!H806,"")</f>
        <v/>
      </c>
      <c r="I806" t="str">
        <f>IF($A806&lt;&gt;"",'All Cases - Enter Cases'!I806,"")</f>
        <v/>
      </c>
      <c r="J806" t="str">
        <f>IF($A806&lt;&gt;"",'All Cases - Enter Cases'!J806,"")</f>
        <v/>
      </c>
      <c r="K806" t="str">
        <f>IF($A806&lt;&gt;"",'All Cases - Enter Cases'!K806,"")</f>
        <v/>
      </c>
      <c r="L806" t="str">
        <f>IF($A806&lt;&gt;"",'All Cases - Enter Cases'!L806,"")</f>
        <v/>
      </c>
      <c r="M806" t="str">
        <f>IF($A806&lt;&gt;"",'All Cases - Enter Cases'!M806,"")</f>
        <v/>
      </c>
    </row>
    <row r="807" spans="1:13" x14ac:dyDescent="0.35">
      <c r="A807" t="str">
        <f>IF('All Cases - Enter Cases'!$F807="KPK",'All Cases - Enter Cases'!A807,"")</f>
        <v/>
      </c>
      <c r="B807" t="str">
        <f>IF($A807&lt;&gt;"",'All Cases - Enter Cases'!B807,"")</f>
        <v/>
      </c>
      <c r="C807" t="str">
        <f>IF($A807&lt;&gt;"",'All Cases - Enter Cases'!C807,"")</f>
        <v/>
      </c>
      <c r="D807" t="str">
        <f>IF($A807&lt;&gt;"",'All Cases - Enter Cases'!D807,"")</f>
        <v/>
      </c>
      <c r="E807" t="str">
        <f>IF($A807&lt;&gt;"",'All Cases - Enter Cases'!E807,"")</f>
        <v/>
      </c>
      <c r="F807" t="str">
        <f>IF($A807&lt;&gt;"",'All Cases - Enter Cases'!F807,"")</f>
        <v/>
      </c>
      <c r="G807" t="str">
        <f>IF($A807&lt;&gt;"",'All Cases - Enter Cases'!G807,"")</f>
        <v/>
      </c>
      <c r="H807" t="str">
        <f>IF($A807&lt;&gt;"",'All Cases - Enter Cases'!H807,"")</f>
        <v/>
      </c>
      <c r="I807" t="str">
        <f>IF($A807&lt;&gt;"",'All Cases - Enter Cases'!I807,"")</f>
        <v/>
      </c>
      <c r="J807" t="str">
        <f>IF($A807&lt;&gt;"",'All Cases - Enter Cases'!J807,"")</f>
        <v/>
      </c>
      <c r="K807" t="str">
        <f>IF($A807&lt;&gt;"",'All Cases - Enter Cases'!K807,"")</f>
        <v/>
      </c>
      <c r="L807" t="str">
        <f>IF($A807&lt;&gt;"",'All Cases - Enter Cases'!L807,"")</f>
        <v/>
      </c>
      <c r="M807" t="str">
        <f>IF($A807&lt;&gt;"",'All Cases - Enter Cases'!M807,"")</f>
        <v/>
      </c>
    </row>
    <row r="808" spans="1:13" x14ac:dyDescent="0.35">
      <c r="A808" t="str">
        <f>IF('All Cases - Enter Cases'!$F808="KPK",'All Cases - Enter Cases'!A808,"")</f>
        <v/>
      </c>
      <c r="B808" t="str">
        <f>IF($A808&lt;&gt;"",'All Cases - Enter Cases'!B808,"")</f>
        <v/>
      </c>
      <c r="C808" t="str">
        <f>IF($A808&lt;&gt;"",'All Cases - Enter Cases'!C808,"")</f>
        <v/>
      </c>
      <c r="D808" t="str">
        <f>IF($A808&lt;&gt;"",'All Cases - Enter Cases'!D808,"")</f>
        <v/>
      </c>
      <c r="E808" t="str">
        <f>IF($A808&lt;&gt;"",'All Cases - Enter Cases'!E808,"")</f>
        <v/>
      </c>
      <c r="F808" t="str">
        <f>IF($A808&lt;&gt;"",'All Cases - Enter Cases'!F808,"")</f>
        <v/>
      </c>
      <c r="G808" t="str">
        <f>IF($A808&lt;&gt;"",'All Cases - Enter Cases'!G808,"")</f>
        <v/>
      </c>
      <c r="H808" t="str">
        <f>IF($A808&lt;&gt;"",'All Cases - Enter Cases'!H808,"")</f>
        <v/>
      </c>
      <c r="I808" t="str">
        <f>IF($A808&lt;&gt;"",'All Cases - Enter Cases'!I808,"")</f>
        <v/>
      </c>
      <c r="J808" t="str">
        <f>IF($A808&lt;&gt;"",'All Cases - Enter Cases'!J808,"")</f>
        <v/>
      </c>
      <c r="K808" t="str">
        <f>IF($A808&lt;&gt;"",'All Cases - Enter Cases'!K808,"")</f>
        <v/>
      </c>
      <c r="L808" t="str">
        <f>IF($A808&lt;&gt;"",'All Cases - Enter Cases'!L808,"")</f>
        <v/>
      </c>
      <c r="M808" t="str">
        <f>IF($A808&lt;&gt;"",'All Cases - Enter Cases'!M808,"")</f>
        <v/>
      </c>
    </row>
    <row r="809" spans="1:13" x14ac:dyDescent="0.35">
      <c r="A809" t="str">
        <f>IF('All Cases - Enter Cases'!$F809="KPK",'All Cases - Enter Cases'!A809,"")</f>
        <v/>
      </c>
      <c r="B809" t="str">
        <f>IF($A809&lt;&gt;"",'All Cases - Enter Cases'!B809,"")</f>
        <v/>
      </c>
      <c r="C809" t="str">
        <f>IF($A809&lt;&gt;"",'All Cases - Enter Cases'!C809,"")</f>
        <v/>
      </c>
      <c r="D809" t="str">
        <f>IF($A809&lt;&gt;"",'All Cases - Enter Cases'!D809,"")</f>
        <v/>
      </c>
      <c r="E809" t="str">
        <f>IF($A809&lt;&gt;"",'All Cases - Enter Cases'!E809,"")</f>
        <v/>
      </c>
      <c r="F809" t="str">
        <f>IF($A809&lt;&gt;"",'All Cases - Enter Cases'!F809,"")</f>
        <v/>
      </c>
      <c r="G809" t="str">
        <f>IF($A809&lt;&gt;"",'All Cases - Enter Cases'!G809,"")</f>
        <v/>
      </c>
      <c r="H809" t="str">
        <f>IF($A809&lt;&gt;"",'All Cases - Enter Cases'!H809,"")</f>
        <v/>
      </c>
      <c r="I809" t="str">
        <f>IF($A809&lt;&gt;"",'All Cases - Enter Cases'!I809,"")</f>
        <v/>
      </c>
      <c r="J809" t="str">
        <f>IF($A809&lt;&gt;"",'All Cases - Enter Cases'!J809,"")</f>
        <v/>
      </c>
      <c r="K809" t="str">
        <f>IF($A809&lt;&gt;"",'All Cases - Enter Cases'!K809,"")</f>
        <v/>
      </c>
      <c r="L809" t="str">
        <f>IF($A809&lt;&gt;"",'All Cases - Enter Cases'!L809,"")</f>
        <v/>
      </c>
      <c r="M809" t="str">
        <f>IF($A809&lt;&gt;"",'All Cases - Enter Cases'!M809,"")</f>
        <v/>
      </c>
    </row>
    <row r="810" spans="1:13" x14ac:dyDescent="0.35">
      <c r="A810" t="str">
        <f>IF('All Cases - Enter Cases'!$F810="KPK",'All Cases - Enter Cases'!A810,"")</f>
        <v/>
      </c>
      <c r="B810" t="str">
        <f>IF($A810&lt;&gt;"",'All Cases - Enter Cases'!B810,"")</f>
        <v/>
      </c>
      <c r="C810" t="str">
        <f>IF($A810&lt;&gt;"",'All Cases - Enter Cases'!C810,"")</f>
        <v/>
      </c>
      <c r="D810" t="str">
        <f>IF($A810&lt;&gt;"",'All Cases - Enter Cases'!D810,"")</f>
        <v/>
      </c>
      <c r="E810" t="str">
        <f>IF($A810&lt;&gt;"",'All Cases - Enter Cases'!E810,"")</f>
        <v/>
      </c>
      <c r="F810" t="str">
        <f>IF($A810&lt;&gt;"",'All Cases - Enter Cases'!F810,"")</f>
        <v/>
      </c>
      <c r="G810" t="str">
        <f>IF($A810&lt;&gt;"",'All Cases - Enter Cases'!G810,"")</f>
        <v/>
      </c>
      <c r="H810" t="str">
        <f>IF($A810&lt;&gt;"",'All Cases - Enter Cases'!H810,"")</f>
        <v/>
      </c>
      <c r="I810" t="str">
        <f>IF($A810&lt;&gt;"",'All Cases - Enter Cases'!I810,"")</f>
        <v/>
      </c>
      <c r="J810" t="str">
        <f>IF($A810&lt;&gt;"",'All Cases - Enter Cases'!J810,"")</f>
        <v/>
      </c>
      <c r="K810" t="str">
        <f>IF($A810&lt;&gt;"",'All Cases - Enter Cases'!K810,"")</f>
        <v/>
      </c>
      <c r="L810" t="str">
        <f>IF($A810&lt;&gt;"",'All Cases - Enter Cases'!L810,"")</f>
        <v/>
      </c>
      <c r="M810" t="str">
        <f>IF($A810&lt;&gt;"",'All Cases - Enter Cases'!M810,"")</f>
        <v/>
      </c>
    </row>
    <row r="811" spans="1:13" x14ac:dyDescent="0.35">
      <c r="A811" t="str">
        <f>IF('All Cases - Enter Cases'!$F811="KPK",'All Cases - Enter Cases'!A811,"")</f>
        <v/>
      </c>
      <c r="B811" t="str">
        <f>IF($A811&lt;&gt;"",'All Cases - Enter Cases'!B811,"")</f>
        <v/>
      </c>
      <c r="C811" t="str">
        <f>IF($A811&lt;&gt;"",'All Cases - Enter Cases'!C811,"")</f>
        <v/>
      </c>
      <c r="D811" t="str">
        <f>IF($A811&lt;&gt;"",'All Cases - Enter Cases'!D811,"")</f>
        <v/>
      </c>
      <c r="E811" t="str">
        <f>IF($A811&lt;&gt;"",'All Cases - Enter Cases'!E811,"")</f>
        <v/>
      </c>
      <c r="F811" t="str">
        <f>IF($A811&lt;&gt;"",'All Cases - Enter Cases'!F811,"")</f>
        <v/>
      </c>
      <c r="G811" t="str">
        <f>IF($A811&lt;&gt;"",'All Cases - Enter Cases'!G811,"")</f>
        <v/>
      </c>
      <c r="H811" t="str">
        <f>IF($A811&lt;&gt;"",'All Cases - Enter Cases'!H811,"")</f>
        <v/>
      </c>
      <c r="I811" t="str">
        <f>IF($A811&lt;&gt;"",'All Cases - Enter Cases'!I811,"")</f>
        <v/>
      </c>
      <c r="J811" t="str">
        <f>IF($A811&lt;&gt;"",'All Cases - Enter Cases'!J811,"")</f>
        <v/>
      </c>
      <c r="K811" t="str">
        <f>IF($A811&lt;&gt;"",'All Cases - Enter Cases'!K811,"")</f>
        <v/>
      </c>
      <c r="L811" t="str">
        <f>IF($A811&lt;&gt;"",'All Cases - Enter Cases'!L811,"")</f>
        <v/>
      </c>
      <c r="M811" t="str">
        <f>IF($A811&lt;&gt;"",'All Cases - Enter Cases'!M811,"")</f>
        <v/>
      </c>
    </row>
    <row r="812" spans="1:13" x14ac:dyDescent="0.35">
      <c r="A812" t="str">
        <f>IF('All Cases - Enter Cases'!$F812="KPK",'All Cases - Enter Cases'!A812,"")</f>
        <v/>
      </c>
      <c r="B812" t="str">
        <f>IF($A812&lt;&gt;"",'All Cases - Enter Cases'!B812,"")</f>
        <v/>
      </c>
      <c r="C812" t="str">
        <f>IF($A812&lt;&gt;"",'All Cases - Enter Cases'!C812,"")</f>
        <v/>
      </c>
      <c r="D812" t="str">
        <f>IF($A812&lt;&gt;"",'All Cases - Enter Cases'!D812,"")</f>
        <v/>
      </c>
      <c r="E812" t="str">
        <f>IF($A812&lt;&gt;"",'All Cases - Enter Cases'!E812,"")</f>
        <v/>
      </c>
      <c r="F812" t="str">
        <f>IF($A812&lt;&gt;"",'All Cases - Enter Cases'!F812,"")</f>
        <v/>
      </c>
      <c r="G812" t="str">
        <f>IF($A812&lt;&gt;"",'All Cases - Enter Cases'!G812,"")</f>
        <v/>
      </c>
      <c r="H812" t="str">
        <f>IF($A812&lt;&gt;"",'All Cases - Enter Cases'!H812,"")</f>
        <v/>
      </c>
      <c r="I812" t="str">
        <f>IF($A812&lt;&gt;"",'All Cases - Enter Cases'!I812,"")</f>
        <v/>
      </c>
      <c r="J812" t="str">
        <f>IF($A812&lt;&gt;"",'All Cases - Enter Cases'!J812,"")</f>
        <v/>
      </c>
      <c r="K812" t="str">
        <f>IF($A812&lt;&gt;"",'All Cases - Enter Cases'!K812,"")</f>
        <v/>
      </c>
      <c r="L812" t="str">
        <f>IF($A812&lt;&gt;"",'All Cases - Enter Cases'!L812,"")</f>
        <v/>
      </c>
      <c r="M812" t="str">
        <f>IF($A812&lt;&gt;"",'All Cases - Enter Cases'!M812,"")</f>
        <v/>
      </c>
    </row>
    <row r="813" spans="1:13" x14ac:dyDescent="0.35">
      <c r="A813" t="str">
        <f>IF('All Cases - Enter Cases'!$F813="KPK",'All Cases - Enter Cases'!A813,"")</f>
        <v/>
      </c>
      <c r="B813" t="str">
        <f>IF($A813&lt;&gt;"",'All Cases - Enter Cases'!B813,"")</f>
        <v/>
      </c>
      <c r="C813" t="str">
        <f>IF($A813&lt;&gt;"",'All Cases - Enter Cases'!C813,"")</f>
        <v/>
      </c>
      <c r="D813" t="str">
        <f>IF($A813&lt;&gt;"",'All Cases - Enter Cases'!D813,"")</f>
        <v/>
      </c>
      <c r="E813" t="str">
        <f>IF($A813&lt;&gt;"",'All Cases - Enter Cases'!E813,"")</f>
        <v/>
      </c>
      <c r="F813" t="str">
        <f>IF($A813&lt;&gt;"",'All Cases - Enter Cases'!F813,"")</f>
        <v/>
      </c>
      <c r="G813" t="str">
        <f>IF($A813&lt;&gt;"",'All Cases - Enter Cases'!G813,"")</f>
        <v/>
      </c>
      <c r="H813" t="str">
        <f>IF($A813&lt;&gt;"",'All Cases - Enter Cases'!H813,"")</f>
        <v/>
      </c>
      <c r="I813" t="str">
        <f>IF($A813&lt;&gt;"",'All Cases - Enter Cases'!I813,"")</f>
        <v/>
      </c>
      <c r="J813" t="str">
        <f>IF($A813&lt;&gt;"",'All Cases - Enter Cases'!J813,"")</f>
        <v/>
      </c>
      <c r="K813" t="str">
        <f>IF($A813&lt;&gt;"",'All Cases - Enter Cases'!K813,"")</f>
        <v/>
      </c>
      <c r="L813" t="str">
        <f>IF($A813&lt;&gt;"",'All Cases - Enter Cases'!L813,"")</f>
        <v/>
      </c>
      <c r="M813" t="str">
        <f>IF($A813&lt;&gt;"",'All Cases - Enter Cases'!M813,"")</f>
        <v/>
      </c>
    </row>
    <row r="814" spans="1:13" x14ac:dyDescent="0.35">
      <c r="A814" t="str">
        <f>IF('All Cases - Enter Cases'!$F814="KPK",'All Cases - Enter Cases'!A814,"")</f>
        <v/>
      </c>
      <c r="B814" t="str">
        <f>IF($A814&lt;&gt;"",'All Cases - Enter Cases'!B814,"")</f>
        <v/>
      </c>
      <c r="C814" t="str">
        <f>IF($A814&lt;&gt;"",'All Cases - Enter Cases'!C814,"")</f>
        <v/>
      </c>
      <c r="D814" t="str">
        <f>IF($A814&lt;&gt;"",'All Cases - Enter Cases'!D814,"")</f>
        <v/>
      </c>
      <c r="E814" t="str">
        <f>IF($A814&lt;&gt;"",'All Cases - Enter Cases'!E814,"")</f>
        <v/>
      </c>
      <c r="F814" t="str">
        <f>IF($A814&lt;&gt;"",'All Cases - Enter Cases'!F814,"")</f>
        <v/>
      </c>
      <c r="G814" t="str">
        <f>IF($A814&lt;&gt;"",'All Cases - Enter Cases'!G814,"")</f>
        <v/>
      </c>
      <c r="H814" t="str">
        <f>IF($A814&lt;&gt;"",'All Cases - Enter Cases'!H814,"")</f>
        <v/>
      </c>
      <c r="I814" t="str">
        <f>IF($A814&lt;&gt;"",'All Cases - Enter Cases'!I814,"")</f>
        <v/>
      </c>
      <c r="J814" t="str">
        <f>IF($A814&lt;&gt;"",'All Cases - Enter Cases'!J814,"")</f>
        <v/>
      </c>
      <c r="K814" t="str">
        <f>IF($A814&lt;&gt;"",'All Cases - Enter Cases'!K814,"")</f>
        <v/>
      </c>
      <c r="L814" t="str">
        <f>IF($A814&lt;&gt;"",'All Cases - Enter Cases'!L814,"")</f>
        <v/>
      </c>
      <c r="M814" t="str">
        <f>IF($A814&lt;&gt;"",'All Cases - Enter Cases'!M814,"")</f>
        <v/>
      </c>
    </row>
    <row r="815" spans="1:13" x14ac:dyDescent="0.35">
      <c r="A815" t="str">
        <f>IF('All Cases - Enter Cases'!$F815="KPK",'All Cases - Enter Cases'!A815,"")</f>
        <v/>
      </c>
      <c r="B815" t="str">
        <f>IF($A815&lt;&gt;"",'All Cases - Enter Cases'!B815,"")</f>
        <v/>
      </c>
      <c r="C815" t="str">
        <f>IF($A815&lt;&gt;"",'All Cases - Enter Cases'!C815,"")</f>
        <v/>
      </c>
      <c r="D815" t="str">
        <f>IF($A815&lt;&gt;"",'All Cases - Enter Cases'!D815,"")</f>
        <v/>
      </c>
      <c r="E815" t="str">
        <f>IF($A815&lt;&gt;"",'All Cases - Enter Cases'!E815,"")</f>
        <v/>
      </c>
      <c r="F815" t="str">
        <f>IF($A815&lt;&gt;"",'All Cases - Enter Cases'!F815,"")</f>
        <v/>
      </c>
      <c r="G815" t="str">
        <f>IF($A815&lt;&gt;"",'All Cases - Enter Cases'!G815,"")</f>
        <v/>
      </c>
      <c r="H815" t="str">
        <f>IF($A815&lt;&gt;"",'All Cases - Enter Cases'!H815,"")</f>
        <v/>
      </c>
      <c r="I815" t="str">
        <f>IF($A815&lt;&gt;"",'All Cases - Enter Cases'!I815,"")</f>
        <v/>
      </c>
      <c r="J815" t="str">
        <f>IF($A815&lt;&gt;"",'All Cases - Enter Cases'!J815,"")</f>
        <v/>
      </c>
      <c r="K815" t="str">
        <f>IF($A815&lt;&gt;"",'All Cases - Enter Cases'!K815,"")</f>
        <v/>
      </c>
      <c r="L815" t="str">
        <f>IF($A815&lt;&gt;"",'All Cases - Enter Cases'!L815,"")</f>
        <v/>
      </c>
      <c r="M815" t="str">
        <f>IF($A815&lt;&gt;"",'All Cases - Enter Cases'!M815,"")</f>
        <v/>
      </c>
    </row>
    <row r="816" spans="1:13" x14ac:dyDescent="0.35">
      <c r="A816" t="str">
        <f>IF('All Cases - Enter Cases'!$F816="KPK",'All Cases - Enter Cases'!A816,"")</f>
        <v/>
      </c>
      <c r="B816" t="str">
        <f>IF($A816&lt;&gt;"",'All Cases - Enter Cases'!B816,"")</f>
        <v/>
      </c>
      <c r="C816" t="str">
        <f>IF($A816&lt;&gt;"",'All Cases - Enter Cases'!C816,"")</f>
        <v/>
      </c>
      <c r="D816" t="str">
        <f>IF($A816&lt;&gt;"",'All Cases - Enter Cases'!D816,"")</f>
        <v/>
      </c>
      <c r="E816" t="str">
        <f>IF($A816&lt;&gt;"",'All Cases - Enter Cases'!E816,"")</f>
        <v/>
      </c>
      <c r="F816" t="str">
        <f>IF($A816&lt;&gt;"",'All Cases - Enter Cases'!F816,"")</f>
        <v/>
      </c>
      <c r="G816" t="str">
        <f>IF($A816&lt;&gt;"",'All Cases - Enter Cases'!G816,"")</f>
        <v/>
      </c>
      <c r="H816" t="str">
        <f>IF($A816&lt;&gt;"",'All Cases - Enter Cases'!H816,"")</f>
        <v/>
      </c>
      <c r="I816" t="str">
        <f>IF($A816&lt;&gt;"",'All Cases - Enter Cases'!I816,"")</f>
        <v/>
      </c>
      <c r="J816" t="str">
        <f>IF($A816&lt;&gt;"",'All Cases - Enter Cases'!J816,"")</f>
        <v/>
      </c>
      <c r="K816" t="str">
        <f>IF($A816&lt;&gt;"",'All Cases - Enter Cases'!K816,"")</f>
        <v/>
      </c>
      <c r="L816" t="str">
        <f>IF($A816&lt;&gt;"",'All Cases - Enter Cases'!L816,"")</f>
        <v/>
      </c>
      <c r="M816" t="str">
        <f>IF($A816&lt;&gt;"",'All Cases - Enter Cases'!M816,"")</f>
        <v/>
      </c>
    </row>
    <row r="817" spans="1:13" x14ac:dyDescent="0.35">
      <c r="A817" t="str">
        <f>IF('All Cases - Enter Cases'!$F817="KPK",'All Cases - Enter Cases'!A817,"")</f>
        <v/>
      </c>
      <c r="B817" t="str">
        <f>IF($A817&lt;&gt;"",'All Cases - Enter Cases'!B817,"")</f>
        <v/>
      </c>
      <c r="C817" t="str">
        <f>IF($A817&lt;&gt;"",'All Cases - Enter Cases'!C817,"")</f>
        <v/>
      </c>
      <c r="D817" t="str">
        <f>IF($A817&lt;&gt;"",'All Cases - Enter Cases'!D817,"")</f>
        <v/>
      </c>
      <c r="E817" t="str">
        <f>IF($A817&lt;&gt;"",'All Cases - Enter Cases'!E817,"")</f>
        <v/>
      </c>
      <c r="F817" t="str">
        <f>IF($A817&lt;&gt;"",'All Cases - Enter Cases'!F817,"")</f>
        <v/>
      </c>
      <c r="G817" t="str">
        <f>IF($A817&lt;&gt;"",'All Cases - Enter Cases'!G817,"")</f>
        <v/>
      </c>
      <c r="H817" t="str">
        <f>IF($A817&lt;&gt;"",'All Cases - Enter Cases'!H817,"")</f>
        <v/>
      </c>
      <c r="I817" t="str">
        <f>IF($A817&lt;&gt;"",'All Cases - Enter Cases'!I817,"")</f>
        <v/>
      </c>
      <c r="J817" t="str">
        <f>IF($A817&lt;&gt;"",'All Cases - Enter Cases'!J817,"")</f>
        <v/>
      </c>
      <c r="K817" t="str">
        <f>IF($A817&lt;&gt;"",'All Cases - Enter Cases'!K817,"")</f>
        <v/>
      </c>
      <c r="L817" t="str">
        <f>IF($A817&lt;&gt;"",'All Cases - Enter Cases'!L817,"")</f>
        <v/>
      </c>
      <c r="M817" t="str">
        <f>IF($A817&lt;&gt;"",'All Cases - Enter Cases'!M817,"")</f>
        <v/>
      </c>
    </row>
    <row r="818" spans="1:13" x14ac:dyDescent="0.35">
      <c r="A818" t="str">
        <f>IF('All Cases - Enter Cases'!$F818="KPK",'All Cases - Enter Cases'!A818,"")</f>
        <v/>
      </c>
      <c r="B818" t="str">
        <f>IF($A818&lt;&gt;"",'All Cases - Enter Cases'!B818,"")</f>
        <v/>
      </c>
      <c r="C818" t="str">
        <f>IF($A818&lt;&gt;"",'All Cases - Enter Cases'!C818,"")</f>
        <v/>
      </c>
      <c r="D818" t="str">
        <f>IF($A818&lt;&gt;"",'All Cases - Enter Cases'!D818,"")</f>
        <v/>
      </c>
      <c r="E818" t="str">
        <f>IF($A818&lt;&gt;"",'All Cases - Enter Cases'!E818,"")</f>
        <v/>
      </c>
      <c r="F818" t="str">
        <f>IF($A818&lt;&gt;"",'All Cases - Enter Cases'!F818,"")</f>
        <v/>
      </c>
      <c r="G818" t="str">
        <f>IF($A818&lt;&gt;"",'All Cases - Enter Cases'!G818,"")</f>
        <v/>
      </c>
      <c r="H818" t="str">
        <f>IF($A818&lt;&gt;"",'All Cases - Enter Cases'!H818,"")</f>
        <v/>
      </c>
      <c r="I818" t="str">
        <f>IF($A818&lt;&gt;"",'All Cases - Enter Cases'!I818,"")</f>
        <v/>
      </c>
      <c r="J818" t="str">
        <f>IF($A818&lt;&gt;"",'All Cases - Enter Cases'!J818,"")</f>
        <v/>
      </c>
      <c r="K818" t="str">
        <f>IF($A818&lt;&gt;"",'All Cases - Enter Cases'!K818,"")</f>
        <v/>
      </c>
      <c r="L818" t="str">
        <f>IF($A818&lt;&gt;"",'All Cases - Enter Cases'!L818,"")</f>
        <v/>
      </c>
      <c r="M818" t="str">
        <f>IF($A818&lt;&gt;"",'All Cases - Enter Cases'!M818,"")</f>
        <v/>
      </c>
    </row>
    <row r="819" spans="1:13" x14ac:dyDescent="0.35">
      <c r="A819" t="str">
        <f>IF('All Cases - Enter Cases'!$F819="KPK",'All Cases - Enter Cases'!A819,"")</f>
        <v/>
      </c>
      <c r="B819" t="str">
        <f>IF($A819&lt;&gt;"",'All Cases - Enter Cases'!B819,"")</f>
        <v/>
      </c>
      <c r="C819" t="str">
        <f>IF($A819&lt;&gt;"",'All Cases - Enter Cases'!C819,"")</f>
        <v/>
      </c>
      <c r="D819" t="str">
        <f>IF($A819&lt;&gt;"",'All Cases - Enter Cases'!D819,"")</f>
        <v/>
      </c>
      <c r="E819" t="str">
        <f>IF($A819&lt;&gt;"",'All Cases - Enter Cases'!E819,"")</f>
        <v/>
      </c>
      <c r="F819" t="str">
        <f>IF($A819&lt;&gt;"",'All Cases - Enter Cases'!F819,"")</f>
        <v/>
      </c>
      <c r="G819" t="str">
        <f>IF($A819&lt;&gt;"",'All Cases - Enter Cases'!G819,"")</f>
        <v/>
      </c>
      <c r="H819" t="str">
        <f>IF($A819&lt;&gt;"",'All Cases - Enter Cases'!H819,"")</f>
        <v/>
      </c>
      <c r="I819" t="str">
        <f>IF($A819&lt;&gt;"",'All Cases - Enter Cases'!I819,"")</f>
        <v/>
      </c>
      <c r="J819" t="str">
        <f>IF($A819&lt;&gt;"",'All Cases - Enter Cases'!J819,"")</f>
        <v/>
      </c>
      <c r="K819" t="str">
        <f>IF($A819&lt;&gt;"",'All Cases - Enter Cases'!K819,"")</f>
        <v/>
      </c>
      <c r="L819" t="str">
        <f>IF($A819&lt;&gt;"",'All Cases - Enter Cases'!L819,"")</f>
        <v/>
      </c>
      <c r="M819" t="str">
        <f>IF($A819&lt;&gt;"",'All Cases - Enter Cases'!M819,"")</f>
        <v/>
      </c>
    </row>
    <row r="820" spans="1:13" x14ac:dyDescent="0.35">
      <c r="A820" t="str">
        <f>IF('All Cases - Enter Cases'!$F820="KPK",'All Cases - Enter Cases'!A820,"")</f>
        <v/>
      </c>
      <c r="B820" t="str">
        <f>IF($A820&lt;&gt;"",'All Cases - Enter Cases'!B820,"")</f>
        <v/>
      </c>
      <c r="C820" t="str">
        <f>IF($A820&lt;&gt;"",'All Cases - Enter Cases'!C820,"")</f>
        <v/>
      </c>
      <c r="D820" t="str">
        <f>IF($A820&lt;&gt;"",'All Cases - Enter Cases'!D820,"")</f>
        <v/>
      </c>
      <c r="E820" t="str">
        <f>IF($A820&lt;&gt;"",'All Cases - Enter Cases'!E820,"")</f>
        <v/>
      </c>
      <c r="F820" t="str">
        <f>IF($A820&lt;&gt;"",'All Cases - Enter Cases'!F820,"")</f>
        <v/>
      </c>
      <c r="G820" t="str">
        <f>IF($A820&lt;&gt;"",'All Cases - Enter Cases'!G820,"")</f>
        <v/>
      </c>
      <c r="H820" t="str">
        <f>IF($A820&lt;&gt;"",'All Cases - Enter Cases'!H820,"")</f>
        <v/>
      </c>
      <c r="I820" t="str">
        <f>IF($A820&lt;&gt;"",'All Cases - Enter Cases'!I820,"")</f>
        <v/>
      </c>
      <c r="J820" t="str">
        <f>IF($A820&lt;&gt;"",'All Cases - Enter Cases'!J820,"")</f>
        <v/>
      </c>
      <c r="K820" t="str">
        <f>IF($A820&lt;&gt;"",'All Cases - Enter Cases'!K820,"")</f>
        <v/>
      </c>
      <c r="L820" t="str">
        <f>IF($A820&lt;&gt;"",'All Cases - Enter Cases'!L820,"")</f>
        <v/>
      </c>
      <c r="M820" t="str">
        <f>IF($A820&lt;&gt;"",'All Cases - Enter Cases'!M820,"")</f>
        <v/>
      </c>
    </row>
    <row r="821" spans="1:13" x14ac:dyDescent="0.35">
      <c r="A821" t="str">
        <f>IF('All Cases - Enter Cases'!$F821="KPK",'All Cases - Enter Cases'!A821,"")</f>
        <v/>
      </c>
      <c r="B821" t="str">
        <f>IF($A821&lt;&gt;"",'All Cases - Enter Cases'!B821,"")</f>
        <v/>
      </c>
      <c r="C821" t="str">
        <f>IF($A821&lt;&gt;"",'All Cases - Enter Cases'!C821,"")</f>
        <v/>
      </c>
      <c r="D821" t="str">
        <f>IF($A821&lt;&gt;"",'All Cases - Enter Cases'!D821,"")</f>
        <v/>
      </c>
      <c r="E821" t="str">
        <f>IF($A821&lt;&gt;"",'All Cases - Enter Cases'!E821,"")</f>
        <v/>
      </c>
      <c r="F821" t="str">
        <f>IF($A821&lt;&gt;"",'All Cases - Enter Cases'!F821,"")</f>
        <v/>
      </c>
      <c r="G821" t="str">
        <f>IF($A821&lt;&gt;"",'All Cases - Enter Cases'!G821,"")</f>
        <v/>
      </c>
      <c r="H821" t="str">
        <f>IF($A821&lt;&gt;"",'All Cases - Enter Cases'!H821,"")</f>
        <v/>
      </c>
      <c r="I821" t="str">
        <f>IF($A821&lt;&gt;"",'All Cases - Enter Cases'!I821,"")</f>
        <v/>
      </c>
      <c r="J821" t="str">
        <f>IF($A821&lt;&gt;"",'All Cases - Enter Cases'!J821,"")</f>
        <v/>
      </c>
      <c r="K821" t="str">
        <f>IF($A821&lt;&gt;"",'All Cases - Enter Cases'!K821,"")</f>
        <v/>
      </c>
      <c r="L821" t="str">
        <f>IF($A821&lt;&gt;"",'All Cases - Enter Cases'!L821,"")</f>
        <v/>
      </c>
      <c r="M821" t="str">
        <f>IF($A821&lt;&gt;"",'All Cases - Enter Cases'!M821,"")</f>
        <v/>
      </c>
    </row>
    <row r="822" spans="1:13" x14ac:dyDescent="0.35">
      <c r="A822" t="str">
        <f>IF('All Cases - Enter Cases'!$F822="KPK",'All Cases - Enter Cases'!A822,"")</f>
        <v/>
      </c>
      <c r="B822" t="str">
        <f>IF($A822&lt;&gt;"",'All Cases - Enter Cases'!B822,"")</f>
        <v/>
      </c>
      <c r="C822" t="str">
        <f>IF($A822&lt;&gt;"",'All Cases - Enter Cases'!C822,"")</f>
        <v/>
      </c>
      <c r="D822" t="str">
        <f>IF($A822&lt;&gt;"",'All Cases - Enter Cases'!D822,"")</f>
        <v/>
      </c>
      <c r="E822" t="str">
        <f>IF($A822&lt;&gt;"",'All Cases - Enter Cases'!E822,"")</f>
        <v/>
      </c>
      <c r="F822" t="str">
        <f>IF($A822&lt;&gt;"",'All Cases - Enter Cases'!F822,"")</f>
        <v/>
      </c>
      <c r="G822" t="str">
        <f>IF($A822&lt;&gt;"",'All Cases - Enter Cases'!G822,"")</f>
        <v/>
      </c>
      <c r="H822" t="str">
        <f>IF($A822&lt;&gt;"",'All Cases - Enter Cases'!H822,"")</f>
        <v/>
      </c>
      <c r="I822" t="str">
        <f>IF($A822&lt;&gt;"",'All Cases - Enter Cases'!I822,"")</f>
        <v/>
      </c>
      <c r="J822" t="str">
        <f>IF($A822&lt;&gt;"",'All Cases - Enter Cases'!J822,"")</f>
        <v/>
      </c>
      <c r="K822" t="str">
        <f>IF($A822&lt;&gt;"",'All Cases - Enter Cases'!K822,"")</f>
        <v/>
      </c>
      <c r="L822" t="str">
        <f>IF($A822&lt;&gt;"",'All Cases - Enter Cases'!L822,"")</f>
        <v/>
      </c>
      <c r="M822" t="str">
        <f>IF($A822&lt;&gt;"",'All Cases - Enter Cases'!M822,"")</f>
        <v/>
      </c>
    </row>
    <row r="823" spans="1:13" x14ac:dyDescent="0.35">
      <c r="A823" t="str">
        <f>IF('All Cases - Enter Cases'!$F823="KPK",'All Cases - Enter Cases'!A823,"")</f>
        <v/>
      </c>
      <c r="B823" t="str">
        <f>IF($A823&lt;&gt;"",'All Cases - Enter Cases'!B823,"")</f>
        <v/>
      </c>
      <c r="C823" t="str">
        <f>IF($A823&lt;&gt;"",'All Cases - Enter Cases'!C823,"")</f>
        <v/>
      </c>
      <c r="D823" t="str">
        <f>IF($A823&lt;&gt;"",'All Cases - Enter Cases'!D823,"")</f>
        <v/>
      </c>
      <c r="E823" t="str">
        <f>IF($A823&lt;&gt;"",'All Cases - Enter Cases'!E823,"")</f>
        <v/>
      </c>
      <c r="F823" t="str">
        <f>IF($A823&lt;&gt;"",'All Cases - Enter Cases'!F823,"")</f>
        <v/>
      </c>
      <c r="G823" t="str">
        <f>IF($A823&lt;&gt;"",'All Cases - Enter Cases'!G823,"")</f>
        <v/>
      </c>
      <c r="H823" t="str">
        <f>IF($A823&lt;&gt;"",'All Cases - Enter Cases'!H823,"")</f>
        <v/>
      </c>
      <c r="I823" t="str">
        <f>IF($A823&lt;&gt;"",'All Cases - Enter Cases'!I823,"")</f>
        <v/>
      </c>
      <c r="J823" t="str">
        <f>IF($A823&lt;&gt;"",'All Cases - Enter Cases'!J823,"")</f>
        <v/>
      </c>
      <c r="K823" t="str">
        <f>IF($A823&lt;&gt;"",'All Cases - Enter Cases'!K823,"")</f>
        <v/>
      </c>
      <c r="L823" t="str">
        <f>IF($A823&lt;&gt;"",'All Cases - Enter Cases'!L823,"")</f>
        <v/>
      </c>
      <c r="M823" t="str">
        <f>IF($A823&lt;&gt;"",'All Cases - Enter Cases'!M823,"")</f>
        <v/>
      </c>
    </row>
    <row r="824" spans="1:13" x14ac:dyDescent="0.35">
      <c r="A824" t="str">
        <f>IF('All Cases - Enter Cases'!$F824="KPK",'All Cases - Enter Cases'!A824,"")</f>
        <v/>
      </c>
      <c r="B824" t="str">
        <f>IF($A824&lt;&gt;"",'All Cases - Enter Cases'!B824,"")</f>
        <v/>
      </c>
      <c r="C824" t="str">
        <f>IF($A824&lt;&gt;"",'All Cases - Enter Cases'!C824,"")</f>
        <v/>
      </c>
      <c r="D824" t="str">
        <f>IF($A824&lt;&gt;"",'All Cases - Enter Cases'!D824,"")</f>
        <v/>
      </c>
      <c r="E824" t="str">
        <f>IF($A824&lt;&gt;"",'All Cases - Enter Cases'!E824,"")</f>
        <v/>
      </c>
      <c r="F824" t="str">
        <f>IF($A824&lt;&gt;"",'All Cases - Enter Cases'!F824,"")</f>
        <v/>
      </c>
      <c r="G824" t="str">
        <f>IF($A824&lt;&gt;"",'All Cases - Enter Cases'!G824,"")</f>
        <v/>
      </c>
      <c r="H824" t="str">
        <f>IF($A824&lt;&gt;"",'All Cases - Enter Cases'!H824,"")</f>
        <v/>
      </c>
      <c r="I824" t="str">
        <f>IF($A824&lt;&gt;"",'All Cases - Enter Cases'!I824,"")</f>
        <v/>
      </c>
      <c r="J824" t="str">
        <f>IF($A824&lt;&gt;"",'All Cases - Enter Cases'!J824,"")</f>
        <v/>
      </c>
      <c r="K824" t="str">
        <f>IF($A824&lt;&gt;"",'All Cases - Enter Cases'!K824,"")</f>
        <v/>
      </c>
      <c r="L824" t="str">
        <f>IF($A824&lt;&gt;"",'All Cases - Enter Cases'!L824,"")</f>
        <v/>
      </c>
      <c r="M824" t="str">
        <f>IF($A824&lt;&gt;"",'All Cases - Enter Cases'!M824,"")</f>
        <v/>
      </c>
    </row>
    <row r="825" spans="1:13" x14ac:dyDescent="0.35">
      <c r="A825" t="str">
        <f>IF('All Cases - Enter Cases'!$F825="KPK",'All Cases - Enter Cases'!A825,"")</f>
        <v/>
      </c>
      <c r="B825" t="str">
        <f>IF($A825&lt;&gt;"",'All Cases - Enter Cases'!B825,"")</f>
        <v/>
      </c>
      <c r="C825" t="str">
        <f>IF($A825&lt;&gt;"",'All Cases - Enter Cases'!C825,"")</f>
        <v/>
      </c>
      <c r="D825" t="str">
        <f>IF($A825&lt;&gt;"",'All Cases - Enter Cases'!D825,"")</f>
        <v/>
      </c>
      <c r="E825" t="str">
        <f>IF($A825&lt;&gt;"",'All Cases - Enter Cases'!E825,"")</f>
        <v/>
      </c>
      <c r="F825" t="str">
        <f>IF($A825&lt;&gt;"",'All Cases - Enter Cases'!F825,"")</f>
        <v/>
      </c>
      <c r="G825" t="str">
        <f>IF($A825&lt;&gt;"",'All Cases - Enter Cases'!G825,"")</f>
        <v/>
      </c>
      <c r="H825" t="str">
        <f>IF($A825&lt;&gt;"",'All Cases - Enter Cases'!H825,"")</f>
        <v/>
      </c>
      <c r="I825" t="str">
        <f>IF($A825&lt;&gt;"",'All Cases - Enter Cases'!I825,"")</f>
        <v/>
      </c>
      <c r="J825" t="str">
        <f>IF($A825&lt;&gt;"",'All Cases - Enter Cases'!J825,"")</f>
        <v/>
      </c>
      <c r="K825" t="str">
        <f>IF($A825&lt;&gt;"",'All Cases - Enter Cases'!K825,"")</f>
        <v/>
      </c>
      <c r="L825" t="str">
        <f>IF($A825&lt;&gt;"",'All Cases - Enter Cases'!L825,"")</f>
        <v/>
      </c>
      <c r="M825" t="str">
        <f>IF($A825&lt;&gt;"",'All Cases - Enter Cases'!M825,"")</f>
        <v/>
      </c>
    </row>
    <row r="826" spans="1:13" x14ac:dyDescent="0.35">
      <c r="A826" t="str">
        <f>IF('All Cases - Enter Cases'!$F826="KPK",'All Cases - Enter Cases'!A826,"")</f>
        <v/>
      </c>
      <c r="B826" t="str">
        <f>IF($A826&lt;&gt;"",'All Cases - Enter Cases'!B826,"")</f>
        <v/>
      </c>
      <c r="C826" t="str">
        <f>IF($A826&lt;&gt;"",'All Cases - Enter Cases'!C826,"")</f>
        <v/>
      </c>
      <c r="D826" t="str">
        <f>IF($A826&lt;&gt;"",'All Cases - Enter Cases'!D826,"")</f>
        <v/>
      </c>
      <c r="E826" t="str">
        <f>IF($A826&lt;&gt;"",'All Cases - Enter Cases'!E826,"")</f>
        <v/>
      </c>
      <c r="F826" t="str">
        <f>IF($A826&lt;&gt;"",'All Cases - Enter Cases'!F826,"")</f>
        <v/>
      </c>
      <c r="G826" t="str">
        <f>IF($A826&lt;&gt;"",'All Cases - Enter Cases'!G826,"")</f>
        <v/>
      </c>
      <c r="H826" t="str">
        <f>IF($A826&lt;&gt;"",'All Cases - Enter Cases'!H826,"")</f>
        <v/>
      </c>
      <c r="I826" t="str">
        <f>IF($A826&lt;&gt;"",'All Cases - Enter Cases'!I826,"")</f>
        <v/>
      </c>
      <c r="J826" t="str">
        <f>IF($A826&lt;&gt;"",'All Cases - Enter Cases'!J826,"")</f>
        <v/>
      </c>
      <c r="K826" t="str">
        <f>IF($A826&lt;&gt;"",'All Cases - Enter Cases'!K826,"")</f>
        <v/>
      </c>
      <c r="L826" t="str">
        <f>IF($A826&lt;&gt;"",'All Cases - Enter Cases'!L826,"")</f>
        <v/>
      </c>
      <c r="M826" t="str">
        <f>IF($A826&lt;&gt;"",'All Cases - Enter Cases'!M826,"")</f>
        <v/>
      </c>
    </row>
    <row r="827" spans="1:13" x14ac:dyDescent="0.35">
      <c r="A827" t="str">
        <f>IF('All Cases - Enter Cases'!$F827="KPK",'All Cases - Enter Cases'!A827,"")</f>
        <v/>
      </c>
      <c r="B827" t="str">
        <f>IF($A827&lt;&gt;"",'All Cases - Enter Cases'!B827,"")</f>
        <v/>
      </c>
      <c r="C827" t="str">
        <f>IF($A827&lt;&gt;"",'All Cases - Enter Cases'!C827,"")</f>
        <v/>
      </c>
      <c r="D827" t="str">
        <f>IF($A827&lt;&gt;"",'All Cases - Enter Cases'!D827,"")</f>
        <v/>
      </c>
      <c r="E827" t="str">
        <f>IF($A827&lt;&gt;"",'All Cases - Enter Cases'!E827,"")</f>
        <v/>
      </c>
      <c r="F827" t="str">
        <f>IF($A827&lt;&gt;"",'All Cases - Enter Cases'!F827,"")</f>
        <v/>
      </c>
      <c r="G827" t="str">
        <f>IF($A827&lt;&gt;"",'All Cases - Enter Cases'!G827,"")</f>
        <v/>
      </c>
      <c r="H827" t="str">
        <f>IF($A827&lt;&gt;"",'All Cases - Enter Cases'!H827,"")</f>
        <v/>
      </c>
      <c r="I827" t="str">
        <f>IF($A827&lt;&gt;"",'All Cases - Enter Cases'!I827,"")</f>
        <v/>
      </c>
      <c r="J827" t="str">
        <f>IF($A827&lt;&gt;"",'All Cases - Enter Cases'!J827,"")</f>
        <v/>
      </c>
      <c r="K827" t="str">
        <f>IF($A827&lt;&gt;"",'All Cases - Enter Cases'!K827,"")</f>
        <v/>
      </c>
      <c r="L827" t="str">
        <f>IF($A827&lt;&gt;"",'All Cases - Enter Cases'!L827,"")</f>
        <v/>
      </c>
      <c r="M827" t="str">
        <f>IF($A827&lt;&gt;"",'All Cases - Enter Cases'!M827,"")</f>
        <v/>
      </c>
    </row>
    <row r="828" spans="1:13" x14ac:dyDescent="0.35">
      <c r="A828" t="str">
        <f>IF('All Cases - Enter Cases'!$F828="KPK",'All Cases - Enter Cases'!A828,"")</f>
        <v/>
      </c>
      <c r="B828" t="str">
        <f>IF($A828&lt;&gt;"",'All Cases - Enter Cases'!B828,"")</f>
        <v/>
      </c>
      <c r="C828" t="str">
        <f>IF($A828&lt;&gt;"",'All Cases - Enter Cases'!C828,"")</f>
        <v/>
      </c>
      <c r="D828" t="str">
        <f>IF($A828&lt;&gt;"",'All Cases - Enter Cases'!D828,"")</f>
        <v/>
      </c>
      <c r="E828" t="str">
        <f>IF($A828&lt;&gt;"",'All Cases - Enter Cases'!E828,"")</f>
        <v/>
      </c>
      <c r="F828" t="str">
        <f>IF($A828&lt;&gt;"",'All Cases - Enter Cases'!F828,"")</f>
        <v/>
      </c>
      <c r="G828" t="str">
        <f>IF($A828&lt;&gt;"",'All Cases - Enter Cases'!G828,"")</f>
        <v/>
      </c>
      <c r="H828" t="str">
        <f>IF($A828&lt;&gt;"",'All Cases - Enter Cases'!H828,"")</f>
        <v/>
      </c>
      <c r="I828" t="str">
        <f>IF($A828&lt;&gt;"",'All Cases - Enter Cases'!I828,"")</f>
        <v/>
      </c>
      <c r="J828" t="str">
        <f>IF($A828&lt;&gt;"",'All Cases - Enter Cases'!J828,"")</f>
        <v/>
      </c>
      <c r="K828" t="str">
        <f>IF($A828&lt;&gt;"",'All Cases - Enter Cases'!K828,"")</f>
        <v/>
      </c>
      <c r="L828" t="str">
        <f>IF($A828&lt;&gt;"",'All Cases - Enter Cases'!L828,"")</f>
        <v/>
      </c>
      <c r="M828" t="str">
        <f>IF($A828&lt;&gt;"",'All Cases - Enter Cases'!M828,"")</f>
        <v/>
      </c>
    </row>
    <row r="829" spans="1:13" x14ac:dyDescent="0.35">
      <c r="A829" t="str">
        <f>IF('All Cases - Enter Cases'!$F829="KPK",'All Cases - Enter Cases'!A829,"")</f>
        <v/>
      </c>
      <c r="B829" t="str">
        <f>IF($A829&lt;&gt;"",'All Cases - Enter Cases'!B829,"")</f>
        <v/>
      </c>
      <c r="C829" t="str">
        <f>IF($A829&lt;&gt;"",'All Cases - Enter Cases'!C829,"")</f>
        <v/>
      </c>
      <c r="D829" t="str">
        <f>IF($A829&lt;&gt;"",'All Cases - Enter Cases'!D829,"")</f>
        <v/>
      </c>
      <c r="E829" t="str">
        <f>IF($A829&lt;&gt;"",'All Cases - Enter Cases'!E829,"")</f>
        <v/>
      </c>
      <c r="F829" t="str">
        <f>IF($A829&lt;&gt;"",'All Cases - Enter Cases'!F829,"")</f>
        <v/>
      </c>
      <c r="G829" t="str">
        <f>IF($A829&lt;&gt;"",'All Cases - Enter Cases'!G829,"")</f>
        <v/>
      </c>
      <c r="H829" t="str">
        <f>IF($A829&lt;&gt;"",'All Cases - Enter Cases'!H829,"")</f>
        <v/>
      </c>
      <c r="I829" t="str">
        <f>IF($A829&lt;&gt;"",'All Cases - Enter Cases'!I829,"")</f>
        <v/>
      </c>
      <c r="J829" t="str">
        <f>IF($A829&lt;&gt;"",'All Cases - Enter Cases'!J829,"")</f>
        <v/>
      </c>
      <c r="K829" t="str">
        <f>IF($A829&lt;&gt;"",'All Cases - Enter Cases'!K829,"")</f>
        <v/>
      </c>
      <c r="L829" t="str">
        <f>IF($A829&lt;&gt;"",'All Cases - Enter Cases'!L829,"")</f>
        <v/>
      </c>
      <c r="M829" t="str">
        <f>IF($A829&lt;&gt;"",'All Cases - Enter Cases'!M829,"")</f>
        <v/>
      </c>
    </row>
    <row r="830" spans="1:13" x14ac:dyDescent="0.35">
      <c r="A830" t="str">
        <f>IF('All Cases - Enter Cases'!$F830="KPK",'All Cases - Enter Cases'!A830,"")</f>
        <v/>
      </c>
      <c r="B830" t="str">
        <f>IF($A830&lt;&gt;"",'All Cases - Enter Cases'!B830,"")</f>
        <v/>
      </c>
      <c r="C830" t="str">
        <f>IF($A830&lt;&gt;"",'All Cases - Enter Cases'!C830,"")</f>
        <v/>
      </c>
      <c r="D830" t="str">
        <f>IF($A830&lt;&gt;"",'All Cases - Enter Cases'!D830,"")</f>
        <v/>
      </c>
      <c r="E830" t="str">
        <f>IF($A830&lt;&gt;"",'All Cases - Enter Cases'!E830,"")</f>
        <v/>
      </c>
      <c r="F830" t="str">
        <f>IF($A830&lt;&gt;"",'All Cases - Enter Cases'!F830,"")</f>
        <v/>
      </c>
      <c r="G830" t="str">
        <f>IF($A830&lt;&gt;"",'All Cases - Enter Cases'!G830,"")</f>
        <v/>
      </c>
      <c r="H830" t="str">
        <f>IF($A830&lt;&gt;"",'All Cases - Enter Cases'!H830,"")</f>
        <v/>
      </c>
      <c r="I830" t="str">
        <f>IF($A830&lt;&gt;"",'All Cases - Enter Cases'!I830,"")</f>
        <v/>
      </c>
      <c r="J830" t="str">
        <f>IF($A830&lt;&gt;"",'All Cases - Enter Cases'!J830,"")</f>
        <v/>
      </c>
      <c r="K830" t="str">
        <f>IF($A830&lt;&gt;"",'All Cases - Enter Cases'!K830,"")</f>
        <v/>
      </c>
      <c r="L830" t="str">
        <f>IF($A830&lt;&gt;"",'All Cases - Enter Cases'!L830,"")</f>
        <v/>
      </c>
      <c r="M830" t="str">
        <f>IF($A830&lt;&gt;"",'All Cases - Enter Cases'!M830,"")</f>
        <v/>
      </c>
    </row>
    <row r="831" spans="1:13" x14ac:dyDescent="0.35">
      <c r="A831" t="str">
        <f>IF('All Cases - Enter Cases'!$F831="KPK",'All Cases - Enter Cases'!A831,"")</f>
        <v/>
      </c>
      <c r="B831" t="str">
        <f>IF($A831&lt;&gt;"",'All Cases - Enter Cases'!B831,"")</f>
        <v/>
      </c>
      <c r="C831" t="str">
        <f>IF($A831&lt;&gt;"",'All Cases - Enter Cases'!C831,"")</f>
        <v/>
      </c>
      <c r="D831" t="str">
        <f>IF($A831&lt;&gt;"",'All Cases - Enter Cases'!D831,"")</f>
        <v/>
      </c>
      <c r="E831" t="str">
        <f>IF($A831&lt;&gt;"",'All Cases - Enter Cases'!E831,"")</f>
        <v/>
      </c>
      <c r="F831" t="str">
        <f>IF($A831&lt;&gt;"",'All Cases - Enter Cases'!F831,"")</f>
        <v/>
      </c>
      <c r="G831" t="str">
        <f>IF($A831&lt;&gt;"",'All Cases - Enter Cases'!G831,"")</f>
        <v/>
      </c>
      <c r="H831" t="str">
        <f>IF($A831&lt;&gt;"",'All Cases - Enter Cases'!H831,"")</f>
        <v/>
      </c>
      <c r="I831" t="str">
        <f>IF($A831&lt;&gt;"",'All Cases - Enter Cases'!I831,"")</f>
        <v/>
      </c>
      <c r="J831" t="str">
        <f>IF($A831&lt;&gt;"",'All Cases - Enter Cases'!J831,"")</f>
        <v/>
      </c>
      <c r="K831" t="str">
        <f>IF($A831&lt;&gt;"",'All Cases - Enter Cases'!K831,"")</f>
        <v/>
      </c>
      <c r="L831" t="str">
        <f>IF($A831&lt;&gt;"",'All Cases - Enter Cases'!L831,"")</f>
        <v/>
      </c>
      <c r="M831" t="str">
        <f>IF($A831&lt;&gt;"",'All Cases - Enter Cases'!M831,"")</f>
        <v/>
      </c>
    </row>
    <row r="832" spans="1:13" x14ac:dyDescent="0.35">
      <c r="A832" t="str">
        <f>IF('All Cases - Enter Cases'!$F832="KPK",'All Cases - Enter Cases'!A832,"")</f>
        <v/>
      </c>
      <c r="B832" t="str">
        <f>IF($A832&lt;&gt;"",'All Cases - Enter Cases'!B832,"")</f>
        <v/>
      </c>
      <c r="C832" t="str">
        <f>IF($A832&lt;&gt;"",'All Cases - Enter Cases'!C832,"")</f>
        <v/>
      </c>
      <c r="D832" t="str">
        <f>IF($A832&lt;&gt;"",'All Cases - Enter Cases'!D832,"")</f>
        <v/>
      </c>
      <c r="E832" t="str">
        <f>IF($A832&lt;&gt;"",'All Cases - Enter Cases'!E832,"")</f>
        <v/>
      </c>
      <c r="F832" t="str">
        <f>IF($A832&lt;&gt;"",'All Cases - Enter Cases'!F832,"")</f>
        <v/>
      </c>
      <c r="G832" t="str">
        <f>IF($A832&lt;&gt;"",'All Cases - Enter Cases'!G832,"")</f>
        <v/>
      </c>
      <c r="H832" t="str">
        <f>IF($A832&lt;&gt;"",'All Cases - Enter Cases'!H832,"")</f>
        <v/>
      </c>
      <c r="I832" t="str">
        <f>IF($A832&lt;&gt;"",'All Cases - Enter Cases'!I832,"")</f>
        <v/>
      </c>
      <c r="J832" t="str">
        <f>IF($A832&lt;&gt;"",'All Cases - Enter Cases'!J832,"")</f>
        <v/>
      </c>
      <c r="K832" t="str">
        <f>IF($A832&lt;&gt;"",'All Cases - Enter Cases'!K832,"")</f>
        <v/>
      </c>
      <c r="L832" t="str">
        <f>IF($A832&lt;&gt;"",'All Cases - Enter Cases'!L832,"")</f>
        <v/>
      </c>
      <c r="M832" t="str">
        <f>IF($A832&lt;&gt;"",'All Cases - Enter Cases'!M832,"")</f>
        <v/>
      </c>
    </row>
    <row r="833" spans="1:13" x14ac:dyDescent="0.35">
      <c r="A833" t="str">
        <f>IF('All Cases - Enter Cases'!$F833="KPK",'All Cases - Enter Cases'!A833,"")</f>
        <v/>
      </c>
      <c r="B833" t="str">
        <f>IF($A833&lt;&gt;"",'All Cases - Enter Cases'!B833,"")</f>
        <v/>
      </c>
      <c r="C833" t="str">
        <f>IF($A833&lt;&gt;"",'All Cases - Enter Cases'!C833,"")</f>
        <v/>
      </c>
      <c r="D833" t="str">
        <f>IF($A833&lt;&gt;"",'All Cases - Enter Cases'!D833,"")</f>
        <v/>
      </c>
      <c r="E833" t="str">
        <f>IF($A833&lt;&gt;"",'All Cases - Enter Cases'!E833,"")</f>
        <v/>
      </c>
      <c r="F833" t="str">
        <f>IF($A833&lt;&gt;"",'All Cases - Enter Cases'!F833,"")</f>
        <v/>
      </c>
      <c r="G833" t="str">
        <f>IF($A833&lt;&gt;"",'All Cases - Enter Cases'!G833,"")</f>
        <v/>
      </c>
      <c r="H833" t="str">
        <f>IF($A833&lt;&gt;"",'All Cases - Enter Cases'!H833,"")</f>
        <v/>
      </c>
      <c r="I833" t="str">
        <f>IF($A833&lt;&gt;"",'All Cases - Enter Cases'!I833,"")</f>
        <v/>
      </c>
      <c r="J833" t="str">
        <f>IF($A833&lt;&gt;"",'All Cases - Enter Cases'!J833,"")</f>
        <v/>
      </c>
      <c r="K833" t="str">
        <f>IF($A833&lt;&gt;"",'All Cases - Enter Cases'!K833,"")</f>
        <v/>
      </c>
      <c r="L833" t="str">
        <f>IF($A833&lt;&gt;"",'All Cases - Enter Cases'!L833,"")</f>
        <v/>
      </c>
      <c r="M833" t="str">
        <f>IF($A833&lt;&gt;"",'All Cases - Enter Cases'!M833,"")</f>
        <v/>
      </c>
    </row>
    <row r="834" spans="1:13" x14ac:dyDescent="0.35">
      <c r="A834" t="str">
        <f>IF('All Cases - Enter Cases'!$F834="KPK",'All Cases - Enter Cases'!A834,"")</f>
        <v/>
      </c>
      <c r="B834" t="str">
        <f>IF($A834&lt;&gt;"",'All Cases - Enter Cases'!B834,"")</f>
        <v/>
      </c>
      <c r="C834" t="str">
        <f>IF($A834&lt;&gt;"",'All Cases - Enter Cases'!C834,"")</f>
        <v/>
      </c>
      <c r="D834" t="str">
        <f>IF($A834&lt;&gt;"",'All Cases - Enter Cases'!D834,"")</f>
        <v/>
      </c>
      <c r="E834" t="str">
        <f>IF($A834&lt;&gt;"",'All Cases - Enter Cases'!E834,"")</f>
        <v/>
      </c>
      <c r="F834" t="str">
        <f>IF($A834&lt;&gt;"",'All Cases - Enter Cases'!F834,"")</f>
        <v/>
      </c>
      <c r="G834" t="str">
        <f>IF($A834&lt;&gt;"",'All Cases - Enter Cases'!G834,"")</f>
        <v/>
      </c>
      <c r="H834" t="str">
        <f>IF($A834&lt;&gt;"",'All Cases - Enter Cases'!H834,"")</f>
        <v/>
      </c>
      <c r="I834" t="str">
        <f>IF($A834&lt;&gt;"",'All Cases - Enter Cases'!I834,"")</f>
        <v/>
      </c>
      <c r="J834" t="str">
        <f>IF($A834&lt;&gt;"",'All Cases - Enter Cases'!J834,"")</f>
        <v/>
      </c>
      <c r="K834" t="str">
        <f>IF($A834&lt;&gt;"",'All Cases - Enter Cases'!K834,"")</f>
        <v/>
      </c>
      <c r="L834" t="str">
        <f>IF($A834&lt;&gt;"",'All Cases - Enter Cases'!L834,"")</f>
        <v/>
      </c>
      <c r="M834" t="str">
        <f>IF($A834&lt;&gt;"",'All Cases - Enter Cases'!M834,"")</f>
        <v/>
      </c>
    </row>
    <row r="835" spans="1:13" x14ac:dyDescent="0.35">
      <c r="A835" t="str">
        <f>IF('All Cases - Enter Cases'!$F835="KPK",'All Cases - Enter Cases'!A835,"")</f>
        <v/>
      </c>
      <c r="B835" t="str">
        <f>IF($A835&lt;&gt;"",'All Cases - Enter Cases'!B835,"")</f>
        <v/>
      </c>
      <c r="C835" t="str">
        <f>IF($A835&lt;&gt;"",'All Cases - Enter Cases'!C835,"")</f>
        <v/>
      </c>
      <c r="D835" t="str">
        <f>IF($A835&lt;&gt;"",'All Cases - Enter Cases'!D835,"")</f>
        <v/>
      </c>
      <c r="E835" t="str">
        <f>IF($A835&lt;&gt;"",'All Cases - Enter Cases'!E835,"")</f>
        <v/>
      </c>
      <c r="F835" t="str">
        <f>IF($A835&lt;&gt;"",'All Cases - Enter Cases'!F835,"")</f>
        <v/>
      </c>
      <c r="G835" t="str">
        <f>IF($A835&lt;&gt;"",'All Cases - Enter Cases'!G835,"")</f>
        <v/>
      </c>
      <c r="H835" t="str">
        <f>IF($A835&lt;&gt;"",'All Cases - Enter Cases'!H835,"")</f>
        <v/>
      </c>
      <c r="I835" t="str">
        <f>IF($A835&lt;&gt;"",'All Cases - Enter Cases'!I835,"")</f>
        <v/>
      </c>
      <c r="J835" t="str">
        <f>IF($A835&lt;&gt;"",'All Cases - Enter Cases'!J835,"")</f>
        <v/>
      </c>
      <c r="K835" t="str">
        <f>IF($A835&lt;&gt;"",'All Cases - Enter Cases'!K835,"")</f>
        <v/>
      </c>
      <c r="L835" t="str">
        <f>IF($A835&lt;&gt;"",'All Cases - Enter Cases'!L835,"")</f>
        <v/>
      </c>
      <c r="M835" t="str">
        <f>IF($A835&lt;&gt;"",'All Cases - Enter Cases'!M835,"")</f>
        <v/>
      </c>
    </row>
    <row r="836" spans="1:13" x14ac:dyDescent="0.35">
      <c r="A836" t="str">
        <f>IF('All Cases - Enter Cases'!$F836="KPK",'All Cases - Enter Cases'!A836,"")</f>
        <v/>
      </c>
      <c r="B836" t="str">
        <f>IF($A836&lt;&gt;"",'All Cases - Enter Cases'!B836,"")</f>
        <v/>
      </c>
      <c r="C836" t="str">
        <f>IF($A836&lt;&gt;"",'All Cases - Enter Cases'!C836,"")</f>
        <v/>
      </c>
      <c r="D836" t="str">
        <f>IF($A836&lt;&gt;"",'All Cases - Enter Cases'!D836,"")</f>
        <v/>
      </c>
      <c r="E836" t="str">
        <f>IF($A836&lt;&gt;"",'All Cases - Enter Cases'!E836,"")</f>
        <v/>
      </c>
      <c r="F836" t="str">
        <f>IF($A836&lt;&gt;"",'All Cases - Enter Cases'!F836,"")</f>
        <v/>
      </c>
      <c r="G836" t="str">
        <f>IF($A836&lt;&gt;"",'All Cases - Enter Cases'!G836,"")</f>
        <v/>
      </c>
      <c r="H836" t="str">
        <f>IF($A836&lt;&gt;"",'All Cases - Enter Cases'!H836,"")</f>
        <v/>
      </c>
      <c r="I836" t="str">
        <f>IF($A836&lt;&gt;"",'All Cases - Enter Cases'!I836,"")</f>
        <v/>
      </c>
      <c r="J836" t="str">
        <f>IF($A836&lt;&gt;"",'All Cases - Enter Cases'!J836,"")</f>
        <v/>
      </c>
      <c r="K836" t="str">
        <f>IF($A836&lt;&gt;"",'All Cases - Enter Cases'!K836,"")</f>
        <v/>
      </c>
      <c r="L836" t="str">
        <f>IF($A836&lt;&gt;"",'All Cases - Enter Cases'!L836,"")</f>
        <v/>
      </c>
      <c r="M836" t="str">
        <f>IF($A836&lt;&gt;"",'All Cases - Enter Cases'!M836,"")</f>
        <v/>
      </c>
    </row>
    <row r="837" spans="1:13" x14ac:dyDescent="0.35">
      <c r="A837" t="str">
        <f>IF('All Cases - Enter Cases'!$F837="KPK",'All Cases - Enter Cases'!A837,"")</f>
        <v/>
      </c>
      <c r="B837" t="str">
        <f>IF($A837&lt;&gt;"",'All Cases - Enter Cases'!B837,"")</f>
        <v/>
      </c>
      <c r="C837" t="str">
        <f>IF($A837&lt;&gt;"",'All Cases - Enter Cases'!C837,"")</f>
        <v/>
      </c>
      <c r="D837" t="str">
        <f>IF($A837&lt;&gt;"",'All Cases - Enter Cases'!D837,"")</f>
        <v/>
      </c>
      <c r="E837" t="str">
        <f>IF($A837&lt;&gt;"",'All Cases - Enter Cases'!E837,"")</f>
        <v/>
      </c>
      <c r="F837" t="str">
        <f>IF($A837&lt;&gt;"",'All Cases - Enter Cases'!F837,"")</f>
        <v/>
      </c>
      <c r="G837" t="str">
        <f>IF($A837&lt;&gt;"",'All Cases - Enter Cases'!G837,"")</f>
        <v/>
      </c>
      <c r="H837" t="str">
        <f>IF($A837&lt;&gt;"",'All Cases - Enter Cases'!H837,"")</f>
        <v/>
      </c>
      <c r="I837" t="str">
        <f>IF($A837&lt;&gt;"",'All Cases - Enter Cases'!I837,"")</f>
        <v/>
      </c>
      <c r="J837" t="str">
        <f>IF($A837&lt;&gt;"",'All Cases - Enter Cases'!J837,"")</f>
        <v/>
      </c>
      <c r="K837" t="str">
        <f>IF($A837&lt;&gt;"",'All Cases - Enter Cases'!K837,"")</f>
        <v/>
      </c>
      <c r="L837" t="str">
        <f>IF($A837&lt;&gt;"",'All Cases - Enter Cases'!L837,"")</f>
        <v/>
      </c>
      <c r="M837" t="str">
        <f>IF($A837&lt;&gt;"",'All Cases - Enter Cases'!M837,"")</f>
        <v/>
      </c>
    </row>
    <row r="838" spans="1:13" x14ac:dyDescent="0.35">
      <c r="A838" t="str">
        <f>IF('All Cases - Enter Cases'!$F838="KPK",'All Cases - Enter Cases'!A838,"")</f>
        <v/>
      </c>
      <c r="B838" t="str">
        <f>IF($A838&lt;&gt;"",'All Cases - Enter Cases'!B838,"")</f>
        <v/>
      </c>
      <c r="C838" t="str">
        <f>IF($A838&lt;&gt;"",'All Cases - Enter Cases'!C838,"")</f>
        <v/>
      </c>
      <c r="D838" t="str">
        <f>IF($A838&lt;&gt;"",'All Cases - Enter Cases'!D838,"")</f>
        <v/>
      </c>
      <c r="E838" t="str">
        <f>IF($A838&lt;&gt;"",'All Cases - Enter Cases'!E838,"")</f>
        <v/>
      </c>
      <c r="F838" t="str">
        <f>IF($A838&lt;&gt;"",'All Cases - Enter Cases'!F838,"")</f>
        <v/>
      </c>
      <c r="G838" t="str">
        <f>IF($A838&lt;&gt;"",'All Cases - Enter Cases'!G838,"")</f>
        <v/>
      </c>
      <c r="H838" t="str">
        <f>IF($A838&lt;&gt;"",'All Cases - Enter Cases'!H838,"")</f>
        <v/>
      </c>
      <c r="I838" t="str">
        <f>IF($A838&lt;&gt;"",'All Cases - Enter Cases'!I838,"")</f>
        <v/>
      </c>
      <c r="J838" t="str">
        <f>IF($A838&lt;&gt;"",'All Cases - Enter Cases'!J838,"")</f>
        <v/>
      </c>
      <c r="K838" t="str">
        <f>IF($A838&lt;&gt;"",'All Cases - Enter Cases'!K838,"")</f>
        <v/>
      </c>
      <c r="L838" t="str">
        <f>IF($A838&lt;&gt;"",'All Cases - Enter Cases'!L838,"")</f>
        <v/>
      </c>
      <c r="M838" t="str">
        <f>IF($A838&lt;&gt;"",'All Cases - Enter Cases'!M838,"")</f>
        <v/>
      </c>
    </row>
    <row r="839" spans="1:13" x14ac:dyDescent="0.35">
      <c r="A839" t="str">
        <f>IF('All Cases - Enter Cases'!$F839="KPK",'All Cases - Enter Cases'!A839,"")</f>
        <v/>
      </c>
      <c r="B839" t="str">
        <f>IF($A839&lt;&gt;"",'All Cases - Enter Cases'!B839,"")</f>
        <v/>
      </c>
      <c r="C839" t="str">
        <f>IF($A839&lt;&gt;"",'All Cases - Enter Cases'!C839,"")</f>
        <v/>
      </c>
      <c r="D839" t="str">
        <f>IF($A839&lt;&gt;"",'All Cases - Enter Cases'!D839,"")</f>
        <v/>
      </c>
      <c r="E839" t="str">
        <f>IF($A839&lt;&gt;"",'All Cases - Enter Cases'!E839,"")</f>
        <v/>
      </c>
      <c r="F839" t="str">
        <f>IF($A839&lt;&gt;"",'All Cases - Enter Cases'!F839,"")</f>
        <v/>
      </c>
      <c r="G839" t="str">
        <f>IF($A839&lt;&gt;"",'All Cases - Enter Cases'!G839,"")</f>
        <v/>
      </c>
      <c r="H839" t="str">
        <f>IF($A839&lt;&gt;"",'All Cases - Enter Cases'!H839,"")</f>
        <v/>
      </c>
      <c r="I839" t="str">
        <f>IF($A839&lt;&gt;"",'All Cases - Enter Cases'!I839,"")</f>
        <v/>
      </c>
      <c r="J839" t="str">
        <f>IF($A839&lt;&gt;"",'All Cases - Enter Cases'!J839,"")</f>
        <v/>
      </c>
      <c r="K839" t="str">
        <f>IF($A839&lt;&gt;"",'All Cases - Enter Cases'!K839,"")</f>
        <v/>
      </c>
      <c r="L839" t="str">
        <f>IF($A839&lt;&gt;"",'All Cases - Enter Cases'!L839,"")</f>
        <v/>
      </c>
      <c r="M839" t="str">
        <f>IF($A839&lt;&gt;"",'All Cases - Enter Cases'!M839,"")</f>
        <v/>
      </c>
    </row>
    <row r="840" spans="1:13" x14ac:dyDescent="0.35">
      <c r="A840" t="str">
        <f>IF('All Cases - Enter Cases'!$F840="KPK",'All Cases - Enter Cases'!A840,"")</f>
        <v/>
      </c>
      <c r="B840" t="str">
        <f>IF($A840&lt;&gt;"",'All Cases - Enter Cases'!B840,"")</f>
        <v/>
      </c>
      <c r="C840" t="str">
        <f>IF($A840&lt;&gt;"",'All Cases - Enter Cases'!C840,"")</f>
        <v/>
      </c>
      <c r="D840" t="str">
        <f>IF($A840&lt;&gt;"",'All Cases - Enter Cases'!D840,"")</f>
        <v/>
      </c>
      <c r="E840" t="str">
        <f>IF($A840&lt;&gt;"",'All Cases - Enter Cases'!E840,"")</f>
        <v/>
      </c>
      <c r="F840" t="str">
        <f>IF($A840&lt;&gt;"",'All Cases - Enter Cases'!F840,"")</f>
        <v/>
      </c>
      <c r="G840" t="str">
        <f>IF($A840&lt;&gt;"",'All Cases - Enter Cases'!G840,"")</f>
        <v/>
      </c>
      <c r="H840" t="str">
        <f>IF($A840&lt;&gt;"",'All Cases - Enter Cases'!H840,"")</f>
        <v/>
      </c>
      <c r="I840" t="str">
        <f>IF($A840&lt;&gt;"",'All Cases - Enter Cases'!I840,"")</f>
        <v/>
      </c>
      <c r="J840" t="str">
        <f>IF($A840&lt;&gt;"",'All Cases - Enter Cases'!J840,"")</f>
        <v/>
      </c>
      <c r="K840" t="str">
        <f>IF($A840&lt;&gt;"",'All Cases - Enter Cases'!K840,"")</f>
        <v/>
      </c>
      <c r="L840" t="str">
        <f>IF($A840&lt;&gt;"",'All Cases - Enter Cases'!L840,"")</f>
        <v/>
      </c>
      <c r="M840" t="str">
        <f>IF($A840&lt;&gt;"",'All Cases - Enter Cases'!M840,"")</f>
        <v/>
      </c>
    </row>
    <row r="841" spans="1:13" x14ac:dyDescent="0.35">
      <c r="A841" t="str">
        <f>IF('All Cases - Enter Cases'!$F841="KPK",'All Cases - Enter Cases'!A841,"")</f>
        <v/>
      </c>
      <c r="B841" t="str">
        <f>IF($A841&lt;&gt;"",'All Cases - Enter Cases'!B841,"")</f>
        <v/>
      </c>
      <c r="C841" t="str">
        <f>IF($A841&lt;&gt;"",'All Cases - Enter Cases'!C841,"")</f>
        <v/>
      </c>
      <c r="D841" t="str">
        <f>IF($A841&lt;&gt;"",'All Cases - Enter Cases'!D841,"")</f>
        <v/>
      </c>
      <c r="E841" t="str">
        <f>IF($A841&lt;&gt;"",'All Cases - Enter Cases'!E841,"")</f>
        <v/>
      </c>
      <c r="F841" t="str">
        <f>IF($A841&lt;&gt;"",'All Cases - Enter Cases'!F841,"")</f>
        <v/>
      </c>
      <c r="G841" t="str">
        <f>IF($A841&lt;&gt;"",'All Cases - Enter Cases'!G841,"")</f>
        <v/>
      </c>
      <c r="H841" t="str">
        <f>IF($A841&lt;&gt;"",'All Cases - Enter Cases'!H841,"")</f>
        <v/>
      </c>
      <c r="I841" t="str">
        <f>IF($A841&lt;&gt;"",'All Cases - Enter Cases'!I841,"")</f>
        <v/>
      </c>
      <c r="J841" t="str">
        <f>IF($A841&lt;&gt;"",'All Cases - Enter Cases'!J841,"")</f>
        <v/>
      </c>
      <c r="K841" t="str">
        <f>IF($A841&lt;&gt;"",'All Cases - Enter Cases'!K841,"")</f>
        <v/>
      </c>
      <c r="L841" t="str">
        <f>IF($A841&lt;&gt;"",'All Cases - Enter Cases'!L841,"")</f>
        <v/>
      </c>
      <c r="M841" t="str">
        <f>IF($A841&lt;&gt;"",'All Cases - Enter Cases'!M841,"")</f>
        <v/>
      </c>
    </row>
    <row r="842" spans="1:13" x14ac:dyDescent="0.35">
      <c r="A842" t="str">
        <f>IF('All Cases - Enter Cases'!$F842="KPK",'All Cases - Enter Cases'!A842,"")</f>
        <v/>
      </c>
      <c r="B842" t="str">
        <f>IF($A842&lt;&gt;"",'All Cases - Enter Cases'!B842,"")</f>
        <v/>
      </c>
      <c r="C842" t="str">
        <f>IF($A842&lt;&gt;"",'All Cases - Enter Cases'!C842,"")</f>
        <v/>
      </c>
      <c r="D842" t="str">
        <f>IF($A842&lt;&gt;"",'All Cases - Enter Cases'!D842,"")</f>
        <v/>
      </c>
      <c r="E842" t="str">
        <f>IF($A842&lt;&gt;"",'All Cases - Enter Cases'!E842,"")</f>
        <v/>
      </c>
      <c r="F842" t="str">
        <f>IF($A842&lt;&gt;"",'All Cases - Enter Cases'!F842,"")</f>
        <v/>
      </c>
      <c r="G842" t="str">
        <f>IF($A842&lt;&gt;"",'All Cases - Enter Cases'!G842,"")</f>
        <v/>
      </c>
      <c r="H842" t="str">
        <f>IF($A842&lt;&gt;"",'All Cases - Enter Cases'!H842,"")</f>
        <v/>
      </c>
      <c r="I842" t="str">
        <f>IF($A842&lt;&gt;"",'All Cases - Enter Cases'!I842,"")</f>
        <v/>
      </c>
      <c r="J842" t="str">
        <f>IF($A842&lt;&gt;"",'All Cases - Enter Cases'!J842,"")</f>
        <v/>
      </c>
      <c r="K842" t="str">
        <f>IF($A842&lt;&gt;"",'All Cases - Enter Cases'!K842,"")</f>
        <v/>
      </c>
      <c r="L842" t="str">
        <f>IF($A842&lt;&gt;"",'All Cases - Enter Cases'!L842,"")</f>
        <v/>
      </c>
      <c r="M842" t="str">
        <f>IF($A842&lt;&gt;"",'All Cases - Enter Cases'!M842,"")</f>
        <v/>
      </c>
    </row>
    <row r="843" spans="1:13" x14ac:dyDescent="0.35">
      <c r="A843" t="str">
        <f>IF('All Cases - Enter Cases'!$F843="KPK",'All Cases - Enter Cases'!A843,"")</f>
        <v/>
      </c>
      <c r="B843" t="str">
        <f>IF($A843&lt;&gt;"",'All Cases - Enter Cases'!B843,"")</f>
        <v/>
      </c>
      <c r="C843" t="str">
        <f>IF($A843&lt;&gt;"",'All Cases - Enter Cases'!C843,"")</f>
        <v/>
      </c>
      <c r="D843" t="str">
        <f>IF($A843&lt;&gt;"",'All Cases - Enter Cases'!D843,"")</f>
        <v/>
      </c>
      <c r="E843" t="str">
        <f>IF($A843&lt;&gt;"",'All Cases - Enter Cases'!E843,"")</f>
        <v/>
      </c>
      <c r="F843" t="str">
        <f>IF($A843&lt;&gt;"",'All Cases - Enter Cases'!F843,"")</f>
        <v/>
      </c>
      <c r="G843" t="str">
        <f>IF($A843&lt;&gt;"",'All Cases - Enter Cases'!G843,"")</f>
        <v/>
      </c>
      <c r="H843" t="str">
        <f>IF($A843&lt;&gt;"",'All Cases - Enter Cases'!H843,"")</f>
        <v/>
      </c>
      <c r="I843" t="str">
        <f>IF($A843&lt;&gt;"",'All Cases - Enter Cases'!I843,"")</f>
        <v/>
      </c>
      <c r="J843" t="str">
        <f>IF($A843&lt;&gt;"",'All Cases - Enter Cases'!J843,"")</f>
        <v/>
      </c>
      <c r="K843" t="str">
        <f>IF($A843&lt;&gt;"",'All Cases - Enter Cases'!K843,"")</f>
        <v/>
      </c>
      <c r="L843" t="str">
        <f>IF($A843&lt;&gt;"",'All Cases - Enter Cases'!L843,"")</f>
        <v/>
      </c>
      <c r="M843" t="str">
        <f>IF($A843&lt;&gt;"",'All Cases - Enter Cases'!M843,"")</f>
        <v/>
      </c>
    </row>
    <row r="844" spans="1:13" x14ac:dyDescent="0.35">
      <c r="A844" t="str">
        <f>IF('All Cases - Enter Cases'!$F844="KPK",'All Cases - Enter Cases'!A844,"")</f>
        <v/>
      </c>
      <c r="B844" t="str">
        <f>IF($A844&lt;&gt;"",'All Cases - Enter Cases'!B844,"")</f>
        <v/>
      </c>
      <c r="C844" t="str">
        <f>IF($A844&lt;&gt;"",'All Cases - Enter Cases'!C844,"")</f>
        <v/>
      </c>
      <c r="D844" t="str">
        <f>IF($A844&lt;&gt;"",'All Cases - Enter Cases'!D844,"")</f>
        <v/>
      </c>
      <c r="E844" t="str">
        <f>IF($A844&lt;&gt;"",'All Cases - Enter Cases'!E844,"")</f>
        <v/>
      </c>
      <c r="F844" t="str">
        <f>IF($A844&lt;&gt;"",'All Cases - Enter Cases'!F844,"")</f>
        <v/>
      </c>
      <c r="G844" t="str">
        <f>IF($A844&lt;&gt;"",'All Cases - Enter Cases'!G844,"")</f>
        <v/>
      </c>
      <c r="H844" t="str">
        <f>IF($A844&lt;&gt;"",'All Cases - Enter Cases'!H844,"")</f>
        <v/>
      </c>
      <c r="I844" t="str">
        <f>IF($A844&lt;&gt;"",'All Cases - Enter Cases'!I844,"")</f>
        <v/>
      </c>
      <c r="J844" t="str">
        <f>IF($A844&lt;&gt;"",'All Cases - Enter Cases'!J844,"")</f>
        <v/>
      </c>
      <c r="K844" t="str">
        <f>IF($A844&lt;&gt;"",'All Cases - Enter Cases'!K844,"")</f>
        <v/>
      </c>
      <c r="L844" t="str">
        <f>IF($A844&lt;&gt;"",'All Cases - Enter Cases'!L844,"")</f>
        <v/>
      </c>
      <c r="M844" t="str">
        <f>IF($A844&lt;&gt;"",'All Cases - Enter Cases'!M844,"")</f>
        <v/>
      </c>
    </row>
    <row r="845" spans="1:13" x14ac:dyDescent="0.35">
      <c r="A845" t="str">
        <f>IF('All Cases - Enter Cases'!$F845="KPK",'All Cases - Enter Cases'!A845,"")</f>
        <v/>
      </c>
      <c r="B845" t="str">
        <f>IF($A845&lt;&gt;"",'All Cases - Enter Cases'!B845,"")</f>
        <v/>
      </c>
      <c r="C845" t="str">
        <f>IF($A845&lt;&gt;"",'All Cases - Enter Cases'!C845,"")</f>
        <v/>
      </c>
      <c r="D845" t="str">
        <f>IF($A845&lt;&gt;"",'All Cases - Enter Cases'!D845,"")</f>
        <v/>
      </c>
      <c r="E845" t="str">
        <f>IF($A845&lt;&gt;"",'All Cases - Enter Cases'!E845,"")</f>
        <v/>
      </c>
      <c r="F845" t="str">
        <f>IF($A845&lt;&gt;"",'All Cases - Enter Cases'!F845,"")</f>
        <v/>
      </c>
      <c r="G845" t="str">
        <f>IF($A845&lt;&gt;"",'All Cases - Enter Cases'!G845,"")</f>
        <v/>
      </c>
      <c r="H845" t="str">
        <f>IF($A845&lt;&gt;"",'All Cases - Enter Cases'!H845,"")</f>
        <v/>
      </c>
      <c r="I845" t="str">
        <f>IF($A845&lt;&gt;"",'All Cases - Enter Cases'!I845,"")</f>
        <v/>
      </c>
      <c r="J845" t="str">
        <f>IF($A845&lt;&gt;"",'All Cases - Enter Cases'!J845,"")</f>
        <v/>
      </c>
      <c r="K845" t="str">
        <f>IF($A845&lt;&gt;"",'All Cases - Enter Cases'!K845,"")</f>
        <v/>
      </c>
      <c r="L845" t="str">
        <f>IF($A845&lt;&gt;"",'All Cases - Enter Cases'!L845,"")</f>
        <v/>
      </c>
      <c r="M845" t="str">
        <f>IF($A845&lt;&gt;"",'All Cases - Enter Cases'!M845,"")</f>
        <v/>
      </c>
    </row>
    <row r="846" spans="1:13" x14ac:dyDescent="0.35">
      <c r="A846" t="str">
        <f>IF('All Cases - Enter Cases'!$F846="KPK",'All Cases - Enter Cases'!A846,"")</f>
        <v/>
      </c>
      <c r="B846" t="str">
        <f>IF($A846&lt;&gt;"",'All Cases - Enter Cases'!B846,"")</f>
        <v/>
      </c>
      <c r="C846" t="str">
        <f>IF($A846&lt;&gt;"",'All Cases - Enter Cases'!C846,"")</f>
        <v/>
      </c>
      <c r="D846" t="str">
        <f>IF($A846&lt;&gt;"",'All Cases - Enter Cases'!D846,"")</f>
        <v/>
      </c>
      <c r="E846" t="str">
        <f>IF($A846&lt;&gt;"",'All Cases - Enter Cases'!E846,"")</f>
        <v/>
      </c>
      <c r="F846" t="str">
        <f>IF($A846&lt;&gt;"",'All Cases - Enter Cases'!F846,"")</f>
        <v/>
      </c>
      <c r="G846" t="str">
        <f>IF($A846&lt;&gt;"",'All Cases - Enter Cases'!G846,"")</f>
        <v/>
      </c>
      <c r="H846" t="str">
        <f>IF($A846&lt;&gt;"",'All Cases - Enter Cases'!H846,"")</f>
        <v/>
      </c>
      <c r="I846" t="str">
        <f>IF($A846&lt;&gt;"",'All Cases - Enter Cases'!I846,"")</f>
        <v/>
      </c>
      <c r="J846" t="str">
        <f>IF($A846&lt;&gt;"",'All Cases - Enter Cases'!J846,"")</f>
        <v/>
      </c>
      <c r="K846" t="str">
        <f>IF($A846&lt;&gt;"",'All Cases - Enter Cases'!K846,"")</f>
        <v/>
      </c>
      <c r="L846" t="str">
        <f>IF($A846&lt;&gt;"",'All Cases - Enter Cases'!L846,"")</f>
        <v/>
      </c>
      <c r="M846" t="str">
        <f>IF($A846&lt;&gt;"",'All Cases - Enter Cases'!M846,"")</f>
        <v/>
      </c>
    </row>
    <row r="847" spans="1:13" x14ac:dyDescent="0.35">
      <c r="A847" t="str">
        <f>IF('All Cases - Enter Cases'!$F847="KPK",'All Cases - Enter Cases'!A847,"")</f>
        <v/>
      </c>
      <c r="B847" t="str">
        <f>IF($A847&lt;&gt;"",'All Cases - Enter Cases'!B847,"")</f>
        <v/>
      </c>
      <c r="C847" t="str">
        <f>IF($A847&lt;&gt;"",'All Cases - Enter Cases'!C847,"")</f>
        <v/>
      </c>
      <c r="D847" t="str">
        <f>IF($A847&lt;&gt;"",'All Cases - Enter Cases'!D847,"")</f>
        <v/>
      </c>
      <c r="E847" t="str">
        <f>IF($A847&lt;&gt;"",'All Cases - Enter Cases'!E847,"")</f>
        <v/>
      </c>
      <c r="F847" t="str">
        <f>IF($A847&lt;&gt;"",'All Cases - Enter Cases'!F847,"")</f>
        <v/>
      </c>
      <c r="G847" t="str">
        <f>IF($A847&lt;&gt;"",'All Cases - Enter Cases'!G847,"")</f>
        <v/>
      </c>
      <c r="H847" t="str">
        <f>IF($A847&lt;&gt;"",'All Cases - Enter Cases'!H847,"")</f>
        <v/>
      </c>
      <c r="I847" t="str">
        <f>IF($A847&lt;&gt;"",'All Cases - Enter Cases'!I847,"")</f>
        <v/>
      </c>
      <c r="J847" t="str">
        <f>IF($A847&lt;&gt;"",'All Cases - Enter Cases'!J847,"")</f>
        <v/>
      </c>
      <c r="K847" t="str">
        <f>IF($A847&lt;&gt;"",'All Cases - Enter Cases'!K847,"")</f>
        <v/>
      </c>
      <c r="L847" t="str">
        <f>IF($A847&lt;&gt;"",'All Cases - Enter Cases'!L847,"")</f>
        <v/>
      </c>
      <c r="M847" t="str">
        <f>IF($A847&lt;&gt;"",'All Cases - Enter Cases'!M847,"")</f>
        <v/>
      </c>
    </row>
    <row r="848" spans="1:13" x14ac:dyDescent="0.35">
      <c r="A848" t="str">
        <f>IF('All Cases - Enter Cases'!$F848="KPK",'All Cases - Enter Cases'!A848,"")</f>
        <v/>
      </c>
      <c r="B848" t="str">
        <f>IF($A848&lt;&gt;"",'All Cases - Enter Cases'!B848,"")</f>
        <v/>
      </c>
      <c r="C848" t="str">
        <f>IF($A848&lt;&gt;"",'All Cases - Enter Cases'!C848,"")</f>
        <v/>
      </c>
      <c r="D848" t="str">
        <f>IF($A848&lt;&gt;"",'All Cases - Enter Cases'!D848,"")</f>
        <v/>
      </c>
      <c r="E848" t="str">
        <f>IF($A848&lt;&gt;"",'All Cases - Enter Cases'!E848,"")</f>
        <v/>
      </c>
      <c r="F848" t="str">
        <f>IF($A848&lt;&gt;"",'All Cases - Enter Cases'!F848,"")</f>
        <v/>
      </c>
      <c r="G848" t="str">
        <f>IF($A848&lt;&gt;"",'All Cases - Enter Cases'!G848,"")</f>
        <v/>
      </c>
      <c r="H848" t="str">
        <f>IF($A848&lt;&gt;"",'All Cases - Enter Cases'!H848,"")</f>
        <v/>
      </c>
      <c r="I848" t="str">
        <f>IF($A848&lt;&gt;"",'All Cases - Enter Cases'!I848,"")</f>
        <v/>
      </c>
      <c r="J848" t="str">
        <f>IF($A848&lt;&gt;"",'All Cases - Enter Cases'!J848,"")</f>
        <v/>
      </c>
      <c r="K848" t="str">
        <f>IF($A848&lt;&gt;"",'All Cases - Enter Cases'!K848,"")</f>
        <v/>
      </c>
      <c r="L848" t="str">
        <f>IF($A848&lt;&gt;"",'All Cases - Enter Cases'!L848,"")</f>
        <v/>
      </c>
      <c r="M848" t="str">
        <f>IF($A848&lt;&gt;"",'All Cases - Enter Cases'!M848,"")</f>
        <v/>
      </c>
    </row>
    <row r="849" spans="1:13" x14ac:dyDescent="0.35">
      <c r="A849" t="str">
        <f>IF('All Cases - Enter Cases'!$F849="KPK",'All Cases - Enter Cases'!A849,"")</f>
        <v/>
      </c>
      <c r="B849" t="str">
        <f>IF($A849&lt;&gt;"",'All Cases - Enter Cases'!B849,"")</f>
        <v/>
      </c>
      <c r="C849" t="str">
        <f>IF($A849&lt;&gt;"",'All Cases - Enter Cases'!C849,"")</f>
        <v/>
      </c>
      <c r="D849" t="str">
        <f>IF($A849&lt;&gt;"",'All Cases - Enter Cases'!D849,"")</f>
        <v/>
      </c>
      <c r="E849" t="str">
        <f>IF($A849&lt;&gt;"",'All Cases - Enter Cases'!E849,"")</f>
        <v/>
      </c>
      <c r="F849" t="str">
        <f>IF($A849&lt;&gt;"",'All Cases - Enter Cases'!F849,"")</f>
        <v/>
      </c>
      <c r="G849" t="str">
        <f>IF($A849&lt;&gt;"",'All Cases - Enter Cases'!G849,"")</f>
        <v/>
      </c>
      <c r="H849" t="str">
        <f>IF($A849&lt;&gt;"",'All Cases - Enter Cases'!H849,"")</f>
        <v/>
      </c>
      <c r="I849" t="str">
        <f>IF($A849&lt;&gt;"",'All Cases - Enter Cases'!I849,"")</f>
        <v/>
      </c>
      <c r="J849" t="str">
        <f>IF($A849&lt;&gt;"",'All Cases - Enter Cases'!J849,"")</f>
        <v/>
      </c>
      <c r="K849" t="str">
        <f>IF($A849&lt;&gt;"",'All Cases - Enter Cases'!K849,"")</f>
        <v/>
      </c>
      <c r="L849" t="str">
        <f>IF($A849&lt;&gt;"",'All Cases - Enter Cases'!L849,"")</f>
        <v/>
      </c>
      <c r="M849" t="str">
        <f>IF($A849&lt;&gt;"",'All Cases - Enter Cases'!M849,"")</f>
        <v/>
      </c>
    </row>
    <row r="850" spans="1:13" x14ac:dyDescent="0.35">
      <c r="A850" t="str">
        <f>IF('All Cases - Enter Cases'!$F850="KPK",'All Cases - Enter Cases'!A850,"")</f>
        <v/>
      </c>
      <c r="B850" t="str">
        <f>IF($A850&lt;&gt;"",'All Cases - Enter Cases'!B850,"")</f>
        <v/>
      </c>
      <c r="C850" t="str">
        <f>IF($A850&lt;&gt;"",'All Cases - Enter Cases'!C850,"")</f>
        <v/>
      </c>
      <c r="D850" t="str">
        <f>IF($A850&lt;&gt;"",'All Cases - Enter Cases'!D850,"")</f>
        <v/>
      </c>
      <c r="E850" t="str">
        <f>IF($A850&lt;&gt;"",'All Cases - Enter Cases'!E850,"")</f>
        <v/>
      </c>
      <c r="F850" t="str">
        <f>IF($A850&lt;&gt;"",'All Cases - Enter Cases'!F850,"")</f>
        <v/>
      </c>
      <c r="G850" t="str">
        <f>IF($A850&lt;&gt;"",'All Cases - Enter Cases'!G850,"")</f>
        <v/>
      </c>
      <c r="H850" t="str">
        <f>IF($A850&lt;&gt;"",'All Cases - Enter Cases'!H850,"")</f>
        <v/>
      </c>
      <c r="I850" t="str">
        <f>IF($A850&lt;&gt;"",'All Cases - Enter Cases'!I850,"")</f>
        <v/>
      </c>
      <c r="J850" t="str">
        <f>IF($A850&lt;&gt;"",'All Cases - Enter Cases'!J850,"")</f>
        <v/>
      </c>
      <c r="K850" t="str">
        <f>IF($A850&lt;&gt;"",'All Cases - Enter Cases'!K850,"")</f>
        <v/>
      </c>
      <c r="L850" t="str">
        <f>IF($A850&lt;&gt;"",'All Cases - Enter Cases'!L850,"")</f>
        <v/>
      </c>
      <c r="M850" t="str">
        <f>IF($A850&lt;&gt;"",'All Cases - Enter Cases'!M850,"")</f>
        <v/>
      </c>
    </row>
    <row r="851" spans="1:13" x14ac:dyDescent="0.35">
      <c r="A851" t="str">
        <f>IF('All Cases - Enter Cases'!$F851="KPK",'All Cases - Enter Cases'!A851,"")</f>
        <v/>
      </c>
      <c r="B851" t="str">
        <f>IF($A851&lt;&gt;"",'All Cases - Enter Cases'!B851,"")</f>
        <v/>
      </c>
      <c r="C851" t="str">
        <f>IF($A851&lt;&gt;"",'All Cases - Enter Cases'!C851,"")</f>
        <v/>
      </c>
      <c r="D851" t="str">
        <f>IF($A851&lt;&gt;"",'All Cases - Enter Cases'!D851,"")</f>
        <v/>
      </c>
      <c r="E851" t="str">
        <f>IF($A851&lt;&gt;"",'All Cases - Enter Cases'!E851,"")</f>
        <v/>
      </c>
      <c r="F851" t="str">
        <f>IF($A851&lt;&gt;"",'All Cases - Enter Cases'!F851,"")</f>
        <v/>
      </c>
      <c r="G851" t="str">
        <f>IF($A851&lt;&gt;"",'All Cases - Enter Cases'!G851,"")</f>
        <v/>
      </c>
      <c r="H851" t="str">
        <f>IF($A851&lt;&gt;"",'All Cases - Enter Cases'!H851,"")</f>
        <v/>
      </c>
      <c r="I851" t="str">
        <f>IF($A851&lt;&gt;"",'All Cases - Enter Cases'!I851,"")</f>
        <v/>
      </c>
      <c r="J851" t="str">
        <f>IF($A851&lt;&gt;"",'All Cases - Enter Cases'!J851,"")</f>
        <v/>
      </c>
      <c r="K851" t="str">
        <f>IF($A851&lt;&gt;"",'All Cases - Enter Cases'!K851,"")</f>
        <v/>
      </c>
      <c r="L851" t="str">
        <f>IF($A851&lt;&gt;"",'All Cases - Enter Cases'!L851,"")</f>
        <v/>
      </c>
      <c r="M851" t="str">
        <f>IF($A851&lt;&gt;"",'All Cases - Enter Cases'!M851,"")</f>
        <v/>
      </c>
    </row>
    <row r="852" spans="1:13" x14ac:dyDescent="0.35">
      <c r="A852" t="str">
        <f>IF('All Cases - Enter Cases'!$F852="KPK",'All Cases - Enter Cases'!A852,"")</f>
        <v/>
      </c>
      <c r="B852" t="str">
        <f>IF($A852&lt;&gt;"",'All Cases - Enter Cases'!B852,"")</f>
        <v/>
      </c>
      <c r="C852" t="str">
        <f>IF($A852&lt;&gt;"",'All Cases - Enter Cases'!C852,"")</f>
        <v/>
      </c>
      <c r="D852" t="str">
        <f>IF($A852&lt;&gt;"",'All Cases - Enter Cases'!D852,"")</f>
        <v/>
      </c>
      <c r="E852" t="str">
        <f>IF($A852&lt;&gt;"",'All Cases - Enter Cases'!E852,"")</f>
        <v/>
      </c>
      <c r="F852" t="str">
        <f>IF($A852&lt;&gt;"",'All Cases - Enter Cases'!F852,"")</f>
        <v/>
      </c>
      <c r="G852" t="str">
        <f>IF($A852&lt;&gt;"",'All Cases - Enter Cases'!G852,"")</f>
        <v/>
      </c>
      <c r="H852" t="str">
        <f>IF($A852&lt;&gt;"",'All Cases - Enter Cases'!H852,"")</f>
        <v/>
      </c>
      <c r="I852" t="str">
        <f>IF($A852&lt;&gt;"",'All Cases - Enter Cases'!I852,"")</f>
        <v/>
      </c>
      <c r="J852" t="str">
        <f>IF($A852&lt;&gt;"",'All Cases - Enter Cases'!J852,"")</f>
        <v/>
      </c>
      <c r="K852" t="str">
        <f>IF($A852&lt;&gt;"",'All Cases - Enter Cases'!K852,"")</f>
        <v/>
      </c>
      <c r="L852" t="str">
        <f>IF($A852&lt;&gt;"",'All Cases - Enter Cases'!L852,"")</f>
        <v/>
      </c>
      <c r="M852" t="str">
        <f>IF($A852&lt;&gt;"",'All Cases - Enter Cases'!M852,"")</f>
        <v/>
      </c>
    </row>
    <row r="853" spans="1:13" x14ac:dyDescent="0.35">
      <c r="A853" t="str">
        <f>IF('All Cases - Enter Cases'!$F853="KPK",'All Cases - Enter Cases'!A853,"")</f>
        <v/>
      </c>
      <c r="B853" t="str">
        <f>IF($A853&lt;&gt;"",'All Cases - Enter Cases'!B853,"")</f>
        <v/>
      </c>
      <c r="C853" t="str">
        <f>IF($A853&lt;&gt;"",'All Cases - Enter Cases'!C853,"")</f>
        <v/>
      </c>
      <c r="D853" t="str">
        <f>IF($A853&lt;&gt;"",'All Cases - Enter Cases'!D853,"")</f>
        <v/>
      </c>
      <c r="E853" t="str">
        <f>IF($A853&lt;&gt;"",'All Cases - Enter Cases'!E853,"")</f>
        <v/>
      </c>
      <c r="F853" t="str">
        <f>IF($A853&lt;&gt;"",'All Cases - Enter Cases'!F853,"")</f>
        <v/>
      </c>
      <c r="G853" t="str">
        <f>IF($A853&lt;&gt;"",'All Cases - Enter Cases'!G853,"")</f>
        <v/>
      </c>
      <c r="H853" t="str">
        <f>IF($A853&lt;&gt;"",'All Cases - Enter Cases'!H853,"")</f>
        <v/>
      </c>
      <c r="I853" t="str">
        <f>IF($A853&lt;&gt;"",'All Cases - Enter Cases'!I853,"")</f>
        <v/>
      </c>
      <c r="J853" t="str">
        <f>IF($A853&lt;&gt;"",'All Cases - Enter Cases'!J853,"")</f>
        <v/>
      </c>
      <c r="K853" t="str">
        <f>IF($A853&lt;&gt;"",'All Cases - Enter Cases'!K853,"")</f>
        <v/>
      </c>
      <c r="L853" t="str">
        <f>IF($A853&lt;&gt;"",'All Cases - Enter Cases'!L853,"")</f>
        <v/>
      </c>
      <c r="M853" t="str">
        <f>IF($A853&lt;&gt;"",'All Cases - Enter Cases'!M853,"")</f>
        <v/>
      </c>
    </row>
    <row r="854" spans="1:13" x14ac:dyDescent="0.35">
      <c r="A854" t="str">
        <f>IF('All Cases - Enter Cases'!$F854="KPK",'All Cases - Enter Cases'!A854,"")</f>
        <v/>
      </c>
      <c r="B854" t="str">
        <f>IF($A854&lt;&gt;"",'All Cases - Enter Cases'!B854,"")</f>
        <v/>
      </c>
      <c r="C854" t="str">
        <f>IF($A854&lt;&gt;"",'All Cases - Enter Cases'!C854,"")</f>
        <v/>
      </c>
      <c r="D854" t="str">
        <f>IF($A854&lt;&gt;"",'All Cases - Enter Cases'!D854,"")</f>
        <v/>
      </c>
      <c r="E854" t="str">
        <f>IF($A854&lt;&gt;"",'All Cases - Enter Cases'!E854,"")</f>
        <v/>
      </c>
      <c r="F854" t="str">
        <f>IF($A854&lt;&gt;"",'All Cases - Enter Cases'!F854,"")</f>
        <v/>
      </c>
      <c r="G854" t="str">
        <f>IF($A854&lt;&gt;"",'All Cases - Enter Cases'!G854,"")</f>
        <v/>
      </c>
      <c r="H854" t="str">
        <f>IF($A854&lt;&gt;"",'All Cases - Enter Cases'!H854,"")</f>
        <v/>
      </c>
      <c r="I854" t="str">
        <f>IF($A854&lt;&gt;"",'All Cases - Enter Cases'!I854,"")</f>
        <v/>
      </c>
      <c r="J854" t="str">
        <f>IF($A854&lt;&gt;"",'All Cases - Enter Cases'!J854,"")</f>
        <v/>
      </c>
      <c r="K854" t="str">
        <f>IF($A854&lt;&gt;"",'All Cases - Enter Cases'!K854,"")</f>
        <v/>
      </c>
      <c r="L854" t="str">
        <f>IF($A854&lt;&gt;"",'All Cases - Enter Cases'!L854,"")</f>
        <v/>
      </c>
      <c r="M854" t="str">
        <f>IF($A854&lt;&gt;"",'All Cases - Enter Cases'!M854,"")</f>
        <v/>
      </c>
    </row>
    <row r="855" spans="1:13" x14ac:dyDescent="0.35">
      <c r="A855" t="str">
        <f>IF('All Cases - Enter Cases'!$F855="KPK",'All Cases - Enter Cases'!A855,"")</f>
        <v/>
      </c>
      <c r="B855" t="str">
        <f>IF($A855&lt;&gt;"",'All Cases - Enter Cases'!B855,"")</f>
        <v/>
      </c>
      <c r="C855" t="str">
        <f>IF($A855&lt;&gt;"",'All Cases - Enter Cases'!C855,"")</f>
        <v/>
      </c>
      <c r="D855" t="str">
        <f>IF($A855&lt;&gt;"",'All Cases - Enter Cases'!D855,"")</f>
        <v/>
      </c>
      <c r="E855" t="str">
        <f>IF($A855&lt;&gt;"",'All Cases - Enter Cases'!E855,"")</f>
        <v/>
      </c>
      <c r="F855" t="str">
        <f>IF($A855&lt;&gt;"",'All Cases - Enter Cases'!F855,"")</f>
        <v/>
      </c>
      <c r="G855" t="str">
        <f>IF($A855&lt;&gt;"",'All Cases - Enter Cases'!G855,"")</f>
        <v/>
      </c>
      <c r="H855" t="str">
        <f>IF($A855&lt;&gt;"",'All Cases - Enter Cases'!H855,"")</f>
        <v/>
      </c>
      <c r="I855" t="str">
        <f>IF($A855&lt;&gt;"",'All Cases - Enter Cases'!I855,"")</f>
        <v/>
      </c>
      <c r="J855" t="str">
        <f>IF($A855&lt;&gt;"",'All Cases - Enter Cases'!J855,"")</f>
        <v/>
      </c>
      <c r="K855" t="str">
        <f>IF($A855&lt;&gt;"",'All Cases - Enter Cases'!K855,"")</f>
        <v/>
      </c>
      <c r="L855" t="str">
        <f>IF($A855&lt;&gt;"",'All Cases - Enter Cases'!L855,"")</f>
        <v/>
      </c>
      <c r="M855" t="str">
        <f>IF($A855&lt;&gt;"",'All Cases - Enter Cases'!M855,"")</f>
        <v/>
      </c>
    </row>
    <row r="856" spans="1:13" x14ac:dyDescent="0.35">
      <c r="A856" t="str">
        <f>IF('All Cases - Enter Cases'!$F856="KPK",'All Cases - Enter Cases'!A856,"")</f>
        <v/>
      </c>
      <c r="B856" t="str">
        <f>IF($A856&lt;&gt;"",'All Cases - Enter Cases'!B856,"")</f>
        <v/>
      </c>
      <c r="C856" t="str">
        <f>IF($A856&lt;&gt;"",'All Cases - Enter Cases'!C856,"")</f>
        <v/>
      </c>
      <c r="D856" t="str">
        <f>IF($A856&lt;&gt;"",'All Cases - Enter Cases'!D856,"")</f>
        <v/>
      </c>
      <c r="E856" t="str">
        <f>IF($A856&lt;&gt;"",'All Cases - Enter Cases'!E856,"")</f>
        <v/>
      </c>
      <c r="F856" t="str">
        <f>IF($A856&lt;&gt;"",'All Cases - Enter Cases'!F856,"")</f>
        <v/>
      </c>
      <c r="G856" t="str">
        <f>IF($A856&lt;&gt;"",'All Cases - Enter Cases'!G856,"")</f>
        <v/>
      </c>
      <c r="H856" t="str">
        <f>IF($A856&lt;&gt;"",'All Cases - Enter Cases'!H856,"")</f>
        <v/>
      </c>
      <c r="I856" t="str">
        <f>IF($A856&lt;&gt;"",'All Cases - Enter Cases'!I856,"")</f>
        <v/>
      </c>
      <c r="J856" t="str">
        <f>IF($A856&lt;&gt;"",'All Cases - Enter Cases'!J856,"")</f>
        <v/>
      </c>
      <c r="K856" t="str">
        <f>IF($A856&lt;&gt;"",'All Cases - Enter Cases'!K856,"")</f>
        <v/>
      </c>
      <c r="L856" t="str">
        <f>IF($A856&lt;&gt;"",'All Cases - Enter Cases'!L856,"")</f>
        <v/>
      </c>
      <c r="M856" t="str">
        <f>IF($A856&lt;&gt;"",'All Cases - Enter Cases'!M856,"")</f>
        <v/>
      </c>
    </row>
    <row r="857" spans="1:13" x14ac:dyDescent="0.35">
      <c r="A857" t="str">
        <f>IF('All Cases - Enter Cases'!$F857="KPK",'All Cases - Enter Cases'!A857,"")</f>
        <v/>
      </c>
      <c r="B857" t="str">
        <f>IF($A857&lt;&gt;"",'All Cases - Enter Cases'!B857,"")</f>
        <v/>
      </c>
      <c r="C857" t="str">
        <f>IF($A857&lt;&gt;"",'All Cases - Enter Cases'!C857,"")</f>
        <v/>
      </c>
      <c r="D857" t="str">
        <f>IF($A857&lt;&gt;"",'All Cases - Enter Cases'!D857,"")</f>
        <v/>
      </c>
      <c r="E857" t="str">
        <f>IF($A857&lt;&gt;"",'All Cases - Enter Cases'!E857,"")</f>
        <v/>
      </c>
      <c r="F857" t="str">
        <f>IF($A857&lt;&gt;"",'All Cases - Enter Cases'!F857,"")</f>
        <v/>
      </c>
      <c r="G857" t="str">
        <f>IF($A857&lt;&gt;"",'All Cases - Enter Cases'!G857,"")</f>
        <v/>
      </c>
      <c r="H857" t="str">
        <f>IF($A857&lt;&gt;"",'All Cases - Enter Cases'!H857,"")</f>
        <v/>
      </c>
      <c r="I857" t="str">
        <f>IF($A857&lt;&gt;"",'All Cases - Enter Cases'!I857,"")</f>
        <v/>
      </c>
      <c r="J857" t="str">
        <f>IF($A857&lt;&gt;"",'All Cases - Enter Cases'!J857,"")</f>
        <v/>
      </c>
      <c r="K857" t="str">
        <f>IF($A857&lt;&gt;"",'All Cases - Enter Cases'!K857,"")</f>
        <v/>
      </c>
      <c r="L857" t="str">
        <f>IF($A857&lt;&gt;"",'All Cases - Enter Cases'!L857,"")</f>
        <v/>
      </c>
      <c r="M857" t="str">
        <f>IF($A857&lt;&gt;"",'All Cases - Enter Cases'!M857,"")</f>
        <v/>
      </c>
    </row>
    <row r="858" spans="1:13" x14ac:dyDescent="0.35">
      <c r="A858" t="str">
        <f>IF('All Cases - Enter Cases'!$F858="KPK",'All Cases - Enter Cases'!A858,"")</f>
        <v/>
      </c>
      <c r="B858" t="str">
        <f>IF($A858&lt;&gt;"",'All Cases - Enter Cases'!B858,"")</f>
        <v/>
      </c>
      <c r="C858" t="str">
        <f>IF($A858&lt;&gt;"",'All Cases - Enter Cases'!C858,"")</f>
        <v/>
      </c>
      <c r="D858" t="str">
        <f>IF($A858&lt;&gt;"",'All Cases - Enter Cases'!D858,"")</f>
        <v/>
      </c>
      <c r="E858" t="str">
        <f>IF($A858&lt;&gt;"",'All Cases - Enter Cases'!E858,"")</f>
        <v/>
      </c>
      <c r="F858" t="str">
        <f>IF($A858&lt;&gt;"",'All Cases - Enter Cases'!F858,"")</f>
        <v/>
      </c>
      <c r="G858" t="str">
        <f>IF($A858&lt;&gt;"",'All Cases - Enter Cases'!G858,"")</f>
        <v/>
      </c>
      <c r="H858" t="str">
        <f>IF($A858&lt;&gt;"",'All Cases - Enter Cases'!H858,"")</f>
        <v/>
      </c>
      <c r="I858" t="str">
        <f>IF($A858&lt;&gt;"",'All Cases - Enter Cases'!I858,"")</f>
        <v/>
      </c>
      <c r="J858" t="str">
        <f>IF($A858&lt;&gt;"",'All Cases - Enter Cases'!J858,"")</f>
        <v/>
      </c>
      <c r="K858" t="str">
        <f>IF($A858&lt;&gt;"",'All Cases - Enter Cases'!K858,"")</f>
        <v/>
      </c>
      <c r="L858" t="str">
        <f>IF($A858&lt;&gt;"",'All Cases - Enter Cases'!L858,"")</f>
        <v/>
      </c>
      <c r="M858" t="str">
        <f>IF($A858&lt;&gt;"",'All Cases - Enter Cases'!M858,"")</f>
        <v/>
      </c>
    </row>
    <row r="859" spans="1:13" x14ac:dyDescent="0.35">
      <c r="A859" t="str">
        <f>IF('All Cases - Enter Cases'!$F859="KPK",'All Cases - Enter Cases'!A859,"")</f>
        <v/>
      </c>
      <c r="B859" t="str">
        <f>IF($A859&lt;&gt;"",'All Cases - Enter Cases'!B859,"")</f>
        <v/>
      </c>
      <c r="C859" t="str">
        <f>IF($A859&lt;&gt;"",'All Cases - Enter Cases'!C859,"")</f>
        <v/>
      </c>
      <c r="D859" t="str">
        <f>IF($A859&lt;&gt;"",'All Cases - Enter Cases'!D859,"")</f>
        <v/>
      </c>
      <c r="E859" t="str">
        <f>IF($A859&lt;&gt;"",'All Cases - Enter Cases'!E859,"")</f>
        <v/>
      </c>
      <c r="F859" t="str">
        <f>IF($A859&lt;&gt;"",'All Cases - Enter Cases'!F859,"")</f>
        <v/>
      </c>
      <c r="G859" t="str">
        <f>IF($A859&lt;&gt;"",'All Cases - Enter Cases'!G859,"")</f>
        <v/>
      </c>
      <c r="H859" t="str">
        <f>IF($A859&lt;&gt;"",'All Cases - Enter Cases'!H859,"")</f>
        <v/>
      </c>
      <c r="I859" t="str">
        <f>IF($A859&lt;&gt;"",'All Cases - Enter Cases'!I859,"")</f>
        <v/>
      </c>
      <c r="J859" t="str">
        <f>IF($A859&lt;&gt;"",'All Cases - Enter Cases'!J859,"")</f>
        <v/>
      </c>
      <c r="K859" t="str">
        <f>IF($A859&lt;&gt;"",'All Cases - Enter Cases'!K859,"")</f>
        <v/>
      </c>
      <c r="L859" t="str">
        <f>IF($A859&lt;&gt;"",'All Cases - Enter Cases'!L859,"")</f>
        <v/>
      </c>
      <c r="M859" t="str">
        <f>IF($A859&lt;&gt;"",'All Cases - Enter Cases'!M859,"")</f>
        <v/>
      </c>
    </row>
    <row r="860" spans="1:13" x14ac:dyDescent="0.35">
      <c r="A860" t="str">
        <f>IF('All Cases - Enter Cases'!$F860="KPK",'All Cases - Enter Cases'!A860,"")</f>
        <v/>
      </c>
      <c r="B860" t="str">
        <f>IF($A860&lt;&gt;"",'All Cases - Enter Cases'!B860,"")</f>
        <v/>
      </c>
      <c r="C860" t="str">
        <f>IF($A860&lt;&gt;"",'All Cases - Enter Cases'!C860,"")</f>
        <v/>
      </c>
      <c r="D860" t="str">
        <f>IF($A860&lt;&gt;"",'All Cases - Enter Cases'!D860,"")</f>
        <v/>
      </c>
      <c r="E860" t="str">
        <f>IF($A860&lt;&gt;"",'All Cases - Enter Cases'!E860,"")</f>
        <v/>
      </c>
      <c r="F860" t="str">
        <f>IF($A860&lt;&gt;"",'All Cases - Enter Cases'!F860,"")</f>
        <v/>
      </c>
      <c r="G860" t="str">
        <f>IF($A860&lt;&gt;"",'All Cases - Enter Cases'!G860,"")</f>
        <v/>
      </c>
      <c r="H860" t="str">
        <f>IF($A860&lt;&gt;"",'All Cases - Enter Cases'!H860,"")</f>
        <v/>
      </c>
      <c r="I860" t="str">
        <f>IF($A860&lt;&gt;"",'All Cases - Enter Cases'!I860,"")</f>
        <v/>
      </c>
      <c r="J860" t="str">
        <f>IF($A860&lt;&gt;"",'All Cases - Enter Cases'!J860,"")</f>
        <v/>
      </c>
      <c r="K860" t="str">
        <f>IF($A860&lt;&gt;"",'All Cases - Enter Cases'!K860,"")</f>
        <v/>
      </c>
      <c r="L860" t="str">
        <f>IF($A860&lt;&gt;"",'All Cases - Enter Cases'!L860,"")</f>
        <v/>
      </c>
      <c r="M860" t="str">
        <f>IF($A860&lt;&gt;"",'All Cases - Enter Cases'!M860,"")</f>
        <v/>
      </c>
    </row>
    <row r="861" spans="1:13" x14ac:dyDescent="0.35">
      <c r="A861" t="str">
        <f>IF('All Cases - Enter Cases'!$F861="KPK",'All Cases - Enter Cases'!A861,"")</f>
        <v/>
      </c>
      <c r="B861" t="str">
        <f>IF($A861&lt;&gt;"",'All Cases - Enter Cases'!B861,"")</f>
        <v/>
      </c>
      <c r="C861" t="str">
        <f>IF($A861&lt;&gt;"",'All Cases - Enter Cases'!C861,"")</f>
        <v/>
      </c>
      <c r="D861" t="str">
        <f>IF($A861&lt;&gt;"",'All Cases - Enter Cases'!D861,"")</f>
        <v/>
      </c>
      <c r="E861" t="str">
        <f>IF($A861&lt;&gt;"",'All Cases - Enter Cases'!E861,"")</f>
        <v/>
      </c>
      <c r="F861" t="str">
        <f>IF($A861&lt;&gt;"",'All Cases - Enter Cases'!F861,"")</f>
        <v/>
      </c>
      <c r="G861" t="str">
        <f>IF($A861&lt;&gt;"",'All Cases - Enter Cases'!G861,"")</f>
        <v/>
      </c>
      <c r="H861" t="str">
        <f>IF($A861&lt;&gt;"",'All Cases - Enter Cases'!H861,"")</f>
        <v/>
      </c>
      <c r="I861" t="str">
        <f>IF($A861&lt;&gt;"",'All Cases - Enter Cases'!I861,"")</f>
        <v/>
      </c>
      <c r="J861" t="str">
        <f>IF($A861&lt;&gt;"",'All Cases - Enter Cases'!J861,"")</f>
        <v/>
      </c>
      <c r="K861" t="str">
        <f>IF($A861&lt;&gt;"",'All Cases - Enter Cases'!K861,"")</f>
        <v/>
      </c>
      <c r="L861" t="str">
        <f>IF($A861&lt;&gt;"",'All Cases - Enter Cases'!L861,"")</f>
        <v/>
      </c>
      <c r="M861" t="str">
        <f>IF($A861&lt;&gt;"",'All Cases - Enter Cases'!M861,"")</f>
        <v/>
      </c>
    </row>
    <row r="862" spans="1:13" x14ac:dyDescent="0.35">
      <c r="A862" t="str">
        <f>IF('All Cases - Enter Cases'!$F862="KPK",'All Cases - Enter Cases'!A862,"")</f>
        <v/>
      </c>
      <c r="B862" t="str">
        <f>IF($A862&lt;&gt;"",'All Cases - Enter Cases'!B862,"")</f>
        <v/>
      </c>
      <c r="C862" t="str">
        <f>IF($A862&lt;&gt;"",'All Cases - Enter Cases'!C862,"")</f>
        <v/>
      </c>
      <c r="D862" t="str">
        <f>IF($A862&lt;&gt;"",'All Cases - Enter Cases'!D862,"")</f>
        <v/>
      </c>
      <c r="E862" t="str">
        <f>IF($A862&lt;&gt;"",'All Cases - Enter Cases'!E862,"")</f>
        <v/>
      </c>
      <c r="F862" t="str">
        <f>IF($A862&lt;&gt;"",'All Cases - Enter Cases'!F862,"")</f>
        <v/>
      </c>
      <c r="G862" t="str">
        <f>IF($A862&lt;&gt;"",'All Cases - Enter Cases'!G862,"")</f>
        <v/>
      </c>
      <c r="H862" t="str">
        <f>IF($A862&lt;&gt;"",'All Cases - Enter Cases'!H862,"")</f>
        <v/>
      </c>
      <c r="I862" t="str">
        <f>IF($A862&lt;&gt;"",'All Cases - Enter Cases'!I862,"")</f>
        <v/>
      </c>
      <c r="J862" t="str">
        <f>IF($A862&lt;&gt;"",'All Cases - Enter Cases'!J862,"")</f>
        <v/>
      </c>
      <c r="K862" t="str">
        <f>IF($A862&lt;&gt;"",'All Cases - Enter Cases'!K862,"")</f>
        <v/>
      </c>
      <c r="L862" t="str">
        <f>IF($A862&lt;&gt;"",'All Cases - Enter Cases'!L862,"")</f>
        <v/>
      </c>
      <c r="M862" t="str">
        <f>IF($A862&lt;&gt;"",'All Cases - Enter Cases'!M862,"")</f>
        <v/>
      </c>
    </row>
    <row r="863" spans="1:13" x14ac:dyDescent="0.35">
      <c r="A863" t="str">
        <f>IF('All Cases - Enter Cases'!$F863="KPK",'All Cases - Enter Cases'!A863,"")</f>
        <v/>
      </c>
      <c r="B863" t="str">
        <f>IF($A863&lt;&gt;"",'All Cases - Enter Cases'!B863,"")</f>
        <v/>
      </c>
      <c r="C863" t="str">
        <f>IF($A863&lt;&gt;"",'All Cases - Enter Cases'!C863,"")</f>
        <v/>
      </c>
      <c r="D863" t="str">
        <f>IF($A863&lt;&gt;"",'All Cases - Enter Cases'!D863,"")</f>
        <v/>
      </c>
      <c r="E863" t="str">
        <f>IF($A863&lt;&gt;"",'All Cases - Enter Cases'!E863,"")</f>
        <v/>
      </c>
      <c r="F863" t="str">
        <f>IF($A863&lt;&gt;"",'All Cases - Enter Cases'!F863,"")</f>
        <v/>
      </c>
      <c r="G863" t="str">
        <f>IF($A863&lt;&gt;"",'All Cases - Enter Cases'!G863,"")</f>
        <v/>
      </c>
      <c r="H863" t="str">
        <f>IF($A863&lt;&gt;"",'All Cases - Enter Cases'!H863,"")</f>
        <v/>
      </c>
      <c r="I863" t="str">
        <f>IF($A863&lt;&gt;"",'All Cases - Enter Cases'!I863,"")</f>
        <v/>
      </c>
      <c r="J863" t="str">
        <f>IF($A863&lt;&gt;"",'All Cases - Enter Cases'!J863,"")</f>
        <v/>
      </c>
      <c r="K863" t="str">
        <f>IF($A863&lt;&gt;"",'All Cases - Enter Cases'!K863,"")</f>
        <v/>
      </c>
      <c r="L863" t="str">
        <f>IF($A863&lt;&gt;"",'All Cases - Enter Cases'!L863,"")</f>
        <v/>
      </c>
      <c r="M863" t="str">
        <f>IF($A863&lt;&gt;"",'All Cases - Enter Cases'!M863,"")</f>
        <v/>
      </c>
    </row>
    <row r="864" spans="1:13" x14ac:dyDescent="0.35">
      <c r="A864" t="str">
        <f>IF('All Cases - Enter Cases'!$F864="KPK",'All Cases - Enter Cases'!A864,"")</f>
        <v/>
      </c>
      <c r="B864" t="str">
        <f>IF($A864&lt;&gt;"",'All Cases - Enter Cases'!B864,"")</f>
        <v/>
      </c>
      <c r="C864" t="str">
        <f>IF($A864&lt;&gt;"",'All Cases - Enter Cases'!C864,"")</f>
        <v/>
      </c>
      <c r="D864" t="str">
        <f>IF($A864&lt;&gt;"",'All Cases - Enter Cases'!D864,"")</f>
        <v/>
      </c>
      <c r="E864" t="str">
        <f>IF($A864&lt;&gt;"",'All Cases - Enter Cases'!E864,"")</f>
        <v/>
      </c>
      <c r="F864" t="str">
        <f>IF($A864&lt;&gt;"",'All Cases - Enter Cases'!F864,"")</f>
        <v/>
      </c>
      <c r="G864" t="str">
        <f>IF($A864&lt;&gt;"",'All Cases - Enter Cases'!G864,"")</f>
        <v/>
      </c>
      <c r="H864" t="str">
        <f>IF($A864&lt;&gt;"",'All Cases - Enter Cases'!H864,"")</f>
        <v/>
      </c>
      <c r="I864" t="str">
        <f>IF($A864&lt;&gt;"",'All Cases - Enter Cases'!I864,"")</f>
        <v/>
      </c>
      <c r="J864" t="str">
        <f>IF($A864&lt;&gt;"",'All Cases - Enter Cases'!J864,"")</f>
        <v/>
      </c>
      <c r="K864" t="str">
        <f>IF($A864&lt;&gt;"",'All Cases - Enter Cases'!K864,"")</f>
        <v/>
      </c>
      <c r="L864" t="str">
        <f>IF($A864&lt;&gt;"",'All Cases - Enter Cases'!L864,"")</f>
        <v/>
      </c>
      <c r="M864" t="str">
        <f>IF($A864&lt;&gt;"",'All Cases - Enter Cases'!M864,"")</f>
        <v/>
      </c>
    </row>
    <row r="865" spans="1:13" x14ac:dyDescent="0.35">
      <c r="A865" t="str">
        <f>IF('All Cases - Enter Cases'!$F865="KPK",'All Cases - Enter Cases'!A865,"")</f>
        <v/>
      </c>
      <c r="B865" t="str">
        <f>IF($A865&lt;&gt;"",'All Cases - Enter Cases'!B865,"")</f>
        <v/>
      </c>
      <c r="C865" t="str">
        <f>IF($A865&lt;&gt;"",'All Cases - Enter Cases'!C865,"")</f>
        <v/>
      </c>
      <c r="D865" t="str">
        <f>IF($A865&lt;&gt;"",'All Cases - Enter Cases'!D865,"")</f>
        <v/>
      </c>
      <c r="E865" t="str">
        <f>IF($A865&lt;&gt;"",'All Cases - Enter Cases'!E865,"")</f>
        <v/>
      </c>
      <c r="F865" t="str">
        <f>IF($A865&lt;&gt;"",'All Cases - Enter Cases'!F865,"")</f>
        <v/>
      </c>
      <c r="G865" t="str">
        <f>IF($A865&lt;&gt;"",'All Cases - Enter Cases'!G865,"")</f>
        <v/>
      </c>
      <c r="H865" t="str">
        <f>IF($A865&lt;&gt;"",'All Cases - Enter Cases'!H865,"")</f>
        <v/>
      </c>
      <c r="I865" t="str">
        <f>IF($A865&lt;&gt;"",'All Cases - Enter Cases'!I865,"")</f>
        <v/>
      </c>
      <c r="J865" t="str">
        <f>IF($A865&lt;&gt;"",'All Cases - Enter Cases'!J865,"")</f>
        <v/>
      </c>
      <c r="K865" t="str">
        <f>IF($A865&lt;&gt;"",'All Cases - Enter Cases'!K865,"")</f>
        <v/>
      </c>
      <c r="L865" t="str">
        <f>IF($A865&lt;&gt;"",'All Cases - Enter Cases'!L865,"")</f>
        <v/>
      </c>
      <c r="M865" t="str">
        <f>IF($A865&lt;&gt;"",'All Cases - Enter Cases'!M865,"")</f>
        <v/>
      </c>
    </row>
    <row r="866" spans="1:13" x14ac:dyDescent="0.35">
      <c r="A866" t="str">
        <f>IF('All Cases - Enter Cases'!$F866="KPK",'All Cases - Enter Cases'!A866,"")</f>
        <v/>
      </c>
      <c r="B866" t="str">
        <f>IF($A866&lt;&gt;"",'All Cases - Enter Cases'!B866,"")</f>
        <v/>
      </c>
      <c r="C866" t="str">
        <f>IF($A866&lt;&gt;"",'All Cases - Enter Cases'!C866,"")</f>
        <v/>
      </c>
      <c r="D866" t="str">
        <f>IF($A866&lt;&gt;"",'All Cases - Enter Cases'!D866,"")</f>
        <v/>
      </c>
      <c r="E866" t="str">
        <f>IF($A866&lt;&gt;"",'All Cases - Enter Cases'!E866,"")</f>
        <v/>
      </c>
      <c r="F866" t="str">
        <f>IF($A866&lt;&gt;"",'All Cases - Enter Cases'!F866,"")</f>
        <v/>
      </c>
      <c r="G866" t="str">
        <f>IF($A866&lt;&gt;"",'All Cases - Enter Cases'!G866,"")</f>
        <v/>
      </c>
      <c r="H866" t="str">
        <f>IF($A866&lt;&gt;"",'All Cases - Enter Cases'!H866,"")</f>
        <v/>
      </c>
      <c r="I866" t="str">
        <f>IF($A866&lt;&gt;"",'All Cases - Enter Cases'!I866,"")</f>
        <v/>
      </c>
      <c r="J866" t="str">
        <f>IF($A866&lt;&gt;"",'All Cases - Enter Cases'!J866,"")</f>
        <v/>
      </c>
      <c r="K866" t="str">
        <f>IF($A866&lt;&gt;"",'All Cases - Enter Cases'!K866,"")</f>
        <v/>
      </c>
      <c r="L866" t="str">
        <f>IF($A866&lt;&gt;"",'All Cases - Enter Cases'!L866,"")</f>
        <v/>
      </c>
      <c r="M866" t="str">
        <f>IF($A866&lt;&gt;"",'All Cases - Enter Cases'!M866,"")</f>
        <v/>
      </c>
    </row>
    <row r="867" spans="1:13" x14ac:dyDescent="0.35">
      <c r="A867" t="str">
        <f>IF('All Cases - Enter Cases'!$F867="KPK",'All Cases - Enter Cases'!A867,"")</f>
        <v/>
      </c>
      <c r="B867" t="str">
        <f>IF($A867&lt;&gt;"",'All Cases - Enter Cases'!B867,"")</f>
        <v/>
      </c>
      <c r="C867" t="str">
        <f>IF($A867&lt;&gt;"",'All Cases - Enter Cases'!C867,"")</f>
        <v/>
      </c>
      <c r="D867" t="str">
        <f>IF($A867&lt;&gt;"",'All Cases - Enter Cases'!D867,"")</f>
        <v/>
      </c>
      <c r="E867" t="str">
        <f>IF($A867&lt;&gt;"",'All Cases - Enter Cases'!E867,"")</f>
        <v/>
      </c>
      <c r="F867" t="str">
        <f>IF($A867&lt;&gt;"",'All Cases - Enter Cases'!F867,"")</f>
        <v/>
      </c>
      <c r="G867" t="str">
        <f>IF($A867&lt;&gt;"",'All Cases - Enter Cases'!G867,"")</f>
        <v/>
      </c>
      <c r="H867" t="str">
        <f>IF($A867&lt;&gt;"",'All Cases - Enter Cases'!H867,"")</f>
        <v/>
      </c>
      <c r="I867" t="str">
        <f>IF($A867&lt;&gt;"",'All Cases - Enter Cases'!I867,"")</f>
        <v/>
      </c>
      <c r="J867" t="str">
        <f>IF($A867&lt;&gt;"",'All Cases - Enter Cases'!J867,"")</f>
        <v/>
      </c>
      <c r="K867" t="str">
        <f>IF($A867&lt;&gt;"",'All Cases - Enter Cases'!K867,"")</f>
        <v/>
      </c>
      <c r="L867" t="str">
        <f>IF($A867&lt;&gt;"",'All Cases - Enter Cases'!L867,"")</f>
        <v/>
      </c>
      <c r="M867" t="str">
        <f>IF($A867&lt;&gt;"",'All Cases - Enter Cases'!M867,"")</f>
        <v/>
      </c>
    </row>
    <row r="868" spans="1:13" x14ac:dyDescent="0.35">
      <c r="A868" t="str">
        <f>IF('All Cases - Enter Cases'!$F868="KPK",'All Cases - Enter Cases'!A868,"")</f>
        <v/>
      </c>
      <c r="B868" t="str">
        <f>IF($A868&lt;&gt;"",'All Cases - Enter Cases'!B868,"")</f>
        <v/>
      </c>
      <c r="C868" t="str">
        <f>IF($A868&lt;&gt;"",'All Cases - Enter Cases'!C868,"")</f>
        <v/>
      </c>
      <c r="D868" t="str">
        <f>IF($A868&lt;&gt;"",'All Cases - Enter Cases'!D868,"")</f>
        <v/>
      </c>
      <c r="E868" t="str">
        <f>IF($A868&lt;&gt;"",'All Cases - Enter Cases'!E868,"")</f>
        <v/>
      </c>
      <c r="F868" t="str">
        <f>IF($A868&lt;&gt;"",'All Cases - Enter Cases'!F868,"")</f>
        <v/>
      </c>
      <c r="G868" t="str">
        <f>IF($A868&lt;&gt;"",'All Cases - Enter Cases'!G868,"")</f>
        <v/>
      </c>
      <c r="H868" t="str">
        <f>IF($A868&lt;&gt;"",'All Cases - Enter Cases'!H868,"")</f>
        <v/>
      </c>
      <c r="I868" t="str">
        <f>IF($A868&lt;&gt;"",'All Cases - Enter Cases'!I868,"")</f>
        <v/>
      </c>
      <c r="J868" t="str">
        <f>IF($A868&lt;&gt;"",'All Cases - Enter Cases'!J868,"")</f>
        <v/>
      </c>
      <c r="K868" t="str">
        <f>IF($A868&lt;&gt;"",'All Cases - Enter Cases'!K868,"")</f>
        <v/>
      </c>
      <c r="L868" t="str">
        <f>IF($A868&lt;&gt;"",'All Cases - Enter Cases'!L868,"")</f>
        <v/>
      </c>
      <c r="M868" t="str">
        <f>IF($A868&lt;&gt;"",'All Cases - Enter Cases'!M868,"")</f>
        <v/>
      </c>
    </row>
    <row r="869" spans="1:13" x14ac:dyDescent="0.35">
      <c r="A869" t="str">
        <f>IF('All Cases - Enter Cases'!$F869="KPK",'All Cases - Enter Cases'!A869,"")</f>
        <v/>
      </c>
      <c r="B869" t="str">
        <f>IF($A869&lt;&gt;"",'All Cases - Enter Cases'!B869,"")</f>
        <v/>
      </c>
      <c r="C869" t="str">
        <f>IF($A869&lt;&gt;"",'All Cases - Enter Cases'!C869,"")</f>
        <v/>
      </c>
      <c r="D869" t="str">
        <f>IF($A869&lt;&gt;"",'All Cases - Enter Cases'!D869,"")</f>
        <v/>
      </c>
      <c r="E869" t="str">
        <f>IF($A869&lt;&gt;"",'All Cases - Enter Cases'!E869,"")</f>
        <v/>
      </c>
      <c r="F869" t="str">
        <f>IF($A869&lt;&gt;"",'All Cases - Enter Cases'!F869,"")</f>
        <v/>
      </c>
      <c r="G869" t="str">
        <f>IF($A869&lt;&gt;"",'All Cases - Enter Cases'!G869,"")</f>
        <v/>
      </c>
      <c r="H869" t="str">
        <f>IF($A869&lt;&gt;"",'All Cases - Enter Cases'!H869,"")</f>
        <v/>
      </c>
      <c r="I869" t="str">
        <f>IF($A869&lt;&gt;"",'All Cases - Enter Cases'!I869,"")</f>
        <v/>
      </c>
      <c r="J869" t="str">
        <f>IF($A869&lt;&gt;"",'All Cases - Enter Cases'!J869,"")</f>
        <v/>
      </c>
      <c r="K869" t="str">
        <f>IF($A869&lt;&gt;"",'All Cases - Enter Cases'!K869,"")</f>
        <v/>
      </c>
      <c r="L869" t="str">
        <f>IF($A869&lt;&gt;"",'All Cases - Enter Cases'!L869,"")</f>
        <v/>
      </c>
      <c r="M869" t="str">
        <f>IF($A869&lt;&gt;"",'All Cases - Enter Cases'!M869,"")</f>
        <v/>
      </c>
    </row>
    <row r="870" spans="1:13" x14ac:dyDescent="0.35">
      <c r="A870" t="str">
        <f>IF('All Cases - Enter Cases'!$F870="KPK",'All Cases - Enter Cases'!A870,"")</f>
        <v/>
      </c>
      <c r="B870" t="str">
        <f>IF($A870&lt;&gt;"",'All Cases - Enter Cases'!B870,"")</f>
        <v/>
      </c>
      <c r="C870" t="str">
        <f>IF($A870&lt;&gt;"",'All Cases - Enter Cases'!C870,"")</f>
        <v/>
      </c>
      <c r="D870" t="str">
        <f>IF($A870&lt;&gt;"",'All Cases - Enter Cases'!D870,"")</f>
        <v/>
      </c>
      <c r="E870" t="str">
        <f>IF($A870&lt;&gt;"",'All Cases - Enter Cases'!E870,"")</f>
        <v/>
      </c>
      <c r="F870" t="str">
        <f>IF($A870&lt;&gt;"",'All Cases - Enter Cases'!F870,"")</f>
        <v/>
      </c>
      <c r="G870" t="str">
        <f>IF($A870&lt;&gt;"",'All Cases - Enter Cases'!G870,"")</f>
        <v/>
      </c>
      <c r="H870" t="str">
        <f>IF($A870&lt;&gt;"",'All Cases - Enter Cases'!H870,"")</f>
        <v/>
      </c>
      <c r="I870" t="str">
        <f>IF($A870&lt;&gt;"",'All Cases - Enter Cases'!I870,"")</f>
        <v/>
      </c>
      <c r="J870" t="str">
        <f>IF($A870&lt;&gt;"",'All Cases - Enter Cases'!J870,"")</f>
        <v/>
      </c>
      <c r="K870" t="str">
        <f>IF($A870&lt;&gt;"",'All Cases - Enter Cases'!K870,"")</f>
        <v/>
      </c>
      <c r="L870" t="str">
        <f>IF($A870&lt;&gt;"",'All Cases - Enter Cases'!L870,"")</f>
        <v/>
      </c>
      <c r="M870" t="str">
        <f>IF($A870&lt;&gt;"",'All Cases - Enter Cases'!M870,"")</f>
        <v/>
      </c>
    </row>
    <row r="871" spans="1:13" x14ac:dyDescent="0.35">
      <c r="A871" t="str">
        <f>IF('All Cases - Enter Cases'!$F871="KPK",'All Cases - Enter Cases'!A871,"")</f>
        <v/>
      </c>
      <c r="B871" t="str">
        <f>IF($A871&lt;&gt;"",'All Cases - Enter Cases'!B871,"")</f>
        <v/>
      </c>
      <c r="C871" t="str">
        <f>IF($A871&lt;&gt;"",'All Cases - Enter Cases'!C871,"")</f>
        <v/>
      </c>
      <c r="D871" t="str">
        <f>IF($A871&lt;&gt;"",'All Cases - Enter Cases'!D871,"")</f>
        <v/>
      </c>
      <c r="E871" t="str">
        <f>IF($A871&lt;&gt;"",'All Cases - Enter Cases'!E871,"")</f>
        <v/>
      </c>
      <c r="F871" t="str">
        <f>IF($A871&lt;&gt;"",'All Cases - Enter Cases'!F871,"")</f>
        <v/>
      </c>
      <c r="G871" t="str">
        <f>IF($A871&lt;&gt;"",'All Cases - Enter Cases'!G871,"")</f>
        <v/>
      </c>
      <c r="H871" t="str">
        <f>IF($A871&lt;&gt;"",'All Cases - Enter Cases'!H871,"")</f>
        <v/>
      </c>
      <c r="I871" t="str">
        <f>IF($A871&lt;&gt;"",'All Cases - Enter Cases'!I871,"")</f>
        <v/>
      </c>
      <c r="J871" t="str">
        <f>IF($A871&lt;&gt;"",'All Cases - Enter Cases'!J871,"")</f>
        <v/>
      </c>
      <c r="K871" t="str">
        <f>IF($A871&lt;&gt;"",'All Cases - Enter Cases'!K871,"")</f>
        <v/>
      </c>
      <c r="L871" t="str">
        <f>IF($A871&lt;&gt;"",'All Cases - Enter Cases'!L871,"")</f>
        <v/>
      </c>
      <c r="M871" t="str">
        <f>IF($A871&lt;&gt;"",'All Cases - Enter Cases'!M871,"")</f>
        <v/>
      </c>
    </row>
    <row r="872" spans="1:13" x14ac:dyDescent="0.35">
      <c r="A872" t="str">
        <f>IF('All Cases - Enter Cases'!$F872="KPK",'All Cases - Enter Cases'!A872,"")</f>
        <v/>
      </c>
      <c r="B872" t="str">
        <f>IF($A872&lt;&gt;"",'All Cases - Enter Cases'!B872,"")</f>
        <v/>
      </c>
      <c r="C872" t="str">
        <f>IF($A872&lt;&gt;"",'All Cases - Enter Cases'!C872,"")</f>
        <v/>
      </c>
      <c r="D872" t="str">
        <f>IF($A872&lt;&gt;"",'All Cases - Enter Cases'!D872,"")</f>
        <v/>
      </c>
      <c r="E872" t="str">
        <f>IF($A872&lt;&gt;"",'All Cases - Enter Cases'!E872,"")</f>
        <v/>
      </c>
      <c r="F872" t="str">
        <f>IF($A872&lt;&gt;"",'All Cases - Enter Cases'!F872,"")</f>
        <v/>
      </c>
      <c r="G872" t="str">
        <f>IF($A872&lt;&gt;"",'All Cases - Enter Cases'!G872,"")</f>
        <v/>
      </c>
      <c r="H872" t="str">
        <f>IF($A872&lt;&gt;"",'All Cases - Enter Cases'!H872,"")</f>
        <v/>
      </c>
      <c r="I872" t="str">
        <f>IF($A872&lt;&gt;"",'All Cases - Enter Cases'!I872,"")</f>
        <v/>
      </c>
      <c r="J872" t="str">
        <f>IF($A872&lt;&gt;"",'All Cases - Enter Cases'!J872,"")</f>
        <v/>
      </c>
      <c r="K872" t="str">
        <f>IF($A872&lt;&gt;"",'All Cases - Enter Cases'!K872,"")</f>
        <v/>
      </c>
      <c r="L872" t="str">
        <f>IF($A872&lt;&gt;"",'All Cases - Enter Cases'!L872,"")</f>
        <v/>
      </c>
      <c r="M872" t="str">
        <f>IF($A872&lt;&gt;"",'All Cases - Enter Cases'!M872,"")</f>
        <v/>
      </c>
    </row>
    <row r="873" spans="1:13" x14ac:dyDescent="0.35">
      <c r="A873" t="str">
        <f>IF('All Cases - Enter Cases'!$F873="KPK",'All Cases - Enter Cases'!A873,"")</f>
        <v/>
      </c>
      <c r="B873" t="str">
        <f>IF($A873&lt;&gt;"",'All Cases - Enter Cases'!B873,"")</f>
        <v/>
      </c>
      <c r="C873" t="str">
        <f>IF($A873&lt;&gt;"",'All Cases - Enter Cases'!C873,"")</f>
        <v/>
      </c>
      <c r="D873" t="str">
        <f>IF($A873&lt;&gt;"",'All Cases - Enter Cases'!D873,"")</f>
        <v/>
      </c>
      <c r="E873" t="str">
        <f>IF($A873&lt;&gt;"",'All Cases - Enter Cases'!E873,"")</f>
        <v/>
      </c>
      <c r="F873" t="str">
        <f>IF($A873&lt;&gt;"",'All Cases - Enter Cases'!F873,"")</f>
        <v/>
      </c>
      <c r="G873" t="str">
        <f>IF($A873&lt;&gt;"",'All Cases - Enter Cases'!G873,"")</f>
        <v/>
      </c>
      <c r="H873" t="str">
        <f>IF($A873&lt;&gt;"",'All Cases - Enter Cases'!H873,"")</f>
        <v/>
      </c>
      <c r="I873" t="str">
        <f>IF($A873&lt;&gt;"",'All Cases - Enter Cases'!I873,"")</f>
        <v/>
      </c>
      <c r="J873" t="str">
        <f>IF($A873&lt;&gt;"",'All Cases - Enter Cases'!J873,"")</f>
        <v/>
      </c>
      <c r="K873" t="str">
        <f>IF($A873&lt;&gt;"",'All Cases - Enter Cases'!K873,"")</f>
        <v/>
      </c>
      <c r="L873" t="str">
        <f>IF($A873&lt;&gt;"",'All Cases - Enter Cases'!L873,"")</f>
        <v/>
      </c>
      <c r="M873" t="str">
        <f>IF($A873&lt;&gt;"",'All Cases - Enter Cases'!M873,"")</f>
        <v/>
      </c>
    </row>
    <row r="874" spans="1:13" x14ac:dyDescent="0.35">
      <c r="A874" t="str">
        <f>IF('All Cases - Enter Cases'!$F874="KPK",'All Cases - Enter Cases'!A874,"")</f>
        <v/>
      </c>
      <c r="B874" t="str">
        <f>IF($A874&lt;&gt;"",'All Cases - Enter Cases'!B874,"")</f>
        <v/>
      </c>
      <c r="C874" t="str">
        <f>IF($A874&lt;&gt;"",'All Cases - Enter Cases'!C874,"")</f>
        <v/>
      </c>
      <c r="D874" t="str">
        <f>IF($A874&lt;&gt;"",'All Cases - Enter Cases'!D874,"")</f>
        <v/>
      </c>
      <c r="E874" t="str">
        <f>IF($A874&lt;&gt;"",'All Cases - Enter Cases'!E874,"")</f>
        <v/>
      </c>
      <c r="F874" t="str">
        <f>IF($A874&lt;&gt;"",'All Cases - Enter Cases'!F874,"")</f>
        <v/>
      </c>
      <c r="G874" t="str">
        <f>IF($A874&lt;&gt;"",'All Cases - Enter Cases'!G874,"")</f>
        <v/>
      </c>
      <c r="H874" t="str">
        <f>IF($A874&lt;&gt;"",'All Cases - Enter Cases'!H874,"")</f>
        <v/>
      </c>
      <c r="I874" t="str">
        <f>IF($A874&lt;&gt;"",'All Cases - Enter Cases'!I874,"")</f>
        <v/>
      </c>
      <c r="J874" t="str">
        <f>IF($A874&lt;&gt;"",'All Cases - Enter Cases'!J874,"")</f>
        <v/>
      </c>
      <c r="K874" t="str">
        <f>IF($A874&lt;&gt;"",'All Cases - Enter Cases'!K874,"")</f>
        <v/>
      </c>
      <c r="L874" t="str">
        <f>IF($A874&lt;&gt;"",'All Cases - Enter Cases'!L874,"")</f>
        <v/>
      </c>
      <c r="M874" t="str">
        <f>IF($A874&lt;&gt;"",'All Cases - Enter Cases'!M874,"")</f>
        <v/>
      </c>
    </row>
    <row r="875" spans="1:13" x14ac:dyDescent="0.35">
      <c r="A875" t="str">
        <f>IF('All Cases - Enter Cases'!$F875="KPK",'All Cases - Enter Cases'!A875,"")</f>
        <v/>
      </c>
      <c r="B875" t="str">
        <f>IF($A875&lt;&gt;"",'All Cases - Enter Cases'!B875,"")</f>
        <v/>
      </c>
      <c r="C875" t="str">
        <f>IF($A875&lt;&gt;"",'All Cases - Enter Cases'!C875,"")</f>
        <v/>
      </c>
      <c r="D875" t="str">
        <f>IF($A875&lt;&gt;"",'All Cases - Enter Cases'!D875,"")</f>
        <v/>
      </c>
      <c r="E875" t="str">
        <f>IF($A875&lt;&gt;"",'All Cases - Enter Cases'!E875,"")</f>
        <v/>
      </c>
      <c r="F875" t="str">
        <f>IF($A875&lt;&gt;"",'All Cases - Enter Cases'!F875,"")</f>
        <v/>
      </c>
      <c r="G875" t="str">
        <f>IF($A875&lt;&gt;"",'All Cases - Enter Cases'!G875,"")</f>
        <v/>
      </c>
      <c r="H875" t="str">
        <f>IF($A875&lt;&gt;"",'All Cases - Enter Cases'!H875,"")</f>
        <v/>
      </c>
      <c r="I875" t="str">
        <f>IF($A875&lt;&gt;"",'All Cases - Enter Cases'!I875,"")</f>
        <v/>
      </c>
      <c r="J875" t="str">
        <f>IF($A875&lt;&gt;"",'All Cases - Enter Cases'!J875,"")</f>
        <v/>
      </c>
      <c r="K875" t="str">
        <f>IF($A875&lt;&gt;"",'All Cases - Enter Cases'!K875,"")</f>
        <v/>
      </c>
      <c r="L875" t="str">
        <f>IF($A875&lt;&gt;"",'All Cases - Enter Cases'!L875,"")</f>
        <v/>
      </c>
      <c r="M875" t="str">
        <f>IF($A875&lt;&gt;"",'All Cases - Enter Cases'!M875,"")</f>
        <v/>
      </c>
    </row>
    <row r="876" spans="1:13" x14ac:dyDescent="0.35">
      <c r="A876" t="str">
        <f>IF('All Cases - Enter Cases'!$F876="KPK",'All Cases - Enter Cases'!A876,"")</f>
        <v/>
      </c>
      <c r="B876" t="str">
        <f>IF($A876&lt;&gt;"",'All Cases - Enter Cases'!B876,"")</f>
        <v/>
      </c>
      <c r="C876" t="str">
        <f>IF($A876&lt;&gt;"",'All Cases - Enter Cases'!C876,"")</f>
        <v/>
      </c>
      <c r="D876" t="str">
        <f>IF($A876&lt;&gt;"",'All Cases - Enter Cases'!D876,"")</f>
        <v/>
      </c>
      <c r="E876" t="str">
        <f>IF($A876&lt;&gt;"",'All Cases - Enter Cases'!E876,"")</f>
        <v/>
      </c>
      <c r="F876" t="str">
        <f>IF($A876&lt;&gt;"",'All Cases - Enter Cases'!F876,"")</f>
        <v/>
      </c>
      <c r="G876" t="str">
        <f>IF($A876&lt;&gt;"",'All Cases - Enter Cases'!G876,"")</f>
        <v/>
      </c>
      <c r="H876" t="str">
        <f>IF($A876&lt;&gt;"",'All Cases - Enter Cases'!H876,"")</f>
        <v/>
      </c>
      <c r="I876" t="str">
        <f>IF($A876&lt;&gt;"",'All Cases - Enter Cases'!I876,"")</f>
        <v/>
      </c>
      <c r="J876" t="str">
        <f>IF($A876&lt;&gt;"",'All Cases - Enter Cases'!J876,"")</f>
        <v/>
      </c>
      <c r="K876" t="str">
        <f>IF($A876&lt;&gt;"",'All Cases - Enter Cases'!K876,"")</f>
        <v/>
      </c>
      <c r="L876" t="str">
        <f>IF($A876&lt;&gt;"",'All Cases - Enter Cases'!L876,"")</f>
        <v/>
      </c>
      <c r="M876" t="str">
        <f>IF($A876&lt;&gt;"",'All Cases - Enter Cases'!M876,"")</f>
        <v/>
      </c>
    </row>
    <row r="877" spans="1:13" x14ac:dyDescent="0.35">
      <c r="A877" t="str">
        <f>IF('All Cases - Enter Cases'!$F877="KPK",'All Cases - Enter Cases'!A877,"")</f>
        <v/>
      </c>
      <c r="B877" t="str">
        <f>IF($A877&lt;&gt;"",'All Cases - Enter Cases'!B877,"")</f>
        <v/>
      </c>
      <c r="C877" t="str">
        <f>IF($A877&lt;&gt;"",'All Cases - Enter Cases'!C877,"")</f>
        <v/>
      </c>
      <c r="D877" t="str">
        <f>IF($A877&lt;&gt;"",'All Cases - Enter Cases'!D877,"")</f>
        <v/>
      </c>
      <c r="E877" t="str">
        <f>IF($A877&lt;&gt;"",'All Cases - Enter Cases'!E877,"")</f>
        <v/>
      </c>
      <c r="F877" t="str">
        <f>IF($A877&lt;&gt;"",'All Cases - Enter Cases'!F877,"")</f>
        <v/>
      </c>
      <c r="G877" t="str">
        <f>IF($A877&lt;&gt;"",'All Cases - Enter Cases'!G877,"")</f>
        <v/>
      </c>
      <c r="H877" t="str">
        <f>IF($A877&lt;&gt;"",'All Cases - Enter Cases'!H877,"")</f>
        <v/>
      </c>
      <c r="I877" t="str">
        <f>IF($A877&lt;&gt;"",'All Cases - Enter Cases'!I877,"")</f>
        <v/>
      </c>
      <c r="J877" t="str">
        <f>IF($A877&lt;&gt;"",'All Cases - Enter Cases'!J877,"")</f>
        <v/>
      </c>
      <c r="K877" t="str">
        <f>IF($A877&lt;&gt;"",'All Cases - Enter Cases'!K877,"")</f>
        <v/>
      </c>
      <c r="L877" t="str">
        <f>IF($A877&lt;&gt;"",'All Cases - Enter Cases'!L877,"")</f>
        <v/>
      </c>
      <c r="M877" t="str">
        <f>IF($A877&lt;&gt;"",'All Cases - Enter Cases'!M877,"")</f>
        <v/>
      </c>
    </row>
    <row r="878" spans="1:13" x14ac:dyDescent="0.35">
      <c r="A878" t="str">
        <f>IF('All Cases - Enter Cases'!$F878="KPK",'All Cases - Enter Cases'!A878,"")</f>
        <v/>
      </c>
      <c r="B878" t="str">
        <f>IF($A878&lt;&gt;"",'All Cases - Enter Cases'!B878,"")</f>
        <v/>
      </c>
      <c r="C878" t="str">
        <f>IF($A878&lt;&gt;"",'All Cases - Enter Cases'!C878,"")</f>
        <v/>
      </c>
      <c r="D878" t="str">
        <f>IF($A878&lt;&gt;"",'All Cases - Enter Cases'!D878,"")</f>
        <v/>
      </c>
      <c r="E878" t="str">
        <f>IF($A878&lt;&gt;"",'All Cases - Enter Cases'!E878,"")</f>
        <v/>
      </c>
      <c r="F878" t="str">
        <f>IF($A878&lt;&gt;"",'All Cases - Enter Cases'!F878,"")</f>
        <v/>
      </c>
      <c r="G878" t="str">
        <f>IF($A878&lt;&gt;"",'All Cases - Enter Cases'!G878,"")</f>
        <v/>
      </c>
      <c r="H878" t="str">
        <f>IF($A878&lt;&gt;"",'All Cases - Enter Cases'!H878,"")</f>
        <v/>
      </c>
      <c r="I878" t="str">
        <f>IF($A878&lt;&gt;"",'All Cases - Enter Cases'!I878,"")</f>
        <v/>
      </c>
      <c r="J878" t="str">
        <f>IF($A878&lt;&gt;"",'All Cases - Enter Cases'!J878,"")</f>
        <v/>
      </c>
      <c r="K878" t="str">
        <f>IF($A878&lt;&gt;"",'All Cases - Enter Cases'!K878,"")</f>
        <v/>
      </c>
      <c r="L878" t="str">
        <f>IF($A878&lt;&gt;"",'All Cases - Enter Cases'!L878,"")</f>
        <v/>
      </c>
      <c r="M878" t="str">
        <f>IF($A878&lt;&gt;"",'All Cases - Enter Cases'!M878,"")</f>
        <v/>
      </c>
    </row>
    <row r="879" spans="1:13" x14ac:dyDescent="0.35">
      <c r="A879" t="str">
        <f>IF('All Cases - Enter Cases'!$F879="KPK",'All Cases - Enter Cases'!A879,"")</f>
        <v/>
      </c>
      <c r="B879" t="str">
        <f>IF($A879&lt;&gt;"",'All Cases - Enter Cases'!B879,"")</f>
        <v/>
      </c>
      <c r="C879" t="str">
        <f>IF($A879&lt;&gt;"",'All Cases - Enter Cases'!C879,"")</f>
        <v/>
      </c>
      <c r="D879" t="str">
        <f>IF($A879&lt;&gt;"",'All Cases - Enter Cases'!D879,"")</f>
        <v/>
      </c>
      <c r="E879" t="str">
        <f>IF($A879&lt;&gt;"",'All Cases - Enter Cases'!E879,"")</f>
        <v/>
      </c>
      <c r="F879" t="str">
        <f>IF($A879&lt;&gt;"",'All Cases - Enter Cases'!F879,"")</f>
        <v/>
      </c>
      <c r="G879" t="str">
        <f>IF($A879&lt;&gt;"",'All Cases - Enter Cases'!G879,"")</f>
        <v/>
      </c>
      <c r="H879" t="str">
        <f>IF($A879&lt;&gt;"",'All Cases - Enter Cases'!H879,"")</f>
        <v/>
      </c>
      <c r="I879" t="str">
        <f>IF($A879&lt;&gt;"",'All Cases - Enter Cases'!I879,"")</f>
        <v/>
      </c>
      <c r="J879" t="str">
        <f>IF($A879&lt;&gt;"",'All Cases - Enter Cases'!J879,"")</f>
        <v/>
      </c>
      <c r="K879" t="str">
        <f>IF($A879&lt;&gt;"",'All Cases - Enter Cases'!K879,"")</f>
        <v/>
      </c>
      <c r="L879" t="str">
        <f>IF($A879&lt;&gt;"",'All Cases - Enter Cases'!L879,"")</f>
        <v/>
      </c>
      <c r="M879" t="str">
        <f>IF($A879&lt;&gt;"",'All Cases - Enter Cases'!M879,"")</f>
        <v/>
      </c>
    </row>
    <row r="880" spans="1:13" x14ac:dyDescent="0.35">
      <c r="A880" t="str">
        <f>IF('All Cases - Enter Cases'!$F880="KPK",'All Cases - Enter Cases'!A880,"")</f>
        <v/>
      </c>
      <c r="B880" t="str">
        <f>IF($A880&lt;&gt;"",'All Cases - Enter Cases'!B880,"")</f>
        <v/>
      </c>
      <c r="C880" t="str">
        <f>IF($A880&lt;&gt;"",'All Cases - Enter Cases'!C880,"")</f>
        <v/>
      </c>
      <c r="D880" t="str">
        <f>IF($A880&lt;&gt;"",'All Cases - Enter Cases'!D880,"")</f>
        <v/>
      </c>
      <c r="E880" t="str">
        <f>IF($A880&lt;&gt;"",'All Cases - Enter Cases'!E880,"")</f>
        <v/>
      </c>
      <c r="F880" t="str">
        <f>IF($A880&lt;&gt;"",'All Cases - Enter Cases'!F880,"")</f>
        <v/>
      </c>
      <c r="G880" t="str">
        <f>IF($A880&lt;&gt;"",'All Cases - Enter Cases'!G880,"")</f>
        <v/>
      </c>
      <c r="H880" t="str">
        <f>IF($A880&lt;&gt;"",'All Cases - Enter Cases'!H880,"")</f>
        <v/>
      </c>
      <c r="I880" t="str">
        <f>IF($A880&lt;&gt;"",'All Cases - Enter Cases'!I880,"")</f>
        <v/>
      </c>
      <c r="J880" t="str">
        <f>IF($A880&lt;&gt;"",'All Cases - Enter Cases'!J880,"")</f>
        <v/>
      </c>
      <c r="K880" t="str">
        <f>IF($A880&lt;&gt;"",'All Cases - Enter Cases'!K880,"")</f>
        <v/>
      </c>
      <c r="L880" t="str">
        <f>IF($A880&lt;&gt;"",'All Cases - Enter Cases'!L880,"")</f>
        <v/>
      </c>
      <c r="M880" t="str">
        <f>IF($A880&lt;&gt;"",'All Cases - Enter Cases'!M880,"")</f>
        <v/>
      </c>
    </row>
    <row r="881" spans="1:13" x14ac:dyDescent="0.35">
      <c r="A881" t="str">
        <f>IF('All Cases - Enter Cases'!$F881="KPK",'All Cases - Enter Cases'!A881,"")</f>
        <v/>
      </c>
      <c r="B881" t="str">
        <f>IF($A881&lt;&gt;"",'All Cases - Enter Cases'!B881,"")</f>
        <v/>
      </c>
      <c r="C881" t="str">
        <f>IF($A881&lt;&gt;"",'All Cases - Enter Cases'!C881,"")</f>
        <v/>
      </c>
      <c r="D881" t="str">
        <f>IF($A881&lt;&gt;"",'All Cases - Enter Cases'!D881,"")</f>
        <v/>
      </c>
      <c r="E881" t="str">
        <f>IF($A881&lt;&gt;"",'All Cases - Enter Cases'!E881,"")</f>
        <v/>
      </c>
      <c r="F881" t="str">
        <f>IF($A881&lt;&gt;"",'All Cases - Enter Cases'!F881,"")</f>
        <v/>
      </c>
      <c r="G881" t="str">
        <f>IF($A881&lt;&gt;"",'All Cases - Enter Cases'!G881,"")</f>
        <v/>
      </c>
      <c r="H881" t="str">
        <f>IF($A881&lt;&gt;"",'All Cases - Enter Cases'!H881,"")</f>
        <v/>
      </c>
      <c r="I881" t="str">
        <f>IF($A881&lt;&gt;"",'All Cases - Enter Cases'!I881,"")</f>
        <v/>
      </c>
      <c r="J881" t="str">
        <f>IF($A881&lt;&gt;"",'All Cases - Enter Cases'!J881,"")</f>
        <v/>
      </c>
      <c r="K881" t="str">
        <f>IF($A881&lt;&gt;"",'All Cases - Enter Cases'!K881,"")</f>
        <v/>
      </c>
      <c r="L881" t="str">
        <f>IF($A881&lt;&gt;"",'All Cases - Enter Cases'!L881,"")</f>
        <v/>
      </c>
      <c r="M881" t="str">
        <f>IF($A881&lt;&gt;"",'All Cases - Enter Cases'!M881,"")</f>
        <v/>
      </c>
    </row>
    <row r="882" spans="1:13" x14ac:dyDescent="0.35">
      <c r="A882" t="str">
        <f>IF('All Cases - Enter Cases'!$F882="KPK",'All Cases - Enter Cases'!A882,"")</f>
        <v/>
      </c>
      <c r="B882" t="str">
        <f>IF($A882&lt;&gt;"",'All Cases - Enter Cases'!B882,"")</f>
        <v/>
      </c>
      <c r="C882" t="str">
        <f>IF($A882&lt;&gt;"",'All Cases - Enter Cases'!C882,"")</f>
        <v/>
      </c>
      <c r="D882" t="str">
        <f>IF($A882&lt;&gt;"",'All Cases - Enter Cases'!D882,"")</f>
        <v/>
      </c>
      <c r="E882" t="str">
        <f>IF($A882&lt;&gt;"",'All Cases - Enter Cases'!E882,"")</f>
        <v/>
      </c>
      <c r="F882" t="str">
        <f>IF($A882&lt;&gt;"",'All Cases - Enter Cases'!F882,"")</f>
        <v/>
      </c>
      <c r="G882" t="str">
        <f>IF($A882&lt;&gt;"",'All Cases - Enter Cases'!G882,"")</f>
        <v/>
      </c>
      <c r="H882" t="str">
        <f>IF($A882&lt;&gt;"",'All Cases - Enter Cases'!H882,"")</f>
        <v/>
      </c>
      <c r="I882" t="str">
        <f>IF($A882&lt;&gt;"",'All Cases - Enter Cases'!I882,"")</f>
        <v/>
      </c>
      <c r="J882" t="str">
        <f>IF($A882&lt;&gt;"",'All Cases - Enter Cases'!J882,"")</f>
        <v/>
      </c>
      <c r="K882" t="str">
        <f>IF($A882&lt;&gt;"",'All Cases - Enter Cases'!K882,"")</f>
        <v/>
      </c>
      <c r="L882" t="str">
        <f>IF($A882&lt;&gt;"",'All Cases - Enter Cases'!L882,"")</f>
        <v/>
      </c>
      <c r="M882" t="str">
        <f>IF($A882&lt;&gt;"",'All Cases - Enter Cases'!M882,"")</f>
        <v/>
      </c>
    </row>
    <row r="883" spans="1:13" x14ac:dyDescent="0.35">
      <c r="A883" t="str">
        <f>IF('All Cases - Enter Cases'!$F883="KPK",'All Cases - Enter Cases'!A883,"")</f>
        <v/>
      </c>
      <c r="B883" t="str">
        <f>IF($A883&lt;&gt;"",'All Cases - Enter Cases'!B883,"")</f>
        <v/>
      </c>
      <c r="C883" t="str">
        <f>IF($A883&lt;&gt;"",'All Cases - Enter Cases'!C883,"")</f>
        <v/>
      </c>
      <c r="D883" t="str">
        <f>IF($A883&lt;&gt;"",'All Cases - Enter Cases'!D883,"")</f>
        <v/>
      </c>
      <c r="E883" t="str">
        <f>IF($A883&lt;&gt;"",'All Cases - Enter Cases'!E883,"")</f>
        <v/>
      </c>
      <c r="F883" t="str">
        <f>IF($A883&lt;&gt;"",'All Cases - Enter Cases'!F883,"")</f>
        <v/>
      </c>
      <c r="G883" t="str">
        <f>IF($A883&lt;&gt;"",'All Cases - Enter Cases'!G883,"")</f>
        <v/>
      </c>
      <c r="H883" t="str">
        <f>IF($A883&lt;&gt;"",'All Cases - Enter Cases'!H883,"")</f>
        <v/>
      </c>
      <c r="I883" t="str">
        <f>IF($A883&lt;&gt;"",'All Cases - Enter Cases'!I883,"")</f>
        <v/>
      </c>
      <c r="J883" t="str">
        <f>IF($A883&lt;&gt;"",'All Cases - Enter Cases'!J883,"")</f>
        <v/>
      </c>
      <c r="K883" t="str">
        <f>IF($A883&lt;&gt;"",'All Cases - Enter Cases'!K883,"")</f>
        <v/>
      </c>
      <c r="L883" t="str">
        <f>IF($A883&lt;&gt;"",'All Cases - Enter Cases'!L883,"")</f>
        <v/>
      </c>
      <c r="M883" t="str">
        <f>IF($A883&lt;&gt;"",'All Cases - Enter Cases'!M883,"")</f>
        <v/>
      </c>
    </row>
    <row r="884" spans="1:13" x14ac:dyDescent="0.35">
      <c r="A884" t="str">
        <f>IF('All Cases - Enter Cases'!$F884="KPK",'All Cases - Enter Cases'!A884,"")</f>
        <v/>
      </c>
      <c r="B884" t="str">
        <f>IF($A884&lt;&gt;"",'All Cases - Enter Cases'!B884,"")</f>
        <v/>
      </c>
      <c r="C884" t="str">
        <f>IF($A884&lt;&gt;"",'All Cases - Enter Cases'!C884,"")</f>
        <v/>
      </c>
      <c r="D884" t="str">
        <f>IF($A884&lt;&gt;"",'All Cases - Enter Cases'!D884,"")</f>
        <v/>
      </c>
      <c r="E884" t="str">
        <f>IF($A884&lt;&gt;"",'All Cases - Enter Cases'!E884,"")</f>
        <v/>
      </c>
      <c r="F884" t="str">
        <f>IF($A884&lt;&gt;"",'All Cases - Enter Cases'!F884,"")</f>
        <v/>
      </c>
      <c r="G884" t="str">
        <f>IF($A884&lt;&gt;"",'All Cases - Enter Cases'!G884,"")</f>
        <v/>
      </c>
      <c r="H884" t="str">
        <f>IF($A884&lt;&gt;"",'All Cases - Enter Cases'!H884,"")</f>
        <v/>
      </c>
      <c r="I884" t="str">
        <f>IF($A884&lt;&gt;"",'All Cases - Enter Cases'!I884,"")</f>
        <v/>
      </c>
      <c r="J884" t="str">
        <f>IF($A884&lt;&gt;"",'All Cases - Enter Cases'!J884,"")</f>
        <v/>
      </c>
      <c r="K884" t="str">
        <f>IF($A884&lt;&gt;"",'All Cases - Enter Cases'!K884,"")</f>
        <v/>
      </c>
      <c r="L884" t="str">
        <f>IF($A884&lt;&gt;"",'All Cases - Enter Cases'!L884,"")</f>
        <v/>
      </c>
      <c r="M884" t="str">
        <f>IF($A884&lt;&gt;"",'All Cases - Enter Cases'!M884,"")</f>
        <v/>
      </c>
    </row>
    <row r="885" spans="1:13" x14ac:dyDescent="0.35">
      <c r="A885" t="str">
        <f>IF('All Cases - Enter Cases'!$F885="KPK",'All Cases - Enter Cases'!A885,"")</f>
        <v/>
      </c>
      <c r="B885" t="str">
        <f>IF($A885&lt;&gt;"",'All Cases - Enter Cases'!B885,"")</f>
        <v/>
      </c>
      <c r="C885" t="str">
        <f>IF($A885&lt;&gt;"",'All Cases - Enter Cases'!C885,"")</f>
        <v/>
      </c>
      <c r="D885" t="str">
        <f>IF($A885&lt;&gt;"",'All Cases - Enter Cases'!D885,"")</f>
        <v/>
      </c>
      <c r="E885" t="str">
        <f>IF($A885&lt;&gt;"",'All Cases - Enter Cases'!E885,"")</f>
        <v/>
      </c>
      <c r="F885" t="str">
        <f>IF($A885&lt;&gt;"",'All Cases - Enter Cases'!F885,"")</f>
        <v/>
      </c>
      <c r="G885" t="str">
        <f>IF($A885&lt;&gt;"",'All Cases - Enter Cases'!G885,"")</f>
        <v/>
      </c>
      <c r="H885" t="str">
        <f>IF($A885&lt;&gt;"",'All Cases - Enter Cases'!H885,"")</f>
        <v/>
      </c>
      <c r="I885" t="str">
        <f>IF($A885&lt;&gt;"",'All Cases - Enter Cases'!I885,"")</f>
        <v/>
      </c>
      <c r="J885" t="str">
        <f>IF($A885&lt;&gt;"",'All Cases - Enter Cases'!J885,"")</f>
        <v/>
      </c>
      <c r="K885" t="str">
        <f>IF($A885&lt;&gt;"",'All Cases - Enter Cases'!K885,"")</f>
        <v/>
      </c>
      <c r="L885" t="str">
        <f>IF($A885&lt;&gt;"",'All Cases - Enter Cases'!L885,"")</f>
        <v/>
      </c>
      <c r="M885" t="str">
        <f>IF($A885&lt;&gt;"",'All Cases - Enter Cases'!M885,"")</f>
        <v/>
      </c>
    </row>
    <row r="886" spans="1:13" x14ac:dyDescent="0.35">
      <c r="A886" t="str">
        <f>IF('All Cases - Enter Cases'!$F886="KPK",'All Cases - Enter Cases'!A886,"")</f>
        <v/>
      </c>
      <c r="B886" t="str">
        <f>IF($A886&lt;&gt;"",'All Cases - Enter Cases'!B886,"")</f>
        <v/>
      </c>
      <c r="C886" t="str">
        <f>IF($A886&lt;&gt;"",'All Cases - Enter Cases'!C886,"")</f>
        <v/>
      </c>
      <c r="D886" t="str">
        <f>IF($A886&lt;&gt;"",'All Cases - Enter Cases'!D886,"")</f>
        <v/>
      </c>
      <c r="E886" t="str">
        <f>IF($A886&lt;&gt;"",'All Cases - Enter Cases'!E886,"")</f>
        <v/>
      </c>
      <c r="F886" t="str">
        <f>IF($A886&lt;&gt;"",'All Cases - Enter Cases'!F886,"")</f>
        <v/>
      </c>
      <c r="G886" t="str">
        <f>IF($A886&lt;&gt;"",'All Cases - Enter Cases'!G886,"")</f>
        <v/>
      </c>
      <c r="H886" t="str">
        <f>IF($A886&lt;&gt;"",'All Cases - Enter Cases'!H886,"")</f>
        <v/>
      </c>
      <c r="I886" t="str">
        <f>IF($A886&lt;&gt;"",'All Cases - Enter Cases'!I886,"")</f>
        <v/>
      </c>
      <c r="J886" t="str">
        <f>IF($A886&lt;&gt;"",'All Cases - Enter Cases'!J886,"")</f>
        <v/>
      </c>
      <c r="K886" t="str">
        <f>IF($A886&lt;&gt;"",'All Cases - Enter Cases'!K886,"")</f>
        <v/>
      </c>
      <c r="L886" t="str">
        <f>IF($A886&lt;&gt;"",'All Cases - Enter Cases'!L886,"")</f>
        <v/>
      </c>
      <c r="M886" t="str">
        <f>IF($A886&lt;&gt;"",'All Cases - Enter Cases'!M886,"")</f>
        <v/>
      </c>
    </row>
    <row r="887" spans="1:13" x14ac:dyDescent="0.35">
      <c r="A887" t="str">
        <f>IF('All Cases - Enter Cases'!$F887="KPK",'All Cases - Enter Cases'!A887,"")</f>
        <v/>
      </c>
      <c r="B887" t="str">
        <f>IF($A887&lt;&gt;"",'All Cases - Enter Cases'!B887,"")</f>
        <v/>
      </c>
      <c r="C887" t="str">
        <f>IF($A887&lt;&gt;"",'All Cases - Enter Cases'!C887,"")</f>
        <v/>
      </c>
      <c r="D887" t="str">
        <f>IF($A887&lt;&gt;"",'All Cases - Enter Cases'!D887,"")</f>
        <v/>
      </c>
      <c r="E887" t="str">
        <f>IF($A887&lt;&gt;"",'All Cases - Enter Cases'!E887,"")</f>
        <v/>
      </c>
      <c r="F887" t="str">
        <f>IF($A887&lt;&gt;"",'All Cases - Enter Cases'!F887,"")</f>
        <v/>
      </c>
      <c r="G887" t="str">
        <f>IF($A887&lt;&gt;"",'All Cases - Enter Cases'!G887,"")</f>
        <v/>
      </c>
      <c r="H887" t="str">
        <f>IF($A887&lt;&gt;"",'All Cases - Enter Cases'!H887,"")</f>
        <v/>
      </c>
      <c r="I887" t="str">
        <f>IF($A887&lt;&gt;"",'All Cases - Enter Cases'!I887,"")</f>
        <v/>
      </c>
      <c r="J887" t="str">
        <f>IF($A887&lt;&gt;"",'All Cases - Enter Cases'!J887,"")</f>
        <v/>
      </c>
      <c r="K887" t="str">
        <f>IF($A887&lt;&gt;"",'All Cases - Enter Cases'!K887,"")</f>
        <v/>
      </c>
      <c r="L887" t="str">
        <f>IF($A887&lt;&gt;"",'All Cases - Enter Cases'!L887,"")</f>
        <v/>
      </c>
      <c r="M887" t="str">
        <f>IF($A887&lt;&gt;"",'All Cases - Enter Cases'!M887,"")</f>
        <v/>
      </c>
    </row>
    <row r="888" spans="1:13" x14ac:dyDescent="0.35">
      <c r="A888" t="str">
        <f>IF('All Cases - Enter Cases'!$F888="KPK",'All Cases - Enter Cases'!A888,"")</f>
        <v/>
      </c>
      <c r="B888" t="str">
        <f>IF($A888&lt;&gt;"",'All Cases - Enter Cases'!B888,"")</f>
        <v/>
      </c>
      <c r="C888" t="str">
        <f>IF($A888&lt;&gt;"",'All Cases - Enter Cases'!C888,"")</f>
        <v/>
      </c>
      <c r="D888" t="str">
        <f>IF($A888&lt;&gt;"",'All Cases - Enter Cases'!D888,"")</f>
        <v/>
      </c>
      <c r="E888" t="str">
        <f>IF($A888&lt;&gt;"",'All Cases - Enter Cases'!E888,"")</f>
        <v/>
      </c>
      <c r="F888" t="str">
        <f>IF($A888&lt;&gt;"",'All Cases - Enter Cases'!F888,"")</f>
        <v/>
      </c>
      <c r="G888" t="str">
        <f>IF($A888&lt;&gt;"",'All Cases - Enter Cases'!G888,"")</f>
        <v/>
      </c>
      <c r="H888" t="str">
        <f>IF($A888&lt;&gt;"",'All Cases - Enter Cases'!H888,"")</f>
        <v/>
      </c>
      <c r="I888" t="str">
        <f>IF($A888&lt;&gt;"",'All Cases - Enter Cases'!I888,"")</f>
        <v/>
      </c>
      <c r="J888" t="str">
        <f>IF($A888&lt;&gt;"",'All Cases - Enter Cases'!J888,"")</f>
        <v/>
      </c>
      <c r="K888" t="str">
        <f>IF($A888&lt;&gt;"",'All Cases - Enter Cases'!K888,"")</f>
        <v/>
      </c>
      <c r="L888" t="str">
        <f>IF($A888&lt;&gt;"",'All Cases - Enter Cases'!L888,"")</f>
        <v/>
      </c>
      <c r="M888" t="str">
        <f>IF($A888&lt;&gt;"",'All Cases - Enter Cases'!M888,"")</f>
        <v/>
      </c>
    </row>
    <row r="889" spans="1:13" x14ac:dyDescent="0.35">
      <c r="A889" t="str">
        <f>IF('All Cases - Enter Cases'!$F889="KPK",'All Cases - Enter Cases'!A889,"")</f>
        <v/>
      </c>
      <c r="B889" t="str">
        <f>IF($A889&lt;&gt;"",'All Cases - Enter Cases'!B889,"")</f>
        <v/>
      </c>
      <c r="C889" t="str">
        <f>IF($A889&lt;&gt;"",'All Cases - Enter Cases'!C889,"")</f>
        <v/>
      </c>
      <c r="D889" t="str">
        <f>IF($A889&lt;&gt;"",'All Cases - Enter Cases'!D889,"")</f>
        <v/>
      </c>
      <c r="E889" t="str">
        <f>IF($A889&lt;&gt;"",'All Cases - Enter Cases'!E889,"")</f>
        <v/>
      </c>
      <c r="F889" t="str">
        <f>IF($A889&lt;&gt;"",'All Cases - Enter Cases'!F889,"")</f>
        <v/>
      </c>
      <c r="G889" t="str">
        <f>IF($A889&lt;&gt;"",'All Cases - Enter Cases'!G889,"")</f>
        <v/>
      </c>
      <c r="H889" t="str">
        <f>IF($A889&lt;&gt;"",'All Cases - Enter Cases'!H889,"")</f>
        <v/>
      </c>
      <c r="I889" t="str">
        <f>IF($A889&lt;&gt;"",'All Cases - Enter Cases'!I889,"")</f>
        <v/>
      </c>
      <c r="J889" t="str">
        <f>IF($A889&lt;&gt;"",'All Cases - Enter Cases'!J889,"")</f>
        <v/>
      </c>
      <c r="K889" t="str">
        <f>IF($A889&lt;&gt;"",'All Cases - Enter Cases'!K889,"")</f>
        <v/>
      </c>
      <c r="L889" t="str">
        <f>IF($A889&lt;&gt;"",'All Cases - Enter Cases'!L889,"")</f>
        <v/>
      </c>
      <c r="M889" t="str">
        <f>IF($A889&lt;&gt;"",'All Cases - Enter Cases'!M889,"")</f>
        <v/>
      </c>
    </row>
    <row r="890" spans="1:13" x14ac:dyDescent="0.35">
      <c r="A890" t="str">
        <f>IF('All Cases - Enter Cases'!$F890="KPK",'All Cases - Enter Cases'!A890,"")</f>
        <v/>
      </c>
      <c r="B890" t="str">
        <f>IF($A890&lt;&gt;"",'All Cases - Enter Cases'!B890,"")</f>
        <v/>
      </c>
      <c r="C890" t="str">
        <f>IF($A890&lt;&gt;"",'All Cases - Enter Cases'!C890,"")</f>
        <v/>
      </c>
      <c r="D890" t="str">
        <f>IF($A890&lt;&gt;"",'All Cases - Enter Cases'!D890,"")</f>
        <v/>
      </c>
      <c r="E890" t="str">
        <f>IF($A890&lt;&gt;"",'All Cases - Enter Cases'!E890,"")</f>
        <v/>
      </c>
      <c r="F890" t="str">
        <f>IF($A890&lt;&gt;"",'All Cases - Enter Cases'!F890,"")</f>
        <v/>
      </c>
      <c r="G890" t="str">
        <f>IF($A890&lt;&gt;"",'All Cases - Enter Cases'!G890,"")</f>
        <v/>
      </c>
      <c r="H890" t="str">
        <f>IF($A890&lt;&gt;"",'All Cases - Enter Cases'!H890,"")</f>
        <v/>
      </c>
      <c r="I890" t="str">
        <f>IF($A890&lt;&gt;"",'All Cases - Enter Cases'!I890,"")</f>
        <v/>
      </c>
      <c r="J890" t="str">
        <f>IF($A890&lt;&gt;"",'All Cases - Enter Cases'!J890,"")</f>
        <v/>
      </c>
      <c r="K890" t="str">
        <f>IF($A890&lt;&gt;"",'All Cases - Enter Cases'!K890,"")</f>
        <v/>
      </c>
      <c r="L890" t="str">
        <f>IF($A890&lt;&gt;"",'All Cases - Enter Cases'!L890,"")</f>
        <v/>
      </c>
      <c r="M890" t="str">
        <f>IF($A890&lt;&gt;"",'All Cases - Enter Cases'!M890,"")</f>
        <v/>
      </c>
    </row>
    <row r="891" spans="1:13" x14ac:dyDescent="0.35">
      <c r="A891" t="str">
        <f>IF('All Cases - Enter Cases'!$F891="KPK",'All Cases - Enter Cases'!A891,"")</f>
        <v/>
      </c>
      <c r="B891" t="str">
        <f>IF($A891&lt;&gt;"",'All Cases - Enter Cases'!B891,"")</f>
        <v/>
      </c>
      <c r="C891" t="str">
        <f>IF($A891&lt;&gt;"",'All Cases - Enter Cases'!C891,"")</f>
        <v/>
      </c>
      <c r="D891" t="str">
        <f>IF($A891&lt;&gt;"",'All Cases - Enter Cases'!D891,"")</f>
        <v/>
      </c>
      <c r="E891" t="str">
        <f>IF($A891&lt;&gt;"",'All Cases - Enter Cases'!E891,"")</f>
        <v/>
      </c>
      <c r="F891" t="str">
        <f>IF($A891&lt;&gt;"",'All Cases - Enter Cases'!F891,"")</f>
        <v/>
      </c>
      <c r="G891" t="str">
        <f>IF($A891&lt;&gt;"",'All Cases - Enter Cases'!G891,"")</f>
        <v/>
      </c>
      <c r="H891" t="str">
        <f>IF($A891&lt;&gt;"",'All Cases - Enter Cases'!H891,"")</f>
        <v/>
      </c>
      <c r="I891" t="str">
        <f>IF($A891&lt;&gt;"",'All Cases - Enter Cases'!I891,"")</f>
        <v/>
      </c>
      <c r="J891" t="str">
        <f>IF($A891&lt;&gt;"",'All Cases - Enter Cases'!J891,"")</f>
        <v/>
      </c>
      <c r="K891" t="str">
        <f>IF($A891&lt;&gt;"",'All Cases - Enter Cases'!K891,"")</f>
        <v/>
      </c>
      <c r="L891" t="str">
        <f>IF($A891&lt;&gt;"",'All Cases - Enter Cases'!L891,"")</f>
        <v/>
      </c>
      <c r="M891" t="str">
        <f>IF($A891&lt;&gt;"",'All Cases - Enter Cases'!M891,"")</f>
        <v/>
      </c>
    </row>
    <row r="892" spans="1:13" x14ac:dyDescent="0.35">
      <c r="A892" t="str">
        <f>IF('All Cases - Enter Cases'!$F892="KPK",'All Cases - Enter Cases'!A892,"")</f>
        <v/>
      </c>
      <c r="B892" t="str">
        <f>IF($A892&lt;&gt;"",'All Cases - Enter Cases'!B892,"")</f>
        <v/>
      </c>
      <c r="C892" t="str">
        <f>IF($A892&lt;&gt;"",'All Cases - Enter Cases'!C892,"")</f>
        <v/>
      </c>
      <c r="D892" t="str">
        <f>IF($A892&lt;&gt;"",'All Cases - Enter Cases'!D892,"")</f>
        <v/>
      </c>
      <c r="E892" t="str">
        <f>IF($A892&lt;&gt;"",'All Cases - Enter Cases'!E892,"")</f>
        <v/>
      </c>
      <c r="F892" t="str">
        <f>IF($A892&lt;&gt;"",'All Cases - Enter Cases'!F892,"")</f>
        <v/>
      </c>
      <c r="G892" t="str">
        <f>IF($A892&lt;&gt;"",'All Cases - Enter Cases'!G892,"")</f>
        <v/>
      </c>
      <c r="H892" t="str">
        <f>IF($A892&lt;&gt;"",'All Cases - Enter Cases'!H892,"")</f>
        <v/>
      </c>
      <c r="I892" t="str">
        <f>IF($A892&lt;&gt;"",'All Cases - Enter Cases'!I892,"")</f>
        <v/>
      </c>
      <c r="J892" t="str">
        <f>IF($A892&lt;&gt;"",'All Cases - Enter Cases'!J892,"")</f>
        <v/>
      </c>
      <c r="K892" t="str">
        <f>IF($A892&lt;&gt;"",'All Cases - Enter Cases'!K892,"")</f>
        <v/>
      </c>
      <c r="L892" t="str">
        <f>IF($A892&lt;&gt;"",'All Cases - Enter Cases'!L892,"")</f>
        <v/>
      </c>
      <c r="M892" t="str">
        <f>IF($A892&lt;&gt;"",'All Cases - Enter Cases'!M892,"")</f>
        <v/>
      </c>
    </row>
    <row r="893" spans="1:13" x14ac:dyDescent="0.35">
      <c r="A893" t="str">
        <f>IF('All Cases - Enter Cases'!$F893="KPK",'All Cases - Enter Cases'!A893,"")</f>
        <v/>
      </c>
      <c r="B893" t="str">
        <f>IF($A893&lt;&gt;"",'All Cases - Enter Cases'!B893,"")</f>
        <v/>
      </c>
      <c r="C893" t="str">
        <f>IF($A893&lt;&gt;"",'All Cases - Enter Cases'!C893,"")</f>
        <v/>
      </c>
      <c r="D893" t="str">
        <f>IF($A893&lt;&gt;"",'All Cases - Enter Cases'!D893,"")</f>
        <v/>
      </c>
      <c r="E893" t="str">
        <f>IF($A893&lt;&gt;"",'All Cases - Enter Cases'!E893,"")</f>
        <v/>
      </c>
      <c r="F893" t="str">
        <f>IF($A893&lt;&gt;"",'All Cases - Enter Cases'!F893,"")</f>
        <v/>
      </c>
      <c r="G893" t="str">
        <f>IF($A893&lt;&gt;"",'All Cases - Enter Cases'!G893,"")</f>
        <v/>
      </c>
      <c r="H893" t="str">
        <f>IF($A893&lt;&gt;"",'All Cases - Enter Cases'!H893,"")</f>
        <v/>
      </c>
      <c r="I893" t="str">
        <f>IF($A893&lt;&gt;"",'All Cases - Enter Cases'!I893,"")</f>
        <v/>
      </c>
      <c r="J893" t="str">
        <f>IF($A893&lt;&gt;"",'All Cases - Enter Cases'!J893,"")</f>
        <v/>
      </c>
      <c r="K893" t="str">
        <f>IF($A893&lt;&gt;"",'All Cases - Enter Cases'!K893,"")</f>
        <v/>
      </c>
      <c r="L893" t="str">
        <f>IF($A893&lt;&gt;"",'All Cases - Enter Cases'!L893,"")</f>
        <v/>
      </c>
      <c r="M893" t="str">
        <f>IF($A893&lt;&gt;"",'All Cases - Enter Cases'!M893,"")</f>
        <v/>
      </c>
    </row>
    <row r="894" spans="1:13" x14ac:dyDescent="0.35">
      <c r="A894" t="str">
        <f>IF('All Cases - Enter Cases'!$F894="KPK",'All Cases - Enter Cases'!A894,"")</f>
        <v/>
      </c>
      <c r="B894" t="str">
        <f>IF($A894&lt;&gt;"",'All Cases - Enter Cases'!B894,"")</f>
        <v/>
      </c>
      <c r="C894" t="str">
        <f>IF($A894&lt;&gt;"",'All Cases - Enter Cases'!C894,"")</f>
        <v/>
      </c>
      <c r="D894" t="str">
        <f>IF($A894&lt;&gt;"",'All Cases - Enter Cases'!D894,"")</f>
        <v/>
      </c>
      <c r="E894" t="str">
        <f>IF($A894&lt;&gt;"",'All Cases - Enter Cases'!E894,"")</f>
        <v/>
      </c>
      <c r="F894" t="str">
        <f>IF($A894&lt;&gt;"",'All Cases - Enter Cases'!F894,"")</f>
        <v/>
      </c>
      <c r="G894" t="str">
        <f>IF($A894&lt;&gt;"",'All Cases - Enter Cases'!G894,"")</f>
        <v/>
      </c>
      <c r="H894" t="str">
        <f>IF($A894&lt;&gt;"",'All Cases - Enter Cases'!H894,"")</f>
        <v/>
      </c>
      <c r="I894" t="str">
        <f>IF($A894&lt;&gt;"",'All Cases - Enter Cases'!I894,"")</f>
        <v/>
      </c>
      <c r="J894" t="str">
        <f>IF($A894&lt;&gt;"",'All Cases - Enter Cases'!J894,"")</f>
        <v/>
      </c>
      <c r="K894" t="str">
        <f>IF($A894&lt;&gt;"",'All Cases - Enter Cases'!K894,"")</f>
        <v/>
      </c>
      <c r="L894" t="str">
        <f>IF($A894&lt;&gt;"",'All Cases - Enter Cases'!L894,"")</f>
        <v/>
      </c>
      <c r="M894" t="str">
        <f>IF($A894&lt;&gt;"",'All Cases - Enter Cases'!M894,"")</f>
        <v/>
      </c>
    </row>
    <row r="895" spans="1:13" x14ac:dyDescent="0.35">
      <c r="A895" t="str">
        <f>IF('All Cases - Enter Cases'!$F895="KPK",'All Cases - Enter Cases'!A895,"")</f>
        <v/>
      </c>
      <c r="B895" t="str">
        <f>IF($A895&lt;&gt;"",'All Cases - Enter Cases'!B895,"")</f>
        <v/>
      </c>
      <c r="C895" t="str">
        <f>IF($A895&lt;&gt;"",'All Cases - Enter Cases'!C895,"")</f>
        <v/>
      </c>
      <c r="D895" t="str">
        <f>IF($A895&lt;&gt;"",'All Cases - Enter Cases'!D895,"")</f>
        <v/>
      </c>
      <c r="E895" t="str">
        <f>IF($A895&lt;&gt;"",'All Cases - Enter Cases'!E895,"")</f>
        <v/>
      </c>
      <c r="F895" t="str">
        <f>IF($A895&lt;&gt;"",'All Cases - Enter Cases'!F895,"")</f>
        <v/>
      </c>
      <c r="G895" t="str">
        <f>IF($A895&lt;&gt;"",'All Cases - Enter Cases'!G895,"")</f>
        <v/>
      </c>
      <c r="H895" t="str">
        <f>IF($A895&lt;&gt;"",'All Cases - Enter Cases'!H895,"")</f>
        <v/>
      </c>
      <c r="I895" t="str">
        <f>IF($A895&lt;&gt;"",'All Cases - Enter Cases'!I895,"")</f>
        <v/>
      </c>
      <c r="J895" t="str">
        <f>IF($A895&lt;&gt;"",'All Cases - Enter Cases'!J895,"")</f>
        <v/>
      </c>
      <c r="K895" t="str">
        <f>IF($A895&lt;&gt;"",'All Cases - Enter Cases'!K895,"")</f>
        <v/>
      </c>
      <c r="L895" t="str">
        <f>IF($A895&lt;&gt;"",'All Cases - Enter Cases'!L895,"")</f>
        <v/>
      </c>
      <c r="M895" t="str">
        <f>IF($A895&lt;&gt;"",'All Cases - Enter Cases'!M895,"")</f>
        <v/>
      </c>
    </row>
    <row r="896" spans="1:13" x14ac:dyDescent="0.35">
      <c r="A896" t="str">
        <f>IF('All Cases - Enter Cases'!$F896="KPK",'All Cases - Enter Cases'!A896,"")</f>
        <v/>
      </c>
      <c r="B896" t="str">
        <f>IF($A896&lt;&gt;"",'All Cases - Enter Cases'!B896,"")</f>
        <v/>
      </c>
      <c r="C896" t="str">
        <f>IF($A896&lt;&gt;"",'All Cases - Enter Cases'!C896,"")</f>
        <v/>
      </c>
      <c r="D896" t="str">
        <f>IF($A896&lt;&gt;"",'All Cases - Enter Cases'!D896,"")</f>
        <v/>
      </c>
      <c r="E896" t="str">
        <f>IF($A896&lt;&gt;"",'All Cases - Enter Cases'!E896,"")</f>
        <v/>
      </c>
      <c r="F896" t="str">
        <f>IF($A896&lt;&gt;"",'All Cases - Enter Cases'!F896,"")</f>
        <v/>
      </c>
      <c r="G896" t="str">
        <f>IF($A896&lt;&gt;"",'All Cases - Enter Cases'!G896,"")</f>
        <v/>
      </c>
      <c r="H896" t="str">
        <f>IF($A896&lt;&gt;"",'All Cases - Enter Cases'!H896,"")</f>
        <v/>
      </c>
      <c r="I896" t="str">
        <f>IF($A896&lt;&gt;"",'All Cases - Enter Cases'!I896,"")</f>
        <v/>
      </c>
      <c r="J896" t="str">
        <f>IF($A896&lt;&gt;"",'All Cases - Enter Cases'!J896,"")</f>
        <v/>
      </c>
      <c r="K896" t="str">
        <f>IF($A896&lt;&gt;"",'All Cases - Enter Cases'!K896,"")</f>
        <v/>
      </c>
      <c r="L896" t="str">
        <f>IF($A896&lt;&gt;"",'All Cases - Enter Cases'!L896,"")</f>
        <v/>
      </c>
      <c r="M896" t="str">
        <f>IF($A896&lt;&gt;"",'All Cases - Enter Cases'!M896,"")</f>
        <v/>
      </c>
    </row>
    <row r="897" spans="1:13" x14ac:dyDescent="0.35">
      <c r="A897" t="str">
        <f>IF('All Cases - Enter Cases'!$F897="KPK",'All Cases - Enter Cases'!A897,"")</f>
        <v/>
      </c>
      <c r="B897" t="str">
        <f>IF($A897&lt;&gt;"",'All Cases - Enter Cases'!B897,"")</f>
        <v/>
      </c>
      <c r="C897" t="str">
        <f>IF($A897&lt;&gt;"",'All Cases - Enter Cases'!C897,"")</f>
        <v/>
      </c>
      <c r="D897" t="str">
        <f>IF($A897&lt;&gt;"",'All Cases - Enter Cases'!D897,"")</f>
        <v/>
      </c>
      <c r="E897" t="str">
        <f>IF($A897&lt;&gt;"",'All Cases - Enter Cases'!E897,"")</f>
        <v/>
      </c>
      <c r="F897" t="str">
        <f>IF($A897&lt;&gt;"",'All Cases - Enter Cases'!F897,"")</f>
        <v/>
      </c>
      <c r="G897" t="str">
        <f>IF($A897&lt;&gt;"",'All Cases - Enter Cases'!G897,"")</f>
        <v/>
      </c>
      <c r="H897" t="str">
        <f>IF($A897&lt;&gt;"",'All Cases - Enter Cases'!H897,"")</f>
        <v/>
      </c>
      <c r="I897" t="str">
        <f>IF($A897&lt;&gt;"",'All Cases - Enter Cases'!I897,"")</f>
        <v/>
      </c>
      <c r="J897" t="str">
        <f>IF($A897&lt;&gt;"",'All Cases - Enter Cases'!J897,"")</f>
        <v/>
      </c>
      <c r="K897" t="str">
        <f>IF($A897&lt;&gt;"",'All Cases - Enter Cases'!K897,"")</f>
        <v/>
      </c>
      <c r="L897" t="str">
        <f>IF($A897&lt;&gt;"",'All Cases - Enter Cases'!L897,"")</f>
        <v/>
      </c>
      <c r="M897" t="str">
        <f>IF($A897&lt;&gt;"",'All Cases - Enter Cases'!M897,"")</f>
        <v/>
      </c>
    </row>
    <row r="898" spans="1:13" x14ac:dyDescent="0.35">
      <c r="A898" t="str">
        <f>IF('All Cases - Enter Cases'!$F898="KPK",'All Cases - Enter Cases'!A898,"")</f>
        <v/>
      </c>
      <c r="B898" t="str">
        <f>IF($A898&lt;&gt;"",'All Cases - Enter Cases'!B898,"")</f>
        <v/>
      </c>
      <c r="C898" t="str">
        <f>IF($A898&lt;&gt;"",'All Cases - Enter Cases'!C898,"")</f>
        <v/>
      </c>
      <c r="D898" t="str">
        <f>IF($A898&lt;&gt;"",'All Cases - Enter Cases'!D898,"")</f>
        <v/>
      </c>
      <c r="E898" t="str">
        <f>IF($A898&lt;&gt;"",'All Cases - Enter Cases'!E898,"")</f>
        <v/>
      </c>
      <c r="F898" t="str">
        <f>IF($A898&lt;&gt;"",'All Cases - Enter Cases'!F898,"")</f>
        <v/>
      </c>
      <c r="G898" t="str">
        <f>IF($A898&lt;&gt;"",'All Cases - Enter Cases'!G898,"")</f>
        <v/>
      </c>
      <c r="H898" t="str">
        <f>IF($A898&lt;&gt;"",'All Cases - Enter Cases'!H898,"")</f>
        <v/>
      </c>
      <c r="I898" t="str">
        <f>IF($A898&lt;&gt;"",'All Cases - Enter Cases'!I898,"")</f>
        <v/>
      </c>
      <c r="J898" t="str">
        <f>IF($A898&lt;&gt;"",'All Cases - Enter Cases'!J898,"")</f>
        <v/>
      </c>
      <c r="K898" t="str">
        <f>IF($A898&lt;&gt;"",'All Cases - Enter Cases'!K898,"")</f>
        <v/>
      </c>
      <c r="L898" t="str">
        <f>IF($A898&lt;&gt;"",'All Cases - Enter Cases'!L898,"")</f>
        <v/>
      </c>
      <c r="M898" t="str">
        <f>IF($A898&lt;&gt;"",'All Cases - Enter Cases'!M898,"")</f>
        <v/>
      </c>
    </row>
    <row r="899" spans="1:13" x14ac:dyDescent="0.35">
      <c r="A899" t="str">
        <f>IF('All Cases - Enter Cases'!$F899="KPK",'All Cases - Enter Cases'!A899,"")</f>
        <v/>
      </c>
      <c r="B899" t="str">
        <f>IF($A899&lt;&gt;"",'All Cases - Enter Cases'!B899,"")</f>
        <v/>
      </c>
      <c r="C899" t="str">
        <f>IF($A899&lt;&gt;"",'All Cases - Enter Cases'!C899,"")</f>
        <v/>
      </c>
      <c r="D899" t="str">
        <f>IF($A899&lt;&gt;"",'All Cases - Enter Cases'!D899,"")</f>
        <v/>
      </c>
      <c r="E899" t="str">
        <f>IF($A899&lt;&gt;"",'All Cases - Enter Cases'!E899,"")</f>
        <v/>
      </c>
      <c r="F899" t="str">
        <f>IF($A899&lt;&gt;"",'All Cases - Enter Cases'!F899,"")</f>
        <v/>
      </c>
      <c r="G899" t="str">
        <f>IF($A899&lt;&gt;"",'All Cases - Enter Cases'!G899,"")</f>
        <v/>
      </c>
      <c r="H899" t="str">
        <f>IF($A899&lt;&gt;"",'All Cases - Enter Cases'!H899,"")</f>
        <v/>
      </c>
      <c r="I899" t="str">
        <f>IF($A899&lt;&gt;"",'All Cases - Enter Cases'!I899,"")</f>
        <v/>
      </c>
      <c r="J899" t="str">
        <f>IF($A899&lt;&gt;"",'All Cases - Enter Cases'!J899,"")</f>
        <v/>
      </c>
      <c r="K899" t="str">
        <f>IF($A899&lt;&gt;"",'All Cases - Enter Cases'!K899,"")</f>
        <v/>
      </c>
      <c r="L899" t="str">
        <f>IF($A899&lt;&gt;"",'All Cases - Enter Cases'!L899,"")</f>
        <v/>
      </c>
      <c r="M899" t="str">
        <f>IF($A899&lt;&gt;"",'All Cases - Enter Cases'!M899,"")</f>
        <v/>
      </c>
    </row>
    <row r="900" spans="1:13" x14ac:dyDescent="0.35">
      <c r="A900" t="str">
        <f>IF('All Cases - Enter Cases'!$F900="KPK",'All Cases - Enter Cases'!A900,"")</f>
        <v/>
      </c>
      <c r="B900" t="str">
        <f>IF($A900&lt;&gt;"",'All Cases - Enter Cases'!B900,"")</f>
        <v/>
      </c>
      <c r="C900" t="str">
        <f>IF($A900&lt;&gt;"",'All Cases - Enter Cases'!C900,"")</f>
        <v/>
      </c>
      <c r="D900" t="str">
        <f>IF($A900&lt;&gt;"",'All Cases - Enter Cases'!D900,"")</f>
        <v/>
      </c>
      <c r="E900" t="str">
        <f>IF($A900&lt;&gt;"",'All Cases - Enter Cases'!E900,"")</f>
        <v/>
      </c>
      <c r="F900" t="str">
        <f>IF($A900&lt;&gt;"",'All Cases - Enter Cases'!F900,"")</f>
        <v/>
      </c>
      <c r="G900" t="str">
        <f>IF($A900&lt;&gt;"",'All Cases - Enter Cases'!G900,"")</f>
        <v/>
      </c>
      <c r="H900" t="str">
        <f>IF($A900&lt;&gt;"",'All Cases - Enter Cases'!H900,"")</f>
        <v/>
      </c>
      <c r="I900" t="str">
        <f>IF($A900&lt;&gt;"",'All Cases - Enter Cases'!I900,"")</f>
        <v/>
      </c>
      <c r="J900" t="str">
        <f>IF($A900&lt;&gt;"",'All Cases - Enter Cases'!J900,"")</f>
        <v/>
      </c>
      <c r="K900" t="str">
        <f>IF($A900&lt;&gt;"",'All Cases - Enter Cases'!K900,"")</f>
        <v/>
      </c>
      <c r="L900" t="str">
        <f>IF($A900&lt;&gt;"",'All Cases - Enter Cases'!L900,"")</f>
        <v/>
      </c>
      <c r="M900" t="str">
        <f>IF($A900&lt;&gt;"",'All Cases - Enter Cases'!M900,"")</f>
        <v/>
      </c>
    </row>
    <row r="901" spans="1:13" x14ac:dyDescent="0.35">
      <c r="A901" t="str">
        <f>IF('All Cases - Enter Cases'!$F901="KPK",'All Cases - Enter Cases'!A901,"")</f>
        <v/>
      </c>
      <c r="B901" t="str">
        <f>IF($A901&lt;&gt;"",'All Cases - Enter Cases'!B901,"")</f>
        <v/>
      </c>
      <c r="C901" t="str">
        <f>IF($A901&lt;&gt;"",'All Cases - Enter Cases'!C901,"")</f>
        <v/>
      </c>
      <c r="D901" t="str">
        <f>IF($A901&lt;&gt;"",'All Cases - Enter Cases'!D901,"")</f>
        <v/>
      </c>
      <c r="E901" t="str">
        <f>IF($A901&lt;&gt;"",'All Cases - Enter Cases'!E901,"")</f>
        <v/>
      </c>
      <c r="F901" t="str">
        <f>IF($A901&lt;&gt;"",'All Cases - Enter Cases'!F901,"")</f>
        <v/>
      </c>
      <c r="G901" t="str">
        <f>IF($A901&lt;&gt;"",'All Cases - Enter Cases'!G901,"")</f>
        <v/>
      </c>
      <c r="H901" t="str">
        <f>IF($A901&lt;&gt;"",'All Cases - Enter Cases'!H901,"")</f>
        <v/>
      </c>
      <c r="I901" t="str">
        <f>IF($A901&lt;&gt;"",'All Cases - Enter Cases'!I901,"")</f>
        <v/>
      </c>
      <c r="J901" t="str">
        <f>IF($A901&lt;&gt;"",'All Cases - Enter Cases'!J901,"")</f>
        <v/>
      </c>
      <c r="K901" t="str">
        <f>IF($A901&lt;&gt;"",'All Cases - Enter Cases'!K901,"")</f>
        <v/>
      </c>
      <c r="L901" t="str">
        <f>IF($A901&lt;&gt;"",'All Cases - Enter Cases'!L901,"")</f>
        <v/>
      </c>
      <c r="M901" t="str">
        <f>IF($A901&lt;&gt;"",'All Cases - Enter Cases'!M901,"")</f>
        <v/>
      </c>
    </row>
    <row r="902" spans="1:13" x14ac:dyDescent="0.35">
      <c r="A902" t="str">
        <f>IF('All Cases - Enter Cases'!$F902="KPK",'All Cases - Enter Cases'!A902,"")</f>
        <v/>
      </c>
      <c r="B902" t="str">
        <f>IF($A902&lt;&gt;"",'All Cases - Enter Cases'!B902,"")</f>
        <v/>
      </c>
      <c r="C902" t="str">
        <f>IF($A902&lt;&gt;"",'All Cases - Enter Cases'!C902,"")</f>
        <v/>
      </c>
      <c r="D902" t="str">
        <f>IF($A902&lt;&gt;"",'All Cases - Enter Cases'!D902,"")</f>
        <v/>
      </c>
      <c r="E902" t="str">
        <f>IF($A902&lt;&gt;"",'All Cases - Enter Cases'!E902,"")</f>
        <v/>
      </c>
      <c r="F902" t="str">
        <f>IF($A902&lt;&gt;"",'All Cases - Enter Cases'!F902,"")</f>
        <v/>
      </c>
      <c r="G902" t="str">
        <f>IF($A902&lt;&gt;"",'All Cases - Enter Cases'!G902,"")</f>
        <v/>
      </c>
      <c r="H902" t="str">
        <f>IF($A902&lt;&gt;"",'All Cases - Enter Cases'!H902,"")</f>
        <v/>
      </c>
      <c r="I902" t="str">
        <f>IF($A902&lt;&gt;"",'All Cases - Enter Cases'!I902,"")</f>
        <v/>
      </c>
      <c r="J902" t="str">
        <f>IF($A902&lt;&gt;"",'All Cases - Enter Cases'!J902,"")</f>
        <v/>
      </c>
      <c r="K902" t="str">
        <f>IF($A902&lt;&gt;"",'All Cases - Enter Cases'!K902,"")</f>
        <v/>
      </c>
      <c r="L902" t="str">
        <f>IF($A902&lt;&gt;"",'All Cases - Enter Cases'!L902,"")</f>
        <v/>
      </c>
      <c r="M902" t="str">
        <f>IF($A902&lt;&gt;"",'All Cases - Enter Cases'!M902,"")</f>
        <v/>
      </c>
    </row>
    <row r="903" spans="1:13" x14ac:dyDescent="0.35">
      <c r="A903" t="str">
        <f>IF('All Cases - Enter Cases'!$F903="KPK",'All Cases - Enter Cases'!A903,"")</f>
        <v/>
      </c>
      <c r="B903" t="str">
        <f>IF($A903&lt;&gt;"",'All Cases - Enter Cases'!B903,"")</f>
        <v/>
      </c>
      <c r="C903" t="str">
        <f>IF($A903&lt;&gt;"",'All Cases - Enter Cases'!C903,"")</f>
        <v/>
      </c>
      <c r="D903" t="str">
        <f>IF($A903&lt;&gt;"",'All Cases - Enter Cases'!D903,"")</f>
        <v/>
      </c>
      <c r="E903" t="str">
        <f>IF($A903&lt;&gt;"",'All Cases - Enter Cases'!E903,"")</f>
        <v/>
      </c>
      <c r="F903" t="str">
        <f>IF($A903&lt;&gt;"",'All Cases - Enter Cases'!F903,"")</f>
        <v/>
      </c>
      <c r="G903" t="str">
        <f>IF($A903&lt;&gt;"",'All Cases - Enter Cases'!G903,"")</f>
        <v/>
      </c>
      <c r="H903" t="str">
        <f>IF($A903&lt;&gt;"",'All Cases - Enter Cases'!H903,"")</f>
        <v/>
      </c>
      <c r="I903" t="str">
        <f>IF($A903&lt;&gt;"",'All Cases - Enter Cases'!I903,"")</f>
        <v/>
      </c>
      <c r="J903" t="str">
        <f>IF($A903&lt;&gt;"",'All Cases - Enter Cases'!J903,"")</f>
        <v/>
      </c>
      <c r="K903" t="str">
        <f>IF($A903&lt;&gt;"",'All Cases - Enter Cases'!K903,"")</f>
        <v/>
      </c>
      <c r="L903" t="str">
        <f>IF($A903&lt;&gt;"",'All Cases - Enter Cases'!L903,"")</f>
        <v/>
      </c>
      <c r="M903" t="str">
        <f>IF($A903&lt;&gt;"",'All Cases - Enter Cases'!M903,"")</f>
        <v/>
      </c>
    </row>
    <row r="904" spans="1:13" x14ac:dyDescent="0.35">
      <c r="A904" t="str">
        <f>IF('All Cases - Enter Cases'!$F904="KPK",'All Cases - Enter Cases'!A904,"")</f>
        <v/>
      </c>
      <c r="B904" t="str">
        <f>IF($A904&lt;&gt;"",'All Cases - Enter Cases'!B904,"")</f>
        <v/>
      </c>
      <c r="C904" t="str">
        <f>IF($A904&lt;&gt;"",'All Cases - Enter Cases'!C904,"")</f>
        <v/>
      </c>
      <c r="D904" t="str">
        <f>IF($A904&lt;&gt;"",'All Cases - Enter Cases'!D904,"")</f>
        <v/>
      </c>
      <c r="E904" t="str">
        <f>IF($A904&lt;&gt;"",'All Cases - Enter Cases'!E904,"")</f>
        <v/>
      </c>
      <c r="F904" t="str">
        <f>IF($A904&lt;&gt;"",'All Cases - Enter Cases'!F904,"")</f>
        <v/>
      </c>
      <c r="G904" t="str">
        <f>IF($A904&lt;&gt;"",'All Cases - Enter Cases'!G904,"")</f>
        <v/>
      </c>
      <c r="H904" t="str">
        <f>IF($A904&lt;&gt;"",'All Cases - Enter Cases'!H904,"")</f>
        <v/>
      </c>
      <c r="I904" t="str">
        <f>IF($A904&lt;&gt;"",'All Cases - Enter Cases'!I904,"")</f>
        <v/>
      </c>
      <c r="J904" t="str">
        <f>IF($A904&lt;&gt;"",'All Cases - Enter Cases'!J904,"")</f>
        <v/>
      </c>
      <c r="K904" t="str">
        <f>IF($A904&lt;&gt;"",'All Cases - Enter Cases'!K904,"")</f>
        <v/>
      </c>
      <c r="L904" t="str">
        <f>IF($A904&lt;&gt;"",'All Cases - Enter Cases'!L904,"")</f>
        <v/>
      </c>
      <c r="M904" t="str">
        <f>IF($A904&lt;&gt;"",'All Cases - Enter Cases'!M904,"")</f>
        <v/>
      </c>
    </row>
    <row r="905" spans="1:13" x14ac:dyDescent="0.35">
      <c r="A905" t="str">
        <f>IF('All Cases - Enter Cases'!$F905="KPK",'All Cases - Enter Cases'!A905,"")</f>
        <v/>
      </c>
      <c r="B905" t="str">
        <f>IF($A905&lt;&gt;"",'All Cases - Enter Cases'!B905,"")</f>
        <v/>
      </c>
      <c r="C905" t="str">
        <f>IF($A905&lt;&gt;"",'All Cases - Enter Cases'!C905,"")</f>
        <v/>
      </c>
      <c r="D905" t="str">
        <f>IF($A905&lt;&gt;"",'All Cases - Enter Cases'!D905,"")</f>
        <v/>
      </c>
      <c r="E905" t="str">
        <f>IF($A905&lt;&gt;"",'All Cases - Enter Cases'!E905,"")</f>
        <v/>
      </c>
      <c r="F905" t="str">
        <f>IF($A905&lt;&gt;"",'All Cases - Enter Cases'!F905,"")</f>
        <v/>
      </c>
      <c r="G905" t="str">
        <f>IF($A905&lt;&gt;"",'All Cases - Enter Cases'!G905,"")</f>
        <v/>
      </c>
      <c r="H905" t="str">
        <f>IF($A905&lt;&gt;"",'All Cases - Enter Cases'!H905,"")</f>
        <v/>
      </c>
      <c r="I905" t="str">
        <f>IF($A905&lt;&gt;"",'All Cases - Enter Cases'!I905,"")</f>
        <v/>
      </c>
      <c r="J905" t="str">
        <f>IF($A905&lt;&gt;"",'All Cases - Enter Cases'!J905,"")</f>
        <v/>
      </c>
      <c r="K905" t="str">
        <f>IF($A905&lt;&gt;"",'All Cases - Enter Cases'!K905,"")</f>
        <v/>
      </c>
      <c r="L905" t="str">
        <f>IF($A905&lt;&gt;"",'All Cases - Enter Cases'!L905,"")</f>
        <v/>
      </c>
      <c r="M905" t="str">
        <f>IF($A905&lt;&gt;"",'All Cases - Enter Cases'!M905,"")</f>
        <v/>
      </c>
    </row>
    <row r="906" spans="1:13" x14ac:dyDescent="0.35">
      <c r="A906" t="str">
        <f>IF('All Cases - Enter Cases'!$F906="KPK",'All Cases - Enter Cases'!A906,"")</f>
        <v/>
      </c>
      <c r="B906" t="str">
        <f>IF($A906&lt;&gt;"",'All Cases - Enter Cases'!B906,"")</f>
        <v/>
      </c>
      <c r="C906" t="str">
        <f>IF($A906&lt;&gt;"",'All Cases - Enter Cases'!C906,"")</f>
        <v/>
      </c>
      <c r="D906" t="str">
        <f>IF($A906&lt;&gt;"",'All Cases - Enter Cases'!D906,"")</f>
        <v/>
      </c>
      <c r="E906" t="str">
        <f>IF($A906&lt;&gt;"",'All Cases - Enter Cases'!E906,"")</f>
        <v/>
      </c>
      <c r="F906" t="str">
        <f>IF($A906&lt;&gt;"",'All Cases - Enter Cases'!F906,"")</f>
        <v/>
      </c>
      <c r="G906" t="str">
        <f>IF($A906&lt;&gt;"",'All Cases - Enter Cases'!G906,"")</f>
        <v/>
      </c>
      <c r="H906" t="str">
        <f>IF($A906&lt;&gt;"",'All Cases - Enter Cases'!H906,"")</f>
        <v/>
      </c>
      <c r="I906" t="str">
        <f>IF($A906&lt;&gt;"",'All Cases - Enter Cases'!I906,"")</f>
        <v/>
      </c>
      <c r="J906" t="str">
        <f>IF($A906&lt;&gt;"",'All Cases - Enter Cases'!J906,"")</f>
        <v/>
      </c>
      <c r="K906" t="str">
        <f>IF($A906&lt;&gt;"",'All Cases - Enter Cases'!K906,"")</f>
        <v/>
      </c>
      <c r="L906" t="str">
        <f>IF($A906&lt;&gt;"",'All Cases - Enter Cases'!L906,"")</f>
        <v/>
      </c>
      <c r="M906" t="str">
        <f>IF($A906&lt;&gt;"",'All Cases - Enter Cases'!M906,"")</f>
        <v/>
      </c>
    </row>
    <row r="907" spans="1:13" x14ac:dyDescent="0.35">
      <c r="A907" t="str">
        <f>IF('All Cases - Enter Cases'!$F907="KPK",'All Cases - Enter Cases'!A907,"")</f>
        <v/>
      </c>
      <c r="B907" t="str">
        <f>IF($A907&lt;&gt;"",'All Cases - Enter Cases'!B907,"")</f>
        <v/>
      </c>
      <c r="C907" t="str">
        <f>IF($A907&lt;&gt;"",'All Cases - Enter Cases'!C907,"")</f>
        <v/>
      </c>
      <c r="D907" t="str">
        <f>IF($A907&lt;&gt;"",'All Cases - Enter Cases'!D907,"")</f>
        <v/>
      </c>
      <c r="E907" t="str">
        <f>IF($A907&lt;&gt;"",'All Cases - Enter Cases'!E907,"")</f>
        <v/>
      </c>
      <c r="F907" t="str">
        <f>IF($A907&lt;&gt;"",'All Cases - Enter Cases'!F907,"")</f>
        <v/>
      </c>
      <c r="G907" t="str">
        <f>IF($A907&lt;&gt;"",'All Cases - Enter Cases'!G907,"")</f>
        <v/>
      </c>
      <c r="H907" t="str">
        <f>IF($A907&lt;&gt;"",'All Cases - Enter Cases'!H907,"")</f>
        <v/>
      </c>
      <c r="I907" t="str">
        <f>IF($A907&lt;&gt;"",'All Cases - Enter Cases'!I907,"")</f>
        <v/>
      </c>
      <c r="J907" t="str">
        <f>IF($A907&lt;&gt;"",'All Cases - Enter Cases'!J907,"")</f>
        <v/>
      </c>
      <c r="K907" t="str">
        <f>IF($A907&lt;&gt;"",'All Cases - Enter Cases'!K907,"")</f>
        <v/>
      </c>
      <c r="L907" t="str">
        <f>IF($A907&lt;&gt;"",'All Cases - Enter Cases'!L907,"")</f>
        <v/>
      </c>
      <c r="M907" t="str">
        <f>IF($A907&lt;&gt;"",'All Cases - Enter Cases'!M907,"")</f>
        <v/>
      </c>
    </row>
    <row r="908" spans="1:13" x14ac:dyDescent="0.35">
      <c r="A908" t="str">
        <f>IF('All Cases - Enter Cases'!$F908="KPK",'All Cases - Enter Cases'!A908,"")</f>
        <v/>
      </c>
      <c r="B908" t="str">
        <f>IF($A908&lt;&gt;"",'All Cases - Enter Cases'!B908,"")</f>
        <v/>
      </c>
      <c r="C908" t="str">
        <f>IF($A908&lt;&gt;"",'All Cases - Enter Cases'!C908,"")</f>
        <v/>
      </c>
      <c r="D908" t="str">
        <f>IF($A908&lt;&gt;"",'All Cases - Enter Cases'!D908,"")</f>
        <v/>
      </c>
      <c r="E908" t="str">
        <f>IF($A908&lt;&gt;"",'All Cases - Enter Cases'!E908,"")</f>
        <v/>
      </c>
      <c r="F908" t="str">
        <f>IF($A908&lt;&gt;"",'All Cases - Enter Cases'!F908,"")</f>
        <v/>
      </c>
      <c r="G908" t="str">
        <f>IF($A908&lt;&gt;"",'All Cases - Enter Cases'!G908,"")</f>
        <v/>
      </c>
      <c r="H908" t="str">
        <f>IF($A908&lt;&gt;"",'All Cases - Enter Cases'!H908,"")</f>
        <v/>
      </c>
      <c r="I908" t="str">
        <f>IF($A908&lt;&gt;"",'All Cases - Enter Cases'!I908,"")</f>
        <v/>
      </c>
      <c r="J908" t="str">
        <f>IF($A908&lt;&gt;"",'All Cases - Enter Cases'!J908,"")</f>
        <v/>
      </c>
      <c r="K908" t="str">
        <f>IF($A908&lt;&gt;"",'All Cases - Enter Cases'!K908,"")</f>
        <v/>
      </c>
      <c r="L908" t="str">
        <f>IF($A908&lt;&gt;"",'All Cases - Enter Cases'!L908,"")</f>
        <v/>
      </c>
      <c r="M908" t="str">
        <f>IF($A908&lt;&gt;"",'All Cases - Enter Cases'!M908,"")</f>
        <v/>
      </c>
    </row>
    <row r="909" spans="1:13" x14ac:dyDescent="0.35">
      <c r="A909" t="str">
        <f>IF('All Cases - Enter Cases'!$F909="KPK",'All Cases - Enter Cases'!A909,"")</f>
        <v/>
      </c>
      <c r="B909" t="str">
        <f>IF($A909&lt;&gt;"",'All Cases - Enter Cases'!B909,"")</f>
        <v/>
      </c>
      <c r="C909" t="str">
        <f>IF($A909&lt;&gt;"",'All Cases - Enter Cases'!C909,"")</f>
        <v/>
      </c>
      <c r="D909" t="str">
        <f>IF($A909&lt;&gt;"",'All Cases - Enter Cases'!D909,"")</f>
        <v/>
      </c>
      <c r="E909" t="str">
        <f>IF($A909&lt;&gt;"",'All Cases - Enter Cases'!E909,"")</f>
        <v/>
      </c>
      <c r="F909" t="str">
        <f>IF($A909&lt;&gt;"",'All Cases - Enter Cases'!F909,"")</f>
        <v/>
      </c>
      <c r="G909" t="str">
        <f>IF($A909&lt;&gt;"",'All Cases - Enter Cases'!G909,"")</f>
        <v/>
      </c>
      <c r="H909" t="str">
        <f>IF($A909&lt;&gt;"",'All Cases - Enter Cases'!H909,"")</f>
        <v/>
      </c>
      <c r="I909" t="str">
        <f>IF($A909&lt;&gt;"",'All Cases - Enter Cases'!I909,"")</f>
        <v/>
      </c>
      <c r="J909" t="str">
        <f>IF($A909&lt;&gt;"",'All Cases - Enter Cases'!J909,"")</f>
        <v/>
      </c>
      <c r="K909" t="str">
        <f>IF($A909&lt;&gt;"",'All Cases - Enter Cases'!K909,"")</f>
        <v/>
      </c>
      <c r="L909" t="str">
        <f>IF($A909&lt;&gt;"",'All Cases - Enter Cases'!L909,"")</f>
        <v/>
      </c>
      <c r="M909" t="str">
        <f>IF($A909&lt;&gt;"",'All Cases - Enter Cases'!M909,"")</f>
        <v/>
      </c>
    </row>
    <row r="910" spans="1:13" x14ac:dyDescent="0.35">
      <c r="A910" t="str">
        <f>IF('All Cases - Enter Cases'!$F910="KPK",'All Cases - Enter Cases'!A910,"")</f>
        <v/>
      </c>
      <c r="B910" t="str">
        <f>IF($A910&lt;&gt;"",'All Cases - Enter Cases'!B910,"")</f>
        <v/>
      </c>
      <c r="C910" t="str">
        <f>IF($A910&lt;&gt;"",'All Cases - Enter Cases'!C910,"")</f>
        <v/>
      </c>
      <c r="D910" t="str">
        <f>IF($A910&lt;&gt;"",'All Cases - Enter Cases'!D910,"")</f>
        <v/>
      </c>
      <c r="E910" t="str">
        <f>IF($A910&lt;&gt;"",'All Cases - Enter Cases'!E910,"")</f>
        <v/>
      </c>
      <c r="F910" t="str">
        <f>IF($A910&lt;&gt;"",'All Cases - Enter Cases'!F910,"")</f>
        <v/>
      </c>
      <c r="G910" t="str">
        <f>IF($A910&lt;&gt;"",'All Cases - Enter Cases'!G910,"")</f>
        <v/>
      </c>
      <c r="H910" t="str">
        <f>IF($A910&lt;&gt;"",'All Cases - Enter Cases'!H910,"")</f>
        <v/>
      </c>
      <c r="I910" t="str">
        <f>IF($A910&lt;&gt;"",'All Cases - Enter Cases'!I910,"")</f>
        <v/>
      </c>
      <c r="J910" t="str">
        <f>IF($A910&lt;&gt;"",'All Cases - Enter Cases'!J910,"")</f>
        <v/>
      </c>
      <c r="K910" t="str">
        <f>IF($A910&lt;&gt;"",'All Cases - Enter Cases'!K910,"")</f>
        <v/>
      </c>
      <c r="L910" t="str">
        <f>IF($A910&lt;&gt;"",'All Cases - Enter Cases'!L910,"")</f>
        <v/>
      </c>
      <c r="M910" t="str">
        <f>IF($A910&lt;&gt;"",'All Cases - Enter Cases'!M910,"")</f>
        <v/>
      </c>
    </row>
    <row r="911" spans="1:13" x14ac:dyDescent="0.35">
      <c r="A911" t="str">
        <f>IF('All Cases - Enter Cases'!$F911="KPK",'All Cases - Enter Cases'!A911,"")</f>
        <v/>
      </c>
      <c r="B911" t="str">
        <f>IF($A911&lt;&gt;"",'All Cases - Enter Cases'!B911,"")</f>
        <v/>
      </c>
      <c r="C911" t="str">
        <f>IF($A911&lt;&gt;"",'All Cases - Enter Cases'!C911,"")</f>
        <v/>
      </c>
      <c r="D911" t="str">
        <f>IF($A911&lt;&gt;"",'All Cases - Enter Cases'!D911,"")</f>
        <v/>
      </c>
      <c r="E911" t="str">
        <f>IF($A911&lt;&gt;"",'All Cases - Enter Cases'!E911,"")</f>
        <v/>
      </c>
      <c r="F911" t="str">
        <f>IF($A911&lt;&gt;"",'All Cases - Enter Cases'!F911,"")</f>
        <v/>
      </c>
      <c r="G911" t="str">
        <f>IF($A911&lt;&gt;"",'All Cases - Enter Cases'!G911,"")</f>
        <v/>
      </c>
      <c r="H911" t="str">
        <f>IF($A911&lt;&gt;"",'All Cases - Enter Cases'!H911,"")</f>
        <v/>
      </c>
      <c r="I911" t="str">
        <f>IF($A911&lt;&gt;"",'All Cases - Enter Cases'!I911,"")</f>
        <v/>
      </c>
      <c r="J911" t="str">
        <f>IF($A911&lt;&gt;"",'All Cases - Enter Cases'!J911,"")</f>
        <v/>
      </c>
      <c r="K911" t="str">
        <f>IF($A911&lt;&gt;"",'All Cases - Enter Cases'!K911,"")</f>
        <v/>
      </c>
      <c r="L911" t="str">
        <f>IF($A911&lt;&gt;"",'All Cases - Enter Cases'!L911,"")</f>
        <v/>
      </c>
      <c r="M911" t="str">
        <f>IF($A911&lt;&gt;"",'All Cases - Enter Cases'!M911,"")</f>
        <v/>
      </c>
    </row>
    <row r="912" spans="1:13" x14ac:dyDescent="0.35">
      <c r="A912" t="str">
        <f>IF('All Cases - Enter Cases'!$F912="KPK",'All Cases - Enter Cases'!A912,"")</f>
        <v/>
      </c>
      <c r="B912" t="str">
        <f>IF($A912&lt;&gt;"",'All Cases - Enter Cases'!B912,"")</f>
        <v/>
      </c>
      <c r="C912" t="str">
        <f>IF($A912&lt;&gt;"",'All Cases - Enter Cases'!C912,"")</f>
        <v/>
      </c>
      <c r="D912" t="str">
        <f>IF($A912&lt;&gt;"",'All Cases - Enter Cases'!D912,"")</f>
        <v/>
      </c>
      <c r="E912" t="str">
        <f>IF($A912&lt;&gt;"",'All Cases - Enter Cases'!E912,"")</f>
        <v/>
      </c>
      <c r="F912" t="str">
        <f>IF($A912&lt;&gt;"",'All Cases - Enter Cases'!F912,"")</f>
        <v/>
      </c>
      <c r="G912" t="str">
        <f>IF($A912&lt;&gt;"",'All Cases - Enter Cases'!G912,"")</f>
        <v/>
      </c>
      <c r="H912" t="str">
        <f>IF($A912&lt;&gt;"",'All Cases - Enter Cases'!H912,"")</f>
        <v/>
      </c>
      <c r="I912" t="str">
        <f>IF($A912&lt;&gt;"",'All Cases - Enter Cases'!I912,"")</f>
        <v/>
      </c>
      <c r="J912" t="str">
        <f>IF($A912&lt;&gt;"",'All Cases - Enter Cases'!J912,"")</f>
        <v/>
      </c>
      <c r="K912" t="str">
        <f>IF($A912&lt;&gt;"",'All Cases - Enter Cases'!K912,"")</f>
        <v/>
      </c>
      <c r="L912" t="str">
        <f>IF($A912&lt;&gt;"",'All Cases - Enter Cases'!L912,"")</f>
        <v/>
      </c>
      <c r="M912" t="str">
        <f>IF($A912&lt;&gt;"",'All Cases - Enter Cases'!M912,"")</f>
        <v/>
      </c>
    </row>
    <row r="913" spans="1:13" x14ac:dyDescent="0.35">
      <c r="A913" t="str">
        <f>IF('All Cases - Enter Cases'!$F913="KPK",'All Cases - Enter Cases'!A913,"")</f>
        <v/>
      </c>
      <c r="B913" t="str">
        <f>IF($A913&lt;&gt;"",'All Cases - Enter Cases'!B913,"")</f>
        <v/>
      </c>
      <c r="C913" t="str">
        <f>IF($A913&lt;&gt;"",'All Cases - Enter Cases'!C913,"")</f>
        <v/>
      </c>
      <c r="D913" t="str">
        <f>IF($A913&lt;&gt;"",'All Cases - Enter Cases'!D913,"")</f>
        <v/>
      </c>
      <c r="E913" t="str">
        <f>IF($A913&lt;&gt;"",'All Cases - Enter Cases'!E913,"")</f>
        <v/>
      </c>
      <c r="F913" t="str">
        <f>IF($A913&lt;&gt;"",'All Cases - Enter Cases'!F913,"")</f>
        <v/>
      </c>
      <c r="G913" t="str">
        <f>IF($A913&lt;&gt;"",'All Cases - Enter Cases'!G913,"")</f>
        <v/>
      </c>
      <c r="H913" t="str">
        <f>IF($A913&lt;&gt;"",'All Cases - Enter Cases'!H913,"")</f>
        <v/>
      </c>
      <c r="I913" t="str">
        <f>IF($A913&lt;&gt;"",'All Cases - Enter Cases'!I913,"")</f>
        <v/>
      </c>
      <c r="J913" t="str">
        <f>IF($A913&lt;&gt;"",'All Cases - Enter Cases'!J913,"")</f>
        <v/>
      </c>
      <c r="K913" t="str">
        <f>IF($A913&lt;&gt;"",'All Cases - Enter Cases'!K913,"")</f>
        <v/>
      </c>
      <c r="L913" t="str">
        <f>IF($A913&lt;&gt;"",'All Cases - Enter Cases'!L913,"")</f>
        <v/>
      </c>
      <c r="M913" t="str">
        <f>IF($A913&lt;&gt;"",'All Cases - Enter Cases'!M913,"")</f>
        <v/>
      </c>
    </row>
    <row r="914" spans="1:13" x14ac:dyDescent="0.35">
      <c r="A914" t="str">
        <f>IF('All Cases - Enter Cases'!$F914="KPK",'All Cases - Enter Cases'!A914,"")</f>
        <v/>
      </c>
      <c r="B914" t="str">
        <f>IF($A914&lt;&gt;"",'All Cases - Enter Cases'!B914,"")</f>
        <v/>
      </c>
      <c r="C914" t="str">
        <f>IF($A914&lt;&gt;"",'All Cases - Enter Cases'!C914,"")</f>
        <v/>
      </c>
      <c r="D914" t="str">
        <f>IF($A914&lt;&gt;"",'All Cases - Enter Cases'!D914,"")</f>
        <v/>
      </c>
      <c r="E914" t="str">
        <f>IF($A914&lt;&gt;"",'All Cases - Enter Cases'!E914,"")</f>
        <v/>
      </c>
      <c r="F914" t="str">
        <f>IF($A914&lt;&gt;"",'All Cases - Enter Cases'!F914,"")</f>
        <v/>
      </c>
      <c r="G914" t="str">
        <f>IF($A914&lt;&gt;"",'All Cases - Enter Cases'!G914,"")</f>
        <v/>
      </c>
      <c r="H914" t="str">
        <f>IF($A914&lt;&gt;"",'All Cases - Enter Cases'!H914,"")</f>
        <v/>
      </c>
      <c r="I914" t="str">
        <f>IF($A914&lt;&gt;"",'All Cases - Enter Cases'!I914,"")</f>
        <v/>
      </c>
      <c r="J914" t="str">
        <f>IF($A914&lt;&gt;"",'All Cases - Enter Cases'!J914,"")</f>
        <v/>
      </c>
      <c r="K914" t="str">
        <f>IF($A914&lt;&gt;"",'All Cases - Enter Cases'!K914,"")</f>
        <v/>
      </c>
      <c r="L914" t="str">
        <f>IF($A914&lt;&gt;"",'All Cases - Enter Cases'!L914,"")</f>
        <v/>
      </c>
      <c r="M914" t="str">
        <f>IF($A914&lt;&gt;"",'All Cases - Enter Cases'!M914,"")</f>
        <v/>
      </c>
    </row>
    <row r="915" spans="1:13" x14ac:dyDescent="0.35">
      <c r="A915" t="str">
        <f>IF('All Cases - Enter Cases'!$F915="KPK",'All Cases - Enter Cases'!A915,"")</f>
        <v/>
      </c>
      <c r="B915" t="str">
        <f>IF($A915&lt;&gt;"",'All Cases - Enter Cases'!B915,"")</f>
        <v/>
      </c>
      <c r="C915" t="str">
        <f>IF($A915&lt;&gt;"",'All Cases - Enter Cases'!C915,"")</f>
        <v/>
      </c>
      <c r="D915" t="str">
        <f>IF($A915&lt;&gt;"",'All Cases - Enter Cases'!D915,"")</f>
        <v/>
      </c>
      <c r="E915" t="str">
        <f>IF($A915&lt;&gt;"",'All Cases - Enter Cases'!E915,"")</f>
        <v/>
      </c>
      <c r="F915" t="str">
        <f>IF($A915&lt;&gt;"",'All Cases - Enter Cases'!F915,"")</f>
        <v/>
      </c>
      <c r="G915" t="str">
        <f>IF($A915&lt;&gt;"",'All Cases - Enter Cases'!G915,"")</f>
        <v/>
      </c>
      <c r="H915" t="str">
        <f>IF($A915&lt;&gt;"",'All Cases - Enter Cases'!H915,"")</f>
        <v/>
      </c>
      <c r="I915" t="str">
        <f>IF($A915&lt;&gt;"",'All Cases - Enter Cases'!I915,"")</f>
        <v/>
      </c>
      <c r="J915" t="str">
        <f>IF($A915&lt;&gt;"",'All Cases - Enter Cases'!J915,"")</f>
        <v/>
      </c>
      <c r="K915" t="str">
        <f>IF($A915&lt;&gt;"",'All Cases - Enter Cases'!K915,"")</f>
        <v/>
      </c>
      <c r="L915" t="str">
        <f>IF($A915&lt;&gt;"",'All Cases - Enter Cases'!L915,"")</f>
        <v/>
      </c>
      <c r="M915" t="str">
        <f>IF($A915&lt;&gt;"",'All Cases - Enter Cases'!M915,"")</f>
        <v/>
      </c>
    </row>
    <row r="916" spans="1:13" x14ac:dyDescent="0.35">
      <c r="A916" t="str">
        <f>IF('All Cases - Enter Cases'!$F916="KPK",'All Cases - Enter Cases'!A916,"")</f>
        <v/>
      </c>
      <c r="B916" t="str">
        <f>IF($A916&lt;&gt;"",'All Cases - Enter Cases'!B916,"")</f>
        <v/>
      </c>
      <c r="C916" t="str">
        <f>IF($A916&lt;&gt;"",'All Cases - Enter Cases'!C916,"")</f>
        <v/>
      </c>
      <c r="D916" t="str">
        <f>IF($A916&lt;&gt;"",'All Cases - Enter Cases'!D916,"")</f>
        <v/>
      </c>
      <c r="E916" t="str">
        <f>IF($A916&lt;&gt;"",'All Cases - Enter Cases'!E916,"")</f>
        <v/>
      </c>
      <c r="F916" t="str">
        <f>IF($A916&lt;&gt;"",'All Cases - Enter Cases'!F916,"")</f>
        <v/>
      </c>
      <c r="G916" t="str">
        <f>IF($A916&lt;&gt;"",'All Cases - Enter Cases'!G916,"")</f>
        <v/>
      </c>
      <c r="H916" t="str">
        <f>IF($A916&lt;&gt;"",'All Cases - Enter Cases'!H916,"")</f>
        <v/>
      </c>
      <c r="I916" t="str">
        <f>IF($A916&lt;&gt;"",'All Cases - Enter Cases'!I916,"")</f>
        <v/>
      </c>
      <c r="J916" t="str">
        <f>IF($A916&lt;&gt;"",'All Cases - Enter Cases'!J916,"")</f>
        <v/>
      </c>
      <c r="K916" t="str">
        <f>IF($A916&lt;&gt;"",'All Cases - Enter Cases'!K916,"")</f>
        <v/>
      </c>
      <c r="L916" t="str">
        <f>IF($A916&lt;&gt;"",'All Cases - Enter Cases'!L916,"")</f>
        <v/>
      </c>
      <c r="M916" t="str">
        <f>IF($A916&lt;&gt;"",'All Cases - Enter Cases'!M916,"")</f>
        <v/>
      </c>
    </row>
    <row r="917" spans="1:13" x14ac:dyDescent="0.35">
      <c r="A917" t="str">
        <f>IF('All Cases - Enter Cases'!$F917="KPK",'All Cases - Enter Cases'!A917,"")</f>
        <v/>
      </c>
      <c r="B917" t="str">
        <f>IF($A917&lt;&gt;"",'All Cases - Enter Cases'!B917,"")</f>
        <v/>
      </c>
      <c r="C917" t="str">
        <f>IF($A917&lt;&gt;"",'All Cases - Enter Cases'!C917,"")</f>
        <v/>
      </c>
      <c r="D917" t="str">
        <f>IF($A917&lt;&gt;"",'All Cases - Enter Cases'!D917,"")</f>
        <v/>
      </c>
      <c r="E917" t="str">
        <f>IF($A917&lt;&gt;"",'All Cases - Enter Cases'!E917,"")</f>
        <v/>
      </c>
      <c r="F917" t="str">
        <f>IF($A917&lt;&gt;"",'All Cases - Enter Cases'!F917,"")</f>
        <v/>
      </c>
      <c r="G917" t="str">
        <f>IF($A917&lt;&gt;"",'All Cases - Enter Cases'!G917,"")</f>
        <v/>
      </c>
      <c r="H917" t="str">
        <f>IF($A917&lt;&gt;"",'All Cases - Enter Cases'!H917,"")</f>
        <v/>
      </c>
      <c r="I917" t="str">
        <f>IF($A917&lt;&gt;"",'All Cases - Enter Cases'!I917,"")</f>
        <v/>
      </c>
      <c r="J917" t="str">
        <f>IF($A917&lt;&gt;"",'All Cases - Enter Cases'!J917,"")</f>
        <v/>
      </c>
      <c r="K917" t="str">
        <f>IF($A917&lt;&gt;"",'All Cases - Enter Cases'!K917,"")</f>
        <v/>
      </c>
      <c r="L917" t="str">
        <f>IF($A917&lt;&gt;"",'All Cases - Enter Cases'!L917,"")</f>
        <v/>
      </c>
      <c r="M917" t="str">
        <f>IF($A917&lt;&gt;"",'All Cases - Enter Cases'!M917,"")</f>
        <v/>
      </c>
    </row>
    <row r="918" spans="1:13" x14ac:dyDescent="0.35">
      <c r="A918" t="str">
        <f>IF('All Cases - Enter Cases'!$F918="KPK",'All Cases - Enter Cases'!A918,"")</f>
        <v/>
      </c>
      <c r="B918" t="str">
        <f>IF($A918&lt;&gt;"",'All Cases - Enter Cases'!B918,"")</f>
        <v/>
      </c>
      <c r="C918" t="str">
        <f>IF($A918&lt;&gt;"",'All Cases - Enter Cases'!C918,"")</f>
        <v/>
      </c>
      <c r="D918" t="str">
        <f>IF($A918&lt;&gt;"",'All Cases - Enter Cases'!D918,"")</f>
        <v/>
      </c>
      <c r="E918" t="str">
        <f>IF($A918&lt;&gt;"",'All Cases - Enter Cases'!E918,"")</f>
        <v/>
      </c>
      <c r="F918" t="str">
        <f>IF($A918&lt;&gt;"",'All Cases - Enter Cases'!F918,"")</f>
        <v/>
      </c>
      <c r="G918" t="str">
        <f>IF($A918&lt;&gt;"",'All Cases - Enter Cases'!G918,"")</f>
        <v/>
      </c>
      <c r="H918" t="str">
        <f>IF($A918&lt;&gt;"",'All Cases - Enter Cases'!H918,"")</f>
        <v/>
      </c>
      <c r="I918" t="str">
        <f>IF($A918&lt;&gt;"",'All Cases - Enter Cases'!I918,"")</f>
        <v/>
      </c>
      <c r="J918" t="str">
        <f>IF($A918&lt;&gt;"",'All Cases - Enter Cases'!J918,"")</f>
        <v/>
      </c>
      <c r="K918" t="str">
        <f>IF($A918&lt;&gt;"",'All Cases - Enter Cases'!K918,"")</f>
        <v/>
      </c>
      <c r="L918" t="str">
        <f>IF($A918&lt;&gt;"",'All Cases - Enter Cases'!L918,"")</f>
        <v/>
      </c>
      <c r="M918" t="str">
        <f>IF($A918&lt;&gt;"",'All Cases - Enter Cases'!M918,"")</f>
        <v/>
      </c>
    </row>
    <row r="919" spans="1:13" x14ac:dyDescent="0.35">
      <c r="A919" t="str">
        <f>IF('All Cases - Enter Cases'!$F919="KPK",'All Cases - Enter Cases'!A919,"")</f>
        <v/>
      </c>
      <c r="B919" t="str">
        <f>IF($A919&lt;&gt;"",'All Cases - Enter Cases'!B919,"")</f>
        <v/>
      </c>
      <c r="C919" t="str">
        <f>IF($A919&lt;&gt;"",'All Cases - Enter Cases'!C919,"")</f>
        <v/>
      </c>
      <c r="D919" t="str">
        <f>IF($A919&lt;&gt;"",'All Cases - Enter Cases'!D919,"")</f>
        <v/>
      </c>
      <c r="E919" t="str">
        <f>IF($A919&lt;&gt;"",'All Cases - Enter Cases'!E919,"")</f>
        <v/>
      </c>
      <c r="F919" t="str">
        <f>IF($A919&lt;&gt;"",'All Cases - Enter Cases'!F919,"")</f>
        <v/>
      </c>
      <c r="G919" t="str">
        <f>IF($A919&lt;&gt;"",'All Cases - Enter Cases'!G919,"")</f>
        <v/>
      </c>
      <c r="H919" t="str">
        <f>IF($A919&lt;&gt;"",'All Cases - Enter Cases'!H919,"")</f>
        <v/>
      </c>
      <c r="I919" t="str">
        <f>IF($A919&lt;&gt;"",'All Cases - Enter Cases'!I919,"")</f>
        <v/>
      </c>
      <c r="J919" t="str">
        <f>IF($A919&lt;&gt;"",'All Cases - Enter Cases'!J919,"")</f>
        <v/>
      </c>
      <c r="K919" t="str">
        <f>IF($A919&lt;&gt;"",'All Cases - Enter Cases'!K919,"")</f>
        <v/>
      </c>
      <c r="L919" t="str">
        <f>IF($A919&lt;&gt;"",'All Cases - Enter Cases'!L919,"")</f>
        <v/>
      </c>
      <c r="M919" t="str">
        <f>IF($A919&lt;&gt;"",'All Cases - Enter Cases'!M919,"")</f>
        <v/>
      </c>
    </row>
    <row r="920" spans="1:13" x14ac:dyDescent="0.35">
      <c r="A920" t="str">
        <f>IF('All Cases - Enter Cases'!$F920="KPK",'All Cases - Enter Cases'!A920,"")</f>
        <v/>
      </c>
      <c r="B920" t="str">
        <f>IF($A920&lt;&gt;"",'All Cases - Enter Cases'!B920,"")</f>
        <v/>
      </c>
      <c r="C920" t="str">
        <f>IF($A920&lt;&gt;"",'All Cases - Enter Cases'!C920,"")</f>
        <v/>
      </c>
      <c r="D920" t="str">
        <f>IF($A920&lt;&gt;"",'All Cases - Enter Cases'!D920,"")</f>
        <v/>
      </c>
      <c r="E920" t="str">
        <f>IF($A920&lt;&gt;"",'All Cases - Enter Cases'!E920,"")</f>
        <v/>
      </c>
      <c r="F920" t="str">
        <f>IF($A920&lt;&gt;"",'All Cases - Enter Cases'!F920,"")</f>
        <v/>
      </c>
      <c r="G920" t="str">
        <f>IF($A920&lt;&gt;"",'All Cases - Enter Cases'!G920,"")</f>
        <v/>
      </c>
      <c r="H920" t="str">
        <f>IF($A920&lt;&gt;"",'All Cases - Enter Cases'!H920,"")</f>
        <v/>
      </c>
      <c r="I920" t="str">
        <f>IF($A920&lt;&gt;"",'All Cases - Enter Cases'!I920,"")</f>
        <v/>
      </c>
      <c r="J920" t="str">
        <f>IF($A920&lt;&gt;"",'All Cases - Enter Cases'!J920,"")</f>
        <v/>
      </c>
      <c r="K920" t="str">
        <f>IF($A920&lt;&gt;"",'All Cases - Enter Cases'!K920,"")</f>
        <v/>
      </c>
      <c r="L920" t="str">
        <f>IF($A920&lt;&gt;"",'All Cases - Enter Cases'!L920,"")</f>
        <v/>
      </c>
      <c r="M920" t="str">
        <f>IF($A920&lt;&gt;"",'All Cases - Enter Cases'!M920,"")</f>
        <v/>
      </c>
    </row>
    <row r="921" spans="1:13" x14ac:dyDescent="0.35">
      <c r="A921" t="str">
        <f>IF('All Cases - Enter Cases'!$F921="KPK",'All Cases - Enter Cases'!A921,"")</f>
        <v/>
      </c>
      <c r="B921" t="str">
        <f>IF($A921&lt;&gt;"",'All Cases - Enter Cases'!B921,"")</f>
        <v/>
      </c>
      <c r="C921" t="str">
        <f>IF($A921&lt;&gt;"",'All Cases - Enter Cases'!C921,"")</f>
        <v/>
      </c>
      <c r="D921" t="str">
        <f>IF($A921&lt;&gt;"",'All Cases - Enter Cases'!D921,"")</f>
        <v/>
      </c>
      <c r="E921" t="str">
        <f>IF($A921&lt;&gt;"",'All Cases - Enter Cases'!E921,"")</f>
        <v/>
      </c>
      <c r="F921" t="str">
        <f>IF($A921&lt;&gt;"",'All Cases - Enter Cases'!F921,"")</f>
        <v/>
      </c>
      <c r="G921" t="str">
        <f>IF($A921&lt;&gt;"",'All Cases - Enter Cases'!G921,"")</f>
        <v/>
      </c>
      <c r="H921" t="str">
        <f>IF($A921&lt;&gt;"",'All Cases - Enter Cases'!H921,"")</f>
        <v/>
      </c>
      <c r="I921" t="str">
        <f>IF($A921&lt;&gt;"",'All Cases - Enter Cases'!I921,"")</f>
        <v/>
      </c>
      <c r="J921" t="str">
        <f>IF($A921&lt;&gt;"",'All Cases - Enter Cases'!J921,"")</f>
        <v/>
      </c>
      <c r="K921" t="str">
        <f>IF($A921&lt;&gt;"",'All Cases - Enter Cases'!K921,"")</f>
        <v/>
      </c>
      <c r="L921" t="str">
        <f>IF($A921&lt;&gt;"",'All Cases - Enter Cases'!L921,"")</f>
        <v/>
      </c>
      <c r="M921" t="str">
        <f>IF($A921&lt;&gt;"",'All Cases - Enter Cases'!M921,"")</f>
        <v/>
      </c>
    </row>
    <row r="922" spans="1:13" x14ac:dyDescent="0.35">
      <c r="A922" t="str">
        <f>IF('All Cases - Enter Cases'!$F922="KPK",'All Cases - Enter Cases'!A922,"")</f>
        <v/>
      </c>
      <c r="B922" t="str">
        <f>IF($A922&lt;&gt;"",'All Cases - Enter Cases'!B922,"")</f>
        <v/>
      </c>
      <c r="C922" t="str">
        <f>IF($A922&lt;&gt;"",'All Cases - Enter Cases'!C922,"")</f>
        <v/>
      </c>
      <c r="D922" t="str">
        <f>IF($A922&lt;&gt;"",'All Cases - Enter Cases'!D922,"")</f>
        <v/>
      </c>
      <c r="E922" t="str">
        <f>IF($A922&lt;&gt;"",'All Cases - Enter Cases'!E922,"")</f>
        <v/>
      </c>
      <c r="F922" t="str">
        <f>IF($A922&lt;&gt;"",'All Cases - Enter Cases'!F922,"")</f>
        <v/>
      </c>
      <c r="G922" t="str">
        <f>IF($A922&lt;&gt;"",'All Cases - Enter Cases'!G922,"")</f>
        <v/>
      </c>
      <c r="H922" t="str">
        <f>IF($A922&lt;&gt;"",'All Cases - Enter Cases'!H922,"")</f>
        <v/>
      </c>
      <c r="I922" t="str">
        <f>IF($A922&lt;&gt;"",'All Cases - Enter Cases'!I922,"")</f>
        <v/>
      </c>
      <c r="J922" t="str">
        <f>IF($A922&lt;&gt;"",'All Cases - Enter Cases'!J922,"")</f>
        <v/>
      </c>
      <c r="K922" t="str">
        <f>IF($A922&lt;&gt;"",'All Cases - Enter Cases'!K922,"")</f>
        <v/>
      </c>
      <c r="L922" t="str">
        <f>IF($A922&lt;&gt;"",'All Cases - Enter Cases'!L922,"")</f>
        <v/>
      </c>
      <c r="M922" t="str">
        <f>IF($A922&lt;&gt;"",'All Cases - Enter Cases'!M922,"")</f>
        <v/>
      </c>
    </row>
    <row r="923" spans="1:13" x14ac:dyDescent="0.35">
      <c r="A923" t="str">
        <f>IF('All Cases - Enter Cases'!$F923="KPK",'All Cases - Enter Cases'!A923,"")</f>
        <v/>
      </c>
      <c r="B923" t="str">
        <f>IF($A923&lt;&gt;"",'All Cases - Enter Cases'!B923,"")</f>
        <v/>
      </c>
      <c r="C923" t="str">
        <f>IF($A923&lt;&gt;"",'All Cases - Enter Cases'!C923,"")</f>
        <v/>
      </c>
      <c r="D923" t="str">
        <f>IF($A923&lt;&gt;"",'All Cases - Enter Cases'!D923,"")</f>
        <v/>
      </c>
      <c r="E923" t="str">
        <f>IF($A923&lt;&gt;"",'All Cases - Enter Cases'!E923,"")</f>
        <v/>
      </c>
      <c r="F923" t="str">
        <f>IF($A923&lt;&gt;"",'All Cases - Enter Cases'!F923,"")</f>
        <v/>
      </c>
      <c r="G923" t="str">
        <f>IF($A923&lt;&gt;"",'All Cases - Enter Cases'!G923,"")</f>
        <v/>
      </c>
      <c r="H923" t="str">
        <f>IF($A923&lt;&gt;"",'All Cases - Enter Cases'!H923,"")</f>
        <v/>
      </c>
      <c r="I923" t="str">
        <f>IF($A923&lt;&gt;"",'All Cases - Enter Cases'!I923,"")</f>
        <v/>
      </c>
      <c r="J923" t="str">
        <f>IF($A923&lt;&gt;"",'All Cases - Enter Cases'!J923,"")</f>
        <v/>
      </c>
      <c r="K923" t="str">
        <f>IF($A923&lt;&gt;"",'All Cases - Enter Cases'!K923,"")</f>
        <v/>
      </c>
      <c r="L923" t="str">
        <f>IF($A923&lt;&gt;"",'All Cases - Enter Cases'!L923,"")</f>
        <v/>
      </c>
      <c r="M923" t="str">
        <f>IF($A923&lt;&gt;"",'All Cases - Enter Cases'!M923,"")</f>
        <v/>
      </c>
    </row>
    <row r="924" spans="1:13" x14ac:dyDescent="0.35">
      <c r="A924" t="str">
        <f>IF('All Cases - Enter Cases'!$F924="KPK",'All Cases - Enter Cases'!A924,"")</f>
        <v/>
      </c>
      <c r="B924" t="str">
        <f>IF($A924&lt;&gt;"",'All Cases - Enter Cases'!B924,"")</f>
        <v/>
      </c>
      <c r="C924" t="str">
        <f>IF($A924&lt;&gt;"",'All Cases - Enter Cases'!C924,"")</f>
        <v/>
      </c>
      <c r="D924" t="str">
        <f>IF($A924&lt;&gt;"",'All Cases - Enter Cases'!D924,"")</f>
        <v/>
      </c>
      <c r="E924" t="str">
        <f>IF($A924&lt;&gt;"",'All Cases - Enter Cases'!E924,"")</f>
        <v/>
      </c>
      <c r="F924" t="str">
        <f>IF($A924&lt;&gt;"",'All Cases - Enter Cases'!F924,"")</f>
        <v/>
      </c>
      <c r="G924" t="str">
        <f>IF($A924&lt;&gt;"",'All Cases - Enter Cases'!G924,"")</f>
        <v/>
      </c>
      <c r="H924" t="str">
        <f>IF($A924&lt;&gt;"",'All Cases - Enter Cases'!H924,"")</f>
        <v/>
      </c>
      <c r="I924" t="str">
        <f>IF($A924&lt;&gt;"",'All Cases - Enter Cases'!I924,"")</f>
        <v/>
      </c>
      <c r="J924" t="str">
        <f>IF($A924&lt;&gt;"",'All Cases - Enter Cases'!J924,"")</f>
        <v/>
      </c>
      <c r="K924" t="str">
        <f>IF($A924&lt;&gt;"",'All Cases - Enter Cases'!K924,"")</f>
        <v/>
      </c>
      <c r="L924" t="str">
        <f>IF($A924&lt;&gt;"",'All Cases - Enter Cases'!L924,"")</f>
        <v/>
      </c>
      <c r="M924" t="str">
        <f>IF($A924&lt;&gt;"",'All Cases - Enter Cases'!M924,"")</f>
        <v/>
      </c>
    </row>
    <row r="925" spans="1:13" x14ac:dyDescent="0.35">
      <c r="A925" t="str">
        <f>IF('All Cases - Enter Cases'!$F925="KPK",'All Cases - Enter Cases'!A925,"")</f>
        <v/>
      </c>
      <c r="B925" t="str">
        <f>IF($A925&lt;&gt;"",'All Cases - Enter Cases'!B925,"")</f>
        <v/>
      </c>
      <c r="C925" t="str">
        <f>IF($A925&lt;&gt;"",'All Cases - Enter Cases'!C925,"")</f>
        <v/>
      </c>
      <c r="D925" t="str">
        <f>IF($A925&lt;&gt;"",'All Cases - Enter Cases'!D925,"")</f>
        <v/>
      </c>
      <c r="E925" t="str">
        <f>IF($A925&lt;&gt;"",'All Cases - Enter Cases'!E925,"")</f>
        <v/>
      </c>
      <c r="F925" t="str">
        <f>IF($A925&lt;&gt;"",'All Cases - Enter Cases'!F925,"")</f>
        <v/>
      </c>
      <c r="G925" t="str">
        <f>IF($A925&lt;&gt;"",'All Cases - Enter Cases'!G925,"")</f>
        <v/>
      </c>
      <c r="H925" t="str">
        <f>IF($A925&lt;&gt;"",'All Cases - Enter Cases'!H925,"")</f>
        <v/>
      </c>
      <c r="I925" t="str">
        <f>IF($A925&lt;&gt;"",'All Cases - Enter Cases'!I925,"")</f>
        <v/>
      </c>
      <c r="J925" t="str">
        <f>IF($A925&lt;&gt;"",'All Cases - Enter Cases'!J925,"")</f>
        <v/>
      </c>
      <c r="K925" t="str">
        <f>IF($A925&lt;&gt;"",'All Cases - Enter Cases'!K925,"")</f>
        <v/>
      </c>
      <c r="L925" t="str">
        <f>IF($A925&lt;&gt;"",'All Cases - Enter Cases'!L925,"")</f>
        <v/>
      </c>
      <c r="M925" t="str">
        <f>IF($A925&lt;&gt;"",'All Cases - Enter Cases'!M925,"")</f>
        <v/>
      </c>
    </row>
    <row r="926" spans="1:13" x14ac:dyDescent="0.35">
      <c r="A926" t="str">
        <f>IF('All Cases - Enter Cases'!$F926="KPK",'All Cases - Enter Cases'!A926,"")</f>
        <v/>
      </c>
      <c r="B926" t="str">
        <f>IF($A926&lt;&gt;"",'All Cases - Enter Cases'!B926,"")</f>
        <v/>
      </c>
      <c r="C926" t="str">
        <f>IF($A926&lt;&gt;"",'All Cases - Enter Cases'!C926,"")</f>
        <v/>
      </c>
      <c r="D926" t="str">
        <f>IF($A926&lt;&gt;"",'All Cases - Enter Cases'!D926,"")</f>
        <v/>
      </c>
      <c r="E926" t="str">
        <f>IF($A926&lt;&gt;"",'All Cases - Enter Cases'!E926,"")</f>
        <v/>
      </c>
      <c r="F926" t="str">
        <f>IF($A926&lt;&gt;"",'All Cases - Enter Cases'!F926,"")</f>
        <v/>
      </c>
      <c r="G926" t="str">
        <f>IF($A926&lt;&gt;"",'All Cases - Enter Cases'!G926,"")</f>
        <v/>
      </c>
      <c r="H926" t="str">
        <f>IF($A926&lt;&gt;"",'All Cases - Enter Cases'!H926,"")</f>
        <v/>
      </c>
      <c r="I926" t="str">
        <f>IF($A926&lt;&gt;"",'All Cases - Enter Cases'!I926,"")</f>
        <v/>
      </c>
      <c r="J926" t="str">
        <f>IF($A926&lt;&gt;"",'All Cases - Enter Cases'!J926,"")</f>
        <v/>
      </c>
      <c r="K926" t="str">
        <f>IF($A926&lt;&gt;"",'All Cases - Enter Cases'!K926,"")</f>
        <v/>
      </c>
      <c r="L926" t="str">
        <f>IF($A926&lt;&gt;"",'All Cases - Enter Cases'!L926,"")</f>
        <v/>
      </c>
      <c r="M926" t="str">
        <f>IF($A926&lt;&gt;"",'All Cases - Enter Cases'!M926,"")</f>
        <v/>
      </c>
    </row>
    <row r="927" spans="1:13" x14ac:dyDescent="0.35">
      <c r="A927" t="str">
        <f>IF('All Cases - Enter Cases'!$F927="KPK",'All Cases - Enter Cases'!A927,"")</f>
        <v/>
      </c>
      <c r="B927" t="str">
        <f>IF($A927&lt;&gt;"",'All Cases - Enter Cases'!B927,"")</f>
        <v/>
      </c>
      <c r="C927" t="str">
        <f>IF($A927&lt;&gt;"",'All Cases - Enter Cases'!C927,"")</f>
        <v/>
      </c>
      <c r="D927" t="str">
        <f>IF($A927&lt;&gt;"",'All Cases - Enter Cases'!D927,"")</f>
        <v/>
      </c>
      <c r="E927" t="str">
        <f>IF($A927&lt;&gt;"",'All Cases - Enter Cases'!E927,"")</f>
        <v/>
      </c>
      <c r="F927" t="str">
        <f>IF($A927&lt;&gt;"",'All Cases - Enter Cases'!F927,"")</f>
        <v/>
      </c>
      <c r="G927" t="str">
        <f>IF($A927&lt;&gt;"",'All Cases - Enter Cases'!G927,"")</f>
        <v/>
      </c>
      <c r="H927" t="str">
        <f>IF($A927&lt;&gt;"",'All Cases - Enter Cases'!H927,"")</f>
        <v/>
      </c>
      <c r="I927" t="str">
        <f>IF($A927&lt;&gt;"",'All Cases - Enter Cases'!I927,"")</f>
        <v/>
      </c>
      <c r="J927" t="str">
        <f>IF($A927&lt;&gt;"",'All Cases - Enter Cases'!J927,"")</f>
        <v/>
      </c>
      <c r="K927" t="str">
        <f>IF($A927&lt;&gt;"",'All Cases - Enter Cases'!K927,"")</f>
        <v/>
      </c>
      <c r="L927" t="str">
        <f>IF($A927&lt;&gt;"",'All Cases - Enter Cases'!L927,"")</f>
        <v/>
      </c>
      <c r="M927" t="str">
        <f>IF($A927&lt;&gt;"",'All Cases - Enter Cases'!M927,"")</f>
        <v/>
      </c>
    </row>
    <row r="928" spans="1:13" x14ac:dyDescent="0.35">
      <c r="A928" t="str">
        <f>IF('All Cases - Enter Cases'!$F928="KPK",'All Cases - Enter Cases'!A928,"")</f>
        <v/>
      </c>
      <c r="B928" t="str">
        <f>IF($A928&lt;&gt;"",'All Cases - Enter Cases'!B928,"")</f>
        <v/>
      </c>
      <c r="C928" t="str">
        <f>IF($A928&lt;&gt;"",'All Cases - Enter Cases'!C928,"")</f>
        <v/>
      </c>
      <c r="D928" t="str">
        <f>IF($A928&lt;&gt;"",'All Cases - Enter Cases'!D928,"")</f>
        <v/>
      </c>
      <c r="E928" t="str">
        <f>IF($A928&lt;&gt;"",'All Cases - Enter Cases'!E928,"")</f>
        <v/>
      </c>
      <c r="F928" t="str">
        <f>IF($A928&lt;&gt;"",'All Cases - Enter Cases'!F928,"")</f>
        <v/>
      </c>
      <c r="G928" t="str">
        <f>IF($A928&lt;&gt;"",'All Cases - Enter Cases'!G928,"")</f>
        <v/>
      </c>
      <c r="H928" t="str">
        <f>IF($A928&lt;&gt;"",'All Cases - Enter Cases'!H928,"")</f>
        <v/>
      </c>
      <c r="I928" t="str">
        <f>IF($A928&lt;&gt;"",'All Cases - Enter Cases'!I928,"")</f>
        <v/>
      </c>
      <c r="J928" t="str">
        <f>IF($A928&lt;&gt;"",'All Cases - Enter Cases'!J928,"")</f>
        <v/>
      </c>
      <c r="K928" t="str">
        <f>IF($A928&lt;&gt;"",'All Cases - Enter Cases'!K928,"")</f>
        <v/>
      </c>
      <c r="L928" t="str">
        <f>IF($A928&lt;&gt;"",'All Cases - Enter Cases'!L928,"")</f>
        <v/>
      </c>
      <c r="M928" t="str">
        <f>IF($A928&lt;&gt;"",'All Cases - Enter Cases'!M928,"")</f>
        <v/>
      </c>
    </row>
    <row r="929" spans="1:13" x14ac:dyDescent="0.35">
      <c r="A929" t="str">
        <f>IF('All Cases - Enter Cases'!$F929="KPK",'All Cases - Enter Cases'!A929,"")</f>
        <v/>
      </c>
      <c r="B929" t="str">
        <f>IF($A929&lt;&gt;"",'All Cases - Enter Cases'!B929,"")</f>
        <v/>
      </c>
      <c r="C929" t="str">
        <f>IF($A929&lt;&gt;"",'All Cases - Enter Cases'!C929,"")</f>
        <v/>
      </c>
      <c r="D929" t="str">
        <f>IF($A929&lt;&gt;"",'All Cases - Enter Cases'!D929,"")</f>
        <v/>
      </c>
      <c r="E929" t="str">
        <f>IF($A929&lt;&gt;"",'All Cases - Enter Cases'!E929,"")</f>
        <v/>
      </c>
      <c r="F929" t="str">
        <f>IF($A929&lt;&gt;"",'All Cases - Enter Cases'!F929,"")</f>
        <v/>
      </c>
      <c r="G929" t="str">
        <f>IF($A929&lt;&gt;"",'All Cases - Enter Cases'!G929,"")</f>
        <v/>
      </c>
      <c r="H929" t="str">
        <f>IF($A929&lt;&gt;"",'All Cases - Enter Cases'!H929,"")</f>
        <v/>
      </c>
      <c r="I929" t="str">
        <f>IF($A929&lt;&gt;"",'All Cases - Enter Cases'!I929,"")</f>
        <v/>
      </c>
      <c r="J929" t="str">
        <f>IF($A929&lt;&gt;"",'All Cases - Enter Cases'!J929,"")</f>
        <v/>
      </c>
      <c r="K929" t="str">
        <f>IF($A929&lt;&gt;"",'All Cases - Enter Cases'!K929,"")</f>
        <v/>
      </c>
      <c r="L929" t="str">
        <f>IF($A929&lt;&gt;"",'All Cases - Enter Cases'!L929,"")</f>
        <v/>
      </c>
      <c r="M929" t="str">
        <f>IF($A929&lt;&gt;"",'All Cases - Enter Cases'!M929,"")</f>
        <v/>
      </c>
    </row>
    <row r="930" spans="1:13" x14ac:dyDescent="0.35">
      <c r="A930" t="str">
        <f>IF('All Cases - Enter Cases'!$F930="KPK",'All Cases - Enter Cases'!A930,"")</f>
        <v/>
      </c>
      <c r="B930" t="str">
        <f>IF($A930&lt;&gt;"",'All Cases - Enter Cases'!B930,"")</f>
        <v/>
      </c>
      <c r="C930" t="str">
        <f>IF($A930&lt;&gt;"",'All Cases - Enter Cases'!C930,"")</f>
        <v/>
      </c>
      <c r="D930" t="str">
        <f>IF($A930&lt;&gt;"",'All Cases - Enter Cases'!D930,"")</f>
        <v/>
      </c>
      <c r="E930" t="str">
        <f>IF($A930&lt;&gt;"",'All Cases - Enter Cases'!E930,"")</f>
        <v/>
      </c>
      <c r="F930" t="str">
        <f>IF($A930&lt;&gt;"",'All Cases - Enter Cases'!F930,"")</f>
        <v/>
      </c>
      <c r="G930" t="str">
        <f>IF($A930&lt;&gt;"",'All Cases - Enter Cases'!G930,"")</f>
        <v/>
      </c>
      <c r="H930" t="str">
        <f>IF($A930&lt;&gt;"",'All Cases - Enter Cases'!H930,"")</f>
        <v/>
      </c>
      <c r="I930" t="str">
        <f>IF($A930&lt;&gt;"",'All Cases - Enter Cases'!I930,"")</f>
        <v/>
      </c>
      <c r="J930" t="str">
        <f>IF($A930&lt;&gt;"",'All Cases - Enter Cases'!J930,"")</f>
        <v/>
      </c>
      <c r="K930" t="str">
        <f>IF($A930&lt;&gt;"",'All Cases - Enter Cases'!K930,"")</f>
        <v/>
      </c>
      <c r="L930" t="str">
        <f>IF($A930&lt;&gt;"",'All Cases - Enter Cases'!L930,"")</f>
        <v/>
      </c>
      <c r="M930" t="str">
        <f>IF($A930&lt;&gt;"",'All Cases - Enter Cases'!M930,"")</f>
        <v/>
      </c>
    </row>
    <row r="931" spans="1:13" x14ac:dyDescent="0.35">
      <c r="A931" t="str">
        <f>IF('All Cases - Enter Cases'!$F931="KPK",'All Cases - Enter Cases'!A931,"")</f>
        <v/>
      </c>
      <c r="B931" t="str">
        <f>IF($A931&lt;&gt;"",'All Cases - Enter Cases'!B931,"")</f>
        <v/>
      </c>
      <c r="C931" t="str">
        <f>IF($A931&lt;&gt;"",'All Cases - Enter Cases'!C931,"")</f>
        <v/>
      </c>
      <c r="D931" t="str">
        <f>IF($A931&lt;&gt;"",'All Cases - Enter Cases'!D931,"")</f>
        <v/>
      </c>
      <c r="E931" t="str">
        <f>IF($A931&lt;&gt;"",'All Cases - Enter Cases'!E931,"")</f>
        <v/>
      </c>
      <c r="F931" t="str">
        <f>IF($A931&lt;&gt;"",'All Cases - Enter Cases'!F931,"")</f>
        <v/>
      </c>
      <c r="G931" t="str">
        <f>IF($A931&lt;&gt;"",'All Cases - Enter Cases'!G931,"")</f>
        <v/>
      </c>
      <c r="H931" t="str">
        <f>IF($A931&lt;&gt;"",'All Cases - Enter Cases'!H931,"")</f>
        <v/>
      </c>
      <c r="I931" t="str">
        <f>IF($A931&lt;&gt;"",'All Cases - Enter Cases'!I931,"")</f>
        <v/>
      </c>
      <c r="J931" t="str">
        <f>IF($A931&lt;&gt;"",'All Cases - Enter Cases'!J931,"")</f>
        <v/>
      </c>
      <c r="K931" t="str">
        <f>IF($A931&lt;&gt;"",'All Cases - Enter Cases'!K931,"")</f>
        <v/>
      </c>
      <c r="L931" t="str">
        <f>IF($A931&lt;&gt;"",'All Cases - Enter Cases'!L931,"")</f>
        <v/>
      </c>
      <c r="M931" t="str">
        <f>IF($A931&lt;&gt;"",'All Cases - Enter Cases'!M931,"")</f>
        <v/>
      </c>
    </row>
    <row r="932" spans="1:13" x14ac:dyDescent="0.35">
      <c r="A932" t="str">
        <f>IF('All Cases - Enter Cases'!$F932="KPK",'All Cases - Enter Cases'!A932,"")</f>
        <v/>
      </c>
      <c r="B932" t="str">
        <f>IF($A932&lt;&gt;"",'All Cases - Enter Cases'!B932,"")</f>
        <v/>
      </c>
      <c r="C932" t="str">
        <f>IF($A932&lt;&gt;"",'All Cases - Enter Cases'!C932,"")</f>
        <v/>
      </c>
      <c r="D932" t="str">
        <f>IF($A932&lt;&gt;"",'All Cases - Enter Cases'!D932,"")</f>
        <v/>
      </c>
      <c r="E932" t="str">
        <f>IF($A932&lt;&gt;"",'All Cases - Enter Cases'!E932,"")</f>
        <v/>
      </c>
      <c r="F932" t="str">
        <f>IF($A932&lt;&gt;"",'All Cases - Enter Cases'!F932,"")</f>
        <v/>
      </c>
      <c r="G932" t="str">
        <f>IF($A932&lt;&gt;"",'All Cases - Enter Cases'!G932,"")</f>
        <v/>
      </c>
      <c r="H932" t="str">
        <f>IF($A932&lt;&gt;"",'All Cases - Enter Cases'!H932,"")</f>
        <v/>
      </c>
      <c r="I932" t="str">
        <f>IF($A932&lt;&gt;"",'All Cases - Enter Cases'!I932,"")</f>
        <v/>
      </c>
      <c r="J932" t="str">
        <f>IF($A932&lt;&gt;"",'All Cases - Enter Cases'!J932,"")</f>
        <v/>
      </c>
      <c r="K932" t="str">
        <f>IF($A932&lt;&gt;"",'All Cases - Enter Cases'!K932,"")</f>
        <v/>
      </c>
      <c r="L932" t="str">
        <f>IF($A932&lt;&gt;"",'All Cases - Enter Cases'!L932,"")</f>
        <v/>
      </c>
      <c r="M932" t="str">
        <f>IF($A932&lt;&gt;"",'All Cases - Enter Cases'!M932,"")</f>
        <v/>
      </c>
    </row>
    <row r="933" spans="1:13" x14ac:dyDescent="0.35">
      <c r="A933" t="str">
        <f>IF('All Cases - Enter Cases'!$F933="KPK",'All Cases - Enter Cases'!A933,"")</f>
        <v/>
      </c>
      <c r="B933" t="str">
        <f>IF($A933&lt;&gt;"",'All Cases - Enter Cases'!B933,"")</f>
        <v/>
      </c>
      <c r="C933" t="str">
        <f>IF($A933&lt;&gt;"",'All Cases - Enter Cases'!C933,"")</f>
        <v/>
      </c>
      <c r="D933" t="str">
        <f>IF($A933&lt;&gt;"",'All Cases - Enter Cases'!D933,"")</f>
        <v/>
      </c>
      <c r="E933" t="str">
        <f>IF($A933&lt;&gt;"",'All Cases - Enter Cases'!E933,"")</f>
        <v/>
      </c>
      <c r="F933" t="str">
        <f>IF($A933&lt;&gt;"",'All Cases - Enter Cases'!F933,"")</f>
        <v/>
      </c>
      <c r="G933" t="str">
        <f>IF($A933&lt;&gt;"",'All Cases - Enter Cases'!G933,"")</f>
        <v/>
      </c>
      <c r="H933" t="str">
        <f>IF($A933&lt;&gt;"",'All Cases - Enter Cases'!H933,"")</f>
        <v/>
      </c>
      <c r="I933" t="str">
        <f>IF($A933&lt;&gt;"",'All Cases - Enter Cases'!I933,"")</f>
        <v/>
      </c>
      <c r="J933" t="str">
        <f>IF($A933&lt;&gt;"",'All Cases - Enter Cases'!J933,"")</f>
        <v/>
      </c>
      <c r="K933" t="str">
        <f>IF($A933&lt;&gt;"",'All Cases - Enter Cases'!K933,"")</f>
        <v/>
      </c>
      <c r="L933" t="str">
        <f>IF($A933&lt;&gt;"",'All Cases - Enter Cases'!L933,"")</f>
        <v/>
      </c>
      <c r="M933" t="str">
        <f>IF($A933&lt;&gt;"",'All Cases - Enter Cases'!M933,"")</f>
        <v/>
      </c>
    </row>
    <row r="934" spans="1:13" x14ac:dyDescent="0.35">
      <c r="A934" t="str">
        <f>IF('All Cases - Enter Cases'!$F934="KPK",'All Cases - Enter Cases'!A934,"")</f>
        <v/>
      </c>
      <c r="B934" t="str">
        <f>IF($A934&lt;&gt;"",'All Cases - Enter Cases'!B934,"")</f>
        <v/>
      </c>
      <c r="C934" t="str">
        <f>IF($A934&lt;&gt;"",'All Cases - Enter Cases'!C934,"")</f>
        <v/>
      </c>
      <c r="D934" t="str">
        <f>IF($A934&lt;&gt;"",'All Cases - Enter Cases'!D934,"")</f>
        <v/>
      </c>
      <c r="E934" t="str">
        <f>IF($A934&lt;&gt;"",'All Cases - Enter Cases'!E934,"")</f>
        <v/>
      </c>
      <c r="F934" t="str">
        <f>IF($A934&lt;&gt;"",'All Cases - Enter Cases'!F934,"")</f>
        <v/>
      </c>
      <c r="G934" t="str">
        <f>IF($A934&lt;&gt;"",'All Cases - Enter Cases'!G934,"")</f>
        <v/>
      </c>
      <c r="H934" t="str">
        <f>IF($A934&lt;&gt;"",'All Cases - Enter Cases'!H934,"")</f>
        <v/>
      </c>
      <c r="I934" t="str">
        <f>IF($A934&lt;&gt;"",'All Cases - Enter Cases'!I934,"")</f>
        <v/>
      </c>
      <c r="J934" t="str">
        <f>IF($A934&lt;&gt;"",'All Cases - Enter Cases'!J934,"")</f>
        <v/>
      </c>
      <c r="K934" t="str">
        <f>IF($A934&lt;&gt;"",'All Cases - Enter Cases'!K934,"")</f>
        <v/>
      </c>
      <c r="L934" t="str">
        <f>IF($A934&lt;&gt;"",'All Cases - Enter Cases'!L934,"")</f>
        <v/>
      </c>
      <c r="M934" t="str">
        <f>IF($A934&lt;&gt;"",'All Cases - Enter Cases'!M934,"")</f>
        <v/>
      </c>
    </row>
    <row r="935" spans="1:13" x14ac:dyDescent="0.35">
      <c r="A935" t="str">
        <f>IF('All Cases - Enter Cases'!$F935="KPK",'All Cases - Enter Cases'!A935,"")</f>
        <v/>
      </c>
      <c r="B935" t="str">
        <f>IF($A935&lt;&gt;"",'All Cases - Enter Cases'!B935,"")</f>
        <v/>
      </c>
      <c r="C935" t="str">
        <f>IF($A935&lt;&gt;"",'All Cases - Enter Cases'!C935,"")</f>
        <v/>
      </c>
      <c r="D935" t="str">
        <f>IF($A935&lt;&gt;"",'All Cases - Enter Cases'!D935,"")</f>
        <v/>
      </c>
      <c r="E935" t="str">
        <f>IF($A935&lt;&gt;"",'All Cases - Enter Cases'!E935,"")</f>
        <v/>
      </c>
      <c r="F935" t="str">
        <f>IF($A935&lt;&gt;"",'All Cases - Enter Cases'!F935,"")</f>
        <v/>
      </c>
      <c r="G935" t="str">
        <f>IF($A935&lt;&gt;"",'All Cases - Enter Cases'!G935,"")</f>
        <v/>
      </c>
      <c r="H935" t="str">
        <f>IF($A935&lt;&gt;"",'All Cases - Enter Cases'!H935,"")</f>
        <v/>
      </c>
      <c r="I935" t="str">
        <f>IF($A935&lt;&gt;"",'All Cases - Enter Cases'!I935,"")</f>
        <v/>
      </c>
      <c r="J935" t="str">
        <f>IF($A935&lt;&gt;"",'All Cases - Enter Cases'!J935,"")</f>
        <v/>
      </c>
      <c r="K935" t="str">
        <f>IF($A935&lt;&gt;"",'All Cases - Enter Cases'!K935,"")</f>
        <v/>
      </c>
      <c r="L935" t="str">
        <f>IF($A935&lt;&gt;"",'All Cases - Enter Cases'!L935,"")</f>
        <v/>
      </c>
      <c r="M935" t="str">
        <f>IF($A935&lt;&gt;"",'All Cases - Enter Cases'!M935,"")</f>
        <v/>
      </c>
    </row>
    <row r="936" spans="1:13" x14ac:dyDescent="0.35">
      <c r="A936" t="str">
        <f>IF('All Cases - Enter Cases'!$F936="KPK",'All Cases - Enter Cases'!A936,"")</f>
        <v/>
      </c>
      <c r="B936" t="str">
        <f>IF($A936&lt;&gt;"",'All Cases - Enter Cases'!B936,"")</f>
        <v/>
      </c>
      <c r="C936" t="str">
        <f>IF($A936&lt;&gt;"",'All Cases - Enter Cases'!C936,"")</f>
        <v/>
      </c>
      <c r="D936" t="str">
        <f>IF($A936&lt;&gt;"",'All Cases - Enter Cases'!D936,"")</f>
        <v/>
      </c>
      <c r="E936" t="str">
        <f>IF($A936&lt;&gt;"",'All Cases - Enter Cases'!E936,"")</f>
        <v/>
      </c>
      <c r="F936" t="str">
        <f>IF($A936&lt;&gt;"",'All Cases - Enter Cases'!F936,"")</f>
        <v/>
      </c>
      <c r="G936" t="str">
        <f>IF($A936&lt;&gt;"",'All Cases - Enter Cases'!G936,"")</f>
        <v/>
      </c>
      <c r="H936" t="str">
        <f>IF($A936&lt;&gt;"",'All Cases - Enter Cases'!H936,"")</f>
        <v/>
      </c>
      <c r="I936" t="str">
        <f>IF($A936&lt;&gt;"",'All Cases - Enter Cases'!I936,"")</f>
        <v/>
      </c>
      <c r="J936" t="str">
        <f>IF($A936&lt;&gt;"",'All Cases - Enter Cases'!J936,"")</f>
        <v/>
      </c>
      <c r="K936" t="str">
        <f>IF($A936&lt;&gt;"",'All Cases - Enter Cases'!K936,"")</f>
        <v/>
      </c>
      <c r="L936" t="str">
        <f>IF($A936&lt;&gt;"",'All Cases - Enter Cases'!L936,"")</f>
        <v/>
      </c>
      <c r="M936" t="str">
        <f>IF($A936&lt;&gt;"",'All Cases - Enter Cases'!M936,"")</f>
        <v/>
      </c>
    </row>
    <row r="937" spans="1:13" x14ac:dyDescent="0.35">
      <c r="A937" t="str">
        <f>IF('All Cases - Enter Cases'!$F937="KPK",'All Cases - Enter Cases'!A937,"")</f>
        <v/>
      </c>
      <c r="B937" t="str">
        <f>IF($A937&lt;&gt;"",'All Cases - Enter Cases'!B937,"")</f>
        <v/>
      </c>
      <c r="C937" t="str">
        <f>IF($A937&lt;&gt;"",'All Cases - Enter Cases'!C937,"")</f>
        <v/>
      </c>
      <c r="D937" t="str">
        <f>IF($A937&lt;&gt;"",'All Cases - Enter Cases'!D937,"")</f>
        <v/>
      </c>
      <c r="E937" t="str">
        <f>IF($A937&lt;&gt;"",'All Cases - Enter Cases'!E937,"")</f>
        <v/>
      </c>
      <c r="F937" t="str">
        <f>IF($A937&lt;&gt;"",'All Cases - Enter Cases'!F937,"")</f>
        <v/>
      </c>
      <c r="G937" t="str">
        <f>IF($A937&lt;&gt;"",'All Cases - Enter Cases'!G937,"")</f>
        <v/>
      </c>
      <c r="H937" t="str">
        <f>IF($A937&lt;&gt;"",'All Cases - Enter Cases'!H937,"")</f>
        <v/>
      </c>
      <c r="I937" t="str">
        <f>IF($A937&lt;&gt;"",'All Cases - Enter Cases'!I937,"")</f>
        <v/>
      </c>
      <c r="J937" t="str">
        <f>IF($A937&lt;&gt;"",'All Cases - Enter Cases'!J937,"")</f>
        <v/>
      </c>
      <c r="K937" t="str">
        <f>IF($A937&lt;&gt;"",'All Cases - Enter Cases'!K937,"")</f>
        <v/>
      </c>
      <c r="L937" t="str">
        <f>IF($A937&lt;&gt;"",'All Cases - Enter Cases'!L937,"")</f>
        <v/>
      </c>
      <c r="M937" t="str">
        <f>IF($A937&lt;&gt;"",'All Cases - Enter Cases'!M937,"")</f>
        <v/>
      </c>
    </row>
    <row r="938" spans="1:13" x14ac:dyDescent="0.35">
      <c r="A938" t="str">
        <f>IF('All Cases - Enter Cases'!$F938="KPK",'All Cases - Enter Cases'!A938,"")</f>
        <v/>
      </c>
      <c r="B938" t="str">
        <f>IF($A938&lt;&gt;"",'All Cases - Enter Cases'!B938,"")</f>
        <v/>
      </c>
      <c r="C938" t="str">
        <f>IF($A938&lt;&gt;"",'All Cases - Enter Cases'!C938,"")</f>
        <v/>
      </c>
      <c r="D938" t="str">
        <f>IF($A938&lt;&gt;"",'All Cases - Enter Cases'!D938,"")</f>
        <v/>
      </c>
      <c r="E938" t="str">
        <f>IF($A938&lt;&gt;"",'All Cases - Enter Cases'!E938,"")</f>
        <v/>
      </c>
      <c r="F938" t="str">
        <f>IF($A938&lt;&gt;"",'All Cases - Enter Cases'!F938,"")</f>
        <v/>
      </c>
      <c r="G938" t="str">
        <f>IF($A938&lt;&gt;"",'All Cases - Enter Cases'!G938,"")</f>
        <v/>
      </c>
      <c r="H938" t="str">
        <f>IF($A938&lt;&gt;"",'All Cases - Enter Cases'!H938,"")</f>
        <v/>
      </c>
      <c r="I938" t="str">
        <f>IF($A938&lt;&gt;"",'All Cases - Enter Cases'!I938,"")</f>
        <v/>
      </c>
      <c r="J938" t="str">
        <f>IF($A938&lt;&gt;"",'All Cases - Enter Cases'!J938,"")</f>
        <v/>
      </c>
      <c r="K938" t="str">
        <f>IF($A938&lt;&gt;"",'All Cases - Enter Cases'!K938,"")</f>
        <v/>
      </c>
      <c r="L938" t="str">
        <f>IF($A938&lt;&gt;"",'All Cases - Enter Cases'!L938,"")</f>
        <v/>
      </c>
      <c r="M938" t="str">
        <f>IF($A938&lt;&gt;"",'All Cases - Enter Cases'!M938,"")</f>
        <v/>
      </c>
    </row>
    <row r="939" spans="1:13" x14ac:dyDescent="0.35">
      <c r="A939" t="str">
        <f>IF('All Cases - Enter Cases'!$F939="KPK",'All Cases - Enter Cases'!A939,"")</f>
        <v/>
      </c>
      <c r="B939" t="str">
        <f>IF($A939&lt;&gt;"",'All Cases - Enter Cases'!B939,"")</f>
        <v/>
      </c>
      <c r="C939" t="str">
        <f>IF($A939&lt;&gt;"",'All Cases - Enter Cases'!C939,"")</f>
        <v/>
      </c>
      <c r="D939" t="str">
        <f>IF($A939&lt;&gt;"",'All Cases - Enter Cases'!D939,"")</f>
        <v/>
      </c>
      <c r="E939" t="str">
        <f>IF($A939&lt;&gt;"",'All Cases - Enter Cases'!E939,"")</f>
        <v/>
      </c>
      <c r="F939" t="str">
        <f>IF($A939&lt;&gt;"",'All Cases - Enter Cases'!F939,"")</f>
        <v/>
      </c>
      <c r="G939" t="str">
        <f>IF($A939&lt;&gt;"",'All Cases - Enter Cases'!G939,"")</f>
        <v/>
      </c>
      <c r="H939" t="str">
        <f>IF($A939&lt;&gt;"",'All Cases - Enter Cases'!H939,"")</f>
        <v/>
      </c>
      <c r="I939" t="str">
        <f>IF($A939&lt;&gt;"",'All Cases - Enter Cases'!I939,"")</f>
        <v/>
      </c>
      <c r="J939" t="str">
        <f>IF($A939&lt;&gt;"",'All Cases - Enter Cases'!J939,"")</f>
        <v/>
      </c>
      <c r="K939" t="str">
        <f>IF($A939&lt;&gt;"",'All Cases - Enter Cases'!K939,"")</f>
        <v/>
      </c>
      <c r="L939" t="str">
        <f>IF($A939&lt;&gt;"",'All Cases - Enter Cases'!L939,"")</f>
        <v/>
      </c>
      <c r="M939" t="str">
        <f>IF($A939&lt;&gt;"",'All Cases - Enter Cases'!M939,"")</f>
        <v/>
      </c>
    </row>
    <row r="940" spans="1:13" x14ac:dyDescent="0.35">
      <c r="A940" t="str">
        <f>IF('All Cases - Enter Cases'!$F940="KPK",'All Cases - Enter Cases'!A940,"")</f>
        <v/>
      </c>
      <c r="B940" t="str">
        <f>IF($A940&lt;&gt;"",'All Cases - Enter Cases'!B940,"")</f>
        <v/>
      </c>
      <c r="C940" t="str">
        <f>IF($A940&lt;&gt;"",'All Cases - Enter Cases'!C940,"")</f>
        <v/>
      </c>
      <c r="D940" t="str">
        <f>IF($A940&lt;&gt;"",'All Cases - Enter Cases'!D940,"")</f>
        <v/>
      </c>
      <c r="E940" t="str">
        <f>IF($A940&lt;&gt;"",'All Cases - Enter Cases'!E940,"")</f>
        <v/>
      </c>
      <c r="F940" t="str">
        <f>IF($A940&lt;&gt;"",'All Cases - Enter Cases'!F940,"")</f>
        <v/>
      </c>
      <c r="G940" t="str">
        <f>IF($A940&lt;&gt;"",'All Cases - Enter Cases'!G940,"")</f>
        <v/>
      </c>
      <c r="H940" t="str">
        <f>IF($A940&lt;&gt;"",'All Cases - Enter Cases'!H940,"")</f>
        <v/>
      </c>
      <c r="I940" t="str">
        <f>IF($A940&lt;&gt;"",'All Cases - Enter Cases'!I940,"")</f>
        <v/>
      </c>
      <c r="J940" t="str">
        <f>IF($A940&lt;&gt;"",'All Cases - Enter Cases'!J940,"")</f>
        <v/>
      </c>
      <c r="K940" t="str">
        <f>IF($A940&lt;&gt;"",'All Cases - Enter Cases'!K940,"")</f>
        <v/>
      </c>
      <c r="L940" t="str">
        <f>IF($A940&lt;&gt;"",'All Cases - Enter Cases'!L940,"")</f>
        <v/>
      </c>
      <c r="M940" t="str">
        <f>IF($A940&lt;&gt;"",'All Cases - Enter Cases'!M940,"")</f>
        <v/>
      </c>
    </row>
    <row r="941" spans="1:13" x14ac:dyDescent="0.35">
      <c r="A941" t="str">
        <f>IF('All Cases - Enter Cases'!$F941="KPK",'All Cases - Enter Cases'!A941,"")</f>
        <v/>
      </c>
      <c r="B941" t="str">
        <f>IF($A941&lt;&gt;"",'All Cases - Enter Cases'!B941,"")</f>
        <v/>
      </c>
      <c r="C941" t="str">
        <f>IF($A941&lt;&gt;"",'All Cases - Enter Cases'!C941,"")</f>
        <v/>
      </c>
      <c r="D941" t="str">
        <f>IF($A941&lt;&gt;"",'All Cases - Enter Cases'!D941,"")</f>
        <v/>
      </c>
      <c r="E941" t="str">
        <f>IF($A941&lt;&gt;"",'All Cases - Enter Cases'!E941,"")</f>
        <v/>
      </c>
      <c r="F941" t="str">
        <f>IF($A941&lt;&gt;"",'All Cases - Enter Cases'!F941,"")</f>
        <v/>
      </c>
      <c r="G941" t="str">
        <f>IF($A941&lt;&gt;"",'All Cases - Enter Cases'!G941,"")</f>
        <v/>
      </c>
      <c r="H941" t="str">
        <f>IF($A941&lt;&gt;"",'All Cases - Enter Cases'!H941,"")</f>
        <v/>
      </c>
      <c r="I941" t="str">
        <f>IF($A941&lt;&gt;"",'All Cases - Enter Cases'!I941,"")</f>
        <v/>
      </c>
      <c r="J941" t="str">
        <f>IF($A941&lt;&gt;"",'All Cases - Enter Cases'!J941,"")</f>
        <v/>
      </c>
      <c r="K941" t="str">
        <f>IF($A941&lt;&gt;"",'All Cases - Enter Cases'!K941,"")</f>
        <v/>
      </c>
      <c r="L941" t="str">
        <f>IF($A941&lt;&gt;"",'All Cases - Enter Cases'!L941,"")</f>
        <v/>
      </c>
      <c r="M941" t="str">
        <f>IF($A941&lt;&gt;"",'All Cases - Enter Cases'!M941,"")</f>
        <v/>
      </c>
    </row>
    <row r="942" spans="1:13" x14ac:dyDescent="0.35">
      <c r="A942" t="str">
        <f>IF('All Cases - Enter Cases'!$F942="KPK",'All Cases - Enter Cases'!A942,"")</f>
        <v/>
      </c>
      <c r="B942" t="str">
        <f>IF($A942&lt;&gt;"",'All Cases - Enter Cases'!B942,"")</f>
        <v/>
      </c>
      <c r="C942" t="str">
        <f>IF($A942&lt;&gt;"",'All Cases - Enter Cases'!C942,"")</f>
        <v/>
      </c>
      <c r="D942" t="str">
        <f>IF($A942&lt;&gt;"",'All Cases - Enter Cases'!D942,"")</f>
        <v/>
      </c>
      <c r="E942" t="str">
        <f>IF($A942&lt;&gt;"",'All Cases - Enter Cases'!E942,"")</f>
        <v/>
      </c>
      <c r="F942" t="str">
        <f>IF($A942&lt;&gt;"",'All Cases - Enter Cases'!F942,"")</f>
        <v/>
      </c>
      <c r="G942" t="str">
        <f>IF($A942&lt;&gt;"",'All Cases - Enter Cases'!G942,"")</f>
        <v/>
      </c>
      <c r="H942" t="str">
        <f>IF($A942&lt;&gt;"",'All Cases - Enter Cases'!H942,"")</f>
        <v/>
      </c>
      <c r="I942" t="str">
        <f>IF($A942&lt;&gt;"",'All Cases - Enter Cases'!I942,"")</f>
        <v/>
      </c>
      <c r="J942" t="str">
        <f>IF($A942&lt;&gt;"",'All Cases - Enter Cases'!J942,"")</f>
        <v/>
      </c>
      <c r="K942" t="str">
        <f>IF($A942&lt;&gt;"",'All Cases - Enter Cases'!K942,"")</f>
        <v/>
      </c>
      <c r="L942" t="str">
        <f>IF($A942&lt;&gt;"",'All Cases - Enter Cases'!L942,"")</f>
        <v/>
      </c>
      <c r="M942" t="str">
        <f>IF($A942&lt;&gt;"",'All Cases - Enter Cases'!M942,"")</f>
        <v/>
      </c>
    </row>
    <row r="943" spans="1:13" x14ac:dyDescent="0.35">
      <c r="A943" t="str">
        <f>IF('All Cases - Enter Cases'!$F943="KPK",'All Cases - Enter Cases'!A943,"")</f>
        <v/>
      </c>
      <c r="B943" t="str">
        <f>IF($A943&lt;&gt;"",'All Cases - Enter Cases'!B943,"")</f>
        <v/>
      </c>
      <c r="C943" t="str">
        <f>IF($A943&lt;&gt;"",'All Cases - Enter Cases'!C943,"")</f>
        <v/>
      </c>
      <c r="D943" t="str">
        <f>IF($A943&lt;&gt;"",'All Cases - Enter Cases'!D943,"")</f>
        <v/>
      </c>
      <c r="E943" t="str">
        <f>IF($A943&lt;&gt;"",'All Cases - Enter Cases'!E943,"")</f>
        <v/>
      </c>
      <c r="F943" t="str">
        <f>IF($A943&lt;&gt;"",'All Cases - Enter Cases'!F943,"")</f>
        <v/>
      </c>
      <c r="G943" t="str">
        <f>IF($A943&lt;&gt;"",'All Cases - Enter Cases'!G943,"")</f>
        <v/>
      </c>
      <c r="H943" t="str">
        <f>IF($A943&lt;&gt;"",'All Cases - Enter Cases'!H943,"")</f>
        <v/>
      </c>
      <c r="I943" t="str">
        <f>IF($A943&lt;&gt;"",'All Cases - Enter Cases'!I943,"")</f>
        <v/>
      </c>
      <c r="J943" t="str">
        <f>IF($A943&lt;&gt;"",'All Cases - Enter Cases'!J943,"")</f>
        <v/>
      </c>
      <c r="K943" t="str">
        <f>IF($A943&lt;&gt;"",'All Cases - Enter Cases'!K943,"")</f>
        <v/>
      </c>
      <c r="L943" t="str">
        <f>IF($A943&lt;&gt;"",'All Cases - Enter Cases'!L943,"")</f>
        <v/>
      </c>
      <c r="M943" t="str">
        <f>IF($A943&lt;&gt;"",'All Cases - Enter Cases'!M943,"")</f>
        <v/>
      </c>
    </row>
    <row r="944" spans="1:13" x14ac:dyDescent="0.35">
      <c r="A944" t="str">
        <f>IF('All Cases - Enter Cases'!$F944="KPK",'All Cases - Enter Cases'!A944,"")</f>
        <v/>
      </c>
      <c r="B944" t="str">
        <f>IF($A944&lt;&gt;"",'All Cases - Enter Cases'!B944,"")</f>
        <v/>
      </c>
      <c r="C944" t="str">
        <f>IF($A944&lt;&gt;"",'All Cases - Enter Cases'!C944,"")</f>
        <v/>
      </c>
      <c r="D944" t="str">
        <f>IF($A944&lt;&gt;"",'All Cases - Enter Cases'!D944,"")</f>
        <v/>
      </c>
      <c r="E944" t="str">
        <f>IF($A944&lt;&gt;"",'All Cases - Enter Cases'!E944,"")</f>
        <v/>
      </c>
      <c r="F944" t="str">
        <f>IF($A944&lt;&gt;"",'All Cases - Enter Cases'!F944,"")</f>
        <v/>
      </c>
      <c r="G944" t="str">
        <f>IF($A944&lt;&gt;"",'All Cases - Enter Cases'!G944,"")</f>
        <v/>
      </c>
      <c r="H944" t="str">
        <f>IF($A944&lt;&gt;"",'All Cases - Enter Cases'!H944,"")</f>
        <v/>
      </c>
      <c r="I944" t="str">
        <f>IF($A944&lt;&gt;"",'All Cases - Enter Cases'!I944,"")</f>
        <v/>
      </c>
      <c r="J944" t="str">
        <f>IF($A944&lt;&gt;"",'All Cases - Enter Cases'!J944,"")</f>
        <v/>
      </c>
      <c r="K944" t="str">
        <f>IF($A944&lt;&gt;"",'All Cases - Enter Cases'!K944,"")</f>
        <v/>
      </c>
      <c r="L944" t="str">
        <f>IF($A944&lt;&gt;"",'All Cases - Enter Cases'!L944,"")</f>
        <v/>
      </c>
      <c r="M944" t="str">
        <f>IF($A944&lt;&gt;"",'All Cases - Enter Cases'!M944,"")</f>
        <v/>
      </c>
    </row>
    <row r="945" spans="1:13" x14ac:dyDescent="0.35">
      <c r="A945" t="str">
        <f>IF('All Cases - Enter Cases'!$F945="KPK",'All Cases - Enter Cases'!A945,"")</f>
        <v/>
      </c>
      <c r="B945" t="str">
        <f>IF($A945&lt;&gt;"",'All Cases - Enter Cases'!B945,"")</f>
        <v/>
      </c>
      <c r="C945" t="str">
        <f>IF($A945&lt;&gt;"",'All Cases - Enter Cases'!C945,"")</f>
        <v/>
      </c>
      <c r="D945" t="str">
        <f>IF($A945&lt;&gt;"",'All Cases - Enter Cases'!D945,"")</f>
        <v/>
      </c>
      <c r="E945" t="str">
        <f>IF($A945&lt;&gt;"",'All Cases - Enter Cases'!E945,"")</f>
        <v/>
      </c>
      <c r="F945" t="str">
        <f>IF($A945&lt;&gt;"",'All Cases - Enter Cases'!F945,"")</f>
        <v/>
      </c>
      <c r="G945" t="str">
        <f>IF($A945&lt;&gt;"",'All Cases - Enter Cases'!G945,"")</f>
        <v/>
      </c>
      <c r="H945" t="str">
        <f>IF($A945&lt;&gt;"",'All Cases - Enter Cases'!H945,"")</f>
        <v/>
      </c>
      <c r="I945" t="str">
        <f>IF($A945&lt;&gt;"",'All Cases - Enter Cases'!I945,"")</f>
        <v/>
      </c>
      <c r="J945" t="str">
        <f>IF($A945&lt;&gt;"",'All Cases - Enter Cases'!J945,"")</f>
        <v/>
      </c>
      <c r="K945" t="str">
        <f>IF($A945&lt;&gt;"",'All Cases - Enter Cases'!K945,"")</f>
        <v/>
      </c>
      <c r="L945" t="str">
        <f>IF($A945&lt;&gt;"",'All Cases - Enter Cases'!L945,"")</f>
        <v/>
      </c>
      <c r="M945" t="str">
        <f>IF($A945&lt;&gt;"",'All Cases - Enter Cases'!M945,"")</f>
        <v/>
      </c>
    </row>
    <row r="946" spans="1:13" x14ac:dyDescent="0.35">
      <c r="A946" t="str">
        <f>IF('All Cases - Enter Cases'!$F946="KPK",'All Cases - Enter Cases'!A946,"")</f>
        <v/>
      </c>
      <c r="B946" t="str">
        <f>IF($A946&lt;&gt;"",'All Cases - Enter Cases'!B946,"")</f>
        <v/>
      </c>
      <c r="C946" t="str">
        <f>IF($A946&lt;&gt;"",'All Cases - Enter Cases'!C946,"")</f>
        <v/>
      </c>
      <c r="D946" t="str">
        <f>IF($A946&lt;&gt;"",'All Cases - Enter Cases'!D946,"")</f>
        <v/>
      </c>
      <c r="E946" t="str">
        <f>IF($A946&lt;&gt;"",'All Cases - Enter Cases'!E946,"")</f>
        <v/>
      </c>
      <c r="F946" t="str">
        <f>IF($A946&lt;&gt;"",'All Cases - Enter Cases'!F946,"")</f>
        <v/>
      </c>
      <c r="G946" t="str">
        <f>IF($A946&lt;&gt;"",'All Cases - Enter Cases'!G946,"")</f>
        <v/>
      </c>
      <c r="H946" t="str">
        <f>IF($A946&lt;&gt;"",'All Cases - Enter Cases'!H946,"")</f>
        <v/>
      </c>
      <c r="I946" t="str">
        <f>IF($A946&lt;&gt;"",'All Cases - Enter Cases'!I946,"")</f>
        <v/>
      </c>
      <c r="J946" t="str">
        <f>IF($A946&lt;&gt;"",'All Cases - Enter Cases'!J946,"")</f>
        <v/>
      </c>
      <c r="K946" t="str">
        <f>IF($A946&lt;&gt;"",'All Cases - Enter Cases'!K946,"")</f>
        <v/>
      </c>
      <c r="L946" t="str">
        <f>IF($A946&lt;&gt;"",'All Cases - Enter Cases'!L946,"")</f>
        <v/>
      </c>
      <c r="M946" t="str">
        <f>IF($A946&lt;&gt;"",'All Cases - Enter Cases'!M946,"")</f>
        <v/>
      </c>
    </row>
    <row r="947" spans="1:13" x14ac:dyDescent="0.35">
      <c r="A947" t="str">
        <f>IF('All Cases - Enter Cases'!$F947="KPK",'All Cases - Enter Cases'!A947,"")</f>
        <v/>
      </c>
      <c r="B947" t="str">
        <f>IF($A947&lt;&gt;"",'All Cases - Enter Cases'!B947,"")</f>
        <v/>
      </c>
      <c r="C947" t="str">
        <f>IF($A947&lt;&gt;"",'All Cases - Enter Cases'!C947,"")</f>
        <v/>
      </c>
      <c r="D947" t="str">
        <f>IF($A947&lt;&gt;"",'All Cases - Enter Cases'!D947,"")</f>
        <v/>
      </c>
      <c r="E947" t="str">
        <f>IF($A947&lt;&gt;"",'All Cases - Enter Cases'!E947,"")</f>
        <v/>
      </c>
      <c r="F947" t="str">
        <f>IF($A947&lt;&gt;"",'All Cases - Enter Cases'!F947,"")</f>
        <v/>
      </c>
      <c r="G947" t="str">
        <f>IF($A947&lt;&gt;"",'All Cases - Enter Cases'!G947,"")</f>
        <v/>
      </c>
      <c r="H947" t="str">
        <f>IF($A947&lt;&gt;"",'All Cases - Enter Cases'!H947,"")</f>
        <v/>
      </c>
      <c r="I947" t="str">
        <f>IF($A947&lt;&gt;"",'All Cases - Enter Cases'!I947,"")</f>
        <v/>
      </c>
      <c r="J947" t="str">
        <f>IF($A947&lt;&gt;"",'All Cases - Enter Cases'!J947,"")</f>
        <v/>
      </c>
      <c r="K947" t="str">
        <f>IF($A947&lt;&gt;"",'All Cases - Enter Cases'!K947,"")</f>
        <v/>
      </c>
      <c r="L947" t="str">
        <f>IF($A947&lt;&gt;"",'All Cases - Enter Cases'!L947,"")</f>
        <v/>
      </c>
      <c r="M947" t="str">
        <f>IF($A947&lt;&gt;"",'All Cases - Enter Cases'!M947,"")</f>
        <v/>
      </c>
    </row>
    <row r="948" spans="1:13" x14ac:dyDescent="0.35">
      <c r="A948" t="str">
        <f>IF('All Cases - Enter Cases'!$F948="KPK",'All Cases - Enter Cases'!A948,"")</f>
        <v/>
      </c>
      <c r="B948" t="str">
        <f>IF($A948&lt;&gt;"",'All Cases - Enter Cases'!B948,"")</f>
        <v/>
      </c>
      <c r="C948" t="str">
        <f>IF($A948&lt;&gt;"",'All Cases - Enter Cases'!C948,"")</f>
        <v/>
      </c>
      <c r="D948" t="str">
        <f>IF($A948&lt;&gt;"",'All Cases - Enter Cases'!D948,"")</f>
        <v/>
      </c>
      <c r="E948" t="str">
        <f>IF($A948&lt;&gt;"",'All Cases - Enter Cases'!E948,"")</f>
        <v/>
      </c>
      <c r="F948" t="str">
        <f>IF($A948&lt;&gt;"",'All Cases - Enter Cases'!F948,"")</f>
        <v/>
      </c>
      <c r="G948" t="str">
        <f>IF($A948&lt;&gt;"",'All Cases - Enter Cases'!G948,"")</f>
        <v/>
      </c>
      <c r="H948" t="str">
        <f>IF($A948&lt;&gt;"",'All Cases - Enter Cases'!H948,"")</f>
        <v/>
      </c>
      <c r="I948" t="str">
        <f>IF($A948&lt;&gt;"",'All Cases - Enter Cases'!I948,"")</f>
        <v/>
      </c>
      <c r="J948" t="str">
        <f>IF($A948&lt;&gt;"",'All Cases - Enter Cases'!J948,"")</f>
        <v/>
      </c>
      <c r="K948" t="str">
        <f>IF($A948&lt;&gt;"",'All Cases - Enter Cases'!K948,"")</f>
        <v/>
      </c>
      <c r="L948" t="str">
        <f>IF($A948&lt;&gt;"",'All Cases - Enter Cases'!L948,"")</f>
        <v/>
      </c>
      <c r="M948" t="str">
        <f>IF($A948&lt;&gt;"",'All Cases - Enter Cases'!M948,"")</f>
        <v/>
      </c>
    </row>
    <row r="949" spans="1:13" x14ac:dyDescent="0.35">
      <c r="A949" t="str">
        <f>IF('All Cases - Enter Cases'!$F949="KPK",'All Cases - Enter Cases'!A949,"")</f>
        <v/>
      </c>
      <c r="B949" t="str">
        <f>IF($A949&lt;&gt;"",'All Cases - Enter Cases'!B949,"")</f>
        <v/>
      </c>
      <c r="C949" t="str">
        <f>IF($A949&lt;&gt;"",'All Cases - Enter Cases'!C949,"")</f>
        <v/>
      </c>
      <c r="D949" t="str">
        <f>IF($A949&lt;&gt;"",'All Cases - Enter Cases'!D949,"")</f>
        <v/>
      </c>
      <c r="E949" t="str">
        <f>IF($A949&lt;&gt;"",'All Cases - Enter Cases'!E949,"")</f>
        <v/>
      </c>
      <c r="F949" t="str">
        <f>IF($A949&lt;&gt;"",'All Cases - Enter Cases'!F949,"")</f>
        <v/>
      </c>
      <c r="G949" t="str">
        <f>IF($A949&lt;&gt;"",'All Cases - Enter Cases'!G949,"")</f>
        <v/>
      </c>
      <c r="H949" t="str">
        <f>IF($A949&lt;&gt;"",'All Cases - Enter Cases'!H949,"")</f>
        <v/>
      </c>
      <c r="I949" t="str">
        <f>IF($A949&lt;&gt;"",'All Cases - Enter Cases'!I949,"")</f>
        <v/>
      </c>
      <c r="J949" t="str">
        <f>IF($A949&lt;&gt;"",'All Cases - Enter Cases'!J949,"")</f>
        <v/>
      </c>
      <c r="K949" t="str">
        <f>IF($A949&lt;&gt;"",'All Cases - Enter Cases'!K949,"")</f>
        <v/>
      </c>
      <c r="L949" t="str">
        <f>IF($A949&lt;&gt;"",'All Cases - Enter Cases'!L949,"")</f>
        <v/>
      </c>
      <c r="M949" t="str">
        <f>IF($A949&lt;&gt;"",'All Cases - Enter Cases'!M949,"")</f>
        <v/>
      </c>
    </row>
    <row r="950" spans="1:13" x14ac:dyDescent="0.35">
      <c r="A950" t="str">
        <f>IF('All Cases - Enter Cases'!$F950="KPK",'All Cases - Enter Cases'!A950,"")</f>
        <v/>
      </c>
      <c r="B950" t="str">
        <f>IF($A950&lt;&gt;"",'All Cases - Enter Cases'!B950,"")</f>
        <v/>
      </c>
      <c r="C950" t="str">
        <f>IF($A950&lt;&gt;"",'All Cases - Enter Cases'!C950,"")</f>
        <v/>
      </c>
      <c r="D950" t="str">
        <f>IF($A950&lt;&gt;"",'All Cases - Enter Cases'!D950,"")</f>
        <v/>
      </c>
      <c r="E950" t="str">
        <f>IF($A950&lt;&gt;"",'All Cases - Enter Cases'!E950,"")</f>
        <v/>
      </c>
      <c r="F950" t="str">
        <f>IF($A950&lt;&gt;"",'All Cases - Enter Cases'!F950,"")</f>
        <v/>
      </c>
      <c r="G950" t="str">
        <f>IF($A950&lt;&gt;"",'All Cases - Enter Cases'!G950,"")</f>
        <v/>
      </c>
      <c r="H950" t="str">
        <f>IF($A950&lt;&gt;"",'All Cases - Enter Cases'!H950,"")</f>
        <v/>
      </c>
      <c r="I950" t="str">
        <f>IF($A950&lt;&gt;"",'All Cases - Enter Cases'!I950,"")</f>
        <v/>
      </c>
      <c r="J950" t="str">
        <f>IF($A950&lt;&gt;"",'All Cases - Enter Cases'!J950,"")</f>
        <v/>
      </c>
      <c r="K950" t="str">
        <f>IF($A950&lt;&gt;"",'All Cases - Enter Cases'!K950,"")</f>
        <v/>
      </c>
      <c r="L950" t="str">
        <f>IF($A950&lt;&gt;"",'All Cases - Enter Cases'!L950,"")</f>
        <v/>
      </c>
      <c r="M950" t="str">
        <f>IF($A950&lt;&gt;"",'All Cases - Enter Cases'!M950,"")</f>
        <v/>
      </c>
    </row>
    <row r="951" spans="1:13" x14ac:dyDescent="0.35">
      <c r="A951" t="str">
        <f>IF('All Cases - Enter Cases'!$F951="KPK",'All Cases - Enter Cases'!A951,"")</f>
        <v/>
      </c>
      <c r="B951" t="str">
        <f>IF($A951&lt;&gt;"",'All Cases - Enter Cases'!B951,"")</f>
        <v/>
      </c>
      <c r="C951" t="str">
        <f>IF($A951&lt;&gt;"",'All Cases - Enter Cases'!C951,"")</f>
        <v/>
      </c>
      <c r="D951" t="str">
        <f>IF($A951&lt;&gt;"",'All Cases - Enter Cases'!D951,"")</f>
        <v/>
      </c>
      <c r="E951" t="str">
        <f>IF($A951&lt;&gt;"",'All Cases - Enter Cases'!E951,"")</f>
        <v/>
      </c>
      <c r="F951" t="str">
        <f>IF($A951&lt;&gt;"",'All Cases - Enter Cases'!F951,"")</f>
        <v/>
      </c>
      <c r="G951" t="str">
        <f>IF($A951&lt;&gt;"",'All Cases - Enter Cases'!G951,"")</f>
        <v/>
      </c>
      <c r="H951" t="str">
        <f>IF($A951&lt;&gt;"",'All Cases - Enter Cases'!H951,"")</f>
        <v/>
      </c>
      <c r="I951" t="str">
        <f>IF($A951&lt;&gt;"",'All Cases - Enter Cases'!I951,"")</f>
        <v/>
      </c>
      <c r="J951" t="str">
        <f>IF($A951&lt;&gt;"",'All Cases - Enter Cases'!J951,"")</f>
        <v/>
      </c>
      <c r="K951" t="str">
        <f>IF($A951&lt;&gt;"",'All Cases - Enter Cases'!K951,"")</f>
        <v/>
      </c>
      <c r="L951" t="str">
        <f>IF($A951&lt;&gt;"",'All Cases - Enter Cases'!L951,"")</f>
        <v/>
      </c>
      <c r="M951" t="str">
        <f>IF($A951&lt;&gt;"",'All Cases - Enter Cases'!M951,"")</f>
        <v/>
      </c>
    </row>
    <row r="952" spans="1:13" x14ac:dyDescent="0.35">
      <c r="A952" t="str">
        <f>IF('All Cases - Enter Cases'!$F952="KPK",'All Cases - Enter Cases'!A952,"")</f>
        <v/>
      </c>
      <c r="B952" t="str">
        <f>IF($A952&lt;&gt;"",'All Cases - Enter Cases'!B952,"")</f>
        <v/>
      </c>
      <c r="C952" t="str">
        <f>IF($A952&lt;&gt;"",'All Cases - Enter Cases'!C952,"")</f>
        <v/>
      </c>
      <c r="D952" t="str">
        <f>IF($A952&lt;&gt;"",'All Cases - Enter Cases'!D952,"")</f>
        <v/>
      </c>
      <c r="E952" t="str">
        <f>IF($A952&lt;&gt;"",'All Cases - Enter Cases'!E952,"")</f>
        <v/>
      </c>
      <c r="F952" t="str">
        <f>IF($A952&lt;&gt;"",'All Cases - Enter Cases'!F952,"")</f>
        <v/>
      </c>
      <c r="G952" t="str">
        <f>IF($A952&lt;&gt;"",'All Cases - Enter Cases'!G952,"")</f>
        <v/>
      </c>
      <c r="H952" t="str">
        <f>IF($A952&lt;&gt;"",'All Cases - Enter Cases'!H952,"")</f>
        <v/>
      </c>
      <c r="I952" t="str">
        <f>IF($A952&lt;&gt;"",'All Cases - Enter Cases'!I952,"")</f>
        <v/>
      </c>
      <c r="J952" t="str">
        <f>IF($A952&lt;&gt;"",'All Cases - Enter Cases'!J952,"")</f>
        <v/>
      </c>
      <c r="K952" t="str">
        <f>IF($A952&lt;&gt;"",'All Cases - Enter Cases'!K952,"")</f>
        <v/>
      </c>
      <c r="L952" t="str">
        <f>IF($A952&lt;&gt;"",'All Cases - Enter Cases'!L952,"")</f>
        <v/>
      </c>
      <c r="M952" t="str">
        <f>IF($A952&lt;&gt;"",'All Cases - Enter Cases'!M952,"")</f>
        <v/>
      </c>
    </row>
    <row r="953" spans="1:13" x14ac:dyDescent="0.35">
      <c r="A953" t="str">
        <f>IF('All Cases - Enter Cases'!$F953="KPK",'All Cases - Enter Cases'!A953,"")</f>
        <v/>
      </c>
      <c r="B953" t="str">
        <f>IF($A953&lt;&gt;"",'All Cases - Enter Cases'!B953,"")</f>
        <v/>
      </c>
      <c r="C953" t="str">
        <f>IF($A953&lt;&gt;"",'All Cases - Enter Cases'!C953,"")</f>
        <v/>
      </c>
      <c r="D953" t="str">
        <f>IF($A953&lt;&gt;"",'All Cases - Enter Cases'!D953,"")</f>
        <v/>
      </c>
      <c r="E953" t="str">
        <f>IF($A953&lt;&gt;"",'All Cases - Enter Cases'!E953,"")</f>
        <v/>
      </c>
      <c r="F953" t="str">
        <f>IF($A953&lt;&gt;"",'All Cases - Enter Cases'!F953,"")</f>
        <v/>
      </c>
      <c r="G953" t="str">
        <f>IF($A953&lt;&gt;"",'All Cases - Enter Cases'!G953,"")</f>
        <v/>
      </c>
      <c r="H953" t="str">
        <f>IF($A953&lt;&gt;"",'All Cases - Enter Cases'!H953,"")</f>
        <v/>
      </c>
      <c r="I953" t="str">
        <f>IF($A953&lt;&gt;"",'All Cases - Enter Cases'!I953,"")</f>
        <v/>
      </c>
      <c r="J953" t="str">
        <f>IF($A953&lt;&gt;"",'All Cases - Enter Cases'!J953,"")</f>
        <v/>
      </c>
      <c r="K953" t="str">
        <f>IF($A953&lt;&gt;"",'All Cases - Enter Cases'!K953,"")</f>
        <v/>
      </c>
      <c r="L953" t="str">
        <f>IF($A953&lt;&gt;"",'All Cases - Enter Cases'!L953,"")</f>
        <v/>
      </c>
      <c r="M953" t="str">
        <f>IF($A953&lt;&gt;"",'All Cases - Enter Cases'!M953,"")</f>
        <v/>
      </c>
    </row>
    <row r="954" spans="1:13" x14ac:dyDescent="0.35">
      <c r="A954" t="str">
        <f>IF('All Cases - Enter Cases'!$F954="KPK",'All Cases - Enter Cases'!A954,"")</f>
        <v/>
      </c>
      <c r="B954" t="str">
        <f>IF($A954&lt;&gt;"",'All Cases - Enter Cases'!B954,"")</f>
        <v/>
      </c>
      <c r="C954" t="str">
        <f>IF($A954&lt;&gt;"",'All Cases - Enter Cases'!C954,"")</f>
        <v/>
      </c>
      <c r="D954" t="str">
        <f>IF($A954&lt;&gt;"",'All Cases - Enter Cases'!D954,"")</f>
        <v/>
      </c>
      <c r="E954" t="str">
        <f>IF($A954&lt;&gt;"",'All Cases - Enter Cases'!E954,"")</f>
        <v/>
      </c>
      <c r="F954" t="str">
        <f>IF($A954&lt;&gt;"",'All Cases - Enter Cases'!F954,"")</f>
        <v/>
      </c>
      <c r="G954" t="str">
        <f>IF($A954&lt;&gt;"",'All Cases - Enter Cases'!G954,"")</f>
        <v/>
      </c>
      <c r="H954" t="str">
        <f>IF($A954&lt;&gt;"",'All Cases - Enter Cases'!H954,"")</f>
        <v/>
      </c>
      <c r="I954" t="str">
        <f>IF($A954&lt;&gt;"",'All Cases - Enter Cases'!I954,"")</f>
        <v/>
      </c>
      <c r="J954" t="str">
        <f>IF($A954&lt;&gt;"",'All Cases - Enter Cases'!J954,"")</f>
        <v/>
      </c>
      <c r="K954" t="str">
        <f>IF($A954&lt;&gt;"",'All Cases - Enter Cases'!K954,"")</f>
        <v/>
      </c>
      <c r="L954" t="str">
        <f>IF($A954&lt;&gt;"",'All Cases - Enter Cases'!L954,"")</f>
        <v/>
      </c>
      <c r="M954" t="str">
        <f>IF($A954&lt;&gt;"",'All Cases - Enter Cases'!M954,"")</f>
        <v/>
      </c>
    </row>
    <row r="955" spans="1:13" x14ac:dyDescent="0.35">
      <c r="A955" t="str">
        <f>IF('All Cases - Enter Cases'!$F955="KPK",'All Cases - Enter Cases'!A955,"")</f>
        <v/>
      </c>
      <c r="B955" t="str">
        <f>IF($A955&lt;&gt;"",'All Cases - Enter Cases'!B955,"")</f>
        <v/>
      </c>
      <c r="C955" t="str">
        <f>IF($A955&lt;&gt;"",'All Cases - Enter Cases'!C955,"")</f>
        <v/>
      </c>
      <c r="D955" t="str">
        <f>IF($A955&lt;&gt;"",'All Cases - Enter Cases'!D955,"")</f>
        <v/>
      </c>
      <c r="E955" t="str">
        <f>IF($A955&lt;&gt;"",'All Cases - Enter Cases'!E955,"")</f>
        <v/>
      </c>
      <c r="F955" t="str">
        <f>IF($A955&lt;&gt;"",'All Cases - Enter Cases'!F955,"")</f>
        <v/>
      </c>
      <c r="G955" t="str">
        <f>IF($A955&lt;&gt;"",'All Cases - Enter Cases'!G955,"")</f>
        <v/>
      </c>
      <c r="H955" t="str">
        <f>IF($A955&lt;&gt;"",'All Cases - Enter Cases'!H955,"")</f>
        <v/>
      </c>
      <c r="I955" t="str">
        <f>IF($A955&lt;&gt;"",'All Cases - Enter Cases'!I955,"")</f>
        <v/>
      </c>
      <c r="J955" t="str">
        <f>IF($A955&lt;&gt;"",'All Cases - Enter Cases'!J955,"")</f>
        <v/>
      </c>
      <c r="K955" t="str">
        <f>IF($A955&lt;&gt;"",'All Cases - Enter Cases'!K955,"")</f>
        <v/>
      </c>
      <c r="L955" t="str">
        <f>IF($A955&lt;&gt;"",'All Cases - Enter Cases'!L955,"")</f>
        <v/>
      </c>
      <c r="M955" t="str">
        <f>IF($A955&lt;&gt;"",'All Cases - Enter Cases'!M955,"")</f>
        <v/>
      </c>
    </row>
    <row r="956" spans="1:13" x14ac:dyDescent="0.35">
      <c r="A956" t="str">
        <f>IF('All Cases - Enter Cases'!$F956="KPK",'All Cases - Enter Cases'!A956,"")</f>
        <v/>
      </c>
      <c r="B956" t="str">
        <f>IF($A956&lt;&gt;"",'All Cases - Enter Cases'!B956,"")</f>
        <v/>
      </c>
      <c r="C956" t="str">
        <f>IF($A956&lt;&gt;"",'All Cases - Enter Cases'!C956,"")</f>
        <v/>
      </c>
      <c r="D956" t="str">
        <f>IF($A956&lt;&gt;"",'All Cases - Enter Cases'!D956,"")</f>
        <v/>
      </c>
      <c r="E956" t="str">
        <f>IF($A956&lt;&gt;"",'All Cases - Enter Cases'!E956,"")</f>
        <v/>
      </c>
      <c r="F956" t="str">
        <f>IF($A956&lt;&gt;"",'All Cases - Enter Cases'!F956,"")</f>
        <v/>
      </c>
      <c r="G956" t="str">
        <f>IF($A956&lt;&gt;"",'All Cases - Enter Cases'!G956,"")</f>
        <v/>
      </c>
      <c r="H956" t="str">
        <f>IF($A956&lt;&gt;"",'All Cases - Enter Cases'!H956,"")</f>
        <v/>
      </c>
      <c r="I956" t="str">
        <f>IF($A956&lt;&gt;"",'All Cases - Enter Cases'!I956,"")</f>
        <v/>
      </c>
      <c r="J956" t="str">
        <f>IF($A956&lt;&gt;"",'All Cases - Enter Cases'!J956,"")</f>
        <v/>
      </c>
      <c r="K956" t="str">
        <f>IF($A956&lt;&gt;"",'All Cases - Enter Cases'!K956,"")</f>
        <v/>
      </c>
      <c r="L956" t="str">
        <f>IF($A956&lt;&gt;"",'All Cases - Enter Cases'!L956,"")</f>
        <v/>
      </c>
      <c r="M956" t="str">
        <f>IF($A956&lt;&gt;"",'All Cases - Enter Cases'!M956,"")</f>
        <v/>
      </c>
    </row>
    <row r="957" spans="1:13" x14ac:dyDescent="0.35">
      <c r="A957" t="str">
        <f>IF('All Cases - Enter Cases'!$F957="KPK",'All Cases - Enter Cases'!A957,"")</f>
        <v/>
      </c>
      <c r="B957" t="str">
        <f>IF($A957&lt;&gt;"",'All Cases - Enter Cases'!B957,"")</f>
        <v/>
      </c>
      <c r="C957" t="str">
        <f>IF($A957&lt;&gt;"",'All Cases - Enter Cases'!C957,"")</f>
        <v/>
      </c>
      <c r="D957" t="str">
        <f>IF($A957&lt;&gt;"",'All Cases - Enter Cases'!D957,"")</f>
        <v/>
      </c>
      <c r="E957" t="str">
        <f>IF($A957&lt;&gt;"",'All Cases - Enter Cases'!E957,"")</f>
        <v/>
      </c>
      <c r="F957" t="str">
        <f>IF($A957&lt;&gt;"",'All Cases - Enter Cases'!F957,"")</f>
        <v/>
      </c>
      <c r="G957" t="str">
        <f>IF($A957&lt;&gt;"",'All Cases - Enter Cases'!G957,"")</f>
        <v/>
      </c>
      <c r="H957" t="str">
        <f>IF($A957&lt;&gt;"",'All Cases - Enter Cases'!H957,"")</f>
        <v/>
      </c>
      <c r="I957" t="str">
        <f>IF($A957&lt;&gt;"",'All Cases - Enter Cases'!I957,"")</f>
        <v/>
      </c>
      <c r="J957" t="str">
        <f>IF($A957&lt;&gt;"",'All Cases - Enter Cases'!J957,"")</f>
        <v/>
      </c>
      <c r="K957" t="str">
        <f>IF($A957&lt;&gt;"",'All Cases - Enter Cases'!K957,"")</f>
        <v/>
      </c>
      <c r="L957" t="str">
        <f>IF($A957&lt;&gt;"",'All Cases - Enter Cases'!L957,"")</f>
        <v/>
      </c>
      <c r="M957" t="str">
        <f>IF($A957&lt;&gt;"",'All Cases - Enter Cases'!M957,"")</f>
        <v/>
      </c>
    </row>
    <row r="958" spans="1:13" x14ac:dyDescent="0.35">
      <c r="A958" t="str">
        <f>IF('All Cases - Enter Cases'!$F958="KPK",'All Cases - Enter Cases'!A958,"")</f>
        <v/>
      </c>
      <c r="B958" t="str">
        <f>IF($A958&lt;&gt;"",'All Cases - Enter Cases'!B958,"")</f>
        <v/>
      </c>
      <c r="C958" t="str">
        <f>IF($A958&lt;&gt;"",'All Cases - Enter Cases'!C958,"")</f>
        <v/>
      </c>
      <c r="D958" t="str">
        <f>IF($A958&lt;&gt;"",'All Cases - Enter Cases'!D958,"")</f>
        <v/>
      </c>
      <c r="E958" t="str">
        <f>IF($A958&lt;&gt;"",'All Cases - Enter Cases'!E958,"")</f>
        <v/>
      </c>
      <c r="F958" t="str">
        <f>IF($A958&lt;&gt;"",'All Cases - Enter Cases'!F958,"")</f>
        <v/>
      </c>
      <c r="G958" t="str">
        <f>IF($A958&lt;&gt;"",'All Cases - Enter Cases'!G958,"")</f>
        <v/>
      </c>
      <c r="H958" t="str">
        <f>IF($A958&lt;&gt;"",'All Cases - Enter Cases'!H958,"")</f>
        <v/>
      </c>
      <c r="I958" t="str">
        <f>IF($A958&lt;&gt;"",'All Cases - Enter Cases'!I958,"")</f>
        <v/>
      </c>
      <c r="J958" t="str">
        <f>IF($A958&lt;&gt;"",'All Cases - Enter Cases'!J958,"")</f>
        <v/>
      </c>
      <c r="K958" t="str">
        <f>IF($A958&lt;&gt;"",'All Cases - Enter Cases'!K958,"")</f>
        <v/>
      </c>
      <c r="L958" t="str">
        <f>IF($A958&lt;&gt;"",'All Cases - Enter Cases'!L958,"")</f>
        <v/>
      </c>
      <c r="M958" t="str">
        <f>IF($A958&lt;&gt;"",'All Cases - Enter Cases'!M958,"")</f>
        <v/>
      </c>
    </row>
    <row r="959" spans="1:13" x14ac:dyDescent="0.35">
      <c r="A959" t="str">
        <f>IF('All Cases - Enter Cases'!$F959="KPK",'All Cases - Enter Cases'!A959,"")</f>
        <v/>
      </c>
      <c r="B959" t="str">
        <f>IF($A959&lt;&gt;"",'All Cases - Enter Cases'!B959,"")</f>
        <v/>
      </c>
      <c r="C959" t="str">
        <f>IF($A959&lt;&gt;"",'All Cases - Enter Cases'!C959,"")</f>
        <v/>
      </c>
      <c r="D959" t="str">
        <f>IF($A959&lt;&gt;"",'All Cases - Enter Cases'!D959,"")</f>
        <v/>
      </c>
      <c r="E959" t="str">
        <f>IF($A959&lt;&gt;"",'All Cases - Enter Cases'!E959,"")</f>
        <v/>
      </c>
      <c r="F959" t="str">
        <f>IF($A959&lt;&gt;"",'All Cases - Enter Cases'!F959,"")</f>
        <v/>
      </c>
      <c r="G959" t="str">
        <f>IF($A959&lt;&gt;"",'All Cases - Enter Cases'!G959,"")</f>
        <v/>
      </c>
      <c r="H959" t="str">
        <f>IF($A959&lt;&gt;"",'All Cases - Enter Cases'!H959,"")</f>
        <v/>
      </c>
      <c r="I959" t="str">
        <f>IF($A959&lt;&gt;"",'All Cases - Enter Cases'!I959,"")</f>
        <v/>
      </c>
      <c r="J959" t="str">
        <f>IF($A959&lt;&gt;"",'All Cases - Enter Cases'!J959,"")</f>
        <v/>
      </c>
      <c r="K959" t="str">
        <f>IF($A959&lt;&gt;"",'All Cases - Enter Cases'!K959,"")</f>
        <v/>
      </c>
      <c r="L959" t="str">
        <f>IF($A959&lt;&gt;"",'All Cases - Enter Cases'!L959,"")</f>
        <v/>
      </c>
      <c r="M959" t="str">
        <f>IF($A959&lt;&gt;"",'All Cases - Enter Cases'!M959,"")</f>
        <v/>
      </c>
    </row>
    <row r="960" spans="1:13" x14ac:dyDescent="0.35">
      <c r="A960" t="str">
        <f>IF('All Cases - Enter Cases'!$F960="KPK",'All Cases - Enter Cases'!A960,"")</f>
        <v/>
      </c>
      <c r="B960" t="str">
        <f>IF($A960&lt;&gt;"",'All Cases - Enter Cases'!B960,"")</f>
        <v/>
      </c>
      <c r="C960" t="str">
        <f>IF($A960&lt;&gt;"",'All Cases - Enter Cases'!C960,"")</f>
        <v/>
      </c>
      <c r="D960" t="str">
        <f>IF($A960&lt;&gt;"",'All Cases - Enter Cases'!D960,"")</f>
        <v/>
      </c>
      <c r="E960" t="str">
        <f>IF($A960&lt;&gt;"",'All Cases - Enter Cases'!E960,"")</f>
        <v/>
      </c>
      <c r="F960" t="str">
        <f>IF($A960&lt;&gt;"",'All Cases - Enter Cases'!F960,"")</f>
        <v/>
      </c>
      <c r="G960" t="str">
        <f>IF($A960&lt;&gt;"",'All Cases - Enter Cases'!G960,"")</f>
        <v/>
      </c>
      <c r="H960" t="str">
        <f>IF($A960&lt;&gt;"",'All Cases - Enter Cases'!H960,"")</f>
        <v/>
      </c>
      <c r="I960" t="str">
        <f>IF($A960&lt;&gt;"",'All Cases - Enter Cases'!I960,"")</f>
        <v/>
      </c>
      <c r="J960" t="str">
        <f>IF($A960&lt;&gt;"",'All Cases - Enter Cases'!J960,"")</f>
        <v/>
      </c>
      <c r="K960" t="str">
        <f>IF($A960&lt;&gt;"",'All Cases - Enter Cases'!K960,"")</f>
        <v/>
      </c>
      <c r="L960" t="str">
        <f>IF($A960&lt;&gt;"",'All Cases - Enter Cases'!L960,"")</f>
        <v/>
      </c>
      <c r="M960" t="str">
        <f>IF($A960&lt;&gt;"",'All Cases - Enter Cases'!M960,"")</f>
        <v/>
      </c>
    </row>
    <row r="961" spans="1:13" x14ac:dyDescent="0.35">
      <c r="A961" t="str">
        <f>IF('All Cases - Enter Cases'!$F961="KPK",'All Cases - Enter Cases'!A961,"")</f>
        <v/>
      </c>
      <c r="B961" t="str">
        <f>IF($A961&lt;&gt;"",'All Cases - Enter Cases'!B961,"")</f>
        <v/>
      </c>
      <c r="C961" t="str">
        <f>IF($A961&lt;&gt;"",'All Cases - Enter Cases'!C961,"")</f>
        <v/>
      </c>
      <c r="D961" t="str">
        <f>IF($A961&lt;&gt;"",'All Cases - Enter Cases'!D961,"")</f>
        <v/>
      </c>
      <c r="E961" t="str">
        <f>IF($A961&lt;&gt;"",'All Cases - Enter Cases'!E961,"")</f>
        <v/>
      </c>
      <c r="F961" t="str">
        <f>IF($A961&lt;&gt;"",'All Cases - Enter Cases'!F961,"")</f>
        <v/>
      </c>
      <c r="G961" t="str">
        <f>IF($A961&lt;&gt;"",'All Cases - Enter Cases'!G961,"")</f>
        <v/>
      </c>
      <c r="H961" t="str">
        <f>IF($A961&lt;&gt;"",'All Cases - Enter Cases'!H961,"")</f>
        <v/>
      </c>
      <c r="I961" t="str">
        <f>IF($A961&lt;&gt;"",'All Cases - Enter Cases'!I961,"")</f>
        <v/>
      </c>
      <c r="J961" t="str">
        <f>IF($A961&lt;&gt;"",'All Cases - Enter Cases'!J961,"")</f>
        <v/>
      </c>
      <c r="K961" t="str">
        <f>IF($A961&lt;&gt;"",'All Cases - Enter Cases'!K961,"")</f>
        <v/>
      </c>
      <c r="L961" t="str">
        <f>IF($A961&lt;&gt;"",'All Cases - Enter Cases'!L961,"")</f>
        <v/>
      </c>
      <c r="M961" t="str">
        <f>IF($A961&lt;&gt;"",'All Cases - Enter Cases'!M961,"")</f>
        <v/>
      </c>
    </row>
    <row r="962" spans="1:13" x14ac:dyDescent="0.35">
      <c r="A962" t="str">
        <f>IF('All Cases - Enter Cases'!$F962="KPK",'All Cases - Enter Cases'!A962,"")</f>
        <v/>
      </c>
      <c r="B962" t="str">
        <f>IF($A962&lt;&gt;"",'All Cases - Enter Cases'!B962,"")</f>
        <v/>
      </c>
      <c r="C962" t="str">
        <f>IF($A962&lt;&gt;"",'All Cases - Enter Cases'!C962,"")</f>
        <v/>
      </c>
      <c r="D962" t="str">
        <f>IF($A962&lt;&gt;"",'All Cases - Enter Cases'!D962,"")</f>
        <v/>
      </c>
      <c r="E962" t="str">
        <f>IF($A962&lt;&gt;"",'All Cases - Enter Cases'!E962,"")</f>
        <v/>
      </c>
      <c r="F962" t="str">
        <f>IF($A962&lt;&gt;"",'All Cases - Enter Cases'!F962,"")</f>
        <v/>
      </c>
      <c r="G962" t="str">
        <f>IF($A962&lt;&gt;"",'All Cases - Enter Cases'!G962,"")</f>
        <v/>
      </c>
      <c r="H962" t="str">
        <f>IF($A962&lt;&gt;"",'All Cases - Enter Cases'!H962,"")</f>
        <v/>
      </c>
      <c r="I962" t="str">
        <f>IF($A962&lt;&gt;"",'All Cases - Enter Cases'!I962,"")</f>
        <v/>
      </c>
      <c r="J962" t="str">
        <f>IF($A962&lt;&gt;"",'All Cases - Enter Cases'!J962,"")</f>
        <v/>
      </c>
      <c r="K962" t="str">
        <f>IF($A962&lt;&gt;"",'All Cases - Enter Cases'!K962,"")</f>
        <v/>
      </c>
      <c r="L962" t="str">
        <f>IF($A962&lt;&gt;"",'All Cases - Enter Cases'!L962,"")</f>
        <v/>
      </c>
      <c r="M962" t="str">
        <f>IF($A962&lt;&gt;"",'All Cases - Enter Cases'!M962,"")</f>
        <v/>
      </c>
    </row>
    <row r="963" spans="1:13" x14ac:dyDescent="0.35">
      <c r="A963" t="str">
        <f>IF('All Cases - Enter Cases'!$F963="KPK",'All Cases - Enter Cases'!A963,"")</f>
        <v/>
      </c>
      <c r="B963" t="str">
        <f>IF($A963&lt;&gt;"",'All Cases - Enter Cases'!B963,"")</f>
        <v/>
      </c>
      <c r="C963" t="str">
        <f>IF($A963&lt;&gt;"",'All Cases - Enter Cases'!C963,"")</f>
        <v/>
      </c>
      <c r="D963" t="str">
        <f>IF($A963&lt;&gt;"",'All Cases - Enter Cases'!D963,"")</f>
        <v/>
      </c>
      <c r="E963" t="str">
        <f>IF($A963&lt;&gt;"",'All Cases - Enter Cases'!E963,"")</f>
        <v/>
      </c>
      <c r="F963" t="str">
        <f>IF($A963&lt;&gt;"",'All Cases - Enter Cases'!F963,"")</f>
        <v/>
      </c>
      <c r="G963" t="str">
        <f>IF($A963&lt;&gt;"",'All Cases - Enter Cases'!G963,"")</f>
        <v/>
      </c>
      <c r="H963" t="str">
        <f>IF($A963&lt;&gt;"",'All Cases - Enter Cases'!H963,"")</f>
        <v/>
      </c>
      <c r="I963" t="str">
        <f>IF($A963&lt;&gt;"",'All Cases - Enter Cases'!I963,"")</f>
        <v/>
      </c>
      <c r="J963" t="str">
        <f>IF($A963&lt;&gt;"",'All Cases - Enter Cases'!J963,"")</f>
        <v/>
      </c>
      <c r="K963" t="str">
        <f>IF($A963&lt;&gt;"",'All Cases - Enter Cases'!K963,"")</f>
        <v/>
      </c>
      <c r="L963" t="str">
        <f>IF($A963&lt;&gt;"",'All Cases - Enter Cases'!L963,"")</f>
        <v/>
      </c>
      <c r="M963" t="str">
        <f>IF($A963&lt;&gt;"",'All Cases - Enter Cases'!M963,"")</f>
        <v/>
      </c>
    </row>
    <row r="964" spans="1:13" x14ac:dyDescent="0.35">
      <c r="A964" t="str">
        <f>IF('All Cases - Enter Cases'!$F964="KPK",'All Cases - Enter Cases'!A964,"")</f>
        <v/>
      </c>
      <c r="B964" t="str">
        <f>IF($A964&lt;&gt;"",'All Cases - Enter Cases'!B964,"")</f>
        <v/>
      </c>
      <c r="C964" t="str">
        <f>IF($A964&lt;&gt;"",'All Cases - Enter Cases'!C964,"")</f>
        <v/>
      </c>
      <c r="D964" t="str">
        <f>IF($A964&lt;&gt;"",'All Cases - Enter Cases'!D964,"")</f>
        <v/>
      </c>
      <c r="E964" t="str">
        <f>IF($A964&lt;&gt;"",'All Cases - Enter Cases'!E964,"")</f>
        <v/>
      </c>
      <c r="F964" t="str">
        <f>IF($A964&lt;&gt;"",'All Cases - Enter Cases'!F964,"")</f>
        <v/>
      </c>
      <c r="G964" t="str">
        <f>IF($A964&lt;&gt;"",'All Cases - Enter Cases'!G964,"")</f>
        <v/>
      </c>
      <c r="H964" t="str">
        <f>IF($A964&lt;&gt;"",'All Cases - Enter Cases'!H964,"")</f>
        <v/>
      </c>
      <c r="I964" t="str">
        <f>IF($A964&lt;&gt;"",'All Cases - Enter Cases'!I964,"")</f>
        <v/>
      </c>
      <c r="J964" t="str">
        <f>IF($A964&lt;&gt;"",'All Cases - Enter Cases'!J964,"")</f>
        <v/>
      </c>
      <c r="K964" t="str">
        <f>IF($A964&lt;&gt;"",'All Cases - Enter Cases'!K964,"")</f>
        <v/>
      </c>
      <c r="L964" t="str">
        <f>IF($A964&lt;&gt;"",'All Cases - Enter Cases'!L964,"")</f>
        <v/>
      </c>
      <c r="M964" t="str">
        <f>IF($A964&lt;&gt;"",'All Cases - Enter Cases'!M964,"")</f>
        <v/>
      </c>
    </row>
    <row r="965" spans="1:13" x14ac:dyDescent="0.35">
      <c r="A965" t="str">
        <f>IF('All Cases - Enter Cases'!$F965="KPK",'All Cases - Enter Cases'!A965,"")</f>
        <v/>
      </c>
      <c r="B965" t="str">
        <f>IF($A965&lt;&gt;"",'All Cases - Enter Cases'!B965,"")</f>
        <v/>
      </c>
      <c r="C965" t="str">
        <f>IF($A965&lt;&gt;"",'All Cases - Enter Cases'!C965,"")</f>
        <v/>
      </c>
      <c r="D965" t="str">
        <f>IF($A965&lt;&gt;"",'All Cases - Enter Cases'!D965,"")</f>
        <v/>
      </c>
      <c r="E965" t="str">
        <f>IF($A965&lt;&gt;"",'All Cases - Enter Cases'!E965,"")</f>
        <v/>
      </c>
      <c r="F965" t="str">
        <f>IF($A965&lt;&gt;"",'All Cases - Enter Cases'!F965,"")</f>
        <v/>
      </c>
      <c r="G965" t="str">
        <f>IF($A965&lt;&gt;"",'All Cases - Enter Cases'!G965,"")</f>
        <v/>
      </c>
      <c r="H965" t="str">
        <f>IF($A965&lt;&gt;"",'All Cases - Enter Cases'!H965,"")</f>
        <v/>
      </c>
      <c r="I965" t="str">
        <f>IF($A965&lt;&gt;"",'All Cases - Enter Cases'!I965,"")</f>
        <v/>
      </c>
      <c r="J965" t="str">
        <f>IF($A965&lt;&gt;"",'All Cases - Enter Cases'!J965,"")</f>
        <v/>
      </c>
      <c r="K965" t="str">
        <f>IF($A965&lt;&gt;"",'All Cases - Enter Cases'!K965,"")</f>
        <v/>
      </c>
      <c r="L965" t="str">
        <f>IF($A965&lt;&gt;"",'All Cases - Enter Cases'!L965,"")</f>
        <v/>
      </c>
      <c r="M965" t="str">
        <f>IF($A965&lt;&gt;"",'All Cases - Enter Cases'!M965,"")</f>
        <v/>
      </c>
    </row>
    <row r="966" spans="1:13" x14ac:dyDescent="0.35">
      <c r="A966" t="str">
        <f>IF('All Cases - Enter Cases'!$F966="KPK",'All Cases - Enter Cases'!A966,"")</f>
        <v/>
      </c>
      <c r="B966" t="str">
        <f>IF($A966&lt;&gt;"",'All Cases - Enter Cases'!B966,"")</f>
        <v/>
      </c>
      <c r="C966" t="str">
        <f>IF($A966&lt;&gt;"",'All Cases - Enter Cases'!C966,"")</f>
        <v/>
      </c>
      <c r="D966" t="str">
        <f>IF($A966&lt;&gt;"",'All Cases - Enter Cases'!D966,"")</f>
        <v/>
      </c>
      <c r="E966" t="str">
        <f>IF($A966&lt;&gt;"",'All Cases - Enter Cases'!E966,"")</f>
        <v/>
      </c>
      <c r="F966" t="str">
        <f>IF($A966&lt;&gt;"",'All Cases - Enter Cases'!F966,"")</f>
        <v/>
      </c>
      <c r="G966" t="str">
        <f>IF($A966&lt;&gt;"",'All Cases - Enter Cases'!G966,"")</f>
        <v/>
      </c>
      <c r="H966" t="str">
        <f>IF($A966&lt;&gt;"",'All Cases - Enter Cases'!H966,"")</f>
        <v/>
      </c>
      <c r="I966" t="str">
        <f>IF($A966&lt;&gt;"",'All Cases - Enter Cases'!I966,"")</f>
        <v/>
      </c>
      <c r="J966" t="str">
        <f>IF($A966&lt;&gt;"",'All Cases - Enter Cases'!J966,"")</f>
        <v/>
      </c>
      <c r="K966" t="str">
        <f>IF($A966&lt;&gt;"",'All Cases - Enter Cases'!K966,"")</f>
        <v/>
      </c>
      <c r="L966" t="str">
        <f>IF($A966&lt;&gt;"",'All Cases - Enter Cases'!L966,"")</f>
        <v/>
      </c>
      <c r="M966" t="str">
        <f>IF($A966&lt;&gt;"",'All Cases - Enter Cases'!M966,"")</f>
        <v/>
      </c>
    </row>
    <row r="967" spans="1:13" x14ac:dyDescent="0.35">
      <c r="A967" t="str">
        <f>IF('All Cases - Enter Cases'!$F967="KPK",'All Cases - Enter Cases'!A967,"")</f>
        <v/>
      </c>
      <c r="B967" t="str">
        <f>IF($A967&lt;&gt;"",'All Cases - Enter Cases'!B967,"")</f>
        <v/>
      </c>
      <c r="C967" t="str">
        <f>IF($A967&lt;&gt;"",'All Cases - Enter Cases'!C967,"")</f>
        <v/>
      </c>
      <c r="D967" t="str">
        <f>IF($A967&lt;&gt;"",'All Cases - Enter Cases'!D967,"")</f>
        <v/>
      </c>
      <c r="E967" t="str">
        <f>IF($A967&lt;&gt;"",'All Cases - Enter Cases'!E967,"")</f>
        <v/>
      </c>
      <c r="F967" t="str">
        <f>IF($A967&lt;&gt;"",'All Cases - Enter Cases'!F967,"")</f>
        <v/>
      </c>
      <c r="G967" t="str">
        <f>IF($A967&lt;&gt;"",'All Cases - Enter Cases'!G967,"")</f>
        <v/>
      </c>
      <c r="H967" t="str">
        <f>IF($A967&lt;&gt;"",'All Cases - Enter Cases'!H967,"")</f>
        <v/>
      </c>
      <c r="I967" t="str">
        <f>IF($A967&lt;&gt;"",'All Cases - Enter Cases'!I967,"")</f>
        <v/>
      </c>
      <c r="J967" t="str">
        <f>IF($A967&lt;&gt;"",'All Cases - Enter Cases'!J967,"")</f>
        <v/>
      </c>
      <c r="K967" t="str">
        <f>IF($A967&lt;&gt;"",'All Cases - Enter Cases'!K967,"")</f>
        <v/>
      </c>
      <c r="L967" t="str">
        <f>IF($A967&lt;&gt;"",'All Cases - Enter Cases'!L967,"")</f>
        <v/>
      </c>
      <c r="M967" t="str">
        <f>IF($A967&lt;&gt;"",'All Cases - Enter Cases'!M967,"")</f>
        <v/>
      </c>
    </row>
    <row r="968" spans="1:13" x14ac:dyDescent="0.35">
      <c r="A968" t="str">
        <f>IF('All Cases - Enter Cases'!$F968="KPK",'All Cases - Enter Cases'!A968,"")</f>
        <v/>
      </c>
      <c r="B968" t="str">
        <f>IF($A968&lt;&gt;"",'All Cases - Enter Cases'!B968,"")</f>
        <v/>
      </c>
      <c r="C968" t="str">
        <f>IF($A968&lt;&gt;"",'All Cases - Enter Cases'!C968,"")</f>
        <v/>
      </c>
      <c r="D968" t="str">
        <f>IF($A968&lt;&gt;"",'All Cases - Enter Cases'!D968,"")</f>
        <v/>
      </c>
      <c r="E968" t="str">
        <f>IF($A968&lt;&gt;"",'All Cases - Enter Cases'!E968,"")</f>
        <v/>
      </c>
      <c r="F968" t="str">
        <f>IF($A968&lt;&gt;"",'All Cases - Enter Cases'!F968,"")</f>
        <v/>
      </c>
      <c r="G968" t="str">
        <f>IF($A968&lt;&gt;"",'All Cases - Enter Cases'!G968,"")</f>
        <v/>
      </c>
      <c r="H968" t="str">
        <f>IF($A968&lt;&gt;"",'All Cases - Enter Cases'!H968,"")</f>
        <v/>
      </c>
      <c r="I968" t="str">
        <f>IF($A968&lt;&gt;"",'All Cases - Enter Cases'!I968,"")</f>
        <v/>
      </c>
      <c r="J968" t="str">
        <f>IF($A968&lt;&gt;"",'All Cases - Enter Cases'!J968,"")</f>
        <v/>
      </c>
      <c r="K968" t="str">
        <f>IF($A968&lt;&gt;"",'All Cases - Enter Cases'!K968,"")</f>
        <v/>
      </c>
      <c r="L968" t="str">
        <f>IF($A968&lt;&gt;"",'All Cases - Enter Cases'!L968,"")</f>
        <v/>
      </c>
      <c r="M968" t="str">
        <f>IF($A968&lt;&gt;"",'All Cases - Enter Cases'!M968,"")</f>
        <v/>
      </c>
    </row>
    <row r="969" spans="1:13" x14ac:dyDescent="0.35">
      <c r="A969" t="str">
        <f>IF('All Cases - Enter Cases'!$F969="KPK",'All Cases - Enter Cases'!A969,"")</f>
        <v/>
      </c>
      <c r="B969" t="str">
        <f>IF($A969&lt;&gt;"",'All Cases - Enter Cases'!B969,"")</f>
        <v/>
      </c>
      <c r="C969" t="str">
        <f>IF($A969&lt;&gt;"",'All Cases - Enter Cases'!C969,"")</f>
        <v/>
      </c>
      <c r="D969" t="str">
        <f>IF($A969&lt;&gt;"",'All Cases - Enter Cases'!D969,"")</f>
        <v/>
      </c>
      <c r="E969" t="str">
        <f>IF($A969&lt;&gt;"",'All Cases - Enter Cases'!E969,"")</f>
        <v/>
      </c>
      <c r="F969" t="str">
        <f>IF($A969&lt;&gt;"",'All Cases - Enter Cases'!F969,"")</f>
        <v/>
      </c>
      <c r="G969" t="str">
        <f>IF($A969&lt;&gt;"",'All Cases - Enter Cases'!G969,"")</f>
        <v/>
      </c>
      <c r="H969" t="str">
        <f>IF($A969&lt;&gt;"",'All Cases - Enter Cases'!H969,"")</f>
        <v/>
      </c>
      <c r="I969" t="str">
        <f>IF($A969&lt;&gt;"",'All Cases - Enter Cases'!I969,"")</f>
        <v/>
      </c>
      <c r="J969" t="str">
        <f>IF($A969&lt;&gt;"",'All Cases - Enter Cases'!J969,"")</f>
        <v/>
      </c>
      <c r="K969" t="str">
        <f>IF($A969&lt;&gt;"",'All Cases - Enter Cases'!K969,"")</f>
        <v/>
      </c>
      <c r="L969" t="str">
        <f>IF($A969&lt;&gt;"",'All Cases - Enter Cases'!L969,"")</f>
        <v/>
      </c>
      <c r="M969" t="str">
        <f>IF($A969&lt;&gt;"",'All Cases - Enter Cases'!M969,"")</f>
        <v/>
      </c>
    </row>
    <row r="970" spans="1:13" x14ac:dyDescent="0.35">
      <c r="A970" t="str">
        <f>IF('All Cases - Enter Cases'!$F970="KPK",'All Cases - Enter Cases'!A970,"")</f>
        <v/>
      </c>
      <c r="B970" t="str">
        <f>IF($A970&lt;&gt;"",'All Cases - Enter Cases'!B970,"")</f>
        <v/>
      </c>
      <c r="C970" t="str">
        <f>IF($A970&lt;&gt;"",'All Cases - Enter Cases'!C970,"")</f>
        <v/>
      </c>
      <c r="D970" t="str">
        <f>IF($A970&lt;&gt;"",'All Cases - Enter Cases'!D970,"")</f>
        <v/>
      </c>
      <c r="E970" t="str">
        <f>IF($A970&lt;&gt;"",'All Cases - Enter Cases'!E970,"")</f>
        <v/>
      </c>
      <c r="F970" t="str">
        <f>IF($A970&lt;&gt;"",'All Cases - Enter Cases'!F970,"")</f>
        <v/>
      </c>
      <c r="G970" t="str">
        <f>IF($A970&lt;&gt;"",'All Cases - Enter Cases'!G970,"")</f>
        <v/>
      </c>
      <c r="H970" t="str">
        <f>IF($A970&lt;&gt;"",'All Cases - Enter Cases'!H970,"")</f>
        <v/>
      </c>
      <c r="I970" t="str">
        <f>IF($A970&lt;&gt;"",'All Cases - Enter Cases'!I970,"")</f>
        <v/>
      </c>
      <c r="J970" t="str">
        <f>IF($A970&lt;&gt;"",'All Cases - Enter Cases'!J970,"")</f>
        <v/>
      </c>
      <c r="K970" t="str">
        <f>IF($A970&lt;&gt;"",'All Cases - Enter Cases'!K970,"")</f>
        <v/>
      </c>
      <c r="L970" t="str">
        <f>IF($A970&lt;&gt;"",'All Cases - Enter Cases'!L970,"")</f>
        <v/>
      </c>
      <c r="M970" t="str">
        <f>IF($A970&lt;&gt;"",'All Cases - Enter Cases'!M970,"")</f>
        <v/>
      </c>
    </row>
    <row r="971" spans="1:13" x14ac:dyDescent="0.35">
      <c r="A971" t="str">
        <f>IF('All Cases - Enter Cases'!$F971="KPK",'All Cases - Enter Cases'!A971,"")</f>
        <v/>
      </c>
      <c r="B971" t="str">
        <f>IF($A971&lt;&gt;"",'All Cases - Enter Cases'!B971,"")</f>
        <v/>
      </c>
      <c r="C971" t="str">
        <f>IF($A971&lt;&gt;"",'All Cases - Enter Cases'!C971,"")</f>
        <v/>
      </c>
      <c r="D971" t="str">
        <f>IF($A971&lt;&gt;"",'All Cases - Enter Cases'!D971,"")</f>
        <v/>
      </c>
      <c r="E971" t="str">
        <f>IF($A971&lt;&gt;"",'All Cases - Enter Cases'!E971,"")</f>
        <v/>
      </c>
      <c r="F971" t="str">
        <f>IF($A971&lt;&gt;"",'All Cases - Enter Cases'!F971,"")</f>
        <v/>
      </c>
      <c r="G971" t="str">
        <f>IF($A971&lt;&gt;"",'All Cases - Enter Cases'!G971,"")</f>
        <v/>
      </c>
      <c r="H971" t="str">
        <f>IF($A971&lt;&gt;"",'All Cases - Enter Cases'!H971,"")</f>
        <v/>
      </c>
      <c r="I971" t="str">
        <f>IF($A971&lt;&gt;"",'All Cases - Enter Cases'!I971,"")</f>
        <v/>
      </c>
      <c r="J971" t="str">
        <f>IF($A971&lt;&gt;"",'All Cases - Enter Cases'!J971,"")</f>
        <v/>
      </c>
      <c r="K971" t="str">
        <f>IF($A971&lt;&gt;"",'All Cases - Enter Cases'!K971,"")</f>
        <v/>
      </c>
      <c r="L971" t="str">
        <f>IF($A971&lt;&gt;"",'All Cases - Enter Cases'!L971,"")</f>
        <v/>
      </c>
      <c r="M971" t="str">
        <f>IF($A971&lt;&gt;"",'All Cases - Enter Cases'!M971,"")</f>
        <v/>
      </c>
    </row>
    <row r="972" spans="1:13" x14ac:dyDescent="0.35">
      <c r="A972" t="str">
        <f>IF('All Cases - Enter Cases'!$F972="KPK",'All Cases - Enter Cases'!A972,"")</f>
        <v/>
      </c>
      <c r="B972" t="str">
        <f>IF($A972&lt;&gt;"",'All Cases - Enter Cases'!B972,"")</f>
        <v/>
      </c>
      <c r="C972" t="str">
        <f>IF($A972&lt;&gt;"",'All Cases - Enter Cases'!C972,"")</f>
        <v/>
      </c>
      <c r="D972" t="str">
        <f>IF($A972&lt;&gt;"",'All Cases - Enter Cases'!D972,"")</f>
        <v/>
      </c>
      <c r="E972" t="str">
        <f>IF($A972&lt;&gt;"",'All Cases - Enter Cases'!E972,"")</f>
        <v/>
      </c>
      <c r="F972" t="str">
        <f>IF($A972&lt;&gt;"",'All Cases - Enter Cases'!F972,"")</f>
        <v/>
      </c>
      <c r="G972" t="str">
        <f>IF($A972&lt;&gt;"",'All Cases - Enter Cases'!G972,"")</f>
        <v/>
      </c>
      <c r="H972" t="str">
        <f>IF($A972&lt;&gt;"",'All Cases - Enter Cases'!H972,"")</f>
        <v/>
      </c>
      <c r="I972" t="str">
        <f>IF($A972&lt;&gt;"",'All Cases - Enter Cases'!I972,"")</f>
        <v/>
      </c>
      <c r="J972" t="str">
        <f>IF($A972&lt;&gt;"",'All Cases - Enter Cases'!J972,"")</f>
        <v/>
      </c>
      <c r="K972" t="str">
        <f>IF($A972&lt;&gt;"",'All Cases - Enter Cases'!K972,"")</f>
        <v/>
      </c>
      <c r="L972" t="str">
        <f>IF($A972&lt;&gt;"",'All Cases - Enter Cases'!L972,"")</f>
        <v/>
      </c>
      <c r="M972" t="str">
        <f>IF($A972&lt;&gt;"",'All Cases - Enter Cases'!M972,"")</f>
        <v/>
      </c>
    </row>
    <row r="973" spans="1:13" x14ac:dyDescent="0.35">
      <c r="A973" t="str">
        <f>IF('All Cases - Enter Cases'!$F973="KPK",'All Cases - Enter Cases'!A973,"")</f>
        <v/>
      </c>
      <c r="B973" t="str">
        <f>IF($A973&lt;&gt;"",'All Cases - Enter Cases'!B973,"")</f>
        <v/>
      </c>
      <c r="C973" t="str">
        <f>IF($A973&lt;&gt;"",'All Cases - Enter Cases'!C973,"")</f>
        <v/>
      </c>
      <c r="D973" t="str">
        <f>IF($A973&lt;&gt;"",'All Cases - Enter Cases'!D973,"")</f>
        <v/>
      </c>
      <c r="E973" t="str">
        <f>IF($A973&lt;&gt;"",'All Cases - Enter Cases'!E973,"")</f>
        <v/>
      </c>
      <c r="F973" t="str">
        <f>IF($A973&lt;&gt;"",'All Cases - Enter Cases'!F973,"")</f>
        <v/>
      </c>
      <c r="G973" t="str">
        <f>IF($A973&lt;&gt;"",'All Cases - Enter Cases'!G973,"")</f>
        <v/>
      </c>
      <c r="H973" t="str">
        <f>IF($A973&lt;&gt;"",'All Cases - Enter Cases'!H973,"")</f>
        <v/>
      </c>
      <c r="I973" t="str">
        <f>IF($A973&lt;&gt;"",'All Cases - Enter Cases'!I973,"")</f>
        <v/>
      </c>
      <c r="J973" t="str">
        <f>IF($A973&lt;&gt;"",'All Cases - Enter Cases'!J973,"")</f>
        <v/>
      </c>
      <c r="K973" t="str">
        <f>IF($A973&lt;&gt;"",'All Cases - Enter Cases'!K973,"")</f>
        <v/>
      </c>
      <c r="L973" t="str">
        <f>IF($A973&lt;&gt;"",'All Cases - Enter Cases'!L973,"")</f>
        <v/>
      </c>
      <c r="M973" t="str">
        <f>IF($A973&lt;&gt;"",'All Cases - Enter Cases'!M973,"")</f>
        <v/>
      </c>
    </row>
    <row r="974" spans="1:13" x14ac:dyDescent="0.35">
      <c r="A974" t="str">
        <f>IF('All Cases - Enter Cases'!$F974="KPK",'All Cases - Enter Cases'!A974,"")</f>
        <v/>
      </c>
      <c r="B974" t="str">
        <f>IF($A974&lt;&gt;"",'All Cases - Enter Cases'!B974,"")</f>
        <v/>
      </c>
      <c r="C974" t="str">
        <f>IF($A974&lt;&gt;"",'All Cases - Enter Cases'!C974,"")</f>
        <v/>
      </c>
      <c r="D974" t="str">
        <f>IF($A974&lt;&gt;"",'All Cases - Enter Cases'!D974,"")</f>
        <v/>
      </c>
      <c r="E974" t="str">
        <f>IF($A974&lt;&gt;"",'All Cases - Enter Cases'!E974,"")</f>
        <v/>
      </c>
      <c r="F974" t="str">
        <f>IF($A974&lt;&gt;"",'All Cases - Enter Cases'!F974,"")</f>
        <v/>
      </c>
      <c r="G974" t="str">
        <f>IF($A974&lt;&gt;"",'All Cases - Enter Cases'!G974,"")</f>
        <v/>
      </c>
      <c r="H974" t="str">
        <f>IF($A974&lt;&gt;"",'All Cases - Enter Cases'!H974,"")</f>
        <v/>
      </c>
      <c r="I974" t="str">
        <f>IF($A974&lt;&gt;"",'All Cases - Enter Cases'!I974,"")</f>
        <v/>
      </c>
      <c r="J974" t="str">
        <f>IF($A974&lt;&gt;"",'All Cases - Enter Cases'!J974,"")</f>
        <v/>
      </c>
      <c r="K974" t="str">
        <f>IF($A974&lt;&gt;"",'All Cases - Enter Cases'!K974,"")</f>
        <v/>
      </c>
      <c r="L974" t="str">
        <f>IF($A974&lt;&gt;"",'All Cases - Enter Cases'!L974,"")</f>
        <v/>
      </c>
      <c r="M974" t="str">
        <f>IF($A974&lt;&gt;"",'All Cases - Enter Cases'!M974,"")</f>
        <v/>
      </c>
    </row>
    <row r="975" spans="1:13" x14ac:dyDescent="0.35">
      <c r="A975" t="str">
        <f>IF('All Cases - Enter Cases'!$F975="KPK",'All Cases - Enter Cases'!A975,"")</f>
        <v/>
      </c>
      <c r="B975" t="str">
        <f>IF($A975&lt;&gt;"",'All Cases - Enter Cases'!B975,"")</f>
        <v/>
      </c>
      <c r="C975" t="str">
        <f>IF($A975&lt;&gt;"",'All Cases - Enter Cases'!C975,"")</f>
        <v/>
      </c>
      <c r="D975" t="str">
        <f>IF($A975&lt;&gt;"",'All Cases - Enter Cases'!D975,"")</f>
        <v/>
      </c>
      <c r="E975" t="str">
        <f>IF($A975&lt;&gt;"",'All Cases - Enter Cases'!E975,"")</f>
        <v/>
      </c>
      <c r="F975" t="str">
        <f>IF($A975&lt;&gt;"",'All Cases - Enter Cases'!F975,"")</f>
        <v/>
      </c>
      <c r="G975" t="str">
        <f>IF($A975&lt;&gt;"",'All Cases - Enter Cases'!G975,"")</f>
        <v/>
      </c>
      <c r="H975" t="str">
        <f>IF($A975&lt;&gt;"",'All Cases - Enter Cases'!H975,"")</f>
        <v/>
      </c>
      <c r="I975" t="str">
        <f>IF($A975&lt;&gt;"",'All Cases - Enter Cases'!I975,"")</f>
        <v/>
      </c>
      <c r="J975" t="str">
        <f>IF($A975&lt;&gt;"",'All Cases - Enter Cases'!J975,"")</f>
        <v/>
      </c>
      <c r="K975" t="str">
        <f>IF($A975&lt;&gt;"",'All Cases - Enter Cases'!K975,"")</f>
        <v/>
      </c>
      <c r="L975" t="str">
        <f>IF($A975&lt;&gt;"",'All Cases - Enter Cases'!L975,"")</f>
        <v/>
      </c>
      <c r="M975" t="str">
        <f>IF($A975&lt;&gt;"",'All Cases - Enter Cases'!M975,"")</f>
        <v/>
      </c>
    </row>
    <row r="976" spans="1:13" x14ac:dyDescent="0.35">
      <c r="A976" t="str">
        <f>IF('All Cases - Enter Cases'!$F976="KPK",'All Cases - Enter Cases'!A976,"")</f>
        <v/>
      </c>
      <c r="B976" t="str">
        <f>IF($A976&lt;&gt;"",'All Cases - Enter Cases'!B976,"")</f>
        <v/>
      </c>
      <c r="C976" t="str">
        <f>IF($A976&lt;&gt;"",'All Cases - Enter Cases'!C976,"")</f>
        <v/>
      </c>
      <c r="D976" t="str">
        <f>IF($A976&lt;&gt;"",'All Cases - Enter Cases'!D976,"")</f>
        <v/>
      </c>
      <c r="E976" t="str">
        <f>IF($A976&lt;&gt;"",'All Cases - Enter Cases'!E976,"")</f>
        <v/>
      </c>
      <c r="F976" t="str">
        <f>IF($A976&lt;&gt;"",'All Cases - Enter Cases'!F976,"")</f>
        <v/>
      </c>
      <c r="G976" t="str">
        <f>IF($A976&lt;&gt;"",'All Cases - Enter Cases'!G976,"")</f>
        <v/>
      </c>
      <c r="H976" t="str">
        <f>IF($A976&lt;&gt;"",'All Cases - Enter Cases'!H976,"")</f>
        <v/>
      </c>
      <c r="I976" t="str">
        <f>IF($A976&lt;&gt;"",'All Cases - Enter Cases'!I976,"")</f>
        <v/>
      </c>
      <c r="J976" t="str">
        <f>IF($A976&lt;&gt;"",'All Cases - Enter Cases'!J976,"")</f>
        <v/>
      </c>
      <c r="K976" t="str">
        <f>IF($A976&lt;&gt;"",'All Cases - Enter Cases'!K976,"")</f>
        <v/>
      </c>
      <c r="L976" t="str">
        <f>IF($A976&lt;&gt;"",'All Cases - Enter Cases'!L976,"")</f>
        <v/>
      </c>
      <c r="M976" t="str">
        <f>IF($A976&lt;&gt;"",'All Cases - Enter Cases'!M976,"")</f>
        <v/>
      </c>
    </row>
    <row r="977" spans="1:13" x14ac:dyDescent="0.35">
      <c r="A977" t="str">
        <f>IF('All Cases - Enter Cases'!$F977="KPK",'All Cases - Enter Cases'!A977,"")</f>
        <v/>
      </c>
      <c r="B977" t="str">
        <f>IF($A977&lt;&gt;"",'All Cases - Enter Cases'!B977,"")</f>
        <v/>
      </c>
      <c r="C977" t="str">
        <f>IF($A977&lt;&gt;"",'All Cases - Enter Cases'!C977,"")</f>
        <v/>
      </c>
      <c r="D977" t="str">
        <f>IF($A977&lt;&gt;"",'All Cases - Enter Cases'!D977,"")</f>
        <v/>
      </c>
      <c r="E977" t="str">
        <f>IF($A977&lt;&gt;"",'All Cases - Enter Cases'!E977,"")</f>
        <v/>
      </c>
      <c r="F977" t="str">
        <f>IF($A977&lt;&gt;"",'All Cases - Enter Cases'!F977,"")</f>
        <v/>
      </c>
      <c r="G977" t="str">
        <f>IF($A977&lt;&gt;"",'All Cases - Enter Cases'!G977,"")</f>
        <v/>
      </c>
      <c r="H977" t="str">
        <f>IF($A977&lt;&gt;"",'All Cases - Enter Cases'!H977,"")</f>
        <v/>
      </c>
      <c r="I977" t="str">
        <f>IF($A977&lt;&gt;"",'All Cases - Enter Cases'!I977,"")</f>
        <v/>
      </c>
      <c r="J977" t="str">
        <f>IF($A977&lt;&gt;"",'All Cases - Enter Cases'!J977,"")</f>
        <v/>
      </c>
      <c r="K977" t="str">
        <f>IF($A977&lt;&gt;"",'All Cases - Enter Cases'!K977,"")</f>
        <v/>
      </c>
      <c r="L977" t="str">
        <f>IF($A977&lt;&gt;"",'All Cases - Enter Cases'!L977,"")</f>
        <v/>
      </c>
      <c r="M977" t="str">
        <f>IF($A977&lt;&gt;"",'All Cases - Enter Cases'!M977,"")</f>
        <v/>
      </c>
    </row>
    <row r="978" spans="1:13" x14ac:dyDescent="0.35">
      <c r="A978" t="str">
        <f>IF('All Cases - Enter Cases'!$F978="KPK",'All Cases - Enter Cases'!A978,"")</f>
        <v/>
      </c>
      <c r="B978" t="str">
        <f>IF($A978&lt;&gt;"",'All Cases - Enter Cases'!B978,"")</f>
        <v/>
      </c>
      <c r="C978" t="str">
        <f>IF($A978&lt;&gt;"",'All Cases - Enter Cases'!C978,"")</f>
        <v/>
      </c>
      <c r="D978" t="str">
        <f>IF($A978&lt;&gt;"",'All Cases - Enter Cases'!D978,"")</f>
        <v/>
      </c>
      <c r="E978" t="str">
        <f>IF($A978&lt;&gt;"",'All Cases - Enter Cases'!E978,"")</f>
        <v/>
      </c>
      <c r="F978" t="str">
        <f>IF($A978&lt;&gt;"",'All Cases - Enter Cases'!F978,"")</f>
        <v/>
      </c>
      <c r="G978" t="str">
        <f>IF($A978&lt;&gt;"",'All Cases - Enter Cases'!G978,"")</f>
        <v/>
      </c>
      <c r="H978" t="str">
        <f>IF($A978&lt;&gt;"",'All Cases - Enter Cases'!H978,"")</f>
        <v/>
      </c>
      <c r="I978" t="str">
        <f>IF($A978&lt;&gt;"",'All Cases - Enter Cases'!I978,"")</f>
        <v/>
      </c>
      <c r="J978" t="str">
        <f>IF($A978&lt;&gt;"",'All Cases - Enter Cases'!J978,"")</f>
        <v/>
      </c>
      <c r="K978" t="str">
        <f>IF($A978&lt;&gt;"",'All Cases - Enter Cases'!K978,"")</f>
        <v/>
      </c>
      <c r="L978" t="str">
        <f>IF($A978&lt;&gt;"",'All Cases - Enter Cases'!L978,"")</f>
        <v/>
      </c>
      <c r="M978" t="str">
        <f>IF($A978&lt;&gt;"",'All Cases - Enter Cases'!M978,"")</f>
        <v/>
      </c>
    </row>
    <row r="979" spans="1:13" x14ac:dyDescent="0.35">
      <c r="A979" t="str">
        <f>IF('All Cases - Enter Cases'!$F979="KPK",'All Cases - Enter Cases'!A979,"")</f>
        <v/>
      </c>
      <c r="B979" t="str">
        <f>IF($A979&lt;&gt;"",'All Cases - Enter Cases'!B979,"")</f>
        <v/>
      </c>
      <c r="C979" t="str">
        <f>IF($A979&lt;&gt;"",'All Cases - Enter Cases'!C979,"")</f>
        <v/>
      </c>
      <c r="D979" t="str">
        <f>IF($A979&lt;&gt;"",'All Cases - Enter Cases'!D979,"")</f>
        <v/>
      </c>
      <c r="E979" t="str">
        <f>IF($A979&lt;&gt;"",'All Cases - Enter Cases'!E979,"")</f>
        <v/>
      </c>
      <c r="F979" t="str">
        <f>IF($A979&lt;&gt;"",'All Cases - Enter Cases'!F979,"")</f>
        <v/>
      </c>
      <c r="G979" t="str">
        <f>IF($A979&lt;&gt;"",'All Cases - Enter Cases'!G979,"")</f>
        <v/>
      </c>
      <c r="H979" t="str">
        <f>IF($A979&lt;&gt;"",'All Cases - Enter Cases'!H979,"")</f>
        <v/>
      </c>
      <c r="I979" t="str">
        <f>IF($A979&lt;&gt;"",'All Cases - Enter Cases'!I979,"")</f>
        <v/>
      </c>
      <c r="J979" t="str">
        <f>IF($A979&lt;&gt;"",'All Cases - Enter Cases'!J979,"")</f>
        <v/>
      </c>
      <c r="K979" t="str">
        <f>IF($A979&lt;&gt;"",'All Cases - Enter Cases'!K979,"")</f>
        <v/>
      </c>
      <c r="L979" t="str">
        <f>IF($A979&lt;&gt;"",'All Cases - Enter Cases'!L979,"")</f>
        <v/>
      </c>
      <c r="M979" t="str">
        <f>IF($A979&lt;&gt;"",'All Cases - Enter Cases'!M979,"")</f>
        <v/>
      </c>
    </row>
    <row r="980" spans="1:13" x14ac:dyDescent="0.35">
      <c r="A980" t="str">
        <f>IF('All Cases - Enter Cases'!$F980="KPK",'All Cases - Enter Cases'!A980,"")</f>
        <v/>
      </c>
      <c r="B980" t="str">
        <f>IF($A980&lt;&gt;"",'All Cases - Enter Cases'!B980,"")</f>
        <v/>
      </c>
      <c r="C980" t="str">
        <f>IF($A980&lt;&gt;"",'All Cases - Enter Cases'!C980,"")</f>
        <v/>
      </c>
      <c r="D980" t="str">
        <f>IF($A980&lt;&gt;"",'All Cases - Enter Cases'!D980,"")</f>
        <v/>
      </c>
      <c r="E980" t="str">
        <f>IF($A980&lt;&gt;"",'All Cases - Enter Cases'!E980,"")</f>
        <v/>
      </c>
      <c r="F980" t="str">
        <f>IF($A980&lt;&gt;"",'All Cases - Enter Cases'!F980,"")</f>
        <v/>
      </c>
      <c r="G980" t="str">
        <f>IF($A980&lt;&gt;"",'All Cases - Enter Cases'!G980,"")</f>
        <v/>
      </c>
      <c r="H980" t="str">
        <f>IF($A980&lt;&gt;"",'All Cases - Enter Cases'!H980,"")</f>
        <v/>
      </c>
      <c r="I980" t="str">
        <f>IF($A980&lt;&gt;"",'All Cases - Enter Cases'!I980,"")</f>
        <v/>
      </c>
      <c r="J980" t="str">
        <f>IF($A980&lt;&gt;"",'All Cases - Enter Cases'!J980,"")</f>
        <v/>
      </c>
      <c r="K980" t="str">
        <f>IF($A980&lt;&gt;"",'All Cases - Enter Cases'!K980,"")</f>
        <v/>
      </c>
      <c r="L980" t="str">
        <f>IF($A980&lt;&gt;"",'All Cases - Enter Cases'!L980,"")</f>
        <v/>
      </c>
      <c r="M980" t="str">
        <f>IF($A980&lt;&gt;"",'All Cases - Enter Cases'!M980,"")</f>
        <v/>
      </c>
    </row>
    <row r="981" spans="1:13" x14ac:dyDescent="0.35">
      <c r="A981" t="str">
        <f>IF('All Cases - Enter Cases'!$F981="KPK",'All Cases - Enter Cases'!A981,"")</f>
        <v/>
      </c>
      <c r="B981" t="str">
        <f>IF($A981&lt;&gt;"",'All Cases - Enter Cases'!B981,"")</f>
        <v/>
      </c>
      <c r="C981" t="str">
        <f>IF($A981&lt;&gt;"",'All Cases - Enter Cases'!C981,"")</f>
        <v/>
      </c>
      <c r="D981" t="str">
        <f>IF($A981&lt;&gt;"",'All Cases - Enter Cases'!D981,"")</f>
        <v/>
      </c>
      <c r="E981" t="str">
        <f>IF($A981&lt;&gt;"",'All Cases - Enter Cases'!E981,"")</f>
        <v/>
      </c>
      <c r="F981" t="str">
        <f>IF($A981&lt;&gt;"",'All Cases - Enter Cases'!F981,"")</f>
        <v/>
      </c>
      <c r="G981" t="str">
        <f>IF($A981&lt;&gt;"",'All Cases - Enter Cases'!G981,"")</f>
        <v/>
      </c>
      <c r="H981" t="str">
        <f>IF($A981&lt;&gt;"",'All Cases - Enter Cases'!H981,"")</f>
        <v/>
      </c>
      <c r="I981" t="str">
        <f>IF($A981&lt;&gt;"",'All Cases - Enter Cases'!I981,"")</f>
        <v/>
      </c>
      <c r="J981" t="str">
        <f>IF($A981&lt;&gt;"",'All Cases - Enter Cases'!J981,"")</f>
        <v/>
      </c>
      <c r="K981" t="str">
        <f>IF($A981&lt;&gt;"",'All Cases - Enter Cases'!K981,"")</f>
        <v/>
      </c>
      <c r="L981" t="str">
        <f>IF($A981&lt;&gt;"",'All Cases - Enter Cases'!L981,"")</f>
        <v/>
      </c>
      <c r="M981" t="str">
        <f>IF($A981&lt;&gt;"",'All Cases - Enter Cases'!M981,"")</f>
        <v/>
      </c>
    </row>
    <row r="982" spans="1:13" x14ac:dyDescent="0.35">
      <c r="A982" t="str">
        <f>IF('All Cases - Enter Cases'!$F982="KPK",'All Cases - Enter Cases'!A982,"")</f>
        <v/>
      </c>
      <c r="B982" t="str">
        <f>IF($A982&lt;&gt;"",'All Cases - Enter Cases'!B982,"")</f>
        <v/>
      </c>
      <c r="C982" t="str">
        <f>IF($A982&lt;&gt;"",'All Cases - Enter Cases'!C982,"")</f>
        <v/>
      </c>
      <c r="D982" t="str">
        <f>IF($A982&lt;&gt;"",'All Cases - Enter Cases'!D982,"")</f>
        <v/>
      </c>
      <c r="E982" t="str">
        <f>IF($A982&lt;&gt;"",'All Cases - Enter Cases'!E982,"")</f>
        <v/>
      </c>
      <c r="F982" t="str">
        <f>IF($A982&lt;&gt;"",'All Cases - Enter Cases'!F982,"")</f>
        <v/>
      </c>
      <c r="G982" t="str">
        <f>IF($A982&lt;&gt;"",'All Cases - Enter Cases'!G982,"")</f>
        <v/>
      </c>
      <c r="H982" t="str">
        <f>IF($A982&lt;&gt;"",'All Cases - Enter Cases'!H982,"")</f>
        <v/>
      </c>
      <c r="I982" t="str">
        <f>IF($A982&lt;&gt;"",'All Cases - Enter Cases'!I982,"")</f>
        <v/>
      </c>
      <c r="J982" t="str">
        <f>IF($A982&lt;&gt;"",'All Cases - Enter Cases'!J982,"")</f>
        <v/>
      </c>
      <c r="K982" t="str">
        <f>IF($A982&lt;&gt;"",'All Cases - Enter Cases'!K982,"")</f>
        <v/>
      </c>
      <c r="L982" t="str">
        <f>IF($A982&lt;&gt;"",'All Cases - Enter Cases'!L982,"")</f>
        <v/>
      </c>
      <c r="M982" t="str">
        <f>IF($A982&lt;&gt;"",'All Cases - Enter Cases'!M982,"")</f>
        <v/>
      </c>
    </row>
    <row r="983" spans="1:13" x14ac:dyDescent="0.35">
      <c r="A983" t="str">
        <f>IF('All Cases - Enter Cases'!$F983="KPK",'All Cases - Enter Cases'!A983,"")</f>
        <v/>
      </c>
      <c r="B983" t="str">
        <f>IF($A983&lt;&gt;"",'All Cases - Enter Cases'!B983,"")</f>
        <v/>
      </c>
      <c r="C983" t="str">
        <f>IF($A983&lt;&gt;"",'All Cases - Enter Cases'!C983,"")</f>
        <v/>
      </c>
      <c r="D983" t="str">
        <f>IF($A983&lt;&gt;"",'All Cases - Enter Cases'!D983,"")</f>
        <v/>
      </c>
      <c r="E983" t="str">
        <f>IF($A983&lt;&gt;"",'All Cases - Enter Cases'!E983,"")</f>
        <v/>
      </c>
      <c r="F983" t="str">
        <f>IF($A983&lt;&gt;"",'All Cases - Enter Cases'!F983,"")</f>
        <v/>
      </c>
      <c r="G983" t="str">
        <f>IF($A983&lt;&gt;"",'All Cases - Enter Cases'!G983,"")</f>
        <v/>
      </c>
      <c r="H983" t="str">
        <f>IF($A983&lt;&gt;"",'All Cases - Enter Cases'!H983,"")</f>
        <v/>
      </c>
      <c r="I983" t="str">
        <f>IF($A983&lt;&gt;"",'All Cases - Enter Cases'!I983,"")</f>
        <v/>
      </c>
      <c r="J983" t="str">
        <f>IF($A983&lt;&gt;"",'All Cases - Enter Cases'!J983,"")</f>
        <v/>
      </c>
      <c r="K983" t="str">
        <f>IF($A983&lt;&gt;"",'All Cases - Enter Cases'!K983,"")</f>
        <v/>
      </c>
      <c r="L983" t="str">
        <f>IF($A983&lt;&gt;"",'All Cases - Enter Cases'!L983,"")</f>
        <v/>
      </c>
      <c r="M983" t="str">
        <f>IF($A983&lt;&gt;"",'All Cases - Enter Cases'!M983,"")</f>
        <v/>
      </c>
    </row>
    <row r="984" spans="1:13" x14ac:dyDescent="0.35">
      <c r="A984" t="str">
        <f>IF('All Cases - Enter Cases'!$F984="KPK",'All Cases - Enter Cases'!A984,"")</f>
        <v/>
      </c>
      <c r="B984" t="str">
        <f>IF($A984&lt;&gt;"",'All Cases - Enter Cases'!B984,"")</f>
        <v/>
      </c>
      <c r="C984" t="str">
        <f>IF($A984&lt;&gt;"",'All Cases - Enter Cases'!C984,"")</f>
        <v/>
      </c>
      <c r="D984" t="str">
        <f>IF($A984&lt;&gt;"",'All Cases - Enter Cases'!D984,"")</f>
        <v/>
      </c>
      <c r="E984" t="str">
        <f>IF($A984&lt;&gt;"",'All Cases - Enter Cases'!E984,"")</f>
        <v/>
      </c>
      <c r="F984" t="str">
        <f>IF($A984&lt;&gt;"",'All Cases - Enter Cases'!F984,"")</f>
        <v/>
      </c>
      <c r="G984" t="str">
        <f>IF($A984&lt;&gt;"",'All Cases - Enter Cases'!G984,"")</f>
        <v/>
      </c>
      <c r="H984" t="str">
        <f>IF($A984&lt;&gt;"",'All Cases - Enter Cases'!H984,"")</f>
        <v/>
      </c>
      <c r="I984" t="str">
        <f>IF($A984&lt;&gt;"",'All Cases - Enter Cases'!I984,"")</f>
        <v/>
      </c>
      <c r="J984" t="str">
        <f>IF($A984&lt;&gt;"",'All Cases - Enter Cases'!J984,"")</f>
        <v/>
      </c>
      <c r="K984" t="str">
        <f>IF($A984&lt;&gt;"",'All Cases - Enter Cases'!K984,"")</f>
        <v/>
      </c>
      <c r="L984" t="str">
        <f>IF($A984&lt;&gt;"",'All Cases - Enter Cases'!L984,"")</f>
        <v/>
      </c>
      <c r="M984" t="str">
        <f>IF($A984&lt;&gt;"",'All Cases - Enter Cases'!M984,"")</f>
        <v/>
      </c>
    </row>
    <row r="985" spans="1:13" x14ac:dyDescent="0.35">
      <c r="A985" t="str">
        <f>IF('All Cases - Enter Cases'!$F985="KPK",'All Cases - Enter Cases'!A985,"")</f>
        <v/>
      </c>
      <c r="B985" t="str">
        <f>IF($A985&lt;&gt;"",'All Cases - Enter Cases'!B985,"")</f>
        <v/>
      </c>
      <c r="C985" t="str">
        <f>IF($A985&lt;&gt;"",'All Cases - Enter Cases'!C985,"")</f>
        <v/>
      </c>
      <c r="D985" t="str">
        <f>IF($A985&lt;&gt;"",'All Cases - Enter Cases'!D985,"")</f>
        <v/>
      </c>
      <c r="E985" t="str">
        <f>IF($A985&lt;&gt;"",'All Cases - Enter Cases'!E985,"")</f>
        <v/>
      </c>
      <c r="F985" t="str">
        <f>IF($A985&lt;&gt;"",'All Cases - Enter Cases'!F985,"")</f>
        <v/>
      </c>
      <c r="G985" t="str">
        <f>IF($A985&lt;&gt;"",'All Cases - Enter Cases'!G985,"")</f>
        <v/>
      </c>
      <c r="H985" t="str">
        <f>IF($A985&lt;&gt;"",'All Cases - Enter Cases'!H985,"")</f>
        <v/>
      </c>
      <c r="I985" t="str">
        <f>IF($A985&lt;&gt;"",'All Cases - Enter Cases'!I985,"")</f>
        <v/>
      </c>
      <c r="J985" t="str">
        <f>IF($A985&lt;&gt;"",'All Cases - Enter Cases'!J985,"")</f>
        <v/>
      </c>
      <c r="K985" t="str">
        <f>IF($A985&lt;&gt;"",'All Cases - Enter Cases'!K985,"")</f>
        <v/>
      </c>
      <c r="L985" t="str">
        <f>IF($A985&lt;&gt;"",'All Cases - Enter Cases'!L985,"")</f>
        <v/>
      </c>
      <c r="M985" t="str">
        <f>IF($A985&lt;&gt;"",'All Cases - Enter Cases'!M985,"")</f>
        <v/>
      </c>
    </row>
    <row r="986" spans="1:13" x14ac:dyDescent="0.35">
      <c r="A986" t="str">
        <f>IF('All Cases - Enter Cases'!$F986="KPK",'All Cases - Enter Cases'!A986,"")</f>
        <v/>
      </c>
      <c r="B986" t="str">
        <f>IF($A986&lt;&gt;"",'All Cases - Enter Cases'!B986,"")</f>
        <v/>
      </c>
      <c r="C986" t="str">
        <f>IF($A986&lt;&gt;"",'All Cases - Enter Cases'!C986,"")</f>
        <v/>
      </c>
      <c r="D986" t="str">
        <f>IF($A986&lt;&gt;"",'All Cases - Enter Cases'!D986,"")</f>
        <v/>
      </c>
      <c r="E986" t="str">
        <f>IF($A986&lt;&gt;"",'All Cases - Enter Cases'!E986,"")</f>
        <v/>
      </c>
      <c r="F986" t="str">
        <f>IF($A986&lt;&gt;"",'All Cases - Enter Cases'!F986,"")</f>
        <v/>
      </c>
      <c r="G986" t="str">
        <f>IF($A986&lt;&gt;"",'All Cases - Enter Cases'!G986,"")</f>
        <v/>
      </c>
      <c r="H986" t="str">
        <f>IF($A986&lt;&gt;"",'All Cases - Enter Cases'!H986,"")</f>
        <v/>
      </c>
      <c r="I986" t="str">
        <f>IF($A986&lt;&gt;"",'All Cases - Enter Cases'!I986,"")</f>
        <v/>
      </c>
      <c r="J986" t="str">
        <f>IF($A986&lt;&gt;"",'All Cases - Enter Cases'!J986,"")</f>
        <v/>
      </c>
      <c r="K986" t="str">
        <f>IF($A986&lt;&gt;"",'All Cases - Enter Cases'!K986,"")</f>
        <v/>
      </c>
      <c r="L986" t="str">
        <f>IF($A986&lt;&gt;"",'All Cases - Enter Cases'!L986,"")</f>
        <v/>
      </c>
      <c r="M986" t="str">
        <f>IF($A986&lt;&gt;"",'All Cases - Enter Cases'!M986,"")</f>
        <v/>
      </c>
    </row>
    <row r="987" spans="1:13" x14ac:dyDescent="0.35">
      <c r="A987" t="str">
        <f>IF('All Cases - Enter Cases'!$F987="KPK",'All Cases - Enter Cases'!A987,"")</f>
        <v/>
      </c>
      <c r="B987" t="str">
        <f>IF($A987&lt;&gt;"",'All Cases - Enter Cases'!B987,"")</f>
        <v/>
      </c>
      <c r="C987" t="str">
        <f>IF($A987&lt;&gt;"",'All Cases - Enter Cases'!C987,"")</f>
        <v/>
      </c>
      <c r="D987" t="str">
        <f>IF($A987&lt;&gt;"",'All Cases - Enter Cases'!D987,"")</f>
        <v/>
      </c>
      <c r="E987" t="str">
        <f>IF($A987&lt;&gt;"",'All Cases - Enter Cases'!E987,"")</f>
        <v/>
      </c>
      <c r="F987" t="str">
        <f>IF($A987&lt;&gt;"",'All Cases - Enter Cases'!F987,"")</f>
        <v/>
      </c>
      <c r="G987" t="str">
        <f>IF($A987&lt;&gt;"",'All Cases - Enter Cases'!G987,"")</f>
        <v/>
      </c>
      <c r="H987" t="str">
        <f>IF($A987&lt;&gt;"",'All Cases - Enter Cases'!H987,"")</f>
        <v/>
      </c>
      <c r="I987" t="str">
        <f>IF($A987&lt;&gt;"",'All Cases - Enter Cases'!I987,"")</f>
        <v/>
      </c>
      <c r="J987" t="str">
        <f>IF($A987&lt;&gt;"",'All Cases - Enter Cases'!J987,"")</f>
        <v/>
      </c>
      <c r="K987" t="str">
        <f>IF($A987&lt;&gt;"",'All Cases - Enter Cases'!K987,"")</f>
        <v/>
      </c>
      <c r="L987" t="str">
        <f>IF($A987&lt;&gt;"",'All Cases - Enter Cases'!L987,"")</f>
        <v/>
      </c>
      <c r="M987" t="str">
        <f>IF($A987&lt;&gt;"",'All Cases - Enter Cases'!M987,"")</f>
        <v/>
      </c>
    </row>
    <row r="988" spans="1:13" x14ac:dyDescent="0.35">
      <c r="A988" t="str">
        <f>IF('All Cases - Enter Cases'!$F988="KPK",'All Cases - Enter Cases'!A988,"")</f>
        <v/>
      </c>
      <c r="B988" t="str">
        <f>IF($A988&lt;&gt;"",'All Cases - Enter Cases'!B988,"")</f>
        <v/>
      </c>
      <c r="C988" t="str">
        <f>IF($A988&lt;&gt;"",'All Cases - Enter Cases'!C988,"")</f>
        <v/>
      </c>
      <c r="D988" t="str">
        <f>IF($A988&lt;&gt;"",'All Cases - Enter Cases'!D988,"")</f>
        <v/>
      </c>
      <c r="E988" t="str">
        <f>IF($A988&lt;&gt;"",'All Cases - Enter Cases'!E988,"")</f>
        <v/>
      </c>
      <c r="F988" t="str">
        <f>IF($A988&lt;&gt;"",'All Cases - Enter Cases'!F988,"")</f>
        <v/>
      </c>
      <c r="G988" t="str">
        <f>IF($A988&lt;&gt;"",'All Cases - Enter Cases'!G988,"")</f>
        <v/>
      </c>
      <c r="H988" t="str">
        <f>IF($A988&lt;&gt;"",'All Cases - Enter Cases'!H988,"")</f>
        <v/>
      </c>
      <c r="I988" t="str">
        <f>IF($A988&lt;&gt;"",'All Cases - Enter Cases'!I988,"")</f>
        <v/>
      </c>
      <c r="J988" t="str">
        <f>IF($A988&lt;&gt;"",'All Cases - Enter Cases'!J988,"")</f>
        <v/>
      </c>
      <c r="K988" t="str">
        <f>IF($A988&lt;&gt;"",'All Cases - Enter Cases'!K988,"")</f>
        <v/>
      </c>
      <c r="L988" t="str">
        <f>IF($A988&lt;&gt;"",'All Cases - Enter Cases'!L988,"")</f>
        <v/>
      </c>
      <c r="M988" t="str">
        <f>IF($A988&lt;&gt;"",'All Cases - Enter Cases'!M988,"")</f>
        <v/>
      </c>
    </row>
    <row r="989" spans="1:13" x14ac:dyDescent="0.35">
      <c r="A989" t="str">
        <f>IF('All Cases - Enter Cases'!$F989="KPK",'All Cases - Enter Cases'!A989,"")</f>
        <v/>
      </c>
      <c r="B989" t="str">
        <f>IF($A989&lt;&gt;"",'All Cases - Enter Cases'!B989,"")</f>
        <v/>
      </c>
      <c r="C989" t="str">
        <f>IF($A989&lt;&gt;"",'All Cases - Enter Cases'!C989,"")</f>
        <v/>
      </c>
      <c r="D989" t="str">
        <f>IF($A989&lt;&gt;"",'All Cases - Enter Cases'!D989,"")</f>
        <v/>
      </c>
      <c r="E989" t="str">
        <f>IF($A989&lt;&gt;"",'All Cases - Enter Cases'!E989,"")</f>
        <v/>
      </c>
      <c r="F989" t="str">
        <f>IF($A989&lt;&gt;"",'All Cases - Enter Cases'!F989,"")</f>
        <v/>
      </c>
      <c r="G989" t="str">
        <f>IF($A989&lt;&gt;"",'All Cases - Enter Cases'!G989,"")</f>
        <v/>
      </c>
      <c r="H989" t="str">
        <f>IF($A989&lt;&gt;"",'All Cases - Enter Cases'!H989,"")</f>
        <v/>
      </c>
      <c r="I989" t="str">
        <f>IF($A989&lt;&gt;"",'All Cases - Enter Cases'!I989,"")</f>
        <v/>
      </c>
      <c r="J989" t="str">
        <f>IF($A989&lt;&gt;"",'All Cases - Enter Cases'!J989,"")</f>
        <v/>
      </c>
      <c r="K989" t="str">
        <f>IF($A989&lt;&gt;"",'All Cases - Enter Cases'!K989,"")</f>
        <v/>
      </c>
      <c r="L989" t="str">
        <f>IF($A989&lt;&gt;"",'All Cases - Enter Cases'!L989,"")</f>
        <v/>
      </c>
      <c r="M989" t="str">
        <f>IF($A989&lt;&gt;"",'All Cases - Enter Cases'!M989,"")</f>
        <v/>
      </c>
    </row>
    <row r="990" spans="1:13" x14ac:dyDescent="0.35">
      <c r="A990" t="str">
        <f>IF('All Cases - Enter Cases'!$F990="KPK",'All Cases - Enter Cases'!A990,"")</f>
        <v/>
      </c>
      <c r="B990" t="str">
        <f>IF($A990&lt;&gt;"",'All Cases - Enter Cases'!B990,"")</f>
        <v/>
      </c>
      <c r="C990" t="str">
        <f>IF($A990&lt;&gt;"",'All Cases - Enter Cases'!C990,"")</f>
        <v/>
      </c>
      <c r="D990" t="str">
        <f>IF($A990&lt;&gt;"",'All Cases - Enter Cases'!D990,"")</f>
        <v/>
      </c>
      <c r="E990" t="str">
        <f>IF($A990&lt;&gt;"",'All Cases - Enter Cases'!E990,"")</f>
        <v/>
      </c>
      <c r="F990" t="str">
        <f>IF($A990&lt;&gt;"",'All Cases - Enter Cases'!F990,"")</f>
        <v/>
      </c>
      <c r="G990" t="str">
        <f>IF($A990&lt;&gt;"",'All Cases - Enter Cases'!G990,"")</f>
        <v/>
      </c>
      <c r="H990" t="str">
        <f>IF($A990&lt;&gt;"",'All Cases - Enter Cases'!H990,"")</f>
        <v/>
      </c>
      <c r="I990" t="str">
        <f>IF($A990&lt;&gt;"",'All Cases - Enter Cases'!I990,"")</f>
        <v/>
      </c>
      <c r="J990" t="str">
        <f>IF($A990&lt;&gt;"",'All Cases - Enter Cases'!J990,"")</f>
        <v/>
      </c>
      <c r="K990" t="str">
        <f>IF($A990&lt;&gt;"",'All Cases - Enter Cases'!K990,"")</f>
        <v/>
      </c>
      <c r="L990" t="str">
        <f>IF($A990&lt;&gt;"",'All Cases - Enter Cases'!L990,"")</f>
        <v/>
      </c>
      <c r="M990" t="str">
        <f>IF($A990&lt;&gt;"",'All Cases - Enter Cases'!M990,"")</f>
        <v/>
      </c>
    </row>
    <row r="991" spans="1:13" x14ac:dyDescent="0.35">
      <c r="A991" t="str">
        <f>IF('All Cases - Enter Cases'!$F991="KPK",'All Cases - Enter Cases'!A991,"")</f>
        <v/>
      </c>
      <c r="B991" t="str">
        <f>IF($A991&lt;&gt;"",'All Cases - Enter Cases'!B991,"")</f>
        <v/>
      </c>
      <c r="C991" t="str">
        <f>IF($A991&lt;&gt;"",'All Cases - Enter Cases'!C991,"")</f>
        <v/>
      </c>
      <c r="D991" t="str">
        <f>IF($A991&lt;&gt;"",'All Cases - Enter Cases'!D991,"")</f>
        <v/>
      </c>
      <c r="E991" t="str">
        <f>IF($A991&lt;&gt;"",'All Cases - Enter Cases'!E991,"")</f>
        <v/>
      </c>
      <c r="F991" t="str">
        <f>IF($A991&lt;&gt;"",'All Cases - Enter Cases'!F991,"")</f>
        <v/>
      </c>
      <c r="G991" t="str">
        <f>IF($A991&lt;&gt;"",'All Cases - Enter Cases'!G991,"")</f>
        <v/>
      </c>
      <c r="H991" t="str">
        <f>IF($A991&lt;&gt;"",'All Cases - Enter Cases'!H991,"")</f>
        <v/>
      </c>
      <c r="I991" t="str">
        <f>IF($A991&lt;&gt;"",'All Cases - Enter Cases'!I991,"")</f>
        <v/>
      </c>
      <c r="J991" t="str">
        <f>IF($A991&lt;&gt;"",'All Cases - Enter Cases'!J991,"")</f>
        <v/>
      </c>
      <c r="K991" t="str">
        <f>IF($A991&lt;&gt;"",'All Cases - Enter Cases'!K991,"")</f>
        <v/>
      </c>
      <c r="L991" t="str">
        <f>IF($A991&lt;&gt;"",'All Cases - Enter Cases'!L991,"")</f>
        <v/>
      </c>
      <c r="M991" t="str">
        <f>IF($A991&lt;&gt;"",'All Cases - Enter Cases'!M991,"")</f>
        <v/>
      </c>
    </row>
    <row r="992" spans="1:13" x14ac:dyDescent="0.35">
      <c r="A992" t="str">
        <f>IF('All Cases - Enter Cases'!$F992="KPK",'All Cases - Enter Cases'!A992,"")</f>
        <v/>
      </c>
      <c r="B992" t="str">
        <f>IF($A992&lt;&gt;"",'All Cases - Enter Cases'!B992,"")</f>
        <v/>
      </c>
      <c r="C992" t="str">
        <f>IF($A992&lt;&gt;"",'All Cases - Enter Cases'!C992,"")</f>
        <v/>
      </c>
      <c r="D992" t="str">
        <f>IF($A992&lt;&gt;"",'All Cases - Enter Cases'!D992,"")</f>
        <v/>
      </c>
      <c r="E992" t="str">
        <f>IF($A992&lt;&gt;"",'All Cases - Enter Cases'!E992,"")</f>
        <v/>
      </c>
      <c r="F992" t="str">
        <f>IF($A992&lt;&gt;"",'All Cases - Enter Cases'!F992,"")</f>
        <v/>
      </c>
      <c r="G992" t="str">
        <f>IF($A992&lt;&gt;"",'All Cases - Enter Cases'!G992,"")</f>
        <v/>
      </c>
      <c r="H992" t="str">
        <f>IF($A992&lt;&gt;"",'All Cases - Enter Cases'!H992,"")</f>
        <v/>
      </c>
      <c r="I992" t="str">
        <f>IF($A992&lt;&gt;"",'All Cases - Enter Cases'!I992,"")</f>
        <v/>
      </c>
      <c r="J992" t="str">
        <f>IF($A992&lt;&gt;"",'All Cases - Enter Cases'!J992,"")</f>
        <v/>
      </c>
      <c r="K992" t="str">
        <f>IF($A992&lt;&gt;"",'All Cases - Enter Cases'!K992,"")</f>
        <v/>
      </c>
      <c r="L992" t="str">
        <f>IF($A992&lt;&gt;"",'All Cases - Enter Cases'!L992,"")</f>
        <v/>
      </c>
      <c r="M992" t="str">
        <f>IF($A992&lt;&gt;"",'All Cases - Enter Cases'!M992,"")</f>
        <v/>
      </c>
    </row>
    <row r="993" spans="1:13" x14ac:dyDescent="0.35">
      <c r="A993" t="str">
        <f>IF('All Cases - Enter Cases'!$F993="KPK",'All Cases - Enter Cases'!A993,"")</f>
        <v/>
      </c>
      <c r="B993" t="str">
        <f>IF($A993&lt;&gt;"",'All Cases - Enter Cases'!B993,"")</f>
        <v/>
      </c>
      <c r="C993" t="str">
        <f>IF($A993&lt;&gt;"",'All Cases - Enter Cases'!C993,"")</f>
        <v/>
      </c>
      <c r="D993" t="str">
        <f>IF($A993&lt;&gt;"",'All Cases - Enter Cases'!D993,"")</f>
        <v/>
      </c>
      <c r="E993" t="str">
        <f>IF($A993&lt;&gt;"",'All Cases - Enter Cases'!E993,"")</f>
        <v/>
      </c>
      <c r="F993" t="str">
        <f>IF($A993&lt;&gt;"",'All Cases - Enter Cases'!F993,"")</f>
        <v/>
      </c>
      <c r="G993" t="str">
        <f>IF($A993&lt;&gt;"",'All Cases - Enter Cases'!G993,"")</f>
        <v/>
      </c>
      <c r="H993" t="str">
        <f>IF($A993&lt;&gt;"",'All Cases - Enter Cases'!H993,"")</f>
        <v/>
      </c>
      <c r="I993" t="str">
        <f>IF($A993&lt;&gt;"",'All Cases - Enter Cases'!I993,"")</f>
        <v/>
      </c>
      <c r="J993" t="str">
        <f>IF($A993&lt;&gt;"",'All Cases - Enter Cases'!J993,"")</f>
        <v/>
      </c>
      <c r="K993" t="str">
        <f>IF($A993&lt;&gt;"",'All Cases - Enter Cases'!K993,"")</f>
        <v/>
      </c>
      <c r="L993" t="str">
        <f>IF($A993&lt;&gt;"",'All Cases - Enter Cases'!L993,"")</f>
        <v/>
      </c>
      <c r="M993" t="str">
        <f>IF($A993&lt;&gt;"",'All Cases - Enter Cases'!M993,"")</f>
        <v/>
      </c>
    </row>
    <row r="994" spans="1:13" x14ac:dyDescent="0.35">
      <c r="A994" t="str">
        <f>IF('All Cases - Enter Cases'!$F994="KPK",'All Cases - Enter Cases'!A994,"")</f>
        <v/>
      </c>
      <c r="B994" t="str">
        <f>IF($A994&lt;&gt;"",'All Cases - Enter Cases'!B994,"")</f>
        <v/>
      </c>
      <c r="C994" t="str">
        <f>IF($A994&lt;&gt;"",'All Cases - Enter Cases'!C994,"")</f>
        <v/>
      </c>
      <c r="D994" t="str">
        <f>IF($A994&lt;&gt;"",'All Cases - Enter Cases'!D994,"")</f>
        <v/>
      </c>
      <c r="E994" t="str">
        <f>IF($A994&lt;&gt;"",'All Cases - Enter Cases'!E994,"")</f>
        <v/>
      </c>
      <c r="F994" t="str">
        <f>IF($A994&lt;&gt;"",'All Cases - Enter Cases'!F994,"")</f>
        <v/>
      </c>
      <c r="G994" t="str">
        <f>IF($A994&lt;&gt;"",'All Cases - Enter Cases'!G994,"")</f>
        <v/>
      </c>
      <c r="H994" t="str">
        <f>IF($A994&lt;&gt;"",'All Cases - Enter Cases'!H994,"")</f>
        <v/>
      </c>
      <c r="I994" t="str">
        <f>IF($A994&lt;&gt;"",'All Cases - Enter Cases'!I994,"")</f>
        <v/>
      </c>
      <c r="J994" t="str">
        <f>IF($A994&lt;&gt;"",'All Cases - Enter Cases'!J994,"")</f>
        <v/>
      </c>
      <c r="K994" t="str">
        <f>IF($A994&lt;&gt;"",'All Cases - Enter Cases'!K994,"")</f>
        <v/>
      </c>
      <c r="L994" t="str">
        <f>IF($A994&lt;&gt;"",'All Cases - Enter Cases'!L994,"")</f>
        <v/>
      </c>
      <c r="M994" t="str">
        <f>IF($A994&lt;&gt;"",'All Cases - Enter Cases'!M994,"")</f>
        <v/>
      </c>
    </row>
    <row r="995" spans="1:13" x14ac:dyDescent="0.35">
      <c r="A995" t="str">
        <f>IF('All Cases - Enter Cases'!$F995="KPK",'All Cases - Enter Cases'!A995,"")</f>
        <v/>
      </c>
      <c r="B995" t="str">
        <f>IF($A995&lt;&gt;"",'All Cases - Enter Cases'!B995,"")</f>
        <v/>
      </c>
      <c r="C995" t="str">
        <f>IF($A995&lt;&gt;"",'All Cases - Enter Cases'!C995,"")</f>
        <v/>
      </c>
      <c r="D995" t="str">
        <f>IF($A995&lt;&gt;"",'All Cases - Enter Cases'!D995,"")</f>
        <v/>
      </c>
      <c r="E995" t="str">
        <f>IF($A995&lt;&gt;"",'All Cases - Enter Cases'!E995,"")</f>
        <v/>
      </c>
      <c r="F995" t="str">
        <f>IF($A995&lt;&gt;"",'All Cases - Enter Cases'!F995,"")</f>
        <v/>
      </c>
      <c r="G995" t="str">
        <f>IF($A995&lt;&gt;"",'All Cases - Enter Cases'!G995,"")</f>
        <v/>
      </c>
      <c r="H995" t="str">
        <f>IF($A995&lt;&gt;"",'All Cases - Enter Cases'!H995,"")</f>
        <v/>
      </c>
      <c r="I995" t="str">
        <f>IF($A995&lt;&gt;"",'All Cases - Enter Cases'!I995,"")</f>
        <v/>
      </c>
      <c r="J995" t="str">
        <f>IF($A995&lt;&gt;"",'All Cases - Enter Cases'!J995,"")</f>
        <v/>
      </c>
      <c r="K995" t="str">
        <f>IF($A995&lt;&gt;"",'All Cases - Enter Cases'!K995,"")</f>
        <v/>
      </c>
      <c r="L995" t="str">
        <f>IF($A995&lt;&gt;"",'All Cases - Enter Cases'!L995,"")</f>
        <v/>
      </c>
      <c r="M995" t="str">
        <f>IF($A995&lt;&gt;"",'All Cases - Enter Cases'!M995,"")</f>
        <v/>
      </c>
    </row>
    <row r="996" spans="1:13" x14ac:dyDescent="0.35">
      <c r="A996" t="str">
        <f>IF('All Cases - Enter Cases'!$F996="KPK",'All Cases - Enter Cases'!A996,"")</f>
        <v/>
      </c>
      <c r="B996" t="str">
        <f>IF($A996&lt;&gt;"",'All Cases - Enter Cases'!B996,"")</f>
        <v/>
      </c>
      <c r="C996" t="str">
        <f>IF($A996&lt;&gt;"",'All Cases - Enter Cases'!C996,"")</f>
        <v/>
      </c>
      <c r="D996" t="str">
        <f>IF($A996&lt;&gt;"",'All Cases - Enter Cases'!D996,"")</f>
        <v/>
      </c>
      <c r="E996" t="str">
        <f>IF($A996&lt;&gt;"",'All Cases - Enter Cases'!E996,"")</f>
        <v/>
      </c>
      <c r="F996" t="str">
        <f>IF($A996&lt;&gt;"",'All Cases - Enter Cases'!F996,"")</f>
        <v/>
      </c>
      <c r="G996" t="str">
        <f>IF($A996&lt;&gt;"",'All Cases - Enter Cases'!G996,"")</f>
        <v/>
      </c>
      <c r="H996" t="str">
        <f>IF($A996&lt;&gt;"",'All Cases - Enter Cases'!H996,"")</f>
        <v/>
      </c>
      <c r="I996" t="str">
        <f>IF($A996&lt;&gt;"",'All Cases - Enter Cases'!I996,"")</f>
        <v/>
      </c>
      <c r="J996" t="str">
        <f>IF($A996&lt;&gt;"",'All Cases - Enter Cases'!J996,"")</f>
        <v/>
      </c>
      <c r="K996" t="str">
        <f>IF($A996&lt;&gt;"",'All Cases - Enter Cases'!K996,"")</f>
        <v/>
      </c>
      <c r="L996" t="str">
        <f>IF($A996&lt;&gt;"",'All Cases - Enter Cases'!L996,"")</f>
        <v/>
      </c>
      <c r="M996" t="str">
        <f>IF($A996&lt;&gt;"",'All Cases - Enter Cases'!M996,"")</f>
        <v/>
      </c>
    </row>
    <row r="997" spans="1:13" x14ac:dyDescent="0.35">
      <c r="A997" t="str">
        <f>IF('All Cases - Enter Cases'!$F997="KPK",'All Cases - Enter Cases'!A997,"")</f>
        <v/>
      </c>
      <c r="B997" t="str">
        <f>IF($A997&lt;&gt;"",'All Cases - Enter Cases'!B997,"")</f>
        <v/>
      </c>
      <c r="C997" t="str">
        <f>IF($A997&lt;&gt;"",'All Cases - Enter Cases'!C997,"")</f>
        <v/>
      </c>
      <c r="D997" t="str">
        <f>IF($A997&lt;&gt;"",'All Cases - Enter Cases'!D997,"")</f>
        <v/>
      </c>
      <c r="E997" t="str">
        <f>IF($A997&lt;&gt;"",'All Cases - Enter Cases'!E997,"")</f>
        <v/>
      </c>
      <c r="F997" t="str">
        <f>IF($A997&lt;&gt;"",'All Cases - Enter Cases'!F997,"")</f>
        <v/>
      </c>
      <c r="G997" t="str">
        <f>IF($A997&lt;&gt;"",'All Cases - Enter Cases'!G997,"")</f>
        <v/>
      </c>
      <c r="H997" t="str">
        <f>IF($A997&lt;&gt;"",'All Cases - Enter Cases'!H997,"")</f>
        <v/>
      </c>
      <c r="I997" t="str">
        <f>IF($A997&lt;&gt;"",'All Cases - Enter Cases'!I997,"")</f>
        <v/>
      </c>
      <c r="J997" t="str">
        <f>IF($A997&lt;&gt;"",'All Cases - Enter Cases'!J997,"")</f>
        <v/>
      </c>
      <c r="K997" t="str">
        <f>IF($A997&lt;&gt;"",'All Cases - Enter Cases'!K997,"")</f>
        <v/>
      </c>
      <c r="L997" t="str">
        <f>IF($A997&lt;&gt;"",'All Cases - Enter Cases'!L997,"")</f>
        <v/>
      </c>
      <c r="M997" t="str">
        <f>IF($A997&lt;&gt;"",'All Cases - Enter Cases'!M997,"")</f>
        <v/>
      </c>
    </row>
    <row r="998" spans="1:13" x14ac:dyDescent="0.35">
      <c r="A998" t="str">
        <f>IF('All Cases - Enter Cases'!$F998="KPK",'All Cases - Enter Cases'!A998,"")</f>
        <v/>
      </c>
      <c r="B998" t="str">
        <f>IF($A998&lt;&gt;"",'All Cases - Enter Cases'!B998,"")</f>
        <v/>
      </c>
      <c r="C998" t="str">
        <f>IF($A998&lt;&gt;"",'All Cases - Enter Cases'!C998,"")</f>
        <v/>
      </c>
      <c r="D998" t="str">
        <f>IF($A998&lt;&gt;"",'All Cases - Enter Cases'!D998,"")</f>
        <v/>
      </c>
      <c r="E998" t="str">
        <f>IF($A998&lt;&gt;"",'All Cases - Enter Cases'!E998,"")</f>
        <v/>
      </c>
      <c r="F998" t="str">
        <f>IF($A998&lt;&gt;"",'All Cases - Enter Cases'!F998,"")</f>
        <v/>
      </c>
      <c r="G998" t="str">
        <f>IF($A998&lt;&gt;"",'All Cases - Enter Cases'!G998,"")</f>
        <v/>
      </c>
      <c r="H998" t="str">
        <f>IF($A998&lt;&gt;"",'All Cases - Enter Cases'!H998,"")</f>
        <v/>
      </c>
      <c r="I998" t="str">
        <f>IF($A998&lt;&gt;"",'All Cases - Enter Cases'!I998,"")</f>
        <v/>
      </c>
      <c r="J998" t="str">
        <f>IF($A998&lt;&gt;"",'All Cases - Enter Cases'!J998,"")</f>
        <v/>
      </c>
      <c r="K998" t="str">
        <f>IF($A998&lt;&gt;"",'All Cases - Enter Cases'!K998,"")</f>
        <v/>
      </c>
      <c r="L998" t="str">
        <f>IF($A998&lt;&gt;"",'All Cases - Enter Cases'!L998,"")</f>
        <v/>
      </c>
      <c r="M998" t="str">
        <f>IF($A998&lt;&gt;"",'All Cases - Enter Cases'!M998,"")</f>
        <v/>
      </c>
    </row>
    <row r="999" spans="1:13" x14ac:dyDescent="0.35">
      <c r="A999" t="str">
        <f>IF('All Cases - Enter Cases'!$F999="KPK",'All Cases - Enter Cases'!A999,"")</f>
        <v/>
      </c>
      <c r="B999" t="str">
        <f>IF($A999&lt;&gt;"",'All Cases - Enter Cases'!B999,"")</f>
        <v/>
      </c>
      <c r="C999" t="str">
        <f>IF($A999&lt;&gt;"",'All Cases - Enter Cases'!C999,"")</f>
        <v/>
      </c>
      <c r="D999" t="str">
        <f>IF($A999&lt;&gt;"",'All Cases - Enter Cases'!D999,"")</f>
        <v/>
      </c>
      <c r="E999" t="str">
        <f>IF($A999&lt;&gt;"",'All Cases - Enter Cases'!E999,"")</f>
        <v/>
      </c>
      <c r="F999" t="str">
        <f>IF($A999&lt;&gt;"",'All Cases - Enter Cases'!F999,"")</f>
        <v/>
      </c>
      <c r="G999" t="str">
        <f>IF($A999&lt;&gt;"",'All Cases - Enter Cases'!G999,"")</f>
        <v/>
      </c>
      <c r="H999" t="str">
        <f>IF($A999&lt;&gt;"",'All Cases - Enter Cases'!H999,"")</f>
        <v/>
      </c>
      <c r="I999" t="str">
        <f>IF($A999&lt;&gt;"",'All Cases - Enter Cases'!I999,"")</f>
        <v/>
      </c>
      <c r="J999" t="str">
        <f>IF($A999&lt;&gt;"",'All Cases - Enter Cases'!J999,"")</f>
        <v/>
      </c>
      <c r="K999" t="str">
        <f>IF($A999&lt;&gt;"",'All Cases - Enter Cases'!K999,"")</f>
        <v/>
      </c>
      <c r="L999" t="str">
        <f>IF($A999&lt;&gt;"",'All Cases - Enter Cases'!L999,"")</f>
        <v/>
      </c>
      <c r="M999" t="str">
        <f>IF($A999&lt;&gt;"",'All Cases - Enter Cases'!M999,"")</f>
        <v/>
      </c>
    </row>
    <row r="1000" spans="1:13" x14ac:dyDescent="0.35">
      <c r="A1000" t="str">
        <f>IF('All Cases - Enter Cases'!$F1000="KPK",'All Cases - Enter Cases'!A1000,"")</f>
        <v/>
      </c>
      <c r="B1000" t="str">
        <f>IF($A1000&lt;&gt;"",'All Cases - Enter Cases'!B1000,"")</f>
        <v/>
      </c>
      <c r="C1000" t="str">
        <f>IF($A1000&lt;&gt;"",'All Cases - Enter Cases'!C1000,"")</f>
        <v/>
      </c>
      <c r="D1000" t="str">
        <f>IF($A1000&lt;&gt;"",'All Cases - Enter Cases'!D1000,"")</f>
        <v/>
      </c>
      <c r="E1000" t="str">
        <f>IF($A1000&lt;&gt;"",'All Cases - Enter Cases'!E1000,"")</f>
        <v/>
      </c>
      <c r="F1000" t="str">
        <f>IF($A1000&lt;&gt;"",'All Cases - Enter Cases'!F1000,"")</f>
        <v/>
      </c>
      <c r="G1000" t="str">
        <f>IF($A1000&lt;&gt;"",'All Cases - Enter Cases'!G1000,"")</f>
        <v/>
      </c>
      <c r="H1000" t="str">
        <f>IF($A1000&lt;&gt;"",'All Cases - Enter Cases'!H1000,"")</f>
        <v/>
      </c>
      <c r="I1000" t="str">
        <f>IF($A1000&lt;&gt;"",'All Cases - Enter Cases'!I1000,"")</f>
        <v/>
      </c>
      <c r="J1000" t="str">
        <f>IF($A1000&lt;&gt;"",'All Cases - Enter Cases'!J1000,"")</f>
        <v/>
      </c>
      <c r="K1000" t="str">
        <f>IF($A1000&lt;&gt;"",'All Cases - Enter Cases'!K1000,"")</f>
        <v/>
      </c>
      <c r="L1000" t="str">
        <f>IF($A1000&lt;&gt;"",'All Cases - Enter Cases'!L1000,"")</f>
        <v/>
      </c>
      <c r="M1000" t="str">
        <f>IF($A1000&lt;&gt;"",'All Cases - Enter Cases'!M1000,"")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3" customWidth="1"/>
    <col min="3" max="3" width="17" customWidth="1"/>
    <col min="4" max="4" width="16" customWidth="1"/>
    <col min="5" max="7" width="10" customWidth="1"/>
    <col min="8" max="8" width="12" customWidth="1"/>
    <col min="9" max="9" width="14" customWidth="1"/>
    <col min="10" max="10" width="22" customWidth="1"/>
    <col min="11" max="12" width="13" customWidth="1"/>
    <col min="13" max="13" width="10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tr">
        <f>IF('All Cases - Enter Cases'!$F2="Balochistan",'All Cases - Enter Cases'!A2,"")</f>
        <v/>
      </c>
      <c r="B2" t="str">
        <f>IF($A2&lt;&gt;"",'All Cases - Enter Cases'!B2,"")</f>
        <v/>
      </c>
      <c r="C2" t="str">
        <f>IF($A2&lt;&gt;"",'All Cases - Enter Cases'!C2,"")</f>
        <v/>
      </c>
      <c r="D2" t="str">
        <f>IF($A2&lt;&gt;"",'All Cases - Enter Cases'!D2,"")</f>
        <v/>
      </c>
      <c r="E2" t="str">
        <f>IF($A2&lt;&gt;"",'All Cases - Enter Cases'!E2,"")</f>
        <v/>
      </c>
      <c r="F2" t="str">
        <f>IF($A2&lt;&gt;"",'All Cases - Enter Cases'!F2,"")</f>
        <v/>
      </c>
      <c r="G2" t="str">
        <f>IF($A2&lt;&gt;"",'All Cases - Enter Cases'!G2,"")</f>
        <v/>
      </c>
      <c r="H2" t="str">
        <f>IF($A2&lt;&gt;"",'All Cases - Enter Cases'!H2,"")</f>
        <v/>
      </c>
      <c r="I2" t="str">
        <f>IF($A2&lt;&gt;"",'All Cases - Enter Cases'!I2,"")</f>
        <v/>
      </c>
      <c r="J2" t="str">
        <f>IF($A2&lt;&gt;"",'All Cases - Enter Cases'!J2,"")</f>
        <v/>
      </c>
      <c r="K2" t="str">
        <f>IF($A2&lt;&gt;"",'All Cases - Enter Cases'!K2,"")</f>
        <v/>
      </c>
      <c r="L2" t="str">
        <f>IF($A2&lt;&gt;"",'All Cases - Enter Cases'!L2,"")</f>
        <v/>
      </c>
      <c r="M2" t="str">
        <f>IF($A2&lt;&gt;"",'All Cases - Enter Cases'!M2,"")</f>
        <v/>
      </c>
    </row>
    <row r="3" spans="1:13" x14ac:dyDescent="0.35">
      <c r="A3" t="str">
        <f>IF('All Cases - Enter Cases'!$F3="Balochistan",'All Cases - Enter Cases'!A3,"")</f>
        <v/>
      </c>
      <c r="B3" t="str">
        <f>IF($A3&lt;&gt;"",'All Cases - Enter Cases'!B3,"")</f>
        <v/>
      </c>
      <c r="C3" t="str">
        <f>IF($A3&lt;&gt;"",'All Cases - Enter Cases'!C3,"")</f>
        <v/>
      </c>
      <c r="D3" t="str">
        <f>IF($A3&lt;&gt;"",'All Cases - Enter Cases'!D3,"")</f>
        <v/>
      </c>
      <c r="E3" t="str">
        <f>IF($A3&lt;&gt;"",'All Cases - Enter Cases'!E3,"")</f>
        <v/>
      </c>
      <c r="F3" t="str">
        <f>IF($A3&lt;&gt;"",'All Cases - Enter Cases'!F3,"")</f>
        <v/>
      </c>
      <c r="G3" t="str">
        <f>IF($A3&lt;&gt;"",'All Cases - Enter Cases'!G3,"")</f>
        <v/>
      </c>
      <c r="H3" t="str">
        <f>IF($A3&lt;&gt;"",'All Cases - Enter Cases'!H3,"")</f>
        <v/>
      </c>
      <c r="I3" t="str">
        <f>IF($A3&lt;&gt;"",'All Cases - Enter Cases'!I3,"")</f>
        <v/>
      </c>
      <c r="J3" t="str">
        <f>IF($A3&lt;&gt;"",'All Cases - Enter Cases'!J3,"")</f>
        <v/>
      </c>
      <c r="K3" t="str">
        <f>IF($A3&lt;&gt;"",'All Cases - Enter Cases'!K3,"")</f>
        <v/>
      </c>
      <c r="L3" t="str">
        <f>IF($A3&lt;&gt;"",'All Cases - Enter Cases'!L3,"")</f>
        <v/>
      </c>
      <c r="M3" t="str">
        <f>IF($A3&lt;&gt;"",'All Cases - Enter Cases'!M3,"")</f>
        <v/>
      </c>
    </row>
    <row r="4" spans="1:13" x14ac:dyDescent="0.35">
      <c r="A4" t="str">
        <f>IF('All Cases - Enter Cases'!$F4="Balochistan",'All Cases - Enter Cases'!A4,"")</f>
        <v/>
      </c>
      <c r="B4" t="str">
        <f>IF($A4&lt;&gt;"",'All Cases - Enter Cases'!B4,"")</f>
        <v/>
      </c>
      <c r="C4" t="str">
        <f>IF($A4&lt;&gt;"",'All Cases - Enter Cases'!C4,"")</f>
        <v/>
      </c>
      <c r="D4" t="str">
        <f>IF($A4&lt;&gt;"",'All Cases - Enter Cases'!D4,"")</f>
        <v/>
      </c>
      <c r="E4" t="str">
        <f>IF($A4&lt;&gt;"",'All Cases - Enter Cases'!E4,"")</f>
        <v/>
      </c>
      <c r="F4" t="str">
        <f>IF($A4&lt;&gt;"",'All Cases - Enter Cases'!F4,"")</f>
        <v/>
      </c>
      <c r="G4" t="str">
        <f>IF($A4&lt;&gt;"",'All Cases - Enter Cases'!G4,"")</f>
        <v/>
      </c>
      <c r="H4" t="str">
        <f>IF($A4&lt;&gt;"",'All Cases - Enter Cases'!H4,"")</f>
        <v/>
      </c>
      <c r="I4" t="str">
        <f>IF($A4&lt;&gt;"",'All Cases - Enter Cases'!I4,"")</f>
        <v/>
      </c>
      <c r="J4" t="str">
        <f>IF($A4&lt;&gt;"",'All Cases - Enter Cases'!J4,"")</f>
        <v/>
      </c>
      <c r="K4" t="str">
        <f>IF($A4&lt;&gt;"",'All Cases - Enter Cases'!K4,"")</f>
        <v/>
      </c>
      <c r="L4" t="str">
        <f>IF($A4&lt;&gt;"",'All Cases - Enter Cases'!L4,"")</f>
        <v/>
      </c>
      <c r="M4" t="str">
        <f>IF($A4&lt;&gt;"",'All Cases - Enter Cases'!M4,"")</f>
        <v/>
      </c>
    </row>
    <row r="5" spans="1:13" x14ac:dyDescent="0.35">
      <c r="A5" t="str">
        <f>IF('All Cases - Enter Cases'!$F5="Balochistan",'All Cases - Enter Cases'!A5,"")</f>
        <v/>
      </c>
      <c r="B5" t="str">
        <f>IF($A5&lt;&gt;"",'All Cases - Enter Cases'!B5,"")</f>
        <v/>
      </c>
      <c r="C5" t="str">
        <f>IF($A5&lt;&gt;"",'All Cases - Enter Cases'!C5,"")</f>
        <v/>
      </c>
      <c r="D5" t="str">
        <f>IF($A5&lt;&gt;"",'All Cases - Enter Cases'!D5,"")</f>
        <v/>
      </c>
      <c r="E5" t="str">
        <f>IF($A5&lt;&gt;"",'All Cases - Enter Cases'!E5,"")</f>
        <v/>
      </c>
      <c r="F5" t="str">
        <f>IF($A5&lt;&gt;"",'All Cases - Enter Cases'!F5,"")</f>
        <v/>
      </c>
      <c r="G5" t="str">
        <f>IF($A5&lt;&gt;"",'All Cases - Enter Cases'!G5,"")</f>
        <v/>
      </c>
      <c r="H5" t="str">
        <f>IF($A5&lt;&gt;"",'All Cases - Enter Cases'!H5,"")</f>
        <v/>
      </c>
      <c r="I5" t="str">
        <f>IF($A5&lt;&gt;"",'All Cases - Enter Cases'!I5,"")</f>
        <v/>
      </c>
      <c r="J5" t="str">
        <f>IF($A5&lt;&gt;"",'All Cases - Enter Cases'!J5,"")</f>
        <v/>
      </c>
      <c r="K5" t="str">
        <f>IF($A5&lt;&gt;"",'All Cases - Enter Cases'!K5,"")</f>
        <v/>
      </c>
      <c r="L5" t="str">
        <f>IF($A5&lt;&gt;"",'All Cases - Enter Cases'!L5,"")</f>
        <v/>
      </c>
      <c r="M5" t="str">
        <f>IF($A5&lt;&gt;"",'All Cases - Enter Cases'!M5,"")</f>
        <v/>
      </c>
    </row>
    <row r="6" spans="1:13" x14ac:dyDescent="0.35">
      <c r="A6" t="str">
        <f>IF('All Cases - Enter Cases'!$F6="Balochistan",'All Cases - Enter Cases'!A6,"")</f>
        <v/>
      </c>
      <c r="B6" t="str">
        <f>IF($A6&lt;&gt;"",'All Cases - Enter Cases'!B6,"")</f>
        <v/>
      </c>
      <c r="C6" t="str">
        <f>IF($A6&lt;&gt;"",'All Cases - Enter Cases'!C6,"")</f>
        <v/>
      </c>
      <c r="D6" t="str">
        <f>IF($A6&lt;&gt;"",'All Cases - Enter Cases'!D6,"")</f>
        <v/>
      </c>
      <c r="E6" t="str">
        <f>IF($A6&lt;&gt;"",'All Cases - Enter Cases'!E6,"")</f>
        <v/>
      </c>
      <c r="F6" t="str">
        <f>IF($A6&lt;&gt;"",'All Cases - Enter Cases'!F6,"")</f>
        <v/>
      </c>
      <c r="G6" t="str">
        <f>IF($A6&lt;&gt;"",'All Cases - Enter Cases'!G6,"")</f>
        <v/>
      </c>
      <c r="H6" t="str">
        <f>IF($A6&lt;&gt;"",'All Cases - Enter Cases'!H6,"")</f>
        <v/>
      </c>
      <c r="I6" t="str">
        <f>IF($A6&lt;&gt;"",'All Cases - Enter Cases'!I6,"")</f>
        <v/>
      </c>
      <c r="J6" t="str">
        <f>IF($A6&lt;&gt;"",'All Cases - Enter Cases'!J6,"")</f>
        <v/>
      </c>
      <c r="K6" t="str">
        <f>IF($A6&lt;&gt;"",'All Cases - Enter Cases'!K6,"")</f>
        <v/>
      </c>
      <c r="L6" t="str">
        <f>IF($A6&lt;&gt;"",'All Cases - Enter Cases'!L6,"")</f>
        <v/>
      </c>
      <c r="M6" t="str">
        <f>IF($A6&lt;&gt;"",'All Cases - Enter Cases'!M6,"")</f>
        <v/>
      </c>
    </row>
    <row r="7" spans="1:13" x14ac:dyDescent="0.35">
      <c r="A7" t="str">
        <f>IF('All Cases - Enter Cases'!$F7="Balochistan",'All Cases - Enter Cases'!A7,"")</f>
        <v/>
      </c>
      <c r="B7" t="str">
        <f>IF($A7&lt;&gt;"",'All Cases - Enter Cases'!B7,"")</f>
        <v/>
      </c>
      <c r="C7" t="str">
        <f>IF($A7&lt;&gt;"",'All Cases - Enter Cases'!C7,"")</f>
        <v/>
      </c>
      <c r="D7" t="str">
        <f>IF($A7&lt;&gt;"",'All Cases - Enter Cases'!D7,"")</f>
        <v/>
      </c>
      <c r="E7" t="str">
        <f>IF($A7&lt;&gt;"",'All Cases - Enter Cases'!E7,"")</f>
        <v/>
      </c>
      <c r="F7" t="str">
        <f>IF($A7&lt;&gt;"",'All Cases - Enter Cases'!F7,"")</f>
        <v/>
      </c>
      <c r="G7" t="str">
        <f>IF($A7&lt;&gt;"",'All Cases - Enter Cases'!G7,"")</f>
        <v/>
      </c>
      <c r="H7" t="str">
        <f>IF($A7&lt;&gt;"",'All Cases - Enter Cases'!H7,"")</f>
        <v/>
      </c>
      <c r="I7" t="str">
        <f>IF($A7&lt;&gt;"",'All Cases - Enter Cases'!I7,"")</f>
        <v/>
      </c>
      <c r="J7" t="str">
        <f>IF($A7&lt;&gt;"",'All Cases - Enter Cases'!J7,"")</f>
        <v/>
      </c>
      <c r="K7" t="str">
        <f>IF($A7&lt;&gt;"",'All Cases - Enter Cases'!K7,"")</f>
        <v/>
      </c>
      <c r="L7" t="str">
        <f>IF($A7&lt;&gt;"",'All Cases - Enter Cases'!L7,"")</f>
        <v/>
      </c>
      <c r="M7" t="str">
        <f>IF($A7&lt;&gt;"",'All Cases - Enter Cases'!M7,"")</f>
        <v/>
      </c>
    </row>
    <row r="8" spans="1:13" x14ac:dyDescent="0.35">
      <c r="A8" t="str">
        <f>IF('All Cases - Enter Cases'!$F8="Balochistan",'All Cases - Enter Cases'!A8,"")</f>
        <v/>
      </c>
      <c r="B8" t="str">
        <f>IF($A8&lt;&gt;"",'All Cases - Enter Cases'!B8,"")</f>
        <v/>
      </c>
      <c r="C8" t="str">
        <f>IF($A8&lt;&gt;"",'All Cases - Enter Cases'!C8,"")</f>
        <v/>
      </c>
      <c r="D8" t="str">
        <f>IF($A8&lt;&gt;"",'All Cases - Enter Cases'!D8,"")</f>
        <v/>
      </c>
      <c r="E8" t="str">
        <f>IF($A8&lt;&gt;"",'All Cases - Enter Cases'!E8,"")</f>
        <v/>
      </c>
      <c r="F8" t="str">
        <f>IF($A8&lt;&gt;"",'All Cases - Enter Cases'!F8,"")</f>
        <v/>
      </c>
      <c r="G8" t="str">
        <f>IF($A8&lt;&gt;"",'All Cases - Enter Cases'!G8,"")</f>
        <v/>
      </c>
      <c r="H8" t="str">
        <f>IF($A8&lt;&gt;"",'All Cases - Enter Cases'!H8,"")</f>
        <v/>
      </c>
      <c r="I8" t="str">
        <f>IF($A8&lt;&gt;"",'All Cases - Enter Cases'!I8,"")</f>
        <v/>
      </c>
      <c r="J8" t="str">
        <f>IF($A8&lt;&gt;"",'All Cases - Enter Cases'!J8,"")</f>
        <v/>
      </c>
      <c r="K8" t="str">
        <f>IF($A8&lt;&gt;"",'All Cases - Enter Cases'!K8,"")</f>
        <v/>
      </c>
      <c r="L8" t="str">
        <f>IF($A8&lt;&gt;"",'All Cases - Enter Cases'!L8,"")</f>
        <v/>
      </c>
      <c r="M8" t="str">
        <f>IF($A8&lt;&gt;"",'All Cases - Enter Cases'!M8,"")</f>
        <v/>
      </c>
    </row>
    <row r="9" spans="1:13" x14ac:dyDescent="0.35">
      <c r="A9" t="str">
        <f>IF('All Cases - Enter Cases'!$F9="Balochistan",'All Cases - Enter Cases'!A9,"")</f>
        <v/>
      </c>
      <c r="B9" t="str">
        <f>IF($A9&lt;&gt;"",'All Cases - Enter Cases'!B9,"")</f>
        <v/>
      </c>
      <c r="C9" t="str">
        <f>IF($A9&lt;&gt;"",'All Cases - Enter Cases'!C9,"")</f>
        <v/>
      </c>
      <c r="D9" t="str">
        <f>IF($A9&lt;&gt;"",'All Cases - Enter Cases'!D9,"")</f>
        <v/>
      </c>
      <c r="E9" t="str">
        <f>IF($A9&lt;&gt;"",'All Cases - Enter Cases'!E9,"")</f>
        <v/>
      </c>
      <c r="F9" t="str">
        <f>IF($A9&lt;&gt;"",'All Cases - Enter Cases'!F9,"")</f>
        <v/>
      </c>
      <c r="G9" t="str">
        <f>IF($A9&lt;&gt;"",'All Cases - Enter Cases'!G9,"")</f>
        <v/>
      </c>
      <c r="H9" t="str">
        <f>IF($A9&lt;&gt;"",'All Cases - Enter Cases'!H9,"")</f>
        <v/>
      </c>
      <c r="I9" t="str">
        <f>IF($A9&lt;&gt;"",'All Cases - Enter Cases'!I9,"")</f>
        <v/>
      </c>
      <c r="J9" t="str">
        <f>IF($A9&lt;&gt;"",'All Cases - Enter Cases'!J9,"")</f>
        <v/>
      </c>
      <c r="K9" t="str">
        <f>IF($A9&lt;&gt;"",'All Cases - Enter Cases'!K9,"")</f>
        <v/>
      </c>
      <c r="L9" t="str">
        <f>IF($A9&lt;&gt;"",'All Cases - Enter Cases'!L9,"")</f>
        <v/>
      </c>
      <c r="M9" t="str">
        <f>IF($A9&lt;&gt;"",'All Cases - Enter Cases'!M9,"")</f>
        <v/>
      </c>
    </row>
    <row r="10" spans="1:13" x14ac:dyDescent="0.35">
      <c r="A10" t="str">
        <f>IF('All Cases - Enter Cases'!$F10="Balochistan",'All Cases - Enter Cases'!A10,"")</f>
        <v/>
      </c>
      <c r="B10" t="str">
        <f>IF($A10&lt;&gt;"",'All Cases - Enter Cases'!B10,"")</f>
        <v/>
      </c>
      <c r="C10" t="str">
        <f>IF($A10&lt;&gt;"",'All Cases - Enter Cases'!C10,"")</f>
        <v/>
      </c>
      <c r="D10" t="str">
        <f>IF($A10&lt;&gt;"",'All Cases - Enter Cases'!D10,"")</f>
        <v/>
      </c>
      <c r="E10" t="str">
        <f>IF($A10&lt;&gt;"",'All Cases - Enter Cases'!E10,"")</f>
        <v/>
      </c>
      <c r="F10" t="str">
        <f>IF($A10&lt;&gt;"",'All Cases - Enter Cases'!F10,"")</f>
        <v/>
      </c>
      <c r="G10" t="str">
        <f>IF($A10&lt;&gt;"",'All Cases - Enter Cases'!G10,"")</f>
        <v/>
      </c>
      <c r="H10" t="str">
        <f>IF($A10&lt;&gt;"",'All Cases - Enter Cases'!H10,"")</f>
        <v/>
      </c>
      <c r="I10" t="str">
        <f>IF($A10&lt;&gt;"",'All Cases - Enter Cases'!I10,"")</f>
        <v/>
      </c>
      <c r="J10" t="str">
        <f>IF($A10&lt;&gt;"",'All Cases - Enter Cases'!J10,"")</f>
        <v/>
      </c>
      <c r="K10" t="str">
        <f>IF($A10&lt;&gt;"",'All Cases - Enter Cases'!K10,"")</f>
        <v/>
      </c>
      <c r="L10" t="str">
        <f>IF($A10&lt;&gt;"",'All Cases - Enter Cases'!L10,"")</f>
        <v/>
      </c>
      <c r="M10" t="str">
        <f>IF($A10&lt;&gt;"",'All Cases - Enter Cases'!M10,"")</f>
        <v/>
      </c>
    </row>
    <row r="11" spans="1:13" x14ac:dyDescent="0.35">
      <c r="A11" t="str">
        <f>IF('All Cases - Enter Cases'!$F11="Balochistan",'All Cases - Enter Cases'!A11,"")</f>
        <v/>
      </c>
      <c r="B11" t="str">
        <f>IF($A11&lt;&gt;"",'All Cases - Enter Cases'!B11,"")</f>
        <v/>
      </c>
      <c r="C11" t="str">
        <f>IF($A11&lt;&gt;"",'All Cases - Enter Cases'!C11,"")</f>
        <v/>
      </c>
      <c r="D11" t="str">
        <f>IF($A11&lt;&gt;"",'All Cases - Enter Cases'!D11,"")</f>
        <v/>
      </c>
      <c r="E11" t="str">
        <f>IF($A11&lt;&gt;"",'All Cases - Enter Cases'!E11,"")</f>
        <v/>
      </c>
      <c r="F11" t="str">
        <f>IF($A11&lt;&gt;"",'All Cases - Enter Cases'!F11,"")</f>
        <v/>
      </c>
      <c r="G11" t="str">
        <f>IF($A11&lt;&gt;"",'All Cases - Enter Cases'!G11,"")</f>
        <v/>
      </c>
      <c r="H11" t="str">
        <f>IF($A11&lt;&gt;"",'All Cases - Enter Cases'!H11,"")</f>
        <v/>
      </c>
      <c r="I11" t="str">
        <f>IF($A11&lt;&gt;"",'All Cases - Enter Cases'!I11,"")</f>
        <v/>
      </c>
      <c r="J11" t="str">
        <f>IF($A11&lt;&gt;"",'All Cases - Enter Cases'!J11,"")</f>
        <v/>
      </c>
      <c r="K11" t="str">
        <f>IF($A11&lt;&gt;"",'All Cases - Enter Cases'!K11,"")</f>
        <v/>
      </c>
      <c r="L11" t="str">
        <f>IF($A11&lt;&gt;"",'All Cases - Enter Cases'!L11,"")</f>
        <v/>
      </c>
      <c r="M11" t="str">
        <f>IF($A11&lt;&gt;"",'All Cases - Enter Cases'!M11,"")</f>
        <v/>
      </c>
    </row>
    <row r="12" spans="1:13" x14ac:dyDescent="0.35">
      <c r="A12" t="str">
        <f>IF('All Cases - Enter Cases'!$F12="Balochistan",'All Cases - Enter Cases'!A12,"")</f>
        <v/>
      </c>
      <c r="B12" t="str">
        <f>IF($A12&lt;&gt;"",'All Cases - Enter Cases'!B12,"")</f>
        <v/>
      </c>
      <c r="C12" t="str">
        <f>IF($A12&lt;&gt;"",'All Cases - Enter Cases'!C12,"")</f>
        <v/>
      </c>
      <c r="D12" t="str">
        <f>IF($A12&lt;&gt;"",'All Cases - Enter Cases'!D12,"")</f>
        <v/>
      </c>
      <c r="E12" t="str">
        <f>IF($A12&lt;&gt;"",'All Cases - Enter Cases'!E12,"")</f>
        <v/>
      </c>
      <c r="F12" t="str">
        <f>IF($A12&lt;&gt;"",'All Cases - Enter Cases'!F12,"")</f>
        <v/>
      </c>
      <c r="G12" t="str">
        <f>IF($A12&lt;&gt;"",'All Cases - Enter Cases'!G12,"")</f>
        <v/>
      </c>
      <c r="H12" t="str">
        <f>IF($A12&lt;&gt;"",'All Cases - Enter Cases'!H12,"")</f>
        <v/>
      </c>
      <c r="I12" t="str">
        <f>IF($A12&lt;&gt;"",'All Cases - Enter Cases'!I12,"")</f>
        <v/>
      </c>
      <c r="J12" t="str">
        <f>IF($A12&lt;&gt;"",'All Cases - Enter Cases'!J12,"")</f>
        <v/>
      </c>
      <c r="K12" t="str">
        <f>IF($A12&lt;&gt;"",'All Cases - Enter Cases'!K12,"")</f>
        <v/>
      </c>
      <c r="L12" t="str">
        <f>IF($A12&lt;&gt;"",'All Cases - Enter Cases'!L12,"")</f>
        <v/>
      </c>
      <c r="M12" t="str">
        <f>IF($A12&lt;&gt;"",'All Cases - Enter Cases'!M12,"")</f>
        <v/>
      </c>
    </row>
    <row r="13" spans="1:13" x14ac:dyDescent="0.35">
      <c r="A13" t="str">
        <f>IF('All Cases - Enter Cases'!$F13="Balochistan",'All Cases - Enter Cases'!A13,"")</f>
        <v/>
      </c>
      <c r="B13" t="str">
        <f>IF($A13&lt;&gt;"",'All Cases - Enter Cases'!B13,"")</f>
        <v/>
      </c>
      <c r="C13" t="str">
        <f>IF($A13&lt;&gt;"",'All Cases - Enter Cases'!C13,"")</f>
        <v/>
      </c>
      <c r="D13" t="str">
        <f>IF($A13&lt;&gt;"",'All Cases - Enter Cases'!D13,"")</f>
        <v/>
      </c>
      <c r="E13" t="str">
        <f>IF($A13&lt;&gt;"",'All Cases - Enter Cases'!E13,"")</f>
        <v/>
      </c>
      <c r="F13" t="str">
        <f>IF($A13&lt;&gt;"",'All Cases - Enter Cases'!F13,"")</f>
        <v/>
      </c>
      <c r="G13" t="str">
        <f>IF($A13&lt;&gt;"",'All Cases - Enter Cases'!G13,"")</f>
        <v/>
      </c>
      <c r="H13" t="str">
        <f>IF($A13&lt;&gt;"",'All Cases - Enter Cases'!H13,"")</f>
        <v/>
      </c>
      <c r="I13" t="str">
        <f>IF($A13&lt;&gt;"",'All Cases - Enter Cases'!I13,"")</f>
        <v/>
      </c>
      <c r="J13" t="str">
        <f>IF($A13&lt;&gt;"",'All Cases - Enter Cases'!J13,"")</f>
        <v/>
      </c>
      <c r="K13" t="str">
        <f>IF($A13&lt;&gt;"",'All Cases - Enter Cases'!K13,"")</f>
        <v/>
      </c>
      <c r="L13" t="str">
        <f>IF($A13&lt;&gt;"",'All Cases - Enter Cases'!L13,"")</f>
        <v/>
      </c>
      <c r="M13" t="str">
        <f>IF($A13&lt;&gt;"",'All Cases - Enter Cases'!M13,"")</f>
        <v/>
      </c>
    </row>
    <row r="14" spans="1:13" x14ac:dyDescent="0.35">
      <c r="A14" t="str">
        <f>IF('All Cases - Enter Cases'!$F14="Balochistan",'All Cases - Enter Cases'!A14,"")</f>
        <v/>
      </c>
      <c r="B14" t="str">
        <f>IF($A14&lt;&gt;"",'All Cases - Enter Cases'!B14,"")</f>
        <v/>
      </c>
      <c r="C14" t="str">
        <f>IF($A14&lt;&gt;"",'All Cases - Enter Cases'!C14,"")</f>
        <v/>
      </c>
      <c r="D14" t="str">
        <f>IF($A14&lt;&gt;"",'All Cases - Enter Cases'!D14,"")</f>
        <v/>
      </c>
      <c r="E14" t="str">
        <f>IF($A14&lt;&gt;"",'All Cases - Enter Cases'!E14,"")</f>
        <v/>
      </c>
      <c r="F14" t="str">
        <f>IF($A14&lt;&gt;"",'All Cases - Enter Cases'!F14,"")</f>
        <v/>
      </c>
      <c r="G14" t="str">
        <f>IF($A14&lt;&gt;"",'All Cases - Enter Cases'!G14,"")</f>
        <v/>
      </c>
      <c r="H14" t="str">
        <f>IF($A14&lt;&gt;"",'All Cases - Enter Cases'!H14,"")</f>
        <v/>
      </c>
      <c r="I14" t="str">
        <f>IF($A14&lt;&gt;"",'All Cases - Enter Cases'!I14,"")</f>
        <v/>
      </c>
      <c r="J14" t="str">
        <f>IF($A14&lt;&gt;"",'All Cases - Enter Cases'!J14,"")</f>
        <v/>
      </c>
      <c r="K14" t="str">
        <f>IF($A14&lt;&gt;"",'All Cases - Enter Cases'!K14,"")</f>
        <v/>
      </c>
      <c r="L14" t="str">
        <f>IF($A14&lt;&gt;"",'All Cases - Enter Cases'!L14,"")</f>
        <v/>
      </c>
      <c r="M14" t="str">
        <f>IF($A14&lt;&gt;"",'All Cases - Enter Cases'!M14,"")</f>
        <v/>
      </c>
    </row>
    <row r="15" spans="1:13" x14ac:dyDescent="0.35">
      <c r="A15" t="str">
        <f>IF('All Cases - Enter Cases'!$F15="Balochistan",'All Cases - Enter Cases'!A15,"")</f>
        <v/>
      </c>
      <c r="B15" t="str">
        <f>IF($A15&lt;&gt;"",'All Cases - Enter Cases'!B15,"")</f>
        <v/>
      </c>
      <c r="C15" t="str">
        <f>IF($A15&lt;&gt;"",'All Cases - Enter Cases'!C15,"")</f>
        <v/>
      </c>
      <c r="D15" t="str">
        <f>IF($A15&lt;&gt;"",'All Cases - Enter Cases'!D15,"")</f>
        <v/>
      </c>
      <c r="E15" t="str">
        <f>IF($A15&lt;&gt;"",'All Cases - Enter Cases'!E15,"")</f>
        <v/>
      </c>
      <c r="F15" t="str">
        <f>IF($A15&lt;&gt;"",'All Cases - Enter Cases'!F15,"")</f>
        <v/>
      </c>
      <c r="G15" t="str">
        <f>IF($A15&lt;&gt;"",'All Cases - Enter Cases'!G15,"")</f>
        <v/>
      </c>
      <c r="H15" t="str">
        <f>IF($A15&lt;&gt;"",'All Cases - Enter Cases'!H15,"")</f>
        <v/>
      </c>
      <c r="I15" t="str">
        <f>IF($A15&lt;&gt;"",'All Cases - Enter Cases'!I15,"")</f>
        <v/>
      </c>
      <c r="J15" t="str">
        <f>IF($A15&lt;&gt;"",'All Cases - Enter Cases'!J15,"")</f>
        <v/>
      </c>
      <c r="K15" t="str">
        <f>IF($A15&lt;&gt;"",'All Cases - Enter Cases'!K15,"")</f>
        <v/>
      </c>
      <c r="L15" t="str">
        <f>IF($A15&lt;&gt;"",'All Cases - Enter Cases'!L15,"")</f>
        <v/>
      </c>
      <c r="M15" t="str">
        <f>IF($A15&lt;&gt;"",'All Cases - Enter Cases'!M15,"")</f>
        <v/>
      </c>
    </row>
    <row r="16" spans="1:13" x14ac:dyDescent="0.35">
      <c r="A16" t="str">
        <f>IF('All Cases - Enter Cases'!$F16="Balochistan",'All Cases - Enter Cases'!A16,"")</f>
        <v/>
      </c>
      <c r="B16" t="str">
        <f>IF($A16&lt;&gt;"",'All Cases - Enter Cases'!B16,"")</f>
        <v/>
      </c>
      <c r="C16" t="str">
        <f>IF($A16&lt;&gt;"",'All Cases - Enter Cases'!C16,"")</f>
        <v/>
      </c>
      <c r="D16" t="str">
        <f>IF($A16&lt;&gt;"",'All Cases - Enter Cases'!D16,"")</f>
        <v/>
      </c>
      <c r="E16" t="str">
        <f>IF($A16&lt;&gt;"",'All Cases - Enter Cases'!E16,"")</f>
        <v/>
      </c>
      <c r="F16" t="str">
        <f>IF($A16&lt;&gt;"",'All Cases - Enter Cases'!F16,"")</f>
        <v/>
      </c>
      <c r="G16" t="str">
        <f>IF($A16&lt;&gt;"",'All Cases - Enter Cases'!G16,"")</f>
        <v/>
      </c>
      <c r="H16" t="str">
        <f>IF($A16&lt;&gt;"",'All Cases - Enter Cases'!H16,"")</f>
        <v/>
      </c>
      <c r="I16" t="str">
        <f>IF($A16&lt;&gt;"",'All Cases - Enter Cases'!I16,"")</f>
        <v/>
      </c>
      <c r="J16" t="str">
        <f>IF($A16&lt;&gt;"",'All Cases - Enter Cases'!J16,"")</f>
        <v/>
      </c>
      <c r="K16" t="str">
        <f>IF($A16&lt;&gt;"",'All Cases - Enter Cases'!K16,"")</f>
        <v/>
      </c>
      <c r="L16" t="str">
        <f>IF($A16&lt;&gt;"",'All Cases - Enter Cases'!L16,"")</f>
        <v/>
      </c>
      <c r="M16" t="str">
        <f>IF($A16&lt;&gt;"",'All Cases - Enter Cases'!M16,"")</f>
        <v/>
      </c>
    </row>
    <row r="17" spans="1:13" x14ac:dyDescent="0.35">
      <c r="A17" t="str">
        <f>IF('All Cases - Enter Cases'!$F17="Balochistan",'All Cases - Enter Cases'!A17,"")</f>
        <v/>
      </c>
      <c r="B17" t="str">
        <f>IF($A17&lt;&gt;"",'All Cases - Enter Cases'!B17,"")</f>
        <v/>
      </c>
      <c r="C17" t="str">
        <f>IF($A17&lt;&gt;"",'All Cases - Enter Cases'!C17,"")</f>
        <v/>
      </c>
      <c r="D17" t="str">
        <f>IF($A17&lt;&gt;"",'All Cases - Enter Cases'!D17,"")</f>
        <v/>
      </c>
      <c r="E17" t="str">
        <f>IF($A17&lt;&gt;"",'All Cases - Enter Cases'!E17,"")</f>
        <v/>
      </c>
      <c r="F17" t="str">
        <f>IF($A17&lt;&gt;"",'All Cases - Enter Cases'!F17,"")</f>
        <v/>
      </c>
      <c r="G17" t="str">
        <f>IF($A17&lt;&gt;"",'All Cases - Enter Cases'!G17,"")</f>
        <v/>
      </c>
      <c r="H17" t="str">
        <f>IF($A17&lt;&gt;"",'All Cases - Enter Cases'!H17,"")</f>
        <v/>
      </c>
      <c r="I17" t="str">
        <f>IF($A17&lt;&gt;"",'All Cases - Enter Cases'!I17,"")</f>
        <v/>
      </c>
      <c r="J17" t="str">
        <f>IF($A17&lt;&gt;"",'All Cases - Enter Cases'!J17,"")</f>
        <v/>
      </c>
      <c r="K17" t="str">
        <f>IF($A17&lt;&gt;"",'All Cases - Enter Cases'!K17,"")</f>
        <v/>
      </c>
      <c r="L17" t="str">
        <f>IF($A17&lt;&gt;"",'All Cases - Enter Cases'!L17,"")</f>
        <v/>
      </c>
      <c r="M17" t="str">
        <f>IF($A17&lt;&gt;"",'All Cases - Enter Cases'!M17,"")</f>
        <v/>
      </c>
    </row>
    <row r="18" spans="1:13" x14ac:dyDescent="0.35">
      <c r="A18" t="str">
        <f>IF('All Cases - Enter Cases'!$F18="Balochistan",'All Cases - Enter Cases'!A18,"")</f>
        <v/>
      </c>
      <c r="B18" t="str">
        <f>IF($A18&lt;&gt;"",'All Cases - Enter Cases'!B18,"")</f>
        <v/>
      </c>
      <c r="C18" t="str">
        <f>IF($A18&lt;&gt;"",'All Cases - Enter Cases'!C18,"")</f>
        <v/>
      </c>
      <c r="D18" t="str">
        <f>IF($A18&lt;&gt;"",'All Cases - Enter Cases'!D18,"")</f>
        <v/>
      </c>
      <c r="E18" t="str">
        <f>IF($A18&lt;&gt;"",'All Cases - Enter Cases'!E18,"")</f>
        <v/>
      </c>
      <c r="F18" t="str">
        <f>IF($A18&lt;&gt;"",'All Cases - Enter Cases'!F18,"")</f>
        <v/>
      </c>
      <c r="G18" t="str">
        <f>IF($A18&lt;&gt;"",'All Cases - Enter Cases'!G18,"")</f>
        <v/>
      </c>
      <c r="H18" t="str">
        <f>IF($A18&lt;&gt;"",'All Cases - Enter Cases'!H18,"")</f>
        <v/>
      </c>
      <c r="I18" t="str">
        <f>IF($A18&lt;&gt;"",'All Cases - Enter Cases'!I18,"")</f>
        <v/>
      </c>
      <c r="J18" t="str">
        <f>IF($A18&lt;&gt;"",'All Cases - Enter Cases'!J18,"")</f>
        <v/>
      </c>
      <c r="K18" t="str">
        <f>IF($A18&lt;&gt;"",'All Cases - Enter Cases'!K18,"")</f>
        <v/>
      </c>
      <c r="L18" t="str">
        <f>IF($A18&lt;&gt;"",'All Cases - Enter Cases'!L18,"")</f>
        <v/>
      </c>
      <c r="M18" t="str">
        <f>IF($A18&lt;&gt;"",'All Cases - Enter Cases'!M18,"")</f>
        <v/>
      </c>
    </row>
    <row r="19" spans="1:13" x14ac:dyDescent="0.35">
      <c r="A19" t="str">
        <f>IF('All Cases - Enter Cases'!$F19="Balochistan",'All Cases - Enter Cases'!A19,"")</f>
        <v/>
      </c>
      <c r="B19" t="str">
        <f>IF($A19&lt;&gt;"",'All Cases - Enter Cases'!B19,"")</f>
        <v/>
      </c>
      <c r="C19" t="str">
        <f>IF($A19&lt;&gt;"",'All Cases - Enter Cases'!C19,"")</f>
        <v/>
      </c>
      <c r="D19" t="str">
        <f>IF($A19&lt;&gt;"",'All Cases - Enter Cases'!D19,"")</f>
        <v/>
      </c>
      <c r="E19" t="str">
        <f>IF($A19&lt;&gt;"",'All Cases - Enter Cases'!E19,"")</f>
        <v/>
      </c>
      <c r="F19" t="str">
        <f>IF($A19&lt;&gt;"",'All Cases - Enter Cases'!F19,"")</f>
        <v/>
      </c>
      <c r="G19" t="str">
        <f>IF($A19&lt;&gt;"",'All Cases - Enter Cases'!G19,"")</f>
        <v/>
      </c>
      <c r="H19" t="str">
        <f>IF($A19&lt;&gt;"",'All Cases - Enter Cases'!H19,"")</f>
        <v/>
      </c>
      <c r="I19" t="str">
        <f>IF($A19&lt;&gt;"",'All Cases - Enter Cases'!I19,"")</f>
        <v/>
      </c>
      <c r="J19" t="str">
        <f>IF($A19&lt;&gt;"",'All Cases - Enter Cases'!J19,"")</f>
        <v/>
      </c>
      <c r="K19" t="str">
        <f>IF($A19&lt;&gt;"",'All Cases - Enter Cases'!K19,"")</f>
        <v/>
      </c>
      <c r="L19" t="str">
        <f>IF($A19&lt;&gt;"",'All Cases - Enter Cases'!L19,"")</f>
        <v/>
      </c>
      <c r="M19" t="str">
        <f>IF($A19&lt;&gt;"",'All Cases - Enter Cases'!M19,"")</f>
        <v/>
      </c>
    </row>
    <row r="20" spans="1:13" x14ac:dyDescent="0.35">
      <c r="A20" t="str">
        <f>IF('All Cases - Enter Cases'!$F20="Balochistan",'All Cases - Enter Cases'!A20,"")</f>
        <v/>
      </c>
      <c r="B20" t="str">
        <f>IF($A20&lt;&gt;"",'All Cases - Enter Cases'!B20,"")</f>
        <v/>
      </c>
      <c r="C20" t="str">
        <f>IF($A20&lt;&gt;"",'All Cases - Enter Cases'!C20,"")</f>
        <v/>
      </c>
      <c r="D20" t="str">
        <f>IF($A20&lt;&gt;"",'All Cases - Enter Cases'!D20,"")</f>
        <v/>
      </c>
      <c r="E20" t="str">
        <f>IF($A20&lt;&gt;"",'All Cases - Enter Cases'!E20,"")</f>
        <v/>
      </c>
      <c r="F20" t="str">
        <f>IF($A20&lt;&gt;"",'All Cases - Enter Cases'!F20,"")</f>
        <v/>
      </c>
      <c r="G20" t="str">
        <f>IF($A20&lt;&gt;"",'All Cases - Enter Cases'!G20,"")</f>
        <v/>
      </c>
      <c r="H20" t="str">
        <f>IF($A20&lt;&gt;"",'All Cases - Enter Cases'!H20,"")</f>
        <v/>
      </c>
      <c r="I20" t="str">
        <f>IF($A20&lt;&gt;"",'All Cases - Enter Cases'!I20,"")</f>
        <v/>
      </c>
      <c r="J20" t="str">
        <f>IF($A20&lt;&gt;"",'All Cases - Enter Cases'!J20,"")</f>
        <v/>
      </c>
      <c r="K20" t="str">
        <f>IF($A20&lt;&gt;"",'All Cases - Enter Cases'!K20,"")</f>
        <v/>
      </c>
      <c r="L20" t="str">
        <f>IF($A20&lt;&gt;"",'All Cases - Enter Cases'!L20,"")</f>
        <v/>
      </c>
      <c r="M20" t="str">
        <f>IF($A20&lt;&gt;"",'All Cases - Enter Cases'!M20,"")</f>
        <v/>
      </c>
    </row>
    <row r="21" spans="1:13" x14ac:dyDescent="0.35">
      <c r="A21" t="str">
        <f>IF('All Cases - Enter Cases'!$F21="Balochistan",'All Cases - Enter Cases'!A21,"")</f>
        <v/>
      </c>
      <c r="B21" t="str">
        <f>IF($A21&lt;&gt;"",'All Cases - Enter Cases'!B21,"")</f>
        <v/>
      </c>
      <c r="C21" t="str">
        <f>IF($A21&lt;&gt;"",'All Cases - Enter Cases'!C21,"")</f>
        <v/>
      </c>
      <c r="D21" t="str">
        <f>IF($A21&lt;&gt;"",'All Cases - Enter Cases'!D21,"")</f>
        <v/>
      </c>
      <c r="E21" t="str">
        <f>IF($A21&lt;&gt;"",'All Cases - Enter Cases'!E21,"")</f>
        <v/>
      </c>
      <c r="F21" t="str">
        <f>IF($A21&lt;&gt;"",'All Cases - Enter Cases'!F21,"")</f>
        <v/>
      </c>
      <c r="G21" t="str">
        <f>IF($A21&lt;&gt;"",'All Cases - Enter Cases'!G21,"")</f>
        <v/>
      </c>
      <c r="H21" t="str">
        <f>IF($A21&lt;&gt;"",'All Cases - Enter Cases'!H21,"")</f>
        <v/>
      </c>
      <c r="I21" t="str">
        <f>IF($A21&lt;&gt;"",'All Cases - Enter Cases'!I21,"")</f>
        <v/>
      </c>
      <c r="J21" t="str">
        <f>IF($A21&lt;&gt;"",'All Cases - Enter Cases'!J21,"")</f>
        <v/>
      </c>
      <c r="K21" t="str">
        <f>IF($A21&lt;&gt;"",'All Cases - Enter Cases'!K21,"")</f>
        <v/>
      </c>
      <c r="L21" t="str">
        <f>IF($A21&lt;&gt;"",'All Cases - Enter Cases'!L21,"")</f>
        <v/>
      </c>
      <c r="M21" t="str">
        <f>IF($A21&lt;&gt;"",'All Cases - Enter Cases'!M21,"")</f>
        <v/>
      </c>
    </row>
    <row r="22" spans="1:13" x14ac:dyDescent="0.35">
      <c r="A22" t="str">
        <f>IF('All Cases - Enter Cases'!$F22="Balochistan",'All Cases - Enter Cases'!A22,"")</f>
        <v/>
      </c>
      <c r="B22" t="str">
        <f>IF($A22&lt;&gt;"",'All Cases - Enter Cases'!B22,"")</f>
        <v/>
      </c>
      <c r="C22" t="str">
        <f>IF($A22&lt;&gt;"",'All Cases - Enter Cases'!C22,"")</f>
        <v/>
      </c>
      <c r="D22" t="str">
        <f>IF($A22&lt;&gt;"",'All Cases - Enter Cases'!D22,"")</f>
        <v/>
      </c>
      <c r="E22" t="str">
        <f>IF($A22&lt;&gt;"",'All Cases - Enter Cases'!E22,"")</f>
        <v/>
      </c>
      <c r="F22" t="str">
        <f>IF($A22&lt;&gt;"",'All Cases - Enter Cases'!F22,"")</f>
        <v/>
      </c>
      <c r="G22" t="str">
        <f>IF($A22&lt;&gt;"",'All Cases - Enter Cases'!G22,"")</f>
        <v/>
      </c>
      <c r="H22" t="str">
        <f>IF($A22&lt;&gt;"",'All Cases - Enter Cases'!H22,"")</f>
        <v/>
      </c>
      <c r="I22" t="str">
        <f>IF($A22&lt;&gt;"",'All Cases - Enter Cases'!I22,"")</f>
        <v/>
      </c>
      <c r="J22" t="str">
        <f>IF($A22&lt;&gt;"",'All Cases - Enter Cases'!J22,"")</f>
        <v/>
      </c>
      <c r="K22" t="str">
        <f>IF($A22&lt;&gt;"",'All Cases - Enter Cases'!K22,"")</f>
        <v/>
      </c>
      <c r="L22" t="str">
        <f>IF($A22&lt;&gt;"",'All Cases - Enter Cases'!L22,"")</f>
        <v/>
      </c>
      <c r="M22" t="str">
        <f>IF($A22&lt;&gt;"",'All Cases - Enter Cases'!M22,"")</f>
        <v/>
      </c>
    </row>
    <row r="23" spans="1:13" x14ac:dyDescent="0.35">
      <c r="A23" t="str">
        <f>IF('All Cases - Enter Cases'!$F23="Balochistan",'All Cases - Enter Cases'!A23,"")</f>
        <v/>
      </c>
      <c r="B23" t="str">
        <f>IF($A23&lt;&gt;"",'All Cases - Enter Cases'!B23,"")</f>
        <v/>
      </c>
      <c r="C23" t="str">
        <f>IF($A23&lt;&gt;"",'All Cases - Enter Cases'!C23,"")</f>
        <v/>
      </c>
      <c r="D23" t="str">
        <f>IF($A23&lt;&gt;"",'All Cases - Enter Cases'!D23,"")</f>
        <v/>
      </c>
      <c r="E23" t="str">
        <f>IF($A23&lt;&gt;"",'All Cases - Enter Cases'!E23,"")</f>
        <v/>
      </c>
      <c r="F23" t="str">
        <f>IF($A23&lt;&gt;"",'All Cases - Enter Cases'!F23,"")</f>
        <v/>
      </c>
      <c r="G23" t="str">
        <f>IF($A23&lt;&gt;"",'All Cases - Enter Cases'!G23,"")</f>
        <v/>
      </c>
      <c r="H23" t="str">
        <f>IF($A23&lt;&gt;"",'All Cases - Enter Cases'!H23,"")</f>
        <v/>
      </c>
      <c r="I23" t="str">
        <f>IF($A23&lt;&gt;"",'All Cases - Enter Cases'!I23,"")</f>
        <v/>
      </c>
      <c r="J23" t="str">
        <f>IF($A23&lt;&gt;"",'All Cases - Enter Cases'!J23,"")</f>
        <v/>
      </c>
      <c r="K23" t="str">
        <f>IF($A23&lt;&gt;"",'All Cases - Enter Cases'!K23,"")</f>
        <v/>
      </c>
      <c r="L23" t="str">
        <f>IF($A23&lt;&gt;"",'All Cases - Enter Cases'!L23,"")</f>
        <v/>
      </c>
      <c r="M23" t="str">
        <f>IF($A23&lt;&gt;"",'All Cases - Enter Cases'!M23,"")</f>
        <v/>
      </c>
    </row>
    <row r="24" spans="1:13" x14ac:dyDescent="0.35">
      <c r="A24" t="str">
        <f>IF('All Cases - Enter Cases'!$F24="Balochistan",'All Cases - Enter Cases'!A24,"")</f>
        <v/>
      </c>
      <c r="B24" t="str">
        <f>IF($A24&lt;&gt;"",'All Cases - Enter Cases'!B24,"")</f>
        <v/>
      </c>
      <c r="C24" t="str">
        <f>IF($A24&lt;&gt;"",'All Cases - Enter Cases'!C24,"")</f>
        <v/>
      </c>
      <c r="D24" t="str">
        <f>IF($A24&lt;&gt;"",'All Cases - Enter Cases'!D24,"")</f>
        <v/>
      </c>
      <c r="E24" t="str">
        <f>IF($A24&lt;&gt;"",'All Cases - Enter Cases'!E24,"")</f>
        <v/>
      </c>
      <c r="F24" t="str">
        <f>IF($A24&lt;&gt;"",'All Cases - Enter Cases'!F24,"")</f>
        <v/>
      </c>
      <c r="G24" t="str">
        <f>IF($A24&lt;&gt;"",'All Cases - Enter Cases'!G24,"")</f>
        <v/>
      </c>
      <c r="H24" t="str">
        <f>IF($A24&lt;&gt;"",'All Cases - Enter Cases'!H24,"")</f>
        <v/>
      </c>
      <c r="I24" t="str">
        <f>IF($A24&lt;&gt;"",'All Cases - Enter Cases'!I24,"")</f>
        <v/>
      </c>
      <c r="J24" t="str">
        <f>IF($A24&lt;&gt;"",'All Cases - Enter Cases'!J24,"")</f>
        <v/>
      </c>
      <c r="K24" t="str">
        <f>IF($A24&lt;&gt;"",'All Cases - Enter Cases'!K24,"")</f>
        <v/>
      </c>
      <c r="L24" t="str">
        <f>IF($A24&lt;&gt;"",'All Cases - Enter Cases'!L24,"")</f>
        <v/>
      </c>
      <c r="M24" t="str">
        <f>IF($A24&lt;&gt;"",'All Cases - Enter Cases'!M24,"")</f>
        <v/>
      </c>
    </row>
    <row r="25" spans="1:13" x14ac:dyDescent="0.35">
      <c r="A25" t="str">
        <f>IF('All Cases - Enter Cases'!$F25="Balochistan",'All Cases - Enter Cases'!A25,"")</f>
        <v/>
      </c>
      <c r="B25" t="str">
        <f>IF($A25&lt;&gt;"",'All Cases - Enter Cases'!B25,"")</f>
        <v/>
      </c>
      <c r="C25" t="str">
        <f>IF($A25&lt;&gt;"",'All Cases - Enter Cases'!C25,"")</f>
        <v/>
      </c>
      <c r="D25" t="str">
        <f>IF($A25&lt;&gt;"",'All Cases - Enter Cases'!D25,"")</f>
        <v/>
      </c>
      <c r="E25" t="str">
        <f>IF($A25&lt;&gt;"",'All Cases - Enter Cases'!E25,"")</f>
        <v/>
      </c>
      <c r="F25" t="str">
        <f>IF($A25&lt;&gt;"",'All Cases - Enter Cases'!F25,"")</f>
        <v/>
      </c>
      <c r="G25" t="str">
        <f>IF($A25&lt;&gt;"",'All Cases - Enter Cases'!G25,"")</f>
        <v/>
      </c>
      <c r="H25" t="str">
        <f>IF($A25&lt;&gt;"",'All Cases - Enter Cases'!H25,"")</f>
        <v/>
      </c>
      <c r="I25" t="str">
        <f>IF($A25&lt;&gt;"",'All Cases - Enter Cases'!I25,"")</f>
        <v/>
      </c>
      <c r="J25" t="str">
        <f>IF($A25&lt;&gt;"",'All Cases - Enter Cases'!J25,"")</f>
        <v/>
      </c>
      <c r="K25" t="str">
        <f>IF($A25&lt;&gt;"",'All Cases - Enter Cases'!K25,"")</f>
        <v/>
      </c>
      <c r="L25" t="str">
        <f>IF($A25&lt;&gt;"",'All Cases - Enter Cases'!L25,"")</f>
        <v/>
      </c>
      <c r="M25" t="str">
        <f>IF($A25&lt;&gt;"",'All Cases - Enter Cases'!M25,"")</f>
        <v/>
      </c>
    </row>
    <row r="26" spans="1:13" x14ac:dyDescent="0.35">
      <c r="A26" t="str">
        <f>IF('All Cases - Enter Cases'!$F26="Balochistan",'All Cases - Enter Cases'!A26,"")</f>
        <v/>
      </c>
      <c r="B26" t="str">
        <f>IF($A26&lt;&gt;"",'All Cases - Enter Cases'!B26,"")</f>
        <v/>
      </c>
      <c r="C26" t="str">
        <f>IF($A26&lt;&gt;"",'All Cases - Enter Cases'!C26,"")</f>
        <v/>
      </c>
      <c r="D26" t="str">
        <f>IF($A26&lt;&gt;"",'All Cases - Enter Cases'!D26,"")</f>
        <v/>
      </c>
      <c r="E26" t="str">
        <f>IF($A26&lt;&gt;"",'All Cases - Enter Cases'!E26,"")</f>
        <v/>
      </c>
      <c r="F26" t="str">
        <f>IF($A26&lt;&gt;"",'All Cases - Enter Cases'!F26,"")</f>
        <v/>
      </c>
      <c r="G26" t="str">
        <f>IF($A26&lt;&gt;"",'All Cases - Enter Cases'!G26,"")</f>
        <v/>
      </c>
      <c r="H26" t="str">
        <f>IF($A26&lt;&gt;"",'All Cases - Enter Cases'!H26,"")</f>
        <v/>
      </c>
      <c r="I26" t="str">
        <f>IF($A26&lt;&gt;"",'All Cases - Enter Cases'!I26,"")</f>
        <v/>
      </c>
      <c r="J26" t="str">
        <f>IF($A26&lt;&gt;"",'All Cases - Enter Cases'!J26,"")</f>
        <v/>
      </c>
      <c r="K26" t="str">
        <f>IF($A26&lt;&gt;"",'All Cases - Enter Cases'!K26,"")</f>
        <v/>
      </c>
      <c r="L26" t="str">
        <f>IF($A26&lt;&gt;"",'All Cases - Enter Cases'!L26,"")</f>
        <v/>
      </c>
      <c r="M26" t="str">
        <f>IF($A26&lt;&gt;"",'All Cases - Enter Cases'!M26,"")</f>
        <v/>
      </c>
    </row>
    <row r="27" spans="1:13" x14ac:dyDescent="0.35">
      <c r="A27" t="str">
        <f>IF('All Cases - Enter Cases'!$F27="Balochistan",'All Cases - Enter Cases'!A27,"")</f>
        <v/>
      </c>
      <c r="B27" t="str">
        <f>IF($A27&lt;&gt;"",'All Cases - Enter Cases'!B27,"")</f>
        <v/>
      </c>
      <c r="C27" t="str">
        <f>IF($A27&lt;&gt;"",'All Cases - Enter Cases'!C27,"")</f>
        <v/>
      </c>
      <c r="D27" t="str">
        <f>IF($A27&lt;&gt;"",'All Cases - Enter Cases'!D27,"")</f>
        <v/>
      </c>
      <c r="E27" t="str">
        <f>IF($A27&lt;&gt;"",'All Cases - Enter Cases'!E27,"")</f>
        <v/>
      </c>
      <c r="F27" t="str">
        <f>IF($A27&lt;&gt;"",'All Cases - Enter Cases'!F27,"")</f>
        <v/>
      </c>
      <c r="G27" t="str">
        <f>IF($A27&lt;&gt;"",'All Cases - Enter Cases'!G27,"")</f>
        <v/>
      </c>
      <c r="H27" t="str">
        <f>IF($A27&lt;&gt;"",'All Cases - Enter Cases'!H27,"")</f>
        <v/>
      </c>
      <c r="I27" t="str">
        <f>IF($A27&lt;&gt;"",'All Cases - Enter Cases'!I27,"")</f>
        <v/>
      </c>
      <c r="J27" t="str">
        <f>IF($A27&lt;&gt;"",'All Cases - Enter Cases'!J27,"")</f>
        <v/>
      </c>
      <c r="K27" t="str">
        <f>IF($A27&lt;&gt;"",'All Cases - Enter Cases'!K27,"")</f>
        <v/>
      </c>
      <c r="L27" t="str">
        <f>IF($A27&lt;&gt;"",'All Cases - Enter Cases'!L27,"")</f>
        <v/>
      </c>
      <c r="M27" t="str">
        <f>IF($A27&lt;&gt;"",'All Cases - Enter Cases'!M27,"")</f>
        <v/>
      </c>
    </row>
    <row r="28" spans="1:13" x14ac:dyDescent="0.35">
      <c r="A28" t="str">
        <f>IF('All Cases - Enter Cases'!$F28="Balochistan",'All Cases - Enter Cases'!A28,"")</f>
        <v/>
      </c>
      <c r="B28" t="str">
        <f>IF($A28&lt;&gt;"",'All Cases - Enter Cases'!B28,"")</f>
        <v/>
      </c>
      <c r="C28" t="str">
        <f>IF($A28&lt;&gt;"",'All Cases - Enter Cases'!C28,"")</f>
        <v/>
      </c>
      <c r="D28" t="str">
        <f>IF($A28&lt;&gt;"",'All Cases - Enter Cases'!D28,"")</f>
        <v/>
      </c>
      <c r="E28" t="str">
        <f>IF($A28&lt;&gt;"",'All Cases - Enter Cases'!E28,"")</f>
        <v/>
      </c>
      <c r="F28" t="str">
        <f>IF($A28&lt;&gt;"",'All Cases - Enter Cases'!F28,"")</f>
        <v/>
      </c>
      <c r="G28" t="str">
        <f>IF($A28&lt;&gt;"",'All Cases - Enter Cases'!G28,"")</f>
        <v/>
      </c>
      <c r="H28" t="str">
        <f>IF($A28&lt;&gt;"",'All Cases - Enter Cases'!H28,"")</f>
        <v/>
      </c>
      <c r="I28" t="str">
        <f>IF($A28&lt;&gt;"",'All Cases - Enter Cases'!I28,"")</f>
        <v/>
      </c>
      <c r="J28" t="str">
        <f>IF($A28&lt;&gt;"",'All Cases - Enter Cases'!J28,"")</f>
        <v/>
      </c>
      <c r="K28" t="str">
        <f>IF($A28&lt;&gt;"",'All Cases - Enter Cases'!K28,"")</f>
        <v/>
      </c>
      <c r="L28" t="str">
        <f>IF($A28&lt;&gt;"",'All Cases - Enter Cases'!L28,"")</f>
        <v/>
      </c>
      <c r="M28" t="str">
        <f>IF($A28&lt;&gt;"",'All Cases - Enter Cases'!M28,"")</f>
        <v/>
      </c>
    </row>
    <row r="29" spans="1:13" x14ac:dyDescent="0.35">
      <c r="A29" t="str">
        <f>IF('All Cases - Enter Cases'!$F29="Balochistan",'All Cases - Enter Cases'!A29,"")</f>
        <v/>
      </c>
      <c r="B29" t="str">
        <f>IF($A29&lt;&gt;"",'All Cases - Enter Cases'!B29,"")</f>
        <v/>
      </c>
      <c r="C29" t="str">
        <f>IF($A29&lt;&gt;"",'All Cases - Enter Cases'!C29,"")</f>
        <v/>
      </c>
      <c r="D29" t="str">
        <f>IF($A29&lt;&gt;"",'All Cases - Enter Cases'!D29,"")</f>
        <v/>
      </c>
      <c r="E29" t="str">
        <f>IF($A29&lt;&gt;"",'All Cases - Enter Cases'!E29,"")</f>
        <v/>
      </c>
      <c r="F29" t="str">
        <f>IF($A29&lt;&gt;"",'All Cases - Enter Cases'!F29,"")</f>
        <v/>
      </c>
      <c r="G29" t="str">
        <f>IF($A29&lt;&gt;"",'All Cases - Enter Cases'!G29,"")</f>
        <v/>
      </c>
      <c r="H29" t="str">
        <f>IF($A29&lt;&gt;"",'All Cases - Enter Cases'!H29,"")</f>
        <v/>
      </c>
      <c r="I29" t="str">
        <f>IF($A29&lt;&gt;"",'All Cases - Enter Cases'!I29,"")</f>
        <v/>
      </c>
      <c r="J29" t="str">
        <f>IF($A29&lt;&gt;"",'All Cases - Enter Cases'!J29,"")</f>
        <v/>
      </c>
      <c r="K29" t="str">
        <f>IF($A29&lt;&gt;"",'All Cases - Enter Cases'!K29,"")</f>
        <v/>
      </c>
      <c r="L29" t="str">
        <f>IF($A29&lt;&gt;"",'All Cases - Enter Cases'!L29,"")</f>
        <v/>
      </c>
      <c r="M29" t="str">
        <f>IF($A29&lt;&gt;"",'All Cases - Enter Cases'!M29,"")</f>
        <v/>
      </c>
    </row>
    <row r="30" spans="1:13" x14ac:dyDescent="0.35">
      <c r="A30" t="str">
        <f>IF('All Cases - Enter Cases'!$F30="Balochistan",'All Cases - Enter Cases'!A30,"")</f>
        <v/>
      </c>
      <c r="B30" t="str">
        <f>IF($A30&lt;&gt;"",'All Cases - Enter Cases'!B30,"")</f>
        <v/>
      </c>
      <c r="C30" t="str">
        <f>IF($A30&lt;&gt;"",'All Cases - Enter Cases'!C30,"")</f>
        <v/>
      </c>
      <c r="D30" t="str">
        <f>IF($A30&lt;&gt;"",'All Cases - Enter Cases'!D30,"")</f>
        <v/>
      </c>
      <c r="E30" t="str">
        <f>IF($A30&lt;&gt;"",'All Cases - Enter Cases'!E30,"")</f>
        <v/>
      </c>
      <c r="F30" t="str">
        <f>IF($A30&lt;&gt;"",'All Cases - Enter Cases'!F30,"")</f>
        <v/>
      </c>
      <c r="G30" t="str">
        <f>IF($A30&lt;&gt;"",'All Cases - Enter Cases'!G30,"")</f>
        <v/>
      </c>
      <c r="H30" t="str">
        <f>IF($A30&lt;&gt;"",'All Cases - Enter Cases'!H30,"")</f>
        <v/>
      </c>
      <c r="I30" t="str">
        <f>IF($A30&lt;&gt;"",'All Cases - Enter Cases'!I30,"")</f>
        <v/>
      </c>
      <c r="J30" t="str">
        <f>IF($A30&lt;&gt;"",'All Cases - Enter Cases'!J30,"")</f>
        <v/>
      </c>
      <c r="K30" t="str">
        <f>IF($A30&lt;&gt;"",'All Cases - Enter Cases'!K30,"")</f>
        <v/>
      </c>
      <c r="L30" t="str">
        <f>IF($A30&lt;&gt;"",'All Cases - Enter Cases'!L30,"")</f>
        <v/>
      </c>
      <c r="M30" t="str">
        <f>IF($A30&lt;&gt;"",'All Cases - Enter Cases'!M30,"")</f>
        <v/>
      </c>
    </row>
    <row r="31" spans="1:13" x14ac:dyDescent="0.35">
      <c r="A31" t="str">
        <f>IF('All Cases - Enter Cases'!$F31="Balochistan",'All Cases - Enter Cases'!A31,"")</f>
        <v/>
      </c>
      <c r="B31" t="str">
        <f>IF($A31&lt;&gt;"",'All Cases - Enter Cases'!B31,"")</f>
        <v/>
      </c>
      <c r="C31" t="str">
        <f>IF($A31&lt;&gt;"",'All Cases - Enter Cases'!C31,"")</f>
        <v/>
      </c>
      <c r="D31" t="str">
        <f>IF($A31&lt;&gt;"",'All Cases - Enter Cases'!D31,"")</f>
        <v/>
      </c>
      <c r="E31" t="str">
        <f>IF($A31&lt;&gt;"",'All Cases - Enter Cases'!E31,"")</f>
        <v/>
      </c>
      <c r="F31" t="str">
        <f>IF($A31&lt;&gt;"",'All Cases - Enter Cases'!F31,"")</f>
        <v/>
      </c>
      <c r="G31" t="str">
        <f>IF($A31&lt;&gt;"",'All Cases - Enter Cases'!G31,"")</f>
        <v/>
      </c>
      <c r="H31" t="str">
        <f>IF($A31&lt;&gt;"",'All Cases - Enter Cases'!H31,"")</f>
        <v/>
      </c>
      <c r="I31" t="str">
        <f>IF($A31&lt;&gt;"",'All Cases - Enter Cases'!I31,"")</f>
        <v/>
      </c>
      <c r="J31" t="str">
        <f>IF($A31&lt;&gt;"",'All Cases - Enter Cases'!J31,"")</f>
        <v/>
      </c>
      <c r="K31" t="str">
        <f>IF($A31&lt;&gt;"",'All Cases - Enter Cases'!K31,"")</f>
        <v/>
      </c>
      <c r="L31" t="str">
        <f>IF($A31&lt;&gt;"",'All Cases - Enter Cases'!L31,"")</f>
        <v/>
      </c>
      <c r="M31" t="str">
        <f>IF($A31&lt;&gt;"",'All Cases - Enter Cases'!M31,"")</f>
        <v/>
      </c>
    </row>
    <row r="32" spans="1:13" x14ac:dyDescent="0.35">
      <c r="A32" t="str">
        <f>IF('All Cases - Enter Cases'!$F32="Balochistan",'All Cases - Enter Cases'!A32,"")</f>
        <v/>
      </c>
      <c r="B32" t="str">
        <f>IF($A32&lt;&gt;"",'All Cases - Enter Cases'!B32,"")</f>
        <v/>
      </c>
      <c r="C32" t="str">
        <f>IF($A32&lt;&gt;"",'All Cases - Enter Cases'!C32,"")</f>
        <v/>
      </c>
      <c r="D32" t="str">
        <f>IF($A32&lt;&gt;"",'All Cases - Enter Cases'!D32,"")</f>
        <v/>
      </c>
      <c r="E32" t="str">
        <f>IF($A32&lt;&gt;"",'All Cases - Enter Cases'!E32,"")</f>
        <v/>
      </c>
      <c r="F32" t="str">
        <f>IF($A32&lt;&gt;"",'All Cases - Enter Cases'!F32,"")</f>
        <v/>
      </c>
      <c r="G32" t="str">
        <f>IF($A32&lt;&gt;"",'All Cases - Enter Cases'!G32,"")</f>
        <v/>
      </c>
      <c r="H32" t="str">
        <f>IF($A32&lt;&gt;"",'All Cases - Enter Cases'!H32,"")</f>
        <v/>
      </c>
      <c r="I32" t="str">
        <f>IF($A32&lt;&gt;"",'All Cases - Enter Cases'!I32,"")</f>
        <v/>
      </c>
      <c r="J32" t="str">
        <f>IF($A32&lt;&gt;"",'All Cases - Enter Cases'!J32,"")</f>
        <v/>
      </c>
      <c r="K32" t="str">
        <f>IF($A32&lt;&gt;"",'All Cases - Enter Cases'!K32,"")</f>
        <v/>
      </c>
      <c r="L32" t="str">
        <f>IF($A32&lt;&gt;"",'All Cases - Enter Cases'!L32,"")</f>
        <v/>
      </c>
      <c r="M32" t="str">
        <f>IF($A32&lt;&gt;"",'All Cases - Enter Cases'!M32,"")</f>
        <v/>
      </c>
    </row>
    <row r="33" spans="1:13" x14ac:dyDescent="0.35">
      <c r="A33" t="str">
        <f>IF('All Cases - Enter Cases'!$F33="Balochistan",'All Cases - Enter Cases'!A33,"")</f>
        <v/>
      </c>
      <c r="B33" t="str">
        <f>IF($A33&lt;&gt;"",'All Cases - Enter Cases'!B33,"")</f>
        <v/>
      </c>
      <c r="C33" t="str">
        <f>IF($A33&lt;&gt;"",'All Cases - Enter Cases'!C33,"")</f>
        <v/>
      </c>
      <c r="D33" t="str">
        <f>IF($A33&lt;&gt;"",'All Cases - Enter Cases'!D33,"")</f>
        <v/>
      </c>
      <c r="E33" t="str">
        <f>IF($A33&lt;&gt;"",'All Cases - Enter Cases'!E33,"")</f>
        <v/>
      </c>
      <c r="F33" t="str">
        <f>IF($A33&lt;&gt;"",'All Cases - Enter Cases'!F33,"")</f>
        <v/>
      </c>
      <c r="G33" t="str">
        <f>IF($A33&lt;&gt;"",'All Cases - Enter Cases'!G33,"")</f>
        <v/>
      </c>
      <c r="H33" t="str">
        <f>IF($A33&lt;&gt;"",'All Cases - Enter Cases'!H33,"")</f>
        <v/>
      </c>
      <c r="I33" t="str">
        <f>IF($A33&lt;&gt;"",'All Cases - Enter Cases'!I33,"")</f>
        <v/>
      </c>
      <c r="J33" t="str">
        <f>IF($A33&lt;&gt;"",'All Cases - Enter Cases'!J33,"")</f>
        <v/>
      </c>
      <c r="K33" t="str">
        <f>IF($A33&lt;&gt;"",'All Cases - Enter Cases'!K33,"")</f>
        <v/>
      </c>
      <c r="L33" t="str">
        <f>IF($A33&lt;&gt;"",'All Cases - Enter Cases'!L33,"")</f>
        <v/>
      </c>
      <c r="M33" t="str">
        <f>IF($A33&lt;&gt;"",'All Cases - Enter Cases'!M33,"")</f>
        <v/>
      </c>
    </row>
    <row r="34" spans="1:13" x14ac:dyDescent="0.35">
      <c r="A34" t="str">
        <f>IF('All Cases - Enter Cases'!$F34="Balochistan",'All Cases - Enter Cases'!A34,"")</f>
        <v/>
      </c>
      <c r="B34" t="str">
        <f>IF($A34&lt;&gt;"",'All Cases - Enter Cases'!B34,"")</f>
        <v/>
      </c>
      <c r="C34" t="str">
        <f>IF($A34&lt;&gt;"",'All Cases - Enter Cases'!C34,"")</f>
        <v/>
      </c>
      <c r="D34" t="str">
        <f>IF($A34&lt;&gt;"",'All Cases - Enter Cases'!D34,"")</f>
        <v/>
      </c>
      <c r="E34" t="str">
        <f>IF($A34&lt;&gt;"",'All Cases - Enter Cases'!E34,"")</f>
        <v/>
      </c>
      <c r="F34" t="str">
        <f>IF($A34&lt;&gt;"",'All Cases - Enter Cases'!F34,"")</f>
        <v/>
      </c>
      <c r="G34" t="str">
        <f>IF($A34&lt;&gt;"",'All Cases - Enter Cases'!G34,"")</f>
        <v/>
      </c>
      <c r="H34" t="str">
        <f>IF($A34&lt;&gt;"",'All Cases - Enter Cases'!H34,"")</f>
        <v/>
      </c>
      <c r="I34" t="str">
        <f>IF($A34&lt;&gt;"",'All Cases - Enter Cases'!I34,"")</f>
        <v/>
      </c>
      <c r="J34" t="str">
        <f>IF($A34&lt;&gt;"",'All Cases - Enter Cases'!J34,"")</f>
        <v/>
      </c>
      <c r="K34" t="str">
        <f>IF($A34&lt;&gt;"",'All Cases - Enter Cases'!K34,"")</f>
        <v/>
      </c>
      <c r="L34" t="str">
        <f>IF($A34&lt;&gt;"",'All Cases - Enter Cases'!L34,"")</f>
        <v/>
      </c>
      <c r="M34" t="str">
        <f>IF($A34&lt;&gt;"",'All Cases - Enter Cases'!M34,"")</f>
        <v/>
      </c>
    </row>
    <row r="35" spans="1:13" x14ac:dyDescent="0.35">
      <c r="A35" t="str">
        <f>IF('All Cases - Enter Cases'!$F35="Balochistan",'All Cases - Enter Cases'!A35,"")</f>
        <v/>
      </c>
      <c r="B35" t="str">
        <f>IF($A35&lt;&gt;"",'All Cases - Enter Cases'!B35,"")</f>
        <v/>
      </c>
      <c r="C35" t="str">
        <f>IF($A35&lt;&gt;"",'All Cases - Enter Cases'!C35,"")</f>
        <v/>
      </c>
      <c r="D35" t="str">
        <f>IF($A35&lt;&gt;"",'All Cases - Enter Cases'!D35,"")</f>
        <v/>
      </c>
      <c r="E35" t="str">
        <f>IF($A35&lt;&gt;"",'All Cases - Enter Cases'!E35,"")</f>
        <v/>
      </c>
      <c r="F35" t="str">
        <f>IF($A35&lt;&gt;"",'All Cases - Enter Cases'!F35,"")</f>
        <v/>
      </c>
      <c r="G35" t="str">
        <f>IF($A35&lt;&gt;"",'All Cases - Enter Cases'!G35,"")</f>
        <v/>
      </c>
      <c r="H35" t="str">
        <f>IF($A35&lt;&gt;"",'All Cases - Enter Cases'!H35,"")</f>
        <v/>
      </c>
      <c r="I35" t="str">
        <f>IF($A35&lt;&gt;"",'All Cases - Enter Cases'!I35,"")</f>
        <v/>
      </c>
      <c r="J35" t="str">
        <f>IF($A35&lt;&gt;"",'All Cases - Enter Cases'!J35,"")</f>
        <v/>
      </c>
      <c r="K35" t="str">
        <f>IF($A35&lt;&gt;"",'All Cases - Enter Cases'!K35,"")</f>
        <v/>
      </c>
      <c r="L35" t="str">
        <f>IF($A35&lt;&gt;"",'All Cases - Enter Cases'!L35,"")</f>
        <v/>
      </c>
      <c r="M35" t="str">
        <f>IF($A35&lt;&gt;"",'All Cases - Enter Cases'!M35,"")</f>
        <v/>
      </c>
    </row>
    <row r="36" spans="1:13" x14ac:dyDescent="0.35">
      <c r="A36" t="str">
        <f>IF('All Cases - Enter Cases'!$F36="Balochistan",'All Cases - Enter Cases'!A36,"")</f>
        <v/>
      </c>
      <c r="B36" t="str">
        <f>IF($A36&lt;&gt;"",'All Cases - Enter Cases'!B36,"")</f>
        <v/>
      </c>
      <c r="C36" t="str">
        <f>IF($A36&lt;&gt;"",'All Cases - Enter Cases'!C36,"")</f>
        <v/>
      </c>
      <c r="D36" t="str">
        <f>IF($A36&lt;&gt;"",'All Cases - Enter Cases'!D36,"")</f>
        <v/>
      </c>
      <c r="E36" t="str">
        <f>IF($A36&lt;&gt;"",'All Cases - Enter Cases'!E36,"")</f>
        <v/>
      </c>
      <c r="F36" t="str">
        <f>IF($A36&lt;&gt;"",'All Cases - Enter Cases'!F36,"")</f>
        <v/>
      </c>
      <c r="G36" t="str">
        <f>IF($A36&lt;&gt;"",'All Cases - Enter Cases'!G36,"")</f>
        <v/>
      </c>
      <c r="H36" t="str">
        <f>IF($A36&lt;&gt;"",'All Cases - Enter Cases'!H36,"")</f>
        <v/>
      </c>
      <c r="I36" t="str">
        <f>IF($A36&lt;&gt;"",'All Cases - Enter Cases'!I36,"")</f>
        <v/>
      </c>
      <c r="J36" t="str">
        <f>IF($A36&lt;&gt;"",'All Cases - Enter Cases'!J36,"")</f>
        <v/>
      </c>
      <c r="K36" t="str">
        <f>IF($A36&lt;&gt;"",'All Cases - Enter Cases'!K36,"")</f>
        <v/>
      </c>
      <c r="L36" t="str">
        <f>IF($A36&lt;&gt;"",'All Cases - Enter Cases'!L36,"")</f>
        <v/>
      </c>
      <c r="M36" t="str">
        <f>IF($A36&lt;&gt;"",'All Cases - Enter Cases'!M36,"")</f>
        <v/>
      </c>
    </row>
    <row r="37" spans="1:13" x14ac:dyDescent="0.35">
      <c r="A37" t="str">
        <f>IF('All Cases - Enter Cases'!$F37="Balochistan",'All Cases - Enter Cases'!A37,"")</f>
        <v/>
      </c>
      <c r="B37" t="str">
        <f>IF($A37&lt;&gt;"",'All Cases - Enter Cases'!B37,"")</f>
        <v/>
      </c>
      <c r="C37" t="str">
        <f>IF($A37&lt;&gt;"",'All Cases - Enter Cases'!C37,"")</f>
        <v/>
      </c>
      <c r="D37" t="str">
        <f>IF($A37&lt;&gt;"",'All Cases - Enter Cases'!D37,"")</f>
        <v/>
      </c>
      <c r="E37" t="str">
        <f>IF($A37&lt;&gt;"",'All Cases - Enter Cases'!E37,"")</f>
        <v/>
      </c>
      <c r="F37" t="str">
        <f>IF($A37&lt;&gt;"",'All Cases - Enter Cases'!F37,"")</f>
        <v/>
      </c>
      <c r="G37" t="str">
        <f>IF($A37&lt;&gt;"",'All Cases - Enter Cases'!G37,"")</f>
        <v/>
      </c>
      <c r="H37" t="str">
        <f>IF($A37&lt;&gt;"",'All Cases - Enter Cases'!H37,"")</f>
        <v/>
      </c>
      <c r="I37" t="str">
        <f>IF($A37&lt;&gt;"",'All Cases - Enter Cases'!I37,"")</f>
        <v/>
      </c>
      <c r="J37" t="str">
        <f>IF($A37&lt;&gt;"",'All Cases - Enter Cases'!J37,"")</f>
        <v/>
      </c>
      <c r="K37" t="str">
        <f>IF($A37&lt;&gt;"",'All Cases - Enter Cases'!K37,"")</f>
        <v/>
      </c>
      <c r="L37" t="str">
        <f>IF($A37&lt;&gt;"",'All Cases - Enter Cases'!L37,"")</f>
        <v/>
      </c>
      <c r="M37" t="str">
        <f>IF($A37&lt;&gt;"",'All Cases - Enter Cases'!M37,"")</f>
        <v/>
      </c>
    </row>
    <row r="38" spans="1:13" x14ac:dyDescent="0.35">
      <c r="A38" t="str">
        <f>IF('All Cases - Enter Cases'!$F38="Balochistan",'All Cases - Enter Cases'!A38,"")</f>
        <v/>
      </c>
      <c r="B38" t="str">
        <f>IF($A38&lt;&gt;"",'All Cases - Enter Cases'!B38,"")</f>
        <v/>
      </c>
      <c r="C38" t="str">
        <f>IF($A38&lt;&gt;"",'All Cases - Enter Cases'!C38,"")</f>
        <v/>
      </c>
      <c r="D38" t="str">
        <f>IF($A38&lt;&gt;"",'All Cases - Enter Cases'!D38,"")</f>
        <v/>
      </c>
      <c r="E38" t="str">
        <f>IF($A38&lt;&gt;"",'All Cases - Enter Cases'!E38,"")</f>
        <v/>
      </c>
      <c r="F38" t="str">
        <f>IF($A38&lt;&gt;"",'All Cases - Enter Cases'!F38,"")</f>
        <v/>
      </c>
      <c r="G38" t="str">
        <f>IF($A38&lt;&gt;"",'All Cases - Enter Cases'!G38,"")</f>
        <v/>
      </c>
      <c r="H38" t="str">
        <f>IF($A38&lt;&gt;"",'All Cases - Enter Cases'!H38,"")</f>
        <v/>
      </c>
      <c r="I38" t="str">
        <f>IF($A38&lt;&gt;"",'All Cases - Enter Cases'!I38,"")</f>
        <v/>
      </c>
      <c r="J38" t="str">
        <f>IF($A38&lt;&gt;"",'All Cases - Enter Cases'!J38,"")</f>
        <v/>
      </c>
      <c r="K38" t="str">
        <f>IF($A38&lt;&gt;"",'All Cases - Enter Cases'!K38,"")</f>
        <v/>
      </c>
      <c r="L38" t="str">
        <f>IF($A38&lt;&gt;"",'All Cases - Enter Cases'!L38,"")</f>
        <v/>
      </c>
      <c r="M38" t="str">
        <f>IF($A38&lt;&gt;"",'All Cases - Enter Cases'!M38,"")</f>
        <v/>
      </c>
    </row>
    <row r="39" spans="1:13" x14ac:dyDescent="0.35">
      <c r="A39" t="str">
        <f>IF('All Cases - Enter Cases'!$F39="Balochistan",'All Cases - Enter Cases'!A39,"")</f>
        <v/>
      </c>
      <c r="B39" t="str">
        <f>IF($A39&lt;&gt;"",'All Cases - Enter Cases'!B39,"")</f>
        <v/>
      </c>
      <c r="C39" t="str">
        <f>IF($A39&lt;&gt;"",'All Cases - Enter Cases'!C39,"")</f>
        <v/>
      </c>
      <c r="D39" t="str">
        <f>IF($A39&lt;&gt;"",'All Cases - Enter Cases'!D39,"")</f>
        <v/>
      </c>
      <c r="E39" t="str">
        <f>IF($A39&lt;&gt;"",'All Cases - Enter Cases'!E39,"")</f>
        <v/>
      </c>
      <c r="F39" t="str">
        <f>IF($A39&lt;&gt;"",'All Cases - Enter Cases'!F39,"")</f>
        <v/>
      </c>
      <c r="G39" t="str">
        <f>IF($A39&lt;&gt;"",'All Cases - Enter Cases'!G39,"")</f>
        <v/>
      </c>
      <c r="H39" t="str">
        <f>IF($A39&lt;&gt;"",'All Cases - Enter Cases'!H39,"")</f>
        <v/>
      </c>
      <c r="I39" t="str">
        <f>IF($A39&lt;&gt;"",'All Cases - Enter Cases'!I39,"")</f>
        <v/>
      </c>
      <c r="J39" t="str">
        <f>IF($A39&lt;&gt;"",'All Cases - Enter Cases'!J39,"")</f>
        <v/>
      </c>
      <c r="K39" t="str">
        <f>IF($A39&lt;&gt;"",'All Cases - Enter Cases'!K39,"")</f>
        <v/>
      </c>
      <c r="L39" t="str">
        <f>IF($A39&lt;&gt;"",'All Cases - Enter Cases'!L39,"")</f>
        <v/>
      </c>
      <c r="M39" t="str">
        <f>IF($A39&lt;&gt;"",'All Cases - Enter Cases'!M39,"")</f>
        <v/>
      </c>
    </row>
    <row r="40" spans="1:13" x14ac:dyDescent="0.35">
      <c r="A40" t="str">
        <f>IF('All Cases - Enter Cases'!$F40="Balochistan",'All Cases - Enter Cases'!A40,"")</f>
        <v/>
      </c>
      <c r="B40" t="str">
        <f>IF($A40&lt;&gt;"",'All Cases - Enter Cases'!B40,"")</f>
        <v/>
      </c>
      <c r="C40" t="str">
        <f>IF($A40&lt;&gt;"",'All Cases - Enter Cases'!C40,"")</f>
        <v/>
      </c>
      <c r="D40" t="str">
        <f>IF($A40&lt;&gt;"",'All Cases - Enter Cases'!D40,"")</f>
        <v/>
      </c>
      <c r="E40" t="str">
        <f>IF($A40&lt;&gt;"",'All Cases - Enter Cases'!E40,"")</f>
        <v/>
      </c>
      <c r="F40" t="str">
        <f>IF($A40&lt;&gt;"",'All Cases - Enter Cases'!F40,"")</f>
        <v/>
      </c>
      <c r="G40" t="str">
        <f>IF($A40&lt;&gt;"",'All Cases - Enter Cases'!G40,"")</f>
        <v/>
      </c>
      <c r="H40" t="str">
        <f>IF($A40&lt;&gt;"",'All Cases - Enter Cases'!H40,"")</f>
        <v/>
      </c>
      <c r="I40" t="str">
        <f>IF($A40&lt;&gt;"",'All Cases - Enter Cases'!I40,"")</f>
        <v/>
      </c>
      <c r="J40" t="str">
        <f>IF($A40&lt;&gt;"",'All Cases - Enter Cases'!J40,"")</f>
        <v/>
      </c>
      <c r="K40" t="str">
        <f>IF($A40&lt;&gt;"",'All Cases - Enter Cases'!K40,"")</f>
        <v/>
      </c>
      <c r="L40" t="str">
        <f>IF($A40&lt;&gt;"",'All Cases - Enter Cases'!L40,"")</f>
        <v/>
      </c>
      <c r="M40" t="str">
        <f>IF($A40&lt;&gt;"",'All Cases - Enter Cases'!M40,"")</f>
        <v/>
      </c>
    </row>
    <row r="41" spans="1:13" x14ac:dyDescent="0.35">
      <c r="A41" t="str">
        <f>IF('All Cases - Enter Cases'!$F41="Balochistan",'All Cases - Enter Cases'!A41,"")</f>
        <v/>
      </c>
      <c r="B41" t="str">
        <f>IF($A41&lt;&gt;"",'All Cases - Enter Cases'!B41,"")</f>
        <v/>
      </c>
      <c r="C41" t="str">
        <f>IF($A41&lt;&gt;"",'All Cases - Enter Cases'!C41,"")</f>
        <v/>
      </c>
      <c r="D41" t="str">
        <f>IF($A41&lt;&gt;"",'All Cases - Enter Cases'!D41,"")</f>
        <v/>
      </c>
      <c r="E41" t="str">
        <f>IF($A41&lt;&gt;"",'All Cases - Enter Cases'!E41,"")</f>
        <v/>
      </c>
      <c r="F41" t="str">
        <f>IF($A41&lt;&gt;"",'All Cases - Enter Cases'!F41,"")</f>
        <v/>
      </c>
      <c r="G41" t="str">
        <f>IF($A41&lt;&gt;"",'All Cases - Enter Cases'!G41,"")</f>
        <v/>
      </c>
      <c r="H41" t="str">
        <f>IF($A41&lt;&gt;"",'All Cases - Enter Cases'!H41,"")</f>
        <v/>
      </c>
      <c r="I41" t="str">
        <f>IF($A41&lt;&gt;"",'All Cases - Enter Cases'!I41,"")</f>
        <v/>
      </c>
      <c r="J41" t="str">
        <f>IF($A41&lt;&gt;"",'All Cases - Enter Cases'!J41,"")</f>
        <v/>
      </c>
      <c r="K41" t="str">
        <f>IF($A41&lt;&gt;"",'All Cases - Enter Cases'!K41,"")</f>
        <v/>
      </c>
      <c r="L41" t="str">
        <f>IF($A41&lt;&gt;"",'All Cases - Enter Cases'!L41,"")</f>
        <v/>
      </c>
      <c r="M41" t="str">
        <f>IF($A41&lt;&gt;"",'All Cases - Enter Cases'!M41,"")</f>
        <v/>
      </c>
    </row>
    <row r="42" spans="1:13" x14ac:dyDescent="0.35">
      <c r="A42" t="str">
        <f>IF('All Cases - Enter Cases'!$F42="Balochistan",'All Cases - Enter Cases'!A42,"")</f>
        <v/>
      </c>
      <c r="B42" t="str">
        <f>IF($A42&lt;&gt;"",'All Cases - Enter Cases'!B42,"")</f>
        <v/>
      </c>
      <c r="C42" t="str">
        <f>IF($A42&lt;&gt;"",'All Cases - Enter Cases'!C42,"")</f>
        <v/>
      </c>
      <c r="D42" t="str">
        <f>IF($A42&lt;&gt;"",'All Cases - Enter Cases'!D42,"")</f>
        <v/>
      </c>
      <c r="E42" t="str">
        <f>IF($A42&lt;&gt;"",'All Cases - Enter Cases'!E42,"")</f>
        <v/>
      </c>
      <c r="F42" t="str">
        <f>IF($A42&lt;&gt;"",'All Cases - Enter Cases'!F42,"")</f>
        <v/>
      </c>
      <c r="G42" t="str">
        <f>IF($A42&lt;&gt;"",'All Cases - Enter Cases'!G42,"")</f>
        <v/>
      </c>
      <c r="H42" t="str">
        <f>IF($A42&lt;&gt;"",'All Cases - Enter Cases'!H42,"")</f>
        <v/>
      </c>
      <c r="I42" t="str">
        <f>IF($A42&lt;&gt;"",'All Cases - Enter Cases'!I42,"")</f>
        <v/>
      </c>
      <c r="J42" t="str">
        <f>IF($A42&lt;&gt;"",'All Cases - Enter Cases'!J42,"")</f>
        <v/>
      </c>
      <c r="K42" t="str">
        <f>IF($A42&lt;&gt;"",'All Cases - Enter Cases'!K42,"")</f>
        <v/>
      </c>
      <c r="L42" t="str">
        <f>IF($A42&lt;&gt;"",'All Cases - Enter Cases'!L42,"")</f>
        <v/>
      </c>
      <c r="M42" t="str">
        <f>IF($A42&lt;&gt;"",'All Cases - Enter Cases'!M42,"")</f>
        <v/>
      </c>
    </row>
    <row r="43" spans="1:13" x14ac:dyDescent="0.35">
      <c r="A43" t="str">
        <f>IF('All Cases - Enter Cases'!$F43="Balochistan",'All Cases - Enter Cases'!A43,"")</f>
        <v/>
      </c>
      <c r="B43" t="str">
        <f>IF($A43&lt;&gt;"",'All Cases - Enter Cases'!B43,"")</f>
        <v/>
      </c>
      <c r="C43" t="str">
        <f>IF($A43&lt;&gt;"",'All Cases - Enter Cases'!C43,"")</f>
        <v/>
      </c>
      <c r="D43" t="str">
        <f>IF($A43&lt;&gt;"",'All Cases - Enter Cases'!D43,"")</f>
        <v/>
      </c>
      <c r="E43" t="str">
        <f>IF($A43&lt;&gt;"",'All Cases - Enter Cases'!E43,"")</f>
        <v/>
      </c>
      <c r="F43" t="str">
        <f>IF($A43&lt;&gt;"",'All Cases - Enter Cases'!F43,"")</f>
        <v/>
      </c>
      <c r="G43" t="str">
        <f>IF($A43&lt;&gt;"",'All Cases - Enter Cases'!G43,"")</f>
        <v/>
      </c>
      <c r="H43" t="str">
        <f>IF($A43&lt;&gt;"",'All Cases - Enter Cases'!H43,"")</f>
        <v/>
      </c>
      <c r="I43" t="str">
        <f>IF($A43&lt;&gt;"",'All Cases - Enter Cases'!I43,"")</f>
        <v/>
      </c>
      <c r="J43" t="str">
        <f>IF($A43&lt;&gt;"",'All Cases - Enter Cases'!J43,"")</f>
        <v/>
      </c>
      <c r="K43" t="str">
        <f>IF($A43&lt;&gt;"",'All Cases - Enter Cases'!K43,"")</f>
        <v/>
      </c>
      <c r="L43" t="str">
        <f>IF($A43&lt;&gt;"",'All Cases - Enter Cases'!L43,"")</f>
        <v/>
      </c>
      <c r="M43" t="str">
        <f>IF($A43&lt;&gt;"",'All Cases - Enter Cases'!M43,"")</f>
        <v/>
      </c>
    </row>
    <row r="44" spans="1:13" x14ac:dyDescent="0.35">
      <c r="A44" t="str">
        <f>IF('All Cases - Enter Cases'!$F44="Balochistan",'All Cases - Enter Cases'!A44,"")</f>
        <v/>
      </c>
      <c r="B44" t="str">
        <f>IF($A44&lt;&gt;"",'All Cases - Enter Cases'!B44,"")</f>
        <v/>
      </c>
      <c r="C44" t="str">
        <f>IF($A44&lt;&gt;"",'All Cases - Enter Cases'!C44,"")</f>
        <v/>
      </c>
      <c r="D44" t="str">
        <f>IF($A44&lt;&gt;"",'All Cases - Enter Cases'!D44,"")</f>
        <v/>
      </c>
      <c r="E44" t="str">
        <f>IF($A44&lt;&gt;"",'All Cases - Enter Cases'!E44,"")</f>
        <v/>
      </c>
      <c r="F44" t="str">
        <f>IF($A44&lt;&gt;"",'All Cases - Enter Cases'!F44,"")</f>
        <v/>
      </c>
      <c r="G44" t="str">
        <f>IF($A44&lt;&gt;"",'All Cases - Enter Cases'!G44,"")</f>
        <v/>
      </c>
      <c r="H44" t="str">
        <f>IF($A44&lt;&gt;"",'All Cases - Enter Cases'!H44,"")</f>
        <v/>
      </c>
      <c r="I44" t="str">
        <f>IF($A44&lt;&gt;"",'All Cases - Enter Cases'!I44,"")</f>
        <v/>
      </c>
      <c r="J44" t="str">
        <f>IF($A44&lt;&gt;"",'All Cases - Enter Cases'!J44,"")</f>
        <v/>
      </c>
      <c r="K44" t="str">
        <f>IF($A44&lt;&gt;"",'All Cases - Enter Cases'!K44,"")</f>
        <v/>
      </c>
      <c r="L44" t="str">
        <f>IF($A44&lt;&gt;"",'All Cases - Enter Cases'!L44,"")</f>
        <v/>
      </c>
      <c r="M44" t="str">
        <f>IF($A44&lt;&gt;"",'All Cases - Enter Cases'!M44,"")</f>
        <v/>
      </c>
    </row>
    <row r="45" spans="1:13" x14ac:dyDescent="0.35">
      <c r="A45" t="str">
        <f>IF('All Cases - Enter Cases'!$F45="Balochistan",'All Cases - Enter Cases'!A45,"")</f>
        <v/>
      </c>
      <c r="B45" t="str">
        <f>IF($A45&lt;&gt;"",'All Cases - Enter Cases'!B45,"")</f>
        <v/>
      </c>
      <c r="C45" t="str">
        <f>IF($A45&lt;&gt;"",'All Cases - Enter Cases'!C45,"")</f>
        <v/>
      </c>
      <c r="D45" t="str">
        <f>IF($A45&lt;&gt;"",'All Cases - Enter Cases'!D45,"")</f>
        <v/>
      </c>
      <c r="E45" t="str">
        <f>IF($A45&lt;&gt;"",'All Cases - Enter Cases'!E45,"")</f>
        <v/>
      </c>
      <c r="F45" t="str">
        <f>IF($A45&lt;&gt;"",'All Cases - Enter Cases'!F45,"")</f>
        <v/>
      </c>
      <c r="G45" t="str">
        <f>IF($A45&lt;&gt;"",'All Cases - Enter Cases'!G45,"")</f>
        <v/>
      </c>
      <c r="H45" t="str">
        <f>IF($A45&lt;&gt;"",'All Cases - Enter Cases'!H45,"")</f>
        <v/>
      </c>
      <c r="I45" t="str">
        <f>IF($A45&lt;&gt;"",'All Cases - Enter Cases'!I45,"")</f>
        <v/>
      </c>
      <c r="J45" t="str">
        <f>IF($A45&lt;&gt;"",'All Cases - Enter Cases'!J45,"")</f>
        <v/>
      </c>
      <c r="K45" t="str">
        <f>IF($A45&lt;&gt;"",'All Cases - Enter Cases'!K45,"")</f>
        <v/>
      </c>
      <c r="L45" t="str">
        <f>IF($A45&lt;&gt;"",'All Cases - Enter Cases'!L45,"")</f>
        <v/>
      </c>
      <c r="M45" t="str">
        <f>IF($A45&lt;&gt;"",'All Cases - Enter Cases'!M45,"")</f>
        <v/>
      </c>
    </row>
    <row r="46" spans="1:13" x14ac:dyDescent="0.35">
      <c r="A46" t="str">
        <f>IF('All Cases - Enter Cases'!$F46="Balochistan",'All Cases - Enter Cases'!A46,"")</f>
        <v/>
      </c>
      <c r="B46" t="str">
        <f>IF($A46&lt;&gt;"",'All Cases - Enter Cases'!B46,"")</f>
        <v/>
      </c>
      <c r="C46" t="str">
        <f>IF($A46&lt;&gt;"",'All Cases - Enter Cases'!C46,"")</f>
        <v/>
      </c>
      <c r="D46" t="str">
        <f>IF($A46&lt;&gt;"",'All Cases - Enter Cases'!D46,"")</f>
        <v/>
      </c>
      <c r="E46" t="str">
        <f>IF($A46&lt;&gt;"",'All Cases - Enter Cases'!E46,"")</f>
        <v/>
      </c>
      <c r="F46" t="str">
        <f>IF($A46&lt;&gt;"",'All Cases - Enter Cases'!F46,"")</f>
        <v/>
      </c>
      <c r="G46" t="str">
        <f>IF($A46&lt;&gt;"",'All Cases - Enter Cases'!G46,"")</f>
        <v/>
      </c>
      <c r="H46" t="str">
        <f>IF($A46&lt;&gt;"",'All Cases - Enter Cases'!H46,"")</f>
        <v/>
      </c>
      <c r="I46" t="str">
        <f>IF($A46&lt;&gt;"",'All Cases - Enter Cases'!I46,"")</f>
        <v/>
      </c>
      <c r="J46" t="str">
        <f>IF($A46&lt;&gt;"",'All Cases - Enter Cases'!J46,"")</f>
        <v/>
      </c>
      <c r="K46" t="str">
        <f>IF($A46&lt;&gt;"",'All Cases - Enter Cases'!K46,"")</f>
        <v/>
      </c>
      <c r="L46" t="str">
        <f>IF($A46&lt;&gt;"",'All Cases - Enter Cases'!L46,"")</f>
        <v/>
      </c>
      <c r="M46" t="str">
        <f>IF($A46&lt;&gt;"",'All Cases - Enter Cases'!M46,"")</f>
        <v/>
      </c>
    </row>
    <row r="47" spans="1:13" x14ac:dyDescent="0.35">
      <c r="A47" t="str">
        <f>IF('All Cases - Enter Cases'!$F47="Balochistan",'All Cases - Enter Cases'!A47,"")</f>
        <v/>
      </c>
      <c r="B47" t="str">
        <f>IF($A47&lt;&gt;"",'All Cases - Enter Cases'!B47,"")</f>
        <v/>
      </c>
      <c r="C47" t="str">
        <f>IF($A47&lt;&gt;"",'All Cases - Enter Cases'!C47,"")</f>
        <v/>
      </c>
      <c r="D47" t="str">
        <f>IF($A47&lt;&gt;"",'All Cases - Enter Cases'!D47,"")</f>
        <v/>
      </c>
      <c r="E47" t="str">
        <f>IF($A47&lt;&gt;"",'All Cases - Enter Cases'!E47,"")</f>
        <v/>
      </c>
      <c r="F47" t="str">
        <f>IF($A47&lt;&gt;"",'All Cases - Enter Cases'!F47,"")</f>
        <v/>
      </c>
      <c r="G47" t="str">
        <f>IF($A47&lt;&gt;"",'All Cases - Enter Cases'!G47,"")</f>
        <v/>
      </c>
      <c r="H47" t="str">
        <f>IF($A47&lt;&gt;"",'All Cases - Enter Cases'!H47,"")</f>
        <v/>
      </c>
      <c r="I47" t="str">
        <f>IF($A47&lt;&gt;"",'All Cases - Enter Cases'!I47,"")</f>
        <v/>
      </c>
      <c r="J47" t="str">
        <f>IF($A47&lt;&gt;"",'All Cases - Enter Cases'!J47,"")</f>
        <v/>
      </c>
      <c r="K47" t="str">
        <f>IF($A47&lt;&gt;"",'All Cases - Enter Cases'!K47,"")</f>
        <v/>
      </c>
      <c r="L47" t="str">
        <f>IF($A47&lt;&gt;"",'All Cases - Enter Cases'!L47,"")</f>
        <v/>
      </c>
      <c r="M47" t="str">
        <f>IF($A47&lt;&gt;"",'All Cases - Enter Cases'!M47,"")</f>
        <v/>
      </c>
    </row>
    <row r="48" spans="1:13" x14ac:dyDescent="0.35">
      <c r="A48" t="str">
        <f>IF('All Cases - Enter Cases'!$F48="Balochistan",'All Cases - Enter Cases'!A48,"")</f>
        <v/>
      </c>
      <c r="B48" t="str">
        <f>IF($A48&lt;&gt;"",'All Cases - Enter Cases'!B48,"")</f>
        <v/>
      </c>
      <c r="C48" t="str">
        <f>IF($A48&lt;&gt;"",'All Cases - Enter Cases'!C48,"")</f>
        <v/>
      </c>
      <c r="D48" t="str">
        <f>IF($A48&lt;&gt;"",'All Cases - Enter Cases'!D48,"")</f>
        <v/>
      </c>
      <c r="E48" t="str">
        <f>IF($A48&lt;&gt;"",'All Cases - Enter Cases'!E48,"")</f>
        <v/>
      </c>
      <c r="F48" t="str">
        <f>IF($A48&lt;&gt;"",'All Cases - Enter Cases'!F48,"")</f>
        <v/>
      </c>
      <c r="G48" t="str">
        <f>IF($A48&lt;&gt;"",'All Cases - Enter Cases'!G48,"")</f>
        <v/>
      </c>
      <c r="H48" t="str">
        <f>IF($A48&lt;&gt;"",'All Cases - Enter Cases'!H48,"")</f>
        <v/>
      </c>
      <c r="I48" t="str">
        <f>IF($A48&lt;&gt;"",'All Cases - Enter Cases'!I48,"")</f>
        <v/>
      </c>
      <c r="J48" t="str">
        <f>IF($A48&lt;&gt;"",'All Cases - Enter Cases'!J48,"")</f>
        <v/>
      </c>
      <c r="K48" t="str">
        <f>IF($A48&lt;&gt;"",'All Cases - Enter Cases'!K48,"")</f>
        <v/>
      </c>
      <c r="L48" t="str">
        <f>IF($A48&lt;&gt;"",'All Cases - Enter Cases'!L48,"")</f>
        <v/>
      </c>
      <c r="M48" t="str">
        <f>IF($A48&lt;&gt;"",'All Cases - Enter Cases'!M48,"")</f>
        <v/>
      </c>
    </row>
    <row r="49" spans="1:13" x14ac:dyDescent="0.35">
      <c r="A49" t="str">
        <f>IF('All Cases - Enter Cases'!$F49="Balochistan",'All Cases - Enter Cases'!A49,"")</f>
        <v/>
      </c>
      <c r="B49" t="str">
        <f>IF($A49&lt;&gt;"",'All Cases - Enter Cases'!B49,"")</f>
        <v/>
      </c>
      <c r="C49" t="str">
        <f>IF($A49&lt;&gt;"",'All Cases - Enter Cases'!C49,"")</f>
        <v/>
      </c>
      <c r="D49" t="str">
        <f>IF($A49&lt;&gt;"",'All Cases - Enter Cases'!D49,"")</f>
        <v/>
      </c>
      <c r="E49" t="str">
        <f>IF($A49&lt;&gt;"",'All Cases - Enter Cases'!E49,"")</f>
        <v/>
      </c>
      <c r="F49" t="str">
        <f>IF($A49&lt;&gt;"",'All Cases - Enter Cases'!F49,"")</f>
        <v/>
      </c>
      <c r="G49" t="str">
        <f>IF($A49&lt;&gt;"",'All Cases - Enter Cases'!G49,"")</f>
        <v/>
      </c>
      <c r="H49" t="str">
        <f>IF($A49&lt;&gt;"",'All Cases - Enter Cases'!H49,"")</f>
        <v/>
      </c>
      <c r="I49" t="str">
        <f>IF($A49&lt;&gt;"",'All Cases - Enter Cases'!I49,"")</f>
        <v/>
      </c>
      <c r="J49" t="str">
        <f>IF($A49&lt;&gt;"",'All Cases - Enter Cases'!J49,"")</f>
        <v/>
      </c>
      <c r="K49" t="str">
        <f>IF($A49&lt;&gt;"",'All Cases - Enter Cases'!K49,"")</f>
        <v/>
      </c>
      <c r="L49" t="str">
        <f>IF($A49&lt;&gt;"",'All Cases - Enter Cases'!L49,"")</f>
        <v/>
      </c>
      <c r="M49" t="str">
        <f>IF($A49&lt;&gt;"",'All Cases - Enter Cases'!M49,"")</f>
        <v/>
      </c>
    </row>
    <row r="50" spans="1:13" x14ac:dyDescent="0.35">
      <c r="A50" t="str">
        <f>IF('All Cases - Enter Cases'!$F50="Balochistan",'All Cases - Enter Cases'!A50,"")</f>
        <v/>
      </c>
      <c r="B50" t="str">
        <f>IF($A50&lt;&gt;"",'All Cases - Enter Cases'!B50,"")</f>
        <v/>
      </c>
      <c r="C50" t="str">
        <f>IF($A50&lt;&gt;"",'All Cases - Enter Cases'!C50,"")</f>
        <v/>
      </c>
      <c r="D50" t="str">
        <f>IF($A50&lt;&gt;"",'All Cases - Enter Cases'!D50,"")</f>
        <v/>
      </c>
      <c r="E50" t="str">
        <f>IF($A50&lt;&gt;"",'All Cases - Enter Cases'!E50,"")</f>
        <v/>
      </c>
      <c r="F50" t="str">
        <f>IF($A50&lt;&gt;"",'All Cases - Enter Cases'!F50,"")</f>
        <v/>
      </c>
      <c r="G50" t="str">
        <f>IF($A50&lt;&gt;"",'All Cases - Enter Cases'!G50,"")</f>
        <v/>
      </c>
      <c r="H50" t="str">
        <f>IF($A50&lt;&gt;"",'All Cases - Enter Cases'!H50,"")</f>
        <v/>
      </c>
      <c r="I50" t="str">
        <f>IF($A50&lt;&gt;"",'All Cases - Enter Cases'!I50,"")</f>
        <v/>
      </c>
      <c r="J50" t="str">
        <f>IF($A50&lt;&gt;"",'All Cases - Enter Cases'!J50,"")</f>
        <v/>
      </c>
      <c r="K50" t="str">
        <f>IF($A50&lt;&gt;"",'All Cases - Enter Cases'!K50,"")</f>
        <v/>
      </c>
      <c r="L50" t="str">
        <f>IF($A50&lt;&gt;"",'All Cases - Enter Cases'!L50,"")</f>
        <v/>
      </c>
      <c r="M50" t="str">
        <f>IF($A50&lt;&gt;"",'All Cases - Enter Cases'!M50,"")</f>
        <v/>
      </c>
    </row>
    <row r="51" spans="1:13" x14ac:dyDescent="0.35">
      <c r="A51" t="str">
        <f>IF('All Cases - Enter Cases'!$F51="Balochistan",'All Cases - Enter Cases'!A51,"")</f>
        <v/>
      </c>
      <c r="B51" t="str">
        <f>IF($A51&lt;&gt;"",'All Cases - Enter Cases'!B51,"")</f>
        <v/>
      </c>
      <c r="C51" t="str">
        <f>IF($A51&lt;&gt;"",'All Cases - Enter Cases'!C51,"")</f>
        <v/>
      </c>
      <c r="D51" t="str">
        <f>IF($A51&lt;&gt;"",'All Cases - Enter Cases'!D51,"")</f>
        <v/>
      </c>
      <c r="E51" t="str">
        <f>IF($A51&lt;&gt;"",'All Cases - Enter Cases'!E51,"")</f>
        <v/>
      </c>
      <c r="F51" t="str">
        <f>IF($A51&lt;&gt;"",'All Cases - Enter Cases'!F51,"")</f>
        <v/>
      </c>
      <c r="G51" t="str">
        <f>IF($A51&lt;&gt;"",'All Cases - Enter Cases'!G51,"")</f>
        <v/>
      </c>
      <c r="H51" t="str">
        <f>IF($A51&lt;&gt;"",'All Cases - Enter Cases'!H51,"")</f>
        <v/>
      </c>
      <c r="I51" t="str">
        <f>IF($A51&lt;&gt;"",'All Cases - Enter Cases'!I51,"")</f>
        <v/>
      </c>
      <c r="J51" t="str">
        <f>IF($A51&lt;&gt;"",'All Cases - Enter Cases'!J51,"")</f>
        <v/>
      </c>
      <c r="K51" t="str">
        <f>IF($A51&lt;&gt;"",'All Cases - Enter Cases'!K51,"")</f>
        <v/>
      </c>
      <c r="L51" t="str">
        <f>IF($A51&lt;&gt;"",'All Cases - Enter Cases'!L51,"")</f>
        <v/>
      </c>
      <c r="M51" t="str">
        <f>IF($A51&lt;&gt;"",'All Cases - Enter Cases'!M51,"")</f>
        <v/>
      </c>
    </row>
    <row r="52" spans="1:13" x14ac:dyDescent="0.35">
      <c r="A52" t="str">
        <f>IF('All Cases - Enter Cases'!$F52="Balochistan",'All Cases - Enter Cases'!A52,"")</f>
        <v/>
      </c>
      <c r="B52" t="str">
        <f>IF($A52&lt;&gt;"",'All Cases - Enter Cases'!B52,"")</f>
        <v/>
      </c>
      <c r="C52" t="str">
        <f>IF($A52&lt;&gt;"",'All Cases - Enter Cases'!C52,"")</f>
        <v/>
      </c>
      <c r="D52" t="str">
        <f>IF($A52&lt;&gt;"",'All Cases - Enter Cases'!D52,"")</f>
        <v/>
      </c>
      <c r="E52" t="str">
        <f>IF($A52&lt;&gt;"",'All Cases - Enter Cases'!E52,"")</f>
        <v/>
      </c>
      <c r="F52" t="str">
        <f>IF($A52&lt;&gt;"",'All Cases - Enter Cases'!F52,"")</f>
        <v/>
      </c>
      <c r="G52" t="str">
        <f>IF($A52&lt;&gt;"",'All Cases - Enter Cases'!G52,"")</f>
        <v/>
      </c>
      <c r="H52" t="str">
        <f>IF($A52&lt;&gt;"",'All Cases - Enter Cases'!H52,"")</f>
        <v/>
      </c>
      <c r="I52" t="str">
        <f>IF($A52&lt;&gt;"",'All Cases - Enter Cases'!I52,"")</f>
        <v/>
      </c>
      <c r="J52" t="str">
        <f>IF($A52&lt;&gt;"",'All Cases - Enter Cases'!J52,"")</f>
        <v/>
      </c>
      <c r="K52" t="str">
        <f>IF($A52&lt;&gt;"",'All Cases - Enter Cases'!K52,"")</f>
        <v/>
      </c>
      <c r="L52" t="str">
        <f>IF($A52&lt;&gt;"",'All Cases - Enter Cases'!L52,"")</f>
        <v/>
      </c>
      <c r="M52" t="str">
        <f>IF($A52&lt;&gt;"",'All Cases - Enter Cases'!M52,"")</f>
        <v/>
      </c>
    </row>
    <row r="53" spans="1:13" x14ac:dyDescent="0.35">
      <c r="A53" t="str">
        <f>IF('All Cases - Enter Cases'!$F53="Balochistan",'All Cases - Enter Cases'!A53,"")</f>
        <v/>
      </c>
      <c r="B53" t="str">
        <f>IF($A53&lt;&gt;"",'All Cases - Enter Cases'!B53,"")</f>
        <v/>
      </c>
      <c r="C53" t="str">
        <f>IF($A53&lt;&gt;"",'All Cases - Enter Cases'!C53,"")</f>
        <v/>
      </c>
      <c r="D53" t="str">
        <f>IF($A53&lt;&gt;"",'All Cases - Enter Cases'!D53,"")</f>
        <v/>
      </c>
      <c r="E53" t="str">
        <f>IF($A53&lt;&gt;"",'All Cases - Enter Cases'!E53,"")</f>
        <v/>
      </c>
      <c r="F53" t="str">
        <f>IF($A53&lt;&gt;"",'All Cases - Enter Cases'!F53,"")</f>
        <v/>
      </c>
      <c r="G53" t="str">
        <f>IF($A53&lt;&gt;"",'All Cases - Enter Cases'!G53,"")</f>
        <v/>
      </c>
      <c r="H53" t="str">
        <f>IF($A53&lt;&gt;"",'All Cases - Enter Cases'!H53,"")</f>
        <v/>
      </c>
      <c r="I53" t="str">
        <f>IF($A53&lt;&gt;"",'All Cases - Enter Cases'!I53,"")</f>
        <v/>
      </c>
      <c r="J53" t="str">
        <f>IF($A53&lt;&gt;"",'All Cases - Enter Cases'!J53,"")</f>
        <v/>
      </c>
      <c r="K53" t="str">
        <f>IF($A53&lt;&gt;"",'All Cases - Enter Cases'!K53,"")</f>
        <v/>
      </c>
      <c r="L53" t="str">
        <f>IF($A53&lt;&gt;"",'All Cases - Enter Cases'!L53,"")</f>
        <v/>
      </c>
      <c r="M53" t="str">
        <f>IF($A53&lt;&gt;"",'All Cases - Enter Cases'!M53,"")</f>
        <v/>
      </c>
    </row>
    <row r="54" spans="1:13" x14ac:dyDescent="0.35">
      <c r="A54" t="str">
        <f>IF('All Cases - Enter Cases'!$F54="Balochistan",'All Cases - Enter Cases'!A54,"")</f>
        <v/>
      </c>
      <c r="B54" t="str">
        <f>IF($A54&lt;&gt;"",'All Cases - Enter Cases'!B54,"")</f>
        <v/>
      </c>
      <c r="C54" t="str">
        <f>IF($A54&lt;&gt;"",'All Cases - Enter Cases'!C54,"")</f>
        <v/>
      </c>
      <c r="D54" t="str">
        <f>IF($A54&lt;&gt;"",'All Cases - Enter Cases'!D54,"")</f>
        <v/>
      </c>
      <c r="E54" t="str">
        <f>IF($A54&lt;&gt;"",'All Cases - Enter Cases'!E54,"")</f>
        <v/>
      </c>
      <c r="F54" t="str">
        <f>IF($A54&lt;&gt;"",'All Cases - Enter Cases'!F54,"")</f>
        <v/>
      </c>
      <c r="G54" t="str">
        <f>IF($A54&lt;&gt;"",'All Cases - Enter Cases'!G54,"")</f>
        <v/>
      </c>
      <c r="H54" t="str">
        <f>IF($A54&lt;&gt;"",'All Cases - Enter Cases'!H54,"")</f>
        <v/>
      </c>
      <c r="I54" t="str">
        <f>IF($A54&lt;&gt;"",'All Cases - Enter Cases'!I54,"")</f>
        <v/>
      </c>
      <c r="J54" t="str">
        <f>IF($A54&lt;&gt;"",'All Cases - Enter Cases'!J54,"")</f>
        <v/>
      </c>
      <c r="K54" t="str">
        <f>IF($A54&lt;&gt;"",'All Cases - Enter Cases'!K54,"")</f>
        <v/>
      </c>
      <c r="L54" t="str">
        <f>IF($A54&lt;&gt;"",'All Cases - Enter Cases'!L54,"")</f>
        <v/>
      </c>
      <c r="M54" t="str">
        <f>IF($A54&lt;&gt;"",'All Cases - Enter Cases'!M54,"")</f>
        <v/>
      </c>
    </row>
    <row r="55" spans="1:13" x14ac:dyDescent="0.35">
      <c r="A55" t="str">
        <f>IF('All Cases - Enter Cases'!$F55="Balochistan",'All Cases - Enter Cases'!A55,"")</f>
        <v/>
      </c>
      <c r="B55" t="str">
        <f>IF($A55&lt;&gt;"",'All Cases - Enter Cases'!B55,"")</f>
        <v/>
      </c>
      <c r="C55" t="str">
        <f>IF($A55&lt;&gt;"",'All Cases - Enter Cases'!C55,"")</f>
        <v/>
      </c>
      <c r="D55" t="str">
        <f>IF($A55&lt;&gt;"",'All Cases - Enter Cases'!D55,"")</f>
        <v/>
      </c>
      <c r="E55" t="str">
        <f>IF($A55&lt;&gt;"",'All Cases - Enter Cases'!E55,"")</f>
        <v/>
      </c>
      <c r="F55" t="str">
        <f>IF($A55&lt;&gt;"",'All Cases - Enter Cases'!F55,"")</f>
        <v/>
      </c>
      <c r="G55" t="str">
        <f>IF($A55&lt;&gt;"",'All Cases - Enter Cases'!G55,"")</f>
        <v/>
      </c>
      <c r="H55" t="str">
        <f>IF($A55&lt;&gt;"",'All Cases - Enter Cases'!H55,"")</f>
        <v/>
      </c>
      <c r="I55" t="str">
        <f>IF($A55&lt;&gt;"",'All Cases - Enter Cases'!I55,"")</f>
        <v/>
      </c>
      <c r="J55" t="str">
        <f>IF($A55&lt;&gt;"",'All Cases - Enter Cases'!J55,"")</f>
        <v/>
      </c>
      <c r="K55" t="str">
        <f>IF($A55&lt;&gt;"",'All Cases - Enter Cases'!K55,"")</f>
        <v/>
      </c>
      <c r="L55" t="str">
        <f>IF($A55&lt;&gt;"",'All Cases - Enter Cases'!L55,"")</f>
        <v/>
      </c>
      <c r="M55" t="str">
        <f>IF($A55&lt;&gt;"",'All Cases - Enter Cases'!M55,"")</f>
        <v/>
      </c>
    </row>
    <row r="56" spans="1:13" x14ac:dyDescent="0.35">
      <c r="A56" t="str">
        <f>IF('All Cases - Enter Cases'!$F56="Balochistan",'All Cases - Enter Cases'!A56,"")</f>
        <v/>
      </c>
      <c r="B56" t="str">
        <f>IF($A56&lt;&gt;"",'All Cases - Enter Cases'!B56,"")</f>
        <v/>
      </c>
      <c r="C56" t="str">
        <f>IF($A56&lt;&gt;"",'All Cases - Enter Cases'!C56,"")</f>
        <v/>
      </c>
      <c r="D56" t="str">
        <f>IF($A56&lt;&gt;"",'All Cases - Enter Cases'!D56,"")</f>
        <v/>
      </c>
      <c r="E56" t="str">
        <f>IF($A56&lt;&gt;"",'All Cases - Enter Cases'!E56,"")</f>
        <v/>
      </c>
      <c r="F56" t="str">
        <f>IF($A56&lt;&gt;"",'All Cases - Enter Cases'!F56,"")</f>
        <v/>
      </c>
      <c r="G56" t="str">
        <f>IF($A56&lt;&gt;"",'All Cases - Enter Cases'!G56,"")</f>
        <v/>
      </c>
      <c r="H56" t="str">
        <f>IF($A56&lt;&gt;"",'All Cases - Enter Cases'!H56,"")</f>
        <v/>
      </c>
      <c r="I56" t="str">
        <f>IF($A56&lt;&gt;"",'All Cases - Enter Cases'!I56,"")</f>
        <v/>
      </c>
      <c r="J56" t="str">
        <f>IF($A56&lt;&gt;"",'All Cases - Enter Cases'!J56,"")</f>
        <v/>
      </c>
      <c r="K56" t="str">
        <f>IF($A56&lt;&gt;"",'All Cases - Enter Cases'!K56,"")</f>
        <v/>
      </c>
      <c r="L56" t="str">
        <f>IF($A56&lt;&gt;"",'All Cases - Enter Cases'!L56,"")</f>
        <v/>
      </c>
      <c r="M56" t="str">
        <f>IF($A56&lt;&gt;"",'All Cases - Enter Cases'!M56,"")</f>
        <v/>
      </c>
    </row>
    <row r="57" spans="1:13" x14ac:dyDescent="0.35">
      <c r="A57" t="str">
        <f>IF('All Cases - Enter Cases'!$F57="Balochistan",'All Cases - Enter Cases'!A57,"")</f>
        <v/>
      </c>
      <c r="B57" t="str">
        <f>IF($A57&lt;&gt;"",'All Cases - Enter Cases'!B57,"")</f>
        <v/>
      </c>
      <c r="C57" t="str">
        <f>IF($A57&lt;&gt;"",'All Cases - Enter Cases'!C57,"")</f>
        <v/>
      </c>
      <c r="D57" t="str">
        <f>IF($A57&lt;&gt;"",'All Cases - Enter Cases'!D57,"")</f>
        <v/>
      </c>
      <c r="E57" t="str">
        <f>IF($A57&lt;&gt;"",'All Cases - Enter Cases'!E57,"")</f>
        <v/>
      </c>
      <c r="F57" t="str">
        <f>IF($A57&lt;&gt;"",'All Cases - Enter Cases'!F57,"")</f>
        <v/>
      </c>
      <c r="G57" t="str">
        <f>IF($A57&lt;&gt;"",'All Cases - Enter Cases'!G57,"")</f>
        <v/>
      </c>
      <c r="H57" t="str">
        <f>IF($A57&lt;&gt;"",'All Cases - Enter Cases'!H57,"")</f>
        <v/>
      </c>
      <c r="I57" t="str">
        <f>IF($A57&lt;&gt;"",'All Cases - Enter Cases'!I57,"")</f>
        <v/>
      </c>
      <c r="J57" t="str">
        <f>IF($A57&lt;&gt;"",'All Cases - Enter Cases'!J57,"")</f>
        <v/>
      </c>
      <c r="K57" t="str">
        <f>IF($A57&lt;&gt;"",'All Cases - Enter Cases'!K57,"")</f>
        <v/>
      </c>
      <c r="L57" t="str">
        <f>IF($A57&lt;&gt;"",'All Cases - Enter Cases'!L57,"")</f>
        <v/>
      </c>
      <c r="M57" t="str">
        <f>IF($A57&lt;&gt;"",'All Cases - Enter Cases'!M57,"")</f>
        <v/>
      </c>
    </row>
    <row r="58" spans="1:13" x14ac:dyDescent="0.35">
      <c r="A58" t="str">
        <f>IF('All Cases - Enter Cases'!$F58="Balochistan",'All Cases - Enter Cases'!A58,"")</f>
        <v/>
      </c>
      <c r="B58" t="str">
        <f>IF($A58&lt;&gt;"",'All Cases - Enter Cases'!B58,"")</f>
        <v/>
      </c>
      <c r="C58" t="str">
        <f>IF($A58&lt;&gt;"",'All Cases - Enter Cases'!C58,"")</f>
        <v/>
      </c>
      <c r="D58" t="str">
        <f>IF($A58&lt;&gt;"",'All Cases - Enter Cases'!D58,"")</f>
        <v/>
      </c>
      <c r="E58" t="str">
        <f>IF($A58&lt;&gt;"",'All Cases - Enter Cases'!E58,"")</f>
        <v/>
      </c>
      <c r="F58" t="str">
        <f>IF($A58&lt;&gt;"",'All Cases - Enter Cases'!F58,"")</f>
        <v/>
      </c>
      <c r="G58" t="str">
        <f>IF($A58&lt;&gt;"",'All Cases - Enter Cases'!G58,"")</f>
        <v/>
      </c>
      <c r="H58" t="str">
        <f>IF($A58&lt;&gt;"",'All Cases - Enter Cases'!H58,"")</f>
        <v/>
      </c>
      <c r="I58" t="str">
        <f>IF($A58&lt;&gt;"",'All Cases - Enter Cases'!I58,"")</f>
        <v/>
      </c>
      <c r="J58" t="str">
        <f>IF($A58&lt;&gt;"",'All Cases - Enter Cases'!J58,"")</f>
        <v/>
      </c>
      <c r="K58" t="str">
        <f>IF($A58&lt;&gt;"",'All Cases - Enter Cases'!K58,"")</f>
        <v/>
      </c>
      <c r="L58" t="str">
        <f>IF($A58&lt;&gt;"",'All Cases - Enter Cases'!L58,"")</f>
        <v/>
      </c>
      <c r="M58" t="str">
        <f>IF($A58&lt;&gt;"",'All Cases - Enter Cases'!M58,"")</f>
        <v/>
      </c>
    </row>
    <row r="59" spans="1:13" x14ac:dyDescent="0.35">
      <c r="A59" t="str">
        <f>IF('All Cases - Enter Cases'!$F59="Balochistan",'All Cases - Enter Cases'!A59,"")</f>
        <v/>
      </c>
      <c r="B59" t="str">
        <f>IF($A59&lt;&gt;"",'All Cases - Enter Cases'!B59,"")</f>
        <v/>
      </c>
      <c r="C59" t="str">
        <f>IF($A59&lt;&gt;"",'All Cases - Enter Cases'!C59,"")</f>
        <v/>
      </c>
      <c r="D59" t="str">
        <f>IF($A59&lt;&gt;"",'All Cases - Enter Cases'!D59,"")</f>
        <v/>
      </c>
      <c r="E59" t="str">
        <f>IF($A59&lt;&gt;"",'All Cases - Enter Cases'!E59,"")</f>
        <v/>
      </c>
      <c r="F59" t="str">
        <f>IF($A59&lt;&gt;"",'All Cases - Enter Cases'!F59,"")</f>
        <v/>
      </c>
      <c r="G59" t="str">
        <f>IF($A59&lt;&gt;"",'All Cases - Enter Cases'!G59,"")</f>
        <v/>
      </c>
      <c r="H59" t="str">
        <f>IF($A59&lt;&gt;"",'All Cases - Enter Cases'!H59,"")</f>
        <v/>
      </c>
      <c r="I59" t="str">
        <f>IF($A59&lt;&gt;"",'All Cases - Enter Cases'!I59,"")</f>
        <v/>
      </c>
      <c r="J59" t="str">
        <f>IF($A59&lt;&gt;"",'All Cases - Enter Cases'!J59,"")</f>
        <v/>
      </c>
      <c r="K59" t="str">
        <f>IF($A59&lt;&gt;"",'All Cases - Enter Cases'!K59,"")</f>
        <v/>
      </c>
      <c r="L59" t="str">
        <f>IF($A59&lt;&gt;"",'All Cases - Enter Cases'!L59,"")</f>
        <v/>
      </c>
      <c r="M59" t="str">
        <f>IF($A59&lt;&gt;"",'All Cases - Enter Cases'!M59,"")</f>
        <v/>
      </c>
    </row>
    <row r="60" spans="1:13" x14ac:dyDescent="0.35">
      <c r="A60" t="str">
        <f>IF('All Cases - Enter Cases'!$F60="Balochistan",'All Cases - Enter Cases'!A60,"")</f>
        <v/>
      </c>
      <c r="B60" t="str">
        <f>IF($A60&lt;&gt;"",'All Cases - Enter Cases'!B60,"")</f>
        <v/>
      </c>
      <c r="C60" t="str">
        <f>IF($A60&lt;&gt;"",'All Cases - Enter Cases'!C60,"")</f>
        <v/>
      </c>
      <c r="D60" t="str">
        <f>IF($A60&lt;&gt;"",'All Cases - Enter Cases'!D60,"")</f>
        <v/>
      </c>
      <c r="E60" t="str">
        <f>IF($A60&lt;&gt;"",'All Cases - Enter Cases'!E60,"")</f>
        <v/>
      </c>
      <c r="F60" t="str">
        <f>IF($A60&lt;&gt;"",'All Cases - Enter Cases'!F60,"")</f>
        <v/>
      </c>
      <c r="G60" t="str">
        <f>IF($A60&lt;&gt;"",'All Cases - Enter Cases'!G60,"")</f>
        <v/>
      </c>
      <c r="H60" t="str">
        <f>IF($A60&lt;&gt;"",'All Cases - Enter Cases'!H60,"")</f>
        <v/>
      </c>
      <c r="I60" t="str">
        <f>IF($A60&lt;&gt;"",'All Cases - Enter Cases'!I60,"")</f>
        <v/>
      </c>
      <c r="J60" t="str">
        <f>IF($A60&lt;&gt;"",'All Cases - Enter Cases'!J60,"")</f>
        <v/>
      </c>
      <c r="K60" t="str">
        <f>IF($A60&lt;&gt;"",'All Cases - Enter Cases'!K60,"")</f>
        <v/>
      </c>
      <c r="L60" t="str">
        <f>IF($A60&lt;&gt;"",'All Cases - Enter Cases'!L60,"")</f>
        <v/>
      </c>
      <c r="M60" t="str">
        <f>IF($A60&lt;&gt;"",'All Cases - Enter Cases'!M60,"")</f>
        <v/>
      </c>
    </row>
    <row r="61" spans="1:13" x14ac:dyDescent="0.35">
      <c r="A61" t="str">
        <f>IF('All Cases - Enter Cases'!$F61="Balochistan",'All Cases - Enter Cases'!A61,"")</f>
        <v/>
      </c>
      <c r="B61" t="str">
        <f>IF($A61&lt;&gt;"",'All Cases - Enter Cases'!B61,"")</f>
        <v/>
      </c>
      <c r="C61" t="str">
        <f>IF($A61&lt;&gt;"",'All Cases - Enter Cases'!C61,"")</f>
        <v/>
      </c>
      <c r="D61" t="str">
        <f>IF($A61&lt;&gt;"",'All Cases - Enter Cases'!D61,"")</f>
        <v/>
      </c>
      <c r="E61" t="str">
        <f>IF($A61&lt;&gt;"",'All Cases - Enter Cases'!E61,"")</f>
        <v/>
      </c>
      <c r="F61" t="str">
        <f>IF($A61&lt;&gt;"",'All Cases - Enter Cases'!F61,"")</f>
        <v/>
      </c>
      <c r="G61" t="str">
        <f>IF($A61&lt;&gt;"",'All Cases - Enter Cases'!G61,"")</f>
        <v/>
      </c>
      <c r="H61" t="str">
        <f>IF($A61&lt;&gt;"",'All Cases - Enter Cases'!H61,"")</f>
        <v/>
      </c>
      <c r="I61" t="str">
        <f>IF($A61&lt;&gt;"",'All Cases - Enter Cases'!I61,"")</f>
        <v/>
      </c>
      <c r="J61" t="str">
        <f>IF($A61&lt;&gt;"",'All Cases - Enter Cases'!J61,"")</f>
        <v/>
      </c>
      <c r="K61" t="str">
        <f>IF($A61&lt;&gt;"",'All Cases - Enter Cases'!K61,"")</f>
        <v/>
      </c>
      <c r="L61" t="str">
        <f>IF($A61&lt;&gt;"",'All Cases - Enter Cases'!L61,"")</f>
        <v/>
      </c>
      <c r="M61" t="str">
        <f>IF($A61&lt;&gt;"",'All Cases - Enter Cases'!M61,"")</f>
        <v/>
      </c>
    </row>
    <row r="62" spans="1:13" x14ac:dyDescent="0.35">
      <c r="A62" t="str">
        <f>IF('All Cases - Enter Cases'!$F62="Balochistan",'All Cases - Enter Cases'!A62,"")</f>
        <v/>
      </c>
      <c r="B62" t="str">
        <f>IF($A62&lt;&gt;"",'All Cases - Enter Cases'!B62,"")</f>
        <v/>
      </c>
      <c r="C62" t="str">
        <f>IF($A62&lt;&gt;"",'All Cases - Enter Cases'!C62,"")</f>
        <v/>
      </c>
      <c r="D62" t="str">
        <f>IF($A62&lt;&gt;"",'All Cases - Enter Cases'!D62,"")</f>
        <v/>
      </c>
      <c r="E62" t="str">
        <f>IF($A62&lt;&gt;"",'All Cases - Enter Cases'!E62,"")</f>
        <v/>
      </c>
      <c r="F62" t="str">
        <f>IF($A62&lt;&gt;"",'All Cases - Enter Cases'!F62,"")</f>
        <v/>
      </c>
      <c r="G62" t="str">
        <f>IF($A62&lt;&gt;"",'All Cases - Enter Cases'!G62,"")</f>
        <v/>
      </c>
      <c r="H62" t="str">
        <f>IF($A62&lt;&gt;"",'All Cases - Enter Cases'!H62,"")</f>
        <v/>
      </c>
      <c r="I62" t="str">
        <f>IF($A62&lt;&gt;"",'All Cases - Enter Cases'!I62,"")</f>
        <v/>
      </c>
      <c r="J62" t="str">
        <f>IF($A62&lt;&gt;"",'All Cases - Enter Cases'!J62,"")</f>
        <v/>
      </c>
      <c r="K62" t="str">
        <f>IF($A62&lt;&gt;"",'All Cases - Enter Cases'!K62,"")</f>
        <v/>
      </c>
      <c r="L62" t="str">
        <f>IF($A62&lt;&gt;"",'All Cases - Enter Cases'!L62,"")</f>
        <v/>
      </c>
      <c r="M62" t="str">
        <f>IF($A62&lt;&gt;"",'All Cases - Enter Cases'!M62,"")</f>
        <v/>
      </c>
    </row>
    <row r="63" spans="1:13" x14ac:dyDescent="0.35">
      <c r="A63" t="str">
        <f>IF('All Cases - Enter Cases'!$F63="Balochistan",'All Cases - Enter Cases'!A63,"")</f>
        <v/>
      </c>
      <c r="B63" t="str">
        <f>IF($A63&lt;&gt;"",'All Cases - Enter Cases'!B63,"")</f>
        <v/>
      </c>
      <c r="C63" t="str">
        <f>IF($A63&lt;&gt;"",'All Cases - Enter Cases'!C63,"")</f>
        <v/>
      </c>
      <c r="D63" t="str">
        <f>IF($A63&lt;&gt;"",'All Cases - Enter Cases'!D63,"")</f>
        <v/>
      </c>
      <c r="E63" t="str">
        <f>IF($A63&lt;&gt;"",'All Cases - Enter Cases'!E63,"")</f>
        <v/>
      </c>
      <c r="F63" t="str">
        <f>IF($A63&lt;&gt;"",'All Cases - Enter Cases'!F63,"")</f>
        <v/>
      </c>
      <c r="G63" t="str">
        <f>IF($A63&lt;&gt;"",'All Cases - Enter Cases'!G63,"")</f>
        <v/>
      </c>
      <c r="H63" t="str">
        <f>IF($A63&lt;&gt;"",'All Cases - Enter Cases'!H63,"")</f>
        <v/>
      </c>
      <c r="I63" t="str">
        <f>IF($A63&lt;&gt;"",'All Cases - Enter Cases'!I63,"")</f>
        <v/>
      </c>
      <c r="J63" t="str">
        <f>IF($A63&lt;&gt;"",'All Cases - Enter Cases'!J63,"")</f>
        <v/>
      </c>
      <c r="K63" t="str">
        <f>IF($A63&lt;&gt;"",'All Cases - Enter Cases'!K63,"")</f>
        <v/>
      </c>
      <c r="L63" t="str">
        <f>IF($A63&lt;&gt;"",'All Cases - Enter Cases'!L63,"")</f>
        <v/>
      </c>
      <c r="M63" t="str">
        <f>IF($A63&lt;&gt;"",'All Cases - Enter Cases'!M63,"")</f>
        <v/>
      </c>
    </row>
    <row r="64" spans="1:13" x14ac:dyDescent="0.35">
      <c r="A64" t="str">
        <f>IF('All Cases - Enter Cases'!$F64="Balochistan",'All Cases - Enter Cases'!A64,"")</f>
        <v/>
      </c>
      <c r="B64" t="str">
        <f>IF($A64&lt;&gt;"",'All Cases - Enter Cases'!B64,"")</f>
        <v/>
      </c>
      <c r="C64" t="str">
        <f>IF($A64&lt;&gt;"",'All Cases - Enter Cases'!C64,"")</f>
        <v/>
      </c>
      <c r="D64" t="str">
        <f>IF($A64&lt;&gt;"",'All Cases - Enter Cases'!D64,"")</f>
        <v/>
      </c>
      <c r="E64" t="str">
        <f>IF($A64&lt;&gt;"",'All Cases - Enter Cases'!E64,"")</f>
        <v/>
      </c>
      <c r="F64" t="str">
        <f>IF($A64&lt;&gt;"",'All Cases - Enter Cases'!F64,"")</f>
        <v/>
      </c>
      <c r="G64" t="str">
        <f>IF($A64&lt;&gt;"",'All Cases - Enter Cases'!G64,"")</f>
        <v/>
      </c>
      <c r="H64" t="str">
        <f>IF($A64&lt;&gt;"",'All Cases - Enter Cases'!H64,"")</f>
        <v/>
      </c>
      <c r="I64" t="str">
        <f>IF($A64&lt;&gt;"",'All Cases - Enter Cases'!I64,"")</f>
        <v/>
      </c>
      <c r="J64" t="str">
        <f>IF($A64&lt;&gt;"",'All Cases - Enter Cases'!J64,"")</f>
        <v/>
      </c>
      <c r="K64" t="str">
        <f>IF($A64&lt;&gt;"",'All Cases - Enter Cases'!K64,"")</f>
        <v/>
      </c>
      <c r="L64" t="str">
        <f>IF($A64&lt;&gt;"",'All Cases - Enter Cases'!L64,"")</f>
        <v/>
      </c>
      <c r="M64" t="str">
        <f>IF($A64&lt;&gt;"",'All Cases - Enter Cases'!M64,"")</f>
        <v/>
      </c>
    </row>
    <row r="65" spans="1:13" x14ac:dyDescent="0.35">
      <c r="A65" t="str">
        <f>IF('All Cases - Enter Cases'!$F65="Balochistan",'All Cases - Enter Cases'!A65,"")</f>
        <v/>
      </c>
      <c r="B65" t="str">
        <f>IF($A65&lt;&gt;"",'All Cases - Enter Cases'!B65,"")</f>
        <v/>
      </c>
      <c r="C65" t="str">
        <f>IF($A65&lt;&gt;"",'All Cases - Enter Cases'!C65,"")</f>
        <v/>
      </c>
      <c r="D65" t="str">
        <f>IF($A65&lt;&gt;"",'All Cases - Enter Cases'!D65,"")</f>
        <v/>
      </c>
      <c r="E65" t="str">
        <f>IF($A65&lt;&gt;"",'All Cases - Enter Cases'!E65,"")</f>
        <v/>
      </c>
      <c r="F65" t="str">
        <f>IF($A65&lt;&gt;"",'All Cases - Enter Cases'!F65,"")</f>
        <v/>
      </c>
      <c r="G65" t="str">
        <f>IF($A65&lt;&gt;"",'All Cases - Enter Cases'!G65,"")</f>
        <v/>
      </c>
      <c r="H65" t="str">
        <f>IF($A65&lt;&gt;"",'All Cases - Enter Cases'!H65,"")</f>
        <v/>
      </c>
      <c r="I65" t="str">
        <f>IF($A65&lt;&gt;"",'All Cases - Enter Cases'!I65,"")</f>
        <v/>
      </c>
      <c r="J65" t="str">
        <f>IF($A65&lt;&gt;"",'All Cases - Enter Cases'!J65,"")</f>
        <v/>
      </c>
      <c r="K65" t="str">
        <f>IF($A65&lt;&gt;"",'All Cases - Enter Cases'!K65,"")</f>
        <v/>
      </c>
      <c r="L65" t="str">
        <f>IF($A65&lt;&gt;"",'All Cases - Enter Cases'!L65,"")</f>
        <v/>
      </c>
      <c r="M65" t="str">
        <f>IF($A65&lt;&gt;"",'All Cases - Enter Cases'!M65,"")</f>
        <v/>
      </c>
    </row>
    <row r="66" spans="1:13" x14ac:dyDescent="0.35">
      <c r="A66" t="str">
        <f>IF('All Cases - Enter Cases'!$F66="Balochistan",'All Cases - Enter Cases'!A66,"")</f>
        <v/>
      </c>
      <c r="B66" t="str">
        <f>IF($A66&lt;&gt;"",'All Cases - Enter Cases'!B66,"")</f>
        <v/>
      </c>
      <c r="C66" t="str">
        <f>IF($A66&lt;&gt;"",'All Cases - Enter Cases'!C66,"")</f>
        <v/>
      </c>
      <c r="D66" t="str">
        <f>IF($A66&lt;&gt;"",'All Cases - Enter Cases'!D66,"")</f>
        <v/>
      </c>
      <c r="E66" t="str">
        <f>IF($A66&lt;&gt;"",'All Cases - Enter Cases'!E66,"")</f>
        <v/>
      </c>
      <c r="F66" t="str">
        <f>IF($A66&lt;&gt;"",'All Cases - Enter Cases'!F66,"")</f>
        <v/>
      </c>
      <c r="G66" t="str">
        <f>IF($A66&lt;&gt;"",'All Cases - Enter Cases'!G66,"")</f>
        <v/>
      </c>
      <c r="H66" t="str">
        <f>IF($A66&lt;&gt;"",'All Cases - Enter Cases'!H66,"")</f>
        <v/>
      </c>
      <c r="I66" t="str">
        <f>IF($A66&lt;&gt;"",'All Cases - Enter Cases'!I66,"")</f>
        <v/>
      </c>
      <c r="J66" t="str">
        <f>IF($A66&lt;&gt;"",'All Cases - Enter Cases'!J66,"")</f>
        <v/>
      </c>
      <c r="K66" t="str">
        <f>IF($A66&lt;&gt;"",'All Cases - Enter Cases'!K66,"")</f>
        <v/>
      </c>
      <c r="L66" t="str">
        <f>IF($A66&lt;&gt;"",'All Cases - Enter Cases'!L66,"")</f>
        <v/>
      </c>
      <c r="M66" t="str">
        <f>IF($A66&lt;&gt;"",'All Cases - Enter Cases'!M66,"")</f>
        <v/>
      </c>
    </row>
    <row r="67" spans="1:13" x14ac:dyDescent="0.35">
      <c r="A67" t="str">
        <f>IF('All Cases - Enter Cases'!$F67="Balochistan",'All Cases - Enter Cases'!A67,"")</f>
        <v/>
      </c>
      <c r="B67" t="str">
        <f>IF($A67&lt;&gt;"",'All Cases - Enter Cases'!B67,"")</f>
        <v/>
      </c>
      <c r="C67" t="str">
        <f>IF($A67&lt;&gt;"",'All Cases - Enter Cases'!C67,"")</f>
        <v/>
      </c>
      <c r="D67" t="str">
        <f>IF($A67&lt;&gt;"",'All Cases - Enter Cases'!D67,"")</f>
        <v/>
      </c>
      <c r="E67" t="str">
        <f>IF($A67&lt;&gt;"",'All Cases - Enter Cases'!E67,"")</f>
        <v/>
      </c>
      <c r="F67" t="str">
        <f>IF($A67&lt;&gt;"",'All Cases - Enter Cases'!F67,"")</f>
        <v/>
      </c>
      <c r="G67" t="str">
        <f>IF($A67&lt;&gt;"",'All Cases - Enter Cases'!G67,"")</f>
        <v/>
      </c>
      <c r="H67" t="str">
        <f>IF($A67&lt;&gt;"",'All Cases - Enter Cases'!H67,"")</f>
        <v/>
      </c>
      <c r="I67" t="str">
        <f>IF($A67&lt;&gt;"",'All Cases - Enter Cases'!I67,"")</f>
        <v/>
      </c>
      <c r="J67" t="str">
        <f>IF($A67&lt;&gt;"",'All Cases - Enter Cases'!J67,"")</f>
        <v/>
      </c>
      <c r="K67" t="str">
        <f>IF($A67&lt;&gt;"",'All Cases - Enter Cases'!K67,"")</f>
        <v/>
      </c>
      <c r="L67" t="str">
        <f>IF($A67&lt;&gt;"",'All Cases - Enter Cases'!L67,"")</f>
        <v/>
      </c>
      <c r="M67" t="str">
        <f>IF($A67&lt;&gt;"",'All Cases - Enter Cases'!M67,"")</f>
        <v/>
      </c>
    </row>
    <row r="68" spans="1:13" x14ac:dyDescent="0.35">
      <c r="A68" t="str">
        <f>IF('All Cases - Enter Cases'!$F68="Balochistan",'All Cases - Enter Cases'!A68,"")</f>
        <v/>
      </c>
      <c r="B68" t="str">
        <f>IF($A68&lt;&gt;"",'All Cases - Enter Cases'!B68,"")</f>
        <v/>
      </c>
      <c r="C68" t="str">
        <f>IF($A68&lt;&gt;"",'All Cases - Enter Cases'!C68,"")</f>
        <v/>
      </c>
      <c r="D68" t="str">
        <f>IF($A68&lt;&gt;"",'All Cases - Enter Cases'!D68,"")</f>
        <v/>
      </c>
      <c r="E68" t="str">
        <f>IF($A68&lt;&gt;"",'All Cases - Enter Cases'!E68,"")</f>
        <v/>
      </c>
      <c r="F68" t="str">
        <f>IF($A68&lt;&gt;"",'All Cases - Enter Cases'!F68,"")</f>
        <v/>
      </c>
      <c r="G68" t="str">
        <f>IF($A68&lt;&gt;"",'All Cases - Enter Cases'!G68,"")</f>
        <v/>
      </c>
      <c r="H68" t="str">
        <f>IF($A68&lt;&gt;"",'All Cases - Enter Cases'!H68,"")</f>
        <v/>
      </c>
      <c r="I68" t="str">
        <f>IF($A68&lt;&gt;"",'All Cases - Enter Cases'!I68,"")</f>
        <v/>
      </c>
      <c r="J68" t="str">
        <f>IF($A68&lt;&gt;"",'All Cases - Enter Cases'!J68,"")</f>
        <v/>
      </c>
      <c r="K68" t="str">
        <f>IF($A68&lt;&gt;"",'All Cases - Enter Cases'!K68,"")</f>
        <v/>
      </c>
      <c r="L68" t="str">
        <f>IF($A68&lt;&gt;"",'All Cases - Enter Cases'!L68,"")</f>
        <v/>
      </c>
      <c r="M68" t="str">
        <f>IF($A68&lt;&gt;"",'All Cases - Enter Cases'!M68,"")</f>
        <v/>
      </c>
    </row>
    <row r="69" spans="1:13" x14ac:dyDescent="0.35">
      <c r="A69" t="str">
        <f>IF('All Cases - Enter Cases'!$F69="Balochistan",'All Cases - Enter Cases'!A69,"")</f>
        <v/>
      </c>
      <c r="B69" t="str">
        <f>IF($A69&lt;&gt;"",'All Cases - Enter Cases'!B69,"")</f>
        <v/>
      </c>
      <c r="C69" t="str">
        <f>IF($A69&lt;&gt;"",'All Cases - Enter Cases'!C69,"")</f>
        <v/>
      </c>
      <c r="D69" t="str">
        <f>IF($A69&lt;&gt;"",'All Cases - Enter Cases'!D69,"")</f>
        <v/>
      </c>
      <c r="E69" t="str">
        <f>IF($A69&lt;&gt;"",'All Cases - Enter Cases'!E69,"")</f>
        <v/>
      </c>
      <c r="F69" t="str">
        <f>IF($A69&lt;&gt;"",'All Cases - Enter Cases'!F69,"")</f>
        <v/>
      </c>
      <c r="G69" t="str">
        <f>IF($A69&lt;&gt;"",'All Cases - Enter Cases'!G69,"")</f>
        <v/>
      </c>
      <c r="H69" t="str">
        <f>IF($A69&lt;&gt;"",'All Cases - Enter Cases'!H69,"")</f>
        <v/>
      </c>
      <c r="I69" t="str">
        <f>IF($A69&lt;&gt;"",'All Cases - Enter Cases'!I69,"")</f>
        <v/>
      </c>
      <c r="J69" t="str">
        <f>IF($A69&lt;&gt;"",'All Cases - Enter Cases'!J69,"")</f>
        <v/>
      </c>
      <c r="K69" t="str">
        <f>IF($A69&lt;&gt;"",'All Cases - Enter Cases'!K69,"")</f>
        <v/>
      </c>
      <c r="L69" t="str">
        <f>IF($A69&lt;&gt;"",'All Cases - Enter Cases'!L69,"")</f>
        <v/>
      </c>
      <c r="M69" t="str">
        <f>IF($A69&lt;&gt;"",'All Cases - Enter Cases'!M69,"")</f>
        <v/>
      </c>
    </row>
    <row r="70" spans="1:13" x14ac:dyDescent="0.35">
      <c r="A70" t="str">
        <f>IF('All Cases - Enter Cases'!$F70="Balochistan",'All Cases - Enter Cases'!A70,"")</f>
        <v/>
      </c>
      <c r="B70" t="str">
        <f>IF($A70&lt;&gt;"",'All Cases - Enter Cases'!B70,"")</f>
        <v/>
      </c>
      <c r="C70" t="str">
        <f>IF($A70&lt;&gt;"",'All Cases - Enter Cases'!C70,"")</f>
        <v/>
      </c>
      <c r="D70" t="str">
        <f>IF($A70&lt;&gt;"",'All Cases - Enter Cases'!D70,"")</f>
        <v/>
      </c>
      <c r="E70" t="str">
        <f>IF($A70&lt;&gt;"",'All Cases - Enter Cases'!E70,"")</f>
        <v/>
      </c>
      <c r="F70" t="str">
        <f>IF($A70&lt;&gt;"",'All Cases - Enter Cases'!F70,"")</f>
        <v/>
      </c>
      <c r="G70" t="str">
        <f>IF($A70&lt;&gt;"",'All Cases - Enter Cases'!G70,"")</f>
        <v/>
      </c>
      <c r="H70" t="str">
        <f>IF($A70&lt;&gt;"",'All Cases - Enter Cases'!H70,"")</f>
        <v/>
      </c>
      <c r="I70" t="str">
        <f>IF($A70&lt;&gt;"",'All Cases - Enter Cases'!I70,"")</f>
        <v/>
      </c>
      <c r="J70" t="str">
        <f>IF($A70&lt;&gt;"",'All Cases - Enter Cases'!J70,"")</f>
        <v/>
      </c>
      <c r="K70" t="str">
        <f>IF($A70&lt;&gt;"",'All Cases - Enter Cases'!K70,"")</f>
        <v/>
      </c>
      <c r="L70" t="str">
        <f>IF($A70&lt;&gt;"",'All Cases - Enter Cases'!L70,"")</f>
        <v/>
      </c>
      <c r="M70" t="str">
        <f>IF($A70&lt;&gt;"",'All Cases - Enter Cases'!M70,"")</f>
        <v/>
      </c>
    </row>
    <row r="71" spans="1:13" x14ac:dyDescent="0.35">
      <c r="A71" t="str">
        <f>IF('All Cases - Enter Cases'!$F71="Balochistan",'All Cases - Enter Cases'!A71,"")</f>
        <v/>
      </c>
      <c r="B71" t="str">
        <f>IF($A71&lt;&gt;"",'All Cases - Enter Cases'!B71,"")</f>
        <v/>
      </c>
      <c r="C71" t="str">
        <f>IF($A71&lt;&gt;"",'All Cases - Enter Cases'!C71,"")</f>
        <v/>
      </c>
      <c r="D71" t="str">
        <f>IF($A71&lt;&gt;"",'All Cases - Enter Cases'!D71,"")</f>
        <v/>
      </c>
      <c r="E71" t="str">
        <f>IF($A71&lt;&gt;"",'All Cases - Enter Cases'!E71,"")</f>
        <v/>
      </c>
      <c r="F71" t="str">
        <f>IF($A71&lt;&gt;"",'All Cases - Enter Cases'!F71,"")</f>
        <v/>
      </c>
      <c r="G71" t="str">
        <f>IF($A71&lt;&gt;"",'All Cases - Enter Cases'!G71,"")</f>
        <v/>
      </c>
      <c r="H71" t="str">
        <f>IF($A71&lt;&gt;"",'All Cases - Enter Cases'!H71,"")</f>
        <v/>
      </c>
      <c r="I71" t="str">
        <f>IF($A71&lt;&gt;"",'All Cases - Enter Cases'!I71,"")</f>
        <v/>
      </c>
      <c r="J71" t="str">
        <f>IF($A71&lt;&gt;"",'All Cases - Enter Cases'!J71,"")</f>
        <v/>
      </c>
      <c r="K71" t="str">
        <f>IF($A71&lt;&gt;"",'All Cases - Enter Cases'!K71,"")</f>
        <v/>
      </c>
      <c r="L71" t="str">
        <f>IF($A71&lt;&gt;"",'All Cases - Enter Cases'!L71,"")</f>
        <v/>
      </c>
      <c r="M71" t="str">
        <f>IF($A71&lt;&gt;"",'All Cases - Enter Cases'!M71,"")</f>
        <v/>
      </c>
    </row>
    <row r="72" spans="1:13" x14ac:dyDescent="0.35">
      <c r="A72" t="str">
        <f>IF('All Cases - Enter Cases'!$F72="Balochistan",'All Cases - Enter Cases'!A72,"")</f>
        <v/>
      </c>
      <c r="B72" t="str">
        <f>IF($A72&lt;&gt;"",'All Cases - Enter Cases'!B72,"")</f>
        <v/>
      </c>
      <c r="C72" t="str">
        <f>IF($A72&lt;&gt;"",'All Cases - Enter Cases'!C72,"")</f>
        <v/>
      </c>
      <c r="D72" t="str">
        <f>IF($A72&lt;&gt;"",'All Cases - Enter Cases'!D72,"")</f>
        <v/>
      </c>
      <c r="E72" t="str">
        <f>IF($A72&lt;&gt;"",'All Cases - Enter Cases'!E72,"")</f>
        <v/>
      </c>
      <c r="F72" t="str">
        <f>IF($A72&lt;&gt;"",'All Cases - Enter Cases'!F72,"")</f>
        <v/>
      </c>
      <c r="G72" t="str">
        <f>IF($A72&lt;&gt;"",'All Cases - Enter Cases'!G72,"")</f>
        <v/>
      </c>
      <c r="H72" t="str">
        <f>IF($A72&lt;&gt;"",'All Cases - Enter Cases'!H72,"")</f>
        <v/>
      </c>
      <c r="I72" t="str">
        <f>IF($A72&lt;&gt;"",'All Cases - Enter Cases'!I72,"")</f>
        <v/>
      </c>
      <c r="J72" t="str">
        <f>IF($A72&lt;&gt;"",'All Cases - Enter Cases'!J72,"")</f>
        <v/>
      </c>
      <c r="K72" t="str">
        <f>IF($A72&lt;&gt;"",'All Cases - Enter Cases'!K72,"")</f>
        <v/>
      </c>
      <c r="L72" t="str">
        <f>IF($A72&lt;&gt;"",'All Cases - Enter Cases'!L72,"")</f>
        <v/>
      </c>
      <c r="M72" t="str">
        <f>IF($A72&lt;&gt;"",'All Cases - Enter Cases'!M72,"")</f>
        <v/>
      </c>
    </row>
    <row r="73" spans="1:13" x14ac:dyDescent="0.35">
      <c r="A73" t="str">
        <f>IF('All Cases - Enter Cases'!$F73="Balochistan",'All Cases - Enter Cases'!A73,"")</f>
        <v/>
      </c>
      <c r="B73" t="str">
        <f>IF($A73&lt;&gt;"",'All Cases - Enter Cases'!B73,"")</f>
        <v/>
      </c>
      <c r="C73" t="str">
        <f>IF($A73&lt;&gt;"",'All Cases - Enter Cases'!C73,"")</f>
        <v/>
      </c>
      <c r="D73" t="str">
        <f>IF($A73&lt;&gt;"",'All Cases - Enter Cases'!D73,"")</f>
        <v/>
      </c>
      <c r="E73" t="str">
        <f>IF($A73&lt;&gt;"",'All Cases - Enter Cases'!E73,"")</f>
        <v/>
      </c>
      <c r="F73" t="str">
        <f>IF($A73&lt;&gt;"",'All Cases - Enter Cases'!F73,"")</f>
        <v/>
      </c>
      <c r="G73" t="str">
        <f>IF($A73&lt;&gt;"",'All Cases - Enter Cases'!G73,"")</f>
        <v/>
      </c>
      <c r="H73" t="str">
        <f>IF($A73&lt;&gt;"",'All Cases - Enter Cases'!H73,"")</f>
        <v/>
      </c>
      <c r="I73" t="str">
        <f>IF($A73&lt;&gt;"",'All Cases - Enter Cases'!I73,"")</f>
        <v/>
      </c>
      <c r="J73" t="str">
        <f>IF($A73&lt;&gt;"",'All Cases - Enter Cases'!J73,"")</f>
        <v/>
      </c>
      <c r="K73" t="str">
        <f>IF($A73&lt;&gt;"",'All Cases - Enter Cases'!K73,"")</f>
        <v/>
      </c>
      <c r="L73" t="str">
        <f>IF($A73&lt;&gt;"",'All Cases - Enter Cases'!L73,"")</f>
        <v/>
      </c>
      <c r="M73" t="str">
        <f>IF($A73&lt;&gt;"",'All Cases - Enter Cases'!M73,"")</f>
        <v/>
      </c>
    </row>
    <row r="74" spans="1:13" x14ac:dyDescent="0.35">
      <c r="A74" t="str">
        <f>IF('All Cases - Enter Cases'!$F74="Balochistan",'All Cases - Enter Cases'!A74,"")</f>
        <v/>
      </c>
      <c r="B74" t="str">
        <f>IF($A74&lt;&gt;"",'All Cases - Enter Cases'!B74,"")</f>
        <v/>
      </c>
      <c r="C74" t="str">
        <f>IF($A74&lt;&gt;"",'All Cases - Enter Cases'!C74,"")</f>
        <v/>
      </c>
      <c r="D74" t="str">
        <f>IF($A74&lt;&gt;"",'All Cases - Enter Cases'!D74,"")</f>
        <v/>
      </c>
      <c r="E74" t="str">
        <f>IF($A74&lt;&gt;"",'All Cases - Enter Cases'!E74,"")</f>
        <v/>
      </c>
      <c r="F74" t="str">
        <f>IF($A74&lt;&gt;"",'All Cases - Enter Cases'!F74,"")</f>
        <v/>
      </c>
      <c r="G74" t="str">
        <f>IF($A74&lt;&gt;"",'All Cases - Enter Cases'!G74,"")</f>
        <v/>
      </c>
      <c r="H74" t="str">
        <f>IF($A74&lt;&gt;"",'All Cases - Enter Cases'!H74,"")</f>
        <v/>
      </c>
      <c r="I74" t="str">
        <f>IF($A74&lt;&gt;"",'All Cases - Enter Cases'!I74,"")</f>
        <v/>
      </c>
      <c r="J74" t="str">
        <f>IF($A74&lt;&gt;"",'All Cases - Enter Cases'!J74,"")</f>
        <v/>
      </c>
      <c r="K74" t="str">
        <f>IF($A74&lt;&gt;"",'All Cases - Enter Cases'!K74,"")</f>
        <v/>
      </c>
      <c r="L74" t="str">
        <f>IF($A74&lt;&gt;"",'All Cases - Enter Cases'!L74,"")</f>
        <v/>
      </c>
      <c r="M74" t="str">
        <f>IF($A74&lt;&gt;"",'All Cases - Enter Cases'!M74,"")</f>
        <v/>
      </c>
    </row>
    <row r="75" spans="1:13" x14ac:dyDescent="0.35">
      <c r="A75" t="str">
        <f>IF('All Cases - Enter Cases'!$F75="Balochistan",'All Cases - Enter Cases'!A75,"")</f>
        <v/>
      </c>
      <c r="B75" t="str">
        <f>IF($A75&lt;&gt;"",'All Cases - Enter Cases'!B75,"")</f>
        <v/>
      </c>
      <c r="C75" t="str">
        <f>IF($A75&lt;&gt;"",'All Cases - Enter Cases'!C75,"")</f>
        <v/>
      </c>
      <c r="D75" t="str">
        <f>IF($A75&lt;&gt;"",'All Cases - Enter Cases'!D75,"")</f>
        <v/>
      </c>
      <c r="E75" t="str">
        <f>IF($A75&lt;&gt;"",'All Cases - Enter Cases'!E75,"")</f>
        <v/>
      </c>
      <c r="F75" t="str">
        <f>IF($A75&lt;&gt;"",'All Cases - Enter Cases'!F75,"")</f>
        <v/>
      </c>
      <c r="G75" t="str">
        <f>IF($A75&lt;&gt;"",'All Cases - Enter Cases'!G75,"")</f>
        <v/>
      </c>
      <c r="H75" t="str">
        <f>IF($A75&lt;&gt;"",'All Cases - Enter Cases'!H75,"")</f>
        <v/>
      </c>
      <c r="I75" t="str">
        <f>IF($A75&lt;&gt;"",'All Cases - Enter Cases'!I75,"")</f>
        <v/>
      </c>
      <c r="J75" t="str">
        <f>IF($A75&lt;&gt;"",'All Cases - Enter Cases'!J75,"")</f>
        <v/>
      </c>
      <c r="K75" t="str">
        <f>IF($A75&lt;&gt;"",'All Cases - Enter Cases'!K75,"")</f>
        <v/>
      </c>
      <c r="L75" t="str">
        <f>IF($A75&lt;&gt;"",'All Cases - Enter Cases'!L75,"")</f>
        <v/>
      </c>
      <c r="M75" t="str">
        <f>IF($A75&lt;&gt;"",'All Cases - Enter Cases'!M75,"")</f>
        <v/>
      </c>
    </row>
    <row r="76" spans="1:13" x14ac:dyDescent="0.35">
      <c r="A76" t="str">
        <f>IF('All Cases - Enter Cases'!$F76="Balochistan",'All Cases - Enter Cases'!A76,"")</f>
        <v/>
      </c>
      <c r="B76" t="str">
        <f>IF($A76&lt;&gt;"",'All Cases - Enter Cases'!B76,"")</f>
        <v/>
      </c>
      <c r="C76" t="str">
        <f>IF($A76&lt;&gt;"",'All Cases - Enter Cases'!C76,"")</f>
        <v/>
      </c>
      <c r="D76" t="str">
        <f>IF($A76&lt;&gt;"",'All Cases - Enter Cases'!D76,"")</f>
        <v/>
      </c>
      <c r="E76" t="str">
        <f>IF($A76&lt;&gt;"",'All Cases - Enter Cases'!E76,"")</f>
        <v/>
      </c>
      <c r="F76" t="str">
        <f>IF($A76&lt;&gt;"",'All Cases - Enter Cases'!F76,"")</f>
        <v/>
      </c>
      <c r="G76" t="str">
        <f>IF($A76&lt;&gt;"",'All Cases - Enter Cases'!G76,"")</f>
        <v/>
      </c>
      <c r="H76" t="str">
        <f>IF($A76&lt;&gt;"",'All Cases - Enter Cases'!H76,"")</f>
        <v/>
      </c>
      <c r="I76" t="str">
        <f>IF($A76&lt;&gt;"",'All Cases - Enter Cases'!I76,"")</f>
        <v/>
      </c>
      <c r="J76" t="str">
        <f>IF($A76&lt;&gt;"",'All Cases - Enter Cases'!J76,"")</f>
        <v/>
      </c>
      <c r="K76" t="str">
        <f>IF($A76&lt;&gt;"",'All Cases - Enter Cases'!K76,"")</f>
        <v/>
      </c>
      <c r="L76" t="str">
        <f>IF($A76&lt;&gt;"",'All Cases - Enter Cases'!L76,"")</f>
        <v/>
      </c>
      <c r="M76" t="str">
        <f>IF($A76&lt;&gt;"",'All Cases - Enter Cases'!M76,"")</f>
        <v/>
      </c>
    </row>
    <row r="77" spans="1:13" x14ac:dyDescent="0.35">
      <c r="A77" t="str">
        <f>IF('All Cases - Enter Cases'!$F77="Balochistan",'All Cases - Enter Cases'!A77,"")</f>
        <v/>
      </c>
      <c r="B77" t="str">
        <f>IF($A77&lt;&gt;"",'All Cases - Enter Cases'!B77,"")</f>
        <v/>
      </c>
      <c r="C77" t="str">
        <f>IF($A77&lt;&gt;"",'All Cases - Enter Cases'!C77,"")</f>
        <v/>
      </c>
      <c r="D77" t="str">
        <f>IF($A77&lt;&gt;"",'All Cases - Enter Cases'!D77,"")</f>
        <v/>
      </c>
      <c r="E77" t="str">
        <f>IF($A77&lt;&gt;"",'All Cases - Enter Cases'!E77,"")</f>
        <v/>
      </c>
      <c r="F77" t="str">
        <f>IF($A77&lt;&gt;"",'All Cases - Enter Cases'!F77,"")</f>
        <v/>
      </c>
      <c r="G77" t="str">
        <f>IF($A77&lt;&gt;"",'All Cases - Enter Cases'!G77,"")</f>
        <v/>
      </c>
      <c r="H77" t="str">
        <f>IF($A77&lt;&gt;"",'All Cases - Enter Cases'!H77,"")</f>
        <v/>
      </c>
      <c r="I77" t="str">
        <f>IF($A77&lt;&gt;"",'All Cases - Enter Cases'!I77,"")</f>
        <v/>
      </c>
      <c r="J77" t="str">
        <f>IF($A77&lt;&gt;"",'All Cases - Enter Cases'!J77,"")</f>
        <v/>
      </c>
      <c r="K77" t="str">
        <f>IF($A77&lt;&gt;"",'All Cases - Enter Cases'!K77,"")</f>
        <v/>
      </c>
      <c r="L77" t="str">
        <f>IF($A77&lt;&gt;"",'All Cases - Enter Cases'!L77,"")</f>
        <v/>
      </c>
      <c r="M77" t="str">
        <f>IF($A77&lt;&gt;"",'All Cases - Enter Cases'!M77,"")</f>
        <v/>
      </c>
    </row>
    <row r="78" spans="1:13" x14ac:dyDescent="0.35">
      <c r="A78" t="str">
        <f>IF('All Cases - Enter Cases'!$F78="Balochistan",'All Cases - Enter Cases'!A78,"")</f>
        <v/>
      </c>
      <c r="B78" t="str">
        <f>IF($A78&lt;&gt;"",'All Cases - Enter Cases'!B78,"")</f>
        <v/>
      </c>
      <c r="C78" t="str">
        <f>IF($A78&lt;&gt;"",'All Cases - Enter Cases'!C78,"")</f>
        <v/>
      </c>
      <c r="D78" t="str">
        <f>IF($A78&lt;&gt;"",'All Cases - Enter Cases'!D78,"")</f>
        <v/>
      </c>
      <c r="E78" t="str">
        <f>IF($A78&lt;&gt;"",'All Cases - Enter Cases'!E78,"")</f>
        <v/>
      </c>
      <c r="F78" t="str">
        <f>IF($A78&lt;&gt;"",'All Cases - Enter Cases'!F78,"")</f>
        <v/>
      </c>
      <c r="G78" t="str">
        <f>IF($A78&lt;&gt;"",'All Cases - Enter Cases'!G78,"")</f>
        <v/>
      </c>
      <c r="H78" t="str">
        <f>IF($A78&lt;&gt;"",'All Cases - Enter Cases'!H78,"")</f>
        <v/>
      </c>
      <c r="I78" t="str">
        <f>IF($A78&lt;&gt;"",'All Cases - Enter Cases'!I78,"")</f>
        <v/>
      </c>
      <c r="J78" t="str">
        <f>IF($A78&lt;&gt;"",'All Cases - Enter Cases'!J78,"")</f>
        <v/>
      </c>
      <c r="K78" t="str">
        <f>IF($A78&lt;&gt;"",'All Cases - Enter Cases'!K78,"")</f>
        <v/>
      </c>
      <c r="L78" t="str">
        <f>IF($A78&lt;&gt;"",'All Cases - Enter Cases'!L78,"")</f>
        <v/>
      </c>
      <c r="M78" t="str">
        <f>IF($A78&lt;&gt;"",'All Cases - Enter Cases'!M78,"")</f>
        <v/>
      </c>
    </row>
    <row r="79" spans="1:13" x14ac:dyDescent="0.35">
      <c r="A79" t="str">
        <f>IF('All Cases - Enter Cases'!$F79="Balochistan",'All Cases - Enter Cases'!A79,"")</f>
        <v/>
      </c>
      <c r="B79" t="str">
        <f>IF($A79&lt;&gt;"",'All Cases - Enter Cases'!B79,"")</f>
        <v/>
      </c>
      <c r="C79" t="str">
        <f>IF($A79&lt;&gt;"",'All Cases - Enter Cases'!C79,"")</f>
        <v/>
      </c>
      <c r="D79" t="str">
        <f>IF($A79&lt;&gt;"",'All Cases - Enter Cases'!D79,"")</f>
        <v/>
      </c>
      <c r="E79" t="str">
        <f>IF($A79&lt;&gt;"",'All Cases - Enter Cases'!E79,"")</f>
        <v/>
      </c>
      <c r="F79" t="str">
        <f>IF($A79&lt;&gt;"",'All Cases - Enter Cases'!F79,"")</f>
        <v/>
      </c>
      <c r="G79" t="str">
        <f>IF($A79&lt;&gt;"",'All Cases - Enter Cases'!G79,"")</f>
        <v/>
      </c>
      <c r="H79" t="str">
        <f>IF($A79&lt;&gt;"",'All Cases - Enter Cases'!H79,"")</f>
        <v/>
      </c>
      <c r="I79" t="str">
        <f>IF($A79&lt;&gt;"",'All Cases - Enter Cases'!I79,"")</f>
        <v/>
      </c>
      <c r="J79" t="str">
        <f>IF($A79&lt;&gt;"",'All Cases - Enter Cases'!J79,"")</f>
        <v/>
      </c>
      <c r="K79" t="str">
        <f>IF($A79&lt;&gt;"",'All Cases - Enter Cases'!K79,"")</f>
        <v/>
      </c>
      <c r="L79" t="str">
        <f>IF($A79&lt;&gt;"",'All Cases - Enter Cases'!L79,"")</f>
        <v/>
      </c>
      <c r="M79" t="str">
        <f>IF($A79&lt;&gt;"",'All Cases - Enter Cases'!M79,"")</f>
        <v/>
      </c>
    </row>
    <row r="80" spans="1:13" x14ac:dyDescent="0.35">
      <c r="A80" t="str">
        <f>IF('All Cases - Enter Cases'!$F80="Balochistan",'All Cases - Enter Cases'!A80,"")</f>
        <v/>
      </c>
      <c r="B80" t="str">
        <f>IF($A80&lt;&gt;"",'All Cases - Enter Cases'!B80,"")</f>
        <v/>
      </c>
      <c r="C80" t="str">
        <f>IF($A80&lt;&gt;"",'All Cases - Enter Cases'!C80,"")</f>
        <v/>
      </c>
      <c r="D80" t="str">
        <f>IF($A80&lt;&gt;"",'All Cases - Enter Cases'!D80,"")</f>
        <v/>
      </c>
      <c r="E80" t="str">
        <f>IF($A80&lt;&gt;"",'All Cases - Enter Cases'!E80,"")</f>
        <v/>
      </c>
      <c r="F80" t="str">
        <f>IF($A80&lt;&gt;"",'All Cases - Enter Cases'!F80,"")</f>
        <v/>
      </c>
      <c r="G80" t="str">
        <f>IF($A80&lt;&gt;"",'All Cases - Enter Cases'!G80,"")</f>
        <v/>
      </c>
      <c r="H80" t="str">
        <f>IF($A80&lt;&gt;"",'All Cases - Enter Cases'!H80,"")</f>
        <v/>
      </c>
      <c r="I80" t="str">
        <f>IF($A80&lt;&gt;"",'All Cases - Enter Cases'!I80,"")</f>
        <v/>
      </c>
      <c r="J80" t="str">
        <f>IF($A80&lt;&gt;"",'All Cases - Enter Cases'!J80,"")</f>
        <v/>
      </c>
      <c r="K80" t="str">
        <f>IF($A80&lt;&gt;"",'All Cases - Enter Cases'!K80,"")</f>
        <v/>
      </c>
      <c r="L80" t="str">
        <f>IF($A80&lt;&gt;"",'All Cases - Enter Cases'!L80,"")</f>
        <v/>
      </c>
      <c r="M80" t="str">
        <f>IF($A80&lt;&gt;"",'All Cases - Enter Cases'!M80,"")</f>
        <v/>
      </c>
    </row>
    <row r="81" spans="1:13" x14ac:dyDescent="0.35">
      <c r="A81" t="str">
        <f>IF('All Cases - Enter Cases'!$F81="Balochistan",'All Cases - Enter Cases'!A81,"")</f>
        <v/>
      </c>
      <c r="B81" t="str">
        <f>IF($A81&lt;&gt;"",'All Cases - Enter Cases'!B81,"")</f>
        <v/>
      </c>
      <c r="C81" t="str">
        <f>IF($A81&lt;&gt;"",'All Cases - Enter Cases'!C81,"")</f>
        <v/>
      </c>
      <c r="D81" t="str">
        <f>IF($A81&lt;&gt;"",'All Cases - Enter Cases'!D81,"")</f>
        <v/>
      </c>
      <c r="E81" t="str">
        <f>IF($A81&lt;&gt;"",'All Cases - Enter Cases'!E81,"")</f>
        <v/>
      </c>
      <c r="F81" t="str">
        <f>IF($A81&lt;&gt;"",'All Cases - Enter Cases'!F81,"")</f>
        <v/>
      </c>
      <c r="G81" t="str">
        <f>IF($A81&lt;&gt;"",'All Cases - Enter Cases'!G81,"")</f>
        <v/>
      </c>
      <c r="H81" t="str">
        <f>IF($A81&lt;&gt;"",'All Cases - Enter Cases'!H81,"")</f>
        <v/>
      </c>
      <c r="I81" t="str">
        <f>IF($A81&lt;&gt;"",'All Cases - Enter Cases'!I81,"")</f>
        <v/>
      </c>
      <c r="J81" t="str">
        <f>IF($A81&lt;&gt;"",'All Cases - Enter Cases'!J81,"")</f>
        <v/>
      </c>
      <c r="K81" t="str">
        <f>IF($A81&lt;&gt;"",'All Cases - Enter Cases'!K81,"")</f>
        <v/>
      </c>
      <c r="L81" t="str">
        <f>IF($A81&lt;&gt;"",'All Cases - Enter Cases'!L81,"")</f>
        <v/>
      </c>
      <c r="M81" t="str">
        <f>IF($A81&lt;&gt;"",'All Cases - Enter Cases'!M81,"")</f>
        <v/>
      </c>
    </row>
    <row r="82" spans="1:13" x14ac:dyDescent="0.35">
      <c r="A82" t="str">
        <f>IF('All Cases - Enter Cases'!$F82="Balochistan",'All Cases - Enter Cases'!A82,"")</f>
        <v/>
      </c>
      <c r="B82" t="str">
        <f>IF($A82&lt;&gt;"",'All Cases - Enter Cases'!B82,"")</f>
        <v/>
      </c>
      <c r="C82" t="str">
        <f>IF($A82&lt;&gt;"",'All Cases - Enter Cases'!C82,"")</f>
        <v/>
      </c>
      <c r="D82" t="str">
        <f>IF($A82&lt;&gt;"",'All Cases - Enter Cases'!D82,"")</f>
        <v/>
      </c>
      <c r="E82" t="str">
        <f>IF($A82&lt;&gt;"",'All Cases - Enter Cases'!E82,"")</f>
        <v/>
      </c>
      <c r="F82" t="str">
        <f>IF($A82&lt;&gt;"",'All Cases - Enter Cases'!F82,"")</f>
        <v/>
      </c>
      <c r="G82" t="str">
        <f>IF($A82&lt;&gt;"",'All Cases - Enter Cases'!G82,"")</f>
        <v/>
      </c>
      <c r="H82" t="str">
        <f>IF($A82&lt;&gt;"",'All Cases - Enter Cases'!H82,"")</f>
        <v/>
      </c>
      <c r="I82" t="str">
        <f>IF($A82&lt;&gt;"",'All Cases - Enter Cases'!I82,"")</f>
        <v/>
      </c>
      <c r="J82" t="str">
        <f>IF($A82&lt;&gt;"",'All Cases - Enter Cases'!J82,"")</f>
        <v/>
      </c>
      <c r="K82" t="str">
        <f>IF($A82&lt;&gt;"",'All Cases - Enter Cases'!K82,"")</f>
        <v/>
      </c>
      <c r="L82" t="str">
        <f>IF($A82&lt;&gt;"",'All Cases - Enter Cases'!L82,"")</f>
        <v/>
      </c>
      <c r="M82" t="str">
        <f>IF($A82&lt;&gt;"",'All Cases - Enter Cases'!M82,"")</f>
        <v/>
      </c>
    </row>
    <row r="83" spans="1:13" x14ac:dyDescent="0.35">
      <c r="A83" t="str">
        <f>IF('All Cases - Enter Cases'!$F83="Balochistan",'All Cases - Enter Cases'!A83,"")</f>
        <v/>
      </c>
      <c r="B83" t="str">
        <f>IF($A83&lt;&gt;"",'All Cases - Enter Cases'!B83,"")</f>
        <v/>
      </c>
      <c r="C83" t="str">
        <f>IF($A83&lt;&gt;"",'All Cases - Enter Cases'!C83,"")</f>
        <v/>
      </c>
      <c r="D83" t="str">
        <f>IF($A83&lt;&gt;"",'All Cases - Enter Cases'!D83,"")</f>
        <v/>
      </c>
      <c r="E83" t="str">
        <f>IF($A83&lt;&gt;"",'All Cases - Enter Cases'!E83,"")</f>
        <v/>
      </c>
      <c r="F83" t="str">
        <f>IF($A83&lt;&gt;"",'All Cases - Enter Cases'!F83,"")</f>
        <v/>
      </c>
      <c r="G83" t="str">
        <f>IF($A83&lt;&gt;"",'All Cases - Enter Cases'!G83,"")</f>
        <v/>
      </c>
      <c r="H83" t="str">
        <f>IF($A83&lt;&gt;"",'All Cases - Enter Cases'!H83,"")</f>
        <v/>
      </c>
      <c r="I83" t="str">
        <f>IF($A83&lt;&gt;"",'All Cases - Enter Cases'!I83,"")</f>
        <v/>
      </c>
      <c r="J83" t="str">
        <f>IF($A83&lt;&gt;"",'All Cases - Enter Cases'!J83,"")</f>
        <v/>
      </c>
      <c r="K83" t="str">
        <f>IF($A83&lt;&gt;"",'All Cases - Enter Cases'!K83,"")</f>
        <v/>
      </c>
      <c r="L83" t="str">
        <f>IF($A83&lt;&gt;"",'All Cases - Enter Cases'!L83,"")</f>
        <v/>
      </c>
      <c r="M83" t="str">
        <f>IF($A83&lt;&gt;"",'All Cases - Enter Cases'!M83,"")</f>
        <v/>
      </c>
    </row>
    <row r="84" spans="1:13" x14ac:dyDescent="0.35">
      <c r="A84" t="str">
        <f>IF('All Cases - Enter Cases'!$F84="Balochistan",'All Cases - Enter Cases'!A84,"")</f>
        <v/>
      </c>
      <c r="B84" t="str">
        <f>IF($A84&lt;&gt;"",'All Cases - Enter Cases'!B84,"")</f>
        <v/>
      </c>
      <c r="C84" t="str">
        <f>IF($A84&lt;&gt;"",'All Cases - Enter Cases'!C84,"")</f>
        <v/>
      </c>
      <c r="D84" t="str">
        <f>IF($A84&lt;&gt;"",'All Cases - Enter Cases'!D84,"")</f>
        <v/>
      </c>
      <c r="E84" t="str">
        <f>IF($A84&lt;&gt;"",'All Cases - Enter Cases'!E84,"")</f>
        <v/>
      </c>
      <c r="F84" t="str">
        <f>IF($A84&lt;&gt;"",'All Cases - Enter Cases'!F84,"")</f>
        <v/>
      </c>
      <c r="G84" t="str">
        <f>IF($A84&lt;&gt;"",'All Cases - Enter Cases'!G84,"")</f>
        <v/>
      </c>
      <c r="H84" t="str">
        <f>IF($A84&lt;&gt;"",'All Cases - Enter Cases'!H84,"")</f>
        <v/>
      </c>
      <c r="I84" t="str">
        <f>IF($A84&lt;&gt;"",'All Cases - Enter Cases'!I84,"")</f>
        <v/>
      </c>
      <c r="J84" t="str">
        <f>IF($A84&lt;&gt;"",'All Cases - Enter Cases'!J84,"")</f>
        <v/>
      </c>
      <c r="K84" t="str">
        <f>IF($A84&lt;&gt;"",'All Cases - Enter Cases'!K84,"")</f>
        <v/>
      </c>
      <c r="L84" t="str">
        <f>IF($A84&lt;&gt;"",'All Cases - Enter Cases'!L84,"")</f>
        <v/>
      </c>
      <c r="M84" t="str">
        <f>IF($A84&lt;&gt;"",'All Cases - Enter Cases'!M84,"")</f>
        <v/>
      </c>
    </row>
    <row r="85" spans="1:13" x14ac:dyDescent="0.35">
      <c r="A85" t="str">
        <f>IF('All Cases - Enter Cases'!$F85="Balochistan",'All Cases - Enter Cases'!A85,"")</f>
        <v/>
      </c>
      <c r="B85" t="str">
        <f>IF($A85&lt;&gt;"",'All Cases - Enter Cases'!B85,"")</f>
        <v/>
      </c>
      <c r="C85" t="str">
        <f>IF($A85&lt;&gt;"",'All Cases - Enter Cases'!C85,"")</f>
        <v/>
      </c>
      <c r="D85" t="str">
        <f>IF($A85&lt;&gt;"",'All Cases - Enter Cases'!D85,"")</f>
        <v/>
      </c>
      <c r="E85" t="str">
        <f>IF($A85&lt;&gt;"",'All Cases - Enter Cases'!E85,"")</f>
        <v/>
      </c>
      <c r="F85" t="str">
        <f>IF($A85&lt;&gt;"",'All Cases - Enter Cases'!F85,"")</f>
        <v/>
      </c>
      <c r="G85" t="str">
        <f>IF($A85&lt;&gt;"",'All Cases - Enter Cases'!G85,"")</f>
        <v/>
      </c>
      <c r="H85" t="str">
        <f>IF($A85&lt;&gt;"",'All Cases - Enter Cases'!H85,"")</f>
        <v/>
      </c>
      <c r="I85" t="str">
        <f>IF($A85&lt;&gt;"",'All Cases - Enter Cases'!I85,"")</f>
        <v/>
      </c>
      <c r="J85" t="str">
        <f>IF($A85&lt;&gt;"",'All Cases - Enter Cases'!J85,"")</f>
        <v/>
      </c>
      <c r="K85" t="str">
        <f>IF($A85&lt;&gt;"",'All Cases - Enter Cases'!K85,"")</f>
        <v/>
      </c>
      <c r="L85" t="str">
        <f>IF($A85&lt;&gt;"",'All Cases - Enter Cases'!L85,"")</f>
        <v/>
      </c>
      <c r="M85" t="str">
        <f>IF($A85&lt;&gt;"",'All Cases - Enter Cases'!M85,"")</f>
        <v/>
      </c>
    </row>
    <row r="86" spans="1:13" x14ac:dyDescent="0.35">
      <c r="A86" t="str">
        <f>IF('All Cases - Enter Cases'!$F86="Balochistan",'All Cases - Enter Cases'!A86,"")</f>
        <v/>
      </c>
      <c r="B86" t="str">
        <f>IF($A86&lt;&gt;"",'All Cases - Enter Cases'!B86,"")</f>
        <v/>
      </c>
      <c r="C86" t="str">
        <f>IF($A86&lt;&gt;"",'All Cases - Enter Cases'!C86,"")</f>
        <v/>
      </c>
      <c r="D86" t="str">
        <f>IF($A86&lt;&gt;"",'All Cases - Enter Cases'!D86,"")</f>
        <v/>
      </c>
      <c r="E86" t="str">
        <f>IF($A86&lt;&gt;"",'All Cases - Enter Cases'!E86,"")</f>
        <v/>
      </c>
      <c r="F86" t="str">
        <f>IF($A86&lt;&gt;"",'All Cases - Enter Cases'!F86,"")</f>
        <v/>
      </c>
      <c r="G86" t="str">
        <f>IF($A86&lt;&gt;"",'All Cases - Enter Cases'!G86,"")</f>
        <v/>
      </c>
      <c r="H86" t="str">
        <f>IF($A86&lt;&gt;"",'All Cases - Enter Cases'!H86,"")</f>
        <v/>
      </c>
      <c r="I86" t="str">
        <f>IF($A86&lt;&gt;"",'All Cases - Enter Cases'!I86,"")</f>
        <v/>
      </c>
      <c r="J86" t="str">
        <f>IF($A86&lt;&gt;"",'All Cases - Enter Cases'!J86,"")</f>
        <v/>
      </c>
      <c r="K86" t="str">
        <f>IF($A86&lt;&gt;"",'All Cases - Enter Cases'!K86,"")</f>
        <v/>
      </c>
      <c r="L86" t="str">
        <f>IF($A86&lt;&gt;"",'All Cases - Enter Cases'!L86,"")</f>
        <v/>
      </c>
      <c r="M86" t="str">
        <f>IF($A86&lt;&gt;"",'All Cases - Enter Cases'!M86,"")</f>
        <v/>
      </c>
    </row>
    <row r="87" spans="1:13" x14ac:dyDescent="0.35">
      <c r="A87" t="str">
        <f>IF('All Cases - Enter Cases'!$F87="Balochistan",'All Cases - Enter Cases'!A87,"")</f>
        <v/>
      </c>
      <c r="B87" t="str">
        <f>IF($A87&lt;&gt;"",'All Cases - Enter Cases'!B87,"")</f>
        <v/>
      </c>
      <c r="C87" t="str">
        <f>IF($A87&lt;&gt;"",'All Cases - Enter Cases'!C87,"")</f>
        <v/>
      </c>
      <c r="D87" t="str">
        <f>IF($A87&lt;&gt;"",'All Cases - Enter Cases'!D87,"")</f>
        <v/>
      </c>
      <c r="E87" t="str">
        <f>IF($A87&lt;&gt;"",'All Cases - Enter Cases'!E87,"")</f>
        <v/>
      </c>
      <c r="F87" t="str">
        <f>IF($A87&lt;&gt;"",'All Cases - Enter Cases'!F87,"")</f>
        <v/>
      </c>
      <c r="G87" t="str">
        <f>IF($A87&lt;&gt;"",'All Cases - Enter Cases'!G87,"")</f>
        <v/>
      </c>
      <c r="H87" t="str">
        <f>IF($A87&lt;&gt;"",'All Cases - Enter Cases'!H87,"")</f>
        <v/>
      </c>
      <c r="I87" t="str">
        <f>IF($A87&lt;&gt;"",'All Cases - Enter Cases'!I87,"")</f>
        <v/>
      </c>
      <c r="J87" t="str">
        <f>IF($A87&lt;&gt;"",'All Cases - Enter Cases'!J87,"")</f>
        <v/>
      </c>
      <c r="K87" t="str">
        <f>IF($A87&lt;&gt;"",'All Cases - Enter Cases'!K87,"")</f>
        <v/>
      </c>
      <c r="L87" t="str">
        <f>IF($A87&lt;&gt;"",'All Cases - Enter Cases'!L87,"")</f>
        <v/>
      </c>
      <c r="M87" t="str">
        <f>IF($A87&lt;&gt;"",'All Cases - Enter Cases'!M87,"")</f>
        <v/>
      </c>
    </row>
    <row r="88" spans="1:13" x14ac:dyDescent="0.35">
      <c r="A88" t="str">
        <f>IF('All Cases - Enter Cases'!$F88="Balochistan",'All Cases - Enter Cases'!A88,"")</f>
        <v/>
      </c>
      <c r="B88" t="str">
        <f>IF($A88&lt;&gt;"",'All Cases - Enter Cases'!B88,"")</f>
        <v/>
      </c>
      <c r="C88" t="str">
        <f>IF($A88&lt;&gt;"",'All Cases - Enter Cases'!C88,"")</f>
        <v/>
      </c>
      <c r="D88" t="str">
        <f>IF($A88&lt;&gt;"",'All Cases - Enter Cases'!D88,"")</f>
        <v/>
      </c>
      <c r="E88" t="str">
        <f>IF($A88&lt;&gt;"",'All Cases - Enter Cases'!E88,"")</f>
        <v/>
      </c>
      <c r="F88" t="str">
        <f>IF($A88&lt;&gt;"",'All Cases - Enter Cases'!F88,"")</f>
        <v/>
      </c>
      <c r="G88" t="str">
        <f>IF($A88&lt;&gt;"",'All Cases - Enter Cases'!G88,"")</f>
        <v/>
      </c>
      <c r="H88" t="str">
        <f>IF($A88&lt;&gt;"",'All Cases - Enter Cases'!H88,"")</f>
        <v/>
      </c>
      <c r="I88" t="str">
        <f>IF($A88&lt;&gt;"",'All Cases - Enter Cases'!I88,"")</f>
        <v/>
      </c>
      <c r="J88" t="str">
        <f>IF($A88&lt;&gt;"",'All Cases - Enter Cases'!J88,"")</f>
        <v/>
      </c>
      <c r="K88" t="str">
        <f>IF($A88&lt;&gt;"",'All Cases - Enter Cases'!K88,"")</f>
        <v/>
      </c>
      <c r="L88" t="str">
        <f>IF($A88&lt;&gt;"",'All Cases - Enter Cases'!L88,"")</f>
        <v/>
      </c>
      <c r="M88" t="str">
        <f>IF($A88&lt;&gt;"",'All Cases - Enter Cases'!M88,"")</f>
        <v/>
      </c>
    </row>
    <row r="89" spans="1:13" x14ac:dyDescent="0.35">
      <c r="A89" t="str">
        <f>IF('All Cases - Enter Cases'!$F89="Balochistan",'All Cases - Enter Cases'!A89,"")</f>
        <v/>
      </c>
      <c r="B89" t="str">
        <f>IF($A89&lt;&gt;"",'All Cases - Enter Cases'!B89,"")</f>
        <v/>
      </c>
      <c r="C89" t="str">
        <f>IF($A89&lt;&gt;"",'All Cases - Enter Cases'!C89,"")</f>
        <v/>
      </c>
      <c r="D89" t="str">
        <f>IF($A89&lt;&gt;"",'All Cases - Enter Cases'!D89,"")</f>
        <v/>
      </c>
      <c r="E89" t="str">
        <f>IF($A89&lt;&gt;"",'All Cases - Enter Cases'!E89,"")</f>
        <v/>
      </c>
      <c r="F89" t="str">
        <f>IF($A89&lt;&gt;"",'All Cases - Enter Cases'!F89,"")</f>
        <v/>
      </c>
      <c r="G89" t="str">
        <f>IF($A89&lt;&gt;"",'All Cases - Enter Cases'!G89,"")</f>
        <v/>
      </c>
      <c r="H89" t="str">
        <f>IF($A89&lt;&gt;"",'All Cases - Enter Cases'!H89,"")</f>
        <v/>
      </c>
      <c r="I89" t="str">
        <f>IF($A89&lt;&gt;"",'All Cases - Enter Cases'!I89,"")</f>
        <v/>
      </c>
      <c r="J89" t="str">
        <f>IF($A89&lt;&gt;"",'All Cases - Enter Cases'!J89,"")</f>
        <v/>
      </c>
      <c r="K89" t="str">
        <f>IF($A89&lt;&gt;"",'All Cases - Enter Cases'!K89,"")</f>
        <v/>
      </c>
      <c r="L89" t="str">
        <f>IF($A89&lt;&gt;"",'All Cases - Enter Cases'!L89,"")</f>
        <v/>
      </c>
      <c r="M89" t="str">
        <f>IF($A89&lt;&gt;"",'All Cases - Enter Cases'!M89,"")</f>
        <v/>
      </c>
    </row>
    <row r="90" spans="1:13" x14ac:dyDescent="0.35">
      <c r="A90" t="str">
        <f>IF('All Cases - Enter Cases'!$F90="Balochistan",'All Cases - Enter Cases'!A90,"")</f>
        <v/>
      </c>
      <c r="B90" t="str">
        <f>IF($A90&lt;&gt;"",'All Cases - Enter Cases'!B90,"")</f>
        <v/>
      </c>
      <c r="C90" t="str">
        <f>IF($A90&lt;&gt;"",'All Cases - Enter Cases'!C90,"")</f>
        <v/>
      </c>
      <c r="D90" t="str">
        <f>IF($A90&lt;&gt;"",'All Cases - Enter Cases'!D90,"")</f>
        <v/>
      </c>
      <c r="E90" t="str">
        <f>IF($A90&lt;&gt;"",'All Cases - Enter Cases'!E90,"")</f>
        <v/>
      </c>
      <c r="F90" t="str">
        <f>IF($A90&lt;&gt;"",'All Cases - Enter Cases'!F90,"")</f>
        <v/>
      </c>
      <c r="G90" t="str">
        <f>IF($A90&lt;&gt;"",'All Cases - Enter Cases'!G90,"")</f>
        <v/>
      </c>
      <c r="H90" t="str">
        <f>IF($A90&lt;&gt;"",'All Cases - Enter Cases'!H90,"")</f>
        <v/>
      </c>
      <c r="I90" t="str">
        <f>IF($A90&lt;&gt;"",'All Cases - Enter Cases'!I90,"")</f>
        <v/>
      </c>
      <c r="J90" t="str">
        <f>IF($A90&lt;&gt;"",'All Cases - Enter Cases'!J90,"")</f>
        <v/>
      </c>
      <c r="K90" t="str">
        <f>IF($A90&lt;&gt;"",'All Cases - Enter Cases'!K90,"")</f>
        <v/>
      </c>
      <c r="L90" t="str">
        <f>IF($A90&lt;&gt;"",'All Cases - Enter Cases'!L90,"")</f>
        <v/>
      </c>
      <c r="M90" t="str">
        <f>IF($A90&lt;&gt;"",'All Cases - Enter Cases'!M90,"")</f>
        <v/>
      </c>
    </row>
    <row r="91" spans="1:13" x14ac:dyDescent="0.35">
      <c r="A91" t="str">
        <f>IF('All Cases - Enter Cases'!$F91="Balochistan",'All Cases - Enter Cases'!A91,"")</f>
        <v/>
      </c>
      <c r="B91" t="str">
        <f>IF($A91&lt;&gt;"",'All Cases - Enter Cases'!B91,"")</f>
        <v/>
      </c>
      <c r="C91" t="str">
        <f>IF($A91&lt;&gt;"",'All Cases - Enter Cases'!C91,"")</f>
        <v/>
      </c>
      <c r="D91" t="str">
        <f>IF($A91&lt;&gt;"",'All Cases - Enter Cases'!D91,"")</f>
        <v/>
      </c>
      <c r="E91" t="str">
        <f>IF($A91&lt;&gt;"",'All Cases - Enter Cases'!E91,"")</f>
        <v/>
      </c>
      <c r="F91" t="str">
        <f>IF($A91&lt;&gt;"",'All Cases - Enter Cases'!F91,"")</f>
        <v/>
      </c>
      <c r="G91" t="str">
        <f>IF($A91&lt;&gt;"",'All Cases - Enter Cases'!G91,"")</f>
        <v/>
      </c>
      <c r="H91" t="str">
        <f>IF($A91&lt;&gt;"",'All Cases - Enter Cases'!H91,"")</f>
        <v/>
      </c>
      <c r="I91" t="str">
        <f>IF($A91&lt;&gt;"",'All Cases - Enter Cases'!I91,"")</f>
        <v/>
      </c>
      <c r="J91" t="str">
        <f>IF($A91&lt;&gt;"",'All Cases - Enter Cases'!J91,"")</f>
        <v/>
      </c>
      <c r="K91" t="str">
        <f>IF($A91&lt;&gt;"",'All Cases - Enter Cases'!K91,"")</f>
        <v/>
      </c>
      <c r="L91" t="str">
        <f>IF($A91&lt;&gt;"",'All Cases - Enter Cases'!L91,"")</f>
        <v/>
      </c>
      <c r="M91" t="str">
        <f>IF($A91&lt;&gt;"",'All Cases - Enter Cases'!M91,"")</f>
        <v/>
      </c>
    </row>
    <row r="92" spans="1:13" x14ac:dyDescent="0.35">
      <c r="A92" t="str">
        <f>IF('All Cases - Enter Cases'!$F92="Balochistan",'All Cases - Enter Cases'!A92,"")</f>
        <v/>
      </c>
      <c r="B92" t="str">
        <f>IF($A92&lt;&gt;"",'All Cases - Enter Cases'!B92,"")</f>
        <v/>
      </c>
      <c r="C92" t="str">
        <f>IF($A92&lt;&gt;"",'All Cases - Enter Cases'!C92,"")</f>
        <v/>
      </c>
      <c r="D92" t="str">
        <f>IF($A92&lt;&gt;"",'All Cases - Enter Cases'!D92,"")</f>
        <v/>
      </c>
      <c r="E92" t="str">
        <f>IF($A92&lt;&gt;"",'All Cases - Enter Cases'!E92,"")</f>
        <v/>
      </c>
      <c r="F92" t="str">
        <f>IF($A92&lt;&gt;"",'All Cases - Enter Cases'!F92,"")</f>
        <v/>
      </c>
      <c r="G92" t="str">
        <f>IF($A92&lt;&gt;"",'All Cases - Enter Cases'!G92,"")</f>
        <v/>
      </c>
      <c r="H92" t="str">
        <f>IF($A92&lt;&gt;"",'All Cases - Enter Cases'!H92,"")</f>
        <v/>
      </c>
      <c r="I92" t="str">
        <f>IF($A92&lt;&gt;"",'All Cases - Enter Cases'!I92,"")</f>
        <v/>
      </c>
      <c r="J92" t="str">
        <f>IF($A92&lt;&gt;"",'All Cases - Enter Cases'!J92,"")</f>
        <v/>
      </c>
      <c r="K92" t="str">
        <f>IF($A92&lt;&gt;"",'All Cases - Enter Cases'!K92,"")</f>
        <v/>
      </c>
      <c r="L92" t="str">
        <f>IF($A92&lt;&gt;"",'All Cases - Enter Cases'!L92,"")</f>
        <v/>
      </c>
      <c r="M92" t="str">
        <f>IF($A92&lt;&gt;"",'All Cases - Enter Cases'!M92,"")</f>
        <v/>
      </c>
    </row>
    <row r="93" spans="1:13" x14ac:dyDescent="0.35">
      <c r="A93" t="str">
        <f>IF('All Cases - Enter Cases'!$F93="Balochistan",'All Cases - Enter Cases'!A93,"")</f>
        <v/>
      </c>
      <c r="B93" t="str">
        <f>IF($A93&lt;&gt;"",'All Cases - Enter Cases'!B93,"")</f>
        <v/>
      </c>
      <c r="C93" t="str">
        <f>IF($A93&lt;&gt;"",'All Cases - Enter Cases'!C93,"")</f>
        <v/>
      </c>
      <c r="D93" t="str">
        <f>IF($A93&lt;&gt;"",'All Cases - Enter Cases'!D93,"")</f>
        <v/>
      </c>
      <c r="E93" t="str">
        <f>IF($A93&lt;&gt;"",'All Cases - Enter Cases'!E93,"")</f>
        <v/>
      </c>
      <c r="F93" t="str">
        <f>IF($A93&lt;&gt;"",'All Cases - Enter Cases'!F93,"")</f>
        <v/>
      </c>
      <c r="G93" t="str">
        <f>IF($A93&lt;&gt;"",'All Cases - Enter Cases'!G93,"")</f>
        <v/>
      </c>
      <c r="H93" t="str">
        <f>IF($A93&lt;&gt;"",'All Cases - Enter Cases'!H93,"")</f>
        <v/>
      </c>
      <c r="I93" t="str">
        <f>IF($A93&lt;&gt;"",'All Cases - Enter Cases'!I93,"")</f>
        <v/>
      </c>
      <c r="J93" t="str">
        <f>IF($A93&lt;&gt;"",'All Cases - Enter Cases'!J93,"")</f>
        <v/>
      </c>
      <c r="K93" t="str">
        <f>IF($A93&lt;&gt;"",'All Cases - Enter Cases'!K93,"")</f>
        <v/>
      </c>
      <c r="L93" t="str">
        <f>IF($A93&lt;&gt;"",'All Cases - Enter Cases'!L93,"")</f>
        <v/>
      </c>
      <c r="M93" t="str">
        <f>IF($A93&lt;&gt;"",'All Cases - Enter Cases'!M93,"")</f>
        <v/>
      </c>
    </row>
    <row r="94" spans="1:13" x14ac:dyDescent="0.35">
      <c r="A94" t="str">
        <f>IF('All Cases - Enter Cases'!$F94="Balochistan",'All Cases - Enter Cases'!A94,"")</f>
        <v/>
      </c>
      <c r="B94" t="str">
        <f>IF($A94&lt;&gt;"",'All Cases - Enter Cases'!B94,"")</f>
        <v/>
      </c>
      <c r="C94" t="str">
        <f>IF($A94&lt;&gt;"",'All Cases - Enter Cases'!C94,"")</f>
        <v/>
      </c>
      <c r="D94" t="str">
        <f>IF($A94&lt;&gt;"",'All Cases - Enter Cases'!D94,"")</f>
        <v/>
      </c>
      <c r="E94" t="str">
        <f>IF($A94&lt;&gt;"",'All Cases - Enter Cases'!E94,"")</f>
        <v/>
      </c>
      <c r="F94" t="str">
        <f>IF($A94&lt;&gt;"",'All Cases - Enter Cases'!F94,"")</f>
        <v/>
      </c>
      <c r="G94" t="str">
        <f>IF($A94&lt;&gt;"",'All Cases - Enter Cases'!G94,"")</f>
        <v/>
      </c>
      <c r="H94" t="str">
        <f>IF($A94&lt;&gt;"",'All Cases - Enter Cases'!H94,"")</f>
        <v/>
      </c>
      <c r="I94" t="str">
        <f>IF($A94&lt;&gt;"",'All Cases - Enter Cases'!I94,"")</f>
        <v/>
      </c>
      <c r="J94" t="str">
        <f>IF($A94&lt;&gt;"",'All Cases - Enter Cases'!J94,"")</f>
        <v/>
      </c>
      <c r="K94" t="str">
        <f>IF($A94&lt;&gt;"",'All Cases - Enter Cases'!K94,"")</f>
        <v/>
      </c>
      <c r="L94" t="str">
        <f>IF($A94&lt;&gt;"",'All Cases - Enter Cases'!L94,"")</f>
        <v/>
      </c>
      <c r="M94" t="str">
        <f>IF($A94&lt;&gt;"",'All Cases - Enter Cases'!M94,"")</f>
        <v/>
      </c>
    </row>
    <row r="95" spans="1:13" x14ac:dyDescent="0.35">
      <c r="A95" t="str">
        <f>IF('All Cases - Enter Cases'!$F95="Balochistan",'All Cases - Enter Cases'!A95,"")</f>
        <v/>
      </c>
      <c r="B95" t="str">
        <f>IF($A95&lt;&gt;"",'All Cases - Enter Cases'!B95,"")</f>
        <v/>
      </c>
      <c r="C95" t="str">
        <f>IF($A95&lt;&gt;"",'All Cases - Enter Cases'!C95,"")</f>
        <v/>
      </c>
      <c r="D95" t="str">
        <f>IF($A95&lt;&gt;"",'All Cases - Enter Cases'!D95,"")</f>
        <v/>
      </c>
      <c r="E95" t="str">
        <f>IF($A95&lt;&gt;"",'All Cases - Enter Cases'!E95,"")</f>
        <v/>
      </c>
      <c r="F95" t="str">
        <f>IF($A95&lt;&gt;"",'All Cases - Enter Cases'!F95,"")</f>
        <v/>
      </c>
      <c r="G95" t="str">
        <f>IF($A95&lt;&gt;"",'All Cases - Enter Cases'!G95,"")</f>
        <v/>
      </c>
      <c r="H95" t="str">
        <f>IF($A95&lt;&gt;"",'All Cases - Enter Cases'!H95,"")</f>
        <v/>
      </c>
      <c r="I95" t="str">
        <f>IF($A95&lt;&gt;"",'All Cases - Enter Cases'!I95,"")</f>
        <v/>
      </c>
      <c r="J95" t="str">
        <f>IF($A95&lt;&gt;"",'All Cases - Enter Cases'!J95,"")</f>
        <v/>
      </c>
      <c r="K95" t="str">
        <f>IF($A95&lt;&gt;"",'All Cases - Enter Cases'!K95,"")</f>
        <v/>
      </c>
      <c r="L95" t="str">
        <f>IF($A95&lt;&gt;"",'All Cases - Enter Cases'!L95,"")</f>
        <v/>
      </c>
      <c r="M95" t="str">
        <f>IF($A95&lt;&gt;"",'All Cases - Enter Cases'!M95,"")</f>
        <v/>
      </c>
    </row>
    <row r="96" spans="1:13" x14ac:dyDescent="0.35">
      <c r="A96" t="str">
        <f>IF('All Cases - Enter Cases'!$F96="Balochistan",'All Cases - Enter Cases'!A96,"")</f>
        <v/>
      </c>
      <c r="B96" t="str">
        <f>IF($A96&lt;&gt;"",'All Cases - Enter Cases'!B96,"")</f>
        <v/>
      </c>
      <c r="C96" t="str">
        <f>IF($A96&lt;&gt;"",'All Cases - Enter Cases'!C96,"")</f>
        <v/>
      </c>
      <c r="D96" t="str">
        <f>IF($A96&lt;&gt;"",'All Cases - Enter Cases'!D96,"")</f>
        <v/>
      </c>
      <c r="E96" t="str">
        <f>IF($A96&lt;&gt;"",'All Cases - Enter Cases'!E96,"")</f>
        <v/>
      </c>
      <c r="F96" t="str">
        <f>IF($A96&lt;&gt;"",'All Cases - Enter Cases'!F96,"")</f>
        <v/>
      </c>
      <c r="G96" t="str">
        <f>IF($A96&lt;&gt;"",'All Cases - Enter Cases'!G96,"")</f>
        <v/>
      </c>
      <c r="H96" t="str">
        <f>IF($A96&lt;&gt;"",'All Cases - Enter Cases'!H96,"")</f>
        <v/>
      </c>
      <c r="I96" t="str">
        <f>IF($A96&lt;&gt;"",'All Cases - Enter Cases'!I96,"")</f>
        <v/>
      </c>
      <c r="J96" t="str">
        <f>IF($A96&lt;&gt;"",'All Cases - Enter Cases'!J96,"")</f>
        <v/>
      </c>
      <c r="K96" t="str">
        <f>IF($A96&lt;&gt;"",'All Cases - Enter Cases'!K96,"")</f>
        <v/>
      </c>
      <c r="L96" t="str">
        <f>IF($A96&lt;&gt;"",'All Cases - Enter Cases'!L96,"")</f>
        <v/>
      </c>
      <c r="M96" t="str">
        <f>IF($A96&lt;&gt;"",'All Cases - Enter Cases'!M96,"")</f>
        <v/>
      </c>
    </row>
    <row r="97" spans="1:13" x14ac:dyDescent="0.35">
      <c r="A97" t="str">
        <f>IF('All Cases - Enter Cases'!$F97="Balochistan",'All Cases - Enter Cases'!A97,"")</f>
        <v/>
      </c>
      <c r="B97" t="str">
        <f>IF($A97&lt;&gt;"",'All Cases - Enter Cases'!B97,"")</f>
        <v/>
      </c>
      <c r="C97" t="str">
        <f>IF($A97&lt;&gt;"",'All Cases - Enter Cases'!C97,"")</f>
        <v/>
      </c>
      <c r="D97" t="str">
        <f>IF($A97&lt;&gt;"",'All Cases - Enter Cases'!D97,"")</f>
        <v/>
      </c>
      <c r="E97" t="str">
        <f>IF($A97&lt;&gt;"",'All Cases - Enter Cases'!E97,"")</f>
        <v/>
      </c>
      <c r="F97" t="str">
        <f>IF($A97&lt;&gt;"",'All Cases - Enter Cases'!F97,"")</f>
        <v/>
      </c>
      <c r="G97" t="str">
        <f>IF($A97&lt;&gt;"",'All Cases - Enter Cases'!G97,"")</f>
        <v/>
      </c>
      <c r="H97" t="str">
        <f>IF($A97&lt;&gt;"",'All Cases - Enter Cases'!H97,"")</f>
        <v/>
      </c>
      <c r="I97" t="str">
        <f>IF($A97&lt;&gt;"",'All Cases - Enter Cases'!I97,"")</f>
        <v/>
      </c>
      <c r="J97" t="str">
        <f>IF($A97&lt;&gt;"",'All Cases - Enter Cases'!J97,"")</f>
        <v/>
      </c>
      <c r="K97" t="str">
        <f>IF($A97&lt;&gt;"",'All Cases - Enter Cases'!K97,"")</f>
        <v/>
      </c>
      <c r="L97" t="str">
        <f>IF($A97&lt;&gt;"",'All Cases - Enter Cases'!L97,"")</f>
        <v/>
      </c>
      <c r="M97" t="str">
        <f>IF($A97&lt;&gt;"",'All Cases - Enter Cases'!M97,"")</f>
        <v/>
      </c>
    </row>
    <row r="98" spans="1:13" x14ac:dyDescent="0.35">
      <c r="A98" t="str">
        <f>IF('All Cases - Enter Cases'!$F98="Balochistan",'All Cases - Enter Cases'!A98,"")</f>
        <v/>
      </c>
      <c r="B98" t="str">
        <f>IF($A98&lt;&gt;"",'All Cases - Enter Cases'!B98,"")</f>
        <v/>
      </c>
      <c r="C98" t="str">
        <f>IF($A98&lt;&gt;"",'All Cases - Enter Cases'!C98,"")</f>
        <v/>
      </c>
      <c r="D98" t="str">
        <f>IF($A98&lt;&gt;"",'All Cases - Enter Cases'!D98,"")</f>
        <v/>
      </c>
      <c r="E98" t="str">
        <f>IF($A98&lt;&gt;"",'All Cases - Enter Cases'!E98,"")</f>
        <v/>
      </c>
      <c r="F98" t="str">
        <f>IF($A98&lt;&gt;"",'All Cases - Enter Cases'!F98,"")</f>
        <v/>
      </c>
      <c r="G98" t="str">
        <f>IF($A98&lt;&gt;"",'All Cases - Enter Cases'!G98,"")</f>
        <v/>
      </c>
      <c r="H98" t="str">
        <f>IF($A98&lt;&gt;"",'All Cases - Enter Cases'!H98,"")</f>
        <v/>
      </c>
      <c r="I98" t="str">
        <f>IF($A98&lt;&gt;"",'All Cases - Enter Cases'!I98,"")</f>
        <v/>
      </c>
      <c r="J98" t="str">
        <f>IF($A98&lt;&gt;"",'All Cases - Enter Cases'!J98,"")</f>
        <v/>
      </c>
      <c r="K98" t="str">
        <f>IF($A98&lt;&gt;"",'All Cases - Enter Cases'!K98,"")</f>
        <v/>
      </c>
      <c r="L98" t="str">
        <f>IF($A98&lt;&gt;"",'All Cases - Enter Cases'!L98,"")</f>
        <v/>
      </c>
      <c r="M98" t="str">
        <f>IF($A98&lt;&gt;"",'All Cases - Enter Cases'!M98,"")</f>
        <v/>
      </c>
    </row>
    <row r="99" spans="1:13" x14ac:dyDescent="0.35">
      <c r="A99" t="str">
        <f>IF('All Cases - Enter Cases'!$F99="Balochistan",'All Cases - Enter Cases'!A99,"")</f>
        <v/>
      </c>
      <c r="B99" t="str">
        <f>IF($A99&lt;&gt;"",'All Cases - Enter Cases'!B99,"")</f>
        <v/>
      </c>
      <c r="C99" t="str">
        <f>IF($A99&lt;&gt;"",'All Cases - Enter Cases'!C99,"")</f>
        <v/>
      </c>
      <c r="D99" t="str">
        <f>IF($A99&lt;&gt;"",'All Cases - Enter Cases'!D99,"")</f>
        <v/>
      </c>
      <c r="E99" t="str">
        <f>IF($A99&lt;&gt;"",'All Cases - Enter Cases'!E99,"")</f>
        <v/>
      </c>
      <c r="F99" t="str">
        <f>IF($A99&lt;&gt;"",'All Cases - Enter Cases'!F99,"")</f>
        <v/>
      </c>
      <c r="G99" t="str">
        <f>IF($A99&lt;&gt;"",'All Cases - Enter Cases'!G99,"")</f>
        <v/>
      </c>
      <c r="H99" t="str">
        <f>IF($A99&lt;&gt;"",'All Cases - Enter Cases'!H99,"")</f>
        <v/>
      </c>
      <c r="I99" t="str">
        <f>IF($A99&lt;&gt;"",'All Cases - Enter Cases'!I99,"")</f>
        <v/>
      </c>
      <c r="J99" t="str">
        <f>IF($A99&lt;&gt;"",'All Cases - Enter Cases'!J99,"")</f>
        <v/>
      </c>
      <c r="K99" t="str">
        <f>IF($A99&lt;&gt;"",'All Cases - Enter Cases'!K99,"")</f>
        <v/>
      </c>
      <c r="L99" t="str">
        <f>IF($A99&lt;&gt;"",'All Cases - Enter Cases'!L99,"")</f>
        <v/>
      </c>
      <c r="M99" t="str">
        <f>IF($A99&lt;&gt;"",'All Cases - Enter Cases'!M99,"")</f>
        <v/>
      </c>
    </row>
    <row r="100" spans="1:13" x14ac:dyDescent="0.35">
      <c r="A100" t="str">
        <f>IF('All Cases - Enter Cases'!$F100="Balochistan",'All Cases - Enter Cases'!A100,"")</f>
        <v/>
      </c>
      <c r="B100" t="str">
        <f>IF($A100&lt;&gt;"",'All Cases - Enter Cases'!B100,"")</f>
        <v/>
      </c>
      <c r="C100" t="str">
        <f>IF($A100&lt;&gt;"",'All Cases - Enter Cases'!C100,"")</f>
        <v/>
      </c>
      <c r="D100" t="str">
        <f>IF($A100&lt;&gt;"",'All Cases - Enter Cases'!D100,"")</f>
        <v/>
      </c>
      <c r="E100" t="str">
        <f>IF($A100&lt;&gt;"",'All Cases - Enter Cases'!E100,"")</f>
        <v/>
      </c>
      <c r="F100" t="str">
        <f>IF($A100&lt;&gt;"",'All Cases - Enter Cases'!F100,"")</f>
        <v/>
      </c>
      <c r="G100" t="str">
        <f>IF($A100&lt;&gt;"",'All Cases - Enter Cases'!G100,"")</f>
        <v/>
      </c>
      <c r="H100" t="str">
        <f>IF($A100&lt;&gt;"",'All Cases - Enter Cases'!H100,"")</f>
        <v/>
      </c>
      <c r="I100" t="str">
        <f>IF($A100&lt;&gt;"",'All Cases - Enter Cases'!I100,"")</f>
        <v/>
      </c>
      <c r="J100" t="str">
        <f>IF($A100&lt;&gt;"",'All Cases - Enter Cases'!J100,"")</f>
        <v/>
      </c>
      <c r="K100" t="str">
        <f>IF($A100&lt;&gt;"",'All Cases - Enter Cases'!K100,"")</f>
        <v/>
      </c>
      <c r="L100" t="str">
        <f>IF($A100&lt;&gt;"",'All Cases - Enter Cases'!L100,"")</f>
        <v/>
      </c>
      <c r="M100" t="str">
        <f>IF($A100&lt;&gt;"",'All Cases - Enter Cases'!M100,"")</f>
        <v/>
      </c>
    </row>
    <row r="101" spans="1:13" x14ac:dyDescent="0.35">
      <c r="A101" t="str">
        <f>IF('All Cases - Enter Cases'!$F101="Balochistan",'All Cases - Enter Cases'!A101,"")</f>
        <v/>
      </c>
      <c r="B101" t="str">
        <f>IF($A101&lt;&gt;"",'All Cases - Enter Cases'!B101,"")</f>
        <v/>
      </c>
      <c r="C101" t="str">
        <f>IF($A101&lt;&gt;"",'All Cases - Enter Cases'!C101,"")</f>
        <v/>
      </c>
      <c r="D101" t="str">
        <f>IF($A101&lt;&gt;"",'All Cases - Enter Cases'!D101,"")</f>
        <v/>
      </c>
      <c r="E101" t="str">
        <f>IF($A101&lt;&gt;"",'All Cases - Enter Cases'!E101,"")</f>
        <v/>
      </c>
      <c r="F101" t="str">
        <f>IF($A101&lt;&gt;"",'All Cases - Enter Cases'!F101,"")</f>
        <v/>
      </c>
      <c r="G101" t="str">
        <f>IF($A101&lt;&gt;"",'All Cases - Enter Cases'!G101,"")</f>
        <v/>
      </c>
      <c r="H101" t="str">
        <f>IF($A101&lt;&gt;"",'All Cases - Enter Cases'!H101,"")</f>
        <v/>
      </c>
      <c r="I101" t="str">
        <f>IF($A101&lt;&gt;"",'All Cases - Enter Cases'!I101,"")</f>
        <v/>
      </c>
      <c r="J101" t="str">
        <f>IF($A101&lt;&gt;"",'All Cases - Enter Cases'!J101,"")</f>
        <v/>
      </c>
      <c r="K101" t="str">
        <f>IF($A101&lt;&gt;"",'All Cases - Enter Cases'!K101,"")</f>
        <v/>
      </c>
      <c r="L101" t="str">
        <f>IF($A101&lt;&gt;"",'All Cases - Enter Cases'!L101,"")</f>
        <v/>
      </c>
      <c r="M101" t="str">
        <f>IF($A101&lt;&gt;"",'All Cases - Enter Cases'!M101,"")</f>
        <v/>
      </c>
    </row>
    <row r="102" spans="1:13" x14ac:dyDescent="0.35">
      <c r="A102" t="str">
        <f>IF('All Cases - Enter Cases'!$F102="Balochistan",'All Cases - Enter Cases'!A102,"")</f>
        <v/>
      </c>
      <c r="B102" t="str">
        <f>IF($A102&lt;&gt;"",'All Cases - Enter Cases'!B102,"")</f>
        <v/>
      </c>
      <c r="C102" t="str">
        <f>IF($A102&lt;&gt;"",'All Cases - Enter Cases'!C102,"")</f>
        <v/>
      </c>
      <c r="D102" t="str">
        <f>IF($A102&lt;&gt;"",'All Cases - Enter Cases'!D102,"")</f>
        <v/>
      </c>
      <c r="E102" t="str">
        <f>IF($A102&lt;&gt;"",'All Cases - Enter Cases'!E102,"")</f>
        <v/>
      </c>
      <c r="F102" t="str">
        <f>IF($A102&lt;&gt;"",'All Cases - Enter Cases'!F102,"")</f>
        <v/>
      </c>
      <c r="G102" t="str">
        <f>IF($A102&lt;&gt;"",'All Cases - Enter Cases'!G102,"")</f>
        <v/>
      </c>
      <c r="H102" t="str">
        <f>IF($A102&lt;&gt;"",'All Cases - Enter Cases'!H102,"")</f>
        <v/>
      </c>
      <c r="I102" t="str">
        <f>IF($A102&lt;&gt;"",'All Cases - Enter Cases'!I102,"")</f>
        <v/>
      </c>
      <c r="J102" t="str">
        <f>IF($A102&lt;&gt;"",'All Cases - Enter Cases'!J102,"")</f>
        <v/>
      </c>
      <c r="K102" t="str">
        <f>IF($A102&lt;&gt;"",'All Cases - Enter Cases'!K102,"")</f>
        <v/>
      </c>
      <c r="L102" t="str">
        <f>IF($A102&lt;&gt;"",'All Cases - Enter Cases'!L102,"")</f>
        <v/>
      </c>
      <c r="M102" t="str">
        <f>IF($A102&lt;&gt;"",'All Cases - Enter Cases'!M102,"")</f>
        <v/>
      </c>
    </row>
    <row r="103" spans="1:13" x14ac:dyDescent="0.35">
      <c r="A103" t="str">
        <f>IF('All Cases - Enter Cases'!$F103="Balochistan",'All Cases - Enter Cases'!A103,"")</f>
        <v/>
      </c>
      <c r="B103" t="str">
        <f>IF($A103&lt;&gt;"",'All Cases - Enter Cases'!B103,"")</f>
        <v/>
      </c>
      <c r="C103" t="str">
        <f>IF($A103&lt;&gt;"",'All Cases - Enter Cases'!C103,"")</f>
        <v/>
      </c>
      <c r="D103" t="str">
        <f>IF($A103&lt;&gt;"",'All Cases - Enter Cases'!D103,"")</f>
        <v/>
      </c>
      <c r="E103" t="str">
        <f>IF($A103&lt;&gt;"",'All Cases - Enter Cases'!E103,"")</f>
        <v/>
      </c>
      <c r="F103" t="str">
        <f>IF($A103&lt;&gt;"",'All Cases - Enter Cases'!F103,"")</f>
        <v/>
      </c>
      <c r="G103" t="str">
        <f>IF($A103&lt;&gt;"",'All Cases - Enter Cases'!G103,"")</f>
        <v/>
      </c>
      <c r="H103" t="str">
        <f>IF($A103&lt;&gt;"",'All Cases - Enter Cases'!H103,"")</f>
        <v/>
      </c>
      <c r="I103" t="str">
        <f>IF($A103&lt;&gt;"",'All Cases - Enter Cases'!I103,"")</f>
        <v/>
      </c>
      <c r="J103" t="str">
        <f>IF($A103&lt;&gt;"",'All Cases - Enter Cases'!J103,"")</f>
        <v/>
      </c>
      <c r="K103" t="str">
        <f>IF($A103&lt;&gt;"",'All Cases - Enter Cases'!K103,"")</f>
        <v/>
      </c>
      <c r="L103" t="str">
        <f>IF($A103&lt;&gt;"",'All Cases - Enter Cases'!L103,"")</f>
        <v/>
      </c>
      <c r="M103" t="str">
        <f>IF($A103&lt;&gt;"",'All Cases - Enter Cases'!M103,"")</f>
        <v/>
      </c>
    </row>
    <row r="104" spans="1:13" x14ac:dyDescent="0.35">
      <c r="A104" t="str">
        <f>IF('All Cases - Enter Cases'!$F104="Balochistan",'All Cases - Enter Cases'!A104,"")</f>
        <v/>
      </c>
      <c r="B104" t="str">
        <f>IF($A104&lt;&gt;"",'All Cases - Enter Cases'!B104,"")</f>
        <v/>
      </c>
      <c r="C104" t="str">
        <f>IF($A104&lt;&gt;"",'All Cases - Enter Cases'!C104,"")</f>
        <v/>
      </c>
      <c r="D104" t="str">
        <f>IF($A104&lt;&gt;"",'All Cases - Enter Cases'!D104,"")</f>
        <v/>
      </c>
      <c r="E104" t="str">
        <f>IF($A104&lt;&gt;"",'All Cases - Enter Cases'!E104,"")</f>
        <v/>
      </c>
      <c r="F104" t="str">
        <f>IF($A104&lt;&gt;"",'All Cases - Enter Cases'!F104,"")</f>
        <v/>
      </c>
      <c r="G104" t="str">
        <f>IF($A104&lt;&gt;"",'All Cases - Enter Cases'!G104,"")</f>
        <v/>
      </c>
      <c r="H104" t="str">
        <f>IF($A104&lt;&gt;"",'All Cases - Enter Cases'!H104,"")</f>
        <v/>
      </c>
      <c r="I104" t="str">
        <f>IF($A104&lt;&gt;"",'All Cases - Enter Cases'!I104,"")</f>
        <v/>
      </c>
      <c r="J104" t="str">
        <f>IF($A104&lt;&gt;"",'All Cases - Enter Cases'!J104,"")</f>
        <v/>
      </c>
      <c r="K104" t="str">
        <f>IF($A104&lt;&gt;"",'All Cases - Enter Cases'!K104,"")</f>
        <v/>
      </c>
      <c r="L104" t="str">
        <f>IF($A104&lt;&gt;"",'All Cases - Enter Cases'!L104,"")</f>
        <v/>
      </c>
      <c r="M104" t="str">
        <f>IF($A104&lt;&gt;"",'All Cases - Enter Cases'!M104,"")</f>
        <v/>
      </c>
    </row>
    <row r="105" spans="1:13" x14ac:dyDescent="0.35">
      <c r="A105" t="str">
        <f>IF('All Cases - Enter Cases'!$F105="Balochistan",'All Cases - Enter Cases'!A105,"")</f>
        <v/>
      </c>
      <c r="B105" t="str">
        <f>IF($A105&lt;&gt;"",'All Cases - Enter Cases'!B105,"")</f>
        <v/>
      </c>
      <c r="C105" t="str">
        <f>IF($A105&lt;&gt;"",'All Cases - Enter Cases'!C105,"")</f>
        <v/>
      </c>
      <c r="D105" t="str">
        <f>IF($A105&lt;&gt;"",'All Cases - Enter Cases'!D105,"")</f>
        <v/>
      </c>
      <c r="E105" t="str">
        <f>IF($A105&lt;&gt;"",'All Cases - Enter Cases'!E105,"")</f>
        <v/>
      </c>
      <c r="F105" t="str">
        <f>IF($A105&lt;&gt;"",'All Cases - Enter Cases'!F105,"")</f>
        <v/>
      </c>
      <c r="G105" t="str">
        <f>IF($A105&lt;&gt;"",'All Cases - Enter Cases'!G105,"")</f>
        <v/>
      </c>
      <c r="H105" t="str">
        <f>IF($A105&lt;&gt;"",'All Cases - Enter Cases'!H105,"")</f>
        <v/>
      </c>
      <c r="I105" t="str">
        <f>IF($A105&lt;&gt;"",'All Cases - Enter Cases'!I105,"")</f>
        <v/>
      </c>
      <c r="J105" t="str">
        <f>IF($A105&lt;&gt;"",'All Cases - Enter Cases'!J105,"")</f>
        <v/>
      </c>
      <c r="K105" t="str">
        <f>IF($A105&lt;&gt;"",'All Cases - Enter Cases'!K105,"")</f>
        <v/>
      </c>
      <c r="L105" t="str">
        <f>IF($A105&lt;&gt;"",'All Cases - Enter Cases'!L105,"")</f>
        <v/>
      </c>
      <c r="M105" t="str">
        <f>IF($A105&lt;&gt;"",'All Cases - Enter Cases'!M105,"")</f>
        <v/>
      </c>
    </row>
    <row r="106" spans="1:13" x14ac:dyDescent="0.35">
      <c r="A106" t="str">
        <f>IF('All Cases - Enter Cases'!$F106="Balochistan",'All Cases - Enter Cases'!A106,"")</f>
        <v/>
      </c>
      <c r="B106" t="str">
        <f>IF($A106&lt;&gt;"",'All Cases - Enter Cases'!B106,"")</f>
        <v/>
      </c>
      <c r="C106" t="str">
        <f>IF($A106&lt;&gt;"",'All Cases - Enter Cases'!C106,"")</f>
        <v/>
      </c>
      <c r="D106" t="str">
        <f>IF($A106&lt;&gt;"",'All Cases - Enter Cases'!D106,"")</f>
        <v/>
      </c>
      <c r="E106" t="str">
        <f>IF($A106&lt;&gt;"",'All Cases - Enter Cases'!E106,"")</f>
        <v/>
      </c>
      <c r="F106" t="str">
        <f>IF($A106&lt;&gt;"",'All Cases - Enter Cases'!F106,"")</f>
        <v/>
      </c>
      <c r="G106" t="str">
        <f>IF($A106&lt;&gt;"",'All Cases - Enter Cases'!G106,"")</f>
        <v/>
      </c>
      <c r="H106" t="str">
        <f>IF($A106&lt;&gt;"",'All Cases - Enter Cases'!H106,"")</f>
        <v/>
      </c>
      <c r="I106" t="str">
        <f>IF($A106&lt;&gt;"",'All Cases - Enter Cases'!I106,"")</f>
        <v/>
      </c>
      <c r="J106" t="str">
        <f>IF($A106&lt;&gt;"",'All Cases - Enter Cases'!J106,"")</f>
        <v/>
      </c>
      <c r="K106" t="str">
        <f>IF($A106&lt;&gt;"",'All Cases - Enter Cases'!K106,"")</f>
        <v/>
      </c>
      <c r="L106" t="str">
        <f>IF($A106&lt;&gt;"",'All Cases - Enter Cases'!L106,"")</f>
        <v/>
      </c>
      <c r="M106" t="str">
        <f>IF($A106&lt;&gt;"",'All Cases - Enter Cases'!M106,"")</f>
        <v/>
      </c>
    </row>
    <row r="107" spans="1:13" x14ac:dyDescent="0.35">
      <c r="A107" t="str">
        <f>IF('All Cases - Enter Cases'!$F107="Balochistan",'All Cases - Enter Cases'!A107,"")</f>
        <v/>
      </c>
      <c r="B107" t="str">
        <f>IF($A107&lt;&gt;"",'All Cases - Enter Cases'!B107,"")</f>
        <v/>
      </c>
      <c r="C107" t="str">
        <f>IF($A107&lt;&gt;"",'All Cases - Enter Cases'!C107,"")</f>
        <v/>
      </c>
      <c r="D107" t="str">
        <f>IF($A107&lt;&gt;"",'All Cases - Enter Cases'!D107,"")</f>
        <v/>
      </c>
      <c r="E107" t="str">
        <f>IF($A107&lt;&gt;"",'All Cases - Enter Cases'!E107,"")</f>
        <v/>
      </c>
      <c r="F107" t="str">
        <f>IF($A107&lt;&gt;"",'All Cases - Enter Cases'!F107,"")</f>
        <v/>
      </c>
      <c r="G107" t="str">
        <f>IF($A107&lt;&gt;"",'All Cases - Enter Cases'!G107,"")</f>
        <v/>
      </c>
      <c r="H107" t="str">
        <f>IF($A107&lt;&gt;"",'All Cases - Enter Cases'!H107,"")</f>
        <v/>
      </c>
      <c r="I107" t="str">
        <f>IF($A107&lt;&gt;"",'All Cases - Enter Cases'!I107,"")</f>
        <v/>
      </c>
      <c r="J107" t="str">
        <f>IF($A107&lt;&gt;"",'All Cases - Enter Cases'!J107,"")</f>
        <v/>
      </c>
      <c r="K107" t="str">
        <f>IF($A107&lt;&gt;"",'All Cases - Enter Cases'!K107,"")</f>
        <v/>
      </c>
      <c r="L107" t="str">
        <f>IF($A107&lt;&gt;"",'All Cases - Enter Cases'!L107,"")</f>
        <v/>
      </c>
      <c r="M107" t="str">
        <f>IF($A107&lt;&gt;"",'All Cases - Enter Cases'!M107,"")</f>
        <v/>
      </c>
    </row>
    <row r="108" spans="1:13" x14ac:dyDescent="0.35">
      <c r="A108" t="str">
        <f>IF('All Cases - Enter Cases'!$F108="Balochistan",'All Cases - Enter Cases'!A108,"")</f>
        <v/>
      </c>
      <c r="B108" t="str">
        <f>IF($A108&lt;&gt;"",'All Cases - Enter Cases'!B108,"")</f>
        <v/>
      </c>
      <c r="C108" t="str">
        <f>IF($A108&lt;&gt;"",'All Cases - Enter Cases'!C108,"")</f>
        <v/>
      </c>
      <c r="D108" t="str">
        <f>IF($A108&lt;&gt;"",'All Cases - Enter Cases'!D108,"")</f>
        <v/>
      </c>
      <c r="E108" t="str">
        <f>IF($A108&lt;&gt;"",'All Cases - Enter Cases'!E108,"")</f>
        <v/>
      </c>
      <c r="F108" t="str">
        <f>IF($A108&lt;&gt;"",'All Cases - Enter Cases'!F108,"")</f>
        <v/>
      </c>
      <c r="G108" t="str">
        <f>IF($A108&lt;&gt;"",'All Cases - Enter Cases'!G108,"")</f>
        <v/>
      </c>
      <c r="H108" t="str">
        <f>IF($A108&lt;&gt;"",'All Cases - Enter Cases'!H108,"")</f>
        <v/>
      </c>
      <c r="I108" t="str">
        <f>IF($A108&lt;&gt;"",'All Cases - Enter Cases'!I108,"")</f>
        <v/>
      </c>
      <c r="J108" t="str">
        <f>IF($A108&lt;&gt;"",'All Cases - Enter Cases'!J108,"")</f>
        <v/>
      </c>
      <c r="K108" t="str">
        <f>IF($A108&lt;&gt;"",'All Cases - Enter Cases'!K108,"")</f>
        <v/>
      </c>
      <c r="L108" t="str">
        <f>IF($A108&lt;&gt;"",'All Cases - Enter Cases'!L108,"")</f>
        <v/>
      </c>
      <c r="M108" t="str">
        <f>IF($A108&lt;&gt;"",'All Cases - Enter Cases'!M108,"")</f>
        <v/>
      </c>
    </row>
    <row r="109" spans="1:13" x14ac:dyDescent="0.35">
      <c r="A109" t="str">
        <f>IF('All Cases - Enter Cases'!$F109="Balochistan",'All Cases - Enter Cases'!A109,"")</f>
        <v/>
      </c>
      <c r="B109" t="str">
        <f>IF($A109&lt;&gt;"",'All Cases - Enter Cases'!B109,"")</f>
        <v/>
      </c>
      <c r="C109" t="str">
        <f>IF($A109&lt;&gt;"",'All Cases - Enter Cases'!C109,"")</f>
        <v/>
      </c>
      <c r="D109" t="str">
        <f>IF($A109&lt;&gt;"",'All Cases - Enter Cases'!D109,"")</f>
        <v/>
      </c>
      <c r="E109" t="str">
        <f>IF($A109&lt;&gt;"",'All Cases - Enter Cases'!E109,"")</f>
        <v/>
      </c>
      <c r="F109" t="str">
        <f>IF($A109&lt;&gt;"",'All Cases - Enter Cases'!F109,"")</f>
        <v/>
      </c>
      <c r="G109" t="str">
        <f>IF($A109&lt;&gt;"",'All Cases - Enter Cases'!G109,"")</f>
        <v/>
      </c>
      <c r="H109" t="str">
        <f>IF($A109&lt;&gt;"",'All Cases - Enter Cases'!H109,"")</f>
        <v/>
      </c>
      <c r="I109" t="str">
        <f>IF($A109&lt;&gt;"",'All Cases - Enter Cases'!I109,"")</f>
        <v/>
      </c>
      <c r="J109" t="str">
        <f>IF($A109&lt;&gt;"",'All Cases - Enter Cases'!J109,"")</f>
        <v/>
      </c>
      <c r="K109" t="str">
        <f>IF($A109&lt;&gt;"",'All Cases - Enter Cases'!K109,"")</f>
        <v/>
      </c>
      <c r="L109" t="str">
        <f>IF($A109&lt;&gt;"",'All Cases - Enter Cases'!L109,"")</f>
        <v/>
      </c>
      <c r="M109" t="str">
        <f>IF($A109&lt;&gt;"",'All Cases - Enter Cases'!M109,"")</f>
        <v/>
      </c>
    </row>
    <row r="110" spans="1:13" x14ac:dyDescent="0.35">
      <c r="A110" t="str">
        <f>IF('All Cases - Enter Cases'!$F110="Balochistan",'All Cases - Enter Cases'!A110,"")</f>
        <v/>
      </c>
      <c r="B110" t="str">
        <f>IF($A110&lt;&gt;"",'All Cases - Enter Cases'!B110,"")</f>
        <v/>
      </c>
      <c r="C110" t="str">
        <f>IF($A110&lt;&gt;"",'All Cases - Enter Cases'!C110,"")</f>
        <v/>
      </c>
      <c r="D110" t="str">
        <f>IF($A110&lt;&gt;"",'All Cases - Enter Cases'!D110,"")</f>
        <v/>
      </c>
      <c r="E110" t="str">
        <f>IF($A110&lt;&gt;"",'All Cases - Enter Cases'!E110,"")</f>
        <v/>
      </c>
      <c r="F110" t="str">
        <f>IF($A110&lt;&gt;"",'All Cases - Enter Cases'!F110,"")</f>
        <v/>
      </c>
      <c r="G110" t="str">
        <f>IF($A110&lt;&gt;"",'All Cases - Enter Cases'!G110,"")</f>
        <v/>
      </c>
      <c r="H110" t="str">
        <f>IF($A110&lt;&gt;"",'All Cases - Enter Cases'!H110,"")</f>
        <v/>
      </c>
      <c r="I110" t="str">
        <f>IF($A110&lt;&gt;"",'All Cases - Enter Cases'!I110,"")</f>
        <v/>
      </c>
      <c r="J110" t="str">
        <f>IF($A110&lt;&gt;"",'All Cases - Enter Cases'!J110,"")</f>
        <v/>
      </c>
      <c r="K110" t="str">
        <f>IF($A110&lt;&gt;"",'All Cases - Enter Cases'!K110,"")</f>
        <v/>
      </c>
      <c r="L110" t="str">
        <f>IF($A110&lt;&gt;"",'All Cases - Enter Cases'!L110,"")</f>
        <v/>
      </c>
      <c r="M110" t="str">
        <f>IF($A110&lt;&gt;"",'All Cases - Enter Cases'!M110,"")</f>
        <v/>
      </c>
    </row>
    <row r="111" spans="1:13" x14ac:dyDescent="0.35">
      <c r="A111" t="str">
        <f>IF('All Cases - Enter Cases'!$F111="Balochistan",'All Cases - Enter Cases'!A111,"")</f>
        <v/>
      </c>
      <c r="B111" t="str">
        <f>IF($A111&lt;&gt;"",'All Cases - Enter Cases'!B111,"")</f>
        <v/>
      </c>
      <c r="C111" t="str">
        <f>IF($A111&lt;&gt;"",'All Cases - Enter Cases'!C111,"")</f>
        <v/>
      </c>
      <c r="D111" t="str">
        <f>IF($A111&lt;&gt;"",'All Cases - Enter Cases'!D111,"")</f>
        <v/>
      </c>
      <c r="E111" t="str">
        <f>IF($A111&lt;&gt;"",'All Cases - Enter Cases'!E111,"")</f>
        <v/>
      </c>
      <c r="F111" t="str">
        <f>IF($A111&lt;&gt;"",'All Cases - Enter Cases'!F111,"")</f>
        <v/>
      </c>
      <c r="G111" t="str">
        <f>IF($A111&lt;&gt;"",'All Cases - Enter Cases'!G111,"")</f>
        <v/>
      </c>
      <c r="H111" t="str">
        <f>IF($A111&lt;&gt;"",'All Cases - Enter Cases'!H111,"")</f>
        <v/>
      </c>
      <c r="I111" t="str">
        <f>IF($A111&lt;&gt;"",'All Cases - Enter Cases'!I111,"")</f>
        <v/>
      </c>
      <c r="J111" t="str">
        <f>IF($A111&lt;&gt;"",'All Cases - Enter Cases'!J111,"")</f>
        <v/>
      </c>
      <c r="K111" t="str">
        <f>IF($A111&lt;&gt;"",'All Cases - Enter Cases'!K111,"")</f>
        <v/>
      </c>
      <c r="L111" t="str">
        <f>IF($A111&lt;&gt;"",'All Cases - Enter Cases'!L111,"")</f>
        <v/>
      </c>
      <c r="M111" t="str">
        <f>IF($A111&lt;&gt;"",'All Cases - Enter Cases'!M111,"")</f>
        <v/>
      </c>
    </row>
    <row r="112" spans="1:13" x14ac:dyDescent="0.35">
      <c r="A112" t="str">
        <f>IF('All Cases - Enter Cases'!$F112="Balochistan",'All Cases - Enter Cases'!A112,"")</f>
        <v/>
      </c>
      <c r="B112" t="str">
        <f>IF($A112&lt;&gt;"",'All Cases - Enter Cases'!B112,"")</f>
        <v/>
      </c>
      <c r="C112" t="str">
        <f>IF($A112&lt;&gt;"",'All Cases - Enter Cases'!C112,"")</f>
        <v/>
      </c>
      <c r="D112" t="str">
        <f>IF($A112&lt;&gt;"",'All Cases - Enter Cases'!D112,"")</f>
        <v/>
      </c>
      <c r="E112" t="str">
        <f>IF($A112&lt;&gt;"",'All Cases - Enter Cases'!E112,"")</f>
        <v/>
      </c>
      <c r="F112" t="str">
        <f>IF($A112&lt;&gt;"",'All Cases - Enter Cases'!F112,"")</f>
        <v/>
      </c>
      <c r="G112" t="str">
        <f>IF($A112&lt;&gt;"",'All Cases - Enter Cases'!G112,"")</f>
        <v/>
      </c>
      <c r="H112" t="str">
        <f>IF($A112&lt;&gt;"",'All Cases - Enter Cases'!H112,"")</f>
        <v/>
      </c>
      <c r="I112" t="str">
        <f>IF($A112&lt;&gt;"",'All Cases - Enter Cases'!I112,"")</f>
        <v/>
      </c>
      <c r="J112" t="str">
        <f>IF($A112&lt;&gt;"",'All Cases - Enter Cases'!J112,"")</f>
        <v/>
      </c>
      <c r="K112" t="str">
        <f>IF($A112&lt;&gt;"",'All Cases - Enter Cases'!K112,"")</f>
        <v/>
      </c>
      <c r="L112" t="str">
        <f>IF($A112&lt;&gt;"",'All Cases - Enter Cases'!L112,"")</f>
        <v/>
      </c>
      <c r="M112" t="str">
        <f>IF($A112&lt;&gt;"",'All Cases - Enter Cases'!M112,"")</f>
        <v/>
      </c>
    </row>
    <row r="113" spans="1:13" x14ac:dyDescent="0.35">
      <c r="A113" t="str">
        <f>IF('All Cases - Enter Cases'!$F113="Balochistan",'All Cases - Enter Cases'!A113,"")</f>
        <v/>
      </c>
      <c r="B113" t="str">
        <f>IF($A113&lt;&gt;"",'All Cases - Enter Cases'!B113,"")</f>
        <v/>
      </c>
      <c r="C113" t="str">
        <f>IF($A113&lt;&gt;"",'All Cases - Enter Cases'!C113,"")</f>
        <v/>
      </c>
      <c r="D113" t="str">
        <f>IF($A113&lt;&gt;"",'All Cases - Enter Cases'!D113,"")</f>
        <v/>
      </c>
      <c r="E113" t="str">
        <f>IF($A113&lt;&gt;"",'All Cases - Enter Cases'!E113,"")</f>
        <v/>
      </c>
      <c r="F113" t="str">
        <f>IF($A113&lt;&gt;"",'All Cases - Enter Cases'!F113,"")</f>
        <v/>
      </c>
      <c r="G113" t="str">
        <f>IF($A113&lt;&gt;"",'All Cases - Enter Cases'!G113,"")</f>
        <v/>
      </c>
      <c r="H113" t="str">
        <f>IF($A113&lt;&gt;"",'All Cases - Enter Cases'!H113,"")</f>
        <v/>
      </c>
      <c r="I113" t="str">
        <f>IF($A113&lt;&gt;"",'All Cases - Enter Cases'!I113,"")</f>
        <v/>
      </c>
      <c r="J113" t="str">
        <f>IF($A113&lt;&gt;"",'All Cases - Enter Cases'!J113,"")</f>
        <v/>
      </c>
      <c r="K113" t="str">
        <f>IF($A113&lt;&gt;"",'All Cases - Enter Cases'!K113,"")</f>
        <v/>
      </c>
      <c r="L113" t="str">
        <f>IF($A113&lt;&gt;"",'All Cases - Enter Cases'!L113,"")</f>
        <v/>
      </c>
      <c r="M113" t="str">
        <f>IF($A113&lt;&gt;"",'All Cases - Enter Cases'!M113,"")</f>
        <v/>
      </c>
    </row>
    <row r="114" spans="1:13" x14ac:dyDescent="0.35">
      <c r="A114" t="str">
        <f>IF('All Cases - Enter Cases'!$F114="Balochistan",'All Cases - Enter Cases'!A114,"")</f>
        <v/>
      </c>
      <c r="B114" t="str">
        <f>IF($A114&lt;&gt;"",'All Cases - Enter Cases'!B114,"")</f>
        <v/>
      </c>
      <c r="C114" t="str">
        <f>IF($A114&lt;&gt;"",'All Cases - Enter Cases'!C114,"")</f>
        <v/>
      </c>
      <c r="D114" t="str">
        <f>IF($A114&lt;&gt;"",'All Cases - Enter Cases'!D114,"")</f>
        <v/>
      </c>
      <c r="E114" t="str">
        <f>IF($A114&lt;&gt;"",'All Cases - Enter Cases'!E114,"")</f>
        <v/>
      </c>
      <c r="F114" t="str">
        <f>IF($A114&lt;&gt;"",'All Cases - Enter Cases'!F114,"")</f>
        <v/>
      </c>
      <c r="G114" t="str">
        <f>IF($A114&lt;&gt;"",'All Cases - Enter Cases'!G114,"")</f>
        <v/>
      </c>
      <c r="H114" t="str">
        <f>IF($A114&lt;&gt;"",'All Cases - Enter Cases'!H114,"")</f>
        <v/>
      </c>
      <c r="I114" t="str">
        <f>IF($A114&lt;&gt;"",'All Cases - Enter Cases'!I114,"")</f>
        <v/>
      </c>
      <c r="J114" t="str">
        <f>IF($A114&lt;&gt;"",'All Cases - Enter Cases'!J114,"")</f>
        <v/>
      </c>
      <c r="K114" t="str">
        <f>IF($A114&lt;&gt;"",'All Cases - Enter Cases'!K114,"")</f>
        <v/>
      </c>
      <c r="L114" t="str">
        <f>IF($A114&lt;&gt;"",'All Cases - Enter Cases'!L114,"")</f>
        <v/>
      </c>
      <c r="M114" t="str">
        <f>IF($A114&lt;&gt;"",'All Cases - Enter Cases'!M114,"")</f>
        <v/>
      </c>
    </row>
    <row r="115" spans="1:13" x14ac:dyDescent="0.35">
      <c r="A115" t="str">
        <f>IF('All Cases - Enter Cases'!$F115="Balochistan",'All Cases - Enter Cases'!A115,"")</f>
        <v/>
      </c>
      <c r="B115" t="str">
        <f>IF($A115&lt;&gt;"",'All Cases - Enter Cases'!B115,"")</f>
        <v/>
      </c>
      <c r="C115" t="str">
        <f>IF($A115&lt;&gt;"",'All Cases - Enter Cases'!C115,"")</f>
        <v/>
      </c>
      <c r="D115" t="str">
        <f>IF($A115&lt;&gt;"",'All Cases - Enter Cases'!D115,"")</f>
        <v/>
      </c>
      <c r="E115" t="str">
        <f>IF($A115&lt;&gt;"",'All Cases - Enter Cases'!E115,"")</f>
        <v/>
      </c>
      <c r="F115" t="str">
        <f>IF($A115&lt;&gt;"",'All Cases - Enter Cases'!F115,"")</f>
        <v/>
      </c>
      <c r="G115" t="str">
        <f>IF($A115&lt;&gt;"",'All Cases - Enter Cases'!G115,"")</f>
        <v/>
      </c>
      <c r="H115" t="str">
        <f>IF($A115&lt;&gt;"",'All Cases - Enter Cases'!H115,"")</f>
        <v/>
      </c>
      <c r="I115" t="str">
        <f>IF($A115&lt;&gt;"",'All Cases - Enter Cases'!I115,"")</f>
        <v/>
      </c>
      <c r="J115" t="str">
        <f>IF($A115&lt;&gt;"",'All Cases - Enter Cases'!J115,"")</f>
        <v/>
      </c>
      <c r="K115" t="str">
        <f>IF($A115&lt;&gt;"",'All Cases - Enter Cases'!K115,"")</f>
        <v/>
      </c>
      <c r="L115" t="str">
        <f>IF($A115&lt;&gt;"",'All Cases - Enter Cases'!L115,"")</f>
        <v/>
      </c>
      <c r="M115" t="str">
        <f>IF($A115&lt;&gt;"",'All Cases - Enter Cases'!M115,"")</f>
        <v/>
      </c>
    </row>
    <row r="116" spans="1:13" x14ac:dyDescent="0.35">
      <c r="A116" t="str">
        <f>IF('All Cases - Enter Cases'!$F116="Balochistan",'All Cases - Enter Cases'!A116,"")</f>
        <v/>
      </c>
      <c r="B116" t="str">
        <f>IF($A116&lt;&gt;"",'All Cases - Enter Cases'!B116,"")</f>
        <v/>
      </c>
      <c r="C116" t="str">
        <f>IF($A116&lt;&gt;"",'All Cases - Enter Cases'!C116,"")</f>
        <v/>
      </c>
      <c r="D116" t="str">
        <f>IF($A116&lt;&gt;"",'All Cases - Enter Cases'!D116,"")</f>
        <v/>
      </c>
      <c r="E116" t="str">
        <f>IF($A116&lt;&gt;"",'All Cases - Enter Cases'!E116,"")</f>
        <v/>
      </c>
      <c r="F116" t="str">
        <f>IF($A116&lt;&gt;"",'All Cases - Enter Cases'!F116,"")</f>
        <v/>
      </c>
      <c r="G116" t="str">
        <f>IF($A116&lt;&gt;"",'All Cases - Enter Cases'!G116,"")</f>
        <v/>
      </c>
      <c r="H116" t="str">
        <f>IF($A116&lt;&gt;"",'All Cases - Enter Cases'!H116,"")</f>
        <v/>
      </c>
      <c r="I116" t="str">
        <f>IF($A116&lt;&gt;"",'All Cases - Enter Cases'!I116,"")</f>
        <v/>
      </c>
      <c r="J116" t="str">
        <f>IF($A116&lt;&gt;"",'All Cases - Enter Cases'!J116,"")</f>
        <v/>
      </c>
      <c r="K116" t="str">
        <f>IF($A116&lt;&gt;"",'All Cases - Enter Cases'!K116,"")</f>
        <v/>
      </c>
      <c r="L116" t="str">
        <f>IF($A116&lt;&gt;"",'All Cases - Enter Cases'!L116,"")</f>
        <v/>
      </c>
      <c r="M116" t="str">
        <f>IF($A116&lt;&gt;"",'All Cases - Enter Cases'!M116,"")</f>
        <v/>
      </c>
    </row>
    <row r="117" spans="1:13" x14ac:dyDescent="0.35">
      <c r="A117" t="str">
        <f>IF('All Cases - Enter Cases'!$F117="Balochistan",'All Cases - Enter Cases'!A117,"")</f>
        <v/>
      </c>
      <c r="B117" t="str">
        <f>IF($A117&lt;&gt;"",'All Cases - Enter Cases'!B117,"")</f>
        <v/>
      </c>
      <c r="C117" t="str">
        <f>IF($A117&lt;&gt;"",'All Cases - Enter Cases'!C117,"")</f>
        <v/>
      </c>
      <c r="D117" t="str">
        <f>IF($A117&lt;&gt;"",'All Cases - Enter Cases'!D117,"")</f>
        <v/>
      </c>
      <c r="E117" t="str">
        <f>IF($A117&lt;&gt;"",'All Cases - Enter Cases'!E117,"")</f>
        <v/>
      </c>
      <c r="F117" t="str">
        <f>IF($A117&lt;&gt;"",'All Cases - Enter Cases'!F117,"")</f>
        <v/>
      </c>
      <c r="G117" t="str">
        <f>IF($A117&lt;&gt;"",'All Cases - Enter Cases'!G117,"")</f>
        <v/>
      </c>
      <c r="H117" t="str">
        <f>IF($A117&lt;&gt;"",'All Cases - Enter Cases'!H117,"")</f>
        <v/>
      </c>
      <c r="I117" t="str">
        <f>IF($A117&lt;&gt;"",'All Cases - Enter Cases'!I117,"")</f>
        <v/>
      </c>
      <c r="J117" t="str">
        <f>IF($A117&lt;&gt;"",'All Cases - Enter Cases'!J117,"")</f>
        <v/>
      </c>
      <c r="K117" t="str">
        <f>IF($A117&lt;&gt;"",'All Cases - Enter Cases'!K117,"")</f>
        <v/>
      </c>
      <c r="L117" t="str">
        <f>IF($A117&lt;&gt;"",'All Cases - Enter Cases'!L117,"")</f>
        <v/>
      </c>
      <c r="M117" t="str">
        <f>IF($A117&lt;&gt;"",'All Cases - Enter Cases'!M117,"")</f>
        <v/>
      </c>
    </row>
    <row r="118" spans="1:13" x14ac:dyDescent="0.35">
      <c r="A118" t="str">
        <f>IF('All Cases - Enter Cases'!$F118="Balochistan",'All Cases - Enter Cases'!A118,"")</f>
        <v/>
      </c>
      <c r="B118" t="str">
        <f>IF($A118&lt;&gt;"",'All Cases - Enter Cases'!B118,"")</f>
        <v/>
      </c>
      <c r="C118" t="str">
        <f>IF($A118&lt;&gt;"",'All Cases - Enter Cases'!C118,"")</f>
        <v/>
      </c>
      <c r="D118" t="str">
        <f>IF($A118&lt;&gt;"",'All Cases - Enter Cases'!D118,"")</f>
        <v/>
      </c>
      <c r="E118" t="str">
        <f>IF($A118&lt;&gt;"",'All Cases - Enter Cases'!E118,"")</f>
        <v/>
      </c>
      <c r="F118" t="str">
        <f>IF($A118&lt;&gt;"",'All Cases - Enter Cases'!F118,"")</f>
        <v/>
      </c>
      <c r="G118" t="str">
        <f>IF($A118&lt;&gt;"",'All Cases - Enter Cases'!G118,"")</f>
        <v/>
      </c>
      <c r="H118" t="str">
        <f>IF($A118&lt;&gt;"",'All Cases - Enter Cases'!H118,"")</f>
        <v/>
      </c>
      <c r="I118" t="str">
        <f>IF($A118&lt;&gt;"",'All Cases - Enter Cases'!I118,"")</f>
        <v/>
      </c>
      <c r="J118" t="str">
        <f>IF($A118&lt;&gt;"",'All Cases - Enter Cases'!J118,"")</f>
        <v/>
      </c>
      <c r="K118" t="str">
        <f>IF($A118&lt;&gt;"",'All Cases - Enter Cases'!K118,"")</f>
        <v/>
      </c>
      <c r="L118" t="str">
        <f>IF($A118&lt;&gt;"",'All Cases - Enter Cases'!L118,"")</f>
        <v/>
      </c>
      <c r="M118" t="str">
        <f>IF($A118&lt;&gt;"",'All Cases - Enter Cases'!M118,"")</f>
        <v/>
      </c>
    </row>
    <row r="119" spans="1:13" x14ac:dyDescent="0.35">
      <c r="A119" t="str">
        <f>IF('All Cases - Enter Cases'!$F119="Balochistan",'All Cases - Enter Cases'!A119,"")</f>
        <v/>
      </c>
      <c r="B119" t="str">
        <f>IF($A119&lt;&gt;"",'All Cases - Enter Cases'!B119,"")</f>
        <v/>
      </c>
      <c r="C119" t="str">
        <f>IF($A119&lt;&gt;"",'All Cases - Enter Cases'!C119,"")</f>
        <v/>
      </c>
      <c r="D119" t="str">
        <f>IF($A119&lt;&gt;"",'All Cases - Enter Cases'!D119,"")</f>
        <v/>
      </c>
      <c r="E119" t="str">
        <f>IF($A119&lt;&gt;"",'All Cases - Enter Cases'!E119,"")</f>
        <v/>
      </c>
      <c r="F119" t="str">
        <f>IF($A119&lt;&gt;"",'All Cases - Enter Cases'!F119,"")</f>
        <v/>
      </c>
      <c r="G119" t="str">
        <f>IF($A119&lt;&gt;"",'All Cases - Enter Cases'!G119,"")</f>
        <v/>
      </c>
      <c r="H119" t="str">
        <f>IF($A119&lt;&gt;"",'All Cases - Enter Cases'!H119,"")</f>
        <v/>
      </c>
      <c r="I119" t="str">
        <f>IF($A119&lt;&gt;"",'All Cases - Enter Cases'!I119,"")</f>
        <v/>
      </c>
      <c r="J119" t="str">
        <f>IF($A119&lt;&gt;"",'All Cases - Enter Cases'!J119,"")</f>
        <v/>
      </c>
      <c r="K119" t="str">
        <f>IF($A119&lt;&gt;"",'All Cases - Enter Cases'!K119,"")</f>
        <v/>
      </c>
      <c r="L119" t="str">
        <f>IF($A119&lt;&gt;"",'All Cases - Enter Cases'!L119,"")</f>
        <v/>
      </c>
      <c r="M119" t="str">
        <f>IF($A119&lt;&gt;"",'All Cases - Enter Cases'!M119,"")</f>
        <v/>
      </c>
    </row>
    <row r="120" spans="1:13" x14ac:dyDescent="0.35">
      <c r="A120" t="str">
        <f>IF('All Cases - Enter Cases'!$F120="Balochistan",'All Cases - Enter Cases'!A120,"")</f>
        <v/>
      </c>
      <c r="B120" t="str">
        <f>IF($A120&lt;&gt;"",'All Cases - Enter Cases'!B120,"")</f>
        <v/>
      </c>
      <c r="C120" t="str">
        <f>IF($A120&lt;&gt;"",'All Cases - Enter Cases'!C120,"")</f>
        <v/>
      </c>
      <c r="D120" t="str">
        <f>IF($A120&lt;&gt;"",'All Cases - Enter Cases'!D120,"")</f>
        <v/>
      </c>
      <c r="E120" t="str">
        <f>IF($A120&lt;&gt;"",'All Cases - Enter Cases'!E120,"")</f>
        <v/>
      </c>
      <c r="F120" t="str">
        <f>IF($A120&lt;&gt;"",'All Cases - Enter Cases'!F120,"")</f>
        <v/>
      </c>
      <c r="G120" t="str">
        <f>IF($A120&lt;&gt;"",'All Cases - Enter Cases'!G120,"")</f>
        <v/>
      </c>
      <c r="H120" t="str">
        <f>IF($A120&lt;&gt;"",'All Cases - Enter Cases'!H120,"")</f>
        <v/>
      </c>
      <c r="I120" t="str">
        <f>IF($A120&lt;&gt;"",'All Cases - Enter Cases'!I120,"")</f>
        <v/>
      </c>
      <c r="J120" t="str">
        <f>IF($A120&lt;&gt;"",'All Cases - Enter Cases'!J120,"")</f>
        <v/>
      </c>
      <c r="K120" t="str">
        <f>IF($A120&lt;&gt;"",'All Cases - Enter Cases'!K120,"")</f>
        <v/>
      </c>
      <c r="L120" t="str">
        <f>IF($A120&lt;&gt;"",'All Cases - Enter Cases'!L120,"")</f>
        <v/>
      </c>
      <c r="M120" t="str">
        <f>IF($A120&lt;&gt;"",'All Cases - Enter Cases'!M120,"")</f>
        <v/>
      </c>
    </row>
    <row r="121" spans="1:13" x14ac:dyDescent="0.35">
      <c r="A121" t="str">
        <f>IF('All Cases - Enter Cases'!$F121="Balochistan",'All Cases - Enter Cases'!A121,"")</f>
        <v/>
      </c>
      <c r="B121" t="str">
        <f>IF($A121&lt;&gt;"",'All Cases - Enter Cases'!B121,"")</f>
        <v/>
      </c>
      <c r="C121" t="str">
        <f>IF($A121&lt;&gt;"",'All Cases - Enter Cases'!C121,"")</f>
        <v/>
      </c>
      <c r="D121" t="str">
        <f>IF($A121&lt;&gt;"",'All Cases - Enter Cases'!D121,"")</f>
        <v/>
      </c>
      <c r="E121" t="str">
        <f>IF($A121&lt;&gt;"",'All Cases - Enter Cases'!E121,"")</f>
        <v/>
      </c>
      <c r="F121" t="str">
        <f>IF($A121&lt;&gt;"",'All Cases - Enter Cases'!F121,"")</f>
        <v/>
      </c>
      <c r="G121" t="str">
        <f>IF($A121&lt;&gt;"",'All Cases - Enter Cases'!G121,"")</f>
        <v/>
      </c>
      <c r="H121" t="str">
        <f>IF($A121&lt;&gt;"",'All Cases - Enter Cases'!H121,"")</f>
        <v/>
      </c>
      <c r="I121" t="str">
        <f>IF($A121&lt;&gt;"",'All Cases - Enter Cases'!I121,"")</f>
        <v/>
      </c>
      <c r="J121" t="str">
        <f>IF($A121&lt;&gt;"",'All Cases - Enter Cases'!J121,"")</f>
        <v/>
      </c>
      <c r="K121" t="str">
        <f>IF($A121&lt;&gt;"",'All Cases - Enter Cases'!K121,"")</f>
        <v/>
      </c>
      <c r="L121" t="str">
        <f>IF($A121&lt;&gt;"",'All Cases - Enter Cases'!L121,"")</f>
        <v/>
      </c>
      <c r="M121" t="str">
        <f>IF($A121&lt;&gt;"",'All Cases - Enter Cases'!M121,"")</f>
        <v/>
      </c>
    </row>
    <row r="122" spans="1:13" x14ac:dyDescent="0.35">
      <c r="A122" t="str">
        <f>IF('All Cases - Enter Cases'!$F122="Balochistan",'All Cases - Enter Cases'!A122,"")</f>
        <v/>
      </c>
      <c r="B122" t="str">
        <f>IF($A122&lt;&gt;"",'All Cases - Enter Cases'!B122,"")</f>
        <v/>
      </c>
      <c r="C122" t="str">
        <f>IF($A122&lt;&gt;"",'All Cases - Enter Cases'!C122,"")</f>
        <v/>
      </c>
      <c r="D122" t="str">
        <f>IF($A122&lt;&gt;"",'All Cases - Enter Cases'!D122,"")</f>
        <v/>
      </c>
      <c r="E122" t="str">
        <f>IF($A122&lt;&gt;"",'All Cases - Enter Cases'!E122,"")</f>
        <v/>
      </c>
      <c r="F122" t="str">
        <f>IF($A122&lt;&gt;"",'All Cases - Enter Cases'!F122,"")</f>
        <v/>
      </c>
      <c r="G122" t="str">
        <f>IF($A122&lt;&gt;"",'All Cases - Enter Cases'!G122,"")</f>
        <v/>
      </c>
      <c r="H122" t="str">
        <f>IF($A122&lt;&gt;"",'All Cases - Enter Cases'!H122,"")</f>
        <v/>
      </c>
      <c r="I122" t="str">
        <f>IF($A122&lt;&gt;"",'All Cases - Enter Cases'!I122,"")</f>
        <v/>
      </c>
      <c r="J122" t="str">
        <f>IF($A122&lt;&gt;"",'All Cases - Enter Cases'!J122,"")</f>
        <v/>
      </c>
      <c r="K122" t="str">
        <f>IF($A122&lt;&gt;"",'All Cases - Enter Cases'!K122,"")</f>
        <v/>
      </c>
      <c r="L122" t="str">
        <f>IF($A122&lt;&gt;"",'All Cases - Enter Cases'!L122,"")</f>
        <v/>
      </c>
      <c r="M122" t="str">
        <f>IF($A122&lt;&gt;"",'All Cases - Enter Cases'!M122,"")</f>
        <v/>
      </c>
    </row>
    <row r="123" spans="1:13" x14ac:dyDescent="0.35">
      <c r="A123" t="str">
        <f>IF('All Cases - Enter Cases'!$F123="Balochistan",'All Cases - Enter Cases'!A123,"")</f>
        <v/>
      </c>
      <c r="B123" t="str">
        <f>IF($A123&lt;&gt;"",'All Cases - Enter Cases'!B123,"")</f>
        <v/>
      </c>
      <c r="C123" t="str">
        <f>IF($A123&lt;&gt;"",'All Cases - Enter Cases'!C123,"")</f>
        <v/>
      </c>
      <c r="D123" t="str">
        <f>IF($A123&lt;&gt;"",'All Cases - Enter Cases'!D123,"")</f>
        <v/>
      </c>
      <c r="E123" t="str">
        <f>IF($A123&lt;&gt;"",'All Cases - Enter Cases'!E123,"")</f>
        <v/>
      </c>
      <c r="F123" t="str">
        <f>IF($A123&lt;&gt;"",'All Cases - Enter Cases'!F123,"")</f>
        <v/>
      </c>
      <c r="G123" t="str">
        <f>IF($A123&lt;&gt;"",'All Cases - Enter Cases'!G123,"")</f>
        <v/>
      </c>
      <c r="H123" t="str">
        <f>IF($A123&lt;&gt;"",'All Cases - Enter Cases'!H123,"")</f>
        <v/>
      </c>
      <c r="I123" t="str">
        <f>IF($A123&lt;&gt;"",'All Cases - Enter Cases'!I123,"")</f>
        <v/>
      </c>
      <c r="J123" t="str">
        <f>IF($A123&lt;&gt;"",'All Cases - Enter Cases'!J123,"")</f>
        <v/>
      </c>
      <c r="K123" t="str">
        <f>IF($A123&lt;&gt;"",'All Cases - Enter Cases'!K123,"")</f>
        <v/>
      </c>
      <c r="L123" t="str">
        <f>IF($A123&lt;&gt;"",'All Cases - Enter Cases'!L123,"")</f>
        <v/>
      </c>
      <c r="M123" t="str">
        <f>IF($A123&lt;&gt;"",'All Cases - Enter Cases'!M123,"")</f>
        <v/>
      </c>
    </row>
    <row r="124" spans="1:13" x14ac:dyDescent="0.35">
      <c r="A124" t="str">
        <f>IF('All Cases - Enter Cases'!$F124="Balochistan",'All Cases - Enter Cases'!A124,"")</f>
        <v/>
      </c>
      <c r="B124" t="str">
        <f>IF($A124&lt;&gt;"",'All Cases - Enter Cases'!B124,"")</f>
        <v/>
      </c>
      <c r="C124" t="str">
        <f>IF($A124&lt;&gt;"",'All Cases - Enter Cases'!C124,"")</f>
        <v/>
      </c>
      <c r="D124" t="str">
        <f>IF($A124&lt;&gt;"",'All Cases - Enter Cases'!D124,"")</f>
        <v/>
      </c>
      <c r="E124" t="str">
        <f>IF($A124&lt;&gt;"",'All Cases - Enter Cases'!E124,"")</f>
        <v/>
      </c>
      <c r="F124" t="str">
        <f>IF($A124&lt;&gt;"",'All Cases - Enter Cases'!F124,"")</f>
        <v/>
      </c>
      <c r="G124" t="str">
        <f>IF($A124&lt;&gt;"",'All Cases - Enter Cases'!G124,"")</f>
        <v/>
      </c>
      <c r="H124" t="str">
        <f>IF($A124&lt;&gt;"",'All Cases - Enter Cases'!H124,"")</f>
        <v/>
      </c>
      <c r="I124" t="str">
        <f>IF($A124&lt;&gt;"",'All Cases - Enter Cases'!I124,"")</f>
        <v/>
      </c>
      <c r="J124" t="str">
        <f>IF($A124&lt;&gt;"",'All Cases - Enter Cases'!J124,"")</f>
        <v/>
      </c>
      <c r="K124" t="str">
        <f>IF($A124&lt;&gt;"",'All Cases - Enter Cases'!K124,"")</f>
        <v/>
      </c>
      <c r="L124" t="str">
        <f>IF($A124&lt;&gt;"",'All Cases - Enter Cases'!L124,"")</f>
        <v/>
      </c>
      <c r="M124" t="str">
        <f>IF($A124&lt;&gt;"",'All Cases - Enter Cases'!M124,"")</f>
        <v/>
      </c>
    </row>
    <row r="125" spans="1:13" x14ac:dyDescent="0.35">
      <c r="A125" t="str">
        <f>IF('All Cases - Enter Cases'!$F125="Balochistan",'All Cases - Enter Cases'!A125,"")</f>
        <v/>
      </c>
      <c r="B125" t="str">
        <f>IF($A125&lt;&gt;"",'All Cases - Enter Cases'!B125,"")</f>
        <v/>
      </c>
      <c r="C125" t="str">
        <f>IF($A125&lt;&gt;"",'All Cases - Enter Cases'!C125,"")</f>
        <v/>
      </c>
      <c r="D125" t="str">
        <f>IF($A125&lt;&gt;"",'All Cases - Enter Cases'!D125,"")</f>
        <v/>
      </c>
      <c r="E125" t="str">
        <f>IF($A125&lt;&gt;"",'All Cases - Enter Cases'!E125,"")</f>
        <v/>
      </c>
      <c r="F125" t="str">
        <f>IF($A125&lt;&gt;"",'All Cases - Enter Cases'!F125,"")</f>
        <v/>
      </c>
      <c r="G125" t="str">
        <f>IF($A125&lt;&gt;"",'All Cases - Enter Cases'!G125,"")</f>
        <v/>
      </c>
      <c r="H125" t="str">
        <f>IF($A125&lt;&gt;"",'All Cases - Enter Cases'!H125,"")</f>
        <v/>
      </c>
      <c r="I125" t="str">
        <f>IF($A125&lt;&gt;"",'All Cases - Enter Cases'!I125,"")</f>
        <v/>
      </c>
      <c r="J125" t="str">
        <f>IF($A125&lt;&gt;"",'All Cases - Enter Cases'!J125,"")</f>
        <v/>
      </c>
      <c r="K125" t="str">
        <f>IF($A125&lt;&gt;"",'All Cases - Enter Cases'!K125,"")</f>
        <v/>
      </c>
      <c r="L125" t="str">
        <f>IF($A125&lt;&gt;"",'All Cases - Enter Cases'!L125,"")</f>
        <v/>
      </c>
      <c r="M125" t="str">
        <f>IF($A125&lt;&gt;"",'All Cases - Enter Cases'!M125,"")</f>
        <v/>
      </c>
    </row>
    <row r="126" spans="1:13" x14ac:dyDescent="0.35">
      <c r="A126" t="str">
        <f>IF('All Cases - Enter Cases'!$F126="Balochistan",'All Cases - Enter Cases'!A126,"")</f>
        <v/>
      </c>
      <c r="B126" t="str">
        <f>IF($A126&lt;&gt;"",'All Cases - Enter Cases'!B126,"")</f>
        <v/>
      </c>
      <c r="C126" t="str">
        <f>IF($A126&lt;&gt;"",'All Cases - Enter Cases'!C126,"")</f>
        <v/>
      </c>
      <c r="D126" t="str">
        <f>IF($A126&lt;&gt;"",'All Cases - Enter Cases'!D126,"")</f>
        <v/>
      </c>
      <c r="E126" t="str">
        <f>IF($A126&lt;&gt;"",'All Cases - Enter Cases'!E126,"")</f>
        <v/>
      </c>
      <c r="F126" t="str">
        <f>IF($A126&lt;&gt;"",'All Cases - Enter Cases'!F126,"")</f>
        <v/>
      </c>
      <c r="G126" t="str">
        <f>IF($A126&lt;&gt;"",'All Cases - Enter Cases'!G126,"")</f>
        <v/>
      </c>
      <c r="H126" t="str">
        <f>IF($A126&lt;&gt;"",'All Cases - Enter Cases'!H126,"")</f>
        <v/>
      </c>
      <c r="I126" t="str">
        <f>IF($A126&lt;&gt;"",'All Cases - Enter Cases'!I126,"")</f>
        <v/>
      </c>
      <c r="J126" t="str">
        <f>IF($A126&lt;&gt;"",'All Cases - Enter Cases'!J126,"")</f>
        <v/>
      </c>
      <c r="K126" t="str">
        <f>IF($A126&lt;&gt;"",'All Cases - Enter Cases'!K126,"")</f>
        <v/>
      </c>
      <c r="L126" t="str">
        <f>IF($A126&lt;&gt;"",'All Cases - Enter Cases'!L126,"")</f>
        <v/>
      </c>
      <c r="M126" t="str">
        <f>IF($A126&lt;&gt;"",'All Cases - Enter Cases'!M126,"")</f>
        <v/>
      </c>
    </row>
    <row r="127" spans="1:13" x14ac:dyDescent="0.35">
      <c r="A127" t="str">
        <f>IF('All Cases - Enter Cases'!$F127="Balochistan",'All Cases - Enter Cases'!A127,"")</f>
        <v/>
      </c>
      <c r="B127" t="str">
        <f>IF($A127&lt;&gt;"",'All Cases - Enter Cases'!B127,"")</f>
        <v/>
      </c>
      <c r="C127" t="str">
        <f>IF($A127&lt;&gt;"",'All Cases - Enter Cases'!C127,"")</f>
        <v/>
      </c>
      <c r="D127" t="str">
        <f>IF($A127&lt;&gt;"",'All Cases - Enter Cases'!D127,"")</f>
        <v/>
      </c>
      <c r="E127" t="str">
        <f>IF($A127&lt;&gt;"",'All Cases - Enter Cases'!E127,"")</f>
        <v/>
      </c>
      <c r="F127" t="str">
        <f>IF($A127&lt;&gt;"",'All Cases - Enter Cases'!F127,"")</f>
        <v/>
      </c>
      <c r="G127" t="str">
        <f>IF($A127&lt;&gt;"",'All Cases - Enter Cases'!G127,"")</f>
        <v/>
      </c>
      <c r="H127" t="str">
        <f>IF($A127&lt;&gt;"",'All Cases - Enter Cases'!H127,"")</f>
        <v/>
      </c>
      <c r="I127" t="str">
        <f>IF($A127&lt;&gt;"",'All Cases - Enter Cases'!I127,"")</f>
        <v/>
      </c>
      <c r="J127" t="str">
        <f>IF($A127&lt;&gt;"",'All Cases - Enter Cases'!J127,"")</f>
        <v/>
      </c>
      <c r="K127" t="str">
        <f>IF($A127&lt;&gt;"",'All Cases - Enter Cases'!K127,"")</f>
        <v/>
      </c>
      <c r="L127" t="str">
        <f>IF($A127&lt;&gt;"",'All Cases - Enter Cases'!L127,"")</f>
        <v/>
      </c>
      <c r="M127" t="str">
        <f>IF($A127&lt;&gt;"",'All Cases - Enter Cases'!M127,"")</f>
        <v/>
      </c>
    </row>
    <row r="128" spans="1:13" x14ac:dyDescent="0.35">
      <c r="A128" t="str">
        <f>IF('All Cases - Enter Cases'!$F128="Balochistan",'All Cases - Enter Cases'!A128,"")</f>
        <v/>
      </c>
      <c r="B128" t="str">
        <f>IF($A128&lt;&gt;"",'All Cases - Enter Cases'!B128,"")</f>
        <v/>
      </c>
      <c r="C128" t="str">
        <f>IF($A128&lt;&gt;"",'All Cases - Enter Cases'!C128,"")</f>
        <v/>
      </c>
      <c r="D128" t="str">
        <f>IF($A128&lt;&gt;"",'All Cases - Enter Cases'!D128,"")</f>
        <v/>
      </c>
      <c r="E128" t="str">
        <f>IF($A128&lt;&gt;"",'All Cases - Enter Cases'!E128,"")</f>
        <v/>
      </c>
      <c r="F128" t="str">
        <f>IF($A128&lt;&gt;"",'All Cases - Enter Cases'!F128,"")</f>
        <v/>
      </c>
      <c r="G128" t="str">
        <f>IF($A128&lt;&gt;"",'All Cases - Enter Cases'!G128,"")</f>
        <v/>
      </c>
      <c r="H128" t="str">
        <f>IF($A128&lt;&gt;"",'All Cases - Enter Cases'!H128,"")</f>
        <v/>
      </c>
      <c r="I128" t="str">
        <f>IF($A128&lt;&gt;"",'All Cases - Enter Cases'!I128,"")</f>
        <v/>
      </c>
      <c r="J128" t="str">
        <f>IF($A128&lt;&gt;"",'All Cases - Enter Cases'!J128,"")</f>
        <v/>
      </c>
      <c r="K128" t="str">
        <f>IF($A128&lt;&gt;"",'All Cases - Enter Cases'!K128,"")</f>
        <v/>
      </c>
      <c r="L128" t="str">
        <f>IF($A128&lt;&gt;"",'All Cases - Enter Cases'!L128,"")</f>
        <v/>
      </c>
      <c r="M128" t="str">
        <f>IF($A128&lt;&gt;"",'All Cases - Enter Cases'!M128,"")</f>
        <v/>
      </c>
    </row>
    <row r="129" spans="1:13" x14ac:dyDescent="0.35">
      <c r="A129" t="str">
        <f>IF('All Cases - Enter Cases'!$F129="Balochistan",'All Cases - Enter Cases'!A129,"")</f>
        <v/>
      </c>
      <c r="B129" t="str">
        <f>IF($A129&lt;&gt;"",'All Cases - Enter Cases'!B129,"")</f>
        <v/>
      </c>
      <c r="C129" t="str">
        <f>IF($A129&lt;&gt;"",'All Cases - Enter Cases'!C129,"")</f>
        <v/>
      </c>
      <c r="D129" t="str">
        <f>IF($A129&lt;&gt;"",'All Cases - Enter Cases'!D129,"")</f>
        <v/>
      </c>
      <c r="E129" t="str">
        <f>IF($A129&lt;&gt;"",'All Cases - Enter Cases'!E129,"")</f>
        <v/>
      </c>
      <c r="F129" t="str">
        <f>IF($A129&lt;&gt;"",'All Cases - Enter Cases'!F129,"")</f>
        <v/>
      </c>
      <c r="G129" t="str">
        <f>IF($A129&lt;&gt;"",'All Cases - Enter Cases'!G129,"")</f>
        <v/>
      </c>
      <c r="H129" t="str">
        <f>IF($A129&lt;&gt;"",'All Cases - Enter Cases'!H129,"")</f>
        <v/>
      </c>
      <c r="I129" t="str">
        <f>IF($A129&lt;&gt;"",'All Cases - Enter Cases'!I129,"")</f>
        <v/>
      </c>
      <c r="J129" t="str">
        <f>IF($A129&lt;&gt;"",'All Cases - Enter Cases'!J129,"")</f>
        <v/>
      </c>
      <c r="K129" t="str">
        <f>IF($A129&lt;&gt;"",'All Cases - Enter Cases'!K129,"")</f>
        <v/>
      </c>
      <c r="L129" t="str">
        <f>IF($A129&lt;&gt;"",'All Cases - Enter Cases'!L129,"")</f>
        <v/>
      </c>
      <c r="M129" t="str">
        <f>IF($A129&lt;&gt;"",'All Cases - Enter Cases'!M129,"")</f>
        <v/>
      </c>
    </row>
    <row r="130" spans="1:13" x14ac:dyDescent="0.35">
      <c r="A130" t="str">
        <f>IF('All Cases - Enter Cases'!$F130="Balochistan",'All Cases - Enter Cases'!A130,"")</f>
        <v/>
      </c>
      <c r="B130" t="str">
        <f>IF($A130&lt;&gt;"",'All Cases - Enter Cases'!B130,"")</f>
        <v/>
      </c>
      <c r="C130" t="str">
        <f>IF($A130&lt;&gt;"",'All Cases - Enter Cases'!C130,"")</f>
        <v/>
      </c>
      <c r="D130" t="str">
        <f>IF($A130&lt;&gt;"",'All Cases - Enter Cases'!D130,"")</f>
        <v/>
      </c>
      <c r="E130" t="str">
        <f>IF($A130&lt;&gt;"",'All Cases - Enter Cases'!E130,"")</f>
        <v/>
      </c>
      <c r="F130" t="str">
        <f>IF($A130&lt;&gt;"",'All Cases - Enter Cases'!F130,"")</f>
        <v/>
      </c>
      <c r="G130" t="str">
        <f>IF($A130&lt;&gt;"",'All Cases - Enter Cases'!G130,"")</f>
        <v/>
      </c>
      <c r="H130" t="str">
        <f>IF($A130&lt;&gt;"",'All Cases - Enter Cases'!H130,"")</f>
        <v/>
      </c>
      <c r="I130" t="str">
        <f>IF($A130&lt;&gt;"",'All Cases - Enter Cases'!I130,"")</f>
        <v/>
      </c>
      <c r="J130" t="str">
        <f>IF($A130&lt;&gt;"",'All Cases - Enter Cases'!J130,"")</f>
        <v/>
      </c>
      <c r="K130" t="str">
        <f>IF($A130&lt;&gt;"",'All Cases - Enter Cases'!K130,"")</f>
        <v/>
      </c>
      <c r="L130" t="str">
        <f>IF($A130&lt;&gt;"",'All Cases - Enter Cases'!L130,"")</f>
        <v/>
      </c>
      <c r="M130" t="str">
        <f>IF($A130&lt;&gt;"",'All Cases - Enter Cases'!M130,"")</f>
        <v/>
      </c>
    </row>
    <row r="131" spans="1:13" x14ac:dyDescent="0.35">
      <c r="A131" t="str">
        <f>IF('All Cases - Enter Cases'!$F131="Balochistan",'All Cases - Enter Cases'!A131,"")</f>
        <v/>
      </c>
      <c r="B131" t="str">
        <f>IF($A131&lt;&gt;"",'All Cases - Enter Cases'!B131,"")</f>
        <v/>
      </c>
      <c r="C131" t="str">
        <f>IF($A131&lt;&gt;"",'All Cases - Enter Cases'!C131,"")</f>
        <v/>
      </c>
      <c r="D131" t="str">
        <f>IF($A131&lt;&gt;"",'All Cases - Enter Cases'!D131,"")</f>
        <v/>
      </c>
      <c r="E131" t="str">
        <f>IF($A131&lt;&gt;"",'All Cases - Enter Cases'!E131,"")</f>
        <v/>
      </c>
      <c r="F131" t="str">
        <f>IF($A131&lt;&gt;"",'All Cases - Enter Cases'!F131,"")</f>
        <v/>
      </c>
      <c r="G131" t="str">
        <f>IF($A131&lt;&gt;"",'All Cases - Enter Cases'!G131,"")</f>
        <v/>
      </c>
      <c r="H131" t="str">
        <f>IF($A131&lt;&gt;"",'All Cases - Enter Cases'!H131,"")</f>
        <v/>
      </c>
      <c r="I131" t="str">
        <f>IF($A131&lt;&gt;"",'All Cases - Enter Cases'!I131,"")</f>
        <v/>
      </c>
      <c r="J131" t="str">
        <f>IF($A131&lt;&gt;"",'All Cases - Enter Cases'!J131,"")</f>
        <v/>
      </c>
      <c r="K131" t="str">
        <f>IF($A131&lt;&gt;"",'All Cases - Enter Cases'!K131,"")</f>
        <v/>
      </c>
      <c r="L131" t="str">
        <f>IF($A131&lt;&gt;"",'All Cases - Enter Cases'!L131,"")</f>
        <v/>
      </c>
      <c r="M131" t="str">
        <f>IF($A131&lt;&gt;"",'All Cases - Enter Cases'!M131,"")</f>
        <v/>
      </c>
    </row>
    <row r="132" spans="1:13" x14ac:dyDescent="0.35">
      <c r="A132" t="str">
        <f>IF('All Cases - Enter Cases'!$F132="Balochistan",'All Cases - Enter Cases'!A132,"")</f>
        <v/>
      </c>
      <c r="B132" t="str">
        <f>IF($A132&lt;&gt;"",'All Cases - Enter Cases'!B132,"")</f>
        <v/>
      </c>
      <c r="C132" t="str">
        <f>IF($A132&lt;&gt;"",'All Cases - Enter Cases'!C132,"")</f>
        <v/>
      </c>
      <c r="D132" t="str">
        <f>IF($A132&lt;&gt;"",'All Cases - Enter Cases'!D132,"")</f>
        <v/>
      </c>
      <c r="E132" t="str">
        <f>IF($A132&lt;&gt;"",'All Cases - Enter Cases'!E132,"")</f>
        <v/>
      </c>
      <c r="F132" t="str">
        <f>IF($A132&lt;&gt;"",'All Cases - Enter Cases'!F132,"")</f>
        <v/>
      </c>
      <c r="G132" t="str">
        <f>IF($A132&lt;&gt;"",'All Cases - Enter Cases'!G132,"")</f>
        <v/>
      </c>
      <c r="H132" t="str">
        <f>IF($A132&lt;&gt;"",'All Cases - Enter Cases'!H132,"")</f>
        <v/>
      </c>
      <c r="I132" t="str">
        <f>IF($A132&lt;&gt;"",'All Cases - Enter Cases'!I132,"")</f>
        <v/>
      </c>
      <c r="J132" t="str">
        <f>IF($A132&lt;&gt;"",'All Cases - Enter Cases'!J132,"")</f>
        <v/>
      </c>
      <c r="K132" t="str">
        <f>IF($A132&lt;&gt;"",'All Cases - Enter Cases'!K132,"")</f>
        <v/>
      </c>
      <c r="L132" t="str">
        <f>IF($A132&lt;&gt;"",'All Cases - Enter Cases'!L132,"")</f>
        <v/>
      </c>
      <c r="M132" t="str">
        <f>IF($A132&lt;&gt;"",'All Cases - Enter Cases'!M132,"")</f>
        <v/>
      </c>
    </row>
    <row r="133" spans="1:13" x14ac:dyDescent="0.35">
      <c r="A133" t="str">
        <f>IF('All Cases - Enter Cases'!$F133="Balochistan",'All Cases - Enter Cases'!A133,"")</f>
        <v/>
      </c>
      <c r="B133" t="str">
        <f>IF($A133&lt;&gt;"",'All Cases - Enter Cases'!B133,"")</f>
        <v/>
      </c>
      <c r="C133" t="str">
        <f>IF($A133&lt;&gt;"",'All Cases - Enter Cases'!C133,"")</f>
        <v/>
      </c>
      <c r="D133" t="str">
        <f>IF($A133&lt;&gt;"",'All Cases - Enter Cases'!D133,"")</f>
        <v/>
      </c>
      <c r="E133" t="str">
        <f>IF($A133&lt;&gt;"",'All Cases - Enter Cases'!E133,"")</f>
        <v/>
      </c>
      <c r="F133" t="str">
        <f>IF($A133&lt;&gt;"",'All Cases - Enter Cases'!F133,"")</f>
        <v/>
      </c>
      <c r="G133" t="str">
        <f>IF($A133&lt;&gt;"",'All Cases - Enter Cases'!G133,"")</f>
        <v/>
      </c>
      <c r="H133" t="str">
        <f>IF($A133&lt;&gt;"",'All Cases - Enter Cases'!H133,"")</f>
        <v/>
      </c>
      <c r="I133" t="str">
        <f>IF($A133&lt;&gt;"",'All Cases - Enter Cases'!I133,"")</f>
        <v/>
      </c>
      <c r="J133" t="str">
        <f>IF($A133&lt;&gt;"",'All Cases - Enter Cases'!J133,"")</f>
        <v/>
      </c>
      <c r="K133" t="str">
        <f>IF($A133&lt;&gt;"",'All Cases - Enter Cases'!K133,"")</f>
        <v/>
      </c>
      <c r="L133" t="str">
        <f>IF($A133&lt;&gt;"",'All Cases - Enter Cases'!L133,"")</f>
        <v/>
      </c>
      <c r="M133" t="str">
        <f>IF($A133&lt;&gt;"",'All Cases - Enter Cases'!M133,"")</f>
        <v/>
      </c>
    </row>
    <row r="134" spans="1:13" x14ac:dyDescent="0.35">
      <c r="A134" t="str">
        <f>IF('All Cases - Enter Cases'!$F134="Balochistan",'All Cases - Enter Cases'!A134,"")</f>
        <v/>
      </c>
      <c r="B134" t="str">
        <f>IF($A134&lt;&gt;"",'All Cases - Enter Cases'!B134,"")</f>
        <v/>
      </c>
      <c r="C134" t="str">
        <f>IF($A134&lt;&gt;"",'All Cases - Enter Cases'!C134,"")</f>
        <v/>
      </c>
      <c r="D134" t="str">
        <f>IF($A134&lt;&gt;"",'All Cases - Enter Cases'!D134,"")</f>
        <v/>
      </c>
      <c r="E134" t="str">
        <f>IF($A134&lt;&gt;"",'All Cases - Enter Cases'!E134,"")</f>
        <v/>
      </c>
      <c r="F134" t="str">
        <f>IF($A134&lt;&gt;"",'All Cases - Enter Cases'!F134,"")</f>
        <v/>
      </c>
      <c r="G134" t="str">
        <f>IF($A134&lt;&gt;"",'All Cases - Enter Cases'!G134,"")</f>
        <v/>
      </c>
      <c r="H134" t="str">
        <f>IF($A134&lt;&gt;"",'All Cases - Enter Cases'!H134,"")</f>
        <v/>
      </c>
      <c r="I134" t="str">
        <f>IF($A134&lt;&gt;"",'All Cases - Enter Cases'!I134,"")</f>
        <v/>
      </c>
      <c r="J134" t="str">
        <f>IF($A134&lt;&gt;"",'All Cases - Enter Cases'!J134,"")</f>
        <v/>
      </c>
      <c r="K134" t="str">
        <f>IF($A134&lt;&gt;"",'All Cases - Enter Cases'!K134,"")</f>
        <v/>
      </c>
      <c r="L134" t="str">
        <f>IF($A134&lt;&gt;"",'All Cases - Enter Cases'!L134,"")</f>
        <v/>
      </c>
      <c r="M134" t="str">
        <f>IF($A134&lt;&gt;"",'All Cases - Enter Cases'!M134,"")</f>
        <v/>
      </c>
    </row>
    <row r="135" spans="1:13" x14ac:dyDescent="0.35">
      <c r="A135" t="str">
        <f>IF('All Cases - Enter Cases'!$F135="Balochistan",'All Cases - Enter Cases'!A135,"")</f>
        <v/>
      </c>
      <c r="B135" t="str">
        <f>IF($A135&lt;&gt;"",'All Cases - Enter Cases'!B135,"")</f>
        <v/>
      </c>
      <c r="C135" t="str">
        <f>IF($A135&lt;&gt;"",'All Cases - Enter Cases'!C135,"")</f>
        <v/>
      </c>
      <c r="D135" t="str">
        <f>IF($A135&lt;&gt;"",'All Cases - Enter Cases'!D135,"")</f>
        <v/>
      </c>
      <c r="E135" t="str">
        <f>IF($A135&lt;&gt;"",'All Cases - Enter Cases'!E135,"")</f>
        <v/>
      </c>
      <c r="F135" t="str">
        <f>IF($A135&lt;&gt;"",'All Cases - Enter Cases'!F135,"")</f>
        <v/>
      </c>
      <c r="G135" t="str">
        <f>IF($A135&lt;&gt;"",'All Cases - Enter Cases'!G135,"")</f>
        <v/>
      </c>
      <c r="H135" t="str">
        <f>IF($A135&lt;&gt;"",'All Cases - Enter Cases'!H135,"")</f>
        <v/>
      </c>
      <c r="I135" t="str">
        <f>IF($A135&lt;&gt;"",'All Cases - Enter Cases'!I135,"")</f>
        <v/>
      </c>
      <c r="J135" t="str">
        <f>IF($A135&lt;&gt;"",'All Cases - Enter Cases'!J135,"")</f>
        <v/>
      </c>
      <c r="K135" t="str">
        <f>IF($A135&lt;&gt;"",'All Cases - Enter Cases'!K135,"")</f>
        <v/>
      </c>
      <c r="L135" t="str">
        <f>IF($A135&lt;&gt;"",'All Cases - Enter Cases'!L135,"")</f>
        <v/>
      </c>
      <c r="M135" t="str">
        <f>IF($A135&lt;&gt;"",'All Cases - Enter Cases'!M135,"")</f>
        <v/>
      </c>
    </row>
    <row r="136" spans="1:13" x14ac:dyDescent="0.35">
      <c r="A136" t="str">
        <f>IF('All Cases - Enter Cases'!$F136="Balochistan",'All Cases - Enter Cases'!A136,"")</f>
        <v/>
      </c>
      <c r="B136" t="str">
        <f>IF($A136&lt;&gt;"",'All Cases - Enter Cases'!B136,"")</f>
        <v/>
      </c>
      <c r="C136" t="str">
        <f>IF($A136&lt;&gt;"",'All Cases - Enter Cases'!C136,"")</f>
        <v/>
      </c>
      <c r="D136" t="str">
        <f>IF($A136&lt;&gt;"",'All Cases - Enter Cases'!D136,"")</f>
        <v/>
      </c>
      <c r="E136" t="str">
        <f>IF($A136&lt;&gt;"",'All Cases - Enter Cases'!E136,"")</f>
        <v/>
      </c>
      <c r="F136" t="str">
        <f>IF($A136&lt;&gt;"",'All Cases - Enter Cases'!F136,"")</f>
        <v/>
      </c>
      <c r="G136" t="str">
        <f>IF($A136&lt;&gt;"",'All Cases - Enter Cases'!G136,"")</f>
        <v/>
      </c>
      <c r="H136" t="str">
        <f>IF($A136&lt;&gt;"",'All Cases - Enter Cases'!H136,"")</f>
        <v/>
      </c>
      <c r="I136" t="str">
        <f>IF($A136&lt;&gt;"",'All Cases - Enter Cases'!I136,"")</f>
        <v/>
      </c>
      <c r="J136" t="str">
        <f>IF($A136&lt;&gt;"",'All Cases - Enter Cases'!J136,"")</f>
        <v/>
      </c>
      <c r="K136" t="str">
        <f>IF($A136&lt;&gt;"",'All Cases - Enter Cases'!K136,"")</f>
        <v/>
      </c>
      <c r="L136" t="str">
        <f>IF($A136&lt;&gt;"",'All Cases - Enter Cases'!L136,"")</f>
        <v/>
      </c>
      <c r="M136" t="str">
        <f>IF($A136&lt;&gt;"",'All Cases - Enter Cases'!M136,"")</f>
        <v/>
      </c>
    </row>
    <row r="137" spans="1:13" x14ac:dyDescent="0.35">
      <c r="A137" t="str">
        <f>IF('All Cases - Enter Cases'!$F137="Balochistan",'All Cases - Enter Cases'!A137,"")</f>
        <v/>
      </c>
      <c r="B137" t="str">
        <f>IF($A137&lt;&gt;"",'All Cases - Enter Cases'!B137,"")</f>
        <v/>
      </c>
      <c r="C137" t="str">
        <f>IF($A137&lt;&gt;"",'All Cases - Enter Cases'!C137,"")</f>
        <v/>
      </c>
      <c r="D137" t="str">
        <f>IF($A137&lt;&gt;"",'All Cases - Enter Cases'!D137,"")</f>
        <v/>
      </c>
      <c r="E137" t="str">
        <f>IF($A137&lt;&gt;"",'All Cases - Enter Cases'!E137,"")</f>
        <v/>
      </c>
      <c r="F137" t="str">
        <f>IF($A137&lt;&gt;"",'All Cases - Enter Cases'!F137,"")</f>
        <v/>
      </c>
      <c r="G137" t="str">
        <f>IF($A137&lt;&gt;"",'All Cases - Enter Cases'!G137,"")</f>
        <v/>
      </c>
      <c r="H137" t="str">
        <f>IF($A137&lt;&gt;"",'All Cases - Enter Cases'!H137,"")</f>
        <v/>
      </c>
      <c r="I137" t="str">
        <f>IF($A137&lt;&gt;"",'All Cases - Enter Cases'!I137,"")</f>
        <v/>
      </c>
      <c r="J137" t="str">
        <f>IF($A137&lt;&gt;"",'All Cases - Enter Cases'!J137,"")</f>
        <v/>
      </c>
      <c r="K137" t="str">
        <f>IF($A137&lt;&gt;"",'All Cases - Enter Cases'!K137,"")</f>
        <v/>
      </c>
      <c r="L137" t="str">
        <f>IF($A137&lt;&gt;"",'All Cases - Enter Cases'!L137,"")</f>
        <v/>
      </c>
      <c r="M137" t="str">
        <f>IF($A137&lt;&gt;"",'All Cases - Enter Cases'!M137,"")</f>
        <v/>
      </c>
    </row>
    <row r="138" spans="1:13" x14ac:dyDescent="0.35">
      <c r="A138" t="str">
        <f>IF('All Cases - Enter Cases'!$F138="Balochistan",'All Cases - Enter Cases'!A138,"")</f>
        <v/>
      </c>
      <c r="B138" t="str">
        <f>IF($A138&lt;&gt;"",'All Cases - Enter Cases'!B138,"")</f>
        <v/>
      </c>
      <c r="C138" t="str">
        <f>IF($A138&lt;&gt;"",'All Cases - Enter Cases'!C138,"")</f>
        <v/>
      </c>
      <c r="D138" t="str">
        <f>IF($A138&lt;&gt;"",'All Cases - Enter Cases'!D138,"")</f>
        <v/>
      </c>
      <c r="E138" t="str">
        <f>IF($A138&lt;&gt;"",'All Cases - Enter Cases'!E138,"")</f>
        <v/>
      </c>
      <c r="F138" t="str">
        <f>IF($A138&lt;&gt;"",'All Cases - Enter Cases'!F138,"")</f>
        <v/>
      </c>
      <c r="G138" t="str">
        <f>IF($A138&lt;&gt;"",'All Cases - Enter Cases'!G138,"")</f>
        <v/>
      </c>
      <c r="H138" t="str">
        <f>IF($A138&lt;&gt;"",'All Cases - Enter Cases'!H138,"")</f>
        <v/>
      </c>
      <c r="I138" t="str">
        <f>IF($A138&lt;&gt;"",'All Cases - Enter Cases'!I138,"")</f>
        <v/>
      </c>
      <c r="J138" t="str">
        <f>IF($A138&lt;&gt;"",'All Cases - Enter Cases'!J138,"")</f>
        <v/>
      </c>
      <c r="K138" t="str">
        <f>IF($A138&lt;&gt;"",'All Cases - Enter Cases'!K138,"")</f>
        <v/>
      </c>
      <c r="L138" t="str">
        <f>IF($A138&lt;&gt;"",'All Cases - Enter Cases'!L138,"")</f>
        <v/>
      </c>
      <c r="M138" t="str">
        <f>IF($A138&lt;&gt;"",'All Cases - Enter Cases'!M138,"")</f>
        <v/>
      </c>
    </row>
    <row r="139" spans="1:13" x14ac:dyDescent="0.35">
      <c r="A139" t="str">
        <f>IF('All Cases - Enter Cases'!$F139="Balochistan",'All Cases - Enter Cases'!A139,"")</f>
        <v/>
      </c>
      <c r="B139" t="str">
        <f>IF($A139&lt;&gt;"",'All Cases - Enter Cases'!B139,"")</f>
        <v/>
      </c>
      <c r="C139" t="str">
        <f>IF($A139&lt;&gt;"",'All Cases - Enter Cases'!C139,"")</f>
        <v/>
      </c>
      <c r="D139" t="str">
        <f>IF($A139&lt;&gt;"",'All Cases - Enter Cases'!D139,"")</f>
        <v/>
      </c>
      <c r="E139" t="str">
        <f>IF($A139&lt;&gt;"",'All Cases - Enter Cases'!E139,"")</f>
        <v/>
      </c>
      <c r="F139" t="str">
        <f>IF($A139&lt;&gt;"",'All Cases - Enter Cases'!F139,"")</f>
        <v/>
      </c>
      <c r="G139" t="str">
        <f>IF($A139&lt;&gt;"",'All Cases - Enter Cases'!G139,"")</f>
        <v/>
      </c>
      <c r="H139" t="str">
        <f>IF($A139&lt;&gt;"",'All Cases - Enter Cases'!H139,"")</f>
        <v/>
      </c>
      <c r="I139" t="str">
        <f>IF($A139&lt;&gt;"",'All Cases - Enter Cases'!I139,"")</f>
        <v/>
      </c>
      <c r="J139" t="str">
        <f>IF($A139&lt;&gt;"",'All Cases - Enter Cases'!J139,"")</f>
        <v/>
      </c>
      <c r="K139" t="str">
        <f>IF($A139&lt;&gt;"",'All Cases - Enter Cases'!K139,"")</f>
        <v/>
      </c>
      <c r="L139" t="str">
        <f>IF($A139&lt;&gt;"",'All Cases - Enter Cases'!L139,"")</f>
        <v/>
      </c>
      <c r="M139" t="str">
        <f>IF($A139&lt;&gt;"",'All Cases - Enter Cases'!M139,"")</f>
        <v/>
      </c>
    </row>
    <row r="140" spans="1:13" x14ac:dyDescent="0.35">
      <c r="A140" t="str">
        <f>IF('All Cases - Enter Cases'!$F140="Balochistan",'All Cases - Enter Cases'!A140,"")</f>
        <v/>
      </c>
      <c r="B140" t="str">
        <f>IF($A140&lt;&gt;"",'All Cases - Enter Cases'!B140,"")</f>
        <v/>
      </c>
      <c r="C140" t="str">
        <f>IF($A140&lt;&gt;"",'All Cases - Enter Cases'!C140,"")</f>
        <v/>
      </c>
      <c r="D140" t="str">
        <f>IF($A140&lt;&gt;"",'All Cases - Enter Cases'!D140,"")</f>
        <v/>
      </c>
      <c r="E140" t="str">
        <f>IF($A140&lt;&gt;"",'All Cases - Enter Cases'!E140,"")</f>
        <v/>
      </c>
      <c r="F140" t="str">
        <f>IF($A140&lt;&gt;"",'All Cases - Enter Cases'!F140,"")</f>
        <v/>
      </c>
      <c r="G140" t="str">
        <f>IF($A140&lt;&gt;"",'All Cases - Enter Cases'!G140,"")</f>
        <v/>
      </c>
      <c r="H140" t="str">
        <f>IF($A140&lt;&gt;"",'All Cases - Enter Cases'!H140,"")</f>
        <v/>
      </c>
      <c r="I140" t="str">
        <f>IF($A140&lt;&gt;"",'All Cases - Enter Cases'!I140,"")</f>
        <v/>
      </c>
      <c r="J140" t="str">
        <f>IF($A140&lt;&gt;"",'All Cases - Enter Cases'!J140,"")</f>
        <v/>
      </c>
      <c r="K140" t="str">
        <f>IF($A140&lt;&gt;"",'All Cases - Enter Cases'!K140,"")</f>
        <v/>
      </c>
      <c r="L140" t="str">
        <f>IF($A140&lt;&gt;"",'All Cases - Enter Cases'!L140,"")</f>
        <v/>
      </c>
      <c r="M140" t="str">
        <f>IF($A140&lt;&gt;"",'All Cases - Enter Cases'!M140,"")</f>
        <v/>
      </c>
    </row>
    <row r="141" spans="1:13" x14ac:dyDescent="0.35">
      <c r="A141" t="str">
        <f>IF('All Cases - Enter Cases'!$F141="Balochistan",'All Cases - Enter Cases'!A141,"")</f>
        <v/>
      </c>
      <c r="B141" t="str">
        <f>IF($A141&lt;&gt;"",'All Cases - Enter Cases'!B141,"")</f>
        <v/>
      </c>
      <c r="C141" t="str">
        <f>IF($A141&lt;&gt;"",'All Cases - Enter Cases'!C141,"")</f>
        <v/>
      </c>
      <c r="D141" t="str">
        <f>IF($A141&lt;&gt;"",'All Cases - Enter Cases'!D141,"")</f>
        <v/>
      </c>
      <c r="E141" t="str">
        <f>IF($A141&lt;&gt;"",'All Cases - Enter Cases'!E141,"")</f>
        <v/>
      </c>
      <c r="F141" t="str">
        <f>IF($A141&lt;&gt;"",'All Cases - Enter Cases'!F141,"")</f>
        <v/>
      </c>
      <c r="G141" t="str">
        <f>IF($A141&lt;&gt;"",'All Cases - Enter Cases'!G141,"")</f>
        <v/>
      </c>
      <c r="H141" t="str">
        <f>IF($A141&lt;&gt;"",'All Cases - Enter Cases'!H141,"")</f>
        <v/>
      </c>
      <c r="I141" t="str">
        <f>IF($A141&lt;&gt;"",'All Cases - Enter Cases'!I141,"")</f>
        <v/>
      </c>
      <c r="J141" t="str">
        <f>IF($A141&lt;&gt;"",'All Cases - Enter Cases'!J141,"")</f>
        <v/>
      </c>
      <c r="K141" t="str">
        <f>IF($A141&lt;&gt;"",'All Cases - Enter Cases'!K141,"")</f>
        <v/>
      </c>
      <c r="L141" t="str">
        <f>IF($A141&lt;&gt;"",'All Cases - Enter Cases'!L141,"")</f>
        <v/>
      </c>
      <c r="M141" t="str">
        <f>IF($A141&lt;&gt;"",'All Cases - Enter Cases'!M141,"")</f>
        <v/>
      </c>
    </row>
    <row r="142" spans="1:13" x14ac:dyDescent="0.35">
      <c r="A142" t="str">
        <f>IF('All Cases - Enter Cases'!$F142="Balochistan",'All Cases - Enter Cases'!A142,"")</f>
        <v/>
      </c>
      <c r="B142" t="str">
        <f>IF($A142&lt;&gt;"",'All Cases - Enter Cases'!B142,"")</f>
        <v/>
      </c>
      <c r="C142" t="str">
        <f>IF($A142&lt;&gt;"",'All Cases - Enter Cases'!C142,"")</f>
        <v/>
      </c>
      <c r="D142" t="str">
        <f>IF($A142&lt;&gt;"",'All Cases - Enter Cases'!D142,"")</f>
        <v/>
      </c>
      <c r="E142" t="str">
        <f>IF($A142&lt;&gt;"",'All Cases - Enter Cases'!E142,"")</f>
        <v/>
      </c>
      <c r="F142" t="str">
        <f>IF($A142&lt;&gt;"",'All Cases - Enter Cases'!F142,"")</f>
        <v/>
      </c>
      <c r="G142" t="str">
        <f>IF($A142&lt;&gt;"",'All Cases - Enter Cases'!G142,"")</f>
        <v/>
      </c>
      <c r="H142" t="str">
        <f>IF($A142&lt;&gt;"",'All Cases - Enter Cases'!H142,"")</f>
        <v/>
      </c>
      <c r="I142" t="str">
        <f>IF($A142&lt;&gt;"",'All Cases - Enter Cases'!I142,"")</f>
        <v/>
      </c>
      <c r="J142" t="str">
        <f>IF($A142&lt;&gt;"",'All Cases - Enter Cases'!J142,"")</f>
        <v/>
      </c>
      <c r="K142" t="str">
        <f>IF($A142&lt;&gt;"",'All Cases - Enter Cases'!K142,"")</f>
        <v/>
      </c>
      <c r="L142" t="str">
        <f>IF($A142&lt;&gt;"",'All Cases - Enter Cases'!L142,"")</f>
        <v/>
      </c>
      <c r="M142" t="str">
        <f>IF($A142&lt;&gt;"",'All Cases - Enter Cases'!M142,"")</f>
        <v/>
      </c>
    </row>
    <row r="143" spans="1:13" x14ac:dyDescent="0.35">
      <c r="A143" t="str">
        <f>IF('All Cases - Enter Cases'!$F143="Balochistan",'All Cases - Enter Cases'!A143,"")</f>
        <v/>
      </c>
      <c r="B143" t="str">
        <f>IF($A143&lt;&gt;"",'All Cases - Enter Cases'!B143,"")</f>
        <v/>
      </c>
      <c r="C143" t="str">
        <f>IF($A143&lt;&gt;"",'All Cases - Enter Cases'!C143,"")</f>
        <v/>
      </c>
      <c r="D143" t="str">
        <f>IF($A143&lt;&gt;"",'All Cases - Enter Cases'!D143,"")</f>
        <v/>
      </c>
      <c r="E143" t="str">
        <f>IF($A143&lt;&gt;"",'All Cases - Enter Cases'!E143,"")</f>
        <v/>
      </c>
      <c r="F143" t="str">
        <f>IF($A143&lt;&gt;"",'All Cases - Enter Cases'!F143,"")</f>
        <v/>
      </c>
      <c r="G143" t="str">
        <f>IF($A143&lt;&gt;"",'All Cases - Enter Cases'!G143,"")</f>
        <v/>
      </c>
      <c r="H143" t="str">
        <f>IF($A143&lt;&gt;"",'All Cases - Enter Cases'!H143,"")</f>
        <v/>
      </c>
      <c r="I143" t="str">
        <f>IF($A143&lt;&gt;"",'All Cases - Enter Cases'!I143,"")</f>
        <v/>
      </c>
      <c r="J143" t="str">
        <f>IF($A143&lt;&gt;"",'All Cases - Enter Cases'!J143,"")</f>
        <v/>
      </c>
      <c r="K143" t="str">
        <f>IF($A143&lt;&gt;"",'All Cases - Enter Cases'!K143,"")</f>
        <v/>
      </c>
      <c r="L143" t="str">
        <f>IF($A143&lt;&gt;"",'All Cases - Enter Cases'!L143,"")</f>
        <v/>
      </c>
      <c r="M143" t="str">
        <f>IF($A143&lt;&gt;"",'All Cases - Enter Cases'!M143,"")</f>
        <v/>
      </c>
    </row>
    <row r="144" spans="1:13" x14ac:dyDescent="0.35">
      <c r="A144" t="str">
        <f>IF('All Cases - Enter Cases'!$F144="Balochistan",'All Cases - Enter Cases'!A144,"")</f>
        <v/>
      </c>
      <c r="B144" t="str">
        <f>IF($A144&lt;&gt;"",'All Cases - Enter Cases'!B144,"")</f>
        <v/>
      </c>
      <c r="C144" t="str">
        <f>IF($A144&lt;&gt;"",'All Cases - Enter Cases'!C144,"")</f>
        <v/>
      </c>
      <c r="D144" t="str">
        <f>IF($A144&lt;&gt;"",'All Cases - Enter Cases'!D144,"")</f>
        <v/>
      </c>
      <c r="E144" t="str">
        <f>IF($A144&lt;&gt;"",'All Cases - Enter Cases'!E144,"")</f>
        <v/>
      </c>
      <c r="F144" t="str">
        <f>IF($A144&lt;&gt;"",'All Cases - Enter Cases'!F144,"")</f>
        <v/>
      </c>
      <c r="G144" t="str">
        <f>IF($A144&lt;&gt;"",'All Cases - Enter Cases'!G144,"")</f>
        <v/>
      </c>
      <c r="H144" t="str">
        <f>IF($A144&lt;&gt;"",'All Cases - Enter Cases'!H144,"")</f>
        <v/>
      </c>
      <c r="I144" t="str">
        <f>IF($A144&lt;&gt;"",'All Cases - Enter Cases'!I144,"")</f>
        <v/>
      </c>
      <c r="J144" t="str">
        <f>IF($A144&lt;&gt;"",'All Cases - Enter Cases'!J144,"")</f>
        <v/>
      </c>
      <c r="K144" t="str">
        <f>IF($A144&lt;&gt;"",'All Cases - Enter Cases'!K144,"")</f>
        <v/>
      </c>
      <c r="L144" t="str">
        <f>IF($A144&lt;&gt;"",'All Cases - Enter Cases'!L144,"")</f>
        <v/>
      </c>
      <c r="M144" t="str">
        <f>IF($A144&lt;&gt;"",'All Cases - Enter Cases'!M144,"")</f>
        <v/>
      </c>
    </row>
    <row r="145" spans="1:13" x14ac:dyDescent="0.35">
      <c r="A145" t="str">
        <f>IF('All Cases - Enter Cases'!$F145="Balochistan",'All Cases - Enter Cases'!A145,"")</f>
        <v/>
      </c>
      <c r="B145" t="str">
        <f>IF($A145&lt;&gt;"",'All Cases - Enter Cases'!B145,"")</f>
        <v/>
      </c>
      <c r="C145" t="str">
        <f>IF($A145&lt;&gt;"",'All Cases - Enter Cases'!C145,"")</f>
        <v/>
      </c>
      <c r="D145" t="str">
        <f>IF($A145&lt;&gt;"",'All Cases - Enter Cases'!D145,"")</f>
        <v/>
      </c>
      <c r="E145" t="str">
        <f>IF($A145&lt;&gt;"",'All Cases - Enter Cases'!E145,"")</f>
        <v/>
      </c>
      <c r="F145" t="str">
        <f>IF($A145&lt;&gt;"",'All Cases - Enter Cases'!F145,"")</f>
        <v/>
      </c>
      <c r="G145" t="str">
        <f>IF($A145&lt;&gt;"",'All Cases - Enter Cases'!G145,"")</f>
        <v/>
      </c>
      <c r="H145" t="str">
        <f>IF($A145&lt;&gt;"",'All Cases - Enter Cases'!H145,"")</f>
        <v/>
      </c>
      <c r="I145" t="str">
        <f>IF($A145&lt;&gt;"",'All Cases - Enter Cases'!I145,"")</f>
        <v/>
      </c>
      <c r="J145" t="str">
        <f>IF($A145&lt;&gt;"",'All Cases - Enter Cases'!J145,"")</f>
        <v/>
      </c>
      <c r="K145" t="str">
        <f>IF($A145&lt;&gt;"",'All Cases - Enter Cases'!K145,"")</f>
        <v/>
      </c>
      <c r="L145" t="str">
        <f>IF($A145&lt;&gt;"",'All Cases - Enter Cases'!L145,"")</f>
        <v/>
      </c>
      <c r="M145" t="str">
        <f>IF($A145&lt;&gt;"",'All Cases - Enter Cases'!M145,"")</f>
        <v/>
      </c>
    </row>
    <row r="146" spans="1:13" x14ac:dyDescent="0.35">
      <c r="A146" t="str">
        <f>IF('All Cases - Enter Cases'!$F146="Balochistan",'All Cases - Enter Cases'!A146,"")</f>
        <v/>
      </c>
      <c r="B146" t="str">
        <f>IF($A146&lt;&gt;"",'All Cases - Enter Cases'!B146,"")</f>
        <v/>
      </c>
      <c r="C146" t="str">
        <f>IF($A146&lt;&gt;"",'All Cases - Enter Cases'!C146,"")</f>
        <v/>
      </c>
      <c r="D146" t="str">
        <f>IF($A146&lt;&gt;"",'All Cases - Enter Cases'!D146,"")</f>
        <v/>
      </c>
      <c r="E146" t="str">
        <f>IF($A146&lt;&gt;"",'All Cases - Enter Cases'!E146,"")</f>
        <v/>
      </c>
      <c r="F146" t="str">
        <f>IF($A146&lt;&gt;"",'All Cases - Enter Cases'!F146,"")</f>
        <v/>
      </c>
      <c r="G146" t="str">
        <f>IF($A146&lt;&gt;"",'All Cases - Enter Cases'!G146,"")</f>
        <v/>
      </c>
      <c r="H146" t="str">
        <f>IF($A146&lt;&gt;"",'All Cases - Enter Cases'!H146,"")</f>
        <v/>
      </c>
      <c r="I146" t="str">
        <f>IF($A146&lt;&gt;"",'All Cases - Enter Cases'!I146,"")</f>
        <v/>
      </c>
      <c r="J146" t="str">
        <f>IF($A146&lt;&gt;"",'All Cases - Enter Cases'!J146,"")</f>
        <v/>
      </c>
      <c r="K146" t="str">
        <f>IF($A146&lt;&gt;"",'All Cases - Enter Cases'!K146,"")</f>
        <v/>
      </c>
      <c r="L146" t="str">
        <f>IF($A146&lt;&gt;"",'All Cases - Enter Cases'!L146,"")</f>
        <v/>
      </c>
      <c r="M146" t="str">
        <f>IF($A146&lt;&gt;"",'All Cases - Enter Cases'!M146,"")</f>
        <v/>
      </c>
    </row>
    <row r="147" spans="1:13" x14ac:dyDescent="0.35">
      <c r="A147" t="str">
        <f>IF('All Cases - Enter Cases'!$F147="Balochistan",'All Cases - Enter Cases'!A147,"")</f>
        <v/>
      </c>
      <c r="B147" t="str">
        <f>IF($A147&lt;&gt;"",'All Cases - Enter Cases'!B147,"")</f>
        <v/>
      </c>
      <c r="C147" t="str">
        <f>IF($A147&lt;&gt;"",'All Cases - Enter Cases'!C147,"")</f>
        <v/>
      </c>
      <c r="D147" t="str">
        <f>IF($A147&lt;&gt;"",'All Cases - Enter Cases'!D147,"")</f>
        <v/>
      </c>
      <c r="E147" t="str">
        <f>IF($A147&lt;&gt;"",'All Cases - Enter Cases'!E147,"")</f>
        <v/>
      </c>
      <c r="F147" t="str">
        <f>IF($A147&lt;&gt;"",'All Cases - Enter Cases'!F147,"")</f>
        <v/>
      </c>
      <c r="G147" t="str">
        <f>IF($A147&lt;&gt;"",'All Cases - Enter Cases'!G147,"")</f>
        <v/>
      </c>
      <c r="H147" t="str">
        <f>IF($A147&lt;&gt;"",'All Cases - Enter Cases'!H147,"")</f>
        <v/>
      </c>
      <c r="I147" t="str">
        <f>IF($A147&lt;&gt;"",'All Cases - Enter Cases'!I147,"")</f>
        <v/>
      </c>
      <c r="J147" t="str">
        <f>IF($A147&lt;&gt;"",'All Cases - Enter Cases'!J147,"")</f>
        <v/>
      </c>
      <c r="K147" t="str">
        <f>IF($A147&lt;&gt;"",'All Cases - Enter Cases'!K147,"")</f>
        <v/>
      </c>
      <c r="L147" t="str">
        <f>IF($A147&lt;&gt;"",'All Cases - Enter Cases'!L147,"")</f>
        <v/>
      </c>
      <c r="M147" t="str">
        <f>IF($A147&lt;&gt;"",'All Cases - Enter Cases'!M147,"")</f>
        <v/>
      </c>
    </row>
    <row r="148" spans="1:13" x14ac:dyDescent="0.35">
      <c r="A148" t="str">
        <f>IF('All Cases - Enter Cases'!$F148="Balochistan",'All Cases - Enter Cases'!A148,"")</f>
        <v/>
      </c>
      <c r="B148" t="str">
        <f>IF($A148&lt;&gt;"",'All Cases - Enter Cases'!B148,"")</f>
        <v/>
      </c>
      <c r="C148" t="str">
        <f>IF($A148&lt;&gt;"",'All Cases - Enter Cases'!C148,"")</f>
        <v/>
      </c>
      <c r="D148" t="str">
        <f>IF($A148&lt;&gt;"",'All Cases - Enter Cases'!D148,"")</f>
        <v/>
      </c>
      <c r="E148" t="str">
        <f>IF($A148&lt;&gt;"",'All Cases - Enter Cases'!E148,"")</f>
        <v/>
      </c>
      <c r="F148" t="str">
        <f>IF($A148&lt;&gt;"",'All Cases - Enter Cases'!F148,"")</f>
        <v/>
      </c>
      <c r="G148" t="str">
        <f>IF($A148&lt;&gt;"",'All Cases - Enter Cases'!G148,"")</f>
        <v/>
      </c>
      <c r="H148" t="str">
        <f>IF($A148&lt;&gt;"",'All Cases - Enter Cases'!H148,"")</f>
        <v/>
      </c>
      <c r="I148" t="str">
        <f>IF($A148&lt;&gt;"",'All Cases - Enter Cases'!I148,"")</f>
        <v/>
      </c>
      <c r="J148" t="str">
        <f>IF($A148&lt;&gt;"",'All Cases - Enter Cases'!J148,"")</f>
        <v/>
      </c>
      <c r="K148" t="str">
        <f>IF($A148&lt;&gt;"",'All Cases - Enter Cases'!K148,"")</f>
        <v/>
      </c>
      <c r="L148" t="str">
        <f>IF($A148&lt;&gt;"",'All Cases - Enter Cases'!L148,"")</f>
        <v/>
      </c>
      <c r="M148" t="str">
        <f>IF($A148&lt;&gt;"",'All Cases - Enter Cases'!M148,"")</f>
        <v/>
      </c>
    </row>
    <row r="149" spans="1:13" x14ac:dyDescent="0.35">
      <c r="A149" t="str">
        <f>IF('All Cases - Enter Cases'!$F149="Balochistan",'All Cases - Enter Cases'!A149,"")</f>
        <v/>
      </c>
      <c r="B149" t="str">
        <f>IF($A149&lt;&gt;"",'All Cases - Enter Cases'!B149,"")</f>
        <v/>
      </c>
      <c r="C149" t="str">
        <f>IF($A149&lt;&gt;"",'All Cases - Enter Cases'!C149,"")</f>
        <v/>
      </c>
      <c r="D149" t="str">
        <f>IF($A149&lt;&gt;"",'All Cases - Enter Cases'!D149,"")</f>
        <v/>
      </c>
      <c r="E149" t="str">
        <f>IF($A149&lt;&gt;"",'All Cases - Enter Cases'!E149,"")</f>
        <v/>
      </c>
      <c r="F149" t="str">
        <f>IF($A149&lt;&gt;"",'All Cases - Enter Cases'!F149,"")</f>
        <v/>
      </c>
      <c r="G149" t="str">
        <f>IF($A149&lt;&gt;"",'All Cases - Enter Cases'!G149,"")</f>
        <v/>
      </c>
      <c r="H149" t="str">
        <f>IF($A149&lt;&gt;"",'All Cases - Enter Cases'!H149,"")</f>
        <v/>
      </c>
      <c r="I149" t="str">
        <f>IF($A149&lt;&gt;"",'All Cases - Enter Cases'!I149,"")</f>
        <v/>
      </c>
      <c r="J149" t="str">
        <f>IF($A149&lt;&gt;"",'All Cases - Enter Cases'!J149,"")</f>
        <v/>
      </c>
      <c r="K149" t="str">
        <f>IF($A149&lt;&gt;"",'All Cases - Enter Cases'!K149,"")</f>
        <v/>
      </c>
      <c r="L149" t="str">
        <f>IF($A149&lt;&gt;"",'All Cases - Enter Cases'!L149,"")</f>
        <v/>
      </c>
      <c r="M149" t="str">
        <f>IF($A149&lt;&gt;"",'All Cases - Enter Cases'!M149,"")</f>
        <v/>
      </c>
    </row>
    <row r="150" spans="1:13" x14ac:dyDescent="0.35">
      <c r="A150" t="str">
        <f>IF('All Cases - Enter Cases'!$F150="Balochistan",'All Cases - Enter Cases'!A150,"")</f>
        <v/>
      </c>
      <c r="B150" t="str">
        <f>IF($A150&lt;&gt;"",'All Cases - Enter Cases'!B150,"")</f>
        <v/>
      </c>
      <c r="C150" t="str">
        <f>IF($A150&lt;&gt;"",'All Cases - Enter Cases'!C150,"")</f>
        <v/>
      </c>
      <c r="D150" t="str">
        <f>IF($A150&lt;&gt;"",'All Cases - Enter Cases'!D150,"")</f>
        <v/>
      </c>
      <c r="E150" t="str">
        <f>IF($A150&lt;&gt;"",'All Cases - Enter Cases'!E150,"")</f>
        <v/>
      </c>
      <c r="F150" t="str">
        <f>IF($A150&lt;&gt;"",'All Cases - Enter Cases'!F150,"")</f>
        <v/>
      </c>
      <c r="G150" t="str">
        <f>IF($A150&lt;&gt;"",'All Cases - Enter Cases'!G150,"")</f>
        <v/>
      </c>
      <c r="H150" t="str">
        <f>IF($A150&lt;&gt;"",'All Cases - Enter Cases'!H150,"")</f>
        <v/>
      </c>
      <c r="I150" t="str">
        <f>IF($A150&lt;&gt;"",'All Cases - Enter Cases'!I150,"")</f>
        <v/>
      </c>
      <c r="J150" t="str">
        <f>IF($A150&lt;&gt;"",'All Cases - Enter Cases'!J150,"")</f>
        <v/>
      </c>
      <c r="K150" t="str">
        <f>IF($A150&lt;&gt;"",'All Cases - Enter Cases'!K150,"")</f>
        <v/>
      </c>
      <c r="L150" t="str">
        <f>IF($A150&lt;&gt;"",'All Cases - Enter Cases'!L150,"")</f>
        <v/>
      </c>
      <c r="M150" t="str">
        <f>IF($A150&lt;&gt;"",'All Cases - Enter Cases'!M150,"")</f>
        <v/>
      </c>
    </row>
    <row r="151" spans="1:13" x14ac:dyDescent="0.35">
      <c r="A151" t="str">
        <f>IF('All Cases - Enter Cases'!$F151="Balochistan",'All Cases - Enter Cases'!A151,"")</f>
        <v/>
      </c>
      <c r="B151" t="str">
        <f>IF($A151&lt;&gt;"",'All Cases - Enter Cases'!B151,"")</f>
        <v/>
      </c>
      <c r="C151" t="str">
        <f>IF($A151&lt;&gt;"",'All Cases - Enter Cases'!C151,"")</f>
        <v/>
      </c>
      <c r="D151" t="str">
        <f>IF($A151&lt;&gt;"",'All Cases - Enter Cases'!D151,"")</f>
        <v/>
      </c>
      <c r="E151" t="str">
        <f>IF($A151&lt;&gt;"",'All Cases - Enter Cases'!E151,"")</f>
        <v/>
      </c>
      <c r="F151" t="str">
        <f>IF($A151&lt;&gt;"",'All Cases - Enter Cases'!F151,"")</f>
        <v/>
      </c>
      <c r="G151" t="str">
        <f>IF($A151&lt;&gt;"",'All Cases - Enter Cases'!G151,"")</f>
        <v/>
      </c>
      <c r="H151" t="str">
        <f>IF($A151&lt;&gt;"",'All Cases - Enter Cases'!H151,"")</f>
        <v/>
      </c>
      <c r="I151" t="str">
        <f>IF($A151&lt;&gt;"",'All Cases - Enter Cases'!I151,"")</f>
        <v/>
      </c>
      <c r="J151" t="str">
        <f>IF($A151&lt;&gt;"",'All Cases - Enter Cases'!J151,"")</f>
        <v/>
      </c>
      <c r="K151" t="str">
        <f>IF($A151&lt;&gt;"",'All Cases - Enter Cases'!K151,"")</f>
        <v/>
      </c>
      <c r="L151" t="str">
        <f>IF($A151&lt;&gt;"",'All Cases - Enter Cases'!L151,"")</f>
        <v/>
      </c>
      <c r="M151" t="str">
        <f>IF($A151&lt;&gt;"",'All Cases - Enter Cases'!M151,"")</f>
        <v/>
      </c>
    </row>
    <row r="152" spans="1:13" x14ac:dyDescent="0.35">
      <c r="A152" t="str">
        <f>IF('All Cases - Enter Cases'!$F152="Balochistan",'All Cases - Enter Cases'!A152,"")</f>
        <v/>
      </c>
      <c r="B152" t="str">
        <f>IF($A152&lt;&gt;"",'All Cases - Enter Cases'!B152,"")</f>
        <v/>
      </c>
      <c r="C152" t="str">
        <f>IF($A152&lt;&gt;"",'All Cases - Enter Cases'!C152,"")</f>
        <v/>
      </c>
      <c r="D152" t="str">
        <f>IF($A152&lt;&gt;"",'All Cases - Enter Cases'!D152,"")</f>
        <v/>
      </c>
      <c r="E152" t="str">
        <f>IF($A152&lt;&gt;"",'All Cases - Enter Cases'!E152,"")</f>
        <v/>
      </c>
      <c r="F152" t="str">
        <f>IF($A152&lt;&gt;"",'All Cases - Enter Cases'!F152,"")</f>
        <v/>
      </c>
      <c r="G152" t="str">
        <f>IF($A152&lt;&gt;"",'All Cases - Enter Cases'!G152,"")</f>
        <v/>
      </c>
      <c r="H152" t="str">
        <f>IF($A152&lt;&gt;"",'All Cases - Enter Cases'!H152,"")</f>
        <v/>
      </c>
      <c r="I152" t="str">
        <f>IF($A152&lt;&gt;"",'All Cases - Enter Cases'!I152,"")</f>
        <v/>
      </c>
      <c r="J152" t="str">
        <f>IF($A152&lt;&gt;"",'All Cases - Enter Cases'!J152,"")</f>
        <v/>
      </c>
      <c r="K152" t="str">
        <f>IF($A152&lt;&gt;"",'All Cases - Enter Cases'!K152,"")</f>
        <v/>
      </c>
      <c r="L152" t="str">
        <f>IF($A152&lt;&gt;"",'All Cases - Enter Cases'!L152,"")</f>
        <v/>
      </c>
      <c r="M152" t="str">
        <f>IF($A152&lt;&gt;"",'All Cases - Enter Cases'!M152,"")</f>
        <v/>
      </c>
    </row>
    <row r="153" spans="1:13" x14ac:dyDescent="0.35">
      <c r="A153" t="str">
        <f>IF('All Cases - Enter Cases'!$F153="Balochistan",'All Cases - Enter Cases'!A153,"")</f>
        <v/>
      </c>
      <c r="B153" t="str">
        <f>IF($A153&lt;&gt;"",'All Cases - Enter Cases'!B153,"")</f>
        <v/>
      </c>
      <c r="C153" t="str">
        <f>IF($A153&lt;&gt;"",'All Cases - Enter Cases'!C153,"")</f>
        <v/>
      </c>
      <c r="D153" t="str">
        <f>IF($A153&lt;&gt;"",'All Cases - Enter Cases'!D153,"")</f>
        <v/>
      </c>
      <c r="E153" t="str">
        <f>IF($A153&lt;&gt;"",'All Cases - Enter Cases'!E153,"")</f>
        <v/>
      </c>
      <c r="F153" t="str">
        <f>IF($A153&lt;&gt;"",'All Cases - Enter Cases'!F153,"")</f>
        <v/>
      </c>
      <c r="G153" t="str">
        <f>IF($A153&lt;&gt;"",'All Cases - Enter Cases'!G153,"")</f>
        <v/>
      </c>
      <c r="H153" t="str">
        <f>IF($A153&lt;&gt;"",'All Cases - Enter Cases'!H153,"")</f>
        <v/>
      </c>
      <c r="I153" t="str">
        <f>IF($A153&lt;&gt;"",'All Cases - Enter Cases'!I153,"")</f>
        <v/>
      </c>
      <c r="J153" t="str">
        <f>IF($A153&lt;&gt;"",'All Cases - Enter Cases'!J153,"")</f>
        <v/>
      </c>
      <c r="K153" t="str">
        <f>IF($A153&lt;&gt;"",'All Cases - Enter Cases'!K153,"")</f>
        <v/>
      </c>
      <c r="L153" t="str">
        <f>IF($A153&lt;&gt;"",'All Cases - Enter Cases'!L153,"")</f>
        <v/>
      </c>
      <c r="M153" t="str">
        <f>IF($A153&lt;&gt;"",'All Cases - Enter Cases'!M153,"")</f>
        <v/>
      </c>
    </row>
    <row r="154" spans="1:13" x14ac:dyDescent="0.35">
      <c r="A154" t="str">
        <f>IF('All Cases - Enter Cases'!$F154="Balochistan",'All Cases - Enter Cases'!A154,"")</f>
        <v/>
      </c>
      <c r="B154" t="str">
        <f>IF($A154&lt;&gt;"",'All Cases - Enter Cases'!B154,"")</f>
        <v/>
      </c>
      <c r="C154" t="str">
        <f>IF($A154&lt;&gt;"",'All Cases - Enter Cases'!C154,"")</f>
        <v/>
      </c>
      <c r="D154" t="str">
        <f>IF($A154&lt;&gt;"",'All Cases - Enter Cases'!D154,"")</f>
        <v/>
      </c>
      <c r="E154" t="str">
        <f>IF($A154&lt;&gt;"",'All Cases - Enter Cases'!E154,"")</f>
        <v/>
      </c>
      <c r="F154" t="str">
        <f>IF($A154&lt;&gt;"",'All Cases - Enter Cases'!F154,"")</f>
        <v/>
      </c>
      <c r="G154" t="str">
        <f>IF($A154&lt;&gt;"",'All Cases - Enter Cases'!G154,"")</f>
        <v/>
      </c>
      <c r="H154" t="str">
        <f>IF($A154&lt;&gt;"",'All Cases - Enter Cases'!H154,"")</f>
        <v/>
      </c>
      <c r="I154" t="str">
        <f>IF($A154&lt;&gt;"",'All Cases - Enter Cases'!I154,"")</f>
        <v/>
      </c>
      <c r="J154" t="str">
        <f>IF($A154&lt;&gt;"",'All Cases - Enter Cases'!J154,"")</f>
        <v/>
      </c>
      <c r="K154" t="str">
        <f>IF($A154&lt;&gt;"",'All Cases - Enter Cases'!K154,"")</f>
        <v/>
      </c>
      <c r="L154" t="str">
        <f>IF($A154&lt;&gt;"",'All Cases - Enter Cases'!L154,"")</f>
        <v/>
      </c>
      <c r="M154" t="str">
        <f>IF($A154&lt;&gt;"",'All Cases - Enter Cases'!M154,"")</f>
        <v/>
      </c>
    </row>
    <row r="155" spans="1:13" x14ac:dyDescent="0.35">
      <c r="A155" t="str">
        <f>IF('All Cases - Enter Cases'!$F155="Balochistan",'All Cases - Enter Cases'!A155,"")</f>
        <v/>
      </c>
      <c r="B155" t="str">
        <f>IF($A155&lt;&gt;"",'All Cases - Enter Cases'!B155,"")</f>
        <v/>
      </c>
      <c r="C155" t="str">
        <f>IF($A155&lt;&gt;"",'All Cases - Enter Cases'!C155,"")</f>
        <v/>
      </c>
      <c r="D155" t="str">
        <f>IF($A155&lt;&gt;"",'All Cases - Enter Cases'!D155,"")</f>
        <v/>
      </c>
      <c r="E155" t="str">
        <f>IF($A155&lt;&gt;"",'All Cases - Enter Cases'!E155,"")</f>
        <v/>
      </c>
      <c r="F155" t="str">
        <f>IF($A155&lt;&gt;"",'All Cases - Enter Cases'!F155,"")</f>
        <v/>
      </c>
      <c r="G155" t="str">
        <f>IF($A155&lt;&gt;"",'All Cases - Enter Cases'!G155,"")</f>
        <v/>
      </c>
      <c r="H155" t="str">
        <f>IF($A155&lt;&gt;"",'All Cases - Enter Cases'!H155,"")</f>
        <v/>
      </c>
      <c r="I155" t="str">
        <f>IF($A155&lt;&gt;"",'All Cases - Enter Cases'!I155,"")</f>
        <v/>
      </c>
      <c r="J155" t="str">
        <f>IF($A155&lt;&gt;"",'All Cases - Enter Cases'!J155,"")</f>
        <v/>
      </c>
      <c r="K155" t="str">
        <f>IF($A155&lt;&gt;"",'All Cases - Enter Cases'!K155,"")</f>
        <v/>
      </c>
      <c r="L155" t="str">
        <f>IF($A155&lt;&gt;"",'All Cases - Enter Cases'!L155,"")</f>
        <v/>
      </c>
      <c r="M155" t="str">
        <f>IF($A155&lt;&gt;"",'All Cases - Enter Cases'!M155,"")</f>
        <v/>
      </c>
    </row>
    <row r="156" spans="1:13" x14ac:dyDescent="0.35">
      <c r="A156" t="str">
        <f>IF('All Cases - Enter Cases'!$F156="Balochistan",'All Cases - Enter Cases'!A156,"")</f>
        <v/>
      </c>
      <c r="B156" t="str">
        <f>IF($A156&lt;&gt;"",'All Cases - Enter Cases'!B156,"")</f>
        <v/>
      </c>
      <c r="C156" t="str">
        <f>IF($A156&lt;&gt;"",'All Cases - Enter Cases'!C156,"")</f>
        <v/>
      </c>
      <c r="D156" t="str">
        <f>IF($A156&lt;&gt;"",'All Cases - Enter Cases'!D156,"")</f>
        <v/>
      </c>
      <c r="E156" t="str">
        <f>IF($A156&lt;&gt;"",'All Cases - Enter Cases'!E156,"")</f>
        <v/>
      </c>
      <c r="F156" t="str">
        <f>IF($A156&lt;&gt;"",'All Cases - Enter Cases'!F156,"")</f>
        <v/>
      </c>
      <c r="G156" t="str">
        <f>IF($A156&lt;&gt;"",'All Cases - Enter Cases'!G156,"")</f>
        <v/>
      </c>
      <c r="H156" t="str">
        <f>IF($A156&lt;&gt;"",'All Cases - Enter Cases'!H156,"")</f>
        <v/>
      </c>
      <c r="I156" t="str">
        <f>IF($A156&lt;&gt;"",'All Cases - Enter Cases'!I156,"")</f>
        <v/>
      </c>
      <c r="J156" t="str">
        <f>IF($A156&lt;&gt;"",'All Cases - Enter Cases'!J156,"")</f>
        <v/>
      </c>
      <c r="K156" t="str">
        <f>IF($A156&lt;&gt;"",'All Cases - Enter Cases'!K156,"")</f>
        <v/>
      </c>
      <c r="L156" t="str">
        <f>IF($A156&lt;&gt;"",'All Cases - Enter Cases'!L156,"")</f>
        <v/>
      </c>
      <c r="M156" t="str">
        <f>IF($A156&lt;&gt;"",'All Cases - Enter Cases'!M156,"")</f>
        <v/>
      </c>
    </row>
    <row r="157" spans="1:13" x14ac:dyDescent="0.35">
      <c r="A157" t="str">
        <f>IF('All Cases - Enter Cases'!$F157="Balochistan",'All Cases - Enter Cases'!A157,"")</f>
        <v/>
      </c>
      <c r="B157" t="str">
        <f>IF($A157&lt;&gt;"",'All Cases - Enter Cases'!B157,"")</f>
        <v/>
      </c>
      <c r="C157" t="str">
        <f>IF($A157&lt;&gt;"",'All Cases - Enter Cases'!C157,"")</f>
        <v/>
      </c>
      <c r="D157" t="str">
        <f>IF($A157&lt;&gt;"",'All Cases - Enter Cases'!D157,"")</f>
        <v/>
      </c>
      <c r="E157" t="str">
        <f>IF($A157&lt;&gt;"",'All Cases - Enter Cases'!E157,"")</f>
        <v/>
      </c>
      <c r="F157" t="str">
        <f>IF($A157&lt;&gt;"",'All Cases - Enter Cases'!F157,"")</f>
        <v/>
      </c>
      <c r="G157" t="str">
        <f>IF($A157&lt;&gt;"",'All Cases - Enter Cases'!G157,"")</f>
        <v/>
      </c>
      <c r="H157" t="str">
        <f>IF($A157&lt;&gt;"",'All Cases - Enter Cases'!H157,"")</f>
        <v/>
      </c>
      <c r="I157" t="str">
        <f>IF($A157&lt;&gt;"",'All Cases - Enter Cases'!I157,"")</f>
        <v/>
      </c>
      <c r="J157" t="str">
        <f>IF($A157&lt;&gt;"",'All Cases - Enter Cases'!J157,"")</f>
        <v/>
      </c>
      <c r="K157" t="str">
        <f>IF($A157&lt;&gt;"",'All Cases - Enter Cases'!K157,"")</f>
        <v/>
      </c>
      <c r="L157" t="str">
        <f>IF($A157&lt;&gt;"",'All Cases - Enter Cases'!L157,"")</f>
        <v/>
      </c>
      <c r="M157" t="str">
        <f>IF($A157&lt;&gt;"",'All Cases - Enter Cases'!M157,"")</f>
        <v/>
      </c>
    </row>
    <row r="158" spans="1:13" x14ac:dyDescent="0.35">
      <c r="A158" t="str">
        <f>IF('All Cases - Enter Cases'!$F158="Balochistan",'All Cases - Enter Cases'!A158,"")</f>
        <v/>
      </c>
      <c r="B158" t="str">
        <f>IF($A158&lt;&gt;"",'All Cases - Enter Cases'!B158,"")</f>
        <v/>
      </c>
      <c r="C158" t="str">
        <f>IF($A158&lt;&gt;"",'All Cases - Enter Cases'!C158,"")</f>
        <v/>
      </c>
      <c r="D158" t="str">
        <f>IF($A158&lt;&gt;"",'All Cases - Enter Cases'!D158,"")</f>
        <v/>
      </c>
      <c r="E158" t="str">
        <f>IF($A158&lt;&gt;"",'All Cases - Enter Cases'!E158,"")</f>
        <v/>
      </c>
      <c r="F158" t="str">
        <f>IF($A158&lt;&gt;"",'All Cases - Enter Cases'!F158,"")</f>
        <v/>
      </c>
      <c r="G158" t="str">
        <f>IF($A158&lt;&gt;"",'All Cases - Enter Cases'!G158,"")</f>
        <v/>
      </c>
      <c r="H158" t="str">
        <f>IF($A158&lt;&gt;"",'All Cases - Enter Cases'!H158,"")</f>
        <v/>
      </c>
      <c r="I158" t="str">
        <f>IF($A158&lt;&gt;"",'All Cases - Enter Cases'!I158,"")</f>
        <v/>
      </c>
      <c r="J158" t="str">
        <f>IF($A158&lt;&gt;"",'All Cases - Enter Cases'!J158,"")</f>
        <v/>
      </c>
      <c r="K158" t="str">
        <f>IF($A158&lt;&gt;"",'All Cases - Enter Cases'!K158,"")</f>
        <v/>
      </c>
      <c r="L158" t="str">
        <f>IF($A158&lt;&gt;"",'All Cases - Enter Cases'!L158,"")</f>
        <v/>
      </c>
      <c r="M158" t="str">
        <f>IF($A158&lt;&gt;"",'All Cases - Enter Cases'!M158,"")</f>
        <v/>
      </c>
    </row>
    <row r="159" spans="1:13" x14ac:dyDescent="0.35">
      <c r="A159" t="str">
        <f>IF('All Cases - Enter Cases'!$F159="Balochistan",'All Cases - Enter Cases'!A159,"")</f>
        <v/>
      </c>
      <c r="B159" t="str">
        <f>IF($A159&lt;&gt;"",'All Cases - Enter Cases'!B159,"")</f>
        <v/>
      </c>
      <c r="C159" t="str">
        <f>IF($A159&lt;&gt;"",'All Cases - Enter Cases'!C159,"")</f>
        <v/>
      </c>
      <c r="D159" t="str">
        <f>IF($A159&lt;&gt;"",'All Cases - Enter Cases'!D159,"")</f>
        <v/>
      </c>
      <c r="E159" t="str">
        <f>IF($A159&lt;&gt;"",'All Cases - Enter Cases'!E159,"")</f>
        <v/>
      </c>
      <c r="F159" t="str">
        <f>IF($A159&lt;&gt;"",'All Cases - Enter Cases'!F159,"")</f>
        <v/>
      </c>
      <c r="G159" t="str">
        <f>IF($A159&lt;&gt;"",'All Cases - Enter Cases'!G159,"")</f>
        <v/>
      </c>
      <c r="H159" t="str">
        <f>IF($A159&lt;&gt;"",'All Cases - Enter Cases'!H159,"")</f>
        <v/>
      </c>
      <c r="I159" t="str">
        <f>IF($A159&lt;&gt;"",'All Cases - Enter Cases'!I159,"")</f>
        <v/>
      </c>
      <c r="J159" t="str">
        <f>IF($A159&lt;&gt;"",'All Cases - Enter Cases'!J159,"")</f>
        <v/>
      </c>
      <c r="K159" t="str">
        <f>IF($A159&lt;&gt;"",'All Cases - Enter Cases'!K159,"")</f>
        <v/>
      </c>
      <c r="L159" t="str">
        <f>IF($A159&lt;&gt;"",'All Cases - Enter Cases'!L159,"")</f>
        <v/>
      </c>
      <c r="M159" t="str">
        <f>IF($A159&lt;&gt;"",'All Cases - Enter Cases'!M159,"")</f>
        <v/>
      </c>
    </row>
    <row r="160" spans="1:13" x14ac:dyDescent="0.35">
      <c r="A160" t="str">
        <f>IF('All Cases - Enter Cases'!$F160="Balochistan",'All Cases - Enter Cases'!A160,"")</f>
        <v/>
      </c>
      <c r="B160" t="str">
        <f>IF($A160&lt;&gt;"",'All Cases - Enter Cases'!B160,"")</f>
        <v/>
      </c>
      <c r="C160" t="str">
        <f>IF($A160&lt;&gt;"",'All Cases - Enter Cases'!C160,"")</f>
        <v/>
      </c>
      <c r="D160" t="str">
        <f>IF($A160&lt;&gt;"",'All Cases - Enter Cases'!D160,"")</f>
        <v/>
      </c>
      <c r="E160" t="str">
        <f>IF($A160&lt;&gt;"",'All Cases - Enter Cases'!E160,"")</f>
        <v/>
      </c>
      <c r="F160" t="str">
        <f>IF($A160&lt;&gt;"",'All Cases - Enter Cases'!F160,"")</f>
        <v/>
      </c>
      <c r="G160" t="str">
        <f>IF($A160&lt;&gt;"",'All Cases - Enter Cases'!G160,"")</f>
        <v/>
      </c>
      <c r="H160" t="str">
        <f>IF($A160&lt;&gt;"",'All Cases - Enter Cases'!H160,"")</f>
        <v/>
      </c>
      <c r="I160" t="str">
        <f>IF($A160&lt;&gt;"",'All Cases - Enter Cases'!I160,"")</f>
        <v/>
      </c>
      <c r="J160" t="str">
        <f>IF($A160&lt;&gt;"",'All Cases - Enter Cases'!J160,"")</f>
        <v/>
      </c>
      <c r="K160" t="str">
        <f>IF($A160&lt;&gt;"",'All Cases - Enter Cases'!K160,"")</f>
        <v/>
      </c>
      <c r="L160" t="str">
        <f>IF($A160&lt;&gt;"",'All Cases - Enter Cases'!L160,"")</f>
        <v/>
      </c>
      <c r="M160" t="str">
        <f>IF($A160&lt;&gt;"",'All Cases - Enter Cases'!M160,"")</f>
        <v/>
      </c>
    </row>
    <row r="161" spans="1:13" x14ac:dyDescent="0.35">
      <c r="A161" t="str">
        <f>IF('All Cases - Enter Cases'!$F161="Balochistan",'All Cases - Enter Cases'!A161,"")</f>
        <v/>
      </c>
      <c r="B161" t="str">
        <f>IF($A161&lt;&gt;"",'All Cases - Enter Cases'!B161,"")</f>
        <v/>
      </c>
      <c r="C161" t="str">
        <f>IF($A161&lt;&gt;"",'All Cases - Enter Cases'!C161,"")</f>
        <v/>
      </c>
      <c r="D161" t="str">
        <f>IF($A161&lt;&gt;"",'All Cases - Enter Cases'!D161,"")</f>
        <v/>
      </c>
      <c r="E161" t="str">
        <f>IF($A161&lt;&gt;"",'All Cases - Enter Cases'!E161,"")</f>
        <v/>
      </c>
      <c r="F161" t="str">
        <f>IF($A161&lt;&gt;"",'All Cases - Enter Cases'!F161,"")</f>
        <v/>
      </c>
      <c r="G161" t="str">
        <f>IF($A161&lt;&gt;"",'All Cases - Enter Cases'!G161,"")</f>
        <v/>
      </c>
      <c r="H161" t="str">
        <f>IF($A161&lt;&gt;"",'All Cases - Enter Cases'!H161,"")</f>
        <v/>
      </c>
      <c r="I161" t="str">
        <f>IF($A161&lt;&gt;"",'All Cases - Enter Cases'!I161,"")</f>
        <v/>
      </c>
      <c r="J161" t="str">
        <f>IF($A161&lt;&gt;"",'All Cases - Enter Cases'!J161,"")</f>
        <v/>
      </c>
      <c r="K161" t="str">
        <f>IF($A161&lt;&gt;"",'All Cases - Enter Cases'!K161,"")</f>
        <v/>
      </c>
      <c r="L161" t="str">
        <f>IF($A161&lt;&gt;"",'All Cases - Enter Cases'!L161,"")</f>
        <v/>
      </c>
      <c r="M161" t="str">
        <f>IF($A161&lt;&gt;"",'All Cases - Enter Cases'!M161,"")</f>
        <v/>
      </c>
    </row>
    <row r="162" spans="1:13" x14ac:dyDescent="0.35">
      <c r="A162" t="str">
        <f>IF('All Cases - Enter Cases'!$F162="Balochistan",'All Cases - Enter Cases'!A162,"")</f>
        <v/>
      </c>
      <c r="B162" t="str">
        <f>IF($A162&lt;&gt;"",'All Cases - Enter Cases'!B162,"")</f>
        <v/>
      </c>
      <c r="C162" t="str">
        <f>IF($A162&lt;&gt;"",'All Cases - Enter Cases'!C162,"")</f>
        <v/>
      </c>
      <c r="D162" t="str">
        <f>IF($A162&lt;&gt;"",'All Cases - Enter Cases'!D162,"")</f>
        <v/>
      </c>
      <c r="E162" t="str">
        <f>IF($A162&lt;&gt;"",'All Cases - Enter Cases'!E162,"")</f>
        <v/>
      </c>
      <c r="F162" t="str">
        <f>IF($A162&lt;&gt;"",'All Cases - Enter Cases'!F162,"")</f>
        <v/>
      </c>
      <c r="G162" t="str">
        <f>IF($A162&lt;&gt;"",'All Cases - Enter Cases'!G162,"")</f>
        <v/>
      </c>
      <c r="H162" t="str">
        <f>IF($A162&lt;&gt;"",'All Cases - Enter Cases'!H162,"")</f>
        <v/>
      </c>
      <c r="I162" t="str">
        <f>IF($A162&lt;&gt;"",'All Cases - Enter Cases'!I162,"")</f>
        <v/>
      </c>
      <c r="J162" t="str">
        <f>IF($A162&lt;&gt;"",'All Cases - Enter Cases'!J162,"")</f>
        <v/>
      </c>
      <c r="K162" t="str">
        <f>IF($A162&lt;&gt;"",'All Cases - Enter Cases'!K162,"")</f>
        <v/>
      </c>
      <c r="L162" t="str">
        <f>IF($A162&lt;&gt;"",'All Cases - Enter Cases'!L162,"")</f>
        <v/>
      </c>
      <c r="M162" t="str">
        <f>IF($A162&lt;&gt;"",'All Cases - Enter Cases'!M162,"")</f>
        <v/>
      </c>
    </row>
    <row r="163" spans="1:13" x14ac:dyDescent="0.35">
      <c r="A163" t="str">
        <f>IF('All Cases - Enter Cases'!$F163="Balochistan",'All Cases - Enter Cases'!A163,"")</f>
        <v/>
      </c>
      <c r="B163" t="str">
        <f>IF($A163&lt;&gt;"",'All Cases - Enter Cases'!B163,"")</f>
        <v/>
      </c>
      <c r="C163" t="str">
        <f>IF($A163&lt;&gt;"",'All Cases - Enter Cases'!C163,"")</f>
        <v/>
      </c>
      <c r="D163" t="str">
        <f>IF($A163&lt;&gt;"",'All Cases - Enter Cases'!D163,"")</f>
        <v/>
      </c>
      <c r="E163" t="str">
        <f>IF($A163&lt;&gt;"",'All Cases - Enter Cases'!E163,"")</f>
        <v/>
      </c>
      <c r="F163" t="str">
        <f>IF($A163&lt;&gt;"",'All Cases - Enter Cases'!F163,"")</f>
        <v/>
      </c>
      <c r="G163" t="str">
        <f>IF($A163&lt;&gt;"",'All Cases - Enter Cases'!G163,"")</f>
        <v/>
      </c>
      <c r="H163" t="str">
        <f>IF($A163&lt;&gt;"",'All Cases - Enter Cases'!H163,"")</f>
        <v/>
      </c>
      <c r="I163" t="str">
        <f>IF($A163&lt;&gt;"",'All Cases - Enter Cases'!I163,"")</f>
        <v/>
      </c>
      <c r="J163" t="str">
        <f>IF($A163&lt;&gt;"",'All Cases - Enter Cases'!J163,"")</f>
        <v/>
      </c>
      <c r="K163" t="str">
        <f>IF($A163&lt;&gt;"",'All Cases - Enter Cases'!K163,"")</f>
        <v/>
      </c>
      <c r="L163" t="str">
        <f>IF($A163&lt;&gt;"",'All Cases - Enter Cases'!L163,"")</f>
        <v/>
      </c>
      <c r="M163" t="str">
        <f>IF($A163&lt;&gt;"",'All Cases - Enter Cases'!M163,"")</f>
        <v/>
      </c>
    </row>
    <row r="164" spans="1:13" x14ac:dyDescent="0.35">
      <c r="A164" t="str">
        <f>IF('All Cases - Enter Cases'!$F164="Balochistan",'All Cases - Enter Cases'!A164,"")</f>
        <v/>
      </c>
      <c r="B164" t="str">
        <f>IF($A164&lt;&gt;"",'All Cases - Enter Cases'!B164,"")</f>
        <v/>
      </c>
      <c r="C164" t="str">
        <f>IF($A164&lt;&gt;"",'All Cases - Enter Cases'!C164,"")</f>
        <v/>
      </c>
      <c r="D164" t="str">
        <f>IF($A164&lt;&gt;"",'All Cases - Enter Cases'!D164,"")</f>
        <v/>
      </c>
      <c r="E164" t="str">
        <f>IF($A164&lt;&gt;"",'All Cases - Enter Cases'!E164,"")</f>
        <v/>
      </c>
      <c r="F164" t="str">
        <f>IF($A164&lt;&gt;"",'All Cases - Enter Cases'!F164,"")</f>
        <v/>
      </c>
      <c r="G164" t="str">
        <f>IF($A164&lt;&gt;"",'All Cases - Enter Cases'!G164,"")</f>
        <v/>
      </c>
      <c r="H164" t="str">
        <f>IF($A164&lt;&gt;"",'All Cases - Enter Cases'!H164,"")</f>
        <v/>
      </c>
      <c r="I164" t="str">
        <f>IF($A164&lt;&gt;"",'All Cases - Enter Cases'!I164,"")</f>
        <v/>
      </c>
      <c r="J164" t="str">
        <f>IF($A164&lt;&gt;"",'All Cases - Enter Cases'!J164,"")</f>
        <v/>
      </c>
      <c r="K164" t="str">
        <f>IF($A164&lt;&gt;"",'All Cases - Enter Cases'!K164,"")</f>
        <v/>
      </c>
      <c r="L164" t="str">
        <f>IF($A164&lt;&gt;"",'All Cases - Enter Cases'!L164,"")</f>
        <v/>
      </c>
      <c r="M164" t="str">
        <f>IF($A164&lt;&gt;"",'All Cases - Enter Cases'!M164,"")</f>
        <v/>
      </c>
    </row>
    <row r="165" spans="1:13" x14ac:dyDescent="0.35">
      <c r="A165" t="str">
        <f>IF('All Cases - Enter Cases'!$F165="Balochistan",'All Cases - Enter Cases'!A165,"")</f>
        <v/>
      </c>
      <c r="B165" t="str">
        <f>IF($A165&lt;&gt;"",'All Cases - Enter Cases'!B165,"")</f>
        <v/>
      </c>
      <c r="C165" t="str">
        <f>IF($A165&lt;&gt;"",'All Cases - Enter Cases'!C165,"")</f>
        <v/>
      </c>
      <c r="D165" t="str">
        <f>IF($A165&lt;&gt;"",'All Cases - Enter Cases'!D165,"")</f>
        <v/>
      </c>
      <c r="E165" t="str">
        <f>IF($A165&lt;&gt;"",'All Cases - Enter Cases'!E165,"")</f>
        <v/>
      </c>
      <c r="F165" t="str">
        <f>IF($A165&lt;&gt;"",'All Cases - Enter Cases'!F165,"")</f>
        <v/>
      </c>
      <c r="G165" t="str">
        <f>IF($A165&lt;&gt;"",'All Cases - Enter Cases'!G165,"")</f>
        <v/>
      </c>
      <c r="H165" t="str">
        <f>IF($A165&lt;&gt;"",'All Cases - Enter Cases'!H165,"")</f>
        <v/>
      </c>
      <c r="I165" t="str">
        <f>IF($A165&lt;&gt;"",'All Cases - Enter Cases'!I165,"")</f>
        <v/>
      </c>
      <c r="J165" t="str">
        <f>IF($A165&lt;&gt;"",'All Cases - Enter Cases'!J165,"")</f>
        <v/>
      </c>
      <c r="K165" t="str">
        <f>IF($A165&lt;&gt;"",'All Cases - Enter Cases'!K165,"")</f>
        <v/>
      </c>
      <c r="L165" t="str">
        <f>IF($A165&lt;&gt;"",'All Cases - Enter Cases'!L165,"")</f>
        <v/>
      </c>
      <c r="M165" t="str">
        <f>IF($A165&lt;&gt;"",'All Cases - Enter Cases'!M165,"")</f>
        <v/>
      </c>
    </row>
    <row r="166" spans="1:13" x14ac:dyDescent="0.35">
      <c r="A166" t="str">
        <f>IF('All Cases - Enter Cases'!$F166="Balochistan",'All Cases - Enter Cases'!A166,"")</f>
        <v/>
      </c>
      <c r="B166" t="str">
        <f>IF($A166&lt;&gt;"",'All Cases - Enter Cases'!B166,"")</f>
        <v/>
      </c>
      <c r="C166" t="str">
        <f>IF($A166&lt;&gt;"",'All Cases - Enter Cases'!C166,"")</f>
        <v/>
      </c>
      <c r="D166" t="str">
        <f>IF($A166&lt;&gt;"",'All Cases - Enter Cases'!D166,"")</f>
        <v/>
      </c>
      <c r="E166" t="str">
        <f>IF($A166&lt;&gt;"",'All Cases - Enter Cases'!E166,"")</f>
        <v/>
      </c>
      <c r="F166" t="str">
        <f>IF($A166&lt;&gt;"",'All Cases - Enter Cases'!F166,"")</f>
        <v/>
      </c>
      <c r="G166" t="str">
        <f>IF($A166&lt;&gt;"",'All Cases - Enter Cases'!G166,"")</f>
        <v/>
      </c>
      <c r="H166" t="str">
        <f>IF($A166&lt;&gt;"",'All Cases - Enter Cases'!H166,"")</f>
        <v/>
      </c>
      <c r="I166" t="str">
        <f>IF($A166&lt;&gt;"",'All Cases - Enter Cases'!I166,"")</f>
        <v/>
      </c>
      <c r="J166" t="str">
        <f>IF($A166&lt;&gt;"",'All Cases - Enter Cases'!J166,"")</f>
        <v/>
      </c>
      <c r="K166" t="str">
        <f>IF($A166&lt;&gt;"",'All Cases - Enter Cases'!K166,"")</f>
        <v/>
      </c>
      <c r="L166" t="str">
        <f>IF($A166&lt;&gt;"",'All Cases - Enter Cases'!L166,"")</f>
        <v/>
      </c>
      <c r="M166" t="str">
        <f>IF($A166&lt;&gt;"",'All Cases - Enter Cases'!M166,"")</f>
        <v/>
      </c>
    </row>
    <row r="167" spans="1:13" x14ac:dyDescent="0.35">
      <c r="A167" t="str">
        <f>IF('All Cases - Enter Cases'!$F167="Balochistan",'All Cases - Enter Cases'!A167,"")</f>
        <v/>
      </c>
      <c r="B167" t="str">
        <f>IF($A167&lt;&gt;"",'All Cases - Enter Cases'!B167,"")</f>
        <v/>
      </c>
      <c r="C167" t="str">
        <f>IF($A167&lt;&gt;"",'All Cases - Enter Cases'!C167,"")</f>
        <v/>
      </c>
      <c r="D167" t="str">
        <f>IF($A167&lt;&gt;"",'All Cases - Enter Cases'!D167,"")</f>
        <v/>
      </c>
      <c r="E167" t="str">
        <f>IF($A167&lt;&gt;"",'All Cases - Enter Cases'!E167,"")</f>
        <v/>
      </c>
      <c r="F167" t="str">
        <f>IF($A167&lt;&gt;"",'All Cases - Enter Cases'!F167,"")</f>
        <v/>
      </c>
      <c r="G167" t="str">
        <f>IF($A167&lt;&gt;"",'All Cases - Enter Cases'!G167,"")</f>
        <v/>
      </c>
      <c r="H167" t="str">
        <f>IF($A167&lt;&gt;"",'All Cases - Enter Cases'!H167,"")</f>
        <v/>
      </c>
      <c r="I167" t="str">
        <f>IF($A167&lt;&gt;"",'All Cases - Enter Cases'!I167,"")</f>
        <v/>
      </c>
      <c r="J167" t="str">
        <f>IF($A167&lt;&gt;"",'All Cases - Enter Cases'!J167,"")</f>
        <v/>
      </c>
      <c r="K167" t="str">
        <f>IF($A167&lt;&gt;"",'All Cases - Enter Cases'!K167,"")</f>
        <v/>
      </c>
      <c r="L167" t="str">
        <f>IF($A167&lt;&gt;"",'All Cases - Enter Cases'!L167,"")</f>
        <v/>
      </c>
      <c r="M167" t="str">
        <f>IF($A167&lt;&gt;"",'All Cases - Enter Cases'!M167,"")</f>
        <v/>
      </c>
    </row>
    <row r="168" spans="1:13" x14ac:dyDescent="0.35">
      <c r="A168" t="str">
        <f>IF('All Cases - Enter Cases'!$F168="Balochistan",'All Cases - Enter Cases'!A168,"")</f>
        <v/>
      </c>
      <c r="B168" t="str">
        <f>IF($A168&lt;&gt;"",'All Cases - Enter Cases'!B168,"")</f>
        <v/>
      </c>
      <c r="C168" t="str">
        <f>IF($A168&lt;&gt;"",'All Cases - Enter Cases'!C168,"")</f>
        <v/>
      </c>
      <c r="D168" t="str">
        <f>IF($A168&lt;&gt;"",'All Cases - Enter Cases'!D168,"")</f>
        <v/>
      </c>
      <c r="E168" t="str">
        <f>IF($A168&lt;&gt;"",'All Cases - Enter Cases'!E168,"")</f>
        <v/>
      </c>
      <c r="F168" t="str">
        <f>IF($A168&lt;&gt;"",'All Cases - Enter Cases'!F168,"")</f>
        <v/>
      </c>
      <c r="G168" t="str">
        <f>IF($A168&lt;&gt;"",'All Cases - Enter Cases'!G168,"")</f>
        <v/>
      </c>
      <c r="H168" t="str">
        <f>IF($A168&lt;&gt;"",'All Cases - Enter Cases'!H168,"")</f>
        <v/>
      </c>
      <c r="I168" t="str">
        <f>IF($A168&lt;&gt;"",'All Cases - Enter Cases'!I168,"")</f>
        <v/>
      </c>
      <c r="J168" t="str">
        <f>IF($A168&lt;&gt;"",'All Cases - Enter Cases'!J168,"")</f>
        <v/>
      </c>
      <c r="K168" t="str">
        <f>IF($A168&lt;&gt;"",'All Cases - Enter Cases'!K168,"")</f>
        <v/>
      </c>
      <c r="L168" t="str">
        <f>IF($A168&lt;&gt;"",'All Cases - Enter Cases'!L168,"")</f>
        <v/>
      </c>
      <c r="M168" t="str">
        <f>IF($A168&lt;&gt;"",'All Cases - Enter Cases'!M168,"")</f>
        <v/>
      </c>
    </row>
    <row r="169" spans="1:13" x14ac:dyDescent="0.35">
      <c r="A169" t="str">
        <f>IF('All Cases - Enter Cases'!$F169="Balochistan",'All Cases - Enter Cases'!A169,"")</f>
        <v/>
      </c>
      <c r="B169" t="str">
        <f>IF($A169&lt;&gt;"",'All Cases - Enter Cases'!B169,"")</f>
        <v/>
      </c>
      <c r="C169" t="str">
        <f>IF($A169&lt;&gt;"",'All Cases - Enter Cases'!C169,"")</f>
        <v/>
      </c>
      <c r="D169" t="str">
        <f>IF($A169&lt;&gt;"",'All Cases - Enter Cases'!D169,"")</f>
        <v/>
      </c>
      <c r="E169" t="str">
        <f>IF($A169&lt;&gt;"",'All Cases - Enter Cases'!E169,"")</f>
        <v/>
      </c>
      <c r="F169" t="str">
        <f>IF($A169&lt;&gt;"",'All Cases - Enter Cases'!F169,"")</f>
        <v/>
      </c>
      <c r="G169" t="str">
        <f>IF($A169&lt;&gt;"",'All Cases - Enter Cases'!G169,"")</f>
        <v/>
      </c>
      <c r="H169" t="str">
        <f>IF($A169&lt;&gt;"",'All Cases - Enter Cases'!H169,"")</f>
        <v/>
      </c>
      <c r="I169" t="str">
        <f>IF($A169&lt;&gt;"",'All Cases - Enter Cases'!I169,"")</f>
        <v/>
      </c>
      <c r="J169" t="str">
        <f>IF($A169&lt;&gt;"",'All Cases - Enter Cases'!J169,"")</f>
        <v/>
      </c>
      <c r="K169" t="str">
        <f>IF($A169&lt;&gt;"",'All Cases - Enter Cases'!K169,"")</f>
        <v/>
      </c>
      <c r="L169" t="str">
        <f>IF($A169&lt;&gt;"",'All Cases - Enter Cases'!L169,"")</f>
        <v/>
      </c>
      <c r="M169" t="str">
        <f>IF($A169&lt;&gt;"",'All Cases - Enter Cases'!M169,"")</f>
        <v/>
      </c>
    </row>
    <row r="170" spans="1:13" x14ac:dyDescent="0.35">
      <c r="A170" t="str">
        <f>IF('All Cases - Enter Cases'!$F170="Balochistan",'All Cases - Enter Cases'!A170,"")</f>
        <v/>
      </c>
      <c r="B170" t="str">
        <f>IF($A170&lt;&gt;"",'All Cases - Enter Cases'!B170,"")</f>
        <v/>
      </c>
      <c r="C170" t="str">
        <f>IF($A170&lt;&gt;"",'All Cases - Enter Cases'!C170,"")</f>
        <v/>
      </c>
      <c r="D170" t="str">
        <f>IF($A170&lt;&gt;"",'All Cases - Enter Cases'!D170,"")</f>
        <v/>
      </c>
      <c r="E170" t="str">
        <f>IF($A170&lt;&gt;"",'All Cases - Enter Cases'!E170,"")</f>
        <v/>
      </c>
      <c r="F170" t="str">
        <f>IF($A170&lt;&gt;"",'All Cases - Enter Cases'!F170,"")</f>
        <v/>
      </c>
      <c r="G170" t="str">
        <f>IF($A170&lt;&gt;"",'All Cases - Enter Cases'!G170,"")</f>
        <v/>
      </c>
      <c r="H170" t="str">
        <f>IF($A170&lt;&gt;"",'All Cases - Enter Cases'!H170,"")</f>
        <v/>
      </c>
      <c r="I170" t="str">
        <f>IF($A170&lt;&gt;"",'All Cases - Enter Cases'!I170,"")</f>
        <v/>
      </c>
      <c r="J170" t="str">
        <f>IF($A170&lt;&gt;"",'All Cases - Enter Cases'!J170,"")</f>
        <v/>
      </c>
      <c r="K170" t="str">
        <f>IF($A170&lt;&gt;"",'All Cases - Enter Cases'!K170,"")</f>
        <v/>
      </c>
      <c r="L170" t="str">
        <f>IF($A170&lt;&gt;"",'All Cases - Enter Cases'!L170,"")</f>
        <v/>
      </c>
      <c r="M170" t="str">
        <f>IF($A170&lt;&gt;"",'All Cases - Enter Cases'!M170,"")</f>
        <v/>
      </c>
    </row>
    <row r="171" spans="1:13" x14ac:dyDescent="0.35">
      <c r="A171" t="str">
        <f>IF('All Cases - Enter Cases'!$F171="Balochistan",'All Cases - Enter Cases'!A171,"")</f>
        <v/>
      </c>
      <c r="B171" t="str">
        <f>IF($A171&lt;&gt;"",'All Cases - Enter Cases'!B171,"")</f>
        <v/>
      </c>
      <c r="C171" t="str">
        <f>IF($A171&lt;&gt;"",'All Cases - Enter Cases'!C171,"")</f>
        <v/>
      </c>
      <c r="D171" t="str">
        <f>IF($A171&lt;&gt;"",'All Cases - Enter Cases'!D171,"")</f>
        <v/>
      </c>
      <c r="E171" t="str">
        <f>IF($A171&lt;&gt;"",'All Cases - Enter Cases'!E171,"")</f>
        <v/>
      </c>
      <c r="F171" t="str">
        <f>IF($A171&lt;&gt;"",'All Cases - Enter Cases'!F171,"")</f>
        <v/>
      </c>
      <c r="G171" t="str">
        <f>IF($A171&lt;&gt;"",'All Cases - Enter Cases'!G171,"")</f>
        <v/>
      </c>
      <c r="H171" t="str">
        <f>IF($A171&lt;&gt;"",'All Cases - Enter Cases'!H171,"")</f>
        <v/>
      </c>
      <c r="I171" t="str">
        <f>IF($A171&lt;&gt;"",'All Cases - Enter Cases'!I171,"")</f>
        <v/>
      </c>
      <c r="J171" t="str">
        <f>IF($A171&lt;&gt;"",'All Cases - Enter Cases'!J171,"")</f>
        <v/>
      </c>
      <c r="K171" t="str">
        <f>IF($A171&lt;&gt;"",'All Cases - Enter Cases'!K171,"")</f>
        <v/>
      </c>
      <c r="L171" t="str">
        <f>IF($A171&lt;&gt;"",'All Cases - Enter Cases'!L171,"")</f>
        <v/>
      </c>
      <c r="M171" t="str">
        <f>IF($A171&lt;&gt;"",'All Cases - Enter Cases'!M171,"")</f>
        <v/>
      </c>
    </row>
    <row r="172" spans="1:13" x14ac:dyDescent="0.35">
      <c r="A172" t="str">
        <f>IF('All Cases - Enter Cases'!$F172="Balochistan",'All Cases - Enter Cases'!A172,"")</f>
        <v/>
      </c>
      <c r="B172" t="str">
        <f>IF($A172&lt;&gt;"",'All Cases - Enter Cases'!B172,"")</f>
        <v/>
      </c>
      <c r="C172" t="str">
        <f>IF($A172&lt;&gt;"",'All Cases - Enter Cases'!C172,"")</f>
        <v/>
      </c>
      <c r="D172" t="str">
        <f>IF($A172&lt;&gt;"",'All Cases - Enter Cases'!D172,"")</f>
        <v/>
      </c>
      <c r="E172" t="str">
        <f>IF($A172&lt;&gt;"",'All Cases - Enter Cases'!E172,"")</f>
        <v/>
      </c>
      <c r="F172" t="str">
        <f>IF($A172&lt;&gt;"",'All Cases - Enter Cases'!F172,"")</f>
        <v/>
      </c>
      <c r="G172" t="str">
        <f>IF($A172&lt;&gt;"",'All Cases - Enter Cases'!G172,"")</f>
        <v/>
      </c>
      <c r="H172" t="str">
        <f>IF($A172&lt;&gt;"",'All Cases - Enter Cases'!H172,"")</f>
        <v/>
      </c>
      <c r="I172" t="str">
        <f>IF($A172&lt;&gt;"",'All Cases - Enter Cases'!I172,"")</f>
        <v/>
      </c>
      <c r="J172" t="str">
        <f>IF($A172&lt;&gt;"",'All Cases - Enter Cases'!J172,"")</f>
        <v/>
      </c>
      <c r="K172" t="str">
        <f>IF($A172&lt;&gt;"",'All Cases - Enter Cases'!K172,"")</f>
        <v/>
      </c>
      <c r="L172" t="str">
        <f>IF($A172&lt;&gt;"",'All Cases - Enter Cases'!L172,"")</f>
        <v/>
      </c>
      <c r="M172" t="str">
        <f>IF($A172&lt;&gt;"",'All Cases - Enter Cases'!M172,"")</f>
        <v/>
      </c>
    </row>
    <row r="173" spans="1:13" x14ac:dyDescent="0.35">
      <c r="A173" t="str">
        <f>IF('All Cases - Enter Cases'!$F173="Balochistan",'All Cases - Enter Cases'!A173,"")</f>
        <v/>
      </c>
      <c r="B173" t="str">
        <f>IF($A173&lt;&gt;"",'All Cases - Enter Cases'!B173,"")</f>
        <v/>
      </c>
      <c r="C173" t="str">
        <f>IF($A173&lt;&gt;"",'All Cases - Enter Cases'!C173,"")</f>
        <v/>
      </c>
      <c r="D173" t="str">
        <f>IF($A173&lt;&gt;"",'All Cases - Enter Cases'!D173,"")</f>
        <v/>
      </c>
      <c r="E173" t="str">
        <f>IF($A173&lt;&gt;"",'All Cases - Enter Cases'!E173,"")</f>
        <v/>
      </c>
      <c r="F173" t="str">
        <f>IF($A173&lt;&gt;"",'All Cases - Enter Cases'!F173,"")</f>
        <v/>
      </c>
      <c r="G173" t="str">
        <f>IF($A173&lt;&gt;"",'All Cases - Enter Cases'!G173,"")</f>
        <v/>
      </c>
      <c r="H173" t="str">
        <f>IF($A173&lt;&gt;"",'All Cases - Enter Cases'!H173,"")</f>
        <v/>
      </c>
      <c r="I173" t="str">
        <f>IF($A173&lt;&gt;"",'All Cases - Enter Cases'!I173,"")</f>
        <v/>
      </c>
      <c r="J173" t="str">
        <f>IF($A173&lt;&gt;"",'All Cases - Enter Cases'!J173,"")</f>
        <v/>
      </c>
      <c r="K173" t="str">
        <f>IF($A173&lt;&gt;"",'All Cases - Enter Cases'!K173,"")</f>
        <v/>
      </c>
      <c r="L173" t="str">
        <f>IF($A173&lt;&gt;"",'All Cases - Enter Cases'!L173,"")</f>
        <v/>
      </c>
      <c r="M173" t="str">
        <f>IF($A173&lt;&gt;"",'All Cases - Enter Cases'!M173,"")</f>
        <v/>
      </c>
    </row>
    <row r="174" spans="1:13" x14ac:dyDescent="0.35">
      <c r="A174" t="str">
        <f>IF('All Cases - Enter Cases'!$F174="Balochistan",'All Cases - Enter Cases'!A174,"")</f>
        <v/>
      </c>
      <c r="B174" t="str">
        <f>IF($A174&lt;&gt;"",'All Cases - Enter Cases'!B174,"")</f>
        <v/>
      </c>
      <c r="C174" t="str">
        <f>IF($A174&lt;&gt;"",'All Cases - Enter Cases'!C174,"")</f>
        <v/>
      </c>
      <c r="D174" t="str">
        <f>IF($A174&lt;&gt;"",'All Cases - Enter Cases'!D174,"")</f>
        <v/>
      </c>
      <c r="E174" t="str">
        <f>IF($A174&lt;&gt;"",'All Cases - Enter Cases'!E174,"")</f>
        <v/>
      </c>
      <c r="F174" t="str">
        <f>IF($A174&lt;&gt;"",'All Cases - Enter Cases'!F174,"")</f>
        <v/>
      </c>
      <c r="G174" t="str">
        <f>IF($A174&lt;&gt;"",'All Cases - Enter Cases'!G174,"")</f>
        <v/>
      </c>
      <c r="H174" t="str">
        <f>IF($A174&lt;&gt;"",'All Cases - Enter Cases'!H174,"")</f>
        <v/>
      </c>
      <c r="I174" t="str">
        <f>IF($A174&lt;&gt;"",'All Cases - Enter Cases'!I174,"")</f>
        <v/>
      </c>
      <c r="J174" t="str">
        <f>IF($A174&lt;&gt;"",'All Cases - Enter Cases'!J174,"")</f>
        <v/>
      </c>
      <c r="K174" t="str">
        <f>IF($A174&lt;&gt;"",'All Cases - Enter Cases'!K174,"")</f>
        <v/>
      </c>
      <c r="L174" t="str">
        <f>IF($A174&lt;&gt;"",'All Cases - Enter Cases'!L174,"")</f>
        <v/>
      </c>
      <c r="M174" t="str">
        <f>IF($A174&lt;&gt;"",'All Cases - Enter Cases'!M174,"")</f>
        <v/>
      </c>
    </row>
    <row r="175" spans="1:13" x14ac:dyDescent="0.35">
      <c r="A175" t="str">
        <f>IF('All Cases - Enter Cases'!$F175="Balochistan",'All Cases - Enter Cases'!A175,"")</f>
        <v/>
      </c>
      <c r="B175" t="str">
        <f>IF($A175&lt;&gt;"",'All Cases - Enter Cases'!B175,"")</f>
        <v/>
      </c>
      <c r="C175" t="str">
        <f>IF($A175&lt;&gt;"",'All Cases - Enter Cases'!C175,"")</f>
        <v/>
      </c>
      <c r="D175" t="str">
        <f>IF($A175&lt;&gt;"",'All Cases - Enter Cases'!D175,"")</f>
        <v/>
      </c>
      <c r="E175" t="str">
        <f>IF($A175&lt;&gt;"",'All Cases - Enter Cases'!E175,"")</f>
        <v/>
      </c>
      <c r="F175" t="str">
        <f>IF($A175&lt;&gt;"",'All Cases - Enter Cases'!F175,"")</f>
        <v/>
      </c>
      <c r="G175" t="str">
        <f>IF($A175&lt;&gt;"",'All Cases - Enter Cases'!G175,"")</f>
        <v/>
      </c>
      <c r="H175" t="str">
        <f>IF($A175&lt;&gt;"",'All Cases - Enter Cases'!H175,"")</f>
        <v/>
      </c>
      <c r="I175" t="str">
        <f>IF($A175&lt;&gt;"",'All Cases - Enter Cases'!I175,"")</f>
        <v/>
      </c>
      <c r="J175" t="str">
        <f>IF($A175&lt;&gt;"",'All Cases - Enter Cases'!J175,"")</f>
        <v/>
      </c>
      <c r="K175" t="str">
        <f>IF($A175&lt;&gt;"",'All Cases - Enter Cases'!K175,"")</f>
        <v/>
      </c>
      <c r="L175" t="str">
        <f>IF($A175&lt;&gt;"",'All Cases - Enter Cases'!L175,"")</f>
        <v/>
      </c>
      <c r="M175" t="str">
        <f>IF($A175&lt;&gt;"",'All Cases - Enter Cases'!M175,"")</f>
        <v/>
      </c>
    </row>
    <row r="176" spans="1:13" x14ac:dyDescent="0.35">
      <c r="A176" t="str">
        <f>IF('All Cases - Enter Cases'!$F176="Balochistan",'All Cases - Enter Cases'!A176,"")</f>
        <v/>
      </c>
      <c r="B176" t="str">
        <f>IF($A176&lt;&gt;"",'All Cases - Enter Cases'!B176,"")</f>
        <v/>
      </c>
      <c r="C176" t="str">
        <f>IF($A176&lt;&gt;"",'All Cases - Enter Cases'!C176,"")</f>
        <v/>
      </c>
      <c r="D176" t="str">
        <f>IF($A176&lt;&gt;"",'All Cases - Enter Cases'!D176,"")</f>
        <v/>
      </c>
      <c r="E176" t="str">
        <f>IF($A176&lt;&gt;"",'All Cases - Enter Cases'!E176,"")</f>
        <v/>
      </c>
      <c r="F176" t="str">
        <f>IF($A176&lt;&gt;"",'All Cases - Enter Cases'!F176,"")</f>
        <v/>
      </c>
      <c r="G176" t="str">
        <f>IF($A176&lt;&gt;"",'All Cases - Enter Cases'!G176,"")</f>
        <v/>
      </c>
      <c r="H176" t="str">
        <f>IF($A176&lt;&gt;"",'All Cases - Enter Cases'!H176,"")</f>
        <v/>
      </c>
      <c r="I176" t="str">
        <f>IF($A176&lt;&gt;"",'All Cases - Enter Cases'!I176,"")</f>
        <v/>
      </c>
      <c r="J176" t="str">
        <f>IF($A176&lt;&gt;"",'All Cases - Enter Cases'!J176,"")</f>
        <v/>
      </c>
      <c r="K176" t="str">
        <f>IF($A176&lt;&gt;"",'All Cases - Enter Cases'!K176,"")</f>
        <v/>
      </c>
      <c r="L176" t="str">
        <f>IF($A176&lt;&gt;"",'All Cases - Enter Cases'!L176,"")</f>
        <v/>
      </c>
      <c r="M176" t="str">
        <f>IF($A176&lt;&gt;"",'All Cases - Enter Cases'!M176,"")</f>
        <v/>
      </c>
    </row>
    <row r="177" spans="1:13" x14ac:dyDescent="0.35">
      <c r="A177" t="str">
        <f>IF('All Cases - Enter Cases'!$F177="Balochistan",'All Cases - Enter Cases'!A177,"")</f>
        <v/>
      </c>
      <c r="B177" t="str">
        <f>IF($A177&lt;&gt;"",'All Cases - Enter Cases'!B177,"")</f>
        <v/>
      </c>
      <c r="C177" t="str">
        <f>IF($A177&lt;&gt;"",'All Cases - Enter Cases'!C177,"")</f>
        <v/>
      </c>
      <c r="D177" t="str">
        <f>IF($A177&lt;&gt;"",'All Cases - Enter Cases'!D177,"")</f>
        <v/>
      </c>
      <c r="E177" t="str">
        <f>IF($A177&lt;&gt;"",'All Cases - Enter Cases'!E177,"")</f>
        <v/>
      </c>
      <c r="F177" t="str">
        <f>IF($A177&lt;&gt;"",'All Cases - Enter Cases'!F177,"")</f>
        <v/>
      </c>
      <c r="G177" t="str">
        <f>IF($A177&lt;&gt;"",'All Cases - Enter Cases'!G177,"")</f>
        <v/>
      </c>
      <c r="H177" t="str">
        <f>IF($A177&lt;&gt;"",'All Cases - Enter Cases'!H177,"")</f>
        <v/>
      </c>
      <c r="I177" t="str">
        <f>IF($A177&lt;&gt;"",'All Cases - Enter Cases'!I177,"")</f>
        <v/>
      </c>
      <c r="J177" t="str">
        <f>IF($A177&lt;&gt;"",'All Cases - Enter Cases'!J177,"")</f>
        <v/>
      </c>
      <c r="K177" t="str">
        <f>IF($A177&lt;&gt;"",'All Cases - Enter Cases'!K177,"")</f>
        <v/>
      </c>
      <c r="L177" t="str">
        <f>IF($A177&lt;&gt;"",'All Cases - Enter Cases'!L177,"")</f>
        <v/>
      </c>
      <c r="M177" t="str">
        <f>IF($A177&lt;&gt;"",'All Cases - Enter Cases'!M177,"")</f>
        <v/>
      </c>
    </row>
    <row r="178" spans="1:13" x14ac:dyDescent="0.35">
      <c r="A178" t="str">
        <f>IF('All Cases - Enter Cases'!$F178="Balochistan",'All Cases - Enter Cases'!A178,"")</f>
        <v/>
      </c>
      <c r="B178" t="str">
        <f>IF($A178&lt;&gt;"",'All Cases - Enter Cases'!B178,"")</f>
        <v/>
      </c>
      <c r="C178" t="str">
        <f>IF($A178&lt;&gt;"",'All Cases - Enter Cases'!C178,"")</f>
        <v/>
      </c>
      <c r="D178" t="str">
        <f>IF($A178&lt;&gt;"",'All Cases - Enter Cases'!D178,"")</f>
        <v/>
      </c>
      <c r="E178" t="str">
        <f>IF($A178&lt;&gt;"",'All Cases - Enter Cases'!E178,"")</f>
        <v/>
      </c>
      <c r="F178" t="str">
        <f>IF($A178&lt;&gt;"",'All Cases - Enter Cases'!F178,"")</f>
        <v/>
      </c>
      <c r="G178" t="str">
        <f>IF($A178&lt;&gt;"",'All Cases - Enter Cases'!G178,"")</f>
        <v/>
      </c>
      <c r="H178" t="str">
        <f>IF($A178&lt;&gt;"",'All Cases - Enter Cases'!H178,"")</f>
        <v/>
      </c>
      <c r="I178" t="str">
        <f>IF($A178&lt;&gt;"",'All Cases - Enter Cases'!I178,"")</f>
        <v/>
      </c>
      <c r="J178" t="str">
        <f>IF($A178&lt;&gt;"",'All Cases - Enter Cases'!J178,"")</f>
        <v/>
      </c>
      <c r="K178" t="str">
        <f>IF($A178&lt;&gt;"",'All Cases - Enter Cases'!K178,"")</f>
        <v/>
      </c>
      <c r="L178" t="str">
        <f>IF($A178&lt;&gt;"",'All Cases - Enter Cases'!L178,"")</f>
        <v/>
      </c>
      <c r="M178" t="str">
        <f>IF($A178&lt;&gt;"",'All Cases - Enter Cases'!M178,"")</f>
        <v/>
      </c>
    </row>
    <row r="179" spans="1:13" x14ac:dyDescent="0.35">
      <c r="A179" t="str">
        <f>IF('All Cases - Enter Cases'!$F179="Balochistan",'All Cases - Enter Cases'!A179,"")</f>
        <v/>
      </c>
      <c r="B179" t="str">
        <f>IF($A179&lt;&gt;"",'All Cases - Enter Cases'!B179,"")</f>
        <v/>
      </c>
      <c r="C179" t="str">
        <f>IF($A179&lt;&gt;"",'All Cases - Enter Cases'!C179,"")</f>
        <v/>
      </c>
      <c r="D179" t="str">
        <f>IF($A179&lt;&gt;"",'All Cases - Enter Cases'!D179,"")</f>
        <v/>
      </c>
      <c r="E179" t="str">
        <f>IF($A179&lt;&gt;"",'All Cases - Enter Cases'!E179,"")</f>
        <v/>
      </c>
      <c r="F179" t="str">
        <f>IF($A179&lt;&gt;"",'All Cases - Enter Cases'!F179,"")</f>
        <v/>
      </c>
      <c r="G179" t="str">
        <f>IF($A179&lt;&gt;"",'All Cases - Enter Cases'!G179,"")</f>
        <v/>
      </c>
      <c r="H179" t="str">
        <f>IF($A179&lt;&gt;"",'All Cases - Enter Cases'!H179,"")</f>
        <v/>
      </c>
      <c r="I179" t="str">
        <f>IF($A179&lt;&gt;"",'All Cases - Enter Cases'!I179,"")</f>
        <v/>
      </c>
      <c r="J179" t="str">
        <f>IF($A179&lt;&gt;"",'All Cases - Enter Cases'!J179,"")</f>
        <v/>
      </c>
      <c r="K179" t="str">
        <f>IF($A179&lt;&gt;"",'All Cases - Enter Cases'!K179,"")</f>
        <v/>
      </c>
      <c r="L179" t="str">
        <f>IF($A179&lt;&gt;"",'All Cases - Enter Cases'!L179,"")</f>
        <v/>
      </c>
      <c r="M179" t="str">
        <f>IF($A179&lt;&gt;"",'All Cases - Enter Cases'!M179,"")</f>
        <v/>
      </c>
    </row>
    <row r="180" spans="1:13" x14ac:dyDescent="0.35">
      <c r="A180" t="str">
        <f>IF('All Cases - Enter Cases'!$F180="Balochistan",'All Cases - Enter Cases'!A180,"")</f>
        <v/>
      </c>
      <c r="B180" t="str">
        <f>IF($A180&lt;&gt;"",'All Cases - Enter Cases'!B180,"")</f>
        <v/>
      </c>
      <c r="C180" t="str">
        <f>IF($A180&lt;&gt;"",'All Cases - Enter Cases'!C180,"")</f>
        <v/>
      </c>
      <c r="D180" t="str">
        <f>IF($A180&lt;&gt;"",'All Cases - Enter Cases'!D180,"")</f>
        <v/>
      </c>
      <c r="E180" t="str">
        <f>IF($A180&lt;&gt;"",'All Cases - Enter Cases'!E180,"")</f>
        <v/>
      </c>
      <c r="F180" t="str">
        <f>IF($A180&lt;&gt;"",'All Cases - Enter Cases'!F180,"")</f>
        <v/>
      </c>
      <c r="G180" t="str">
        <f>IF($A180&lt;&gt;"",'All Cases - Enter Cases'!G180,"")</f>
        <v/>
      </c>
      <c r="H180" t="str">
        <f>IF($A180&lt;&gt;"",'All Cases - Enter Cases'!H180,"")</f>
        <v/>
      </c>
      <c r="I180" t="str">
        <f>IF($A180&lt;&gt;"",'All Cases - Enter Cases'!I180,"")</f>
        <v/>
      </c>
      <c r="J180" t="str">
        <f>IF($A180&lt;&gt;"",'All Cases - Enter Cases'!J180,"")</f>
        <v/>
      </c>
      <c r="K180" t="str">
        <f>IF($A180&lt;&gt;"",'All Cases - Enter Cases'!K180,"")</f>
        <v/>
      </c>
      <c r="L180" t="str">
        <f>IF($A180&lt;&gt;"",'All Cases - Enter Cases'!L180,"")</f>
        <v/>
      </c>
      <c r="M180" t="str">
        <f>IF($A180&lt;&gt;"",'All Cases - Enter Cases'!M180,"")</f>
        <v/>
      </c>
    </row>
    <row r="181" spans="1:13" x14ac:dyDescent="0.35">
      <c r="A181" t="str">
        <f>IF('All Cases - Enter Cases'!$F181="Balochistan",'All Cases - Enter Cases'!A181,"")</f>
        <v/>
      </c>
      <c r="B181" t="str">
        <f>IF($A181&lt;&gt;"",'All Cases - Enter Cases'!B181,"")</f>
        <v/>
      </c>
      <c r="C181" t="str">
        <f>IF($A181&lt;&gt;"",'All Cases - Enter Cases'!C181,"")</f>
        <v/>
      </c>
      <c r="D181" t="str">
        <f>IF($A181&lt;&gt;"",'All Cases - Enter Cases'!D181,"")</f>
        <v/>
      </c>
      <c r="E181" t="str">
        <f>IF($A181&lt;&gt;"",'All Cases - Enter Cases'!E181,"")</f>
        <v/>
      </c>
      <c r="F181" t="str">
        <f>IF($A181&lt;&gt;"",'All Cases - Enter Cases'!F181,"")</f>
        <v/>
      </c>
      <c r="G181" t="str">
        <f>IF($A181&lt;&gt;"",'All Cases - Enter Cases'!G181,"")</f>
        <v/>
      </c>
      <c r="H181" t="str">
        <f>IF($A181&lt;&gt;"",'All Cases - Enter Cases'!H181,"")</f>
        <v/>
      </c>
      <c r="I181" t="str">
        <f>IF($A181&lt;&gt;"",'All Cases - Enter Cases'!I181,"")</f>
        <v/>
      </c>
      <c r="J181" t="str">
        <f>IF($A181&lt;&gt;"",'All Cases - Enter Cases'!J181,"")</f>
        <v/>
      </c>
      <c r="K181" t="str">
        <f>IF($A181&lt;&gt;"",'All Cases - Enter Cases'!K181,"")</f>
        <v/>
      </c>
      <c r="L181" t="str">
        <f>IF($A181&lt;&gt;"",'All Cases - Enter Cases'!L181,"")</f>
        <v/>
      </c>
      <c r="M181" t="str">
        <f>IF($A181&lt;&gt;"",'All Cases - Enter Cases'!M181,"")</f>
        <v/>
      </c>
    </row>
    <row r="182" spans="1:13" x14ac:dyDescent="0.35">
      <c r="A182" t="str">
        <f>IF('All Cases - Enter Cases'!$F182="Balochistan",'All Cases - Enter Cases'!A182,"")</f>
        <v/>
      </c>
      <c r="B182" t="str">
        <f>IF($A182&lt;&gt;"",'All Cases - Enter Cases'!B182,"")</f>
        <v/>
      </c>
      <c r="C182" t="str">
        <f>IF($A182&lt;&gt;"",'All Cases - Enter Cases'!C182,"")</f>
        <v/>
      </c>
      <c r="D182" t="str">
        <f>IF($A182&lt;&gt;"",'All Cases - Enter Cases'!D182,"")</f>
        <v/>
      </c>
      <c r="E182" t="str">
        <f>IF($A182&lt;&gt;"",'All Cases - Enter Cases'!E182,"")</f>
        <v/>
      </c>
      <c r="F182" t="str">
        <f>IF($A182&lt;&gt;"",'All Cases - Enter Cases'!F182,"")</f>
        <v/>
      </c>
      <c r="G182" t="str">
        <f>IF($A182&lt;&gt;"",'All Cases - Enter Cases'!G182,"")</f>
        <v/>
      </c>
      <c r="H182" t="str">
        <f>IF($A182&lt;&gt;"",'All Cases - Enter Cases'!H182,"")</f>
        <v/>
      </c>
      <c r="I182" t="str">
        <f>IF($A182&lt;&gt;"",'All Cases - Enter Cases'!I182,"")</f>
        <v/>
      </c>
      <c r="J182" t="str">
        <f>IF($A182&lt;&gt;"",'All Cases - Enter Cases'!J182,"")</f>
        <v/>
      </c>
      <c r="K182" t="str">
        <f>IF($A182&lt;&gt;"",'All Cases - Enter Cases'!K182,"")</f>
        <v/>
      </c>
      <c r="L182" t="str">
        <f>IF($A182&lt;&gt;"",'All Cases - Enter Cases'!L182,"")</f>
        <v/>
      </c>
      <c r="M182" t="str">
        <f>IF($A182&lt;&gt;"",'All Cases - Enter Cases'!M182,"")</f>
        <v/>
      </c>
    </row>
    <row r="183" spans="1:13" x14ac:dyDescent="0.35">
      <c r="A183" t="str">
        <f>IF('All Cases - Enter Cases'!$F183="Balochistan",'All Cases - Enter Cases'!A183,"")</f>
        <v/>
      </c>
      <c r="B183" t="str">
        <f>IF($A183&lt;&gt;"",'All Cases - Enter Cases'!B183,"")</f>
        <v/>
      </c>
      <c r="C183" t="str">
        <f>IF($A183&lt;&gt;"",'All Cases - Enter Cases'!C183,"")</f>
        <v/>
      </c>
      <c r="D183" t="str">
        <f>IF($A183&lt;&gt;"",'All Cases - Enter Cases'!D183,"")</f>
        <v/>
      </c>
      <c r="E183" t="str">
        <f>IF($A183&lt;&gt;"",'All Cases - Enter Cases'!E183,"")</f>
        <v/>
      </c>
      <c r="F183" t="str">
        <f>IF($A183&lt;&gt;"",'All Cases - Enter Cases'!F183,"")</f>
        <v/>
      </c>
      <c r="G183" t="str">
        <f>IF($A183&lt;&gt;"",'All Cases - Enter Cases'!G183,"")</f>
        <v/>
      </c>
      <c r="H183" t="str">
        <f>IF($A183&lt;&gt;"",'All Cases - Enter Cases'!H183,"")</f>
        <v/>
      </c>
      <c r="I183" t="str">
        <f>IF($A183&lt;&gt;"",'All Cases - Enter Cases'!I183,"")</f>
        <v/>
      </c>
      <c r="J183" t="str">
        <f>IF($A183&lt;&gt;"",'All Cases - Enter Cases'!J183,"")</f>
        <v/>
      </c>
      <c r="K183" t="str">
        <f>IF($A183&lt;&gt;"",'All Cases - Enter Cases'!K183,"")</f>
        <v/>
      </c>
      <c r="L183" t="str">
        <f>IF($A183&lt;&gt;"",'All Cases - Enter Cases'!L183,"")</f>
        <v/>
      </c>
      <c r="M183" t="str">
        <f>IF($A183&lt;&gt;"",'All Cases - Enter Cases'!M183,"")</f>
        <v/>
      </c>
    </row>
    <row r="184" spans="1:13" x14ac:dyDescent="0.35">
      <c r="A184" t="str">
        <f>IF('All Cases - Enter Cases'!$F184="Balochistan",'All Cases - Enter Cases'!A184,"")</f>
        <v/>
      </c>
      <c r="B184" t="str">
        <f>IF($A184&lt;&gt;"",'All Cases - Enter Cases'!B184,"")</f>
        <v/>
      </c>
      <c r="C184" t="str">
        <f>IF($A184&lt;&gt;"",'All Cases - Enter Cases'!C184,"")</f>
        <v/>
      </c>
      <c r="D184" t="str">
        <f>IF($A184&lt;&gt;"",'All Cases - Enter Cases'!D184,"")</f>
        <v/>
      </c>
      <c r="E184" t="str">
        <f>IF($A184&lt;&gt;"",'All Cases - Enter Cases'!E184,"")</f>
        <v/>
      </c>
      <c r="F184" t="str">
        <f>IF($A184&lt;&gt;"",'All Cases - Enter Cases'!F184,"")</f>
        <v/>
      </c>
      <c r="G184" t="str">
        <f>IF($A184&lt;&gt;"",'All Cases - Enter Cases'!G184,"")</f>
        <v/>
      </c>
      <c r="H184" t="str">
        <f>IF($A184&lt;&gt;"",'All Cases - Enter Cases'!H184,"")</f>
        <v/>
      </c>
      <c r="I184" t="str">
        <f>IF($A184&lt;&gt;"",'All Cases - Enter Cases'!I184,"")</f>
        <v/>
      </c>
      <c r="J184" t="str">
        <f>IF($A184&lt;&gt;"",'All Cases - Enter Cases'!J184,"")</f>
        <v/>
      </c>
      <c r="K184" t="str">
        <f>IF($A184&lt;&gt;"",'All Cases - Enter Cases'!K184,"")</f>
        <v/>
      </c>
      <c r="L184" t="str">
        <f>IF($A184&lt;&gt;"",'All Cases - Enter Cases'!L184,"")</f>
        <v/>
      </c>
      <c r="M184" t="str">
        <f>IF($A184&lt;&gt;"",'All Cases - Enter Cases'!M184,"")</f>
        <v/>
      </c>
    </row>
    <row r="185" spans="1:13" x14ac:dyDescent="0.35">
      <c r="A185" t="str">
        <f>IF('All Cases - Enter Cases'!$F185="Balochistan",'All Cases - Enter Cases'!A185,"")</f>
        <v/>
      </c>
      <c r="B185" t="str">
        <f>IF($A185&lt;&gt;"",'All Cases - Enter Cases'!B185,"")</f>
        <v/>
      </c>
      <c r="C185" t="str">
        <f>IF($A185&lt;&gt;"",'All Cases - Enter Cases'!C185,"")</f>
        <v/>
      </c>
      <c r="D185" t="str">
        <f>IF($A185&lt;&gt;"",'All Cases - Enter Cases'!D185,"")</f>
        <v/>
      </c>
      <c r="E185" t="str">
        <f>IF($A185&lt;&gt;"",'All Cases - Enter Cases'!E185,"")</f>
        <v/>
      </c>
      <c r="F185" t="str">
        <f>IF($A185&lt;&gt;"",'All Cases - Enter Cases'!F185,"")</f>
        <v/>
      </c>
      <c r="G185" t="str">
        <f>IF($A185&lt;&gt;"",'All Cases - Enter Cases'!G185,"")</f>
        <v/>
      </c>
      <c r="H185" t="str">
        <f>IF($A185&lt;&gt;"",'All Cases - Enter Cases'!H185,"")</f>
        <v/>
      </c>
      <c r="I185" t="str">
        <f>IF($A185&lt;&gt;"",'All Cases - Enter Cases'!I185,"")</f>
        <v/>
      </c>
      <c r="J185" t="str">
        <f>IF($A185&lt;&gt;"",'All Cases - Enter Cases'!J185,"")</f>
        <v/>
      </c>
      <c r="K185" t="str">
        <f>IF($A185&lt;&gt;"",'All Cases - Enter Cases'!K185,"")</f>
        <v/>
      </c>
      <c r="L185" t="str">
        <f>IF($A185&lt;&gt;"",'All Cases - Enter Cases'!L185,"")</f>
        <v/>
      </c>
      <c r="M185" t="str">
        <f>IF($A185&lt;&gt;"",'All Cases - Enter Cases'!M185,"")</f>
        <v/>
      </c>
    </row>
    <row r="186" spans="1:13" x14ac:dyDescent="0.35">
      <c r="A186" t="str">
        <f>IF('All Cases - Enter Cases'!$F186="Balochistan",'All Cases - Enter Cases'!A186,"")</f>
        <v/>
      </c>
      <c r="B186" t="str">
        <f>IF($A186&lt;&gt;"",'All Cases - Enter Cases'!B186,"")</f>
        <v/>
      </c>
      <c r="C186" t="str">
        <f>IF($A186&lt;&gt;"",'All Cases - Enter Cases'!C186,"")</f>
        <v/>
      </c>
      <c r="D186" t="str">
        <f>IF($A186&lt;&gt;"",'All Cases - Enter Cases'!D186,"")</f>
        <v/>
      </c>
      <c r="E186" t="str">
        <f>IF($A186&lt;&gt;"",'All Cases - Enter Cases'!E186,"")</f>
        <v/>
      </c>
      <c r="F186" t="str">
        <f>IF($A186&lt;&gt;"",'All Cases - Enter Cases'!F186,"")</f>
        <v/>
      </c>
      <c r="G186" t="str">
        <f>IF($A186&lt;&gt;"",'All Cases - Enter Cases'!G186,"")</f>
        <v/>
      </c>
      <c r="H186" t="str">
        <f>IF($A186&lt;&gt;"",'All Cases - Enter Cases'!H186,"")</f>
        <v/>
      </c>
      <c r="I186" t="str">
        <f>IF($A186&lt;&gt;"",'All Cases - Enter Cases'!I186,"")</f>
        <v/>
      </c>
      <c r="J186" t="str">
        <f>IF($A186&lt;&gt;"",'All Cases - Enter Cases'!J186,"")</f>
        <v/>
      </c>
      <c r="K186" t="str">
        <f>IF($A186&lt;&gt;"",'All Cases - Enter Cases'!K186,"")</f>
        <v/>
      </c>
      <c r="L186" t="str">
        <f>IF($A186&lt;&gt;"",'All Cases - Enter Cases'!L186,"")</f>
        <v/>
      </c>
      <c r="M186" t="str">
        <f>IF($A186&lt;&gt;"",'All Cases - Enter Cases'!M186,"")</f>
        <v/>
      </c>
    </row>
    <row r="187" spans="1:13" x14ac:dyDescent="0.35">
      <c r="A187" t="str">
        <f>IF('All Cases - Enter Cases'!$F187="Balochistan",'All Cases - Enter Cases'!A187,"")</f>
        <v/>
      </c>
      <c r="B187" t="str">
        <f>IF($A187&lt;&gt;"",'All Cases - Enter Cases'!B187,"")</f>
        <v/>
      </c>
      <c r="C187" t="str">
        <f>IF($A187&lt;&gt;"",'All Cases - Enter Cases'!C187,"")</f>
        <v/>
      </c>
      <c r="D187" t="str">
        <f>IF($A187&lt;&gt;"",'All Cases - Enter Cases'!D187,"")</f>
        <v/>
      </c>
      <c r="E187" t="str">
        <f>IF($A187&lt;&gt;"",'All Cases - Enter Cases'!E187,"")</f>
        <v/>
      </c>
      <c r="F187" t="str">
        <f>IF($A187&lt;&gt;"",'All Cases - Enter Cases'!F187,"")</f>
        <v/>
      </c>
      <c r="G187" t="str">
        <f>IF($A187&lt;&gt;"",'All Cases - Enter Cases'!G187,"")</f>
        <v/>
      </c>
      <c r="H187" t="str">
        <f>IF($A187&lt;&gt;"",'All Cases - Enter Cases'!H187,"")</f>
        <v/>
      </c>
      <c r="I187" t="str">
        <f>IF($A187&lt;&gt;"",'All Cases - Enter Cases'!I187,"")</f>
        <v/>
      </c>
      <c r="J187" t="str">
        <f>IF($A187&lt;&gt;"",'All Cases - Enter Cases'!J187,"")</f>
        <v/>
      </c>
      <c r="K187" t="str">
        <f>IF($A187&lt;&gt;"",'All Cases - Enter Cases'!K187,"")</f>
        <v/>
      </c>
      <c r="L187" t="str">
        <f>IF($A187&lt;&gt;"",'All Cases - Enter Cases'!L187,"")</f>
        <v/>
      </c>
      <c r="M187" t="str">
        <f>IF($A187&lt;&gt;"",'All Cases - Enter Cases'!M187,"")</f>
        <v/>
      </c>
    </row>
    <row r="188" spans="1:13" x14ac:dyDescent="0.35">
      <c r="A188" t="str">
        <f>IF('All Cases - Enter Cases'!$F188="Balochistan",'All Cases - Enter Cases'!A188,"")</f>
        <v/>
      </c>
      <c r="B188" t="str">
        <f>IF($A188&lt;&gt;"",'All Cases - Enter Cases'!B188,"")</f>
        <v/>
      </c>
      <c r="C188" t="str">
        <f>IF($A188&lt;&gt;"",'All Cases - Enter Cases'!C188,"")</f>
        <v/>
      </c>
      <c r="D188" t="str">
        <f>IF($A188&lt;&gt;"",'All Cases - Enter Cases'!D188,"")</f>
        <v/>
      </c>
      <c r="E188" t="str">
        <f>IF($A188&lt;&gt;"",'All Cases - Enter Cases'!E188,"")</f>
        <v/>
      </c>
      <c r="F188" t="str">
        <f>IF($A188&lt;&gt;"",'All Cases - Enter Cases'!F188,"")</f>
        <v/>
      </c>
      <c r="G188" t="str">
        <f>IF($A188&lt;&gt;"",'All Cases - Enter Cases'!G188,"")</f>
        <v/>
      </c>
      <c r="H188" t="str">
        <f>IF($A188&lt;&gt;"",'All Cases - Enter Cases'!H188,"")</f>
        <v/>
      </c>
      <c r="I188" t="str">
        <f>IF($A188&lt;&gt;"",'All Cases - Enter Cases'!I188,"")</f>
        <v/>
      </c>
      <c r="J188" t="str">
        <f>IF($A188&lt;&gt;"",'All Cases - Enter Cases'!J188,"")</f>
        <v/>
      </c>
      <c r="K188" t="str">
        <f>IF($A188&lt;&gt;"",'All Cases - Enter Cases'!K188,"")</f>
        <v/>
      </c>
      <c r="L188" t="str">
        <f>IF($A188&lt;&gt;"",'All Cases - Enter Cases'!L188,"")</f>
        <v/>
      </c>
      <c r="M188" t="str">
        <f>IF($A188&lt;&gt;"",'All Cases - Enter Cases'!M188,"")</f>
        <v/>
      </c>
    </row>
    <row r="189" spans="1:13" x14ac:dyDescent="0.35">
      <c r="A189" t="str">
        <f>IF('All Cases - Enter Cases'!$F189="Balochistan",'All Cases - Enter Cases'!A189,"")</f>
        <v/>
      </c>
      <c r="B189" t="str">
        <f>IF($A189&lt;&gt;"",'All Cases - Enter Cases'!B189,"")</f>
        <v/>
      </c>
      <c r="C189" t="str">
        <f>IF($A189&lt;&gt;"",'All Cases - Enter Cases'!C189,"")</f>
        <v/>
      </c>
      <c r="D189" t="str">
        <f>IF($A189&lt;&gt;"",'All Cases - Enter Cases'!D189,"")</f>
        <v/>
      </c>
      <c r="E189" t="str">
        <f>IF($A189&lt;&gt;"",'All Cases - Enter Cases'!E189,"")</f>
        <v/>
      </c>
      <c r="F189" t="str">
        <f>IF($A189&lt;&gt;"",'All Cases - Enter Cases'!F189,"")</f>
        <v/>
      </c>
      <c r="G189" t="str">
        <f>IF($A189&lt;&gt;"",'All Cases - Enter Cases'!G189,"")</f>
        <v/>
      </c>
      <c r="H189" t="str">
        <f>IF($A189&lt;&gt;"",'All Cases - Enter Cases'!H189,"")</f>
        <v/>
      </c>
      <c r="I189" t="str">
        <f>IF($A189&lt;&gt;"",'All Cases - Enter Cases'!I189,"")</f>
        <v/>
      </c>
      <c r="J189" t="str">
        <f>IF($A189&lt;&gt;"",'All Cases - Enter Cases'!J189,"")</f>
        <v/>
      </c>
      <c r="K189" t="str">
        <f>IF($A189&lt;&gt;"",'All Cases - Enter Cases'!K189,"")</f>
        <v/>
      </c>
      <c r="L189" t="str">
        <f>IF($A189&lt;&gt;"",'All Cases - Enter Cases'!L189,"")</f>
        <v/>
      </c>
      <c r="M189" t="str">
        <f>IF($A189&lt;&gt;"",'All Cases - Enter Cases'!M189,"")</f>
        <v/>
      </c>
    </row>
    <row r="190" spans="1:13" x14ac:dyDescent="0.35">
      <c r="A190" t="str">
        <f>IF('All Cases - Enter Cases'!$F190="Balochistan",'All Cases - Enter Cases'!A190,"")</f>
        <v/>
      </c>
      <c r="B190" t="str">
        <f>IF($A190&lt;&gt;"",'All Cases - Enter Cases'!B190,"")</f>
        <v/>
      </c>
      <c r="C190" t="str">
        <f>IF($A190&lt;&gt;"",'All Cases - Enter Cases'!C190,"")</f>
        <v/>
      </c>
      <c r="D190" t="str">
        <f>IF($A190&lt;&gt;"",'All Cases - Enter Cases'!D190,"")</f>
        <v/>
      </c>
      <c r="E190" t="str">
        <f>IF($A190&lt;&gt;"",'All Cases - Enter Cases'!E190,"")</f>
        <v/>
      </c>
      <c r="F190" t="str">
        <f>IF($A190&lt;&gt;"",'All Cases - Enter Cases'!F190,"")</f>
        <v/>
      </c>
      <c r="G190" t="str">
        <f>IF($A190&lt;&gt;"",'All Cases - Enter Cases'!G190,"")</f>
        <v/>
      </c>
      <c r="H190" t="str">
        <f>IF($A190&lt;&gt;"",'All Cases - Enter Cases'!H190,"")</f>
        <v/>
      </c>
      <c r="I190" t="str">
        <f>IF($A190&lt;&gt;"",'All Cases - Enter Cases'!I190,"")</f>
        <v/>
      </c>
      <c r="J190" t="str">
        <f>IF($A190&lt;&gt;"",'All Cases - Enter Cases'!J190,"")</f>
        <v/>
      </c>
      <c r="K190" t="str">
        <f>IF($A190&lt;&gt;"",'All Cases - Enter Cases'!K190,"")</f>
        <v/>
      </c>
      <c r="L190" t="str">
        <f>IF($A190&lt;&gt;"",'All Cases - Enter Cases'!L190,"")</f>
        <v/>
      </c>
      <c r="M190" t="str">
        <f>IF($A190&lt;&gt;"",'All Cases - Enter Cases'!M190,"")</f>
        <v/>
      </c>
    </row>
    <row r="191" spans="1:13" x14ac:dyDescent="0.35">
      <c r="A191" t="str">
        <f>IF('All Cases - Enter Cases'!$F191="Balochistan",'All Cases - Enter Cases'!A191,"")</f>
        <v/>
      </c>
      <c r="B191" t="str">
        <f>IF($A191&lt;&gt;"",'All Cases - Enter Cases'!B191,"")</f>
        <v/>
      </c>
      <c r="C191" t="str">
        <f>IF($A191&lt;&gt;"",'All Cases - Enter Cases'!C191,"")</f>
        <v/>
      </c>
      <c r="D191" t="str">
        <f>IF($A191&lt;&gt;"",'All Cases - Enter Cases'!D191,"")</f>
        <v/>
      </c>
      <c r="E191" t="str">
        <f>IF($A191&lt;&gt;"",'All Cases - Enter Cases'!E191,"")</f>
        <v/>
      </c>
      <c r="F191" t="str">
        <f>IF($A191&lt;&gt;"",'All Cases - Enter Cases'!F191,"")</f>
        <v/>
      </c>
      <c r="G191" t="str">
        <f>IF($A191&lt;&gt;"",'All Cases - Enter Cases'!G191,"")</f>
        <v/>
      </c>
      <c r="H191" t="str">
        <f>IF($A191&lt;&gt;"",'All Cases - Enter Cases'!H191,"")</f>
        <v/>
      </c>
      <c r="I191" t="str">
        <f>IF($A191&lt;&gt;"",'All Cases - Enter Cases'!I191,"")</f>
        <v/>
      </c>
      <c r="J191" t="str">
        <f>IF($A191&lt;&gt;"",'All Cases - Enter Cases'!J191,"")</f>
        <v/>
      </c>
      <c r="K191" t="str">
        <f>IF($A191&lt;&gt;"",'All Cases - Enter Cases'!K191,"")</f>
        <v/>
      </c>
      <c r="L191" t="str">
        <f>IF($A191&lt;&gt;"",'All Cases - Enter Cases'!L191,"")</f>
        <v/>
      </c>
      <c r="M191" t="str">
        <f>IF($A191&lt;&gt;"",'All Cases - Enter Cases'!M191,"")</f>
        <v/>
      </c>
    </row>
    <row r="192" spans="1:13" x14ac:dyDescent="0.35">
      <c r="A192" t="str">
        <f>IF('All Cases - Enter Cases'!$F192="Balochistan",'All Cases - Enter Cases'!A192,"")</f>
        <v/>
      </c>
      <c r="B192" t="str">
        <f>IF($A192&lt;&gt;"",'All Cases - Enter Cases'!B192,"")</f>
        <v/>
      </c>
      <c r="C192" t="str">
        <f>IF($A192&lt;&gt;"",'All Cases - Enter Cases'!C192,"")</f>
        <v/>
      </c>
      <c r="D192" t="str">
        <f>IF($A192&lt;&gt;"",'All Cases - Enter Cases'!D192,"")</f>
        <v/>
      </c>
      <c r="E192" t="str">
        <f>IF($A192&lt;&gt;"",'All Cases - Enter Cases'!E192,"")</f>
        <v/>
      </c>
      <c r="F192" t="str">
        <f>IF($A192&lt;&gt;"",'All Cases - Enter Cases'!F192,"")</f>
        <v/>
      </c>
      <c r="G192" t="str">
        <f>IF($A192&lt;&gt;"",'All Cases - Enter Cases'!G192,"")</f>
        <v/>
      </c>
      <c r="H192" t="str">
        <f>IF($A192&lt;&gt;"",'All Cases - Enter Cases'!H192,"")</f>
        <v/>
      </c>
      <c r="I192" t="str">
        <f>IF($A192&lt;&gt;"",'All Cases - Enter Cases'!I192,"")</f>
        <v/>
      </c>
      <c r="J192" t="str">
        <f>IF($A192&lt;&gt;"",'All Cases - Enter Cases'!J192,"")</f>
        <v/>
      </c>
      <c r="K192" t="str">
        <f>IF($A192&lt;&gt;"",'All Cases - Enter Cases'!K192,"")</f>
        <v/>
      </c>
      <c r="L192" t="str">
        <f>IF($A192&lt;&gt;"",'All Cases - Enter Cases'!L192,"")</f>
        <v/>
      </c>
      <c r="M192" t="str">
        <f>IF($A192&lt;&gt;"",'All Cases - Enter Cases'!M192,"")</f>
        <v/>
      </c>
    </row>
    <row r="193" spans="1:13" x14ac:dyDescent="0.35">
      <c r="A193" t="str">
        <f>IF('All Cases - Enter Cases'!$F193="Balochistan",'All Cases - Enter Cases'!A193,"")</f>
        <v/>
      </c>
      <c r="B193" t="str">
        <f>IF($A193&lt;&gt;"",'All Cases - Enter Cases'!B193,"")</f>
        <v/>
      </c>
      <c r="C193" t="str">
        <f>IF($A193&lt;&gt;"",'All Cases - Enter Cases'!C193,"")</f>
        <v/>
      </c>
      <c r="D193" t="str">
        <f>IF($A193&lt;&gt;"",'All Cases - Enter Cases'!D193,"")</f>
        <v/>
      </c>
      <c r="E193" t="str">
        <f>IF($A193&lt;&gt;"",'All Cases - Enter Cases'!E193,"")</f>
        <v/>
      </c>
      <c r="F193" t="str">
        <f>IF($A193&lt;&gt;"",'All Cases - Enter Cases'!F193,"")</f>
        <v/>
      </c>
      <c r="G193" t="str">
        <f>IF($A193&lt;&gt;"",'All Cases - Enter Cases'!G193,"")</f>
        <v/>
      </c>
      <c r="H193" t="str">
        <f>IF($A193&lt;&gt;"",'All Cases - Enter Cases'!H193,"")</f>
        <v/>
      </c>
      <c r="I193" t="str">
        <f>IF($A193&lt;&gt;"",'All Cases - Enter Cases'!I193,"")</f>
        <v/>
      </c>
      <c r="J193" t="str">
        <f>IF($A193&lt;&gt;"",'All Cases - Enter Cases'!J193,"")</f>
        <v/>
      </c>
      <c r="K193" t="str">
        <f>IF($A193&lt;&gt;"",'All Cases - Enter Cases'!K193,"")</f>
        <v/>
      </c>
      <c r="L193" t="str">
        <f>IF($A193&lt;&gt;"",'All Cases - Enter Cases'!L193,"")</f>
        <v/>
      </c>
      <c r="M193" t="str">
        <f>IF($A193&lt;&gt;"",'All Cases - Enter Cases'!M193,"")</f>
        <v/>
      </c>
    </row>
    <row r="194" spans="1:13" x14ac:dyDescent="0.35">
      <c r="A194" t="str">
        <f>IF('All Cases - Enter Cases'!$F194="Balochistan",'All Cases - Enter Cases'!A194,"")</f>
        <v/>
      </c>
      <c r="B194" t="str">
        <f>IF($A194&lt;&gt;"",'All Cases - Enter Cases'!B194,"")</f>
        <v/>
      </c>
      <c r="C194" t="str">
        <f>IF($A194&lt;&gt;"",'All Cases - Enter Cases'!C194,"")</f>
        <v/>
      </c>
      <c r="D194" t="str">
        <f>IF($A194&lt;&gt;"",'All Cases - Enter Cases'!D194,"")</f>
        <v/>
      </c>
      <c r="E194" t="str">
        <f>IF($A194&lt;&gt;"",'All Cases - Enter Cases'!E194,"")</f>
        <v/>
      </c>
      <c r="F194" t="str">
        <f>IF($A194&lt;&gt;"",'All Cases - Enter Cases'!F194,"")</f>
        <v/>
      </c>
      <c r="G194" t="str">
        <f>IF($A194&lt;&gt;"",'All Cases - Enter Cases'!G194,"")</f>
        <v/>
      </c>
      <c r="H194" t="str">
        <f>IF($A194&lt;&gt;"",'All Cases - Enter Cases'!H194,"")</f>
        <v/>
      </c>
      <c r="I194" t="str">
        <f>IF($A194&lt;&gt;"",'All Cases - Enter Cases'!I194,"")</f>
        <v/>
      </c>
      <c r="J194" t="str">
        <f>IF($A194&lt;&gt;"",'All Cases - Enter Cases'!J194,"")</f>
        <v/>
      </c>
      <c r="K194" t="str">
        <f>IF($A194&lt;&gt;"",'All Cases - Enter Cases'!K194,"")</f>
        <v/>
      </c>
      <c r="L194" t="str">
        <f>IF($A194&lt;&gt;"",'All Cases - Enter Cases'!L194,"")</f>
        <v/>
      </c>
      <c r="M194" t="str">
        <f>IF($A194&lt;&gt;"",'All Cases - Enter Cases'!M194,"")</f>
        <v/>
      </c>
    </row>
    <row r="195" spans="1:13" x14ac:dyDescent="0.35">
      <c r="A195" t="str">
        <f>IF('All Cases - Enter Cases'!$F195="Balochistan",'All Cases - Enter Cases'!A195,"")</f>
        <v/>
      </c>
      <c r="B195" t="str">
        <f>IF($A195&lt;&gt;"",'All Cases - Enter Cases'!B195,"")</f>
        <v/>
      </c>
      <c r="C195" t="str">
        <f>IF($A195&lt;&gt;"",'All Cases - Enter Cases'!C195,"")</f>
        <v/>
      </c>
      <c r="D195" t="str">
        <f>IF($A195&lt;&gt;"",'All Cases - Enter Cases'!D195,"")</f>
        <v/>
      </c>
      <c r="E195" t="str">
        <f>IF($A195&lt;&gt;"",'All Cases - Enter Cases'!E195,"")</f>
        <v/>
      </c>
      <c r="F195" t="str">
        <f>IF($A195&lt;&gt;"",'All Cases - Enter Cases'!F195,"")</f>
        <v/>
      </c>
      <c r="G195" t="str">
        <f>IF($A195&lt;&gt;"",'All Cases - Enter Cases'!G195,"")</f>
        <v/>
      </c>
      <c r="H195" t="str">
        <f>IF($A195&lt;&gt;"",'All Cases - Enter Cases'!H195,"")</f>
        <v/>
      </c>
      <c r="I195" t="str">
        <f>IF($A195&lt;&gt;"",'All Cases - Enter Cases'!I195,"")</f>
        <v/>
      </c>
      <c r="J195" t="str">
        <f>IF($A195&lt;&gt;"",'All Cases - Enter Cases'!J195,"")</f>
        <v/>
      </c>
      <c r="K195" t="str">
        <f>IF($A195&lt;&gt;"",'All Cases - Enter Cases'!K195,"")</f>
        <v/>
      </c>
      <c r="L195" t="str">
        <f>IF($A195&lt;&gt;"",'All Cases - Enter Cases'!L195,"")</f>
        <v/>
      </c>
      <c r="M195" t="str">
        <f>IF($A195&lt;&gt;"",'All Cases - Enter Cases'!M195,"")</f>
        <v/>
      </c>
    </row>
    <row r="196" spans="1:13" x14ac:dyDescent="0.35">
      <c r="A196" t="str">
        <f>IF('All Cases - Enter Cases'!$F196="Balochistan",'All Cases - Enter Cases'!A196,"")</f>
        <v/>
      </c>
      <c r="B196" t="str">
        <f>IF($A196&lt;&gt;"",'All Cases - Enter Cases'!B196,"")</f>
        <v/>
      </c>
      <c r="C196" t="str">
        <f>IF($A196&lt;&gt;"",'All Cases - Enter Cases'!C196,"")</f>
        <v/>
      </c>
      <c r="D196" t="str">
        <f>IF($A196&lt;&gt;"",'All Cases - Enter Cases'!D196,"")</f>
        <v/>
      </c>
      <c r="E196" t="str">
        <f>IF($A196&lt;&gt;"",'All Cases - Enter Cases'!E196,"")</f>
        <v/>
      </c>
      <c r="F196" t="str">
        <f>IF($A196&lt;&gt;"",'All Cases - Enter Cases'!F196,"")</f>
        <v/>
      </c>
      <c r="G196" t="str">
        <f>IF($A196&lt;&gt;"",'All Cases - Enter Cases'!G196,"")</f>
        <v/>
      </c>
      <c r="H196" t="str">
        <f>IF($A196&lt;&gt;"",'All Cases - Enter Cases'!H196,"")</f>
        <v/>
      </c>
      <c r="I196" t="str">
        <f>IF($A196&lt;&gt;"",'All Cases - Enter Cases'!I196,"")</f>
        <v/>
      </c>
      <c r="J196" t="str">
        <f>IF($A196&lt;&gt;"",'All Cases - Enter Cases'!J196,"")</f>
        <v/>
      </c>
      <c r="K196" t="str">
        <f>IF($A196&lt;&gt;"",'All Cases - Enter Cases'!K196,"")</f>
        <v/>
      </c>
      <c r="L196" t="str">
        <f>IF($A196&lt;&gt;"",'All Cases - Enter Cases'!L196,"")</f>
        <v/>
      </c>
      <c r="M196" t="str">
        <f>IF($A196&lt;&gt;"",'All Cases - Enter Cases'!M196,"")</f>
        <v/>
      </c>
    </row>
    <row r="197" spans="1:13" x14ac:dyDescent="0.35">
      <c r="A197" t="str">
        <f>IF('All Cases - Enter Cases'!$F197="Balochistan",'All Cases - Enter Cases'!A197,"")</f>
        <v/>
      </c>
      <c r="B197" t="str">
        <f>IF($A197&lt;&gt;"",'All Cases - Enter Cases'!B197,"")</f>
        <v/>
      </c>
      <c r="C197" t="str">
        <f>IF($A197&lt;&gt;"",'All Cases - Enter Cases'!C197,"")</f>
        <v/>
      </c>
      <c r="D197" t="str">
        <f>IF($A197&lt;&gt;"",'All Cases - Enter Cases'!D197,"")</f>
        <v/>
      </c>
      <c r="E197" t="str">
        <f>IF($A197&lt;&gt;"",'All Cases - Enter Cases'!E197,"")</f>
        <v/>
      </c>
      <c r="F197" t="str">
        <f>IF($A197&lt;&gt;"",'All Cases - Enter Cases'!F197,"")</f>
        <v/>
      </c>
      <c r="G197" t="str">
        <f>IF($A197&lt;&gt;"",'All Cases - Enter Cases'!G197,"")</f>
        <v/>
      </c>
      <c r="H197" t="str">
        <f>IF($A197&lt;&gt;"",'All Cases - Enter Cases'!H197,"")</f>
        <v/>
      </c>
      <c r="I197" t="str">
        <f>IF($A197&lt;&gt;"",'All Cases - Enter Cases'!I197,"")</f>
        <v/>
      </c>
      <c r="J197" t="str">
        <f>IF($A197&lt;&gt;"",'All Cases - Enter Cases'!J197,"")</f>
        <v/>
      </c>
      <c r="K197" t="str">
        <f>IF($A197&lt;&gt;"",'All Cases - Enter Cases'!K197,"")</f>
        <v/>
      </c>
      <c r="L197" t="str">
        <f>IF($A197&lt;&gt;"",'All Cases - Enter Cases'!L197,"")</f>
        <v/>
      </c>
      <c r="M197" t="str">
        <f>IF($A197&lt;&gt;"",'All Cases - Enter Cases'!M197,"")</f>
        <v/>
      </c>
    </row>
    <row r="198" spans="1:13" x14ac:dyDescent="0.35">
      <c r="A198" t="str">
        <f>IF('All Cases - Enter Cases'!$F198="Balochistan",'All Cases - Enter Cases'!A198,"")</f>
        <v/>
      </c>
      <c r="B198" t="str">
        <f>IF($A198&lt;&gt;"",'All Cases - Enter Cases'!B198,"")</f>
        <v/>
      </c>
      <c r="C198" t="str">
        <f>IF($A198&lt;&gt;"",'All Cases - Enter Cases'!C198,"")</f>
        <v/>
      </c>
      <c r="D198" t="str">
        <f>IF($A198&lt;&gt;"",'All Cases - Enter Cases'!D198,"")</f>
        <v/>
      </c>
      <c r="E198" t="str">
        <f>IF($A198&lt;&gt;"",'All Cases - Enter Cases'!E198,"")</f>
        <v/>
      </c>
      <c r="F198" t="str">
        <f>IF($A198&lt;&gt;"",'All Cases - Enter Cases'!F198,"")</f>
        <v/>
      </c>
      <c r="G198" t="str">
        <f>IF($A198&lt;&gt;"",'All Cases - Enter Cases'!G198,"")</f>
        <v/>
      </c>
      <c r="H198" t="str">
        <f>IF($A198&lt;&gt;"",'All Cases - Enter Cases'!H198,"")</f>
        <v/>
      </c>
      <c r="I198" t="str">
        <f>IF($A198&lt;&gt;"",'All Cases - Enter Cases'!I198,"")</f>
        <v/>
      </c>
      <c r="J198" t="str">
        <f>IF($A198&lt;&gt;"",'All Cases - Enter Cases'!J198,"")</f>
        <v/>
      </c>
      <c r="K198" t="str">
        <f>IF($A198&lt;&gt;"",'All Cases - Enter Cases'!K198,"")</f>
        <v/>
      </c>
      <c r="L198" t="str">
        <f>IF($A198&lt;&gt;"",'All Cases - Enter Cases'!L198,"")</f>
        <v/>
      </c>
      <c r="M198" t="str">
        <f>IF($A198&lt;&gt;"",'All Cases - Enter Cases'!M198,"")</f>
        <v/>
      </c>
    </row>
    <row r="199" spans="1:13" x14ac:dyDescent="0.35">
      <c r="A199" t="str">
        <f>IF('All Cases - Enter Cases'!$F199="Balochistan",'All Cases - Enter Cases'!A199,"")</f>
        <v/>
      </c>
      <c r="B199" t="str">
        <f>IF($A199&lt;&gt;"",'All Cases - Enter Cases'!B199,"")</f>
        <v/>
      </c>
      <c r="C199" t="str">
        <f>IF($A199&lt;&gt;"",'All Cases - Enter Cases'!C199,"")</f>
        <v/>
      </c>
      <c r="D199" t="str">
        <f>IF($A199&lt;&gt;"",'All Cases - Enter Cases'!D199,"")</f>
        <v/>
      </c>
      <c r="E199" t="str">
        <f>IF($A199&lt;&gt;"",'All Cases - Enter Cases'!E199,"")</f>
        <v/>
      </c>
      <c r="F199" t="str">
        <f>IF($A199&lt;&gt;"",'All Cases - Enter Cases'!F199,"")</f>
        <v/>
      </c>
      <c r="G199" t="str">
        <f>IF($A199&lt;&gt;"",'All Cases - Enter Cases'!G199,"")</f>
        <v/>
      </c>
      <c r="H199" t="str">
        <f>IF($A199&lt;&gt;"",'All Cases - Enter Cases'!H199,"")</f>
        <v/>
      </c>
      <c r="I199" t="str">
        <f>IF($A199&lt;&gt;"",'All Cases - Enter Cases'!I199,"")</f>
        <v/>
      </c>
      <c r="J199" t="str">
        <f>IF($A199&lt;&gt;"",'All Cases - Enter Cases'!J199,"")</f>
        <v/>
      </c>
      <c r="K199" t="str">
        <f>IF($A199&lt;&gt;"",'All Cases - Enter Cases'!K199,"")</f>
        <v/>
      </c>
      <c r="L199" t="str">
        <f>IF($A199&lt;&gt;"",'All Cases - Enter Cases'!L199,"")</f>
        <v/>
      </c>
      <c r="M199" t="str">
        <f>IF($A199&lt;&gt;"",'All Cases - Enter Cases'!M199,"")</f>
        <v/>
      </c>
    </row>
    <row r="200" spans="1:13" x14ac:dyDescent="0.35">
      <c r="A200" t="str">
        <f>IF('All Cases - Enter Cases'!$F200="Balochistan",'All Cases - Enter Cases'!A200,"")</f>
        <v/>
      </c>
      <c r="B200" t="str">
        <f>IF($A200&lt;&gt;"",'All Cases - Enter Cases'!B200,"")</f>
        <v/>
      </c>
      <c r="C200" t="str">
        <f>IF($A200&lt;&gt;"",'All Cases - Enter Cases'!C200,"")</f>
        <v/>
      </c>
      <c r="D200" t="str">
        <f>IF($A200&lt;&gt;"",'All Cases - Enter Cases'!D200,"")</f>
        <v/>
      </c>
      <c r="E200" t="str">
        <f>IF($A200&lt;&gt;"",'All Cases - Enter Cases'!E200,"")</f>
        <v/>
      </c>
      <c r="F200" t="str">
        <f>IF($A200&lt;&gt;"",'All Cases - Enter Cases'!F200,"")</f>
        <v/>
      </c>
      <c r="G200" t="str">
        <f>IF($A200&lt;&gt;"",'All Cases - Enter Cases'!G200,"")</f>
        <v/>
      </c>
      <c r="H200" t="str">
        <f>IF($A200&lt;&gt;"",'All Cases - Enter Cases'!H200,"")</f>
        <v/>
      </c>
      <c r="I200" t="str">
        <f>IF($A200&lt;&gt;"",'All Cases - Enter Cases'!I200,"")</f>
        <v/>
      </c>
      <c r="J200" t="str">
        <f>IF($A200&lt;&gt;"",'All Cases - Enter Cases'!J200,"")</f>
        <v/>
      </c>
      <c r="K200" t="str">
        <f>IF($A200&lt;&gt;"",'All Cases - Enter Cases'!K200,"")</f>
        <v/>
      </c>
      <c r="L200" t="str">
        <f>IF($A200&lt;&gt;"",'All Cases - Enter Cases'!L200,"")</f>
        <v/>
      </c>
      <c r="M200" t="str">
        <f>IF($A200&lt;&gt;"",'All Cases - Enter Cases'!M200,"")</f>
        <v/>
      </c>
    </row>
    <row r="201" spans="1:13" x14ac:dyDescent="0.35">
      <c r="A201" t="str">
        <f>IF('All Cases - Enter Cases'!$F201="Balochistan",'All Cases - Enter Cases'!A201,"")</f>
        <v/>
      </c>
      <c r="B201" t="str">
        <f>IF($A201&lt;&gt;"",'All Cases - Enter Cases'!B201,"")</f>
        <v/>
      </c>
      <c r="C201" t="str">
        <f>IF($A201&lt;&gt;"",'All Cases - Enter Cases'!C201,"")</f>
        <v/>
      </c>
      <c r="D201" t="str">
        <f>IF($A201&lt;&gt;"",'All Cases - Enter Cases'!D201,"")</f>
        <v/>
      </c>
      <c r="E201" t="str">
        <f>IF($A201&lt;&gt;"",'All Cases - Enter Cases'!E201,"")</f>
        <v/>
      </c>
      <c r="F201" t="str">
        <f>IF($A201&lt;&gt;"",'All Cases - Enter Cases'!F201,"")</f>
        <v/>
      </c>
      <c r="G201" t="str">
        <f>IF($A201&lt;&gt;"",'All Cases - Enter Cases'!G201,"")</f>
        <v/>
      </c>
      <c r="H201" t="str">
        <f>IF($A201&lt;&gt;"",'All Cases - Enter Cases'!H201,"")</f>
        <v/>
      </c>
      <c r="I201" t="str">
        <f>IF($A201&lt;&gt;"",'All Cases - Enter Cases'!I201,"")</f>
        <v/>
      </c>
      <c r="J201" t="str">
        <f>IF($A201&lt;&gt;"",'All Cases - Enter Cases'!J201,"")</f>
        <v/>
      </c>
      <c r="K201" t="str">
        <f>IF($A201&lt;&gt;"",'All Cases - Enter Cases'!K201,"")</f>
        <v/>
      </c>
      <c r="L201" t="str">
        <f>IF($A201&lt;&gt;"",'All Cases - Enter Cases'!L201,"")</f>
        <v/>
      </c>
      <c r="M201" t="str">
        <f>IF($A201&lt;&gt;"",'All Cases - Enter Cases'!M201,"")</f>
        <v/>
      </c>
    </row>
    <row r="202" spans="1:13" x14ac:dyDescent="0.35">
      <c r="A202" t="str">
        <f>IF('All Cases - Enter Cases'!$F202="Balochistan",'All Cases - Enter Cases'!A202,"")</f>
        <v/>
      </c>
      <c r="B202" t="str">
        <f>IF($A202&lt;&gt;"",'All Cases - Enter Cases'!B202,"")</f>
        <v/>
      </c>
      <c r="C202" t="str">
        <f>IF($A202&lt;&gt;"",'All Cases - Enter Cases'!C202,"")</f>
        <v/>
      </c>
      <c r="D202" t="str">
        <f>IF($A202&lt;&gt;"",'All Cases - Enter Cases'!D202,"")</f>
        <v/>
      </c>
      <c r="E202" t="str">
        <f>IF($A202&lt;&gt;"",'All Cases - Enter Cases'!E202,"")</f>
        <v/>
      </c>
      <c r="F202" t="str">
        <f>IF($A202&lt;&gt;"",'All Cases - Enter Cases'!F202,"")</f>
        <v/>
      </c>
      <c r="G202" t="str">
        <f>IF($A202&lt;&gt;"",'All Cases - Enter Cases'!G202,"")</f>
        <v/>
      </c>
      <c r="H202" t="str">
        <f>IF($A202&lt;&gt;"",'All Cases - Enter Cases'!H202,"")</f>
        <v/>
      </c>
      <c r="I202" t="str">
        <f>IF($A202&lt;&gt;"",'All Cases - Enter Cases'!I202,"")</f>
        <v/>
      </c>
      <c r="J202" t="str">
        <f>IF($A202&lt;&gt;"",'All Cases - Enter Cases'!J202,"")</f>
        <v/>
      </c>
      <c r="K202" t="str">
        <f>IF($A202&lt;&gt;"",'All Cases - Enter Cases'!K202,"")</f>
        <v/>
      </c>
      <c r="L202" t="str">
        <f>IF($A202&lt;&gt;"",'All Cases - Enter Cases'!L202,"")</f>
        <v/>
      </c>
      <c r="M202" t="str">
        <f>IF($A202&lt;&gt;"",'All Cases - Enter Cases'!M202,"")</f>
        <v/>
      </c>
    </row>
    <row r="203" spans="1:13" x14ac:dyDescent="0.35">
      <c r="A203" t="str">
        <f>IF('All Cases - Enter Cases'!$F203="Balochistan",'All Cases - Enter Cases'!A203,"")</f>
        <v/>
      </c>
      <c r="B203" t="str">
        <f>IF($A203&lt;&gt;"",'All Cases - Enter Cases'!B203,"")</f>
        <v/>
      </c>
      <c r="C203" t="str">
        <f>IF($A203&lt;&gt;"",'All Cases - Enter Cases'!C203,"")</f>
        <v/>
      </c>
      <c r="D203" t="str">
        <f>IF($A203&lt;&gt;"",'All Cases - Enter Cases'!D203,"")</f>
        <v/>
      </c>
      <c r="E203" t="str">
        <f>IF($A203&lt;&gt;"",'All Cases - Enter Cases'!E203,"")</f>
        <v/>
      </c>
      <c r="F203" t="str">
        <f>IF($A203&lt;&gt;"",'All Cases - Enter Cases'!F203,"")</f>
        <v/>
      </c>
      <c r="G203" t="str">
        <f>IF($A203&lt;&gt;"",'All Cases - Enter Cases'!G203,"")</f>
        <v/>
      </c>
      <c r="H203" t="str">
        <f>IF($A203&lt;&gt;"",'All Cases - Enter Cases'!H203,"")</f>
        <v/>
      </c>
      <c r="I203" t="str">
        <f>IF($A203&lt;&gt;"",'All Cases - Enter Cases'!I203,"")</f>
        <v/>
      </c>
      <c r="J203" t="str">
        <f>IF($A203&lt;&gt;"",'All Cases - Enter Cases'!J203,"")</f>
        <v/>
      </c>
      <c r="K203" t="str">
        <f>IF($A203&lt;&gt;"",'All Cases - Enter Cases'!K203,"")</f>
        <v/>
      </c>
      <c r="L203" t="str">
        <f>IF($A203&lt;&gt;"",'All Cases - Enter Cases'!L203,"")</f>
        <v/>
      </c>
      <c r="M203" t="str">
        <f>IF($A203&lt;&gt;"",'All Cases - Enter Cases'!M203,"")</f>
        <v/>
      </c>
    </row>
    <row r="204" spans="1:13" x14ac:dyDescent="0.35">
      <c r="A204" t="str">
        <f>IF('All Cases - Enter Cases'!$F204="Balochistan",'All Cases - Enter Cases'!A204,"")</f>
        <v/>
      </c>
      <c r="B204" t="str">
        <f>IF($A204&lt;&gt;"",'All Cases - Enter Cases'!B204,"")</f>
        <v/>
      </c>
      <c r="C204" t="str">
        <f>IF($A204&lt;&gt;"",'All Cases - Enter Cases'!C204,"")</f>
        <v/>
      </c>
      <c r="D204" t="str">
        <f>IF($A204&lt;&gt;"",'All Cases - Enter Cases'!D204,"")</f>
        <v/>
      </c>
      <c r="E204" t="str">
        <f>IF($A204&lt;&gt;"",'All Cases - Enter Cases'!E204,"")</f>
        <v/>
      </c>
      <c r="F204" t="str">
        <f>IF($A204&lt;&gt;"",'All Cases - Enter Cases'!F204,"")</f>
        <v/>
      </c>
      <c r="G204" t="str">
        <f>IF($A204&lt;&gt;"",'All Cases - Enter Cases'!G204,"")</f>
        <v/>
      </c>
      <c r="H204" t="str">
        <f>IF($A204&lt;&gt;"",'All Cases - Enter Cases'!H204,"")</f>
        <v/>
      </c>
      <c r="I204" t="str">
        <f>IF($A204&lt;&gt;"",'All Cases - Enter Cases'!I204,"")</f>
        <v/>
      </c>
      <c r="J204" t="str">
        <f>IF($A204&lt;&gt;"",'All Cases - Enter Cases'!J204,"")</f>
        <v/>
      </c>
      <c r="K204" t="str">
        <f>IF($A204&lt;&gt;"",'All Cases - Enter Cases'!K204,"")</f>
        <v/>
      </c>
      <c r="L204" t="str">
        <f>IF($A204&lt;&gt;"",'All Cases - Enter Cases'!L204,"")</f>
        <v/>
      </c>
      <c r="M204" t="str">
        <f>IF($A204&lt;&gt;"",'All Cases - Enter Cases'!M204,"")</f>
        <v/>
      </c>
    </row>
    <row r="205" spans="1:13" x14ac:dyDescent="0.35">
      <c r="A205" t="str">
        <f>IF('All Cases - Enter Cases'!$F205="Balochistan",'All Cases - Enter Cases'!A205,"")</f>
        <v/>
      </c>
      <c r="B205" t="str">
        <f>IF($A205&lt;&gt;"",'All Cases - Enter Cases'!B205,"")</f>
        <v/>
      </c>
      <c r="C205" t="str">
        <f>IF($A205&lt;&gt;"",'All Cases - Enter Cases'!C205,"")</f>
        <v/>
      </c>
      <c r="D205" t="str">
        <f>IF($A205&lt;&gt;"",'All Cases - Enter Cases'!D205,"")</f>
        <v/>
      </c>
      <c r="E205" t="str">
        <f>IF($A205&lt;&gt;"",'All Cases - Enter Cases'!E205,"")</f>
        <v/>
      </c>
      <c r="F205" t="str">
        <f>IF($A205&lt;&gt;"",'All Cases - Enter Cases'!F205,"")</f>
        <v/>
      </c>
      <c r="G205" t="str">
        <f>IF($A205&lt;&gt;"",'All Cases - Enter Cases'!G205,"")</f>
        <v/>
      </c>
      <c r="H205" t="str">
        <f>IF($A205&lt;&gt;"",'All Cases - Enter Cases'!H205,"")</f>
        <v/>
      </c>
      <c r="I205" t="str">
        <f>IF($A205&lt;&gt;"",'All Cases - Enter Cases'!I205,"")</f>
        <v/>
      </c>
      <c r="J205" t="str">
        <f>IF($A205&lt;&gt;"",'All Cases - Enter Cases'!J205,"")</f>
        <v/>
      </c>
      <c r="K205" t="str">
        <f>IF($A205&lt;&gt;"",'All Cases - Enter Cases'!K205,"")</f>
        <v/>
      </c>
      <c r="L205" t="str">
        <f>IF($A205&lt;&gt;"",'All Cases - Enter Cases'!L205,"")</f>
        <v/>
      </c>
      <c r="M205" t="str">
        <f>IF($A205&lt;&gt;"",'All Cases - Enter Cases'!M205,"")</f>
        <v/>
      </c>
    </row>
    <row r="206" spans="1:13" x14ac:dyDescent="0.35">
      <c r="A206" t="str">
        <f>IF('All Cases - Enter Cases'!$F206="Balochistan",'All Cases - Enter Cases'!A206,"")</f>
        <v/>
      </c>
      <c r="B206" t="str">
        <f>IF($A206&lt;&gt;"",'All Cases - Enter Cases'!B206,"")</f>
        <v/>
      </c>
      <c r="C206" t="str">
        <f>IF($A206&lt;&gt;"",'All Cases - Enter Cases'!C206,"")</f>
        <v/>
      </c>
      <c r="D206" t="str">
        <f>IF($A206&lt;&gt;"",'All Cases - Enter Cases'!D206,"")</f>
        <v/>
      </c>
      <c r="E206" t="str">
        <f>IF($A206&lt;&gt;"",'All Cases - Enter Cases'!E206,"")</f>
        <v/>
      </c>
      <c r="F206" t="str">
        <f>IF($A206&lt;&gt;"",'All Cases - Enter Cases'!F206,"")</f>
        <v/>
      </c>
      <c r="G206" t="str">
        <f>IF($A206&lt;&gt;"",'All Cases - Enter Cases'!G206,"")</f>
        <v/>
      </c>
      <c r="H206" t="str">
        <f>IF($A206&lt;&gt;"",'All Cases - Enter Cases'!H206,"")</f>
        <v/>
      </c>
      <c r="I206" t="str">
        <f>IF($A206&lt;&gt;"",'All Cases - Enter Cases'!I206,"")</f>
        <v/>
      </c>
      <c r="J206" t="str">
        <f>IF($A206&lt;&gt;"",'All Cases - Enter Cases'!J206,"")</f>
        <v/>
      </c>
      <c r="K206" t="str">
        <f>IF($A206&lt;&gt;"",'All Cases - Enter Cases'!K206,"")</f>
        <v/>
      </c>
      <c r="L206" t="str">
        <f>IF($A206&lt;&gt;"",'All Cases - Enter Cases'!L206,"")</f>
        <v/>
      </c>
      <c r="M206" t="str">
        <f>IF($A206&lt;&gt;"",'All Cases - Enter Cases'!M206,"")</f>
        <v/>
      </c>
    </row>
    <row r="207" spans="1:13" x14ac:dyDescent="0.35">
      <c r="A207" t="str">
        <f>IF('All Cases - Enter Cases'!$F207="Balochistan",'All Cases - Enter Cases'!A207,"")</f>
        <v/>
      </c>
      <c r="B207" t="str">
        <f>IF($A207&lt;&gt;"",'All Cases - Enter Cases'!B207,"")</f>
        <v/>
      </c>
      <c r="C207" t="str">
        <f>IF($A207&lt;&gt;"",'All Cases - Enter Cases'!C207,"")</f>
        <v/>
      </c>
      <c r="D207" t="str">
        <f>IF($A207&lt;&gt;"",'All Cases - Enter Cases'!D207,"")</f>
        <v/>
      </c>
      <c r="E207" t="str">
        <f>IF($A207&lt;&gt;"",'All Cases - Enter Cases'!E207,"")</f>
        <v/>
      </c>
      <c r="F207" t="str">
        <f>IF($A207&lt;&gt;"",'All Cases - Enter Cases'!F207,"")</f>
        <v/>
      </c>
      <c r="G207" t="str">
        <f>IF($A207&lt;&gt;"",'All Cases - Enter Cases'!G207,"")</f>
        <v/>
      </c>
      <c r="H207" t="str">
        <f>IF($A207&lt;&gt;"",'All Cases - Enter Cases'!H207,"")</f>
        <v/>
      </c>
      <c r="I207" t="str">
        <f>IF($A207&lt;&gt;"",'All Cases - Enter Cases'!I207,"")</f>
        <v/>
      </c>
      <c r="J207" t="str">
        <f>IF($A207&lt;&gt;"",'All Cases - Enter Cases'!J207,"")</f>
        <v/>
      </c>
      <c r="K207" t="str">
        <f>IF($A207&lt;&gt;"",'All Cases - Enter Cases'!K207,"")</f>
        <v/>
      </c>
      <c r="L207" t="str">
        <f>IF($A207&lt;&gt;"",'All Cases - Enter Cases'!L207,"")</f>
        <v/>
      </c>
      <c r="M207" t="str">
        <f>IF($A207&lt;&gt;"",'All Cases - Enter Cases'!M207,"")</f>
        <v/>
      </c>
    </row>
    <row r="208" spans="1:13" x14ac:dyDescent="0.35">
      <c r="A208" t="str">
        <f>IF('All Cases - Enter Cases'!$F208="Balochistan",'All Cases - Enter Cases'!A208,"")</f>
        <v/>
      </c>
      <c r="B208" t="str">
        <f>IF($A208&lt;&gt;"",'All Cases - Enter Cases'!B208,"")</f>
        <v/>
      </c>
      <c r="C208" t="str">
        <f>IF($A208&lt;&gt;"",'All Cases - Enter Cases'!C208,"")</f>
        <v/>
      </c>
      <c r="D208" t="str">
        <f>IF($A208&lt;&gt;"",'All Cases - Enter Cases'!D208,"")</f>
        <v/>
      </c>
      <c r="E208" t="str">
        <f>IF($A208&lt;&gt;"",'All Cases - Enter Cases'!E208,"")</f>
        <v/>
      </c>
      <c r="F208" t="str">
        <f>IF($A208&lt;&gt;"",'All Cases - Enter Cases'!F208,"")</f>
        <v/>
      </c>
      <c r="G208" t="str">
        <f>IF($A208&lt;&gt;"",'All Cases - Enter Cases'!G208,"")</f>
        <v/>
      </c>
      <c r="H208" t="str">
        <f>IF($A208&lt;&gt;"",'All Cases - Enter Cases'!H208,"")</f>
        <v/>
      </c>
      <c r="I208" t="str">
        <f>IF($A208&lt;&gt;"",'All Cases - Enter Cases'!I208,"")</f>
        <v/>
      </c>
      <c r="J208" t="str">
        <f>IF($A208&lt;&gt;"",'All Cases - Enter Cases'!J208,"")</f>
        <v/>
      </c>
      <c r="K208" t="str">
        <f>IF($A208&lt;&gt;"",'All Cases - Enter Cases'!K208,"")</f>
        <v/>
      </c>
      <c r="L208" t="str">
        <f>IF($A208&lt;&gt;"",'All Cases - Enter Cases'!L208,"")</f>
        <v/>
      </c>
      <c r="M208" t="str">
        <f>IF($A208&lt;&gt;"",'All Cases - Enter Cases'!M208,"")</f>
        <v/>
      </c>
    </row>
    <row r="209" spans="1:13" x14ac:dyDescent="0.35">
      <c r="A209" t="str">
        <f>IF('All Cases - Enter Cases'!$F209="Balochistan",'All Cases - Enter Cases'!A209,"")</f>
        <v/>
      </c>
      <c r="B209" t="str">
        <f>IF($A209&lt;&gt;"",'All Cases - Enter Cases'!B209,"")</f>
        <v/>
      </c>
      <c r="C209" t="str">
        <f>IF($A209&lt;&gt;"",'All Cases - Enter Cases'!C209,"")</f>
        <v/>
      </c>
      <c r="D209" t="str">
        <f>IF($A209&lt;&gt;"",'All Cases - Enter Cases'!D209,"")</f>
        <v/>
      </c>
      <c r="E209" t="str">
        <f>IF($A209&lt;&gt;"",'All Cases - Enter Cases'!E209,"")</f>
        <v/>
      </c>
      <c r="F209" t="str">
        <f>IF($A209&lt;&gt;"",'All Cases - Enter Cases'!F209,"")</f>
        <v/>
      </c>
      <c r="G209" t="str">
        <f>IF($A209&lt;&gt;"",'All Cases - Enter Cases'!G209,"")</f>
        <v/>
      </c>
      <c r="H209" t="str">
        <f>IF($A209&lt;&gt;"",'All Cases - Enter Cases'!H209,"")</f>
        <v/>
      </c>
      <c r="I209" t="str">
        <f>IF($A209&lt;&gt;"",'All Cases - Enter Cases'!I209,"")</f>
        <v/>
      </c>
      <c r="J209" t="str">
        <f>IF($A209&lt;&gt;"",'All Cases - Enter Cases'!J209,"")</f>
        <v/>
      </c>
      <c r="K209" t="str">
        <f>IF($A209&lt;&gt;"",'All Cases - Enter Cases'!K209,"")</f>
        <v/>
      </c>
      <c r="L209" t="str">
        <f>IF($A209&lt;&gt;"",'All Cases - Enter Cases'!L209,"")</f>
        <v/>
      </c>
      <c r="M209" t="str">
        <f>IF($A209&lt;&gt;"",'All Cases - Enter Cases'!M209,"")</f>
        <v/>
      </c>
    </row>
    <row r="210" spans="1:13" x14ac:dyDescent="0.35">
      <c r="A210" t="str">
        <f>IF('All Cases - Enter Cases'!$F210="Balochistan",'All Cases - Enter Cases'!A210,"")</f>
        <v/>
      </c>
      <c r="B210" t="str">
        <f>IF($A210&lt;&gt;"",'All Cases - Enter Cases'!B210,"")</f>
        <v/>
      </c>
      <c r="C210" t="str">
        <f>IF($A210&lt;&gt;"",'All Cases - Enter Cases'!C210,"")</f>
        <v/>
      </c>
      <c r="D210" t="str">
        <f>IF($A210&lt;&gt;"",'All Cases - Enter Cases'!D210,"")</f>
        <v/>
      </c>
      <c r="E210" t="str">
        <f>IF($A210&lt;&gt;"",'All Cases - Enter Cases'!E210,"")</f>
        <v/>
      </c>
      <c r="F210" t="str">
        <f>IF($A210&lt;&gt;"",'All Cases - Enter Cases'!F210,"")</f>
        <v/>
      </c>
      <c r="G210" t="str">
        <f>IF($A210&lt;&gt;"",'All Cases - Enter Cases'!G210,"")</f>
        <v/>
      </c>
      <c r="H210" t="str">
        <f>IF($A210&lt;&gt;"",'All Cases - Enter Cases'!H210,"")</f>
        <v/>
      </c>
      <c r="I210" t="str">
        <f>IF($A210&lt;&gt;"",'All Cases - Enter Cases'!I210,"")</f>
        <v/>
      </c>
      <c r="J210" t="str">
        <f>IF($A210&lt;&gt;"",'All Cases - Enter Cases'!J210,"")</f>
        <v/>
      </c>
      <c r="K210" t="str">
        <f>IF($A210&lt;&gt;"",'All Cases - Enter Cases'!K210,"")</f>
        <v/>
      </c>
      <c r="L210" t="str">
        <f>IF($A210&lt;&gt;"",'All Cases - Enter Cases'!L210,"")</f>
        <v/>
      </c>
      <c r="M210" t="str">
        <f>IF($A210&lt;&gt;"",'All Cases - Enter Cases'!M210,"")</f>
        <v/>
      </c>
    </row>
    <row r="211" spans="1:13" x14ac:dyDescent="0.35">
      <c r="A211" t="str">
        <f>IF('All Cases - Enter Cases'!$F211="Balochistan",'All Cases - Enter Cases'!A211,"")</f>
        <v/>
      </c>
      <c r="B211" t="str">
        <f>IF($A211&lt;&gt;"",'All Cases - Enter Cases'!B211,"")</f>
        <v/>
      </c>
      <c r="C211" t="str">
        <f>IF($A211&lt;&gt;"",'All Cases - Enter Cases'!C211,"")</f>
        <v/>
      </c>
      <c r="D211" t="str">
        <f>IF($A211&lt;&gt;"",'All Cases - Enter Cases'!D211,"")</f>
        <v/>
      </c>
      <c r="E211" t="str">
        <f>IF($A211&lt;&gt;"",'All Cases - Enter Cases'!E211,"")</f>
        <v/>
      </c>
      <c r="F211" t="str">
        <f>IF($A211&lt;&gt;"",'All Cases - Enter Cases'!F211,"")</f>
        <v/>
      </c>
      <c r="G211" t="str">
        <f>IF($A211&lt;&gt;"",'All Cases - Enter Cases'!G211,"")</f>
        <v/>
      </c>
      <c r="H211" t="str">
        <f>IF($A211&lt;&gt;"",'All Cases - Enter Cases'!H211,"")</f>
        <v/>
      </c>
      <c r="I211" t="str">
        <f>IF($A211&lt;&gt;"",'All Cases - Enter Cases'!I211,"")</f>
        <v/>
      </c>
      <c r="J211" t="str">
        <f>IF($A211&lt;&gt;"",'All Cases - Enter Cases'!J211,"")</f>
        <v/>
      </c>
      <c r="K211" t="str">
        <f>IF($A211&lt;&gt;"",'All Cases - Enter Cases'!K211,"")</f>
        <v/>
      </c>
      <c r="L211" t="str">
        <f>IF($A211&lt;&gt;"",'All Cases - Enter Cases'!L211,"")</f>
        <v/>
      </c>
      <c r="M211" t="str">
        <f>IF($A211&lt;&gt;"",'All Cases - Enter Cases'!M211,"")</f>
        <v/>
      </c>
    </row>
    <row r="212" spans="1:13" x14ac:dyDescent="0.35">
      <c r="A212" t="str">
        <f>IF('All Cases - Enter Cases'!$F212="Balochistan",'All Cases - Enter Cases'!A212,"")</f>
        <v/>
      </c>
      <c r="B212" t="str">
        <f>IF($A212&lt;&gt;"",'All Cases - Enter Cases'!B212,"")</f>
        <v/>
      </c>
      <c r="C212" t="str">
        <f>IF($A212&lt;&gt;"",'All Cases - Enter Cases'!C212,"")</f>
        <v/>
      </c>
      <c r="D212" t="str">
        <f>IF($A212&lt;&gt;"",'All Cases - Enter Cases'!D212,"")</f>
        <v/>
      </c>
      <c r="E212" t="str">
        <f>IF($A212&lt;&gt;"",'All Cases - Enter Cases'!E212,"")</f>
        <v/>
      </c>
      <c r="F212" t="str">
        <f>IF($A212&lt;&gt;"",'All Cases - Enter Cases'!F212,"")</f>
        <v/>
      </c>
      <c r="G212" t="str">
        <f>IF($A212&lt;&gt;"",'All Cases - Enter Cases'!G212,"")</f>
        <v/>
      </c>
      <c r="H212" t="str">
        <f>IF($A212&lt;&gt;"",'All Cases - Enter Cases'!H212,"")</f>
        <v/>
      </c>
      <c r="I212" t="str">
        <f>IF($A212&lt;&gt;"",'All Cases - Enter Cases'!I212,"")</f>
        <v/>
      </c>
      <c r="J212" t="str">
        <f>IF($A212&lt;&gt;"",'All Cases - Enter Cases'!J212,"")</f>
        <v/>
      </c>
      <c r="K212" t="str">
        <f>IF($A212&lt;&gt;"",'All Cases - Enter Cases'!K212,"")</f>
        <v/>
      </c>
      <c r="L212" t="str">
        <f>IF($A212&lt;&gt;"",'All Cases - Enter Cases'!L212,"")</f>
        <v/>
      </c>
      <c r="M212" t="str">
        <f>IF($A212&lt;&gt;"",'All Cases - Enter Cases'!M212,"")</f>
        <v/>
      </c>
    </row>
    <row r="213" spans="1:13" x14ac:dyDescent="0.35">
      <c r="A213" t="str">
        <f>IF('All Cases - Enter Cases'!$F213="Balochistan",'All Cases - Enter Cases'!A213,"")</f>
        <v/>
      </c>
      <c r="B213" t="str">
        <f>IF($A213&lt;&gt;"",'All Cases - Enter Cases'!B213,"")</f>
        <v/>
      </c>
      <c r="C213" t="str">
        <f>IF($A213&lt;&gt;"",'All Cases - Enter Cases'!C213,"")</f>
        <v/>
      </c>
      <c r="D213" t="str">
        <f>IF($A213&lt;&gt;"",'All Cases - Enter Cases'!D213,"")</f>
        <v/>
      </c>
      <c r="E213" t="str">
        <f>IF($A213&lt;&gt;"",'All Cases - Enter Cases'!E213,"")</f>
        <v/>
      </c>
      <c r="F213" t="str">
        <f>IF($A213&lt;&gt;"",'All Cases - Enter Cases'!F213,"")</f>
        <v/>
      </c>
      <c r="G213" t="str">
        <f>IF($A213&lt;&gt;"",'All Cases - Enter Cases'!G213,"")</f>
        <v/>
      </c>
      <c r="H213" t="str">
        <f>IF($A213&lt;&gt;"",'All Cases - Enter Cases'!H213,"")</f>
        <v/>
      </c>
      <c r="I213" t="str">
        <f>IF($A213&lt;&gt;"",'All Cases - Enter Cases'!I213,"")</f>
        <v/>
      </c>
      <c r="J213" t="str">
        <f>IF($A213&lt;&gt;"",'All Cases - Enter Cases'!J213,"")</f>
        <v/>
      </c>
      <c r="K213" t="str">
        <f>IF($A213&lt;&gt;"",'All Cases - Enter Cases'!K213,"")</f>
        <v/>
      </c>
      <c r="L213" t="str">
        <f>IF($A213&lt;&gt;"",'All Cases - Enter Cases'!L213,"")</f>
        <v/>
      </c>
      <c r="M213" t="str">
        <f>IF($A213&lt;&gt;"",'All Cases - Enter Cases'!M213,"")</f>
        <v/>
      </c>
    </row>
    <row r="214" spans="1:13" x14ac:dyDescent="0.35">
      <c r="A214" t="str">
        <f>IF('All Cases - Enter Cases'!$F214="Balochistan",'All Cases - Enter Cases'!A214,"")</f>
        <v/>
      </c>
      <c r="B214" t="str">
        <f>IF($A214&lt;&gt;"",'All Cases - Enter Cases'!B214,"")</f>
        <v/>
      </c>
      <c r="C214" t="str">
        <f>IF($A214&lt;&gt;"",'All Cases - Enter Cases'!C214,"")</f>
        <v/>
      </c>
      <c r="D214" t="str">
        <f>IF($A214&lt;&gt;"",'All Cases - Enter Cases'!D214,"")</f>
        <v/>
      </c>
      <c r="E214" t="str">
        <f>IF($A214&lt;&gt;"",'All Cases - Enter Cases'!E214,"")</f>
        <v/>
      </c>
      <c r="F214" t="str">
        <f>IF($A214&lt;&gt;"",'All Cases - Enter Cases'!F214,"")</f>
        <v/>
      </c>
      <c r="G214" t="str">
        <f>IF($A214&lt;&gt;"",'All Cases - Enter Cases'!G214,"")</f>
        <v/>
      </c>
      <c r="H214" t="str">
        <f>IF($A214&lt;&gt;"",'All Cases - Enter Cases'!H214,"")</f>
        <v/>
      </c>
      <c r="I214" t="str">
        <f>IF($A214&lt;&gt;"",'All Cases - Enter Cases'!I214,"")</f>
        <v/>
      </c>
      <c r="J214" t="str">
        <f>IF($A214&lt;&gt;"",'All Cases - Enter Cases'!J214,"")</f>
        <v/>
      </c>
      <c r="K214" t="str">
        <f>IF($A214&lt;&gt;"",'All Cases - Enter Cases'!K214,"")</f>
        <v/>
      </c>
      <c r="L214" t="str">
        <f>IF($A214&lt;&gt;"",'All Cases - Enter Cases'!L214,"")</f>
        <v/>
      </c>
      <c r="M214" t="str">
        <f>IF($A214&lt;&gt;"",'All Cases - Enter Cases'!M214,"")</f>
        <v/>
      </c>
    </row>
    <row r="215" spans="1:13" x14ac:dyDescent="0.35">
      <c r="A215" t="str">
        <f>IF('All Cases - Enter Cases'!$F215="Balochistan",'All Cases - Enter Cases'!A215,"")</f>
        <v/>
      </c>
      <c r="B215" t="str">
        <f>IF($A215&lt;&gt;"",'All Cases - Enter Cases'!B215,"")</f>
        <v/>
      </c>
      <c r="C215" t="str">
        <f>IF($A215&lt;&gt;"",'All Cases - Enter Cases'!C215,"")</f>
        <v/>
      </c>
      <c r="D215" t="str">
        <f>IF($A215&lt;&gt;"",'All Cases - Enter Cases'!D215,"")</f>
        <v/>
      </c>
      <c r="E215" t="str">
        <f>IF($A215&lt;&gt;"",'All Cases - Enter Cases'!E215,"")</f>
        <v/>
      </c>
      <c r="F215" t="str">
        <f>IF($A215&lt;&gt;"",'All Cases - Enter Cases'!F215,"")</f>
        <v/>
      </c>
      <c r="G215" t="str">
        <f>IF($A215&lt;&gt;"",'All Cases - Enter Cases'!G215,"")</f>
        <v/>
      </c>
      <c r="H215" t="str">
        <f>IF($A215&lt;&gt;"",'All Cases - Enter Cases'!H215,"")</f>
        <v/>
      </c>
      <c r="I215" t="str">
        <f>IF($A215&lt;&gt;"",'All Cases - Enter Cases'!I215,"")</f>
        <v/>
      </c>
      <c r="J215" t="str">
        <f>IF($A215&lt;&gt;"",'All Cases - Enter Cases'!J215,"")</f>
        <v/>
      </c>
      <c r="K215" t="str">
        <f>IF($A215&lt;&gt;"",'All Cases - Enter Cases'!K215,"")</f>
        <v/>
      </c>
      <c r="L215" t="str">
        <f>IF($A215&lt;&gt;"",'All Cases - Enter Cases'!L215,"")</f>
        <v/>
      </c>
      <c r="M215" t="str">
        <f>IF($A215&lt;&gt;"",'All Cases - Enter Cases'!M215,"")</f>
        <v/>
      </c>
    </row>
    <row r="216" spans="1:13" x14ac:dyDescent="0.35">
      <c r="A216" t="str">
        <f>IF('All Cases - Enter Cases'!$F216="Balochistan",'All Cases - Enter Cases'!A216,"")</f>
        <v/>
      </c>
      <c r="B216" t="str">
        <f>IF($A216&lt;&gt;"",'All Cases - Enter Cases'!B216,"")</f>
        <v/>
      </c>
      <c r="C216" t="str">
        <f>IF($A216&lt;&gt;"",'All Cases - Enter Cases'!C216,"")</f>
        <v/>
      </c>
      <c r="D216" t="str">
        <f>IF($A216&lt;&gt;"",'All Cases - Enter Cases'!D216,"")</f>
        <v/>
      </c>
      <c r="E216" t="str">
        <f>IF($A216&lt;&gt;"",'All Cases - Enter Cases'!E216,"")</f>
        <v/>
      </c>
      <c r="F216" t="str">
        <f>IF($A216&lt;&gt;"",'All Cases - Enter Cases'!F216,"")</f>
        <v/>
      </c>
      <c r="G216" t="str">
        <f>IF($A216&lt;&gt;"",'All Cases - Enter Cases'!G216,"")</f>
        <v/>
      </c>
      <c r="H216" t="str">
        <f>IF($A216&lt;&gt;"",'All Cases - Enter Cases'!H216,"")</f>
        <v/>
      </c>
      <c r="I216" t="str">
        <f>IF($A216&lt;&gt;"",'All Cases - Enter Cases'!I216,"")</f>
        <v/>
      </c>
      <c r="J216" t="str">
        <f>IF($A216&lt;&gt;"",'All Cases - Enter Cases'!J216,"")</f>
        <v/>
      </c>
      <c r="K216" t="str">
        <f>IF($A216&lt;&gt;"",'All Cases - Enter Cases'!K216,"")</f>
        <v/>
      </c>
      <c r="L216" t="str">
        <f>IF($A216&lt;&gt;"",'All Cases - Enter Cases'!L216,"")</f>
        <v/>
      </c>
      <c r="M216" t="str">
        <f>IF($A216&lt;&gt;"",'All Cases - Enter Cases'!M216,"")</f>
        <v/>
      </c>
    </row>
    <row r="217" spans="1:13" x14ac:dyDescent="0.35">
      <c r="A217" t="str">
        <f>IF('All Cases - Enter Cases'!$F217="Balochistan",'All Cases - Enter Cases'!A217,"")</f>
        <v/>
      </c>
      <c r="B217" t="str">
        <f>IF($A217&lt;&gt;"",'All Cases - Enter Cases'!B217,"")</f>
        <v/>
      </c>
      <c r="C217" t="str">
        <f>IF($A217&lt;&gt;"",'All Cases - Enter Cases'!C217,"")</f>
        <v/>
      </c>
      <c r="D217" t="str">
        <f>IF($A217&lt;&gt;"",'All Cases - Enter Cases'!D217,"")</f>
        <v/>
      </c>
      <c r="E217" t="str">
        <f>IF($A217&lt;&gt;"",'All Cases - Enter Cases'!E217,"")</f>
        <v/>
      </c>
      <c r="F217" t="str">
        <f>IF($A217&lt;&gt;"",'All Cases - Enter Cases'!F217,"")</f>
        <v/>
      </c>
      <c r="G217" t="str">
        <f>IF($A217&lt;&gt;"",'All Cases - Enter Cases'!G217,"")</f>
        <v/>
      </c>
      <c r="H217" t="str">
        <f>IF($A217&lt;&gt;"",'All Cases - Enter Cases'!H217,"")</f>
        <v/>
      </c>
      <c r="I217" t="str">
        <f>IF($A217&lt;&gt;"",'All Cases - Enter Cases'!I217,"")</f>
        <v/>
      </c>
      <c r="J217" t="str">
        <f>IF($A217&lt;&gt;"",'All Cases - Enter Cases'!J217,"")</f>
        <v/>
      </c>
      <c r="K217" t="str">
        <f>IF($A217&lt;&gt;"",'All Cases - Enter Cases'!K217,"")</f>
        <v/>
      </c>
      <c r="L217" t="str">
        <f>IF($A217&lt;&gt;"",'All Cases - Enter Cases'!L217,"")</f>
        <v/>
      </c>
      <c r="M217" t="str">
        <f>IF($A217&lt;&gt;"",'All Cases - Enter Cases'!M217,"")</f>
        <v/>
      </c>
    </row>
    <row r="218" spans="1:13" x14ac:dyDescent="0.35">
      <c r="A218" t="str">
        <f>IF('All Cases - Enter Cases'!$F218="Balochistan",'All Cases - Enter Cases'!A218,"")</f>
        <v/>
      </c>
      <c r="B218" t="str">
        <f>IF($A218&lt;&gt;"",'All Cases - Enter Cases'!B218,"")</f>
        <v/>
      </c>
      <c r="C218" t="str">
        <f>IF($A218&lt;&gt;"",'All Cases - Enter Cases'!C218,"")</f>
        <v/>
      </c>
      <c r="D218" t="str">
        <f>IF($A218&lt;&gt;"",'All Cases - Enter Cases'!D218,"")</f>
        <v/>
      </c>
      <c r="E218" t="str">
        <f>IF($A218&lt;&gt;"",'All Cases - Enter Cases'!E218,"")</f>
        <v/>
      </c>
      <c r="F218" t="str">
        <f>IF($A218&lt;&gt;"",'All Cases - Enter Cases'!F218,"")</f>
        <v/>
      </c>
      <c r="G218" t="str">
        <f>IF($A218&lt;&gt;"",'All Cases - Enter Cases'!G218,"")</f>
        <v/>
      </c>
      <c r="H218" t="str">
        <f>IF($A218&lt;&gt;"",'All Cases - Enter Cases'!H218,"")</f>
        <v/>
      </c>
      <c r="I218" t="str">
        <f>IF($A218&lt;&gt;"",'All Cases - Enter Cases'!I218,"")</f>
        <v/>
      </c>
      <c r="J218" t="str">
        <f>IF($A218&lt;&gt;"",'All Cases - Enter Cases'!J218,"")</f>
        <v/>
      </c>
      <c r="K218" t="str">
        <f>IF($A218&lt;&gt;"",'All Cases - Enter Cases'!K218,"")</f>
        <v/>
      </c>
      <c r="L218" t="str">
        <f>IF($A218&lt;&gt;"",'All Cases - Enter Cases'!L218,"")</f>
        <v/>
      </c>
      <c r="M218" t="str">
        <f>IF($A218&lt;&gt;"",'All Cases - Enter Cases'!M218,"")</f>
        <v/>
      </c>
    </row>
    <row r="219" spans="1:13" x14ac:dyDescent="0.35">
      <c r="A219" t="str">
        <f>IF('All Cases - Enter Cases'!$F219="Balochistan",'All Cases - Enter Cases'!A219,"")</f>
        <v/>
      </c>
      <c r="B219" t="str">
        <f>IF($A219&lt;&gt;"",'All Cases - Enter Cases'!B219,"")</f>
        <v/>
      </c>
      <c r="C219" t="str">
        <f>IF($A219&lt;&gt;"",'All Cases - Enter Cases'!C219,"")</f>
        <v/>
      </c>
      <c r="D219" t="str">
        <f>IF($A219&lt;&gt;"",'All Cases - Enter Cases'!D219,"")</f>
        <v/>
      </c>
      <c r="E219" t="str">
        <f>IF($A219&lt;&gt;"",'All Cases - Enter Cases'!E219,"")</f>
        <v/>
      </c>
      <c r="F219" t="str">
        <f>IF($A219&lt;&gt;"",'All Cases - Enter Cases'!F219,"")</f>
        <v/>
      </c>
      <c r="G219" t="str">
        <f>IF($A219&lt;&gt;"",'All Cases - Enter Cases'!G219,"")</f>
        <v/>
      </c>
      <c r="H219" t="str">
        <f>IF($A219&lt;&gt;"",'All Cases - Enter Cases'!H219,"")</f>
        <v/>
      </c>
      <c r="I219" t="str">
        <f>IF($A219&lt;&gt;"",'All Cases - Enter Cases'!I219,"")</f>
        <v/>
      </c>
      <c r="J219" t="str">
        <f>IF($A219&lt;&gt;"",'All Cases - Enter Cases'!J219,"")</f>
        <v/>
      </c>
      <c r="K219" t="str">
        <f>IF($A219&lt;&gt;"",'All Cases - Enter Cases'!K219,"")</f>
        <v/>
      </c>
      <c r="L219" t="str">
        <f>IF($A219&lt;&gt;"",'All Cases - Enter Cases'!L219,"")</f>
        <v/>
      </c>
      <c r="M219" t="str">
        <f>IF($A219&lt;&gt;"",'All Cases - Enter Cases'!M219,"")</f>
        <v/>
      </c>
    </row>
    <row r="220" spans="1:13" x14ac:dyDescent="0.35">
      <c r="A220" t="str">
        <f>IF('All Cases - Enter Cases'!$F220="Balochistan",'All Cases - Enter Cases'!A220,"")</f>
        <v/>
      </c>
      <c r="B220" t="str">
        <f>IF($A220&lt;&gt;"",'All Cases - Enter Cases'!B220,"")</f>
        <v/>
      </c>
      <c r="C220" t="str">
        <f>IF($A220&lt;&gt;"",'All Cases - Enter Cases'!C220,"")</f>
        <v/>
      </c>
      <c r="D220" t="str">
        <f>IF($A220&lt;&gt;"",'All Cases - Enter Cases'!D220,"")</f>
        <v/>
      </c>
      <c r="E220" t="str">
        <f>IF($A220&lt;&gt;"",'All Cases - Enter Cases'!E220,"")</f>
        <v/>
      </c>
      <c r="F220" t="str">
        <f>IF($A220&lt;&gt;"",'All Cases - Enter Cases'!F220,"")</f>
        <v/>
      </c>
      <c r="G220" t="str">
        <f>IF($A220&lt;&gt;"",'All Cases - Enter Cases'!G220,"")</f>
        <v/>
      </c>
      <c r="H220" t="str">
        <f>IF($A220&lt;&gt;"",'All Cases - Enter Cases'!H220,"")</f>
        <v/>
      </c>
      <c r="I220" t="str">
        <f>IF($A220&lt;&gt;"",'All Cases - Enter Cases'!I220,"")</f>
        <v/>
      </c>
      <c r="J220" t="str">
        <f>IF($A220&lt;&gt;"",'All Cases - Enter Cases'!J220,"")</f>
        <v/>
      </c>
      <c r="K220" t="str">
        <f>IF($A220&lt;&gt;"",'All Cases - Enter Cases'!K220,"")</f>
        <v/>
      </c>
      <c r="L220" t="str">
        <f>IF($A220&lt;&gt;"",'All Cases - Enter Cases'!L220,"")</f>
        <v/>
      </c>
      <c r="M220" t="str">
        <f>IF($A220&lt;&gt;"",'All Cases - Enter Cases'!M220,"")</f>
        <v/>
      </c>
    </row>
    <row r="221" spans="1:13" x14ac:dyDescent="0.35">
      <c r="A221" t="str">
        <f>IF('All Cases - Enter Cases'!$F221="Balochistan",'All Cases - Enter Cases'!A221,"")</f>
        <v/>
      </c>
      <c r="B221" t="str">
        <f>IF($A221&lt;&gt;"",'All Cases - Enter Cases'!B221,"")</f>
        <v/>
      </c>
      <c r="C221" t="str">
        <f>IF($A221&lt;&gt;"",'All Cases - Enter Cases'!C221,"")</f>
        <v/>
      </c>
      <c r="D221" t="str">
        <f>IF($A221&lt;&gt;"",'All Cases - Enter Cases'!D221,"")</f>
        <v/>
      </c>
      <c r="E221" t="str">
        <f>IF($A221&lt;&gt;"",'All Cases - Enter Cases'!E221,"")</f>
        <v/>
      </c>
      <c r="F221" t="str">
        <f>IF($A221&lt;&gt;"",'All Cases - Enter Cases'!F221,"")</f>
        <v/>
      </c>
      <c r="G221" t="str">
        <f>IF($A221&lt;&gt;"",'All Cases - Enter Cases'!G221,"")</f>
        <v/>
      </c>
      <c r="H221" t="str">
        <f>IF($A221&lt;&gt;"",'All Cases - Enter Cases'!H221,"")</f>
        <v/>
      </c>
      <c r="I221" t="str">
        <f>IF($A221&lt;&gt;"",'All Cases - Enter Cases'!I221,"")</f>
        <v/>
      </c>
      <c r="J221" t="str">
        <f>IF($A221&lt;&gt;"",'All Cases - Enter Cases'!J221,"")</f>
        <v/>
      </c>
      <c r="K221" t="str">
        <f>IF($A221&lt;&gt;"",'All Cases - Enter Cases'!K221,"")</f>
        <v/>
      </c>
      <c r="L221" t="str">
        <f>IF($A221&lt;&gt;"",'All Cases - Enter Cases'!L221,"")</f>
        <v/>
      </c>
      <c r="M221" t="str">
        <f>IF($A221&lt;&gt;"",'All Cases - Enter Cases'!M221,"")</f>
        <v/>
      </c>
    </row>
    <row r="222" spans="1:13" x14ac:dyDescent="0.35">
      <c r="A222" t="str">
        <f>IF('All Cases - Enter Cases'!$F222="Balochistan",'All Cases - Enter Cases'!A222,"")</f>
        <v/>
      </c>
      <c r="B222" t="str">
        <f>IF($A222&lt;&gt;"",'All Cases - Enter Cases'!B222,"")</f>
        <v/>
      </c>
      <c r="C222" t="str">
        <f>IF($A222&lt;&gt;"",'All Cases - Enter Cases'!C222,"")</f>
        <v/>
      </c>
      <c r="D222" t="str">
        <f>IF($A222&lt;&gt;"",'All Cases - Enter Cases'!D222,"")</f>
        <v/>
      </c>
      <c r="E222" t="str">
        <f>IF($A222&lt;&gt;"",'All Cases - Enter Cases'!E222,"")</f>
        <v/>
      </c>
      <c r="F222" t="str">
        <f>IF($A222&lt;&gt;"",'All Cases - Enter Cases'!F222,"")</f>
        <v/>
      </c>
      <c r="G222" t="str">
        <f>IF($A222&lt;&gt;"",'All Cases - Enter Cases'!G222,"")</f>
        <v/>
      </c>
      <c r="H222" t="str">
        <f>IF($A222&lt;&gt;"",'All Cases - Enter Cases'!H222,"")</f>
        <v/>
      </c>
      <c r="I222" t="str">
        <f>IF($A222&lt;&gt;"",'All Cases - Enter Cases'!I222,"")</f>
        <v/>
      </c>
      <c r="J222" t="str">
        <f>IF($A222&lt;&gt;"",'All Cases - Enter Cases'!J222,"")</f>
        <v/>
      </c>
      <c r="K222" t="str">
        <f>IF($A222&lt;&gt;"",'All Cases - Enter Cases'!K222,"")</f>
        <v/>
      </c>
      <c r="L222" t="str">
        <f>IF($A222&lt;&gt;"",'All Cases - Enter Cases'!L222,"")</f>
        <v/>
      </c>
      <c r="M222" t="str">
        <f>IF($A222&lt;&gt;"",'All Cases - Enter Cases'!M222,"")</f>
        <v/>
      </c>
    </row>
    <row r="223" spans="1:13" x14ac:dyDescent="0.35">
      <c r="A223" t="str">
        <f>IF('All Cases - Enter Cases'!$F223="Balochistan",'All Cases - Enter Cases'!A223,"")</f>
        <v/>
      </c>
      <c r="B223" t="str">
        <f>IF($A223&lt;&gt;"",'All Cases - Enter Cases'!B223,"")</f>
        <v/>
      </c>
      <c r="C223" t="str">
        <f>IF($A223&lt;&gt;"",'All Cases - Enter Cases'!C223,"")</f>
        <v/>
      </c>
      <c r="D223" t="str">
        <f>IF($A223&lt;&gt;"",'All Cases - Enter Cases'!D223,"")</f>
        <v/>
      </c>
      <c r="E223" t="str">
        <f>IF($A223&lt;&gt;"",'All Cases - Enter Cases'!E223,"")</f>
        <v/>
      </c>
      <c r="F223" t="str">
        <f>IF($A223&lt;&gt;"",'All Cases - Enter Cases'!F223,"")</f>
        <v/>
      </c>
      <c r="G223" t="str">
        <f>IF($A223&lt;&gt;"",'All Cases - Enter Cases'!G223,"")</f>
        <v/>
      </c>
      <c r="H223" t="str">
        <f>IF($A223&lt;&gt;"",'All Cases - Enter Cases'!H223,"")</f>
        <v/>
      </c>
      <c r="I223" t="str">
        <f>IF($A223&lt;&gt;"",'All Cases - Enter Cases'!I223,"")</f>
        <v/>
      </c>
      <c r="J223" t="str">
        <f>IF($A223&lt;&gt;"",'All Cases - Enter Cases'!J223,"")</f>
        <v/>
      </c>
      <c r="K223" t="str">
        <f>IF($A223&lt;&gt;"",'All Cases - Enter Cases'!K223,"")</f>
        <v/>
      </c>
      <c r="L223" t="str">
        <f>IF($A223&lt;&gt;"",'All Cases - Enter Cases'!L223,"")</f>
        <v/>
      </c>
      <c r="M223" t="str">
        <f>IF($A223&lt;&gt;"",'All Cases - Enter Cases'!M223,"")</f>
        <v/>
      </c>
    </row>
    <row r="224" spans="1:13" x14ac:dyDescent="0.35">
      <c r="A224" t="str">
        <f>IF('All Cases - Enter Cases'!$F224="Balochistan",'All Cases - Enter Cases'!A224,"")</f>
        <v/>
      </c>
      <c r="B224" t="str">
        <f>IF($A224&lt;&gt;"",'All Cases - Enter Cases'!B224,"")</f>
        <v/>
      </c>
      <c r="C224" t="str">
        <f>IF($A224&lt;&gt;"",'All Cases - Enter Cases'!C224,"")</f>
        <v/>
      </c>
      <c r="D224" t="str">
        <f>IF($A224&lt;&gt;"",'All Cases - Enter Cases'!D224,"")</f>
        <v/>
      </c>
      <c r="E224" t="str">
        <f>IF($A224&lt;&gt;"",'All Cases - Enter Cases'!E224,"")</f>
        <v/>
      </c>
      <c r="F224" t="str">
        <f>IF($A224&lt;&gt;"",'All Cases - Enter Cases'!F224,"")</f>
        <v/>
      </c>
      <c r="G224" t="str">
        <f>IF($A224&lt;&gt;"",'All Cases - Enter Cases'!G224,"")</f>
        <v/>
      </c>
      <c r="H224" t="str">
        <f>IF($A224&lt;&gt;"",'All Cases - Enter Cases'!H224,"")</f>
        <v/>
      </c>
      <c r="I224" t="str">
        <f>IF($A224&lt;&gt;"",'All Cases - Enter Cases'!I224,"")</f>
        <v/>
      </c>
      <c r="J224" t="str">
        <f>IF($A224&lt;&gt;"",'All Cases - Enter Cases'!J224,"")</f>
        <v/>
      </c>
      <c r="K224" t="str">
        <f>IF($A224&lt;&gt;"",'All Cases - Enter Cases'!K224,"")</f>
        <v/>
      </c>
      <c r="L224" t="str">
        <f>IF($A224&lt;&gt;"",'All Cases - Enter Cases'!L224,"")</f>
        <v/>
      </c>
      <c r="M224" t="str">
        <f>IF($A224&lt;&gt;"",'All Cases - Enter Cases'!M224,"")</f>
        <v/>
      </c>
    </row>
    <row r="225" spans="1:13" x14ac:dyDescent="0.35">
      <c r="A225" t="str">
        <f>IF('All Cases - Enter Cases'!$F225="Balochistan",'All Cases - Enter Cases'!A225,"")</f>
        <v/>
      </c>
      <c r="B225" t="str">
        <f>IF($A225&lt;&gt;"",'All Cases - Enter Cases'!B225,"")</f>
        <v/>
      </c>
      <c r="C225" t="str">
        <f>IF($A225&lt;&gt;"",'All Cases - Enter Cases'!C225,"")</f>
        <v/>
      </c>
      <c r="D225" t="str">
        <f>IF($A225&lt;&gt;"",'All Cases - Enter Cases'!D225,"")</f>
        <v/>
      </c>
      <c r="E225" t="str">
        <f>IF($A225&lt;&gt;"",'All Cases - Enter Cases'!E225,"")</f>
        <v/>
      </c>
      <c r="F225" t="str">
        <f>IF($A225&lt;&gt;"",'All Cases - Enter Cases'!F225,"")</f>
        <v/>
      </c>
      <c r="G225" t="str">
        <f>IF($A225&lt;&gt;"",'All Cases - Enter Cases'!G225,"")</f>
        <v/>
      </c>
      <c r="H225" t="str">
        <f>IF($A225&lt;&gt;"",'All Cases - Enter Cases'!H225,"")</f>
        <v/>
      </c>
      <c r="I225" t="str">
        <f>IF($A225&lt;&gt;"",'All Cases - Enter Cases'!I225,"")</f>
        <v/>
      </c>
      <c r="J225" t="str">
        <f>IF($A225&lt;&gt;"",'All Cases - Enter Cases'!J225,"")</f>
        <v/>
      </c>
      <c r="K225" t="str">
        <f>IF($A225&lt;&gt;"",'All Cases - Enter Cases'!K225,"")</f>
        <v/>
      </c>
      <c r="L225" t="str">
        <f>IF($A225&lt;&gt;"",'All Cases - Enter Cases'!L225,"")</f>
        <v/>
      </c>
      <c r="M225" t="str">
        <f>IF($A225&lt;&gt;"",'All Cases - Enter Cases'!M225,"")</f>
        <v/>
      </c>
    </row>
    <row r="226" spans="1:13" x14ac:dyDescent="0.35">
      <c r="A226" t="str">
        <f>IF('All Cases - Enter Cases'!$F226="Balochistan",'All Cases - Enter Cases'!A226,"")</f>
        <v/>
      </c>
      <c r="B226" t="str">
        <f>IF($A226&lt;&gt;"",'All Cases - Enter Cases'!B226,"")</f>
        <v/>
      </c>
      <c r="C226" t="str">
        <f>IF($A226&lt;&gt;"",'All Cases - Enter Cases'!C226,"")</f>
        <v/>
      </c>
      <c r="D226" t="str">
        <f>IF($A226&lt;&gt;"",'All Cases - Enter Cases'!D226,"")</f>
        <v/>
      </c>
      <c r="E226" t="str">
        <f>IF($A226&lt;&gt;"",'All Cases - Enter Cases'!E226,"")</f>
        <v/>
      </c>
      <c r="F226" t="str">
        <f>IF($A226&lt;&gt;"",'All Cases - Enter Cases'!F226,"")</f>
        <v/>
      </c>
      <c r="G226" t="str">
        <f>IF($A226&lt;&gt;"",'All Cases - Enter Cases'!G226,"")</f>
        <v/>
      </c>
      <c r="H226" t="str">
        <f>IF($A226&lt;&gt;"",'All Cases - Enter Cases'!H226,"")</f>
        <v/>
      </c>
      <c r="I226" t="str">
        <f>IF($A226&lt;&gt;"",'All Cases - Enter Cases'!I226,"")</f>
        <v/>
      </c>
      <c r="J226" t="str">
        <f>IF($A226&lt;&gt;"",'All Cases - Enter Cases'!J226,"")</f>
        <v/>
      </c>
      <c r="K226" t="str">
        <f>IF($A226&lt;&gt;"",'All Cases - Enter Cases'!K226,"")</f>
        <v/>
      </c>
      <c r="L226" t="str">
        <f>IF($A226&lt;&gt;"",'All Cases - Enter Cases'!L226,"")</f>
        <v/>
      </c>
      <c r="M226" t="str">
        <f>IF($A226&lt;&gt;"",'All Cases - Enter Cases'!M226,"")</f>
        <v/>
      </c>
    </row>
    <row r="227" spans="1:13" x14ac:dyDescent="0.35">
      <c r="A227" t="str">
        <f>IF('All Cases - Enter Cases'!$F227="Balochistan",'All Cases - Enter Cases'!A227,"")</f>
        <v/>
      </c>
      <c r="B227" t="str">
        <f>IF($A227&lt;&gt;"",'All Cases - Enter Cases'!B227,"")</f>
        <v/>
      </c>
      <c r="C227" t="str">
        <f>IF($A227&lt;&gt;"",'All Cases - Enter Cases'!C227,"")</f>
        <v/>
      </c>
      <c r="D227" t="str">
        <f>IF($A227&lt;&gt;"",'All Cases - Enter Cases'!D227,"")</f>
        <v/>
      </c>
      <c r="E227" t="str">
        <f>IF($A227&lt;&gt;"",'All Cases - Enter Cases'!E227,"")</f>
        <v/>
      </c>
      <c r="F227" t="str">
        <f>IF($A227&lt;&gt;"",'All Cases - Enter Cases'!F227,"")</f>
        <v/>
      </c>
      <c r="G227" t="str">
        <f>IF($A227&lt;&gt;"",'All Cases - Enter Cases'!G227,"")</f>
        <v/>
      </c>
      <c r="H227" t="str">
        <f>IF($A227&lt;&gt;"",'All Cases - Enter Cases'!H227,"")</f>
        <v/>
      </c>
      <c r="I227" t="str">
        <f>IF($A227&lt;&gt;"",'All Cases - Enter Cases'!I227,"")</f>
        <v/>
      </c>
      <c r="J227" t="str">
        <f>IF($A227&lt;&gt;"",'All Cases - Enter Cases'!J227,"")</f>
        <v/>
      </c>
      <c r="K227" t="str">
        <f>IF($A227&lt;&gt;"",'All Cases - Enter Cases'!K227,"")</f>
        <v/>
      </c>
      <c r="L227" t="str">
        <f>IF($A227&lt;&gt;"",'All Cases - Enter Cases'!L227,"")</f>
        <v/>
      </c>
      <c r="M227" t="str">
        <f>IF($A227&lt;&gt;"",'All Cases - Enter Cases'!M227,"")</f>
        <v/>
      </c>
    </row>
    <row r="228" spans="1:13" x14ac:dyDescent="0.35">
      <c r="A228" t="str">
        <f>IF('All Cases - Enter Cases'!$F228="Balochistan",'All Cases - Enter Cases'!A228,"")</f>
        <v/>
      </c>
      <c r="B228" t="str">
        <f>IF($A228&lt;&gt;"",'All Cases - Enter Cases'!B228,"")</f>
        <v/>
      </c>
      <c r="C228" t="str">
        <f>IF($A228&lt;&gt;"",'All Cases - Enter Cases'!C228,"")</f>
        <v/>
      </c>
      <c r="D228" t="str">
        <f>IF($A228&lt;&gt;"",'All Cases - Enter Cases'!D228,"")</f>
        <v/>
      </c>
      <c r="E228" t="str">
        <f>IF($A228&lt;&gt;"",'All Cases - Enter Cases'!E228,"")</f>
        <v/>
      </c>
      <c r="F228" t="str">
        <f>IF($A228&lt;&gt;"",'All Cases - Enter Cases'!F228,"")</f>
        <v/>
      </c>
      <c r="G228" t="str">
        <f>IF($A228&lt;&gt;"",'All Cases - Enter Cases'!G228,"")</f>
        <v/>
      </c>
      <c r="H228" t="str">
        <f>IF($A228&lt;&gt;"",'All Cases - Enter Cases'!H228,"")</f>
        <v/>
      </c>
      <c r="I228" t="str">
        <f>IF($A228&lt;&gt;"",'All Cases - Enter Cases'!I228,"")</f>
        <v/>
      </c>
      <c r="J228" t="str">
        <f>IF($A228&lt;&gt;"",'All Cases - Enter Cases'!J228,"")</f>
        <v/>
      </c>
      <c r="K228" t="str">
        <f>IF($A228&lt;&gt;"",'All Cases - Enter Cases'!K228,"")</f>
        <v/>
      </c>
      <c r="L228" t="str">
        <f>IF($A228&lt;&gt;"",'All Cases - Enter Cases'!L228,"")</f>
        <v/>
      </c>
      <c r="M228" t="str">
        <f>IF($A228&lt;&gt;"",'All Cases - Enter Cases'!M228,"")</f>
        <v/>
      </c>
    </row>
    <row r="229" spans="1:13" x14ac:dyDescent="0.35">
      <c r="A229" t="str">
        <f>IF('All Cases - Enter Cases'!$F229="Balochistan",'All Cases - Enter Cases'!A229,"")</f>
        <v/>
      </c>
      <c r="B229" t="str">
        <f>IF($A229&lt;&gt;"",'All Cases - Enter Cases'!B229,"")</f>
        <v/>
      </c>
      <c r="C229" t="str">
        <f>IF($A229&lt;&gt;"",'All Cases - Enter Cases'!C229,"")</f>
        <v/>
      </c>
      <c r="D229" t="str">
        <f>IF($A229&lt;&gt;"",'All Cases - Enter Cases'!D229,"")</f>
        <v/>
      </c>
      <c r="E229" t="str">
        <f>IF($A229&lt;&gt;"",'All Cases - Enter Cases'!E229,"")</f>
        <v/>
      </c>
      <c r="F229" t="str">
        <f>IF($A229&lt;&gt;"",'All Cases - Enter Cases'!F229,"")</f>
        <v/>
      </c>
      <c r="G229" t="str">
        <f>IF($A229&lt;&gt;"",'All Cases - Enter Cases'!G229,"")</f>
        <v/>
      </c>
      <c r="H229" t="str">
        <f>IF($A229&lt;&gt;"",'All Cases - Enter Cases'!H229,"")</f>
        <v/>
      </c>
      <c r="I229" t="str">
        <f>IF($A229&lt;&gt;"",'All Cases - Enter Cases'!I229,"")</f>
        <v/>
      </c>
      <c r="J229" t="str">
        <f>IF($A229&lt;&gt;"",'All Cases - Enter Cases'!J229,"")</f>
        <v/>
      </c>
      <c r="K229" t="str">
        <f>IF($A229&lt;&gt;"",'All Cases - Enter Cases'!K229,"")</f>
        <v/>
      </c>
      <c r="L229" t="str">
        <f>IF($A229&lt;&gt;"",'All Cases - Enter Cases'!L229,"")</f>
        <v/>
      </c>
      <c r="M229" t="str">
        <f>IF($A229&lt;&gt;"",'All Cases - Enter Cases'!M229,"")</f>
        <v/>
      </c>
    </row>
    <row r="230" spans="1:13" x14ac:dyDescent="0.35">
      <c r="A230" t="str">
        <f>IF('All Cases - Enter Cases'!$F230="Balochistan",'All Cases - Enter Cases'!A230,"")</f>
        <v/>
      </c>
      <c r="B230" t="str">
        <f>IF($A230&lt;&gt;"",'All Cases - Enter Cases'!B230,"")</f>
        <v/>
      </c>
      <c r="C230" t="str">
        <f>IF($A230&lt;&gt;"",'All Cases - Enter Cases'!C230,"")</f>
        <v/>
      </c>
      <c r="D230" t="str">
        <f>IF($A230&lt;&gt;"",'All Cases - Enter Cases'!D230,"")</f>
        <v/>
      </c>
      <c r="E230" t="str">
        <f>IF($A230&lt;&gt;"",'All Cases - Enter Cases'!E230,"")</f>
        <v/>
      </c>
      <c r="F230" t="str">
        <f>IF($A230&lt;&gt;"",'All Cases - Enter Cases'!F230,"")</f>
        <v/>
      </c>
      <c r="G230" t="str">
        <f>IF($A230&lt;&gt;"",'All Cases - Enter Cases'!G230,"")</f>
        <v/>
      </c>
      <c r="H230" t="str">
        <f>IF($A230&lt;&gt;"",'All Cases - Enter Cases'!H230,"")</f>
        <v/>
      </c>
      <c r="I230" t="str">
        <f>IF($A230&lt;&gt;"",'All Cases - Enter Cases'!I230,"")</f>
        <v/>
      </c>
      <c r="J230" t="str">
        <f>IF($A230&lt;&gt;"",'All Cases - Enter Cases'!J230,"")</f>
        <v/>
      </c>
      <c r="K230" t="str">
        <f>IF($A230&lt;&gt;"",'All Cases - Enter Cases'!K230,"")</f>
        <v/>
      </c>
      <c r="L230" t="str">
        <f>IF($A230&lt;&gt;"",'All Cases - Enter Cases'!L230,"")</f>
        <v/>
      </c>
      <c r="M230" t="str">
        <f>IF($A230&lt;&gt;"",'All Cases - Enter Cases'!M230,"")</f>
        <v/>
      </c>
    </row>
    <row r="231" spans="1:13" x14ac:dyDescent="0.35">
      <c r="A231" t="str">
        <f>IF('All Cases - Enter Cases'!$F231="Balochistan",'All Cases - Enter Cases'!A231,"")</f>
        <v/>
      </c>
      <c r="B231" t="str">
        <f>IF($A231&lt;&gt;"",'All Cases - Enter Cases'!B231,"")</f>
        <v/>
      </c>
      <c r="C231" t="str">
        <f>IF($A231&lt;&gt;"",'All Cases - Enter Cases'!C231,"")</f>
        <v/>
      </c>
      <c r="D231" t="str">
        <f>IF($A231&lt;&gt;"",'All Cases - Enter Cases'!D231,"")</f>
        <v/>
      </c>
      <c r="E231" t="str">
        <f>IF($A231&lt;&gt;"",'All Cases - Enter Cases'!E231,"")</f>
        <v/>
      </c>
      <c r="F231" t="str">
        <f>IF($A231&lt;&gt;"",'All Cases - Enter Cases'!F231,"")</f>
        <v/>
      </c>
      <c r="G231" t="str">
        <f>IF($A231&lt;&gt;"",'All Cases - Enter Cases'!G231,"")</f>
        <v/>
      </c>
      <c r="H231" t="str">
        <f>IF($A231&lt;&gt;"",'All Cases - Enter Cases'!H231,"")</f>
        <v/>
      </c>
      <c r="I231" t="str">
        <f>IF($A231&lt;&gt;"",'All Cases - Enter Cases'!I231,"")</f>
        <v/>
      </c>
      <c r="J231" t="str">
        <f>IF($A231&lt;&gt;"",'All Cases - Enter Cases'!J231,"")</f>
        <v/>
      </c>
      <c r="K231" t="str">
        <f>IF($A231&lt;&gt;"",'All Cases - Enter Cases'!K231,"")</f>
        <v/>
      </c>
      <c r="L231" t="str">
        <f>IF($A231&lt;&gt;"",'All Cases - Enter Cases'!L231,"")</f>
        <v/>
      </c>
      <c r="M231" t="str">
        <f>IF($A231&lt;&gt;"",'All Cases - Enter Cases'!M231,"")</f>
        <v/>
      </c>
    </row>
    <row r="232" spans="1:13" x14ac:dyDescent="0.35">
      <c r="A232" t="str">
        <f>IF('All Cases - Enter Cases'!$F232="Balochistan",'All Cases - Enter Cases'!A232,"")</f>
        <v/>
      </c>
      <c r="B232" t="str">
        <f>IF($A232&lt;&gt;"",'All Cases - Enter Cases'!B232,"")</f>
        <v/>
      </c>
      <c r="C232" t="str">
        <f>IF($A232&lt;&gt;"",'All Cases - Enter Cases'!C232,"")</f>
        <v/>
      </c>
      <c r="D232" t="str">
        <f>IF($A232&lt;&gt;"",'All Cases - Enter Cases'!D232,"")</f>
        <v/>
      </c>
      <c r="E232" t="str">
        <f>IF($A232&lt;&gt;"",'All Cases - Enter Cases'!E232,"")</f>
        <v/>
      </c>
      <c r="F232" t="str">
        <f>IF($A232&lt;&gt;"",'All Cases - Enter Cases'!F232,"")</f>
        <v/>
      </c>
      <c r="G232" t="str">
        <f>IF($A232&lt;&gt;"",'All Cases - Enter Cases'!G232,"")</f>
        <v/>
      </c>
      <c r="H232" t="str">
        <f>IF($A232&lt;&gt;"",'All Cases - Enter Cases'!H232,"")</f>
        <v/>
      </c>
      <c r="I232" t="str">
        <f>IF($A232&lt;&gt;"",'All Cases - Enter Cases'!I232,"")</f>
        <v/>
      </c>
      <c r="J232" t="str">
        <f>IF($A232&lt;&gt;"",'All Cases - Enter Cases'!J232,"")</f>
        <v/>
      </c>
      <c r="K232" t="str">
        <f>IF($A232&lt;&gt;"",'All Cases - Enter Cases'!K232,"")</f>
        <v/>
      </c>
      <c r="L232" t="str">
        <f>IF($A232&lt;&gt;"",'All Cases - Enter Cases'!L232,"")</f>
        <v/>
      </c>
      <c r="M232" t="str">
        <f>IF($A232&lt;&gt;"",'All Cases - Enter Cases'!M232,"")</f>
        <v/>
      </c>
    </row>
    <row r="233" spans="1:13" x14ac:dyDescent="0.35">
      <c r="A233" t="str">
        <f>IF('All Cases - Enter Cases'!$F233="Balochistan",'All Cases - Enter Cases'!A233,"")</f>
        <v/>
      </c>
      <c r="B233" t="str">
        <f>IF($A233&lt;&gt;"",'All Cases - Enter Cases'!B233,"")</f>
        <v/>
      </c>
      <c r="C233" t="str">
        <f>IF($A233&lt;&gt;"",'All Cases - Enter Cases'!C233,"")</f>
        <v/>
      </c>
      <c r="D233" t="str">
        <f>IF($A233&lt;&gt;"",'All Cases - Enter Cases'!D233,"")</f>
        <v/>
      </c>
      <c r="E233" t="str">
        <f>IF($A233&lt;&gt;"",'All Cases - Enter Cases'!E233,"")</f>
        <v/>
      </c>
      <c r="F233" t="str">
        <f>IF($A233&lt;&gt;"",'All Cases - Enter Cases'!F233,"")</f>
        <v/>
      </c>
      <c r="G233" t="str">
        <f>IF($A233&lt;&gt;"",'All Cases - Enter Cases'!G233,"")</f>
        <v/>
      </c>
      <c r="H233" t="str">
        <f>IF($A233&lt;&gt;"",'All Cases - Enter Cases'!H233,"")</f>
        <v/>
      </c>
      <c r="I233" t="str">
        <f>IF($A233&lt;&gt;"",'All Cases - Enter Cases'!I233,"")</f>
        <v/>
      </c>
      <c r="J233" t="str">
        <f>IF($A233&lt;&gt;"",'All Cases - Enter Cases'!J233,"")</f>
        <v/>
      </c>
      <c r="K233" t="str">
        <f>IF($A233&lt;&gt;"",'All Cases - Enter Cases'!K233,"")</f>
        <v/>
      </c>
      <c r="L233" t="str">
        <f>IF($A233&lt;&gt;"",'All Cases - Enter Cases'!L233,"")</f>
        <v/>
      </c>
      <c r="M233" t="str">
        <f>IF($A233&lt;&gt;"",'All Cases - Enter Cases'!M233,"")</f>
        <v/>
      </c>
    </row>
    <row r="234" spans="1:13" x14ac:dyDescent="0.35">
      <c r="A234" t="str">
        <f>IF('All Cases - Enter Cases'!$F234="Balochistan",'All Cases - Enter Cases'!A234,"")</f>
        <v/>
      </c>
      <c r="B234" t="str">
        <f>IF($A234&lt;&gt;"",'All Cases - Enter Cases'!B234,"")</f>
        <v/>
      </c>
      <c r="C234" t="str">
        <f>IF($A234&lt;&gt;"",'All Cases - Enter Cases'!C234,"")</f>
        <v/>
      </c>
      <c r="D234" t="str">
        <f>IF($A234&lt;&gt;"",'All Cases - Enter Cases'!D234,"")</f>
        <v/>
      </c>
      <c r="E234" t="str">
        <f>IF($A234&lt;&gt;"",'All Cases - Enter Cases'!E234,"")</f>
        <v/>
      </c>
      <c r="F234" t="str">
        <f>IF($A234&lt;&gt;"",'All Cases - Enter Cases'!F234,"")</f>
        <v/>
      </c>
      <c r="G234" t="str">
        <f>IF($A234&lt;&gt;"",'All Cases - Enter Cases'!G234,"")</f>
        <v/>
      </c>
      <c r="H234" t="str">
        <f>IF($A234&lt;&gt;"",'All Cases - Enter Cases'!H234,"")</f>
        <v/>
      </c>
      <c r="I234" t="str">
        <f>IF($A234&lt;&gt;"",'All Cases - Enter Cases'!I234,"")</f>
        <v/>
      </c>
      <c r="J234" t="str">
        <f>IF($A234&lt;&gt;"",'All Cases - Enter Cases'!J234,"")</f>
        <v/>
      </c>
      <c r="K234" t="str">
        <f>IF($A234&lt;&gt;"",'All Cases - Enter Cases'!K234,"")</f>
        <v/>
      </c>
      <c r="L234" t="str">
        <f>IF($A234&lt;&gt;"",'All Cases - Enter Cases'!L234,"")</f>
        <v/>
      </c>
      <c r="M234" t="str">
        <f>IF($A234&lt;&gt;"",'All Cases - Enter Cases'!M234,"")</f>
        <v/>
      </c>
    </row>
    <row r="235" spans="1:13" x14ac:dyDescent="0.35">
      <c r="A235" t="str">
        <f>IF('All Cases - Enter Cases'!$F235="Balochistan",'All Cases - Enter Cases'!A235,"")</f>
        <v/>
      </c>
      <c r="B235" t="str">
        <f>IF($A235&lt;&gt;"",'All Cases - Enter Cases'!B235,"")</f>
        <v/>
      </c>
      <c r="C235" t="str">
        <f>IF($A235&lt;&gt;"",'All Cases - Enter Cases'!C235,"")</f>
        <v/>
      </c>
      <c r="D235" t="str">
        <f>IF($A235&lt;&gt;"",'All Cases - Enter Cases'!D235,"")</f>
        <v/>
      </c>
      <c r="E235" t="str">
        <f>IF($A235&lt;&gt;"",'All Cases - Enter Cases'!E235,"")</f>
        <v/>
      </c>
      <c r="F235" t="str">
        <f>IF($A235&lt;&gt;"",'All Cases - Enter Cases'!F235,"")</f>
        <v/>
      </c>
      <c r="G235" t="str">
        <f>IF($A235&lt;&gt;"",'All Cases - Enter Cases'!G235,"")</f>
        <v/>
      </c>
      <c r="H235" t="str">
        <f>IF($A235&lt;&gt;"",'All Cases - Enter Cases'!H235,"")</f>
        <v/>
      </c>
      <c r="I235" t="str">
        <f>IF($A235&lt;&gt;"",'All Cases - Enter Cases'!I235,"")</f>
        <v/>
      </c>
      <c r="J235" t="str">
        <f>IF($A235&lt;&gt;"",'All Cases - Enter Cases'!J235,"")</f>
        <v/>
      </c>
      <c r="K235" t="str">
        <f>IF($A235&lt;&gt;"",'All Cases - Enter Cases'!K235,"")</f>
        <v/>
      </c>
      <c r="L235" t="str">
        <f>IF($A235&lt;&gt;"",'All Cases - Enter Cases'!L235,"")</f>
        <v/>
      </c>
      <c r="M235" t="str">
        <f>IF($A235&lt;&gt;"",'All Cases - Enter Cases'!M235,"")</f>
        <v/>
      </c>
    </row>
    <row r="236" spans="1:13" x14ac:dyDescent="0.35">
      <c r="A236" t="str">
        <f>IF('All Cases - Enter Cases'!$F236="Balochistan",'All Cases - Enter Cases'!A236,"")</f>
        <v/>
      </c>
      <c r="B236" t="str">
        <f>IF($A236&lt;&gt;"",'All Cases - Enter Cases'!B236,"")</f>
        <v/>
      </c>
      <c r="C236" t="str">
        <f>IF($A236&lt;&gt;"",'All Cases - Enter Cases'!C236,"")</f>
        <v/>
      </c>
      <c r="D236" t="str">
        <f>IF($A236&lt;&gt;"",'All Cases - Enter Cases'!D236,"")</f>
        <v/>
      </c>
      <c r="E236" t="str">
        <f>IF($A236&lt;&gt;"",'All Cases - Enter Cases'!E236,"")</f>
        <v/>
      </c>
      <c r="F236" t="str">
        <f>IF($A236&lt;&gt;"",'All Cases - Enter Cases'!F236,"")</f>
        <v/>
      </c>
      <c r="G236" t="str">
        <f>IF($A236&lt;&gt;"",'All Cases - Enter Cases'!G236,"")</f>
        <v/>
      </c>
      <c r="H236" t="str">
        <f>IF($A236&lt;&gt;"",'All Cases - Enter Cases'!H236,"")</f>
        <v/>
      </c>
      <c r="I236" t="str">
        <f>IF($A236&lt;&gt;"",'All Cases - Enter Cases'!I236,"")</f>
        <v/>
      </c>
      <c r="J236" t="str">
        <f>IF($A236&lt;&gt;"",'All Cases - Enter Cases'!J236,"")</f>
        <v/>
      </c>
      <c r="K236" t="str">
        <f>IF($A236&lt;&gt;"",'All Cases - Enter Cases'!K236,"")</f>
        <v/>
      </c>
      <c r="L236" t="str">
        <f>IF($A236&lt;&gt;"",'All Cases - Enter Cases'!L236,"")</f>
        <v/>
      </c>
      <c r="M236" t="str">
        <f>IF($A236&lt;&gt;"",'All Cases - Enter Cases'!M236,"")</f>
        <v/>
      </c>
    </row>
    <row r="237" spans="1:13" x14ac:dyDescent="0.35">
      <c r="A237" t="str">
        <f>IF('All Cases - Enter Cases'!$F237="Balochistan",'All Cases - Enter Cases'!A237,"")</f>
        <v/>
      </c>
      <c r="B237" t="str">
        <f>IF($A237&lt;&gt;"",'All Cases - Enter Cases'!B237,"")</f>
        <v/>
      </c>
      <c r="C237" t="str">
        <f>IF($A237&lt;&gt;"",'All Cases - Enter Cases'!C237,"")</f>
        <v/>
      </c>
      <c r="D237" t="str">
        <f>IF($A237&lt;&gt;"",'All Cases - Enter Cases'!D237,"")</f>
        <v/>
      </c>
      <c r="E237" t="str">
        <f>IF($A237&lt;&gt;"",'All Cases - Enter Cases'!E237,"")</f>
        <v/>
      </c>
      <c r="F237" t="str">
        <f>IF($A237&lt;&gt;"",'All Cases - Enter Cases'!F237,"")</f>
        <v/>
      </c>
      <c r="G237" t="str">
        <f>IF($A237&lt;&gt;"",'All Cases - Enter Cases'!G237,"")</f>
        <v/>
      </c>
      <c r="H237" t="str">
        <f>IF($A237&lt;&gt;"",'All Cases - Enter Cases'!H237,"")</f>
        <v/>
      </c>
      <c r="I237" t="str">
        <f>IF($A237&lt;&gt;"",'All Cases - Enter Cases'!I237,"")</f>
        <v/>
      </c>
      <c r="J237" t="str">
        <f>IF($A237&lt;&gt;"",'All Cases - Enter Cases'!J237,"")</f>
        <v/>
      </c>
      <c r="K237" t="str">
        <f>IF($A237&lt;&gt;"",'All Cases - Enter Cases'!K237,"")</f>
        <v/>
      </c>
      <c r="L237" t="str">
        <f>IF($A237&lt;&gt;"",'All Cases - Enter Cases'!L237,"")</f>
        <v/>
      </c>
      <c r="M237" t="str">
        <f>IF($A237&lt;&gt;"",'All Cases - Enter Cases'!M237,"")</f>
        <v/>
      </c>
    </row>
    <row r="238" spans="1:13" x14ac:dyDescent="0.35">
      <c r="A238" t="str">
        <f>IF('All Cases - Enter Cases'!$F238="Balochistan",'All Cases - Enter Cases'!A238,"")</f>
        <v/>
      </c>
      <c r="B238" t="str">
        <f>IF($A238&lt;&gt;"",'All Cases - Enter Cases'!B238,"")</f>
        <v/>
      </c>
      <c r="C238" t="str">
        <f>IF($A238&lt;&gt;"",'All Cases - Enter Cases'!C238,"")</f>
        <v/>
      </c>
      <c r="D238" t="str">
        <f>IF($A238&lt;&gt;"",'All Cases - Enter Cases'!D238,"")</f>
        <v/>
      </c>
      <c r="E238" t="str">
        <f>IF($A238&lt;&gt;"",'All Cases - Enter Cases'!E238,"")</f>
        <v/>
      </c>
      <c r="F238" t="str">
        <f>IF($A238&lt;&gt;"",'All Cases - Enter Cases'!F238,"")</f>
        <v/>
      </c>
      <c r="G238" t="str">
        <f>IF($A238&lt;&gt;"",'All Cases - Enter Cases'!G238,"")</f>
        <v/>
      </c>
      <c r="H238" t="str">
        <f>IF($A238&lt;&gt;"",'All Cases - Enter Cases'!H238,"")</f>
        <v/>
      </c>
      <c r="I238" t="str">
        <f>IF($A238&lt;&gt;"",'All Cases - Enter Cases'!I238,"")</f>
        <v/>
      </c>
      <c r="J238" t="str">
        <f>IF($A238&lt;&gt;"",'All Cases - Enter Cases'!J238,"")</f>
        <v/>
      </c>
      <c r="K238" t="str">
        <f>IF($A238&lt;&gt;"",'All Cases - Enter Cases'!K238,"")</f>
        <v/>
      </c>
      <c r="L238" t="str">
        <f>IF($A238&lt;&gt;"",'All Cases - Enter Cases'!L238,"")</f>
        <v/>
      </c>
      <c r="M238" t="str">
        <f>IF($A238&lt;&gt;"",'All Cases - Enter Cases'!M238,"")</f>
        <v/>
      </c>
    </row>
    <row r="239" spans="1:13" x14ac:dyDescent="0.35">
      <c r="A239" t="str">
        <f>IF('All Cases - Enter Cases'!$F239="Balochistan",'All Cases - Enter Cases'!A239,"")</f>
        <v/>
      </c>
      <c r="B239" t="str">
        <f>IF($A239&lt;&gt;"",'All Cases - Enter Cases'!B239,"")</f>
        <v/>
      </c>
      <c r="C239" t="str">
        <f>IF($A239&lt;&gt;"",'All Cases - Enter Cases'!C239,"")</f>
        <v/>
      </c>
      <c r="D239" t="str">
        <f>IF($A239&lt;&gt;"",'All Cases - Enter Cases'!D239,"")</f>
        <v/>
      </c>
      <c r="E239" t="str">
        <f>IF($A239&lt;&gt;"",'All Cases - Enter Cases'!E239,"")</f>
        <v/>
      </c>
      <c r="F239" t="str">
        <f>IF($A239&lt;&gt;"",'All Cases - Enter Cases'!F239,"")</f>
        <v/>
      </c>
      <c r="G239" t="str">
        <f>IF($A239&lt;&gt;"",'All Cases - Enter Cases'!G239,"")</f>
        <v/>
      </c>
      <c r="H239" t="str">
        <f>IF($A239&lt;&gt;"",'All Cases - Enter Cases'!H239,"")</f>
        <v/>
      </c>
      <c r="I239" t="str">
        <f>IF($A239&lt;&gt;"",'All Cases - Enter Cases'!I239,"")</f>
        <v/>
      </c>
      <c r="J239" t="str">
        <f>IF($A239&lt;&gt;"",'All Cases - Enter Cases'!J239,"")</f>
        <v/>
      </c>
      <c r="K239" t="str">
        <f>IF($A239&lt;&gt;"",'All Cases - Enter Cases'!K239,"")</f>
        <v/>
      </c>
      <c r="L239" t="str">
        <f>IF($A239&lt;&gt;"",'All Cases - Enter Cases'!L239,"")</f>
        <v/>
      </c>
      <c r="M239" t="str">
        <f>IF($A239&lt;&gt;"",'All Cases - Enter Cases'!M239,"")</f>
        <v/>
      </c>
    </row>
    <row r="240" spans="1:13" x14ac:dyDescent="0.35">
      <c r="A240" t="str">
        <f>IF('All Cases - Enter Cases'!$F240="Balochistan",'All Cases - Enter Cases'!A240,"")</f>
        <v/>
      </c>
      <c r="B240" t="str">
        <f>IF($A240&lt;&gt;"",'All Cases - Enter Cases'!B240,"")</f>
        <v/>
      </c>
      <c r="C240" t="str">
        <f>IF($A240&lt;&gt;"",'All Cases - Enter Cases'!C240,"")</f>
        <v/>
      </c>
      <c r="D240" t="str">
        <f>IF($A240&lt;&gt;"",'All Cases - Enter Cases'!D240,"")</f>
        <v/>
      </c>
      <c r="E240" t="str">
        <f>IF($A240&lt;&gt;"",'All Cases - Enter Cases'!E240,"")</f>
        <v/>
      </c>
      <c r="F240" t="str">
        <f>IF($A240&lt;&gt;"",'All Cases - Enter Cases'!F240,"")</f>
        <v/>
      </c>
      <c r="G240" t="str">
        <f>IF($A240&lt;&gt;"",'All Cases - Enter Cases'!G240,"")</f>
        <v/>
      </c>
      <c r="H240" t="str">
        <f>IF($A240&lt;&gt;"",'All Cases - Enter Cases'!H240,"")</f>
        <v/>
      </c>
      <c r="I240" t="str">
        <f>IF($A240&lt;&gt;"",'All Cases - Enter Cases'!I240,"")</f>
        <v/>
      </c>
      <c r="J240" t="str">
        <f>IF($A240&lt;&gt;"",'All Cases - Enter Cases'!J240,"")</f>
        <v/>
      </c>
      <c r="K240" t="str">
        <f>IF($A240&lt;&gt;"",'All Cases - Enter Cases'!K240,"")</f>
        <v/>
      </c>
      <c r="L240" t="str">
        <f>IF($A240&lt;&gt;"",'All Cases - Enter Cases'!L240,"")</f>
        <v/>
      </c>
      <c r="M240" t="str">
        <f>IF($A240&lt;&gt;"",'All Cases - Enter Cases'!M240,"")</f>
        <v/>
      </c>
    </row>
    <row r="241" spans="1:13" x14ac:dyDescent="0.35">
      <c r="A241" t="str">
        <f>IF('All Cases - Enter Cases'!$F241="Balochistan",'All Cases - Enter Cases'!A241,"")</f>
        <v/>
      </c>
      <c r="B241" t="str">
        <f>IF($A241&lt;&gt;"",'All Cases - Enter Cases'!B241,"")</f>
        <v/>
      </c>
      <c r="C241" t="str">
        <f>IF($A241&lt;&gt;"",'All Cases - Enter Cases'!C241,"")</f>
        <v/>
      </c>
      <c r="D241" t="str">
        <f>IF($A241&lt;&gt;"",'All Cases - Enter Cases'!D241,"")</f>
        <v/>
      </c>
      <c r="E241" t="str">
        <f>IF($A241&lt;&gt;"",'All Cases - Enter Cases'!E241,"")</f>
        <v/>
      </c>
      <c r="F241" t="str">
        <f>IF($A241&lt;&gt;"",'All Cases - Enter Cases'!F241,"")</f>
        <v/>
      </c>
      <c r="G241" t="str">
        <f>IF($A241&lt;&gt;"",'All Cases - Enter Cases'!G241,"")</f>
        <v/>
      </c>
      <c r="H241" t="str">
        <f>IF($A241&lt;&gt;"",'All Cases - Enter Cases'!H241,"")</f>
        <v/>
      </c>
      <c r="I241" t="str">
        <f>IF($A241&lt;&gt;"",'All Cases - Enter Cases'!I241,"")</f>
        <v/>
      </c>
      <c r="J241" t="str">
        <f>IF($A241&lt;&gt;"",'All Cases - Enter Cases'!J241,"")</f>
        <v/>
      </c>
      <c r="K241" t="str">
        <f>IF($A241&lt;&gt;"",'All Cases - Enter Cases'!K241,"")</f>
        <v/>
      </c>
      <c r="L241" t="str">
        <f>IF($A241&lt;&gt;"",'All Cases - Enter Cases'!L241,"")</f>
        <v/>
      </c>
      <c r="M241" t="str">
        <f>IF($A241&lt;&gt;"",'All Cases - Enter Cases'!M241,"")</f>
        <v/>
      </c>
    </row>
    <row r="242" spans="1:13" x14ac:dyDescent="0.35">
      <c r="A242" t="str">
        <f>IF('All Cases - Enter Cases'!$F242="Balochistan",'All Cases - Enter Cases'!A242,"")</f>
        <v/>
      </c>
      <c r="B242" t="str">
        <f>IF($A242&lt;&gt;"",'All Cases - Enter Cases'!B242,"")</f>
        <v/>
      </c>
      <c r="C242" t="str">
        <f>IF($A242&lt;&gt;"",'All Cases - Enter Cases'!C242,"")</f>
        <v/>
      </c>
      <c r="D242" t="str">
        <f>IF($A242&lt;&gt;"",'All Cases - Enter Cases'!D242,"")</f>
        <v/>
      </c>
      <c r="E242" t="str">
        <f>IF($A242&lt;&gt;"",'All Cases - Enter Cases'!E242,"")</f>
        <v/>
      </c>
      <c r="F242" t="str">
        <f>IF($A242&lt;&gt;"",'All Cases - Enter Cases'!F242,"")</f>
        <v/>
      </c>
      <c r="G242" t="str">
        <f>IF($A242&lt;&gt;"",'All Cases - Enter Cases'!G242,"")</f>
        <v/>
      </c>
      <c r="H242" t="str">
        <f>IF($A242&lt;&gt;"",'All Cases - Enter Cases'!H242,"")</f>
        <v/>
      </c>
      <c r="I242" t="str">
        <f>IF($A242&lt;&gt;"",'All Cases - Enter Cases'!I242,"")</f>
        <v/>
      </c>
      <c r="J242" t="str">
        <f>IF($A242&lt;&gt;"",'All Cases - Enter Cases'!J242,"")</f>
        <v/>
      </c>
      <c r="K242" t="str">
        <f>IF($A242&lt;&gt;"",'All Cases - Enter Cases'!K242,"")</f>
        <v/>
      </c>
      <c r="L242" t="str">
        <f>IF($A242&lt;&gt;"",'All Cases - Enter Cases'!L242,"")</f>
        <v/>
      </c>
      <c r="M242" t="str">
        <f>IF($A242&lt;&gt;"",'All Cases - Enter Cases'!M242,"")</f>
        <v/>
      </c>
    </row>
    <row r="243" spans="1:13" x14ac:dyDescent="0.35">
      <c r="A243" t="str">
        <f>IF('All Cases - Enter Cases'!$F243="Balochistan",'All Cases - Enter Cases'!A243,"")</f>
        <v/>
      </c>
      <c r="B243" t="str">
        <f>IF($A243&lt;&gt;"",'All Cases - Enter Cases'!B243,"")</f>
        <v/>
      </c>
      <c r="C243" t="str">
        <f>IF($A243&lt;&gt;"",'All Cases - Enter Cases'!C243,"")</f>
        <v/>
      </c>
      <c r="D243" t="str">
        <f>IF($A243&lt;&gt;"",'All Cases - Enter Cases'!D243,"")</f>
        <v/>
      </c>
      <c r="E243" t="str">
        <f>IF($A243&lt;&gt;"",'All Cases - Enter Cases'!E243,"")</f>
        <v/>
      </c>
      <c r="F243" t="str">
        <f>IF($A243&lt;&gt;"",'All Cases - Enter Cases'!F243,"")</f>
        <v/>
      </c>
      <c r="G243" t="str">
        <f>IF($A243&lt;&gt;"",'All Cases - Enter Cases'!G243,"")</f>
        <v/>
      </c>
      <c r="H243" t="str">
        <f>IF($A243&lt;&gt;"",'All Cases - Enter Cases'!H243,"")</f>
        <v/>
      </c>
      <c r="I243" t="str">
        <f>IF($A243&lt;&gt;"",'All Cases - Enter Cases'!I243,"")</f>
        <v/>
      </c>
      <c r="J243" t="str">
        <f>IF($A243&lt;&gt;"",'All Cases - Enter Cases'!J243,"")</f>
        <v/>
      </c>
      <c r="K243" t="str">
        <f>IF($A243&lt;&gt;"",'All Cases - Enter Cases'!K243,"")</f>
        <v/>
      </c>
      <c r="L243" t="str">
        <f>IF($A243&lt;&gt;"",'All Cases - Enter Cases'!L243,"")</f>
        <v/>
      </c>
      <c r="M243" t="str">
        <f>IF($A243&lt;&gt;"",'All Cases - Enter Cases'!M243,"")</f>
        <v/>
      </c>
    </row>
    <row r="244" spans="1:13" x14ac:dyDescent="0.35">
      <c r="A244" t="str">
        <f>IF('All Cases - Enter Cases'!$F244="Balochistan",'All Cases - Enter Cases'!A244,"")</f>
        <v/>
      </c>
      <c r="B244" t="str">
        <f>IF($A244&lt;&gt;"",'All Cases - Enter Cases'!B244,"")</f>
        <v/>
      </c>
      <c r="C244" t="str">
        <f>IF($A244&lt;&gt;"",'All Cases - Enter Cases'!C244,"")</f>
        <v/>
      </c>
      <c r="D244" t="str">
        <f>IF($A244&lt;&gt;"",'All Cases - Enter Cases'!D244,"")</f>
        <v/>
      </c>
      <c r="E244" t="str">
        <f>IF($A244&lt;&gt;"",'All Cases - Enter Cases'!E244,"")</f>
        <v/>
      </c>
      <c r="F244" t="str">
        <f>IF($A244&lt;&gt;"",'All Cases - Enter Cases'!F244,"")</f>
        <v/>
      </c>
      <c r="G244" t="str">
        <f>IF($A244&lt;&gt;"",'All Cases - Enter Cases'!G244,"")</f>
        <v/>
      </c>
      <c r="H244" t="str">
        <f>IF($A244&lt;&gt;"",'All Cases - Enter Cases'!H244,"")</f>
        <v/>
      </c>
      <c r="I244" t="str">
        <f>IF($A244&lt;&gt;"",'All Cases - Enter Cases'!I244,"")</f>
        <v/>
      </c>
      <c r="J244" t="str">
        <f>IF($A244&lt;&gt;"",'All Cases - Enter Cases'!J244,"")</f>
        <v/>
      </c>
      <c r="K244" t="str">
        <f>IF($A244&lt;&gt;"",'All Cases - Enter Cases'!K244,"")</f>
        <v/>
      </c>
      <c r="L244" t="str">
        <f>IF($A244&lt;&gt;"",'All Cases - Enter Cases'!L244,"")</f>
        <v/>
      </c>
      <c r="M244" t="str">
        <f>IF($A244&lt;&gt;"",'All Cases - Enter Cases'!M244,"")</f>
        <v/>
      </c>
    </row>
    <row r="245" spans="1:13" x14ac:dyDescent="0.35">
      <c r="A245" t="str">
        <f>IF('All Cases - Enter Cases'!$F245="Balochistan",'All Cases - Enter Cases'!A245,"")</f>
        <v/>
      </c>
      <c r="B245" t="str">
        <f>IF($A245&lt;&gt;"",'All Cases - Enter Cases'!B245,"")</f>
        <v/>
      </c>
      <c r="C245" t="str">
        <f>IF($A245&lt;&gt;"",'All Cases - Enter Cases'!C245,"")</f>
        <v/>
      </c>
      <c r="D245" t="str">
        <f>IF($A245&lt;&gt;"",'All Cases - Enter Cases'!D245,"")</f>
        <v/>
      </c>
      <c r="E245" t="str">
        <f>IF($A245&lt;&gt;"",'All Cases - Enter Cases'!E245,"")</f>
        <v/>
      </c>
      <c r="F245" t="str">
        <f>IF($A245&lt;&gt;"",'All Cases - Enter Cases'!F245,"")</f>
        <v/>
      </c>
      <c r="G245" t="str">
        <f>IF($A245&lt;&gt;"",'All Cases - Enter Cases'!G245,"")</f>
        <v/>
      </c>
      <c r="H245" t="str">
        <f>IF($A245&lt;&gt;"",'All Cases - Enter Cases'!H245,"")</f>
        <v/>
      </c>
      <c r="I245" t="str">
        <f>IF($A245&lt;&gt;"",'All Cases - Enter Cases'!I245,"")</f>
        <v/>
      </c>
      <c r="J245" t="str">
        <f>IF($A245&lt;&gt;"",'All Cases - Enter Cases'!J245,"")</f>
        <v/>
      </c>
      <c r="K245" t="str">
        <f>IF($A245&lt;&gt;"",'All Cases - Enter Cases'!K245,"")</f>
        <v/>
      </c>
      <c r="L245" t="str">
        <f>IF($A245&lt;&gt;"",'All Cases - Enter Cases'!L245,"")</f>
        <v/>
      </c>
      <c r="M245" t="str">
        <f>IF($A245&lt;&gt;"",'All Cases - Enter Cases'!M245,"")</f>
        <v/>
      </c>
    </row>
    <row r="246" spans="1:13" x14ac:dyDescent="0.35">
      <c r="A246" t="str">
        <f>IF('All Cases - Enter Cases'!$F246="Balochistan",'All Cases - Enter Cases'!A246,"")</f>
        <v/>
      </c>
      <c r="B246" t="str">
        <f>IF($A246&lt;&gt;"",'All Cases - Enter Cases'!B246,"")</f>
        <v/>
      </c>
      <c r="C246" t="str">
        <f>IF($A246&lt;&gt;"",'All Cases - Enter Cases'!C246,"")</f>
        <v/>
      </c>
      <c r="D246" t="str">
        <f>IF($A246&lt;&gt;"",'All Cases - Enter Cases'!D246,"")</f>
        <v/>
      </c>
      <c r="E246" t="str">
        <f>IF($A246&lt;&gt;"",'All Cases - Enter Cases'!E246,"")</f>
        <v/>
      </c>
      <c r="F246" t="str">
        <f>IF($A246&lt;&gt;"",'All Cases - Enter Cases'!F246,"")</f>
        <v/>
      </c>
      <c r="G246" t="str">
        <f>IF($A246&lt;&gt;"",'All Cases - Enter Cases'!G246,"")</f>
        <v/>
      </c>
      <c r="H246" t="str">
        <f>IF($A246&lt;&gt;"",'All Cases - Enter Cases'!H246,"")</f>
        <v/>
      </c>
      <c r="I246" t="str">
        <f>IF($A246&lt;&gt;"",'All Cases - Enter Cases'!I246,"")</f>
        <v/>
      </c>
      <c r="J246" t="str">
        <f>IF($A246&lt;&gt;"",'All Cases - Enter Cases'!J246,"")</f>
        <v/>
      </c>
      <c r="K246" t="str">
        <f>IF($A246&lt;&gt;"",'All Cases - Enter Cases'!K246,"")</f>
        <v/>
      </c>
      <c r="L246" t="str">
        <f>IF($A246&lt;&gt;"",'All Cases - Enter Cases'!L246,"")</f>
        <v/>
      </c>
      <c r="M246" t="str">
        <f>IF($A246&lt;&gt;"",'All Cases - Enter Cases'!M246,"")</f>
        <v/>
      </c>
    </row>
    <row r="247" spans="1:13" x14ac:dyDescent="0.35">
      <c r="A247" t="str">
        <f>IF('All Cases - Enter Cases'!$F247="Balochistan",'All Cases - Enter Cases'!A247,"")</f>
        <v/>
      </c>
      <c r="B247" t="str">
        <f>IF($A247&lt;&gt;"",'All Cases - Enter Cases'!B247,"")</f>
        <v/>
      </c>
      <c r="C247" t="str">
        <f>IF($A247&lt;&gt;"",'All Cases - Enter Cases'!C247,"")</f>
        <v/>
      </c>
      <c r="D247" t="str">
        <f>IF($A247&lt;&gt;"",'All Cases - Enter Cases'!D247,"")</f>
        <v/>
      </c>
      <c r="E247" t="str">
        <f>IF($A247&lt;&gt;"",'All Cases - Enter Cases'!E247,"")</f>
        <v/>
      </c>
      <c r="F247" t="str">
        <f>IF($A247&lt;&gt;"",'All Cases - Enter Cases'!F247,"")</f>
        <v/>
      </c>
      <c r="G247" t="str">
        <f>IF($A247&lt;&gt;"",'All Cases - Enter Cases'!G247,"")</f>
        <v/>
      </c>
      <c r="H247" t="str">
        <f>IF($A247&lt;&gt;"",'All Cases - Enter Cases'!H247,"")</f>
        <v/>
      </c>
      <c r="I247" t="str">
        <f>IF($A247&lt;&gt;"",'All Cases - Enter Cases'!I247,"")</f>
        <v/>
      </c>
      <c r="J247" t="str">
        <f>IF($A247&lt;&gt;"",'All Cases - Enter Cases'!J247,"")</f>
        <v/>
      </c>
      <c r="K247" t="str">
        <f>IF($A247&lt;&gt;"",'All Cases - Enter Cases'!K247,"")</f>
        <v/>
      </c>
      <c r="L247" t="str">
        <f>IF($A247&lt;&gt;"",'All Cases - Enter Cases'!L247,"")</f>
        <v/>
      </c>
      <c r="M247" t="str">
        <f>IF($A247&lt;&gt;"",'All Cases - Enter Cases'!M247,"")</f>
        <v/>
      </c>
    </row>
    <row r="248" spans="1:13" x14ac:dyDescent="0.35">
      <c r="A248" t="str">
        <f>IF('All Cases - Enter Cases'!$F248="Balochistan",'All Cases - Enter Cases'!A248,"")</f>
        <v/>
      </c>
      <c r="B248" t="str">
        <f>IF($A248&lt;&gt;"",'All Cases - Enter Cases'!B248,"")</f>
        <v/>
      </c>
      <c r="C248" t="str">
        <f>IF($A248&lt;&gt;"",'All Cases - Enter Cases'!C248,"")</f>
        <v/>
      </c>
      <c r="D248" t="str">
        <f>IF($A248&lt;&gt;"",'All Cases - Enter Cases'!D248,"")</f>
        <v/>
      </c>
      <c r="E248" t="str">
        <f>IF($A248&lt;&gt;"",'All Cases - Enter Cases'!E248,"")</f>
        <v/>
      </c>
      <c r="F248" t="str">
        <f>IF($A248&lt;&gt;"",'All Cases - Enter Cases'!F248,"")</f>
        <v/>
      </c>
      <c r="G248" t="str">
        <f>IF($A248&lt;&gt;"",'All Cases - Enter Cases'!G248,"")</f>
        <v/>
      </c>
      <c r="H248" t="str">
        <f>IF($A248&lt;&gt;"",'All Cases - Enter Cases'!H248,"")</f>
        <v/>
      </c>
      <c r="I248" t="str">
        <f>IF($A248&lt;&gt;"",'All Cases - Enter Cases'!I248,"")</f>
        <v/>
      </c>
      <c r="J248" t="str">
        <f>IF($A248&lt;&gt;"",'All Cases - Enter Cases'!J248,"")</f>
        <v/>
      </c>
      <c r="K248" t="str">
        <f>IF($A248&lt;&gt;"",'All Cases - Enter Cases'!K248,"")</f>
        <v/>
      </c>
      <c r="L248" t="str">
        <f>IF($A248&lt;&gt;"",'All Cases - Enter Cases'!L248,"")</f>
        <v/>
      </c>
      <c r="M248" t="str">
        <f>IF($A248&lt;&gt;"",'All Cases - Enter Cases'!M248,"")</f>
        <v/>
      </c>
    </row>
    <row r="249" spans="1:13" x14ac:dyDescent="0.35">
      <c r="A249" t="str">
        <f>IF('All Cases - Enter Cases'!$F249="Balochistan",'All Cases - Enter Cases'!A249,"")</f>
        <v/>
      </c>
      <c r="B249" t="str">
        <f>IF($A249&lt;&gt;"",'All Cases - Enter Cases'!B249,"")</f>
        <v/>
      </c>
      <c r="C249" t="str">
        <f>IF($A249&lt;&gt;"",'All Cases - Enter Cases'!C249,"")</f>
        <v/>
      </c>
      <c r="D249" t="str">
        <f>IF($A249&lt;&gt;"",'All Cases - Enter Cases'!D249,"")</f>
        <v/>
      </c>
      <c r="E249" t="str">
        <f>IF($A249&lt;&gt;"",'All Cases - Enter Cases'!E249,"")</f>
        <v/>
      </c>
      <c r="F249" t="str">
        <f>IF($A249&lt;&gt;"",'All Cases - Enter Cases'!F249,"")</f>
        <v/>
      </c>
      <c r="G249" t="str">
        <f>IF($A249&lt;&gt;"",'All Cases - Enter Cases'!G249,"")</f>
        <v/>
      </c>
      <c r="H249" t="str">
        <f>IF($A249&lt;&gt;"",'All Cases - Enter Cases'!H249,"")</f>
        <v/>
      </c>
      <c r="I249" t="str">
        <f>IF($A249&lt;&gt;"",'All Cases - Enter Cases'!I249,"")</f>
        <v/>
      </c>
      <c r="J249" t="str">
        <f>IF($A249&lt;&gt;"",'All Cases - Enter Cases'!J249,"")</f>
        <v/>
      </c>
      <c r="K249" t="str">
        <f>IF($A249&lt;&gt;"",'All Cases - Enter Cases'!K249,"")</f>
        <v/>
      </c>
      <c r="L249" t="str">
        <f>IF($A249&lt;&gt;"",'All Cases - Enter Cases'!L249,"")</f>
        <v/>
      </c>
      <c r="M249" t="str">
        <f>IF($A249&lt;&gt;"",'All Cases - Enter Cases'!M249,"")</f>
        <v/>
      </c>
    </row>
    <row r="250" spans="1:13" x14ac:dyDescent="0.35">
      <c r="A250" t="str">
        <f>IF('All Cases - Enter Cases'!$F250="Balochistan",'All Cases - Enter Cases'!A250,"")</f>
        <v/>
      </c>
      <c r="B250" t="str">
        <f>IF($A250&lt;&gt;"",'All Cases - Enter Cases'!B250,"")</f>
        <v/>
      </c>
      <c r="C250" t="str">
        <f>IF($A250&lt;&gt;"",'All Cases - Enter Cases'!C250,"")</f>
        <v/>
      </c>
      <c r="D250" t="str">
        <f>IF($A250&lt;&gt;"",'All Cases - Enter Cases'!D250,"")</f>
        <v/>
      </c>
      <c r="E250" t="str">
        <f>IF($A250&lt;&gt;"",'All Cases - Enter Cases'!E250,"")</f>
        <v/>
      </c>
      <c r="F250" t="str">
        <f>IF($A250&lt;&gt;"",'All Cases - Enter Cases'!F250,"")</f>
        <v/>
      </c>
      <c r="G250" t="str">
        <f>IF($A250&lt;&gt;"",'All Cases - Enter Cases'!G250,"")</f>
        <v/>
      </c>
      <c r="H250" t="str">
        <f>IF($A250&lt;&gt;"",'All Cases - Enter Cases'!H250,"")</f>
        <v/>
      </c>
      <c r="I250" t="str">
        <f>IF($A250&lt;&gt;"",'All Cases - Enter Cases'!I250,"")</f>
        <v/>
      </c>
      <c r="J250" t="str">
        <f>IF($A250&lt;&gt;"",'All Cases - Enter Cases'!J250,"")</f>
        <v/>
      </c>
      <c r="K250" t="str">
        <f>IF($A250&lt;&gt;"",'All Cases - Enter Cases'!K250,"")</f>
        <v/>
      </c>
      <c r="L250" t="str">
        <f>IF($A250&lt;&gt;"",'All Cases - Enter Cases'!L250,"")</f>
        <v/>
      </c>
      <c r="M250" t="str">
        <f>IF($A250&lt;&gt;"",'All Cases - Enter Cases'!M250,"")</f>
        <v/>
      </c>
    </row>
    <row r="251" spans="1:13" x14ac:dyDescent="0.35">
      <c r="A251" t="str">
        <f>IF('All Cases - Enter Cases'!$F251="Balochistan",'All Cases - Enter Cases'!A251,"")</f>
        <v/>
      </c>
      <c r="B251" t="str">
        <f>IF($A251&lt;&gt;"",'All Cases - Enter Cases'!B251,"")</f>
        <v/>
      </c>
      <c r="C251" t="str">
        <f>IF($A251&lt;&gt;"",'All Cases - Enter Cases'!C251,"")</f>
        <v/>
      </c>
      <c r="D251" t="str">
        <f>IF($A251&lt;&gt;"",'All Cases - Enter Cases'!D251,"")</f>
        <v/>
      </c>
      <c r="E251" t="str">
        <f>IF($A251&lt;&gt;"",'All Cases - Enter Cases'!E251,"")</f>
        <v/>
      </c>
      <c r="F251" t="str">
        <f>IF($A251&lt;&gt;"",'All Cases - Enter Cases'!F251,"")</f>
        <v/>
      </c>
      <c r="G251" t="str">
        <f>IF($A251&lt;&gt;"",'All Cases - Enter Cases'!G251,"")</f>
        <v/>
      </c>
      <c r="H251" t="str">
        <f>IF($A251&lt;&gt;"",'All Cases - Enter Cases'!H251,"")</f>
        <v/>
      </c>
      <c r="I251" t="str">
        <f>IF($A251&lt;&gt;"",'All Cases - Enter Cases'!I251,"")</f>
        <v/>
      </c>
      <c r="J251" t="str">
        <f>IF($A251&lt;&gt;"",'All Cases - Enter Cases'!J251,"")</f>
        <v/>
      </c>
      <c r="K251" t="str">
        <f>IF($A251&lt;&gt;"",'All Cases - Enter Cases'!K251,"")</f>
        <v/>
      </c>
      <c r="L251" t="str">
        <f>IF($A251&lt;&gt;"",'All Cases - Enter Cases'!L251,"")</f>
        <v/>
      </c>
      <c r="M251" t="str">
        <f>IF($A251&lt;&gt;"",'All Cases - Enter Cases'!M251,"")</f>
        <v/>
      </c>
    </row>
    <row r="252" spans="1:13" x14ac:dyDescent="0.35">
      <c r="A252" t="str">
        <f>IF('All Cases - Enter Cases'!$F252="Balochistan",'All Cases - Enter Cases'!A252,"")</f>
        <v/>
      </c>
      <c r="B252" t="str">
        <f>IF($A252&lt;&gt;"",'All Cases - Enter Cases'!B252,"")</f>
        <v/>
      </c>
      <c r="C252" t="str">
        <f>IF($A252&lt;&gt;"",'All Cases - Enter Cases'!C252,"")</f>
        <v/>
      </c>
      <c r="D252" t="str">
        <f>IF($A252&lt;&gt;"",'All Cases - Enter Cases'!D252,"")</f>
        <v/>
      </c>
      <c r="E252" t="str">
        <f>IF($A252&lt;&gt;"",'All Cases - Enter Cases'!E252,"")</f>
        <v/>
      </c>
      <c r="F252" t="str">
        <f>IF($A252&lt;&gt;"",'All Cases - Enter Cases'!F252,"")</f>
        <v/>
      </c>
      <c r="G252" t="str">
        <f>IF($A252&lt;&gt;"",'All Cases - Enter Cases'!G252,"")</f>
        <v/>
      </c>
      <c r="H252" t="str">
        <f>IF($A252&lt;&gt;"",'All Cases - Enter Cases'!H252,"")</f>
        <v/>
      </c>
      <c r="I252" t="str">
        <f>IF($A252&lt;&gt;"",'All Cases - Enter Cases'!I252,"")</f>
        <v/>
      </c>
      <c r="J252" t="str">
        <f>IF($A252&lt;&gt;"",'All Cases - Enter Cases'!J252,"")</f>
        <v/>
      </c>
      <c r="K252" t="str">
        <f>IF($A252&lt;&gt;"",'All Cases - Enter Cases'!K252,"")</f>
        <v/>
      </c>
      <c r="L252" t="str">
        <f>IF($A252&lt;&gt;"",'All Cases - Enter Cases'!L252,"")</f>
        <v/>
      </c>
      <c r="M252" t="str">
        <f>IF($A252&lt;&gt;"",'All Cases - Enter Cases'!M252,"")</f>
        <v/>
      </c>
    </row>
    <row r="253" spans="1:13" x14ac:dyDescent="0.35">
      <c r="A253" t="str">
        <f>IF('All Cases - Enter Cases'!$F253="Balochistan",'All Cases - Enter Cases'!A253,"")</f>
        <v/>
      </c>
      <c r="B253" t="str">
        <f>IF($A253&lt;&gt;"",'All Cases - Enter Cases'!B253,"")</f>
        <v/>
      </c>
      <c r="C253" t="str">
        <f>IF($A253&lt;&gt;"",'All Cases - Enter Cases'!C253,"")</f>
        <v/>
      </c>
      <c r="D253" t="str">
        <f>IF($A253&lt;&gt;"",'All Cases - Enter Cases'!D253,"")</f>
        <v/>
      </c>
      <c r="E253" t="str">
        <f>IF($A253&lt;&gt;"",'All Cases - Enter Cases'!E253,"")</f>
        <v/>
      </c>
      <c r="F253" t="str">
        <f>IF($A253&lt;&gt;"",'All Cases - Enter Cases'!F253,"")</f>
        <v/>
      </c>
      <c r="G253" t="str">
        <f>IF($A253&lt;&gt;"",'All Cases - Enter Cases'!G253,"")</f>
        <v/>
      </c>
      <c r="H253" t="str">
        <f>IF($A253&lt;&gt;"",'All Cases - Enter Cases'!H253,"")</f>
        <v/>
      </c>
      <c r="I253" t="str">
        <f>IF($A253&lt;&gt;"",'All Cases - Enter Cases'!I253,"")</f>
        <v/>
      </c>
      <c r="J253" t="str">
        <f>IF($A253&lt;&gt;"",'All Cases - Enter Cases'!J253,"")</f>
        <v/>
      </c>
      <c r="K253" t="str">
        <f>IF($A253&lt;&gt;"",'All Cases - Enter Cases'!K253,"")</f>
        <v/>
      </c>
      <c r="L253" t="str">
        <f>IF($A253&lt;&gt;"",'All Cases - Enter Cases'!L253,"")</f>
        <v/>
      </c>
      <c r="M253" t="str">
        <f>IF($A253&lt;&gt;"",'All Cases - Enter Cases'!M253,"")</f>
        <v/>
      </c>
    </row>
    <row r="254" spans="1:13" x14ac:dyDescent="0.35">
      <c r="A254" t="str">
        <f>IF('All Cases - Enter Cases'!$F254="Balochistan",'All Cases - Enter Cases'!A254,"")</f>
        <v/>
      </c>
      <c r="B254" t="str">
        <f>IF($A254&lt;&gt;"",'All Cases - Enter Cases'!B254,"")</f>
        <v/>
      </c>
      <c r="C254" t="str">
        <f>IF($A254&lt;&gt;"",'All Cases - Enter Cases'!C254,"")</f>
        <v/>
      </c>
      <c r="D254" t="str">
        <f>IF($A254&lt;&gt;"",'All Cases - Enter Cases'!D254,"")</f>
        <v/>
      </c>
      <c r="E254" t="str">
        <f>IF($A254&lt;&gt;"",'All Cases - Enter Cases'!E254,"")</f>
        <v/>
      </c>
      <c r="F254" t="str">
        <f>IF($A254&lt;&gt;"",'All Cases - Enter Cases'!F254,"")</f>
        <v/>
      </c>
      <c r="G254" t="str">
        <f>IF($A254&lt;&gt;"",'All Cases - Enter Cases'!G254,"")</f>
        <v/>
      </c>
      <c r="H254" t="str">
        <f>IF($A254&lt;&gt;"",'All Cases - Enter Cases'!H254,"")</f>
        <v/>
      </c>
      <c r="I254" t="str">
        <f>IF($A254&lt;&gt;"",'All Cases - Enter Cases'!I254,"")</f>
        <v/>
      </c>
      <c r="J254" t="str">
        <f>IF($A254&lt;&gt;"",'All Cases - Enter Cases'!J254,"")</f>
        <v/>
      </c>
      <c r="K254" t="str">
        <f>IF($A254&lt;&gt;"",'All Cases - Enter Cases'!K254,"")</f>
        <v/>
      </c>
      <c r="L254" t="str">
        <f>IF($A254&lt;&gt;"",'All Cases - Enter Cases'!L254,"")</f>
        <v/>
      </c>
      <c r="M254" t="str">
        <f>IF($A254&lt;&gt;"",'All Cases - Enter Cases'!M254,"")</f>
        <v/>
      </c>
    </row>
    <row r="255" spans="1:13" x14ac:dyDescent="0.35">
      <c r="A255" t="str">
        <f>IF('All Cases - Enter Cases'!$F255="Balochistan",'All Cases - Enter Cases'!A255,"")</f>
        <v/>
      </c>
      <c r="B255" t="str">
        <f>IF($A255&lt;&gt;"",'All Cases - Enter Cases'!B255,"")</f>
        <v/>
      </c>
      <c r="C255" t="str">
        <f>IF($A255&lt;&gt;"",'All Cases - Enter Cases'!C255,"")</f>
        <v/>
      </c>
      <c r="D255" t="str">
        <f>IF($A255&lt;&gt;"",'All Cases - Enter Cases'!D255,"")</f>
        <v/>
      </c>
      <c r="E255" t="str">
        <f>IF($A255&lt;&gt;"",'All Cases - Enter Cases'!E255,"")</f>
        <v/>
      </c>
      <c r="F255" t="str">
        <f>IF($A255&lt;&gt;"",'All Cases - Enter Cases'!F255,"")</f>
        <v/>
      </c>
      <c r="G255" t="str">
        <f>IF($A255&lt;&gt;"",'All Cases - Enter Cases'!G255,"")</f>
        <v/>
      </c>
      <c r="H255" t="str">
        <f>IF($A255&lt;&gt;"",'All Cases - Enter Cases'!H255,"")</f>
        <v/>
      </c>
      <c r="I255" t="str">
        <f>IF($A255&lt;&gt;"",'All Cases - Enter Cases'!I255,"")</f>
        <v/>
      </c>
      <c r="J255" t="str">
        <f>IF($A255&lt;&gt;"",'All Cases - Enter Cases'!J255,"")</f>
        <v/>
      </c>
      <c r="K255" t="str">
        <f>IF($A255&lt;&gt;"",'All Cases - Enter Cases'!K255,"")</f>
        <v/>
      </c>
      <c r="L255" t="str">
        <f>IF($A255&lt;&gt;"",'All Cases - Enter Cases'!L255,"")</f>
        <v/>
      </c>
      <c r="M255" t="str">
        <f>IF($A255&lt;&gt;"",'All Cases - Enter Cases'!M255,"")</f>
        <v/>
      </c>
    </row>
    <row r="256" spans="1:13" x14ac:dyDescent="0.35">
      <c r="A256" t="str">
        <f>IF('All Cases - Enter Cases'!$F256="Balochistan",'All Cases - Enter Cases'!A256,"")</f>
        <v/>
      </c>
      <c r="B256" t="str">
        <f>IF($A256&lt;&gt;"",'All Cases - Enter Cases'!B256,"")</f>
        <v/>
      </c>
      <c r="C256" t="str">
        <f>IF($A256&lt;&gt;"",'All Cases - Enter Cases'!C256,"")</f>
        <v/>
      </c>
      <c r="D256" t="str">
        <f>IF($A256&lt;&gt;"",'All Cases - Enter Cases'!D256,"")</f>
        <v/>
      </c>
      <c r="E256" t="str">
        <f>IF($A256&lt;&gt;"",'All Cases - Enter Cases'!E256,"")</f>
        <v/>
      </c>
      <c r="F256" t="str">
        <f>IF($A256&lt;&gt;"",'All Cases - Enter Cases'!F256,"")</f>
        <v/>
      </c>
      <c r="G256" t="str">
        <f>IF($A256&lt;&gt;"",'All Cases - Enter Cases'!G256,"")</f>
        <v/>
      </c>
      <c r="H256" t="str">
        <f>IF($A256&lt;&gt;"",'All Cases - Enter Cases'!H256,"")</f>
        <v/>
      </c>
      <c r="I256" t="str">
        <f>IF($A256&lt;&gt;"",'All Cases - Enter Cases'!I256,"")</f>
        <v/>
      </c>
      <c r="J256" t="str">
        <f>IF($A256&lt;&gt;"",'All Cases - Enter Cases'!J256,"")</f>
        <v/>
      </c>
      <c r="K256" t="str">
        <f>IF($A256&lt;&gt;"",'All Cases - Enter Cases'!K256,"")</f>
        <v/>
      </c>
      <c r="L256" t="str">
        <f>IF($A256&lt;&gt;"",'All Cases - Enter Cases'!L256,"")</f>
        <v/>
      </c>
      <c r="M256" t="str">
        <f>IF($A256&lt;&gt;"",'All Cases - Enter Cases'!M256,"")</f>
        <v/>
      </c>
    </row>
    <row r="257" spans="1:13" x14ac:dyDescent="0.35">
      <c r="A257" t="str">
        <f>IF('All Cases - Enter Cases'!$F257="Balochistan",'All Cases - Enter Cases'!A257,"")</f>
        <v/>
      </c>
      <c r="B257" t="str">
        <f>IF($A257&lt;&gt;"",'All Cases - Enter Cases'!B257,"")</f>
        <v/>
      </c>
      <c r="C257" t="str">
        <f>IF($A257&lt;&gt;"",'All Cases - Enter Cases'!C257,"")</f>
        <v/>
      </c>
      <c r="D257" t="str">
        <f>IF($A257&lt;&gt;"",'All Cases - Enter Cases'!D257,"")</f>
        <v/>
      </c>
      <c r="E257" t="str">
        <f>IF($A257&lt;&gt;"",'All Cases - Enter Cases'!E257,"")</f>
        <v/>
      </c>
      <c r="F257" t="str">
        <f>IF($A257&lt;&gt;"",'All Cases - Enter Cases'!F257,"")</f>
        <v/>
      </c>
      <c r="G257" t="str">
        <f>IF($A257&lt;&gt;"",'All Cases - Enter Cases'!G257,"")</f>
        <v/>
      </c>
      <c r="H257" t="str">
        <f>IF($A257&lt;&gt;"",'All Cases - Enter Cases'!H257,"")</f>
        <v/>
      </c>
      <c r="I257" t="str">
        <f>IF($A257&lt;&gt;"",'All Cases - Enter Cases'!I257,"")</f>
        <v/>
      </c>
      <c r="J257" t="str">
        <f>IF($A257&lt;&gt;"",'All Cases - Enter Cases'!J257,"")</f>
        <v/>
      </c>
      <c r="K257" t="str">
        <f>IF($A257&lt;&gt;"",'All Cases - Enter Cases'!K257,"")</f>
        <v/>
      </c>
      <c r="L257" t="str">
        <f>IF($A257&lt;&gt;"",'All Cases - Enter Cases'!L257,"")</f>
        <v/>
      </c>
      <c r="M257" t="str">
        <f>IF($A257&lt;&gt;"",'All Cases - Enter Cases'!M257,"")</f>
        <v/>
      </c>
    </row>
    <row r="258" spans="1:13" x14ac:dyDescent="0.35">
      <c r="A258" t="str">
        <f>IF('All Cases - Enter Cases'!$F258="Balochistan",'All Cases - Enter Cases'!A258,"")</f>
        <v/>
      </c>
      <c r="B258" t="str">
        <f>IF($A258&lt;&gt;"",'All Cases - Enter Cases'!B258,"")</f>
        <v/>
      </c>
      <c r="C258" t="str">
        <f>IF($A258&lt;&gt;"",'All Cases - Enter Cases'!C258,"")</f>
        <v/>
      </c>
      <c r="D258" t="str">
        <f>IF($A258&lt;&gt;"",'All Cases - Enter Cases'!D258,"")</f>
        <v/>
      </c>
      <c r="E258" t="str">
        <f>IF($A258&lt;&gt;"",'All Cases - Enter Cases'!E258,"")</f>
        <v/>
      </c>
      <c r="F258" t="str">
        <f>IF($A258&lt;&gt;"",'All Cases - Enter Cases'!F258,"")</f>
        <v/>
      </c>
      <c r="G258" t="str">
        <f>IF($A258&lt;&gt;"",'All Cases - Enter Cases'!G258,"")</f>
        <v/>
      </c>
      <c r="H258" t="str">
        <f>IF($A258&lt;&gt;"",'All Cases - Enter Cases'!H258,"")</f>
        <v/>
      </c>
      <c r="I258" t="str">
        <f>IF($A258&lt;&gt;"",'All Cases - Enter Cases'!I258,"")</f>
        <v/>
      </c>
      <c r="J258" t="str">
        <f>IF($A258&lt;&gt;"",'All Cases - Enter Cases'!J258,"")</f>
        <v/>
      </c>
      <c r="K258" t="str">
        <f>IF($A258&lt;&gt;"",'All Cases - Enter Cases'!K258,"")</f>
        <v/>
      </c>
      <c r="L258" t="str">
        <f>IF($A258&lt;&gt;"",'All Cases - Enter Cases'!L258,"")</f>
        <v/>
      </c>
      <c r="M258" t="str">
        <f>IF($A258&lt;&gt;"",'All Cases - Enter Cases'!M258,"")</f>
        <v/>
      </c>
    </row>
    <row r="259" spans="1:13" x14ac:dyDescent="0.35">
      <c r="A259" t="str">
        <f>IF('All Cases - Enter Cases'!$F259="Balochistan",'All Cases - Enter Cases'!A259,"")</f>
        <v/>
      </c>
      <c r="B259" t="str">
        <f>IF($A259&lt;&gt;"",'All Cases - Enter Cases'!B259,"")</f>
        <v/>
      </c>
      <c r="C259" t="str">
        <f>IF($A259&lt;&gt;"",'All Cases - Enter Cases'!C259,"")</f>
        <v/>
      </c>
      <c r="D259" t="str">
        <f>IF($A259&lt;&gt;"",'All Cases - Enter Cases'!D259,"")</f>
        <v/>
      </c>
      <c r="E259" t="str">
        <f>IF($A259&lt;&gt;"",'All Cases - Enter Cases'!E259,"")</f>
        <v/>
      </c>
      <c r="F259" t="str">
        <f>IF($A259&lt;&gt;"",'All Cases - Enter Cases'!F259,"")</f>
        <v/>
      </c>
      <c r="G259" t="str">
        <f>IF($A259&lt;&gt;"",'All Cases - Enter Cases'!G259,"")</f>
        <v/>
      </c>
      <c r="H259" t="str">
        <f>IF($A259&lt;&gt;"",'All Cases - Enter Cases'!H259,"")</f>
        <v/>
      </c>
      <c r="I259" t="str">
        <f>IF($A259&lt;&gt;"",'All Cases - Enter Cases'!I259,"")</f>
        <v/>
      </c>
      <c r="J259" t="str">
        <f>IF($A259&lt;&gt;"",'All Cases - Enter Cases'!J259,"")</f>
        <v/>
      </c>
      <c r="K259" t="str">
        <f>IF($A259&lt;&gt;"",'All Cases - Enter Cases'!K259,"")</f>
        <v/>
      </c>
      <c r="L259" t="str">
        <f>IF($A259&lt;&gt;"",'All Cases - Enter Cases'!L259,"")</f>
        <v/>
      </c>
      <c r="M259" t="str">
        <f>IF($A259&lt;&gt;"",'All Cases - Enter Cases'!M259,"")</f>
        <v/>
      </c>
    </row>
    <row r="260" spans="1:13" x14ac:dyDescent="0.35">
      <c r="A260" t="str">
        <f>IF('All Cases - Enter Cases'!$F260="Balochistan",'All Cases - Enter Cases'!A260,"")</f>
        <v/>
      </c>
      <c r="B260" t="str">
        <f>IF($A260&lt;&gt;"",'All Cases - Enter Cases'!B260,"")</f>
        <v/>
      </c>
      <c r="C260" t="str">
        <f>IF($A260&lt;&gt;"",'All Cases - Enter Cases'!C260,"")</f>
        <v/>
      </c>
      <c r="D260" t="str">
        <f>IF($A260&lt;&gt;"",'All Cases - Enter Cases'!D260,"")</f>
        <v/>
      </c>
      <c r="E260" t="str">
        <f>IF($A260&lt;&gt;"",'All Cases - Enter Cases'!E260,"")</f>
        <v/>
      </c>
      <c r="F260" t="str">
        <f>IF($A260&lt;&gt;"",'All Cases - Enter Cases'!F260,"")</f>
        <v/>
      </c>
      <c r="G260" t="str">
        <f>IF($A260&lt;&gt;"",'All Cases - Enter Cases'!G260,"")</f>
        <v/>
      </c>
      <c r="H260" t="str">
        <f>IF($A260&lt;&gt;"",'All Cases - Enter Cases'!H260,"")</f>
        <v/>
      </c>
      <c r="I260" t="str">
        <f>IF($A260&lt;&gt;"",'All Cases - Enter Cases'!I260,"")</f>
        <v/>
      </c>
      <c r="J260" t="str">
        <f>IF($A260&lt;&gt;"",'All Cases - Enter Cases'!J260,"")</f>
        <v/>
      </c>
      <c r="K260" t="str">
        <f>IF($A260&lt;&gt;"",'All Cases - Enter Cases'!K260,"")</f>
        <v/>
      </c>
      <c r="L260" t="str">
        <f>IF($A260&lt;&gt;"",'All Cases - Enter Cases'!L260,"")</f>
        <v/>
      </c>
      <c r="M260" t="str">
        <f>IF($A260&lt;&gt;"",'All Cases - Enter Cases'!M260,"")</f>
        <v/>
      </c>
    </row>
    <row r="261" spans="1:13" x14ac:dyDescent="0.35">
      <c r="A261" t="str">
        <f>IF('All Cases - Enter Cases'!$F261="Balochistan",'All Cases - Enter Cases'!A261,"")</f>
        <v/>
      </c>
      <c r="B261" t="str">
        <f>IF($A261&lt;&gt;"",'All Cases - Enter Cases'!B261,"")</f>
        <v/>
      </c>
      <c r="C261" t="str">
        <f>IF($A261&lt;&gt;"",'All Cases - Enter Cases'!C261,"")</f>
        <v/>
      </c>
      <c r="D261" t="str">
        <f>IF($A261&lt;&gt;"",'All Cases - Enter Cases'!D261,"")</f>
        <v/>
      </c>
      <c r="E261" t="str">
        <f>IF($A261&lt;&gt;"",'All Cases - Enter Cases'!E261,"")</f>
        <v/>
      </c>
      <c r="F261" t="str">
        <f>IF($A261&lt;&gt;"",'All Cases - Enter Cases'!F261,"")</f>
        <v/>
      </c>
      <c r="G261" t="str">
        <f>IF($A261&lt;&gt;"",'All Cases - Enter Cases'!G261,"")</f>
        <v/>
      </c>
      <c r="H261" t="str">
        <f>IF($A261&lt;&gt;"",'All Cases - Enter Cases'!H261,"")</f>
        <v/>
      </c>
      <c r="I261" t="str">
        <f>IF($A261&lt;&gt;"",'All Cases - Enter Cases'!I261,"")</f>
        <v/>
      </c>
      <c r="J261" t="str">
        <f>IF($A261&lt;&gt;"",'All Cases - Enter Cases'!J261,"")</f>
        <v/>
      </c>
      <c r="K261" t="str">
        <f>IF($A261&lt;&gt;"",'All Cases - Enter Cases'!K261,"")</f>
        <v/>
      </c>
      <c r="L261" t="str">
        <f>IF($A261&lt;&gt;"",'All Cases - Enter Cases'!L261,"")</f>
        <v/>
      </c>
      <c r="M261" t="str">
        <f>IF($A261&lt;&gt;"",'All Cases - Enter Cases'!M261,"")</f>
        <v/>
      </c>
    </row>
    <row r="262" spans="1:13" x14ac:dyDescent="0.35">
      <c r="A262" t="str">
        <f>IF('All Cases - Enter Cases'!$F262="Balochistan",'All Cases - Enter Cases'!A262,"")</f>
        <v/>
      </c>
      <c r="B262" t="str">
        <f>IF($A262&lt;&gt;"",'All Cases - Enter Cases'!B262,"")</f>
        <v/>
      </c>
      <c r="C262" t="str">
        <f>IF($A262&lt;&gt;"",'All Cases - Enter Cases'!C262,"")</f>
        <v/>
      </c>
      <c r="D262" t="str">
        <f>IF($A262&lt;&gt;"",'All Cases - Enter Cases'!D262,"")</f>
        <v/>
      </c>
      <c r="E262" t="str">
        <f>IF($A262&lt;&gt;"",'All Cases - Enter Cases'!E262,"")</f>
        <v/>
      </c>
      <c r="F262" t="str">
        <f>IF($A262&lt;&gt;"",'All Cases - Enter Cases'!F262,"")</f>
        <v/>
      </c>
      <c r="G262" t="str">
        <f>IF($A262&lt;&gt;"",'All Cases - Enter Cases'!G262,"")</f>
        <v/>
      </c>
      <c r="H262" t="str">
        <f>IF($A262&lt;&gt;"",'All Cases - Enter Cases'!H262,"")</f>
        <v/>
      </c>
      <c r="I262" t="str">
        <f>IF($A262&lt;&gt;"",'All Cases - Enter Cases'!I262,"")</f>
        <v/>
      </c>
      <c r="J262" t="str">
        <f>IF($A262&lt;&gt;"",'All Cases - Enter Cases'!J262,"")</f>
        <v/>
      </c>
      <c r="K262" t="str">
        <f>IF($A262&lt;&gt;"",'All Cases - Enter Cases'!K262,"")</f>
        <v/>
      </c>
      <c r="L262" t="str">
        <f>IF($A262&lt;&gt;"",'All Cases - Enter Cases'!L262,"")</f>
        <v/>
      </c>
      <c r="M262" t="str">
        <f>IF($A262&lt;&gt;"",'All Cases - Enter Cases'!M262,"")</f>
        <v/>
      </c>
    </row>
    <row r="263" spans="1:13" x14ac:dyDescent="0.35">
      <c r="A263" t="str">
        <f>IF('All Cases - Enter Cases'!$F263="Balochistan",'All Cases - Enter Cases'!A263,"")</f>
        <v/>
      </c>
      <c r="B263" t="str">
        <f>IF($A263&lt;&gt;"",'All Cases - Enter Cases'!B263,"")</f>
        <v/>
      </c>
      <c r="C263" t="str">
        <f>IF($A263&lt;&gt;"",'All Cases - Enter Cases'!C263,"")</f>
        <v/>
      </c>
      <c r="D263" t="str">
        <f>IF($A263&lt;&gt;"",'All Cases - Enter Cases'!D263,"")</f>
        <v/>
      </c>
      <c r="E263" t="str">
        <f>IF($A263&lt;&gt;"",'All Cases - Enter Cases'!E263,"")</f>
        <v/>
      </c>
      <c r="F263" t="str">
        <f>IF($A263&lt;&gt;"",'All Cases - Enter Cases'!F263,"")</f>
        <v/>
      </c>
      <c r="G263" t="str">
        <f>IF($A263&lt;&gt;"",'All Cases - Enter Cases'!G263,"")</f>
        <v/>
      </c>
      <c r="H263" t="str">
        <f>IF($A263&lt;&gt;"",'All Cases - Enter Cases'!H263,"")</f>
        <v/>
      </c>
      <c r="I263" t="str">
        <f>IF($A263&lt;&gt;"",'All Cases - Enter Cases'!I263,"")</f>
        <v/>
      </c>
      <c r="J263" t="str">
        <f>IF($A263&lt;&gt;"",'All Cases - Enter Cases'!J263,"")</f>
        <v/>
      </c>
      <c r="K263" t="str">
        <f>IF($A263&lt;&gt;"",'All Cases - Enter Cases'!K263,"")</f>
        <v/>
      </c>
      <c r="L263" t="str">
        <f>IF($A263&lt;&gt;"",'All Cases - Enter Cases'!L263,"")</f>
        <v/>
      </c>
      <c r="M263" t="str">
        <f>IF($A263&lt;&gt;"",'All Cases - Enter Cases'!M263,"")</f>
        <v/>
      </c>
    </row>
    <row r="264" spans="1:13" x14ac:dyDescent="0.35">
      <c r="A264" t="str">
        <f>IF('All Cases - Enter Cases'!$F264="Balochistan",'All Cases - Enter Cases'!A264,"")</f>
        <v/>
      </c>
      <c r="B264" t="str">
        <f>IF($A264&lt;&gt;"",'All Cases - Enter Cases'!B264,"")</f>
        <v/>
      </c>
      <c r="C264" t="str">
        <f>IF($A264&lt;&gt;"",'All Cases - Enter Cases'!C264,"")</f>
        <v/>
      </c>
      <c r="D264" t="str">
        <f>IF($A264&lt;&gt;"",'All Cases - Enter Cases'!D264,"")</f>
        <v/>
      </c>
      <c r="E264" t="str">
        <f>IF($A264&lt;&gt;"",'All Cases - Enter Cases'!E264,"")</f>
        <v/>
      </c>
      <c r="F264" t="str">
        <f>IF($A264&lt;&gt;"",'All Cases - Enter Cases'!F264,"")</f>
        <v/>
      </c>
      <c r="G264" t="str">
        <f>IF($A264&lt;&gt;"",'All Cases - Enter Cases'!G264,"")</f>
        <v/>
      </c>
      <c r="H264" t="str">
        <f>IF($A264&lt;&gt;"",'All Cases - Enter Cases'!H264,"")</f>
        <v/>
      </c>
      <c r="I264" t="str">
        <f>IF($A264&lt;&gt;"",'All Cases - Enter Cases'!I264,"")</f>
        <v/>
      </c>
      <c r="J264" t="str">
        <f>IF($A264&lt;&gt;"",'All Cases - Enter Cases'!J264,"")</f>
        <v/>
      </c>
      <c r="K264" t="str">
        <f>IF($A264&lt;&gt;"",'All Cases - Enter Cases'!K264,"")</f>
        <v/>
      </c>
      <c r="L264" t="str">
        <f>IF($A264&lt;&gt;"",'All Cases - Enter Cases'!L264,"")</f>
        <v/>
      </c>
      <c r="M264" t="str">
        <f>IF($A264&lt;&gt;"",'All Cases - Enter Cases'!M264,"")</f>
        <v/>
      </c>
    </row>
    <row r="265" spans="1:13" x14ac:dyDescent="0.35">
      <c r="A265" t="str">
        <f>IF('All Cases - Enter Cases'!$F265="Balochistan",'All Cases - Enter Cases'!A265,"")</f>
        <v/>
      </c>
      <c r="B265" t="str">
        <f>IF($A265&lt;&gt;"",'All Cases - Enter Cases'!B265,"")</f>
        <v/>
      </c>
      <c r="C265" t="str">
        <f>IF($A265&lt;&gt;"",'All Cases - Enter Cases'!C265,"")</f>
        <v/>
      </c>
      <c r="D265" t="str">
        <f>IF($A265&lt;&gt;"",'All Cases - Enter Cases'!D265,"")</f>
        <v/>
      </c>
      <c r="E265" t="str">
        <f>IF($A265&lt;&gt;"",'All Cases - Enter Cases'!E265,"")</f>
        <v/>
      </c>
      <c r="F265" t="str">
        <f>IF($A265&lt;&gt;"",'All Cases - Enter Cases'!F265,"")</f>
        <v/>
      </c>
      <c r="G265" t="str">
        <f>IF($A265&lt;&gt;"",'All Cases - Enter Cases'!G265,"")</f>
        <v/>
      </c>
      <c r="H265" t="str">
        <f>IF($A265&lt;&gt;"",'All Cases - Enter Cases'!H265,"")</f>
        <v/>
      </c>
      <c r="I265" t="str">
        <f>IF($A265&lt;&gt;"",'All Cases - Enter Cases'!I265,"")</f>
        <v/>
      </c>
      <c r="J265" t="str">
        <f>IF($A265&lt;&gt;"",'All Cases - Enter Cases'!J265,"")</f>
        <v/>
      </c>
      <c r="K265" t="str">
        <f>IF($A265&lt;&gt;"",'All Cases - Enter Cases'!K265,"")</f>
        <v/>
      </c>
      <c r="L265" t="str">
        <f>IF($A265&lt;&gt;"",'All Cases - Enter Cases'!L265,"")</f>
        <v/>
      </c>
      <c r="M265" t="str">
        <f>IF($A265&lt;&gt;"",'All Cases - Enter Cases'!M265,"")</f>
        <v/>
      </c>
    </row>
    <row r="266" spans="1:13" x14ac:dyDescent="0.35">
      <c r="A266" t="str">
        <f>IF('All Cases - Enter Cases'!$F266="Balochistan",'All Cases - Enter Cases'!A266,"")</f>
        <v/>
      </c>
      <c r="B266" t="str">
        <f>IF($A266&lt;&gt;"",'All Cases - Enter Cases'!B266,"")</f>
        <v/>
      </c>
      <c r="C266" t="str">
        <f>IF($A266&lt;&gt;"",'All Cases - Enter Cases'!C266,"")</f>
        <v/>
      </c>
      <c r="D266" t="str">
        <f>IF($A266&lt;&gt;"",'All Cases - Enter Cases'!D266,"")</f>
        <v/>
      </c>
      <c r="E266" t="str">
        <f>IF($A266&lt;&gt;"",'All Cases - Enter Cases'!E266,"")</f>
        <v/>
      </c>
      <c r="F266" t="str">
        <f>IF($A266&lt;&gt;"",'All Cases - Enter Cases'!F266,"")</f>
        <v/>
      </c>
      <c r="G266" t="str">
        <f>IF($A266&lt;&gt;"",'All Cases - Enter Cases'!G266,"")</f>
        <v/>
      </c>
      <c r="H266" t="str">
        <f>IF($A266&lt;&gt;"",'All Cases - Enter Cases'!H266,"")</f>
        <v/>
      </c>
      <c r="I266" t="str">
        <f>IF($A266&lt;&gt;"",'All Cases - Enter Cases'!I266,"")</f>
        <v/>
      </c>
      <c r="J266" t="str">
        <f>IF($A266&lt;&gt;"",'All Cases - Enter Cases'!J266,"")</f>
        <v/>
      </c>
      <c r="K266" t="str">
        <f>IF($A266&lt;&gt;"",'All Cases - Enter Cases'!K266,"")</f>
        <v/>
      </c>
      <c r="L266" t="str">
        <f>IF($A266&lt;&gt;"",'All Cases - Enter Cases'!L266,"")</f>
        <v/>
      </c>
      <c r="M266" t="str">
        <f>IF($A266&lt;&gt;"",'All Cases - Enter Cases'!M266,"")</f>
        <v/>
      </c>
    </row>
    <row r="267" spans="1:13" x14ac:dyDescent="0.35">
      <c r="A267" t="str">
        <f>IF('All Cases - Enter Cases'!$F267="Balochistan",'All Cases - Enter Cases'!A267,"")</f>
        <v/>
      </c>
      <c r="B267" t="str">
        <f>IF($A267&lt;&gt;"",'All Cases - Enter Cases'!B267,"")</f>
        <v/>
      </c>
      <c r="C267" t="str">
        <f>IF($A267&lt;&gt;"",'All Cases - Enter Cases'!C267,"")</f>
        <v/>
      </c>
      <c r="D267" t="str">
        <f>IF($A267&lt;&gt;"",'All Cases - Enter Cases'!D267,"")</f>
        <v/>
      </c>
      <c r="E267" t="str">
        <f>IF($A267&lt;&gt;"",'All Cases - Enter Cases'!E267,"")</f>
        <v/>
      </c>
      <c r="F267" t="str">
        <f>IF($A267&lt;&gt;"",'All Cases - Enter Cases'!F267,"")</f>
        <v/>
      </c>
      <c r="G267" t="str">
        <f>IF($A267&lt;&gt;"",'All Cases - Enter Cases'!G267,"")</f>
        <v/>
      </c>
      <c r="H267" t="str">
        <f>IF($A267&lt;&gt;"",'All Cases - Enter Cases'!H267,"")</f>
        <v/>
      </c>
      <c r="I267" t="str">
        <f>IF($A267&lt;&gt;"",'All Cases - Enter Cases'!I267,"")</f>
        <v/>
      </c>
      <c r="J267" t="str">
        <f>IF($A267&lt;&gt;"",'All Cases - Enter Cases'!J267,"")</f>
        <v/>
      </c>
      <c r="K267" t="str">
        <f>IF($A267&lt;&gt;"",'All Cases - Enter Cases'!K267,"")</f>
        <v/>
      </c>
      <c r="L267" t="str">
        <f>IF($A267&lt;&gt;"",'All Cases - Enter Cases'!L267,"")</f>
        <v/>
      </c>
      <c r="M267" t="str">
        <f>IF($A267&lt;&gt;"",'All Cases - Enter Cases'!M267,"")</f>
        <v/>
      </c>
    </row>
    <row r="268" spans="1:13" x14ac:dyDescent="0.35">
      <c r="A268" t="str">
        <f>IF('All Cases - Enter Cases'!$F268="Balochistan",'All Cases - Enter Cases'!A268,"")</f>
        <v/>
      </c>
      <c r="B268" t="str">
        <f>IF($A268&lt;&gt;"",'All Cases - Enter Cases'!B268,"")</f>
        <v/>
      </c>
      <c r="C268" t="str">
        <f>IF($A268&lt;&gt;"",'All Cases - Enter Cases'!C268,"")</f>
        <v/>
      </c>
      <c r="D268" t="str">
        <f>IF($A268&lt;&gt;"",'All Cases - Enter Cases'!D268,"")</f>
        <v/>
      </c>
      <c r="E268" t="str">
        <f>IF($A268&lt;&gt;"",'All Cases - Enter Cases'!E268,"")</f>
        <v/>
      </c>
      <c r="F268" t="str">
        <f>IF($A268&lt;&gt;"",'All Cases - Enter Cases'!F268,"")</f>
        <v/>
      </c>
      <c r="G268" t="str">
        <f>IF($A268&lt;&gt;"",'All Cases - Enter Cases'!G268,"")</f>
        <v/>
      </c>
      <c r="H268" t="str">
        <f>IF($A268&lt;&gt;"",'All Cases - Enter Cases'!H268,"")</f>
        <v/>
      </c>
      <c r="I268" t="str">
        <f>IF($A268&lt;&gt;"",'All Cases - Enter Cases'!I268,"")</f>
        <v/>
      </c>
      <c r="J268" t="str">
        <f>IF($A268&lt;&gt;"",'All Cases - Enter Cases'!J268,"")</f>
        <v/>
      </c>
      <c r="K268" t="str">
        <f>IF($A268&lt;&gt;"",'All Cases - Enter Cases'!K268,"")</f>
        <v/>
      </c>
      <c r="L268" t="str">
        <f>IF($A268&lt;&gt;"",'All Cases - Enter Cases'!L268,"")</f>
        <v/>
      </c>
      <c r="M268" t="str">
        <f>IF($A268&lt;&gt;"",'All Cases - Enter Cases'!M268,"")</f>
        <v/>
      </c>
    </row>
    <row r="269" spans="1:13" x14ac:dyDescent="0.35">
      <c r="A269" t="str">
        <f>IF('All Cases - Enter Cases'!$F269="Balochistan",'All Cases - Enter Cases'!A269,"")</f>
        <v/>
      </c>
      <c r="B269" t="str">
        <f>IF($A269&lt;&gt;"",'All Cases - Enter Cases'!B269,"")</f>
        <v/>
      </c>
      <c r="C269" t="str">
        <f>IF($A269&lt;&gt;"",'All Cases - Enter Cases'!C269,"")</f>
        <v/>
      </c>
      <c r="D269" t="str">
        <f>IF($A269&lt;&gt;"",'All Cases - Enter Cases'!D269,"")</f>
        <v/>
      </c>
      <c r="E269" t="str">
        <f>IF($A269&lt;&gt;"",'All Cases - Enter Cases'!E269,"")</f>
        <v/>
      </c>
      <c r="F269" t="str">
        <f>IF($A269&lt;&gt;"",'All Cases - Enter Cases'!F269,"")</f>
        <v/>
      </c>
      <c r="G269" t="str">
        <f>IF($A269&lt;&gt;"",'All Cases - Enter Cases'!G269,"")</f>
        <v/>
      </c>
      <c r="H269" t="str">
        <f>IF($A269&lt;&gt;"",'All Cases - Enter Cases'!H269,"")</f>
        <v/>
      </c>
      <c r="I269" t="str">
        <f>IF($A269&lt;&gt;"",'All Cases - Enter Cases'!I269,"")</f>
        <v/>
      </c>
      <c r="J269" t="str">
        <f>IF($A269&lt;&gt;"",'All Cases - Enter Cases'!J269,"")</f>
        <v/>
      </c>
      <c r="K269" t="str">
        <f>IF($A269&lt;&gt;"",'All Cases - Enter Cases'!K269,"")</f>
        <v/>
      </c>
      <c r="L269" t="str">
        <f>IF($A269&lt;&gt;"",'All Cases - Enter Cases'!L269,"")</f>
        <v/>
      </c>
      <c r="M269" t="str">
        <f>IF($A269&lt;&gt;"",'All Cases - Enter Cases'!M269,"")</f>
        <v/>
      </c>
    </row>
    <row r="270" spans="1:13" x14ac:dyDescent="0.35">
      <c r="A270" t="str">
        <f>IF('All Cases - Enter Cases'!$F270="Balochistan",'All Cases - Enter Cases'!A270,"")</f>
        <v/>
      </c>
      <c r="B270" t="str">
        <f>IF($A270&lt;&gt;"",'All Cases - Enter Cases'!B270,"")</f>
        <v/>
      </c>
      <c r="C270" t="str">
        <f>IF($A270&lt;&gt;"",'All Cases - Enter Cases'!C270,"")</f>
        <v/>
      </c>
      <c r="D270" t="str">
        <f>IF($A270&lt;&gt;"",'All Cases - Enter Cases'!D270,"")</f>
        <v/>
      </c>
      <c r="E270" t="str">
        <f>IF($A270&lt;&gt;"",'All Cases - Enter Cases'!E270,"")</f>
        <v/>
      </c>
      <c r="F270" t="str">
        <f>IF($A270&lt;&gt;"",'All Cases - Enter Cases'!F270,"")</f>
        <v/>
      </c>
      <c r="G270" t="str">
        <f>IF($A270&lt;&gt;"",'All Cases - Enter Cases'!G270,"")</f>
        <v/>
      </c>
      <c r="H270" t="str">
        <f>IF($A270&lt;&gt;"",'All Cases - Enter Cases'!H270,"")</f>
        <v/>
      </c>
      <c r="I270" t="str">
        <f>IF($A270&lt;&gt;"",'All Cases - Enter Cases'!I270,"")</f>
        <v/>
      </c>
      <c r="J270" t="str">
        <f>IF($A270&lt;&gt;"",'All Cases - Enter Cases'!J270,"")</f>
        <v/>
      </c>
      <c r="K270" t="str">
        <f>IF($A270&lt;&gt;"",'All Cases - Enter Cases'!K270,"")</f>
        <v/>
      </c>
      <c r="L270" t="str">
        <f>IF($A270&lt;&gt;"",'All Cases - Enter Cases'!L270,"")</f>
        <v/>
      </c>
      <c r="M270" t="str">
        <f>IF($A270&lt;&gt;"",'All Cases - Enter Cases'!M270,"")</f>
        <v/>
      </c>
    </row>
    <row r="271" spans="1:13" x14ac:dyDescent="0.35">
      <c r="A271" t="str">
        <f>IF('All Cases - Enter Cases'!$F271="Balochistan",'All Cases - Enter Cases'!A271,"")</f>
        <v/>
      </c>
      <c r="B271" t="str">
        <f>IF($A271&lt;&gt;"",'All Cases - Enter Cases'!B271,"")</f>
        <v/>
      </c>
      <c r="C271" t="str">
        <f>IF($A271&lt;&gt;"",'All Cases - Enter Cases'!C271,"")</f>
        <v/>
      </c>
      <c r="D271" t="str">
        <f>IF($A271&lt;&gt;"",'All Cases - Enter Cases'!D271,"")</f>
        <v/>
      </c>
      <c r="E271" t="str">
        <f>IF($A271&lt;&gt;"",'All Cases - Enter Cases'!E271,"")</f>
        <v/>
      </c>
      <c r="F271" t="str">
        <f>IF($A271&lt;&gt;"",'All Cases - Enter Cases'!F271,"")</f>
        <v/>
      </c>
      <c r="G271" t="str">
        <f>IF($A271&lt;&gt;"",'All Cases - Enter Cases'!G271,"")</f>
        <v/>
      </c>
      <c r="H271" t="str">
        <f>IF($A271&lt;&gt;"",'All Cases - Enter Cases'!H271,"")</f>
        <v/>
      </c>
      <c r="I271" t="str">
        <f>IF($A271&lt;&gt;"",'All Cases - Enter Cases'!I271,"")</f>
        <v/>
      </c>
      <c r="J271" t="str">
        <f>IF($A271&lt;&gt;"",'All Cases - Enter Cases'!J271,"")</f>
        <v/>
      </c>
      <c r="K271" t="str">
        <f>IF($A271&lt;&gt;"",'All Cases - Enter Cases'!K271,"")</f>
        <v/>
      </c>
      <c r="L271" t="str">
        <f>IF($A271&lt;&gt;"",'All Cases - Enter Cases'!L271,"")</f>
        <v/>
      </c>
      <c r="M271" t="str">
        <f>IF($A271&lt;&gt;"",'All Cases - Enter Cases'!M271,"")</f>
        <v/>
      </c>
    </row>
    <row r="272" spans="1:13" x14ac:dyDescent="0.35">
      <c r="A272" t="str">
        <f>IF('All Cases - Enter Cases'!$F272="Balochistan",'All Cases - Enter Cases'!A272,"")</f>
        <v/>
      </c>
      <c r="B272" t="str">
        <f>IF($A272&lt;&gt;"",'All Cases - Enter Cases'!B272,"")</f>
        <v/>
      </c>
      <c r="C272" t="str">
        <f>IF($A272&lt;&gt;"",'All Cases - Enter Cases'!C272,"")</f>
        <v/>
      </c>
      <c r="D272" t="str">
        <f>IF($A272&lt;&gt;"",'All Cases - Enter Cases'!D272,"")</f>
        <v/>
      </c>
      <c r="E272" t="str">
        <f>IF($A272&lt;&gt;"",'All Cases - Enter Cases'!E272,"")</f>
        <v/>
      </c>
      <c r="F272" t="str">
        <f>IF($A272&lt;&gt;"",'All Cases - Enter Cases'!F272,"")</f>
        <v/>
      </c>
      <c r="G272" t="str">
        <f>IF($A272&lt;&gt;"",'All Cases - Enter Cases'!G272,"")</f>
        <v/>
      </c>
      <c r="H272" t="str">
        <f>IF($A272&lt;&gt;"",'All Cases - Enter Cases'!H272,"")</f>
        <v/>
      </c>
      <c r="I272" t="str">
        <f>IF($A272&lt;&gt;"",'All Cases - Enter Cases'!I272,"")</f>
        <v/>
      </c>
      <c r="J272" t="str">
        <f>IF($A272&lt;&gt;"",'All Cases - Enter Cases'!J272,"")</f>
        <v/>
      </c>
      <c r="K272" t="str">
        <f>IF($A272&lt;&gt;"",'All Cases - Enter Cases'!K272,"")</f>
        <v/>
      </c>
      <c r="L272" t="str">
        <f>IF($A272&lt;&gt;"",'All Cases - Enter Cases'!L272,"")</f>
        <v/>
      </c>
      <c r="M272" t="str">
        <f>IF($A272&lt;&gt;"",'All Cases - Enter Cases'!M272,"")</f>
        <v/>
      </c>
    </row>
    <row r="273" spans="1:13" x14ac:dyDescent="0.35">
      <c r="A273" t="str">
        <f>IF('All Cases - Enter Cases'!$F273="Balochistan",'All Cases - Enter Cases'!A273,"")</f>
        <v/>
      </c>
      <c r="B273" t="str">
        <f>IF($A273&lt;&gt;"",'All Cases - Enter Cases'!B273,"")</f>
        <v/>
      </c>
      <c r="C273" t="str">
        <f>IF($A273&lt;&gt;"",'All Cases - Enter Cases'!C273,"")</f>
        <v/>
      </c>
      <c r="D273" t="str">
        <f>IF($A273&lt;&gt;"",'All Cases - Enter Cases'!D273,"")</f>
        <v/>
      </c>
      <c r="E273" t="str">
        <f>IF($A273&lt;&gt;"",'All Cases - Enter Cases'!E273,"")</f>
        <v/>
      </c>
      <c r="F273" t="str">
        <f>IF($A273&lt;&gt;"",'All Cases - Enter Cases'!F273,"")</f>
        <v/>
      </c>
      <c r="G273" t="str">
        <f>IF($A273&lt;&gt;"",'All Cases - Enter Cases'!G273,"")</f>
        <v/>
      </c>
      <c r="H273" t="str">
        <f>IF($A273&lt;&gt;"",'All Cases - Enter Cases'!H273,"")</f>
        <v/>
      </c>
      <c r="I273" t="str">
        <f>IF($A273&lt;&gt;"",'All Cases - Enter Cases'!I273,"")</f>
        <v/>
      </c>
      <c r="J273" t="str">
        <f>IF($A273&lt;&gt;"",'All Cases - Enter Cases'!J273,"")</f>
        <v/>
      </c>
      <c r="K273" t="str">
        <f>IF($A273&lt;&gt;"",'All Cases - Enter Cases'!K273,"")</f>
        <v/>
      </c>
      <c r="L273" t="str">
        <f>IF($A273&lt;&gt;"",'All Cases - Enter Cases'!L273,"")</f>
        <v/>
      </c>
      <c r="M273" t="str">
        <f>IF($A273&lt;&gt;"",'All Cases - Enter Cases'!M273,"")</f>
        <v/>
      </c>
    </row>
    <row r="274" spans="1:13" x14ac:dyDescent="0.35">
      <c r="A274" t="str">
        <f>IF('All Cases - Enter Cases'!$F274="Balochistan",'All Cases - Enter Cases'!A274,"")</f>
        <v/>
      </c>
      <c r="B274" t="str">
        <f>IF($A274&lt;&gt;"",'All Cases - Enter Cases'!B274,"")</f>
        <v/>
      </c>
      <c r="C274" t="str">
        <f>IF($A274&lt;&gt;"",'All Cases - Enter Cases'!C274,"")</f>
        <v/>
      </c>
      <c r="D274" t="str">
        <f>IF($A274&lt;&gt;"",'All Cases - Enter Cases'!D274,"")</f>
        <v/>
      </c>
      <c r="E274" t="str">
        <f>IF($A274&lt;&gt;"",'All Cases - Enter Cases'!E274,"")</f>
        <v/>
      </c>
      <c r="F274" t="str">
        <f>IF($A274&lt;&gt;"",'All Cases - Enter Cases'!F274,"")</f>
        <v/>
      </c>
      <c r="G274" t="str">
        <f>IF($A274&lt;&gt;"",'All Cases - Enter Cases'!G274,"")</f>
        <v/>
      </c>
      <c r="H274" t="str">
        <f>IF($A274&lt;&gt;"",'All Cases - Enter Cases'!H274,"")</f>
        <v/>
      </c>
      <c r="I274" t="str">
        <f>IF($A274&lt;&gt;"",'All Cases - Enter Cases'!I274,"")</f>
        <v/>
      </c>
      <c r="J274" t="str">
        <f>IF($A274&lt;&gt;"",'All Cases - Enter Cases'!J274,"")</f>
        <v/>
      </c>
      <c r="K274" t="str">
        <f>IF($A274&lt;&gt;"",'All Cases - Enter Cases'!K274,"")</f>
        <v/>
      </c>
      <c r="L274" t="str">
        <f>IF($A274&lt;&gt;"",'All Cases - Enter Cases'!L274,"")</f>
        <v/>
      </c>
      <c r="M274" t="str">
        <f>IF($A274&lt;&gt;"",'All Cases - Enter Cases'!M274,"")</f>
        <v/>
      </c>
    </row>
    <row r="275" spans="1:13" x14ac:dyDescent="0.35">
      <c r="A275" t="str">
        <f>IF('All Cases - Enter Cases'!$F275="Balochistan",'All Cases - Enter Cases'!A275,"")</f>
        <v/>
      </c>
      <c r="B275" t="str">
        <f>IF($A275&lt;&gt;"",'All Cases - Enter Cases'!B275,"")</f>
        <v/>
      </c>
      <c r="C275" t="str">
        <f>IF($A275&lt;&gt;"",'All Cases - Enter Cases'!C275,"")</f>
        <v/>
      </c>
      <c r="D275" t="str">
        <f>IF($A275&lt;&gt;"",'All Cases - Enter Cases'!D275,"")</f>
        <v/>
      </c>
      <c r="E275" t="str">
        <f>IF($A275&lt;&gt;"",'All Cases - Enter Cases'!E275,"")</f>
        <v/>
      </c>
      <c r="F275" t="str">
        <f>IF($A275&lt;&gt;"",'All Cases - Enter Cases'!F275,"")</f>
        <v/>
      </c>
      <c r="G275" t="str">
        <f>IF($A275&lt;&gt;"",'All Cases - Enter Cases'!G275,"")</f>
        <v/>
      </c>
      <c r="H275" t="str">
        <f>IF($A275&lt;&gt;"",'All Cases - Enter Cases'!H275,"")</f>
        <v/>
      </c>
      <c r="I275" t="str">
        <f>IF($A275&lt;&gt;"",'All Cases - Enter Cases'!I275,"")</f>
        <v/>
      </c>
      <c r="J275" t="str">
        <f>IF($A275&lt;&gt;"",'All Cases - Enter Cases'!J275,"")</f>
        <v/>
      </c>
      <c r="K275" t="str">
        <f>IF($A275&lt;&gt;"",'All Cases - Enter Cases'!K275,"")</f>
        <v/>
      </c>
      <c r="L275" t="str">
        <f>IF($A275&lt;&gt;"",'All Cases - Enter Cases'!L275,"")</f>
        <v/>
      </c>
      <c r="M275" t="str">
        <f>IF($A275&lt;&gt;"",'All Cases - Enter Cases'!M275,"")</f>
        <v/>
      </c>
    </row>
    <row r="276" spans="1:13" x14ac:dyDescent="0.35">
      <c r="A276" t="str">
        <f>IF('All Cases - Enter Cases'!$F276="Balochistan",'All Cases - Enter Cases'!A276,"")</f>
        <v/>
      </c>
      <c r="B276" t="str">
        <f>IF($A276&lt;&gt;"",'All Cases - Enter Cases'!B276,"")</f>
        <v/>
      </c>
      <c r="C276" t="str">
        <f>IF($A276&lt;&gt;"",'All Cases - Enter Cases'!C276,"")</f>
        <v/>
      </c>
      <c r="D276" t="str">
        <f>IF($A276&lt;&gt;"",'All Cases - Enter Cases'!D276,"")</f>
        <v/>
      </c>
      <c r="E276" t="str">
        <f>IF($A276&lt;&gt;"",'All Cases - Enter Cases'!E276,"")</f>
        <v/>
      </c>
      <c r="F276" t="str">
        <f>IF($A276&lt;&gt;"",'All Cases - Enter Cases'!F276,"")</f>
        <v/>
      </c>
      <c r="G276" t="str">
        <f>IF($A276&lt;&gt;"",'All Cases - Enter Cases'!G276,"")</f>
        <v/>
      </c>
      <c r="H276" t="str">
        <f>IF($A276&lt;&gt;"",'All Cases - Enter Cases'!H276,"")</f>
        <v/>
      </c>
      <c r="I276" t="str">
        <f>IF($A276&lt;&gt;"",'All Cases - Enter Cases'!I276,"")</f>
        <v/>
      </c>
      <c r="J276" t="str">
        <f>IF($A276&lt;&gt;"",'All Cases - Enter Cases'!J276,"")</f>
        <v/>
      </c>
      <c r="K276" t="str">
        <f>IF($A276&lt;&gt;"",'All Cases - Enter Cases'!K276,"")</f>
        <v/>
      </c>
      <c r="L276" t="str">
        <f>IF($A276&lt;&gt;"",'All Cases - Enter Cases'!L276,"")</f>
        <v/>
      </c>
      <c r="M276" t="str">
        <f>IF($A276&lt;&gt;"",'All Cases - Enter Cases'!M276,"")</f>
        <v/>
      </c>
    </row>
    <row r="277" spans="1:13" x14ac:dyDescent="0.35">
      <c r="A277" t="str">
        <f>IF('All Cases - Enter Cases'!$F277="Balochistan",'All Cases - Enter Cases'!A277,"")</f>
        <v/>
      </c>
      <c r="B277" t="str">
        <f>IF($A277&lt;&gt;"",'All Cases - Enter Cases'!B277,"")</f>
        <v/>
      </c>
      <c r="C277" t="str">
        <f>IF($A277&lt;&gt;"",'All Cases - Enter Cases'!C277,"")</f>
        <v/>
      </c>
      <c r="D277" t="str">
        <f>IF($A277&lt;&gt;"",'All Cases - Enter Cases'!D277,"")</f>
        <v/>
      </c>
      <c r="E277" t="str">
        <f>IF($A277&lt;&gt;"",'All Cases - Enter Cases'!E277,"")</f>
        <v/>
      </c>
      <c r="F277" t="str">
        <f>IF($A277&lt;&gt;"",'All Cases - Enter Cases'!F277,"")</f>
        <v/>
      </c>
      <c r="G277" t="str">
        <f>IF($A277&lt;&gt;"",'All Cases - Enter Cases'!G277,"")</f>
        <v/>
      </c>
      <c r="H277" t="str">
        <f>IF($A277&lt;&gt;"",'All Cases - Enter Cases'!H277,"")</f>
        <v/>
      </c>
      <c r="I277" t="str">
        <f>IF($A277&lt;&gt;"",'All Cases - Enter Cases'!I277,"")</f>
        <v/>
      </c>
      <c r="J277" t="str">
        <f>IF($A277&lt;&gt;"",'All Cases - Enter Cases'!J277,"")</f>
        <v/>
      </c>
      <c r="K277" t="str">
        <f>IF($A277&lt;&gt;"",'All Cases - Enter Cases'!K277,"")</f>
        <v/>
      </c>
      <c r="L277" t="str">
        <f>IF($A277&lt;&gt;"",'All Cases - Enter Cases'!L277,"")</f>
        <v/>
      </c>
      <c r="M277" t="str">
        <f>IF($A277&lt;&gt;"",'All Cases - Enter Cases'!M277,"")</f>
        <v/>
      </c>
    </row>
    <row r="278" spans="1:13" x14ac:dyDescent="0.35">
      <c r="A278" t="str">
        <f>IF('All Cases - Enter Cases'!$F278="Balochistan",'All Cases - Enter Cases'!A278,"")</f>
        <v/>
      </c>
      <c r="B278" t="str">
        <f>IF($A278&lt;&gt;"",'All Cases - Enter Cases'!B278,"")</f>
        <v/>
      </c>
      <c r="C278" t="str">
        <f>IF($A278&lt;&gt;"",'All Cases - Enter Cases'!C278,"")</f>
        <v/>
      </c>
      <c r="D278" t="str">
        <f>IF($A278&lt;&gt;"",'All Cases - Enter Cases'!D278,"")</f>
        <v/>
      </c>
      <c r="E278" t="str">
        <f>IF($A278&lt;&gt;"",'All Cases - Enter Cases'!E278,"")</f>
        <v/>
      </c>
      <c r="F278" t="str">
        <f>IF($A278&lt;&gt;"",'All Cases - Enter Cases'!F278,"")</f>
        <v/>
      </c>
      <c r="G278" t="str">
        <f>IF($A278&lt;&gt;"",'All Cases - Enter Cases'!G278,"")</f>
        <v/>
      </c>
      <c r="H278" t="str">
        <f>IF($A278&lt;&gt;"",'All Cases - Enter Cases'!H278,"")</f>
        <v/>
      </c>
      <c r="I278" t="str">
        <f>IF($A278&lt;&gt;"",'All Cases - Enter Cases'!I278,"")</f>
        <v/>
      </c>
      <c r="J278" t="str">
        <f>IF($A278&lt;&gt;"",'All Cases - Enter Cases'!J278,"")</f>
        <v/>
      </c>
      <c r="K278" t="str">
        <f>IF($A278&lt;&gt;"",'All Cases - Enter Cases'!K278,"")</f>
        <v/>
      </c>
      <c r="L278" t="str">
        <f>IF($A278&lt;&gt;"",'All Cases - Enter Cases'!L278,"")</f>
        <v/>
      </c>
      <c r="M278" t="str">
        <f>IF($A278&lt;&gt;"",'All Cases - Enter Cases'!M278,"")</f>
        <v/>
      </c>
    </row>
    <row r="279" spans="1:13" x14ac:dyDescent="0.35">
      <c r="A279" t="str">
        <f>IF('All Cases - Enter Cases'!$F279="Balochistan",'All Cases - Enter Cases'!A279,"")</f>
        <v/>
      </c>
      <c r="B279" t="str">
        <f>IF($A279&lt;&gt;"",'All Cases - Enter Cases'!B279,"")</f>
        <v/>
      </c>
      <c r="C279" t="str">
        <f>IF($A279&lt;&gt;"",'All Cases - Enter Cases'!C279,"")</f>
        <v/>
      </c>
      <c r="D279" t="str">
        <f>IF($A279&lt;&gt;"",'All Cases - Enter Cases'!D279,"")</f>
        <v/>
      </c>
      <c r="E279" t="str">
        <f>IF($A279&lt;&gt;"",'All Cases - Enter Cases'!E279,"")</f>
        <v/>
      </c>
      <c r="F279" t="str">
        <f>IF($A279&lt;&gt;"",'All Cases - Enter Cases'!F279,"")</f>
        <v/>
      </c>
      <c r="G279" t="str">
        <f>IF($A279&lt;&gt;"",'All Cases - Enter Cases'!G279,"")</f>
        <v/>
      </c>
      <c r="H279" t="str">
        <f>IF($A279&lt;&gt;"",'All Cases - Enter Cases'!H279,"")</f>
        <v/>
      </c>
      <c r="I279" t="str">
        <f>IF($A279&lt;&gt;"",'All Cases - Enter Cases'!I279,"")</f>
        <v/>
      </c>
      <c r="J279" t="str">
        <f>IF($A279&lt;&gt;"",'All Cases - Enter Cases'!J279,"")</f>
        <v/>
      </c>
      <c r="K279" t="str">
        <f>IF($A279&lt;&gt;"",'All Cases - Enter Cases'!K279,"")</f>
        <v/>
      </c>
      <c r="L279" t="str">
        <f>IF($A279&lt;&gt;"",'All Cases - Enter Cases'!L279,"")</f>
        <v/>
      </c>
      <c r="M279" t="str">
        <f>IF($A279&lt;&gt;"",'All Cases - Enter Cases'!M279,"")</f>
        <v/>
      </c>
    </row>
    <row r="280" spans="1:13" x14ac:dyDescent="0.35">
      <c r="A280" t="str">
        <f>IF('All Cases - Enter Cases'!$F280="Balochistan",'All Cases - Enter Cases'!A280,"")</f>
        <v/>
      </c>
      <c r="B280" t="str">
        <f>IF($A280&lt;&gt;"",'All Cases - Enter Cases'!B280,"")</f>
        <v/>
      </c>
      <c r="C280" t="str">
        <f>IF($A280&lt;&gt;"",'All Cases - Enter Cases'!C280,"")</f>
        <v/>
      </c>
      <c r="D280" t="str">
        <f>IF($A280&lt;&gt;"",'All Cases - Enter Cases'!D280,"")</f>
        <v/>
      </c>
      <c r="E280" t="str">
        <f>IF($A280&lt;&gt;"",'All Cases - Enter Cases'!E280,"")</f>
        <v/>
      </c>
      <c r="F280" t="str">
        <f>IF($A280&lt;&gt;"",'All Cases - Enter Cases'!F280,"")</f>
        <v/>
      </c>
      <c r="G280" t="str">
        <f>IF($A280&lt;&gt;"",'All Cases - Enter Cases'!G280,"")</f>
        <v/>
      </c>
      <c r="H280" t="str">
        <f>IF($A280&lt;&gt;"",'All Cases - Enter Cases'!H280,"")</f>
        <v/>
      </c>
      <c r="I280" t="str">
        <f>IF($A280&lt;&gt;"",'All Cases - Enter Cases'!I280,"")</f>
        <v/>
      </c>
      <c r="J280" t="str">
        <f>IF($A280&lt;&gt;"",'All Cases - Enter Cases'!J280,"")</f>
        <v/>
      </c>
      <c r="K280" t="str">
        <f>IF($A280&lt;&gt;"",'All Cases - Enter Cases'!K280,"")</f>
        <v/>
      </c>
      <c r="L280" t="str">
        <f>IF($A280&lt;&gt;"",'All Cases - Enter Cases'!L280,"")</f>
        <v/>
      </c>
      <c r="M280" t="str">
        <f>IF($A280&lt;&gt;"",'All Cases - Enter Cases'!M280,"")</f>
        <v/>
      </c>
    </row>
    <row r="281" spans="1:13" x14ac:dyDescent="0.35">
      <c r="A281" t="str">
        <f>IF('All Cases - Enter Cases'!$F281="Balochistan",'All Cases - Enter Cases'!A281,"")</f>
        <v/>
      </c>
      <c r="B281" t="str">
        <f>IF($A281&lt;&gt;"",'All Cases - Enter Cases'!B281,"")</f>
        <v/>
      </c>
      <c r="C281" t="str">
        <f>IF($A281&lt;&gt;"",'All Cases - Enter Cases'!C281,"")</f>
        <v/>
      </c>
      <c r="D281" t="str">
        <f>IF($A281&lt;&gt;"",'All Cases - Enter Cases'!D281,"")</f>
        <v/>
      </c>
      <c r="E281" t="str">
        <f>IF($A281&lt;&gt;"",'All Cases - Enter Cases'!E281,"")</f>
        <v/>
      </c>
      <c r="F281" t="str">
        <f>IF($A281&lt;&gt;"",'All Cases - Enter Cases'!F281,"")</f>
        <v/>
      </c>
      <c r="G281" t="str">
        <f>IF($A281&lt;&gt;"",'All Cases - Enter Cases'!G281,"")</f>
        <v/>
      </c>
      <c r="H281" t="str">
        <f>IF($A281&lt;&gt;"",'All Cases - Enter Cases'!H281,"")</f>
        <v/>
      </c>
      <c r="I281" t="str">
        <f>IF($A281&lt;&gt;"",'All Cases - Enter Cases'!I281,"")</f>
        <v/>
      </c>
      <c r="J281" t="str">
        <f>IF($A281&lt;&gt;"",'All Cases - Enter Cases'!J281,"")</f>
        <v/>
      </c>
      <c r="K281" t="str">
        <f>IF($A281&lt;&gt;"",'All Cases - Enter Cases'!K281,"")</f>
        <v/>
      </c>
      <c r="L281" t="str">
        <f>IF($A281&lt;&gt;"",'All Cases - Enter Cases'!L281,"")</f>
        <v/>
      </c>
      <c r="M281" t="str">
        <f>IF($A281&lt;&gt;"",'All Cases - Enter Cases'!M281,"")</f>
        <v/>
      </c>
    </row>
    <row r="282" spans="1:13" x14ac:dyDescent="0.35">
      <c r="A282" t="str">
        <f>IF('All Cases - Enter Cases'!$F282="Balochistan",'All Cases - Enter Cases'!A282,"")</f>
        <v/>
      </c>
      <c r="B282" t="str">
        <f>IF($A282&lt;&gt;"",'All Cases - Enter Cases'!B282,"")</f>
        <v/>
      </c>
      <c r="C282" t="str">
        <f>IF($A282&lt;&gt;"",'All Cases - Enter Cases'!C282,"")</f>
        <v/>
      </c>
      <c r="D282" t="str">
        <f>IF($A282&lt;&gt;"",'All Cases - Enter Cases'!D282,"")</f>
        <v/>
      </c>
      <c r="E282" t="str">
        <f>IF($A282&lt;&gt;"",'All Cases - Enter Cases'!E282,"")</f>
        <v/>
      </c>
      <c r="F282" t="str">
        <f>IF($A282&lt;&gt;"",'All Cases - Enter Cases'!F282,"")</f>
        <v/>
      </c>
      <c r="G282" t="str">
        <f>IF($A282&lt;&gt;"",'All Cases - Enter Cases'!G282,"")</f>
        <v/>
      </c>
      <c r="H282" t="str">
        <f>IF($A282&lt;&gt;"",'All Cases - Enter Cases'!H282,"")</f>
        <v/>
      </c>
      <c r="I282" t="str">
        <f>IF($A282&lt;&gt;"",'All Cases - Enter Cases'!I282,"")</f>
        <v/>
      </c>
      <c r="J282" t="str">
        <f>IF($A282&lt;&gt;"",'All Cases - Enter Cases'!J282,"")</f>
        <v/>
      </c>
      <c r="K282" t="str">
        <f>IF($A282&lt;&gt;"",'All Cases - Enter Cases'!K282,"")</f>
        <v/>
      </c>
      <c r="L282" t="str">
        <f>IF($A282&lt;&gt;"",'All Cases - Enter Cases'!L282,"")</f>
        <v/>
      </c>
      <c r="M282" t="str">
        <f>IF($A282&lt;&gt;"",'All Cases - Enter Cases'!M282,"")</f>
        <v/>
      </c>
    </row>
    <row r="283" spans="1:13" x14ac:dyDescent="0.35">
      <c r="A283" t="str">
        <f>IF('All Cases - Enter Cases'!$F283="Balochistan",'All Cases - Enter Cases'!A283,"")</f>
        <v/>
      </c>
      <c r="B283" t="str">
        <f>IF($A283&lt;&gt;"",'All Cases - Enter Cases'!B283,"")</f>
        <v/>
      </c>
      <c r="C283" t="str">
        <f>IF($A283&lt;&gt;"",'All Cases - Enter Cases'!C283,"")</f>
        <v/>
      </c>
      <c r="D283" t="str">
        <f>IF($A283&lt;&gt;"",'All Cases - Enter Cases'!D283,"")</f>
        <v/>
      </c>
      <c r="E283" t="str">
        <f>IF($A283&lt;&gt;"",'All Cases - Enter Cases'!E283,"")</f>
        <v/>
      </c>
      <c r="F283" t="str">
        <f>IF($A283&lt;&gt;"",'All Cases - Enter Cases'!F283,"")</f>
        <v/>
      </c>
      <c r="G283" t="str">
        <f>IF($A283&lt;&gt;"",'All Cases - Enter Cases'!G283,"")</f>
        <v/>
      </c>
      <c r="H283" t="str">
        <f>IF($A283&lt;&gt;"",'All Cases - Enter Cases'!H283,"")</f>
        <v/>
      </c>
      <c r="I283" t="str">
        <f>IF($A283&lt;&gt;"",'All Cases - Enter Cases'!I283,"")</f>
        <v/>
      </c>
      <c r="J283" t="str">
        <f>IF($A283&lt;&gt;"",'All Cases - Enter Cases'!J283,"")</f>
        <v/>
      </c>
      <c r="K283" t="str">
        <f>IF($A283&lt;&gt;"",'All Cases - Enter Cases'!K283,"")</f>
        <v/>
      </c>
      <c r="L283" t="str">
        <f>IF($A283&lt;&gt;"",'All Cases - Enter Cases'!L283,"")</f>
        <v/>
      </c>
      <c r="M283" t="str">
        <f>IF($A283&lt;&gt;"",'All Cases - Enter Cases'!M283,"")</f>
        <v/>
      </c>
    </row>
    <row r="284" spans="1:13" x14ac:dyDescent="0.35">
      <c r="A284" t="str">
        <f>IF('All Cases - Enter Cases'!$F284="Balochistan",'All Cases - Enter Cases'!A284,"")</f>
        <v/>
      </c>
      <c r="B284" t="str">
        <f>IF($A284&lt;&gt;"",'All Cases - Enter Cases'!B284,"")</f>
        <v/>
      </c>
      <c r="C284" t="str">
        <f>IF($A284&lt;&gt;"",'All Cases - Enter Cases'!C284,"")</f>
        <v/>
      </c>
      <c r="D284" t="str">
        <f>IF($A284&lt;&gt;"",'All Cases - Enter Cases'!D284,"")</f>
        <v/>
      </c>
      <c r="E284" t="str">
        <f>IF($A284&lt;&gt;"",'All Cases - Enter Cases'!E284,"")</f>
        <v/>
      </c>
      <c r="F284" t="str">
        <f>IF($A284&lt;&gt;"",'All Cases - Enter Cases'!F284,"")</f>
        <v/>
      </c>
      <c r="G284" t="str">
        <f>IF($A284&lt;&gt;"",'All Cases - Enter Cases'!G284,"")</f>
        <v/>
      </c>
      <c r="H284" t="str">
        <f>IF($A284&lt;&gt;"",'All Cases - Enter Cases'!H284,"")</f>
        <v/>
      </c>
      <c r="I284" t="str">
        <f>IF($A284&lt;&gt;"",'All Cases - Enter Cases'!I284,"")</f>
        <v/>
      </c>
      <c r="J284" t="str">
        <f>IF($A284&lt;&gt;"",'All Cases - Enter Cases'!J284,"")</f>
        <v/>
      </c>
      <c r="K284" t="str">
        <f>IF($A284&lt;&gt;"",'All Cases - Enter Cases'!K284,"")</f>
        <v/>
      </c>
      <c r="L284" t="str">
        <f>IF($A284&lt;&gt;"",'All Cases - Enter Cases'!L284,"")</f>
        <v/>
      </c>
      <c r="M284" t="str">
        <f>IF($A284&lt;&gt;"",'All Cases - Enter Cases'!M284,"")</f>
        <v/>
      </c>
    </row>
    <row r="285" spans="1:13" x14ac:dyDescent="0.35">
      <c r="A285" t="str">
        <f>IF('All Cases - Enter Cases'!$F285="Balochistan",'All Cases - Enter Cases'!A285,"")</f>
        <v/>
      </c>
      <c r="B285" t="str">
        <f>IF($A285&lt;&gt;"",'All Cases - Enter Cases'!B285,"")</f>
        <v/>
      </c>
      <c r="C285" t="str">
        <f>IF($A285&lt;&gt;"",'All Cases - Enter Cases'!C285,"")</f>
        <v/>
      </c>
      <c r="D285" t="str">
        <f>IF($A285&lt;&gt;"",'All Cases - Enter Cases'!D285,"")</f>
        <v/>
      </c>
      <c r="E285" t="str">
        <f>IF($A285&lt;&gt;"",'All Cases - Enter Cases'!E285,"")</f>
        <v/>
      </c>
      <c r="F285" t="str">
        <f>IF($A285&lt;&gt;"",'All Cases - Enter Cases'!F285,"")</f>
        <v/>
      </c>
      <c r="G285" t="str">
        <f>IF($A285&lt;&gt;"",'All Cases - Enter Cases'!G285,"")</f>
        <v/>
      </c>
      <c r="H285" t="str">
        <f>IF($A285&lt;&gt;"",'All Cases - Enter Cases'!H285,"")</f>
        <v/>
      </c>
      <c r="I285" t="str">
        <f>IF($A285&lt;&gt;"",'All Cases - Enter Cases'!I285,"")</f>
        <v/>
      </c>
      <c r="J285" t="str">
        <f>IF($A285&lt;&gt;"",'All Cases - Enter Cases'!J285,"")</f>
        <v/>
      </c>
      <c r="K285" t="str">
        <f>IF($A285&lt;&gt;"",'All Cases - Enter Cases'!K285,"")</f>
        <v/>
      </c>
      <c r="L285" t="str">
        <f>IF($A285&lt;&gt;"",'All Cases - Enter Cases'!L285,"")</f>
        <v/>
      </c>
      <c r="M285" t="str">
        <f>IF($A285&lt;&gt;"",'All Cases - Enter Cases'!M285,"")</f>
        <v/>
      </c>
    </row>
    <row r="286" spans="1:13" x14ac:dyDescent="0.35">
      <c r="A286" t="str">
        <f>IF('All Cases - Enter Cases'!$F286="Balochistan",'All Cases - Enter Cases'!A286,"")</f>
        <v/>
      </c>
      <c r="B286" t="str">
        <f>IF($A286&lt;&gt;"",'All Cases - Enter Cases'!B286,"")</f>
        <v/>
      </c>
      <c r="C286" t="str">
        <f>IF($A286&lt;&gt;"",'All Cases - Enter Cases'!C286,"")</f>
        <v/>
      </c>
      <c r="D286" t="str">
        <f>IF($A286&lt;&gt;"",'All Cases - Enter Cases'!D286,"")</f>
        <v/>
      </c>
      <c r="E286" t="str">
        <f>IF($A286&lt;&gt;"",'All Cases - Enter Cases'!E286,"")</f>
        <v/>
      </c>
      <c r="F286" t="str">
        <f>IF($A286&lt;&gt;"",'All Cases - Enter Cases'!F286,"")</f>
        <v/>
      </c>
      <c r="G286" t="str">
        <f>IF($A286&lt;&gt;"",'All Cases - Enter Cases'!G286,"")</f>
        <v/>
      </c>
      <c r="H286" t="str">
        <f>IF($A286&lt;&gt;"",'All Cases - Enter Cases'!H286,"")</f>
        <v/>
      </c>
      <c r="I286" t="str">
        <f>IF($A286&lt;&gt;"",'All Cases - Enter Cases'!I286,"")</f>
        <v/>
      </c>
      <c r="J286" t="str">
        <f>IF($A286&lt;&gt;"",'All Cases - Enter Cases'!J286,"")</f>
        <v/>
      </c>
      <c r="K286" t="str">
        <f>IF($A286&lt;&gt;"",'All Cases - Enter Cases'!K286,"")</f>
        <v/>
      </c>
      <c r="L286" t="str">
        <f>IF($A286&lt;&gt;"",'All Cases - Enter Cases'!L286,"")</f>
        <v/>
      </c>
      <c r="M286" t="str">
        <f>IF($A286&lt;&gt;"",'All Cases - Enter Cases'!M286,"")</f>
        <v/>
      </c>
    </row>
    <row r="287" spans="1:13" x14ac:dyDescent="0.35">
      <c r="A287" t="str">
        <f>IF('All Cases - Enter Cases'!$F287="Balochistan",'All Cases - Enter Cases'!A287,"")</f>
        <v/>
      </c>
      <c r="B287" t="str">
        <f>IF($A287&lt;&gt;"",'All Cases - Enter Cases'!B287,"")</f>
        <v/>
      </c>
      <c r="C287" t="str">
        <f>IF($A287&lt;&gt;"",'All Cases - Enter Cases'!C287,"")</f>
        <v/>
      </c>
      <c r="D287" t="str">
        <f>IF($A287&lt;&gt;"",'All Cases - Enter Cases'!D287,"")</f>
        <v/>
      </c>
      <c r="E287" t="str">
        <f>IF($A287&lt;&gt;"",'All Cases - Enter Cases'!E287,"")</f>
        <v/>
      </c>
      <c r="F287" t="str">
        <f>IF($A287&lt;&gt;"",'All Cases - Enter Cases'!F287,"")</f>
        <v/>
      </c>
      <c r="G287" t="str">
        <f>IF($A287&lt;&gt;"",'All Cases - Enter Cases'!G287,"")</f>
        <v/>
      </c>
      <c r="H287" t="str">
        <f>IF($A287&lt;&gt;"",'All Cases - Enter Cases'!H287,"")</f>
        <v/>
      </c>
      <c r="I287" t="str">
        <f>IF($A287&lt;&gt;"",'All Cases - Enter Cases'!I287,"")</f>
        <v/>
      </c>
      <c r="J287" t="str">
        <f>IF($A287&lt;&gt;"",'All Cases - Enter Cases'!J287,"")</f>
        <v/>
      </c>
      <c r="K287" t="str">
        <f>IF($A287&lt;&gt;"",'All Cases - Enter Cases'!K287,"")</f>
        <v/>
      </c>
      <c r="L287" t="str">
        <f>IF($A287&lt;&gt;"",'All Cases - Enter Cases'!L287,"")</f>
        <v/>
      </c>
      <c r="M287" t="str">
        <f>IF($A287&lt;&gt;"",'All Cases - Enter Cases'!M287,"")</f>
        <v/>
      </c>
    </row>
    <row r="288" spans="1:13" x14ac:dyDescent="0.35">
      <c r="A288" t="str">
        <f>IF('All Cases - Enter Cases'!$F288="Balochistan",'All Cases - Enter Cases'!A288,"")</f>
        <v/>
      </c>
      <c r="B288" t="str">
        <f>IF($A288&lt;&gt;"",'All Cases - Enter Cases'!B288,"")</f>
        <v/>
      </c>
      <c r="C288" t="str">
        <f>IF($A288&lt;&gt;"",'All Cases - Enter Cases'!C288,"")</f>
        <v/>
      </c>
      <c r="D288" t="str">
        <f>IF($A288&lt;&gt;"",'All Cases - Enter Cases'!D288,"")</f>
        <v/>
      </c>
      <c r="E288" t="str">
        <f>IF($A288&lt;&gt;"",'All Cases - Enter Cases'!E288,"")</f>
        <v/>
      </c>
      <c r="F288" t="str">
        <f>IF($A288&lt;&gt;"",'All Cases - Enter Cases'!F288,"")</f>
        <v/>
      </c>
      <c r="G288" t="str">
        <f>IF($A288&lt;&gt;"",'All Cases - Enter Cases'!G288,"")</f>
        <v/>
      </c>
      <c r="H288" t="str">
        <f>IF($A288&lt;&gt;"",'All Cases - Enter Cases'!H288,"")</f>
        <v/>
      </c>
      <c r="I288" t="str">
        <f>IF($A288&lt;&gt;"",'All Cases - Enter Cases'!I288,"")</f>
        <v/>
      </c>
      <c r="J288" t="str">
        <f>IF($A288&lt;&gt;"",'All Cases - Enter Cases'!J288,"")</f>
        <v/>
      </c>
      <c r="K288" t="str">
        <f>IF($A288&lt;&gt;"",'All Cases - Enter Cases'!K288,"")</f>
        <v/>
      </c>
      <c r="L288" t="str">
        <f>IF($A288&lt;&gt;"",'All Cases - Enter Cases'!L288,"")</f>
        <v/>
      </c>
      <c r="M288" t="str">
        <f>IF($A288&lt;&gt;"",'All Cases - Enter Cases'!M288,"")</f>
        <v/>
      </c>
    </row>
    <row r="289" spans="1:13" x14ac:dyDescent="0.35">
      <c r="A289" t="str">
        <f>IF('All Cases - Enter Cases'!$F289="Balochistan",'All Cases - Enter Cases'!A289,"")</f>
        <v/>
      </c>
      <c r="B289" t="str">
        <f>IF($A289&lt;&gt;"",'All Cases - Enter Cases'!B289,"")</f>
        <v/>
      </c>
      <c r="C289" t="str">
        <f>IF($A289&lt;&gt;"",'All Cases - Enter Cases'!C289,"")</f>
        <v/>
      </c>
      <c r="D289" t="str">
        <f>IF($A289&lt;&gt;"",'All Cases - Enter Cases'!D289,"")</f>
        <v/>
      </c>
      <c r="E289" t="str">
        <f>IF($A289&lt;&gt;"",'All Cases - Enter Cases'!E289,"")</f>
        <v/>
      </c>
      <c r="F289" t="str">
        <f>IF($A289&lt;&gt;"",'All Cases - Enter Cases'!F289,"")</f>
        <v/>
      </c>
      <c r="G289" t="str">
        <f>IF($A289&lt;&gt;"",'All Cases - Enter Cases'!G289,"")</f>
        <v/>
      </c>
      <c r="H289" t="str">
        <f>IF($A289&lt;&gt;"",'All Cases - Enter Cases'!H289,"")</f>
        <v/>
      </c>
      <c r="I289" t="str">
        <f>IF($A289&lt;&gt;"",'All Cases - Enter Cases'!I289,"")</f>
        <v/>
      </c>
      <c r="J289" t="str">
        <f>IF($A289&lt;&gt;"",'All Cases - Enter Cases'!J289,"")</f>
        <v/>
      </c>
      <c r="K289" t="str">
        <f>IF($A289&lt;&gt;"",'All Cases - Enter Cases'!K289,"")</f>
        <v/>
      </c>
      <c r="L289" t="str">
        <f>IF($A289&lt;&gt;"",'All Cases - Enter Cases'!L289,"")</f>
        <v/>
      </c>
      <c r="M289" t="str">
        <f>IF($A289&lt;&gt;"",'All Cases - Enter Cases'!M289,"")</f>
        <v/>
      </c>
    </row>
    <row r="290" spans="1:13" x14ac:dyDescent="0.35">
      <c r="A290" t="str">
        <f>IF('All Cases - Enter Cases'!$F290="Balochistan",'All Cases - Enter Cases'!A290,"")</f>
        <v/>
      </c>
      <c r="B290" t="str">
        <f>IF($A290&lt;&gt;"",'All Cases - Enter Cases'!B290,"")</f>
        <v/>
      </c>
      <c r="C290" t="str">
        <f>IF($A290&lt;&gt;"",'All Cases - Enter Cases'!C290,"")</f>
        <v/>
      </c>
      <c r="D290" t="str">
        <f>IF($A290&lt;&gt;"",'All Cases - Enter Cases'!D290,"")</f>
        <v/>
      </c>
      <c r="E290" t="str">
        <f>IF($A290&lt;&gt;"",'All Cases - Enter Cases'!E290,"")</f>
        <v/>
      </c>
      <c r="F290" t="str">
        <f>IF($A290&lt;&gt;"",'All Cases - Enter Cases'!F290,"")</f>
        <v/>
      </c>
      <c r="G290" t="str">
        <f>IF($A290&lt;&gt;"",'All Cases - Enter Cases'!G290,"")</f>
        <v/>
      </c>
      <c r="H290" t="str">
        <f>IF($A290&lt;&gt;"",'All Cases - Enter Cases'!H290,"")</f>
        <v/>
      </c>
      <c r="I290" t="str">
        <f>IF($A290&lt;&gt;"",'All Cases - Enter Cases'!I290,"")</f>
        <v/>
      </c>
      <c r="J290" t="str">
        <f>IF($A290&lt;&gt;"",'All Cases - Enter Cases'!J290,"")</f>
        <v/>
      </c>
      <c r="K290" t="str">
        <f>IF($A290&lt;&gt;"",'All Cases - Enter Cases'!K290,"")</f>
        <v/>
      </c>
      <c r="L290" t="str">
        <f>IF($A290&lt;&gt;"",'All Cases - Enter Cases'!L290,"")</f>
        <v/>
      </c>
      <c r="M290" t="str">
        <f>IF($A290&lt;&gt;"",'All Cases - Enter Cases'!M290,"")</f>
        <v/>
      </c>
    </row>
    <row r="291" spans="1:13" x14ac:dyDescent="0.35">
      <c r="A291" t="str">
        <f>IF('All Cases - Enter Cases'!$F291="Balochistan",'All Cases - Enter Cases'!A291,"")</f>
        <v/>
      </c>
      <c r="B291" t="str">
        <f>IF($A291&lt;&gt;"",'All Cases - Enter Cases'!B291,"")</f>
        <v/>
      </c>
      <c r="C291" t="str">
        <f>IF($A291&lt;&gt;"",'All Cases - Enter Cases'!C291,"")</f>
        <v/>
      </c>
      <c r="D291" t="str">
        <f>IF($A291&lt;&gt;"",'All Cases - Enter Cases'!D291,"")</f>
        <v/>
      </c>
      <c r="E291" t="str">
        <f>IF($A291&lt;&gt;"",'All Cases - Enter Cases'!E291,"")</f>
        <v/>
      </c>
      <c r="F291" t="str">
        <f>IF($A291&lt;&gt;"",'All Cases - Enter Cases'!F291,"")</f>
        <v/>
      </c>
      <c r="G291" t="str">
        <f>IF($A291&lt;&gt;"",'All Cases - Enter Cases'!G291,"")</f>
        <v/>
      </c>
      <c r="H291" t="str">
        <f>IF($A291&lt;&gt;"",'All Cases - Enter Cases'!H291,"")</f>
        <v/>
      </c>
      <c r="I291" t="str">
        <f>IF($A291&lt;&gt;"",'All Cases - Enter Cases'!I291,"")</f>
        <v/>
      </c>
      <c r="J291" t="str">
        <f>IF($A291&lt;&gt;"",'All Cases - Enter Cases'!J291,"")</f>
        <v/>
      </c>
      <c r="K291" t="str">
        <f>IF($A291&lt;&gt;"",'All Cases - Enter Cases'!K291,"")</f>
        <v/>
      </c>
      <c r="L291" t="str">
        <f>IF($A291&lt;&gt;"",'All Cases - Enter Cases'!L291,"")</f>
        <v/>
      </c>
      <c r="M291" t="str">
        <f>IF($A291&lt;&gt;"",'All Cases - Enter Cases'!M291,"")</f>
        <v/>
      </c>
    </row>
    <row r="292" spans="1:13" x14ac:dyDescent="0.35">
      <c r="A292" t="str">
        <f>IF('All Cases - Enter Cases'!$F292="Balochistan",'All Cases - Enter Cases'!A292,"")</f>
        <v/>
      </c>
      <c r="B292" t="str">
        <f>IF($A292&lt;&gt;"",'All Cases - Enter Cases'!B292,"")</f>
        <v/>
      </c>
      <c r="C292" t="str">
        <f>IF($A292&lt;&gt;"",'All Cases - Enter Cases'!C292,"")</f>
        <v/>
      </c>
      <c r="D292" t="str">
        <f>IF($A292&lt;&gt;"",'All Cases - Enter Cases'!D292,"")</f>
        <v/>
      </c>
      <c r="E292" t="str">
        <f>IF($A292&lt;&gt;"",'All Cases - Enter Cases'!E292,"")</f>
        <v/>
      </c>
      <c r="F292" t="str">
        <f>IF($A292&lt;&gt;"",'All Cases - Enter Cases'!F292,"")</f>
        <v/>
      </c>
      <c r="G292" t="str">
        <f>IF($A292&lt;&gt;"",'All Cases - Enter Cases'!G292,"")</f>
        <v/>
      </c>
      <c r="H292" t="str">
        <f>IF($A292&lt;&gt;"",'All Cases - Enter Cases'!H292,"")</f>
        <v/>
      </c>
      <c r="I292" t="str">
        <f>IF($A292&lt;&gt;"",'All Cases - Enter Cases'!I292,"")</f>
        <v/>
      </c>
      <c r="J292" t="str">
        <f>IF($A292&lt;&gt;"",'All Cases - Enter Cases'!J292,"")</f>
        <v/>
      </c>
      <c r="K292" t="str">
        <f>IF($A292&lt;&gt;"",'All Cases - Enter Cases'!K292,"")</f>
        <v/>
      </c>
      <c r="L292" t="str">
        <f>IF($A292&lt;&gt;"",'All Cases - Enter Cases'!L292,"")</f>
        <v/>
      </c>
      <c r="M292" t="str">
        <f>IF($A292&lt;&gt;"",'All Cases - Enter Cases'!M292,"")</f>
        <v/>
      </c>
    </row>
    <row r="293" spans="1:13" x14ac:dyDescent="0.35">
      <c r="A293" t="str">
        <f>IF('All Cases - Enter Cases'!$F293="Balochistan",'All Cases - Enter Cases'!A293,"")</f>
        <v/>
      </c>
      <c r="B293" t="str">
        <f>IF($A293&lt;&gt;"",'All Cases - Enter Cases'!B293,"")</f>
        <v/>
      </c>
      <c r="C293" t="str">
        <f>IF($A293&lt;&gt;"",'All Cases - Enter Cases'!C293,"")</f>
        <v/>
      </c>
      <c r="D293" t="str">
        <f>IF($A293&lt;&gt;"",'All Cases - Enter Cases'!D293,"")</f>
        <v/>
      </c>
      <c r="E293" t="str">
        <f>IF($A293&lt;&gt;"",'All Cases - Enter Cases'!E293,"")</f>
        <v/>
      </c>
      <c r="F293" t="str">
        <f>IF($A293&lt;&gt;"",'All Cases - Enter Cases'!F293,"")</f>
        <v/>
      </c>
      <c r="G293" t="str">
        <f>IF($A293&lt;&gt;"",'All Cases - Enter Cases'!G293,"")</f>
        <v/>
      </c>
      <c r="H293" t="str">
        <f>IF($A293&lt;&gt;"",'All Cases - Enter Cases'!H293,"")</f>
        <v/>
      </c>
      <c r="I293" t="str">
        <f>IF($A293&lt;&gt;"",'All Cases - Enter Cases'!I293,"")</f>
        <v/>
      </c>
      <c r="J293" t="str">
        <f>IF($A293&lt;&gt;"",'All Cases - Enter Cases'!J293,"")</f>
        <v/>
      </c>
      <c r="K293" t="str">
        <f>IF($A293&lt;&gt;"",'All Cases - Enter Cases'!K293,"")</f>
        <v/>
      </c>
      <c r="L293" t="str">
        <f>IF($A293&lt;&gt;"",'All Cases - Enter Cases'!L293,"")</f>
        <v/>
      </c>
      <c r="M293" t="str">
        <f>IF($A293&lt;&gt;"",'All Cases - Enter Cases'!M293,"")</f>
        <v/>
      </c>
    </row>
    <row r="294" spans="1:13" x14ac:dyDescent="0.35">
      <c r="A294" t="str">
        <f>IF('All Cases - Enter Cases'!$F294="Balochistan",'All Cases - Enter Cases'!A294,"")</f>
        <v/>
      </c>
      <c r="B294" t="str">
        <f>IF($A294&lt;&gt;"",'All Cases - Enter Cases'!B294,"")</f>
        <v/>
      </c>
      <c r="C294" t="str">
        <f>IF($A294&lt;&gt;"",'All Cases - Enter Cases'!C294,"")</f>
        <v/>
      </c>
      <c r="D294" t="str">
        <f>IF($A294&lt;&gt;"",'All Cases - Enter Cases'!D294,"")</f>
        <v/>
      </c>
      <c r="E294" t="str">
        <f>IF($A294&lt;&gt;"",'All Cases - Enter Cases'!E294,"")</f>
        <v/>
      </c>
      <c r="F294" t="str">
        <f>IF($A294&lt;&gt;"",'All Cases - Enter Cases'!F294,"")</f>
        <v/>
      </c>
      <c r="G294" t="str">
        <f>IF($A294&lt;&gt;"",'All Cases - Enter Cases'!G294,"")</f>
        <v/>
      </c>
      <c r="H294" t="str">
        <f>IF($A294&lt;&gt;"",'All Cases - Enter Cases'!H294,"")</f>
        <v/>
      </c>
      <c r="I294" t="str">
        <f>IF($A294&lt;&gt;"",'All Cases - Enter Cases'!I294,"")</f>
        <v/>
      </c>
      <c r="J294" t="str">
        <f>IF($A294&lt;&gt;"",'All Cases - Enter Cases'!J294,"")</f>
        <v/>
      </c>
      <c r="K294" t="str">
        <f>IF($A294&lt;&gt;"",'All Cases - Enter Cases'!K294,"")</f>
        <v/>
      </c>
      <c r="L294" t="str">
        <f>IF($A294&lt;&gt;"",'All Cases - Enter Cases'!L294,"")</f>
        <v/>
      </c>
      <c r="M294" t="str">
        <f>IF($A294&lt;&gt;"",'All Cases - Enter Cases'!M294,"")</f>
        <v/>
      </c>
    </row>
    <row r="295" spans="1:13" x14ac:dyDescent="0.35">
      <c r="A295" t="str">
        <f>IF('All Cases - Enter Cases'!$F295="Balochistan",'All Cases - Enter Cases'!A295,"")</f>
        <v/>
      </c>
      <c r="B295" t="str">
        <f>IF($A295&lt;&gt;"",'All Cases - Enter Cases'!B295,"")</f>
        <v/>
      </c>
      <c r="C295" t="str">
        <f>IF($A295&lt;&gt;"",'All Cases - Enter Cases'!C295,"")</f>
        <v/>
      </c>
      <c r="D295" t="str">
        <f>IF($A295&lt;&gt;"",'All Cases - Enter Cases'!D295,"")</f>
        <v/>
      </c>
      <c r="E295" t="str">
        <f>IF($A295&lt;&gt;"",'All Cases - Enter Cases'!E295,"")</f>
        <v/>
      </c>
      <c r="F295" t="str">
        <f>IF($A295&lt;&gt;"",'All Cases - Enter Cases'!F295,"")</f>
        <v/>
      </c>
      <c r="G295" t="str">
        <f>IF($A295&lt;&gt;"",'All Cases - Enter Cases'!G295,"")</f>
        <v/>
      </c>
      <c r="H295" t="str">
        <f>IF($A295&lt;&gt;"",'All Cases - Enter Cases'!H295,"")</f>
        <v/>
      </c>
      <c r="I295" t="str">
        <f>IF($A295&lt;&gt;"",'All Cases - Enter Cases'!I295,"")</f>
        <v/>
      </c>
      <c r="J295" t="str">
        <f>IF($A295&lt;&gt;"",'All Cases - Enter Cases'!J295,"")</f>
        <v/>
      </c>
      <c r="K295" t="str">
        <f>IF($A295&lt;&gt;"",'All Cases - Enter Cases'!K295,"")</f>
        <v/>
      </c>
      <c r="L295" t="str">
        <f>IF($A295&lt;&gt;"",'All Cases - Enter Cases'!L295,"")</f>
        <v/>
      </c>
      <c r="M295" t="str">
        <f>IF($A295&lt;&gt;"",'All Cases - Enter Cases'!M295,"")</f>
        <v/>
      </c>
    </row>
    <row r="296" spans="1:13" x14ac:dyDescent="0.35">
      <c r="A296" t="str">
        <f>IF('All Cases - Enter Cases'!$F296="Balochistan",'All Cases - Enter Cases'!A296,"")</f>
        <v/>
      </c>
      <c r="B296" t="str">
        <f>IF($A296&lt;&gt;"",'All Cases - Enter Cases'!B296,"")</f>
        <v/>
      </c>
      <c r="C296" t="str">
        <f>IF($A296&lt;&gt;"",'All Cases - Enter Cases'!C296,"")</f>
        <v/>
      </c>
      <c r="D296" t="str">
        <f>IF($A296&lt;&gt;"",'All Cases - Enter Cases'!D296,"")</f>
        <v/>
      </c>
      <c r="E296" t="str">
        <f>IF($A296&lt;&gt;"",'All Cases - Enter Cases'!E296,"")</f>
        <v/>
      </c>
      <c r="F296" t="str">
        <f>IF($A296&lt;&gt;"",'All Cases - Enter Cases'!F296,"")</f>
        <v/>
      </c>
      <c r="G296" t="str">
        <f>IF($A296&lt;&gt;"",'All Cases - Enter Cases'!G296,"")</f>
        <v/>
      </c>
      <c r="H296" t="str">
        <f>IF($A296&lt;&gt;"",'All Cases - Enter Cases'!H296,"")</f>
        <v/>
      </c>
      <c r="I296" t="str">
        <f>IF($A296&lt;&gt;"",'All Cases - Enter Cases'!I296,"")</f>
        <v/>
      </c>
      <c r="J296" t="str">
        <f>IF($A296&lt;&gt;"",'All Cases - Enter Cases'!J296,"")</f>
        <v/>
      </c>
      <c r="K296" t="str">
        <f>IF($A296&lt;&gt;"",'All Cases - Enter Cases'!K296,"")</f>
        <v/>
      </c>
      <c r="L296" t="str">
        <f>IF($A296&lt;&gt;"",'All Cases - Enter Cases'!L296,"")</f>
        <v/>
      </c>
      <c r="M296" t="str">
        <f>IF($A296&lt;&gt;"",'All Cases - Enter Cases'!M296,"")</f>
        <v/>
      </c>
    </row>
    <row r="297" spans="1:13" x14ac:dyDescent="0.35">
      <c r="A297" t="str">
        <f>IF('All Cases - Enter Cases'!$F297="Balochistan",'All Cases - Enter Cases'!A297,"")</f>
        <v/>
      </c>
      <c r="B297" t="str">
        <f>IF($A297&lt;&gt;"",'All Cases - Enter Cases'!B297,"")</f>
        <v/>
      </c>
      <c r="C297" t="str">
        <f>IF($A297&lt;&gt;"",'All Cases - Enter Cases'!C297,"")</f>
        <v/>
      </c>
      <c r="D297" t="str">
        <f>IF($A297&lt;&gt;"",'All Cases - Enter Cases'!D297,"")</f>
        <v/>
      </c>
      <c r="E297" t="str">
        <f>IF($A297&lt;&gt;"",'All Cases - Enter Cases'!E297,"")</f>
        <v/>
      </c>
      <c r="F297" t="str">
        <f>IF($A297&lt;&gt;"",'All Cases - Enter Cases'!F297,"")</f>
        <v/>
      </c>
      <c r="G297" t="str">
        <f>IF($A297&lt;&gt;"",'All Cases - Enter Cases'!G297,"")</f>
        <v/>
      </c>
      <c r="H297" t="str">
        <f>IF($A297&lt;&gt;"",'All Cases - Enter Cases'!H297,"")</f>
        <v/>
      </c>
      <c r="I297" t="str">
        <f>IF($A297&lt;&gt;"",'All Cases - Enter Cases'!I297,"")</f>
        <v/>
      </c>
      <c r="J297" t="str">
        <f>IF($A297&lt;&gt;"",'All Cases - Enter Cases'!J297,"")</f>
        <v/>
      </c>
      <c r="K297" t="str">
        <f>IF($A297&lt;&gt;"",'All Cases - Enter Cases'!K297,"")</f>
        <v/>
      </c>
      <c r="L297" t="str">
        <f>IF($A297&lt;&gt;"",'All Cases - Enter Cases'!L297,"")</f>
        <v/>
      </c>
      <c r="M297" t="str">
        <f>IF($A297&lt;&gt;"",'All Cases - Enter Cases'!M297,"")</f>
        <v/>
      </c>
    </row>
    <row r="298" spans="1:13" x14ac:dyDescent="0.35">
      <c r="A298" t="str">
        <f>IF('All Cases - Enter Cases'!$F298="Balochistan",'All Cases - Enter Cases'!A298,"")</f>
        <v/>
      </c>
      <c r="B298" t="str">
        <f>IF($A298&lt;&gt;"",'All Cases - Enter Cases'!B298,"")</f>
        <v/>
      </c>
      <c r="C298" t="str">
        <f>IF($A298&lt;&gt;"",'All Cases - Enter Cases'!C298,"")</f>
        <v/>
      </c>
      <c r="D298" t="str">
        <f>IF($A298&lt;&gt;"",'All Cases - Enter Cases'!D298,"")</f>
        <v/>
      </c>
      <c r="E298" t="str">
        <f>IF($A298&lt;&gt;"",'All Cases - Enter Cases'!E298,"")</f>
        <v/>
      </c>
      <c r="F298" t="str">
        <f>IF($A298&lt;&gt;"",'All Cases - Enter Cases'!F298,"")</f>
        <v/>
      </c>
      <c r="G298" t="str">
        <f>IF($A298&lt;&gt;"",'All Cases - Enter Cases'!G298,"")</f>
        <v/>
      </c>
      <c r="H298" t="str">
        <f>IF($A298&lt;&gt;"",'All Cases - Enter Cases'!H298,"")</f>
        <v/>
      </c>
      <c r="I298" t="str">
        <f>IF($A298&lt;&gt;"",'All Cases - Enter Cases'!I298,"")</f>
        <v/>
      </c>
      <c r="J298" t="str">
        <f>IF($A298&lt;&gt;"",'All Cases - Enter Cases'!J298,"")</f>
        <v/>
      </c>
      <c r="K298" t="str">
        <f>IF($A298&lt;&gt;"",'All Cases - Enter Cases'!K298,"")</f>
        <v/>
      </c>
      <c r="L298" t="str">
        <f>IF($A298&lt;&gt;"",'All Cases - Enter Cases'!L298,"")</f>
        <v/>
      </c>
      <c r="M298" t="str">
        <f>IF($A298&lt;&gt;"",'All Cases - Enter Cases'!M298,"")</f>
        <v/>
      </c>
    </row>
    <row r="299" spans="1:13" x14ac:dyDescent="0.35">
      <c r="A299" t="str">
        <f>IF('All Cases - Enter Cases'!$F299="Balochistan",'All Cases - Enter Cases'!A299,"")</f>
        <v/>
      </c>
      <c r="B299" t="str">
        <f>IF($A299&lt;&gt;"",'All Cases - Enter Cases'!B299,"")</f>
        <v/>
      </c>
      <c r="C299" t="str">
        <f>IF($A299&lt;&gt;"",'All Cases - Enter Cases'!C299,"")</f>
        <v/>
      </c>
      <c r="D299" t="str">
        <f>IF($A299&lt;&gt;"",'All Cases - Enter Cases'!D299,"")</f>
        <v/>
      </c>
      <c r="E299" t="str">
        <f>IF($A299&lt;&gt;"",'All Cases - Enter Cases'!E299,"")</f>
        <v/>
      </c>
      <c r="F299" t="str">
        <f>IF($A299&lt;&gt;"",'All Cases - Enter Cases'!F299,"")</f>
        <v/>
      </c>
      <c r="G299" t="str">
        <f>IF($A299&lt;&gt;"",'All Cases - Enter Cases'!G299,"")</f>
        <v/>
      </c>
      <c r="H299" t="str">
        <f>IF($A299&lt;&gt;"",'All Cases - Enter Cases'!H299,"")</f>
        <v/>
      </c>
      <c r="I299" t="str">
        <f>IF($A299&lt;&gt;"",'All Cases - Enter Cases'!I299,"")</f>
        <v/>
      </c>
      <c r="J299" t="str">
        <f>IF($A299&lt;&gt;"",'All Cases - Enter Cases'!J299,"")</f>
        <v/>
      </c>
      <c r="K299" t="str">
        <f>IF($A299&lt;&gt;"",'All Cases - Enter Cases'!K299,"")</f>
        <v/>
      </c>
      <c r="L299" t="str">
        <f>IF($A299&lt;&gt;"",'All Cases - Enter Cases'!L299,"")</f>
        <v/>
      </c>
      <c r="M299" t="str">
        <f>IF($A299&lt;&gt;"",'All Cases - Enter Cases'!M299,"")</f>
        <v/>
      </c>
    </row>
    <row r="300" spans="1:13" x14ac:dyDescent="0.35">
      <c r="A300" t="str">
        <f>IF('All Cases - Enter Cases'!$F300="Balochistan",'All Cases - Enter Cases'!A300,"")</f>
        <v/>
      </c>
      <c r="B300" t="str">
        <f>IF($A300&lt;&gt;"",'All Cases - Enter Cases'!B300,"")</f>
        <v/>
      </c>
      <c r="C300" t="str">
        <f>IF($A300&lt;&gt;"",'All Cases - Enter Cases'!C300,"")</f>
        <v/>
      </c>
      <c r="D300" t="str">
        <f>IF($A300&lt;&gt;"",'All Cases - Enter Cases'!D300,"")</f>
        <v/>
      </c>
      <c r="E300" t="str">
        <f>IF($A300&lt;&gt;"",'All Cases - Enter Cases'!E300,"")</f>
        <v/>
      </c>
      <c r="F300" t="str">
        <f>IF($A300&lt;&gt;"",'All Cases - Enter Cases'!F300,"")</f>
        <v/>
      </c>
      <c r="G300" t="str">
        <f>IF($A300&lt;&gt;"",'All Cases - Enter Cases'!G300,"")</f>
        <v/>
      </c>
      <c r="H300" t="str">
        <f>IF($A300&lt;&gt;"",'All Cases - Enter Cases'!H300,"")</f>
        <v/>
      </c>
      <c r="I300" t="str">
        <f>IF($A300&lt;&gt;"",'All Cases - Enter Cases'!I300,"")</f>
        <v/>
      </c>
      <c r="J300" t="str">
        <f>IF($A300&lt;&gt;"",'All Cases - Enter Cases'!J300,"")</f>
        <v/>
      </c>
      <c r="K300" t="str">
        <f>IF($A300&lt;&gt;"",'All Cases - Enter Cases'!K300,"")</f>
        <v/>
      </c>
      <c r="L300" t="str">
        <f>IF($A300&lt;&gt;"",'All Cases - Enter Cases'!L300,"")</f>
        <v/>
      </c>
      <c r="M300" t="str">
        <f>IF($A300&lt;&gt;"",'All Cases - Enter Cases'!M300,"")</f>
        <v/>
      </c>
    </row>
    <row r="301" spans="1:13" x14ac:dyDescent="0.35">
      <c r="A301" t="str">
        <f>IF('All Cases - Enter Cases'!$F301="Balochistan",'All Cases - Enter Cases'!A301,"")</f>
        <v/>
      </c>
      <c r="B301" t="str">
        <f>IF($A301&lt;&gt;"",'All Cases - Enter Cases'!B301,"")</f>
        <v/>
      </c>
      <c r="C301" t="str">
        <f>IF($A301&lt;&gt;"",'All Cases - Enter Cases'!C301,"")</f>
        <v/>
      </c>
      <c r="D301" t="str">
        <f>IF($A301&lt;&gt;"",'All Cases - Enter Cases'!D301,"")</f>
        <v/>
      </c>
      <c r="E301" t="str">
        <f>IF($A301&lt;&gt;"",'All Cases - Enter Cases'!E301,"")</f>
        <v/>
      </c>
      <c r="F301" t="str">
        <f>IF($A301&lt;&gt;"",'All Cases - Enter Cases'!F301,"")</f>
        <v/>
      </c>
      <c r="G301" t="str">
        <f>IF($A301&lt;&gt;"",'All Cases - Enter Cases'!G301,"")</f>
        <v/>
      </c>
      <c r="H301" t="str">
        <f>IF($A301&lt;&gt;"",'All Cases - Enter Cases'!H301,"")</f>
        <v/>
      </c>
      <c r="I301" t="str">
        <f>IF($A301&lt;&gt;"",'All Cases - Enter Cases'!I301,"")</f>
        <v/>
      </c>
      <c r="J301" t="str">
        <f>IF($A301&lt;&gt;"",'All Cases - Enter Cases'!J301,"")</f>
        <v/>
      </c>
      <c r="K301" t="str">
        <f>IF($A301&lt;&gt;"",'All Cases - Enter Cases'!K301,"")</f>
        <v/>
      </c>
      <c r="L301" t="str">
        <f>IF($A301&lt;&gt;"",'All Cases - Enter Cases'!L301,"")</f>
        <v/>
      </c>
      <c r="M301" t="str">
        <f>IF($A301&lt;&gt;"",'All Cases - Enter Cases'!M301,"")</f>
        <v/>
      </c>
    </row>
    <row r="302" spans="1:13" x14ac:dyDescent="0.35">
      <c r="A302" t="str">
        <f>IF('All Cases - Enter Cases'!$F302="Balochistan",'All Cases - Enter Cases'!A302,"")</f>
        <v/>
      </c>
      <c r="B302" t="str">
        <f>IF($A302&lt;&gt;"",'All Cases - Enter Cases'!B302,"")</f>
        <v/>
      </c>
      <c r="C302" t="str">
        <f>IF($A302&lt;&gt;"",'All Cases - Enter Cases'!C302,"")</f>
        <v/>
      </c>
      <c r="D302" t="str">
        <f>IF($A302&lt;&gt;"",'All Cases - Enter Cases'!D302,"")</f>
        <v/>
      </c>
      <c r="E302" t="str">
        <f>IF($A302&lt;&gt;"",'All Cases - Enter Cases'!E302,"")</f>
        <v/>
      </c>
      <c r="F302" t="str">
        <f>IF($A302&lt;&gt;"",'All Cases - Enter Cases'!F302,"")</f>
        <v/>
      </c>
      <c r="G302" t="str">
        <f>IF($A302&lt;&gt;"",'All Cases - Enter Cases'!G302,"")</f>
        <v/>
      </c>
      <c r="H302" t="str">
        <f>IF($A302&lt;&gt;"",'All Cases - Enter Cases'!H302,"")</f>
        <v/>
      </c>
      <c r="I302" t="str">
        <f>IF($A302&lt;&gt;"",'All Cases - Enter Cases'!I302,"")</f>
        <v/>
      </c>
      <c r="J302" t="str">
        <f>IF($A302&lt;&gt;"",'All Cases - Enter Cases'!J302,"")</f>
        <v/>
      </c>
      <c r="K302" t="str">
        <f>IF($A302&lt;&gt;"",'All Cases - Enter Cases'!K302,"")</f>
        <v/>
      </c>
      <c r="L302" t="str">
        <f>IF($A302&lt;&gt;"",'All Cases - Enter Cases'!L302,"")</f>
        <v/>
      </c>
      <c r="M302" t="str">
        <f>IF($A302&lt;&gt;"",'All Cases - Enter Cases'!M302,"")</f>
        <v/>
      </c>
    </row>
    <row r="303" spans="1:13" x14ac:dyDescent="0.35">
      <c r="A303" t="str">
        <f>IF('All Cases - Enter Cases'!$F303="Balochistan",'All Cases - Enter Cases'!A303,"")</f>
        <v/>
      </c>
      <c r="B303" t="str">
        <f>IF($A303&lt;&gt;"",'All Cases - Enter Cases'!B303,"")</f>
        <v/>
      </c>
      <c r="C303" t="str">
        <f>IF($A303&lt;&gt;"",'All Cases - Enter Cases'!C303,"")</f>
        <v/>
      </c>
      <c r="D303" t="str">
        <f>IF($A303&lt;&gt;"",'All Cases - Enter Cases'!D303,"")</f>
        <v/>
      </c>
      <c r="E303" t="str">
        <f>IF($A303&lt;&gt;"",'All Cases - Enter Cases'!E303,"")</f>
        <v/>
      </c>
      <c r="F303" t="str">
        <f>IF($A303&lt;&gt;"",'All Cases - Enter Cases'!F303,"")</f>
        <v/>
      </c>
      <c r="G303" t="str">
        <f>IF($A303&lt;&gt;"",'All Cases - Enter Cases'!G303,"")</f>
        <v/>
      </c>
      <c r="H303" t="str">
        <f>IF($A303&lt;&gt;"",'All Cases - Enter Cases'!H303,"")</f>
        <v/>
      </c>
      <c r="I303" t="str">
        <f>IF($A303&lt;&gt;"",'All Cases - Enter Cases'!I303,"")</f>
        <v/>
      </c>
      <c r="J303" t="str">
        <f>IF($A303&lt;&gt;"",'All Cases - Enter Cases'!J303,"")</f>
        <v/>
      </c>
      <c r="K303" t="str">
        <f>IF($A303&lt;&gt;"",'All Cases - Enter Cases'!K303,"")</f>
        <v/>
      </c>
      <c r="L303" t="str">
        <f>IF($A303&lt;&gt;"",'All Cases - Enter Cases'!L303,"")</f>
        <v/>
      </c>
      <c r="M303" t="str">
        <f>IF($A303&lt;&gt;"",'All Cases - Enter Cases'!M303,"")</f>
        <v/>
      </c>
    </row>
    <row r="304" spans="1:13" x14ac:dyDescent="0.35">
      <c r="A304" t="str">
        <f>IF('All Cases - Enter Cases'!$F304="Balochistan",'All Cases - Enter Cases'!A304,"")</f>
        <v/>
      </c>
      <c r="B304" t="str">
        <f>IF($A304&lt;&gt;"",'All Cases - Enter Cases'!B304,"")</f>
        <v/>
      </c>
      <c r="C304" t="str">
        <f>IF($A304&lt;&gt;"",'All Cases - Enter Cases'!C304,"")</f>
        <v/>
      </c>
      <c r="D304" t="str">
        <f>IF($A304&lt;&gt;"",'All Cases - Enter Cases'!D304,"")</f>
        <v/>
      </c>
      <c r="E304" t="str">
        <f>IF($A304&lt;&gt;"",'All Cases - Enter Cases'!E304,"")</f>
        <v/>
      </c>
      <c r="F304" t="str">
        <f>IF($A304&lt;&gt;"",'All Cases - Enter Cases'!F304,"")</f>
        <v/>
      </c>
      <c r="G304" t="str">
        <f>IF($A304&lt;&gt;"",'All Cases - Enter Cases'!G304,"")</f>
        <v/>
      </c>
      <c r="H304" t="str">
        <f>IF($A304&lt;&gt;"",'All Cases - Enter Cases'!H304,"")</f>
        <v/>
      </c>
      <c r="I304" t="str">
        <f>IF($A304&lt;&gt;"",'All Cases - Enter Cases'!I304,"")</f>
        <v/>
      </c>
      <c r="J304" t="str">
        <f>IF($A304&lt;&gt;"",'All Cases - Enter Cases'!J304,"")</f>
        <v/>
      </c>
      <c r="K304" t="str">
        <f>IF($A304&lt;&gt;"",'All Cases - Enter Cases'!K304,"")</f>
        <v/>
      </c>
      <c r="L304" t="str">
        <f>IF($A304&lt;&gt;"",'All Cases - Enter Cases'!L304,"")</f>
        <v/>
      </c>
      <c r="M304" t="str">
        <f>IF($A304&lt;&gt;"",'All Cases - Enter Cases'!M304,"")</f>
        <v/>
      </c>
    </row>
    <row r="305" spans="1:13" x14ac:dyDescent="0.35">
      <c r="A305" t="str">
        <f>IF('All Cases - Enter Cases'!$F305="Balochistan",'All Cases - Enter Cases'!A305,"")</f>
        <v/>
      </c>
      <c r="B305" t="str">
        <f>IF($A305&lt;&gt;"",'All Cases - Enter Cases'!B305,"")</f>
        <v/>
      </c>
      <c r="C305" t="str">
        <f>IF($A305&lt;&gt;"",'All Cases - Enter Cases'!C305,"")</f>
        <v/>
      </c>
      <c r="D305" t="str">
        <f>IF($A305&lt;&gt;"",'All Cases - Enter Cases'!D305,"")</f>
        <v/>
      </c>
      <c r="E305" t="str">
        <f>IF($A305&lt;&gt;"",'All Cases - Enter Cases'!E305,"")</f>
        <v/>
      </c>
      <c r="F305" t="str">
        <f>IF($A305&lt;&gt;"",'All Cases - Enter Cases'!F305,"")</f>
        <v/>
      </c>
      <c r="G305" t="str">
        <f>IF($A305&lt;&gt;"",'All Cases - Enter Cases'!G305,"")</f>
        <v/>
      </c>
      <c r="H305" t="str">
        <f>IF($A305&lt;&gt;"",'All Cases - Enter Cases'!H305,"")</f>
        <v/>
      </c>
      <c r="I305" t="str">
        <f>IF($A305&lt;&gt;"",'All Cases - Enter Cases'!I305,"")</f>
        <v/>
      </c>
      <c r="J305" t="str">
        <f>IF($A305&lt;&gt;"",'All Cases - Enter Cases'!J305,"")</f>
        <v/>
      </c>
      <c r="K305" t="str">
        <f>IF($A305&lt;&gt;"",'All Cases - Enter Cases'!K305,"")</f>
        <v/>
      </c>
      <c r="L305" t="str">
        <f>IF($A305&lt;&gt;"",'All Cases - Enter Cases'!L305,"")</f>
        <v/>
      </c>
      <c r="M305" t="str">
        <f>IF($A305&lt;&gt;"",'All Cases - Enter Cases'!M305,"")</f>
        <v/>
      </c>
    </row>
    <row r="306" spans="1:13" x14ac:dyDescent="0.35">
      <c r="A306" t="str">
        <f>IF('All Cases - Enter Cases'!$F306="Balochistan",'All Cases - Enter Cases'!A306,"")</f>
        <v/>
      </c>
      <c r="B306" t="str">
        <f>IF($A306&lt;&gt;"",'All Cases - Enter Cases'!B306,"")</f>
        <v/>
      </c>
      <c r="C306" t="str">
        <f>IF($A306&lt;&gt;"",'All Cases - Enter Cases'!C306,"")</f>
        <v/>
      </c>
      <c r="D306" t="str">
        <f>IF($A306&lt;&gt;"",'All Cases - Enter Cases'!D306,"")</f>
        <v/>
      </c>
      <c r="E306" t="str">
        <f>IF($A306&lt;&gt;"",'All Cases - Enter Cases'!E306,"")</f>
        <v/>
      </c>
      <c r="F306" t="str">
        <f>IF($A306&lt;&gt;"",'All Cases - Enter Cases'!F306,"")</f>
        <v/>
      </c>
      <c r="G306" t="str">
        <f>IF($A306&lt;&gt;"",'All Cases - Enter Cases'!G306,"")</f>
        <v/>
      </c>
      <c r="H306" t="str">
        <f>IF($A306&lt;&gt;"",'All Cases - Enter Cases'!H306,"")</f>
        <v/>
      </c>
      <c r="I306" t="str">
        <f>IF($A306&lt;&gt;"",'All Cases - Enter Cases'!I306,"")</f>
        <v/>
      </c>
      <c r="J306" t="str">
        <f>IF($A306&lt;&gt;"",'All Cases - Enter Cases'!J306,"")</f>
        <v/>
      </c>
      <c r="K306" t="str">
        <f>IF($A306&lt;&gt;"",'All Cases - Enter Cases'!K306,"")</f>
        <v/>
      </c>
      <c r="L306" t="str">
        <f>IF($A306&lt;&gt;"",'All Cases - Enter Cases'!L306,"")</f>
        <v/>
      </c>
      <c r="M306" t="str">
        <f>IF($A306&lt;&gt;"",'All Cases - Enter Cases'!M306,"")</f>
        <v/>
      </c>
    </row>
    <row r="307" spans="1:13" x14ac:dyDescent="0.35">
      <c r="A307" t="str">
        <f>IF('All Cases - Enter Cases'!$F307="Balochistan",'All Cases - Enter Cases'!A307,"")</f>
        <v/>
      </c>
      <c r="B307" t="str">
        <f>IF($A307&lt;&gt;"",'All Cases - Enter Cases'!B307,"")</f>
        <v/>
      </c>
      <c r="C307" t="str">
        <f>IF($A307&lt;&gt;"",'All Cases - Enter Cases'!C307,"")</f>
        <v/>
      </c>
      <c r="D307" t="str">
        <f>IF($A307&lt;&gt;"",'All Cases - Enter Cases'!D307,"")</f>
        <v/>
      </c>
      <c r="E307" t="str">
        <f>IF($A307&lt;&gt;"",'All Cases - Enter Cases'!E307,"")</f>
        <v/>
      </c>
      <c r="F307" t="str">
        <f>IF($A307&lt;&gt;"",'All Cases - Enter Cases'!F307,"")</f>
        <v/>
      </c>
      <c r="G307" t="str">
        <f>IF($A307&lt;&gt;"",'All Cases - Enter Cases'!G307,"")</f>
        <v/>
      </c>
      <c r="H307" t="str">
        <f>IF($A307&lt;&gt;"",'All Cases - Enter Cases'!H307,"")</f>
        <v/>
      </c>
      <c r="I307" t="str">
        <f>IF($A307&lt;&gt;"",'All Cases - Enter Cases'!I307,"")</f>
        <v/>
      </c>
      <c r="J307" t="str">
        <f>IF($A307&lt;&gt;"",'All Cases - Enter Cases'!J307,"")</f>
        <v/>
      </c>
      <c r="K307" t="str">
        <f>IF($A307&lt;&gt;"",'All Cases - Enter Cases'!K307,"")</f>
        <v/>
      </c>
      <c r="L307" t="str">
        <f>IF($A307&lt;&gt;"",'All Cases - Enter Cases'!L307,"")</f>
        <v/>
      </c>
      <c r="M307" t="str">
        <f>IF($A307&lt;&gt;"",'All Cases - Enter Cases'!M307,"")</f>
        <v/>
      </c>
    </row>
    <row r="308" spans="1:13" x14ac:dyDescent="0.35">
      <c r="A308" t="str">
        <f>IF('All Cases - Enter Cases'!$F308="Balochistan",'All Cases - Enter Cases'!A308,"")</f>
        <v/>
      </c>
      <c r="B308" t="str">
        <f>IF($A308&lt;&gt;"",'All Cases - Enter Cases'!B308,"")</f>
        <v/>
      </c>
      <c r="C308" t="str">
        <f>IF($A308&lt;&gt;"",'All Cases - Enter Cases'!C308,"")</f>
        <v/>
      </c>
      <c r="D308" t="str">
        <f>IF($A308&lt;&gt;"",'All Cases - Enter Cases'!D308,"")</f>
        <v/>
      </c>
      <c r="E308" t="str">
        <f>IF($A308&lt;&gt;"",'All Cases - Enter Cases'!E308,"")</f>
        <v/>
      </c>
      <c r="F308" t="str">
        <f>IF($A308&lt;&gt;"",'All Cases - Enter Cases'!F308,"")</f>
        <v/>
      </c>
      <c r="G308" t="str">
        <f>IF($A308&lt;&gt;"",'All Cases - Enter Cases'!G308,"")</f>
        <v/>
      </c>
      <c r="H308" t="str">
        <f>IF($A308&lt;&gt;"",'All Cases - Enter Cases'!H308,"")</f>
        <v/>
      </c>
      <c r="I308" t="str">
        <f>IF($A308&lt;&gt;"",'All Cases - Enter Cases'!I308,"")</f>
        <v/>
      </c>
      <c r="J308" t="str">
        <f>IF($A308&lt;&gt;"",'All Cases - Enter Cases'!J308,"")</f>
        <v/>
      </c>
      <c r="K308" t="str">
        <f>IF($A308&lt;&gt;"",'All Cases - Enter Cases'!K308,"")</f>
        <v/>
      </c>
      <c r="L308" t="str">
        <f>IF($A308&lt;&gt;"",'All Cases - Enter Cases'!L308,"")</f>
        <v/>
      </c>
      <c r="M308" t="str">
        <f>IF($A308&lt;&gt;"",'All Cases - Enter Cases'!M308,"")</f>
        <v/>
      </c>
    </row>
    <row r="309" spans="1:13" x14ac:dyDescent="0.35">
      <c r="A309" t="str">
        <f>IF('All Cases - Enter Cases'!$F309="Balochistan",'All Cases - Enter Cases'!A309,"")</f>
        <v/>
      </c>
      <c r="B309" t="str">
        <f>IF($A309&lt;&gt;"",'All Cases - Enter Cases'!B309,"")</f>
        <v/>
      </c>
      <c r="C309" t="str">
        <f>IF($A309&lt;&gt;"",'All Cases - Enter Cases'!C309,"")</f>
        <v/>
      </c>
      <c r="D309" t="str">
        <f>IF($A309&lt;&gt;"",'All Cases - Enter Cases'!D309,"")</f>
        <v/>
      </c>
      <c r="E309" t="str">
        <f>IF($A309&lt;&gt;"",'All Cases - Enter Cases'!E309,"")</f>
        <v/>
      </c>
      <c r="F309" t="str">
        <f>IF($A309&lt;&gt;"",'All Cases - Enter Cases'!F309,"")</f>
        <v/>
      </c>
      <c r="G309" t="str">
        <f>IF($A309&lt;&gt;"",'All Cases - Enter Cases'!G309,"")</f>
        <v/>
      </c>
      <c r="H309" t="str">
        <f>IF($A309&lt;&gt;"",'All Cases - Enter Cases'!H309,"")</f>
        <v/>
      </c>
      <c r="I309" t="str">
        <f>IF($A309&lt;&gt;"",'All Cases - Enter Cases'!I309,"")</f>
        <v/>
      </c>
      <c r="J309" t="str">
        <f>IF($A309&lt;&gt;"",'All Cases - Enter Cases'!J309,"")</f>
        <v/>
      </c>
      <c r="K309" t="str">
        <f>IF($A309&lt;&gt;"",'All Cases - Enter Cases'!K309,"")</f>
        <v/>
      </c>
      <c r="L309" t="str">
        <f>IF($A309&lt;&gt;"",'All Cases - Enter Cases'!L309,"")</f>
        <v/>
      </c>
      <c r="M309" t="str">
        <f>IF($A309&lt;&gt;"",'All Cases - Enter Cases'!M309,"")</f>
        <v/>
      </c>
    </row>
    <row r="310" spans="1:13" x14ac:dyDescent="0.35">
      <c r="A310" t="str">
        <f>IF('All Cases - Enter Cases'!$F310="Balochistan",'All Cases - Enter Cases'!A310,"")</f>
        <v/>
      </c>
      <c r="B310" t="str">
        <f>IF($A310&lt;&gt;"",'All Cases - Enter Cases'!B310,"")</f>
        <v/>
      </c>
      <c r="C310" t="str">
        <f>IF($A310&lt;&gt;"",'All Cases - Enter Cases'!C310,"")</f>
        <v/>
      </c>
      <c r="D310" t="str">
        <f>IF($A310&lt;&gt;"",'All Cases - Enter Cases'!D310,"")</f>
        <v/>
      </c>
      <c r="E310" t="str">
        <f>IF($A310&lt;&gt;"",'All Cases - Enter Cases'!E310,"")</f>
        <v/>
      </c>
      <c r="F310" t="str">
        <f>IF($A310&lt;&gt;"",'All Cases - Enter Cases'!F310,"")</f>
        <v/>
      </c>
      <c r="G310" t="str">
        <f>IF($A310&lt;&gt;"",'All Cases - Enter Cases'!G310,"")</f>
        <v/>
      </c>
      <c r="H310" t="str">
        <f>IF($A310&lt;&gt;"",'All Cases - Enter Cases'!H310,"")</f>
        <v/>
      </c>
      <c r="I310" t="str">
        <f>IF($A310&lt;&gt;"",'All Cases - Enter Cases'!I310,"")</f>
        <v/>
      </c>
      <c r="J310" t="str">
        <f>IF($A310&lt;&gt;"",'All Cases - Enter Cases'!J310,"")</f>
        <v/>
      </c>
      <c r="K310" t="str">
        <f>IF($A310&lt;&gt;"",'All Cases - Enter Cases'!K310,"")</f>
        <v/>
      </c>
      <c r="L310" t="str">
        <f>IF($A310&lt;&gt;"",'All Cases - Enter Cases'!L310,"")</f>
        <v/>
      </c>
      <c r="M310" t="str">
        <f>IF($A310&lt;&gt;"",'All Cases - Enter Cases'!M310,"")</f>
        <v/>
      </c>
    </row>
    <row r="311" spans="1:13" x14ac:dyDescent="0.35">
      <c r="A311" t="str">
        <f>IF('All Cases - Enter Cases'!$F311="Balochistan",'All Cases - Enter Cases'!A311,"")</f>
        <v/>
      </c>
      <c r="B311" t="str">
        <f>IF($A311&lt;&gt;"",'All Cases - Enter Cases'!B311,"")</f>
        <v/>
      </c>
      <c r="C311" t="str">
        <f>IF($A311&lt;&gt;"",'All Cases - Enter Cases'!C311,"")</f>
        <v/>
      </c>
      <c r="D311" t="str">
        <f>IF($A311&lt;&gt;"",'All Cases - Enter Cases'!D311,"")</f>
        <v/>
      </c>
      <c r="E311" t="str">
        <f>IF($A311&lt;&gt;"",'All Cases - Enter Cases'!E311,"")</f>
        <v/>
      </c>
      <c r="F311" t="str">
        <f>IF($A311&lt;&gt;"",'All Cases - Enter Cases'!F311,"")</f>
        <v/>
      </c>
      <c r="G311" t="str">
        <f>IF($A311&lt;&gt;"",'All Cases - Enter Cases'!G311,"")</f>
        <v/>
      </c>
      <c r="H311" t="str">
        <f>IF($A311&lt;&gt;"",'All Cases - Enter Cases'!H311,"")</f>
        <v/>
      </c>
      <c r="I311" t="str">
        <f>IF($A311&lt;&gt;"",'All Cases - Enter Cases'!I311,"")</f>
        <v/>
      </c>
      <c r="J311" t="str">
        <f>IF($A311&lt;&gt;"",'All Cases - Enter Cases'!J311,"")</f>
        <v/>
      </c>
      <c r="K311" t="str">
        <f>IF($A311&lt;&gt;"",'All Cases - Enter Cases'!K311,"")</f>
        <v/>
      </c>
      <c r="L311" t="str">
        <f>IF($A311&lt;&gt;"",'All Cases - Enter Cases'!L311,"")</f>
        <v/>
      </c>
      <c r="M311" t="str">
        <f>IF($A311&lt;&gt;"",'All Cases - Enter Cases'!M311,"")</f>
        <v/>
      </c>
    </row>
    <row r="312" spans="1:13" x14ac:dyDescent="0.35">
      <c r="A312" t="str">
        <f>IF('All Cases - Enter Cases'!$F312="Balochistan",'All Cases - Enter Cases'!A312,"")</f>
        <v/>
      </c>
      <c r="B312" t="str">
        <f>IF($A312&lt;&gt;"",'All Cases - Enter Cases'!B312,"")</f>
        <v/>
      </c>
      <c r="C312" t="str">
        <f>IF($A312&lt;&gt;"",'All Cases - Enter Cases'!C312,"")</f>
        <v/>
      </c>
      <c r="D312" t="str">
        <f>IF($A312&lt;&gt;"",'All Cases - Enter Cases'!D312,"")</f>
        <v/>
      </c>
      <c r="E312" t="str">
        <f>IF($A312&lt;&gt;"",'All Cases - Enter Cases'!E312,"")</f>
        <v/>
      </c>
      <c r="F312" t="str">
        <f>IF($A312&lt;&gt;"",'All Cases - Enter Cases'!F312,"")</f>
        <v/>
      </c>
      <c r="G312" t="str">
        <f>IF($A312&lt;&gt;"",'All Cases - Enter Cases'!G312,"")</f>
        <v/>
      </c>
      <c r="H312" t="str">
        <f>IF($A312&lt;&gt;"",'All Cases - Enter Cases'!H312,"")</f>
        <v/>
      </c>
      <c r="I312" t="str">
        <f>IF($A312&lt;&gt;"",'All Cases - Enter Cases'!I312,"")</f>
        <v/>
      </c>
      <c r="J312" t="str">
        <f>IF($A312&lt;&gt;"",'All Cases - Enter Cases'!J312,"")</f>
        <v/>
      </c>
      <c r="K312" t="str">
        <f>IF($A312&lt;&gt;"",'All Cases - Enter Cases'!K312,"")</f>
        <v/>
      </c>
      <c r="L312" t="str">
        <f>IF($A312&lt;&gt;"",'All Cases - Enter Cases'!L312,"")</f>
        <v/>
      </c>
      <c r="M312" t="str">
        <f>IF($A312&lt;&gt;"",'All Cases - Enter Cases'!M312,"")</f>
        <v/>
      </c>
    </row>
    <row r="313" spans="1:13" x14ac:dyDescent="0.35">
      <c r="A313" t="str">
        <f>IF('All Cases - Enter Cases'!$F313="Balochistan",'All Cases - Enter Cases'!A313,"")</f>
        <v/>
      </c>
      <c r="B313" t="str">
        <f>IF($A313&lt;&gt;"",'All Cases - Enter Cases'!B313,"")</f>
        <v/>
      </c>
      <c r="C313" t="str">
        <f>IF($A313&lt;&gt;"",'All Cases - Enter Cases'!C313,"")</f>
        <v/>
      </c>
      <c r="D313" t="str">
        <f>IF($A313&lt;&gt;"",'All Cases - Enter Cases'!D313,"")</f>
        <v/>
      </c>
      <c r="E313" t="str">
        <f>IF($A313&lt;&gt;"",'All Cases - Enter Cases'!E313,"")</f>
        <v/>
      </c>
      <c r="F313" t="str">
        <f>IF($A313&lt;&gt;"",'All Cases - Enter Cases'!F313,"")</f>
        <v/>
      </c>
      <c r="G313" t="str">
        <f>IF($A313&lt;&gt;"",'All Cases - Enter Cases'!G313,"")</f>
        <v/>
      </c>
      <c r="H313" t="str">
        <f>IF($A313&lt;&gt;"",'All Cases - Enter Cases'!H313,"")</f>
        <v/>
      </c>
      <c r="I313" t="str">
        <f>IF($A313&lt;&gt;"",'All Cases - Enter Cases'!I313,"")</f>
        <v/>
      </c>
      <c r="J313" t="str">
        <f>IF($A313&lt;&gt;"",'All Cases - Enter Cases'!J313,"")</f>
        <v/>
      </c>
      <c r="K313" t="str">
        <f>IF($A313&lt;&gt;"",'All Cases - Enter Cases'!K313,"")</f>
        <v/>
      </c>
      <c r="L313" t="str">
        <f>IF($A313&lt;&gt;"",'All Cases - Enter Cases'!L313,"")</f>
        <v/>
      </c>
      <c r="M313" t="str">
        <f>IF($A313&lt;&gt;"",'All Cases - Enter Cases'!M313,"")</f>
        <v/>
      </c>
    </row>
    <row r="314" spans="1:13" x14ac:dyDescent="0.35">
      <c r="A314" t="str">
        <f>IF('All Cases - Enter Cases'!$F314="Balochistan",'All Cases - Enter Cases'!A314,"")</f>
        <v/>
      </c>
      <c r="B314" t="str">
        <f>IF($A314&lt;&gt;"",'All Cases - Enter Cases'!B314,"")</f>
        <v/>
      </c>
      <c r="C314" t="str">
        <f>IF($A314&lt;&gt;"",'All Cases - Enter Cases'!C314,"")</f>
        <v/>
      </c>
      <c r="D314" t="str">
        <f>IF($A314&lt;&gt;"",'All Cases - Enter Cases'!D314,"")</f>
        <v/>
      </c>
      <c r="E314" t="str">
        <f>IF($A314&lt;&gt;"",'All Cases - Enter Cases'!E314,"")</f>
        <v/>
      </c>
      <c r="F314" t="str">
        <f>IF($A314&lt;&gt;"",'All Cases - Enter Cases'!F314,"")</f>
        <v/>
      </c>
      <c r="G314" t="str">
        <f>IF($A314&lt;&gt;"",'All Cases - Enter Cases'!G314,"")</f>
        <v/>
      </c>
      <c r="H314" t="str">
        <f>IF($A314&lt;&gt;"",'All Cases - Enter Cases'!H314,"")</f>
        <v/>
      </c>
      <c r="I314" t="str">
        <f>IF($A314&lt;&gt;"",'All Cases - Enter Cases'!I314,"")</f>
        <v/>
      </c>
      <c r="J314" t="str">
        <f>IF($A314&lt;&gt;"",'All Cases - Enter Cases'!J314,"")</f>
        <v/>
      </c>
      <c r="K314" t="str">
        <f>IF($A314&lt;&gt;"",'All Cases - Enter Cases'!K314,"")</f>
        <v/>
      </c>
      <c r="L314" t="str">
        <f>IF($A314&lt;&gt;"",'All Cases - Enter Cases'!L314,"")</f>
        <v/>
      </c>
      <c r="M314" t="str">
        <f>IF($A314&lt;&gt;"",'All Cases - Enter Cases'!M314,"")</f>
        <v/>
      </c>
    </row>
    <row r="315" spans="1:13" x14ac:dyDescent="0.35">
      <c r="A315" t="str">
        <f>IF('All Cases - Enter Cases'!$F315="Balochistan",'All Cases - Enter Cases'!A315,"")</f>
        <v/>
      </c>
      <c r="B315" t="str">
        <f>IF($A315&lt;&gt;"",'All Cases - Enter Cases'!B315,"")</f>
        <v/>
      </c>
      <c r="C315" t="str">
        <f>IF($A315&lt;&gt;"",'All Cases - Enter Cases'!C315,"")</f>
        <v/>
      </c>
      <c r="D315" t="str">
        <f>IF($A315&lt;&gt;"",'All Cases - Enter Cases'!D315,"")</f>
        <v/>
      </c>
      <c r="E315" t="str">
        <f>IF($A315&lt;&gt;"",'All Cases - Enter Cases'!E315,"")</f>
        <v/>
      </c>
      <c r="F315" t="str">
        <f>IF($A315&lt;&gt;"",'All Cases - Enter Cases'!F315,"")</f>
        <v/>
      </c>
      <c r="G315" t="str">
        <f>IF($A315&lt;&gt;"",'All Cases - Enter Cases'!G315,"")</f>
        <v/>
      </c>
      <c r="H315" t="str">
        <f>IF($A315&lt;&gt;"",'All Cases - Enter Cases'!H315,"")</f>
        <v/>
      </c>
      <c r="I315" t="str">
        <f>IF($A315&lt;&gt;"",'All Cases - Enter Cases'!I315,"")</f>
        <v/>
      </c>
      <c r="J315" t="str">
        <f>IF($A315&lt;&gt;"",'All Cases - Enter Cases'!J315,"")</f>
        <v/>
      </c>
      <c r="K315" t="str">
        <f>IF($A315&lt;&gt;"",'All Cases - Enter Cases'!K315,"")</f>
        <v/>
      </c>
      <c r="L315" t="str">
        <f>IF($A315&lt;&gt;"",'All Cases - Enter Cases'!L315,"")</f>
        <v/>
      </c>
      <c r="M315" t="str">
        <f>IF($A315&lt;&gt;"",'All Cases - Enter Cases'!M315,"")</f>
        <v/>
      </c>
    </row>
    <row r="316" spans="1:13" x14ac:dyDescent="0.35">
      <c r="A316" t="str">
        <f>IF('All Cases - Enter Cases'!$F316="Balochistan",'All Cases - Enter Cases'!A316,"")</f>
        <v/>
      </c>
      <c r="B316" t="str">
        <f>IF($A316&lt;&gt;"",'All Cases - Enter Cases'!B316,"")</f>
        <v/>
      </c>
      <c r="C316" t="str">
        <f>IF($A316&lt;&gt;"",'All Cases - Enter Cases'!C316,"")</f>
        <v/>
      </c>
      <c r="D316" t="str">
        <f>IF($A316&lt;&gt;"",'All Cases - Enter Cases'!D316,"")</f>
        <v/>
      </c>
      <c r="E316" t="str">
        <f>IF($A316&lt;&gt;"",'All Cases - Enter Cases'!E316,"")</f>
        <v/>
      </c>
      <c r="F316" t="str">
        <f>IF($A316&lt;&gt;"",'All Cases - Enter Cases'!F316,"")</f>
        <v/>
      </c>
      <c r="G316" t="str">
        <f>IF($A316&lt;&gt;"",'All Cases - Enter Cases'!G316,"")</f>
        <v/>
      </c>
      <c r="H316" t="str">
        <f>IF($A316&lt;&gt;"",'All Cases - Enter Cases'!H316,"")</f>
        <v/>
      </c>
      <c r="I316" t="str">
        <f>IF($A316&lt;&gt;"",'All Cases - Enter Cases'!I316,"")</f>
        <v/>
      </c>
      <c r="J316" t="str">
        <f>IF($A316&lt;&gt;"",'All Cases - Enter Cases'!J316,"")</f>
        <v/>
      </c>
      <c r="K316" t="str">
        <f>IF($A316&lt;&gt;"",'All Cases - Enter Cases'!K316,"")</f>
        <v/>
      </c>
      <c r="L316" t="str">
        <f>IF($A316&lt;&gt;"",'All Cases - Enter Cases'!L316,"")</f>
        <v/>
      </c>
      <c r="M316" t="str">
        <f>IF($A316&lt;&gt;"",'All Cases - Enter Cases'!M316,"")</f>
        <v/>
      </c>
    </row>
    <row r="317" spans="1:13" x14ac:dyDescent="0.35">
      <c r="A317" t="str">
        <f>IF('All Cases - Enter Cases'!$F317="Balochistan",'All Cases - Enter Cases'!A317,"")</f>
        <v/>
      </c>
      <c r="B317" t="str">
        <f>IF($A317&lt;&gt;"",'All Cases - Enter Cases'!B317,"")</f>
        <v/>
      </c>
      <c r="C317" t="str">
        <f>IF($A317&lt;&gt;"",'All Cases - Enter Cases'!C317,"")</f>
        <v/>
      </c>
      <c r="D317" t="str">
        <f>IF($A317&lt;&gt;"",'All Cases - Enter Cases'!D317,"")</f>
        <v/>
      </c>
      <c r="E317" t="str">
        <f>IF($A317&lt;&gt;"",'All Cases - Enter Cases'!E317,"")</f>
        <v/>
      </c>
      <c r="F317" t="str">
        <f>IF($A317&lt;&gt;"",'All Cases - Enter Cases'!F317,"")</f>
        <v/>
      </c>
      <c r="G317" t="str">
        <f>IF($A317&lt;&gt;"",'All Cases - Enter Cases'!G317,"")</f>
        <v/>
      </c>
      <c r="H317" t="str">
        <f>IF($A317&lt;&gt;"",'All Cases - Enter Cases'!H317,"")</f>
        <v/>
      </c>
      <c r="I317" t="str">
        <f>IF($A317&lt;&gt;"",'All Cases - Enter Cases'!I317,"")</f>
        <v/>
      </c>
      <c r="J317" t="str">
        <f>IF($A317&lt;&gt;"",'All Cases - Enter Cases'!J317,"")</f>
        <v/>
      </c>
      <c r="K317" t="str">
        <f>IF($A317&lt;&gt;"",'All Cases - Enter Cases'!K317,"")</f>
        <v/>
      </c>
      <c r="L317" t="str">
        <f>IF($A317&lt;&gt;"",'All Cases - Enter Cases'!L317,"")</f>
        <v/>
      </c>
      <c r="M317" t="str">
        <f>IF($A317&lt;&gt;"",'All Cases - Enter Cases'!M317,"")</f>
        <v/>
      </c>
    </row>
    <row r="318" spans="1:13" x14ac:dyDescent="0.35">
      <c r="A318" t="str">
        <f>IF('All Cases - Enter Cases'!$F318="Balochistan",'All Cases - Enter Cases'!A318,"")</f>
        <v/>
      </c>
      <c r="B318" t="str">
        <f>IF($A318&lt;&gt;"",'All Cases - Enter Cases'!B318,"")</f>
        <v/>
      </c>
      <c r="C318" t="str">
        <f>IF($A318&lt;&gt;"",'All Cases - Enter Cases'!C318,"")</f>
        <v/>
      </c>
      <c r="D318" t="str">
        <f>IF($A318&lt;&gt;"",'All Cases - Enter Cases'!D318,"")</f>
        <v/>
      </c>
      <c r="E318" t="str">
        <f>IF($A318&lt;&gt;"",'All Cases - Enter Cases'!E318,"")</f>
        <v/>
      </c>
      <c r="F318" t="str">
        <f>IF($A318&lt;&gt;"",'All Cases - Enter Cases'!F318,"")</f>
        <v/>
      </c>
      <c r="G318" t="str">
        <f>IF($A318&lt;&gt;"",'All Cases - Enter Cases'!G318,"")</f>
        <v/>
      </c>
      <c r="H318" t="str">
        <f>IF($A318&lt;&gt;"",'All Cases - Enter Cases'!H318,"")</f>
        <v/>
      </c>
      <c r="I318" t="str">
        <f>IF($A318&lt;&gt;"",'All Cases - Enter Cases'!I318,"")</f>
        <v/>
      </c>
      <c r="J318" t="str">
        <f>IF($A318&lt;&gt;"",'All Cases - Enter Cases'!J318,"")</f>
        <v/>
      </c>
      <c r="K318" t="str">
        <f>IF($A318&lt;&gt;"",'All Cases - Enter Cases'!K318,"")</f>
        <v/>
      </c>
      <c r="L318" t="str">
        <f>IF($A318&lt;&gt;"",'All Cases - Enter Cases'!L318,"")</f>
        <v/>
      </c>
      <c r="M318" t="str">
        <f>IF($A318&lt;&gt;"",'All Cases - Enter Cases'!M318,"")</f>
        <v/>
      </c>
    </row>
    <row r="319" spans="1:13" x14ac:dyDescent="0.35">
      <c r="A319" t="str">
        <f>IF('All Cases - Enter Cases'!$F319="Balochistan",'All Cases - Enter Cases'!A319,"")</f>
        <v/>
      </c>
      <c r="B319" t="str">
        <f>IF($A319&lt;&gt;"",'All Cases - Enter Cases'!B319,"")</f>
        <v/>
      </c>
      <c r="C319" t="str">
        <f>IF($A319&lt;&gt;"",'All Cases - Enter Cases'!C319,"")</f>
        <v/>
      </c>
      <c r="D319" t="str">
        <f>IF($A319&lt;&gt;"",'All Cases - Enter Cases'!D319,"")</f>
        <v/>
      </c>
      <c r="E319" t="str">
        <f>IF($A319&lt;&gt;"",'All Cases - Enter Cases'!E319,"")</f>
        <v/>
      </c>
      <c r="F319" t="str">
        <f>IF($A319&lt;&gt;"",'All Cases - Enter Cases'!F319,"")</f>
        <v/>
      </c>
      <c r="G319" t="str">
        <f>IF($A319&lt;&gt;"",'All Cases - Enter Cases'!G319,"")</f>
        <v/>
      </c>
      <c r="H319" t="str">
        <f>IF($A319&lt;&gt;"",'All Cases - Enter Cases'!H319,"")</f>
        <v/>
      </c>
      <c r="I319" t="str">
        <f>IF($A319&lt;&gt;"",'All Cases - Enter Cases'!I319,"")</f>
        <v/>
      </c>
      <c r="J319" t="str">
        <f>IF($A319&lt;&gt;"",'All Cases - Enter Cases'!J319,"")</f>
        <v/>
      </c>
      <c r="K319" t="str">
        <f>IF($A319&lt;&gt;"",'All Cases - Enter Cases'!K319,"")</f>
        <v/>
      </c>
      <c r="L319" t="str">
        <f>IF($A319&lt;&gt;"",'All Cases - Enter Cases'!L319,"")</f>
        <v/>
      </c>
      <c r="M319" t="str">
        <f>IF($A319&lt;&gt;"",'All Cases - Enter Cases'!M319,"")</f>
        <v/>
      </c>
    </row>
    <row r="320" spans="1:13" x14ac:dyDescent="0.35">
      <c r="A320" t="str">
        <f>IF('All Cases - Enter Cases'!$F320="Balochistan",'All Cases - Enter Cases'!A320,"")</f>
        <v/>
      </c>
      <c r="B320" t="str">
        <f>IF($A320&lt;&gt;"",'All Cases - Enter Cases'!B320,"")</f>
        <v/>
      </c>
      <c r="C320" t="str">
        <f>IF($A320&lt;&gt;"",'All Cases - Enter Cases'!C320,"")</f>
        <v/>
      </c>
      <c r="D320" t="str">
        <f>IF($A320&lt;&gt;"",'All Cases - Enter Cases'!D320,"")</f>
        <v/>
      </c>
      <c r="E320" t="str">
        <f>IF($A320&lt;&gt;"",'All Cases - Enter Cases'!E320,"")</f>
        <v/>
      </c>
      <c r="F320" t="str">
        <f>IF($A320&lt;&gt;"",'All Cases - Enter Cases'!F320,"")</f>
        <v/>
      </c>
      <c r="G320" t="str">
        <f>IF($A320&lt;&gt;"",'All Cases - Enter Cases'!G320,"")</f>
        <v/>
      </c>
      <c r="H320" t="str">
        <f>IF($A320&lt;&gt;"",'All Cases - Enter Cases'!H320,"")</f>
        <v/>
      </c>
      <c r="I320" t="str">
        <f>IF($A320&lt;&gt;"",'All Cases - Enter Cases'!I320,"")</f>
        <v/>
      </c>
      <c r="J320" t="str">
        <f>IF($A320&lt;&gt;"",'All Cases - Enter Cases'!J320,"")</f>
        <v/>
      </c>
      <c r="K320" t="str">
        <f>IF($A320&lt;&gt;"",'All Cases - Enter Cases'!K320,"")</f>
        <v/>
      </c>
      <c r="L320" t="str">
        <f>IF($A320&lt;&gt;"",'All Cases - Enter Cases'!L320,"")</f>
        <v/>
      </c>
      <c r="M320" t="str">
        <f>IF($A320&lt;&gt;"",'All Cases - Enter Cases'!M320,"")</f>
        <v/>
      </c>
    </row>
    <row r="321" spans="1:13" x14ac:dyDescent="0.35">
      <c r="A321" t="str">
        <f>IF('All Cases - Enter Cases'!$F321="Balochistan",'All Cases - Enter Cases'!A321,"")</f>
        <v/>
      </c>
      <c r="B321" t="str">
        <f>IF($A321&lt;&gt;"",'All Cases - Enter Cases'!B321,"")</f>
        <v/>
      </c>
      <c r="C321" t="str">
        <f>IF($A321&lt;&gt;"",'All Cases - Enter Cases'!C321,"")</f>
        <v/>
      </c>
      <c r="D321" t="str">
        <f>IF($A321&lt;&gt;"",'All Cases - Enter Cases'!D321,"")</f>
        <v/>
      </c>
      <c r="E321" t="str">
        <f>IF($A321&lt;&gt;"",'All Cases - Enter Cases'!E321,"")</f>
        <v/>
      </c>
      <c r="F321" t="str">
        <f>IF($A321&lt;&gt;"",'All Cases - Enter Cases'!F321,"")</f>
        <v/>
      </c>
      <c r="G321" t="str">
        <f>IF($A321&lt;&gt;"",'All Cases - Enter Cases'!G321,"")</f>
        <v/>
      </c>
      <c r="H321" t="str">
        <f>IF($A321&lt;&gt;"",'All Cases - Enter Cases'!H321,"")</f>
        <v/>
      </c>
      <c r="I321" t="str">
        <f>IF($A321&lt;&gt;"",'All Cases - Enter Cases'!I321,"")</f>
        <v/>
      </c>
      <c r="J321" t="str">
        <f>IF($A321&lt;&gt;"",'All Cases - Enter Cases'!J321,"")</f>
        <v/>
      </c>
      <c r="K321" t="str">
        <f>IF($A321&lt;&gt;"",'All Cases - Enter Cases'!K321,"")</f>
        <v/>
      </c>
      <c r="L321" t="str">
        <f>IF($A321&lt;&gt;"",'All Cases - Enter Cases'!L321,"")</f>
        <v/>
      </c>
      <c r="M321" t="str">
        <f>IF($A321&lt;&gt;"",'All Cases - Enter Cases'!M321,"")</f>
        <v/>
      </c>
    </row>
    <row r="322" spans="1:13" x14ac:dyDescent="0.35">
      <c r="A322" t="str">
        <f>IF('All Cases - Enter Cases'!$F322="Balochistan",'All Cases - Enter Cases'!A322,"")</f>
        <v/>
      </c>
      <c r="B322" t="str">
        <f>IF($A322&lt;&gt;"",'All Cases - Enter Cases'!B322,"")</f>
        <v/>
      </c>
      <c r="C322" t="str">
        <f>IF($A322&lt;&gt;"",'All Cases - Enter Cases'!C322,"")</f>
        <v/>
      </c>
      <c r="D322" t="str">
        <f>IF($A322&lt;&gt;"",'All Cases - Enter Cases'!D322,"")</f>
        <v/>
      </c>
      <c r="E322" t="str">
        <f>IF($A322&lt;&gt;"",'All Cases - Enter Cases'!E322,"")</f>
        <v/>
      </c>
      <c r="F322" t="str">
        <f>IF($A322&lt;&gt;"",'All Cases - Enter Cases'!F322,"")</f>
        <v/>
      </c>
      <c r="G322" t="str">
        <f>IF($A322&lt;&gt;"",'All Cases - Enter Cases'!G322,"")</f>
        <v/>
      </c>
      <c r="H322" t="str">
        <f>IF($A322&lt;&gt;"",'All Cases - Enter Cases'!H322,"")</f>
        <v/>
      </c>
      <c r="I322" t="str">
        <f>IF($A322&lt;&gt;"",'All Cases - Enter Cases'!I322,"")</f>
        <v/>
      </c>
      <c r="J322" t="str">
        <f>IF($A322&lt;&gt;"",'All Cases - Enter Cases'!J322,"")</f>
        <v/>
      </c>
      <c r="K322" t="str">
        <f>IF($A322&lt;&gt;"",'All Cases - Enter Cases'!K322,"")</f>
        <v/>
      </c>
      <c r="L322" t="str">
        <f>IF($A322&lt;&gt;"",'All Cases - Enter Cases'!L322,"")</f>
        <v/>
      </c>
      <c r="M322" t="str">
        <f>IF($A322&lt;&gt;"",'All Cases - Enter Cases'!M322,"")</f>
        <v/>
      </c>
    </row>
    <row r="323" spans="1:13" x14ac:dyDescent="0.35">
      <c r="A323" t="str">
        <f>IF('All Cases - Enter Cases'!$F323="Balochistan",'All Cases - Enter Cases'!A323,"")</f>
        <v/>
      </c>
      <c r="B323" t="str">
        <f>IF($A323&lt;&gt;"",'All Cases - Enter Cases'!B323,"")</f>
        <v/>
      </c>
      <c r="C323" t="str">
        <f>IF($A323&lt;&gt;"",'All Cases - Enter Cases'!C323,"")</f>
        <v/>
      </c>
      <c r="D323" t="str">
        <f>IF($A323&lt;&gt;"",'All Cases - Enter Cases'!D323,"")</f>
        <v/>
      </c>
      <c r="E323" t="str">
        <f>IF($A323&lt;&gt;"",'All Cases - Enter Cases'!E323,"")</f>
        <v/>
      </c>
      <c r="F323" t="str">
        <f>IF($A323&lt;&gt;"",'All Cases - Enter Cases'!F323,"")</f>
        <v/>
      </c>
      <c r="G323" t="str">
        <f>IF($A323&lt;&gt;"",'All Cases - Enter Cases'!G323,"")</f>
        <v/>
      </c>
      <c r="H323" t="str">
        <f>IF($A323&lt;&gt;"",'All Cases - Enter Cases'!H323,"")</f>
        <v/>
      </c>
      <c r="I323" t="str">
        <f>IF($A323&lt;&gt;"",'All Cases - Enter Cases'!I323,"")</f>
        <v/>
      </c>
      <c r="J323" t="str">
        <f>IF($A323&lt;&gt;"",'All Cases - Enter Cases'!J323,"")</f>
        <v/>
      </c>
      <c r="K323" t="str">
        <f>IF($A323&lt;&gt;"",'All Cases - Enter Cases'!K323,"")</f>
        <v/>
      </c>
      <c r="L323" t="str">
        <f>IF($A323&lt;&gt;"",'All Cases - Enter Cases'!L323,"")</f>
        <v/>
      </c>
      <c r="M323" t="str">
        <f>IF($A323&lt;&gt;"",'All Cases - Enter Cases'!M323,"")</f>
        <v/>
      </c>
    </row>
    <row r="324" spans="1:13" x14ac:dyDescent="0.35">
      <c r="A324" t="str">
        <f>IF('All Cases - Enter Cases'!$F324="Balochistan",'All Cases - Enter Cases'!A324,"")</f>
        <v/>
      </c>
      <c r="B324" t="str">
        <f>IF($A324&lt;&gt;"",'All Cases - Enter Cases'!B324,"")</f>
        <v/>
      </c>
      <c r="C324" t="str">
        <f>IF($A324&lt;&gt;"",'All Cases - Enter Cases'!C324,"")</f>
        <v/>
      </c>
      <c r="D324" t="str">
        <f>IF($A324&lt;&gt;"",'All Cases - Enter Cases'!D324,"")</f>
        <v/>
      </c>
      <c r="E324" t="str">
        <f>IF($A324&lt;&gt;"",'All Cases - Enter Cases'!E324,"")</f>
        <v/>
      </c>
      <c r="F324" t="str">
        <f>IF($A324&lt;&gt;"",'All Cases - Enter Cases'!F324,"")</f>
        <v/>
      </c>
      <c r="G324" t="str">
        <f>IF($A324&lt;&gt;"",'All Cases - Enter Cases'!G324,"")</f>
        <v/>
      </c>
      <c r="H324" t="str">
        <f>IF($A324&lt;&gt;"",'All Cases - Enter Cases'!H324,"")</f>
        <v/>
      </c>
      <c r="I324" t="str">
        <f>IF($A324&lt;&gt;"",'All Cases - Enter Cases'!I324,"")</f>
        <v/>
      </c>
      <c r="J324" t="str">
        <f>IF($A324&lt;&gt;"",'All Cases - Enter Cases'!J324,"")</f>
        <v/>
      </c>
      <c r="K324" t="str">
        <f>IF($A324&lt;&gt;"",'All Cases - Enter Cases'!K324,"")</f>
        <v/>
      </c>
      <c r="L324" t="str">
        <f>IF($A324&lt;&gt;"",'All Cases - Enter Cases'!L324,"")</f>
        <v/>
      </c>
      <c r="M324" t="str">
        <f>IF($A324&lt;&gt;"",'All Cases - Enter Cases'!M324,"")</f>
        <v/>
      </c>
    </row>
    <row r="325" spans="1:13" x14ac:dyDescent="0.35">
      <c r="A325" t="str">
        <f>IF('All Cases - Enter Cases'!$F325="Balochistan",'All Cases - Enter Cases'!A325,"")</f>
        <v/>
      </c>
      <c r="B325" t="str">
        <f>IF($A325&lt;&gt;"",'All Cases - Enter Cases'!B325,"")</f>
        <v/>
      </c>
      <c r="C325" t="str">
        <f>IF($A325&lt;&gt;"",'All Cases - Enter Cases'!C325,"")</f>
        <v/>
      </c>
      <c r="D325" t="str">
        <f>IF($A325&lt;&gt;"",'All Cases - Enter Cases'!D325,"")</f>
        <v/>
      </c>
      <c r="E325" t="str">
        <f>IF($A325&lt;&gt;"",'All Cases - Enter Cases'!E325,"")</f>
        <v/>
      </c>
      <c r="F325" t="str">
        <f>IF($A325&lt;&gt;"",'All Cases - Enter Cases'!F325,"")</f>
        <v/>
      </c>
      <c r="G325" t="str">
        <f>IF($A325&lt;&gt;"",'All Cases - Enter Cases'!G325,"")</f>
        <v/>
      </c>
      <c r="H325" t="str">
        <f>IF($A325&lt;&gt;"",'All Cases - Enter Cases'!H325,"")</f>
        <v/>
      </c>
      <c r="I325" t="str">
        <f>IF($A325&lt;&gt;"",'All Cases - Enter Cases'!I325,"")</f>
        <v/>
      </c>
      <c r="J325" t="str">
        <f>IF($A325&lt;&gt;"",'All Cases - Enter Cases'!J325,"")</f>
        <v/>
      </c>
      <c r="K325" t="str">
        <f>IF($A325&lt;&gt;"",'All Cases - Enter Cases'!K325,"")</f>
        <v/>
      </c>
      <c r="L325" t="str">
        <f>IF($A325&lt;&gt;"",'All Cases - Enter Cases'!L325,"")</f>
        <v/>
      </c>
      <c r="M325" t="str">
        <f>IF($A325&lt;&gt;"",'All Cases - Enter Cases'!M325,"")</f>
        <v/>
      </c>
    </row>
    <row r="326" spans="1:13" x14ac:dyDescent="0.35">
      <c r="A326" t="str">
        <f>IF('All Cases - Enter Cases'!$F326="Balochistan",'All Cases - Enter Cases'!A326,"")</f>
        <v/>
      </c>
      <c r="B326" t="str">
        <f>IF($A326&lt;&gt;"",'All Cases - Enter Cases'!B326,"")</f>
        <v/>
      </c>
      <c r="C326" t="str">
        <f>IF($A326&lt;&gt;"",'All Cases - Enter Cases'!C326,"")</f>
        <v/>
      </c>
      <c r="D326" t="str">
        <f>IF($A326&lt;&gt;"",'All Cases - Enter Cases'!D326,"")</f>
        <v/>
      </c>
      <c r="E326" t="str">
        <f>IF($A326&lt;&gt;"",'All Cases - Enter Cases'!E326,"")</f>
        <v/>
      </c>
      <c r="F326" t="str">
        <f>IF($A326&lt;&gt;"",'All Cases - Enter Cases'!F326,"")</f>
        <v/>
      </c>
      <c r="G326" t="str">
        <f>IF($A326&lt;&gt;"",'All Cases - Enter Cases'!G326,"")</f>
        <v/>
      </c>
      <c r="H326" t="str">
        <f>IF($A326&lt;&gt;"",'All Cases - Enter Cases'!H326,"")</f>
        <v/>
      </c>
      <c r="I326" t="str">
        <f>IF($A326&lt;&gt;"",'All Cases - Enter Cases'!I326,"")</f>
        <v/>
      </c>
      <c r="J326" t="str">
        <f>IF($A326&lt;&gt;"",'All Cases - Enter Cases'!J326,"")</f>
        <v/>
      </c>
      <c r="K326" t="str">
        <f>IF($A326&lt;&gt;"",'All Cases - Enter Cases'!K326,"")</f>
        <v/>
      </c>
      <c r="L326" t="str">
        <f>IF($A326&lt;&gt;"",'All Cases - Enter Cases'!L326,"")</f>
        <v/>
      </c>
      <c r="M326" t="str">
        <f>IF($A326&lt;&gt;"",'All Cases - Enter Cases'!M326,"")</f>
        <v/>
      </c>
    </row>
    <row r="327" spans="1:13" x14ac:dyDescent="0.35">
      <c r="A327" t="str">
        <f>IF('All Cases - Enter Cases'!$F327="Balochistan",'All Cases - Enter Cases'!A327,"")</f>
        <v/>
      </c>
      <c r="B327" t="str">
        <f>IF($A327&lt;&gt;"",'All Cases - Enter Cases'!B327,"")</f>
        <v/>
      </c>
      <c r="C327" t="str">
        <f>IF($A327&lt;&gt;"",'All Cases - Enter Cases'!C327,"")</f>
        <v/>
      </c>
      <c r="D327" t="str">
        <f>IF($A327&lt;&gt;"",'All Cases - Enter Cases'!D327,"")</f>
        <v/>
      </c>
      <c r="E327" t="str">
        <f>IF($A327&lt;&gt;"",'All Cases - Enter Cases'!E327,"")</f>
        <v/>
      </c>
      <c r="F327" t="str">
        <f>IF($A327&lt;&gt;"",'All Cases - Enter Cases'!F327,"")</f>
        <v/>
      </c>
      <c r="G327" t="str">
        <f>IF($A327&lt;&gt;"",'All Cases - Enter Cases'!G327,"")</f>
        <v/>
      </c>
      <c r="H327" t="str">
        <f>IF($A327&lt;&gt;"",'All Cases - Enter Cases'!H327,"")</f>
        <v/>
      </c>
      <c r="I327" t="str">
        <f>IF($A327&lt;&gt;"",'All Cases - Enter Cases'!I327,"")</f>
        <v/>
      </c>
      <c r="J327" t="str">
        <f>IF($A327&lt;&gt;"",'All Cases - Enter Cases'!J327,"")</f>
        <v/>
      </c>
      <c r="K327" t="str">
        <f>IF($A327&lt;&gt;"",'All Cases - Enter Cases'!K327,"")</f>
        <v/>
      </c>
      <c r="L327" t="str">
        <f>IF($A327&lt;&gt;"",'All Cases - Enter Cases'!L327,"")</f>
        <v/>
      </c>
      <c r="M327" t="str">
        <f>IF($A327&lt;&gt;"",'All Cases - Enter Cases'!M327,"")</f>
        <v/>
      </c>
    </row>
    <row r="328" spans="1:13" x14ac:dyDescent="0.35">
      <c r="A328" t="str">
        <f>IF('All Cases - Enter Cases'!$F328="Balochistan",'All Cases - Enter Cases'!A328,"")</f>
        <v/>
      </c>
      <c r="B328" t="str">
        <f>IF($A328&lt;&gt;"",'All Cases - Enter Cases'!B328,"")</f>
        <v/>
      </c>
      <c r="C328" t="str">
        <f>IF($A328&lt;&gt;"",'All Cases - Enter Cases'!C328,"")</f>
        <v/>
      </c>
      <c r="D328" t="str">
        <f>IF($A328&lt;&gt;"",'All Cases - Enter Cases'!D328,"")</f>
        <v/>
      </c>
      <c r="E328" t="str">
        <f>IF($A328&lt;&gt;"",'All Cases - Enter Cases'!E328,"")</f>
        <v/>
      </c>
      <c r="F328" t="str">
        <f>IF($A328&lt;&gt;"",'All Cases - Enter Cases'!F328,"")</f>
        <v/>
      </c>
      <c r="G328" t="str">
        <f>IF($A328&lt;&gt;"",'All Cases - Enter Cases'!G328,"")</f>
        <v/>
      </c>
      <c r="H328" t="str">
        <f>IF($A328&lt;&gt;"",'All Cases - Enter Cases'!H328,"")</f>
        <v/>
      </c>
      <c r="I328" t="str">
        <f>IF($A328&lt;&gt;"",'All Cases - Enter Cases'!I328,"")</f>
        <v/>
      </c>
      <c r="J328" t="str">
        <f>IF($A328&lt;&gt;"",'All Cases - Enter Cases'!J328,"")</f>
        <v/>
      </c>
      <c r="K328" t="str">
        <f>IF($A328&lt;&gt;"",'All Cases - Enter Cases'!K328,"")</f>
        <v/>
      </c>
      <c r="L328" t="str">
        <f>IF($A328&lt;&gt;"",'All Cases - Enter Cases'!L328,"")</f>
        <v/>
      </c>
      <c r="M328" t="str">
        <f>IF($A328&lt;&gt;"",'All Cases - Enter Cases'!M328,"")</f>
        <v/>
      </c>
    </row>
    <row r="329" spans="1:13" x14ac:dyDescent="0.35">
      <c r="A329" t="str">
        <f>IF('All Cases - Enter Cases'!$F329="Balochistan",'All Cases - Enter Cases'!A329,"")</f>
        <v/>
      </c>
      <c r="B329" t="str">
        <f>IF($A329&lt;&gt;"",'All Cases - Enter Cases'!B329,"")</f>
        <v/>
      </c>
      <c r="C329" t="str">
        <f>IF($A329&lt;&gt;"",'All Cases - Enter Cases'!C329,"")</f>
        <v/>
      </c>
      <c r="D329" t="str">
        <f>IF($A329&lt;&gt;"",'All Cases - Enter Cases'!D329,"")</f>
        <v/>
      </c>
      <c r="E329" t="str">
        <f>IF($A329&lt;&gt;"",'All Cases - Enter Cases'!E329,"")</f>
        <v/>
      </c>
      <c r="F329" t="str">
        <f>IF($A329&lt;&gt;"",'All Cases - Enter Cases'!F329,"")</f>
        <v/>
      </c>
      <c r="G329" t="str">
        <f>IF($A329&lt;&gt;"",'All Cases - Enter Cases'!G329,"")</f>
        <v/>
      </c>
      <c r="H329" t="str">
        <f>IF($A329&lt;&gt;"",'All Cases - Enter Cases'!H329,"")</f>
        <v/>
      </c>
      <c r="I329" t="str">
        <f>IF($A329&lt;&gt;"",'All Cases - Enter Cases'!I329,"")</f>
        <v/>
      </c>
      <c r="J329" t="str">
        <f>IF($A329&lt;&gt;"",'All Cases - Enter Cases'!J329,"")</f>
        <v/>
      </c>
      <c r="K329" t="str">
        <f>IF($A329&lt;&gt;"",'All Cases - Enter Cases'!K329,"")</f>
        <v/>
      </c>
      <c r="L329" t="str">
        <f>IF($A329&lt;&gt;"",'All Cases - Enter Cases'!L329,"")</f>
        <v/>
      </c>
      <c r="M329" t="str">
        <f>IF($A329&lt;&gt;"",'All Cases - Enter Cases'!M329,"")</f>
        <v/>
      </c>
    </row>
    <row r="330" spans="1:13" x14ac:dyDescent="0.35">
      <c r="A330" t="str">
        <f>IF('All Cases - Enter Cases'!$F330="Balochistan",'All Cases - Enter Cases'!A330,"")</f>
        <v/>
      </c>
      <c r="B330" t="str">
        <f>IF($A330&lt;&gt;"",'All Cases - Enter Cases'!B330,"")</f>
        <v/>
      </c>
      <c r="C330" t="str">
        <f>IF($A330&lt;&gt;"",'All Cases - Enter Cases'!C330,"")</f>
        <v/>
      </c>
      <c r="D330" t="str">
        <f>IF($A330&lt;&gt;"",'All Cases - Enter Cases'!D330,"")</f>
        <v/>
      </c>
      <c r="E330" t="str">
        <f>IF($A330&lt;&gt;"",'All Cases - Enter Cases'!E330,"")</f>
        <v/>
      </c>
      <c r="F330" t="str">
        <f>IF($A330&lt;&gt;"",'All Cases - Enter Cases'!F330,"")</f>
        <v/>
      </c>
      <c r="G330" t="str">
        <f>IF($A330&lt;&gt;"",'All Cases - Enter Cases'!G330,"")</f>
        <v/>
      </c>
      <c r="H330" t="str">
        <f>IF($A330&lt;&gt;"",'All Cases - Enter Cases'!H330,"")</f>
        <v/>
      </c>
      <c r="I330" t="str">
        <f>IF($A330&lt;&gt;"",'All Cases - Enter Cases'!I330,"")</f>
        <v/>
      </c>
      <c r="J330" t="str">
        <f>IF($A330&lt;&gt;"",'All Cases - Enter Cases'!J330,"")</f>
        <v/>
      </c>
      <c r="K330" t="str">
        <f>IF($A330&lt;&gt;"",'All Cases - Enter Cases'!K330,"")</f>
        <v/>
      </c>
      <c r="L330" t="str">
        <f>IF($A330&lt;&gt;"",'All Cases - Enter Cases'!L330,"")</f>
        <v/>
      </c>
      <c r="M330" t="str">
        <f>IF($A330&lt;&gt;"",'All Cases - Enter Cases'!M330,"")</f>
        <v/>
      </c>
    </row>
    <row r="331" spans="1:13" x14ac:dyDescent="0.35">
      <c r="A331" t="str">
        <f>IF('All Cases - Enter Cases'!$F331="Balochistan",'All Cases - Enter Cases'!A331,"")</f>
        <v/>
      </c>
      <c r="B331" t="str">
        <f>IF($A331&lt;&gt;"",'All Cases - Enter Cases'!B331,"")</f>
        <v/>
      </c>
      <c r="C331" t="str">
        <f>IF($A331&lt;&gt;"",'All Cases - Enter Cases'!C331,"")</f>
        <v/>
      </c>
      <c r="D331" t="str">
        <f>IF($A331&lt;&gt;"",'All Cases - Enter Cases'!D331,"")</f>
        <v/>
      </c>
      <c r="E331" t="str">
        <f>IF($A331&lt;&gt;"",'All Cases - Enter Cases'!E331,"")</f>
        <v/>
      </c>
      <c r="F331" t="str">
        <f>IF($A331&lt;&gt;"",'All Cases - Enter Cases'!F331,"")</f>
        <v/>
      </c>
      <c r="G331" t="str">
        <f>IF($A331&lt;&gt;"",'All Cases - Enter Cases'!G331,"")</f>
        <v/>
      </c>
      <c r="H331" t="str">
        <f>IF($A331&lt;&gt;"",'All Cases - Enter Cases'!H331,"")</f>
        <v/>
      </c>
      <c r="I331" t="str">
        <f>IF($A331&lt;&gt;"",'All Cases - Enter Cases'!I331,"")</f>
        <v/>
      </c>
      <c r="J331" t="str">
        <f>IF($A331&lt;&gt;"",'All Cases - Enter Cases'!J331,"")</f>
        <v/>
      </c>
      <c r="K331" t="str">
        <f>IF($A331&lt;&gt;"",'All Cases - Enter Cases'!K331,"")</f>
        <v/>
      </c>
      <c r="L331" t="str">
        <f>IF($A331&lt;&gt;"",'All Cases - Enter Cases'!L331,"")</f>
        <v/>
      </c>
      <c r="M331" t="str">
        <f>IF($A331&lt;&gt;"",'All Cases - Enter Cases'!M331,"")</f>
        <v/>
      </c>
    </row>
    <row r="332" spans="1:13" x14ac:dyDescent="0.35">
      <c r="A332" t="str">
        <f>IF('All Cases - Enter Cases'!$F332="Balochistan",'All Cases - Enter Cases'!A332,"")</f>
        <v/>
      </c>
      <c r="B332" t="str">
        <f>IF($A332&lt;&gt;"",'All Cases - Enter Cases'!B332,"")</f>
        <v/>
      </c>
      <c r="C332" t="str">
        <f>IF($A332&lt;&gt;"",'All Cases - Enter Cases'!C332,"")</f>
        <v/>
      </c>
      <c r="D332" t="str">
        <f>IF($A332&lt;&gt;"",'All Cases - Enter Cases'!D332,"")</f>
        <v/>
      </c>
      <c r="E332" t="str">
        <f>IF($A332&lt;&gt;"",'All Cases - Enter Cases'!E332,"")</f>
        <v/>
      </c>
      <c r="F332" t="str">
        <f>IF($A332&lt;&gt;"",'All Cases - Enter Cases'!F332,"")</f>
        <v/>
      </c>
      <c r="G332" t="str">
        <f>IF($A332&lt;&gt;"",'All Cases - Enter Cases'!G332,"")</f>
        <v/>
      </c>
      <c r="H332" t="str">
        <f>IF($A332&lt;&gt;"",'All Cases - Enter Cases'!H332,"")</f>
        <v/>
      </c>
      <c r="I332" t="str">
        <f>IF($A332&lt;&gt;"",'All Cases - Enter Cases'!I332,"")</f>
        <v/>
      </c>
      <c r="J332" t="str">
        <f>IF($A332&lt;&gt;"",'All Cases - Enter Cases'!J332,"")</f>
        <v/>
      </c>
      <c r="K332" t="str">
        <f>IF($A332&lt;&gt;"",'All Cases - Enter Cases'!K332,"")</f>
        <v/>
      </c>
      <c r="L332" t="str">
        <f>IF($A332&lt;&gt;"",'All Cases - Enter Cases'!L332,"")</f>
        <v/>
      </c>
      <c r="M332" t="str">
        <f>IF($A332&lt;&gt;"",'All Cases - Enter Cases'!M332,"")</f>
        <v/>
      </c>
    </row>
    <row r="333" spans="1:13" x14ac:dyDescent="0.35">
      <c r="A333" t="str">
        <f>IF('All Cases - Enter Cases'!$F333="Balochistan",'All Cases - Enter Cases'!A333,"")</f>
        <v/>
      </c>
      <c r="B333" t="str">
        <f>IF($A333&lt;&gt;"",'All Cases - Enter Cases'!B333,"")</f>
        <v/>
      </c>
      <c r="C333" t="str">
        <f>IF($A333&lt;&gt;"",'All Cases - Enter Cases'!C333,"")</f>
        <v/>
      </c>
      <c r="D333" t="str">
        <f>IF($A333&lt;&gt;"",'All Cases - Enter Cases'!D333,"")</f>
        <v/>
      </c>
      <c r="E333" t="str">
        <f>IF($A333&lt;&gt;"",'All Cases - Enter Cases'!E333,"")</f>
        <v/>
      </c>
      <c r="F333" t="str">
        <f>IF($A333&lt;&gt;"",'All Cases - Enter Cases'!F333,"")</f>
        <v/>
      </c>
      <c r="G333" t="str">
        <f>IF($A333&lt;&gt;"",'All Cases - Enter Cases'!G333,"")</f>
        <v/>
      </c>
      <c r="H333" t="str">
        <f>IF($A333&lt;&gt;"",'All Cases - Enter Cases'!H333,"")</f>
        <v/>
      </c>
      <c r="I333" t="str">
        <f>IF($A333&lt;&gt;"",'All Cases - Enter Cases'!I333,"")</f>
        <v/>
      </c>
      <c r="J333" t="str">
        <f>IF($A333&lt;&gt;"",'All Cases - Enter Cases'!J333,"")</f>
        <v/>
      </c>
      <c r="K333" t="str">
        <f>IF($A333&lt;&gt;"",'All Cases - Enter Cases'!K333,"")</f>
        <v/>
      </c>
      <c r="L333" t="str">
        <f>IF($A333&lt;&gt;"",'All Cases - Enter Cases'!L333,"")</f>
        <v/>
      </c>
      <c r="M333" t="str">
        <f>IF($A333&lt;&gt;"",'All Cases - Enter Cases'!M333,"")</f>
        <v/>
      </c>
    </row>
    <row r="334" spans="1:13" x14ac:dyDescent="0.35">
      <c r="A334" t="str">
        <f>IF('All Cases - Enter Cases'!$F334="Balochistan",'All Cases - Enter Cases'!A334,"")</f>
        <v/>
      </c>
      <c r="B334" t="str">
        <f>IF($A334&lt;&gt;"",'All Cases - Enter Cases'!B334,"")</f>
        <v/>
      </c>
      <c r="C334" t="str">
        <f>IF($A334&lt;&gt;"",'All Cases - Enter Cases'!C334,"")</f>
        <v/>
      </c>
      <c r="D334" t="str">
        <f>IF($A334&lt;&gt;"",'All Cases - Enter Cases'!D334,"")</f>
        <v/>
      </c>
      <c r="E334" t="str">
        <f>IF($A334&lt;&gt;"",'All Cases - Enter Cases'!E334,"")</f>
        <v/>
      </c>
      <c r="F334" t="str">
        <f>IF($A334&lt;&gt;"",'All Cases - Enter Cases'!F334,"")</f>
        <v/>
      </c>
      <c r="G334" t="str">
        <f>IF($A334&lt;&gt;"",'All Cases - Enter Cases'!G334,"")</f>
        <v/>
      </c>
      <c r="H334" t="str">
        <f>IF($A334&lt;&gt;"",'All Cases - Enter Cases'!H334,"")</f>
        <v/>
      </c>
      <c r="I334" t="str">
        <f>IF($A334&lt;&gt;"",'All Cases - Enter Cases'!I334,"")</f>
        <v/>
      </c>
      <c r="J334" t="str">
        <f>IF($A334&lt;&gt;"",'All Cases - Enter Cases'!J334,"")</f>
        <v/>
      </c>
      <c r="K334" t="str">
        <f>IF($A334&lt;&gt;"",'All Cases - Enter Cases'!K334,"")</f>
        <v/>
      </c>
      <c r="L334" t="str">
        <f>IF($A334&lt;&gt;"",'All Cases - Enter Cases'!L334,"")</f>
        <v/>
      </c>
      <c r="M334" t="str">
        <f>IF($A334&lt;&gt;"",'All Cases - Enter Cases'!M334,"")</f>
        <v/>
      </c>
    </row>
    <row r="335" spans="1:13" x14ac:dyDescent="0.35">
      <c r="A335" t="str">
        <f>IF('All Cases - Enter Cases'!$F335="Balochistan",'All Cases - Enter Cases'!A335,"")</f>
        <v/>
      </c>
      <c r="B335" t="str">
        <f>IF($A335&lt;&gt;"",'All Cases - Enter Cases'!B335,"")</f>
        <v/>
      </c>
      <c r="C335" t="str">
        <f>IF($A335&lt;&gt;"",'All Cases - Enter Cases'!C335,"")</f>
        <v/>
      </c>
      <c r="D335" t="str">
        <f>IF($A335&lt;&gt;"",'All Cases - Enter Cases'!D335,"")</f>
        <v/>
      </c>
      <c r="E335" t="str">
        <f>IF($A335&lt;&gt;"",'All Cases - Enter Cases'!E335,"")</f>
        <v/>
      </c>
      <c r="F335" t="str">
        <f>IF($A335&lt;&gt;"",'All Cases - Enter Cases'!F335,"")</f>
        <v/>
      </c>
      <c r="G335" t="str">
        <f>IF($A335&lt;&gt;"",'All Cases - Enter Cases'!G335,"")</f>
        <v/>
      </c>
      <c r="H335" t="str">
        <f>IF($A335&lt;&gt;"",'All Cases - Enter Cases'!H335,"")</f>
        <v/>
      </c>
      <c r="I335" t="str">
        <f>IF($A335&lt;&gt;"",'All Cases - Enter Cases'!I335,"")</f>
        <v/>
      </c>
      <c r="J335" t="str">
        <f>IF($A335&lt;&gt;"",'All Cases - Enter Cases'!J335,"")</f>
        <v/>
      </c>
      <c r="K335" t="str">
        <f>IF($A335&lt;&gt;"",'All Cases - Enter Cases'!K335,"")</f>
        <v/>
      </c>
      <c r="L335" t="str">
        <f>IF($A335&lt;&gt;"",'All Cases - Enter Cases'!L335,"")</f>
        <v/>
      </c>
      <c r="M335" t="str">
        <f>IF($A335&lt;&gt;"",'All Cases - Enter Cases'!M335,"")</f>
        <v/>
      </c>
    </row>
    <row r="336" spans="1:13" x14ac:dyDescent="0.35">
      <c r="A336" t="str">
        <f>IF('All Cases - Enter Cases'!$F336="Balochistan",'All Cases - Enter Cases'!A336,"")</f>
        <v/>
      </c>
      <c r="B336" t="str">
        <f>IF($A336&lt;&gt;"",'All Cases - Enter Cases'!B336,"")</f>
        <v/>
      </c>
      <c r="C336" t="str">
        <f>IF($A336&lt;&gt;"",'All Cases - Enter Cases'!C336,"")</f>
        <v/>
      </c>
      <c r="D336" t="str">
        <f>IF($A336&lt;&gt;"",'All Cases - Enter Cases'!D336,"")</f>
        <v/>
      </c>
      <c r="E336" t="str">
        <f>IF($A336&lt;&gt;"",'All Cases - Enter Cases'!E336,"")</f>
        <v/>
      </c>
      <c r="F336" t="str">
        <f>IF($A336&lt;&gt;"",'All Cases - Enter Cases'!F336,"")</f>
        <v/>
      </c>
      <c r="G336" t="str">
        <f>IF($A336&lt;&gt;"",'All Cases - Enter Cases'!G336,"")</f>
        <v/>
      </c>
      <c r="H336" t="str">
        <f>IF($A336&lt;&gt;"",'All Cases - Enter Cases'!H336,"")</f>
        <v/>
      </c>
      <c r="I336" t="str">
        <f>IF($A336&lt;&gt;"",'All Cases - Enter Cases'!I336,"")</f>
        <v/>
      </c>
      <c r="J336" t="str">
        <f>IF($A336&lt;&gt;"",'All Cases - Enter Cases'!J336,"")</f>
        <v/>
      </c>
      <c r="K336" t="str">
        <f>IF($A336&lt;&gt;"",'All Cases - Enter Cases'!K336,"")</f>
        <v/>
      </c>
      <c r="L336" t="str">
        <f>IF($A336&lt;&gt;"",'All Cases - Enter Cases'!L336,"")</f>
        <v/>
      </c>
      <c r="M336" t="str">
        <f>IF($A336&lt;&gt;"",'All Cases - Enter Cases'!M336,"")</f>
        <v/>
      </c>
    </row>
    <row r="337" spans="1:13" x14ac:dyDescent="0.35">
      <c r="A337" t="str">
        <f>IF('All Cases - Enter Cases'!$F337="Balochistan",'All Cases - Enter Cases'!A337,"")</f>
        <v/>
      </c>
      <c r="B337" t="str">
        <f>IF($A337&lt;&gt;"",'All Cases - Enter Cases'!B337,"")</f>
        <v/>
      </c>
      <c r="C337" t="str">
        <f>IF($A337&lt;&gt;"",'All Cases - Enter Cases'!C337,"")</f>
        <v/>
      </c>
      <c r="D337" t="str">
        <f>IF($A337&lt;&gt;"",'All Cases - Enter Cases'!D337,"")</f>
        <v/>
      </c>
      <c r="E337" t="str">
        <f>IF($A337&lt;&gt;"",'All Cases - Enter Cases'!E337,"")</f>
        <v/>
      </c>
      <c r="F337" t="str">
        <f>IF($A337&lt;&gt;"",'All Cases - Enter Cases'!F337,"")</f>
        <v/>
      </c>
      <c r="G337" t="str">
        <f>IF($A337&lt;&gt;"",'All Cases - Enter Cases'!G337,"")</f>
        <v/>
      </c>
      <c r="H337" t="str">
        <f>IF($A337&lt;&gt;"",'All Cases - Enter Cases'!H337,"")</f>
        <v/>
      </c>
      <c r="I337" t="str">
        <f>IF($A337&lt;&gt;"",'All Cases - Enter Cases'!I337,"")</f>
        <v/>
      </c>
      <c r="J337" t="str">
        <f>IF($A337&lt;&gt;"",'All Cases - Enter Cases'!J337,"")</f>
        <v/>
      </c>
      <c r="K337" t="str">
        <f>IF($A337&lt;&gt;"",'All Cases - Enter Cases'!K337,"")</f>
        <v/>
      </c>
      <c r="L337" t="str">
        <f>IF($A337&lt;&gt;"",'All Cases - Enter Cases'!L337,"")</f>
        <v/>
      </c>
      <c r="M337" t="str">
        <f>IF($A337&lt;&gt;"",'All Cases - Enter Cases'!M337,"")</f>
        <v/>
      </c>
    </row>
    <row r="338" spans="1:13" x14ac:dyDescent="0.35">
      <c r="A338" t="str">
        <f>IF('All Cases - Enter Cases'!$F338="Balochistan",'All Cases - Enter Cases'!A338,"")</f>
        <v/>
      </c>
      <c r="B338" t="str">
        <f>IF($A338&lt;&gt;"",'All Cases - Enter Cases'!B338,"")</f>
        <v/>
      </c>
      <c r="C338" t="str">
        <f>IF($A338&lt;&gt;"",'All Cases - Enter Cases'!C338,"")</f>
        <v/>
      </c>
      <c r="D338" t="str">
        <f>IF($A338&lt;&gt;"",'All Cases - Enter Cases'!D338,"")</f>
        <v/>
      </c>
      <c r="E338" t="str">
        <f>IF($A338&lt;&gt;"",'All Cases - Enter Cases'!E338,"")</f>
        <v/>
      </c>
      <c r="F338" t="str">
        <f>IF($A338&lt;&gt;"",'All Cases - Enter Cases'!F338,"")</f>
        <v/>
      </c>
      <c r="G338" t="str">
        <f>IF($A338&lt;&gt;"",'All Cases - Enter Cases'!G338,"")</f>
        <v/>
      </c>
      <c r="H338" t="str">
        <f>IF($A338&lt;&gt;"",'All Cases - Enter Cases'!H338,"")</f>
        <v/>
      </c>
      <c r="I338" t="str">
        <f>IF($A338&lt;&gt;"",'All Cases - Enter Cases'!I338,"")</f>
        <v/>
      </c>
      <c r="J338" t="str">
        <f>IF($A338&lt;&gt;"",'All Cases - Enter Cases'!J338,"")</f>
        <v/>
      </c>
      <c r="K338" t="str">
        <f>IF($A338&lt;&gt;"",'All Cases - Enter Cases'!K338,"")</f>
        <v/>
      </c>
      <c r="L338" t="str">
        <f>IF($A338&lt;&gt;"",'All Cases - Enter Cases'!L338,"")</f>
        <v/>
      </c>
      <c r="M338" t="str">
        <f>IF($A338&lt;&gt;"",'All Cases - Enter Cases'!M338,"")</f>
        <v/>
      </c>
    </row>
    <row r="339" spans="1:13" x14ac:dyDescent="0.35">
      <c r="A339" t="str">
        <f>IF('All Cases - Enter Cases'!$F339="Balochistan",'All Cases - Enter Cases'!A339,"")</f>
        <v/>
      </c>
      <c r="B339" t="str">
        <f>IF($A339&lt;&gt;"",'All Cases - Enter Cases'!B339,"")</f>
        <v/>
      </c>
      <c r="C339" t="str">
        <f>IF($A339&lt;&gt;"",'All Cases - Enter Cases'!C339,"")</f>
        <v/>
      </c>
      <c r="D339" t="str">
        <f>IF($A339&lt;&gt;"",'All Cases - Enter Cases'!D339,"")</f>
        <v/>
      </c>
      <c r="E339" t="str">
        <f>IF($A339&lt;&gt;"",'All Cases - Enter Cases'!E339,"")</f>
        <v/>
      </c>
      <c r="F339" t="str">
        <f>IF($A339&lt;&gt;"",'All Cases - Enter Cases'!F339,"")</f>
        <v/>
      </c>
      <c r="G339" t="str">
        <f>IF($A339&lt;&gt;"",'All Cases - Enter Cases'!G339,"")</f>
        <v/>
      </c>
      <c r="H339" t="str">
        <f>IF($A339&lt;&gt;"",'All Cases - Enter Cases'!H339,"")</f>
        <v/>
      </c>
      <c r="I339" t="str">
        <f>IF($A339&lt;&gt;"",'All Cases - Enter Cases'!I339,"")</f>
        <v/>
      </c>
      <c r="J339" t="str">
        <f>IF($A339&lt;&gt;"",'All Cases - Enter Cases'!J339,"")</f>
        <v/>
      </c>
      <c r="K339" t="str">
        <f>IF($A339&lt;&gt;"",'All Cases - Enter Cases'!K339,"")</f>
        <v/>
      </c>
      <c r="L339" t="str">
        <f>IF($A339&lt;&gt;"",'All Cases - Enter Cases'!L339,"")</f>
        <v/>
      </c>
      <c r="M339" t="str">
        <f>IF($A339&lt;&gt;"",'All Cases - Enter Cases'!M339,"")</f>
        <v/>
      </c>
    </row>
    <row r="340" spans="1:13" x14ac:dyDescent="0.35">
      <c r="A340" t="str">
        <f>IF('All Cases - Enter Cases'!$F340="Balochistan",'All Cases - Enter Cases'!A340,"")</f>
        <v/>
      </c>
      <c r="B340" t="str">
        <f>IF($A340&lt;&gt;"",'All Cases - Enter Cases'!B340,"")</f>
        <v/>
      </c>
      <c r="C340" t="str">
        <f>IF($A340&lt;&gt;"",'All Cases - Enter Cases'!C340,"")</f>
        <v/>
      </c>
      <c r="D340" t="str">
        <f>IF($A340&lt;&gt;"",'All Cases - Enter Cases'!D340,"")</f>
        <v/>
      </c>
      <c r="E340" t="str">
        <f>IF($A340&lt;&gt;"",'All Cases - Enter Cases'!E340,"")</f>
        <v/>
      </c>
      <c r="F340" t="str">
        <f>IF($A340&lt;&gt;"",'All Cases - Enter Cases'!F340,"")</f>
        <v/>
      </c>
      <c r="G340" t="str">
        <f>IF($A340&lt;&gt;"",'All Cases - Enter Cases'!G340,"")</f>
        <v/>
      </c>
      <c r="H340" t="str">
        <f>IF($A340&lt;&gt;"",'All Cases - Enter Cases'!H340,"")</f>
        <v/>
      </c>
      <c r="I340" t="str">
        <f>IF($A340&lt;&gt;"",'All Cases - Enter Cases'!I340,"")</f>
        <v/>
      </c>
      <c r="J340" t="str">
        <f>IF($A340&lt;&gt;"",'All Cases - Enter Cases'!J340,"")</f>
        <v/>
      </c>
      <c r="K340" t="str">
        <f>IF($A340&lt;&gt;"",'All Cases - Enter Cases'!K340,"")</f>
        <v/>
      </c>
      <c r="L340" t="str">
        <f>IF($A340&lt;&gt;"",'All Cases - Enter Cases'!L340,"")</f>
        <v/>
      </c>
      <c r="M340" t="str">
        <f>IF($A340&lt;&gt;"",'All Cases - Enter Cases'!M340,"")</f>
        <v/>
      </c>
    </row>
    <row r="341" spans="1:13" x14ac:dyDescent="0.35">
      <c r="A341" t="str">
        <f>IF('All Cases - Enter Cases'!$F341="Balochistan",'All Cases - Enter Cases'!A341,"")</f>
        <v/>
      </c>
      <c r="B341" t="str">
        <f>IF($A341&lt;&gt;"",'All Cases - Enter Cases'!B341,"")</f>
        <v/>
      </c>
      <c r="C341" t="str">
        <f>IF($A341&lt;&gt;"",'All Cases - Enter Cases'!C341,"")</f>
        <v/>
      </c>
      <c r="D341" t="str">
        <f>IF($A341&lt;&gt;"",'All Cases - Enter Cases'!D341,"")</f>
        <v/>
      </c>
      <c r="E341" t="str">
        <f>IF($A341&lt;&gt;"",'All Cases - Enter Cases'!E341,"")</f>
        <v/>
      </c>
      <c r="F341" t="str">
        <f>IF($A341&lt;&gt;"",'All Cases - Enter Cases'!F341,"")</f>
        <v/>
      </c>
      <c r="G341" t="str">
        <f>IF($A341&lt;&gt;"",'All Cases - Enter Cases'!G341,"")</f>
        <v/>
      </c>
      <c r="H341" t="str">
        <f>IF($A341&lt;&gt;"",'All Cases - Enter Cases'!H341,"")</f>
        <v/>
      </c>
      <c r="I341" t="str">
        <f>IF($A341&lt;&gt;"",'All Cases - Enter Cases'!I341,"")</f>
        <v/>
      </c>
      <c r="J341" t="str">
        <f>IF($A341&lt;&gt;"",'All Cases - Enter Cases'!J341,"")</f>
        <v/>
      </c>
      <c r="K341" t="str">
        <f>IF($A341&lt;&gt;"",'All Cases - Enter Cases'!K341,"")</f>
        <v/>
      </c>
      <c r="L341" t="str">
        <f>IF($A341&lt;&gt;"",'All Cases - Enter Cases'!L341,"")</f>
        <v/>
      </c>
      <c r="M341" t="str">
        <f>IF($A341&lt;&gt;"",'All Cases - Enter Cases'!M341,"")</f>
        <v/>
      </c>
    </row>
    <row r="342" spans="1:13" x14ac:dyDescent="0.35">
      <c r="A342" t="str">
        <f>IF('All Cases - Enter Cases'!$F342="Balochistan",'All Cases - Enter Cases'!A342,"")</f>
        <v/>
      </c>
      <c r="B342" t="str">
        <f>IF($A342&lt;&gt;"",'All Cases - Enter Cases'!B342,"")</f>
        <v/>
      </c>
      <c r="C342" t="str">
        <f>IF($A342&lt;&gt;"",'All Cases - Enter Cases'!C342,"")</f>
        <v/>
      </c>
      <c r="D342" t="str">
        <f>IF($A342&lt;&gt;"",'All Cases - Enter Cases'!D342,"")</f>
        <v/>
      </c>
      <c r="E342" t="str">
        <f>IF($A342&lt;&gt;"",'All Cases - Enter Cases'!E342,"")</f>
        <v/>
      </c>
      <c r="F342" t="str">
        <f>IF($A342&lt;&gt;"",'All Cases - Enter Cases'!F342,"")</f>
        <v/>
      </c>
      <c r="G342" t="str">
        <f>IF($A342&lt;&gt;"",'All Cases - Enter Cases'!G342,"")</f>
        <v/>
      </c>
      <c r="H342" t="str">
        <f>IF($A342&lt;&gt;"",'All Cases - Enter Cases'!H342,"")</f>
        <v/>
      </c>
      <c r="I342" t="str">
        <f>IF($A342&lt;&gt;"",'All Cases - Enter Cases'!I342,"")</f>
        <v/>
      </c>
      <c r="J342" t="str">
        <f>IF($A342&lt;&gt;"",'All Cases - Enter Cases'!J342,"")</f>
        <v/>
      </c>
      <c r="K342" t="str">
        <f>IF($A342&lt;&gt;"",'All Cases - Enter Cases'!K342,"")</f>
        <v/>
      </c>
      <c r="L342" t="str">
        <f>IF($A342&lt;&gt;"",'All Cases - Enter Cases'!L342,"")</f>
        <v/>
      </c>
      <c r="M342" t="str">
        <f>IF($A342&lt;&gt;"",'All Cases - Enter Cases'!M342,"")</f>
        <v/>
      </c>
    </row>
    <row r="343" spans="1:13" x14ac:dyDescent="0.35">
      <c r="A343" t="str">
        <f>IF('All Cases - Enter Cases'!$F343="Balochistan",'All Cases - Enter Cases'!A343,"")</f>
        <v/>
      </c>
      <c r="B343" t="str">
        <f>IF($A343&lt;&gt;"",'All Cases - Enter Cases'!B343,"")</f>
        <v/>
      </c>
      <c r="C343" t="str">
        <f>IF($A343&lt;&gt;"",'All Cases - Enter Cases'!C343,"")</f>
        <v/>
      </c>
      <c r="D343" t="str">
        <f>IF($A343&lt;&gt;"",'All Cases - Enter Cases'!D343,"")</f>
        <v/>
      </c>
      <c r="E343" t="str">
        <f>IF($A343&lt;&gt;"",'All Cases - Enter Cases'!E343,"")</f>
        <v/>
      </c>
      <c r="F343" t="str">
        <f>IF($A343&lt;&gt;"",'All Cases - Enter Cases'!F343,"")</f>
        <v/>
      </c>
      <c r="G343" t="str">
        <f>IF($A343&lt;&gt;"",'All Cases - Enter Cases'!G343,"")</f>
        <v/>
      </c>
      <c r="H343" t="str">
        <f>IF($A343&lt;&gt;"",'All Cases - Enter Cases'!H343,"")</f>
        <v/>
      </c>
      <c r="I343" t="str">
        <f>IF($A343&lt;&gt;"",'All Cases - Enter Cases'!I343,"")</f>
        <v/>
      </c>
      <c r="J343" t="str">
        <f>IF($A343&lt;&gt;"",'All Cases - Enter Cases'!J343,"")</f>
        <v/>
      </c>
      <c r="K343" t="str">
        <f>IF($A343&lt;&gt;"",'All Cases - Enter Cases'!K343,"")</f>
        <v/>
      </c>
      <c r="L343" t="str">
        <f>IF($A343&lt;&gt;"",'All Cases - Enter Cases'!L343,"")</f>
        <v/>
      </c>
      <c r="M343" t="str">
        <f>IF($A343&lt;&gt;"",'All Cases - Enter Cases'!M343,"")</f>
        <v/>
      </c>
    </row>
    <row r="344" spans="1:13" x14ac:dyDescent="0.35">
      <c r="A344" t="str">
        <f>IF('All Cases - Enter Cases'!$F344="Balochistan",'All Cases - Enter Cases'!A344,"")</f>
        <v/>
      </c>
      <c r="B344" t="str">
        <f>IF($A344&lt;&gt;"",'All Cases - Enter Cases'!B344,"")</f>
        <v/>
      </c>
      <c r="C344" t="str">
        <f>IF($A344&lt;&gt;"",'All Cases - Enter Cases'!C344,"")</f>
        <v/>
      </c>
      <c r="D344" t="str">
        <f>IF($A344&lt;&gt;"",'All Cases - Enter Cases'!D344,"")</f>
        <v/>
      </c>
      <c r="E344" t="str">
        <f>IF($A344&lt;&gt;"",'All Cases - Enter Cases'!E344,"")</f>
        <v/>
      </c>
      <c r="F344" t="str">
        <f>IF($A344&lt;&gt;"",'All Cases - Enter Cases'!F344,"")</f>
        <v/>
      </c>
      <c r="G344" t="str">
        <f>IF($A344&lt;&gt;"",'All Cases - Enter Cases'!G344,"")</f>
        <v/>
      </c>
      <c r="H344" t="str">
        <f>IF($A344&lt;&gt;"",'All Cases - Enter Cases'!H344,"")</f>
        <v/>
      </c>
      <c r="I344" t="str">
        <f>IF($A344&lt;&gt;"",'All Cases - Enter Cases'!I344,"")</f>
        <v/>
      </c>
      <c r="J344" t="str">
        <f>IF($A344&lt;&gt;"",'All Cases - Enter Cases'!J344,"")</f>
        <v/>
      </c>
      <c r="K344" t="str">
        <f>IF($A344&lt;&gt;"",'All Cases - Enter Cases'!K344,"")</f>
        <v/>
      </c>
      <c r="L344" t="str">
        <f>IF($A344&lt;&gt;"",'All Cases - Enter Cases'!L344,"")</f>
        <v/>
      </c>
      <c r="M344" t="str">
        <f>IF($A344&lt;&gt;"",'All Cases - Enter Cases'!M344,"")</f>
        <v/>
      </c>
    </row>
    <row r="345" spans="1:13" x14ac:dyDescent="0.35">
      <c r="A345" t="str">
        <f>IF('All Cases - Enter Cases'!$F345="Balochistan",'All Cases - Enter Cases'!A345,"")</f>
        <v/>
      </c>
      <c r="B345" t="str">
        <f>IF($A345&lt;&gt;"",'All Cases - Enter Cases'!B345,"")</f>
        <v/>
      </c>
      <c r="C345" t="str">
        <f>IF($A345&lt;&gt;"",'All Cases - Enter Cases'!C345,"")</f>
        <v/>
      </c>
      <c r="D345" t="str">
        <f>IF($A345&lt;&gt;"",'All Cases - Enter Cases'!D345,"")</f>
        <v/>
      </c>
      <c r="E345" t="str">
        <f>IF($A345&lt;&gt;"",'All Cases - Enter Cases'!E345,"")</f>
        <v/>
      </c>
      <c r="F345" t="str">
        <f>IF($A345&lt;&gt;"",'All Cases - Enter Cases'!F345,"")</f>
        <v/>
      </c>
      <c r="G345" t="str">
        <f>IF($A345&lt;&gt;"",'All Cases - Enter Cases'!G345,"")</f>
        <v/>
      </c>
      <c r="H345" t="str">
        <f>IF($A345&lt;&gt;"",'All Cases - Enter Cases'!H345,"")</f>
        <v/>
      </c>
      <c r="I345" t="str">
        <f>IF($A345&lt;&gt;"",'All Cases - Enter Cases'!I345,"")</f>
        <v/>
      </c>
      <c r="J345" t="str">
        <f>IF($A345&lt;&gt;"",'All Cases - Enter Cases'!J345,"")</f>
        <v/>
      </c>
      <c r="K345" t="str">
        <f>IF($A345&lt;&gt;"",'All Cases - Enter Cases'!K345,"")</f>
        <v/>
      </c>
      <c r="L345" t="str">
        <f>IF($A345&lt;&gt;"",'All Cases - Enter Cases'!L345,"")</f>
        <v/>
      </c>
      <c r="M345" t="str">
        <f>IF($A345&lt;&gt;"",'All Cases - Enter Cases'!M345,"")</f>
        <v/>
      </c>
    </row>
    <row r="346" spans="1:13" x14ac:dyDescent="0.35">
      <c r="A346" t="str">
        <f>IF('All Cases - Enter Cases'!$F346="Balochistan",'All Cases - Enter Cases'!A346,"")</f>
        <v/>
      </c>
      <c r="B346" t="str">
        <f>IF($A346&lt;&gt;"",'All Cases - Enter Cases'!B346,"")</f>
        <v/>
      </c>
      <c r="C346" t="str">
        <f>IF($A346&lt;&gt;"",'All Cases - Enter Cases'!C346,"")</f>
        <v/>
      </c>
      <c r="D346" t="str">
        <f>IF($A346&lt;&gt;"",'All Cases - Enter Cases'!D346,"")</f>
        <v/>
      </c>
      <c r="E346" t="str">
        <f>IF($A346&lt;&gt;"",'All Cases - Enter Cases'!E346,"")</f>
        <v/>
      </c>
      <c r="F346" t="str">
        <f>IF($A346&lt;&gt;"",'All Cases - Enter Cases'!F346,"")</f>
        <v/>
      </c>
      <c r="G346" t="str">
        <f>IF($A346&lt;&gt;"",'All Cases - Enter Cases'!G346,"")</f>
        <v/>
      </c>
      <c r="H346" t="str">
        <f>IF($A346&lt;&gt;"",'All Cases - Enter Cases'!H346,"")</f>
        <v/>
      </c>
      <c r="I346" t="str">
        <f>IF($A346&lt;&gt;"",'All Cases - Enter Cases'!I346,"")</f>
        <v/>
      </c>
      <c r="J346" t="str">
        <f>IF($A346&lt;&gt;"",'All Cases - Enter Cases'!J346,"")</f>
        <v/>
      </c>
      <c r="K346" t="str">
        <f>IF($A346&lt;&gt;"",'All Cases - Enter Cases'!K346,"")</f>
        <v/>
      </c>
      <c r="L346" t="str">
        <f>IF($A346&lt;&gt;"",'All Cases - Enter Cases'!L346,"")</f>
        <v/>
      </c>
      <c r="M346" t="str">
        <f>IF($A346&lt;&gt;"",'All Cases - Enter Cases'!M346,"")</f>
        <v/>
      </c>
    </row>
    <row r="347" spans="1:13" x14ac:dyDescent="0.35">
      <c r="A347" t="str">
        <f>IF('All Cases - Enter Cases'!$F347="Balochistan",'All Cases - Enter Cases'!A347,"")</f>
        <v/>
      </c>
      <c r="B347" t="str">
        <f>IF($A347&lt;&gt;"",'All Cases - Enter Cases'!B347,"")</f>
        <v/>
      </c>
      <c r="C347" t="str">
        <f>IF($A347&lt;&gt;"",'All Cases - Enter Cases'!C347,"")</f>
        <v/>
      </c>
      <c r="D347" t="str">
        <f>IF($A347&lt;&gt;"",'All Cases - Enter Cases'!D347,"")</f>
        <v/>
      </c>
      <c r="E347" t="str">
        <f>IF($A347&lt;&gt;"",'All Cases - Enter Cases'!E347,"")</f>
        <v/>
      </c>
      <c r="F347" t="str">
        <f>IF($A347&lt;&gt;"",'All Cases - Enter Cases'!F347,"")</f>
        <v/>
      </c>
      <c r="G347" t="str">
        <f>IF($A347&lt;&gt;"",'All Cases - Enter Cases'!G347,"")</f>
        <v/>
      </c>
      <c r="H347" t="str">
        <f>IF($A347&lt;&gt;"",'All Cases - Enter Cases'!H347,"")</f>
        <v/>
      </c>
      <c r="I347" t="str">
        <f>IF($A347&lt;&gt;"",'All Cases - Enter Cases'!I347,"")</f>
        <v/>
      </c>
      <c r="J347" t="str">
        <f>IF($A347&lt;&gt;"",'All Cases - Enter Cases'!J347,"")</f>
        <v/>
      </c>
      <c r="K347" t="str">
        <f>IF($A347&lt;&gt;"",'All Cases - Enter Cases'!K347,"")</f>
        <v/>
      </c>
      <c r="L347" t="str">
        <f>IF($A347&lt;&gt;"",'All Cases - Enter Cases'!L347,"")</f>
        <v/>
      </c>
      <c r="M347" t="str">
        <f>IF($A347&lt;&gt;"",'All Cases - Enter Cases'!M347,"")</f>
        <v/>
      </c>
    </row>
    <row r="348" spans="1:13" x14ac:dyDescent="0.35">
      <c r="A348" t="str">
        <f>IF('All Cases - Enter Cases'!$F348="Balochistan",'All Cases - Enter Cases'!A348,"")</f>
        <v/>
      </c>
      <c r="B348" t="str">
        <f>IF($A348&lt;&gt;"",'All Cases - Enter Cases'!B348,"")</f>
        <v/>
      </c>
      <c r="C348" t="str">
        <f>IF($A348&lt;&gt;"",'All Cases - Enter Cases'!C348,"")</f>
        <v/>
      </c>
      <c r="D348" t="str">
        <f>IF($A348&lt;&gt;"",'All Cases - Enter Cases'!D348,"")</f>
        <v/>
      </c>
      <c r="E348" t="str">
        <f>IF($A348&lt;&gt;"",'All Cases - Enter Cases'!E348,"")</f>
        <v/>
      </c>
      <c r="F348" t="str">
        <f>IF($A348&lt;&gt;"",'All Cases - Enter Cases'!F348,"")</f>
        <v/>
      </c>
      <c r="G348" t="str">
        <f>IF($A348&lt;&gt;"",'All Cases - Enter Cases'!G348,"")</f>
        <v/>
      </c>
      <c r="H348" t="str">
        <f>IF($A348&lt;&gt;"",'All Cases - Enter Cases'!H348,"")</f>
        <v/>
      </c>
      <c r="I348" t="str">
        <f>IF($A348&lt;&gt;"",'All Cases - Enter Cases'!I348,"")</f>
        <v/>
      </c>
      <c r="J348" t="str">
        <f>IF($A348&lt;&gt;"",'All Cases - Enter Cases'!J348,"")</f>
        <v/>
      </c>
      <c r="K348" t="str">
        <f>IF($A348&lt;&gt;"",'All Cases - Enter Cases'!K348,"")</f>
        <v/>
      </c>
      <c r="L348" t="str">
        <f>IF($A348&lt;&gt;"",'All Cases - Enter Cases'!L348,"")</f>
        <v/>
      </c>
      <c r="M348" t="str">
        <f>IF($A348&lt;&gt;"",'All Cases - Enter Cases'!M348,"")</f>
        <v/>
      </c>
    </row>
    <row r="349" spans="1:13" x14ac:dyDescent="0.35">
      <c r="A349" t="str">
        <f>IF('All Cases - Enter Cases'!$F349="Balochistan",'All Cases - Enter Cases'!A349,"")</f>
        <v/>
      </c>
      <c r="B349" t="str">
        <f>IF($A349&lt;&gt;"",'All Cases - Enter Cases'!B349,"")</f>
        <v/>
      </c>
      <c r="C349" t="str">
        <f>IF($A349&lt;&gt;"",'All Cases - Enter Cases'!C349,"")</f>
        <v/>
      </c>
      <c r="D349" t="str">
        <f>IF($A349&lt;&gt;"",'All Cases - Enter Cases'!D349,"")</f>
        <v/>
      </c>
      <c r="E349" t="str">
        <f>IF($A349&lt;&gt;"",'All Cases - Enter Cases'!E349,"")</f>
        <v/>
      </c>
      <c r="F349" t="str">
        <f>IF($A349&lt;&gt;"",'All Cases - Enter Cases'!F349,"")</f>
        <v/>
      </c>
      <c r="G349" t="str">
        <f>IF($A349&lt;&gt;"",'All Cases - Enter Cases'!G349,"")</f>
        <v/>
      </c>
      <c r="H349" t="str">
        <f>IF($A349&lt;&gt;"",'All Cases - Enter Cases'!H349,"")</f>
        <v/>
      </c>
      <c r="I349" t="str">
        <f>IF($A349&lt;&gt;"",'All Cases - Enter Cases'!I349,"")</f>
        <v/>
      </c>
      <c r="J349" t="str">
        <f>IF($A349&lt;&gt;"",'All Cases - Enter Cases'!J349,"")</f>
        <v/>
      </c>
      <c r="K349" t="str">
        <f>IF($A349&lt;&gt;"",'All Cases - Enter Cases'!K349,"")</f>
        <v/>
      </c>
      <c r="L349" t="str">
        <f>IF($A349&lt;&gt;"",'All Cases - Enter Cases'!L349,"")</f>
        <v/>
      </c>
      <c r="M349" t="str">
        <f>IF($A349&lt;&gt;"",'All Cases - Enter Cases'!M349,"")</f>
        <v/>
      </c>
    </row>
    <row r="350" spans="1:13" x14ac:dyDescent="0.35">
      <c r="A350" t="str">
        <f>IF('All Cases - Enter Cases'!$F350="Balochistan",'All Cases - Enter Cases'!A350,"")</f>
        <v/>
      </c>
      <c r="B350" t="str">
        <f>IF($A350&lt;&gt;"",'All Cases - Enter Cases'!B350,"")</f>
        <v/>
      </c>
      <c r="C350" t="str">
        <f>IF($A350&lt;&gt;"",'All Cases - Enter Cases'!C350,"")</f>
        <v/>
      </c>
      <c r="D350" t="str">
        <f>IF($A350&lt;&gt;"",'All Cases - Enter Cases'!D350,"")</f>
        <v/>
      </c>
      <c r="E350" t="str">
        <f>IF($A350&lt;&gt;"",'All Cases - Enter Cases'!E350,"")</f>
        <v/>
      </c>
      <c r="F350" t="str">
        <f>IF($A350&lt;&gt;"",'All Cases - Enter Cases'!F350,"")</f>
        <v/>
      </c>
      <c r="G350" t="str">
        <f>IF($A350&lt;&gt;"",'All Cases - Enter Cases'!G350,"")</f>
        <v/>
      </c>
      <c r="H350" t="str">
        <f>IF($A350&lt;&gt;"",'All Cases - Enter Cases'!H350,"")</f>
        <v/>
      </c>
      <c r="I350" t="str">
        <f>IF($A350&lt;&gt;"",'All Cases - Enter Cases'!I350,"")</f>
        <v/>
      </c>
      <c r="J350" t="str">
        <f>IF($A350&lt;&gt;"",'All Cases - Enter Cases'!J350,"")</f>
        <v/>
      </c>
      <c r="K350" t="str">
        <f>IF($A350&lt;&gt;"",'All Cases - Enter Cases'!K350,"")</f>
        <v/>
      </c>
      <c r="L350" t="str">
        <f>IF($A350&lt;&gt;"",'All Cases - Enter Cases'!L350,"")</f>
        <v/>
      </c>
      <c r="M350" t="str">
        <f>IF($A350&lt;&gt;"",'All Cases - Enter Cases'!M350,"")</f>
        <v/>
      </c>
    </row>
    <row r="351" spans="1:13" x14ac:dyDescent="0.35">
      <c r="A351" t="str">
        <f>IF('All Cases - Enter Cases'!$F351="Balochistan",'All Cases - Enter Cases'!A351,"")</f>
        <v/>
      </c>
      <c r="B351" t="str">
        <f>IF($A351&lt;&gt;"",'All Cases - Enter Cases'!B351,"")</f>
        <v/>
      </c>
      <c r="C351" t="str">
        <f>IF($A351&lt;&gt;"",'All Cases - Enter Cases'!C351,"")</f>
        <v/>
      </c>
      <c r="D351" t="str">
        <f>IF($A351&lt;&gt;"",'All Cases - Enter Cases'!D351,"")</f>
        <v/>
      </c>
      <c r="E351" t="str">
        <f>IF($A351&lt;&gt;"",'All Cases - Enter Cases'!E351,"")</f>
        <v/>
      </c>
      <c r="F351" t="str">
        <f>IF($A351&lt;&gt;"",'All Cases - Enter Cases'!F351,"")</f>
        <v/>
      </c>
      <c r="G351" t="str">
        <f>IF($A351&lt;&gt;"",'All Cases - Enter Cases'!G351,"")</f>
        <v/>
      </c>
      <c r="H351" t="str">
        <f>IF($A351&lt;&gt;"",'All Cases - Enter Cases'!H351,"")</f>
        <v/>
      </c>
      <c r="I351" t="str">
        <f>IF($A351&lt;&gt;"",'All Cases - Enter Cases'!I351,"")</f>
        <v/>
      </c>
      <c r="J351" t="str">
        <f>IF($A351&lt;&gt;"",'All Cases - Enter Cases'!J351,"")</f>
        <v/>
      </c>
      <c r="K351" t="str">
        <f>IF($A351&lt;&gt;"",'All Cases - Enter Cases'!K351,"")</f>
        <v/>
      </c>
      <c r="L351" t="str">
        <f>IF($A351&lt;&gt;"",'All Cases - Enter Cases'!L351,"")</f>
        <v/>
      </c>
      <c r="M351" t="str">
        <f>IF($A351&lt;&gt;"",'All Cases - Enter Cases'!M351,"")</f>
        <v/>
      </c>
    </row>
    <row r="352" spans="1:13" x14ac:dyDescent="0.35">
      <c r="A352" t="str">
        <f>IF('All Cases - Enter Cases'!$F352="Balochistan",'All Cases - Enter Cases'!A352,"")</f>
        <v/>
      </c>
      <c r="B352" t="str">
        <f>IF($A352&lt;&gt;"",'All Cases - Enter Cases'!B352,"")</f>
        <v/>
      </c>
      <c r="C352" t="str">
        <f>IF($A352&lt;&gt;"",'All Cases - Enter Cases'!C352,"")</f>
        <v/>
      </c>
      <c r="D352" t="str">
        <f>IF($A352&lt;&gt;"",'All Cases - Enter Cases'!D352,"")</f>
        <v/>
      </c>
      <c r="E352" t="str">
        <f>IF($A352&lt;&gt;"",'All Cases - Enter Cases'!E352,"")</f>
        <v/>
      </c>
      <c r="F352" t="str">
        <f>IF($A352&lt;&gt;"",'All Cases - Enter Cases'!F352,"")</f>
        <v/>
      </c>
      <c r="G352" t="str">
        <f>IF($A352&lt;&gt;"",'All Cases - Enter Cases'!G352,"")</f>
        <v/>
      </c>
      <c r="H352" t="str">
        <f>IF($A352&lt;&gt;"",'All Cases - Enter Cases'!H352,"")</f>
        <v/>
      </c>
      <c r="I352" t="str">
        <f>IF($A352&lt;&gt;"",'All Cases - Enter Cases'!I352,"")</f>
        <v/>
      </c>
      <c r="J352" t="str">
        <f>IF($A352&lt;&gt;"",'All Cases - Enter Cases'!J352,"")</f>
        <v/>
      </c>
      <c r="K352" t="str">
        <f>IF($A352&lt;&gt;"",'All Cases - Enter Cases'!K352,"")</f>
        <v/>
      </c>
      <c r="L352" t="str">
        <f>IF($A352&lt;&gt;"",'All Cases - Enter Cases'!L352,"")</f>
        <v/>
      </c>
      <c r="M352" t="str">
        <f>IF($A352&lt;&gt;"",'All Cases - Enter Cases'!M352,"")</f>
        <v/>
      </c>
    </row>
    <row r="353" spans="1:13" x14ac:dyDescent="0.35">
      <c r="A353" t="str">
        <f>IF('All Cases - Enter Cases'!$F353="Balochistan",'All Cases - Enter Cases'!A353,"")</f>
        <v/>
      </c>
      <c r="B353" t="str">
        <f>IF($A353&lt;&gt;"",'All Cases - Enter Cases'!B353,"")</f>
        <v/>
      </c>
      <c r="C353" t="str">
        <f>IF($A353&lt;&gt;"",'All Cases - Enter Cases'!C353,"")</f>
        <v/>
      </c>
      <c r="D353" t="str">
        <f>IF($A353&lt;&gt;"",'All Cases - Enter Cases'!D353,"")</f>
        <v/>
      </c>
      <c r="E353" t="str">
        <f>IF($A353&lt;&gt;"",'All Cases - Enter Cases'!E353,"")</f>
        <v/>
      </c>
      <c r="F353" t="str">
        <f>IF($A353&lt;&gt;"",'All Cases - Enter Cases'!F353,"")</f>
        <v/>
      </c>
      <c r="G353" t="str">
        <f>IF($A353&lt;&gt;"",'All Cases - Enter Cases'!G353,"")</f>
        <v/>
      </c>
      <c r="H353" t="str">
        <f>IF($A353&lt;&gt;"",'All Cases - Enter Cases'!H353,"")</f>
        <v/>
      </c>
      <c r="I353" t="str">
        <f>IF($A353&lt;&gt;"",'All Cases - Enter Cases'!I353,"")</f>
        <v/>
      </c>
      <c r="J353" t="str">
        <f>IF($A353&lt;&gt;"",'All Cases - Enter Cases'!J353,"")</f>
        <v/>
      </c>
      <c r="K353" t="str">
        <f>IF($A353&lt;&gt;"",'All Cases - Enter Cases'!K353,"")</f>
        <v/>
      </c>
      <c r="L353" t="str">
        <f>IF($A353&lt;&gt;"",'All Cases - Enter Cases'!L353,"")</f>
        <v/>
      </c>
      <c r="M353" t="str">
        <f>IF($A353&lt;&gt;"",'All Cases - Enter Cases'!M353,"")</f>
        <v/>
      </c>
    </row>
    <row r="354" spans="1:13" x14ac:dyDescent="0.35">
      <c r="A354" t="str">
        <f>IF('All Cases - Enter Cases'!$F354="Balochistan",'All Cases - Enter Cases'!A354,"")</f>
        <v/>
      </c>
      <c r="B354" t="str">
        <f>IF($A354&lt;&gt;"",'All Cases - Enter Cases'!B354,"")</f>
        <v/>
      </c>
      <c r="C354" t="str">
        <f>IF($A354&lt;&gt;"",'All Cases - Enter Cases'!C354,"")</f>
        <v/>
      </c>
      <c r="D354" t="str">
        <f>IF($A354&lt;&gt;"",'All Cases - Enter Cases'!D354,"")</f>
        <v/>
      </c>
      <c r="E354" t="str">
        <f>IF($A354&lt;&gt;"",'All Cases - Enter Cases'!E354,"")</f>
        <v/>
      </c>
      <c r="F354" t="str">
        <f>IF($A354&lt;&gt;"",'All Cases - Enter Cases'!F354,"")</f>
        <v/>
      </c>
      <c r="G354" t="str">
        <f>IF($A354&lt;&gt;"",'All Cases - Enter Cases'!G354,"")</f>
        <v/>
      </c>
      <c r="H354" t="str">
        <f>IF($A354&lt;&gt;"",'All Cases - Enter Cases'!H354,"")</f>
        <v/>
      </c>
      <c r="I354" t="str">
        <f>IF($A354&lt;&gt;"",'All Cases - Enter Cases'!I354,"")</f>
        <v/>
      </c>
      <c r="J354" t="str">
        <f>IF($A354&lt;&gt;"",'All Cases - Enter Cases'!J354,"")</f>
        <v/>
      </c>
      <c r="K354" t="str">
        <f>IF($A354&lt;&gt;"",'All Cases - Enter Cases'!K354,"")</f>
        <v/>
      </c>
      <c r="L354" t="str">
        <f>IF($A354&lt;&gt;"",'All Cases - Enter Cases'!L354,"")</f>
        <v/>
      </c>
      <c r="M354" t="str">
        <f>IF($A354&lt;&gt;"",'All Cases - Enter Cases'!M354,"")</f>
        <v/>
      </c>
    </row>
    <row r="355" spans="1:13" x14ac:dyDescent="0.35">
      <c r="A355" t="str">
        <f>IF('All Cases - Enter Cases'!$F355="Balochistan",'All Cases - Enter Cases'!A355,"")</f>
        <v/>
      </c>
      <c r="B355" t="str">
        <f>IF($A355&lt;&gt;"",'All Cases - Enter Cases'!B355,"")</f>
        <v/>
      </c>
      <c r="C355" t="str">
        <f>IF($A355&lt;&gt;"",'All Cases - Enter Cases'!C355,"")</f>
        <v/>
      </c>
      <c r="D355" t="str">
        <f>IF($A355&lt;&gt;"",'All Cases - Enter Cases'!D355,"")</f>
        <v/>
      </c>
      <c r="E355" t="str">
        <f>IF($A355&lt;&gt;"",'All Cases - Enter Cases'!E355,"")</f>
        <v/>
      </c>
      <c r="F355" t="str">
        <f>IF($A355&lt;&gt;"",'All Cases - Enter Cases'!F355,"")</f>
        <v/>
      </c>
      <c r="G355" t="str">
        <f>IF($A355&lt;&gt;"",'All Cases - Enter Cases'!G355,"")</f>
        <v/>
      </c>
      <c r="H355" t="str">
        <f>IF($A355&lt;&gt;"",'All Cases - Enter Cases'!H355,"")</f>
        <v/>
      </c>
      <c r="I355" t="str">
        <f>IF($A355&lt;&gt;"",'All Cases - Enter Cases'!I355,"")</f>
        <v/>
      </c>
      <c r="J355" t="str">
        <f>IF($A355&lt;&gt;"",'All Cases - Enter Cases'!J355,"")</f>
        <v/>
      </c>
      <c r="K355" t="str">
        <f>IF($A355&lt;&gt;"",'All Cases - Enter Cases'!K355,"")</f>
        <v/>
      </c>
      <c r="L355" t="str">
        <f>IF($A355&lt;&gt;"",'All Cases - Enter Cases'!L355,"")</f>
        <v/>
      </c>
      <c r="M355" t="str">
        <f>IF($A355&lt;&gt;"",'All Cases - Enter Cases'!M355,"")</f>
        <v/>
      </c>
    </row>
    <row r="356" spans="1:13" x14ac:dyDescent="0.35">
      <c r="A356" t="str">
        <f>IF('All Cases - Enter Cases'!$F356="Balochistan",'All Cases - Enter Cases'!A356,"")</f>
        <v/>
      </c>
      <c r="B356" t="str">
        <f>IF($A356&lt;&gt;"",'All Cases - Enter Cases'!B356,"")</f>
        <v/>
      </c>
      <c r="C356" t="str">
        <f>IF($A356&lt;&gt;"",'All Cases - Enter Cases'!C356,"")</f>
        <v/>
      </c>
      <c r="D356" t="str">
        <f>IF($A356&lt;&gt;"",'All Cases - Enter Cases'!D356,"")</f>
        <v/>
      </c>
      <c r="E356" t="str">
        <f>IF($A356&lt;&gt;"",'All Cases - Enter Cases'!E356,"")</f>
        <v/>
      </c>
      <c r="F356" t="str">
        <f>IF($A356&lt;&gt;"",'All Cases - Enter Cases'!F356,"")</f>
        <v/>
      </c>
      <c r="G356" t="str">
        <f>IF($A356&lt;&gt;"",'All Cases - Enter Cases'!G356,"")</f>
        <v/>
      </c>
      <c r="H356" t="str">
        <f>IF($A356&lt;&gt;"",'All Cases - Enter Cases'!H356,"")</f>
        <v/>
      </c>
      <c r="I356" t="str">
        <f>IF($A356&lt;&gt;"",'All Cases - Enter Cases'!I356,"")</f>
        <v/>
      </c>
      <c r="J356" t="str">
        <f>IF($A356&lt;&gt;"",'All Cases - Enter Cases'!J356,"")</f>
        <v/>
      </c>
      <c r="K356" t="str">
        <f>IF($A356&lt;&gt;"",'All Cases - Enter Cases'!K356,"")</f>
        <v/>
      </c>
      <c r="L356" t="str">
        <f>IF($A356&lt;&gt;"",'All Cases - Enter Cases'!L356,"")</f>
        <v/>
      </c>
      <c r="M356" t="str">
        <f>IF($A356&lt;&gt;"",'All Cases - Enter Cases'!M356,"")</f>
        <v/>
      </c>
    </row>
    <row r="357" spans="1:13" x14ac:dyDescent="0.35">
      <c r="A357" t="str">
        <f>IF('All Cases - Enter Cases'!$F357="Balochistan",'All Cases - Enter Cases'!A357,"")</f>
        <v/>
      </c>
      <c r="B357" t="str">
        <f>IF($A357&lt;&gt;"",'All Cases - Enter Cases'!B357,"")</f>
        <v/>
      </c>
      <c r="C357" t="str">
        <f>IF($A357&lt;&gt;"",'All Cases - Enter Cases'!C357,"")</f>
        <v/>
      </c>
      <c r="D357" t="str">
        <f>IF($A357&lt;&gt;"",'All Cases - Enter Cases'!D357,"")</f>
        <v/>
      </c>
      <c r="E357" t="str">
        <f>IF($A357&lt;&gt;"",'All Cases - Enter Cases'!E357,"")</f>
        <v/>
      </c>
      <c r="F357" t="str">
        <f>IF($A357&lt;&gt;"",'All Cases - Enter Cases'!F357,"")</f>
        <v/>
      </c>
      <c r="G357" t="str">
        <f>IF($A357&lt;&gt;"",'All Cases - Enter Cases'!G357,"")</f>
        <v/>
      </c>
      <c r="H357" t="str">
        <f>IF($A357&lt;&gt;"",'All Cases - Enter Cases'!H357,"")</f>
        <v/>
      </c>
      <c r="I357" t="str">
        <f>IF($A357&lt;&gt;"",'All Cases - Enter Cases'!I357,"")</f>
        <v/>
      </c>
      <c r="J357" t="str">
        <f>IF($A357&lt;&gt;"",'All Cases - Enter Cases'!J357,"")</f>
        <v/>
      </c>
      <c r="K357" t="str">
        <f>IF($A357&lt;&gt;"",'All Cases - Enter Cases'!K357,"")</f>
        <v/>
      </c>
      <c r="L357" t="str">
        <f>IF($A357&lt;&gt;"",'All Cases - Enter Cases'!L357,"")</f>
        <v/>
      </c>
      <c r="M357" t="str">
        <f>IF($A357&lt;&gt;"",'All Cases - Enter Cases'!M357,"")</f>
        <v/>
      </c>
    </row>
    <row r="358" spans="1:13" x14ac:dyDescent="0.35">
      <c r="A358" t="str">
        <f>IF('All Cases - Enter Cases'!$F358="Balochistan",'All Cases - Enter Cases'!A358,"")</f>
        <v/>
      </c>
      <c r="B358" t="str">
        <f>IF($A358&lt;&gt;"",'All Cases - Enter Cases'!B358,"")</f>
        <v/>
      </c>
      <c r="C358" t="str">
        <f>IF($A358&lt;&gt;"",'All Cases - Enter Cases'!C358,"")</f>
        <v/>
      </c>
      <c r="D358" t="str">
        <f>IF($A358&lt;&gt;"",'All Cases - Enter Cases'!D358,"")</f>
        <v/>
      </c>
      <c r="E358" t="str">
        <f>IF($A358&lt;&gt;"",'All Cases - Enter Cases'!E358,"")</f>
        <v/>
      </c>
      <c r="F358" t="str">
        <f>IF($A358&lt;&gt;"",'All Cases - Enter Cases'!F358,"")</f>
        <v/>
      </c>
      <c r="G358" t="str">
        <f>IF($A358&lt;&gt;"",'All Cases - Enter Cases'!G358,"")</f>
        <v/>
      </c>
      <c r="H358" t="str">
        <f>IF($A358&lt;&gt;"",'All Cases - Enter Cases'!H358,"")</f>
        <v/>
      </c>
      <c r="I358" t="str">
        <f>IF($A358&lt;&gt;"",'All Cases - Enter Cases'!I358,"")</f>
        <v/>
      </c>
      <c r="J358" t="str">
        <f>IF($A358&lt;&gt;"",'All Cases - Enter Cases'!J358,"")</f>
        <v/>
      </c>
      <c r="K358" t="str">
        <f>IF($A358&lt;&gt;"",'All Cases - Enter Cases'!K358,"")</f>
        <v/>
      </c>
      <c r="L358" t="str">
        <f>IF($A358&lt;&gt;"",'All Cases - Enter Cases'!L358,"")</f>
        <v/>
      </c>
      <c r="M358" t="str">
        <f>IF($A358&lt;&gt;"",'All Cases - Enter Cases'!M358,"")</f>
        <v/>
      </c>
    </row>
    <row r="359" spans="1:13" x14ac:dyDescent="0.35">
      <c r="A359" t="str">
        <f>IF('All Cases - Enter Cases'!$F359="Balochistan",'All Cases - Enter Cases'!A359,"")</f>
        <v/>
      </c>
      <c r="B359" t="str">
        <f>IF($A359&lt;&gt;"",'All Cases - Enter Cases'!B359,"")</f>
        <v/>
      </c>
      <c r="C359" t="str">
        <f>IF($A359&lt;&gt;"",'All Cases - Enter Cases'!C359,"")</f>
        <v/>
      </c>
      <c r="D359" t="str">
        <f>IF($A359&lt;&gt;"",'All Cases - Enter Cases'!D359,"")</f>
        <v/>
      </c>
      <c r="E359" t="str">
        <f>IF($A359&lt;&gt;"",'All Cases - Enter Cases'!E359,"")</f>
        <v/>
      </c>
      <c r="F359" t="str">
        <f>IF($A359&lt;&gt;"",'All Cases - Enter Cases'!F359,"")</f>
        <v/>
      </c>
      <c r="G359" t="str">
        <f>IF($A359&lt;&gt;"",'All Cases - Enter Cases'!G359,"")</f>
        <v/>
      </c>
      <c r="H359" t="str">
        <f>IF($A359&lt;&gt;"",'All Cases - Enter Cases'!H359,"")</f>
        <v/>
      </c>
      <c r="I359" t="str">
        <f>IF($A359&lt;&gt;"",'All Cases - Enter Cases'!I359,"")</f>
        <v/>
      </c>
      <c r="J359" t="str">
        <f>IF($A359&lt;&gt;"",'All Cases - Enter Cases'!J359,"")</f>
        <v/>
      </c>
      <c r="K359" t="str">
        <f>IF($A359&lt;&gt;"",'All Cases - Enter Cases'!K359,"")</f>
        <v/>
      </c>
      <c r="L359" t="str">
        <f>IF($A359&lt;&gt;"",'All Cases - Enter Cases'!L359,"")</f>
        <v/>
      </c>
      <c r="M359" t="str">
        <f>IF($A359&lt;&gt;"",'All Cases - Enter Cases'!M359,"")</f>
        <v/>
      </c>
    </row>
    <row r="360" spans="1:13" x14ac:dyDescent="0.35">
      <c r="A360" t="str">
        <f>IF('All Cases - Enter Cases'!$F360="Balochistan",'All Cases - Enter Cases'!A360,"")</f>
        <v/>
      </c>
      <c r="B360" t="str">
        <f>IF($A360&lt;&gt;"",'All Cases - Enter Cases'!B360,"")</f>
        <v/>
      </c>
      <c r="C360" t="str">
        <f>IF($A360&lt;&gt;"",'All Cases - Enter Cases'!C360,"")</f>
        <v/>
      </c>
      <c r="D360" t="str">
        <f>IF($A360&lt;&gt;"",'All Cases - Enter Cases'!D360,"")</f>
        <v/>
      </c>
      <c r="E360" t="str">
        <f>IF($A360&lt;&gt;"",'All Cases - Enter Cases'!E360,"")</f>
        <v/>
      </c>
      <c r="F360" t="str">
        <f>IF($A360&lt;&gt;"",'All Cases - Enter Cases'!F360,"")</f>
        <v/>
      </c>
      <c r="G360" t="str">
        <f>IF($A360&lt;&gt;"",'All Cases - Enter Cases'!G360,"")</f>
        <v/>
      </c>
      <c r="H360" t="str">
        <f>IF($A360&lt;&gt;"",'All Cases - Enter Cases'!H360,"")</f>
        <v/>
      </c>
      <c r="I360" t="str">
        <f>IF($A360&lt;&gt;"",'All Cases - Enter Cases'!I360,"")</f>
        <v/>
      </c>
      <c r="J360" t="str">
        <f>IF($A360&lt;&gt;"",'All Cases - Enter Cases'!J360,"")</f>
        <v/>
      </c>
      <c r="K360" t="str">
        <f>IF($A360&lt;&gt;"",'All Cases - Enter Cases'!K360,"")</f>
        <v/>
      </c>
      <c r="L360" t="str">
        <f>IF($A360&lt;&gt;"",'All Cases - Enter Cases'!L360,"")</f>
        <v/>
      </c>
      <c r="M360" t="str">
        <f>IF($A360&lt;&gt;"",'All Cases - Enter Cases'!M360,"")</f>
        <v/>
      </c>
    </row>
    <row r="361" spans="1:13" x14ac:dyDescent="0.35">
      <c r="A361" t="str">
        <f>IF('All Cases - Enter Cases'!$F361="Balochistan",'All Cases - Enter Cases'!A361,"")</f>
        <v/>
      </c>
      <c r="B361" t="str">
        <f>IF($A361&lt;&gt;"",'All Cases - Enter Cases'!B361,"")</f>
        <v/>
      </c>
      <c r="C361" t="str">
        <f>IF($A361&lt;&gt;"",'All Cases - Enter Cases'!C361,"")</f>
        <v/>
      </c>
      <c r="D361" t="str">
        <f>IF($A361&lt;&gt;"",'All Cases - Enter Cases'!D361,"")</f>
        <v/>
      </c>
      <c r="E361" t="str">
        <f>IF($A361&lt;&gt;"",'All Cases - Enter Cases'!E361,"")</f>
        <v/>
      </c>
      <c r="F361" t="str">
        <f>IF($A361&lt;&gt;"",'All Cases - Enter Cases'!F361,"")</f>
        <v/>
      </c>
      <c r="G361" t="str">
        <f>IF($A361&lt;&gt;"",'All Cases - Enter Cases'!G361,"")</f>
        <v/>
      </c>
      <c r="H361" t="str">
        <f>IF($A361&lt;&gt;"",'All Cases - Enter Cases'!H361,"")</f>
        <v/>
      </c>
      <c r="I361" t="str">
        <f>IF($A361&lt;&gt;"",'All Cases - Enter Cases'!I361,"")</f>
        <v/>
      </c>
      <c r="J361" t="str">
        <f>IF($A361&lt;&gt;"",'All Cases - Enter Cases'!J361,"")</f>
        <v/>
      </c>
      <c r="K361" t="str">
        <f>IF($A361&lt;&gt;"",'All Cases - Enter Cases'!K361,"")</f>
        <v/>
      </c>
      <c r="L361" t="str">
        <f>IF($A361&lt;&gt;"",'All Cases - Enter Cases'!L361,"")</f>
        <v/>
      </c>
      <c r="M361" t="str">
        <f>IF($A361&lt;&gt;"",'All Cases - Enter Cases'!M361,"")</f>
        <v/>
      </c>
    </row>
    <row r="362" spans="1:13" x14ac:dyDescent="0.35">
      <c r="A362" t="str">
        <f>IF('All Cases - Enter Cases'!$F362="Balochistan",'All Cases - Enter Cases'!A362,"")</f>
        <v/>
      </c>
      <c r="B362" t="str">
        <f>IF($A362&lt;&gt;"",'All Cases - Enter Cases'!B362,"")</f>
        <v/>
      </c>
      <c r="C362" t="str">
        <f>IF($A362&lt;&gt;"",'All Cases - Enter Cases'!C362,"")</f>
        <v/>
      </c>
      <c r="D362" t="str">
        <f>IF($A362&lt;&gt;"",'All Cases - Enter Cases'!D362,"")</f>
        <v/>
      </c>
      <c r="E362" t="str">
        <f>IF($A362&lt;&gt;"",'All Cases - Enter Cases'!E362,"")</f>
        <v/>
      </c>
      <c r="F362" t="str">
        <f>IF($A362&lt;&gt;"",'All Cases - Enter Cases'!F362,"")</f>
        <v/>
      </c>
      <c r="G362" t="str">
        <f>IF($A362&lt;&gt;"",'All Cases - Enter Cases'!G362,"")</f>
        <v/>
      </c>
      <c r="H362" t="str">
        <f>IF($A362&lt;&gt;"",'All Cases - Enter Cases'!H362,"")</f>
        <v/>
      </c>
      <c r="I362" t="str">
        <f>IF($A362&lt;&gt;"",'All Cases - Enter Cases'!I362,"")</f>
        <v/>
      </c>
      <c r="J362" t="str">
        <f>IF($A362&lt;&gt;"",'All Cases - Enter Cases'!J362,"")</f>
        <v/>
      </c>
      <c r="K362" t="str">
        <f>IF($A362&lt;&gt;"",'All Cases - Enter Cases'!K362,"")</f>
        <v/>
      </c>
      <c r="L362" t="str">
        <f>IF($A362&lt;&gt;"",'All Cases - Enter Cases'!L362,"")</f>
        <v/>
      </c>
      <c r="M362" t="str">
        <f>IF($A362&lt;&gt;"",'All Cases - Enter Cases'!M362,"")</f>
        <v/>
      </c>
    </row>
    <row r="363" spans="1:13" x14ac:dyDescent="0.35">
      <c r="A363" t="str">
        <f>IF('All Cases - Enter Cases'!$F363="Balochistan",'All Cases - Enter Cases'!A363,"")</f>
        <v/>
      </c>
      <c r="B363" t="str">
        <f>IF($A363&lt;&gt;"",'All Cases - Enter Cases'!B363,"")</f>
        <v/>
      </c>
      <c r="C363" t="str">
        <f>IF($A363&lt;&gt;"",'All Cases - Enter Cases'!C363,"")</f>
        <v/>
      </c>
      <c r="D363" t="str">
        <f>IF($A363&lt;&gt;"",'All Cases - Enter Cases'!D363,"")</f>
        <v/>
      </c>
      <c r="E363" t="str">
        <f>IF($A363&lt;&gt;"",'All Cases - Enter Cases'!E363,"")</f>
        <v/>
      </c>
      <c r="F363" t="str">
        <f>IF($A363&lt;&gt;"",'All Cases - Enter Cases'!F363,"")</f>
        <v/>
      </c>
      <c r="G363" t="str">
        <f>IF($A363&lt;&gt;"",'All Cases - Enter Cases'!G363,"")</f>
        <v/>
      </c>
      <c r="H363" t="str">
        <f>IF($A363&lt;&gt;"",'All Cases - Enter Cases'!H363,"")</f>
        <v/>
      </c>
      <c r="I363" t="str">
        <f>IF($A363&lt;&gt;"",'All Cases - Enter Cases'!I363,"")</f>
        <v/>
      </c>
      <c r="J363" t="str">
        <f>IF($A363&lt;&gt;"",'All Cases - Enter Cases'!J363,"")</f>
        <v/>
      </c>
      <c r="K363" t="str">
        <f>IF($A363&lt;&gt;"",'All Cases - Enter Cases'!K363,"")</f>
        <v/>
      </c>
      <c r="L363" t="str">
        <f>IF($A363&lt;&gt;"",'All Cases - Enter Cases'!L363,"")</f>
        <v/>
      </c>
      <c r="M363" t="str">
        <f>IF($A363&lt;&gt;"",'All Cases - Enter Cases'!M363,"")</f>
        <v/>
      </c>
    </row>
    <row r="364" spans="1:13" x14ac:dyDescent="0.35">
      <c r="A364" t="str">
        <f>IF('All Cases - Enter Cases'!$F364="Balochistan",'All Cases - Enter Cases'!A364,"")</f>
        <v/>
      </c>
      <c r="B364" t="str">
        <f>IF($A364&lt;&gt;"",'All Cases - Enter Cases'!B364,"")</f>
        <v/>
      </c>
      <c r="C364" t="str">
        <f>IF($A364&lt;&gt;"",'All Cases - Enter Cases'!C364,"")</f>
        <v/>
      </c>
      <c r="D364" t="str">
        <f>IF($A364&lt;&gt;"",'All Cases - Enter Cases'!D364,"")</f>
        <v/>
      </c>
      <c r="E364" t="str">
        <f>IF($A364&lt;&gt;"",'All Cases - Enter Cases'!E364,"")</f>
        <v/>
      </c>
      <c r="F364" t="str">
        <f>IF($A364&lt;&gt;"",'All Cases - Enter Cases'!F364,"")</f>
        <v/>
      </c>
      <c r="G364" t="str">
        <f>IF($A364&lt;&gt;"",'All Cases - Enter Cases'!G364,"")</f>
        <v/>
      </c>
      <c r="H364" t="str">
        <f>IF($A364&lt;&gt;"",'All Cases - Enter Cases'!H364,"")</f>
        <v/>
      </c>
      <c r="I364" t="str">
        <f>IF($A364&lt;&gt;"",'All Cases - Enter Cases'!I364,"")</f>
        <v/>
      </c>
      <c r="J364" t="str">
        <f>IF($A364&lt;&gt;"",'All Cases - Enter Cases'!J364,"")</f>
        <v/>
      </c>
      <c r="K364" t="str">
        <f>IF($A364&lt;&gt;"",'All Cases - Enter Cases'!K364,"")</f>
        <v/>
      </c>
      <c r="L364" t="str">
        <f>IF($A364&lt;&gt;"",'All Cases - Enter Cases'!L364,"")</f>
        <v/>
      </c>
      <c r="M364" t="str">
        <f>IF($A364&lt;&gt;"",'All Cases - Enter Cases'!M364,"")</f>
        <v/>
      </c>
    </row>
    <row r="365" spans="1:13" x14ac:dyDescent="0.35">
      <c r="A365" t="str">
        <f>IF('All Cases - Enter Cases'!$F365="Balochistan",'All Cases - Enter Cases'!A365,"")</f>
        <v/>
      </c>
      <c r="B365" t="str">
        <f>IF($A365&lt;&gt;"",'All Cases - Enter Cases'!B365,"")</f>
        <v/>
      </c>
      <c r="C365" t="str">
        <f>IF($A365&lt;&gt;"",'All Cases - Enter Cases'!C365,"")</f>
        <v/>
      </c>
      <c r="D365" t="str">
        <f>IF($A365&lt;&gt;"",'All Cases - Enter Cases'!D365,"")</f>
        <v/>
      </c>
      <c r="E365" t="str">
        <f>IF($A365&lt;&gt;"",'All Cases - Enter Cases'!E365,"")</f>
        <v/>
      </c>
      <c r="F365" t="str">
        <f>IF($A365&lt;&gt;"",'All Cases - Enter Cases'!F365,"")</f>
        <v/>
      </c>
      <c r="G365" t="str">
        <f>IF($A365&lt;&gt;"",'All Cases - Enter Cases'!G365,"")</f>
        <v/>
      </c>
      <c r="H365" t="str">
        <f>IF($A365&lt;&gt;"",'All Cases - Enter Cases'!H365,"")</f>
        <v/>
      </c>
      <c r="I365" t="str">
        <f>IF($A365&lt;&gt;"",'All Cases - Enter Cases'!I365,"")</f>
        <v/>
      </c>
      <c r="J365" t="str">
        <f>IF($A365&lt;&gt;"",'All Cases - Enter Cases'!J365,"")</f>
        <v/>
      </c>
      <c r="K365" t="str">
        <f>IF($A365&lt;&gt;"",'All Cases - Enter Cases'!K365,"")</f>
        <v/>
      </c>
      <c r="L365" t="str">
        <f>IF($A365&lt;&gt;"",'All Cases - Enter Cases'!L365,"")</f>
        <v/>
      </c>
      <c r="M365" t="str">
        <f>IF($A365&lt;&gt;"",'All Cases - Enter Cases'!M365,"")</f>
        <v/>
      </c>
    </row>
    <row r="366" spans="1:13" x14ac:dyDescent="0.35">
      <c r="A366" t="str">
        <f>IF('All Cases - Enter Cases'!$F366="Balochistan",'All Cases - Enter Cases'!A366,"")</f>
        <v/>
      </c>
      <c r="B366" t="str">
        <f>IF($A366&lt;&gt;"",'All Cases - Enter Cases'!B366,"")</f>
        <v/>
      </c>
      <c r="C366" t="str">
        <f>IF($A366&lt;&gt;"",'All Cases - Enter Cases'!C366,"")</f>
        <v/>
      </c>
      <c r="D366" t="str">
        <f>IF($A366&lt;&gt;"",'All Cases - Enter Cases'!D366,"")</f>
        <v/>
      </c>
      <c r="E366" t="str">
        <f>IF($A366&lt;&gt;"",'All Cases - Enter Cases'!E366,"")</f>
        <v/>
      </c>
      <c r="F366" t="str">
        <f>IF($A366&lt;&gt;"",'All Cases - Enter Cases'!F366,"")</f>
        <v/>
      </c>
      <c r="G366" t="str">
        <f>IF($A366&lt;&gt;"",'All Cases - Enter Cases'!G366,"")</f>
        <v/>
      </c>
      <c r="H366" t="str">
        <f>IF($A366&lt;&gt;"",'All Cases - Enter Cases'!H366,"")</f>
        <v/>
      </c>
      <c r="I366" t="str">
        <f>IF($A366&lt;&gt;"",'All Cases - Enter Cases'!I366,"")</f>
        <v/>
      </c>
      <c r="J366" t="str">
        <f>IF($A366&lt;&gt;"",'All Cases - Enter Cases'!J366,"")</f>
        <v/>
      </c>
      <c r="K366" t="str">
        <f>IF($A366&lt;&gt;"",'All Cases - Enter Cases'!K366,"")</f>
        <v/>
      </c>
      <c r="L366" t="str">
        <f>IF($A366&lt;&gt;"",'All Cases - Enter Cases'!L366,"")</f>
        <v/>
      </c>
      <c r="M366" t="str">
        <f>IF($A366&lt;&gt;"",'All Cases - Enter Cases'!M366,"")</f>
        <v/>
      </c>
    </row>
    <row r="367" spans="1:13" x14ac:dyDescent="0.35">
      <c r="A367" t="str">
        <f>IF('All Cases - Enter Cases'!$F367="Balochistan",'All Cases - Enter Cases'!A367,"")</f>
        <v/>
      </c>
      <c r="B367" t="str">
        <f>IF($A367&lt;&gt;"",'All Cases - Enter Cases'!B367,"")</f>
        <v/>
      </c>
      <c r="C367" t="str">
        <f>IF($A367&lt;&gt;"",'All Cases - Enter Cases'!C367,"")</f>
        <v/>
      </c>
      <c r="D367" t="str">
        <f>IF($A367&lt;&gt;"",'All Cases - Enter Cases'!D367,"")</f>
        <v/>
      </c>
      <c r="E367" t="str">
        <f>IF($A367&lt;&gt;"",'All Cases - Enter Cases'!E367,"")</f>
        <v/>
      </c>
      <c r="F367" t="str">
        <f>IF($A367&lt;&gt;"",'All Cases - Enter Cases'!F367,"")</f>
        <v/>
      </c>
      <c r="G367" t="str">
        <f>IF($A367&lt;&gt;"",'All Cases - Enter Cases'!G367,"")</f>
        <v/>
      </c>
      <c r="H367" t="str">
        <f>IF($A367&lt;&gt;"",'All Cases - Enter Cases'!H367,"")</f>
        <v/>
      </c>
      <c r="I367" t="str">
        <f>IF($A367&lt;&gt;"",'All Cases - Enter Cases'!I367,"")</f>
        <v/>
      </c>
      <c r="J367" t="str">
        <f>IF($A367&lt;&gt;"",'All Cases - Enter Cases'!J367,"")</f>
        <v/>
      </c>
      <c r="K367" t="str">
        <f>IF($A367&lt;&gt;"",'All Cases - Enter Cases'!K367,"")</f>
        <v/>
      </c>
      <c r="L367" t="str">
        <f>IF($A367&lt;&gt;"",'All Cases - Enter Cases'!L367,"")</f>
        <v/>
      </c>
      <c r="M367" t="str">
        <f>IF($A367&lt;&gt;"",'All Cases - Enter Cases'!M367,"")</f>
        <v/>
      </c>
    </row>
    <row r="368" spans="1:13" x14ac:dyDescent="0.35">
      <c r="A368" t="str">
        <f>IF('All Cases - Enter Cases'!$F368="Balochistan",'All Cases - Enter Cases'!A368,"")</f>
        <v/>
      </c>
      <c r="B368" t="str">
        <f>IF($A368&lt;&gt;"",'All Cases - Enter Cases'!B368,"")</f>
        <v/>
      </c>
      <c r="C368" t="str">
        <f>IF($A368&lt;&gt;"",'All Cases - Enter Cases'!C368,"")</f>
        <v/>
      </c>
      <c r="D368" t="str">
        <f>IF($A368&lt;&gt;"",'All Cases - Enter Cases'!D368,"")</f>
        <v/>
      </c>
      <c r="E368" t="str">
        <f>IF($A368&lt;&gt;"",'All Cases - Enter Cases'!E368,"")</f>
        <v/>
      </c>
      <c r="F368" t="str">
        <f>IF($A368&lt;&gt;"",'All Cases - Enter Cases'!F368,"")</f>
        <v/>
      </c>
      <c r="G368" t="str">
        <f>IF($A368&lt;&gt;"",'All Cases - Enter Cases'!G368,"")</f>
        <v/>
      </c>
      <c r="H368" t="str">
        <f>IF($A368&lt;&gt;"",'All Cases - Enter Cases'!H368,"")</f>
        <v/>
      </c>
      <c r="I368" t="str">
        <f>IF($A368&lt;&gt;"",'All Cases - Enter Cases'!I368,"")</f>
        <v/>
      </c>
      <c r="J368" t="str">
        <f>IF($A368&lt;&gt;"",'All Cases - Enter Cases'!J368,"")</f>
        <v/>
      </c>
      <c r="K368" t="str">
        <f>IF($A368&lt;&gt;"",'All Cases - Enter Cases'!K368,"")</f>
        <v/>
      </c>
      <c r="L368" t="str">
        <f>IF($A368&lt;&gt;"",'All Cases - Enter Cases'!L368,"")</f>
        <v/>
      </c>
      <c r="M368" t="str">
        <f>IF($A368&lt;&gt;"",'All Cases - Enter Cases'!M368,"")</f>
        <v/>
      </c>
    </row>
    <row r="369" spans="1:13" x14ac:dyDescent="0.35">
      <c r="A369" t="str">
        <f>IF('All Cases - Enter Cases'!$F369="Balochistan",'All Cases - Enter Cases'!A369,"")</f>
        <v/>
      </c>
      <c r="B369" t="str">
        <f>IF($A369&lt;&gt;"",'All Cases - Enter Cases'!B369,"")</f>
        <v/>
      </c>
      <c r="C369" t="str">
        <f>IF($A369&lt;&gt;"",'All Cases - Enter Cases'!C369,"")</f>
        <v/>
      </c>
      <c r="D369" t="str">
        <f>IF($A369&lt;&gt;"",'All Cases - Enter Cases'!D369,"")</f>
        <v/>
      </c>
      <c r="E369" t="str">
        <f>IF($A369&lt;&gt;"",'All Cases - Enter Cases'!E369,"")</f>
        <v/>
      </c>
      <c r="F369" t="str">
        <f>IF($A369&lt;&gt;"",'All Cases - Enter Cases'!F369,"")</f>
        <v/>
      </c>
      <c r="G369" t="str">
        <f>IF($A369&lt;&gt;"",'All Cases - Enter Cases'!G369,"")</f>
        <v/>
      </c>
      <c r="H369" t="str">
        <f>IF($A369&lt;&gt;"",'All Cases - Enter Cases'!H369,"")</f>
        <v/>
      </c>
      <c r="I369" t="str">
        <f>IF($A369&lt;&gt;"",'All Cases - Enter Cases'!I369,"")</f>
        <v/>
      </c>
      <c r="J369" t="str">
        <f>IF($A369&lt;&gt;"",'All Cases - Enter Cases'!J369,"")</f>
        <v/>
      </c>
      <c r="K369" t="str">
        <f>IF($A369&lt;&gt;"",'All Cases - Enter Cases'!K369,"")</f>
        <v/>
      </c>
      <c r="L369" t="str">
        <f>IF($A369&lt;&gt;"",'All Cases - Enter Cases'!L369,"")</f>
        <v/>
      </c>
      <c r="M369" t="str">
        <f>IF($A369&lt;&gt;"",'All Cases - Enter Cases'!M369,"")</f>
        <v/>
      </c>
    </row>
    <row r="370" spans="1:13" x14ac:dyDescent="0.35">
      <c r="A370" t="str">
        <f>IF('All Cases - Enter Cases'!$F370="Balochistan",'All Cases - Enter Cases'!A370,"")</f>
        <v/>
      </c>
      <c r="B370" t="str">
        <f>IF($A370&lt;&gt;"",'All Cases - Enter Cases'!B370,"")</f>
        <v/>
      </c>
      <c r="C370" t="str">
        <f>IF($A370&lt;&gt;"",'All Cases - Enter Cases'!C370,"")</f>
        <v/>
      </c>
      <c r="D370" t="str">
        <f>IF($A370&lt;&gt;"",'All Cases - Enter Cases'!D370,"")</f>
        <v/>
      </c>
      <c r="E370" t="str">
        <f>IF($A370&lt;&gt;"",'All Cases - Enter Cases'!E370,"")</f>
        <v/>
      </c>
      <c r="F370" t="str">
        <f>IF($A370&lt;&gt;"",'All Cases - Enter Cases'!F370,"")</f>
        <v/>
      </c>
      <c r="G370" t="str">
        <f>IF($A370&lt;&gt;"",'All Cases - Enter Cases'!G370,"")</f>
        <v/>
      </c>
      <c r="H370" t="str">
        <f>IF($A370&lt;&gt;"",'All Cases - Enter Cases'!H370,"")</f>
        <v/>
      </c>
      <c r="I370" t="str">
        <f>IF($A370&lt;&gt;"",'All Cases - Enter Cases'!I370,"")</f>
        <v/>
      </c>
      <c r="J370" t="str">
        <f>IF($A370&lt;&gt;"",'All Cases - Enter Cases'!J370,"")</f>
        <v/>
      </c>
      <c r="K370" t="str">
        <f>IF($A370&lt;&gt;"",'All Cases - Enter Cases'!K370,"")</f>
        <v/>
      </c>
      <c r="L370" t="str">
        <f>IF($A370&lt;&gt;"",'All Cases - Enter Cases'!L370,"")</f>
        <v/>
      </c>
      <c r="M370" t="str">
        <f>IF($A370&lt;&gt;"",'All Cases - Enter Cases'!M370,"")</f>
        <v/>
      </c>
    </row>
    <row r="371" spans="1:13" x14ac:dyDescent="0.35">
      <c r="A371" t="str">
        <f>IF('All Cases - Enter Cases'!$F371="Balochistan",'All Cases - Enter Cases'!A371,"")</f>
        <v/>
      </c>
      <c r="B371" t="str">
        <f>IF($A371&lt;&gt;"",'All Cases - Enter Cases'!B371,"")</f>
        <v/>
      </c>
      <c r="C371" t="str">
        <f>IF($A371&lt;&gt;"",'All Cases - Enter Cases'!C371,"")</f>
        <v/>
      </c>
      <c r="D371" t="str">
        <f>IF($A371&lt;&gt;"",'All Cases - Enter Cases'!D371,"")</f>
        <v/>
      </c>
      <c r="E371" t="str">
        <f>IF($A371&lt;&gt;"",'All Cases - Enter Cases'!E371,"")</f>
        <v/>
      </c>
      <c r="F371" t="str">
        <f>IF($A371&lt;&gt;"",'All Cases - Enter Cases'!F371,"")</f>
        <v/>
      </c>
      <c r="G371" t="str">
        <f>IF($A371&lt;&gt;"",'All Cases - Enter Cases'!G371,"")</f>
        <v/>
      </c>
      <c r="H371" t="str">
        <f>IF($A371&lt;&gt;"",'All Cases - Enter Cases'!H371,"")</f>
        <v/>
      </c>
      <c r="I371" t="str">
        <f>IF($A371&lt;&gt;"",'All Cases - Enter Cases'!I371,"")</f>
        <v/>
      </c>
      <c r="J371" t="str">
        <f>IF($A371&lt;&gt;"",'All Cases - Enter Cases'!J371,"")</f>
        <v/>
      </c>
      <c r="K371" t="str">
        <f>IF($A371&lt;&gt;"",'All Cases - Enter Cases'!K371,"")</f>
        <v/>
      </c>
      <c r="L371" t="str">
        <f>IF($A371&lt;&gt;"",'All Cases - Enter Cases'!L371,"")</f>
        <v/>
      </c>
      <c r="M371" t="str">
        <f>IF($A371&lt;&gt;"",'All Cases - Enter Cases'!M371,"")</f>
        <v/>
      </c>
    </row>
    <row r="372" spans="1:13" x14ac:dyDescent="0.35">
      <c r="A372" t="str">
        <f>IF('All Cases - Enter Cases'!$F372="Balochistan",'All Cases - Enter Cases'!A372,"")</f>
        <v/>
      </c>
      <c r="B372" t="str">
        <f>IF($A372&lt;&gt;"",'All Cases - Enter Cases'!B372,"")</f>
        <v/>
      </c>
      <c r="C372" t="str">
        <f>IF($A372&lt;&gt;"",'All Cases - Enter Cases'!C372,"")</f>
        <v/>
      </c>
      <c r="D372" t="str">
        <f>IF($A372&lt;&gt;"",'All Cases - Enter Cases'!D372,"")</f>
        <v/>
      </c>
      <c r="E372" t="str">
        <f>IF($A372&lt;&gt;"",'All Cases - Enter Cases'!E372,"")</f>
        <v/>
      </c>
      <c r="F372" t="str">
        <f>IF($A372&lt;&gt;"",'All Cases - Enter Cases'!F372,"")</f>
        <v/>
      </c>
      <c r="G372" t="str">
        <f>IF($A372&lt;&gt;"",'All Cases - Enter Cases'!G372,"")</f>
        <v/>
      </c>
      <c r="H372" t="str">
        <f>IF($A372&lt;&gt;"",'All Cases - Enter Cases'!H372,"")</f>
        <v/>
      </c>
      <c r="I372" t="str">
        <f>IF($A372&lt;&gt;"",'All Cases - Enter Cases'!I372,"")</f>
        <v/>
      </c>
      <c r="J372" t="str">
        <f>IF($A372&lt;&gt;"",'All Cases - Enter Cases'!J372,"")</f>
        <v/>
      </c>
      <c r="K372" t="str">
        <f>IF($A372&lt;&gt;"",'All Cases - Enter Cases'!K372,"")</f>
        <v/>
      </c>
      <c r="L372" t="str">
        <f>IF($A372&lt;&gt;"",'All Cases - Enter Cases'!L372,"")</f>
        <v/>
      </c>
      <c r="M372" t="str">
        <f>IF($A372&lt;&gt;"",'All Cases - Enter Cases'!M372,"")</f>
        <v/>
      </c>
    </row>
    <row r="373" spans="1:13" x14ac:dyDescent="0.35">
      <c r="A373" t="str">
        <f>IF('All Cases - Enter Cases'!$F373="Balochistan",'All Cases - Enter Cases'!A373,"")</f>
        <v/>
      </c>
      <c r="B373" t="str">
        <f>IF($A373&lt;&gt;"",'All Cases - Enter Cases'!B373,"")</f>
        <v/>
      </c>
      <c r="C373" t="str">
        <f>IF($A373&lt;&gt;"",'All Cases - Enter Cases'!C373,"")</f>
        <v/>
      </c>
      <c r="D373" t="str">
        <f>IF($A373&lt;&gt;"",'All Cases - Enter Cases'!D373,"")</f>
        <v/>
      </c>
      <c r="E373" t="str">
        <f>IF($A373&lt;&gt;"",'All Cases - Enter Cases'!E373,"")</f>
        <v/>
      </c>
      <c r="F373" t="str">
        <f>IF($A373&lt;&gt;"",'All Cases - Enter Cases'!F373,"")</f>
        <v/>
      </c>
      <c r="G373" t="str">
        <f>IF($A373&lt;&gt;"",'All Cases - Enter Cases'!G373,"")</f>
        <v/>
      </c>
      <c r="H373" t="str">
        <f>IF($A373&lt;&gt;"",'All Cases - Enter Cases'!H373,"")</f>
        <v/>
      </c>
      <c r="I373" t="str">
        <f>IF($A373&lt;&gt;"",'All Cases - Enter Cases'!I373,"")</f>
        <v/>
      </c>
      <c r="J373" t="str">
        <f>IF($A373&lt;&gt;"",'All Cases - Enter Cases'!J373,"")</f>
        <v/>
      </c>
      <c r="K373" t="str">
        <f>IF($A373&lt;&gt;"",'All Cases - Enter Cases'!K373,"")</f>
        <v/>
      </c>
      <c r="L373" t="str">
        <f>IF($A373&lt;&gt;"",'All Cases - Enter Cases'!L373,"")</f>
        <v/>
      </c>
      <c r="M373" t="str">
        <f>IF($A373&lt;&gt;"",'All Cases - Enter Cases'!M373,"")</f>
        <v/>
      </c>
    </row>
    <row r="374" spans="1:13" x14ac:dyDescent="0.35">
      <c r="A374" t="str">
        <f>IF('All Cases - Enter Cases'!$F374="Balochistan",'All Cases - Enter Cases'!A374,"")</f>
        <v/>
      </c>
      <c r="B374" t="str">
        <f>IF($A374&lt;&gt;"",'All Cases - Enter Cases'!B374,"")</f>
        <v/>
      </c>
      <c r="C374" t="str">
        <f>IF($A374&lt;&gt;"",'All Cases - Enter Cases'!C374,"")</f>
        <v/>
      </c>
      <c r="D374" t="str">
        <f>IF($A374&lt;&gt;"",'All Cases - Enter Cases'!D374,"")</f>
        <v/>
      </c>
      <c r="E374" t="str">
        <f>IF($A374&lt;&gt;"",'All Cases - Enter Cases'!E374,"")</f>
        <v/>
      </c>
      <c r="F374" t="str">
        <f>IF($A374&lt;&gt;"",'All Cases - Enter Cases'!F374,"")</f>
        <v/>
      </c>
      <c r="G374" t="str">
        <f>IF($A374&lt;&gt;"",'All Cases - Enter Cases'!G374,"")</f>
        <v/>
      </c>
      <c r="H374" t="str">
        <f>IF($A374&lt;&gt;"",'All Cases - Enter Cases'!H374,"")</f>
        <v/>
      </c>
      <c r="I374" t="str">
        <f>IF($A374&lt;&gt;"",'All Cases - Enter Cases'!I374,"")</f>
        <v/>
      </c>
      <c r="J374" t="str">
        <f>IF($A374&lt;&gt;"",'All Cases - Enter Cases'!J374,"")</f>
        <v/>
      </c>
      <c r="K374" t="str">
        <f>IF($A374&lt;&gt;"",'All Cases - Enter Cases'!K374,"")</f>
        <v/>
      </c>
      <c r="L374" t="str">
        <f>IF($A374&lt;&gt;"",'All Cases - Enter Cases'!L374,"")</f>
        <v/>
      </c>
      <c r="M374" t="str">
        <f>IF($A374&lt;&gt;"",'All Cases - Enter Cases'!M374,"")</f>
        <v/>
      </c>
    </row>
    <row r="375" spans="1:13" x14ac:dyDescent="0.35">
      <c r="A375" t="str">
        <f>IF('All Cases - Enter Cases'!$F375="Balochistan",'All Cases - Enter Cases'!A375,"")</f>
        <v/>
      </c>
      <c r="B375" t="str">
        <f>IF($A375&lt;&gt;"",'All Cases - Enter Cases'!B375,"")</f>
        <v/>
      </c>
      <c r="C375" t="str">
        <f>IF($A375&lt;&gt;"",'All Cases - Enter Cases'!C375,"")</f>
        <v/>
      </c>
      <c r="D375" t="str">
        <f>IF($A375&lt;&gt;"",'All Cases - Enter Cases'!D375,"")</f>
        <v/>
      </c>
      <c r="E375" t="str">
        <f>IF($A375&lt;&gt;"",'All Cases - Enter Cases'!E375,"")</f>
        <v/>
      </c>
      <c r="F375" t="str">
        <f>IF($A375&lt;&gt;"",'All Cases - Enter Cases'!F375,"")</f>
        <v/>
      </c>
      <c r="G375" t="str">
        <f>IF($A375&lt;&gt;"",'All Cases - Enter Cases'!G375,"")</f>
        <v/>
      </c>
      <c r="H375" t="str">
        <f>IF($A375&lt;&gt;"",'All Cases - Enter Cases'!H375,"")</f>
        <v/>
      </c>
      <c r="I375" t="str">
        <f>IF($A375&lt;&gt;"",'All Cases - Enter Cases'!I375,"")</f>
        <v/>
      </c>
      <c r="J375" t="str">
        <f>IF($A375&lt;&gt;"",'All Cases - Enter Cases'!J375,"")</f>
        <v/>
      </c>
      <c r="K375" t="str">
        <f>IF($A375&lt;&gt;"",'All Cases - Enter Cases'!K375,"")</f>
        <v/>
      </c>
      <c r="L375" t="str">
        <f>IF($A375&lt;&gt;"",'All Cases - Enter Cases'!L375,"")</f>
        <v/>
      </c>
      <c r="M375" t="str">
        <f>IF($A375&lt;&gt;"",'All Cases - Enter Cases'!M375,"")</f>
        <v/>
      </c>
    </row>
    <row r="376" spans="1:13" x14ac:dyDescent="0.35">
      <c r="A376" t="str">
        <f>IF('All Cases - Enter Cases'!$F376="Balochistan",'All Cases - Enter Cases'!A376,"")</f>
        <v/>
      </c>
      <c r="B376" t="str">
        <f>IF($A376&lt;&gt;"",'All Cases - Enter Cases'!B376,"")</f>
        <v/>
      </c>
      <c r="C376" t="str">
        <f>IF($A376&lt;&gt;"",'All Cases - Enter Cases'!C376,"")</f>
        <v/>
      </c>
      <c r="D376" t="str">
        <f>IF($A376&lt;&gt;"",'All Cases - Enter Cases'!D376,"")</f>
        <v/>
      </c>
      <c r="E376" t="str">
        <f>IF($A376&lt;&gt;"",'All Cases - Enter Cases'!E376,"")</f>
        <v/>
      </c>
      <c r="F376" t="str">
        <f>IF($A376&lt;&gt;"",'All Cases - Enter Cases'!F376,"")</f>
        <v/>
      </c>
      <c r="G376" t="str">
        <f>IF($A376&lt;&gt;"",'All Cases - Enter Cases'!G376,"")</f>
        <v/>
      </c>
      <c r="H376" t="str">
        <f>IF($A376&lt;&gt;"",'All Cases - Enter Cases'!H376,"")</f>
        <v/>
      </c>
      <c r="I376" t="str">
        <f>IF($A376&lt;&gt;"",'All Cases - Enter Cases'!I376,"")</f>
        <v/>
      </c>
      <c r="J376" t="str">
        <f>IF($A376&lt;&gt;"",'All Cases - Enter Cases'!J376,"")</f>
        <v/>
      </c>
      <c r="K376" t="str">
        <f>IF($A376&lt;&gt;"",'All Cases - Enter Cases'!K376,"")</f>
        <v/>
      </c>
      <c r="L376" t="str">
        <f>IF($A376&lt;&gt;"",'All Cases - Enter Cases'!L376,"")</f>
        <v/>
      </c>
      <c r="M376" t="str">
        <f>IF($A376&lt;&gt;"",'All Cases - Enter Cases'!M376,"")</f>
        <v/>
      </c>
    </row>
    <row r="377" spans="1:13" x14ac:dyDescent="0.35">
      <c r="A377" t="str">
        <f>IF('All Cases - Enter Cases'!$F377="Balochistan",'All Cases - Enter Cases'!A377,"")</f>
        <v/>
      </c>
      <c r="B377" t="str">
        <f>IF($A377&lt;&gt;"",'All Cases - Enter Cases'!B377,"")</f>
        <v/>
      </c>
      <c r="C377" t="str">
        <f>IF($A377&lt;&gt;"",'All Cases - Enter Cases'!C377,"")</f>
        <v/>
      </c>
      <c r="D377" t="str">
        <f>IF($A377&lt;&gt;"",'All Cases - Enter Cases'!D377,"")</f>
        <v/>
      </c>
      <c r="E377" t="str">
        <f>IF($A377&lt;&gt;"",'All Cases - Enter Cases'!E377,"")</f>
        <v/>
      </c>
      <c r="F377" t="str">
        <f>IF($A377&lt;&gt;"",'All Cases - Enter Cases'!F377,"")</f>
        <v/>
      </c>
      <c r="G377" t="str">
        <f>IF($A377&lt;&gt;"",'All Cases - Enter Cases'!G377,"")</f>
        <v/>
      </c>
      <c r="H377" t="str">
        <f>IF($A377&lt;&gt;"",'All Cases - Enter Cases'!H377,"")</f>
        <v/>
      </c>
      <c r="I377" t="str">
        <f>IF($A377&lt;&gt;"",'All Cases - Enter Cases'!I377,"")</f>
        <v/>
      </c>
      <c r="J377" t="str">
        <f>IF($A377&lt;&gt;"",'All Cases - Enter Cases'!J377,"")</f>
        <v/>
      </c>
      <c r="K377" t="str">
        <f>IF($A377&lt;&gt;"",'All Cases - Enter Cases'!K377,"")</f>
        <v/>
      </c>
      <c r="L377" t="str">
        <f>IF($A377&lt;&gt;"",'All Cases - Enter Cases'!L377,"")</f>
        <v/>
      </c>
      <c r="M377" t="str">
        <f>IF($A377&lt;&gt;"",'All Cases - Enter Cases'!M377,"")</f>
        <v/>
      </c>
    </row>
    <row r="378" spans="1:13" x14ac:dyDescent="0.35">
      <c r="A378" t="str">
        <f>IF('All Cases - Enter Cases'!$F378="Balochistan",'All Cases - Enter Cases'!A378,"")</f>
        <v/>
      </c>
      <c r="B378" t="str">
        <f>IF($A378&lt;&gt;"",'All Cases - Enter Cases'!B378,"")</f>
        <v/>
      </c>
      <c r="C378" t="str">
        <f>IF($A378&lt;&gt;"",'All Cases - Enter Cases'!C378,"")</f>
        <v/>
      </c>
      <c r="D378" t="str">
        <f>IF($A378&lt;&gt;"",'All Cases - Enter Cases'!D378,"")</f>
        <v/>
      </c>
      <c r="E378" t="str">
        <f>IF($A378&lt;&gt;"",'All Cases - Enter Cases'!E378,"")</f>
        <v/>
      </c>
      <c r="F378" t="str">
        <f>IF($A378&lt;&gt;"",'All Cases - Enter Cases'!F378,"")</f>
        <v/>
      </c>
      <c r="G378" t="str">
        <f>IF($A378&lt;&gt;"",'All Cases - Enter Cases'!G378,"")</f>
        <v/>
      </c>
      <c r="H378" t="str">
        <f>IF($A378&lt;&gt;"",'All Cases - Enter Cases'!H378,"")</f>
        <v/>
      </c>
      <c r="I378" t="str">
        <f>IF($A378&lt;&gt;"",'All Cases - Enter Cases'!I378,"")</f>
        <v/>
      </c>
      <c r="J378" t="str">
        <f>IF($A378&lt;&gt;"",'All Cases - Enter Cases'!J378,"")</f>
        <v/>
      </c>
      <c r="K378" t="str">
        <f>IF($A378&lt;&gt;"",'All Cases - Enter Cases'!K378,"")</f>
        <v/>
      </c>
      <c r="L378" t="str">
        <f>IF($A378&lt;&gt;"",'All Cases - Enter Cases'!L378,"")</f>
        <v/>
      </c>
      <c r="M378" t="str">
        <f>IF($A378&lt;&gt;"",'All Cases - Enter Cases'!M378,"")</f>
        <v/>
      </c>
    </row>
    <row r="379" spans="1:13" x14ac:dyDescent="0.35">
      <c r="A379" t="str">
        <f>IF('All Cases - Enter Cases'!$F379="Balochistan",'All Cases - Enter Cases'!A379,"")</f>
        <v/>
      </c>
      <c r="B379" t="str">
        <f>IF($A379&lt;&gt;"",'All Cases - Enter Cases'!B379,"")</f>
        <v/>
      </c>
      <c r="C379" t="str">
        <f>IF($A379&lt;&gt;"",'All Cases - Enter Cases'!C379,"")</f>
        <v/>
      </c>
      <c r="D379" t="str">
        <f>IF($A379&lt;&gt;"",'All Cases - Enter Cases'!D379,"")</f>
        <v/>
      </c>
      <c r="E379" t="str">
        <f>IF($A379&lt;&gt;"",'All Cases - Enter Cases'!E379,"")</f>
        <v/>
      </c>
      <c r="F379" t="str">
        <f>IF($A379&lt;&gt;"",'All Cases - Enter Cases'!F379,"")</f>
        <v/>
      </c>
      <c r="G379" t="str">
        <f>IF($A379&lt;&gt;"",'All Cases - Enter Cases'!G379,"")</f>
        <v/>
      </c>
      <c r="H379" t="str">
        <f>IF($A379&lt;&gt;"",'All Cases - Enter Cases'!H379,"")</f>
        <v/>
      </c>
      <c r="I379" t="str">
        <f>IF($A379&lt;&gt;"",'All Cases - Enter Cases'!I379,"")</f>
        <v/>
      </c>
      <c r="J379" t="str">
        <f>IF($A379&lt;&gt;"",'All Cases - Enter Cases'!J379,"")</f>
        <v/>
      </c>
      <c r="K379" t="str">
        <f>IF($A379&lt;&gt;"",'All Cases - Enter Cases'!K379,"")</f>
        <v/>
      </c>
      <c r="L379" t="str">
        <f>IF($A379&lt;&gt;"",'All Cases - Enter Cases'!L379,"")</f>
        <v/>
      </c>
      <c r="M379" t="str">
        <f>IF($A379&lt;&gt;"",'All Cases - Enter Cases'!M379,"")</f>
        <v/>
      </c>
    </row>
    <row r="380" spans="1:13" x14ac:dyDescent="0.35">
      <c r="A380" t="str">
        <f>IF('All Cases - Enter Cases'!$F380="Balochistan",'All Cases - Enter Cases'!A380,"")</f>
        <v/>
      </c>
      <c r="B380" t="str">
        <f>IF($A380&lt;&gt;"",'All Cases - Enter Cases'!B380,"")</f>
        <v/>
      </c>
      <c r="C380" t="str">
        <f>IF($A380&lt;&gt;"",'All Cases - Enter Cases'!C380,"")</f>
        <v/>
      </c>
      <c r="D380" t="str">
        <f>IF($A380&lt;&gt;"",'All Cases - Enter Cases'!D380,"")</f>
        <v/>
      </c>
      <c r="E380" t="str">
        <f>IF($A380&lt;&gt;"",'All Cases - Enter Cases'!E380,"")</f>
        <v/>
      </c>
      <c r="F380" t="str">
        <f>IF($A380&lt;&gt;"",'All Cases - Enter Cases'!F380,"")</f>
        <v/>
      </c>
      <c r="G380" t="str">
        <f>IF($A380&lt;&gt;"",'All Cases - Enter Cases'!G380,"")</f>
        <v/>
      </c>
      <c r="H380" t="str">
        <f>IF($A380&lt;&gt;"",'All Cases - Enter Cases'!H380,"")</f>
        <v/>
      </c>
      <c r="I380" t="str">
        <f>IF($A380&lt;&gt;"",'All Cases - Enter Cases'!I380,"")</f>
        <v/>
      </c>
      <c r="J380" t="str">
        <f>IF($A380&lt;&gt;"",'All Cases - Enter Cases'!J380,"")</f>
        <v/>
      </c>
      <c r="K380" t="str">
        <f>IF($A380&lt;&gt;"",'All Cases - Enter Cases'!K380,"")</f>
        <v/>
      </c>
      <c r="L380" t="str">
        <f>IF($A380&lt;&gt;"",'All Cases - Enter Cases'!L380,"")</f>
        <v/>
      </c>
      <c r="M380" t="str">
        <f>IF($A380&lt;&gt;"",'All Cases - Enter Cases'!M380,"")</f>
        <v/>
      </c>
    </row>
    <row r="381" spans="1:13" x14ac:dyDescent="0.35">
      <c r="A381" t="str">
        <f>IF('All Cases - Enter Cases'!$F381="Balochistan",'All Cases - Enter Cases'!A381,"")</f>
        <v/>
      </c>
      <c r="B381" t="str">
        <f>IF($A381&lt;&gt;"",'All Cases - Enter Cases'!B381,"")</f>
        <v/>
      </c>
      <c r="C381" t="str">
        <f>IF($A381&lt;&gt;"",'All Cases - Enter Cases'!C381,"")</f>
        <v/>
      </c>
      <c r="D381" t="str">
        <f>IF($A381&lt;&gt;"",'All Cases - Enter Cases'!D381,"")</f>
        <v/>
      </c>
      <c r="E381" t="str">
        <f>IF($A381&lt;&gt;"",'All Cases - Enter Cases'!E381,"")</f>
        <v/>
      </c>
      <c r="F381" t="str">
        <f>IF($A381&lt;&gt;"",'All Cases - Enter Cases'!F381,"")</f>
        <v/>
      </c>
      <c r="G381" t="str">
        <f>IF($A381&lt;&gt;"",'All Cases - Enter Cases'!G381,"")</f>
        <v/>
      </c>
      <c r="H381" t="str">
        <f>IF($A381&lt;&gt;"",'All Cases - Enter Cases'!H381,"")</f>
        <v/>
      </c>
      <c r="I381" t="str">
        <f>IF($A381&lt;&gt;"",'All Cases - Enter Cases'!I381,"")</f>
        <v/>
      </c>
      <c r="J381" t="str">
        <f>IF($A381&lt;&gt;"",'All Cases - Enter Cases'!J381,"")</f>
        <v/>
      </c>
      <c r="K381" t="str">
        <f>IF($A381&lt;&gt;"",'All Cases - Enter Cases'!K381,"")</f>
        <v/>
      </c>
      <c r="L381" t="str">
        <f>IF($A381&lt;&gt;"",'All Cases - Enter Cases'!L381,"")</f>
        <v/>
      </c>
      <c r="M381" t="str">
        <f>IF($A381&lt;&gt;"",'All Cases - Enter Cases'!M381,"")</f>
        <v/>
      </c>
    </row>
    <row r="382" spans="1:13" x14ac:dyDescent="0.35">
      <c r="A382" t="str">
        <f>IF('All Cases - Enter Cases'!$F382="Balochistan",'All Cases - Enter Cases'!A382,"")</f>
        <v/>
      </c>
      <c r="B382" t="str">
        <f>IF($A382&lt;&gt;"",'All Cases - Enter Cases'!B382,"")</f>
        <v/>
      </c>
      <c r="C382" t="str">
        <f>IF($A382&lt;&gt;"",'All Cases - Enter Cases'!C382,"")</f>
        <v/>
      </c>
      <c r="D382" t="str">
        <f>IF($A382&lt;&gt;"",'All Cases - Enter Cases'!D382,"")</f>
        <v/>
      </c>
      <c r="E382" t="str">
        <f>IF($A382&lt;&gt;"",'All Cases - Enter Cases'!E382,"")</f>
        <v/>
      </c>
      <c r="F382" t="str">
        <f>IF($A382&lt;&gt;"",'All Cases - Enter Cases'!F382,"")</f>
        <v/>
      </c>
      <c r="G382" t="str">
        <f>IF($A382&lt;&gt;"",'All Cases - Enter Cases'!G382,"")</f>
        <v/>
      </c>
      <c r="H382" t="str">
        <f>IF($A382&lt;&gt;"",'All Cases - Enter Cases'!H382,"")</f>
        <v/>
      </c>
      <c r="I382" t="str">
        <f>IF($A382&lt;&gt;"",'All Cases - Enter Cases'!I382,"")</f>
        <v/>
      </c>
      <c r="J382" t="str">
        <f>IF($A382&lt;&gt;"",'All Cases - Enter Cases'!J382,"")</f>
        <v/>
      </c>
      <c r="K382" t="str">
        <f>IF($A382&lt;&gt;"",'All Cases - Enter Cases'!K382,"")</f>
        <v/>
      </c>
      <c r="L382" t="str">
        <f>IF($A382&lt;&gt;"",'All Cases - Enter Cases'!L382,"")</f>
        <v/>
      </c>
      <c r="M382" t="str">
        <f>IF($A382&lt;&gt;"",'All Cases - Enter Cases'!M382,"")</f>
        <v/>
      </c>
    </row>
    <row r="383" spans="1:13" x14ac:dyDescent="0.35">
      <c r="A383" t="str">
        <f>IF('All Cases - Enter Cases'!$F383="Balochistan",'All Cases - Enter Cases'!A383,"")</f>
        <v/>
      </c>
      <c r="B383" t="str">
        <f>IF($A383&lt;&gt;"",'All Cases - Enter Cases'!B383,"")</f>
        <v/>
      </c>
      <c r="C383" t="str">
        <f>IF($A383&lt;&gt;"",'All Cases - Enter Cases'!C383,"")</f>
        <v/>
      </c>
      <c r="D383" t="str">
        <f>IF($A383&lt;&gt;"",'All Cases - Enter Cases'!D383,"")</f>
        <v/>
      </c>
      <c r="E383" t="str">
        <f>IF($A383&lt;&gt;"",'All Cases - Enter Cases'!E383,"")</f>
        <v/>
      </c>
      <c r="F383" t="str">
        <f>IF($A383&lt;&gt;"",'All Cases - Enter Cases'!F383,"")</f>
        <v/>
      </c>
      <c r="G383" t="str">
        <f>IF($A383&lt;&gt;"",'All Cases - Enter Cases'!G383,"")</f>
        <v/>
      </c>
      <c r="H383" t="str">
        <f>IF($A383&lt;&gt;"",'All Cases - Enter Cases'!H383,"")</f>
        <v/>
      </c>
      <c r="I383" t="str">
        <f>IF($A383&lt;&gt;"",'All Cases - Enter Cases'!I383,"")</f>
        <v/>
      </c>
      <c r="J383" t="str">
        <f>IF($A383&lt;&gt;"",'All Cases - Enter Cases'!J383,"")</f>
        <v/>
      </c>
      <c r="K383" t="str">
        <f>IF($A383&lt;&gt;"",'All Cases - Enter Cases'!K383,"")</f>
        <v/>
      </c>
      <c r="L383" t="str">
        <f>IF($A383&lt;&gt;"",'All Cases - Enter Cases'!L383,"")</f>
        <v/>
      </c>
      <c r="M383" t="str">
        <f>IF($A383&lt;&gt;"",'All Cases - Enter Cases'!M383,"")</f>
        <v/>
      </c>
    </row>
    <row r="384" spans="1:13" x14ac:dyDescent="0.35">
      <c r="A384" t="str">
        <f>IF('All Cases - Enter Cases'!$F384="Balochistan",'All Cases - Enter Cases'!A384,"")</f>
        <v/>
      </c>
      <c r="B384" t="str">
        <f>IF($A384&lt;&gt;"",'All Cases - Enter Cases'!B384,"")</f>
        <v/>
      </c>
      <c r="C384" t="str">
        <f>IF($A384&lt;&gt;"",'All Cases - Enter Cases'!C384,"")</f>
        <v/>
      </c>
      <c r="D384" t="str">
        <f>IF($A384&lt;&gt;"",'All Cases - Enter Cases'!D384,"")</f>
        <v/>
      </c>
      <c r="E384" t="str">
        <f>IF($A384&lt;&gt;"",'All Cases - Enter Cases'!E384,"")</f>
        <v/>
      </c>
      <c r="F384" t="str">
        <f>IF($A384&lt;&gt;"",'All Cases - Enter Cases'!F384,"")</f>
        <v/>
      </c>
      <c r="G384" t="str">
        <f>IF($A384&lt;&gt;"",'All Cases - Enter Cases'!G384,"")</f>
        <v/>
      </c>
      <c r="H384" t="str">
        <f>IF($A384&lt;&gt;"",'All Cases - Enter Cases'!H384,"")</f>
        <v/>
      </c>
      <c r="I384" t="str">
        <f>IF($A384&lt;&gt;"",'All Cases - Enter Cases'!I384,"")</f>
        <v/>
      </c>
      <c r="J384" t="str">
        <f>IF($A384&lt;&gt;"",'All Cases - Enter Cases'!J384,"")</f>
        <v/>
      </c>
      <c r="K384" t="str">
        <f>IF($A384&lt;&gt;"",'All Cases - Enter Cases'!K384,"")</f>
        <v/>
      </c>
      <c r="L384" t="str">
        <f>IF($A384&lt;&gt;"",'All Cases - Enter Cases'!L384,"")</f>
        <v/>
      </c>
      <c r="M384" t="str">
        <f>IF($A384&lt;&gt;"",'All Cases - Enter Cases'!M384,"")</f>
        <v/>
      </c>
    </row>
    <row r="385" spans="1:13" x14ac:dyDescent="0.35">
      <c r="A385" t="str">
        <f>IF('All Cases - Enter Cases'!$F385="Balochistan",'All Cases - Enter Cases'!A385,"")</f>
        <v/>
      </c>
      <c r="B385" t="str">
        <f>IF($A385&lt;&gt;"",'All Cases - Enter Cases'!B385,"")</f>
        <v/>
      </c>
      <c r="C385" t="str">
        <f>IF($A385&lt;&gt;"",'All Cases - Enter Cases'!C385,"")</f>
        <v/>
      </c>
      <c r="D385" t="str">
        <f>IF($A385&lt;&gt;"",'All Cases - Enter Cases'!D385,"")</f>
        <v/>
      </c>
      <c r="E385" t="str">
        <f>IF($A385&lt;&gt;"",'All Cases - Enter Cases'!E385,"")</f>
        <v/>
      </c>
      <c r="F385" t="str">
        <f>IF($A385&lt;&gt;"",'All Cases - Enter Cases'!F385,"")</f>
        <v/>
      </c>
      <c r="G385" t="str">
        <f>IF($A385&lt;&gt;"",'All Cases - Enter Cases'!G385,"")</f>
        <v/>
      </c>
      <c r="H385" t="str">
        <f>IF($A385&lt;&gt;"",'All Cases - Enter Cases'!H385,"")</f>
        <v/>
      </c>
      <c r="I385" t="str">
        <f>IF($A385&lt;&gt;"",'All Cases - Enter Cases'!I385,"")</f>
        <v/>
      </c>
      <c r="J385" t="str">
        <f>IF($A385&lt;&gt;"",'All Cases - Enter Cases'!J385,"")</f>
        <v/>
      </c>
      <c r="K385" t="str">
        <f>IF($A385&lt;&gt;"",'All Cases - Enter Cases'!K385,"")</f>
        <v/>
      </c>
      <c r="L385" t="str">
        <f>IF($A385&lt;&gt;"",'All Cases - Enter Cases'!L385,"")</f>
        <v/>
      </c>
      <c r="M385" t="str">
        <f>IF($A385&lt;&gt;"",'All Cases - Enter Cases'!M385,"")</f>
        <v/>
      </c>
    </row>
    <row r="386" spans="1:13" x14ac:dyDescent="0.35">
      <c r="A386" t="str">
        <f>IF('All Cases - Enter Cases'!$F386="Balochistan",'All Cases - Enter Cases'!A386,"")</f>
        <v/>
      </c>
      <c r="B386" t="str">
        <f>IF($A386&lt;&gt;"",'All Cases - Enter Cases'!B386,"")</f>
        <v/>
      </c>
      <c r="C386" t="str">
        <f>IF($A386&lt;&gt;"",'All Cases - Enter Cases'!C386,"")</f>
        <v/>
      </c>
      <c r="D386" t="str">
        <f>IF($A386&lt;&gt;"",'All Cases - Enter Cases'!D386,"")</f>
        <v/>
      </c>
      <c r="E386" t="str">
        <f>IF($A386&lt;&gt;"",'All Cases - Enter Cases'!E386,"")</f>
        <v/>
      </c>
      <c r="F386" t="str">
        <f>IF($A386&lt;&gt;"",'All Cases - Enter Cases'!F386,"")</f>
        <v/>
      </c>
      <c r="G386" t="str">
        <f>IF($A386&lt;&gt;"",'All Cases - Enter Cases'!G386,"")</f>
        <v/>
      </c>
      <c r="H386" t="str">
        <f>IF($A386&lt;&gt;"",'All Cases - Enter Cases'!H386,"")</f>
        <v/>
      </c>
      <c r="I386" t="str">
        <f>IF($A386&lt;&gt;"",'All Cases - Enter Cases'!I386,"")</f>
        <v/>
      </c>
      <c r="J386" t="str">
        <f>IF($A386&lt;&gt;"",'All Cases - Enter Cases'!J386,"")</f>
        <v/>
      </c>
      <c r="K386" t="str">
        <f>IF($A386&lt;&gt;"",'All Cases - Enter Cases'!K386,"")</f>
        <v/>
      </c>
      <c r="L386" t="str">
        <f>IF($A386&lt;&gt;"",'All Cases - Enter Cases'!L386,"")</f>
        <v/>
      </c>
      <c r="M386" t="str">
        <f>IF($A386&lt;&gt;"",'All Cases - Enter Cases'!M386,"")</f>
        <v/>
      </c>
    </row>
    <row r="387" spans="1:13" x14ac:dyDescent="0.35">
      <c r="A387" t="str">
        <f>IF('All Cases - Enter Cases'!$F387="Balochistan",'All Cases - Enter Cases'!A387,"")</f>
        <v/>
      </c>
      <c r="B387" t="str">
        <f>IF($A387&lt;&gt;"",'All Cases - Enter Cases'!B387,"")</f>
        <v/>
      </c>
      <c r="C387" t="str">
        <f>IF($A387&lt;&gt;"",'All Cases - Enter Cases'!C387,"")</f>
        <v/>
      </c>
      <c r="D387" t="str">
        <f>IF($A387&lt;&gt;"",'All Cases - Enter Cases'!D387,"")</f>
        <v/>
      </c>
      <c r="E387" t="str">
        <f>IF($A387&lt;&gt;"",'All Cases - Enter Cases'!E387,"")</f>
        <v/>
      </c>
      <c r="F387" t="str">
        <f>IF($A387&lt;&gt;"",'All Cases - Enter Cases'!F387,"")</f>
        <v/>
      </c>
      <c r="G387" t="str">
        <f>IF($A387&lt;&gt;"",'All Cases - Enter Cases'!G387,"")</f>
        <v/>
      </c>
      <c r="H387" t="str">
        <f>IF($A387&lt;&gt;"",'All Cases - Enter Cases'!H387,"")</f>
        <v/>
      </c>
      <c r="I387" t="str">
        <f>IF($A387&lt;&gt;"",'All Cases - Enter Cases'!I387,"")</f>
        <v/>
      </c>
      <c r="J387" t="str">
        <f>IF($A387&lt;&gt;"",'All Cases - Enter Cases'!J387,"")</f>
        <v/>
      </c>
      <c r="K387" t="str">
        <f>IF($A387&lt;&gt;"",'All Cases - Enter Cases'!K387,"")</f>
        <v/>
      </c>
      <c r="L387" t="str">
        <f>IF($A387&lt;&gt;"",'All Cases - Enter Cases'!L387,"")</f>
        <v/>
      </c>
      <c r="M387" t="str">
        <f>IF($A387&lt;&gt;"",'All Cases - Enter Cases'!M387,"")</f>
        <v/>
      </c>
    </row>
    <row r="388" spans="1:13" x14ac:dyDescent="0.35">
      <c r="A388" t="str">
        <f>IF('All Cases - Enter Cases'!$F388="Balochistan",'All Cases - Enter Cases'!A388,"")</f>
        <v/>
      </c>
      <c r="B388" t="str">
        <f>IF($A388&lt;&gt;"",'All Cases - Enter Cases'!B388,"")</f>
        <v/>
      </c>
      <c r="C388" t="str">
        <f>IF($A388&lt;&gt;"",'All Cases - Enter Cases'!C388,"")</f>
        <v/>
      </c>
      <c r="D388" t="str">
        <f>IF($A388&lt;&gt;"",'All Cases - Enter Cases'!D388,"")</f>
        <v/>
      </c>
      <c r="E388" t="str">
        <f>IF($A388&lt;&gt;"",'All Cases - Enter Cases'!E388,"")</f>
        <v/>
      </c>
      <c r="F388" t="str">
        <f>IF($A388&lt;&gt;"",'All Cases - Enter Cases'!F388,"")</f>
        <v/>
      </c>
      <c r="G388" t="str">
        <f>IF($A388&lt;&gt;"",'All Cases - Enter Cases'!G388,"")</f>
        <v/>
      </c>
      <c r="H388" t="str">
        <f>IF($A388&lt;&gt;"",'All Cases - Enter Cases'!H388,"")</f>
        <v/>
      </c>
      <c r="I388" t="str">
        <f>IF($A388&lt;&gt;"",'All Cases - Enter Cases'!I388,"")</f>
        <v/>
      </c>
      <c r="J388" t="str">
        <f>IF($A388&lt;&gt;"",'All Cases - Enter Cases'!J388,"")</f>
        <v/>
      </c>
      <c r="K388" t="str">
        <f>IF($A388&lt;&gt;"",'All Cases - Enter Cases'!K388,"")</f>
        <v/>
      </c>
      <c r="L388" t="str">
        <f>IF($A388&lt;&gt;"",'All Cases - Enter Cases'!L388,"")</f>
        <v/>
      </c>
      <c r="M388" t="str">
        <f>IF($A388&lt;&gt;"",'All Cases - Enter Cases'!M388,"")</f>
        <v/>
      </c>
    </row>
    <row r="389" spans="1:13" x14ac:dyDescent="0.35">
      <c r="A389" t="str">
        <f>IF('All Cases - Enter Cases'!$F389="Balochistan",'All Cases - Enter Cases'!A389,"")</f>
        <v/>
      </c>
      <c r="B389" t="str">
        <f>IF($A389&lt;&gt;"",'All Cases - Enter Cases'!B389,"")</f>
        <v/>
      </c>
      <c r="C389" t="str">
        <f>IF($A389&lt;&gt;"",'All Cases - Enter Cases'!C389,"")</f>
        <v/>
      </c>
      <c r="D389" t="str">
        <f>IF($A389&lt;&gt;"",'All Cases - Enter Cases'!D389,"")</f>
        <v/>
      </c>
      <c r="E389" t="str">
        <f>IF($A389&lt;&gt;"",'All Cases - Enter Cases'!E389,"")</f>
        <v/>
      </c>
      <c r="F389" t="str">
        <f>IF($A389&lt;&gt;"",'All Cases - Enter Cases'!F389,"")</f>
        <v/>
      </c>
      <c r="G389" t="str">
        <f>IF($A389&lt;&gt;"",'All Cases - Enter Cases'!G389,"")</f>
        <v/>
      </c>
      <c r="H389" t="str">
        <f>IF($A389&lt;&gt;"",'All Cases - Enter Cases'!H389,"")</f>
        <v/>
      </c>
      <c r="I389" t="str">
        <f>IF($A389&lt;&gt;"",'All Cases - Enter Cases'!I389,"")</f>
        <v/>
      </c>
      <c r="J389" t="str">
        <f>IF($A389&lt;&gt;"",'All Cases - Enter Cases'!J389,"")</f>
        <v/>
      </c>
      <c r="K389" t="str">
        <f>IF($A389&lt;&gt;"",'All Cases - Enter Cases'!K389,"")</f>
        <v/>
      </c>
      <c r="L389" t="str">
        <f>IF($A389&lt;&gt;"",'All Cases - Enter Cases'!L389,"")</f>
        <v/>
      </c>
      <c r="M389" t="str">
        <f>IF($A389&lt;&gt;"",'All Cases - Enter Cases'!M389,"")</f>
        <v/>
      </c>
    </row>
    <row r="390" spans="1:13" x14ac:dyDescent="0.35">
      <c r="A390" t="str">
        <f>IF('All Cases - Enter Cases'!$F390="Balochistan",'All Cases - Enter Cases'!A390,"")</f>
        <v/>
      </c>
      <c r="B390" t="str">
        <f>IF($A390&lt;&gt;"",'All Cases - Enter Cases'!B390,"")</f>
        <v/>
      </c>
      <c r="C390" t="str">
        <f>IF($A390&lt;&gt;"",'All Cases - Enter Cases'!C390,"")</f>
        <v/>
      </c>
      <c r="D390" t="str">
        <f>IF($A390&lt;&gt;"",'All Cases - Enter Cases'!D390,"")</f>
        <v/>
      </c>
      <c r="E390" t="str">
        <f>IF($A390&lt;&gt;"",'All Cases - Enter Cases'!E390,"")</f>
        <v/>
      </c>
      <c r="F390" t="str">
        <f>IF($A390&lt;&gt;"",'All Cases - Enter Cases'!F390,"")</f>
        <v/>
      </c>
      <c r="G390" t="str">
        <f>IF($A390&lt;&gt;"",'All Cases - Enter Cases'!G390,"")</f>
        <v/>
      </c>
      <c r="H390" t="str">
        <f>IF($A390&lt;&gt;"",'All Cases - Enter Cases'!H390,"")</f>
        <v/>
      </c>
      <c r="I390" t="str">
        <f>IF($A390&lt;&gt;"",'All Cases - Enter Cases'!I390,"")</f>
        <v/>
      </c>
      <c r="J390" t="str">
        <f>IF($A390&lt;&gt;"",'All Cases - Enter Cases'!J390,"")</f>
        <v/>
      </c>
      <c r="K390" t="str">
        <f>IF($A390&lt;&gt;"",'All Cases - Enter Cases'!K390,"")</f>
        <v/>
      </c>
      <c r="L390" t="str">
        <f>IF($A390&lt;&gt;"",'All Cases - Enter Cases'!L390,"")</f>
        <v/>
      </c>
      <c r="M390" t="str">
        <f>IF($A390&lt;&gt;"",'All Cases - Enter Cases'!M390,"")</f>
        <v/>
      </c>
    </row>
    <row r="391" spans="1:13" x14ac:dyDescent="0.35">
      <c r="A391" t="str">
        <f>IF('All Cases - Enter Cases'!$F391="Balochistan",'All Cases - Enter Cases'!A391,"")</f>
        <v/>
      </c>
      <c r="B391" t="str">
        <f>IF($A391&lt;&gt;"",'All Cases - Enter Cases'!B391,"")</f>
        <v/>
      </c>
      <c r="C391" t="str">
        <f>IF($A391&lt;&gt;"",'All Cases - Enter Cases'!C391,"")</f>
        <v/>
      </c>
      <c r="D391" t="str">
        <f>IF($A391&lt;&gt;"",'All Cases - Enter Cases'!D391,"")</f>
        <v/>
      </c>
      <c r="E391" t="str">
        <f>IF($A391&lt;&gt;"",'All Cases - Enter Cases'!E391,"")</f>
        <v/>
      </c>
      <c r="F391" t="str">
        <f>IF($A391&lt;&gt;"",'All Cases - Enter Cases'!F391,"")</f>
        <v/>
      </c>
      <c r="G391" t="str">
        <f>IF($A391&lt;&gt;"",'All Cases - Enter Cases'!G391,"")</f>
        <v/>
      </c>
      <c r="H391" t="str">
        <f>IF($A391&lt;&gt;"",'All Cases - Enter Cases'!H391,"")</f>
        <v/>
      </c>
      <c r="I391" t="str">
        <f>IF($A391&lt;&gt;"",'All Cases - Enter Cases'!I391,"")</f>
        <v/>
      </c>
      <c r="J391" t="str">
        <f>IF($A391&lt;&gt;"",'All Cases - Enter Cases'!J391,"")</f>
        <v/>
      </c>
      <c r="K391" t="str">
        <f>IF($A391&lt;&gt;"",'All Cases - Enter Cases'!K391,"")</f>
        <v/>
      </c>
      <c r="L391" t="str">
        <f>IF($A391&lt;&gt;"",'All Cases - Enter Cases'!L391,"")</f>
        <v/>
      </c>
      <c r="M391" t="str">
        <f>IF($A391&lt;&gt;"",'All Cases - Enter Cases'!M391,"")</f>
        <v/>
      </c>
    </row>
    <row r="392" spans="1:13" x14ac:dyDescent="0.35">
      <c r="A392" t="str">
        <f>IF('All Cases - Enter Cases'!$F392="Balochistan",'All Cases - Enter Cases'!A392,"")</f>
        <v/>
      </c>
      <c r="B392" t="str">
        <f>IF($A392&lt;&gt;"",'All Cases - Enter Cases'!B392,"")</f>
        <v/>
      </c>
      <c r="C392" t="str">
        <f>IF($A392&lt;&gt;"",'All Cases - Enter Cases'!C392,"")</f>
        <v/>
      </c>
      <c r="D392" t="str">
        <f>IF($A392&lt;&gt;"",'All Cases - Enter Cases'!D392,"")</f>
        <v/>
      </c>
      <c r="E392" t="str">
        <f>IF($A392&lt;&gt;"",'All Cases - Enter Cases'!E392,"")</f>
        <v/>
      </c>
      <c r="F392" t="str">
        <f>IF($A392&lt;&gt;"",'All Cases - Enter Cases'!F392,"")</f>
        <v/>
      </c>
      <c r="G392" t="str">
        <f>IF($A392&lt;&gt;"",'All Cases - Enter Cases'!G392,"")</f>
        <v/>
      </c>
      <c r="H392" t="str">
        <f>IF($A392&lt;&gt;"",'All Cases - Enter Cases'!H392,"")</f>
        <v/>
      </c>
      <c r="I392" t="str">
        <f>IF($A392&lt;&gt;"",'All Cases - Enter Cases'!I392,"")</f>
        <v/>
      </c>
      <c r="J392" t="str">
        <f>IF($A392&lt;&gt;"",'All Cases - Enter Cases'!J392,"")</f>
        <v/>
      </c>
      <c r="K392" t="str">
        <f>IF($A392&lt;&gt;"",'All Cases - Enter Cases'!K392,"")</f>
        <v/>
      </c>
      <c r="L392" t="str">
        <f>IF($A392&lt;&gt;"",'All Cases - Enter Cases'!L392,"")</f>
        <v/>
      </c>
      <c r="M392" t="str">
        <f>IF($A392&lt;&gt;"",'All Cases - Enter Cases'!M392,"")</f>
        <v/>
      </c>
    </row>
    <row r="393" spans="1:13" x14ac:dyDescent="0.35">
      <c r="A393" t="str">
        <f>IF('All Cases - Enter Cases'!$F393="Balochistan",'All Cases - Enter Cases'!A393,"")</f>
        <v/>
      </c>
      <c r="B393" t="str">
        <f>IF($A393&lt;&gt;"",'All Cases - Enter Cases'!B393,"")</f>
        <v/>
      </c>
      <c r="C393" t="str">
        <f>IF($A393&lt;&gt;"",'All Cases - Enter Cases'!C393,"")</f>
        <v/>
      </c>
      <c r="D393" t="str">
        <f>IF($A393&lt;&gt;"",'All Cases - Enter Cases'!D393,"")</f>
        <v/>
      </c>
      <c r="E393" t="str">
        <f>IF($A393&lt;&gt;"",'All Cases - Enter Cases'!E393,"")</f>
        <v/>
      </c>
      <c r="F393" t="str">
        <f>IF($A393&lt;&gt;"",'All Cases - Enter Cases'!F393,"")</f>
        <v/>
      </c>
      <c r="G393" t="str">
        <f>IF($A393&lt;&gt;"",'All Cases - Enter Cases'!G393,"")</f>
        <v/>
      </c>
      <c r="H393" t="str">
        <f>IF($A393&lt;&gt;"",'All Cases - Enter Cases'!H393,"")</f>
        <v/>
      </c>
      <c r="I393" t="str">
        <f>IF($A393&lt;&gt;"",'All Cases - Enter Cases'!I393,"")</f>
        <v/>
      </c>
      <c r="J393" t="str">
        <f>IF($A393&lt;&gt;"",'All Cases - Enter Cases'!J393,"")</f>
        <v/>
      </c>
      <c r="K393" t="str">
        <f>IF($A393&lt;&gt;"",'All Cases - Enter Cases'!K393,"")</f>
        <v/>
      </c>
      <c r="L393" t="str">
        <f>IF($A393&lt;&gt;"",'All Cases - Enter Cases'!L393,"")</f>
        <v/>
      </c>
      <c r="M393" t="str">
        <f>IF($A393&lt;&gt;"",'All Cases - Enter Cases'!M393,"")</f>
        <v/>
      </c>
    </row>
    <row r="394" spans="1:13" x14ac:dyDescent="0.35">
      <c r="A394" t="str">
        <f>IF('All Cases - Enter Cases'!$F394="Balochistan",'All Cases - Enter Cases'!A394,"")</f>
        <v/>
      </c>
      <c r="B394" t="str">
        <f>IF($A394&lt;&gt;"",'All Cases - Enter Cases'!B394,"")</f>
        <v/>
      </c>
      <c r="C394" t="str">
        <f>IF($A394&lt;&gt;"",'All Cases - Enter Cases'!C394,"")</f>
        <v/>
      </c>
      <c r="D394" t="str">
        <f>IF($A394&lt;&gt;"",'All Cases - Enter Cases'!D394,"")</f>
        <v/>
      </c>
      <c r="E394" t="str">
        <f>IF($A394&lt;&gt;"",'All Cases - Enter Cases'!E394,"")</f>
        <v/>
      </c>
      <c r="F394" t="str">
        <f>IF($A394&lt;&gt;"",'All Cases - Enter Cases'!F394,"")</f>
        <v/>
      </c>
      <c r="G394" t="str">
        <f>IF($A394&lt;&gt;"",'All Cases - Enter Cases'!G394,"")</f>
        <v/>
      </c>
      <c r="H394" t="str">
        <f>IF($A394&lt;&gt;"",'All Cases - Enter Cases'!H394,"")</f>
        <v/>
      </c>
      <c r="I394" t="str">
        <f>IF($A394&lt;&gt;"",'All Cases - Enter Cases'!I394,"")</f>
        <v/>
      </c>
      <c r="J394" t="str">
        <f>IF($A394&lt;&gt;"",'All Cases - Enter Cases'!J394,"")</f>
        <v/>
      </c>
      <c r="K394" t="str">
        <f>IF($A394&lt;&gt;"",'All Cases - Enter Cases'!K394,"")</f>
        <v/>
      </c>
      <c r="L394" t="str">
        <f>IF($A394&lt;&gt;"",'All Cases - Enter Cases'!L394,"")</f>
        <v/>
      </c>
      <c r="M394" t="str">
        <f>IF($A394&lt;&gt;"",'All Cases - Enter Cases'!M394,"")</f>
        <v/>
      </c>
    </row>
    <row r="395" spans="1:13" x14ac:dyDescent="0.35">
      <c r="A395" t="str">
        <f>IF('All Cases - Enter Cases'!$F395="Balochistan",'All Cases - Enter Cases'!A395,"")</f>
        <v/>
      </c>
      <c r="B395" t="str">
        <f>IF($A395&lt;&gt;"",'All Cases - Enter Cases'!B395,"")</f>
        <v/>
      </c>
      <c r="C395" t="str">
        <f>IF($A395&lt;&gt;"",'All Cases - Enter Cases'!C395,"")</f>
        <v/>
      </c>
      <c r="D395" t="str">
        <f>IF($A395&lt;&gt;"",'All Cases - Enter Cases'!D395,"")</f>
        <v/>
      </c>
      <c r="E395" t="str">
        <f>IF($A395&lt;&gt;"",'All Cases - Enter Cases'!E395,"")</f>
        <v/>
      </c>
      <c r="F395" t="str">
        <f>IF($A395&lt;&gt;"",'All Cases - Enter Cases'!F395,"")</f>
        <v/>
      </c>
      <c r="G395" t="str">
        <f>IF($A395&lt;&gt;"",'All Cases - Enter Cases'!G395,"")</f>
        <v/>
      </c>
      <c r="H395" t="str">
        <f>IF($A395&lt;&gt;"",'All Cases - Enter Cases'!H395,"")</f>
        <v/>
      </c>
      <c r="I395" t="str">
        <f>IF($A395&lt;&gt;"",'All Cases - Enter Cases'!I395,"")</f>
        <v/>
      </c>
      <c r="J395" t="str">
        <f>IF($A395&lt;&gt;"",'All Cases - Enter Cases'!J395,"")</f>
        <v/>
      </c>
      <c r="K395" t="str">
        <f>IF($A395&lt;&gt;"",'All Cases - Enter Cases'!K395,"")</f>
        <v/>
      </c>
      <c r="L395" t="str">
        <f>IF($A395&lt;&gt;"",'All Cases - Enter Cases'!L395,"")</f>
        <v/>
      </c>
      <c r="M395" t="str">
        <f>IF($A395&lt;&gt;"",'All Cases - Enter Cases'!M395,"")</f>
        <v/>
      </c>
    </row>
    <row r="396" spans="1:13" x14ac:dyDescent="0.35">
      <c r="A396" t="str">
        <f>IF('All Cases - Enter Cases'!$F396="Balochistan",'All Cases - Enter Cases'!A396,"")</f>
        <v/>
      </c>
      <c r="B396" t="str">
        <f>IF($A396&lt;&gt;"",'All Cases - Enter Cases'!B396,"")</f>
        <v/>
      </c>
      <c r="C396" t="str">
        <f>IF($A396&lt;&gt;"",'All Cases - Enter Cases'!C396,"")</f>
        <v/>
      </c>
      <c r="D396" t="str">
        <f>IF($A396&lt;&gt;"",'All Cases - Enter Cases'!D396,"")</f>
        <v/>
      </c>
      <c r="E396" t="str">
        <f>IF($A396&lt;&gt;"",'All Cases - Enter Cases'!E396,"")</f>
        <v/>
      </c>
      <c r="F396" t="str">
        <f>IF($A396&lt;&gt;"",'All Cases - Enter Cases'!F396,"")</f>
        <v/>
      </c>
      <c r="G396" t="str">
        <f>IF($A396&lt;&gt;"",'All Cases - Enter Cases'!G396,"")</f>
        <v/>
      </c>
      <c r="H396" t="str">
        <f>IF($A396&lt;&gt;"",'All Cases - Enter Cases'!H396,"")</f>
        <v/>
      </c>
      <c r="I396" t="str">
        <f>IF($A396&lt;&gt;"",'All Cases - Enter Cases'!I396,"")</f>
        <v/>
      </c>
      <c r="J396" t="str">
        <f>IF($A396&lt;&gt;"",'All Cases - Enter Cases'!J396,"")</f>
        <v/>
      </c>
      <c r="K396" t="str">
        <f>IF($A396&lt;&gt;"",'All Cases - Enter Cases'!K396,"")</f>
        <v/>
      </c>
      <c r="L396" t="str">
        <f>IF($A396&lt;&gt;"",'All Cases - Enter Cases'!L396,"")</f>
        <v/>
      </c>
      <c r="M396" t="str">
        <f>IF($A396&lt;&gt;"",'All Cases - Enter Cases'!M396,"")</f>
        <v/>
      </c>
    </row>
    <row r="397" spans="1:13" x14ac:dyDescent="0.35">
      <c r="A397" t="str">
        <f>IF('All Cases - Enter Cases'!$F397="Balochistan",'All Cases - Enter Cases'!A397,"")</f>
        <v/>
      </c>
      <c r="B397" t="str">
        <f>IF($A397&lt;&gt;"",'All Cases - Enter Cases'!B397,"")</f>
        <v/>
      </c>
      <c r="C397" t="str">
        <f>IF($A397&lt;&gt;"",'All Cases - Enter Cases'!C397,"")</f>
        <v/>
      </c>
      <c r="D397" t="str">
        <f>IF($A397&lt;&gt;"",'All Cases - Enter Cases'!D397,"")</f>
        <v/>
      </c>
      <c r="E397" t="str">
        <f>IF($A397&lt;&gt;"",'All Cases - Enter Cases'!E397,"")</f>
        <v/>
      </c>
      <c r="F397" t="str">
        <f>IF($A397&lt;&gt;"",'All Cases - Enter Cases'!F397,"")</f>
        <v/>
      </c>
      <c r="G397" t="str">
        <f>IF($A397&lt;&gt;"",'All Cases - Enter Cases'!G397,"")</f>
        <v/>
      </c>
      <c r="H397" t="str">
        <f>IF($A397&lt;&gt;"",'All Cases - Enter Cases'!H397,"")</f>
        <v/>
      </c>
      <c r="I397" t="str">
        <f>IF($A397&lt;&gt;"",'All Cases - Enter Cases'!I397,"")</f>
        <v/>
      </c>
      <c r="J397" t="str">
        <f>IF($A397&lt;&gt;"",'All Cases - Enter Cases'!J397,"")</f>
        <v/>
      </c>
      <c r="K397" t="str">
        <f>IF($A397&lt;&gt;"",'All Cases - Enter Cases'!K397,"")</f>
        <v/>
      </c>
      <c r="L397" t="str">
        <f>IF($A397&lt;&gt;"",'All Cases - Enter Cases'!L397,"")</f>
        <v/>
      </c>
      <c r="M397" t="str">
        <f>IF($A397&lt;&gt;"",'All Cases - Enter Cases'!M397,"")</f>
        <v/>
      </c>
    </row>
    <row r="398" spans="1:13" x14ac:dyDescent="0.35">
      <c r="A398" t="str">
        <f>IF('All Cases - Enter Cases'!$F398="Balochistan",'All Cases - Enter Cases'!A398,"")</f>
        <v/>
      </c>
      <c r="B398" t="str">
        <f>IF($A398&lt;&gt;"",'All Cases - Enter Cases'!B398,"")</f>
        <v/>
      </c>
      <c r="C398" t="str">
        <f>IF($A398&lt;&gt;"",'All Cases - Enter Cases'!C398,"")</f>
        <v/>
      </c>
      <c r="D398" t="str">
        <f>IF($A398&lt;&gt;"",'All Cases - Enter Cases'!D398,"")</f>
        <v/>
      </c>
      <c r="E398" t="str">
        <f>IF($A398&lt;&gt;"",'All Cases - Enter Cases'!E398,"")</f>
        <v/>
      </c>
      <c r="F398" t="str">
        <f>IF($A398&lt;&gt;"",'All Cases - Enter Cases'!F398,"")</f>
        <v/>
      </c>
      <c r="G398" t="str">
        <f>IF($A398&lt;&gt;"",'All Cases - Enter Cases'!G398,"")</f>
        <v/>
      </c>
      <c r="H398" t="str">
        <f>IF($A398&lt;&gt;"",'All Cases - Enter Cases'!H398,"")</f>
        <v/>
      </c>
      <c r="I398" t="str">
        <f>IF($A398&lt;&gt;"",'All Cases - Enter Cases'!I398,"")</f>
        <v/>
      </c>
      <c r="J398" t="str">
        <f>IF($A398&lt;&gt;"",'All Cases - Enter Cases'!J398,"")</f>
        <v/>
      </c>
      <c r="K398" t="str">
        <f>IF($A398&lt;&gt;"",'All Cases - Enter Cases'!K398,"")</f>
        <v/>
      </c>
      <c r="L398" t="str">
        <f>IF($A398&lt;&gt;"",'All Cases - Enter Cases'!L398,"")</f>
        <v/>
      </c>
      <c r="M398" t="str">
        <f>IF($A398&lt;&gt;"",'All Cases - Enter Cases'!M398,"")</f>
        <v/>
      </c>
    </row>
    <row r="399" spans="1:13" x14ac:dyDescent="0.35">
      <c r="A399" t="str">
        <f>IF('All Cases - Enter Cases'!$F399="Balochistan",'All Cases - Enter Cases'!A399,"")</f>
        <v/>
      </c>
      <c r="B399" t="str">
        <f>IF($A399&lt;&gt;"",'All Cases - Enter Cases'!B399,"")</f>
        <v/>
      </c>
      <c r="C399" t="str">
        <f>IF($A399&lt;&gt;"",'All Cases - Enter Cases'!C399,"")</f>
        <v/>
      </c>
      <c r="D399" t="str">
        <f>IF($A399&lt;&gt;"",'All Cases - Enter Cases'!D399,"")</f>
        <v/>
      </c>
      <c r="E399" t="str">
        <f>IF($A399&lt;&gt;"",'All Cases - Enter Cases'!E399,"")</f>
        <v/>
      </c>
      <c r="F399" t="str">
        <f>IF($A399&lt;&gt;"",'All Cases - Enter Cases'!F399,"")</f>
        <v/>
      </c>
      <c r="G399" t="str">
        <f>IF($A399&lt;&gt;"",'All Cases - Enter Cases'!G399,"")</f>
        <v/>
      </c>
      <c r="H399" t="str">
        <f>IF($A399&lt;&gt;"",'All Cases - Enter Cases'!H399,"")</f>
        <v/>
      </c>
      <c r="I399" t="str">
        <f>IF($A399&lt;&gt;"",'All Cases - Enter Cases'!I399,"")</f>
        <v/>
      </c>
      <c r="J399" t="str">
        <f>IF($A399&lt;&gt;"",'All Cases - Enter Cases'!J399,"")</f>
        <v/>
      </c>
      <c r="K399" t="str">
        <f>IF($A399&lt;&gt;"",'All Cases - Enter Cases'!K399,"")</f>
        <v/>
      </c>
      <c r="L399" t="str">
        <f>IF($A399&lt;&gt;"",'All Cases - Enter Cases'!L399,"")</f>
        <v/>
      </c>
      <c r="M399" t="str">
        <f>IF($A399&lt;&gt;"",'All Cases - Enter Cases'!M399,"")</f>
        <v/>
      </c>
    </row>
    <row r="400" spans="1:13" x14ac:dyDescent="0.35">
      <c r="A400" t="str">
        <f>IF('All Cases - Enter Cases'!$F400="Balochistan",'All Cases - Enter Cases'!A400,"")</f>
        <v/>
      </c>
      <c r="B400" t="str">
        <f>IF($A400&lt;&gt;"",'All Cases - Enter Cases'!B400,"")</f>
        <v/>
      </c>
      <c r="C400" t="str">
        <f>IF($A400&lt;&gt;"",'All Cases - Enter Cases'!C400,"")</f>
        <v/>
      </c>
      <c r="D400" t="str">
        <f>IF($A400&lt;&gt;"",'All Cases - Enter Cases'!D400,"")</f>
        <v/>
      </c>
      <c r="E400" t="str">
        <f>IF($A400&lt;&gt;"",'All Cases - Enter Cases'!E400,"")</f>
        <v/>
      </c>
      <c r="F400" t="str">
        <f>IF($A400&lt;&gt;"",'All Cases - Enter Cases'!F400,"")</f>
        <v/>
      </c>
      <c r="G400" t="str">
        <f>IF($A400&lt;&gt;"",'All Cases - Enter Cases'!G400,"")</f>
        <v/>
      </c>
      <c r="H400" t="str">
        <f>IF($A400&lt;&gt;"",'All Cases - Enter Cases'!H400,"")</f>
        <v/>
      </c>
      <c r="I400" t="str">
        <f>IF($A400&lt;&gt;"",'All Cases - Enter Cases'!I400,"")</f>
        <v/>
      </c>
      <c r="J400" t="str">
        <f>IF($A400&lt;&gt;"",'All Cases - Enter Cases'!J400,"")</f>
        <v/>
      </c>
      <c r="K400" t="str">
        <f>IF($A400&lt;&gt;"",'All Cases - Enter Cases'!K400,"")</f>
        <v/>
      </c>
      <c r="L400" t="str">
        <f>IF($A400&lt;&gt;"",'All Cases - Enter Cases'!L400,"")</f>
        <v/>
      </c>
      <c r="M400" t="str">
        <f>IF($A400&lt;&gt;"",'All Cases - Enter Cases'!M400,"")</f>
        <v/>
      </c>
    </row>
    <row r="401" spans="1:13" x14ac:dyDescent="0.35">
      <c r="A401" t="str">
        <f>IF('All Cases - Enter Cases'!$F401="Balochistan",'All Cases - Enter Cases'!A401,"")</f>
        <v/>
      </c>
      <c r="B401" t="str">
        <f>IF($A401&lt;&gt;"",'All Cases - Enter Cases'!B401,"")</f>
        <v/>
      </c>
      <c r="C401" t="str">
        <f>IF($A401&lt;&gt;"",'All Cases - Enter Cases'!C401,"")</f>
        <v/>
      </c>
      <c r="D401" t="str">
        <f>IF($A401&lt;&gt;"",'All Cases - Enter Cases'!D401,"")</f>
        <v/>
      </c>
      <c r="E401" t="str">
        <f>IF($A401&lt;&gt;"",'All Cases - Enter Cases'!E401,"")</f>
        <v/>
      </c>
      <c r="F401" t="str">
        <f>IF($A401&lt;&gt;"",'All Cases - Enter Cases'!F401,"")</f>
        <v/>
      </c>
      <c r="G401" t="str">
        <f>IF($A401&lt;&gt;"",'All Cases - Enter Cases'!G401,"")</f>
        <v/>
      </c>
      <c r="H401" t="str">
        <f>IF($A401&lt;&gt;"",'All Cases - Enter Cases'!H401,"")</f>
        <v/>
      </c>
      <c r="I401" t="str">
        <f>IF($A401&lt;&gt;"",'All Cases - Enter Cases'!I401,"")</f>
        <v/>
      </c>
      <c r="J401" t="str">
        <f>IF($A401&lt;&gt;"",'All Cases - Enter Cases'!J401,"")</f>
        <v/>
      </c>
      <c r="K401" t="str">
        <f>IF($A401&lt;&gt;"",'All Cases - Enter Cases'!K401,"")</f>
        <v/>
      </c>
      <c r="L401" t="str">
        <f>IF($A401&lt;&gt;"",'All Cases - Enter Cases'!L401,"")</f>
        <v/>
      </c>
      <c r="M401" t="str">
        <f>IF($A401&lt;&gt;"",'All Cases - Enter Cases'!M401,"")</f>
        <v/>
      </c>
    </row>
    <row r="402" spans="1:13" x14ac:dyDescent="0.35">
      <c r="A402" t="str">
        <f>IF('All Cases - Enter Cases'!$F402="Balochistan",'All Cases - Enter Cases'!A402,"")</f>
        <v/>
      </c>
      <c r="B402" t="str">
        <f>IF($A402&lt;&gt;"",'All Cases - Enter Cases'!B402,"")</f>
        <v/>
      </c>
      <c r="C402" t="str">
        <f>IF($A402&lt;&gt;"",'All Cases - Enter Cases'!C402,"")</f>
        <v/>
      </c>
      <c r="D402" t="str">
        <f>IF($A402&lt;&gt;"",'All Cases - Enter Cases'!D402,"")</f>
        <v/>
      </c>
      <c r="E402" t="str">
        <f>IF($A402&lt;&gt;"",'All Cases - Enter Cases'!E402,"")</f>
        <v/>
      </c>
      <c r="F402" t="str">
        <f>IF($A402&lt;&gt;"",'All Cases - Enter Cases'!F402,"")</f>
        <v/>
      </c>
      <c r="G402" t="str">
        <f>IF($A402&lt;&gt;"",'All Cases - Enter Cases'!G402,"")</f>
        <v/>
      </c>
      <c r="H402" t="str">
        <f>IF($A402&lt;&gt;"",'All Cases - Enter Cases'!H402,"")</f>
        <v/>
      </c>
      <c r="I402" t="str">
        <f>IF($A402&lt;&gt;"",'All Cases - Enter Cases'!I402,"")</f>
        <v/>
      </c>
      <c r="J402" t="str">
        <f>IF($A402&lt;&gt;"",'All Cases - Enter Cases'!J402,"")</f>
        <v/>
      </c>
      <c r="K402" t="str">
        <f>IF($A402&lt;&gt;"",'All Cases - Enter Cases'!K402,"")</f>
        <v/>
      </c>
      <c r="L402" t="str">
        <f>IF($A402&lt;&gt;"",'All Cases - Enter Cases'!L402,"")</f>
        <v/>
      </c>
      <c r="M402" t="str">
        <f>IF($A402&lt;&gt;"",'All Cases - Enter Cases'!M402,"")</f>
        <v/>
      </c>
    </row>
    <row r="403" spans="1:13" x14ac:dyDescent="0.35">
      <c r="A403" t="str">
        <f>IF('All Cases - Enter Cases'!$F403="Balochistan",'All Cases - Enter Cases'!A403,"")</f>
        <v/>
      </c>
      <c r="B403" t="str">
        <f>IF($A403&lt;&gt;"",'All Cases - Enter Cases'!B403,"")</f>
        <v/>
      </c>
      <c r="C403" t="str">
        <f>IF($A403&lt;&gt;"",'All Cases - Enter Cases'!C403,"")</f>
        <v/>
      </c>
      <c r="D403" t="str">
        <f>IF($A403&lt;&gt;"",'All Cases - Enter Cases'!D403,"")</f>
        <v/>
      </c>
      <c r="E403" t="str">
        <f>IF($A403&lt;&gt;"",'All Cases - Enter Cases'!E403,"")</f>
        <v/>
      </c>
      <c r="F403" t="str">
        <f>IF($A403&lt;&gt;"",'All Cases - Enter Cases'!F403,"")</f>
        <v/>
      </c>
      <c r="G403" t="str">
        <f>IF($A403&lt;&gt;"",'All Cases - Enter Cases'!G403,"")</f>
        <v/>
      </c>
      <c r="H403" t="str">
        <f>IF($A403&lt;&gt;"",'All Cases - Enter Cases'!H403,"")</f>
        <v/>
      </c>
      <c r="I403" t="str">
        <f>IF($A403&lt;&gt;"",'All Cases - Enter Cases'!I403,"")</f>
        <v/>
      </c>
      <c r="J403" t="str">
        <f>IF($A403&lt;&gt;"",'All Cases - Enter Cases'!J403,"")</f>
        <v/>
      </c>
      <c r="K403" t="str">
        <f>IF($A403&lt;&gt;"",'All Cases - Enter Cases'!K403,"")</f>
        <v/>
      </c>
      <c r="L403" t="str">
        <f>IF($A403&lt;&gt;"",'All Cases - Enter Cases'!L403,"")</f>
        <v/>
      </c>
      <c r="M403" t="str">
        <f>IF($A403&lt;&gt;"",'All Cases - Enter Cases'!M403,"")</f>
        <v/>
      </c>
    </row>
    <row r="404" spans="1:13" x14ac:dyDescent="0.35">
      <c r="A404" t="str">
        <f>IF('All Cases - Enter Cases'!$F404="Balochistan",'All Cases - Enter Cases'!A404,"")</f>
        <v/>
      </c>
      <c r="B404" t="str">
        <f>IF($A404&lt;&gt;"",'All Cases - Enter Cases'!B404,"")</f>
        <v/>
      </c>
      <c r="C404" t="str">
        <f>IF($A404&lt;&gt;"",'All Cases - Enter Cases'!C404,"")</f>
        <v/>
      </c>
      <c r="D404" t="str">
        <f>IF($A404&lt;&gt;"",'All Cases - Enter Cases'!D404,"")</f>
        <v/>
      </c>
      <c r="E404" t="str">
        <f>IF($A404&lt;&gt;"",'All Cases - Enter Cases'!E404,"")</f>
        <v/>
      </c>
      <c r="F404" t="str">
        <f>IF($A404&lt;&gt;"",'All Cases - Enter Cases'!F404,"")</f>
        <v/>
      </c>
      <c r="G404" t="str">
        <f>IF($A404&lt;&gt;"",'All Cases - Enter Cases'!G404,"")</f>
        <v/>
      </c>
      <c r="H404" t="str">
        <f>IF($A404&lt;&gt;"",'All Cases - Enter Cases'!H404,"")</f>
        <v/>
      </c>
      <c r="I404" t="str">
        <f>IF($A404&lt;&gt;"",'All Cases - Enter Cases'!I404,"")</f>
        <v/>
      </c>
      <c r="J404" t="str">
        <f>IF($A404&lt;&gt;"",'All Cases - Enter Cases'!J404,"")</f>
        <v/>
      </c>
      <c r="K404" t="str">
        <f>IF($A404&lt;&gt;"",'All Cases - Enter Cases'!K404,"")</f>
        <v/>
      </c>
      <c r="L404" t="str">
        <f>IF($A404&lt;&gt;"",'All Cases - Enter Cases'!L404,"")</f>
        <v/>
      </c>
      <c r="M404" t="str">
        <f>IF($A404&lt;&gt;"",'All Cases - Enter Cases'!M404,"")</f>
        <v/>
      </c>
    </row>
    <row r="405" spans="1:13" x14ac:dyDescent="0.35">
      <c r="A405" t="str">
        <f>IF('All Cases - Enter Cases'!$F405="Balochistan",'All Cases - Enter Cases'!A405,"")</f>
        <v/>
      </c>
      <c r="B405" t="str">
        <f>IF($A405&lt;&gt;"",'All Cases - Enter Cases'!B405,"")</f>
        <v/>
      </c>
      <c r="C405" t="str">
        <f>IF($A405&lt;&gt;"",'All Cases - Enter Cases'!C405,"")</f>
        <v/>
      </c>
      <c r="D405" t="str">
        <f>IF($A405&lt;&gt;"",'All Cases - Enter Cases'!D405,"")</f>
        <v/>
      </c>
      <c r="E405" t="str">
        <f>IF($A405&lt;&gt;"",'All Cases - Enter Cases'!E405,"")</f>
        <v/>
      </c>
      <c r="F405" t="str">
        <f>IF($A405&lt;&gt;"",'All Cases - Enter Cases'!F405,"")</f>
        <v/>
      </c>
      <c r="G405" t="str">
        <f>IF($A405&lt;&gt;"",'All Cases - Enter Cases'!G405,"")</f>
        <v/>
      </c>
      <c r="H405" t="str">
        <f>IF($A405&lt;&gt;"",'All Cases - Enter Cases'!H405,"")</f>
        <v/>
      </c>
      <c r="I405" t="str">
        <f>IF($A405&lt;&gt;"",'All Cases - Enter Cases'!I405,"")</f>
        <v/>
      </c>
      <c r="J405" t="str">
        <f>IF($A405&lt;&gt;"",'All Cases - Enter Cases'!J405,"")</f>
        <v/>
      </c>
      <c r="K405" t="str">
        <f>IF($A405&lt;&gt;"",'All Cases - Enter Cases'!K405,"")</f>
        <v/>
      </c>
      <c r="L405" t="str">
        <f>IF($A405&lt;&gt;"",'All Cases - Enter Cases'!L405,"")</f>
        <v/>
      </c>
      <c r="M405" t="str">
        <f>IF($A405&lt;&gt;"",'All Cases - Enter Cases'!M405,"")</f>
        <v/>
      </c>
    </row>
    <row r="406" spans="1:13" x14ac:dyDescent="0.35">
      <c r="A406" t="str">
        <f>IF('All Cases - Enter Cases'!$F406="Balochistan",'All Cases - Enter Cases'!A406,"")</f>
        <v/>
      </c>
      <c r="B406" t="str">
        <f>IF($A406&lt;&gt;"",'All Cases - Enter Cases'!B406,"")</f>
        <v/>
      </c>
      <c r="C406" t="str">
        <f>IF($A406&lt;&gt;"",'All Cases - Enter Cases'!C406,"")</f>
        <v/>
      </c>
      <c r="D406" t="str">
        <f>IF($A406&lt;&gt;"",'All Cases - Enter Cases'!D406,"")</f>
        <v/>
      </c>
      <c r="E406" t="str">
        <f>IF($A406&lt;&gt;"",'All Cases - Enter Cases'!E406,"")</f>
        <v/>
      </c>
      <c r="F406" t="str">
        <f>IF($A406&lt;&gt;"",'All Cases - Enter Cases'!F406,"")</f>
        <v/>
      </c>
      <c r="G406" t="str">
        <f>IF($A406&lt;&gt;"",'All Cases - Enter Cases'!G406,"")</f>
        <v/>
      </c>
      <c r="H406" t="str">
        <f>IF($A406&lt;&gt;"",'All Cases - Enter Cases'!H406,"")</f>
        <v/>
      </c>
      <c r="I406" t="str">
        <f>IF($A406&lt;&gt;"",'All Cases - Enter Cases'!I406,"")</f>
        <v/>
      </c>
      <c r="J406" t="str">
        <f>IF($A406&lt;&gt;"",'All Cases - Enter Cases'!J406,"")</f>
        <v/>
      </c>
      <c r="K406" t="str">
        <f>IF($A406&lt;&gt;"",'All Cases - Enter Cases'!K406,"")</f>
        <v/>
      </c>
      <c r="L406" t="str">
        <f>IF($A406&lt;&gt;"",'All Cases - Enter Cases'!L406,"")</f>
        <v/>
      </c>
      <c r="M406" t="str">
        <f>IF($A406&lt;&gt;"",'All Cases - Enter Cases'!M406,"")</f>
        <v/>
      </c>
    </row>
    <row r="407" spans="1:13" x14ac:dyDescent="0.35">
      <c r="A407" t="str">
        <f>IF('All Cases - Enter Cases'!$F407="Balochistan",'All Cases - Enter Cases'!A407,"")</f>
        <v/>
      </c>
      <c r="B407" t="str">
        <f>IF($A407&lt;&gt;"",'All Cases - Enter Cases'!B407,"")</f>
        <v/>
      </c>
      <c r="C407" t="str">
        <f>IF($A407&lt;&gt;"",'All Cases - Enter Cases'!C407,"")</f>
        <v/>
      </c>
      <c r="D407" t="str">
        <f>IF($A407&lt;&gt;"",'All Cases - Enter Cases'!D407,"")</f>
        <v/>
      </c>
      <c r="E407" t="str">
        <f>IF($A407&lt;&gt;"",'All Cases - Enter Cases'!E407,"")</f>
        <v/>
      </c>
      <c r="F407" t="str">
        <f>IF($A407&lt;&gt;"",'All Cases - Enter Cases'!F407,"")</f>
        <v/>
      </c>
      <c r="G407" t="str">
        <f>IF($A407&lt;&gt;"",'All Cases - Enter Cases'!G407,"")</f>
        <v/>
      </c>
      <c r="H407" t="str">
        <f>IF($A407&lt;&gt;"",'All Cases - Enter Cases'!H407,"")</f>
        <v/>
      </c>
      <c r="I407" t="str">
        <f>IF($A407&lt;&gt;"",'All Cases - Enter Cases'!I407,"")</f>
        <v/>
      </c>
      <c r="J407" t="str">
        <f>IF($A407&lt;&gt;"",'All Cases - Enter Cases'!J407,"")</f>
        <v/>
      </c>
      <c r="K407" t="str">
        <f>IF($A407&lt;&gt;"",'All Cases - Enter Cases'!K407,"")</f>
        <v/>
      </c>
      <c r="L407" t="str">
        <f>IF($A407&lt;&gt;"",'All Cases - Enter Cases'!L407,"")</f>
        <v/>
      </c>
      <c r="M407" t="str">
        <f>IF($A407&lt;&gt;"",'All Cases - Enter Cases'!M407,"")</f>
        <v/>
      </c>
    </row>
    <row r="408" spans="1:13" x14ac:dyDescent="0.35">
      <c r="A408" t="str">
        <f>IF('All Cases - Enter Cases'!$F408="Balochistan",'All Cases - Enter Cases'!A408,"")</f>
        <v/>
      </c>
      <c r="B408" t="str">
        <f>IF($A408&lt;&gt;"",'All Cases - Enter Cases'!B408,"")</f>
        <v/>
      </c>
      <c r="C408" t="str">
        <f>IF($A408&lt;&gt;"",'All Cases - Enter Cases'!C408,"")</f>
        <v/>
      </c>
      <c r="D408" t="str">
        <f>IF($A408&lt;&gt;"",'All Cases - Enter Cases'!D408,"")</f>
        <v/>
      </c>
      <c r="E408" t="str">
        <f>IF($A408&lt;&gt;"",'All Cases - Enter Cases'!E408,"")</f>
        <v/>
      </c>
      <c r="F408" t="str">
        <f>IF($A408&lt;&gt;"",'All Cases - Enter Cases'!F408,"")</f>
        <v/>
      </c>
      <c r="G408" t="str">
        <f>IF($A408&lt;&gt;"",'All Cases - Enter Cases'!G408,"")</f>
        <v/>
      </c>
      <c r="H408" t="str">
        <f>IF($A408&lt;&gt;"",'All Cases - Enter Cases'!H408,"")</f>
        <v/>
      </c>
      <c r="I408" t="str">
        <f>IF($A408&lt;&gt;"",'All Cases - Enter Cases'!I408,"")</f>
        <v/>
      </c>
      <c r="J408" t="str">
        <f>IF($A408&lt;&gt;"",'All Cases - Enter Cases'!J408,"")</f>
        <v/>
      </c>
      <c r="K408" t="str">
        <f>IF($A408&lt;&gt;"",'All Cases - Enter Cases'!K408,"")</f>
        <v/>
      </c>
      <c r="L408" t="str">
        <f>IF($A408&lt;&gt;"",'All Cases - Enter Cases'!L408,"")</f>
        <v/>
      </c>
      <c r="M408" t="str">
        <f>IF($A408&lt;&gt;"",'All Cases - Enter Cases'!M408,"")</f>
        <v/>
      </c>
    </row>
    <row r="409" spans="1:13" x14ac:dyDescent="0.35">
      <c r="A409" t="str">
        <f>IF('All Cases - Enter Cases'!$F409="Balochistan",'All Cases - Enter Cases'!A409,"")</f>
        <v/>
      </c>
      <c r="B409" t="str">
        <f>IF($A409&lt;&gt;"",'All Cases - Enter Cases'!B409,"")</f>
        <v/>
      </c>
      <c r="C409" t="str">
        <f>IF($A409&lt;&gt;"",'All Cases - Enter Cases'!C409,"")</f>
        <v/>
      </c>
      <c r="D409" t="str">
        <f>IF($A409&lt;&gt;"",'All Cases - Enter Cases'!D409,"")</f>
        <v/>
      </c>
      <c r="E409" t="str">
        <f>IF($A409&lt;&gt;"",'All Cases - Enter Cases'!E409,"")</f>
        <v/>
      </c>
      <c r="F409" t="str">
        <f>IF($A409&lt;&gt;"",'All Cases - Enter Cases'!F409,"")</f>
        <v/>
      </c>
      <c r="G409" t="str">
        <f>IF($A409&lt;&gt;"",'All Cases - Enter Cases'!G409,"")</f>
        <v/>
      </c>
      <c r="H409" t="str">
        <f>IF($A409&lt;&gt;"",'All Cases - Enter Cases'!H409,"")</f>
        <v/>
      </c>
      <c r="I409" t="str">
        <f>IF($A409&lt;&gt;"",'All Cases - Enter Cases'!I409,"")</f>
        <v/>
      </c>
      <c r="J409" t="str">
        <f>IF($A409&lt;&gt;"",'All Cases - Enter Cases'!J409,"")</f>
        <v/>
      </c>
      <c r="K409" t="str">
        <f>IF($A409&lt;&gt;"",'All Cases - Enter Cases'!K409,"")</f>
        <v/>
      </c>
      <c r="L409" t="str">
        <f>IF($A409&lt;&gt;"",'All Cases - Enter Cases'!L409,"")</f>
        <v/>
      </c>
      <c r="M409" t="str">
        <f>IF($A409&lt;&gt;"",'All Cases - Enter Cases'!M409,"")</f>
        <v/>
      </c>
    </row>
    <row r="410" spans="1:13" x14ac:dyDescent="0.35">
      <c r="A410" t="str">
        <f>IF('All Cases - Enter Cases'!$F410="Balochistan",'All Cases - Enter Cases'!A410,"")</f>
        <v/>
      </c>
      <c r="B410" t="str">
        <f>IF($A410&lt;&gt;"",'All Cases - Enter Cases'!B410,"")</f>
        <v/>
      </c>
      <c r="C410" t="str">
        <f>IF($A410&lt;&gt;"",'All Cases - Enter Cases'!C410,"")</f>
        <v/>
      </c>
      <c r="D410" t="str">
        <f>IF($A410&lt;&gt;"",'All Cases - Enter Cases'!D410,"")</f>
        <v/>
      </c>
      <c r="E410" t="str">
        <f>IF($A410&lt;&gt;"",'All Cases - Enter Cases'!E410,"")</f>
        <v/>
      </c>
      <c r="F410" t="str">
        <f>IF($A410&lt;&gt;"",'All Cases - Enter Cases'!F410,"")</f>
        <v/>
      </c>
      <c r="G410" t="str">
        <f>IF($A410&lt;&gt;"",'All Cases - Enter Cases'!G410,"")</f>
        <v/>
      </c>
      <c r="H410" t="str">
        <f>IF($A410&lt;&gt;"",'All Cases - Enter Cases'!H410,"")</f>
        <v/>
      </c>
      <c r="I410" t="str">
        <f>IF($A410&lt;&gt;"",'All Cases - Enter Cases'!I410,"")</f>
        <v/>
      </c>
      <c r="J410" t="str">
        <f>IF($A410&lt;&gt;"",'All Cases - Enter Cases'!J410,"")</f>
        <v/>
      </c>
      <c r="K410" t="str">
        <f>IF($A410&lt;&gt;"",'All Cases - Enter Cases'!K410,"")</f>
        <v/>
      </c>
      <c r="L410" t="str">
        <f>IF($A410&lt;&gt;"",'All Cases - Enter Cases'!L410,"")</f>
        <v/>
      </c>
      <c r="M410" t="str">
        <f>IF($A410&lt;&gt;"",'All Cases - Enter Cases'!M410,"")</f>
        <v/>
      </c>
    </row>
    <row r="411" spans="1:13" x14ac:dyDescent="0.35">
      <c r="A411" t="str">
        <f>IF('All Cases - Enter Cases'!$F411="Balochistan",'All Cases - Enter Cases'!A411,"")</f>
        <v/>
      </c>
      <c r="B411" t="str">
        <f>IF($A411&lt;&gt;"",'All Cases - Enter Cases'!B411,"")</f>
        <v/>
      </c>
      <c r="C411" t="str">
        <f>IF($A411&lt;&gt;"",'All Cases - Enter Cases'!C411,"")</f>
        <v/>
      </c>
      <c r="D411" t="str">
        <f>IF($A411&lt;&gt;"",'All Cases - Enter Cases'!D411,"")</f>
        <v/>
      </c>
      <c r="E411" t="str">
        <f>IF($A411&lt;&gt;"",'All Cases - Enter Cases'!E411,"")</f>
        <v/>
      </c>
      <c r="F411" t="str">
        <f>IF($A411&lt;&gt;"",'All Cases - Enter Cases'!F411,"")</f>
        <v/>
      </c>
      <c r="G411" t="str">
        <f>IF($A411&lt;&gt;"",'All Cases - Enter Cases'!G411,"")</f>
        <v/>
      </c>
      <c r="H411" t="str">
        <f>IF($A411&lt;&gt;"",'All Cases - Enter Cases'!H411,"")</f>
        <v/>
      </c>
      <c r="I411" t="str">
        <f>IF($A411&lt;&gt;"",'All Cases - Enter Cases'!I411,"")</f>
        <v/>
      </c>
      <c r="J411" t="str">
        <f>IF($A411&lt;&gt;"",'All Cases - Enter Cases'!J411,"")</f>
        <v/>
      </c>
      <c r="K411" t="str">
        <f>IF($A411&lt;&gt;"",'All Cases - Enter Cases'!K411,"")</f>
        <v/>
      </c>
      <c r="L411" t="str">
        <f>IF($A411&lt;&gt;"",'All Cases - Enter Cases'!L411,"")</f>
        <v/>
      </c>
      <c r="M411" t="str">
        <f>IF($A411&lt;&gt;"",'All Cases - Enter Cases'!M411,"")</f>
        <v/>
      </c>
    </row>
    <row r="412" spans="1:13" x14ac:dyDescent="0.35">
      <c r="A412" t="str">
        <f>IF('All Cases - Enter Cases'!$F412="Balochistan",'All Cases - Enter Cases'!A412,"")</f>
        <v/>
      </c>
      <c r="B412" t="str">
        <f>IF($A412&lt;&gt;"",'All Cases - Enter Cases'!B412,"")</f>
        <v/>
      </c>
      <c r="C412" t="str">
        <f>IF($A412&lt;&gt;"",'All Cases - Enter Cases'!C412,"")</f>
        <v/>
      </c>
      <c r="D412" t="str">
        <f>IF($A412&lt;&gt;"",'All Cases - Enter Cases'!D412,"")</f>
        <v/>
      </c>
      <c r="E412" t="str">
        <f>IF($A412&lt;&gt;"",'All Cases - Enter Cases'!E412,"")</f>
        <v/>
      </c>
      <c r="F412" t="str">
        <f>IF($A412&lt;&gt;"",'All Cases - Enter Cases'!F412,"")</f>
        <v/>
      </c>
      <c r="G412" t="str">
        <f>IF($A412&lt;&gt;"",'All Cases - Enter Cases'!G412,"")</f>
        <v/>
      </c>
      <c r="H412" t="str">
        <f>IF($A412&lt;&gt;"",'All Cases - Enter Cases'!H412,"")</f>
        <v/>
      </c>
      <c r="I412" t="str">
        <f>IF($A412&lt;&gt;"",'All Cases - Enter Cases'!I412,"")</f>
        <v/>
      </c>
      <c r="J412" t="str">
        <f>IF($A412&lt;&gt;"",'All Cases - Enter Cases'!J412,"")</f>
        <v/>
      </c>
      <c r="K412" t="str">
        <f>IF($A412&lt;&gt;"",'All Cases - Enter Cases'!K412,"")</f>
        <v/>
      </c>
      <c r="L412" t="str">
        <f>IF($A412&lt;&gt;"",'All Cases - Enter Cases'!L412,"")</f>
        <v/>
      </c>
      <c r="M412" t="str">
        <f>IF($A412&lt;&gt;"",'All Cases - Enter Cases'!M412,"")</f>
        <v/>
      </c>
    </row>
    <row r="413" spans="1:13" x14ac:dyDescent="0.35">
      <c r="A413" t="str">
        <f>IF('All Cases - Enter Cases'!$F413="Balochistan",'All Cases - Enter Cases'!A413,"")</f>
        <v/>
      </c>
      <c r="B413" t="str">
        <f>IF($A413&lt;&gt;"",'All Cases - Enter Cases'!B413,"")</f>
        <v/>
      </c>
      <c r="C413" t="str">
        <f>IF($A413&lt;&gt;"",'All Cases - Enter Cases'!C413,"")</f>
        <v/>
      </c>
      <c r="D413" t="str">
        <f>IF($A413&lt;&gt;"",'All Cases - Enter Cases'!D413,"")</f>
        <v/>
      </c>
      <c r="E413" t="str">
        <f>IF($A413&lt;&gt;"",'All Cases - Enter Cases'!E413,"")</f>
        <v/>
      </c>
      <c r="F413" t="str">
        <f>IF($A413&lt;&gt;"",'All Cases - Enter Cases'!F413,"")</f>
        <v/>
      </c>
      <c r="G413" t="str">
        <f>IF($A413&lt;&gt;"",'All Cases - Enter Cases'!G413,"")</f>
        <v/>
      </c>
      <c r="H413" t="str">
        <f>IF($A413&lt;&gt;"",'All Cases - Enter Cases'!H413,"")</f>
        <v/>
      </c>
      <c r="I413" t="str">
        <f>IF($A413&lt;&gt;"",'All Cases - Enter Cases'!I413,"")</f>
        <v/>
      </c>
      <c r="J413" t="str">
        <f>IF($A413&lt;&gt;"",'All Cases - Enter Cases'!J413,"")</f>
        <v/>
      </c>
      <c r="K413" t="str">
        <f>IF($A413&lt;&gt;"",'All Cases - Enter Cases'!K413,"")</f>
        <v/>
      </c>
      <c r="L413" t="str">
        <f>IF($A413&lt;&gt;"",'All Cases - Enter Cases'!L413,"")</f>
        <v/>
      </c>
      <c r="M413" t="str">
        <f>IF($A413&lt;&gt;"",'All Cases - Enter Cases'!M413,"")</f>
        <v/>
      </c>
    </row>
    <row r="414" spans="1:13" x14ac:dyDescent="0.35">
      <c r="A414" t="str">
        <f>IF('All Cases - Enter Cases'!$F414="Balochistan",'All Cases - Enter Cases'!A414,"")</f>
        <v/>
      </c>
      <c r="B414" t="str">
        <f>IF($A414&lt;&gt;"",'All Cases - Enter Cases'!B414,"")</f>
        <v/>
      </c>
      <c r="C414" t="str">
        <f>IF($A414&lt;&gt;"",'All Cases - Enter Cases'!C414,"")</f>
        <v/>
      </c>
      <c r="D414" t="str">
        <f>IF($A414&lt;&gt;"",'All Cases - Enter Cases'!D414,"")</f>
        <v/>
      </c>
      <c r="E414" t="str">
        <f>IF($A414&lt;&gt;"",'All Cases - Enter Cases'!E414,"")</f>
        <v/>
      </c>
      <c r="F414" t="str">
        <f>IF($A414&lt;&gt;"",'All Cases - Enter Cases'!F414,"")</f>
        <v/>
      </c>
      <c r="G414" t="str">
        <f>IF($A414&lt;&gt;"",'All Cases - Enter Cases'!G414,"")</f>
        <v/>
      </c>
      <c r="H414" t="str">
        <f>IF($A414&lt;&gt;"",'All Cases - Enter Cases'!H414,"")</f>
        <v/>
      </c>
      <c r="I414" t="str">
        <f>IF($A414&lt;&gt;"",'All Cases - Enter Cases'!I414,"")</f>
        <v/>
      </c>
      <c r="J414" t="str">
        <f>IF($A414&lt;&gt;"",'All Cases - Enter Cases'!J414,"")</f>
        <v/>
      </c>
      <c r="K414" t="str">
        <f>IF($A414&lt;&gt;"",'All Cases - Enter Cases'!K414,"")</f>
        <v/>
      </c>
      <c r="L414" t="str">
        <f>IF($A414&lt;&gt;"",'All Cases - Enter Cases'!L414,"")</f>
        <v/>
      </c>
      <c r="M414" t="str">
        <f>IF($A414&lt;&gt;"",'All Cases - Enter Cases'!M414,"")</f>
        <v/>
      </c>
    </row>
    <row r="415" spans="1:13" x14ac:dyDescent="0.35">
      <c r="A415" t="str">
        <f>IF('All Cases - Enter Cases'!$F415="Balochistan",'All Cases - Enter Cases'!A415,"")</f>
        <v/>
      </c>
      <c r="B415" t="str">
        <f>IF($A415&lt;&gt;"",'All Cases - Enter Cases'!B415,"")</f>
        <v/>
      </c>
      <c r="C415" t="str">
        <f>IF($A415&lt;&gt;"",'All Cases - Enter Cases'!C415,"")</f>
        <v/>
      </c>
      <c r="D415" t="str">
        <f>IF($A415&lt;&gt;"",'All Cases - Enter Cases'!D415,"")</f>
        <v/>
      </c>
      <c r="E415" t="str">
        <f>IF($A415&lt;&gt;"",'All Cases - Enter Cases'!E415,"")</f>
        <v/>
      </c>
      <c r="F415" t="str">
        <f>IF($A415&lt;&gt;"",'All Cases - Enter Cases'!F415,"")</f>
        <v/>
      </c>
      <c r="G415" t="str">
        <f>IF($A415&lt;&gt;"",'All Cases - Enter Cases'!G415,"")</f>
        <v/>
      </c>
      <c r="H415" t="str">
        <f>IF($A415&lt;&gt;"",'All Cases - Enter Cases'!H415,"")</f>
        <v/>
      </c>
      <c r="I415" t="str">
        <f>IF($A415&lt;&gt;"",'All Cases - Enter Cases'!I415,"")</f>
        <v/>
      </c>
      <c r="J415" t="str">
        <f>IF($A415&lt;&gt;"",'All Cases - Enter Cases'!J415,"")</f>
        <v/>
      </c>
      <c r="K415" t="str">
        <f>IF($A415&lt;&gt;"",'All Cases - Enter Cases'!K415,"")</f>
        <v/>
      </c>
      <c r="L415" t="str">
        <f>IF($A415&lt;&gt;"",'All Cases - Enter Cases'!L415,"")</f>
        <v/>
      </c>
      <c r="M415" t="str">
        <f>IF($A415&lt;&gt;"",'All Cases - Enter Cases'!M415,"")</f>
        <v/>
      </c>
    </row>
    <row r="416" spans="1:13" x14ac:dyDescent="0.35">
      <c r="A416" t="str">
        <f>IF('All Cases - Enter Cases'!$F416="Balochistan",'All Cases - Enter Cases'!A416,"")</f>
        <v/>
      </c>
      <c r="B416" t="str">
        <f>IF($A416&lt;&gt;"",'All Cases - Enter Cases'!B416,"")</f>
        <v/>
      </c>
      <c r="C416" t="str">
        <f>IF($A416&lt;&gt;"",'All Cases - Enter Cases'!C416,"")</f>
        <v/>
      </c>
      <c r="D416" t="str">
        <f>IF($A416&lt;&gt;"",'All Cases - Enter Cases'!D416,"")</f>
        <v/>
      </c>
      <c r="E416" t="str">
        <f>IF($A416&lt;&gt;"",'All Cases - Enter Cases'!E416,"")</f>
        <v/>
      </c>
      <c r="F416" t="str">
        <f>IF($A416&lt;&gt;"",'All Cases - Enter Cases'!F416,"")</f>
        <v/>
      </c>
      <c r="G416" t="str">
        <f>IF($A416&lt;&gt;"",'All Cases - Enter Cases'!G416,"")</f>
        <v/>
      </c>
      <c r="H416" t="str">
        <f>IF($A416&lt;&gt;"",'All Cases - Enter Cases'!H416,"")</f>
        <v/>
      </c>
      <c r="I416" t="str">
        <f>IF($A416&lt;&gt;"",'All Cases - Enter Cases'!I416,"")</f>
        <v/>
      </c>
      <c r="J416" t="str">
        <f>IF($A416&lt;&gt;"",'All Cases - Enter Cases'!J416,"")</f>
        <v/>
      </c>
      <c r="K416" t="str">
        <f>IF($A416&lt;&gt;"",'All Cases - Enter Cases'!K416,"")</f>
        <v/>
      </c>
      <c r="L416" t="str">
        <f>IF($A416&lt;&gt;"",'All Cases - Enter Cases'!L416,"")</f>
        <v/>
      </c>
      <c r="M416" t="str">
        <f>IF($A416&lt;&gt;"",'All Cases - Enter Cases'!M416,"")</f>
        <v/>
      </c>
    </row>
    <row r="417" spans="1:13" x14ac:dyDescent="0.35">
      <c r="A417" t="str">
        <f>IF('All Cases - Enter Cases'!$F417="Balochistan",'All Cases - Enter Cases'!A417,"")</f>
        <v/>
      </c>
      <c r="B417" t="str">
        <f>IF($A417&lt;&gt;"",'All Cases - Enter Cases'!B417,"")</f>
        <v/>
      </c>
      <c r="C417" t="str">
        <f>IF($A417&lt;&gt;"",'All Cases - Enter Cases'!C417,"")</f>
        <v/>
      </c>
      <c r="D417" t="str">
        <f>IF($A417&lt;&gt;"",'All Cases - Enter Cases'!D417,"")</f>
        <v/>
      </c>
      <c r="E417" t="str">
        <f>IF($A417&lt;&gt;"",'All Cases - Enter Cases'!E417,"")</f>
        <v/>
      </c>
      <c r="F417" t="str">
        <f>IF($A417&lt;&gt;"",'All Cases - Enter Cases'!F417,"")</f>
        <v/>
      </c>
      <c r="G417" t="str">
        <f>IF($A417&lt;&gt;"",'All Cases - Enter Cases'!G417,"")</f>
        <v/>
      </c>
      <c r="H417" t="str">
        <f>IF($A417&lt;&gt;"",'All Cases - Enter Cases'!H417,"")</f>
        <v/>
      </c>
      <c r="I417" t="str">
        <f>IF($A417&lt;&gt;"",'All Cases - Enter Cases'!I417,"")</f>
        <v/>
      </c>
      <c r="J417" t="str">
        <f>IF($A417&lt;&gt;"",'All Cases - Enter Cases'!J417,"")</f>
        <v/>
      </c>
      <c r="K417" t="str">
        <f>IF($A417&lt;&gt;"",'All Cases - Enter Cases'!K417,"")</f>
        <v/>
      </c>
      <c r="L417" t="str">
        <f>IF($A417&lt;&gt;"",'All Cases - Enter Cases'!L417,"")</f>
        <v/>
      </c>
      <c r="M417" t="str">
        <f>IF($A417&lt;&gt;"",'All Cases - Enter Cases'!M417,"")</f>
        <v/>
      </c>
    </row>
    <row r="418" spans="1:13" x14ac:dyDescent="0.35">
      <c r="A418" t="str">
        <f>IF('All Cases - Enter Cases'!$F418="Balochistan",'All Cases - Enter Cases'!A418,"")</f>
        <v/>
      </c>
      <c r="B418" t="str">
        <f>IF($A418&lt;&gt;"",'All Cases - Enter Cases'!B418,"")</f>
        <v/>
      </c>
      <c r="C418" t="str">
        <f>IF($A418&lt;&gt;"",'All Cases - Enter Cases'!C418,"")</f>
        <v/>
      </c>
      <c r="D418" t="str">
        <f>IF($A418&lt;&gt;"",'All Cases - Enter Cases'!D418,"")</f>
        <v/>
      </c>
      <c r="E418" t="str">
        <f>IF($A418&lt;&gt;"",'All Cases - Enter Cases'!E418,"")</f>
        <v/>
      </c>
      <c r="F418" t="str">
        <f>IF($A418&lt;&gt;"",'All Cases - Enter Cases'!F418,"")</f>
        <v/>
      </c>
      <c r="G418" t="str">
        <f>IF($A418&lt;&gt;"",'All Cases - Enter Cases'!G418,"")</f>
        <v/>
      </c>
      <c r="H418" t="str">
        <f>IF($A418&lt;&gt;"",'All Cases - Enter Cases'!H418,"")</f>
        <v/>
      </c>
      <c r="I418" t="str">
        <f>IF($A418&lt;&gt;"",'All Cases - Enter Cases'!I418,"")</f>
        <v/>
      </c>
      <c r="J418" t="str">
        <f>IF($A418&lt;&gt;"",'All Cases - Enter Cases'!J418,"")</f>
        <v/>
      </c>
      <c r="K418" t="str">
        <f>IF($A418&lt;&gt;"",'All Cases - Enter Cases'!K418,"")</f>
        <v/>
      </c>
      <c r="L418" t="str">
        <f>IF($A418&lt;&gt;"",'All Cases - Enter Cases'!L418,"")</f>
        <v/>
      </c>
      <c r="M418" t="str">
        <f>IF($A418&lt;&gt;"",'All Cases - Enter Cases'!M418,"")</f>
        <v/>
      </c>
    </row>
    <row r="419" spans="1:13" x14ac:dyDescent="0.35">
      <c r="A419" t="str">
        <f>IF('All Cases - Enter Cases'!$F419="Balochistan",'All Cases - Enter Cases'!A419,"")</f>
        <v/>
      </c>
      <c r="B419" t="str">
        <f>IF($A419&lt;&gt;"",'All Cases - Enter Cases'!B419,"")</f>
        <v/>
      </c>
      <c r="C419" t="str">
        <f>IF($A419&lt;&gt;"",'All Cases - Enter Cases'!C419,"")</f>
        <v/>
      </c>
      <c r="D419" t="str">
        <f>IF($A419&lt;&gt;"",'All Cases - Enter Cases'!D419,"")</f>
        <v/>
      </c>
      <c r="E419" t="str">
        <f>IF($A419&lt;&gt;"",'All Cases - Enter Cases'!E419,"")</f>
        <v/>
      </c>
      <c r="F419" t="str">
        <f>IF($A419&lt;&gt;"",'All Cases - Enter Cases'!F419,"")</f>
        <v/>
      </c>
      <c r="G419" t="str">
        <f>IF($A419&lt;&gt;"",'All Cases - Enter Cases'!G419,"")</f>
        <v/>
      </c>
      <c r="H419" t="str">
        <f>IF($A419&lt;&gt;"",'All Cases - Enter Cases'!H419,"")</f>
        <v/>
      </c>
      <c r="I419" t="str">
        <f>IF($A419&lt;&gt;"",'All Cases - Enter Cases'!I419,"")</f>
        <v/>
      </c>
      <c r="J419" t="str">
        <f>IF($A419&lt;&gt;"",'All Cases - Enter Cases'!J419,"")</f>
        <v/>
      </c>
      <c r="K419" t="str">
        <f>IF($A419&lt;&gt;"",'All Cases - Enter Cases'!K419,"")</f>
        <v/>
      </c>
      <c r="L419" t="str">
        <f>IF($A419&lt;&gt;"",'All Cases - Enter Cases'!L419,"")</f>
        <v/>
      </c>
      <c r="M419" t="str">
        <f>IF($A419&lt;&gt;"",'All Cases - Enter Cases'!M419,"")</f>
        <v/>
      </c>
    </row>
    <row r="420" spans="1:13" x14ac:dyDescent="0.35">
      <c r="A420" t="str">
        <f>IF('All Cases - Enter Cases'!$F420="Balochistan",'All Cases - Enter Cases'!A420,"")</f>
        <v/>
      </c>
      <c r="B420" t="str">
        <f>IF($A420&lt;&gt;"",'All Cases - Enter Cases'!B420,"")</f>
        <v/>
      </c>
      <c r="C420" t="str">
        <f>IF($A420&lt;&gt;"",'All Cases - Enter Cases'!C420,"")</f>
        <v/>
      </c>
      <c r="D420" t="str">
        <f>IF($A420&lt;&gt;"",'All Cases - Enter Cases'!D420,"")</f>
        <v/>
      </c>
      <c r="E420" t="str">
        <f>IF($A420&lt;&gt;"",'All Cases - Enter Cases'!E420,"")</f>
        <v/>
      </c>
      <c r="F420" t="str">
        <f>IF($A420&lt;&gt;"",'All Cases - Enter Cases'!F420,"")</f>
        <v/>
      </c>
      <c r="G420" t="str">
        <f>IF($A420&lt;&gt;"",'All Cases - Enter Cases'!G420,"")</f>
        <v/>
      </c>
      <c r="H420" t="str">
        <f>IF($A420&lt;&gt;"",'All Cases - Enter Cases'!H420,"")</f>
        <v/>
      </c>
      <c r="I420" t="str">
        <f>IF($A420&lt;&gt;"",'All Cases - Enter Cases'!I420,"")</f>
        <v/>
      </c>
      <c r="J420" t="str">
        <f>IF($A420&lt;&gt;"",'All Cases - Enter Cases'!J420,"")</f>
        <v/>
      </c>
      <c r="K420" t="str">
        <f>IF($A420&lt;&gt;"",'All Cases - Enter Cases'!K420,"")</f>
        <v/>
      </c>
      <c r="L420" t="str">
        <f>IF($A420&lt;&gt;"",'All Cases - Enter Cases'!L420,"")</f>
        <v/>
      </c>
      <c r="M420" t="str">
        <f>IF($A420&lt;&gt;"",'All Cases - Enter Cases'!M420,"")</f>
        <v/>
      </c>
    </row>
    <row r="421" spans="1:13" x14ac:dyDescent="0.35">
      <c r="A421" t="str">
        <f>IF('All Cases - Enter Cases'!$F421="Balochistan",'All Cases - Enter Cases'!A421,"")</f>
        <v/>
      </c>
      <c r="B421" t="str">
        <f>IF($A421&lt;&gt;"",'All Cases - Enter Cases'!B421,"")</f>
        <v/>
      </c>
      <c r="C421" t="str">
        <f>IF($A421&lt;&gt;"",'All Cases - Enter Cases'!C421,"")</f>
        <v/>
      </c>
      <c r="D421" t="str">
        <f>IF($A421&lt;&gt;"",'All Cases - Enter Cases'!D421,"")</f>
        <v/>
      </c>
      <c r="E421" t="str">
        <f>IF($A421&lt;&gt;"",'All Cases - Enter Cases'!E421,"")</f>
        <v/>
      </c>
      <c r="F421" t="str">
        <f>IF($A421&lt;&gt;"",'All Cases - Enter Cases'!F421,"")</f>
        <v/>
      </c>
      <c r="G421" t="str">
        <f>IF($A421&lt;&gt;"",'All Cases - Enter Cases'!G421,"")</f>
        <v/>
      </c>
      <c r="H421" t="str">
        <f>IF($A421&lt;&gt;"",'All Cases - Enter Cases'!H421,"")</f>
        <v/>
      </c>
      <c r="I421" t="str">
        <f>IF($A421&lt;&gt;"",'All Cases - Enter Cases'!I421,"")</f>
        <v/>
      </c>
      <c r="J421" t="str">
        <f>IF($A421&lt;&gt;"",'All Cases - Enter Cases'!J421,"")</f>
        <v/>
      </c>
      <c r="K421" t="str">
        <f>IF($A421&lt;&gt;"",'All Cases - Enter Cases'!K421,"")</f>
        <v/>
      </c>
      <c r="L421" t="str">
        <f>IF($A421&lt;&gt;"",'All Cases - Enter Cases'!L421,"")</f>
        <v/>
      </c>
      <c r="M421" t="str">
        <f>IF($A421&lt;&gt;"",'All Cases - Enter Cases'!M421,"")</f>
        <v/>
      </c>
    </row>
    <row r="422" spans="1:13" x14ac:dyDescent="0.35">
      <c r="A422" t="str">
        <f>IF('All Cases - Enter Cases'!$F422="Balochistan",'All Cases - Enter Cases'!A422,"")</f>
        <v/>
      </c>
      <c r="B422" t="str">
        <f>IF($A422&lt;&gt;"",'All Cases - Enter Cases'!B422,"")</f>
        <v/>
      </c>
      <c r="C422" t="str">
        <f>IF($A422&lt;&gt;"",'All Cases - Enter Cases'!C422,"")</f>
        <v/>
      </c>
      <c r="D422" t="str">
        <f>IF($A422&lt;&gt;"",'All Cases - Enter Cases'!D422,"")</f>
        <v/>
      </c>
      <c r="E422" t="str">
        <f>IF($A422&lt;&gt;"",'All Cases - Enter Cases'!E422,"")</f>
        <v/>
      </c>
      <c r="F422" t="str">
        <f>IF($A422&lt;&gt;"",'All Cases - Enter Cases'!F422,"")</f>
        <v/>
      </c>
      <c r="G422" t="str">
        <f>IF($A422&lt;&gt;"",'All Cases - Enter Cases'!G422,"")</f>
        <v/>
      </c>
      <c r="H422" t="str">
        <f>IF($A422&lt;&gt;"",'All Cases - Enter Cases'!H422,"")</f>
        <v/>
      </c>
      <c r="I422" t="str">
        <f>IF($A422&lt;&gt;"",'All Cases - Enter Cases'!I422,"")</f>
        <v/>
      </c>
      <c r="J422" t="str">
        <f>IF($A422&lt;&gt;"",'All Cases - Enter Cases'!J422,"")</f>
        <v/>
      </c>
      <c r="K422" t="str">
        <f>IF($A422&lt;&gt;"",'All Cases - Enter Cases'!K422,"")</f>
        <v/>
      </c>
      <c r="L422" t="str">
        <f>IF($A422&lt;&gt;"",'All Cases - Enter Cases'!L422,"")</f>
        <v/>
      </c>
      <c r="M422" t="str">
        <f>IF($A422&lt;&gt;"",'All Cases - Enter Cases'!M422,"")</f>
        <v/>
      </c>
    </row>
    <row r="423" spans="1:13" x14ac:dyDescent="0.35">
      <c r="A423" t="str">
        <f>IF('All Cases - Enter Cases'!$F423="Balochistan",'All Cases - Enter Cases'!A423,"")</f>
        <v/>
      </c>
      <c r="B423" t="str">
        <f>IF($A423&lt;&gt;"",'All Cases - Enter Cases'!B423,"")</f>
        <v/>
      </c>
      <c r="C423" t="str">
        <f>IF($A423&lt;&gt;"",'All Cases - Enter Cases'!C423,"")</f>
        <v/>
      </c>
      <c r="D423" t="str">
        <f>IF($A423&lt;&gt;"",'All Cases - Enter Cases'!D423,"")</f>
        <v/>
      </c>
      <c r="E423" t="str">
        <f>IF($A423&lt;&gt;"",'All Cases - Enter Cases'!E423,"")</f>
        <v/>
      </c>
      <c r="F423" t="str">
        <f>IF($A423&lt;&gt;"",'All Cases - Enter Cases'!F423,"")</f>
        <v/>
      </c>
      <c r="G423" t="str">
        <f>IF($A423&lt;&gt;"",'All Cases - Enter Cases'!G423,"")</f>
        <v/>
      </c>
      <c r="H423" t="str">
        <f>IF($A423&lt;&gt;"",'All Cases - Enter Cases'!H423,"")</f>
        <v/>
      </c>
      <c r="I423" t="str">
        <f>IF($A423&lt;&gt;"",'All Cases - Enter Cases'!I423,"")</f>
        <v/>
      </c>
      <c r="J423" t="str">
        <f>IF($A423&lt;&gt;"",'All Cases - Enter Cases'!J423,"")</f>
        <v/>
      </c>
      <c r="K423" t="str">
        <f>IF($A423&lt;&gt;"",'All Cases - Enter Cases'!K423,"")</f>
        <v/>
      </c>
      <c r="L423" t="str">
        <f>IF($A423&lt;&gt;"",'All Cases - Enter Cases'!L423,"")</f>
        <v/>
      </c>
      <c r="M423" t="str">
        <f>IF($A423&lt;&gt;"",'All Cases - Enter Cases'!M423,"")</f>
        <v/>
      </c>
    </row>
    <row r="424" spans="1:13" x14ac:dyDescent="0.35">
      <c r="A424" t="str">
        <f>IF('All Cases - Enter Cases'!$F424="Balochistan",'All Cases - Enter Cases'!A424,"")</f>
        <v/>
      </c>
      <c r="B424" t="str">
        <f>IF($A424&lt;&gt;"",'All Cases - Enter Cases'!B424,"")</f>
        <v/>
      </c>
      <c r="C424" t="str">
        <f>IF($A424&lt;&gt;"",'All Cases - Enter Cases'!C424,"")</f>
        <v/>
      </c>
      <c r="D424" t="str">
        <f>IF($A424&lt;&gt;"",'All Cases - Enter Cases'!D424,"")</f>
        <v/>
      </c>
      <c r="E424" t="str">
        <f>IF($A424&lt;&gt;"",'All Cases - Enter Cases'!E424,"")</f>
        <v/>
      </c>
      <c r="F424" t="str">
        <f>IF($A424&lt;&gt;"",'All Cases - Enter Cases'!F424,"")</f>
        <v/>
      </c>
      <c r="G424" t="str">
        <f>IF($A424&lt;&gt;"",'All Cases - Enter Cases'!G424,"")</f>
        <v/>
      </c>
      <c r="H424" t="str">
        <f>IF($A424&lt;&gt;"",'All Cases - Enter Cases'!H424,"")</f>
        <v/>
      </c>
      <c r="I424" t="str">
        <f>IF($A424&lt;&gt;"",'All Cases - Enter Cases'!I424,"")</f>
        <v/>
      </c>
      <c r="J424" t="str">
        <f>IF($A424&lt;&gt;"",'All Cases - Enter Cases'!J424,"")</f>
        <v/>
      </c>
      <c r="K424" t="str">
        <f>IF($A424&lt;&gt;"",'All Cases - Enter Cases'!K424,"")</f>
        <v/>
      </c>
      <c r="L424" t="str">
        <f>IF($A424&lt;&gt;"",'All Cases - Enter Cases'!L424,"")</f>
        <v/>
      </c>
      <c r="M424" t="str">
        <f>IF($A424&lt;&gt;"",'All Cases - Enter Cases'!M424,"")</f>
        <v/>
      </c>
    </row>
    <row r="425" spans="1:13" x14ac:dyDescent="0.35">
      <c r="A425" t="str">
        <f>IF('All Cases - Enter Cases'!$F425="Balochistan",'All Cases - Enter Cases'!A425,"")</f>
        <v/>
      </c>
      <c r="B425" t="str">
        <f>IF($A425&lt;&gt;"",'All Cases - Enter Cases'!B425,"")</f>
        <v/>
      </c>
      <c r="C425" t="str">
        <f>IF($A425&lt;&gt;"",'All Cases - Enter Cases'!C425,"")</f>
        <v/>
      </c>
      <c r="D425" t="str">
        <f>IF($A425&lt;&gt;"",'All Cases - Enter Cases'!D425,"")</f>
        <v/>
      </c>
      <c r="E425" t="str">
        <f>IF($A425&lt;&gt;"",'All Cases - Enter Cases'!E425,"")</f>
        <v/>
      </c>
      <c r="F425" t="str">
        <f>IF($A425&lt;&gt;"",'All Cases - Enter Cases'!F425,"")</f>
        <v/>
      </c>
      <c r="G425" t="str">
        <f>IF($A425&lt;&gt;"",'All Cases - Enter Cases'!G425,"")</f>
        <v/>
      </c>
      <c r="H425" t="str">
        <f>IF($A425&lt;&gt;"",'All Cases - Enter Cases'!H425,"")</f>
        <v/>
      </c>
      <c r="I425" t="str">
        <f>IF($A425&lt;&gt;"",'All Cases - Enter Cases'!I425,"")</f>
        <v/>
      </c>
      <c r="J425" t="str">
        <f>IF($A425&lt;&gt;"",'All Cases - Enter Cases'!J425,"")</f>
        <v/>
      </c>
      <c r="K425" t="str">
        <f>IF($A425&lt;&gt;"",'All Cases - Enter Cases'!K425,"")</f>
        <v/>
      </c>
      <c r="L425" t="str">
        <f>IF($A425&lt;&gt;"",'All Cases - Enter Cases'!L425,"")</f>
        <v/>
      </c>
      <c r="M425" t="str">
        <f>IF($A425&lt;&gt;"",'All Cases - Enter Cases'!M425,"")</f>
        <v/>
      </c>
    </row>
    <row r="426" spans="1:13" x14ac:dyDescent="0.35">
      <c r="A426" t="str">
        <f>IF('All Cases - Enter Cases'!$F426="Balochistan",'All Cases - Enter Cases'!A426,"")</f>
        <v/>
      </c>
      <c r="B426" t="str">
        <f>IF($A426&lt;&gt;"",'All Cases - Enter Cases'!B426,"")</f>
        <v/>
      </c>
      <c r="C426" t="str">
        <f>IF($A426&lt;&gt;"",'All Cases - Enter Cases'!C426,"")</f>
        <v/>
      </c>
      <c r="D426" t="str">
        <f>IF($A426&lt;&gt;"",'All Cases - Enter Cases'!D426,"")</f>
        <v/>
      </c>
      <c r="E426" t="str">
        <f>IF($A426&lt;&gt;"",'All Cases - Enter Cases'!E426,"")</f>
        <v/>
      </c>
      <c r="F426" t="str">
        <f>IF($A426&lt;&gt;"",'All Cases - Enter Cases'!F426,"")</f>
        <v/>
      </c>
      <c r="G426" t="str">
        <f>IF($A426&lt;&gt;"",'All Cases - Enter Cases'!G426,"")</f>
        <v/>
      </c>
      <c r="H426" t="str">
        <f>IF($A426&lt;&gt;"",'All Cases - Enter Cases'!H426,"")</f>
        <v/>
      </c>
      <c r="I426" t="str">
        <f>IF($A426&lt;&gt;"",'All Cases - Enter Cases'!I426,"")</f>
        <v/>
      </c>
      <c r="J426" t="str">
        <f>IF($A426&lt;&gt;"",'All Cases - Enter Cases'!J426,"")</f>
        <v/>
      </c>
      <c r="K426" t="str">
        <f>IF($A426&lt;&gt;"",'All Cases - Enter Cases'!K426,"")</f>
        <v/>
      </c>
      <c r="L426" t="str">
        <f>IF($A426&lt;&gt;"",'All Cases - Enter Cases'!L426,"")</f>
        <v/>
      </c>
      <c r="M426" t="str">
        <f>IF($A426&lt;&gt;"",'All Cases - Enter Cases'!M426,"")</f>
        <v/>
      </c>
    </row>
    <row r="427" spans="1:13" x14ac:dyDescent="0.35">
      <c r="A427" t="str">
        <f>IF('All Cases - Enter Cases'!$F427="Balochistan",'All Cases - Enter Cases'!A427,"")</f>
        <v/>
      </c>
      <c r="B427" t="str">
        <f>IF($A427&lt;&gt;"",'All Cases - Enter Cases'!B427,"")</f>
        <v/>
      </c>
      <c r="C427" t="str">
        <f>IF($A427&lt;&gt;"",'All Cases - Enter Cases'!C427,"")</f>
        <v/>
      </c>
      <c r="D427" t="str">
        <f>IF($A427&lt;&gt;"",'All Cases - Enter Cases'!D427,"")</f>
        <v/>
      </c>
      <c r="E427" t="str">
        <f>IF($A427&lt;&gt;"",'All Cases - Enter Cases'!E427,"")</f>
        <v/>
      </c>
      <c r="F427" t="str">
        <f>IF($A427&lt;&gt;"",'All Cases - Enter Cases'!F427,"")</f>
        <v/>
      </c>
      <c r="G427" t="str">
        <f>IF($A427&lt;&gt;"",'All Cases - Enter Cases'!G427,"")</f>
        <v/>
      </c>
      <c r="H427" t="str">
        <f>IF($A427&lt;&gt;"",'All Cases - Enter Cases'!H427,"")</f>
        <v/>
      </c>
      <c r="I427" t="str">
        <f>IF($A427&lt;&gt;"",'All Cases - Enter Cases'!I427,"")</f>
        <v/>
      </c>
      <c r="J427" t="str">
        <f>IF($A427&lt;&gt;"",'All Cases - Enter Cases'!J427,"")</f>
        <v/>
      </c>
      <c r="K427" t="str">
        <f>IF($A427&lt;&gt;"",'All Cases - Enter Cases'!K427,"")</f>
        <v/>
      </c>
      <c r="L427" t="str">
        <f>IF($A427&lt;&gt;"",'All Cases - Enter Cases'!L427,"")</f>
        <v/>
      </c>
      <c r="M427" t="str">
        <f>IF($A427&lt;&gt;"",'All Cases - Enter Cases'!M427,"")</f>
        <v/>
      </c>
    </row>
    <row r="428" spans="1:13" x14ac:dyDescent="0.35">
      <c r="A428" t="str">
        <f>IF('All Cases - Enter Cases'!$F428="Balochistan",'All Cases - Enter Cases'!A428,"")</f>
        <v/>
      </c>
      <c r="B428" t="str">
        <f>IF($A428&lt;&gt;"",'All Cases - Enter Cases'!B428,"")</f>
        <v/>
      </c>
      <c r="C428" t="str">
        <f>IF($A428&lt;&gt;"",'All Cases - Enter Cases'!C428,"")</f>
        <v/>
      </c>
      <c r="D428" t="str">
        <f>IF($A428&lt;&gt;"",'All Cases - Enter Cases'!D428,"")</f>
        <v/>
      </c>
      <c r="E428" t="str">
        <f>IF($A428&lt;&gt;"",'All Cases - Enter Cases'!E428,"")</f>
        <v/>
      </c>
      <c r="F428" t="str">
        <f>IF($A428&lt;&gt;"",'All Cases - Enter Cases'!F428,"")</f>
        <v/>
      </c>
      <c r="G428" t="str">
        <f>IF($A428&lt;&gt;"",'All Cases - Enter Cases'!G428,"")</f>
        <v/>
      </c>
      <c r="H428" t="str">
        <f>IF($A428&lt;&gt;"",'All Cases - Enter Cases'!H428,"")</f>
        <v/>
      </c>
      <c r="I428" t="str">
        <f>IF($A428&lt;&gt;"",'All Cases - Enter Cases'!I428,"")</f>
        <v/>
      </c>
      <c r="J428" t="str">
        <f>IF($A428&lt;&gt;"",'All Cases - Enter Cases'!J428,"")</f>
        <v/>
      </c>
      <c r="K428" t="str">
        <f>IF($A428&lt;&gt;"",'All Cases - Enter Cases'!K428,"")</f>
        <v/>
      </c>
      <c r="L428" t="str">
        <f>IF($A428&lt;&gt;"",'All Cases - Enter Cases'!L428,"")</f>
        <v/>
      </c>
      <c r="M428" t="str">
        <f>IF($A428&lt;&gt;"",'All Cases - Enter Cases'!M428,"")</f>
        <v/>
      </c>
    </row>
    <row r="429" spans="1:13" x14ac:dyDescent="0.35">
      <c r="A429" t="str">
        <f>IF('All Cases - Enter Cases'!$F429="Balochistan",'All Cases - Enter Cases'!A429,"")</f>
        <v/>
      </c>
      <c r="B429" t="str">
        <f>IF($A429&lt;&gt;"",'All Cases - Enter Cases'!B429,"")</f>
        <v/>
      </c>
      <c r="C429" t="str">
        <f>IF($A429&lt;&gt;"",'All Cases - Enter Cases'!C429,"")</f>
        <v/>
      </c>
      <c r="D429" t="str">
        <f>IF($A429&lt;&gt;"",'All Cases - Enter Cases'!D429,"")</f>
        <v/>
      </c>
      <c r="E429" t="str">
        <f>IF($A429&lt;&gt;"",'All Cases - Enter Cases'!E429,"")</f>
        <v/>
      </c>
      <c r="F429" t="str">
        <f>IF($A429&lt;&gt;"",'All Cases - Enter Cases'!F429,"")</f>
        <v/>
      </c>
      <c r="G429" t="str">
        <f>IF($A429&lt;&gt;"",'All Cases - Enter Cases'!G429,"")</f>
        <v/>
      </c>
      <c r="H429" t="str">
        <f>IF($A429&lt;&gt;"",'All Cases - Enter Cases'!H429,"")</f>
        <v/>
      </c>
      <c r="I429" t="str">
        <f>IF($A429&lt;&gt;"",'All Cases - Enter Cases'!I429,"")</f>
        <v/>
      </c>
      <c r="J429" t="str">
        <f>IF($A429&lt;&gt;"",'All Cases - Enter Cases'!J429,"")</f>
        <v/>
      </c>
      <c r="K429" t="str">
        <f>IF($A429&lt;&gt;"",'All Cases - Enter Cases'!K429,"")</f>
        <v/>
      </c>
      <c r="L429" t="str">
        <f>IF($A429&lt;&gt;"",'All Cases - Enter Cases'!L429,"")</f>
        <v/>
      </c>
      <c r="M429" t="str">
        <f>IF($A429&lt;&gt;"",'All Cases - Enter Cases'!M429,"")</f>
        <v/>
      </c>
    </row>
    <row r="430" spans="1:13" x14ac:dyDescent="0.35">
      <c r="A430" t="str">
        <f>IF('All Cases - Enter Cases'!$F430="Balochistan",'All Cases - Enter Cases'!A430,"")</f>
        <v/>
      </c>
      <c r="B430" t="str">
        <f>IF($A430&lt;&gt;"",'All Cases - Enter Cases'!B430,"")</f>
        <v/>
      </c>
      <c r="C430" t="str">
        <f>IF($A430&lt;&gt;"",'All Cases - Enter Cases'!C430,"")</f>
        <v/>
      </c>
      <c r="D430" t="str">
        <f>IF($A430&lt;&gt;"",'All Cases - Enter Cases'!D430,"")</f>
        <v/>
      </c>
      <c r="E430" t="str">
        <f>IF($A430&lt;&gt;"",'All Cases - Enter Cases'!E430,"")</f>
        <v/>
      </c>
      <c r="F430" t="str">
        <f>IF($A430&lt;&gt;"",'All Cases - Enter Cases'!F430,"")</f>
        <v/>
      </c>
      <c r="G430" t="str">
        <f>IF($A430&lt;&gt;"",'All Cases - Enter Cases'!G430,"")</f>
        <v/>
      </c>
      <c r="H430" t="str">
        <f>IF($A430&lt;&gt;"",'All Cases - Enter Cases'!H430,"")</f>
        <v/>
      </c>
      <c r="I430" t="str">
        <f>IF($A430&lt;&gt;"",'All Cases - Enter Cases'!I430,"")</f>
        <v/>
      </c>
      <c r="J430" t="str">
        <f>IF($A430&lt;&gt;"",'All Cases - Enter Cases'!J430,"")</f>
        <v/>
      </c>
      <c r="K430" t="str">
        <f>IF($A430&lt;&gt;"",'All Cases - Enter Cases'!K430,"")</f>
        <v/>
      </c>
      <c r="L430" t="str">
        <f>IF($A430&lt;&gt;"",'All Cases - Enter Cases'!L430,"")</f>
        <v/>
      </c>
      <c r="M430" t="str">
        <f>IF($A430&lt;&gt;"",'All Cases - Enter Cases'!M430,"")</f>
        <v/>
      </c>
    </row>
    <row r="431" spans="1:13" x14ac:dyDescent="0.35">
      <c r="A431" t="str">
        <f>IF('All Cases - Enter Cases'!$F431="Balochistan",'All Cases - Enter Cases'!A431,"")</f>
        <v/>
      </c>
      <c r="B431" t="str">
        <f>IF($A431&lt;&gt;"",'All Cases - Enter Cases'!B431,"")</f>
        <v/>
      </c>
      <c r="C431" t="str">
        <f>IF($A431&lt;&gt;"",'All Cases - Enter Cases'!C431,"")</f>
        <v/>
      </c>
      <c r="D431" t="str">
        <f>IF($A431&lt;&gt;"",'All Cases - Enter Cases'!D431,"")</f>
        <v/>
      </c>
      <c r="E431" t="str">
        <f>IF($A431&lt;&gt;"",'All Cases - Enter Cases'!E431,"")</f>
        <v/>
      </c>
      <c r="F431" t="str">
        <f>IF($A431&lt;&gt;"",'All Cases - Enter Cases'!F431,"")</f>
        <v/>
      </c>
      <c r="G431" t="str">
        <f>IF($A431&lt;&gt;"",'All Cases - Enter Cases'!G431,"")</f>
        <v/>
      </c>
      <c r="H431" t="str">
        <f>IF($A431&lt;&gt;"",'All Cases - Enter Cases'!H431,"")</f>
        <v/>
      </c>
      <c r="I431" t="str">
        <f>IF($A431&lt;&gt;"",'All Cases - Enter Cases'!I431,"")</f>
        <v/>
      </c>
      <c r="J431" t="str">
        <f>IF($A431&lt;&gt;"",'All Cases - Enter Cases'!J431,"")</f>
        <v/>
      </c>
      <c r="K431" t="str">
        <f>IF($A431&lt;&gt;"",'All Cases - Enter Cases'!K431,"")</f>
        <v/>
      </c>
      <c r="L431" t="str">
        <f>IF($A431&lt;&gt;"",'All Cases - Enter Cases'!L431,"")</f>
        <v/>
      </c>
      <c r="M431" t="str">
        <f>IF($A431&lt;&gt;"",'All Cases - Enter Cases'!M431,"")</f>
        <v/>
      </c>
    </row>
    <row r="432" spans="1:13" x14ac:dyDescent="0.35">
      <c r="A432" t="str">
        <f>IF('All Cases - Enter Cases'!$F432="Balochistan",'All Cases - Enter Cases'!A432,"")</f>
        <v/>
      </c>
      <c r="B432" t="str">
        <f>IF($A432&lt;&gt;"",'All Cases - Enter Cases'!B432,"")</f>
        <v/>
      </c>
      <c r="C432" t="str">
        <f>IF($A432&lt;&gt;"",'All Cases - Enter Cases'!C432,"")</f>
        <v/>
      </c>
      <c r="D432" t="str">
        <f>IF($A432&lt;&gt;"",'All Cases - Enter Cases'!D432,"")</f>
        <v/>
      </c>
      <c r="E432" t="str">
        <f>IF($A432&lt;&gt;"",'All Cases - Enter Cases'!E432,"")</f>
        <v/>
      </c>
      <c r="F432" t="str">
        <f>IF($A432&lt;&gt;"",'All Cases - Enter Cases'!F432,"")</f>
        <v/>
      </c>
      <c r="G432" t="str">
        <f>IF($A432&lt;&gt;"",'All Cases - Enter Cases'!G432,"")</f>
        <v/>
      </c>
      <c r="H432" t="str">
        <f>IF($A432&lt;&gt;"",'All Cases - Enter Cases'!H432,"")</f>
        <v/>
      </c>
      <c r="I432" t="str">
        <f>IF($A432&lt;&gt;"",'All Cases - Enter Cases'!I432,"")</f>
        <v/>
      </c>
      <c r="J432" t="str">
        <f>IF($A432&lt;&gt;"",'All Cases - Enter Cases'!J432,"")</f>
        <v/>
      </c>
      <c r="K432" t="str">
        <f>IF($A432&lt;&gt;"",'All Cases - Enter Cases'!K432,"")</f>
        <v/>
      </c>
      <c r="L432" t="str">
        <f>IF($A432&lt;&gt;"",'All Cases - Enter Cases'!L432,"")</f>
        <v/>
      </c>
      <c r="M432" t="str">
        <f>IF($A432&lt;&gt;"",'All Cases - Enter Cases'!M432,"")</f>
        <v/>
      </c>
    </row>
    <row r="433" spans="1:13" x14ac:dyDescent="0.35">
      <c r="A433" t="str">
        <f>IF('All Cases - Enter Cases'!$F433="Balochistan",'All Cases - Enter Cases'!A433,"")</f>
        <v/>
      </c>
      <c r="B433" t="str">
        <f>IF($A433&lt;&gt;"",'All Cases - Enter Cases'!B433,"")</f>
        <v/>
      </c>
      <c r="C433" t="str">
        <f>IF($A433&lt;&gt;"",'All Cases - Enter Cases'!C433,"")</f>
        <v/>
      </c>
      <c r="D433" t="str">
        <f>IF($A433&lt;&gt;"",'All Cases - Enter Cases'!D433,"")</f>
        <v/>
      </c>
      <c r="E433" t="str">
        <f>IF($A433&lt;&gt;"",'All Cases - Enter Cases'!E433,"")</f>
        <v/>
      </c>
      <c r="F433" t="str">
        <f>IF($A433&lt;&gt;"",'All Cases - Enter Cases'!F433,"")</f>
        <v/>
      </c>
      <c r="G433" t="str">
        <f>IF($A433&lt;&gt;"",'All Cases - Enter Cases'!G433,"")</f>
        <v/>
      </c>
      <c r="H433" t="str">
        <f>IF($A433&lt;&gt;"",'All Cases - Enter Cases'!H433,"")</f>
        <v/>
      </c>
      <c r="I433" t="str">
        <f>IF($A433&lt;&gt;"",'All Cases - Enter Cases'!I433,"")</f>
        <v/>
      </c>
      <c r="J433" t="str">
        <f>IF($A433&lt;&gt;"",'All Cases - Enter Cases'!J433,"")</f>
        <v/>
      </c>
      <c r="K433" t="str">
        <f>IF($A433&lt;&gt;"",'All Cases - Enter Cases'!K433,"")</f>
        <v/>
      </c>
      <c r="L433" t="str">
        <f>IF($A433&lt;&gt;"",'All Cases - Enter Cases'!L433,"")</f>
        <v/>
      </c>
      <c r="M433" t="str">
        <f>IF($A433&lt;&gt;"",'All Cases - Enter Cases'!M433,"")</f>
        <v/>
      </c>
    </row>
    <row r="434" spans="1:13" x14ac:dyDescent="0.35">
      <c r="A434" t="str">
        <f>IF('All Cases - Enter Cases'!$F434="Balochistan",'All Cases - Enter Cases'!A434,"")</f>
        <v/>
      </c>
      <c r="B434" t="str">
        <f>IF($A434&lt;&gt;"",'All Cases - Enter Cases'!B434,"")</f>
        <v/>
      </c>
      <c r="C434" t="str">
        <f>IF($A434&lt;&gt;"",'All Cases - Enter Cases'!C434,"")</f>
        <v/>
      </c>
      <c r="D434" t="str">
        <f>IF($A434&lt;&gt;"",'All Cases - Enter Cases'!D434,"")</f>
        <v/>
      </c>
      <c r="E434" t="str">
        <f>IF($A434&lt;&gt;"",'All Cases - Enter Cases'!E434,"")</f>
        <v/>
      </c>
      <c r="F434" t="str">
        <f>IF($A434&lt;&gt;"",'All Cases - Enter Cases'!F434,"")</f>
        <v/>
      </c>
      <c r="G434" t="str">
        <f>IF($A434&lt;&gt;"",'All Cases - Enter Cases'!G434,"")</f>
        <v/>
      </c>
      <c r="H434" t="str">
        <f>IF($A434&lt;&gt;"",'All Cases - Enter Cases'!H434,"")</f>
        <v/>
      </c>
      <c r="I434" t="str">
        <f>IF($A434&lt;&gt;"",'All Cases - Enter Cases'!I434,"")</f>
        <v/>
      </c>
      <c r="J434" t="str">
        <f>IF($A434&lt;&gt;"",'All Cases - Enter Cases'!J434,"")</f>
        <v/>
      </c>
      <c r="K434" t="str">
        <f>IF($A434&lt;&gt;"",'All Cases - Enter Cases'!K434,"")</f>
        <v/>
      </c>
      <c r="L434" t="str">
        <f>IF($A434&lt;&gt;"",'All Cases - Enter Cases'!L434,"")</f>
        <v/>
      </c>
      <c r="M434" t="str">
        <f>IF($A434&lt;&gt;"",'All Cases - Enter Cases'!M434,"")</f>
        <v/>
      </c>
    </row>
    <row r="435" spans="1:13" x14ac:dyDescent="0.35">
      <c r="A435" t="str">
        <f>IF('All Cases - Enter Cases'!$F435="Balochistan",'All Cases - Enter Cases'!A435,"")</f>
        <v/>
      </c>
      <c r="B435" t="str">
        <f>IF($A435&lt;&gt;"",'All Cases - Enter Cases'!B435,"")</f>
        <v/>
      </c>
      <c r="C435" t="str">
        <f>IF($A435&lt;&gt;"",'All Cases - Enter Cases'!C435,"")</f>
        <v/>
      </c>
      <c r="D435" t="str">
        <f>IF($A435&lt;&gt;"",'All Cases - Enter Cases'!D435,"")</f>
        <v/>
      </c>
      <c r="E435" t="str">
        <f>IF($A435&lt;&gt;"",'All Cases - Enter Cases'!E435,"")</f>
        <v/>
      </c>
      <c r="F435" t="str">
        <f>IF($A435&lt;&gt;"",'All Cases - Enter Cases'!F435,"")</f>
        <v/>
      </c>
      <c r="G435" t="str">
        <f>IF($A435&lt;&gt;"",'All Cases - Enter Cases'!G435,"")</f>
        <v/>
      </c>
      <c r="H435" t="str">
        <f>IF($A435&lt;&gt;"",'All Cases - Enter Cases'!H435,"")</f>
        <v/>
      </c>
      <c r="I435" t="str">
        <f>IF($A435&lt;&gt;"",'All Cases - Enter Cases'!I435,"")</f>
        <v/>
      </c>
      <c r="J435" t="str">
        <f>IF($A435&lt;&gt;"",'All Cases - Enter Cases'!J435,"")</f>
        <v/>
      </c>
      <c r="K435" t="str">
        <f>IF($A435&lt;&gt;"",'All Cases - Enter Cases'!K435,"")</f>
        <v/>
      </c>
      <c r="L435" t="str">
        <f>IF($A435&lt;&gt;"",'All Cases - Enter Cases'!L435,"")</f>
        <v/>
      </c>
      <c r="M435" t="str">
        <f>IF($A435&lt;&gt;"",'All Cases - Enter Cases'!M435,"")</f>
        <v/>
      </c>
    </row>
    <row r="436" spans="1:13" x14ac:dyDescent="0.35">
      <c r="A436" t="str">
        <f>IF('All Cases - Enter Cases'!$F436="Balochistan",'All Cases - Enter Cases'!A436,"")</f>
        <v/>
      </c>
      <c r="B436" t="str">
        <f>IF($A436&lt;&gt;"",'All Cases - Enter Cases'!B436,"")</f>
        <v/>
      </c>
      <c r="C436" t="str">
        <f>IF($A436&lt;&gt;"",'All Cases - Enter Cases'!C436,"")</f>
        <v/>
      </c>
      <c r="D436" t="str">
        <f>IF($A436&lt;&gt;"",'All Cases - Enter Cases'!D436,"")</f>
        <v/>
      </c>
      <c r="E436" t="str">
        <f>IF($A436&lt;&gt;"",'All Cases - Enter Cases'!E436,"")</f>
        <v/>
      </c>
      <c r="F436" t="str">
        <f>IF($A436&lt;&gt;"",'All Cases - Enter Cases'!F436,"")</f>
        <v/>
      </c>
      <c r="G436" t="str">
        <f>IF($A436&lt;&gt;"",'All Cases - Enter Cases'!G436,"")</f>
        <v/>
      </c>
      <c r="H436" t="str">
        <f>IF($A436&lt;&gt;"",'All Cases - Enter Cases'!H436,"")</f>
        <v/>
      </c>
      <c r="I436" t="str">
        <f>IF($A436&lt;&gt;"",'All Cases - Enter Cases'!I436,"")</f>
        <v/>
      </c>
      <c r="J436" t="str">
        <f>IF($A436&lt;&gt;"",'All Cases - Enter Cases'!J436,"")</f>
        <v/>
      </c>
      <c r="K436" t="str">
        <f>IF($A436&lt;&gt;"",'All Cases - Enter Cases'!K436,"")</f>
        <v/>
      </c>
      <c r="L436" t="str">
        <f>IF($A436&lt;&gt;"",'All Cases - Enter Cases'!L436,"")</f>
        <v/>
      </c>
      <c r="M436" t="str">
        <f>IF($A436&lt;&gt;"",'All Cases - Enter Cases'!M436,"")</f>
        <v/>
      </c>
    </row>
    <row r="437" spans="1:13" x14ac:dyDescent="0.35">
      <c r="A437" t="str">
        <f>IF('All Cases - Enter Cases'!$F437="Balochistan",'All Cases - Enter Cases'!A437,"")</f>
        <v/>
      </c>
      <c r="B437" t="str">
        <f>IF($A437&lt;&gt;"",'All Cases - Enter Cases'!B437,"")</f>
        <v/>
      </c>
      <c r="C437" t="str">
        <f>IF($A437&lt;&gt;"",'All Cases - Enter Cases'!C437,"")</f>
        <v/>
      </c>
      <c r="D437" t="str">
        <f>IF($A437&lt;&gt;"",'All Cases - Enter Cases'!D437,"")</f>
        <v/>
      </c>
      <c r="E437" t="str">
        <f>IF($A437&lt;&gt;"",'All Cases - Enter Cases'!E437,"")</f>
        <v/>
      </c>
      <c r="F437" t="str">
        <f>IF($A437&lt;&gt;"",'All Cases - Enter Cases'!F437,"")</f>
        <v/>
      </c>
      <c r="G437" t="str">
        <f>IF($A437&lt;&gt;"",'All Cases - Enter Cases'!G437,"")</f>
        <v/>
      </c>
      <c r="H437" t="str">
        <f>IF($A437&lt;&gt;"",'All Cases - Enter Cases'!H437,"")</f>
        <v/>
      </c>
      <c r="I437" t="str">
        <f>IF($A437&lt;&gt;"",'All Cases - Enter Cases'!I437,"")</f>
        <v/>
      </c>
      <c r="J437" t="str">
        <f>IF($A437&lt;&gt;"",'All Cases - Enter Cases'!J437,"")</f>
        <v/>
      </c>
      <c r="K437" t="str">
        <f>IF($A437&lt;&gt;"",'All Cases - Enter Cases'!K437,"")</f>
        <v/>
      </c>
      <c r="L437" t="str">
        <f>IF($A437&lt;&gt;"",'All Cases - Enter Cases'!L437,"")</f>
        <v/>
      </c>
      <c r="M437" t="str">
        <f>IF($A437&lt;&gt;"",'All Cases - Enter Cases'!M437,"")</f>
        <v/>
      </c>
    </row>
    <row r="438" spans="1:13" x14ac:dyDescent="0.35">
      <c r="A438" t="str">
        <f>IF('All Cases - Enter Cases'!$F438="Balochistan",'All Cases - Enter Cases'!A438,"")</f>
        <v/>
      </c>
      <c r="B438" t="str">
        <f>IF($A438&lt;&gt;"",'All Cases - Enter Cases'!B438,"")</f>
        <v/>
      </c>
      <c r="C438" t="str">
        <f>IF($A438&lt;&gt;"",'All Cases - Enter Cases'!C438,"")</f>
        <v/>
      </c>
      <c r="D438" t="str">
        <f>IF($A438&lt;&gt;"",'All Cases - Enter Cases'!D438,"")</f>
        <v/>
      </c>
      <c r="E438" t="str">
        <f>IF($A438&lt;&gt;"",'All Cases - Enter Cases'!E438,"")</f>
        <v/>
      </c>
      <c r="F438" t="str">
        <f>IF($A438&lt;&gt;"",'All Cases - Enter Cases'!F438,"")</f>
        <v/>
      </c>
      <c r="G438" t="str">
        <f>IF($A438&lt;&gt;"",'All Cases - Enter Cases'!G438,"")</f>
        <v/>
      </c>
      <c r="H438" t="str">
        <f>IF($A438&lt;&gt;"",'All Cases - Enter Cases'!H438,"")</f>
        <v/>
      </c>
      <c r="I438" t="str">
        <f>IF($A438&lt;&gt;"",'All Cases - Enter Cases'!I438,"")</f>
        <v/>
      </c>
      <c r="J438" t="str">
        <f>IF($A438&lt;&gt;"",'All Cases - Enter Cases'!J438,"")</f>
        <v/>
      </c>
      <c r="K438" t="str">
        <f>IF($A438&lt;&gt;"",'All Cases - Enter Cases'!K438,"")</f>
        <v/>
      </c>
      <c r="L438" t="str">
        <f>IF($A438&lt;&gt;"",'All Cases - Enter Cases'!L438,"")</f>
        <v/>
      </c>
      <c r="M438" t="str">
        <f>IF($A438&lt;&gt;"",'All Cases - Enter Cases'!M438,"")</f>
        <v/>
      </c>
    </row>
    <row r="439" spans="1:13" x14ac:dyDescent="0.35">
      <c r="A439" t="str">
        <f>IF('All Cases - Enter Cases'!$F439="Balochistan",'All Cases - Enter Cases'!A439,"")</f>
        <v/>
      </c>
      <c r="B439" t="str">
        <f>IF($A439&lt;&gt;"",'All Cases - Enter Cases'!B439,"")</f>
        <v/>
      </c>
      <c r="C439" t="str">
        <f>IF($A439&lt;&gt;"",'All Cases - Enter Cases'!C439,"")</f>
        <v/>
      </c>
      <c r="D439" t="str">
        <f>IF($A439&lt;&gt;"",'All Cases - Enter Cases'!D439,"")</f>
        <v/>
      </c>
      <c r="E439" t="str">
        <f>IF($A439&lt;&gt;"",'All Cases - Enter Cases'!E439,"")</f>
        <v/>
      </c>
      <c r="F439" t="str">
        <f>IF($A439&lt;&gt;"",'All Cases - Enter Cases'!F439,"")</f>
        <v/>
      </c>
      <c r="G439" t="str">
        <f>IF($A439&lt;&gt;"",'All Cases - Enter Cases'!G439,"")</f>
        <v/>
      </c>
      <c r="H439" t="str">
        <f>IF($A439&lt;&gt;"",'All Cases - Enter Cases'!H439,"")</f>
        <v/>
      </c>
      <c r="I439" t="str">
        <f>IF($A439&lt;&gt;"",'All Cases - Enter Cases'!I439,"")</f>
        <v/>
      </c>
      <c r="J439" t="str">
        <f>IF($A439&lt;&gt;"",'All Cases - Enter Cases'!J439,"")</f>
        <v/>
      </c>
      <c r="K439" t="str">
        <f>IF($A439&lt;&gt;"",'All Cases - Enter Cases'!K439,"")</f>
        <v/>
      </c>
      <c r="L439" t="str">
        <f>IF($A439&lt;&gt;"",'All Cases - Enter Cases'!L439,"")</f>
        <v/>
      </c>
      <c r="M439" t="str">
        <f>IF($A439&lt;&gt;"",'All Cases - Enter Cases'!M439,"")</f>
        <v/>
      </c>
    </row>
    <row r="440" spans="1:13" x14ac:dyDescent="0.35">
      <c r="A440" t="str">
        <f>IF('All Cases - Enter Cases'!$F440="Balochistan",'All Cases - Enter Cases'!A440,"")</f>
        <v/>
      </c>
      <c r="B440" t="str">
        <f>IF($A440&lt;&gt;"",'All Cases - Enter Cases'!B440,"")</f>
        <v/>
      </c>
      <c r="C440" t="str">
        <f>IF($A440&lt;&gt;"",'All Cases - Enter Cases'!C440,"")</f>
        <v/>
      </c>
      <c r="D440" t="str">
        <f>IF($A440&lt;&gt;"",'All Cases - Enter Cases'!D440,"")</f>
        <v/>
      </c>
      <c r="E440" t="str">
        <f>IF($A440&lt;&gt;"",'All Cases - Enter Cases'!E440,"")</f>
        <v/>
      </c>
      <c r="F440" t="str">
        <f>IF($A440&lt;&gt;"",'All Cases - Enter Cases'!F440,"")</f>
        <v/>
      </c>
      <c r="G440" t="str">
        <f>IF($A440&lt;&gt;"",'All Cases - Enter Cases'!G440,"")</f>
        <v/>
      </c>
      <c r="H440" t="str">
        <f>IF($A440&lt;&gt;"",'All Cases - Enter Cases'!H440,"")</f>
        <v/>
      </c>
      <c r="I440" t="str">
        <f>IF($A440&lt;&gt;"",'All Cases - Enter Cases'!I440,"")</f>
        <v/>
      </c>
      <c r="J440" t="str">
        <f>IF($A440&lt;&gt;"",'All Cases - Enter Cases'!J440,"")</f>
        <v/>
      </c>
      <c r="K440" t="str">
        <f>IF($A440&lt;&gt;"",'All Cases - Enter Cases'!K440,"")</f>
        <v/>
      </c>
      <c r="L440" t="str">
        <f>IF($A440&lt;&gt;"",'All Cases - Enter Cases'!L440,"")</f>
        <v/>
      </c>
      <c r="M440" t="str">
        <f>IF($A440&lt;&gt;"",'All Cases - Enter Cases'!M440,"")</f>
        <v/>
      </c>
    </row>
    <row r="441" spans="1:13" x14ac:dyDescent="0.35">
      <c r="A441" t="str">
        <f>IF('All Cases - Enter Cases'!$F441="Balochistan",'All Cases - Enter Cases'!A441,"")</f>
        <v/>
      </c>
      <c r="B441" t="str">
        <f>IF($A441&lt;&gt;"",'All Cases - Enter Cases'!B441,"")</f>
        <v/>
      </c>
      <c r="C441" t="str">
        <f>IF($A441&lt;&gt;"",'All Cases - Enter Cases'!C441,"")</f>
        <v/>
      </c>
      <c r="D441" t="str">
        <f>IF($A441&lt;&gt;"",'All Cases - Enter Cases'!D441,"")</f>
        <v/>
      </c>
      <c r="E441" t="str">
        <f>IF($A441&lt;&gt;"",'All Cases - Enter Cases'!E441,"")</f>
        <v/>
      </c>
      <c r="F441" t="str">
        <f>IF($A441&lt;&gt;"",'All Cases - Enter Cases'!F441,"")</f>
        <v/>
      </c>
      <c r="G441" t="str">
        <f>IF($A441&lt;&gt;"",'All Cases - Enter Cases'!G441,"")</f>
        <v/>
      </c>
      <c r="H441" t="str">
        <f>IF($A441&lt;&gt;"",'All Cases - Enter Cases'!H441,"")</f>
        <v/>
      </c>
      <c r="I441" t="str">
        <f>IF($A441&lt;&gt;"",'All Cases - Enter Cases'!I441,"")</f>
        <v/>
      </c>
      <c r="J441" t="str">
        <f>IF($A441&lt;&gt;"",'All Cases - Enter Cases'!J441,"")</f>
        <v/>
      </c>
      <c r="K441" t="str">
        <f>IF($A441&lt;&gt;"",'All Cases - Enter Cases'!K441,"")</f>
        <v/>
      </c>
      <c r="L441" t="str">
        <f>IF($A441&lt;&gt;"",'All Cases - Enter Cases'!L441,"")</f>
        <v/>
      </c>
      <c r="M441" t="str">
        <f>IF($A441&lt;&gt;"",'All Cases - Enter Cases'!M441,"")</f>
        <v/>
      </c>
    </row>
    <row r="442" spans="1:13" x14ac:dyDescent="0.35">
      <c r="A442" t="str">
        <f>IF('All Cases - Enter Cases'!$F442="Balochistan",'All Cases - Enter Cases'!A442,"")</f>
        <v/>
      </c>
      <c r="B442" t="str">
        <f>IF($A442&lt;&gt;"",'All Cases - Enter Cases'!B442,"")</f>
        <v/>
      </c>
      <c r="C442" t="str">
        <f>IF($A442&lt;&gt;"",'All Cases - Enter Cases'!C442,"")</f>
        <v/>
      </c>
      <c r="D442" t="str">
        <f>IF($A442&lt;&gt;"",'All Cases - Enter Cases'!D442,"")</f>
        <v/>
      </c>
      <c r="E442" t="str">
        <f>IF($A442&lt;&gt;"",'All Cases - Enter Cases'!E442,"")</f>
        <v/>
      </c>
      <c r="F442" t="str">
        <f>IF($A442&lt;&gt;"",'All Cases - Enter Cases'!F442,"")</f>
        <v/>
      </c>
      <c r="G442" t="str">
        <f>IF($A442&lt;&gt;"",'All Cases - Enter Cases'!G442,"")</f>
        <v/>
      </c>
      <c r="H442" t="str">
        <f>IF($A442&lt;&gt;"",'All Cases - Enter Cases'!H442,"")</f>
        <v/>
      </c>
      <c r="I442" t="str">
        <f>IF($A442&lt;&gt;"",'All Cases - Enter Cases'!I442,"")</f>
        <v/>
      </c>
      <c r="J442" t="str">
        <f>IF($A442&lt;&gt;"",'All Cases - Enter Cases'!J442,"")</f>
        <v/>
      </c>
      <c r="K442" t="str">
        <f>IF($A442&lt;&gt;"",'All Cases - Enter Cases'!K442,"")</f>
        <v/>
      </c>
      <c r="L442" t="str">
        <f>IF($A442&lt;&gt;"",'All Cases - Enter Cases'!L442,"")</f>
        <v/>
      </c>
      <c r="M442" t="str">
        <f>IF($A442&lt;&gt;"",'All Cases - Enter Cases'!M442,"")</f>
        <v/>
      </c>
    </row>
    <row r="443" spans="1:13" x14ac:dyDescent="0.35">
      <c r="A443" t="str">
        <f>IF('All Cases - Enter Cases'!$F443="Balochistan",'All Cases - Enter Cases'!A443,"")</f>
        <v/>
      </c>
      <c r="B443" t="str">
        <f>IF($A443&lt;&gt;"",'All Cases - Enter Cases'!B443,"")</f>
        <v/>
      </c>
      <c r="C443" t="str">
        <f>IF($A443&lt;&gt;"",'All Cases - Enter Cases'!C443,"")</f>
        <v/>
      </c>
      <c r="D443" t="str">
        <f>IF($A443&lt;&gt;"",'All Cases - Enter Cases'!D443,"")</f>
        <v/>
      </c>
      <c r="E443" t="str">
        <f>IF($A443&lt;&gt;"",'All Cases - Enter Cases'!E443,"")</f>
        <v/>
      </c>
      <c r="F443" t="str">
        <f>IF($A443&lt;&gt;"",'All Cases - Enter Cases'!F443,"")</f>
        <v/>
      </c>
      <c r="G443" t="str">
        <f>IF($A443&lt;&gt;"",'All Cases - Enter Cases'!G443,"")</f>
        <v/>
      </c>
      <c r="H443" t="str">
        <f>IF($A443&lt;&gt;"",'All Cases - Enter Cases'!H443,"")</f>
        <v/>
      </c>
      <c r="I443" t="str">
        <f>IF($A443&lt;&gt;"",'All Cases - Enter Cases'!I443,"")</f>
        <v/>
      </c>
      <c r="J443" t="str">
        <f>IF($A443&lt;&gt;"",'All Cases - Enter Cases'!J443,"")</f>
        <v/>
      </c>
      <c r="K443" t="str">
        <f>IF($A443&lt;&gt;"",'All Cases - Enter Cases'!K443,"")</f>
        <v/>
      </c>
      <c r="L443" t="str">
        <f>IF($A443&lt;&gt;"",'All Cases - Enter Cases'!L443,"")</f>
        <v/>
      </c>
      <c r="M443" t="str">
        <f>IF($A443&lt;&gt;"",'All Cases - Enter Cases'!M443,"")</f>
        <v/>
      </c>
    </row>
    <row r="444" spans="1:13" x14ac:dyDescent="0.35">
      <c r="A444" t="str">
        <f>IF('All Cases - Enter Cases'!$F444="Balochistan",'All Cases - Enter Cases'!A444,"")</f>
        <v/>
      </c>
      <c r="B444" t="str">
        <f>IF($A444&lt;&gt;"",'All Cases - Enter Cases'!B444,"")</f>
        <v/>
      </c>
      <c r="C444" t="str">
        <f>IF($A444&lt;&gt;"",'All Cases - Enter Cases'!C444,"")</f>
        <v/>
      </c>
      <c r="D444" t="str">
        <f>IF($A444&lt;&gt;"",'All Cases - Enter Cases'!D444,"")</f>
        <v/>
      </c>
      <c r="E444" t="str">
        <f>IF($A444&lt;&gt;"",'All Cases - Enter Cases'!E444,"")</f>
        <v/>
      </c>
      <c r="F444" t="str">
        <f>IF($A444&lt;&gt;"",'All Cases - Enter Cases'!F444,"")</f>
        <v/>
      </c>
      <c r="G444" t="str">
        <f>IF($A444&lt;&gt;"",'All Cases - Enter Cases'!G444,"")</f>
        <v/>
      </c>
      <c r="H444" t="str">
        <f>IF($A444&lt;&gt;"",'All Cases - Enter Cases'!H444,"")</f>
        <v/>
      </c>
      <c r="I444" t="str">
        <f>IF($A444&lt;&gt;"",'All Cases - Enter Cases'!I444,"")</f>
        <v/>
      </c>
      <c r="J444" t="str">
        <f>IF($A444&lt;&gt;"",'All Cases - Enter Cases'!J444,"")</f>
        <v/>
      </c>
      <c r="K444" t="str">
        <f>IF($A444&lt;&gt;"",'All Cases - Enter Cases'!K444,"")</f>
        <v/>
      </c>
      <c r="L444" t="str">
        <f>IF($A444&lt;&gt;"",'All Cases - Enter Cases'!L444,"")</f>
        <v/>
      </c>
      <c r="M444" t="str">
        <f>IF($A444&lt;&gt;"",'All Cases - Enter Cases'!M444,"")</f>
        <v/>
      </c>
    </row>
    <row r="445" spans="1:13" x14ac:dyDescent="0.35">
      <c r="A445" t="str">
        <f>IF('All Cases - Enter Cases'!$F445="Balochistan",'All Cases - Enter Cases'!A445,"")</f>
        <v/>
      </c>
      <c r="B445" t="str">
        <f>IF($A445&lt;&gt;"",'All Cases - Enter Cases'!B445,"")</f>
        <v/>
      </c>
      <c r="C445" t="str">
        <f>IF($A445&lt;&gt;"",'All Cases - Enter Cases'!C445,"")</f>
        <v/>
      </c>
      <c r="D445" t="str">
        <f>IF($A445&lt;&gt;"",'All Cases - Enter Cases'!D445,"")</f>
        <v/>
      </c>
      <c r="E445" t="str">
        <f>IF($A445&lt;&gt;"",'All Cases - Enter Cases'!E445,"")</f>
        <v/>
      </c>
      <c r="F445" t="str">
        <f>IF($A445&lt;&gt;"",'All Cases - Enter Cases'!F445,"")</f>
        <v/>
      </c>
      <c r="G445" t="str">
        <f>IF($A445&lt;&gt;"",'All Cases - Enter Cases'!G445,"")</f>
        <v/>
      </c>
      <c r="H445" t="str">
        <f>IF($A445&lt;&gt;"",'All Cases - Enter Cases'!H445,"")</f>
        <v/>
      </c>
      <c r="I445" t="str">
        <f>IF($A445&lt;&gt;"",'All Cases - Enter Cases'!I445,"")</f>
        <v/>
      </c>
      <c r="J445" t="str">
        <f>IF($A445&lt;&gt;"",'All Cases - Enter Cases'!J445,"")</f>
        <v/>
      </c>
      <c r="K445" t="str">
        <f>IF($A445&lt;&gt;"",'All Cases - Enter Cases'!K445,"")</f>
        <v/>
      </c>
      <c r="L445" t="str">
        <f>IF($A445&lt;&gt;"",'All Cases - Enter Cases'!L445,"")</f>
        <v/>
      </c>
      <c r="M445" t="str">
        <f>IF($A445&lt;&gt;"",'All Cases - Enter Cases'!M445,"")</f>
        <v/>
      </c>
    </row>
    <row r="446" spans="1:13" x14ac:dyDescent="0.35">
      <c r="A446" t="str">
        <f>IF('All Cases - Enter Cases'!$F446="Balochistan",'All Cases - Enter Cases'!A446,"")</f>
        <v/>
      </c>
      <c r="B446" t="str">
        <f>IF($A446&lt;&gt;"",'All Cases - Enter Cases'!B446,"")</f>
        <v/>
      </c>
      <c r="C446" t="str">
        <f>IF($A446&lt;&gt;"",'All Cases - Enter Cases'!C446,"")</f>
        <v/>
      </c>
      <c r="D446" t="str">
        <f>IF($A446&lt;&gt;"",'All Cases - Enter Cases'!D446,"")</f>
        <v/>
      </c>
      <c r="E446" t="str">
        <f>IF($A446&lt;&gt;"",'All Cases - Enter Cases'!E446,"")</f>
        <v/>
      </c>
      <c r="F446" t="str">
        <f>IF($A446&lt;&gt;"",'All Cases - Enter Cases'!F446,"")</f>
        <v/>
      </c>
      <c r="G446" t="str">
        <f>IF($A446&lt;&gt;"",'All Cases - Enter Cases'!G446,"")</f>
        <v/>
      </c>
      <c r="H446" t="str">
        <f>IF($A446&lt;&gt;"",'All Cases - Enter Cases'!H446,"")</f>
        <v/>
      </c>
      <c r="I446" t="str">
        <f>IF($A446&lt;&gt;"",'All Cases - Enter Cases'!I446,"")</f>
        <v/>
      </c>
      <c r="J446" t="str">
        <f>IF($A446&lt;&gt;"",'All Cases - Enter Cases'!J446,"")</f>
        <v/>
      </c>
      <c r="K446" t="str">
        <f>IF($A446&lt;&gt;"",'All Cases - Enter Cases'!K446,"")</f>
        <v/>
      </c>
      <c r="L446" t="str">
        <f>IF($A446&lt;&gt;"",'All Cases - Enter Cases'!L446,"")</f>
        <v/>
      </c>
      <c r="M446" t="str">
        <f>IF($A446&lt;&gt;"",'All Cases - Enter Cases'!M446,"")</f>
        <v/>
      </c>
    </row>
    <row r="447" spans="1:13" x14ac:dyDescent="0.35">
      <c r="A447" t="str">
        <f>IF('All Cases - Enter Cases'!$F447="Balochistan",'All Cases - Enter Cases'!A447,"")</f>
        <v/>
      </c>
      <c r="B447" t="str">
        <f>IF($A447&lt;&gt;"",'All Cases - Enter Cases'!B447,"")</f>
        <v/>
      </c>
      <c r="C447" t="str">
        <f>IF($A447&lt;&gt;"",'All Cases - Enter Cases'!C447,"")</f>
        <v/>
      </c>
      <c r="D447" t="str">
        <f>IF($A447&lt;&gt;"",'All Cases - Enter Cases'!D447,"")</f>
        <v/>
      </c>
      <c r="E447" t="str">
        <f>IF($A447&lt;&gt;"",'All Cases - Enter Cases'!E447,"")</f>
        <v/>
      </c>
      <c r="F447" t="str">
        <f>IF($A447&lt;&gt;"",'All Cases - Enter Cases'!F447,"")</f>
        <v/>
      </c>
      <c r="G447" t="str">
        <f>IF($A447&lt;&gt;"",'All Cases - Enter Cases'!G447,"")</f>
        <v/>
      </c>
      <c r="H447" t="str">
        <f>IF($A447&lt;&gt;"",'All Cases - Enter Cases'!H447,"")</f>
        <v/>
      </c>
      <c r="I447" t="str">
        <f>IF($A447&lt;&gt;"",'All Cases - Enter Cases'!I447,"")</f>
        <v/>
      </c>
      <c r="J447" t="str">
        <f>IF($A447&lt;&gt;"",'All Cases - Enter Cases'!J447,"")</f>
        <v/>
      </c>
      <c r="K447" t="str">
        <f>IF($A447&lt;&gt;"",'All Cases - Enter Cases'!K447,"")</f>
        <v/>
      </c>
      <c r="L447" t="str">
        <f>IF($A447&lt;&gt;"",'All Cases - Enter Cases'!L447,"")</f>
        <v/>
      </c>
      <c r="M447" t="str">
        <f>IF($A447&lt;&gt;"",'All Cases - Enter Cases'!M447,"")</f>
        <v/>
      </c>
    </row>
    <row r="448" spans="1:13" x14ac:dyDescent="0.35">
      <c r="A448" t="str">
        <f>IF('All Cases - Enter Cases'!$F448="Balochistan",'All Cases - Enter Cases'!A448,"")</f>
        <v/>
      </c>
      <c r="B448" t="str">
        <f>IF($A448&lt;&gt;"",'All Cases - Enter Cases'!B448,"")</f>
        <v/>
      </c>
      <c r="C448" t="str">
        <f>IF($A448&lt;&gt;"",'All Cases - Enter Cases'!C448,"")</f>
        <v/>
      </c>
      <c r="D448" t="str">
        <f>IF($A448&lt;&gt;"",'All Cases - Enter Cases'!D448,"")</f>
        <v/>
      </c>
      <c r="E448" t="str">
        <f>IF($A448&lt;&gt;"",'All Cases - Enter Cases'!E448,"")</f>
        <v/>
      </c>
      <c r="F448" t="str">
        <f>IF($A448&lt;&gt;"",'All Cases - Enter Cases'!F448,"")</f>
        <v/>
      </c>
      <c r="G448" t="str">
        <f>IF($A448&lt;&gt;"",'All Cases - Enter Cases'!G448,"")</f>
        <v/>
      </c>
      <c r="H448" t="str">
        <f>IF($A448&lt;&gt;"",'All Cases - Enter Cases'!H448,"")</f>
        <v/>
      </c>
      <c r="I448" t="str">
        <f>IF($A448&lt;&gt;"",'All Cases - Enter Cases'!I448,"")</f>
        <v/>
      </c>
      <c r="J448" t="str">
        <f>IF($A448&lt;&gt;"",'All Cases - Enter Cases'!J448,"")</f>
        <v/>
      </c>
      <c r="K448" t="str">
        <f>IF($A448&lt;&gt;"",'All Cases - Enter Cases'!K448,"")</f>
        <v/>
      </c>
      <c r="L448" t="str">
        <f>IF($A448&lt;&gt;"",'All Cases - Enter Cases'!L448,"")</f>
        <v/>
      </c>
      <c r="M448" t="str">
        <f>IF($A448&lt;&gt;"",'All Cases - Enter Cases'!M448,"")</f>
        <v/>
      </c>
    </row>
    <row r="449" spans="1:13" x14ac:dyDescent="0.35">
      <c r="A449" t="str">
        <f>IF('All Cases - Enter Cases'!$F449="Balochistan",'All Cases - Enter Cases'!A449,"")</f>
        <v/>
      </c>
      <c r="B449" t="str">
        <f>IF($A449&lt;&gt;"",'All Cases - Enter Cases'!B449,"")</f>
        <v/>
      </c>
      <c r="C449" t="str">
        <f>IF($A449&lt;&gt;"",'All Cases - Enter Cases'!C449,"")</f>
        <v/>
      </c>
      <c r="D449" t="str">
        <f>IF($A449&lt;&gt;"",'All Cases - Enter Cases'!D449,"")</f>
        <v/>
      </c>
      <c r="E449" t="str">
        <f>IF($A449&lt;&gt;"",'All Cases - Enter Cases'!E449,"")</f>
        <v/>
      </c>
      <c r="F449" t="str">
        <f>IF($A449&lt;&gt;"",'All Cases - Enter Cases'!F449,"")</f>
        <v/>
      </c>
      <c r="G449" t="str">
        <f>IF($A449&lt;&gt;"",'All Cases - Enter Cases'!G449,"")</f>
        <v/>
      </c>
      <c r="H449" t="str">
        <f>IF($A449&lt;&gt;"",'All Cases - Enter Cases'!H449,"")</f>
        <v/>
      </c>
      <c r="I449" t="str">
        <f>IF($A449&lt;&gt;"",'All Cases - Enter Cases'!I449,"")</f>
        <v/>
      </c>
      <c r="J449" t="str">
        <f>IF($A449&lt;&gt;"",'All Cases - Enter Cases'!J449,"")</f>
        <v/>
      </c>
      <c r="K449" t="str">
        <f>IF($A449&lt;&gt;"",'All Cases - Enter Cases'!K449,"")</f>
        <v/>
      </c>
      <c r="L449" t="str">
        <f>IF($A449&lt;&gt;"",'All Cases - Enter Cases'!L449,"")</f>
        <v/>
      </c>
      <c r="M449" t="str">
        <f>IF($A449&lt;&gt;"",'All Cases - Enter Cases'!M449,"")</f>
        <v/>
      </c>
    </row>
    <row r="450" spans="1:13" x14ac:dyDescent="0.35">
      <c r="A450" t="str">
        <f>IF('All Cases - Enter Cases'!$F450="Balochistan",'All Cases - Enter Cases'!A450,"")</f>
        <v/>
      </c>
      <c r="B450" t="str">
        <f>IF($A450&lt;&gt;"",'All Cases - Enter Cases'!B450,"")</f>
        <v/>
      </c>
      <c r="C450" t="str">
        <f>IF($A450&lt;&gt;"",'All Cases - Enter Cases'!C450,"")</f>
        <v/>
      </c>
      <c r="D450" t="str">
        <f>IF($A450&lt;&gt;"",'All Cases - Enter Cases'!D450,"")</f>
        <v/>
      </c>
      <c r="E450" t="str">
        <f>IF($A450&lt;&gt;"",'All Cases - Enter Cases'!E450,"")</f>
        <v/>
      </c>
      <c r="F450" t="str">
        <f>IF($A450&lt;&gt;"",'All Cases - Enter Cases'!F450,"")</f>
        <v/>
      </c>
      <c r="G450" t="str">
        <f>IF($A450&lt;&gt;"",'All Cases - Enter Cases'!G450,"")</f>
        <v/>
      </c>
      <c r="H450" t="str">
        <f>IF($A450&lt;&gt;"",'All Cases - Enter Cases'!H450,"")</f>
        <v/>
      </c>
      <c r="I450" t="str">
        <f>IF($A450&lt;&gt;"",'All Cases - Enter Cases'!I450,"")</f>
        <v/>
      </c>
      <c r="J450" t="str">
        <f>IF($A450&lt;&gt;"",'All Cases - Enter Cases'!J450,"")</f>
        <v/>
      </c>
      <c r="K450" t="str">
        <f>IF($A450&lt;&gt;"",'All Cases - Enter Cases'!K450,"")</f>
        <v/>
      </c>
      <c r="L450" t="str">
        <f>IF($A450&lt;&gt;"",'All Cases - Enter Cases'!L450,"")</f>
        <v/>
      </c>
      <c r="M450" t="str">
        <f>IF($A450&lt;&gt;"",'All Cases - Enter Cases'!M450,"")</f>
        <v/>
      </c>
    </row>
    <row r="451" spans="1:13" x14ac:dyDescent="0.35">
      <c r="A451" t="str">
        <f>IF('All Cases - Enter Cases'!$F451="Balochistan",'All Cases - Enter Cases'!A451,"")</f>
        <v/>
      </c>
      <c r="B451" t="str">
        <f>IF($A451&lt;&gt;"",'All Cases - Enter Cases'!B451,"")</f>
        <v/>
      </c>
      <c r="C451" t="str">
        <f>IF($A451&lt;&gt;"",'All Cases - Enter Cases'!C451,"")</f>
        <v/>
      </c>
      <c r="D451" t="str">
        <f>IF($A451&lt;&gt;"",'All Cases - Enter Cases'!D451,"")</f>
        <v/>
      </c>
      <c r="E451" t="str">
        <f>IF($A451&lt;&gt;"",'All Cases - Enter Cases'!E451,"")</f>
        <v/>
      </c>
      <c r="F451" t="str">
        <f>IF($A451&lt;&gt;"",'All Cases - Enter Cases'!F451,"")</f>
        <v/>
      </c>
      <c r="G451" t="str">
        <f>IF($A451&lt;&gt;"",'All Cases - Enter Cases'!G451,"")</f>
        <v/>
      </c>
      <c r="H451" t="str">
        <f>IF($A451&lt;&gt;"",'All Cases - Enter Cases'!H451,"")</f>
        <v/>
      </c>
      <c r="I451" t="str">
        <f>IF($A451&lt;&gt;"",'All Cases - Enter Cases'!I451,"")</f>
        <v/>
      </c>
      <c r="J451" t="str">
        <f>IF($A451&lt;&gt;"",'All Cases - Enter Cases'!J451,"")</f>
        <v/>
      </c>
      <c r="K451" t="str">
        <f>IF($A451&lt;&gt;"",'All Cases - Enter Cases'!K451,"")</f>
        <v/>
      </c>
      <c r="L451" t="str">
        <f>IF($A451&lt;&gt;"",'All Cases - Enter Cases'!L451,"")</f>
        <v/>
      </c>
      <c r="M451" t="str">
        <f>IF($A451&lt;&gt;"",'All Cases - Enter Cases'!M451,"")</f>
        <v/>
      </c>
    </row>
    <row r="452" spans="1:13" x14ac:dyDescent="0.35">
      <c r="A452" t="str">
        <f>IF('All Cases - Enter Cases'!$F452="Balochistan",'All Cases - Enter Cases'!A452,"")</f>
        <v/>
      </c>
      <c r="B452" t="str">
        <f>IF($A452&lt;&gt;"",'All Cases - Enter Cases'!B452,"")</f>
        <v/>
      </c>
      <c r="C452" t="str">
        <f>IF($A452&lt;&gt;"",'All Cases - Enter Cases'!C452,"")</f>
        <v/>
      </c>
      <c r="D452" t="str">
        <f>IF($A452&lt;&gt;"",'All Cases - Enter Cases'!D452,"")</f>
        <v/>
      </c>
      <c r="E452" t="str">
        <f>IF($A452&lt;&gt;"",'All Cases - Enter Cases'!E452,"")</f>
        <v/>
      </c>
      <c r="F452" t="str">
        <f>IF($A452&lt;&gt;"",'All Cases - Enter Cases'!F452,"")</f>
        <v/>
      </c>
      <c r="G452" t="str">
        <f>IF($A452&lt;&gt;"",'All Cases - Enter Cases'!G452,"")</f>
        <v/>
      </c>
      <c r="H452" t="str">
        <f>IF($A452&lt;&gt;"",'All Cases - Enter Cases'!H452,"")</f>
        <v/>
      </c>
      <c r="I452" t="str">
        <f>IF($A452&lt;&gt;"",'All Cases - Enter Cases'!I452,"")</f>
        <v/>
      </c>
      <c r="J452" t="str">
        <f>IF($A452&lt;&gt;"",'All Cases - Enter Cases'!J452,"")</f>
        <v/>
      </c>
      <c r="K452" t="str">
        <f>IF($A452&lt;&gt;"",'All Cases - Enter Cases'!K452,"")</f>
        <v/>
      </c>
      <c r="L452" t="str">
        <f>IF($A452&lt;&gt;"",'All Cases - Enter Cases'!L452,"")</f>
        <v/>
      </c>
      <c r="M452" t="str">
        <f>IF($A452&lt;&gt;"",'All Cases - Enter Cases'!M452,"")</f>
        <v/>
      </c>
    </row>
    <row r="453" spans="1:13" x14ac:dyDescent="0.35">
      <c r="A453" t="str">
        <f>IF('All Cases - Enter Cases'!$F453="Balochistan",'All Cases - Enter Cases'!A453,"")</f>
        <v/>
      </c>
      <c r="B453" t="str">
        <f>IF($A453&lt;&gt;"",'All Cases - Enter Cases'!B453,"")</f>
        <v/>
      </c>
      <c r="C453" t="str">
        <f>IF($A453&lt;&gt;"",'All Cases - Enter Cases'!C453,"")</f>
        <v/>
      </c>
      <c r="D453" t="str">
        <f>IF($A453&lt;&gt;"",'All Cases - Enter Cases'!D453,"")</f>
        <v/>
      </c>
      <c r="E453" t="str">
        <f>IF($A453&lt;&gt;"",'All Cases - Enter Cases'!E453,"")</f>
        <v/>
      </c>
      <c r="F453" t="str">
        <f>IF($A453&lt;&gt;"",'All Cases - Enter Cases'!F453,"")</f>
        <v/>
      </c>
      <c r="G453" t="str">
        <f>IF($A453&lt;&gt;"",'All Cases - Enter Cases'!G453,"")</f>
        <v/>
      </c>
      <c r="H453" t="str">
        <f>IF($A453&lt;&gt;"",'All Cases - Enter Cases'!H453,"")</f>
        <v/>
      </c>
      <c r="I453" t="str">
        <f>IF($A453&lt;&gt;"",'All Cases - Enter Cases'!I453,"")</f>
        <v/>
      </c>
      <c r="J453" t="str">
        <f>IF($A453&lt;&gt;"",'All Cases - Enter Cases'!J453,"")</f>
        <v/>
      </c>
      <c r="K453" t="str">
        <f>IF($A453&lt;&gt;"",'All Cases - Enter Cases'!K453,"")</f>
        <v/>
      </c>
      <c r="L453" t="str">
        <f>IF($A453&lt;&gt;"",'All Cases - Enter Cases'!L453,"")</f>
        <v/>
      </c>
      <c r="M453" t="str">
        <f>IF($A453&lt;&gt;"",'All Cases - Enter Cases'!M453,"")</f>
        <v/>
      </c>
    </row>
    <row r="454" spans="1:13" x14ac:dyDescent="0.35">
      <c r="A454" t="str">
        <f>IF('All Cases - Enter Cases'!$F454="Balochistan",'All Cases - Enter Cases'!A454,"")</f>
        <v/>
      </c>
      <c r="B454" t="str">
        <f>IF($A454&lt;&gt;"",'All Cases - Enter Cases'!B454,"")</f>
        <v/>
      </c>
      <c r="C454" t="str">
        <f>IF($A454&lt;&gt;"",'All Cases - Enter Cases'!C454,"")</f>
        <v/>
      </c>
      <c r="D454" t="str">
        <f>IF($A454&lt;&gt;"",'All Cases - Enter Cases'!D454,"")</f>
        <v/>
      </c>
      <c r="E454" t="str">
        <f>IF($A454&lt;&gt;"",'All Cases - Enter Cases'!E454,"")</f>
        <v/>
      </c>
      <c r="F454" t="str">
        <f>IF($A454&lt;&gt;"",'All Cases - Enter Cases'!F454,"")</f>
        <v/>
      </c>
      <c r="G454" t="str">
        <f>IF($A454&lt;&gt;"",'All Cases - Enter Cases'!G454,"")</f>
        <v/>
      </c>
      <c r="H454" t="str">
        <f>IF($A454&lt;&gt;"",'All Cases - Enter Cases'!H454,"")</f>
        <v/>
      </c>
      <c r="I454" t="str">
        <f>IF($A454&lt;&gt;"",'All Cases - Enter Cases'!I454,"")</f>
        <v/>
      </c>
      <c r="J454" t="str">
        <f>IF($A454&lt;&gt;"",'All Cases - Enter Cases'!J454,"")</f>
        <v/>
      </c>
      <c r="K454" t="str">
        <f>IF($A454&lt;&gt;"",'All Cases - Enter Cases'!K454,"")</f>
        <v/>
      </c>
      <c r="L454" t="str">
        <f>IF($A454&lt;&gt;"",'All Cases - Enter Cases'!L454,"")</f>
        <v/>
      </c>
      <c r="M454" t="str">
        <f>IF($A454&lt;&gt;"",'All Cases - Enter Cases'!M454,"")</f>
        <v/>
      </c>
    </row>
    <row r="455" spans="1:13" x14ac:dyDescent="0.35">
      <c r="A455" t="str">
        <f>IF('All Cases - Enter Cases'!$F455="Balochistan",'All Cases - Enter Cases'!A455,"")</f>
        <v/>
      </c>
      <c r="B455" t="str">
        <f>IF($A455&lt;&gt;"",'All Cases - Enter Cases'!B455,"")</f>
        <v/>
      </c>
      <c r="C455" t="str">
        <f>IF($A455&lt;&gt;"",'All Cases - Enter Cases'!C455,"")</f>
        <v/>
      </c>
      <c r="D455" t="str">
        <f>IF($A455&lt;&gt;"",'All Cases - Enter Cases'!D455,"")</f>
        <v/>
      </c>
      <c r="E455" t="str">
        <f>IF($A455&lt;&gt;"",'All Cases - Enter Cases'!E455,"")</f>
        <v/>
      </c>
      <c r="F455" t="str">
        <f>IF($A455&lt;&gt;"",'All Cases - Enter Cases'!F455,"")</f>
        <v/>
      </c>
      <c r="G455" t="str">
        <f>IF($A455&lt;&gt;"",'All Cases - Enter Cases'!G455,"")</f>
        <v/>
      </c>
      <c r="H455" t="str">
        <f>IF($A455&lt;&gt;"",'All Cases - Enter Cases'!H455,"")</f>
        <v/>
      </c>
      <c r="I455" t="str">
        <f>IF($A455&lt;&gt;"",'All Cases - Enter Cases'!I455,"")</f>
        <v/>
      </c>
      <c r="J455" t="str">
        <f>IF($A455&lt;&gt;"",'All Cases - Enter Cases'!J455,"")</f>
        <v/>
      </c>
      <c r="K455" t="str">
        <f>IF($A455&lt;&gt;"",'All Cases - Enter Cases'!K455,"")</f>
        <v/>
      </c>
      <c r="L455" t="str">
        <f>IF($A455&lt;&gt;"",'All Cases - Enter Cases'!L455,"")</f>
        <v/>
      </c>
      <c r="M455" t="str">
        <f>IF($A455&lt;&gt;"",'All Cases - Enter Cases'!M455,"")</f>
        <v/>
      </c>
    </row>
    <row r="456" spans="1:13" x14ac:dyDescent="0.35">
      <c r="A456" t="str">
        <f>IF('All Cases - Enter Cases'!$F456="Balochistan",'All Cases - Enter Cases'!A456,"")</f>
        <v/>
      </c>
      <c r="B456" t="str">
        <f>IF($A456&lt;&gt;"",'All Cases - Enter Cases'!B456,"")</f>
        <v/>
      </c>
      <c r="C456" t="str">
        <f>IF($A456&lt;&gt;"",'All Cases - Enter Cases'!C456,"")</f>
        <v/>
      </c>
      <c r="D456" t="str">
        <f>IF($A456&lt;&gt;"",'All Cases - Enter Cases'!D456,"")</f>
        <v/>
      </c>
      <c r="E456" t="str">
        <f>IF($A456&lt;&gt;"",'All Cases - Enter Cases'!E456,"")</f>
        <v/>
      </c>
      <c r="F456" t="str">
        <f>IF($A456&lt;&gt;"",'All Cases - Enter Cases'!F456,"")</f>
        <v/>
      </c>
      <c r="G456" t="str">
        <f>IF($A456&lt;&gt;"",'All Cases - Enter Cases'!G456,"")</f>
        <v/>
      </c>
      <c r="H456" t="str">
        <f>IF($A456&lt;&gt;"",'All Cases - Enter Cases'!H456,"")</f>
        <v/>
      </c>
      <c r="I456" t="str">
        <f>IF($A456&lt;&gt;"",'All Cases - Enter Cases'!I456,"")</f>
        <v/>
      </c>
      <c r="J456" t="str">
        <f>IF($A456&lt;&gt;"",'All Cases - Enter Cases'!J456,"")</f>
        <v/>
      </c>
      <c r="K456" t="str">
        <f>IF($A456&lt;&gt;"",'All Cases - Enter Cases'!K456,"")</f>
        <v/>
      </c>
      <c r="L456" t="str">
        <f>IF($A456&lt;&gt;"",'All Cases - Enter Cases'!L456,"")</f>
        <v/>
      </c>
      <c r="M456" t="str">
        <f>IF($A456&lt;&gt;"",'All Cases - Enter Cases'!M456,"")</f>
        <v/>
      </c>
    </row>
    <row r="457" spans="1:13" x14ac:dyDescent="0.35">
      <c r="A457" t="str">
        <f>IF('All Cases - Enter Cases'!$F457="Balochistan",'All Cases - Enter Cases'!A457,"")</f>
        <v/>
      </c>
      <c r="B457" t="str">
        <f>IF($A457&lt;&gt;"",'All Cases - Enter Cases'!B457,"")</f>
        <v/>
      </c>
      <c r="C457" t="str">
        <f>IF($A457&lt;&gt;"",'All Cases - Enter Cases'!C457,"")</f>
        <v/>
      </c>
      <c r="D457" t="str">
        <f>IF($A457&lt;&gt;"",'All Cases - Enter Cases'!D457,"")</f>
        <v/>
      </c>
      <c r="E457" t="str">
        <f>IF($A457&lt;&gt;"",'All Cases - Enter Cases'!E457,"")</f>
        <v/>
      </c>
      <c r="F457" t="str">
        <f>IF($A457&lt;&gt;"",'All Cases - Enter Cases'!F457,"")</f>
        <v/>
      </c>
      <c r="G457" t="str">
        <f>IF($A457&lt;&gt;"",'All Cases - Enter Cases'!G457,"")</f>
        <v/>
      </c>
      <c r="H457" t="str">
        <f>IF($A457&lt;&gt;"",'All Cases - Enter Cases'!H457,"")</f>
        <v/>
      </c>
      <c r="I457" t="str">
        <f>IF($A457&lt;&gt;"",'All Cases - Enter Cases'!I457,"")</f>
        <v/>
      </c>
      <c r="J457" t="str">
        <f>IF($A457&lt;&gt;"",'All Cases - Enter Cases'!J457,"")</f>
        <v/>
      </c>
      <c r="K457" t="str">
        <f>IF($A457&lt;&gt;"",'All Cases - Enter Cases'!K457,"")</f>
        <v/>
      </c>
      <c r="L457" t="str">
        <f>IF($A457&lt;&gt;"",'All Cases - Enter Cases'!L457,"")</f>
        <v/>
      </c>
      <c r="M457" t="str">
        <f>IF($A457&lt;&gt;"",'All Cases - Enter Cases'!M457,"")</f>
        <v/>
      </c>
    </row>
    <row r="458" spans="1:13" x14ac:dyDescent="0.35">
      <c r="A458" t="str">
        <f>IF('All Cases - Enter Cases'!$F458="Balochistan",'All Cases - Enter Cases'!A458,"")</f>
        <v/>
      </c>
      <c r="B458" t="str">
        <f>IF($A458&lt;&gt;"",'All Cases - Enter Cases'!B458,"")</f>
        <v/>
      </c>
      <c r="C458" t="str">
        <f>IF($A458&lt;&gt;"",'All Cases - Enter Cases'!C458,"")</f>
        <v/>
      </c>
      <c r="D458" t="str">
        <f>IF($A458&lt;&gt;"",'All Cases - Enter Cases'!D458,"")</f>
        <v/>
      </c>
      <c r="E458" t="str">
        <f>IF($A458&lt;&gt;"",'All Cases - Enter Cases'!E458,"")</f>
        <v/>
      </c>
      <c r="F458" t="str">
        <f>IF($A458&lt;&gt;"",'All Cases - Enter Cases'!F458,"")</f>
        <v/>
      </c>
      <c r="G458" t="str">
        <f>IF($A458&lt;&gt;"",'All Cases - Enter Cases'!G458,"")</f>
        <v/>
      </c>
      <c r="H458" t="str">
        <f>IF($A458&lt;&gt;"",'All Cases - Enter Cases'!H458,"")</f>
        <v/>
      </c>
      <c r="I458" t="str">
        <f>IF($A458&lt;&gt;"",'All Cases - Enter Cases'!I458,"")</f>
        <v/>
      </c>
      <c r="J458" t="str">
        <f>IF($A458&lt;&gt;"",'All Cases - Enter Cases'!J458,"")</f>
        <v/>
      </c>
      <c r="K458" t="str">
        <f>IF($A458&lt;&gt;"",'All Cases - Enter Cases'!K458,"")</f>
        <v/>
      </c>
      <c r="L458" t="str">
        <f>IF($A458&lt;&gt;"",'All Cases - Enter Cases'!L458,"")</f>
        <v/>
      </c>
      <c r="M458" t="str">
        <f>IF($A458&lt;&gt;"",'All Cases - Enter Cases'!M458,"")</f>
        <v/>
      </c>
    </row>
    <row r="459" spans="1:13" x14ac:dyDescent="0.35">
      <c r="A459" t="str">
        <f>IF('All Cases - Enter Cases'!$F459="Balochistan",'All Cases - Enter Cases'!A459,"")</f>
        <v/>
      </c>
      <c r="B459" t="str">
        <f>IF($A459&lt;&gt;"",'All Cases - Enter Cases'!B459,"")</f>
        <v/>
      </c>
      <c r="C459" t="str">
        <f>IF($A459&lt;&gt;"",'All Cases - Enter Cases'!C459,"")</f>
        <v/>
      </c>
      <c r="D459" t="str">
        <f>IF($A459&lt;&gt;"",'All Cases - Enter Cases'!D459,"")</f>
        <v/>
      </c>
      <c r="E459" t="str">
        <f>IF($A459&lt;&gt;"",'All Cases - Enter Cases'!E459,"")</f>
        <v/>
      </c>
      <c r="F459" t="str">
        <f>IF($A459&lt;&gt;"",'All Cases - Enter Cases'!F459,"")</f>
        <v/>
      </c>
      <c r="G459" t="str">
        <f>IF($A459&lt;&gt;"",'All Cases - Enter Cases'!G459,"")</f>
        <v/>
      </c>
      <c r="H459" t="str">
        <f>IF($A459&lt;&gt;"",'All Cases - Enter Cases'!H459,"")</f>
        <v/>
      </c>
      <c r="I459" t="str">
        <f>IF($A459&lt;&gt;"",'All Cases - Enter Cases'!I459,"")</f>
        <v/>
      </c>
      <c r="J459" t="str">
        <f>IF($A459&lt;&gt;"",'All Cases - Enter Cases'!J459,"")</f>
        <v/>
      </c>
      <c r="K459" t="str">
        <f>IF($A459&lt;&gt;"",'All Cases - Enter Cases'!K459,"")</f>
        <v/>
      </c>
      <c r="L459" t="str">
        <f>IF($A459&lt;&gt;"",'All Cases - Enter Cases'!L459,"")</f>
        <v/>
      </c>
      <c r="M459" t="str">
        <f>IF($A459&lt;&gt;"",'All Cases - Enter Cases'!M459,"")</f>
        <v/>
      </c>
    </row>
    <row r="460" spans="1:13" x14ac:dyDescent="0.35">
      <c r="A460" t="str">
        <f>IF('All Cases - Enter Cases'!$F460="Balochistan",'All Cases - Enter Cases'!A460,"")</f>
        <v/>
      </c>
      <c r="B460" t="str">
        <f>IF($A460&lt;&gt;"",'All Cases - Enter Cases'!B460,"")</f>
        <v/>
      </c>
      <c r="C460" t="str">
        <f>IF($A460&lt;&gt;"",'All Cases - Enter Cases'!C460,"")</f>
        <v/>
      </c>
      <c r="D460" t="str">
        <f>IF($A460&lt;&gt;"",'All Cases - Enter Cases'!D460,"")</f>
        <v/>
      </c>
      <c r="E460" t="str">
        <f>IF($A460&lt;&gt;"",'All Cases - Enter Cases'!E460,"")</f>
        <v/>
      </c>
      <c r="F460" t="str">
        <f>IF($A460&lt;&gt;"",'All Cases - Enter Cases'!F460,"")</f>
        <v/>
      </c>
      <c r="G460" t="str">
        <f>IF($A460&lt;&gt;"",'All Cases - Enter Cases'!G460,"")</f>
        <v/>
      </c>
      <c r="H460" t="str">
        <f>IF($A460&lt;&gt;"",'All Cases - Enter Cases'!H460,"")</f>
        <v/>
      </c>
      <c r="I460" t="str">
        <f>IF($A460&lt;&gt;"",'All Cases - Enter Cases'!I460,"")</f>
        <v/>
      </c>
      <c r="J460" t="str">
        <f>IF($A460&lt;&gt;"",'All Cases - Enter Cases'!J460,"")</f>
        <v/>
      </c>
      <c r="K460" t="str">
        <f>IF($A460&lt;&gt;"",'All Cases - Enter Cases'!K460,"")</f>
        <v/>
      </c>
      <c r="L460" t="str">
        <f>IF($A460&lt;&gt;"",'All Cases - Enter Cases'!L460,"")</f>
        <v/>
      </c>
      <c r="M460" t="str">
        <f>IF($A460&lt;&gt;"",'All Cases - Enter Cases'!M460,"")</f>
        <v/>
      </c>
    </row>
    <row r="461" spans="1:13" x14ac:dyDescent="0.35">
      <c r="A461" t="str">
        <f>IF('All Cases - Enter Cases'!$F461="Balochistan",'All Cases - Enter Cases'!A461,"")</f>
        <v/>
      </c>
      <c r="B461" t="str">
        <f>IF($A461&lt;&gt;"",'All Cases - Enter Cases'!B461,"")</f>
        <v/>
      </c>
      <c r="C461" t="str">
        <f>IF($A461&lt;&gt;"",'All Cases - Enter Cases'!C461,"")</f>
        <v/>
      </c>
      <c r="D461" t="str">
        <f>IF($A461&lt;&gt;"",'All Cases - Enter Cases'!D461,"")</f>
        <v/>
      </c>
      <c r="E461" t="str">
        <f>IF($A461&lt;&gt;"",'All Cases - Enter Cases'!E461,"")</f>
        <v/>
      </c>
      <c r="F461" t="str">
        <f>IF($A461&lt;&gt;"",'All Cases - Enter Cases'!F461,"")</f>
        <v/>
      </c>
      <c r="G461" t="str">
        <f>IF($A461&lt;&gt;"",'All Cases - Enter Cases'!G461,"")</f>
        <v/>
      </c>
      <c r="H461" t="str">
        <f>IF($A461&lt;&gt;"",'All Cases - Enter Cases'!H461,"")</f>
        <v/>
      </c>
      <c r="I461" t="str">
        <f>IF($A461&lt;&gt;"",'All Cases - Enter Cases'!I461,"")</f>
        <v/>
      </c>
      <c r="J461" t="str">
        <f>IF($A461&lt;&gt;"",'All Cases - Enter Cases'!J461,"")</f>
        <v/>
      </c>
      <c r="K461" t="str">
        <f>IF($A461&lt;&gt;"",'All Cases - Enter Cases'!K461,"")</f>
        <v/>
      </c>
      <c r="L461" t="str">
        <f>IF($A461&lt;&gt;"",'All Cases - Enter Cases'!L461,"")</f>
        <v/>
      </c>
      <c r="M461" t="str">
        <f>IF($A461&lt;&gt;"",'All Cases - Enter Cases'!M461,"")</f>
        <v/>
      </c>
    </row>
    <row r="462" spans="1:13" x14ac:dyDescent="0.35">
      <c r="A462" t="str">
        <f>IF('All Cases - Enter Cases'!$F462="Balochistan",'All Cases - Enter Cases'!A462,"")</f>
        <v/>
      </c>
      <c r="B462" t="str">
        <f>IF($A462&lt;&gt;"",'All Cases - Enter Cases'!B462,"")</f>
        <v/>
      </c>
      <c r="C462" t="str">
        <f>IF($A462&lt;&gt;"",'All Cases - Enter Cases'!C462,"")</f>
        <v/>
      </c>
      <c r="D462" t="str">
        <f>IF($A462&lt;&gt;"",'All Cases - Enter Cases'!D462,"")</f>
        <v/>
      </c>
      <c r="E462" t="str">
        <f>IF($A462&lt;&gt;"",'All Cases - Enter Cases'!E462,"")</f>
        <v/>
      </c>
      <c r="F462" t="str">
        <f>IF($A462&lt;&gt;"",'All Cases - Enter Cases'!F462,"")</f>
        <v/>
      </c>
      <c r="G462" t="str">
        <f>IF($A462&lt;&gt;"",'All Cases - Enter Cases'!G462,"")</f>
        <v/>
      </c>
      <c r="H462" t="str">
        <f>IF($A462&lt;&gt;"",'All Cases - Enter Cases'!H462,"")</f>
        <v/>
      </c>
      <c r="I462" t="str">
        <f>IF($A462&lt;&gt;"",'All Cases - Enter Cases'!I462,"")</f>
        <v/>
      </c>
      <c r="J462" t="str">
        <f>IF($A462&lt;&gt;"",'All Cases - Enter Cases'!J462,"")</f>
        <v/>
      </c>
      <c r="K462" t="str">
        <f>IF($A462&lt;&gt;"",'All Cases - Enter Cases'!K462,"")</f>
        <v/>
      </c>
      <c r="L462" t="str">
        <f>IF($A462&lt;&gt;"",'All Cases - Enter Cases'!L462,"")</f>
        <v/>
      </c>
      <c r="M462" t="str">
        <f>IF($A462&lt;&gt;"",'All Cases - Enter Cases'!M462,"")</f>
        <v/>
      </c>
    </row>
    <row r="463" spans="1:13" x14ac:dyDescent="0.35">
      <c r="A463" t="str">
        <f>IF('All Cases - Enter Cases'!$F463="Balochistan",'All Cases - Enter Cases'!A463,"")</f>
        <v/>
      </c>
      <c r="B463" t="str">
        <f>IF($A463&lt;&gt;"",'All Cases - Enter Cases'!B463,"")</f>
        <v/>
      </c>
      <c r="C463" t="str">
        <f>IF($A463&lt;&gt;"",'All Cases - Enter Cases'!C463,"")</f>
        <v/>
      </c>
      <c r="D463" t="str">
        <f>IF($A463&lt;&gt;"",'All Cases - Enter Cases'!D463,"")</f>
        <v/>
      </c>
      <c r="E463" t="str">
        <f>IF($A463&lt;&gt;"",'All Cases - Enter Cases'!E463,"")</f>
        <v/>
      </c>
      <c r="F463" t="str">
        <f>IF($A463&lt;&gt;"",'All Cases - Enter Cases'!F463,"")</f>
        <v/>
      </c>
      <c r="G463" t="str">
        <f>IF($A463&lt;&gt;"",'All Cases - Enter Cases'!G463,"")</f>
        <v/>
      </c>
      <c r="H463" t="str">
        <f>IF($A463&lt;&gt;"",'All Cases - Enter Cases'!H463,"")</f>
        <v/>
      </c>
      <c r="I463" t="str">
        <f>IF($A463&lt;&gt;"",'All Cases - Enter Cases'!I463,"")</f>
        <v/>
      </c>
      <c r="J463" t="str">
        <f>IF($A463&lt;&gt;"",'All Cases - Enter Cases'!J463,"")</f>
        <v/>
      </c>
      <c r="K463" t="str">
        <f>IF($A463&lt;&gt;"",'All Cases - Enter Cases'!K463,"")</f>
        <v/>
      </c>
      <c r="L463" t="str">
        <f>IF($A463&lt;&gt;"",'All Cases - Enter Cases'!L463,"")</f>
        <v/>
      </c>
      <c r="M463" t="str">
        <f>IF($A463&lt;&gt;"",'All Cases - Enter Cases'!M463,"")</f>
        <v/>
      </c>
    </row>
    <row r="464" spans="1:13" x14ac:dyDescent="0.35">
      <c r="A464" t="str">
        <f>IF('All Cases - Enter Cases'!$F464="Balochistan",'All Cases - Enter Cases'!A464,"")</f>
        <v/>
      </c>
      <c r="B464" t="str">
        <f>IF($A464&lt;&gt;"",'All Cases - Enter Cases'!B464,"")</f>
        <v/>
      </c>
      <c r="C464" t="str">
        <f>IF($A464&lt;&gt;"",'All Cases - Enter Cases'!C464,"")</f>
        <v/>
      </c>
      <c r="D464" t="str">
        <f>IF($A464&lt;&gt;"",'All Cases - Enter Cases'!D464,"")</f>
        <v/>
      </c>
      <c r="E464" t="str">
        <f>IF($A464&lt;&gt;"",'All Cases - Enter Cases'!E464,"")</f>
        <v/>
      </c>
      <c r="F464" t="str">
        <f>IF($A464&lt;&gt;"",'All Cases - Enter Cases'!F464,"")</f>
        <v/>
      </c>
      <c r="G464" t="str">
        <f>IF($A464&lt;&gt;"",'All Cases - Enter Cases'!G464,"")</f>
        <v/>
      </c>
      <c r="H464" t="str">
        <f>IF($A464&lt;&gt;"",'All Cases - Enter Cases'!H464,"")</f>
        <v/>
      </c>
      <c r="I464" t="str">
        <f>IF($A464&lt;&gt;"",'All Cases - Enter Cases'!I464,"")</f>
        <v/>
      </c>
      <c r="J464" t="str">
        <f>IF($A464&lt;&gt;"",'All Cases - Enter Cases'!J464,"")</f>
        <v/>
      </c>
      <c r="K464" t="str">
        <f>IF($A464&lt;&gt;"",'All Cases - Enter Cases'!K464,"")</f>
        <v/>
      </c>
      <c r="L464" t="str">
        <f>IF($A464&lt;&gt;"",'All Cases - Enter Cases'!L464,"")</f>
        <v/>
      </c>
      <c r="M464" t="str">
        <f>IF($A464&lt;&gt;"",'All Cases - Enter Cases'!M464,"")</f>
        <v/>
      </c>
    </row>
    <row r="465" spans="1:13" x14ac:dyDescent="0.35">
      <c r="A465" t="str">
        <f>IF('All Cases - Enter Cases'!$F465="Balochistan",'All Cases - Enter Cases'!A465,"")</f>
        <v/>
      </c>
      <c r="B465" t="str">
        <f>IF($A465&lt;&gt;"",'All Cases - Enter Cases'!B465,"")</f>
        <v/>
      </c>
      <c r="C465" t="str">
        <f>IF($A465&lt;&gt;"",'All Cases - Enter Cases'!C465,"")</f>
        <v/>
      </c>
      <c r="D465" t="str">
        <f>IF($A465&lt;&gt;"",'All Cases - Enter Cases'!D465,"")</f>
        <v/>
      </c>
      <c r="E465" t="str">
        <f>IF($A465&lt;&gt;"",'All Cases - Enter Cases'!E465,"")</f>
        <v/>
      </c>
      <c r="F465" t="str">
        <f>IF($A465&lt;&gt;"",'All Cases - Enter Cases'!F465,"")</f>
        <v/>
      </c>
      <c r="G465" t="str">
        <f>IF($A465&lt;&gt;"",'All Cases - Enter Cases'!G465,"")</f>
        <v/>
      </c>
      <c r="H465" t="str">
        <f>IF($A465&lt;&gt;"",'All Cases - Enter Cases'!H465,"")</f>
        <v/>
      </c>
      <c r="I465" t="str">
        <f>IF($A465&lt;&gt;"",'All Cases - Enter Cases'!I465,"")</f>
        <v/>
      </c>
      <c r="J465" t="str">
        <f>IF($A465&lt;&gt;"",'All Cases - Enter Cases'!J465,"")</f>
        <v/>
      </c>
      <c r="K465" t="str">
        <f>IF($A465&lt;&gt;"",'All Cases - Enter Cases'!K465,"")</f>
        <v/>
      </c>
      <c r="L465" t="str">
        <f>IF($A465&lt;&gt;"",'All Cases - Enter Cases'!L465,"")</f>
        <v/>
      </c>
      <c r="M465" t="str">
        <f>IF($A465&lt;&gt;"",'All Cases - Enter Cases'!M465,"")</f>
        <v/>
      </c>
    </row>
    <row r="466" spans="1:13" x14ac:dyDescent="0.35">
      <c r="A466" t="str">
        <f>IF('All Cases - Enter Cases'!$F466="Balochistan",'All Cases - Enter Cases'!A466,"")</f>
        <v/>
      </c>
      <c r="B466" t="str">
        <f>IF($A466&lt;&gt;"",'All Cases - Enter Cases'!B466,"")</f>
        <v/>
      </c>
      <c r="C466" t="str">
        <f>IF($A466&lt;&gt;"",'All Cases - Enter Cases'!C466,"")</f>
        <v/>
      </c>
      <c r="D466" t="str">
        <f>IF($A466&lt;&gt;"",'All Cases - Enter Cases'!D466,"")</f>
        <v/>
      </c>
      <c r="E466" t="str">
        <f>IF($A466&lt;&gt;"",'All Cases - Enter Cases'!E466,"")</f>
        <v/>
      </c>
      <c r="F466" t="str">
        <f>IF($A466&lt;&gt;"",'All Cases - Enter Cases'!F466,"")</f>
        <v/>
      </c>
      <c r="G466" t="str">
        <f>IF($A466&lt;&gt;"",'All Cases - Enter Cases'!G466,"")</f>
        <v/>
      </c>
      <c r="H466" t="str">
        <f>IF($A466&lt;&gt;"",'All Cases - Enter Cases'!H466,"")</f>
        <v/>
      </c>
      <c r="I466" t="str">
        <f>IF($A466&lt;&gt;"",'All Cases - Enter Cases'!I466,"")</f>
        <v/>
      </c>
      <c r="J466" t="str">
        <f>IF($A466&lt;&gt;"",'All Cases - Enter Cases'!J466,"")</f>
        <v/>
      </c>
      <c r="K466" t="str">
        <f>IF($A466&lt;&gt;"",'All Cases - Enter Cases'!K466,"")</f>
        <v/>
      </c>
      <c r="L466" t="str">
        <f>IF($A466&lt;&gt;"",'All Cases - Enter Cases'!L466,"")</f>
        <v/>
      </c>
      <c r="M466" t="str">
        <f>IF($A466&lt;&gt;"",'All Cases - Enter Cases'!M466,"")</f>
        <v/>
      </c>
    </row>
    <row r="467" spans="1:13" x14ac:dyDescent="0.35">
      <c r="A467" t="str">
        <f>IF('All Cases - Enter Cases'!$F467="Balochistan",'All Cases - Enter Cases'!A467,"")</f>
        <v/>
      </c>
      <c r="B467" t="str">
        <f>IF($A467&lt;&gt;"",'All Cases - Enter Cases'!B467,"")</f>
        <v/>
      </c>
      <c r="C467" t="str">
        <f>IF($A467&lt;&gt;"",'All Cases - Enter Cases'!C467,"")</f>
        <v/>
      </c>
      <c r="D467" t="str">
        <f>IF($A467&lt;&gt;"",'All Cases - Enter Cases'!D467,"")</f>
        <v/>
      </c>
      <c r="E467" t="str">
        <f>IF($A467&lt;&gt;"",'All Cases - Enter Cases'!E467,"")</f>
        <v/>
      </c>
      <c r="F467" t="str">
        <f>IF($A467&lt;&gt;"",'All Cases - Enter Cases'!F467,"")</f>
        <v/>
      </c>
      <c r="G467" t="str">
        <f>IF($A467&lt;&gt;"",'All Cases - Enter Cases'!G467,"")</f>
        <v/>
      </c>
      <c r="H467" t="str">
        <f>IF($A467&lt;&gt;"",'All Cases - Enter Cases'!H467,"")</f>
        <v/>
      </c>
      <c r="I467" t="str">
        <f>IF($A467&lt;&gt;"",'All Cases - Enter Cases'!I467,"")</f>
        <v/>
      </c>
      <c r="J467" t="str">
        <f>IF($A467&lt;&gt;"",'All Cases - Enter Cases'!J467,"")</f>
        <v/>
      </c>
      <c r="K467" t="str">
        <f>IF($A467&lt;&gt;"",'All Cases - Enter Cases'!K467,"")</f>
        <v/>
      </c>
      <c r="L467" t="str">
        <f>IF($A467&lt;&gt;"",'All Cases - Enter Cases'!L467,"")</f>
        <v/>
      </c>
      <c r="M467" t="str">
        <f>IF($A467&lt;&gt;"",'All Cases - Enter Cases'!M467,"")</f>
        <v/>
      </c>
    </row>
    <row r="468" spans="1:13" x14ac:dyDescent="0.35">
      <c r="A468" t="str">
        <f>IF('All Cases - Enter Cases'!$F468="Balochistan",'All Cases - Enter Cases'!A468,"")</f>
        <v/>
      </c>
      <c r="B468" t="str">
        <f>IF($A468&lt;&gt;"",'All Cases - Enter Cases'!B468,"")</f>
        <v/>
      </c>
      <c r="C468" t="str">
        <f>IF($A468&lt;&gt;"",'All Cases - Enter Cases'!C468,"")</f>
        <v/>
      </c>
      <c r="D468" t="str">
        <f>IF($A468&lt;&gt;"",'All Cases - Enter Cases'!D468,"")</f>
        <v/>
      </c>
      <c r="E468" t="str">
        <f>IF($A468&lt;&gt;"",'All Cases - Enter Cases'!E468,"")</f>
        <v/>
      </c>
      <c r="F468" t="str">
        <f>IF($A468&lt;&gt;"",'All Cases - Enter Cases'!F468,"")</f>
        <v/>
      </c>
      <c r="G468" t="str">
        <f>IF($A468&lt;&gt;"",'All Cases - Enter Cases'!G468,"")</f>
        <v/>
      </c>
      <c r="H468" t="str">
        <f>IF($A468&lt;&gt;"",'All Cases - Enter Cases'!H468,"")</f>
        <v/>
      </c>
      <c r="I468" t="str">
        <f>IF($A468&lt;&gt;"",'All Cases - Enter Cases'!I468,"")</f>
        <v/>
      </c>
      <c r="J468" t="str">
        <f>IF($A468&lt;&gt;"",'All Cases - Enter Cases'!J468,"")</f>
        <v/>
      </c>
      <c r="K468" t="str">
        <f>IF($A468&lt;&gt;"",'All Cases - Enter Cases'!K468,"")</f>
        <v/>
      </c>
      <c r="L468" t="str">
        <f>IF($A468&lt;&gt;"",'All Cases - Enter Cases'!L468,"")</f>
        <v/>
      </c>
      <c r="M468" t="str">
        <f>IF($A468&lt;&gt;"",'All Cases - Enter Cases'!M468,"")</f>
        <v/>
      </c>
    </row>
    <row r="469" spans="1:13" x14ac:dyDescent="0.35">
      <c r="A469" t="str">
        <f>IF('All Cases - Enter Cases'!$F469="Balochistan",'All Cases - Enter Cases'!A469,"")</f>
        <v/>
      </c>
      <c r="B469" t="str">
        <f>IF($A469&lt;&gt;"",'All Cases - Enter Cases'!B469,"")</f>
        <v/>
      </c>
      <c r="C469" t="str">
        <f>IF($A469&lt;&gt;"",'All Cases - Enter Cases'!C469,"")</f>
        <v/>
      </c>
      <c r="D469" t="str">
        <f>IF($A469&lt;&gt;"",'All Cases - Enter Cases'!D469,"")</f>
        <v/>
      </c>
      <c r="E469" t="str">
        <f>IF($A469&lt;&gt;"",'All Cases - Enter Cases'!E469,"")</f>
        <v/>
      </c>
      <c r="F469" t="str">
        <f>IF($A469&lt;&gt;"",'All Cases - Enter Cases'!F469,"")</f>
        <v/>
      </c>
      <c r="G469" t="str">
        <f>IF($A469&lt;&gt;"",'All Cases - Enter Cases'!G469,"")</f>
        <v/>
      </c>
      <c r="H469" t="str">
        <f>IF($A469&lt;&gt;"",'All Cases - Enter Cases'!H469,"")</f>
        <v/>
      </c>
      <c r="I469" t="str">
        <f>IF($A469&lt;&gt;"",'All Cases - Enter Cases'!I469,"")</f>
        <v/>
      </c>
      <c r="J469" t="str">
        <f>IF($A469&lt;&gt;"",'All Cases - Enter Cases'!J469,"")</f>
        <v/>
      </c>
      <c r="K469" t="str">
        <f>IF($A469&lt;&gt;"",'All Cases - Enter Cases'!K469,"")</f>
        <v/>
      </c>
      <c r="L469" t="str">
        <f>IF($A469&lt;&gt;"",'All Cases - Enter Cases'!L469,"")</f>
        <v/>
      </c>
      <c r="M469" t="str">
        <f>IF($A469&lt;&gt;"",'All Cases - Enter Cases'!M469,"")</f>
        <v/>
      </c>
    </row>
    <row r="470" spans="1:13" x14ac:dyDescent="0.35">
      <c r="A470" t="str">
        <f>IF('All Cases - Enter Cases'!$F470="Balochistan",'All Cases - Enter Cases'!A470,"")</f>
        <v/>
      </c>
      <c r="B470" t="str">
        <f>IF($A470&lt;&gt;"",'All Cases - Enter Cases'!B470,"")</f>
        <v/>
      </c>
      <c r="C470" t="str">
        <f>IF($A470&lt;&gt;"",'All Cases - Enter Cases'!C470,"")</f>
        <v/>
      </c>
      <c r="D470" t="str">
        <f>IF($A470&lt;&gt;"",'All Cases - Enter Cases'!D470,"")</f>
        <v/>
      </c>
      <c r="E470" t="str">
        <f>IF($A470&lt;&gt;"",'All Cases - Enter Cases'!E470,"")</f>
        <v/>
      </c>
      <c r="F470" t="str">
        <f>IF($A470&lt;&gt;"",'All Cases - Enter Cases'!F470,"")</f>
        <v/>
      </c>
      <c r="G470" t="str">
        <f>IF($A470&lt;&gt;"",'All Cases - Enter Cases'!G470,"")</f>
        <v/>
      </c>
      <c r="H470" t="str">
        <f>IF($A470&lt;&gt;"",'All Cases - Enter Cases'!H470,"")</f>
        <v/>
      </c>
      <c r="I470" t="str">
        <f>IF($A470&lt;&gt;"",'All Cases - Enter Cases'!I470,"")</f>
        <v/>
      </c>
      <c r="J470" t="str">
        <f>IF($A470&lt;&gt;"",'All Cases - Enter Cases'!J470,"")</f>
        <v/>
      </c>
      <c r="K470" t="str">
        <f>IF($A470&lt;&gt;"",'All Cases - Enter Cases'!K470,"")</f>
        <v/>
      </c>
      <c r="L470" t="str">
        <f>IF($A470&lt;&gt;"",'All Cases - Enter Cases'!L470,"")</f>
        <v/>
      </c>
      <c r="M470" t="str">
        <f>IF($A470&lt;&gt;"",'All Cases - Enter Cases'!M470,"")</f>
        <v/>
      </c>
    </row>
    <row r="471" spans="1:13" x14ac:dyDescent="0.35">
      <c r="A471" t="str">
        <f>IF('All Cases - Enter Cases'!$F471="Balochistan",'All Cases - Enter Cases'!A471,"")</f>
        <v/>
      </c>
      <c r="B471" t="str">
        <f>IF($A471&lt;&gt;"",'All Cases - Enter Cases'!B471,"")</f>
        <v/>
      </c>
      <c r="C471" t="str">
        <f>IF($A471&lt;&gt;"",'All Cases - Enter Cases'!C471,"")</f>
        <v/>
      </c>
      <c r="D471" t="str">
        <f>IF($A471&lt;&gt;"",'All Cases - Enter Cases'!D471,"")</f>
        <v/>
      </c>
      <c r="E471" t="str">
        <f>IF($A471&lt;&gt;"",'All Cases - Enter Cases'!E471,"")</f>
        <v/>
      </c>
      <c r="F471" t="str">
        <f>IF($A471&lt;&gt;"",'All Cases - Enter Cases'!F471,"")</f>
        <v/>
      </c>
      <c r="G471" t="str">
        <f>IF($A471&lt;&gt;"",'All Cases - Enter Cases'!G471,"")</f>
        <v/>
      </c>
      <c r="H471" t="str">
        <f>IF($A471&lt;&gt;"",'All Cases - Enter Cases'!H471,"")</f>
        <v/>
      </c>
      <c r="I471" t="str">
        <f>IF($A471&lt;&gt;"",'All Cases - Enter Cases'!I471,"")</f>
        <v/>
      </c>
      <c r="J471" t="str">
        <f>IF($A471&lt;&gt;"",'All Cases - Enter Cases'!J471,"")</f>
        <v/>
      </c>
      <c r="K471" t="str">
        <f>IF($A471&lt;&gt;"",'All Cases - Enter Cases'!K471,"")</f>
        <v/>
      </c>
      <c r="L471" t="str">
        <f>IF($A471&lt;&gt;"",'All Cases - Enter Cases'!L471,"")</f>
        <v/>
      </c>
      <c r="M471" t="str">
        <f>IF($A471&lt;&gt;"",'All Cases - Enter Cases'!M471,"")</f>
        <v/>
      </c>
    </row>
    <row r="472" spans="1:13" x14ac:dyDescent="0.35">
      <c r="A472" t="str">
        <f>IF('All Cases - Enter Cases'!$F472="Balochistan",'All Cases - Enter Cases'!A472,"")</f>
        <v/>
      </c>
      <c r="B472" t="str">
        <f>IF($A472&lt;&gt;"",'All Cases - Enter Cases'!B472,"")</f>
        <v/>
      </c>
      <c r="C472" t="str">
        <f>IF($A472&lt;&gt;"",'All Cases - Enter Cases'!C472,"")</f>
        <v/>
      </c>
      <c r="D472" t="str">
        <f>IF($A472&lt;&gt;"",'All Cases - Enter Cases'!D472,"")</f>
        <v/>
      </c>
      <c r="E472" t="str">
        <f>IF($A472&lt;&gt;"",'All Cases - Enter Cases'!E472,"")</f>
        <v/>
      </c>
      <c r="F472" t="str">
        <f>IF($A472&lt;&gt;"",'All Cases - Enter Cases'!F472,"")</f>
        <v/>
      </c>
      <c r="G472" t="str">
        <f>IF($A472&lt;&gt;"",'All Cases - Enter Cases'!G472,"")</f>
        <v/>
      </c>
      <c r="H472" t="str">
        <f>IF($A472&lt;&gt;"",'All Cases - Enter Cases'!H472,"")</f>
        <v/>
      </c>
      <c r="I472" t="str">
        <f>IF($A472&lt;&gt;"",'All Cases - Enter Cases'!I472,"")</f>
        <v/>
      </c>
      <c r="J472" t="str">
        <f>IF($A472&lt;&gt;"",'All Cases - Enter Cases'!J472,"")</f>
        <v/>
      </c>
      <c r="K472" t="str">
        <f>IF($A472&lt;&gt;"",'All Cases - Enter Cases'!K472,"")</f>
        <v/>
      </c>
      <c r="L472" t="str">
        <f>IF($A472&lt;&gt;"",'All Cases - Enter Cases'!L472,"")</f>
        <v/>
      </c>
      <c r="M472" t="str">
        <f>IF($A472&lt;&gt;"",'All Cases - Enter Cases'!M472,"")</f>
        <v/>
      </c>
    </row>
    <row r="473" spans="1:13" x14ac:dyDescent="0.35">
      <c r="A473" t="str">
        <f>IF('All Cases - Enter Cases'!$F473="Balochistan",'All Cases - Enter Cases'!A473,"")</f>
        <v/>
      </c>
      <c r="B473" t="str">
        <f>IF($A473&lt;&gt;"",'All Cases - Enter Cases'!B473,"")</f>
        <v/>
      </c>
      <c r="C473" t="str">
        <f>IF($A473&lt;&gt;"",'All Cases - Enter Cases'!C473,"")</f>
        <v/>
      </c>
      <c r="D473" t="str">
        <f>IF($A473&lt;&gt;"",'All Cases - Enter Cases'!D473,"")</f>
        <v/>
      </c>
      <c r="E473" t="str">
        <f>IF($A473&lt;&gt;"",'All Cases - Enter Cases'!E473,"")</f>
        <v/>
      </c>
      <c r="F473" t="str">
        <f>IF($A473&lt;&gt;"",'All Cases - Enter Cases'!F473,"")</f>
        <v/>
      </c>
      <c r="G473" t="str">
        <f>IF($A473&lt;&gt;"",'All Cases - Enter Cases'!G473,"")</f>
        <v/>
      </c>
      <c r="H473" t="str">
        <f>IF($A473&lt;&gt;"",'All Cases - Enter Cases'!H473,"")</f>
        <v/>
      </c>
      <c r="I473" t="str">
        <f>IF($A473&lt;&gt;"",'All Cases - Enter Cases'!I473,"")</f>
        <v/>
      </c>
      <c r="J473" t="str">
        <f>IF($A473&lt;&gt;"",'All Cases - Enter Cases'!J473,"")</f>
        <v/>
      </c>
      <c r="K473" t="str">
        <f>IF($A473&lt;&gt;"",'All Cases - Enter Cases'!K473,"")</f>
        <v/>
      </c>
      <c r="L473" t="str">
        <f>IF($A473&lt;&gt;"",'All Cases - Enter Cases'!L473,"")</f>
        <v/>
      </c>
      <c r="M473" t="str">
        <f>IF($A473&lt;&gt;"",'All Cases - Enter Cases'!M473,"")</f>
        <v/>
      </c>
    </row>
    <row r="474" spans="1:13" x14ac:dyDescent="0.35">
      <c r="A474" t="str">
        <f>IF('All Cases - Enter Cases'!$F474="Balochistan",'All Cases - Enter Cases'!A474,"")</f>
        <v/>
      </c>
      <c r="B474" t="str">
        <f>IF($A474&lt;&gt;"",'All Cases - Enter Cases'!B474,"")</f>
        <v/>
      </c>
      <c r="C474" t="str">
        <f>IF($A474&lt;&gt;"",'All Cases - Enter Cases'!C474,"")</f>
        <v/>
      </c>
      <c r="D474" t="str">
        <f>IF($A474&lt;&gt;"",'All Cases - Enter Cases'!D474,"")</f>
        <v/>
      </c>
      <c r="E474" t="str">
        <f>IF($A474&lt;&gt;"",'All Cases - Enter Cases'!E474,"")</f>
        <v/>
      </c>
      <c r="F474" t="str">
        <f>IF($A474&lt;&gt;"",'All Cases - Enter Cases'!F474,"")</f>
        <v/>
      </c>
      <c r="G474" t="str">
        <f>IF($A474&lt;&gt;"",'All Cases - Enter Cases'!G474,"")</f>
        <v/>
      </c>
      <c r="H474" t="str">
        <f>IF($A474&lt;&gt;"",'All Cases - Enter Cases'!H474,"")</f>
        <v/>
      </c>
      <c r="I474" t="str">
        <f>IF($A474&lt;&gt;"",'All Cases - Enter Cases'!I474,"")</f>
        <v/>
      </c>
      <c r="J474" t="str">
        <f>IF($A474&lt;&gt;"",'All Cases - Enter Cases'!J474,"")</f>
        <v/>
      </c>
      <c r="K474" t="str">
        <f>IF($A474&lt;&gt;"",'All Cases - Enter Cases'!K474,"")</f>
        <v/>
      </c>
      <c r="L474" t="str">
        <f>IF($A474&lt;&gt;"",'All Cases - Enter Cases'!L474,"")</f>
        <v/>
      </c>
      <c r="M474" t="str">
        <f>IF($A474&lt;&gt;"",'All Cases - Enter Cases'!M474,"")</f>
        <v/>
      </c>
    </row>
    <row r="475" spans="1:13" x14ac:dyDescent="0.35">
      <c r="A475" t="str">
        <f>IF('All Cases - Enter Cases'!$F475="Balochistan",'All Cases - Enter Cases'!A475,"")</f>
        <v/>
      </c>
      <c r="B475" t="str">
        <f>IF($A475&lt;&gt;"",'All Cases - Enter Cases'!B475,"")</f>
        <v/>
      </c>
      <c r="C475" t="str">
        <f>IF($A475&lt;&gt;"",'All Cases - Enter Cases'!C475,"")</f>
        <v/>
      </c>
      <c r="D475" t="str">
        <f>IF($A475&lt;&gt;"",'All Cases - Enter Cases'!D475,"")</f>
        <v/>
      </c>
      <c r="E475" t="str">
        <f>IF($A475&lt;&gt;"",'All Cases - Enter Cases'!E475,"")</f>
        <v/>
      </c>
      <c r="F475" t="str">
        <f>IF($A475&lt;&gt;"",'All Cases - Enter Cases'!F475,"")</f>
        <v/>
      </c>
      <c r="G475" t="str">
        <f>IF($A475&lt;&gt;"",'All Cases - Enter Cases'!G475,"")</f>
        <v/>
      </c>
      <c r="H475" t="str">
        <f>IF($A475&lt;&gt;"",'All Cases - Enter Cases'!H475,"")</f>
        <v/>
      </c>
      <c r="I475" t="str">
        <f>IF($A475&lt;&gt;"",'All Cases - Enter Cases'!I475,"")</f>
        <v/>
      </c>
      <c r="J475" t="str">
        <f>IF($A475&lt;&gt;"",'All Cases - Enter Cases'!J475,"")</f>
        <v/>
      </c>
      <c r="K475" t="str">
        <f>IF($A475&lt;&gt;"",'All Cases - Enter Cases'!K475,"")</f>
        <v/>
      </c>
      <c r="L475" t="str">
        <f>IF($A475&lt;&gt;"",'All Cases - Enter Cases'!L475,"")</f>
        <v/>
      </c>
      <c r="M475" t="str">
        <f>IF($A475&lt;&gt;"",'All Cases - Enter Cases'!M475,"")</f>
        <v/>
      </c>
    </row>
    <row r="476" spans="1:13" x14ac:dyDescent="0.35">
      <c r="A476" t="str">
        <f>IF('All Cases - Enter Cases'!$F476="Balochistan",'All Cases - Enter Cases'!A476,"")</f>
        <v/>
      </c>
      <c r="B476" t="str">
        <f>IF($A476&lt;&gt;"",'All Cases - Enter Cases'!B476,"")</f>
        <v/>
      </c>
      <c r="C476" t="str">
        <f>IF($A476&lt;&gt;"",'All Cases - Enter Cases'!C476,"")</f>
        <v/>
      </c>
      <c r="D476" t="str">
        <f>IF($A476&lt;&gt;"",'All Cases - Enter Cases'!D476,"")</f>
        <v/>
      </c>
      <c r="E476" t="str">
        <f>IF($A476&lt;&gt;"",'All Cases - Enter Cases'!E476,"")</f>
        <v/>
      </c>
      <c r="F476" t="str">
        <f>IF($A476&lt;&gt;"",'All Cases - Enter Cases'!F476,"")</f>
        <v/>
      </c>
      <c r="G476" t="str">
        <f>IF($A476&lt;&gt;"",'All Cases - Enter Cases'!G476,"")</f>
        <v/>
      </c>
      <c r="H476" t="str">
        <f>IF($A476&lt;&gt;"",'All Cases - Enter Cases'!H476,"")</f>
        <v/>
      </c>
      <c r="I476" t="str">
        <f>IF($A476&lt;&gt;"",'All Cases - Enter Cases'!I476,"")</f>
        <v/>
      </c>
      <c r="J476" t="str">
        <f>IF($A476&lt;&gt;"",'All Cases - Enter Cases'!J476,"")</f>
        <v/>
      </c>
      <c r="K476" t="str">
        <f>IF($A476&lt;&gt;"",'All Cases - Enter Cases'!K476,"")</f>
        <v/>
      </c>
      <c r="L476" t="str">
        <f>IF($A476&lt;&gt;"",'All Cases - Enter Cases'!L476,"")</f>
        <v/>
      </c>
      <c r="M476" t="str">
        <f>IF($A476&lt;&gt;"",'All Cases - Enter Cases'!M476,"")</f>
        <v/>
      </c>
    </row>
    <row r="477" spans="1:13" x14ac:dyDescent="0.35">
      <c r="A477" t="str">
        <f>IF('All Cases - Enter Cases'!$F477="Balochistan",'All Cases - Enter Cases'!A477,"")</f>
        <v/>
      </c>
      <c r="B477" t="str">
        <f>IF($A477&lt;&gt;"",'All Cases - Enter Cases'!B477,"")</f>
        <v/>
      </c>
      <c r="C477" t="str">
        <f>IF($A477&lt;&gt;"",'All Cases - Enter Cases'!C477,"")</f>
        <v/>
      </c>
      <c r="D477" t="str">
        <f>IF($A477&lt;&gt;"",'All Cases - Enter Cases'!D477,"")</f>
        <v/>
      </c>
      <c r="E477" t="str">
        <f>IF($A477&lt;&gt;"",'All Cases - Enter Cases'!E477,"")</f>
        <v/>
      </c>
      <c r="F477" t="str">
        <f>IF($A477&lt;&gt;"",'All Cases - Enter Cases'!F477,"")</f>
        <v/>
      </c>
      <c r="G477" t="str">
        <f>IF($A477&lt;&gt;"",'All Cases - Enter Cases'!G477,"")</f>
        <v/>
      </c>
      <c r="H477" t="str">
        <f>IF($A477&lt;&gt;"",'All Cases - Enter Cases'!H477,"")</f>
        <v/>
      </c>
      <c r="I477" t="str">
        <f>IF($A477&lt;&gt;"",'All Cases - Enter Cases'!I477,"")</f>
        <v/>
      </c>
      <c r="J477" t="str">
        <f>IF($A477&lt;&gt;"",'All Cases - Enter Cases'!J477,"")</f>
        <v/>
      </c>
      <c r="K477" t="str">
        <f>IF($A477&lt;&gt;"",'All Cases - Enter Cases'!K477,"")</f>
        <v/>
      </c>
      <c r="L477" t="str">
        <f>IF($A477&lt;&gt;"",'All Cases - Enter Cases'!L477,"")</f>
        <v/>
      </c>
      <c r="M477" t="str">
        <f>IF($A477&lt;&gt;"",'All Cases - Enter Cases'!M477,"")</f>
        <v/>
      </c>
    </row>
    <row r="478" spans="1:13" x14ac:dyDescent="0.35">
      <c r="A478" t="str">
        <f>IF('All Cases - Enter Cases'!$F478="Balochistan",'All Cases - Enter Cases'!A478,"")</f>
        <v/>
      </c>
      <c r="B478" t="str">
        <f>IF($A478&lt;&gt;"",'All Cases - Enter Cases'!B478,"")</f>
        <v/>
      </c>
      <c r="C478" t="str">
        <f>IF($A478&lt;&gt;"",'All Cases - Enter Cases'!C478,"")</f>
        <v/>
      </c>
      <c r="D478" t="str">
        <f>IF($A478&lt;&gt;"",'All Cases - Enter Cases'!D478,"")</f>
        <v/>
      </c>
      <c r="E478" t="str">
        <f>IF($A478&lt;&gt;"",'All Cases - Enter Cases'!E478,"")</f>
        <v/>
      </c>
      <c r="F478" t="str">
        <f>IF($A478&lt;&gt;"",'All Cases - Enter Cases'!F478,"")</f>
        <v/>
      </c>
      <c r="G478" t="str">
        <f>IF($A478&lt;&gt;"",'All Cases - Enter Cases'!G478,"")</f>
        <v/>
      </c>
      <c r="H478" t="str">
        <f>IF($A478&lt;&gt;"",'All Cases - Enter Cases'!H478,"")</f>
        <v/>
      </c>
      <c r="I478" t="str">
        <f>IF($A478&lt;&gt;"",'All Cases - Enter Cases'!I478,"")</f>
        <v/>
      </c>
      <c r="J478" t="str">
        <f>IF($A478&lt;&gt;"",'All Cases - Enter Cases'!J478,"")</f>
        <v/>
      </c>
      <c r="K478" t="str">
        <f>IF($A478&lt;&gt;"",'All Cases - Enter Cases'!K478,"")</f>
        <v/>
      </c>
      <c r="L478" t="str">
        <f>IF($A478&lt;&gt;"",'All Cases - Enter Cases'!L478,"")</f>
        <v/>
      </c>
      <c r="M478" t="str">
        <f>IF($A478&lt;&gt;"",'All Cases - Enter Cases'!M478,"")</f>
        <v/>
      </c>
    </row>
    <row r="479" spans="1:13" x14ac:dyDescent="0.35">
      <c r="A479" t="str">
        <f>IF('All Cases - Enter Cases'!$F479="Balochistan",'All Cases - Enter Cases'!A479,"")</f>
        <v/>
      </c>
      <c r="B479" t="str">
        <f>IF($A479&lt;&gt;"",'All Cases - Enter Cases'!B479,"")</f>
        <v/>
      </c>
      <c r="C479" t="str">
        <f>IF($A479&lt;&gt;"",'All Cases - Enter Cases'!C479,"")</f>
        <v/>
      </c>
      <c r="D479" t="str">
        <f>IF($A479&lt;&gt;"",'All Cases - Enter Cases'!D479,"")</f>
        <v/>
      </c>
      <c r="E479" t="str">
        <f>IF($A479&lt;&gt;"",'All Cases - Enter Cases'!E479,"")</f>
        <v/>
      </c>
      <c r="F479" t="str">
        <f>IF($A479&lt;&gt;"",'All Cases - Enter Cases'!F479,"")</f>
        <v/>
      </c>
      <c r="G479" t="str">
        <f>IF($A479&lt;&gt;"",'All Cases - Enter Cases'!G479,"")</f>
        <v/>
      </c>
      <c r="H479" t="str">
        <f>IF($A479&lt;&gt;"",'All Cases - Enter Cases'!H479,"")</f>
        <v/>
      </c>
      <c r="I479" t="str">
        <f>IF($A479&lt;&gt;"",'All Cases - Enter Cases'!I479,"")</f>
        <v/>
      </c>
      <c r="J479" t="str">
        <f>IF($A479&lt;&gt;"",'All Cases - Enter Cases'!J479,"")</f>
        <v/>
      </c>
      <c r="K479" t="str">
        <f>IF($A479&lt;&gt;"",'All Cases - Enter Cases'!K479,"")</f>
        <v/>
      </c>
      <c r="L479" t="str">
        <f>IF($A479&lt;&gt;"",'All Cases - Enter Cases'!L479,"")</f>
        <v/>
      </c>
      <c r="M479" t="str">
        <f>IF($A479&lt;&gt;"",'All Cases - Enter Cases'!M479,"")</f>
        <v/>
      </c>
    </row>
    <row r="480" spans="1:13" x14ac:dyDescent="0.35">
      <c r="A480" t="str">
        <f>IF('All Cases - Enter Cases'!$F480="Balochistan",'All Cases - Enter Cases'!A480,"")</f>
        <v/>
      </c>
      <c r="B480" t="str">
        <f>IF($A480&lt;&gt;"",'All Cases - Enter Cases'!B480,"")</f>
        <v/>
      </c>
      <c r="C480" t="str">
        <f>IF($A480&lt;&gt;"",'All Cases - Enter Cases'!C480,"")</f>
        <v/>
      </c>
      <c r="D480" t="str">
        <f>IF($A480&lt;&gt;"",'All Cases - Enter Cases'!D480,"")</f>
        <v/>
      </c>
      <c r="E480" t="str">
        <f>IF($A480&lt;&gt;"",'All Cases - Enter Cases'!E480,"")</f>
        <v/>
      </c>
      <c r="F480" t="str">
        <f>IF($A480&lt;&gt;"",'All Cases - Enter Cases'!F480,"")</f>
        <v/>
      </c>
      <c r="G480" t="str">
        <f>IF($A480&lt;&gt;"",'All Cases - Enter Cases'!G480,"")</f>
        <v/>
      </c>
      <c r="H480" t="str">
        <f>IF($A480&lt;&gt;"",'All Cases - Enter Cases'!H480,"")</f>
        <v/>
      </c>
      <c r="I480" t="str">
        <f>IF($A480&lt;&gt;"",'All Cases - Enter Cases'!I480,"")</f>
        <v/>
      </c>
      <c r="J480" t="str">
        <f>IF($A480&lt;&gt;"",'All Cases - Enter Cases'!J480,"")</f>
        <v/>
      </c>
      <c r="K480" t="str">
        <f>IF($A480&lt;&gt;"",'All Cases - Enter Cases'!K480,"")</f>
        <v/>
      </c>
      <c r="L480" t="str">
        <f>IF($A480&lt;&gt;"",'All Cases - Enter Cases'!L480,"")</f>
        <v/>
      </c>
      <c r="M480" t="str">
        <f>IF($A480&lt;&gt;"",'All Cases - Enter Cases'!M480,"")</f>
        <v/>
      </c>
    </row>
    <row r="481" spans="1:13" x14ac:dyDescent="0.35">
      <c r="A481" t="str">
        <f>IF('All Cases - Enter Cases'!$F481="Balochistan",'All Cases - Enter Cases'!A481,"")</f>
        <v/>
      </c>
      <c r="B481" t="str">
        <f>IF($A481&lt;&gt;"",'All Cases - Enter Cases'!B481,"")</f>
        <v/>
      </c>
      <c r="C481" t="str">
        <f>IF($A481&lt;&gt;"",'All Cases - Enter Cases'!C481,"")</f>
        <v/>
      </c>
      <c r="D481" t="str">
        <f>IF($A481&lt;&gt;"",'All Cases - Enter Cases'!D481,"")</f>
        <v/>
      </c>
      <c r="E481" t="str">
        <f>IF($A481&lt;&gt;"",'All Cases - Enter Cases'!E481,"")</f>
        <v/>
      </c>
      <c r="F481" t="str">
        <f>IF($A481&lt;&gt;"",'All Cases - Enter Cases'!F481,"")</f>
        <v/>
      </c>
      <c r="G481" t="str">
        <f>IF($A481&lt;&gt;"",'All Cases - Enter Cases'!G481,"")</f>
        <v/>
      </c>
      <c r="H481" t="str">
        <f>IF($A481&lt;&gt;"",'All Cases - Enter Cases'!H481,"")</f>
        <v/>
      </c>
      <c r="I481" t="str">
        <f>IF($A481&lt;&gt;"",'All Cases - Enter Cases'!I481,"")</f>
        <v/>
      </c>
      <c r="J481" t="str">
        <f>IF($A481&lt;&gt;"",'All Cases - Enter Cases'!J481,"")</f>
        <v/>
      </c>
      <c r="K481" t="str">
        <f>IF($A481&lt;&gt;"",'All Cases - Enter Cases'!K481,"")</f>
        <v/>
      </c>
      <c r="L481" t="str">
        <f>IF($A481&lt;&gt;"",'All Cases - Enter Cases'!L481,"")</f>
        <v/>
      </c>
      <c r="M481" t="str">
        <f>IF($A481&lt;&gt;"",'All Cases - Enter Cases'!M481,"")</f>
        <v/>
      </c>
    </row>
    <row r="482" spans="1:13" x14ac:dyDescent="0.35">
      <c r="A482" t="str">
        <f>IF('All Cases - Enter Cases'!$F482="Balochistan",'All Cases - Enter Cases'!A482,"")</f>
        <v/>
      </c>
      <c r="B482" t="str">
        <f>IF($A482&lt;&gt;"",'All Cases - Enter Cases'!B482,"")</f>
        <v/>
      </c>
      <c r="C482" t="str">
        <f>IF($A482&lt;&gt;"",'All Cases - Enter Cases'!C482,"")</f>
        <v/>
      </c>
      <c r="D482" t="str">
        <f>IF($A482&lt;&gt;"",'All Cases - Enter Cases'!D482,"")</f>
        <v/>
      </c>
      <c r="E482" t="str">
        <f>IF($A482&lt;&gt;"",'All Cases - Enter Cases'!E482,"")</f>
        <v/>
      </c>
      <c r="F482" t="str">
        <f>IF($A482&lt;&gt;"",'All Cases - Enter Cases'!F482,"")</f>
        <v/>
      </c>
      <c r="G482" t="str">
        <f>IF($A482&lt;&gt;"",'All Cases - Enter Cases'!G482,"")</f>
        <v/>
      </c>
      <c r="H482" t="str">
        <f>IF($A482&lt;&gt;"",'All Cases - Enter Cases'!H482,"")</f>
        <v/>
      </c>
      <c r="I482" t="str">
        <f>IF($A482&lt;&gt;"",'All Cases - Enter Cases'!I482,"")</f>
        <v/>
      </c>
      <c r="J482" t="str">
        <f>IF($A482&lt;&gt;"",'All Cases - Enter Cases'!J482,"")</f>
        <v/>
      </c>
      <c r="K482" t="str">
        <f>IF($A482&lt;&gt;"",'All Cases - Enter Cases'!K482,"")</f>
        <v/>
      </c>
      <c r="L482" t="str">
        <f>IF($A482&lt;&gt;"",'All Cases - Enter Cases'!L482,"")</f>
        <v/>
      </c>
      <c r="M482" t="str">
        <f>IF($A482&lt;&gt;"",'All Cases - Enter Cases'!M482,"")</f>
        <v/>
      </c>
    </row>
    <row r="483" spans="1:13" x14ac:dyDescent="0.35">
      <c r="A483" t="str">
        <f>IF('All Cases - Enter Cases'!$F483="Balochistan",'All Cases - Enter Cases'!A483,"")</f>
        <v/>
      </c>
      <c r="B483" t="str">
        <f>IF($A483&lt;&gt;"",'All Cases - Enter Cases'!B483,"")</f>
        <v/>
      </c>
      <c r="C483" t="str">
        <f>IF($A483&lt;&gt;"",'All Cases - Enter Cases'!C483,"")</f>
        <v/>
      </c>
      <c r="D483" t="str">
        <f>IF($A483&lt;&gt;"",'All Cases - Enter Cases'!D483,"")</f>
        <v/>
      </c>
      <c r="E483" t="str">
        <f>IF($A483&lt;&gt;"",'All Cases - Enter Cases'!E483,"")</f>
        <v/>
      </c>
      <c r="F483" t="str">
        <f>IF($A483&lt;&gt;"",'All Cases - Enter Cases'!F483,"")</f>
        <v/>
      </c>
      <c r="G483" t="str">
        <f>IF($A483&lt;&gt;"",'All Cases - Enter Cases'!G483,"")</f>
        <v/>
      </c>
      <c r="H483" t="str">
        <f>IF($A483&lt;&gt;"",'All Cases - Enter Cases'!H483,"")</f>
        <v/>
      </c>
      <c r="I483" t="str">
        <f>IF($A483&lt;&gt;"",'All Cases - Enter Cases'!I483,"")</f>
        <v/>
      </c>
      <c r="J483" t="str">
        <f>IF($A483&lt;&gt;"",'All Cases - Enter Cases'!J483,"")</f>
        <v/>
      </c>
      <c r="K483" t="str">
        <f>IF($A483&lt;&gt;"",'All Cases - Enter Cases'!K483,"")</f>
        <v/>
      </c>
      <c r="L483" t="str">
        <f>IF($A483&lt;&gt;"",'All Cases - Enter Cases'!L483,"")</f>
        <v/>
      </c>
      <c r="M483" t="str">
        <f>IF($A483&lt;&gt;"",'All Cases - Enter Cases'!M483,"")</f>
        <v/>
      </c>
    </row>
    <row r="484" spans="1:13" x14ac:dyDescent="0.35">
      <c r="A484" t="str">
        <f>IF('All Cases - Enter Cases'!$F484="Balochistan",'All Cases - Enter Cases'!A484,"")</f>
        <v/>
      </c>
      <c r="B484" t="str">
        <f>IF($A484&lt;&gt;"",'All Cases - Enter Cases'!B484,"")</f>
        <v/>
      </c>
      <c r="C484" t="str">
        <f>IF($A484&lt;&gt;"",'All Cases - Enter Cases'!C484,"")</f>
        <v/>
      </c>
      <c r="D484" t="str">
        <f>IF($A484&lt;&gt;"",'All Cases - Enter Cases'!D484,"")</f>
        <v/>
      </c>
      <c r="E484" t="str">
        <f>IF($A484&lt;&gt;"",'All Cases - Enter Cases'!E484,"")</f>
        <v/>
      </c>
      <c r="F484" t="str">
        <f>IF($A484&lt;&gt;"",'All Cases - Enter Cases'!F484,"")</f>
        <v/>
      </c>
      <c r="G484" t="str">
        <f>IF($A484&lt;&gt;"",'All Cases - Enter Cases'!G484,"")</f>
        <v/>
      </c>
      <c r="H484" t="str">
        <f>IF($A484&lt;&gt;"",'All Cases - Enter Cases'!H484,"")</f>
        <v/>
      </c>
      <c r="I484" t="str">
        <f>IF($A484&lt;&gt;"",'All Cases - Enter Cases'!I484,"")</f>
        <v/>
      </c>
      <c r="J484" t="str">
        <f>IF($A484&lt;&gt;"",'All Cases - Enter Cases'!J484,"")</f>
        <v/>
      </c>
      <c r="K484" t="str">
        <f>IF($A484&lt;&gt;"",'All Cases - Enter Cases'!K484,"")</f>
        <v/>
      </c>
      <c r="L484" t="str">
        <f>IF($A484&lt;&gt;"",'All Cases - Enter Cases'!L484,"")</f>
        <v/>
      </c>
      <c r="M484" t="str">
        <f>IF($A484&lt;&gt;"",'All Cases - Enter Cases'!M484,"")</f>
        <v/>
      </c>
    </row>
    <row r="485" spans="1:13" x14ac:dyDescent="0.35">
      <c r="A485" t="str">
        <f>IF('All Cases - Enter Cases'!$F485="Balochistan",'All Cases - Enter Cases'!A485,"")</f>
        <v/>
      </c>
      <c r="B485" t="str">
        <f>IF($A485&lt;&gt;"",'All Cases - Enter Cases'!B485,"")</f>
        <v/>
      </c>
      <c r="C485" t="str">
        <f>IF($A485&lt;&gt;"",'All Cases - Enter Cases'!C485,"")</f>
        <v/>
      </c>
      <c r="D485" t="str">
        <f>IF($A485&lt;&gt;"",'All Cases - Enter Cases'!D485,"")</f>
        <v/>
      </c>
      <c r="E485" t="str">
        <f>IF($A485&lt;&gt;"",'All Cases - Enter Cases'!E485,"")</f>
        <v/>
      </c>
      <c r="F485" t="str">
        <f>IF($A485&lt;&gt;"",'All Cases - Enter Cases'!F485,"")</f>
        <v/>
      </c>
      <c r="G485" t="str">
        <f>IF($A485&lt;&gt;"",'All Cases - Enter Cases'!G485,"")</f>
        <v/>
      </c>
      <c r="H485" t="str">
        <f>IF($A485&lt;&gt;"",'All Cases - Enter Cases'!H485,"")</f>
        <v/>
      </c>
      <c r="I485" t="str">
        <f>IF($A485&lt;&gt;"",'All Cases - Enter Cases'!I485,"")</f>
        <v/>
      </c>
      <c r="J485" t="str">
        <f>IF($A485&lt;&gt;"",'All Cases - Enter Cases'!J485,"")</f>
        <v/>
      </c>
      <c r="K485" t="str">
        <f>IF($A485&lt;&gt;"",'All Cases - Enter Cases'!K485,"")</f>
        <v/>
      </c>
      <c r="L485" t="str">
        <f>IF($A485&lt;&gt;"",'All Cases - Enter Cases'!L485,"")</f>
        <v/>
      </c>
      <c r="M485" t="str">
        <f>IF($A485&lt;&gt;"",'All Cases - Enter Cases'!M485,"")</f>
        <v/>
      </c>
    </row>
    <row r="486" spans="1:13" x14ac:dyDescent="0.35">
      <c r="A486" t="str">
        <f>IF('All Cases - Enter Cases'!$F486="Balochistan",'All Cases - Enter Cases'!A486,"")</f>
        <v/>
      </c>
      <c r="B486" t="str">
        <f>IF($A486&lt;&gt;"",'All Cases - Enter Cases'!B486,"")</f>
        <v/>
      </c>
      <c r="C486" t="str">
        <f>IF($A486&lt;&gt;"",'All Cases - Enter Cases'!C486,"")</f>
        <v/>
      </c>
      <c r="D486" t="str">
        <f>IF($A486&lt;&gt;"",'All Cases - Enter Cases'!D486,"")</f>
        <v/>
      </c>
      <c r="E486" t="str">
        <f>IF($A486&lt;&gt;"",'All Cases - Enter Cases'!E486,"")</f>
        <v/>
      </c>
      <c r="F486" t="str">
        <f>IF($A486&lt;&gt;"",'All Cases - Enter Cases'!F486,"")</f>
        <v/>
      </c>
      <c r="G486" t="str">
        <f>IF($A486&lt;&gt;"",'All Cases - Enter Cases'!G486,"")</f>
        <v/>
      </c>
      <c r="H486" t="str">
        <f>IF($A486&lt;&gt;"",'All Cases - Enter Cases'!H486,"")</f>
        <v/>
      </c>
      <c r="I486" t="str">
        <f>IF($A486&lt;&gt;"",'All Cases - Enter Cases'!I486,"")</f>
        <v/>
      </c>
      <c r="J486" t="str">
        <f>IF($A486&lt;&gt;"",'All Cases - Enter Cases'!J486,"")</f>
        <v/>
      </c>
      <c r="K486" t="str">
        <f>IF($A486&lt;&gt;"",'All Cases - Enter Cases'!K486,"")</f>
        <v/>
      </c>
      <c r="L486" t="str">
        <f>IF($A486&lt;&gt;"",'All Cases - Enter Cases'!L486,"")</f>
        <v/>
      </c>
      <c r="M486" t="str">
        <f>IF($A486&lt;&gt;"",'All Cases - Enter Cases'!M486,"")</f>
        <v/>
      </c>
    </row>
    <row r="487" spans="1:13" x14ac:dyDescent="0.35">
      <c r="A487" t="str">
        <f>IF('All Cases - Enter Cases'!$F487="Balochistan",'All Cases - Enter Cases'!A487,"")</f>
        <v/>
      </c>
      <c r="B487" t="str">
        <f>IF($A487&lt;&gt;"",'All Cases - Enter Cases'!B487,"")</f>
        <v/>
      </c>
      <c r="C487" t="str">
        <f>IF($A487&lt;&gt;"",'All Cases - Enter Cases'!C487,"")</f>
        <v/>
      </c>
      <c r="D487" t="str">
        <f>IF($A487&lt;&gt;"",'All Cases - Enter Cases'!D487,"")</f>
        <v/>
      </c>
      <c r="E487" t="str">
        <f>IF($A487&lt;&gt;"",'All Cases - Enter Cases'!E487,"")</f>
        <v/>
      </c>
      <c r="F487" t="str">
        <f>IF($A487&lt;&gt;"",'All Cases - Enter Cases'!F487,"")</f>
        <v/>
      </c>
      <c r="G487" t="str">
        <f>IF($A487&lt;&gt;"",'All Cases - Enter Cases'!G487,"")</f>
        <v/>
      </c>
      <c r="H487" t="str">
        <f>IF($A487&lt;&gt;"",'All Cases - Enter Cases'!H487,"")</f>
        <v/>
      </c>
      <c r="I487" t="str">
        <f>IF($A487&lt;&gt;"",'All Cases - Enter Cases'!I487,"")</f>
        <v/>
      </c>
      <c r="J487" t="str">
        <f>IF($A487&lt;&gt;"",'All Cases - Enter Cases'!J487,"")</f>
        <v/>
      </c>
      <c r="K487" t="str">
        <f>IF($A487&lt;&gt;"",'All Cases - Enter Cases'!K487,"")</f>
        <v/>
      </c>
      <c r="L487" t="str">
        <f>IF($A487&lt;&gt;"",'All Cases - Enter Cases'!L487,"")</f>
        <v/>
      </c>
      <c r="M487" t="str">
        <f>IF($A487&lt;&gt;"",'All Cases - Enter Cases'!M487,"")</f>
        <v/>
      </c>
    </row>
    <row r="488" spans="1:13" x14ac:dyDescent="0.35">
      <c r="A488" t="str">
        <f>IF('All Cases - Enter Cases'!$F488="Balochistan",'All Cases - Enter Cases'!A488,"")</f>
        <v/>
      </c>
      <c r="B488" t="str">
        <f>IF($A488&lt;&gt;"",'All Cases - Enter Cases'!B488,"")</f>
        <v/>
      </c>
      <c r="C488" t="str">
        <f>IF($A488&lt;&gt;"",'All Cases - Enter Cases'!C488,"")</f>
        <v/>
      </c>
      <c r="D488" t="str">
        <f>IF($A488&lt;&gt;"",'All Cases - Enter Cases'!D488,"")</f>
        <v/>
      </c>
      <c r="E488" t="str">
        <f>IF($A488&lt;&gt;"",'All Cases - Enter Cases'!E488,"")</f>
        <v/>
      </c>
      <c r="F488" t="str">
        <f>IF($A488&lt;&gt;"",'All Cases - Enter Cases'!F488,"")</f>
        <v/>
      </c>
      <c r="G488" t="str">
        <f>IF($A488&lt;&gt;"",'All Cases - Enter Cases'!G488,"")</f>
        <v/>
      </c>
      <c r="H488" t="str">
        <f>IF($A488&lt;&gt;"",'All Cases - Enter Cases'!H488,"")</f>
        <v/>
      </c>
      <c r="I488" t="str">
        <f>IF($A488&lt;&gt;"",'All Cases - Enter Cases'!I488,"")</f>
        <v/>
      </c>
      <c r="J488" t="str">
        <f>IF($A488&lt;&gt;"",'All Cases - Enter Cases'!J488,"")</f>
        <v/>
      </c>
      <c r="K488" t="str">
        <f>IF($A488&lt;&gt;"",'All Cases - Enter Cases'!K488,"")</f>
        <v/>
      </c>
      <c r="L488" t="str">
        <f>IF($A488&lt;&gt;"",'All Cases - Enter Cases'!L488,"")</f>
        <v/>
      </c>
      <c r="M488" t="str">
        <f>IF($A488&lt;&gt;"",'All Cases - Enter Cases'!M488,"")</f>
        <v/>
      </c>
    </row>
    <row r="489" spans="1:13" x14ac:dyDescent="0.35">
      <c r="A489" t="str">
        <f>IF('All Cases - Enter Cases'!$F489="Balochistan",'All Cases - Enter Cases'!A489,"")</f>
        <v/>
      </c>
      <c r="B489" t="str">
        <f>IF($A489&lt;&gt;"",'All Cases - Enter Cases'!B489,"")</f>
        <v/>
      </c>
      <c r="C489" t="str">
        <f>IF($A489&lt;&gt;"",'All Cases - Enter Cases'!C489,"")</f>
        <v/>
      </c>
      <c r="D489" t="str">
        <f>IF($A489&lt;&gt;"",'All Cases - Enter Cases'!D489,"")</f>
        <v/>
      </c>
      <c r="E489" t="str">
        <f>IF($A489&lt;&gt;"",'All Cases - Enter Cases'!E489,"")</f>
        <v/>
      </c>
      <c r="F489" t="str">
        <f>IF($A489&lt;&gt;"",'All Cases - Enter Cases'!F489,"")</f>
        <v/>
      </c>
      <c r="G489" t="str">
        <f>IF($A489&lt;&gt;"",'All Cases - Enter Cases'!G489,"")</f>
        <v/>
      </c>
      <c r="H489" t="str">
        <f>IF($A489&lt;&gt;"",'All Cases - Enter Cases'!H489,"")</f>
        <v/>
      </c>
      <c r="I489" t="str">
        <f>IF($A489&lt;&gt;"",'All Cases - Enter Cases'!I489,"")</f>
        <v/>
      </c>
      <c r="J489" t="str">
        <f>IF($A489&lt;&gt;"",'All Cases - Enter Cases'!J489,"")</f>
        <v/>
      </c>
      <c r="K489" t="str">
        <f>IF($A489&lt;&gt;"",'All Cases - Enter Cases'!K489,"")</f>
        <v/>
      </c>
      <c r="L489" t="str">
        <f>IF($A489&lt;&gt;"",'All Cases - Enter Cases'!L489,"")</f>
        <v/>
      </c>
      <c r="M489" t="str">
        <f>IF($A489&lt;&gt;"",'All Cases - Enter Cases'!M489,"")</f>
        <v/>
      </c>
    </row>
    <row r="490" spans="1:13" x14ac:dyDescent="0.35">
      <c r="A490" t="str">
        <f>IF('All Cases - Enter Cases'!$F490="Balochistan",'All Cases - Enter Cases'!A490,"")</f>
        <v/>
      </c>
      <c r="B490" t="str">
        <f>IF($A490&lt;&gt;"",'All Cases - Enter Cases'!B490,"")</f>
        <v/>
      </c>
      <c r="C490" t="str">
        <f>IF($A490&lt;&gt;"",'All Cases - Enter Cases'!C490,"")</f>
        <v/>
      </c>
      <c r="D490" t="str">
        <f>IF($A490&lt;&gt;"",'All Cases - Enter Cases'!D490,"")</f>
        <v/>
      </c>
      <c r="E490" t="str">
        <f>IF($A490&lt;&gt;"",'All Cases - Enter Cases'!E490,"")</f>
        <v/>
      </c>
      <c r="F490" t="str">
        <f>IF($A490&lt;&gt;"",'All Cases - Enter Cases'!F490,"")</f>
        <v/>
      </c>
      <c r="G490" t="str">
        <f>IF($A490&lt;&gt;"",'All Cases - Enter Cases'!G490,"")</f>
        <v/>
      </c>
      <c r="H490" t="str">
        <f>IF($A490&lt;&gt;"",'All Cases - Enter Cases'!H490,"")</f>
        <v/>
      </c>
      <c r="I490" t="str">
        <f>IF($A490&lt;&gt;"",'All Cases - Enter Cases'!I490,"")</f>
        <v/>
      </c>
      <c r="J490" t="str">
        <f>IF($A490&lt;&gt;"",'All Cases - Enter Cases'!J490,"")</f>
        <v/>
      </c>
      <c r="K490" t="str">
        <f>IF($A490&lt;&gt;"",'All Cases - Enter Cases'!K490,"")</f>
        <v/>
      </c>
      <c r="L490" t="str">
        <f>IF($A490&lt;&gt;"",'All Cases - Enter Cases'!L490,"")</f>
        <v/>
      </c>
      <c r="M490" t="str">
        <f>IF($A490&lt;&gt;"",'All Cases - Enter Cases'!M490,"")</f>
        <v/>
      </c>
    </row>
    <row r="491" spans="1:13" x14ac:dyDescent="0.35">
      <c r="A491" t="str">
        <f>IF('All Cases - Enter Cases'!$F491="Balochistan",'All Cases - Enter Cases'!A491,"")</f>
        <v/>
      </c>
      <c r="B491" t="str">
        <f>IF($A491&lt;&gt;"",'All Cases - Enter Cases'!B491,"")</f>
        <v/>
      </c>
      <c r="C491" t="str">
        <f>IF($A491&lt;&gt;"",'All Cases - Enter Cases'!C491,"")</f>
        <v/>
      </c>
      <c r="D491" t="str">
        <f>IF($A491&lt;&gt;"",'All Cases - Enter Cases'!D491,"")</f>
        <v/>
      </c>
      <c r="E491" t="str">
        <f>IF($A491&lt;&gt;"",'All Cases - Enter Cases'!E491,"")</f>
        <v/>
      </c>
      <c r="F491" t="str">
        <f>IF($A491&lt;&gt;"",'All Cases - Enter Cases'!F491,"")</f>
        <v/>
      </c>
      <c r="G491" t="str">
        <f>IF($A491&lt;&gt;"",'All Cases - Enter Cases'!G491,"")</f>
        <v/>
      </c>
      <c r="H491" t="str">
        <f>IF($A491&lt;&gt;"",'All Cases - Enter Cases'!H491,"")</f>
        <v/>
      </c>
      <c r="I491" t="str">
        <f>IF($A491&lt;&gt;"",'All Cases - Enter Cases'!I491,"")</f>
        <v/>
      </c>
      <c r="J491" t="str">
        <f>IF($A491&lt;&gt;"",'All Cases - Enter Cases'!J491,"")</f>
        <v/>
      </c>
      <c r="K491" t="str">
        <f>IF($A491&lt;&gt;"",'All Cases - Enter Cases'!K491,"")</f>
        <v/>
      </c>
      <c r="L491" t="str">
        <f>IF($A491&lt;&gt;"",'All Cases - Enter Cases'!L491,"")</f>
        <v/>
      </c>
      <c r="M491" t="str">
        <f>IF($A491&lt;&gt;"",'All Cases - Enter Cases'!M491,"")</f>
        <v/>
      </c>
    </row>
    <row r="492" spans="1:13" x14ac:dyDescent="0.35">
      <c r="A492" t="str">
        <f>IF('All Cases - Enter Cases'!$F492="Balochistan",'All Cases - Enter Cases'!A492,"")</f>
        <v/>
      </c>
      <c r="B492" t="str">
        <f>IF($A492&lt;&gt;"",'All Cases - Enter Cases'!B492,"")</f>
        <v/>
      </c>
      <c r="C492" t="str">
        <f>IF($A492&lt;&gt;"",'All Cases - Enter Cases'!C492,"")</f>
        <v/>
      </c>
      <c r="D492" t="str">
        <f>IF($A492&lt;&gt;"",'All Cases - Enter Cases'!D492,"")</f>
        <v/>
      </c>
      <c r="E492" t="str">
        <f>IF($A492&lt;&gt;"",'All Cases - Enter Cases'!E492,"")</f>
        <v/>
      </c>
      <c r="F492" t="str">
        <f>IF($A492&lt;&gt;"",'All Cases - Enter Cases'!F492,"")</f>
        <v/>
      </c>
      <c r="G492" t="str">
        <f>IF($A492&lt;&gt;"",'All Cases - Enter Cases'!G492,"")</f>
        <v/>
      </c>
      <c r="H492" t="str">
        <f>IF($A492&lt;&gt;"",'All Cases - Enter Cases'!H492,"")</f>
        <v/>
      </c>
      <c r="I492" t="str">
        <f>IF($A492&lt;&gt;"",'All Cases - Enter Cases'!I492,"")</f>
        <v/>
      </c>
      <c r="J492" t="str">
        <f>IF($A492&lt;&gt;"",'All Cases - Enter Cases'!J492,"")</f>
        <v/>
      </c>
      <c r="K492" t="str">
        <f>IF($A492&lt;&gt;"",'All Cases - Enter Cases'!K492,"")</f>
        <v/>
      </c>
      <c r="L492" t="str">
        <f>IF($A492&lt;&gt;"",'All Cases - Enter Cases'!L492,"")</f>
        <v/>
      </c>
      <c r="M492" t="str">
        <f>IF($A492&lt;&gt;"",'All Cases - Enter Cases'!M492,"")</f>
        <v/>
      </c>
    </row>
    <row r="493" spans="1:13" x14ac:dyDescent="0.35">
      <c r="A493" t="str">
        <f>IF('All Cases - Enter Cases'!$F493="Balochistan",'All Cases - Enter Cases'!A493,"")</f>
        <v/>
      </c>
      <c r="B493" t="str">
        <f>IF($A493&lt;&gt;"",'All Cases - Enter Cases'!B493,"")</f>
        <v/>
      </c>
      <c r="C493" t="str">
        <f>IF($A493&lt;&gt;"",'All Cases - Enter Cases'!C493,"")</f>
        <v/>
      </c>
      <c r="D493" t="str">
        <f>IF($A493&lt;&gt;"",'All Cases - Enter Cases'!D493,"")</f>
        <v/>
      </c>
      <c r="E493" t="str">
        <f>IF($A493&lt;&gt;"",'All Cases - Enter Cases'!E493,"")</f>
        <v/>
      </c>
      <c r="F493" t="str">
        <f>IF($A493&lt;&gt;"",'All Cases - Enter Cases'!F493,"")</f>
        <v/>
      </c>
      <c r="G493" t="str">
        <f>IF($A493&lt;&gt;"",'All Cases - Enter Cases'!G493,"")</f>
        <v/>
      </c>
      <c r="H493" t="str">
        <f>IF($A493&lt;&gt;"",'All Cases - Enter Cases'!H493,"")</f>
        <v/>
      </c>
      <c r="I493" t="str">
        <f>IF($A493&lt;&gt;"",'All Cases - Enter Cases'!I493,"")</f>
        <v/>
      </c>
      <c r="J493" t="str">
        <f>IF($A493&lt;&gt;"",'All Cases - Enter Cases'!J493,"")</f>
        <v/>
      </c>
      <c r="K493" t="str">
        <f>IF($A493&lt;&gt;"",'All Cases - Enter Cases'!K493,"")</f>
        <v/>
      </c>
      <c r="L493" t="str">
        <f>IF($A493&lt;&gt;"",'All Cases - Enter Cases'!L493,"")</f>
        <v/>
      </c>
      <c r="M493" t="str">
        <f>IF($A493&lt;&gt;"",'All Cases - Enter Cases'!M493,"")</f>
        <v/>
      </c>
    </row>
    <row r="494" spans="1:13" x14ac:dyDescent="0.35">
      <c r="A494" t="str">
        <f>IF('All Cases - Enter Cases'!$F494="Balochistan",'All Cases - Enter Cases'!A494,"")</f>
        <v/>
      </c>
      <c r="B494" t="str">
        <f>IF($A494&lt;&gt;"",'All Cases - Enter Cases'!B494,"")</f>
        <v/>
      </c>
      <c r="C494" t="str">
        <f>IF($A494&lt;&gt;"",'All Cases - Enter Cases'!C494,"")</f>
        <v/>
      </c>
      <c r="D494" t="str">
        <f>IF($A494&lt;&gt;"",'All Cases - Enter Cases'!D494,"")</f>
        <v/>
      </c>
      <c r="E494" t="str">
        <f>IF($A494&lt;&gt;"",'All Cases - Enter Cases'!E494,"")</f>
        <v/>
      </c>
      <c r="F494" t="str">
        <f>IF($A494&lt;&gt;"",'All Cases - Enter Cases'!F494,"")</f>
        <v/>
      </c>
      <c r="G494" t="str">
        <f>IF($A494&lt;&gt;"",'All Cases - Enter Cases'!G494,"")</f>
        <v/>
      </c>
      <c r="H494" t="str">
        <f>IF($A494&lt;&gt;"",'All Cases - Enter Cases'!H494,"")</f>
        <v/>
      </c>
      <c r="I494" t="str">
        <f>IF($A494&lt;&gt;"",'All Cases - Enter Cases'!I494,"")</f>
        <v/>
      </c>
      <c r="J494" t="str">
        <f>IF($A494&lt;&gt;"",'All Cases - Enter Cases'!J494,"")</f>
        <v/>
      </c>
      <c r="K494" t="str">
        <f>IF($A494&lt;&gt;"",'All Cases - Enter Cases'!K494,"")</f>
        <v/>
      </c>
      <c r="L494" t="str">
        <f>IF($A494&lt;&gt;"",'All Cases - Enter Cases'!L494,"")</f>
        <v/>
      </c>
      <c r="M494" t="str">
        <f>IF($A494&lt;&gt;"",'All Cases - Enter Cases'!M494,"")</f>
        <v/>
      </c>
    </row>
    <row r="495" spans="1:13" x14ac:dyDescent="0.35">
      <c r="A495" t="str">
        <f>IF('All Cases - Enter Cases'!$F495="Balochistan",'All Cases - Enter Cases'!A495,"")</f>
        <v/>
      </c>
      <c r="B495" t="str">
        <f>IF($A495&lt;&gt;"",'All Cases - Enter Cases'!B495,"")</f>
        <v/>
      </c>
      <c r="C495" t="str">
        <f>IF($A495&lt;&gt;"",'All Cases - Enter Cases'!C495,"")</f>
        <v/>
      </c>
      <c r="D495" t="str">
        <f>IF($A495&lt;&gt;"",'All Cases - Enter Cases'!D495,"")</f>
        <v/>
      </c>
      <c r="E495" t="str">
        <f>IF($A495&lt;&gt;"",'All Cases - Enter Cases'!E495,"")</f>
        <v/>
      </c>
      <c r="F495" t="str">
        <f>IF($A495&lt;&gt;"",'All Cases - Enter Cases'!F495,"")</f>
        <v/>
      </c>
      <c r="G495" t="str">
        <f>IF($A495&lt;&gt;"",'All Cases - Enter Cases'!G495,"")</f>
        <v/>
      </c>
      <c r="H495" t="str">
        <f>IF($A495&lt;&gt;"",'All Cases - Enter Cases'!H495,"")</f>
        <v/>
      </c>
      <c r="I495" t="str">
        <f>IF($A495&lt;&gt;"",'All Cases - Enter Cases'!I495,"")</f>
        <v/>
      </c>
      <c r="J495" t="str">
        <f>IF($A495&lt;&gt;"",'All Cases - Enter Cases'!J495,"")</f>
        <v/>
      </c>
      <c r="K495" t="str">
        <f>IF($A495&lt;&gt;"",'All Cases - Enter Cases'!K495,"")</f>
        <v/>
      </c>
      <c r="L495" t="str">
        <f>IF($A495&lt;&gt;"",'All Cases - Enter Cases'!L495,"")</f>
        <v/>
      </c>
      <c r="M495" t="str">
        <f>IF($A495&lt;&gt;"",'All Cases - Enter Cases'!M495,"")</f>
        <v/>
      </c>
    </row>
    <row r="496" spans="1:13" x14ac:dyDescent="0.35">
      <c r="A496" t="str">
        <f>IF('All Cases - Enter Cases'!$F496="Balochistan",'All Cases - Enter Cases'!A496,"")</f>
        <v/>
      </c>
      <c r="B496" t="str">
        <f>IF($A496&lt;&gt;"",'All Cases - Enter Cases'!B496,"")</f>
        <v/>
      </c>
      <c r="C496" t="str">
        <f>IF($A496&lt;&gt;"",'All Cases - Enter Cases'!C496,"")</f>
        <v/>
      </c>
      <c r="D496" t="str">
        <f>IF($A496&lt;&gt;"",'All Cases - Enter Cases'!D496,"")</f>
        <v/>
      </c>
      <c r="E496" t="str">
        <f>IF($A496&lt;&gt;"",'All Cases - Enter Cases'!E496,"")</f>
        <v/>
      </c>
      <c r="F496" t="str">
        <f>IF($A496&lt;&gt;"",'All Cases - Enter Cases'!F496,"")</f>
        <v/>
      </c>
      <c r="G496" t="str">
        <f>IF($A496&lt;&gt;"",'All Cases - Enter Cases'!G496,"")</f>
        <v/>
      </c>
      <c r="H496" t="str">
        <f>IF($A496&lt;&gt;"",'All Cases - Enter Cases'!H496,"")</f>
        <v/>
      </c>
      <c r="I496" t="str">
        <f>IF($A496&lt;&gt;"",'All Cases - Enter Cases'!I496,"")</f>
        <v/>
      </c>
      <c r="J496" t="str">
        <f>IF($A496&lt;&gt;"",'All Cases - Enter Cases'!J496,"")</f>
        <v/>
      </c>
      <c r="K496" t="str">
        <f>IF($A496&lt;&gt;"",'All Cases - Enter Cases'!K496,"")</f>
        <v/>
      </c>
      <c r="L496" t="str">
        <f>IF($A496&lt;&gt;"",'All Cases - Enter Cases'!L496,"")</f>
        <v/>
      </c>
      <c r="M496" t="str">
        <f>IF($A496&lt;&gt;"",'All Cases - Enter Cases'!M496,"")</f>
        <v/>
      </c>
    </row>
    <row r="497" spans="1:13" x14ac:dyDescent="0.35">
      <c r="A497" t="str">
        <f>IF('All Cases - Enter Cases'!$F497="Balochistan",'All Cases - Enter Cases'!A497,"")</f>
        <v/>
      </c>
      <c r="B497" t="str">
        <f>IF($A497&lt;&gt;"",'All Cases - Enter Cases'!B497,"")</f>
        <v/>
      </c>
      <c r="C497" t="str">
        <f>IF($A497&lt;&gt;"",'All Cases - Enter Cases'!C497,"")</f>
        <v/>
      </c>
      <c r="D497" t="str">
        <f>IF($A497&lt;&gt;"",'All Cases - Enter Cases'!D497,"")</f>
        <v/>
      </c>
      <c r="E497" t="str">
        <f>IF($A497&lt;&gt;"",'All Cases - Enter Cases'!E497,"")</f>
        <v/>
      </c>
      <c r="F497" t="str">
        <f>IF($A497&lt;&gt;"",'All Cases - Enter Cases'!F497,"")</f>
        <v/>
      </c>
      <c r="G497" t="str">
        <f>IF($A497&lt;&gt;"",'All Cases - Enter Cases'!G497,"")</f>
        <v/>
      </c>
      <c r="H497" t="str">
        <f>IF($A497&lt;&gt;"",'All Cases - Enter Cases'!H497,"")</f>
        <v/>
      </c>
      <c r="I497" t="str">
        <f>IF($A497&lt;&gt;"",'All Cases - Enter Cases'!I497,"")</f>
        <v/>
      </c>
      <c r="J497" t="str">
        <f>IF($A497&lt;&gt;"",'All Cases - Enter Cases'!J497,"")</f>
        <v/>
      </c>
      <c r="K497" t="str">
        <f>IF($A497&lt;&gt;"",'All Cases - Enter Cases'!K497,"")</f>
        <v/>
      </c>
      <c r="L497" t="str">
        <f>IF($A497&lt;&gt;"",'All Cases - Enter Cases'!L497,"")</f>
        <v/>
      </c>
      <c r="M497" t="str">
        <f>IF($A497&lt;&gt;"",'All Cases - Enter Cases'!M497,"")</f>
        <v/>
      </c>
    </row>
    <row r="498" spans="1:13" x14ac:dyDescent="0.35">
      <c r="A498" t="str">
        <f>IF('All Cases - Enter Cases'!$F498="Balochistan",'All Cases - Enter Cases'!A498,"")</f>
        <v/>
      </c>
      <c r="B498" t="str">
        <f>IF($A498&lt;&gt;"",'All Cases - Enter Cases'!B498,"")</f>
        <v/>
      </c>
      <c r="C498" t="str">
        <f>IF($A498&lt;&gt;"",'All Cases - Enter Cases'!C498,"")</f>
        <v/>
      </c>
      <c r="D498" t="str">
        <f>IF($A498&lt;&gt;"",'All Cases - Enter Cases'!D498,"")</f>
        <v/>
      </c>
      <c r="E498" t="str">
        <f>IF($A498&lt;&gt;"",'All Cases - Enter Cases'!E498,"")</f>
        <v/>
      </c>
      <c r="F498" t="str">
        <f>IF($A498&lt;&gt;"",'All Cases - Enter Cases'!F498,"")</f>
        <v/>
      </c>
      <c r="G498" t="str">
        <f>IF($A498&lt;&gt;"",'All Cases - Enter Cases'!G498,"")</f>
        <v/>
      </c>
      <c r="H498" t="str">
        <f>IF($A498&lt;&gt;"",'All Cases - Enter Cases'!H498,"")</f>
        <v/>
      </c>
      <c r="I498" t="str">
        <f>IF($A498&lt;&gt;"",'All Cases - Enter Cases'!I498,"")</f>
        <v/>
      </c>
      <c r="J498" t="str">
        <f>IF($A498&lt;&gt;"",'All Cases - Enter Cases'!J498,"")</f>
        <v/>
      </c>
      <c r="K498" t="str">
        <f>IF($A498&lt;&gt;"",'All Cases - Enter Cases'!K498,"")</f>
        <v/>
      </c>
      <c r="L498" t="str">
        <f>IF($A498&lt;&gt;"",'All Cases - Enter Cases'!L498,"")</f>
        <v/>
      </c>
      <c r="M498" t="str">
        <f>IF($A498&lt;&gt;"",'All Cases - Enter Cases'!M498,"")</f>
        <v/>
      </c>
    </row>
    <row r="499" spans="1:13" x14ac:dyDescent="0.35">
      <c r="A499" t="str">
        <f>IF('All Cases - Enter Cases'!$F499="Balochistan",'All Cases - Enter Cases'!A499,"")</f>
        <v/>
      </c>
      <c r="B499" t="str">
        <f>IF($A499&lt;&gt;"",'All Cases - Enter Cases'!B499,"")</f>
        <v/>
      </c>
      <c r="C499" t="str">
        <f>IF($A499&lt;&gt;"",'All Cases - Enter Cases'!C499,"")</f>
        <v/>
      </c>
      <c r="D499" t="str">
        <f>IF($A499&lt;&gt;"",'All Cases - Enter Cases'!D499,"")</f>
        <v/>
      </c>
      <c r="E499" t="str">
        <f>IF($A499&lt;&gt;"",'All Cases - Enter Cases'!E499,"")</f>
        <v/>
      </c>
      <c r="F499" t="str">
        <f>IF($A499&lt;&gt;"",'All Cases - Enter Cases'!F499,"")</f>
        <v/>
      </c>
      <c r="G499" t="str">
        <f>IF($A499&lt;&gt;"",'All Cases - Enter Cases'!G499,"")</f>
        <v/>
      </c>
      <c r="H499" t="str">
        <f>IF($A499&lt;&gt;"",'All Cases - Enter Cases'!H499,"")</f>
        <v/>
      </c>
      <c r="I499" t="str">
        <f>IF($A499&lt;&gt;"",'All Cases - Enter Cases'!I499,"")</f>
        <v/>
      </c>
      <c r="J499" t="str">
        <f>IF($A499&lt;&gt;"",'All Cases - Enter Cases'!J499,"")</f>
        <v/>
      </c>
      <c r="K499" t="str">
        <f>IF($A499&lt;&gt;"",'All Cases - Enter Cases'!K499,"")</f>
        <v/>
      </c>
      <c r="L499" t="str">
        <f>IF($A499&lt;&gt;"",'All Cases - Enter Cases'!L499,"")</f>
        <v/>
      </c>
      <c r="M499" t="str">
        <f>IF($A499&lt;&gt;"",'All Cases - Enter Cases'!M499,"")</f>
        <v/>
      </c>
    </row>
    <row r="500" spans="1:13" x14ac:dyDescent="0.35">
      <c r="A500" t="str">
        <f>IF('All Cases - Enter Cases'!$F500="Balochistan",'All Cases - Enter Cases'!A500,"")</f>
        <v/>
      </c>
      <c r="B500" t="str">
        <f>IF($A500&lt;&gt;"",'All Cases - Enter Cases'!B500,"")</f>
        <v/>
      </c>
      <c r="C500" t="str">
        <f>IF($A500&lt;&gt;"",'All Cases - Enter Cases'!C500,"")</f>
        <v/>
      </c>
      <c r="D500" t="str">
        <f>IF($A500&lt;&gt;"",'All Cases - Enter Cases'!D500,"")</f>
        <v/>
      </c>
      <c r="E500" t="str">
        <f>IF($A500&lt;&gt;"",'All Cases - Enter Cases'!E500,"")</f>
        <v/>
      </c>
      <c r="F500" t="str">
        <f>IF($A500&lt;&gt;"",'All Cases - Enter Cases'!F500,"")</f>
        <v/>
      </c>
      <c r="G500" t="str">
        <f>IF($A500&lt;&gt;"",'All Cases - Enter Cases'!G500,"")</f>
        <v/>
      </c>
      <c r="H500" t="str">
        <f>IF($A500&lt;&gt;"",'All Cases - Enter Cases'!H500,"")</f>
        <v/>
      </c>
      <c r="I500" t="str">
        <f>IF($A500&lt;&gt;"",'All Cases - Enter Cases'!I500,"")</f>
        <v/>
      </c>
      <c r="J500" t="str">
        <f>IF($A500&lt;&gt;"",'All Cases - Enter Cases'!J500,"")</f>
        <v/>
      </c>
      <c r="K500" t="str">
        <f>IF($A500&lt;&gt;"",'All Cases - Enter Cases'!K500,"")</f>
        <v/>
      </c>
      <c r="L500" t="str">
        <f>IF($A500&lt;&gt;"",'All Cases - Enter Cases'!L500,"")</f>
        <v/>
      </c>
      <c r="M500" t="str">
        <f>IF($A500&lt;&gt;"",'All Cases - Enter Cases'!M500,"")</f>
        <v/>
      </c>
    </row>
    <row r="501" spans="1:13" x14ac:dyDescent="0.35">
      <c r="A501" t="str">
        <f>IF('All Cases - Enter Cases'!$F501="Balochistan",'All Cases - Enter Cases'!A501,"")</f>
        <v/>
      </c>
      <c r="B501" t="str">
        <f>IF($A501&lt;&gt;"",'All Cases - Enter Cases'!B501,"")</f>
        <v/>
      </c>
      <c r="C501" t="str">
        <f>IF($A501&lt;&gt;"",'All Cases - Enter Cases'!C501,"")</f>
        <v/>
      </c>
      <c r="D501" t="str">
        <f>IF($A501&lt;&gt;"",'All Cases - Enter Cases'!D501,"")</f>
        <v/>
      </c>
      <c r="E501" t="str">
        <f>IF($A501&lt;&gt;"",'All Cases - Enter Cases'!E501,"")</f>
        <v/>
      </c>
      <c r="F501" t="str">
        <f>IF($A501&lt;&gt;"",'All Cases - Enter Cases'!F501,"")</f>
        <v/>
      </c>
      <c r="G501" t="str">
        <f>IF($A501&lt;&gt;"",'All Cases - Enter Cases'!G501,"")</f>
        <v/>
      </c>
      <c r="H501" t="str">
        <f>IF($A501&lt;&gt;"",'All Cases - Enter Cases'!H501,"")</f>
        <v/>
      </c>
      <c r="I501" t="str">
        <f>IF($A501&lt;&gt;"",'All Cases - Enter Cases'!I501,"")</f>
        <v/>
      </c>
      <c r="J501" t="str">
        <f>IF($A501&lt;&gt;"",'All Cases - Enter Cases'!J501,"")</f>
        <v/>
      </c>
      <c r="K501" t="str">
        <f>IF($A501&lt;&gt;"",'All Cases - Enter Cases'!K501,"")</f>
        <v/>
      </c>
      <c r="L501" t="str">
        <f>IF($A501&lt;&gt;"",'All Cases - Enter Cases'!L501,"")</f>
        <v/>
      </c>
      <c r="M501" t="str">
        <f>IF($A501&lt;&gt;"",'All Cases - Enter Cases'!M501,"")</f>
        <v/>
      </c>
    </row>
    <row r="502" spans="1:13" x14ac:dyDescent="0.35">
      <c r="A502" t="str">
        <f>IF('All Cases - Enter Cases'!$F502="Balochistan",'All Cases - Enter Cases'!A502,"")</f>
        <v/>
      </c>
      <c r="B502" t="str">
        <f>IF($A502&lt;&gt;"",'All Cases - Enter Cases'!B502,"")</f>
        <v/>
      </c>
      <c r="C502" t="str">
        <f>IF($A502&lt;&gt;"",'All Cases - Enter Cases'!C502,"")</f>
        <v/>
      </c>
      <c r="D502" t="str">
        <f>IF($A502&lt;&gt;"",'All Cases - Enter Cases'!D502,"")</f>
        <v/>
      </c>
      <c r="E502" t="str">
        <f>IF($A502&lt;&gt;"",'All Cases - Enter Cases'!E502,"")</f>
        <v/>
      </c>
      <c r="F502" t="str">
        <f>IF($A502&lt;&gt;"",'All Cases - Enter Cases'!F502,"")</f>
        <v/>
      </c>
      <c r="G502" t="str">
        <f>IF($A502&lt;&gt;"",'All Cases - Enter Cases'!G502,"")</f>
        <v/>
      </c>
      <c r="H502" t="str">
        <f>IF($A502&lt;&gt;"",'All Cases - Enter Cases'!H502,"")</f>
        <v/>
      </c>
      <c r="I502" t="str">
        <f>IF($A502&lt;&gt;"",'All Cases - Enter Cases'!I502,"")</f>
        <v/>
      </c>
      <c r="J502" t="str">
        <f>IF($A502&lt;&gt;"",'All Cases - Enter Cases'!J502,"")</f>
        <v/>
      </c>
      <c r="K502" t="str">
        <f>IF($A502&lt;&gt;"",'All Cases - Enter Cases'!K502,"")</f>
        <v/>
      </c>
      <c r="L502" t="str">
        <f>IF($A502&lt;&gt;"",'All Cases - Enter Cases'!L502,"")</f>
        <v/>
      </c>
      <c r="M502" t="str">
        <f>IF($A502&lt;&gt;"",'All Cases - Enter Cases'!M502,"")</f>
        <v/>
      </c>
    </row>
    <row r="503" spans="1:13" x14ac:dyDescent="0.35">
      <c r="A503" t="str">
        <f>IF('All Cases - Enter Cases'!$F503="Balochistan",'All Cases - Enter Cases'!A503,"")</f>
        <v/>
      </c>
      <c r="B503" t="str">
        <f>IF($A503&lt;&gt;"",'All Cases - Enter Cases'!B503,"")</f>
        <v/>
      </c>
      <c r="C503" t="str">
        <f>IF($A503&lt;&gt;"",'All Cases - Enter Cases'!C503,"")</f>
        <v/>
      </c>
      <c r="D503" t="str">
        <f>IF($A503&lt;&gt;"",'All Cases - Enter Cases'!D503,"")</f>
        <v/>
      </c>
      <c r="E503" t="str">
        <f>IF($A503&lt;&gt;"",'All Cases - Enter Cases'!E503,"")</f>
        <v/>
      </c>
      <c r="F503" t="str">
        <f>IF($A503&lt;&gt;"",'All Cases - Enter Cases'!F503,"")</f>
        <v/>
      </c>
      <c r="G503" t="str">
        <f>IF($A503&lt;&gt;"",'All Cases - Enter Cases'!G503,"")</f>
        <v/>
      </c>
      <c r="H503" t="str">
        <f>IF($A503&lt;&gt;"",'All Cases - Enter Cases'!H503,"")</f>
        <v/>
      </c>
      <c r="I503" t="str">
        <f>IF($A503&lt;&gt;"",'All Cases - Enter Cases'!I503,"")</f>
        <v/>
      </c>
      <c r="J503" t="str">
        <f>IF($A503&lt;&gt;"",'All Cases - Enter Cases'!J503,"")</f>
        <v/>
      </c>
      <c r="K503" t="str">
        <f>IF($A503&lt;&gt;"",'All Cases - Enter Cases'!K503,"")</f>
        <v/>
      </c>
      <c r="L503" t="str">
        <f>IF($A503&lt;&gt;"",'All Cases - Enter Cases'!L503,"")</f>
        <v/>
      </c>
      <c r="M503" t="str">
        <f>IF($A503&lt;&gt;"",'All Cases - Enter Cases'!M503,"")</f>
        <v/>
      </c>
    </row>
    <row r="504" spans="1:13" x14ac:dyDescent="0.35">
      <c r="A504" t="str">
        <f>IF('All Cases - Enter Cases'!$F504="Balochistan",'All Cases - Enter Cases'!A504,"")</f>
        <v/>
      </c>
      <c r="B504" t="str">
        <f>IF($A504&lt;&gt;"",'All Cases - Enter Cases'!B504,"")</f>
        <v/>
      </c>
      <c r="C504" t="str">
        <f>IF($A504&lt;&gt;"",'All Cases - Enter Cases'!C504,"")</f>
        <v/>
      </c>
      <c r="D504" t="str">
        <f>IF($A504&lt;&gt;"",'All Cases - Enter Cases'!D504,"")</f>
        <v/>
      </c>
      <c r="E504" t="str">
        <f>IF($A504&lt;&gt;"",'All Cases - Enter Cases'!E504,"")</f>
        <v/>
      </c>
      <c r="F504" t="str">
        <f>IF($A504&lt;&gt;"",'All Cases - Enter Cases'!F504,"")</f>
        <v/>
      </c>
      <c r="G504" t="str">
        <f>IF($A504&lt;&gt;"",'All Cases - Enter Cases'!G504,"")</f>
        <v/>
      </c>
      <c r="H504" t="str">
        <f>IF($A504&lt;&gt;"",'All Cases - Enter Cases'!H504,"")</f>
        <v/>
      </c>
      <c r="I504" t="str">
        <f>IF($A504&lt;&gt;"",'All Cases - Enter Cases'!I504,"")</f>
        <v/>
      </c>
      <c r="J504" t="str">
        <f>IF($A504&lt;&gt;"",'All Cases - Enter Cases'!J504,"")</f>
        <v/>
      </c>
      <c r="K504" t="str">
        <f>IF($A504&lt;&gt;"",'All Cases - Enter Cases'!K504,"")</f>
        <v/>
      </c>
      <c r="L504" t="str">
        <f>IF($A504&lt;&gt;"",'All Cases - Enter Cases'!L504,"")</f>
        <v/>
      </c>
      <c r="M504" t="str">
        <f>IF($A504&lt;&gt;"",'All Cases - Enter Cases'!M504,"")</f>
        <v/>
      </c>
    </row>
    <row r="505" spans="1:13" x14ac:dyDescent="0.35">
      <c r="A505" t="str">
        <f>IF('All Cases - Enter Cases'!$F505="Balochistan",'All Cases - Enter Cases'!A505,"")</f>
        <v/>
      </c>
      <c r="B505" t="str">
        <f>IF($A505&lt;&gt;"",'All Cases - Enter Cases'!B505,"")</f>
        <v/>
      </c>
      <c r="C505" t="str">
        <f>IF($A505&lt;&gt;"",'All Cases - Enter Cases'!C505,"")</f>
        <v/>
      </c>
      <c r="D505" t="str">
        <f>IF($A505&lt;&gt;"",'All Cases - Enter Cases'!D505,"")</f>
        <v/>
      </c>
      <c r="E505" t="str">
        <f>IF($A505&lt;&gt;"",'All Cases - Enter Cases'!E505,"")</f>
        <v/>
      </c>
      <c r="F505" t="str">
        <f>IF($A505&lt;&gt;"",'All Cases - Enter Cases'!F505,"")</f>
        <v/>
      </c>
      <c r="G505" t="str">
        <f>IF($A505&lt;&gt;"",'All Cases - Enter Cases'!G505,"")</f>
        <v/>
      </c>
      <c r="H505" t="str">
        <f>IF($A505&lt;&gt;"",'All Cases - Enter Cases'!H505,"")</f>
        <v/>
      </c>
      <c r="I505" t="str">
        <f>IF($A505&lt;&gt;"",'All Cases - Enter Cases'!I505,"")</f>
        <v/>
      </c>
      <c r="J505" t="str">
        <f>IF($A505&lt;&gt;"",'All Cases - Enter Cases'!J505,"")</f>
        <v/>
      </c>
      <c r="K505" t="str">
        <f>IF($A505&lt;&gt;"",'All Cases - Enter Cases'!K505,"")</f>
        <v/>
      </c>
      <c r="L505" t="str">
        <f>IF($A505&lt;&gt;"",'All Cases - Enter Cases'!L505,"")</f>
        <v/>
      </c>
      <c r="M505" t="str">
        <f>IF($A505&lt;&gt;"",'All Cases - Enter Cases'!M505,"")</f>
        <v/>
      </c>
    </row>
    <row r="506" spans="1:13" x14ac:dyDescent="0.35">
      <c r="A506" t="str">
        <f>IF('All Cases - Enter Cases'!$F506="Balochistan",'All Cases - Enter Cases'!A506,"")</f>
        <v/>
      </c>
      <c r="B506" t="str">
        <f>IF($A506&lt;&gt;"",'All Cases - Enter Cases'!B506,"")</f>
        <v/>
      </c>
      <c r="C506" t="str">
        <f>IF($A506&lt;&gt;"",'All Cases - Enter Cases'!C506,"")</f>
        <v/>
      </c>
      <c r="D506" t="str">
        <f>IF($A506&lt;&gt;"",'All Cases - Enter Cases'!D506,"")</f>
        <v/>
      </c>
      <c r="E506" t="str">
        <f>IF($A506&lt;&gt;"",'All Cases - Enter Cases'!E506,"")</f>
        <v/>
      </c>
      <c r="F506" t="str">
        <f>IF($A506&lt;&gt;"",'All Cases - Enter Cases'!F506,"")</f>
        <v/>
      </c>
      <c r="G506" t="str">
        <f>IF($A506&lt;&gt;"",'All Cases - Enter Cases'!G506,"")</f>
        <v/>
      </c>
      <c r="H506" t="str">
        <f>IF($A506&lt;&gt;"",'All Cases - Enter Cases'!H506,"")</f>
        <v/>
      </c>
      <c r="I506" t="str">
        <f>IF($A506&lt;&gt;"",'All Cases - Enter Cases'!I506,"")</f>
        <v/>
      </c>
      <c r="J506" t="str">
        <f>IF($A506&lt;&gt;"",'All Cases - Enter Cases'!J506,"")</f>
        <v/>
      </c>
      <c r="K506" t="str">
        <f>IF($A506&lt;&gt;"",'All Cases - Enter Cases'!K506,"")</f>
        <v/>
      </c>
      <c r="L506" t="str">
        <f>IF($A506&lt;&gt;"",'All Cases - Enter Cases'!L506,"")</f>
        <v/>
      </c>
      <c r="M506" t="str">
        <f>IF($A506&lt;&gt;"",'All Cases - Enter Cases'!M506,"")</f>
        <v/>
      </c>
    </row>
    <row r="507" spans="1:13" x14ac:dyDescent="0.35">
      <c r="A507" t="str">
        <f>IF('All Cases - Enter Cases'!$F507="Balochistan",'All Cases - Enter Cases'!A507,"")</f>
        <v/>
      </c>
      <c r="B507" t="str">
        <f>IF($A507&lt;&gt;"",'All Cases - Enter Cases'!B507,"")</f>
        <v/>
      </c>
      <c r="C507" t="str">
        <f>IF($A507&lt;&gt;"",'All Cases - Enter Cases'!C507,"")</f>
        <v/>
      </c>
      <c r="D507" t="str">
        <f>IF($A507&lt;&gt;"",'All Cases - Enter Cases'!D507,"")</f>
        <v/>
      </c>
      <c r="E507" t="str">
        <f>IF($A507&lt;&gt;"",'All Cases - Enter Cases'!E507,"")</f>
        <v/>
      </c>
      <c r="F507" t="str">
        <f>IF($A507&lt;&gt;"",'All Cases - Enter Cases'!F507,"")</f>
        <v/>
      </c>
      <c r="G507" t="str">
        <f>IF($A507&lt;&gt;"",'All Cases - Enter Cases'!G507,"")</f>
        <v/>
      </c>
      <c r="H507" t="str">
        <f>IF($A507&lt;&gt;"",'All Cases - Enter Cases'!H507,"")</f>
        <v/>
      </c>
      <c r="I507" t="str">
        <f>IF($A507&lt;&gt;"",'All Cases - Enter Cases'!I507,"")</f>
        <v/>
      </c>
      <c r="J507" t="str">
        <f>IF($A507&lt;&gt;"",'All Cases - Enter Cases'!J507,"")</f>
        <v/>
      </c>
      <c r="K507" t="str">
        <f>IF($A507&lt;&gt;"",'All Cases - Enter Cases'!K507,"")</f>
        <v/>
      </c>
      <c r="L507" t="str">
        <f>IF($A507&lt;&gt;"",'All Cases - Enter Cases'!L507,"")</f>
        <v/>
      </c>
      <c r="M507" t="str">
        <f>IF($A507&lt;&gt;"",'All Cases - Enter Cases'!M507,"")</f>
        <v/>
      </c>
    </row>
    <row r="508" spans="1:13" x14ac:dyDescent="0.35">
      <c r="A508" t="str">
        <f>IF('All Cases - Enter Cases'!$F508="Balochistan",'All Cases - Enter Cases'!A508,"")</f>
        <v/>
      </c>
      <c r="B508" t="str">
        <f>IF($A508&lt;&gt;"",'All Cases - Enter Cases'!B508,"")</f>
        <v/>
      </c>
      <c r="C508" t="str">
        <f>IF($A508&lt;&gt;"",'All Cases - Enter Cases'!C508,"")</f>
        <v/>
      </c>
      <c r="D508" t="str">
        <f>IF($A508&lt;&gt;"",'All Cases - Enter Cases'!D508,"")</f>
        <v/>
      </c>
      <c r="E508" t="str">
        <f>IF($A508&lt;&gt;"",'All Cases - Enter Cases'!E508,"")</f>
        <v/>
      </c>
      <c r="F508" t="str">
        <f>IF($A508&lt;&gt;"",'All Cases - Enter Cases'!F508,"")</f>
        <v/>
      </c>
      <c r="G508" t="str">
        <f>IF($A508&lt;&gt;"",'All Cases - Enter Cases'!G508,"")</f>
        <v/>
      </c>
      <c r="H508" t="str">
        <f>IF($A508&lt;&gt;"",'All Cases - Enter Cases'!H508,"")</f>
        <v/>
      </c>
      <c r="I508" t="str">
        <f>IF($A508&lt;&gt;"",'All Cases - Enter Cases'!I508,"")</f>
        <v/>
      </c>
      <c r="J508" t="str">
        <f>IF($A508&lt;&gt;"",'All Cases - Enter Cases'!J508,"")</f>
        <v/>
      </c>
      <c r="K508" t="str">
        <f>IF($A508&lt;&gt;"",'All Cases - Enter Cases'!K508,"")</f>
        <v/>
      </c>
      <c r="L508" t="str">
        <f>IF($A508&lt;&gt;"",'All Cases - Enter Cases'!L508,"")</f>
        <v/>
      </c>
      <c r="M508" t="str">
        <f>IF($A508&lt;&gt;"",'All Cases - Enter Cases'!M508,"")</f>
        <v/>
      </c>
    </row>
    <row r="509" spans="1:13" x14ac:dyDescent="0.35">
      <c r="A509" t="str">
        <f>IF('All Cases - Enter Cases'!$F509="Balochistan",'All Cases - Enter Cases'!A509,"")</f>
        <v/>
      </c>
      <c r="B509" t="str">
        <f>IF($A509&lt;&gt;"",'All Cases - Enter Cases'!B509,"")</f>
        <v/>
      </c>
      <c r="C509" t="str">
        <f>IF($A509&lt;&gt;"",'All Cases - Enter Cases'!C509,"")</f>
        <v/>
      </c>
      <c r="D509" t="str">
        <f>IF($A509&lt;&gt;"",'All Cases - Enter Cases'!D509,"")</f>
        <v/>
      </c>
      <c r="E509" t="str">
        <f>IF($A509&lt;&gt;"",'All Cases - Enter Cases'!E509,"")</f>
        <v/>
      </c>
      <c r="F509" t="str">
        <f>IF($A509&lt;&gt;"",'All Cases - Enter Cases'!F509,"")</f>
        <v/>
      </c>
      <c r="G509" t="str">
        <f>IF($A509&lt;&gt;"",'All Cases - Enter Cases'!G509,"")</f>
        <v/>
      </c>
      <c r="H509" t="str">
        <f>IF($A509&lt;&gt;"",'All Cases - Enter Cases'!H509,"")</f>
        <v/>
      </c>
      <c r="I509" t="str">
        <f>IF($A509&lt;&gt;"",'All Cases - Enter Cases'!I509,"")</f>
        <v/>
      </c>
      <c r="J509" t="str">
        <f>IF($A509&lt;&gt;"",'All Cases - Enter Cases'!J509,"")</f>
        <v/>
      </c>
      <c r="K509" t="str">
        <f>IF($A509&lt;&gt;"",'All Cases - Enter Cases'!K509,"")</f>
        <v/>
      </c>
      <c r="L509" t="str">
        <f>IF($A509&lt;&gt;"",'All Cases - Enter Cases'!L509,"")</f>
        <v/>
      </c>
      <c r="M509" t="str">
        <f>IF($A509&lt;&gt;"",'All Cases - Enter Cases'!M509,"")</f>
        <v/>
      </c>
    </row>
    <row r="510" spans="1:13" x14ac:dyDescent="0.35">
      <c r="A510" t="str">
        <f>IF('All Cases - Enter Cases'!$F510="Balochistan",'All Cases - Enter Cases'!A510,"")</f>
        <v/>
      </c>
      <c r="B510" t="str">
        <f>IF($A510&lt;&gt;"",'All Cases - Enter Cases'!B510,"")</f>
        <v/>
      </c>
      <c r="C510" t="str">
        <f>IF($A510&lt;&gt;"",'All Cases - Enter Cases'!C510,"")</f>
        <v/>
      </c>
      <c r="D510" t="str">
        <f>IF($A510&lt;&gt;"",'All Cases - Enter Cases'!D510,"")</f>
        <v/>
      </c>
      <c r="E510" t="str">
        <f>IF($A510&lt;&gt;"",'All Cases - Enter Cases'!E510,"")</f>
        <v/>
      </c>
      <c r="F510" t="str">
        <f>IF($A510&lt;&gt;"",'All Cases - Enter Cases'!F510,"")</f>
        <v/>
      </c>
      <c r="G510" t="str">
        <f>IF($A510&lt;&gt;"",'All Cases - Enter Cases'!G510,"")</f>
        <v/>
      </c>
      <c r="H510" t="str">
        <f>IF($A510&lt;&gt;"",'All Cases - Enter Cases'!H510,"")</f>
        <v/>
      </c>
      <c r="I510" t="str">
        <f>IF($A510&lt;&gt;"",'All Cases - Enter Cases'!I510,"")</f>
        <v/>
      </c>
      <c r="J510" t="str">
        <f>IF($A510&lt;&gt;"",'All Cases - Enter Cases'!J510,"")</f>
        <v/>
      </c>
      <c r="K510" t="str">
        <f>IF($A510&lt;&gt;"",'All Cases - Enter Cases'!K510,"")</f>
        <v/>
      </c>
      <c r="L510" t="str">
        <f>IF($A510&lt;&gt;"",'All Cases - Enter Cases'!L510,"")</f>
        <v/>
      </c>
      <c r="M510" t="str">
        <f>IF($A510&lt;&gt;"",'All Cases - Enter Cases'!M510,"")</f>
        <v/>
      </c>
    </row>
    <row r="511" spans="1:13" x14ac:dyDescent="0.35">
      <c r="A511" t="str">
        <f>IF('All Cases - Enter Cases'!$F511="Balochistan",'All Cases - Enter Cases'!A511,"")</f>
        <v/>
      </c>
      <c r="B511" t="str">
        <f>IF($A511&lt;&gt;"",'All Cases - Enter Cases'!B511,"")</f>
        <v/>
      </c>
      <c r="C511" t="str">
        <f>IF($A511&lt;&gt;"",'All Cases - Enter Cases'!C511,"")</f>
        <v/>
      </c>
      <c r="D511" t="str">
        <f>IF($A511&lt;&gt;"",'All Cases - Enter Cases'!D511,"")</f>
        <v/>
      </c>
      <c r="E511" t="str">
        <f>IF($A511&lt;&gt;"",'All Cases - Enter Cases'!E511,"")</f>
        <v/>
      </c>
      <c r="F511" t="str">
        <f>IF($A511&lt;&gt;"",'All Cases - Enter Cases'!F511,"")</f>
        <v/>
      </c>
      <c r="G511" t="str">
        <f>IF($A511&lt;&gt;"",'All Cases - Enter Cases'!G511,"")</f>
        <v/>
      </c>
      <c r="H511" t="str">
        <f>IF($A511&lt;&gt;"",'All Cases - Enter Cases'!H511,"")</f>
        <v/>
      </c>
      <c r="I511" t="str">
        <f>IF($A511&lt;&gt;"",'All Cases - Enter Cases'!I511,"")</f>
        <v/>
      </c>
      <c r="J511" t="str">
        <f>IF($A511&lt;&gt;"",'All Cases - Enter Cases'!J511,"")</f>
        <v/>
      </c>
      <c r="K511" t="str">
        <f>IF($A511&lt;&gt;"",'All Cases - Enter Cases'!K511,"")</f>
        <v/>
      </c>
      <c r="L511" t="str">
        <f>IF($A511&lt;&gt;"",'All Cases - Enter Cases'!L511,"")</f>
        <v/>
      </c>
      <c r="M511" t="str">
        <f>IF($A511&lt;&gt;"",'All Cases - Enter Cases'!M511,"")</f>
        <v/>
      </c>
    </row>
    <row r="512" spans="1:13" x14ac:dyDescent="0.35">
      <c r="A512" t="str">
        <f>IF('All Cases - Enter Cases'!$F512="Balochistan",'All Cases - Enter Cases'!A512,"")</f>
        <v/>
      </c>
      <c r="B512" t="str">
        <f>IF($A512&lt;&gt;"",'All Cases - Enter Cases'!B512,"")</f>
        <v/>
      </c>
      <c r="C512" t="str">
        <f>IF($A512&lt;&gt;"",'All Cases - Enter Cases'!C512,"")</f>
        <v/>
      </c>
      <c r="D512" t="str">
        <f>IF($A512&lt;&gt;"",'All Cases - Enter Cases'!D512,"")</f>
        <v/>
      </c>
      <c r="E512" t="str">
        <f>IF($A512&lt;&gt;"",'All Cases - Enter Cases'!E512,"")</f>
        <v/>
      </c>
      <c r="F512" t="str">
        <f>IF($A512&lt;&gt;"",'All Cases - Enter Cases'!F512,"")</f>
        <v/>
      </c>
      <c r="G512" t="str">
        <f>IF($A512&lt;&gt;"",'All Cases - Enter Cases'!G512,"")</f>
        <v/>
      </c>
      <c r="H512" t="str">
        <f>IF($A512&lt;&gt;"",'All Cases - Enter Cases'!H512,"")</f>
        <v/>
      </c>
      <c r="I512" t="str">
        <f>IF($A512&lt;&gt;"",'All Cases - Enter Cases'!I512,"")</f>
        <v/>
      </c>
      <c r="J512" t="str">
        <f>IF($A512&lt;&gt;"",'All Cases - Enter Cases'!J512,"")</f>
        <v/>
      </c>
      <c r="K512" t="str">
        <f>IF($A512&lt;&gt;"",'All Cases - Enter Cases'!K512,"")</f>
        <v/>
      </c>
      <c r="L512" t="str">
        <f>IF($A512&lt;&gt;"",'All Cases - Enter Cases'!L512,"")</f>
        <v/>
      </c>
      <c r="M512" t="str">
        <f>IF($A512&lt;&gt;"",'All Cases - Enter Cases'!M512,"")</f>
        <v/>
      </c>
    </row>
    <row r="513" spans="1:13" x14ac:dyDescent="0.35">
      <c r="A513" t="str">
        <f>IF('All Cases - Enter Cases'!$F513="Balochistan",'All Cases - Enter Cases'!A513,"")</f>
        <v/>
      </c>
      <c r="B513" t="str">
        <f>IF($A513&lt;&gt;"",'All Cases - Enter Cases'!B513,"")</f>
        <v/>
      </c>
      <c r="C513" t="str">
        <f>IF($A513&lt;&gt;"",'All Cases - Enter Cases'!C513,"")</f>
        <v/>
      </c>
      <c r="D513" t="str">
        <f>IF($A513&lt;&gt;"",'All Cases - Enter Cases'!D513,"")</f>
        <v/>
      </c>
      <c r="E513" t="str">
        <f>IF($A513&lt;&gt;"",'All Cases - Enter Cases'!E513,"")</f>
        <v/>
      </c>
      <c r="F513" t="str">
        <f>IF($A513&lt;&gt;"",'All Cases - Enter Cases'!F513,"")</f>
        <v/>
      </c>
      <c r="G513" t="str">
        <f>IF($A513&lt;&gt;"",'All Cases - Enter Cases'!G513,"")</f>
        <v/>
      </c>
      <c r="H513" t="str">
        <f>IF($A513&lt;&gt;"",'All Cases - Enter Cases'!H513,"")</f>
        <v/>
      </c>
      <c r="I513" t="str">
        <f>IF($A513&lt;&gt;"",'All Cases - Enter Cases'!I513,"")</f>
        <v/>
      </c>
      <c r="J513" t="str">
        <f>IF($A513&lt;&gt;"",'All Cases - Enter Cases'!J513,"")</f>
        <v/>
      </c>
      <c r="K513" t="str">
        <f>IF($A513&lt;&gt;"",'All Cases - Enter Cases'!K513,"")</f>
        <v/>
      </c>
      <c r="L513" t="str">
        <f>IF($A513&lt;&gt;"",'All Cases - Enter Cases'!L513,"")</f>
        <v/>
      </c>
      <c r="M513" t="str">
        <f>IF($A513&lt;&gt;"",'All Cases - Enter Cases'!M513,"")</f>
        <v/>
      </c>
    </row>
    <row r="514" spans="1:13" x14ac:dyDescent="0.35">
      <c r="A514" t="str">
        <f>IF('All Cases - Enter Cases'!$F514="Balochistan",'All Cases - Enter Cases'!A514,"")</f>
        <v/>
      </c>
      <c r="B514" t="str">
        <f>IF($A514&lt;&gt;"",'All Cases - Enter Cases'!B514,"")</f>
        <v/>
      </c>
      <c r="C514" t="str">
        <f>IF($A514&lt;&gt;"",'All Cases - Enter Cases'!C514,"")</f>
        <v/>
      </c>
      <c r="D514" t="str">
        <f>IF($A514&lt;&gt;"",'All Cases - Enter Cases'!D514,"")</f>
        <v/>
      </c>
      <c r="E514" t="str">
        <f>IF($A514&lt;&gt;"",'All Cases - Enter Cases'!E514,"")</f>
        <v/>
      </c>
      <c r="F514" t="str">
        <f>IF($A514&lt;&gt;"",'All Cases - Enter Cases'!F514,"")</f>
        <v/>
      </c>
      <c r="G514" t="str">
        <f>IF($A514&lt;&gt;"",'All Cases - Enter Cases'!G514,"")</f>
        <v/>
      </c>
      <c r="H514" t="str">
        <f>IF($A514&lt;&gt;"",'All Cases - Enter Cases'!H514,"")</f>
        <v/>
      </c>
      <c r="I514" t="str">
        <f>IF($A514&lt;&gt;"",'All Cases - Enter Cases'!I514,"")</f>
        <v/>
      </c>
      <c r="J514" t="str">
        <f>IF($A514&lt;&gt;"",'All Cases - Enter Cases'!J514,"")</f>
        <v/>
      </c>
      <c r="K514" t="str">
        <f>IF($A514&lt;&gt;"",'All Cases - Enter Cases'!K514,"")</f>
        <v/>
      </c>
      <c r="L514" t="str">
        <f>IF($A514&lt;&gt;"",'All Cases - Enter Cases'!L514,"")</f>
        <v/>
      </c>
      <c r="M514" t="str">
        <f>IF($A514&lt;&gt;"",'All Cases - Enter Cases'!M514,"")</f>
        <v/>
      </c>
    </row>
    <row r="515" spans="1:13" x14ac:dyDescent="0.35">
      <c r="A515" t="str">
        <f>IF('All Cases - Enter Cases'!$F515="Balochistan",'All Cases - Enter Cases'!A515,"")</f>
        <v/>
      </c>
      <c r="B515" t="str">
        <f>IF($A515&lt;&gt;"",'All Cases - Enter Cases'!B515,"")</f>
        <v/>
      </c>
      <c r="C515" t="str">
        <f>IF($A515&lt;&gt;"",'All Cases - Enter Cases'!C515,"")</f>
        <v/>
      </c>
      <c r="D515" t="str">
        <f>IF($A515&lt;&gt;"",'All Cases - Enter Cases'!D515,"")</f>
        <v/>
      </c>
      <c r="E515" t="str">
        <f>IF($A515&lt;&gt;"",'All Cases - Enter Cases'!E515,"")</f>
        <v/>
      </c>
      <c r="F515" t="str">
        <f>IF($A515&lt;&gt;"",'All Cases - Enter Cases'!F515,"")</f>
        <v/>
      </c>
      <c r="G515" t="str">
        <f>IF($A515&lt;&gt;"",'All Cases - Enter Cases'!G515,"")</f>
        <v/>
      </c>
      <c r="H515" t="str">
        <f>IF($A515&lt;&gt;"",'All Cases - Enter Cases'!H515,"")</f>
        <v/>
      </c>
      <c r="I515" t="str">
        <f>IF($A515&lt;&gt;"",'All Cases - Enter Cases'!I515,"")</f>
        <v/>
      </c>
      <c r="J515" t="str">
        <f>IF($A515&lt;&gt;"",'All Cases - Enter Cases'!J515,"")</f>
        <v/>
      </c>
      <c r="K515" t="str">
        <f>IF($A515&lt;&gt;"",'All Cases - Enter Cases'!K515,"")</f>
        <v/>
      </c>
      <c r="L515" t="str">
        <f>IF($A515&lt;&gt;"",'All Cases - Enter Cases'!L515,"")</f>
        <v/>
      </c>
      <c r="M515" t="str">
        <f>IF($A515&lt;&gt;"",'All Cases - Enter Cases'!M515,"")</f>
        <v/>
      </c>
    </row>
    <row r="516" spans="1:13" x14ac:dyDescent="0.35">
      <c r="A516" t="str">
        <f>IF('All Cases - Enter Cases'!$F516="Balochistan",'All Cases - Enter Cases'!A516,"")</f>
        <v/>
      </c>
      <c r="B516" t="str">
        <f>IF($A516&lt;&gt;"",'All Cases - Enter Cases'!B516,"")</f>
        <v/>
      </c>
      <c r="C516" t="str">
        <f>IF($A516&lt;&gt;"",'All Cases - Enter Cases'!C516,"")</f>
        <v/>
      </c>
      <c r="D516" t="str">
        <f>IF($A516&lt;&gt;"",'All Cases - Enter Cases'!D516,"")</f>
        <v/>
      </c>
      <c r="E516" t="str">
        <f>IF($A516&lt;&gt;"",'All Cases - Enter Cases'!E516,"")</f>
        <v/>
      </c>
      <c r="F516" t="str">
        <f>IF($A516&lt;&gt;"",'All Cases - Enter Cases'!F516,"")</f>
        <v/>
      </c>
      <c r="G516" t="str">
        <f>IF($A516&lt;&gt;"",'All Cases - Enter Cases'!G516,"")</f>
        <v/>
      </c>
      <c r="H516" t="str">
        <f>IF($A516&lt;&gt;"",'All Cases - Enter Cases'!H516,"")</f>
        <v/>
      </c>
      <c r="I516" t="str">
        <f>IF($A516&lt;&gt;"",'All Cases - Enter Cases'!I516,"")</f>
        <v/>
      </c>
      <c r="J516" t="str">
        <f>IF($A516&lt;&gt;"",'All Cases - Enter Cases'!J516,"")</f>
        <v/>
      </c>
      <c r="K516" t="str">
        <f>IF($A516&lt;&gt;"",'All Cases - Enter Cases'!K516,"")</f>
        <v/>
      </c>
      <c r="L516" t="str">
        <f>IF($A516&lt;&gt;"",'All Cases - Enter Cases'!L516,"")</f>
        <v/>
      </c>
      <c r="M516" t="str">
        <f>IF($A516&lt;&gt;"",'All Cases - Enter Cases'!M516,"")</f>
        <v/>
      </c>
    </row>
    <row r="517" spans="1:13" x14ac:dyDescent="0.35">
      <c r="A517" t="str">
        <f>IF('All Cases - Enter Cases'!$F517="Balochistan",'All Cases - Enter Cases'!A517,"")</f>
        <v/>
      </c>
      <c r="B517" t="str">
        <f>IF($A517&lt;&gt;"",'All Cases - Enter Cases'!B517,"")</f>
        <v/>
      </c>
      <c r="C517" t="str">
        <f>IF($A517&lt;&gt;"",'All Cases - Enter Cases'!C517,"")</f>
        <v/>
      </c>
      <c r="D517" t="str">
        <f>IF($A517&lt;&gt;"",'All Cases - Enter Cases'!D517,"")</f>
        <v/>
      </c>
      <c r="E517" t="str">
        <f>IF($A517&lt;&gt;"",'All Cases - Enter Cases'!E517,"")</f>
        <v/>
      </c>
      <c r="F517" t="str">
        <f>IF($A517&lt;&gt;"",'All Cases - Enter Cases'!F517,"")</f>
        <v/>
      </c>
      <c r="G517" t="str">
        <f>IF($A517&lt;&gt;"",'All Cases - Enter Cases'!G517,"")</f>
        <v/>
      </c>
      <c r="H517" t="str">
        <f>IF($A517&lt;&gt;"",'All Cases - Enter Cases'!H517,"")</f>
        <v/>
      </c>
      <c r="I517" t="str">
        <f>IF($A517&lt;&gt;"",'All Cases - Enter Cases'!I517,"")</f>
        <v/>
      </c>
      <c r="J517" t="str">
        <f>IF($A517&lt;&gt;"",'All Cases - Enter Cases'!J517,"")</f>
        <v/>
      </c>
      <c r="K517" t="str">
        <f>IF($A517&lt;&gt;"",'All Cases - Enter Cases'!K517,"")</f>
        <v/>
      </c>
      <c r="L517" t="str">
        <f>IF($A517&lt;&gt;"",'All Cases - Enter Cases'!L517,"")</f>
        <v/>
      </c>
      <c r="M517" t="str">
        <f>IF($A517&lt;&gt;"",'All Cases - Enter Cases'!M517,"")</f>
        <v/>
      </c>
    </row>
    <row r="518" spans="1:13" x14ac:dyDescent="0.35">
      <c r="A518" t="str">
        <f>IF('All Cases - Enter Cases'!$F518="Balochistan",'All Cases - Enter Cases'!A518,"")</f>
        <v/>
      </c>
      <c r="B518" t="str">
        <f>IF($A518&lt;&gt;"",'All Cases - Enter Cases'!B518,"")</f>
        <v/>
      </c>
      <c r="C518" t="str">
        <f>IF($A518&lt;&gt;"",'All Cases - Enter Cases'!C518,"")</f>
        <v/>
      </c>
      <c r="D518" t="str">
        <f>IF($A518&lt;&gt;"",'All Cases - Enter Cases'!D518,"")</f>
        <v/>
      </c>
      <c r="E518" t="str">
        <f>IF($A518&lt;&gt;"",'All Cases - Enter Cases'!E518,"")</f>
        <v/>
      </c>
      <c r="F518" t="str">
        <f>IF($A518&lt;&gt;"",'All Cases - Enter Cases'!F518,"")</f>
        <v/>
      </c>
      <c r="G518" t="str">
        <f>IF($A518&lt;&gt;"",'All Cases - Enter Cases'!G518,"")</f>
        <v/>
      </c>
      <c r="H518" t="str">
        <f>IF($A518&lt;&gt;"",'All Cases - Enter Cases'!H518,"")</f>
        <v/>
      </c>
      <c r="I518" t="str">
        <f>IF($A518&lt;&gt;"",'All Cases - Enter Cases'!I518,"")</f>
        <v/>
      </c>
      <c r="J518" t="str">
        <f>IF($A518&lt;&gt;"",'All Cases - Enter Cases'!J518,"")</f>
        <v/>
      </c>
      <c r="K518" t="str">
        <f>IF($A518&lt;&gt;"",'All Cases - Enter Cases'!K518,"")</f>
        <v/>
      </c>
      <c r="L518" t="str">
        <f>IF($A518&lt;&gt;"",'All Cases - Enter Cases'!L518,"")</f>
        <v/>
      </c>
      <c r="M518" t="str">
        <f>IF($A518&lt;&gt;"",'All Cases - Enter Cases'!M518,"")</f>
        <v/>
      </c>
    </row>
    <row r="519" spans="1:13" x14ac:dyDescent="0.35">
      <c r="A519" t="str">
        <f>IF('All Cases - Enter Cases'!$F519="Balochistan",'All Cases - Enter Cases'!A519,"")</f>
        <v/>
      </c>
      <c r="B519" t="str">
        <f>IF($A519&lt;&gt;"",'All Cases - Enter Cases'!B519,"")</f>
        <v/>
      </c>
      <c r="C519" t="str">
        <f>IF($A519&lt;&gt;"",'All Cases - Enter Cases'!C519,"")</f>
        <v/>
      </c>
      <c r="D519" t="str">
        <f>IF($A519&lt;&gt;"",'All Cases - Enter Cases'!D519,"")</f>
        <v/>
      </c>
      <c r="E519" t="str">
        <f>IF($A519&lt;&gt;"",'All Cases - Enter Cases'!E519,"")</f>
        <v/>
      </c>
      <c r="F519" t="str">
        <f>IF($A519&lt;&gt;"",'All Cases - Enter Cases'!F519,"")</f>
        <v/>
      </c>
      <c r="G519" t="str">
        <f>IF($A519&lt;&gt;"",'All Cases - Enter Cases'!G519,"")</f>
        <v/>
      </c>
      <c r="H519" t="str">
        <f>IF($A519&lt;&gt;"",'All Cases - Enter Cases'!H519,"")</f>
        <v/>
      </c>
      <c r="I519" t="str">
        <f>IF($A519&lt;&gt;"",'All Cases - Enter Cases'!I519,"")</f>
        <v/>
      </c>
      <c r="J519" t="str">
        <f>IF($A519&lt;&gt;"",'All Cases - Enter Cases'!J519,"")</f>
        <v/>
      </c>
      <c r="K519" t="str">
        <f>IF($A519&lt;&gt;"",'All Cases - Enter Cases'!K519,"")</f>
        <v/>
      </c>
      <c r="L519" t="str">
        <f>IF($A519&lt;&gt;"",'All Cases - Enter Cases'!L519,"")</f>
        <v/>
      </c>
      <c r="M519" t="str">
        <f>IF($A519&lt;&gt;"",'All Cases - Enter Cases'!M519,"")</f>
        <v/>
      </c>
    </row>
    <row r="520" spans="1:13" x14ac:dyDescent="0.35">
      <c r="A520" t="str">
        <f>IF('All Cases - Enter Cases'!$F520="Balochistan",'All Cases - Enter Cases'!A520,"")</f>
        <v/>
      </c>
      <c r="B520" t="str">
        <f>IF($A520&lt;&gt;"",'All Cases - Enter Cases'!B520,"")</f>
        <v/>
      </c>
      <c r="C520" t="str">
        <f>IF($A520&lt;&gt;"",'All Cases - Enter Cases'!C520,"")</f>
        <v/>
      </c>
      <c r="D520" t="str">
        <f>IF($A520&lt;&gt;"",'All Cases - Enter Cases'!D520,"")</f>
        <v/>
      </c>
      <c r="E520" t="str">
        <f>IF($A520&lt;&gt;"",'All Cases - Enter Cases'!E520,"")</f>
        <v/>
      </c>
      <c r="F520" t="str">
        <f>IF($A520&lt;&gt;"",'All Cases - Enter Cases'!F520,"")</f>
        <v/>
      </c>
      <c r="G520" t="str">
        <f>IF($A520&lt;&gt;"",'All Cases - Enter Cases'!G520,"")</f>
        <v/>
      </c>
      <c r="H520" t="str">
        <f>IF($A520&lt;&gt;"",'All Cases - Enter Cases'!H520,"")</f>
        <v/>
      </c>
      <c r="I520" t="str">
        <f>IF($A520&lt;&gt;"",'All Cases - Enter Cases'!I520,"")</f>
        <v/>
      </c>
      <c r="J520" t="str">
        <f>IF($A520&lt;&gt;"",'All Cases - Enter Cases'!J520,"")</f>
        <v/>
      </c>
      <c r="K520" t="str">
        <f>IF($A520&lt;&gt;"",'All Cases - Enter Cases'!K520,"")</f>
        <v/>
      </c>
      <c r="L520" t="str">
        <f>IF($A520&lt;&gt;"",'All Cases - Enter Cases'!L520,"")</f>
        <v/>
      </c>
      <c r="M520" t="str">
        <f>IF($A520&lt;&gt;"",'All Cases - Enter Cases'!M520,"")</f>
        <v/>
      </c>
    </row>
    <row r="521" spans="1:13" x14ac:dyDescent="0.35">
      <c r="A521" t="str">
        <f>IF('All Cases - Enter Cases'!$F521="Balochistan",'All Cases - Enter Cases'!A521,"")</f>
        <v/>
      </c>
      <c r="B521" t="str">
        <f>IF($A521&lt;&gt;"",'All Cases - Enter Cases'!B521,"")</f>
        <v/>
      </c>
      <c r="C521" t="str">
        <f>IF($A521&lt;&gt;"",'All Cases - Enter Cases'!C521,"")</f>
        <v/>
      </c>
      <c r="D521" t="str">
        <f>IF($A521&lt;&gt;"",'All Cases - Enter Cases'!D521,"")</f>
        <v/>
      </c>
      <c r="E521" t="str">
        <f>IF($A521&lt;&gt;"",'All Cases - Enter Cases'!E521,"")</f>
        <v/>
      </c>
      <c r="F521" t="str">
        <f>IF($A521&lt;&gt;"",'All Cases - Enter Cases'!F521,"")</f>
        <v/>
      </c>
      <c r="G521" t="str">
        <f>IF($A521&lt;&gt;"",'All Cases - Enter Cases'!G521,"")</f>
        <v/>
      </c>
      <c r="H521" t="str">
        <f>IF($A521&lt;&gt;"",'All Cases - Enter Cases'!H521,"")</f>
        <v/>
      </c>
      <c r="I521" t="str">
        <f>IF($A521&lt;&gt;"",'All Cases - Enter Cases'!I521,"")</f>
        <v/>
      </c>
      <c r="J521" t="str">
        <f>IF($A521&lt;&gt;"",'All Cases - Enter Cases'!J521,"")</f>
        <v/>
      </c>
      <c r="K521" t="str">
        <f>IF($A521&lt;&gt;"",'All Cases - Enter Cases'!K521,"")</f>
        <v/>
      </c>
      <c r="L521" t="str">
        <f>IF($A521&lt;&gt;"",'All Cases - Enter Cases'!L521,"")</f>
        <v/>
      </c>
      <c r="M521" t="str">
        <f>IF($A521&lt;&gt;"",'All Cases - Enter Cases'!M521,"")</f>
        <v/>
      </c>
    </row>
    <row r="522" spans="1:13" x14ac:dyDescent="0.35">
      <c r="A522" t="str">
        <f>IF('All Cases - Enter Cases'!$F522="Balochistan",'All Cases - Enter Cases'!A522,"")</f>
        <v/>
      </c>
      <c r="B522" t="str">
        <f>IF($A522&lt;&gt;"",'All Cases - Enter Cases'!B522,"")</f>
        <v/>
      </c>
      <c r="C522" t="str">
        <f>IF($A522&lt;&gt;"",'All Cases - Enter Cases'!C522,"")</f>
        <v/>
      </c>
      <c r="D522" t="str">
        <f>IF($A522&lt;&gt;"",'All Cases - Enter Cases'!D522,"")</f>
        <v/>
      </c>
      <c r="E522" t="str">
        <f>IF($A522&lt;&gt;"",'All Cases - Enter Cases'!E522,"")</f>
        <v/>
      </c>
      <c r="F522" t="str">
        <f>IF($A522&lt;&gt;"",'All Cases - Enter Cases'!F522,"")</f>
        <v/>
      </c>
      <c r="G522" t="str">
        <f>IF($A522&lt;&gt;"",'All Cases - Enter Cases'!G522,"")</f>
        <v/>
      </c>
      <c r="H522" t="str">
        <f>IF($A522&lt;&gt;"",'All Cases - Enter Cases'!H522,"")</f>
        <v/>
      </c>
      <c r="I522" t="str">
        <f>IF($A522&lt;&gt;"",'All Cases - Enter Cases'!I522,"")</f>
        <v/>
      </c>
      <c r="J522" t="str">
        <f>IF($A522&lt;&gt;"",'All Cases - Enter Cases'!J522,"")</f>
        <v/>
      </c>
      <c r="K522" t="str">
        <f>IF($A522&lt;&gt;"",'All Cases - Enter Cases'!K522,"")</f>
        <v/>
      </c>
      <c r="L522" t="str">
        <f>IF($A522&lt;&gt;"",'All Cases - Enter Cases'!L522,"")</f>
        <v/>
      </c>
      <c r="M522" t="str">
        <f>IF($A522&lt;&gt;"",'All Cases - Enter Cases'!M522,"")</f>
        <v/>
      </c>
    </row>
    <row r="523" spans="1:13" x14ac:dyDescent="0.35">
      <c r="A523" t="str">
        <f>IF('All Cases - Enter Cases'!$F523="Balochistan",'All Cases - Enter Cases'!A523,"")</f>
        <v/>
      </c>
      <c r="B523" t="str">
        <f>IF($A523&lt;&gt;"",'All Cases - Enter Cases'!B523,"")</f>
        <v/>
      </c>
      <c r="C523" t="str">
        <f>IF($A523&lt;&gt;"",'All Cases - Enter Cases'!C523,"")</f>
        <v/>
      </c>
      <c r="D523" t="str">
        <f>IF($A523&lt;&gt;"",'All Cases - Enter Cases'!D523,"")</f>
        <v/>
      </c>
      <c r="E523" t="str">
        <f>IF($A523&lt;&gt;"",'All Cases - Enter Cases'!E523,"")</f>
        <v/>
      </c>
      <c r="F523" t="str">
        <f>IF($A523&lt;&gt;"",'All Cases - Enter Cases'!F523,"")</f>
        <v/>
      </c>
      <c r="G523" t="str">
        <f>IF($A523&lt;&gt;"",'All Cases - Enter Cases'!G523,"")</f>
        <v/>
      </c>
      <c r="H523" t="str">
        <f>IF($A523&lt;&gt;"",'All Cases - Enter Cases'!H523,"")</f>
        <v/>
      </c>
      <c r="I523" t="str">
        <f>IF($A523&lt;&gt;"",'All Cases - Enter Cases'!I523,"")</f>
        <v/>
      </c>
      <c r="J523" t="str">
        <f>IF($A523&lt;&gt;"",'All Cases - Enter Cases'!J523,"")</f>
        <v/>
      </c>
      <c r="K523" t="str">
        <f>IF($A523&lt;&gt;"",'All Cases - Enter Cases'!K523,"")</f>
        <v/>
      </c>
      <c r="L523" t="str">
        <f>IF($A523&lt;&gt;"",'All Cases - Enter Cases'!L523,"")</f>
        <v/>
      </c>
      <c r="M523" t="str">
        <f>IF($A523&lt;&gt;"",'All Cases - Enter Cases'!M523,"")</f>
        <v/>
      </c>
    </row>
    <row r="524" spans="1:13" x14ac:dyDescent="0.35">
      <c r="A524" t="str">
        <f>IF('All Cases - Enter Cases'!$F524="Balochistan",'All Cases - Enter Cases'!A524,"")</f>
        <v/>
      </c>
      <c r="B524" t="str">
        <f>IF($A524&lt;&gt;"",'All Cases - Enter Cases'!B524,"")</f>
        <v/>
      </c>
      <c r="C524" t="str">
        <f>IF($A524&lt;&gt;"",'All Cases - Enter Cases'!C524,"")</f>
        <v/>
      </c>
      <c r="D524" t="str">
        <f>IF($A524&lt;&gt;"",'All Cases - Enter Cases'!D524,"")</f>
        <v/>
      </c>
      <c r="E524" t="str">
        <f>IF($A524&lt;&gt;"",'All Cases - Enter Cases'!E524,"")</f>
        <v/>
      </c>
      <c r="F524" t="str">
        <f>IF($A524&lt;&gt;"",'All Cases - Enter Cases'!F524,"")</f>
        <v/>
      </c>
      <c r="G524" t="str">
        <f>IF($A524&lt;&gt;"",'All Cases - Enter Cases'!G524,"")</f>
        <v/>
      </c>
      <c r="H524" t="str">
        <f>IF($A524&lt;&gt;"",'All Cases - Enter Cases'!H524,"")</f>
        <v/>
      </c>
      <c r="I524" t="str">
        <f>IF($A524&lt;&gt;"",'All Cases - Enter Cases'!I524,"")</f>
        <v/>
      </c>
      <c r="J524" t="str">
        <f>IF($A524&lt;&gt;"",'All Cases - Enter Cases'!J524,"")</f>
        <v/>
      </c>
      <c r="K524" t="str">
        <f>IF($A524&lt;&gt;"",'All Cases - Enter Cases'!K524,"")</f>
        <v/>
      </c>
      <c r="L524" t="str">
        <f>IF($A524&lt;&gt;"",'All Cases - Enter Cases'!L524,"")</f>
        <v/>
      </c>
      <c r="M524" t="str">
        <f>IF($A524&lt;&gt;"",'All Cases - Enter Cases'!M524,"")</f>
        <v/>
      </c>
    </row>
    <row r="525" spans="1:13" x14ac:dyDescent="0.35">
      <c r="A525" t="str">
        <f>IF('All Cases - Enter Cases'!$F525="Balochistan",'All Cases - Enter Cases'!A525,"")</f>
        <v/>
      </c>
      <c r="B525" t="str">
        <f>IF($A525&lt;&gt;"",'All Cases - Enter Cases'!B525,"")</f>
        <v/>
      </c>
      <c r="C525" t="str">
        <f>IF($A525&lt;&gt;"",'All Cases - Enter Cases'!C525,"")</f>
        <v/>
      </c>
      <c r="D525" t="str">
        <f>IF($A525&lt;&gt;"",'All Cases - Enter Cases'!D525,"")</f>
        <v/>
      </c>
      <c r="E525" t="str">
        <f>IF($A525&lt;&gt;"",'All Cases - Enter Cases'!E525,"")</f>
        <v/>
      </c>
      <c r="F525" t="str">
        <f>IF($A525&lt;&gt;"",'All Cases - Enter Cases'!F525,"")</f>
        <v/>
      </c>
      <c r="G525" t="str">
        <f>IF($A525&lt;&gt;"",'All Cases - Enter Cases'!G525,"")</f>
        <v/>
      </c>
      <c r="H525" t="str">
        <f>IF($A525&lt;&gt;"",'All Cases - Enter Cases'!H525,"")</f>
        <v/>
      </c>
      <c r="I525" t="str">
        <f>IF($A525&lt;&gt;"",'All Cases - Enter Cases'!I525,"")</f>
        <v/>
      </c>
      <c r="J525" t="str">
        <f>IF($A525&lt;&gt;"",'All Cases - Enter Cases'!J525,"")</f>
        <v/>
      </c>
      <c r="K525" t="str">
        <f>IF($A525&lt;&gt;"",'All Cases - Enter Cases'!K525,"")</f>
        <v/>
      </c>
      <c r="L525" t="str">
        <f>IF($A525&lt;&gt;"",'All Cases - Enter Cases'!L525,"")</f>
        <v/>
      </c>
      <c r="M525" t="str">
        <f>IF($A525&lt;&gt;"",'All Cases - Enter Cases'!M525,"")</f>
        <v/>
      </c>
    </row>
    <row r="526" spans="1:13" x14ac:dyDescent="0.35">
      <c r="A526" t="str">
        <f>IF('All Cases - Enter Cases'!$F526="Balochistan",'All Cases - Enter Cases'!A526,"")</f>
        <v/>
      </c>
      <c r="B526" t="str">
        <f>IF($A526&lt;&gt;"",'All Cases - Enter Cases'!B526,"")</f>
        <v/>
      </c>
      <c r="C526" t="str">
        <f>IF($A526&lt;&gt;"",'All Cases - Enter Cases'!C526,"")</f>
        <v/>
      </c>
      <c r="D526" t="str">
        <f>IF($A526&lt;&gt;"",'All Cases - Enter Cases'!D526,"")</f>
        <v/>
      </c>
      <c r="E526" t="str">
        <f>IF($A526&lt;&gt;"",'All Cases - Enter Cases'!E526,"")</f>
        <v/>
      </c>
      <c r="F526" t="str">
        <f>IF($A526&lt;&gt;"",'All Cases - Enter Cases'!F526,"")</f>
        <v/>
      </c>
      <c r="G526" t="str">
        <f>IF($A526&lt;&gt;"",'All Cases - Enter Cases'!G526,"")</f>
        <v/>
      </c>
      <c r="H526" t="str">
        <f>IF($A526&lt;&gt;"",'All Cases - Enter Cases'!H526,"")</f>
        <v/>
      </c>
      <c r="I526" t="str">
        <f>IF($A526&lt;&gt;"",'All Cases - Enter Cases'!I526,"")</f>
        <v/>
      </c>
      <c r="J526" t="str">
        <f>IF($A526&lt;&gt;"",'All Cases - Enter Cases'!J526,"")</f>
        <v/>
      </c>
      <c r="K526" t="str">
        <f>IF($A526&lt;&gt;"",'All Cases - Enter Cases'!K526,"")</f>
        <v/>
      </c>
      <c r="L526" t="str">
        <f>IF($A526&lt;&gt;"",'All Cases - Enter Cases'!L526,"")</f>
        <v/>
      </c>
      <c r="M526" t="str">
        <f>IF($A526&lt;&gt;"",'All Cases - Enter Cases'!M526,"")</f>
        <v/>
      </c>
    </row>
    <row r="527" spans="1:13" x14ac:dyDescent="0.35">
      <c r="A527" t="str">
        <f>IF('All Cases - Enter Cases'!$F527="Balochistan",'All Cases - Enter Cases'!A527,"")</f>
        <v/>
      </c>
      <c r="B527" t="str">
        <f>IF($A527&lt;&gt;"",'All Cases - Enter Cases'!B527,"")</f>
        <v/>
      </c>
      <c r="C527" t="str">
        <f>IF($A527&lt;&gt;"",'All Cases - Enter Cases'!C527,"")</f>
        <v/>
      </c>
      <c r="D527" t="str">
        <f>IF($A527&lt;&gt;"",'All Cases - Enter Cases'!D527,"")</f>
        <v/>
      </c>
      <c r="E527" t="str">
        <f>IF($A527&lt;&gt;"",'All Cases - Enter Cases'!E527,"")</f>
        <v/>
      </c>
      <c r="F527" t="str">
        <f>IF($A527&lt;&gt;"",'All Cases - Enter Cases'!F527,"")</f>
        <v/>
      </c>
      <c r="G527" t="str">
        <f>IF($A527&lt;&gt;"",'All Cases - Enter Cases'!G527,"")</f>
        <v/>
      </c>
      <c r="H527" t="str">
        <f>IF($A527&lt;&gt;"",'All Cases - Enter Cases'!H527,"")</f>
        <v/>
      </c>
      <c r="I527" t="str">
        <f>IF($A527&lt;&gt;"",'All Cases - Enter Cases'!I527,"")</f>
        <v/>
      </c>
      <c r="J527" t="str">
        <f>IF($A527&lt;&gt;"",'All Cases - Enter Cases'!J527,"")</f>
        <v/>
      </c>
      <c r="K527" t="str">
        <f>IF($A527&lt;&gt;"",'All Cases - Enter Cases'!K527,"")</f>
        <v/>
      </c>
      <c r="L527" t="str">
        <f>IF($A527&lt;&gt;"",'All Cases - Enter Cases'!L527,"")</f>
        <v/>
      </c>
      <c r="M527" t="str">
        <f>IF($A527&lt;&gt;"",'All Cases - Enter Cases'!M527,"")</f>
        <v/>
      </c>
    </row>
    <row r="528" spans="1:13" x14ac:dyDescent="0.35">
      <c r="A528" t="str">
        <f>IF('All Cases - Enter Cases'!$F528="Balochistan",'All Cases - Enter Cases'!A528,"")</f>
        <v/>
      </c>
      <c r="B528" t="str">
        <f>IF($A528&lt;&gt;"",'All Cases - Enter Cases'!B528,"")</f>
        <v/>
      </c>
      <c r="C528" t="str">
        <f>IF($A528&lt;&gt;"",'All Cases - Enter Cases'!C528,"")</f>
        <v/>
      </c>
      <c r="D528" t="str">
        <f>IF($A528&lt;&gt;"",'All Cases - Enter Cases'!D528,"")</f>
        <v/>
      </c>
      <c r="E528" t="str">
        <f>IF($A528&lt;&gt;"",'All Cases - Enter Cases'!E528,"")</f>
        <v/>
      </c>
      <c r="F528" t="str">
        <f>IF($A528&lt;&gt;"",'All Cases - Enter Cases'!F528,"")</f>
        <v/>
      </c>
      <c r="G528" t="str">
        <f>IF($A528&lt;&gt;"",'All Cases - Enter Cases'!G528,"")</f>
        <v/>
      </c>
      <c r="H528" t="str">
        <f>IF($A528&lt;&gt;"",'All Cases - Enter Cases'!H528,"")</f>
        <v/>
      </c>
      <c r="I528" t="str">
        <f>IF($A528&lt;&gt;"",'All Cases - Enter Cases'!I528,"")</f>
        <v/>
      </c>
      <c r="J528" t="str">
        <f>IF($A528&lt;&gt;"",'All Cases - Enter Cases'!J528,"")</f>
        <v/>
      </c>
      <c r="K528" t="str">
        <f>IF($A528&lt;&gt;"",'All Cases - Enter Cases'!K528,"")</f>
        <v/>
      </c>
      <c r="L528" t="str">
        <f>IF($A528&lt;&gt;"",'All Cases - Enter Cases'!L528,"")</f>
        <v/>
      </c>
      <c r="M528" t="str">
        <f>IF($A528&lt;&gt;"",'All Cases - Enter Cases'!M528,"")</f>
        <v/>
      </c>
    </row>
    <row r="529" spans="1:13" x14ac:dyDescent="0.35">
      <c r="A529" t="str">
        <f>IF('All Cases - Enter Cases'!$F529="Balochistan",'All Cases - Enter Cases'!A529,"")</f>
        <v/>
      </c>
      <c r="B529" t="str">
        <f>IF($A529&lt;&gt;"",'All Cases - Enter Cases'!B529,"")</f>
        <v/>
      </c>
      <c r="C529" t="str">
        <f>IF($A529&lt;&gt;"",'All Cases - Enter Cases'!C529,"")</f>
        <v/>
      </c>
      <c r="D529" t="str">
        <f>IF($A529&lt;&gt;"",'All Cases - Enter Cases'!D529,"")</f>
        <v/>
      </c>
      <c r="E529" t="str">
        <f>IF($A529&lt;&gt;"",'All Cases - Enter Cases'!E529,"")</f>
        <v/>
      </c>
      <c r="F529" t="str">
        <f>IF($A529&lt;&gt;"",'All Cases - Enter Cases'!F529,"")</f>
        <v/>
      </c>
      <c r="G529" t="str">
        <f>IF($A529&lt;&gt;"",'All Cases - Enter Cases'!G529,"")</f>
        <v/>
      </c>
      <c r="H529" t="str">
        <f>IF($A529&lt;&gt;"",'All Cases - Enter Cases'!H529,"")</f>
        <v/>
      </c>
      <c r="I529" t="str">
        <f>IF($A529&lt;&gt;"",'All Cases - Enter Cases'!I529,"")</f>
        <v/>
      </c>
      <c r="J529" t="str">
        <f>IF($A529&lt;&gt;"",'All Cases - Enter Cases'!J529,"")</f>
        <v/>
      </c>
      <c r="K529" t="str">
        <f>IF($A529&lt;&gt;"",'All Cases - Enter Cases'!K529,"")</f>
        <v/>
      </c>
      <c r="L529" t="str">
        <f>IF($A529&lt;&gt;"",'All Cases - Enter Cases'!L529,"")</f>
        <v/>
      </c>
      <c r="M529" t="str">
        <f>IF($A529&lt;&gt;"",'All Cases - Enter Cases'!M529,"")</f>
        <v/>
      </c>
    </row>
    <row r="530" spans="1:13" x14ac:dyDescent="0.35">
      <c r="A530" t="str">
        <f>IF('All Cases - Enter Cases'!$F530="Balochistan",'All Cases - Enter Cases'!A530,"")</f>
        <v/>
      </c>
      <c r="B530" t="str">
        <f>IF($A530&lt;&gt;"",'All Cases - Enter Cases'!B530,"")</f>
        <v/>
      </c>
      <c r="C530" t="str">
        <f>IF($A530&lt;&gt;"",'All Cases - Enter Cases'!C530,"")</f>
        <v/>
      </c>
      <c r="D530" t="str">
        <f>IF($A530&lt;&gt;"",'All Cases - Enter Cases'!D530,"")</f>
        <v/>
      </c>
      <c r="E530" t="str">
        <f>IF($A530&lt;&gt;"",'All Cases - Enter Cases'!E530,"")</f>
        <v/>
      </c>
      <c r="F530" t="str">
        <f>IF($A530&lt;&gt;"",'All Cases - Enter Cases'!F530,"")</f>
        <v/>
      </c>
      <c r="G530" t="str">
        <f>IF($A530&lt;&gt;"",'All Cases - Enter Cases'!G530,"")</f>
        <v/>
      </c>
      <c r="H530" t="str">
        <f>IF($A530&lt;&gt;"",'All Cases - Enter Cases'!H530,"")</f>
        <v/>
      </c>
      <c r="I530" t="str">
        <f>IF($A530&lt;&gt;"",'All Cases - Enter Cases'!I530,"")</f>
        <v/>
      </c>
      <c r="J530" t="str">
        <f>IF($A530&lt;&gt;"",'All Cases - Enter Cases'!J530,"")</f>
        <v/>
      </c>
      <c r="K530" t="str">
        <f>IF($A530&lt;&gt;"",'All Cases - Enter Cases'!K530,"")</f>
        <v/>
      </c>
      <c r="L530" t="str">
        <f>IF($A530&lt;&gt;"",'All Cases - Enter Cases'!L530,"")</f>
        <v/>
      </c>
      <c r="M530" t="str">
        <f>IF($A530&lt;&gt;"",'All Cases - Enter Cases'!M530,"")</f>
        <v/>
      </c>
    </row>
    <row r="531" spans="1:13" x14ac:dyDescent="0.35">
      <c r="A531" t="str">
        <f>IF('All Cases - Enter Cases'!$F531="Balochistan",'All Cases - Enter Cases'!A531,"")</f>
        <v/>
      </c>
      <c r="B531" t="str">
        <f>IF($A531&lt;&gt;"",'All Cases - Enter Cases'!B531,"")</f>
        <v/>
      </c>
      <c r="C531" t="str">
        <f>IF($A531&lt;&gt;"",'All Cases - Enter Cases'!C531,"")</f>
        <v/>
      </c>
      <c r="D531" t="str">
        <f>IF($A531&lt;&gt;"",'All Cases - Enter Cases'!D531,"")</f>
        <v/>
      </c>
      <c r="E531" t="str">
        <f>IF($A531&lt;&gt;"",'All Cases - Enter Cases'!E531,"")</f>
        <v/>
      </c>
      <c r="F531" t="str">
        <f>IF($A531&lt;&gt;"",'All Cases - Enter Cases'!F531,"")</f>
        <v/>
      </c>
      <c r="G531" t="str">
        <f>IF($A531&lt;&gt;"",'All Cases - Enter Cases'!G531,"")</f>
        <v/>
      </c>
      <c r="H531" t="str">
        <f>IF($A531&lt;&gt;"",'All Cases - Enter Cases'!H531,"")</f>
        <v/>
      </c>
      <c r="I531" t="str">
        <f>IF($A531&lt;&gt;"",'All Cases - Enter Cases'!I531,"")</f>
        <v/>
      </c>
      <c r="J531" t="str">
        <f>IF($A531&lt;&gt;"",'All Cases - Enter Cases'!J531,"")</f>
        <v/>
      </c>
      <c r="K531" t="str">
        <f>IF($A531&lt;&gt;"",'All Cases - Enter Cases'!K531,"")</f>
        <v/>
      </c>
      <c r="L531" t="str">
        <f>IF($A531&lt;&gt;"",'All Cases - Enter Cases'!L531,"")</f>
        <v/>
      </c>
      <c r="M531" t="str">
        <f>IF($A531&lt;&gt;"",'All Cases - Enter Cases'!M531,"")</f>
        <v/>
      </c>
    </row>
    <row r="532" spans="1:13" x14ac:dyDescent="0.35">
      <c r="A532" t="str">
        <f>IF('All Cases - Enter Cases'!$F532="Balochistan",'All Cases - Enter Cases'!A532,"")</f>
        <v/>
      </c>
      <c r="B532" t="str">
        <f>IF($A532&lt;&gt;"",'All Cases - Enter Cases'!B532,"")</f>
        <v/>
      </c>
      <c r="C532" t="str">
        <f>IF($A532&lt;&gt;"",'All Cases - Enter Cases'!C532,"")</f>
        <v/>
      </c>
      <c r="D532" t="str">
        <f>IF($A532&lt;&gt;"",'All Cases - Enter Cases'!D532,"")</f>
        <v/>
      </c>
      <c r="E532" t="str">
        <f>IF($A532&lt;&gt;"",'All Cases - Enter Cases'!E532,"")</f>
        <v/>
      </c>
      <c r="F532" t="str">
        <f>IF($A532&lt;&gt;"",'All Cases - Enter Cases'!F532,"")</f>
        <v/>
      </c>
      <c r="G532" t="str">
        <f>IF($A532&lt;&gt;"",'All Cases - Enter Cases'!G532,"")</f>
        <v/>
      </c>
      <c r="H532" t="str">
        <f>IF($A532&lt;&gt;"",'All Cases - Enter Cases'!H532,"")</f>
        <v/>
      </c>
      <c r="I532" t="str">
        <f>IF($A532&lt;&gt;"",'All Cases - Enter Cases'!I532,"")</f>
        <v/>
      </c>
      <c r="J532" t="str">
        <f>IF($A532&lt;&gt;"",'All Cases - Enter Cases'!J532,"")</f>
        <v/>
      </c>
      <c r="K532" t="str">
        <f>IF($A532&lt;&gt;"",'All Cases - Enter Cases'!K532,"")</f>
        <v/>
      </c>
      <c r="L532" t="str">
        <f>IF($A532&lt;&gt;"",'All Cases - Enter Cases'!L532,"")</f>
        <v/>
      </c>
      <c r="M532" t="str">
        <f>IF($A532&lt;&gt;"",'All Cases - Enter Cases'!M532,"")</f>
        <v/>
      </c>
    </row>
    <row r="533" spans="1:13" x14ac:dyDescent="0.35">
      <c r="A533" t="str">
        <f>IF('All Cases - Enter Cases'!$F533="Balochistan",'All Cases - Enter Cases'!A533,"")</f>
        <v/>
      </c>
      <c r="B533" t="str">
        <f>IF($A533&lt;&gt;"",'All Cases - Enter Cases'!B533,"")</f>
        <v/>
      </c>
      <c r="C533" t="str">
        <f>IF($A533&lt;&gt;"",'All Cases - Enter Cases'!C533,"")</f>
        <v/>
      </c>
      <c r="D533" t="str">
        <f>IF($A533&lt;&gt;"",'All Cases - Enter Cases'!D533,"")</f>
        <v/>
      </c>
      <c r="E533" t="str">
        <f>IF($A533&lt;&gt;"",'All Cases - Enter Cases'!E533,"")</f>
        <v/>
      </c>
      <c r="F533" t="str">
        <f>IF($A533&lt;&gt;"",'All Cases - Enter Cases'!F533,"")</f>
        <v/>
      </c>
      <c r="G533" t="str">
        <f>IF($A533&lt;&gt;"",'All Cases - Enter Cases'!G533,"")</f>
        <v/>
      </c>
      <c r="H533" t="str">
        <f>IF($A533&lt;&gt;"",'All Cases - Enter Cases'!H533,"")</f>
        <v/>
      </c>
      <c r="I533" t="str">
        <f>IF($A533&lt;&gt;"",'All Cases - Enter Cases'!I533,"")</f>
        <v/>
      </c>
      <c r="J533" t="str">
        <f>IF($A533&lt;&gt;"",'All Cases - Enter Cases'!J533,"")</f>
        <v/>
      </c>
      <c r="K533" t="str">
        <f>IF($A533&lt;&gt;"",'All Cases - Enter Cases'!K533,"")</f>
        <v/>
      </c>
      <c r="L533" t="str">
        <f>IF($A533&lt;&gt;"",'All Cases - Enter Cases'!L533,"")</f>
        <v/>
      </c>
      <c r="M533" t="str">
        <f>IF($A533&lt;&gt;"",'All Cases - Enter Cases'!M533,"")</f>
        <v/>
      </c>
    </row>
    <row r="534" spans="1:13" x14ac:dyDescent="0.35">
      <c r="A534" t="str">
        <f>IF('All Cases - Enter Cases'!$F534="Balochistan",'All Cases - Enter Cases'!A534,"")</f>
        <v/>
      </c>
      <c r="B534" t="str">
        <f>IF($A534&lt;&gt;"",'All Cases - Enter Cases'!B534,"")</f>
        <v/>
      </c>
      <c r="C534" t="str">
        <f>IF($A534&lt;&gt;"",'All Cases - Enter Cases'!C534,"")</f>
        <v/>
      </c>
      <c r="D534" t="str">
        <f>IF($A534&lt;&gt;"",'All Cases - Enter Cases'!D534,"")</f>
        <v/>
      </c>
      <c r="E534" t="str">
        <f>IF($A534&lt;&gt;"",'All Cases - Enter Cases'!E534,"")</f>
        <v/>
      </c>
      <c r="F534" t="str">
        <f>IF($A534&lt;&gt;"",'All Cases - Enter Cases'!F534,"")</f>
        <v/>
      </c>
      <c r="G534" t="str">
        <f>IF($A534&lt;&gt;"",'All Cases - Enter Cases'!G534,"")</f>
        <v/>
      </c>
      <c r="H534" t="str">
        <f>IF($A534&lt;&gt;"",'All Cases - Enter Cases'!H534,"")</f>
        <v/>
      </c>
      <c r="I534" t="str">
        <f>IF($A534&lt;&gt;"",'All Cases - Enter Cases'!I534,"")</f>
        <v/>
      </c>
      <c r="J534" t="str">
        <f>IF($A534&lt;&gt;"",'All Cases - Enter Cases'!J534,"")</f>
        <v/>
      </c>
      <c r="K534" t="str">
        <f>IF($A534&lt;&gt;"",'All Cases - Enter Cases'!K534,"")</f>
        <v/>
      </c>
      <c r="L534" t="str">
        <f>IF($A534&lt;&gt;"",'All Cases - Enter Cases'!L534,"")</f>
        <v/>
      </c>
      <c r="M534" t="str">
        <f>IF($A534&lt;&gt;"",'All Cases - Enter Cases'!M534,"")</f>
        <v/>
      </c>
    </row>
    <row r="535" spans="1:13" x14ac:dyDescent="0.35">
      <c r="A535" t="str">
        <f>IF('All Cases - Enter Cases'!$F535="Balochistan",'All Cases - Enter Cases'!A535,"")</f>
        <v/>
      </c>
      <c r="B535" t="str">
        <f>IF($A535&lt;&gt;"",'All Cases - Enter Cases'!B535,"")</f>
        <v/>
      </c>
      <c r="C535" t="str">
        <f>IF($A535&lt;&gt;"",'All Cases - Enter Cases'!C535,"")</f>
        <v/>
      </c>
      <c r="D535" t="str">
        <f>IF($A535&lt;&gt;"",'All Cases - Enter Cases'!D535,"")</f>
        <v/>
      </c>
      <c r="E535" t="str">
        <f>IF($A535&lt;&gt;"",'All Cases - Enter Cases'!E535,"")</f>
        <v/>
      </c>
      <c r="F535" t="str">
        <f>IF($A535&lt;&gt;"",'All Cases - Enter Cases'!F535,"")</f>
        <v/>
      </c>
      <c r="G535" t="str">
        <f>IF($A535&lt;&gt;"",'All Cases - Enter Cases'!G535,"")</f>
        <v/>
      </c>
      <c r="H535" t="str">
        <f>IF($A535&lt;&gt;"",'All Cases - Enter Cases'!H535,"")</f>
        <v/>
      </c>
      <c r="I535" t="str">
        <f>IF($A535&lt;&gt;"",'All Cases - Enter Cases'!I535,"")</f>
        <v/>
      </c>
      <c r="J535" t="str">
        <f>IF($A535&lt;&gt;"",'All Cases - Enter Cases'!J535,"")</f>
        <v/>
      </c>
      <c r="K535" t="str">
        <f>IF($A535&lt;&gt;"",'All Cases - Enter Cases'!K535,"")</f>
        <v/>
      </c>
      <c r="L535" t="str">
        <f>IF($A535&lt;&gt;"",'All Cases - Enter Cases'!L535,"")</f>
        <v/>
      </c>
      <c r="M535" t="str">
        <f>IF($A535&lt;&gt;"",'All Cases - Enter Cases'!M535,"")</f>
        <v/>
      </c>
    </row>
    <row r="536" spans="1:13" x14ac:dyDescent="0.35">
      <c r="A536" t="str">
        <f>IF('All Cases - Enter Cases'!$F536="Balochistan",'All Cases - Enter Cases'!A536,"")</f>
        <v/>
      </c>
      <c r="B536" t="str">
        <f>IF($A536&lt;&gt;"",'All Cases - Enter Cases'!B536,"")</f>
        <v/>
      </c>
      <c r="C536" t="str">
        <f>IF($A536&lt;&gt;"",'All Cases - Enter Cases'!C536,"")</f>
        <v/>
      </c>
      <c r="D536" t="str">
        <f>IF($A536&lt;&gt;"",'All Cases - Enter Cases'!D536,"")</f>
        <v/>
      </c>
      <c r="E536" t="str">
        <f>IF($A536&lt;&gt;"",'All Cases - Enter Cases'!E536,"")</f>
        <v/>
      </c>
      <c r="F536" t="str">
        <f>IF($A536&lt;&gt;"",'All Cases - Enter Cases'!F536,"")</f>
        <v/>
      </c>
      <c r="G536" t="str">
        <f>IF($A536&lt;&gt;"",'All Cases - Enter Cases'!G536,"")</f>
        <v/>
      </c>
      <c r="H536" t="str">
        <f>IF($A536&lt;&gt;"",'All Cases - Enter Cases'!H536,"")</f>
        <v/>
      </c>
      <c r="I536" t="str">
        <f>IF($A536&lt;&gt;"",'All Cases - Enter Cases'!I536,"")</f>
        <v/>
      </c>
      <c r="J536" t="str">
        <f>IF($A536&lt;&gt;"",'All Cases - Enter Cases'!J536,"")</f>
        <v/>
      </c>
      <c r="K536" t="str">
        <f>IF($A536&lt;&gt;"",'All Cases - Enter Cases'!K536,"")</f>
        <v/>
      </c>
      <c r="L536" t="str">
        <f>IF($A536&lt;&gt;"",'All Cases - Enter Cases'!L536,"")</f>
        <v/>
      </c>
      <c r="M536" t="str">
        <f>IF($A536&lt;&gt;"",'All Cases - Enter Cases'!M536,"")</f>
        <v/>
      </c>
    </row>
    <row r="537" spans="1:13" x14ac:dyDescent="0.35">
      <c r="A537" t="str">
        <f>IF('All Cases - Enter Cases'!$F537="Balochistan",'All Cases - Enter Cases'!A537,"")</f>
        <v/>
      </c>
      <c r="B537" t="str">
        <f>IF($A537&lt;&gt;"",'All Cases - Enter Cases'!B537,"")</f>
        <v/>
      </c>
      <c r="C537" t="str">
        <f>IF($A537&lt;&gt;"",'All Cases - Enter Cases'!C537,"")</f>
        <v/>
      </c>
      <c r="D537" t="str">
        <f>IF($A537&lt;&gt;"",'All Cases - Enter Cases'!D537,"")</f>
        <v/>
      </c>
      <c r="E537" t="str">
        <f>IF($A537&lt;&gt;"",'All Cases - Enter Cases'!E537,"")</f>
        <v/>
      </c>
      <c r="F537" t="str">
        <f>IF($A537&lt;&gt;"",'All Cases - Enter Cases'!F537,"")</f>
        <v/>
      </c>
      <c r="G537" t="str">
        <f>IF($A537&lt;&gt;"",'All Cases - Enter Cases'!G537,"")</f>
        <v/>
      </c>
      <c r="H537" t="str">
        <f>IF($A537&lt;&gt;"",'All Cases - Enter Cases'!H537,"")</f>
        <v/>
      </c>
      <c r="I537" t="str">
        <f>IF($A537&lt;&gt;"",'All Cases - Enter Cases'!I537,"")</f>
        <v/>
      </c>
      <c r="J537" t="str">
        <f>IF($A537&lt;&gt;"",'All Cases - Enter Cases'!J537,"")</f>
        <v/>
      </c>
      <c r="K537" t="str">
        <f>IF($A537&lt;&gt;"",'All Cases - Enter Cases'!K537,"")</f>
        <v/>
      </c>
      <c r="L537" t="str">
        <f>IF($A537&lt;&gt;"",'All Cases - Enter Cases'!L537,"")</f>
        <v/>
      </c>
      <c r="M537" t="str">
        <f>IF($A537&lt;&gt;"",'All Cases - Enter Cases'!M537,"")</f>
        <v/>
      </c>
    </row>
    <row r="538" spans="1:13" x14ac:dyDescent="0.35">
      <c r="A538" t="str">
        <f>IF('All Cases - Enter Cases'!$F538="Balochistan",'All Cases - Enter Cases'!A538,"")</f>
        <v/>
      </c>
      <c r="B538" t="str">
        <f>IF($A538&lt;&gt;"",'All Cases - Enter Cases'!B538,"")</f>
        <v/>
      </c>
      <c r="C538" t="str">
        <f>IF($A538&lt;&gt;"",'All Cases - Enter Cases'!C538,"")</f>
        <v/>
      </c>
      <c r="D538" t="str">
        <f>IF($A538&lt;&gt;"",'All Cases - Enter Cases'!D538,"")</f>
        <v/>
      </c>
      <c r="E538" t="str">
        <f>IF($A538&lt;&gt;"",'All Cases - Enter Cases'!E538,"")</f>
        <v/>
      </c>
      <c r="F538" t="str">
        <f>IF($A538&lt;&gt;"",'All Cases - Enter Cases'!F538,"")</f>
        <v/>
      </c>
      <c r="G538" t="str">
        <f>IF($A538&lt;&gt;"",'All Cases - Enter Cases'!G538,"")</f>
        <v/>
      </c>
      <c r="H538" t="str">
        <f>IF($A538&lt;&gt;"",'All Cases - Enter Cases'!H538,"")</f>
        <v/>
      </c>
      <c r="I538" t="str">
        <f>IF($A538&lt;&gt;"",'All Cases - Enter Cases'!I538,"")</f>
        <v/>
      </c>
      <c r="J538" t="str">
        <f>IF($A538&lt;&gt;"",'All Cases - Enter Cases'!J538,"")</f>
        <v/>
      </c>
      <c r="K538" t="str">
        <f>IF($A538&lt;&gt;"",'All Cases - Enter Cases'!K538,"")</f>
        <v/>
      </c>
      <c r="L538" t="str">
        <f>IF($A538&lt;&gt;"",'All Cases - Enter Cases'!L538,"")</f>
        <v/>
      </c>
      <c r="M538" t="str">
        <f>IF($A538&lt;&gt;"",'All Cases - Enter Cases'!M538,"")</f>
        <v/>
      </c>
    </row>
    <row r="539" spans="1:13" x14ac:dyDescent="0.35">
      <c r="A539" t="str">
        <f>IF('All Cases - Enter Cases'!$F539="Balochistan",'All Cases - Enter Cases'!A539,"")</f>
        <v/>
      </c>
      <c r="B539" t="str">
        <f>IF($A539&lt;&gt;"",'All Cases - Enter Cases'!B539,"")</f>
        <v/>
      </c>
      <c r="C539" t="str">
        <f>IF($A539&lt;&gt;"",'All Cases - Enter Cases'!C539,"")</f>
        <v/>
      </c>
      <c r="D539" t="str">
        <f>IF($A539&lt;&gt;"",'All Cases - Enter Cases'!D539,"")</f>
        <v/>
      </c>
      <c r="E539" t="str">
        <f>IF($A539&lt;&gt;"",'All Cases - Enter Cases'!E539,"")</f>
        <v/>
      </c>
      <c r="F539" t="str">
        <f>IF($A539&lt;&gt;"",'All Cases - Enter Cases'!F539,"")</f>
        <v/>
      </c>
      <c r="G539" t="str">
        <f>IF($A539&lt;&gt;"",'All Cases - Enter Cases'!G539,"")</f>
        <v/>
      </c>
      <c r="H539" t="str">
        <f>IF($A539&lt;&gt;"",'All Cases - Enter Cases'!H539,"")</f>
        <v/>
      </c>
      <c r="I539" t="str">
        <f>IF($A539&lt;&gt;"",'All Cases - Enter Cases'!I539,"")</f>
        <v/>
      </c>
      <c r="J539" t="str">
        <f>IF($A539&lt;&gt;"",'All Cases - Enter Cases'!J539,"")</f>
        <v/>
      </c>
      <c r="K539" t="str">
        <f>IF($A539&lt;&gt;"",'All Cases - Enter Cases'!K539,"")</f>
        <v/>
      </c>
      <c r="L539" t="str">
        <f>IF($A539&lt;&gt;"",'All Cases - Enter Cases'!L539,"")</f>
        <v/>
      </c>
      <c r="M539" t="str">
        <f>IF($A539&lt;&gt;"",'All Cases - Enter Cases'!M539,"")</f>
        <v/>
      </c>
    </row>
    <row r="540" spans="1:13" x14ac:dyDescent="0.35">
      <c r="A540" t="str">
        <f>IF('All Cases - Enter Cases'!$F540="Balochistan",'All Cases - Enter Cases'!A540,"")</f>
        <v/>
      </c>
      <c r="B540" t="str">
        <f>IF($A540&lt;&gt;"",'All Cases - Enter Cases'!B540,"")</f>
        <v/>
      </c>
      <c r="C540" t="str">
        <f>IF($A540&lt;&gt;"",'All Cases - Enter Cases'!C540,"")</f>
        <v/>
      </c>
      <c r="D540" t="str">
        <f>IF($A540&lt;&gt;"",'All Cases - Enter Cases'!D540,"")</f>
        <v/>
      </c>
      <c r="E540" t="str">
        <f>IF($A540&lt;&gt;"",'All Cases - Enter Cases'!E540,"")</f>
        <v/>
      </c>
      <c r="F540" t="str">
        <f>IF($A540&lt;&gt;"",'All Cases - Enter Cases'!F540,"")</f>
        <v/>
      </c>
      <c r="G540" t="str">
        <f>IF($A540&lt;&gt;"",'All Cases - Enter Cases'!G540,"")</f>
        <v/>
      </c>
      <c r="H540" t="str">
        <f>IF($A540&lt;&gt;"",'All Cases - Enter Cases'!H540,"")</f>
        <v/>
      </c>
      <c r="I540" t="str">
        <f>IF($A540&lt;&gt;"",'All Cases - Enter Cases'!I540,"")</f>
        <v/>
      </c>
      <c r="J540" t="str">
        <f>IF($A540&lt;&gt;"",'All Cases - Enter Cases'!J540,"")</f>
        <v/>
      </c>
      <c r="K540" t="str">
        <f>IF($A540&lt;&gt;"",'All Cases - Enter Cases'!K540,"")</f>
        <v/>
      </c>
      <c r="L540" t="str">
        <f>IF($A540&lt;&gt;"",'All Cases - Enter Cases'!L540,"")</f>
        <v/>
      </c>
      <c r="M540" t="str">
        <f>IF($A540&lt;&gt;"",'All Cases - Enter Cases'!M540,"")</f>
        <v/>
      </c>
    </row>
    <row r="541" spans="1:13" x14ac:dyDescent="0.35">
      <c r="A541" t="str">
        <f>IF('All Cases - Enter Cases'!$F541="Balochistan",'All Cases - Enter Cases'!A541,"")</f>
        <v/>
      </c>
      <c r="B541" t="str">
        <f>IF($A541&lt;&gt;"",'All Cases - Enter Cases'!B541,"")</f>
        <v/>
      </c>
      <c r="C541" t="str">
        <f>IF($A541&lt;&gt;"",'All Cases - Enter Cases'!C541,"")</f>
        <v/>
      </c>
      <c r="D541" t="str">
        <f>IF($A541&lt;&gt;"",'All Cases - Enter Cases'!D541,"")</f>
        <v/>
      </c>
      <c r="E541" t="str">
        <f>IF($A541&lt;&gt;"",'All Cases - Enter Cases'!E541,"")</f>
        <v/>
      </c>
      <c r="F541" t="str">
        <f>IF($A541&lt;&gt;"",'All Cases - Enter Cases'!F541,"")</f>
        <v/>
      </c>
      <c r="G541" t="str">
        <f>IF($A541&lt;&gt;"",'All Cases - Enter Cases'!G541,"")</f>
        <v/>
      </c>
      <c r="H541" t="str">
        <f>IF($A541&lt;&gt;"",'All Cases - Enter Cases'!H541,"")</f>
        <v/>
      </c>
      <c r="I541" t="str">
        <f>IF($A541&lt;&gt;"",'All Cases - Enter Cases'!I541,"")</f>
        <v/>
      </c>
      <c r="J541" t="str">
        <f>IF($A541&lt;&gt;"",'All Cases - Enter Cases'!J541,"")</f>
        <v/>
      </c>
      <c r="K541" t="str">
        <f>IF($A541&lt;&gt;"",'All Cases - Enter Cases'!K541,"")</f>
        <v/>
      </c>
      <c r="L541" t="str">
        <f>IF($A541&lt;&gt;"",'All Cases - Enter Cases'!L541,"")</f>
        <v/>
      </c>
      <c r="M541" t="str">
        <f>IF($A541&lt;&gt;"",'All Cases - Enter Cases'!M541,"")</f>
        <v/>
      </c>
    </row>
    <row r="542" spans="1:13" x14ac:dyDescent="0.35">
      <c r="A542" t="str">
        <f>IF('All Cases - Enter Cases'!$F542="Balochistan",'All Cases - Enter Cases'!A542,"")</f>
        <v/>
      </c>
      <c r="B542" t="str">
        <f>IF($A542&lt;&gt;"",'All Cases - Enter Cases'!B542,"")</f>
        <v/>
      </c>
      <c r="C542" t="str">
        <f>IF($A542&lt;&gt;"",'All Cases - Enter Cases'!C542,"")</f>
        <v/>
      </c>
      <c r="D542" t="str">
        <f>IF($A542&lt;&gt;"",'All Cases - Enter Cases'!D542,"")</f>
        <v/>
      </c>
      <c r="E542" t="str">
        <f>IF($A542&lt;&gt;"",'All Cases - Enter Cases'!E542,"")</f>
        <v/>
      </c>
      <c r="F542" t="str">
        <f>IF($A542&lt;&gt;"",'All Cases - Enter Cases'!F542,"")</f>
        <v/>
      </c>
      <c r="G542" t="str">
        <f>IF($A542&lt;&gt;"",'All Cases - Enter Cases'!G542,"")</f>
        <v/>
      </c>
      <c r="H542" t="str">
        <f>IF($A542&lt;&gt;"",'All Cases - Enter Cases'!H542,"")</f>
        <v/>
      </c>
      <c r="I542" t="str">
        <f>IF($A542&lt;&gt;"",'All Cases - Enter Cases'!I542,"")</f>
        <v/>
      </c>
      <c r="J542" t="str">
        <f>IF($A542&lt;&gt;"",'All Cases - Enter Cases'!J542,"")</f>
        <v/>
      </c>
      <c r="K542" t="str">
        <f>IF($A542&lt;&gt;"",'All Cases - Enter Cases'!K542,"")</f>
        <v/>
      </c>
      <c r="L542" t="str">
        <f>IF($A542&lt;&gt;"",'All Cases - Enter Cases'!L542,"")</f>
        <v/>
      </c>
      <c r="M542" t="str">
        <f>IF($A542&lt;&gt;"",'All Cases - Enter Cases'!M542,"")</f>
        <v/>
      </c>
    </row>
    <row r="543" spans="1:13" x14ac:dyDescent="0.35">
      <c r="A543" t="str">
        <f>IF('All Cases - Enter Cases'!$F543="Balochistan",'All Cases - Enter Cases'!A543,"")</f>
        <v/>
      </c>
      <c r="B543" t="str">
        <f>IF($A543&lt;&gt;"",'All Cases - Enter Cases'!B543,"")</f>
        <v/>
      </c>
      <c r="C543" t="str">
        <f>IF($A543&lt;&gt;"",'All Cases - Enter Cases'!C543,"")</f>
        <v/>
      </c>
      <c r="D543" t="str">
        <f>IF($A543&lt;&gt;"",'All Cases - Enter Cases'!D543,"")</f>
        <v/>
      </c>
      <c r="E543" t="str">
        <f>IF($A543&lt;&gt;"",'All Cases - Enter Cases'!E543,"")</f>
        <v/>
      </c>
      <c r="F543" t="str">
        <f>IF($A543&lt;&gt;"",'All Cases - Enter Cases'!F543,"")</f>
        <v/>
      </c>
      <c r="G543" t="str">
        <f>IF($A543&lt;&gt;"",'All Cases - Enter Cases'!G543,"")</f>
        <v/>
      </c>
      <c r="H543" t="str">
        <f>IF($A543&lt;&gt;"",'All Cases - Enter Cases'!H543,"")</f>
        <v/>
      </c>
      <c r="I543" t="str">
        <f>IF($A543&lt;&gt;"",'All Cases - Enter Cases'!I543,"")</f>
        <v/>
      </c>
      <c r="J543" t="str">
        <f>IF($A543&lt;&gt;"",'All Cases - Enter Cases'!J543,"")</f>
        <v/>
      </c>
      <c r="K543" t="str">
        <f>IF($A543&lt;&gt;"",'All Cases - Enter Cases'!K543,"")</f>
        <v/>
      </c>
      <c r="L543" t="str">
        <f>IF($A543&lt;&gt;"",'All Cases - Enter Cases'!L543,"")</f>
        <v/>
      </c>
      <c r="M543" t="str">
        <f>IF($A543&lt;&gt;"",'All Cases - Enter Cases'!M543,"")</f>
        <v/>
      </c>
    </row>
    <row r="544" spans="1:13" x14ac:dyDescent="0.35">
      <c r="A544" t="str">
        <f>IF('All Cases - Enter Cases'!$F544="Balochistan",'All Cases - Enter Cases'!A544,"")</f>
        <v/>
      </c>
      <c r="B544" t="str">
        <f>IF($A544&lt;&gt;"",'All Cases - Enter Cases'!B544,"")</f>
        <v/>
      </c>
      <c r="C544" t="str">
        <f>IF($A544&lt;&gt;"",'All Cases - Enter Cases'!C544,"")</f>
        <v/>
      </c>
      <c r="D544" t="str">
        <f>IF($A544&lt;&gt;"",'All Cases - Enter Cases'!D544,"")</f>
        <v/>
      </c>
      <c r="E544" t="str">
        <f>IF($A544&lt;&gt;"",'All Cases - Enter Cases'!E544,"")</f>
        <v/>
      </c>
      <c r="F544" t="str">
        <f>IF($A544&lt;&gt;"",'All Cases - Enter Cases'!F544,"")</f>
        <v/>
      </c>
      <c r="G544" t="str">
        <f>IF($A544&lt;&gt;"",'All Cases - Enter Cases'!G544,"")</f>
        <v/>
      </c>
      <c r="H544" t="str">
        <f>IF($A544&lt;&gt;"",'All Cases - Enter Cases'!H544,"")</f>
        <v/>
      </c>
      <c r="I544" t="str">
        <f>IF($A544&lt;&gt;"",'All Cases - Enter Cases'!I544,"")</f>
        <v/>
      </c>
      <c r="J544" t="str">
        <f>IF($A544&lt;&gt;"",'All Cases - Enter Cases'!J544,"")</f>
        <v/>
      </c>
      <c r="K544" t="str">
        <f>IF($A544&lt;&gt;"",'All Cases - Enter Cases'!K544,"")</f>
        <v/>
      </c>
      <c r="L544" t="str">
        <f>IF($A544&lt;&gt;"",'All Cases - Enter Cases'!L544,"")</f>
        <v/>
      </c>
      <c r="M544" t="str">
        <f>IF($A544&lt;&gt;"",'All Cases - Enter Cases'!M544,"")</f>
        <v/>
      </c>
    </row>
    <row r="545" spans="1:13" x14ac:dyDescent="0.35">
      <c r="A545" t="str">
        <f>IF('All Cases - Enter Cases'!$F545="Balochistan",'All Cases - Enter Cases'!A545,"")</f>
        <v/>
      </c>
      <c r="B545" t="str">
        <f>IF($A545&lt;&gt;"",'All Cases - Enter Cases'!B545,"")</f>
        <v/>
      </c>
      <c r="C545" t="str">
        <f>IF($A545&lt;&gt;"",'All Cases - Enter Cases'!C545,"")</f>
        <v/>
      </c>
      <c r="D545" t="str">
        <f>IF($A545&lt;&gt;"",'All Cases - Enter Cases'!D545,"")</f>
        <v/>
      </c>
      <c r="E545" t="str">
        <f>IF($A545&lt;&gt;"",'All Cases - Enter Cases'!E545,"")</f>
        <v/>
      </c>
      <c r="F545" t="str">
        <f>IF($A545&lt;&gt;"",'All Cases - Enter Cases'!F545,"")</f>
        <v/>
      </c>
      <c r="G545" t="str">
        <f>IF($A545&lt;&gt;"",'All Cases - Enter Cases'!G545,"")</f>
        <v/>
      </c>
      <c r="H545" t="str">
        <f>IF($A545&lt;&gt;"",'All Cases - Enter Cases'!H545,"")</f>
        <v/>
      </c>
      <c r="I545" t="str">
        <f>IF($A545&lt;&gt;"",'All Cases - Enter Cases'!I545,"")</f>
        <v/>
      </c>
      <c r="J545" t="str">
        <f>IF($A545&lt;&gt;"",'All Cases - Enter Cases'!J545,"")</f>
        <v/>
      </c>
      <c r="K545" t="str">
        <f>IF($A545&lt;&gt;"",'All Cases - Enter Cases'!K545,"")</f>
        <v/>
      </c>
      <c r="L545" t="str">
        <f>IF($A545&lt;&gt;"",'All Cases - Enter Cases'!L545,"")</f>
        <v/>
      </c>
      <c r="M545" t="str">
        <f>IF($A545&lt;&gt;"",'All Cases - Enter Cases'!M545,"")</f>
        <v/>
      </c>
    </row>
    <row r="546" spans="1:13" x14ac:dyDescent="0.35">
      <c r="A546" t="str">
        <f>IF('All Cases - Enter Cases'!$F546="Balochistan",'All Cases - Enter Cases'!A546,"")</f>
        <v/>
      </c>
      <c r="B546" t="str">
        <f>IF($A546&lt;&gt;"",'All Cases - Enter Cases'!B546,"")</f>
        <v/>
      </c>
      <c r="C546" t="str">
        <f>IF($A546&lt;&gt;"",'All Cases - Enter Cases'!C546,"")</f>
        <v/>
      </c>
      <c r="D546" t="str">
        <f>IF($A546&lt;&gt;"",'All Cases - Enter Cases'!D546,"")</f>
        <v/>
      </c>
      <c r="E546" t="str">
        <f>IF($A546&lt;&gt;"",'All Cases - Enter Cases'!E546,"")</f>
        <v/>
      </c>
      <c r="F546" t="str">
        <f>IF($A546&lt;&gt;"",'All Cases - Enter Cases'!F546,"")</f>
        <v/>
      </c>
      <c r="G546" t="str">
        <f>IF($A546&lt;&gt;"",'All Cases - Enter Cases'!G546,"")</f>
        <v/>
      </c>
      <c r="H546" t="str">
        <f>IF($A546&lt;&gt;"",'All Cases - Enter Cases'!H546,"")</f>
        <v/>
      </c>
      <c r="I546" t="str">
        <f>IF($A546&lt;&gt;"",'All Cases - Enter Cases'!I546,"")</f>
        <v/>
      </c>
      <c r="J546" t="str">
        <f>IF($A546&lt;&gt;"",'All Cases - Enter Cases'!J546,"")</f>
        <v/>
      </c>
      <c r="K546" t="str">
        <f>IF($A546&lt;&gt;"",'All Cases - Enter Cases'!K546,"")</f>
        <v/>
      </c>
      <c r="L546" t="str">
        <f>IF($A546&lt;&gt;"",'All Cases - Enter Cases'!L546,"")</f>
        <v/>
      </c>
      <c r="M546" t="str">
        <f>IF($A546&lt;&gt;"",'All Cases - Enter Cases'!M546,"")</f>
        <v/>
      </c>
    </row>
    <row r="547" spans="1:13" x14ac:dyDescent="0.35">
      <c r="A547" t="str">
        <f>IF('All Cases - Enter Cases'!$F547="Balochistan",'All Cases - Enter Cases'!A547,"")</f>
        <v/>
      </c>
      <c r="B547" t="str">
        <f>IF($A547&lt;&gt;"",'All Cases - Enter Cases'!B547,"")</f>
        <v/>
      </c>
      <c r="C547" t="str">
        <f>IF($A547&lt;&gt;"",'All Cases - Enter Cases'!C547,"")</f>
        <v/>
      </c>
      <c r="D547" t="str">
        <f>IF($A547&lt;&gt;"",'All Cases - Enter Cases'!D547,"")</f>
        <v/>
      </c>
      <c r="E547" t="str">
        <f>IF($A547&lt;&gt;"",'All Cases - Enter Cases'!E547,"")</f>
        <v/>
      </c>
      <c r="F547" t="str">
        <f>IF($A547&lt;&gt;"",'All Cases - Enter Cases'!F547,"")</f>
        <v/>
      </c>
      <c r="G547" t="str">
        <f>IF($A547&lt;&gt;"",'All Cases - Enter Cases'!G547,"")</f>
        <v/>
      </c>
      <c r="H547" t="str">
        <f>IF($A547&lt;&gt;"",'All Cases - Enter Cases'!H547,"")</f>
        <v/>
      </c>
      <c r="I547" t="str">
        <f>IF($A547&lt;&gt;"",'All Cases - Enter Cases'!I547,"")</f>
        <v/>
      </c>
      <c r="J547" t="str">
        <f>IF($A547&lt;&gt;"",'All Cases - Enter Cases'!J547,"")</f>
        <v/>
      </c>
      <c r="K547" t="str">
        <f>IF($A547&lt;&gt;"",'All Cases - Enter Cases'!K547,"")</f>
        <v/>
      </c>
      <c r="L547" t="str">
        <f>IF($A547&lt;&gt;"",'All Cases - Enter Cases'!L547,"")</f>
        <v/>
      </c>
      <c r="M547" t="str">
        <f>IF($A547&lt;&gt;"",'All Cases - Enter Cases'!M547,"")</f>
        <v/>
      </c>
    </row>
    <row r="548" spans="1:13" x14ac:dyDescent="0.35">
      <c r="A548" t="str">
        <f>IF('All Cases - Enter Cases'!$F548="Balochistan",'All Cases - Enter Cases'!A548,"")</f>
        <v/>
      </c>
      <c r="B548" t="str">
        <f>IF($A548&lt;&gt;"",'All Cases - Enter Cases'!B548,"")</f>
        <v/>
      </c>
      <c r="C548" t="str">
        <f>IF($A548&lt;&gt;"",'All Cases - Enter Cases'!C548,"")</f>
        <v/>
      </c>
      <c r="D548" t="str">
        <f>IF($A548&lt;&gt;"",'All Cases - Enter Cases'!D548,"")</f>
        <v/>
      </c>
      <c r="E548" t="str">
        <f>IF($A548&lt;&gt;"",'All Cases - Enter Cases'!E548,"")</f>
        <v/>
      </c>
      <c r="F548" t="str">
        <f>IF($A548&lt;&gt;"",'All Cases - Enter Cases'!F548,"")</f>
        <v/>
      </c>
      <c r="G548" t="str">
        <f>IF($A548&lt;&gt;"",'All Cases - Enter Cases'!G548,"")</f>
        <v/>
      </c>
      <c r="H548" t="str">
        <f>IF($A548&lt;&gt;"",'All Cases - Enter Cases'!H548,"")</f>
        <v/>
      </c>
      <c r="I548" t="str">
        <f>IF($A548&lt;&gt;"",'All Cases - Enter Cases'!I548,"")</f>
        <v/>
      </c>
      <c r="J548" t="str">
        <f>IF($A548&lt;&gt;"",'All Cases - Enter Cases'!J548,"")</f>
        <v/>
      </c>
      <c r="K548" t="str">
        <f>IF($A548&lt;&gt;"",'All Cases - Enter Cases'!K548,"")</f>
        <v/>
      </c>
      <c r="L548" t="str">
        <f>IF($A548&lt;&gt;"",'All Cases - Enter Cases'!L548,"")</f>
        <v/>
      </c>
      <c r="M548" t="str">
        <f>IF($A548&lt;&gt;"",'All Cases - Enter Cases'!M548,"")</f>
        <v/>
      </c>
    </row>
    <row r="549" spans="1:13" x14ac:dyDescent="0.35">
      <c r="A549" t="str">
        <f>IF('All Cases - Enter Cases'!$F549="Balochistan",'All Cases - Enter Cases'!A549,"")</f>
        <v/>
      </c>
      <c r="B549" t="str">
        <f>IF($A549&lt;&gt;"",'All Cases - Enter Cases'!B549,"")</f>
        <v/>
      </c>
      <c r="C549" t="str">
        <f>IF($A549&lt;&gt;"",'All Cases - Enter Cases'!C549,"")</f>
        <v/>
      </c>
      <c r="D549" t="str">
        <f>IF($A549&lt;&gt;"",'All Cases - Enter Cases'!D549,"")</f>
        <v/>
      </c>
      <c r="E549" t="str">
        <f>IF($A549&lt;&gt;"",'All Cases - Enter Cases'!E549,"")</f>
        <v/>
      </c>
      <c r="F549" t="str">
        <f>IF($A549&lt;&gt;"",'All Cases - Enter Cases'!F549,"")</f>
        <v/>
      </c>
      <c r="G549" t="str">
        <f>IF($A549&lt;&gt;"",'All Cases - Enter Cases'!G549,"")</f>
        <v/>
      </c>
      <c r="H549" t="str">
        <f>IF($A549&lt;&gt;"",'All Cases - Enter Cases'!H549,"")</f>
        <v/>
      </c>
      <c r="I549" t="str">
        <f>IF($A549&lt;&gt;"",'All Cases - Enter Cases'!I549,"")</f>
        <v/>
      </c>
      <c r="J549" t="str">
        <f>IF($A549&lt;&gt;"",'All Cases - Enter Cases'!J549,"")</f>
        <v/>
      </c>
      <c r="K549" t="str">
        <f>IF($A549&lt;&gt;"",'All Cases - Enter Cases'!K549,"")</f>
        <v/>
      </c>
      <c r="L549" t="str">
        <f>IF($A549&lt;&gt;"",'All Cases - Enter Cases'!L549,"")</f>
        <v/>
      </c>
      <c r="M549" t="str">
        <f>IF($A549&lt;&gt;"",'All Cases - Enter Cases'!M549,"")</f>
        <v/>
      </c>
    </row>
    <row r="550" spans="1:13" x14ac:dyDescent="0.35">
      <c r="A550" t="str">
        <f>IF('All Cases - Enter Cases'!$F550="Balochistan",'All Cases - Enter Cases'!A550,"")</f>
        <v/>
      </c>
      <c r="B550" t="str">
        <f>IF($A550&lt;&gt;"",'All Cases - Enter Cases'!B550,"")</f>
        <v/>
      </c>
      <c r="C550" t="str">
        <f>IF($A550&lt;&gt;"",'All Cases - Enter Cases'!C550,"")</f>
        <v/>
      </c>
      <c r="D550" t="str">
        <f>IF($A550&lt;&gt;"",'All Cases - Enter Cases'!D550,"")</f>
        <v/>
      </c>
      <c r="E550" t="str">
        <f>IF($A550&lt;&gt;"",'All Cases - Enter Cases'!E550,"")</f>
        <v/>
      </c>
      <c r="F550" t="str">
        <f>IF($A550&lt;&gt;"",'All Cases - Enter Cases'!F550,"")</f>
        <v/>
      </c>
      <c r="G550" t="str">
        <f>IF($A550&lt;&gt;"",'All Cases - Enter Cases'!G550,"")</f>
        <v/>
      </c>
      <c r="H550" t="str">
        <f>IF($A550&lt;&gt;"",'All Cases - Enter Cases'!H550,"")</f>
        <v/>
      </c>
      <c r="I550" t="str">
        <f>IF($A550&lt;&gt;"",'All Cases - Enter Cases'!I550,"")</f>
        <v/>
      </c>
      <c r="J550" t="str">
        <f>IF($A550&lt;&gt;"",'All Cases - Enter Cases'!J550,"")</f>
        <v/>
      </c>
      <c r="K550" t="str">
        <f>IF($A550&lt;&gt;"",'All Cases - Enter Cases'!K550,"")</f>
        <v/>
      </c>
      <c r="L550" t="str">
        <f>IF($A550&lt;&gt;"",'All Cases - Enter Cases'!L550,"")</f>
        <v/>
      </c>
      <c r="M550" t="str">
        <f>IF($A550&lt;&gt;"",'All Cases - Enter Cases'!M550,"")</f>
        <v/>
      </c>
    </row>
    <row r="551" spans="1:13" x14ac:dyDescent="0.35">
      <c r="A551" t="str">
        <f>IF('All Cases - Enter Cases'!$F551="Balochistan",'All Cases - Enter Cases'!A551,"")</f>
        <v/>
      </c>
      <c r="B551" t="str">
        <f>IF($A551&lt;&gt;"",'All Cases - Enter Cases'!B551,"")</f>
        <v/>
      </c>
      <c r="C551" t="str">
        <f>IF($A551&lt;&gt;"",'All Cases - Enter Cases'!C551,"")</f>
        <v/>
      </c>
      <c r="D551" t="str">
        <f>IF($A551&lt;&gt;"",'All Cases - Enter Cases'!D551,"")</f>
        <v/>
      </c>
      <c r="E551" t="str">
        <f>IF($A551&lt;&gt;"",'All Cases - Enter Cases'!E551,"")</f>
        <v/>
      </c>
      <c r="F551" t="str">
        <f>IF($A551&lt;&gt;"",'All Cases - Enter Cases'!F551,"")</f>
        <v/>
      </c>
      <c r="G551" t="str">
        <f>IF($A551&lt;&gt;"",'All Cases - Enter Cases'!G551,"")</f>
        <v/>
      </c>
      <c r="H551" t="str">
        <f>IF($A551&lt;&gt;"",'All Cases - Enter Cases'!H551,"")</f>
        <v/>
      </c>
      <c r="I551" t="str">
        <f>IF($A551&lt;&gt;"",'All Cases - Enter Cases'!I551,"")</f>
        <v/>
      </c>
      <c r="J551" t="str">
        <f>IF($A551&lt;&gt;"",'All Cases - Enter Cases'!J551,"")</f>
        <v/>
      </c>
      <c r="K551" t="str">
        <f>IF($A551&lt;&gt;"",'All Cases - Enter Cases'!K551,"")</f>
        <v/>
      </c>
      <c r="L551" t="str">
        <f>IF($A551&lt;&gt;"",'All Cases - Enter Cases'!L551,"")</f>
        <v/>
      </c>
      <c r="M551" t="str">
        <f>IF($A551&lt;&gt;"",'All Cases - Enter Cases'!M551,"")</f>
        <v/>
      </c>
    </row>
    <row r="552" spans="1:13" x14ac:dyDescent="0.35">
      <c r="A552" t="str">
        <f>IF('All Cases - Enter Cases'!$F552="Balochistan",'All Cases - Enter Cases'!A552,"")</f>
        <v/>
      </c>
      <c r="B552" t="str">
        <f>IF($A552&lt;&gt;"",'All Cases - Enter Cases'!B552,"")</f>
        <v/>
      </c>
      <c r="C552" t="str">
        <f>IF($A552&lt;&gt;"",'All Cases - Enter Cases'!C552,"")</f>
        <v/>
      </c>
      <c r="D552" t="str">
        <f>IF($A552&lt;&gt;"",'All Cases - Enter Cases'!D552,"")</f>
        <v/>
      </c>
      <c r="E552" t="str">
        <f>IF($A552&lt;&gt;"",'All Cases - Enter Cases'!E552,"")</f>
        <v/>
      </c>
      <c r="F552" t="str">
        <f>IF($A552&lt;&gt;"",'All Cases - Enter Cases'!F552,"")</f>
        <v/>
      </c>
      <c r="G552" t="str">
        <f>IF($A552&lt;&gt;"",'All Cases - Enter Cases'!G552,"")</f>
        <v/>
      </c>
      <c r="H552" t="str">
        <f>IF($A552&lt;&gt;"",'All Cases - Enter Cases'!H552,"")</f>
        <v/>
      </c>
      <c r="I552" t="str">
        <f>IF($A552&lt;&gt;"",'All Cases - Enter Cases'!I552,"")</f>
        <v/>
      </c>
      <c r="J552" t="str">
        <f>IF($A552&lt;&gt;"",'All Cases - Enter Cases'!J552,"")</f>
        <v/>
      </c>
      <c r="K552" t="str">
        <f>IF($A552&lt;&gt;"",'All Cases - Enter Cases'!K552,"")</f>
        <v/>
      </c>
      <c r="L552" t="str">
        <f>IF($A552&lt;&gt;"",'All Cases - Enter Cases'!L552,"")</f>
        <v/>
      </c>
      <c r="M552" t="str">
        <f>IF($A552&lt;&gt;"",'All Cases - Enter Cases'!M552,"")</f>
        <v/>
      </c>
    </row>
    <row r="553" spans="1:13" x14ac:dyDescent="0.35">
      <c r="A553" t="str">
        <f>IF('All Cases - Enter Cases'!$F553="Balochistan",'All Cases - Enter Cases'!A553,"")</f>
        <v/>
      </c>
      <c r="B553" t="str">
        <f>IF($A553&lt;&gt;"",'All Cases - Enter Cases'!B553,"")</f>
        <v/>
      </c>
      <c r="C553" t="str">
        <f>IF($A553&lt;&gt;"",'All Cases - Enter Cases'!C553,"")</f>
        <v/>
      </c>
      <c r="D553" t="str">
        <f>IF($A553&lt;&gt;"",'All Cases - Enter Cases'!D553,"")</f>
        <v/>
      </c>
      <c r="E553" t="str">
        <f>IF($A553&lt;&gt;"",'All Cases - Enter Cases'!E553,"")</f>
        <v/>
      </c>
      <c r="F553" t="str">
        <f>IF($A553&lt;&gt;"",'All Cases - Enter Cases'!F553,"")</f>
        <v/>
      </c>
      <c r="G553" t="str">
        <f>IF($A553&lt;&gt;"",'All Cases - Enter Cases'!G553,"")</f>
        <v/>
      </c>
      <c r="H553" t="str">
        <f>IF($A553&lt;&gt;"",'All Cases - Enter Cases'!H553,"")</f>
        <v/>
      </c>
      <c r="I553" t="str">
        <f>IF($A553&lt;&gt;"",'All Cases - Enter Cases'!I553,"")</f>
        <v/>
      </c>
      <c r="J553" t="str">
        <f>IF($A553&lt;&gt;"",'All Cases - Enter Cases'!J553,"")</f>
        <v/>
      </c>
      <c r="K553" t="str">
        <f>IF($A553&lt;&gt;"",'All Cases - Enter Cases'!K553,"")</f>
        <v/>
      </c>
      <c r="L553" t="str">
        <f>IF($A553&lt;&gt;"",'All Cases - Enter Cases'!L553,"")</f>
        <v/>
      </c>
      <c r="M553" t="str">
        <f>IF($A553&lt;&gt;"",'All Cases - Enter Cases'!M553,"")</f>
        <v/>
      </c>
    </row>
    <row r="554" spans="1:13" x14ac:dyDescent="0.35">
      <c r="A554" t="str">
        <f>IF('All Cases - Enter Cases'!$F554="Balochistan",'All Cases - Enter Cases'!A554,"")</f>
        <v/>
      </c>
      <c r="B554" t="str">
        <f>IF($A554&lt;&gt;"",'All Cases - Enter Cases'!B554,"")</f>
        <v/>
      </c>
      <c r="C554" t="str">
        <f>IF($A554&lt;&gt;"",'All Cases - Enter Cases'!C554,"")</f>
        <v/>
      </c>
      <c r="D554" t="str">
        <f>IF($A554&lt;&gt;"",'All Cases - Enter Cases'!D554,"")</f>
        <v/>
      </c>
      <c r="E554" t="str">
        <f>IF($A554&lt;&gt;"",'All Cases - Enter Cases'!E554,"")</f>
        <v/>
      </c>
      <c r="F554" t="str">
        <f>IF($A554&lt;&gt;"",'All Cases - Enter Cases'!F554,"")</f>
        <v/>
      </c>
      <c r="G554" t="str">
        <f>IF($A554&lt;&gt;"",'All Cases - Enter Cases'!G554,"")</f>
        <v/>
      </c>
      <c r="H554" t="str">
        <f>IF($A554&lt;&gt;"",'All Cases - Enter Cases'!H554,"")</f>
        <v/>
      </c>
      <c r="I554" t="str">
        <f>IF($A554&lt;&gt;"",'All Cases - Enter Cases'!I554,"")</f>
        <v/>
      </c>
      <c r="J554" t="str">
        <f>IF($A554&lt;&gt;"",'All Cases - Enter Cases'!J554,"")</f>
        <v/>
      </c>
      <c r="K554" t="str">
        <f>IF($A554&lt;&gt;"",'All Cases - Enter Cases'!K554,"")</f>
        <v/>
      </c>
      <c r="L554" t="str">
        <f>IF($A554&lt;&gt;"",'All Cases - Enter Cases'!L554,"")</f>
        <v/>
      </c>
      <c r="M554" t="str">
        <f>IF($A554&lt;&gt;"",'All Cases - Enter Cases'!M554,"")</f>
        <v/>
      </c>
    </row>
    <row r="555" spans="1:13" x14ac:dyDescent="0.35">
      <c r="A555" t="str">
        <f>IF('All Cases - Enter Cases'!$F555="Balochistan",'All Cases - Enter Cases'!A555,"")</f>
        <v/>
      </c>
      <c r="B555" t="str">
        <f>IF($A555&lt;&gt;"",'All Cases - Enter Cases'!B555,"")</f>
        <v/>
      </c>
      <c r="C555" t="str">
        <f>IF($A555&lt;&gt;"",'All Cases - Enter Cases'!C555,"")</f>
        <v/>
      </c>
      <c r="D555" t="str">
        <f>IF($A555&lt;&gt;"",'All Cases - Enter Cases'!D555,"")</f>
        <v/>
      </c>
      <c r="E555" t="str">
        <f>IF($A555&lt;&gt;"",'All Cases - Enter Cases'!E555,"")</f>
        <v/>
      </c>
      <c r="F555" t="str">
        <f>IF($A555&lt;&gt;"",'All Cases - Enter Cases'!F555,"")</f>
        <v/>
      </c>
      <c r="G555" t="str">
        <f>IF($A555&lt;&gt;"",'All Cases - Enter Cases'!G555,"")</f>
        <v/>
      </c>
      <c r="H555" t="str">
        <f>IF($A555&lt;&gt;"",'All Cases - Enter Cases'!H555,"")</f>
        <v/>
      </c>
      <c r="I555" t="str">
        <f>IF($A555&lt;&gt;"",'All Cases - Enter Cases'!I555,"")</f>
        <v/>
      </c>
      <c r="J555" t="str">
        <f>IF($A555&lt;&gt;"",'All Cases - Enter Cases'!J555,"")</f>
        <v/>
      </c>
      <c r="K555" t="str">
        <f>IF($A555&lt;&gt;"",'All Cases - Enter Cases'!K555,"")</f>
        <v/>
      </c>
      <c r="L555" t="str">
        <f>IF($A555&lt;&gt;"",'All Cases - Enter Cases'!L555,"")</f>
        <v/>
      </c>
      <c r="M555" t="str">
        <f>IF($A555&lt;&gt;"",'All Cases - Enter Cases'!M555,"")</f>
        <v/>
      </c>
    </row>
    <row r="556" spans="1:13" x14ac:dyDescent="0.35">
      <c r="A556" t="str">
        <f>IF('All Cases - Enter Cases'!$F556="Balochistan",'All Cases - Enter Cases'!A556,"")</f>
        <v/>
      </c>
      <c r="B556" t="str">
        <f>IF($A556&lt;&gt;"",'All Cases - Enter Cases'!B556,"")</f>
        <v/>
      </c>
      <c r="C556" t="str">
        <f>IF($A556&lt;&gt;"",'All Cases - Enter Cases'!C556,"")</f>
        <v/>
      </c>
      <c r="D556" t="str">
        <f>IF($A556&lt;&gt;"",'All Cases - Enter Cases'!D556,"")</f>
        <v/>
      </c>
      <c r="E556" t="str">
        <f>IF($A556&lt;&gt;"",'All Cases - Enter Cases'!E556,"")</f>
        <v/>
      </c>
      <c r="F556" t="str">
        <f>IF($A556&lt;&gt;"",'All Cases - Enter Cases'!F556,"")</f>
        <v/>
      </c>
      <c r="G556" t="str">
        <f>IF($A556&lt;&gt;"",'All Cases - Enter Cases'!G556,"")</f>
        <v/>
      </c>
      <c r="H556" t="str">
        <f>IF($A556&lt;&gt;"",'All Cases - Enter Cases'!H556,"")</f>
        <v/>
      </c>
      <c r="I556" t="str">
        <f>IF($A556&lt;&gt;"",'All Cases - Enter Cases'!I556,"")</f>
        <v/>
      </c>
      <c r="J556" t="str">
        <f>IF($A556&lt;&gt;"",'All Cases - Enter Cases'!J556,"")</f>
        <v/>
      </c>
      <c r="K556" t="str">
        <f>IF($A556&lt;&gt;"",'All Cases - Enter Cases'!K556,"")</f>
        <v/>
      </c>
      <c r="L556" t="str">
        <f>IF($A556&lt;&gt;"",'All Cases - Enter Cases'!L556,"")</f>
        <v/>
      </c>
      <c r="M556" t="str">
        <f>IF($A556&lt;&gt;"",'All Cases - Enter Cases'!M556,"")</f>
        <v/>
      </c>
    </row>
    <row r="557" spans="1:13" x14ac:dyDescent="0.35">
      <c r="A557" t="str">
        <f>IF('All Cases - Enter Cases'!$F557="Balochistan",'All Cases - Enter Cases'!A557,"")</f>
        <v/>
      </c>
      <c r="B557" t="str">
        <f>IF($A557&lt;&gt;"",'All Cases - Enter Cases'!B557,"")</f>
        <v/>
      </c>
      <c r="C557" t="str">
        <f>IF($A557&lt;&gt;"",'All Cases - Enter Cases'!C557,"")</f>
        <v/>
      </c>
      <c r="D557" t="str">
        <f>IF($A557&lt;&gt;"",'All Cases - Enter Cases'!D557,"")</f>
        <v/>
      </c>
      <c r="E557" t="str">
        <f>IF($A557&lt;&gt;"",'All Cases - Enter Cases'!E557,"")</f>
        <v/>
      </c>
      <c r="F557" t="str">
        <f>IF($A557&lt;&gt;"",'All Cases - Enter Cases'!F557,"")</f>
        <v/>
      </c>
      <c r="G557" t="str">
        <f>IF($A557&lt;&gt;"",'All Cases - Enter Cases'!G557,"")</f>
        <v/>
      </c>
      <c r="H557" t="str">
        <f>IF($A557&lt;&gt;"",'All Cases - Enter Cases'!H557,"")</f>
        <v/>
      </c>
      <c r="I557" t="str">
        <f>IF($A557&lt;&gt;"",'All Cases - Enter Cases'!I557,"")</f>
        <v/>
      </c>
      <c r="J557" t="str">
        <f>IF($A557&lt;&gt;"",'All Cases - Enter Cases'!J557,"")</f>
        <v/>
      </c>
      <c r="K557" t="str">
        <f>IF($A557&lt;&gt;"",'All Cases - Enter Cases'!K557,"")</f>
        <v/>
      </c>
      <c r="L557" t="str">
        <f>IF($A557&lt;&gt;"",'All Cases - Enter Cases'!L557,"")</f>
        <v/>
      </c>
      <c r="M557" t="str">
        <f>IF($A557&lt;&gt;"",'All Cases - Enter Cases'!M557,"")</f>
        <v/>
      </c>
    </row>
    <row r="558" spans="1:13" x14ac:dyDescent="0.35">
      <c r="A558" t="str">
        <f>IF('All Cases - Enter Cases'!$F558="Balochistan",'All Cases - Enter Cases'!A558,"")</f>
        <v/>
      </c>
      <c r="B558" t="str">
        <f>IF($A558&lt;&gt;"",'All Cases - Enter Cases'!B558,"")</f>
        <v/>
      </c>
      <c r="C558" t="str">
        <f>IF($A558&lt;&gt;"",'All Cases - Enter Cases'!C558,"")</f>
        <v/>
      </c>
      <c r="D558" t="str">
        <f>IF($A558&lt;&gt;"",'All Cases - Enter Cases'!D558,"")</f>
        <v/>
      </c>
      <c r="E558" t="str">
        <f>IF($A558&lt;&gt;"",'All Cases - Enter Cases'!E558,"")</f>
        <v/>
      </c>
      <c r="F558" t="str">
        <f>IF($A558&lt;&gt;"",'All Cases - Enter Cases'!F558,"")</f>
        <v/>
      </c>
      <c r="G558" t="str">
        <f>IF($A558&lt;&gt;"",'All Cases - Enter Cases'!G558,"")</f>
        <v/>
      </c>
      <c r="H558" t="str">
        <f>IF($A558&lt;&gt;"",'All Cases - Enter Cases'!H558,"")</f>
        <v/>
      </c>
      <c r="I558" t="str">
        <f>IF($A558&lt;&gt;"",'All Cases - Enter Cases'!I558,"")</f>
        <v/>
      </c>
      <c r="J558" t="str">
        <f>IF($A558&lt;&gt;"",'All Cases - Enter Cases'!J558,"")</f>
        <v/>
      </c>
      <c r="K558" t="str">
        <f>IF($A558&lt;&gt;"",'All Cases - Enter Cases'!K558,"")</f>
        <v/>
      </c>
      <c r="L558" t="str">
        <f>IF($A558&lt;&gt;"",'All Cases - Enter Cases'!L558,"")</f>
        <v/>
      </c>
      <c r="M558" t="str">
        <f>IF($A558&lt;&gt;"",'All Cases - Enter Cases'!M558,"")</f>
        <v/>
      </c>
    </row>
    <row r="559" spans="1:13" x14ac:dyDescent="0.35">
      <c r="A559" t="str">
        <f>IF('All Cases - Enter Cases'!$F559="Balochistan",'All Cases - Enter Cases'!A559,"")</f>
        <v/>
      </c>
      <c r="B559" t="str">
        <f>IF($A559&lt;&gt;"",'All Cases - Enter Cases'!B559,"")</f>
        <v/>
      </c>
      <c r="C559" t="str">
        <f>IF($A559&lt;&gt;"",'All Cases - Enter Cases'!C559,"")</f>
        <v/>
      </c>
      <c r="D559" t="str">
        <f>IF($A559&lt;&gt;"",'All Cases - Enter Cases'!D559,"")</f>
        <v/>
      </c>
      <c r="E559" t="str">
        <f>IF($A559&lt;&gt;"",'All Cases - Enter Cases'!E559,"")</f>
        <v/>
      </c>
      <c r="F559" t="str">
        <f>IF($A559&lt;&gt;"",'All Cases - Enter Cases'!F559,"")</f>
        <v/>
      </c>
      <c r="G559" t="str">
        <f>IF($A559&lt;&gt;"",'All Cases - Enter Cases'!G559,"")</f>
        <v/>
      </c>
      <c r="H559" t="str">
        <f>IF($A559&lt;&gt;"",'All Cases - Enter Cases'!H559,"")</f>
        <v/>
      </c>
      <c r="I559" t="str">
        <f>IF($A559&lt;&gt;"",'All Cases - Enter Cases'!I559,"")</f>
        <v/>
      </c>
      <c r="J559" t="str">
        <f>IF($A559&lt;&gt;"",'All Cases - Enter Cases'!J559,"")</f>
        <v/>
      </c>
      <c r="K559" t="str">
        <f>IF($A559&lt;&gt;"",'All Cases - Enter Cases'!K559,"")</f>
        <v/>
      </c>
      <c r="L559" t="str">
        <f>IF($A559&lt;&gt;"",'All Cases - Enter Cases'!L559,"")</f>
        <v/>
      </c>
      <c r="M559" t="str">
        <f>IF($A559&lt;&gt;"",'All Cases - Enter Cases'!M559,"")</f>
        <v/>
      </c>
    </row>
    <row r="560" spans="1:13" x14ac:dyDescent="0.35">
      <c r="A560" t="str">
        <f>IF('All Cases - Enter Cases'!$F560="Balochistan",'All Cases - Enter Cases'!A560,"")</f>
        <v/>
      </c>
      <c r="B560" t="str">
        <f>IF($A560&lt;&gt;"",'All Cases - Enter Cases'!B560,"")</f>
        <v/>
      </c>
      <c r="C560" t="str">
        <f>IF($A560&lt;&gt;"",'All Cases - Enter Cases'!C560,"")</f>
        <v/>
      </c>
      <c r="D560" t="str">
        <f>IF($A560&lt;&gt;"",'All Cases - Enter Cases'!D560,"")</f>
        <v/>
      </c>
      <c r="E560" t="str">
        <f>IF($A560&lt;&gt;"",'All Cases - Enter Cases'!E560,"")</f>
        <v/>
      </c>
      <c r="F560" t="str">
        <f>IF($A560&lt;&gt;"",'All Cases - Enter Cases'!F560,"")</f>
        <v/>
      </c>
      <c r="G560" t="str">
        <f>IF($A560&lt;&gt;"",'All Cases - Enter Cases'!G560,"")</f>
        <v/>
      </c>
      <c r="H560" t="str">
        <f>IF($A560&lt;&gt;"",'All Cases - Enter Cases'!H560,"")</f>
        <v/>
      </c>
      <c r="I560" t="str">
        <f>IF($A560&lt;&gt;"",'All Cases - Enter Cases'!I560,"")</f>
        <v/>
      </c>
      <c r="J560" t="str">
        <f>IF($A560&lt;&gt;"",'All Cases - Enter Cases'!J560,"")</f>
        <v/>
      </c>
      <c r="K560" t="str">
        <f>IF($A560&lt;&gt;"",'All Cases - Enter Cases'!K560,"")</f>
        <v/>
      </c>
      <c r="L560" t="str">
        <f>IF($A560&lt;&gt;"",'All Cases - Enter Cases'!L560,"")</f>
        <v/>
      </c>
      <c r="M560" t="str">
        <f>IF($A560&lt;&gt;"",'All Cases - Enter Cases'!M560,"")</f>
        <v/>
      </c>
    </row>
    <row r="561" spans="1:13" x14ac:dyDescent="0.35">
      <c r="A561" t="str">
        <f>IF('All Cases - Enter Cases'!$F561="Balochistan",'All Cases - Enter Cases'!A561,"")</f>
        <v/>
      </c>
      <c r="B561" t="str">
        <f>IF($A561&lt;&gt;"",'All Cases - Enter Cases'!B561,"")</f>
        <v/>
      </c>
      <c r="C561" t="str">
        <f>IF($A561&lt;&gt;"",'All Cases - Enter Cases'!C561,"")</f>
        <v/>
      </c>
      <c r="D561" t="str">
        <f>IF($A561&lt;&gt;"",'All Cases - Enter Cases'!D561,"")</f>
        <v/>
      </c>
      <c r="E561" t="str">
        <f>IF($A561&lt;&gt;"",'All Cases - Enter Cases'!E561,"")</f>
        <v/>
      </c>
      <c r="F561" t="str">
        <f>IF($A561&lt;&gt;"",'All Cases - Enter Cases'!F561,"")</f>
        <v/>
      </c>
      <c r="G561" t="str">
        <f>IF($A561&lt;&gt;"",'All Cases - Enter Cases'!G561,"")</f>
        <v/>
      </c>
      <c r="H561" t="str">
        <f>IF($A561&lt;&gt;"",'All Cases - Enter Cases'!H561,"")</f>
        <v/>
      </c>
      <c r="I561" t="str">
        <f>IF($A561&lt;&gt;"",'All Cases - Enter Cases'!I561,"")</f>
        <v/>
      </c>
      <c r="J561" t="str">
        <f>IF($A561&lt;&gt;"",'All Cases - Enter Cases'!J561,"")</f>
        <v/>
      </c>
      <c r="K561" t="str">
        <f>IF($A561&lt;&gt;"",'All Cases - Enter Cases'!K561,"")</f>
        <v/>
      </c>
      <c r="L561" t="str">
        <f>IF($A561&lt;&gt;"",'All Cases - Enter Cases'!L561,"")</f>
        <v/>
      </c>
      <c r="M561" t="str">
        <f>IF($A561&lt;&gt;"",'All Cases - Enter Cases'!M561,"")</f>
        <v/>
      </c>
    </row>
    <row r="562" spans="1:13" x14ac:dyDescent="0.35">
      <c r="A562" t="str">
        <f>IF('All Cases - Enter Cases'!$F562="Balochistan",'All Cases - Enter Cases'!A562,"")</f>
        <v/>
      </c>
      <c r="B562" t="str">
        <f>IF($A562&lt;&gt;"",'All Cases - Enter Cases'!B562,"")</f>
        <v/>
      </c>
      <c r="C562" t="str">
        <f>IF($A562&lt;&gt;"",'All Cases - Enter Cases'!C562,"")</f>
        <v/>
      </c>
      <c r="D562" t="str">
        <f>IF($A562&lt;&gt;"",'All Cases - Enter Cases'!D562,"")</f>
        <v/>
      </c>
      <c r="E562" t="str">
        <f>IF($A562&lt;&gt;"",'All Cases - Enter Cases'!E562,"")</f>
        <v/>
      </c>
      <c r="F562" t="str">
        <f>IF($A562&lt;&gt;"",'All Cases - Enter Cases'!F562,"")</f>
        <v/>
      </c>
      <c r="G562" t="str">
        <f>IF($A562&lt;&gt;"",'All Cases - Enter Cases'!G562,"")</f>
        <v/>
      </c>
      <c r="H562" t="str">
        <f>IF($A562&lt;&gt;"",'All Cases - Enter Cases'!H562,"")</f>
        <v/>
      </c>
      <c r="I562" t="str">
        <f>IF($A562&lt;&gt;"",'All Cases - Enter Cases'!I562,"")</f>
        <v/>
      </c>
      <c r="J562" t="str">
        <f>IF($A562&lt;&gt;"",'All Cases - Enter Cases'!J562,"")</f>
        <v/>
      </c>
      <c r="K562" t="str">
        <f>IF($A562&lt;&gt;"",'All Cases - Enter Cases'!K562,"")</f>
        <v/>
      </c>
      <c r="L562" t="str">
        <f>IF($A562&lt;&gt;"",'All Cases - Enter Cases'!L562,"")</f>
        <v/>
      </c>
      <c r="M562" t="str">
        <f>IF($A562&lt;&gt;"",'All Cases - Enter Cases'!M562,"")</f>
        <v/>
      </c>
    </row>
    <row r="563" spans="1:13" x14ac:dyDescent="0.35">
      <c r="A563" t="str">
        <f>IF('All Cases - Enter Cases'!$F563="Balochistan",'All Cases - Enter Cases'!A563,"")</f>
        <v/>
      </c>
      <c r="B563" t="str">
        <f>IF($A563&lt;&gt;"",'All Cases - Enter Cases'!B563,"")</f>
        <v/>
      </c>
      <c r="C563" t="str">
        <f>IF($A563&lt;&gt;"",'All Cases - Enter Cases'!C563,"")</f>
        <v/>
      </c>
      <c r="D563" t="str">
        <f>IF($A563&lt;&gt;"",'All Cases - Enter Cases'!D563,"")</f>
        <v/>
      </c>
      <c r="E563" t="str">
        <f>IF($A563&lt;&gt;"",'All Cases - Enter Cases'!E563,"")</f>
        <v/>
      </c>
      <c r="F563" t="str">
        <f>IF($A563&lt;&gt;"",'All Cases - Enter Cases'!F563,"")</f>
        <v/>
      </c>
      <c r="G563" t="str">
        <f>IF($A563&lt;&gt;"",'All Cases - Enter Cases'!G563,"")</f>
        <v/>
      </c>
      <c r="H563" t="str">
        <f>IF($A563&lt;&gt;"",'All Cases - Enter Cases'!H563,"")</f>
        <v/>
      </c>
      <c r="I563" t="str">
        <f>IF($A563&lt;&gt;"",'All Cases - Enter Cases'!I563,"")</f>
        <v/>
      </c>
      <c r="J563" t="str">
        <f>IF($A563&lt;&gt;"",'All Cases - Enter Cases'!J563,"")</f>
        <v/>
      </c>
      <c r="K563" t="str">
        <f>IF($A563&lt;&gt;"",'All Cases - Enter Cases'!K563,"")</f>
        <v/>
      </c>
      <c r="L563" t="str">
        <f>IF($A563&lt;&gt;"",'All Cases - Enter Cases'!L563,"")</f>
        <v/>
      </c>
      <c r="M563" t="str">
        <f>IF($A563&lt;&gt;"",'All Cases - Enter Cases'!M563,"")</f>
        <v/>
      </c>
    </row>
    <row r="564" spans="1:13" x14ac:dyDescent="0.35">
      <c r="A564" t="str">
        <f>IF('All Cases - Enter Cases'!$F564="Balochistan",'All Cases - Enter Cases'!A564,"")</f>
        <v/>
      </c>
      <c r="B564" t="str">
        <f>IF($A564&lt;&gt;"",'All Cases - Enter Cases'!B564,"")</f>
        <v/>
      </c>
      <c r="C564" t="str">
        <f>IF($A564&lt;&gt;"",'All Cases - Enter Cases'!C564,"")</f>
        <v/>
      </c>
      <c r="D564" t="str">
        <f>IF($A564&lt;&gt;"",'All Cases - Enter Cases'!D564,"")</f>
        <v/>
      </c>
      <c r="E564" t="str">
        <f>IF($A564&lt;&gt;"",'All Cases - Enter Cases'!E564,"")</f>
        <v/>
      </c>
      <c r="F564" t="str">
        <f>IF($A564&lt;&gt;"",'All Cases - Enter Cases'!F564,"")</f>
        <v/>
      </c>
      <c r="G564" t="str">
        <f>IF($A564&lt;&gt;"",'All Cases - Enter Cases'!G564,"")</f>
        <v/>
      </c>
      <c r="H564" t="str">
        <f>IF($A564&lt;&gt;"",'All Cases - Enter Cases'!H564,"")</f>
        <v/>
      </c>
      <c r="I564" t="str">
        <f>IF($A564&lt;&gt;"",'All Cases - Enter Cases'!I564,"")</f>
        <v/>
      </c>
      <c r="J564" t="str">
        <f>IF($A564&lt;&gt;"",'All Cases - Enter Cases'!J564,"")</f>
        <v/>
      </c>
      <c r="K564" t="str">
        <f>IF($A564&lt;&gt;"",'All Cases - Enter Cases'!K564,"")</f>
        <v/>
      </c>
      <c r="L564" t="str">
        <f>IF($A564&lt;&gt;"",'All Cases - Enter Cases'!L564,"")</f>
        <v/>
      </c>
      <c r="M564" t="str">
        <f>IF($A564&lt;&gt;"",'All Cases - Enter Cases'!M564,"")</f>
        <v/>
      </c>
    </row>
    <row r="565" spans="1:13" x14ac:dyDescent="0.35">
      <c r="A565" t="str">
        <f>IF('All Cases - Enter Cases'!$F565="Balochistan",'All Cases - Enter Cases'!A565,"")</f>
        <v/>
      </c>
      <c r="B565" t="str">
        <f>IF($A565&lt;&gt;"",'All Cases - Enter Cases'!B565,"")</f>
        <v/>
      </c>
      <c r="C565" t="str">
        <f>IF($A565&lt;&gt;"",'All Cases - Enter Cases'!C565,"")</f>
        <v/>
      </c>
      <c r="D565" t="str">
        <f>IF($A565&lt;&gt;"",'All Cases - Enter Cases'!D565,"")</f>
        <v/>
      </c>
      <c r="E565" t="str">
        <f>IF($A565&lt;&gt;"",'All Cases - Enter Cases'!E565,"")</f>
        <v/>
      </c>
      <c r="F565" t="str">
        <f>IF($A565&lt;&gt;"",'All Cases - Enter Cases'!F565,"")</f>
        <v/>
      </c>
      <c r="G565" t="str">
        <f>IF($A565&lt;&gt;"",'All Cases - Enter Cases'!G565,"")</f>
        <v/>
      </c>
      <c r="H565" t="str">
        <f>IF($A565&lt;&gt;"",'All Cases - Enter Cases'!H565,"")</f>
        <v/>
      </c>
      <c r="I565" t="str">
        <f>IF($A565&lt;&gt;"",'All Cases - Enter Cases'!I565,"")</f>
        <v/>
      </c>
      <c r="J565" t="str">
        <f>IF($A565&lt;&gt;"",'All Cases - Enter Cases'!J565,"")</f>
        <v/>
      </c>
      <c r="K565" t="str">
        <f>IF($A565&lt;&gt;"",'All Cases - Enter Cases'!K565,"")</f>
        <v/>
      </c>
      <c r="L565" t="str">
        <f>IF($A565&lt;&gt;"",'All Cases - Enter Cases'!L565,"")</f>
        <v/>
      </c>
      <c r="M565" t="str">
        <f>IF($A565&lt;&gt;"",'All Cases - Enter Cases'!M565,"")</f>
        <v/>
      </c>
    </row>
    <row r="566" spans="1:13" x14ac:dyDescent="0.35">
      <c r="A566" t="str">
        <f>IF('All Cases - Enter Cases'!$F566="Balochistan",'All Cases - Enter Cases'!A566,"")</f>
        <v/>
      </c>
      <c r="B566" t="str">
        <f>IF($A566&lt;&gt;"",'All Cases - Enter Cases'!B566,"")</f>
        <v/>
      </c>
      <c r="C566" t="str">
        <f>IF($A566&lt;&gt;"",'All Cases - Enter Cases'!C566,"")</f>
        <v/>
      </c>
      <c r="D566" t="str">
        <f>IF($A566&lt;&gt;"",'All Cases - Enter Cases'!D566,"")</f>
        <v/>
      </c>
      <c r="E566" t="str">
        <f>IF($A566&lt;&gt;"",'All Cases - Enter Cases'!E566,"")</f>
        <v/>
      </c>
      <c r="F566" t="str">
        <f>IF($A566&lt;&gt;"",'All Cases - Enter Cases'!F566,"")</f>
        <v/>
      </c>
      <c r="G566" t="str">
        <f>IF($A566&lt;&gt;"",'All Cases - Enter Cases'!G566,"")</f>
        <v/>
      </c>
      <c r="H566" t="str">
        <f>IF($A566&lt;&gt;"",'All Cases - Enter Cases'!H566,"")</f>
        <v/>
      </c>
      <c r="I566" t="str">
        <f>IF($A566&lt;&gt;"",'All Cases - Enter Cases'!I566,"")</f>
        <v/>
      </c>
      <c r="J566" t="str">
        <f>IF($A566&lt;&gt;"",'All Cases - Enter Cases'!J566,"")</f>
        <v/>
      </c>
      <c r="K566" t="str">
        <f>IF($A566&lt;&gt;"",'All Cases - Enter Cases'!K566,"")</f>
        <v/>
      </c>
      <c r="L566" t="str">
        <f>IF($A566&lt;&gt;"",'All Cases - Enter Cases'!L566,"")</f>
        <v/>
      </c>
      <c r="M566" t="str">
        <f>IF($A566&lt;&gt;"",'All Cases - Enter Cases'!M566,"")</f>
        <v/>
      </c>
    </row>
    <row r="567" spans="1:13" x14ac:dyDescent="0.35">
      <c r="A567" t="str">
        <f>IF('All Cases - Enter Cases'!$F567="Balochistan",'All Cases - Enter Cases'!A567,"")</f>
        <v/>
      </c>
      <c r="B567" t="str">
        <f>IF($A567&lt;&gt;"",'All Cases - Enter Cases'!B567,"")</f>
        <v/>
      </c>
      <c r="C567" t="str">
        <f>IF($A567&lt;&gt;"",'All Cases - Enter Cases'!C567,"")</f>
        <v/>
      </c>
      <c r="D567" t="str">
        <f>IF($A567&lt;&gt;"",'All Cases - Enter Cases'!D567,"")</f>
        <v/>
      </c>
      <c r="E567" t="str">
        <f>IF($A567&lt;&gt;"",'All Cases - Enter Cases'!E567,"")</f>
        <v/>
      </c>
      <c r="F567" t="str">
        <f>IF($A567&lt;&gt;"",'All Cases - Enter Cases'!F567,"")</f>
        <v/>
      </c>
      <c r="G567" t="str">
        <f>IF($A567&lt;&gt;"",'All Cases - Enter Cases'!G567,"")</f>
        <v/>
      </c>
      <c r="H567" t="str">
        <f>IF($A567&lt;&gt;"",'All Cases - Enter Cases'!H567,"")</f>
        <v/>
      </c>
      <c r="I567" t="str">
        <f>IF($A567&lt;&gt;"",'All Cases - Enter Cases'!I567,"")</f>
        <v/>
      </c>
      <c r="J567" t="str">
        <f>IF($A567&lt;&gt;"",'All Cases - Enter Cases'!J567,"")</f>
        <v/>
      </c>
      <c r="K567" t="str">
        <f>IF($A567&lt;&gt;"",'All Cases - Enter Cases'!K567,"")</f>
        <v/>
      </c>
      <c r="L567" t="str">
        <f>IF($A567&lt;&gt;"",'All Cases - Enter Cases'!L567,"")</f>
        <v/>
      </c>
      <c r="M567" t="str">
        <f>IF($A567&lt;&gt;"",'All Cases - Enter Cases'!M567,"")</f>
        <v/>
      </c>
    </row>
    <row r="568" spans="1:13" x14ac:dyDescent="0.35">
      <c r="A568" t="str">
        <f>IF('All Cases - Enter Cases'!$F568="Balochistan",'All Cases - Enter Cases'!A568,"")</f>
        <v/>
      </c>
      <c r="B568" t="str">
        <f>IF($A568&lt;&gt;"",'All Cases - Enter Cases'!B568,"")</f>
        <v/>
      </c>
      <c r="C568" t="str">
        <f>IF($A568&lt;&gt;"",'All Cases - Enter Cases'!C568,"")</f>
        <v/>
      </c>
      <c r="D568" t="str">
        <f>IF($A568&lt;&gt;"",'All Cases - Enter Cases'!D568,"")</f>
        <v/>
      </c>
      <c r="E568" t="str">
        <f>IF($A568&lt;&gt;"",'All Cases - Enter Cases'!E568,"")</f>
        <v/>
      </c>
      <c r="F568" t="str">
        <f>IF($A568&lt;&gt;"",'All Cases - Enter Cases'!F568,"")</f>
        <v/>
      </c>
      <c r="G568" t="str">
        <f>IF($A568&lt;&gt;"",'All Cases - Enter Cases'!G568,"")</f>
        <v/>
      </c>
      <c r="H568" t="str">
        <f>IF($A568&lt;&gt;"",'All Cases - Enter Cases'!H568,"")</f>
        <v/>
      </c>
      <c r="I568" t="str">
        <f>IF($A568&lt;&gt;"",'All Cases - Enter Cases'!I568,"")</f>
        <v/>
      </c>
      <c r="J568" t="str">
        <f>IF($A568&lt;&gt;"",'All Cases - Enter Cases'!J568,"")</f>
        <v/>
      </c>
      <c r="K568" t="str">
        <f>IF($A568&lt;&gt;"",'All Cases - Enter Cases'!K568,"")</f>
        <v/>
      </c>
      <c r="L568" t="str">
        <f>IF($A568&lt;&gt;"",'All Cases - Enter Cases'!L568,"")</f>
        <v/>
      </c>
      <c r="M568" t="str">
        <f>IF($A568&lt;&gt;"",'All Cases - Enter Cases'!M568,"")</f>
        <v/>
      </c>
    </row>
    <row r="569" spans="1:13" x14ac:dyDescent="0.35">
      <c r="A569" t="str">
        <f>IF('All Cases - Enter Cases'!$F569="Balochistan",'All Cases - Enter Cases'!A569,"")</f>
        <v/>
      </c>
      <c r="B569" t="str">
        <f>IF($A569&lt;&gt;"",'All Cases - Enter Cases'!B569,"")</f>
        <v/>
      </c>
      <c r="C569" t="str">
        <f>IF($A569&lt;&gt;"",'All Cases - Enter Cases'!C569,"")</f>
        <v/>
      </c>
      <c r="D569" t="str">
        <f>IF($A569&lt;&gt;"",'All Cases - Enter Cases'!D569,"")</f>
        <v/>
      </c>
      <c r="E569" t="str">
        <f>IF($A569&lt;&gt;"",'All Cases - Enter Cases'!E569,"")</f>
        <v/>
      </c>
      <c r="F569" t="str">
        <f>IF($A569&lt;&gt;"",'All Cases - Enter Cases'!F569,"")</f>
        <v/>
      </c>
      <c r="G569" t="str">
        <f>IF($A569&lt;&gt;"",'All Cases - Enter Cases'!G569,"")</f>
        <v/>
      </c>
      <c r="H569" t="str">
        <f>IF($A569&lt;&gt;"",'All Cases - Enter Cases'!H569,"")</f>
        <v/>
      </c>
      <c r="I569" t="str">
        <f>IF($A569&lt;&gt;"",'All Cases - Enter Cases'!I569,"")</f>
        <v/>
      </c>
      <c r="J569" t="str">
        <f>IF($A569&lt;&gt;"",'All Cases - Enter Cases'!J569,"")</f>
        <v/>
      </c>
      <c r="K569" t="str">
        <f>IF($A569&lt;&gt;"",'All Cases - Enter Cases'!K569,"")</f>
        <v/>
      </c>
      <c r="L569" t="str">
        <f>IF($A569&lt;&gt;"",'All Cases - Enter Cases'!L569,"")</f>
        <v/>
      </c>
      <c r="M569" t="str">
        <f>IF($A569&lt;&gt;"",'All Cases - Enter Cases'!M569,"")</f>
        <v/>
      </c>
    </row>
    <row r="570" spans="1:13" x14ac:dyDescent="0.35">
      <c r="A570" t="str">
        <f>IF('All Cases - Enter Cases'!$F570="Balochistan",'All Cases - Enter Cases'!A570,"")</f>
        <v/>
      </c>
      <c r="B570" t="str">
        <f>IF($A570&lt;&gt;"",'All Cases - Enter Cases'!B570,"")</f>
        <v/>
      </c>
      <c r="C570" t="str">
        <f>IF($A570&lt;&gt;"",'All Cases - Enter Cases'!C570,"")</f>
        <v/>
      </c>
      <c r="D570" t="str">
        <f>IF($A570&lt;&gt;"",'All Cases - Enter Cases'!D570,"")</f>
        <v/>
      </c>
      <c r="E570" t="str">
        <f>IF($A570&lt;&gt;"",'All Cases - Enter Cases'!E570,"")</f>
        <v/>
      </c>
      <c r="F570" t="str">
        <f>IF($A570&lt;&gt;"",'All Cases - Enter Cases'!F570,"")</f>
        <v/>
      </c>
      <c r="G570" t="str">
        <f>IF($A570&lt;&gt;"",'All Cases - Enter Cases'!G570,"")</f>
        <v/>
      </c>
      <c r="H570" t="str">
        <f>IF($A570&lt;&gt;"",'All Cases - Enter Cases'!H570,"")</f>
        <v/>
      </c>
      <c r="I570" t="str">
        <f>IF($A570&lt;&gt;"",'All Cases - Enter Cases'!I570,"")</f>
        <v/>
      </c>
      <c r="J570" t="str">
        <f>IF($A570&lt;&gt;"",'All Cases - Enter Cases'!J570,"")</f>
        <v/>
      </c>
      <c r="K570" t="str">
        <f>IF($A570&lt;&gt;"",'All Cases - Enter Cases'!K570,"")</f>
        <v/>
      </c>
      <c r="L570" t="str">
        <f>IF($A570&lt;&gt;"",'All Cases - Enter Cases'!L570,"")</f>
        <v/>
      </c>
      <c r="M570" t="str">
        <f>IF($A570&lt;&gt;"",'All Cases - Enter Cases'!M570,"")</f>
        <v/>
      </c>
    </row>
    <row r="571" spans="1:13" x14ac:dyDescent="0.35">
      <c r="A571" t="str">
        <f>IF('All Cases - Enter Cases'!$F571="Balochistan",'All Cases - Enter Cases'!A571,"")</f>
        <v/>
      </c>
      <c r="B571" t="str">
        <f>IF($A571&lt;&gt;"",'All Cases - Enter Cases'!B571,"")</f>
        <v/>
      </c>
      <c r="C571" t="str">
        <f>IF($A571&lt;&gt;"",'All Cases - Enter Cases'!C571,"")</f>
        <v/>
      </c>
      <c r="D571" t="str">
        <f>IF($A571&lt;&gt;"",'All Cases - Enter Cases'!D571,"")</f>
        <v/>
      </c>
      <c r="E571" t="str">
        <f>IF($A571&lt;&gt;"",'All Cases - Enter Cases'!E571,"")</f>
        <v/>
      </c>
      <c r="F571" t="str">
        <f>IF($A571&lt;&gt;"",'All Cases - Enter Cases'!F571,"")</f>
        <v/>
      </c>
      <c r="G571" t="str">
        <f>IF($A571&lt;&gt;"",'All Cases - Enter Cases'!G571,"")</f>
        <v/>
      </c>
      <c r="H571" t="str">
        <f>IF($A571&lt;&gt;"",'All Cases - Enter Cases'!H571,"")</f>
        <v/>
      </c>
      <c r="I571" t="str">
        <f>IF($A571&lt;&gt;"",'All Cases - Enter Cases'!I571,"")</f>
        <v/>
      </c>
      <c r="J571" t="str">
        <f>IF($A571&lt;&gt;"",'All Cases - Enter Cases'!J571,"")</f>
        <v/>
      </c>
      <c r="K571" t="str">
        <f>IF($A571&lt;&gt;"",'All Cases - Enter Cases'!K571,"")</f>
        <v/>
      </c>
      <c r="L571" t="str">
        <f>IF($A571&lt;&gt;"",'All Cases - Enter Cases'!L571,"")</f>
        <v/>
      </c>
      <c r="M571" t="str">
        <f>IF($A571&lt;&gt;"",'All Cases - Enter Cases'!M571,"")</f>
        <v/>
      </c>
    </row>
    <row r="572" spans="1:13" x14ac:dyDescent="0.35">
      <c r="A572" t="str">
        <f>IF('All Cases - Enter Cases'!$F572="Balochistan",'All Cases - Enter Cases'!A572,"")</f>
        <v/>
      </c>
      <c r="B572" t="str">
        <f>IF($A572&lt;&gt;"",'All Cases - Enter Cases'!B572,"")</f>
        <v/>
      </c>
      <c r="C572" t="str">
        <f>IF($A572&lt;&gt;"",'All Cases - Enter Cases'!C572,"")</f>
        <v/>
      </c>
      <c r="D572" t="str">
        <f>IF($A572&lt;&gt;"",'All Cases - Enter Cases'!D572,"")</f>
        <v/>
      </c>
      <c r="E572" t="str">
        <f>IF($A572&lt;&gt;"",'All Cases - Enter Cases'!E572,"")</f>
        <v/>
      </c>
      <c r="F572" t="str">
        <f>IF($A572&lt;&gt;"",'All Cases - Enter Cases'!F572,"")</f>
        <v/>
      </c>
      <c r="G572" t="str">
        <f>IF($A572&lt;&gt;"",'All Cases - Enter Cases'!G572,"")</f>
        <v/>
      </c>
      <c r="H572" t="str">
        <f>IF($A572&lt;&gt;"",'All Cases - Enter Cases'!H572,"")</f>
        <v/>
      </c>
      <c r="I572" t="str">
        <f>IF($A572&lt;&gt;"",'All Cases - Enter Cases'!I572,"")</f>
        <v/>
      </c>
      <c r="J572" t="str">
        <f>IF($A572&lt;&gt;"",'All Cases - Enter Cases'!J572,"")</f>
        <v/>
      </c>
      <c r="K572" t="str">
        <f>IF($A572&lt;&gt;"",'All Cases - Enter Cases'!K572,"")</f>
        <v/>
      </c>
      <c r="L572" t="str">
        <f>IF($A572&lt;&gt;"",'All Cases - Enter Cases'!L572,"")</f>
        <v/>
      </c>
      <c r="M572" t="str">
        <f>IF($A572&lt;&gt;"",'All Cases - Enter Cases'!M572,"")</f>
        <v/>
      </c>
    </row>
    <row r="573" spans="1:13" x14ac:dyDescent="0.35">
      <c r="A573" t="str">
        <f>IF('All Cases - Enter Cases'!$F573="Balochistan",'All Cases - Enter Cases'!A573,"")</f>
        <v/>
      </c>
      <c r="B573" t="str">
        <f>IF($A573&lt;&gt;"",'All Cases - Enter Cases'!B573,"")</f>
        <v/>
      </c>
      <c r="C573" t="str">
        <f>IF($A573&lt;&gt;"",'All Cases - Enter Cases'!C573,"")</f>
        <v/>
      </c>
      <c r="D573" t="str">
        <f>IF($A573&lt;&gt;"",'All Cases - Enter Cases'!D573,"")</f>
        <v/>
      </c>
      <c r="E573" t="str">
        <f>IF($A573&lt;&gt;"",'All Cases - Enter Cases'!E573,"")</f>
        <v/>
      </c>
      <c r="F573" t="str">
        <f>IF($A573&lt;&gt;"",'All Cases - Enter Cases'!F573,"")</f>
        <v/>
      </c>
      <c r="G573" t="str">
        <f>IF($A573&lt;&gt;"",'All Cases - Enter Cases'!G573,"")</f>
        <v/>
      </c>
      <c r="H573" t="str">
        <f>IF($A573&lt;&gt;"",'All Cases - Enter Cases'!H573,"")</f>
        <v/>
      </c>
      <c r="I573" t="str">
        <f>IF($A573&lt;&gt;"",'All Cases - Enter Cases'!I573,"")</f>
        <v/>
      </c>
      <c r="J573" t="str">
        <f>IF($A573&lt;&gt;"",'All Cases - Enter Cases'!J573,"")</f>
        <v/>
      </c>
      <c r="K573" t="str">
        <f>IF($A573&lt;&gt;"",'All Cases - Enter Cases'!K573,"")</f>
        <v/>
      </c>
      <c r="L573" t="str">
        <f>IF($A573&lt;&gt;"",'All Cases - Enter Cases'!L573,"")</f>
        <v/>
      </c>
      <c r="M573" t="str">
        <f>IF($A573&lt;&gt;"",'All Cases - Enter Cases'!M573,"")</f>
        <v/>
      </c>
    </row>
    <row r="574" spans="1:13" x14ac:dyDescent="0.35">
      <c r="A574" t="str">
        <f>IF('All Cases - Enter Cases'!$F574="Balochistan",'All Cases - Enter Cases'!A574,"")</f>
        <v/>
      </c>
      <c r="B574" t="str">
        <f>IF($A574&lt;&gt;"",'All Cases - Enter Cases'!B574,"")</f>
        <v/>
      </c>
      <c r="C574" t="str">
        <f>IF($A574&lt;&gt;"",'All Cases - Enter Cases'!C574,"")</f>
        <v/>
      </c>
      <c r="D574" t="str">
        <f>IF($A574&lt;&gt;"",'All Cases - Enter Cases'!D574,"")</f>
        <v/>
      </c>
      <c r="E574" t="str">
        <f>IF($A574&lt;&gt;"",'All Cases - Enter Cases'!E574,"")</f>
        <v/>
      </c>
      <c r="F574" t="str">
        <f>IF($A574&lt;&gt;"",'All Cases - Enter Cases'!F574,"")</f>
        <v/>
      </c>
      <c r="G574" t="str">
        <f>IF($A574&lt;&gt;"",'All Cases - Enter Cases'!G574,"")</f>
        <v/>
      </c>
      <c r="H574" t="str">
        <f>IF($A574&lt;&gt;"",'All Cases - Enter Cases'!H574,"")</f>
        <v/>
      </c>
      <c r="I574" t="str">
        <f>IF($A574&lt;&gt;"",'All Cases - Enter Cases'!I574,"")</f>
        <v/>
      </c>
      <c r="J574" t="str">
        <f>IF($A574&lt;&gt;"",'All Cases - Enter Cases'!J574,"")</f>
        <v/>
      </c>
      <c r="K574" t="str">
        <f>IF($A574&lt;&gt;"",'All Cases - Enter Cases'!K574,"")</f>
        <v/>
      </c>
      <c r="L574" t="str">
        <f>IF($A574&lt;&gt;"",'All Cases - Enter Cases'!L574,"")</f>
        <v/>
      </c>
      <c r="M574" t="str">
        <f>IF($A574&lt;&gt;"",'All Cases - Enter Cases'!M574,"")</f>
        <v/>
      </c>
    </row>
    <row r="575" spans="1:13" x14ac:dyDescent="0.35">
      <c r="A575" t="str">
        <f>IF('All Cases - Enter Cases'!$F575="Balochistan",'All Cases - Enter Cases'!A575,"")</f>
        <v/>
      </c>
      <c r="B575" t="str">
        <f>IF($A575&lt;&gt;"",'All Cases - Enter Cases'!B575,"")</f>
        <v/>
      </c>
      <c r="C575" t="str">
        <f>IF($A575&lt;&gt;"",'All Cases - Enter Cases'!C575,"")</f>
        <v/>
      </c>
      <c r="D575" t="str">
        <f>IF($A575&lt;&gt;"",'All Cases - Enter Cases'!D575,"")</f>
        <v/>
      </c>
      <c r="E575" t="str">
        <f>IF($A575&lt;&gt;"",'All Cases - Enter Cases'!E575,"")</f>
        <v/>
      </c>
      <c r="F575" t="str">
        <f>IF($A575&lt;&gt;"",'All Cases - Enter Cases'!F575,"")</f>
        <v/>
      </c>
      <c r="G575" t="str">
        <f>IF($A575&lt;&gt;"",'All Cases - Enter Cases'!G575,"")</f>
        <v/>
      </c>
      <c r="H575" t="str">
        <f>IF($A575&lt;&gt;"",'All Cases - Enter Cases'!H575,"")</f>
        <v/>
      </c>
      <c r="I575" t="str">
        <f>IF($A575&lt;&gt;"",'All Cases - Enter Cases'!I575,"")</f>
        <v/>
      </c>
      <c r="J575" t="str">
        <f>IF($A575&lt;&gt;"",'All Cases - Enter Cases'!J575,"")</f>
        <v/>
      </c>
      <c r="K575" t="str">
        <f>IF($A575&lt;&gt;"",'All Cases - Enter Cases'!K575,"")</f>
        <v/>
      </c>
      <c r="L575" t="str">
        <f>IF($A575&lt;&gt;"",'All Cases - Enter Cases'!L575,"")</f>
        <v/>
      </c>
      <c r="M575" t="str">
        <f>IF($A575&lt;&gt;"",'All Cases - Enter Cases'!M575,"")</f>
        <v/>
      </c>
    </row>
    <row r="576" spans="1:13" x14ac:dyDescent="0.35">
      <c r="A576" t="str">
        <f>IF('All Cases - Enter Cases'!$F576="Balochistan",'All Cases - Enter Cases'!A576,"")</f>
        <v/>
      </c>
      <c r="B576" t="str">
        <f>IF($A576&lt;&gt;"",'All Cases - Enter Cases'!B576,"")</f>
        <v/>
      </c>
      <c r="C576" t="str">
        <f>IF($A576&lt;&gt;"",'All Cases - Enter Cases'!C576,"")</f>
        <v/>
      </c>
      <c r="D576" t="str">
        <f>IF($A576&lt;&gt;"",'All Cases - Enter Cases'!D576,"")</f>
        <v/>
      </c>
      <c r="E576" t="str">
        <f>IF($A576&lt;&gt;"",'All Cases - Enter Cases'!E576,"")</f>
        <v/>
      </c>
      <c r="F576" t="str">
        <f>IF($A576&lt;&gt;"",'All Cases - Enter Cases'!F576,"")</f>
        <v/>
      </c>
      <c r="G576" t="str">
        <f>IF($A576&lt;&gt;"",'All Cases - Enter Cases'!G576,"")</f>
        <v/>
      </c>
      <c r="H576" t="str">
        <f>IF($A576&lt;&gt;"",'All Cases - Enter Cases'!H576,"")</f>
        <v/>
      </c>
      <c r="I576" t="str">
        <f>IF($A576&lt;&gt;"",'All Cases - Enter Cases'!I576,"")</f>
        <v/>
      </c>
      <c r="J576" t="str">
        <f>IF($A576&lt;&gt;"",'All Cases - Enter Cases'!J576,"")</f>
        <v/>
      </c>
      <c r="K576" t="str">
        <f>IF($A576&lt;&gt;"",'All Cases - Enter Cases'!K576,"")</f>
        <v/>
      </c>
      <c r="L576" t="str">
        <f>IF($A576&lt;&gt;"",'All Cases - Enter Cases'!L576,"")</f>
        <v/>
      </c>
      <c r="M576" t="str">
        <f>IF($A576&lt;&gt;"",'All Cases - Enter Cases'!M576,"")</f>
        <v/>
      </c>
    </row>
    <row r="577" spans="1:13" x14ac:dyDescent="0.35">
      <c r="A577" t="str">
        <f>IF('All Cases - Enter Cases'!$F577="Balochistan",'All Cases - Enter Cases'!A577,"")</f>
        <v/>
      </c>
      <c r="B577" t="str">
        <f>IF($A577&lt;&gt;"",'All Cases - Enter Cases'!B577,"")</f>
        <v/>
      </c>
      <c r="C577" t="str">
        <f>IF($A577&lt;&gt;"",'All Cases - Enter Cases'!C577,"")</f>
        <v/>
      </c>
      <c r="D577" t="str">
        <f>IF($A577&lt;&gt;"",'All Cases - Enter Cases'!D577,"")</f>
        <v/>
      </c>
      <c r="E577" t="str">
        <f>IF($A577&lt;&gt;"",'All Cases - Enter Cases'!E577,"")</f>
        <v/>
      </c>
      <c r="F577" t="str">
        <f>IF($A577&lt;&gt;"",'All Cases - Enter Cases'!F577,"")</f>
        <v/>
      </c>
      <c r="G577" t="str">
        <f>IF($A577&lt;&gt;"",'All Cases - Enter Cases'!G577,"")</f>
        <v/>
      </c>
      <c r="H577" t="str">
        <f>IF($A577&lt;&gt;"",'All Cases - Enter Cases'!H577,"")</f>
        <v/>
      </c>
      <c r="I577" t="str">
        <f>IF($A577&lt;&gt;"",'All Cases - Enter Cases'!I577,"")</f>
        <v/>
      </c>
      <c r="J577" t="str">
        <f>IF($A577&lt;&gt;"",'All Cases - Enter Cases'!J577,"")</f>
        <v/>
      </c>
      <c r="K577" t="str">
        <f>IF($A577&lt;&gt;"",'All Cases - Enter Cases'!K577,"")</f>
        <v/>
      </c>
      <c r="L577" t="str">
        <f>IF($A577&lt;&gt;"",'All Cases - Enter Cases'!L577,"")</f>
        <v/>
      </c>
      <c r="M577" t="str">
        <f>IF($A577&lt;&gt;"",'All Cases - Enter Cases'!M577,"")</f>
        <v/>
      </c>
    </row>
    <row r="578" spans="1:13" x14ac:dyDescent="0.35">
      <c r="A578" t="str">
        <f>IF('All Cases - Enter Cases'!$F578="Balochistan",'All Cases - Enter Cases'!A578,"")</f>
        <v/>
      </c>
      <c r="B578" t="str">
        <f>IF($A578&lt;&gt;"",'All Cases - Enter Cases'!B578,"")</f>
        <v/>
      </c>
      <c r="C578" t="str">
        <f>IF($A578&lt;&gt;"",'All Cases - Enter Cases'!C578,"")</f>
        <v/>
      </c>
      <c r="D578" t="str">
        <f>IF($A578&lt;&gt;"",'All Cases - Enter Cases'!D578,"")</f>
        <v/>
      </c>
      <c r="E578" t="str">
        <f>IF($A578&lt;&gt;"",'All Cases - Enter Cases'!E578,"")</f>
        <v/>
      </c>
      <c r="F578" t="str">
        <f>IF($A578&lt;&gt;"",'All Cases - Enter Cases'!F578,"")</f>
        <v/>
      </c>
      <c r="G578" t="str">
        <f>IF($A578&lt;&gt;"",'All Cases - Enter Cases'!G578,"")</f>
        <v/>
      </c>
      <c r="H578" t="str">
        <f>IF($A578&lt;&gt;"",'All Cases - Enter Cases'!H578,"")</f>
        <v/>
      </c>
      <c r="I578" t="str">
        <f>IF($A578&lt;&gt;"",'All Cases - Enter Cases'!I578,"")</f>
        <v/>
      </c>
      <c r="J578" t="str">
        <f>IF($A578&lt;&gt;"",'All Cases - Enter Cases'!J578,"")</f>
        <v/>
      </c>
      <c r="K578" t="str">
        <f>IF($A578&lt;&gt;"",'All Cases - Enter Cases'!K578,"")</f>
        <v/>
      </c>
      <c r="L578" t="str">
        <f>IF($A578&lt;&gt;"",'All Cases - Enter Cases'!L578,"")</f>
        <v/>
      </c>
      <c r="M578" t="str">
        <f>IF($A578&lt;&gt;"",'All Cases - Enter Cases'!M578,"")</f>
        <v/>
      </c>
    </row>
    <row r="579" spans="1:13" x14ac:dyDescent="0.35">
      <c r="A579" t="str">
        <f>IF('All Cases - Enter Cases'!$F579="Balochistan",'All Cases - Enter Cases'!A579,"")</f>
        <v/>
      </c>
      <c r="B579" t="str">
        <f>IF($A579&lt;&gt;"",'All Cases - Enter Cases'!B579,"")</f>
        <v/>
      </c>
      <c r="C579" t="str">
        <f>IF($A579&lt;&gt;"",'All Cases - Enter Cases'!C579,"")</f>
        <v/>
      </c>
      <c r="D579" t="str">
        <f>IF($A579&lt;&gt;"",'All Cases - Enter Cases'!D579,"")</f>
        <v/>
      </c>
      <c r="E579" t="str">
        <f>IF($A579&lt;&gt;"",'All Cases - Enter Cases'!E579,"")</f>
        <v/>
      </c>
      <c r="F579" t="str">
        <f>IF($A579&lt;&gt;"",'All Cases - Enter Cases'!F579,"")</f>
        <v/>
      </c>
      <c r="G579" t="str">
        <f>IF($A579&lt;&gt;"",'All Cases - Enter Cases'!G579,"")</f>
        <v/>
      </c>
      <c r="H579" t="str">
        <f>IF($A579&lt;&gt;"",'All Cases - Enter Cases'!H579,"")</f>
        <v/>
      </c>
      <c r="I579" t="str">
        <f>IF($A579&lt;&gt;"",'All Cases - Enter Cases'!I579,"")</f>
        <v/>
      </c>
      <c r="J579" t="str">
        <f>IF($A579&lt;&gt;"",'All Cases - Enter Cases'!J579,"")</f>
        <v/>
      </c>
      <c r="K579" t="str">
        <f>IF($A579&lt;&gt;"",'All Cases - Enter Cases'!K579,"")</f>
        <v/>
      </c>
      <c r="L579" t="str">
        <f>IF($A579&lt;&gt;"",'All Cases - Enter Cases'!L579,"")</f>
        <v/>
      </c>
      <c r="M579" t="str">
        <f>IF($A579&lt;&gt;"",'All Cases - Enter Cases'!M579,"")</f>
        <v/>
      </c>
    </row>
    <row r="580" spans="1:13" x14ac:dyDescent="0.35">
      <c r="A580" t="str">
        <f>IF('All Cases - Enter Cases'!$F580="Balochistan",'All Cases - Enter Cases'!A580,"")</f>
        <v/>
      </c>
      <c r="B580" t="str">
        <f>IF($A580&lt;&gt;"",'All Cases - Enter Cases'!B580,"")</f>
        <v/>
      </c>
      <c r="C580" t="str">
        <f>IF($A580&lt;&gt;"",'All Cases - Enter Cases'!C580,"")</f>
        <v/>
      </c>
      <c r="D580" t="str">
        <f>IF($A580&lt;&gt;"",'All Cases - Enter Cases'!D580,"")</f>
        <v/>
      </c>
      <c r="E580" t="str">
        <f>IF($A580&lt;&gt;"",'All Cases - Enter Cases'!E580,"")</f>
        <v/>
      </c>
      <c r="F580" t="str">
        <f>IF($A580&lt;&gt;"",'All Cases - Enter Cases'!F580,"")</f>
        <v/>
      </c>
      <c r="G580" t="str">
        <f>IF($A580&lt;&gt;"",'All Cases - Enter Cases'!G580,"")</f>
        <v/>
      </c>
      <c r="H580" t="str">
        <f>IF($A580&lt;&gt;"",'All Cases - Enter Cases'!H580,"")</f>
        <v/>
      </c>
      <c r="I580" t="str">
        <f>IF($A580&lt;&gt;"",'All Cases - Enter Cases'!I580,"")</f>
        <v/>
      </c>
      <c r="J580" t="str">
        <f>IF($A580&lt;&gt;"",'All Cases - Enter Cases'!J580,"")</f>
        <v/>
      </c>
      <c r="K580" t="str">
        <f>IF($A580&lt;&gt;"",'All Cases - Enter Cases'!K580,"")</f>
        <v/>
      </c>
      <c r="L580" t="str">
        <f>IF($A580&lt;&gt;"",'All Cases - Enter Cases'!L580,"")</f>
        <v/>
      </c>
      <c r="M580" t="str">
        <f>IF($A580&lt;&gt;"",'All Cases - Enter Cases'!M580,"")</f>
        <v/>
      </c>
    </row>
    <row r="581" spans="1:13" x14ac:dyDescent="0.35">
      <c r="A581" t="str">
        <f>IF('All Cases - Enter Cases'!$F581="Balochistan",'All Cases - Enter Cases'!A581,"")</f>
        <v/>
      </c>
      <c r="B581" t="str">
        <f>IF($A581&lt;&gt;"",'All Cases - Enter Cases'!B581,"")</f>
        <v/>
      </c>
      <c r="C581" t="str">
        <f>IF($A581&lt;&gt;"",'All Cases - Enter Cases'!C581,"")</f>
        <v/>
      </c>
      <c r="D581" t="str">
        <f>IF($A581&lt;&gt;"",'All Cases - Enter Cases'!D581,"")</f>
        <v/>
      </c>
      <c r="E581" t="str">
        <f>IF($A581&lt;&gt;"",'All Cases - Enter Cases'!E581,"")</f>
        <v/>
      </c>
      <c r="F581" t="str">
        <f>IF($A581&lt;&gt;"",'All Cases - Enter Cases'!F581,"")</f>
        <v/>
      </c>
      <c r="G581" t="str">
        <f>IF($A581&lt;&gt;"",'All Cases - Enter Cases'!G581,"")</f>
        <v/>
      </c>
      <c r="H581" t="str">
        <f>IF($A581&lt;&gt;"",'All Cases - Enter Cases'!H581,"")</f>
        <v/>
      </c>
      <c r="I581" t="str">
        <f>IF($A581&lt;&gt;"",'All Cases - Enter Cases'!I581,"")</f>
        <v/>
      </c>
      <c r="J581" t="str">
        <f>IF($A581&lt;&gt;"",'All Cases - Enter Cases'!J581,"")</f>
        <v/>
      </c>
      <c r="K581" t="str">
        <f>IF($A581&lt;&gt;"",'All Cases - Enter Cases'!K581,"")</f>
        <v/>
      </c>
      <c r="L581" t="str">
        <f>IF($A581&lt;&gt;"",'All Cases - Enter Cases'!L581,"")</f>
        <v/>
      </c>
      <c r="M581" t="str">
        <f>IF($A581&lt;&gt;"",'All Cases - Enter Cases'!M581,"")</f>
        <v/>
      </c>
    </row>
    <row r="582" spans="1:13" x14ac:dyDescent="0.35">
      <c r="A582" t="str">
        <f>IF('All Cases - Enter Cases'!$F582="Balochistan",'All Cases - Enter Cases'!A582,"")</f>
        <v/>
      </c>
      <c r="B582" t="str">
        <f>IF($A582&lt;&gt;"",'All Cases - Enter Cases'!B582,"")</f>
        <v/>
      </c>
      <c r="C582" t="str">
        <f>IF($A582&lt;&gt;"",'All Cases - Enter Cases'!C582,"")</f>
        <v/>
      </c>
      <c r="D582" t="str">
        <f>IF($A582&lt;&gt;"",'All Cases - Enter Cases'!D582,"")</f>
        <v/>
      </c>
      <c r="E582" t="str">
        <f>IF($A582&lt;&gt;"",'All Cases - Enter Cases'!E582,"")</f>
        <v/>
      </c>
      <c r="F582" t="str">
        <f>IF($A582&lt;&gt;"",'All Cases - Enter Cases'!F582,"")</f>
        <v/>
      </c>
      <c r="G582" t="str">
        <f>IF($A582&lt;&gt;"",'All Cases - Enter Cases'!G582,"")</f>
        <v/>
      </c>
      <c r="H582" t="str">
        <f>IF($A582&lt;&gt;"",'All Cases - Enter Cases'!H582,"")</f>
        <v/>
      </c>
      <c r="I582" t="str">
        <f>IF($A582&lt;&gt;"",'All Cases - Enter Cases'!I582,"")</f>
        <v/>
      </c>
      <c r="J582" t="str">
        <f>IF($A582&lt;&gt;"",'All Cases - Enter Cases'!J582,"")</f>
        <v/>
      </c>
      <c r="K582" t="str">
        <f>IF($A582&lt;&gt;"",'All Cases - Enter Cases'!K582,"")</f>
        <v/>
      </c>
      <c r="L582" t="str">
        <f>IF($A582&lt;&gt;"",'All Cases - Enter Cases'!L582,"")</f>
        <v/>
      </c>
      <c r="M582" t="str">
        <f>IF($A582&lt;&gt;"",'All Cases - Enter Cases'!M582,"")</f>
        <v/>
      </c>
    </row>
    <row r="583" spans="1:13" x14ac:dyDescent="0.35">
      <c r="A583" t="str">
        <f>IF('All Cases - Enter Cases'!$F583="Balochistan",'All Cases - Enter Cases'!A583,"")</f>
        <v/>
      </c>
      <c r="B583" t="str">
        <f>IF($A583&lt;&gt;"",'All Cases - Enter Cases'!B583,"")</f>
        <v/>
      </c>
      <c r="C583" t="str">
        <f>IF($A583&lt;&gt;"",'All Cases - Enter Cases'!C583,"")</f>
        <v/>
      </c>
      <c r="D583" t="str">
        <f>IF($A583&lt;&gt;"",'All Cases - Enter Cases'!D583,"")</f>
        <v/>
      </c>
      <c r="E583" t="str">
        <f>IF($A583&lt;&gt;"",'All Cases - Enter Cases'!E583,"")</f>
        <v/>
      </c>
      <c r="F583" t="str">
        <f>IF($A583&lt;&gt;"",'All Cases - Enter Cases'!F583,"")</f>
        <v/>
      </c>
      <c r="G583" t="str">
        <f>IF($A583&lt;&gt;"",'All Cases - Enter Cases'!G583,"")</f>
        <v/>
      </c>
      <c r="H583" t="str">
        <f>IF($A583&lt;&gt;"",'All Cases - Enter Cases'!H583,"")</f>
        <v/>
      </c>
      <c r="I583" t="str">
        <f>IF($A583&lt;&gt;"",'All Cases - Enter Cases'!I583,"")</f>
        <v/>
      </c>
      <c r="J583" t="str">
        <f>IF($A583&lt;&gt;"",'All Cases - Enter Cases'!J583,"")</f>
        <v/>
      </c>
      <c r="K583" t="str">
        <f>IF($A583&lt;&gt;"",'All Cases - Enter Cases'!K583,"")</f>
        <v/>
      </c>
      <c r="L583" t="str">
        <f>IF($A583&lt;&gt;"",'All Cases - Enter Cases'!L583,"")</f>
        <v/>
      </c>
      <c r="M583" t="str">
        <f>IF($A583&lt;&gt;"",'All Cases - Enter Cases'!M583,"")</f>
        <v/>
      </c>
    </row>
    <row r="584" spans="1:13" x14ac:dyDescent="0.35">
      <c r="A584" t="str">
        <f>IF('All Cases - Enter Cases'!$F584="Balochistan",'All Cases - Enter Cases'!A584,"")</f>
        <v/>
      </c>
      <c r="B584" t="str">
        <f>IF($A584&lt;&gt;"",'All Cases - Enter Cases'!B584,"")</f>
        <v/>
      </c>
      <c r="C584" t="str">
        <f>IF($A584&lt;&gt;"",'All Cases - Enter Cases'!C584,"")</f>
        <v/>
      </c>
      <c r="D584" t="str">
        <f>IF($A584&lt;&gt;"",'All Cases - Enter Cases'!D584,"")</f>
        <v/>
      </c>
      <c r="E584" t="str">
        <f>IF($A584&lt;&gt;"",'All Cases - Enter Cases'!E584,"")</f>
        <v/>
      </c>
      <c r="F584" t="str">
        <f>IF($A584&lt;&gt;"",'All Cases - Enter Cases'!F584,"")</f>
        <v/>
      </c>
      <c r="G584" t="str">
        <f>IF($A584&lt;&gt;"",'All Cases - Enter Cases'!G584,"")</f>
        <v/>
      </c>
      <c r="H584" t="str">
        <f>IF($A584&lt;&gt;"",'All Cases - Enter Cases'!H584,"")</f>
        <v/>
      </c>
      <c r="I584" t="str">
        <f>IF($A584&lt;&gt;"",'All Cases - Enter Cases'!I584,"")</f>
        <v/>
      </c>
      <c r="J584" t="str">
        <f>IF($A584&lt;&gt;"",'All Cases - Enter Cases'!J584,"")</f>
        <v/>
      </c>
      <c r="K584" t="str">
        <f>IF($A584&lt;&gt;"",'All Cases - Enter Cases'!K584,"")</f>
        <v/>
      </c>
      <c r="L584" t="str">
        <f>IF($A584&lt;&gt;"",'All Cases - Enter Cases'!L584,"")</f>
        <v/>
      </c>
      <c r="M584" t="str">
        <f>IF($A584&lt;&gt;"",'All Cases - Enter Cases'!M584,"")</f>
        <v/>
      </c>
    </row>
    <row r="585" spans="1:13" x14ac:dyDescent="0.35">
      <c r="A585" t="str">
        <f>IF('All Cases - Enter Cases'!$F585="Balochistan",'All Cases - Enter Cases'!A585,"")</f>
        <v/>
      </c>
      <c r="B585" t="str">
        <f>IF($A585&lt;&gt;"",'All Cases - Enter Cases'!B585,"")</f>
        <v/>
      </c>
      <c r="C585" t="str">
        <f>IF($A585&lt;&gt;"",'All Cases - Enter Cases'!C585,"")</f>
        <v/>
      </c>
      <c r="D585" t="str">
        <f>IF($A585&lt;&gt;"",'All Cases - Enter Cases'!D585,"")</f>
        <v/>
      </c>
      <c r="E585" t="str">
        <f>IF($A585&lt;&gt;"",'All Cases - Enter Cases'!E585,"")</f>
        <v/>
      </c>
      <c r="F585" t="str">
        <f>IF($A585&lt;&gt;"",'All Cases - Enter Cases'!F585,"")</f>
        <v/>
      </c>
      <c r="G585" t="str">
        <f>IF($A585&lt;&gt;"",'All Cases - Enter Cases'!G585,"")</f>
        <v/>
      </c>
      <c r="H585" t="str">
        <f>IF($A585&lt;&gt;"",'All Cases - Enter Cases'!H585,"")</f>
        <v/>
      </c>
      <c r="I585" t="str">
        <f>IF($A585&lt;&gt;"",'All Cases - Enter Cases'!I585,"")</f>
        <v/>
      </c>
      <c r="J585" t="str">
        <f>IF($A585&lt;&gt;"",'All Cases - Enter Cases'!J585,"")</f>
        <v/>
      </c>
      <c r="K585" t="str">
        <f>IF($A585&lt;&gt;"",'All Cases - Enter Cases'!K585,"")</f>
        <v/>
      </c>
      <c r="L585" t="str">
        <f>IF($A585&lt;&gt;"",'All Cases - Enter Cases'!L585,"")</f>
        <v/>
      </c>
      <c r="M585" t="str">
        <f>IF($A585&lt;&gt;"",'All Cases - Enter Cases'!M585,"")</f>
        <v/>
      </c>
    </row>
    <row r="586" spans="1:13" x14ac:dyDescent="0.35">
      <c r="A586" t="str">
        <f>IF('All Cases - Enter Cases'!$F586="Balochistan",'All Cases - Enter Cases'!A586,"")</f>
        <v/>
      </c>
      <c r="B586" t="str">
        <f>IF($A586&lt;&gt;"",'All Cases - Enter Cases'!B586,"")</f>
        <v/>
      </c>
      <c r="C586" t="str">
        <f>IF($A586&lt;&gt;"",'All Cases - Enter Cases'!C586,"")</f>
        <v/>
      </c>
      <c r="D586" t="str">
        <f>IF($A586&lt;&gt;"",'All Cases - Enter Cases'!D586,"")</f>
        <v/>
      </c>
      <c r="E586" t="str">
        <f>IF($A586&lt;&gt;"",'All Cases - Enter Cases'!E586,"")</f>
        <v/>
      </c>
      <c r="F586" t="str">
        <f>IF($A586&lt;&gt;"",'All Cases - Enter Cases'!F586,"")</f>
        <v/>
      </c>
      <c r="G586" t="str">
        <f>IF($A586&lt;&gt;"",'All Cases - Enter Cases'!G586,"")</f>
        <v/>
      </c>
      <c r="H586" t="str">
        <f>IF($A586&lt;&gt;"",'All Cases - Enter Cases'!H586,"")</f>
        <v/>
      </c>
      <c r="I586" t="str">
        <f>IF($A586&lt;&gt;"",'All Cases - Enter Cases'!I586,"")</f>
        <v/>
      </c>
      <c r="J586" t="str">
        <f>IF($A586&lt;&gt;"",'All Cases - Enter Cases'!J586,"")</f>
        <v/>
      </c>
      <c r="K586" t="str">
        <f>IF($A586&lt;&gt;"",'All Cases - Enter Cases'!K586,"")</f>
        <v/>
      </c>
      <c r="L586" t="str">
        <f>IF($A586&lt;&gt;"",'All Cases - Enter Cases'!L586,"")</f>
        <v/>
      </c>
      <c r="M586" t="str">
        <f>IF($A586&lt;&gt;"",'All Cases - Enter Cases'!M586,"")</f>
        <v/>
      </c>
    </row>
    <row r="587" spans="1:13" x14ac:dyDescent="0.35">
      <c r="A587" t="str">
        <f>IF('All Cases - Enter Cases'!$F587="Balochistan",'All Cases - Enter Cases'!A587,"")</f>
        <v/>
      </c>
      <c r="B587" t="str">
        <f>IF($A587&lt;&gt;"",'All Cases - Enter Cases'!B587,"")</f>
        <v/>
      </c>
      <c r="C587" t="str">
        <f>IF($A587&lt;&gt;"",'All Cases - Enter Cases'!C587,"")</f>
        <v/>
      </c>
      <c r="D587" t="str">
        <f>IF($A587&lt;&gt;"",'All Cases - Enter Cases'!D587,"")</f>
        <v/>
      </c>
      <c r="E587" t="str">
        <f>IF($A587&lt;&gt;"",'All Cases - Enter Cases'!E587,"")</f>
        <v/>
      </c>
      <c r="F587" t="str">
        <f>IF($A587&lt;&gt;"",'All Cases - Enter Cases'!F587,"")</f>
        <v/>
      </c>
      <c r="G587" t="str">
        <f>IF($A587&lt;&gt;"",'All Cases - Enter Cases'!G587,"")</f>
        <v/>
      </c>
      <c r="H587" t="str">
        <f>IF($A587&lt;&gt;"",'All Cases - Enter Cases'!H587,"")</f>
        <v/>
      </c>
      <c r="I587" t="str">
        <f>IF($A587&lt;&gt;"",'All Cases - Enter Cases'!I587,"")</f>
        <v/>
      </c>
      <c r="J587" t="str">
        <f>IF($A587&lt;&gt;"",'All Cases - Enter Cases'!J587,"")</f>
        <v/>
      </c>
      <c r="K587" t="str">
        <f>IF($A587&lt;&gt;"",'All Cases - Enter Cases'!K587,"")</f>
        <v/>
      </c>
      <c r="L587" t="str">
        <f>IF($A587&lt;&gt;"",'All Cases - Enter Cases'!L587,"")</f>
        <v/>
      </c>
      <c r="M587" t="str">
        <f>IF($A587&lt;&gt;"",'All Cases - Enter Cases'!M587,"")</f>
        <v/>
      </c>
    </row>
    <row r="588" spans="1:13" x14ac:dyDescent="0.35">
      <c r="A588" t="str">
        <f>IF('All Cases - Enter Cases'!$F588="Balochistan",'All Cases - Enter Cases'!A588,"")</f>
        <v/>
      </c>
      <c r="B588" t="str">
        <f>IF($A588&lt;&gt;"",'All Cases - Enter Cases'!B588,"")</f>
        <v/>
      </c>
      <c r="C588" t="str">
        <f>IF($A588&lt;&gt;"",'All Cases - Enter Cases'!C588,"")</f>
        <v/>
      </c>
      <c r="D588" t="str">
        <f>IF($A588&lt;&gt;"",'All Cases - Enter Cases'!D588,"")</f>
        <v/>
      </c>
      <c r="E588" t="str">
        <f>IF($A588&lt;&gt;"",'All Cases - Enter Cases'!E588,"")</f>
        <v/>
      </c>
      <c r="F588" t="str">
        <f>IF($A588&lt;&gt;"",'All Cases - Enter Cases'!F588,"")</f>
        <v/>
      </c>
      <c r="G588" t="str">
        <f>IF($A588&lt;&gt;"",'All Cases - Enter Cases'!G588,"")</f>
        <v/>
      </c>
      <c r="H588" t="str">
        <f>IF($A588&lt;&gt;"",'All Cases - Enter Cases'!H588,"")</f>
        <v/>
      </c>
      <c r="I588" t="str">
        <f>IF($A588&lt;&gt;"",'All Cases - Enter Cases'!I588,"")</f>
        <v/>
      </c>
      <c r="J588" t="str">
        <f>IF($A588&lt;&gt;"",'All Cases - Enter Cases'!J588,"")</f>
        <v/>
      </c>
      <c r="K588" t="str">
        <f>IF($A588&lt;&gt;"",'All Cases - Enter Cases'!K588,"")</f>
        <v/>
      </c>
      <c r="L588" t="str">
        <f>IF($A588&lt;&gt;"",'All Cases - Enter Cases'!L588,"")</f>
        <v/>
      </c>
      <c r="M588" t="str">
        <f>IF($A588&lt;&gt;"",'All Cases - Enter Cases'!M588,"")</f>
        <v/>
      </c>
    </row>
    <row r="589" spans="1:13" x14ac:dyDescent="0.35">
      <c r="A589" t="str">
        <f>IF('All Cases - Enter Cases'!$F589="Balochistan",'All Cases - Enter Cases'!A589,"")</f>
        <v/>
      </c>
      <c r="B589" t="str">
        <f>IF($A589&lt;&gt;"",'All Cases - Enter Cases'!B589,"")</f>
        <v/>
      </c>
      <c r="C589" t="str">
        <f>IF($A589&lt;&gt;"",'All Cases - Enter Cases'!C589,"")</f>
        <v/>
      </c>
      <c r="D589" t="str">
        <f>IF($A589&lt;&gt;"",'All Cases - Enter Cases'!D589,"")</f>
        <v/>
      </c>
      <c r="E589" t="str">
        <f>IF($A589&lt;&gt;"",'All Cases - Enter Cases'!E589,"")</f>
        <v/>
      </c>
      <c r="F589" t="str">
        <f>IF($A589&lt;&gt;"",'All Cases - Enter Cases'!F589,"")</f>
        <v/>
      </c>
      <c r="G589" t="str">
        <f>IF($A589&lt;&gt;"",'All Cases - Enter Cases'!G589,"")</f>
        <v/>
      </c>
      <c r="H589" t="str">
        <f>IF($A589&lt;&gt;"",'All Cases - Enter Cases'!H589,"")</f>
        <v/>
      </c>
      <c r="I589" t="str">
        <f>IF($A589&lt;&gt;"",'All Cases - Enter Cases'!I589,"")</f>
        <v/>
      </c>
      <c r="J589" t="str">
        <f>IF($A589&lt;&gt;"",'All Cases - Enter Cases'!J589,"")</f>
        <v/>
      </c>
      <c r="K589" t="str">
        <f>IF($A589&lt;&gt;"",'All Cases - Enter Cases'!K589,"")</f>
        <v/>
      </c>
      <c r="L589" t="str">
        <f>IF($A589&lt;&gt;"",'All Cases - Enter Cases'!L589,"")</f>
        <v/>
      </c>
      <c r="M589" t="str">
        <f>IF($A589&lt;&gt;"",'All Cases - Enter Cases'!M589,"")</f>
        <v/>
      </c>
    </row>
    <row r="590" spans="1:13" x14ac:dyDescent="0.35">
      <c r="A590" t="str">
        <f>IF('All Cases - Enter Cases'!$F590="Balochistan",'All Cases - Enter Cases'!A590,"")</f>
        <v/>
      </c>
      <c r="B590" t="str">
        <f>IF($A590&lt;&gt;"",'All Cases - Enter Cases'!B590,"")</f>
        <v/>
      </c>
      <c r="C590" t="str">
        <f>IF($A590&lt;&gt;"",'All Cases - Enter Cases'!C590,"")</f>
        <v/>
      </c>
      <c r="D590" t="str">
        <f>IF($A590&lt;&gt;"",'All Cases - Enter Cases'!D590,"")</f>
        <v/>
      </c>
      <c r="E590" t="str">
        <f>IF($A590&lt;&gt;"",'All Cases - Enter Cases'!E590,"")</f>
        <v/>
      </c>
      <c r="F590" t="str">
        <f>IF($A590&lt;&gt;"",'All Cases - Enter Cases'!F590,"")</f>
        <v/>
      </c>
      <c r="G590" t="str">
        <f>IF($A590&lt;&gt;"",'All Cases - Enter Cases'!G590,"")</f>
        <v/>
      </c>
      <c r="H590" t="str">
        <f>IF($A590&lt;&gt;"",'All Cases - Enter Cases'!H590,"")</f>
        <v/>
      </c>
      <c r="I590" t="str">
        <f>IF($A590&lt;&gt;"",'All Cases - Enter Cases'!I590,"")</f>
        <v/>
      </c>
      <c r="J590" t="str">
        <f>IF($A590&lt;&gt;"",'All Cases - Enter Cases'!J590,"")</f>
        <v/>
      </c>
      <c r="K590" t="str">
        <f>IF($A590&lt;&gt;"",'All Cases - Enter Cases'!K590,"")</f>
        <v/>
      </c>
      <c r="L590" t="str">
        <f>IF($A590&lt;&gt;"",'All Cases - Enter Cases'!L590,"")</f>
        <v/>
      </c>
      <c r="M590" t="str">
        <f>IF($A590&lt;&gt;"",'All Cases - Enter Cases'!M590,"")</f>
        <v/>
      </c>
    </row>
    <row r="591" spans="1:13" x14ac:dyDescent="0.35">
      <c r="A591" t="str">
        <f>IF('All Cases - Enter Cases'!$F591="Balochistan",'All Cases - Enter Cases'!A591,"")</f>
        <v/>
      </c>
      <c r="B591" t="str">
        <f>IF($A591&lt;&gt;"",'All Cases - Enter Cases'!B591,"")</f>
        <v/>
      </c>
      <c r="C591" t="str">
        <f>IF($A591&lt;&gt;"",'All Cases - Enter Cases'!C591,"")</f>
        <v/>
      </c>
      <c r="D591" t="str">
        <f>IF($A591&lt;&gt;"",'All Cases - Enter Cases'!D591,"")</f>
        <v/>
      </c>
      <c r="E591" t="str">
        <f>IF($A591&lt;&gt;"",'All Cases - Enter Cases'!E591,"")</f>
        <v/>
      </c>
      <c r="F591" t="str">
        <f>IF($A591&lt;&gt;"",'All Cases - Enter Cases'!F591,"")</f>
        <v/>
      </c>
      <c r="G591" t="str">
        <f>IF($A591&lt;&gt;"",'All Cases - Enter Cases'!G591,"")</f>
        <v/>
      </c>
      <c r="H591" t="str">
        <f>IF($A591&lt;&gt;"",'All Cases - Enter Cases'!H591,"")</f>
        <v/>
      </c>
      <c r="I591" t="str">
        <f>IF($A591&lt;&gt;"",'All Cases - Enter Cases'!I591,"")</f>
        <v/>
      </c>
      <c r="J591" t="str">
        <f>IF($A591&lt;&gt;"",'All Cases - Enter Cases'!J591,"")</f>
        <v/>
      </c>
      <c r="K591" t="str">
        <f>IF($A591&lt;&gt;"",'All Cases - Enter Cases'!K591,"")</f>
        <v/>
      </c>
      <c r="L591" t="str">
        <f>IF($A591&lt;&gt;"",'All Cases - Enter Cases'!L591,"")</f>
        <v/>
      </c>
      <c r="M591" t="str">
        <f>IF($A591&lt;&gt;"",'All Cases - Enter Cases'!M591,"")</f>
        <v/>
      </c>
    </row>
    <row r="592" spans="1:13" x14ac:dyDescent="0.35">
      <c r="A592" t="str">
        <f>IF('All Cases - Enter Cases'!$F592="Balochistan",'All Cases - Enter Cases'!A592,"")</f>
        <v/>
      </c>
      <c r="B592" t="str">
        <f>IF($A592&lt;&gt;"",'All Cases - Enter Cases'!B592,"")</f>
        <v/>
      </c>
      <c r="C592" t="str">
        <f>IF($A592&lt;&gt;"",'All Cases - Enter Cases'!C592,"")</f>
        <v/>
      </c>
      <c r="D592" t="str">
        <f>IF($A592&lt;&gt;"",'All Cases - Enter Cases'!D592,"")</f>
        <v/>
      </c>
      <c r="E592" t="str">
        <f>IF($A592&lt;&gt;"",'All Cases - Enter Cases'!E592,"")</f>
        <v/>
      </c>
      <c r="F592" t="str">
        <f>IF($A592&lt;&gt;"",'All Cases - Enter Cases'!F592,"")</f>
        <v/>
      </c>
      <c r="G592" t="str">
        <f>IF($A592&lt;&gt;"",'All Cases - Enter Cases'!G592,"")</f>
        <v/>
      </c>
      <c r="H592" t="str">
        <f>IF($A592&lt;&gt;"",'All Cases - Enter Cases'!H592,"")</f>
        <v/>
      </c>
      <c r="I592" t="str">
        <f>IF($A592&lt;&gt;"",'All Cases - Enter Cases'!I592,"")</f>
        <v/>
      </c>
      <c r="J592" t="str">
        <f>IF($A592&lt;&gt;"",'All Cases - Enter Cases'!J592,"")</f>
        <v/>
      </c>
      <c r="K592" t="str">
        <f>IF($A592&lt;&gt;"",'All Cases - Enter Cases'!K592,"")</f>
        <v/>
      </c>
      <c r="L592" t="str">
        <f>IF($A592&lt;&gt;"",'All Cases - Enter Cases'!L592,"")</f>
        <v/>
      </c>
      <c r="M592" t="str">
        <f>IF($A592&lt;&gt;"",'All Cases - Enter Cases'!M592,"")</f>
        <v/>
      </c>
    </row>
    <row r="593" spans="1:13" x14ac:dyDescent="0.35">
      <c r="A593" t="str">
        <f>IF('All Cases - Enter Cases'!$F593="Balochistan",'All Cases - Enter Cases'!A593,"")</f>
        <v/>
      </c>
      <c r="B593" t="str">
        <f>IF($A593&lt;&gt;"",'All Cases - Enter Cases'!B593,"")</f>
        <v/>
      </c>
      <c r="C593" t="str">
        <f>IF($A593&lt;&gt;"",'All Cases - Enter Cases'!C593,"")</f>
        <v/>
      </c>
      <c r="D593" t="str">
        <f>IF($A593&lt;&gt;"",'All Cases - Enter Cases'!D593,"")</f>
        <v/>
      </c>
      <c r="E593" t="str">
        <f>IF($A593&lt;&gt;"",'All Cases - Enter Cases'!E593,"")</f>
        <v/>
      </c>
      <c r="F593" t="str">
        <f>IF($A593&lt;&gt;"",'All Cases - Enter Cases'!F593,"")</f>
        <v/>
      </c>
      <c r="G593" t="str">
        <f>IF($A593&lt;&gt;"",'All Cases - Enter Cases'!G593,"")</f>
        <v/>
      </c>
      <c r="H593" t="str">
        <f>IF($A593&lt;&gt;"",'All Cases - Enter Cases'!H593,"")</f>
        <v/>
      </c>
      <c r="I593" t="str">
        <f>IF($A593&lt;&gt;"",'All Cases - Enter Cases'!I593,"")</f>
        <v/>
      </c>
      <c r="J593" t="str">
        <f>IF($A593&lt;&gt;"",'All Cases - Enter Cases'!J593,"")</f>
        <v/>
      </c>
      <c r="K593" t="str">
        <f>IF($A593&lt;&gt;"",'All Cases - Enter Cases'!K593,"")</f>
        <v/>
      </c>
      <c r="L593" t="str">
        <f>IF($A593&lt;&gt;"",'All Cases - Enter Cases'!L593,"")</f>
        <v/>
      </c>
      <c r="M593" t="str">
        <f>IF($A593&lt;&gt;"",'All Cases - Enter Cases'!M593,"")</f>
        <v/>
      </c>
    </row>
    <row r="594" spans="1:13" x14ac:dyDescent="0.35">
      <c r="A594" t="str">
        <f>IF('All Cases - Enter Cases'!$F594="Balochistan",'All Cases - Enter Cases'!A594,"")</f>
        <v/>
      </c>
      <c r="B594" t="str">
        <f>IF($A594&lt;&gt;"",'All Cases - Enter Cases'!B594,"")</f>
        <v/>
      </c>
      <c r="C594" t="str">
        <f>IF($A594&lt;&gt;"",'All Cases - Enter Cases'!C594,"")</f>
        <v/>
      </c>
      <c r="D594" t="str">
        <f>IF($A594&lt;&gt;"",'All Cases - Enter Cases'!D594,"")</f>
        <v/>
      </c>
      <c r="E594" t="str">
        <f>IF($A594&lt;&gt;"",'All Cases - Enter Cases'!E594,"")</f>
        <v/>
      </c>
      <c r="F594" t="str">
        <f>IF($A594&lt;&gt;"",'All Cases - Enter Cases'!F594,"")</f>
        <v/>
      </c>
      <c r="G594" t="str">
        <f>IF($A594&lt;&gt;"",'All Cases - Enter Cases'!G594,"")</f>
        <v/>
      </c>
      <c r="H594" t="str">
        <f>IF($A594&lt;&gt;"",'All Cases - Enter Cases'!H594,"")</f>
        <v/>
      </c>
      <c r="I594" t="str">
        <f>IF($A594&lt;&gt;"",'All Cases - Enter Cases'!I594,"")</f>
        <v/>
      </c>
      <c r="J594" t="str">
        <f>IF($A594&lt;&gt;"",'All Cases - Enter Cases'!J594,"")</f>
        <v/>
      </c>
      <c r="K594" t="str">
        <f>IF($A594&lt;&gt;"",'All Cases - Enter Cases'!K594,"")</f>
        <v/>
      </c>
      <c r="L594" t="str">
        <f>IF($A594&lt;&gt;"",'All Cases - Enter Cases'!L594,"")</f>
        <v/>
      </c>
      <c r="M594" t="str">
        <f>IF($A594&lt;&gt;"",'All Cases - Enter Cases'!M594,"")</f>
        <v/>
      </c>
    </row>
    <row r="595" spans="1:13" x14ac:dyDescent="0.35">
      <c r="A595" t="str">
        <f>IF('All Cases - Enter Cases'!$F595="Balochistan",'All Cases - Enter Cases'!A595,"")</f>
        <v/>
      </c>
      <c r="B595" t="str">
        <f>IF($A595&lt;&gt;"",'All Cases - Enter Cases'!B595,"")</f>
        <v/>
      </c>
      <c r="C595" t="str">
        <f>IF($A595&lt;&gt;"",'All Cases - Enter Cases'!C595,"")</f>
        <v/>
      </c>
      <c r="D595" t="str">
        <f>IF($A595&lt;&gt;"",'All Cases - Enter Cases'!D595,"")</f>
        <v/>
      </c>
      <c r="E595" t="str">
        <f>IF($A595&lt;&gt;"",'All Cases - Enter Cases'!E595,"")</f>
        <v/>
      </c>
      <c r="F595" t="str">
        <f>IF($A595&lt;&gt;"",'All Cases - Enter Cases'!F595,"")</f>
        <v/>
      </c>
      <c r="G595" t="str">
        <f>IF($A595&lt;&gt;"",'All Cases - Enter Cases'!G595,"")</f>
        <v/>
      </c>
      <c r="H595" t="str">
        <f>IF($A595&lt;&gt;"",'All Cases - Enter Cases'!H595,"")</f>
        <v/>
      </c>
      <c r="I595" t="str">
        <f>IF($A595&lt;&gt;"",'All Cases - Enter Cases'!I595,"")</f>
        <v/>
      </c>
      <c r="J595" t="str">
        <f>IF($A595&lt;&gt;"",'All Cases - Enter Cases'!J595,"")</f>
        <v/>
      </c>
      <c r="K595" t="str">
        <f>IF($A595&lt;&gt;"",'All Cases - Enter Cases'!K595,"")</f>
        <v/>
      </c>
      <c r="L595" t="str">
        <f>IF($A595&lt;&gt;"",'All Cases - Enter Cases'!L595,"")</f>
        <v/>
      </c>
      <c r="M595" t="str">
        <f>IF($A595&lt;&gt;"",'All Cases - Enter Cases'!M595,"")</f>
        <v/>
      </c>
    </row>
    <row r="596" spans="1:13" x14ac:dyDescent="0.35">
      <c r="A596" t="str">
        <f>IF('All Cases - Enter Cases'!$F596="Balochistan",'All Cases - Enter Cases'!A596,"")</f>
        <v/>
      </c>
      <c r="B596" t="str">
        <f>IF($A596&lt;&gt;"",'All Cases - Enter Cases'!B596,"")</f>
        <v/>
      </c>
      <c r="C596" t="str">
        <f>IF($A596&lt;&gt;"",'All Cases - Enter Cases'!C596,"")</f>
        <v/>
      </c>
      <c r="D596" t="str">
        <f>IF($A596&lt;&gt;"",'All Cases - Enter Cases'!D596,"")</f>
        <v/>
      </c>
      <c r="E596" t="str">
        <f>IF($A596&lt;&gt;"",'All Cases - Enter Cases'!E596,"")</f>
        <v/>
      </c>
      <c r="F596" t="str">
        <f>IF($A596&lt;&gt;"",'All Cases - Enter Cases'!F596,"")</f>
        <v/>
      </c>
      <c r="G596" t="str">
        <f>IF($A596&lt;&gt;"",'All Cases - Enter Cases'!G596,"")</f>
        <v/>
      </c>
      <c r="H596" t="str">
        <f>IF($A596&lt;&gt;"",'All Cases - Enter Cases'!H596,"")</f>
        <v/>
      </c>
      <c r="I596" t="str">
        <f>IF($A596&lt;&gt;"",'All Cases - Enter Cases'!I596,"")</f>
        <v/>
      </c>
      <c r="J596" t="str">
        <f>IF($A596&lt;&gt;"",'All Cases - Enter Cases'!J596,"")</f>
        <v/>
      </c>
      <c r="K596" t="str">
        <f>IF($A596&lt;&gt;"",'All Cases - Enter Cases'!K596,"")</f>
        <v/>
      </c>
      <c r="L596" t="str">
        <f>IF($A596&lt;&gt;"",'All Cases - Enter Cases'!L596,"")</f>
        <v/>
      </c>
      <c r="M596" t="str">
        <f>IF($A596&lt;&gt;"",'All Cases - Enter Cases'!M596,"")</f>
        <v/>
      </c>
    </row>
    <row r="597" spans="1:13" x14ac:dyDescent="0.35">
      <c r="A597" t="str">
        <f>IF('All Cases - Enter Cases'!$F597="Balochistan",'All Cases - Enter Cases'!A597,"")</f>
        <v/>
      </c>
      <c r="B597" t="str">
        <f>IF($A597&lt;&gt;"",'All Cases - Enter Cases'!B597,"")</f>
        <v/>
      </c>
      <c r="C597" t="str">
        <f>IF($A597&lt;&gt;"",'All Cases - Enter Cases'!C597,"")</f>
        <v/>
      </c>
      <c r="D597" t="str">
        <f>IF($A597&lt;&gt;"",'All Cases - Enter Cases'!D597,"")</f>
        <v/>
      </c>
      <c r="E597" t="str">
        <f>IF($A597&lt;&gt;"",'All Cases - Enter Cases'!E597,"")</f>
        <v/>
      </c>
      <c r="F597" t="str">
        <f>IF($A597&lt;&gt;"",'All Cases - Enter Cases'!F597,"")</f>
        <v/>
      </c>
      <c r="G597" t="str">
        <f>IF($A597&lt;&gt;"",'All Cases - Enter Cases'!G597,"")</f>
        <v/>
      </c>
      <c r="H597" t="str">
        <f>IF($A597&lt;&gt;"",'All Cases - Enter Cases'!H597,"")</f>
        <v/>
      </c>
      <c r="I597" t="str">
        <f>IF($A597&lt;&gt;"",'All Cases - Enter Cases'!I597,"")</f>
        <v/>
      </c>
      <c r="J597" t="str">
        <f>IF($A597&lt;&gt;"",'All Cases - Enter Cases'!J597,"")</f>
        <v/>
      </c>
      <c r="K597" t="str">
        <f>IF($A597&lt;&gt;"",'All Cases - Enter Cases'!K597,"")</f>
        <v/>
      </c>
      <c r="L597" t="str">
        <f>IF($A597&lt;&gt;"",'All Cases - Enter Cases'!L597,"")</f>
        <v/>
      </c>
      <c r="M597" t="str">
        <f>IF($A597&lt;&gt;"",'All Cases - Enter Cases'!M597,"")</f>
        <v/>
      </c>
    </row>
    <row r="598" spans="1:13" x14ac:dyDescent="0.35">
      <c r="A598" t="str">
        <f>IF('All Cases - Enter Cases'!$F598="Balochistan",'All Cases - Enter Cases'!A598,"")</f>
        <v/>
      </c>
      <c r="B598" t="str">
        <f>IF($A598&lt;&gt;"",'All Cases - Enter Cases'!B598,"")</f>
        <v/>
      </c>
      <c r="C598" t="str">
        <f>IF($A598&lt;&gt;"",'All Cases - Enter Cases'!C598,"")</f>
        <v/>
      </c>
      <c r="D598" t="str">
        <f>IF($A598&lt;&gt;"",'All Cases - Enter Cases'!D598,"")</f>
        <v/>
      </c>
      <c r="E598" t="str">
        <f>IF($A598&lt;&gt;"",'All Cases - Enter Cases'!E598,"")</f>
        <v/>
      </c>
      <c r="F598" t="str">
        <f>IF($A598&lt;&gt;"",'All Cases - Enter Cases'!F598,"")</f>
        <v/>
      </c>
      <c r="G598" t="str">
        <f>IF($A598&lt;&gt;"",'All Cases - Enter Cases'!G598,"")</f>
        <v/>
      </c>
      <c r="H598" t="str">
        <f>IF($A598&lt;&gt;"",'All Cases - Enter Cases'!H598,"")</f>
        <v/>
      </c>
      <c r="I598" t="str">
        <f>IF($A598&lt;&gt;"",'All Cases - Enter Cases'!I598,"")</f>
        <v/>
      </c>
      <c r="J598" t="str">
        <f>IF($A598&lt;&gt;"",'All Cases - Enter Cases'!J598,"")</f>
        <v/>
      </c>
      <c r="K598" t="str">
        <f>IF($A598&lt;&gt;"",'All Cases - Enter Cases'!K598,"")</f>
        <v/>
      </c>
      <c r="L598" t="str">
        <f>IF($A598&lt;&gt;"",'All Cases - Enter Cases'!L598,"")</f>
        <v/>
      </c>
      <c r="M598" t="str">
        <f>IF($A598&lt;&gt;"",'All Cases - Enter Cases'!M598,"")</f>
        <v/>
      </c>
    </row>
    <row r="599" spans="1:13" x14ac:dyDescent="0.35">
      <c r="A599" t="str">
        <f>IF('All Cases - Enter Cases'!$F599="Balochistan",'All Cases - Enter Cases'!A599,"")</f>
        <v/>
      </c>
      <c r="B599" t="str">
        <f>IF($A599&lt;&gt;"",'All Cases - Enter Cases'!B599,"")</f>
        <v/>
      </c>
      <c r="C599" t="str">
        <f>IF($A599&lt;&gt;"",'All Cases - Enter Cases'!C599,"")</f>
        <v/>
      </c>
      <c r="D599" t="str">
        <f>IF($A599&lt;&gt;"",'All Cases - Enter Cases'!D599,"")</f>
        <v/>
      </c>
      <c r="E599" t="str">
        <f>IF($A599&lt;&gt;"",'All Cases - Enter Cases'!E599,"")</f>
        <v/>
      </c>
      <c r="F599" t="str">
        <f>IF($A599&lt;&gt;"",'All Cases - Enter Cases'!F599,"")</f>
        <v/>
      </c>
      <c r="G599" t="str">
        <f>IF($A599&lt;&gt;"",'All Cases - Enter Cases'!G599,"")</f>
        <v/>
      </c>
      <c r="H599" t="str">
        <f>IF($A599&lt;&gt;"",'All Cases - Enter Cases'!H599,"")</f>
        <v/>
      </c>
      <c r="I599" t="str">
        <f>IF($A599&lt;&gt;"",'All Cases - Enter Cases'!I599,"")</f>
        <v/>
      </c>
      <c r="J599" t="str">
        <f>IF($A599&lt;&gt;"",'All Cases - Enter Cases'!J599,"")</f>
        <v/>
      </c>
      <c r="K599" t="str">
        <f>IF($A599&lt;&gt;"",'All Cases - Enter Cases'!K599,"")</f>
        <v/>
      </c>
      <c r="L599" t="str">
        <f>IF($A599&lt;&gt;"",'All Cases - Enter Cases'!L599,"")</f>
        <v/>
      </c>
      <c r="M599" t="str">
        <f>IF($A599&lt;&gt;"",'All Cases - Enter Cases'!M599,"")</f>
        <v/>
      </c>
    </row>
    <row r="600" spans="1:13" x14ac:dyDescent="0.35">
      <c r="A600" t="str">
        <f>IF('All Cases - Enter Cases'!$F600="Balochistan",'All Cases - Enter Cases'!A600,"")</f>
        <v/>
      </c>
      <c r="B600" t="str">
        <f>IF($A600&lt;&gt;"",'All Cases - Enter Cases'!B600,"")</f>
        <v/>
      </c>
      <c r="C600" t="str">
        <f>IF($A600&lt;&gt;"",'All Cases - Enter Cases'!C600,"")</f>
        <v/>
      </c>
      <c r="D600" t="str">
        <f>IF($A600&lt;&gt;"",'All Cases - Enter Cases'!D600,"")</f>
        <v/>
      </c>
      <c r="E600" t="str">
        <f>IF($A600&lt;&gt;"",'All Cases - Enter Cases'!E600,"")</f>
        <v/>
      </c>
      <c r="F600" t="str">
        <f>IF($A600&lt;&gt;"",'All Cases - Enter Cases'!F600,"")</f>
        <v/>
      </c>
      <c r="G600" t="str">
        <f>IF($A600&lt;&gt;"",'All Cases - Enter Cases'!G600,"")</f>
        <v/>
      </c>
      <c r="H600" t="str">
        <f>IF($A600&lt;&gt;"",'All Cases - Enter Cases'!H600,"")</f>
        <v/>
      </c>
      <c r="I600" t="str">
        <f>IF($A600&lt;&gt;"",'All Cases - Enter Cases'!I600,"")</f>
        <v/>
      </c>
      <c r="J600" t="str">
        <f>IF($A600&lt;&gt;"",'All Cases - Enter Cases'!J600,"")</f>
        <v/>
      </c>
      <c r="K600" t="str">
        <f>IF($A600&lt;&gt;"",'All Cases - Enter Cases'!K600,"")</f>
        <v/>
      </c>
      <c r="L600" t="str">
        <f>IF($A600&lt;&gt;"",'All Cases - Enter Cases'!L600,"")</f>
        <v/>
      </c>
      <c r="M600" t="str">
        <f>IF($A600&lt;&gt;"",'All Cases - Enter Cases'!M600,"")</f>
        <v/>
      </c>
    </row>
    <row r="601" spans="1:13" x14ac:dyDescent="0.35">
      <c r="A601" t="str">
        <f>IF('All Cases - Enter Cases'!$F601="Balochistan",'All Cases - Enter Cases'!A601,"")</f>
        <v/>
      </c>
      <c r="B601" t="str">
        <f>IF($A601&lt;&gt;"",'All Cases - Enter Cases'!B601,"")</f>
        <v/>
      </c>
      <c r="C601" t="str">
        <f>IF($A601&lt;&gt;"",'All Cases - Enter Cases'!C601,"")</f>
        <v/>
      </c>
      <c r="D601" t="str">
        <f>IF($A601&lt;&gt;"",'All Cases - Enter Cases'!D601,"")</f>
        <v/>
      </c>
      <c r="E601" t="str">
        <f>IF($A601&lt;&gt;"",'All Cases - Enter Cases'!E601,"")</f>
        <v/>
      </c>
      <c r="F601" t="str">
        <f>IF($A601&lt;&gt;"",'All Cases - Enter Cases'!F601,"")</f>
        <v/>
      </c>
      <c r="G601" t="str">
        <f>IF($A601&lt;&gt;"",'All Cases - Enter Cases'!G601,"")</f>
        <v/>
      </c>
      <c r="H601" t="str">
        <f>IF($A601&lt;&gt;"",'All Cases - Enter Cases'!H601,"")</f>
        <v/>
      </c>
      <c r="I601" t="str">
        <f>IF($A601&lt;&gt;"",'All Cases - Enter Cases'!I601,"")</f>
        <v/>
      </c>
      <c r="J601" t="str">
        <f>IF($A601&lt;&gt;"",'All Cases - Enter Cases'!J601,"")</f>
        <v/>
      </c>
      <c r="K601" t="str">
        <f>IF($A601&lt;&gt;"",'All Cases - Enter Cases'!K601,"")</f>
        <v/>
      </c>
      <c r="L601" t="str">
        <f>IF($A601&lt;&gt;"",'All Cases - Enter Cases'!L601,"")</f>
        <v/>
      </c>
      <c r="M601" t="str">
        <f>IF($A601&lt;&gt;"",'All Cases - Enter Cases'!M601,"")</f>
        <v/>
      </c>
    </row>
    <row r="602" spans="1:13" x14ac:dyDescent="0.35">
      <c r="A602" t="str">
        <f>IF('All Cases - Enter Cases'!$F602="Balochistan",'All Cases - Enter Cases'!A602,"")</f>
        <v/>
      </c>
      <c r="B602" t="str">
        <f>IF($A602&lt;&gt;"",'All Cases - Enter Cases'!B602,"")</f>
        <v/>
      </c>
      <c r="C602" t="str">
        <f>IF($A602&lt;&gt;"",'All Cases - Enter Cases'!C602,"")</f>
        <v/>
      </c>
      <c r="D602" t="str">
        <f>IF($A602&lt;&gt;"",'All Cases - Enter Cases'!D602,"")</f>
        <v/>
      </c>
      <c r="E602" t="str">
        <f>IF($A602&lt;&gt;"",'All Cases - Enter Cases'!E602,"")</f>
        <v/>
      </c>
      <c r="F602" t="str">
        <f>IF($A602&lt;&gt;"",'All Cases - Enter Cases'!F602,"")</f>
        <v/>
      </c>
      <c r="G602" t="str">
        <f>IF($A602&lt;&gt;"",'All Cases - Enter Cases'!G602,"")</f>
        <v/>
      </c>
      <c r="H602" t="str">
        <f>IF($A602&lt;&gt;"",'All Cases - Enter Cases'!H602,"")</f>
        <v/>
      </c>
      <c r="I602" t="str">
        <f>IF($A602&lt;&gt;"",'All Cases - Enter Cases'!I602,"")</f>
        <v/>
      </c>
      <c r="J602" t="str">
        <f>IF($A602&lt;&gt;"",'All Cases - Enter Cases'!J602,"")</f>
        <v/>
      </c>
      <c r="K602" t="str">
        <f>IF($A602&lt;&gt;"",'All Cases - Enter Cases'!K602,"")</f>
        <v/>
      </c>
      <c r="L602" t="str">
        <f>IF($A602&lt;&gt;"",'All Cases - Enter Cases'!L602,"")</f>
        <v/>
      </c>
      <c r="M602" t="str">
        <f>IF($A602&lt;&gt;"",'All Cases - Enter Cases'!M602,"")</f>
        <v/>
      </c>
    </row>
    <row r="603" spans="1:13" x14ac:dyDescent="0.35">
      <c r="A603" t="str">
        <f>IF('All Cases - Enter Cases'!$F603="Balochistan",'All Cases - Enter Cases'!A603,"")</f>
        <v/>
      </c>
      <c r="B603" t="str">
        <f>IF($A603&lt;&gt;"",'All Cases - Enter Cases'!B603,"")</f>
        <v/>
      </c>
      <c r="C603" t="str">
        <f>IF($A603&lt;&gt;"",'All Cases - Enter Cases'!C603,"")</f>
        <v/>
      </c>
      <c r="D603" t="str">
        <f>IF($A603&lt;&gt;"",'All Cases - Enter Cases'!D603,"")</f>
        <v/>
      </c>
      <c r="E603" t="str">
        <f>IF($A603&lt;&gt;"",'All Cases - Enter Cases'!E603,"")</f>
        <v/>
      </c>
      <c r="F603" t="str">
        <f>IF($A603&lt;&gt;"",'All Cases - Enter Cases'!F603,"")</f>
        <v/>
      </c>
      <c r="G603" t="str">
        <f>IF($A603&lt;&gt;"",'All Cases - Enter Cases'!G603,"")</f>
        <v/>
      </c>
      <c r="H603" t="str">
        <f>IF($A603&lt;&gt;"",'All Cases - Enter Cases'!H603,"")</f>
        <v/>
      </c>
      <c r="I603" t="str">
        <f>IF($A603&lt;&gt;"",'All Cases - Enter Cases'!I603,"")</f>
        <v/>
      </c>
      <c r="J603" t="str">
        <f>IF($A603&lt;&gt;"",'All Cases - Enter Cases'!J603,"")</f>
        <v/>
      </c>
      <c r="K603" t="str">
        <f>IF($A603&lt;&gt;"",'All Cases - Enter Cases'!K603,"")</f>
        <v/>
      </c>
      <c r="L603" t="str">
        <f>IF($A603&lt;&gt;"",'All Cases - Enter Cases'!L603,"")</f>
        <v/>
      </c>
      <c r="M603" t="str">
        <f>IF($A603&lt;&gt;"",'All Cases - Enter Cases'!M603,"")</f>
        <v/>
      </c>
    </row>
    <row r="604" spans="1:13" x14ac:dyDescent="0.35">
      <c r="A604" t="str">
        <f>IF('All Cases - Enter Cases'!$F604="Balochistan",'All Cases - Enter Cases'!A604,"")</f>
        <v/>
      </c>
      <c r="B604" t="str">
        <f>IF($A604&lt;&gt;"",'All Cases - Enter Cases'!B604,"")</f>
        <v/>
      </c>
      <c r="C604" t="str">
        <f>IF($A604&lt;&gt;"",'All Cases - Enter Cases'!C604,"")</f>
        <v/>
      </c>
      <c r="D604" t="str">
        <f>IF($A604&lt;&gt;"",'All Cases - Enter Cases'!D604,"")</f>
        <v/>
      </c>
      <c r="E604" t="str">
        <f>IF($A604&lt;&gt;"",'All Cases - Enter Cases'!E604,"")</f>
        <v/>
      </c>
      <c r="F604" t="str">
        <f>IF($A604&lt;&gt;"",'All Cases - Enter Cases'!F604,"")</f>
        <v/>
      </c>
      <c r="G604" t="str">
        <f>IF($A604&lt;&gt;"",'All Cases - Enter Cases'!G604,"")</f>
        <v/>
      </c>
      <c r="H604" t="str">
        <f>IF($A604&lt;&gt;"",'All Cases - Enter Cases'!H604,"")</f>
        <v/>
      </c>
      <c r="I604" t="str">
        <f>IF($A604&lt;&gt;"",'All Cases - Enter Cases'!I604,"")</f>
        <v/>
      </c>
      <c r="J604" t="str">
        <f>IF($A604&lt;&gt;"",'All Cases - Enter Cases'!J604,"")</f>
        <v/>
      </c>
      <c r="K604" t="str">
        <f>IF($A604&lt;&gt;"",'All Cases - Enter Cases'!K604,"")</f>
        <v/>
      </c>
      <c r="L604" t="str">
        <f>IF($A604&lt;&gt;"",'All Cases - Enter Cases'!L604,"")</f>
        <v/>
      </c>
      <c r="M604" t="str">
        <f>IF($A604&lt;&gt;"",'All Cases - Enter Cases'!M604,"")</f>
        <v/>
      </c>
    </row>
    <row r="605" spans="1:13" x14ac:dyDescent="0.35">
      <c r="A605" t="str">
        <f>IF('All Cases - Enter Cases'!$F605="Balochistan",'All Cases - Enter Cases'!A605,"")</f>
        <v/>
      </c>
      <c r="B605" t="str">
        <f>IF($A605&lt;&gt;"",'All Cases - Enter Cases'!B605,"")</f>
        <v/>
      </c>
      <c r="C605" t="str">
        <f>IF($A605&lt;&gt;"",'All Cases - Enter Cases'!C605,"")</f>
        <v/>
      </c>
      <c r="D605" t="str">
        <f>IF($A605&lt;&gt;"",'All Cases - Enter Cases'!D605,"")</f>
        <v/>
      </c>
      <c r="E605" t="str">
        <f>IF($A605&lt;&gt;"",'All Cases - Enter Cases'!E605,"")</f>
        <v/>
      </c>
      <c r="F605" t="str">
        <f>IF($A605&lt;&gt;"",'All Cases - Enter Cases'!F605,"")</f>
        <v/>
      </c>
      <c r="G605" t="str">
        <f>IF($A605&lt;&gt;"",'All Cases - Enter Cases'!G605,"")</f>
        <v/>
      </c>
      <c r="H605" t="str">
        <f>IF($A605&lt;&gt;"",'All Cases - Enter Cases'!H605,"")</f>
        <v/>
      </c>
      <c r="I605" t="str">
        <f>IF($A605&lt;&gt;"",'All Cases - Enter Cases'!I605,"")</f>
        <v/>
      </c>
      <c r="J605" t="str">
        <f>IF($A605&lt;&gt;"",'All Cases - Enter Cases'!J605,"")</f>
        <v/>
      </c>
      <c r="K605" t="str">
        <f>IF($A605&lt;&gt;"",'All Cases - Enter Cases'!K605,"")</f>
        <v/>
      </c>
      <c r="L605" t="str">
        <f>IF($A605&lt;&gt;"",'All Cases - Enter Cases'!L605,"")</f>
        <v/>
      </c>
      <c r="M605" t="str">
        <f>IF($A605&lt;&gt;"",'All Cases - Enter Cases'!M605,"")</f>
        <v/>
      </c>
    </row>
    <row r="606" spans="1:13" x14ac:dyDescent="0.35">
      <c r="A606" t="str">
        <f>IF('All Cases - Enter Cases'!$F606="Balochistan",'All Cases - Enter Cases'!A606,"")</f>
        <v/>
      </c>
      <c r="B606" t="str">
        <f>IF($A606&lt;&gt;"",'All Cases - Enter Cases'!B606,"")</f>
        <v/>
      </c>
      <c r="C606" t="str">
        <f>IF($A606&lt;&gt;"",'All Cases - Enter Cases'!C606,"")</f>
        <v/>
      </c>
      <c r="D606" t="str">
        <f>IF($A606&lt;&gt;"",'All Cases - Enter Cases'!D606,"")</f>
        <v/>
      </c>
      <c r="E606" t="str">
        <f>IF($A606&lt;&gt;"",'All Cases - Enter Cases'!E606,"")</f>
        <v/>
      </c>
      <c r="F606" t="str">
        <f>IF($A606&lt;&gt;"",'All Cases - Enter Cases'!F606,"")</f>
        <v/>
      </c>
      <c r="G606" t="str">
        <f>IF($A606&lt;&gt;"",'All Cases - Enter Cases'!G606,"")</f>
        <v/>
      </c>
      <c r="H606" t="str">
        <f>IF($A606&lt;&gt;"",'All Cases - Enter Cases'!H606,"")</f>
        <v/>
      </c>
      <c r="I606" t="str">
        <f>IF($A606&lt;&gt;"",'All Cases - Enter Cases'!I606,"")</f>
        <v/>
      </c>
      <c r="J606" t="str">
        <f>IF($A606&lt;&gt;"",'All Cases - Enter Cases'!J606,"")</f>
        <v/>
      </c>
      <c r="K606" t="str">
        <f>IF($A606&lt;&gt;"",'All Cases - Enter Cases'!K606,"")</f>
        <v/>
      </c>
      <c r="L606" t="str">
        <f>IF($A606&lt;&gt;"",'All Cases - Enter Cases'!L606,"")</f>
        <v/>
      </c>
      <c r="M606" t="str">
        <f>IF($A606&lt;&gt;"",'All Cases - Enter Cases'!M606,"")</f>
        <v/>
      </c>
    </row>
    <row r="607" spans="1:13" x14ac:dyDescent="0.35">
      <c r="A607" t="str">
        <f>IF('All Cases - Enter Cases'!$F607="Balochistan",'All Cases - Enter Cases'!A607,"")</f>
        <v/>
      </c>
      <c r="B607" t="str">
        <f>IF($A607&lt;&gt;"",'All Cases - Enter Cases'!B607,"")</f>
        <v/>
      </c>
      <c r="C607" t="str">
        <f>IF($A607&lt;&gt;"",'All Cases - Enter Cases'!C607,"")</f>
        <v/>
      </c>
      <c r="D607" t="str">
        <f>IF($A607&lt;&gt;"",'All Cases - Enter Cases'!D607,"")</f>
        <v/>
      </c>
      <c r="E607" t="str">
        <f>IF($A607&lt;&gt;"",'All Cases - Enter Cases'!E607,"")</f>
        <v/>
      </c>
      <c r="F607" t="str">
        <f>IF($A607&lt;&gt;"",'All Cases - Enter Cases'!F607,"")</f>
        <v/>
      </c>
      <c r="G607" t="str">
        <f>IF($A607&lt;&gt;"",'All Cases - Enter Cases'!G607,"")</f>
        <v/>
      </c>
      <c r="H607" t="str">
        <f>IF($A607&lt;&gt;"",'All Cases - Enter Cases'!H607,"")</f>
        <v/>
      </c>
      <c r="I607" t="str">
        <f>IF($A607&lt;&gt;"",'All Cases - Enter Cases'!I607,"")</f>
        <v/>
      </c>
      <c r="J607" t="str">
        <f>IF($A607&lt;&gt;"",'All Cases - Enter Cases'!J607,"")</f>
        <v/>
      </c>
      <c r="K607" t="str">
        <f>IF($A607&lt;&gt;"",'All Cases - Enter Cases'!K607,"")</f>
        <v/>
      </c>
      <c r="L607" t="str">
        <f>IF($A607&lt;&gt;"",'All Cases - Enter Cases'!L607,"")</f>
        <v/>
      </c>
      <c r="M607" t="str">
        <f>IF($A607&lt;&gt;"",'All Cases - Enter Cases'!M607,"")</f>
        <v/>
      </c>
    </row>
    <row r="608" spans="1:13" x14ac:dyDescent="0.35">
      <c r="A608" t="str">
        <f>IF('All Cases - Enter Cases'!$F608="Balochistan",'All Cases - Enter Cases'!A608,"")</f>
        <v/>
      </c>
      <c r="B608" t="str">
        <f>IF($A608&lt;&gt;"",'All Cases - Enter Cases'!B608,"")</f>
        <v/>
      </c>
      <c r="C608" t="str">
        <f>IF($A608&lt;&gt;"",'All Cases - Enter Cases'!C608,"")</f>
        <v/>
      </c>
      <c r="D608" t="str">
        <f>IF($A608&lt;&gt;"",'All Cases - Enter Cases'!D608,"")</f>
        <v/>
      </c>
      <c r="E608" t="str">
        <f>IF($A608&lt;&gt;"",'All Cases - Enter Cases'!E608,"")</f>
        <v/>
      </c>
      <c r="F608" t="str">
        <f>IF($A608&lt;&gt;"",'All Cases - Enter Cases'!F608,"")</f>
        <v/>
      </c>
      <c r="G608" t="str">
        <f>IF($A608&lt;&gt;"",'All Cases - Enter Cases'!G608,"")</f>
        <v/>
      </c>
      <c r="H608" t="str">
        <f>IF($A608&lt;&gt;"",'All Cases - Enter Cases'!H608,"")</f>
        <v/>
      </c>
      <c r="I608" t="str">
        <f>IF($A608&lt;&gt;"",'All Cases - Enter Cases'!I608,"")</f>
        <v/>
      </c>
      <c r="J608" t="str">
        <f>IF($A608&lt;&gt;"",'All Cases - Enter Cases'!J608,"")</f>
        <v/>
      </c>
      <c r="K608" t="str">
        <f>IF($A608&lt;&gt;"",'All Cases - Enter Cases'!K608,"")</f>
        <v/>
      </c>
      <c r="L608" t="str">
        <f>IF($A608&lt;&gt;"",'All Cases - Enter Cases'!L608,"")</f>
        <v/>
      </c>
      <c r="M608" t="str">
        <f>IF($A608&lt;&gt;"",'All Cases - Enter Cases'!M608,"")</f>
        <v/>
      </c>
    </row>
    <row r="609" spans="1:13" x14ac:dyDescent="0.35">
      <c r="A609" t="str">
        <f>IF('All Cases - Enter Cases'!$F609="Balochistan",'All Cases - Enter Cases'!A609,"")</f>
        <v/>
      </c>
      <c r="B609" t="str">
        <f>IF($A609&lt;&gt;"",'All Cases - Enter Cases'!B609,"")</f>
        <v/>
      </c>
      <c r="C609" t="str">
        <f>IF($A609&lt;&gt;"",'All Cases - Enter Cases'!C609,"")</f>
        <v/>
      </c>
      <c r="D609" t="str">
        <f>IF($A609&lt;&gt;"",'All Cases - Enter Cases'!D609,"")</f>
        <v/>
      </c>
      <c r="E609" t="str">
        <f>IF($A609&lt;&gt;"",'All Cases - Enter Cases'!E609,"")</f>
        <v/>
      </c>
      <c r="F609" t="str">
        <f>IF($A609&lt;&gt;"",'All Cases - Enter Cases'!F609,"")</f>
        <v/>
      </c>
      <c r="G609" t="str">
        <f>IF($A609&lt;&gt;"",'All Cases - Enter Cases'!G609,"")</f>
        <v/>
      </c>
      <c r="H609" t="str">
        <f>IF($A609&lt;&gt;"",'All Cases - Enter Cases'!H609,"")</f>
        <v/>
      </c>
      <c r="I609" t="str">
        <f>IF($A609&lt;&gt;"",'All Cases - Enter Cases'!I609,"")</f>
        <v/>
      </c>
      <c r="J609" t="str">
        <f>IF($A609&lt;&gt;"",'All Cases - Enter Cases'!J609,"")</f>
        <v/>
      </c>
      <c r="K609" t="str">
        <f>IF($A609&lt;&gt;"",'All Cases - Enter Cases'!K609,"")</f>
        <v/>
      </c>
      <c r="L609" t="str">
        <f>IF($A609&lt;&gt;"",'All Cases - Enter Cases'!L609,"")</f>
        <v/>
      </c>
      <c r="M609" t="str">
        <f>IF($A609&lt;&gt;"",'All Cases - Enter Cases'!M609,"")</f>
        <v/>
      </c>
    </row>
    <row r="610" spans="1:13" x14ac:dyDescent="0.35">
      <c r="A610" t="str">
        <f>IF('All Cases - Enter Cases'!$F610="Balochistan",'All Cases - Enter Cases'!A610,"")</f>
        <v/>
      </c>
      <c r="B610" t="str">
        <f>IF($A610&lt;&gt;"",'All Cases - Enter Cases'!B610,"")</f>
        <v/>
      </c>
      <c r="C610" t="str">
        <f>IF($A610&lt;&gt;"",'All Cases - Enter Cases'!C610,"")</f>
        <v/>
      </c>
      <c r="D610" t="str">
        <f>IF($A610&lt;&gt;"",'All Cases - Enter Cases'!D610,"")</f>
        <v/>
      </c>
      <c r="E610" t="str">
        <f>IF($A610&lt;&gt;"",'All Cases - Enter Cases'!E610,"")</f>
        <v/>
      </c>
      <c r="F610" t="str">
        <f>IF($A610&lt;&gt;"",'All Cases - Enter Cases'!F610,"")</f>
        <v/>
      </c>
      <c r="G610" t="str">
        <f>IF($A610&lt;&gt;"",'All Cases - Enter Cases'!G610,"")</f>
        <v/>
      </c>
      <c r="H610" t="str">
        <f>IF($A610&lt;&gt;"",'All Cases - Enter Cases'!H610,"")</f>
        <v/>
      </c>
      <c r="I610" t="str">
        <f>IF($A610&lt;&gt;"",'All Cases - Enter Cases'!I610,"")</f>
        <v/>
      </c>
      <c r="J610" t="str">
        <f>IF($A610&lt;&gt;"",'All Cases - Enter Cases'!J610,"")</f>
        <v/>
      </c>
      <c r="K610" t="str">
        <f>IF($A610&lt;&gt;"",'All Cases - Enter Cases'!K610,"")</f>
        <v/>
      </c>
      <c r="L610" t="str">
        <f>IF($A610&lt;&gt;"",'All Cases - Enter Cases'!L610,"")</f>
        <v/>
      </c>
      <c r="M610" t="str">
        <f>IF($A610&lt;&gt;"",'All Cases - Enter Cases'!M610,"")</f>
        <v/>
      </c>
    </row>
    <row r="611" spans="1:13" x14ac:dyDescent="0.35">
      <c r="A611" t="str">
        <f>IF('All Cases - Enter Cases'!$F611="Balochistan",'All Cases - Enter Cases'!A611,"")</f>
        <v/>
      </c>
      <c r="B611" t="str">
        <f>IF($A611&lt;&gt;"",'All Cases - Enter Cases'!B611,"")</f>
        <v/>
      </c>
      <c r="C611" t="str">
        <f>IF($A611&lt;&gt;"",'All Cases - Enter Cases'!C611,"")</f>
        <v/>
      </c>
      <c r="D611" t="str">
        <f>IF($A611&lt;&gt;"",'All Cases - Enter Cases'!D611,"")</f>
        <v/>
      </c>
      <c r="E611" t="str">
        <f>IF($A611&lt;&gt;"",'All Cases - Enter Cases'!E611,"")</f>
        <v/>
      </c>
      <c r="F611" t="str">
        <f>IF($A611&lt;&gt;"",'All Cases - Enter Cases'!F611,"")</f>
        <v/>
      </c>
      <c r="G611" t="str">
        <f>IF($A611&lt;&gt;"",'All Cases - Enter Cases'!G611,"")</f>
        <v/>
      </c>
      <c r="H611" t="str">
        <f>IF($A611&lt;&gt;"",'All Cases - Enter Cases'!H611,"")</f>
        <v/>
      </c>
      <c r="I611" t="str">
        <f>IF($A611&lt;&gt;"",'All Cases - Enter Cases'!I611,"")</f>
        <v/>
      </c>
      <c r="J611" t="str">
        <f>IF($A611&lt;&gt;"",'All Cases - Enter Cases'!J611,"")</f>
        <v/>
      </c>
      <c r="K611" t="str">
        <f>IF($A611&lt;&gt;"",'All Cases - Enter Cases'!K611,"")</f>
        <v/>
      </c>
      <c r="L611" t="str">
        <f>IF($A611&lt;&gt;"",'All Cases - Enter Cases'!L611,"")</f>
        <v/>
      </c>
      <c r="M611" t="str">
        <f>IF($A611&lt;&gt;"",'All Cases - Enter Cases'!M611,"")</f>
        <v/>
      </c>
    </row>
    <row r="612" spans="1:13" x14ac:dyDescent="0.35">
      <c r="A612" t="str">
        <f>IF('All Cases - Enter Cases'!$F612="Balochistan",'All Cases - Enter Cases'!A612,"")</f>
        <v/>
      </c>
      <c r="B612" t="str">
        <f>IF($A612&lt;&gt;"",'All Cases - Enter Cases'!B612,"")</f>
        <v/>
      </c>
      <c r="C612" t="str">
        <f>IF($A612&lt;&gt;"",'All Cases - Enter Cases'!C612,"")</f>
        <v/>
      </c>
      <c r="D612" t="str">
        <f>IF($A612&lt;&gt;"",'All Cases - Enter Cases'!D612,"")</f>
        <v/>
      </c>
      <c r="E612" t="str">
        <f>IF($A612&lt;&gt;"",'All Cases - Enter Cases'!E612,"")</f>
        <v/>
      </c>
      <c r="F612" t="str">
        <f>IF($A612&lt;&gt;"",'All Cases - Enter Cases'!F612,"")</f>
        <v/>
      </c>
      <c r="G612" t="str">
        <f>IF($A612&lt;&gt;"",'All Cases - Enter Cases'!G612,"")</f>
        <v/>
      </c>
      <c r="H612" t="str">
        <f>IF($A612&lt;&gt;"",'All Cases - Enter Cases'!H612,"")</f>
        <v/>
      </c>
      <c r="I612" t="str">
        <f>IF($A612&lt;&gt;"",'All Cases - Enter Cases'!I612,"")</f>
        <v/>
      </c>
      <c r="J612" t="str">
        <f>IF($A612&lt;&gt;"",'All Cases - Enter Cases'!J612,"")</f>
        <v/>
      </c>
      <c r="K612" t="str">
        <f>IF($A612&lt;&gt;"",'All Cases - Enter Cases'!K612,"")</f>
        <v/>
      </c>
      <c r="L612" t="str">
        <f>IF($A612&lt;&gt;"",'All Cases - Enter Cases'!L612,"")</f>
        <v/>
      </c>
      <c r="M612" t="str">
        <f>IF($A612&lt;&gt;"",'All Cases - Enter Cases'!M612,"")</f>
        <v/>
      </c>
    </row>
    <row r="613" spans="1:13" x14ac:dyDescent="0.35">
      <c r="A613" t="str">
        <f>IF('All Cases - Enter Cases'!$F613="Balochistan",'All Cases - Enter Cases'!A613,"")</f>
        <v/>
      </c>
      <c r="B613" t="str">
        <f>IF($A613&lt;&gt;"",'All Cases - Enter Cases'!B613,"")</f>
        <v/>
      </c>
      <c r="C613" t="str">
        <f>IF($A613&lt;&gt;"",'All Cases - Enter Cases'!C613,"")</f>
        <v/>
      </c>
      <c r="D613" t="str">
        <f>IF($A613&lt;&gt;"",'All Cases - Enter Cases'!D613,"")</f>
        <v/>
      </c>
      <c r="E613" t="str">
        <f>IF($A613&lt;&gt;"",'All Cases - Enter Cases'!E613,"")</f>
        <v/>
      </c>
      <c r="F613" t="str">
        <f>IF($A613&lt;&gt;"",'All Cases - Enter Cases'!F613,"")</f>
        <v/>
      </c>
      <c r="G613" t="str">
        <f>IF($A613&lt;&gt;"",'All Cases - Enter Cases'!G613,"")</f>
        <v/>
      </c>
      <c r="H613" t="str">
        <f>IF($A613&lt;&gt;"",'All Cases - Enter Cases'!H613,"")</f>
        <v/>
      </c>
      <c r="I613" t="str">
        <f>IF($A613&lt;&gt;"",'All Cases - Enter Cases'!I613,"")</f>
        <v/>
      </c>
      <c r="J613" t="str">
        <f>IF($A613&lt;&gt;"",'All Cases - Enter Cases'!J613,"")</f>
        <v/>
      </c>
      <c r="K613" t="str">
        <f>IF($A613&lt;&gt;"",'All Cases - Enter Cases'!K613,"")</f>
        <v/>
      </c>
      <c r="L613" t="str">
        <f>IF($A613&lt;&gt;"",'All Cases - Enter Cases'!L613,"")</f>
        <v/>
      </c>
      <c r="M613" t="str">
        <f>IF($A613&lt;&gt;"",'All Cases - Enter Cases'!M613,"")</f>
        <v/>
      </c>
    </row>
    <row r="614" spans="1:13" x14ac:dyDescent="0.35">
      <c r="A614" t="str">
        <f>IF('All Cases - Enter Cases'!$F614="Balochistan",'All Cases - Enter Cases'!A614,"")</f>
        <v/>
      </c>
      <c r="B614" t="str">
        <f>IF($A614&lt;&gt;"",'All Cases - Enter Cases'!B614,"")</f>
        <v/>
      </c>
      <c r="C614" t="str">
        <f>IF($A614&lt;&gt;"",'All Cases - Enter Cases'!C614,"")</f>
        <v/>
      </c>
      <c r="D614" t="str">
        <f>IF($A614&lt;&gt;"",'All Cases - Enter Cases'!D614,"")</f>
        <v/>
      </c>
      <c r="E614" t="str">
        <f>IF($A614&lt;&gt;"",'All Cases - Enter Cases'!E614,"")</f>
        <v/>
      </c>
      <c r="F614" t="str">
        <f>IF($A614&lt;&gt;"",'All Cases - Enter Cases'!F614,"")</f>
        <v/>
      </c>
      <c r="G614" t="str">
        <f>IF($A614&lt;&gt;"",'All Cases - Enter Cases'!G614,"")</f>
        <v/>
      </c>
      <c r="H614" t="str">
        <f>IF($A614&lt;&gt;"",'All Cases - Enter Cases'!H614,"")</f>
        <v/>
      </c>
      <c r="I614" t="str">
        <f>IF($A614&lt;&gt;"",'All Cases - Enter Cases'!I614,"")</f>
        <v/>
      </c>
      <c r="J614" t="str">
        <f>IF($A614&lt;&gt;"",'All Cases - Enter Cases'!J614,"")</f>
        <v/>
      </c>
      <c r="K614" t="str">
        <f>IF($A614&lt;&gt;"",'All Cases - Enter Cases'!K614,"")</f>
        <v/>
      </c>
      <c r="L614" t="str">
        <f>IF($A614&lt;&gt;"",'All Cases - Enter Cases'!L614,"")</f>
        <v/>
      </c>
      <c r="M614" t="str">
        <f>IF($A614&lt;&gt;"",'All Cases - Enter Cases'!M614,"")</f>
        <v/>
      </c>
    </row>
    <row r="615" spans="1:13" x14ac:dyDescent="0.35">
      <c r="A615" t="str">
        <f>IF('All Cases - Enter Cases'!$F615="Balochistan",'All Cases - Enter Cases'!A615,"")</f>
        <v/>
      </c>
      <c r="B615" t="str">
        <f>IF($A615&lt;&gt;"",'All Cases - Enter Cases'!B615,"")</f>
        <v/>
      </c>
      <c r="C615" t="str">
        <f>IF($A615&lt;&gt;"",'All Cases - Enter Cases'!C615,"")</f>
        <v/>
      </c>
      <c r="D615" t="str">
        <f>IF($A615&lt;&gt;"",'All Cases - Enter Cases'!D615,"")</f>
        <v/>
      </c>
      <c r="E615" t="str">
        <f>IF($A615&lt;&gt;"",'All Cases - Enter Cases'!E615,"")</f>
        <v/>
      </c>
      <c r="F615" t="str">
        <f>IF($A615&lt;&gt;"",'All Cases - Enter Cases'!F615,"")</f>
        <v/>
      </c>
      <c r="G615" t="str">
        <f>IF($A615&lt;&gt;"",'All Cases - Enter Cases'!G615,"")</f>
        <v/>
      </c>
      <c r="H615" t="str">
        <f>IF($A615&lt;&gt;"",'All Cases - Enter Cases'!H615,"")</f>
        <v/>
      </c>
      <c r="I615" t="str">
        <f>IF($A615&lt;&gt;"",'All Cases - Enter Cases'!I615,"")</f>
        <v/>
      </c>
      <c r="J615" t="str">
        <f>IF($A615&lt;&gt;"",'All Cases - Enter Cases'!J615,"")</f>
        <v/>
      </c>
      <c r="K615" t="str">
        <f>IF($A615&lt;&gt;"",'All Cases - Enter Cases'!K615,"")</f>
        <v/>
      </c>
      <c r="L615" t="str">
        <f>IF($A615&lt;&gt;"",'All Cases - Enter Cases'!L615,"")</f>
        <v/>
      </c>
      <c r="M615" t="str">
        <f>IF($A615&lt;&gt;"",'All Cases - Enter Cases'!M615,"")</f>
        <v/>
      </c>
    </row>
    <row r="616" spans="1:13" x14ac:dyDescent="0.35">
      <c r="A616" t="str">
        <f>IF('All Cases - Enter Cases'!$F616="Balochistan",'All Cases - Enter Cases'!A616,"")</f>
        <v/>
      </c>
      <c r="B616" t="str">
        <f>IF($A616&lt;&gt;"",'All Cases - Enter Cases'!B616,"")</f>
        <v/>
      </c>
      <c r="C616" t="str">
        <f>IF($A616&lt;&gt;"",'All Cases - Enter Cases'!C616,"")</f>
        <v/>
      </c>
      <c r="D616" t="str">
        <f>IF($A616&lt;&gt;"",'All Cases - Enter Cases'!D616,"")</f>
        <v/>
      </c>
      <c r="E616" t="str">
        <f>IF($A616&lt;&gt;"",'All Cases - Enter Cases'!E616,"")</f>
        <v/>
      </c>
      <c r="F616" t="str">
        <f>IF($A616&lt;&gt;"",'All Cases - Enter Cases'!F616,"")</f>
        <v/>
      </c>
      <c r="G616" t="str">
        <f>IF($A616&lt;&gt;"",'All Cases - Enter Cases'!G616,"")</f>
        <v/>
      </c>
      <c r="H616" t="str">
        <f>IF($A616&lt;&gt;"",'All Cases - Enter Cases'!H616,"")</f>
        <v/>
      </c>
      <c r="I616" t="str">
        <f>IF($A616&lt;&gt;"",'All Cases - Enter Cases'!I616,"")</f>
        <v/>
      </c>
      <c r="J616" t="str">
        <f>IF($A616&lt;&gt;"",'All Cases - Enter Cases'!J616,"")</f>
        <v/>
      </c>
      <c r="K616" t="str">
        <f>IF($A616&lt;&gt;"",'All Cases - Enter Cases'!K616,"")</f>
        <v/>
      </c>
      <c r="L616" t="str">
        <f>IF($A616&lt;&gt;"",'All Cases - Enter Cases'!L616,"")</f>
        <v/>
      </c>
      <c r="M616" t="str">
        <f>IF($A616&lt;&gt;"",'All Cases - Enter Cases'!M616,"")</f>
        <v/>
      </c>
    </row>
    <row r="617" spans="1:13" x14ac:dyDescent="0.35">
      <c r="A617" t="str">
        <f>IF('All Cases - Enter Cases'!$F617="Balochistan",'All Cases - Enter Cases'!A617,"")</f>
        <v/>
      </c>
      <c r="B617" t="str">
        <f>IF($A617&lt;&gt;"",'All Cases - Enter Cases'!B617,"")</f>
        <v/>
      </c>
      <c r="C617" t="str">
        <f>IF($A617&lt;&gt;"",'All Cases - Enter Cases'!C617,"")</f>
        <v/>
      </c>
      <c r="D617" t="str">
        <f>IF($A617&lt;&gt;"",'All Cases - Enter Cases'!D617,"")</f>
        <v/>
      </c>
      <c r="E617" t="str">
        <f>IF($A617&lt;&gt;"",'All Cases - Enter Cases'!E617,"")</f>
        <v/>
      </c>
      <c r="F617" t="str">
        <f>IF($A617&lt;&gt;"",'All Cases - Enter Cases'!F617,"")</f>
        <v/>
      </c>
      <c r="G617" t="str">
        <f>IF($A617&lt;&gt;"",'All Cases - Enter Cases'!G617,"")</f>
        <v/>
      </c>
      <c r="H617" t="str">
        <f>IF($A617&lt;&gt;"",'All Cases - Enter Cases'!H617,"")</f>
        <v/>
      </c>
      <c r="I617" t="str">
        <f>IF($A617&lt;&gt;"",'All Cases - Enter Cases'!I617,"")</f>
        <v/>
      </c>
      <c r="J617" t="str">
        <f>IF($A617&lt;&gt;"",'All Cases - Enter Cases'!J617,"")</f>
        <v/>
      </c>
      <c r="K617" t="str">
        <f>IF($A617&lt;&gt;"",'All Cases - Enter Cases'!K617,"")</f>
        <v/>
      </c>
      <c r="L617" t="str">
        <f>IF($A617&lt;&gt;"",'All Cases - Enter Cases'!L617,"")</f>
        <v/>
      </c>
      <c r="M617" t="str">
        <f>IF($A617&lt;&gt;"",'All Cases - Enter Cases'!M617,"")</f>
        <v/>
      </c>
    </row>
    <row r="618" spans="1:13" x14ac:dyDescent="0.35">
      <c r="A618" t="str">
        <f>IF('All Cases - Enter Cases'!$F618="Balochistan",'All Cases - Enter Cases'!A618,"")</f>
        <v/>
      </c>
      <c r="B618" t="str">
        <f>IF($A618&lt;&gt;"",'All Cases - Enter Cases'!B618,"")</f>
        <v/>
      </c>
      <c r="C618" t="str">
        <f>IF($A618&lt;&gt;"",'All Cases - Enter Cases'!C618,"")</f>
        <v/>
      </c>
      <c r="D618" t="str">
        <f>IF($A618&lt;&gt;"",'All Cases - Enter Cases'!D618,"")</f>
        <v/>
      </c>
      <c r="E618" t="str">
        <f>IF($A618&lt;&gt;"",'All Cases - Enter Cases'!E618,"")</f>
        <v/>
      </c>
      <c r="F618" t="str">
        <f>IF($A618&lt;&gt;"",'All Cases - Enter Cases'!F618,"")</f>
        <v/>
      </c>
      <c r="G618" t="str">
        <f>IF($A618&lt;&gt;"",'All Cases - Enter Cases'!G618,"")</f>
        <v/>
      </c>
      <c r="H618" t="str">
        <f>IF($A618&lt;&gt;"",'All Cases - Enter Cases'!H618,"")</f>
        <v/>
      </c>
      <c r="I618" t="str">
        <f>IF($A618&lt;&gt;"",'All Cases - Enter Cases'!I618,"")</f>
        <v/>
      </c>
      <c r="J618" t="str">
        <f>IF($A618&lt;&gt;"",'All Cases - Enter Cases'!J618,"")</f>
        <v/>
      </c>
      <c r="K618" t="str">
        <f>IF($A618&lt;&gt;"",'All Cases - Enter Cases'!K618,"")</f>
        <v/>
      </c>
      <c r="L618" t="str">
        <f>IF($A618&lt;&gt;"",'All Cases - Enter Cases'!L618,"")</f>
        <v/>
      </c>
      <c r="M618" t="str">
        <f>IF($A618&lt;&gt;"",'All Cases - Enter Cases'!M618,"")</f>
        <v/>
      </c>
    </row>
    <row r="619" spans="1:13" x14ac:dyDescent="0.35">
      <c r="A619" t="str">
        <f>IF('All Cases - Enter Cases'!$F619="Balochistan",'All Cases - Enter Cases'!A619,"")</f>
        <v/>
      </c>
      <c r="B619" t="str">
        <f>IF($A619&lt;&gt;"",'All Cases - Enter Cases'!B619,"")</f>
        <v/>
      </c>
      <c r="C619" t="str">
        <f>IF($A619&lt;&gt;"",'All Cases - Enter Cases'!C619,"")</f>
        <v/>
      </c>
      <c r="D619" t="str">
        <f>IF($A619&lt;&gt;"",'All Cases - Enter Cases'!D619,"")</f>
        <v/>
      </c>
      <c r="E619" t="str">
        <f>IF($A619&lt;&gt;"",'All Cases - Enter Cases'!E619,"")</f>
        <v/>
      </c>
      <c r="F619" t="str">
        <f>IF($A619&lt;&gt;"",'All Cases - Enter Cases'!F619,"")</f>
        <v/>
      </c>
      <c r="G619" t="str">
        <f>IF($A619&lt;&gt;"",'All Cases - Enter Cases'!G619,"")</f>
        <v/>
      </c>
      <c r="H619" t="str">
        <f>IF($A619&lt;&gt;"",'All Cases - Enter Cases'!H619,"")</f>
        <v/>
      </c>
      <c r="I619" t="str">
        <f>IF($A619&lt;&gt;"",'All Cases - Enter Cases'!I619,"")</f>
        <v/>
      </c>
      <c r="J619" t="str">
        <f>IF($A619&lt;&gt;"",'All Cases - Enter Cases'!J619,"")</f>
        <v/>
      </c>
      <c r="K619" t="str">
        <f>IF($A619&lt;&gt;"",'All Cases - Enter Cases'!K619,"")</f>
        <v/>
      </c>
      <c r="L619" t="str">
        <f>IF($A619&lt;&gt;"",'All Cases - Enter Cases'!L619,"")</f>
        <v/>
      </c>
      <c r="M619" t="str">
        <f>IF($A619&lt;&gt;"",'All Cases - Enter Cases'!M619,"")</f>
        <v/>
      </c>
    </row>
    <row r="620" spans="1:13" x14ac:dyDescent="0.35">
      <c r="A620" t="str">
        <f>IF('All Cases - Enter Cases'!$F620="Balochistan",'All Cases - Enter Cases'!A620,"")</f>
        <v/>
      </c>
      <c r="B620" t="str">
        <f>IF($A620&lt;&gt;"",'All Cases - Enter Cases'!B620,"")</f>
        <v/>
      </c>
      <c r="C620" t="str">
        <f>IF($A620&lt;&gt;"",'All Cases - Enter Cases'!C620,"")</f>
        <v/>
      </c>
      <c r="D620" t="str">
        <f>IF($A620&lt;&gt;"",'All Cases - Enter Cases'!D620,"")</f>
        <v/>
      </c>
      <c r="E620" t="str">
        <f>IF($A620&lt;&gt;"",'All Cases - Enter Cases'!E620,"")</f>
        <v/>
      </c>
      <c r="F620" t="str">
        <f>IF($A620&lt;&gt;"",'All Cases - Enter Cases'!F620,"")</f>
        <v/>
      </c>
      <c r="G620" t="str">
        <f>IF($A620&lt;&gt;"",'All Cases - Enter Cases'!G620,"")</f>
        <v/>
      </c>
      <c r="H620" t="str">
        <f>IF($A620&lt;&gt;"",'All Cases - Enter Cases'!H620,"")</f>
        <v/>
      </c>
      <c r="I620" t="str">
        <f>IF($A620&lt;&gt;"",'All Cases - Enter Cases'!I620,"")</f>
        <v/>
      </c>
      <c r="J620" t="str">
        <f>IF($A620&lt;&gt;"",'All Cases - Enter Cases'!J620,"")</f>
        <v/>
      </c>
      <c r="K620" t="str">
        <f>IF($A620&lt;&gt;"",'All Cases - Enter Cases'!K620,"")</f>
        <v/>
      </c>
      <c r="L620" t="str">
        <f>IF($A620&lt;&gt;"",'All Cases - Enter Cases'!L620,"")</f>
        <v/>
      </c>
      <c r="M620" t="str">
        <f>IF($A620&lt;&gt;"",'All Cases - Enter Cases'!M620,"")</f>
        <v/>
      </c>
    </row>
    <row r="621" spans="1:13" x14ac:dyDescent="0.35">
      <c r="A621" t="str">
        <f>IF('All Cases - Enter Cases'!$F621="Balochistan",'All Cases - Enter Cases'!A621,"")</f>
        <v/>
      </c>
      <c r="B621" t="str">
        <f>IF($A621&lt;&gt;"",'All Cases - Enter Cases'!B621,"")</f>
        <v/>
      </c>
      <c r="C621" t="str">
        <f>IF($A621&lt;&gt;"",'All Cases - Enter Cases'!C621,"")</f>
        <v/>
      </c>
      <c r="D621" t="str">
        <f>IF($A621&lt;&gt;"",'All Cases - Enter Cases'!D621,"")</f>
        <v/>
      </c>
      <c r="E621" t="str">
        <f>IF($A621&lt;&gt;"",'All Cases - Enter Cases'!E621,"")</f>
        <v/>
      </c>
      <c r="F621" t="str">
        <f>IF($A621&lt;&gt;"",'All Cases - Enter Cases'!F621,"")</f>
        <v/>
      </c>
      <c r="G621" t="str">
        <f>IF($A621&lt;&gt;"",'All Cases - Enter Cases'!G621,"")</f>
        <v/>
      </c>
      <c r="H621" t="str">
        <f>IF($A621&lt;&gt;"",'All Cases - Enter Cases'!H621,"")</f>
        <v/>
      </c>
      <c r="I621" t="str">
        <f>IF($A621&lt;&gt;"",'All Cases - Enter Cases'!I621,"")</f>
        <v/>
      </c>
      <c r="J621" t="str">
        <f>IF($A621&lt;&gt;"",'All Cases - Enter Cases'!J621,"")</f>
        <v/>
      </c>
      <c r="K621" t="str">
        <f>IF($A621&lt;&gt;"",'All Cases - Enter Cases'!K621,"")</f>
        <v/>
      </c>
      <c r="L621" t="str">
        <f>IF($A621&lt;&gt;"",'All Cases - Enter Cases'!L621,"")</f>
        <v/>
      </c>
      <c r="M621" t="str">
        <f>IF($A621&lt;&gt;"",'All Cases - Enter Cases'!M621,"")</f>
        <v/>
      </c>
    </row>
    <row r="622" spans="1:13" x14ac:dyDescent="0.35">
      <c r="A622" t="str">
        <f>IF('All Cases - Enter Cases'!$F622="Balochistan",'All Cases - Enter Cases'!A622,"")</f>
        <v/>
      </c>
      <c r="B622" t="str">
        <f>IF($A622&lt;&gt;"",'All Cases - Enter Cases'!B622,"")</f>
        <v/>
      </c>
      <c r="C622" t="str">
        <f>IF($A622&lt;&gt;"",'All Cases - Enter Cases'!C622,"")</f>
        <v/>
      </c>
      <c r="D622" t="str">
        <f>IF($A622&lt;&gt;"",'All Cases - Enter Cases'!D622,"")</f>
        <v/>
      </c>
      <c r="E622" t="str">
        <f>IF($A622&lt;&gt;"",'All Cases - Enter Cases'!E622,"")</f>
        <v/>
      </c>
      <c r="F622" t="str">
        <f>IF($A622&lt;&gt;"",'All Cases - Enter Cases'!F622,"")</f>
        <v/>
      </c>
      <c r="G622" t="str">
        <f>IF($A622&lt;&gt;"",'All Cases - Enter Cases'!G622,"")</f>
        <v/>
      </c>
      <c r="H622" t="str">
        <f>IF($A622&lt;&gt;"",'All Cases - Enter Cases'!H622,"")</f>
        <v/>
      </c>
      <c r="I622" t="str">
        <f>IF($A622&lt;&gt;"",'All Cases - Enter Cases'!I622,"")</f>
        <v/>
      </c>
      <c r="J622" t="str">
        <f>IF($A622&lt;&gt;"",'All Cases - Enter Cases'!J622,"")</f>
        <v/>
      </c>
      <c r="K622" t="str">
        <f>IF($A622&lt;&gt;"",'All Cases - Enter Cases'!K622,"")</f>
        <v/>
      </c>
      <c r="L622" t="str">
        <f>IF($A622&lt;&gt;"",'All Cases - Enter Cases'!L622,"")</f>
        <v/>
      </c>
      <c r="M622" t="str">
        <f>IF($A622&lt;&gt;"",'All Cases - Enter Cases'!M622,"")</f>
        <v/>
      </c>
    </row>
    <row r="623" spans="1:13" x14ac:dyDescent="0.35">
      <c r="A623" t="str">
        <f>IF('All Cases - Enter Cases'!$F623="Balochistan",'All Cases - Enter Cases'!A623,"")</f>
        <v/>
      </c>
      <c r="B623" t="str">
        <f>IF($A623&lt;&gt;"",'All Cases - Enter Cases'!B623,"")</f>
        <v/>
      </c>
      <c r="C623" t="str">
        <f>IF($A623&lt;&gt;"",'All Cases - Enter Cases'!C623,"")</f>
        <v/>
      </c>
      <c r="D623" t="str">
        <f>IF($A623&lt;&gt;"",'All Cases - Enter Cases'!D623,"")</f>
        <v/>
      </c>
      <c r="E623" t="str">
        <f>IF($A623&lt;&gt;"",'All Cases - Enter Cases'!E623,"")</f>
        <v/>
      </c>
      <c r="F623" t="str">
        <f>IF($A623&lt;&gt;"",'All Cases - Enter Cases'!F623,"")</f>
        <v/>
      </c>
      <c r="G623" t="str">
        <f>IF($A623&lt;&gt;"",'All Cases - Enter Cases'!G623,"")</f>
        <v/>
      </c>
      <c r="H623" t="str">
        <f>IF($A623&lt;&gt;"",'All Cases - Enter Cases'!H623,"")</f>
        <v/>
      </c>
      <c r="I623" t="str">
        <f>IF($A623&lt;&gt;"",'All Cases - Enter Cases'!I623,"")</f>
        <v/>
      </c>
      <c r="J623" t="str">
        <f>IF($A623&lt;&gt;"",'All Cases - Enter Cases'!J623,"")</f>
        <v/>
      </c>
      <c r="K623" t="str">
        <f>IF($A623&lt;&gt;"",'All Cases - Enter Cases'!K623,"")</f>
        <v/>
      </c>
      <c r="L623" t="str">
        <f>IF($A623&lt;&gt;"",'All Cases - Enter Cases'!L623,"")</f>
        <v/>
      </c>
      <c r="M623" t="str">
        <f>IF($A623&lt;&gt;"",'All Cases - Enter Cases'!M623,"")</f>
        <v/>
      </c>
    </row>
    <row r="624" spans="1:13" x14ac:dyDescent="0.35">
      <c r="A624" t="str">
        <f>IF('All Cases - Enter Cases'!$F624="Balochistan",'All Cases - Enter Cases'!A624,"")</f>
        <v/>
      </c>
      <c r="B624" t="str">
        <f>IF($A624&lt;&gt;"",'All Cases - Enter Cases'!B624,"")</f>
        <v/>
      </c>
      <c r="C624" t="str">
        <f>IF($A624&lt;&gt;"",'All Cases - Enter Cases'!C624,"")</f>
        <v/>
      </c>
      <c r="D624" t="str">
        <f>IF($A624&lt;&gt;"",'All Cases - Enter Cases'!D624,"")</f>
        <v/>
      </c>
      <c r="E624" t="str">
        <f>IF($A624&lt;&gt;"",'All Cases - Enter Cases'!E624,"")</f>
        <v/>
      </c>
      <c r="F624" t="str">
        <f>IF($A624&lt;&gt;"",'All Cases - Enter Cases'!F624,"")</f>
        <v/>
      </c>
      <c r="G624" t="str">
        <f>IF($A624&lt;&gt;"",'All Cases - Enter Cases'!G624,"")</f>
        <v/>
      </c>
      <c r="H624" t="str">
        <f>IF($A624&lt;&gt;"",'All Cases - Enter Cases'!H624,"")</f>
        <v/>
      </c>
      <c r="I624" t="str">
        <f>IF($A624&lt;&gt;"",'All Cases - Enter Cases'!I624,"")</f>
        <v/>
      </c>
      <c r="J624" t="str">
        <f>IF($A624&lt;&gt;"",'All Cases - Enter Cases'!J624,"")</f>
        <v/>
      </c>
      <c r="K624" t="str">
        <f>IF($A624&lt;&gt;"",'All Cases - Enter Cases'!K624,"")</f>
        <v/>
      </c>
      <c r="L624" t="str">
        <f>IF($A624&lt;&gt;"",'All Cases - Enter Cases'!L624,"")</f>
        <v/>
      </c>
      <c r="M624" t="str">
        <f>IF($A624&lt;&gt;"",'All Cases - Enter Cases'!M624,"")</f>
        <v/>
      </c>
    </row>
    <row r="625" spans="1:13" x14ac:dyDescent="0.35">
      <c r="A625" t="str">
        <f>IF('All Cases - Enter Cases'!$F625="Balochistan",'All Cases - Enter Cases'!A625,"")</f>
        <v/>
      </c>
      <c r="B625" t="str">
        <f>IF($A625&lt;&gt;"",'All Cases - Enter Cases'!B625,"")</f>
        <v/>
      </c>
      <c r="C625" t="str">
        <f>IF($A625&lt;&gt;"",'All Cases - Enter Cases'!C625,"")</f>
        <v/>
      </c>
      <c r="D625" t="str">
        <f>IF($A625&lt;&gt;"",'All Cases - Enter Cases'!D625,"")</f>
        <v/>
      </c>
      <c r="E625" t="str">
        <f>IF($A625&lt;&gt;"",'All Cases - Enter Cases'!E625,"")</f>
        <v/>
      </c>
      <c r="F625" t="str">
        <f>IF($A625&lt;&gt;"",'All Cases - Enter Cases'!F625,"")</f>
        <v/>
      </c>
      <c r="G625" t="str">
        <f>IF($A625&lt;&gt;"",'All Cases - Enter Cases'!G625,"")</f>
        <v/>
      </c>
      <c r="H625" t="str">
        <f>IF($A625&lt;&gt;"",'All Cases - Enter Cases'!H625,"")</f>
        <v/>
      </c>
      <c r="I625" t="str">
        <f>IF($A625&lt;&gt;"",'All Cases - Enter Cases'!I625,"")</f>
        <v/>
      </c>
      <c r="J625" t="str">
        <f>IF($A625&lt;&gt;"",'All Cases - Enter Cases'!J625,"")</f>
        <v/>
      </c>
      <c r="K625" t="str">
        <f>IF($A625&lt;&gt;"",'All Cases - Enter Cases'!K625,"")</f>
        <v/>
      </c>
      <c r="L625" t="str">
        <f>IF($A625&lt;&gt;"",'All Cases - Enter Cases'!L625,"")</f>
        <v/>
      </c>
      <c r="M625" t="str">
        <f>IF($A625&lt;&gt;"",'All Cases - Enter Cases'!M625,"")</f>
        <v/>
      </c>
    </row>
    <row r="626" spans="1:13" x14ac:dyDescent="0.35">
      <c r="A626" t="str">
        <f>IF('All Cases - Enter Cases'!$F626="Balochistan",'All Cases - Enter Cases'!A626,"")</f>
        <v/>
      </c>
      <c r="B626" t="str">
        <f>IF($A626&lt;&gt;"",'All Cases - Enter Cases'!B626,"")</f>
        <v/>
      </c>
      <c r="C626" t="str">
        <f>IF($A626&lt;&gt;"",'All Cases - Enter Cases'!C626,"")</f>
        <v/>
      </c>
      <c r="D626" t="str">
        <f>IF($A626&lt;&gt;"",'All Cases - Enter Cases'!D626,"")</f>
        <v/>
      </c>
      <c r="E626" t="str">
        <f>IF($A626&lt;&gt;"",'All Cases - Enter Cases'!E626,"")</f>
        <v/>
      </c>
      <c r="F626" t="str">
        <f>IF($A626&lt;&gt;"",'All Cases - Enter Cases'!F626,"")</f>
        <v/>
      </c>
      <c r="G626" t="str">
        <f>IF($A626&lt;&gt;"",'All Cases - Enter Cases'!G626,"")</f>
        <v/>
      </c>
      <c r="H626" t="str">
        <f>IF($A626&lt;&gt;"",'All Cases - Enter Cases'!H626,"")</f>
        <v/>
      </c>
      <c r="I626" t="str">
        <f>IF($A626&lt;&gt;"",'All Cases - Enter Cases'!I626,"")</f>
        <v/>
      </c>
      <c r="J626" t="str">
        <f>IF($A626&lt;&gt;"",'All Cases - Enter Cases'!J626,"")</f>
        <v/>
      </c>
      <c r="K626" t="str">
        <f>IF($A626&lt;&gt;"",'All Cases - Enter Cases'!K626,"")</f>
        <v/>
      </c>
      <c r="L626" t="str">
        <f>IF($A626&lt;&gt;"",'All Cases - Enter Cases'!L626,"")</f>
        <v/>
      </c>
      <c r="M626" t="str">
        <f>IF($A626&lt;&gt;"",'All Cases - Enter Cases'!M626,"")</f>
        <v/>
      </c>
    </row>
    <row r="627" spans="1:13" x14ac:dyDescent="0.35">
      <c r="A627" t="str">
        <f>IF('All Cases - Enter Cases'!$F627="Balochistan",'All Cases - Enter Cases'!A627,"")</f>
        <v/>
      </c>
      <c r="B627" t="str">
        <f>IF($A627&lt;&gt;"",'All Cases - Enter Cases'!B627,"")</f>
        <v/>
      </c>
      <c r="C627" t="str">
        <f>IF($A627&lt;&gt;"",'All Cases - Enter Cases'!C627,"")</f>
        <v/>
      </c>
      <c r="D627" t="str">
        <f>IF($A627&lt;&gt;"",'All Cases - Enter Cases'!D627,"")</f>
        <v/>
      </c>
      <c r="E627" t="str">
        <f>IF($A627&lt;&gt;"",'All Cases - Enter Cases'!E627,"")</f>
        <v/>
      </c>
      <c r="F627" t="str">
        <f>IF($A627&lt;&gt;"",'All Cases - Enter Cases'!F627,"")</f>
        <v/>
      </c>
      <c r="G627" t="str">
        <f>IF($A627&lt;&gt;"",'All Cases - Enter Cases'!G627,"")</f>
        <v/>
      </c>
      <c r="H627" t="str">
        <f>IF($A627&lt;&gt;"",'All Cases - Enter Cases'!H627,"")</f>
        <v/>
      </c>
      <c r="I627" t="str">
        <f>IF($A627&lt;&gt;"",'All Cases - Enter Cases'!I627,"")</f>
        <v/>
      </c>
      <c r="J627" t="str">
        <f>IF($A627&lt;&gt;"",'All Cases - Enter Cases'!J627,"")</f>
        <v/>
      </c>
      <c r="K627" t="str">
        <f>IF($A627&lt;&gt;"",'All Cases - Enter Cases'!K627,"")</f>
        <v/>
      </c>
      <c r="L627" t="str">
        <f>IF($A627&lt;&gt;"",'All Cases - Enter Cases'!L627,"")</f>
        <v/>
      </c>
      <c r="M627" t="str">
        <f>IF($A627&lt;&gt;"",'All Cases - Enter Cases'!M627,"")</f>
        <v/>
      </c>
    </row>
    <row r="628" spans="1:13" x14ac:dyDescent="0.35">
      <c r="A628" t="str">
        <f>IF('All Cases - Enter Cases'!$F628="Balochistan",'All Cases - Enter Cases'!A628,"")</f>
        <v/>
      </c>
      <c r="B628" t="str">
        <f>IF($A628&lt;&gt;"",'All Cases - Enter Cases'!B628,"")</f>
        <v/>
      </c>
      <c r="C628" t="str">
        <f>IF($A628&lt;&gt;"",'All Cases - Enter Cases'!C628,"")</f>
        <v/>
      </c>
      <c r="D628" t="str">
        <f>IF($A628&lt;&gt;"",'All Cases - Enter Cases'!D628,"")</f>
        <v/>
      </c>
      <c r="E628" t="str">
        <f>IF($A628&lt;&gt;"",'All Cases - Enter Cases'!E628,"")</f>
        <v/>
      </c>
      <c r="F628" t="str">
        <f>IF($A628&lt;&gt;"",'All Cases - Enter Cases'!F628,"")</f>
        <v/>
      </c>
      <c r="G628" t="str">
        <f>IF($A628&lt;&gt;"",'All Cases - Enter Cases'!G628,"")</f>
        <v/>
      </c>
      <c r="H628" t="str">
        <f>IF($A628&lt;&gt;"",'All Cases - Enter Cases'!H628,"")</f>
        <v/>
      </c>
      <c r="I628" t="str">
        <f>IF($A628&lt;&gt;"",'All Cases - Enter Cases'!I628,"")</f>
        <v/>
      </c>
      <c r="J628" t="str">
        <f>IF($A628&lt;&gt;"",'All Cases - Enter Cases'!J628,"")</f>
        <v/>
      </c>
      <c r="K628" t="str">
        <f>IF($A628&lt;&gt;"",'All Cases - Enter Cases'!K628,"")</f>
        <v/>
      </c>
      <c r="L628" t="str">
        <f>IF($A628&lt;&gt;"",'All Cases - Enter Cases'!L628,"")</f>
        <v/>
      </c>
      <c r="M628" t="str">
        <f>IF($A628&lt;&gt;"",'All Cases - Enter Cases'!M628,"")</f>
        <v/>
      </c>
    </row>
    <row r="629" spans="1:13" x14ac:dyDescent="0.35">
      <c r="A629" t="str">
        <f>IF('All Cases - Enter Cases'!$F629="Balochistan",'All Cases - Enter Cases'!A629,"")</f>
        <v/>
      </c>
      <c r="B629" t="str">
        <f>IF($A629&lt;&gt;"",'All Cases - Enter Cases'!B629,"")</f>
        <v/>
      </c>
      <c r="C629" t="str">
        <f>IF($A629&lt;&gt;"",'All Cases - Enter Cases'!C629,"")</f>
        <v/>
      </c>
      <c r="D629" t="str">
        <f>IF($A629&lt;&gt;"",'All Cases - Enter Cases'!D629,"")</f>
        <v/>
      </c>
      <c r="E629" t="str">
        <f>IF($A629&lt;&gt;"",'All Cases - Enter Cases'!E629,"")</f>
        <v/>
      </c>
      <c r="F629" t="str">
        <f>IF($A629&lt;&gt;"",'All Cases - Enter Cases'!F629,"")</f>
        <v/>
      </c>
      <c r="G629" t="str">
        <f>IF($A629&lt;&gt;"",'All Cases - Enter Cases'!G629,"")</f>
        <v/>
      </c>
      <c r="H629" t="str">
        <f>IF($A629&lt;&gt;"",'All Cases - Enter Cases'!H629,"")</f>
        <v/>
      </c>
      <c r="I629" t="str">
        <f>IF($A629&lt;&gt;"",'All Cases - Enter Cases'!I629,"")</f>
        <v/>
      </c>
      <c r="J629" t="str">
        <f>IF($A629&lt;&gt;"",'All Cases - Enter Cases'!J629,"")</f>
        <v/>
      </c>
      <c r="K629" t="str">
        <f>IF($A629&lt;&gt;"",'All Cases - Enter Cases'!K629,"")</f>
        <v/>
      </c>
      <c r="L629" t="str">
        <f>IF($A629&lt;&gt;"",'All Cases - Enter Cases'!L629,"")</f>
        <v/>
      </c>
      <c r="M629" t="str">
        <f>IF($A629&lt;&gt;"",'All Cases - Enter Cases'!M629,"")</f>
        <v/>
      </c>
    </row>
    <row r="630" spans="1:13" x14ac:dyDescent="0.35">
      <c r="A630" t="str">
        <f>IF('All Cases - Enter Cases'!$F630="Balochistan",'All Cases - Enter Cases'!A630,"")</f>
        <v/>
      </c>
      <c r="B630" t="str">
        <f>IF($A630&lt;&gt;"",'All Cases - Enter Cases'!B630,"")</f>
        <v/>
      </c>
      <c r="C630" t="str">
        <f>IF($A630&lt;&gt;"",'All Cases - Enter Cases'!C630,"")</f>
        <v/>
      </c>
      <c r="D630" t="str">
        <f>IF($A630&lt;&gt;"",'All Cases - Enter Cases'!D630,"")</f>
        <v/>
      </c>
      <c r="E630" t="str">
        <f>IF($A630&lt;&gt;"",'All Cases - Enter Cases'!E630,"")</f>
        <v/>
      </c>
      <c r="F630" t="str">
        <f>IF($A630&lt;&gt;"",'All Cases - Enter Cases'!F630,"")</f>
        <v/>
      </c>
      <c r="G630" t="str">
        <f>IF($A630&lt;&gt;"",'All Cases - Enter Cases'!G630,"")</f>
        <v/>
      </c>
      <c r="H630" t="str">
        <f>IF($A630&lt;&gt;"",'All Cases - Enter Cases'!H630,"")</f>
        <v/>
      </c>
      <c r="I630" t="str">
        <f>IF($A630&lt;&gt;"",'All Cases - Enter Cases'!I630,"")</f>
        <v/>
      </c>
      <c r="J630" t="str">
        <f>IF($A630&lt;&gt;"",'All Cases - Enter Cases'!J630,"")</f>
        <v/>
      </c>
      <c r="K630" t="str">
        <f>IF($A630&lt;&gt;"",'All Cases - Enter Cases'!K630,"")</f>
        <v/>
      </c>
      <c r="L630" t="str">
        <f>IF($A630&lt;&gt;"",'All Cases - Enter Cases'!L630,"")</f>
        <v/>
      </c>
      <c r="M630" t="str">
        <f>IF($A630&lt;&gt;"",'All Cases - Enter Cases'!M630,"")</f>
        <v/>
      </c>
    </row>
    <row r="631" spans="1:13" x14ac:dyDescent="0.35">
      <c r="A631" t="str">
        <f>IF('All Cases - Enter Cases'!$F631="Balochistan",'All Cases - Enter Cases'!A631,"")</f>
        <v/>
      </c>
      <c r="B631" t="str">
        <f>IF($A631&lt;&gt;"",'All Cases - Enter Cases'!B631,"")</f>
        <v/>
      </c>
      <c r="C631" t="str">
        <f>IF($A631&lt;&gt;"",'All Cases - Enter Cases'!C631,"")</f>
        <v/>
      </c>
      <c r="D631" t="str">
        <f>IF($A631&lt;&gt;"",'All Cases - Enter Cases'!D631,"")</f>
        <v/>
      </c>
      <c r="E631" t="str">
        <f>IF($A631&lt;&gt;"",'All Cases - Enter Cases'!E631,"")</f>
        <v/>
      </c>
      <c r="F631" t="str">
        <f>IF($A631&lt;&gt;"",'All Cases - Enter Cases'!F631,"")</f>
        <v/>
      </c>
      <c r="G631" t="str">
        <f>IF($A631&lt;&gt;"",'All Cases - Enter Cases'!G631,"")</f>
        <v/>
      </c>
      <c r="H631" t="str">
        <f>IF($A631&lt;&gt;"",'All Cases - Enter Cases'!H631,"")</f>
        <v/>
      </c>
      <c r="I631" t="str">
        <f>IF($A631&lt;&gt;"",'All Cases - Enter Cases'!I631,"")</f>
        <v/>
      </c>
      <c r="J631" t="str">
        <f>IF($A631&lt;&gt;"",'All Cases - Enter Cases'!J631,"")</f>
        <v/>
      </c>
      <c r="K631" t="str">
        <f>IF($A631&lt;&gt;"",'All Cases - Enter Cases'!K631,"")</f>
        <v/>
      </c>
      <c r="L631" t="str">
        <f>IF($A631&lt;&gt;"",'All Cases - Enter Cases'!L631,"")</f>
        <v/>
      </c>
      <c r="M631" t="str">
        <f>IF($A631&lt;&gt;"",'All Cases - Enter Cases'!M631,"")</f>
        <v/>
      </c>
    </row>
    <row r="632" spans="1:13" x14ac:dyDescent="0.35">
      <c r="A632" t="str">
        <f>IF('All Cases - Enter Cases'!$F632="Balochistan",'All Cases - Enter Cases'!A632,"")</f>
        <v/>
      </c>
      <c r="B632" t="str">
        <f>IF($A632&lt;&gt;"",'All Cases - Enter Cases'!B632,"")</f>
        <v/>
      </c>
      <c r="C632" t="str">
        <f>IF($A632&lt;&gt;"",'All Cases - Enter Cases'!C632,"")</f>
        <v/>
      </c>
      <c r="D632" t="str">
        <f>IF($A632&lt;&gt;"",'All Cases - Enter Cases'!D632,"")</f>
        <v/>
      </c>
      <c r="E632" t="str">
        <f>IF($A632&lt;&gt;"",'All Cases - Enter Cases'!E632,"")</f>
        <v/>
      </c>
      <c r="F632" t="str">
        <f>IF($A632&lt;&gt;"",'All Cases - Enter Cases'!F632,"")</f>
        <v/>
      </c>
      <c r="G632" t="str">
        <f>IF($A632&lt;&gt;"",'All Cases - Enter Cases'!G632,"")</f>
        <v/>
      </c>
      <c r="H632" t="str">
        <f>IF($A632&lt;&gt;"",'All Cases - Enter Cases'!H632,"")</f>
        <v/>
      </c>
      <c r="I632" t="str">
        <f>IF($A632&lt;&gt;"",'All Cases - Enter Cases'!I632,"")</f>
        <v/>
      </c>
      <c r="J632" t="str">
        <f>IF($A632&lt;&gt;"",'All Cases - Enter Cases'!J632,"")</f>
        <v/>
      </c>
      <c r="K632" t="str">
        <f>IF($A632&lt;&gt;"",'All Cases - Enter Cases'!K632,"")</f>
        <v/>
      </c>
      <c r="L632" t="str">
        <f>IF($A632&lt;&gt;"",'All Cases - Enter Cases'!L632,"")</f>
        <v/>
      </c>
      <c r="M632" t="str">
        <f>IF($A632&lt;&gt;"",'All Cases - Enter Cases'!M632,"")</f>
        <v/>
      </c>
    </row>
    <row r="633" spans="1:13" x14ac:dyDescent="0.35">
      <c r="A633" t="str">
        <f>IF('All Cases - Enter Cases'!$F633="Balochistan",'All Cases - Enter Cases'!A633,"")</f>
        <v/>
      </c>
      <c r="B633" t="str">
        <f>IF($A633&lt;&gt;"",'All Cases - Enter Cases'!B633,"")</f>
        <v/>
      </c>
      <c r="C633" t="str">
        <f>IF($A633&lt;&gt;"",'All Cases - Enter Cases'!C633,"")</f>
        <v/>
      </c>
      <c r="D633" t="str">
        <f>IF($A633&lt;&gt;"",'All Cases - Enter Cases'!D633,"")</f>
        <v/>
      </c>
      <c r="E633" t="str">
        <f>IF($A633&lt;&gt;"",'All Cases - Enter Cases'!E633,"")</f>
        <v/>
      </c>
      <c r="F633" t="str">
        <f>IF($A633&lt;&gt;"",'All Cases - Enter Cases'!F633,"")</f>
        <v/>
      </c>
      <c r="G633" t="str">
        <f>IF($A633&lt;&gt;"",'All Cases - Enter Cases'!G633,"")</f>
        <v/>
      </c>
      <c r="H633" t="str">
        <f>IF($A633&lt;&gt;"",'All Cases - Enter Cases'!H633,"")</f>
        <v/>
      </c>
      <c r="I633" t="str">
        <f>IF($A633&lt;&gt;"",'All Cases - Enter Cases'!I633,"")</f>
        <v/>
      </c>
      <c r="J633" t="str">
        <f>IF($A633&lt;&gt;"",'All Cases - Enter Cases'!J633,"")</f>
        <v/>
      </c>
      <c r="K633" t="str">
        <f>IF($A633&lt;&gt;"",'All Cases - Enter Cases'!K633,"")</f>
        <v/>
      </c>
      <c r="L633" t="str">
        <f>IF($A633&lt;&gt;"",'All Cases - Enter Cases'!L633,"")</f>
        <v/>
      </c>
      <c r="M633" t="str">
        <f>IF($A633&lt;&gt;"",'All Cases - Enter Cases'!M633,"")</f>
        <v/>
      </c>
    </row>
    <row r="634" spans="1:13" x14ac:dyDescent="0.35">
      <c r="A634" t="str">
        <f>IF('All Cases - Enter Cases'!$F634="Balochistan",'All Cases - Enter Cases'!A634,"")</f>
        <v/>
      </c>
      <c r="B634" t="str">
        <f>IF($A634&lt;&gt;"",'All Cases - Enter Cases'!B634,"")</f>
        <v/>
      </c>
      <c r="C634" t="str">
        <f>IF($A634&lt;&gt;"",'All Cases - Enter Cases'!C634,"")</f>
        <v/>
      </c>
      <c r="D634" t="str">
        <f>IF($A634&lt;&gt;"",'All Cases - Enter Cases'!D634,"")</f>
        <v/>
      </c>
      <c r="E634" t="str">
        <f>IF($A634&lt;&gt;"",'All Cases - Enter Cases'!E634,"")</f>
        <v/>
      </c>
      <c r="F634" t="str">
        <f>IF($A634&lt;&gt;"",'All Cases - Enter Cases'!F634,"")</f>
        <v/>
      </c>
      <c r="G634" t="str">
        <f>IF($A634&lt;&gt;"",'All Cases - Enter Cases'!G634,"")</f>
        <v/>
      </c>
      <c r="H634" t="str">
        <f>IF($A634&lt;&gt;"",'All Cases - Enter Cases'!H634,"")</f>
        <v/>
      </c>
      <c r="I634" t="str">
        <f>IF($A634&lt;&gt;"",'All Cases - Enter Cases'!I634,"")</f>
        <v/>
      </c>
      <c r="J634" t="str">
        <f>IF($A634&lt;&gt;"",'All Cases - Enter Cases'!J634,"")</f>
        <v/>
      </c>
      <c r="K634" t="str">
        <f>IF($A634&lt;&gt;"",'All Cases - Enter Cases'!K634,"")</f>
        <v/>
      </c>
      <c r="L634" t="str">
        <f>IF($A634&lt;&gt;"",'All Cases - Enter Cases'!L634,"")</f>
        <v/>
      </c>
      <c r="M634" t="str">
        <f>IF($A634&lt;&gt;"",'All Cases - Enter Cases'!M634,"")</f>
        <v/>
      </c>
    </row>
    <row r="635" spans="1:13" x14ac:dyDescent="0.35">
      <c r="A635" t="str">
        <f>IF('All Cases - Enter Cases'!$F635="Balochistan",'All Cases - Enter Cases'!A635,"")</f>
        <v/>
      </c>
      <c r="B635" t="str">
        <f>IF($A635&lt;&gt;"",'All Cases - Enter Cases'!B635,"")</f>
        <v/>
      </c>
      <c r="C635" t="str">
        <f>IF($A635&lt;&gt;"",'All Cases - Enter Cases'!C635,"")</f>
        <v/>
      </c>
      <c r="D635" t="str">
        <f>IF($A635&lt;&gt;"",'All Cases - Enter Cases'!D635,"")</f>
        <v/>
      </c>
      <c r="E635" t="str">
        <f>IF($A635&lt;&gt;"",'All Cases - Enter Cases'!E635,"")</f>
        <v/>
      </c>
      <c r="F635" t="str">
        <f>IF($A635&lt;&gt;"",'All Cases - Enter Cases'!F635,"")</f>
        <v/>
      </c>
      <c r="G635" t="str">
        <f>IF($A635&lt;&gt;"",'All Cases - Enter Cases'!G635,"")</f>
        <v/>
      </c>
      <c r="H635" t="str">
        <f>IF($A635&lt;&gt;"",'All Cases - Enter Cases'!H635,"")</f>
        <v/>
      </c>
      <c r="I635" t="str">
        <f>IF($A635&lt;&gt;"",'All Cases - Enter Cases'!I635,"")</f>
        <v/>
      </c>
      <c r="J635" t="str">
        <f>IF($A635&lt;&gt;"",'All Cases - Enter Cases'!J635,"")</f>
        <v/>
      </c>
      <c r="K635" t="str">
        <f>IF($A635&lt;&gt;"",'All Cases - Enter Cases'!K635,"")</f>
        <v/>
      </c>
      <c r="L635" t="str">
        <f>IF($A635&lt;&gt;"",'All Cases - Enter Cases'!L635,"")</f>
        <v/>
      </c>
      <c r="M635" t="str">
        <f>IF($A635&lt;&gt;"",'All Cases - Enter Cases'!M635,"")</f>
        <v/>
      </c>
    </row>
    <row r="636" spans="1:13" x14ac:dyDescent="0.35">
      <c r="A636" t="str">
        <f>IF('All Cases - Enter Cases'!$F636="Balochistan",'All Cases - Enter Cases'!A636,"")</f>
        <v/>
      </c>
      <c r="B636" t="str">
        <f>IF($A636&lt;&gt;"",'All Cases - Enter Cases'!B636,"")</f>
        <v/>
      </c>
      <c r="C636" t="str">
        <f>IF($A636&lt;&gt;"",'All Cases - Enter Cases'!C636,"")</f>
        <v/>
      </c>
      <c r="D636" t="str">
        <f>IF($A636&lt;&gt;"",'All Cases - Enter Cases'!D636,"")</f>
        <v/>
      </c>
      <c r="E636" t="str">
        <f>IF($A636&lt;&gt;"",'All Cases - Enter Cases'!E636,"")</f>
        <v/>
      </c>
      <c r="F636" t="str">
        <f>IF($A636&lt;&gt;"",'All Cases - Enter Cases'!F636,"")</f>
        <v/>
      </c>
      <c r="G636" t="str">
        <f>IF($A636&lt;&gt;"",'All Cases - Enter Cases'!G636,"")</f>
        <v/>
      </c>
      <c r="H636" t="str">
        <f>IF($A636&lt;&gt;"",'All Cases - Enter Cases'!H636,"")</f>
        <v/>
      </c>
      <c r="I636" t="str">
        <f>IF($A636&lt;&gt;"",'All Cases - Enter Cases'!I636,"")</f>
        <v/>
      </c>
      <c r="J636" t="str">
        <f>IF($A636&lt;&gt;"",'All Cases - Enter Cases'!J636,"")</f>
        <v/>
      </c>
      <c r="K636" t="str">
        <f>IF($A636&lt;&gt;"",'All Cases - Enter Cases'!K636,"")</f>
        <v/>
      </c>
      <c r="L636" t="str">
        <f>IF($A636&lt;&gt;"",'All Cases - Enter Cases'!L636,"")</f>
        <v/>
      </c>
      <c r="M636" t="str">
        <f>IF($A636&lt;&gt;"",'All Cases - Enter Cases'!M636,"")</f>
        <v/>
      </c>
    </row>
    <row r="637" spans="1:13" x14ac:dyDescent="0.35">
      <c r="A637" t="str">
        <f>IF('All Cases - Enter Cases'!$F637="Balochistan",'All Cases - Enter Cases'!A637,"")</f>
        <v/>
      </c>
      <c r="B637" t="str">
        <f>IF($A637&lt;&gt;"",'All Cases - Enter Cases'!B637,"")</f>
        <v/>
      </c>
      <c r="C637" t="str">
        <f>IF($A637&lt;&gt;"",'All Cases - Enter Cases'!C637,"")</f>
        <v/>
      </c>
      <c r="D637" t="str">
        <f>IF($A637&lt;&gt;"",'All Cases - Enter Cases'!D637,"")</f>
        <v/>
      </c>
      <c r="E637" t="str">
        <f>IF($A637&lt;&gt;"",'All Cases - Enter Cases'!E637,"")</f>
        <v/>
      </c>
      <c r="F637" t="str">
        <f>IF($A637&lt;&gt;"",'All Cases - Enter Cases'!F637,"")</f>
        <v/>
      </c>
      <c r="G637" t="str">
        <f>IF($A637&lt;&gt;"",'All Cases - Enter Cases'!G637,"")</f>
        <v/>
      </c>
      <c r="H637" t="str">
        <f>IF($A637&lt;&gt;"",'All Cases - Enter Cases'!H637,"")</f>
        <v/>
      </c>
      <c r="I637" t="str">
        <f>IF($A637&lt;&gt;"",'All Cases - Enter Cases'!I637,"")</f>
        <v/>
      </c>
      <c r="J637" t="str">
        <f>IF($A637&lt;&gt;"",'All Cases - Enter Cases'!J637,"")</f>
        <v/>
      </c>
      <c r="K637" t="str">
        <f>IF($A637&lt;&gt;"",'All Cases - Enter Cases'!K637,"")</f>
        <v/>
      </c>
      <c r="L637" t="str">
        <f>IF($A637&lt;&gt;"",'All Cases - Enter Cases'!L637,"")</f>
        <v/>
      </c>
      <c r="M637" t="str">
        <f>IF($A637&lt;&gt;"",'All Cases - Enter Cases'!M637,"")</f>
        <v/>
      </c>
    </row>
    <row r="638" spans="1:13" x14ac:dyDescent="0.35">
      <c r="A638" t="str">
        <f>IF('All Cases - Enter Cases'!$F638="Balochistan",'All Cases - Enter Cases'!A638,"")</f>
        <v/>
      </c>
      <c r="B638" t="str">
        <f>IF($A638&lt;&gt;"",'All Cases - Enter Cases'!B638,"")</f>
        <v/>
      </c>
      <c r="C638" t="str">
        <f>IF($A638&lt;&gt;"",'All Cases - Enter Cases'!C638,"")</f>
        <v/>
      </c>
      <c r="D638" t="str">
        <f>IF($A638&lt;&gt;"",'All Cases - Enter Cases'!D638,"")</f>
        <v/>
      </c>
      <c r="E638" t="str">
        <f>IF($A638&lt;&gt;"",'All Cases - Enter Cases'!E638,"")</f>
        <v/>
      </c>
      <c r="F638" t="str">
        <f>IF($A638&lt;&gt;"",'All Cases - Enter Cases'!F638,"")</f>
        <v/>
      </c>
      <c r="G638" t="str">
        <f>IF($A638&lt;&gt;"",'All Cases - Enter Cases'!G638,"")</f>
        <v/>
      </c>
      <c r="H638" t="str">
        <f>IF($A638&lt;&gt;"",'All Cases - Enter Cases'!H638,"")</f>
        <v/>
      </c>
      <c r="I638" t="str">
        <f>IF($A638&lt;&gt;"",'All Cases - Enter Cases'!I638,"")</f>
        <v/>
      </c>
      <c r="J638" t="str">
        <f>IF($A638&lt;&gt;"",'All Cases - Enter Cases'!J638,"")</f>
        <v/>
      </c>
      <c r="K638" t="str">
        <f>IF($A638&lt;&gt;"",'All Cases - Enter Cases'!K638,"")</f>
        <v/>
      </c>
      <c r="L638" t="str">
        <f>IF($A638&lt;&gt;"",'All Cases - Enter Cases'!L638,"")</f>
        <v/>
      </c>
      <c r="M638" t="str">
        <f>IF($A638&lt;&gt;"",'All Cases - Enter Cases'!M638,"")</f>
        <v/>
      </c>
    </row>
    <row r="639" spans="1:13" x14ac:dyDescent="0.35">
      <c r="A639" t="str">
        <f>IF('All Cases - Enter Cases'!$F639="Balochistan",'All Cases - Enter Cases'!A639,"")</f>
        <v/>
      </c>
      <c r="B639" t="str">
        <f>IF($A639&lt;&gt;"",'All Cases - Enter Cases'!B639,"")</f>
        <v/>
      </c>
      <c r="C639" t="str">
        <f>IF($A639&lt;&gt;"",'All Cases - Enter Cases'!C639,"")</f>
        <v/>
      </c>
      <c r="D639" t="str">
        <f>IF($A639&lt;&gt;"",'All Cases - Enter Cases'!D639,"")</f>
        <v/>
      </c>
      <c r="E639" t="str">
        <f>IF($A639&lt;&gt;"",'All Cases - Enter Cases'!E639,"")</f>
        <v/>
      </c>
      <c r="F639" t="str">
        <f>IF($A639&lt;&gt;"",'All Cases - Enter Cases'!F639,"")</f>
        <v/>
      </c>
      <c r="G639" t="str">
        <f>IF($A639&lt;&gt;"",'All Cases - Enter Cases'!G639,"")</f>
        <v/>
      </c>
      <c r="H639" t="str">
        <f>IF($A639&lt;&gt;"",'All Cases - Enter Cases'!H639,"")</f>
        <v/>
      </c>
      <c r="I639" t="str">
        <f>IF($A639&lt;&gt;"",'All Cases - Enter Cases'!I639,"")</f>
        <v/>
      </c>
      <c r="J639" t="str">
        <f>IF($A639&lt;&gt;"",'All Cases - Enter Cases'!J639,"")</f>
        <v/>
      </c>
      <c r="K639" t="str">
        <f>IF($A639&lt;&gt;"",'All Cases - Enter Cases'!K639,"")</f>
        <v/>
      </c>
      <c r="L639" t="str">
        <f>IF($A639&lt;&gt;"",'All Cases - Enter Cases'!L639,"")</f>
        <v/>
      </c>
      <c r="M639" t="str">
        <f>IF($A639&lt;&gt;"",'All Cases - Enter Cases'!M639,"")</f>
        <v/>
      </c>
    </row>
    <row r="640" spans="1:13" x14ac:dyDescent="0.35">
      <c r="A640" t="str">
        <f>IF('All Cases - Enter Cases'!$F640="Balochistan",'All Cases - Enter Cases'!A640,"")</f>
        <v/>
      </c>
      <c r="B640" t="str">
        <f>IF($A640&lt;&gt;"",'All Cases - Enter Cases'!B640,"")</f>
        <v/>
      </c>
      <c r="C640" t="str">
        <f>IF($A640&lt;&gt;"",'All Cases - Enter Cases'!C640,"")</f>
        <v/>
      </c>
      <c r="D640" t="str">
        <f>IF($A640&lt;&gt;"",'All Cases - Enter Cases'!D640,"")</f>
        <v/>
      </c>
      <c r="E640" t="str">
        <f>IF($A640&lt;&gt;"",'All Cases - Enter Cases'!E640,"")</f>
        <v/>
      </c>
      <c r="F640" t="str">
        <f>IF($A640&lt;&gt;"",'All Cases - Enter Cases'!F640,"")</f>
        <v/>
      </c>
      <c r="G640" t="str">
        <f>IF($A640&lt;&gt;"",'All Cases - Enter Cases'!G640,"")</f>
        <v/>
      </c>
      <c r="H640" t="str">
        <f>IF($A640&lt;&gt;"",'All Cases - Enter Cases'!H640,"")</f>
        <v/>
      </c>
      <c r="I640" t="str">
        <f>IF($A640&lt;&gt;"",'All Cases - Enter Cases'!I640,"")</f>
        <v/>
      </c>
      <c r="J640" t="str">
        <f>IF($A640&lt;&gt;"",'All Cases - Enter Cases'!J640,"")</f>
        <v/>
      </c>
      <c r="K640" t="str">
        <f>IF($A640&lt;&gt;"",'All Cases - Enter Cases'!K640,"")</f>
        <v/>
      </c>
      <c r="L640" t="str">
        <f>IF($A640&lt;&gt;"",'All Cases - Enter Cases'!L640,"")</f>
        <v/>
      </c>
      <c r="M640" t="str">
        <f>IF($A640&lt;&gt;"",'All Cases - Enter Cases'!M640,"")</f>
        <v/>
      </c>
    </row>
    <row r="641" spans="1:13" x14ac:dyDescent="0.35">
      <c r="A641" t="str">
        <f>IF('All Cases - Enter Cases'!$F641="Balochistan",'All Cases - Enter Cases'!A641,"")</f>
        <v/>
      </c>
      <c r="B641" t="str">
        <f>IF($A641&lt;&gt;"",'All Cases - Enter Cases'!B641,"")</f>
        <v/>
      </c>
      <c r="C641" t="str">
        <f>IF($A641&lt;&gt;"",'All Cases - Enter Cases'!C641,"")</f>
        <v/>
      </c>
      <c r="D641" t="str">
        <f>IF($A641&lt;&gt;"",'All Cases - Enter Cases'!D641,"")</f>
        <v/>
      </c>
      <c r="E641" t="str">
        <f>IF($A641&lt;&gt;"",'All Cases - Enter Cases'!E641,"")</f>
        <v/>
      </c>
      <c r="F641" t="str">
        <f>IF($A641&lt;&gt;"",'All Cases - Enter Cases'!F641,"")</f>
        <v/>
      </c>
      <c r="G641" t="str">
        <f>IF($A641&lt;&gt;"",'All Cases - Enter Cases'!G641,"")</f>
        <v/>
      </c>
      <c r="H641" t="str">
        <f>IF($A641&lt;&gt;"",'All Cases - Enter Cases'!H641,"")</f>
        <v/>
      </c>
      <c r="I641" t="str">
        <f>IF($A641&lt;&gt;"",'All Cases - Enter Cases'!I641,"")</f>
        <v/>
      </c>
      <c r="J641" t="str">
        <f>IF($A641&lt;&gt;"",'All Cases - Enter Cases'!J641,"")</f>
        <v/>
      </c>
      <c r="K641" t="str">
        <f>IF($A641&lt;&gt;"",'All Cases - Enter Cases'!K641,"")</f>
        <v/>
      </c>
      <c r="L641" t="str">
        <f>IF($A641&lt;&gt;"",'All Cases - Enter Cases'!L641,"")</f>
        <v/>
      </c>
      <c r="M641" t="str">
        <f>IF($A641&lt;&gt;"",'All Cases - Enter Cases'!M641,"")</f>
        <v/>
      </c>
    </row>
    <row r="642" spans="1:13" x14ac:dyDescent="0.35">
      <c r="A642" t="str">
        <f>IF('All Cases - Enter Cases'!$F642="Balochistan",'All Cases - Enter Cases'!A642,"")</f>
        <v/>
      </c>
      <c r="B642" t="str">
        <f>IF($A642&lt;&gt;"",'All Cases - Enter Cases'!B642,"")</f>
        <v/>
      </c>
      <c r="C642" t="str">
        <f>IF($A642&lt;&gt;"",'All Cases - Enter Cases'!C642,"")</f>
        <v/>
      </c>
      <c r="D642" t="str">
        <f>IF($A642&lt;&gt;"",'All Cases - Enter Cases'!D642,"")</f>
        <v/>
      </c>
      <c r="E642" t="str">
        <f>IF($A642&lt;&gt;"",'All Cases - Enter Cases'!E642,"")</f>
        <v/>
      </c>
      <c r="F642" t="str">
        <f>IF($A642&lt;&gt;"",'All Cases - Enter Cases'!F642,"")</f>
        <v/>
      </c>
      <c r="G642" t="str">
        <f>IF($A642&lt;&gt;"",'All Cases - Enter Cases'!G642,"")</f>
        <v/>
      </c>
      <c r="H642" t="str">
        <f>IF($A642&lt;&gt;"",'All Cases - Enter Cases'!H642,"")</f>
        <v/>
      </c>
      <c r="I642" t="str">
        <f>IF($A642&lt;&gt;"",'All Cases - Enter Cases'!I642,"")</f>
        <v/>
      </c>
      <c r="J642" t="str">
        <f>IF($A642&lt;&gt;"",'All Cases - Enter Cases'!J642,"")</f>
        <v/>
      </c>
      <c r="K642" t="str">
        <f>IF($A642&lt;&gt;"",'All Cases - Enter Cases'!K642,"")</f>
        <v/>
      </c>
      <c r="L642" t="str">
        <f>IF($A642&lt;&gt;"",'All Cases - Enter Cases'!L642,"")</f>
        <v/>
      </c>
      <c r="M642" t="str">
        <f>IF($A642&lt;&gt;"",'All Cases - Enter Cases'!M642,"")</f>
        <v/>
      </c>
    </row>
    <row r="643" spans="1:13" x14ac:dyDescent="0.35">
      <c r="A643" t="str">
        <f>IF('All Cases - Enter Cases'!$F643="Balochistan",'All Cases - Enter Cases'!A643,"")</f>
        <v/>
      </c>
      <c r="B643" t="str">
        <f>IF($A643&lt;&gt;"",'All Cases - Enter Cases'!B643,"")</f>
        <v/>
      </c>
      <c r="C643" t="str">
        <f>IF($A643&lt;&gt;"",'All Cases - Enter Cases'!C643,"")</f>
        <v/>
      </c>
      <c r="D643" t="str">
        <f>IF($A643&lt;&gt;"",'All Cases - Enter Cases'!D643,"")</f>
        <v/>
      </c>
      <c r="E643" t="str">
        <f>IF($A643&lt;&gt;"",'All Cases - Enter Cases'!E643,"")</f>
        <v/>
      </c>
      <c r="F643" t="str">
        <f>IF($A643&lt;&gt;"",'All Cases - Enter Cases'!F643,"")</f>
        <v/>
      </c>
      <c r="G643" t="str">
        <f>IF($A643&lt;&gt;"",'All Cases - Enter Cases'!G643,"")</f>
        <v/>
      </c>
      <c r="H643" t="str">
        <f>IF($A643&lt;&gt;"",'All Cases - Enter Cases'!H643,"")</f>
        <v/>
      </c>
      <c r="I643" t="str">
        <f>IF($A643&lt;&gt;"",'All Cases - Enter Cases'!I643,"")</f>
        <v/>
      </c>
      <c r="J643" t="str">
        <f>IF($A643&lt;&gt;"",'All Cases - Enter Cases'!J643,"")</f>
        <v/>
      </c>
      <c r="K643" t="str">
        <f>IF($A643&lt;&gt;"",'All Cases - Enter Cases'!K643,"")</f>
        <v/>
      </c>
      <c r="L643" t="str">
        <f>IF($A643&lt;&gt;"",'All Cases - Enter Cases'!L643,"")</f>
        <v/>
      </c>
      <c r="M643" t="str">
        <f>IF($A643&lt;&gt;"",'All Cases - Enter Cases'!M643,"")</f>
        <v/>
      </c>
    </row>
    <row r="644" spans="1:13" x14ac:dyDescent="0.35">
      <c r="A644" t="str">
        <f>IF('All Cases - Enter Cases'!$F644="Balochistan",'All Cases - Enter Cases'!A644,"")</f>
        <v/>
      </c>
      <c r="B644" t="str">
        <f>IF($A644&lt;&gt;"",'All Cases - Enter Cases'!B644,"")</f>
        <v/>
      </c>
      <c r="C644" t="str">
        <f>IF($A644&lt;&gt;"",'All Cases - Enter Cases'!C644,"")</f>
        <v/>
      </c>
      <c r="D644" t="str">
        <f>IF($A644&lt;&gt;"",'All Cases - Enter Cases'!D644,"")</f>
        <v/>
      </c>
      <c r="E644" t="str">
        <f>IF($A644&lt;&gt;"",'All Cases - Enter Cases'!E644,"")</f>
        <v/>
      </c>
      <c r="F644" t="str">
        <f>IF($A644&lt;&gt;"",'All Cases - Enter Cases'!F644,"")</f>
        <v/>
      </c>
      <c r="G644" t="str">
        <f>IF($A644&lt;&gt;"",'All Cases - Enter Cases'!G644,"")</f>
        <v/>
      </c>
      <c r="H644" t="str">
        <f>IF($A644&lt;&gt;"",'All Cases - Enter Cases'!H644,"")</f>
        <v/>
      </c>
      <c r="I644" t="str">
        <f>IF($A644&lt;&gt;"",'All Cases - Enter Cases'!I644,"")</f>
        <v/>
      </c>
      <c r="J644" t="str">
        <f>IF($A644&lt;&gt;"",'All Cases - Enter Cases'!J644,"")</f>
        <v/>
      </c>
      <c r="K644" t="str">
        <f>IF($A644&lt;&gt;"",'All Cases - Enter Cases'!K644,"")</f>
        <v/>
      </c>
      <c r="L644" t="str">
        <f>IF($A644&lt;&gt;"",'All Cases - Enter Cases'!L644,"")</f>
        <v/>
      </c>
      <c r="M644" t="str">
        <f>IF($A644&lt;&gt;"",'All Cases - Enter Cases'!M644,"")</f>
        <v/>
      </c>
    </row>
    <row r="645" spans="1:13" x14ac:dyDescent="0.35">
      <c r="A645" t="str">
        <f>IF('All Cases - Enter Cases'!$F645="Balochistan",'All Cases - Enter Cases'!A645,"")</f>
        <v/>
      </c>
      <c r="B645" t="str">
        <f>IF($A645&lt;&gt;"",'All Cases - Enter Cases'!B645,"")</f>
        <v/>
      </c>
      <c r="C645" t="str">
        <f>IF($A645&lt;&gt;"",'All Cases - Enter Cases'!C645,"")</f>
        <v/>
      </c>
      <c r="D645" t="str">
        <f>IF($A645&lt;&gt;"",'All Cases - Enter Cases'!D645,"")</f>
        <v/>
      </c>
      <c r="E645" t="str">
        <f>IF($A645&lt;&gt;"",'All Cases - Enter Cases'!E645,"")</f>
        <v/>
      </c>
      <c r="F645" t="str">
        <f>IF($A645&lt;&gt;"",'All Cases - Enter Cases'!F645,"")</f>
        <v/>
      </c>
      <c r="G645" t="str">
        <f>IF($A645&lt;&gt;"",'All Cases - Enter Cases'!G645,"")</f>
        <v/>
      </c>
      <c r="H645" t="str">
        <f>IF($A645&lt;&gt;"",'All Cases - Enter Cases'!H645,"")</f>
        <v/>
      </c>
      <c r="I645" t="str">
        <f>IF($A645&lt;&gt;"",'All Cases - Enter Cases'!I645,"")</f>
        <v/>
      </c>
      <c r="J645" t="str">
        <f>IF($A645&lt;&gt;"",'All Cases - Enter Cases'!J645,"")</f>
        <v/>
      </c>
      <c r="K645" t="str">
        <f>IF($A645&lt;&gt;"",'All Cases - Enter Cases'!K645,"")</f>
        <v/>
      </c>
      <c r="L645" t="str">
        <f>IF($A645&lt;&gt;"",'All Cases - Enter Cases'!L645,"")</f>
        <v/>
      </c>
      <c r="M645" t="str">
        <f>IF($A645&lt;&gt;"",'All Cases - Enter Cases'!M645,"")</f>
        <v/>
      </c>
    </row>
    <row r="646" spans="1:13" x14ac:dyDescent="0.35">
      <c r="A646" t="str">
        <f>IF('All Cases - Enter Cases'!$F646="Balochistan",'All Cases - Enter Cases'!A646,"")</f>
        <v/>
      </c>
      <c r="B646" t="str">
        <f>IF($A646&lt;&gt;"",'All Cases - Enter Cases'!B646,"")</f>
        <v/>
      </c>
      <c r="C646" t="str">
        <f>IF($A646&lt;&gt;"",'All Cases - Enter Cases'!C646,"")</f>
        <v/>
      </c>
      <c r="D646" t="str">
        <f>IF($A646&lt;&gt;"",'All Cases - Enter Cases'!D646,"")</f>
        <v/>
      </c>
      <c r="E646" t="str">
        <f>IF($A646&lt;&gt;"",'All Cases - Enter Cases'!E646,"")</f>
        <v/>
      </c>
      <c r="F646" t="str">
        <f>IF($A646&lt;&gt;"",'All Cases - Enter Cases'!F646,"")</f>
        <v/>
      </c>
      <c r="G646" t="str">
        <f>IF($A646&lt;&gt;"",'All Cases - Enter Cases'!G646,"")</f>
        <v/>
      </c>
      <c r="H646" t="str">
        <f>IF($A646&lt;&gt;"",'All Cases - Enter Cases'!H646,"")</f>
        <v/>
      </c>
      <c r="I646" t="str">
        <f>IF($A646&lt;&gt;"",'All Cases - Enter Cases'!I646,"")</f>
        <v/>
      </c>
      <c r="J646" t="str">
        <f>IF($A646&lt;&gt;"",'All Cases - Enter Cases'!J646,"")</f>
        <v/>
      </c>
      <c r="K646" t="str">
        <f>IF($A646&lt;&gt;"",'All Cases - Enter Cases'!K646,"")</f>
        <v/>
      </c>
      <c r="L646" t="str">
        <f>IF($A646&lt;&gt;"",'All Cases - Enter Cases'!L646,"")</f>
        <v/>
      </c>
      <c r="M646" t="str">
        <f>IF($A646&lt;&gt;"",'All Cases - Enter Cases'!M646,"")</f>
        <v/>
      </c>
    </row>
    <row r="647" spans="1:13" x14ac:dyDescent="0.35">
      <c r="A647" t="str">
        <f>IF('All Cases - Enter Cases'!$F647="Balochistan",'All Cases - Enter Cases'!A647,"")</f>
        <v/>
      </c>
      <c r="B647" t="str">
        <f>IF($A647&lt;&gt;"",'All Cases - Enter Cases'!B647,"")</f>
        <v/>
      </c>
      <c r="C647" t="str">
        <f>IF($A647&lt;&gt;"",'All Cases - Enter Cases'!C647,"")</f>
        <v/>
      </c>
      <c r="D647" t="str">
        <f>IF($A647&lt;&gt;"",'All Cases - Enter Cases'!D647,"")</f>
        <v/>
      </c>
      <c r="E647" t="str">
        <f>IF($A647&lt;&gt;"",'All Cases - Enter Cases'!E647,"")</f>
        <v/>
      </c>
      <c r="F647" t="str">
        <f>IF($A647&lt;&gt;"",'All Cases - Enter Cases'!F647,"")</f>
        <v/>
      </c>
      <c r="G647" t="str">
        <f>IF($A647&lt;&gt;"",'All Cases - Enter Cases'!G647,"")</f>
        <v/>
      </c>
      <c r="H647" t="str">
        <f>IF($A647&lt;&gt;"",'All Cases - Enter Cases'!H647,"")</f>
        <v/>
      </c>
      <c r="I647" t="str">
        <f>IF($A647&lt;&gt;"",'All Cases - Enter Cases'!I647,"")</f>
        <v/>
      </c>
      <c r="J647" t="str">
        <f>IF($A647&lt;&gt;"",'All Cases - Enter Cases'!J647,"")</f>
        <v/>
      </c>
      <c r="K647" t="str">
        <f>IF($A647&lt;&gt;"",'All Cases - Enter Cases'!K647,"")</f>
        <v/>
      </c>
      <c r="L647" t="str">
        <f>IF($A647&lt;&gt;"",'All Cases - Enter Cases'!L647,"")</f>
        <v/>
      </c>
      <c r="M647" t="str">
        <f>IF($A647&lt;&gt;"",'All Cases - Enter Cases'!M647,"")</f>
        <v/>
      </c>
    </row>
    <row r="648" spans="1:13" x14ac:dyDescent="0.35">
      <c r="A648" t="str">
        <f>IF('All Cases - Enter Cases'!$F648="Balochistan",'All Cases - Enter Cases'!A648,"")</f>
        <v/>
      </c>
      <c r="B648" t="str">
        <f>IF($A648&lt;&gt;"",'All Cases - Enter Cases'!B648,"")</f>
        <v/>
      </c>
      <c r="C648" t="str">
        <f>IF($A648&lt;&gt;"",'All Cases - Enter Cases'!C648,"")</f>
        <v/>
      </c>
      <c r="D648" t="str">
        <f>IF($A648&lt;&gt;"",'All Cases - Enter Cases'!D648,"")</f>
        <v/>
      </c>
      <c r="E648" t="str">
        <f>IF($A648&lt;&gt;"",'All Cases - Enter Cases'!E648,"")</f>
        <v/>
      </c>
      <c r="F648" t="str">
        <f>IF($A648&lt;&gt;"",'All Cases - Enter Cases'!F648,"")</f>
        <v/>
      </c>
      <c r="G648" t="str">
        <f>IF($A648&lt;&gt;"",'All Cases - Enter Cases'!G648,"")</f>
        <v/>
      </c>
      <c r="H648" t="str">
        <f>IF($A648&lt;&gt;"",'All Cases - Enter Cases'!H648,"")</f>
        <v/>
      </c>
      <c r="I648" t="str">
        <f>IF($A648&lt;&gt;"",'All Cases - Enter Cases'!I648,"")</f>
        <v/>
      </c>
      <c r="J648" t="str">
        <f>IF($A648&lt;&gt;"",'All Cases - Enter Cases'!J648,"")</f>
        <v/>
      </c>
      <c r="K648" t="str">
        <f>IF($A648&lt;&gt;"",'All Cases - Enter Cases'!K648,"")</f>
        <v/>
      </c>
      <c r="L648" t="str">
        <f>IF($A648&lt;&gt;"",'All Cases - Enter Cases'!L648,"")</f>
        <v/>
      </c>
      <c r="M648" t="str">
        <f>IF($A648&lt;&gt;"",'All Cases - Enter Cases'!M648,"")</f>
        <v/>
      </c>
    </row>
    <row r="649" spans="1:13" x14ac:dyDescent="0.35">
      <c r="A649" t="str">
        <f>IF('All Cases - Enter Cases'!$F649="Balochistan",'All Cases - Enter Cases'!A649,"")</f>
        <v/>
      </c>
      <c r="B649" t="str">
        <f>IF($A649&lt;&gt;"",'All Cases - Enter Cases'!B649,"")</f>
        <v/>
      </c>
      <c r="C649" t="str">
        <f>IF($A649&lt;&gt;"",'All Cases - Enter Cases'!C649,"")</f>
        <v/>
      </c>
      <c r="D649" t="str">
        <f>IF($A649&lt;&gt;"",'All Cases - Enter Cases'!D649,"")</f>
        <v/>
      </c>
      <c r="E649" t="str">
        <f>IF($A649&lt;&gt;"",'All Cases - Enter Cases'!E649,"")</f>
        <v/>
      </c>
      <c r="F649" t="str">
        <f>IF($A649&lt;&gt;"",'All Cases - Enter Cases'!F649,"")</f>
        <v/>
      </c>
      <c r="G649" t="str">
        <f>IF($A649&lt;&gt;"",'All Cases - Enter Cases'!G649,"")</f>
        <v/>
      </c>
      <c r="H649" t="str">
        <f>IF($A649&lt;&gt;"",'All Cases - Enter Cases'!H649,"")</f>
        <v/>
      </c>
      <c r="I649" t="str">
        <f>IF($A649&lt;&gt;"",'All Cases - Enter Cases'!I649,"")</f>
        <v/>
      </c>
      <c r="J649" t="str">
        <f>IF($A649&lt;&gt;"",'All Cases - Enter Cases'!J649,"")</f>
        <v/>
      </c>
      <c r="K649" t="str">
        <f>IF($A649&lt;&gt;"",'All Cases - Enter Cases'!K649,"")</f>
        <v/>
      </c>
      <c r="L649" t="str">
        <f>IF($A649&lt;&gt;"",'All Cases - Enter Cases'!L649,"")</f>
        <v/>
      </c>
      <c r="M649" t="str">
        <f>IF($A649&lt;&gt;"",'All Cases - Enter Cases'!M649,"")</f>
        <v/>
      </c>
    </row>
    <row r="650" spans="1:13" x14ac:dyDescent="0.35">
      <c r="A650" t="str">
        <f>IF('All Cases - Enter Cases'!$F650="Balochistan",'All Cases - Enter Cases'!A650,"")</f>
        <v/>
      </c>
      <c r="B650" t="str">
        <f>IF($A650&lt;&gt;"",'All Cases - Enter Cases'!B650,"")</f>
        <v/>
      </c>
      <c r="C650" t="str">
        <f>IF($A650&lt;&gt;"",'All Cases - Enter Cases'!C650,"")</f>
        <v/>
      </c>
      <c r="D650" t="str">
        <f>IF($A650&lt;&gt;"",'All Cases - Enter Cases'!D650,"")</f>
        <v/>
      </c>
      <c r="E650" t="str">
        <f>IF($A650&lt;&gt;"",'All Cases - Enter Cases'!E650,"")</f>
        <v/>
      </c>
      <c r="F650" t="str">
        <f>IF($A650&lt;&gt;"",'All Cases - Enter Cases'!F650,"")</f>
        <v/>
      </c>
      <c r="G650" t="str">
        <f>IF($A650&lt;&gt;"",'All Cases - Enter Cases'!G650,"")</f>
        <v/>
      </c>
      <c r="H650" t="str">
        <f>IF($A650&lt;&gt;"",'All Cases - Enter Cases'!H650,"")</f>
        <v/>
      </c>
      <c r="I650" t="str">
        <f>IF($A650&lt;&gt;"",'All Cases - Enter Cases'!I650,"")</f>
        <v/>
      </c>
      <c r="J650" t="str">
        <f>IF($A650&lt;&gt;"",'All Cases - Enter Cases'!J650,"")</f>
        <v/>
      </c>
      <c r="K650" t="str">
        <f>IF($A650&lt;&gt;"",'All Cases - Enter Cases'!K650,"")</f>
        <v/>
      </c>
      <c r="L650" t="str">
        <f>IF($A650&lt;&gt;"",'All Cases - Enter Cases'!L650,"")</f>
        <v/>
      </c>
      <c r="M650" t="str">
        <f>IF($A650&lt;&gt;"",'All Cases - Enter Cases'!M650,"")</f>
        <v/>
      </c>
    </row>
    <row r="651" spans="1:13" x14ac:dyDescent="0.35">
      <c r="A651" t="str">
        <f>IF('All Cases - Enter Cases'!$F651="Balochistan",'All Cases - Enter Cases'!A651,"")</f>
        <v/>
      </c>
      <c r="B651" t="str">
        <f>IF($A651&lt;&gt;"",'All Cases - Enter Cases'!B651,"")</f>
        <v/>
      </c>
      <c r="C651" t="str">
        <f>IF($A651&lt;&gt;"",'All Cases - Enter Cases'!C651,"")</f>
        <v/>
      </c>
      <c r="D651" t="str">
        <f>IF($A651&lt;&gt;"",'All Cases - Enter Cases'!D651,"")</f>
        <v/>
      </c>
      <c r="E651" t="str">
        <f>IF($A651&lt;&gt;"",'All Cases - Enter Cases'!E651,"")</f>
        <v/>
      </c>
      <c r="F651" t="str">
        <f>IF($A651&lt;&gt;"",'All Cases - Enter Cases'!F651,"")</f>
        <v/>
      </c>
      <c r="G651" t="str">
        <f>IF($A651&lt;&gt;"",'All Cases - Enter Cases'!G651,"")</f>
        <v/>
      </c>
      <c r="H651" t="str">
        <f>IF($A651&lt;&gt;"",'All Cases - Enter Cases'!H651,"")</f>
        <v/>
      </c>
      <c r="I651" t="str">
        <f>IF($A651&lt;&gt;"",'All Cases - Enter Cases'!I651,"")</f>
        <v/>
      </c>
      <c r="J651" t="str">
        <f>IF($A651&lt;&gt;"",'All Cases - Enter Cases'!J651,"")</f>
        <v/>
      </c>
      <c r="K651" t="str">
        <f>IF($A651&lt;&gt;"",'All Cases - Enter Cases'!K651,"")</f>
        <v/>
      </c>
      <c r="L651" t="str">
        <f>IF($A651&lt;&gt;"",'All Cases - Enter Cases'!L651,"")</f>
        <v/>
      </c>
      <c r="M651" t="str">
        <f>IF($A651&lt;&gt;"",'All Cases - Enter Cases'!M651,"")</f>
        <v/>
      </c>
    </row>
    <row r="652" spans="1:13" x14ac:dyDescent="0.35">
      <c r="A652" t="str">
        <f>IF('All Cases - Enter Cases'!$F652="Balochistan",'All Cases - Enter Cases'!A652,"")</f>
        <v/>
      </c>
      <c r="B652" t="str">
        <f>IF($A652&lt;&gt;"",'All Cases - Enter Cases'!B652,"")</f>
        <v/>
      </c>
      <c r="C652" t="str">
        <f>IF($A652&lt;&gt;"",'All Cases - Enter Cases'!C652,"")</f>
        <v/>
      </c>
      <c r="D652" t="str">
        <f>IF($A652&lt;&gt;"",'All Cases - Enter Cases'!D652,"")</f>
        <v/>
      </c>
      <c r="E652" t="str">
        <f>IF($A652&lt;&gt;"",'All Cases - Enter Cases'!E652,"")</f>
        <v/>
      </c>
      <c r="F652" t="str">
        <f>IF($A652&lt;&gt;"",'All Cases - Enter Cases'!F652,"")</f>
        <v/>
      </c>
      <c r="G652" t="str">
        <f>IF($A652&lt;&gt;"",'All Cases - Enter Cases'!G652,"")</f>
        <v/>
      </c>
      <c r="H652" t="str">
        <f>IF($A652&lt;&gt;"",'All Cases - Enter Cases'!H652,"")</f>
        <v/>
      </c>
      <c r="I652" t="str">
        <f>IF($A652&lt;&gt;"",'All Cases - Enter Cases'!I652,"")</f>
        <v/>
      </c>
      <c r="J652" t="str">
        <f>IF($A652&lt;&gt;"",'All Cases - Enter Cases'!J652,"")</f>
        <v/>
      </c>
      <c r="K652" t="str">
        <f>IF($A652&lt;&gt;"",'All Cases - Enter Cases'!K652,"")</f>
        <v/>
      </c>
      <c r="L652" t="str">
        <f>IF($A652&lt;&gt;"",'All Cases - Enter Cases'!L652,"")</f>
        <v/>
      </c>
      <c r="M652" t="str">
        <f>IF($A652&lt;&gt;"",'All Cases - Enter Cases'!M652,"")</f>
        <v/>
      </c>
    </row>
    <row r="653" spans="1:13" x14ac:dyDescent="0.35">
      <c r="A653" t="str">
        <f>IF('All Cases - Enter Cases'!$F653="Balochistan",'All Cases - Enter Cases'!A653,"")</f>
        <v/>
      </c>
      <c r="B653" t="str">
        <f>IF($A653&lt;&gt;"",'All Cases - Enter Cases'!B653,"")</f>
        <v/>
      </c>
      <c r="C653" t="str">
        <f>IF($A653&lt;&gt;"",'All Cases - Enter Cases'!C653,"")</f>
        <v/>
      </c>
      <c r="D653" t="str">
        <f>IF($A653&lt;&gt;"",'All Cases - Enter Cases'!D653,"")</f>
        <v/>
      </c>
      <c r="E653" t="str">
        <f>IF($A653&lt;&gt;"",'All Cases - Enter Cases'!E653,"")</f>
        <v/>
      </c>
      <c r="F653" t="str">
        <f>IF($A653&lt;&gt;"",'All Cases - Enter Cases'!F653,"")</f>
        <v/>
      </c>
      <c r="G653" t="str">
        <f>IF($A653&lt;&gt;"",'All Cases - Enter Cases'!G653,"")</f>
        <v/>
      </c>
      <c r="H653" t="str">
        <f>IF($A653&lt;&gt;"",'All Cases - Enter Cases'!H653,"")</f>
        <v/>
      </c>
      <c r="I653" t="str">
        <f>IF($A653&lt;&gt;"",'All Cases - Enter Cases'!I653,"")</f>
        <v/>
      </c>
      <c r="J653" t="str">
        <f>IF($A653&lt;&gt;"",'All Cases - Enter Cases'!J653,"")</f>
        <v/>
      </c>
      <c r="K653" t="str">
        <f>IF($A653&lt;&gt;"",'All Cases - Enter Cases'!K653,"")</f>
        <v/>
      </c>
      <c r="L653" t="str">
        <f>IF($A653&lt;&gt;"",'All Cases - Enter Cases'!L653,"")</f>
        <v/>
      </c>
      <c r="M653" t="str">
        <f>IF($A653&lt;&gt;"",'All Cases - Enter Cases'!M653,"")</f>
        <v/>
      </c>
    </row>
    <row r="654" spans="1:13" x14ac:dyDescent="0.35">
      <c r="A654" t="str">
        <f>IF('All Cases - Enter Cases'!$F654="Balochistan",'All Cases - Enter Cases'!A654,"")</f>
        <v/>
      </c>
      <c r="B654" t="str">
        <f>IF($A654&lt;&gt;"",'All Cases - Enter Cases'!B654,"")</f>
        <v/>
      </c>
      <c r="C654" t="str">
        <f>IF($A654&lt;&gt;"",'All Cases - Enter Cases'!C654,"")</f>
        <v/>
      </c>
      <c r="D654" t="str">
        <f>IF($A654&lt;&gt;"",'All Cases - Enter Cases'!D654,"")</f>
        <v/>
      </c>
      <c r="E654" t="str">
        <f>IF($A654&lt;&gt;"",'All Cases - Enter Cases'!E654,"")</f>
        <v/>
      </c>
      <c r="F654" t="str">
        <f>IF($A654&lt;&gt;"",'All Cases - Enter Cases'!F654,"")</f>
        <v/>
      </c>
      <c r="G654" t="str">
        <f>IF($A654&lt;&gt;"",'All Cases - Enter Cases'!G654,"")</f>
        <v/>
      </c>
      <c r="H654" t="str">
        <f>IF($A654&lt;&gt;"",'All Cases - Enter Cases'!H654,"")</f>
        <v/>
      </c>
      <c r="I654" t="str">
        <f>IF($A654&lt;&gt;"",'All Cases - Enter Cases'!I654,"")</f>
        <v/>
      </c>
      <c r="J654" t="str">
        <f>IF($A654&lt;&gt;"",'All Cases - Enter Cases'!J654,"")</f>
        <v/>
      </c>
      <c r="K654" t="str">
        <f>IF($A654&lt;&gt;"",'All Cases - Enter Cases'!K654,"")</f>
        <v/>
      </c>
      <c r="L654" t="str">
        <f>IF($A654&lt;&gt;"",'All Cases - Enter Cases'!L654,"")</f>
        <v/>
      </c>
      <c r="M654" t="str">
        <f>IF($A654&lt;&gt;"",'All Cases - Enter Cases'!M654,"")</f>
        <v/>
      </c>
    </row>
    <row r="655" spans="1:13" x14ac:dyDescent="0.35">
      <c r="A655" t="str">
        <f>IF('All Cases - Enter Cases'!$F655="Balochistan",'All Cases - Enter Cases'!A655,"")</f>
        <v/>
      </c>
      <c r="B655" t="str">
        <f>IF($A655&lt;&gt;"",'All Cases - Enter Cases'!B655,"")</f>
        <v/>
      </c>
      <c r="C655" t="str">
        <f>IF($A655&lt;&gt;"",'All Cases - Enter Cases'!C655,"")</f>
        <v/>
      </c>
      <c r="D655" t="str">
        <f>IF($A655&lt;&gt;"",'All Cases - Enter Cases'!D655,"")</f>
        <v/>
      </c>
      <c r="E655" t="str">
        <f>IF($A655&lt;&gt;"",'All Cases - Enter Cases'!E655,"")</f>
        <v/>
      </c>
      <c r="F655" t="str">
        <f>IF($A655&lt;&gt;"",'All Cases - Enter Cases'!F655,"")</f>
        <v/>
      </c>
      <c r="G655" t="str">
        <f>IF($A655&lt;&gt;"",'All Cases - Enter Cases'!G655,"")</f>
        <v/>
      </c>
      <c r="H655" t="str">
        <f>IF($A655&lt;&gt;"",'All Cases - Enter Cases'!H655,"")</f>
        <v/>
      </c>
      <c r="I655" t="str">
        <f>IF($A655&lt;&gt;"",'All Cases - Enter Cases'!I655,"")</f>
        <v/>
      </c>
      <c r="J655" t="str">
        <f>IF($A655&lt;&gt;"",'All Cases - Enter Cases'!J655,"")</f>
        <v/>
      </c>
      <c r="K655" t="str">
        <f>IF($A655&lt;&gt;"",'All Cases - Enter Cases'!K655,"")</f>
        <v/>
      </c>
      <c r="L655" t="str">
        <f>IF($A655&lt;&gt;"",'All Cases - Enter Cases'!L655,"")</f>
        <v/>
      </c>
      <c r="M655" t="str">
        <f>IF($A655&lt;&gt;"",'All Cases - Enter Cases'!M655,"")</f>
        <v/>
      </c>
    </row>
    <row r="656" spans="1:13" x14ac:dyDescent="0.35">
      <c r="A656" t="str">
        <f>IF('All Cases - Enter Cases'!$F656="Balochistan",'All Cases - Enter Cases'!A656,"")</f>
        <v/>
      </c>
      <c r="B656" t="str">
        <f>IF($A656&lt;&gt;"",'All Cases - Enter Cases'!B656,"")</f>
        <v/>
      </c>
      <c r="C656" t="str">
        <f>IF($A656&lt;&gt;"",'All Cases - Enter Cases'!C656,"")</f>
        <v/>
      </c>
      <c r="D656" t="str">
        <f>IF($A656&lt;&gt;"",'All Cases - Enter Cases'!D656,"")</f>
        <v/>
      </c>
      <c r="E656" t="str">
        <f>IF($A656&lt;&gt;"",'All Cases - Enter Cases'!E656,"")</f>
        <v/>
      </c>
      <c r="F656" t="str">
        <f>IF($A656&lt;&gt;"",'All Cases - Enter Cases'!F656,"")</f>
        <v/>
      </c>
      <c r="G656" t="str">
        <f>IF($A656&lt;&gt;"",'All Cases - Enter Cases'!G656,"")</f>
        <v/>
      </c>
      <c r="H656" t="str">
        <f>IF($A656&lt;&gt;"",'All Cases - Enter Cases'!H656,"")</f>
        <v/>
      </c>
      <c r="I656" t="str">
        <f>IF($A656&lt;&gt;"",'All Cases - Enter Cases'!I656,"")</f>
        <v/>
      </c>
      <c r="J656" t="str">
        <f>IF($A656&lt;&gt;"",'All Cases - Enter Cases'!J656,"")</f>
        <v/>
      </c>
      <c r="K656" t="str">
        <f>IF($A656&lt;&gt;"",'All Cases - Enter Cases'!K656,"")</f>
        <v/>
      </c>
      <c r="L656" t="str">
        <f>IF($A656&lt;&gt;"",'All Cases - Enter Cases'!L656,"")</f>
        <v/>
      </c>
      <c r="M656" t="str">
        <f>IF($A656&lt;&gt;"",'All Cases - Enter Cases'!M656,"")</f>
        <v/>
      </c>
    </row>
    <row r="657" spans="1:13" x14ac:dyDescent="0.35">
      <c r="A657" t="str">
        <f>IF('All Cases - Enter Cases'!$F657="Balochistan",'All Cases - Enter Cases'!A657,"")</f>
        <v/>
      </c>
      <c r="B657" t="str">
        <f>IF($A657&lt;&gt;"",'All Cases - Enter Cases'!B657,"")</f>
        <v/>
      </c>
      <c r="C657" t="str">
        <f>IF($A657&lt;&gt;"",'All Cases - Enter Cases'!C657,"")</f>
        <v/>
      </c>
      <c r="D657" t="str">
        <f>IF($A657&lt;&gt;"",'All Cases - Enter Cases'!D657,"")</f>
        <v/>
      </c>
      <c r="E657" t="str">
        <f>IF($A657&lt;&gt;"",'All Cases - Enter Cases'!E657,"")</f>
        <v/>
      </c>
      <c r="F657" t="str">
        <f>IF($A657&lt;&gt;"",'All Cases - Enter Cases'!F657,"")</f>
        <v/>
      </c>
      <c r="G657" t="str">
        <f>IF($A657&lt;&gt;"",'All Cases - Enter Cases'!G657,"")</f>
        <v/>
      </c>
      <c r="H657" t="str">
        <f>IF($A657&lt;&gt;"",'All Cases - Enter Cases'!H657,"")</f>
        <v/>
      </c>
      <c r="I657" t="str">
        <f>IF($A657&lt;&gt;"",'All Cases - Enter Cases'!I657,"")</f>
        <v/>
      </c>
      <c r="J657" t="str">
        <f>IF($A657&lt;&gt;"",'All Cases - Enter Cases'!J657,"")</f>
        <v/>
      </c>
      <c r="K657" t="str">
        <f>IF($A657&lt;&gt;"",'All Cases - Enter Cases'!K657,"")</f>
        <v/>
      </c>
      <c r="L657" t="str">
        <f>IF($A657&lt;&gt;"",'All Cases - Enter Cases'!L657,"")</f>
        <v/>
      </c>
      <c r="M657" t="str">
        <f>IF($A657&lt;&gt;"",'All Cases - Enter Cases'!M657,"")</f>
        <v/>
      </c>
    </row>
    <row r="658" spans="1:13" x14ac:dyDescent="0.35">
      <c r="A658" t="str">
        <f>IF('All Cases - Enter Cases'!$F658="Balochistan",'All Cases - Enter Cases'!A658,"")</f>
        <v/>
      </c>
      <c r="B658" t="str">
        <f>IF($A658&lt;&gt;"",'All Cases - Enter Cases'!B658,"")</f>
        <v/>
      </c>
      <c r="C658" t="str">
        <f>IF($A658&lt;&gt;"",'All Cases - Enter Cases'!C658,"")</f>
        <v/>
      </c>
      <c r="D658" t="str">
        <f>IF($A658&lt;&gt;"",'All Cases - Enter Cases'!D658,"")</f>
        <v/>
      </c>
      <c r="E658" t="str">
        <f>IF($A658&lt;&gt;"",'All Cases - Enter Cases'!E658,"")</f>
        <v/>
      </c>
      <c r="F658" t="str">
        <f>IF($A658&lt;&gt;"",'All Cases - Enter Cases'!F658,"")</f>
        <v/>
      </c>
      <c r="G658" t="str">
        <f>IF($A658&lt;&gt;"",'All Cases - Enter Cases'!G658,"")</f>
        <v/>
      </c>
      <c r="H658" t="str">
        <f>IF($A658&lt;&gt;"",'All Cases - Enter Cases'!H658,"")</f>
        <v/>
      </c>
      <c r="I658" t="str">
        <f>IF($A658&lt;&gt;"",'All Cases - Enter Cases'!I658,"")</f>
        <v/>
      </c>
      <c r="J658" t="str">
        <f>IF($A658&lt;&gt;"",'All Cases - Enter Cases'!J658,"")</f>
        <v/>
      </c>
      <c r="K658" t="str">
        <f>IF($A658&lt;&gt;"",'All Cases - Enter Cases'!K658,"")</f>
        <v/>
      </c>
      <c r="L658" t="str">
        <f>IF($A658&lt;&gt;"",'All Cases - Enter Cases'!L658,"")</f>
        <v/>
      </c>
      <c r="M658" t="str">
        <f>IF($A658&lt;&gt;"",'All Cases - Enter Cases'!M658,"")</f>
        <v/>
      </c>
    </row>
    <row r="659" spans="1:13" x14ac:dyDescent="0.35">
      <c r="A659" t="str">
        <f>IF('All Cases - Enter Cases'!$F659="Balochistan",'All Cases - Enter Cases'!A659,"")</f>
        <v/>
      </c>
      <c r="B659" t="str">
        <f>IF($A659&lt;&gt;"",'All Cases - Enter Cases'!B659,"")</f>
        <v/>
      </c>
      <c r="C659" t="str">
        <f>IF($A659&lt;&gt;"",'All Cases - Enter Cases'!C659,"")</f>
        <v/>
      </c>
      <c r="D659" t="str">
        <f>IF($A659&lt;&gt;"",'All Cases - Enter Cases'!D659,"")</f>
        <v/>
      </c>
      <c r="E659" t="str">
        <f>IF($A659&lt;&gt;"",'All Cases - Enter Cases'!E659,"")</f>
        <v/>
      </c>
      <c r="F659" t="str">
        <f>IF($A659&lt;&gt;"",'All Cases - Enter Cases'!F659,"")</f>
        <v/>
      </c>
      <c r="G659" t="str">
        <f>IF($A659&lt;&gt;"",'All Cases - Enter Cases'!G659,"")</f>
        <v/>
      </c>
      <c r="H659" t="str">
        <f>IF($A659&lt;&gt;"",'All Cases - Enter Cases'!H659,"")</f>
        <v/>
      </c>
      <c r="I659" t="str">
        <f>IF($A659&lt;&gt;"",'All Cases - Enter Cases'!I659,"")</f>
        <v/>
      </c>
      <c r="J659" t="str">
        <f>IF($A659&lt;&gt;"",'All Cases - Enter Cases'!J659,"")</f>
        <v/>
      </c>
      <c r="K659" t="str">
        <f>IF($A659&lt;&gt;"",'All Cases - Enter Cases'!K659,"")</f>
        <v/>
      </c>
      <c r="L659" t="str">
        <f>IF($A659&lt;&gt;"",'All Cases - Enter Cases'!L659,"")</f>
        <v/>
      </c>
      <c r="M659" t="str">
        <f>IF($A659&lt;&gt;"",'All Cases - Enter Cases'!M659,"")</f>
        <v/>
      </c>
    </row>
    <row r="660" spans="1:13" x14ac:dyDescent="0.35">
      <c r="A660" t="str">
        <f>IF('All Cases - Enter Cases'!$F660="Balochistan",'All Cases - Enter Cases'!A660,"")</f>
        <v/>
      </c>
      <c r="B660" t="str">
        <f>IF($A660&lt;&gt;"",'All Cases - Enter Cases'!B660,"")</f>
        <v/>
      </c>
      <c r="C660" t="str">
        <f>IF($A660&lt;&gt;"",'All Cases - Enter Cases'!C660,"")</f>
        <v/>
      </c>
      <c r="D660" t="str">
        <f>IF($A660&lt;&gt;"",'All Cases - Enter Cases'!D660,"")</f>
        <v/>
      </c>
      <c r="E660" t="str">
        <f>IF($A660&lt;&gt;"",'All Cases - Enter Cases'!E660,"")</f>
        <v/>
      </c>
      <c r="F660" t="str">
        <f>IF($A660&lt;&gt;"",'All Cases - Enter Cases'!F660,"")</f>
        <v/>
      </c>
      <c r="G660" t="str">
        <f>IF($A660&lt;&gt;"",'All Cases - Enter Cases'!G660,"")</f>
        <v/>
      </c>
      <c r="H660" t="str">
        <f>IF($A660&lt;&gt;"",'All Cases - Enter Cases'!H660,"")</f>
        <v/>
      </c>
      <c r="I660" t="str">
        <f>IF($A660&lt;&gt;"",'All Cases - Enter Cases'!I660,"")</f>
        <v/>
      </c>
      <c r="J660" t="str">
        <f>IF($A660&lt;&gt;"",'All Cases - Enter Cases'!J660,"")</f>
        <v/>
      </c>
      <c r="K660" t="str">
        <f>IF($A660&lt;&gt;"",'All Cases - Enter Cases'!K660,"")</f>
        <v/>
      </c>
      <c r="L660" t="str">
        <f>IF($A660&lt;&gt;"",'All Cases - Enter Cases'!L660,"")</f>
        <v/>
      </c>
      <c r="M660" t="str">
        <f>IF($A660&lt;&gt;"",'All Cases - Enter Cases'!M660,"")</f>
        <v/>
      </c>
    </row>
    <row r="661" spans="1:13" x14ac:dyDescent="0.35">
      <c r="A661" t="str">
        <f>IF('All Cases - Enter Cases'!$F661="Balochistan",'All Cases - Enter Cases'!A661,"")</f>
        <v/>
      </c>
      <c r="B661" t="str">
        <f>IF($A661&lt;&gt;"",'All Cases - Enter Cases'!B661,"")</f>
        <v/>
      </c>
      <c r="C661" t="str">
        <f>IF($A661&lt;&gt;"",'All Cases - Enter Cases'!C661,"")</f>
        <v/>
      </c>
      <c r="D661" t="str">
        <f>IF($A661&lt;&gt;"",'All Cases - Enter Cases'!D661,"")</f>
        <v/>
      </c>
      <c r="E661" t="str">
        <f>IF($A661&lt;&gt;"",'All Cases - Enter Cases'!E661,"")</f>
        <v/>
      </c>
      <c r="F661" t="str">
        <f>IF($A661&lt;&gt;"",'All Cases - Enter Cases'!F661,"")</f>
        <v/>
      </c>
      <c r="G661" t="str">
        <f>IF($A661&lt;&gt;"",'All Cases - Enter Cases'!G661,"")</f>
        <v/>
      </c>
      <c r="H661" t="str">
        <f>IF($A661&lt;&gt;"",'All Cases - Enter Cases'!H661,"")</f>
        <v/>
      </c>
      <c r="I661" t="str">
        <f>IF($A661&lt;&gt;"",'All Cases - Enter Cases'!I661,"")</f>
        <v/>
      </c>
      <c r="J661" t="str">
        <f>IF($A661&lt;&gt;"",'All Cases - Enter Cases'!J661,"")</f>
        <v/>
      </c>
      <c r="K661" t="str">
        <f>IF($A661&lt;&gt;"",'All Cases - Enter Cases'!K661,"")</f>
        <v/>
      </c>
      <c r="L661" t="str">
        <f>IF($A661&lt;&gt;"",'All Cases - Enter Cases'!L661,"")</f>
        <v/>
      </c>
      <c r="M661" t="str">
        <f>IF($A661&lt;&gt;"",'All Cases - Enter Cases'!M661,"")</f>
        <v/>
      </c>
    </row>
    <row r="662" spans="1:13" x14ac:dyDescent="0.35">
      <c r="A662" t="str">
        <f>IF('All Cases - Enter Cases'!$F662="Balochistan",'All Cases - Enter Cases'!A662,"")</f>
        <v/>
      </c>
      <c r="B662" t="str">
        <f>IF($A662&lt;&gt;"",'All Cases - Enter Cases'!B662,"")</f>
        <v/>
      </c>
      <c r="C662" t="str">
        <f>IF($A662&lt;&gt;"",'All Cases - Enter Cases'!C662,"")</f>
        <v/>
      </c>
      <c r="D662" t="str">
        <f>IF($A662&lt;&gt;"",'All Cases - Enter Cases'!D662,"")</f>
        <v/>
      </c>
      <c r="E662" t="str">
        <f>IF($A662&lt;&gt;"",'All Cases - Enter Cases'!E662,"")</f>
        <v/>
      </c>
      <c r="F662" t="str">
        <f>IF($A662&lt;&gt;"",'All Cases - Enter Cases'!F662,"")</f>
        <v/>
      </c>
      <c r="G662" t="str">
        <f>IF($A662&lt;&gt;"",'All Cases - Enter Cases'!G662,"")</f>
        <v/>
      </c>
      <c r="H662" t="str">
        <f>IF($A662&lt;&gt;"",'All Cases - Enter Cases'!H662,"")</f>
        <v/>
      </c>
      <c r="I662" t="str">
        <f>IF($A662&lt;&gt;"",'All Cases - Enter Cases'!I662,"")</f>
        <v/>
      </c>
      <c r="J662" t="str">
        <f>IF($A662&lt;&gt;"",'All Cases - Enter Cases'!J662,"")</f>
        <v/>
      </c>
      <c r="K662" t="str">
        <f>IF($A662&lt;&gt;"",'All Cases - Enter Cases'!K662,"")</f>
        <v/>
      </c>
      <c r="L662" t="str">
        <f>IF($A662&lt;&gt;"",'All Cases - Enter Cases'!L662,"")</f>
        <v/>
      </c>
      <c r="M662" t="str">
        <f>IF($A662&lt;&gt;"",'All Cases - Enter Cases'!M662,"")</f>
        <v/>
      </c>
    </row>
    <row r="663" spans="1:13" x14ac:dyDescent="0.35">
      <c r="A663" t="str">
        <f>IF('All Cases - Enter Cases'!$F663="Balochistan",'All Cases - Enter Cases'!A663,"")</f>
        <v/>
      </c>
      <c r="B663" t="str">
        <f>IF($A663&lt;&gt;"",'All Cases - Enter Cases'!B663,"")</f>
        <v/>
      </c>
      <c r="C663" t="str">
        <f>IF($A663&lt;&gt;"",'All Cases - Enter Cases'!C663,"")</f>
        <v/>
      </c>
      <c r="D663" t="str">
        <f>IF($A663&lt;&gt;"",'All Cases - Enter Cases'!D663,"")</f>
        <v/>
      </c>
      <c r="E663" t="str">
        <f>IF($A663&lt;&gt;"",'All Cases - Enter Cases'!E663,"")</f>
        <v/>
      </c>
      <c r="F663" t="str">
        <f>IF($A663&lt;&gt;"",'All Cases - Enter Cases'!F663,"")</f>
        <v/>
      </c>
      <c r="G663" t="str">
        <f>IF($A663&lt;&gt;"",'All Cases - Enter Cases'!G663,"")</f>
        <v/>
      </c>
      <c r="H663" t="str">
        <f>IF($A663&lt;&gt;"",'All Cases - Enter Cases'!H663,"")</f>
        <v/>
      </c>
      <c r="I663" t="str">
        <f>IF($A663&lt;&gt;"",'All Cases - Enter Cases'!I663,"")</f>
        <v/>
      </c>
      <c r="J663" t="str">
        <f>IF($A663&lt;&gt;"",'All Cases - Enter Cases'!J663,"")</f>
        <v/>
      </c>
      <c r="K663" t="str">
        <f>IF($A663&lt;&gt;"",'All Cases - Enter Cases'!K663,"")</f>
        <v/>
      </c>
      <c r="L663" t="str">
        <f>IF($A663&lt;&gt;"",'All Cases - Enter Cases'!L663,"")</f>
        <v/>
      </c>
      <c r="M663" t="str">
        <f>IF($A663&lt;&gt;"",'All Cases - Enter Cases'!M663,"")</f>
        <v/>
      </c>
    </row>
    <row r="664" spans="1:13" x14ac:dyDescent="0.35">
      <c r="A664" t="str">
        <f>IF('All Cases - Enter Cases'!$F664="Balochistan",'All Cases - Enter Cases'!A664,"")</f>
        <v/>
      </c>
      <c r="B664" t="str">
        <f>IF($A664&lt;&gt;"",'All Cases - Enter Cases'!B664,"")</f>
        <v/>
      </c>
      <c r="C664" t="str">
        <f>IF($A664&lt;&gt;"",'All Cases - Enter Cases'!C664,"")</f>
        <v/>
      </c>
      <c r="D664" t="str">
        <f>IF($A664&lt;&gt;"",'All Cases - Enter Cases'!D664,"")</f>
        <v/>
      </c>
      <c r="E664" t="str">
        <f>IF($A664&lt;&gt;"",'All Cases - Enter Cases'!E664,"")</f>
        <v/>
      </c>
      <c r="F664" t="str">
        <f>IF($A664&lt;&gt;"",'All Cases - Enter Cases'!F664,"")</f>
        <v/>
      </c>
      <c r="G664" t="str">
        <f>IF($A664&lt;&gt;"",'All Cases - Enter Cases'!G664,"")</f>
        <v/>
      </c>
      <c r="H664" t="str">
        <f>IF($A664&lt;&gt;"",'All Cases - Enter Cases'!H664,"")</f>
        <v/>
      </c>
      <c r="I664" t="str">
        <f>IF($A664&lt;&gt;"",'All Cases - Enter Cases'!I664,"")</f>
        <v/>
      </c>
      <c r="J664" t="str">
        <f>IF($A664&lt;&gt;"",'All Cases - Enter Cases'!J664,"")</f>
        <v/>
      </c>
      <c r="K664" t="str">
        <f>IF($A664&lt;&gt;"",'All Cases - Enter Cases'!K664,"")</f>
        <v/>
      </c>
      <c r="L664" t="str">
        <f>IF($A664&lt;&gt;"",'All Cases - Enter Cases'!L664,"")</f>
        <v/>
      </c>
      <c r="M664" t="str">
        <f>IF($A664&lt;&gt;"",'All Cases - Enter Cases'!M664,"")</f>
        <v/>
      </c>
    </row>
    <row r="665" spans="1:13" x14ac:dyDescent="0.35">
      <c r="A665" t="str">
        <f>IF('All Cases - Enter Cases'!$F665="Balochistan",'All Cases - Enter Cases'!A665,"")</f>
        <v/>
      </c>
      <c r="B665" t="str">
        <f>IF($A665&lt;&gt;"",'All Cases - Enter Cases'!B665,"")</f>
        <v/>
      </c>
      <c r="C665" t="str">
        <f>IF($A665&lt;&gt;"",'All Cases - Enter Cases'!C665,"")</f>
        <v/>
      </c>
      <c r="D665" t="str">
        <f>IF($A665&lt;&gt;"",'All Cases - Enter Cases'!D665,"")</f>
        <v/>
      </c>
      <c r="E665" t="str">
        <f>IF($A665&lt;&gt;"",'All Cases - Enter Cases'!E665,"")</f>
        <v/>
      </c>
      <c r="F665" t="str">
        <f>IF($A665&lt;&gt;"",'All Cases - Enter Cases'!F665,"")</f>
        <v/>
      </c>
      <c r="G665" t="str">
        <f>IF($A665&lt;&gt;"",'All Cases - Enter Cases'!G665,"")</f>
        <v/>
      </c>
      <c r="H665" t="str">
        <f>IF($A665&lt;&gt;"",'All Cases - Enter Cases'!H665,"")</f>
        <v/>
      </c>
      <c r="I665" t="str">
        <f>IF($A665&lt;&gt;"",'All Cases - Enter Cases'!I665,"")</f>
        <v/>
      </c>
      <c r="J665" t="str">
        <f>IF($A665&lt;&gt;"",'All Cases - Enter Cases'!J665,"")</f>
        <v/>
      </c>
      <c r="K665" t="str">
        <f>IF($A665&lt;&gt;"",'All Cases - Enter Cases'!K665,"")</f>
        <v/>
      </c>
      <c r="L665" t="str">
        <f>IF($A665&lt;&gt;"",'All Cases - Enter Cases'!L665,"")</f>
        <v/>
      </c>
      <c r="M665" t="str">
        <f>IF($A665&lt;&gt;"",'All Cases - Enter Cases'!M665,"")</f>
        <v/>
      </c>
    </row>
    <row r="666" spans="1:13" x14ac:dyDescent="0.35">
      <c r="A666" t="str">
        <f>IF('All Cases - Enter Cases'!$F666="Balochistan",'All Cases - Enter Cases'!A666,"")</f>
        <v/>
      </c>
      <c r="B666" t="str">
        <f>IF($A666&lt;&gt;"",'All Cases - Enter Cases'!B666,"")</f>
        <v/>
      </c>
      <c r="C666" t="str">
        <f>IF($A666&lt;&gt;"",'All Cases - Enter Cases'!C666,"")</f>
        <v/>
      </c>
      <c r="D666" t="str">
        <f>IF($A666&lt;&gt;"",'All Cases - Enter Cases'!D666,"")</f>
        <v/>
      </c>
      <c r="E666" t="str">
        <f>IF($A666&lt;&gt;"",'All Cases - Enter Cases'!E666,"")</f>
        <v/>
      </c>
      <c r="F666" t="str">
        <f>IF($A666&lt;&gt;"",'All Cases - Enter Cases'!F666,"")</f>
        <v/>
      </c>
      <c r="G666" t="str">
        <f>IF($A666&lt;&gt;"",'All Cases - Enter Cases'!G666,"")</f>
        <v/>
      </c>
      <c r="H666" t="str">
        <f>IF($A666&lt;&gt;"",'All Cases - Enter Cases'!H666,"")</f>
        <v/>
      </c>
      <c r="I666" t="str">
        <f>IF($A666&lt;&gt;"",'All Cases - Enter Cases'!I666,"")</f>
        <v/>
      </c>
      <c r="J666" t="str">
        <f>IF($A666&lt;&gt;"",'All Cases - Enter Cases'!J666,"")</f>
        <v/>
      </c>
      <c r="K666" t="str">
        <f>IF($A666&lt;&gt;"",'All Cases - Enter Cases'!K666,"")</f>
        <v/>
      </c>
      <c r="L666" t="str">
        <f>IF($A666&lt;&gt;"",'All Cases - Enter Cases'!L666,"")</f>
        <v/>
      </c>
      <c r="M666" t="str">
        <f>IF($A666&lt;&gt;"",'All Cases - Enter Cases'!M666,"")</f>
        <v/>
      </c>
    </row>
    <row r="667" spans="1:13" x14ac:dyDescent="0.35">
      <c r="A667" t="str">
        <f>IF('All Cases - Enter Cases'!$F667="Balochistan",'All Cases - Enter Cases'!A667,"")</f>
        <v/>
      </c>
      <c r="B667" t="str">
        <f>IF($A667&lt;&gt;"",'All Cases - Enter Cases'!B667,"")</f>
        <v/>
      </c>
      <c r="C667" t="str">
        <f>IF($A667&lt;&gt;"",'All Cases - Enter Cases'!C667,"")</f>
        <v/>
      </c>
      <c r="D667" t="str">
        <f>IF($A667&lt;&gt;"",'All Cases - Enter Cases'!D667,"")</f>
        <v/>
      </c>
      <c r="E667" t="str">
        <f>IF($A667&lt;&gt;"",'All Cases - Enter Cases'!E667,"")</f>
        <v/>
      </c>
      <c r="F667" t="str">
        <f>IF($A667&lt;&gt;"",'All Cases - Enter Cases'!F667,"")</f>
        <v/>
      </c>
      <c r="G667" t="str">
        <f>IF($A667&lt;&gt;"",'All Cases - Enter Cases'!G667,"")</f>
        <v/>
      </c>
      <c r="H667" t="str">
        <f>IF($A667&lt;&gt;"",'All Cases - Enter Cases'!H667,"")</f>
        <v/>
      </c>
      <c r="I667" t="str">
        <f>IF($A667&lt;&gt;"",'All Cases - Enter Cases'!I667,"")</f>
        <v/>
      </c>
      <c r="J667" t="str">
        <f>IF($A667&lt;&gt;"",'All Cases - Enter Cases'!J667,"")</f>
        <v/>
      </c>
      <c r="K667" t="str">
        <f>IF($A667&lt;&gt;"",'All Cases - Enter Cases'!K667,"")</f>
        <v/>
      </c>
      <c r="L667" t="str">
        <f>IF($A667&lt;&gt;"",'All Cases - Enter Cases'!L667,"")</f>
        <v/>
      </c>
      <c r="M667" t="str">
        <f>IF($A667&lt;&gt;"",'All Cases - Enter Cases'!M667,"")</f>
        <v/>
      </c>
    </row>
    <row r="668" spans="1:13" x14ac:dyDescent="0.35">
      <c r="A668" t="str">
        <f>IF('All Cases - Enter Cases'!$F668="Balochistan",'All Cases - Enter Cases'!A668,"")</f>
        <v/>
      </c>
      <c r="B668" t="str">
        <f>IF($A668&lt;&gt;"",'All Cases - Enter Cases'!B668,"")</f>
        <v/>
      </c>
      <c r="C668" t="str">
        <f>IF($A668&lt;&gt;"",'All Cases - Enter Cases'!C668,"")</f>
        <v/>
      </c>
      <c r="D668" t="str">
        <f>IF($A668&lt;&gt;"",'All Cases - Enter Cases'!D668,"")</f>
        <v/>
      </c>
      <c r="E668" t="str">
        <f>IF($A668&lt;&gt;"",'All Cases - Enter Cases'!E668,"")</f>
        <v/>
      </c>
      <c r="F668" t="str">
        <f>IF($A668&lt;&gt;"",'All Cases - Enter Cases'!F668,"")</f>
        <v/>
      </c>
      <c r="G668" t="str">
        <f>IF($A668&lt;&gt;"",'All Cases - Enter Cases'!G668,"")</f>
        <v/>
      </c>
      <c r="H668" t="str">
        <f>IF($A668&lt;&gt;"",'All Cases - Enter Cases'!H668,"")</f>
        <v/>
      </c>
      <c r="I668" t="str">
        <f>IF($A668&lt;&gt;"",'All Cases - Enter Cases'!I668,"")</f>
        <v/>
      </c>
      <c r="J668" t="str">
        <f>IF($A668&lt;&gt;"",'All Cases - Enter Cases'!J668,"")</f>
        <v/>
      </c>
      <c r="K668" t="str">
        <f>IF($A668&lt;&gt;"",'All Cases - Enter Cases'!K668,"")</f>
        <v/>
      </c>
      <c r="L668" t="str">
        <f>IF($A668&lt;&gt;"",'All Cases - Enter Cases'!L668,"")</f>
        <v/>
      </c>
      <c r="M668" t="str">
        <f>IF($A668&lt;&gt;"",'All Cases - Enter Cases'!M668,"")</f>
        <v/>
      </c>
    </row>
    <row r="669" spans="1:13" x14ac:dyDescent="0.35">
      <c r="A669" t="str">
        <f>IF('All Cases - Enter Cases'!$F669="Balochistan",'All Cases - Enter Cases'!A669,"")</f>
        <v/>
      </c>
      <c r="B669" t="str">
        <f>IF($A669&lt;&gt;"",'All Cases - Enter Cases'!B669,"")</f>
        <v/>
      </c>
      <c r="C669" t="str">
        <f>IF($A669&lt;&gt;"",'All Cases - Enter Cases'!C669,"")</f>
        <v/>
      </c>
      <c r="D669" t="str">
        <f>IF($A669&lt;&gt;"",'All Cases - Enter Cases'!D669,"")</f>
        <v/>
      </c>
      <c r="E669" t="str">
        <f>IF($A669&lt;&gt;"",'All Cases - Enter Cases'!E669,"")</f>
        <v/>
      </c>
      <c r="F669" t="str">
        <f>IF($A669&lt;&gt;"",'All Cases - Enter Cases'!F669,"")</f>
        <v/>
      </c>
      <c r="G669" t="str">
        <f>IF($A669&lt;&gt;"",'All Cases - Enter Cases'!G669,"")</f>
        <v/>
      </c>
      <c r="H669" t="str">
        <f>IF($A669&lt;&gt;"",'All Cases - Enter Cases'!H669,"")</f>
        <v/>
      </c>
      <c r="I669" t="str">
        <f>IF($A669&lt;&gt;"",'All Cases - Enter Cases'!I669,"")</f>
        <v/>
      </c>
      <c r="J669" t="str">
        <f>IF($A669&lt;&gt;"",'All Cases - Enter Cases'!J669,"")</f>
        <v/>
      </c>
      <c r="K669" t="str">
        <f>IF($A669&lt;&gt;"",'All Cases - Enter Cases'!K669,"")</f>
        <v/>
      </c>
      <c r="L669" t="str">
        <f>IF($A669&lt;&gt;"",'All Cases - Enter Cases'!L669,"")</f>
        <v/>
      </c>
      <c r="M669" t="str">
        <f>IF($A669&lt;&gt;"",'All Cases - Enter Cases'!M669,"")</f>
        <v/>
      </c>
    </row>
    <row r="670" spans="1:13" x14ac:dyDescent="0.35">
      <c r="A670" t="str">
        <f>IF('All Cases - Enter Cases'!$F670="Balochistan",'All Cases - Enter Cases'!A670,"")</f>
        <v/>
      </c>
      <c r="B670" t="str">
        <f>IF($A670&lt;&gt;"",'All Cases - Enter Cases'!B670,"")</f>
        <v/>
      </c>
      <c r="C670" t="str">
        <f>IF($A670&lt;&gt;"",'All Cases - Enter Cases'!C670,"")</f>
        <v/>
      </c>
      <c r="D670" t="str">
        <f>IF($A670&lt;&gt;"",'All Cases - Enter Cases'!D670,"")</f>
        <v/>
      </c>
      <c r="E670" t="str">
        <f>IF($A670&lt;&gt;"",'All Cases - Enter Cases'!E670,"")</f>
        <v/>
      </c>
      <c r="F670" t="str">
        <f>IF($A670&lt;&gt;"",'All Cases - Enter Cases'!F670,"")</f>
        <v/>
      </c>
      <c r="G670" t="str">
        <f>IF($A670&lt;&gt;"",'All Cases - Enter Cases'!G670,"")</f>
        <v/>
      </c>
      <c r="H670" t="str">
        <f>IF($A670&lt;&gt;"",'All Cases - Enter Cases'!H670,"")</f>
        <v/>
      </c>
      <c r="I670" t="str">
        <f>IF($A670&lt;&gt;"",'All Cases - Enter Cases'!I670,"")</f>
        <v/>
      </c>
      <c r="J670" t="str">
        <f>IF($A670&lt;&gt;"",'All Cases - Enter Cases'!J670,"")</f>
        <v/>
      </c>
      <c r="K670" t="str">
        <f>IF($A670&lt;&gt;"",'All Cases - Enter Cases'!K670,"")</f>
        <v/>
      </c>
      <c r="L670" t="str">
        <f>IF($A670&lt;&gt;"",'All Cases - Enter Cases'!L670,"")</f>
        <v/>
      </c>
      <c r="M670" t="str">
        <f>IF($A670&lt;&gt;"",'All Cases - Enter Cases'!M670,"")</f>
        <v/>
      </c>
    </row>
    <row r="671" spans="1:13" x14ac:dyDescent="0.35">
      <c r="A671" t="str">
        <f>IF('All Cases - Enter Cases'!$F671="Balochistan",'All Cases - Enter Cases'!A671,"")</f>
        <v/>
      </c>
      <c r="B671" t="str">
        <f>IF($A671&lt;&gt;"",'All Cases - Enter Cases'!B671,"")</f>
        <v/>
      </c>
      <c r="C671" t="str">
        <f>IF($A671&lt;&gt;"",'All Cases - Enter Cases'!C671,"")</f>
        <v/>
      </c>
      <c r="D671" t="str">
        <f>IF($A671&lt;&gt;"",'All Cases - Enter Cases'!D671,"")</f>
        <v/>
      </c>
      <c r="E671" t="str">
        <f>IF($A671&lt;&gt;"",'All Cases - Enter Cases'!E671,"")</f>
        <v/>
      </c>
      <c r="F671" t="str">
        <f>IF($A671&lt;&gt;"",'All Cases - Enter Cases'!F671,"")</f>
        <v/>
      </c>
      <c r="G671" t="str">
        <f>IF($A671&lt;&gt;"",'All Cases - Enter Cases'!G671,"")</f>
        <v/>
      </c>
      <c r="H671" t="str">
        <f>IF($A671&lt;&gt;"",'All Cases - Enter Cases'!H671,"")</f>
        <v/>
      </c>
      <c r="I671" t="str">
        <f>IF($A671&lt;&gt;"",'All Cases - Enter Cases'!I671,"")</f>
        <v/>
      </c>
      <c r="J671" t="str">
        <f>IF($A671&lt;&gt;"",'All Cases - Enter Cases'!J671,"")</f>
        <v/>
      </c>
      <c r="K671" t="str">
        <f>IF($A671&lt;&gt;"",'All Cases - Enter Cases'!K671,"")</f>
        <v/>
      </c>
      <c r="L671" t="str">
        <f>IF($A671&lt;&gt;"",'All Cases - Enter Cases'!L671,"")</f>
        <v/>
      </c>
      <c r="M671" t="str">
        <f>IF($A671&lt;&gt;"",'All Cases - Enter Cases'!M671,"")</f>
        <v/>
      </c>
    </row>
    <row r="672" spans="1:13" x14ac:dyDescent="0.35">
      <c r="A672" t="str">
        <f>IF('All Cases - Enter Cases'!$F672="Balochistan",'All Cases - Enter Cases'!A672,"")</f>
        <v/>
      </c>
      <c r="B672" t="str">
        <f>IF($A672&lt;&gt;"",'All Cases - Enter Cases'!B672,"")</f>
        <v/>
      </c>
      <c r="C672" t="str">
        <f>IF($A672&lt;&gt;"",'All Cases - Enter Cases'!C672,"")</f>
        <v/>
      </c>
      <c r="D672" t="str">
        <f>IF($A672&lt;&gt;"",'All Cases - Enter Cases'!D672,"")</f>
        <v/>
      </c>
      <c r="E672" t="str">
        <f>IF($A672&lt;&gt;"",'All Cases - Enter Cases'!E672,"")</f>
        <v/>
      </c>
      <c r="F672" t="str">
        <f>IF($A672&lt;&gt;"",'All Cases - Enter Cases'!F672,"")</f>
        <v/>
      </c>
      <c r="G672" t="str">
        <f>IF($A672&lt;&gt;"",'All Cases - Enter Cases'!G672,"")</f>
        <v/>
      </c>
      <c r="H672" t="str">
        <f>IF($A672&lt;&gt;"",'All Cases - Enter Cases'!H672,"")</f>
        <v/>
      </c>
      <c r="I672" t="str">
        <f>IF($A672&lt;&gt;"",'All Cases - Enter Cases'!I672,"")</f>
        <v/>
      </c>
      <c r="J672" t="str">
        <f>IF($A672&lt;&gt;"",'All Cases - Enter Cases'!J672,"")</f>
        <v/>
      </c>
      <c r="K672" t="str">
        <f>IF($A672&lt;&gt;"",'All Cases - Enter Cases'!K672,"")</f>
        <v/>
      </c>
      <c r="L672" t="str">
        <f>IF($A672&lt;&gt;"",'All Cases - Enter Cases'!L672,"")</f>
        <v/>
      </c>
      <c r="M672" t="str">
        <f>IF($A672&lt;&gt;"",'All Cases - Enter Cases'!M672,"")</f>
        <v/>
      </c>
    </row>
    <row r="673" spans="1:13" x14ac:dyDescent="0.35">
      <c r="A673" t="str">
        <f>IF('All Cases - Enter Cases'!$F673="Balochistan",'All Cases - Enter Cases'!A673,"")</f>
        <v/>
      </c>
      <c r="B673" t="str">
        <f>IF($A673&lt;&gt;"",'All Cases - Enter Cases'!B673,"")</f>
        <v/>
      </c>
      <c r="C673" t="str">
        <f>IF($A673&lt;&gt;"",'All Cases - Enter Cases'!C673,"")</f>
        <v/>
      </c>
      <c r="D673" t="str">
        <f>IF($A673&lt;&gt;"",'All Cases - Enter Cases'!D673,"")</f>
        <v/>
      </c>
      <c r="E673" t="str">
        <f>IF($A673&lt;&gt;"",'All Cases - Enter Cases'!E673,"")</f>
        <v/>
      </c>
      <c r="F673" t="str">
        <f>IF($A673&lt;&gt;"",'All Cases - Enter Cases'!F673,"")</f>
        <v/>
      </c>
      <c r="G673" t="str">
        <f>IF($A673&lt;&gt;"",'All Cases - Enter Cases'!G673,"")</f>
        <v/>
      </c>
      <c r="H673" t="str">
        <f>IF($A673&lt;&gt;"",'All Cases - Enter Cases'!H673,"")</f>
        <v/>
      </c>
      <c r="I673" t="str">
        <f>IF($A673&lt;&gt;"",'All Cases - Enter Cases'!I673,"")</f>
        <v/>
      </c>
      <c r="J673" t="str">
        <f>IF($A673&lt;&gt;"",'All Cases - Enter Cases'!J673,"")</f>
        <v/>
      </c>
      <c r="K673" t="str">
        <f>IF($A673&lt;&gt;"",'All Cases - Enter Cases'!K673,"")</f>
        <v/>
      </c>
      <c r="L673" t="str">
        <f>IF($A673&lt;&gt;"",'All Cases - Enter Cases'!L673,"")</f>
        <v/>
      </c>
      <c r="M673" t="str">
        <f>IF($A673&lt;&gt;"",'All Cases - Enter Cases'!M673,"")</f>
        <v/>
      </c>
    </row>
    <row r="674" spans="1:13" x14ac:dyDescent="0.35">
      <c r="A674" t="str">
        <f>IF('All Cases - Enter Cases'!$F674="Balochistan",'All Cases - Enter Cases'!A674,"")</f>
        <v/>
      </c>
      <c r="B674" t="str">
        <f>IF($A674&lt;&gt;"",'All Cases - Enter Cases'!B674,"")</f>
        <v/>
      </c>
      <c r="C674" t="str">
        <f>IF($A674&lt;&gt;"",'All Cases - Enter Cases'!C674,"")</f>
        <v/>
      </c>
      <c r="D674" t="str">
        <f>IF($A674&lt;&gt;"",'All Cases - Enter Cases'!D674,"")</f>
        <v/>
      </c>
      <c r="E674" t="str">
        <f>IF($A674&lt;&gt;"",'All Cases - Enter Cases'!E674,"")</f>
        <v/>
      </c>
      <c r="F674" t="str">
        <f>IF($A674&lt;&gt;"",'All Cases - Enter Cases'!F674,"")</f>
        <v/>
      </c>
      <c r="G674" t="str">
        <f>IF($A674&lt;&gt;"",'All Cases - Enter Cases'!G674,"")</f>
        <v/>
      </c>
      <c r="H674" t="str">
        <f>IF($A674&lt;&gt;"",'All Cases - Enter Cases'!H674,"")</f>
        <v/>
      </c>
      <c r="I674" t="str">
        <f>IF($A674&lt;&gt;"",'All Cases - Enter Cases'!I674,"")</f>
        <v/>
      </c>
      <c r="J674" t="str">
        <f>IF($A674&lt;&gt;"",'All Cases - Enter Cases'!J674,"")</f>
        <v/>
      </c>
      <c r="K674" t="str">
        <f>IF($A674&lt;&gt;"",'All Cases - Enter Cases'!K674,"")</f>
        <v/>
      </c>
      <c r="L674" t="str">
        <f>IF($A674&lt;&gt;"",'All Cases - Enter Cases'!L674,"")</f>
        <v/>
      </c>
      <c r="M674" t="str">
        <f>IF($A674&lt;&gt;"",'All Cases - Enter Cases'!M674,"")</f>
        <v/>
      </c>
    </row>
    <row r="675" spans="1:13" x14ac:dyDescent="0.35">
      <c r="A675" t="str">
        <f>IF('All Cases - Enter Cases'!$F675="Balochistan",'All Cases - Enter Cases'!A675,"")</f>
        <v/>
      </c>
      <c r="B675" t="str">
        <f>IF($A675&lt;&gt;"",'All Cases - Enter Cases'!B675,"")</f>
        <v/>
      </c>
      <c r="C675" t="str">
        <f>IF($A675&lt;&gt;"",'All Cases - Enter Cases'!C675,"")</f>
        <v/>
      </c>
      <c r="D675" t="str">
        <f>IF($A675&lt;&gt;"",'All Cases - Enter Cases'!D675,"")</f>
        <v/>
      </c>
      <c r="E675" t="str">
        <f>IF($A675&lt;&gt;"",'All Cases - Enter Cases'!E675,"")</f>
        <v/>
      </c>
      <c r="F675" t="str">
        <f>IF($A675&lt;&gt;"",'All Cases - Enter Cases'!F675,"")</f>
        <v/>
      </c>
      <c r="G675" t="str">
        <f>IF($A675&lt;&gt;"",'All Cases - Enter Cases'!G675,"")</f>
        <v/>
      </c>
      <c r="H675" t="str">
        <f>IF($A675&lt;&gt;"",'All Cases - Enter Cases'!H675,"")</f>
        <v/>
      </c>
      <c r="I675" t="str">
        <f>IF($A675&lt;&gt;"",'All Cases - Enter Cases'!I675,"")</f>
        <v/>
      </c>
      <c r="J675" t="str">
        <f>IF($A675&lt;&gt;"",'All Cases - Enter Cases'!J675,"")</f>
        <v/>
      </c>
      <c r="K675" t="str">
        <f>IF($A675&lt;&gt;"",'All Cases - Enter Cases'!K675,"")</f>
        <v/>
      </c>
      <c r="L675" t="str">
        <f>IF($A675&lt;&gt;"",'All Cases - Enter Cases'!L675,"")</f>
        <v/>
      </c>
      <c r="M675" t="str">
        <f>IF($A675&lt;&gt;"",'All Cases - Enter Cases'!M675,"")</f>
        <v/>
      </c>
    </row>
    <row r="676" spans="1:13" x14ac:dyDescent="0.35">
      <c r="A676" t="str">
        <f>IF('All Cases - Enter Cases'!$F676="Balochistan",'All Cases - Enter Cases'!A676,"")</f>
        <v/>
      </c>
      <c r="B676" t="str">
        <f>IF($A676&lt;&gt;"",'All Cases - Enter Cases'!B676,"")</f>
        <v/>
      </c>
      <c r="C676" t="str">
        <f>IF($A676&lt;&gt;"",'All Cases - Enter Cases'!C676,"")</f>
        <v/>
      </c>
      <c r="D676" t="str">
        <f>IF($A676&lt;&gt;"",'All Cases - Enter Cases'!D676,"")</f>
        <v/>
      </c>
      <c r="E676" t="str">
        <f>IF($A676&lt;&gt;"",'All Cases - Enter Cases'!E676,"")</f>
        <v/>
      </c>
      <c r="F676" t="str">
        <f>IF($A676&lt;&gt;"",'All Cases - Enter Cases'!F676,"")</f>
        <v/>
      </c>
      <c r="G676" t="str">
        <f>IF($A676&lt;&gt;"",'All Cases - Enter Cases'!G676,"")</f>
        <v/>
      </c>
      <c r="H676" t="str">
        <f>IF($A676&lt;&gt;"",'All Cases - Enter Cases'!H676,"")</f>
        <v/>
      </c>
      <c r="I676" t="str">
        <f>IF($A676&lt;&gt;"",'All Cases - Enter Cases'!I676,"")</f>
        <v/>
      </c>
      <c r="J676" t="str">
        <f>IF($A676&lt;&gt;"",'All Cases - Enter Cases'!J676,"")</f>
        <v/>
      </c>
      <c r="K676" t="str">
        <f>IF($A676&lt;&gt;"",'All Cases - Enter Cases'!K676,"")</f>
        <v/>
      </c>
      <c r="L676" t="str">
        <f>IF($A676&lt;&gt;"",'All Cases - Enter Cases'!L676,"")</f>
        <v/>
      </c>
      <c r="M676" t="str">
        <f>IF($A676&lt;&gt;"",'All Cases - Enter Cases'!M676,"")</f>
        <v/>
      </c>
    </row>
    <row r="677" spans="1:13" x14ac:dyDescent="0.35">
      <c r="A677" t="str">
        <f>IF('All Cases - Enter Cases'!$F677="Balochistan",'All Cases - Enter Cases'!A677,"")</f>
        <v/>
      </c>
      <c r="B677" t="str">
        <f>IF($A677&lt;&gt;"",'All Cases - Enter Cases'!B677,"")</f>
        <v/>
      </c>
      <c r="C677" t="str">
        <f>IF($A677&lt;&gt;"",'All Cases - Enter Cases'!C677,"")</f>
        <v/>
      </c>
      <c r="D677" t="str">
        <f>IF($A677&lt;&gt;"",'All Cases - Enter Cases'!D677,"")</f>
        <v/>
      </c>
      <c r="E677" t="str">
        <f>IF($A677&lt;&gt;"",'All Cases - Enter Cases'!E677,"")</f>
        <v/>
      </c>
      <c r="F677" t="str">
        <f>IF($A677&lt;&gt;"",'All Cases - Enter Cases'!F677,"")</f>
        <v/>
      </c>
      <c r="G677" t="str">
        <f>IF($A677&lt;&gt;"",'All Cases - Enter Cases'!G677,"")</f>
        <v/>
      </c>
      <c r="H677" t="str">
        <f>IF($A677&lt;&gt;"",'All Cases - Enter Cases'!H677,"")</f>
        <v/>
      </c>
      <c r="I677" t="str">
        <f>IF($A677&lt;&gt;"",'All Cases - Enter Cases'!I677,"")</f>
        <v/>
      </c>
      <c r="J677" t="str">
        <f>IF($A677&lt;&gt;"",'All Cases - Enter Cases'!J677,"")</f>
        <v/>
      </c>
      <c r="K677" t="str">
        <f>IF($A677&lt;&gt;"",'All Cases - Enter Cases'!K677,"")</f>
        <v/>
      </c>
      <c r="L677" t="str">
        <f>IF($A677&lt;&gt;"",'All Cases - Enter Cases'!L677,"")</f>
        <v/>
      </c>
      <c r="M677" t="str">
        <f>IF($A677&lt;&gt;"",'All Cases - Enter Cases'!M677,"")</f>
        <v/>
      </c>
    </row>
    <row r="678" spans="1:13" x14ac:dyDescent="0.35">
      <c r="A678" t="str">
        <f>IF('All Cases - Enter Cases'!$F678="Balochistan",'All Cases - Enter Cases'!A678,"")</f>
        <v/>
      </c>
      <c r="B678" t="str">
        <f>IF($A678&lt;&gt;"",'All Cases - Enter Cases'!B678,"")</f>
        <v/>
      </c>
      <c r="C678" t="str">
        <f>IF($A678&lt;&gt;"",'All Cases - Enter Cases'!C678,"")</f>
        <v/>
      </c>
      <c r="D678" t="str">
        <f>IF($A678&lt;&gt;"",'All Cases - Enter Cases'!D678,"")</f>
        <v/>
      </c>
      <c r="E678" t="str">
        <f>IF($A678&lt;&gt;"",'All Cases - Enter Cases'!E678,"")</f>
        <v/>
      </c>
      <c r="F678" t="str">
        <f>IF($A678&lt;&gt;"",'All Cases - Enter Cases'!F678,"")</f>
        <v/>
      </c>
      <c r="G678" t="str">
        <f>IF($A678&lt;&gt;"",'All Cases - Enter Cases'!G678,"")</f>
        <v/>
      </c>
      <c r="H678" t="str">
        <f>IF($A678&lt;&gt;"",'All Cases - Enter Cases'!H678,"")</f>
        <v/>
      </c>
      <c r="I678" t="str">
        <f>IF($A678&lt;&gt;"",'All Cases - Enter Cases'!I678,"")</f>
        <v/>
      </c>
      <c r="J678" t="str">
        <f>IF($A678&lt;&gt;"",'All Cases - Enter Cases'!J678,"")</f>
        <v/>
      </c>
      <c r="K678" t="str">
        <f>IF($A678&lt;&gt;"",'All Cases - Enter Cases'!K678,"")</f>
        <v/>
      </c>
      <c r="L678" t="str">
        <f>IF($A678&lt;&gt;"",'All Cases - Enter Cases'!L678,"")</f>
        <v/>
      </c>
      <c r="M678" t="str">
        <f>IF($A678&lt;&gt;"",'All Cases - Enter Cases'!M678,"")</f>
        <v/>
      </c>
    </row>
    <row r="679" spans="1:13" x14ac:dyDescent="0.35">
      <c r="A679" t="str">
        <f>IF('All Cases - Enter Cases'!$F679="Balochistan",'All Cases - Enter Cases'!A679,"")</f>
        <v/>
      </c>
      <c r="B679" t="str">
        <f>IF($A679&lt;&gt;"",'All Cases - Enter Cases'!B679,"")</f>
        <v/>
      </c>
      <c r="C679" t="str">
        <f>IF($A679&lt;&gt;"",'All Cases - Enter Cases'!C679,"")</f>
        <v/>
      </c>
      <c r="D679" t="str">
        <f>IF($A679&lt;&gt;"",'All Cases - Enter Cases'!D679,"")</f>
        <v/>
      </c>
      <c r="E679" t="str">
        <f>IF($A679&lt;&gt;"",'All Cases - Enter Cases'!E679,"")</f>
        <v/>
      </c>
      <c r="F679" t="str">
        <f>IF($A679&lt;&gt;"",'All Cases - Enter Cases'!F679,"")</f>
        <v/>
      </c>
      <c r="G679" t="str">
        <f>IF($A679&lt;&gt;"",'All Cases - Enter Cases'!G679,"")</f>
        <v/>
      </c>
      <c r="H679" t="str">
        <f>IF($A679&lt;&gt;"",'All Cases - Enter Cases'!H679,"")</f>
        <v/>
      </c>
      <c r="I679" t="str">
        <f>IF($A679&lt;&gt;"",'All Cases - Enter Cases'!I679,"")</f>
        <v/>
      </c>
      <c r="J679" t="str">
        <f>IF($A679&lt;&gt;"",'All Cases - Enter Cases'!J679,"")</f>
        <v/>
      </c>
      <c r="K679" t="str">
        <f>IF($A679&lt;&gt;"",'All Cases - Enter Cases'!K679,"")</f>
        <v/>
      </c>
      <c r="L679" t="str">
        <f>IF($A679&lt;&gt;"",'All Cases - Enter Cases'!L679,"")</f>
        <v/>
      </c>
      <c r="M679" t="str">
        <f>IF($A679&lt;&gt;"",'All Cases - Enter Cases'!M679,"")</f>
        <v/>
      </c>
    </row>
    <row r="680" spans="1:13" x14ac:dyDescent="0.35">
      <c r="A680" t="str">
        <f>IF('All Cases - Enter Cases'!$F680="Balochistan",'All Cases - Enter Cases'!A680,"")</f>
        <v/>
      </c>
      <c r="B680" t="str">
        <f>IF($A680&lt;&gt;"",'All Cases - Enter Cases'!B680,"")</f>
        <v/>
      </c>
      <c r="C680" t="str">
        <f>IF($A680&lt;&gt;"",'All Cases - Enter Cases'!C680,"")</f>
        <v/>
      </c>
      <c r="D680" t="str">
        <f>IF($A680&lt;&gt;"",'All Cases - Enter Cases'!D680,"")</f>
        <v/>
      </c>
      <c r="E680" t="str">
        <f>IF($A680&lt;&gt;"",'All Cases - Enter Cases'!E680,"")</f>
        <v/>
      </c>
      <c r="F680" t="str">
        <f>IF($A680&lt;&gt;"",'All Cases - Enter Cases'!F680,"")</f>
        <v/>
      </c>
      <c r="G680" t="str">
        <f>IF($A680&lt;&gt;"",'All Cases - Enter Cases'!G680,"")</f>
        <v/>
      </c>
      <c r="H680" t="str">
        <f>IF($A680&lt;&gt;"",'All Cases - Enter Cases'!H680,"")</f>
        <v/>
      </c>
      <c r="I680" t="str">
        <f>IF($A680&lt;&gt;"",'All Cases - Enter Cases'!I680,"")</f>
        <v/>
      </c>
      <c r="J680" t="str">
        <f>IF($A680&lt;&gt;"",'All Cases - Enter Cases'!J680,"")</f>
        <v/>
      </c>
      <c r="K680" t="str">
        <f>IF($A680&lt;&gt;"",'All Cases - Enter Cases'!K680,"")</f>
        <v/>
      </c>
      <c r="L680" t="str">
        <f>IF($A680&lt;&gt;"",'All Cases - Enter Cases'!L680,"")</f>
        <v/>
      </c>
      <c r="M680" t="str">
        <f>IF($A680&lt;&gt;"",'All Cases - Enter Cases'!M680,"")</f>
        <v/>
      </c>
    </row>
    <row r="681" spans="1:13" x14ac:dyDescent="0.35">
      <c r="A681" t="str">
        <f>IF('All Cases - Enter Cases'!$F681="Balochistan",'All Cases - Enter Cases'!A681,"")</f>
        <v/>
      </c>
      <c r="B681" t="str">
        <f>IF($A681&lt;&gt;"",'All Cases - Enter Cases'!B681,"")</f>
        <v/>
      </c>
      <c r="C681" t="str">
        <f>IF($A681&lt;&gt;"",'All Cases - Enter Cases'!C681,"")</f>
        <v/>
      </c>
      <c r="D681" t="str">
        <f>IF($A681&lt;&gt;"",'All Cases - Enter Cases'!D681,"")</f>
        <v/>
      </c>
      <c r="E681" t="str">
        <f>IF($A681&lt;&gt;"",'All Cases - Enter Cases'!E681,"")</f>
        <v/>
      </c>
      <c r="F681" t="str">
        <f>IF($A681&lt;&gt;"",'All Cases - Enter Cases'!F681,"")</f>
        <v/>
      </c>
      <c r="G681" t="str">
        <f>IF($A681&lt;&gt;"",'All Cases - Enter Cases'!G681,"")</f>
        <v/>
      </c>
      <c r="H681" t="str">
        <f>IF($A681&lt;&gt;"",'All Cases - Enter Cases'!H681,"")</f>
        <v/>
      </c>
      <c r="I681" t="str">
        <f>IF($A681&lt;&gt;"",'All Cases - Enter Cases'!I681,"")</f>
        <v/>
      </c>
      <c r="J681" t="str">
        <f>IF($A681&lt;&gt;"",'All Cases - Enter Cases'!J681,"")</f>
        <v/>
      </c>
      <c r="K681" t="str">
        <f>IF($A681&lt;&gt;"",'All Cases - Enter Cases'!K681,"")</f>
        <v/>
      </c>
      <c r="L681" t="str">
        <f>IF($A681&lt;&gt;"",'All Cases - Enter Cases'!L681,"")</f>
        <v/>
      </c>
      <c r="M681" t="str">
        <f>IF($A681&lt;&gt;"",'All Cases - Enter Cases'!M681,"")</f>
        <v/>
      </c>
    </row>
    <row r="682" spans="1:13" x14ac:dyDescent="0.35">
      <c r="A682" t="str">
        <f>IF('All Cases - Enter Cases'!$F682="Balochistan",'All Cases - Enter Cases'!A682,"")</f>
        <v/>
      </c>
      <c r="B682" t="str">
        <f>IF($A682&lt;&gt;"",'All Cases - Enter Cases'!B682,"")</f>
        <v/>
      </c>
      <c r="C682" t="str">
        <f>IF($A682&lt;&gt;"",'All Cases - Enter Cases'!C682,"")</f>
        <v/>
      </c>
      <c r="D682" t="str">
        <f>IF($A682&lt;&gt;"",'All Cases - Enter Cases'!D682,"")</f>
        <v/>
      </c>
      <c r="E682" t="str">
        <f>IF($A682&lt;&gt;"",'All Cases - Enter Cases'!E682,"")</f>
        <v/>
      </c>
      <c r="F682" t="str">
        <f>IF($A682&lt;&gt;"",'All Cases - Enter Cases'!F682,"")</f>
        <v/>
      </c>
      <c r="G682" t="str">
        <f>IF($A682&lt;&gt;"",'All Cases - Enter Cases'!G682,"")</f>
        <v/>
      </c>
      <c r="H682" t="str">
        <f>IF($A682&lt;&gt;"",'All Cases - Enter Cases'!H682,"")</f>
        <v/>
      </c>
      <c r="I682" t="str">
        <f>IF($A682&lt;&gt;"",'All Cases - Enter Cases'!I682,"")</f>
        <v/>
      </c>
      <c r="J682" t="str">
        <f>IF($A682&lt;&gt;"",'All Cases - Enter Cases'!J682,"")</f>
        <v/>
      </c>
      <c r="K682" t="str">
        <f>IF($A682&lt;&gt;"",'All Cases - Enter Cases'!K682,"")</f>
        <v/>
      </c>
      <c r="L682" t="str">
        <f>IF($A682&lt;&gt;"",'All Cases - Enter Cases'!L682,"")</f>
        <v/>
      </c>
      <c r="M682" t="str">
        <f>IF($A682&lt;&gt;"",'All Cases - Enter Cases'!M682,"")</f>
        <v/>
      </c>
    </row>
    <row r="683" spans="1:13" x14ac:dyDescent="0.35">
      <c r="A683" t="str">
        <f>IF('All Cases - Enter Cases'!$F683="Balochistan",'All Cases - Enter Cases'!A683,"")</f>
        <v/>
      </c>
      <c r="B683" t="str">
        <f>IF($A683&lt;&gt;"",'All Cases - Enter Cases'!B683,"")</f>
        <v/>
      </c>
      <c r="C683" t="str">
        <f>IF($A683&lt;&gt;"",'All Cases - Enter Cases'!C683,"")</f>
        <v/>
      </c>
      <c r="D683" t="str">
        <f>IF($A683&lt;&gt;"",'All Cases - Enter Cases'!D683,"")</f>
        <v/>
      </c>
      <c r="E683" t="str">
        <f>IF($A683&lt;&gt;"",'All Cases - Enter Cases'!E683,"")</f>
        <v/>
      </c>
      <c r="F683" t="str">
        <f>IF($A683&lt;&gt;"",'All Cases - Enter Cases'!F683,"")</f>
        <v/>
      </c>
      <c r="G683" t="str">
        <f>IF($A683&lt;&gt;"",'All Cases - Enter Cases'!G683,"")</f>
        <v/>
      </c>
      <c r="H683" t="str">
        <f>IF($A683&lt;&gt;"",'All Cases - Enter Cases'!H683,"")</f>
        <v/>
      </c>
      <c r="I683" t="str">
        <f>IF($A683&lt;&gt;"",'All Cases - Enter Cases'!I683,"")</f>
        <v/>
      </c>
      <c r="J683" t="str">
        <f>IF($A683&lt;&gt;"",'All Cases - Enter Cases'!J683,"")</f>
        <v/>
      </c>
      <c r="K683" t="str">
        <f>IF($A683&lt;&gt;"",'All Cases - Enter Cases'!K683,"")</f>
        <v/>
      </c>
      <c r="L683" t="str">
        <f>IF($A683&lt;&gt;"",'All Cases - Enter Cases'!L683,"")</f>
        <v/>
      </c>
      <c r="M683" t="str">
        <f>IF($A683&lt;&gt;"",'All Cases - Enter Cases'!M683,"")</f>
        <v/>
      </c>
    </row>
    <row r="684" spans="1:13" x14ac:dyDescent="0.35">
      <c r="A684" t="str">
        <f>IF('All Cases - Enter Cases'!$F684="Balochistan",'All Cases - Enter Cases'!A684,"")</f>
        <v/>
      </c>
      <c r="B684" t="str">
        <f>IF($A684&lt;&gt;"",'All Cases - Enter Cases'!B684,"")</f>
        <v/>
      </c>
      <c r="C684" t="str">
        <f>IF($A684&lt;&gt;"",'All Cases - Enter Cases'!C684,"")</f>
        <v/>
      </c>
      <c r="D684" t="str">
        <f>IF($A684&lt;&gt;"",'All Cases - Enter Cases'!D684,"")</f>
        <v/>
      </c>
      <c r="E684" t="str">
        <f>IF($A684&lt;&gt;"",'All Cases - Enter Cases'!E684,"")</f>
        <v/>
      </c>
      <c r="F684" t="str">
        <f>IF($A684&lt;&gt;"",'All Cases - Enter Cases'!F684,"")</f>
        <v/>
      </c>
      <c r="G684" t="str">
        <f>IF($A684&lt;&gt;"",'All Cases - Enter Cases'!G684,"")</f>
        <v/>
      </c>
      <c r="H684" t="str">
        <f>IF($A684&lt;&gt;"",'All Cases - Enter Cases'!H684,"")</f>
        <v/>
      </c>
      <c r="I684" t="str">
        <f>IF($A684&lt;&gt;"",'All Cases - Enter Cases'!I684,"")</f>
        <v/>
      </c>
      <c r="J684" t="str">
        <f>IF($A684&lt;&gt;"",'All Cases - Enter Cases'!J684,"")</f>
        <v/>
      </c>
      <c r="K684" t="str">
        <f>IF($A684&lt;&gt;"",'All Cases - Enter Cases'!K684,"")</f>
        <v/>
      </c>
      <c r="L684" t="str">
        <f>IF($A684&lt;&gt;"",'All Cases - Enter Cases'!L684,"")</f>
        <v/>
      </c>
      <c r="M684" t="str">
        <f>IF($A684&lt;&gt;"",'All Cases - Enter Cases'!M684,"")</f>
        <v/>
      </c>
    </row>
    <row r="685" spans="1:13" x14ac:dyDescent="0.35">
      <c r="A685" t="str">
        <f>IF('All Cases - Enter Cases'!$F685="Balochistan",'All Cases - Enter Cases'!A685,"")</f>
        <v/>
      </c>
      <c r="B685" t="str">
        <f>IF($A685&lt;&gt;"",'All Cases - Enter Cases'!B685,"")</f>
        <v/>
      </c>
      <c r="C685" t="str">
        <f>IF($A685&lt;&gt;"",'All Cases - Enter Cases'!C685,"")</f>
        <v/>
      </c>
      <c r="D685" t="str">
        <f>IF($A685&lt;&gt;"",'All Cases - Enter Cases'!D685,"")</f>
        <v/>
      </c>
      <c r="E685" t="str">
        <f>IF($A685&lt;&gt;"",'All Cases - Enter Cases'!E685,"")</f>
        <v/>
      </c>
      <c r="F685" t="str">
        <f>IF($A685&lt;&gt;"",'All Cases - Enter Cases'!F685,"")</f>
        <v/>
      </c>
      <c r="G685" t="str">
        <f>IF($A685&lt;&gt;"",'All Cases - Enter Cases'!G685,"")</f>
        <v/>
      </c>
      <c r="H685" t="str">
        <f>IF($A685&lt;&gt;"",'All Cases - Enter Cases'!H685,"")</f>
        <v/>
      </c>
      <c r="I685" t="str">
        <f>IF($A685&lt;&gt;"",'All Cases - Enter Cases'!I685,"")</f>
        <v/>
      </c>
      <c r="J685" t="str">
        <f>IF($A685&lt;&gt;"",'All Cases - Enter Cases'!J685,"")</f>
        <v/>
      </c>
      <c r="K685" t="str">
        <f>IF($A685&lt;&gt;"",'All Cases - Enter Cases'!K685,"")</f>
        <v/>
      </c>
      <c r="L685" t="str">
        <f>IF($A685&lt;&gt;"",'All Cases - Enter Cases'!L685,"")</f>
        <v/>
      </c>
      <c r="M685" t="str">
        <f>IF($A685&lt;&gt;"",'All Cases - Enter Cases'!M685,"")</f>
        <v/>
      </c>
    </row>
    <row r="686" spans="1:13" x14ac:dyDescent="0.35">
      <c r="A686" t="str">
        <f>IF('All Cases - Enter Cases'!$F686="Balochistan",'All Cases - Enter Cases'!A686,"")</f>
        <v/>
      </c>
      <c r="B686" t="str">
        <f>IF($A686&lt;&gt;"",'All Cases - Enter Cases'!B686,"")</f>
        <v/>
      </c>
      <c r="C686" t="str">
        <f>IF($A686&lt;&gt;"",'All Cases - Enter Cases'!C686,"")</f>
        <v/>
      </c>
      <c r="D686" t="str">
        <f>IF($A686&lt;&gt;"",'All Cases - Enter Cases'!D686,"")</f>
        <v/>
      </c>
      <c r="E686" t="str">
        <f>IF($A686&lt;&gt;"",'All Cases - Enter Cases'!E686,"")</f>
        <v/>
      </c>
      <c r="F686" t="str">
        <f>IF($A686&lt;&gt;"",'All Cases - Enter Cases'!F686,"")</f>
        <v/>
      </c>
      <c r="G686" t="str">
        <f>IF($A686&lt;&gt;"",'All Cases - Enter Cases'!G686,"")</f>
        <v/>
      </c>
      <c r="H686" t="str">
        <f>IF($A686&lt;&gt;"",'All Cases - Enter Cases'!H686,"")</f>
        <v/>
      </c>
      <c r="I686" t="str">
        <f>IF($A686&lt;&gt;"",'All Cases - Enter Cases'!I686,"")</f>
        <v/>
      </c>
      <c r="J686" t="str">
        <f>IF($A686&lt;&gt;"",'All Cases - Enter Cases'!J686,"")</f>
        <v/>
      </c>
      <c r="K686" t="str">
        <f>IF($A686&lt;&gt;"",'All Cases - Enter Cases'!K686,"")</f>
        <v/>
      </c>
      <c r="L686" t="str">
        <f>IF($A686&lt;&gt;"",'All Cases - Enter Cases'!L686,"")</f>
        <v/>
      </c>
      <c r="M686" t="str">
        <f>IF($A686&lt;&gt;"",'All Cases - Enter Cases'!M686,"")</f>
        <v/>
      </c>
    </row>
    <row r="687" spans="1:13" x14ac:dyDescent="0.35">
      <c r="A687" t="str">
        <f>IF('All Cases - Enter Cases'!$F687="Balochistan",'All Cases - Enter Cases'!A687,"")</f>
        <v/>
      </c>
      <c r="B687" t="str">
        <f>IF($A687&lt;&gt;"",'All Cases - Enter Cases'!B687,"")</f>
        <v/>
      </c>
      <c r="C687" t="str">
        <f>IF($A687&lt;&gt;"",'All Cases - Enter Cases'!C687,"")</f>
        <v/>
      </c>
      <c r="D687" t="str">
        <f>IF($A687&lt;&gt;"",'All Cases - Enter Cases'!D687,"")</f>
        <v/>
      </c>
      <c r="E687" t="str">
        <f>IF($A687&lt;&gt;"",'All Cases - Enter Cases'!E687,"")</f>
        <v/>
      </c>
      <c r="F687" t="str">
        <f>IF($A687&lt;&gt;"",'All Cases - Enter Cases'!F687,"")</f>
        <v/>
      </c>
      <c r="G687" t="str">
        <f>IF($A687&lt;&gt;"",'All Cases - Enter Cases'!G687,"")</f>
        <v/>
      </c>
      <c r="H687" t="str">
        <f>IF($A687&lt;&gt;"",'All Cases - Enter Cases'!H687,"")</f>
        <v/>
      </c>
      <c r="I687" t="str">
        <f>IF($A687&lt;&gt;"",'All Cases - Enter Cases'!I687,"")</f>
        <v/>
      </c>
      <c r="J687" t="str">
        <f>IF($A687&lt;&gt;"",'All Cases - Enter Cases'!J687,"")</f>
        <v/>
      </c>
      <c r="K687" t="str">
        <f>IF($A687&lt;&gt;"",'All Cases - Enter Cases'!K687,"")</f>
        <v/>
      </c>
      <c r="L687" t="str">
        <f>IF($A687&lt;&gt;"",'All Cases - Enter Cases'!L687,"")</f>
        <v/>
      </c>
      <c r="M687" t="str">
        <f>IF($A687&lt;&gt;"",'All Cases - Enter Cases'!M687,"")</f>
        <v/>
      </c>
    </row>
    <row r="688" spans="1:13" x14ac:dyDescent="0.35">
      <c r="A688" t="str">
        <f>IF('All Cases - Enter Cases'!$F688="Balochistan",'All Cases - Enter Cases'!A688,"")</f>
        <v/>
      </c>
      <c r="B688" t="str">
        <f>IF($A688&lt;&gt;"",'All Cases - Enter Cases'!B688,"")</f>
        <v/>
      </c>
      <c r="C688" t="str">
        <f>IF($A688&lt;&gt;"",'All Cases - Enter Cases'!C688,"")</f>
        <v/>
      </c>
      <c r="D688" t="str">
        <f>IF($A688&lt;&gt;"",'All Cases - Enter Cases'!D688,"")</f>
        <v/>
      </c>
      <c r="E688" t="str">
        <f>IF($A688&lt;&gt;"",'All Cases - Enter Cases'!E688,"")</f>
        <v/>
      </c>
      <c r="F688" t="str">
        <f>IF($A688&lt;&gt;"",'All Cases - Enter Cases'!F688,"")</f>
        <v/>
      </c>
      <c r="G688" t="str">
        <f>IF($A688&lt;&gt;"",'All Cases - Enter Cases'!G688,"")</f>
        <v/>
      </c>
      <c r="H688" t="str">
        <f>IF($A688&lt;&gt;"",'All Cases - Enter Cases'!H688,"")</f>
        <v/>
      </c>
      <c r="I688" t="str">
        <f>IF($A688&lt;&gt;"",'All Cases - Enter Cases'!I688,"")</f>
        <v/>
      </c>
      <c r="J688" t="str">
        <f>IF($A688&lt;&gt;"",'All Cases - Enter Cases'!J688,"")</f>
        <v/>
      </c>
      <c r="K688" t="str">
        <f>IF($A688&lt;&gt;"",'All Cases - Enter Cases'!K688,"")</f>
        <v/>
      </c>
      <c r="L688" t="str">
        <f>IF($A688&lt;&gt;"",'All Cases - Enter Cases'!L688,"")</f>
        <v/>
      </c>
      <c r="M688" t="str">
        <f>IF($A688&lt;&gt;"",'All Cases - Enter Cases'!M688,"")</f>
        <v/>
      </c>
    </row>
    <row r="689" spans="1:13" x14ac:dyDescent="0.35">
      <c r="A689" t="str">
        <f>IF('All Cases - Enter Cases'!$F689="Balochistan",'All Cases - Enter Cases'!A689,"")</f>
        <v/>
      </c>
      <c r="B689" t="str">
        <f>IF($A689&lt;&gt;"",'All Cases - Enter Cases'!B689,"")</f>
        <v/>
      </c>
      <c r="C689" t="str">
        <f>IF($A689&lt;&gt;"",'All Cases - Enter Cases'!C689,"")</f>
        <v/>
      </c>
      <c r="D689" t="str">
        <f>IF($A689&lt;&gt;"",'All Cases - Enter Cases'!D689,"")</f>
        <v/>
      </c>
      <c r="E689" t="str">
        <f>IF($A689&lt;&gt;"",'All Cases - Enter Cases'!E689,"")</f>
        <v/>
      </c>
      <c r="F689" t="str">
        <f>IF($A689&lt;&gt;"",'All Cases - Enter Cases'!F689,"")</f>
        <v/>
      </c>
      <c r="G689" t="str">
        <f>IF($A689&lt;&gt;"",'All Cases - Enter Cases'!G689,"")</f>
        <v/>
      </c>
      <c r="H689" t="str">
        <f>IF($A689&lt;&gt;"",'All Cases - Enter Cases'!H689,"")</f>
        <v/>
      </c>
      <c r="I689" t="str">
        <f>IF($A689&lt;&gt;"",'All Cases - Enter Cases'!I689,"")</f>
        <v/>
      </c>
      <c r="J689" t="str">
        <f>IF($A689&lt;&gt;"",'All Cases - Enter Cases'!J689,"")</f>
        <v/>
      </c>
      <c r="K689" t="str">
        <f>IF($A689&lt;&gt;"",'All Cases - Enter Cases'!K689,"")</f>
        <v/>
      </c>
      <c r="L689" t="str">
        <f>IF($A689&lt;&gt;"",'All Cases - Enter Cases'!L689,"")</f>
        <v/>
      </c>
      <c r="M689" t="str">
        <f>IF($A689&lt;&gt;"",'All Cases - Enter Cases'!M689,"")</f>
        <v/>
      </c>
    </row>
    <row r="690" spans="1:13" x14ac:dyDescent="0.35">
      <c r="A690" t="str">
        <f>IF('All Cases - Enter Cases'!$F690="Balochistan",'All Cases - Enter Cases'!A690,"")</f>
        <v/>
      </c>
      <c r="B690" t="str">
        <f>IF($A690&lt;&gt;"",'All Cases - Enter Cases'!B690,"")</f>
        <v/>
      </c>
      <c r="C690" t="str">
        <f>IF($A690&lt;&gt;"",'All Cases - Enter Cases'!C690,"")</f>
        <v/>
      </c>
      <c r="D690" t="str">
        <f>IF($A690&lt;&gt;"",'All Cases - Enter Cases'!D690,"")</f>
        <v/>
      </c>
      <c r="E690" t="str">
        <f>IF($A690&lt;&gt;"",'All Cases - Enter Cases'!E690,"")</f>
        <v/>
      </c>
      <c r="F690" t="str">
        <f>IF($A690&lt;&gt;"",'All Cases - Enter Cases'!F690,"")</f>
        <v/>
      </c>
      <c r="G690" t="str">
        <f>IF($A690&lt;&gt;"",'All Cases - Enter Cases'!G690,"")</f>
        <v/>
      </c>
      <c r="H690" t="str">
        <f>IF($A690&lt;&gt;"",'All Cases - Enter Cases'!H690,"")</f>
        <v/>
      </c>
      <c r="I690" t="str">
        <f>IF($A690&lt;&gt;"",'All Cases - Enter Cases'!I690,"")</f>
        <v/>
      </c>
      <c r="J690" t="str">
        <f>IF($A690&lt;&gt;"",'All Cases - Enter Cases'!J690,"")</f>
        <v/>
      </c>
      <c r="K690" t="str">
        <f>IF($A690&lt;&gt;"",'All Cases - Enter Cases'!K690,"")</f>
        <v/>
      </c>
      <c r="L690" t="str">
        <f>IF($A690&lt;&gt;"",'All Cases - Enter Cases'!L690,"")</f>
        <v/>
      </c>
      <c r="M690" t="str">
        <f>IF($A690&lt;&gt;"",'All Cases - Enter Cases'!M690,"")</f>
        <v/>
      </c>
    </row>
    <row r="691" spans="1:13" x14ac:dyDescent="0.35">
      <c r="A691" t="str">
        <f>IF('All Cases - Enter Cases'!$F691="Balochistan",'All Cases - Enter Cases'!A691,"")</f>
        <v/>
      </c>
      <c r="B691" t="str">
        <f>IF($A691&lt;&gt;"",'All Cases - Enter Cases'!B691,"")</f>
        <v/>
      </c>
      <c r="C691" t="str">
        <f>IF($A691&lt;&gt;"",'All Cases - Enter Cases'!C691,"")</f>
        <v/>
      </c>
      <c r="D691" t="str">
        <f>IF($A691&lt;&gt;"",'All Cases - Enter Cases'!D691,"")</f>
        <v/>
      </c>
      <c r="E691" t="str">
        <f>IF($A691&lt;&gt;"",'All Cases - Enter Cases'!E691,"")</f>
        <v/>
      </c>
      <c r="F691" t="str">
        <f>IF($A691&lt;&gt;"",'All Cases - Enter Cases'!F691,"")</f>
        <v/>
      </c>
      <c r="G691" t="str">
        <f>IF($A691&lt;&gt;"",'All Cases - Enter Cases'!G691,"")</f>
        <v/>
      </c>
      <c r="H691" t="str">
        <f>IF($A691&lt;&gt;"",'All Cases - Enter Cases'!H691,"")</f>
        <v/>
      </c>
      <c r="I691" t="str">
        <f>IF($A691&lt;&gt;"",'All Cases - Enter Cases'!I691,"")</f>
        <v/>
      </c>
      <c r="J691" t="str">
        <f>IF($A691&lt;&gt;"",'All Cases - Enter Cases'!J691,"")</f>
        <v/>
      </c>
      <c r="K691" t="str">
        <f>IF($A691&lt;&gt;"",'All Cases - Enter Cases'!K691,"")</f>
        <v/>
      </c>
      <c r="L691" t="str">
        <f>IF($A691&lt;&gt;"",'All Cases - Enter Cases'!L691,"")</f>
        <v/>
      </c>
      <c r="M691" t="str">
        <f>IF($A691&lt;&gt;"",'All Cases - Enter Cases'!M691,"")</f>
        <v/>
      </c>
    </row>
    <row r="692" spans="1:13" x14ac:dyDescent="0.35">
      <c r="A692" t="str">
        <f>IF('All Cases - Enter Cases'!$F692="Balochistan",'All Cases - Enter Cases'!A692,"")</f>
        <v/>
      </c>
      <c r="B692" t="str">
        <f>IF($A692&lt;&gt;"",'All Cases - Enter Cases'!B692,"")</f>
        <v/>
      </c>
      <c r="C692" t="str">
        <f>IF($A692&lt;&gt;"",'All Cases - Enter Cases'!C692,"")</f>
        <v/>
      </c>
      <c r="D692" t="str">
        <f>IF($A692&lt;&gt;"",'All Cases - Enter Cases'!D692,"")</f>
        <v/>
      </c>
      <c r="E692" t="str">
        <f>IF($A692&lt;&gt;"",'All Cases - Enter Cases'!E692,"")</f>
        <v/>
      </c>
      <c r="F692" t="str">
        <f>IF($A692&lt;&gt;"",'All Cases - Enter Cases'!F692,"")</f>
        <v/>
      </c>
      <c r="G692" t="str">
        <f>IF($A692&lt;&gt;"",'All Cases - Enter Cases'!G692,"")</f>
        <v/>
      </c>
      <c r="H692" t="str">
        <f>IF($A692&lt;&gt;"",'All Cases - Enter Cases'!H692,"")</f>
        <v/>
      </c>
      <c r="I692" t="str">
        <f>IF($A692&lt;&gt;"",'All Cases - Enter Cases'!I692,"")</f>
        <v/>
      </c>
      <c r="J692" t="str">
        <f>IF($A692&lt;&gt;"",'All Cases - Enter Cases'!J692,"")</f>
        <v/>
      </c>
      <c r="K692" t="str">
        <f>IF($A692&lt;&gt;"",'All Cases - Enter Cases'!K692,"")</f>
        <v/>
      </c>
      <c r="L692" t="str">
        <f>IF($A692&lt;&gt;"",'All Cases - Enter Cases'!L692,"")</f>
        <v/>
      </c>
      <c r="M692" t="str">
        <f>IF($A692&lt;&gt;"",'All Cases - Enter Cases'!M692,"")</f>
        <v/>
      </c>
    </row>
    <row r="693" spans="1:13" x14ac:dyDescent="0.35">
      <c r="A693" t="str">
        <f>IF('All Cases - Enter Cases'!$F693="Balochistan",'All Cases - Enter Cases'!A693,"")</f>
        <v/>
      </c>
      <c r="B693" t="str">
        <f>IF($A693&lt;&gt;"",'All Cases - Enter Cases'!B693,"")</f>
        <v/>
      </c>
      <c r="C693" t="str">
        <f>IF($A693&lt;&gt;"",'All Cases - Enter Cases'!C693,"")</f>
        <v/>
      </c>
      <c r="D693" t="str">
        <f>IF($A693&lt;&gt;"",'All Cases - Enter Cases'!D693,"")</f>
        <v/>
      </c>
      <c r="E693" t="str">
        <f>IF($A693&lt;&gt;"",'All Cases - Enter Cases'!E693,"")</f>
        <v/>
      </c>
      <c r="F693" t="str">
        <f>IF($A693&lt;&gt;"",'All Cases - Enter Cases'!F693,"")</f>
        <v/>
      </c>
      <c r="G693" t="str">
        <f>IF($A693&lt;&gt;"",'All Cases - Enter Cases'!G693,"")</f>
        <v/>
      </c>
      <c r="H693" t="str">
        <f>IF($A693&lt;&gt;"",'All Cases - Enter Cases'!H693,"")</f>
        <v/>
      </c>
      <c r="I693" t="str">
        <f>IF($A693&lt;&gt;"",'All Cases - Enter Cases'!I693,"")</f>
        <v/>
      </c>
      <c r="J693" t="str">
        <f>IF($A693&lt;&gt;"",'All Cases - Enter Cases'!J693,"")</f>
        <v/>
      </c>
      <c r="K693" t="str">
        <f>IF($A693&lt;&gt;"",'All Cases - Enter Cases'!K693,"")</f>
        <v/>
      </c>
      <c r="L693" t="str">
        <f>IF($A693&lt;&gt;"",'All Cases - Enter Cases'!L693,"")</f>
        <v/>
      </c>
      <c r="M693" t="str">
        <f>IF($A693&lt;&gt;"",'All Cases - Enter Cases'!M693,"")</f>
        <v/>
      </c>
    </row>
    <row r="694" spans="1:13" x14ac:dyDescent="0.35">
      <c r="A694" t="str">
        <f>IF('All Cases - Enter Cases'!$F694="Balochistan",'All Cases - Enter Cases'!A694,"")</f>
        <v/>
      </c>
      <c r="B694" t="str">
        <f>IF($A694&lt;&gt;"",'All Cases - Enter Cases'!B694,"")</f>
        <v/>
      </c>
      <c r="C694" t="str">
        <f>IF($A694&lt;&gt;"",'All Cases - Enter Cases'!C694,"")</f>
        <v/>
      </c>
      <c r="D694" t="str">
        <f>IF($A694&lt;&gt;"",'All Cases - Enter Cases'!D694,"")</f>
        <v/>
      </c>
      <c r="E694" t="str">
        <f>IF($A694&lt;&gt;"",'All Cases - Enter Cases'!E694,"")</f>
        <v/>
      </c>
      <c r="F694" t="str">
        <f>IF($A694&lt;&gt;"",'All Cases - Enter Cases'!F694,"")</f>
        <v/>
      </c>
      <c r="G694" t="str">
        <f>IF($A694&lt;&gt;"",'All Cases - Enter Cases'!G694,"")</f>
        <v/>
      </c>
      <c r="H694" t="str">
        <f>IF($A694&lt;&gt;"",'All Cases - Enter Cases'!H694,"")</f>
        <v/>
      </c>
      <c r="I694" t="str">
        <f>IF($A694&lt;&gt;"",'All Cases - Enter Cases'!I694,"")</f>
        <v/>
      </c>
      <c r="J694" t="str">
        <f>IF($A694&lt;&gt;"",'All Cases - Enter Cases'!J694,"")</f>
        <v/>
      </c>
      <c r="K694" t="str">
        <f>IF($A694&lt;&gt;"",'All Cases - Enter Cases'!K694,"")</f>
        <v/>
      </c>
      <c r="L694" t="str">
        <f>IF($A694&lt;&gt;"",'All Cases - Enter Cases'!L694,"")</f>
        <v/>
      </c>
      <c r="M694" t="str">
        <f>IF($A694&lt;&gt;"",'All Cases - Enter Cases'!M694,"")</f>
        <v/>
      </c>
    </row>
    <row r="695" spans="1:13" x14ac:dyDescent="0.35">
      <c r="A695" t="str">
        <f>IF('All Cases - Enter Cases'!$F695="Balochistan",'All Cases - Enter Cases'!A695,"")</f>
        <v/>
      </c>
      <c r="B695" t="str">
        <f>IF($A695&lt;&gt;"",'All Cases - Enter Cases'!B695,"")</f>
        <v/>
      </c>
      <c r="C695" t="str">
        <f>IF($A695&lt;&gt;"",'All Cases - Enter Cases'!C695,"")</f>
        <v/>
      </c>
      <c r="D695" t="str">
        <f>IF($A695&lt;&gt;"",'All Cases - Enter Cases'!D695,"")</f>
        <v/>
      </c>
      <c r="E695" t="str">
        <f>IF($A695&lt;&gt;"",'All Cases - Enter Cases'!E695,"")</f>
        <v/>
      </c>
      <c r="F695" t="str">
        <f>IF($A695&lt;&gt;"",'All Cases - Enter Cases'!F695,"")</f>
        <v/>
      </c>
      <c r="G695" t="str">
        <f>IF($A695&lt;&gt;"",'All Cases - Enter Cases'!G695,"")</f>
        <v/>
      </c>
      <c r="H695" t="str">
        <f>IF($A695&lt;&gt;"",'All Cases - Enter Cases'!H695,"")</f>
        <v/>
      </c>
      <c r="I695" t="str">
        <f>IF($A695&lt;&gt;"",'All Cases - Enter Cases'!I695,"")</f>
        <v/>
      </c>
      <c r="J695" t="str">
        <f>IF($A695&lt;&gt;"",'All Cases - Enter Cases'!J695,"")</f>
        <v/>
      </c>
      <c r="K695" t="str">
        <f>IF($A695&lt;&gt;"",'All Cases - Enter Cases'!K695,"")</f>
        <v/>
      </c>
      <c r="L695" t="str">
        <f>IF($A695&lt;&gt;"",'All Cases - Enter Cases'!L695,"")</f>
        <v/>
      </c>
      <c r="M695" t="str">
        <f>IF($A695&lt;&gt;"",'All Cases - Enter Cases'!M695,"")</f>
        <v/>
      </c>
    </row>
    <row r="696" spans="1:13" x14ac:dyDescent="0.35">
      <c r="A696" t="str">
        <f>IF('All Cases - Enter Cases'!$F696="Balochistan",'All Cases - Enter Cases'!A696,"")</f>
        <v/>
      </c>
      <c r="B696" t="str">
        <f>IF($A696&lt;&gt;"",'All Cases - Enter Cases'!B696,"")</f>
        <v/>
      </c>
      <c r="C696" t="str">
        <f>IF($A696&lt;&gt;"",'All Cases - Enter Cases'!C696,"")</f>
        <v/>
      </c>
      <c r="D696" t="str">
        <f>IF($A696&lt;&gt;"",'All Cases - Enter Cases'!D696,"")</f>
        <v/>
      </c>
      <c r="E696" t="str">
        <f>IF($A696&lt;&gt;"",'All Cases - Enter Cases'!E696,"")</f>
        <v/>
      </c>
      <c r="F696" t="str">
        <f>IF($A696&lt;&gt;"",'All Cases - Enter Cases'!F696,"")</f>
        <v/>
      </c>
      <c r="G696" t="str">
        <f>IF($A696&lt;&gt;"",'All Cases - Enter Cases'!G696,"")</f>
        <v/>
      </c>
      <c r="H696" t="str">
        <f>IF($A696&lt;&gt;"",'All Cases - Enter Cases'!H696,"")</f>
        <v/>
      </c>
      <c r="I696" t="str">
        <f>IF($A696&lt;&gt;"",'All Cases - Enter Cases'!I696,"")</f>
        <v/>
      </c>
      <c r="J696" t="str">
        <f>IF($A696&lt;&gt;"",'All Cases - Enter Cases'!J696,"")</f>
        <v/>
      </c>
      <c r="K696" t="str">
        <f>IF($A696&lt;&gt;"",'All Cases - Enter Cases'!K696,"")</f>
        <v/>
      </c>
      <c r="L696" t="str">
        <f>IF($A696&lt;&gt;"",'All Cases - Enter Cases'!L696,"")</f>
        <v/>
      </c>
      <c r="M696" t="str">
        <f>IF($A696&lt;&gt;"",'All Cases - Enter Cases'!M696,"")</f>
        <v/>
      </c>
    </row>
    <row r="697" spans="1:13" x14ac:dyDescent="0.35">
      <c r="A697" t="str">
        <f>IF('All Cases - Enter Cases'!$F697="Balochistan",'All Cases - Enter Cases'!A697,"")</f>
        <v/>
      </c>
      <c r="B697" t="str">
        <f>IF($A697&lt;&gt;"",'All Cases - Enter Cases'!B697,"")</f>
        <v/>
      </c>
      <c r="C697" t="str">
        <f>IF($A697&lt;&gt;"",'All Cases - Enter Cases'!C697,"")</f>
        <v/>
      </c>
      <c r="D697" t="str">
        <f>IF($A697&lt;&gt;"",'All Cases - Enter Cases'!D697,"")</f>
        <v/>
      </c>
      <c r="E697" t="str">
        <f>IF($A697&lt;&gt;"",'All Cases - Enter Cases'!E697,"")</f>
        <v/>
      </c>
      <c r="F697" t="str">
        <f>IF($A697&lt;&gt;"",'All Cases - Enter Cases'!F697,"")</f>
        <v/>
      </c>
      <c r="G697" t="str">
        <f>IF($A697&lt;&gt;"",'All Cases - Enter Cases'!G697,"")</f>
        <v/>
      </c>
      <c r="H697" t="str">
        <f>IF($A697&lt;&gt;"",'All Cases - Enter Cases'!H697,"")</f>
        <v/>
      </c>
      <c r="I697" t="str">
        <f>IF($A697&lt;&gt;"",'All Cases - Enter Cases'!I697,"")</f>
        <v/>
      </c>
      <c r="J697" t="str">
        <f>IF($A697&lt;&gt;"",'All Cases - Enter Cases'!J697,"")</f>
        <v/>
      </c>
      <c r="K697" t="str">
        <f>IF($A697&lt;&gt;"",'All Cases - Enter Cases'!K697,"")</f>
        <v/>
      </c>
      <c r="L697" t="str">
        <f>IF($A697&lt;&gt;"",'All Cases - Enter Cases'!L697,"")</f>
        <v/>
      </c>
      <c r="M697" t="str">
        <f>IF($A697&lt;&gt;"",'All Cases - Enter Cases'!M697,"")</f>
        <v/>
      </c>
    </row>
    <row r="698" spans="1:13" x14ac:dyDescent="0.35">
      <c r="A698" t="str">
        <f>IF('All Cases - Enter Cases'!$F698="Balochistan",'All Cases - Enter Cases'!A698,"")</f>
        <v/>
      </c>
      <c r="B698" t="str">
        <f>IF($A698&lt;&gt;"",'All Cases - Enter Cases'!B698,"")</f>
        <v/>
      </c>
      <c r="C698" t="str">
        <f>IF($A698&lt;&gt;"",'All Cases - Enter Cases'!C698,"")</f>
        <v/>
      </c>
      <c r="D698" t="str">
        <f>IF($A698&lt;&gt;"",'All Cases - Enter Cases'!D698,"")</f>
        <v/>
      </c>
      <c r="E698" t="str">
        <f>IF($A698&lt;&gt;"",'All Cases - Enter Cases'!E698,"")</f>
        <v/>
      </c>
      <c r="F698" t="str">
        <f>IF($A698&lt;&gt;"",'All Cases - Enter Cases'!F698,"")</f>
        <v/>
      </c>
      <c r="G698" t="str">
        <f>IF($A698&lt;&gt;"",'All Cases - Enter Cases'!G698,"")</f>
        <v/>
      </c>
      <c r="H698" t="str">
        <f>IF($A698&lt;&gt;"",'All Cases - Enter Cases'!H698,"")</f>
        <v/>
      </c>
      <c r="I698" t="str">
        <f>IF($A698&lt;&gt;"",'All Cases - Enter Cases'!I698,"")</f>
        <v/>
      </c>
      <c r="J698" t="str">
        <f>IF($A698&lt;&gt;"",'All Cases - Enter Cases'!J698,"")</f>
        <v/>
      </c>
      <c r="K698" t="str">
        <f>IF($A698&lt;&gt;"",'All Cases - Enter Cases'!K698,"")</f>
        <v/>
      </c>
      <c r="L698" t="str">
        <f>IF($A698&lt;&gt;"",'All Cases - Enter Cases'!L698,"")</f>
        <v/>
      </c>
      <c r="M698" t="str">
        <f>IF($A698&lt;&gt;"",'All Cases - Enter Cases'!M698,"")</f>
        <v/>
      </c>
    </row>
    <row r="699" spans="1:13" x14ac:dyDescent="0.35">
      <c r="A699" t="str">
        <f>IF('All Cases - Enter Cases'!$F699="Balochistan",'All Cases - Enter Cases'!A699,"")</f>
        <v/>
      </c>
      <c r="B699" t="str">
        <f>IF($A699&lt;&gt;"",'All Cases - Enter Cases'!B699,"")</f>
        <v/>
      </c>
      <c r="C699" t="str">
        <f>IF($A699&lt;&gt;"",'All Cases - Enter Cases'!C699,"")</f>
        <v/>
      </c>
      <c r="D699" t="str">
        <f>IF($A699&lt;&gt;"",'All Cases - Enter Cases'!D699,"")</f>
        <v/>
      </c>
      <c r="E699" t="str">
        <f>IF($A699&lt;&gt;"",'All Cases - Enter Cases'!E699,"")</f>
        <v/>
      </c>
      <c r="F699" t="str">
        <f>IF($A699&lt;&gt;"",'All Cases - Enter Cases'!F699,"")</f>
        <v/>
      </c>
      <c r="G699" t="str">
        <f>IF($A699&lt;&gt;"",'All Cases - Enter Cases'!G699,"")</f>
        <v/>
      </c>
      <c r="H699" t="str">
        <f>IF($A699&lt;&gt;"",'All Cases - Enter Cases'!H699,"")</f>
        <v/>
      </c>
      <c r="I699" t="str">
        <f>IF($A699&lt;&gt;"",'All Cases - Enter Cases'!I699,"")</f>
        <v/>
      </c>
      <c r="J699" t="str">
        <f>IF($A699&lt;&gt;"",'All Cases - Enter Cases'!J699,"")</f>
        <v/>
      </c>
      <c r="K699" t="str">
        <f>IF($A699&lt;&gt;"",'All Cases - Enter Cases'!K699,"")</f>
        <v/>
      </c>
      <c r="L699" t="str">
        <f>IF($A699&lt;&gt;"",'All Cases - Enter Cases'!L699,"")</f>
        <v/>
      </c>
      <c r="M699" t="str">
        <f>IF($A699&lt;&gt;"",'All Cases - Enter Cases'!M699,"")</f>
        <v/>
      </c>
    </row>
    <row r="700" spans="1:13" x14ac:dyDescent="0.35">
      <c r="A700" t="str">
        <f>IF('All Cases - Enter Cases'!$F700="Balochistan",'All Cases - Enter Cases'!A700,"")</f>
        <v/>
      </c>
      <c r="B700" t="str">
        <f>IF($A700&lt;&gt;"",'All Cases - Enter Cases'!B700,"")</f>
        <v/>
      </c>
      <c r="C700" t="str">
        <f>IF($A700&lt;&gt;"",'All Cases - Enter Cases'!C700,"")</f>
        <v/>
      </c>
      <c r="D700" t="str">
        <f>IF($A700&lt;&gt;"",'All Cases - Enter Cases'!D700,"")</f>
        <v/>
      </c>
      <c r="E700" t="str">
        <f>IF($A700&lt;&gt;"",'All Cases - Enter Cases'!E700,"")</f>
        <v/>
      </c>
      <c r="F700" t="str">
        <f>IF($A700&lt;&gt;"",'All Cases - Enter Cases'!F700,"")</f>
        <v/>
      </c>
      <c r="G700" t="str">
        <f>IF($A700&lt;&gt;"",'All Cases - Enter Cases'!G700,"")</f>
        <v/>
      </c>
      <c r="H700" t="str">
        <f>IF($A700&lt;&gt;"",'All Cases - Enter Cases'!H700,"")</f>
        <v/>
      </c>
      <c r="I700" t="str">
        <f>IF($A700&lt;&gt;"",'All Cases - Enter Cases'!I700,"")</f>
        <v/>
      </c>
      <c r="J700" t="str">
        <f>IF($A700&lt;&gt;"",'All Cases - Enter Cases'!J700,"")</f>
        <v/>
      </c>
      <c r="K700" t="str">
        <f>IF($A700&lt;&gt;"",'All Cases - Enter Cases'!K700,"")</f>
        <v/>
      </c>
      <c r="L700" t="str">
        <f>IF($A700&lt;&gt;"",'All Cases - Enter Cases'!L700,"")</f>
        <v/>
      </c>
      <c r="M700" t="str">
        <f>IF($A700&lt;&gt;"",'All Cases - Enter Cases'!M700,"")</f>
        <v/>
      </c>
    </row>
    <row r="701" spans="1:13" x14ac:dyDescent="0.35">
      <c r="A701" t="str">
        <f>IF('All Cases - Enter Cases'!$F701="Balochistan",'All Cases - Enter Cases'!A701,"")</f>
        <v/>
      </c>
      <c r="B701" t="str">
        <f>IF($A701&lt;&gt;"",'All Cases - Enter Cases'!B701,"")</f>
        <v/>
      </c>
      <c r="C701" t="str">
        <f>IF($A701&lt;&gt;"",'All Cases - Enter Cases'!C701,"")</f>
        <v/>
      </c>
      <c r="D701" t="str">
        <f>IF($A701&lt;&gt;"",'All Cases - Enter Cases'!D701,"")</f>
        <v/>
      </c>
      <c r="E701" t="str">
        <f>IF($A701&lt;&gt;"",'All Cases - Enter Cases'!E701,"")</f>
        <v/>
      </c>
      <c r="F701" t="str">
        <f>IF($A701&lt;&gt;"",'All Cases - Enter Cases'!F701,"")</f>
        <v/>
      </c>
      <c r="G701" t="str">
        <f>IF($A701&lt;&gt;"",'All Cases - Enter Cases'!G701,"")</f>
        <v/>
      </c>
      <c r="H701" t="str">
        <f>IF($A701&lt;&gt;"",'All Cases - Enter Cases'!H701,"")</f>
        <v/>
      </c>
      <c r="I701" t="str">
        <f>IF($A701&lt;&gt;"",'All Cases - Enter Cases'!I701,"")</f>
        <v/>
      </c>
      <c r="J701" t="str">
        <f>IF($A701&lt;&gt;"",'All Cases - Enter Cases'!J701,"")</f>
        <v/>
      </c>
      <c r="K701" t="str">
        <f>IF($A701&lt;&gt;"",'All Cases - Enter Cases'!K701,"")</f>
        <v/>
      </c>
      <c r="L701" t="str">
        <f>IF($A701&lt;&gt;"",'All Cases - Enter Cases'!L701,"")</f>
        <v/>
      </c>
      <c r="M701" t="str">
        <f>IF($A701&lt;&gt;"",'All Cases - Enter Cases'!M701,"")</f>
        <v/>
      </c>
    </row>
    <row r="702" spans="1:13" x14ac:dyDescent="0.35">
      <c r="A702" t="str">
        <f>IF('All Cases - Enter Cases'!$F702="Balochistan",'All Cases - Enter Cases'!A702,"")</f>
        <v/>
      </c>
      <c r="B702" t="str">
        <f>IF($A702&lt;&gt;"",'All Cases - Enter Cases'!B702,"")</f>
        <v/>
      </c>
      <c r="C702" t="str">
        <f>IF($A702&lt;&gt;"",'All Cases - Enter Cases'!C702,"")</f>
        <v/>
      </c>
      <c r="D702" t="str">
        <f>IF($A702&lt;&gt;"",'All Cases - Enter Cases'!D702,"")</f>
        <v/>
      </c>
      <c r="E702" t="str">
        <f>IF($A702&lt;&gt;"",'All Cases - Enter Cases'!E702,"")</f>
        <v/>
      </c>
      <c r="F702" t="str">
        <f>IF($A702&lt;&gt;"",'All Cases - Enter Cases'!F702,"")</f>
        <v/>
      </c>
      <c r="G702" t="str">
        <f>IF($A702&lt;&gt;"",'All Cases - Enter Cases'!G702,"")</f>
        <v/>
      </c>
      <c r="H702" t="str">
        <f>IF($A702&lt;&gt;"",'All Cases - Enter Cases'!H702,"")</f>
        <v/>
      </c>
      <c r="I702" t="str">
        <f>IF($A702&lt;&gt;"",'All Cases - Enter Cases'!I702,"")</f>
        <v/>
      </c>
      <c r="J702" t="str">
        <f>IF($A702&lt;&gt;"",'All Cases - Enter Cases'!J702,"")</f>
        <v/>
      </c>
      <c r="K702" t="str">
        <f>IF($A702&lt;&gt;"",'All Cases - Enter Cases'!K702,"")</f>
        <v/>
      </c>
      <c r="L702" t="str">
        <f>IF($A702&lt;&gt;"",'All Cases - Enter Cases'!L702,"")</f>
        <v/>
      </c>
      <c r="M702" t="str">
        <f>IF($A702&lt;&gt;"",'All Cases - Enter Cases'!M702,"")</f>
        <v/>
      </c>
    </row>
    <row r="703" spans="1:13" x14ac:dyDescent="0.35">
      <c r="A703" t="str">
        <f>IF('All Cases - Enter Cases'!$F703="Balochistan",'All Cases - Enter Cases'!A703,"")</f>
        <v/>
      </c>
      <c r="B703" t="str">
        <f>IF($A703&lt;&gt;"",'All Cases - Enter Cases'!B703,"")</f>
        <v/>
      </c>
      <c r="C703" t="str">
        <f>IF($A703&lt;&gt;"",'All Cases - Enter Cases'!C703,"")</f>
        <v/>
      </c>
      <c r="D703" t="str">
        <f>IF($A703&lt;&gt;"",'All Cases - Enter Cases'!D703,"")</f>
        <v/>
      </c>
      <c r="E703" t="str">
        <f>IF($A703&lt;&gt;"",'All Cases - Enter Cases'!E703,"")</f>
        <v/>
      </c>
      <c r="F703" t="str">
        <f>IF($A703&lt;&gt;"",'All Cases - Enter Cases'!F703,"")</f>
        <v/>
      </c>
      <c r="G703" t="str">
        <f>IF($A703&lt;&gt;"",'All Cases - Enter Cases'!G703,"")</f>
        <v/>
      </c>
      <c r="H703" t="str">
        <f>IF($A703&lt;&gt;"",'All Cases - Enter Cases'!H703,"")</f>
        <v/>
      </c>
      <c r="I703" t="str">
        <f>IF($A703&lt;&gt;"",'All Cases - Enter Cases'!I703,"")</f>
        <v/>
      </c>
      <c r="J703" t="str">
        <f>IF($A703&lt;&gt;"",'All Cases - Enter Cases'!J703,"")</f>
        <v/>
      </c>
      <c r="K703" t="str">
        <f>IF($A703&lt;&gt;"",'All Cases - Enter Cases'!K703,"")</f>
        <v/>
      </c>
      <c r="L703" t="str">
        <f>IF($A703&lt;&gt;"",'All Cases - Enter Cases'!L703,"")</f>
        <v/>
      </c>
      <c r="M703" t="str">
        <f>IF($A703&lt;&gt;"",'All Cases - Enter Cases'!M703,"")</f>
        <v/>
      </c>
    </row>
    <row r="704" spans="1:13" x14ac:dyDescent="0.35">
      <c r="A704" t="str">
        <f>IF('All Cases - Enter Cases'!$F704="Balochistan",'All Cases - Enter Cases'!A704,"")</f>
        <v/>
      </c>
      <c r="B704" t="str">
        <f>IF($A704&lt;&gt;"",'All Cases - Enter Cases'!B704,"")</f>
        <v/>
      </c>
      <c r="C704" t="str">
        <f>IF($A704&lt;&gt;"",'All Cases - Enter Cases'!C704,"")</f>
        <v/>
      </c>
      <c r="D704" t="str">
        <f>IF($A704&lt;&gt;"",'All Cases - Enter Cases'!D704,"")</f>
        <v/>
      </c>
      <c r="E704" t="str">
        <f>IF($A704&lt;&gt;"",'All Cases - Enter Cases'!E704,"")</f>
        <v/>
      </c>
      <c r="F704" t="str">
        <f>IF($A704&lt;&gt;"",'All Cases - Enter Cases'!F704,"")</f>
        <v/>
      </c>
      <c r="G704" t="str">
        <f>IF($A704&lt;&gt;"",'All Cases - Enter Cases'!G704,"")</f>
        <v/>
      </c>
      <c r="H704" t="str">
        <f>IF($A704&lt;&gt;"",'All Cases - Enter Cases'!H704,"")</f>
        <v/>
      </c>
      <c r="I704" t="str">
        <f>IF($A704&lt;&gt;"",'All Cases - Enter Cases'!I704,"")</f>
        <v/>
      </c>
      <c r="J704" t="str">
        <f>IF($A704&lt;&gt;"",'All Cases - Enter Cases'!J704,"")</f>
        <v/>
      </c>
      <c r="K704" t="str">
        <f>IF($A704&lt;&gt;"",'All Cases - Enter Cases'!K704,"")</f>
        <v/>
      </c>
      <c r="L704" t="str">
        <f>IF($A704&lt;&gt;"",'All Cases - Enter Cases'!L704,"")</f>
        <v/>
      </c>
      <c r="M704" t="str">
        <f>IF($A704&lt;&gt;"",'All Cases - Enter Cases'!M704,"")</f>
        <v/>
      </c>
    </row>
    <row r="705" spans="1:13" x14ac:dyDescent="0.35">
      <c r="A705" t="str">
        <f>IF('All Cases - Enter Cases'!$F705="Balochistan",'All Cases - Enter Cases'!A705,"")</f>
        <v/>
      </c>
      <c r="B705" t="str">
        <f>IF($A705&lt;&gt;"",'All Cases - Enter Cases'!B705,"")</f>
        <v/>
      </c>
      <c r="C705" t="str">
        <f>IF($A705&lt;&gt;"",'All Cases - Enter Cases'!C705,"")</f>
        <v/>
      </c>
      <c r="D705" t="str">
        <f>IF($A705&lt;&gt;"",'All Cases - Enter Cases'!D705,"")</f>
        <v/>
      </c>
      <c r="E705" t="str">
        <f>IF($A705&lt;&gt;"",'All Cases - Enter Cases'!E705,"")</f>
        <v/>
      </c>
      <c r="F705" t="str">
        <f>IF($A705&lt;&gt;"",'All Cases - Enter Cases'!F705,"")</f>
        <v/>
      </c>
      <c r="G705" t="str">
        <f>IF($A705&lt;&gt;"",'All Cases - Enter Cases'!G705,"")</f>
        <v/>
      </c>
      <c r="H705" t="str">
        <f>IF($A705&lt;&gt;"",'All Cases - Enter Cases'!H705,"")</f>
        <v/>
      </c>
      <c r="I705" t="str">
        <f>IF($A705&lt;&gt;"",'All Cases - Enter Cases'!I705,"")</f>
        <v/>
      </c>
      <c r="J705" t="str">
        <f>IF($A705&lt;&gt;"",'All Cases - Enter Cases'!J705,"")</f>
        <v/>
      </c>
      <c r="K705" t="str">
        <f>IF($A705&lt;&gt;"",'All Cases - Enter Cases'!K705,"")</f>
        <v/>
      </c>
      <c r="L705" t="str">
        <f>IF($A705&lt;&gt;"",'All Cases - Enter Cases'!L705,"")</f>
        <v/>
      </c>
      <c r="M705" t="str">
        <f>IF($A705&lt;&gt;"",'All Cases - Enter Cases'!M705,"")</f>
        <v/>
      </c>
    </row>
    <row r="706" spans="1:13" x14ac:dyDescent="0.35">
      <c r="A706" t="str">
        <f>IF('All Cases - Enter Cases'!$F706="Balochistan",'All Cases - Enter Cases'!A706,"")</f>
        <v/>
      </c>
      <c r="B706" t="str">
        <f>IF($A706&lt;&gt;"",'All Cases - Enter Cases'!B706,"")</f>
        <v/>
      </c>
      <c r="C706" t="str">
        <f>IF($A706&lt;&gt;"",'All Cases - Enter Cases'!C706,"")</f>
        <v/>
      </c>
      <c r="D706" t="str">
        <f>IF($A706&lt;&gt;"",'All Cases - Enter Cases'!D706,"")</f>
        <v/>
      </c>
      <c r="E706" t="str">
        <f>IF($A706&lt;&gt;"",'All Cases - Enter Cases'!E706,"")</f>
        <v/>
      </c>
      <c r="F706" t="str">
        <f>IF($A706&lt;&gt;"",'All Cases - Enter Cases'!F706,"")</f>
        <v/>
      </c>
      <c r="G706" t="str">
        <f>IF($A706&lt;&gt;"",'All Cases - Enter Cases'!G706,"")</f>
        <v/>
      </c>
      <c r="H706" t="str">
        <f>IF($A706&lt;&gt;"",'All Cases - Enter Cases'!H706,"")</f>
        <v/>
      </c>
      <c r="I706" t="str">
        <f>IF($A706&lt;&gt;"",'All Cases - Enter Cases'!I706,"")</f>
        <v/>
      </c>
      <c r="J706" t="str">
        <f>IF($A706&lt;&gt;"",'All Cases - Enter Cases'!J706,"")</f>
        <v/>
      </c>
      <c r="K706" t="str">
        <f>IF($A706&lt;&gt;"",'All Cases - Enter Cases'!K706,"")</f>
        <v/>
      </c>
      <c r="L706" t="str">
        <f>IF($A706&lt;&gt;"",'All Cases - Enter Cases'!L706,"")</f>
        <v/>
      </c>
      <c r="M706" t="str">
        <f>IF($A706&lt;&gt;"",'All Cases - Enter Cases'!M706,"")</f>
        <v/>
      </c>
    </row>
    <row r="707" spans="1:13" x14ac:dyDescent="0.35">
      <c r="A707" t="str">
        <f>IF('All Cases - Enter Cases'!$F707="Balochistan",'All Cases - Enter Cases'!A707,"")</f>
        <v/>
      </c>
      <c r="B707" t="str">
        <f>IF($A707&lt;&gt;"",'All Cases - Enter Cases'!B707,"")</f>
        <v/>
      </c>
      <c r="C707" t="str">
        <f>IF($A707&lt;&gt;"",'All Cases - Enter Cases'!C707,"")</f>
        <v/>
      </c>
      <c r="D707" t="str">
        <f>IF($A707&lt;&gt;"",'All Cases - Enter Cases'!D707,"")</f>
        <v/>
      </c>
      <c r="E707" t="str">
        <f>IF($A707&lt;&gt;"",'All Cases - Enter Cases'!E707,"")</f>
        <v/>
      </c>
      <c r="F707" t="str">
        <f>IF($A707&lt;&gt;"",'All Cases - Enter Cases'!F707,"")</f>
        <v/>
      </c>
      <c r="G707" t="str">
        <f>IF($A707&lt;&gt;"",'All Cases - Enter Cases'!G707,"")</f>
        <v/>
      </c>
      <c r="H707" t="str">
        <f>IF($A707&lt;&gt;"",'All Cases - Enter Cases'!H707,"")</f>
        <v/>
      </c>
      <c r="I707" t="str">
        <f>IF($A707&lt;&gt;"",'All Cases - Enter Cases'!I707,"")</f>
        <v/>
      </c>
      <c r="J707" t="str">
        <f>IF($A707&lt;&gt;"",'All Cases - Enter Cases'!J707,"")</f>
        <v/>
      </c>
      <c r="K707" t="str">
        <f>IF($A707&lt;&gt;"",'All Cases - Enter Cases'!K707,"")</f>
        <v/>
      </c>
      <c r="L707" t="str">
        <f>IF($A707&lt;&gt;"",'All Cases - Enter Cases'!L707,"")</f>
        <v/>
      </c>
      <c r="M707" t="str">
        <f>IF($A707&lt;&gt;"",'All Cases - Enter Cases'!M707,"")</f>
        <v/>
      </c>
    </row>
    <row r="708" spans="1:13" x14ac:dyDescent="0.35">
      <c r="A708" t="str">
        <f>IF('All Cases - Enter Cases'!$F708="Balochistan",'All Cases - Enter Cases'!A708,"")</f>
        <v/>
      </c>
      <c r="B708" t="str">
        <f>IF($A708&lt;&gt;"",'All Cases - Enter Cases'!B708,"")</f>
        <v/>
      </c>
      <c r="C708" t="str">
        <f>IF($A708&lt;&gt;"",'All Cases - Enter Cases'!C708,"")</f>
        <v/>
      </c>
      <c r="D708" t="str">
        <f>IF($A708&lt;&gt;"",'All Cases - Enter Cases'!D708,"")</f>
        <v/>
      </c>
      <c r="E708" t="str">
        <f>IF($A708&lt;&gt;"",'All Cases - Enter Cases'!E708,"")</f>
        <v/>
      </c>
      <c r="F708" t="str">
        <f>IF($A708&lt;&gt;"",'All Cases - Enter Cases'!F708,"")</f>
        <v/>
      </c>
      <c r="G708" t="str">
        <f>IF($A708&lt;&gt;"",'All Cases - Enter Cases'!G708,"")</f>
        <v/>
      </c>
      <c r="H708" t="str">
        <f>IF($A708&lt;&gt;"",'All Cases - Enter Cases'!H708,"")</f>
        <v/>
      </c>
      <c r="I708" t="str">
        <f>IF($A708&lt;&gt;"",'All Cases - Enter Cases'!I708,"")</f>
        <v/>
      </c>
      <c r="J708" t="str">
        <f>IF($A708&lt;&gt;"",'All Cases - Enter Cases'!J708,"")</f>
        <v/>
      </c>
      <c r="K708" t="str">
        <f>IF($A708&lt;&gt;"",'All Cases - Enter Cases'!K708,"")</f>
        <v/>
      </c>
      <c r="L708" t="str">
        <f>IF($A708&lt;&gt;"",'All Cases - Enter Cases'!L708,"")</f>
        <v/>
      </c>
      <c r="M708" t="str">
        <f>IF($A708&lt;&gt;"",'All Cases - Enter Cases'!M708,"")</f>
        <v/>
      </c>
    </row>
    <row r="709" spans="1:13" x14ac:dyDescent="0.35">
      <c r="A709" t="str">
        <f>IF('All Cases - Enter Cases'!$F709="Balochistan",'All Cases - Enter Cases'!A709,"")</f>
        <v/>
      </c>
      <c r="B709" t="str">
        <f>IF($A709&lt;&gt;"",'All Cases - Enter Cases'!B709,"")</f>
        <v/>
      </c>
      <c r="C709" t="str">
        <f>IF($A709&lt;&gt;"",'All Cases - Enter Cases'!C709,"")</f>
        <v/>
      </c>
      <c r="D709" t="str">
        <f>IF($A709&lt;&gt;"",'All Cases - Enter Cases'!D709,"")</f>
        <v/>
      </c>
      <c r="E709" t="str">
        <f>IF($A709&lt;&gt;"",'All Cases - Enter Cases'!E709,"")</f>
        <v/>
      </c>
      <c r="F709" t="str">
        <f>IF($A709&lt;&gt;"",'All Cases - Enter Cases'!F709,"")</f>
        <v/>
      </c>
      <c r="G709" t="str">
        <f>IF($A709&lt;&gt;"",'All Cases - Enter Cases'!G709,"")</f>
        <v/>
      </c>
      <c r="H709" t="str">
        <f>IF($A709&lt;&gt;"",'All Cases - Enter Cases'!H709,"")</f>
        <v/>
      </c>
      <c r="I709" t="str">
        <f>IF($A709&lt;&gt;"",'All Cases - Enter Cases'!I709,"")</f>
        <v/>
      </c>
      <c r="J709" t="str">
        <f>IF($A709&lt;&gt;"",'All Cases - Enter Cases'!J709,"")</f>
        <v/>
      </c>
      <c r="K709" t="str">
        <f>IF($A709&lt;&gt;"",'All Cases - Enter Cases'!K709,"")</f>
        <v/>
      </c>
      <c r="L709" t="str">
        <f>IF($A709&lt;&gt;"",'All Cases - Enter Cases'!L709,"")</f>
        <v/>
      </c>
      <c r="M709" t="str">
        <f>IF($A709&lt;&gt;"",'All Cases - Enter Cases'!M709,"")</f>
        <v/>
      </c>
    </row>
    <row r="710" spans="1:13" x14ac:dyDescent="0.35">
      <c r="A710" t="str">
        <f>IF('All Cases - Enter Cases'!$F710="Balochistan",'All Cases - Enter Cases'!A710,"")</f>
        <v/>
      </c>
      <c r="B710" t="str">
        <f>IF($A710&lt;&gt;"",'All Cases - Enter Cases'!B710,"")</f>
        <v/>
      </c>
      <c r="C710" t="str">
        <f>IF($A710&lt;&gt;"",'All Cases - Enter Cases'!C710,"")</f>
        <v/>
      </c>
      <c r="D710" t="str">
        <f>IF($A710&lt;&gt;"",'All Cases - Enter Cases'!D710,"")</f>
        <v/>
      </c>
      <c r="E710" t="str">
        <f>IF($A710&lt;&gt;"",'All Cases - Enter Cases'!E710,"")</f>
        <v/>
      </c>
      <c r="F710" t="str">
        <f>IF($A710&lt;&gt;"",'All Cases - Enter Cases'!F710,"")</f>
        <v/>
      </c>
      <c r="G710" t="str">
        <f>IF($A710&lt;&gt;"",'All Cases - Enter Cases'!G710,"")</f>
        <v/>
      </c>
      <c r="H710" t="str">
        <f>IF($A710&lt;&gt;"",'All Cases - Enter Cases'!H710,"")</f>
        <v/>
      </c>
      <c r="I710" t="str">
        <f>IF($A710&lt;&gt;"",'All Cases - Enter Cases'!I710,"")</f>
        <v/>
      </c>
      <c r="J710" t="str">
        <f>IF($A710&lt;&gt;"",'All Cases - Enter Cases'!J710,"")</f>
        <v/>
      </c>
      <c r="K710" t="str">
        <f>IF($A710&lt;&gt;"",'All Cases - Enter Cases'!K710,"")</f>
        <v/>
      </c>
      <c r="L710" t="str">
        <f>IF($A710&lt;&gt;"",'All Cases - Enter Cases'!L710,"")</f>
        <v/>
      </c>
      <c r="M710" t="str">
        <f>IF($A710&lt;&gt;"",'All Cases - Enter Cases'!M710,"")</f>
        <v/>
      </c>
    </row>
    <row r="711" spans="1:13" x14ac:dyDescent="0.35">
      <c r="A711" t="str">
        <f>IF('All Cases - Enter Cases'!$F711="Balochistan",'All Cases - Enter Cases'!A711,"")</f>
        <v/>
      </c>
      <c r="B711" t="str">
        <f>IF($A711&lt;&gt;"",'All Cases - Enter Cases'!B711,"")</f>
        <v/>
      </c>
      <c r="C711" t="str">
        <f>IF($A711&lt;&gt;"",'All Cases - Enter Cases'!C711,"")</f>
        <v/>
      </c>
      <c r="D711" t="str">
        <f>IF($A711&lt;&gt;"",'All Cases - Enter Cases'!D711,"")</f>
        <v/>
      </c>
      <c r="E711" t="str">
        <f>IF($A711&lt;&gt;"",'All Cases - Enter Cases'!E711,"")</f>
        <v/>
      </c>
      <c r="F711" t="str">
        <f>IF($A711&lt;&gt;"",'All Cases - Enter Cases'!F711,"")</f>
        <v/>
      </c>
      <c r="G711" t="str">
        <f>IF($A711&lt;&gt;"",'All Cases - Enter Cases'!G711,"")</f>
        <v/>
      </c>
      <c r="H711" t="str">
        <f>IF($A711&lt;&gt;"",'All Cases - Enter Cases'!H711,"")</f>
        <v/>
      </c>
      <c r="I711" t="str">
        <f>IF($A711&lt;&gt;"",'All Cases - Enter Cases'!I711,"")</f>
        <v/>
      </c>
      <c r="J711" t="str">
        <f>IF($A711&lt;&gt;"",'All Cases - Enter Cases'!J711,"")</f>
        <v/>
      </c>
      <c r="K711" t="str">
        <f>IF($A711&lt;&gt;"",'All Cases - Enter Cases'!K711,"")</f>
        <v/>
      </c>
      <c r="L711" t="str">
        <f>IF($A711&lt;&gt;"",'All Cases - Enter Cases'!L711,"")</f>
        <v/>
      </c>
      <c r="M711" t="str">
        <f>IF($A711&lt;&gt;"",'All Cases - Enter Cases'!M711,"")</f>
        <v/>
      </c>
    </row>
    <row r="712" spans="1:13" x14ac:dyDescent="0.35">
      <c r="A712" t="str">
        <f>IF('All Cases - Enter Cases'!$F712="Balochistan",'All Cases - Enter Cases'!A712,"")</f>
        <v/>
      </c>
      <c r="B712" t="str">
        <f>IF($A712&lt;&gt;"",'All Cases - Enter Cases'!B712,"")</f>
        <v/>
      </c>
      <c r="C712" t="str">
        <f>IF($A712&lt;&gt;"",'All Cases - Enter Cases'!C712,"")</f>
        <v/>
      </c>
      <c r="D712" t="str">
        <f>IF($A712&lt;&gt;"",'All Cases - Enter Cases'!D712,"")</f>
        <v/>
      </c>
      <c r="E712" t="str">
        <f>IF($A712&lt;&gt;"",'All Cases - Enter Cases'!E712,"")</f>
        <v/>
      </c>
      <c r="F712" t="str">
        <f>IF($A712&lt;&gt;"",'All Cases - Enter Cases'!F712,"")</f>
        <v/>
      </c>
      <c r="G712" t="str">
        <f>IF($A712&lt;&gt;"",'All Cases - Enter Cases'!G712,"")</f>
        <v/>
      </c>
      <c r="H712" t="str">
        <f>IF($A712&lt;&gt;"",'All Cases - Enter Cases'!H712,"")</f>
        <v/>
      </c>
      <c r="I712" t="str">
        <f>IF($A712&lt;&gt;"",'All Cases - Enter Cases'!I712,"")</f>
        <v/>
      </c>
      <c r="J712" t="str">
        <f>IF($A712&lt;&gt;"",'All Cases - Enter Cases'!J712,"")</f>
        <v/>
      </c>
      <c r="K712" t="str">
        <f>IF($A712&lt;&gt;"",'All Cases - Enter Cases'!K712,"")</f>
        <v/>
      </c>
      <c r="L712" t="str">
        <f>IF($A712&lt;&gt;"",'All Cases - Enter Cases'!L712,"")</f>
        <v/>
      </c>
      <c r="M712" t="str">
        <f>IF($A712&lt;&gt;"",'All Cases - Enter Cases'!M712,"")</f>
        <v/>
      </c>
    </row>
    <row r="713" spans="1:13" x14ac:dyDescent="0.35">
      <c r="A713" t="str">
        <f>IF('All Cases - Enter Cases'!$F713="Balochistan",'All Cases - Enter Cases'!A713,"")</f>
        <v/>
      </c>
      <c r="B713" t="str">
        <f>IF($A713&lt;&gt;"",'All Cases - Enter Cases'!B713,"")</f>
        <v/>
      </c>
      <c r="C713" t="str">
        <f>IF($A713&lt;&gt;"",'All Cases - Enter Cases'!C713,"")</f>
        <v/>
      </c>
      <c r="D713" t="str">
        <f>IF($A713&lt;&gt;"",'All Cases - Enter Cases'!D713,"")</f>
        <v/>
      </c>
      <c r="E713" t="str">
        <f>IF($A713&lt;&gt;"",'All Cases - Enter Cases'!E713,"")</f>
        <v/>
      </c>
      <c r="F713" t="str">
        <f>IF($A713&lt;&gt;"",'All Cases - Enter Cases'!F713,"")</f>
        <v/>
      </c>
      <c r="G713" t="str">
        <f>IF($A713&lt;&gt;"",'All Cases - Enter Cases'!G713,"")</f>
        <v/>
      </c>
      <c r="H713" t="str">
        <f>IF($A713&lt;&gt;"",'All Cases - Enter Cases'!H713,"")</f>
        <v/>
      </c>
      <c r="I713" t="str">
        <f>IF($A713&lt;&gt;"",'All Cases - Enter Cases'!I713,"")</f>
        <v/>
      </c>
      <c r="J713" t="str">
        <f>IF($A713&lt;&gt;"",'All Cases - Enter Cases'!J713,"")</f>
        <v/>
      </c>
      <c r="K713" t="str">
        <f>IF($A713&lt;&gt;"",'All Cases - Enter Cases'!K713,"")</f>
        <v/>
      </c>
      <c r="L713" t="str">
        <f>IF($A713&lt;&gt;"",'All Cases - Enter Cases'!L713,"")</f>
        <v/>
      </c>
      <c r="M713" t="str">
        <f>IF($A713&lt;&gt;"",'All Cases - Enter Cases'!M713,"")</f>
        <v/>
      </c>
    </row>
    <row r="714" spans="1:13" x14ac:dyDescent="0.35">
      <c r="A714" t="str">
        <f>IF('All Cases - Enter Cases'!$F714="Balochistan",'All Cases - Enter Cases'!A714,"")</f>
        <v/>
      </c>
      <c r="B714" t="str">
        <f>IF($A714&lt;&gt;"",'All Cases - Enter Cases'!B714,"")</f>
        <v/>
      </c>
      <c r="C714" t="str">
        <f>IF($A714&lt;&gt;"",'All Cases - Enter Cases'!C714,"")</f>
        <v/>
      </c>
      <c r="D714" t="str">
        <f>IF($A714&lt;&gt;"",'All Cases - Enter Cases'!D714,"")</f>
        <v/>
      </c>
      <c r="E714" t="str">
        <f>IF($A714&lt;&gt;"",'All Cases - Enter Cases'!E714,"")</f>
        <v/>
      </c>
      <c r="F714" t="str">
        <f>IF($A714&lt;&gt;"",'All Cases - Enter Cases'!F714,"")</f>
        <v/>
      </c>
      <c r="G714" t="str">
        <f>IF($A714&lt;&gt;"",'All Cases - Enter Cases'!G714,"")</f>
        <v/>
      </c>
      <c r="H714" t="str">
        <f>IF($A714&lt;&gt;"",'All Cases - Enter Cases'!H714,"")</f>
        <v/>
      </c>
      <c r="I714" t="str">
        <f>IF($A714&lt;&gt;"",'All Cases - Enter Cases'!I714,"")</f>
        <v/>
      </c>
      <c r="J714" t="str">
        <f>IF($A714&lt;&gt;"",'All Cases - Enter Cases'!J714,"")</f>
        <v/>
      </c>
      <c r="K714" t="str">
        <f>IF($A714&lt;&gt;"",'All Cases - Enter Cases'!K714,"")</f>
        <v/>
      </c>
      <c r="L714" t="str">
        <f>IF($A714&lt;&gt;"",'All Cases - Enter Cases'!L714,"")</f>
        <v/>
      </c>
      <c r="M714" t="str">
        <f>IF($A714&lt;&gt;"",'All Cases - Enter Cases'!M714,"")</f>
        <v/>
      </c>
    </row>
    <row r="715" spans="1:13" x14ac:dyDescent="0.35">
      <c r="A715" t="str">
        <f>IF('All Cases - Enter Cases'!$F715="Balochistan",'All Cases - Enter Cases'!A715,"")</f>
        <v/>
      </c>
      <c r="B715" t="str">
        <f>IF($A715&lt;&gt;"",'All Cases - Enter Cases'!B715,"")</f>
        <v/>
      </c>
      <c r="C715" t="str">
        <f>IF($A715&lt;&gt;"",'All Cases - Enter Cases'!C715,"")</f>
        <v/>
      </c>
      <c r="D715" t="str">
        <f>IF($A715&lt;&gt;"",'All Cases - Enter Cases'!D715,"")</f>
        <v/>
      </c>
      <c r="E715" t="str">
        <f>IF($A715&lt;&gt;"",'All Cases - Enter Cases'!E715,"")</f>
        <v/>
      </c>
      <c r="F715" t="str">
        <f>IF($A715&lt;&gt;"",'All Cases - Enter Cases'!F715,"")</f>
        <v/>
      </c>
      <c r="G715" t="str">
        <f>IF($A715&lt;&gt;"",'All Cases - Enter Cases'!G715,"")</f>
        <v/>
      </c>
      <c r="H715" t="str">
        <f>IF($A715&lt;&gt;"",'All Cases - Enter Cases'!H715,"")</f>
        <v/>
      </c>
      <c r="I715" t="str">
        <f>IF($A715&lt;&gt;"",'All Cases - Enter Cases'!I715,"")</f>
        <v/>
      </c>
      <c r="J715" t="str">
        <f>IF($A715&lt;&gt;"",'All Cases - Enter Cases'!J715,"")</f>
        <v/>
      </c>
      <c r="K715" t="str">
        <f>IF($A715&lt;&gt;"",'All Cases - Enter Cases'!K715,"")</f>
        <v/>
      </c>
      <c r="L715" t="str">
        <f>IF($A715&lt;&gt;"",'All Cases - Enter Cases'!L715,"")</f>
        <v/>
      </c>
      <c r="M715" t="str">
        <f>IF($A715&lt;&gt;"",'All Cases - Enter Cases'!M715,"")</f>
        <v/>
      </c>
    </row>
    <row r="716" spans="1:13" x14ac:dyDescent="0.35">
      <c r="A716" t="str">
        <f>IF('All Cases - Enter Cases'!$F716="Balochistan",'All Cases - Enter Cases'!A716,"")</f>
        <v/>
      </c>
      <c r="B716" t="str">
        <f>IF($A716&lt;&gt;"",'All Cases - Enter Cases'!B716,"")</f>
        <v/>
      </c>
      <c r="C716" t="str">
        <f>IF($A716&lt;&gt;"",'All Cases - Enter Cases'!C716,"")</f>
        <v/>
      </c>
      <c r="D716" t="str">
        <f>IF($A716&lt;&gt;"",'All Cases - Enter Cases'!D716,"")</f>
        <v/>
      </c>
      <c r="E716" t="str">
        <f>IF($A716&lt;&gt;"",'All Cases - Enter Cases'!E716,"")</f>
        <v/>
      </c>
      <c r="F716" t="str">
        <f>IF($A716&lt;&gt;"",'All Cases - Enter Cases'!F716,"")</f>
        <v/>
      </c>
      <c r="G716" t="str">
        <f>IF($A716&lt;&gt;"",'All Cases - Enter Cases'!G716,"")</f>
        <v/>
      </c>
      <c r="H716" t="str">
        <f>IF($A716&lt;&gt;"",'All Cases - Enter Cases'!H716,"")</f>
        <v/>
      </c>
      <c r="I716" t="str">
        <f>IF($A716&lt;&gt;"",'All Cases - Enter Cases'!I716,"")</f>
        <v/>
      </c>
      <c r="J716" t="str">
        <f>IF($A716&lt;&gt;"",'All Cases - Enter Cases'!J716,"")</f>
        <v/>
      </c>
      <c r="K716" t="str">
        <f>IF($A716&lt;&gt;"",'All Cases - Enter Cases'!K716,"")</f>
        <v/>
      </c>
      <c r="L716" t="str">
        <f>IF($A716&lt;&gt;"",'All Cases - Enter Cases'!L716,"")</f>
        <v/>
      </c>
      <c r="M716" t="str">
        <f>IF($A716&lt;&gt;"",'All Cases - Enter Cases'!M716,"")</f>
        <v/>
      </c>
    </row>
    <row r="717" spans="1:13" x14ac:dyDescent="0.35">
      <c r="A717" t="str">
        <f>IF('All Cases - Enter Cases'!$F717="Balochistan",'All Cases - Enter Cases'!A717,"")</f>
        <v/>
      </c>
      <c r="B717" t="str">
        <f>IF($A717&lt;&gt;"",'All Cases - Enter Cases'!B717,"")</f>
        <v/>
      </c>
      <c r="C717" t="str">
        <f>IF($A717&lt;&gt;"",'All Cases - Enter Cases'!C717,"")</f>
        <v/>
      </c>
      <c r="D717" t="str">
        <f>IF($A717&lt;&gt;"",'All Cases - Enter Cases'!D717,"")</f>
        <v/>
      </c>
      <c r="E717" t="str">
        <f>IF($A717&lt;&gt;"",'All Cases - Enter Cases'!E717,"")</f>
        <v/>
      </c>
      <c r="F717" t="str">
        <f>IF($A717&lt;&gt;"",'All Cases - Enter Cases'!F717,"")</f>
        <v/>
      </c>
      <c r="G717" t="str">
        <f>IF($A717&lt;&gt;"",'All Cases - Enter Cases'!G717,"")</f>
        <v/>
      </c>
      <c r="H717" t="str">
        <f>IF($A717&lt;&gt;"",'All Cases - Enter Cases'!H717,"")</f>
        <v/>
      </c>
      <c r="I717" t="str">
        <f>IF($A717&lt;&gt;"",'All Cases - Enter Cases'!I717,"")</f>
        <v/>
      </c>
      <c r="J717" t="str">
        <f>IF($A717&lt;&gt;"",'All Cases - Enter Cases'!J717,"")</f>
        <v/>
      </c>
      <c r="K717" t="str">
        <f>IF($A717&lt;&gt;"",'All Cases - Enter Cases'!K717,"")</f>
        <v/>
      </c>
      <c r="L717" t="str">
        <f>IF($A717&lt;&gt;"",'All Cases - Enter Cases'!L717,"")</f>
        <v/>
      </c>
      <c r="M717" t="str">
        <f>IF($A717&lt;&gt;"",'All Cases - Enter Cases'!M717,"")</f>
        <v/>
      </c>
    </row>
    <row r="718" spans="1:13" x14ac:dyDescent="0.35">
      <c r="A718" t="str">
        <f>IF('All Cases - Enter Cases'!$F718="Balochistan",'All Cases - Enter Cases'!A718,"")</f>
        <v/>
      </c>
      <c r="B718" t="str">
        <f>IF($A718&lt;&gt;"",'All Cases - Enter Cases'!B718,"")</f>
        <v/>
      </c>
      <c r="C718" t="str">
        <f>IF($A718&lt;&gt;"",'All Cases - Enter Cases'!C718,"")</f>
        <v/>
      </c>
      <c r="D718" t="str">
        <f>IF($A718&lt;&gt;"",'All Cases - Enter Cases'!D718,"")</f>
        <v/>
      </c>
      <c r="E718" t="str">
        <f>IF($A718&lt;&gt;"",'All Cases - Enter Cases'!E718,"")</f>
        <v/>
      </c>
      <c r="F718" t="str">
        <f>IF($A718&lt;&gt;"",'All Cases - Enter Cases'!F718,"")</f>
        <v/>
      </c>
      <c r="G718" t="str">
        <f>IF($A718&lt;&gt;"",'All Cases - Enter Cases'!G718,"")</f>
        <v/>
      </c>
      <c r="H718" t="str">
        <f>IF($A718&lt;&gt;"",'All Cases - Enter Cases'!H718,"")</f>
        <v/>
      </c>
      <c r="I718" t="str">
        <f>IF($A718&lt;&gt;"",'All Cases - Enter Cases'!I718,"")</f>
        <v/>
      </c>
      <c r="J718" t="str">
        <f>IF($A718&lt;&gt;"",'All Cases - Enter Cases'!J718,"")</f>
        <v/>
      </c>
      <c r="K718" t="str">
        <f>IF($A718&lt;&gt;"",'All Cases - Enter Cases'!K718,"")</f>
        <v/>
      </c>
      <c r="L718" t="str">
        <f>IF($A718&lt;&gt;"",'All Cases - Enter Cases'!L718,"")</f>
        <v/>
      </c>
      <c r="M718" t="str">
        <f>IF($A718&lt;&gt;"",'All Cases - Enter Cases'!M718,"")</f>
        <v/>
      </c>
    </row>
    <row r="719" spans="1:13" x14ac:dyDescent="0.35">
      <c r="A719" t="str">
        <f>IF('All Cases - Enter Cases'!$F719="Balochistan",'All Cases - Enter Cases'!A719,"")</f>
        <v/>
      </c>
      <c r="B719" t="str">
        <f>IF($A719&lt;&gt;"",'All Cases - Enter Cases'!B719,"")</f>
        <v/>
      </c>
      <c r="C719" t="str">
        <f>IF($A719&lt;&gt;"",'All Cases - Enter Cases'!C719,"")</f>
        <v/>
      </c>
      <c r="D719" t="str">
        <f>IF($A719&lt;&gt;"",'All Cases - Enter Cases'!D719,"")</f>
        <v/>
      </c>
      <c r="E719" t="str">
        <f>IF($A719&lt;&gt;"",'All Cases - Enter Cases'!E719,"")</f>
        <v/>
      </c>
      <c r="F719" t="str">
        <f>IF($A719&lt;&gt;"",'All Cases - Enter Cases'!F719,"")</f>
        <v/>
      </c>
      <c r="G719" t="str">
        <f>IF($A719&lt;&gt;"",'All Cases - Enter Cases'!G719,"")</f>
        <v/>
      </c>
      <c r="H719" t="str">
        <f>IF($A719&lt;&gt;"",'All Cases - Enter Cases'!H719,"")</f>
        <v/>
      </c>
      <c r="I719" t="str">
        <f>IF($A719&lt;&gt;"",'All Cases - Enter Cases'!I719,"")</f>
        <v/>
      </c>
      <c r="J719" t="str">
        <f>IF($A719&lt;&gt;"",'All Cases - Enter Cases'!J719,"")</f>
        <v/>
      </c>
      <c r="K719" t="str">
        <f>IF($A719&lt;&gt;"",'All Cases - Enter Cases'!K719,"")</f>
        <v/>
      </c>
      <c r="L719" t="str">
        <f>IF($A719&lt;&gt;"",'All Cases - Enter Cases'!L719,"")</f>
        <v/>
      </c>
      <c r="M719" t="str">
        <f>IF($A719&lt;&gt;"",'All Cases - Enter Cases'!M719,"")</f>
        <v/>
      </c>
    </row>
    <row r="720" spans="1:13" x14ac:dyDescent="0.35">
      <c r="A720" t="str">
        <f>IF('All Cases - Enter Cases'!$F720="Balochistan",'All Cases - Enter Cases'!A720,"")</f>
        <v/>
      </c>
      <c r="B720" t="str">
        <f>IF($A720&lt;&gt;"",'All Cases - Enter Cases'!B720,"")</f>
        <v/>
      </c>
      <c r="C720" t="str">
        <f>IF($A720&lt;&gt;"",'All Cases - Enter Cases'!C720,"")</f>
        <v/>
      </c>
      <c r="D720" t="str">
        <f>IF($A720&lt;&gt;"",'All Cases - Enter Cases'!D720,"")</f>
        <v/>
      </c>
      <c r="E720" t="str">
        <f>IF($A720&lt;&gt;"",'All Cases - Enter Cases'!E720,"")</f>
        <v/>
      </c>
      <c r="F720" t="str">
        <f>IF($A720&lt;&gt;"",'All Cases - Enter Cases'!F720,"")</f>
        <v/>
      </c>
      <c r="G720" t="str">
        <f>IF($A720&lt;&gt;"",'All Cases - Enter Cases'!G720,"")</f>
        <v/>
      </c>
      <c r="H720" t="str">
        <f>IF($A720&lt;&gt;"",'All Cases - Enter Cases'!H720,"")</f>
        <v/>
      </c>
      <c r="I720" t="str">
        <f>IF($A720&lt;&gt;"",'All Cases - Enter Cases'!I720,"")</f>
        <v/>
      </c>
      <c r="J720" t="str">
        <f>IF($A720&lt;&gt;"",'All Cases - Enter Cases'!J720,"")</f>
        <v/>
      </c>
      <c r="K720" t="str">
        <f>IF($A720&lt;&gt;"",'All Cases - Enter Cases'!K720,"")</f>
        <v/>
      </c>
      <c r="L720" t="str">
        <f>IF($A720&lt;&gt;"",'All Cases - Enter Cases'!L720,"")</f>
        <v/>
      </c>
      <c r="M720" t="str">
        <f>IF($A720&lt;&gt;"",'All Cases - Enter Cases'!M720,"")</f>
        <v/>
      </c>
    </row>
    <row r="721" spans="1:13" x14ac:dyDescent="0.35">
      <c r="A721" t="str">
        <f>IF('All Cases - Enter Cases'!$F721="Balochistan",'All Cases - Enter Cases'!A721,"")</f>
        <v/>
      </c>
      <c r="B721" t="str">
        <f>IF($A721&lt;&gt;"",'All Cases - Enter Cases'!B721,"")</f>
        <v/>
      </c>
      <c r="C721" t="str">
        <f>IF($A721&lt;&gt;"",'All Cases - Enter Cases'!C721,"")</f>
        <v/>
      </c>
      <c r="D721" t="str">
        <f>IF($A721&lt;&gt;"",'All Cases - Enter Cases'!D721,"")</f>
        <v/>
      </c>
      <c r="E721" t="str">
        <f>IF($A721&lt;&gt;"",'All Cases - Enter Cases'!E721,"")</f>
        <v/>
      </c>
      <c r="F721" t="str">
        <f>IF($A721&lt;&gt;"",'All Cases - Enter Cases'!F721,"")</f>
        <v/>
      </c>
      <c r="G721" t="str">
        <f>IF($A721&lt;&gt;"",'All Cases - Enter Cases'!G721,"")</f>
        <v/>
      </c>
      <c r="H721" t="str">
        <f>IF($A721&lt;&gt;"",'All Cases - Enter Cases'!H721,"")</f>
        <v/>
      </c>
      <c r="I721" t="str">
        <f>IF($A721&lt;&gt;"",'All Cases - Enter Cases'!I721,"")</f>
        <v/>
      </c>
      <c r="J721" t="str">
        <f>IF($A721&lt;&gt;"",'All Cases - Enter Cases'!J721,"")</f>
        <v/>
      </c>
      <c r="K721" t="str">
        <f>IF($A721&lt;&gt;"",'All Cases - Enter Cases'!K721,"")</f>
        <v/>
      </c>
      <c r="L721" t="str">
        <f>IF($A721&lt;&gt;"",'All Cases - Enter Cases'!L721,"")</f>
        <v/>
      </c>
      <c r="M721" t="str">
        <f>IF($A721&lt;&gt;"",'All Cases - Enter Cases'!M721,"")</f>
        <v/>
      </c>
    </row>
    <row r="722" spans="1:13" x14ac:dyDescent="0.35">
      <c r="A722" t="str">
        <f>IF('All Cases - Enter Cases'!$F722="Balochistan",'All Cases - Enter Cases'!A722,"")</f>
        <v/>
      </c>
      <c r="B722" t="str">
        <f>IF($A722&lt;&gt;"",'All Cases - Enter Cases'!B722,"")</f>
        <v/>
      </c>
      <c r="C722" t="str">
        <f>IF($A722&lt;&gt;"",'All Cases - Enter Cases'!C722,"")</f>
        <v/>
      </c>
      <c r="D722" t="str">
        <f>IF($A722&lt;&gt;"",'All Cases - Enter Cases'!D722,"")</f>
        <v/>
      </c>
      <c r="E722" t="str">
        <f>IF($A722&lt;&gt;"",'All Cases - Enter Cases'!E722,"")</f>
        <v/>
      </c>
      <c r="F722" t="str">
        <f>IF($A722&lt;&gt;"",'All Cases - Enter Cases'!F722,"")</f>
        <v/>
      </c>
      <c r="G722" t="str">
        <f>IF($A722&lt;&gt;"",'All Cases - Enter Cases'!G722,"")</f>
        <v/>
      </c>
      <c r="H722" t="str">
        <f>IF($A722&lt;&gt;"",'All Cases - Enter Cases'!H722,"")</f>
        <v/>
      </c>
      <c r="I722" t="str">
        <f>IF($A722&lt;&gt;"",'All Cases - Enter Cases'!I722,"")</f>
        <v/>
      </c>
      <c r="J722" t="str">
        <f>IF($A722&lt;&gt;"",'All Cases - Enter Cases'!J722,"")</f>
        <v/>
      </c>
      <c r="K722" t="str">
        <f>IF($A722&lt;&gt;"",'All Cases - Enter Cases'!K722,"")</f>
        <v/>
      </c>
      <c r="L722" t="str">
        <f>IF($A722&lt;&gt;"",'All Cases - Enter Cases'!L722,"")</f>
        <v/>
      </c>
      <c r="M722" t="str">
        <f>IF($A722&lt;&gt;"",'All Cases - Enter Cases'!M722,"")</f>
        <v/>
      </c>
    </row>
    <row r="723" spans="1:13" x14ac:dyDescent="0.35">
      <c r="A723" t="str">
        <f>IF('All Cases - Enter Cases'!$F723="Balochistan",'All Cases - Enter Cases'!A723,"")</f>
        <v/>
      </c>
      <c r="B723" t="str">
        <f>IF($A723&lt;&gt;"",'All Cases - Enter Cases'!B723,"")</f>
        <v/>
      </c>
      <c r="C723" t="str">
        <f>IF($A723&lt;&gt;"",'All Cases - Enter Cases'!C723,"")</f>
        <v/>
      </c>
      <c r="D723" t="str">
        <f>IF($A723&lt;&gt;"",'All Cases - Enter Cases'!D723,"")</f>
        <v/>
      </c>
      <c r="E723" t="str">
        <f>IF($A723&lt;&gt;"",'All Cases - Enter Cases'!E723,"")</f>
        <v/>
      </c>
      <c r="F723" t="str">
        <f>IF($A723&lt;&gt;"",'All Cases - Enter Cases'!F723,"")</f>
        <v/>
      </c>
      <c r="G723" t="str">
        <f>IF($A723&lt;&gt;"",'All Cases - Enter Cases'!G723,"")</f>
        <v/>
      </c>
      <c r="H723" t="str">
        <f>IF($A723&lt;&gt;"",'All Cases - Enter Cases'!H723,"")</f>
        <v/>
      </c>
      <c r="I723" t="str">
        <f>IF($A723&lt;&gt;"",'All Cases - Enter Cases'!I723,"")</f>
        <v/>
      </c>
      <c r="J723" t="str">
        <f>IF($A723&lt;&gt;"",'All Cases - Enter Cases'!J723,"")</f>
        <v/>
      </c>
      <c r="K723" t="str">
        <f>IF($A723&lt;&gt;"",'All Cases - Enter Cases'!K723,"")</f>
        <v/>
      </c>
      <c r="L723" t="str">
        <f>IF($A723&lt;&gt;"",'All Cases - Enter Cases'!L723,"")</f>
        <v/>
      </c>
      <c r="M723" t="str">
        <f>IF($A723&lt;&gt;"",'All Cases - Enter Cases'!M723,"")</f>
        <v/>
      </c>
    </row>
    <row r="724" spans="1:13" x14ac:dyDescent="0.35">
      <c r="A724" t="str">
        <f>IF('All Cases - Enter Cases'!$F724="Balochistan",'All Cases - Enter Cases'!A724,"")</f>
        <v/>
      </c>
      <c r="B724" t="str">
        <f>IF($A724&lt;&gt;"",'All Cases - Enter Cases'!B724,"")</f>
        <v/>
      </c>
      <c r="C724" t="str">
        <f>IF($A724&lt;&gt;"",'All Cases - Enter Cases'!C724,"")</f>
        <v/>
      </c>
      <c r="D724" t="str">
        <f>IF($A724&lt;&gt;"",'All Cases - Enter Cases'!D724,"")</f>
        <v/>
      </c>
      <c r="E724" t="str">
        <f>IF($A724&lt;&gt;"",'All Cases - Enter Cases'!E724,"")</f>
        <v/>
      </c>
      <c r="F724" t="str">
        <f>IF($A724&lt;&gt;"",'All Cases - Enter Cases'!F724,"")</f>
        <v/>
      </c>
      <c r="G724" t="str">
        <f>IF($A724&lt;&gt;"",'All Cases - Enter Cases'!G724,"")</f>
        <v/>
      </c>
      <c r="H724" t="str">
        <f>IF($A724&lt;&gt;"",'All Cases - Enter Cases'!H724,"")</f>
        <v/>
      </c>
      <c r="I724" t="str">
        <f>IF($A724&lt;&gt;"",'All Cases - Enter Cases'!I724,"")</f>
        <v/>
      </c>
      <c r="J724" t="str">
        <f>IF($A724&lt;&gt;"",'All Cases - Enter Cases'!J724,"")</f>
        <v/>
      </c>
      <c r="K724" t="str">
        <f>IF($A724&lt;&gt;"",'All Cases - Enter Cases'!K724,"")</f>
        <v/>
      </c>
      <c r="L724" t="str">
        <f>IF($A724&lt;&gt;"",'All Cases - Enter Cases'!L724,"")</f>
        <v/>
      </c>
      <c r="M724" t="str">
        <f>IF($A724&lt;&gt;"",'All Cases - Enter Cases'!M724,"")</f>
        <v/>
      </c>
    </row>
    <row r="725" spans="1:13" x14ac:dyDescent="0.35">
      <c r="A725" t="str">
        <f>IF('All Cases - Enter Cases'!$F725="Balochistan",'All Cases - Enter Cases'!A725,"")</f>
        <v/>
      </c>
      <c r="B725" t="str">
        <f>IF($A725&lt;&gt;"",'All Cases - Enter Cases'!B725,"")</f>
        <v/>
      </c>
      <c r="C725" t="str">
        <f>IF($A725&lt;&gt;"",'All Cases - Enter Cases'!C725,"")</f>
        <v/>
      </c>
      <c r="D725" t="str">
        <f>IF($A725&lt;&gt;"",'All Cases - Enter Cases'!D725,"")</f>
        <v/>
      </c>
      <c r="E725" t="str">
        <f>IF($A725&lt;&gt;"",'All Cases - Enter Cases'!E725,"")</f>
        <v/>
      </c>
      <c r="F725" t="str">
        <f>IF($A725&lt;&gt;"",'All Cases - Enter Cases'!F725,"")</f>
        <v/>
      </c>
      <c r="G725" t="str">
        <f>IF($A725&lt;&gt;"",'All Cases - Enter Cases'!G725,"")</f>
        <v/>
      </c>
      <c r="H725" t="str">
        <f>IF($A725&lt;&gt;"",'All Cases - Enter Cases'!H725,"")</f>
        <v/>
      </c>
      <c r="I725" t="str">
        <f>IF($A725&lt;&gt;"",'All Cases - Enter Cases'!I725,"")</f>
        <v/>
      </c>
      <c r="J725" t="str">
        <f>IF($A725&lt;&gt;"",'All Cases - Enter Cases'!J725,"")</f>
        <v/>
      </c>
      <c r="K725" t="str">
        <f>IF($A725&lt;&gt;"",'All Cases - Enter Cases'!K725,"")</f>
        <v/>
      </c>
      <c r="L725" t="str">
        <f>IF($A725&lt;&gt;"",'All Cases - Enter Cases'!L725,"")</f>
        <v/>
      </c>
      <c r="M725" t="str">
        <f>IF($A725&lt;&gt;"",'All Cases - Enter Cases'!M725,"")</f>
        <v/>
      </c>
    </row>
    <row r="726" spans="1:13" x14ac:dyDescent="0.35">
      <c r="A726" t="str">
        <f>IF('All Cases - Enter Cases'!$F726="Balochistan",'All Cases - Enter Cases'!A726,"")</f>
        <v/>
      </c>
      <c r="B726" t="str">
        <f>IF($A726&lt;&gt;"",'All Cases - Enter Cases'!B726,"")</f>
        <v/>
      </c>
      <c r="C726" t="str">
        <f>IF($A726&lt;&gt;"",'All Cases - Enter Cases'!C726,"")</f>
        <v/>
      </c>
      <c r="D726" t="str">
        <f>IF($A726&lt;&gt;"",'All Cases - Enter Cases'!D726,"")</f>
        <v/>
      </c>
      <c r="E726" t="str">
        <f>IF($A726&lt;&gt;"",'All Cases - Enter Cases'!E726,"")</f>
        <v/>
      </c>
      <c r="F726" t="str">
        <f>IF($A726&lt;&gt;"",'All Cases - Enter Cases'!F726,"")</f>
        <v/>
      </c>
      <c r="G726" t="str">
        <f>IF($A726&lt;&gt;"",'All Cases - Enter Cases'!G726,"")</f>
        <v/>
      </c>
      <c r="H726" t="str">
        <f>IF($A726&lt;&gt;"",'All Cases - Enter Cases'!H726,"")</f>
        <v/>
      </c>
      <c r="I726" t="str">
        <f>IF($A726&lt;&gt;"",'All Cases - Enter Cases'!I726,"")</f>
        <v/>
      </c>
      <c r="J726" t="str">
        <f>IF($A726&lt;&gt;"",'All Cases - Enter Cases'!J726,"")</f>
        <v/>
      </c>
      <c r="K726" t="str">
        <f>IF($A726&lt;&gt;"",'All Cases - Enter Cases'!K726,"")</f>
        <v/>
      </c>
      <c r="L726" t="str">
        <f>IF($A726&lt;&gt;"",'All Cases - Enter Cases'!L726,"")</f>
        <v/>
      </c>
      <c r="M726" t="str">
        <f>IF($A726&lt;&gt;"",'All Cases - Enter Cases'!M726,"")</f>
        <v/>
      </c>
    </row>
    <row r="727" spans="1:13" x14ac:dyDescent="0.35">
      <c r="A727" t="str">
        <f>IF('All Cases - Enter Cases'!$F727="Balochistan",'All Cases - Enter Cases'!A727,"")</f>
        <v/>
      </c>
      <c r="B727" t="str">
        <f>IF($A727&lt;&gt;"",'All Cases - Enter Cases'!B727,"")</f>
        <v/>
      </c>
      <c r="C727" t="str">
        <f>IF($A727&lt;&gt;"",'All Cases - Enter Cases'!C727,"")</f>
        <v/>
      </c>
      <c r="D727" t="str">
        <f>IF($A727&lt;&gt;"",'All Cases - Enter Cases'!D727,"")</f>
        <v/>
      </c>
      <c r="E727" t="str">
        <f>IF($A727&lt;&gt;"",'All Cases - Enter Cases'!E727,"")</f>
        <v/>
      </c>
      <c r="F727" t="str">
        <f>IF($A727&lt;&gt;"",'All Cases - Enter Cases'!F727,"")</f>
        <v/>
      </c>
      <c r="G727" t="str">
        <f>IF($A727&lt;&gt;"",'All Cases - Enter Cases'!G727,"")</f>
        <v/>
      </c>
      <c r="H727" t="str">
        <f>IF($A727&lt;&gt;"",'All Cases - Enter Cases'!H727,"")</f>
        <v/>
      </c>
      <c r="I727" t="str">
        <f>IF($A727&lt;&gt;"",'All Cases - Enter Cases'!I727,"")</f>
        <v/>
      </c>
      <c r="J727" t="str">
        <f>IF($A727&lt;&gt;"",'All Cases - Enter Cases'!J727,"")</f>
        <v/>
      </c>
      <c r="K727" t="str">
        <f>IF($A727&lt;&gt;"",'All Cases - Enter Cases'!K727,"")</f>
        <v/>
      </c>
      <c r="L727" t="str">
        <f>IF($A727&lt;&gt;"",'All Cases - Enter Cases'!L727,"")</f>
        <v/>
      </c>
      <c r="M727" t="str">
        <f>IF($A727&lt;&gt;"",'All Cases - Enter Cases'!M727,"")</f>
        <v/>
      </c>
    </row>
    <row r="728" spans="1:13" x14ac:dyDescent="0.35">
      <c r="A728" t="str">
        <f>IF('All Cases - Enter Cases'!$F728="Balochistan",'All Cases - Enter Cases'!A728,"")</f>
        <v/>
      </c>
      <c r="B728" t="str">
        <f>IF($A728&lt;&gt;"",'All Cases - Enter Cases'!B728,"")</f>
        <v/>
      </c>
      <c r="C728" t="str">
        <f>IF($A728&lt;&gt;"",'All Cases - Enter Cases'!C728,"")</f>
        <v/>
      </c>
      <c r="D728" t="str">
        <f>IF($A728&lt;&gt;"",'All Cases - Enter Cases'!D728,"")</f>
        <v/>
      </c>
      <c r="E728" t="str">
        <f>IF($A728&lt;&gt;"",'All Cases - Enter Cases'!E728,"")</f>
        <v/>
      </c>
      <c r="F728" t="str">
        <f>IF($A728&lt;&gt;"",'All Cases - Enter Cases'!F728,"")</f>
        <v/>
      </c>
      <c r="G728" t="str">
        <f>IF($A728&lt;&gt;"",'All Cases - Enter Cases'!G728,"")</f>
        <v/>
      </c>
      <c r="H728" t="str">
        <f>IF($A728&lt;&gt;"",'All Cases - Enter Cases'!H728,"")</f>
        <v/>
      </c>
      <c r="I728" t="str">
        <f>IF($A728&lt;&gt;"",'All Cases - Enter Cases'!I728,"")</f>
        <v/>
      </c>
      <c r="J728" t="str">
        <f>IF($A728&lt;&gt;"",'All Cases - Enter Cases'!J728,"")</f>
        <v/>
      </c>
      <c r="K728" t="str">
        <f>IF($A728&lt;&gt;"",'All Cases - Enter Cases'!K728,"")</f>
        <v/>
      </c>
      <c r="L728" t="str">
        <f>IF($A728&lt;&gt;"",'All Cases - Enter Cases'!L728,"")</f>
        <v/>
      </c>
      <c r="M728" t="str">
        <f>IF($A728&lt;&gt;"",'All Cases - Enter Cases'!M728,"")</f>
        <v/>
      </c>
    </row>
    <row r="729" spans="1:13" x14ac:dyDescent="0.35">
      <c r="A729" t="str">
        <f>IF('All Cases - Enter Cases'!$F729="Balochistan",'All Cases - Enter Cases'!A729,"")</f>
        <v/>
      </c>
      <c r="B729" t="str">
        <f>IF($A729&lt;&gt;"",'All Cases - Enter Cases'!B729,"")</f>
        <v/>
      </c>
      <c r="C729" t="str">
        <f>IF($A729&lt;&gt;"",'All Cases - Enter Cases'!C729,"")</f>
        <v/>
      </c>
      <c r="D729" t="str">
        <f>IF($A729&lt;&gt;"",'All Cases - Enter Cases'!D729,"")</f>
        <v/>
      </c>
      <c r="E729" t="str">
        <f>IF($A729&lt;&gt;"",'All Cases - Enter Cases'!E729,"")</f>
        <v/>
      </c>
      <c r="F729" t="str">
        <f>IF($A729&lt;&gt;"",'All Cases - Enter Cases'!F729,"")</f>
        <v/>
      </c>
      <c r="G729" t="str">
        <f>IF($A729&lt;&gt;"",'All Cases - Enter Cases'!G729,"")</f>
        <v/>
      </c>
      <c r="H729" t="str">
        <f>IF($A729&lt;&gt;"",'All Cases - Enter Cases'!H729,"")</f>
        <v/>
      </c>
      <c r="I729" t="str">
        <f>IF($A729&lt;&gt;"",'All Cases - Enter Cases'!I729,"")</f>
        <v/>
      </c>
      <c r="J729" t="str">
        <f>IF($A729&lt;&gt;"",'All Cases - Enter Cases'!J729,"")</f>
        <v/>
      </c>
      <c r="K729" t="str">
        <f>IF($A729&lt;&gt;"",'All Cases - Enter Cases'!K729,"")</f>
        <v/>
      </c>
      <c r="L729" t="str">
        <f>IF($A729&lt;&gt;"",'All Cases - Enter Cases'!L729,"")</f>
        <v/>
      </c>
      <c r="M729" t="str">
        <f>IF($A729&lt;&gt;"",'All Cases - Enter Cases'!M729,"")</f>
        <v/>
      </c>
    </row>
    <row r="730" spans="1:13" x14ac:dyDescent="0.35">
      <c r="A730" t="str">
        <f>IF('All Cases - Enter Cases'!$F730="Balochistan",'All Cases - Enter Cases'!A730,"")</f>
        <v/>
      </c>
      <c r="B730" t="str">
        <f>IF($A730&lt;&gt;"",'All Cases - Enter Cases'!B730,"")</f>
        <v/>
      </c>
      <c r="C730" t="str">
        <f>IF($A730&lt;&gt;"",'All Cases - Enter Cases'!C730,"")</f>
        <v/>
      </c>
      <c r="D730" t="str">
        <f>IF($A730&lt;&gt;"",'All Cases - Enter Cases'!D730,"")</f>
        <v/>
      </c>
      <c r="E730" t="str">
        <f>IF($A730&lt;&gt;"",'All Cases - Enter Cases'!E730,"")</f>
        <v/>
      </c>
      <c r="F730" t="str">
        <f>IF($A730&lt;&gt;"",'All Cases - Enter Cases'!F730,"")</f>
        <v/>
      </c>
      <c r="G730" t="str">
        <f>IF($A730&lt;&gt;"",'All Cases - Enter Cases'!G730,"")</f>
        <v/>
      </c>
      <c r="H730" t="str">
        <f>IF($A730&lt;&gt;"",'All Cases - Enter Cases'!H730,"")</f>
        <v/>
      </c>
      <c r="I730" t="str">
        <f>IF($A730&lt;&gt;"",'All Cases - Enter Cases'!I730,"")</f>
        <v/>
      </c>
      <c r="J730" t="str">
        <f>IF($A730&lt;&gt;"",'All Cases - Enter Cases'!J730,"")</f>
        <v/>
      </c>
      <c r="K730" t="str">
        <f>IF($A730&lt;&gt;"",'All Cases - Enter Cases'!K730,"")</f>
        <v/>
      </c>
      <c r="L730" t="str">
        <f>IF($A730&lt;&gt;"",'All Cases - Enter Cases'!L730,"")</f>
        <v/>
      </c>
      <c r="M730" t="str">
        <f>IF($A730&lt;&gt;"",'All Cases - Enter Cases'!M730,"")</f>
        <v/>
      </c>
    </row>
    <row r="731" spans="1:13" x14ac:dyDescent="0.35">
      <c r="A731" t="str">
        <f>IF('All Cases - Enter Cases'!$F731="Balochistan",'All Cases - Enter Cases'!A731,"")</f>
        <v/>
      </c>
      <c r="B731" t="str">
        <f>IF($A731&lt;&gt;"",'All Cases - Enter Cases'!B731,"")</f>
        <v/>
      </c>
      <c r="C731" t="str">
        <f>IF($A731&lt;&gt;"",'All Cases - Enter Cases'!C731,"")</f>
        <v/>
      </c>
      <c r="D731" t="str">
        <f>IF($A731&lt;&gt;"",'All Cases - Enter Cases'!D731,"")</f>
        <v/>
      </c>
      <c r="E731" t="str">
        <f>IF($A731&lt;&gt;"",'All Cases - Enter Cases'!E731,"")</f>
        <v/>
      </c>
      <c r="F731" t="str">
        <f>IF($A731&lt;&gt;"",'All Cases - Enter Cases'!F731,"")</f>
        <v/>
      </c>
      <c r="G731" t="str">
        <f>IF($A731&lt;&gt;"",'All Cases - Enter Cases'!G731,"")</f>
        <v/>
      </c>
      <c r="H731" t="str">
        <f>IF($A731&lt;&gt;"",'All Cases - Enter Cases'!H731,"")</f>
        <v/>
      </c>
      <c r="I731" t="str">
        <f>IF($A731&lt;&gt;"",'All Cases - Enter Cases'!I731,"")</f>
        <v/>
      </c>
      <c r="J731" t="str">
        <f>IF($A731&lt;&gt;"",'All Cases - Enter Cases'!J731,"")</f>
        <v/>
      </c>
      <c r="K731" t="str">
        <f>IF($A731&lt;&gt;"",'All Cases - Enter Cases'!K731,"")</f>
        <v/>
      </c>
      <c r="L731" t="str">
        <f>IF($A731&lt;&gt;"",'All Cases - Enter Cases'!L731,"")</f>
        <v/>
      </c>
      <c r="M731" t="str">
        <f>IF($A731&lt;&gt;"",'All Cases - Enter Cases'!M731,"")</f>
        <v/>
      </c>
    </row>
    <row r="732" spans="1:13" x14ac:dyDescent="0.35">
      <c r="A732" t="str">
        <f>IF('All Cases - Enter Cases'!$F732="Balochistan",'All Cases - Enter Cases'!A732,"")</f>
        <v/>
      </c>
      <c r="B732" t="str">
        <f>IF($A732&lt;&gt;"",'All Cases - Enter Cases'!B732,"")</f>
        <v/>
      </c>
      <c r="C732" t="str">
        <f>IF($A732&lt;&gt;"",'All Cases - Enter Cases'!C732,"")</f>
        <v/>
      </c>
      <c r="D732" t="str">
        <f>IF($A732&lt;&gt;"",'All Cases - Enter Cases'!D732,"")</f>
        <v/>
      </c>
      <c r="E732" t="str">
        <f>IF($A732&lt;&gt;"",'All Cases - Enter Cases'!E732,"")</f>
        <v/>
      </c>
      <c r="F732" t="str">
        <f>IF($A732&lt;&gt;"",'All Cases - Enter Cases'!F732,"")</f>
        <v/>
      </c>
      <c r="G732" t="str">
        <f>IF($A732&lt;&gt;"",'All Cases - Enter Cases'!G732,"")</f>
        <v/>
      </c>
      <c r="H732" t="str">
        <f>IF($A732&lt;&gt;"",'All Cases - Enter Cases'!H732,"")</f>
        <v/>
      </c>
      <c r="I732" t="str">
        <f>IF($A732&lt;&gt;"",'All Cases - Enter Cases'!I732,"")</f>
        <v/>
      </c>
      <c r="J732" t="str">
        <f>IF($A732&lt;&gt;"",'All Cases - Enter Cases'!J732,"")</f>
        <v/>
      </c>
      <c r="K732" t="str">
        <f>IF($A732&lt;&gt;"",'All Cases - Enter Cases'!K732,"")</f>
        <v/>
      </c>
      <c r="L732" t="str">
        <f>IF($A732&lt;&gt;"",'All Cases - Enter Cases'!L732,"")</f>
        <v/>
      </c>
      <c r="M732" t="str">
        <f>IF($A732&lt;&gt;"",'All Cases - Enter Cases'!M732,"")</f>
        <v/>
      </c>
    </row>
    <row r="733" spans="1:13" x14ac:dyDescent="0.35">
      <c r="A733" t="str">
        <f>IF('All Cases - Enter Cases'!$F733="Balochistan",'All Cases - Enter Cases'!A733,"")</f>
        <v/>
      </c>
      <c r="B733" t="str">
        <f>IF($A733&lt;&gt;"",'All Cases - Enter Cases'!B733,"")</f>
        <v/>
      </c>
      <c r="C733" t="str">
        <f>IF($A733&lt;&gt;"",'All Cases - Enter Cases'!C733,"")</f>
        <v/>
      </c>
      <c r="D733" t="str">
        <f>IF($A733&lt;&gt;"",'All Cases - Enter Cases'!D733,"")</f>
        <v/>
      </c>
      <c r="E733" t="str">
        <f>IF($A733&lt;&gt;"",'All Cases - Enter Cases'!E733,"")</f>
        <v/>
      </c>
      <c r="F733" t="str">
        <f>IF($A733&lt;&gt;"",'All Cases - Enter Cases'!F733,"")</f>
        <v/>
      </c>
      <c r="G733" t="str">
        <f>IF($A733&lt;&gt;"",'All Cases - Enter Cases'!G733,"")</f>
        <v/>
      </c>
      <c r="H733" t="str">
        <f>IF($A733&lt;&gt;"",'All Cases - Enter Cases'!H733,"")</f>
        <v/>
      </c>
      <c r="I733" t="str">
        <f>IF($A733&lt;&gt;"",'All Cases - Enter Cases'!I733,"")</f>
        <v/>
      </c>
      <c r="J733" t="str">
        <f>IF($A733&lt;&gt;"",'All Cases - Enter Cases'!J733,"")</f>
        <v/>
      </c>
      <c r="K733" t="str">
        <f>IF($A733&lt;&gt;"",'All Cases - Enter Cases'!K733,"")</f>
        <v/>
      </c>
      <c r="L733" t="str">
        <f>IF($A733&lt;&gt;"",'All Cases - Enter Cases'!L733,"")</f>
        <v/>
      </c>
      <c r="M733" t="str">
        <f>IF($A733&lt;&gt;"",'All Cases - Enter Cases'!M733,"")</f>
        <v/>
      </c>
    </row>
    <row r="734" spans="1:13" x14ac:dyDescent="0.35">
      <c r="A734" t="str">
        <f>IF('All Cases - Enter Cases'!$F734="Balochistan",'All Cases - Enter Cases'!A734,"")</f>
        <v/>
      </c>
      <c r="B734" t="str">
        <f>IF($A734&lt;&gt;"",'All Cases - Enter Cases'!B734,"")</f>
        <v/>
      </c>
      <c r="C734" t="str">
        <f>IF($A734&lt;&gt;"",'All Cases - Enter Cases'!C734,"")</f>
        <v/>
      </c>
      <c r="D734" t="str">
        <f>IF($A734&lt;&gt;"",'All Cases - Enter Cases'!D734,"")</f>
        <v/>
      </c>
      <c r="E734" t="str">
        <f>IF($A734&lt;&gt;"",'All Cases - Enter Cases'!E734,"")</f>
        <v/>
      </c>
      <c r="F734" t="str">
        <f>IF($A734&lt;&gt;"",'All Cases - Enter Cases'!F734,"")</f>
        <v/>
      </c>
      <c r="G734" t="str">
        <f>IF($A734&lt;&gt;"",'All Cases - Enter Cases'!G734,"")</f>
        <v/>
      </c>
      <c r="H734" t="str">
        <f>IF($A734&lt;&gt;"",'All Cases - Enter Cases'!H734,"")</f>
        <v/>
      </c>
      <c r="I734" t="str">
        <f>IF($A734&lt;&gt;"",'All Cases - Enter Cases'!I734,"")</f>
        <v/>
      </c>
      <c r="J734" t="str">
        <f>IF($A734&lt;&gt;"",'All Cases - Enter Cases'!J734,"")</f>
        <v/>
      </c>
      <c r="K734" t="str">
        <f>IF($A734&lt;&gt;"",'All Cases - Enter Cases'!K734,"")</f>
        <v/>
      </c>
      <c r="L734" t="str">
        <f>IF($A734&lt;&gt;"",'All Cases - Enter Cases'!L734,"")</f>
        <v/>
      </c>
      <c r="M734" t="str">
        <f>IF($A734&lt;&gt;"",'All Cases - Enter Cases'!M734,"")</f>
        <v/>
      </c>
    </row>
    <row r="735" spans="1:13" x14ac:dyDescent="0.35">
      <c r="A735" t="str">
        <f>IF('All Cases - Enter Cases'!$F735="Balochistan",'All Cases - Enter Cases'!A735,"")</f>
        <v/>
      </c>
      <c r="B735" t="str">
        <f>IF($A735&lt;&gt;"",'All Cases - Enter Cases'!B735,"")</f>
        <v/>
      </c>
      <c r="C735" t="str">
        <f>IF($A735&lt;&gt;"",'All Cases - Enter Cases'!C735,"")</f>
        <v/>
      </c>
      <c r="D735" t="str">
        <f>IF($A735&lt;&gt;"",'All Cases - Enter Cases'!D735,"")</f>
        <v/>
      </c>
      <c r="E735" t="str">
        <f>IF($A735&lt;&gt;"",'All Cases - Enter Cases'!E735,"")</f>
        <v/>
      </c>
      <c r="F735" t="str">
        <f>IF($A735&lt;&gt;"",'All Cases - Enter Cases'!F735,"")</f>
        <v/>
      </c>
      <c r="G735" t="str">
        <f>IF($A735&lt;&gt;"",'All Cases - Enter Cases'!G735,"")</f>
        <v/>
      </c>
      <c r="H735" t="str">
        <f>IF($A735&lt;&gt;"",'All Cases - Enter Cases'!H735,"")</f>
        <v/>
      </c>
      <c r="I735" t="str">
        <f>IF($A735&lt;&gt;"",'All Cases - Enter Cases'!I735,"")</f>
        <v/>
      </c>
      <c r="J735" t="str">
        <f>IF($A735&lt;&gt;"",'All Cases - Enter Cases'!J735,"")</f>
        <v/>
      </c>
      <c r="K735" t="str">
        <f>IF($A735&lt;&gt;"",'All Cases - Enter Cases'!K735,"")</f>
        <v/>
      </c>
      <c r="L735" t="str">
        <f>IF($A735&lt;&gt;"",'All Cases - Enter Cases'!L735,"")</f>
        <v/>
      </c>
      <c r="M735" t="str">
        <f>IF($A735&lt;&gt;"",'All Cases - Enter Cases'!M735,"")</f>
        <v/>
      </c>
    </row>
    <row r="736" spans="1:13" x14ac:dyDescent="0.35">
      <c r="A736" t="str">
        <f>IF('All Cases - Enter Cases'!$F736="Balochistan",'All Cases - Enter Cases'!A736,"")</f>
        <v/>
      </c>
      <c r="B736" t="str">
        <f>IF($A736&lt;&gt;"",'All Cases - Enter Cases'!B736,"")</f>
        <v/>
      </c>
      <c r="C736" t="str">
        <f>IF($A736&lt;&gt;"",'All Cases - Enter Cases'!C736,"")</f>
        <v/>
      </c>
      <c r="D736" t="str">
        <f>IF($A736&lt;&gt;"",'All Cases - Enter Cases'!D736,"")</f>
        <v/>
      </c>
      <c r="E736" t="str">
        <f>IF($A736&lt;&gt;"",'All Cases - Enter Cases'!E736,"")</f>
        <v/>
      </c>
      <c r="F736" t="str">
        <f>IF($A736&lt;&gt;"",'All Cases - Enter Cases'!F736,"")</f>
        <v/>
      </c>
      <c r="G736" t="str">
        <f>IF($A736&lt;&gt;"",'All Cases - Enter Cases'!G736,"")</f>
        <v/>
      </c>
      <c r="H736" t="str">
        <f>IF($A736&lt;&gt;"",'All Cases - Enter Cases'!H736,"")</f>
        <v/>
      </c>
      <c r="I736" t="str">
        <f>IF($A736&lt;&gt;"",'All Cases - Enter Cases'!I736,"")</f>
        <v/>
      </c>
      <c r="J736" t="str">
        <f>IF($A736&lt;&gt;"",'All Cases - Enter Cases'!J736,"")</f>
        <v/>
      </c>
      <c r="K736" t="str">
        <f>IF($A736&lt;&gt;"",'All Cases - Enter Cases'!K736,"")</f>
        <v/>
      </c>
      <c r="L736" t="str">
        <f>IF($A736&lt;&gt;"",'All Cases - Enter Cases'!L736,"")</f>
        <v/>
      </c>
      <c r="M736" t="str">
        <f>IF($A736&lt;&gt;"",'All Cases - Enter Cases'!M736,"")</f>
        <v/>
      </c>
    </row>
    <row r="737" spans="1:13" x14ac:dyDescent="0.35">
      <c r="A737" t="str">
        <f>IF('All Cases - Enter Cases'!$F737="Balochistan",'All Cases - Enter Cases'!A737,"")</f>
        <v/>
      </c>
      <c r="B737" t="str">
        <f>IF($A737&lt;&gt;"",'All Cases - Enter Cases'!B737,"")</f>
        <v/>
      </c>
      <c r="C737" t="str">
        <f>IF($A737&lt;&gt;"",'All Cases - Enter Cases'!C737,"")</f>
        <v/>
      </c>
      <c r="D737" t="str">
        <f>IF($A737&lt;&gt;"",'All Cases - Enter Cases'!D737,"")</f>
        <v/>
      </c>
      <c r="E737" t="str">
        <f>IF($A737&lt;&gt;"",'All Cases - Enter Cases'!E737,"")</f>
        <v/>
      </c>
      <c r="F737" t="str">
        <f>IF($A737&lt;&gt;"",'All Cases - Enter Cases'!F737,"")</f>
        <v/>
      </c>
      <c r="G737" t="str">
        <f>IF($A737&lt;&gt;"",'All Cases - Enter Cases'!G737,"")</f>
        <v/>
      </c>
      <c r="H737" t="str">
        <f>IF($A737&lt;&gt;"",'All Cases - Enter Cases'!H737,"")</f>
        <v/>
      </c>
      <c r="I737" t="str">
        <f>IF($A737&lt;&gt;"",'All Cases - Enter Cases'!I737,"")</f>
        <v/>
      </c>
      <c r="J737" t="str">
        <f>IF($A737&lt;&gt;"",'All Cases - Enter Cases'!J737,"")</f>
        <v/>
      </c>
      <c r="K737" t="str">
        <f>IF($A737&lt;&gt;"",'All Cases - Enter Cases'!K737,"")</f>
        <v/>
      </c>
      <c r="L737" t="str">
        <f>IF($A737&lt;&gt;"",'All Cases - Enter Cases'!L737,"")</f>
        <v/>
      </c>
      <c r="M737" t="str">
        <f>IF($A737&lt;&gt;"",'All Cases - Enter Cases'!M737,"")</f>
        <v/>
      </c>
    </row>
    <row r="738" spans="1:13" x14ac:dyDescent="0.35">
      <c r="A738" t="str">
        <f>IF('All Cases - Enter Cases'!$F738="Balochistan",'All Cases - Enter Cases'!A738,"")</f>
        <v/>
      </c>
      <c r="B738" t="str">
        <f>IF($A738&lt;&gt;"",'All Cases - Enter Cases'!B738,"")</f>
        <v/>
      </c>
      <c r="C738" t="str">
        <f>IF($A738&lt;&gt;"",'All Cases - Enter Cases'!C738,"")</f>
        <v/>
      </c>
      <c r="D738" t="str">
        <f>IF($A738&lt;&gt;"",'All Cases - Enter Cases'!D738,"")</f>
        <v/>
      </c>
      <c r="E738" t="str">
        <f>IF($A738&lt;&gt;"",'All Cases - Enter Cases'!E738,"")</f>
        <v/>
      </c>
      <c r="F738" t="str">
        <f>IF($A738&lt;&gt;"",'All Cases - Enter Cases'!F738,"")</f>
        <v/>
      </c>
      <c r="G738" t="str">
        <f>IF($A738&lt;&gt;"",'All Cases - Enter Cases'!G738,"")</f>
        <v/>
      </c>
      <c r="H738" t="str">
        <f>IF($A738&lt;&gt;"",'All Cases - Enter Cases'!H738,"")</f>
        <v/>
      </c>
      <c r="I738" t="str">
        <f>IF($A738&lt;&gt;"",'All Cases - Enter Cases'!I738,"")</f>
        <v/>
      </c>
      <c r="J738" t="str">
        <f>IF($A738&lt;&gt;"",'All Cases - Enter Cases'!J738,"")</f>
        <v/>
      </c>
      <c r="K738" t="str">
        <f>IF($A738&lt;&gt;"",'All Cases - Enter Cases'!K738,"")</f>
        <v/>
      </c>
      <c r="L738" t="str">
        <f>IF($A738&lt;&gt;"",'All Cases - Enter Cases'!L738,"")</f>
        <v/>
      </c>
      <c r="M738" t="str">
        <f>IF($A738&lt;&gt;"",'All Cases - Enter Cases'!M738,"")</f>
        <v/>
      </c>
    </row>
    <row r="739" spans="1:13" x14ac:dyDescent="0.35">
      <c r="A739" t="str">
        <f>IF('All Cases - Enter Cases'!$F739="Balochistan",'All Cases - Enter Cases'!A739,"")</f>
        <v/>
      </c>
      <c r="B739" t="str">
        <f>IF($A739&lt;&gt;"",'All Cases - Enter Cases'!B739,"")</f>
        <v/>
      </c>
      <c r="C739" t="str">
        <f>IF($A739&lt;&gt;"",'All Cases - Enter Cases'!C739,"")</f>
        <v/>
      </c>
      <c r="D739" t="str">
        <f>IF($A739&lt;&gt;"",'All Cases - Enter Cases'!D739,"")</f>
        <v/>
      </c>
      <c r="E739" t="str">
        <f>IF($A739&lt;&gt;"",'All Cases - Enter Cases'!E739,"")</f>
        <v/>
      </c>
      <c r="F739" t="str">
        <f>IF($A739&lt;&gt;"",'All Cases - Enter Cases'!F739,"")</f>
        <v/>
      </c>
      <c r="G739" t="str">
        <f>IF($A739&lt;&gt;"",'All Cases - Enter Cases'!G739,"")</f>
        <v/>
      </c>
      <c r="H739" t="str">
        <f>IF($A739&lt;&gt;"",'All Cases - Enter Cases'!H739,"")</f>
        <v/>
      </c>
      <c r="I739" t="str">
        <f>IF($A739&lt;&gt;"",'All Cases - Enter Cases'!I739,"")</f>
        <v/>
      </c>
      <c r="J739" t="str">
        <f>IF($A739&lt;&gt;"",'All Cases - Enter Cases'!J739,"")</f>
        <v/>
      </c>
      <c r="K739" t="str">
        <f>IF($A739&lt;&gt;"",'All Cases - Enter Cases'!K739,"")</f>
        <v/>
      </c>
      <c r="L739" t="str">
        <f>IF($A739&lt;&gt;"",'All Cases - Enter Cases'!L739,"")</f>
        <v/>
      </c>
      <c r="M739" t="str">
        <f>IF($A739&lt;&gt;"",'All Cases - Enter Cases'!M739,"")</f>
        <v/>
      </c>
    </row>
    <row r="740" spans="1:13" x14ac:dyDescent="0.35">
      <c r="A740" t="str">
        <f>IF('All Cases - Enter Cases'!$F740="Balochistan",'All Cases - Enter Cases'!A740,"")</f>
        <v/>
      </c>
      <c r="B740" t="str">
        <f>IF($A740&lt;&gt;"",'All Cases - Enter Cases'!B740,"")</f>
        <v/>
      </c>
      <c r="C740" t="str">
        <f>IF($A740&lt;&gt;"",'All Cases - Enter Cases'!C740,"")</f>
        <v/>
      </c>
      <c r="D740" t="str">
        <f>IF($A740&lt;&gt;"",'All Cases - Enter Cases'!D740,"")</f>
        <v/>
      </c>
      <c r="E740" t="str">
        <f>IF($A740&lt;&gt;"",'All Cases - Enter Cases'!E740,"")</f>
        <v/>
      </c>
      <c r="F740" t="str">
        <f>IF($A740&lt;&gt;"",'All Cases - Enter Cases'!F740,"")</f>
        <v/>
      </c>
      <c r="G740" t="str">
        <f>IF($A740&lt;&gt;"",'All Cases - Enter Cases'!G740,"")</f>
        <v/>
      </c>
      <c r="H740" t="str">
        <f>IF($A740&lt;&gt;"",'All Cases - Enter Cases'!H740,"")</f>
        <v/>
      </c>
      <c r="I740" t="str">
        <f>IF($A740&lt;&gt;"",'All Cases - Enter Cases'!I740,"")</f>
        <v/>
      </c>
      <c r="J740" t="str">
        <f>IF($A740&lt;&gt;"",'All Cases - Enter Cases'!J740,"")</f>
        <v/>
      </c>
      <c r="K740" t="str">
        <f>IF($A740&lt;&gt;"",'All Cases - Enter Cases'!K740,"")</f>
        <v/>
      </c>
      <c r="L740" t="str">
        <f>IF($A740&lt;&gt;"",'All Cases - Enter Cases'!L740,"")</f>
        <v/>
      </c>
      <c r="M740" t="str">
        <f>IF($A740&lt;&gt;"",'All Cases - Enter Cases'!M740,"")</f>
        <v/>
      </c>
    </row>
    <row r="741" spans="1:13" x14ac:dyDescent="0.35">
      <c r="A741" t="str">
        <f>IF('All Cases - Enter Cases'!$F741="Balochistan",'All Cases - Enter Cases'!A741,"")</f>
        <v/>
      </c>
      <c r="B741" t="str">
        <f>IF($A741&lt;&gt;"",'All Cases - Enter Cases'!B741,"")</f>
        <v/>
      </c>
      <c r="C741" t="str">
        <f>IF($A741&lt;&gt;"",'All Cases - Enter Cases'!C741,"")</f>
        <v/>
      </c>
      <c r="D741" t="str">
        <f>IF($A741&lt;&gt;"",'All Cases - Enter Cases'!D741,"")</f>
        <v/>
      </c>
      <c r="E741" t="str">
        <f>IF($A741&lt;&gt;"",'All Cases - Enter Cases'!E741,"")</f>
        <v/>
      </c>
      <c r="F741" t="str">
        <f>IF($A741&lt;&gt;"",'All Cases - Enter Cases'!F741,"")</f>
        <v/>
      </c>
      <c r="G741" t="str">
        <f>IF($A741&lt;&gt;"",'All Cases - Enter Cases'!G741,"")</f>
        <v/>
      </c>
      <c r="H741" t="str">
        <f>IF($A741&lt;&gt;"",'All Cases - Enter Cases'!H741,"")</f>
        <v/>
      </c>
      <c r="I741" t="str">
        <f>IF($A741&lt;&gt;"",'All Cases - Enter Cases'!I741,"")</f>
        <v/>
      </c>
      <c r="J741" t="str">
        <f>IF($A741&lt;&gt;"",'All Cases - Enter Cases'!J741,"")</f>
        <v/>
      </c>
      <c r="K741" t="str">
        <f>IF($A741&lt;&gt;"",'All Cases - Enter Cases'!K741,"")</f>
        <v/>
      </c>
      <c r="L741" t="str">
        <f>IF($A741&lt;&gt;"",'All Cases - Enter Cases'!L741,"")</f>
        <v/>
      </c>
      <c r="M741" t="str">
        <f>IF($A741&lt;&gt;"",'All Cases - Enter Cases'!M741,"")</f>
        <v/>
      </c>
    </row>
    <row r="742" spans="1:13" x14ac:dyDescent="0.35">
      <c r="A742" t="str">
        <f>IF('All Cases - Enter Cases'!$F742="Balochistan",'All Cases - Enter Cases'!A742,"")</f>
        <v/>
      </c>
      <c r="B742" t="str">
        <f>IF($A742&lt;&gt;"",'All Cases - Enter Cases'!B742,"")</f>
        <v/>
      </c>
      <c r="C742" t="str">
        <f>IF($A742&lt;&gt;"",'All Cases - Enter Cases'!C742,"")</f>
        <v/>
      </c>
      <c r="D742" t="str">
        <f>IF($A742&lt;&gt;"",'All Cases - Enter Cases'!D742,"")</f>
        <v/>
      </c>
      <c r="E742" t="str">
        <f>IF($A742&lt;&gt;"",'All Cases - Enter Cases'!E742,"")</f>
        <v/>
      </c>
      <c r="F742" t="str">
        <f>IF($A742&lt;&gt;"",'All Cases - Enter Cases'!F742,"")</f>
        <v/>
      </c>
      <c r="G742" t="str">
        <f>IF($A742&lt;&gt;"",'All Cases - Enter Cases'!G742,"")</f>
        <v/>
      </c>
      <c r="H742" t="str">
        <f>IF($A742&lt;&gt;"",'All Cases - Enter Cases'!H742,"")</f>
        <v/>
      </c>
      <c r="I742" t="str">
        <f>IF($A742&lt;&gt;"",'All Cases - Enter Cases'!I742,"")</f>
        <v/>
      </c>
      <c r="J742" t="str">
        <f>IF($A742&lt;&gt;"",'All Cases - Enter Cases'!J742,"")</f>
        <v/>
      </c>
      <c r="K742" t="str">
        <f>IF($A742&lt;&gt;"",'All Cases - Enter Cases'!K742,"")</f>
        <v/>
      </c>
      <c r="L742" t="str">
        <f>IF($A742&lt;&gt;"",'All Cases - Enter Cases'!L742,"")</f>
        <v/>
      </c>
      <c r="M742" t="str">
        <f>IF($A742&lt;&gt;"",'All Cases - Enter Cases'!M742,"")</f>
        <v/>
      </c>
    </row>
    <row r="743" spans="1:13" x14ac:dyDescent="0.35">
      <c r="A743" t="str">
        <f>IF('All Cases - Enter Cases'!$F743="Balochistan",'All Cases - Enter Cases'!A743,"")</f>
        <v/>
      </c>
      <c r="B743" t="str">
        <f>IF($A743&lt;&gt;"",'All Cases - Enter Cases'!B743,"")</f>
        <v/>
      </c>
      <c r="C743" t="str">
        <f>IF($A743&lt;&gt;"",'All Cases - Enter Cases'!C743,"")</f>
        <v/>
      </c>
      <c r="D743" t="str">
        <f>IF($A743&lt;&gt;"",'All Cases - Enter Cases'!D743,"")</f>
        <v/>
      </c>
      <c r="E743" t="str">
        <f>IF($A743&lt;&gt;"",'All Cases - Enter Cases'!E743,"")</f>
        <v/>
      </c>
      <c r="F743" t="str">
        <f>IF($A743&lt;&gt;"",'All Cases - Enter Cases'!F743,"")</f>
        <v/>
      </c>
      <c r="G743" t="str">
        <f>IF($A743&lt;&gt;"",'All Cases - Enter Cases'!G743,"")</f>
        <v/>
      </c>
      <c r="H743" t="str">
        <f>IF($A743&lt;&gt;"",'All Cases - Enter Cases'!H743,"")</f>
        <v/>
      </c>
      <c r="I743" t="str">
        <f>IF($A743&lt;&gt;"",'All Cases - Enter Cases'!I743,"")</f>
        <v/>
      </c>
      <c r="J743" t="str">
        <f>IF($A743&lt;&gt;"",'All Cases - Enter Cases'!J743,"")</f>
        <v/>
      </c>
      <c r="K743" t="str">
        <f>IF($A743&lt;&gt;"",'All Cases - Enter Cases'!K743,"")</f>
        <v/>
      </c>
      <c r="L743" t="str">
        <f>IF($A743&lt;&gt;"",'All Cases - Enter Cases'!L743,"")</f>
        <v/>
      </c>
      <c r="M743" t="str">
        <f>IF($A743&lt;&gt;"",'All Cases - Enter Cases'!M743,"")</f>
        <v/>
      </c>
    </row>
    <row r="744" spans="1:13" x14ac:dyDescent="0.35">
      <c r="A744" t="str">
        <f>IF('All Cases - Enter Cases'!$F744="Balochistan",'All Cases - Enter Cases'!A744,"")</f>
        <v/>
      </c>
      <c r="B744" t="str">
        <f>IF($A744&lt;&gt;"",'All Cases - Enter Cases'!B744,"")</f>
        <v/>
      </c>
      <c r="C744" t="str">
        <f>IF($A744&lt;&gt;"",'All Cases - Enter Cases'!C744,"")</f>
        <v/>
      </c>
      <c r="D744" t="str">
        <f>IF($A744&lt;&gt;"",'All Cases - Enter Cases'!D744,"")</f>
        <v/>
      </c>
      <c r="E744" t="str">
        <f>IF($A744&lt;&gt;"",'All Cases - Enter Cases'!E744,"")</f>
        <v/>
      </c>
      <c r="F744" t="str">
        <f>IF($A744&lt;&gt;"",'All Cases - Enter Cases'!F744,"")</f>
        <v/>
      </c>
      <c r="G744" t="str">
        <f>IF($A744&lt;&gt;"",'All Cases - Enter Cases'!G744,"")</f>
        <v/>
      </c>
      <c r="H744" t="str">
        <f>IF($A744&lt;&gt;"",'All Cases - Enter Cases'!H744,"")</f>
        <v/>
      </c>
      <c r="I744" t="str">
        <f>IF($A744&lt;&gt;"",'All Cases - Enter Cases'!I744,"")</f>
        <v/>
      </c>
      <c r="J744" t="str">
        <f>IF($A744&lt;&gt;"",'All Cases - Enter Cases'!J744,"")</f>
        <v/>
      </c>
      <c r="K744" t="str">
        <f>IF($A744&lt;&gt;"",'All Cases - Enter Cases'!K744,"")</f>
        <v/>
      </c>
      <c r="L744" t="str">
        <f>IF($A744&lt;&gt;"",'All Cases - Enter Cases'!L744,"")</f>
        <v/>
      </c>
      <c r="M744" t="str">
        <f>IF($A744&lt;&gt;"",'All Cases - Enter Cases'!M744,"")</f>
        <v/>
      </c>
    </row>
    <row r="745" spans="1:13" x14ac:dyDescent="0.35">
      <c r="A745" t="str">
        <f>IF('All Cases - Enter Cases'!$F745="Balochistan",'All Cases - Enter Cases'!A745,"")</f>
        <v/>
      </c>
      <c r="B745" t="str">
        <f>IF($A745&lt;&gt;"",'All Cases - Enter Cases'!B745,"")</f>
        <v/>
      </c>
      <c r="C745" t="str">
        <f>IF($A745&lt;&gt;"",'All Cases - Enter Cases'!C745,"")</f>
        <v/>
      </c>
      <c r="D745" t="str">
        <f>IF($A745&lt;&gt;"",'All Cases - Enter Cases'!D745,"")</f>
        <v/>
      </c>
      <c r="E745" t="str">
        <f>IF($A745&lt;&gt;"",'All Cases - Enter Cases'!E745,"")</f>
        <v/>
      </c>
      <c r="F745" t="str">
        <f>IF($A745&lt;&gt;"",'All Cases - Enter Cases'!F745,"")</f>
        <v/>
      </c>
      <c r="G745" t="str">
        <f>IF($A745&lt;&gt;"",'All Cases - Enter Cases'!G745,"")</f>
        <v/>
      </c>
      <c r="H745" t="str">
        <f>IF($A745&lt;&gt;"",'All Cases - Enter Cases'!H745,"")</f>
        <v/>
      </c>
      <c r="I745" t="str">
        <f>IF($A745&lt;&gt;"",'All Cases - Enter Cases'!I745,"")</f>
        <v/>
      </c>
      <c r="J745" t="str">
        <f>IF($A745&lt;&gt;"",'All Cases - Enter Cases'!J745,"")</f>
        <v/>
      </c>
      <c r="K745" t="str">
        <f>IF($A745&lt;&gt;"",'All Cases - Enter Cases'!K745,"")</f>
        <v/>
      </c>
      <c r="L745" t="str">
        <f>IF($A745&lt;&gt;"",'All Cases - Enter Cases'!L745,"")</f>
        <v/>
      </c>
      <c r="M745" t="str">
        <f>IF($A745&lt;&gt;"",'All Cases - Enter Cases'!M745,"")</f>
        <v/>
      </c>
    </row>
    <row r="746" spans="1:13" x14ac:dyDescent="0.35">
      <c r="A746" t="str">
        <f>IF('All Cases - Enter Cases'!$F746="Balochistan",'All Cases - Enter Cases'!A746,"")</f>
        <v/>
      </c>
      <c r="B746" t="str">
        <f>IF($A746&lt;&gt;"",'All Cases - Enter Cases'!B746,"")</f>
        <v/>
      </c>
      <c r="C746" t="str">
        <f>IF($A746&lt;&gt;"",'All Cases - Enter Cases'!C746,"")</f>
        <v/>
      </c>
      <c r="D746" t="str">
        <f>IF($A746&lt;&gt;"",'All Cases - Enter Cases'!D746,"")</f>
        <v/>
      </c>
      <c r="E746" t="str">
        <f>IF($A746&lt;&gt;"",'All Cases - Enter Cases'!E746,"")</f>
        <v/>
      </c>
      <c r="F746" t="str">
        <f>IF($A746&lt;&gt;"",'All Cases - Enter Cases'!F746,"")</f>
        <v/>
      </c>
      <c r="G746" t="str">
        <f>IF($A746&lt;&gt;"",'All Cases - Enter Cases'!G746,"")</f>
        <v/>
      </c>
      <c r="H746" t="str">
        <f>IF($A746&lt;&gt;"",'All Cases - Enter Cases'!H746,"")</f>
        <v/>
      </c>
      <c r="I746" t="str">
        <f>IF($A746&lt;&gt;"",'All Cases - Enter Cases'!I746,"")</f>
        <v/>
      </c>
      <c r="J746" t="str">
        <f>IF($A746&lt;&gt;"",'All Cases - Enter Cases'!J746,"")</f>
        <v/>
      </c>
      <c r="K746" t="str">
        <f>IF($A746&lt;&gt;"",'All Cases - Enter Cases'!K746,"")</f>
        <v/>
      </c>
      <c r="L746" t="str">
        <f>IF($A746&lt;&gt;"",'All Cases - Enter Cases'!L746,"")</f>
        <v/>
      </c>
      <c r="M746" t="str">
        <f>IF($A746&lt;&gt;"",'All Cases - Enter Cases'!M746,"")</f>
        <v/>
      </c>
    </row>
    <row r="747" spans="1:13" x14ac:dyDescent="0.35">
      <c r="A747" t="str">
        <f>IF('All Cases - Enter Cases'!$F747="Balochistan",'All Cases - Enter Cases'!A747,"")</f>
        <v/>
      </c>
      <c r="B747" t="str">
        <f>IF($A747&lt;&gt;"",'All Cases - Enter Cases'!B747,"")</f>
        <v/>
      </c>
      <c r="C747" t="str">
        <f>IF($A747&lt;&gt;"",'All Cases - Enter Cases'!C747,"")</f>
        <v/>
      </c>
      <c r="D747" t="str">
        <f>IF($A747&lt;&gt;"",'All Cases - Enter Cases'!D747,"")</f>
        <v/>
      </c>
      <c r="E747" t="str">
        <f>IF($A747&lt;&gt;"",'All Cases - Enter Cases'!E747,"")</f>
        <v/>
      </c>
      <c r="F747" t="str">
        <f>IF($A747&lt;&gt;"",'All Cases - Enter Cases'!F747,"")</f>
        <v/>
      </c>
      <c r="G747" t="str">
        <f>IF($A747&lt;&gt;"",'All Cases - Enter Cases'!G747,"")</f>
        <v/>
      </c>
      <c r="H747" t="str">
        <f>IF($A747&lt;&gt;"",'All Cases - Enter Cases'!H747,"")</f>
        <v/>
      </c>
      <c r="I747" t="str">
        <f>IF($A747&lt;&gt;"",'All Cases - Enter Cases'!I747,"")</f>
        <v/>
      </c>
      <c r="J747" t="str">
        <f>IF($A747&lt;&gt;"",'All Cases - Enter Cases'!J747,"")</f>
        <v/>
      </c>
      <c r="K747" t="str">
        <f>IF($A747&lt;&gt;"",'All Cases - Enter Cases'!K747,"")</f>
        <v/>
      </c>
      <c r="L747" t="str">
        <f>IF($A747&lt;&gt;"",'All Cases - Enter Cases'!L747,"")</f>
        <v/>
      </c>
      <c r="M747" t="str">
        <f>IF($A747&lt;&gt;"",'All Cases - Enter Cases'!M747,"")</f>
        <v/>
      </c>
    </row>
    <row r="748" spans="1:13" x14ac:dyDescent="0.35">
      <c r="A748" t="str">
        <f>IF('All Cases - Enter Cases'!$F748="Balochistan",'All Cases - Enter Cases'!A748,"")</f>
        <v/>
      </c>
      <c r="B748" t="str">
        <f>IF($A748&lt;&gt;"",'All Cases - Enter Cases'!B748,"")</f>
        <v/>
      </c>
      <c r="C748" t="str">
        <f>IF($A748&lt;&gt;"",'All Cases - Enter Cases'!C748,"")</f>
        <v/>
      </c>
      <c r="D748" t="str">
        <f>IF($A748&lt;&gt;"",'All Cases - Enter Cases'!D748,"")</f>
        <v/>
      </c>
      <c r="E748" t="str">
        <f>IF($A748&lt;&gt;"",'All Cases - Enter Cases'!E748,"")</f>
        <v/>
      </c>
      <c r="F748" t="str">
        <f>IF($A748&lt;&gt;"",'All Cases - Enter Cases'!F748,"")</f>
        <v/>
      </c>
      <c r="G748" t="str">
        <f>IF($A748&lt;&gt;"",'All Cases - Enter Cases'!G748,"")</f>
        <v/>
      </c>
      <c r="H748" t="str">
        <f>IF($A748&lt;&gt;"",'All Cases - Enter Cases'!H748,"")</f>
        <v/>
      </c>
      <c r="I748" t="str">
        <f>IF($A748&lt;&gt;"",'All Cases - Enter Cases'!I748,"")</f>
        <v/>
      </c>
      <c r="J748" t="str">
        <f>IF($A748&lt;&gt;"",'All Cases - Enter Cases'!J748,"")</f>
        <v/>
      </c>
      <c r="K748" t="str">
        <f>IF($A748&lt;&gt;"",'All Cases - Enter Cases'!K748,"")</f>
        <v/>
      </c>
      <c r="L748" t="str">
        <f>IF($A748&lt;&gt;"",'All Cases - Enter Cases'!L748,"")</f>
        <v/>
      </c>
      <c r="M748" t="str">
        <f>IF($A748&lt;&gt;"",'All Cases - Enter Cases'!M748,"")</f>
        <v/>
      </c>
    </row>
    <row r="749" spans="1:13" x14ac:dyDescent="0.35">
      <c r="A749" t="str">
        <f>IF('All Cases - Enter Cases'!$F749="Balochistan",'All Cases - Enter Cases'!A749,"")</f>
        <v/>
      </c>
      <c r="B749" t="str">
        <f>IF($A749&lt;&gt;"",'All Cases - Enter Cases'!B749,"")</f>
        <v/>
      </c>
      <c r="C749" t="str">
        <f>IF($A749&lt;&gt;"",'All Cases - Enter Cases'!C749,"")</f>
        <v/>
      </c>
      <c r="D749" t="str">
        <f>IF($A749&lt;&gt;"",'All Cases - Enter Cases'!D749,"")</f>
        <v/>
      </c>
      <c r="E749" t="str">
        <f>IF($A749&lt;&gt;"",'All Cases - Enter Cases'!E749,"")</f>
        <v/>
      </c>
      <c r="F749" t="str">
        <f>IF($A749&lt;&gt;"",'All Cases - Enter Cases'!F749,"")</f>
        <v/>
      </c>
      <c r="G749" t="str">
        <f>IF($A749&lt;&gt;"",'All Cases - Enter Cases'!G749,"")</f>
        <v/>
      </c>
      <c r="H749" t="str">
        <f>IF($A749&lt;&gt;"",'All Cases - Enter Cases'!H749,"")</f>
        <v/>
      </c>
      <c r="I749" t="str">
        <f>IF($A749&lt;&gt;"",'All Cases - Enter Cases'!I749,"")</f>
        <v/>
      </c>
      <c r="J749" t="str">
        <f>IF($A749&lt;&gt;"",'All Cases - Enter Cases'!J749,"")</f>
        <v/>
      </c>
      <c r="K749" t="str">
        <f>IF($A749&lt;&gt;"",'All Cases - Enter Cases'!K749,"")</f>
        <v/>
      </c>
      <c r="L749" t="str">
        <f>IF($A749&lt;&gt;"",'All Cases - Enter Cases'!L749,"")</f>
        <v/>
      </c>
      <c r="M749" t="str">
        <f>IF($A749&lt;&gt;"",'All Cases - Enter Cases'!M749,"")</f>
        <v/>
      </c>
    </row>
    <row r="750" spans="1:13" x14ac:dyDescent="0.35">
      <c r="A750" t="str">
        <f>IF('All Cases - Enter Cases'!$F750="Balochistan",'All Cases - Enter Cases'!A750,"")</f>
        <v/>
      </c>
      <c r="B750" t="str">
        <f>IF($A750&lt;&gt;"",'All Cases - Enter Cases'!B750,"")</f>
        <v/>
      </c>
      <c r="C750" t="str">
        <f>IF($A750&lt;&gt;"",'All Cases - Enter Cases'!C750,"")</f>
        <v/>
      </c>
      <c r="D750" t="str">
        <f>IF($A750&lt;&gt;"",'All Cases - Enter Cases'!D750,"")</f>
        <v/>
      </c>
      <c r="E750" t="str">
        <f>IF($A750&lt;&gt;"",'All Cases - Enter Cases'!E750,"")</f>
        <v/>
      </c>
      <c r="F750" t="str">
        <f>IF($A750&lt;&gt;"",'All Cases - Enter Cases'!F750,"")</f>
        <v/>
      </c>
      <c r="G750" t="str">
        <f>IF($A750&lt;&gt;"",'All Cases - Enter Cases'!G750,"")</f>
        <v/>
      </c>
      <c r="H750" t="str">
        <f>IF($A750&lt;&gt;"",'All Cases - Enter Cases'!H750,"")</f>
        <v/>
      </c>
      <c r="I750" t="str">
        <f>IF($A750&lt;&gt;"",'All Cases - Enter Cases'!I750,"")</f>
        <v/>
      </c>
      <c r="J750" t="str">
        <f>IF($A750&lt;&gt;"",'All Cases - Enter Cases'!J750,"")</f>
        <v/>
      </c>
      <c r="K750" t="str">
        <f>IF($A750&lt;&gt;"",'All Cases - Enter Cases'!K750,"")</f>
        <v/>
      </c>
      <c r="L750" t="str">
        <f>IF($A750&lt;&gt;"",'All Cases - Enter Cases'!L750,"")</f>
        <v/>
      </c>
      <c r="M750" t="str">
        <f>IF($A750&lt;&gt;"",'All Cases - Enter Cases'!M750,"")</f>
        <v/>
      </c>
    </row>
    <row r="751" spans="1:13" x14ac:dyDescent="0.35">
      <c r="A751" t="str">
        <f>IF('All Cases - Enter Cases'!$F751="Balochistan",'All Cases - Enter Cases'!A751,"")</f>
        <v/>
      </c>
      <c r="B751" t="str">
        <f>IF($A751&lt;&gt;"",'All Cases - Enter Cases'!B751,"")</f>
        <v/>
      </c>
      <c r="C751" t="str">
        <f>IF($A751&lt;&gt;"",'All Cases - Enter Cases'!C751,"")</f>
        <v/>
      </c>
      <c r="D751" t="str">
        <f>IF($A751&lt;&gt;"",'All Cases - Enter Cases'!D751,"")</f>
        <v/>
      </c>
      <c r="E751" t="str">
        <f>IF($A751&lt;&gt;"",'All Cases - Enter Cases'!E751,"")</f>
        <v/>
      </c>
      <c r="F751" t="str">
        <f>IF($A751&lt;&gt;"",'All Cases - Enter Cases'!F751,"")</f>
        <v/>
      </c>
      <c r="G751" t="str">
        <f>IF($A751&lt;&gt;"",'All Cases - Enter Cases'!G751,"")</f>
        <v/>
      </c>
      <c r="H751" t="str">
        <f>IF($A751&lt;&gt;"",'All Cases - Enter Cases'!H751,"")</f>
        <v/>
      </c>
      <c r="I751" t="str">
        <f>IF($A751&lt;&gt;"",'All Cases - Enter Cases'!I751,"")</f>
        <v/>
      </c>
      <c r="J751" t="str">
        <f>IF($A751&lt;&gt;"",'All Cases - Enter Cases'!J751,"")</f>
        <v/>
      </c>
      <c r="K751" t="str">
        <f>IF($A751&lt;&gt;"",'All Cases - Enter Cases'!K751,"")</f>
        <v/>
      </c>
      <c r="L751" t="str">
        <f>IF($A751&lt;&gt;"",'All Cases - Enter Cases'!L751,"")</f>
        <v/>
      </c>
      <c r="M751" t="str">
        <f>IF($A751&lt;&gt;"",'All Cases - Enter Cases'!M751,"")</f>
        <v/>
      </c>
    </row>
    <row r="752" spans="1:13" x14ac:dyDescent="0.35">
      <c r="A752" t="str">
        <f>IF('All Cases - Enter Cases'!$F752="Balochistan",'All Cases - Enter Cases'!A752,"")</f>
        <v/>
      </c>
      <c r="B752" t="str">
        <f>IF($A752&lt;&gt;"",'All Cases - Enter Cases'!B752,"")</f>
        <v/>
      </c>
      <c r="C752" t="str">
        <f>IF($A752&lt;&gt;"",'All Cases - Enter Cases'!C752,"")</f>
        <v/>
      </c>
      <c r="D752" t="str">
        <f>IF($A752&lt;&gt;"",'All Cases - Enter Cases'!D752,"")</f>
        <v/>
      </c>
      <c r="E752" t="str">
        <f>IF($A752&lt;&gt;"",'All Cases - Enter Cases'!E752,"")</f>
        <v/>
      </c>
      <c r="F752" t="str">
        <f>IF($A752&lt;&gt;"",'All Cases - Enter Cases'!F752,"")</f>
        <v/>
      </c>
      <c r="G752" t="str">
        <f>IF($A752&lt;&gt;"",'All Cases - Enter Cases'!G752,"")</f>
        <v/>
      </c>
      <c r="H752" t="str">
        <f>IF($A752&lt;&gt;"",'All Cases - Enter Cases'!H752,"")</f>
        <v/>
      </c>
      <c r="I752" t="str">
        <f>IF($A752&lt;&gt;"",'All Cases - Enter Cases'!I752,"")</f>
        <v/>
      </c>
      <c r="J752" t="str">
        <f>IF($A752&lt;&gt;"",'All Cases - Enter Cases'!J752,"")</f>
        <v/>
      </c>
      <c r="K752" t="str">
        <f>IF($A752&lt;&gt;"",'All Cases - Enter Cases'!K752,"")</f>
        <v/>
      </c>
      <c r="L752" t="str">
        <f>IF($A752&lt;&gt;"",'All Cases - Enter Cases'!L752,"")</f>
        <v/>
      </c>
      <c r="M752" t="str">
        <f>IF($A752&lt;&gt;"",'All Cases - Enter Cases'!M752,"")</f>
        <v/>
      </c>
    </row>
    <row r="753" spans="1:13" x14ac:dyDescent="0.35">
      <c r="A753" t="str">
        <f>IF('All Cases - Enter Cases'!$F753="Balochistan",'All Cases - Enter Cases'!A753,"")</f>
        <v/>
      </c>
      <c r="B753" t="str">
        <f>IF($A753&lt;&gt;"",'All Cases - Enter Cases'!B753,"")</f>
        <v/>
      </c>
      <c r="C753" t="str">
        <f>IF($A753&lt;&gt;"",'All Cases - Enter Cases'!C753,"")</f>
        <v/>
      </c>
      <c r="D753" t="str">
        <f>IF($A753&lt;&gt;"",'All Cases - Enter Cases'!D753,"")</f>
        <v/>
      </c>
      <c r="E753" t="str">
        <f>IF($A753&lt;&gt;"",'All Cases - Enter Cases'!E753,"")</f>
        <v/>
      </c>
      <c r="F753" t="str">
        <f>IF($A753&lt;&gt;"",'All Cases - Enter Cases'!F753,"")</f>
        <v/>
      </c>
      <c r="G753" t="str">
        <f>IF($A753&lt;&gt;"",'All Cases - Enter Cases'!G753,"")</f>
        <v/>
      </c>
      <c r="H753" t="str">
        <f>IF($A753&lt;&gt;"",'All Cases - Enter Cases'!H753,"")</f>
        <v/>
      </c>
      <c r="I753" t="str">
        <f>IF($A753&lt;&gt;"",'All Cases - Enter Cases'!I753,"")</f>
        <v/>
      </c>
      <c r="J753" t="str">
        <f>IF($A753&lt;&gt;"",'All Cases - Enter Cases'!J753,"")</f>
        <v/>
      </c>
      <c r="K753" t="str">
        <f>IF($A753&lt;&gt;"",'All Cases - Enter Cases'!K753,"")</f>
        <v/>
      </c>
      <c r="L753" t="str">
        <f>IF($A753&lt;&gt;"",'All Cases - Enter Cases'!L753,"")</f>
        <v/>
      </c>
      <c r="M753" t="str">
        <f>IF($A753&lt;&gt;"",'All Cases - Enter Cases'!M753,"")</f>
        <v/>
      </c>
    </row>
    <row r="754" spans="1:13" x14ac:dyDescent="0.35">
      <c r="A754" t="str">
        <f>IF('All Cases - Enter Cases'!$F754="Balochistan",'All Cases - Enter Cases'!A754,"")</f>
        <v/>
      </c>
      <c r="B754" t="str">
        <f>IF($A754&lt;&gt;"",'All Cases - Enter Cases'!B754,"")</f>
        <v/>
      </c>
      <c r="C754" t="str">
        <f>IF($A754&lt;&gt;"",'All Cases - Enter Cases'!C754,"")</f>
        <v/>
      </c>
      <c r="D754" t="str">
        <f>IF($A754&lt;&gt;"",'All Cases - Enter Cases'!D754,"")</f>
        <v/>
      </c>
      <c r="E754" t="str">
        <f>IF($A754&lt;&gt;"",'All Cases - Enter Cases'!E754,"")</f>
        <v/>
      </c>
      <c r="F754" t="str">
        <f>IF($A754&lt;&gt;"",'All Cases - Enter Cases'!F754,"")</f>
        <v/>
      </c>
      <c r="G754" t="str">
        <f>IF($A754&lt;&gt;"",'All Cases - Enter Cases'!G754,"")</f>
        <v/>
      </c>
      <c r="H754" t="str">
        <f>IF($A754&lt;&gt;"",'All Cases - Enter Cases'!H754,"")</f>
        <v/>
      </c>
      <c r="I754" t="str">
        <f>IF($A754&lt;&gt;"",'All Cases - Enter Cases'!I754,"")</f>
        <v/>
      </c>
      <c r="J754" t="str">
        <f>IF($A754&lt;&gt;"",'All Cases - Enter Cases'!J754,"")</f>
        <v/>
      </c>
      <c r="K754" t="str">
        <f>IF($A754&lt;&gt;"",'All Cases - Enter Cases'!K754,"")</f>
        <v/>
      </c>
      <c r="L754" t="str">
        <f>IF($A754&lt;&gt;"",'All Cases - Enter Cases'!L754,"")</f>
        <v/>
      </c>
      <c r="M754" t="str">
        <f>IF($A754&lt;&gt;"",'All Cases - Enter Cases'!M754,"")</f>
        <v/>
      </c>
    </row>
    <row r="755" spans="1:13" x14ac:dyDescent="0.35">
      <c r="A755" t="str">
        <f>IF('All Cases - Enter Cases'!$F755="Balochistan",'All Cases - Enter Cases'!A755,"")</f>
        <v/>
      </c>
      <c r="B755" t="str">
        <f>IF($A755&lt;&gt;"",'All Cases - Enter Cases'!B755,"")</f>
        <v/>
      </c>
      <c r="C755" t="str">
        <f>IF($A755&lt;&gt;"",'All Cases - Enter Cases'!C755,"")</f>
        <v/>
      </c>
      <c r="D755" t="str">
        <f>IF($A755&lt;&gt;"",'All Cases - Enter Cases'!D755,"")</f>
        <v/>
      </c>
      <c r="E755" t="str">
        <f>IF($A755&lt;&gt;"",'All Cases - Enter Cases'!E755,"")</f>
        <v/>
      </c>
      <c r="F755" t="str">
        <f>IF($A755&lt;&gt;"",'All Cases - Enter Cases'!F755,"")</f>
        <v/>
      </c>
      <c r="G755" t="str">
        <f>IF($A755&lt;&gt;"",'All Cases - Enter Cases'!G755,"")</f>
        <v/>
      </c>
      <c r="H755" t="str">
        <f>IF($A755&lt;&gt;"",'All Cases - Enter Cases'!H755,"")</f>
        <v/>
      </c>
      <c r="I755" t="str">
        <f>IF($A755&lt;&gt;"",'All Cases - Enter Cases'!I755,"")</f>
        <v/>
      </c>
      <c r="J755" t="str">
        <f>IF($A755&lt;&gt;"",'All Cases - Enter Cases'!J755,"")</f>
        <v/>
      </c>
      <c r="K755" t="str">
        <f>IF($A755&lt;&gt;"",'All Cases - Enter Cases'!K755,"")</f>
        <v/>
      </c>
      <c r="L755" t="str">
        <f>IF($A755&lt;&gt;"",'All Cases - Enter Cases'!L755,"")</f>
        <v/>
      </c>
      <c r="M755" t="str">
        <f>IF($A755&lt;&gt;"",'All Cases - Enter Cases'!M755,"")</f>
        <v/>
      </c>
    </row>
    <row r="756" spans="1:13" x14ac:dyDescent="0.35">
      <c r="A756" t="str">
        <f>IF('All Cases - Enter Cases'!$F756="Balochistan",'All Cases - Enter Cases'!A756,"")</f>
        <v/>
      </c>
      <c r="B756" t="str">
        <f>IF($A756&lt;&gt;"",'All Cases - Enter Cases'!B756,"")</f>
        <v/>
      </c>
      <c r="C756" t="str">
        <f>IF($A756&lt;&gt;"",'All Cases - Enter Cases'!C756,"")</f>
        <v/>
      </c>
      <c r="D756" t="str">
        <f>IF($A756&lt;&gt;"",'All Cases - Enter Cases'!D756,"")</f>
        <v/>
      </c>
      <c r="E756" t="str">
        <f>IF($A756&lt;&gt;"",'All Cases - Enter Cases'!E756,"")</f>
        <v/>
      </c>
      <c r="F756" t="str">
        <f>IF($A756&lt;&gt;"",'All Cases - Enter Cases'!F756,"")</f>
        <v/>
      </c>
      <c r="G756" t="str">
        <f>IF($A756&lt;&gt;"",'All Cases - Enter Cases'!G756,"")</f>
        <v/>
      </c>
      <c r="H756" t="str">
        <f>IF($A756&lt;&gt;"",'All Cases - Enter Cases'!H756,"")</f>
        <v/>
      </c>
      <c r="I756" t="str">
        <f>IF($A756&lt;&gt;"",'All Cases - Enter Cases'!I756,"")</f>
        <v/>
      </c>
      <c r="J756" t="str">
        <f>IF($A756&lt;&gt;"",'All Cases - Enter Cases'!J756,"")</f>
        <v/>
      </c>
      <c r="K756" t="str">
        <f>IF($A756&lt;&gt;"",'All Cases - Enter Cases'!K756,"")</f>
        <v/>
      </c>
      <c r="L756" t="str">
        <f>IF($A756&lt;&gt;"",'All Cases - Enter Cases'!L756,"")</f>
        <v/>
      </c>
      <c r="M756" t="str">
        <f>IF($A756&lt;&gt;"",'All Cases - Enter Cases'!M756,"")</f>
        <v/>
      </c>
    </row>
    <row r="757" spans="1:13" x14ac:dyDescent="0.35">
      <c r="A757" t="str">
        <f>IF('All Cases - Enter Cases'!$F757="Balochistan",'All Cases - Enter Cases'!A757,"")</f>
        <v/>
      </c>
      <c r="B757" t="str">
        <f>IF($A757&lt;&gt;"",'All Cases - Enter Cases'!B757,"")</f>
        <v/>
      </c>
      <c r="C757" t="str">
        <f>IF($A757&lt;&gt;"",'All Cases - Enter Cases'!C757,"")</f>
        <v/>
      </c>
      <c r="D757" t="str">
        <f>IF($A757&lt;&gt;"",'All Cases - Enter Cases'!D757,"")</f>
        <v/>
      </c>
      <c r="E757" t="str">
        <f>IF($A757&lt;&gt;"",'All Cases - Enter Cases'!E757,"")</f>
        <v/>
      </c>
      <c r="F757" t="str">
        <f>IF($A757&lt;&gt;"",'All Cases - Enter Cases'!F757,"")</f>
        <v/>
      </c>
      <c r="G757" t="str">
        <f>IF($A757&lt;&gt;"",'All Cases - Enter Cases'!G757,"")</f>
        <v/>
      </c>
      <c r="H757" t="str">
        <f>IF($A757&lt;&gt;"",'All Cases - Enter Cases'!H757,"")</f>
        <v/>
      </c>
      <c r="I757" t="str">
        <f>IF($A757&lt;&gt;"",'All Cases - Enter Cases'!I757,"")</f>
        <v/>
      </c>
      <c r="J757" t="str">
        <f>IF($A757&lt;&gt;"",'All Cases - Enter Cases'!J757,"")</f>
        <v/>
      </c>
      <c r="K757" t="str">
        <f>IF($A757&lt;&gt;"",'All Cases - Enter Cases'!K757,"")</f>
        <v/>
      </c>
      <c r="L757" t="str">
        <f>IF($A757&lt;&gt;"",'All Cases - Enter Cases'!L757,"")</f>
        <v/>
      </c>
      <c r="M757" t="str">
        <f>IF($A757&lt;&gt;"",'All Cases - Enter Cases'!M757,"")</f>
        <v/>
      </c>
    </row>
    <row r="758" spans="1:13" x14ac:dyDescent="0.35">
      <c r="A758" t="str">
        <f>IF('All Cases - Enter Cases'!$F758="Balochistan",'All Cases - Enter Cases'!A758,"")</f>
        <v/>
      </c>
      <c r="B758" t="str">
        <f>IF($A758&lt;&gt;"",'All Cases - Enter Cases'!B758,"")</f>
        <v/>
      </c>
      <c r="C758" t="str">
        <f>IF($A758&lt;&gt;"",'All Cases - Enter Cases'!C758,"")</f>
        <v/>
      </c>
      <c r="D758" t="str">
        <f>IF($A758&lt;&gt;"",'All Cases - Enter Cases'!D758,"")</f>
        <v/>
      </c>
      <c r="E758" t="str">
        <f>IF($A758&lt;&gt;"",'All Cases - Enter Cases'!E758,"")</f>
        <v/>
      </c>
      <c r="F758" t="str">
        <f>IF($A758&lt;&gt;"",'All Cases - Enter Cases'!F758,"")</f>
        <v/>
      </c>
      <c r="G758" t="str">
        <f>IF($A758&lt;&gt;"",'All Cases - Enter Cases'!G758,"")</f>
        <v/>
      </c>
      <c r="H758" t="str">
        <f>IF($A758&lt;&gt;"",'All Cases - Enter Cases'!H758,"")</f>
        <v/>
      </c>
      <c r="I758" t="str">
        <f>IF($A758&lt;&gt;"",'All Cases - Enter Cases'!I758,"")</f>
        <v/>
      </c>
      <c r="J758" t="str">
        <f>IF($A758&lt;&gt;"",'All Cases - Enter Cases'!J758,"")</f>
        <v/>
      </c>
      <c r="K758" t="str">
        <f>IF($A758&lt;&gt;"",'All Cases - Enter Cases'!K758,"")</f>
        <v/>
      </c>
      <c r="L758" t="str">
        <f>IF($A758&lt;&gt;"",'All Cases - Enter Cases'!L758,"")</f>
        <v/>
      </c>
      <c r="M758" t="str">
        <f>IF($A758&lt;&gt;"",'All Cases - Enter Cases'!M758,"")</f>
        <v/>
      </c>
    </row>
    <row r="759" spans="1:13" x14ac:dyDescent="0.35">
      <c r="A759" t="str">
        <f>IF('All Cases - Enter Cases'!$F759="Balochistan",'All Cases - Enter Cases'!A759,"")</f>
        <v/>
      </c>
      <c r="B759" t="str">
        <f>IF($A759&lt;&gt;"",'All Cases - Enter Cases'!B759,"")</f>
        <v/>
      </c>
      <c r="C759" t="str">
        <f>IF($A759&lt;&gt;"",'All Cases - Enter Cases'!C759,"")</f>
        <v/>
      </c>
      <c r="D759" t="str">
        <f>IF($A759&lt;&gt;"",'All Cases - Enter Cases'!D759,"")</f>
        <v/>
      </c>
      <c r="E759" t="str">
        <f>IF($A759&lt;&gt;"",'All Cases - Enter Cases'!E759,"")</f>
        <v/>
      </c>
      <c r="F759" t="str">
        <f>IF($A759&lt;&gt;"",'All Cases - Enter Cases'!F759,"")</f>
        <v/>
      </c>
      <c r="G759" t="str">
        <f>IF($A759&lt;&gt;"",'All Cases - Enter Cases'!G759,"")</f>
        <v/>
      </c>
      <c r="H759" t="str">
        <f>IF($A759&lt;&gt;"",'All Cases - Enter Cases'!H759,"")</f>
        <v/>
      </c>
      <c r="I759" t="str">
        <f>IF($A759&lt;&gt;"",'All Cases - Enter Cases'!I759,"")</f>
        <v/>
      </c>
      <c r="J759" t="str">
        <f>IF($A759&lt;&gt;"",'All Cases - Enter Cases'!J759,"")</f>
        <v/>
      </c>
      <c r="K759" t="str">
        <f>IF($A759&lt;&gt;"",'All Cases - Enter Cases'!K759,"")</f>
        <v/>
      </c>
      <c r="L759" t="str">
        <f>IF($A759&lt;&gt;"",'All Cases - Enter Cases'!L759,"")</f>
        <v/>
      </c>
      <c r="M759" t="str">
        <f>IF($A759&lt;&gt;"",'All Cases - Enter Cases'!M759,"")</f>
        <v/>
      </c>
    </row>
    <row r="760" spans="1:13" x14ac:dyDescent="0.35">
      <c r="A760" t="str">
        <f>IF('All Cases - Enter Cases'!$F760="Balochistan",'All Cases - Enter Cases'!A760,"")</f>
        <v/>
      </c>
      <c r="B760" t="str">
        <f>IF($A760&lt;&gt;"",'All Cases - Enter Cases'!B760,"")</f>
        <v/>
      </c>
      <c r="C760" t="str">
        <f>IF($A760&lt;&gt;"",'All Cases - Enter Cases'!C760,"")</f>
        <v/>
      </c>
      <c r="D760" t="str">
        <f>IF($A760&lt;&gt;"",'All Cases - Enter Cases'!D760,"")</f>
        <v/>
      </c>
      <c r="E760" t="str">
        <f>IF($A760&lt;&gt;"",'All Cases - Enter Cases'!E760,"")</f>
        <v/>
      </c>
      <c r="F760" t="str">
        <f>IF($A760&lt;&gt;"",'All Cases - Enter Cases'!F760,"")</f>
        <v/>
      </c>
      <c r="G760" t="str">
        <f>IF($A760&lt;&gt;"",'All Cases - Enter Cases'!G760,"")</f>
        <v/>
      </c>
      <c r="H760" t="str">
        <f>IF($A760&lt;&gt;"",'All Cases - Enter Cases'!H760,"")</f>
        <v/>
      </c>
      <c r="I760" t="str">
        <f>IF($A760&lt;&gt;"",'All Cases - Enter Cases'!I760,"")</f>
        <v/>
      </c>
      <c r="J760" t="str">
        <f>IF($A760&lt;&gt;"",'All Cases - Enter Cases'!J760,"")</f>
        <v/>
      </c>
      <c r="K760" t="str">
        <f>IF($A760&lt;&gt;"",'All Cases - Enter Cases'!K760,"")</f>
        <v/>
      </c>
      <c r="L760" t="str">
        <f>IF($A760&lt;&gt;"",'All Cases - Enter Cases'!L760,"")</f>
        <v/>
      </c>
      <c r="M760" t="str">
        <f>IF($A760&lt;&gt;"",'All Cases - Enter Cases'!M760,"")</f>
        <v/>
      </c>
    </row>
    <row r="761" spans="1:13" x14ac:dyDescent="0.35">
      <c r="A761" t="str">
        <f>IF('All Cases - Enter Cases'!$F761="Balochistan",'All Cases - Enter Cases'!A761,"")</f>
        <v/>
      </c>
      <c r="B761" t="str">
        <f>IF($A761&lt;&gt;"",'All Cases - Enter Cases'!B761,"")</f>
        <v/>
      </c>
      <c r="C761" t="str">
        <f>IF($A761&lt;&gt;"",'All Cases - Enter Cases'!C761,"")</f>
        <v/>
      </c>
      <c r="D761" t="str">
        <f>IF($A761&lt;&gt;"",'All Cases - Enter Cases'!D761,"")</f>
        <v/>
      </c>
      <c r="E761" t="str">
        <f>IF($A761&lt;&gt;"",'All Cases - Enter Cases'!E761,"")</f>
        <v/>
      </c>
      <c r="F761" t="str">
        <f>IF($A761&lt;&gt;"",'All Cases - Enter Cases'!F761,"")</f>
        <v/>
      </c>
      <c r="G761" t="str">
        <f>IF($A761&lt;&gt;"",'All Cases - Enter Cases'!G761,"")</f>
        <v/>
      </c>
      <c r="H761" t="str">
        <f>IF($A761&lt;&gt;"",'All Cases - Enter Cases'!H761,"")</f>
        <v/>
      </c>
      <c r="I761" t="str">
        <f>IF($A761&lt;&gt;"",'All Cases - Enter Cases'!I761,"")</f>
        <v/>
      </c>
      <c r="J761" t="str">
        <f>IF($A761&lt;&gt;"",'All Cases - Enter Cases'!J761,"")</f>
        <v/>
      </c>
      <c r="K761" t="str">
        <f>IF($A761&lt;&gt;"",'All Cases - Enter Cases'!K761,"")</f>
        <v/>
      </c>
      <c r="L761" t="str">
        <f>IF($A761&lt;&gt;"",'All Cases - Enter Cases'!L761,"")</f>
        <v/>
      </c>
      <c r="M761" t="str">
        <f>IF($A761&lt;&gt;"",'All Cases - Enter Cases'!M761,"")</f>
        <v/>
      </c>
    </row>
    <row r="762" spans="1:13" x14ac:dyDescent="0.35">
      <c r="A762" t="str">
        <f>IF('All Cases - Enter Cases'!$F762="Balochistan",'All Cases - Enter Cases'!A762,"")</f>
        <v/>
      </c>
      <c r="B762" t="str">
        <f>IF($A762&lt;&gt;"",'All Cases - Enter Cases'!B762,"")</f>
        <v/>
      </c>
      <c r="C762" t="str">
        <f>IF($A762&lt;&gt;"",'All Cases - Enter Cases'!C762,"")</f>
        <v/>
      </c>
      <c r="D762" t="str">
        <f>IF($A762&lt;&gt;"",'All Cases - Enter Cases'!D762,"")</f>
        <v/>
      </c>
      <c r="E762" t="str">
        <f>IF($A762&lt;&gt;"",'All Cases - Enter Cases'!E762,"")</f>
        <v/>
      </c>
      <c r="F762" t="str">
        <f>IF($A762&lt;&gt;"",'All Cases - Enter Cases'!F762,"")</f>
        <v/>
      </c>
      <c r="G762" t="str">
        <f>IF($A762&lt;&gt;"",'All Cases - Enter Cases'!G762,"")</f>
        <v/>
      </c>
      <c r="H762" t="str">
        <f>IF($A762&lt;&gt;"",'All Cases - Enter Cases'!H762,"")</f>
        <v/>
      </c>
      <c r="I762" t="str">
        <f>IF($A762&lt;&gt;"",'All Cases - Enter Cases'!I762,"")</f>
        <v/>
      </c>
      <c r="J762" t="str">
        <f>IF($A762&lt;&gt;"",'All Cases - Enter Cases'!J762,"")</f>
        <v/>
      </c>
      <c r="K762" t="str">
        <f>IF($A762&lt;&gt;"",'All Cases - Enter Cases'!K762,"")</f>
        <v/>
      </c>
      <c r="L762" t="str">
        <f>IF($A762&lt;&gt;"",'All Cases - Enter Cases'!L762,"")</f>
        <v/>
      </c>
      <c r="M762" t="str">
        <f>IF($A762&lt;&gt;"",'All Cases - Enter Cases'!M762,"")</f>
        <v/>
      </c>
    </row>
    <row r="763" spans="1:13" x14ac:dyDescent="0.35">
      <c r="A763" t="str">
        <f>IF('All Cases - Enter Cases'!$F763="Balochistan",'All Cases - Enter Cases'!A763,"")</f>
        <v/>
      </c>
      <c r="B763" t="str">
        <f>IF($A763&lt;&gt;"",'All Cases - Enter Cases'!B763,"")</f>
        <v/>
      </c>
      <c r="C763" t="str">
        <f>IF($A763&lt;&gt;"",'All Cases - Enter Cases'!C763,"")</f>
        <v/>
      </c>
      <c r="D763" t="str">
        <f>IF($A763&lt;&gt;"",'All Cases - Enter Cases'!D763,"")</f>
        <v/>
      </c>
      <c r="E763" t="str">
        <f>IF($A763&lt;&gt;"",'All Cases - Enter Cases'!E763,"")</f>
        <v/>
      </c>
      <c r="F763" t="str">
        <f>IF($A763&lt;&gt;"",'All Cases - Enter Cases'!F763,"")</f>
        <v/>
      </c>
      <c r="G763" t="str">
        <f>IF($A763&lt;&gt;"",'All Cases - Enter Cases'!G763,"")</f>
        <v/>
      </c>
      <c r="H763" t="str">
        <f>IF($A763&lt;&gt;"",'All Cases - Enter Cases'!H763,"")</f>
        <v/>
      </c>
      <c r="I763" t="str">
        <f>IF($A763&lt;&gt;"",'All Cases - Enter Cases'!I763,"")</f>
        <v/>
      </c>
      <c r="J763" t="str">
        <f>IF($A763&lt;&gt;"",'All Cases - Enter Cases'!J763,"")</f>
        <v/>
      </c>
      <c r="K763" t="str">
        <f>IF($A763&lt;&gt;"",'All Cases - Enter Cases'!K763,"")</f>
        <v/>
      </c>
      <c r="L763" t="str">
        <f>IF($A763&lt;&gt;"",'All Cases - Enter Cases'!L763,"")</f>
        <v/>
      </c>
      <c r="M763" t="str">
        <f>IF($A763&lt;&gt;"",'All Cases - Enter Cases'!M763,"")</f>
        <v/>
      </c>
    </row>
    <row r="764" spans="1:13" x14ac:dyDescent="0.35">
      <c r="A764" t="str">
        <f>IF('All Cases - Enter Cases'!$F764="Balochistan",'All Cases - Enter Cases'!A764,"")</f>
        <v/>
      </c>
      <c r="B764" t="str">
        <f>IF($A764&lt;&gt;"",'All Cases - Enter Cases'!B764,"")</f>
        <v/>
      </c>
      <c r="C764" t="str">
        <f>IF($A764&lt;&gt;"",'All Cases - Enter Cases'!C764,"")</f>
        <v/>
      </c>
      <c r="D764" t="str">
        <f>IF($A764&lt;&gt;"",'All Cases - Enter Cases'!D764,"")</f>
        <v/>
      </c>
      <c r="E764" t="str">
        <f>IF($A764&lt;&gt;"",'All Cases - Enter Cases'!E764,"")</f>
        <v/>
      </c>
      <c r="F764" t="str">
        <f>IF($A764&lt;&gt;"",'All Cases - Enter Cases'!F764,"")</f>
        <v/>
      </c>
      <c r="G764" t="str">
        <f>IF($A764&lt;&gt;"",'All Cases - Enter Cases'!G764,"")</f>
        <v/>
      </c>
      <c r="H764" t="str">
        <f>IF($A764&lt;&gt;"",'All Cases - Enter Cases'!H764,"")</f>
        <v/>
      </c>
      <c r="I764" t="str">
        <f>IF($A764&lt;&gt;"",'All Cases - Enter Cases'!I764,"")</f>
        <v/>
      </c>
      <c r="J764" t="str">
        <f>IF($A764&lt;&gt;"",'All Cases - Enter Cases'!J764,"")</f>
        <v/>
      </c>
      <c r="K764" t="str">
        <f>IF($A764&lt;&gt;"",'All Cases - Enter Cases'!K764,"")</f>
        <v/>
      </c>
      <c r="L764" t="str">
        <f>IF($A764&lt;&gt;"",'All Cases - Enter Cases'!L764,"")</f>
        <v/>
      </c>
      <c r="M764" t="str">
        <f>IF($A764&lt;&gt;"",'All Cases - Enter Cases'!M764,"")</f>
        <v/>
      </c>
    </row>
    <row r="765" spans="1:13" x14ac:dyDescent="0.35">
      <c r="A765" t="str">
        <f>IF('All Cases - Enter Cases'!$F765="Balochistan",'All Cases - Enter Cases'!A765,"")</f>
        <v/>
      </c>
      <c r="B765" t="str">
        <f>IF($A765&lt;&gt;"",'All Cases - Enter Cases'!B765,"")</f>
        <v/>
      </c>
      <c r="C765" t="str">
        <f>IF($A765&lt;&gt;"",'All Cases - Enter Cases'!C765,"")</f>
        <v/>
      </c>
      <c r="D765" t="str">
        <f>IF($A765&lt;&gt;"",'All Cases - Enter Cases'!D765,"")</f>
        <v/>
      </c>
      <c r="E765" t="str">
        <f>IF($A765&lt;&gt;"",'All Cases - Enter Cases'!E765,"")</f>
        <v/>
      </c>
      <c r="F765" t="str">
        <f>IF($A765&lt;&gt;"",'All Cases - Enter Cases'!F765,"")</f>
        <v/>
      </c>
      <c r="G765" t="str">
        <f>IF($A765&lt;&gt;"",'All Cases - Enter Cases'!G765,"")</f>
        <v/>
      </c>
      <c r="H765" t="str">
        <f>IF($A765&lt;&gt;"",'All Cases - Enter Cases'!H765,"")</f>
        <v/>
      </c>
      <c r="I765" t="str">
        <f>IF($A765&lt;&gt;"",'All Cases - Enter Cases'!I765,"")</f>
        <v/>
      </c>
      <c r="J765" t="str">
        <f>IF($A765&lt;&gt;"",'All Cases - Enter Cases'!J765,"")</f>
        <v/>
      </c>
      <c r="K765" t="str">
        <f>IF($A765&lt;&gt;"",'All Cases - Enter Cases'!K765,"")</f>
        <v/>
      </c>
      <c r="L765" t="str">
        <f>IF($A765&lt;&gt;"",'All Cases - Enter Cases'!L765,"")</f>
        <v/>
      </c>
      <c r="M765" t="str">
        <f>IF($A765&lt;&gt;"",'All Cases - Enter Cases'!M765,"")</f>
        <v/>
      </c>
    </row>
    <row r="766" spans="1:13" x14ac:dyDescent="0.35">
      <c r="A766" t="str">
        <f>IF('All Cases - Enter Cases'!$F766="Balochistan",'All Cases - Enter Cases'!A766,"")</f>
        <v/>
      </c>
      <c r="B766" t="str">
        <f>IF($A766&lt;&gt;"",'All Cases - Enter Cases'!B766,"")</f>
        <v/>
      </c>
      <c r="C766" t="str">
        <f>IF($A766&lt;&gt;"",'All Cases - Enter Cases'!C766,"")</f>
        <v/>
      </c>
      <c r="D766" t="str">
        <f>IF($A766&lt;&gt;"",'All Cases - Enter Cases'!D766,"")</f>
        <v/>
      </c>
      <c r="E766" t="str">
        <f>IF($A766&lt;&gt;"",'All Cases - Enter Cases'!E766,"")</f>
        <v/>
      </c>
      <c r="F766" t="str">
        <f>IF($A766&lt;&gt;"",'All Cases - Enter Cases'!F766,"")</f>
        <v/>
      </c>
      <c r="G766" t="str">
        <f>IF($A766&lt;&gt;"",'All Cases - Enter Cases'!G766,"")</f>
        <v/>
      </c>
      <c r="H766" t="str">
        <f>IF($A766&lt;&gt;"",'All Cases - Enter Cases'!H766,"")</f>
        <v/>
      </c>
      <c r="I766" t="str">
        <f>IF($A766&lt;&gt;"",'All Cases - Enter Cases'!I766,"")</f>
        <v/>
      </c>
      <c r="J766" t="str">
        <f>IF($A766&lt;&gt;"",'All Cases - Enter Cases'!J766,"")</f>
        <v/>
      </c>
      <c r="K766" t="str">
        <f>IF($A766&lt;&gt;"",'All Cases - Enter Cases'!K766,"")</f>
        <v/>
      </c>
      <c r="L766" t="str">
        <f>IF($A766&lt;&gt;"",'All Cases - Enter Cases'!L766,"")</f>
        <v/>
      </c>
      <c r="M766" t="str">
        <f>IF($A766&lt;&gt;"",'All Cases - Enter Cases'!M766,"")</f>
        <v/>
      </c>
    </row>
    <row r="767" spans="1:13" x14ac:dyDescent="0.35">
      <c r="A767" t="str">
        <f>IF('All Cases - Enter Cases'!$F767="Balochistan",'All Cases - Enter Cases'!A767,"")</f>
        <v/>
      </c>
      <c r="B767" t="str">
        <f>IF($A767&lt;&gt;"",'All Cases - Enter Cases'!B767,"")</f>
        <v/>
      </c>
      <c r="C767" t="str">
        <f>IF($A767&lt;&gt;"",'All Cases - Enter Cases'!C767,"")</f>
        <v/>
      </c>
      <c r="D767" t="str">
        <f>IF($A767&lt;&gt;"",'All Cases - Enter Cases'!D767,"")</f>
        <v/>
      </c>
      <c r="E767" t="str">
        <f>IF($A767&lt;&gt;"",'All Cases - Enter Cases'!E767,"")</f>
        <v/>
      </c>
      <c r="F767" t="str">
        <f>IF($A767&lt;&gt;"",'All Cases - Enter Cases'!F767,"")</f>
        <v/>
      </c>
      <c r="G767" t="str">
        <f>IF($A767&lt;&gt;"",'All Cases - Enter Cases'!G767,"")</f>
        <v/>
      </c>
      <c r="H767" t="str">
        <f>IF($A767&lt;&gt;"",'All Cases - Enter Cases'!H767,"")</f>
        <v/>
      </c>
      <c r="I767" t="str">
        <f>IF($A767&lt;&gt;"",'All Cases - Enter Cases'!I767,"")</f>
        <v/>
      </c>
      <c r="J767" t="str">
        <f>IF($A767&lt;&gt;"",'All Cases - Enter Cases'!J767,"")</f>
        <v/>
      </c>
      <c r="K767" t="str">
        <f>IF($A767&lt;&gt;"",'All Cases - Enter Cases'!K767,"")</f>
        <v/>
      </c>
      <c r="L767" t="str">
        <f>IF($A767&lt;&gt;"",'All Cases - Enter Cases'!L767,"")</f>
        <v/>
      </c>
      <c r="M767" t="str">
        <f>IF($A767&lt;&gt;"",'All Cases - Enter Cases'!M767,"")</f>
        <v/>
      </c>
    </row>
    <row r="768" spans="1:13" x14ac:dyDescent="0.35">
      <c r="A768" t="str">
        <f>IF('All Cases - Enter Cases'!$F768="Balochistan",'All Cases - Enter Cases'!A768,"")</f>
        <v/>
      </c>
      <c r="B768" t="str">
        <f>IF($A768&lt;&gt;"",'All Cases - Enter Cases'!B768,"")</f>
        <v/>
      </c>
      <c r="C768" t="str">
        <f>IF($A768&lt;&gt;"",'All Cases - Enter Cases'!C768,"")</f>
        <v/>
      </c>
      <c r="D768" t="str">
        <f>IF($A768&lt;&gt;"",'All Cases - Enter Cases'!D768,"")</f>
        <v/>
      </c>
      <c r="E768" t="str">
        <f>IF($A768&lt;&gt;"",'All Cases - Enter Cases'!E768,"")</f>
        <v/>
      </c>
      <c r="F768" t="str">
        <f>IF($A768&lt;&gt;"",'All Cases - Enter Cases'!F768,"")</f>
        <v/>
      </c>
      <c r="G768" t="str">
        <f>IF($A768&lt;&gt;"",'All Cases - Enter Cases'!G768,"")</f>
        <v/>
      </c>
      <c r="H768" t="str">
        <f>IF($A768&lt;&gt;"",'All Cases - Enter Cases'!H768,"")</f>
        <v/>
      </c>
      <c r="I768" t="str">
        <f>IF($A768&lt;&gt;"",'All Cases - Enter Cases'!I768,"")</f>
        <v/>
      </c>
      <c r="J768" t="str">
        <f>IF($A768&lt;&gt;"",'All Cases - Enter Cases'!J768,"")</f>
        <v/>
      </c>
      <c r="K768" t="str">
        <f>IF($A768&lt;&gt;"",'All Cases - Enter Cases'!K768,"")</f>
        <v/>
      </c>
      <c r="L768" t="str">
        <f>IF($A768&lt;&gt;"",'All Cases - Enter Cases'!L768,"")</f>
        <v/>
      </c>
      <c r="M768" t="str">
        <f>IF($A768&lt;&gt;"",'All Cases - Enter Cases'!M768,"")</f>
        <v/>
      </c>
    </row>
    <row r="769" spans="1:13" x14ac:dyDescent="0.35">
      <c r="A769" t="str">
        <f>IF('All Cases - Enter Cases'!$F769="Balochistan",'All Cases - Enter Cases'!A769,"")</f>
        <v/>
      </c>
      <c r="B769" t="str">
        <f>IF($A769&lt;&gt;"",'All Cases - Enter Cases'!B769,"")</f>
        <v/>
      </c>
      <c r="C769" t="str">
        <f>IF($A769&lt;&gt;"",'All Cases - Enter Cases'!C769,"")</f>
        <v/>
      </c>
      <c r="D769" t="str">
        <f>IF($A769&lt;&gt;"",'All Cases - Enter Cases'!D769,"")</f>
        <v/>
      </c>
      <c r="E769" t="str">
        <f>IF($A769&lt;&gt;"",'All Cases - Enter Cases'!E769,"")</f>
        <v/>
      </c>
      <c r="F769" t="str">
        <f>IF($A769&lt;&gt;"",'All Cases - Enter Cases'!F769,"")</f>
        <v/>
      </c>
      <c r="G769" t="str">
        <f>IF($A769&lt;&gt;"",'All Cases - Enter Cases'!G769,"")</f>
        <v/>
      </c>
      <c r="H769" t="str">
        <f>IF($A769&lt;&gt;"",'All Cases - Enter Cases'!H769,"")</f>
        <v/>
      </c>
      <c r="I769" t="str">
        <f>IF($A769&lt;&gt;"",'All Cases - Enter Cases'!I769,"")</f>
        <v/>
      </c>
      <c r="J769" t="str">
        <f>IF($A769&lt;&gt;"",'All Cases - Enter Cases'!J769,"")</f>
        <v/>
      </c>
      <c r="K769" t="str">
        <f>IF($A769&lt;&gt;"",'All Cases - Enter Cases'!K769,"")</f>
        <v/>
      </c>
      <c r="L769" t="str">
        <f>IF($A769&lt;&gt;"",'All Cases - Enter Cases'!L769,"")</f>
        <v/>
      </c>
      <c r="M769" t="str">
        <f>IF($A769&lt;&gt;"",'All Cases - Enter Cases'!M769,"")</f>
        <v/>
      </c>
    </row>
    <row r="770" spans="1:13" x14ac:dyDescent="0.35">
      <c r="A770" t="str">
        <f>IF('All Cases - Enter Cases'!$F770="Balochistan",'All Cases - Enter Cases'!A770,"")</f>
        <v/>
      </c>
      <c r="B770" t="str">
        <f>IF($A770&lt;&gt;"",'All Cases - Enter Cases'!B770,"")</f>
        <v/>
      </c>
      <c r="C770" t="str">
        <f>IF($A770&lt;&gt;"",'All Cases - Enter Cases'!C770,"")</f>
        <v/>
      </c>
      <c r="D770" t="str">
        <f>IF($A770&lt;&gt;"",'All Cases - Enter Cases'!D770,"")</f>
        <v/>
      </c>
      <c r="E770" t="str">
        <f>IF($A770&lt;&gt;"",'All Cases - Enter Cases'!E770,"")</f>
        <v/>
      </c>
      <c r="F770" t="str">
        <f>IF($A770&lt;&gt;"",'All Cases - Enter Cases'!F770,"")</f>
        <v/>
      </c>
      <c r="G770" t="str">
        <f>IF($A770&lt;&gt;"",'All Cases - Enter Cases'!G770,"")</f>
        <v/>
      </c>
      <c r="H770" t="str">
        <f>IF($A770&lt;&gt;"",'All Cases - Enter Cases'!H770,"")</f>
        <v/>
      </c>
      <c r="I770" t="str">
        <f>IF($A770&lt;&gt;"",'All Cases - Enter Cases'!I770,"")</f>
        <v/>
      </c>
      <c r="J770" t="str">
        <f>IF($A770&lt;&gt;"",'All Cases - Enter Cases'!J770,"")</f>
        <v/>
      </c>
      <c r="K770" t="str">
        <f>IF($A770&lt;&gt;"",'All Cases - Enter Cases'!K770,"")</f>
        <v/>
      </c>
      <c r="L770" t="str">
        <f>IF($A770&lt;&gt;"",'All Cases - Enter Cases'!L770,"")</f>
        <v/>
      </c>
      <c r="M770" t="str">
        <f>IF($A770&lt;&gt;"",'All Cases - Enter Cases'!M770,"")</f>
        <v/>
      </c>
    </row>
    <row r="771" spans="1:13" x14ac:dyDescent="0.35">
      <c r="A771" t="str">
        <f>IF('All Cases - Enter Cases'!$F771="Balochistan",'All Cases - Enter Cases'!A771,"")</f>
        <v/>
      </c>
      <c r="B771" t="str">
        <f>IF($A771&lt;&gt;"",'All Cases - Enter Cases'!B771,"")</f>
        <v/>
      </c>
      <c r="C771" t="str">
        <f>IF($A771&lt;&gt;"",'All Cases - Enter Cases'!C771,"")</f>
        <v/>
      </c>
      <c r="D771" t="str">
        <f>IF($A771&lt;&gt;"",'All Cases - Enter Cases'!D771,"")</f>
        <v/>
      </c>
      <c r="E771" t="str">
        <f>IF($A771&lt;&gt;"",'All Cases - Enter Cases'!E771,"")</f>
        <v/>
      </c>
      <c r="F771" t="str">
        <f>IF($A771&lt;&gt;"",'All Cases - Enter Cases'!F771,"")</f>
        <v/>
      </c>
      <c r="G771" t="str">
        <f>IF($A771&lt;&gt;"",'All Cases - Enter Cases'!G771,"")</f>
        <v/>
      </c>
      <c r="H771" t="str">
        <f>IF($A771&lt;&gt;"",'All Cases - Enter Cases'!H771,"")</f>
        <v/>
      </c>
      <c r="I771" t="str">
        <f>IF($A771&lt;&gt;"",'All Cases - Enter Cases'!I771,"")</f>
        <v/>
      </c>
      <c r="J771" t="str">
        <f>IF($A771&lt;&gt;"",'All Cases - Enter Cases'!J771,"")</f>
        <v/>
      </c>
      <c r="K771" t="str">
        <f>IF($A771&lt;&gt;"",'All Cases - Enter Cases'!K771,"")</f>
        <v/>
      </c>
      <c r="L771" t="str">
        <f>IF($A771&lt;&gt;"",'All Cases - Enter Cases'!L771,"")</f>
        <v/>
      </c>
      <c r="M771" t="str">
        <f>IF($A771&lt;&gt;"",'All Cases - Enter Cases'!M771,"")</f>
        <v/>
      </c>
    </row>
    <row r="772" spans="1:13" x14ac:dyDescent="0.35">
      <c r="A772" t="str">
        <f>IF('All Cases - Enter Cases'!$F772="Balochistan",'All Cases - Enter Cases'!A772,"")</f>
        <v/>
      </c>
      <c r="B772" t="str">
        <f>IF($A772&lt;&gt;"",'All Cases - Enter Cases'!B772,"")</f>
        <v/>
      </c>
      <c r="C772" t="str">
        <f>IF($A772&lt;&gt;"",'All Cases - Enter Cases'!C772,"")</f>
        <v/>
      </c>
      <c r="D772" t="str">
        <f>IF($A772&lt;&gt;"",'All Cases - Enter Cases'!D772,"")</f>
        <v/>
      </c>
      <c r="E772" t="str">
        <f>IF($A772&lt;&gt;"",'All Cases - Enter Cases'!E772,"")</f>
        <v/>
      </c>
      <c r="F772" t="str">
        <f>IF($A772&lt;&gt;"",'All Cases - Enter Cases'!F772,"")</f>
        <v/>
      </c>
      <c r="G772" t="str">
        <f>IF($A772&lt;&gt;"",'All Cases - Enter Cases'!G772,"")</f>
        <v/>
      </c>
      <c r="H772" t="str">
        <f>IF($A772&lt;&gt;"",'All Cases - Enter Cases'!H772,"")</f>
        <v/>
      </c>
      <c r="I772" t="str">
        <f>IF($A772&lt;&gt;"",'All Cases - Enter Cases'!I772,"")</f>
        <v/>
      </c>
      <c r="J772" t="str">
        <f>IF($A772&lt;&gt;"",'All Cases - Enter Cases'!J772,"")</f>
        <v/>
      </c>
      <c r="K772" t="str">
        <f>IF($A772&lt;&gt;"",'All Cases - Enter Cases'!K772,"")</f>
        <v/>
      </c>
      <c r="L772" t="str">
        <f>IF($A772&lt;&gt;"",'All Cases - Enter Cases'!L772,"")</f>
        <v/>
      </c>
      <c r="M772" t="str">
        <f>IF($A772&lt;&gt;"",'All Cases - Enter Cases'!M772,"")</f>
        <v/>
      </c>
    </row>
    <row r="773" spans="1:13" x14ac:dyDescent="0.35">
      <c r="A773" t="str">
        <f>IF('All Cases - Enter Cases'!$F773="Balochistan",'All Cases - Enter Cases'!A773,"")</f>
        <v/>
      </c>
      <c r="B773" t="str">
        <f>IF($A773&lt;&gt;"",'All Cases - Enter Cases'!B773,"")</f>
        <v/>
      </c>
      <c r="C773" t="str">
        <f>IF($A773&lt;&gt;"",'All Cases - Enter Cases'!C773,"")</f>
        <v/>
      </c>
      <c r="D773" t="str">
        <f>IF($A773&lt;&gt;"",'All Cases - Enter Cases'!D773,"")</f>
        <v/>
      </c>
      <c r="E773" t="str">
        <f>IF($A773&lt;&gt;"",'All Cases - Enter Cases'!E773,"")</f>
        <v/>
      </c>
      <c r="F773" t="str">
        <f>IF($A773&lt;&gt;"",'All Cases - Enter Cases'!F773,"")</f>
        <v/>
      </c>
      <c r="G773" t="str">
        <f>IF($A773&lt;&gt;"",'All Cases - Enter Cases'!G773,"")</f>
        <v/>
      </c>
      <c r="H773" t="str">
        <f>IF($A773&lt;&gt;"",'All Cases - Enter Cases'!H773,"")</f>
        <v/>
      </c>
      <c r="I773" t="str">
        <f>IF($A773&lt;&gt;"",'All Cases - Enter Cases'!I773,"")</f>
        <v/>
      </c>
      <c r="J773" t="str">
        <f>IF($A773&lt;&gt;"",'All Cases - Enter Cases'!J773,"")</f>
        <v/>
      </c>
      <c r="K773" t="str">
        <f>IF($A773&lt;&gt;"",'All Cases - Enter Cases'!K773,"")</f>
        <v/>
      </c>
      <c r="L773" t="str">
        <f>IF($A773&lt;&gt;"",'All Cases - Enter Cases'!L773,"")</f>
        <v/>
      </c>
      <c r="M773" t="str">
        <f>IF($A773&lt;&gt;"",'All Cases - Enter Cases'!M773,"")</f>
        <v/>
      </c>
    </row>
    <row r="774" spans="1:13" x14ac:dyDescent="0.35">
      <c r="A774" t="str">
        <f>IF('All Cases - Enter Cases'!$F774="Balochistan",'All Cases - Enter Cases'!A774,"")</f>
        <v/>
      </c>
      <c r="B774" t="str">
        <f>IF($A774&lt;&gt;"",'All Cases - Enter Cases'!B774,"")</f>
        <v/>
      </c>
      <c r="C774" t="str">
        <f>IF($A774&lt;&gt;"",'All Cases - Enter Cases'!C774,"")</f>
        <v/>
      </c>
      <c r="D774" t="str">
        <f>IF($A774&lt;&gt;"",'All Cases - Enter Cases'!D774,"")</f>
        <v/>
      </c>
      <c r="E774" t="str">
        <f>IF($A774&lt;&gt;"",'All Cases - Enter Cases'!E774,"")</f>
        <v/>
      </c>
      <c r="F774" t="str">
        <f>IF($A774&lt;&gt;"",'All Cases - Enter Cases'!F774,"")</f>
        <v/>
      </c>
      <c r="G774" t="str">
        <f>IF($A774&lt;&gt;"",'All Cases - Enter Cases'!G774,"")</f>
        <v/>
      </c>
      <c r="H774" t="str">
        <f>IF($A774&lt;&gt;"",'All Cases - Enter Cases'!H774,"")</f>
        <v/>
      </c>
      <c r="I774" t="str">
        <f>IF($A774&lt;&gt;"",'All Cases - Enter Cases'!I774,"")</f>
        <v/>
      </c>
      <c r="J774" t="str">
        <f>IF($A774&lt;&gt;"",'All Cases - Enter Cases'!J774,"")</f>
        <v/>
      </c>
      <c r="K774" t="str">
        <f>IF($A774&lt;&gt;"",'All Cases - Enter Cases'!K774,"")</f>
        <v/>
      </c>
      <c r="L774" t="str">
        <f>IF($A774&lt;&gt;"",'All Cases - Enter Cases'!L774,"")</f>
        <v/>
      </c>
      <c r="M774" t="str">
        <f>IF($A774&lt;&gt;"",'All Cases - Enter Cases'!M774,"")</f>
        <v/>
      </c>
    </row>
    <row r="775" spans="1:13" x14ac:dyDescent="0.35">
      <c r="A775" t="str">
        <f>IF('All Cases - Enter Cases'!$F775="Balochistan",'All Cases - Enter Cases'!A775,"")</f>
        <v/>
      </c>
      <c r="B775" t="str">
        <f>IF($A775&lt;&gt;"",'All Cases - Enter Cases'!B775,"")</f>
        <v/>
      </c>
      <c r="C775" t="str">
        <f>IF($A775&lt;&gt;"",'All Cases - Enter Cases'!C775,"")</f>
        <v/>
      </c>
      <c r="D775" t="str">
        <f>IF($A775&lt;&gt;"",'All Cases - Enter Cases'!D775,"")</f>
        <v/>
      </c>
      <c r="E775" t="str">
        <f>IF($A775&lt;&gt;"",'All Cases - Enter Cases'!E775,"")</f>
        <v/>
      </c>
      <c r="F775" t="str">
        <f>IF($A775&lt;&gt;"",'All Cases - Enter Cases'!F775,"")</f>
        <v/>
      </c>
      <c r="G775" t="str">
        <f>IF($A775&lt;&gt;"",'All Cases - Enter Cases'!G775,"")</f>
        <v/>
      </c>
      <c r="H775" t="str">
        <f>IF($A775&lt;&gt;"",'All Cases - Enter Cases'!H775,"")</f>
        <v/>
      </c>
      <c r="I775" t="str">
        <f>IF($A775&lt;&gt;"",'All Cases - Enter Cases'!I775,"")</f>
        <v/>
      </c>
      <c r="J775" t="str">
        <f>IF($A775&lt;&gt;"",'All Cases - Enter Cases'!J775,"")</f>
        <v/>
      </c>
      <c r="K775" t="str">
        <f>IF($A775&lt;&gt;"",'All Cases - Enter Cases'!K775,"")</f>
        <v/>
      </c>
      <c r="L775" t="str">
        <f>IF($A775&lt;&gt;"",'All Cases - Enter Cases'!L775,"")</f>
        <v/>
      </c>
      <c r="M775" t="str">
        <f>IF($A775&lt;&gt;"",'All Cases - Enter Cases'!M775,"")</f>
        <v/>
      </c>
    </row>
    <row r="776" spans="1:13" x14ac:dyDescent="0.35">
      <c r="A776" t="str">
        <f>IF('All Cases - Enter Cases'!$F776="Balochistan",'All Cases - Enter Cases'!A776,"")</f>
        <v/>
      </c>
      <c r="B776" t="str">
        <f>IF($A776&lt;&gt;"",'All Cases - Enter Cases'!B776,"")</f>
        <v/>
      </c>
      <c r="C776" t="str">
        <f>IF($A776&lt;&gt;"",'All Cases - Enter Cases'!C776,"")</f>
        <v/>
      </c>
      <c r="D776" t="str">
        <f>IF($A776&lt;&gt;"",'All Cases - Enter Cases'!D776,"")</f>
        <v/>
      </c>
      <c r="E776" t="str">
        <f>IF($A776&lt;&gt;"",'All Cases - Enter Cases'!E776,"")</f>
        <v/>
      </c>
      <c r="F776" t="str">
        <f>IF($A776&lt;&gt;"",'All Cases - Enter Cases'!F776,"")</f>
        <v/>
      </c>
      <c r="G776" t="str">
        <f>IF($A776&lt;&gt;"",'All Cases - Enter Cases'!G776,"")</f>
        <v/>
      </c>
      <c r="H776" t="str">
        <f>IF($A776&lt;&gt;"",'All Cases - Enter Cases'!H776,"")</f>
        <v/>
      </c>
      <c r="I776" t="str">
        <f>IF($A776&lt;&gt;"",'All Cases - Enter Cases'!I776,"")</f>
        <v/>
      </c>
      <c r="J776" t="str">
        <f>IF($A776&lt;&gt;"",'All Cases - Enter Cases'!J776,"")</f>
        <v/>
      </c>
      <c r="K776" t="str">
        <f>IF($A776&lt;&gt;"",'All Cases - Enter Cases'!K776,"")</f>
        <v/>
      </c>
      <c r="L776" t="str">
        <f>IF($A776&lt;&gt;"",'All Cases - Enter Cases'!L776,"")</f>
        <v/>
      </c>
      <c r="M776" t="str">
        <f>IF($A776&lt;&gt;"",'All Cases - Enter Cases'!M776,"")</f>
        <v/>
      </c>
    </row>
    <row r="777" spans="1:13" x14ac:dyDescent="0.35">
      <c r="A777" t="str">
        <f>IF('All Cases - Enter Cases'!$F777="Balochistan",'All Cases - Enter Cases'!A777,"")</f>
        <v/>
      </c>
      <c r="B777" t="str">
        <f>IF($A777&lt;&gt;"",'All Cases - Enter Cases'!B777,"")</f>
        <v/>
      </c>
      <c r="C777" t="str">
        <f>IF($A777&lt;&gt;"",'All Cases - Enter Cases'!C777,"")</f>
        <v/>
      </c>
      <c r="D777" t="str">
        <f>IF($A777&lt;&gt;"",'All Cases - Enter Cases'!D777,"")</f>
        <v/>
      </c>
      <c r="E777" t="str">
        <f>IF($A777&lt;&gt;"",'All Cases - Enter Cases'!E777,"")</f>
        <v/>
      </c>
      <c r="F777" t="str">
        <f>IF($A777&lt;&gt;"",'All Cases - Enter Cases'!F777,"")</f>
        <v/>
      </c>
      <c r="G777" t="str">
        <f>IF($A777&lt;&gt;"",'All Cases - Enter Cases'!G777,"")</f>
        <v/>
      </c>
      <c r="H777" t="str">
        <f>IF($A777&lt;&gt;"",'All Cases - Enter Cases'!H777,"")</f>
        <v/>
      </c>
      <c r="I777" t="str">
        <f>IF($A777&lt;&gt;"",'All Cases - Enter Cases'!I777,"")</f>
        <v/>
      </c>
      <c r="J777" t="str">
        <f>IF($A777&lt;&gt;"",'All Cases - Enter Cases'!J777,"")</f>
        <v/>
      </c>
      <c r="K777" t="str">
        <f>IF($A777&lt;&gt;"",'All Cases - Enter Cases'!K777,"")</f>
        <v/>
      </c>
      <c r="L777" t="str">
        <f>IF($A777&lt;&gt;"",'All Cases - Enter Cases'!L777,"")</f>
        <v/>
      </c>
      <c r="M777" t="str">
        <f>IF($A777&lt;&gt;"",'All Cases - Enter Cases'!M777,"")</f>
        <v/>
      </c>
    </row>
    <row r="778" spans="1:13" x14ac:dyDescent="0.35">
      <c r="A778" t="str">
        <f>IF('All Cases - Enter Cases'!$F778="Balochistan",'All Cases - Enter Cases'!A778,"")</f>
        <v/>
      </c>
      <c r="B778" t="str">
        <f>IF($A778&lt;&gt;"",'All Cases - Enter Cases'!B778,"")</f>
        <v/>
      </c>
      <c r="C778" t="str">
        <f>IF($A778&lt;&gt;"",'All Cases - Enter Cases'!C778,"")</f>
        <v/>
      </c>
      <c r="D778" t="str">
        <f>IF($A778&lt;&gt;"",'All Cases - Enter Cases'!D778,"")</f>
        <v/>
      </c>
      <c r="E778" t="str">
        <f>IF($A778&lt;&gt;"",'All Cases - Enter Cases'!E778,"")</f>
        <v/>
      </c>
      <c r="F778" t="str">
        <f>IF($A778&lt;&gt;"",'All Cases - Enter Cases'!F778,"")</f>
        <v/>
      </c>
      <c r="G778" t="str">
        <f>IF($A778&lt;&gt;"",'All Cases - Enter Cases'!G778,"")</f>
        <v/>
      </c>
      <c r="H778" t="str">
        <f>IF($A778&lt;&gt;"",'All Cases - Enter Cases'!H778,"")</f>
        <v/>
      </c>
      <c r="I778" t="str">
        <f>IF($A778&lt;&gt;"",'All Cases - Enter Cases'!I778,"")</f>
        <v/>
      </c>
      <c r="J778" t="str">
        <f>IF($A778&lt;&gt;"",'All Cases - Enter Cases'!J778,"")</f>
        <v/>
      </c>
      <c r="K778" t="str">
        <f>IF($A778&lt;&gt;"",'All Cases - Enter Cases'!K778,"")</f>
        <v/>
      </c>
      <c r="L778" t="str">
        <f>IF($A778&lt;&gt;"",'All Cases - Enter Cases'!L778,"")</f>
        <v/>
      </c>
      <c r="M778" t="str">
        <f>IF($A778&lt;&gt;"",'All Cases - Enter Cases'!M778,"")</f>
        <v/>
      </c>
    </row>
    <row r="779" spans="1:13" x14ac:dyDescent="0.35">
      <c r="A779" t="str">
        <f>IF('All Cases - Enter Cases'!$F779="Balochistan",'All Cases - Enter Cases'!A779,"")</f>
        <v/>
      </c>
      <c r="B779" t="str">
        <f>IF($A779&lt;&gt;"",'All Cases - Enter Cases'!B779,"")</f>
        <v/>
      </c>
      <c r="C779" t="str">
        <f>IF($A779&lt;&gt;"",'All Cases - Enter Cases'!C779,"")</f>
        <v/>
      </c>
      <c r="D779" t="str">
        <f>IF($A779&lt;&gt;"",'All Cases - Enter Cases'!D779,"")</f>
        <v/>
      </c>
      <c r="E779" t="str">
        <f>IF($A779&lt;&gt;"",'All Cases - Enter Cases'!E779,"")</f>
        <v/>
      </c>
      <c r="F779" t="str">
        <f>IF($A779&lt;&gt;"",'All Cases - Enter Cases'!F779,"")</f>
        <v/>
      </c>
      <c r="G779" t="str">
        <f>IF($A779&lt;&gt;"",'All Cases - Enter Cases'!G779,"")</f>
        <v/>
      </c>
      <c r="H779" t="str">
        <f>IF($A779&lt;&gt;"",'All Cases - Enter Cases'!H779,"")</f>
        <v/>
      </c>
      <c r="I779" t="str">
        <f>IF($A779&lt;&gt;"",'All Cases - Enter Cases'!I779,"")</f>
        <v/>
      </c>
      <c r="J779" t="str">
        <f>IF($A779&lt;&gt;"",'All Cases - Enter Cases'!J779,"")</f>
        <v/>
      </c>
      <c r="K779" t="str">
        <f>IF($A779&lt;&gt;"",'All Cases - Enter Cases'!K779,"")</f>
        <v/>
      </c>
      <c r="L779" t="str">
        <f>IF($A779&lt;&gt;"",'All Cases - Enter Cases'!L779,"")</f>
        <v/>
      </c>
      <c r="M779" t="str">
        <f>IF($A779&lt;&gt;"",'All Cases - Enter Cases'!M779,"")</f>
        <v/>
      </c>
    </row>
    <row r="780" spans="1:13" x14ac:dyDescent="0.35">
      <c r="A780" t="str">
        <f>IF('All Cases - Enter Cases'!$F780="Balochistan",'All Cases - Enter Cases'!A780,"")</f>
        <v/>
      </c>
      <c r="B780" t="str">
        <f>IF($A780&lt;&gt;"",'All Cases - Enter Cases'!B780,"")</f>
        <v/>
      </c>
      <c r="C780" t="str">
        <f>IF($A780&lt;&gt;"",'All Cases - Enter Cases'!C780,"")</f>
        <v/>
      </c>
      <c r="D780" t="str">
        <f>IF($A780&lt;&gt;"",'All Cases - Enter Cases'!D780,"")</f>
        <v/>
      </c>
      <c r="E780" t="str">
        <f>IF($A780&lt;&gt;"",'All Cases - Enter Cases'!E780,"")</f>
        <v/>
      </c>
      <c r="F780" t="str">
        <f>IF($A780&lt;&gt;"",'All Cases - Enter Cases'!F780,"")</f>
        <v/>
      </c>
      <c r="G780" t="str">
        <f>IF($A780&lt;&gt;"",'All Cases - Enter Cases'!G780,"")</f>
        <v/>
      </c>
      <c r="H780" t="str">
        <f>IF($A780&lt;&gt;"",'All Cases - Enter Cases'!H780,"")</f>
        <v/>
      </c>
      <c r="I780" t="str">
        <f>IF($A780&lt;&gt;"",'All Cases - Enter Cases'!I780,"")</f>
        <v/>
      </c>
      <c r="J780" t="str">
        <f>IF($A780&lt;&gt;"",'All Cases - Enter Cases'!J780,"")</f>
        <v/>
      </c>
      <c r="K780" t="str">
        <f>IF($A780&lt;&gt;"",'All Cases - Enter Cases'!K780,"")</f>
        <v/>
      </c>
      <c r="L780" t="str">
        <f>IF($A780&lt;&gt;"",'All Cases - Enter Cases'!L780,"")</f>
        <v/>
      </c>
      <c r="M780" t="str">
        <f>IF($A780&lt;&gt;"",'All Cases - Enter Cases'!M780,"")</f>
        <v/>
      </c>
    </row>
    <row r="781" spans="1:13" x14ac:dyDescent="0.35">
      <c r="A781" t="str">
        <f>IF('All Cases - Enter Cases'!$F781="Balochistan",'All Cases - Enter Cases'!A781,"")</f>
        <v/>
      </c>
      <c r="B781" t="str">
        <f>IF($A781&lt;&gt;"",'All Cases - Enter Cases'!B781,"")</f>
        <v/>
      </c>
      <c r="C781" t="str">
        <f>IF($A781&lt;&gt;"",'All Cases - Enter Cases'!C781,"")</f>
        <v/>
      </c>
      <c r="D781" t="str">
        <f>IF($A781&lt;&gt;"",'All Cases - Enter Cases'!D781,"")</f>
        <v/>
      </c>
      <c r="E781" t="str">
        <f>IF($A781&lt;&gt;"",'All Cases - Enter Cases'!E781,"")</f>
        <v/>
      </c>
      <c r="F781" t="str">
        <f>IF($A781&lt;&gt;"",'All Cases - Enter Cases'!F781,"")</f>
        <v/>
      </c>
      <c r="G781" t="str">
        <f>IF($A781&lt;&gt;"",'All Cases - Enter Cases'!G781,"")</f>
        <v/>
      </c>
      <c r="H781" t="str">
        <f>IF($A781&lt;&gt;"",'All Cases - Enter Cases'!H781,"")</f>
        <v/>
      </c>
      <c r="I781" t="str">
        <f>IF($A781&lt;&gt;"",'All Cases - Enter Cases'!I781,"")</f>
        <v/>
      </c>
      <c r="J781" t="str">
        <f>IF($A781&lt;&gt;"",'All Cases - Enter Cases'!J781,"")</f>
        <v/>
      </c>
      <c r="K781" t="str">
        <f>IF($A781&lt;&gt;"",'All Cases - Enter Cases'!K781,"")</f>
        <v/>
      </c>
      <c r="L781" t="str">
        <f>IF($A781&lt;&gt;"",'All Cases - Enter Cases'!L781,"")</f>
        <v/>
      </c>
      <c r="M781" t="str">
        <f>IF($A781&lt;&gt;"",'All Cases - Enter Cases'!M781,"")</f>
        <v/>
      </c>
    </row>
    <row r="782" spans="1:13" x14ac:dyDescent="0.35">
      <c r="A782" t="str">
        <f>IF('All Cases - Enter Cases'!$F782="Balochistan",'All Cases - Enter Cases'!A782,"")</f>
        <v/>
      </c>
      <c r="B782" t="str">
        <f>IF($A782&lt;&gt;"",'All Cases - Enter Cases'!B782,"")</f>
        <v/>
      </c>
      <c r="C782" t="str">
        <f>IF($A782&lt;&gt;"",'All Cases - Enter Cases'!C782,"")</f>
        <v/>
      </c>
      <c r="D782" t="str">
        <f>IF($A782&lt;&gt;"",'All Cases - Enter Cases'!D782,"")</f>
        <v/>
      </c>
      <c r="E782" t="str">
        <f>IF($A782&lt;&gt;"",'All Cases - Enter Cases'!E782,"")</f>
        <v/>
      </c>
      <c r="F782" t="str">
        <f>IF($A782&lt;&gt;"",'All Cases - Enter Cases'!F782,"")</f>
        <v/>
      </c>
      <c r="G782" t="str">
        <f>IF($A782&lt;&gt;"",'All Cases - Enter Cases'!G782,"")</f>
        <v/>
      </c>
      <c r="H782" t="str">
        <f>IF($A782&lt;&gt;"",'All Cases - Enter Cases'!H782,"")</f>
        <v/>
      </c>
      <c r="I782" t="str">
        <f>IF($A782&lt;&gt;"",'All Cases - Enter Cases'!I782,"")</f>
        <v/>
      </c>
      <c r="J782" t="str">
        <f>IF($A782&lt;&gt;"",'All Cases - Enter Cases'!J782,"")</f>
        <v/>
      </c>
      <c r="K782" t="str">
        <f>IF($A782&lt;&gt;"",'All Cases - Enter Cases'!K782,"")</f>
        <v/>
      </c>
      <c r="L782" t="str">
        <f>IF($A782&lt;&gt;"",'All Cases - Enter Cases'!L782,"")</f>
        <v/>
      </c>
      <c r="M782" t="str">
        <f>IF($A782&lt;&gt;"",'All Cases - Enter Cases'!M782,"")</f>
        <v/>
      </c>
    </row>
    <row r="783" spans="1:13" x14ac:dyDescent="0.35">
      <c r="A783" t="str">
        <f>IF('All Cases - Enter Cases'!$F783="Balochistan",'All Cases - Enter Cases'!A783,"")</f>
        <v/>
      </c>
      <c r="B783" t="str">
        <f>IF($A783&lt;&gt;"",'All Cases - Enter Cases'!B783,"")</f>
        <v/>
      </c>
      <c r="C783" t="str">
        <f>IF($A783&lt;&gt;"",'All Cases - Enter Cases'!C783,"")</f>
        <v/>
      </c>
      <c r="D783" t="str">
        <f>IF($A783&lt;&gt;"",'All Cases - Enter Cases'!D783,"")</f>
        <v/>
      </c>
      <c r="E783" t="str">
        <f>IF($A783&lt;&gt;"",'All Cases - Enter Cases'!E783,"")</f>
        <v/>
      </c>
      <c r="F783" t="str">
        <f>IF($A783&lt;&gt;"",'All Cases - Enter Cases'!F783,"")</f>
        <v/>
      </c>
      <c r="G783" t="str">
        <f>IF($A783&lt;&gt;"",'All Cases - Enter Cases'!G783,"")</f>
        <v/>
      </c>
      <c r="H783" t="str">
        <f>IF($A783&lt;&gt;"",'All Cases - Enter Cases'!H783,"")</f>
        <v/>
      </c>
      <c r="I783" t="str">
        <f>IF($A783&lt;&gt;"",'All Cases - Enter Cases'!I783,"")</f>
        <v/>
      </c>
      <c r="J783" t="str">
        <f>IF($A783&lt;&gt;"",'All Cases - Enter Cases'!J783,"")</f>
        <v/>
      </c>
      <c r="K783" t="str">
        <f>IF($A783&lt;&gt;"",'All Cases - Enter Cases'!K783,"")</f>
        <v/>
      </c>
      <c r="L783" t="str">
        <f>IF($A783&lt;&gt;"",'All Cases - Enter Cases'!L783,"")</f>
        <v/>
      </c>
      <c r="M783" t="str">
        <f>IF($A783&lt;&gt;"",'All Cases - Enter Cases'!M783,"")</f>
        <v/>
      </c>
    </row>
    <row r="784" spans="1:13" x14ac:dyDescent="0.35">
      <c r="A784" t="str">
        <f>IF('All Cases - Enter Cases'!$F784="Balochistan",'All Cases - Enter Cases'!A784,"")</f>
        <v/>
      </c>
      <c r="B784" t="str">
        <f>IF($A784&lt;&gt;"",'All Cases - Enter Cases'!B784,"")</f>
        <v/>
      </c>
      <c r="C784" t="str">
        <f>IF($A784&lt;&gt;"",'All Cases - Enter Cases'!C784,"")</f>
        <v/>
      </c>
      <c r="D784" t="str">
        <f>IF($A784&lt;&gt;"",'All Cases - Enter Cases'!D784,"")</f>
        <v/>
      </c>
      <c r="E784" t="str">
        <f>IF($A784&lt;&gt;"",'All Cases - Enter Cases'!E784,"")</f>
        <v/>
      </c>
      <c r="F784" t="str">
        <f>IF($A784&lt;&gt;"",'All Cases - Enter Cases'!F784,"")</f>
        <v/>
      </c>
      <c r="G784" t="str">
        <f>IF($A784&lt;&gt;"",'All Cases - Enter Cases'!G784,"")</f>
        <v/>
      </c>
      <c r="H784" t="str">
        <f>IF($A784&lt;&gt;"",'All Cases - Enter Cases'!H784,"")</f>
        <v/>
      </c>
      <c r="I784" t="str">
        <f>IF($A784&lt;&gt;"",'All Cases - Enter Cases'!I784,"")</f>
        <v/>
      </c>
      <c r="J784" t="str">
        <f>IF($A784&lt;&gt;"",'All Cases - Enter Cases'!J784,"")</f>
        <v/>
      </c>
      <c r="K784" t="str">
        <f>IF($A784&lt;&gt;"",'All Cases - Enter Cases'!K784,"")</f>
        <v/>
      </c>
      <c r="L784" t="str">
        <f>IF($A784&lt;&gt;"",'All Cases - Enter Cases'!L784,"")</f>
        <v/>
      </c>
      <c r="M784" t="str">
        <f>IF($A784&lt;&gt;"",'All Cases - Enter Cases'!M784,"")</f>
        <v/>
      </c>
    </row>
    <row r="785" spans="1:13" x14ac:dyDescent="0.35">
      <c r="A785" t="str">
        <f>IF('All Cases - Enter Cases'!$F785="Balochistan",'All Cases - Enter Cases'!A785,"")</f>
        <v/>
      </c>
      <c r="B785" t="str">
        <f>IF($A785&lt;&gt;"",'All Cases - Enter Cases'!B785,"")</f>
        <v/>
      </c>
      <c r="C785" t="str">
        <f>IF($A785&lt;&gt;"",'All Cases - Enter Cases'!C785,"")</f>
        <v/>
      </c>
      <c r="D785" t="str">
        <f>IF($A785&lt;&gt;"",'All Cases - Enter Cases'!D785,"")</f>
        <v/>
      </c>
      <c r="E785" t="str">
        <f>IF($A785&lt;&gt;"",'All Cases - Enter Cases'!E785,"")</f>
        <v/>
      </c>
      <c r="F785" t="str">
        <f>IF($A785&lt;&gt;"",'All Cases - Enter Cases'!F785,"")</f>
        <v/>
      </c>
      <c r="G785" t="str">
        <f>IF($A785&lt;&gt;"",'All Cases - Enter Cases'!G785,"")</f>
        <v/>
      </c>
      <c r="H785" t="str">
        <f>IF($A785&lt;&gt;"",'All Cases - Enter Cases'!H785,"")</f>
        <v/>
      </c>
      <c r="I785" t="str">
        <f>IF($A785&lt;&gt;"",'All Cases - Enter Cases'!I785,"")</f>
        <v/>
      </c>
      <c r="J785" t="str">
        <f>IF($A785&lt;&gt;"",'All Cases - Enter Cases'!J785,"")</f>
        <v/>
      </c>
      <c r="K785" t="str">
        <f>IF($A785&lt;&gt;"",'All Cases - Enter Cases'!K785,"")</f>
        <v/>
      </c>
      <c r="L785" t="str">
        <f>IF($A785&lt;&gt;"",'All Cases - Enter Cases'!L785,"")</f>
        <v/>
      </c>
      <c r="M785" t="str">
        <f>IF($A785&lt;&gt;"",'All Cases - Enter Cases'!M785,"")</f>
        <v/>
      </c>
    </row>
    <row r="786" spans="1:13" x14ac:dyDescent="0.35">
      <c r="A786" t="str">
        <f>IF('All Cases - Enter Cases'!$F786="Balochistan",'All Cases - Enter Cases'!A786,"")</f>
        <v/>
      </c>
      <c r="B786" t="str">
        <f>IF($A786&lt;&gt;"",'All Cases - Enter Cases'!B786,"")</f>
        <v/>
      </c>
      <c r="C786" t="str">
        <f>IF($A786&lt;&gt;"",'All Cases - Enter Cases'!C786,"")</f>
        <v/>
      </c>
      <c r="D786" t="str">
        <f>IF($A786&lt;&gt;"",'All Cases - Enter Cases'!D786,"")</f>
        <v/>
      </c>
      <c r="E786" t="str">
        <f>IF($A786&lt;&gt;"",'All Cases - Enter Cases'!E786,"")</f>
        <v/>
      </c>
      <c r="F786" t="str">
        <f>IF($A786&lt;&gt;"",'All Cases - Enter Cases'!F786,"")</f>
        <v/>
      </c>
      <c r="G786" t="str">
        <f>IF($A786&lt;&gt;"",'All Cases - Enter Cases'!G786,"")</f>
        <v/>
      </c>
      <c r="H786" t="str">
        <f>IF($A786&lt;&gt;"",'All Cases - Enter Cases'!H786,"")</f>
        <v/>
      </c>
      <c r="I786" t="str">
        <f>IF($A786&lt;&gt;"",'All Cases - Enter Cases'!I786,"")</f>
        <v/>
      </c>
      <c r="J786" t="str">
        <f>IF($A786&lt;&gt;"",'All Cases - Enter Cases'!J786,"")</f>
        <v/>
      </c>
      <c r="K786" t="str">
        <f>IF($A786&lt;&gt;"",'All Cases - Enter Cases'!K786,"")</f>
        <v/>
      </c>
      <c r="L786" t="str">
        <f>IF($A786&lt;&gt;"",'All Cases - Enter Cases'!L786,"")</f>
        <v/>
      </c>
      <c r="M786" t="str">
        <f>IF($A786&lt;&gt;"",'All Cases - Enter Cases'!M786,"")</f>
        <v/>
      </c>
    </row>
    <row r="787" spans="1:13" x14ac:dyDescent="0.35">
      <c r="A787" t="str">
        <f>IF('All Cases - Enter Cases'!$F787="Balochistan",'All Cases - Enter Cases'!A787,"")</f>
        <v/>
      </c>
      <c r="B787" t="str">
        <f>IF($A787&lt;&gt;"",'All Cases - Enter Cases'!B787,"")</f>
        <v/>
      </c>
      <c r="C787" t="str">
        <f>IF($A787&lt;&gt;"",'All Cases - Enter Cases'!C787,"")</f>
        <v/>
      </c>
      <c r="D787" t="str">
        <f>IF($A787&lt;&gt;"",'All Cases - Enter Cases'!D787,"")</f>
        <v/>
      </c>
      <c r="E787" t="str">
        <f>IF($A787&lt;&gt;"",'All Cases - Enter Cases'!E787,"")</f>
        <v/>
      </c>
      <c r="F787" t="str">
        <f>IF($A787&lt;&gt;"",'All Cases - Enter Cases'!F787,"")</f>
        <v/>
      </c>
      <c r="G787" t="str">
        <f>IF($A787&lt;&gt;"",'All Cases - Enter Cases'!G787,"")</f>
        <v/>
      </c>
      <c r="H787" t="str">
        <f>IF($A787&lt;&gt;"",'All Cases - Enter Cases'!H787,"")</f>
        <v/>
      </c>
      <c r="I787" t="str">
        <f>IF($A787&lt;&gt;"",'All Cases - Enter Cases'!I787,"")</f>
        <v/>
      </c>
      <c r="J787" t="str">
        <f>IF($A787&lt;&gt;"",'All Cases - Enter Cases'!J787,"")</f>
        <v/>
      </c>
      <c r="K787" t="str">
        <f>IF($A787&lt;&gt;"",'All Cases - Enter Cases'!K787,"")</f>
        <v/>
      </c>
      <c r="L787" t="str">
        <f>IF($A787&lt;&gt;"",'All Cases - Enter Cases'!L787,"")</f>
        <v/>
      </c>
      <c r="M787" t="str">
        <f>IF($A787&lt;&gt;"",'All Cases - Enter Cases'!M787,"")</f>
        <v/>
      </c>
    </row>
    <row r="788" spans="1:13" x14ac:dyDescent="0.35">
      <c r="A788" t="str">
        <f>IF('All Cases - Enter Cases'!$F788="Balochistan",'All Cases - Enter Cases'!A788,"")</f>
        <v/>
      </c>
      <c r="B788" t="str">
        <f>IF($A788&lt;&gt;"",'All Cases - Enter Cases'!B788,"")</f>
        <v/>
      </c>
      <c r="C788" t="str">
        <f>IF($A788&lt;&gt;"",'All Cases - Enter Cases'!C788,"")</f>
        <v/>
      </c>
      <c r="D788" t="str">
        <f>IF($A788&lt;&gt;"",'All Cases - Enter Cases'!D788,"")</f>
        <v/>
      </c>
      <c r="E788" t="str">
        <f>IF($A788&lt;&gt;"",'All Cases - Enter Cases'!E788,"")</f>
        <v/>
      </c>
      <c r="F788" t="str">
        <f>IF($A788&lt;&gt;"",'All Cases - Enter Cases'!F788,"")</f>
        <v/>
      </c>
      <c r="G788" t="str">
        <f>IF($A788&lt;&gt;"",'All Cases - Enter Cases'!G788,"")</f>
        <v/>
      </c>
      <c r="H788" t="str">
        <f>IF($A788&lt;&gt;"",'All Cases - Enter Cases'!H788,"")</f>
        <v/>
      </c>
      <c r="I788" t="str">
        <f>IF($A788&lt;&gt;"",'All Cases - Enter Cases'!I788,"")</f>
        <v/>
      </c>
      <c r="J788" t="str">
        <f>IF($A788&lt;&gt;"",'All Cases - Enter Cases'!J788,"")</f>
        <v/>
      </c>
      <c r="K788" t="str">
        <f>IF($A788&lt;&gt;"",'All Cases - Enter Cases'!K788,"")</f>
        <v/>
      </c>
      <c r="L788" t="str">
        <f>IF($A788&lt;&gt;"",'All Cases - Enter Cases'!L788,"")</f>
        <v/>
      </c>
      <c r="M788" t="str">
        <f>IF($A788&lt;&gt;"",'All Cases - Enter Cases'!M788,"")</f>
        <v/>
      </c>
    </row>
    <row r="789" spans="1:13" x14ac:dyDescent="0.35">
      <c r="A789" t="str">
        <f>IF('All Cases - Enter Cases'!$F789="Balochistan",'All Cases - Enter Cases'!A789,"")</f>
        <v/>
      </c>
      <c r="B789" t="str">
        <f>IF($A789&lt;&gt;"",'All Cases - Enter Cases'!B789,"")</f>
        <v/>
      </c>
      <c r="C789" t="str">
        <f>IF($A789&lt;&gt;"",'All Cases - Enter Cases'!C789,"")</f>
        <v/>
      </c>
      <c r="D789" t="str">
        <f>IF($A789&lt;&gt;"",'All Cases - Enter Cases'!D789,"")</f>
        <v/>
      </c>
      <c r="E789" t="str">
        <f>IF($A789&lt;&gt;"",'All Cases - Enter Cases'!E789,"")</f>
        <v/>
      </c>
      <c r="F789" t="str">
        <f>IF($A789&lt;&gt;"",'All Cases - Enter Cases'!F789,"")</f>
        <v/>
      </c>
      <c r="G789" t="str">
        <f>IF($A789&lt;&gt;"",'All Cases - Enter Cases'!G789,"")</f>
        <v/>
      </c>
      <c r="H789" t="str">
        <f>IF($A789&lt;&gt;"",'All Cases - Enter Cases'!H789,"")</f>
        <v/>
      </c>
      <c r="I789" t="str">
        <f>IF($A789&lt;&gt;"",'All Cases - Enter Cases'!I789,"")</f>
        <v/>
      </c>
      <c r="J789" t="str">
        <f>IF($A789&lt;&gt;"",'All Cases - Enter Cases'!J789,"")</f>
        <v/>
      </c>
      <c r="K789" t="str">
        <f>IF($A789&lt;&gt;"",'All Cases - Enter Cases'!K789,"")</f>
        <v/>
      </c>
      <c r="L789" t="str">
        <f>IF($A789&lt;&gt;"",'All Cases - Enter Cases'!L789,"")</f>
        <v/>
      </c>
      <c r="M789" t="str">
        <f>IF($A789&lt;&gt;"",'All Cases - Enter Cases'!M789,"")</f>
        <v/>
      </c>
    </row>
    <row r="790" spans="1:13" x14ac:dyDescent="0.35">
      <c r="A790" t="str">
        <f>IF('All Cases - Enter Cases'!$F790="Balochistan",'All Cases - Enter Cases'!A790,"")</f>
        <v/>
      </c>
      <c r="B790" t="str">
        <f>IF($A790&lt;&gt;"",'All Cases - Enter Cases'!B790,"")</f>
        <v/>
      </c>
      <c r="C790" t="str">
        <f>IF($A790&lt;&gt;"",'All Cases - Enter Cases'!C790,"")</f>
        <v/>
      </c>
      <c r="D790" t="str">
        <f>IF($A790&lt;&gt;"",'All Cases - Enter Cases'!D790,"")</f>
        <v/>
      </c>
      <c r="E790" t="str">
        <f>IF($A790&lt;&gt;"",'All Cases - Enter Cases'!E790,"")</f>
        <v/>
      </c>
      <c r="F790" t="str">
        <f>IF($A790&lt;&gt;"",'All Cases - Enter Cases'!F790,"")</f>
        <v/>
      </c>
      <c r="G790" t="str">
        <f>IF($A790&lt;&gt;"",'All Cases - Enter Cases'!G790,"")</f>
        <v/>
      </c>
      <c r="H790" t="str">
        <f>IF($A790&lt;&gt;"",'All Cases - Enter Cases'!H790,"")</f>
        <v/>
      </c>
      <c r="I790" t="str">
        <f>IF($A790&lt;&gt;"",'All Cases - Enter Cases'!I790,"")</f>
        <v/>
      </c>
      <c r="J790" t="str">
        <f>IF($A790&lt;&gt;"",'All Cases - Enter Cases'!J790,"")</f>
        <v/>
      </c>
      <c r="K790" t="str">
        <f>IF($A790&lt;&gt;"",'All Cases - Enter Cases'!K790,"")</f>
        <v/>
      </c>
      <c r="L790" t="str">
        <f>IF($A790&lt;&gt;"",'All Cases - Enter Cases'!L790,"")</f>
        <v/>
      </c>
      <c r="M790" t="str">
        <f>IF($A790&lt;&gt;"",'All Cases - Enter Cases'!M790,"")</f>
        <v/>
      </c>
    </row>
    <row r="791" spans="1:13" x14ac:dyDescent="0.35">
      <c r="A791" t="str">
        <f>IF('All Cases - Enter Cases'!$F791="Balochistan",'All Cases - Enter Cases'!A791,"")</f>
        <v/>
      </c>
      <c r="B791" t="str">
        <f>IF($A791&lt;&gt;"",'All Cases - Enter Cases'!B791,"")</f>
        <v/>
      </c>
      <c r="C791" t="str">
        <f>IF($A791&lt;&gt;"",'All Cases - Enter Cases'!C791,"")</f>
        <v/>
      </c>
      <c r="D791" t="str">
        <f>IF($A791&lt;&gt;"",'All Cases - Enter Cases'!D791,"")</f>
        <v/>
      </c>
      <c r="E791" t="str">
        <f>IF($A791&lt;&gt;"",'All Cases - Enter Cases'!E791,"")</f>
        <v/>
      </c>
      <c r="F791" t="str">
        <f>IF($A791&lt;&gt;"",'All Cases - Enter Cases'!F791,"")</f>
        <v/>
      </c>
      <c r="G791" t="str">
        <f>IF($A791&lt;&gt;"",'All Cases - Enter Cases'!G791,"")</f>
        <v/>
      </c>
      <c r="H791" t="str">
        <f>IF($A791&lt;&gt;"",'All Cases - Enter Cases'!H791,"")</f>
        <v/>
      </c>
      <c r="I791" t="str">
        <f>IF($A791&lt;&gt;"",'All Cases - Enter Cases'!I791,"")</f>
        <v/>
      </c>
      <c r="J791" t="str">
        <f>IF($A791&lt;&gt;"",'All Cases - Enter Cases'!J791,"")</f>
        <v/>
      </c>
      <c r="K791" t="str">
        <f>IF($A791&lt;&gt;"",'All Cases - Enter Cases'!K791,"")</f>
        <v/>
      </c>
      <c r="L791" t="str">
        <f>IF($A791&lt;&gt;"",'All Cases - Enter Cases'!L791,"")</f>
        <v/>
      </c>
      <c r="M791" t="str">
        <f>IF($A791&lt;&gt;"",'All Cases - Enter Cases'!M791,"")</f>
        <v/>
      </c>
    </row>
    <row r="792" spans="1:13" x14ac:dyDescent="0.35">
      <c r="A792" t="str">
        <f>IF('All Cases - Enter Cases'!$F792="Balochistan",'All Cases - Enter Cases'!A792,"")</f>
        <v/>
      </c>
      <c r="B792" t="str">
        <f>IF($A792&lt;&gt;"",'All Cases - Enter Cases'!B792,"")</f>
        <v/>
      </c>
      <c r="C792" t="str">
        <f>IF($A792&lt;&gt;"",'All Cases - Enter Cases'!C792,"")</f>
        <v/>
      </c>
      <c r="D792" t="str">
        <f>IF($A792&lt;&gt;"",'All Cases - Enter Cases'!D792,"")</f>
        <v/>
      </c>
      <c r="E792" t="str">
        <f>IF($A792&lt;&gt;"",'All Cases - Enter Cases'!E792,"")</f>
        <v/>
      </c>
      <c r="F792" t="str">
        <f>IF($A792&lt;&gt;"",'All Cases - Enter Cases'!F792,"")</f>
        <v/>
      </c>
      <c r="G792" t="str">
        <f>IF($A792&lt;&gt;"",'All Cases - Enter Cases'!G792,"")</f>
        <v/>
      </c>
      <c r="H792" t="str">
        <f>IF($A792&lt;&gt;"",'All Cases - Enter Cases'!H792,"")</f>
        <v/>
      </c>
      <c r="I792" t="str">
        <f>IF($A792&lt;&gt;"",'All Cases - Enter Cases'!I792,"")</f>
        <v/>
      </c>
      <c r="J792" t="str">
        <f>IF($A792&lt;&gt;"",'All Cases - Enter Cases'!J792,"")</f>
        <v/>
      </c>
      <c r="K792" t="str">
        <f>IF($A792&lt;&gt;"",'All Cases - Enter Cases'!K792,"")</f>
        <v/>
      </c>
      <c r="L792" t="str">
        <f>IF($A792&lt;&gt;"",'All Cases - Enter Cases'!L792,"")</f>
        <v/>
      </c>
      <c r="M792" t="str">
        <f>IF($A792&lt;&gt;"",'All Cases - Enter Cases'!M792,"")</f>
        <v/>
      </c>
    </row>
    <row r="793" spans="1:13" x14ac:dyDescent="0.35">
      <c r="A793" t="str">
        <f>IF('All Cases - Enter Cases'!$F793="Balochistan",'All Cases - Enter Cases'!A793,"")</f>
        <v/>
      </c>
      <c r="B793" t="str">
        <f>IF($A793&lt;&gt;"",'All Cases - Enter Cases'!B793,"")</f>
        <v/>
      </c>
      <c r="C793" t="str">
        <f>IF($A793&lt;&gt;"",'All Cases - Enter Cases'!C793,"")</f>
        <v/>
      </c>
      <c r="D793" t="str">
        <f>IF($A793&lt;&gt;"",'All Cases - Enter Cases'!D793,"")</f>
        <v/>
      </c>
      <c r="E793" t="str">
        <f>IF($A793&lt;&gt;"",'All Cases - Enter Cases'!E793,"")</f>
        <v/>
      </c>
      <c r="F793" t="str">
        <f>IF($A793&lt;&gt;"",'All Cases - Enter Cases'!F793,"")</f>
        <v/>
      </c>
      <c r="G793" t="str">
        <f>IF($A793&lt;&gt;"",'All Cases - Enter Cases'!G793,"")</f>
        <v/>
      </c>
      <c r="H793" t="str">
        <f>IF($A793&lt;&gt;"",'All Cases - Enter Cases'!H793,"")</f>
        <v/>
      </c>
      <c r="I793" t="str">
        <f>IF($A793&lt;&gt;"",'All Cases - Enter Cases'!I793,"")</f>
        <v/>
      </c>
      <c r="J793" t="str">
        <f>IF($A793&lt;&gt;"",'All Cases - Enter Cases'!J793,"")</f>
        <v/>
      </c>
      <c r="K793" t="str">
        <f>IF($A793&lt;&gt;"",'All Cases - Enter Cases'!K793,"")</f>
        <v/>
      </c>
      <c r="L793" t="str">
        <f>IF($A793&lt;&gt;"",'All Cases - Enter Cases'!L793,"")</f>
        <v/>
      </c>
      <c r="M793" t="str">
        <f>IF($A793&lt;&gt;"",'All Cases - Enter Cases'!M793,"")</f>
        <v/>
      </c>
    </row>
    <row r="794" spans="1:13" x14ac:dyDescent="0.35">
      <c r="A794" t="str">
        <f>IF('All Cases - Enter Cases'!$F794="Balochistan",'All Cases - Enter Cases'!A794,"")</f>
        <v/>
      </c>
      <c r="B794" t="str">
        <f>IF($A794&lt;&gt;"",'All Cases - Enter Cases'!B794,"")</f>
        <v/>
      </c>
      <c r="C794" t="str">
        <f>IF($A794&lt;&gt;"",'All Cases - Enter Cases'!C794,"")</f>
        <v/>
      </c>
      <c r="D794" t="str">
        <f>IF($A794&lt;&gt;"",'All Cases - Enter Cases'!D794,"")</f>
        <v/>
      </c>
      <c r="E794" t="str">
        <f>IF($A794&lt;&gt;"",'All Cases - Enter Cases'!E794,"")</f>
        <v/>
      </c>
      <c r="F794" t="str">
        <f>IF($A794&lt;&gt;"",'All Cases - Enter Cases'!F794,"")</f>
        <v/>
      </c>
      <c r="G794" t="str">
        <f>IF($A794&lt;&gt;"",'All Cases - Enter Cases'!G794,"")</f>
        <v/>
      </c>
      <c r="H794" t="str">
        <f>IF($A794&lt;&gt;"",'All Cases - Enter Cases'!H794,"")</f>
        <v/>
      </c>
      <c r="I794" t="str">
        <f>IF($A794&lt;&gt;"",'All Cases - Enter Cases'!I794,"")</f>
        <v/>
      </c>
      <c r="J794" t="str">
        <f>IF($A794&lt;&gt;"",'All Cases - Enter Cases'!J794,"")</f>
        <v/>
      </c>
      <c r="K794" t="str">
        <f>IF($A794&lt;&gt;"",'All Cases - Enter Cases'!K794,"")</f>
        <v/>
      </c>
      <c r="L794" t="str">
        <f>IF($A794&lt;&gt;"",'All Cases - Enter Cases'!L794,"")</f>
        <v/>
      </c>
      <c r="M794" t="str">
        <f>IF($A794&lt;&gt;"",'All Cases - Enter Cases'!M794,"")</f>
        <v/>
      </c>
    </row>
    <row r="795" spans="1:13" x14ac:dyDescent="0.35">
      <c r="A795" t="str">
        <f>IF('All Cases - Enter Cases'!$F795="Balochistan",'All Cases - Enter Cases'!A795,"")</f>
        <v/>
      </c>
      <c r="B795" t="str">
        <f>IF($A795&lt;&gt;"",'All Cases - Enter Cases'!B795,"")</f>
        <v/>
      </c>
      <c r="C795" t="str">
        <f>IF($A795&lt;&gt;"",'All Cases - Enter Cases'!C795,"")</f>
        <v/>
      </c>
      <c r="D795" t="str">
        <f>IF($A795&lt;&gt;"",'All Cases - Enter Cases'!D795,"")</f>
        <v/>
      </c>
      <c r="E795" t="str">
        <f>IF($A795&lt;&gt;"",'All Cases - Enter Cases'!E795,"")</f>
        <v/>
      </c>
      <c r="F795" t="str">
        <f>IF($A795&lt;&gt;"",'All Cases - Enter Cases'!F795,"")</f>
        <v/>
      </c>
      <c r="G795" t="str">
        <f>IF($A795&lt;&gt;"",'All Cases - Enter Cases'!G795,"")</f>
        <v/>
      </c>
      <c r="H795" t="str">
        <f>IF($A795&lt;&gt;"",'All Cases - Enter Cases'!H795,"")</f>
        <v/>
      </c>
      <c r="I795" t="str">
        <f>IF($A795&lt;&gt;"",'All Cases - Enter Cases'!I795,"")</f>
        <v/>
      </c>
      <c r="J795" t="str">
        <f>IF($A795&lt;&gt;"",'All Cases - Enter Cases'!J795,"")</f>
        <v/>
      </c>
      <c r="K795" t="str">
        <f>IF($A795&lt;&gt;"",'All Cases - Enter Cases'!K795,"")</f>
        <v/>
      </c>
      <c r="L795" t="str">
        <f>IF($A795&lt;&gt;"",'All Cases - Enter Cases'!L795,"")</f>
        <v/>
      </c>
      <c r="M795" t="str">
        <f>IF($A795&lt;&gt;"",'All Cases - Enter Cases'!M795,"")</f>
        <v/>
      </c>
    </row>
    <row r="796" spans="1:13" x14ac:dyDescent="0.35">
      <c r="A796" t="str">
        <f>IF('All Cases - Enter Cases'!$F796="Balochistan",'All Cases - Enter Cases'!A796,"")</f>
        <v/>
      </c>
      <c r="B796" t="str">
        <f>IF($A796&lt;&gt;"",'All Cases - Enter Cases'!B796,"")</f>
        <v/>
      </c>
      <c r="C796" t="str">
        <f>IF($A796&lt;&gt;"",'All Cases - Enter Cases'!C796,"")</f>
        <v/>
      </c>
      <c r="D796" t="str">
        <f>IF($A796&lt;&gt;"",'All Cases - Enter Cases'!D796,"")</f>
        <v/>
      </c>
      <c r="E796" t="str">
        <f>IF($A796&lt;&gt;"",'All Cases - Enter Cases'!E796,"")</f>
        <v/>
      </c>
      <c r="F796" t="str">
        <f>IF($A796&lt;&gt;"",'All Cases - Enter Cases'!F796,"")</f>
        <v/>
      </c>
      <c r="G796" t="str">
        <f>IF($A796&lt;&gt;"",'All Cases - Enter Cases'!G796,"")</f>
        <v/>
      </c>
      <c r="H796" t="str">
        <f>IF($A796&lt;&gt;"",'All Cases - Enter Cases'!H796,"")</f>
        <v/>
      </c>
      <c r="I796" t="str">
        <f>IF($A796&lt;&gt;"",'All Cases - Enter Cases'!I796,"")</f>
        <v/>
      </c>
      <c r="J796" t="str">
        <f>IF($A796&lt;&gt;"",'All Cases - Enter Cases'!J796,"")</f>
        <v/>
      </c>
      <c r="K796" t="str">
        <f>IF($A796&lt;&gt;"",'All Cases - Enter Cases'!K796,"")</f>
        <v/>
      </c>
      <c r="L796" t="str">
        <f>IF($A796&lt;&gt;"",'All Cases - Enter Cases'!L796,"")</f>
        <v/>
      </c>
      <c r="M796" t="str">
        <f>IF($A796&lt;&gt;"",'All Cases - Enter Cases'!M796,"")</f>
        <v/>
      </c>
    </row>
    <row r="797" spans="1:13" x14ac:dyDescent="0.35">
      <c r="A797" t="str">
        <f>IF('All Cases - Enter Cases'!$F797="Balochistan",'All Cases - Enter Cases'!A797,"")</f>
        <v/>
      </c>
      <c r="B797" t="str">
        <f>IF($A797&lt;&gt;"",'All Cases - Enter Cases'!B797,"")</f>
        <v/>
      </c>
      <c r="C797" t="str">
        <f>IF($A797&lt;&gt;"",'All Cases - Enter Cases'!C797,"")</f>
        <v/>
      </c>
      <c r="D797" t="str">
        <f>IF($A797&lt;&gt;"",'All Cases - Enter Cases'!D797,"")</f>
        <v/>
      </c>
      <c r="E797" t="str">
        <f>IF($A797&lt;&gt;"",'All Cases - Enter Cases'!E797,"")</f>
        <v/>
      </c>
      <c r="F797" t="str">
        <f>IF($A797&lt;&gt;"",'All Cases - Enter Cases'!F797,"")</f>
        <v/>
      </c>
      <c r="G797" t="str">
        <f>IF($A797&lt;&gt;"",'All Cases - Enter Cases'!G797,"")</f>
        <v/>
      </c>
      <c r="H797" t="str">
        <f>IF($A797&lt;&gt;"",'All Cases - Enter Cases'!H797,"")</f>
        <v/>
      </c>
      <c r="I797" t="str">
        <f>IF($A797&lt;&gt;"",'All Cases - Enter Cases'!I797,"")</f>
        <v/>
      </c>
      <c r="J797" t="str">
        <f>IF($A797&lt;&gt;"",'All Cases - Enter Cases'!J797,"")</f>
        <v/>
      </c>
      <c r="K797" t="str">
        <f>IF($A797&lt;&gt;"",'All Cases - Enter Cases'!K797,"")</f>
        <v/>
      </c>
      <c r="L797" t="str">
        <f>IF($A797&lt;&gt;"",'All Cases - Enter Cases'!L797,"")</f>
        <v/>
      </c>
      <c r="M797" t="str">
        <f>IF($A797&lt;&gt;"",'All Cases - Enter Cases'!M797,"")</f>
        <v/>
      </c>
    </row>
    <row r="798" spans="1:13" x14ac:dyDescent="0.35">
      <c r="A798" t="str">
        <f>IF('All Cases - Enter Cases'!$F798="Balochistan",'All Cases - Enter Cases'!A798,"")</f>
        <v/>
      </c>
      <c r="B798" t="str">
        <f>IF($A798&lt;&gt;"",'All Cases - Enter Cases'!B798,"")</f>
        <v/>
      </c>
      <c r="C798" t="str">
        <f>IF($A798&lt;&gt;"",'All Cases - Enter Cases'!C798,"")</f>
        <v/>
      </c>
      <c r="D798" t="str">
        <f>IF($A798&lt;&gt;"",'All Cases - Enter Cases'!D798,"")</f>
        <v/>
      </c>
      <c r="E798" t="str">
        <f>IF($A798&lt;&gt;"",'All Cases - Enter Cases'!E798,"")</f>
        <v/>
      </c>
      <c r="F798" t="str">
        <f>IF($A798&lt;&gt;"",'All Cases - Enter Cases'!F798,"")</f>
        <v/>
      </c>
      <c r="G798" t="str">
        <f>IF($A798&lt;&gt;"",'All Cases - Enter Cases'!G798,"")</f>
        <v/>
      </c>
      <c r="H798" t="str">
        <f>IF($A798&lt;&gt;"",'All Cases - Enter Cases'!H798,"")</f>
        <v/>
      </c>
      <c r="I798" t="str">
        <f>IF($A798&lt;&gt;"",'All Cases - Enter Cases'!I798,"")</f>
        <v/>
      </c>
      <c r="J798" t="str">
        <f>IF($A798&lt;&gt;"",'All Cases - Enter Cases'!J798,"")</f>
        <v/>
      </c>
      <c r="K798" t="str">
        <f>IF($A798&lt;&gt;"",'All Cases - Enter Cases'!K798,"")</f>
        <v/>
      </c>
      <c r="L798" t="str">
        <f>IF($A798&lt;&gt;"",'All Cases - Enter Cases'!L798,"")</f>
        <v/>
      </c>
      <c r="M798" t="str">
        <f>IF($A798&lt;&gt;"",'All Cases - Enter Cases'!M798,"")</f>
        <v/>
      </c>
    </row>
    <row r="799" spans="1:13" x14ac:dyDescent="0.35">
      <c r="A799" t="str">
        <f>IF('All Cases - Enter Cases'!$F799="Balochistan",'All Cases - Enter Cases'!A799,"")</f>
        <v/>
      </c>
      <c r="B799" t="str">
        <f>IF($A799&lt;&gt;"",'All Cases - Enter Cases'!B799,"")</f>
        <v/>
      </c>
      <c r="C799" t="str">
        <f>IF($A799&lt;&gt;"",'All Cases - Enter Cases'!C799,"")</f>
        <v/>
      </c>
      <c r="D799" t="str">
        <f>IF($A799&lt;&gt;"",'All Cases - Enter Cases'!D799,"")</f>
        <v/>
      </c>
      <c r="E799" t="str">
        <f>IF($A799&lt;&gt;"",'All Cases - Enter Cases'!E799,"")</f>
        <v/>
      </c>
      <c r="F799" t="str">
        <f>IF($A799&lt;&gt;"",'All Cases - Enter Cases'!F799,"")</f>
        <v/>
      </c>
      <c r="G799" t="str">
        <f>IF($A799&lt;&gt;"",'All Cases - Enter Cases'!G799,"")</f>
        <v/>
      </c>
      <c r="H799" t="str">
        <f>IF($A799&lt;&gt;"",'All Cases - Enter Cases'!H799,"")</f>
        <v/>
      </c>
      <c r="I799" t="str">
        <f>IF($A799&lt;&gt;"",'All Cases - Enter Cases'!I799,"")</f>
        <v/>
      </c>
      <c r="J799" t="str">
        <f>IF($A799&lt;&gt;"",'All Cases - Enter Cases'!J799,"")</f>
        <v/>
      </c>
      <c r="K799" t="str">
        <f>IF($A799&lt;&gt;"",'All Cases - Enter Cases'!K799,"")</f>
        <v/>
      </c>
      <c r="L799" t="str">
        <f>IF($A799&lt;&gt;"",'All Cases - Enter Cases'!L799,"")</f>
        <v/>
      </c>
      <c r="M799" t="str">
        <f>IF($A799&lt;&gt;"",'All Cases - Enter Cases'!M799,"")</f>
        <v/>
      </c>
    </row>
    <row r="800" spans="1:13" x14ac:dyDescent="0.35">
      <c r="A800" t="str">
        <f>IF('All Cases - Enter Cases'!$F800="Balochistan",'All Cases - Enter Cases'!A800,"")</f>
        <v/>
      </c>
      <c r="B800" t="str">
        <f>IF($A800&lt;&gt;"",'All Cases - Enter Cases'!B800,"")</f>
        <v/>
      </c>
      <c r="C800" t="str">
        <f>IF($A800&lt;&gt;"",'All Cases - Enter Cases'!C800,"")</f>
        <v/>
      </c>
      <c r="D800" t="str">
        <f>IF($A800&lt;&gt;"",'All Cases - Enter Cases'!D800,"")</f>
        <v/>
      </c>
      <c r="E800" t="str">
        <f>IF($A800&lt;&gt;"",'All Cases - Enter Cases'!E800,"")</f>
        <v/>
      </c>
      <c r="F800" t="str">
        <f>IF($A800&lt;&gt;"",'All Cases - Enter Cases'!F800,"")</f>
        <v/>
      </c>
      <c r="G800" t="str">
        <f>IF($A800&lt;&gt;"",'All Cases - Enter Cases'!G800,"")</f>
        <v/>
      </c>
      <c r="H800" t="str">
        <f>IF($A800&lt;&gt;"",'All Cases - Enter Cases'!H800,"")</f>
        <v/>
      </c>
      <c r="I800" t="str">
        <f>IF($A800&lt;&gt;"",'All Cases - Enter Cases'!I800,"")</f>
        <v/>
      </c>
      <c r="J800" t="str">
        <f>IF($A800&lt;&gt;"",'All Cases - Enter Cases'!J800,"")</f>
        <v/>
      </c>
      <c r="K800" t="str">
        <f>IF($A800&lt;&gt;"",'All Cases - Enter Cases'!K800,"")</f>
        <v/>
      </c>
      <c r="L800" t="str">
        <f>IF($A800&lt;&gt;"",'All Cases - Enter Cases'!L800,"")</f>
        <v/>
      </c>
      <c r="M800" t="str">
        <f>IF($A800&lt;&gt;"",'All Cases - Enter Cases'!M800,"")</f>
        <v/>
      </c>
    </row>
    <row r="801" spans="1:13" x14ac:dyDescent="0.35">
      <c r="A801" t="str">
        <f>IF('All Cases - Enter Cases'!$F801="Balochistan",'All Cases - Enter Cases'!A801,"")</f>
        <v/>
      </c>
      <c r="B801" t="str">
        <f>IF($A801&lt;&gt;"",'All Cases - Enter Cases'!B801,"")</f>
        <v/>
      </c>
      <c r="C801" t="str">
        <f>IF($A801&lt;&gt;"",'All Cases - Enter Cases'!C801,"")</f>
        <v/>
      </c>
      <c r="D801" t="str">
        <f>IF($A801&lt;&gt;"",'All Cases - Enter Cases'!D801,"")</f>
        <v/>
      </c>
      <c r="E801" t="str">
        <f>IF($A801&lt;&gt;"",'All Cases - Enter Cases'!E801,"")</f>
        <v/>
      </c>
      <c r="F801" t="str">
        <f>IF($A801&lt;&gt;"",'All Cases - Enter Cases'!F801,"")</f>
        <v/>
      </c>
      <c r="G801" t="str">
        <f>IF($A801&lt;&gt;"",'All Cases - Enter Cases'!G801,"")</f>
        <v/>
      </c>
      <c r="H801" t="str">
        <f>IF($A801&lt;&gt;"",'All Cases - Enter Cases'!H801,"")</f>
        <v/>
      </c>
      <c r="I801" t="str">
        <f>IF($A801&lt;&gt;"",'All Cases - Enter Cases'!I801,"")</f>
        <v/>
      </c>
      <c r="J801" t="str">
        <f>IF($A801&lt;&gt;"",'All Cases - Enter Cases'!J801,"")</f>
        <v/>
      </c>
      <c r="K801" t="str">
        <f>IF($A801&lt;&gt;"",'All Cases - Enter Cases'!K801,"")</f>
        <v/>
      </c>
      <c r="L801" t="str">
        <f>IF($A801&lt;&gt;"",'All Cases - Enter Cases'!L801,"")</f>
        <v/>
      </c>
      <c r="M801" t="str">
        <f>IF($A801&lt;&gt;"",'All Cases - Enter Cases'!M801,"")</f>
        <v/>
      </c>
    </row>
    <row r="802" spans="1:13" x14ac:dyDescent="0.35">
      <c r="A802" t="str">
        <f>IF('All Cases - Enter Cases'!$F802="Balochistan",'All Cases - Enter Cases'!A802,"")</f>
        <v/>
      </c>
      <c r="B802" t="str">
        <f>IF($A802&lt;&gt;"",'All Cases - Enter Cases'!B802,"")</f>
        <v/>
      </c>
      <c r="C802" t="str">
        <f>IF($A802&lt;&gt;"",'All Cases - Enter Cases'!C802,"")</f>
        <v/>
      </c>
      <c r="D802" t="str">
        <f>IF($A802&lt;&gt;"",'All Cases - Enter Cases'!D802,"")</f>
        <v/>
      </c>
      <c r="E802" t="str">
        <f>IF($A802&lt;&gt;"",'All Cases - Enter Cases'!E802,"")</f>
        <v/>
      </c>
      <c r="F802" t="str">
        <f>IF($A802&lt;&gt;"",'All Cases - Enter Cases'!F802,"")</f>
        <v/>
      </c>
      <c r="G802" t="str">
        <f>IF($A802&lt;&gt;"",'All Cases - Enter Cases'!G802,"")</f>
        <v/>
      </c>
      <c r="H802" t="str">
        <f>IF($A802&lt;&gt;"",'All Cases - Enter Cases'!H802,"")</f>
        <v/>
      </c>
      <c r="I802" t="str">
        <f>IF($A802&lt;&gt;"",'All Cases - Enter Cases'!I802,"")</f>
        <v/>
      </c>
      <c r="J802" t="str">
        <f>IF($A802&lt;&gt;"",'All Cases - Enter Cases'!J802,"")</f>
        <v/>
      </c>
      <c r="K802" t="str">
        <f>IF($A802&lt;&gt;"",'All Cases - Enter Cases'!K802,"")</f>
        <v/>
      </c>
      <c r="L802" t="str">
        <f>IF($A802&lt;&gt;"",'All Cases - Enter Cases'!L802,"")</f>
        <v/>
      </c>
      <c r="M802" t="str">
        <f>IF($A802&lt;&gt;"",'All Cases - Enter Cases'!M802,"")</f>
        <v/>
      </c>
    </row>
    <row r="803" spans="1:13" x14ac:dyDescent="0.35">
      <c r="A803" t="str">
        <f>IF('All Cases - Enter Cases'!$F803="Balochistan",'All Cases - Enter Cases'!A803,"")</f>
        <v/>
      </c>
      <c r="B803" t="str">
        <f>IF($A803&lt;&gt;"",'All Cases - Enter Cases'!B803,"")</f>
        <v/>
      </c>
      <c r="C803" t="str">
        <f>IF($A803&lt;&gt;"",'All Cases - Enter Cases'!C803,"")</f>
        <v/>
      </c>
      <c r="D803" t="str">
        <f>IF($A803&lt;&gt;"",'All Cases - Enter Cases'!D803,"")</f>
        <v/>
      </c>
      <c r="E803" t="str">
        <f>IF($A803&lt;&gt;"",'All Cases - Enter Cases'!E803,"")</f>
        <v/>
      </c>
      <c r="F803" t="str">
        <f>IF($A803&lt;&gt;"",'All Cases - Enter Cases'!F803,"")</f>
        <v/>
      </c>
      <c r="G803" t="str">
        <f>IF($A803&lt;&gt;"",'All Cases - Enter Cases'!G803,"")</f>
        <v/>
      </c>
      <c r="H803" t="str">
        <f>IF($A803&lt;&gt;"",'All Cases - Enter Cases'!H803,"")</f>
        <v/>
      </c>
      <c r="I803" t="str">
        <f>IF($A803&lt;&gt;"",'All Cases - Enter Cases'!I803,"")</f>
        <v/>
      </c>
      <c r="J803" t="str">
        <f>IF($A803&lt;&gt;"",'All Cases - Enter Cases'!J803,"")</f>
        <v/>
      </c>
      <c r="K803" t="str">
        <f>IF($A803&lt;&gt;"",'All Cases - Enter Cases'!K803,"")</f>
        <v/>
      </c>
      <c r="L803" t="str">
        <f>IF($A803&lt;&gt;"",'All Cases - Enter Cases'!L803,"")</f>
        <v/>
      </c>
      <c r="M803" t="str">
        <f>IF($A803&lt;&gt;"",'All Cases - Enter Cases'!M803,"")</f>
        <v/>
      </c>
    </row>
    <row r="804" spans="1:13" x14ac:dyDescent="0.35">
      <c r="A804" t="str">
        <f>IF('All Cases - Enter Cases'!$F804="Balochistan",'All Cases - Enter Cases'!A804,"")</f>
        <v/>
      </c>
      <c r="B804" t="str">
        <f>IF($A804&lt;&gt;"",'All Cases - Enter Cases'!B804,"")</f>
        <v/>
      </c>
      <c r="C804" t="str">
        <f>IF($A804&lt;&gt;"",'All Cases - Enter Cases'!C804,"")</f>
        <v/>
      </c>
      <c r="D804" t="str">
        <f>IF($A804&lt;&gt;"",'All Cases - Enter Cases'!D804,"")</f>
        <v/>
      </c>
      <c r="E804" t="str">
        <f>IF($A804&lt;&gt;"",'All Cases - Enter Cases'!E804,"")</f>
        <v/>
      </c>
      <c r="F804" t="str">
        <f>IF($A804&lt;&gt;"",'All Cases - Enter Cases'!F804,"")</f>
        <v/>
      </c>
      <c r="G804" t="str">
        <f>IF($A804&lt;&gt;"",'All Cases - Enter Cases'!G804,"")</f>
        <v/>
      </c>
      <c r="H804" t="str">
        <f>IF($A804&lt;&gt;"",'All Cases - Enter Cases'!H804,"")</f>
        <v/>
      </c>
      <c r="I804" t="str">
        <f>IF($A804&lt;&gt;"",'All Cases - Enter Cases'!I804,"")</f>
        <v/>
      </c>
      <c r="J804" t="str">
        <f>IF($A804&lt;&gt;"",'All Cases - Enter Cases'!J804,"")</f>
        <v/>
      </c>
      <c r="K804" t="str">
        <f>IF($A804&lt;&gt;"",'All Cases - Enter Cases'!K804,"")</f>
        <v/>
      </c>
      <c r="L804" t="str">
        <f>IF($A804&lt;&gt;"",'All Cases - Enter Cases'!L804,"")</f>
        <v/>
      </c>
      <c r="M804" t="str">
        <f>IF($A804&lt;&gt;"",'All Cases - Enter Cases'!M804,"")</f>
        <v/>
      </c>
    </row>
    <row r="805" spans="1:13" x14ac:dyDescent="0.35">
      <c r="A805" t="str">
        <f>IF('All Cases - Enter Cases'!$F805="Balochistan",'All Cases - Enter Cases'!A805,"")</f>
        <v/>
      </c>
      <c r="B805" t="str">
        <f>IF($A805&lt;&gt;"",'All Cases - Enter Cases'!B805,"")</f>
        <v/>
      </c>
      <c r="C805" t="str">
        <f>IF($A805&lt;&gt;"",'All Cases - Enter Cases'!C805,"")</f>
        <v/>
      </c>
      <c r="D805" t="str">
        <f>IF($A805&lt;&gt;"",'All Cases - Enter Cases'!D805,"")</f>
        <v/>
      </c>
      <c r="E805" t="str">
        <f>IF($A805&lt;&gt;"",'All Cases - Enter Cases'!E805,"")</f>
        <v/>
      </c>
      <c r="F805" t="str">
        <f>IF($A805&lt;&gt;"",'All Cases - Enter Cases'!F805,"")</f>
        <v/>
      </c>
      <c r="G805" t="str">
        <f>IF($A805&lt;&gt;"",'All Cases - Enter Cases'!G805,"")</f>
        <v/>
      </c>
      <c r="H805" t="str">
        <f>IF($A805&lt;&gt;"",'All Cases - Enter Cases'!H805,"")</f>
        <v/>
      </c>
      <c r="I805" t="str">
        <f>IF($A805&lt;&gt;"",'All Cases - Enter Cases'!I805,"")</f>
        <v/>
      </c>
      <c r="J805" t="str">
        <f>IF($A805&lt;&gt;"",'All Cases - Enter Cases'!J805,"")</f>
        <v/>
      </c>
      <c r="K805" t="str">
        <f>IF($A805&lt;&gt;"",'All Cases - Enter Cases'!K805,"")</f>
        <v/>
      </c>
      <c r="L805" t="str">
        <f>IF($A805&lt;&gt;"",'All Cases - Enter Cases'!L805,"")</f>
        <v/>
      </c>
      <c r="M805" t="str">
        <f>IF($A805&lt;&gt;"",'All Cases - Enter Cases'!M805,"")</f>
        <v/>
      </c>
    </row>
    <row r="806" spans="1:13" x14ac:dyDescent="0.35">
      <c r="A806" t="str">
        <f>IF('All Cases - Enter Cases'!$F806="Balochistan",'All Cases - Enter Cases'!A806,"")</f>
        <v/>
      </c>
      <c r="B806" t="str">
        <f>IF($A806&lt;&gt;"",'All Cases - Enter Cases'!B806,"")</f>
        <v/>
      </c>
      <c r="C806" t="str">
        <f>IF($A806&lt;&gt;"",'All Cases - Enter Cases'!C806,"")</f>
        <v/>
      </c>
      <c r="D806" t="str">
        <f>IF($A806&lt;&gt;"",'All Cases - Enter Cases'!D806,"")</f>
        <v/>
      </c>
      <c r="E806" t="str">
        <f>IF($A806&lt;&gt;"",'All Cases - Enter Cases'!E806,"")</f>
        <v/>
      </c>
      <c r="F806" t="str">
        <f>IF($A806&lt;&gt;"",'All Cases - Enter Cases'!F806,"")</f>
        <v/>
      </c>
      <c r="G806" t="str">
        <f>IF($A806&lt;&gt;"",'All Cases - Enter Cases'!G806,"")</f>
        <v/>
      </c>
      <c r="H806" t="str">
        <f>IF($A806&lt;&gt;"",'All Cases - Enter Cases'!H806,"")</f>
        <v/>
      </c>
      <c r="I806" t="str">
        <f>IF($A806&lt;&gt;"",'All Cases - Enter Cases'!I806,"")</f>
        <v/>
      </c>
      <c r="J806" t="str">
        <f>IF($A806&lt;&gt;"",'All Cases - Enter Cases'!J806,"")</f>
        <v/>
      </c>
      <c r="K806" t="str">
        <f>IF($A806&lt;&gt;"",'All Cases - Enter Cases'!K806,"")</f>
        <v/>
      </c>
      <c r="L806" t="str">
        <f>IF($A806&lt;&gt;"",'All Cases - Enter Cases'!L806,"")</f>
        <v/>
      </c>
      <c r="M806" t="str">
        <f>IF($A806&lt;&gt;"",'All Cases - Enter Cases'!M806,"")</f>
        <v/>
      </c>
    </row>
    <row r="807" spans="1:13" x14ac:dyDescent="0.35">
      <c r="A807" t="str">
        <f>IF('All Cases - Enter Cases'!$F807="Balochistan",'All Cases - Enter Cases'!A807,"")</f>
        <v/>
      </c>
      <c r="B807" t="str">
        <f>IF($A807&lt;&gt;"",'All Cases - Enter Cases'!B807,"")</f>
        <v/>
      </c>
      <c r="C807" t="str">
        <f>IF($A807&lt;&gt;"",'All Cases - Enter Cases'!C807,"")</f>
        <v/>
      </c>
      <c r="D807" t="str">
        <f>IF($A807&lt;&gt;"",'All Cases - Enter Cases'!D807,"")</f>
        <v/>
      </c>
      <c r="E807" t="str">
        <f>IF($A807&lt;&gt;"",'All Cases - Enter Cases'!E807,"")</f>
        <v/>
      </c>
      <c r="F807" t="str">
        <f>IF($A807&lt;&gt;"",'All Cases - Enter Cases'!F807,"")</f>
        <v/>
      </c>
      <c r="G807" t="str">
        <f>IF($A807&lt;&gt;"",'All Cases - Enter Cases'!G807,"")</f>
        <v/>
      </c>
      <c r="H807" t="str">
        <f>IF($A807&lt;&gt;"",'All Cases - Enter Cases'!H807,"")</f>
        <v/>
      </c>
      <c r="I807" t="str">
        <f>IF($A807&lt;&gt;"",'All Cases - Enter Cases'!I807,"")</f>
        <v/>
      </c>
      <c r="J807" t="str">
        <f>IF($A807&lt;&gt;"",'All Cases - Enter Cases'!J807,"")</f>
        <v/>
      </c>
      <c r="K807" t="str">
        <f>IF($A807&lt;&gt;"",'All Cases - Enter Cases'!K807,"")</f>
        <v/>
      </c>
      <c r="L807" t="str">
        <f>IF($A807&lt;&gt;"",'All Cases - Enter Cases'!L807,"")</f>
        <v/>
      </c>
      <c r="M807" t="str">
        <f>IF($A807&lt;&gt;"",'All Cases - Enter Cases'!M807,"")</f>
        <v/>
      </c>
    </row>
    <row r="808" spans="1:13" x14ac:dyDescent="0.35">
      <c r="A808" t="str">
        <f>IF('All Cases - Enter Cases'!$F808="Balochistan",'All Cases - Enter Cases'!A808,"")</f>
        <v/>
      </c>
      <c r="B808" t="str">
        <f>IF($A808&lt;&gt;"",'All Cases - Enter Cases'!B808,"")</f>
        <v/>
      </c>
      <c r="C808" t="str">
        <f>IF($A808&lt;&gt;"",'All Cases - Enter Cases'!C808,"")</f>
        <v/>
      </c>
      <c r="D808" t="str">
        <f>IF($A808&lt;&gt;"",'All Cases - Enter Cases'!D808,"")</f>
        <v/>
      </c>
      <c r="E808" t="str">
        <f>IF($A808&lt;&gt;"",'All Cases - Enter Cases'!E808,"")</f>
        <v/>
      </c>
      <c r="F808" t="str">
        <f>IF($A808&lt;&gt;"",'All Cases - Enter Cases'!F808,"")</f>
        <v/>
      </c>
      <c r="G808" t="str">
        <f>IF($A808&lt;&gt;"",'All Cases - Enter Cases'!G808,"")</f>
        <v/>
      </c>
      <c r="H808" t="str">
        <f>IF($A808&lt;&gt;"",'All Cases - Enter Cases'!H808,"")</f>
        <v/>
      </c>
      <c r="I808" t="str">
        <f>IF($A808&lt;&gt;"",'All Cases - Enter Cases'!I808,"")</f>
        <v/>
      </c>
      <c r="J808" t="str">
        <f>IF($A808&lt;&gt;"",'All Cases - Enter Cases'!J808,"")</f>
        <v/>
      </c>
      <c r="K808" t="str">
        <f>IF($A808&lt;&gt;"",'All Cases - Enter Cases'!K808,"")</f>
        <v/>
      </c>
      <c r="L808" t="str">
        <f>IF($A808&lt;&gt;"",'All Cases - Enter Cases'!L808,"")</f>
        <v/>
      </c>
      <c r="M808" t="str">
        <f>IF($A808&lt;&gt;"",'All Cases - Enter Cases'!M808,"")</f>
        <v/>
      </c>
    </row>
    <row r="809" spans="1:13" x14ac:dyDescent="0.35">
      <c r="A809" t="str">
        <f>IF('All Cases - Enter Cases'!$F809="Balochistan",'All Cases - Enter Cases'!A809,"")</f>
        <v/>
      </c>
      <c r="B809" t="str">
        <f>IF($A809&lt;&gt;"",'All Cases - Enter Cases'!B809,"")</f>
        <v/>
      </c>
      <c r="C809" t="str">
        <f>IF($A809&lt;&gt;"",'All Cases - Enter Cases'!C809,"")</f>
        <v/>
      </c>
      <c r="D809" t="str">
        <f>IF($A809&lt;&gt;"",'All Cases - Enter Cases'!D809,"")</f>
        <v/>
      </c>
      <c r="E809" t="str">
        <f>IF($A809&lt;&gt;"",'All Cases - Enter Cases'!E809,"")</f>
        <v/>
      </c>
      <c r="F809" t="str">
        <f>IF($A809&lt;&gt;"",'All Cases - Enter Cases'!F809,"")</f>
        <v/>
      </c>
      <c r="G809" t="str">
        <f>IF($A809&lt;&gt;"",'All Cases - Enter Cases'!G809,"")</f>
        <v/>
      </c>
      <c r="H809" t="str">
        <f>IF($A809&lt;&gt;"",'All Cases - Enter Cases'!H809,"")</f>
        <v/>
      </c>
      <c r="I809" t="str">
        <f>IF($A809&lt;&gt;"",'All Cases - Enter Cases'!I809,"")</f>
        <v/>
      </c>
      <c r="J809" t="str">
        <f>IF($A809&lt;&gt;"",'All Cases - Enter Cases'!J809,"")</f>
        <v/>
      </c>
      <c r="K809" t="str">
        <f>IF($A809&lt;&gt;"",'All Cases - Enter Cases'!K809,"")</f>
        <v/>
      </c>
      <c r="L809" t="str">
        <f>IF($A809&lt;&gt;"",'All Cases - Enter Cases'!L809,"")</f>
        <v/>
      </c>
      <c r="M809" t="str">
        <f>IF($A809&lt;&gt;"",'All Cases - Enter Cases'!M809,"")</f>
        <v/>
      </c>
    </row>
    <row r="810" spans="1:13" x14ac:dyDescent="0.35">
      <c r="A810" t="str">
        <f>IF('All Cases - Enter Cases'!$F810="Balochistan",'All Cases - Enter Cases'!A810,"")</f>
        <v/>
      </c>
      <c r="B810" t="str">
        <f>IF($A810&lt;&gt;"",'All Cases - Enter Cases'!B810,"")</f>
        <v/>
      </c>
      <c r="C810" t="str">
        <f>IF($A810&lt;&gt;"",'All Cases - Enter Cases'!C810,"")</f>
        <v/>
      </c>
      <c r="D810" t="str">
        <f>IF($A810&lt;&gt;"",'All Cases - Enter Cases'!D810,"")</f>
        <v/>
      </c>
      <c r="E810" t="str">
        <f>IF($A810&lt;&gt;"",'All Cases - Enter Cases'!E810,"")</f>
        <v/>
      </c>
      <c r="F810" t="str">
        <f>IF($A810&lt;&gt;"",'All Cases - Enter Cases'!F810,"")</f>
        <v/>
      </c>
      <c r="G810" t="str">
        <f>IF($A810&lt;&gt;"",'All Cases - Enter Cases'!G810,"")</f>
        <v/>
      </c>
      <c r="H810" t="str">
        <f>IF($A810&lt;&gt;"",'All Cases - Enter Cases'!H810,"")</f>
        <v/>
      </c>
      <c r="I810" t="str">
        <f>IF($A810&lt;&gt;"",'All Cases - Enter Cases'!I810,"")</f>
        <v/>
      </c>
      <c r="J810" t="str">
        <f>IF($A810&lt;&gt;"",'All Cases - Enter Cases'!J810,"")</f>
        <v/>
      </c>
      <c r="K810" t="str">
        <f>IF($A810&lt;&gt;"",'All Cases - Enter Cases'!K810,"")</f>
        <v/>
      </c>
      <c r="L810" t="str">
        <f>IF($A810&lt;&gt;"",'All Cases - Enter Cases'!L810,"")</f>
        <v/>
      </c>
      <c r="M810" t="str">
        <f>IF($A810&lt;&gt;"",'All Cases - Enter Cases'!M810,"")</f>
        <v/>
      </c>
    </row>
    <row r="811" spans="1:13" x14ac:dyDescent="0.35">
      <c r="A811" t="str">
        <f>IF('All Cases - Enter Cases'!$F811="Balochistan",'All Cases - Enter Cases'!A811,"")</f>
        <v/>
      </c>
      <c r="B811" t="str">
        <f>IF($A811&lt;&gt;"",'All Cases - Enter Cases'!B811,"")</f>
        <v/>
      </c>
      <c r="C811" t="str">
        <f>IF($A811&lt;&gt;"",'All Cases - Enter Cases'!C811,"")</f>
        <v/>
      </c>
      <c r="D811" t="str">
        <f>IF($A811&lt;&gt;"",'All Cases - Enter Cases'!D811,"")</f>
        <v/>
      </c>
      <c r="E811" t="str">
        <f>IF($A811&lt;&gt;"",'All Cases - Enter Cases'!E811,"")</f>
        <v/>
      </c>
      <c r="F811" t="str">
        <f>IF($A811&lt;&gt;"",'All Cases - Enter Cases'!F811,"")</f>
        <v/>
      </c>
      <c r="G811" t="str">
        <f>IF($A811&lt;&gt;"",'All Cases - Enter Cases'!G811,"")</f>
        <v/>
      </c>
      <c r="H811" t="str">
        <f>IF($A811&lt;&gt;"",'All Cases - Enter Cases'!H811,"")</f>
        <v/>
      </c>
      <c r="I811" t="str">
        <f>IF($A811&lt;&gt;"",'All Cases - Enter Cases'!I811,"")</f>
        <v/>
      </c>
      <c r="J811" t="str">
        <f>IF($A811&lt;&gt;"",'All Cases - Enter Cases'!J811,"")</f>
        <v/>
      </c>
      <c r="K811" t="str">
        <f>IF($A811&lt;&gt;"",'All Cases - Enter Cases'!K811,"")</f>
        <v/>
      </c>
      <c r="L811" t="str">
        <f>IF($A811&lt;&gt;"",'All Cases - Enter Cases'!L811,"")</f>
        <v/>
      </c>
      <c r="M811" t="str">
        <f>IF($A811&lt;&gt;"",'All Cases - Enter Cases'!M811,"")</f>
        <v/>
      </c>
    </row>
    <row r="812" spans="1:13" x14ac:dyDescent="0.35">
      <c r="A812" t="str">
        <f>IF('All Cases - Enter Cases'!$F812="Balochistan",'All Cases - Enter Cases'!A812,"")</f>
        <v/>
      </c>
      <c r="B812" t="str">
        <f>IF($A812&lt;&gt;"",'All Cases - Enter Cases'!B812,"")</f>
        <v/>
      </c>
      <c r="C812" t="str">
        <f>IF($A812&lt;&gt;"",'All Cases - Enter Cases'!C812,"")</f>
        <v/>
      </c>
      <c r="D812" t="str">
        <f>IF($A812&lt;&gt;"",'All Cases - Enter Cases'!D812,"")</f>
        <v/>
      </c>
      <c r="E812" t="str">
        <f>IF($A812&lt;&gt;"",'All Cases - Enter Cases'!E812,"")</f>
        <v/>
      </c>
      <c r="F812" t="str">
        <f>IF($A812&lt;&gt;"",'All Cases - Enter Cases'!F812,"")</f>
        <v/>
      </c>
      <c r="G812" t="str">
        <f>IF($A812&lt;&gt;"",'All Cases - Enter Cases'!G812,"")</f>
        <v/>
      </c>
      <c r="H812" t="str">
        <f>IF($A812&lt;&gt;"",'All Cases - Enter Cases'!H812,"")</f>
        <v/>
      </c>
      <c r="I812" t="str">
        <f>IF($A812&lt;&gt;"",'All Cases - Enter Cases'!I812,"")</f>
        <v/>
      </c>
      <c r="J812" t="str">
        <f>IF($A812&lt;&gt;"",'All Cases - Enter Cases'!J812,"")</f>
        <v/>
      </c>
      <c r="K812" t="str">
        <f>IF($A812&lt;&gt;"",'All Cases - Enter Cases'!K812,"")</f>
        <v/>
      </c>
      <c r="L812" t="str">
        <f>IF($A812&lt;&gt;"",'All Cases - Enter Cases'!L812,"")</f>
        <v/>
      </c>
      <c r="M812" t="str">
        <f>IF($A812&lt;&gt;"",'All Cases - Enter Cases'!M812,"")</f>
        <v/>
      </c>
    </row>
    <row r="813" spans="1:13" x14ac:dyDescent="0.35">
      <c r="A813" t="str">
        <f>IF('All Cases - Enter Cases'!$F813="Balochistan",'All Cases - Enter Cases'!A813,"")</f>
        <v/>
      </c>
      <c r="B813" t="str">
        <f>IF($A813&lt;&gt;"",'All Cases - Enter Cases'!B813,"")</f>
        <v/>
      </c>
      <c r="C813" t="str">
        <f>IF($A813&lt;&gt;"",'All Cases - Enter Cases'!C813,"")</f>
        <v/>
      </c>
      <c r="D813" t="str">
        <f>IF($A813&lt;&gt;"",'All Cases - Enter Cases'!D813,"")</f>
        <v/>
      </c>
      <c r="E813" t="str">
        <f>IF($A813&lt;&gt;"",'All Cases - Enter Cases'!E813,"")</f>
        <v/>
      </c>
      <c r="F813" t="str">
        <f>IF($A813&lt;&gt;"",'All Cases - Enter Cases'!F813,"")</f>
        <v/>
      </c>
      <c r="G813" t="str">
        <f>IF($A813&lt;&gt;"",'All Cases - Enter Cases'!G813,"")</f>
        <v/>
      </c>
      <c r="H813" t="str">
        <f>IF($A813&lt;&gt;"",'All Cases - Enter Cases'!H813,"")</f>
        <v/>
      </c>
      <c r="I813" t="str">
        <f>IF($A813&lt;&gt;"",'All Cases - Enter Cases'!I813,"")</f>
        <v/>
      </c>
      <c r="J813" t="str">
        <f>IF($A813&lt;&gt;"",'All Cases - Enter Cases'!J813,"")</f>
        <v/>
      </c>
      <c r="K813" t="str">
        <f>IF($A813&lt;&gt;"",'All Cases - Enter Cases'!K813,"")</f>
        <v/>
      </c>
      <c r="L813" t="str">
        <f>IF($A813&lt;&gt;"",'All Cases - Enter Cases'!L813,"")</f>
        <v/>
      </c>
      <c r="M813" t="str">
        <f>IF($A813&lt;&gt;"",'All Cases - Enter Cases'!M813,"")</f>
        <v/>
      </c>
    </row>
    <row r="814" spans="1:13" x14ac:dyDescent="0.35">
      <c r="A814" t="str">
        <f>IF('All Cases - Enter Cases'!$F814="Balochistan",'All Cases - Enter Cases'!A814,"")</f>
        <v/>
      </c>
      <c r="B814" t="str">
        <f>IF($A814&lt;&gt;"",'All Cases - Enter Cases'!B814,"")</f>
        <v/>
      </c>
      <c r="C814" t="str">
        <f>IF($A814&lt;&gt;"",'All Cases - Enter Cases'!C814,"")</f>
        <v/>
      </c>
      <c r="D814" t="str">
        <f>IF($A814&lt;&gt;"",'All Cases - Enter Cases'!D814,"")</f>
        <v/>
      </c>
      <c r="E814" t="str">
        <f>IF($A814&lt;&gt;"",'All Cases - Enter Cases'!E814,"")</f>
        <v/>
      </c>
      <c r="F814" t="str">
        <f>IF($A814&lt;&gt;"",'All Cases - Enter Cases'!F814,"")</f>
        <v/>
      </c>
      <c r="G814" t="str">
        <f>IF($A814&lt;&gt;"",'All Cases - Enter Cases'!G814,"")</f>
        <v/>
      </c>
      <c r="H814" t="str">
        <f>IF($A814&lt;&gt;"",'All Cases - Enter Cases'!H814,"")</f>
        <v/>
      </c>
      <c r="I814" t="str">
        <f>IF($A814&lt;&gt;"",'All Cases - Enter Cases'!I814,"")</f>
        <v/>
      </c>
      <c r="J814" t="str">
        <f>IF($A814&lt;&gt;"",'All Cases - Enter Cases'!J814,"")</f>
        <v/>
      </c>
      <c r="K814" t="str">
        <f>IF($A814&lt;&gt;"",'All Cases - Enter Cases'!K814,"")</f>
        <v/>
      </c>
      <c r="L814" t="str">
        <f>IF($A814&lt;&gt;"",'All Cases - Enter Cases'!L814,"")</f>
        <v/>
      </c>
      <c r="M814" t="str">
        <f>IF($A814&lt;&gt;"",'All Cases - Enter Cases'!M814,"")</f>
        <v/>
      </c>
    </row>
    <row r="815" spans="1:13" x14ac:dyDescent="0.35">
      <c r="A815" t="str">
        <f>IF('All Cases - Enter Cases'!$F815="Balochistan",'All Cases - Enter Cases'!A815,"")</f>
        <v/>
      </c>
      <c r="B815" t="str">
        <f>IF($A815&lt;&gt;"",'All Cases - Enter Cases'!B815,"")</f>
        <v/>
      </c>
      <c r="C815" t="str">
        <f>IF($A815&lt;&gt;"",'All Cases - Enter Cases'!C815,"")</f>
        <v/>
      </c>
      <c r="D815" t="str">
        <f>IF($A815&lt;&gt;"",'All Cases - Enter Cases'!D815,"")</f>
        <v/>
      </c>
      <c r="E815" t="str">
        <f>IF($A815&lt;&gt;"",'All Cases - Enter Cases'!E815,"")</f>
        <v/>
      </c>
      <c r="F815" t="str">
        <f>IF($A815&lt;&gt;"",'All Cases - Enter Cases'!F815,"")</f>
        <v/>
      </c>
      <c r="G815" t="str">
        <f>IF($A815&lt;&gt;"",'All Cases - Enter Cases'!G815,"")</f>
        <v/>
      </c>
      <c r="H815" t="str">
        <f>IF($A815&lt;&gt;"",'All Cases - Enter Cases'!H815,"")</f>
        <v/>
      </c>
      <c r="I815" t="str">
        <f>IF($A815&lt;&gt;"",'All Cases - Enter Cases'!I815,"")</f>
        <v/>
      </c>
      <c r="J815" t="str">
        <f>IF($A815&lt;&gt;"",'All Cases - Enter Cases'!J815,"")</f>
        <v/>
      </c>
      <c r="K815" t="str">
        <f>IF($A815&lt;&gt;"",'All Cases - Enter Cases'!K815,"")</f>
        <v/>
      </c>
      <c r="L815" t="str">
        <f>IF($A815&lt;&gt;"",'All Cases - Enter Cases'!L815,"")</f>
        <v/>
      </c>
      <c r="M815" t="str">
        <f>IF($A815&lt;&gt;"",'All Cases - Enter Cases'!M815,"")</f>
        <v/>
      </c>
    </row>
    <row r="816" spans="1:13" x14ac:dyDescent="0.35">
      <c r="A816" t="str">
        <f>IF('All Cases - Enter Cases'!$F816="Balochistan",'All Cases - Enter Cases'!A816,"")</f>
        <v/>
      </c>
      <c r="B816" t="str">
        <f>IF($A816&lt;&gt;"",'All Cases - Enter Cases'!B816,"")</f>
        <v/>
      </c>
      <c r="C816" t="str">
        <f>IF($A816&lt;&gt;"",'All Cases - Enter Cases'!C816,"")</f>
        <v/>
      </c>
      <c r="D816" t="str">
        <f>IF($A816&lt;&gt;"",'All Cases - Enter Cases'!D816,"")</f>
        <v/>
      </c>
      <c r="E816" t="str">
        <f>IF($A816&lt;&gt;"",'All Cases - Enter Cases'!E816,"")</f>
        <v/>
      </c>
      <c r="F816" t="str">
        <f>IF($A816&lt;&gt;"",'All Cases - Enter Cases'!F816,"")</f>
        <v/>
      </c>
      <c r="G816" t="str">
        <f>IF($A816&lt;&gt;"",'All Cases - Enter Cases'!G816,"")</f>
        <v/>
      </c>
      <c r="H816" t="str">
        <f>IF($A816&lt;&gt;"",'All Cases - Enter Cases'!H816,"")</f>
        <v/>
      </c>
      <c r="I816" t="str">
        <f>IF($A816&lt;&gt;"",'All Cases - Enter Cases'!I816,"")</f>
        <v/>
      </c>
      <c r="J816" t="str">
        <f>IF($A816&lt;&gt;"",'All Cases - Enter Cases'!J816,"")</f>
        <v/>
      </c>
      <c r="K816" t="str">
        <f>IF($A816&lt;&gt;"",'All Cases - Enter Cases'!K816,"")</f>
        <v/>
      </c>
      <c r="L816" t="str">
        <f>IF($A816&lt;&gt;"",'All Cases - Enter Cases'!L816,"")</f>
        <v/>
      </c>
      <c r="M816" t="str">
        <f>IF($A816&lt;&gt;"",'All Cases - Enter Cases'!M816,"")</f>
        <v/>
      </c>
    </row>
    <row r="817" spans="1:13" x14ac:dyDescent="0.35">
      <c r="A817" t="str">
        <f>IF('All Cases - Enter Cases'!$F817="Balochistan",'All Cases - Enter Cases'!A817,"")</f>
        <v/>
      </c>
      <c r="B817" t="str">
        <f>IF($A817&lt;&gt;"",'All Cases - Enter Cases'!B817,"")</f>
        <v/>
      </c>
      <c r="C817" t="str">
        <f>IF($A817&lt;&gt;"",'All Cases - Enter Cases'!C817,"")</f>
        <v/>
      </c>
      <c r="D817" t="str">
        <f>IF($A817&lt;&gt;"",'All Cases - Enter Cases'!D817,"")</f>
        <v/>
      </c>
      <c r="E817" t="str">
        <f>IF($A817&lt;&gt;"",'All Cases - Enter Cases'!E817,"")</f>
        <v/>
      </c>
      <c r="F817" t="str">
        <f>IF($A817&lt;&gt;"",'All Cases - Enter Cases'!F817,"")</f>
        <v/>
      </c>
      <c r="G817" t="str">
        <f>IF($A817&lt;&gt;"",'All Cases - Enter Cases'!G817,"")</f>
        <v/>
      </c>
      <c r="H817" t="str">
        <f>IF($A817&lt;&gt;"",'All Cases - Enter Cases'!H817,"")</f>
        <v/>
      </c>
      <c r="I817" t="str">
        <f>IF($A817&lt;&gt;"",'All Cases - Enter Cases'!I817,"")</f>
        <v/>
      </c>
      <c r="J817" t="str">
        <f>IF($A817&lt;&gt;"",'All Cases - Enter Cases'!J817,"")</f>
        <v/>
      </c>
      <c r="K817" t="str">
        <f>IF($A817&lt;&gt;"",'All Cases - Enter Cases'!K817,"")</f>
        <v/>
      </c>
      <c r="L817" t="str">
        <f>IF($A817&lt;&gt;"",'All Cases - Enter Cases'!L817,"")</f>
        <v/>
      </c>
      <c r="M817" t="str">
        <f>IF($A817&lt;&gt;"",'All Cases - Enter Cases'!M817,"")</f>
        <v/>
      </c>
    </row>
    <row r="818" spans="1:13" x14ac:dyDescent="0.35">
      <c r="A818" t="str">
        <f>IF('All Cases - Enter Cases'!$F818="Balochistan",'All Cases - Enter Cases'!A818,"")</f>
        <v/>
      </c>
      <c r="B818" t="str">
        <f>IF($A818&lt;&gt;"",'All Cases - Enter Cases'!B818,"")</f>
        <v/>
      </c>
      <c r="C818" t="str">
        <f>IF($A818&lt;&gt;"",'All Cases - Enter Cases'!C818,"")</f>
        <v/>
      </c>
      <c r="D818" t="str">
        <f>IF($A818&lt;&gt;"",'All Cases - Enter Cases'!D818,"")</f>
        <v/>
      </c>
      <c r="E818" t="str">
        <f>IF($A818&lt;&gt;"",'All Cases - Enter Cases'!E818,"")</f>
        <v/>
      </c>
      <c r="F818" t="str">
        <f>IF($A818&lt;&gt;"",'All Cases - Enter Cases'!F818,"")</f>
        <v/>
      </c>
      <c r="G818" t="str">
        <f>IF($A818&lt;&gt;"",'All Cases - Enter Cases'!G818,"")</f>
        <v/>
      </c>
      <c r="H818" t="str">
        <f>IF($A818&lt;&gt;"",'All Cases - Enter Cases'!H818,"")</f>
        <v/>
      </c>
      <c r="I818" t="str">
        <f>IF($A818&lt;&gt;"",'All Cases - Enter Cases'!I818,"")</f>
        <v/>
      </c>
      <c r="J818" t="str">
        <f>IF($A818&lt;&gt;"",'All Cases - Enter Cases'!J818,"")</f>
        <v/>
      </c>
      <c r="K818" t="str">
        <f>IF($A818&lt;&gt;"",'All Cases - Enter Cases'!K818,"")</f>
        <v/>
      </c>
      <c r="L818" t="str">
        <f>IF($A818&lt;&gt;"",'All Cases - Enter Cases'!L818,"")</f>
        <v/>
      </c>
      <c r="M818" t="str">
        <f>IF($A818&lt;&gt;"",'All Cases - Enter Cases'!M818,"")</f>
        <v/>
      </c>
    </row>
    <row r="819" spans="1:13" x14ac:dyDescent="0.35">
      <c r="A819" t="str">
        <f>IF('All Cases - Enter Cases'!$F819="Balochistan",'All Cases - Enter Cases'!A819,"")</f>
        <v/>
      </c>
      <c r="B819" t="str">
        <f>IF($A819&lt;&gt;"",'All Cases - Enter Cases'!B819,"")</f>
        <v/>
      </c>
      <c r="C819" t="str">
        <f>IF($A819&lt;&gt;"",'All Cases - Enter Cases'!C819,"")</f>
        <v/>
      </c>
      <c r="D819" t="str">
        <f>IF($A819&lt;&gt;"",'All Cases - Enter Cases'!D819,"")</f>
        <v/>
      </c>
      <c r="E819" t="str">
        <f>IF($A819&lt;&gt;"",'All Cases - Enter Cases'!E819,"")</f>
        <v/>
      </c>
      <c r="F819" t="str">
        <f>IF($A819&lt;&gt;"",'All Cases - Enter Cases'!F819,"")</f>
        <v/>
      </c>
      <c r="G819" t="str">
        <f>IF($A819&lt;&gt;"",'All Cases - Enter Cases'!G819,"")</f>
        <v/>
      </c>
      <c r="H819" t="str">
        <f>IF($A819&lt;&gt;"",'All Cases - Enter Cases'!H819,"")</f>
        <v/>
      </c>
      <c r="I819" t="str">
        <f>IF($A819&lt;&gt;"",'All Cases - Enter Cases'!I819,"")</f>
        <v/>
      </c>
      <c r="J819" t="str">
        <f>IF($A819&lt;&gt;"",'All Cases - Enter Cases'!J819,"")</f>
        <v/>
      </c>
      <c r="K819" t="str">
        <f>IF($A819&lt;&gt;"",'All Cases - Enter Cases'!K819,"")</f>
        <v/>
      </c>
      <c r="L819" t="str">
        <f>IF($A819&lt;&gt;"",'All Cases - Enter Cases'!L819,"")</f>
        <v/>
      </c>
      <c r="M819" t="str">
        <f>IF($A819&lt;&gt;"",'All Cases - Enter Cases'!M819,"")</f>
        <v/>
      </c>
    </row>
    <row r="820" spans="1:13" x14ac:dyDescent="0.35">
      <c r="A820" t="str">
        <f>IF('All Cases - Enter Cases'!$F820="Balochistan",'All Cases - Enter Cases'!A820,"")</f>
        <v/>
      </c>
      <c r="B820" t="str">
        <f>IF($A820&lt;&gt;"",'All Cases - Enter Cases'!B820,"")</f>
        <v/>
      </c>
      <c r="C820" t="str">
        <f>IF($A820&lt;&gt;"",'All Cases - Enter Cases'!C820,"")</f>
        <v/>
      </c>
      <c r="D820" t="str">
        <f>IF($A820&lt;&gt;"",'All Cases - Enter Cases'!D820,"")</f>
        <v/>
      </c>
      <c r="E820" t="str">
        <f>IF($A820&lt;&gt;"",'All Cases - Enter Cases'!E820,"")</f>
        <v/>
      </c>
      <c r="F820" t="str">
        <f>IF($A820&lt;&gt;"",'All Cases - Enter Cases'!F820,"")</f>
        <v/>
      </c>
      <c r="G820" t="str">
        <f>IF($A820&lt;&gt;"",'All Cases - Enter Cases'!G820,"")</f>
        <v/>
      </c>
      <c r="H820" t="str">
        <f>IF($A820&lt;&gt;"",'All Cases - Enter Cases'!H820,"")</f>
        <v/>
      </c>
      <c r="I820" t="str">
        <f>IF($A820&lt;&gt;"",'All Cases - Enter Cases'!I820,"")</f>
        <v/>
      </c>
      <c r="J820" t="str">
        <f>IF($A820&lt;&gt;"",'All Cases - Enter Cases'!J820,"")</f>
        <v/>
      </c>
      <c r="K820" t="str">
        <f>IF($A820&lt;&gt;"",'All Cases - Enter Cases'!K820,"")</f>
        <v/>
      </c>
      <c r="L820" t="str">
        <f>IF($A820&lt;&gt;"",'All Cases - Enter Cases'!L820,"")</f>
        <v/>
      </c>
      <c r="M820" t="str">
        <f>IF($A820&lt;&gt;"",'All Cases - Enter Cases'!M820,"")</f>
        <v/>
      </c>
    </row>
    <row r="821" spans="1:13" x14ac:dyDescent="0.35">
      <c r="A821" t="str">
        <f>IF('All Cases - Enter Cases'!$F821="Balochistan",'All Cases - Enter Cases'!A821,"")</f>
        <v/>
      </c>
      <c r="B821" t="str">
        <f>IF($A821&lt;&gt;"",'All Cases - Enter Cases'!B821,"")</f>
        <v/>
      </c>
      <c r="C821" t="str">
        <f>IF($A821&lt;&gt;"",'All Cases - Enter Cases'!C821,"")</f>
        <v/>
      </c>
      <c r="D821" t="str">
        <f>IF($A821&lt;&gt;"",'All Cases - Enter Cases'!D821,"")</f>
        <v/>
      </c>
      <c r="E821" t="str">
        <f>IF($A821&lt;&gt;"",'All Cases - Enter Cases'!E821,"")</f>
        <v/>
      </c>
      <c r="F821" t="str">
        <f>IF($A821&lt;&gt;"",'All Cases - Enter Cases'!F821,"")</f>
        <v/>
      </c>
      <c r="G821" t="str">
        <f>IF($A821&lt;&gt;"",'All Cases - Enter Cases'!G821,"")</f>
        <v/>
      </c>
      <c r="H821" t="str">
        <f>IF($A821&lt;&gt;"",'All Cases - Enter Cases'!H821,"")</f>
        <v/>
      </c>
      <c r="I821" t="str">
        <f>IF($A821&lt;&gt;"",'All Cases - Enter Cases'!I821,"")</f>
        <v/>
      </c>
      <c r="J821" t="str">
        <f>IF($A821&lt;&gt;"",'All Cases - Enter Cases'!J821,"")</f>
        <v/>
      </c>
      <c r="K821" t="str">
        <f>IF($A821&lt;&gt;"",'All Cases - Enter Cases'!K821,"")</f>
        <v/>
      </c>
      <c r="L821" t="str">
        <f>IF($A821&lt;&gt;"",'All Cases - Enter Cases'!L821,"")</f>
        <v/>
      </c>
      <c r="M821" t="str">
        <f>IF($A821&lt;&gt;"",'All Cases - Enter Cases'!M821,"")</f>
        <v/>
      </c>
    </row>
    <row r="822" spans="1:13" x14ac:dyDescent="0.35">
      <c r="A822" t="str">
        <f>IF('All Cases - Enter Cases'!$F822="Balochistan",'All Cases - Enter Cases'!A822,"")</f>
        <v/>
      </c>
      <c r="B822" t="str">
        <f>IF($A822&lt;&gt;"",'All Cases - Enter Cases'!B822,"")</f>
        <v/>
      </c>
      <c r="C822" t="str">
        <f>IF($A822&lt;&gt;"",'All Cases - Enter Cases'!C822,"")</f>
        <v/>
      </c>
      <c r="D822" t="str">
        <f>IF($A822&lt;&gt;"",'All Cases - Enter Cases'!D822,"")</f>
        <v/>
      </c>
      <c r="E822" t="str">
        <f>IF($A822&lt;&gt;"",'All Cases - Enter Cases'!E822,"")</f>
        <v/>
      </c>
      <c r="F822" t="str">
        <f>IF($A822&lt;&gt;"",'All Cases - Enter Cases'!F822,"")</f>
        <v/>
      </c>
      <c r="G822" t="str">
        <f>IF($A822&lt;&gt;"",'All Cases - Enter Cases'!G822,"")</f>
        <v/>
      </c>
      <c r="H822" t="str">
        <f>IF($A822&lt;&gt;"",'All Cases - Enter Cases'!H822,"")</f>
        <v/>
      </c>
      <c r="I822" t="str">
        <f>IF($A822&lt;&gt;"",'All Cases - Enter Cases'!I822,"")</f>
        <v/>
      </c>
      <c r="J822" t="str">
        <f>IF($A822&lt;&gt;"",'All Cases - Enter Cases'!J822,"")</f>
        <v/>
      </c>
      <c r="K822" t="str">
        <f>IF($A822&lt;&gt;"",'All Cases - Enter Cases'!K822,"")</f>
        <v/>
      </c>
      <c r="L822" t="str">
        <f>IF($A822&lt;&gt;"",'All Cases - Enter Cases'!L822,"")</f>
        <v/>
      </c>
      <c r="M822" t="str">
        <f>IF($A822&lt;&gt;"",'All Cases - Enter Cases'!M822,"")</f>
        <v/>
      </c>
    </row>
    <row r="823" spans="1:13" x14ac:dyDescent="0.35">
      <c r="A823" t="str">
        <f>IF('All Cases - Enter Cases'!$F823="Balochistan",'All Cases - Enter Cases'!A823,"")</f>
        <v/>
      </c>
      <c r="B823" t="str">
        <f>IF($A823&lt;&gt;"",'All Cases - Enter Cases'!B823,"")</f>
        <v/>
      </c>
      <c r="C823" t="str">
        <f>IF($A823&lt;&gt;"",'All Cases - Enter Cases'!C823,"")</f>
        <v/>
      </c>
      <c r="D823" t="str">
        <f>IF($A823&lt;&gt;"",'All Cases - Enter Cases'!D823,"")</f>
        <v/>
      </c>
      <c r="E823" t="str">
        <f>IF($A823&lt;&gt;"",'All Cases - Enter Cases'!E823,"")</f>
        <v/>
      </c>
      <c r="F823" t="str">
        <f>IF($A823&lt;&gt;"",'All Cases - Enter Cases'!F823,"")</f>
        <v/>
      </c>
      <c r="G823" t="str">
        <f>IF($A823&lt;&gt;"",'All Cases - Enter Cases'!G823,"")</f>
        <v/>
      </c>
      <c r="H823" t="str">
        <f>IF($A823&lt;&gt;"",'All Cases - Enter Cases'!H823,"")</f>
        <v/>
      </c>
      <c r="I823" t="str">
        <f>IF($A823&lt;&gt;"",'All Cases - Enter Cases'!I823,"")</f>
        <v/>
      </c>
      <c r="J823" t="str">
        <f>IF($A823&lt;&gt;"",'All Cases - Enter Cases'!J823,"")</f>
        <v/>
      </c>
      <c r="K823" t="str">
        <f>IF($A823&lt;&gt;"",'All Cases - Enter Cases'!K823,"")</f>
        <v/>
      </c>
      <c r="L823" t="str">
        <f>IF($A823&lt;&gt;"",'All Cases - Enter Cases'!L823,"")</f>
        <v/>
      </c>
      <c r="M823" t="str">
        <f>IF($A823&lt;&gt;"",'All Cases - Enter Cases'!M823,"")</f>
        <v/>
      </c>
    </row>
    <row r="824" spans="1:13" x14ac:dyDescent="0.35">
      <c r="A824" t="str">
        <f>IF('All Cases - Enter Cases'!$F824="Balochistan",'All Cases - Enter Cases'!A824,"")</f>
        <v/>
      </c>
      <c r="B824" t="str">
        <f>IF($A824&lt;&gt;"",'All Cases - Enter Cases'!B824,"")</f>
        <v/>
      </c>
      <c r="C824" t="str">
        <f>IF($A824&lt;&gt;"",'All Cases - Enter Cases'!C824,"")</f>
        <v/>
      </c>
      <c r="D824" t="str">
        <f>IF($A824&lt;&gt;"",'All Cases - Enter Cases'!D824,"")</f>
        <v/>
      </c>
      <c r="E824" t="str">
        <f>IF($A824&lt;&gt;"",'All Cases - Enter Cases'!E824,"")</f>
        <v/>
      </c>
      <c r="F824" t="str">
        <f>IF($A824&lt;&gt;"",'All Cases - Enter Cases'!F824,"")</f>
        <v/>
      </c>
      <c r="G824" t="str">
        <f>IF($A824&lt;&gt;"",'All Cases - Enter Cases'!G824,"")</f>
        <v/>
      </c>
      <c r="H824" t="str">
        <f>IF($A824&lt;&gt;"",'All Cases - Enter Cases'!H824,"")</f>
        <v/>
      </c>
      <c r="I824" t="str">
        <f>IF($A824&lt;&gt;"",'All Cases - Enter Cases'!I824,"")</f>
        <v/>
      </c>
      <c r="J824" t="str">
        <f>IF($A824&lt;&gt;"",'All Cases - Enter Cases'!J824,"")</f>
        <v/>
      </c>
      <c r="K824" t="str">
        <f>IF($A824&lt;&gt;"",'All Cases - Enter Cases'!K824,"")</f>
        <v/>
      </c>
      <c r="L824" t="str">
        <f>IF($A824&lt;&gt;"",'All Cases - Enter Cases'!L824,"")</f>
        <v/>
      </c>
      <c r="M824" t="str">
        <f>IF($A824&lt;&gt;"",'All Cases - Enter Cases'!M824,"")</f>
        <v/>
      </c>
    </row>
    <row r="825" spans="1:13" x14ac:dyDescent="0.35">
      <c r="A825" t="str">
        <f>IF('All Cases - Enter Cases'!$F825="Balochistan",'All Cases - Enter Cases'!A825,"")</f>
        <v/>
      </c>
      <c r="B825" t="str">
        <f>IF($A825&lt;&gt;"",'All Cases - Enter Cases'!B825,"")</f>
        <v/>
      </c>
      <c r="C825" t="str">
        <f>IF($A825&lt;&gt;"",'All Cases - Enter Cases'!C825,"")</f>
        <v/>
      </c>
      <c r="D825" t="str">
        <f>IF($A825&lt;&gt;"",'All Cases - Enter Cases'!D825,"")</f>
        <v/>
      </c>
      <c r="E825" t="str">
        <f>IF($A825&lt;&gt;"",'All Cases - Enter Cases'!E825,"")</f>
        <v/>
      </c>
      <c r="F825" t="str">
        <f>IF($A825&lt;&gt;"",'All Cases - Enter Cases'!F825,"")</f>
        <v/>
      </c>
      <c r="G825" t="str">
        <f>IF($A825&lt;&gt;"",'All Cases - Enter Cases'!G825,"")</f>
        <v/>
      </c>
      <c r="H825" t="str">
        <f>IF($A825&lt;&gt;"",'All Cases - Enter Cases'!H825,"")</f>
        <v/>
      </c>
      <c r="I825" t="str">
        <f>IF($A825&lt;&gt;"",'All Cases - Enter Cases'!I825,"")</f>
        <v/>
      </c>
      <c r="J825" t="str">
        <f>IF($A825&lt;&gt;"",'All Cases - Enter Cases'!J825,"")</f>
        <v/>
      </c>
      <c r="K825" t="str">
        <f>IF($A825&lt;&gt;"",'All Cases - Enter Cases'!K825,"")</f>
        <v/>
      </c>
      <c r="L825" t="str">
        <f>IF($A825&lt;&gt;"",'All Cases - Enter Cases'!L825,"")</f>
        <v/>
      </c>
      <c r="M825" t="str">
        <f>IF($A825&lt;&gt;"",'All Cases - Enter Cases'!M825,"")</f>
        <v/>
      </c>
    </row>
    <row r="826" spans="1:13" x14ac:dyDescent="0.35">
      <c r="A826" t="str">
        <f>IF('All Cases - Enter Cases'!$F826="Balochistan",'All Cases - Enter Cases'!A826,"")</f>
        <v/>
      </c>
      <c r="B826" t="str">
        <f>IF($A826&lt;&gt;"",'All Cases - Enter Cases'!B826,"")</f>
        <v/>
      </c>
      <c r="C826" t="str">
        <f>IF($A826&lt;&gt;"",'All Cases - Enter Cases'!C826,"")</f>
        <v/>
      </c>
      <c r="D826" t="str">
        <f>IF($A826&lt;&gt;"",'All Cases - Enter Cases'!D826,"")</f>
        <v/>
      </c>
      <c r="E826" t="str">
        <f>IF($A826&lt;&gt;"",'All Cases - Enter Cases'!E826,"")</f>
        <v/>
      </c>
      <c r="F826" t="str">
        <f>IF($A826&lt;&gt;"",'All Cases - Enter Cases'!F826,"")</f>
        <v/>
      </c>
      <c r="G826" t="str">
        <f>IF($A826&lt;&gt;"",'All Cases - Enter Cases'!G826,"")</f>
        <v/>
      </c>
      <c r="H826" t="str">
        <f>IF($A826&lt;&gt;"",'All Cases - Enter Cases'!H826,"")</f>
        <v/>
      </c>
      <c r="I826" t="str">
        <f>IF($A826&lt;&gt;"",'All Cases - Enter Cases'!I826,"")</f>
        <v/>
      </c>
      <c r="J826" t="str">
        <f>IF($A826&lt;&gt;"",'All Cases - Enter Cases'!J826,"")</f>
        <v/>
      </c>
      <c r="K826" t="str">
        <f>IF($A826&lt;&gt;"",'All Cases - Enter Cases'!K826,"")</f>
        <v/>
      </c>
      <c r="L826" t="str">
        <f>IF($A826&lt;&gt;"",'All Cases - Enter Cases'!L826,"")</f>
        <v/>
      </c>
      <c r="M826" t="str">
        <f>IF($A826&lt;&gt;"",'All Cases - Enter Cases'!M826,"")</f>
        <v/>
      </c>
    </row>
    <row r="827" spans="1:13" x14ac:dyDescent="0.35">
      <c r="A827" t="str">
        <f>IF('All Cases - Enter Cases'!$F827="Balochistan",'All Cases - Enter Cases'!A827,"")</f>
        <v/>
      </c>
      <c r="B827" t="str">
        <f>IF($A827&lt;&gt;"",'All Cases - Enter Cases'!B827,"")</f>
        <v/>
      </c>
      <c r="C827" t="str">
        <f>IF($A827&lt;&gt;"",'All Cases - Enter Cases'!C827,"")</f>
        <v/>
      </c>
      <c r="D827" t="str">
        <f>IF($A827&lt;&gt;"",'All Cases - Enter Cases'!D827,"")</f>
        <v/>
      </c>
      <c r="E827" t="str">
        <f>IF($A827&lt;&gt;"",'All Cases - Enter Cases'!E827,"")</f>
        <v/>
      </c>
      <c r="F827" t="str">
        <f>IF($A827&lt;&gt;"",'All Cases - Enter Cases'!F827,"")</f>
        <v/>
      </c>
      <c r="G827" t="str">
        <f>IF($A827&lt;&gt;"",'All Cases - Enter Cases'!G827,"")</f>
        <v/>
      </c>
      <c r="H827" t="str">
        <f>IF($A827&lt;&gt;"",'All Cases - Enter Cases'!H827,"")</f>
        <v/>
      </c>
      <c r="I827" t="str">
        <f>IF($A827&lt;&gt;"",'All Cases - Enter Cases'!I827,"")</f>
        <v/>
      </c>
      <c r="J827" t="str">
        <f>IF($A827&lt;&gt;"",'All Cases - Enter Cases'!J827,"")</f>
        <v/>
      </c>
      <c r="K827" t="str">
        <f>IF($A827&lt;&gt;"",'All Cases - Enter Cases'!K827,"")</f>
        <v/>
      </c>
      <c r="L827" t="str">
        <f>IF($A827&lt;&gt;"",'All Cases - Enter Cases'!L827,"")</f>
        <v/>
      </c>
      <c r="M827" t="str">
        <f>IF($A827&lt;&gt;"",'All Cases - Enter Cases'!M827,"")</f>
        <v/>
      </c>
    </row>
    <row r="828" spans="1:13" x14ac:dyDescent="0.35">
      <c r="A828" t="str">
        <f>IF('All Cases - Enter Cases'!$F828="Balochistan",'All Cases - Enter Cases'!A828,"")</f>
        <v/>
      </c>
      <c r="B828" t="str">
        <f>IF($A828&lt;&gt;"",'All Cases - Enter Cases'!B828,"")</f>
        <v/>
      </c>
      <c r="C828" t="str">
        <f>IF($A828&lt;&gt;"",'All Cases - Enter Cases'!C828,"")</f>
        <v/>
      </c>
      <c r="D828" t="str">
        <f>IF($A828&lt;&gt;"",'All Cases - Enter Cases'!D828,"")</f>
        <v/>
      </c>
      <c r="E828" t="str">
        <f>IF($A828&lt;&gt;"",'All Cases - Enter Cases'!E828,"")</f>
        <v/>
      </c>
      <c r="F828" t="str">
        <f>IF($A828&lt;&gt;"",'All Cases - Enter Cases'!F828,"")</f>
        <v/>
      </c>
      <c r="G828" t="str">
        <f>IF($A828&lt;&gt;"",'All Cases - Enter Cases'!G828,"")</f>
        <v/>
      </c>
      <c r="H828" t="str">
        <f>IF($A828&lt;&gt;"",'All Cases - Enter Cases'!H828,"")</f>
        <v/>
      </c>
      <c r="I828" t="str">
        <f>IF($A828&lt;&gt;"",'All Cases - Enter Cases'!I828,"")</f>
        <v/>
      </c>
      <c r="J828" t="str">
        <f>IF($A828&lt;&gt;"",'All Cases - Enter Cases'!J828,"")</f>
        <v/>
      </c>
      <c r="K828" t="str">
        <f>IF($A828&lt;&gt;"",'All Cases - Enter Cases'!K828,"")</f>
        <v/>
      </c>
      <c r="L828" t="str">
        <f>IF($A828&lt;&gt;"",'All Cases - Enter Cases'!L828,"")</f>
        <v/>
      </c>
      <c r="M828" t="str">
        <f>IF($A828&lt;&gt;"",'All Cases - Enter Cases'!M828,"")</f>
        <v/>
      </c>
    </row>
    <row r="829" spans="1:13" x14ac:dyDescent="0.35">
      <c r="A829" t="str">
        <f>IF('All Cases - Enter Cases'!$F829="Balochistan",'All Cases - Enter Cases'!A829,"")</f>
        <v/>
      </c>
      <c r="B829" t="str">
        <f>IF($A829&lt;&gt;"",'All Cases - Enter Cases'!B829,"")</f>
        <v/>
      </c>
      <c r="C829" t="str">
        <f>IF($A829&lt;&gt;"",'All Cases - Enter Cases'!C829,"")</f>
        <v/>
      </c>
      <c r="D829" t="str">
        <f>IF($A829&lt;&gt;"",'All Cases - Enter Cases'!D829,"")</f>
        <v/>
      </c>
      <c r="E829" t="str">
        <f>IF($A829&lt;&gt;"",'All Cases - Enter Cases'!E829,"")</f>
        <v/>
      </c>
      <c r="F829" t="str">
        <f>IF($A829&lt;&gt;"",'All Cases - Enter Cases'!F829,"")</f>
        <v/>
      </c>
      <c r="G829" t="str">
        <f>IF($A829&lt;&gt;"",'All Cases - Enter Cases'!G829,"")</f>
        <v/>
      </c>
      <c r="H829" t="str">
        <f>IF($A829&lt;&gt;"",'All Cases - Enter Cases'!H829,"")</f>
        <v/>
      </c>
      <c r="I829" t="str">
        <f>IF($A829&lt;&gt;"",'All Cases - Enter Cases'!I829,"")</f>
        <v/>
      </c>
      <c r="J829" t="str">
        <f>IF($A829&lt;&gt;"",'All Cases - Enter Cases'!J829,"")</f>
        <v/>
      </c>
      <c r="K829" t="str">
        <f>IF($A829&lt;&gt;"",'All Cases - Enter Cases'!K829,"")</f>
        <v/>
      </c>
      <c r="L829" t="str">
        <f>IF($A829&lt;&gt;"",'All Cases - Enter Cases'!L829,"")</f>
        <v/>
      </c>
      <c r="M829" t="str">
        <f>IF($A829&lt;&gt;"",'All Cases - Enter Cases'!M829,"")</f>
        <v/>
      </c>
    </row>
    <row r="830" spans="1:13" x14ac:dyDescent="0.35">
      <c r="A830" t="str">
        <f>IF('All Cases - Enter Cases'!$F830="Balochistan",'All Cases - Enter Cases'!A830,"")</f>
        <v/>
      </c>
      <c r="B830" t="str">
        <f>IF($A830&lt;&gt;"",'All Cases - Enter Cases'!B830,"")</f>
        <v/>
      </c>
      <c r="C830" t="str">
        <f>IF($A830&lt;&gt;"",'All Cases - Enter Cases'!C830,"")</f>
        <v/>
      </c>
      <c r="D830" t="str">
        <f>IF($A830&lt;&gt;"",'All Cases - Enter Cases'!D830,"")</f>
        <v/>
      </c>
      <c r="E830" t="str">
        <f>IF($A830&lt;&gt;"",'All Cases - Enter Cases'!E830,"")</f>
        <v/>
      </c>
      <c r="F830" t="str">
        <f>IF($A830&lt;&gt;"",'All Cases - Enter Cases'!F830,"")</f>
        <v/>
      </c>
      <c r="G830" t="str">
        <f>IF($A830&lt;&gt;"",'All Cases - Enter Cases'!G830,"")</f>
        <v/>
      </c>
      <c r="H830" t="str">
        <f>IF($A830&lt;&gt;"",'All Cases - Enter Cases'!H830,"")</f>
        <v/>
      </c>
      <c r="I830" t="str">
        <f>IF($A830&lt;&gt;"",'All Cases - Enter Cases'!I830,"")</f>
        <v/>
      </c>
      <c r="J830" t="str">
        <f>IF($A830&lt;&gt;"",'All Cases - Enter Cases'!J830,"")</f>
        <v/>
      </c>
      <c r="K830" t="str">
        <f>IF($A830&lt;&gt;"",'All Cases - Enter Cases'!K830,"")</f>
        <v/>
      </c>
      <c r="L830" t="str">
        <f>IF($A830&lt;&gt;"",'All Cases - Enter Cases'!L830,"")</f>
        <v/>
      </c>
      <c r="M830" t="str">
        <f>IF($A830&lt;&gt;"",'All Cases - Enter Cases'!M830,"")</f>
        <v/>
      </c>
    </row>
    <row r="831" spans="1:13" x14ac:dyDescent="0.35">
      <c r="A831" t="str">
        <f>IF('All Cases - Enter Cases'!$F831="Balochistan",'All Cases - Enter Cases'!A831,"")</f>
        <v/>
      </c>
      <c r="B831" t="str">
        <f>IF($A831&lt;&gt;"",'All Cases - Enter Cases'!B831,"")</f>
        <v/>
      </c>
      <c r="C831" t="str">
        <f>IF($A831&lt;&gt;"",'All Cases - Enter Cases'!C831,"")</f>
        <v/>
      </c>
      <c r="D831" t="str">
        <f>IF($A831&lt;&gt;"",'All Cases - Enter Cases'!D831,"")</f>
        <v/>
      </c>
      <c r="E831" t="str">
        <f>IF($A831&lt;&gt;"",'All Cases - Enter Cases'!E831,"")</f>
        <v/>
      </c>
      <c r="F831" t="str">
        <f>IF($A831&lt;&gt;"",'All Cases - Enter Cases'!F831,"")</f>
        <v/>
      </c>
      <c r="G831" t="str">
        <f>IF($A831&lt;&gt;"",'All Cases - Enter Cases'!G831,"")</f>
        <v/>
      </c>
      <c r="H831" t="str">
        <f>IF($A831&lt;&gt;"",'All Cases - Enter Cases'!H831,"")</f>
        <v/>
      </c>
      <c r="I831" t="str">
        <f>IF($A831&lt;&gt;"",'All Cases - Enter Cases'!I831,"")</f>
        <v/>
      </c>
      <c r="J831" t="str">
        <f>IF($A831&lt;&gt;"",'All Cases - Enter Cases'!J831,"")</f>
        <v/>
      </c>
      <c r="K831" t="str">
        <f>IF($A831&lt;&gt;"",'All Cases - Enter Cases'!K831,"")</f>
        <v/>
      </c>
      <c r="L831" t="str">
        <f>IF($A831&lt;&gt;"",'All Cases - Enter Cases'!L831,"")</f>
        <v/>
      </c>
      <c r="M831" t="str">
        <f>IF($A831&lt;&gt;"",'All Cases - Enter Cases'!M831,"")</f>
        <v/>
      </c>
    </row>
    <row r="832" spans="1:13" x14ac:dyDescent="0.35">
      <c r="A832" t="str">
        <f>IF('All Cases - Enter Cases'!$F832="Balochistan",'All Cases - Enter Cases'!A832,"")</f>
        <v/>
      </c>
      <c r="B832" t="str">
        <f>IF($A832&lt;&gt;"",'All Cases - Enter Cases'!B832,"")</f>
        <v/>
      </c>
      <c r="C832" t="str">
        <f>IF($A832&lt;&gt;"",'All Cases - Enter Cases'!C832,"")</f>
        <v/>
      </c>
      <c r="D832" t="str">
        <f>IF($A832&lt;&gt;"",'All Cases - Enter Cases'!D832,"")</f>
        <v/>
      </c>
      <c r="E832" t="str">
        <f>IF($A832&lt;&gt;"",'All Cases - Enter Cases'!E832,"")</f>
        <v/>
      </c>
      <c r="F832" t="str">
        <f>IF($A832&lt;&gt;"",'All Cases - Enter Cases'!F832,"")</f>
        <v/>
      </c>
      <c r="G832" t="str">
        <f>IF($A832&lt;&gt;"",'All Cases - Enter Cases'!G832,"")</f>
        <v/>
      </c>
      <c r="H832" t="str">
        <f>IF($A832&lt;&gt;"",'All Cases - Enter Cases'!H832,"")</f>
        <v/>
      </c>
      <c r="I832" t="str">
        <f>IF($A832&lt;&gt;"",'All Cases - Enter Cases'!I832,"")</f>
        <v/>
      </c>
      <c r="J832" t="str">
        <f>IF($A832&lt;&gt;"",'All Cases - Enter Cases'!J832,"")</f>
        <v/>
      </c>
      <c r="K832" t="str">
        <f>IF($A832&lt;&gt;"",'All Cases - Enter Cases'!K832,"")</f>
        <v/>
      </c>
      <c r="L832" t="str">
        <f>IF($A832&lt;&gt;"",'All Cases - Enter Cases'!L832,"")</f>
        <v/>
      </c>
      <c r="M832" t="str">
        <f>IF($A832&lt;&gt;"",'All Cases - Enter Cases'!M832,"")</f>
        <v/>
      </c>
    </row>
    <row r="833" spans="1:13" x14ac:dyDescent="0.35">
      <c r="A833" t="str">
        <f>IF('All Cases - Enter Cases'!$F833="Balochistan",'All Cases - Enter Cases'!A833,"")</f>
        <v/>
      </c>
      <c r="B833" t="str">
        <f>IF($A833&lt;&gt;"",'All Cases - Enter Cases'!B833,"")</f>
        <v/>
      </c>
      <c r="C833" t="str">
        <f>IF($A833&lt;&gt;"",'All Cases - Enter Cases'!C833,"")</f>
        <v/>
      </c>
      <c r="D833" t="str">
        <f>IF($A833&lt;&gt;"",'All Cases - Enter Cases'!D833,"")</f>
        <v/>
      </c>
      <c r="E833" t="str">
        <f>IF($A833&lt;&gt;"",'All Cases - Enter Cases'!E833,"")</f>
        <v/>
      </c>
      <c r="F833" t="str">
        <f>IF($A833&lt;&gt;"",'All Cases - Enter Cases'!F833,"")</f>
        <v/>
      </c>
      <c r="G833" t="str">
        <f>IF($A833&lt;&gt;"",'All Cases - Enter Cases'!G833,"")</f>
        <v/>
      </c>
      <c r="H833" t="str">
        <f>IF($A833&lt;&gt;"",'All Cases - Enter Cases'!H833,"")</f>
        <v/>
      </c>
      <c r="I833" t="str">
        <f>IF($A833&lt;&gt;"",'All Cases - Enter Cases'!I833,"")</f>
        <v/>
      </c>
      <c r="J833" t="str">
        <f>IF($A833&lt;&gt;"",'All Cases - Enter Cases'!J833,"")</f>
        <v/>
      </c>
      <c r="K833" t="str">
        <f>IF($A833&lt;&gt;"",'All Cases - Enter Cases'!K833,"")</f>
        <v/>
      </c>
      <c r="L833" t="str">
        <f>IF($A833&lt;&gt;"",'All Cases - Enter Cases'!L833,"")</f>
        <v/>
      </c>
      <c r="M833" t="str">
        <f>IF($A833&lt;&gt;"",'All Cases - Enter Cases'!M833,"")</f>
        <v/>
      </c>
    </row>
    <row r="834" spans="1:13" x14ac:dyDescent="0.35">
      <c r="A834" t="str">
        <f>IF('All Cases - Enter Cases'!$F834="Balochistan",'All Cases - Enter Cases'!A834,"")</f>
        <v/>
      </c>
      <c r="B834" t="str">
        <f>IF($A834&lt;&gt;"",'All Cases - Enter Cases'!B834,"")</f>
        <v/>
      </c>
      <c r="C834" t="str">
        <f>IF($A834&lt;&gt;"",'All Cases - Enter Cases'!C834,"")</f>
        <v/>
      </c>
      <c r="D834" t="str">
        <f>IF($A834&lt;&gt;"",'All Cases - Enter Cases'!D834,"")</f>
        <v/>
      </c>
      <c r="E834" t="str">
        <f>IF($A834&lt;&gt;"",'All Cases - Enter Cases'!E834,"")</f>
        <v/>
      </c>
      <c r="F834" t="str">
        <f>IF($A834&lt;&gt;"",'All Cases - Enter Cases'!F834,"")</f>
        <v/>
      </c>
      <c r="G834" t="str">
        <f>IF($A834&lt;&gt;"",'All Cases - Enter Cases'!G834,"")</f>
        <v/>
      </c>
      <c r="H834" t="str">
        <f>IF($A834&lt;&gt;"",'All Cases - Enter Cases'!H834,"")</f>
        <v/>
      </c>
      <c r="I834" t="str">
        <f>IF($A834&lt;&gt;"",'All Cases - Enter Cases'!I834,"")</f>
        <v/>
      </c>
      <c r="J834" t="str">
        <f>IF($A834&lt;&gt;"",'All Cases - Enter Cases'!J834,"")</f>
        <v/>
      </c>
      <c r="K834" t="str">
        <f>IF($A834&lt;&gt;"",'All Cases - Enter Cases'!K834,"")</f>
        <v/>
      </c>
      <c r="L834" t="str">
        <f>IF($A834&lt;&gt;"",'All Cases - Enter Cases'!L834,"")</f>
        <v/>
      </c>
      <c r="M834" t="str">
        <f>IF($A834&lt;&gt;"",'All Cases - Enter Cases'!M834,"")</f>
        <v/>
      </c>
    </row>
    <row r="835" spans="1:13" x14ac:dyDescent="0.35">
      <c r="A835" t="str">
        <f>IF('All Cases - Enter Cases'!$F835="Balochistan",'All Cases - Enter Cases'!A835,"")</f>
        <v/>
      </c>
      <c r="B835" t="str">
        <f>IF($A835&lt;&gt;"",'All Cases - Enter Cases'!B835,"")</f>
        <v/>
      </c>
      <c r="C835" t="str">
        <f>IF($A835&lt;&gt;"",'All Cases - Enter Cases'!C835,"")</f>
        <v/>
      </c>
      <c r="D835" t="str">
        <f>IF($A835&lt;&gt;"",'All Cases - Enter Cases'!D835,"")</f>
        <v/>
      </c>
      <c r="E835" t="str">
        <f>IF($A835&lt;&gt;"",'All Cases - Enter Cases'!E835,"")</f>
        <v/>
      </c>
      <c r="F835" t="str">
        <f>IF($A835&lt;&gt;"",'All Cases - Enter Cases'!F835,"")</f>
        <v/>
      </c>
      <c r="G835" t="str">
        <f>IF($A835&lt;&gt;"",'All Cases - Enter Cases'!G835,"")</f>
        <v/>
      </c>
      <c r="H835" t="str">
        <f>IF($A835&lt;&gt;"",'All Cases - Enter Cases'!H835,"")</f>
        <v/>
      </c>
      <c r="I835" t="str">
        <f>IF($A835&lt;&gt;"",'All Cases - Enter Cases'!I835,"")</f>
        <v/>
      </c>
      <c r="J835" t="str">
        <f>IF($A835&lt;&gt;"",'All Cases - Enter Cases'!J835,"")</f>
        <v/>
      </c>
      <c r="K835" t="str">
        <f>IF($A835&lt;&gt;"",'All Cases - Enter Cases'!K835,"")</f>
        <v/>
      </c>
      <c r="L835" t="str">
        <f>IF($A835&lt;&gt;"",'All Cases - Enter Cases'!L835,"")</f>
        <v/>
      </c>
      <c r="M835" t="str">
        <f>IF($A835&lt;&gt;"",'All Cases - Enter Cases'!M835,"")</f>
        <v/>
      </c>
    </row>
    <row r="836" spans="1:13" x14ac:dyDescent="0.35">
      <c r="A836" t="str">
        <f>IF('All Cases - Enter Cases'!$F836="Balochistan",'All Cases - Enter Cases'!A836,"")</f>
        <v/>
      </c>
      <c r="B836" t="str">
        <f>IF($A836&lt;&gt;"",'All Cases - Enter Cases'!B836,"")</f>
        <v/>
      </c>
      <c r="C836" t="str">
        <f>IF($A836&lt;&gt;"",'All Cases - Enter Cases'!C836,"")</f>
        <v/>
      </c>
      <c r="D836" t="str">
        <f>IF($A836&lt;&gt;"",'All Cases - Enter Cases'!D836,"")</f>
        <v/>
      </c>
      <c r="E836" t="str">
        <f>IF($A836&lt;&gt;"",'All Cases - Enter Cases'!E836,"")</f>
        <v/>
      </c>
      <c r="F836" t="str">
        <f>IF($A836&lt;&gt;"",'All Cases - Enter Cases'!F836,"")</f>
        <v/>
      </c>
      <c r="G836" t="str">
        <f>IF($A836&lt;&gt;"",'All Cases - Enter Cases'!G836,"")</f>
        <v/>
      </c>
      <c r="H836" t="str">
        <f>IF($A836&lt;&gt;"",'All Cases - Enter Cases'!H836,"")</f>
        <v/>
      </c>
      <c r="I836" t="str">
        <f>IF($A836&lt;&gt;"",'All Cases - Enter Cases'!I836,"")</f>
        <v/>
      </c>
      <c r="J836" t="str">
        <f>IF($A836&lt;&gt;"",'All Cases - Enter Cases'!J836,"")</f>
        <v/>
      </c>
      <c r="K836" t="str">
        <f>IF($A836&lt;&gt;"",'All Cases - Enter Cases'!K836,"")</f>
        <v/>
      </c>
      <c r="L836" t="str">
        <f>IF($A836&lt;&gt;"",'All Cases - Enter Cases'!L836,"")</f>
        <v/>
      </c>
      <c r="M836" t="str">
        <f>IF($A836&lt;&gt;"",'All Cases - Enter Cases'!M836,"")</f>
        <v/>
      </c>
    </row>
    <row r="837" spans="1:13" x14ac:dyDescent="0.35">
      <c r="A837" t="str">
        <f>IF('All Cases - Enter Cases'!$F837="Balochistan",'All Cases - Enter Cases'!A837,"")</f>
        <v/>
      </c>
      <c r="B837" t="str">
        <f>IF($A837&lt;&gt;"",'All Cases - Enter Cases'!B837,"")</f>
        <v/>
      </c>
      <c r="C837" t="str">
        <f>IF($A837&lt;&gt;"",'All Cases - Enter Cases'!C837,"")</f>
        <v/>
      </c>
      <c r="D837" t="str">
        <f>IF($A837&lt;&gt;"",'All Cases - Enter Cases'!D837,"")</f>
        <v/>
      </c>
      <c r="E837" t="str">
        <f>IF($A837&lt;&gt;"",'All Cases - Enter Cases'!E837,"")</f>
        <v/>
      </c>
      <c r="F837" t="str">
        <f>IF($A837&lt;&gt;"",'All Cases - Enter Cases'!F837,"")</f>
        <v/>
      </c>
      <c r="G837" t="str">
        <f>IF($A837&lt;&gt;"",'All Cases - Enter Cases'!G837,"")</f>
        <v/>
      </c>
      <c r="H837" t="str">
        <f>IF($A837&lt;&gt;"",'All Cases - Enter Cases'!H837,"")</f>
        <v/>
      </c>
      <c r="I837" t="str">
        <f>IF($A837&lt;&gt;"",'All Cases - Enter Cases'!I837,"")</f>
        <v/>
      </c>
      <c r="J837" t="str">
        <f>IF($A837&lt;&gt;"",'All Cases - Enter Cases'!J837,"")</f>
        <v/>
      </c>
      <c r="K837" t="str">
        <f>IF($A837&lt;&gt;"",'All Cases - Enter Cases'!K837,"")</f>
        <v/>
      </c>
      <c r="L837" t="str">
        <f>IF($A837&lt;&gt;"",'All Cases - Enter Cases'!L837,"")</f>
        <v/>
      </c>
      <c r="M837" t="str">
        <f>IF($A837&lt;&gt;"",'All Cases - Enter Cases'!M837,"")</f>
        <v/>
      </c>
    </row>
    <row r="838" spans="1:13" x14ac:dyDescent="0.35">
      <c r="A838" t="str">
        <f>IF('All Cases - Enter Cases'!$F838="Balochistan",'All Cases - Enter Cases'!A838,"")</f>
        <v/>
      </c>
      <c r="B838" t="str">
        <f>IF($A838&lt;&gt;"",'All Cases - Enter Cases'!B838,"")</f>
        <v/>
      </c>
      <c r="C838" t="str">
        <f>IF($A838&lt;&gt;"",'All Cases - Enter Cases'!C838,"")</f>
        <v/>
      </c>
      <c r="D838" t="str">
        <f>IF($A838&lt;&gt;"",'All Cases - Enter Cases'!D838,"")</f>
        <v/>
      </c>
      <c r="E838" t="str">
        <f>IF($A838&lt;&gt;"",'All Cases - Enter Cases'!E838,"")</f>
        <v/>
      </c>
      <c r="F838" t="str">
        <f>IF($A838&lt;&gt;"",'All Cases - Enter Cases'!F838,"")</f>
        <v/>
      </c>
      <c r="G838" t="str">
        <f>IF($A838&lt;&gt;"",'All Cases - Enter Cases'!G838,"")</f>
        <v/>
      </c>
      <c r="H838" t="str">
        <f>IF($A838&lt;&gt;"",'All Cases - Enter Cases'!H838,"")</f>
        <v/>
      </c>
      <c r="I838" t="str">
        <f>IF($A838&lt;&gt;"",'All Cases - Enter Cases'!I838,"")</f>
        <v/>
      </c>
      <c r="J838" t="str">
        <f>IF($A838&lt;&gt;"",'All Cases - Enter Cases'!J838,"")</f>
        <v/>
      </c>
      <c r="K838" t="str">
        <f>IF($A838&lt;&gt;"",'All Cases - Enter Cases'!K838,"")</f>
        <v/>
      </c>
      <c r="L838" t="str">
        <f>IF($A838&lt;&gt;"",'All Cases - Enter Cases'!L838,"")</f>
        <v/>
      </c>
      <c r="M838" t="str">
        <f>IF($A838&lt;&gt;"",'All Cases - Enter Cases'!M838,"")</f>
        <v/>
      </c>
    </row>
    <row r="839" spans="1:13" x14ac:dyDescent="0.35">
      <c r="A839" t="str">
        <f>IF('All Cases - Enter Cases'!$F839="Balochistan",'All Cases - Enter Cases'!A839,"")</f>
        <v/>
      </c>
      <c r="B839" t="str">
        <f>IF($A839&lt;&gt;"",'All Cases - Enter Cases'!B839,"")</f>
        <v/>
      </c>
      <c r="C839" t="str">
        <f>IF($A839&lt;&gt;"",'All Cases - Enter Cases'!C839,"")</f>
        <v/>
      </c>
      <c r="D839" t="str">
        <f>IF($A839&lt;&gt;"",'All Cases - Enter Cases'!D839,"")</f>
        <v/>
      </c>
      <c r="E839" t="str">
        <f>IF($A839&lt;&gt;"",'All Cases - Enter Cases'!E839,"")</f>
        <v/>
      </c>
      <c r="F839" t="str">
        <f>IF($A839&lt;&gt;"",'All Cases - Enter Cases'!F839,"")</f>
        <v/>
      </c>
      <c r="G839" t="str">
        <f>IF($A839&lt;&gt;"",'All Cases - Enter Cases'!G839,"")</f>
        <v/>
      </c>
      <c r="H839" t="str">
        <f>IF($A839&lt;&gt;"",'All Cases - Enter Cases'!H839,"")</f>
        <v/>
      </c>
      <c r="I839" t="str">
        <f>IF($A839&lt;&gt;"",'All Cases - Enter Cases'!I839,"")</f>
        <v/>
      </c>
      <c r="J839" t="str">
        <f>IF($A839&lt;&gt;"",'All Cases - Enter Cases'!J839,"")</f>
        <v/>
      </c>
      <c r="K839" t="str">
        <f>IF($A839&lt;&gt;"",'All Cases - Enter Cases'!K839,"")</f>
        <v/>
      </c>
      <c r="L839" t="str">
        <f>IF($A839&lt;&gt;"",'All Cases - Enter Cases'!L839,"")</f>
        <v/>
      </c>
      <c r="M839" t="str">
        <f>IF($A839&lt;&gt;"",'All Cases - Enter Cases'!M839,"")</f>
        <v/>
      </c>
    </row>
    <row r="840" spans="1:13" x14ac:dyDescent="0.35">
      <c r="A840" t="str">
        <f>IF('All Cases - Enter Cases'!$F840="Balochistan",'All Cases - Enter Cases'!A840,"")</f>
        <v/>
      </c>
      <c r="B840" t="str">
        <f>IF($A840&lt;&gt;"",'All Cases - Enter Cases'!B840,"")</f>
        <v/>
      </c>
      <c r="C840" t="str">
        <f>IF($A840&lt;&gt;"",'All Cases - Enter Cases'!C840,"")</f>
        <v/>
      </c>
      <c r="D840" t="str">
        <f>IF($A840&lt;&gt;"",'All Cases - Enter Cases'!D840,"")</f>
        <v/>
      </c>
      <c r="E840" t="str">
        <f>IF($A840&lt;&gt;"",'All Cases - Enter Cases'!E840,"")</f>
        <v/>
      </c>
      <c r="F840" t="str">
        <f>IF($A840&lt;&gt;"",'All Cases - Enter Cases'!F840,"")</f>
        <v/>
      </c>
      <c r="G840" t="str">
        <f>IF($A840&lt;&gt;"",'All Cases - Enter Cases'!G840,"")</f>
        <v/>
      </c>
      <c r="H840" t="str">
        <f>IF($A840&lt;&gt;"",'All Cases - Enter Cases'!H840,"")</f>
        <v/>
      </c>
      <c r="I840" t="str">
        <f>IF($A840&lt;&gt;"",'All Cases - Enter Cases'!I840,"")</f>
        <v/>
      </c>
      <c r="J840" t="str">
        <f>IF($A840&lt;&gt;"",'All Cases - Enter Cases'!J840,"")</f>
        <v/>
      </c>
      <c r="K840" t="str">
        <f>IF($A840&lt;&gt;"",'All Cases - Enter Cases'!K840,"")</f>
        <v/>
      </c>
      <c r="L840" t="str">
        <f>IF($A840&lt;&gt;"",'All Cases - Enter Cases'!L840,"")</f>
        <v/>
      </c>
      <c r="M840" t="str">
        <f>IF($A840&lt;&gt;"",'All Cases - Enter Cases'!M840,"")</f>
        <v/>
      </c>
    </row>
    <row r="841" spans="1:13" x14ac:dyDescent="0.35">
      <c r="A841" t="str">
        <f>IF('All Cases - Enter Cases'!$F841="Balochistan",'All Cases - Enter Cases'!A841,"")</f>
        <v/>
      </c>
      <c r="B841" t="str">
        <f>IF($A841&lt;&gt;"",'All Cases - Enter Cases'!B841,"")</f>
        <v/>
      </c>
      <c r="C841" t="str">
        <f>IF($A841&lt;&gt;"",'All Cases - Enter Cases'!C841,"")</f>
        <v/>
      </c>
      <c r="D841" t="str">
        <f>IF($A841&lt;&gt;"",'All Cases - Enter Cases'!D841,"")</f>
        <v/>
      </c>
      <c r="E841" t="str">
        <f>IF($A841&lt;&gt;"",'All Cases - Enter Cases'!E841,"")</f>
        <v/>
      </c>
      <c r="F841" t="str">
        <f>IF($A841&lt;&gt;"",'All Cases - Enter Cases'!F841,"")</f>
        <v/>
      </c>
      <c r="G841" t="str">
        <f>IF($A841&lt;&gt;"",'All Cases - Enter Cases'!G841,"")</f>
        <v/>
      </c>
      <c r="H841" t="str">
        <f>IF($A841&lt;&gt;"",'All Cases - Enter Cases'!H841,"")</f>
        <v/>
      </c>
      <c r="I841" t="str">
        <f>IF($A841&lt;&gt;"",'All Cases - Enter Cases'!I841,"")</f>
        <v/>
      </c>
      <c r="J841" t="str">
        <f>IF($A841&lt;&gt;"",'All Cases - Enter Cases'!J841,"")</f>
        <v/>
      </c>
      <c r="K841" t="str">
        <f>IF($A841&lt;&gt;"",'All Cases - Enter Cases'!K841,"")</f>
        <v/>
      </c>
      <c r="L841" t="str">
        <f>IF($A841&lt;&gt;"",'All Cases - Enter Cases'!L841,"")</f>
        <v/>
      </c>
      <c r="M841" t="str">
        <f>IF($A841&lt;&gt;"",'All Cases - Enter Cases'!M841,"")</f>
        <v/>
      </c>
    </row>
    <row r="842" spans="1:13" x14ac:dyDescent="0.35">
      <c r="A842" t="str">
        <f>IF('All Cases - Enter Cases'!$F842="Balochistan",'All Cases - Enter Cases'!A842,"")</f>
        <v/>
      </c>
      <c r="B842" t="str">
        <f>IF($A842&lt;&gt;"",'All Cases - Enter Cases'!B842,"")</f>
        <v/>
      </c>
      <c r="C842" t="str">
        <f>IF($A842&lt;&gt;"",'All Cases - Enter Cases'!C842,"")</f>
        <v/>
      </c>
      <c r="D842" t="str">
        <f>IF($A842&lt;&gt;"",'All Cases - Enter Cases'!D842,"")</f>
        <v/>
      </c>
      <c r="E842" t="str">
        <f>IF($A842&lt;&gt;"",'All Cases - Enter Cases'!E842,"")</f>
        <v/>
      </c>
      <c r="F842" t="str">
        <f>IF($A842&lt;&gt;"",'All Cases - Enter Cases'!F842,"")</f>
        <v/>
      </c>
      <c r="G842" t="str">
        <f>IF($A842&lt;&gt;"",'All Cases - Enter Cases'!G842,"")</f>
        <v/>
      </c>
      <c r="H842" t="str">
        <f>IF($A842&lt;&gt;"",'All Cases - Enter Cases'!H842,"")</f>
        <v/>
      </c>
      <c r="I842" t="str">
        <f>IF($A842&lt;&gt;"",'All Cases - Enter Cases'!I842,"")</f>
        <v/>
      </c>
      <c r="J842" t="str">
        <f>IF($A842&lt;&gt;"",'All Cases - Enter Cases'!J842,"")</f>
        <v/>
      </c>
      <c r="K842" t="str">
        <f>IF($A842&lt;&gt;"",'All Cases - Enter Cases'!K842,"")</f>
        <v/>
      </c>
      <c r="L842" t="str">
        <f>IF($A842&lt;&gt;"",'All Cases - Enter Cases'!L842,"")</f>
        <v/>
      </c>
      <c r="M842" t="str">
        <f>IF($A842&lt;&gt;"",'All Cases - Enter Cases'!M842,"")</f>
        <v/>
      </c>
    </row>
    <row r="843" spans="1:13" x14ac:dyDescent="0.35">
      <c r="A843" t="str">
        <f>IF('All Cases - Enter Cases'!$F843="Balochistan",'All Cases - Enter Cases'!A843,"")</f>
        <v/>
      </c>
      <c r="B843" t="str">
        <f>IF($A843&lt;&gt;"",'All Cases - Enter Cases'!B843,"")</f>
        <v/>
      </c>
      <c r="C843" t="str">
        <f>IF($A843&lt;&gt;"",'All Cases - Enter Cases'!C843,"")</f>
        <v/>
      </c>
      <c r="D843" t="str">
        <f>IF($A843&lt;&gt;"",'All Cases - Enter Cases'!D843,"")</f>
        <v/>
      </c>
      <c r="E843" t="str">
        <f>IF($A843&lt;&gt;"",'All Cases - Enter Cases'!E843,"")</f>
        <v/>
      </c>
      <c r="F843" t="str">
        <f>IF($A843&lt;&gt;"",'All Cases - Enter Cases'!F843,"")</f>
        <v/>
      </c>
      <c r="G843" t="str">
        <f>IF($A843&lt;&gt;"",'All Cases - Enter Cases'!G843,"")</f>
        <v/>
      </c>
      <c r="H843" t="str">
        <f>IF($A843&lt;&gt;"",'All Cases - Enter Cases'!H843,"")</f>
        <v/>
      </c>
      <c r="I843" t="str">
        <f>IF($A843&lt;&gt;"",'All Cases - Enter Cases'!I843,"")</f>
        <v/>
      </c>
      <c r="J843" t="str">
        <f>IF($A843&lt;&gt;"",'All Cases - Enter Cases'!J843,"")</f>
        <v/>
      </c>
      <c r="K843" t="str">
        <f>IF($A843&lt;&gt;"",'All Cases - Enter Cases'!K843,"")</f>
        <v/>
      </c>
      <c r="L843" t="str">
        <f>IF($A843&lt;&gt;"",'All Cases - Enter Cases'!L843,"")</f>
        <v/>
      </c>
      <c r="M843" t="str">
        <f>IF($A843&lt;&gt;"",'All Cases - Enter Cases'!M843,"")</f>
        <v/>
      </c>
    </row>
    <row r="844" spans="1:13" x14ac:dyDescent="0.35">
      <c r="A844" t="str">
        <f>IF('All Cases - Enter Cases'!$F844="Balochistan",'All Cases - Enter Cases'!A844,"")</f>
        <v/>
      </c>
      <c r="B844" t="str">
        <f>IF($A844&lt;&gt;"",'All Cases - Enter Cases'!B844,"")</f>
        <v/>
      </c>
      <c r="C844" t="str">
        <f>IF($A844&lt;&gt;"",'All Cases - Enter Cases'!C844,"")</f>
        <v/>
      </c>
      <c r="D844" t="str">
        <f>IF($A844&lt;&gt;"",'All Cases - Enter Cases'!D844,"")</f>
        <v/>
      </c>
      <c r="E844" t="str">
        <f>IF($A844&lt;&gt;"",'All Cases - Enter Cases'!E844,"")</f>
        <v/>
      </c>
      <c r="F844" t="str">
        <f>IF($A844&lt;&gt;"",'All Cases - Enter Cases'!F844,"")</f>
        <v/>
      </c>
      <c r="G844" t="str">
        <f>IF($A844&lt;&gt;"",'All Cases - Enter Cases'!G844,"")</f>
        <v/>
      </c>
      <c r="H844" t="str">
        <f>IF($A844&lt;&gt;"",'All Cases - Enter Cases'!H844,"")</f>
        <v/>
      </c>
      <c r="I844" t="str">
        <f>IF($A844&lt;&gt;"",'All Cases - Enter Cases'!I844,"")</f>
        <v/>
      </c>
      <c r="J844" t="str">
        <f>IF($A844&lt;&gt;"",'All Cases - Enter Cases'!J844,"")</f>
        <v/>
      </c>
      <c r="K844" t="str">
        <f>IF($A844&lt;&gt;"",'All Cases - Enter Cases'!K844,"")</f>
        <v/>
      </c>
      <c r="L844" t="str">
        <f>IF($A844&lt;&gt;"",'All Cases - Enter Cases'!L844,"")</f>
        <v/>
      </c>
      <c r="M844" t="str">
        <f>IF($A844&lt;&gt;"",'All Cases - Enter Cases'!M844,"")</f>
        <v/>
      </c>
    </row>
    <row r="845" spans="1:13" x14ac:dyDescent="0.35">
      <c r="A845" t="str">
        <f>IF('All Cases - Enter Cases'!$F845="Balochistan",'All Cases - Enter Cases'!A845,"")</f>
        <v/>
      </c>
      <c r="B845" t="str">
        <f>IF($A845&lt;&gt;"",'All Cases - Enter Cases'!B845,"")</f>
        <v/>
      </c>
      <c r="C845" t="str">
        <f>IF($A845&lt;&gt;"",'All Cases - Enter Cases'!C845,"")</f>
        <v/>
      </c>
      <c r="D845" t="str">
        <f>IF($A845&lt;&gt;"",'All Cases - Enter Cases'!D845,"")</f>
        <v/>
      </c>
      <c r="E845" t="str">
        <f>IF($A845&lt;&gt;"",'All Cases - Enter Cases'!E845,"")</f>
        <v/>
      </c>
      <c r="F845" t="str">
        <f>IF($A845&lt;&gt;"",'All Cases - Enter Cases'!F845,"")</f>
        <v/>
      </c>
      <c r="G845" t="str">
        <f>IF($A845&lt;&gt;"",'All Cases - Enter Cases'!G845,"")</f>
        <v/>
      </c>
      <c r="H845" t="str">
        <f>IF($A845&lt;&gt;"",'All Cases - Enter Cases'!H845,"")</f>
        <v/>
      </c>
      <c r="I845" t="str">
        <f>IF($A845&lt;&gt;"",'All Cases - Enter Cases'!I845,"")</f>
        <v/>
      </c>
      <c r="J845" t="str">
        <f>IF($A845&lt;&gt;"",'All Cases - Enter Cases'!J845,"")</f>
        <v/>
      </c>
      <c r="K845" t="str">
        <f>IF($A845&lt;&gt;"",'All Cases - Enter Cases'!K845,"")</f>
        <v/>
      </c>
      <c r="L845" t="str">
        <f>IF($A845&lt;&gt;"",'All Cases - Enter Cases'!L845,"")</f>
        <v/>
      </c>
      <c r="M845" t="str">
        <f>IF($A845&lt;&gt;"",'All Cases - Enter Cases'!M845,"")</f>
        <v/>
      </c>
    </row>
    <row r="846" spans="1:13" x14ac:dyDescent="0.35">
      <c r="A846" t="str">
        <f>IF('All Cases - Enter Cases'!$F846="Balochistan",'All Cases - Enter Cases'!A846,"")</f>
        <v/>
      </c>
      <c r="B846" t="str">
        <f>IF($A846&lt;&gt;"",'All Cases - Enter Cases'!B846,"")</f>
        <v/>
      </c>
      <c r="C846" t="str">
        <f>IF($A846&lt;&gt;"",'All Cases - Enter Cases'!C846,"")</f>
        <v/>
      </c>
      <c r="D846" t="str">
        <f>IF($A846&lt;&gt;"",'All Cases - Enter Cases'!D846,"")</f>
        <v/>
      </c>
      <c r="E846" t="str">
        <f>IF($A846&lt;&gt;"",'All Cases - Enter Cases'!E846,"")</f>
        <v/>
      </c>
      <c r="F846" t="str">
        <f>IF($A846&lt;&gt;"",'All Cases - Enter Cases'!F846,"")</f>
        <v/>
      </c>
      <c r="G846" t="str">
        <f>IF($A846&lt;&gt;"",'All Cases - Enter Cases'!G846,"")</f>
        <v/>
      </c>
      <c r="H846" t="str">
        <f>IF($A846&lt;&gt;"",'All Cases - Enter Cases'!H846,"")</f>
        <v/>
      </c>
      <c r="I846" t="str">
        <f>IF($A846&lt;&gt;"",'All Cases - Enter Cases'!I846,"")</f>
        <v/>
      </c>
      <c r="J846" t="str">
        <f>IF($A846&lt;&gt;"",'All Cases - Enter Cases'!J846,"")</f>
        <v/>
      </c>
      <c r="K846" t="str">
        <f>IF($A846&lt;&gt;"",'All Cases - Enter Cases'!K846,"")</f>
        <v/>
      </c>
      <c r="L846" t="str">
        <f>IF($A846&lt;&gt;"",'All Cases - Enter Cases'!L846,"")</f>
        <v/>
      </c>
      <c r="M846" t="str">
        <f>IF($A846&lt;&gt;"",'All Cases - Enter Cases'!M846,"")</f>
        <v/>
      </c>
    </row>
    <row r="847" spans="1:13" x14ac:dyDescent="0.35">
      <c r="A847" t="str">
        <f>IF('All Cases - Enter Cases'!$F847="Balochistan",'All Cases - Enter Cases'!A847,"")</f>
        <v/>
      </c>
      <c r="B847" t="str">
        <f>IF($A847&lt;&gt;"",'All Cases - Enter Cases'!B847,"")</f>
        <v/>
      </c>
      <c r="C847" t="str">
        <f>IF($A847&lt;&gt;"",'All Cases - Enter Cases'!C847,"")</f>
        <v/>
      </c>
      <c r="D847" t="str">
        <f>IF($A847&lt;&gt;"",'All Cases - Enter Cases'!D847,"")</f>
        <v/>
      </c>
      <c r="E847" t="str">
        <f>IF($A847&lt;&gt;"",'All Cases - Enter Cases'!E847,"")</f>
        <v/>
      </c>
      <c r="F847" t="str">
        <f>IF($A847&lt;&gt;"",'All Cases - Enter Cases'!F847,"")</f>
        <v/>
      </c>
      <c r="G847" t="str">
        <f>IF($A847&lt;&gt;"",'All Cases - Enter Cases'!G847,"")</f>
        <v/>
      </c>
      <c r="H847" t="str">
        <f>IF($A847&lt;&gt;"",'All Cases - Enter Cases'!H847,"")</f>
        <v/>
      </c>
      <c r="I847" t="str">
        <f>IF($A847&lt;&gt;"",'All Cases - Enter Cases'!I847,"")</f>
        <v/>
      </c>
      <c r="J847" t="str">
        <f>IF($A847&lt;&gt;"",'All Cases - Enter Cases'!J847,"")</f>
        <v/>
      </c>
      <c r="K847" t="str">
        <f>IF($A847&lt;&gt;"",'All Cases - Enter Cases'!K847,"")</f>
        <v/>
      </c>
      <c r="L847" t="str">
        <f>IF($A847&lt;&gt;"",'All Cases - Enter Cases'!L847,"")</f>
        <v/>
      </c>
      <c r="M847" t="str">
        <f>IF($A847&lt;&gt;"",'All Cases - Enter Cases'!M847,"")</f>
        <v/>
      </c>
    </row>
    <row r="848" spans="1:13" x14ac:dyDescent="0.35">
      <c r="A848" t="str">
        <f>IF('All Cases - Enter Cases'!$F848="Balochistan",'All Cases - Enter Cases'!A848,"")</f>
        <v/>
      </c>
      <c r="B848" t="str">
        <f>IF($A848&lt;&gt;"",'All Cases - Enter Cases'!B848,"")</f>
        <v/>
      </c>
      <c r="C848" t="str">
        <f>IF($A848&lt;&gt;"",'All Cases - Enter Cases'!C848,"")</f>
        <v/>
      </c>
      <c r="D848" t="str">
        <f>IF($A848&lt;&gt;"",'All Cases - Enter Cases'!D848,"")</f>
        <v/>
      </c>
      <c r="E848" t="str">
        <f>IF($A848&lt;&gt;"",'All Cases - Enter Cases'!E848,"")</f>
        <v/>
      </c>
      <c r="F848" t="str">
        <f>IF($A848&lt;&gt;"",'All Cases - Enter Cases'!F848,"")</f>
        <v/>
      </c>
      <c r="G848" t="str">
        <f>IF($A848&lt;&gt;"",'All Cases - Enter Cases'!G848,"")</f>
        <v/>
      </c>
      <c r="H848" t="str">
        <f>IF($A848&lt;&gt;"",'All Cases - Enter Cases'!H848,"")</f>
        <v/>
      </c>
      <c r="I848" t="str">
        <f>IF($A848&lt;&gt;"",'All Cases - Enter Cases'!I848,"")</f>
        <v/>
      </c>
      <c r="J848" t="str">
        <f>IF($A848&lt;&gt;"",'All Cases - Enter Cases'!J848,"")</f>
        <v/>
      </c>
      <c r="K848" t="str">
        <f>IF($A848&lt;&gt;"",'All Cases - Enter Cases'!K848,"")</f>
        <v/>
      </c>
      <c r="L848" t="str">
        <f>IF($A848&lt;&gt;"",'All Cases - Enter Cases'!L848,"")</f>
        <v/>
      </c>
      <c r="M848" t="str">
        <f>IF($A848&lt;&gt;"",'All Cases - Enter Cases'!M848,"")</f>
        <v/>
      </c>
    </row>
    <row r="849" spans="1:13" x14ac:dyDescent="0.35">
      <c r="A849" t="str">
        <f>IF('All Cases - Enter Cases'!$F849="Balochistan",'All Cases - Enter Cases'!A849,"")</f>
        <v/>
      </c>
      <c r="B849" t="str">
        <f>IF($A849&lt;&gt;"",'All Cases - Enter Cases'!B849,"")</f>
        <v/>
      </c>
      <c r="C849" t="str">
        <f>IF($A849&lt;&gt;"",'All Cases - Enter Cases'!C849,"")</f>
        <v/>
      </c>
      <c r="D849" t="str">
        <f>IF($A849&lt;&gt;"",'All Cases - Enter Cases'!D849,"")</f>
        <v/>
      </c>
      <c r="E849" t="str">
        <f>IF($A849&lt;&gt;"",'All Cases - Enter Cases'!E849,"")</f>
        <v/>
      </c>
      <c r="F849" t="str">
        <f>IF($A849&lt;&gt;"",'All Cases - Enter Cases'!F849,"")</f>
        <v/>
      </c>
      <c r="G849" t="str">
        <f>IF($A849&lt;&gt;"",'All Cases - Enter Cases'!G849,"")</f>
        <v/>
      </c>
      <c r="H849" t="str">
        <f>IF($A849&lt;&gt;"",'All Cases - Enter Cases'!H849,"")</f>
        <v/>
      </c>
      <c r="I849" t="str">
        <f>IF($A849&lt;&gt;"",'All Cases - Enter Cases'!I849,"")</f>
        <v/>
      </c>
      <c r="J849" t="str">
        <f>IF($A849&lt;&gt;"",'All Cases - Enter Cases'!J849,"")</f>
        <v/>
      </c>
      <c r="K849" t="str">
        <f>IF($A849&lt;&gt;"",'All Cases - Enter Cases'!K849,"")</f>
        <v/>
      </c>
      <c r="L849" t="str">
        <f>IF($A849&lt;&gt;"",'All Cases - Enter Cases'!L849,"")</f>
        <v/>
      </c>
      <c r="M849" t="str">
        <f>IF($A849&lt;&gt;"",'All Cases - Enter Cases'!M849,"")</f>
        <v/>
      </c>
    </row>
    <row r="850" spans="1:13" x14ac:dyDescent="0.35">
      <c r="A850" t="str">
        <f>IF('All Cases - Enter Cases'!$F850="Balochistan",'All Cases - Enter Cases'!A850,"")</f>
        <v/>
      </c>
      <c r="B850" t="str">
        <f>IF($A850&lt;&gt;"",'All Cases - Enter Cases'!B850,"")</f>
        <v/>
      </c>
      <c r="C850" t="str">
        <f>IF($A850&lt;&gt;"",'All Cases - Enter Cases'!C850,"")</f>
        <v/>
      </c>
      <c r="D850" t="str">
        <f>IF($A850&lt;&gt;"",'All Cases - Enter Cases'!D850,"")</f>
        <v/>
      </c>
      <c r="E850" t="str">
        <f>IF($A850&lt;&gt;"",'All Cases - Enter Cases'!E850,"")</f>
        <v/>
      </c>
      <c r="F850" t="str">
        <f>IF($A850&lt;&gt;"",'All Cases - Enter Cases'!F850,"")</f>
        <v/>
      </c>
      <c r="G850" t="str">
        <f>IF($A850&lt;&gt;"",'All Cases - Enter Cases'!G850,"")</f>
        <v/>
      </c>
      <c r="H850" t="str">
        <f>IF($A850&lt;&gt;"",'All Cases - Enter Cases'!H850,"")</f>
        <v/>
      </c>
      <c r="I850" t="str">
        <f>IF($A850&lt;&gt;"",'All Cases - Enter Cases'!I850,"")</f>
        <v/>
      </c>
      <c r="J850" t="str">
        <f>IF($A850&lt;&gt;"",'All Cases - Enter Cases'!J850,"")</f>
        <v/>
      </c>
      <c r="K850" t="str">
        <f>IF($A850&lt;&gt;"",'All Cases - Enter Cases'!K850,"")</f>
        <v/>
      </c>
      <c r="L850" t="str">
        <f>IF($A850&lt;&gt;"",'All Cases - Enter Cases'!L850,"")</f>
        <v/>
      </c>
      <c r="M850" t="str">
        <f>IF($A850&lt;&gt;"",'All Cases - Enter Cases'!M850,"")</f>
        <v/>
      </c>
    </row>
    <row r="851" spans="1:13" x14ac:dyDescent="0.35">
      <c r="A851" t="str">
        <f>IF('All Cases - Enter Cases'!$F851="Balochistan",'All Cases - Enter Cases'!A851,"")</f>
        <v/>
      </c>
      <c r="B851" t="str">
        <f>IF($A851&lt;&gt;"",'All Cases - Enter Cases'!B851,"")</f>
        <v/>
      </c>
      <c r="C851" t="str">
        <f>IF($A851&lt;&gt;"",'All Cases - Enter Cases'!C851,"")</f>
        <v/>
      </c>
      <c r="D851" t="str">
        <f>IF($A851&lt;&gt;"",'All Cases - Enter Cases'!D851,"")</f>
        <v/>
      </c>
      <c r="E851" t="str">
        <f>IF($A851&lt;&gt;"",'All Cases - Enter Cases'!E851,"")</f>
        <v/>
      </c>
      <c r="F851" t="str">
        <f>IF($A851&lt;&gt;"",'All Cases - Enter Cases'!F851,"")</f>
        <v/>
      </c>
      <c r="G851" t="str">
        <f>IF($A851&lt;&gt;"",'All Cases - Enter Cases'!G851,"")</f>
        <v/>
      </c>
      <c r="H851" t="str">
        <f>IF($A851&lt;&gt;"",'All Cases - Enter Cases'!H851,"")</f>
        <v/>
      </c>
      <c r="I851" t="str">
        <f>IF($A851&lt;&gt;"",'All Cases - Enter Cases'!I851,"")</f>
        <v/>
      </c>
      <c r="J851" t="str">
        <f>IF($A851&lt;&gt;"",'All Cases - Enter Cases'!J851,"")</f>
        <v/>
      </c>
      <c r="K851" t="str">
        <f>IF($A851&lt;&gt;"",'All Cases - Enter Cases'!K851,"")</f>
        <v/>
      </c>
      <c r="L851" t="str">
        <f>IF($A851&lt;&gt;"",'All Cases - Enter Cases'!L851,"")</f>
        <v/>
      </c>
      <c r="M851" t="str">
        <f>IF($A851&lt;&gt;"",'All Cases - Enter Cases'!M851,"")</f>
        <v/>
      </c>
    </row>
    <row r="852" spans="1:13" x14ac:dyDescent="0.35">
      <c r="A852" t="str">
        <f>IF('All Cases - Enter Cases'!$F852="Balochistan",'All Cases - Enter Cases'!A852,"")</f>
        <v/>
      </c>
      <c r="B852" t="str">
        <f>IF($A852&lt;&gt;"",'All Cases - Enter Cases'!B852,"")</f>
        <v/>
      </c>
      <c r="C852" t="str">
        <f>IF($A852&lt;&gt;"",'All Cases - Enter Cases'!C852,"")</f>
        <v/>
      </c>
      <c r="D852" t="str">
        <f>IF($A852&lt;&gt;"",'All Cases - Enter Cases'!D852,"")</f>
        <v/>
      </c>
      <c r="E852" t="str">
        <f>IF($A852&lt;&gt;"",'All Cases - Enter Cases'!E852,"")</f>
        <v/>
      </c>
      <c r="F852" t="str">
        <f>IF($A852&lt;&gt;"",'All Cases - Enter Cases'!F852,"")</f>
        <v/>
      </c>
      <c r="G852" t="str">
        <f>IF($A852&lt;&gt;"",'All Cases - Enter Cases'!G852,"")</f>
        <v/>
      </c>
      <c r="H852" t="str">
        <f>IF($A852&lt;&gt;"",'All Cases - Enter Cases'!H852,"")</f>
        <v/>
      </c>
      <c r="I852" t="str">
        <f>IF($A852&lt;&gt;"",'All Cases - Enter Cases'!I852,"")</f>
        <v/>
      </c>
      <c r="J852" t="str">
        <f>IF($A852&lt;&gt;"",'All Cases - Enter Cases'!J852,"")</f>
        <v/>
      </c>
      <c r="K852" t="str">
        <f>IF($A852&lt;&gt;"",'All Cases - Enter Cases'!K852,"")</f>
        <v/>
      </c>
      <c r="L852" t="str">
        <f>IF($A852&lt;&gt;"",'All Cases - Enter Cases'!L852,"")</f>
        <v/>
      </c>
      <c r="M852" t="str">
        <f>IF($A852&lt;&gt;"",'All Cases - Enter Cases'!M852,"")</f>
        <v/>
      </c>
    </row>
    <row r="853" spans="1:13" x14ac:dyDescent="0.35">
      <c r="A853" t="str">
        <f>IF('All Cases - Enter Cases'!$F853="Balochistan",'All Cases - Enter Cases'!A853,"")</f>
        <v/>
      </c>
      <c r="B853" t="str">
        <f>IF($A853&lt;&gt;"",'All Cases - Enter Cases'!B853,"")</f>
        <v/>
      </c>
      <c r="C853" t="str">
        <f>IF($A853&lt;&gt;"",'All Cases - Enter Cases'!C853,"")</f>
        <v/>
      </c>
      <c r="D853" t="str">
        <f>IF($A853&lt;&gt;"",'All Cases - Enter Cases'!D853,"")</f>
        <v/>
      </c>
      <c r="E853" t="str">
        <f>IF($A853&lt;&gt;"",'All Cases - Enter Cases'!E853,"")</f>
        <v/>
      </c>
      <c r="F853" t="str">
        <f>IF($A853&lt;&gt;"",'All Cases - Enter Cases'!F853,"")</f>
        <v/>
      </c>
      <c r="G853" t="str">
        <f>IF($A853&lt;&gt;"",'All Cases - Enter Cases'!G853,"")</f>
        <v/>
      </c>
      <c r="H853" t="str">
        <f>IF($A853&lt;&gt;"",'All Cases - Enter Cases'!H853,"")</f>
        <v/>
      </c>
      <c r="I853" t="str">
        <f>IF($A853&lt;&gt;"",'All Cases - Enter Cases'!I853,"")</f>
        <v/>
      </c>
      <c r="J853" t="str">
        <f>IF($A853&lt;&gt;"",'All Cases - Enter Cases'!J853,"")</f>
        <v/>
      </c>
      <c r="K853" t="str">
        <f>IF($A853&lt;&gt;"",'All Cases - Enter Cases'!K853,"")</f>
        <v/>
      </c>
      <c r="L853" t="str">
        <f>IF($A853&lt;&gt;"",'All Cases - Enter Cases'!L853,"")</f>
        <v/>
      </c>
      <c r="M853" t="str">
        <f>IF($A853&lt;&gt;"",'All Cases - Enter Cases'!M853,"")</f>
        <v/>
      </c>
    </row>
    <row r="854" spans="1:13" x14ac:dyDescent="0.35">
      <c r="A854" t="str">
        <f>IF('All Cases - Enter Cases'!$F854="Balochistan",'All Cases - Enter Cases'!A854,"")</f>
        <v/>
      </c>
      <c r="B854" t="str">
        <f>IF($A854&lt;&gt;"",'All Cases - Enter Cases'!B854,"")</f>
        <v/>
      </c>
      <c r="C854" t="str">
        <f>IF($A854&lt;&gt;"",'All Cases - Enter Cases'!C854,"")</f>
        <v/>
      </c>
      <c r="D854" t="str">
        <f>IF($A854&lt;&gt;"",'All Cases - Enter Cases'!D854,"")</f>
        <v/>
      </c>
      <c r="E854" t="str">
        <f>IF($A854&lt;&gt;"",'All Cases - Enter Cases'!E854,"")</f>
        <v/>
      </c>
      <c r="F854" t="str">
        <f>IF($A854&lt;&gt;"",'All Cases - Enter Cases'!F854,"")</f>
        <v/>
      </c>
      <c r="G854" t="str">
        <f>IF($A854&lt;&gt;"",'All Cases - Enter Cases'!G854,"")</f>
        <v/>
      </c>
      <c r="H854" t="str">
        <f>IF($A854&lt;&gt;"",'All Cases - Enter Cases'!H854,"")</f>
        <v/>
      </c>
      <c r="I854" t="str">
        <f>IF($A854&lt;&gt;"",'All Cases - Enter Cases'!I854,"")</f>
        <v/>
      </c>
      <c r="J854" t="str">
        <f>IF($A854&lt;&gt;"",'All Cases - Enter Cases'!J854,"")</f>
        <v/>
      </c>
      <c r="K854" t="str">
        <f>IF($A854&lt;&gt;"",'All Cases - Enter Cases'!K854,"")</f>
        <v/>
      </c>
      <c r="L854" t="str">
        <f>IF($A854&lt;&gt;"",'All Cases - Enter Cases'!L854,"")</f>
        <v/>
      </c>
      <c r="M854" t="str">
        <f>IF($A854&lt;&gt;"",'All Cases - Enter Cases'!M854,"")</f>
        <v/>
      </c>
    </row>
    <row r="855" spans="1:13" x14ac:dyDescent="0.35">
      <c r="A855" t="str">
        <f>IF('All Cases - Enter Cases'!$F855="Balochistan",'All Cases - Enter Cases'!A855,"")</f>
        <v/>
      </c>
      <c r="B855" t="str">
        <f>IF($A855&lt;&gt;"",'All Cases - Enter Cases'!B855,"")</f>
        <v/>
      </c>
      <c r="C855" t="str">
        <f>IF($A855&lt;&gt;"",'All Cases - Enter Cases'!C855,"")</f>
        <v/>
      </c>
      <c r="D855" t="str">
        <f>IF($A855&lt;&gt;"",'All Cases - Enter Cases'!D855,"")</f>
        <v/>
      </c>
      <c r="E855" t="str">
        <f>IF($A855&lt;&gt;"",'All Cases - Enter Cases'!E855,"")</f>
        <v/>
      </c>
      <c r="F855" t="str">
        <f>IF($A855&lt;&gt;"",'All Cases - Enter Cases'!F855,"")</f>
        <v/>
      </c>
      <c r="G855" t="str">
        <f>IF($A855&lt;&gt;"",'All Cases - Enter Cases'!G855,"")</f>
        <v/>
      </c>
      <c r="H855" t="str">
        <f>IF($A855&lt;&gt;"",'All Cases - Enter Cases'!H855,"")</f>
        <v/>
      </c>
      <c r="I855" t="str">
        <f>IF($A855&lt;&gt;"",'All Cases - Enter Cases'!I855,"")</f>
        <v/>
      </c>
      <c r="J855" t="str">
        <f>IF($A855&lt;&gt;"",'All Cases - Enter Cases'!J855,"")</f>
        <v/>
      </c>
      <c r="K855" t="str">
        <f>IF($A855&lt;&gt;"",'All Cases - Enter Cases'!K855,"")</f>
        <v/>
      </c>
      <c r="L855" t="str">
        <f>IF($A855&lt;&gt;"",'All Cases - Enter Cases'!L855,"")</f>
        <v/>
      </c>
      <c r="M855" t="str">
        <f>IF($A855&lt;&gt;"",'All Cases - Enter Cases'!M855,"")</f>
        <v/>
      </c>
    </row>
    <row r="856" spans="1:13" x14ac:dyDescent="0.35">
      <c r="A856" t="str">
        <f>IF('All Cases - Enter Cases'!$F856="Balochistan",'All Cases - Enter Cases'!A856,"")</f>
        <v/>
      </c>
      <c r="B856" t="str">
        <f>IF($A856&lt;&gt;"",'All Cases - Enter Cases'!B856,"")</f>
        <v/>
      </c>
      <c r="C856" t="str">
        <f>IF($A856&lt;&gt;"",'All Cases - Enter Cases'!C856,"")</f>
        <v/>
      </c>
      <c r="D856" t="str">
        <f>IF($A856&lt;&gt;"",'All Cases - Enter Cases'!D856,"")</f>
        <v/>
      </c>
      <c r="E856" t="str">
        <f>IF($A856&lt;&gt;"",'All Cases - Enter Cases'!E856,"")</f>
        <v/>
      </c>
      <c r="F856" t="str">
        <f>IF($A856&lt;&gt;"",'All Cases - Enter Cases'!F856,"")</f>
        <v/>
      </c>
      <c r="G856" t="str">
        <f>IF($A856&lt;&gt;"",'All Cases - Enter Cases'!G856,"")</f>
        <v/>
      </c>
      <c r="H856" t="str">
        <f>IF($A856&lt;&gt;"",'All Cases - Enter Cases'!H856,"")</f>
        <v/>
      </c>
      <c r="I856" t="str">
        <f>IF($A856&lt;&gt;"",'All Cases - Enter Cases'!I856,"")</f>
        <v/>
      </c>
      <c r="J856" t="str">
        <f>IF($A856&lt;&gt;"",'All Cases - Enter Cases'!J856,"")</f>
        <v/>
      </c>
      <c r="K856" t="str">
        <f>IF($A856&lt;&gt;"",'All Cases - Enter Cases'!K856,"")</f>
        <v/>
      </c>
      <c r="L856" t="str">
        <f>IF($A856&lt;&gt;"",'All Cases - Enter Cases'!L856,"")</f>
        <v/>
      </c>
      <c r="M856" t="str">
        <f>IF($A856&lt;&gt;"",'All Cases - Enter Cases'!M856,"")</f>
        <v/>
      </c>
    </row>
    <row r="857" spans="1:13" x14ac:dyDescent="0.35">
      <c r="A857" t="str">
        <f>IF('All Cases - Enter Cases'!$F857="Balochistan",'All Cases - Enter Cases'!A857,"")</f>
        <v/>
      </c>
      <c r="B857" t="str">
        <f>IF($A857&lt;&gt;"",'All Cases - Enter Cases'!B857,"")</f>
        <v/>
      </c>
      <c r="C857" t="str">
        <f>IF($A857&lt;&gt;"",'All Cases - Enter Cases'!C857,"")</f>
        <v/>
      </c>
      <c r="D857" t="str">
        <f>IF($A857&lt;&gt;"",'All Cases - Enter Cases'!D857,"")</f>
        <v/>
      </c>
      <c r="E857" t="str">
        <f>IF($A857&lt;&gt;"",'All Cases - Enter Cases'!E857,"")</f>
        <v/>
      </c>
      <c r="F857" t="str">
        <f>IF($A857&lt;&gt;"",'All Cases - Enter Cases'!F857,"")</f>
        <v/>
      </c>
      <c r="G857" t="str">
        <f>IF($A857&lt;&gt;"",'All Cases - Enter Cases'!G857,"")</f>
        <v/>
      </c>
      <c r="H857" t="str">
        <f>IF($A857&lt;&gt;"",'All Cases - Enter Cases'!H857,"")</f>
        <v/>
      </c>
      <c r="I857" t="str">
        <f>IF($A857&lt;&gt;"",'All Cases - Enter Cases'!I857,"")</f>
        <v/>
      </c>
      <c r="J857" t="str">
        <f>IF($A857&lt;&gt;"",'All Cases - Enter Cases'!J857,"")</f>
        <v/>
      </c>
      <c r="K857" t="str">
        <f>IF($A857&lt;&gt;"",'All Cases - Enter Cases'!K857,"")</f>
        <v/>
      </c>
      <c r="L857" t="str">
        <f>IF($A857&lt;&gt;"",'All Cases - Enter Cases'!L857,"")</f>
        <v/>
      </c>
      <c r="M857" t="str">
        <f>IF($A857&lt;&gt;"",'All Cases - Enter Cases'!M857,"")</f>
        <v/>
      </c>
    </row>
    <row r="858" spans="1:13" x14ac:dyDescent="0.35">
      <c r="A858" t="str">
        <f>IF('All Cases - Enter Cases'!$F858="Balochistan",'All Cases - Enter Cases'!A858,"")</f>
        <v/>
      </c>
      <c r="B858" t="str">
        <f>IF($A858&lt;&gt;"",'All Cases - Enter Cases'!B858,"")</f>
        <v/>
      </c>
      <c r="C858" t="str">
        <f>IF($A858&lt;&gt;"",'All Cases - Enter Cases'!C858,"")</f>
        <v/>
      </c>
      <c r="D858" t="str">
        <f>IF($A858&lt;&gt;"",'All Cases - Enter Cases'!D858,"")</f>
        <v/>
      </c>
      <c r="E858" t="str">
        <f>IF($A858&lt;&gt;"",'All Cases - Enter Cases'!E858,"")</f>
        <v/>
      </c>
      <c r="F858" t="str">
        <f>IF($A858&lt;&gt;"",'All Cases - Enter Cases'!F858,"")</f>
        <v/>
      </c>
      <c r="G858" t="str">
        <f>IF($A858&lt;&gt;"",'All Cases - Enter Cases'!G858,"")</f>
        <v/>
      </c>
      <c r="H858" t="str">
        <f>IF($A858&lt;&gt;"",'All Cases - Enter Cases'!H858,"")</f>
        <v/>
      </c>
      <c r="I858" t="str">
        <f>IF($A858&lt;&gt;"",'All Cases - Enter Cases'!I858,"")</f>
        <v/>
      </c>
      <c r="J858" t="str">
        <f>IF($A858&lt;&gt;"",'All Cases - Enter Cases'!J858,"")</f>
        <v/>
      </c>
      <c r="K858" t="str">
        <f>IF($A858&lt;&gt;"",'All Cases - Enter Cases'!K858,"")</f>
        <v/>
      </c>
      <c r="L858" t="str">
        <f>IF($A858&lt;&gt;"",'All Cases - Enter Cases'!L858,"")</f>
        <v/>
      </c>
      <c r="M858" t="str">
        <f>IF($A858&lt;&gt;"",'All Cases - Enter Cases'!M858,"")</f>
        <v/>
      </c>
    </row>
    <row r="859" spans="1:13" x14ac:dyDescent="0.35">
      <c r="A859" t="str">
        <f>IF('All Cases - Enter Cases'!$F859="Balochistan",'All Cases - Enter Cases'!A859,"")</f>
        <v/>
      </c>
      <c r="B859" t="str">
        <f>IF($A859&lt;&gt;"",'All Cases - Enter Cases'!B859,"")</f>
        <v/>
      </c>
      <c r="C859" t="str">
        <f>IF($A859&lt;&gt;"",'All Cases - Enter Cases'!C859,"")</f>
        <v/>
      </c>
      <c r="D859" t="str">
        <f>IF($A859&lt;&gt;"",'All Cases - Enter Cases'!D859,"")</f>
        <v/>
      </c>
      <c r="E859" t="str">
        <f>IF($A859&lt;&gt;"",'All Cases - Enter Cases'!E859,"")</f>
        <v/>
      </c>
      <c r="F859" t="str">
        <f>IF($A859&lt;&gt;"",'All Cases - Enter Cases'!F859,"")</f>
        <v/>
      </c>
      <c r="G859" t="str">
        <f>IF($A859&lt;&gt;"",'All Cases - Enter Cases'!G859,"")</f>
        <v/>
      </c>
      <c r="H859" t="str">
        <f>IF($A859&lt;&gt;"",'All Cases - Enter Cases'!H859,"")</f>
        <v/>
      </c>
      <c r="I859" t="str">
        <f>IF($A859&lt;&gt;"",'All Cases - Enter Cases'!I859,"")</f>
        <v/>
      </c>
      <c r="J859" t="str">
        <f>IF($A859&lt;&gt;"",'All Cases - Enter Cases'!J859,"")</f>
        <v/>
      </c>
      <c r="K859" t="str">
        <f>IF($A859&lt;&gt;"",'All Cases - Enter Cases'!K859,"")</f>
        <v/>
      </c>
      <c r="L859" t="str">
        <f>IF($A859&lt;&gt;"",'All Cases - Enter Cases'!L859,"")</f>
        <v/>
      </c>
      <c r="M859" t="str">
        <f>IF($A859&lt;&gt;"",'All Cases - Enter Cases'!M859,"")</f>
        <v/>
      </c>
    </row>
    <row r="860" spans="1:13" x14ac:dyDescent="0.35">
      <c r="A860" t="str">
        <f>IF('All Cases - Enter Cases'!$F860="Balochistan",'All Cases - Enter Cases'!A860,"")</f>
        <v/>
      </c>
      <c r="B860" t="str">
        <f>IF($A860&lt;&gt;"",'All Cases - Enter Cases'!B860,"")</f>
        <v/>
      </c>
      <c r="C860" t="str">
        <f>IF($A860&lt;&gt;"",'All Cases - Enter Cases'!C860,"")</f>
        <v/>
      </c>
      <c r="D860" t="str">
        <f>IF($A860&lt;&gt;"",'All Cases - Enter Cases'!D860,"")</f>
        <v/>
      </c>
      <c r="E860" t="str">
        <f>IF($A860&lt;&gt;"",'All Cases - Enter Cases'!E860,"")</f>
        <v/>
      </c>
      <c r="F860" t="str">
        <f>IF($A860&lt;&gt;"",'All Cases - Enter Cases'!F860,"")</f>
        <v/>
      </c>
      <c r="G860" t="str">
        <f>IF($A860&lt;&gt;"",'All Cases - Enter Cases'!G860,"")</f>
        <v/>
      </c>
      <c r="H860" t="str">
        <f>IF($A860&lt;&gt;"",'All Cases - Enter Cases'!H860,"")</f>
        <v/>
      </c>
      <c r="I860" t="str">
        <f>IF($A860&lt;&gt;"",'All Cases - Enter Cases'!I860,"")</f>
        <v/>
      </c>
      <c r="J860" t="str">
        <f>IF($A860&lt;&gt;"",'All Cases - Enter Cases'!J860,"")</f>
        <v/>
      </c>
      <c r="K860" t="str">
        <f>IF($A860&lt;&gt;"",'All Cases - Enter Cases'!K860,"")</f>
        <v/>
      </c>
      <c r="L860" t="str">
        <f>IF($A860&lt;&gt;"",'All Cases - Enter Cases'!L860,"")</f>
        <v/>
      </c>
      <c r="M860" t="str">
        <f>IF($A860&lt;&gt;"",'All Cases - Enter Cases'!M860,"")</f>
        <v/>
      </c>
    </row>
    <row r="861" spans="1:13" x14ac:dyDescent="0.35">
      <c r="A861" t="str">
        <f>IF('All Cases - Enter Cases'!$F861="Balochistan",'All Cases - Enter Cases'!A861,"")</f>
        <v/>
      </c>
      <c r="B861" t="str">
        <f>IF($A861&lt;&gt;"",'All Cases - Enter Cases'!B861,"")</f>
        <v/>
      </c>
      <c r="C861" t="str">
        <f>IF($A861&lt;&gt;"",'All Cases - Enter Cases'!C861,"")</f>
        <v/>
      </c>
      <c r="D861" t="str">
        <f>IF($A861&lt;&gt;"",'All Cases - Enter Cases'!D861,"")</f>
        <v/>
      </c>
      <c r="E861" t="str">
        <f>IF($A861&lt;&gt;"",'All Cases - Enter Cases'!E861,"")</f>
        <v/>
      </c>
      <c r="F861" t="str">
        <f>IF($A861&lt;&gt;"",'All Cases - Enter Cases'!F861,"")</f>
        <v/>
      </c>
      <c r="G861" t="str">
        <f>IF($A861&lt;&gt;"",'All Cases - Enter Cases'!G861,"")</f>
        <v/>
      </c>
      <c r="H861" t="str">
        <f>IF($A861&lt;&gt;"",'All Cases - Enter Cases'!H861,"")</f>
        <v/>
      </c>
      <c r="I861" t="str">
        <f>IF($A861&lt;&gt;"",'All Cases - Enter Cases'!I861,"")</f>
        <v/>
      </c>
      <c r="J861" t="str">
        <f>IF($A861&lt;&gt;"",'All Cases - Enter Cases'!J861,"")</f>
        <v/>
      </c>
      <c r="K861" t="str">
        <f>IF($A861&lt;&gt;"",'All Cases - Enter Cases'!K861,"")</f>
        <v/>
      </c>
      <c r="L861" t="str">
        <f>IF($A861&lt;&gt;"",'All Cases - Enter Cases'!L861,"")</f>
        <v/>
      </c>
      <c r="M861" t="str">
        <f>IF($A861&lt;&gt;"",'All Cases - Enter Cases'!M861,"")</f>
        <v/>
      </c>
    </row>
    <row r="862" spans="1:13" x14ac:dyDescent="0.35">
      <c r="A862" t="str">
        <f>IF('All Cases - Enter Cases'!$F862="Balochistan",'All Cases - Enter Cases'!A862,"")</f>
        <v/>
      </c>
      <c r="B862" t="str">
        <f>IF($A862&lt;&gt;"",'All Cases - Enter Cases'!B862,"")</f>
        <v/>
      </c>
      <c r="C862" t="str">
        <f>IF($A862&lt;&gt;"",'All Cases - Enter Cases'!C862,"")</f>
        <v/>
      </c>
      <c r="D862" t="str">
        <f>IF($A862&lt;&gt;"",'All Cases - Enter Cases'!D862,"")</f>
        <v/>
      </c>
      <c r="E862" t="str">
        <f>IF($A862&lt;&gt;"",'All Cases - Enter Cases'!E862,"")</f>
        <v/>
      </c>
      <c r="F862" t="str">
        <f>IF($A862&lt;&gt;"",'All Cases - Enter Cases'!F862,"")</f>
        <v/>
      </c>
      <c r="G862" t="str">
        <f>IF($A862&lt;&gt;"",'All Cases - Enter Cases'!G862,"")</f>
        <v/>
      </c>
      <c r="H862" t="str">
        <f>IF($A862&lt;&gt;"",'All Cases - Enter Cases'!H862,"")</f>
        <v/>
      </c>
      <c r="I862" t="str">
        <f>IF($A862&lt;&gt;"",'All Cases - Enter Cases'!I862,"")</f>
        <v/>
      </c>
      <c r="J862" t="str">
        <f>IF($A862&lt;&gt;"",'All Cases - Enter Cases'!J862,"")</f>
        <v/>
      </c>
      <c r="K862" t="str">
        <f>IF($A862&lt;&gt;"",'All Cases - Enter Cases'!K862,"")</f>
        <v/>
      </c>
      <c r="L862" t="str">
        <f>IF($A862&lt;&gt;"",'All Cases - Enter Cases'!L862,"")</f>
        <v/>
      </c>
      <c r="M862" t="str">
        <f>IF($A862&lt;&gt;"",'All Cases - Enter Cases'!M862,"")</f>
        <v/>
      </c>
    </row>
    <row r="863" spans="1:13" x14ac:dyDescent="0.35">
      <c r="A863" t="str">
        <f>IF('All Cases - Enter Cases'!$F863="Balochistan",'All Cases - Enter Cases'!A863,"")</f>
        <v/>
      </c>
      <c r="B863" t="str">
        <f>IF($A863&lt;&gt;"",'All Cases - Enter Cases'!B863,"")</f>
        <v/>
      </c>
      <c r="C863" t="str">
        <f>IF($A863&lt;&gt;"",'All Cases - Enter Cases'!C863,"")</f>
        <v/>
      </c>
      <c r="D863" t="str">
        <f>IF($A863&lt;&gt;"",'All Cases - Enter Cases'!D863,"")</f>
        <v/>
      </c>
      <c r="E863" t="str">
        <f>IF($A863&lt;&gt;"",'All Cases - Enter Cases'!E863,"")</f>
        <v/>
      </c>
      <c r="F863" t="str">
        <f>IF($A863&lt;&gt;"",'All Cases - Enter Cases'!F863,"")</f>
        <v/>
      </c>
      <c r="G863" t="str">
        <f>IF($A863&lt;&gt;"",'All Cases - Enter Cases'!G863,"")</f>
        <v/>
      </c>
      <c r="H863" t="str">
        <f>IF($A863&lt;&gt;"",'All Cases - Enter Cases'!H863,"")</f>
        <v/>
      </c>
      <c r="I863" t="str">
        <f>IF($A863&lt;&gt;"",'All Cases - Enter Cases'!I863,"")</f>
        <v/>
      </c>
      <c r="J863" t="str">
        <f>IF($A863&lt;&gt;"",'All Cases - Enter Cases'!J863,"")</f>
        <v/>
      </c>
      <c r="K863" t="str">
        <f>IF($A863&lt;&gt;"",'All Cases - Enter Cases'!K863,"")</f>
        <v/>
      </c>
      <c r="L863" t="str">
        <f>IF($A863&lt;&gt;"",'All Cases - Enter Cases'!L863,"")</f>
        <v/>
      </c>
      <c r="M863" t="str">
        <f>IF($A863&lt;&gt;"",'All Cases - Enter Cases'!M863,"")</f>
        <v/>
      </c>
    </row>
    <row r="864" spans="1:13" x14ac:dyDescent="0.35">
      <c r="A864" t="str">
        <f>IF('All Cases - Enter Cases'!$F864="Balochistan",'All Cases - Enter Cases'!A864,"")</f>
        <v/>
      </c>
      <c r="B864" t="str">
        <f>IF($A864&lt;&gt;"",'All Cases - Enter Cases'!B864,"")</f>
        <v/>
      </c>
      <c r="C864" t="str">
        <f>IF($A864&lt;&gt;"",'All Cases - Enter Cases'!C864,"")</f>
        <v/>
      </c>
      <c r="D864" t="str">
        <f>IF($A864&lt;&gt;"",'All Cases - Enter Cases'!D864,"")</f>
        <v/>
      </c>
      <c r="E864" t="str">
        <f>IF($A864&lt;&gt;"",'All Cases - Enter Cases'!E864,"")</f>
        <v/>
      </c>
      <c r="F864" t="str">
        <f>IF($A864&lt;&gt;"",'All Cases - Enter Cases'!F864,"")</f>
        <v/>
      </c>
      <c r="G864" t="str">
        <f>IF($A864&lt;&gt;"",'All Cases - Enter Cases'!G864,"")</f>
        <v/>
      </c>
      <c r="H864" t="str">
        <f>IF($A864&lt;&gt;"",'All Cases - Enter Cases'!H864,"")</f>
        <v/>
      </c>
      <c r="I864" t="str">
        <f>IF($A864&lt;&gt;"",'All Cases - Enter Cases'!I864,"")</f>
        <v/>
      </c>
      <c r="J864" t="str">
        <f>IF($A864&lt;&gt;"",'All Cases - Enter Cases'!J864,"")</f>
        <v/>
      </c>
      <c r="K864" t="str">
        <f>IF($A864&lt;&gt;"",'All Cases - Enter Cases'!K864,"")</f>
        <v/>
      </c>
      <c r="L864" t="str">
        <f>IF($A864&lt;&gt;"",'All Cases - Enter Cases'!L864,"")</f>
        <v/>
      </c>
      <c r="M864" t="str">
        <f>IF($A864&lt;&gt;"",'All Cases - Enter Cases'!M864,"")</f>
        <v/>
      </c>
    </row>
    <row r="865" spans="1:13" x14ac:dyDescent="0.35">
      <c r="A865" t="str">
        <f>IF('All Cases - Enter Cases'!$F865="Balochistan",'All Cases - Enter Cases'!A865,"")</f>
        <v/>
      </c>
      <c r="B865" t="str">
        <f>IF($A865&lt;&gt;"",'All Cases - Enter Cases'!B865,"")</f>
        <v/>
      </c>
      <c r="C865" t="str">
        <f>IF($A865&lt;&gt;"",'All Cases - Enter Cases'!C865,"")</f>
        <v/>
      </c>
      <c r="D865" t="str">
        <f>IF($A865&lt;&gt;"",'All Cases - Enter Cases'!D865,"")</f>
        <v/>
      </c>
      <c r="E865" t="str">
        <f>IF($A865&lt;&gt;"",'All Cases - Enter Cases'!E865,"")</f>
        <v/>
      </c>
      <c r="F865" t="str">
        <f>IF($A865&lt;&gt;"",'All Cases - Enter Cases'!F865,"")</f>
        <v/>
      </c>
      <c r="G865" t="str">
        <f>IF($A865&lt;&gt;"",'All Cases - Enter Cases'!G865,"")</f>
        <v/>
      </c>
      <c r="H865" t="str">
        <f>IF($A865&lt;&gt;"",'All Cases - Enter Cases'!H865,"")</f>
        <v/>
      </c>
      <c r="I865" t="str">
        <f>IF($A865&lt;&gt;"",'All Cases - Enter Cases'!I865,"")</f>
        <v/>
      </c>
      <c r="J865" t="str">
        <f>IF($A865&lt;&gt;"",'All Cases - Enter Cases'!J865,"")</f>
        <v/>
      </c>
      <c r="K865" t="str">
        <f>IF($A865&lt;&gt;"",'All Cases - Enter Cases'!K865,"")</f>
        <v/>
      </c>
      <c r="L865" t="str">
        <f>IF($A865&lt;&gt;"",'All Cases - Enter Cases'!L865,"")</f>
        <v/>
      </c>
      <c r="M865" t="str">
        <f>IF($A865&lt;&gt;"",'All Cases - Enter Cases'!M865,"")</f>
        <v/>
      </c>
    </row>
    <row r="866" spans="1:13" x14ac:dyDescent="0.35">
      <c r="A866" t="str">
        <f>IF('All Cases - Enter Cases'!$F866="Balochistan",'All Cases - Enter Cases'!A866,"")</f>
        <v/>
      </c>
      <c r="B866" t="str">
        <f>IF($A866&lt;&gt;"",'All Cases - Enter Cases'!B866,"")</f>
        <v/>
      </c>
      <c r="C866" t="str">
        <f>IF($A866&lt;&gt;"",'All Cases - Enter Cases'!C866,"")</f>
        <v/>
      </c>
      <c r="D866" t="str">
        <f>IF($A866&lt;&gt;"",'All Cases - Enter Cases'!D866,"")</f>
        <v/>
      </c>
      <c r="E866" t="str">
        <f>IF($A866&lt;&gt;"",'All Cases - Enter Cases'!E866,"")</f>
        <v/>
      </c>
      <c r="F866" t="str">
        <f>IF($A866&lt;&gt;"",'All Cases - Enter Cases'!F866,"")</f>
        <v/>
      </c>
      <c r="G866" t="str">
        <f>IF($A866&lt;&gt;"",'All Cases - Enter Cases'!G866,"")</f>
        <v/>
      </c>
      <c r="H866" t="str">
        <f>IF($A866&lt;&gt;"",'All Cases - Enter Cases'!H866,"")</f>
        <v/>
      </c>
      <c r="I866" t="str">
        <f>IF($A866&lt;&gt;"",'All Cases - Enter Cases'!I866,"")</f>
        <v/>
      </c>
      <c r="J866" t="str">
        <f>IF($A866&lt;&gt;"",'All Cases - Enter Cases'!J866,"")</f>
        <v/>
      </c>
      <c r="K866" t="str">
        <f>IF($A866&lt;&gt;"",'All Cases - Enter Cases'!K866,"")</f>
        <v/>
      </c>
      <c r="L866" t="str">
        <f>IF($A866&lt;&gt;"",'All Cases - Enter Cases'!L866,"")</f>
        <v/>
      </c>
      <c r="M866" t="str">
        <f>IF($A866&lt;&gt;"",'All Cases - Enter Cases'!M866,"")</f>
        <v/>
      </c>
    </row>
    <row r="867" spans="1:13" x14ac:dyDescent="0.35">
      <c r="A867" t="str">
        <f>IF('All Cases - Enter Cases'!$F867="Balochistan",'All Cases - Enter Cases'!A867,"")</f>
        <v/>
      </c>
      <c r="B867" t="str">
        <f>IF($A867&lt;&gt;"",'All Cases - Enter Cases'!B867,"")</f>
        <v/>
      </c>
      <c r="C867" t="str">
        <f>IF($A867&lt;&gt;"",'All Cases - Enter Cases'!C867,"")</f>
        <v/>
      </c>
      <c r="D867" t="str">
        <f>IF($A867&lt;&gt;"",'All Cases - Enter Cases'!D867,"")</f>
        <v/>
      </c>
      <c r="E867" t="str">
        <f>IF($A867&lt;&gt;"",'All Cases - Enter Cases'!E867,"")</f>
        <v/>
      </c>
      <c r="F867" t="str">
        <f>IF($A867&lt;&gt;"",'All Cases - Enter Cases'!F867,"")</f>
        <v/>
      </c>
      <c r="G867" t="str">
        <f>IF($A867&lt;&gt;"",'All Cases - Enter Cases'!G867,"")</f>
        <v/>
      </c>
      <c r="H867" t="str">
        <f>IF($A867&lt;&gt;"",'All Cases - Enter Cases'!H867,"")</f>
        <v/>
      </c>
      <c r="I867" t="str">
        <f>IF($A867&lt;&gt;"",'All Cases - Enter Cases'!I867,"")</f>
        <v/>
      </c>
      <c r="J867" t="str">
        <f>IF($A867&lt;&gt;"",'All Cases - Enter Cases'!J867,"")</f>
        <v/>
      </c>
      <c r="K867" t="str">
        <f>IF($A867&lt;&gt;"",'All Cases - Enter Cases'!K867,"")</f>
        <v/>
      </c>
      <c r="L867" t="str">
        <f>IF($A867&lt;&gt;"",'All Cases - Enter Cases'!L867,"")</f>
        <v/>
      </c>
      <c r="M867" t="str">
        <f>IF($A867&lt;&gt;"",'All Cases - Enter Cases'!M867,"")</f>
        <v/>
      </c>
    </row>
    <row r="868" spans="1:13" x14ac:dyDescent="0.35">
      <c r="A868" t="str">
        <f>IF('All Cases - Enter Cases'!$F868="Balochistan",'All Cases - Enter Cases'!A868,"")</f>
        <v/>
      </c>
      <c r="B868" t="str">
        <f>IF($A868&lt;&gt;"",'All Cases - Enter Cases'!B868,"")</f>
        <v/>
      </c>
      <c r="C868" t="str">
        <f>IF($A868&lt;&gt;"",'All Cases - Enter Cases'!C868,"")</f>
        <v/>
      </c>
      <c r="D868" t="str">
        <f>IF($A868&lt;&gt;"",'All Cases - Enter Cases'!D868,"")</f>
        <v/>
      </c>
      <c r="E868" t="str">
        <f>IF($A868&lt;&gt;"",'All Cases - Enter Cases'!E868,"")</f>
        <v/>
      </c>
      <c r="F868" t="str">
        <f>IF($A868&lt;&gt;"",'All Cases - Enter Cases'!F868,"")</f>
        <v/>
      </c>
      <c r="G868" t="str">
        <f>IF($A868&lt;&gt;"",'All Cases - Enter Cases'!G868,"")</f>
        <v/>
      </c>
      <c r="H868" t="str">
        <f>IF($A868&lt;&gt;"",'All Cases - Enter Cases'!H868,"")</f>
        <v/>
      </c>
      <c r="I868" t="str">
        <f>IF($A868&lt;&gt;"",'All Cases - Enter Cases'!I868,"")</f>
        <v/>
      </c>
      <c r="J868" t="str">
        <f>IF($A868&lt;&gt;"",'All Cases - Enter Cases'!J868,"")</f>
        <v/>
      </c>
      <c r="K868" t="str">
        <f>IF($A868&lt;&gt;"",'All Cases - Enter Cases'!K868,"")</f>
        <v/>
      </c>
      <c r="L868" t="str">
        <f>IF($A868&lt;&gt;"",'All Cases - Enter Cases'!L868,"")</f>
        <v/>
      </c>
      <c r="M868" t="str">
        <f>IF($A868&lt;&gt;"",'All Cases - Enter Cases'!M868,"")</f>
        <v/>
      </c>
    </row>
    <row r="869" spans="1:13" x14ac:dyDescent="0.35">
      <c r="A869" t="str">
        <f>IF('All Cases - Enter Cases'!$F869="Balochistan",'All Cases - Enter Cases'!A869,"")</f>
        <v/>
      </c>
      <c r="B869" t="str">
        <f>IF($A869&lt;&gt;"",'All Cases - Enter Cases'!B869,"")</f>
        <v/>
      </c>
      <c r="C869" t="str">
        <f>IF($A869&lt;&gt;"",'All Cases - Enter Cases'!C869,"")</f>
        <v/>
      </c>
      <c r="D869" t="str">
        <f>IF($A869&lt;&gt;"",'All Cases - Enter Cases'!D869,"")</f>
        <v/>
      </c>
      <c r="E869" t="str">
        <f>IF($A869&lt;&gt;"",'All Cases - Enter Cases'!E869,"")</f>
        <v/>
      </c>
      <c r="F869" t="str">
        <f>IF($A869&lt;&gt;"",'All Cases - Enter Cases'!F869,"")</f>
        <v/>
      </c>
      <c r="G869" t="str">
        <f>IF($A869&lt;&gt;"",'All Cases - Enter Cases'!G869,"")</f>
        <v/>
      </c>
      <c r="H869" t="str">
        <f>IF($A869&lt;&gt;"",'All Cases - Enter Cases'!H869,"")</f>
        <v/>
      </c>
      <c r="I869" t="str">
        <f>IF($A869&lt;&gt;"",'All Cases - Enter Cases'!I869,"")</f>
        <v/>
      </c>
      <c r="J869" t="str">
        <f>IF($A869&lt;&gt;"",'All Cases - Enter Cases'!J869,"")</f>
        <v/>
      </c>
      <c r="K869" t="str">
        <f>IF($A869&lt;&gt;"",'All Cases - Enter Cases'!K869,"")</f>
        <v/>
      </c>
      <c r="L869" t="str">
        <f>IF($A869&lt;&gt;"",'All Cases - Enter Cases'!L869,"")</f>
        <v/>
      </c>
      <c r="M869" t="str">
        <f>IF($A869&lt;&gt;"",'All Cases - Enter Cases'!M869,"")</f>
        <v/>
      </c>
    </row>
    <row r="870" spans="1:13" x14ac:dyDescent="0.35">
      <c r="A870" t="str">
        <f>IF('All Cases - Enter Cases'!$F870="Balochistan",'All Cases - Enter Cases'!A870,"")</f>
        <v/>
      </c>
      <c r="B870" t="str">
        <f>IF($A870&lt;&gt;"",'All Cases - Enter Cases'!B870,"")</f>
        <v/>
      </c>
      <c r="C870" t="str">
        <f>IF($A870&lt;&gt;"",'All Cases - Enter Cases'!C870,"")</f>
        <v/>
      </c>
      <c r="D870" t="str">
        <f>IF($A870&lt;&gt;"",'All Cases - Enter Cases'!D870,"")</f>
        <v/>
      </c>
      <c r="E870" t="str">
        <f>IF($A870&lt;&gt;"",'All Cases - Enter Cases'!E870,"")</f>
        <v/>
      </c>
      <c r="F870" t="str">
        <f>IF($A870&lt;&gt;"",'All Cases - Enter Cases'!F870,"")</f>
        <v/>
      </c>
      <c r="G870" t="str">
        <f>IF($A870&lt;&gt;"",'All Cases - Enter Cases'!G870,"")</f>
        <v/>
      </c>
      <c r="H870" t="str">
        <f>IF($A870&lt;&gt;"",'All Cases - Enter Cases'!H870,"")</f>
        <v/>
      </c>
      <c r="I870" t="str">
        <f>IF($A870&lt;&gt;"",'All Cases - Enter Cases'!I870,"")</f>
        <v/>
      </c>
      <c r="J870" t="str">
        <f>IF($A870&lt;&gt;"",'All Cases - Enter Cases'!J870,"")</f>
        <v/>
      </c>
      <c r="K870" t="str">
        <f>IF($A870&lt;&gt;"",'All Cases - Enter Cases'!K870,"")</f>
        <v/>
      </c>
      <c r="L870" t="str">
        <f>IF($A870&lt;&gt;"",'All Cases - Enter Cases'!L870,"")</f>
        <v/>
      </c>
      <c r="M870" t="str">
        <f>IF($A870&lt;&gt;"",'All Cases - Enter Cases'!M870,"")</f>
        <v/>
      </c>
    </row>
    <row r="871" spans="1:13" x14ac:dyDescent="0.35">
      <c r="A871" t="str">
        <f>IF('All Cases - Enter Cases'!$F871="Balochistan",'All Cases - Enter Cases'!A871,"")</f>
        <v/>
      </c>
      <c r="B871" t="str">
        <f>IF($A871&lt;&gt;"",'All Cases - Enter Cases'!B871,"")</f>
        <v/>
      </c>
      <c r="C871" t="str">
        <f>IF($A871&lt;&gt;"",'All Cases - Enter Cases'!C871,"")</f>
        <v/>
      </c>
      <c r="D871" t="str">
        <f>IF($A871&lt;&gt;"",'All Cases - Enter Cases'!D871,"")</f>
        <v/>
      </c>
      <c r="E871" t="str">
        <f>IF($A871&lt;&gt;"",'All Cases - Enter Cases'!E871,"")</f>
        <v/>
      </c>
      <c r="F871" t="str">
        <f>IF($A871&lt;&gt;"",'All Cases - Enter Cases'!F871,"")</f>
        <v/>
      </c>
      <c r="G871" t="str">
        <f>IF($A871&lt;&gt;"",'All Cases - Enter Cases'!G871,"")</f>
        <v/>
      </c>
      <c r="H871" t="str">
        <f>IF($A871&lt;&gt;"",'All Cases - Enter Cases'!H871,"")</f>
        <v/>
      </c>
      <c r="I871" t="str">
        <f>IF($A871&lt;&gt;"",'All Cases - Enter Cases'!I871,"")</f>
        <v/>
      </c>
      <c r="J871" t="str">
        <f>IF($A871&lt;&gt;"",'All Cases - Enter Cases'!J871,"")</f>
        <v/>
      </c>
      <c r="K871" t="str">
        <f>IF($A871&lt;&gt;"",'All Cases - Enter Cases'!K871,"")</f>
        <v/>
      </c>
      <c r="L871" t="str">
        <f>IF($A871&lt;&gt;"",'All Cases - Enter Cases'!L871,"")</f>
        <v/>
      </c>
      <c r="M871" t="str">
        <f>IF($A871&lt;&gt;"",'All Cases - Enter Cases'!M871,"")</f>
        <v/>
      </c>
    </row>
    <row r="872" spans="1:13" x14ac:dyDescent="0.35">
      <c r="A872" t="str">
        <f>IF('All Cases - Enter Cases'!$F872="Balochistan",'All Cases - Enter Cases'!A872,"")</f>
        <v/>
      </c>
      <c r="B872" t="str">
        <f>IF($A872&lt;&gt;"",'All Cases - Enter Cases'!B872,"")</f>
        <v/>
      </c>
      <c r="C872" t="str">
        <f>IF($A872&lt;&gt;"",'All Cases - Enter Cases'!C872,"")</f>
        <v/>
      </c>
      <c r="D872" t="str">
        <f>IF($A872&lt;&gt;"",'All Cases - Enter Cases'!D872,"")</f>
        <v/>
      </c>
      <c r="E872" t="str">
        <f>IF($A872&lt;&gt;"",'All Cases - Enter Cases'!E872,"")</f>
        <v/>
      </c>
      <c r="F872" t="str">
        <f>IF($A872&lt;&gt;"",'All Cases - Enter Cases'!F872,"")</f>
        <v/>
      </c>
      <c r="G872" t="str">
        <f>IF($A872&lt;&gt;"",'All Cases - Enter Cases'!G872,"")</f>
        <v/>
      </c>
      <c r="H872" t="str">
        <f>IF($A872&lt;&gt;"",'All Cases - Enter Cases'!H872,"")</f>
        <v/>
      </c>
      <c r="I872" t="str">
        <f>IF($A872&lt;&gt;"",'All Cases - Enter Cases'!I872,"")</f>
        <v/>
      </c>
      <c r="J872" t="str">
        <f>IF($A872&lt;&gt;"",'All Cases - Enter Cases'!J872,"")</f>
        <v/>
      </c>
      <c r="K872" t="str">
        <f>IF($A872&lt;&gt;"",'All Cases - Enter Cases'!K872,"")</f>
        <v/>
      </c>
      <c r="L872" t="str">
        <f>IF($A872&lt;&gt;"",'All Cases - Enter Cases'!L872,"")</f>
        <v/>
      </c>
      <c r="M872" t="str">
        <f>IF($A872&lt;&gt;"",'All Cases - Enter Cases'!M872,"")</f>
        <v/>
      </c>
    </row>
    <row r="873" spans="1:13" x14ac:dyDescent="0.35">
      <c r="A873" t="str">
        <f>IF('All Cases - Enter Cases'!$F873="Balochistan",'All Cases - Enter Cases'!A873,"")</f>
        <v/>
      </c>
      <c r="B873" t="str">
        <f>IF($A873&lt;&gt;"",'All Cases - Enter Cases'!B873,"")</f>
        <v/>
      </c>
      <c r="C873" t="str">
        <f>IF($A873&lt;&gt;"",'All Cases - Enter Cases'!C873,"")</f>
        <v/>
      </c>
      <c r="D873" t="str">
        <f>IF($A873&lt;&gt;"",'All Cases - Enter Cases'!D873,"")</f>
        <v/>
      </c>
      <c r="E873" t="str">
        <f>IF($A873&lt;&gt;"",'All Cases - Enter Cases'!E873,"")</f>
        <v/>
      </c>
      <c r="F873" t="str">
        <f>IF($A873&lt;&gt;"",'All Cases - Enter Cases'!F873,"")</f>
        <v/>
      </c>
      <c r="G873" t="str">
        <f>IF($A873&lt;&gt;"",'All Cases - Enter Cases'!G873,"")</f>
        <v/>
      </c>
      <c r="H873" t="str">
        <f>IF($A873&lt;&gt;"",'All Cases - Enter Cases'!H873,"")</f>
        <v/>
      </c>
      <c r="I873" t="str">
        <f>IF($A873&lt;&gt;"",'All Cases - Enter Cases'!I873,"")</f>
        <v/>
      </c>
      <c r="J873" t="str">
        <f>IF($A873&lt;&gt;"",'All Cases - Enter Cases'!J873,"")</f>
        <v/>
      </c>
      <c r="K873" t="str">
        <f>IF($A873&lt;&gt;"",'All Cases - Enter Cases'!K873,"")</f>
        <v/>
      </c>
      <c r="L873" t="str">
        <f>IF($A873&lt;&gt;"",'All Cases - Enter Cases'!L873,"")</f>
        <v/>
      </c>
      <c r="M873" t="str">
        <f>IF($A873&lt;&gt;"",'All Cases - Enter Cases'!M873,"")</f>
        <v/>
      </c>
    </row>
    <row r="874" spans="1:13" x14ac:dyDescent="0.35">
      <c r="A874" t="str">
        <f>IF('All Cases - Enter Cases'!$F874="Balochistan",'All Cases - Enter Cases'!A874,"")</f>
        <v/>
      </c>
      <c r="B874" t="str">
        <f>IF($A874&lt;&gt;"",'All Cases - Enter Cases'!B874,"")</f>
        <v/>
      </c>
      <c r="C874" t="str">
        <f>IF($A874&lt;&gt;"",'All Cases - Enter Cases'!C874,"")</f>
        <v/>
      </c>
      <c r="D874" t="str">
        <f>IF($A874&lt;&gt;"",'All Cases - Enter Cases'!D874,"")</f>
        <v/>
      </c>
      <c r="E874" t="str">
        <f>IF($A874&lt;&gt;"",'All Cases - Enter Cases'!E874,"")</f>
        <v/>
      </c>
      <c r="F874" t="str">
        <f>IF($A874&lt;&gt;"",'All Cases - Enter Cases'!F874,"")</f>
        <v/>
      </c>
      <c r="G874" t="str">
        <f>IF($A874&lt;&gt;"",'All Cases - Enter Cases'!G874,"")</f>
        <v/>
      </c>
      <c r="H874" t="str">
        <f>IF($A874&lt;&gt;"",'All Cases - Enter Cases'!H874,"")</f>
        <v/>
      </c>
      <c r="I874" t="str">
        <f>IF($A874&lt;&gt;"",'All Cases - Enter Cases'!I874,"")</f>
        <v/>
      </c>
      <c r="J874" t="str">
        <f>IF($A874&lt;&gt;"",'All Cases - Enter Cases'!J874,"")</f>
        <v/>
      </c>
      <c r="K874" t="str">
        <f>IF($A874&lt;&gt;"",'All Cases - Enter Cases'!K874,"")</f>
        <v/>
      </c>
      <c r="L874" t="str">
        <f>IF($A874&lt;&gt;"",'All Cases - Enter Cases'!L874,"")</f>
        <v/>
      </c>
      <c r="M874" t="str">
        <f>IF($A874&lt;&gt;"",'All Cases - Enter Cases'!M874,"")</f>
        <v/>
      </c>
    </row>
    <row r="875" spans="1:13" x14ac:dyDescent="0.35">
      <c r="A875" t="str">
        <f>IF('All Cases - Enter Cases'!$F875="Balochistan",'All Cases - Enter Cases'!A875,"")</f>
        <v/>
      </c>
      <c r="B875" t="str">
        <f>IF($A875&lt;&gt;"",'All Cases - Enter Cases'!B875,"")</f>
        <v/>
      </c>
      <c r="C875" t="str">
        <f>IF($A875&lt;&gt;"",'All Cases - Enter Cases'!C875,"")</f>
        <v/>
      </c>
      <c r="D875" t="str">
        <f>IF($A875&lt;&gt;"",'All Cases - Enter Cases'!D875,"")</f>
        <v/>
      </c>
      <c r="E875" t="str">
        <f>IF($A875&lt;&gt;"",'All Cases - Enter Cases'!E875,"")</f>
        <v/>
      </c>
      <c r="F875" t="str">
        <f>IF($A875&lt;&gt;"",'All Cases - Enter Cases'!F875,"")</f>
        <v/>
      </c>
      <c r="G875" t="str">
        <f>IF($A875&lt;&gt;"",'All Cases - Enter Cases'!G875,"")</f>
        <v/>
      </c>
      <c r="H875" t="str">
        <f>IF($A875&lt;&gt;"",'All Cases - Enter Cases'!H875,"")</f>
        <v/>
      </c>
      <c r="I875" t="str">
        <f>IF($A875&lt;&gt;"",'All Cases - Enter Cases'!I875,"")</f>
        <v/>
      </c>
      <c r="J875" t="str">
        <f>IF($A875&lt;&gt;"",'All Cases - Enter Cases'!J875,"")</f>
        <v/>
      </c>
      <c r="K875" t="str">
        <f>IF($A875&lt;&gt;"",'All Cases - Enter Cases'!K875,"")</f>
        <v/>
      </c>
      <c r="L875" t="str">
        <f>IF($A875&lt;&gt;"",'All Cases - Enter Cases'!L875,"")</f>
        <v/>
      </c>
      <c r="M875" t="str">
        <f>IF($A875&lt;&gt;"",'All Cases - Enter Cases'!M875,"")</f>
        <v/>
      </c>
    </row>
    <row r="876" spans="1:13" x14ac:dyDescent="0.35">
      <c r="A876" t="str">
        <f>IF('All Cases - Enter Cases'!$F876="Balochistan",'All Cases - Enter Cases'!A876,"")</f>
        <v/>
      </c>
      <c r="B876" t="str">
        <f>IF($A876&lt;&gt;"",'All Cases - Enter Cases'!B876,"")</f>
        <v/>
      </c>
      <c r="C876" t="str">
        <f>IF($A876&lt;&gt;"",'All Cases - Enter Cases'!C876,"")</f>
        <v/>
      </c>
      <c r="D876" t="str">
        <f>IF($A876&lt;&gt;"",'All Cases - Enter Cases'!D876,"")</f>
        <v/>
      </c>
      <c r="E876" t="str">
        <f>IF($A876&lt;&gt;"",'All Cases - Enter Cases'!E876,"")</f>
        <v/>
      </c>
      <c r="F876" t="str">
        <f>IF($A876&lt;&gt;"",'All Cases - Enter Cases'!F876,"")</f>
        <v/>
      </c>
      <c r="G876" t="str">
        <f>IF($A876&lt;&gt;"",'All Cases - Enter Cases'!G876,"")</f>
        <v/>
      </c>
      <c r="H876" t="str">
        <f>IF($A876&lt;&gt;"",'All Cases - Enter Cases'!H876,"")</f>
        <v/>
      </c>
      <c r="I876" t="str">
        <f>IF($A876&lt;&gt;"",'All Cases - Enter Cases'!I876,"")</f>
        <v/>
      </c>
      <c r="J876" t="str">
        <f>IF($A876&lt;&gt;"",'All Cases - Enter Cases'!J876,"")</f>
        <v/>
      </c>
      <c r="K876" t="str">
        <f>IF($A876&lt;&gt;"",'All Cases - Enter Cases'!K876,"")</f>
        <v/>
      </c>
      <c r="L876" t="str">
        <f>IF($A876&lt;&gt;"",'All Cases - Enter Cases'!L876,"")</f>
        <v/>
      </c>
      <c r="M876" t="str">
        <f>IF($A876&lt;&gt;"",'All Cases - Enter Cases'!M876,"")</f>
        <v/>
      </c>
    </row>
    <row r="877" spans="1:13" x14ac:dyDescent="0.35">
      <c r="A877" t="str">
        <f>IF('All Cases - Enter Cases'!$F877="Balochistan",'All Cases - Enter Cases'!A877,"")</f>
        <v/>
      </c>
      <c r="B877" t="str">
        <f>IF($A877&lt;&gt;"",'All Cases - Enter Cases'!B877,"")</f>
        <v/>
      </c>
      <c r="C877" t="str">
        <f>IF($A877&lt;&gt;"",'All Cases - Enter Cases'!C877,"")</f>
        <v/>
      </c>
      <c r="D877" t="str">
        <f>IF($A877&lt;&gt;"",'All Cases - Enter Cases'!D877,"")</f>
        <v/>
      </c>
      <c r="E877" t="str">
        <f>IF($A877&lt;&gt;"",'All Cases - Enter Cases'!E877,"")</f>
        <v/>
      </c>
      <c r="F877" t="str">
        <f>IF($A877&lt;&gt;"",'All Cases - Enter Cases'!F877,"")</f>
        <v/>
      </c>
      <c r="G877" t="str">
        <f>IF($A877&lt;&gt;"",'All Cases - Enter Cases'!G877,"")</f>
        <v/>
      </c>
      <c r="H877" t="str">
        <f>IF($A877&lt;&gt;"",'All Cases - Enter Cases'!H877,"")</f>
        <v/>
      </c>
      <c r="I877" t="str">
        <f>IF($A877&lt;&gt;"",'All Cases - Enter Cases'!I877,"")</f>
        <v/>
      </c>
      <c r="J877" t="str">
        <f>IF($A877&lt;&gt;"",'All Cases - Enter Cases'!J877,"")</f>
        <v/>
      </c>
      <c r="K877" t="str">
        <f>IF($A877&lt;&gt;"",'All Cases - Enter Cases'!K877,"")</f>
        <v/>
      </c>
      <c r="L877" t="str">
        <f>IF($A877&lt;&gt;"",'All Cases - Enter Cases'!L877,"")</f>
        <v/>
      </c>
      <c r="M877" t="str">
        <f>IF($A877&lt;&gt;"",'All Cases - Enter Cases'!M877,"")</f>
        <v/>
      </c>
    </row>
    <row r="878" spans="1:13" x14ac:dyDescent="0.35">
      <c r="A878" t="str">
        <f>IF('All Cases - Enter Cases'!$F878="Balochistan",'All Cases - Enter Cases'!A878,"")</f>
        <v/>
      </c>
      <c r="B878" t="str">
        <f>IF($A878&lt;&gt;"",'All Cases - Enter Cases'!B878,"")</f>
        <v/>
      </c>
      <c r="C878" t="str">
        <f>IF($A878&lt;&gt;"",'All Cases - Enter Cases'!C878,"")</f>
        <v/>
      </c>
      <c r="D878" t="str">
        <f>IF($A878&lt;&gt;"",'All Cases - Enter Cases'!D878,"")</f>
        <v/>
      </c>
      <c r="E878" t="str">
        <f>IF($A878&lt;&gt;"",'All Cases - Enter Cases'!E878,"")</f>
        <v/>
      </c>
      <c r="F878" t="str">
        <f>IF($A878&lt;&gt;"",'All Cases - Enter Cases'!F878,"")</f>
        <v/>
      </c>
      <c r="G878" t="str">
        <f>IF($A878&lt;&gt;"",'All Cases - Enter Cases'!G878,"")</f>
        <v/>
      </c>
      <c r="H878" t="str">
        <f>IF($A878&lt;&gt;"",'All Cases - Enter Cases'!H878,"")</f>
        <v/>
      </c>
      <c r="I878" t="str">
        <f>IF($A878&lt;&gt;"",'All Cases - Enter Cases'!I878,"")</f>
        <v/>
      </c>
      <c r="J878" t="str">
        <f>IF($A878&lt;&gt;"",'All Cases - Enter Cases'!J878,"")</f>
        <v/>
      </c>
      <c r="K878" t="str">
        <f>IF($A878&lt;&gt;"",'All Cases - Enter Cases'!K878,"")</f>
        <v/>
      </c>
      <c r="L878" t="str">
        <f>IF($A878&lt;&gt;"",'All Cases - Enter Cases'!L878,"")</f>
        <v/>
      </c>
      <c r="M878" t="str">
        <f>IF($A878&lt;&gt;"",'All Cases - Enter Cases'!M878,"")</f>
        <v/>
      </c>
    </row>
    <row r="879" spans="1:13" x14ac:dyDescent="0.35">
      <c r="A879" t="str">
        <f>IF('All Cases - Enter Cases'!$F879="Balochistan",'All Cases - Enter Cases'!A879,"")</f>
        <v/>
      </c>
      <c r="B879" t="str">
        <f>IF($A879&lt;&gt;"",'All Cases - Enter Cases'!B879,"")</f>
        <v/>
      </c>
      <c r="C879" t="str">
        <f>IF($A879&lt;&gt;"",'All Cases - Enter Cases'!C879,"")</f>
        <v/>
      </c>
      <c r="D879" t="str">
        <f>IF($A879&lt;&gt;"",'All Cases - Enter Cases'!D879,"")</f>
        <v/>
      </c>
      <c r="E879" t="str">
        <f>IF($A879&lt;&gt;"",'All Cases - Enter Cases'!E879,"")</f>
        <v/>
      </c>
      <c r="F879" t="str">
        <f>IF($A879&lt;&gt;"",'All Cases - Enter Cases'!F879,"")</f>
        <v/>
      </c>
      <c r="G879" t="str">
        <f>IF($A879&lt;&gt;"",'All Cases - Enter Cases'!G879,"")</f>
        <v/>
      </c>
      <c r="H879" t="str">
        <f>IF($A879&lt;&gt;"",'All Cases - Enter Cases'!H879,"")</f>
        <v/>
      </c>
      <c r="I879" t="str">
        <f>IF($A879&lt;&gt;"",'All Cases - Enter Cases'!I879,"")</f>
        <v/>
      </c>
      <c r="J879" t="str">
        <f>IF($A879&lt;&gt;"",'All Cases - Enter Cases'!J879,"")</f>
        <v/>
      </c>
      <c r="K879" t="str">
        <f>IF($A879&lt;&gt;"",'All Cases - Enter Cases'!K879,"")</f>
        <v/>
      </c>
      <c r="L879" t="str">
        <f>IF($A879&lt;&gt;"",'All Cases - Enter Cases'!L879,"")</f>
        <v/>
      </c>
      <c r="M879" t="str">
        <f>IF($A879&lt;&gt;"",'All Cases - Enter Cases'!M879,"")</f>
        <v/>
      </c>
    </row>
    <row r="880" spans="1:13" x14ac:dyDescent="0.35">
      <c r="A880" t="str">
        <f>IF('All Cases - Enter Cases'!$F880="Balochistan",'All Cases - Enter Cases'!A880,"")</f>
        <v/>
      </c>
      <c r="B880" t="str">
        <f>IF($A880&lt;&gt;"",'All Cases - Enter Cases'!B880,"")</f>
        <v/>
      </c>
      <c r="C880" t="str">
        <f>IF($A880&lt;&gt;"",'All Cases - Enter Cases'!C880,"")</f>
        <v/>
      </c>
      <c r="D880" t="str">
        <f>IF($A880&lt;&gt;"",'All Cases - Enter Cases'!D880,"")</f>
        <v/>
      </c>
      <c r="E880" t="str">
        <f>IF($A880&lt;&gt;"",'All Cases - Enter Cases'!E880,"")</f>
        <v/>
      </c>
      <c r="F880" t="str">
        <f>IF($A880&lt;&gt;"",'All Cases - Enter Cases'!F880,"")</f>
        <v/>
      </c>
      <c r="G880" t="str">
        <f>IF($A880&lt;&gt;"",'All Cases - Enter Cases'!G880,"")</f>
        <v/>
      </c>
      <c r="H880" t="str">
        <f>IF($A880&lt;&gt;"",'All Cases - Enter Cases'!H880,"")</f>
        <v/>
      </c>
      <c r="I880" t="str">
        <f>IF($A880&lt;&gt;"",'All Cases - Enter Cases'!I880,"")</f>
        <v/>
      </c>
      <c r="J880" t="str">
        <f>IF($A880&lt;&gt;"",'All Cases - Enter Cases'!J880,"")</f>
        <v/>
      </c>
      <c r="K880" t="str">
        <f>IF($A880&lt;&gt;"",'All Cases - Enter Cases'!K880,"")</f>
        <v/>
      </c>
      <c r="L880" t="str">
        <f>IF($A880&lt;&gt;"",'All Cases - Enter Cases'!L880,"")</f>
        <v/>
      </c>
      <c r="M880" t="str">
        <f>IF($A880&lt;&gt;"",'All Cases - Enter Cases'!M880,"")</f>
        <v/>
      </c>
    </row>
    <row r="881" spans="1:13" x14ac:dyDescent="0.35">
      <c r="A881" t="str">
        <f>IF('All Cases - Enter Cases'!$F881="Balochistan",'All Cases - Enter Cases'!A881,"")</f>
        <v/>
      </c>
      <c r="B881" t="str">
        <f>IF($A881&lt;&gt;"",'All Cases - Enter Cases'!B881,"")</f>
        <v/>
      </c>
      <c r="C881" t="str">
        <f>IF($A881&lt;&gt;"",'All Cases - Enter Cases'!C881,"")</f>
        <v/>
      </c>
      <c r="D881" t="str">
        <f>IF($A881&lt;&gt;"",'All Cases - Enter Cases'!D881,"")</f>
        <v/>
      </c>
      <c r="E881" t="str">
        <f>IF($A881&lt;&gt;"",'All Cases - Enter Cases'!E881,"")</f>
        <v/>
      </c>
      <c r="F881" t="str">
        <f>IF($A881&lt;&gt;"",'All Cases - Enter Cases'!F881,"")</f>
        <v/>
      </c>
      <c r="G881" t="str">
        <f>IF($A881&lt;&gt;"",'All Cases - Enter Cases'!G881,"")</f>
        <v/>
      </c>
      <c r="H881" t="str">
        <f>IF($A881&lt;&gt;"",'All Cases - Enter Cases'!H881,"")</f>
        <v/>
      </c>
      <c r="I881" t="str">
        <f>IF($A881&lt;&gt;"",'All Cases - Enter Cases'!I881,"")</f>
        <v/>
      </c>
      <c r="J881" t="str">
        <f>IF($A881&lt;&gt;"",'All Cases - Enter Cases'!J881,"")</f>
        <v/>
      </c>
      <c r="K881" t="str">
        <f>IF($A881&lt;&gt;"",'All Cases - Enter Cases'!K881,"")</f>
        <v/>
      </c>
      <c r="L881" t="str">
        <f>IF($A881&lt;&gt;"",'All Cases - Enter Cases'!L881,"")</f>
        <v/>
      </c>
      <c r="M881" t="str">
        <f>IF($A881&lt;&gt;"",'All Cases - Enter Cases'!M881,"")</f>
        <v/>
      </c>
    </row>
    <row r="882" spans="1:13" x14ac:dyDescent="0.35">
      <c r="A882" t="str">
        <f>IF('All Cases - Enter Cases'!$F882="Balochistan",'All Cases - Enter Cases'!A882,"")</f>
        <v/>
      </c>
      <c r="B882" t="str">
        <f>IF($A882&lt;&gt;"",'All Cases - Enter Cases'!B882,"")</f>
        <v/>
      </c>
      <c r="C882" t="str">
        <f>IF($A882&lt;&gt;"",'All Cases - Enter Cases'!C882,"")</f>
        <v/>
      </c>
      <c r="D882" t="str">
        <f>IF($A882&lt;&gt;"",'All Cases - Enter Cases'!D882,"")</f>
        <v/>
      </c>
      <c r="E882" t="str">
        <f>IF($A882&lt;&gt;"",'All Cases - Enter Cases'!E882,"")</f>
        <v/>
      </c>
      <c r="F882" t="str">
        <f>IF($A882&lt;&gt;"",'All Cases - Enter Cases'!F882,"")</f>
        <v/>
      </c>
      <c r="G882" t="str">
        <f>IF($A882&lt;&gt;"",'All Cases - Enter Cases'!G882,"")</f>
        <v/>
      </c>
      <c r="H882" t="str">
        <f>IF($A882&lt;&gt;"",'All Cases - Enter Cases'!H882,"")</f>
        <v/>
      </c>
      <c r="I882" t="str">
        <f>IF($A882&lt;&gt;"",'All Cases - Enter Cases'!I882,"")</f>
        <v/>
      </c>
      <c r="J882" t="str">
        <f>IF($A882&lt;&gt;"",'All Cases - Enter Cases'!J882,"")</f>
        <v/>
      </c>
      <c r="K882" t="str">
        <f>IF($A882&lt;&gt;"",'All Cases - Enter Cases'!K882,"")</f>
        <v/>
      </c>
      <c r="L882" t="str">
        <f>IF($A882&lt;&gt;"",'All Cases - Enter Cases'!L882,"")</f>
        <v/>
      </c>
      <c r="M882" t="str">
        <f>IF($A882&lt;&gt;"",'All Cases - Enter Cases'!M882,"")</f>
        <v/>
      </c>
    </row>
    <row r="883" spans="1:13" x14ac:dyDescent="0.35">
      <c r="A883" t="str">
        <f>IF('All Cases - Enter Cases'!$F883="Balochistan",'All Cases - Enter Cases'!A883,"")</f>
        <v/>
      </c>
      <c r="B883" t="str">
        <f>IF($A883&lt;&gt;"",'All Cases - Enter Cases'!B883,"")</f>
        <v/>
      </c>
      <c r="C883" t="str">
        <f>IF($A883&lt;&gt;"",'All Cases - Enter Cases'!C883,"")</f>
        <v/>
      </c>
      <c r="D883" t="str">
        <f>IF($A883&lt;&gt;"",'All Cases - Enter Cases'!D883,"")</f>
        <v/>
      </c>
      <c r="E883" t="str">
        <f>IF($A883&lt;&gt;"",'All Cases - Enter Cases'!E883,"")</f>
        <v/>
      </c>
      <c r="F883" t="str">
        <f>IF($A883&lt;&gt;"",'All Cases - Enter Cases'!F883,"")</f>
        <v/>
      </c>
      <c r="G883" t="str">
        <f>IF($A883&lt;&gt;"",'All Cases - Enter Cases'!G883,"")</f>
        <v/>
      </c>
      <c r="H883" t="str">
        <f>IF($A883&lt;&gt;"",'All Cases - Enter Cases'!H883,"")</f>
        <v/>
      </c>
      <c r="I883" t="str">
        <f>IF($A883&lt;&gt;"",'All Cases - Enter Cases'!I883,"")</f>
        <v/>
      </c>
      <c r="J883" t="str">
        <f>IF($A883&lt;&gt;"",'All Cases - Enter Cases'!J883,"")</f>
        <v/>
      </c>
      <c r="K883" t="str">
        <f>IF($A883&lt;&gt;"",'All Cases - Enter Cases'!K883,"")</f>
        <v/>
      </c>
      <c r="L883" t="str">
        <f>IF($A883&lt;&gt;"",'All Cases - Enter Cases'!L883,"")</f>
        <v/>
      </c>
      <c r="M883" t="str">
        <f>IF($A883&lt;&gt;"",'All Cases - Enter Cases'!M883,"")</f>
        <v/>
      </c>
    </row>
    <row r="884" spans="1:13" x14ac:dyDescent="0.35">
      <c r="A884" t="str">
        <f>IF('All Cases - Enter Cases'!$F884="Balochistan",'All Cases - Enter Cases'!A884,"")</f>
        <v/>
      </c>
      <c r="B884" t="str">
        <f>IF($A884&lt;&gt;"",'All Cases - Enter Cases'!B884,"")</f>
        <v/>
      </c>
      <c r="C884" t="str">
        <f>IF($A884&lt;&gt;"",'All Cases - Enter Cases'!C884,"")</f>
        <v/>
      </c>
      <c r="D884" t="str">
        <f>IF($A884&lt;&gt;"",'All Cases - Enter Cases'!D884,"")</f>
        <v/>
      </c>
      <c r="E884" t="str">
        <f>IF($A884&lt;&gt;"",'All Cases - Enter Cases'!E884,"")</f>
        <v/>
      </c>
      <c r="F884" t="str">
        <f>IF($A884&lt;&gt;"",'All Cases - Enter Cases'!F884,"")</f>
        <v/>
      </c>
      <c r="G884" t="str">
        <f>IF($A884&lt;&gt;"",'All Cases - Enter Cases'!G884,"")</f>
        <v/>
      </c>
      <c r="H884" t="str">
        <f>IF($A884&lt;&gt;"",'All Cases - Enter Cases'!H884,"")</f>
        <v/>
      </c>
      <c r="I884" t="str">
        <f>IF($A884&lt;&gt;"",'All Cases - Enter Cases'!I884,"")</f>
        <v/>
      </c>
      <c r="J884" t="str">
        <f>IF($A884&lt;&gt;"",'All Cases - Enter Cases'!J884,"")</f>
        <v/>
      </c>
      <c r="K884" t="str">
        <f>IF($A884&lt;&gt;"",'All Cases - Enter Cases'!K884,"")</f>
        <v/>
      </c>
      <c r="L884" t="str">
        <f>IF($A884&lt;&gt;"",'All Cases - Enter Cases'!L884,"")</f>
        <v/>
      </c>
      <c r="M884" t="str">
        <f>IF($A884&lt;&gt;"",'All Cases - Enter Cases'!M884,"")</f>
        <v/>
      </c>
    </row>
    <row r="885" spans="1:13" x14ac:dyDescent="0.35">
      <c r="A885" t="str">
        <f>IF('All Cases - Enter Cases'!$F885="Balochistan",'All Cases - Enter Cases'!A885,"")</f>
        <v/>
      </c>
      <c r="B885" t="str">
        <f>IF($A885&lt;&gt;"",'All Cases - Enter Cases'!B885,"")</f>
        <v/>
      </c>
      <c r="C885" t="str">
        <f>IF($A885&lt;&gt;"",'All Cases - Enter Cases'!C885,"")</f>
        <v/>
      </c>
      <c r="D885" t="str">
        <f>IF($A885&lt;&gt;"",'All Cases - Enter Cases'!D885,"")</f>
        <v/>
      </c>
      <c r="E885" t="str">
        <f>IF($A885&lt;&gt;"",'All Cases - Enter Cases'!E885,"")</f>
        <v/>
      </c>
      <c r="F885" t="str">
        <f>IF($A885&lt;&gt;"",'All Cases - Enter Cases'!F885,"")</f>
        <v/>
      </c>
      <c r="G885" t="str">
        <f>IF($A885&lt;&gt;"",'All Cases - Enter Cases'!G885,"")</f>
        <v/>
      </c>
      <c r="H885" t="str">
        <f>IF($A885&lt;&gt;"",'All Cases - Enter Cases'!H885,"")</f>
        <v/>
      </c>
      <c r="I885" t="str">
        <f>IF($A885&lt;&gt;"",'All Cases - Enter Cases'!I885,"")</f>
        <v/>
      </c>
      <c r="J885" t="str">
        <f>IF($A885&lt;&gt;"",'All Cases - Enter Cases'!J885,"")</f>
        <v/>
      </c>
      <c r="K885" t="str">
        <f>IF($A885&lt;&gt;"",'All Cases - Enter Cases'!K885,"")</f>
        <v/>
      </c>
      <c r="L885" t="str">
        <f>IF($A885&lt;&gt;"",'All Cases - Enter Cases'!L885,"")</f>
        <v/>
      </c>
      <c r="M885" t="str">
        <f>IF($A885&lt;&gt;"",'All Cases - Enter Cases'!M885,"")</f>
        <v/>
      </c>
    </row>
    <row r="886" spans="1:13" x14ac:dyDescent="0.35">
      <c r="A886" t="str">
        <f>IF('All Cases - Enter Cases'!$F886="Balochistan",'All Cases - Enter Cases'!A886,"")</f>
        <v/>
      </c>
      <c r="B886" t="str">
        <f>IF($A886&lt;&gt;"",'All Cases - Enter Cases'!B886,"")</f>
        <v/>
      </c>
      <c r="C886" t="str">
        <f>IF($A886&lt;&gt;"",'All Cases - Enter Cases'!C886,"")</f>
        <v/>
      </c>
      <c r="D886" t="str">
        <f>IF($A886&lt;&gt;"",'All Cases - Enter Cases'!D886,"")</f>
        <v/>
      </c>
      <c r="E886" t="str">
        <f>IF($A886&lt;&gt;"",'All Cases - Enter Cases'!E886,"")</f>
        <v/>
      </c>
      <c r="F886" t="str">
        <f>IF($A886&lt;&gt;"",'All Cases - Enter Cases'!F886,"")</f>
        <v/>
      </c>
      <c r="G886" t="str">
        <f>IF($A886&lt;&gt;"",'All Cases - Enter Cases'!G886,"")</f>
        <v/>
      </c>
      <c r="H886" t="str">
        <f>IF($A886&lt;&gt;"",'All Cases - Enter Cases'!H886,"")</f>
        <v/>
      </c>
      <c r="I886" t="str">
        <f>IF($A886&lt;&gt;"",'All Cases - Enter Cases'!I886,"")</f>
        <v/>
      </c>
      <c r="J886" t="str">
        <f>IF($A886&lt;&gt;"",'All Cases - Enter Cases'!J886,"")</f>
        <v/>
      </c>
      <c r="K886" t="str">
        <f>IF($A886&lt;&gt;"",'All Cases - Enter Cases'!K886,"")</f>
        <v/>
      </c>
      <c r="L886" t="str">
        <f>IF($A886&lt;&gt;"",'All Cases - Enter Cases'!L886,"")</f>
        <v/>
      </c>
      <c r="M886" t="str">
        <f>IF($A886&lt;&gt;"",'All Cases - Enter Cases'!M886,"")</f>
        <v/>
      </c>
    </row>
    <row r="887" spans="1:13" x14ac:dyDescent="0.35">
      <c r="A887" t="str">
        <f>IF('All Cases - Enter Cases'!$F887="Balochistan",'All Cases - Enter Cases'!A887,"")</f>
        <v/>
      </c>
      <c r="B887" t="str">
        <f>IF($A887&lt;&gt;"",'All Cases - Enter Cases'!B887,"")</f>
        <v/>
      </c>
      <c r="C887" t="str">
        <f>IF($A887&lt;&gt;"",'All Cases - Enter Cases'!C887,"")</f>
        <v/>
      </c>
      <c r="D887" t="str">
        <f>IF($A887&lt;&gt;"",'All Cases - Enter Cases'!D887,"")</f>
        <v/>
      </c>
      <c r="E887" t="str">
        <f>IF($A887&lt;&gt;"",'All Cases - Enter Cases'!E887,"")</f>
        <v/>
      </c>
      <c r="F887" t="str">
        <f>IF($A887&lt;&gt;"",'All Cases - Enter Cases'!F887,"")</f>
        <v/>
      </c>
      <c r="G887" t="str">
        <f>IF($A887&lt;&gt;"",'All Cases - Enter Cases'!G887,"")</f>
        <v/>
      </c>
      <c r="H887" t="str">
        <f>IF($A887&lt;&gt;"",'All Cases - Enter Cases'!H887,"")</f>
        <v/>
      </c>
      <c r="I887" t="str">
        <f>IF($A887&lt;&gt;"",'All Cases - Enter Cases'!I887,"")</f>
        <v/>
      </c>
      <c r="J887" t="str">
        <f>IF($A887&lt;&gt;"",'All Cases - Enter Cases'!J887,"")</f>
        <v/>
      </c>
      <c r="K887" t="str">
        <f>IF($A887&lt;&gt;"",'All Cases - Enter Cases'!K887,"")</f>
        <v/>
      </c>
      <c r="L887" t="str">
        <f>IF($A887&lt;&gt;"",'All Cases - Enter Cases'!L887,"")</f>
        <v/>
      </c>
      <c r="M887" t="str">
        <f>IF($A887&lt;&gt;"",'All Cases - Enter Cases'!M887,"")</f>
        <v/>
      </c>
    </row>
    <row r="888" spans="1:13" x14ac:dyDescent="0.35">
      <c r="A888" t="str">
        <f>IF('All Cases - Enter Cases'!$F888="Balochistan",'All Cases - Enter Cases'!A888,"")</f>
        <v/>
      </c>
      <c r="B888" t="str">
        <f>IF($A888&lt;&gt;"",'All Cases - Enter Cases'!B888,"")</f>
        <v/>
      </c>
      <c r="C888" t="str">
        <f>IF($A888&lt;&gt;"",'All Cases - Enter Cases'!C888,"")</f>
        <v/>
      </c>
      <c r="D888" t="str">
        <f>IF($A888&lt;&gt;"",'All Cases - Enter Cases'!D888,"")</f>
        <v/>
      </c>
      <c r="E888" t="str">
        <f>IF($A888&lt;&gt;"",'All Cases - Enter Cases'!E888,"")</f>
        <v/>
      </c>
      <c r="F888" t="str">
        <f>IF($A888&lt;&gt;"",'All Cases - Enter Cases'!F888,"")</f>
        <v/>
      </c>
      <c r="G888" t="str">
        <f>IF($A888&lt;&gt;"",'All Cases - Enter Cases'!G888,"")</f>
        <v/>
      </c>
      <c r="H888" t="str">
        <f>IF($A888&lt;&gt;"",'All Cases - Enter Cases'!H888,"")</f>
        <v/>
      </c>
      <c r="I888" t="str">
        <f>IF($A888&lt;&gt;"",'All Cases - Enter Cases'!I888,"")</f>
        <v/>
      </c>
      <c r="J888" t="str">
        <f>IF($A888&lt;&gt;"",'All Cases - Enter Cases'!J888,"")</f>
        <v/>
      </c>
      <c r="K888" t="str">
        <f>IF($A888&lt;&gt;"",'All Cases - Enter Cases'!K888,"")</f>
        <v/>
      </c>
      <c r="L888" t="str">
        <f>IF($A888&lt;&gt;"",'All Cases - Enter Cases'!L888,"")</f>
        <v/>
      </c>
      <c r="M888" t="str">
        <f>IF($A888&lt;&gt;"",'All Cases - Enter Cases'!M888,"")</f>
        <v/>
      </c>
    </row>
    <row r="889" spans="1:13" x14ac:dyDescent="0.35">
      <c r="A889" t="str">
        <f>IF('All Cases - Enter Cases'!$F889="Balochistan",'All Cases - Enter Cases'!A889,"")</f>
        <v/>
      </c>
      <c r="B889" t="str">
        <f>IF($A889&lt;&gt;"",'All Cases - Enter Cases'!B889,"")</f>
        <v/>
      </c>
      <c r="C889" t="str">
        <f>IF($A889&lt;&gt;"",'All Cases - Enter Cases'!C889,"")</f>
        <v/>
      </c>
      <c r="D889" t="str">
        <f>IF($A889&lt;&gt;"",'All Cases - Enter Cases'!D889,"")</f>
        <v/>
      </c>
      <c r="E889" t="str">
        <f>IF($A889&lt;&gt;"",'All Cases - Enter Cases'!E889,"")</f>
        <v/>
      </c>
      <c r="F889" t="str">
        <f>IF($A889&lt;&gt;"",'All Cases - Enter Cases'!F889,"")</f>
        <v/>
      </c>
      <c r="G889" t="str">
        <f>IF($A889&lt;&gt;"",'All Cases - Enter Cases'!G889,"")</f>
        <v/>
      </c>
      <c r="H889" t="str">
        <f>IF($A889&lt;&gt;"",'All Cases - Enter Cases'!H889,"")</f>
        <v/>
      </c>
      <c r="I889" t="str">
        <f>IF($A889&lt;&gt;"",'All Cases - Enter Cases'!I889,"")</f>
        <v/>
      </c>
      <c r="J889" t="str">
        <f>IF($A889&lt;&gt;"",'All Cases - Enter Cases'!J889,"")</f>
        <v/>
      </c>
      <c r="K889" t="str">
        <f>IF($A889&lt;&gt;"",'All Cases - Enter Cases'!K889,"")</f>
        <v/>
      </c>
      <c r="L889" t="str">
        <f>IF($A889&lt;&gt;"",'All Cases - Enter Cases'!L889,"")</f>
        <v/>
      </c>
      <c r="M889" t="str">
        <f>IF($A889&lt;&gt;"",'All Cases - Enter Cases'!M889,"")</f>
        <v/>
      </c>
    </row>
    <row r="890" spans="1:13" x14ac:dyDescent="0.35">
      <c r="A890" t="str">
        <f>IF('All Cases - Enter Cases'!$F890="Balochistan",'All Cases - Enter Cases'!A890,"")</f>
        <v/>
      </c>
      <c r="B890" t="str">
        <f>IF($A890&lt;&gt;"",'All Cases - Enter Cases'!B890,"")</f>
        <v/>
      </c>
      <c r="C890" t="str">
        <f>IF($A890&lt;&gt;"",'All Cases - Enter Cases'!C890,"")</f>
        <v/>
      </c>
      <c r="D890" t="str">
        <f>IF($A890&lt;&gt;"",'All Cases - Enter Cases'!D890,"")</f>
        <v/>
      </c>
      <c r="E890" t="str">
        <f>IF($A890&lt;&gt;"",'All Cases - Enter Cases'!E890,"")</f>
        <v/>
      </c>
      <c r="F890" t="str">
        <f>IF($A890&lt;&gt;"",'All Cases - Enter Cases'!F890,"")</f>
        <v/>
      </c>
      <c r="G890" t="str">
        <f>IF($A890&lt;&gt;"",'All Cases - Enter Cases'!G890,"")</f>
        <v/>
      </c>
      <c r="H890" t="str">
        <f>IF($A890&lt;&gt;"",'All Cases - Enter Cases'!H890,"")</f>
        <v/>
      </c>
      <c r="I890" t="str">
        <f>IF($A890&lt;&gt;"",'All Cases - Enter Cases'!I890,"")</f>
        <v/>
      </c>
      <c r="J890" t="str">
        <f>IF($A890&lt;&gt;"",'All Cases - Enter Cases'!J890,"")</f>
        <v/>
      </c>
      <c r="K890" t="str">
        <f>IF($A890&lt;&gt;"",'All Cases - Enter Cases'!K890,"")</f>
        <v/>
      </c>
      <c r="L890" t="str">
        <f>IF($A890&lt;&gt;"",'All Cases - Enter Cases'!L890,"")</f>
        <v/>
      </c>
      <c r="M890" t="str">
        <f>IF($A890&lt;&gt;"",'All Cases - Enter Cases'!M890,"")</f>
        <v/>
      </c>
    </row>
    <row r="891" spans="1:13" x14ac:dyDescent="0.35">
      <c r="A891" t="str">
        <f>IF('All Cases - Enter Cases'!$F891="Balochistan",'All Cases - Enter Cases'!A891,"")</f>
        <v/>
      </c>
      <c r="B891" t="str">
        <f>IF($A891&lt;&gt;"",'All Cases - Enter Cases'!B891,"")</f>
        <v/>
      </c>
      <c r="C891" t="str">
        <f>IF($A891&lt;&gt;"",'All Cases - Enter Cases'!C891,"")</f>
        <v/>
      </c>
      <c r="D891" t="str">
        <f>IF($A891&lt;&gt;"",'All Cases - Enter Cases'!D891,"")</f>
        <v/>
      </c>
      <c r="E891" t="str">
        <f>IF($A891&lt;&gt;"",'All Cases - Enter Cases'!E891,"")</f>
        <v/>
      </c>
      <c r="F891" t="str">
        <f>IF($A891&lt;&gt;"",'All Cases - Enter Cases'!F891,"")</f>
        <v/>
      </c>
      <c r="G891" t="str">
        <f>IF($A891&lt;&gt;"",'All Cases - Enter Cases'!G891,"")</f>
        <v/>
      </c>
      <c r="H891" t="str">
        <f>IF($A891&lt;&gt;"",'All Cases - Enter Cases'!H891,"")</f>
        <v/>
      </c>
      <c r="I891" t="str">
        <f>IF($A891&lt;&gt;"",'All Cases - Enter Cases'!I891,"")</f>
        <v/>
      </c>
      <c r="J891" t="str">
        <f>IF($A891&lt;&gt;"",'All Cases - Enter Cases'!J891,"")</f>
        <v/>
      </c>
      <c r="K891" t="str">
        <f>IF($A891&lt;&gt;"",'All Cases - Enter Cases'!K891,"")</f>
        <v/>
      </c>
      <c r="L891" t="str">
        <f>IF($A891&lt;&gt;"",'All Cases - Enter Cases'!L891,"")</f>
        <v/>
      </c>
      <c r="M891" t="str">
        <f>IF($A891&lt;&gt;"",'All Cases - Enter Cases'!M891,"")</f>
        <v/>
      </c>
    </row>
    <row r="892" spans="1:13" x14ac:dyDescent="0.35">
      <c r="A892" t="str">
        <f>IF('All Cases - Enter Cases'!$F892="Balochistan",'All Cases - Enter Cases'!A892,"")</f>
        <v/>
      </c>
      <c r="B892" t="str">
        <f>IF($A892&lt;&gt;"",'All Cases - Enter Cases'!B892,"")</f>
        <v/>
      </c>
      <c r="C892" t="str">
        <f>IF($A892&lt;&gt;"",'All Cases - Enter Cases'!C892,"")</f>
        <v/>
      </c>
      <c r="D892" t="str">
        <f>IF($A892&lt;&gt;"",'All Cases - Enter Cases'!D892,"")</f>
        <v/>
      </c>
      <c r="E892" t="str">
        <f>IF($A892&lt;&gt;"",'All Cases - Enter Cases'!E892,"")</f>
        <v/>
      </c>
      <c r="F892" t="str">
        <f>IF($A892&lt;&gt;"",'All Cases - Enter Cases'!F892,"")</f>
        <v/>
      </c>
      <c r="G892" t="str">
        <f>IF($A892&lt;&gt;"",'All Cases - Enter Cases'!G892,"")</f>
        <v/>
      </c>
      <c r="H892" t="str">
        <f>IF($A892&lt;&gt;"",'All Cases - Enter Cases'!H892,"")</f>
        <v/>
      </c>
      <c r="I892" t="str">
        <f>IF($A892&lt;&gt;"",'All Cases - Enter Cases'!I892,"")</f>
        <v/>
      </c>
      <c r="J892" t="str">
        <f>IF($A892&lt;&gt;"",'All Cases - Enter Cases'!J892,"")</f>
        <v/>
      </c>
      <c r="K892" t="str">
        <f>IF($A892&lt;&gt;"",'All Cases - Enter Cases'!K892,"")</f>
        <v/>
      </c>
      <c r="L892" t="str">
        <f>IF($A892&lt;&gt;"",'All Cases - Enter Cases'!L892,"")</f>
        <v/>
      </c>
      <c r="M892" t="str">
        <f>IF($A892&lt;&gt;"",'All Cases - Enter Cases'!M892,"")</f>
        <v/>
      </c>
    </row>
    <row r="893" spans="1:13" x14ac:dyDescent="0.35">
      <c r="A893" t="str">
        <f>IF('All Cases - Enter Cases'!$F893="Balochistan",'All Cases - Enter Cases'!A893,"")</f>
        <v/>
      </c>
      <c r="B893" t="str">
        <f>IF($A893&lt;&gt;"",'All Cases - Enter Cases'!B893,"")</f>
        <v/>
      </c>
      <c r="C893" t="str">
        <f>IF($A893&lt;&gt;"",'All Cases - Enter Cases'!C893,"")</f>
        <v/>
      </c>
      <c r="D893" t="str">
        <f>IF($A893&lt;&gt;"",'All Cases - Enter Cases'!D893,"")</f>
        <v/>
      </c>
      <c r="E893" t="str">
        <f>IF($A893&lt;&gt;"",'All Cases - Enter Cases'!E893,"")</f>
        <v/>
      </c>
      <c r="F893" t="str">
        <f>IF($A893&lt;&gt;"",'All Cases - Enter Cases'!F893,"")</f>
        <v/>
      </c>
      <c r="G893" t="str">
        <f>IF($A893&lt;&gt;"",'All Cases - Enter Cases'!G893,"")</f>
        <v/>
      </c>
      <c r="H893" t="str">
        <f>IF($A893&lt;&gt;"",'All Cases - Enter Cases'!H893,"")</f>
        <v/>
      </c>
      <c r="I893" t="str">
        <f>IF($A893&lt;&gt;"",'All Cases - Enter Cases'!I893,"")</f>
        <v/>
      </c>
      <c r="J893" t="str">
        <f>IF($A893&lt;&gt;"",'All Cases - Enter Cases'!J893,"")</f>
        <v/>
      </c>
      <c r="K893" t="str">
        <f>IF($A893&lt;&gt;"",'All Cases - Enter Cases'!K893,"")</f>
        <v/>
      </c>
      <c r="L893" t="str">
        <f>IF($A893&lt;&gt;"",'All Cases - Enter Cases'!L893,"")</f>
        <v/>
      </c>
      <c r="M893" t="str">
        <f>IF($A893&lt;&gt;"",'All Cases - Enter Cases'!M893,"")</f>
        <v/>
      </c>
    </row>
    <row r="894" spans="1:13" x14ac:dyDescent="0.35">
      <c r="A894" t="str">
        <f>IF('All Cases - Enter Cases'!$F894="Balochistan",'All Cases - Enter Cases'!A894,"")</f>
        <v/>
      </c>
      <c r="B894" t="str">
        <f>IF($A894&lt;&gt;"",'All Cases - Enter Cases'!B894,"")</f>
        <v/>
      </c>
      <c r="C894" t="str">
        <f>IF($A894&lt;&gt;"",'All Cases - Enter Cases'!C894,"")</f>
        <v/>
      </c>
      <c r="D894" t="str">
        <f>IF($A894&lt;&gt;"",'All Cases - Enter Cases'!D894,"")</f>
        <v/>
      </c>
      <c r="E894" t="str">
        <f>IF($A894&lt;&gt;"",'All Cases - Enter Cases'!E894,"")</f>
        <v/>
      </c>
      <c r="F894" t="str">
        <f>IF($A894&lt;&gt;"",'All Cases - Enter Cases'!F894,"")</f>
        <v/>
      </c>
      <c r="G894" t="str">
        <f>IF($A894&lt;&gt;"",'All Cases - Enter Cases'!G894,"")</f>
        <v/>
      </c>
      <c r="H894" t="str">
        <f>IF($A894&lt;&gt;"",'All Cases - Enter Cases'!H894,"")</f>
        <v/>
      </c>
      <c r="I894" t="str">
        <f>IF($A894&lt;&gt;"",'All Cases - Enter Cases'!I894,"")</f>
        <v/>
      </c>
      <c r="J894" t="str">
        <f>IF($A894&lt;&gt;"",'All Cases - Enter Cases'!J894,"")</f>
        <v/>
      </c>
      <c r="K894" t="str">
        <f>IF($A894&lt;&gt;"",'All Cases - Enter Cases'!K894,"")</f>
        <v/>
      </c>
      <c r="L894" t="str">
        <f>IF($A894&lt;&gt;"",'All Cases - Enter Cases'!L894,"")</f>
        <v/>
      </c>
      <c r="M894" t="str">
        <f>IF($A894&lt;&gt;"",'All Cases - Enter Cases'!M894,"")</f>
        <v/>
      </c>
    </row>
    <row r="895" spans="1:13" x14ac:dyDescent="0.35">
      <c r="A895" t="str">
        <f>IF('All Cases - Enter Cases'!$F895="Balochistan",'All Cases - Enter Cases'!A895,"")</f>
        <v/>
      </c>
      <c r="B895" t="str">
        <f>IF($A895&lt;&gt;"",'All Cases - Enter Cases'!B895,"")</f>
        <v/>
      </c>
      <c r="C895" t="str">
        <f>IF($A895&lt;&gt;"",'All Cases - Enter Cases'!C895,"")</f>
        <v/>
      </c>
      <c r="D895" t="str">
        <f>IF($A895&lt;&gt;"",'All Cases - Enter Cases'!D895,"")</f>
        <v/>
      </c>
      <c r="E895" t="str">
        <f>IF($A895&lt;&gt;"",'All Cases - Enter Cases'!E895,"")</f>
        <v/>
      </c>
      <c r="F895" t="str">
        <f>IF($A895&lt;&gt;"",'All Cases - Enter Cases'!F895,"")</f>
        <v/>
      </c>
      <c r="G895" t="str">
        <f>IF($A895&lt;&gt;"",'All Cases - Enter Cases'!G895,"")</f>
        <v/>
      </c>
      <c r="H895" t="str">
        <f>IF($A895&lt;&gt;"",'All Cases - Enter Cases'!H895,"")</f>
        <v/>
      </c>
      <c r="I895" t="str">
        <f>IF($A895&lt;&gt;"",'All Cases - Enter Cases'!I895,"")</f>
        <v/>
      </c>
      <c r="J895" t="str">
        <f>IF($A895&lt;&gt;"",'All Cases - Enter Cases'!J895,"")</f>
        <v/>
      </c>
      <c r="K895" t="str">
        <f>IF($A895&lt;&gt;"",'All Cases - Enter Cases'!K895,"")</f>
        <v/>
      </c>
      <c r="L895" t="str">
        <f>IF($A895&lt;&gt;"",'All Cases - Enter Cases'!L895,"")</f>
        <v/>
      </c>
      <c r="M895" t="str">
        <f>IF($A895&lt;&gt;"",'All Cases - Enter Cases'!M895,"")</f>
        <v/>
      </c>
    </row>
    <row r="896" spans="1:13" x14ac:dyDescent="0.35">
      <c r="A896" t="str">
        <f>IF('All Cases - Enter Cases'!$F896="Balochistan",'All Cases - Enter Cases'!A896,"")</f>
        <v/>
      </c>
      <c r="B896" t="str">
        <f>IF($A896&lt;&gt;"",'All Cases - Enter Cases'!B896,"")</f>
        <v/>
      </c>
      <c r="C896" t="str">
        <f>IF($A896&lt;&gt;"",'All Cases - Enter Cases'!C896,"")</f>
        <v/>
      </c>
      <c r="D896" t="str">
        <f>IF($A896&lt;&gt;"",'All Cases - Enter Cases'!D896,"")</f>
        <v/>
      </c>
      <c r="E896" t="str">
        <f>IF($A896&lt;&gt;"",'All Cases - Enter Cases'!E896,"")</f>
        <v/>
      </c>
      <c r="F896" t="str">
        <f>IF($A896&lt;&gt;"",'All Cases - Enter Cases'!F896,"")</f>
        <v/>
      </c>
      <c r="G896" t="str">
        <f>IF($A896&lt;&gt;"",'All Cases - Enter Cases'!G896,"")</f>
        <v/>
      </c>
      <c r="H896" t="str">
        <f>IF($A896&lt;&gt;"",'All Cases - Enter Cases'!H896,"")</f>
        <v/>
      </c>
      <c r="I896" t="str">
        <f>IF($A896&lt;&gt;"",'All Cases - Enter Cases'!I896,"")</f>
        <v/>
      </c>
      <c r="J896" t="str">
        <f>IF($A896&lt;&gt;"",'All Cases - Enter Cases'!J896,"")</f>
        <v/>
      </c>
      <c r="K896" t="str">
        <f>IF($A896&lt;&gt;"",'All Cases - Enter Cases'!K896,"")</f>
        <v/>
      </c>
      <c r="L896" t="str">
        <f>IF($A896&lt;&gt;"",'All Cases - Enter Cases'!L896,"")</f>
        <v/>
      </c>
      <c r="M896" t="str">
        <f>IF($A896&lt;&gt;"",'All Cases - Enter Cases'!M896,"")</f>
        <v/>
      </c>
    </row>
    <row r="897" spans="1:13" x14ac:dyDescent="0.35">
      <c r="A897" t="str">
        <f>IF('All Cases - Enter Cases'!$F897="Balochistan",'All Cases - Enter Cases'!A897,"")</f>
        <v/>
      </c>
      <c r="B897" t="str">
        <f>IF($A897&lt;&gt;"",'All Cases - Enter Cases'!B897,"")</f>
        <v/>
      </c>
      <c r="C897" t="str">
        <f>IF($A897&lt;&gt;"",'All Cases - Enter Cases'!C897,"")</f>
        <v/>
      </c>
      <c r="D897" t="str">
        <f>IF($A897&lt;&gt;"",'All Cases - Enter Cases'!D897,"")</f>
        <v/>
      </c>
      <c r="E897" t="str">
        <f>IF($A897&lt;&gt;"",'All Cases - Enter Cases'!E897,"")</f>
        <v/>
      </c>
      <c r="F897" t="str">
        <f>IF($A897&lt;&gt;"",'All Cases - Enter Cases'!F897,"")</f>
        <v/>
      </c>
      <c r="G897" t="str">
        <f>IF($A897&lt;&gt;"",'All Cases - Enter Cases'!G897,"")</f>
        <v/>
      </c>
      <c r="H897" t="str">
        <f>IF($A897&lt;&gt;"",'All Cases - Enter Cases'!H897,"")</f>
        <v/>
      </c>
      <c r="I897" t="str">
        <f>IF($A897&lt;&gt;"",'All Cases - Enter Cases'!I897,"")</f>
        <v/>
      </c>
      <c r="J897" t="str">
        <f>IF($A897&lt;&gt;"",'All Cases - Enter Cases'!J897,"")</f>
        <v/>
      </c>
      <c r="K897" t="str">
        <f>IF($A897&lt;&gt;"",'All Cases - Enter Cases'!K897,"")</f>
        <v/>
      </c>
      <c r="L897" t="str">
        <f>IF($A897&lt;&gt;"",'All Cases - Enter Cases'!L897,"")</f>
        <v/>
      </c>
      <c r="M897" t="str">
        <f>IF($A897&lt;&gt;"",'All Cases - Enter Cases'!M897,"")</f>
        <v/>
      </c>
    </row>
    <row r="898" spans="1:13" x14ac:dyDescent="0.35">
      <c r="A898" t="str">
        <f>IF('All Cases - Enter Cases'!$F898="Balochistan",'All Cases - Enter Cases'!A898,"")</f>
        <v/>
      </c>
      <c r="B898" t="str">
        <f>IF($A898&lt;&gt;"",'All Cases - Enter Cases'!B898,"")</f>
        <v/>
      </c>
      <c r="C898" t="str">
        <f>IF($A898&lt;&gt;"",'All Cases - Enter Cases'!C898,"")</f>
        <v/>
      </c>
      <c r="D898" t="str">
        <f>IF($A898&lt;&gt;"",'All Cases - Enter Cases'!D898,"")</f>
        <v/>
      </c>
      <c r="E898" t="str">
        <f>IF($A898&lt;&gt;"",'All Cases - Enter Cases'!E898,"")</f>
        <v/>
      </c>
      <c r="F898" t="str">
        <f>IF($A898&lt;&gt;"",'All Cases - Enter Cases'!F898,"")</f>
        <v/>
      </c>
      <c r="G898" t="str">
        <f>IF($A898&lt;&gt;"",'All Cases - Enter Cases'!G898,"")</f>
        <v/>
      </c>
      <c r="H898" t="str">
        <f>IF($A898&lt;&gt;"",'All Cases - Enter Cases'!H898,"")</f>
        <v/>
      </c>
      <c r="I898" t="str">
        <f>IF($A898&lt;&gt;"",'All Cases - Enter Cases'!I898,"")</f>
        <v/>
      </c>
      <c r="J898" t="str">
        <f>IF($A898&lt;&gt;"",'All Cases - Enter Cases'!J898,"")</f>
        <v/>
      </c>
      <c r="K898" t="str">
        <f>IF($A898&lt;&gt;"",'All Cases - Enter Cases'!K898,"")</f>
        <v/>
      </c>
      <c r="L898" t="str">
        <f>IF($A898&lt;&gt;"",'All Cases - Enter Cases'!L898,"")</f>
        <v/>
      </c>
      <c r="M898" t="str">
        <f>IF($A898&lt;&gt;"",'All Cases - Enter Cases'!M898,"")</f>
        <v/>
      </c>
    </row>
    <row r="899" spans="1:13" x14ac:dyDescent="0.35">
      <c r="A899" t="str">
        <f>IF('All Cases - Enter Cases'!$F899="Balochistan",'All Cases - Enter Cases'!A899,"")</f>
        <v/>
      </c>
      <c r="B899" t="str">
        <f>IF($A899&lt;&gt;"",'All Cases - Enter Cases'!B899,"")</f>
        <v/>
      </c>
      <c r="C899" t="str">
        <f>IF($A899&lt;&gt;"",'All Cases - Enter Cases'!C899,"")</f>
        <v/>
      </c>
      <c r="D899" t="str">
        <f>IF($A899&lt;&gt;"",'All Cases - Enter Cases'!D899,"")</f>
        <v/>
      </c>
      <c r="E899" t="str">
        <f>IF($A899&lt;&gt;"",'All Cases - Enter Cases'!E899,"")</f>
        <v/>
      </c>
      <c r="F899" t="str">
        <f>IF($A899&lt;&gt;"",'All Cases - Enter Cases'!F899,"")</f>
        <v/>
      </c>
      <c r="G899" t="str">
        <f>IF($A899&lt;&gt;"",'All Cases - Enter Cases'!G899,"")</f>
        <v/>
      </c>
      <c r="H899" t="str">
        <f>IF($A899&lt;&gt;"",'All Cases - Enter Cases'!H899,"")</f>
        <v/>
      </c>
      <c r="I899" t="str">
        <f>IF($A899&lt;&gt;"",'All Cases - Enter Cases'!I899,"")</f>
        <v/>
      </c>
      <c r="J899" t="str">
        <f>IF($A899&lt;&gt;"",'All Cases - Enter Cases'!J899,"")</f>
        <v/>
      </c>
      <c r="K899" t="str">
        <f>IF($A899&lt;&gt;"",'All Cases - Enter Cases'!K899,"")</f>
        <v/>
      </c>
      <c r="L899" t="str">
        <f>IF($A899&lt;&gt;"",'All Cases - Enter Cases'!L899,"")</f>
        <v/>
      </c>
      <c r="M899" t="str">
        <f>IF($A899&lt;&gt;"",'All Cases - Enter Cases'!M899,"")</f>
        <v/>
      </c>
    </row>
    <row r="900" spans="1:13" x14ac:dyDescent="0.35">
      <c r="A900" t="str">
        <f>IF('All Cases - Enter Cases'!$F900="Balochistan",'All Cases - Enter Cases'!A900,"")</f>
        <v/>
      </c>
      <c r="B900" t="str">
        <f>IF($A900&lt;&gt;"",'All Cases - Enter Cases'!B900,"")</f>
        <v/>
      </c>
      <c r="C900" t="str">
        <f>IF($A900&lt;&gt;"",'All Cases - Enter Cases'!C900,"")</f>
        <v/>
      </c>
      <c r="D900" t="str">
        <f>IF($A900&lt;&gt;"",'All Cases - Enter Cases'!D900,"")</f>
        <v/>
      </c>
      <c r="E900" t="str">
        <f>IF($A900&lt;&gt;"",'All Cases - Enter Cases'!E900,"")</f>
        <v/>
      </c>
      <c r="F900" t="str">
        <f>IF($A900&lt;&gt;"",'All Cases - Enter Cases'!F900,"")</f>
        <v/>
      </c>
      <c r="G900" t="str">
        <f>IF($A900&lt;&gt;"",'All Cases - Enter Cases'!G900,"")</f>
        <v/>
      </c>
      <c r="H900" t="str">
        <f>IF($A900&lt;&gt;"",'All Cases - Enter Cases'!H900,"")</f>
        <v/>
      </c>
      <c r="I900" t="str">
        <f>IF($A900&lt;&gt;"",'All Cases - Enter Cases'!I900,"")</f>
        <v/>
      </c>
      <c r="J900" t="str">
        <f>IF($A900&lt;&gt;"",'All Cases - Enter Cases'!J900,"")</f>
        <v/>
      </c>
      <c r="K900" t="str">
        <f>IF($A900&lt;&gt;"",'All Cases - Enter Cases'!K900,"")</f>
        <v/>
      </c>
      <c r="L900" t="str">
        <f>IF($A900&lt;&gt;"",'All Cases - Enter Cases'!L900,"")</f>
        <v/>
      </c>
      <c r="M900" t="str">
        <f>IF($A900&lt;&gt;"",'All Cases - Enter Cases'!M900,"")</f>
        <v/>
      </c>
    </row>
    <row r="901" spans="1:13" x14ac:dyDescent="0.35">
      <c r="A901" t="str">
        <f>IF('All Cases - Enter Cases'!$F901="Balochistan",'All Cases - Enter Cases'!A901,"")</f>
        <v/>
      </c>
      <c r="B901" t="str">
        <f>IF($A901&lt;&gt;"",'All Cases - Enter Cases'!B901,"")</f>
        <v/>
      </c>
      <c r="C901" t="str">
        <f>IF($A901&lt;&gt;"",'All Cases - Enter Cases'!C901,"")</f>
        <v/>
      </c>
      <c r="D901" t="str">
        <f>IF($A901&lt;&gt;"",'All Cases - Enter Cases'!D901,"")</f>
        <v/>
      </c>
      <c r="E901" t="str">
        <f>IF($A901&lt;&gt;"",'All Cases - Enter Cases'!E901,"")</f>
        <v/>
      </c>
      <c r="F901" t="str">
        <f>IF($A901&lt;&gt;"",'All Cases - Enter Cases'!F901,"")</f>
        <v/>
      </c>
      <c r="G901" t="str">
        <f>IF($A901&lt;&gt;"",'All Cases - Enter Cases'!G901,"")</f>
        <v/>
      </c>
      <c r="H901" t="str">
        <f>IF($A901&lt;&gt;"",'All Cases - Enter Cases'!H901,"")</f>
        <v/>
      </c>
      <c r="I901" t="str">
        <f>IF($A901&lt;&gt;"",'All Cases - Enter Cases'!I901,"")</f>
        <v/>
      </c>
      <c r="J901" t="str">
        <f>IF($A901&lt;&gt;"",'All Cases - Enter Cases'!J901,"")</f>
        <v/>
      </c>
      <c r="K901" t="str">
        <f>IF($A901&lt;&gt;"",'All Cases - Enter Cases'!K901,"")</f>
        <v/>
      </c>
      <c r="L901" t="str">
        <f>IF($A901&lt;&gt;"",'All Cases - Enter Cases'!L901,"")</f>
        <v/>
      </c>
      <c r="M901" t="str">
        <f>IF($A901&lt;&gt;"",'All Cases - Enter Cases'!M901,"")</f>
        <v/>
      </c>
    </row>
    <row r="902" spans="1:13" x14ac:dyDescent="0.35">
      <c r="A902" t="str">
        <f>IF('All Cases - Enter Cases'!$F902="Balochistan",'All Cases - Enter Cases'!A902,"")</f>
        <v/>
      </c>
      <c r="B902" t="str">
        <f>IF($A902&lt;&gt;"",'All Cases - Enter Cases'!B902,"")</f>
        <v/>
      </c>
      <c r="C902" t="str">
        <f>IF($A902&lt;&gt;"",'All Cases - Enter Cases'!C902,"")</f>
        <v/>
      </c>
      <c r="D902" t="str">
        <f>IF($A902&lt;&gt;"",'All Cases - Enter Cases'!D902,"")</f>
        <v/>
      </c>
      <c r="E902" t="str">
        <f>IF($A902&lt;&gt;"",'All Cases - Enter Cases'!E902,"")</f>
        <v/>
      </c>
      <c r="F902" t="str">
        <f>IF($A902&lt;&gt;"",'All Cases - Enter Cases'!F902,"")</f>
        <v/>
      </c>
      <c r="G902" t="str">
        <f>IF($A902&lt;&gt;"",'All Cases - Enter Cases'!G902,"")</f>
        <v/>
      </c>
      <c r="H902" t="str">
        <f>IF($A902&lt;&gt;"",'All Cases - Enter Cases'!H902,"")</f>
        <v/>
      </c>
      <c r="I902" t="str">
        <f>IF($A902&lt;&gt;"",'All Cases - Enter Cases'!I902,"")</f>
        <v/>
      </c>
      <c r="J902" t="str">
        <f>IF($A902&lt;&gt;"",'All Cases - Enter Cases'!J902,"")</f>
        <v/>
      </c>
      <c r="K902" t="str">
        <f>IF($A902&lt;&gt;"",'All Cases - Enter Cases'!K902,"")</f>
        <v/>
      </c>
      <c r="L902" t="str">
        <f>IF($A902&lt;&gt;"",'All Cases - Enter Cases'!L902,"")</f>
        <v/>
      </c>
      <c r="M902" t="str">
        <f>IF($A902&lt;&gt;"",'All Cases - Enter Cases'!M902,"")</f>
        <v/>
      </c>
    </row>
    <row r="903" spans="1:13" x14ac:dyDescent="0.35">
      <c r="A903" t="str">
        <f>IF('All Cases - Enter Cases'!$F903="Balochistan",'All Cases - Enter Cases'!A903,"")</f>
        <v/>
      </c>
      <c r="B903" t="str">
        <f>IF($A903&lt;&gt;"",'All Cases - Enter Cases'!B903,"")</f>
        <v/>
      </c>
      <c r="C903" t="str">
        <f>IF($A903&lt;&gt;"",'All Cases - Enter Cases'!C903,"")</f>
        <v/>
      </c>
      <c r="D903" t="str">
        <f>IF($A903&lt;&gt;"",'All Cases - Enter Cases'!D903,"")</f>
        <v/>
      </c>
      <c r="E903" t="str">
        <f>IF($A903&lt;&gt;"",'All Cases - Enter Cases'!E903,"")</f>
        <v/>
      </c>
      <c r="F903" t="str">
        <f>IF($A903&lt;&gt;"",'All Cases - Enter Cases'!F903,"")</f>
        <v/>
      </c>
      <c r="G903" t="str">
        <f>IF($A903&lt;&gt;"",'All Cases - Enter Cases'!G903,"")</f>
        <v/>
      </c>
      <c r="H903" t="str">
        <f>IF($A903&lt;&gt;"",'All Cases - Enter Cases'!H903,"")</f>
        <v/>
      </c>
      <c r="I903" t="str">
        <f>IF($A903&lt;&gt;"",'All Cases - Enter Cases'!I903,"")</f>
        <v/>
      </c>
      <c r="J903" t="str">
        <f>IF($A903&lt;&gt;"",'All Cases - Enter Cases'!J903,"")</f>
        <v/>
      </c>
      <c r="K903" t="str">
        <f>IF($A903&lt;&gt;"",'All Cases - Enter Cases'!K903,"")</f>
        <v/>
      </c>
      <c r="L903" t="str">
        <f>IF($A903&lt;&gt;"",'All Cases - Enter Cases'!L903,"")</f>
        <v/>
      </c>
      <c r="M903" t="str">
        <f>IF($A903&lt;&gt;"",'All Cases - Enter Cases'!M903,"")</f>
        <v/>
      </c>
    </row>
    <row r="904" spans="1:13" x14ac:dyDescent="0.35">
      <c r="A904" t="str">
        <f>IF('All Cases - Enter Cases'!$F904="Balochistan",'All Cases - Enter Cases'!A904,"")</f>
        <v/>
      </c>
      <c r="B904" t="str">
        <f>IF($A904&lt;&gt;"",'All Cases - Enter Cases'!B904,"")</f>
        <v/>
      </c>
      <c r="C904" t="str">
        <f>IF($A904&lt;&gt;"",'All Cases - Enter Cases'!C904,"")</f>
        <v/>
      </c>
      <c r="D904" t="str">
        <f>IF($A904&lt;&gt;"",'All Cases - Enter Cases'!D904,"")</f>
        <v/>
      </c>
      <c r="E904" t="str">
        <f>IF($A904&lt;&gt;"",'All Cases - Enter Cases'!E904,"")</f>
        <v/>
      </c>
      <c r="F904" t="str">
        <f>IF($A904&lt;&gt;"",'All Cases - Enter Cases'!F904,"")</f>
        <v/>
      </c>
      <c r="G904" t="str">
        <f>IF($A904&lt;&gt;"",'All Cases - Enter Cases'!G904,"")</f>
        <v/>
      </c>
      <c r="H904" t="str">
        <f>IF($A904&lt;&gt;"",'All Cases - Enter Cases'!H904,"")</f>
        <v/>
      </c>
      <c r="I904" t="str">
        <f>IF($A904&lt;&gt;"",'All Cases - Enter Cases'!I904,"")</f>
        <v/>
      </c>
      <c r="J904" t="str">
        <f>IF($A904&lt;&gt;"",'All Cases - Enter Cases'!J904,"")</f>
        <v/>
      </c>
      <c r="K904" t="str">
        <f>IF($A904&lt;&gt;"",'All Cases - Enter Cases'!K904,"")</f>
        <v/>
      </c>
      <c r="L904" t="str">
        <f>IF($A904&lt;&gt;"",'All Cases - Enter Cases'!L904,"")</f>
        <v/>
      </c>
      <c r="M904" t="str">
        <f>IF($A904&lt;&gt;"",'All Cases - Enter Cases'!M904,"")</f>
        <v/>
      </c>
    </row>
    <row r="905" spans="1:13" x14ac:dyDescent="0.35">
      <c r="A905" t="str">
        <f>IF('All Cases - Enter Cases'!$F905="Balochistan",'All Cases - Enter Cases'!A905,"")</f>
        <v/>
      </c>
      <c r="B905" t="str">
        <f>IF($A905&lt;&gt;"",'All Cases - Enter Cases'!B905,"")</f>
        <v/>
      </c>
      <c r="C905" t="str">
        <f>IF($A905&lt;&gt;"",'All Cases - Enter Cases'!C905,"")</f>
        <v/>
      </c>
      <c r="D905" t="str">
        <f>IF($A905&lt;&gt;"",'All Cases - Enter Cases'!D905,"")</f>
        <v/>
      </c>
      <c r="E905" t="str">
        <f>IF($A905&lt;&gt;"",'All Cases - Enter Cases'!E905,"")</f>
        <v/>
      </c>
      <c r="F905" t="str">
        <f>IF($A905&lt;&gt;"",'All Cases - Enter Cases'!F905,"")</f>
        <v/>
      </c>
      <c r="G905" t="str">
        <f>IF($A905&lt;&gt;"",'All Cases - Enter Cases'!G905,"")</f>
        <v/>
      </c>
      <c r="H905" t="str">
        <f>IF($A905&lt;&gt;"",'All Cases - Enter Cases'!H905,"")</f>
        <v/>
      </c>
      <c r="I905" t="str">
        <f>IF($A905&lt;&gt;"",'All Cases - Enter Cases'!I905,"")</f>
        <v/>
      </c>
      <c r="J905" t="str">
        <f>IF($A905&lt;&gt;"",'All Cases - Enter Cases'!J905,"")</f>
        <v/>
      </c>
      <c r="K905" t="str">
        <f>IF($A905&lt;&gt;"",'All Cases - Enter Cases'!K905,"")</f>
        <v/>
      </c>
      <c r="L905" t="str">
        <f>IF($A905&lt;&gt;"",'All Cases - Enter Cases'!L905,"")</f>
        <v/>
      </c>
      <c r="M905" t="str">
        <f>IF($A905&lt;&gt;"",'All Cases - Enter Cases'!M905,"")</f>
        <v/>
      </c>
    </row>
    <row r="906" spans="1:13" x14ac:dyDescent="0.35">
      <c r="A906" t="str">
        <f>IF('All Cases - Enter Cases'!$F906="Balochistan",'All Cases - Enter Cases'!A906,"")</f>
        <v/>
      </c>
      <c r="B906" t="str">
        <f>IF($A906&lt;&gt;"",'All Cases - Enter Cases'!B906,"")</f>
        <v/>
      </c>
      <c r="C906" t="str">
        <f>IF($A906&lt;&gt;"",'All Cases - Enter Cases'!C906,"")</f>
        <v/>
      </c>
      <c r="D906" t="str">
        <f>IF($A906&lt;&gt;"",'All Cases - Enter Cases'!D906,"")</f>
        <v/>
      </c>
      <c r="E906" t="str">
        <f>IF($A906&lt;&gt;"",'All Cases - Enter Cases'!E906,"")</f>
        <v/>
      </c>
      <c r="F906" t="str">
        <f>IF($A906&lt;&gt;"",'All Cases - Enter Cases'!F906,"")</f>
        <v/>
      </c>
      <c r="G906" t="str">
        <f>IF($A906&lt;&gt;"",'All Cases - Enter Cases'!G906,"")</f>
        <v/>
      </c>
      <c r="H906" t="str">
        <f>IF($A906&lt;&gt;"",'All Cases - Enter Cases'!H906,"")</f>
        <v/>
      </c>
      <c r="I906" t="str">
        <f>IF($A906&lt;&gt;"",'All Cases - Enter Cases'!I906,"")</f>
        <v/>
      </c>
      <c r="J906" t="str">
        <f>IF($A906&lt;&gt;"",'All Cases - Enter Cases'!J906,"")</f>
        <v/>
      </c>
      <c r="K906" t="str">
        <f>IF($A906&lt;&gt;"",'All Cases - Enter Cases'!K906,"")</f>
        <v/>
      </c>
      <c r="L906" t="str">
        <f>IF($A906&lt;&gt;"",'All Cases - Enter Cases'!L906,"")</f>
        <v/>
      </c>
      <c r="M906" t="str">
        <f>IF($A906&lt;&gt;"",'All Cases - Enter Cases'!M906,"")</f>
        <v/>
      </c>
    </row>
    <row r="907" spans="1:13" x14ac:dyDescent="0.35">
      <c r="A907" t="str">
        <f>IF('All Cases - Enter Cases'!$F907="Balochistan",'All Cases - Enter Cases'!A907,"")</f>
        <v/>
      </c>
      <c r="B907" t="str">
        <f>IF($A907&lt;&gt;"",'All Cases - Enter Cases'!B907,"")</f>
        <v/>
      </c>
      <c r="C907" t="str">
        <f>IF($A907&lt;&gt;"",'All Cases - Enter Cases'!C907,"")</f>
        <v/>
      </c>
      <c r="D907" t="str">
        <f>IF($A907&lt;&gt;"",'All Cases - Enter Cases'!D907,"")</f>
        <v/>
      </c>
      <c r="E907" t="str">
        <f>IF($A907&lt;&gt;"",'All Cases - Enter Cases'!E907,"")</f>
        <v/>
      </c>
      <c r="F907" t="str">
        <f>IF($A907&lt;&gt;"",'All Cases - Enter Cases'!F907,"")</f>
        <v/>
      </c>
      <c r="G907" t="str">
        <f>IF($A907&lt;&gt;"",'All Cases - Enter Cases'!G907,"")</f>
        <v/>
      </c>
      <c r="H907" t="str">
        <f>IF($A907&lt;&gt;"",'All Cases - Enter Cases'!H907,"")</f>
        <v/>
      </c>
      <c r="I907" t="str">
        <f>IF($A907&lt;&gt;"",'All Cases - Enter Cases'!I907,"")</f>
        <v/>
      </c>
      <c r="J907" t="str">
        <f>IF($A907&lt;&gt;"",'All Cases - Enter Cases'!J907,"")</f>
        <v/>
      </c>
      <c r="K907" t="str">
        <f>IF($A907&lt;&gt;"",'All Cases - Enter Cases'!K907,"")</f>
        <v/>
      </c>
      <c r="L907" t="str">
        <f>IF($A907&lt;&gt;"",'All Cases - Enter Cases'!L907,"")</f>
        <v/>
      </c>
      <c r="M907" t="str">
        <f>IF($A907&lt;&gt;"",'All Cases - Enter Cases'!M907,"")</f>
        <v/>
      </c>
    </row>
    <row r="908" spans="1:13" x14ac:dyDescent="0.35">
      <c r="A908" t="str">
        <f>IF('All Cases - Enter Cases'!$F908="Balochistan",'All Cases - Enter Cases'!A908,"")</f>
        <v/>
      </c>
      <c r="B908" t="str">
        <f>IF($A908&lt;&gt;"",'All Cases - Enter Cases'!B908,"")</f>
        <v/>
      </c>
      <c r="C908" t="str">
        <f>IF($A908&lt;&gt;"",'All Cases - Enter Cases'!C908,"")</f>
        <v/>
      </c>
      <c r="D908" t="str">
        <f>IF($A908&lt;&gt;"",'All Cases - Enter Cases'!D908,"")</f>
        <v/>
      </c>
      <c r="E908" t="str">
        <f>IF($A908&lt;&gt;"",'All Cases - Enter Cases'!E908,"")</f>
        <v/>
      </c>
      <c r="F908" t="str">
        <f>IF($A908&lt;&gt;"",'All Cases - Enter Cases'!F908,"")</f>
        <v/>
      </c>
      <c r="G908" t="str">
        <f>IF($A908&lt;&gt;"",'All Cases - Enter Cases'!G908,"")</f>
        <v/>
      </c>
      <c r="H908" t="str">
        <f>IF($A908&lt;&gt;"",'All Cases - Enter Cases'!H908,"")</f>
        <v/>
      </c>
      <c r="I908" t="str">
        <f>IF($A908&lt;&gt;"",'All Cases - Enter Cases'!I908,"")</f>
        <v/>
      </c>
      <c r="J908" t="str">
        <f>IF($A908&lt;&gt;"",'All Cases - Enter Cases'!J908,"")</f>
        <v/>
      </c>
      <c r="K908" t="str">
        <f>IF($A908&lt;&gt;"",'All Cases - Enter Cases'!K908,"")</f>
        <v/>
      </c>
      <c r="L908" t="str">
        <f>IF($A908&lt;&gt;"",'All Cases - Enter Cases'!L908,"")</f>
        <v/>
      </c>
      <c r="M908" t="str">
        <f>IF($A908&lt;&gt;"",'All Cases - Enter Cases'!M908,"")</f>
        <v/>
      </c>
    </row>
    <row r="909" spans="1:13" x14ac:dyDescent="0.35">
      <c r="A909" t="str">
        <f>IF('All Cases - Enter Cases'!$F909="Balochistan",'All Cases - Enter Cases'!A909,"")</f>
        <v/>
      </c>
      <c r="B909" t="str">
        <f>IF($A909&lt;&gt;"",'All Cases - Enter Cases'!B909,"")</f>
        <v/>
      </c>
      <c r="C909" t="str">
        <f>IF($A909&lt;&gt;"",'All Cases - Enter Cases'!C909,"")</f>
        <v/>
      </c>
      <c r="D909" t="str">
        <f>IF($A909&lt;&gt;"",'All Cases - Enter Cases'!D909,"")</f>
        <v/>
      </c>
      <c r="E909" t="str">
        <f>IF($A909&lt;&gt;"",'All Cases - Enter Cases'!E909,"")</f>
        <v/>
      </c>
      <c r="F909" t="str">
        <f>IF($A909&lt;&gt;"",'All Cases - Enter Cases'!F909,"")</f>
        <v/>
      </c>
      <c r="G909" t="str">
        <f>IF($A909&lt;&gt;"",'All Cases - Enter Cases'!G909,"")</f>
        <v/>
      </c>
      <c r="H909" t="str">
        <f>IF($A909&lt;&gt;"",'All Cases - Enter Cases'!H909,"")</f>
        <v/>
      </c>
      <c r="I909" t="str">
        <f>IF($A909&lt;&gt;"",'All Cases - Enter Cases'!I909,"")</f>
        <v/>
      </c>
      <c r="J909" t="str">
        <f>IF($A909&lt;&gt;"",'All Cases - Enter Cases'!J909,"")</f>
        <v/>
      </c>
      <c r="K909" t="str">
        <f>IF($A909&lt;&gt;"",'All Cases - Enter Cases'!K909,"")</f>
        <v/>
      </c>
      <c r="L909" t="str">
        <f>IF($A909&lt;&gt;"",'All Cases - Enter Cases'!L909,"")</f>
        <v/>
      </c>
      <c r="M909" t="str">
        <f>IF($A909&lt;&gt;"",'All Cases - Enter Cases'!M909,"")</f>
        <v/>
      </c>
    </row>
    <row r="910" spans="1:13" x14ac:dyDescent="0.35">
      <c r="A910" t="str">
        <f>IF('All Cases - Enter Cases'!$F910="Balochistan",'All Cases - Enter Cases'!A910,"")</f>
        <v/>
      </c>
      <c r="B910" t="str">
        <f>IF($A910&lt;&gt;"",'All Cases - Enter Cases'!B910,"")</f>
        <v/>
      </c>
      <c r="C910" t="str">
        <f>IF($A910&lt;&gt;"",'All Cases - Enter Cases'!C910,"")</f>
        <v/>
      </c>
      <c r="D910" t="str">
        <f>IF($A910&lt;&gt;"",'All Cases - Enter Cases'!D910,"")</f>
        <v/>
      </c>
      <c r="E910" t="str">
        <f>IF($A910&lt;&gt;"",'All Cases - Enter Cases'!E910,"")</f>
        <v/>
      </c>
      <c r="F910" t="str">
        <f>IF($A910&lt;&gt;"",'All Cases - Enter Cases'!F910,"")</f>
        <v/>
      </c>
      <c r="G910" t="str">
        <f>IF($A910&lt;&gt;"",'All Cases - Enter Cases'!G910,"")</f>
        <v/>
      </c>
      <c r="H910" t="str">
        <f>IF($A910&lt;&gt;"",'All Cases - Enter Cases'!H910,"")</f>
        <v/>
      </c>
      <c r="I910" t="str">
        <f>IF($A910&lt;&gt;"",'All Cases - Enter Cases'!I910,"")</f>
        <v/>
      </c>
      <c r="J910" t="str">
        <f>IF($A910&lt;&gt;"",'All Cases - Enter Cases'!J910,"")</f>
        <v/>
      </c>
      <c r="K910" t="str">
        <f>IF($A910&lt;&gt;"",'All Cases - Enter Cases'!K910,"")</f>
        <v/>
      </c>
      <c r="L910" t="str">
        <f>IF($A910&lt;&gt;"",'All Cases - Enter Cases'!L910,"")</f>
        <v/>
      </c>
      <c r="M910" t="str">
        <f>IF($A910&lt;&gt;"",'All Cases - Enter Cases'!M910,"")</f>
        <v/>
      </c>
    </row>
    <row r="911" spans="1:13" x14ac:dyDescent="0.35">
      <c r="A911" t="str">
        <f>IF('All Cases - Enter Cases'!$F911="Balochistan",'All Cases - Enter Cases'!A911,"")</f>
        <v/>
      </c>
      <c r="B911" t="str">
        <f>IF($A911&lt;&gt;"",'All Cases - Enter Cases'!B911,"")</f>
        <v/>
      </c>
      <c r="C911" t="str">
        <f>IF($A911&lt;&gt;"",'All Cases - Enter Cases'!C911,"")</f>
        <v/>
      </c>
      <c r="D911" t="str">
        <f>IF($A911&lt;&gt;"",'All Cases - Enter Cases'!D911,"")</f>
        <v/>
      </c>
      <c r="E911" t="str">
        <f>IF($A911&lt;&gt;"",'All Cases - Enter Cases'!E911,"")</f>
        <v/>
      </c>
      <c r="F911" t="str">
        <f>IF($A911&lt;&gt;"",'All Cases - Enter Cases'!F911,"")</f>
        <v/>
      </c>
      <c r="G911" t="str">
        <f>IF($A911&lt;&gt;"",'All Cases - Enter Cases'!G911,"")</f>
        <v/>
      </c>
      <c r="H911" t="str">
        <f>IF($A911&lt;&gt;"",'All Cases - Enter Cases'!H911,"")</f>
        <v/>
      </c>
      <c r="I911" t="str">
        <f>IF($A911&lt;&gt;"",'All Cases - Enter Cases'!I911,"")</f>
        <v/>
      </c>
      <c r="J911" t="str">
        <f>IF($A911&lt;&gt;"",'All Cases - Enter Cases'!J911,"")</f>
        <v/>
      </c>
      <c r="K911" t="str">
        <f>IF($A911&lt;&gt;"",'All Cases - Enter Cases'!K911,"")</f>
        <v/>
      </c>
      <c r="L911" t="str">
        <f>IF($A911&lt;&gt;"",'All Cases - Enter Cases'!L911,"")</f>
        <v/>
      </c>
      <c r="M911" t="str">
        <f>IF($A911&lt;&gt;"",'All Cases - Enter Cases'!M911,"")</f>
        <v/>
      </c>
    </row>
    <row r="912" spans="1:13" x14ac:dyDescent="0.35">
      <c r="A912" t="str">
        <f>IF('All Cases - Enter Cases'!$F912="Balochistan",'All Cases - Enter Cases'!A912,"")</f>
        <v/>
      </c>
      <c r="B912" t="str">
        <f>IF($A912&lt;&gt;"",'All Cases - Enter Cases'!B912,"")</f>
        <v/>
      </c>
      <c r="C912" t="str">
        <f>IF($A912&lt;&gt;"",'All Cases - Enter Cases'!C912,"")</f>
        <v/>
      </c>
      <c r="D912" t="str">
        <f>IF($A912&lt;&gt;"",'All Cases - Enter Cases'!D912,"")</f>
        <v/>
      </c>
      <c r="E912" t="str">
        <f>IF($A912&lt;&gt;"",'All Cases - Enter Cases'!E912,"")</f>
        <v/>
      </c>
      <c r="F912" t="str">
        <f>IF($A912&lt;&gt;"",'All Cases - Enter Cases'!F912,"")</f>
        <v/>
      </c>
      <c r="G912" t="str">
        <f>IF($A912&lt;&gt;"",'All Cases - Enter Cases'!G912,"")</f>
        <v/>
      </c>
      <c r="H912" t="str">
        <f>IF($A912&lt;&gt;"",'All Cases - Enter Cases'!H912,"")</f>
        <v/>
      </c>
      <c r="I912" t="str">
        <f>IF($A912&lt;&gt;"",'All Cases - Enter Cases'!I912,"")</f>
        <v/>
      </c>
      <c r="J912" t="str">
        <f>IF($A912&lt;&gt;"",'All Cases - Enter Cases'!J912,"")</f>
        <v/>
      </c>
      <c r="K912" t="str">
        <f>IF($A912&lt;&gt;"",'All Cases - Enter Cases'!K912,"")</f>
        <v/>
      </c>
      <c r="L912" t="str">
        <f>IF($A912&lt;&gt;"",'All Cases - Enter Cases'!L912,"")</f>
        <v/>
      </c>
      <c r="M912" t="str">
        <f>IF($A912&lt;&gt;"",'All Cases - Enter Cases'!M912,"")</f>
        <v/>
      </c>
    </row>
    <row r="913" spans="1:13" x14ac:dyDescent="0.35">
      <c r="A913" t="str">
        <f>IF('All Cases - Enter Cases'!$F913="Balochistan",'All Cases - Enter Cases'!A913,"")</f>
        <v/>
      </c>
      <c r="B913" t="str">
        <f>IF($A913&lt;&gt;"",'All Cases - Enter Cases'!B913,"")</f>
        <v/>
      </c>
      <c r="C913" t="str">
        <f>IF($A913&lt;&gt;"",'All Cases - Enter Cases'!C913,"")</f>
        <v/>
      </c>
      <c r="D913" t="str">
        <f>IF($A913&lt;&gt;"",'All Cases - Enter Cases'!D913,"")</f>
        <v/>
      </c>
      <c r="E913" t="str">
        <f>IF($A913&lt;&gt;"",'All Cases - Enter Cases'!E913,"")</f>
        <v/>
      </c>
      <c r="F913" t="str">
        <f>IF($A913&lt;&gt;"",'All Cases - Enter Cases'!F913,"")</f>
        <v/>
      </c>
      <c r="G913" t="str">
        <f>IF($A913&lt;&gt;"",'All Cases - Enter Cases'!G913,"")</f>
        <v/>
      </c>
      <c r="H913" t="str">
        <f>IF($A913&lt;&gt;"",'All Cases - Enter Cases'!H913,"")</f>
        <v/>
      </c>
      <c r="I913" t="str">
        <f>IF($A913&lt;&gt;"",'All Cases - Enter Cases'!I913,"")</f>
        <v/>
      </c>
      <c r="J913" t="str">
        <f>IF($A913&lt;&gt;"",'All Cases - Enter Cases'!J913,"")</f>
        <v/>
      </c>
      <c r="K913" t="str">
        <f>IF($A913&lt;&gt;"",'All Cases - Enter Cases'!K913,"")</f>
        <v/>
      </c>
      <c r="L913" t="str">
        <f>IF($A913&lt;&gt;"",'All Cases - Enter Cases'!L913,"")</f>
        <v/>
      </c>
      <c r="M913" t="str">
        <f>IF($A913&lt;&gt;"",'All Cases - Enter Cases'!M913,"")</f>
        <v/>
      </c>
    </row>
    <row r="914" spans="1:13" x14ac:dyDescent="0.35">
      <c r="A914" t="str">
        <f>IF('All Cases - Enter Cases'!$F914="Balochistan",'All Cases - Enter Cases'!A914,"")</f>
        <v/>
      </c>
      <c r="B914" t="str">
        <f>IF($A914&lt;&gt;"",'All Cases - Enter Cases'!B914,"")</f>
        <v/>
      </c>
      <c r="C914" t="str">
        <f>IF($A914&lt;&gt;"",'All Cases - Enter Cases'!C914,"")</f>
        <v/>
      </c>
      <c r="D914" t="str">
        <f>IF($A914&lt;&gt;"",'All Cases - Enter Cases'!D914,"")</f>
        <v/>
      </c>
      <c r="E914" t="str">
        <f>IF($A914&lt;&gt;"",'All Cases - Enter Cases'!E914,"")</f>
        <v/>
      </c>
      <c r="F914" t="str">
        <f>IF($A914&lt;&gt;"",'All Cases - Enter Cases'!F914,"")</f>
        <v/>
      </c>
      <c r="G914" t="str">
        <f>IF($A914&lt;&gt;"",'All Cases - Enter Cases'!G914,"")</f>
        <v/>
      </c>
      <c r="H914" t="str">
        <f>IF($A914&lt;&gt;"",'All Cases - Enter Cases'!H914,"")</f>
        <v/>
      </c>
      <c r="I914" t="str">
        <f>IF($A914&lt;&gt;"",'All Cases - Enter Cases'!I914,"")</f>
        <v/>
      </c>
      <c r="J914" t="str">
        <f>IF($A914&lt;&gt;"",'All Cases - Enter Cases'!J914,"")</f>
        <v/>
      </c>
      <c r="K914" t="str">
        <f>IF($A914&lt;&gt;"",'All Cases - Enter Cases'!K914,"")</f>
        <v/>
      </c>
      <c r="L914" t="str">
        <f>IF($A914&lt;&gt;"",'All Cases - Enter Cases'!L914,"")</f>
        <v/>
      </c>
      <c r="M914" t="str">
        <f>IF($A914&lt;&gt;"",'All Cases - Enter Cases'!M914,"")</f>
        <v/>
      </c>
    </row>
    <row r="915" spans="1:13" x14ac:dyDescent="0.35">
      <c r="A915" t="str">
        <f>IF('All Cases - Enter Cases'!$F915="Balochistan",'All Cases - Enter Cases'!A915,"")</f>
        <v/>
      </c>
      <c r="B915" t="str">
        <f>IF($A915&lt;&gt;"",'All Cases - Enter Cases'!B915,"")</f>
        <v/>
      </c>
      <c r="C915" t="str">
        <f>IF($A915&lt;&gt;"",'All Cases - Enter Cases'!C915,"")</f>
        <v/>
      </c>
      <c r="D915" t="str">
        <f>IF($A915&lt;&gt;"",'All Cases - Enter Cases'!D915,"")</f>
        <v/>
      </c>
      <c r="E915" t="str">
        <f>IF($A915&lt;&gt;"",'All Cases - Enter Cases'!E915,"")</f>
        <v/>
      </c>
      <c r="F915" t="str">
        <f>IF($A915&lt;&gt;"",'All Cases - Enter Cases'!F915,"")</f>
        <v/>
      </c>
      <c r="G915" t="str">
        <f>IF($A915&lt;&gt;"",'All Cases - Enter Cases'!G915,"")</f>
        <v/>
      </c>
      <c r="H915" t="str">
        <f>IF($A915&lt;&gt;"",'All Cases - Enter Cases'!H915,"")</f>
        <v/>
      </c>
      <c r="I915" t="str">
        <f>IF($A915&lt;&gt;"",'All Cases - Enter Cases'!I915,"")</f>
        <v/>
      </c>
      <c r="J915" t="str">
        <f>IF($A915&lt;&gt;"",'All Cases - Enter Cases'!J915,"")</f>
        <v/>
      </c>
      <c r="K915" t="str">
        <f>IF($A915&lt;&gt;"",'All Cases - Enter Cases'!K915,"")</f>
        <v/>
      </c>
      <c r="L915" t="str">
        <f>IF($A915&lt;&gt;"",'All Cases - Enter Cases'!L915,"")</f>
        <v/>
      </c>
      <c r="M915" t="str">
        <f>IF($A915&lt;&gt;"",'All Cases - Enter Cases'!M915,"")</f>
        <v/>
      </c>
    </row>
    <row r="916" spans="1:13" x14ac:dyDescent="0.35">
      <c r="A916" t="str">
        <f>IF('All Cases - Enter Cases'!$F916="Balochistan",'All Cases - Enter Cases'!A916,"")</f>
        <v/>
      </c>
      <c r="B916" t="str">
        <f>IF($A916&lt;&gt;"",'All Cases - Enter Cases'!B916,"")</f>
        <v/>
      </c>
      <c r="C916" t="str">
        <f>IF($A916&lt;&gt;"",'All Cases - Enter Cases'!C916,"")</f>
        <v/>
      </c>
      <c r="D916" t="str">
        <f>IF($A916&lt;&gt;"",'All Cases - Enter Cases'!D916,"")</f>
        <v/>
      </c>
      <c r="E916" t="str">
        <f>IF($A916&lt;&gt;"",'All Cases - Enter Cases'!E916,"")</f>
        <v/>
      </c>
      <c r="F916" t="str">
        <f>IF($A916&lt;&gt;"",'All Cases - Enter Cases'!F916,"")</f>
        <v/>
      </c>
      <c r="G916" t="str">
        <f>IF($A916&lt;&gt;"",'All Cases - Enter Cases'!G916,"")</f>
        <v/>
      </c>
      <c r="H916" t="str">
        <f>IF($A916&lt;&gt;"",'All Cases - Enter Cases'!H916,"")</f>
        <v/>
      </c>
      <c r="I916" t="str">
        <f>IF($A916&lt;&gt;"",'All Cases - Enter Cases'!I916,"")</f>
        <v/>
      </c>
      <c r="J916" t="str">
        <f>IF($A916&lt;&gt;"",'All Cases - Enter Cases'!J916,"")</f>
        <v/>
      </c>
      <c r="K916" t="str">
        <f>IF($A916&lt;&gt;"",'All Cases - Enter Cases'!K916,"")</f>
        <v/>
      </c>
      <c r="L916" t="str">
        <f>IF($A916&lt;&gt;"",'All Cases - Enter Cases'!L916,"")</f>
        <v/>
      </c>
      <c r="M916" t="str">
        <f>IF($A916&lt;&gt;"",'All Cases - Enter Cases'!M916,"")</f>
        <v/>
      </c>
    </row>
    <row r="917" spans="1:13" x14ac:dyDescent="0.35">
      <c r="A917" t="str">
        <f>IF('All Cases - Enter Cases'!$F917="Balochistan",'All Cases - Enter Cases'!A917,"")</f>
        <v/>
      </c>
      <c r="B917" t="str">
        <f>IF($A917&lt;&gt;"",'All Cases - Enter Cases'!B917,"")</f>
        <v/>
      </c>
      <c r="C917" t="str">
        <f>IF($A917&lt;&gt;"",'All Cases - Enter Cases'!C917,"")</f>
        <v/>
      </c>
      <c r="D917" t="str">
        <f>IF($A917&lt;&gt;"",'All Cases - Enter Cases'!D917,"")</f>
        <v/>
      </c>
      <c r="E917" t="str">
        <f>IF($A917&lt;&gt;"",'All Cases - Enter Cases'!E917,"")</f>
        <v/>
      </c>
      <c r="F917" t="str">
        <f>IF($A917&lt;&gt;"",'All Cases - Enter Cases'!F917,"")</f>
        <v/>
      </c>
      <c r="G917" t="str">
        <f>IF($A917&lt;&gt;"",'All Cases - Enter Cases'!G917,"")</f>
        <v/>
      </c>
      <c r="H917" t="str">
        <f>IF($A917&lt;&gt;"",'All Cases - Enter Cases'!H917,"")</f>
        <v/>
      </c>
      <c r="I917" t="str">
        <f>IF($A917&lt;&gt;"",'All Cases - Enter Cases'!I917,"")</f>
        <v/>
      </c>
      <c r="J917" t="str">
        <f>IF($A917&lt;&gt;"",'All Cases - Enter Cases'!J917,"")</f>
        <v/>
      </c>
      <c r="K917" t="str">
        <f>IF($A917&lt;&gt;"",'All Cases - Enter Cases'!K917,"")</f>
        <v/>
      </c>
      <c r="L917" t="str">
        <f>IF($A917&lt;&gt;"",'All Cases - Enter Cases'!L917,"")</f>
        <v/>
      </c>
      <c r="M917" t="str">
        <f>IF($A917&lt;&gt;"",'All Cases - Enter Cases'!M917,"")</f>
        <v/>
      </c>
    </row>
    <row r="918" spans="1:13" x14ac:dyDescent="0.35">
      <c r="A918" t="str">
        <f>IF('All Cases - Enter Cases'!$F918="Balochistan",'All Cases - Enter Cases'!A918,"")</f>
        <v/>
      </c>
      <c r="B918" t="str">
        <f>IF($A918&lt;&gt;"",'All Cases - Enter Cases'!B918,"")</f>
        <v/>
      </c>
      <c r="C918" t="str">
        <f>IF($A918&lt;&gt;"",'All Cases - Enter Cases'!C918,"")</f>
        <v/>
      </c>
      <c r="D918" t="str">
        <f>IF($A918&lt;&gt;"",'All Cases - Enter Cases'!D918,"")</f>
        <v/>
      </c>
      <c r="E918" t="str">
        <f>IF($A918&lt;&gt;"",'All Cases - Enter Cases'!E918,"")</f>
        <v/>
      </c>
      <c r="F918" t="str">
        <f>IF($A918&lt;&gt;"",'All Cases - Enter Cases'!F918,"")</f>
        <v/>
      </c>
      <c r="G918" t="str">
        <f>IF($A918&lt;&gt;"",'All Cases - Enter Cases'!G918,"")</f>
        <v/>
      </c>
      <c r="H918" t="str">
        <f>IF($A918&lt;&gt;"",'All Cases - Enter Cases'!H918,"")</f>
        <v/>
      </c>
      <c r="I918" t="str">
        <f>IF($A918&lt;&gt;"",'All Cases - Enter Cases'!I918,"")</f>
        <v/>
      </c>
      <c r="J918" t="str">
        <f>IF($A918&lt;&gt;"",'All Cases - Enter Cases'!J918,"")</f>
        <v/>
      </c>
      <c r="K918" t="str">
        <f>IF($A918&lt;&gt;"",'All Cases - Enter Cases'!K918,"")</f>
        <v/>
      </c>
      <c r="L918" t="str">
        <f>IF($A918&lt;&gt;"",'All Cases - Enter Cases'!L918,"")</f>
        <v/>
      </c>
      <c r="M918" t="str">
        <f>IF($A918&lt;&gt;"",'All Cases - Enter Cases'!M918,"")</f>
        <v/>
      </c>
    </row>
    <row r="919" spans="1:13" x14ac:dyDescent="0.35">
      <c r="A919" t="str">
        <f>IF('All Cases - Enter Cases'!$F919="Balochistan",'All Cases - Enter Cases'!A919,"")</f>
        <v/>
      </c>
      <c r="B919" t="str">
        <f>IF($A919&lt;&gt;"",'All Cases - Enter Cases'!B919,"")</f>
        <v/>
      </c>
      <c r="C919" t="str">
        <f>IF($A919&lt;&gt;"",'All Cases - Enter Cases'!C919,"")</f>
        <v/>
      </c>
      <c r="D919" t="str">
        <f>IF($A919&lt;&gt;"",'All Cases - Enter Cases'!D919,"")</f>
        <v/>
      </c>
      <c r="E919" t="str">
        <f>IF($A919&lt;&gt;"",'All Cases - Enter Cases'!E919,"")</f>
        <v/>
      </c>
      <c r="F919" t="str">
        <f>IF($A919&lt;&gt;"",'All Cases - Enter Cases'!F919,"")</f>
        <v/>
      </c>
      <c r="G919" t="str">
        <f>IF($A919&lt;&gt;"",'All Cases - Enter Cases'!G919,"")</f>
        <v/>
      </c>
      <c r="H919" t="str">
        <f>IF($A919&lt;&gt;"",'All Cases - Enter Cases'!H919,"")</f>
        <v/>
      </c>
      <c r="I919" t="str">
        <f>IF($A919&lt;&gt;"",'All Cases - Enter Cases'!I919,"")</f>
        <v/>
      </c>
      <c r="J919" t="str">
        <f>IF($A919&lt;&gt;"",'All Cases - Enter Cases'!J919,"")</f>
        <v/>
      </c>
      <c r="K919" t="str">
        <f>IF($A919&lt;&gt;"",'All Cases - Enter Cases'!K919,"")</f>
        <v/>
      </c>
      <c r="L919" t="str">
        <f>IF($A919&lt;&gt;"",'All Cases - Enter Cases'!L919,"")</f>
        <v/>
      </c>
      <c r="M919" t="str">
        <f>IF($A919&lt;&gt;"",'All Cases - Enter Cases'!M919,"")</f>
        <v/>
      </c>
    </row>
    <row r="920" spans="1:13" x14ac:dyDescent="0.35">
      <c r="A920" t="str">
        <f>IF('All Cases - Enter Cases'!$F920="Balochistan",'All Cases - Enter Cases'!A920,"")</f>
        <v/>
      </c>
      <c r="B920" t="str">
        <f>IF($A920&lt;&gt;"",'All Cases - Enter Cases'!B920,"")</f>
        <v/>
      </c>
      <c r="C920" t="str">
        <f>IF($A920&lt;&gt;"",'All Cases - Enter Cases'!C920,"")</f>
        <v/>
      </c>
      <c r="D920" t="str">
        <f>IF($A920&lt;&gt;"",'All Cases - Enter Cases'!D920,"")</f>
        <v/>
      </c>
      <c r="E920" t="str">
        <f>IF($A920&lt;&gt;"",'All Cases - Enter Cases'!E920,"")</f>
        <v/>
      </c>
      <c r="F920" t="str">
        <f>IF($A920&lt;&gt;"",'All Cases - Enter Cases'!F920,"")</f>
        <v/>
      </c>
      <c r="G920" t="str">
        <f>IF($A920&lt;&gt;"",'All Cases - Enter Cases'!G920,"")</f>
        <v/>
      </c>
      <c r="H920" t="str">
        <f>IF($A920&lt;&gt;"",'All Cases - Enter Cases'!H920,"")</f>
        <v/>
      </c>
      <c r="I920" t="str">
        <f>IF($A920&lt;&gt;"",'All Cases - Enter Cases'!I920,"")</f>
        <v/>
      </c>
      <c r="J920" t="str">
        <f>IF($A920&lt;&gt;"",'All Cases - Enter Cases'!J920,"")</f>
        <v/>
      </c>
      <c r="K920" t="str">
        <f>IF($A920&lt;&gt;"",'All Cases - Enter Cases'!K920,"")</f>
        <v/>
      </c>
      <c r="L920" t="str">
        <f>IF($A920&lt;&gt;"",'All Cases - Enter Cases'!L920,"")</f>
        <v/>
      </c>
      <c r="M920" t="str">
        <f>IF($A920&lt;&gt;"",'All Cases - Enter Cases'!M920,"")</f>
        <v/>
      </c>
    </row>
    <row r="921" spans="1:13" x14ac:dyDescent="0.35">
      <c r="A921" t="str">
        <f>IF('All Cases - Enter Cases'!$F921="Balochistan",'All Cases - Enter Cases'!A921,"")</f>
        <v/>
      </c>
      <c r="B921" t="str">
        <f>IF($A921&lt;&gt;"",'All Cases - Enter Cases'!B921,"")</f>
        <v/>
      </c>
      <c r="C921" t="str">
        <f>IF($A921&lt;&gt;"",'All Cases - Enter Cases'!C921,"")</f>
        <v/>
      </c>
      <c r="D921" t="str">
        <f>IF($A921&lt;&gt;"",'All Cases - Enter Cases'!D921,"")</f>
        <v/>
      </c>
      <c r="E921" t="str">
        <f>IF($A921&lt;&gt;"",'All Cases - Enter Cases'!E921,"")</f>
        <v/>
      </c>
      <c r="F921" t="str">
        <f>IF($A921&lt;&gt;"",'All Cases - Enter Cases'!F921,"")</f>
        <v/>
      </c>
      <c r="G921" t="str">
        <f>IF($A921&lt;&gt;"",'All Cases - Enter Cases'!G921,"")</f>
        <v/>
      </c>
      <c r="H921" t="str">
        <f>IF($A921&lt;&gt;"",'All Cases - Enter Cases'!H921,"")</f>
        <v/>
      </c>
      <c r="I921" t="str">
        <f>IF($A921&lt;&gt;"",'All Cases - Enter Cases'!I921,"")</f>
        <v/>
      </c>
      <c r="J921" t="str">
        <f>IF($A921&lt;&gt;"",'All Cases - Enter Cases'!J921,"")</f>
        <v/>
      </c>
      <c r="K921" t="str">
        <f>IF($A921&lt;&gt;"",'All Cases - Enter Cases'!K921,"")</f>
        <v/>
      </c>
      <c r="L921" t="str">
        <f>IF($A921&lt;&gt;"",'All Cases - Enter Cases'!L921,"")</f>
        <v/>
      </c>
      <c r="M921" t="str">
        <f>IF($A921&lt;&gt;"",'All Cases - Enter Cases'!M921,"")</f>
        <v/>
      </c>
    </row>
    <row r="922" spans="1:13" x14ac:dyDescent="0.35">
      <c r="A922" t="str">
        <f>IF('All Cases - Enter Cases'!$F922="Balochistan",'All Cases - Enter Cases'!A922,"")</f>
        <v/>
      </c>
      <c r="B922" t="str">
        <f>IF($A922&lt;&gt;"",'All Cases - Enter Cases'!B922,"")</f>
        <v/>
      </c>
      <c r="C922" t="str">
        <f>IF($A922&lt;&gt;"",'All Cases - Enter Cases'!C922,"")</f>
        <v/>
      </c>
      <c r="D922" t="str">
        <f>IF($A922&lt;&gt;"",'All Cases - Enter Cases'!D922,"")</f>
        <v/>
      </c>
      <c r="E922" t="str">
        <f>IF($A922&lt;&gt;"",'All Cases - Enter Cases'!E922,"")</f>
        <v/>
      </c>
      <c r="F922" t="str">
        <f>IF($A922&lt;&gt;"",'All Cases - Enter Cases'!F922,"")</f>
        <v/>
      </c>
      <c r="G922" t="str">
        <f>IF($A922&lt;&gt;"",'All Cases - Enter Cases'!G922,"")</f>
        <v/>
      </c>
      <c r="H922" t="str">
        <f>IF($A922&lt;&gt;"",'All Cases - Enter Cases'!H922,"")</f>
        <v/>
      </c>
      <c r="I922" t="str">
        <f>IF($A922&lt;&gt;"",'All Cases - Enter Cases'!I922,"")</f>
        <v/>
      </c>
      <c r="J922" t="str">
        <f>IF($A922&lt;&gt;"",'All Cases - Enter Cases'!J922,"")</f>
        <v/>
      </c>
      <c r="K922" t="str">
        <f>IF($A922&lt;&gt;"",'All Cases - Enter Cases'!K922,"")</f>
        <v/>
      </c>
      <c r="L922" t="str">
        <f>IF($A922&lt;&gt;"",'All Cases - Enter Cases'!L922,"")</f>
        <v/>
      </c>
      <c r="M922" t="str">
        <f>IF($A922&lt;&gt;"",'All Cases - Enter Cases'!M922,"")</f>
        <v/>
      </c>
    </row>
    <row r="923" spans="1:13" x14ac:dyDescent="0.35">
      <c r="A923" t="str">
        <f>IF('All Cases - Enter Cases'!$F923="Balochistan",'All Cases - Enter Cases'!A923,"")</f>
        <v/>
      </c>
      <c r="B923" t="str">
        <f>IF($A923&lt;&gt;"",'All Cases - Enter Cases'!B923,"")</f>
        <v/>
      </c>
      <c r="C923" t="str">
        <f>IF($A923&lt;&gt;"",'All Cases - Enter Cases'!C923,"")</f>
        <v/>
      </c>
      <c r="D923" t="str">
        <f>IF($A923&lt;&gt;"",'All Cases - Enter Cases'!D923,"")</f>
        <v/>
      </c>
      <c r="E923" t="str">
        <f>IF($A923&lt;&gt;"",'All Cases - Enter Cases'!E923,"")</f>
        <v/>
      </c>
      <c r="F923" t="str">
        <f>IF($A923&lt;&gt;"",'All Cases - Enter Cases'!F923,"")</f>
        <v/>
      </c>
      <c r="G923" t="str">
        <f>IF($A923&lt;&gt;"",'All Cases - Enter Cases'!G923,"")</f>
        <v/>
      </c>
      <c r="H923" t="str">
        <f>IF($A923&lt;&gt;"",'All Cases - Enter Cases'!H923,"")</f>
        <v/>
      </c>
      <c r="I923" t="str">
        <f>IF($A923&lt;&gt;"",'All Cases - Enter Cases'!I923,"")</f>
        <v/>
      </c>
      <c r="J923" t="str">
        <f>IF($A923&lt;&gt;"",'All Cases - Enter Cases'!J923,"")</f>
        <v/>
      </c>
      <c r="K923" t="str">
        <f>IF($A923&lt;&gt;"",'All Cases - Enter Cases'!K923,"")</f>
        <v/>
      </c>
      <c r="L923" t="str">
        <f>IF($A923&lt;&gt;"",'All Cases - Enter Cases'!L923,"")</f>
        <v/>
      </c>
      <c r="M923" t="str">
        <f>IF($A923&lt;&gt;"",'All Cases - Enter Cases'!M923,"")</f>
        <v/>
      </c>
    </row>
    <row r="924" spans="1:13" x14ac:dyDescent="0.35">
      <c r="A924" t="str">
        <f>IF('All Cases - Enter Cases'!$F924="Balochistan",'All Cases - Enter Cases'!A924,"")</f>
        <v/>
      </c>
      <c r="B924" t="str">
        <f>IF($A924&lt;&gt;"",'All Cases - Enter Cases'!B924,"")</f>
        <v/>
      </c>
      <c r="C924" t="str">
        <f>IF($A924&lt;&gt;"",'All Cases - Enter Cases'!C924,"")</f>
        <v/>
      </c>
      <c r="D924" t="str">
        <f>IF($A924&lt;&gt;"",'All Cases - Enter Cases'!D924,"")</f>
        <v/>
      </c>
      <c r="E924" t="str">
        <f>IF($A924&lt;&gt;"",'All Cases - Enter Cases'!E924,"")</f>
        <v/>
      </c>
      <c r="F924" t="str">
        <f>IF($A924&lt;&gt;"",'All Cases - Enter Cases'!F924,"")</f>
        <v/>
      </c>
      <c r="G924" t="str">
        <f>IF($A924&lt;&gt;"",'All Cases - Enter Cases'!G924,"")</f>
        <v/>
      </c>
      <c r="H924" t="str">
        <f>IF($A924&lt;&gt;"",'All Cases - Enter Cases'!H924,"")</f>
        <v/>
      </c>
      <c r="I924" t="str">
        <f>IF($A924&lt;&gt;"",'All Cases - Enter Cases'!I924,"")</f>
        <v/>
      </c>
      <c r="J924" t="str">
        <f>IF($A924&lt;&gt;"",'All Cases - Enter Cases'!J924,"")</f>
        <v/>
      </c>
      <c r="K924" t="str">
        <f>IF($A924&lt;&gt;"",'All Cases - Enter Cases'!K924,"")</f>
        <v/>
      </c>
      <c r="L924" t="str">
        <f>IF($A924&lt;&gt;"",'All Cases - Enter Cases'!L924,"")</f>
        <v/>
      </c>
      <c r="M924" t="str">
        <f>IF($A924&lt;&gt;"",'All Cases - Enter Cases'!M924,"")</f>
        <v/>
      </c>
    </row>
    <row r="925" spans="1:13" x14ac:dyDescent="0.35">
      <c r="A925" t="str">
        <f>IF('All Cases - Enter Cases'!$F925="Balochistan",'All Cases - Enter Cases'!A925,"")</f>
        <v/>
      </c>
      <c r="B925" t="str">
        <f>IF($A925&lt;&gt;"",'All Cases - Enter Cases'!B925,"")</f>
        <v/>
      </c>
      <c r="C925" t="str">
        <f>IF($A925&lt;&gt;"",'All Cases - Enter Cases'!C925,"")</f>
        <v/>
      </c>
      <c r="D925" t="str">
        <f>IF($A925&lt;&gt;"",'All Cases - Enter Cases'!D925,"")</f>
        <v/>
      </c>
      <c r="E925" t="str">
        <f>IF($A925&lt;&gt;"",'All Cases - Enter Cases'!E925,"")</f>
        <v/>
      </c>
      <c r="F925" t="str">
        <f>IF($A925&lt;&gt;"",'All Cases - Enter Cases'!F925,"")</f>
        <v/>
      </c>
      <c r="G925" t="str">
        <f>IF($A925&lt;&gt;"",'All Cases - Enter Cases'!G925,"")</f>
        <v/>
      </c>
      <c r="H925" t="str">
        <f>IF($A925&lt;&gt;"",'All Cases - Enter Cases'!H925,"")</f>
        <v/>
      </c>
      <c r="I925" t="str">
        <f>IF($A925&lt;&gt;"",'All Cases - Enter Cases'!I925,"")</f>
        <v/>
      </c>
      <c r="J925" t="str">
        <f>IF($A925&lt;&gt;"",'All Cases - Enter Cases'!J925,"")</f>
        <v/>
      </c>
      <c r="K925" t="str">
        <f>IF($A925&lt;&gt;"",'All Cases - Enter Cases'!K925,"")</f>
        <v/>
      </c>
      <c r="L925" t="str">
        <f>IF($A925&lt;&gt;"",'All Cases - Enter Cases'!L925,"")</f>
        <v/>
      </c>
      <c r="M925" t="str">
        <f>IF($A925&lt;&gt;"",'All Cases - Enter Cases'!M925,"")</f>
        <v/>
      </c>
    </row>
    <row r="926" spans="1:13" x14ac:dyDescent="0.35">
      <c r="A926" t="str">
        <f>IF('All Cases - Enter Cases'!$F926="Balochistan",'All Cases - Enter Cases'!A926,"")</f>
        <v/>
      </c>
      <c r="B926" t="str">
        <f>IF($A926&lt;&gt;"",'All Cases - Enter Cases'!B926,"")</f>
        <v/>
      </c>
      <c r="C926" t="str">
        <f>IF($A926&lt;&gt;"",'All Cases - Enter Cases'!C926,"")</f>
        <v/>
      </c>
      <c r="D926" t="str">
        <f>IF($A926&lt;&gt;"",'All Cases - Enter Cases'!D926,"")</f>
        <v/>
      </c>
      <c r="E926" t="str">
        <f>IF($A926&lt;&gt;"",'All Cases - Enter Cases'!E926,"")</f>
        <v/>
      </c>
      <c r="F926" t="str">
        <f>IF($A926&lt;&gt;"",'All Cases - Enter Cases'!F926,"")</f>
        <v/>
      </c>
      <c r="G926" t="str">
        <f>IF($A926&lt;&gt;"",'All Cases - Enter Cases'!G926,"")</f>
        <v/>
      </c>
      <c r="H926" t="str">
        <f>IF($A926&lt;&gt;"",'All Cases - Enter Cases'!H926,"")</f>
        <v/>
      </c>
      <c r="I926" t="str">
        <f>IF($A926&lt;&gt;"",'All Cases - Enter Cases'!I926,"")</f>
        <v/>
      </c>
      <c r="J926" t="str">
        <f>IF($A926&lt;&gt;"",'All Cases - Enter Cases'!J926,"")</f>
        <v/>
      </c>
      <c r="K926" t="str">
        <f>IF($A926&lt;&gt;"",'All Cases - Enter Cases'!K926,"")</f>
        <v/>
      </c>
      <c r="L926" t="str">
        <f>IF($A926&lt;&gt;"",'All Cases - Enter Cases'!L926,"")</f>
        <v/>
      </c>
      <c r="M926" t="str">
        <f>IF($A926&lt;&gt;"",'All Cases - Enter Cases'!M926,"")</f>
        <v/>
      </c>
    </row>
    <row r="927" spans="1:13" x14ac:dyDescent="0.35">
      <c r="A927" t="str">
        <f>IF('All Cases - Enter Cases'!$F927="Balochistan",'All Cases - Enter Cases'!A927,"")</f>
        <v/>
      </c>
      <c r="B927" t="str">
        <f>IF($A927&lt;&gt;"",'All Cases - Enter Cases'!B927,"")</f>
        <v/>
      </c>
      <c r="C927" t="str">
        <f>IF($A927&lt;&gt;"",'All Cases - Enter Cases'!C927,"")</f>
        <v/>
      </c>
      <c r="D927" t="str">
        <f>IF($A927&lt;&gt;"",'All Cases - Enter Cases'!D927,"")</f>
        <v/>
      </c>
      <c r="E927" t="str">
        <f>IF($A927&lt;&gt;"",'All Cases - Enter Cases'!E927,"")</f>
        <v/>
      </c>
      <c r="F927" t="str">
        <f>IF($A927&lt;&gt;"",'All Cases - Enter Cases'!F927,"")</f>
        <v/>
      </c>
      <c r="G927" t="str">
        <f>IF($A927&lt;&gt;"",'All Cases - Enter Cases'!G927,"")</f>
        <v/>
      </c>
      <c r="H927" t="str">
        <f>IF($A927&lt;&gt;"",'All Cases - Enter Cases'!H927,"")</f>
        <v/>
      </c>
      <c r="I927" t="str">
        <f>IF($A927&lt;&gt;"",'All Cases - Enter Cases'!I927,"")</f>
        <v/>
      </c>
      <c r="J927" t="str">
        <f>IF($A927&lt;&gt;"",'All Cases - Enter Cases'!J927,"")</f>
        <v/>
      </c>
      <c r="K927" t="str">
        <f>IF($A927&lt;&gt;"",'All Cases - Enter Cases'!K927,"")</f>
        <v/>
      </c>
      <c r="L927" t="str">
        <f>IF($A927&lt;&gt;"",'All Cases - Enter Cases'!L927,"")</f>
        <v/>
      </c>
      <c r="M927" t="str">
        <f>IF($A927&lt;&gt;"",'All Cases - Enter Cases'!M927,"")</f>
        <v/>
      </c>
    </row>
    <row r="928" spans="1:13" x14ac:dyDescent="0.35">
      <c r="A928" t="str">
        <f>IF('All Cases - Enter Cases'!$F928="Balochistan",'All Cases - Enter Cases'!A928,"")</f>
        <v/>
      </c>
      <c r="B928" t="str">
        <f>IF($A928&lt;&gt;"",'All Cases - Enter Cases'!B928,"")</f>
        <v/>
      </c>
      <c r="C928" t="str">
        <f>IF($A928&lt;&gt;"",'All Cases - Enter Cases'!C928,"")</f>
        <v/>
      </c>
      <c r="D928" t="str">
        <f>IF($A928&lt;&gt;"",'All Cases - Enter Cases'!D928,"")</f>
        <v/>
      </c>
      <c r="E928" t="str">
        <f>IF($A928&lt;&gt;"",'All Cases - Enter Cases'!E928,"")</f>
        <v/>
      </c>
      <c r="F928" t="str">
        <f>IF($A928&lt;&gt;"",'All Cases - Enter Cases'!F928,"")</f>
        <v/>
      </c>
      <c r="G928" t="str">
        <f>IF($A928&lt;&gt;"",'All Cases - Enter Cases'!G928,"")</f>
        <v/>
      </c>
      <c r="H928" t="str">
        <f>IF($A928&lt;&gt;"",'All Cases - Enter Cases'!H928,"")</f>
        <v/>
      </c>
      <c r="I928" t="str">
        <f>IF($A928&lt;&gt;"",'All Cases - Enter Cases'!I928,"")</f>
        <v/>
      </c>
      <c r="J928" t="str">
        <f>IF($A928&lt;&gt;"",'All Cases - Enter Cases'!J928,"")</f>
        <v/>
      </c>
      <c r="K928" t="str">
        <f>IF($A928&lt;&gt;"",'All Cases - Enter Cases'!K928,"")</f>
        <v/>
      </c>
      <c r="L928" t="str">
        <f>IF($A928&lt;&gt;"",'All Cases - Enter Cases'!L928,"")</f>
        <v/>
      </c>
      <c r="M928" t="str">
        <f>IF($A928&lt;&gt;"",'All Cases - Enter Cases'!M928,"")</f>
        <v/>
      </c>
    </row>
    <row r="929" spans="1:13" x14ac:dyDescent="0.35">
      <c r="A929" t="str">
        <f>IF('All Cases - Enter Cases'!$F929="Balochistan",'All Cases - Enter Cases'!A929,"")</f>
        <v/>
      </c>
      <c r="B929" t="str">
        <f>IF($A929&lt;&gt;"",'All Cases - Enter Cases'!B929,"")</f>
        <v/>
      </c>
      <c r="C929" t="str">
        <f>IF($A929&lt;&gt;"",'All Cases - Enter Cases'!C929,"")</f>
        <v/>
      </c>
      <c r="D929" t="str">
        <f>IF($A929&lt;&gt;"",'All Cases - Enter Cases'!D929,"")</f>
        <v/>
      </c>
      <c r="E929" t="str">
        <f>IF($A929&lt;&gt;"",'All Cases - Enter Cases'!E929,"")</f>
        <v/>
      </c>
      <c r="F929" t="str">
        <f>IF($A929&lt;&gt;"",'All Cases - Enter Cases'!F929,"")</f>
        <v/>
      </c>
      <c r="G929" t="str">
        <f>IF($A929&lt;&gt;"",'All Cases - Enter Cases'!G929,"")</f>
        <v/>
      </c>
      <c r="H929" t="str">
        <f>IF($A929&lt;&gt;"",'All Cases - Enter Cases'!H929,"")</f>
        <v/>
      </c>
      <c r="I929" t="str">
        <f>IF($A929&lt;&gt;"",'All Cases - Enter Cases'!I929,"")</f>
        <v/>
      </c>
      <c r="J929" t="str">
        <f>IF($A929&lt;&gt;"",'All Cases - Enter Cases'!J929,"")</f>
        <v/>
      </c>
      <c r="K929" t="str">
        <f>IF($A929&lt;&gt;"",'All Cases - Enter Cases'!K929,"")</f>
        <v/>
      </c>
      <c r="L929" t="str">
        <f>IF($A929&lt;&gt;"",'All Cases - Enter Cases'!L929,"")</f>
        <v/>
      </c>
      <c r="M929" t="str">
        <f>IF($A929&lt;&gt;"",'All Cases - Enter Cases'!M929,"")</f>
        <v/>
      </c>
    </row>
    <row r="930" spans="1:13" x14ac:dyDescent="0.35">
      <c r="A930" t="str">
        <f>IF('All Cases - Enter Cases'!$F930="Balochistan",'All Cases - Enter Cases'!A930,"")</f>
        <v/>
      </c>
      <c r="B930" t="str">
        <f>IF($A930&lt;&gt;"",'All Cases - Enter Cases'!B930,"")</f>
        <v/>
      </c>
      <c r="C930" t="str">
        <f>IF($A930&lt;&gt;"",'All Cases - Enter Cases'!C930,"")</f>
        <v/>
      </c>
      <c r="D930" t="str">
        <f>IF($A930&lt;&gt;"",'All Cases - Enter Cases'!D930,"")</f>
        <v/>
      </c>
      <c r="E930" t="str">
        <f>IF($A930&lt;&gt;"",'All Cases - Enter Cases'!E930,"")</f>
        <v/>
      </c>
      <c r="F930" t="str">
        <f>IF($A930&lt;&gt;"",'All Cases - Enter Cases'!F930,"")</f>
        <v/>
      </c>
      <c r="G930" t="str">
        <f>IF($A930&lt;&gt;"",'All Cases - Enter Cases'!G930,"")</f>
        <v/>
      </c>
      <c r="H930" t="str">
        <f>IF($A930&lt;&gt;"",'All Cases - Enter Cases'!H930,"")</f>
        <v/>
      </c>
      <c r="I930" t="str">
        <f>IF($A930&lt;&gt;"",'All Cases - Enter Cases'!I930,"")</f>
        <v/>
      </c>
      <c r="J930" t="str">
        <f>IF($A930&lt;&gt;"",'All Cases - Enter Cases'!J930,"")</f>
        <v/>
      </c>
      <c r="K930" t="str">
        <f>IF($A930&lt;&gt;"",'All Cases - Enter Cases'!K930,"")</f>
        <v/>
      </c>
      <c r="L930" t="str">
        <f>IF($A930&lt;&gt;"",'All Cases - Enter Cases'!L930,"")</f>
        <v/>
      </c>
      <c r="M930" t="str">
        <f>IF($A930&lt;&gt;"",'All Cases - Enter Cases'!M930,"")</f>
        <v/>
      </c>
    </row>
    <row r="931" spans="1:13" x14ac:dyDescent="0.35">
      <c r="A931" t="str">
        <f>IF('All Cases - Enter Cases'!$F931="Balochistan",'All Cases - Enter Cases'!A931,"")</f>
        <v/>
      </c>
      <c r="B931" t="str">
        <f>IF($A931&lt;&gt;"",'All Cases - Enter Cases'!B931,"")</f>
        <v/>
      </c>
      <c r="C931" t="str">
        <f>IF($A931&lt;&gt;"",'All Cases - Enter Cases'!C931,"")</f>
        <v/>
      </c>
      <c r="D931" t="str">
        <f>IF($A931&lt;&gt;"",'All Cases - Enter Cases'!D931,"")</f>
        <v/>
      </c>
      <c r="E931" t="str">
        <f>IF($A931&lt;&gt;"",'All Cases - Enter Cases'!E931,"")</f>
        <v/>
      </c>
      <c r="F931" t="str">
        <f>IF($A931&lt;&gt;"",'All Cases - Enter Cases'!F931,"")</f>
        <v/>
      </c>
      <c r="G931" t="str">
        <f>IF($A931&lt;&gt;"",'All Cases - Enter Cases'!G931,"")</f>
        <v/>
      </c>
      <c r="H931" t="str">
        <f>IF($A931&lt;&gt;"",'All Cases - Enter Cases'!H931,"")</f>
        <v/>
      </c>
      <c r="I931" t="str">
        <f>IF($A931&lt;&gt;"",'All Cases - Enter Cases'!I931,"")</f>
        <v/>
      </c>
      <c r="J931" t="str">
        <f>IF($A931&lt;&gt;"",'All Cases - Enter Cases'!J931,"")</f>
        <v/>
      </c>
      <c r="K931" t="str">
        <f>IF($A931&lt;&gt;"",'All Cases - Enter Cases'!K931,"")</f>
        <v/>
      </c>
      <c r="L931" t="str">
        <f>IF($A931&lt;&gt;"",'All Cases - Enter Cases'!L931,"")</f>
        <v/>
      </c>
      <c r="M931" t="str">
        <f>IF($A931&lt;&gt;"",'All Cases - Enter Cases'!M931,"")</f>
        <v/>
      </c>
    </row>
    <row r="932" spans="1:13" x14ac:dyDescent="0.35">
      <c r="A932" t="str">
        <f>IF('All Cases - Enter Cases'!$F932="Balochistan",'All Cases - Enter Cases'!A932,"")</f>
        <v/>
      </c>
      <c r="B932" t="str">
        <f>IF($A932&lt;&gt;"",'All Cases - Enter Cases'!B932,"")</f>
        <v/>
      </c>
      <c r="C932" t="str">
        <f>IF($A932&lt;&gt;"",'All Cases - Enter Cases'!C932,"")</f>
        <v/>
      </c>
      <c r="D932" t="str">
        <f>IF($A932&lt;&gt;"",'All Cases - Enter Cases'!D932,"")</f>
        <v/>
      </c>
      <c r="E932" t="str">
        <f>IF($A932&lt;&gt;"",'All Cases - Enter Cases'!E932,"")</f>
        <v/>
      </c>
      <c r="F932" t="str">
        <f>IF($A932&lt;&gt;"",'All Cases - Enter Cases'!F932,"")</f>
        <v/>
      </c>
      <c r="G932" t="str">
        <f>IF($A932&lt;&gt;"",'All Cases - Enter Cases'!G932,"")</f>
        <v/>
      </c>
      <c r="H932" t="str">
        <f>IF($A932&lt;&gt;"",'All Cases - Enter Cases'!H932,"")</f>
        <v/>
      </c>
      <c r="I932" t="str">
        <f>IF($A932&lt;&gt;"",'All Cases - Enter Cases'!I932,"")</f>
        <v/>
      </c>
      <c r="J932" t="str">
        <f>IF($A932&lt;&gt;"",'All Cases - Enter Cases'!J932,"")</f>
        <v/>
      </c>
      <c r="K932" t="str">
        <f>IF($A932&lt;&gt;"",'All Cases - Enter Cases'!K932,"")</f>
        <v/>
      </c>
      <c r="L932" t="str">
        <f>IF($A932&lt;&gt;"",'All Cases - Enter Cases'!L932,"")</f>
        <v/>
      </c>
      <c r="M932" t="str">
        <f>IF($A932&lt;&gt;"",'All Cases - Enter Cases'!M932,"")</f>
        <v/>
      </c>
    </row>
    <row r="933" spans="1:13" x14ac:dyDescent="0.35">
      <c r="A933" t="str">
        <f>IF('All Cases - Enter Cases'!$F933="Balochistan",'All Cases - Enter Cases'!A933,"")</f>
        <v/>
      </c>
      <c r="B933" t="str">
        <f>IF($A933&lt;&gt;"",'All Cases - Enter Cases'!B933,"")</f>
        <v/>
      </c>
      <c r="C933" t="str">
        <f>IF($A933&lt;&gt;"",'All Cases - Enter Cases'!C933,"")</f>
        <v/>
      </c>
      <c r="D933" t="str">
        <f>IF($A933&lt;&gt;"",'All Cases - Enter Cases'!D933,"")</f>
        <v/>
      </c>
      <c r="E933" t="str">
        <f>IF($A933&lt;&gt;"",'All Cases - Enter Cases'!E933,"")</f>
        <v/>
      </c>
      <c r="F933" t="str">
        <f>IF($A933&lt;&gt;"",'All Cases - Enter Cases'!F933,"")</f>
        <v/>
      </c>
      <c r="G933" t="str">
        <f>IF($A933&lt;&gt;"",'All Cases - Enter Cases'!G933,"")</f>
        <v/>
      </c>
      <c r="H933" t="str">
        <f>IF($A933&lt;&gt;"",'All Cases - Enter Cases'!H933,"")</f>
        <v/>
      </c>
      <c r="I933" t="str">
        <f>IF($A933&lt;&gt;"",'All Cases - Enter Cases'!I933,"")</f>
        <v/>
      </c>
      <c r="J933" t="str">
        <f>IF($A933&lt;&gt;"",'All Cases - Enter Cases'!J933,"")</f>
        <v/>
      </c>
      <c r="K933" t="str">
        <f>IF($A933&lt;&gt;"",'All Cases - Enter Cases'!K933,"")</f>
        <v/>
      </c>
      <c r="L933" t="str">
        <f>IF($A933&lt;&gt;"",'All Cases - Enter Cases'!L933,"")</f>
        <v/>
      </c>
      <c r="M933" t="str">
        <f>IF($A933&lt;&gt;"",'All Cases - Enter Cases'!M933,"")</f>
        <v/>
      </c>
    </row>
    <row r="934" spans="1:13" x14ac:dyDescent="0.35">
      <c r="A934" t="str">
        <f>IF('All Cases - Enter Cases'!$F934="Balochistan",'All Cases - Enter Cases'!A934,"")</f>
        <v/>
      </c>
      <c r="B934" t="str">
        <f>IF($A934&lt;&gt;"",'All Cases - Enter Cases'!B934,"")</f>
        <v/>
      </c>
      <c r="C934" t="str">
        <f>IF($A934&lt;&gt;"",'All Cases - Enter Cases'!C934,"")</f>
        <v/>
      </c>
      <c r="D934" t="str">
        <f>IF($A934&lt;&gt;"",'All Cases - Enter Cases'!D934,"")</f>
        <v/>
      </c>
      <c r="E934" t="str">
        <f>IF($A934&lt;&gt;"",'All Cases - Enter Cases'!E934,"")</f>
        <v/>
      </c>
      <c r="F934" t="str">
        <f>IF($A934&lt;&gt;"",'All Cases - Enter Cases'!F934,"")</f>
        <v/>
      </c>
      <c r="G934" t="str">
        <f>IF($A934&lt;&gt;"",'All Cases - Enter Cases'!G934,"")</f>
        <v/>
      </c>
      <c r="H934" t="str">
        <f>IF($A934&lt;&gt;"",'All Cases - Enter Cases'!H934,"")</f>
        <v/>
      </c>
      <c r="I934" t="str">
        <f>IF($A934&lt;&gt;"",'All Cases - Enter Cases'!I934,"")</f>
        <v/>
      </c>
      <c r="J934" t="str">
        <f>IF($A934&lt;&gt;"",'All Cases - Enter Cases'!J934,"")</f>
        <v/>
      </c>
      <c r="K934" t="str">
        <f>IF($A934&lt;&gt;"",'All Cases - Enter Cases'!K934,"")</f>
        <v/>
      </c>
      <c r="L934" t="str">
        <f>IF($A934&lt;&gt;"",'All Cases - Enter Cases'!L934,"")</f>
        <v/>
      </c>
      <c r="M934" t="str">
        <f>IF($A934&lt;&gt;"",'All Cases - Enter Cases'!M934,"")</f>
        <v/>
      </c>
    </row>
    <row r="935" spans="1:13" x14ac:dyDescent="0.35">
      <c r="A935" t="str">
        <f>IF('All Cases - Enter Cases'!$F935="Balochistan",'All Cases - Enter Cases'!A935,"")</f>
        <v/>
      </c>
      <c r="B935" t="str">
        <f>IF($A935&lt;&gt;"",'All Cases - Enter Cases'!B935,"")</f>
        <v/>
      </c>
      <c r="C935" t="str">
        <f>IF($A935&lt;&gt;"",'All Cases - Enter Cases'!C935,"")</f>
        <v/>
      </c>
      <c r="D935" t="str">
        <f>IF($A935&lt;&gt;"",'All Cases - Enter Cases'!D935,"")</f>
        <v/>
      </c>
      <c r="E935" t="str">
        <f>IF($A935&lt;&gt;"",'All Cases - Enter Cases'!E935,"")</f>
        <v/>
      </c>
      <c r="F935" t="str">
        <f>IF($A935&lt;&gt;"",'All Cases - Enter Cases'!F935,"")</f>
        <v/>
      </c>
      <c r="G935" t="str">
        <f>IF($A935&lt;&gt;"",'All Cases - Enter Cases'!G935,"")</f>
        <v/>
      </c>
      <c r="H935" t="str">
        <f>IF($A935&lt;&gt;"",'All Cases - Enter Cases'!H935,"")</f>
        <v/>
      </c>
      <c r="I935" t="str">
        <f>IF($A935&lt;&gt;"",'All Cases - Enter Cases'!I935,"")</f>
        <v/>
      </c>
      <c r="J935" t="str">
        <f>IF($A935&lt;&gt;"",'All Cases - Enter Cases'!J935,"")</f>
        <v/>
      </c>
      <c r="K935" t="str">
        <f>IF($A935&lt;&gt;"",'All Cases - Enter Cases'!K935,"")</f>
        <v/>
      </c>
      <c r="L935" t="str">
        <f>IF($A935&lt;&gt;"",'All Cases - Enter Cases'!L935,"")</f>
        <v/>
      </c>
      <c r="M935" t="str">
        <f>IF($A935&lt;&gt;"",'All Cases - Enter Cases'!M935,"")</f>
        <v/>
      </c>
    </row>
    <row r="936" spans="1:13" x14ac:dyDescent="0.35">
      <c r="A936" t="str">
        <f>IF('All Cases - Enter Cases'!$F936="Balochistan",'All Cases - Enter Cases'!A936,"")</f>
        <v/>
      </c>
      <c r="B936" t="str">
        <f>IF($A936&lt;&gt;"",'All Cases - Enter Cases'!B936,"")</f>
        <v/>
      </c>
      <c r="C936" t="str">
        <f>IF($A936&lt;&gt;"",'All Cases - Enter Cases'!C936,"")</f>
        <v/>
      </c>
      <c r="D936" t="str">
        <f>IF($A936&lt;&gt;"",'All Cases - Enter Cases'!D936,"")</f>
        <v/>
      </c>
      <c r="E936" t="str">
        <f>IF($A936&lt;&gt;"",'All Cases - Enter Cases'!E936,"")</f>
        <v/>
      </c>
      <c r="F936" t="str">
        <f>IF($A936&lt;&gt;"",'All Cases - Enter Cases'!F936,"")</f>
        <v/>
      </c>
      <c r="G936" t="str">
        <f>IF($A936&lt;&gt;"",'All Cases - Enter Cases'!G936,"")</f>
        <v/>
      </c>
      <c r="H936" t="str">
        <f>IF($A936&lt;&gt;"",'All Cases - Enter Cases'!H936,"")</f>
        <v/>
      </c>
      <c r="I936" t="str">
        <f>IF($A936&lt;&gt;"",'All Cases - Enter Cases'!I936,"")</f>
        <v/>
      </c>
      <c r="J936" t="str">
        <f>IF($A936&lt;&gt;"",'All Cases - Enter Cases'!J936,"")</f>
        <v/>
      </c>
      <c r="K936" t="str">
        <f>IF($A936&lt;&gt;"",'All Cases - Enter Cases'!K936,"")</f>
        <v/>
      </c>
      <c r="L936" t="str">
        <f>IF($A936&lt;&gt;"",'All Cases - Enter Cases'!L936,"")</f>
        <v/>
      </c>
      <c r="M936" t="str">
        <f>IF($A936&lt;&gt;"",'All Cases - Enter Cases'!M936,"")</f>
        <v/>
      </c>
    </row>
    <row r="937" spans="1:13" x14ac:dyDescent="0.35">
      <c r="A937" t="str">
        <f>IF('All Cases - Enter Cases'!$F937="Balochistan",'All Cases - Enter Cases'!A937,"")</f>
        <v/>
      </c>
      <c r="B937" t="str">
        <f>IF($A937&lt;&gt;"",'All Cases - Enter Cases'!B937,"")</f>
        <v/>
      </c>
      <c r="C937" t="str">
        <f>IF($A937&lt;&gt;"",'All Cases - Enter Cases'!C937,"")</f>
        <v/>
      </c>
      <c r="D937" t="str">
        <f>IF($A937&lt;&gt;"",'All Cases - Enter Cases'!D937,"")</f>
        <v/>
      </c>
      <c r="E937" t="str">
        <f>IF($A937&lt;&gt;"",'All Cases - Enter Cases'!E937,"")</f>
        <v/>
      </c>
      <c r="F937" t="str">
        <f>IF($A937&lt;&gt;"",'All Cases - Enter Cases'!F937,"")</f>
        <v/>
      </c>
      <c r="G937" t="str">
        <f>IF($A937&lt;&gt;"",'All Cases - Enter Cases'!G937,"")</f>
        <v/>
      </c>
      <c r="H937" t="str">
        <f>IF($A937&lt;&gt;"",'All Cases - Enter Cases'!H937,"")</f>
        <v/>
      </c>
      <c r="I937" t="str">
        <f>IF($A937&lt;&gt;"",'All Cases - Enter Cases'!I937,"")</f>
        <v/>
      </c>
      <c r="J937" t="str">
        <f>IF($A937&lt;&gt;"",'All Cases - Enter Cases'!J937,"")</f>
        <v/>
      </c>
      <c r="K937" t="str">
        <f>IF($A937&lt;&gt;"",'All Cases - Enter Cases'!K937,"")</f>
        <v/>
      </c>
      <c r="L937" t="str">
        <f>IF($A937&lt;&gt;"",'All Cases - Enter Cases'!L937,"")</f>
        <v/>
      </c>
      <c r="M937" t="str">
        <f>IF($A937&lt;&gt;"",'All Cases - Enter Cases'!M937,"")</f>
        <v/>
      </c>
    </row>
    <row r="938" spans="1:13" x14ac:dyDescent="0.35">
      <c r="A938" t="str">
        <f>IF('All Cases - Enter Cases'!$F938="Balochistan",'All Cases - Enter Cases'!A938,"")</f>
        <v/>
      </c>
      <c r="B938" t="str">
        <f>IF($A938&lt;&gt;"",'All Cases - Enter Cases'!B938,"")</f>
        <v/>
      </c>
      <c r="C938" t="str">
        <f>IF($A938&lt;&gt;"",'All Cases - Enter Cases'!C938,"")</f>
        <v/>
      </c>
      <c r="D938" t="str">
        <f>IF($A938&lt;&gt;"",'All Cases - Enter Cases'!D938,"")</f>
        <v/>
      </c>
      <c r="E938" t="str">
        <f>IF($A938&lt;&gt;"",'All Cases - Enter Cases'!E938,"")</f>
        <v/>
      </c>
      <c r="F938" t="str">
        <f>IF($A938&lt;&gt;"",'All Cases - Enter Cases'!F938,"")</f>
        <v/>
      </c>
      <c r="G938" t="str">
        <f>IF($A938&lt;&gt;"",'All Cases - Enter Cases'!G938,"")</f>
        <v/>
      </c>
      <c r="H938" t="str">
        <f>IF($A938&lt;&gt;"",'All Cases - Enter Cases'!H938,"")</f>
        <v/>
      </c>
      <c r="I938" t="str">
        <f>IF($A938&lt;&gt;"",'All Cases - Enter Cases'!I938,"")</f>
        <v/>
      </c>
      <c r="J938" t="str">
        <f>IF($A938&lt;&gt;"",'All Cases - Enter Cases'!J938,"")</f>
        <v/>
      </c>
      <c r="K938" t="str">
        <f>IF($A938&lt;&gt;"",'All Cases - Enter Cases'!K938,"")</f>
        <v/>
      </c>
      <c r="L938" t="str">
        <f>IF($A938&lt;&gt;"",'All Cases - Enter Cases'!L938,"")</f>
        <v/>
      </c>
      <c r="M938" t="str">
        <f>IF($A938&lt;&gt;"",'All Cases - Enter Cases'!M938,"")</f>
        <v/>
      </c>
    </row>
    <row r="939" spans="1:13" x14ac:dyDescent="0.35">
      <c r="A939" t="str">
        <f>IF('All Cases - Enter Cases'!$F939="Balochistan",'All Cases - Enter Cases'!A939,"")</f>
        <v/>
      </c>
      <c r="B939" t="str">
        <f>IF($A939&lt;&gt;"",'All Cases - Enter Cases'!B939,"")</f>
        <v/>
      </c>
      <c r="C939" t="str">
        <f>IF($A939&lt;&gt;"",'All Cases - Enter Cases'!C939,"")</f>
        <v/>
      </c>
      <c r="D939" t="str">
        <f>IF($A939&lt;&gt;"",'All Cases - Enter Cases'!D939,"")</f>
        <v/>
      </c>
      <c r="E939" t="str">
        <f>IF($A939&lt;&gt;"",'All Cases - Enter Cases'!E939,"")</f>
        <v/>
      </c>
      <c r="F939" t="str">
        <f>IF($A939&lt;&gt;"",'All Cases - Enter Cases'!F939,"")</f>
        <v/>
      </c>
      <c r="G939" t="str">
        <f>IF($A939&lt;&gt;"",'All Cases - Enter Cases'!G939,"")</f>
        <v/>
      </c>
      <c r="H939" t="str">
        <f>IF($A939&lt;&gt;"",'All Cases - Enter Cases'!H939,"")</f>
        <v/>
      </c>
      <c r="I939" t="str">
        <f>IF($A939&lt;&gt;"",'All Cases - Enter Cases'!I939,"")</f>
        <v/>
      </c>
      <c r="J939" t="str">
        <f>IF($A939&lt;&gt;"",'All Cases - Enter Cases'!J939,"")</f>
        <v/>
      </c>
      <c r="K939" t="str">
        <f>IF($A939&lt;&gt;"",'All Cases - Enter Cases'!K939,"")</f>
        <v/>
      </c>
      <c r="L939" t="str">
        <f>IF($A939&lt;&gt;"",'All Cases - Enter Cases'!L939,"")</f>
        <v/>
      </c>
      <c r="M939" t="str">
        <f>IF($A939&lt;&gt;"",'All Cases - Enter Cases'!M939,"")</f>
        <v/>
      </c>
    </row>
    <row r="940" spans="1:13" x14ac:dyDescent="0.35">
      <c r="A940" t="str">
        <f>IF('All Cases - Enter Cases'!$F940="Balochistan",'All Cases - Enter Cases'!A940,"")</f>
        <v/>
      </c>
      <c r="B940" t="str">
        <f>IF($A940&lt;&gt;"",'All Cases - Enter Cases'!B940,"")</f>
        <v/>
      </c>
      <c r="C940" t="str">
        <f>IF($A940&lt;&gt;"",'All Cases - Enter Cases'!C940,"")</f>
        <v/>
      </c>
      <c r="D940" t="str">
        <f>IF($A940&lt;&gt;"",'All Cases - Enter Cases'!D940,"")</f>
        <v/>
      </c>
      <c r="E940" t="str">
        <f>IF($A940&lt;&gt;"",'All Cases - Enter Cases'!E940,"")</f>
        <v/>
      </c>
      <c r="F940" t="str">
        <f>IF($A940&lt;&gt;"",'All Cases - Enter Cases'!F940,"")</f>
        <v/>
      </c>
      <c r="G940" t="str">
        <f>IF($A940&lt;&gt;"",'All Cases - Enter Cases'!G940,"")</f>
        <v/>
      </c>
      <c r="H940" t="str">
        <f>IF($A940&lt;&gt;"",'All Cases - Enter Cases'!H940,"")</f>
        <v/>
      </c>
      <c r="I940" t="str">
        <f>IF($A940&lt;&gt;"",'All Cases - Enter Cases'!I940,"")</f>
        <v/>
      </c>
      <c r="J940" t="str">
        <f>IF($A940&lt;&gt;"",'All Cases - Enter Cases'!J940,"")</f>
        <v/>
      </c>
      <c r="K940" t="str">
        <f>IF($A940&lt;&gt;"",'All Cases - Enter Cases'!K940,"")</f>
        <v/>
      </c>
      <c r="L940" t="str">
        <f>IF($A940&lt;&gt;"",'All Cases - Enter Cases'!L940,"")</f>
        <v/>
      </c>
      <c r="M940" t="str">
        <f>IF($A940&lt;&gt;"",'All Cases - Enter Cases'!M940,"")</f>
        <v/>
      </c>
    </row>
    <row r="941" spans="1:13" x14ac:dyDescent="0.35">
      <c r="A941" t="str">
        <f>IF('All Cases - Enter Cases'!$F941="Balochistan",'All Cases - Enter Cases'!A941,"")</f>
        <v/>
      </c>
      <c r="B941" t="str">
        <f>IF($A941&lt;&gt;"",'All Cases - Enter Cases'!B941,"")</f>
        <v/>
      </c>
      <c r="C941" t="str">
        <f>IF($A941&lt;&gt;"",'All Cases - Enter Cases'!C941,"")</f>
        <v/>
      </c>
      <c r="D941" t="str">
        <f>IF($A941&lt;&gt;"",'All Cases - Enter Cases'!D941,"")</f>
        <v/>
      </c>
      <c r="E941" t="str">
        <f>IF($A941&lt;&gt;"",'All Cases - Enter Cases'!E941,"")</f>
        <v/>
      </c>
      <c r="F941" t="str">
        <f>IF($A941&lt;&gt;"",'All Cases - Enter Cases'!F941,"")</f>
        <v/>
      </c>
      <c r="G941" t="str">
        <f>IF($A941&lt;&gt;"",'All Cases - Enter Cases'!G941,"")</f>
        <v/>
      </c>
      <c r="H941" t="str">
        <f>IF($A941&lt;&gt;"",'All Cases - Enter Cases'!H941,"")</f>
        <v/>
      </c>
      <c r="I941" t="str">
        <f>IF($A941&lt;&gt;"",'All Cases - Enter Cases'!I941,"")</f>
        <v/>
      </c>
      <c r="J941" t="str">
        <f>IF($A941&lt;&gt;"",'All Cases - Enter Cases'!J941,"")</f>
        <v/>
      </c>
      <c r="K941" t="str">
        <f>IF($A941&lt;&gt;"",'All Cases - Enter Cases'!K941,"")</f>
        <v/>
      </c>
      <c r="L941" t="str">
        <f>IF($A941&lt;&gt;"",'All Cases - Enter Cases'!L941,"")</f>
        <v/>
      </c>
      <c r="M941" t="str">
        <f>IF($A941&lt;&gt;"",'All Cases - Enter Cases'!M941,"")</f>
        <v/>
      </c>
    </row>
    <row r="942" spans="1:13" x14ac:dyDescent="0.35">
      <c r="A942" t="str">
        <f>IF('All Cases - Enter Cases'!$F942="Balochistan",'All Cases - Enter Cases'!A942,"")</f>
        <v/>
      </c>
      <c r="B942" t="str">
        <f>IF($A942&lt;&gt;"",'All Cases - Enter Cases'!B942,"")</f>
        <v/>
      </c>
      <c r="C942" t="str">
        <f>IF($A942&lt;&gt;"",'All Cases - Enter Cases'!C942,"")</f>
        <v/>
      </c>
      <c r="D942" t="str">
        <f>IF($A942&lt;&gt;"",'All Cases - Enter Cases'!D942,"")</f>
        <v/>
      </c>
      <c r="E942" t="str">
        <f>IF($A942&lt;&gt;"",'All Cases - Enter Cases'!E942,"")</f>
        <v/>
      </c>
      <c r="F942" t="str">
        <f>IF($A942&lt;&gt;"",'All Cases - Enter Cases'!F942,"")</f>
        <v/>
      </c>
      <c r="G942" t="str">
        <f>IF($A942&lt;&gt;"",'All Cases - Enter Cases'!G942,"")</f>
        <v/>
      </c>
      <c r="H942" t="str">
        <f>IF($A942&lt;&gt;"",'All Cases - Enter Cases'!H942,"")</f>
        <v/>
      </c>
      <c r="I942" t="str">
        <f>IF($A942&lt;&gt;"",'All Cases - Enter Cases'!I942,"")</f>
        <v/>
      </c>
      <c r="J942" t="str">
        <f>IF($A942&lt;&gt;"",'All Cases - Enter Cases'!J942,"")</f>
        <v/>
      </c>
      <c r="K942" t="str">
        <f>IF($A942&lt;&gt;"",'All Cases - Enter Cases'!K942,"")</f>
        <v/>
      </c>
      <c r="L942" t="str">
        <f>IF($A942&lt;&gt;"",'All Cases - Enter Cases'!L942,"")</f>
        <v/>
      </c>
      <c r="M942" t="str">
        <f>IF($A942&lt;&gt;"",'All Cases - Enter Cases'!M942,"")</f>
        <v/>
      </c>
    </row>
    <row r="943" spans="1:13" x14ac:dyDescent="0.35">
      <c r="A943" t="str">
        <f>IF('All Cases - Enter Cases'!$F943="Balochistan",'All Cases - Enter Cases'!A943,"")</f>
        <v/>
      </c>
      <c r="B943" t="str">
        <f>IF($A943&lt;&gt;"",'All Cases - Enter Cases'!B943,"")</f>
        <v/>
      </c>
      <c r="C943" t="str">
        <f>IF($A943&lt;&gt;"",'All Cases - Enter Cases'!C943,"")</f>
        <v/>
      </c>
      <c r="D943" t="str">
        <f>IF($A943&lt;&gt;"",'All Cases - Enter Cases'!D943,"")</f>
        <v/>
      </c>
      <c r="E943" t="str">
        <f>IF($A943&lt;&gt;"",'All Cases - Enter Cases'!E943,"")</f>
        <v/>
      </c>
      <c r="F943" t="str">
        <f>IF($A943&lt;&gt;"",'All Cases - Enter Cases'!F943,"")</f>
        <v/>
      </c>
      <c r="G943" t="str">
        <f>IF($A943&lt;&gt;"",'All Cases - Enter Cases'!G943,"")</f>
        <v/>
      </c>
      <c r="H943" t="str">
        <f>IF($A943&lt;&gt;"",'All Cases - Enter Cases'!H943,"")</f>
        <v/>
      </c>
      <c r="I943" t="str">
        <f>IF($A943&lt;&gt;"",'All Cases - Enter Cases'!I943,"")</f>
        <v/>
      </c>
      <c r="J943" t="str">
        <f>IF($A943&lt;&gt;"",'All Cases - Enter Cases'!J943,"")</f>
        <v/>
      </c>
      <c r="K943" t="str">
        <f>IF($A943&lt;&gt;"",'All Cases - Enter Cases'!K943,"")</f>
        <v/>
      </c>
      <c r="L943" t="str">
        <f>IF($A943&lt;&gt;"",'All Cases - Enter Cases'!L943,"")</f>
        <v/>
      </c>
      <c r="M943" t="str">
        <f>IF($A943&lt;&gt;"",'All Cases - Enter Cases'!M943,"")</f>
        <v/>
      </c>
    </row>
    <row r="944" spans="1:13" x14ac:dyDescent="0.35">
      <c r="A944" t="str">
        <f>IF('All Cases - Enter Cases'!$F944="Balochistan",'All Cases - Enter Cases'!A944,"")</f>
        <v/>
      </c>
      <c r="B944" t="str">
        <f>IF($A944&lt;&gt;"",'All Cases - Enter Cases'!B944,"")</f>
        <v/>
      </c>
      <c r="C944" t="str">
        <f>IF($A944&lt;&gt;"",'All Cases - Enter Cases'!C944,"")</f>
        <v/>
      </c>
      <c r="D944" t="str">
        <f>IF($A944&lt;&gt;"",'All Cases - Enter Cases'!D944,"")</f>
        <v/>
      </c>
      <c r="E944" t="str">
        <f>IF($A944&lt;&gt;"",'All Cases - Enter Cases'!E944,"")</f>
        <v/>
      </c>
      <c r="F944" t="str">
        <f>IF($A944&lt;&gt;"",'All Cases - Enter Cases'!F944,"")</f>
        <v/>
      </c>
      <c r="G944" t="str">
        <f>IF($A944&lt;&gt;"",'All Cases - Enter Cases'!G944,"")</f>
        <v/>
      </c>
      <c r="H944" t="str">
        <f>IF($A944&lt;&gt;"",'All Cases - Enter Cases'!H944,"")</f>
        <v/>
      </c>
      <c r="I944" t="str">
        <f>IF($A944&lt;&gt;"",'All Cases - Enter Cases'!I944,"")</f>
        <v/>
      </c>
      <c r="J944" t="str">
        <f>IF($A944&lt;&gt;"",'All Cases - Enter Cases'!J944,"")</f>
        <v/>
      </c>
      <c r="K944" t="str">
        <f>IF($A944&lt;&gt;"",'All Cases - Enter Cases'!K944,"")</f>
        <v/>
      </c>
      <c r="L944" t="str">
        <f>IF($A944&lt;&gt;"",'All Cases - Enter Cases'!L944,"")</f>
        <v/>
      </c>
      <c r="M944" t="str">
        <f>IF($A944&lt;&gt;"",'All Cases - Enter Cases'!M944,"")</f>
        <v/>
      </c>
    </row>
    <row r="945" spans="1:13" x14ac:dyDescent="0.35">
      <c r="A945" t="str">
        <f>IF('All Cases - Enter Cases'!$F945="Balochistan",'All Cases - Enter Cases'!A945,"")</f>
        <v/>
      </c>
      <c r="B945" t="str">
        <f>IF($A945&lt;&gt;"",'All Cases - Enter Cases'!B945,"")</f>
        <v/>
      </c>
      <c r="C945" t="str">
        <f>IF($A945&lt;&gt;"",'All Cases - Enter Cases'!C945,"")</f>
        <v/>
      </c>
      <c r="D945" t="str">
        <f>IF($A945&lt;&gt;"",'All Cases - Enter Cases'!D945,"")</f>
        <v/>
      </c>
      <c r="E945" t="str">
        <f>IF($A945&lt;&gt;"",'All Cases - Enter Cases'!E945,"")</f>
        <v/>
      </c>
      <c r="F945" t="str">
        <f>IF($A945&lt;&gt;"",'All Cases - Enter Cases'!F945,"")</f>
        <v/>
      </c>
      <c r="G945" t="str">
        <f>IF($A945&lt;&gt;"",'All Cases - Enter Cases'!G945,"")</f>
        <v/>
      </c>
      <c r="H945" t="str">
        <f>IF($A945&lt;&gt;"",'All Cases - Enter Cases'!H945,"")</f>
        <v/>
      </c>
      <c r="I945" t="str">
        <f>IF($A945&lt;&gt;"",'All Cases - Enter Cases'!I945,"")</f>
        <v/>
      </c>
      <c r="J945" t="str">
        <f>IF($A945&lt;&gt;"",'All Cases - Enter Cases'!J945,"")</f>
        <v/>
      </c>
      <c r="K945" t="str">
        <f>IF($A945&lt;&gt;"",'All Cases - Enter Cases'!K945,"")</f>
        <v/>
      </c>
      <c r="L945" t="str">
        <f>IF($A945&lt;&gt;"",'All Cases - Enter Cases'!L945,"")</f>
        <v/>
      </c>
      <c r="M945" t="str">
        <f>IF($A945&lt;&gt;"",'All Cases - Enter Cases'!M945,"")</f>
        <v/>
      </c>
    </row>
    <row r="946" spans="1:13" x14ac:dyDescent="0.35">
      <c r="A946" t="str">
        <f>IF('All Cases - Enter Cases'!$F946="Balochistan",'All Cases - Enter Cases'!A946,"")</f>
        <v/>
      </c>
      <c r="B946" t="str">
        <f>IF($A946&lt;&gt;"",'All Cases - Enter Cases'!B946,"")</f>
        <v/>
      </c>
      <c r="C946" t="str">
        <f>IF($A946&lt;&gt;"",'All Cases - Enter Cases'!C946,"")</f>
        <v/>
      </c>
      <c r="D946" t="str">
        <f>IF($A946&lt;&gt;"",'All Cases - Enter Cases'!D946,"")</f>
        <v/>
      </c>
      <c r="E946" t="str">
        <f>IF($A946&lt;&gt;"",'All Cases - Enter Cases'!E946,"")</f>
        <v/>
      </c>
      <c r="F946" t="str">
        <f>IF($A946&lt;&gt;"",'All Cases - Enter Cases'!F946,"")</f>
        <v/>
      </c>
      <c r="G946" t="str">
        <f>IF($A946&lt;&gt;"",'All Cases - Enter Cases'!G946,"")</f>
        <v/>
      </c>
      <c r="H946" t="str">
        <f>IF($A946&lt;&gt;"",'All Cases - Enter Cases'!H946,"")</f>
        <v/>
      </c>
      <c r="I946" t="str">
        <f>IF($A946&lt;&gt;"",'All Cases - Enter Cases'!I946,"")</f>
        <v/>
      </c>
      <c r="J946" t="str">
        <f>IF($A946&lt;&gt;"",'All Cases - Enter Cases'!J946,"")</f>
        <v/>
      </c>
      <c r="K946" t="str">
        <f>IF($A946&lt;&gt;"",'All Cases - Enter Cases'!K946,"")</f>
        <v/>
      </c>
      <c r="L946" t="str">
        <f>IF($A946&lt;&gt;"",'All Cases - Enter Cases'!L946,"")</f>
        <v/>
      </c>
      <c r="M946" t="str">
        <f>IF($A946&lt;&gt;"",'All Cases - Enter Cases'!M946,"")</f>
        <v/>
      </c>
    </row>
    <row r="947" spans="1:13" x14ac:dyDescent="0.35">
      <c r="A947" t="str">
        <f>IF('All Cases - Enter Cases'!$F947="Balochistan",'All Cases - Enter Cases'!A947,"")</f>
        <v/>
      </c>
      <c r="B947" t="str">
        <f>IF($A947&lt;&gt;"",'All Cases - Enter Cases'!B947,"")</f>
        <v/>
      </c>
      <c r="C947" t="str">
        <f>IF($A947&lt;&gt;"",'All Cases - Enter Cases'!C947,"")</f>
        <v/>
      </c>
      <c r="D947" t="str">
        <f>IF($A947&lt;&gt;"",'All Cases - Enter Cases'!D947,"")</f>
        <v/>
      </c>
      <c r="E947" t="str">
        <f>IF($A947&lt;&gt;"",'All Cases - Enter Cases'!E947,"")</f>
        <v/>
      </c>
      <c r="F947" t="str">
        <f>IF($A947&lt;&gt;"",'All Cases - Enter Cases'!F947,"")</f>
        <v/>
      </c>
      <c r="G947" t="str">
        <f>IF($A947&lt;&gt;"",'All Cases - Enter Cases'!G947,"")</f>
        <v/>
      </c>
      <c r="H947" t="str">
        <f>IF($A947&lt;&gt;"",'All Cases - Enter Cases'!H947,"")</f>
        <v/>
      </c>
      <c r="I947" t="str">
        <f>IF($A947&lt;&gt;"",'All Cases - Enter Cases'!I947,"")</f>
        <v/>
      </c>
      <c r="J947" t="str">
        <f>IF($A947&lt;&gt;"",'All Cases - Enter Cases'!J947,"")</f>
        <v/>
      </c>
      <c r="K947" t="str">
        <f>IF($A947&lt;&gt;"",'All Cases - Enter Cases'!K947,"")</f>
        <v/>
      </c>
      <c r="L947" t="str">
        <f>IF($A947&lt;&gt;"",'All Cases - Enter Cases'!L947,"")</f>
        <v/>
      </c>
      <c r="M947" t="str">
        <f>IF($A947&lt;&gt;"",'All Cases - Enter Cases'!M947,"")</f>
        <v/>
      </c>
    </row>
    <row r="948" spans="1:13" x14ac:dyDescent="0.35">
      <c r="A948" t="str">
        <f>IF('All Cases - Enter Cases'!$F948="Balochistan",'All Cases - Enter Cases'!A948,"")</f>
        <v/>
      </c>
      <c r="B948" t="str">
        <f>IF($A948&lt;&gt;"",'All Cases - Enter Cases'!B948,"")</f>
        <v/>
      </c>
      <c r="C948" t="str">
        <f>IF($A948&lt;&gt;"",'All Cases - Enter Cases'!C948,"")</f>
        <v/>
      </c>
      <c r="D948" t="str">
        <f>IF($A948&lt;&gt;"",'All Cases - Enter Cases'!D948,"")</f>
        <v/>
      </c>
      <c r="E948" t="str">
        <f>IF($A948&lt;&gt;"",'All Cases - Enter Cases'!E948,"")</f>
        <v/>
      </c>
      <c r="F948" t="str">
        <f>IF($A948&lt;&gt;"",'All Cases - Enter Cases'!F948,"")</f>
        <v/>
      </c>
      <c r="G948" t="str">
        <f>IF($A948&lt;&gt;"",'All Cases - Enter Cases'!G948,"")</f>
        <v/>
      </c>
      <c r="H948" t="str">
        <f>IF($A948&lt;&gt;"",'All Cases - Enter Cases'!H948,"")</f>
        <v/>
      </c>
      <c r="I948" t="str">
        <f>IF($A948&lt;&gt;"",'All Cases - Enter Cases'!I948,"")</f>
        <v/>
      </c>
      <c r="J948" t="str">
        <f>IF($A948&lt;&gt;"",'All Cases - Enter Cases'!J948,"")</f>
        <v/>
      </c>
      <c r="K948" t="str">
        <f>IF($A948&lt;&gt;"",'All Cases - Enter Cases'!K948,"")</f>
        <v/>
      </c>
      <c r="L948" t="str">
        <f>IF($A948&lt;&gt;"",'All Cases - Enter Cases'!L948,"")</f>
        <v/>
      </c>
      <c r="M948" t="str">
        <f>IF($A948&lt;&gt;"",'All Cases - Enter Cases'!M948,"")</f>
        <v/>
      </c>
    </row>
    <row r="949" spans="1:13" x14ac:dyDescent="0.35">
      <c r="A949" t="str">
        <f>IF('All Cases - Enter Cases'!$F949="Balochistan",'All Cases - Enter Cases'!A949,"")</f>
        <v/>
      </c>
      <c r="B949" t="str">
        <f>IF($A949&lt;&gt;"",'All Cases - Enter Cases'!B949,"")</f>
        <v/>
      </c>
      <c r="C949" t="str">
        <f>IF($A949&lt;&gt;"",'All Cases - Enter Cases'!C949,"")</f>
        <v/>
      </c>
      <c r="D949" t="str">
        <f>IF($A949&lt;&gt;"",'All Cases - Enter Cases'!D949,"")</f>
        <v/>
      </c>
      <c r="E949" t="str">
        <f>IF($A949&lt;&gt;"",'All Cases - Enter Cases'!E949,"")</f>
        <v/>
      </c>
      <c r="F949" t="str">
        <f>IF($A949&lt;&gt;"",'All Cases - Enter Cases'!F949,"")</f>
        <v/>
      </c>
      <c r="G949" t="str">
        <f>IF($A949&lt;&gt;"",'All Cases - Enter Cases'!G949,"")</f>
        <v/>
      </c>
      <c r="H949" t="str">
        <f>IF($A949&lt;&gt;"",'All Cases - Enter Cases'!H949,"")</f>
        <v/>
      </c>
      <c r="I949" t="str">
        <f>IF($A949&lt;&gt;"",'All Cases - Enter Cases'!I949,"")</f>
        <v/>
      </c>
      <c r="J949" t="str">
        <f>IF($A949&lt;&gt;"",'All Cases - Enter Cases'!J949,"")</f>
        <v/>
      </c>
      <c r="K949" t="str">
        <f>IF($A949&lt;&gt;"",'All Cases - Enter Cases'!K949,"")</f>
        <v/>
      </c>
      <c r="L949" t="str">
        <f>IF($A949&lt;&gt;"",'All Cases - Enter Cases'!L949,"")</f>
        <v/>
      </c>
      <c r="M949" t="str">
        <f>IF($A949&lt;&gt;"",'All Cases - Enter Cases'!M949,"")</f>
        <v/>
      </c>
    </row>
    <row r="950" spans="1:13" x14ac:dyDescent="0.35">
      <c r="A950" t="str">
        <f>IF('All Cases - Enter Cases'!$F950="Balochistan",'All Cases - Enter Cases'!A950,"")</f>
        <v/>
      </c>
      <c r="B950" t="str">
        <f>IF($A950&lt;&gt;"",'All Cases - Enter Cases'!B950,"")</f>
        <v/>
      </c>
      <c r="C950" t="str">
        <f>IF($A950&lt;&gt;"",'All Cases - Enter Cases'!C950,"")</f>
        <v/>
      </c>
      <c r="D950" t="str">
        <f>IF($A950&lt;&gt;"",'All Cases - Enter Cases'!D950,"")</f>
        <v/>
      </c>
      <c r="E950" t="str">
        <f>IF($A950&lt;&gt;"",'All Cases - Enter Cases'!E950,"")</f>
        <v/>
      </c>
      <c r="F950" t="str">
        <f>IF($A950&lt;&gt;"",'All Cases - Enter Cases'!F950,"")</f>
        <v/>
      </c>
      <c r="G950" t="str">
        <f>IF($A950&lt;&gt;"",'All Cases - Enter Cases'!G950,"")</f>
        <v/>
      </c>
      <c r="H950" t="str">
        <f>IF($A950&lt;&gt;"",'All Cases - Enter Cases'!H950,"")</f>
        <v/>
      </c>
      <c r="I950" t="str">
        <f>IF($A950&lt;&gt;"",'All Cases - Enter Cases'!I950,"")</f>
        <v/>
      </c>
      <c r="J950" t="str">
        <f>IF($A950&lt;&gt;"",'All Cases - Enter Cases'!J950,"")</f>
        <v/>
      </c>
      <c r="K950" t="str">
        <f>IF($A950&lt;&gt;"",'All Cases - Enter Cases'!K950,"")</f>
        <v/>
      </c>
      <c r="L950" t="str">
        <f>IF($A950&lt;&gt;"",'All Cases - Enter Cases'!L950,"")</f>
        <v/>
      </c>
      <c r="M950" t="str">
        <f>IF($A950&lt;&gt;"",'All Cases - Enter Cases'!M950,"")</f>
        <v/>
      </c>
    </row>
    <row r="951" spans="1:13" x14ac:dyDescent="0.35">
      <c r="A951" t="str">
        <f>IF('All Cases - Enter Cases'!$F951="Balochistan",'All Cases - Enter Cases'!A951,"")</f>
        <v/>
      </c>
      <c r="B951" t="str">
        <f>IF($A951&lt;&gt;"",'All Cases - Enter Cases'!B951,"")</f>
        <v/>
      </c>
      <c r="C951" t="str">
        <f>IF($A951&lt;&gt;"",'All Cases - Enter Cases'!C951,"")</f>
        <v/>
      </c>
      <c r="D951" t="str">
        <f>IF($A951&lt;&gt;"",'All Cases - Enter Cases'!D951,"")</f>
        <v/>
      </c>
      <c r="E951" t="str">
        <f>IF($A951&lt;&gt;"",'All Cases - Enter Cases'!E951,"")</f>
        <v/>
      </c>
      <c r="F951" t="str">
        <f>IF($A951&lt;&gt;"",'All Cases - Enter Cases'!F951,"")</f>
        <v/>
      </c>
      <c r="G951" t="str">
        <f>IF($A951&lt;&gt;"",'All Cases - Enter Cases'!G951,"")</f>
        <v/>
      </c>
      <c r="H951" t="str">
        <f>IF($A951&lt;&gt;"",'All Cases - Enter Cases'!H951,"")</f>
        <v/>
      </c>
      <c r="I951" t="str">
        <f>IF($A951&lt;&gt;"",'All Cases - Enter Cases'!I951,"")</f>
        <v/>
      </c>
      <c r="J951" t="str">
        <f>IF($A951&lt;&gt;"",'All Cases - Enter Cases'!J951,"")</f>
        <v/>
      </c>
      <c r="K951" t="str">
        <f>IF($A951&lt;&gt;"",'All Cases - Enter Cases'!K951,"")</f>
        <v/>
      </c>
      <c r="L951" t="str">
        <f>IF($A951&lt;&gt;"",'All Cases - Enter Cases'!L951,"")</f>
        <v/>
      </c>
      <c r="M951" t="str">
        <f>IF($A951&lt;&gt;"",'All Cases - Enter Cases'!M951,"")</f>
        <v/>
      </c>
    </row>
    <row r="952" spans="1:13" x14ac:dyDescent="0.35">
      <c r="A952" t="str">
        <f>IF('All Cases - Enter Cases'!$F952="Balochistan",'All Cases - Enter Cases'!A952,"")</f>
        <v/>
      </c>
      <c r="B952" t="str">
        <f>IF($A952&lt;&gt;"",'All Cases - Enter Cases'!B952,"")</f>
        <v/>
      </c>
      <c r="C952" t="str">
        <f>IF($A952&lt;&gt;"",'All Cases - Enter Cases'!C952,"")</f>
        <v/>
      </c>
      <c r="D952" t="str">
        <f>IF($A952&lt;&gt;"",'All Cases - Enter Cases'!D952,"")</f>
        <v/>
      </c>
      <c r="E952" t="str">
        <f>IF($A952&lt;&gt;"",'All Cases - Enter Cases'!E952,"")</f>
        <v/>
      </c>
      <c r="F952" t="str">
        <f>IF($A952&lt;&gt;"",'All Cases - Enter Cases'!F952,"")</f>
        <v/>
      </c>
      <c r="G952" t="str">
        <f>IF($A952&lt;&gt;"",'All Cases - Enter Cases'!G952,"")</f>
        <v/>
      </c>
      <c r="H952" t="str">
        <f>IF($A952&lt;&gt;"",'All Cases - Enter Cases'!H952,"")</f>
        <v/>
      </c>
      <c r="I952" t="str">
        <f>IF($A952&lt;&gt;"",'All Cases - Enter Cases'!I952,"")</f>
        <v/>
      </c>
      <c r="J952" t="str">
        <f>IF($A952&lt;&gt;"",'All Cases - Enter Cases'!J952,"")</f>
        <v/>
      </c>
      <c r="K952" t="str">
        <f>IF($A952&lt;&gt;"",'All Cases - Enter Cases'!K952,"")</f>
        <v/>
      </c>
      <c r="L952" t="str">
        <f>IF($A952&lt;&gt;"",'All Cases - Enter Cases'!L952,"")</f>
        <v/>
      </c>
      <c r="M952" t="str">
        <f>IF($A952&lt;&gt;"",'All Cases - Enter Cases'!M952,"")</f>
        <v/>
      </c>
    </row>
    <row r="953" spans="1:13" x14ac:dyDescent="0.35">
      <c r="A953" t="str">
        <f>IF('All Cases - Enter Cases'!$F953="Balochistan",'All Cases - Enter Cases'!A953,"")</f>
        <v/>
      </c>
      <c r="B953" t="str">
        <f>IF($A953&lt;&gt;"",'All Cases - Enter Cases'!B953,"")</f>
        <v/>
      </c>
      <c r="C953" t="str">
        <f>IF($A953&lt;&gt;"",'All Cases - Enter Cases'!C953,"")</f>
        <v/>
      </c>
      <c r="D953" t="str">
        <f>IF($A953&lt;&gt;"",'All Cases - Enter Cases'!D953,"")</f>
        <v/>
      </c>
      <c r="E953" t="str">
        <f>IF($A953&lt;&gt;"",'All Cases - Enter Cases'!E953,"")</f>
        <v/>
      </c>
      <c r="F953" t="str">
        <f>IF($A953&lt;&gt;"",'All Cases - Enter Cases'!F953,"")</f>
        <v/>
      </c>
      <c r="G953" t="str">
        <f>IF($A953&lt;&gt;"",'All Cases - Enter Cases'!G953,"")</f>
        <v/>
      </c>
      <c r="H953" t="str">
        <f>IF($A953&lt;&gt;"",'All Cases - Enter Cases'!H953,"")</f>
        <v/>
      </c>
      <c r="I953" t="str">
        <f>IF($A953&lt;&gt;"",'All Cases - Enter Cases'!I953,"")</f>
        <v/>
      </c>
      <c r="J953" t="str">
        <f>IF($A953&lt;&gt;"",'All Cases - Enter Cases'!J953,"")</f>
        <v/>
      </c>
      <c r="K953" t="str">
        <f>IF($A953&lt;&gt;"",'All Cases - Enter Cases'!K953,"")</f>
        <v/>
      </c>
      <c r="L953" t="str">
        <f>IF($A953&lt;&gt;"",'All Cases - Enter Cases'!L953,"")</f>
        <v/>
      </c>
      <c r="M953" t="str">
        <f>IF($A953&lt;&gt;"",'All Cases - Enter Cases'!M953,"")</f>
        <v/>
      </c>
    </row>
    <row r="954" spans="1:13" x14ac:dyDescent="0.35">
      <c r="A954" t="str">
        <f>IF('All Cases - Enter Cases'!$F954="Balochistan",'All Cases - Enter Cases'!A954,"")</f>
        <v/>
      </c>
      <c r="B954" t="str">
        <f>IF($A954&lt;&gt;"",'All Cases - Enter Cases'!B954,"")</f>
        <v/>
      </c>
      <c r="C954" t="str">
        <f>IF($A954&lt;&gt;"",'All Cases - Enter Cases'!C954,"")</f>
        <v/>
      </c>
      <c r="D954" t="str">
        <f>IF($A954&lt;&gt;"",'All Cases - Enter Cases'!D954,"")</f>
        <v/>
      </c>
      <c r="E954" t="str">
        <f>IF($A954&lt;&gt;"",'All Cases - Enter Cases'!E954,"")</f>
        <v/>
      </c>
      <c r="F954" t="str">
        <f>IF($A954&lt;&gt;"",'All Cases - Enter Cases'!F954,"")</f>
        <v/>
      </c>
      <c r="G954" t="str">
        <f>IF($A954&lt;&gt;"",'All Cases - Enter Cases'!G954,"")</f>
        <v/>
      </c>
      <c r="H954" t="str">
        <f>IF($A954&lt;&gt;"",'All Cases - Enter Cases'!H954,"")</f>
        <v/>
      </c>
      <c r="I954" t="str">
        <f>IF($A954&lt;&gt;"",'All Cases - Enter Cases'!I954,"")</f>
        <v/>
      </c>
      <c r="J954" t="str">
        <f>IF($A954&lt;&gt;"",'All Cases - Enter Cases'!J954,"")</f>
        <v/>
      </c>
      <c r="K954" t="str">
        <f>IF($A954&lt;&gt;"",'All Cases - Enter Cases'!K954,"")</f>
        <v/>
      </c>
      <c r="L954" t="str">
        <f>IF($A954&lt;&gt;"",'All Cases - Enter Cases'!L954,"")</f>
        <v/>
      </c>
      <c r="M954" t="str">
        <f>IF($A954&lt;&gt;"",'All Cases - Enter Cases'!M954,"")</f>
        <v/>
      </c>
    </row>
    <row r="955" spans="1:13" x14ac:dyDescent="0.35">
      <c r="A955" t="str">
        <f>IF('All Cases - Enter Cases'!$F955="Balochistan",'All Cases - Enter Cases'!A955,"")</f>
        <v/>
      </c>
      <c r="B955" t="str">
        <f>IF($A955&lt;&gt;"",'All Cases - Enter Cases'!B955,"")</f>
        <v/>
      </c>
      <c r="C955" t="str">
        <f>IF($A955&lt;&gt;"",'All Cases - Enter Cases'!C955,"")</f>
        <v/>
      </c>
      <c r="D955" t="str">
        <f>IF($A955&lt;&gt;"",'All Cases - Enter Cases'!D955,"")</f>
        <v/>
      </c>
      <c r="E955" t="str">
        <f>IF($A955&lt;&gt;"",'All Cases - Enter Cases'!E955,"")</f>
        <v/>
      </c>
      <c r="F955" t="str">
        <f>IF($A955&lt;&gt;"",'All Cases - Enter Cases'!F955,"")</f>
        <v/>
      </c>
      <c r="G955" t="str">
        <f>IF($A955&lt;&gt;"",'All Cases - Enter Cases'!G955,"")</f>
        <v/>
      </c>
      <c r="H955" t="str">
        <f>IF($A955&lt;&gt;"",'All Cases - Enter Cases'!H955,"")</f>
        <v/>
      </c>
      <c r="I955" t="str">
        <f>IF($A955&lt;&gt;"",'All Cases - Enter Cases'!I955,"")</f>
        <v/>
      </c>
      <c r="J955" t="str">
        <f>IF($A955&lt;&gt;"",'All Cases - Enter Cases'!J955,"")</f>
        <v/>
      </c>
      <c r="K955" t="str">
        <f>IF($A955&lt;&gt;"",'All Cases - Enter Cases'!K955,"")</f>
        <v/>
      </c>
      <c r="L955" t="str">
        <f>IF($A955&lt;&gt;"",'All Cases - Enter Cases'!L955,"")</f>
        <v/>
      </c>
      <c r="M955" t="str">
        <f>IF($A955&lt;&gt;"",'All Cases - Enter Cases'!M955,"")</f>
        <v/>
      </c>
    </row>
    <row r="956" spans="1:13" x14ac:dyDescent="0.35">
      <c r="A956" t="str">
        <f>IF('All Cases - Enter Cases'!$F956="Balochistan",'All Cases - Enter Cases'!A956,"")</f>
        <v/>
      </c>
      <c r="B956" t="str">
        <f>IF($A956&lt;&gt;"",'All Cases - Enter Cases'!B956,"")</f>
        <v/>
      </c>
      <c r="C956" t="str">
        <f>IF($A956&lt;&gt;"",'All Cases - Enter Cases'!C956,"")</f>
        <v/>
      </c>
      <c r="D956" t="str">
        <f>IF($A956&lt;&gt;"",'All Cases - Enter Cases'!D956,"")</f>
        <v/>
      </c>
      <c r="E956" t="str">
        <f>IF($A956&lt;&gt;"",'All Cases - Enter Cases'!E956,"")</f>
        <v/>
      </c>
      <c r="F956" t="str">
        <f>IF($A956&lt;&gt;"",'All Cases - Enter Cases'!F956,"")</f>
        <v/>
      </c>
      <c r="G956" t="str">
        <f>IF($A956&lt;&gt;"",'All Cases - Enter Cases'!G956,"")</f>
        <v/>
      </c>
      <c r="H956" t="str">
        <f>IF($A956&lt;&gt;"",'All Cases - Enter Cases'!H956,"")</f>
        <v/>
      </c>
      <c r="I956" t="str">
        <f>IF($A956&lt;&gt;"",'All Cases - Enter Cases'!I956,"")</f>
        <v/>
      </c>
      <c r="J956" t="str">
        <f>IF($A956&lt;&gt;"",'All Cases - Enter Cases'!J956,"")</f>
        <v/>
      </c>
      <c r="K956" t="str">
        <f>IF($A956&lt;&gt;"",'All Cases - Enter Cases'!K956,"")</f>
        <v/>
      </c>
      <c r="L956" t="str">
        <f>IF($A956&lt;&gt;"",'All Cases - Enter Cases'!L956,"")</f>
        <v/>
      </c>
      <c r="M956" t="str">
        <f>IF($A956&lt;&gt;"",'All Cases - Enter Cases'!M956,"")</f>
        <v/>
      </c>
    </row>
    <row r="957" spans="1:13" x14ac:dyDescent="0.35">
      <c r="A957" t="str">
        <f>IF('All Cases - Enter Cases'!$F957="Balochistan",'All Cases - Enter Cases'!A957,"")</f>
        <v/>
      </c>
      <c r="B957" t="str">
        <f>IF($A957&lt;&gt;"",'All Cases - Enter Cases'!B957,"")</f>
        <v/>
      </c>
      <c r="C957" t="str">
        <f>IF($A957&lt;&gt;"",'All Cases - Enter Cases'!C957,"")</f>
        <v/>
      </c>
      <c r="D957" t="str">
        <f>IF($A957&lt;&gt;"",'All Cases - Enter Cases'!D957,"")</f>
        <v/>
      </c>
      <c r="E957" t="str">
        <f>IF($A957&lt;&gt;"",'All Cases - Enter Cases'!E957,"")</f>
        <v/>
      </c>
      <c r="F957" t="str">
        <f>IF($A957&lt;&gt;"",'All Cases - Enter Cases'!F957,"")</f>
        <v/>
      </c>
      <c r="G957" t="str">
        <f>IF($A957&lt;&gt;"",'All Cases - Enter Cases'!G957,"")</f>
        <v/>
      </c>
      <c r="H957" t="str">
        <f>IF($A957&lt;&gt;"",'All Cases - Enter Cases'!H957,"")</f>
        <v/>
      </c>
      <c r="I957" t="str">
        <f>IF($A957&lt;&gt;"",'All Cases - Enter Cases'!I957,"")</f>
        <v/>
      </c>
      <c r="J957" t="str">
        <f>IF($A957&lt;&gt;"",'All Cases - Enter Cases'!J957,"")</f>
        <v/>
      </c>
      <c r="K957" t="str">
        <f>IF($A957&lt;&gt;"",'All Cases - Enter Cases'!K957,"")</f>
        <v/>
      </c>
      <c r="L957" t="str">
        <f>IF($A957&lt;&gt;"",'All Cases - Enter Cases'!L957,"")</f>
        <v/>
      </c>
      <c r="M957" t="str">
        <f>IF($A957&lt;&gt;"",'All Cases - Enter Cases'!M957,"")</f>
        <v/>
      </c>
    </row>
    <row r="958" spans="1:13" x14ac:dyDescent="0.35">
      <c r="A958" t="str">
        <f>IF('All Cases - Enter Cases'!$F958="Balochistan",'All Cases - Enter Cases'!A958,"")</f>
        <v/>
      </c>
      <c r="B958" t="str">
        <f>IF($A958&lt;&gt;"",'All Cases - Enter Cases'!B958,"")</f>
        <v/>
      </c>
      <c r="C958" t="str">
        <f>IF($A958&lt;&gt;"",'All Cases - Enter Cases'!C958,"")</f>
        <v/>
      </c>
      <c r="D958" t="str">
        <f>IF($A958&lt;&gt;"",'All Cases - Enter Cases'!D958,"")</f>
        <v/>
      </c>
      <c r="E958" t="str">
        <f>IF($A958&lt;&gt;"",'All Cases - Enter Cases'!E958,"")</f>
        <v/>
      </c>
      <c r="F958" t="str">
        <f>IF($A958&lt;&gt;"",'All Cases - Enter Cases'!F958,"")</f>
        <v/>
      </c>
      <c r="G958" t="str">
        <f>IF($A958&lt;&gt;"",'All Cases - Enter Cases'!G958,"")</f>
        <v/>
      </c>
      <c r="H958" t="str">
        <f>IF($A958&lt;&gt;"",'All Cases - Enter Cases'!H958,"")</f>
        <v/>
      </c>
      <c r="I958" t="str">
        <f>IF($A958&lt;&gt;"",'All Cases - Enter Cases'!I958,"")</f>
        <v/>
      </c>
      <c r="J958" t="str">
        <f>IF($A958&lt;&gt;"",'All Cases - Enter Cases'!J958,"")</f>
        <v/>
      </c>
      <c r="K958" t="str">
        <f>IF($A958&lt;&gt;"",'All Cases - Enter Cases'!K958,"")</f>
        <v/>
      </c>
      <c r="L958" t="str">
        <f>IF($A958&lt;&gt;"",'All Cases - Enter Cases'!L958,"")</f>
        <v/>
      </c>
      <c r="M958" t="str">
        <f>IF($A958&lt;&gt;"",'All Cases - Enter Cases'!M958,"")</f>
        <v/>
      </c>
    </row>
    <row r="959" spans="1:13" x14ac:dyDescent="0.35">
      <c r="A959" t="str">
        <f>IF('All Cases - Enter Cases'!$F959="Balochistan",'All Cases - Enter Cases'!A959,"")</f>
        <v/>
      </c>
      <c r="B959" t="str">
        <f>IF($A959&lt;&gt;"",'All Cases - Enter Cases'!B959,"")</f>
        <v/>
      </c>
      <c r="C959" t="str">
        <f>IF($A959&lt;&gt;"",'All Cases - Enter Cases'!C959,"")</f>
        <v/>
      </c>
      <c r="D959" t="str">
        <f>IF($A959&lt;&gt;"",'All Cases - Enter Cases'!D959,"")</f>
        <v/>
      </c>
      <c r="E959" t="str">
        <f>IF($A959&lt;&gt;"",'All Cases - Enter Cases'!E959,"")</f>
        <v/>
      </c>
      <c r="F959" t="str">
        <f>IF($A959&lt;&gt;"",'All Cases - Enter Cases'!F959,"")</f>
        <v/>
      </c>
      <c r="G959" t="str">
        <f>IF($A959&lt;&gt;"",'All Cases - Enter Cases'!G959,"")</f>
        <v/>
      </c>
      <c r="H959" t="str">
        <f>IF($A959&lt;&gt;"",'All Cases - Enter Cases'!H959,"")</f>
        <v/>
      </c>
      <c r="I959" t="str">
        <f>IF($A959&lt;&gt;"",'All Cases - Enter Cases'!I959,"")</f>
        <v/>
      </c>
      <c r="J959" t="str">
        <f>IF($A959&lt;&gt;"",'All Cases - Enter Cases'!J959,"")</f>
        <v/>
      </c>
      <c r="K959" t="str">
        <f>IF($A959&lt;&gt;"",'All Cases - Enter Cases'!K959,"")</f>
        <v/>
      </c>
      <c r="L959" t="str">
        <f>IF($A959&lt;&gt;"",'All Cases - Enter Cases'!L959,"")</f>
        <v/>
      </c>
      <c r="M959" t="str">
        <f>IF($A959&lt;&gt;"",'All Cases - Enter Cases'!M959,"")</f>
        <v/>
      </c>
    </row>
    <row r="960" spans="1:13" x14ac:dyDescent="0.35">
      <c r="A960" t="str">
        <f>IF('All Cases - Enter Cases'!$F960="Balochistan",'All Cases - Enter Cases'!A960,"")</f>
        <v/>
      </c>
      <c r="B960" t="str">
        <f>IF($A960&lt;&gt;"",'All Cases - Enter Cases'!B960,"")</f>
        <v/>
      </c>
      <c r="C960" t="str">
        <f>IF($A960&lt;&gt;"",'All Cases - Enter Cases'!C960,"")</f>
        <v/>
      </c>
      <c r="D960" t="str">
        <f>IF($A960&lt;&gt;"",'All Cases - Enter Cases'!D960,"")</f>
        <v/>
      </c>
      <c r="E960" t="str">
        <f>IF($A960&lt;&gt;"",'All Cases - Enter Cases'!E960,"")</f>
        <v/>
      </c>
      <c r="F960" t="str">
        <f>IF($A960&lt;&gt;"",'All Cases - Enter Cases'!F960,"")</f>
        <v/>
      </c>
      <c r="G960" t="str">
        <f>IF($A960&lt;&gt;"",'All Cases - Enter Cases'!G960,"")</f>
        <v/>
      </c>
      <c r="H960" t="str">
        <f>IF($A960&lt;&gt;"",'All Cases - Enter Cases'!H960,"")</f>
        <v/>
      </c>
      <c r="I960" t="str">
        <f>IF($A960&lt;&gt;"",'All Cases - Enter Cases'!I960,"")</f>
        <v/>
      </c>
      <c r="J960" t="str">
        <f>IF($A960&lt;&gt;"",'All Cases - Enter Cases'!J960,"")</f>
        <v/>
      </c>
      <c r="K960" t="str">
        <f>IF($A960&lt;&gt;"",'All Cases - Enter Cases'!K960,"")</f>
        <v/>
      </c>
      <c r="L960" t="str">
        <f>IF($A960&lt;&gt;"",'All Cases - Enter Cases'!L960,"")</f>
        <v/>
      </c>
      <c r="M960" t="str">
        <f>IF($A960&lt;&gt;"",'All Cases - Enter Cases'!M960,"")</f>
        <v/>
      </c>
    </row>
    <row r="961" spans="1:13" x14ac:dyDescent="0.35">
      <c r="A961" t="str">
        <f>IF('All Cases - Enter Cases'!$F961="Balochistan",'All Cases - Enter Cases'!A961,"")</f>
        <v/>
      </c>
      <c r="B961" t="str">
        <f>IF($A961&lt;&gt;"",'All Cases - Enter Cases'!B961,"")</f>
        <v/>
      </c>
      <c r="C961" t="str">
        <f>IF($A961&lt;&gt;"",'All Cases - Enter Cases'!C961,"")</f>
        <v/>
      </c>
      <c r="D961" t="str">
        <f>IF($A961&lt;&gt;"",'All Cases - Enter Cases'!D961,"")</f>
        <v/>
      </c>
      <c r="E961" t="str">
        <f>IF($A961&lt;&gt;"",'All Cases - Enter Cases'!E961,"")</f>
        <v/>
      </c>
      <c r="F961" t="str">
        <f>IF($A961&lt;&gt;"",'All Cases - Enter Cases'!F961,"")</f>
        <v/>
      </c>
      <c r="G961" t="str">
        <f>IF($A961&lt;&gt;"",'All Cases - Enter Cases'!G961,"")</f>
        <v/>
      </c>
      <c r="H961" t="str">
        <f>IF($A961&lt;&gt;"",'All Cases - Enter Cases'!H961,"")</f>
        <v/>
      </c>
      <c r="I961" t="str">
        <f>IF($A961&lt;&gt;"",'All Cases - Enter Cases'!I961,"")</f>
        <v/>
      </c>
      <c r="J961" t="str">
        <f>IF($A961&lt;&gt;"",'All Cases - Enter Cases'!J961,"")</f>
        <v/>
      </c>
      <c r="K961" t="str">
        <f>IF($A961&lt;&gt;"",'All Cases - Enter Cases'!K961,"")</f>
        <v/>
      </c>
      <c r="L961" t="str">
        <f>IF($A961&lt;&gt;"",'All Cases - Enter Cases'!L961,"")</f>
        <v/>
      </c>
      <c r="M961" t="str">
        <f>IF($A961&lt;&gt;"",'All Cases - Enter Cases'!M961,"")</f>
        <v/>
      </c>
    </row>
    <row r="962" spans="1:13" x14ac:dyDescent="0.35">
      <c r="A962" t="str">
        <f>IF('All Cases - Enter Cases'!$F962="Balochistan",'All Cases - Enter Cases'!A962,"")</f>
        <v/>
      </c>
      <c r="B962" t="str">
        <f>IF($A962&lt;&gt;"",'All Cases - Enter Cases'!B962,"")</f>
        <v/>
      </c>
      <c r="C962" t="str">
        <f>IF($A962&lt;&gt;"",'All Cases - Enter Cases'!C962,"")</f>
        <v/>
      </c>
      <c r="D962" t="str">
        <f>IF($A962&lt;&gt;"",'All Cases - Enter Cases'!D962,"")</f>
        <v/>
      </c>
      <c r="E962" t="str">
        <f>IF($A962&lt;&gt;"",'All Cases - Enter Cases'!E962,"")</f>
        <v/>
      </c>
      <c r="F962" t="str">
        <f>IF($A962&lt;&gt;"",'All Cases - Enter Cases'!F962,"")</f>
        <v/>
      </c>
      <c r="G962" t="str">
        <f>IF($A962&lt;&gt;"",'All Cases - Enter Cases'!G962,"")</f>
        <v/>
      </c>
      <c r="H962" t="str">
        <f>IF($A962&lt;&gt;"",'All Cases - Enter Cases'!H962,"")</f>
        <v/>
      </c>
      <c r="I962" t="str">
        <f>IF($A962&lt;&gt;"",'All Cases - Enter Cases'!I962,"")</f>
        <v/>
      </c>
      <c r="J962" t="str">
        <f>IF($A962&lt;&gt;"",'All Cases - Enter Cases'!J962,"")</f>
        <v/>
      </c>
      <c r="K962" t="str">
        <f>IF($A962&lt;&gt;"",'All Cases - Enter Cases'!K962,"")</f>
        <v/>
      </c>
      <c r="L962" t="str">
        <f>IF($A962&lt;&gt;"",'All Cases - Enter Cases'!L962,"")</f>
        <v/>
      </c>
      <c r="M962" t="str">
        <f>IF($A962&lt;&gt;"",'All Cases - Enter Cases'!M962,"")</f>
        <v/>
      </c>
    </row>
    <row r="963" spans="1:13" x14ac:dyDescent="0.35">
      <c r="A963" t="str">
        <f>IF('All Cases - Enter Cases'!$F963="Balochistan",'All Cases - Enter Cases'!A963,"")</f>
        <v/>
      </c>
      <c r="B963" t="str">
        <f>IF($A963&lt;&gt;"",'All Cases - Enter Cases'!B963,"")</f>
        <v/>
      </c>
      <c r="C963" t="str">
        <f>IF($A963&lt;&gt;"",'All Cases - Enter Cases'!C963,"")</f>
        <v/>
      </c>
      <c r="D963" t="str">
        <f>IF($A963&lt;&gt;"",'All Cases - Enter Cases'!D963,"")</f>
        <v/>
      </c>
      <c r="E963" t="str">
        <f>IF($A963&lt;&gt;"",'All Cases - Enter Cases'!E963,"")</f>
        <v/>
      </c>
      <c r="F963" t="str">
        <f>IF($A963&lt;&gt;"",'All Cases - Enter Cases'!F963,"")</f>
        <v/>
      </c>
      <c r="G963" t="str">
        <f>IF($A963&lt;&gt;"",'All Cases - Enter Cases'!G963,"")</f>
        <v/>
      </c>
      <c r="H963" t="str">
        <f>IF($A963&lt;&gt;"",'All Cases - Enter Cases'!H963,"")</f>
        <v/>
      </c>
      <c r="I963" t="str">
        <f>IF($A963&lt;&gt;"",'All Cases - Enter Cases'!I963,"")</f>
        <v/>
      </c>
      <c r="J963" t="str">
        <f>IF($A963&lt;&gt;"",'All Cases - Enter Cases'!J963,"")</f>
        <v/>
      </c>
      <c r="K963" t="str">
        <f>IF($A963&lt;&gt;"",'All Cases - Enter Cases'!K963,"")</f>
        <v/>
      </c>
      <c r="L963" t="str">
        <f>IF($A963&lt;&gt;"",'All Cases - Enter Cases'!L963,"")</f>
        <v/>
      </c>
      <c r="M963" t="str">
        <f>IF($A963&lt;&gt;"",'All Cases - Enter Cases'!M963,"")</f>
        <v/>
      </c>
    </row>
    <row r="964" spans="1:13" x14ac:dyDescent="0.35">
      <c r="A964" t="str">
        <f>IF('All Cases - Enter Cases'!$F964="Balochistan",'All Cases - Enter Cases'!A964,"")</f>
        <v/>
      </c>
      <c r="B964" t="str">
        <f>IF($A964&lt;&gt;"",'All Cases - Enter Cases'!B964,"")</f>
        <v/>
      </c>
      <c r="C964" t="str">
        <f>IF($A964&lt;&gt;"",'All Cases - Enter Cases'!C964,"")</f>
        <v/>
      </c>
      <c r="D964" t="str">
        <f>IF($A964&lt;&gt;"",'All Cases - Enter Cases'!D964,"")</f>
        <v/>
      </c>
      <c r="E964" t="str">
        <f>IF($A964&lt;&gt;"",'All Cases - Enter Cases'!E964,"")</f>
        <v/>
      </c>
      <c r="F964" t="str">
        <f>IF($A964&lt;&gt;"",'All Cases - Enter Cases'!F964,"")</f>
        <v/>
      </c>
      <c r="G964" t="str">
        <f>IF($A964&lt;&gt;"",'All Cases - Enter Cases'!G964,"")</f>
        <v/>
      </c>
      <c r="H964" t="str">
        <f>IF($A964&lt;&gt;"",'All Cases - Enter Cases'!H964,"")</f>
        <v/>
      </c>
      <c r="I964" t="str">
        <f>IF($A964&lt;&gt;"",'All Cases - Enter Cases'!I964,"")</f>
        <v/>
      </c>
      <c r="J964" t="str">
        <f>IF($A964&lt;&gt;"",'All Cases - Enter Cases'!J964,"")</f>
        <v/>
      </c>
      <c r="K964" t="str">
        <f>IF($A964&lt;&gt;"",'All Cases - Enter Cases'!K964,"")</f>
        <v/>
      </c>
      <c r="L964" t="str">
        <f>IF($A964&lt;&gt;"",'All Cases - Enter Cases'!L964,"")</f>
        <v/>
      </c>
      <c r="M964" t="str">
        <f>IF($A964&lt;&gt;"",'All Cases - Enter Cases'!M964,"")</f>
        <v/>
      </c>
    </row>
    <row r="965" spans="1:13" x14ac:dyDescent="0.35">
      <c r="A965" t="str">
        <f>IF('All Cases - Enter Cases'!$F965="Balochistan",'All Cases - Enter Cases'!A965,"")</f>
        <v/>
      </c>
      <c r="B965" t="str">
        <f>IF($A965&lt;&gt;"",'All Cases - Enter Cases'!B965,"")</f>
        <v/>
      </c>
      <c r="C965" t="str">
        <f>IF($A965&lt;&gt;"",'All Cases - Enter Cases'!C965,"")</f>
        <v/>
      </c>
      <c r="D965" t="str">
        <f>IF($A965&lt;&gt;"",'All Cases - Enter Cases'!D965,"")</f>
        <v/>
      </c>
      <c r="E965" t="str">
        <f>IF($A965&lt;&gt;"",'All Cases - Enter Cases'!E965,"")</f>
        <v/>
      </c>
      <c r="F965" t="str">
        <f>IF($A965&lt;&gt;"",'All Cases - Enter Cases'!F965,"")</f>
        <v/>
      </c>
      <c r="G965" t="str">
        <f>IF($A965&lt;&gt;"",'All Cases - Enter Cases'!G965,"")</f>
        <v/>
      </c>
      <c r="H965" t="str">
        <f>IF($A965&lt;&gt;"",'All Cases - Enter Cases'!H965,"")</f>
        <v/>
      </c>
      <c r="I965" t="str">
        <f>IF($A965&lt;&gt;"",'All Cases - Enter Cases'!I965,"")</f>
        <v/>
      </c>
      <c r="J965" t="str">
        <f>IF($A965&lt;&gt;"",'All Cases - Enter Cases'!J965,"")</f>
        <v/>
      </c>
      <c r="K965" t="str">
        <f>IF($A965&lt;&gt;"",'All Cases - Enter Cases'!K965,"")</f>
        <v/>
      </c>
      <c r="L965" t="str">
        <f>IF($A965&lt;&gt;"",'All Cases - Enter Cases'!L965,"")</f>
        <v/>
      </c>
      <c r="M965" t="str">
        <f>IF($A965&lt;&gt;"",'All Cases - Enter Cases'!M965,"")</f>
        <v/>
      </c>
    </row>
    <row r="966" spans="1:13" x14ac:dyDescent="0.35">
      <c r="A966" t="str">
        <f>IF('All Cases - Enter Cases'!$F966="Balochistan",'All Cases - Enter Cases'!A966,"")</f>
        <v/>
      </c>
      <c r="B966" t="str">
        <f>IF($A966&lt;&gt;"",'All Cases - Enter Cases'!B966,"")</f>
        <v/>
      </c>
      <c r="C966" t="str">
        <f>IF($A966&lt;&gt;"",'All Cases - Enter Cases'!C966,"")</f>
        <v/>
      </c>
      <c r="D966" t="str">
        <f>IF($A966&lt;&gt;"",'All Cases - Enter Cases'!D966,"")</f>
        <v/>
      </c>
      <c r="E966" t="str">
        <f>IF($A966&lt;&gt;"",'All Cases - Enter Cases'!E966,"")</f>
        <v/>
      </c>
      <c r="F966" t="str">
        <f>IF($A966&lt;&gt;"",'All Cases - Enter Cases'!F966,"")</f>
        <v/>
      </c>
      <c r="G966" t="str">
        <f>IF($A966&lt;&gt;"",'All Cases - Enter Cases'!G966,"")</f>
        <v/>
      </c>
      <c r="H966" t="str">
        <f>IF($A966&lt;&gt;"",'All Cases - Enter Cases'!H966,"")</f>
        <v/>
      </c>
      <c r="I966" t="str">
        <f>IF($A966&lt;&gt;"",'All Cases - Enter Cases'!I966,"")</f>
        <v/>
      </c>
      <c r="J966" t="str">
        <f>IF($A966&lt;&gt;"",'All Cases - Enter Cases'!J966,"")</f>
        <v/>
      </c>
      <c r="K966" t="str">
        <f>IF($A966&lt;&gt;"",'All Cases - Enter Cases'!K966,"")</f>
        <v/>
      </c>
      <c r="L966" t="str">
        <f>IF($A966&lt;&gt;"",'All Cases - Enter Cases'!L966,"")</f>
        <v/>
      </c>
      <c r="M966" t="str">
        <f>IF($A966&lt;&gt;"",'All Cases - Enter Cases'!M966,"")</f>
        <v/>
      </c>
    </row>
    <row r="967" spans="1:13" x14ac:dyDescent="0.35">
      <c r="A967" t="str">
        <f>IF('All Cases - Enter Cases'!$F967="Balochistan",'All Cases - Enter Cases'!A967,"")</f>
        <v/>
      </c>
      <c r="B967" t="str">
        <f>IF($A967&lt;&gt;"",'All Cases - Enter Cases'!B967,"")</f>
        <v/>
      </c>
      <c r="C967" t="str">
        <f>IF($A967&lt;&gt;"",'All Cases - Enter Cases'!C967,"")</f>
        <v/>
      </c>
      <c r="D967" t="str">
        <f>IF($A967&lt;&gt;"",'All Cases - Enter Cases'!D967,"")</f>
        <v/>
      </c>
      <c r="E967" t="str">
        <f>IF($A967&lt;&gt;"",'All Cases - Enter Cases'!E967,"")</f>
        <v/>
      </c>
      <c r="F967" t="str">
        <f>IF($A967&lt;&gt;"",'All Cases - Enter Cases'!F967,"")</f>
        <v/>
      </c>
      <c r="G967" t="str">
        <f>IF($A967&lt;&gt;"",'All Cases - Enter Cases'!G967,"")</f>
        <v/>
      </c>
      <c r="H967" t="str">
        <f>IF($A967&lt;&gt;"",'All Cases - Enter Cases'!H967,"")</f>
        <v/>
      </c>
      <c r="I967" t="str">
        <f>IF($A967&lt;&gt;"",'All Cases - Enter Cases'!I967,"")</f>
        <v/>
      </c>
      <c r="J967" t="str">
        <f>IF($A967&lt;&gt;"",'All Cases - Enter Cases'!J967,"")</f>
        <v/>
      </c>
      <c r="K967" t="str">
        <f>IF($A967&lt;&gt;"",'All Cases - Enter Cases'!K967,"")</f>
        <v/>
      </c>
      <c r="L967" t="str">
        <f>IF($A967&lt;&gt;"",'All Cases - Enter Cases'!L967,"")</f>
        <v/>
      </c>
      <c r="M967" t="str">
        <f>IF($A967&lt;&gt;"",'All Cases - Enter Cases'!M967,"")</f>
        <v/>
      </c>
    </row>
    <row r="968" spans="1:13" x14ac:dyDescent="0.35">
      <c r="A968" t="str">
        <f>IF('All Cases - Enter Cases'!$F968="Balochistan",'All Cases - Enter Cases'!A968,"")</f>
        <v/>
      </c>
      <c r="B968" t="str">
        <f>IF($A968&lt;&gt;"",'All Cases - Enter Cases'!B968,"")</f>
        <v/>
      </c>
      <c r="C968" t="str">
        <f>IF($A968&lt;&gt;"",'All Cases - Enter Cases'!C968,"")</f>
        <v/>
      </c>
      <c r="D968" t="str">
        <f>IF($A968&lt;&gt;"",'All Cases - Enter Cases'!D968,"")</f>
        <v/>
      </c>
      <c r="E968" t="str">
        <f>IF($A968&lt;&gt;"",'All Cases - Enter Cases'!E968,"")</f>
        <v/>
      </c>
      <c r="F968" t="str">
        <f>IF($A968&lt;&gt;"",'All Cases - Enter Cases'!F968,"")</f>
        <v/>
      </c>
      <c r="G968" t="str">
        <f>IF($A968&lt;&gt;"",'All Cases - Enter Cases'!G968,"")</f>
        <v/>
      </c>
      <c r="H968" t="str">
        <f>IF($A968&lt;&gt;"",'All Cases - Enter Cases'!H968,"")</f>
        <v/>
      </c>
      <c r="I968" t="str">
        <f>IF($A968&lt;&gt;"",'All Cases - Enter Cases'!I968,"")</f>
        <v/>
      </c>
      <c r="J968" t="str">
        <f>IF($A968&lt;&gt;"",'All Cases - Enter Cases'!J968,"")</f>
        <v/>
      </c>
      <c r="K968" t="str">
        <f>IF($A968&lt;&gt;"",'All Cases - Enter Cases'!K968,"")</f>
        <v/>
      </c>
      <c r="L968" t="str">
        <f>IF($A968&lt;&gt;"",'All Cases - Enter Cases'!L968,"")</f>
        <v/>
      </c>
      <c r="M968" t="str">
        <f>IF($A968&lt;&gt;"",'All Cases - Enter Cases'!M968,"")</f>
        <v/>
      </c>
    </row>
    <row r="969" spans="1:13" x14ac:dyDescent="0.35">
      <c r="A969" t="str">
        <f>IF('All Cases - Enter Cases'!$F969="Balochistan",'All Cases - Enter Cases'!A969,"")</f>
        <v/>
      </c>
      <c r="B969" t="str">
        <f>IF($A969&lt;&gt;"",'All Cases - Enter Cases'!B969,"")</f>
        <v/>
      </c>
      <c r="C969" t="str">
        <f>IF($A969&lt;&gt;"",'All Cases - Enter Cases'!C969,"")</f>
        <v/>
      </c>
      <c r="D969" t="str">
        <f>IF($A969&lt;&gt;"",'All Cases - Enter Cases'!D969,"")</f>
        <v/>
      </c>
      <c r="E969" t="str">
        <f>IF($A969&lt;&gt;"",'All Cases - Enter Cases'!E969,"")</f>
        <v/>
      </c>
      <c r="F969" t="str">
        <f>IF($A969&lt;&gt;"",'All Cases - Enter Cases'!F969,"")</f>
        <v/>
      </c>
      <c r="G969" t="str">
        <f>IF($A969&lt;&gt;"",'All Cases - Enter Cases'!G969,"")</f>
        <v/>
      </c>
      <c r="H969" t="str">
        <f>IF($A969&lt;&gt;"",'All Cases - Enter Cases'!H969,"")</f>
        <v/>
      </c>
      <c r="I969" t="str">
        <f>IF($A969&lt;&gt;"",'All Cases - Enter Cases'!I969,"")</f>
        <v/>
      </c>
      <c r="J969" t="str">
        <f>IF($A969&lt;&gt;"",'All Cases - Enter Cases'!J969,"")</f>
        <v/>
      </c>
      <c r="K969" t="str">
        <f>IF($A969&lt;&gt;"",'All Cases - Enter Cases'!K969,"")</f>
        <v/>
      </c>
      <c r="L969" t="str">
        <f>IF($A969&lt;&gt;"",'All Cases - Enter Cases'!L969,"")</f>
        <v/>
      </c>
      <c r="M969" t="str">
        <f>IF($A969&lt;&gt;"",'All Cases - Enter Cases'!M969,"")</f>
        <v/>
      </c>
    </row>
    <row r="970" spans="1:13" x14ac:dyDescent="0.35">
      <c r="A970" t="str">
        <f>IF('All Cases - Enter Cases'!$F970="Balochistan",'All Cases - Enter Cases'!A970,"")</f>
        <v/>
      </c>
      <c r="B970" t="str">
        <f>IF($A970&lt;&gt;"",'All Cases - Enter Cases'!B970,"")</f>
        <v/>
      </c>
      <c r="C970" t="str">
        <f>IF($A970&lt;&gt;"",'All Cases - Enter Cases'!C970,"")</f>
        <v/>
      </c>
      <c r="D970" t="str">
        <f>IF($A970&lt;&gt;"",'All Cases - Enter Cases'!D970,"")</f>
        <v/>
      </c>
      <c r="E970" t="str">
        <f>IF($A970&lt;&gt;"",'All Cases - Enter Cases'!E970,"")</f>
        <v/>
      </c>
      <c r="F970" t="str">
        <f>IF($A970&lt;&gt;"",'All Cases - Enter Cases'!F970,"")</f>
        <v/>
      </c>
      <c r="G970" t="str">
        <f>IF($A970&lt;&gt;"",'All Cases - Enter Cases'!G970,"")</f>
        <v/>
      </c>
      <c r="H970" t="str">
        <f>IF($A970&lt;&gt;"",'All Cases - Enter Cases'!H970,"")</f>
        <v/>
      </c>
      <c r="I970" t="str">
        <f>IF($A970&lt;&gt;"",'All Cases - Enter Cases'!I970,"")</f>
        <v/>
      </c>
      <c r="J970" t="str">
        <f>IF($A970&lt;&gt;"",'All Cases - Enter Cases'!J970,"")</f>
        <v/>
      </c>
      <c r="K970" t="str">
        <f>IF($A970&lt;&gt;"",'All Cases - Enter Cases'!K970,"")</f>
        <v/>
      </c>
      <c r="L970" t="str">
        <f>IF($A970&lt;&gt;"",'All Cases - Enter Cases'!L970,"")</f>
        <v/>
      </c>
      <c r="M970" t="str">
        <f>IF($A970&lt;&gt;"",'All Cases - Enter Cases'!M970,"")</f>
        <v/>
      </c>
    </row>
    <row r="971" spans="1:13" x14ac:dyDescent="0.35">
      <c r="A971" t="str">
        <f>IF('All Cases - Enter Cases'!$F971="Balochistan",'All Cases - Enter Cases'!A971,"")</f>
        <v/>
      </c>
      <c r="B971" t="str">
        <f>IF($A971&lt;&gt;"",'All Cases - Enter Cases'!B971,"")</f>
        <v/>
      </c>
      <c r="C971" t="str">
        <f>IF($A971&lt;&gt;"",'All Cases - Enter Cases'!C971,"")</f>
        <v/>
      </c>
      <c r="D971" t="str">
        <f>IF($A971&lt;&gt;"",'All Cases - Enter Cases'!D971,"")</f>
        <v/>
      </c>
      <c r="E971" t="str">
        <f>IF($A971&lt;&gt;"",'All Cases - Enter Cases'!E971,"")</f>
        <v/>
      </c>
      <c r="F971" t="str">
        <f>IF($A971&lt;&gt;"",'All Cases - Enter Cases'!F971,"")</f>
        <v/>
      </c>
      <c r="G971" t="str">
        <f>IF($A971&lt;&gt;"",'All Cases - Enter Cases'!G971,"")</f>
        <v/>
      </c>
      <c r="H971" t="str">
        <f>IF($A971&lt;&gt;"",'All Cases - Enter Cases'!H971,"")</f>
        <v/>
      </c>
      <c r="I971" t="str">
        <f>IF($A971&lt;&gt;"",'All Cases - Enter Cases'!I971,"")</f>
        <v/>
      </c>
      <c r="J971" t="str">
        <f>IF($A971&lt;&gt;"",'All Cases - Enter Cases'!J971,"")</f>
        <v/>
      </c>
      <c r="K971" t="str">
        <f>IF($A971&lt;&gt;"",'All Cases - Enter Cases'!K971,"")</f>
        <v/>
      </c>
      <c r="L971" t="str">
        <f>IF($A971&lt;&gt;"",'All Cases - Enter Cases'!L971,"")</f>
        <v/>
      </c>
      <c r="M971" t="str">
        <f>IF($A971&lt;&gt;"",'All Cases - Enter Cases'!M971,"")</f>
        <v/>
      </c>
    </row>
    <row r="972" spans="1:13" x14ac:dyDescent="0.35">
      <c r="A972" t="str">
        <f>IF('All Cases - Enter Cases'!$F972="Balochistan",'All Cases - Enter Cases'!A972,"")</f>
        <v/>
      </c>
      <c r="B972" t="str">
        <f>IF($A972&lt;&gt;"",'All Cases - Enter Cases'!B972,"")</f>
        <v/>
      </c>
      <c r="C972" t="str">
        <f>IF($A972&lt;&gt;"",'All Cases - Enter Cases'!C972,"")</f>
        <v/>
      </c>
      <c r="D972" t="str">
        <f>IF($A972&lt;&gt;"",'All Cases - Enter Cases'!D972,"")</f>
        <v/>
      </c>
      <c r="E972" t="str">
        <f>IF($A972&lt;&gt;"",'All Cases - Enter Cases'!E972,"")</f>
        <v/>
      </c>
      <c r="F972" t="str">
        <f>IF($A972&lt;&gt;"",'All Cases - Enter Cases'!F972,"")</f>
        <v/>
      </c>
      <c r="G972" t="str">
        <f>IF($A972&lt;&gt;"",'All Cases - Enter Cases'!G972,"")</f>
        <v/>
      </c>
      <c r="H972" t="str">
        <f>IF($A972&lt;&gt;"",'All Cases - Enter Cases'!H972,"")</f>
        <v/>
      </c>
      <c r="I972" t="str">
        <f>IF($A972&lt;&gt;"",'All Cases - Enter Cases'!I972,"")</f>
        <v/>
      </c>
      <c r="J972" t="str">
        <f>IF($A972&lt;&gt;"",'All Cases - Enter Cases'!J972,"")</f>
        <v/>
      </c>
      <c r="K972" t="str">
        <f>IF($A972&lt;&gt;"",'All Cases - Enter Cases'!K972,"")</f>
        <v/>
      </c>
      <c r="L972" t="str">
        <f>IF($A972&lt;&gt;"",'All Cases - Enter Cases'!L972,"")</f>
        <v/>
      </c>
      <c r="M972" t="str">
        <f>IF($A972&lt;&gt;"",'All Cases - Enter Cases'!M972,"")</f>
        <v/>
      </c>
    </row>
    <row r="973" spans="1:13" x14ac:dyDescent="0.35">
      <c r="A973" t="str">
        <f>IF('All Cases - Enter Cases'!$F973="Balochistan",'All Cases - Enter Cases'!A973,"")</f>
        <v/>
      </c>
      <c r="B973" t="str">
        <f>IF($A973&lt;&gt;"",'All Cases - Enter Cases'!B973,"")</f>
        <v/>
      </c>
      <c r="C973" t="str">
        <f>IF($A973&lt;&gt;"",'All Cases - Enter Cases'!C973,"")</f>
        <v/>
      </c>
      <c r="D973" t="str">
        <f>IF($A973&lt;&gt;"",'All Cases - Enter Cases'!D973,"")</f>
        <v/>
      </c>
      <c r="E973" t="str">
        <f>IF($A973&lt;&gt;"",'All Cases - Enter Cases'!E973,"")</f>
        <v/>
      </c>
      <c r="F973" t="str">
        <f>IF($A973&lt;&gt;"",'All Cases - Enter Cases'!F973,"")</f>
        <v/>
      </c>
      <c r="G973" t="str">
        <f>IF($A973&lt;&gt;"",'All Cases - Enter Cases'!G973,"")</f>
        <v/>
      </c>
      <c r="H973" t="str">
        <f>IF($A973&lt;&gt;"",'All Cases - Enter Cases'!H973,"")</f>
        <v/>
      </c>
      <c r="I973" t="str">
        <f>IF($A973&lt;&gt;"",'All Cases - Enter Cases'!I973,"")</f>
        <v/>
      </c>
      <c r="J973" t="str">
        <f>IF($A973&lt;&gt;"",'All Cases - Enter Cases'!J973,"")</f>
        <v/>
      </c>
      <c r="K973" t="str">
        <f>IF($A973&lt;&gt;"",'All Cases - Enter Cases'!K973,"")</f>
        <v/>
      </c>
      <c r="L973" t="str">
        <f>IF($A973&lt;&gt;"",'All Cases - Enter Cases'!L973,"")</f>
        <v/>
      </c>
      <c r="M973" t="str">
        <f>IF($A973&lt;&gt;"",'All Cases - Enter Cases'!M973,"")</f>
        <v/>
      </c>
    </row>
    <row r="974" spans="1:13" x14ac:dyDescent="0.35">
      <c r="A974" t="str">
        <f>IF('All Cases - Enter Cases'!$F974="Balochistan",'All Cases - Enter Cases'!A974,"")</f>
        <v/>
      </c>
      <c r="B974" t="str">
        <f>IF($A974&lt;&gt;"",'All Cases - Enter Cases'!B974,"")</f>
        <v/>
      </c>
      <c r="C974" t="str">
        <f>IF($A974&lt;&gt;"",'All Cases - Enter Cases'!C974,"")</f>
        <v/>
      </c>
      <c r="D974" t="str">
        <f>IF($A974&lt;&gt;"",'All Cases - Enter Cases'!D974,"")</f>
        <v/>
      </c>
      <c r="E974" t="str">
        <f>IF($A974&lt;&gt;"",'All Cases - Enter Cases'!E974,"")</f>
        <v/>
      </c>
      <c r="F974" t="str">
        <f>IF($A974&lt;&gt;"",'All Cases - Enter Cases'!F974,"")</f>
        <v/>
      </c>
      <c r="G974" t="str">
        <f>IF($A974&lt;&gt;"",'All Cases - Enter Cases'!G974,"")</f>
        <v/>
      </c>
      <c r="H974" t="str">
        <f>IF($A974&lt;&gt;"",'All Cases - Enter Cases'!H974,"")</f>
        <v/>
      </c>
      <c r="I974" t="str">
        <f>IF($A974&lt;&gt;"",'All Cases - Enter Cases'!I974,"")</f>
        <v/>
      </c>
      <c r="J974" t="str">
        <f>IF($A974&lt;&gt;"",'All Cases - Enter Cases'!J974,"")</f>
        <v/>
      </c>
      <c r="K974" t="str">
        <f>IF($A974&lt;&gt;"",'All Cases - Enter Cases'!K974,"")</f>
        <v/>
      </c>
      <c r="L974" t="str">
        <f>IF($A974&lt;&gt;"",'All Cases - Enter Cases'!L974,"")</f>
        <v/>
      </c>
      <c r="M974" t="str">
        <f>IF($A974&lt;&gt;"",'All Cases - Enter Cases'!M974,"")</f>
        <v/>
      </c>
    </row>
    <row r="975" spans="1:13" x14ac:dyDescent="0.35">
      <c r="A975" t="str">
        <f>IF('All Cases - Enter Cases'!$F975="Balochistan",'All Cases - Enter Cases'!A975,"")</f>
        <v/>
      </c>
      <c r="B975" t="str">
        <f>IF($A975&lt;&gt;"",'All Cases - Enter Cases'!B975,"")</f>
        <v/>
      </c>
      <c r="C975" t="str">
        <f>IF($A975&lt;&gt;"",'All Cases - Enter Cases'!C975,"")</f>
        <v/>
      </c>
      <c r="D975" t="str">
        <f>IF($A975&lt;&gt;"",'All Cases - Enter Cases'!D975,"")</f>
        <v/>
      </c>
      <c r="E975" t="str">
        <f>IF($A975&lt;&gt;"",'All Cases - Enter Cases'!E975,"")</f>
        <v/>
      </c>
      <c r="F975" t="str">
        <f>IF($A975&lt;&gt;"",'All Cases - Enter Cases'!F975,"")</f>
        <v/>
      </c>
      <c r="G975" t="str">
        <f>IF($A975&lt;&gt;"",'All Cases - Enter Cases'!G975,"")</f>
        <v/>
      </c>
      <c r="H975" t="str">
        <f>IF($A975&lt;&gt;"",'All Cases - Enter Cases'!H975,"")</f>
        <v/>
      </c>
      <c r="I975" t="str">
        <f>IF($A975&lt;&gt;"",'All Cases - Enter Cases'!I975,"")</f>
        <v/>
      </c>
      <c r="J975" t="str">
        <f>IF($A975&lt;&gt;"",'All Cases - Enter Cases'!J975,"")</f>
        <v/>
      </c>
      <c r="K975" t="str">
        <f>IF($A975&lt;&gt;"",'All Cases - Enter Cases'!K975,"")</f>
        <v/>
      </c>
      <c r="L975" t="str">
        <f>IF($A975&lt;&gt;"",'All Cases - Enter Cases'!L975,"")</f>
        <v/>
      </c>
      <c r="M975" t="str">
        <f>IF($A975&lt;&gt;"",'All Cases - Enter Cases'!M975,"")</f>
        <v/>
      </c>
    </row>
    <row r="976" spans="1:13" x14ac:dyDescent="0.35">
      <c r="A976" t="str">
        <f>IF('All Cases - Enter Cases'!$F976="Balochistan",'All Cases - Enter Cases'!A976,"")</f>
        <v/>
      </c>
      <c r="B976" t="str">
        <f>IF($A976&lt;&gt;"",'All Cases - Enter Cases'!B976,"")</f>
        <v/>
      </c>
      <c r="C976" t="str">
        <f>IF($A976&lt;&gt;"",'All Cases - Enter Cases'!C976,"")</f>
        <v/>
      </c>
      <c r="D976" t="str">
        <f>IF($A976&lt;&gt;"",'All Cases - Enter Cases'!D976,"")</f>
        <v/>
      </c>
      <c r="E976" t="str">
        <f>IF($A976&lt;&gt;"",'All Cases - Enter Cases'!E976,"")</f>
        <v/>
      </c>
      <c r="F976" t="str">
        <f>IF($A976&lt;&gt;"",'All Cases - Enter Cases'!F976,"")</f>
        <v/>
      </c>
      <c r="G976" t="str">
        <f>IF($A976&lt;&gt;"",'All Cases - Enter Cases'!G976,"")</f>
        <v/>
      </c>
      <c r="H976" t="str">
        <f>IF($A976&lt;&gt;"",'All Cases - Enter Cases'!H976,"")</f>
        <v/>
      </c>
      <c r="I976" t="str">
        <f>IF($A976&lt;&gt;"",'All Cases - Enter Cases'!I976,"")</f>
        <v/>
      </c>
      <c r="J976" t="str">
        <f>IF($A976&lt;&gt;"",'All Cases - Enter Cases'!J976,"")</f>
        <v/>
      </c>
      <c r="K976" t="str">
        <f>IF($A976&lt;&gt;"",'All Cases - Enter Cases'!K976,"")</f>
        <v/>
      </c>
      <c r="L976" t="str">
        <f>IF($A976&lt;&gt;"",'All Cases - Enter Cases'!L976,"")</f>
        <v/>
      </c>
      <c r="M976" t="str">
        <f>IF($A976&lt;&gt;"",'All Cases - Enter Cases'!M976,"")</f>
        <v/>
      </c>
    </row>
    <row r="977" spans="1:13" x14ac:dyDescent="0.35">
      <c r="A977" t="str">
        <f>IF('All Cases - Enter Cases'!$F977="Balochistan",'All Cases - Enter Cases'!A977,"")</f>
        <v/>
      </c>
      <c r="B977" t="str">
        <f>IF($A977&lt;&gt;"",'All Cases - Enter Cases'!B977,"")</f>
        <v/>
      </c>
      <c r="C977" t="str">
        <f>IF($A977&lt;&gt;"",'All Cases - Enter Cases'!C977,"")</f>
        <v/>
      </c>
      <c r="D977" t="str">
        <f>IF($A977&lt;&gt;"",'All Cases - Enter Cases'!D977,"")</f>
        <v/>
      </c>
      <c r="E977" t="str">
        <f>IF($A977&lt;&gt;"",'All Cases - Enter Cases'!E977,"")</f>
        <v/>
      </c>
      <c r="F977" t="str">
        <f>IF($A977&lt;&gt;"",'All Cases - Enter Cases'!F977,"")</f>
        <v/>
      </c>
      <c r="G977" t="str">
        <f>IF($A977&lt;&gt;"",'All Cases - Enter Cases'!G977,"")</f>
        <v/>
      </c>
      <c r="H977" t="str">
        <f>IF($A977&lt;&gt;"",'All Cases - Enter Cases'!H977,"")</f>
        <v/>
      </c>
      <c r="I977" t="str">
        <f>IF($A977&lt;&gt;"",'All Cases - Enter Cases'!I977,"")</f>
        <v/>
      </c>
      <c r="J977" t="str">
        <f>IF($A977&lt;&gt;"",'All Cases - Enter Cases'!J977,"")</f>
        <v/>
      </c>
      <c r="K977" t="str">
        <f>IF($A977&lt;&gt;"",'All Cases - Enter Cases'!K977,"")</f>
        <v/>
      </c>
      <c r="L977" t="str">
        <f>IF($A977&lt;&gt;"",'All Cases - Enter Cases'!L977,"")</f>
        <v/>
      </c>
      <c r="M977" t="str">
        <f>IF($A977&lt;&gt;"",'All Cases - Enter Cases'!M977,"")</f>
        <v/>
      </c>
    </row>
    <row r="978" spans="1:13" x14ac:dyDescent="0.35">
      <c r="A978" t="str">
        <f>IF('All Cases - Enter Cases'!$F978="Balochistan",'All Cases - Enter Cases'!A978,"")</f>
        <v/>
      </c>
      <c r="B978" t="str">
        <f>IF($A978&lt;&gt;"",'All Cases - Enter Cases'!B978,"")</f>
        <v/>
      </c>
      <c r="C978" t="str">
        <f>IF($A978&lt;&gt;"",'All Cases - Enter Cases'!C978,"")</f>
        <v/>
      </c>
      <c r="D978" t="str">
        <f>IF($A978&lt;&gt;"",'All Cases - Enter Cases'!D978,"")</f>
        <v/>
      </c>
      <c r="E978" t="str">
        <f>IF($A978&lt;&gt;"",'All Cases - Enter Cases'!E978,"")</f>
        <v/>
      </c>
      <c r="F978" t="str">
        <f>IF($A978&lt;&gt;"",'All Cases - Enter Cases'!F978,"")</f>
        <v/>
      </c>
      <c r="G978" t="str">
        <f>IF($A978&lt;&gt;"",'All Cases - Enter Cases'!G978,"")</f>
        <v/>
      </c>
      <c r="H978" t="str">
        <f>IF($A978&lt;&gt;"",'All Cases - Enter Cases'!H978,"")</f>
        <v/>
      </c>
      <c r="I978" t="str">
        <f>IF($A978&lt;&gt;"",'All Cases - Enter Cases'!I978,"")</f>
        <v/>
      </c>
      <c r="J978" t="str">
        <f>IF($A978&lt;&gt;"",'All Cases - Enter Cases'!J978,"")</f>
        <v/>
      </c>
      <c r="K978" t="str">
        <f>IF($A978&lt;&gt;"",'All Cases - Enter Cases'!K978,"")</f>
        <v/>
      </c>
      <c r="L978" t="str">
        <f>IF($A978&lt;&gt;"",'All Cases - Enter Cases'!L978,"")</f>
        <v/>
      </c>
      <c r="M978" t="str">
        <f>IF($A978&lt;&gt;"",'All Cases - Enter Cases'!M978,"")</f>
        <v/>
      </c>
    </row>
    <row r="979" spans="1:13" x14ac:dyDescent="0.35">
      <c r="A979" t="str">
        <f>IF('All Cases - Enter Cases'!$F979="Balochistan",'All Cases - Enter Cases'!A979,"")</f>
        <v/>
      </c>
      <c r="B979" t="str">
        <f>IF($A979&lt;&gt;"",'All Cases - Enter Cases'!B979,"")</f>
        <v/>
      </c>
      <c r="C979" t="str">
        <f>IF($A979&lt;&gt;"",'All Cases - Enter Cases'!C979,"")</f>
        <v/>
      </c>
      <c r="D979" t="str">
        <f>IF($A979&lt;&gt;"",'All Cases - Enter Cases'!D979,"")</f>
        <v/>
      </c>
      <c r="E979" t="str">
        <f>IF($A979&lt;&gt;"",'All Cases - Enter Cases'!E979,"")</f>
        <v/>
      </c>
      <c r="F979" t="str">
        <f>IF($A979&lt;&gt;"",'All Cases - Enter Cases'!F979,"")</f>
        <v/>
      </c>
      <c r="G979" t="str">
        <f>IF($A979&lt;&gt;"",'All Cases - Enter Cases'!G979,"")</f>
        <v/>
      </c>
      <c r="H979" t="str">
        <f>IF($A979&lt;&gt;"",'All Cases - Enter Cases'!H979,"")</f>
        <v/>
      </c>
      <c r="I979" t="str">
        <f>IF($A979&lt;&gt;"",'All Cases - Enter Cases'!I979,"")</f>
        <v/>
      </c>
      <c r="J979" t="str">
        <f>IF($A979&lt;&gt;"",'All Cases - Enter Cases'!J979,"")</f>
        <v/>
      </c>
      <c r="K979" t="str">
        <f>IF($A979&lt;&gt;"",'All Cases - Enter Cases'!K979,"")</f>
        <v/>
      </c>
      <c r="L979" t="str">
        <f>IF($A979&lt;&gt;"",'All Cases - Enter Cases'!L979,"")</f>
        <v/>
      </c>
      <c r="M979" t="str">
        <f>IF($A979&lt;&gt;"",'All Cases - Enter Cases'!M979,"")</f>
        <v/>
      </c>
    </row>
    <row r="980" spans="1:13" x14ac:dyDescent="0.35">
      <c r="A980" t="str">
        <f>IF('All Cases - Enter Cases'!$F980="Balochistan",'All Cases - Enter Cases'!A980,"")</f>
        <v/>
      </c>
      <c r="B980" t="str">
        <f>IF($A980&lt;&gt;"",'All Cases - Enter Cases'!B980,"")</f>
        <v/>
      </c>
      <c r="C980" t="str">
        <f>IF($A980&lt;&gt;"",'All Cases - Enter Cases'!C980,"")</f>
        <v/>
      </c>
      <c r="D980" t="str">
        <f>IF($A980&lt;&gt;"",'All Cases - Enter Cases'!D980,"")</f>
        <v/>
      </c>
      <c r="E980" t="str">
        <f>IF($A980&lt;&gt;"",'All Cases - Enter Cases'!E980,"")</f>
        <v/>
      </c>
      <c r="F980" t="str">
        <f>IF($A980&lt;&gt;"",'All Cases - Enter Cases'!F980,"")</f>
        <v/>
      </c>
      <c r="G980" t="str">
        <f>IF($A980&lt;&gt;"",'All Cases - Enter Cases'!G980,"")</f>
        <v/>
      </c>
      <c r="H980" t="str">
        <f>IF($A980&lt;&gt;"",'All Cases - Enter Cases'!H980,"")</f>
        <v/>
      </c>
      <c r="I980" t="str">
        <f>IF($A980&lt;&gt;"",'All Cases - Enter Cases'!I980,"")</f>
        <v/>
      </c>
      <c r="J980" t="str">
        <f>IF($A980&lt;&gt;"",'All Cases - Enter Cases'!J980,"")</f>
        <v/>
      </c>
      <c r="K980" t="str">
        <f>IF($A980&lt;&gt;"",'All Cases - Enter Cases'!K980,"")</f>
        <v/>
      </c>
      <c r="L980" t="str">
        <f>IF($A980&lt;&gt;"",'All Cases - Enter Cases'!L980,"")</f>
        <v/>
      </c>
      <c r="M980" t="str">
        <f>IF($A980&lt;&gt;"",'All Cases - Enter Cases'!M980,"")</f>
        <v/>
      </c>
    </row>
    <row r="981" spans="1:13" x14ac:dyDescent="0.35">
      <c r="A981" t="str">
        <f>IF('All Cases - Enter Cases'!$F981="Balochistan",'All Cases - Enter Cases'!A981,"")</f>
        <v/>
      </c>
      <c r="B981" t="str">
        <f>IF($A981&lt;&gt;"",'All Cases - Enter Cases'!B981,"")</f>
        <v/>
      </c>
      <c r="C981" t="str">
        <f>IF($A981&lt;&gt;"",'All Cases - Enter Cases'!C981,"")</f>
        <v/>
      </c>
      <c r="D981" t="str">
        <f>IF($A981&lt;&gt;"",'All Cases - Enter Cases'!D981,"")</f>
        <v/>
      </c>
      <c r="E981" t="str">
        <f>IF($A981&lt;&gt;"",'All Cases - Enter Cases'!E981,"")</f>
        <v/>
      </c>
      <c r="F981" t="str">
        <f>IF($A981&lt;&gt;"",'All Cases - Enter Cases'!F981,"")</f>
        <v/>
      </c>
      <c r="G981" t="str">
        <f>IF($A981&lt;&gt;"",'All Cases - Enter Cases'!G981,"")</f>
        <v/>
      </c>
      <c r="H981" t="str">
        <f>IF($A981&lt;&gt;"",'All Cases - Enter Cases'!H981,"")</f>
        <v/>
      </c>
      <c r="I981" t="str">
        <f>IF($A981&lt;&gt;"",'All Cases - Enter Cases'!I981,"")</f>
        <v/>
      </c>
      <c r="J981" t="str">
        <f>IF($A981&lt;&gt;"",'All Cases - Enter Cases'!J981,"")</f>
        <v/>
      </c>
      <c r="K981" t="str">
        <f>IF($A981&lt;&gt;"",'All Cases - Enter Cases'!K981,"")</f>
        <v/>
      </c>
      <c r="L981" t="str">
        <f>IF($A981&lt;&gt;"",'All Cases - Enter Cases'!L981,"")</f>
        <v/>
      </c>
      <c r="M981" t="str">
        <f>IF($A981&lt;&gt;"",'All Cases - Enter Cases'!M981,"")</f>
        <v/>
      </c>
    </row>
    <row r="982" spans="1:13" x14ac:dyDescent="0.35">
      <c r="A982" t="str">
        <f>IF('All Cases - Enter Cases'!$F982="Balochistan",'All Cases - Enter Cases'!A982,"")</f>
        <v/>
      </c>
      <c r="B982" t="str">
        <f>IF($A982&lt;&gt;"",'All Cases - Enter Cases'!B982,"")</f>
        <v/>
      </c>
      <c r="C982" t="str">
        <f>IF($A982&lt;&gt;"",'All Cases - Enter Cases'!C982,"")</f>
        <v/>
      </c>
      <c r="D982" t="str">
        <f>IF($A982&lt;&gt;"",'All Cases - Enter Cases'!D982,"")</f>
        <v/>
      </c>
      <c r="E982" t="str">
        <f>IF($A982&lt;&gt;"",'All Cases - Enter Cases'!E982,"")</f>
        <v/>
      </c>
      <c r="F982" t="str">
        <f>IF($A982&lt;&gt;"",'All Cases - Enter Cases'!F982,"")</f>
        <v/>
      </c>
      <c r="G982" t="str">
        <f>IF($A982&lt;&gt;"",'All Cases - Enter Cases'!G982,"")</f>
        <v/>
      </c>
      <c r="H982" t="str">
        <f>IF($A982&lt;&gt;"",'All Cases - Enter Cases'!H982,"")</f>
        <v/>
      </c>
      <c r="I982" t="str">
        <f>IF($A982&lt;&gt;"",'All Cases - Enter Cases'!I982,"")</f>
        <v/>
      </c>
      <c r="J982" t="str">
        <f>IF($A982&lt;&gt;"",'All Cases - Enter Cases'!J982,"")</f>
        <v/>
      </c>
      <c r="K982" t="str">
        <f>IF($A982&lt;&gt;"",'All Cases - Enter Cases'!K982,"")</f>
        <v/>
      </c>
      <c r="L982" t="str">
        <f>IF($A982&lt;&gt;"",'All Cases - Enter Cases'!L982,"")</f>
        <v/>
      </c>
      <c r="M982" t="str">
        <f>IF($A982&lt;&gt;"",'All Cases - Enter Cases'!M982,"")</f>
        <v/>
      </c>
    </row>
    <row r="983" spans="1:13" x14ac:dyDescent="0.35">
      <c r="A983" t="str">
        <f>IF('All Cases - Enter Cases'!$F983="Balochistan",'All Cases - Enter Cases'!A983,"")</f>
        <v/>
      </c>
      <c r="B983" t="str">
        <f>IF($A983&lt;&gt;"",'All Cases - Enter Cases'!B983,"")</f>
        <v/>
      </c>
      <c r="C983" t="str">
        <f>IF($A983&lt;&gt;"",'All Cases - Enter Cases'!C983,"")</f>
        <v/>
      </c>
      <c r="D983" t="str">
        <f>IF($A983&lt;&gt;"",'All Cases - Enter Cases'!D983,"")</f>
        <v/>
      </c>
      <c r="E983" t="str">
        <f>IF($A983&lt;&gt;"",'All Cases - Enter Cases'!E983,"")</f>
        <v/>
      </c>
      <c r="F983" t="str">
        <f>IF($A983&lt;&gt;"",'All Cases - Enter Cases'!F983,"")</f>
        <v/>
      </c>
      <c r="G983" t="str">
        <f>IF($A983&lt;&gt;"",'All Cases - Enter Cases'!G983,"")</f>
        <v/>
      </c>
      <c r="H983" t="str">
        <f>IF($A983&lt;&gt;"",'All Cases - Enter Cases'!H983,"")</f>
        <v/>
      </c>
      <c r="I983" t="str">
        <f>IF($A983&lt;&gt;"",'All Cases - Enter Cases'!I983,"")</f>
        <v/>
      </c>
      <c r="J983" t="str">
        <f>IF($A983&lt;&gt;"",'All Cases - Enter Cases'!J983,"")</f>
        <v/>
      </c>
      <c r="K983" t="str">
        <f>IF($A983&lt;&gt;"",'All Cases - Enter Cases'!K983,"")</f>
        <v/>
      </c>
      <c r="L983" t="str">
        <f>IF($A983&lt;&gt;"",'All Cases - Enter Cases'!L983,"")</f>
        <v/>
      </c>
      <c r="M983" t="str">
        <f>IF($A983&lt;&gt;"",'All Cases - Enter Cases'!M983,"")</f>
        <v/>
      </c>
    </row>
    <row r="984" spans="1:13" x14ac:dyDescent="0.35">
      <c r="A984" t="str">
        <f>IF('All Cases - Enter Cases'!$F984="Balochistan",'All Cases - Enter Cases'!A984,"")</f>
        <v/>
      </c>
      <c r="B984" t="str">
        <f>IF($A984&lt;&gt;"",'All Cases - Enter Cases'!B984,"")</f>
        <v/>
      </c>
      <c r="C984" t="str">
        <f>IF($A984&lt;&gt;"",'All Cases - Enter Cases'!C984,"")</f>
        <v/>
      </c>
      <c r="D984" t="str">
        <f>IF($A984&lt;&gt;"",'All Cases - Enter Cases'!D984,"")</f>
        <v/>
      </c>
      <c r="E984" t="str">
        <f>IF($A984&lt;&gt;"",'All Cases - Enter Cases'!E984,"")</f>
        <v/>
      </c>
      <c r="F984" t="str">
        <f>IF($A984&lt;&gt;"",'All Cases - Enter Cases'!F984,"")</f>
        <v/>
      </c>
      <c r="G984" t="str">
        <f>IF($A984&lt;&gt;"",'All Cases - Enter Cases'!G984,"")</f>
        <v/>
      </c>
      <c r="H984" t="str">
        <f>IF($A984&lt;&gt;"",'All Cases - Enter Cases'!H984,"")</f>
        <v/>
      </c>
      <c r="I984" t="str">
        <f>IF($A984&lt;&gt;"",'All Cases - Enter Cases'!I984,"")</f>
        <v/>
      </c>
      <c r="J984" t="str">
        <f>IF($A984&lt;&gt;"",'All Cases - Enter Cases'!J984,"")</f>
        <v/>
      </c>
      <c r="K984" t="str">
        <f>IF($A984&lt;&gt;"",'All Cases - Enter Cases'!K984,"")</f>
        <v/>
      </c>
      <c r="L984" t="str">
        <f>IF($A984&lt;&gt;"",'All Cases - Enter Cases'!L984,"")</f>
        <v/>
      </c>
      <c r="M984" t="str">
        <f>IF($A984&lt;&gt;"",'All Cases - Enter Cases'!M984,"")</f>
        <v/>
      </c>
    </row>
    <row r="985" spans="1:13" x14ac:dyDescent="0.35">
      <c r="A985" t="str">
        <f>IF('All Cases - Enter Cases'!$F985="Balochistan",'All Cases - Enter Cases'!A985,"")</f>
        <v/>
      </c>
      <c r="B985" t="str">
        <f>IF($A985&lt;&gt;"",'All Cases - Enter Cases'!B985,"")</f>
        <v/>
      </c>
      <c r="C985" t="str">
        <f>IF($A985&lt;&gt;"",'All Cases - Enter Cases'!C985,"")</f>
        <v/>
      </c>
      <c r="D985" t="str">
        <f>IF($A985&lt;&gt;"",'All Cases - Enter Cases'!D985,"")</f>
        <v/>
      </c>
      <c r="E985" t="str">
        <f>IF($A985&lt;&gt;"",'All Cases - Enter Cases'!E985,"")</f>
        <v/>
      </c>
      <c r="F985" t="str">
        <f>IF($A985&lt;&gt;"",'All Cases - Enter Cases'!F985,"")</f>
        <v/>
      </c>
      <c r="G985" t="str">
        <f>IF($A985&lt;&gt;"",'All Cases - Enter Cases'!G985,"")</f>
        <v/>
      </c>
      <c r="H985" t="str">
        <f>IF($A985&lt;&gt;"",'All Cases - Enter Cases'!H985,"")</f>
        <v/>
      </c>
      <c r="I985" t="str">
        <f>IF($A985&lt;&gt;"",'All Cases - Enter Cases'!I985,"")</f>
        <v/>
      </c>
      <c r="J985" t="str">
        <f>IF($A985&lt;&gt;"",'All Cases - Enter Cases'!J985,"")</f>
        <v/>
      </c>
      <c r="K985" t="str">
        <f>IF($A985&lt;&gt;"",'All Cases - Enter Cases'!K985,"")</f>
        <v/>
      </c>
      <c r="L985" t="str">
        <f>IF($A985&lt;&gt;"",'All Cases - Enter Cases'!L985,"")</f>
        <v/>
      </c>
      <c r="M985" t="str">
        <f>IF($A985&lt;&gt;"",'All Cases - Enter Cases'!M985,"")</f>
        <v/>
      </c>
    </row>
    <row r="986" spans="1:13" x14ac:dyDescent="0.35">
      <c r="A986" t="str">
        <f>IF('All Cases - Enter Cases'!$F986="Balochistan",'All Cases - Enter Cases'!A986,"")</f>
        <v/>
      </c>
      <c r="B986" t="str">
        <f>IF($A986&lt;&gt;"",'All Cases - Enter Cases'!B986,"")</f>
        <v/>
      </c>
      <c r="C986" t="str">
        <f>IF($A986&lt;&gt;"",'All Cases - Enter Cases'!C986,"")</f>
        <v/>
      </c>
      <c r="D986" t="str">
        <f>IF($A986&lt;&gt;"",'All Cases - Enter Cases'!D986,"")</f>
        <v/>
      </c>
      <c r="E986" t="str">
        <f>IF($A986&lt;&gt;"",'All Cases - Enter Cases'!E986,"")</f>
        <v/>
      </c>
      <c r="F986" t="str">
        <f>IF($A986&lt;&gt;"",'All Cases - Enter Cases'!F986,"")</f>
        <v/>
      </c>
      <c r="G986" t="str">
        <f>IF($A986&lt;&gt;"",'All Cases - Enter Cases'!G986,"")</f>
        <v/>
      </c>
      <c r="H986" t="str">
        <f>IF($A986&lt;&gt;"",'All Cases - Enter Cases'!H986,"")</f>
        <v/>
      </c>
      <c r="I986" t="str">
        <f>IF($A986&lt;&gt;"",'All Cases - Enter Cases'!I986,"")</f>
        <v/>
      </c>
      <c r="J986" t="str">
        <f>IF($A986&lt;&gt;"",'All Cases - Enter Cases'!J986,"")</f>
        <v/>
      </c>
      <c r="K986" t="str">
        <f>IF($A986&lt;&gt;"",'All Cases - Enter Cases'!K986,"")</f>
        <v/>
      </c>
      <c r="L986" t="str">
        <f>IF($A986&lt;&gt;"",'All Cases - Enter Cases'!L986,"")</f>
        <v/>
      </c>
      <c r="M986" t="str">
        <f>IF($A986&lt;&gt;"",'All Cases - Enter Cases'!M986,"")</f>
        <v/>
      </c>
    </row>
    <row r="987" spans="1:13" x14ac:dyDescent="0.35">
      <c r="A987" t="str">
        <f>IF('All Cases - Enter Cases'!$F987="Balochistan",'All Cases - Enter Cases'!A987,"")</f>
        <v/>
      </c>
      <c r="B987" t="str">
        <f>IF($A987&lt;&gt;"",'All Cases - Enter Cases'!B987,"")</f>
        <v/>
      </c>
      <c r="C987" t="str">
        <f>IF($A987&lt;&gt;"",'All Cases - Enter Cases'!C987,"")</f>
        <v/>
      </c>
      <c r="D987" t="str">
        <f>IF($A987&lt;&gt;"",'All Cases - Enter Cases'!D987,"")</f>
        <v/>
      </c>
      <c r="E987" t="str">
        <f>IF($A987&lt;&gt;"",'All Cases - Enter Cases'!E987,"")</f>
        <v/>
      </c>
      <c r="F987" t="str">
        <f>IF($A987&lt;&gt;"",'All Cases - Enter Cases'!F987,"")</f>
        <v/>
      </c>
      <c r="G987" t="str">
        <f>IF($A987&lt;&gt;"",'All Cases - Enter Cases'!G987,"")</f>
        <v/>
      </c>
      <c r="H987" t="str">
        <f>IF($A987&lt;&gt;"",'All Cases - Enter Cases'!H987,"")</f>
        <v/>
      </c>
      <c r="I987" t="str">
        <f>IF($A987&lt;&gt;"",'All Cases - Enter Cases'!I987,"")</f>
        <v/>
      </c>
      <c r="J987" t="str">
        <f>IF($A987&lt;&gt;"",'All Cases - Enter Cases'!J987,"")</f>
        <v/>
      </c>
      <c r="K987" t="str">
        <f>IF($A987&lt;&gt;"",'All Cases - Enter Cases'!K987,"")</f>
        <v/>
      </c>
      <c r="L987" t="str">
        <f>IF($A987&lt;&gt;"",'All Cases - Enter Cases'!L987,"")</f>
        <v/>
      </c>
      <c r="M987" t="str">
        <f>IF($A987&lt;&gt;"",'All Cases - Enter Cases'!M987,"")</f>
        <v/>
      </c>
    </row>
    <row r="988" spans="1:13" x14ac:dyDescent="0.35">
      <c r="A988" t="str">
        <f>IF('All Cases - Enter Cases'!$F988="Balochistan",'All Cases - Enter Cases'!A988,"")</f>
        <v/>
      </c>
      <c r="B988" t="str">
        <f>IF($A988&lt;&gt;"",'All Cases - Enter Cases'!B988,"")</f>
        <v/>
      </c>
      <c r="C988" t="str">
        <f>IF($A988&lt;&gt;"",'All Cases - Enter Cases'!C988,"")</f>
        <v/>
      </c>
      <c r="D988" t="str">
        <f>IF($A988&lt;&gt;"",'All Cases - Enter Cases'!D988,"")</f>
        <v/>
      </c>
      <c r="E988" t="str">
        <f>IF($A988&lt;&gt;"",'All Cases - Enter Cases'!E988,"")</f>
        <v/>
      </c>
      <c r="F988" t="str">
        <f>IF($A988&lt;&gt;"",'All Cases - Enter Cases'!F988,"")</f>
        <v/>
      </c>
      <c r="G988" t="str">
        <f>IF($A988&lt;&gt;"",'All Cases - Enter Cases'!G988,"")</f>
        <v/>
      </c>
      <c r="H988" t="str">
        <f>IF($A988&lt;&gt;"",'All Cases - Enter Cases'!H988,"")</f>
        <v/>
      </c>
      <c r="I988" t="str">
        <f>IF($A988&lt;&gt;"",'All Cases - Enter Cases'!I988,"")</f>
        <v/>
      </c>
      <c r="J988" t="str">
        <f>IF($A988&lt;&gt;"",'All Cases - Enter Cases'!J988,"")</f>
        <v/>
      </c>
      <c r="K988" t="str">
        <f>IF($A988&lt;&gt;"",'All Cases - Enter Cases'!K988,"")</f>
        <v/>
      </c>
      <c r="L988" t="str">
        <f>IF($A988&lt;&gt;"",'All Cases - Enter Cases'!L988,"")</f>
        <v/>
      </c>
      <c r="M988" t="str">
        <f>IF($A988&lt;&gt;"",'All Cases - Enter Cases'!M988,"")</f>
        <v/>
      </c>
    </row>
    <row r="989" spans="1:13" x14ac:dyDescent="0.35">
      <c r="A989" t="str">
        <f>IF('All Cases - Enter Cases'!$F989="Balochistan",'All Cases - Enter Cases'!A989,"")</f>
        <v/>
      </c>
      <c r="B989" t="str">
        <f>IF($A989&lt;&gt;"",'All Cases - Enter Cases'!B989,"")</f>
        <v/>
      </c>
      <c r="C989" t="str">
        <f>IF($A989&lt;&gt;"",'All Cases - Enter Cases'!C989,"")</f>
        <v/>
      </c>
      <c r="D989" t="str">
        <f>IF($A989&lt;&gt;"",'All Cases - Enter Cases'!D989,"")</f>
        <v/>
      </c>
      <c r="E989" t="str">
        <f>IF($A989&lt;&gt;"",'All Cases - Enter Cases'!E989,"")</f>
        <v/>
      </c>
      <c r="F989" t="str">
        <f>IF($A989&lt;&gt;"",'All Cases - Enter Cases'!F989,"")</f>
        <v/>
      </c>
      <c r="G989" t="str">
        <f>IF($A989&lt;&gt;"",'All Cases - Enter Cases'!G989,"")</f>
        <v/>
      </c>
      <c r="H989" t="str">
        <f>IF($A989&lt;&gt;"",'All Cases - Enter Cases'!H989,"")</f>
        <v/>
      </c>
      <c r="I989" t="str">
        <f>IF($A989&lt;&gt;"",'All Cases - Enter Cases'!I989,"")</f>
        <v/>
      </c>
      <c r="J989" t="str">
        <f>IF($A989&lt;&gt;"",'All Cases - Enter Cases'!J989,"")</f>
        <v/>
      </c>
      <c r="K989" t="str">
        <f>IF($A989&lt;&gt;"",'All Cases - Enter Cases'!K989,"")</f>
        <v/>
      </c>
      <c r="L989" t="str">
        <f>IF($A989&lt;&gt;"",'All Cases - Enter Cases'!L989,"")</f>
        <v/>
      </c>
      <c r="M989" t="str">
        <f>IF($A989&lt;&gt;"",'All Cases - Enter Cases'!M989,"")</f>
        <v/>
      </c>
    </row>
    <row r="990" spans="1:13" x14ac:dyDescent="0.35">
      <c r="A990" t="str">
        <f>IF('All Cases - Enter Cases'!$F990="Balochistan",'All Cases - Enter Cases'!A990,"")</f>
        <v/>
      </c>
      <c r="B990" t="str">
        <f>IF($A990&lt;&gt;"",'All Cases - Enter Cases'!B990,"")</f>
        <v/>
      </c>
      <c r="C990" t="str">
        <f>IF($A990&lt;&gt;"",'All Cases - Enter Cases'!C990,"")</f>
        <v/>
      </c>
      <c r="D990" t="str">
        <f>IF($A990&lt;&gt;"",'All Cases - Enter Cases'!D990,"")</f>
        <v/>
      </c>
      <c r="E990" t="str">
        <f>IF($A990&lt;&gt;"",'All Cases - Enter Cases'!E990,"")</f>
        <v/>
      </c>
      <c r="F990" t="str">
        <f>IF($A990&lt;&gt;"",'All Cases - Enter Cases'!F990,"")</f>
        <v/>
      </c>
      <c r="G990" t="str">
        <f>IF($A990&lt;&gt;"",'All Cases - Enter Cases'!G990,"")</f>
        <v/>
      </c>
      <c r="H990" t="str">
        <f>IF($A990&lt;&gt;"",'All Cases - Enter Cases'!H990,"")</f>
        <v/>
      </c>
      <c r="I990" t="str">
        <f>IF($A990&lt;&gt;"",'All Cases - Enter Cases'!I990,"")</f>
        <v/>
      </c>
      <c r="J990" t="str">
        <f>IF($A990&lt;&gt;"",'All Cases - Enter Cases'!J990,"")</f>
        <v/>
      </c>
      <c r="K990" t="str">
        <f>IF($A990&lt;&gt;"",'All Cases - Enter Cases'!K990,"")</f>
        <v/>
      </c>
      <c r="L990" t="str">
        <f>IF($A990&lt;&gt;"",'All Cases - Enter Cases'!L990,"")</f>
        <v/>
      </c>
      <c r="M990" t="str">
        <f>IF($A990&lt;&gt;"",'All Cases - Enter Cases'!M990,"")</f>
        <v/>
      </c>
    </row>
    <row r="991" spans="1:13" x14ac:dyDescent="0.35">
      <c r="A991" t="str">
        <f>IF('All Cases - Enter Cases'!$F991="Balochistan",'All Cases - Enter Cases'!A991,"")</f>
        <v/>
      </c>
      <c r="B991" t="str">
        <f>IF($A991&lt;&gt;"",'All Cases - Enter Cases'!B991,"")</f>
        <v/>
      </c>
      <c r="C991" t="str">
        <f>IF($A991&lt;&gt;"",'All Cases - Enter Cases'!C991,"")</f>
        <v/>
      </c>
      <c r="D991" t="str">
        <f>IF($A991&lt;&gt;"",'All Cases - Enter Cases'!D991,"")</f>
        <v/>
      </c>
      <c r="E991" t="str">
        <f>IF($A991&lt;&gt;"",'All Cases - Enter Cases'!E991,"")</f>
        <v/>
      </c>
      <c r="F991" t="str">
        <f>IF($A991&lt;&gt;"",'All Cases - Enter Cases'!F991,"")</f>
        <v/>
      </c>
      <c r="G991" t="str">
        <f>IF($A991&lt;&gt;"",'All Cases - Enter Cases'!G991,"")</f>
        <v/>
      </c>
      <c r="H991" t="str">
        <f>IF($A991&lt;&gt;"",'All Cases - Enter Cases'!H991,"")</f>
        <v/>
      </c>
      <c r="I991" t="str">
        <f>IF($A991&lt;&gt;"",'All Cases - Enter Cases'!I991,"")</f>
        <v/>
      </c>
      <c r="J991" t="str">
        <f>IF($A991&lt;&gt;"",'All Cases - Enter Cases'!J991,"")</f>
        <v/>
      </c>
      <c r="K991" t="str">
        <f>IF($A991&lt;&gt;"",'All Cases - Enter Cases'!K991,"")</f>
        <v/>
      </c>
      <c r="L991" t="str">
        <f>IF($A991&lt;&gt;"",'All Cases - Enter Cases'!L991,"")</f>
        <v/>
      </c>
      <c r="M991" t="str">
        <f>IF($A991&lt;&gt;"",'All Cases - Enter Cases'!M991,"")</f>
        <v/>
      </c>
    </row>
    <row r="992" spans="1:13" x14ac:dyDescent="0.35">
      <c r="A992" t="str">
        <f>IF('All Cases - Enter Cases'!$F992="Balochistan",'All Cases - Enter Cases'!A992,"")</f>
        <v/>
      </c>
      <c r="B992" t="str">
        <f>IF($A992&lt;&gt;"",'All Cases - Enter Cases'!B992,"")</f>
        <v/>
      </c>
      <c r="C992" t="str">
        <f>IF($A992&lt;&gt;"",'All Cases - Enter Cases'!C992,"")</f>
        <v/>
      </c>
      <c r="D992" t="str">
        <f>IF($A992&lt;&gt;"",'All Cases - Enter Cases'!D992,"")</f>
        <v/>
      </c>
      <c r="E992" t="str">
        <f>IF($A992&lt;&gt;"",'All Cases - Enter Cases'!E992,"")</f>
        <v/>
      </c>
      <c r="F992" t="str">
        <f>IF($A992&lt;&gt;"",'All Cases - Enter Cases'!F992,"")</f>
        <v/>
      </c>
      <c r="G992" t="str">
        <f>IF($A992&lt;&gt;"",'All Cases - Enter Cases'!G992,"")</f>
        <v/>
      </c>
      <c r="H992" t="str">
        <f>IF($A992&lt;&gt;"",'All Cases - Enter Cases'!H992,"")</f>
        <v/>
      </c>
      <c r="I992" t="str">
        <f>IF($A992&lt;&gt;"",'All Cases - Enter Cases'!I992,"")</f>
        <v/>
      </c>
      <c r="J992" t="str">
        <f>IF($A992&lt;&gt;"",'All Cases - Enter Cases'!J992,"")</f>
        <v/>
      </c>
      <c r="K992" t="str">
        <f>IF($A992&lt;&gt;"",'All Cases - Enter Cases'!K992,"")</f>
        <v/>
      </c>
      <c r="L992" t="str">
        <f>IF($A992&lt;&gt;"",'All Cases - Enter Cases'!L992,"")</f>
        <v/>
      </c>
      <c r="M992" t="str">
        <f>IF($A992&lt;&gt;"",'All Cases - Enter Cases'!M992,"")</f>
        <v/>
      </c>
    </row>
    <row r="993" spans="1:13" x14ac:dyDescent="0.35">
      <c r="A993" t="str">
        <f>IF('All Cases - Enter Cases'!$F993="Balochistan",'All Cases - Enter Cases'!A993,"")</f>
        <v/>
      </c>
      <c r="B993" t="str">
        <f>IF($A993&lt;&gt;"",'All Cases - Enter Cases'!B993,"")</f>
        <v/>
      </c>
      <c r="C993" t="str">
        <f>IF($A993&lt;&gt;"",'All Cases - Enter Cases'!C993,"")</f>
        <v/>
      </c>
      <c r="D993" t="str">
        <f>IF($A993&lt;&gt;"",'All Cases - Enter Cases'!D993,"")</f>
        <v/>
      </c>
      <c r="E993" t="str">
        <f>IF($A993&lt;&gt;"",'All Cases - Enter Cases'!E993,"")</f>
        <v/>
      </c>
      <c r="F993" t="str">
        <f>IF($A993&lt;&gt;"",'All Cases - Enter Cases'!F993,"")</f>
        <v/>
      </c>
      <c r="G993" t="str">
        <f>IF($A993&lt;&gt;"",'All Cases - Enter Cases'!G993,"")</f>
        <v/>
      </c>
      <c r="H993" t="str">
        <f>IF($A993&lt;&gt;"",'All Cases - Enter Cases'!H993,"")</f>
        <v/>
      </c>
      <c r="I993" t="str">
        <f>IF($A993&lt;&gt;"",'All Cases - Enter Cases'!I993,"")</f>
        <v/>
      </c>
      <c r="J993" t="str">
        <f>IF($A993&lt;&gt;"",'All Cases - Enter Cases'!J993,"")</f>
        <v/>
      </c>
      <c r="K993" t="str">
        <f>IF($A993&lt;&gt;"",'All Cases - Enter Cases'!K993,"")</f>
        <v/>
      </c>
      <c r="L993" t="str">
        <f>IF($A993&lt;&gt;"",'All Cases - Enter Cases'!L993,"")</f>
        <v/>
      </c>
      <c r="M993" t="str">
        <f>IF($A993&lt;&gt;"",'All Cases - Enter Cases'!M993,"")</f>
        <v/>
      </c>
    </row>
    <row r="994" spans="1:13" x14ac:dyDescent="0.35">
      <c r="A994" t="str">
        <f>IF('All Cases - Enter Cases'!$F994="Balochistan",'All Cases - Enter Cases'!A994,"")</f>
        <v/>
      </c>
      <c r="B994" t="str">
        <f>IF($A994&lt;&gt;"",'All Cases - Enter Cases'!B994,"")</f>
        <v/>
      </c>
      <c r="C994" t="str">
        <f>IF($A994&lt;&gt;"",'All Cases - Enter Cases'!C994,"")</f>
        <v/>
      </c>
      <c r="D994" t="str">
        <f>IF($A994&lt;&gt;"",'All Cases - Enter Cases'!D994,"")</f>
        <v/>
      </c>
      <c r="E994" t="str">
        <f>IF($A994&lt;&gt;"",'All Cases - Enter Cases'!E994,"")</f>
        <v/>
      </c>
      <c r="F994" t="str">
        <f>IF($A994&lt;&gt;"",'All Cases - Enter Cases'!F994,"")</f>
        <v/>
      </c>
      <c r="G994" t="str">
        <f>IF($A994&lt;&gt;"",'All Cases - Enter Cases'!G994,"")</f>
        <v/>
      </c>
      <c r="H994" t="str">
        <f>IF($A994&lt;&gt;"",'All Cases - Enter Cases'!H994,"")</f>
        <v/>
      </c>
      <c r="I994" t="str">
        <f>IF($A994&lt;&gt;"",'All Cases - Enter Cases'!I994,"")</f>
        <v/>
      </c>
      <c r="J994" t="str">
        <f>IF($A994&lt;&gt;"",'All Cases - Enter Cases'!J994,"")</f>
        <v/>
      </c>
      <c r="K994" t="str">
        <f>IF($A994&lt;&gt;"",'All Cases - Enter Cases'!K994,"")</f>
        <v/>
      </c>
      <c r="L994" t="str">
        <f>IF($A994&lt;&gt;"",'All Cases - Enter Cases'!L994,"")</f>
        <v/>
      </c>
      <c r="M994" t="str">
        <f>IF($A994&lt;&gt;"",'All Cases - Enter Cases'!M994,"")</f>
        <v/>
      </c>
    </row>
    <row r="995" spans="1:13" x14ac:dyDescent="0.35">
      <c r="A995" t="str">
        <f>IF('All Cases - Enter Cases'!$F995="Balochistan",'All Cases - Enter Cases'!A995,"")</f>
        <v/>
      </c>
      <c r="B995" t="str">
        <f>IF($A995&lt;&gt;"",'All Cases - Enter Cases'!B995,"")</f>
        <v/>
      </c>
      <c r="C995" t="str">
        <f>IF($A995&lt;&gt;"",'All Cases - Enter Cases'!C995,"")</f>
        <v/>
      </c>
      <c r="D995" t="str">
        <f>IF($A995&lt;&gt;"",'All Cases - Enter Cases'!D995,"")</f>
        <v/>
      </c>
      <c r="E995" t="str">
        <f>IF($A995&lt;&gt;"",'All Cases - Enter Cases'!E995,"")</f>
        <v/>
      </c>
      <c r="F995" t="str">
        <f>IF($A995&lt;&gt;"",'All Cases - Enter Cases'!F995,"")</f>
        <v/>
      </c>
      <c r="G995" t="str">
        <f>IF($A995&lt;&gt;"",'All Cases - Enter Cases'!G995,"")</f>
        <v/>
      </c>
      <c r="H995" t="str">
        <f>IF($A995&lt;&gt;"",'All Cases - Enter Cases'!H995,"")</f>
        <v/>
      </c>
      <c r="I995" t="str">
        <f>IF($A995&lt;&gt;"",'All Cases - Enter Cases'!I995,"")</f>
        <v/>
      </c>
      <c r="J995" t="str">
        <f>IF($A995&lt;&gt;"",'All Cases - Enter Cases'!J995,"")</f>
        <v/>
      </c>
      <c r="K995" t="str">
        <f>IF($A995&lt;&gt;"",'All Cases - Enter Cases'!K995,"")</f>
        <v/>
      </c>
      <c r="L995" t="str">
        <f>IF($A995&lt;&gt;"",'All Cases - Enter Cases'!L995,"")</f>
        <v/>
      </c>
      <c r="M995" t="str">
        <f>IF($A995&lt;&gt;"",'All Cases - Enter Cases'!M995,"")</f>
        <v/>
      </c>
    </row>
    <row r="996" spans="1:13" x14ac:dyDescent="0.35">
      <c r="A996" t="str">
        <f>IF('All Cases - Enter Cases'!$F996="Balochistan",'All Cases - Enter Cases'!A996,"")</f>
        <v/>
      </c>
      <c r="B996" t="str">
        <f>IF($A996&lt;&gt;"",'All Cases - Enter Cases'!B996,"")</f>
        <v/>
      </c>
      <c r="C996" t="str">
        <f>IF($A996&lt;&gt;"",'All Cases - Enter Cases'!C996,"")</f>
        <v/>
      </c>
      <c r="D996" t="str">
        <f>IF($A996&lt;&gt;"",'All Cases - Enter Cases'!D996,"")</f>
        <v/>
      </c>
      <c r="E996" t="str">
        <f>IF($A996&lt;&gt;"",'All Cases - Enter Cases'!E996,"")</f>
        <v/>
      </c>
      <c r="F996" t="str">
        <f>IF($A996&lt;&gt;"",'All Cases - Enter Cases'!F996,"")</f>
        <v/>
      </c>
      <c r="G996" t="str">
        <f>IF($A996&lt;&gt;"",'All Cases - Enter Cases'!G996,"")</f>
        <v/>
      </c>
      <c r="H996" t="str">
        <f>IF($A996&lt;&gt;"",'All Cases - Enter Cases'!H996,"")</f>
        <v/>
      </c>
      <c r="I996" t="str">
        <f>IF($A996&lt;&gt;"",'All Cases - Enter Cases'!I996,"")</f>
        <v/>
      </c>
      <c r="J996" t="str">
        <f>IF($A996&lt;&gt;"",'All Cases - Enter Cases'!J996,"")</f>
        <v/>
      </c>
      <c r="K996" t="str">
        <f>IF($A996&lt;&gt;"",'All Cases - Enter Cases'!K996,"")</f>
        <v/>
      </c>
      <c r="L996" t="str">
        <f>IF($A996&lt;&gt;"",'All Cases - Enter Cases'!L996,"")</f>
        <v/>
      </c>
      <c r="M996" t="str">
        <f>IF($A996&lt;&gt;"",'All Cases - Enter Cases'!M996,"")</f>
        <v/>
      </c>
    </row>
    <row r="997" spans="1:13" x14ac:dyDescent="0.35">
      <c r="A997" t="str">
        <f>IF('All Cases - Enter Cases'!$F997="Balochistan",'All Cases - Enter Cases'!A997,"")</f>
        <v/>
      </c>
      <c r="B997" t="str">
        <f>IF($A997&lt;&gt;"",'All Cases - Enter Cases'!B997,"")</f>
        <v/>
      </c>
      <c r="C997" t="str">
        <f>IF($A997&lt;&gt;"",'All Cases - Enter Cases'!C997,"")</f>
        <v/>
      </c>
      <c r="D997" t="str">
        <f>IF($A997&lt;&gt;"",'All Cases - Enter Cases'!D997,"")</f>
        <v/>
      </c>
      <c r="E997" t="str">
        <f>IF($A997&lt;&gt;"",'All Cases - Enter Cases'!E997,"")</f>
        <v/>
      </c>
      <c r="F997" t="str">
        <f>IF($A997&lt;&gt;"",'All Cases - Enter Cases'!F997,"")</f>
        <v/>
      </c>
      <c r="G997" t="str">
        <f>IF($A997&lt;&gt;"",'All Cases - Enter Cases'!G997,"")</f>
        <v/>
      </c>
      <c r="H997" t="str">
        <f>IF($A997&lt;&gt;"",'All Cases - Enter Cases'!H997,"")</f>
        <v/>
      </c>
      <c r="I997" t="str">
        <f>IF($A997&lt;&gt;"",'All Cases - Enter Cases'!I997,"")</f>
        <v/>
      </c>
      <c r="J997" t="str">
        <f>IF($A997&lt;&gt;"",'All Cases - Enter Cases'!J997,"")</f>
        <v/>
      </c>
      <c r="K997" t="str">
        <f>IF($A997&lt;&gt;"",'All Cases - Enter Cases'!K997,"")</f>
        <v/>
      </c>
      <c r="L997" t="str">
        <f>IF($A997&lt;&gt;"",'All Cases - Enter Cases'!L997,"")</f>
        <v/>
      </c>
      <c r="M997" t="str">
        <f>IF($A997&lt;&gt;"",'All Cases - Enter Cases'!M997,"")</f>
        <v/>
      </c>
    </row>
    <row r="998" spans="1:13" x14ac:dyDescent="0.35">
      <c r="A998" t="str">
        <f>IF('All Cases - Enter Cases'!$F998="Balochistan",'All Cases - Enter Cases'!A998,"")</f>
        <v/>
      </c>
      <c r="B998" t="str">
        <f>IF($A998&lt;&gt;"",'All Cases - Enter Cases'!B998,"")</f>
        <v/>
      </c>
      <c r="C998" t="str">
        <f>IF($A998&lt;&gt;"",'All Cases - Enter Cases'!C998,"")</f>
        <v/>
      </c>
      <c r="D998" t="str">
        <f>IF($A998&lt;&gt;"",'All Cases - Enter Cases'!D998,"")</f>
        <v/>
      </c>
      <c r="E998" t="str">
        <f>IF($A998&lt;&gt;"",'All Cases - Enter Cases'!E998,"")</f>
        <v/>
      </c>
      <c r="F998" t="str">
        <f>IF($A998&lt;&gt;"",'All Cases - Enter Cases'!F998,"")</f>
        <v/>
      </c>
      <c r="G998" t="str">
        <f>IF($A998&lt;&gt;"",'All Cases - Enter Cases'!G998,"")</f>
        <v/>
      </c>
      <c r="H998" t="str">
        <f>IF($A998&lt;&gt;"",'All Cases - Enter Cases'!H998,"")</f>
        <v/>
      </c>
      <c r="I998" t="str">
        <f>IF($A998&lt;&gt;"",'All Cases - Enter Cases'!I998,"")</f>
        <v/>
      </c>
      <c r="J998" t="str">
        <f>IF($A998&lt;&gt;"",'All Cases - Enter Cases'!J998,"")</f>
        <v/>
      </c>
      <c r="K998" t="str">
        <f>IF($A998&lt;&gt;"",'All Cases - Enter Cases'!K998,"")</f>
        <v/>
      </c>
      <c r="L998" t="str">
        <f>IF($A998&lt;&gt;"",'All Cases - Enter Cases'!L998,"")</f>
        <v/>
      </c>
      <c r="M998" t="str">
        <f>IF($A998&lt;&gt;"",'All Cases - Enter Cases'!M998,"")</f>
        <v/>
      </c>
    </row>
    <row r="999" spans="1:13" x14ac:dyDescent="0.35">
      <c r="A999" t="str">
        <f>IF('All Cases - Enter Cases'!$F999="Balochistan",'All Cases - Enter Cases'!A999,"")</f>
        <v/>
      </c>
      <c r="B999" t="str">
        <f>IF($A999&lt;&gt;"",'All Cases - Enter Cases'!B999,"")</f>
        <v/>
      </c>
      <c r="C999" t="str">
        <f>IF($A999&lt;&gt;"",'All Cases - Enter Cases'!C999,"")</f>
        <v/>
      </c>
      <c r="D999" t="str">
        <f>IF($A999&lt;&gt;"",'All Cases - Enter Cases'!D999,"")</f>
        <v/>
      </c>
      <c r="E999" t="str">
        <f>IF($A999&lt;&gt;"",'All Cases - Enter Cases'!E999,"")</f>
        <v/>
      </c>
      <c r="F999" t="str">
        <f>IF($A999&lt;&gt;"",'All Cases - Enter Cases'!F999,"")</f>
        <v/>
      </c>
      <c r="G999" t="str">
        <f>IF($A999&lt;&gt;"",'All Cases - Enter Cases'!G999,"")</f>
        <v/>
      </c>
      <c r="H999" t="str">
        <f>IF($A999&lt;&gt;"",'All Cases - Enter Cases'!H999,"")</f>
        <v/>
      </c>
      <c r="I999" t="str">
        <f>IF($A999&lt;&gt;"",'All Cases - Enter Cases'!I999,"")</f>
        <v/>
      </c>
      <c r="J999" t="str">
        <f>IF($A999&lt;&gt;"",'All Cases - Enter Cases'!J999,"")</f>
        <v/>
      </c>
      <c r="K999" t="str">
        <f>IF($A999&lt;&gt;"",'All Cases - Enter Cases'!K999,"")</f>
        <v/>
      </c>
      <c r="L999" t="str">
        <f>IF($A999&lt;&gt;"",'All Cases - Enter Cases'!L999,"")</f>
        <v/>
      </c>
      <c r="M999" t="str">
        <f>IF($A999&lt;&gt;"",'All Cases - Enter Cases'!M999,"")</f>
        <v/>
      </c>
    </row>
    <row r="1000" spans="1:13" x14ac:dyDescent="0.35">
      <c r="A1000" t="str">
        <f>IF('All Cases - Enter Cases'!$F1000="Balochistan",'All Cases - Enter Cases'!A1000,"")</f>
        <v/>
      </c>
      <c r="B1000" t="str">
        <f>IF($A1000&lt;&gt;"",'All Cases - Enter Cases'!B1000,"")</f>
        <v/>
      </c>
      <c r="C1000" t="str">
        <f>IF($A1000&lt;&gt;"",'All Cases - Enter Cases'!C1000,"")</f>
        <v/>
      </c>
      <c r="D1000" t="str">
        <f>IF($A1000&lt;&gt;"",'All Cases - Enter Cases'!D1000,"")</f>
        <v/>
      </c>
      <c r="E1000" t="str">
        <f>IF($A1000&lt;&gt;"",'All Cases - Enter Cases'!E1000,"")</f>
        <v/>
      </c>
      <c r="F1000" t="str">
        <f>IF($A1000&lt;&gt;"",'All Cases - Enter Cases'!F1000,"")</f>
        <v/>
      </c>
      <c r="G1000" t="str">
        <f>IF($A1000&lt;&gt;"",'All Cases - Enter Cases'!G1000,"")</f>
        <v/>
      </c>
      <c r="H1000" t="str">
        <f>IF($A1000&lt;&gt;"",'All Cases - Enter Cases'!H1000,"")</f>
        <v/>
      </c>
      <c r="I1000" t="str">
        <f>IF($A1000&lt;&gt;"",'All Cases - Enter Cases'!I1000,"")</f>
        <v/>
      </c>
      <c r="J1000" t="str">
        <f>IF($A1000&lt;&gt;"",'All Cases - Enter Cases'!J1000,"")</f>
        <v/>
      </c>
      <c r="K1000" t="str">
        <f>IF($A1000&lt;&gt;"",'All Cases - Enter Cases'!K1000,"")</f>
        <v/>
      </c>
      <c r="L1000" t="str">
        <f>IF($A1000&lt;&gt;"",'All Cases - Enter Cases'!L1000,"")</f>
        <v/>
      </c>
      <c r="M1000" t="str">
        <f>IF($A1000&lt;&gt;"",'All Cases - Enter Cases'!M1000,"")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00"/>
  <sheetViews>
    <sheetView workbookViewId="0">
      <pane ySplit="1" topLeftCell="A2" activePane="bottomLeft" state="frozen"/>
      <selection pane="bottomLeft" activeCell="E22" sqref="E22"/>
    </sheetView>
  </sheetViews>
  <sheetFormatPr defaultRowHeight="14.5" x14ac:dyDescent="0.35"/>
  <cols>
    <col min="1" max="1" width="6.26953125" style="4" customWidth="1"/>
    <col min="2" max="2" width="13" style="4" customWidth="1"/>
    <col min="3" max="3" width="25.08984375" customWidth="1"/>
    <col min="4" max="4" width="14.90625" customWidth="1"/>
    <col min="5" max="5" width="47.54296875" customWidth="1"/>
    <col min="6" max="7" width="10" style="12" customWidth="1"/>
    <col min="8" max="8" width="12.36328125" style="4" customWidth="1"/>
    <col min="9" max="9" width="15.453125" customWidth="1"/>
    <col min="10" max="10" width="14" customWidth="1"/>
    <col min="11" max="11" width="21.54296875" customWidth="1"/>
    <col min="12" max="12" width="20" style="4" customWidth="1"/>
    <col min="13" max="13" width="10" customWidth="1"/>
    <col min="14" max="14" width="19" hidden="1" customWidth="1"/>
  </cols>
  <sheetData>
    <row r="1" spans="1:15" ht="29" x14ac:dyDescent="0.35">
      <c r="A1" s="29" t="s">
        <v>0</v>
      </c>
      <c r="B1" s="29" t="s">
        <v>13</v>
      </c>
      <c r="C1" s="29" t="s">
        <v>1</v>
      </c>
      <c r="D1" s="29" t="s">
        <v>2</v>
      </c>
      <c r="E1" s="29" t="s">
        <v>3</v>
      </c>
      <c r="F1" s="30" t="s">
        <v>4</v>
      </c>
      <c r="G1" s="30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14</v>
      </c>
      <c r="M1" s="29" t="s">
        <v>12</v>
      </c>
      <c r="N1" s="1" t="s">
        <v>15</v>
      </c>
      <c r="O1" s="1"/>
    </row>
    <row r="2" spans="1:15" s="23" customFormat="1" ht="20" customHeight="1" x14ac:dyDescent="0.35">
      <c r="A2" s="21">
        <f>IF('All Cases - Enter Cases'!$K2="Approved",'All Cases - Enter Cases'!A2,"")</f>
        <v>1</v>
      </c>
      <c r="B2" s="22">
        <f>IF($N2&lt;&gt;"",$N2,IF($A2&lt;&gt;"",'All Cases - Enter Cases'!$L2+7,""))</f>
        <v>46010</v>
      </c>
      <c r="C2" s="23" t="str">
        <f>IF($A2&lt;&gt;"",'All Cases - Enter Cases'!B2,"")</f>
        <v>Marfani Traders</v>
      </c>
      <c r="D2" s="23" t="str">
        <f>IF($A2&lt;&gt;"",'All Cases - Enter Cases'!C2,"")</f>
        <v>Shop</v>
      </c>
      <c r="E2" s="23" t="str">
        <f>IF($A2&lt;&gt;"",'All Cases - Enter Cases'!D2,"")</f>
        <v>Godown No. S-19 West Warf, New Lipton Gali ,Karachi</v>
      </c>
      <c r="F2" s="24" t="str">
        <f>IF($A2&lt;&gt;"",'All Cases - Enter Cases'!E2,"")</f>
        <v>Karachi</v>
      </c>
      <c r="G2" s="24" t="str">
        <f>IF($A2&lt;&gt;"",'All Cases - Enter Cases'!F2,"")</f>
        <v>Sindh</v>
      </c>
      <c r="H2" s="21" t="str">
        <f>IF($A2&lt;&gt;"",'All Cases - Enter Cases'!G2,"")</f>
        <v>OneWorld</v>
      </c>
      <c r="I2" s="23" t="str">
        <f>IF($A2&lt;&gt;"",'All Cases - Enter Cases'!H2,"")</f>
        <v>Wd-40</v>
      </c>
      <c r="J2" s="23" t="str">
        <f>IF($A2&lt;&gt;"",'All Cases - Enter Cases'!I2,"")</f>
        <v>Fluid</v>
      </c>
      <c r="K2" s="22">
        <f>IF($A2&lt;&gt;"",'All Cases - Enter Cases'!J2,"")</f>
        <v>45966</v>
      </c>
      <c r="L2" s="21" t="str">
        <f>IF($A2&lt;&gt;"",'All Cases - Enter Cases'!K2,"")</f>
        <v>Approved</v>
      </c>
      <c r="M2" s="23">
        <f>IF($A2&lt;&gt;"",'All Cases - Enter Cases'!L2,"")</f>
        <v>46003</v>
      </c>
    </row>
    <row r="3" spans="1:15" s="23" customFormat="1" ht="20" customHeight="1" x14ac:dyDescent="0.35">
      <c r="A3" s="21">
        <f>IF('All Cases - Enter Cases'!$K3="Approved",'All Cases - Enter Cases'!A3,"")</f>
        <v>2</v>
      </c>
      <c r="B3" s="22">
        <f>IF($N3&lt;&gt;"",$N3,IF($A3&lt;&gt;"",'All Cases - Enter Cases'!$L3+7,""))</f>
        <v>46042</v>
      </c>
      <c r="C3" s="23" t="str">
        <f>IF($A3&lt;&gt;"",'All Cases - Enter Cases'!B3,"")</f>
        <v>Sami Garments Factory</v>
      </c>
      <c r="D3" s="23" t="str">
        <f>IF($A3&lt;&gt;"",'All Cases - Enter Cases'!C3,"")</f>
        <v>Factory</v>
      </c>
      <c r="E3" s="23" t="str">
        <f>IF($A3&lt;&gt;"",'All Cases - Enter Cases'!D3,"")</f>
        <v>Plot No.L-27 Sector 12B Industrial Area ,New Karachi</v>
      </c>
      <c r="F3" s="24" t="str">
        <f>IF($A3&lt;&gt;"",'All Cases - Enter Cases'!E3,"")</f>
        <v>Karachi</v>
      </c>
      <c r="G3" s="24" t="str">
        <f>IF($A3&lt;&gt;"",'All Cases - Enter Cases'!F3,"")</f>
        <v>Sindh</v>
      </c>
      <c r="H3" s="21" t="str">
        <f>IF($A3&lt;&gt;"",'All Cases - Enter Cases'!G3,"")</f>
        <v>SafeMark</v>
      </c>
      <c r="I3" s="23" t="str">
        <f>IF($A3&lt;&gt;"",'All Cases - Enter Cases'!H3,"")</f>
        <v>Reebok</v>
      </c>
      <c r="J3" s="23" t="str">
        <f>IF($A3&lt;&gt;"",'All Cases - Enter Cases'!I3,"")</f>
        <v>Garments</v>
      </c>
      <c r="K3" s="22">
        <f>IF($A3&lt;&gt;"",'All Cases - Enter Cases'!J3,"")</f>
        <v>46031</v>
      </c>
      <c r="L3" s="21" t="str">
        <f>IF($A3&lt;&gt;"",'All Cases - Enter Cases'!K3,"")</f>
        <v>Approved</v>
      </c>
      <c r="M3" s="23">
        <f>IF($A3&lt;&gt;"",'All Cases - Enter Cases'!L3,"")</f>
        <v>46035</v>
      </c>
    </row>
    <row r="4" spans="1:15" s="23" customFormat="1" ht="20" customHeight="1" x14ac:dyDescent="0.35">
      <c r="A4" s="21">
        <f>IF('All Cases - Enter Cases'!$K4="Approved",'All Cases - Enter Cases'!A4,"")</f>
        <v>3</v>
      </c>
      <c r="B4" s="22">
        <f>IF($N4&lt;&gt;"",$N4,IF($A4&lt;&gt;"",'All Cases - Enter Cases'!$L4+7,""))</f>
        <v>46042</v>
      </c>
      <c r="C4" s="23" t="str">
        <f>IF($A4&lt;&gt;"",'All Cases - Enter Cases'!B4,"")</f>
        <v>Sami Garments Factory</v>
      </c>
      <c r="D4" s="23" t="str">
        <f>IF($A4&lt;&gt;"",'All Cases - Enter Cases'!C4,"")</f>
        <v>Factory</v>
      </c>
      <c r="E4" s="23" t="str">
        <f>IF($A4&lt;&gt;"",'All Cases - Enter Cases'!D4,"")</f>
        <v>Plot No.L-27 Sector 12B Industrial Area ,New Karachi</v>
      </c>
      <c r="F4" s="24" t="str">
        <f>IF($A4&lt;&gt;"",'All Cases - Enter Cases'!E4,"")</f>
        <v>Karachi</v>
      </c>
      <c r="G4" s="24" t="str">
        <f>IF($A4&lt;&gt;"",'All Cases - Enter Cases'!F4,"")</f>
        <v>Sindh</v>
      </c>
      <c r="H4" s="21" t="str">
        <f>IF($A4&lt;&gt;"",'All Cases - Enter Cases'!G4,"")</f>
        <v>SafeMark</v>
      </c>
      <c r="I4" s="23" t="str">
        <f>IF($A4&lt;&gt;"",'All Cases - Enter Cases'!H4,"")</f>
        <v>Champion</v>
      </c>
      <c r="J4" s="23" t="str">
        <f>IF($A4&lt;&gt;"",'All Cases - Enter Cases'!I4,"")</f>
        <v>Garments</v>
      </c>
      <c r="K4" s="22">
        <f>IF($A4&lt;&gt;"",'All Cases - Enter Cases'!J4,"")</f>
        <v>46031</v>
      </c>
      <c r="L4" s="21" t="str">
        <f>IF($A4&lt;&gt;"",'All Cases - Enter Cases'!K4,"")</f>
        <v>Approved</v>
      </c>
      <c r="M4" s="23">
        <f>IF($A4&lt;&gt;"",'All Cases - Enter Cases'!L4,"")</f>
        <v>46035</v>
      </c>
    </row>
    <row r="5" spans="1:15" s="23" customFormat="1" ht="20" customHeight="1" x14ac:dyDescent="0.35">
      <c r="A5" s="21">
        <f>IF('All Cases - Enter Cases'!$K5="Approved",'All Cases - Enter Cases'!A5,"")</f>
        <v>4</v>
      </c>
      <c r="B5" s="22">
        <f>IF($N5&lt;&gt;"",$N5,IF($A5&lt;&gt;"",'All Cases - Enter Cases'!$L5+7,""))</f>
        <v>46042</v>
      </c>
      <c r="C5" s="23" t="str">
        <f>IF($A5&lt;&gt;"",'All Cases - Enter Cases'!B5,"")</f>
        <v>Sami Garments Factory</v>
      </c>
      <c r="D5" s="23" t="str">
        <f>IF($A5&lt;&gt;"",'All Cases - Enter Cases'!C5,"")</f>
        <v>Factory</v>
      </c>
      <c r="E5" s="23" t="str">
        <f>IF($A5&lt;&gt;"",'All Cases - Enter Cases'!D5,"")</f>
        <v>Plot No.L-27 Sector 12B Industrial Area ,New Karachi</v>
      </c>
      <c r="F5" s="24" t="str">
        <f>IF($A5&lt;&gt;"",'All Cases - Enter Cases'!E5,"")</f>
        <v>Karachi</v>
      </c>
      <c r="G5" s="24" t="str">
        <f>IF($A5&lt;&gt;"",'All Cases - Enter Cases'!F5,"")</f>
        <v>Sindh</v>
      </c>
      <c r="H5" s="21" t="str">
        <f>IF($A5&lt;&gt;"",'All Cases - Enter Cases'!G5,"")</f>
        <v>SafeMark</v>
      </c>
      <c r="I5" s="23" t="str">
        <f>IF($A5&lt;&gt;"",'All Cases - Enter Cases'!H5,"")</f>
        <v>Hugo Boss</v>
      </c>
      <c r="J5" s="23" t="str">
        <f>IF($A5&lt;&gt;"",'All Cases - Enter Cases'!I5,"")</f>
        <v>Garments</v>
      </c>
      <c r="K5" s="22">
        <f>IF($A5&lt;&gt;"",'All Cases - Enter Cases'!J5,"")</f>
        <v>46031</v>
      </c>
      <c r="L5" s="21" t="str">
        <f>IF($A5&lt;&gt;"",'All Cases - Enter Cases'!K5,"")</f>
        <v>Approved</v>
      </c>
      <c r="M5" s="23">
        <f>IF($A5&lt;&gt;"",'All Cases - Enter Cases'!L5,"")</f>
        <v>46035</v>
      </c>
    </row>
    <row r="6" spans="1:15" s="23" customFormat="1" ht="20" customHeight="1" x14ac:dyDescent="0.35">
      <c r="A6" s="21">
        <f>IF('All Cases - Enter Cases'!$K6="Approved",'All Cases - Enter Cases'!A6,"")</f>
        <v>5</v>
      </c>
      <c r="B6" s="22">
        <f>IF($N6&lt;&gt;"",$N6,IF($A6&lt;&gt;"",'All Cases - Enter Cases'!$L6+7,""))</f>
        <v>46046</v>
      </c>
      <c r="C6" s="23" t="str">
        <f>IF($A6&lt;&gt;"",'All Cases - Enter Cases'!B6,"")</f>
        <v>Faisal Shoes Manufacturing</v>
      </c>
      <c r="D6" s="23" t="str">
        <f>IF($A6&lt;&gt;"",'All Cases - Enter Cases'!C6,"")</f>
        <v>Factory</v>
      </c>
      <c r="E6" s="23" t="str">
        <f>IF($A6&lt;&gt;"",'All Cases - Enter Cases'!D6,"")</f>
        <v>Plot No.C-62 Taksali Androne Lahore</v>
      </c>
      <c r="F6" s="24" t="str">
        <f>IF($A6&lt;&gt;"",'All Cases - Enter Cases'!E6,"")</f>
        <v>Lahore</v>
      </c>
      <c r="G6" s="24" t="str">
        <f>IF($A6&lt;&gt;"",'All Cases - Enter Cases'!F6,"")</f>
        <v>Punjab</v>
      </c>
      <c r="H6" s="21" t="str">
        <f>IF($A6&lt;&gt;"",'All Cases - Enter Cases'!G6,"")</f>
        <v>SafeMark</v>
      </c>
      <c r="I6" s="23" t="str">
        <f>IF($A6&lt;&gt;"",'All Cases - Enter Cases'!H6,"")</f>
        <v>Tommy Hilfiger</v>
      </c>
      <c r="J6" s="23" t="str">
        <f>IF($A6&lt;&gt;"",'All Cases - Enter Cases'!I6,"")</f>
        <v>Shoes</v>
      </c>
      <c r="K6" s="22">
        <f>IF($A6&lt;&gt;"",'All Cases - Enter Cases'!J6,"")</f>
        <v>46031</v>
      </c>
      <c r="L6" s="21" t="str">
        <f>IF($A6&lt;&gt;"",'All Cases - Enter Cases'!K6,"")</f>
        <v>Approved</v>
      </c>
      <c r="M6" s="23">
        <f>IF($A6&lt;&gt;"",'All Cases - Enter Cases'!L6,"")</f>
        <v>46039</v>
      </c>
    </row>
    <row r="7" spans="1:15" s="23" customFormat="1" ht="20" customHeight="1" x14ac:dyDescent="0.35">
      <c r="A7" s="21">
        <f>IF('All Cases - Enter Cases'!$K7="Approved",'All Cases - Enter Cases'!A7,"")</f>
        <v>6</v>
      </c>
      <c r="B7" s="22">
        <f>IF($N7&lt;&gt;"",$N7,IF($A7&lt;&gt;"",'All Cases - Enter Cases'!$L7+7,""))</f>
        <v>46047</v>
      </c>
      <c r="C7" s="23" t="str">
        <f>IF($A7&lt;&gt;"",'All Cases - Enter Cases'!B7,"")</f>
        <v>Faisal Shoes Manufacturing</v>
      </c>
      <c r="D7" s="23" t="str">
        <f>IF($A7&lt;&gt;"",'All Cases - Enter Cases'!C7,"")</f>
        <v>Factory</v>
      </c>
      <c r="E7" s="23" t="str">
        <f>IF($A7&lt;&gt;"",'All Cases - Enter Cases'!D7,"")</f>
        <v>Plot No.C-62 Taksali Androne Lahore</v>
      </c>
      <c r="F7" s="24" t="str">
        <f>IF($A7&lt;&gt;"",'All Cases - Enter Cases'!E7,"")</f>
        <v>Lahore</v>
      </c>
      <c r="G7" s="24" t="str">
        <f>IF($A7&lt;&gt;"",'All Cases - Enter Cases'!F7,"")</f>
        <v>Punjab</v>
      </c>
      <c r="H7" s="21" t="str">
        <f>IF($A7&lt;&gt;"",'All Cases - Enter Cases'!G7,"")</f>
        <v>SafeMark</v>
      </c>
      <c r="I7" s="23" t="str">
        <f>IF($A7&lt;&gt;"",'All Cases - Enter Cases'!H7,"")</f>
        <v>Calvin Klein</v>
      </c>
      <c r="J7" s="23" t="str">
        <f>IF($A7&lt;&gt;"",'All Cases - Enter Cases'!I7,"")</f>
        <v>Shoes</v>
      </c>
      <c r="K7" s="22">
        <f>IF($A7&lt;&gt;"",'All Cases - Enter Cases'!J7,"")</f>
        <v>46031</v>
      </c>
      <c r="L7" s="21" t="str">
        <f>IF($A7&lt;&gt;"",'All Cases - Enter Cases'!K7,"")</f>
        <v>Approved</v>
      </c>
      <c r="M7" s="23">
        <f>IF($A7&lt;&gt;"",'All Cases - Enter Cases'!L7,"")</f>
        <v>46040</v>
      </c>
    </row>
    <row r="8" spans="1:15" s="23" customFormat="1" ht="20" customHeight="1" x14ac:dyDescent="0.35">
      <c r="A8" s="21">
        <f>IF('All Cases - Enter Cases'!$K8="Approved",'All Cases - Enter Cases'!A8,"")</f>
        <v>7</v>
      </c>
      <c r="B8" s="22">
        <f>IF($N8&lt;&gt;"",$N8,IF($A8&lt;&gt;"",'All Cases - Enter Cases'!$L8+7,""))</f>
        <v>46036</v>
      </c>
      <c r="C8" s="23" t="str">
        <f>IF($A8&lt;&gt;"",'All Cases - Enter Cases'!B8,"")</f>
        <v>Faisal Shoes Manufacturing</v>
      </c>
      <c r="D8" s="23" t="str">
        <f>IF($A8&lt;&gt;"",'All Cases - Enter Cases'!C8,"")</f>
        <v>Factory</v>
      </c>
      <c r="E8" s="23" t="str">
        <f>IF($A8&lt;&gt;"",'All Cases - Enter Cases'!D8,"")</f>
        <v>Plot No.C-62 Taksali Androne Lahore</v>
      </c>
      <c r="F8" s="24" t="str">
        <f>IF($A8&lt;&gt;"",'All Cases - Enter Cases'!E8,"")</f>
        <v>Lahore</v>
      </c>
      <c r="G8" s="24" t="str">
        <f>IF($A8&lt;&gt;"",'All Cases - Enter Cases'!F8,"")</f>
        <v>Punjab</v>
      </c>
      <c r="H8" s="21" t="str">
        <f>IF($A8&lt;&gt;"",'All Cases - Enter Cases'!G8,"")</f>
        <v>SafeMark</v>
      </c>
      <c r="I8" s="23" t="str">
        <f>IF($A8&lt;&gt;"",'All Cases - Enter Cases'!H8,"")</f>
        <v>Reebok</v>
      </c>
      <c r="J8" s="23" t="str">
        <f>IF($A8&lt;&gt;"",'All Cases - Enter Cases'!I8,"")</f>
        <v>Shoes</v>
      </c>
      <c r="K8" s="22">
        <f>IF($A8&lt;&gt;"",'All Cases - Enter Cases'!J8,"")</f>
        <v>46027</v>
      </c>
      <c r="L8" s="21" t="str">
        <f>IF($A8&lt;&gt;"",'All Cases - Enter Cases'!K8,"")</f>
        <v>Approved</v>
      </c>
      <c r="M8" s="23">
        <f>IF($A8&lt;&gt;"",'All Cases - Enter Cases'!L8,"")</f>
        <v>46029</v>
      </c>
    </row>
    <row r="9" spans="1:15" s="23" customFormat="1" ht="20" customHeight="1" x14ac:dyDescent="0.35">
      <c r="A9" s="21">
        <f>IF('All Cases - Enter Cases'!$K9="Approved",'All Cases - Enter Cases'!A9,"")</f>
        <v>8</v>
      </c>
      <c r="B9" s="22">
        <f>IF($N9&lt;&gt;"",$N9,IF($A9&lt;&gt;"",'All Cases - Enter Cases'!$L9+7,""))</f>
        <v>46048</v>
      </c>
      <c r="C9" s="23" t="str">
        <f>IF($A9&lt;&gt;"",'All Cases - Enter Cases'!B9,"")</f>
        <v>Faisal Shoes Manufacturing</v>
      </c>
      <c r="D9" s="23" t="str">
        <f>IF($A9&lt;&gt;"",'All Cases - Enter Cases'!C9,"")</f>
        <v>Factory</v>
      </c>
      <c r="E9" s="23" t="str">
        <f>IF($A9&lt;&gt;"",'All Cases - Enter Cases'!D9,"")</f>
        <v>Plot No.C-62 Taksali Androne Lahore</v>
      </c>
      <c r="F9" s="24" t="str">
        <f>IF($A9&lt;&gt;"",'All Cases - Enter Cases'!E9,"")</f>
        <v>Lahore</v>
      </c>
      <c r="G9" s="24" t="str">
        <f>IF($A9&lt;&gt;"",'All Cases - Enter Cases'!F9,"")</f>
        <v>Punjab</v>
      </c>
      <c r="H9" s="21" t="str">
        <f>IF($A9&lt;&gt;"",'All Cases - Enter Cases'!G9,"")</f>
        <v>AA</v>
      </c>
      <c r="I9" s="23" t="str">
        <f>IF($A9&lt;&gt;"",'All Cases - Enter Cases'!H9,"")</f>
        <v>Gucci</v>
      </c>
      <c r="J9" s="23" t="str">
        <f>IF($A9&lt;&gt;"",'All Cases - Enter Cases'!I9,"")</f>
        <v>Shoes</v>
      </c>
      <c r="K9" s="22">
        <f>IF($A9&lt;&gt;"",'All Cases - Enter Cases'!J9,"")</f>
        <v>46029</v>
      </c>
      <c r="L9" s="21" t="str">
        <f>IF($A9&lt;&gt;"",'All Cases - Enter Cases'!K9,"")</f>
        <v>Approved</v>
      </c>
      <c r="M9" s="23">
        <f>IF($A9&lt;&gt;"",'All Cases - Enter Cases'!L9,"")</f>
        <v>46041</v>
      </c>
    </row>
    <row r="10" spans="1:15" s="23" customFormat="1" ht="20" customHeight="1" x14ac:dyDescent="0.35">
      <c r="A10" s="21">
        <f>IF('All Cases - Enter Cases'!$K10="Approved",'All Cases - Enter Cases'!A10,"")</f>
        <v>9</v>
      </c>
      <c r="B10" s="22">
        <f>IF($N10&lt;&gt;"",$N10,IF($A10&lt;&gt;"",'All Cases - Enter Cases'!$L10+7,""))</f>
        <v>46036</v>
      </c>
      <c r="C10" s="23" t="str">
        <f>IF($A10&lt;&gt;"",'All Cases - Enter Cases'!B10,"")</f>
        <v>Faisal Shoes Manufacturing</v>
      </c>
      <c r="D10" s="23" t="str">
        <f>IF($A10&lt;&gt;"",'All Cases - Enter Cases'!C10,"")</f>
        <v>Factory</v>
      </c>
      <c r="E10" s="23" t="str">
        <f>IF($A10&lt;&gt;"",'All Cases - Enter Cases'!D10,"")</f>
        <v>Plot No.C-62 Taksali Androne Lahore</v>
      </c>
      <c r="F10" s="24" t="str">
        <f>IF($A10&lt;&gt;"",'All Cases - Enter Cases'!E10,"")</f>
        <v>Lahore</v>
      </c>
      <c r="G10" s="24" t="str">
        <f>IF($A10&lt;&gt;"",'All Cases - Enter Cases'!F10,"")</f>
        <v>Punjab</v>
      </c>
      <c r="H10" s="21" t="str">
        <f>IF($A10&lt;&gt;"",'All Cases - Enter Cases'!G10,"")</f>
        <v>SafeMark</v>
      </c>
      <c r="I10" s="23" t="str">
        <f>IF($A10&lt;&gt;"",'All Cases - Enter Cases'!H10,"")</f>
        <v>New Balance</v>
      </c>
      <c r="J10" s="23" t="str">
        <f>IF($A10&lt;&gt;"",'All Cases - Enter Cases'!I10,"")</f>
        <v>Shoes</v>
      </c>
      <c r="K10" s="22">
        <f>IF($A10&lt;&gt;"",'All Cases - Enter Cases'!J10,"")</f>
        <v>46027</v>
      </c>
      <c r="L10" s="21" t="str">
        <f>IF($A10&lt;&gt;"",'All Cases - Enter Cases'!K10,"")</f>
        <v>Approved</v>
      </c>
      <c r="M10" s="23">
        <f>IF($A10&lt;&gt;"",'All Cases - Enter Cases'!L10,"")</f>
        <v>46029</v>
      </c>
    </row>
    <row r="11" spans="1:15" s="23" customFormat="1" ht="20" customHeight="1" x14ac:dyDescent="0.35">
      <c r="A11" s="21">
        <f>IF('All Cases - Enter Cases'!$K11="Approved",'All Cases - Enter Cases'!A11,"")</f>
        <v>10</v>
      </c>
      <c r="B11" s="22">
        <f>IF($N11&lt;&gt;"",$N11,IF($A11&lt;&gt;"",'All Cases - Enter Cases'!$L11+7,""))</f>
        <v>46036</v>
      </c>
      <c r="C11" s="23" t="str">
        <f>IF($A11&lt;&gt;"",'All Cases - Enter Cases'!B11,"")</f>
        <v>Faisal Shoes Manufacturing</v>
      </c>
      <c r="D11" s="23" t="str">
        <f>IF($A11&lt;&gt;"",'All Cases - Enter Cases'!C11,"")</f>
        <v>Factory</v>
      </c>
      <c r="E11" s="23" t="str">
        <f>IF($A11&lt;&gt;"",'All Cases - Enter Cases'!D11,"")</f>
        <v>Plot No.C-62 Taksali Androne Lahore</v>
      </c>
      <c r="F11" s="24" t="str">
        <f>IF($A11&lt;&gt;"",'All Cases - Enter Cases'!E11,"")</f>
        <v>Lahore</v>
      </c>
      <c r="G11" s="24" t="str">
        <f>IF($A11&lt;&gt;"",'All Cases - Enter Cases'!F11,"")</f>
        <v>Punjab</v>
      </c>
      <c r="H11" s="21" t="str">
        <f>IF($A11&lt;&gt;"",'All Cases - Enter Cases'!G11,"")</f>
        <v>SafeMark</v>
      </c>
      <c r="I11" s="23" t="str">
        <f>IF($A11&lt;&gt;"",'All Cases - Enter Cases'!H11,"")</f>
        <v>Hugo Boss</v>
      </c>
      <c r="J11" s="23" t="str">
        <f>IF($A11&lt;&gt;"",'All Cases - Enter Cases'!I11,"")</f>
        <v>Shoes</v>
      </c>
      <c r="K11" s="22">
        <f>IF($A11&lt;&gt;"",'All Cases - Enter Cases'!J11,"")</f>
        <v>46027</v>
      </c>
      <c r="L11" s="21" t="str">
        <f>IF($A11&lt;&gt;"",'All Cases - Enter Cases'!K11,"")</f>
        <v>Approved</v>
      </c>
      <c r="M11" s="23">
        <f>IF($A11&lt;&gt;"",'All Cases - Enter Cases'!L11,"")</f>
        <v>46029</v>
      </c>
    </row>
    <row r="12" spans="1:15" s="23" customFormat="1" ht="20" customHeight="1" x14ac:dyDescent="0.35">
      <c r="A12" s="21">
        <f>IF('All Cases - Enter Cases'!$K12="Approved",'All Cases - Enter Cases'!A12,"")</f>
        <v>11</v>
      </c>
      <c r="B12" s="22">
        <f>IF($N12&lt;&gt;"",$N12,IF($A12&lt;&gt;"",'All Cases - Enter Cases'!$L12+7,""))</f>
        <v>46052</v>
      </c>
      <c r="C12" s="23" t="str">
        <f>IF($A12&lt;&gt;"",'All Cases - Enter Cases'!B12,"")</f>
        <v>A.K Jeans</v>
      </c>
      <c r="D12" s="23" t="str">
        <f>IF($A12&lt;&gt;"",'All Cases - Enter Cases'!C12,"")</f>
        <v>WholeSale</v>
      </c>
      <c r="E12" s="23" t="str">
        <f>IF($A12&lt;&gt;"",'All Cases - Enter Cases'!D12,"")</f>
        <v>Shop No.79, Al karim Market , New Anarkali ,Lahore</v>
      </c>
      <c r="F12" s="24" t="str">
        <f>IF($A12&lt;&gt;"",'All Cases - Enter Cases'!E12,"")</f>
        <v>Lahore</v>
      </c>
      <c r="G12" s="24" t="str">
        <f>IF($A12&lt;&gt;"",'All Cases - Enter Cases'!F12,"")</f>
        <v>Punjab</v>
      </c>
      <c r="H12" s="21" t="str">
        <f>IF($A12&lt;&gt;"",'All Cases - Enter Cases'!G12,"")</f>
        <v>SafeMark</v>
      </c>
      <c r="I12" s="23" t="str">
        <f>IF($A12&lt;&gt;"",'All Cases - Enter Cases'!H12,"")</f>
        <v>Tommy Hilfiger</v>
      </c>
      <c r="J12" s="23" t="str">
        <f>IF($A12&lt;&gt;"",'All Cases - Enter Cases'!I12,"")</f>
        <v>Jeans</v>
      </c>
      <c r="K12" s="22">
        <f>IF($A12&lt;&gt;"",'All Cases - Enter Cases'!J12,"")</f>
        <v>46031</v>
      </c>
      <c r="L12" s="21" t="str">
        <f>IF($A12&lt;&gt;"",'All Cases - Enter Cases'!K12,"")</f>
        <v>Approved</v>
      </c>
      <c r="M12" s="23">
        <f>IF($A12&lt;&gt;"",'All Cases - Enter Cases'!L12,"")</f>
        <v>46045</v>
      </c>
    </row>
    <row r="13" spans="1:15" s="23" customFormat="1" ht="20" customHeight="1" x14ac:dyDescent="0.35">
      <c r="A13" s="21">
        <f>IF('All Cases - Enter Cases'!$K13="Approved",'All Cases - Enter Cases'!A13,"")</f>
        <v>12</v>
      </c>
      <c r="B13" s="22">
        <f>IF($N13&lt;&gt;"",$N13,IF($A13&lt;&gt;"",'All Cases - Enter Cases'!$L13+7,""))</f>
        <v>46045</v>
      </c>
      <c r="C13" s="23" t="str">
        <f>IF($A13&lt;&gt;"",'All Cases - Enter Cases'!B13,"")</f>
        <v>A.K Jeans</v>
      </c>
      <c r="D13" s="23" t="str">
        <f>IF($A13&lt;&gt;"",'All Cases - Enter Cases'!C13,"")</f>
        <v>WholeSale</v>
      </c>
      <c r="E13" s="23" t="str">
        <f>IF($A13&lt;&gt;"",'All Cases - Enter Cases'!D13,"")</f>
        <v>Shop No.79, Al karim Market , New Anarkali ,Lahore</v>
      </c>
      <c r="F13" s="24" t="str">
        <f>IF($A13&lt;&gt;"",'All Cases - Enter Cases'!E13,"")</f>
        <v>Lahore</v>
      </c>
      <c r="G13" s="24" t="str">
        <f>IF($A13&lt;&gt;"",'All Cases - Enter Cases'!F13,"")</f>
        <v>Punjab</v>
      </c>
      <c r="H13" s="21" t="str">
        <f>IF($A13&lt;&gt;"",'All Cases - Enter Cases'!G13,"")</f>
        <v>SafeMark</v>
      </c>
      <c r="I13" s="23" t="str">
        <f>IF($A13&lt;&gt;"",'All Cases - Enter Cases'!H13,"")</f>
        <v>Levis</v>
      </c>
      <c r="J13" s="23" t="str">
        <f>IF($A13&lt;&gt;"",'All Cases - Enter Cases'!I13,"")</f>
        <v>Jeans</v>
      </c>
      <c r="K13" s="22">
        <f>IF($A13&lt;&gt;"",'All Cases - Enter Cases'!J13,"")</f>
        <v>46031</v>
      </c>
      <c r="L13" s="21" t="str">
        <f>IF($A13&lt;&gt;"",'All Cases - Enter Cases'!K13,"")</f>
        <v>Approved</v>
      </c>
      <c r="M13" s="23">
        <f>IF($A13&lt;&gt;"",'All Cases - Enter Cases'!L13,"")</f>
        <v>46038</v>
      </c>
    </row>
    <row r="14" spans="1:15" s="23" customFormat="1" ht="20" customHeight="1" x14ac:dyDescent="0.35">
      <c r="A14" s="21" t="str">
        <f>IF('All Cases - Enter Cases'!$K14="Approved",'All Cases - Enter Cases'!A14,"")</f>
        <v/>
      </c>
      <c r="B14" s="22" t="str">
        <f>IF($N14&lt;&gt;"",$N14,IF($A14&lt;&gt;"",'All Cases - Enter Cases'!$L14+7,""))</f>
        <v/>
      </c>
      <c r="C14" s="23" t="str">
        <f>IF($A14&lt;&gt;"",'All Cases - Enter Cases'!B14,"")</f>
        <v/>
      </c>
      <c r="D14" s="23" t="str">
        <f>IF($A14&lt;&gt;"",'All Cases - Enter Cases'!C14,"")</f>
        <v/>
      </c>
      <c r="E14" s="23" t="str">
        <f>IF($A14&lt;&gt;"",'All Cases - Enter Cases'!D14,"")</f>
        <v/>
      </c>
      <c r="F14" s="24" t="str">
        <f>IF($A14&lt;&gt;"",'All Cases - Enter Cases'!E14,"")</f>
        <v/>
      </c>
      <c r="G14" s="24" t="str">
        <f>IF($A14&lt;&gt;"",'All Cases - Enter Cases'!F14,"")</f>
        <v/>
      </c>
      <c r="H14" s="21" t="str">
        <f>IF($A14&lt;&gt;"",'All Cases - Enter Cases'!G14,"")</f>
        <v/>
      </c>
      <c r="I14" s="23" t="str">
        <f>IF($A14&lt;&gt;"",'All Cases - Enter Cases'!H14,"")</f>
        <v/>
      </c>
      <c r="J14" s="23" t="str">
        <f>IF($A14&lt;&gt;"",'All Cases - Enter Cases'!I14,"")</f>
        <v/>
      </c>
      <c r="K14" s="22" t="str">
        <f>IF($A14&lt;&gt;"",'All Cases - Enter Cases'!J14,"")</f>
        <v/>
      </c>
      <c r="L14" s="21" t="str">
        <f>IF($A14&lt;&gt;"",'All Cases - Enter Cases'!K14,"")</f>
        <v/>
      </c>
      <c r="M14" s="23" t="str">
        <f>IF($A14&lt;&gt;"",'All Cases - Enter Cases'!L14,"")</f>
        <v/>
      </c>
    </row>
    <row r="15" spans="1:15" s="23" customFormat="1" ht="20" customHeight="1" x14ac:dyDescent="0.35">
      <c r="A15" s="21">
        <f>IF('All Cases - Enter Cases'!$K15="Approved",'All Cases - Enter Cases'!A15,"")</f>
        <v>14</v>
      </c>
      <c r="B15" s="22">
        <f>IF($N15&lt;&gt;"",$N15,IF($A15&lt;&gt;"",'All Cases - Enter Cases'!$L15+7,""))</f>
        <v>46042</v>
      </c>
      <c r="C15" s="23" t="str">
        <f>IF($A15&lt;&gt;"",'All Cases - Enter Cases'!B15,"")</f>
        <v>Scarf Case</v>
      </c>
      <c r="D15" s="23" t="str">
        <f>IF($A15&lt;&gt;"",'All Cases - Enter Cases'!C15,"")</f>
        <v>Customs</v>
      </c>
      <c r="E15" s="23" t="str">
        <f>IF($A15&lt;&gt;"",'All Cases - Enter Cases'!D15,"")</f>
        <v>Mugal Pura dry port Lahore</v>
      </c>
      <c r="F15" s="24" t="str">
        <f>IF($A15&lt;&gt;"",'All Cases - Enter Cases'!E15,"")</f>
        <v>Lahore</v>
      </c>
      <c r="G15" s="24" t="str">
        <f>IF($A15&lt;&gt;"",'All Cases - Enter Cases'!F15,"")</f>
        <v>Punjab</v>
      </c>
      <c r="H15" s="21" t="str">
        <f>IF($A15&lt;&gt;"",'All Cases - Enter Cases'!G15,"")</f>
        <v>AA</v>
      </c>
      <c r="I15" s="23" t="str">
        <f>IF($A15&lt;&gt;"",'All Cases - Enter Cases'!H15,"")</f>
        <v>Gucci</v>
      </c>
      <c r="J15" s="23" t="str">
        <f>IF($A15&lt;&gt;"",'All Cases - Enter Cases'!I15,"")</f>
        <v>scarf</v>
      </c>
      <c r="K15" s="22">
        <f>IF($A15&lt;&gt;"",'All Cases - Enter Cases'!J15,"")</f>
        <v>45975</v>
      </c>
      <c r="L15" s="21" t="str">
        <f>IF($A15&lt;&gt;"",'All Cases - Enter Cases'!K15,"")</f>
        <v>Approved</v>
      </c>
      <c r="M15" s="23">
        <f>IF($A15&lt;&gt;"",'All Cases - Enter Cases'!L15,"")</f>
        <v>46035</v>
      </c>
    </row>
    <row r="16" spans="1:15" s="23" customFormat="1" ht="20" customHeight="1" x14ac:dyDescent="0.35">
      <c r="A16" s="21">
        <f>IF('All Cases - Enter Cases'!$K16="Approved",'All Cases - Enter Cases'!A16,"")</f>
        <v>15</v>
      </c>
      <c r="B16" s="22">
        <f>IF($N16&lt;&gt;"",$N16,IF($A16&lt;&gt;"",'All Cases - Enter Cases'!$L16+7,""))</f>
        <v>46200</v>
      </c>
      <c r="C16" s="23" t="str">
        <f>IF($A16&lt;&gt;"",'All Cases - Enter Cases'!B16,"")</f>
        <v>kashif Printing</v>
      </c>
      <c r="D16" s="23" t="str">
        <f>IF($A16&lt;&gt;"",'All Cases - Enter Cases'!C16,"")</f>
        <v>Distributor</v>
      </c>
      <c r="E16" s="23" t="str">
        <f>IF($A16&lt;&gt;"",'All Cases - Enter Cases'!D16,"")</f>
        <v>Plot No.D-43 Androne lahore</v>
      </c>
      <c r="F16" s="24" t="str">
        <f>IF($A16&lt;&gt;"",'All Cases - Enter Cases'!E16,"")</f>
        <v>Lahore</v>
      </c>
      <c r="G16" s="24" t="str">
        <f>IF($A16&lt;&gt;"",'All Cases - Enter Cases'!F16,"")</f>
        <v>Punjab</v>
      </c>
      <c r="H16" s="21" t="str">
        <f>IF($A16&lt;&gt;"",'All Cases - Enter Cases'!G16,"")</f>
        <v>OneWorld</v>
      </c>
      <c r="I16" s="23" t="str">
        <f>IF($A16&lt;&gt;"",'All Cases - Enter Cases'!H16,"")</f>
        <v>Wd-40</v>
      </c>
      <c r="J16" s="23" t="str">
        <f>IF($A16&lt;&gt;"",'All Cases - Enter Cases'!I16,"")</f>
        <v>Fluid</v>
      </c>
      <c r="K16" s="22">
        <f>IF($A16&lt;&gt;"",'All Cases - Enter Cases'!J16,"")</f>
        <v>45824</v>
      </c>
      <c r="L16" s="21" t="str">
        <f>IF($A16&lt;&gt;"",'All Cases - Enter Cases'!K16,"")</f>
        <v>Approved</v>
      </c>
      <c r="M16" s="23">
        <f>IF($A16&lt;&gt;"",'All Cases - Enter Cases'!L16,"")</f>
        <v>46193</v>
      </c>
    </row>
    <row r="17" spans="1:13" s="23" customFormat="1" ht="20" customHeight="1" x14ac:dyDescent="0.35">
      <c r="A17" s="21" t="str">
        <f>IF('All Cases - Enter Cases'!$K17="Approved",'All Cases - Enter Cases'!A17,"")</f>
        <v/>
      </c>
      <c r="B17" s="22" t="str">
        <f>IF($N17&lt;&gt;"",$N17,IF($A17&lt;&gt;"",'All Cases - Enter Cases'!$L17+7,""))</f>
        <v/>
      </c>
      <c r="C17" s="23" t="str">
        <f>IF($A17&lt;&gt;"",'All Cases - Enter Cases'!B17,"")</f>
        <v/>
      </c>
      <c r="D17" s="23" t="str">
        <f>IF($A17&lt;&gt;"",'All Cases - Enter Cases'!C17,"")</f>
        <v/>
      </c>
      <c r="E17" s="23" t="str">
        <f>IF($A17&lt;&gt;"",'All Cases - Enter Cases'!D17,"")</f>
        <v/>
      </c>
      <c r="F17" s="24" t="str">
        <f>IF($A17&lt;&gt;"",'All Cases - Enter Cases'!E17,"")</f>
        <v/>
      </c>
      <c r="G17" s="24" t="str">
        <f>IF($A17&lt;&gt;"",'All Cases - Enter Cases'!F17,"")</f>
        <v/>
      </c>
      <c r="H17" s="21" t="str">
        <f>IF($A17&lt;&gt;"",'All Cases - Enter Cases'!G17,"")</f>
        <v/>
      </c>
      <c r="I17" s="23" t="str">
        <f>IF($A17&lt;&gt;"",'All Cases - Enter Cases'!H17,"")</f>
        <v/>
      </c>
      <c r="J17" s="23" t="str">
        <f>IF($A17&lt;&gt;"",'All Cases - Enter Cases'!I17,"")</f>
        <v/>
      </c>
      <c r="K17" s="22" t="str">
        <f>IF($A17&lt;&gt;"",'All Cases - Enter Cases'!J17,"")</f>
        <v/>
      </c>
      <c r="L17" s="21" t="str">
        <f>IF($A17&lt;&gt;"",'All Cases - Enter Cases'!K17,"")</f>
        <v/>
      </c>
      <c r="M17" s="23" t="str">
        <f>IF($A17&lt;&gt;"",'All Cases - Enter Cases'!L17,"")</f>
        <v/>
      </c>
    </row>
    <row r="18" spans="1:13" s="23" customFormat="1" ht="20" customHeight="1" x14ac:dyDescent="0.35">
      <c r="A18" s="21" t="str">
        <f>IF('All Cases - Enter Cases'!$K18="Approved",'All Cases - Enter Cases'!A18,"")</f>
        <v/>
      </c>
      <c r="B18" s="22" t="str">
        <f>IF($N18&lt;&gt;"",$N18,IF($A18&lt;&gt;"",'All Cases - Enter Cases'!$L18+7,""))</f>
        <v/>
      </c>
      <c r="C18" s="23" t="str">
        <f>IF($A18&lt;&gt;"",'All Cases - Enter Cases'!B18,"")</f>
        <v/>
      </c>
      <c r="D18" s="23" t="str">
        <f>IF($A18&lt;&gt;"",'All Cases - Enter Cases'!C18,"")</f>
        <v/>
      </c>
      <c r="E18" s="23" t="str">
        <f>IF($A18&lt;&gt;"",'All Cases - Enter Cases'!D18,"")</f>
        <v/>
      </c>
      <c r="F18" s="24" t="str">
        <f>IF($A18&lt;&gt;"",'All Cases - Enter Cases'!E18,"")</f>
        <v/>
      </c>
      <c r="G18" s="24" t="str">
        <f>IF($A18&lt;&gt;"",'All Cases - Enter Cases'!F18,"")</f>
        <v/>
      </c>
      <c r="H18" s="21" t="str">
        <f>IF($A18&lt;&gt;"",'All Cases - Enter Cases'!G18,"")</f>
        <v/>
      </c>
      <c r="I18" s="23" t="str">
        <f>IF($A18&lt;&gt;"",'All Cases - Enter Cases'!H18,"")</f>
        <v/>
      </c>
      <c r="J18" s="23" t="str">
        <f>IF($A18&lt;&gt;"",'All Cases - Enter Cases'!I18,"")</f>
        <v/>
      </c>
      <c r="K18" s="22" t="str">
        <f>IF($A18&lt;&gt;"",'All Cases - Enter Cases'!J18,"")</f>
        <v/>
      </c>
      <c r="L18" s="21" t="str">
        <f>IF($A18&lt;&gt;"",'All Cases - Enter Cases'!K18,"")</f>
        <v/>
      </c>
      <c r="M18" s="23" t="str">
        <f>IF($A18&lt;&gt;"",'All Cases - Enter Cases'!L18,"")</f>
        <v/>
      </c>
    </row>
    <row r="19" spans="1:13" s="23" customFormat="1" ht="20" customHeight="1" x14ac:dyDescent="0.35">
      <c r="A19" s="21" t="str">
        <f>IF('All Cases - Enter Cases'!$K19="Approved",'All Cases - Enter Cases'!A19,"")</f>
        <v/>
      </c>
      <c r="B19" s="22" t="str">
        <f>IF($N19&lt;&gt;"",$N19,IF($A19&lt;&gt;"",'All Cases - Enter Cases'!$L19+7,""))</f>
        <v/>
      </c>
      <c r="C19" s="23" t="str">
        <f>IF($A19&lt;&gt;"",'All Cases - Enter Cases'!B19,"")</f>
        <v/>
      </c>
      <c r="D19" s="23" t="str">
        <f>IF($A19&lt;&gt;"",'All Cases - Enter Cases'!C19,"")</f>
        <v/>
      </c>
      <c r="E19" s="23" t="str">
        <f>IF($A19&lt;&gt;"",'All Cases - Enter Cases'!D19,"")</f>
        <v/>
      </c>
      <c r="F19" s="24" t="str">
        <f>IF($A19&lt;&gt;"",'All Cases - Enter Cases'!E19,"")</f>
        <v/>
      </c>
      <c r="G19" s="24" t="str">
        <f>IF($A19&lt;&gt;"",'All Cases - Enter Cases'!F19,"")</f>
        <v/>
      </c>
      <c r="H19" s="21" t="str">
        <f>IF($A19&lt;&gt;"",'All Cases - Enter Cases'!G19,"")</f>
        <v/>
      </c>
      <c r="I19" s="23" t="str">
        <f>IF($A19&lt;&gt;"",'All Cases - Enter Cases'!H19,"")</f>
        <v/>
      </c>
      <c r="J19" s="23" t="str">
        <f>IF($A19&lt;&gt;"",'All Cases - Enter Cases'!I19,"")</f>
        <v/>
      </c>
      <c r="K19" s="22" t="str">
        <f>IF($A19&lt;&gt;"",'All Cases - Enter Cases'!J19,"")</f>
        <v/>
      </c>
      <c r="L19" s="21" t="str">
        <f>IF($A19&lt;&gt;"",'All Cases - Enter Cases'!K19,"")</f>
        <v/>
      </c>
      <c r="M19" s="23" t="str">
        <f>IF($A19&lt;&gt;"",'All Cases - Enter Cases'!L19,"")</f>
        <v/>
      </c>
    </row>
    <row r="20" spans="1:13" s="23" customFormat="1" ht="20" customHeight="1" x14ac:dyDescent="0.35">
      <c r="A20" s="21" t="str">
        <f>IF('All Cases - Enter Cases'!$K20="Approved",'All Cases - Enter Cases'!A20,"")</f>
        <v/>
      </c>
      <c r="B20" s="22" t="str">
        <f>IF($N20&lt;&gt;"",$N20,IF($A20&lt;&gt;"",'All Cases - Enter Cases'!$L20+7,""))</f>
        <v/>
      </c>
      <c r="C20" s="23" t="str">
        <f>IF($A20&lt;&gt;"",'All Cases - Enter Cases'!B20,"")</f>
        <v/>
      </c>
      <c r="D20" s="23" t="str">
        <f>IF($A20&lt;&gt;"",'All Cases - Enter Cases'!C20,"")</f>
        <v/>
      </c>
      <c r="E20" s="23" t="str">
        <f>IF($A20&lt;&gt;"",'All Cases - Enter Cases'!D20,"")</f>
        <v/>
      </c>
      <c r="F20" s="24" t="str">
        <f>IF($A20&lt;&gt;"",'All Cases - Enter Cases'!E20,"")</f>
        <v/>
      </c>
      <c r="G20" s="24" t="str">
        <f>IF($A20&lt;&gt;"",'All Cases - Enter Cases'!F20,"")</f>
        <v/>
      </c>
      <c r="H20" s="21" t="str">
        <f>IF($A20&lt;&gt;"",'All Cases - Enter Cases'!G20,"")</f>
        <v/>
      </c>
      <c r="I20" s="23" t="str">
        <f>IF($A20&lt;&gt;"",'All Cases - Enter Cases'!H20,"")</f>
        <v/>
      </c>
      <c r="J20" s="23" t="str">
        <f>IF($A20&lt;&gt;"",'All Cases - Enter Cases'!I20,"")</f>
        <v/>
      </c>
      <c r="K20" s="22" t="str">
        <f>IF($A20&lt;&gt;"",'All Cases - Enter Cases'!J20,"")</f>
        <v/>
      </c>
      <c r="L20" s="21" t="str">
        <f>IF($A20&lt;&gt;"",'All Cases - Enter Cases'!K20,"")</f>
        <v/>
      </c>
      <c r="M20" s="23" t="str">
        <f>IF($A20&lt;&gt;"",'All Cases - Enter Cases'!L20,"")</f>
        <v/>
      </c>
    </row>
    <row r="21" spans="1:13" s="23" customFormat="1" ht="20" customHeight="1" x14ac:dyDescent="0.35">
      <c r="A21" s="21" t="str">
        <f>IF('All Cases - Enter Cases'!$K21="Approved",'All Cases - Enter Cases'!A21,"")</f>
        <v/>
      </c>
      <c r="B21" s="22" t="str">
        <f>IF($N21&lt;&gt;"",$N21,IF($A21&lt;&gt;"",'All Cases - Enter Cases'!$L21+7,""))</f>
        <v/>
      </c>
      <c r="C21" s="23" t="str">
        <f>IF($A21&lt;&gt;"",'All Cases - Enter Cases'!B21,"")</f>
        <v/>
      </c>
      <c r="D21" s="23" t="str">
        <f>IF($A21&lt;&gt;"",'All Cases - Enter Cases'!C21,"")</f>
        <v/>
      </c>
      <c r="E21" s="23" t="str">
        <f>IF($A21&lt;&gt;"",'All Cases - Enter Cases'!D21,"")</f>
        <v/>
      </c>
      <c r="F21" s="24" t="str">
        <f>IF($A21&lt;&gt;"",'All Cases - Enter Cases'!E21,"")</f>
        <v/>
      </c>
      <c r="G21" s="24" t="str">
        <f>IF($A21&lt;&gt;"",'All Cases - Enter Cases'!F21,"")</f>
        <v/>
      </c>
      <c r="H21" s="21" t="str">
        <f>IF($A21&lt;&gt;"",'All Cases - Enter Cases'!G21,"")</f>
        <v/>
      </c>
      <c r="I21" s="23" t="str">
        <f>IF($A21&lt;&gt;"",'All Cases - Enter Cases'!H21,"")</f>
        <v/>
      </c>
      <c r="J21" s="23" t="str">
        <f>IF($A21&lt;&gt;"",'All Cases - Enter Cases'!I21,"")</f>
        <v/>
      </c>
      <c r="K21" s="22" t="str">
        <f>IF($A21&lt;&gt;"",'All Cases - Enter Cases'!J21,"")</f>
        <v/>
      </c>
      <c r="L21" s="21" t="str">
        <f>IF($A21&lt;&gt;"",'All Cases - Enter Cases'!K21,"")</f>
        <v/>
      </c>
      <c r="M21" s="23" t="str">
        <f>IF($A21&lt;&gt;"",'All Cases - Enter Cases'!L21,"")</f>
        <v/>
      </c>
    </row>
    <row r="22" spans="1:13" s="23" customFormat="1" ht="20" customHeight="1" x14ac:dyDescent="0.35">
      <c r="A22" s="21" t="str">
        <f>IF('All Cases - Enter Cases'!$K22="Approved",'All Cases - Enter Cases'!A22,"")</f>
        <v/>
      </c>
      <c r="B22" s="22" t="str">
        <f>IF($N22&lt;&gt;"",$N22,IF($A22&lt;&gt;"",'All Cases - Enter Cases'!$L22+7,""))</f>
        <v/>
      </c>
      <c r="C22" s="23" t="str">
        <f>IF($A22&lt;&gt;"",'All Cases - Enter Cases'!B22,"")</f>
        <v/>
      </c>
      <c r="D22" s="23" t="str">
        <f>IF($A22&lt;&gt;"",'All Cases - Enter Cases'!C22,"")</f>
        <v/>
      </c>
      <c r="E22" s="23" t="str">
        <f>IF($A22&lt;&gt;"",'All Cases - Enter Cases'!D22,"")</f>
        <v/>
      </c>
      <c r="F22" s="24" t="str">
        <f>IF($A22&lt;&gt;"",'All Cases - Enter Cases'!E22,"")</f>
        <v/>
      </c>
      <c r="G22" s="24" t="str">
        <f>IF($A22&lt;&gt;"",'All Cases - Enter Cases'!F22,"")</f>
        <v/>
      </c>
      <c r="H22" s="21" t="str">
        <f>IF($A22&lt;&gt;"",'All Cases - Enter Cases'!G22,"")</f>
        <v/>
      </c>
      <c r="I22" s="23" t="str">
        <f>IF($A22&lt;&gt;"",'All Cases - Enter Cases'!H22,"")</f>
        <v/>
      </c>
      <c r="J22" s="23" t="str">
        <f>IF($A22&lt;&gt;"",'All Cases - Enter Cases'!I22,"")</f>
        <v/>
      </c>
      <c r="K22" s="22" t="str">
        <f>IF($A22&lt;&gt;"",'All Cases - Enter Cases'!J22,"")</f>
        <v/>
      </c>
      <c r="L22" s="21" t="str">
        <f>IF($A22&lt;&gt;"",'All Cases - Enter Cases'!K22,"")</f>
        <v/>
      </c>
      <c r="M22" s="23" t="str">
        <f>IF($A22&lt;&gt;"",'All Cases - Enter Cases'!L22,"")</f>
        <v/>
      </c>
    </row>
    <row r="23" spans="1:13" s="23" customFormat="1" ht="20" customHeight="1" x14ac:dyDescent="0.35">
      <c r="A23" s="21" t="str">
        <f>IF('All Cases - Enter Cases'!$K23="Approved",'All Cases - Enter Cases'!A23,"")</f>
        <v/>
      </c>
      <c r="B23" s="22" t="str">
        <f>IF($N23&lt;&gt;"",$N23,IF($A23&lt;&gt;"",'All Cases - Enter Cases'!$L23+7,""))</f>
        <v/>
      </c>
      <c r="C23" s="23" t="str">
        <f>IF($A23&lt;&gt;"",'All Cases - Enter Cases'!B23,"")</f>
        <v/>
      </c>
      <c r="D23" s="23" t="str">
        <f>IF($A23&lt;&gt;"",'All Cases - Enter Cases'!C23,"")</f>
        <v/>
      </c>
      <c r="E23" s="23" t="str">
        <f>IF($A23&lt;&gt;"",'All Cases - Enter Cases'!D23,"")</f>
        <v/>
      </c>
      <c r="F23" s="24" t="str">
        <f>IF($A23&lt;&gt;"",'All Cases - Enter Cases'!E23,"")</f>
        <v/>
      </c>
      <c r="G23" s="24" t="str">
        <f>IF($A23&lt;&gt;"",'All Cases - Enter Cases'!F23,"")</f>
        <v/>
      </c>
      <c r="H23" s="21" t="str">
        <f>IF($A23&lt;&gt;"",'All Cases - Enter Cases'!G23,"")</f>
        <v/>
      </c>
      <c r="I23" s="23" t="str">
        <f>IF($A23&lt;&gt;"",'All Cases - Enter Cases'!H23,"")</f>
        <v/>
      </c>
      <c r="J23" s="23" t="str">
        <f>IF($A23&lt;&gt;"",'All Cases - Enter Cases'!I23,"")</f>
        <v/>
      </c>
      <c r="K23" s="22" t="str">
        <f>IF($A23&lt;&gt;"",'All Cases - Enter Cases'!J23,"")</f>
        <v/>
      </c>
      <c r="L23" s="21" t="str">
        <f>IF($A23&lt;&gt;"",'All Cases - Enter Cases'!K23,"")</f>
        <v/>
      </c>
      <c r="M23" s="23" t="str">
        <f>IF($A23&lt;&gt;"",'All Cases - Enter Cases'!L23,"")</f>
        <v/>
      </c>
    </row>
    <row r="24" spans="1:13" s="23" customFormat="1" ht="20" customHeight="1" x14ac:dyDescent="0.35">
      <c r="A24" s="21" t="str">
        <f>IF('All Cases - Enter Cases'!$K24="Approved",'All Cases - Enter Cases'!A24,"")</f>
        <v/>
      </c>
      <c r="B24" s="22" t="str">
        <f>IF($N24&lt;&gt;"",$N24,IF($A24&lt;&gt;"",'All Cases - Enter Cases'!$L24+7,""))</f>
        <v/>
      </c>
      <c r="C24" s="23" t="str">
        <f>IF($A24&lt;&gt;"",'All Cases - Enter Cases'!B24,"")</f>
        <v/>
      </c>
      <c r="D24" s="23" t="str">
        <f>IF($A24&lt;&gt;"",'All Cases - Enter Cases'!C24,"")</f>
        <v/>
      </c>
      <c r="E24" s="23" t="str">
        <f>IF($A24&lt;&gt;"",'All Cases - Enter Cases'!D24,"")</f>
        <v/>
      </c>
      <c r="F24" s="24" t="str">
        <f>IF($A24&lt;&gt;"",'All Cases - Enter Cases'!E24,"")</f>
        <v/>
      </c>
      <c r="G24" s="24" t="str">
        <f>IF($A24&lt;&gt;"",'All Cases - Enter Cases'!F24,"")</f>
        <v/>
      </c>
      <c r="H24" s="21" t="str">
        <f>IF($A24&lt;&gt;"",'All Cases - Enter Cases'!G24,"")</f>
        <v/>
      </c>
      <c r="I24" s="23" t="str">
        <f>IF($A24&lt;&gt;"",'All Cases - Enter Cases'!H24,"")</f>
        <v/>
      </c>
      <c r="J24" s="23" t="str">
        <f>IF($A24&lt;&gt;"",'All Cases - Enter Cases'!I24,"")</f>
        <v/>
      </c>
      <c r="K24" s="22" t="str">
        <f>IF($A24&lt;&gt;"",'All Cases - Enter Cases'!J24,"")</f>
        <v/>
      </c>
      <c r="L24" s="21" t="str">
        <f>IF($A24&lt;&gt;"",'All Cases - Enter Cases'!K24,"")</f>
        <v/>
      </c>
      <c r="M24" s="23" t="str">
        <f>IF($A24&lt;&gt;"",'All Cases - Enter Cases'!L24,"")</f>
        <v/>
      </c>
    </row>
    <row r="25" spans="1:13" s="23" customFormat="1" ht="20" customHeight="1" x14ac:dyDescent="0.35">
      <c r="A25" s="21" t="str">
        <f>IF('All Cases - Enter Cases'!$K25="Approved",'All Cases - Enter Cases'!A25,"")</f>
        <v/>
      </c>
      <c r="B25" s="22" t="str">
        <f>IF($N25&lt;&gt;"",$N25,IF($A25&lt;&gt;"",'All Cases - Enter Cases'!$L25+7,""))</f>
        <v/>
      </c>
      <c r="C25" s="23" t="str">
        <f>IF($A25&lt;&gt;"",'All Cases - Enter Cases'!B25,"")</f>
        <v/>
      </c>
      <c r="D25" s="23" t="str">
        <f>IF($A25&lt;&gt;"",'All Cases - Enter Cases'!C25,"")</f>
        <v/>
      </c>
      <c r="E25" s="23" t="str">
        <f>IF($A25&lt;&gt;"",'All Cases - Enter Cases'!D25,"")</f>
        <v/>
      </c>
      <c r="F25" s="24" t="str">
        <f>IF($A25&lt;&gt;"",'All Cases - Enter Cases'!E25,"")</f>
        <v/>
      </c>
      <c r="G25" s="24" t="str">
        <f>IF($A25&lt;&gt;"",'All Cases - Enter Cases'!F25,"")</f>
        <v/>
      </c>
      <c r="H25" s="21" t="str">
        <f>IF($A25&lt;&gt;"",'All Cases - Enter Cases'!G25,"")</f>
        <v/>
      </c>
      <c r="I25" s="23" t="str">
        <f>IF($A25&lt;&gt;"",'All Cases - Enter Cases'!H25,"")</f>
        <v/>
      </c>
      <c r="J25" s="23" t="str">
        <f>IF($A25&lt;&gt;"",'All Cases - Enter Cases'!I25,"")</f>
        <v/>
      </c>
      <c r="K25" s="22" t="str">
        <f>IF($A25&lt;&gt;"",'All Cases - Enter Cases'!J25,"")</f>
        <v/>
      </c>
      <c r="L25" s="21" t="str">
        <f>IF($A25&lt;&gt;"",'All Cases - Enter Cases'!K25,"")</f>
        <v/>
      </c>
      <c r="M25" s="23" t="str">
        <f>IF($A25&lt;&gt;"",'All Cases - Enter Cases'!L25,"")</f>
        <v/>
      </c>
    </row>
    <row r="26" spans="1:13" s="23" customFormat="1" ht="20" customHeight="1" x14ac:dyDescent="0.35">
      <c r="A26" s="21" t="str">
        <f>IF('All Cases - Enter Cases'!$K26="Approved",'All Cases - Enter Cases'!A26,"")</f>
        <v/>
      </c>
      <c r="B26" s="22" t="str">
        <f>IF($N26&lt;&gt;"",$N26,IF($A26&lt;&gt;"",'All Cases - Enter Cases'!$L26+7,""))</f>
        <v/>
      </c>
      <c r="C26" s="23" t="str">
        <f>IF($A26&lt;&gt;"",'All Cases - Enter Cases'!B26,"")</f>
        <v/>
      </c>
      <c r="D26" s="23" t="str">
        <f>IF($A26&lt;&gt;"",'All Cases - Enter Cases'!C26,"")</f>
        <v/>
      </c>
      <c r="E26" s="23" t="str">
        <f>IF($A26&lt;&gt;"",'All Cases - Enter Cases'!D26,"")</f>
        <v/>
      </c>
      <c r="F26" s="24" t="str">
        <f>IF($A26&lt;&gt;"",'All Cases - Enter Cases'!E26,"")</f>
        <v/>
      </c>
      <c r="G26" s="24" t="str">
        <f>IF($A26&lt;&gt;"",'All Cases - Enter Cases'!F26,"")</f>
        <v/>
      </c>
      <c r="H26" s="21" t="str">
        <f>IF($A26&lt;&gt;"",'All Cases - Enter Cases'!G26,"")</f>
        <v/>
      </c>
      <c r="I26" s="23" t="str">
        <f>IF($A26&lt;&gt;"",'All Cases - Enter Cases'!H26,"")</f>
        <v/>
      </c>
      <c r="J26" s="23" t="str">
        <f>IF($A26&lt;&gt;"",'All Cases - Enter Cases'!I26,"")</f>
        <v/>
      </c>
      <c r="K26" s="22" t="str">
        <f>IF($A26&lt;&gt;"",'All Cases - Enter Cases'!J26,"")</f>
        <v/>
      </c>
      <c r="L26" s="21" t="str">
        <f>IF($A26&lt;&gt;"",'All Cases - Enter Cases'!K26,"")</f>
        <v/>
      </c>
      <c r="M26" s="23" t="str">
        <f>IF($A26&lt;&gt;"",'All Cases - Enter Cases'!L26,"")</f>
        <v/>
      </c>
    </row>
    <row r="27" spans="1:13" s="23" customFormat="1" ht="20" customHeight="1" x14ac:dyDescent="0.35">
      <c r="A27" s="21" t="str">
        <f>IF('All Cases - Enter Cases'!$K27="Approved",'All Cases - Enter Cases'!A27,"")</f>
        <v/>
      </c>
      <c r="B27" s="22" t="str">
        <f>IF($N27&lt;&gt;"",$N27,IF($A27&lt;&gt;"",'All Cases - Enter Cases'!$L27+7,""))</f>
        <v/>
      </c>
      <c r="C27" s="23" t="str">
        <f>IF($A27&lt;&gt;"",'All Cases - Enter Cases'!B27,"")</f>
        <v/>
      </c>
      <c r="D27" s="23" t="str">
        <f>IF($A27&lt;&gt;"",'All Cases - Enter Cases'!C27,"")</f>
        <v/>
      </c>
      <c r="E27" s="23" t="str">
        <f>IF($A27&lt;&gt;"",'All Cases - Enter Cases'!D27,"")</f>
        <v/>
      </c>
      <c r="F27" s="24" t="str">
        <f>IF($A27&lt;&gt;"",'All Cases - Enter Cases'!E27,"")</f>
        <v/>
      </c>
      <c r="G27" s="24" t="str">
        <f>IF($A27&lt;&gt;"",'All Cases - Enter Cases'!F27,"")</f>
        <v/>
      </c>
      <c r="H27" s="21" t="str">
        <f>IF($A27&lt;&gt;"",'All Cases - Enter Cases'!G27,"")</f>
        <v/>
      </c>
      <c r="I27" s="23" t="str">
        <f>IF($A27&lt;&gt;"",'All Cases - Enter Cases'!H27,"")</f>
        <v/>
      </c>
      <c r="J27" s="23" t="str">
        <f>IF($A27&lt;&gt;"",'All Cases - Enter Cases'!I27,"")</f>
        <v/>
      </c>
      <c r="K27" s="22" t="str">
        <f>IF($A27&lt;&gt;"",'All Cases - Enter Cases'!J27,"")</f>
        <v/>
      </c>
      <c r="L27" s="21" t="str">
        <f>IF($A27&lt;&gt;"",'All Cases - Enter Cases'!K27,"")</f>
        <v/>
      </c>
      <c r="M27" s="23" t="str">
        <f>IF($A27&lt;&gt;"",'All Cases - Enter Cases'!L27,"")</f>
        <v/>
      </c>
    </row>
    <row r="28" spans="1:13" s="23" customFormat="1" ht="20" customHeight="1" x14ac:dyDescent="0.35">
      <c r="A28" s="21" t="str">
        <f>IF('All Cases - Enter Cases'!$K28="Approved",'All Cases - Enter Cases'!A28,"")</f>
        <v/>
      </c>
      <c r="B28" s="22" t="str">
        <f>IF($N28&lt;&gt;"",$N28,IF($A28&lt;&gt;"",'All Cases - Enter Cases'!$L28+7,""))</f>
        <v/>
      </c>
      <c r="C28" s="23" t="str">
        <f>IF($A28&lt;&gt;"",'All Cases - Enter Cases'!B28,"")</f>
        <v/>
      </c>
      <c r="D28" s="23" t="str">
        <f>IF($A28&lt;&gt;"",'All Cases - Enter Cases'!C28,"")</f>
        <v/>
      </c>
      <c r="E28" s="23" t="str">
        <f>IF($A28&lt;&gt;"",'All Cases - Enter Cases'!D28,"")</f>
        <v/>
      </c>
      <c r="F28" s="24" t="str">
        <f>IF($A28&lt;&gt;"",'All Cases - Enter Cases'!E28,"")</f>
        <v/>
      </c>
      <c r="G28" s="24" t="str">
        <f>IF($A28&lt;&gt;"",'All Cases - Enter Cases'!F28,"")</f>
        <v/>
      </c>
      <c r="H28" s="21" t="str">
        <f>IF($A28&lt;&gt;"",'All Cases - Enter Cases'!G28,"")</f>
        <v/>
      </c>
      <c r="I28" s="23" t="str">
        <f>IF($A28&lt;&gt;"",'All Cases - Enter Cases'!H28,"")</f>
        <v/>
      </c>
      <c r="J28" s="23" t="str">
        <f>IF($A28&lt;&gt;"",'All Cases - Enter Cases'!I28,"")</f>
        <v/>
      </c>
      <c r="K28" s="22" t="str">
        <f>IF($A28&lt;&gt;"",'All Cases - Enter Cases'!J28,"")</f>
        <v/>
      </c>
      <c r="L28" s="21" t="str">
        <f>IF($A28&lt;&gt;"",'All Cases - Enter Cases'!K28,"")</f>
        <v/>
      </c>
      <c r="M28" s="23" t="str">
        <f>IF($A28&lt;&gt;"",'All Cases - Enter Cases'!L28,"")</f>
        <v/>
      </c>
    </row>
    <row r="29" spans="1:13" s="23" customFormat="1" ht="20" customHeight="1" x14ac:dyDescent="0.35">
      <c r="A29" s="21" t="str">
        <f>IF('All Cases - Enter Cases'!$K29="Approved",'All Cases - Enter Cases'!A29,"")</f>
        <v/>
      </c>
      <c r="B29" s="22" t="str">
        <f>IF($N29&lt;&gt;"",$N29,IF($A29&lt;&gt;"",'All Cases - Enter Cases'!$L29+7,""))</f>
        <v/>
      </c>
      <c r="C29" s="23" t="str">
        <f>IF($A29&lt;&gt;"",'All Cases - Enter Cases'!B29,"")</f>
        <v/>
      </c>
      <c r="D29" s="23" t="str">
        <f>IF($A29&lt;&gt;"",'All Cases - Enter Cases'!C29,"")</f>
        <v/>
      </c>
      <c r="E29" s="23" t="str">
        <f>IF($A29&lt;&gt;"",'All Cases - Enter Cases'!D29,"")</f>
        <v/>
      </c>
      <c r="F29" s="24" t="str">
        <f>IF($A29&lt;&gt;"",'All Cases - Enter Cases'!E29,"")</f>
        <v/>
      </c>
      <c r="G29" s="24" t="str">
        <f>IF($A29&lt;&gt;"",'All Cases - Enter Cases'!F29,"")</f>
        <v/>
      </c>
      <c r="H29" s="21" t="str">
        <f>IF($A29&lt;&gt;"",'All Cases - Enter Cases'!G29,"")</f>
        <v/>
      </c>
      <c r="I29" s="23" t="str">
        <f>IF($A29&lt;&gt;"",'All Cases - Enter Cases'!H29,"")</f>
        <v/>
      </c>
      <c r="J29" s="23" t="str">
        <f>IF($A29&lt;&gt;"",'All Cases - Enter Cases'!I29,"")</f>
        <v/>
      </c>
      <c r="K29" s="22" t="str">
        <f>IF($A29&lt;&gt;"",'All Cases - Enter Cases'!J29,"")</f>
        <v/>
      </c>
      <c r="L29" s="21" t="str">
        <f>IF($A29&lt;&gt;"",'All Cases - Enter Cases'!K29,"")</f>
        <v/>
      </c>
      <c r="M29" s="23" t="str">
        <f>IF($A29&lt;&gt;"",'All Cases - Enter Cases'!L29,"")</f>
        <v/>
      </c>
    </row>
    <row r="30" spans="1:13" s="23" customFormat="1" ht="20" customHeight="1" x14ac:dyDescent="0.35">
      <c r="A30" s="21" t="str">
        <f>IF('All Cases - Enter Cases'!$K30="Approved",'All Cases - Enter Cases'!A30,"")</f>
        <v/>
      </c>
      <c r="B30" s="22" t="str">
        <f>IF($N30&lt;&gt;"",$N30,IF($A30&lt;&gt;"",'All Cases - Enter Cases'!$L30+7,""))</f>
        <v/>
      </c>
      <c r="C30" s="23" t="str">
        <f>IF($A30&lt;&gt;"",'All Cases - Enter Cases'!B30,"")</f>
        <v/>
      </c>
      <c r="D30" s="23" t="str">
        <f>IF($A30&lt;&gt;"",'All Cases - Enter Cases'!C30,"")</f>
        <v/>
      </c>
      <c r="E30" s="23" t="str">
        <f>IF($A30&lt;&gt;"",'All Cases - Enter Cases'!D30,"")</f>
        <v/>
      </c>
      <c r="F30" s="24" t="str">
        <f>IF($A30&lt;&gt;"",'All Cases - Enter Cases'!E30,"")</f>
        <v/>
      </c>
      <c r="G30" s="24" t="str">
        <f>IF($A30&lt;&gt;"",'All Cases - Enter Cases'!F30,"")</f>
        <v/>
      </c>
      <c r="H30" s="21" t="str">
        <f>IF($A30&lt;&gt;"",'All Cases - Enter Cases'!G30,"")</f>
        <v/>
      </c>
      <c r="I30" s="23" t="str">
        <f>IF($A30&lt;&gt;"",'All Cases - Enter Cases'!H30,"")</f>
        <v/>
      </c>
      <c r="J30" s="23" t="str">
        <f>IF($A30&lt;&gt;"",'All Cases - Enter Cases'!I30,"")</f>
        <v/>
      </c>
      <c r="K30" s="22" t="str">
        <f>IF($A30&lt;&gt;"",'All Cases - Enter Cases'!J30,"")</f>
        <v/>
      </c>
      <c r="L30" s="21" t="str">
        <f>IF($A30&lt;&gt;"",'All Cases - Enter Cases'!K30,"")</f>
        <v/>
      </c>
      <c r="M30" s="23" t="str">
        <f>IF($A30&lt;&gt;"",'All Cases - Enter Cases'!L30,"")</f>
        <v/>
      </c>
    </row>
    <row r="31" spans="1:13" s="23" customFormat="1" ht="20" customHeight="1" x14ac:dyDescent="0.35">
      <c r="A31" s="21" t="str">
        <f>IF('All Cases - Enter Cases'!$K31="Approved",'All Cases - Enter Cases'!A31,"")</f>
        <v/>
      </c>
      <c r="B31" s="22" t="str">
        <f>IF($N31&lt;&gt;"",$N31,IF($A31&lt;&gt;"",'All Cases - Enter Cases'!$L31+7,""))</f>
        <v/>
      </c>
      <c r="C31" s="23" t="str">
        <f>IF($A31&lt;&gt;"",'All Cases - Enter Cases'!B31,"")</f>
        <v/>
      </c>
      <c r="D31" s="23" t="str">
        <f>IF($A31&lt;&gt;"",'All Cases - Enter Cases'!C31,"")</f>
        <v/>
      </c>
      <c r="E31" s="23" t="str">
        <f>IF($A31&lt;&gt;"",'All Cases - Enter Cases'!D31,"")</f>
        <v/>
      </c>
      <c r="F31" s="24" t="str">
        <f>IF($A31&lt;&gt;"",'All Cases - Enter Cases'!E31,"")</f>
        <v/>
      </c>
      <c r="G31" s="24" t="str">
        <f>IF($A31&lt;&gt;"",'All Cases - Enter Cases'!F31,"")</f>
        <v/>
      </c>
      <c r="H31" s="21" t="str">
        <f>IF($A31&lt;&gt;"",'All Cases - Enter Cases'!G31,"")</f>
        <v/>
      </c>
      <c r="I31" s="23" t="str">
        <f>IF($A31&lt;&gt;"",'All Cases - Enter Cases'!H31,"")</f>
        <v/>
      </c>
      <c r="J31" s="23" t="str">
        <f>IF($A31&lt;&gt;"",'All Cases - Enter Cases'!I31,"")</f>
        <v/>
      </c>
      <c r="K31" s="22" t="str">
        <f>IF($A31&lt;&gt;"",'All Cases - Enter Cases'!J31,"")</f>
        <v/>
      </c>
      <c r="L31" s="21" t="str">
        <f>IF($A31&lt;&gt;"",'All Cases - Enter Cases'!K31,"")</f>
        <v/>
      </c>
      <c r="M31" s="23" t="str">
        <f>IF($A31&lt;&gt;"",'All Cases - Enter Cases'!L31,"")</f>
        <v/>
      </c>
    </row>
    <row r="32" spans="1:13" x14ac:dyDescent="0.35">
      <c r="A32" s="4" t="str">
        <f>IF('All Cases - Enter Cases'!$K32="Approved",'All Cases - Enter Cases'!A32,"")</f>
        <v/>
      </c>
      <c r="B32" s="19" t="str">
        <f>IF($N32&lt;&gt;"",$N32,IF($A32&lt;&gt;"",'All Cases - Enter Cases'!$L32+7,""))</f>
        <v/>
      </c>
      <c r="C32" t="str">
        <f>IF($A32&lt;&gt;"",'All Cases - Enter Cases'!B32,"")</f>
        <v/>
      </c>
      <c r="D32" t="str">
        <f>IF($A32&lt;&gt;"",'All Cases - Enter Cases'!C32,"")</f>
        <v/>
      </c>
      <c r="E32" t="str">
        <f>IF($A32&lt;&gt;"",'All Cases - Enter Cases'!D32,"")</f>
        <v/>
      </c>
      <c r="F32" s="12" t="str">
        <f>IF($A32&lt;&gt;"",'All Cases - Enter Cases'!E32,"")</f>
        <v/>
      </c>
      <c r="G32" s="12" t="str">
        <f>IF($A32&lt;&gt;"",'All Cases - Enter Cases'!F32,"")</f>
        <v/>
      </c>
      <c r="H32" s="4" t="str">
        <f>IF($A32&lt;&gt;"",'All Cases - Enter Cases'!G32,"")</f>
        <v/>
      </c>
      <c r="I32" t="str">
        <f>IF($A32&lt;&gt;"",'All Cases - Enter Cases'!H32,"")</f>
        <v/>
      </c>
      <c r="J32" t="str">
        <f>IF($A32&lt;&gt;"",'All Cases - Enter Cases'!I32,"")</f>
        <v/>
      </c>
      <c r="K32" s="20" t="str">
        <f>IF($A32&lt;&gt;"",'All Cases - Enter Cases'!J32,"")</f>
        <v/>
      </c>
      <c r="L32" s="4" t="str">
        <f>IF($A32&lt;&gt;"",'All Cases - Enter Cases'!K32,"")</f>
        <v/>
      </c>
      <c r="M32" t="str">
        <f>IF($A32&lt;&gt;"",'All Cases - Enter Cases'!L32,"")</f>
        <v/>
      </c>
    </row>
    <row r="33" spans="1:13" x14ac:dyDescent="0.35">
      <c r="A33" s="4" t="str">
        <f>IF('All Cases - Enter Cases'!$K33="Approved",'All Cases - Enter Cases'!A33,"")</f>
        <v/>
      </c>
      <c r="B33" s="19" t="str">
        <f>IF($N33&lt;&gt;"",$N33,IF($A33&lt;&gt;"",'All Cases - Enter Cases'!$L33+7,""))</f>
        <v/>
      </c>
      <c r="C33" t="str">
        <f>IF($A33&lt;&gt;"",'All Cases - Enter Cases'!B33,"")</f>
        <v/>
      </c>
      <c r="D33" t="str">
        <f>IF($A33&lt;&gt;"",'All Cases - Enter Cases'!C33,"")</f>
        <v/>
      </c>
      <c r="E33" t="str">
        <f>IF($A33&lt;&gt;"",'All Cases - Enter Cases'!D33,"")</f>
        <v/>
      </c>
      <c r="F33" s="12" t="str">
        <f>IF($A33&lt;&gt;"",'All Cases - Enter Cases'!E33,"")</f>
        <v/>
      </c>
      <c r="G33" s="12" t="str">
        <f>IF($A33&lt;&gt;"",'All Cases - Enter Cases'!F33,"")</f>
        <v/>
      </c>
      <c r="H33" s="4" t="str">
        <f>IF($A33&lt;&gt;"",'All Cases - Enter Cases'!G33,"")</f>
        <v/>
      </c>
      <c r="I33" t="str">
        <f>IF($A33&lt;&gt;"",'All Cases - Enter Cases'!H33,"")</f>
        <v/>
      </c>
      <c r="J33" t="str">
        <f>IF($A33&lt;&gt;"",'All Cases - Enter Cases'!I33,"")</f>
        <v/>
      </c>
      <c r="K33" s="20" t="str">
        <f>IF($A33&lt;&gt;"",'All Cases - Enter Cases'!J33,"")</f>
        <v/>
      </c>
      <c r="L33" s="4" t="str">
        <f>IF($A33&lt;&gt;"",'All Cases - Enter Cases'!K33,"")</f>
        <v/>
      </c>
      <c r="M33" t="str">
        <f>IF($A33&lt;&gt;"",'All Cases - Enter Cases'!L33,"")</f>
        <v/>
      </c>
    </row>
    <row r="34" spans="1:13" x14ac:dyDescent="0.35">
      <c r="A34" s="4" t="str">
        <f>IF('All Cases - Enter Cases'!$K34="Approved",'All Cases - Enter Cases'!A34,"")</f>
        <v/>
      </c>
      <c r="B34" s="19" t="str">
        <f>IF($N34&lt;&gt;"",$N34,IF($A34&lt;&gt;"",'All Cases - Enter Cases'!$L34+7,""))</f>
        <v/>
      </c>
      <c r="C34" t="str">
        <f>IF($A34&lt;&gt;"",'All Cases - Enter Cases'!B34,"")</f>
        <v/>
      </c>
      <c r="D34" t="str">
        <f>IF($A34&lt;&gt;"",'All Cases - Enter Cases'!C34,"")</f>
        <v/>
      </c>
      <c r="E34" t="str">
        <f>IF($A34&lt;&gt;"",'All Cases - Enter Cases'!D34,"")</f>
        <v/>
      </c>
      <c r="F34" s="12" t="str">
        <f>IF($A34&lt;&gt;"",'All Cases - Enter Cases'!E34,"")</f>
        <v/>
      </c>
      <c r="G34" s="12" t="str">
        <f>IF($A34&lt;&gt;"",'All Cases - Enter Cases'!F34,"")</f>
        <v/>
      </c>
      <c r="H34" s="4" t="str">
        <f>IF($A34&lt;&gt;"",'All Cases - Enter Cases'!G34,"")</f>
        <v/>
      </c>
      <c r="I34" t="str">
        <f>IF($A34&lt;&gt;"",'All Cases - Enter Cases'!H34,"")</f>
        <v/>
      </c>
      <c r="J34" t="str">
        <f>IF($A34&lt;&gt;"",'All Cases - Enter Cases'!I34,"")</f>
        <v/>
      </c>
      <c r="K34" s="20" t="str">
        <f>IF($A34&lt;&gt;"",'All Cases - Enter Cases'!J34,"")</f>
        <v/>
      </c>
      <c r="L34" s="4" t="str">
        <f>IF($A34&lt;&gt;"",'All Cases - Enter Cases'!K34,"")</f>
        <v/>
      </c>
      <c r="M34" t="str">
        <f>IF($A34&lt;&gt;"",'All Cases - Enter Cases'!L34,"")</f>
        <v/>
      </c>
    </row>
    <row r="35" spans="1:13" x14ac:dyDescent="0.35">
      <c r="A35" s="4" t="str">
        <f>IF('All Cases - Enter Cases'!$K35="Approved",'All Cases - Enter Cases'!A35,"")</f>
        <v/>
      </c>
      <c r="B35" s="19" t="str">
        <f>IF($N35&lt;&gt;"",$N35,IF($A35&lt;&gt;"",'All Cases - Enter Cases'!$L35+7,""))</f>
        <v/>
      </c>
      <c r="C35" t="str">
        <f>IF($A35&lt;&gt;"",'All Cases - Enter Cases'!B35,"")</f>
        <v/>
      </c>
      <c r="D35" t="str">
        <f>IF($A35&lt;&gt;"",'All Cases - Enter Cases'!C35,"")</f>
        <v/>
      </c>
      <c r="E35" t="str">
        <f>IF($A35&lt;&gt;"",'All Cases - Enter Cases'!D35,"")</f>
        <v/>
      </c>
      <c r="F35" s="12" t="str">
        <f>IF($A35&lt;&gt;"",'All Cases - Enter Cases'!E35,"")</f>
        <v/>
      </c>
      <c r="G35" s="12" t="str">
        <f>IF($A35&lt;&gt;"",'All Cases - Enter Cases'!F35,"")</f>
        <v/>
      </c>
      <c r="H35" s="4" t="str">
        <f>IF($A35&lt;&gt;"",'All Cases - Enter Cases'!G35,"")</f>
        <v/>
      </c>
      <c r="I35" t="str">
        <f>IF($A35&lt;&gt;"",'All Cases - Enter Cases'!H35,"")</f>
        <v/>
      </c>
      <c r="J35" t="str">
        <f>IF($A35&lt;&gt;"",'All Cases - Enter Cases'!I35,"")</f>
        <v/>
      </c>
      <c r="K35" s="20" t="str">
        <f>IF($A35&lt;&gt;"",'All Cases - Enter Cases'!J35,"")</f>
        <v/>
      </c>
      <c r="L35" s="4" t="str">
        <f>IF($A35&lt;&gt;"",'All Cases - Enter Cases'!K35,"")</f>
        <v/>
      </c>
      <c r="M35" t="str">
        <f>IF($A35&lt;&gt;"",'All Cases - Enter Cases'!L35,"")</f>
        <v/>
      </c>
    </row>
    <row r="36" spans="1:13" x14ac:dyDescent="0.35">
      <c r="A36" s="4" t="str">
        <f>IF('All Cases - Enter Cases'!$K36="Approved",'All Cases - Enter Cases'!A36,"")</f>
        <v/>
      </c>
      <c r="B36" s="19" t="str">
        <f>IF($N36&lt;&gt;"",$N36,IF($A36&lt;&gt;"",'All Cases - Enter Cases'!$L36+7,""))</f>
        <v/>
      </c>
      <c r="C36" t="str">
        <f>IF($A36&lt;&gt;"",'All Cases - Enter Cases'!B36,"")</f>
        <v/>
      </c>
      <c r="D36" t="str">
        <f>IF($A36&lt;&gt;"",'All Cases - Enter Cases'!C36,"")</f>
        <v/>
      </c>
      <c r="E36" t="str">
        <f>IF($A36&lt;&gt;"",'All Cases - Enter Cases'!D36,"")</f>
        <v/>
      </c>
      <c r="F36" s="12" t="str">
        <f>IF($A36&lt;&gt;"",'All Cases - Enter Cases'!E36,"")</f>
        <v/>
      </c>
      <c r="G36" s="12" t="str">
        <f>IF($A36&lt;&gt;"",'All Cases - Enter Cases'!F36,"")</f>
        <v/>
      </c>
      <c r="H36" s="4" t="str">
        <f>IF($A36&lt;&gt;"",'All Cases - Enter Cases'!G36,"")</f>
        <v/>
      </c>
      <c r="I36" t="str">
        <f>IF($A36&lt;&gt;"",'All Cases - Enter Cases'!H36,"")</f>
        <v/>
      </c>
      <c r="J36" t="str">
        <f>IF($A36&lt;&gt;"",'All Cases - Enter Cases'!I36,"")</f>
        <v/>
      </c>
      <c r="K36" s="20" t="str">
        <f>IF($A36&lt;&gt;"",'All Cases - Enter Cases'!J36,"")</f>
        <v/>
      </c>
      <c r="L36" s="4" t="str">
        <f>IF($A36&lt;&gt;"",'All Cases - Enter Cases'!K36,"")</f>
        <v/>
      </c>
      <c r="M36" t="str">
        <f>IF($A36&lt;&gt;"",'All Cases - Enter Cases'!L36,"")</f>
        <v/>
      </c>
    </row>
    <row r="37" spans="1:13" x14ac:dyDescent="0.35">
      <c r="A37" s="4" t="str">
        <f>IF('All Cases - Enter Cases'!$K37="Approved",'All Cases - Enter Cases'!A37,"")</f>
        <v/>
      </c>
      <c r="B37" s="19" t="str">
        <f>IF($N37&lt;&gt;"",$N37,IF($A37&lt;&gt;"",'All Cases - Enter Cases'!$L37+7,""))</f>
        <v/>
      </c>
      <c r="C37" t="str">
        <f>IF($A37&lt;&gt;"",'All Cases - Enter Cases'!B37,"")</f>
        <v/>
      </c>
      <c r="D37" t="str">
        <f>IF($A37&lt;&gt;"",'All Cases - Enter Cases'!C37,"")</f>
        <v/>
      </c>
      <c r="E37" t="str">
        <f>IF($A37&lt;&gt;"",'All Cases - Enter Cases'!D37,"")</f>
        <v/>
      </c>
      <c r="F37" s="12" t="str">
        <f>IF($A37&lt;&gt;"",'All Cases - Enter Cases'!E37,"")</f>
        <v/>
      </c>
      <c r="G37" s="12" t="str">
        <f>IF($A37&lt;&gt;"",'All Cases - Enter Cases'!F37,"")</f>
        <v/>
      </c>
      <c r="H37" s="4" t="str">
        <f>IF($A37&lt;&gt;"",'All Cases - Enter Cases'!G37,"")</f>
        <v/>
      </c>
      <c r="I37" t="str">
        <f>IF($A37&lt;&gt;"",'All Cases - Enter Cases'!H37,"")</f>
        <v/>
      </c>
      <c r="J37" t="str">
        <f>IF($A37&lt;&gt;"",'All Cases - Enter Cases'!I37,"")</f>
        <v/>
      </c>
      <c r="K37" s="20" t="str">
        <f>IF($A37&lt;&gt;"",'All Cases - Enter Cases'!J37,"")</f>
        <v/>
      </c>
      <c r="L37" s="4" t="str">
        <f>IF($A37&lt;&gt;"",'All Cases - Enter Cases'!K37,"")</f>
        <v/>
      </c>
      <c r="M37" t="str">
        <f>IF($A37&lt;&gt;"",'All Cases - Enter Cases'!L37,"")</f>
        <v/>
      </c>
    </row>
    <row r="38" spans="1:13" x14ac:dyDescent="0.35">
      <c r="A38" s="4" t="str">
        <f>IF('All Cases - Enter Cases'!$K38="Approved",'All Cases - Enter Cases'!A38,"")</f>
        <v/>
      </c>
      <c r="B38" s="19" t="str">
        <f>IF($N38&lt;&gt;"",$N38,IF($A38&lt;&gt;"",'All Cases - Enter Cases'!$L38+7,""))</f>
        <v/>
      </c>
      <c r="C38" t="str">
        <f>IF($A38&lt;&gt;"",'All Cases - Enter Cases'!B38,"")</f>
        <v/>
      </c>
      <c r="D38" t="str">
        <f>IF($A38&lt;&gt;"",'All Cases - Enter Cases'!C38,"")</f>
        <v/>
      </c>
      <c r="E38" t="str">
        <f>IF($A38&lt;&gt;"",'All Cases - Enter Cases'!D38,"")</f>
        <v/>
      </c>
      <c r="F38" s="12" t="str">
        <f>IF($A38&lt;&gt;"",'All Cases - Enter Cases'!E38,"")</f>
        <v/>
      </c>
      <c r="G38" s="12" t="str">
        <f>IF($A38&lt;&gt;"",'All Cases - Enter Cases'!F38,"")</f>
        <v/>
      </c>
      <c r="H38" s="4" t="str">
        <f>IF($A38&lt;&gt;"",'All Cases - Enter Cases'!G38,"")</f>
        <v/>
      </c>
      <c r="I38" t="str">
        <f>IF($A38&lt;&gt;"",'All Cases - Enter Cases'!H38,"")</f>
        <v/>
      </c>
      <c r="J38" t="str">
        <f>IF($A38&lt;&gt;"",'All Cases - Enter Cases'!I38,"")</f>
        <v/>
      </c>
      <c r="K38" s="20" t="str">
        <f>IF($A38&lt;&gt;"",'All Cases - Enter Cases'!J38,"")</f>
        <v/>
      </c>
      <c r="L38" s="4" t="str">
        <f>IF($A38&lt;&gt;"",'All Cases - Enter Cases'!K38,"")</f>
        <v/>
      </c>
      <c r="M38" t="str">
        <f>IF($A38&lt;&gt;"",'All Cases - Enter Cases'!L38,"")</f>
        <v/>
      </c>
    </row>
    <row r="39" spans="1:13" x14ac:dyDescent="0.35">
      <c r="A39" s="4" t="str">
        <f>IF('All Cases - Enter Cases'!$K39="Approved",'All Cases - Enter Cases'!A39,"")</f>
        <v/>
      </c>
      <c r="B39" s="19" t="str">
        <f>IF($N39&lt;&gt;"",$N39,IF($A39&lt;&gt;"",'All Cases - Enter Cases'!$L39+7,""))</f>
        <v/>
      </c>
      <c r="C39" t="str">
        <f>IF($A39&lt;&gt;"",'All Cases - Enter Cases'!B39,"")</f>
        <v/>
      </c>
      <c r="D39" t="str">
        <f>IF($A39&lt;&gt;"",'All Cases - Enter Cases'!C39,"")</f>
        <v/>
      </c>
      <c r="E39" t="str">
        <f>IF($A39&lt;&gt;"",'All Cases - Enter Cases'!D39,"")</f>
        <v/>
      </c>
      <c r="F39" s="12" t="str">
        <f>IF($A39&lt;&gt;"",'All Cases - Enter Cases'!E39,"")</f>
        <v/>
      </c>
      <c r="G39" s="12" t="str">
        <f>IF($A39&lt;&gt;"",'All Cases - Enter Cases'!F39,"")</f>
        <v/>
      </c>
      <c r="H39" s="4" t="str">
        <f>IF($A39&lt;&gt;"",'All Cases - Enter Cases'!G39,"")</f>
        <v/>
      </c>
      <c r="I39" t="str">
        <f>IF($A39&lt;&gt;"",'All Cases - Enter Cases'!H39,"")</f>
        <v/>
      </c>
      <c r="J39" t="str">
        <f>IF($A39&lt;&gt;"",'All Cases - Enter Cases'!I39,"")</f>
        <v/>
      </c>
      <c r="K39" s="20" t="str">
        <f>IF($A39&lt;&gt;"",'All Cases - Enter Cases'!J39,"")</f>
        <v/>
      </c>
      <c r="L39" s="4" t="str">
        <f>IF($A39&lt;&gt;"",'All Cases - Enter Cases'!K39,"")</f>
        <v/>
      </c>
      <c r="M39" t="str">
        <f>IF($A39&lt;&gt;"",'All Cases - Enter Cases'!L39,"")</f>
        <v/>
      </c>
    </row>
    <row r="40" spans="1:13" x14ac:dyDescent="0.35">
      <c r="A40" s="4" t="str">
        <f>IF('All Cases - Enter Cases'!$K40="Approved",'All Cases - Enter Cases'!A40,"")</f>
        <v/>
      </c>
      <c r="B40" s="4" t="str">
        <f>IF($N40&lt;&gt;"",$N40,IF($A40&lt;&gt;"",'All Cases - Enter Cases'!$L40+7,""))</f>
        <v/>
      </c>
      <c r="C40" t="str">
        <f>IF($A40&lt;&gt;"",'All Cases - Enter Cases'!B40,"")</f>
        <v/>
      </c>
      <c r="D40" t="str">
        <f>IF($A40&lt;&gt;"",'All Cases - Enter Cases'!C40,"")</f>
        <v/>
      </c>
      <c r="E40" t="str">
        <f>IF($A40&lt;&gt;"",'All Cases - Enter Cases'!D40,"")</f>
        <v/>
      </c>
      <c r="F40" s="12" t="str">
        <f>IF($A40&lt;&gt;"",'All Cases - Enter Cases'!E40,"")</f>
        <v/>
      </c>
      <c r="G40" s="12" t="str">
        <f>IF($A40&lt;&gt;"",'All Cases - Enter Cases'!F40,"")</f>
        <v/>
      </c>
      <c r="H40" s="4" t="str">
        <f>IF($A40&lt;&gt;"",'All Cases - Enter Cases'!G40,"")</f>
        <v/>
      </c>
      <c r="I40" t="str">
        <f>IF($A40&lt;&gt;"",'All Cases - Enter Cases'!H40,"")</f>
        <v/>
      </c>
      <c r="J40" t="str">
        <f>IF($A40&lt;&gt;"",'All Cases - Enter Cases'!I40,"")</f>
        <v/>
      </c>
      <c r="K40" s="16" t="str">
        <f>IF($A40&lt;&gt;"",'All Cases - Enter Cases'!J40,"")</f>
        <v/>
      </c>
      <c r="L40" s="4" t="str">
        <f>IF($A40&lt;&gt;"",'All Cases - Enter Cases'!K40,"")</f>
        <v/>
      </c>
      <c r="M40" t="str">
        <f>IF($A40&lt;&gt;"",'All Cases - Enter Cases'!L40,"")</f>
        <v/>
      </c>
    </row>
    <row r="41" spans="1:13" x14ac:dyDescent="0.35">
      <c r="A41" s="4" t="str">
        <f>IF('All Cases - Enter Cases'!$K41="Approved",'All Cases - Enter Cases'!A41,"")</f>
        <v/>
      </c>
      <c r="B41" s="4" t="str">
        <f>IF($N41&lt;&gt;"",$N41,IF($A41&lt;&gt;"",'All Cases - Enter Cases'!$L41+7,""))</f>
        <v/>
      </c>
      <c r="C41" t="str">
        <f>IF($A41&lt;&gt;"",'All Cases - Enter Cases'!B41,"")</f>
        <v/>
      </c>
      <c r="D41" t="str">
        <f>IF($A41&lt;&gt;"",'All Cases - Enter Cases'!C41,"")</f>
        <v/>
      </c>
      <c r="E41" t="str">
        <f>IF($A41&lt;&gt;"",'All Cases - Enter Cases'!D41,"")</f>
        <v/>
      </c>
      <c r="F41" s="12" t="str">
        <f>IF($A41&lt;&gt;"",'All Cases - Enter Cases'!E41,"")</f>
        <v/>
      </c>
      <c r="G41" s="12" t="str">
        <f>IF($A41&lt;&gt;"",'All Cases - Enter Cases'!F41,"")</f>
        <v/>
      </c>
      <c r="H41" s="4" t="str">
        <f>IF($A41&lt;&gt;"",'All Cases - Enter Cases'!G41,"")</f>
        <v/>
      </c>
      <c r="I41" t="str">
        <f>IF($A41&lt;&gt;"",'All Cases - Enter Cases'!H41,"")</f>
        <v/>
      </c>
      <c r="J41" t="str">
        <f>IF($A41&lt;&gt;"",'All Cases - Enter Cases'!I41,"")</f>
        <v/>
      </c>
      <c r="K41" s="16" t="str">
        <f>IF($A41&lt;&gt;"",'All Cases - Enter Cases'!J41,"")</f>
        <v/>
      </c>
      <c r="L41" s="4" t="str">
        <f>IF($A41&lt;&gt;"",'All Cases - Enter Cases'!K41,"")</f>
        <v/>
      </c>
      <c r="M41" t="str">
        <f>IF($A41&lt;&gt;"",'All Cases - Enter Cases'!L41,"")</f>
        <v/>
      </c>
    </row>
    <row r="42" spans="1:13" x14ac:dyDescent="0.35">
      <c r="A42" s="4" t="str">
        <f>IF('All Cases - Enter Cases'!$K42="Approved",'All Cases - Enter Cases'!A42,"")</f>
        <v/>
      </c>
      <c r="B42" s="4" t="str">
        <f>IF($N42&lt;&gt;"",$N42,IF($A42&lt;&gt;"",'All Cases - Enter Cases'!$L42+7,""))</f>
        <v/>
      </c>
      <c r="C42" t="str">
        <f>IF($A42&lt;&gt;"",'All Cases - Enter Cases'!B42,"")</f>
        <v/>
      </c>
      <c r="D42" t="str">
        <f>IF($A42&lt;&gt;"",'All Cases - Enter Cases'!C42,"")</f>
        <v/>
      </c>
      <c r="E42" t="str">
        <f>IF($A42&lt;&gt;"",'All Cases - Enter Cases'!D42,"")</f>
        <v/>
      </c>
      <c r="F42" s="12" t="str">
        <f>IF($A42&lt;&gt;"",'All Cases - Enter Cases'!E42,"")</f>
        <v/>
      </c>
      <c r="G42" s="12" t="str">
        <f>IF($A42&lt;&gt;"",'All Cases - Enter Cases'!F42,"")</f>
        <v/>
      </c>
      <c r="H42" s="4" t="str">
        <f>IF($A42&lt;&gt;"",'All Cases - Enter Cases'!G42,"")</f>
        <v/>
      </c>
      <c r="I42" t="str">
        <f>IF($A42&lt;&gt;"",'All Cases - Enter Cases'!H42,"")</f>
        <v/>
      </c>
      <c r="J42" t="str">
        <f>IF($A42&lt;&gt;"",'All Cases - Enter Cases'!I42,"")</f>
        <v/>
      </c>
      <c r="K42" s="16" t="str">
        <f>IF($A42&lt;&gt;"",'All Cases - Enter Cases'!J42,"")</f>
        <v/>
      </c>
      <c r="L42" s="4" t="str">
        <f>IF($A42&lt;&gt;"",'All Cases - Enter Cases'!K42,"")</f>
        <v/>
      </c>
      <c r="M42" t="str">
        <f>IF($A42&lt;&gt;"",'All Cases - Enter Cases'!L42,"")</f>
        <v/>
      </c>
    </row>
    <row r="43" spans="1:13" x14ac:dyDescent="0.35">
      <c r="A43" s="4" t="str">
        <f>IF('All Cases - Enter Cases'!$K43="Approved",'All Cases - Enter Cases'!A43,"")</f>
        <v/>
      </c>
      <c r="B43" s="4" t="str">
        <f>IF($N43&lt;&gt;"",$N43,IF($A43&lt;&gt;"",'All Cases - Enter Cases'!$L43+7,""))</f>
        <v/>
      </c>
      <c r="C43" t="str">
        <f>IF($A43&lt;&gt;"",'All Cases - Enter Cases'!B43,"")</f>
        <v/>
      </c>
      <c r="D43" t="str">
        <f>IF($A43&lt;&gt;"",'All Cases - Enter Cases'!C43,"")</f>
        <v/>
      </c>
      <c r="E43" t="str">
        <f>IF($A43&lt;&gt;"",'All Cases - Enter Cases'!D43,"")</f>
        <v/>
      </c>
      <c r="F43" s="12" t="str">
        <f>IF($A43&lt;&gt;"",'All Cases - Enter Cases'!E43,"")</f>
        <v/>
      </c>
      <c r="G43" s="12" t="str">
        <f>IF($A43&lt;&gt;"",'All Cases - Enter Cases'!F43,"")</f>
        <v/>
      </c>
      <c r="H43" s="4" t="str">
        <f>IF($A43&lt;&gt;"",'All Cases - Enter Cases'!G43,"")</f>
        <v/>
      </c>
      <c r="I43" t="str">
        <f>IF($A43&lt;&gt;"",'All Cases - Enter Cases'!H43,"")</f>
        <v/>
      </c>
      <c r="J43" t="str">
        <f>IF($A43&lt;&gt;"",'All Cases - Enter Cases'!I43,"")</f>
        <v/>
      </c>
      <c r="K43" s="16" t="str">
        <f>IF($A43&lt;&gt;"",'All Cases - Enter Cases'!J43,"")</f>
        <v/>
      </c>
      <c r="L43" s="4" t="str">
        <f>IF($A43&lt;&gt;"",'All Cases - Enter Cases'!K43,"")</f>
        <v/>
      </c>
      <c r="M43" t="str">
        <f>IF($A43&lt;&gt;"",'All Cases - Enter Cases'!L43,"")</f>
        <v/>
      </c>
    </row>
    <row r="44" spans="1:13" x14ac:dyDescent="0.35">
      <c r="A44" s="4" t="str">
        <f>IF('All Cases - Enter Cases'!$K44="Approved",'All Cases - Enter Cases'!A44,"")</f>
        <v/>
      </c>
      <c r="B44" s="4" t="str">
        <f>IF($N44&lt;&gt;"",$N44,IF($A44&lt;&gt;"",'All Cases - Enter Cases'!$L44+7,""))</f>
        <v/>
      </c>
      <c r="C44" t="str">
        <f>IF($A44&lt;&gt;"",'All Cases - Enter Cases'!B44,"")</f>
        <v/>
      </c>
      <c r="D44" t="str">
        <f>IF($A44&lt;&gt;"",'All Cases - Enter Cases'!C44,"")</f>
        <v/>
      </c>
      <c r="E44" t="str">
        <f>IF($A44&lt;&gt;"",'All Cases - Enter Cases'!D44,"")</f>
        <v/>
      </c>
      <c r="F44" s="12" t="str">
        <f>IF($A44&lt;&gt;"",'All Cases - Enter Cases'!E44,"")</f>
        <v/>
      </c>
      <c r="G44" s="12" t="str">
        <f>IF($A44&lt;&gt;"",'All Cases - Enter Cases'!F44,"")</f>
        <v/>
      </c>
      <c r="H44" s="4" t="str">
        <f>IF($A44&lt;&gt;"",'All Cases - Enter Cases'!G44,"")</f>
        <v/>
      </c>
      <c r="I44" t="str">
        <f>IF($A44&lt;&gt;"",'All Cases - Enter Cases'!H44,"")</f>
        <v/>
      </c>
      <c r="J44" t="str">
        <f>IF($A44&lt;&gt;"",'All Cases - Enter Cases'!I44,"")</f>
        <v/>
      </c>
      <c r="K44" s="16" t="str">
        <f>IF($A44&lt;&gt;"",'All Cases - Enter Cases'!J44,"")</f>
        <v/>
      </c>
      <c r="L44" s="4" t="str">
        <f>IF($A44&lt;&gt;"",'All Cases - Enter Cases'!K44,"")</f>
        <v/>
      </c>
      <c r="M44" t="str">
        <f>IF($A44&lt;&gt;"",'All Cases - Enter Cases'!L44,"")</f>
        <v/>
      </c>
    </row>
    <row r="45" spans="1:13" x14ac:dyDescent="0.35">
      <c r="A45" s="4" t="str">
        <f>IF('All Cases - Enter Cases'!$K45="Approved",'All Cases - Enter Cases'!A45,"")</f>
        <v/>
      </c>
      <c r="B45" s="4" t="str">
        <f>IF($N45&lt;&gt;"",$N45,IF($A45&lt;&gt;"",'All Cases - Enter Cases'!$L45+7,""))</f>
        <v/>
      </c>
      <c r="C45" t="str">
        <f>IF($A45&lt;&gt;"",'All Cases - Enter Cases'!B45,"")</f>
        <v/>
      </c>
      <c r="D45" t="str">
        <f>IF($A45&lt;&gt;"",'All Cases - Enter Cases'!C45,"")</f>
        <v/>
      </c>
      <c r="E45" t="str">
        <f>IF($A45&lt;&gt;"",'All Cases - Enter Cases'!D45,"")</f>
        <v/>
      </c>
      <c r="F45" s="12" t="str">
        <f>IF($A45&lt;&gt;"",'All Cases - Enter Cases'!E45,"")</f>
        <v/>
      </c>
      <c r="G45" s="12" t="str">
        <f>IF($A45&lt;&gt;"",'All Cases - Enter Cases'!F45,"")</f>
        <v/>
      </c>
      <c r="H45" s="4" t="str">
        <f>IF($A45&lt;&gt;"",'All Cases - Enter Cases'!G45,"")</f>
        <v/>
      </c>
      <c r="I45" t="str">
        <f>IF($A45&lt;&gt;"",'All Cases - Enter Cases'!H45,"")</f>
        <v/>
      </c>
      <c r="J45" t="str">
        <f>IF($A45&lt;&gt;"",'All Cases - Enter Cases'!I45,"")</f>
        <v/>
      </c>
      <c r="K45" s="16" t="str">
        <f>IF($A45&lt;&gt;"",'All Cases - Enter Cases'!J45,"")</f>
        <v/>
      </c>
      <c r="L45" s="4" t="str">
        <f>IF($A45&lt;&gt;"",'All Cases - Enter Cases'!K45,"")</f>
        <v/>
      </c>
      <c r="M45" t="str">
        <f>IF($A45&lt;&gt;"",'All Cases - Enter Cases'!L45,"")</f>
        <v/>
      </c>
    </row>
    <row r="46" spans="1:13" x14ac:dyDescent="0.35">
      <c r="A46" s="4" t="str">
        <f>IF('All Cases - Enter Cases'!$K46="Approved",'All Cases - Enter Cases'!A46,"")</f>
        <v/>
      </c>
      <c r="B46" s="4" t="str">
        <f>IF($N46&lt;&gt;"",$N46,IF($A46&lt;&gt;"",'All Cases - Enter Cases'!$L46+7,""))</f>
        <v/>
      </c>
      <c r="C46" t="str">
        <f>IF($A46&lt;&gt;"",'All Cases - Enter Cases'!B46,"")</f>
        <v/>
      </c>
      <c r="D46" t="str">
        <f>IF($A46&lt;&gt;"",'All Cases - Enter Cases'!C46,"")</f>
        <v/>
      </c>
      <c r="E46" t="str">
        <f>IF($A46&lt;&gt;"",'All Cases - Enter Cases'!D46,"")</f>
        <v/>
      </c>
      <c r="F46" s="12" t="str">
        <f>IF($A46&lt;&gt;"",'All Cases - Enter Cases'!E46,"")</f>
        <v/>
      </c>
      <c r="G46" s="12" t="str">
        <f>IF($A46&lt;&gt;"",'All Cases - Enter Cases'!F46,"")</f>
        <v/>
      </c>
      <c r="H46" s="4" t="str">
        <f>IF($A46&lt;&gt;"",'All Cases - Enter Cases'!G46,"")</f>
        <v/>
      </c>
      <c r="I46" t="str">
        <f>IF($A46&lt;&gt;"",'All Cases - Enter Cases'!H46,"")</f>
        <v/>
      </c>
      <c r="J46" t="str">
        <f>IF($A46&lt;&gt;"",'All Cases - Enter Cases'!I46,"")</f>
        <v/>
      </c>
      <c r="K46" s="16" t="str">
        <f>IF($A46&lt;&gt;"",'All Cases - Enter Cases'!J46,"")</f>
        <v/>
      </c>
      <c r="L46" s="4" t="str">
        <f>IF($A46&lt;&gt;"",'All Cases - Enter Cases'!K46,"")</f>
        <v/>
      </c>
      <c r="M46" t="str">
        <f>IF($A46&lt;&gt;"",'All Cases - Enter Cases'!L46,"")</f>
        <v/>
      </c>
    </row>
    <row r="47" spans="1:13" x14ac:dyDescent="0.35">
      <c r="A47" s="4" t="str">
        <f>IF('All Cases - Enter Cases'!$K47="Approved",'All Cases - Enter Cases'!A47,"")</f>
        <v/>
      </c>
      <c r="B47" s="4" t="str">
        <f>IF($N47&lt;&gt;"",$N47,IF($A47&lt;&gt;"",'All Cases - Enter Cases'!$L47+7,""))</f>
        <v/>
      </c>
      <c r="C47" t="str">
        <f>IF($A47&lt;&gt;"",'All Cases - Enter Cases'!B47,"")</f>
        <v/>
      </c>
      <c r="D47" t="str">
        <f>IF($A47&lt;&gt;"",'All Cases - Enter Cases'!C47,"")</f>
        <v/>
      </c>
      <c r="E47" t="str">
        <f>IF($A47&lt;&gt;"",'All Cases - Enter Cases'!D47,"")</f>
        <v/>
      </c>
      <c r="F47" s="12" t="str">
        <f>IF($A47&lt;&gt;"",'All Cases - Enter Cases'!E47,"")</f>
        <v/>
      </c>
      <c r="G47" s="12" t="str">
        <f>IF($A47&lt;&gt;"",'All Cases - Enter Cases'!F47,"")</f>
        <v/>
      </c>
      <c r="H47" s="4" t="str">
        <f>IF($A47&lt;&gt;"",'All Cases - Enter Cases'!G47,"")</f>
        <v/>
      </c>
      <c r="I47" t="str">
        <f>IF($A47&lt;&gt;"",'All Cases - Enter Cases'!H47,"")</f>
        <v/>
      </c>
      <c r="J47" t="str">
        <f>IF($A47&lt;&gt;"",'All Cases - Enter Cases'!I47,"")</f>
        <v/>
      </c>
      <c r="K47" s="16" t="str">
        <f>IF($A47&lt;&gt;"",'All Cases - Enter Cases'!J47,"")</f>
        <v/>
      </c>
      <c r="L47" s="4" t="str">
        <f>IF($A47&lt;&gt;"",'All Cases - Enter Cases'!K47,"")</f>
        <v/>
      </c>
      <c r="M47" t="str">
        <f>IF($A47&lt;&gt;"",'All Cases - Enter Cases'!L47,"")</f>
        <v/>
      </c>
    </row>
    <row r="48" spans="1:13" x14ac:dyDescent="0.35">
      <c r="A48" s="4" t="str">
        <f>IF('All Cases - Enter Cases'!$K48="Approved",'All Cases - Enter Cases'!A48,"")</f>
        <v/>
      </c>
      <c r="B48" s="4" t="str">
        <f>IF($N48&lt;&gt;"",$N48,IF($A48&lt;&gt;"",'All Cases - Enter Cases'!$L48+7,""))</f>
        <v/>
      </c>
      <c r="C48" t="str">
        <f>IF($A48&lt;&gt;"",'All Cases - Enter Cases'!B48,"")</f>
        <v/>
      </c>
      <c r="D48" t="str">
        <f>IF($A48&lt;&gt;"",'All Cases - Enter Cases'!C48,"")</f>
        <v/>
      </c>
      <c r="E48" t="str">
        <f>IF($A48&lt;&gt;"",'All Cases - Enter Cases'!D48,"")</f>
        <v/>
      </c>
      <c r="F48" s="12" t="str">
        <f>IF($A48&lt;&gt;"",'All Cases - Enter Cases'!E48,"")</f>
        <v/>
      </c>
      <c r="G48" s="12" t="str">
        <f>IF($A48&lt;&gt;"",'All Cases - Enter Cases'!F48,"")</f>
        <v/>
      </c>
      <c r="H48" s="4" t="str">
        <f>IF($A48&lt;&gt;"",'All Cases - Enter Cases'!G48,"")</f>
        <v/>
      </c>
      <c r="I48" t="str">
        <f>IF($A48&lt;&gt;"",'All Cases - Enter Cases'!H48,"")</f>
        <v/>
      </c>
      <c r="J48" t="str">
        <f>IF($A48&lt;&gt;"",'All Cases - Enter Cases'!I48,"")</f>
        <v/>
      </c>
      <c r="K48" s="16" t="str">
        <f>IF($A48&lt;&gt;"",'All Cases - Enter Cases'!J48,"")</f>
        <v/>
      </c>
      <c r="L48" s="4" t="str">
        <f>IF($A48&lt;&gt;"",'All Cases - Enter Cases'!K48,"")</f>
        <v/>
      </c>
      <c r="M48" t="str">
        <f>IF($A48&lt;&gt;"",'All Cases - Enter Cases'!L48,"")</f>
        <v/>
      </c>
    </row>
    <row r="49" spans="1:13" x14ac:dyDescent="0.35">
      <c r="A49" s="4" t="str">
        <f>IF('All Cases - Enter Cases'!$K49="Approved",'All Cases - Enter Cases'!A49,"")</f>
        <v/>
      </c>
      <c r="B49" s="4" t="str">
        <f>IF($N49&lt;&gt;"",$N49,IF($A49&lt;&gt;"",'All Cases - Enter Cases'!$L49+7,""))</f>
        <v/>
      </c>
      <c r="C49" t="str">
        <f>IF($A49&lt;&gt;"",'All Cases - Enter Cases'!B49,"")</f>
        <v/>
      </c>
      <c r="D49" t="str">
        <f>IF($A49&lt;&gt;"",'All Cases - Enter Cases'!C49,"")</f>
        <v/>
      </c>
      <c r="E49" t="str">
        <f>IF($A49&lt;&gt;"",'All Cases - Enter Cases'!D49,"")</f>
        <v/>
      </c>
      <c r="F49" s="12" t="str">
        <f>IF($A49&lt;&gt;"",'All Cases - Enter Cases'!E49,"")</f>
        <v/>
      </c>
      <c r="G49" s="12" t="str">
        <f>IF($A49&lt;&gt;"",'All Cases - Enter Cases'!F49,"")</f>
        <v/>
      </c>
      <c r="H49" s="4" t="str">
        <f>IF($A49&lt;&gt;"",'All Cases - Enter Cases'!G49,"")</f>
        <v/>
      </c>
      <c r="I49" t="str">
        <f>IF($A49&lt;&gt;"",'All Cases - Enter Cases'!H49,"")</f>
        <v/>
      </c>
      <c r="J49" t="str">
        <f>IF($A49&lt;&gt;"",'All Cases - Enter Cases'!I49,"")</f>
        <v/>
      </c>
      <c r="K49" s="16" t="str">
        <f>IF($A49&lt;&gt;"",'All Cases - Enter Cases'!J49,"")</f>
        <v/>
      </c>
      <c r="L49" s="4" t="str">
        <f>IF($A49&lt;&gt;"",'All Cases - Enter Cases'!K49,"")</f>
        <v/>
      </c>
      <c r="M49" t="str">
        <f>IF($A49&lt;&gt;"",'All Cases - Enter Cases'!L49,"")</f>
        <v/>
      </c>
    </row>
    <row r="50" spans="1:13" x14ac:dyDescent="0.35">
      <c r="A50" s="4" t="str">
        <f>IF('All Cases - Enter Cases'!$K50="Approved",'All Cases - Enter Cases'!A50,"")</f>
        <v/>
      </c>
      <c r="B50" s="4" t="str">
        <f>IF($N50&lt;&gt;"",$N50,IF($A50&lt;&gt;"",'All Cases - Enter Cases'!$L50+7,""))</f>
        <v/>
      </c>
      <c r="C50" t="str">
        <f>IF($A50&lt;&gt;"",'All Cases - Enter Cases'!B50,"")</f>
        <v/>
      </c>
      <c r="D50" t="str">
        <f>IF($A50&lt;&gt;"",'All Cases - Enter Cases'!C50,"")</f>
        <v/>
      </c>
      <c r="E50" t="str">
        <f>IF($A50&lt;&gt;"",'All Cases - Enter Cases'!D50,"")</f>
        <v/>
      </c>
      <c r="F50" s="12" t="str">
        <f>IF($A50&lt;&gt;"",'All Cases - Enter Cases'!E50,"")</f>
        <v/>
      </c>
      <c r="G50" s="12" t="str">
        <f>IF($A50&lt;&gt;"",'All Cases - Enter Cases'!F50,"")</f>
        <v/>
      </c>
      <c r="H50" s="4" t="str">
        <f>IF($A50&lt;&gt;"",'All Cases - Enter Cases'!G50,"")</f>
        <v/>
      </c>
      <c r="I50" t="str">
        <f>IF($A50&lt;&gt;"",'All Cases - Enter Cases'!H50,"")</f>
        <v/>
      </c>
      <c r="J50" t="str">
        <f>IF($A50&lt;&gt;"",'All Cases - Enter Cases'!I50,"")</f>
        <v/>
      </c>
      <c r="K50" s="16" t="str">
        <f>IF($A50&lt;&gt;"",'All Cases - Enter Cases'!J50,"")</f>
        <v/>
      </c>
      <c r="L50" s="4" t="str">
        <f>IF($A50&lt;&gt;"",'All Cases - Enter Cases'!K50,"")</f>
        <v/>
      </c>
      <c r="M50" t="str">
        <f>IF($A50&lt;&gt;"",'All Cases - Enter Cases'!L50,"")</f>
        <v/>
      </c>
    </row>
    <row r="51" spans="1:13" x14ac:dyDescent="0.35">
      <c r="A51" s="4" t="str">
        <f>IF('All Cases - Enter Cases'!$K51="Approved",'All Cases - Enter Cases'!A51,"")</f>
        <v/>
      </c>
      <c r="B51" s="4" t="str">
        <f>IF($N51&lt;&gt;"",$N51,IF($A51&lt;&gt;"",'All Cases - Enter Cases'!$L51+7,""))</f>
        <v/>
      </c>
      <c r="C51" t="str">
        <f>IF($A51&lt;&gt;"",'All Cases - Enter Cases'!B51,"")</f>
        <v/>
      </c>
      <c r="D51" t="str">
        <f>IF($A51&lt;&gt;"",'All Cases - Enter Cases'!C51,"")</f>
        <v/>
      </c>
      <c r="E51" t="str">
        <f>IF($A51&lt;&gt;"",'All Cases - Enter Cases'!D51,"")</f>
        <v/>
      </c>
      <c r="F51" s="12" t="str">
        <f>IF($A51&lt;&gt;"",'All Cases - Enter Cases'!E51,"")</f>
        <v/>
      </c>
      <c r="G51" s="12" t="str">
        <f>IF($A51&lt;&gt;"",'All Cases - Enter Cases'!F51,"")</f>
        <v/>
      </c>
      <c r="H51" s="4" t="str">
        <f>IF($A51&lt;&gt;"",'All Cases - Enter Cases'!G51,"")</f>
        <v/>
      </c>
      <c r="I51" t="str">
        <f>IF($A51&lt;&gt;"",'All Cases - Enter Cases'!H51,"")</f>
        <v/>
      </c>
      <c r="J51" t="str">
        <f>IF($A51&lt;&gt;"",'All Cases - Enter Cases'!I51,"")</f>
        <v/>
      </c>
      <c r="K51" s="16" t="str">
        <f>IF($A51&lt;&gt;"",'All Cases - Enter Cases'!J51,"")</f>
        <v/>
      </c>
      <c r="L51" s="4" t="str">
        <f>IF($A51&lt;&gt;"",'All Cases - Enter Cases'!K51,"")</f>
        <v/>
      </c>
      <c r="M51" t="str">
        <f>IF($A51&lt;&gt;"",'All Cases - Enter Cases'!L51,"")</f>
        <v/>
      </c>
    </row>
    <row r="52" spans="1:13" x14ac:dyDescent="0.35">
      <c r="A52" s="4" t="str">
        <f>IF('All Cases - Enter Cases'!$K52="Approved",'All Cases - Enter Cases'!A52,"")</f>
        <v/>
      </c>
      <c r="B52" s="4" t="str">
        <f>IF($N52&lt;&gt;"",$N52,IF($A52&lt;&gt;"",'All Cases - Enter Cases'!$L52+7,""))</f>
        <v/>
      </c>
      <c r="C52" t="str">
        <f>IF($A52&lt;&gt;"",'All Cases - Enter Cases'!B52,"")</f>
        <v/>
      </c>
      <c r="D52" t="str">
        <f>IF($A52&lt;&gt;"",'All Cases - Enter Cases'!C52,"")</f>
        <v/>
      </c>
      <c r="E52" t="str">
        <f>IF($A52&lt;&gt;"",'All Cases - Enter Cases'!D52,"")</f>
        <v/>
      </c>
      <c r="F52" s="12" t="str">
        <f>IF($A52&lt;&gt;"",'All Cases - Enter Cases'!E52,"")</f>
        <v/>
      </c>
      <c r="G52" s="12" t="str">
        <f>IF($A52&lt;&gt;"",'All Cases - Enter Cases'!F52,"")</f>
        <v/>
      </c>
      <c r="H52" s="4" t="str">
        <f>IF($A52&lt;&gt;"",'All Cases - Enter Cases'!G52,"")</f>
        <v/>
      </c>
      <c r="I52" t="str">
        <f>IF($A52&lt;&gt;"",'All Cases - Enter Cases'!H52,"")</f>
        <v/>
      </c>
      <c r="J52" t="str">
        <f>IF($A52&lt;&gt;"",'All Cases - Enter Cases'!I52,"")</f>
        <v/>
      </c>
      <c r="K52" s="16" t="str">
        <f>IF($A52&lt;&gt;"",'All Cases - Enter Cases'!J52,"")</f>
        <v/>
      </c>
      <c r="L52" s="4" t="str">
        <f>IF($A52&lt;&gt;"",'All Cases - Enter Cases'!K52,"")</f>
        <v/>
      </c>
      <c r="M52" t="str">
        <f>IF($A52&lt;&gt;"",'All Cases - Enter Cases'!L52,"")</f>
        <v/>
      </c>
    </row>
    <row r="53" spans="1:13" x14ac:dyDescent="0.35">
      <c r="A53" s="4" t="str">
        <f>IF('All Cases - Enter Cases'!$K53="Approved",'All Cases - Enter Cases'!A53,"")</f>
        <v/>
      </c>
      <c r="B53" s="4" t="str">
        <f>IF($N53&lt;&gt;"",$N53,IF($A53&lt;&gt;"",'All Cases - Enter Cases'!$L53+7,""))</f>
        <v/>
      </c>
      <c r="C53" t="str">
        <f>IF($A53&lt;&gt;"",'All Cases - Enter Cases'!B53,"")</f>
        <v/>
      </c>
      <c r="D53" t="str">
        <f>IF($A53&lt;&gt;"",'All Cases - Enter Cases'!C53,"")</f>
        <v/>
      </c>
      <c r="E53" t="str">
        <f>IF($A53&lt;&gt;"",'All Cases - Enter Cases'!D53,"")</f>
        <v/>
      </c>
      <c r="F53" s="12" t="str">
        <f>IF($A53&lt;&gt;"",'All Cases - Enter Cases'!E53,"")</f>
        <v/>
      </c>
      <c r="G53" s="12" t="str">
        <f>IF($A53&lt;&gt;"",'All Cases - Enter Cases'!F53,"")</f>
        <v/>
      </c>
      <c r="H53" s="4" t="str">
        <f>IF($A53&lt;&gt;"",'All Cases - Enter Cases'!G53,"")</f>
        <v/>
      </c>
      <c r="I53" t="str">
        <f>IF($A53&lt;&gt;"",'All Cases - Enter Cases'!H53,"")</f>
        <v/>
      </c>
      <c r="J53" t="str">
        <f>IF($A53&lt;&gt;"",'All Cases - Enter Cases'!I53,"")</f>
        <v/>
      </c>
      <c r="K53" s="16" t="str">
        <f>IF($A53&lt;&gt;"",'All Cases - Enter Cases'!J53,"")</f>
        <v/>
      </c>
      <c r="L53" s="4" t="str">
        <f>IF($A53&lt;&gt;"",'All Cases - Enter Cases'!K53,"")</f>
        <v/>
      </c>
      <c r="M53" t="str">
        <f>IF($A53&lt;&gt;"",'All Cases - Enter Cases'!L53,"")</f>
        <v/>
      </c>
    </row>
    <row r="54" spans="1:13" x14ac:dyDescent="0.35">
      <c r="A54" s="4" t="str">
        <f>IF('All Cases - Enter Cases'!$K54="Approved",'All Cases - Enter Cases'!A54,"")</f>
        <v/>
      </c>
      <c r="B54" s="4" t="str">
        <f>IF($N54&lt;&gt;"",$N54,IF($A54&lt;&gt;"",'All Cases - Enter Cases'!$L54+7,""))</f>
        <v/>
      </c>
      <c r="C54" t="str">
        <f>IF($A54&lt;&gt;"",'All Cases - Enter Cases'!B54,"")</f>
        <v/>
      </c>
      <c r="D54" t="str">
        <f>IF($A54&lt;&gt;"",'All Cases - Enter Cases'!C54,"")</f>
        <v/>
      </c>
      <c r="E54" t="str">
        <f>IF($A54&lt;&gt;"",'All Cases - Enter Cases'!D54,"")</f>
        <v/>
      </c>
      <c r="F54" s="12" t="str">
        <f>IF($A54&lt;&gt;"",'All Cases - Enter Cases'!E54,"")</f>
        <v/>
      </c>
      <c r="G54" s="12" t="str">
        <f>IF($A54&lt;&gt;"",'All Cases - Enter Cases'!F54,"")</f>
        <v/>
      </c>
      <c r="H54" s="4" t="str">
        <f>IF($A54&lt;&gt;"",'All Cases - Enter Cases'!G54,"")</f>
        <v/>
      </c>
      <c r="I54" t="str">
        <f>IF($A54&lt;&gt;"",'All Cases - Enter Cases'!H54,"")</f>
        <v/>
      </c>
      <c r="J54" t="str">
        <f>IF($A54&lt;&gt;"",'All Cases - Enter Cases'!I54,"")</f>
        <v/>
      </c>
      <c r="K54" t="str">
        <f>IF($A54&lt;&gt;"",'All Cases - Enter Cases'!J54,"")</f>
        <v/>
      </c>
      <c r="L54" s="4" t="str">
        <f>IF($A54&lt;&gt;"",'All Cases - Enter Cases'!K54,"")</f>
        <v/>
      </c>
      <c r="M54" t="str">
        <f>IF($A54&lt;&gt;"",'All Cases - Enter Cases'!L54,"")</f>
        <v/>
      </c>
    </row>
    <row r="55" spans="1:13" x14ac:dyDescent="0.35">
      <c r="A55" s="4" t="str">
        <f>IF('All Cases - Enter Cases'!$K55="Approved",'All Cases - Enter Cases'!A55,"")</f>
        <v/>
      </c>
      <c r="B55" s="4" t="str">
        <f>IF($N55&lt;&gt;"",$N55,IF($A55&lt;&gt;"",'All Cases - Enter Cases'!$L55+7,""))</f>
        <v/>
      </c>
      <c r="C55" t="str">
        <f>IF($A55&lt;&gt;"",'All Cases - Enter Cases'!B55,"")</f>
        <v/>
      </c>
      <c r="D55" t="str">
        <f>IF($A55&lt;&gt;"",'All Cases - Enter Cases'!C55,"")</f>
        <v/>
      </c>
      <c r="E55" t="str">
        <f>IF($A55&lt;&gt;"",'All Cases - Enter Cases'!D55,"")</f>
        <v/>
      </c>
      <c r="F55" s="12" t="str">
        <f>IF($A55&lt;&gt;"",'All Cases - Enter Cases'!E55,"")</f>
        <v/>
      </c>
      <c r="G55" s="12" t="str">
        <f>IF($A55&lt;&gt;"",'All Cases - Enter Cases'!F55,"")</f>
        <v/>
      </c>
      <c r="H55" s="4" t="str">
        <f>IF($A55&lt;&gt;"",'All Cases - Enter Cases'!G55,"")</f>
        <v/>
      </c>
      <c r="I55" t="str">
        <f>IF($A55&lt;&gt;"",'All Cases - Enter Cases'!H55,"")</f>
        <v/>
      </c>
      <c r="J55" t="str">
        <f>IF($A55&lt;&gt;"",'All Cases - Enter Cases'!I55,"")</f>
        <v/>
      </c>
      <c r="K55" t="str">
        <f>IF($A55&lt;&gt;"",'All Cases - Enter Cases'!J55,"")</f>
        <v/>
      </c>
      <c r="L55" s="4" t="str">
        <f>IF($A55&lt;&gt;"",'All Cases - Enter Cases'!K55,"")</f>
        <v/>
      </c>
      <c r="M55" t="str">
        <f>IF($A55&lt;&gt;"",'All Cases - Enter Cases'!L55,"")</f>
        <v/>
      </c>
    </row>
    <row r="56" spans="1:13" x14ac:dyDescent="0.35">
      <c r="A56" s="4" t="str">
        <f>IF('All Cases - Enter Cases'!$K56="Approved",'All Cases - Enter Cases'!A56,"")</f>
        <v/>
      </c>
      <c r="B56" s="4" t="str">
        <f>IF($N56&lt;&gt;"",$N56,IF($A56&lt;&gt;"",'All Cases - Enter Cases'!$L56+7,""))</f>
        <v/>
      </c>
      <c r="C56" t="str">
        <f>IF($A56&lt;&gt;"",'All Cases - Enter Cases'!B56,"")</f>
        <v/>
      </c>
      <c r="D56" t="str">
        <f>IF($A56&lt;&gt;"",'All Cases - Enter Cases'!C56,"")</f>
        <v/>
      </c>
      <c r="E56" t="str">
        <f>IF($A56&lt;&gt;"",'All Cases - Enter Cases'!D56,"")</f>
        <v/>
      </c>
      <c r="F56" s="12" t="str">
        <f>IF($A56&lt;&gt;"",'All Cases - Enter Cases'!E56,"")</f>
        <v/>
      </c>
      <c r="G56" s="12" t="str">
        <f>IF($A56&lt;&gt;"",'All Cases - Enter Cases'!F56,"")</f>
        <v/>
      </c>
      <c r="H56" s="4" t="str">
        <f>IF($A56&lt;&gt;"",'All Cases - Enter Cases'!G56,"")</f>
        <v/>
      </c>
      <c r="I56" t="str">
        <f>IF($A56&lt;&gt;"",'All Cases - Enter Cases'!H56,"")</f>
        <v/>
      </c>
      <c r="J56" t="str">
        <f>IF($A56&lt;&gt;"",'All Cases - Enter Cases'!I56,"")</f>
        <v/>
      </c>
      <c r="K56" t="str">
        <f>IF($A56&lt;&gt;"",'All Cases - Enter Cases'!J56,"")</f>
        <v/>
      </c>
      <c r="L56" s="4" t="str">
        <f>IF($A56&lt;&gt;"",'All Cases - Enter Cases'!K56,"")</f>
        <v/>
      </c>
      <c r="M56" t="str">
        <f>IF($A56&lt;&gt;"",'All Cases - Enter Cases'!L56,"")</f>
        <v/>
      </c>
    </row>
    <row r="57" spans="1:13" x14ac:dyDescent="0.35">
      <c r="A57" s="4" t="str">
        <f>IF('All Cases - Enter Cases'!$K57="Approved",'All Cases - Enter Cases'!A57,"")</f>
        <v/>
      </c>
      <c r="B57" s="4" t="str">
        <f>IF($N57&lt;&gt;"",$N57,IF($A57&lt;&gt;"",'All Cases - Enter Cases'!$L57+7,""))</f>
        <v/>
      </c>
      <c r="C57" t="str">
        <f>IF($A57&lt;&gt;"",'All Cases - Enter Cases'!B57,"")</f>
        <v/>
      </c>
      <c r="D57" t="str">
        <f>IF($A57&lt;&gt;"",'All Cases - Enter Cases'!C57,"")</f>
        <v/>
      </c>
      <c r="E57" t="str">
        <f>IF($A57&lt;&gt;"",'All Cases - Enter Cases'!D57,"")</f>
        <v/>
      </c>
      <c r="F57" s="12" t="str">
        <f>IF($A57&lt;&gt;"",'All Cases - Enter Cases'!E57,"")</f>
        <v/>
      </c>
      <c r="G57" s="12" t="str">
        <f>IF($A57&lt;&gt;"",'All Cases - Enter Cases'!F57,"")</f>
        <v/>
      </c>
      <c r="H57" s="4" t="str">
        <f>IF($A57&lt;&gt;"",'All Cases - Enter Cases'!G57,"")</f>
        <v/>
      </c>
      <c r="I57" t="str">
        <f>IF($A57&lt;&gt;"",'All Cases - Enter Cases'!H57,"")</f>
        <v/>
      </c>
      <c r="J57" t="str">
        <f>IF($A57&lt;&gt;"",'All Cases - Enter Cases'!I57,"")</f>
        <v/>
      </c>
      <c r="K57" t="str">
        <f>IF($A57&lt;&gt;"",'All Cases - Enter Cases'!J57,"")</f>
        <v/>
      </c>
      <c r="L57" s="4" t="str">
        <f>IF($A57&lt;&gt;"",'All Cases - Enter Cases'!K57,"")</f>
        <v/>
      </c>
      <c r="M57" t="str">
        <f>IF($A57&lt;&gt;"",'All Cases - Enter Cases'!L57,"")</f>
        <v/>
      </c>
    </row>
    <row r="58" spans="1:13" x14ac:dyDescent="0.35">
      <c r="A58" s="4" t="str">
        <f>IF('All Cases - Enter Cases'!$K58="Approved",'All Cases - Enter Cases'!A58,"")</f>
        <v/>
      </c>
      <c r="B58" s="4" t="str">
        <f>IF($N58&lt;&gt;"",$N58,IF($A58&lt;&gt;"",'All Cases - Enter Cases'!$L58+7,""))</f>
        <v/>
      </c>
      <c r="C58" t="str">
        <f>IF($A58&lt;&gt;"",'All Cases - Enter Cases'!B58,"")</f>
        <v/>
      </c>
      <c r="D58" t="str">
        <f>IF($A58&lt;&gt;"",'All Cases - Enter Cases'!C58,"")</f>
        <v/>
      </c>
      <c r="E58" t="str">
        <f>IF($A58&lt;&gt;"",'All Cases - Enter Cases'!D58,"")</f>
        <v/>
      </c>
      <c r="F58" s="12" t="str">
        <f>IF($A58&lt;&gt;"",'All Cases - Enter Cases'!E58,"")</f>
        <v/>
      </c>
      <c r="G58" s="12" t="str">
        <f>IF($A58&lt;&gt;"",'All Cases - Enter Cases'!F58,"")</f>
        <v/>
      </c>
      <c r="H58" s="4" t="str">
        <f>IF($A58&lt;&gt;"",'All Cases - Enter Cases'!G58,"")</f>
        <v/>
      </c>
      <c r="I58" t="str">
        <f>IF($A58&lt;&gt;"",'All Cases - Enter Cases'!H58,"")</f>
        <v/>
      </c>
      <c r="J58" t="str">
        <f>IF($A58&lt;&gt;"",'All Cases - Enter Cases'!I58,"")</f>
        <v/>
      </c>
      <c r="K58" t="str">
        <f>IF($A58&lt;&gt;"",'All Cases - Enter Cases'!J58,"")</f>
        <v/>
      </c>
      <c r="L58" s="4" t="str">
        <f>IF($A58&lt;&gt;"",'All Cases - Enter Cases'!K58,"")</f>
        <v/>
      </c>
      <c r="M58" t="str">
        <f>IF($A58&lt;&gt;"",'All Cases - Enter Cases'!L58,"")</f>
        <v/>
      </c>
    </row>
    <row r="59" spans="1:13" x14ac:dyDescent="0.35">
      <c r="A59" s="4" t="str">
        <f>IF('All Cases - Enter Cases'!$K59="Approved",'All Cases - Enter Cases'!A59,"")</f>
        <v/>
      </c>
      <c r="B59" s="4" t="str">
        <f>IF($N59&lt;&gt;"",$N59,IF($A59&lt;&gt;"",'All Cases - Enter Cases'!$L59+7,""))</f>
        <v/>
      </c>
      <c r="C59" t="str">
        <f>IF($A59&lt;&gt;"",'All Cases - Enter Cases'!B59,"")</f>
        <v/>
      </c>
      <c r="D59" t="str">
        <f>IF($A59&lt;&gt;"",'All Cases - Enter Cases'!C59,"")</f>
        <v/>
      </c>
      <c r="E59" t="str">
        <f>IF($A59&lt;&gt;"",'All Cases - Enter Cases'!D59,"")</f>
        <v/>
      </c>
      <c r="F59" s="12" t="str">
        <f>IF($A59&lt;&gt;"",'All Cases - Enter Cases'!E59,"")</f>
        <v/>
      </c>
      <c r="G59" s="12" t="str">
        <f>IF($A59&lt;&gt;"",'All Cases - Enter Cases'!F59,"")</f>
        <v/>
      </c>
      <c r="H59" s="4" t="str">
        <f>IF($A59&lt;&gt;"",'All Cases - Enter Cases'!G59,"")</f>
        <v/>
      </c>
      <c r="I59" t="str">
        <f>IF($A59&lt;&gt;"",'All Cases - Enter Cases'!H59,"")</f>
        <v/>
      </c>
      <c r="J59" t="str">
        <f>IF($A59&lt;&gt;"",'All Cases - Enter Cases'!I59,"")</f>
        <v/>
      </c>
      <c r="K59" t="str">
        <f>IF($A59&lt;&gt;"",'All Cases - Enter Cases'!J59,"")</f>
        <v/>
      </c>
      <c r="L59" s="4" t="str">
        <f>IF($A59&lt;&gt;"",'All Cases - Enter Cases'!K59,"")</f>
        <v/>
      </c>
      <c r="M59" t="str">
        <f>IF($A59&lt;&gt;"",'All Cases - Enter Cases'!L59,"")</f>
        <v/>
      </c>
    </row>
    <row r="60" spans="1:13" x14ac:dyDescent="0.35">
      <c r="A60" s="4" t="str">
        <f>IF('All Cases - Enter Cases'!$K60="Approved",'All Cases - Enter Cases'!A60,"")</f>
        <v/>
      </c>
      <c r="B60" s="4" t="str">
        <f>IF($N60&lt;&gt;"",$N60,IF($A60&lt;&gt;"",'All Cases - Enter Cases'!$L60+7,""))</f>
        <v/>
      </c>
      <c r="C60" t="str">
        <f>IF($A60&lt;&gt;"",'All Cases - Enter Cases'!B60,"")</f>
        <v/>
      </c>
      <c r="D60" t="str">
        <f>IF($A60&lt;&gt;"",'All Cases - Enter Cases'!C60,"")</f>
        <v/>
      </c>
      <c r="E60" t="str">
        <f>IF($A60&lt;&gt;"",'All Cases - Enter Cases'!D60,"")</f>
        <v/>
      </c>
      <c r="F60" s="12" t="str">
        <f>IF($A60&lt;&gt;"",'All Cases - Enter Cases'!E60,"")</f>
        <v/>
      </c>
      <c r="G60" s="12" t="str">
        <f>IF($A60&lt;&gt;"",'All Cases - Enter Cases'!F60,"")</f>
        <v/>
      </c>
      <c r="H60" s="4" t="str">
        <f>IF($A60&lt;&gt;"",'All Cases - Enter Cases'!G60,"")</f>
        <v/>
      </c>
      <c r="I60" t="str">
        <f>IF($A60&lt;&gt;"",'All Cases - Enter Cases'!H60,"")</f>
        <v/>
      </c>
      <c r="J60" t="str">
        <f>IF($A60&lt;&gt;"",'All Cases - Enter Cases'!I60,"")</f>
        <v/>
      </c>
      <c r="K60" t="str">
        <f>IF($A60&lt;&gt;"",'All Cases - Enter Cases'!J60,"")</f>
        <v/>
      </c>
      <c r="L60" s="4" t="str">
        <f>IF($A60&lt;&gt;"",'All Cases - Enter Cases'!K60,"")</f>
        <v/>
      </c>
      <c r="M60" t="str">
        <f>IF($A60&lt;&gt;"",'All Cases - Enter Cases'!L60,"")</f>
        <v/>
      </c>
    </row>
    <row r="61" spans="1:13" x14ac:dyDescent="0.35">
      <c r="A61" s="4" t="str">
        <f>IF('All Cases - Enter Cases'!$K61="Approved",'All Cases - Enter Cases'!A61,"")</f>
        <v/>
      </c>
      <c r="B61" s="4" t="str">
        <f>IF($N61&lt;&gt;"",$N61,IF($A61&lt;&gt;"",'All Cases - Enter Cases'!$L61+7,""))</f>
        <v/>
      </c>
      <c r="C61" t="str">
        <f>IF($A61&lt;&gt;"",'All Cases - Enter Cases'!B61,"")</f>
        <v/>
      </c>
      <c r="D61" t="str">
        <f>IF($A61&lt;&gt;"",'All Cases - Enter Cases'!C61,"")</f>
        <v/>
      </c>
      <c r="E61" t="str">
        <f>IF($A61&lt;&gt;"",'All Cases - Enter Cases'!D61,"")</f>
        <v/>
      </c>
      <c r="F61" s="12" t="str">
        <f>IF($A61&lt;&gt;"",'All Cases - Enter Cases'!E61,"")</f>
        <v/>
      </c>
      <c r="G61" s="12" t="str">
        <f>IF($A61&lt;&gt;"",'All Cases - Enter Cases'!F61,"")</f>
        <v/>
      </c>
      <c r="H61" s="4" t="str">
        <f>IF($A61&lt;&gt;"",'All Cases - Enter Cases'!G61,"")</f>
        <v/>
      </c>
      <c r="I61" t="str">
        <f>IF($A61&lt;&gt;"",'All Cases - Enter Cases'!H61,"")</f>
        <v/>
      </c>
      <c r="J61" t="str">
        <f>IF($A61&lt;&gt;"",'All Cases - Enter Cases'!I61,"")</f>
        <v/>
      </c>
      <c r="K61" t="str">
        <f>IF($A61&lt;&gt;"",'All Cases - Enter Cases'!J61,"")</f>
        <v/>
      </c>
      <c r="L61" s="4" t="str">
        <f>IF($A61&lt;&gt;"",'All Cases - Enter Cases'!K61,"")</f>
        <v/>
      </c>
      <c r="M61" t="str">
        <f>IF($A61&lt;&gt;"",'All Cases - Enter Cases'!L61,"")</f>
        <v/>
      </c>
    </row>
    <row r="62" spans="1:13" x14ac:dyDescent="0.35">
      <c r="A62" s="4" t="str">
        <f>IF('All Cases - Enter Cases'!$K62="Approved",'All Cases - Enter Cases'!A62,"")</f>
        <v/>
      </c>
      <c r="B62" s="4" t="str">
        <f>IF($N62&lt;&gt;"",$N62,IF($A62&lt;&gt;"",'All Cases - Enter Cases'!$L62+7,""))</f>
        <v/>
      </c>
      <c r="C62" t="str">
        <f>IF($A62&lt;&gt;"",'All Cases - Enter Cases'!B62,"")</f>
        <v/>
      </c>
      <c r="D62" t="str">
        <f>IF($A62&lt;&gt;"",'All Cases - Enter Cases'!C62,"")</f>
        <v/>
      </c>
      <c r="E62" t="str">
        <f>IF($A62&lt;&gt;"",'All Cases - Enter Cases'!D62,"")</f>
        <v/>
      </c>
      <c r="F62" s="12" t="str">
        <f>IF($A62&lt;&gt;"",'All Cases - Enter Cases'!E62,"")</f>
        <v/>
      </c>
      <c r="G62" s="12" t="str">
        <f>IF($A62&lt;&gt;"",'All Cases - Enter Cases'!F62,"")</f>
        <v/>
      </c>
      <c r="H62" s="4" t="str">
        <f>IF($A62&lt;&gt;"",'All Cases - Enter Cases'!G62,"")</f>
        <v/>
      </c>
      <c r="I62" t="str">
        <f>IF($A62&lt;&gt;"",'All Cases - Enter Cases'!H62,"")</f>
        <v/>
      </c>
      <c r="J62" t="str">
        <f>IF($A62&lt;&gt;"",'All Cases - Enter Cases'!I62,"")</f>
        <v/>
      </c>
      <c r="K62" t="str">
        <f>IF($A62&lt;&gt;"",'All Cases - Enter Cases'!J62,"")</f>
        <v/>
      </c>
      <c r="L62" s="4" t="str">
        <f>IF($A62&lt;&gt;"",'All Cases - Enter Cases'!K62,"")</f>
        <v/>
      </c>
      <c r="M62" t="str">
        <f>IF($A62&lt;&gt;"",'All Cases - Enter Cases'!L62,"")</f>
        <v/>
      </c>
    </row>
    <row r="63" spans="1:13" x14ac:dyDescent="0.35">
      <c r="A63" s="4" t="str">
        <f>IF('All Cases - Enter Cases'!$K63="Approved",'All Cases - Enter Cases'!A63,"")</f>
        <v/>
      </c>
      <c r="B63" s="4" t="str">
        <f>IF($N63&lt;&gt;"",$N63,IF($A63&lt;&gt;"",'All Cases - Enter Cases'!$L63+7,""))</f>
        <v/>
      </c>
      <c r="C63" t="str">
        <f>IF($A63&lt;&gt;"",'All Cases - Enter Cases'!B63,"")</f>
        <v/>
      </c>
      <c r="D63" t="str">
        <f>IF($A63&lt;&gt;"",'All Cases - Enter Cases'!C63,"")</f>
        <v/>
      </c>
      <c r="E63" t="str">
        <f>IF($A63&lt;&gt;"",'All Cases - Enter Cases'!D63,"")</f>
        <v/>
      </c>
      <c r="F63" s="12" t="str">
        <f>IF($A63&lt;&gt;"",'All Cases - Enter Cases'!E63,"")</f>
        <v/>
      </c>
      <c r="G63" s="12" t="str">
        <f>IF($A63&lt;&gt;"",'All Cases - Enter Cases'!F63,"")</f>
        <v/>
      </c>
      <c r="H63" s="4" t="str">
        <f>IF($A63&lt;&gt;"",'All Cases - Enter Cases'!G63,"")</f>
        <v/>
      </c>
      <c r="I63" t="str">
        <f>IF($A63&lt;&gt;"",'All Cases - Enter Cases'!H63,"")</f>
        <v/>
      </c>
      <c r="J63" t="str">
        <f>IF($A63&lt;&gt;"",'All Cases - Enter Cases'!I63,"")</f>
        <v/>
      </c>
      <c r="K63" t="str">
        <f>IF($A63&lt;&gt;"",'All Cases - Enter Cases'!J63,"")</f>
        <v/>
      </c>
      <c r="L63" s="4" t="str">
        <f>IF($A63&lt;&gt;"",'All Cases - Enter Cases'!K63,"")</f>
        <v/>
      </c>
      <c r="M63" t="str">
        <f>IF($A63&lt;&gt;"",'All Cases - Enter Cases'!L63,"")</f>
        <v/>
      </c>
    </row>
    <row r="64" spans="1:13" x14ac:dyDescent="0.35">
      <c r="A64" s="4" t="str">
        <f>IF('All Cases - Enter Cases'!$K64="Approved",'All Cases - Enter Cases'!A64,"")</f>
        <v/>
      </c>
      <c r="B64" s="4" t="str">
        <f>IF($N64&lt;&gt;"",$N64,IF($A64&lt;&gt;"",'All Cases - Enter Cases'!$L64+7,""))</f>
        <v/>
      </c>
      <c r="C64" t="str">
        <f>IF($A64&lt;&gt;"",'All Cases - Enter Cases'!B64,"")</f>
        <v/>
      </c>
      <c r="D64" t="str">
        <f>IF($A64&lt;&gt;"",'All Cases - Enter Cases'!C64,"")</f>
        <v/>
      </c>
      <c r="E64" t="str">
        <f>IF($A64&lt;&gt;"",'All Cases - Enter Cases'!D64,"")</f>
        <v/>
      </c>
      <c r="F64" s="12" t="str">
        <f>IF($A64&lt;&gt;"",'All Cases - Enter Cases'!E64,"")</f>
        <v/>
      </c>
      <c r="G64" s="12" t="str">
        <f>IF($A64&lt;&gt;"",'All Cases - Enter Cases'!F64,"")</f>
        <v/>
      </c>
      <c r="H64" s="4" t="str">
        <f>IF($A64&lt;&gt;"",'All Cases - Enter Cases'!G64,"")</f>
        <v/>
      </c>
      <c r="I64" t="str">
        <f>IF($A64&lt;&gt;"",'All Cases - Enter Cases'!H64,"")</f>
        <v/>
      </c>
      <c r="J64" t="str">
        <f>IF($A64&lt;&gt;"",'All Cases - Enter Cases'!I64,"")</f>
        <v/>
      </c>
      <c r="K64" t="str">
        <f>IF($A64&lt;&gt;"",'All Cases - Enter Cases'!J64,"")</f>
        <v/>
      </c>
      <c r="L64" s="4" t="str">
        <f>IF($A64&lt;&gt;"",'All Cases - Enter Cases'!K64,"")</f>
        <v/>
      </c>
      <c r="M64" t="str">
        <f>IF($A64&lt;&gt;"",'All Cases - Enter Cases'!L64,"")</f>
        <v/>
      </c>
    </row>
    <row r="65" spans="1:13" x14ac:dyDescent="0.35">
      <c r="A65" s="4" t="str">
        <f>IF('All Cases - Enter Cases'!$K65="Approved",'All Cases - Enter Cases'!A65,"")</f>
        <v/>
      </c>
      <c r="B65" s="4" t="str">
        <f>IF($N65&lt;&gt;"",$N65,IF($A65&lt;&gt;"",'All Cases - Enter Cases'!$L65+7,""))</f>
        <v/>
      </c>
      <c r="C65" t="str">
        <f>IF($A65&lt;&gt;"",'All Cases - Enter Cases'!B65,"")</f>
        <v/>
      </c>
      <c r="D65" t="str">
        <f>IF($A65&lt;&gt;"",'All Cases - Enter Cases'!C65,"")</f>
        <v/>
      </c>
      <c r="E65" t="str">
        <f>IF($A65&lt;&gt;"",'All Cases - Enter Cases'!D65,"")</f>
        <v/>
      </c>
      <c r="F65" s="12" t="str">
        <f>IF($A65&lt;&gt;"",'All Cases - Enter Cases'!E65,"")</f>
        <v/>
      </c>
      <c r="G65" s="12" t="str">
        <f>IF($A65&lt;&gt;"",'All Cases - Enter Cases'!F65,"")</f>
        <v/>
      </c>
      <c r="H65" s="4" t="str">
        <f>IF($A65&lt;&gt;"",'All Cases - Enter Cases'!G65,"")</f>
        <v/>
      </c>
      <c r="I65" t="str">
        <f>IF($A65&lt;&gt;"",'All Cases - Enter Cases'!H65,"")</f>
        <v/>
      </c>
      <c r="J65" t="str">
        <f>IF($A65&lt;&gt;"",'All Cases - Enter Cases'!I65,"")</f>
        <v/>
      </c>
      <c r="K65" t="str">
        <f>IF($A65&lt;&gt;"",'All Cases - Enter Cases'!J65,"")</f>
        <v/>
      </c>
      <c r="L65" s="4" t="str">
        <f>IF($A65&lt;&gt;"",'All Cases - Enter Cases'!K65,"")</f>
        <v/>
      </c>
      <c r="M65" t="str">
        <f>IF($A65&lt;&gt;"",'All Cases - Enter Cases'!L65,"")</f>
        <v/>
      </c>
    </row>
    <row r="66" spans="1:13" x14ac:dyDescent="0.35">
      <c r="A66" s="4" t="str">
        <f>IF('All Cases - Enter Cases'!$K66="Approved",'All Cases - Enter Cases'!A66,"")</f>
        <v/>
      </c>
      <c r="B66" s="4" t="str">
        <f>IF($N66&lt;&gt;"",$N66,IF($A66&lt;&gt;"",'All Cases - Enter Cases'!$L66+7,""))</f>
        <v/>
      </c>
      <c r="C66" t="str">
        <f>IF($A66&lt;&gt;"",'All Cases - Enter Cases'!B66,"")</f>
        <v/>
      </c>
      <c r="D66" t="str">
        <f>IF($A66&lt;&gt;"",'All Cases - Enter Cases'!C66,"")</f>
        <v/>
      </c>
      <c r="E66" t="str">
        <f>IF($A66&lt;&gt;"",'All Cases - Enter Cases'!D66,"")</f>
        <v/>
      </c>
      <c r="F66" s="12" t="str">
        <f>IF($A66&lt;&gt;"",'All Cases - Enter Cases'!E66,"")</f>
        <v/>
      </c>
      <c r="G66" s="12" t="str">
        <f>IF($A66&lt;&gt;"",'All Cases - Enter Cases'!F66,"")</f>
        <v/>
      </c>
      <c r="H66" s="4" t="str">
        <f>IF($A66&lt;&gt;"",'All Cases - Enter Cases'!G66,"")</f>
        <v/>
      </c>
      <c r="I66" t="str">
        <f>IF($A66&lt;&gt;"",'All Cases - Enter Cases'!H66,"")</f>
        <v/>
      </c>
      <c r="J66" t="str">
        <f>IF($A66&lt;&gt;"",'All Cases - Enter Cases'!I66,"")</f>
        <v/>
      </c>
      <c r="K66" t="str">
        <f>IF($A66&lt;&gt;"",'All Cases - Enter Cases'!J66,"")</f>
        <v/>
      </c>
      <c r="L66" s="4" t="str">
        <f>IF($A66&lt;&gt;"",'All Cases - Enter Cases'!K66,"")</f>
        <v/>
      </c>
      <c r="M66" t="str">
        <f>IF($A66&lt;&gt;"",'All Cases - Enter Cases'!L66,"")</f>
        <v/>
      </c>
    </row>
    <row r="67" spans="1:13" x14ac:dyDescent="0.35">
      <c r="A67" s="4" t="str">
        <f>IF('All Cases - Enter Cases'!$K67="Approved",'All Cases - Enter Cases'!A67,"")</f>
        <v/>
      </c>
      <c r="B67" s="4" t="str">
        <f>IF($N67&lt;&gt;"",$N67,IF($A67&lt;&gt;"",'All Cases - Enter Cases'!$L67+7,""))</f>
        <v/>
      </c>
      <c r="C67" t="str">
        <f>IF($A67&lt;&gt;"",'All Cases - Enter Cases'!B67,"")</f>
        <v/>
      </c>
      <c r="D67" t="str">
        <f>IF($A67&lt;&gt;"",'All Cases - Enter Cases'!C67,"")</f>
        <v/>
      </c>
      <c r="E67" t="str">
        <f>IF($A67&lt;&gt;"",'All Cases - Enter Cases'!D67,"")</f>
        <v/>
      </c>
      <c r="F67" s="12" t="str">
        <f>IF($A67&lt;&gt;"",'All Cases - Enter Cases'!E67,"")</f>
        <v/>
      </c>
      <c r="G67" s="12" t="str">
        <f>IF($A67&lt;&gt;"",'All Cases - Enter Cases'!F67,"")</f>
        <v/>
      </c>
      <c r="H67" s="4" t="str">
        <f>IF($A67&lt;&gt;"",'All Cases - Enter Cases'!G67,"")</f>
        <v/>
      </c>
      <c r="I67" t="str">
        <f>IF($A67&lt;&gt;"",'All Cases - Enter Cases'!H67,"")</f>
        <v/>
      </c>
      <c r="J67" t="str">
        <f>IF($A67&lt;&gt;"",'All Cases - Enter Cases'!I67,"")</f>
        <v/>
      </c>
      <c r="K67" t="str">
        <f>IF($A67&lt;&gt;"",'All Cases - Enter Cases'!J67,"")</f>
        <v/>
      </c>
      <c r="L67" s="4" t="str">
        <f>IF($A67&lt;&gt;"",'All Cases - Enter Cases'!K67,"")</f>
        <v/>
      </c>
      <c r="M67" t="str">
        <f>IF($A67&lt;&gt;"",'All Cases - Enter Cases'!L67,"")</f>
        <v/>
      </c>
    </row>
    <row r="68" spans="1:13" x14ac:dyDescent="0.35">
      <c r="A68" s="4" t="str">
        <f>IF('All Cases - Enter Cases'!$K68="Approved",'All Cases - Enter Cases'!A68,"")</f>
        <v/>
      </c>
      <c r="B68" s="4" t="str">
        <f>IF($N68&lt;&gt;"",$N68,IF($A68&lt;&gt;"",'All Cases - Enter Cases'!$L68+7,""))</f>
        <v/>
      </c>
      <c r="C68" t="str">
        <f>IF($A68&lt;&gt;"",'All Cases - Enter Cases'!B68,"")</f>
        <v/>
      </c>
      <c r="D68" t="str">
        <f>IF($A68&lt;&gt;"",'All Cases - Enter Cases'!C68,"")</f>
        <v/>
      </c>
      <c r="E68" t="str">
        <f>IF($A68&lt;&gt;"",'All Cases - Enter Cases'!D68,"")</f>
        <v/>
      </c>
      <c r="F68" s="12" t="str">
        <f>IF($A68&lt;&gt;"",'All Cases - Enter Cases'!E68,"")</f>
        <v/>
      </c>
      <c r="G68" s="12" t="str">
        <f>IF($A68&lt;&gt;"",'All Cases - Enter Cases'!F68,"")</f>
        <v/>
      </c>
      <c r="H68" s="4" t="str">
        <f>IF($A68&lt;&gt;"",'All Cases - Enter Cases'!G68,"")</f>
        <v/>
      </c>
      <c r="I68" t="str">
        <f>IF($A68&lt;&gt;"",'All Cases - Enter Cases'!H68,"")</f>
        <v/>
      </c>
      <c r="J68" t="str">
        <f>IF($A68&lt;&gt;"",'All Cases - Enter Cases'!I68,"")</f>
        <v/>
      </c>
      <c r="K68" t="str">
        <f>IF($A68&lt;&gt;"",'All Cases - Enter Cases'!J68,"")</f>
        <v/>
      </c>
      <c r="L68" s="4" t="str">
        <f>IF($A68&lt;&gt;"",'All Cases - Enter Cases'!K68,"")</f>
        <v/>
      </c>
      <c r="M68" t="str">
        <f>IF($A68&lt;&gt;"",'All Cases - Enter Cases'!L68,"")</f>
        <v/>
      </c>
    </row>
    <row r="69" spans="1:13" x14ac:dyDescent="0.35">
      <c r="A69" s="4" t="str">
        <f>IF('All Cases - Enter Cases'!$K69="Approved",'All Cases - Enter Cases'!A69,"")</f>
        <v/>
      </c>
      <c r="B69" s="4" t="str">
        <f>IF($N69&lt;&gt;"",$N69,IF($A69&lt;&gt;"",'All Cases - Enter Cases'!$L69+7,""))</f>
        <v/>
      </c>
      <c r="C69" t="str">
        <f>IF($A69&lt;&gt;"",'All Cases - Enter Cases'!B69,"")</f>
        <v/>
      </c>
      <c r="D69" t="str">
        <f>IF($A69&lt;&gt;"",'All Cases - Enter Cases'!C69,"")</f>
        <v/>
      </c>
      <c r="E69" t="str">
        <f>IF($A69&lt;&gt;"",'All Cases - Enter Cases'!D69,"")</f>
        <v/>
      </c>
      <c r="F69" s="12" t="str">
        <f>IF($A69&lt;&gt;"",'All Cases - Enter Cases'!E69,"")</f>
        <v/>
      </c>
      <c r="G69" s="12" t="str">
        <f>IF($A69&lt;&gt;"",'All Cases - Enter Cases'!F69,"")</f>
        <v/>
      </c>
      <c r="H69" s="4" t="str">
        <f>IF($A69&lt;&gt;"",'All Cases - Enter Cases'!G69,"")</f>
        <v/>
      </c>
      <c r="I69" t="str">
        <f>IF($A69&lt;&gt;"",'All Cases - Enter Cases'!H69,"")</f>
        <v/>
      </c>
      <c r="J69" t="str">
        <f>IF($A69&lt;&gt;"",'All Cases - Enter Cases'!I69,"")</f>
        <v/>
      </c>
      <c r="K69" t="str">
        <f>IF($A69&lt;&gt;"",'All Cases - Enter Cases'!J69,"")</f>
        <v/>
      </c>
      <c r="L69" s="4" t="str">
        <f>IF($A69&lt;&gt;"",'All Cases - Enter Cases'!K69,"")</f>
        <v/>
      </c>
      <c r="M69" t="str">
        <f>IF($A69&lt;&gt;"",'All Cases - Enter Cases'!L69,"")</f>
        <v/>
      </c>
    </row>
    <row r="70" spans="1:13" x14ac:dyDescent="0.35">
      <c r="A70" s="4" t="str">
        <f>IF('All Cases - Enter Cases'!$K70="Approved",'All Cases - Enter Cases'!A70,"")</f>
        <v/>
      </c>
      <c r="B70" s="4" t="str">
        <f>IF($N70&lt;&gt;"",$N70,IF($A70&lt;&gt;"",'All Cases - Enter Cases'!$L70+7,""))</f>
        <v/>
      </c>
      <c r="C70" t="str">
        <f>IF($A70&lt;&gt;"",'All Cases - Enter Cases'!B70,"")</f>
        <v/>
      </c>
      <c r="D70" t="str">
        <f>IF($A70&lt;&gt;"",'All Cases - Enter Cases'!C70,"")</f>
        <v/>
      </c>
      <c r="E70" t="str">
        <f>IF($A70&lt;&gt;"",'All Cases - Enter Cases'!D70,"")</f>
        <v/>
      </c>
      <c r="F70" s="12" t="str">
        <f>IF($A70&lt;&gt;"",'All Cases - Enter Cases'!E70,"")</f>
        <v/>
      </c>
      <c r="G70" s="12" t="str">
        <f>IF($A70&lt;&gt;"",'All Cases - Enter Cases'!F70,"")</f>
        <v/>
      </c>
      <c r="H70" s="4" t="str">
        <f>IF($A70&lt;&gt;"",'All Cases - Enter Cases'!G70,"")</f>
        <v/>
      </c>
      <c r="I70" t="str">
        <f>IF($A70&lt;&gt;"",'All Cases - Enter Cases'!H70,"")</f>
        <v/>
      </c>
      <c r="J70" t="str">
        <f>IF($A70&lt;&gt;"",'All Cases - Enter Cases'!I70,"")</f>
        <v/>
      </c>
      <c r="K70" t="str">
        <f>IF($A70&lt;&gt;"",'All Cases - Enter Cases'!J70,"")</f>
        <v/>
      </c>
      <c r="L70" s="4" t="str">
        <f>IF($A70&lt;&gt;"",'All Cases - Enter Cases'!K70,"")</f>
        <v/>
      </c>
      <c r="M70" t="str">
        <f>IF($A70&lt;&gt;"",'All Cases - Enter Cases'!L70,"")</f>
        <v/>
      </c>
    </row>
    <row r="71" spans="1:13" x14ac:dyDescent="0.35">
      <c r="A71" s="4" t="str">
        <f>IF('All Cases - Enter Cases'!$K71="Approved",'All Cases - Enter Cases'!A71,"")</f>
        <v/>
      </c>
      <c r="B71" s="4" t="str">
        <f>IF($N71&lt;&gt;"",$N71,IF($A71&lt;&gt;"",'All Cases - Enter Cases'!$L71+7,""))</f>
        <v/>
      </c>
      <c r="C71" t="str">
        <f>IF($A71&lt;&gt;"",'All Cases - Enter Cases'!B71,"")</f>
        <v/>
      </c>
      <c r="D71" t="str">
        <f>IF($A71&lt;&gt;"",'All Cases - Enter Cases'!C71,"")</f>
        <v/>
      </c>
      <c r="E71" t="str">
        <f>IF($A71&lt;&gt;"",'All Cases - Enter Cases'!D71,"")</f>
        <v/>
      </c>
      <c r="F71" s="12" t="str">
        <f>IF($A71&lt;&gt;"",'All Cases - Enter Cases'!E71,"")</f>
        <v/>
      </c>
      <c r="G71" s="12" t="str">
        <f>IF($A71&lt;&gt;"",'All Cases - Enter Cases'!F71,"")</f>
        <v/>
      </c>
      <c r="H71" s="4" t="str">
        <f>IF($A71&lt;&gt;"",'All Cases - Enter Cases'!G71,"")</f>
        <v/>
      </c>
      <c r="I71" t="str">
        <f>IF($A71&lt;&gt;"",'All Cases - Enter Cases'!H71,"")</f>
        <v/>
      </c>
      <c r="J71" t="str">
        <f>IF($A71&lt;&gt;"",'All Cases - Enter Cases'!I71,"")</f>
        <v/>
      </c>
      <c r="K71" t="str">
        <f>IF($A71&lt;&gt;"",'All Cases - Enter Cases'!J71,"")</f>
        <v/>
      </c>
      <c r="L71" s="4" t="str">
        <f>IF($A71&lt;&gt;"",'All Cases - Enter Cases'!K71,"")</f>
        <v/>
      </c>
      <c r="M71" t="str">
        <f>IF($A71&lt;&gt;"",'All Cases - Enter Cases'!L71,"")</f>
        <v/>
      </c>
    </row>
    <row r="72" spans="1:13" x14ac:dyDescent="0.35">
      <c r="A72" s="4" t="str">
        <f>IF('All Cases - Enter Cases'!$K72="Approved",'All Cases - Enter Cases'!A72,"")</f>
        <v/>
      </c>
      <c r="B72" s="4" t="str">
        <f>IF($N72&lt;&gt;"",$N72,IF($A72&lt;&gt;"",'All Cases - Enter Cases'!$L72+7,""))</f>
        <v/>
      </c>
      <c r="C72" t="str">
        <f>IF($A72&lt;&gt;"",'All Cases - Enter Cases'!B72,"")</f>
        <v/>
      </c>
      <c r="D72" t="str">
        <f>IF($A72&lt;&gt;"",'All Cases - Enter Cases'!C72,"")</f>
        <v/>
      </c>
      <c r="E72" t="str">
        <f>IF($A72&lt;&gt;"",'All Cases - Enter Cases'!D72,"")</f>
        <v/>
      </c>
      <c r="F72" s="12" t="str">
        <f>IF($A72&lt;&gt;"",'All Cases - Enter Cases'!E72,"")</f>
        <v/>
      </c>
      <c r="G72" s="12" t="str">
        <f>IF($A72&lt;&gt;"",'All Cases - Enter Cases'!F72,"")</f>
        <v/>
      </c>
      <c r="H72" s="4" t="str">
        <f>IF($A72&lt;&gt;"",'All Cases - Enter Cases'!G72,"")</f>
        <v/>
      </c>
      <c r="I72" t="str">
        <f>IF($A72&lt;&gt;"",'All Cases - Enter Cases'!H72,"")</f>
        <v/>
      </c>
      <c r="J72" t="str">
        <f>IF($A72&lt;&gt;"",'All Cases - Enter Cases'!I72,"")</f>
        <v/>
      </c>
      <c r="K72" t="str">
        <f>IF($A72&lt;&gt;"",'All Cases - Enter Cases'!J72,"")</f>
        <v/>
      </c>
      <c r="L72" s="4" t="str">
        <f>IF($A72&lt;&gt;"",'All Cases - Enter Cases'!K72,"")</f>
        <v/>
      </c>
      <c r="M72" t="str">
        <f>IF($A72&lt;&gt;"",'All Cases - Enter Cases'!L72,"")</f>
        <v/>
      </c>
    </row>
    <row r="73" spans="1:13" x14ac:dyDescent="0.35">
      <c r="A73" s="4" t="str">
        <f>IF('All Cases - Enter Cases'!$K73="Approved",'All Cases - Enter Cases'!A73,"")</f>
        <v/>
      </c>
      <c r="B73" s="4" t="str">
        <f>IF($N73&lt;&gt;"",$N73,IF($A73&lt;&gt;"",'All Cases - Enter Cases'!$L73+7,""))</f>
        <v/>
      </c>
      <c r="C73" t="str">
        <f>IF($A73&lt;&gt;"",'All Cases - Enter Cases'!B73,"")</f>
        <v/>
      </c>
      <c r="D73" t="str">
        <f>IF($A73&lt;&gt;"",'All Cases - Enter Cases'!C73,"")</f>
        <v/>
      </c>
      <c r="E73" t="str">
        <f>IF($A73&lt;&gt;"",'All Cases - Enter Cases'!D73,"")</f>
        <v/>
      </c>
      <c r="F73" s="12" t="str">
        <f>IF($A73&lt;&gt;"",'All Cases - Enter Cases'!E73,"")</f>
        <v/>
      </c>
      <c r="G73" s="12" t="str">
        <f>IF($A73&lt;&gt;"",'All Cases - Enter Cases'!F73,"")</f>
        <v/>
      </c>
      <c r="H73" s="4" t="str">
        <f>IF($A73&lt;&gt;"",'All Cases - Enter Cases'!G73,"")</f>
        <v/>
      </c>
      <c r="I73" t="str">
        <f>IF($A73&lt;&gt;"",'All Cases - Enter Cases'!H73,"")</f>
        <v/>
      </c>
      <c r="J73" t="str">
        <f>IF($A73&lt;&gt;"",'All Cases - Enter Cases'!I73,"")</f>
        <v/>
      </c>
      <c r="K73" t="str">
        <f>IF($A73&lt;&gt;"",'All Cases - Enter Cases'!J73,"")</f>
        <v/>
      </c>
      <c r="L73" s="4" t="str">
        <f>IF($A73&lt;&gt;"",'All Cases - Enter Cases'!K73,"")</f>
        <v/>
      </c>
      <c r="M73" t="str">
        <f>IF($A73&lt;&gt;"",'All Cases - Enter Cases'!L73,"")</f>
        <v/>
      </c>
    </row>
    <row r="74" spans="1:13" x14ac:dyDescent="0.35">
      <c r="A74" s="4" t="str">
        <f>IF('All Cases - Enter Cases'!$K74="Approved",'All Cases - Enter Cases'!A74,"")</f>
        <v/>
      </c>
      <c r="B74" s="4" t="str">
        <f>IF($N74&lt;&gt;"",$N74,IF($A74&lt;&gt;"",'All Cases - Enter Cases'!$L74+7,""))</f>
        <v/>
      </c>
      <c r="C74" t="str">
        <f>IF($A74&lt;&gt;"",'All Cases - Enter Cases'!B74,"")</f>
        <v/>
      </c>
      <c r="D74" t="str">
        <f>IF($A74&lt;&gt;"",'All Cases - Enter Cases'!C74,"")</f>
        <v/>
      </c>
      <c r="E74" t="str">
        <f>IF($A74&lt;&gt;"",'All Cases - Enter Cases'!D74,"")</f>
        <v/>
      </c>
      <c r="F74" s="12" t="str">
        <f>IF($A74&lt;&gt;"",'All Cases - Enter Cases'!E74,"")</f>
        <v/>
      </c>
      <c r="G74" s="12" t="str">
        <f>IF($A74&lt;&gt;"",'All Cases - Enter Cases'!F74,"")</f>
        <v/>
      </c>
      <c r="H74" s="4" t="str">
        <f>IF($A74&lt;&gt;"",'All Cases - Enter Cases'!G74,"")</f>
        <v/>
      </c>
      <c r="I74" t="str">
        <f>IF($A74&lt;&gt;"",'All Cases - Enter Cases'!H74,"")</f>
        <v/>
      </c>
      <c r="J74" t="str">
        <f>IF($A74&lt;&gt;"",'All Cases - Enter Cases'!I74,"")</f>
        <v/>
      </c>
      <c r="K74" t="str">
        <f>IF($A74&lt;&gt;"",'All Cases - Enter Cases'!J74,"")</f>
        <v/>
      </c>
      <c r="L74" s="4" t="str">
        <f>IF($A74&lt;&gt;"",'All Cases - Enter Cases'!K74,"")</f>
        <v/>
      </c>
      <c r="M74" t="str">
        <f>IF($A74&lt;&gt;"",'All Cases - Enter Cases'!L74,"")</f>
        <v/>
      </c>
    </row>
    <row r="75" spans="1:13" x14ac:dyDescent="0.35">
      <c r="A75" s="4" t="str">
        <f>IF('All Cases - Enter Cases'!$K75="Approved",'All Cases - Enter Cases'!A75,"")</f>
        <v/>
      </c>
      <c r="B75" s="4" t="str">
        <f>IF($N75&lt;&gt;"",$N75,IF($A75&lt;&gt;"",'All Cases - Enter Cases'!$L75+7,""))</f>
        <v/>
      </c>
      <c r="C75" t="str">
        <f>IF($A75&lt;&gt;"",'All Cases - Enter Cases'!B75,"")</f>
        <v/>
      </c>
      <c r="D75" t="str">
        <f>IF($A75&lt;&gt;"",'All Cases - Enter Cases'!C75,"")</f>
        <v/>
      </c>
      <c r="E75" t="str">
        <f>IF($A75&lt;&gt;"",'All Cases - Enter Cases'!D75,"")</f>
        <v/>
      </c>
      <c r="F75" s="12" t="str">
        <f>IF($A75&lt;&gt;"",'All Cases - Enter Cases'!E75,"")</f>
        <v/>
      </c>
      <c r="G75" s="12" t="str">
        <f>IF($A75&lt;&gt;"",'All Cases - Enter Cases'!F75,"")</f>
        <v/>
      </c>
      <c r="H75" s="4" t="str">
        <f>IF($A75&lt;&gt;"",'All Cases - Enter Cases'!G75,"")</f>
        <v/>
      </c>
      <c r="I75" t="str">
        <f>IF($A75&lt;&gt;"",'All Cases - Enter Cases'!H75,"")</f>
        <v/>
      </c>
      <c r="J75" t="str">
        <f>IF($A75&lt;&gt;"",'All Cases - Enter Cases'!I75,"")</f>
        <v/>
      </c>
      <c r="K75" t="str">
        <f>IF($A75&lt;&gt;"",'All Cases - Enter Cases'!J75,"")</f>
        <v/>
      </c>
      <c r="L75" s="4" t="str">
        <f>IF($A75&lt;&gt;"",'All Cases - Enter Cases'!K75,"")</f>
        <v/>
      </c>
      <c r="M75" t="str">
        <f>IF($A75&lt;&gt;"",'All Cases - Enter Cases'!L75,"")</f>
        <v/>
      </c>
    </row>
    <row r="76" spans="1:13" x14ac:dyDescent="0.35">
      <c r="A76" s="4" t="str">
        <f>IF('All Cases - Enter Cases'!$K76="Approved",'All Cases - Enter Cases'!A76,"")</f>
        <v/>
      </c>
      <c r="B76" s="4" t="str">
        <f>IF($N76&lt;&gt;"",$N76,IF($A76&lt;&gt;"",'All Cases - Enter Cases'!$L76+7,""))</f>
        <v/>
      </c>
      <c r="C76" t="str">
        <f>IF($A76&lt;&gt;"",'All Cases - Enter Cases'!B76,"")</f>
        <v/>
      </c>
      <c r="D76" t="str">
        <f>IF($A76&lt;&gt;"",'All Cases - Enter Cases'!C76,"")</f>
        <v/>
      </c>
      <c r="E76" t="str">
        <f>IF($A76&lt;&gt;"",'All Cases - Enter Cases'!D76,"")</f>
        <v/>
      </c>
      <c r="F76" s="12" t="str">
        <f>IF($A76&lt;&gt;"",'All Cases - Enter Cases'!E76,"")</f>
        <v/>
      </c>
      <c r="G76" s="12" t="str">
        <f>IF($A76&lt;&gt;"",'All Cases - Enter Cases'!F76,"")</f>
        <v/>
      </c>
      <c r="H76" s="4" t="str">
        <f>IF($A76&lt;&gt;"",'All Cases - Enter Cases'!G76,"")</f>
        <v/>
      </c>
      <c r="I76" t="str">
        <f>IF($A76&lt;&gt;"",'All Cases - Enter Cases'!H76,"")</f>
        <v/>
      </c>
      <c r="J76" t="str">
        <f>IF($A76&lt;&gt;"",'All Cases - Enter Cases'!I76,"")</f>
        <v/>
      </c>
      <c r="K76" t="str">
        <f>IF($A76&lt;&gt;"",'All Cases - Enter Cases'!J76,"")</f>
        <v/>
      </c>
      <c r="L76" s="4" t="str">
        <f>IF($A76&lt;&gt;"",'All Cases - Enter Cases'!K76,"")</f>
        <v/>
      </c>
      <c r="M76" t="str">
        <f>IF($A76&lt;&gt;"",'All Cases - Enter Cases'!L76,"")</f>
        <v/>
      </c>
    </row>
    <row r="77" spans="1:13" x14ac:dyDescent="0.35">
      <c r="A77" s="4" t="str">
        <f>IF('All Cases - Enter Cases'!$K77="Approved",'All Cases - Enter Cases'!A77,"")</f>
        <v/>
      </c>
      <c r="B77" s="4" t="str">
        <f>IF($N77&lt;&gt;"",$N77,IF($A77&lt;&gt;"",'All Cases - Enter Cases'!$L77+7,""))</f>
        <v/>
      </c>
      <c r="C77" t="str">
        <f>IF($A77&lt;&gt;"",'All Cases - Enter Cases'!B77,"")</f>
        <v/>
      </c>
      <c r="D77" t="str">
        <f>IF($A77&lt;&gt;"",'All Cases - Enter Cases'!C77,"")</f>
        <v/>
      </c>
      <c r="E77" t="str">
        <f>IF($A77&lt;&gt;"",'All Cases - Enter Cases'!D77,"")</f>
        <v/>
      </c>
      <c r="F77" s="12" t="str">
        <f>IF($A77&lt;&gt;"",'All Cases - Enter Cases'!E77,"")</f>
        <v/>
      </c>
      <c r="G77" s="12" t="str">
        <f>IF($A77&lt;&gt;"",'All Cases - Enter Cases'!F77,"")</f>
        <v/>
      </c>
      <c r="H77" s="4" t="str">
        <f>IF($A77&lt;&gt;"",'All Cases - Enter Cases'!G77,"")</f>
        <v/>
      </c>
      <c r="I77" t="str">
        <f>IF($A77&lt;&gt;"",'All Cases - Enter Cases'!H77,"")</f>
        <v/>
      </c>
      <c r="J77" t="str">
        <f>IF($A77&lt;&gt;"",'All Cases - Enter Cases'!I77,"")</f>
        <v/>
      </c>
      <c r="K77" t="str">
        <f>IF($A77&lt;&gt;"",'All Cases - Enter Cases'!J77,"")</f>
        <v/>
      </c>
      <c r="L77" s="4" t="str">
        <f>IF($A77&lt;&gt;"",'All Cases - Enter Cases'!K77,"")</f>
        <v/>
      </c>
      <c r="M77" t="str">
        <f>IF($A77&lt;&gt;"",'All Cases - Enter Cases'!L77,"")</f>
        <v/>
      </c>
    </row>
    <row r="78" spans="1:13" x14ac:dyDescent="0.35">
      <c r="A78" s="4" t="str">
        <f>IF('All Cases - Enter Cases'!$K78="Approved",'All Cases - Enter Cases'!A78,"")</f>
        <v/>
      </c>
      <c r="B78" s="4" t="str">
        <f>IF($N78&lt;&gt;"",$N78,IF($A78&lt;&gt;"",'All Cases - Enter Cases'!$L78+7,""))</f>
        <v/>
      </c>
      <c r="C78" t="str">
        <f>IF($A78&lt;&gt;"",'All Cases - Enter Cases'!B78,"")</f>
        <v/>
      </c>
      <c r="D78" t="str">
        <f>IF($A78&lt;&gt;"",'All Cases - Enter Cases'!C78,"")</f>
        <v/>
      </c>
      <c r="E78" t="str">
        <f>IF($A78&lt;&gt;"",'All Cases - Enter Cases'!D78,"")</f>
        <v/>
      </c>
      <c r="F78" s="12" t="str">
        <f>IF($A78&lt;&gt;"",'All Cases - Enter Cases'!E78,"")</f>
        <v/>
      </c>
      <c r="G78" s="12" t="str">
        <f>IF($A78&lt;&gt;"",'All Cases - Enter Cases'!F78,"")</f>
        <v/>
      </c>
      <c r="H78" s="4" t="str">
        <f>IF($A78&lt;&gt;"",'All Cases - Enter Cases'!G78,"")</f>
        <v/>
      </c>
      <c r="I78" t="str">
        <f>IF($A78&lt;&gt;"",'All Cases - Enter Cases'!H78,"")</f>
        <v/>
      </c>
      <c r="J78" t="str">
        <f>IF($A78&lt;&gt;"",'All Cases - Enter Cases'!I78,"")</f>
        <v/>
      </c>
      <c r="K78" t="str">
        <f>IF($A78&lt;&gt;"",'All Cases - Enter Cases'!J78,"")</f>
        <v/>
      </c>
      <c r="L78" s="4" t="str">
        <f>IF($A78&lt;&gt;"",'All Cases - Enter Cases'!K78,"")</f>
        <v/>
      </c>
      <c r="M78" t="str">
        <f>IF($A78&lt;&gt;"",'All Cases - Enter Cases'!L78,"")</f>
        <v/>
      </c>
    </row>
    <row r="79" spans="1:13" x14ac:dyDescent="0.35">
      <c r="A79" s="4" t="str">
        <f>IF('All Cases - Enter Cases'!$K79="Approved",'All Cases - Enter Cases'!A79,"")</f>
        <v/>
      </c>
      <c r="B79" s="4" t="str">
        <f>IF($N79&lt;&gt;"",$N79,IF($A79&lt;&gt;"",'All Cases - Enter Cases'!$L79+7,""))</f>
        <v/>
      </c>
      <c r="C79" t="str">
        <f>IF($A79&lt;&gt;"",'All Cases - Enter Cases'!B79,"")</f>
        <v/>
      </c>
      <c r="D79" t="str">
        <f>IF($A79&lt;&gt;"",'All Cases - Enter Cases'!C79,"")</f>
        <v/>
      </c>
      <c r="E79" t="str">
        <f>IF($A79&lt;&gt;"",'All Cases - Enter Cases'!D79,"")</f>
        <v/>
      </c>
      <c r="F79" s="12" t="str">
        <f>IF($A79&lt;&gt;"",'All Cases - Enter Cases'!E79,"")</f>
        <v/>
      </c>
      <c r="G79" s="12" t="str">
        <f>IF($A79&lt;&gt;"",'All Cases - Enter Cases'!F79,"")</f>
        <v/>
      </c>
      <c r="H79" s="4" t="str">
        <f>IF($A79&lt;&gt;"",'All Cases - Enter Cases'!G79,"")</f>
        <v/>
      </c>
      <c r="I79" t="str">
        <f>IF($A79&lt;&gt;"",'All Cases - Enter Cases'!H79,"")</f>
        <v/>
      </c>
      <c r="J79" t="str">
        <f>IF($A79&lt;&gt;"",'All Cases - Enter Cases'!I79,"")</f>
        <v/>
      </c>
      <c r="K79" t="str">
        <f>IF($A79&lt;&gt;"",'All Cases - Enter Cases'!J79,"")</f>
        <v/>
      </c>
      <c r="L79" s="4" t="str">
        <f>IF($A79&lt;&gt;"",'All Cases - Enter Cases'!K79,"")</f>
        <v/>
      </c>
      <c r="M79" t="str">
        <f>IF($A79&lt;&gt;"",'All Cases - Enter Cases'!L79,"")</f>
        <v/>
      </c>
    </row>
    <row r="80" spans="1:13" x14ac:dyDescent="0.35">
      <c r="A80" s="4" t="str">
        <f>IF('All Cases - Enter Cases'!$K80="Approved",'All Cases - Enter Cases'!A80,"")</f>
        <v/>
      </c>
      <c r="B80" s="4" t="str">
        <f>IF($N80&lt;&gt;"",$N80,IF($A80&lt;&gt;"",'All Cases - Enter Cases'!$L80+7,""))</f>
        <v/>
      </c>
      <c r="C80" t="str">
        <f>IF($A80&lt;&gt;"",'All Cases - Enter Cases'!B80,"")</f>
        <v/>
      </c>
      <c r="D80" t="str">
        <f>IF($A80&lt;&gt;"",'All Cases - Enter Cases'!C80,"")</f>
        <v/>
      </c>
      <c r="E80" t="str">
        <f>IF($A80&lt;&gt;"",'All Cases - Enter Cases'!D80,"")</f>
        <v/>
      </c>
      <c r="F80" s="12" t="str">
        <f>IF($A80&lt;&gt;"",'All Cases - Enter Cases'!E80,"")</f>
        <v/>
      </c>
      <c r="G80" s="12" t="str">
        <f>IF($A80&lt;&gt;"",'All Cases - Enter Cases'!F80,"")</f>
        <v/>
      </c>
      <c r="H80" s="4" t="str">
        <f>IF($A80&lt;&gt;"",'All Cases - Enter Cases'!G80,"")</f>
        <v/>
      </c>
      <c r="I80" t="str">
        <f>IF($A80&lt;&gt;"",'All Cases - Enter Cases'!H80,"")</f>
        <v/>
      </c>
      <c r="J80" t="str">
        <f>IF($A80&lt;&gt;"",'All Cases - Enter Cases'!I80,"")</f>
        <v/>
      </c>
      <c r="K80" t="str">
        <f>IF($A80&lt;&gt;"",'All Cases - Enter Cases'!J80,"")</f>
        <v/>
      </c>
      <c r="L80" s="4" t="str">
        <f>IF($A80&lt;&gt;"",'All Cases - Enter Cases'!K80,"")</f>
        <v/>
      </c>
      <c r="M80" t="str">
        <f>IF($A80&lt;&gt;"",'All Cases - Enter Cases'!L80,"")</f>
        <v/>
      </c>
    </row>
    <row r="81" spans="1:13" x14ac:dyDescent="0.35">
      <c r="A81" s="4" t="str">
        <f>IF('All Cases - Enter Cases'!$K81="Approved",'All Cases - Enter Cases'!A81,"")</f>
        <v/>
      </c>
      <c r="B81" s="4" t="str">
        <f>IF($N81&lt;&gt;"",$N81,IF($A81&lt;&gt;"",'All Cases - Enter Cases'!$L81+7,""))</f>
        <v/>
      </c>
      <c r="C81" t="str">
        <f>IF($A81&lt;&gt;"",'All Cases - Enter Cases'!B81,"")</f>
        <v/>
      </c>
      <c r="D81" t="str">
        <f>IF($A81&lt;&gt;"",'All Cases - Enter Cases'!C81,"")</f>
        <v/>
      </c>
      <c r="E81" t="str">
        <f>IF($A81&lt;&gt;"",'All Cases - Enter Cases'!D81,"")</f>
        <v/>
      </c>
      <c r="F81" s="12" t="str">
        <f>IF($A81&lt;&gt;"",'All Cases - Enter Cases'!E81,"")</f>
        <v/>
      </c>
      <c r="G81" s="12" t="str">
        <f>IF($A81&lt;&gt;"",'All Cases - Enter Cases'!F81,"")</f>
        <v/>
      </c>
      <c r="H81" s="4" t="str">
        <f>IF($A81&lt;&gt;"",'All Cases - Enter Cases'!G81,"")</f>
        <v/>
      </c>
      <c r="I81" t="str">
        <f>IF($A81&lt;&gt;"",'All Cases - Enter Cases'!H81,"")</f>
        <v/>
      </c>
      <c r="J81" t="str">
        <f>IF($A81&lt;&gt;"",'All Cases - Enter Cases'!I81,"")</f>
        <v/>
      </c>
      <c r="K81" t="str">
        <f>IF($A81&lt;&gt;"",'All Cases - Enter Cases'!J81,"")</f>
        <v/>
      </c>
      <c r="L81" s="4" t="str">
        <f>IF($A81&lt;&gt;"",'All Cases - Enter Cases'!K81,"")</f>
        <v/>
      </c>
      <c r="M81" t="str">
        <f>IF($A81&lt;&gt;"",'All Cases - Enter Cases'!L81,"")</f>
        <v/>
      </c>
    </row>
    <row r="82" spans="1:13" x14ac:dyDescent="0.35">
      <c r="A82" s="4" t="str">
        <f>IF('All Cases - Enter Cases'!$K82="Approved",'All Cases - Enter Cases'!A82,"")</f>
        <v/>
      </c>
      <c r="B82" s="4" t="str">
        <f>IF($N82&lt;&gt;"",$N82,IF($A82&lt;&gt;"",'All Cases - Enter Cases'!$L82+7,""))</f>
        <v/>
      </c>
      <c r="C82" t="str">
        <f>IF($A82&lt;&gt;"",'All Cases - Enter Cases'!B82,"")</f>
        <v/>
      </c>
      <c r="D82" t="str">
        <f>IF($A82&lt;&gt;"",'All Cases - Enter Cases'!C82,"")</f>
        <v/>
      </c>
      <c r="E82" t="str">
        <f>IF($A82&lt;&gt;"",'All Cases - Enter Cases'!D82,"")</f>
        <v/>
      </c>
      <c r="F82" s="12" t="str">
        <f>IF($A82&lt;&gt;"",'All Cases - Enter Cases'!E82,"")</f>
        <v/>
      </c>
      <c r="G82" s="12" t="str">
        <f>IF($A82&lt;&gt;"",'All Cases - Enter Cases'!F82,"")</f>
        <v/>
      </c>
      <c r="H82" s="4" t="str">
        <f>IF($A82&lt;&gt;"",'All Cases - Enter Cases'!G82,"")</f>
        <v/>
      </c>
      <c r="I82" t="str">
        <f>IF($A82&lt;&gt;"",'All Cases - Enter Cases'!H82,"")</f>
        <v/>
      </c>
      <c r="J82" t="str">
        <f>IF($A82&lt;&gt;"",'All Cases - Enter Cases'!I82,"")</f>
        <v/>
      </c>
      <c r="K82" t="str">
        <f>IF($A82&lt;&gt;"",'All Cases - Enter Cases'!J82,"")</f>
        <v/>
      </c>
      <c r="L82" s="4" t="str">
        <f>IF($A82&lt;&gt;"",'All Cases - Enter Cases'!K82,"")</f>
        <v/>
      </c>
      <c r="M82" t="str">
        <f>IF($A82&lt;&gt;"",'All Cases - Enter Cases'!L82,"")</f>
        <v/>
      </c>
    </row>
    <row r="83" spans="1:13" x14ac:dyDescent="0.35">
      <c r="A83" s="4" t="str">
        <f>IF('All Cases - Enter Cases'!$K83="Approved",'All Cases - Enter Cases'!A83,"")</f>
        <v/>
      </c>
      <c r="B83" s="4" t="str">
        <f>IF($N83&lt;&gt;"",$N83,IF($A83&lt;&gt;"",'All Cases - Enter Cases'!$L83+7,""))</f>
        <v/>
      </c>
      <c r="C83" t="str">
        <f>IF($A83&lt;&gt;"",'All Cases - Enter Cases'!B83,"")</f>
        <v/>
      </c>
      <c r="D83" t="str">
        <f>IF($A83&lt;&gt;"",'All Cases - Enter Cases'!C83,"")</f>
        <v/>
      </c>
      <c r="E83" t="str">
        <f>IF($A83&lt;&gt;"",'All Cases - Enter Cases'!D83,"")</f>
        <v/>
      </c>
      <c r="F83" s="12" t="str">
        <f>IF($A83&lt;&gt;"",'All Cases - Enter Cases'!E83,"")</f>
        <v/>
      </c>
      <c r="G83" s="12" t="str">
        <f>IF($A83&lt;&gt;"",'All Cases - Enter Cases'!F83,"")</f>
        <v/>
      </c>
      <c r="H83" s="4" t="str">
        <f>IF($A83&lt;&gt;"",'All Cases - Enter Cases'!G83,"")</f>
        <v/>
      </c>
      <c r="I83" t="str">
        <f>IF($A83&lt;&gt;"",'All Cases - Enter Cases'!H83,"")</f>
        <v/>
      </c>
      <c r="J83" t="str">
        <f>IF($A83&lt;&gt;"",'All Cases - Enter Cases'!I83,"")</f>
        <v/>
      </c>
      <c r="K83" t="str">
        <f>IF($A83&lt;&gt;"",'All Cases - Enter Cases'!J83,"")</f>
        <v/>
      </c>
      <c r="L83" s="4" t="str">
        <f>IF($A83&lt;&gt;"",'All Cases - Enter Cases'!K83,"")</f>
        <v/>
      </c>
      <c r="M83" t="str">
        <f>IF($A83&lt;&gt;"",'All Cases - Enter Cases'!L83,"")</f>
        <v/>
      </c>
    </row>
    <row r="84" spans="1:13" x14ac:dyDescent="0.35">
      <c r="A84" s="4" t="str">
        <f>IF('All Cases - Enter Cases'!$K84="Approved",'All Cases - Enter Cases'!A84,"")</f>
        <v/>
      </c>
      <c r="B84" s="4" t="str">
        <f>IF($N84&lt;&gt;"",$N84,IF($A84&lt;&gt;"",'All Cases - Enter Cases'!$L84+7,""))</f>
        <v/>
      </c>
      <c r="C84" t="str">
        <f>IF($A84&lt;&gt;"",'All Cases - Enter Cases'!B84,"")</f>
        <v/>
      </c>
      <c r="D84" t="str">
        <f>IF($A84&lt;&gt;"",'All Cases - Enter Cases'!C84,"")</f>
        <v/>
      </c>
      <c r="E84" t="str">
        <f>IF($A84&lt;&gt;"",'All Cases - Enter Cases'!D84,"")</f>
        <v/>
      </c>
      <c r="F84" s="12" t="str">
        <f>IF($A84&lt;&gt;"",'All Cases - Enter Cases'!E84,"")</f>
        <v/>
      </c>
      <c r="G84" s="12" t="str">
        <f>IF($A84&lt;&gt;"",'All Cases - Enter Cases'!F84,"")</f>
        <v/>
      </c>
      <c r="H84" s="4" t="str">
        <f>IF($A84&lt;&gt;"",'All Cases - Enter Cases'!G84,"")</f>
        <v/>
      </c>
      <c r="I84" t="str">
        <f>IF($A84&lt;&gt;"",'All Cases - Enter Cases'!H84,"")</f>
        <v/>
      </c>
      <c r="J84" t="str">
        <f>IF($A84&lt;&gt;"",'All Cases - Enter Cases'!I84,"")</f>
        <v/>
      </c>
      <c r="K84" t="str">
        <f>IF($A84&lt;&gt;"",'All Cases - Enter Cases'!J84,"")</f>
        <v/>
      </c>
      <c r="L84" s="4" t="str">
        <f>IF($A84&lt;&gt;"",'All Cases - Enter Cases'!K84,"")</f>
        <v/>
      </c>
      <c r="M84" t="str">
        <f>IF($A84&lt;&gt;"",'All Cases - Enter Cases'!L84,"")</f>
        <v/>
      </c>
    </row>
    <row r="85" spans="1:13" x14ac:dyDescent="0.35">
      <c r="A85" s="4" t="str">
        <f>IF('All Cases - Enter Cases'!$K85="Approved",'All Cases - Enter Cases'!A85,"")</f>
        <v/>
      </c>
      <c r="B85" s="4" t="str">
        <f>IF($N85&lt;&gt;"",$N85,IF($A85&lt;&gt;"",'All Cases - Enter Cases'!$L85+7,""))</f>
        <v/>
      </c>
      <c r="C85" t="str">
        <f>IF($A85&lt;&gt;"",'All Cases - Enter Cases'!B85,"")</f>
        <v/>
      </c>
      <c r="D85" t="str">
        <f>IF($A85&lt;&gt;"",'All Cases - Enter Cases'!C85,"")</f>
        <v/>
      </c>
      <c r="E85" t="str">
        <f>IF($A85&lt;&gt;"",'All Cases - Enter Cases'!D85,"")</f>
        <v/>
      </c>
      <c r="F85" s="12" t="str">
        <f>IF($A85&lt;&gt;"",'All Cases - Enter Cases'!E85,"")</f>
        <v/>
      </c>
      <c r="G85" s="12" t="str">
        <f>IF($A85&lt;&gt;"",'All Cases - Enter Cases'!F85,"")</f>
        <v/>
      </c>
      <c r="H85" s="4" t="str">
        <f>IF($A85&lt;&gt;"",'All Cases - Enter Cases'!G85,"")</f>
        <v/>
      </c>
      <c r="I85" t="str">
        <f>IF($A85&lt;&gt;"",'All Cases - Enter Cases'!H85,"")</f>
        <v/>
      </c>
      <c r="J85" t="str">
        <f>IF($A85&lt;&gt;"",'All Cases - Enter Cases'!I85,"")</f>
        <v/>
      </c>
      <c r="K85" t="str">
        <f>IF($A85&lt;&gt;"",'All Cases - Enter Cases'!J85,"")</f>
        <v/>
      </c>
      <c r="L85" s="4" t="str">
        <f>IF($A85&lt;&gt;"",'All Cases - Enter Cases'!K85,"")</f>
        <v/>
      </c>
      <c r="M85" t="str">
        <f>IF($A85&lt;&gt;"",'All Cases - Enter Cases'!L85,"")</f>
        <v/>
      </c>
    </row>
    <row r="86" spans="1:13" x14ac:dyDescent="0.35">
      <c r="A86" s="4" t="str">
        <f>IF('All Cases - Enter Cases'!$K86="Approved",'All Cases - Enter Cases'!A86,"")</f>
        <v/>
      </c>
      <c r="B86" s="4" t="str">
        <f>IF($N86&lt;&gt;"",$N86,IF($A86&lt;&gt;"",'All Cases - Enter Cases'!$L86+7,""))</f>
        <v/>
      </c>
      <c r="C86" t="str">
        <f>IF($A86&lt;&gt;"",'All Cases - Enter Cases'!B86,"")</f>
        <v/>
      </c>
      <c r="D86" t="str">
        <f>IF($A86&lt;&gt;"",'All Cases - Enter Cases'!C86,"")</f>
        <v/>
      </c>
      <c r="E86" t="str">
        <f>IF($A86&lt;&gt;"",'All Cases - Enter Cases'!D86,"")</f>
        <v/>
      </c>
      <c r="F86" s="12" t="str">
        <f>IF($A86&lt;&gt;"",'All Cases - Enter Cases'!E86,"")</f>
        <v/>
      </c>
      <c r="G86" s="12" t="str">
        <f>IF($A86&lt;&gt;"",'All Cases - Enter Cases'!F86,"")</f>
        <v/>
      </c>
      <c r="H86" s="4" t="str">
        <f>IF($A86&lt;&gt;"",'All Cases - Enter Cases'!G86,"")</f>
        <v/>
      </c>
      <c r="I86" t="str">
        <f>IF($A86&lt;&gt;"",'All Cases - Enter Cases'!H86,"")</f>
        <v/>
      </c>
      <c r="J86" t="str">
        <f>IF($A86&lt;&gt;"",'All Cases - Enter Cases'!I86,"")</f>
        <v/>
      </c>
      <c r="K86" t="str">
        <f>IF($A86&lt;&gt;"",'All Cases - Enter Cases'!J86,"")</f>
        <v/>
      </c>
      <c r="L86" s="4" t="str">
        <f>IF($A86&lt;&gt;"",'All Cases - Enter Cases'!K86,"")</f>
        <v/>
      </c>
      <c r="M86" t="str">
        <f>IF($A86&lt;&gt;"",'All Cases - Enter Cases'!L86,"")</f>
        <v/>
      </c>
    </row>
    <row r="87" spans="1:13" x14ac:dyDescent="0.35">
      <c r="A87" s="4" t="str">
        <f>IF('All Cases - Enter Cases'!$K87="Approved",'All Cases - Enter Cases'!A87,"")</f>
        <v/>
      </c>
      <c r="B87" s="4" t="str">
        <f>IF($N87&lt;&gt;"",$N87,IF($A87&lt;&gt;"",'All Cases - Enter Cases'!$L87+7,""))</f>
        <v/>
      </c>
      <c r="C87" t="str">
        <f>IF($A87&lt;&gt;"",'All Cases - Enter Cases'!B87,"")</f>
        <v/>
      </c>
      <c r="D87" t="str">
        <f>IF($A87&lt;&gt;"",'All Cases - Enter Cases'!C87,"")</f>
        <v/>
      </c>
      <c r="E87" t="str">
        <f>IF($A87&lt;&gt;"",'All Cases - Enter Cases'!D87,"")</f>
        <v/>
      </c>
      <c r="F87" s="12" t="str">
        <f>IF($A87&lt;&gt;"",'All Cases - Enter Cases'!E87,"")</f>
        <v/>
      </c>
      <c r="G87" s="12" t="str">
        <f>IF($A87&lt;&gt;"",'All Cases - Enter Cases'!F87,"")</f>
        <v/>
      </c>
      <c r="H87" s="4" t="str">
        <f>IF($A87&lt;&gt;"",'All Cases - Enter Cases'!G87,"")</f>
        <v/>
      </c>
      <c r="I87" t="str">
        <f>IF($A87&lt;&gt;"",'All Cases - Enter Cases'!H87,"")</f>
        <v/>
      </c>
      <c r="J87" t="str">
        <f>IF($A87&lt;&gt;"",'All Cases - Enter Cases'!I87,"")</f>
        <v/>
      </c>
      <c r="K87" t="str">
        <f>IF($A87&lt;&gt;"",'All Cases - Enter Cases'!J87,"")</f>
        <v/>
      </c>
      <c r="L87" s="4" t="str">
        <f>IF($A87&lt;&gt;"",'All Cases - Enter Cases'!K87,"")</f>
        <v/>
      </c>
      <c r="M87" t="str">
        <f>IF($A87&lt;&gt;"",'All Cases - Enter Cases'!L87,"")</f>
        <v/>
      </c>
    </row>
    <row r="88" spans="1:13" x14ac:dyDescent="0.35">
      <c r="A88" s="4" t="str">
        <f>IF('All Cases - Enter Cases'!$K88="Approved",'All Cases - Enter Cases'!A88,"")</f>
        <v/>
      </c>
      <c r="B88" s="4" t="str">
        <f>IF($N88&lt;&gt;"",$N88,IF($A88&lt;&gt;"",'All Cases - Enter Cases'!$L88+7,""))</f>
        <v/>
      </c>
      <c r="C88" t="str">
        <f>IF($A88&lt;&gt;"",'All Cases - Enter Cases'!B88,"")</f>
        <v/>
      </c>
      <c r="D88" t="str">
        <f>IF($A88&lt;&gt;"",'All Cases - Enter Cases'!C88,"")</f>
        <v/>
      </c>
      <c r="E88" t="str">
        <f>IF($A88&lt;&gt;"",'All Cases - Enter Cases'!D88,"")</f>
        <v/>
      </c>
      <c r="F88" s="12" t="str">
        <f>IF($A88&lt;&gt;"",'All Cases - Enter Cases'!E88,"")</f>
        <v/>
      </c>
      <c r="G88" s="12" t="str">
        <f>IF($A88&lt;&gt;"",'All Cases - Enter Cases'!F88,"")</f>
        <v/>
      </c>
      <c r="H88" s="4" t="str">
        <f>IF($A88&lt;&gt;"",'All Cases - Enter Cases'!G88,"")</f>
        <v/>
      </c>
      <c r="I88" t="str">
        <f>IF($A88&lt;&gt;"",'All Cases - Enter Cases'!H88,"")</f>
        <v/>
      </c>
      <c r="J88" t="str">
        <f>IF($A88&lt;&gt;"",'All Cases - Enter Cases'!I88,"")</f>
        <v/>
      </c>
      <c r="K88" t="str">
        <f>IF($A88&lt;&gt;"",'All Cases - Enter Cases'!J88,"")</f>
        <v/>
      </c>
      <c r="L88" s="4" t="str">
        <f>IF($A88&lt;&gt;"",'All Cases - Enter Cases'!K88,"")</f>
        <v/>
      </c>
      <c r="M88" t="str">
        <f>IF($A88&lt;&gt;"",'All Cases - Enter Cases'!L88,"")</f>
        <v/>
      </c>
    </row>
    <row r="89" spans="1:13" x14ac:dyDescent="0.35">
      <c r="A89" s="4" t="str">
        <f>IF('All Cases - Enter Cases'!$K89="Approved",'All Cases - Enter Cases'!A89,"")</f>
        <v/>
      </c>
      <c r="B89" s="4" t="str">
        <f>IF($N89&lt;&gt;"",$N89,IF($A89&lt;&gt;"",'All Cases - Enter Cases'!$L89+7,""))</f>
        <v/>
      </c>
      <c r="C89" t="str">
        <f>IF($A89&lt;&gt;"",'All Cases - Enter Cases'!B89,"")</f>
        <v/>
      </c>
      <c r="D89" t="str">
        <f>IF($A89&lt;&gt;"",'All Cases - Enter Cases'!C89,"")</f>
        <v/>
      </c>
      <c r="E89" t="str">
        <f>IF($A89&lt;&gt;"",'All Cases - Enter Cases'!D89,"")</f>
        <v/>
      </c>
      <c r="F89" s="12" t="str">
        <f>IF($A89&lt;&gt;"",'All Cases - Enter Cases'!E89,"")</f>
        <v/>
      </c>
      <c r="G89" s="12" t="str">
        <f>IF($A89&lt;&gt;"",'All Cases - Enter Cases'!F89,"")</f>
        <v/>
      </c>
      <c r="H89" s="4" t="str">
        <f>IF($A89&lt;&gt;"",'All Cases - Enter Cases'!G89,"")</f>
        <v/>
      </c>
      <c r="I89" t="str">
        <f>IF($A89&lt;&gt;"",'All Cases - Enter Cases'!H89,"")</f>
        <v/>
      </c>
      <c r="J89" t="str">
        <f>IF($A89&lt;&gt;"",'All Cases - Enter Cases'!I89,"")</f>
        <v/>
      </c>
      <c r="K89" t="str">
        <f>IF($A89&lt;&gt;"",'All Cases - Enter Cases'!J89,"")</f>
        <v/>
      </c>
      <c r="L89" s="4" t="str">
        <f>IF($A89&lt;&gt;"",'All Cases - Enter Cases'!K89,"")</f>
        <v/>
      </c>
      <c r="M89" t="str">
        <f>IF($A89&lt;&gt;"",'All Cases - Enter Cases'!L89,"")</f>
        <v/>
      </c>
    </row>
    <row r="90" spans="1:13" x14ac:dyDescent="0.35">
      <c r="A90" s="4" t="str">
        <f>IF('All Cases - Enter Cases'!$K90="Approved",'All Cases - Enter Cases'!A90,"")</f>
        <v/>
      </c>
      <c r="B90" s="4" t="str">
        <f>IF($N90&lt;&gt;"",$N90,IF($A90&lt;&gt;"",'All Cases - Enter Cases'!$L90+7,""))</f>
        <v/>
      </c>
      <c r="C90" t="str">
        <f>IF($A90&lt;&gt;"",'All Cases - Enter Cases'!B90,"")</f>
        <v/>
      </c>
      <c r="D90" t="str">
        <f>IF($A90&lt;&gt;"",'All Cases - Enter Cases'!C90,"")</f>
        <v/>
      </c>
      <c r="E90" t="str">
        <f>IF($A90&lt;&gt;"",'All Cases - Enter Cases'!D90,"")</f>
        <v/>
      </c>
      <c r="F90" s="12" t="str">
        <f>IF($A90&lt;&gt;"",'All Cases - Enter Cases'!E90,"")</f>
        <v/>
      </c>
      <c r="G90" s="12" t="str">
        <f>IF($A90&lt;&gt;"",'All Cases - Enter Cases'!F90,"")</f>
        <v/>
      </c>
      <c r="H90" s="4" t="str">
        <f>IF($A90&lt;&gt;"",'All Cases - Enter Cases'!G90,"")</f>
        <v/>
      </c>
      <c r="I90" t="str">
        <f>IF($A90&lt;&gt;"",'All Cases - Enter Cases'!H90,"")</f>
        <v/>
      </c>
      <c r="J90" t="str">
        <f>IF($A90&lt;&gt;"",'All Cases - Enter Cases'!I90,"")</f>
        <v/>
      </c>
      <c r="K90" t="str">
        <f>IF($A90&lt;&gt;"",'All Cases - Enter Cases'!J90,"")</f>
        <v/>
      </c>
      <c r="L90" s="4" t="str">
        <f>IF($A90&lt;&gt;"",'All Cases - Enter Cases'!K90,"")</f>
        <v/>
      </c>
      <c r="M90" t="str">
        <f>IF($A90&lt;&gt;"",'All Cases - Enter Cases'!L90,"")</f>
        <v/>
      </c>
    </row>
    <row r="91" spans="1:13" x14ac:dyDescent="0.35">
      <c r="A91" s="4" t="str">
        <f>IF('All Cases - Enter Cases'!$K91="Approved",'All Cases - Enter Cases'!A91,"")</f>
        <v/>
      </c>
      <c r="B91" s="4" t="str">
        <f>IF($N91&lt;&gt;"",$N91,IF($A91&lt;&gt;"",'All Cases - Enter Cases'!$L91+7,""))</f>
        <v/>
      </c>
      <c r="C91" t="str">
        <f>IF($A91&lt;&gt;"",'All Cases - Enter Cases'!B91,"")</f>
        <v/>
      </c>
      <c r="D91" t="str">
        <f>IF($A91&lt;&gt;"",'All Cases - Enter Cases'!C91,"")</f>
        <v/>
      </c>
      <c r="E91" t="str">
        <f>IF($A91&lt;&gt;"",'All Cases - Enter Cases'!D91,"")</f>
        <v/>
      </c>
      <c r="F91" s="12" t="str">
        <f>IF($A91&lt;&gt;"",'All Cases - Enter Cases'!E91,"")</f>
        <v/>
      </c>
      <c r="G91" s="12" t="str">
        <f>IF($A91&lt;&gt;"",'All Cases - Enter Cases'!F91,"")</f>
        <v/>
      </c>
      <c r="H91" s="4" t="str">
        <f>IF($A91&lt;&gt;"",'All Cases - Enter Cases'!G91,"")</f>
        <v/>
      </c>
      <c r="I91" t="str">
        <f>IF($A91&lt;&gt;"",'All Cases - Enter Cases'!H91,"")</f>
        <v/>
      </c>
      <c r="J91" t="str">
        <f>IF($A91&lt;&gt;"",'All Cases - Enter Cases'!I91,"")</f>
        <v/>
      </c>
      <c r="K91" t="str">
        <f>IF($A91&lt;&gt;"",'All Cases - Enter Cases'!J91,"")</f>
        <v/>
      </c>
      <c r="L91" s="4" t="str">
        <f>IF($A91&lt;&gt;"",'All Cases - Enter Cases'!K91,"")</f>
        <v/>
      </c>
      <c r="M91" t="str">
        <f>IF($A91&lt;&gt;"",'All Cases - Enter Cases'!L91,"")</f>
        <v/>
      </c>
    </row>
    <row r="92" spans="1:13" x14ac:dyDescent="0.35">
      <c r="A92" s="4" t="str">
        <f>IF('All Cases - Enter Cases'!$K92="Approved",'All Cases - Enter Cases'!A92,"")</f>
        <v/>
      </c>
      <c r="B92" s="4" t="str">
        <f>IF($N92&lt;&gt;"",$N92,IF($A92&lt;&gt;"",'All Cases - Enter Cases'!$L92+7,""))</f>
        <v/>
      </c>
      <c r="C92" t="str">
        <f>IF($A92&lt;&gt;"",'All Cases - Enter Cases'!B92,"")</f>
        <v/>
      </c>
      <c r="D92" t="str">
        <f>IF($A92&lt;&gt;"",'All Cases - Enter Cases'!C92,"")</f>
        <v/>
      </c>
      <c r="E92" t="str">
        <f>IF($A92&lt;&gt;"",'All Cases - Enter Cases'!D92,"")</f>
        <v/>
      </c>
      <c r="F92" s="12" t="str">
        <f>IF($A92&lt;&gt;"",'All Cases - Enter Cases'!E92,"")</f>
        <v/>
      </c>
      <c r="G92" s="12" t="str">
        <f>IF($A92&lt;&gt;"",'All Cases - Enter Cases'!F92,"")</f>
        <v/>
      </c>
      <c r="H92" s="4" t="str">
        <f>IF($A92&lt;&gt;"",'All Cases - Enter Cases'!G92,"")</f>
        <v/>
      </c>
      <c r="I92" t="str">
        <f>IF($A92&lt;&gt;"",'All Cases - Enter Cases'!H92,"")</f>
        <v/>
      </c>
      <c r="J92" t="str">
        <f>IF($A92&lt;&gt;"",'All Cases - Enter Cases'!I92,"")</f>
        <v/>
      </c>
      <c r="K92" t="str">
        <f>IF($A92&lt;&gt;"",'All Cases - Enter Cases'!J92,"")</f>
        <v/>
      </c>
      <c r="L92" s="4" t="str">
        <f>IF($A92&lt;&gt;"",'All Cases - Enter Cases'!K92,"")</f>
        <v/>
      </c>
      <c r="M92" t="str">
        <f>IF($A92&lt;&gt;"",'All Cases - Enter Cases'!L92,"")</f>
        <v/>
      </c>
    </row>
    <row r="93" spans="1:13" x14ac:dyDescent="0.35">
      <c r="A93" s="4" t="str">
        <f>IF('All Cases - Enter Cases'!$K93="Approved",'All Cases - Enter Cases'!A93,"")</f>
        <v/>
      </c>
      <c r="B93" s="4" t="str">
        <f>IF($N93&lt;&gt;"",$N93,IF($A93&lt;&gt;"",'All Cases - Enter Cases'!$L93+7,""))</f>
        <v/>
      </c>
      <c r="C93" t="str">
        <f>IF($A93&lt;&gt;"",'All Cases - Enter Cases'!B93,"")</f>
        <v/>
      </c>
      <c r="D93" t="str">
        <f>IF($A93&lt;&gt;"",'All Cases - Enter Cases'!C93,"")</f>
        <v/>
      </c>
      <c r="E93" t="str">
        <f>IF($A93&lt;&gt;"",'All Cases - Enter Cases'!D93,"")</f>
        <v/>
      </c>
      <c r="F93" s="12" t="str">
        <f>IF($A93&lt;&gt;"",'All Cases - Enter Cases'!E93,"")</f>
        <v/>
      </c>
      <c r="G93" s="12" t="str">
        <f>IF($A93&lt;&gt;"",'All Cases - Enter Cases'!F93,"")</f>
        <v/>
      </c>
      <c r="H93" s="4" t="str">
        <f>IF($A93&lt;&gt;"",'All Cases - Enter Cases'!G93,"")</f>
        <v/>
      </c>
      <c r="I93" t="str">
        <f>IF($A93&lt;&gt;"",'All Cases - Enter Cases'!H93,"")</f>
        <v/>
      </c>
      <c r="J93" t="str">
        <f>IF($A93&lt;&gt;"",'All Cases - Enter Cases'!I93,"")</f>
        <v/>
      </c>
      <c r="K93" t="str">
        <f>IF($A93&lt;&gt;"",'All Cases - Enter Cases'!J93,"")</f>
        <v/>
      </c>
      <c r="L93" s="4" t="str">
        <f>IF($A93&lt;&gt;"",'All Cases - Enter Cases'!K93,"")</f>
        <v/>
      </c>
      <c r="M93" t="str">
        <f>IF($A93&lt;&gt;"",'All Cases - Enter Cases'!L93,"")</f>
        <v/>
      </c>
    </row>
    <row r="94" spans="1:13" x14ac:dyDescent="0.35">
      <c r="A94" s="4" t="str">
        <f>IF('All Cases - Enter Cases'!$K94="Approved",'All Cases - Enter Cases'!A94,"")</f>
        <v/>
      </c>
      <c r="B94" s="4" t="str">
        <f>IF($N94&lt;&gt;"",$N94,IF($A94&lt;&gt;"",'All Cases - Enter Cases'!$L94+7,""))</f>
        <v/>
      </c>
      <c r="C94" t="str">
        <f>IF($A94&lt;&gt;"",'All Cases - Enter Cases'!B94,"")</f>
        <v/>
      </c>
      <c r="D94" t="str">
        <f>IF($A94&lt;&gt;"",'All Cases - Enter Cases'!C94,"")</f>
        <v/>
      </c>
      <c r="E94" t="str">
        <f>IF($A94&lt;&gt;"",'All Cases - Enter Cases'!D94,"")</f>
        <v/>
      </c>
      <c r="F94" s="12" t="str">
        <f>IF($A94&lt;&gt;"",'All Cases - Enter Cases'!E94,"")</f>
        <v/>
      </c>
      <c r="G94" s="12" t="str">
        <f>IF($A94&lt;&gt;"",'All Cases - Enter Cases'!F94,"")</f>
        <v/>
      </c>
      <c r="H94" s="4" t="str">
        <f>IF($A94&lt;&gt;"",'All Cases - Enter Cases'!G94,"")</f>
        <v/>
      </c>
      <c r="I94" t="str">
        <f>IF($A94&lt;&gt;"",'All Cases - Enter Cases'!H94,"")</f>
        <v/>
      </c>
      <c r="J94" t="str">
        <f>IF($A94&lt;&gt;"",'All Cases - Enter Cases'!I94,"")</f>
        <v/>
      </c>
      <c r="K94" t="str">
        <f>IF($A94&lt;&gt;"",'All Cases - Enter Cases'!J94,"")</f>
        <v/>
      </c>
      <c r="L94" s="4" t="str">
        <f>IF($A94&lt;&gt;"",'All Cases - Enter Cases'!K94,"")</f>
        <v/>
      </c>
      <c r="M94" t="str">
        <f>IF($A94&lt;&gt;"",'All Cases - Enter Cases'!L94,"")</f>
        <v/>
      </c>
    </row>
    <row r="95" spans="1:13" x14ac:dyDescent="0.35">
      <c r="A95" s="4" t="str">
        <f>IF('All Cases - Enter Cases'!$K95="Approved",'All Cases - Enter Cases'!A95,"")</f>
        <v/>
      </c>
      <c r="B95" s="4" t="str">
        <f>IF($N95&lt;&gt;"",$N95,IF($A95&lt;&gt;"",'All Cases - Enter Cases'!$L95+7,""))</f>
        <v/>
      </c>
      <c r="C95" t="str">
        <f>IF($A95&lt;&gt;"",'All Cases - Enter Cases'!B95,"")</f>
        <v/>
      </c>
      <c r="D95" t="str">
        <f>IF($A95&lt;&gt;"",'All Cases - Enter Cases'!C95,"")</f>
        <v/>
      </c>
      <c r="E95" t="str">
        <f>IF($A95&lt;&gt;"",'All Cases - Enter Cases'!D95,"")</f>
        <v/>
      </c>
      <c r="F95" s="12" t="str">
        <f>IF($A95&lt;&gt;"",'All Cases - Enter Cases'!E95,"")</f>
        <v/>
      </c>
      <c r="G95" s="12" t="str">
        <f>IF($A95&lt;&gt;"",'All Cases - Enter Cases'!F95,"")</f>
        <v/>
      </c>
      <c r="H95" s="4" t="str">
        <f>IF($A95&lt;&gt;"",'All Cases - Enter Cases'!G95,"")</f>
        <v/>
      </c>
      <c r="I95" t="str">
        <f>IF($A95&lt;&gt;"",'All Cases - Enter Cases'!H95,"")</f>
        <v/>
      </c>
      <c r="J95" t="str">
        <f>IF($A95&lt;&gt;"",'All Cases - Enter Cases'!I95,"")</f>
        <v/>
      </c>
      <c r="K95" t="str">
        <f>IF($A95&lt;&gt;"",'All Cases - Enter Cases'!J95,"")</f>
        <v/>
      </c>
      <c r="L95" s="4" t="str">
        <f>IF($A95&lt;&gt;"",'All Cases - Enter Cases'!K95,"")</f>
        <v/>
      </c>
      <c r="M95" t="str">
        <f>IF($A95&lt;&gt;"",'All Cases - Enter Cases'!L95,"")</f>
        <v/>
      </c>
    </row>
    <row r="96" spans="1:13" x14ac:dyDescent="0.35">
      <c r="A96" s="4" t="str">
        <f>IF('All Cases - Enter Cases'!$K96="Approved",'All Cases - Enter Cases'!A96,"")</f>
        <v/>
      </c>
      <c r="B96" s="4" t="str">
        <f>IF($N96&lt;&gt;"",$N96,IF($A96&lt;&gt;"",'All Cases - Enter Cases'!$L96+7,""))</f>
        <v/>
      </c>
      <c r="C96" t="str">
        <f>IF($A96&lt;&gt;"",'All Cases - Enter Cases'!B96,"")</f>
        <v/>
      </c>
      <c r="D96" t="str">
        <f>IF($A96&lt;&gt;"",'All Cases - Enter Cases'!C96,"")</f>
        <v/>
      </c>
      <c r="E96" t="str">
        <f>IF($A96&lt;&gt;"",'All Cases - Enter Cases'!D96,"")</f>
        <v/>
      </c>
      <c r="F96" s="12" t="str">
        <f>IF($A96&lt;&gt;"",'All Cases - Enter Cases'!E96,"")</f>
        <v/>
      </c>
      <c r="G96" s="12" t="str">
        <f>IF($A96&lt;&gt;"",'All Cases - Enter Cases'!F96,"")</f>
        <v/>
      </c>
      <c r="H96" s="4" t="str">
        <f>IF($A96&lt;&gt;"",'All Cases - Enter Cases'!G96,"")</f>
        <v/>
      </c>
      <c r="I96" t="str">
        <f>IF($A96&lt;&gt;"",'All Cases - Enter Cases'!H96,"")</f>
        <v/>
      </c>
      <c r="J96" t="str">
        <f>IF($A96&lt;&gt;"",'All Cases - Enter Cases'!I96,"")</f>
        <v/>
      </c>
      <c r="K96" t="str">
        <f>IF($A96&lt;&gt;"",'All Cases - Enter Cases'!J96,"")</f>
        <v/>
      </c>
      <c r="L96" s="4" t="str">
        <f>IF($A96&lt;&gt;"",'All Cases - Enter Cases'!K96,"")</f>
        <v/>
      </c>
      <c r="M96" t="str">
        <f>IF($A96&lt;&gt;"",'All Cases - Enter Cases'!L96,"")</f>
        <v/>
      </c>
    </row>
    <row r="97" spans="1:13" x14ac:dyDescent="0.35">
      <c r="A97" s="4" t="str">
        <f>IF('All Cases - Enter Cases'!$K97="Approved",'All Cases - Enter Cases'!A97,"")</f>
        <v/>
      </c>
      <c r="B97" s="4" t="str">
        <f>IF($N97&lt;&gt;"",$N97,IF($A97&lt;&gt;"",'All Cases - Enter Cases'!$L97+7,""))</f>
        <v/>
      </c>
      <c r="C97" t="str">
        <f>IF($A97&lt;&gt;"",'All Cases - Enter Cases'!B97,"")</f>
        <v/>
      </c>
      <c r="D97" t="str">
        <f>IF($A97&lt;&gt;"",'All Cases - Enter Cases'!C97,"")</f>
        <v/>
      </c>
      <c r="E97" t="str">
        <f>IF($A97&lt;&gt;"",'All Cases - Enter Cases'!D97,"")</f>
        <v/>
      </c>
      <c r="F97" s="12" t="str">
        <f>IF($A97&lt;&gt;"",'All Cases - Enter Cases'!E97,"")</f>
        <v/>
      </c>
      <c r="G97" s="12" t="str">
        <f>IF($A97&lt;&gt;"",'All Cases - Enter Cases'!F97,"")</f>
        <v/>
      </c>
      <c r="H97" s="4" t="str">
        <f>IF($A97&lt;&gt;"",'All Cases - Enter Cases'!G97,"")</f>
        <v/>
      </c>
      <c r="I97" t="str">
        <f>IF($A97&lt;&gt;"",'All Cases - Enter Cases'!H97,"")</f>
        <v/>
      </c>
      <c r="J97" t="str">
        <f>IF($A97&lt;&gt;"",'All Cases - Enter Cases'!I97,"")</f>
        <v/>
      </c>
      <c r="K97" t="str">
        <f>IF($A97&lt;&gt;"",'All Cases - Enter Cases'!J97,"")</f>
        <v/>
      </c>
      <c r="L97" s="4" t="str">
        <f>IF($A97&lt;&gt;"",'All Cases - Enter Cases'!K97,"")</f>
        <v/>
      </c>
      <c r="M97" t="str">
        <f>IF($A97&lt;&gt;"",'All Cases - Enter Cases'!L97,"")</f>
        <v/>
      </c>
    </row>
    <row r="98" spans="1:13" x14ac:dyDescent="0.35">
      <c r="A98" s="4" t="str">
        <f>IF('All Cases - Enter Cases'!$K98="Approved",'All Cases - Enter Cases'!A98,"")</f>
        <v/>
      </c>
      <c r="B98" s="4" t="str">
        <f>IF($N98&lt;&gt;"",$N98,IF($A98&lt;&gt;"",'All Cases - Enter Cases'!$L98+7,""))</f>
        <v/>
      </c>
      <c r="C98" t="str">
        <f>IF($A98&lt;&gt;"",'All Cases - Enter Cases'!B98,"")</f>
        <v/>
      </c>
      <c r="D98" t="str">
        <f>IF($A98&lt;&gt;"",'All Cases - Enter Cases'!C98,"")</f>
        <v/>
      </c>
      <c r="E98" t="str">
        <f>IF($A98&lt;&gt;"",'All Cases - Enter Cases'!D98,"")</f>
        <v/>
      </c>
      <c r="F98" s="12" t="str">
        <f>IF($A98&lt;&gt;"",'All Cases - Enter Cases'!E98,"")</f>
        <v/>
      </c>
      <c r="G98" s="12" t="str">
        <f>IF($A98&lt;&gt;"",'All Cases - Enter Cases'!F98,"")</f>
        <v/>
      </c>
      <c r="H98" s="4" t="str">
        <f>IF($A98&lt;&gt;"",'All Cases - Enter Cases'!G98,"")</f>
        <v/>
      </c>
      <c r="I98" t="str">
        <f>IF($A98&lt;&gt;"",'All Cases - Enter Cases'!H98,"")</f>
        <v/>
      </c>
      <c r="J98" t="str">
        <f>IF($A98&lt;&gt;"",'All Cases - Enter Cases'!I98,"")</f>
        <v/>
      </c>
      <c r="K98" t="str">
        <f>IF($A98&lt;&gt;"",'All Cases - Enter Cases'!J98,"")</f>
        <v/>
      </c>
      <c r="L98" s="4" t="str">
        <f>IF($A98&lt;&gt;"",'All Cases - Enter Cases'!K98,"")</f>
        <v/>
      </c>
      <c r="M98" t="str">
        <f>IF($A98&lt;&gt;"",'All Cases - Enter Cases'!L98,"")</f>
        <v/>
      </c>
    </row>
    <row r="99" spans="1:13" x14ac:dyDescent="0.35">
      <c r="A99" s="4" t="str">
        <f>IF('All Cases - Enter Cases'!$K99="Approved",'All Cases - Enter Cases'!A99,"")</f>
        <v/>
      </c>
      <c r="B99" s="4" t="str">
        <f>IF($N99&lt;&gt;"",$N99,IF($A99&lt;&gt;"",'All Cases - Enter Cases'!$L99+7,""))</f>
        <v/>
      </c>
      <c r="C99" t="str">
        <f>IF($A99&lt;&gt;"",'All Cases - Enter Cases'!B99,"")</f>
        <v/>
      </c>
      <c r="D99" t="str">
        <f>IF($A99&lt;&gt;"",'All Cases - Enter Cases'!C99,"")</f>
        <v/>
      </c>
      <c r="E99" t="str">
        <f>IF($A99&lt;&gt;"",'All Cases - Enter Cases'!D99,"")</f>
        <v/>
      </c>
      <c r="F99" s="12" t="str">
        <f>IF($A99&lt;&gt;"",'All Cases - Enter Cases'!E99,"")</f>
        <v/>
      </c>
      <c r="G99" s="12" t="str">
        <f>IF($A99&lt;&gt;"",'All Cases - Enter Cases'!F99,"")</f>
        <v/>
      </c>
      <c r="H99" s="4" t="str">
        <f>IF($A99&lt;&gt;"",'All Cases - Enter Cases'!G99,"")</f>
        <v/>
      </c>
      <c r="I99" t="str">
        <f>IF($A99&lt;&gt;"",'All Cases - Enter Cases'!H99,"")</f>
        <v/>
      </c>
      <c r="J99" t="str">
        <f>IF($A99&lt;&gt;"",'All Cases - Enter Cases'!I99,"")</f>
        <v/>
      </c>
      <c r="K99" t="str">
        <f>IF($A99&lt;&gt;"",'All Cases - Enter Cases'!J99,"")</f>
        <v/>
      </c>
      <c r="L99" s="4" t="str">
        <f>IF($A99&lt;&gt;"",'All Cases - Enter Cases'!K99,"")</f>
        <v/>
      </c>
      <c r="M99" t="str">
        <f>IF($A99&lt;&gt;"",'All Cases - Enter Cases'!L99,"")</f>
        <v/>
      </c>
    </row>
    <row r="100" spans="1:13" x14ac:dyDescent="0.35">
      <c r="A100" s="4" t="str">
        <f>IF('All Cases - Enter Cases'!$K100="Approved",'All Cases - Enter Cases'!A100,"")</f>
        <v/>
      </c>
      <c r="B100" s="4" t="str">
        <f>IF($N100&lt;&gt;"",$N100,IF($A100&lt;&gt;"",'All Cases - Enter Cases'!$L100+7,""))</f>
        <v/>
      </c>
      <c r="C100" t="str">
        <f>IF($A100&lt;&gt;"",'All Cases - Enter Cases'!B100,"")</f>
        <v/>
      </c>
      <c r="D100" t="str">
        <f>IF($A100&lt;&gt;"",'All Cases - Enter Cases'!C100,"")</f>
        <v/>
      </c>
      <c r="E100" t="str">
        <f>IF($A100&lt;&gt;"",'All Cases - Enter Cases'!D100,"")</f>
        <v/>
      </c>
      <c r="F100" s="12" t="str">
        <f>IF($A100&lt;&gt;"",'All Cases - Enter Cases'!E100,"")</f>
        <v/>
      </c>
      <c r="G100" s="12" t="str">
        <f>IF($A100&lt;&gt;"",'All Cases - Enter Cases'!F100,"")</f>
        <v/>
      </c>
      <c r="H100" s="4" t="str">
        <f>IF($A100&lt;&gt;"",'All Cases - Enter Cases'!G100,"")</f>
        <v/>
      </c>
      <c r="I100" t="str">
        <f>IF($A100&lt;&gt;"",'All Cases - Enter Cases'!H100,"")</f>
        <v/>
      </c>
      <c r="J100" t="str">
        <f>IF($A100&lt;&gt;"",'All Cases - Enter Cases'!I100,"")</f>
        <v/>
      </c>
      <c r="K100" t="str">
        <f>IF($A100&lt;&gt;"",'All Cases - Enter Cases'!J100,"")</f>
        <v/>
      </c>
      <c r="L100" s="4" t="str">
        <f>IF($A100&lt;&gt;"",'All Cases - Enter Cases'!K100,"")</f>
        <v/>
      </c>
      <c r="M100" t="str">
        <f>IF($A100&lt;&gt;"",'All Cases - Enter Cases'!L100,"")</f>
        <v/>
      </c>
    </row>
    <row r="101" spans="1:13" x14ac:dyDescent="0.35">
      <c r="A101" s="4" t="str">
        <f>IF('All Cases - Enter Cases'!$K101="Approved",'All Cases - Enter Cases'!A101,"")</f>
        <v/>
      </c>
      <c r="B101" s="4" t="str">
        <f>IF($N101&lt;&gt;"",$N101,IF($A101&lt;&gt;"",'All Cases - Enter Cases'!$L101+7,""))</f>
        <v/>
      </c>
      <c r="C101" t="str">
        <f>IF($A101&lt;&gt;"",'All Cases - Enter Cases'!B101,"")</f>
        <v/>
      </c>
      <c r="D101" t="str">
        <f>IF($A101&lt;&gt;"",'All Cases - Enter Cases'!C101,"")</f>
        <v/>
      </c>
      <c r="E101" t="str">
        <f>IF($A101&lt;&gt;"",'All Cases - Enter Cases'!D101,"")</f>
        <v/>
      </c>
      <c r="F101" s="12" t="str">
        <f>IF($A101&lt;&gt;"",'All Cases - Enter Cases'!E101,"")</f>
        <v/>
      </c>
      <c r="G101" s="12" t="str">
        <f>IF($A101&lt;&gt;"",'All Cases - Enter Cases'!F101,"")</f>
        <v/>
      </c>
      <c r="H101" s="4" t="str">
        <f>IF($A101&lt;&gt;"",'All Cases - Enter Cases'!G101,"")</f>
        <v/>
      </c>
      <c r="I101" t="str">
        <f>IF($A101&lt;&gt;"",'All Cases - Enter Cases'!H101,"")</f>
        <v/>
      </c>
      <c r="J101" t="str">
        <f>IF($A101&lt;&gt;"",'All Cases - Enter Cases'!I101,"")</f>
        <v/>
      </c>
      <c r="K101" t="str">
        <f>IF($A101&lt;&gt;"",'All Cases - Enter Cases'!J101,"")</f>
        <v/>
      </c>
      <c r="L101" s="4" t="str">
        <f>IF($A101&lt;&gt;"",'All Cases - Enter Cases'!K101,"")</f>
        <v/>
      </c>
      <c r="M101" t="str">
        <f>IF($A101&lt;&gt;"",'All Cases - Enter Cases'!L101,"")</f>
        <v/>
      </c>
    </row>
    <row r="102" spans="1:13" x14ac:dyDescent="0.35">
      <c r="A102" s="4" t="str">
        <f>IF('All Cases - Enter Cases'!$K102="Approved",'All Cases - Enter Cases'!A102,"")</f>
        <v/>
      </c>
      <c r="B102" s="4" t="str">
        <f>IF($N102&lt;&gt;"",$N102,IF($A102&lt;&gt;"",'All Cases - Enter Cases'!$L102+7,""))</f>
        <v/>
      </c>
      <c r="C102" t="str">
        <f>IF($A102&lt;&gt;"",'All Cases - Enter Cases'!B102,"")</f>
        <v/>
      </c>
      <c r="D102" t="str">
        <f>IF($A102&lt;&gt;"",'All Cases - Enter Cases'!C102,"")</f>
        <v/>
      </c>
      <c r="E102" t="str">
        <f>IF($A102&lt;&gt;"",'All Cases - Enter Cases'!D102,"")</f>
        <v/>
      </c>
      <c r="F102" s="12" t="str">
        <f>IF($A102&lt;&gt;"",'All Cases - Enter Cases'!E102,"")</f>
        <v/>
      </c>
      <c r="G102" s="12" t="str">
        <f>IF($A102&lt;&gt;"",'All Cases - Enter Cases'!F102,"")</f>
        <v/>
      </c>
      <c r="H102" s="4" t="str">
        <f>IF($A102&lt;&gt;"",'All Cases - Enter Cases'!G102,"")</f>
        <v/>
      </c>
      <c r="I102" t="str">
        <f>IF($A102&lt;&gt;"",'All Cases - Enter Cases'!H102,"")</f>
        <v/>
      </c>
      <c r="J102" t="str">
        <f>IF($A102&lt;&gt;"",'All Cases - Enter Cases'!I102,"")</f>
        <v/>
      </c>
      <c r="K102" t="str">
        <f>IF($A102&lt;&gt;"",'All Cases - Enter Cases'!J102,"")</f>
        <v/>
      </c>
      <c r="L102" s="4" t="str">
        <f>IF($A102&lt;&gt;"",'All Cases - Enter Cases'!K102,"")</f>
        <v/>
      </c>
      <c r="M102" t="str">
        <f>IF($A102&lt;&gt;"",'All Cases - Enter Cases'!L102,"")</f>
        <v/>
      </c>
    </row>
    <row r="103" spans="1:13" x14ac:dyDescent="0.35">
      <c r="A103" s="4" t="str">
        <f>IF('All Cases - Enter Cases'!$K103="Approved",'All Cases - Enter Cases'!A103,"")</f>
        <v/>
      </c>
      <c r="B103" s="4" t="str">
        <f>IF($N103&lt;&gt;"",$N103,IF($A103&lt;&gt;"",'All Cases - Enter Cases'!$L103+7,""))</f>
        <v/>
      </c>
      <c r="C103" t="str">
        <f>IF($A103&lt;&gt;"",'All Cases - Enter Cases'!B103,"")</f>
        <v/>
      </c>
      <c r="D103" t="str">
        <f>IF($A103&lt;&gt;"",'All Cases - Enter Cases'!C103,"")</f>
        <v/>
      </c>
      <c r="E103" t="str">
        <f>IF($A103&lt;&gt;"",'All Cases - Enter Cases'!D103,"")</f>
        <v/>
      </c>
      <c r="F103" s="12" t="str">
        <f>IF($A103&lt;&gt;"",'All Cases - Enter Cases'!E103,"")</f>
        <v/>
      </c>
      <c r="G103" s="12" t="str">
        <f>IF($A103&lt;&gt;"",'All Cases - Enter Cases'!F103,"")</f>
        <v/>
      </c>
      <c r="H103" s="4" t="str">
        <f>IF($A103&lt;&gt;"",'All Cases - Enter Cases'!G103,"")</f>
        <v/>
      </c>
      <c r="I103" t="str">
        <f>IF($A103&lt;&gt;"",'All Cases - Enter Cases'!H103,"")</f>
        <v/>
      </c>
      <c r="J103" t="str">
        <f>IF($A103&lt;&gt;"",'All Cases - Enter Cases'!I103,"")</f>
        <v/>
      </c>
      <c r="K103" t="str">
        <f>IF($A103&lt;&gt;"",'All Cases - Enter Cases'!J103,"")</f>
        <v/>
      </c>
      <c r="L103" s="4" t="str">
        <f>IF($A103&lt;&gt;"",'All Cases - Enter Cases'!K103,"")</f>
        <v/>
      </c>
      <c r="M103" t="str">
        <f>IF($A103&lt;&gt;"",'All Cases - Enter Cases'!L103,"")</f>
        <v/>
      </c>
    </row>
    <row r="104" spans="1:13" x14ac:dyDescent="0.35">
      <c r="A104" s="4" t="str">
        <f>IF('All Cases - Enter Cases'!$K104="Approved",'All Cases - Enter Cases'!A104,"")</f>
        <v/>
      </c>
      <c r="B104" s="4" t="str">
        <f>IF($N104&lt;&gt;"",$N104,IF($A104&lt;&gt;"",'All Cases - Enter Cases'!$L104+7,""))</f>
        <v/>
      </c>
      <c r="C104" t="str">
        <f>IF($A104&lt;&gt;"",'All Cases - Enter Cases'!B104,"")</f>
        <v/>
      </c>
      <c r="D104" t="str">
        <f>IF($A104&lt;&gt;"",'All Cases - Enter Cases'!C104,"")</f>
        <v/>
      </c>
      <c r="E104" t="str">
        <f>IF($A104&lt;&gt;"",'All Cases - Enter Cases'!D104,"")</f>
        <v/>
      </c>
      <c r="F104" s="12" t="str">
        <f>IF($A104&lt;&gt;"",'All Cases - Enter Cases'!E104,"")</f>
        <v/>
      </c>
      <c r="G104" s="12" t="str">
        <f>IF($A104&lt;&gt;"",'All Cases - Enter Cases'!F104,"")</f>
        <v/>
      </c>
      <c r="H104" s="4" t="str">
        <f>IF($A104&lt;&gt;"",'All Cases - Enter Cases'!G104,"")</f>
        <v/>
      </c>
      <c r="I104" t="str">
        <f>IF($A104&lt;&gt;"",'All Cases - Enter Cases'!H104,"")</f>
        <v/>
      </c>
      <c r="J104" t="str">
        <f>IF($A104&lt;&gt;"",'All Cases - Enter Cases'!I104,"")</f>
        <v/>
      </c>
      <c r="K104" t="str">
        <f>IF($A104&lt;&gt;"",'All Cases - Enter Cases'!J104,"")</f>
        <v/>
      </c>
      <c r="L104" s="4" t="str">
        <f>IF($A104&lt;&gt;"",'All Cases - Enter Cases'!K104,"")</f>
        <v/>
      </c>
      <c r="M104" t="str">
        <f>IF($A104&lt;&gt;"",'All Cases - Enter Cases'!L104,"")</f>
        <v/>
      </c>
    </row>
    <row r="105" spans="1:13" x14ac:dyDescent="0.35">
      <c r="A105" s="4" t="str">
        <f>IF('All Cases - Enter Cases'!$K105="Approved",'All Cases - Enter Cases'!A105,"")</f>
        <v/>
      </c>
      <c r="B105" s="4" t="str">
        <f>IF($N105&lt;&gt;"",$N105,IF($A105&lt;&gt;"",'All Cases - Enter Cases'!$L105+7,""))</f>
        <v/>
      </c>
      <c r="C105" t="str">
        <f>IF($A105&lt;&gt;"",'All Cases - Enter Cases'!B105,"")</f>
        <v/>
      </c>
      <c r="D105" t="str">
        <f>IF($A105&lt;&gt;"",'All Cases - Enter Cases'!C105,"")</f>
        <v/>
      </c>
      <c r="E105" t="str">
        <f>IF($A105&lt;&gt;"",'All Cases - Enter Cases'!D105,"")</f>
        <v/>
      </c>
      <c r="F105" s="12" t="str">
        <f>IF($A105&lt;&gt;"",'All Cases - Enter Cases'!E105,"")</f>
        <v/>
      </c>
      <c r="G105" s="12" t="str">
        <f>IF($A105&lt;&gt;"",'All Cases - Enter Cases'!F105,"")</f>
        <v/>
      </c>
      <c r="H105" s="4" t="str">
        <f>IF($A105&lt;&gt;"",'All Cases - Enter Cases'!G105,"")</f>
        <v/>
      </c>
      <c r="I105" t="str">
        <f>IF($A105&lt;&gt;"",'All Cases - Enter Cases'!H105,"")</f>
        <v/>
      </c>
      <c r="J105" t="str">
        <f>IF($A105&lt;&gt;"",'All Cases - Enter Cases'!I105,"")</f>
        <v/>
      </c>
      <c r="K105" t="str">
        <f>IF($A105&lt;&gt;"",'All Cases - Enter Cases'!J105,"")</f>
        <v/>
      </c>
      <c r="L105" s="4" t="str">
        <f>IF($A105&lt;&gt;"",'All Cases - Enter Cases'!K105,"")</f>
        <v/>
      </c>
      <c r="M105" t="str">
        <f>IF($A105&lt;&gt;"",'All Cases - Enter Cases'!L105,"")</f>
        <v/>
      </c>
    </row>
    <row r="106" spans="1:13" x14ac:dyDescent="0.35">
      <c r="A106" s="4" t="str">
        <f>IF('All Cases - Enter Cases'!$K106="Approved",'All Cases - Enter Cases'!A106,"")</f>
        <v/>
      </c>
      <c r="B106" s="4" t="str">
        <f>IF($N106&lt;&gt;"",$N106,IF($A106&lt;&gt;"",'All Cases - Enter Cases'!$L106+7,""))</f>
        <v/>
      </c>
      <c r="C106" t="str">
        <f>IF($A106&lt;&gt;"",'All Cases - Enter Cases'!B106,"")</f>
        <v/>
      </c>
      <c r="D106" t="str">
        <f>IF($A106&lt;&gt;"",'All Cases - Enter Cases'!C106,"")</f>
        <v/>
      </c>
      <c r="E106" t="str">
        <f>IF($A106&lt;&gt;"",'All Cases - Enter Cases'!D106,"")</f>
        <v/>
      </c>
      <c r="F106" s="12" t="str">
        <f>IF($A106&lt;&gt;"",'All Cases - Enter Cases'!E106,"")</f>
        <v/>
      </c>
      <c r="G106" s="12" t="str">
        <f>IF($A106&lt;&gt;"",'All Cases - Enter Cases'!F106,"")</f>
        <v/>
      </c>
      <c r="H106" s="4" t="str">
        <f>IF($A106&lt;&gt;"",'All Cases - Enter Cases'!G106,"")</f>
        <v/>
      </c>
      <c r="I106" t="str">
        <f>IF($A106&lt;&gt;"",'All Cases - Enter Cases'!H106,"")</f>
        <v/>
      </c>
      <c r="J106" t="str">
        <f>IF($A106&lt;&gt;"",'All Cases - Enter Cases'!I106,"")</f>
        <v/>
      </c>
      <c r="K106" t="str">
        <f>IF($A106&lt;&gt;"",'All Cases - Enter Cases'!J106,"")</f>
        <v/>
      </c>
      <c r="L106" s="4" t="str">
        <f>IF($A106&lt;&gt;"",'All Cases - Enter Cases'!K106,"")</f>
        <v/>
      </c>
      <c r="M106" t="str">
        <f>IF($A106&lt;&gt;"",'All Cases - Enter Cases'!L106,"")</f>
        <v/>
      </c>
    </row>
    <row r="107" spans="1:13" x14ac:dyDescent="0.35">
      <c r="A107" s="4" t="str">
        <f>IF('All Cases - Enter Cases'!$K107="Approved",'All Cases - Enter Cases'!A107,"")</f>
        <v/>
      </c>
      <c r="B107" s="4" t="str">
        <f>IF($N107&lt;&gt;"",$N107,IF($A107&lt;&gt;"",'All Cases - Enter Cases'!$L107+7,""))</f>
        <v/>
      </c>
      <c r="C107" t="str">
        <f>IF($A107&lt;&gt;"",'All Cases - Enter Cases'!B107,"")</f>
        <v/>
      </c>
      <c r="D107" t="str">
        <f>IF($A107&lt;&gt;"",'All Cases - Enter Cases'!C107,"")</f>
        <v/>
      </c>
      <c r="E107" t="str">
        <f>IF($A107&lt;&gt;"",'All Cases - Enter Cases'!D107,"")</f>
        <v/>
      </c>
      <c r="F107" s="12" t="str">
        <f>IF($A107&lt;&gt;"",'All Cases - Enter Cases'!E107,"")</f>
        <v/>
      </c>
      <c r="G107" s="12" t="str">
        <f>IF($A107&lt;&gt;"",'All Cases - Enter Cases'!F107,"")</f>
        <v/>
      </c>
      <c r="H107" s="4" t="str">
        <f>IF($A107&lt;&gt;"",'All Cases - Enter Cases'!G107,"")</f>
        <v/>
      </c>
      <c r="I107" t="str">
        <f>IF($A107&lt;&gt;"",'All Cases - Enter Cases'!H107,"")</f>
        <v/>
      </c>
      <c r="J107" t="str">
        <f>IF($A107&lt;&gt;"",'All Cases - Enter Cases'!I107,"")</f>
        <v/>
      </c>
      <c r="K107" t="str">
        <f>IF($A107&lt;&gt;"",'All Cases - Enter Cases'!J107,"")</f>
        <v/>
      </c>
      <c r="L107" s="4" t="str">
        <f>IF($A107&lt;&gt;"",'All Cases - Enter Cases'!K107,"")</f>
        <v/>
      </c>
      <c r="M107" t="str">
        <f>IF($A107&lt;&gt;"",'All Cases - Enter Cases'!L107,"")</f>
        <v/>
      </c>
    </row>
    <row r="108" spans="1:13" x14ac:dyDescent="0.35">
      <c r="A108" s="4" t="str">
        <f>IF('All Cases - Enter Cases'!$K108="Approved",'All Cases - Enter Cases'!A108,"")</f>
        <v/>
      </c>
      <c r="B108" s="4" t="str">
        <f>IF($N108&lt;&gt;"",$N108,IF($A108&lt;&gt;"",'All Cases - Enter Cases'!$L108+7,""))</f>
        <v/>
      </c>
      <c r="C108" t="str">
        <f>IF($A108&lt;&gt;"",'All Cases - Enter Cases'!B108,"")</f>
        <v/>
      </c>
      <c r="D108" t="str">
        <f>IF($A108&lt;&gt;"",'All Cases - Enter Cases'!C108,"")</f>
        <v/>
      </c>
      <c r="E108" t="str">
        <f>IF($A108&lt;&gt;"",'All Cases - Enter Cases'!D108,"")</f>
        <v/>
      </c>
      <c r="F108" s="12" t="str">
        <f>IF($A108&lt;&gt;"",'All Cases - Enter Cases'!E108,"")</f>
        <v/>
      </c>
      <c r="G108" s="12" t="str">
        <f>IF($A108&lt;&gt;"",'All Cases - Enter Cases'!F108,"")</f>
        <v/>
      </c>
      <c r="H108" s="4" t="str">
        <f>IF($A108&lt;&gt;"",'All Cases - Enter Cases'!G108,"")</f>
        <v/>
      </c>
      <c r="I108" t="str">
        <f>IF($A108&lt;&gt;"",'All Cases - Enter Cases'!H108,"")</f>
        <v/>
      </c>
      <c r="J108" t="str">
        <f>IF($A108&lt;&gt;"",'All Cases - Enter Cases'!I108,"")</f>
        <v/>
      </c>
      <c r="K108" t="str">
        <f>IF($A108&lt;&gt;"",'All Cases - Enter Cases'!J108,"")</f>
        <v/>
      </c>
      <c r="L108" s="4" t="str">
        <f>IF($A108&lt;&gt;"",'All Cases - Enter Cases'!K108,"")</f>
        <v/>
      </c>
      <c r="M108" t="str">
        <f>IF($A108&lt;&gt;"",'All Cases - Enter Cases'!L108,"")</f>
        <v/>
      </c>
    </row>
    <row r="109" spans="1:13" x14ac:dyDescent="0.35">
      <c r="A109" s="4" t="str">
        <f>IF('All Cases - Enter Cases'!$K109="Approved",'All Cases - Enter Cases'!A109,"")</f>
        <v/>
      </c>
      <c r="B109" s="4" t="str">
        <f>IF($N109&lt;&gt;"",$N109,IF($A109&lt;&gt;"",'All Cases - Enter Cases'!$L109+7,""))</f>
        <v/>
      </c>
      <c r="C109" t="str">
        <f>IF($A109&lt;&gt;"",'All Cases - Enter Cases'!B109,"")</f>
        <v/>
      </c>
      <c r="D109" t="str">
        <f>IF($A109&lt;&gt;"",'All Cases - Enter Cases'!C109,"")</f>
        <v/>
      </c>
      <c r="E109" t="str">
        <f>IF($A109&lt;&gt;"",'All Cases - Enter Cases'!D109,"")</f>
        <v/>
      </c>
      <c r="F109" s="12" t="str">
        <f>IF($A109&lt;&gt;"",'All Cases - Enter Cases'!E109,"")</f>
        <v/>
      </c>
      <c r="G109" s="12" t="str">
        <f>IF($A109&lt;&gt;"",'All Cases - Enter Cases'!F109,"")</f>
        <v/>
      </c>
      <c r="H109" s="4" t="str">
        <f>IF($A109&lt;&gt;"",'All Cases - Enter Cases'!G109,"")</f>
        <v/>
      </c>
      <c r="I109" t="str">
        <f>IF($A109&lt;&gt;"",'All Cases - Enter Cases'!H109,"")</f>
        <v/>
      </c>
      <c r="J109" t="str">
        <f>IF($A109&lt;&gt;"",'All Cases - Enter Cases'!I109,"")</f>
        <v/>
      </c>
      <c r="K109" t="str">
        <f>IF($A109&lt;&gt;"",'All Cases - Enter Cases'!J109,"")</f>
        <v/>
      </c>
      <c r="L109" s="4" t="str">
        <f>IF($A109&lt;&gt;"",'All Cases - Enter Cases'!K109,"")</f>
        <v/>
      </c>
      <c r="M109" t="str">
        <f>IF($A109&lt;&gt;"",'All Cases - Enter Cases'!L109,"")</f>
        <v/>
      </c>
    </row>
    <row r="110" spans="1:13" x14ac:dyDescent="0.35">
      <c r="A110" s="4" t="str">
        <f>IF('All Cases - Enter Cases'!$K110="Approved",'All Cases - Enter Cases'!A110,"")</f>
        <v/>
      </c>
      <c r="B110" s="4" t="str">
        <f>IF($N110&lt;&gt;"",$N110,IF($A110&lt;&gt;"",'All Cases - Enter Cases'!$L110+7,""))</f>
        <v/>
      </c>
      <c r="C110" t="str">
        <f>IF($A110&lt;&gt;"",'All Cases - Enter Cases'!B110,"")</f>
        <v/>
      </c>
      <c r="D110" t="str">
        <f>IF($A110&lt;&gt;"",'All Cases - Enter Cases'!C110,"")</f>
        <v/>
      </c>
      <c r="E110" t="str">
        <f>IF($A110&lt;&gt;"",'All Cases - Enter Cases'!D110,"")</f>
        <v/>
      </c>
      <c r="F110" s="12" t="str">
        <f>IF($A110&lt;&gt;"",'All Cases - Enter Cases'!E110,"")</f>
        <v/>
      </c>
      <c r="G110" s="12" t="str">
        <f>IF($A110&lt;&gt;"",'All Cases - Enter Cases'!F110,"")</f>
        <v/>
      </c>
      <c r="H110" s="4" t="str">
        <f>IF($A110&lt;&gt;"",'All Cases - Enter Cases'!G110,"")</f>
        <v/>
      </c>
      <c r="I110" t="str">
        <f>IF($A110&lt;&gt;"",'All Cases - Enter Cases'!H110,"")</f>
        <v/>
      </c>
      <c r="J110" t="str">
        <f>IF($A110&lt;&gt;"",'All Cases - Enter Cases'!I110,"")</f>
        <v/>
      </c>
      <c r="K110" t="str">
        <f>IF($A110&lt;&gt;"",'All Cases - Enter Cases'!J110,"")</f>
        <v/>
      </c>
      <c r="L110" s="4" t="str">
        <f>IF($A110&lt;&gt;"",'All Cases - Enter Cases'!K110,"")</f>
        <v/>
      </c>
      <c r="M110" t="str">
        <f>IF($A110&lt;&gt;"",'All Cases - Enter Cases'!L110,"")</f>
        <v/>
      </c>
    </row>
    <row r="111" spans="1:13" x14ac:dyDescent="0.35">
      <c r="A111" s="4" t="str">
        <f>IF('All Cases - Enter Cases'!$K111="Approved",'All Cases - Enter Cases'!A111,"")</f>
        <v/>
      </c>
      <c r="B111" s="4" t="str">
        <f>IF($N111&lt;&gt;"",$N111,IF($A111&lt;&gt;"",'All Cases - Enter Cases'!$L111+7,""))</f>
        <v/>
      </c>
      <c r="C111" t="str">
        <f>IF($A111&lt;&gt;"",'All Cases - Enter Cases'!B111,"")</f>
        <v/>
      </c>
      <c r="D111" t="str">
        <f>IF($A111&lt;&gt;"",'All Cases - Enter Cases'!C111,"")</f>
        <v/>
      </c>
      <c r="E111" t="str">
        <f>IF($A111&lt;&gt;"",'All Cases - Enter Cases'!D111,"")</f>
        <v/>
      </c>
      <c r="F111" s="12" t="str">
        <f>IF($A111&lt;&gt;"",'All Cases - Enter Cases'!E111,"")</f>
        <v/>
      </c>
      <c r="G111" s="12" t="str">
        <f>IF($A111&lt;&gt;"",'All Cases - Enter Cases'!F111,"")</f>
        <v/>
      </c>
      <c r="H111" s="4" t="str">
        <f>IF($A111&lt;&gt;"",'All Cases - Enter Cases'!G111,"")</f>
        <v/>
      </c>
      <c r="I111" t="str">
        <f>IF($A111&lt;&gt;"",'All Cases - Enter Cases'!H111,"")</f>
        <v/>
      </c>
      <c r="J111" t="str">
        <f>IF($A111&lt;&gt;"",'All Cases - Enter Cases'!I111,"")</f>
        <v/>
      </c>
      <c r="K111" t="str">
        <f>IF($A111&lt;&gt;"",'All Cases - Enter Cases'!J111,"")</f>
        <v/>
      </c>
      <c r="L111" s="4" t="str">
        <f>IF($A111&lt;&gt;"",'All Cases - Enter Cases'!K111,"")</f>
        <v/>
      </c>
      <c r="M111" t="str">
        <f>IF($A111&lt;&gt;"",'All Cases - Enter Cases'!L111,"")</f>
        <v/>
      </c>
    </row>
    <row r="112" spans="1:13" x14ac:dyDescent="0.35">
      <c r="A112" s="4" t="str">
        <f>IF('All Cases - Enter Cases'!$K112="Approved",'All Cases - Enter Cases'!A112,"")</f>
        <v/>
      </c>
      <c r="B112" s="4" t="str">
        <f>IF($N112&lt;&gt;"",$N112,IF($A112&lt;&gt;"",'All Cases - Enter Cases'!$L112+7,""))</f>
        <v/>
      </c>
      <c r="C112" t="str">
        <f>IF($A112&lt;&gt;"",'All Cases - Enter Cases'!B112,"")</f>
        <v/>
      </c>
      <c r="D112" t="str">
        <f>IF($A112&lt;&gt;"",'All Cases - Enter Cases'!C112,"")</f>
        <v/>
      </c>
      <c r="E112" t="str">
        <f>IF($A112&lt;&gt;"",'All Cases - Enter Cases'!D112,"")</f>
        <v/>
      </c>
      <c r="F112" s="12" t="str">
        <f>IF($A112&lt;&gt;"",'All Cases - Enter Cases'!E112,"")</f>
        <v/>
      </c>
      <c r="G112" s="12" t="str">
        <f>IF($A112&lt;&gt;"",'All Cases - Enter Cases'!F112,"")</f>
        <v/>
      </c>
      <c r="H112" s="4" t="str">
        <f>IF($A112&lt;&gt;"",'All Cases - Enter Cases'!G112,"")</f>
        <v/>
      </c>
      <c r="I112" t="str">
        <f>IF($A112&lt;&gt;"",'All Cases - Enter Cases'!H112,"")</f>
        <v/>
      </c>
      <c r="J112" t="str">
        <f>IF($A112&lt;&gt;"",'All Cases - Enter Cases'!I112,"")</f>
        <v/>
      </c>
      <c r="K112" t="str">
        <f>IF($A112&lt;&gt;"",'All Cases - Enter Cases'!J112,"")</f>
        <v/>
      </c>
      <c r="L112" s="4" t="str">
        <f>IF($A112&lt;&gt;"",'All Cases - Enter Cases'!K112,"")</f>
        <v/>
      </c>
      <c r="M112" t="str">
        <f>IF($A112&lt;&gt;"",'All Cases - Enter Cases'!L112,"")</f>
        <v/>
      </c>
    </row>
    <row r="113" spans="1:13" x14ac:dyDescent="0.35">
      <c r="A113" s="4" t="str">
        <f>IF('All Cases - Enter Cases'!$K113="Approved",'All Cases - Enter Cases'!A113,"")</f>
        <v/>
      </c>
      <c r="B113" s="4" t="str">
        <f>IF($N113&lt;&gt;"",$N113,IF($A113&lt;&gt;"",'All Cases - Enter Cases'!$L113+7,""))</f>
        <v/>
      </c>
      <c r="C113" t="str">
        <f>IF($A113&lt;&gt;"",'All Cases - Enter Cases'!B113,"")</f>
        <v/>
      </c>
      <c r="D113" t="str">
        <f>IF($A113&lt;&gt;"",'All Cases - Enter Cases'!C113,"")</f>
        <v/>
      </c>
      <c r="E113" t="str">
        <f>IF($A113&lt;&gt;"",'All Cases - Enter Cases'!D113,"")</f>
        <v/>
      </c>
      <c r="F113" s="12" t="str">
        <f>IF($A113&lt;&gt;"",'All Cases - Enter Cases'!E113,"")</f>
        <v/>
      </c>
      <c r="G113" s="12" t="str">
        <f>IF($A113&lt;&gt;"",'All Cases - Enter Cases'!F113,"")</f>
        <v/>
      </c>
      <c r="H113" s="4" t="str">
        <f>IF($A113&lt;&gt;"",'All Cases - Enter Cases'!G113,"")</f>
        <v/>
      </c>
      <c r="I113" t="str">
        <f>IF($A113&lt;&gt;"",'All Cases - Enter Cases'!H113,"")</f>
        <v/>
      </c>
      <c r="J113" t="str">
        <f>IF($A113&lt;&gt;"",'All Cases - Enter Cases'!I113,"")</f>
        <v/>
      </c>
      <c r="K113" t="str">
        <f>IF($A113&lt;&gt;"",'All Cases - Enter Cases'!J113,"")</f>
        <v/>
      </c>
      <c r="L113" s="4" t="str">
        <f>IF($A113&lt;&gt;"",'All Cases - Enter Cases'!K113,"")</f>
        <v/>
      </c>
      <c r="M113" t="str">
        <f>IF($A113&lt;&gt;"",'All Cases - Enter Cases'!L113,"")</f>
        <v/>
      </c>
    </row>
    <row r="114" spans="1:13" x14ac:dyDescent="0.35">
      <c r="A114" s="4" t="str">
        <f>IF('All Cases - Enter Cases'!$K114="Approved",'All Cases - Enter Cases'!A114,"")</f>
        <v/>
      </c>
      <c r="B114" s="4" t="str">
        <f>IF($N114&lt;&gt;"",$N114,IF($A114&lt;&gt;"",'All Cases - Enter Cases'!$L114+7,""))</f>
        <v/>
      </c>
      <c r="C114" t="str">
        <f>IF($A114&lt;&gt;"",'All Cases - Enter Cases'!B114,"")</f>
        <v/>
      </c>
      <c r="D114" t="str">
        <f>IF($A114&lt;&gt;"",'All Cases - Enter Cases'!C114,"")</f>
        <v/>
      </c>
      <c r="E114" t="str">
        <f>IF($A114&lt;&gt;"",'All Cases - Enter Cases'!D114,"")</f>
        <v/>
      </c>
      <c r="F114" s="12" t="str">
        <f>IF($A114&lt;&gt;"",'All Cases - Enter Cases'!E114,"")</f>
        <v/>
      </c>
      <c r="G114" s="12" t="str">
        <f>IF($A114&lt;&gt;"",'All Cases - Enter Cases'!F114,"")</f>
        <v/>
      </c>
      <c r="H114" s="4" t="str">
        <f>IF($A114&lt;&gt;"",'All Cases - Enter Cases'!G114,"")</f>
        <v/>
      </c>
      <c r="I114" t="str">
        <f>IF($A114&lt;&gt;"",'All Cases - Enter Cases'!H114,"")</f>
        <v/>
      </c>
      <c r="J114" t="str">
        <f>IF($A114&lt;&gt;"",'All Cases - Enter Cases'!I114,"")</f>
        <v/>
      </c>
      <c r="K114" t="str">
        <f>IF($A114&lt;&gt;"",'All Cases - Enter Cases'!J114,"")</f>
        <v/>
      </c>
      <c r="L114" s="4" t="str">
        <f>IF($A114&lt;&gt;"",'All Cases - Enter Cases'!K114,"")</f>
        <v/>
      </c>
      <c r="M114" t="str">
        <f>IF($A114&lt;&gt;"",'All Cases - Enter Cases'!L114,"")</f>
        <v/>
      </c>
    </row>
    <row r="115" spans="1:13" x14ac:dyDescent="0.35">
      <c r="A115" s="4" t="str">
        <f>IF('All Cases - Enter Cases'!$K115="Approved",'All Cases - Enter Cases'!A115,"")</f>
        <v/>
      </c>
      <c r="B115" s="4" t="str">
        <f>IF($N115&lt;&gt;"",$N115,IF($A115&lt;&gt;"",'All Cases - Enter Cases'!$L115+7,""))</f>
        <v/>
      </c>
      <c r="C115" t="str">
        <f>IF($A115&lt;&gt;"",'All Cases - Enter Cases'!B115,"")</f>
        <v/>
      </c>
      <c r="D115" t="str">
        <f>IF($A115&lt;&gt;"",'All Cases - Enter Cases'!C115,"")</f>
        <v/>
      </c>
      <c r="E115" t="str">
        <f>IF($A115&lt;&gt;"",'All Cases - Enter Cases'!D115,"")</f>
        <v/>
      </c>
      <c r="F115" s="12" t="str">
        <f>IF($A115&lt;&gt;"",'All Cases - Enter Cases'!E115,"")</f>
        <v/>
      </c>
      <c r="G115" s="12" t="str">
        <f>IF($A115&lt;&gt;"",'All Cases - Enter Cases'!F115,"")</f>
        <v/>
      </c>
      <c r="H115" s="4" t="str">
        <f>IF($A115&lt;&gt;"",'All Cases - Enter Cases'!G115,"")</f>
        <v/>
      </c>
      <c r="I115" t="str">
        <f>IF($A115&lt;&gt;"",'All Cases - Enter Cases'!H115,"")</f>
        <v/>
      </c>
      <c r="J115" t="str">
        <f>IF($A115&lt;&gt;"",'All Cases - Enter Cases'!I115,"")</f>
        <v/>
      </c>
      <c r="K115" t="str">
        <f>IF($A115&lt;&gt;"",'All Cases - Enter Cases'!J115,"")</f>
        <v/>
      </c>
      <c r="L115" s="4" t="str">
        <f>IF($A115&lt;&gt;"",'All Cases - Enter Cases'!K115,"")</f>
        <v/>
      </c>
      <c r="M115" t="str">
        <f>IF($A115&lt;&gt;"",'All Cases - Enter Cases'!L115,"")</f>
        <v/>
      </c>
    </row>
    <row r="116" spans="1:13" x14ac:dyDescent="0.35">
      <c r="A116" s="4" t="str">
        <f>IF('All Cases - Enter Cases'!$K116="Approved",'All Cases - Enter Cases'!A116,"")</f>
        <v/>
      </c>
      <c r="B116" s="4" t="str">
        <f>IF($N116&lt;&gt;"",$N116,IF($A116&lt;&gt;"",'All Cases - Enter Cases'!$L116+7,""))</f>
        <v/>
      </c>
      <c r="C116" t="str">
        <f>IF($A116&lt;&gt;"",'All Cases - Enter Cases'!B116,"")</f>
        <v/>
      </c>
      <c r="D116" t="str">
        <f>IF($A116&lt;&gt;"",'All Cases - Enter Cases'!C116,"")</f>
        <v/>
      </c>
      <c r="E116" t="str">
        <f>IF($A116&lt;&gt;"",'All Cases - Enter Cases'!D116,"")</f>
        <v/>
      </c>
      <c r="F116" s="12" t="str">
        <f>IF($A116&lt;&gt;"",'All Cases - Enter Cases'!E116,"")</f>
        <v/>
      </c>
      <c r="G116" s="12" t="str">
        <f>IF($A116&lt;&gt;"",'All Cases - Enter Cases'!F116,"")</f>
        <v/>
      </c>
      <c r="H116" s="4" t="str">
        <f>IF($A116&lt;&gt;"",'All Cases - Enter Cases'!G116,"")</f>
        <v/>
      </c>
      <c r="I116" t="str">
        <f>IF($A116&lt;&gt;"",'All Cases - Enter Cases'!H116,"")</f>
        <v/>
      </c>
      <c r="J116" t="str">
        <f>IF($A116&lt;&gt;"",'All Cases - Enter Cases'!I116,"")</f>
        <v/>
      </c>
      <c r="K116" t="str">
        <f>IF($A116&lt;&gt;"",'All Cases - Enter Cases'!J116,"")</f>
        <v/>
      </c>
      <c r="L116" s="4" t="str">
        <f>IF($A116&lt;&gt;"",'All Cases - Enter Cases'!K116,"")</f>
        <v/>
      </c>
      <c r="M116" t="str">
        <f>IF($A116&lt;&gt;"",'All Cases - Enter Cases'!L116,"")</f>
        <v/>
      </c>
    </row>
    <row r="117" spans="1:13" x14ac:dyDescent="0.35">
      <c r="A117" s="4" t="str">
        <f>IF('All Cases - Enter Cases'!$K117="Approved",'All Cases - Enter Cases'!A117,"")</f>
        <v/>
      </c>
      <c r="B117" s="4" t="str">
        <f>IF($N117&lt;&gt;"",$N117,IF($A117&lt;&gt;"",'All Cases - Enter Cases'!$L117+7,""))</f>
        <v/>
      </c>
      <c r="C117" t="str">
        <f>IF($A117&lt;&gt;"",'All Cases - Enter Cases'!B117,"")</f>
        <v/>
      </c>
      <c r="D117" t="str">
        <f>IF($A117&lt;&gt;"",'All Cases - Enter Cases'!C117,"")</f>
        <v/>
      </c>
      <c r="E117" t="str">
        <f>IF($A117&lt;&gt;"",'All Cases - Enter Cases'!D117,"")</f>
        <v/>
      </c>
      <c r="F117" s="12" t="str">
        <f>IF($A117&lt;&gt;"",'All Cases - Enter Cases'!E117,"")</f>
        <v/>
      </c>
      <c r="G117" s="12" t="str">
        <f>IF($A117&lt;&gt;"",'All Cases - Enter Cases'!F117,"")</f>
        <v/>
      </c>
      <c r="H117" s="4" t="str">
        <f>IF($A117&lt;&gt;"",'All Cases - Enter Cases'!G117,"")</f>
        <v/>
      </c>
      <c r="I117" t="str">
        <f>IF($A117&lt;&gt;"",'All Cases - Enter Cases'!H117,"")</f>
        <v/>
      </c>
      <c r="J117" t="str">
        <f>IF($A117&lt;&gt;"",'All Cases - Enter Cases'!I117,"")</f>
        <v/>
      </c>
      <c r="K117" t="str">
        <f>IF($A117&lt;&gt;"",'All Cases - Enter Cases'!J117,"")</f>
        <v/>
      </c>
      <c r="L117" s="4" t="str">
        <f>IF($A117&lt;&gt;"",'All Cases - Enter Cases'!K117,"")</f>
        <v/>
      </c>
      <c r="M117" t="str">
        <f>IF($A117&lt;&gt;"",'All Cases - Enter Cases'!L117,"")</f>
        <v/>
      </c>
    </row>
    <row r="118" spans="1:13" x14ac:dyDescent="0.35">
      <c r="A118" s="4" t="str">
        <f>IF('All Cases - Enter Cases'!$K118="Approved",'All Cases - Enter Cases'!A118,"")</f>
        <v/>
      </c>
      <c r="B118" s="4" t="str">
        <f>IF($N118&lt;&gt;"",$N118,IF($A118&lt;&gt;"",'All Cases - Enter Cases'!$L118+7,""))</f>
        <v/>
      </c>
      <c r="C118" t="str">
        <f>IF($A118&lt;&gt;"",'All Cases - Enter Cases'!B118,"")</f>
        <v/>
      </c>
      <c r="D118" t="str">
        <f>IF($A118&lt;&gt;"",'All Cases - Enter Cases'!C118,"")</f>
        <v/>
      </c>
      <c r="E118" t="str">
        <f>IF($A118&lt;&gt;"",'All Cases - Enter Cases'!D118,"")</f>
        <v/>
      </c>
      <c r="F118" s="12" t="str">
        <f>IF($A118&lt;&gt;"",'All Cases - Enter Cases'!E118,"")</f>
        <v/>
      </c>
      <c r="G118" s="12" t="str">
        <f>IF($A118&lt;&gt;"",'All Cases - Enter Cases'!F118,"")</f>
        <v/>
      </c>
      <c r="H118" s="4" t="str">
        <f>IF($A118&lt;&gt;"",'All Cases - Enter Cases'!G118,"")</f>
        <v/>
      </c>
      <c r="I118" t="str">
        <f>IF($A118&lt;&gt;"",'All Cases - Enter Cases'!H118,"")</f>
        <v/>
      </c>
      <c r="J118" t="str">
        <f>IF($A118&lt;&gt;"",'All Cases - Enter Cases'!I118,"")</f>
        <v/>
      </c>
      <c r="K118" t="str">
        <f>IF($A118&lt;&gt;"",'All Cases - Enter Cases'!J118,"")</f>
        <v/>
      </c>
      <c r="L118" s="4" t="str">
        <f>IF($A118&lt;&gt;"",'All Cases - Enter Cases'!K118,"")</f>
        <v/>
      </c>
      <c r="M118" t="str">
        <f>IF($A118&lt;&gt;"",'All Cases - Enter Cases'!L118,"")</f>
        <v/>
      </c>
    </row>
    <row r="119" spans="1:13" x14ac:dyDescent="0.35">
      <c r="A119" s="4" t="str">
        <f>IF('All Cases - Enter Cases'!$K119="Approved",'All Cases - Enter Cases'!A119,"")</f>
        <v/>
      </c>
      <c r="B119" s="4" t="str">
        <f>IF($N119&lt;&gt;"",$N119,IF($A119&lt;&gt;"",'All Cases - Enter Cases'!$L119+7,""))</f>
        <v/>
      </c>
      <c r="C119" t="str">
        <f>IF($A119&lt;&gt;"",'All Cases - Enter Cases'!B119,"")</f>
        <v/>
      </c>
      <c r="D119" t="str">
        <f>IF($A119&lt;&gt;"",'All Cases - Enter Cases'!C119,"")</f>
        <v/>
      </c>
      <c r="E119" t="str">
        <f>IF($A119&lt;&gt;"",'All Cases - Enter Cases'!D119,"")</f>
        <v/>
      </c>
      <c r="F119" s="12" t="str">
        <f>IF($A119&lt;&gt;"",'All Cases - Enter Cases'!E119,"")</f>
        <v/>
      </c>
      <c r="G119" s="12" t="str">
        <f>IF($A119&lt;&gt;"",'All Cases - Enter Cases'!F119,"")</f>
        <v/>
      </c>
      <c r="H119" s="4" t="str">
        <f>IF($A119&lt;&gt;"",'All Cases - Enter Cases'!G119,"")</f>
        <v/>
      </c>
      <c r="I119" t="str">
        <f>IF($A119&lt;&gt;"",'All Cases - Enter Cases'!H119,"")</f>
        <v/>
      </c>
      <c r="J119" t="str">
        <f>IF($A119&lt;&gt;"",'All Cases - Enter Cases'!I119,"")</f>
        <v/>
      </c>
      <c r="K119" t="str">
        <f>IF($A119&lt;&gt;"",'All Cases - Enter Cases'!J119,"")</f>
        <v/>
      </c>
      <c r="L119" s="4" t="str">
        <f>IF($A119&lt;&gt;"",'All Cases - Enter Cases'!K119,"")</f>
        <v/>
      </c>
      <c r="M119" t="str">
        <f>IF($A119&lt;&gt;"",'All Cases - Enter Cases'!L119,"")</f>
        <v/>
      </c>
    </row>
    <row r="120" spans="1:13" x14ac:dyDescent="0.35">
      <c r="A120" s="4" t="str">
        <f>IF('All Cases - Enter Cases'!$K120="Approved",'All Cases - Enter Cases'!A120,"")</f>
        <v/>
      </c>
      <c r="B120" s="4" t="str">
        <f>IF($N120&lt;&gt;"",$N120,IF($A120&lt;&gt;"",'All Cases - Enter Cases'!$L120+7,""))</f>
        <v/>
      </c>
      <c r="C120" t="str">
        <f>IF($A120&lt;&gt;"",'All Cases - Enter Cases'!B120,"")</f>
        <v/>
      </c>
      <c r="D120" t="str">
        <f>IF($A120&lt;&gt;"",'All Cases - Enter Cases'!C120,"")</f>
        <v/>
      </c>
      <c r="E120" t="str">
        <f>IF($A120&lt;&gt;"",'All Cases - Enter Cases'!D120,"")</f>
        <v/>
      </c>
      <c r="F120" s="12" t="str">
        <f>IF($A120&lt;&gt;"",'All Cases - Enter Cases'!E120,"")</f>
        <v/>
      </c>
      <c r="G120" s="12" t="str">
        <f>IF($A120&lt;&gt;"",'All Cases - Enter Cases'!F120,"")</f>
        <v/>
      </c>
      <c r="H120" s="4" t="str">
        <f>IF($A120&lt;&gt;"",'All Cases - Enter Cases'!G120,"")</f>
        <v/>
      </c>
      <c r="I120" t="str">
        <f>IF($A120&lt;&gt;"",'All Cases - Enter Cases'!H120,"")</f>
        <v/>
      </c>
      <c r="J120" t="str">
        <f>IF($A120&lt;&gt;"",'All Cases - Enter Cases'!I120,"")</f>
        <v/>
      </c>
      <c r="K120" t="str">
        <f>IF($A120&lt;&gt;"",'All Cases - Enter Cases'!J120,"")</f>
        <v/>
      </c>
      <c r="L120" s="4" t="str">
        <f>IF($A120&lt;&gt;"",'All Cases - Enter Cases'!K120,"")</f>
        <v/>
      </c>
      <c r="M120" t="str">
        <f>IF($A120&lt;&gt;"",'All Cases - Enter Cases'!L120,"")</f>
        <v/>
      </c>
    </row>
    <row r="121" spans="1:13" x14ac:dyDescent="0.35">
      <c r="A121" s="4" t="str">
        <f>IF('All Cases - Enter Cases'!$K121="Approved",'All Cases - Enter Cases'!A121,"")</f>
        <v/>
      </c>
      <c r="B121" s="4" t="str">
        <f>IF($N121&lt;&gt;"",$N121,IF($A121&lt;&gt;"",'All Cases - Enter Cases'!$L121+7,""))</f>
        <v/>
      </c>
      <c r="C121" t="str">
        <f>IF($A121&lt;&gt;"",'All Cases - Enter Cases'!B121,"")</f>
        <v/>
      </c>
      <c r="D121" t="str">
        <f>IF($A121&lt;&gt;"",'All Cases - Enter Cases'!C121,"")</f>
        <v/>
      </c>
      <c r="E121" t="str">
        <f>IF($A121&lt;&gt;"",'All Cases - Enter Cases'!D121,"")</f>
        <v/>
      </c>
      <c r="F121" s="12" t="str">
        <f>IF($A121&lt;&gt;"",'All Cases - Enter Cases'!E121,"")</f>
        <v/>
      </c>
      <c r="G121" s="12" t="str">
        <f>IF($A121&lt;&gt;"",'All Cases - Enter Cases'!F121,"")</f>
        <v/>
      </c>
      <c r="H121" s="4" t="str">
        <f>IF($A121&lt;&gt;"",'All Cases - Enter Cases'!G121,"")</f>
        <v/>
      </c>
      <c r="I121" t="str">
        <f>IF($A121&lt;&gt;"",'All Cases - Enter Cases'!H121,"")</f>
        <v/>
      </c>
      <c r="J121" t="str">
        <f>IF($A121&lt;&gt;"",'All Cases - Enter Cases'!I121,"")</f>
        <v/>
      </c>
      <c r="K121" t="str">
        <f>IF($A121&lt;&gt;"",'All Cases - Enter Cases'!J121,"")</f>
        <v/>
      </c>
      <c r="L121" s="4" t="str">
        <f>IF($A121&lt;&gt;"",'All Cases - Enter Cases'!K121,"")</f>
        <v/>
      </c>
      <c r="M121" t="str">
        <f>IF($A121&lt;&gt;"",'All Cases - Enter Cases'!L121,"")</f>
        <v/>
      </c>
    </row>
    <row r="122" spans="1:13" x14ac:dyDescent="0.35">
      <c r="A122" s="4" t="str">
        <f>IF('All Cases - Enter Cases'!$K122="Approved",'All Cases - Enter Cases'!A122,"")</f>
        <v/>
      </c>
      <c r="B122" s="4" t="str">
        <f>IF($N122&lt;&gt;"",$N122,IF($A122&lt;&gt;"",'All Cases - Enter Cases'!$L122+7,""))</f>
        <v/>
      </c>
      <c r="C122" t="str">
        <f>IF($A122&lt;&gt;"",'All Cases - Enter Cases'!B122,"")</f>
        <v/>
      </c>
      <c r="D122" t="str">
        <f>IF($A122&lt;&gt;"",'All Cases - Enter Cases'!C122,"")</f>
        <v/>
      </c>
      <c r="E122" t="str">
        <f>IF($A122&lt;&gt;"",'All Cases - Enter Cases'!D122,"")</f>
        <v/>
      </c>
      <c r="F122" s="12" t="str">
        <f>IF($A122&lt;&gt;"",'All Cases - Enter Cases'!E122,"")</f>
        <v/>
      </c>
      <c r="G122" s="12" t="str">
        <f>IF($A122&lt;&gt;"",'All Cases - Enter Cases'!F122,"")</f>
        <v/>
      </c>
      <c r="H122" s="4" t="str">
        <f>IF($A122&lt;&gt;"",'All Cases - Enter Cases'!G122,"")</f>
        <v/>
      </c>
      <c r="I122" t="str">
        <f>IF($A122&lt;&gt;"",'All Cases - Enter Cases'!H122,"")</f>
        <v/>
      </c>
      <c r="J122" t="str">
        <f>IF($A122&lt;&gt;"",'All Cases - Enter Cases'!I122,"")</f>
        <v/>
      </c>
      <c r="K122" t="str">
        <f>IF($A122&lt;&gt;"",'All Cases - Enter Cases'!J122,"")</f>
        <v/>
      </c>
      <c r="L122" s="4" t="str">
        <f>IF($A122&lt;&gt;"",'All Cases - Enter Cases'!K122,"")</f>
        <v/>
      </c>
      <c r="M122" t="str">
        <f>IF($A122&lt;&gt;"",'All Cases - Enter Cases'!L122,"")</f>
        <v/>
      </c>
    </row>
    <row r="123" spans="1:13" x14ac:dyDescent="0.35">
      <c r="A123" s="4" t="str">
        <f>IF('All Cases - Enter Cases'!$K123="Approved",'All Cases - Enter Cases'!A123,"")</f>
        <v/>
      </c>
      <c r="B123" s="4" t="str">
        <f>IF($N123&lt;&gt;"",$N123,IF($A123&lt;&gt;"",'All Cases - Enter Cases'!$L123+7,""))</f>
        <v/>
      </c>
      <c r="C123" t="str">
        <f>IF($A123&lt;&gt;"",'All Cases - Enter Cases'!B123,"")</f>
        <v/>
      </c>
      <c r="D123" t="str">
        <f>IF($A123&lt;&gt;"",'All Cases - Enter Cases'!C123,"")</f>
        <v/>
      </c>
      <c r="E123" t="str">
        <f>IF($A123&lt;&gt;"",'All Cases - Enter Cases'!D123,"")</f>
        <v/>
      </c>
      <c r="F123" s="12" t="str">
        <f>IF($A123&lt;&gt;"",'All Cases - Enter Cases'!E123,"")</f>
        <v/>
      </c>
      <c r="G123" s="12" t="str">
        <f>IF($A123&lt;&gt;"",'All Cases - Enter Cases'!F123,"")</f>
        <v/>
      </c>
      <c r="H123" s="4" t="str">
        <f>IF($A123&lt;&gt;"",'All Cases - Enter Cases'!G123,"")</f>
        <v/>
      </c>
      <c r="I123" t="str">
        <f>IF($A123&lt;&gt;"",'All Cases - Enter Cases'!H123,"")</f>
        <v/>
      </c>
      <c r="J123" t="str">
        <f>IF($A123&lt;&gt;"",'All Cases - Enter Cases'!I123,"")</f>
        <v/>
      </c>
      <c r="K123" t="str">
        <f>IF($A123&lt;&gt;"",'All Cases - Enter Cases'!J123,"")</f>
        <v/>
      </c>
      <c r="L123" s="4" t="str">
        <f>IF($A123&lt;&gt;"",'All Cases - Enter Cases'!K123,"")</f>
        <v/>
      </c>
      <c r="M123" t="str">
        <f>IF($A123&lt;&gt;"",'All Cases - Enter Cases'!L123,"")</f>
        <v/>
      </c>
    </row>
    <row r="124" spans="1:13" x14ac:dyDescent="0.35">
      <c r="A124" s="4" t="str">
        <f>IF('All Cases - Enter Cases'!$K124="Approved",'All Cases - Enter Cases'!A124,"")</f>
        <v/>
      </c>
      <c r="B124" s="4" t="str">
        <f>IF($N124&lt;&gt;"",$N124,IF($A124&lt;&gt;"",'All Cases - Enter Cases'!$L124+7,""))</f>
        <v/>
      </c>
      <c r="C124" t="str">
        <f>IF($A124&lt;&gt;"",'All Cases - Enter Cases'!B124,"")</f>
        <v/>
      </c>
      <c r="D124" t="str">
        <f>IF($A124&lt;&gt;"",'All Cases - Enter Cases'!C124,"")</f>
        <v/>
      </c>
      <c r="E124" t="str">
        <f>IF($A124&lt;&gt;"",'All Cases - Enter Cases'!D124,"")</f>
        <v/>
      </c>
      <c r="F124" s="12" t="str">
        <f>IF($A124&lt;&gt;"",'All Cases - Enter Cases'!E124,"")</f>
        <v/>
      </c>
      <c r="G124" s="12" t="str">
        <f>IF($A124&lt;&gt;"",'All Cases - Enter Cases'!F124,"")</f>
        <v/>
      </c>
      <c r="H124" s="4" t="str">
        <f>IF($A124&lt;&gt;"",'All Cases - Enter Cases'!G124,"")</f>
        <v/>
      </c>
      <c r="I124" t="str">
        <f>IF($A124&lt;&gt;"",'All Cases - Enter Cases'!H124,"")</f>
        <v/>
      </c>
      <c r="J124" t="str">
        <f>IF($A124&lt;&gt;"",'All Cases - Enter Cases'!I124,"")</f>
        <v/>
      </c>
      <c r="K124" t="str">
        <f>IF($A124&lt;&gt;"",'All Cases - Enter Cases'!J124,"")</f>
        <v/>
      </c>
      <c r="L124" s="4" t="str">
        <f>IF($A124&lt;&gt;"",'All Cases - Enter Cases'!K124,"")</f>
        <v/>
      </c>
      <c r="M124" t="str">
        <f>IF($A124&lt;&gt;"",'All Cases - Enter Cases'!L124,"")</f>
        <v/>
      </c>
    </row>
    <row r="125" spans="1:13" x14ac:dyDescent="0.35">
      <c r="A125" s="4" t="str">
        <f>IF('All Cases - Enter Cases'!$K125="Approved",'All Cases - Enter Cases'!A125,"")</f>
        <v/>
      </c>
      <c r="B125" s="4" t="str">
        <f>IF($N125&lt;&gt;"",$N125,IF($A125&lt;&gt;"",'All Cases - Enter Cases'!$L125+7,""))</f>
        <v/>
      </c>
      <c r="C125" t="str">
        <f>IF($A125&lt;&gt;"",'All Cases - Enter Cases'!B125,"")</f>
        <v/>
      </c>
      <c r="D125" t="str">
        <f>IF($A125&lt;&gt;"",'All Cases - Enter Cases'!C125,"")</f>
        <v/>
      </c>
      <c r="E125" t="str">
        <f>IF($A125&lt;&gt;"",'All Cases - Enter Cases'!D125,"")</f>
        <v/>
      </c>
      <c r="F125" s="12" t="str">
        <f>IF($A125&lt;&gt;"",'All Cases - Enter Cases'!E125,"")</f>
        <v/>
      </c>
      <c r="G125" s="12" t="str">
        <f>IF($A125&lt;&gt;"",'All Cases - Enter Cases'!F125,"")</f>
        <v/>
      </c>
      <c r="H125" s="4" t="str">
        <f>IF($A125&lt;&gt;"",'All Cases - Enter Cases'!G125,"")</f>
        <v/>
      </c>
      <c r="I125" t="str">
        <f>IF($A125&lt;&gt;"",'All Cases - Enter Cases'!H125,"")</f>
        <v/>
      </c>
      <c r="J125" t="str">
        <f>IF($A125&lt;&gt;"",'All Cases - Enter Cases'!I125,"")</f>
        <v/>
      </c>
      <c r="K125" t="str">
        <f>IF($A125&lt;&gt;"",'All Cases - Enter Cases'!J125,"")</f>
        <v/>
      </c>
      <c r="L125" s="4" t="str">
        <f>IF($A125&lt;&gt;"",'All Cases - Enter Cases'!K125,"")</f>
        <v/>
      </c>
      <c r="M125" t="str">
        <f>IF($A125&lt;&gt;"",'All Cases - Enter Cases'!L125,"")</f>
        <v/>
      </c>
    </row>
    <row r="126" spans="1:13" x14ac:dyDescent="0.35">
      <c r="A126" s="4" t="str">
        <f>IF('All Cases - Enter Cases'!$K126="Approved",'All Cases - Enter Cases'!A126,"")</f>
        <v/>
      </c>
      <c r="B126" s="4" t="str">
        <f>IF($N126&lt;&gt;"",$N126,IF($A126&lt;&gt;"",'All Cases - Enter Cases'!$L126+7,""))</f>
        <v/>
      </c>
      <c r="C126" t="str">
        <f>IF($A126&lt;&gt;"",'All Cases - Enter Cases'!B126,"")</f>
        <v/>
      </c>
      <c r="D126" t="str">
        <f>IF($A126&lt;&gt;"",'All Cases - Enter Cases'!C126,"")</f>
        <v/>
      </c>
      <c r="E126" t="str">
        <f>IF($A126&lt;&gt;"",'All Cases - Enter Cases'!D126,"")</f>
        <v/>
      </c>
      <c r="F126" s="12" t="str">
        <f>IF($A126&lt;&gt;"",'All Cases - Enter Cases'!E126,"")</f>
        <v/>
      </c>
      <c r="G126" s="12" t="str">
        <f>IF($A126&lt;&gt;"",'All Cases - Enter Cases'!F126,"")</f>
        <v/>
      </c>
      <c r="H126" s="4" t="str">
        <f>IF($A126&lt;&gt;"",'All Cases - Enter Cases'!G126,"")</f>
        <v/>
      </c>
      <c r="I126" t="str">
        <f>IF($A126&lt;&gt;"",'All Cases - Enter Cases'!H126,"")</f>
        <v/>
      </c>
      <c r="J126" t="str">
        <f>IF($A126&lt;&gt;"",'All Cases - Enter Cases'!I126,"")</f>
        <v/>
      </c>
      <c r="K126" t="str">
        <f>IF($A126&lt;&gt;"",'All Cases - Enter Cases'!J126,"")</f>
        <v/>
      </c>
      <c r="L126" s="4" t="str">
        <f>IF($A126&lt;&gt;"",'All Cases - Enter Cases'!K126,"")</f>
        <v/>
      </c>
      <c r="M126" t="str">
        <f>IF($A126&lt;&gt;"",'All Cases - Enter Cases'!L126,"")</f>
        <v/>
      </c>
    </row>
    <row r="127" spans="1:13" x14ac:dyDescent="0.35">
      <c r="A127" s="4" t="str">
        <f>IF('All Cases - Enter Cases'!$K127="Approved",'All Cases - Enter Cases'!A127,"")</f>
        <v/>
      </c>
      <c r="B127" s="4" t="str">
        <f>IF($N127&lt;&gt;"",$N127,IF($A127&lt;&gt;"",'All Cases - Enter Cases'!$L127+7,""))</f>
        <v/>
      </c>
      <c r="C127" t="str">
        <f>IF($A127&lt;&gt;"",'All Cases - Enter Cases'!B127,"")</f>
        <v/>
      </c>
      <c r="D127" t="str">
        <f>IF($A127&lt;&gt;"",'All Cases - Enter Cases'!C127,"")</f>
        <v/>
      </c>
      <c r="E127" t="str">
        <f>IF($A127&lt;&gt;"",'All Cases - Enter Cases'!D127,"")</f>
        <v/>
      </c>
      <c r="F127" s="12" t="str">
        <f>IF($A127&lt;&gt;"",'All Cases - Enter Cases'!E127,"")</f>
        <v/>
      </c>
      <c r="G127" s="12" t="str">
        <f>IF($A127&lt;&gt;"",'All Cases - Enter Cases'!F127,"")</f>
        <v/>
      </c>
      <c r="H127" s="4" t="str">
        <f>IF($A127&lt;&gt;"",'All Cases - Enter Cases'!G127,"")</f>
        <v/>
      </c>
      <c r="I127" t="str">
        <f>IF($A127&lt;&gt;"",'All Cases - Enter Cases'!H127,"")</f>
        <v/>
      </c>
      <c r="J127" t="str">
        <f>IF($A127&lt;&gt;"",'All Cases - Enter Cases'!I127,"")</f>
        <v/>
      </c>
      <c r="K127" t="str">
        <f>IF($A127&lt;&gt;"",'All Cases - Enter Cases'!J127,"")</f>
        <v/>
      </c>
      <c r="L127" s="4" t="str">
        <f>IF($A127&lt;&gt;"",'All Cases - Enter Cases'!K127,"")</f>
        <v/>
      </c>
      <c r="M127" t="str">
        <f>IF($A127&lt;&gt;"",'All Cases - Enter Cases'!L127,"")</f>
        <v/>
      </c>
    </row>
    <row r="128" spans="1:13" x14ac:dyDescent="0.35">
      <c r="A128" s="4" t="str">
        <f>IF('All Cases - Enter Cases'!$K128="Approved",'All Cases - Enter Cases'!A128,"")</f>
        <v/>
      </c>
      <c r="B128" s="4" t="str">
        <f>IF($N128&lt;&gt;"",$N128,IF($A128&lt;&gt;"",'All Cases - Enter Cases'!$L128+7,""))</f>
        <v/>
      </c>
      <c r="C128" t="str">
        <f>IF($A128&lt;&gt;"",'All Cases - Enter Cases'!B128,"")</f>
        <v/>
      </c>
      <c r="D128" t="str">
        <f>IF($A128&lt;&gt;"",'All Cases - Enter Cases'!C128,"")</f>
        <v/>
      </c>
      <c r="E128" t="str">
        <f>IF($A128&lt;&gt;"",'All Cases - Enter Cases'!D128,"")</f>
        <v/>
      </c>
      <c r="F128" s="12" t="str">
        <f>IF($A128&lt;&gt;"",'All Cases - Enter Cases'!E128,"")</f>
        <v/>
      </c>
      <c r="G128" s="12" t="str">
        <f>IF($A128&lt;&gt;"",'All Cases - Enter Cases'!F128,"")</f>
        <v/>
      </c>
      <c r="H128" s="4" t="str">
        <f>IF($A128&lt;&gt;"",'All Cases - Enter Cases'!G128,"")</f>
        <v/>
      </c>
      <c r="I128" t="str">
        <f>IF($A128&lt;&gt;"",'All Cases - Enter Cases'!H128,"")</f>
        <v/>
      </c>
      <c r="J128" t="str">
        <f>IF($A128&lt;&gt;"",'All Cases - Enter Cases'!I128,"")</f>
        <v/>
      </c>
      <c r="K128" t="str">
        <f>IF($A128&lt;&gt;"",'All Cases - Enter Cases'!J128,"")</f>
        <v/>
      </c>
      <c r="L128" s="4" t="str">
        <f>IF($A128&lt;&gt;"",'All Cases - Enter Cases'!K128,"")</f>
        <v/>
      </c>
      <c r="M128" t="str">
        <f>IF($A128&lt;&gt;"",'All Cases - Enter Cases'!L128,"")</f>
        <v/>
      </c>
    </row>
    <row r="129" spans="1:13" x14ac:dyDescent="0.35">
      <c r="A129" s="4" t="str">
        <f>IF('All Cases - Enter Cases'!$K129="Approved",'All Cases - Enter Cases'!A129,"")</f>
        <v/>
      </c>
      <c r="B129" s="4" t="str">
        <f>IF($N129&lt;&gt;"",$N129,IF($A129&lt;&gt;"",'All Cases - Enter Cases'!$L129+7,""))</f>
        <v/>
      </c>
      <c r="C129" t="str">
        <f>IF($A129&lt;&gt;"",'All Cases - Enter Cases'!B129,"")</f>
        <v/>
      </c>
      <c r="D129" t="str">
        <f>IF($A129&lt;&gt;"",'All Cases - Enter Cases'!C129,"")</f>
        <v/>
      </c>
      <c r="E129" t="str">
        <f>IF($A129&lt;&gt;"",'All Cases - Enter Cases'!D129,"")</f>
        <v/>
      </c>
      <c r="F129" s="12" t="str">
        <f>IF($A129&lt;&gt;"",'All Cases - Enter Cases'!E129,"")</f>
        <v/>
      </c>
      <c r="G129" s="12" t="str">
        <f>IF($A129&lt;&gt;"",'All Cases - Enter Cases'!F129,"")</f>
        <v/>
      </c>
      <c r="H129" s="4" t="str">
        <f>IF($A129&lt;&gt;"",'All Cases - Enter Cases'!G129,"")</f>
        <v/>
      </c>
      <c r="I129" t="str">
        <f>IF($A129&lt;&gt;"",'All Cases - Enter Cases'!H129,"")</f>
        <v/>
      </c>
      <c r="J129" t="str">
        <f>IF($A129&lt;&gt;"",'All Cases - Enter Cases'!I129,"")</f>
        <v/>
      </c>
      <c r="K129" t="str">
        <f>IF($A129&lt;&gt;"",'All Cases - Enter Cases'!J129,"")</f>
        <v/>
      </c>
      <c r="L129" s="4" t="str">
        <f>IF($A129&lt;&gt;"",'All Cases - Enter Cases'!K129,"")</f>
        <v/>
      </c>
      <c r="M129" t="str">
        <f>IF($A129&lt;&gt;"",'All Cases - Enter Cases'!L129,"")</f>
        <v/>
      </c>
    </row>
    <row r="130" spans="1:13" x14ac:dyDescent="0.35">
      <c r="A130" s="4" t="str">
        <f>IF('All Cases - Enter Cases'!$K130="Approved",'All Cases - Enter Cases'!A130,"")</f>
        <v/>
      </c>
      <c r="B130" s="4" t="str">
        <f>IF($N130&lt;&gt;"",$N130,IF($A130&lt;&gt;"",'All Cases - Enter Cases'!$L130+7,""))</f>
        <v/>
      </c>
      <c r="C130" t="str">
        <f>IF($A130&lt;&gt;"",'All Cases - Enter Cases'!B130,"")</f>
        <v/>
      </c>
      <c r="D130" t="str">
        <f>IF($A130&lt;&gt;"",'All Cases - Enter Cases'!C130,"")</f>
        <v/>
      </c>
      <c r="E130" t="str">
        <f>IF($A130&lt;&gt;"",'All Cases - Enter Cases'!D130,"")</f>
        <v/>
      </c>
      <c r="F130" s="12" t="str">
        <f>IF($A130&lt;&gt;"",'All Cases - Enter Cases'!E130,"")</f>
        <v/>
      </c>
      <c r="G130" s="12" t="str">
        <f>IF($A130&lt;&gt;"",'All Cases - Enter Cases'!F130,"")</f>
        <v/>
      </c>
      <c r="H130" s="4" t="str">
        <f>IF($A130&lt;&gt;"",'All Cases - Enter Cases'!G130,"")</f>
        <v/>
      </c>
      <c r="I130" t="str">
        <f>IF($A130&lt;&gt;"",'All Cases - Enter Cases'!H130,"")</f>
        <v/>
      </c>
      <c r="J130" t="str">
        <f>IF($A130&lt;&gt;"",'All Cases - Enter Cases'!I130,"")</f>
        <v/>
      </c>
      <c r="K130" t="str">
        <f>IF($A130&lt;&gt;"",'All Cases - Enter Cases'!J130,"")</f>
        <v/>
      </c>
      <c r="L130" s="4" t="str">
        <f>IF($A130&lt;&gt;"",'All Cases - Enter Cases'!K130,"")</f>
        <v/>
      </c>
      <c r="M130" t="str">
        <f>IF($A130&lt;&gt;"",'All Cases - Enter Cases'!L130,"")</f>
        <v/>
      </c>
    </row>
    <row r="131" spans="1:13" x14ac:dyDescent="0.35">
      <c r="A131" s="4" t="str">
        <f>IF('All Cases - Enter Cases'!$K131="Approved",'All Cases - Enter Cases'!A131,"")</f>
        <v/>
      </c>
      <c r="B131" s="4" t="str">
        <f>IF($N131&lt;&gt;"",$N131,IF($A131&lt;&gt;"",'All Cases - Enter Cases'!$L131+7,""))</f>
        <v/>
      </c>
      <c r="C131" t="str">
        <f>IF($A131&lt;&gt;"",'All Cases - Enter Cases'!B131,"")</f>
        <v/>
      </c>
      <c r="D131" t="str">
        <f>IF($A131&lt;&gt;"",'All Cases - Enter Cases'!C131,"")</f>
        <v/>
      </c>
      <c r="E131" t="str">
        <f>IF($A131&lt;&gt;"",'All Cases - Enter Cases'!D131,"")</f>
        <v/>
      </c>
      <c r="F131" s="12" t="str">
        <f>IF($A131&lt;&gt;"",'All Cases - Enter Cases'!E131,"")</f>
        <v/>
      </c>
      <c r="G131" s="12" t="str">
        <f>IF($A131&lt;&gt;"",'All Cases - Enter Cases'!F131,"")</f>
        <v/>
      </c>
      <c r="H131" s="4" t="str">
        <f>IF($A131&lt;&gt;"",'All Cases - Enter Cases'!G131,"")</f>
        <v/>
      </c>
      <c r="I131" t="str">
        <f>IF($A131&lt;&gt;"",'All Cases - Enter Cases'!H131,"")</f>
        <v/>
      </c>
      <c r="J131" t="str">
        <f>IF($A131&lt;&gt;"",'All Cases - Enter Cases'!I131,"")</f>
        <v/>
      </c>
      <c r="K131" t="str">
        <f>IF($A131&lt;&gt;"",'All Cases - Enter Cases'!J131,"")</f>
        <v/>
      </c>
      <c r="L131" s="4" t="str">
        <f>IF($A131&lt;&gt;"",'All Cases - Enter Cases'!K131,"")</f>
        <v/>
      </c>
      <c r="M131" t="str">
        <f>IF($A131&lt;&gt;"",'All Cases - Enter Cases'!L131,"")</f>
        <v/>
      </c>
    </row>
    <row r="132" spans="1:13" x14ac:dyDescent="0.35">
      <c r="A132" s="4" t="str">
        <f>IF('All Cases - Enter Cases'!$K132="Approved",'All Cases - Enter Cases'!A132,"")</f>
        <v/>
      </c>
      <c r="B132" s="4" t="str">
        <f>IF($N132&lt;&gt;"",$N132,IF($A132&lt;&gt;"",'All Cases - Enter Cases'!$L132+7,""))</f>
        <v/>
      </c>
      <c r="C132" t="str">
        <f>IF($A132&lt;&gt;"",'All Cases - Enter Cases'!B132,"")</f>
        <v/>
      </c>
      <c r="D132" t="str">
        <f>IF($A132&lt;&gt;"",'All Cases - Enter Cases'!C132,"")</f>
        <v/>
      </c>
      <c r="E132" t="str">
        <f>IF($A132&lt;&gt;"",'All Cases - Enter Cases'!D132,"")</f>
        <v/>
      </c>
      <c r="F132" s="12" t="str">
        <f>IF($A132&lt;&gt;"",'All Cases - Enter Cases'!E132,"")</f>
        <v/>
      </c>
      <c r="G132" s="12" t="str">
        <f>IF($A132&lt;&gt;"",'All Cases - Enter Cases'!F132,"")</f>
        <v/>
      </c>
      <c r="H132" s="4" t="str">
        <f>IF($A132&lt;&gt;"",'All Cases - Enter Cases'!G132,"")</f>
        <v/>
      </c>
      <c r="I132" t="str">
        <f>IF($A132&lt;&gt;"",'All Cases - Enter Cases'!H132,"")</f>
        <v/>
      </c>
      <c r="J132" t="str">
        <f>IF($A132&lt;&gt;"",'All Cases - Enter Cases'!I132,"")</f>
        <v/>
      </c>
      <c r="K132" t="str">
        <f>IF($A132&lt;&gt;"",'All Cases - Enter Cases'!J132,"")</f>
        <v/>
      </c>
      <c r="L132" s="4" t="str">
        <f>IF($A132&lt;&gt;"",'All Cases - Enter Cases'!K132,"")</f>
        <v/>
      </c>
      <c r="M132" t="str">
        <f>IF($A132&lt;&gt;"",'All Cases - Enter Cases'!L132,"")</f>
        <v/>
      </c>
    </row>
    <row r="133" spans="1:13" x14ac:dyDescent="0.35">
      <c r="A133" s="4" t="str">
        <f>IF('All Cases - Enter Cases'!$K133="Approved",'All Cases - Enter Cases'!A133,"")</f>
        <v/>
      </c>
      <c r="B133" s="4" t="str">
        <f>IF($N133&lt;&gt;"",$N133,IF($A133&lt;&gt;"",'All Cases - Enter Cases'!$L133+7,""))</f>
        <v/>
      </c>
      <c r="C133" t="str">
        <f>IF($A133&lt;&gt;"",'All Cases - Enter Cases'!B133,"")</f>
        <v/>
      </c>
      <c r="D133" t="str">
        <f>IF($A133&lt;&gt;"",'All Cases - Enter Cases'!C133,"")</f>
        <v/>
      </c>
      <c r="E133" t="str">
        <f>IF($A133&lt;&gt;"",'All Cases - Enter Cases'!D133,"")</f>
        <v/>
      </c>
      <c r="F133" s="12" t="str">
        <f>IF($A133&lt;&gt;"",'All Cases - Enter Cases'!E133,"")</f>
        <v/>
      </c>
      <c r="G133" s="12" t="str">
        <f>IF($A133&lt;&gt;"",'All Cases - Enter Cases'!F133,"")</f>
        <v/>
      </c>
      <c r="H133" s="4" t="str">
        <f>IF($A133&lt;&gt;"",'All Cases - Enter Cases'!G133,"")</f>
        <v/>
      </c>
      <c r="I133" t="str">
        <f>IF($A133&lt;&gt;"",'All Cases - Enter Cases'!H133,"")</f>
        <v/>
      </c>
      <c r="J133" t="str">
        <f>IF($A133&lt;&gt;"",'All Cases - Enter Cases'!I133,"")</f>
        <v/>
      </c>
      <c r="K133" t="str">
        <f>IF($A133&lt;&gt;"",'All Cases - Enter Cases'!J133,"")</f>
        <v/>
      </c>
      <c r="L133" s="4" t="str">
        <f>IF($A133&lt;&gt;"",'All Cases - Enter Cases'!K133,"")</f>
        <v/>
      </c>
      <c r="M133" t="str">
        <f>IF($A133&lt;&gt;"",'All Cases - Enter Cases'!L133,"")</f>
        <v/>
      </c>
    </row>
    <row r="134" spans="1:13" x14ac:dyDescent="0.35">
      <c r="A134" s="4" t="str">
        <f>IF('All Cases - Enter Cases'!$K134="Approved",'All Cases - Enter Cases'!A134,"")</f>
        <v/>
      </c>
      <c r="B134" s="4" t="str">
        <f>IF($N134&lt;&gt;"",$N134,IF($A134&lt;&gt;"",'All Cases - Enter Cases'!$L134+7,""))</f>
        <v/>
      </c>
      <c r="C134" t="str">
        <f>IF($A134&lt;&gt;"",'All Cases - Enter Cases'!B134,"")</f>
        <v/>
      </c>
      <c r="D134" t="str">
        <f>IF($A134&lt;&gt;"",'All Cases - Enter Cases'!C134,"")</f>
        <v/>
      </c>
      <c r="E134" t="str">
        <f>IF($A134&lt;&gt;"",'All Cases - Enter Cases'!D134,"")</f>
        <v/>
      </c>
      <c r="F134" s="12" t="str">
        <f>IF($A134&lt;&gt;"",'All Cases - Enter Cases'!E134,"")</f>
        <v/>
      </c>
      <c r="G134" s="12" t="str">
        <f>IF($A134&lt;&gt;"",'All Cases - Enter Cases'!F134,"")</f>
        <v/>
      </c>
      <c r="H134" s="4" t="str">
        <f>IF($A134&lt;&gt;"",'All Cases - Enter Cases'!G134,"")</f>
        <v/>
      </c>
      <c r="I134" t="str">
        <f>IF($A134&lt;&gt;"",'All Cases - Enter Cases'!H134,"")</f>
        <v/>
      </c>
      <c r="J134" t="str">
        <f>IF($A134&lt;&gt;"",'All Cases - Enter Cases'!I134,"")</f>
        <v/>
      </c>
      <c r="K134" t="str">
        <f>IF($A134&lt;&gt;"",'All Cases - Enter Cases'!J134,"")</f>
        <v/>
      </c>
      <c r="L134" s="4" t="str">
        <f>IF($A134&lt;&gt;"",'All Cases - Enter Cases'!K134,"")</f>
        <v/>
      </c>
      <c r="M134" t="str">
        <f>IF($A134&lt;&gt;"",'All Cases - Enter Cases'!L134,"")</f>
        <v/>
      </c>
    </row>
    <row r="135" spans="1:13" x14ac:dyDescent="0.35">
      <c r="A135" s="4" t="str">
        <f>IF('All Cases - Enter Cases'!$K135="Approved",'All Cases - Enter Cases'!A135,"")</f>
        <v/>
      </c>
      <c r="B135" s="4" t="str">
        <f>IF($N135&lt;&gt;"",$N135,IF($A135&lt;&gt;"",'All Cases - Enter Cases'!$L135+7,""))</f>
        <v/>
      </c>
      <c r="C135" t="str">
        <f>IF($A135&lt;&gt;"",'All Cases - Enter Cases'!B135,"")</f>
        <v/>
      </c>
      <c r="D135" t="str">
        <f>IF($A135&lt;&gt;"",'All Cases - Enter Cases'!C135,"")</f>
        <v/>
      </c>
      <c r="E135" t="str">
        <f>IF($A135&lt;&gt;"",'All Cases - Enter Cases'!D135,"")</f>
        <v/>
      </c>
      <c r="F135" s="12" t="str">
        <f>IF($A135&lt;&gt;"",'All Cases - Enter Cases'!E135,"")</f>
        <v/>
      </c>
      <c r="G135" s="12" t="str">
        <f>IF($A135&lt;&gt;"",'All Cases - Enter Cases'!F135,"")</f>
        <v/>
      </c>
      <c r="H135" s="4" t="str">
        <f>IF($A135&lt;&gt;"",'All Cases - Enter Cases'!G135,"")</f>
        <v/>
      </c>
      <c r="I135" t="str">
        <f>IF($A135&lt;&gt;"",'All Cases - Enter Cases'!H135,"")</f>
        <v/>
      </c>
      <c r="J135" t="str">
        <f>IF($A135&lt;&gt;"",'All Cases - Enter Cases'!I135,"")</f>
        <v/>
      </c>
      <c r="K135" t="str">
        <f>IF($A135&lt;&gt;"",'All Cases - Enter Cases'!J135,"")</f>
        <v/>
      </c>
      <c r="L135" s="4" t="str">
        <f>IF($A135&lt;&gt;"",'All Cases - Enter Cases'!K135,"")</f>
        <v/>
      </c>
      <c r="M135" t="str">
        <f>IF($A135&lt;&gt;"",'All Cases - Enter Cases'!L135,"")</f>
        <v/>
      </c>
    </row>
    <row r="136" spans="1:13" x14ac:dyDescent="0.35">
      <c r="A136" s="4" t="str">
        <f>IF('All Cases - Enter Cases'!$K136="Approved",'All Cases - Enter Cases'!A136,"")</f>
        <v/>
      </c>
      <c r="B136" s="4" t="str">
        <f>IF($N136&lt;&gt;"",$N136,IF($A136&lt;&gt;"",'All Cases - Enter Cases'!$L136+7,""))</f>
        <v/>
      </c>
      <c r="C136" t="str">
        <f>IF($A136&lt;&gt;"",'All Cases - Enter Cases'!B136,"")</f>
        <v/>
      </c>
      <c r="D136" t="str">
        <f>IF($A136&lt;&gt;"",'All Cases - Enter Cases'!C136,"")</f>
        <v/>
      </c>
      <c r="E136" t="str">
        <f>IF($A136&lt;&gt;"",'All Cases - Enter Cases'!D136,"")</f>
        <v/>
      </c>
      <c r="F136" s="12" t="str">
        <f>IF($A136&lt;&gt;"",'All Cases - Enter Cases'!E136,"")</f>
        <v/>
      </c>
      <c r="G136" s="12" t="str">
        <f>IF($A136&lt;&gt;"",'All Cases - Enter Cases'!F136,"")</f>
        <v/>
      </c>
      <c r="H136" s="4" t="str">
        <f>IF($A136&lt;&gt;"",'All Cases - Enter Cases'!G136,"")</f>
        <v/>
      </c>
      <c r="I136" t="str">
        <f>IF($A136&lt;&gt;"",'All Cases - Enter Cases'!H136,"")</f>
        <v/>
      </c>
      <c r="J136" t="str">
        <f>IF($A136&lt;&gt;"",'All Cases - Enter Cases'!I136,"")</f>
        <v/>
      </c>
      <c r="K136" t="str">
        <f>IF($A136&lt;&gt;"",'All Cases - Enter Cases'!J136,"")</f>
        <v/>
      </c>
      <c r="L136" s="4" t="str">
        <f>IF($A136&lt;&gt;"",'All Cases - Enter Cases'!K136,"")</f>
        <v/>
      </c>
      <c r="M136" t="str">
        <f>IF($A136&lt;&gt;"",'All Cases - Enter Cases'!L136,"")</f>
        <v/>
      </c>
    </row>
    <row r="137" spans="1:13" x14ac:dyDescent="0.35">
      <c r="A137" s="4" t="str">
        <f>IF('All Cases - Enter Cases'!$K137="Approved",'All Cases - Enter Cases'!A137,"")</f>
        <v/>
      </c>
      <c r="B137" s="4" t="str">
        <f>IF($N137&lt;&gt;"",$N137,IF($A137&lt;&gt;"",'All Cases - Enter Cases'!$L137+7,""))</f>
        <v/>
      </c>
      <c r="C137" t="str">
        <f>IF($A137&lt;&gt;"",'All Cases - Enter Cases'!B137,"")</f>
        <v/>
      </c>
      <c r="D137" t="str">
        <f>IF($A137&lt;&gt;"",'All Cases - Enter Cases'!C137,"")</f>
        <v/>
      </c>
      <c r="E137" t="str">
        <f>IF($A137&lt;&gt;"",'All Cases - Enter Cases'!D137,"")</f>
        <v/>
      </c>
      <c r="F137" s="12" t="str">
        <f>IF($A137&lt;&gt;"",'All Cases - Enter Cases'!E137,"")</f>
        <v/>
      </c>
      <c r="G137" s="12" t="str">
        <f>IF($A137&lt;&gt;"",'All Cases - Enter Cases'!F137,"")</f>
        <v/>
      </c>
      <c r="H137" s="4" t="str">
        <f>IF($A137&lt;&gt;"",'All Cases - Enter Cases'!G137,"")</f>
        <v/>
      </c>
      <c r="I137" t="str">
        <f>IF($A137&lt;&gt;"",'All Cases - Enter Cases'!H137,"")</f>
        <v/>
      </c>
      <c r="J137" t="str">
        <f>IF($A137&lt;&gt;"",'All Cases - Enter Cases'!I137,"")</f>
        <v/>
      </c>
      <c r="K137" t="str">
        <f>IF($A137&lt;&gt;"",'All Cases - Enter Cases'!J137,"")</f>
        <v/>
      </c>
      <c r="L137" s="4" t="str">
        <f>IF($A137&lt;&gt;"",'All Cases - Enter Cases'!K137,"")</f>
        <v/>
      </c>
      <c r="M137" t="str">
        <f>IF($A137&lt;&gt;"",'All Cases - Enter Cases'!L137,"")</f>
        <v/>
      </c>
    </row>
    <row r="138" spans="1:13" x14ac:dyDescent="0.35">
      <c r="A138" s="4" t="str">
        <f>IF('All Cases - Enter Cases'!$K138="Approved",'All Cases - Enter Cases'!A138,"")</f>
        <v/>
      </c>
      <c r="B138" s="4" t="str">
        <f>IF($N138&lt;&gt;"",$N138,IF($A138&lt;&gt;"",'All Cases - Enter Cases'!$L138+7,""))</f>
        <v/>
      </c>
      <c r="C138" t="str">
        <f>IF($A138&lt;&gt;"",'All Cases - Enter Cases'!B138,"")</f>
        <v/>
      </c>
      <c r="D138" t="str">
        <f>IF($A138&lt;&gt;"",'All Cases - Enter Cases'!C138,"")</f>
        <v/>
      </c>
      <c r="E138" t="str">
        <f>IF($A138&lt;&gt;"",'All Cases - Enter Cases'!D138,"")</f>
        <v/>
      </c>
      <c r="F138" s="12" t="str">
        <f>IF($A138&lt;&gt;"",'All Cases - Enter Cases'!E138,"")</f>
        <v/>
      </c>
      <c r="G138" s="12" t="str">
        <f>IF($A138&lt;&gt;"",'All Cases - Enter Cases'!F138,"")</f>
        <v/>
      </c>
      <c r="H138" s="4" t="str">
        <f>IF($A138&lt;&gt;"",'All Cases - Enter Cases'!G138,"")</f>
        <v/>
      </c>
      <c r="I138" t="str">
        <f>IF($A138&lt;&gt;"",'All Cases - Enter Cases'!H138,"")</f>
        <v/>
      </c>
      <c r="J138" t="str">
        <f>IF($A138&lt;&gt;"",'All Cases - Enter Cases'!I138,"")</f>
        <v/>
      </c>
      <c r="K138" t="str">
        <f>IF($A138&lt;&gt;"",'All Cases - Enter Cases'!J138,"")</f>
        <v/>
      </c>
      <c r="L138" s="4" t="str">
        <f>IF($A138&lt;&gt;"",'All Cases - Enter Cases'!K138,"")</f>
        <v/>
      </c>
      <c r="M138" t="str">
        <f>IF($A138&lt;&gt;"",'All Cases - Enter Cases'!L138,"")</f>
        <v/>
      </c>
    </row>
    <row r="139" spans="1:13" x14ac:dyDescent="0.35">
      <c r="A139" s="4" t="str">
        <f>IF('All Cases - Enter Cases'!$K139="Approved",'All Cases - Enter Cases'!A139,"")</f>
        <v/>
      </c>
      <c r="B139" s="4" t="str">
        <f>IF($N139&lt;&gt;"",$N139,IF($A139&lt;&gt;"",'All Cases - Enter Cases'!$L139+7,""))</f>
        <v/>
      </c>
      <c r="C139" t="str">
        <f>IF($A139&lt;&gt;"",'All Cases - Enter Cases'!B139,"")</f>
        <v/>
      </c>
      <c r="D139" t="str">
        <f>IF($A139&lt;&gt;"",'All Cases - Enter Cases'!C139,"")</f>
        <v/>
      </c>
      <c r="E139" t="str">
        <f>IF($A139&lt;&gt;"",'All Cases - Enter Cases'!D139,"")</f>
        <v/>
      </c>
      <c r="F139" s="12" t="str">
        <f>IF($A139&lt;&gt;"",'All Cases - Enter Cases'!E139,"")</f>
        <v/>
      </c>
      <c r="G139" s="12" t="str">
        <f>IF($A139&lt;&gt;"",'All Cases - Enter Cases'!F139,"")</f>
        <v/>
      </c>
      <c r="H139" s="4" t="str">
        <f>IF($A139&lt;&gt;"",'All Cases - Enter Cases'!G139,"")</f>
        <v/>
      </c>
      <c r="I139" t="str">
        <f>IF($A139&lt;&gt;"",'All Cases - Enter Cases'!H139,"")</f>
        <v/>
      </c>
      <c r="J139" t="str">
        <f>IF($A139&lt;&gt;"",'All Cases - Enter Cases'!I139,"")</f>
        <v/>
      </c>
      <c r="K139" t="str">
        <f>IF($A139&lt;&gt;"",'All Cases - Enter Cases'!J139,"")</f>
        <v/>
      </c>
      <c r="L139" s="4" t="str">
        <f>IF($A139&lt;&gt;"",'All Cases - Enter Cases'!K139,"")</f>
        <v/>
      </c>
      <c r="M139" t="str">
        <f>IF($A139&lt;&gt;"",'All Cases - Enter Cases'!L139,"")</f>
        <v/>
      </c>
    </row>
    <row r="140" spans="1:13" x14ac:dyDescent="0.35">
      <c r="A140" s="4" t="str">
        <f>IF('All Cases - Enter Cases'!$K140="Approved",'All Cases - Enter Cases'!A140,"")</f>
        <v/>
      </c>
      <c r="B140" s="4" t="str">
        <f>IF($N140&lt;&gt;"",$N140,IF($A140&lt;&gt;"",'All Cases - Enter Cases'!$L140+7,""))</f>
        <v/>
      </c>
      <c r="C140" t="str">
        <f>IF($A140&lt;&gt;"",'All Cases - Enter Cases'!B140,"")</f>
        <v/>
      </c>
      <c r="D140" t="str">
        <f>IF($A140&lt;&gt;"",'All Cases - Enter Cases'!C140,"")</f>
        <v/>
      </c>
      <c r="E140" t="str">
        <f>IF($A140&lt;&gt;"",'All Cases - Enter Cases'!D140,"")</f>
        <v/>
      </c>
      <c r="F140" s="12" t="str">
        <f>IF($A140&lt;&gt;"",'All Cases - Enter Cases'!E140,"")</f>
        <v/>
      </c>
      <c r="G140" s="12" t="str">
        <f>IF($A140&lt;&gt;"",'All Cases - Enter Cases'!F140,"")</f>
        <v/>
      </c>
      <c r="H140" s="4" t="str">
        <f>IF($A140&lt;&gt;"",'All Cases - Enter Cases'!G140,"")</f>
        <v/>
      </c>
      <c r="I140" t="str">
        <f>IF($A140&lt;&gt;"",'All Cases - Enter Cases'!H140,"")</f>
        <v/>
      </c>
      <c r="J140" t="str">
        <f>IF($A140&lt;&gt;"",'All Cases - Enter Cases'!I140,"")</f>
        <v/>
      </c>
      <c r="K140" t="str">
        <f>IF($A140&lt;&gt;"",'All Cases - Enter Cases'!J140,"")</f>
        <v/>
      </c>
      <c r="L140" s="4" t="str">
        <f>IF($A140&lt;&gt;"",'All Cases - Enter Cases'!K140,"")</f>
        <v/>
      </c>
      <c r="M140" t="str">
        <f>IF($A140&lt;&gt;"",'All Cases - Enter Cases'!L140,"")</f>
        <v/>
      </c>
    </row>
    <row r="141" spans="1:13" x14ac:dyDescent="0.35">
      <c r="A141" s="4" t="str">
        <f>IF('All Cases - Enter Cases'!$K141="Approved",'All Cases - Enter Cases'!A141,"")</f>
        <v/>
      </c>
      <c r="B141" s="4" t="str">
        <f>IF($N141&lt;&gt;"",$N141,IF($A141&lt;&gt;"",'All Cases - Enter Cases'!$L141+7,""))</f>
        <v/>
      </c>
      <c r="C141" t="str">
        <f>IF($A141&lt;&gt;"",'All Cases - Enter Cases'!B141,"")</f>
        <v/>
      </c>
      <c r="D141" t="str">
        <f>IF($A141&lt;&gt;"",'All Cases - Enter Cases'!C141,"")</f>
        <v/>
      </c>
      <c r="E141" t="str">
        <f>IF($A141&lt;&gt;"",'All Cases - Enter Cases'!D141,"")</f>
        <v/>
      </c>
      <c r="F141" s="12" t="str">
        <f>IF($A141&lt;&gt;"",'All Cases - Enter Cases'!E141,"")</f>
        <v/>
      </c>
      <c r="G141" s="12" t="str">
        <f>IF($A141&lt;&gt;"",'All Cases - Enter Cases'!F141,"")</f>
        <v/>
      </c>
      <c r="H141" s="4" t="str">
        <f>IF($A141&lt;&gt;"",'All Cases - Enter Cases'!G141,"")</f>
        <v/>
      </c>
      <c r="I141" t="str">
        <f>IF($A141&lt;&gt;"",'All Cases - Enter Cases'!H141,"")</f>
        <v/>
      </c>
      <c r="J141" t="str">
        <f>IF($A141&lt;&gt;"",'All Cases - Enter Cases'!I141,"")</f>
        <v/>
      </c>
      <c r="K141" t="str">
        <f>IF($A141&lt;&gt;"",'All Cases - Enter Cases'!J141,"")</f>
        <v/>
      </c>
      <c r="L141" s="4" t="str">
        <f>IF($A141&lt;&gt;"",'All Cases - Enter Cases'!K141,"")</f>
        <v/>
      </c>
      <c r="M141" t="str">
        <f>IF($A141&lt;&gt;"",'All Cases - Enter Cases'!L141,"")</f>
        <v/>
      </c>
    </row>
    <row r="142" spans="1:13" x14ac:dyDescent="0.35">
      <c r="A142" s="4" t="str">
        <f>IF('All Cases - Enter Cases'!$K142="Approved",'All Cases - Enter Cases'!A142,"")</f>
        <v/>
      </c>
      <c r="B142" s="4" t="str">
        <f>IF($N142&lt;&gt;"",$N142,IF($A142&lt;&gt;"",'All Cases - Enter Cases'!$L142+7,""))</f>
        <v/>
      </c>
      <c r="C142" t="str">
        <f>IF($A142&lt;&gt;"",'All Cases - Enter Cases'!B142,"")</f>
        <v/>
      </c>
      <c r="D142" t="str">
        <f>IF($A142&lt;&gt;"",'All Cases - Enter Cases'!C142,"")</f>
        <v/>
      </c>
      <c r="E142" t="str">
        <f>IF($A142&lt;&gt;"",'All Cases - Enter Cases'!D142,"")</f>
        <v/>
      </c>
      <c r="F142" s="12" t="str">
        <f>IF($A142&lt;&gt;"",'All Cases - Enter Cases'!E142,"")</f>
        <v/>
      </c>
      <c r="G142" s="12" t="str">
        <f>IF($A142&lt;&gt;"",'All Cases - Enter Cases'!F142,"")</f>
        <v/>
      </c>
      <c r="H142" s="4" t="str">
        <f>IF($A142&lt;&gt;"",'All Cases - Enter Cases'!G142,"")</f>
        <v/>
      </c>
      <c r="I142" t="str">
        <f>IF($A142&lt;&gt;"",'All Cases - Enter Cases'!H142,"")</f>
        <v/>
      </c>
      <c r="J142" t="str">
        <f>IF($A142&lt;&gt;"",'All Cases - Enter Cases'!I142,"")</f>
        <v/>
      </c>
      <c r="K142" t="str">
        <f>IF($A142&lt;&gt;"",'All Cases - Enter Cases'!J142,"")</f>
        <v/>
      </c>
      <c r="L142" s="4" t="str">
        <f>IF($A142&lt;&gt;"",'All Cases - Enter Cases'!K142,"")</f>
        <v/>
      </c>
      <c r="M142" t="str">
        <f>IF($A142&lt;&gt;"",'All Cases - Enter Cases'!L142,"")</f>
        <v/>
      </c>
    </row>
    <row r="143" spans="1:13" x14ac:dyDescent="0.35">
      <c r="A143" s="4" t="str">
        <f>IF('All Cases - Enter Cases'!$K143="Approved",'All Cases - Enter Cases'!A143,"")</f>
        <v/>
      </c>
      <c r="B143" s="4" t="str">
        <f>IF($N143&lt;&gt;"",$N143,IF($A143&lt;&gt;"",'All Cases - Enter Cases'!$L143+7,""))</f>
        <v/>
      </c>
      <c r="C143" t="str">
        <f>IF($A143&lt;&gt;"",'All Cases - Enter Cases'!B143,"")</f>
        <v/>
      </c>
      <c r="D143" t="str">
        <f>IF($A143&lt;&gt;"",'All Cases - Enter Cases'!C143,"")</f>
        <v/>
      </c>
      <c r="E143" t="str">
        <f>IF($A143&lt;&gt;"",'All Cases - Enter Cases'!D143,"")</f>
        <v/>
      </c>
      <c r="F143" s="12" t="str">
        <f>IF($A143&lt;&gt;"",'All Cases - Enter Cases'!E143,"")</f>
        <v/>
      </c>
      <c r="G143" s="12" t="str">
        <f>IF($A143&lt;&gt;"",'All Cases - Enter Cases'!F143,"")</f>
        <v/>
      </c>
      <c r="H143" s="4" t="str">
        <f>IF($A143&lt;&gt;"",'All Cases - Enter Cases'!G143,"")</f>
        <v/>
      </c>
      <c r="I143" t="str">
        <f>IF($A143&lt;&gt;"",'All Cases - Enter Cases'!H143,"")</f>
        <v/>
      </c>
      <c r="J143" t="str">
        <f>IF($A143&lt;&gt;"",'All Cases - Enter Cases'!I143,"")</f>
        <v/>
      </c>
      <c r="K143" t="str">
        <f>IF($A143&lt;&gt;"",'All Cases - Enter Cases'!J143,"")</f>
        <v/>
      </c>
      <c r="L143" s="4" t="str">
        <f>IF($A143&lt;&gt;"",'All Cases - Enter Cases'!K143,"")</f>
        <v/>
      </c>
      <c r="M143" t="str">
        <f>IF($A143&lt;&gt;"",'All Cases - Enter Cases'!L143,"")</f>
        <v/>
      </c>
    </row>
    <row r="144" spans="1:13" x14ac:dyDescent="0.35">
      <c r="A144" s="4" t="str">
        <f>IF('All Cases - Enter Cases'!$K144="Approved",'All Cases - Enter Cases'!A144,"")</f>
        <v/>
      </c>
      <c r="B144" s="4" t="str">
        <f>IF($N144&lt;&gt;"",$N144,IF($A144&lt;&gt;"",'All Cases - Enter Cases'!$L144+7,""))</f>
        <v/>
      </c>
      <c r="C144" t="str">
        <f>IF($A144&lt;&gt;"",'All Cases - Enter Cases'!B144,"")</f>
        <v/>
      </c>
      <c r="D144" t="str">
        <f>IF($A144&lt;&gt;"",'All Cases - Enter Cases'!C144,"")</f>
        <v/>
      </c>
      <c r="E144" t="str">
        <f>IF($A144&lt;&gt;"",'All Cases - Enter Cases'!D144,"")</f>
        <v/>
      </c>
      <c r="F144" s="12" t="str">
        <f>IF($A144&lt;&gt;"",'All Cases - Enter Cases'!E144,"")</f>
        <v/>
      </c>
      <c r="G144" s="12" t="str">
        <f>IF($A144&lt;&gt;"",'All Cases - Enter Cases'!F144,"")</f>
        <v/>
      </c>
      <c r="H144" s="4" t="str">
        <f>IF($A144&lt;&gt;"",'All Cases - Enter Cases'!G144,"")</f>
        <v/>
      </c>
      <c r="I144" t="str">
        <f>IF($A144&lt;&gt;"",'All Cases - Enter Cases'!H144,"")</f>
        <v/>
      </c>
      <c r="J144" t="str">
        <f>IF($A144&lt;&gt;"",'All Cases - Enter Cases'!I144,"")</f>
        <v/>
      </c>
      <c r="K144" t="str">
        <f>IF($A144&lt;&gt;"",'All Cases - Enter Cases'!J144,"")</f>
        <v/>
      </c>
      <c r="L144" s="4" t="str">
        <f>IF($A144&lt;&gt;"",'All Cases - Enter Cases'!K144,"")</f>
        <v/>
      </c>
      <c r="M144" t="str">
        <f>IF($A144&lt;&gt;"",'All Cases - Enter Cases'!L144,"")</f>
        <v/>
      </c>
    </row>
    <row r="145" spans="1:13" x14ac:dyDescent="0.35">
      <c r="A145" s="4" t="str">
        <f>IF('All Cases - Enter Cases'!$K145="Approved",'All Cases - Enter Cases'!A145,"")</f>
        <v/>
      </c>
      <c r="B145" s="4" t="str">
        <f>IF($N145&lt;&gt;"",$N145,IF($A145&lt;&gt;"",'All Cases - Enter Cases'!$L145+7,""))</f>
        <v/>
      </c>
      <c r="C145" t="str">
        <f>IF($A145&lt;&gt;"",'All Cases - Enter Cases'!B145,"")</f>
        <v/>
      </c>
      <c r="D145" t="str">
        <f>IF($A145&lt;&gt;"",'All Cases - Enter Cases'!C145,"")</f>
        <v/>
      </c>
      <c r="E145" t="str">
        <f>IF($A145&lt;&gt;"",'All Cases - Enter Cases'!D145,"")</f>
        <v/>
      </c>
      <c r="F145" s="12" t="str">
        <f>IF($A145&lt;&gt;"",'All Cases - Enter Cases'!E145,"")</f>
        <v/>
      </c>
      <c r="G145" s="12" t="str">
        <f>IF($A145&lt;&gt;"",'All Cases - Enter Cases'!F145,"")</f>
        <v/>
      </c>
      <c r="H145" s="4" t="str">
        <f>IF($A145&lt;&gt;"",'All Cases - Enter Cases'!G145,"")</f>
        <v/>
      </c>
      <c r="I145" t="str">
        <f>IF($A145&lt;&gt;"",'All Cases - Enter Cases'!H145,"")</f>
        <v/>
      </c>
      <c r="J145" t="str">
        <f>IF($A145&lt;&gt;"",'All Cases - Enter Cases'!I145,"")</f>
        <v/>
      </c>
      <c r="K145" t="str">
        <f>IF($A145&lt;&gt;"",'All Cases - Enter Cases'!J145,"")</f>
        <v/>
      </c>
      <c r="L145" s="4" t="str">
        <f>IF($A145&lt;&gt;"",'All Cases - Enter Cases'!K145,"")</f>
        <v/>
      </c>
      <c r="M145" t="str">
        <f>IF($A145&lt;&gt;"",'All Cases - Enter Cases'!L145,"")</f>
        <v/>
      </c>
    </row>
    <row r="146" spans="1:13" x14ac:dyDescent="0.35">
      <c r="A146" s="4" t="str">
        <f>IF('All Cases - Enter Cases'!$K146="Approved",'All Cases - Enter Cases'!A146,"")</f>
        <v/>
      </c>
      <c r="B146" s="4" t="str">
        <f>IF($N146&lt;&gt;"",$N146,IF($A146&lt;&gt;"",'All Cases - Enter Cases'!$L146+7,""))</f>
        <v/>
      </c>
      <c r="C146" t="str">
        <f>IF($A146&lt;&gt;"",'All Cases - Enter Cases'!B146,"")</f>
        <v/>
      </c>
      <c r="D146" t="str">
        <f>IF($A146&lt;&gt;"",'All Cases - Enter Cases'!C146,"")</f>
        <v/>
      </c>
      <c r="E146" t="str">
        <f>IF($A146&lt;&gt;"",'All Cases - Enter Cases'!D146,"")</f>
        <v/>
      </c>
      <c r="F146" s="12" t="str">
        <f>IF($A146&lt;&gt;"",'All Cases - Enter Cases'!E146,"")</f>
        <v/>
      </c>
      <c r="G146" s="12" t="str">
        <f>IF($A146&lt;&gt;"",'All Cases - Enter Cases'!F146,"")</f>
        <v/>
      </c>
      <c r="H146" s="4" t="str">
        <f>IF($A146&lt;&gt;"",'All Cases - Enter Cases'!G146,"")</f>
        <v/>
      </c>
      <c r="I146" t="str">
        <f>IF($A146&lt;&gt;"",'All Cases - Enter Cases'!H146,"")</f>
        <v/>
      </c>
      <c r="J146" t="str">
        <f>IF($A146&lt;&gt;"",'All Cases - Enter Cases'!I146,"")</f>
        <v/>
      </c>
      <c r="K146" t="str">
        <f>IF($A146&lt;&gt;"",'All Cases - Enter Cases'!J146,"")</f>
        <v/>
      </c>
      <c r="L146" s="4" t="str">
        <f>IF($A146&lt;&gt;"",'All Cases - Enter Cases'!K146,"")</f>
        <v/>
      </c>
      <c r="M146" t="str">
        <f>IF($A146&lt;&gt;"",'All Cases - Enter Cases'!L146,"")</f>
        <v/>
      </c>
    </row>
    <row r="147" spans="1:13" x14ac:dyDescent="0.35">
      <c r="A147" s="4" t="str">
        <f>IF('All Cases - Enter Cases'!$K147="Approved",'All Cases - Enter Cases'!A147,"")</f>
        <v/>
      </c>
      <c r="B147" s="4" t="str">
        <f>IF($N147&lt;&gt;"",$N147,IF($A147&lt;&gt;"",'All Cases - Enter Cases'!$L147+7,""))</f>
        <v/>
      </c>
      <c r="C147" t="str">
        <f>IF($A147&lt;&gt;"",'All Cases - Enter Cases'!B147,"")</f>
        <v/>
      </c>
      <c r="D147" t="str">
        <f>IF($A147&lt;&gt;"",'All Cases - Enter Cases'!C147,"")</f>
        <v/>
      </c>
      <c r="E147" t="str">
        <f>IF($A147&lt;&gt;"",'All Cases - Enter Cases'!D147,"")</f>
        <v/>
      </c>
      <c r="F147" s="12" t="str">
        <f>IF($A147&lt;&gt;"",'All Cases - Enter Cases'!E147,"")</f>
        <v/>
      </c>
      <c r="G147" s="12" t="str">
        <f>IF($A147&lt;&gt;"",'All Cases - Enter Cases'!F147,"")</f>
        <v/>
      </c>
      <c r="H147" s="4" t="str">
        <f>IF($A147&lt;&gt;"",'All Cases - Enter Cases'!G147,"")</f>
        <v/>
      </c>
      <c r="I147" t="str">
        <f>IF($A147&lt;&gt;"",'All Cases - Enter Cases'!H147,"")</f>
        <v/>
      </c>
      <c r="J147" t="str">
        <f>IF($A147&lt;&gt;"",'All Cases - Enter Cases'!I147,"")</f>
        <v/>
      </c>
      <c r="K147" t="str">
        <f>IF($A147&lt;&gt;"",'All Cases - Enter Cases'!J147,"")</f>
        <v/>
      </c>
      <c r="L147" s="4" t="str">
        <f>IF($A147&lt;&gt;"",'All Cases - Enter Cases'!K147,"")</f>
        <v/>
      </c>
      <c r="M147" t="str">
        <f>IF($A147&lt;&gt;"",'All Cases - Enter Cases'!L147,"")</f>
        <v/>
      </c>
    </row>
    <row r="148" spans="1:13" x14ac:dyDescent="0.35">
      <c r="A148" s="4" t="str">
        <f>IF('All Cases - Enter Cases'!$K148="Approved",'All Cases - Enter Cases'!A148,"")</f>
        <v/>
      </c>
      <c r="B148" s="4" t="str">
        <f>IF($N148&lt;&gt;"",$N148,IF($A148&lt;&gt;"",'All Cases - Enter Cases'!$L148+7,""))</f>
        <v/>
      </c>
      <c r="C148" t="str">
        <f>IF($A148&lt;&gt;"",'All Cases - Enter Cases'!B148,"")</f>
        <v/>
      </c>
      <c r="D148" t="str">
        <f>IF($A148&lt;&gt;"",'All Cases - Enter Cases'!C148,"")</f>
        <v/>
      </c>
      <c r="E148" t="str">
        <f>IF($A148&lt;&gt;"",'All Cases - Enter Cases'!D148,"")</f>
        <v/>
      </c>
      <c r="F148" s="12" t="str">
        <f>IF($A148&lt;&gt;"",'All Cases - Enter Cases'!E148,"")</f>
        <v/>
      </c>
      <c r="G148" s="12" t="str">
        <f>IF($A148&lt;&gt;"",'All Cases - Enter Cases'!F148,"")</f>
        <v/>
      </c>
      <c r="H148" s="4" t="str">
        <f>IF($A148&lt;&gt;"",'All Cases - Enter Cases'!G148,"")</f>
        <v/>
      </c>
      <c r="I148" t="str">
        <f>IF($A148&lt;&gt;"",'All Cases - Enter Cases'!H148,"")</f>
        <v/>
      </c>
      <c r="J148" t="str">
        <f>IF($A148&lt;&gt;"",'All Cases - Enter Cases'!I148,"")</f>
        <v/>
      </c>
      <c r="K148" t="str">
        <f>IF($A148&lt;&gt;"",'All Cases - Enter Cases'!J148,"")</f>
        <v/>
      </c>
      <c r="L148" s="4" t="str">
        <f>IF($A148&lt;&gt;"",'All Cases - Enter Cases'!K148,"")</f>
        <v/>
      </c>
      <c r="M148" t="str">
        <f>IF($A148&lt;&gt;"",'All Cases - Enter Cases'!L148,"")</f>
        <v/>
      </c>
    </row>
    <row r="149" spans="1:13" x14ac:dyDescent="0.35">
      <c r="A149" s="4" t="str">
        <f>IF('All Cases - Enter Cases'!$K149="Approved",'All Cases - Enter Cases'!A149,"")</f>
        <v/>
      </c>
      <c r="B149" s="4" t="str">
        <f>IF($N149&lt;&gt;"",$N149,IF($A149&lt;&gt;"",'All Cases - Enter Cases'!$L149+7,""))</f>
        <v/>
      </c>
      <c r="C149" t="str">
        <f>IF($A149&lt;&gt;"",'All Cases - Enter Cases'!B149,"")</f>
        <v/>
      </c>
      <c r="D149" t="str">
        <f>IF($A149&lt;&gt;"",'All Cases - Enter Cases'!C149,"")</f>
        <v/>
      </c>
      <c r="E149" t="str">
        <f>IF($A149&lt;&gt;"",'All Cases - Enter Cases'!D149,"")</f>
        <v/>
      </c>
      <c r="F149" s="12" t="str">
        <f>IF($A149&lt;&gt;"",'All Cases - Enter Cases'!E149,"")</f>
        <v/>
      </c>
      <c r="G149" s="12" t="str">
        <f>IF($A149&lt;&gt;"",'All Cases - Enter Cases'!F149,"")</f>
        <v/>
      </c>
      <c r="H149" s="4" t="str">
        <f>IF($A149&lt;&gt;"",'All Cases - Enter Cases'!G149,"")</f>
        <v/>
      </c>
      <c r="I149" t="str">
        <f>IF($A149&lt;&gt;"",'All Cases - Enter Cases'!H149,"")</f>
        <v/>
      </c>
      <c r="J149" t="str">
        <f>IF($A149&lt;&gt;"",'All Cases - Enter Cases'!I149,"")</f>
        <v/>
      </c>
      <c r="K149" t="str">
        <f>IF($A149&lt;&gt;"",'All Cases - Enter Cases'!J149,"")</f>
        <v/>
      </c>
      <c r="L149" s="4" t="str">
        <f>IF($A149&lt;&gt;"",'All Cases - Enter Cases'!K149,"")</f>
        <v/>
      </c>
      <c r="M149" t="str">
        <f>IF($A149&lt;&gt;"",'All Cases - Enter Cases'!L149,"")</f>
        <v/>
      </c>
    </row>
    <row r="150" spans="1:13" x14ac:dyDescent="0.35">
      <c r="A150" s="4" t="str">
        <f>IF('All Cases - Enter Cases'!$K150="Approved",'All Cases - Enter Cases'!A150,"")</f>
        <v/>
      </c>
      <c r="B150" s="4" t="str">
        <f>IF($N150&lt;&gt;"",$N150,IF($A150&lt;&gt;"",'All Cases - Enter Cases'!$L150+7,""))</f>
        <v/>
      </c>
      <c r="C150" t="str">
        <f>IF($A150&lt;&gt;"",'All Cases - Enter Cases'!B150,"")</f>
        <v/>
      </c>
      <c r="D150" t="str">
        <f>IF($A150&lt;&gt;"",'All Cases - Enter Cases'!C150,"")</f>
        <v/>
      </c>
      <c r="E150" t="str">
        <f>IF($A150&lt;&gt;"",'All Cases - Enter Cases'!D150,"")</f>
        <v/>
      </c>
      <c r="F150" s="12" t="str">
        <f>IF($A150&lt;&gt;"",'All Cases - Enter Cases'!E150,"")</f>
        <v/>
      </c>
      <c r="G150" s="12" t="str">
        <f>IF($A150&lt;&gt;"",'All Cases - Enter Cases'!F150,"")</f>
        <v/>
      </c>
      <c r="H150" s="4" t="str">
        <f>IF($A150&lt;&gt;"",'All Cases - Enter Cases'!G150,"")</f>
        <v/>
      </c>
      <c r="I150" t="str">
        <f>IF($A150&lt;&gt;"",'All Cases - Enter Cases'!H150,"")</f>
        <v/>
      </c>
      <c r="J150" t="str">
        <f>IF($A150&lt;&gt;"",'All Cases - Enter Cases'!I150,"")</f>
        <v/>
      </c>
      <c r="K150" t="str">
        <f>IF($A150&lt;&gt;"",'All Cases - Enter Cases'!J150,"")</f>
        <v/>
      </c>
      <c r="L150" s="4" t="str">
        <f>IF($A150&lt;&gt;"",'All Cases - Enter Cases'!K150,"")</f>
        <v/>
      </c>
      <c r="M150" t="str">
        <f>IF($A150&lt;&gt;"",'All Cases - Enter Cases'!L150,"")</f>
        <v/>
      </c>
    </row>
    <row r="151" spans="1:13" x14ac:dyDescent="0.35">
      <c r="A151" s="4" t="str">
        <f>IF('All Cases - Enter Cases'!$K151="Approved",'All Cases - Enter Cases'!A151,"")</f>
        <v/>
      </c>
      <c r="B151" s="4" t="str">
        <f>IF($N151&lt;&gt;"",$N151,IF($A151&lt;&gt;"",'All Cases - Enter Cases'!$L151+7,""))</f>
        <v/>
      </c>
      <c r="C151" t="str">
        <f>IF($A151&lt;&gt;"",'All Cases - Enter Cases'!B151,"")</f>
        <v/>
      </c>
      <c r="D151" t="str">
        <f>IF($A151&lt;&gt;"",'All Cases - Enter Cases'!C151,"")</f>
        <v/>
      </c>
      <c r="E151" t="str">
        <f>IF($A151&lt;&gt;"",'All Cases - Enter Cases'!D151,"")</f>
        <v/>
      </c>
      <c r="F151" s="12" t="str">
        <f>IF($A151&lt;&gt;"",'All Cases - Enter Cases'!E151,"")</f>
        <v/>
      </c>
      <c r="G151" s="12" t="str">
        <f>IF($A151&lt;&gt;"",'All Cases - Enter Cases'!F151,"")</f>
        <v/>
      </c>
      <c r="H151" s="4" t="str">
        <f>IF($A151&lt;&gt;"",'All Cases - Enter Cases'!G151,"")</f>
        <v/>
      </c>
      <c r="I151" t="str">
        <f>IF($A151&lt;&gt;"",'All Cases - Enter Cases'!H151,"")</f>
        <v/>
      </c>
      <c r="J151" t="str">
        <f>IF($A151&lt;&gt;"",'All Cases - Enter Cases'!I151,"")</f>
        <v/>
      </c>
      <c r="K151" t="str">
        <f>IF($A151&lt;&gt;"",'All Cases - Enter Cases'!J151,"")</f>
        <v/>
      </c>
      <c r="L151" s="4" t="str">
        <f>IF($A151&lt;&gt;"",'All Cases - Enter Cases'!K151,"")</f>
        <v/>
      </c>
      <c r="M151" t="str">
        <f>IF($A151&lt;&gt;"",'All Cases - Enter Cases'!L151,"")</f>
        <v/>
      </c>
    </row>
    <row r="152" spans="1:13" x14ac:dyDescent="0.35">
      <c r="A152" s="4" t="str">
        <f>IF('All Cases - Enter Cases'!$K152="Approved",'All Cases - Enter Cases'!A152,"")</f>
        <v/>
      </c>
      <c r="B152" s="4" t="str">
        <f>IF($N152&lt;&gt;"",$N152,IF($A152&lt;&gt;"",'All Cases - Enter Cases'!$L152+7,""))</f>
        <v/>
      </c>
      <c r="C152" t="str">
        <f>IF($A152&lt;&gt;"",'All Cases - Enter Cases'!B152,"")</f>
        <v/>
      </c>
      <c r="D152" t="str">
        <f>IF($A152&lt;&gt;"",'All Cases - Enter Cases'!C152,"")</f>
        <v/>
      </c>
      <c r="E152" t="str">
        <f>IF($A152&lt;&gt;"",'All Cases - Enter Cases'!D152,"")</f>
        <v/>
      </c>
      <c r="F152" s="12" t="str">
        <f>IF($A152&lt;&gt;"",'All Cases - Enter Cases'!E152,"")</f>
        <v/>
      </c>
      <c r="G152" s="12" t="str">
        <f>IF($A152&lt;&gt;"",'All Cases - Enter Cases'!F152,"")</f>
        <v/>
      </c>
      <c r="H152" s="4" t="str">
        <f>IF($A152&lt;&gt;"",'All Cases - Enter Cases'!G152,"")</f>
        <v/>
      </c>
      <c r="I152" t="str">
        <f>IF($A152&lt;&gt;"",'All Cases - Enter Cases'!H152,"")</f>
        <v/>
      </c>
      <c r="J152" t="str">
        <f>IF($A152&lt;&gt;"",'All Cases - Enter Cases'!I152,"")</f>
        <v/>
      </c>
      <c r="K152" t="str">
        <f>IF($A152&lt;&gt;"",'All Cases - Enter Cases'!J152,"")</f>
        <v/>
      </c>
      <c r="L152" s="4" t="str">
        <f>IF($A152&lt;&gt;"",'All Cases - Enter Cases'!K152,"")</f>
        <v/>
      </c>
      <c r="M152" t="str">
        <f>IF($A152&lt;&gt;"",'All Cases - Enter Cases'!L152,"")</f>
        <v/>
      </c>
    </row>
    <row r="153" spans="1:13" x14ac:dyDescent="0.35">
      <c r="A153" s="4" t="str">
        <f>IF('All Cases - Enter Cases'!$K153="Approved",'All Cases - Enter Cases'!A153,"")</f>
        <v/>
      </c>
      <c r="B153" s="4" t="str">
        <f>IF($N153&lt;&gt;"",$N153,IF($A153&lt;&gt;"",'All Cases - Enter Cases'!$L153+7,""))</f>
        <v/>
      </c>
      <c r="C153" t="str">
        <f>IF($A153&lt;&gt;"",'All Cases - Enter Cases'!B153,"")</f>
        <v/>
      </c>
      <c r="D153" t="str">
        <f>IF($A153&lt;&gt;"",'All Cases - Enter Cases'!C153,"")</f>
        <v/>
      </c>
      <c r="E153" t="str">
        <f>IF($A153&lt;&gt;"",'All Cases - Enter Cases'!D153,"")</f>
        <v/>
      </c>
      <c r="F153" s="12" t="str">
        <f>IF($A153&lt;&gt;"",'All Cases - Enter Cases'!E153,"")</f>
        <v/>
      </c>
      <c r="G153" s="12" t="str">
        <f>IF($A153&lt;&gt;"",'All Cases - Enter Cases'!F153,"")</f>
        <v/>
      </c>
      <c r="H153" s="4" t="str">
        <f>IF($A153&lt;&gt;"",'All Cases - Enter Cases'!G153,"")</f>
        <v/>
      </c>
      <c r="I153" t="str">
        <f>IF($A153&lt;&gt;"",'All Cases - Enter Cases'!H153,"")</f>
        <v/>
      </c>
      <c r="J153" t="str">
        <f>IF($A153&lt;&gt;"",'All Cases - Enter Cases'!I153,"")</f>
        <v/>
      </c>
      <c r="K153" t="str">
        <f>IF($A153&lt;&gt;"",'All Cases - Enter Cases'!J153,"")</f>
        <v/>
      </c>
      <c r="L153" s="4" t="str">
        <f>IF($A153&lt;&gt;"",'All Cases - Enter Cases'!K153,"")</f>
        <v/>
      </c>
      <c r="M153" t="str">
        <f>IF($A153&lt;&gt;"",'All Cases - Enter Cases'!L153,"")</f>
        <v/>
      </c>
    </row>
    <row r="154" spans="1:13" x14ac:dyDescent="0.35">
      <c r="A154" s="4" t="str">
        <f>IF('All Cases - Enter Cases'!$K154="Approved",'All Cases - Enter Cases'!A154,"")</f>
        <v/>
      </c>
      <c r="B154" s="4" t="str">
        <f>IF($N154&lt;&gt;"",$N154,IF($A154&lt;&gt;"",'All Cases - Enter Cases'!$L154+7,""))</f>
        <v/>
      </c>
      <c r="C154" t="str">
        <f>IF($A154&lt;&gt;"",'All Cases - Enter Cases'!B154,"")</f>
        <v/>
      </c>
      <c r="D154" t="str">
        <f>IF($A154&lt;&gt;"",'All Cases - Enter Cases'!C154,"")</f>
        <v/>
      </c>
      <c r="E154" t="str">
        <f>IF($A154&lt;&gt;"",'All Cases - Enter Cases'!D154,"")</f>
        <v/>
      </c>
      <c r="F154" s="12" t="str">
        <f>IF($A154&lt;&gt;"",'All Cases - Enter Cases'!E154,"")</f>
        <v/>
      </c>
      <c r="G154" s="12" t="str">
        <f>IF($A154&lt;&gt;"",'All Cases - Enter Cases'!F154,"")</f>
        <v/>
      </c>
      <c r="H154" s="4" t="str">
        <f>IF($A154&lt;&gt;"",'All Cases - Enter Cases'!G154,"")</f>
        <v/>
      </c>
      <c r="I154" t="str">
        <f>IF($A154&lt;&gt;"",'All Cases - Enter Cases'!H154,"")</f>
        <v/>
      </c>
      <c r="J154" t="str">
        <f>IF($A154&lt;&gt;"",'All Cases - Enter Cases'!I154,"")</f>
        <v/>
      </c>
      <c r="K154" t="str">
        <f>IF($A154&lt;&gt;"",'All Cases - Enter Cases'!J154,"")</f>
        <v/>
      </c>
      <c r="L154" s="4" t="str">
        <f>IF($A154&lt;&gt;"",'All Cases - Enter Cases'!K154,"")</f>
        <v/>
      </c>
      <c r="M154" t="str">
        <f>IF($A154&lt;&gt;"",'All Cases - Enter Cases'!L154,"")</f>
        <v/>
      </c>
    </row>
    <row r="155" spans="1:13" x14ac:dyDescent="0.35">
      <c r="A155" s="4" t="str">
        <f>IF('All Cases - Enter Cases'!$K155="Approved",'All Cases - Enter Cases'!A155,"")</f>
        <v/>
      </c>
      <c r="B155" s="4" t="str">
        <f>IF($N155&lt;&gt;"",$N155,IF($A155&lt;&gt;"",'All Cases - Enter Cases'!$L155+7,""))</f>
        <v/>
      </c>
      <c r="C155" t="str">
        <f>IF($A155&lt;&gt;"",'All Cases - Enter Cases'!B155,"")</f>
        <v/>
      </c>
      <c r="D155" t="str">
        <f>IF($A155&lt;&gt;"",'All Cases - Enter Cases'!C155,"")</f>
        <v/>
      </c>
      <c r="E155" t="str">
        <f>IF($A155&lt;&gt;"",'All Cases - Enter Cases'!D155,"")</f>
        <v/>
      </c>
      <c r="F155" s="12" t="str">
        <f>IF($A155&lt;&gt;"",'All Cases - Enter Cases'!E155,"")</f>
        <v/>
      </c>
      <c r="G155" s="12" t="str">
        <f>IF($A155&lt;&gt;"",'All Cases - Enter Cases'!F155,"")</f>
        <v/>
      </c>
      <c r="H155" s="4" t="str">
        <f>IF($A155&lt;&gt;"",'All Cases - Enter Cases'!G155,"")</f>
        <v/>
      </c>
      <c r="I155" t="str">
        <f>IF($A155&lt;&gt;"",'All Cases - Enter Cases'!H155,"")</f>
        <v/>
      </c>
      <c r="J155" t="str">
        <f>IF($A155&lt;&gt;"",'All Cases - Enter Cases'!I155,"")</f>
        <v/>
      </c>
      <c r="K155" t="str">
        <f>IF($A155&lt;&gt;"",'All Cases - Enter Cases'!J155,"")</f>
        <v/>
      </c>
      <c r="L155" s="4" t="str">
        <f>IF($A155&lt;&gt;"",'All Cases - Enter Cases'!K155,"")</f>
        <v/>
      </c>
      <c r="M155" t="str">
        <f>IF($A155&lt;&gt;"",'All Cases - Enter Cases'!L155,"")</f>
        <v/>
      </c>
    </row>
    <row r="156" spans="1:13" x14ac:dyDescent="0.35">
      <c r="A156" s="4" t="str">
        <f>IF('All Cases - Enter Cases'!$K156="Approved",'All Cases - Enter Cases'!A156,"")</f>
        <v/>
      </c>
      <c r="B156" s="4" t="str">
        <f>IF($N156&lt;&gt;"",$N156,IF($A156&lt;&gt;"",'All Cases - Enter Cases'!$L156+7,""))</f>
        <v/>
      </c>
      <c r="C156" t="str">
        <f>IF($A156&lt;&gt;"",'All Cases - Enter Cases'!B156,"")</f>
        <v/>
      </c>
      <c r="D156" t="str">
        <f>IF($A156&lt;&gt;"",'All Cases - Enter Cases'!C156,"")</f>
        <v/>
      </c>
      <c r="E156" t="str">
        <f>IF($A156&lt;&gt;"",'All Cases - Enter Cases'!D156,"")</f>
        <v/>
      </c>
      <c r="F156" s="12" t="str">
        <f>IF($A156&lt;&gt;"",'All Cases - Enter Cases'!E156,"")</f>
        <v/>
      </c>
      <c r="G156" s="12" t="str">
        <f>IF($A156&lt;&gt;"",'All Cases - Enter Cases'!F156,"")</f>
        <v/>
      </c>
      <c r="H156" s="4" t="str">
        <f>IF($A156&lt;&gt;"",'All Cases - Enter Cases'!G156,"")</f>
        <v/>
      </c>
      <c r="I156" t="str">
        <f>IF($A156&lt;&gt;"",'All Cases - Enter Cases'!H156,"")</f>
        <v/>
      </c>
      <c r="J156" t="str">
        <f>IF($A156&lt;&gt;"",'All Cases - Enter Cases'!I156,"")</f>
        <v/>
      </c>
      <c r="K156" t="str">
        <f>IF($A156&lt;&gt;"",'All Cases - Enter Cases'!J156,"")</f>
        <v/>
      </c>
      <c r="L156" s="4" t="str">
        <f>IF($A156&lt;&gt;"",'All Cases - Enter Cases'!K156,"")</f>
        <v/>
      </c>
      <c r="M156" t="str">
        <f>IF($A156&lt;&gt;"",'All Cases - Enter Cases'!L156,"")</f>
        <v/>
      </c>
    </row>
    <row r="157" spans="1:13" x14ac:dyDescent="0.35">
      <c r="A157" s="4" t="str">
        <f>IF('All Cases - Enter Cases'!$K157="Approved",'All Cases - Enter Cases'!A157,"")</f>
        <v/>
      </c>
      <c r="B157" s="4" t="str">
        <f>IF($N157&lt;&gt;"",$N157,IF($A157&lt;&gt;"",'All Cases - Enter Cases'!$L157+7,""))</f>
        <v/>
      </c>
      <c r="C157" t="str">
        <f>IF($A157&lt;&gt;"",'All Cases - Enter Cases'!B157,"")</f>
        <v/>
      </c>
      <c r="D157" t="str">
        <f>IF($A157&lt;&gt;"",'All Cases - Enter Cases'!C157,"")</f>
        <v/>
      </c>
      <c r="E157" t="str">
        <f>IF($A157&lt;&gt;"",'All Cases - Enter Cases'!D157,"")</f>
        <v/>
      </c>
      <c r="F157" s="12" t="str">
        <f>IF($A157&lt;&gt;"",'All Cases - Enter Cases'!E157,"")</f>
        <v/>
      </c>
      <c r="G157" s="12" t="str">
        <f>IF($A157&lt;&gt;"",'All Cases - Enter Cases'!F157,"")</f>
        <v/>
      </c>
      <c r="H157" s="4" t="str">
        <f>IF($A157&lt;&gt;"",'All Cases - Enter Cases'!G157,"")</f>
        <v/>
      </c>
      <c r="I157" t="str">
        <f>IF($A157&lt;&gt;"",'All Cases - Enter Cases'!H157,"")</f>
        <v/>
      </c>
      <c r="J157" t="str">
        <f>IF($A157&lt;&gt;"",'All Cases - Enter Cases'!I157,"")</f>
        <v/>
      </c>
      <c r="K157" t="str">
        <f>IF($A157&lt;&gt;"",'All Cases - Enter Cases'!J157,"")</f>
        <v/>
      </c>
      <c r="L157" s="4" t="str">
        <f>IF($A157&lt;&gt;"",'All Cases - Enter Cases'!K157,"")</f>
        <v/>
      </c>
      <c r="M157" t="str">
        <f>IF($A157&lt;&gt;"",'All Cases - Enter Cases'!L157,"")</f>
        <v/>
      </c>
    </row>
    <row r="158" spans="1:13" x14ac:dyDescent="0.35">
      <c r="A158" s="4" t="str">
        <f>IF('All Cases - Enter Cases'!$K158="Approved",'All Cases - Enter Cases'!A158,"")</f>
        <v/>
      </c>
      <c r="B158" s="4" t="str">
        <f>IF($N158&lt;&gt;"",$N158,IF($A158&lt;&gt;"",'All Cases - Enter Cases'!$L158+7,""))</f>
        <v/>
      </c>
      <c r="C158" t="str">
        <f>IF($A158&lt;&gt;"",'All Cases - Enter Cases'!B158,"")</f>
        <v/>
      </c>
      <c r="D158" t="str">
        <f>IF($A158&lt;&gt;"",'All Cases - Enter Cases'!C158,"")</f>
        <v/>
      </c>
      <c r="E158" t="str">
        <f>IF($A158&lt;&gt;"",'All Cases - Enter Cases'!D158,"")</f>
        <v/>
      </c>
      <c r="F158" s="12" t="str">
        <f>IF($A158&lt;&gt;"",'All Cases - Enter Cases'!E158,"")</f>
        <v/>
      </c>
      <c r="G158" s="12" t="str">
        <f>IF($A158&lt;&gt;"",'All Cases - Enter Cases'!F158,"")</f>
        <v/>
      </c>
      <c r="H158" s="4" t="str">
        <f>IF($A158&lt;&gt;"",'All Cases - Enter Cases'!G158,"")</f>
        <v/>
      </c>
      <c r="I158" t="str">
        <f>IF($A158&lt;&gt;"",'All Cases - Enter Cases'!H158,"")</f>
        <v/>
      </c>
      <c r="J158" t="str">
        <f>IF($A158&lt;&gt;"",'All Cases - Enter Cases'!I158,"")</f>
        <v/>
      </c>
      <c r="K158" t="str">
        <f>IF($A158&lt;&gt;"",'All Cases - Enter Cases'!J158,"")</f>
        <v/>
      </c>
      <c r="L158" s="4" t="str">
        <f>IF($A158&lt;&gt;"",'All Cases - Enter Cases'!K158,"")</f>
        <v/>
      </c>
      <c r="M158" t="str">
        <f>IF($A158&lt;&gt;"",'All Cases - Enter Cases'!L158,"")</f>
        <v/>
      </c>
    </row>
    <row r="159" spans="1:13" x14ac:dyDescent="0.35">
      <c r="A159" s="4" t="str">
        <f>IF('All Cases - Enter Cases'!$K159="Approved",'All Cases - Enter Cases'!A159,"")</f>
        <v/>
      </c>
      <c r="B159" s="4" t="str">
        <f>IF($N159&lt;&gt;"",$N159,IF($A159&lt;&gt;"",'All Cases - Enter Cases'!$L159+7,""))</f>
        <v/>
      </c>
      <c r="C159" t="str">
        <f>IF($A159&lt;&gt;"",'All Cases - Enter Cases'!B159,"")</f>
        <v/>
      </c>
      <c r="D159" t="str">
        <f>IF($A159&lt;&gt;"",'All Cases - Enter Cases'!C159,"")</f>
        <v/>
      </c>
      <c r="E159" t="str">
        <f>IF($A159&lt;&gt;"",'All Cases - Enter Cases'!D159,"")</f>
        <v/>
      </c>
      <c r="F159" s="12" t="str">
        <f>IF($A159&lt;&gt;"",'All Cases - Enter Cases'!E159,"")</f>
        <v/>
      </c>
      <c r="G159" s="12" t="str">
        <f>IF($A159&lt;&gt;"",'All Cases - Enter Cases'!F159,"")</f>
        <v/>
      </c>
      <c r="H159" s="4" t="str">
        <f>IF($A159&lt;&gt;"",'All Cases - Enter Cases'!G159,"")</f>
        <v/>
      </c>
      <c r="I159" t="str">
        <f>IF($A159&lt;&gt;"",'All Cases - Enter Cases'!H159,"")</f>
        <v/>
      </c>
      <c r="J159" t="str">
        <f>IF($A159&lt;&gt;"",'All Cases - Enter Cases'!I159,"")</f>
        <v/>
      </c>
      <c r="K159" t="str">
        <f>IF($A159&lt;&gt;"",'All Cases - Enter Cases'!J159,"")</f>
        <v/>
      </c>
      <c r="L159" s="4" t="str">
        <f>IF($A159&lt;&gt;"",'All Cases - Enter Cases'!K159,"")</f>
        <v/>
      </c>
      <c r="M159" t="str">
        <f>IF($A159&lt;&gt;"",'All Cases - Enter Cases'!L159,"")</f>
        <v/>
      </c>
    </row>
    <row r="160" spans="1:13" x14ac:dyDescent="0.35">
      <c r="A160" s="4" t="str">
        <f>IF('All Cases - Enter Cases'!$K160="Approved",'All Cases - Enter Cases'!A160,"")</f>
        <v/>
      </c>
      <c r="B160" s="4" t="str">
        <f>IF($N160&lt;&gt;"",$N160,IF($A160&lt;&gt;"",'All Cases - Enter Cases'!$L160+7,""))</f>
        <v/>
      </c>
      <c r="C160" t="str">
        <f>IF($A160&lt;&gt;"",'All Cases - Enter Cases'!B160,"")</f>
        <v/>
      </c>
      <c r="D160" t="str">
        <f>IF($A160&lt;&gt;"",'All Cases - Enter Cases'!C160,"")</f>
        <v/>
      </c>
      <c r="E160" t="str">
        <f>IF($A160&lt;&gt;"",'All Cases - Enter Cases'!D160,"")</f>
        <v/>
      </c>
      <c r="F160" s="12" t="str">
        <f>IF($A160&lt;&gt;"",'All Cases - Enter Cases'!E160,"")</f>
        <v/>
      </c>
      <c r="G160" s="12" t="str">
        <f>IF($A160&lt;&gt;"",'All Cases - Enter Cases'!F160,"")</f>
        <v/>
      </c>
      <c r="H160" s="4" t="str">
        <f>IF($A160&lt;&gt;"",'All Cases - Enter Cases'!G160,"")</f>
        <v/>
      </c>
      <c r="I160" t="str">
        <f>IF($A160&lt;&gt;"",'All Cases - Enter Cases'!H160,"")</f>
        <v/>
      </c>
      <c r="J160" t="str">
        <f>IF($A160&lt;&gt;"",'All Cases - Enter Cases'!I160,"")</f>
        <v/>
      </c>
      <c r="K160" t="str">
        <f>IF($A160&lt;&gt;"",'All Cases - Enter Cases'!J160,"")</f>
        <v/>
      </c>
      <c r="L160" s="4" t="str">
        <f>IF($A160&lt;&gt;"",'All Cases - Enter Cases'!K160,"")</f>
        <v/>
      </c>
      <c r="M160" t="str">
        <f>IF($A160&lt;&gt;"",'All Cases - Enter Cases'!L160,"")</f>
        <v/>
      </c>
    </row>
    <row r="161" spans="1:13" x14ac:dyDescent="0.35">
      <c r="A161" s="4" t="str">
        <f>IF('All Cases - Enter Cases'!$K161="Approved",'All Cases - Enter Cases'!A161,"")</f>
        <v/>
      </c>
      <c r="B161" s="4" t="str">
        <f>IF($N161&lt;&gt;"",$N161,IF($A161&lt;&gt;"",'All Cases - Enter Cases'!$L161+7,""))</f>
        <v/>
      </c>
      <c r="C161" t="str">
        <f>IF($A161&lt;&gt;"",'All Cases - Enter Cases'!B161,"")</f>
        <v/>
      </c>
      <c r="D161" t="str">
        <f>IF($A161&lt;&gt;"",'All Cases - Enter Cases'!C161,"")</f>
        <v/>
      </c>
      <c r="E161" t="str">
        <f>IF($A161&lt;&gt;"",'All Cases - Enter Cases'!D161,"")</f>
        <v/>
      </c>
      <c r="F161" s="12" t="str">
        <f>IF($A161&lt;&gt;"",'All Cases - Enter Cases'!E161,"")</f>
        <v/>
      </c>
      <c r="G161" s="12" t="str">
        <f>IF($A161&lt;&gt;"",'All Cases - Enter Cases'!F161,"")</f>
        <v/>
      </c>
      <c r="H161" s="4" t="str">
        <f>IF($A161&lt;&gt;"",'All Cases - Enter Cases'!G161,"")</f>
        <v/>
      </c>
      <c r="I161" t="str">
        <f>IF($A161&lt;&gt;"",'All Cases - Enter Cases'!H161,"")</f>
        <v/>
      </c>
      <c r="J161" t="str">
        <f>IF($A161&lt;&gt;"",'All Cases - Enter Cases'!I161,"")</f>
        <v/>
      </c>
      <c r="K161" t="str">
        <f>IF($A161&lt;&gt;"",'All Cases - Enter Cases'!J161,"")</f>
        <v/>
      </c>
      <c r="L161" s="4" t="str">
        <f>IF($A161&lt;&gt;"",'All Cases - Enter Cases'!K161,"")</f>
        <v/>
      </c>
      <c r="M161" t="str">
        <f>IF($A161&lt;&gt;"",'All Cases - Enter Cases'!L161,"")</f>
        <v/>
      </c>
    </row>
    <row r="162" spans="1:13" x14ac:dyDescent="0.35">
      <c r="A162" s="4" t="str">
        <f>IF('All Cases - Enter Cases'!$K162="Approved",'All Cases - Enter Cases'!A162,"")</f>
        <v/>
      </c>
      <c r="B162" s="4" t="str">
        <f>IF($N162&lt;&gt;"",$N162,IF($A162&lt;&gt;"",'All Cases - Enter Cases'!$L162+7,""))</f>
        <v/>
      </c>
      <c r="C162" t="str">
        <f>IF($A162&lt;&gt;"",'All Cases - Enter Cases'!B162,"")</f>
        <v/>
      </c>
      <c r="D162" t="str">
        <f>IF($A162&lt;&gt;"",'All Cases - Enter Cases'!C162,"")</f>
        <v/>
      </c>
      <c r="E162" t="str">
        <f>IF($A162&lt;&gt;"",'All Cases - Enter Cases'!D162,"")</f>
        <v/>
      </c>
      <c r="F162" s="12" t="str">
        <f>IF($A162&lt;&gt;"",'All Cases - Enter Cases'!E162,"")</f>
        <v/>
      </c>
      <c r="G162" s="12" t="str">
        <f>IF($A162&lt;&gt;"",'All Cases - Enter Cases'!F162,"")</f>
        <v/>
      </c>
      <c r="H162" s="4" t="str">
        <f>IF($A162&lt;&gt;"",'All Cases - Enter Cases'!G162,"")</f>
        <v/>
      </c>
      <c r="I162" t="str">
        <f>IF($A162&lt;&gt;"",'All Cases - Enter Cases'!H162,"")</f>
        <v/>
      </c>
      <c r="J162" t="str">
        <f>IF($A162&lt;&gt;"",'All Cases - Enter Cases'!I162,"")</f>
        <v/>
      </c>
      <c r="K162" t="str">
        <f>IF($A162&lt;&gt;"",'All Cases - Enter Cases'!J162,"")</f>
        <v/>
      </c>
      <c r="L162" s="4" t="str">
        <f>IF($A162&lt;&gt;"",'All Cases - Enter Cases'!K162,"")</f>
        <v/>
      </c>
      <c r="M162" t="str">
        <f>IF($A162&lt;&gt;"",'All Cases - Enter Cases'!L162,"")</f>
        <v/>
      </c>
    </row>
    <row r="163" spans="1:13" x14ac:dyDescent="0.35">
      <c r="A163" s="4" t="str">
        <f>IF('All Cases - Enter Cases'!$K163="Approved",'All Cases - Enter Cases'!A163,"")</f>
        <v/>
      </c>
      <c r="B163" s="4" t="str">
        <f>IF($N163&lt;&gt;"",$N163,IF($A163&lt;&gt;"",'All Cases - Enter Cases'!$L163+7,""))</f>
        <v/>
      </c>
      <c r="C163" t="str">
        <f>IF($A163&lt;&gt;"",'All Cases - Enter Cases'!B163,"")</f>
        <v/>
      </c>
      <c r="D163" t="str">
        <f>IF($A163&lt;&gt;"",'All Cases - Enter Cases'!C163,"")</f>
        <v/>
      </c>
      <c r="E163" t="str">
        <f>IF($A163&lt;&gt;"",'All Cases - Enter Cases'!D163,"")</f>
        <v/>
      </c>
      <c r="F163" s="12" t="str">
        <f>IF($A163&lt;&gt;"",'All Cases - Enter Cases'!E163,"")</f>
        <v/>
      </c>
      <c r="G163" s="12" t="str">
        <f>IF($A163&lt;&gt;"",'All Cases - Enter Cases'!F163,"")</f>
        <v/>
      </c>
      <c r="H163" s="4" t="str">
        <f>IF($A163&lt;&gt;"",'All Cases - Enter Cases'!G163,"")</f>
        <v/>
      </c>
      <c r="I163" t="str">
        <f>IF($A163&lt;&gt;"",'All Cases - Enter Cases'!H163,"")</f>
        <v/>
      </c>
      <c r="J163" t="str">
        <f>IF($A163&lt;&gt;"",'All Cases - Enter Cases'!I163,"")</f>
        <v/>
      </c>
      <c r="K163" t="str">
        <f>IF($A163&lt;&gt;"",'All Cases - Enter Cases'!J163,"")</f>
        <v/>
      </c>
      <c r="L163" s="4" t="str">
        <f>IF($A163&lt;&gt;"",'All Cases - Enter Cases'!K163,"")</f>
        <v/>
      </c>
      <c r="M163" t="str">
        <f>IF($A163&lt;&gt;"",'All Cases - Enter Cases'!L163,"")</f>
        <v/>
      </c>
    </row>
    <row r="164" spans="1:13" x14ac:dyDescent="0.35">
      <c r="A164" s="4" t="str">
        <f>IF('All Cases - Enter Cases'!$K164="Approved",'All Cases - Enter Cases'!A164,"")</f>
        <v/>
      </c>
      <c r="B164" s="4" t="str">
        <f>IF($N164&lt;&gt;"",$N164,IF($A164&lt;&gt;"",'All Cases - Enter Cases'!$L164+7,""))</f>
        <v/>
      </c>
      <c r="C164" t="str">
        <f>IF($A164&lt;&gt;"",'All Cases - Enter Cases'!B164,"")</f>
        <v/>
      </c>
      <c r="D164" t="str">
        <f>IF($A164&lt;&gt;"",'All Cases - Enter Cases'!C164,"")</f>
        <v/>
      </c>
      <c r="E164" t="str">
        <f>IF($A164&lt;&gt;"",'All Cases - Enter Cases'!D164,"")</f>
        <v/>
      </c>
      <c r="F164" s="12" t="str">
        <f>IF($A164&lt;&gt;"",'All Cases - Enter Cases'!E164,"")</f>
        <v/>
      </c>
      <c r="G164" s="12" t="str">
        <f>IF($A164&lt;&gt;"",'All Cases - Enter Cases'!F164,"")</f>
        <v/>
      </c>
      <c r="H164" s="4" t="str">
        <f>IF($A164&lt;&gt;"",'All Cases - Enter Cases'!G164,"")</f>
        <v/>
      </c>
      <c r="I164" t="str">
        <f>IF($A164&lt;&gt;"",'All Cases - Enter Cases'!H164,"")</f>
        <v/>
      </c>
      <c r="J164" t="str">
        <f>IF($A164&lt;&gt;"",'All Cases - Enter Cases'!I164,"")</f>
        <v/>
      </c>
      <c r="K164" t="str">
        <f>IF($A164&lt;&gt;"",'All Cases - Enter Cases'!J164,"")</f>
        <v/>
      </c>
      <c r="L164" s="4" t="str">
        <f>IF($A164&lt;&gt;"",'All Cases - Enter Cases'!K164,"")</f>
        <v/>
      </c>
      <c r="M164" t="str">
        <f>IF($A164&lt;&gt;"",'All Cases - Enter Cases'!L164,"")</f>
        <v/>
      </c>
    </row>
    <row r="165" spans="1:13" x14ac:dyDescent="0.35">
      <c r="A165" s="4" t="str">
        <f>IF('All Cases - Enter Cases'!$K165="Approved",'All Cases - Enter Cases'!A165,"")</f>
        <v/>
      </c>
      <c r="B165" s="4" t="str">
        <f>IF($N165&lt;&gt;"",$N165,IF($A165&lt;&gt;"",'All Cases - Enter Cases'!$L165+7,""))</f>
        <v/>
      </c>
      <c r="C165" t="str">
        <f>IF($A165&lt;&gt;"",'All Cases - Enter Cases'!B165,"")</f>
        <v/>
      </c>
      <c r="D165" t="str">
        <f>IF($A165&lt;&gt;"",'All Cases - Enter Cases'!C165,"")</f>
        <v/>
      </c>
      <c r="E165" t="str">
        <f>IF($A165&lt;&gt;"",'All Cases - Enter Cases'!D165,"")</f>
        <v/>
      </c>
      <c r="F165" s="12" t="str">
        <f>IF($A165&lt;&gt;"",'All Cases - Enter Cases'!E165,"")</f>
        <v/>
      </c>
      <c r="G165" s="12" t="str">
        <f>IF($A165&lt;&gt;"",'All Cases - Enter Cases'!F165,"")</f>
        <v/>
      </c>
      <c r="H165" s="4" t="str">
        <f>IF($A165&lt;&gt;"",'All Cases - Enter Cases'!G165,"")</f>
        <v/>
      </c>
      <c r="I165" t="str">
        <f>IF($A165&lt;&gt;"",'All Cases - Enter Cases'!H165,"")</f>
        <v/>
      </c>
      <c r="J165" t="str">
        <f>IF($A165&lt;&gt;"",'All Cases - Enter Cases'!I165,"")</f>
        <v/>
      </c>
      <c r="K165" t="str">
        <f>IF($A165&lt;&gt;"",'All Cases - Enter Cases'!J165,"")</f>
        <v/>
      </c>
      <c r="L165" s="4" t="str">
        <f>IF($A165&lt;&gt;"",'All Cases - Enter Cases'!K165,"")</f>
        <v/>
      </c>
      <c r="M165" t="str">
        <f>IF($A165&lt;&gt;"",'All Cases - Enter Cases'!L165,"")</f>
        <v/>
      </c>
    </row>
    <row r="166" spans="1:13" x14ac:dyDescent="0.35">
      <c r="A166" s="4" t="str">
        <f>IF('All Cases - Enter Cases'!$K166="Approved",'All Cases - Enter Cases'!A166,"")</f>
        <v/>
      </c>
      <c r="B166" s="4" t="str">
        <f>IF($N166&lt;&gt;"",$N166,IF($A166&lt;&gt;"",'All Cases - Enter Cases'!$L166+7,""))</f>
        <v/>
      </c>
      <c r="C166" t="str">
        <f>IF($A166&lt;&gt;"",'All Cases - Enter Cases'!B166,"")</f>
        <v/>
      </c>
      <c r="D166" t="str">
        <f>IF($A166&lt;&gt;"",'All Cases - Enter Cases'!C166,"")</f>
        <v/>
      </c>
      <c r="E166" t="str">
        <f>IF($A166&lt;&gt;"",'All Cases - Enter Cases'!D166,"")</f>
        <v/>
      </c>
      <c r="F166" s="12" t="str">
        <f>IF($A166&lt;&gt;"",'All Cases - Enter Cases'!E166,"")</f>
        <v/>
      </c>
      <c r="G166" s="12" t="str">
        <f>IF($A166&lt;&gt;"",'All Cases - Enter Cases'!F166,"")</f>
        <v/>
      </c>
      <c r="H166" s="4" t="str">
        <f>IF($A166&lt;&gt;"",'All Cases - Enter Cases'!G166,"")</f>
        <v/>
      </c>
      <c r="I166" t="str">
        <f>IF($A166&lt;&gt;"",'All Cases - Enter Cases'!H166,"")</f>
        <v/>
      </c>
      <c r="J166" t="str">
        <f>IF($A166&lt;&gt;"",'All Cases - Enter Cases'!I166,"")</f>
        <v/>
      </c>
      <c r="K166" t="str">
        <f>IF($A166&lt;&gt;"",'All Cases - Enter Cases'!J166,"")</f>
        <v/>
      </c>
      <c r="L166" s="4" t="str">
        <f>IF($A166&lt;&gt;"",'All Cases - Enter Cases'!K166,"")</f>
        <v/>
      </c>
      <c r="M166" t="str">
        <f>IF($A166&lt;&gt;"",'All Cases - Enter Cases'!L166,"")</f>
        <v/>
      </c>
    </row>
    <row r="167" spans="1:13" x14ac:dyDescent="0.35">
      <c r="A167" s="4" t="str">
        <f>IF('All Cases - Enter Cases'!$K167="Approved",'All Cases - Enter Cases'!A167,"")</f>
        <v/>
      </c>
      <c r="B167" s="4" t="str">
        <f>IF($N167&lt;&gt;"",$N167,IF($A167&lt;&gt;"",'All Cases - Enter Cases'!$L167+7,""))</f>
        <v/>
      </c>
      <c r="C167" t="str">
        <f>IF($A167&lt;&gt;"",'All Cases - Enter Cases'!B167,"")</f>
        <v/>
      </c>
      <c r="D167" t="str">
        <f>IF($A167&lt;&gt;"",'All Cases - Enter Cases'!C167,"")</f>
        <v/>
      </c>
      <c r="E167" t="str">
        <f>IF($A167&lt;&gt;"",'All Cases - Enter Cases'!D167,"")</f>
        <v/>
      </c>
      <c r="F167" s="12" t="str">
        <f>IF($A167&lt;&gt;"",'All Cases - Enter Cases'!E167,"")</f>
        <v/>
      </c>
      <c r="G167" s="12" t="str">
        <f>IF($A167&lt;&gt;"",'All Cases - Enter Cases'!F167,"")</f>
        <v/>
      </c>
      <c r="H167" s="4" t="str">
        <f>IF($A167&lt;&gt;"",'All Cases - Enter Cases'!G167,"")</f>
        <v/>
      </c>
      <c r="I167" t="str">
        <f>IF($A167&lt;&gt;"",'All Cases - Enter Cases'!H167,"")</f>
        <v/>
      </c>
      <c r="J167" t="str">
        <f>IF($A167&lt;&gt;"",'All Cases - Enter Cases'!I167,"")</f>
        <v/>
      </c>
      <c r="K167" t="str">
        <f>IF($A167&lt;&gt;"",'All Cases - Enter Cases'!J167,"")</f>
        <v/>
      </c>
      <c r="L167" s="4" t="str">
        <f>IF($A167&lt;&gt;"",'All Cases - Enter Cases'!K167,"")</f>
        <v/>
      </c>
      <c r="M167" t="str">
        <f>IF($A167&lt;&gt;"",'All Cases - Enter Cases'!L167,"")</f>
        <v/>
      </c>
    </row>
    <row r="168" spans="1:13" x14ac:dyDescent="0.35">
      <c r="A168" s="4" t="str">
        <f>IF('All Cases - Enter Cases'!$K168="Approved",'All Cases - Enter Cases'!A168,"")</f>
        <v/>
      </c>
      <c r="B168" s="4" t="str">
        <f>IF($N168&lt;&gt;"",$N168,IF($A168&lt;&gt;"",'All Cases - Enter Cases'!$L168+7,""))</f>
        <v/>
      </c>
      <c r="C168" t="str">
        <f>IF($A168&lt;&gt;"",'All Cases - Enter Cases'!B168,"")</f>
        <v/>
      </c>
      <c r="D168" t="str">
        <f>IF($A168&lt;&gt;"",'All Cases - Enter Cases'!C168,"")</f>
        <v/>
      </c>
      <c r="E168" t="str">
        <f>IF($A168&lt;&gt;"",'All Cases - Enter Cases'!D168,"")</f>
        <v/>
      </c>
      <c r="F168" s="12" t="str">
        <f>IF($A168&lt;&gt;"",'All Cases - Enter Cases'!E168,"")</f>
        <v/>
      </c>
      <c r="G168" s="12" t="str">
        <f>IF($A168&lt;&gt;"",'All Cases - Enter Cases'!F168,"")</f>
        <v/>
      </c>
      <c r="H168" s="4" t="str">
        <f>IF($A168&lt;&gt;"",'All Cases - Enter Cases'!G168,"")</f>
        <v/>
      </c>
      <c r="I168" t="str">
        <f>IF($A168&lt;&gt;"",'All Cases - Enter Cases'!H168,"")</f>
        <v/>
      </c>
      <c r="J168" t="str">
        <f>IF($A168&lt;&gt;"",'All Cases - Enter Cases'!I168,"")</f>
        <v/>
      </c>
      <c r="K168" t="str">
        <f>IF($A168&lt;&gt;"",'All Cases - Enter Cases'!J168,"")</f>
        <v/>
      </c>
      <c r="L168" s="4" t="str">
        <f>IF($A168&lt;&gt;"",'All Cases - Enter Cases'!K168,"")</f>
        <v/>
      </c>
      <c r="M168" t="str">
        <f>IF($A168&lt;&gt;"",'All Cases - Enter Cases'!L168,"")</f>
        <v/>
      </c>
    </row>
    <row r="169" spans="1:13" x14ac:dyDescent="0.35">
      <c r="A169" s="4" t="str">
        <f>IF('All Cases - Enter Cases'!$K169="Approved",'All Cases - Enter Cases'!A169,"")</f>
        <v/>
      </c>
      <c r="B169" s="4" t="str">
        <f>IF($N169&lt;&gt;"",$N169,IF($A169&lt;&gt;"",'All Cases - Enter Cases'!$L169+7,""))</f>
        <v/>
      </c>
      <c r="C169" t="str">
        <f>IF($A169&lt;&gt;"",'All Cases - Enter Cases'!B169,"")</f>
        <v/>
      </c>
      <c r="D169" t="str">
        <f>IF($A169&lt;&gt;"",'All Cases - Enter Cases'!C169,"")</f>
        <v/>
      </c>
      <c r="E169" t="str">
        <f>IF($A169&lt;&gt;"",'All Cases - Enter Cases'!D169,"")</f>
        <v/>
      </c>
      <c r="F169" s="12" t="str">
        <f>IF($A169&lt;&gt;"",'All Cases - Enter Cases'!E169,"")</f>
        <v/>
      </c>
      <c r="G169" s="12" t="str">
        <f>IF($A169&lt;&gt;"",'All Cases - Enter Cases'!F169,"")</f>
        <v/>
      </c>
      <c r="H169" s="4" t="str">
        <f>IF($A169&lt;&gt;"",'All Cases - Enter Cases'!G169,"")</f>
        <v/>
      </c>
      <c r="I169" t="str">
        <f>IF($A169&lt;&gt;"",'All Cases - Enter Cases'!H169,"")</f>
        <v/>
      </c>
      <c r="J169" t="str">
        <f>IF($A169&lt;&gt;"",'All Cases - Enter Cases'!I169,"")</f>
        <v/>
      </c>
      <c r="K169" t="str">
        <f>IF($A169&lt;&gt;"",'All Cases - Enter Cases'!J169,"")</f>
        <v/>
      </c>
      <c r="L169" s="4" t="str">
        <f>IF($A169&lt;&gt;"",'All Cases - Enter Cases'!K169,"")</f>
        <v/>
      </c>
      <c r="M169" t="str">
        <f>IF($A169&lt;&gt;"",'All Cases - Enter Cases'!L169,"")</f>
        <v/>
      </c>
    </row>
    <row r="170" spans="1:13" x14ac:dyDescent="0.35">
      <c r="A170" s="4" t="str">
        <f>IF('All Cases - Enter Cases'!$K170="Approved",'All Cases - Enter Cases'!A170,"")</f>
        <v/>
      </c>
      <c r="B170" s="4" t="str">
        <f>IF($N170&lt;&gt;"",$N170,IF($A170&lt;&gt;"",'All Cases - Enter Cases'!$L170+7,""))</f>
        <v/>
      </c>
      <c r="C170" t="str">
        <f>IF($A170&lt;&gt;"",'All Cases - Enter Cases'!B170,"")</f>
        <v/>
      </c>
      <c r="D170" t="str">
        <f>IF($A170&lt;&gt;"",'All Cases - Enter Cases'!C170,"")</f>
        <v/>
      </c>
      <c r="E170" t="str">
        <f>IF($A170&lt;&gt;"",'All Cases - Enter Cases'!D170,"")</f>
        <v/>
      </c>
      <c r="F170" s="12" t="str">
        <f>IF($A170&lt;&gt;"",'All Cases - Enter Cases'!E170,"")</f>
        <v/>
      </c>
      <c r="G170" s="12" t="str">
        <f>IF($A170&lt;&gt;"",'All Cases - Enter Cases'!F170,"")</f>
        <v/>
      </c>
      <c r="H170" s="4" t="str">
        <f>IF($A170&lt;&gt;"",'All Cases - Enter Cases'!G170,"")</f>
        <v/>
      </c>
      <c r="I170" t="str">
        <f>IF($A170&lt;&gt;"",'All Cases - Enter Cases'!H170,"")</f>
        <v/>
      </c>
      <c r="J170" t="str">
        <f>IF($A170&lt;&gt;"",'All Cases - Enter Cases'!I170,"")</f>
        <v/>
      </c>
      <c r="K170" t="str">
        <f>IF($A170&lt;&gt;"",'All Cases - Enter Cases'!J170,"")</f>
        <v/>
      </c>
      <c r="L170" s="4" t="str">
        <f>IF($A170&lt;&gt;"",'All Cases - Enter Cases'!K170,"")</f>
        <v/>
      </c>
      <c r="M170" t="str">
        <f>IF($A170&lt;&gt;"",'All Cases - Enter Cases'!L170,"")</f>
        <v/>
      </c>
    </row>
    <row r="171" spans="1:13" x14ac:dyDescent="0.35">
      <c r="A171" s="4" t="str">
        <f>IF('All Cases - Enter Cases'!$K171="Approved",'All Cases - Enter Cases'!A171,"")</f>
        <v/>
      </c>
      <c r="B171" s="4" t="str">
        <f>IF($N171&lt;&gt;"",$N171,IF($A171&lt;&gt;"",'All Cases - Enter Cases'!$L171+7,""))</f>
        <v/>
      </c>
      <c r="C171" t="str">
        <f>IF($A171&lt;&gt;"",'All Cases - Enter Cases'!B171,"")</f>
        <v/>
      </c>
      <c r="D171" t="str">
        <f>IF($A171&lt;&gt;"",'All Cases - Enter Cases'!C171,"")</f>
        <v/>
      </c>
      <c r="E171" t="str">
        <f>IF($A171&lt;&gt;"",'All Cases - Enter Cases'!D171,"")</f>
        <v/>
      </c>
      <c r="F171" s="12" t="str">
        <f>IF($A171&lt;&gt;"",'All Cases - Enter Cases'!E171,"")</f>
        <v/>
      </c>
      <c r="G171" s="12" t="str">
        <f>IF($A171&lt;&gt;"",'All Cases - Enter Cases'!F171,"")</f>
        <v/>
      </c>
      <c r="H171" s="4" t="str">
        <f>IF($A171&lt;&gt;"",'All Cases - Enter Cases'!G171,"")</f>
        <v/>
      </c>
      <c r="I171" t="str">
        <f>IF($A171&lt;&gt;"",'All Cases - Enter Cases'!H171,"")</f>
        <v/>
      </c>
      <c r="J171" t="str">
        <f>IF($A171&lt;&gt;"",'All Cases - Enter Cases'!I171,"")</f>
        <v/>
      </c>
      <c r="K171" t="str">
        <f>IF($A171&lt;&gt;"",'All Cases - Enter Cases'!J171,"")</f>
        <v/>
      </c>
      <c r="L171" s="4" t="str">
        <f>IF($A171&lt;&gt;"",'All Cases - Enter Cases'!K171,"")</f>
        <v/>
      </c>
      <c r="M171" t="str">
        <f>IF($A171&lt;&gt;"",'All Cases - Enter Cases'!L171,"")</f>
        <v/>
      </c>
    </row>
    <row r="172" spans="1:13" x14ac:dyDescent="0.35">
      <c r="A172" s="4" t="str">
        <f>IF('All Cases - Enter Cases'!$K172="Approved",'All Cases - Enter Cases'!A172,"")</f>
        <v/>
      </c>
      <c r="B172" s="4" t="str">
        <f>IF($N172&lt;&gt;"",$N172,IF($A172&lt;&gt;"",'All Cases - Enter Cases'!$L172+7,""))</f>
        <v/>
      </c>
      <c r="C172" t="str">
        <f>IF($A172&lt;&gt;"",'All Cases - Enter Cases'!B172,"")</f>
        <v/>
      </c>
      <c r="D172" t="str">
        <f>IF($A172&lt;&gt;"",'All Cases - Enter Cases'!C172,"")</f>
        <v/>
      </c>
      <c r="E172" t="str">
        <f>IF($A172&lt;&gt;"",'All Cases - Enter Cases'!D172,"")</f>
        <v/>
      </c>
      <c r="F172" s="12" t="str">
        <f>IF($A172&lt;&gt;"",'All Cases - Enter Cases'!E172,"")</f>
        <v/>
      </c>
      <c r="G172" s="12" t="str">
        <f>IF($A172&lt;&gt;"",'All Cases - Enter Cases'!F172,"")</f>
        <v/>
      </c>
      <c r="H172" s="4" t="str">
        <f>IF($A172&lt;&gt;"",'All Cases - Enter Cases'!G172,"")</f>
        <v/>
      </c>
      <c r="I172" t="str">
        <f>IF($A172&lt;&gt;"",'All Cases - Enter Cases'!H172,"")</f>
        <v/>
      </c>
      <c r="J172" t="str">
        <f>IF($A172&lt;&gt;"",'All Cases - Enter Cases'!I172,"")</f>
        <v/>
      </c>
      <c r="K172" t="str">
        <f>IF($A172&lt;&gt;"",'All Cases - Enter Cases'!J172,"")</f>
        <v/>
      </c>
      <c r="L172" s="4" t="str">
        <f>IF($A172&lt;&gt;"",'All Cases - Enter Cases'!K172,"")</f>
        <v/>
      </c>
      <c r="M172" t="str">
        <f>IF($A172&lt;&gt;"",'All Cases - Enter Cases'!L172,"")</f>
        <v/>
      </c>
    </row>
    <row r="173" spans="1:13" x14ac:dyDescent="0.35">
      <c r="A173" s="4" t="str">
        <f>IF('All Cases - Enter Cases'!$K173="Approved",'All Cases - Enter Cases'!A173,"")</f>
        <v/>
      </c>
      <c r="B173" s="4" t="str">
        <f>IF($N173&lt;&gt;"",$N173,IF($A173&lt;&gt;"",'All Cases - Enter Cases'!$L173+7,""))</f>
        <v/>
      </c>
      <c r="C173" t="str">
        <f>IF($A173&lt;&gt;"",'All Cases - Enter Cases'!B173,"")</f>
        <v/>
      </c>
      <c r="D173" t="str">
        <f>IF($A173&lt;&gt;"",'All Cases - Enter Cases'!C173,"")</f>
        <v/>
      </c>
      <c r="E173" t="str">
        <f>IF($A173&lt;&gt;"",'All Cases - Enter Cases'!D173,"")</f>
        <v/>
      </c>
      <c r="F173" s="12" t="str">
        <f>IF($A173&lt;&gt;"",'All Cases - Enter Cases'!E173,"")</f>
        <v/>
      </c>
      <c r="G173" s="12" t="str">
        <f>IF($A173&lt;&gt;"",'All Cases - Enter Cases'!F173,"")</f>
        <v/>
      </c>
      <c r="H173" s="4" t="str">
        <f>IF($A173&lt;&gt;"",'All Cases - Enter Cases'!G173,"")</f>
        <v/>
      </c>
      <c r="I173" t="str">
        <f>IF($A173&lt;&gt;"",'All Cases - Enter Cases'!H173,"")</f>
        <v/>
      </c>
      <c r="J173" t="str">
        <f>IF($A173&lt;&gt;"",'All Cases - Enter Cases'!I173,"")</f>
        <v/>
      </c>
      <c r="K173" t="str">
        <f>IF($A173&lt;&gt;"",'All Cases - Enter Cases'!J173,"")</f>
        <v/>
      </c>
      <c r="L173" s="4" t="str">
        <f>IF($A173&lt;&gt;"",'All Cases - Enter Cases'!K173,"")</f>
        <v/>
      </c>
      <c r="M173" t="str">
        <f>IF($A173&lt;&gt;"",'All Cases - Enter Cases'!L173,"")</f>
        <v/>
      </c>
    </row>
    <row r="174" spans="1:13" x14ac:dyDescent="0.35">
      <c r="A174" s="4" t="str">
        <f>IF('All Cases - Enter Cases'!$K174="Approved",'All Cases - Enter Cases'!A174,"")</f>
        <v/>
      </c>
      <c r="B174" s="4" t="str">
        <f>IF($N174&lt;&gt;"",$N174,IF($A174&lt;&gt;"",'All Cases - Enter Cases'!$L174+7,""))</f>
        <v/>
      </c>
      <c r="C174" t="str">
        <f>IF($A174&lt;&gt;"",'All Cases - Enter Cases'!B174,"")</f>
        <v/>
      </c>
      <c r="D174" t="str">
        <f>IF($A174&lt;&gt;"",'All Cases - Enter Cases'!C174,"")</f>
        <v/>
      </c>
      <c r="E174" t="str">
        <f>IF($A174&lt;&gt;"",'All Cases - Enter Cases'!D174,"")</f>
        <v/>
      </c>
      <c r="F174" s="12" t="str">
        <f>IF($A174&lt;&gt;"",'All Cases - Enter Cases'!E174,"")</f>
        <v/>
      </c>
      <c r="G174" s="12" t="str">
        <f>IF($A174&lt;&gt;"",'All Cases - Enter Cases'!F174,"")</f>
        <v/>
      </c>
      <c r="H174" s="4" t="str">
        <f>IF($A174&lt;&gt;"",'All Cases - Enter Cases'!G174,"")</f>
        <v/>
      </c>
      <c r="I174" t="str">
        <f>IF($A174&lt;&gt;"",'All Cases - Enter Cases'!H174,"")</f>
        <v/>
      </c>
      <c r="J174" t="str">
        <f>IF($A174&lt;&gt;"",'All Cases - Enter Cases'!I174,"")</f>
        <v/>
      </c>
      <c r="K174" t="str">
        <f>IF($A174&lt;&gt;"",'All Cases - Enter Cases'!J174,"")</f>
        <v/>
      </c>
      <c r="L174" s="4" t="str">
        <f>IF($A174&lt;&gt;"",'All Cases - Enter Cases'!K174,"")</f>
        <v/>
      </c>
      <c r="M174" t="str">
        <f>IF($A174&lt;&gt;"",'All Cases - Enter Cases'!L174,"")</f>
        <v/>
      </c>
    </row>
    <row r="175" spans="1:13" x14ac:dyDescent="0.35">
      <c r="A175" s="4" t="str">
        <f>IF('All Cases - Enter Cases'!$K175="Approved",'All Cases - Enter Cases'!A175,"")</f>
        <v/>
      </c>
      <c r="B175" s="4" t="str">
        <f>IF($N175&lt;&gt;"",$N175,IF($A175&lt;&gt;"",'All Cases - Enter Cases'!$L175+7,""))</f>
        <v/>
      </c>
      <c r="C175" t="str">
        <f>IF($A175&lt;&gt;"",'All Cases - Enter Cases'!B175,"")</f>
        <v/>
      </c>
      <c r="D175" t="str">
        <f>IF($A175&lt;&gt;"",'All Cases - Enter Cases'!C175,"")</f>
        <v/>
      </c>
      <c r="E175" t="str">
        <f>IF($A175&lt;&gt;"",'All Cases - Enter Cases'!D175,"")</f>
        <v/>
      </c>
      <c r="F175" s="12" t="str">
        <f>IF($A175&lt;&gt;"",'All Cases - Enter Cases'!E175,"")</f>
        <v/>
      </c>
      <c r="G175" s="12" t="str">
        <f>IF($A175&lt;&gt;"",'All Cases - Enter Cases'!F175,"")</f>
        <v/>
      </c>
      <c r="H175" s="4" t="str">
        <f>IF($A175&lt;&gt;"",'All Cases - Enter Cases'!G175,"")</f>
        <v/>
      </c>
      <c r="I175" t="str">
        <f>IF($A175&lt;&gt;"",'All Cases - Enter Cases'!H175,"")</f>
        <v/>
      </c>
      <c r="J175" t="str">
        <f>IF($A175&lt;&gt;"",'All Cases - Enter Cases'!I175,"")</f>
        <v/>
      </c>
      <c r="K175" t="str">
        <f>IF($A175&lt;&gt;"",'All Cases - Enter Cases'!J175,"")</f>
        <v/>
      </c>
      <c r="L175" s="4" t="str">
        <f>IF($A175&lt;&gt;"",'All Cases - Enter Cases'!K175,"")</f>
        <v/>
      </c>
      <c r="M175" t="str">
        <f>IF($A175&lt;&gt;"",'All Cases - Enter Cases'!L175,"")</f>
        <v/>
      </c>
    </row>
    <row r="176" spans="1:13" x14ac:dyDescent="0.35">
      <c r="A176" s="4" t="str">
        <f>IF('All Cases - Enter Cases'!$K176="Approved",'All Cases - Enter Cases'!A176,"")</f>
        <v/>
      </c>
      <c r="B176" s="4" t="str">
        <f>IF($N176&lt;&gt;"",$N176,IF($A176&lt;&gt;"",'All Cases - Enter Cases'!$L176+7,""))</f>
        <v/>
      </c>
      <c r="C176" t="str">
        <f>IF($A176&lt;&gt;"",'All Cases - Enter Cases'!B176,"")</f>
        <v/>
      </c>
      <c r="D176" t="str">
        <f>IF($A176&lt;&gt;"",'All Cases - Enter Cases'!C176,"")</f>
        <v/>
      </c>
      <c r="E176" t="str">
        <f>IF($A176&lt;&gt;"",'All Cases - Enter Cases'!D176,"")</f>
        <v/>
      </c>
      <c r="F176" s="12" t="str">
        <f>IF($A176&lt;&gt;"",'All Cases - Enter Cases'!E176,"")</f>
        <v/>
      </c>
      <c r="G176" s="12" t="str">
        <f>IF($A176&lt;&gt;"",'All Cases - Enter Cases'!F176,"")</f>
        <v/>
      </c>
      <c r="H176" s="4" t="str">
        <f>IF($A176&lt;&gt;"",'All Cases - Enter Cases'!G176,"")</f>
        <v/>
      </c>
      <c r="I176" t="str">
        <f>IF($A176&lt;&gt;"",'All Cases - Enter Cases'!H176,"")</f>
        <v/>
      </c>
      <c r="J176" t="str">
        <f>IF($A176&lt;&gt;"",'All Cases - Enter Cases'!I176,"")</f>
        <v/>
      </c>
      <c r="K176" t="str">
        <f>IF($A176&lt;&gt;"",'All Cases - Enter Cases'!J176,"")</f>
        <v/>
      </c>
      <c r="L176" s="4" t="str">
        <f>IF($A176&lt;&gt;"",'All Cases - Enter Cases'!K176,"")</f>
        <v/>
      </c>
      <c r="M176" t="str">
        <f>IF($A176&lt;&gt;"",'All Cases - Enter Cases'!L176,"")</f>
        <v/>
      </c>
    </row>
    <row r="177" spans="1:13" x14ac:dyDescent="0.35">
      <c r="A177" s="4" t="str">
        <f>IF('All Cases - Enter Cases'!$K177="Approved",'All Cases - Enter Cases'!A177,"")</f>
        <v/>
      </c>
      <c r="B177" s="4" t="str">
        <f>IF($N177&lt;&gt;"",$N177,IF($A177&lt;&gt;"",'All Cases - Enter Cases'!$L177+7,""))</f>
        <v/>
      </c>
      <c r="C177" t="str">
        <f>IF($A177&lt;&gt;"",'All Cases - Enter Cases'!B177,"")</f>
        <v/>
      </c>
      <c r="D177" t="str">
        <f>IF($A177&lt;&gt;"",'All Cases - Enter Cases'!C177,"")</f>
        <v/>
      </c>
      <c r="E177" t="str">
        <f>IF($A177&lt;&gt;"",'All Cases - Enter Cases'!D177,"")</f>
        <v/>
      </c>
      <c r="F177" s="12" t="str">
        <f>IF($A177&lt;&gt;"",'All Cases - Enter Cases'!E177,"")</f>
        <v/>
      </c>
      <c r="G177" s="12" t="str">
        <f>IF($A177&lt;&gt;"",'All Cases - Enter Cases'!F177,"")</f>
        <v/>
      </c>
      <c r="H177" s="4" t="str">
        <f>IF($A177&lt;&gt;"",'All Cases - Enter Cases'!G177,"")</f>
        <v/>
      </c>
      <c r="I177" t="str">
        <f>IF($A177&lt;&gt;"",'All Cases - Enter Cases'!H177,"")</f>
        <v/>
      </c>
      <c r="J177" t="str">
        <f>IF($A177&lt;&gt;"",'All Cases - Enter Cases'!I177,"")</f>
        <v/>
      </c>
      <c r="K177" t="str">
        <f>IF($A177&lt;&gt;"",'All Cases - Enter Cases'!J177,"")</f>
        <v/>
      </c>
      <c r="L177" s="4" t="str">
        <f>IF($A177&lt;&gt;"",'All Cases - Enter Cases'!K177,"")</f>
        <v/>
      </c>
      <c r="M177" t="str">
        <f>IF($A177&lt;&gt;"",'All Cases - Enter Cases'!L177,"")</f>
        <v/>
      </c>
    </row>
    <row r="178" spans="1:13" x14ac:dyDescent="0.35">
      <c r="A178" s="4" t="str">
        <f>IF('All Cases - Enter Cases'!$K178="Approved",'All Cases - Enter Cases'!A178,"")</f>
        <v/>
      </c>
      <c r="B178" s="4" t="str">
        <f>IF($N178&lt;&gt;"",$N178,IF($A178&lt;&gt;"",'All Cases - Enter Cases'!$L178+7,""))</f>
        <v/>
      </c>
      <c r="C178" t="str">
        <f>IF($A178&lt;&gt;"",'All Cases - Enter Cases'!B178,"")</f>
        <v/>
      </c>
      <c r="D178" t="str">
        <f>IF($A178&lt;&gt;"",'All Cases - Enter Cases'!C178,"")</f>
        <v/>
      </c>
      <c r="E178" t="str">
        <f>IF($A178&lt;&gt;"",'All Cases - Enter Cases'!D178,"")</f>
        <v/>
      </c>
      <c r="F178" s="12" t="str">
        <f>IF($A178&lt;&gt;"",'All Cases - Enter Cases'!E178,"")</f>
        <v/>
      </c>
      <c r="G178" s="12" t="str">
        <f>IF($A178&lt;&gt;"",'All Cases - Enter Cases'!F178,"")</f>
        <v/>
      </c>
      <c r="H178" s="4" t="str">
        <f>IF($A178&lt;&gt;"",'All Cases - Enter Cases'!G178,"")</f>
        <v/>
      </c>
      <c r="I178" t="str">
        <f>IF($A178&lt;&gt;"",'All Cases - Enter Cases'!H178,"")</f>
        <v/>
      </c>
      <c r="J178" t="str">
        <f>IF($A178&lt;&gt;"",'All Cases - Enter Cases'!I178,"")</f>
        <v/>
      </c>
      <c r="K178" t="str">
        <f>IF($A178&lt;&gt;"",'All Cases - Enter Cases'!J178,"")</f>
        <v/>
      </c>
      <c r="L178" s="4" t="str">
        <f>IF($A178&lt;&gt;"",'All Cases - Enter Cases'!K178,"")</f>
        <v/>
      </c>
      <c r="M178" t="str">
        <f>IF($A178&lt;&gt;"",'All Cases - Enter Cases'!L178,"")</f>
        <v/>
      </c>
    </row>
    <row r="179" spans="1:13" x14ac:dyDescent="0.35">
      <c r="A179" s="4" t="str">
        <f>IF('All Cases - Enter Cases'!$K179="Approved",'All Cases - Enter Cases'!A179,"")</f>
        <v/>
      </c>
      <c r="B179" s="4" t="str">
        <f>IF($N179&lt;&gt;"",$N179,IF($A179&lt;&gt;"",'All Cases - Enter Cases'!$L179+7,""))</f>
        <v/>
      </c>
      <c r="C179" t="str">
        <f>IF($A179&lt;&gt;"",'All Cases - Enter Cases'!B179,"")</f>
        <v/>
      </c>
      <c r="D179" t="str">
        <f>IF($A179&lt;&gt;"",'All Cases - Enter Cases'!C179,"")</f>
        <v/>
      </c>
      <c r="E179" t="str">
        <f>IF($A179&lt;&gt;"",'All Cases - Enter Cases'!D179,"")</f>
        <v/>
      </c>
      <c r="F179" s="12" t="str">
        <f>IF($A179&lt;&gt;"",'All Cases - Enter Cases'!E179,"")</f>
        <v/>
      </c>
      <c r="G179" s="12" t="str">
        <f>IF($A179&lt;&gt;"",'All Cases - Enter Cases'!F179,"")</f>
        <v/>
      </c>
      <c r="H179" s="4" t="str">
        <f>IF($A179&lt;&gt;"",'All Cases - Enter Cases'!G179,"")</f>
        <v/>
      </c>
      <c r="I179" t="str">
        <f>IF($A179&lt;&gt;"",'All Cases - Enter Cases'!H179,"")</f>
        <v/>
      </c>
      <c r="J179" t="str">
        <f>IF($A179&lt;&gt;"",'All Cases - Enter Cases'!I179,"")</f>
        <v/>
      </c>
      <c r="K179" t="str">
        <f>IF($A179&lt;&gt;"",'All Cases - Enter Cases'!J179,"")</f>
        <v/>
      </c>
      <c r="L179" s="4" t="str">
        <f>IF($A179&lt;&gt;"",'All Cases - Enter Cases'!K179,"")</f>
        <v/>
      </c>
      <c r="M179" t="str">
        <f>IF($A179&lt;&gt;"",'All Cases - Enter Cases'!L179,"")</f>
        <v/>
      </c>
    </row>
    <row r="180" spans="1:13" x14ac:dyDescent="0.35">
      <c r="A180" s="4" t="str">
        <f>IF('All Cases - Enter Cases'!$K180="Approved",'All Cases - Enter Cases'!A180,"")</f>
        <v/>
      </c>
      <c r="B180" s="4" t="str">
        <f>IF($N180&lt;&gt;"",$N180,IF($A180&lt;&gt;"",'All Cases - Enter Cases'!$L180+7,""))</f>
        <v/>
      </c>
      <c r="C180" t="str">
        <f>IF($A180&lt;&gt;"",'All Cases - Enter Cases'!B180,"")</f>
        <v/>
      </c>
      <c r="D180" t="str">
        <f>IF($A180&lt;&gt;"",'All Cases - Enter Cases'!C180,"")</f>
        <v/>
      </c>
      <c r="E180" t="str">
        <f>IF($A180&lt;&gt;"",'All Cases - Enter Cases'!D180,"")</f>
        <v/>
      </c>
      <c r="F180" s="12" t="str">
        <f>IF($A180&lt;&gt;"",'All Cases - Enter Cases'!E180,"")</f>
        <v/>
      </c>
      <c r="G180" s="12" t="str">
        <f>IF($A180&lt;&gt;"",'All Cases - Enter Cases'!F180,"")</f>
        <v/>
      </c>
      <c r="H180" s="4" t="str">
        <f>IF($A180&lt;&gt;"",'All Cases - Enter Cases'!G180,"")</f>
        <v/>
      </c>
      <c r="I180" t="str">
        <f>IF($A180&lt;&gt;"",'All Cases - Enter Cases'!H180,"")</f>
        <v/>
      </c>
      <c r="J180" t="str">
        <f>IF($A180&lt;&gt;"",'All Cases - Enter Cases'!I180,"")</f>
        <v/>
      </c>
      <c r="K180" t="str">
        <f>IF($A180&lt;&gt;"",'All Cases - Enter Cases'!J180,"")</f>
        <v/>
      </c>
      <c r="L180" s="4" t="str">
        <f>IF($A180&lt;&gt;"",'All Cases - Enter Cases'!K180,"")</f>
        <v/>
      </c>
      <c r="M180" t="str">
        <f>IF($A180&lt;&gt;"",'All Cases - Enter Cases'!L180,"")</f>
        <v/>
      </c>
    </row>
    <row r="181" spans="1:13" x14ac:dyDescent="0.35">
      <c r="A181" s="4" t="str">
        <f>IF('All Cases - Enter Cases'!$K181="Approved",'All Cases - Enter Cases'!A181,"")</f>
        <v/>
      </c>
      <c r="B181" s="4" t="str">
        <f>IF($N181&lt;&gt;"",$N181,IF($A181&lt;&gt;"",'All Cases - Enter Cases'!$L181+7,""))</f>
        <v/>
      </c>
      <c r="C181" t="str">
        <f>IF($A181&lt;&gt;"",'All Cases - Enter Cases'!B181,"")</f>
        <v/>
      </c>
      <c r="D181" t="str">
        <f>IF($A181&lt;&gt;"",'All Cases - Enter Cases'!C181,"")</f>
        <v/>
      </c>
      <c r="E181" t="str">
        <f>IF($A181&lt;&gt;"",'All Cases - Enter Cases'!D181,"")</f>
        <v/>
      </c>
      <c r="F181" s="12" t="str">
        <f>IF($A181&lt;&gt;"",'All Cases - Enter Cases'!E181,"")</f>
        <v/>
      </c>
      <c r="G181" s="12" t="str">
        <f>IF($A181&lt;&gt;"",'All Cases - Enter Cases'!F181,"")</f>
        <v/>
      </c>
      <c r="H181" s="4" t="str">
        <f>IF($A181&lt;&gt;"",'All Cases - Enter Cases'!G181,"")</f>
        <v/>
      </c>
      <c r="I181" t="str">
        <f>IF($A181&lt;&gt;"",'All Cases - Enter Cases'!H181,"")</f>
        <v/>
      </c>
      <c r="J181" t="str">
        <f>IF($A181&lt;&gt;"",'All Cases - Enter Cases'!I181,"")</f>
        <v/>
      </c>
      <c r="K181" t="str">
        <f>IF($A181&lt;&gt;"",'All Cases - Enter Cases'!J181,"")</f>
        <v/>
      </c>
      <c r="L181" s="4" t="str">
        <f>IF($A181&lt;&gt;"",'All Cases - Enter Cases'!K181,"")</f>
        <v/>
      </c>
      <c r="M181" t="str">
        <f>IF($A181&lt;&gt;"",'All Cases - Enter Cases'!L181,"")</f>
        <v/>
      </c>
    </row>
    <row r="182" spans="1:13" x14ac:dyDescent="0.35">
      <c r="A182" s="4" t="str">
        <f>IF('All Cases - Enter Cases'!$K182="Approved",'All Cases - Enter Cases'!A182,"")</f>
        <v/>
      </c>
      <c r="B182" s="4" t="str">
        <f>IF($N182&lt;&gt;"",$N182,IF($A182&lt;&gt;"",'All Cases - Enter Cases'!$L182+7,""))</f>
        <v/>
      </c>
      <c r="C182" t="str">
        <f>IF($A182&lt;&gt;"",'All Cases - Enter Cases'!B182,"")</f>
        <v/>
      </c>
      <c r="D182" t="str">
        <f>IF($A182&lt;&gt;"",'All Cases - Enter Cases'!C182,"")</f>
        <v/>
      </c>
      <c r="E182" t="str">
        <f>IF($A182&lt;&gt;"",'All Cases - Enter Cases'!D182,"")</f>
        <v/>
      </c>
      <c r="F182" s="12" t="str">
        <f>IF($A182&lt;&gt;"",'All Cases - Enter Cases'!E182,"")</f>
        <v/>
      </c>
      <c r="G182" s="12" t="str">
        <f>IF($A182&lt;&gt;"",'All Cases - Enter Cases'!F182,"")</f>
        <v/>
      </c>
      <c r="H182" s="4" t="str">
        <f>IF($A182&lt;&gt;"",'All Cases - Enter Cases'!G182,"")</f>
        <v/>
      </c>
      <c r="I182" t="str">
        <f>IF($A182&lt;&gt;"",'All Cases - Enter Cases'!H182,"")</f>
        <v/>
      </c>
      <c r="J182" t="str">
        <f>IF($A182&lt;&gt;"",'All Cases - Enter Cases'!I182,"")</f>
        <v/>
      </c>
      <c r="K182" t="str">
        <f>IF($A182&lt;&gt;"",'All Cases - Enter Cases'!J182,"")</f>
        <v/>
      </c>
      <c r="L182" s="4" t="str">
        <f>IF($A182&lt;&gt;"",'All Cases - Enter Cases'!K182,"")</f>
        <v/>
      </c>
      <c r="M182" t="str">
        <f>IF($A182&lt;&gt;"",'All Cases - Enter Cases'!L182,"")</f>
        <v/>
      </c>
    </row>
    <row r="183" spans="1:13" x14ac:dyDescent="0.35">
      <c r="A183" s="4" t="str">
        <f>IF('All Cases - Enter Cases'!$K183="Approved",'All Cases - Enter Cases'!A183,"")</f>
        <v/>
      </c>
      <c r="B183" s="4" t="str">
        <f>IF($N183&lt;&gt;"",$N183,IF($A183&lt;&gt;"",'All Cases - Enter Cases'!$L183+7,""))</f>
        <v/>
      </c>
      <c r="C183" t="str">
        <f>IF($A183&lt;&gt;"",'All Cases - Enter Cases'!B183,"")</f>
        <v/>
      </c>
      <c r="D183" t="str">
        <f>IF($A183&lt;&gt;"",'All Cases - Enter Cases'!C183,"")</f>
        <v/>
      </c>
      <c r="E183" t="str">
        <f>IF($A183&lt;&gt;"",'All Cases - Enter Cases'!D183,"")</f>
        <v/>
      </c>
      <c r="F183" s="12" t="str">
        <f>IF($A183&lt;&gt;"",'All Cases - Enter Cases'!E183,"")</f>
        <v/>
      </c>
      <c r="G183" s="12" t="str">
        <f>IF($A183&lt;&gt;"",'All Cases - Enter Cases'!F183,"")</f>
        <v/>
      </c>
      <c r="H183" s="4" t="str">
        <f>IF($A183&lt;&gt;"",'All Cases - Enter Cases'!G183,"")</f>
        <v/>
      </c>
      <c r="I183" t="str">
        <f>IF($A183&lt;&gt;"",'All Cases - Enter Cases'!H183,"")</f>
        <v/>
      </c>
      <c r="J183" t="str">
        <f>IF($A183&lt;&gt;"",'All Cases - Enter Cases'!I183,"")</f>
        <v/>
      </c>
      <c r="K183" t="str">
        <f>IF($A183&lt;&gt;"",'All Cases - Enter Cases'!J183,"")</f>
        <v/>
      </c>
      <c r="L183" s="4" t="str">
        <f>IF($A183&lt;&gt;"",'All Cases - Enter Cases'!K183,"")</f>
        <v/>
      </c>
      <c r="M183" t="str">
        <f>IF($A183&lt;&gt;"",'All Cases - Enter Cases'!L183,"")</f>
        <v/>
      </c>
    </row>
    <row r="184" spans="1:13" x14ac:dyDescent="0.35">
      <c r="A184" s="4" t="str">
        <f>IF('All Cases - Enter Cases'!$K184="Approved",'All Cases - Enter Cases'!A184,"")</f>
        <v/>
      </c>
      <c r="B184" s="4" t="str">
        <f>IF($N184&lt;&gt;"",$N184,IF($A184&lt;&gt;"",'All Cases - Enter Cases'!$L184+7,""))</f>
        <v/>
      </c>
      <c r="C184" t="str">
        <f>IF($A184&lt;&gt;"",'All Cases - Enter Cases'!B184,"")</f>
        <v/>
      </c>
      <c r="D184" t="str">
        <f>IF($A184&lt;&gt;"",'All Cases - Enter Cases'!C184,"")</f>
        <v/>
      </c>
      <c r="E184" t="str">
        <f>IF($A184&lt;&gt;"",'All Cases - Enter Cases'!D184,"")</f>
        <v/>
      </c>
      <c r="F184" s="12" t="str">
        <f>IF($A184&lt;&gt;"",'All Cases - Enter Cases'!E184,"")</f>
        <v/>
      </c>
      <c r="G184" s="12" t="str">
        <f>IF($A184&lt;&gt;"",'All Cases - Enter Cases'!F184,"")</f>
        <v/>
      </c>
      <c r="H184" s="4" t="str">
        <f>IF($A184&lt;&gt;"",'All Cases - Enter Cases'!G184,"")</f>
        <v/>
      </c>
      <c r="I184" t="str">
        <f>IF($A184&lt;&gt;"",'All Cases - Enter Cases'!H184,"")</f>
        <v/>
      </c>
      <c r="J184" t="str">
        <f>IF($A184&lt;&gt;"",'All Cases - Enter Cases'!I184,"")</f>
        <v/>
      </c>
      <c r="K184" t="str">
        <f>IF($A184&lt;&gt;"",'All Cases - Enter Cases'!J184,"")</f>
        <v/>
      </c>
      <c r="L184" s="4" t="str">
        <f>IF($A184&lt;&gt;"",'All Cases - Enter Cases'!K184,"")</f>
        <v/>
      </c>
      <c r="M184" t="str">
        <f>IF($A184&lt;&gt;"",'All Cases - Enter Cases'!L184,"")</f>
        <v/>
      </c>
    </row>
    <row r="185" spans="1:13" x14ac:dyDescent="0.35">
      <c r="A185" s="4" t="str">
        <f>IF('All Cases - Enter Cases'!$K185="Approved",'All Cases - Enter Cases'!A185,"")</f>
        <v/>
      </c>
      <c r="B185" s="4" t="str">
        <f>IF($N185&lt;&gt;"",$N185,IF($A185&lt;&gt;"",'All Cases - Enter Cases'!$L185+7,""))</f>
        <v/>
      </c>
      <c r="C185" t="str">
        <f>IF($A185&lt;&gt;"",'All Cases - Enter Cases'!B185,"")</f>
        <v/>
      </c>
      <c r="D185" t="str">
        <f>IF($A185&lt;&gt;"",'All Cases - Enter Cases'!C185,"")</f>
        <v/>
      </c>
      <c r="E185" t="str">
        <f>IF($A185&lt;&gt;"",'All Cases - Enter Cases'!D185,"")</f>
        <v/>
      </c>
      <c r="F185" s="12" t="str">
        <f>IF($A185&lt;&gt;"",'All Cases - Enter Cases'!E185,"")</f>
        <v/>
      </c>
      <c r="G185" s="12" t="str">
        <f>IF($A185&lt;&gt;"",'All Cases - Enter Cases'!F185,"")</f>
        <v/>
      </c>
      <c r="H185" s="4" t="str">
        <f>IF($A185&lt;&gt;"",'All Cases - Enter Cases'!G185,"")</f>
        <v/>
      </c>
      <c r="I185" t="str">
        <f>IF($A185&lt;&gt;"",'All Cases - Enter Cases'!H185,"")</f>
        <v/>
      </c>
      <c r="J185" t="str">
        <f>IF($A185&lt;&gt;"",'All Cases - Enter Cases'!I185,"")</f>
        <v/>
      </c>
      <c r="K185" t="str">
        <f>IF($A185&lt;&gt;"",'All Cases - Enter Cases'!J185,"")</f>
        <v/>
      </c>
      <c r="L185" s="4" t="str">
        <f>IF($A185&lt;&gt;"",'All Cases - Enter Cases'!K185,"")</f>
        <v/>
      </c>
      <c r="M185" t="str">
        <f>IF($A185&lt;&gt;"",'All Cases - Enter Cases'!L185,"")</f>
        <v/>
      </c>
    </row>
    <row r="186" spans="1:13" x14ac:dyDescent="0.35">
      <c r="A186" s="4" t="str">
        <f>IF('All Cases - Enter Cases'!$K186="Approved",'All Cases - Enter Cases'!A186,"")</f>
        <v/>
      </c>
      <c r="B186" s="4" t="str">
        <f>IF($N186&lt;&gt;"",$N186,IF($A186&lt;&gt;"",'All Cases - Enter Cases'!$L186+7,""))</f>
        <v/>
      </c>
      <c r="C186" t="str">
        <f>IF($A186&lt;&gt;"",'All Cases - Enter Cases'!B186,"")</f>
        <v/>
      </c>
      <c r="D186" t="str">
        <f>IF($A186&lt;&gt;"",'All Cases - Enter Cases'!C186,"")</f>
        <v/>
      </c>
      <c r="E186" t="str">
        <f>IF($A186&lt;&gt;"",'All Cases - Enter Cases'!D186,"")</f>
        <v/>
      </c>
      <c r="F186" s="12" t="str">
        <f>IF($A186&lt;&gt;"",'All Cases - Enter Cases'!E186,"")</f>
        <v/>
      </c>
      <c r="G186" s="12" t="str">
        <f>IF($A186&lt;&gt;"",'All Cases - Enter Cases'!F186,"")</f>
        <v/>
      </c>
      <c r="H186" s="4" t="str">
        <f>IF($A186&lt;&gt;"",'All Cases - Enter Cases'!G186,"")</f>
        <v/>
      </c>
      <c r="I186" t="str">
        <f>IF($A186&lt;&gt;"",'All Cases - Enter Cases'!H186,"")</f>
        <v/>
      </c>
      <c r="J186" t="str">
        <f>IF($A186&lt;&gt;"",'All Cases - Enter Cases'!I186,"")</f>
        <v/>
      </c>
      <c r="K186" t="str">
        <f>IF($A186&lt;&gt;"",'All Cases - Enter Cases'!J186,"")</f>
        <v/>
      </c>
      <c r="L186" s="4" t="str">
        <f>IF($A186&lt;&gt;"",'All Cases - Enter Cases'!K186,"")</f>
        <v/>
      </c>
      <c r="M186" t="str">
        <f>IF($A186&lt;&gt;"",'All Cases - Enter Cases'!L186,"")</f>
        <v/>
      </c>
    </row>
    <row r="187" spans="1:13" x14ac:dyDescent="0.35">
      <c r="A187" s="4" t="str">
        <f>IF('All Cases - Enter Cases'!$K187="Approved",'All Cases - Enter Cases'!A187,"")</f>
        <v/>
      </c>
      <c r="B187" s="4" t="str">
        <f>IF($N187&lt;&gt;"",$N187,IF($A187&lt;&gt;"",'All Cases - Enter Cases'!$L187+7,""))</f>
        <v/>
      </c>
      <c r="C187" t="str">
        <f>IF($A187&lt;&gt;"",'All Cases - Enter Cases'!B187,"")</f>
        <v/>
      </c>
      <c r="D187" t="str">
        <f>IF($A187&lt;&gt;"",'All Cases - Enter Cases'!C187,"")</f>
        <v/>
      </c>
      <c r="E187" t="str">
        <f>IF($A187&lt;&gt;"",'All Cases - Enter Cases'!D187,"")</f>
        <v/>
      </c>
      <c r="F187" s="12" t="str">
        <f>IF($A187&lt;&gt;"",'All Cases - Enter Cases'!E187,"")</f>
        <v/>
      </c>
      <c r="G187" s="12" t="str">
        <f>IF($A187&lt;&gt;"",'All Cases - Enter Cases'!F187,"")</f>
        <v/>
      </c>
      <c r="H187" s="4" t="str">
        <f>IF($A187&lt;&gt;"",'All Cases - Enter Cases'!G187,"")</f>
        <v/>
      </c>
      <c r="I187" t="str">
        <f>IF($A187&lt;&gt;"",'All Cases - Enter Cases'!H187,"")</f>
        <v/>
      </c>
      <c r="J187" t="str">
        <f>IF($A187&lt;&gt;"",'All Cases - Enter Cases'!I187,"")</f>
        <v/>
      </c>
      <c r="K187" t="str">
        <f>IF($A187&lt;&gt;"",'All Cases - Enter Cases'!J187,"")</f>
        <v/>
      </c>
      <c r="L187" s="4" t="str">
        <f>IF($A187&lt;&gt;"",'All Cases - Enter Cases'!K187,"")</f>
        <v/>
      </c>
      <c r="M187" t="str">
        <f>IF($A187&lt;&gt;"",'All Cases - Enter Cases'!L187,"")</f>
        <v/>
      </c>
    </row>
    <row r="188" spans="1:13" x14ac:dyDescent="0.35">
      <c r="A188" s="4" t="str">
        <f>IF('All Cases - Enter Cases'!$K188="Approved",'All Cases - Enter Cases'!A188,"")</f>
        <v/>
      </c>
      <c r="B188" s="4" t="str">
        <f>IF($N188&lt;&gt;"",$N188,IF($A188&lt;&gt;"",'All Cases - Enter Cases'!$L188+7,""))</f>
        <v/>
      </c>
      <c r="C188" t="str">
        <f>IF($A188&lt;&gt;"",'All Cases - Enter Cases'!B188,"")</f>
        <v/>
      </c>
      <c r="D188" t="str">
        <f>IF($A188&lt;&gt;"",'All Cases - Enter Cases'!C188,"")</f>
        <v/>
      </c>
      <c r="E188" t="str">
        <f>IF($A188&lt;&gt;"",'All Cases - Enter Cases'!D188,"")</f>
        <v/>
      </c>
      <c r="F188" s="12" t="str">
        <f>IF($A188&lt;&gt;"",'All Cases - Enter Cases'!E188,"")</f>
        <v/>
      </c>
      <c r="G188" s="12" t="str">
        <f>IF($A188&lt;&gt;"",'All Cases - Enter Cases'!F188,"")</f>
        <v/>
      </c>
      <c r="H188" s="4" t="str">
        <f>IF($A188&lt;&gt;"",'All Cases - Enter Cases'!G188,"")</f>
        <v/>
      </c>
      <c r="I188" t="str">
        <f>IF($A188&lt;&gt;"",'All Cases - Enter Cases'!H188,"")</f>
        <v/>
      </c>
      <c r="J188" t="str">
        <f>IF($A188&lt;&gt;"",'All Cases - Enter Cases'!I188,"")</f>
        <v/>
      </c>
      <c r="K188" t="str">
        <f>IF($A188&lt;&gt;"",'All Cases - Enter Cases'!J188,"")</f>
        <v/>
      </c>
      <c r="L188" s="4" t="str">
        <f>IF($A188&lt;&gt;"",'All Cases - Enter Cases'!K188,"")</f>
        <v/>
      </c>
      <c r="M188" t="str">
        <f>IF($A188&lt;&gt;"",'All Cases - Enter Cases'!L188,"")</f>
        <v/>
      </c>
    </row>
    <row r="189" spans="1:13" x14ac:dyDescent="0.35">
      <c r="A189" s="4" t="str">
        <f>IF('All Cases - Enter Cases'!$K189="Approved",'All Cases - Enter Cases'!A189,"")</f>
        <v/>
      </c>
      <c r="B189" s="4" t="str">
        <f>IF($N189&lt;&gt;"",$N189,IF($A189&lt;&gt;"",'All Cases - Enter Cases'!$L189+7,""))</f>
        <v/>
      </c>
      <c r="C189" t="str">
        <f>IF($A189&lt;&gt;"",'All Cases - Enter Cases'!B189,"")</f>
        <v/>
      </c>
      <c r="D189" t="str">
        <f>IF($A189&lt;&gt;"",'All Cases - Enter Cases'!C189,"")</f>
        <v/>
      </c>
      <c r="E189" t="str">
        <f>IF($A189&lt;&gt;"",'All Cases - Enter Cases'!D189,"")</f>
        <v/>
      </c>
      <c r="F189" s="12" t="str">
        <f>IF($A189&lt;&gt;"",'All Cases - Enter Cases'!E189,"")</f>
        <v/>
      </c>
      <c r="G189" s="12" t="str">
        <f>IF($A189&lt;&gt;"",'All Cases - Enter Cases'!F189,"")</f>
        <v/>
      </c>
      <c r="H189" s="4" t="str">
        <f>IF($A189&lt;&gt;"",'All Cases - Enter Cases'!G189,"")</f>
        <v/>
      </c>
      <c r="I189" t="str">
        <f>IF($A189&lt;&gt;"",'All Cases - Enter Cases'!H189,"")</f>
        <v/>
      </c>
      <c r="J189" t="str">
        <f>IF($A189&lt;&gt;"",'All Cases - Enter Cases'!I189,"")</f>
        <v/>
      </c>
      <c r="K189" t="str">
        <f>IF($A189&lt;&gt;"",'All Cases - Enter Cases'!J189,"")</f>
        <v/>
      </c>
      <c r="L189" s="4" t="str">
        <f>IF($A189&lt;&gt;"",'All Cases - Enter Cases'!K189,"")</f>
        <v/>
      </c>
      <c r="M189" t="str">
        <f>IF($A189&lt;&gt;"",'All Cases - Enter Cases'!L189,"")</f>
        <v/>
      </c>
    </row>
    <row r="190" spans="1:13" x14ac:dyDescent="0.35">
      <c r="A190" s="4" t="str">
        <f>IF('All Cases - Enter Cases'!$K190="Approved",'All Cases - Enter Cases'!A190,"")</f>
        <v/>
      </c>
      <c r="B190" s="4" t="str">
        <f>IF($N190&lt;&gt;"",$N190,IF($A190&lt;&gt;"",'All Cases - Enter Cases'!$L190+7,""))</f>
        <v/>
      </c>
      <c r="C190" t="str">
        <f>IF($A190&lt;&gt;"",'All Cases - Enter Cases'!B190,"")</f>
        <v/>
      </c>
      <c r="D190" t="str">
        <f>IF($A190&lt;&gt;"",'All Cases - Enter Cases'!C190,"")</f>
        <v/>
      </c>
      <c r="E190" t="str">
        <f>IF($A190&lt;&gt;"",'All Cases - Enter Cases'!D190,"")</f>
        <v/>
      </c>
      <c r="F190" s="12" t="str">
        <f>IF($A190&lt;&gt;"",'All Cases - Enter Cases'!E190,"")</f>
        <v/>
      </c>
      <c r="G190" s="12" t="str">
        <f>IF($A190&lt;&gt;"",'All Cases - Enter Cases'!F190,"")</f>
        <v/>
      </c>
      <c r="H190" s="4" t="str">
        <f>IF($A190&lt;&gt;"",'All Cases - Enter Cases'!G190,"")</f>
        <v/>
      </c>
      <c r="I190" t="str">
        <f>IF($A190&lt;&gt;"",'All Cases - Enter Cases'!H190,"")</f>
        <v/>
      </c>
      <c r="J190" t="str">
        <f>IF($A190&lt;&gt;"",'All Cases - Enter Cases'!I190,"")</f>
        <v/>
      </c>
      <c r="K190" t="str">
        <f>IF($A190&lt;&gt;"",'All Cases - Enter Cases'!J190,"")</f>
        <v/>
      </c>
      <c r="L190" s="4" t="str">
        <f>IF($A190&lt;&gt;"",'All Cases - Enter Cases'!K190,"")</f>
        <v/>
      </c>
      <c r="M190" t="str">
        <f>IF($A190&lt;&gt;"",'All Cases - Enter Cases'!L190,"")</f>
        <v/>
      </c>
    </row>
    <row r="191" spans="1:13" x14ac:dyDescent="0.35">
      <c r="A191" s="4" t="str">
        <f>IF('All Cases - Enter Cases'!$K191="Approved",'All Cases - Enter Cases'!A191,"")</f>
        <v/>
      </c>
      <c r="B191" s="4" t="str">
        <f>IF($N191&lt;&gt;"",$N191,IF($A191&lt;&gt;"",'All Cases - Enter Cases'!$L191+7,""))</f>
        <v/>
      </c>
      <c r="C191" t="str">
        <f>IF($A191&lt;&gt;"",'All Cases - Enter Cases'!B191,"")</f>
        <v/>
      </c>
      <c r="D191" t="str">
        <f>IF($A191&lt;&gt;"",'All Cases - Enter Cases'!C191,"")</f>
        <v/>
      </c>
      <c r="E191" t="str">
        <f>IF($A191&lt;&gt;"",'All Cases - Enter Cases'!D191,"")</f>
        <v/>
      </c>
      <c r="F191" s="12" t="str">
        <f>IF($A191&lt;&gt;"",'All Cases - Enter Cases'!E191,"")</f>
        <v/>
      </c>
      <c r="G191" s="12" t="str">
        <f>IF($A191&lt;&gt;"",'All Cases - Enter Cases'!F191,"")</f>
        <v/>
      </c>
      <c r="H191" s="4" t="str">
        <f>IF($A191&lt;&gt;"",'All Cases - Enter Cases'!G191,"")</f>
        <v/>
      </c>
      <c r="I191" t="str">
        <f>IF($A191&lt;&gt;"",'All Cases - Enter Cases'!H191,"")</f>
        <v/>
      </c>
      <c r="J191" t="str">
        <f>IF($A191&lt;&gt;"",'All Cases - Enter Cases'!I191,"")</f>
        <v/>
      </c>
      <c r="K191" t="str">
        <f>IF($A191&lt;&gt;"",'All Cases - Enter Cases'!J191,"")</f>
        <v/>
      </c>
      <c r="L191" s="4" t="str">
        <f>IF($A191&lt;&gt;"",'All Cases - Enter Cases'!K191,"")</f>
        <v/>
      </c>
      <c r="M191" t="str">
        <f>IF($A191&lt;&gt;"",'All Cases - Enter Cases'!L191,"")</f>
        <v/>
      </c>
    </row>
    <row r="192" spans="1:13" x14ac:dyDescent="0.35">
      <c r="A192" s="4" t="str">
        <f>IF('All Cases - Enter Cases'!$K192="Approved",'All Cases - Enter Cases'!A192,"")</f>
        <v/>
      </c>
      <c r="B192" s="4" t="str">
        <f>IF($N192&lt;&gt;"",$N192,IF($A192&lt;&gt;"",'All Cases - Enter Cases'!$L192+7,""))</f>
        <v/>
      </c>
      <c r="C192" t="str">
        <f>IF($A192&lt;&gt;"",'All Cases - Enter Cases'!B192,"")</f>
        <v/>
      </c>
      <c r="D192" t="str">
        <f>IF($A192&lt;&gt;"",'All Cases - Enter Cases'!C192,"")</f>
        <v/>
      </c>
      <c r="E192" t="str">
        <f>IF($A192&lt;&gt;"",'All Cases - Enter Cases'!D192,"")</f>
        <v/>
      </c>
      <c r="F192" s="12" t="str">
        <f>IF($A192&lt;&gt;"",'All Cases - Enter Cases'!E192,"")</f>
        <v/>
      </c>
      <c r="G192" s="12" t="str">
        <f>IF($A192&lt;&gt;"",'All Cases - Enter Cases'!F192,"")</f>
        <v/>
      </c>
      <c r="H192" s="4" t="str">
        <f>IF($A192&lt;&gt;"",'All Cases - Enter Cases'!G192,"")</f>
        <v/>
      </c>
      <c r="I192" t="str">
        <f>IF($A192&lt;&gt;"",'All Cases - Enter Cases'!H192,"")</f>
        <v/>
      </c>
      <c r="J192" t="str">
        <f>IF($A192&lt;&gt;"",'All Cases - Enter Cases'!I192,"")</f>
        <v/>
      </c>
      <c r="K192" t="str">
        <f>IF($A192&lt;&gt;"",'All Cases - Enter Cases'!J192,"")</f>
        <v/>
      </c>
      <c r="L192" s="4" t="str">
        <f>IF($A192&lt;&gt;"",'All Cases - Enter Cases'!K192,"")</f>
        <v/>
      </c>
      <c r="M192" t="str">
        <f>IF($A192&lt;&gt;"",'All Cases - Enter Cases'!L192,"")</f>
        <v/>
      </c>
    </row>
    <row r="193" spans="1:13" x14ac:dyDescent="0.35">
      <c r="A193" s="4" t="str">
        <f>IF('All Cases - Enter Cases'!$K193="Approved",'All Cases - Enter Cases'!A193,"")</f>
        <v/>
      </c>
      <c r="B193" s="4" t="str">
        <f>IF($N193&lt;&gt;"",$N193,IF($A193&lt;&gt;"",'All Cases - Enter Cases'!$L193+7,""))</f>
        <v/>
      </c>
      <c r="C193" t="str">
        <f>IF($A193&lt;&gt;"",'All Cases - Enter Cases'!B193,"")</f>
        <v/>
      </c>
      <c r="D193" t="str">
        <f>IF($A193&lt;&gt;"",'All Cases - Enter Cases'!C193,"")</f>
        <v/>
      </c>
      <c r="E193" t="str">
        <f>IF($A193&lt;&gt;"",'All Cases - Enter Cases'!D193,"")</f>
        <v/>
      </c>
      <c r="F193" s="12" t="str">
        <f>IF($A193&lt;&gt;"",'All Cases - Enter Cases'!E193,"")</f>
        <v/>
      </c>
      <c r="G193" s="12" t="str">
        <f>IF($A193&lt;&gt;"",'All Cases - Enter Cases'!F193,"")</f>
        <v/>
      </c>
      <c r="H193" s="4" t="str">
        <f>IF($A193&lt;&gt;"",'All Cases - Enter Cases'!G193,"")</f>
        <v/>
      </c>
      <c r="I193" t="str">
        <f>IF($A193&lt;&gt;"",'All Cases - Enter Cases'!H193,"")</f>
        <v/>
      </c>
      <c r="J193" t="str">
        <f>IF($A193&lt;&gt;"",'All Cases - Enter Cases'!I193,"")</f>
        <v/>
      </c>
      <c r="K193" t="str">
        <f>IF($A193&lt;&gt;"",'All Cases - Enter Cases'!J193,"")</f>
        <v/>
      </c>
      <c r="L193" s="4" t="str">
        <f>IF($A193&lt;&gt;"",'All Cases - Enter Cases'!K193,"")</f>
        <v/>
      </c>
      <c r="M193" t="str">
        <f>IF($A193&lt;&gt;"",'All Cases - Enter Cases'!L193,"")</f>
        <v/>
      </c>
    </row>
    <row r="194" spans="1:13" x14ac:dyDescent="0.35">
      <c r="A194" s="4" t="str">
        <f>IF('All Cases - Enter Cases'!$K194="Approved",'All Cases - Enter Cases'!A194,"")</f>
        <v/>
      </c>
      <c r="B194" s="4" t="str">
        <f>IF($N194&lt;&gt;"",$N194,IF($A194&lt;&gt;"",'All Cases - Enter Cases'!$L194+7,""))</f>
        <v/>
      </c>
      <c r="C194" t="str">
        <f>IF($A194&lt;&gt;"",'All Cases - Enter Cases'!B194,"")</f>
        <v/>
      </c>
      <c r="D194" t="str">
        <f>IF($A194&lt;&gt;"",'All Cases - Enter Cases'!C194,"")</f>
        <v/>
      </c>
      <c r="E194" t="str">
        <f>IF($A194&lt;&gt;"",'All Cases - Enter Cases'!D194,"")</f>
        <v/>
      </c>
      <c r="F194" s="12" t="str">
        <f>IF($A194&lt;&gt;"",'All Cases - Enter Cases'!E194,"")</f>
        <v/>
      </c>
      <c r="G194" s="12" t="str">
        <f>IF($A194&lt;&gt;"",'All Cases - Enter Cases'!F194,"")</f>
        <v/>
      </c>
      <c r="H194" s="4" t="str">
        <f>IF($A194&lt;&gt;"",'All Cases - Enter Cases'!G194,"")</f>
        <v/>
      </c>
      <c r="I194" t="str">
        <f>IF($A194&lt;&gt;"",'All Cases - Enter Cases'!H194,"")</f>
        <v/>
      </c>
      <c r="J194" t="str">
        <f>IF($A194&lt;&gt;"",'All Cases - Enter Cases'!I194,"")</f>
        <v/>
      </c>
      <c r="K194" t="str">
        <f>IF($A194&lt;&gt;"",'All Cases - Enter Cases'!J194,"")</f>
        <v/>
      </c>
      <c r="L194" s="4" t="str">
        <f>IF($A194&lt;&gt;"",'All Cases - Enter Cases'!K194,"")</f>
        <v/>
      </c>
      <c r="M194" t="str">
        <f>IF($A194&lt;&gt;"",'All Cases - Enter Cases'!L194,"")</f>
        <v/>
      </c>
    </row>
    <row r="195" spans="1:13" x14ac:dyDescent="0.35">
      <c r="A195" s="4" t="str">
        <f>IF('All Cases - Enter Cases'!$K195="Approved",'All Cases - Enter Cases'!A195,"")</f>
        <v/>
      </c>
      <c r="B195" s="4" t="str">
        <f>IF($N195&lt;&gt;"",$N195,IF($A195&lt;&gt;"",'All Cases - Enter Cases'!$L195+7,""))</f>
        <v/>
      </c>
      <c r="C195" t="str">
        <f>IF($A195&lt;&gt;"",'All Cases - Enter Cases'!B195,"")</f>
        <v/>
      </c>
      <c r="D195" t="str">
        <f>IF($A195&lt;&gt;"",'All Cases - Enter Cases'!C195,"")</f>
        <v/>
      </c>
      <c r="E195" t="str">
        <f>IF($A195&lt;&gt;"",'All Cases - Enter Cases'!D195,"")</f>
        <v/>
      </c>
      <c r="F195" s="12" t="str">
        <f>IF($A195&lt;&gt;"",'All Cases - Enter Cases'!E195,"")</f>
        <v/>
      </c>
      <c r="G195" s="12" t="str">
        <f>IF($A195&lt;&gt;"",'All Cases - Enter Cases'!F195,"")</f>
        <v/>
      </c>
      <c r="H195" s="4" t="str">
        <f>IF($A195&lt;&gt;"",'All Cases - Enter Cases'!G195,"")</f>
        <v/>
      </c>
      <c r="I195" t="str">
        <f>IF($A195&lt;&gt;"",'All Cases - Enter Cases'!H195,"")</f>
        <v/>
      </c>
      <c r="J195" t="str">
        <f>IF($A195&lt;&gt;"",'All Cases - Enter Cases'!I195,"")</f>
        <v/>
      </c>
      <c r="K195" t="str">
        <f>IF($A195&lt;&gt;"",'All Cases - Enter Cases'!J195,"")</f>
        <v/>
      </c>
      <c r="L195" s="4" t="str">
        <f>IF($A195&lt;&gt;"",'All Cases - Enter Cases'!K195,"")</f>
        <v/>
      </c>
      <c r="M195" t="str">
        <f>IF($A195&lt;&gt;"",'All Cases - Enter Cases'!L195,"")</f>
        <v/>
      </c>
    </row>
    <row r="196" spans="1:13" x14ac:dyDescent="0.35">
      <c r="A196" s="4" t="str">
        <f>IF('All Cases - Enter Cases'!$K196="Approved",'All Cases - Enter Cases'!A196,"")</f>
        <v/>
      </c>
      <c r="B196" s="4" t="str">
        <f>IF($N196&lt;&gt;"",$N196,IF($A196&lt;&gt;"",'All Cases - Enter Cases'!$L196+7,""))</f>
        <v/>
      </c>
      <c r="C196" t="str">
        <f>IF($A196&lt;&gt;"",'All Cases - Enter Cases'!B196,"")</f>
        <v/>
      </c>
      <c r="D196" t="str">
        <f>IF($A196&lt;&gt;"",'All Cases - Enter Cases'!C196,"")</f>
        <v/>
      </c>
      <c r="E196" t="str">
        <f>IF($A196&lt;&gt;"",'All Cases - Enter Cases'!D196,"")</f>
        <v/>
      </c>
      <c r="F196" s="12" t="str">
        <f>IF($A196&lt;&gt;"",'All Cases - Enter Cases'!E196,"")</f>
        <v/>
      </c>
      <c r="G196" s="12" t="str">
        <f>IF($A196&lt;&gt;"",'All Cases - Enter Cases'!F196,"")</f>
        <v/>
      </c>
      <c r="H196" s="4" t="str">
        <f>IF($A196&lt;&gt;"",'All Cases - Enter Cases'!G196,"")</f>
        <v/>
      </c>
      <c r="I196" t="str">
        <f>IF($A196&lt;&gt;"",'All Cases - Enter Cases'!H196,"")</f>
        <v/>
      </c>
      <c r="J196" t="str">
        <f>IF($A196&lt;&gt;"",'All Cases - Enter Cases'!I196,"")</f>
        <v/>
      </c>
      <c r="K196" t="str">
        <f>IF($A196&lt;&gt;"",'All Cases - Enter Cases'!J196,"")</f>
        <v/>
      </c>
      <c r="L196" s="4" t="str">
        <f>IF($A196&lt;&gt;"",'All Cases - Enter Cases'!K196,"")</f>
        <v/>
      </c>
      <c r="M196" t="str">
        <f>IF($A196&lt;&gt;"",'All Cases - Enter Cases'!L196,"")</f>
        <v/>
      </c>
    </row>
    <row r="197" spans="1:13" x14ac:dyDescent="0.35">
      <c r="A197" s="4" t="str">
        <f>IF('All Cases - Enter Cases'!$K197="Approved",'All Cases - Enter Cases'!A197,"")</f>
        <v/>
      </c>
      <c r="B197" s="4" t="str">
        <f>IF($N197&lt;&gt;"",$N197,IF($A197&lt;&gt;"",'All Cases - Enter Cases'!$L197+7,""))</f>
        <v/>
      </c>
      <c r="C197" t="str">
        <f>IF($A197&lt;&gt;"",'All Cases - Enter Cases'!B197,"")</f>
        <v/>
      </c>
      <c r="D197" t="str">
        <f>IF($A197&lt;&gt;"",'All Cases - Enter Cases'!C197,"")</f>
        <v/>
      </c>
      <c r="E197" t="str">
        <f>IF($A197&lt;&gt;"",'All Cases - Enter Cases'!D197,"")</f>
        <v/>
      </c>
      <c r="F197" s="12" t="str">
        <f>IF($A197&lt;&gt;"",'All Cases - Enter Cases'!E197,"")</f>
        <v/>
      </c>
      <c r="G197" s="12" t="str">
        <f>IF($A197&lt;&gt;"",'All Cases - Enter Cases'!F197,"")</f>
        <v/>
      </c>
      <c r="H197" s="4" t="str">
        <f>IF($A197&lt;&gt;"",'All Cases - Enter Cases'!G197,"")</f>
        <v/>
      </c>
      <c r="I197" t="str">
        <f>IF($A197&lt;&gt;"",'All Cases - Enter Cases'!H197,"")</f>
        <v/>
      </c>
      <c r="J197" t="str">
        <f>IF($A197&lt;&gt;"",'All Cases - Enter Cases'!I197,"")</f>
        <v/>
      </c>
      <c r="K197" t="str">
        <f>IF($A197&lt;&gt;"",'All Cases - Enter Cases'!J197,"")</f>
        <v/>
      </c>
      <c r="L197" s="4" t="str">
        <f>IF($A197&lt;&gt;"",'All Cases - Enter Cases'!K197,"")</f>
        <v/>
      </c>
      <c r="M197" t="str">
        <f>IF($A197&lt;&gt;"",'All Cases - Enter Cases'!L197,"")</f>
        <v/>
      </c>
    </row>
    <row r="198" spans="1:13" x14ac:dyDescent="0.35">
      <c r="A198" s="4" t="str">
        <f>IF('All Cases - Enter Cases'!$K198="Approved",'All Cases - Enter Cases'!A198,"")</f>
        <v/>
      </c>
      <c r="B198" s="4" t="str">
        <f>IF($N198&lt;&gt;"",$N198,IF($A198&lt;&gt;"",'All Cases - Enter Cases'!$L198+7,""))</f>
        <v/>
      </c>
      <c r="C198" t="str">
        <f>IF($A198&lt;&gt;"",'All Cases - Enter Cases'!B198,"")</f>
        <v/>
      </c>
      <c r="D198" t="str">
        <f>IF($A198&lt;&gt;"",'All Cases - Enter Cases'!C198,"")</f>
        <v/>
      </c>
      <c r="E198" t="str">
        <f>IF($A198&lt;&gt;"",'All Cases - Enter Cases'!D198,"")</f>
        <v/>
      </c>
      <c r="F198" s="12" t="str">
        <f>IF($A198&lt;&gt;"",'All Cases - Enter Cases'!E198,"")</f>
        <v/>
      </c>
      <c r="G198" s="12" t="str">
        <f>IF($A198&lt;&gt;"",'All Cases - Enter Cases'!F198,"")</f>
        <v/>
      </c>
      <c r="H198" s="4" t="str">
        <f>IF($A198&lt;&gt;"",'All Cases - Enter Cases'!G198,"")</f>
        <v/>
      </c>
      <c r="I198" t="str">
        <f>IF($A198&lt;&gt;"",'All Cases - Enter Cases'!H198,"")</f>
        <v/>
      </c>
      <c r="J198" t="str">
        <f>IF($A198&lt;&gt;"",'All Cases - Enter Cases'!I198,"")</f>
        <v/>
      </c>
      <c r="K198" t="str">
        <f>IF($A198&lt;&gt;"",'All Cases - Enter Cases'!J198,"")</f>
        <v/>
      </c>
      <c r="L198" s="4" t="str">
        <f>IF($A198&lt;&gt;"",'All Cases - Enter Cases'!K198,"")</f>
        <v/>
      </c>
      <c r="M198" t="str">
        <f>IF($A198&lt;&gt;"",'All Cases - Enter Cases'!L198,"")</f>
        <v/>
      </c>
    </row>
    <row r="199" spans="1:13" x14ac:dyDescent="0.35">
      <c r="A199" s="4" t="str">
        <f>IF('All Cases - Enter Cases'!$K199="Approved",'All Cases - Enter Cases'!A199,"")</f>
        <v/>
      </c>
      <c r="B199" s="4" t="str">
        <f>IF($N199&lt;&gt;"",$N199,IF($A199&lt;&gt;"",'All Cases - Enter Cases'!$L199+7,""))</f>
        <v/>
      </c>
      <c r="C199" t="str">
        <f>IF($A199&lt;&gt;"",'All Cases - Enter Cases'!B199,"")</f>
        <v/>
      </c>
      <c r="D199" t="str">
        <f>IF($A199&lt;&gt;"",'All Cases - Enter Cases'!C199,"")</f>
        <v/>
      </c>
      <c r="E199" t="str">
        <f>IF($A199&lt;&gt;"",'All Cases - Enter Cases'!D199,"")</f>
        <v/>
      </c>
      <c r="F199" s="12" t="str">
        <f>IF($A199&lt;&gt;"",'All Cases - Enter Cases'!E199,"")</f>
        <v/>
      </c>
      <c r="G199" s="12" t="str">
        <f>IF($A199&lt;&gt;"",'All Cases - Enter Cases'!F199,"")</f>
        <v/>
      </c>
      <c r="H199" s="4" t="str">
        <f>IF($A199&lt;&gt;"",'All Cases - Enter Cases'!G199,"")</f>
        <v/>
      </c>
      <c r="I199" t="str">
        <f>IF($A199&lt;&gt;"",'All Cases - Enter Cases'!H199,"")</f>
        <v/>
      </c>
      <c r="J199" t="str">
        <f>IF($A199&lt;&gt;"",'All Cases - Enter Cases'!I199,"")</f>
        <v/>
      </c>
      <c r="K199" t="str">
        <f>IF($A199&lt;&gt;"",'All Cases - Enter Cases'!J199,"")</f>
        <v/>
      </c>
      <c r="L199" s="4" t="str">
        <f>IF($A199&lt;&gt;"",'All Cases - Enter Cases'!K199,"")</f>
        <v/>
      </c>
      <c r="M199" t="str">
        <f>IF($A199&lt;&gt;"",'All Cases - Enter Cases'!L199,"")</f>
        <v/>
      </c>
    </row>
    <row r="200" spans="1:13" x14ac:dyDescent="0.35">
      <c r="A200" s="4" t="str">
        <f>IF('All Cases - Enter Cases'!$K200="Approved",'All Cases - Enter Cases'!A200,"")</f>
        <v/>
      </c>
      <c r="B200" s="4" t="str">
        <f>IF($N200&lt;&gt;"",$N200,IF($A200&lt;&gt;"",'All Cases - Enter Cases'!$L200+7,""))</f>
        <v/>
      </c>
      <c r="C200" t="str">
        <f>IF($A200&lt;&gt;"",'All Cases - Enter Cases'!B200,"")</f>
        <v/>
      </c>
      <c r="D200" t="str">
        <f>IF($A200&lt;&gt;"",'All Cases - Enter Cases'!C200,"")</f>
        <v/>
      </c>
      <c r="E200" t="str">
        <f>IF($A200&lt;&gt;"",'All Cases - Enter Cases'!D200,"")</f>
        <v/>
      </c>
      <c r="F200" s="12" t="str">
        <f>IF($A200&lt;&gt;"",'All Cases - Enter Cases'!E200,"")</f>
        <v/>
      </c>
      <c r="G200" s="12" t="str">
        <f>IF($A200&lt;&gt;"",'All Cases - Enter Cases'!F200,"")</f>
        <v/>
      </c>
      <c r="H200" s="4" t="str">
        <f>IF($A200&lt;&gt;"",'All Cases - Enter Cases'!G200,"")</f>
        <v/>
      </c>
      <c r="I200" t="str">
        <f>IF($A200&lt;&gt;"",'All Cases - Enter Cases'!H200,"")</f>
        <v/>
      </c>
      <c r="J200" t="str">
        <f>IF($A200&lt;&gt;"",'All Cases - Enter Cases'!I200,"")</f>
        <v/>
      </c>
      <c r="K200" t="str">
        <f>IF($A200&lt;&gt;"",'All Cases - Enter Cases'!J200,"")</f>
        <v/>
      </c>
      <c r="L200" s="4" t="str">
        <f>IF($A200&lt;&gt;"",'All Cases - Enter Cases'!K200,"")</f>
        <v/>
      </c>
      <c r="M200" t="str">
        <f>IF($A200&lt;&gt;"",'All Cases - Enter Cases'!L200,"")</f>
        <v/>
      </c>
    </row>
    <row r="201" spans="1:13" x14ac:dyDescent="0.35">
      <c r="A201" s="4" t="str">
        <f>IF('All Cases - Enter Cases'!$K201="Approved",'All Cases - Enter Cases'!A201,"")</f>
        <v/>
      </c>
      <c r="B201" s="4" t="str">
        <f>IF($N201&lt;&gt;"",$N201,IF($A201&lt;&gt;"",'All Cases - Enter Cases'!$L201+7,""))</f>
        <v/>
      </c>
      <c r="C201" t="str">
        <f>IF($A201&lt;&gt;"",'All Cases - Enter Cases'!B201,"")</f>
        <v/>
      </c>
      <c r="D201" t="str">
        <f>IF($A201&lt;&gt;"",'All Cases - Enter Cases'!C201,"")</f>
        <v/>
      </c>
      <c r="E201" t="str">
        <f>IF($A201&lt;&gt;"",'All Cases - Enter Cases'!D201,"")</f>
        <v/>
      </c>
      <c r="F201" s="12" t="str">
        <f>IF($A201&lt;&gt;"",'All Cases - Enter Cases'!E201,"")</f>
        <v/>
      </c>
      <c r="G201" s="12" t="str">
        <f>IF($A201&lt;&gt;"",'All Cases - Enter Cases'!F201,"")</f>
        <v/>
      </c>
      <c r="H201" s="4" t="str">
        <f>IF($A201&lt;&gt;"",'All Cases - Enter Cases'!G201,"")</f>
        <v/>
      </c>
      <c r="I201" t="str">
        <f>IF($A201&lt;&gt;"",'All Cases - Enter Cases'!H201,"")</f>
        <v/>
      </c>
      <c r="J201" t="str">
        <f>IF($A201&lt;&gt;"",'All Cases - Enter Cases'!I201,"")</f>
        <v/>
      </c>
      <c r="K201" t="str">
        <f>IF($A201&lt;&gt;"",'All Cases - Enter Cases'!J201,"")</f>
        <v/>
      </c>
      <c r="L201" s="4" t="str">
        <f>IF($A201&lt;&gt;"",'All Cases - Enter Cases'!K201,"")</f>
        <v/>
      </c>
      <c r="M201" t="str">
        <f>IF($A201&lt;&gt;"",'All Cases - Enter Cases'!L201,"")</f>
        <v/>
      </c>
    </row>
    <row r="202" spans="1:13" x14ac:dyDescent="0.35">
      <c r="A202" s="4" t="str">
        <f>IF('All Cases - Enter Cases'!$K202="Approved",'All Cases - Enter Cases'!A202,"")</f>
        <v/>
      </c>
      <c r="B202" s="4" t="str">
        <f>IF($N202&lt;&gt;"",$N202,IF($A202&lt;&gt;"",'All Cases - Enter Cases'!$L202+7,""))</f>
        <v/>
      </c>
      <c r="C202" t="str">
        <f>IF($A202&lt;&gt;"",'All Cases - Enter Cases'!B202,"")</f>
        <v/>
      </c>
      <c r="D202" t="str">
        <f>IF($A202&lt;&gt;"",'All Cases - Enter Cases'!C202,"")</f>
        <v/>
      </c>
      <c r="E202" t="str">
        <f>IF($A202&lt;&gt;"",'All Cases - Enter Cases'!D202,"")</f>
        <v/>
      </c>
      <c r="F202" s="12" t="str">
        <f>IF($A202&lt;&gt;"",'All Cases - Enter Cases'!E202,"")</f>
        <v/>
      </c>
      <c r="G202" s="12" t="str">
        <f>IF($A202&lt;&gt;"",'All Cases - Enter Cases'!F202,"")</f>
        <v/>
      </c>
      <c r="H202" s="4" t="str">
        <f>IF($A202&lt;&gt;"",'All Cases - Enter Cases'!G202,"")</f>
        <v/>
      </c>
      <c r="I202" t="str">
        <f>IF($A202&lt;&gt;"",'All Cases - Enter Cases'!H202,"")</f>
        <v/>
      </c>
      <c r="J202" t="str">
        <f>IF($A202&lt;&gt;"",'All Cases - Enter Cases'!I202,"")</f>
        <v/>
      </c>
      <c r="K202" t="str">
        <f>IF($A202&lt;&gt;"",'All Cases - Enter Cases'!J202,"")</f>
        <v/>
      </c>
      <c r="L202" s="4" t="str">
        <f>IF($A202&lt;&gt;"",'All Cases - Enter Cases'!K202,"")</f>
        <v/>
      </c>
      <c r="M202" t="str">
        <f>IF($A202&lt;&gt;"",'All Cases - Enter Cases'!L202,"")</f>
        <v/>
      </c>
    </row>
    <row r="203" spans="1:13" x14ac:dyDescent="0.35">
      <c r="A203" s="4" t="str">
        <f>IF('All Cases - Enter Cases'!$K203="Approved",'All Cases - Enter Cases'!A203,"")</f>
        <v/>
      </c>
      <c r="B203" s="4" t="str">
        <f>IF($N203&lt;&gt;"",$N203,IF($A203&lt;&gt;"",'All Cases - Enter Cases'!$L203+7,""))</f>
        <v/>
      </c>
      <c r="C203" t="str">
        <f>IF($A203&lt;&gt;"",'All Cases - Enter Cases'!B203,"")</f>
        <v/>
      </c>
      <c r="D203" t="str">
        <f>IF($A203&lt;&gt;"",'All Cases - Enter Cases'!C203,"")</f>
        <v/>
      </c>
      <c r="E203" t="str">
        <f>IF($A203&lt;&gt;"",'All Cases - Enter Cases'!D203,"")</f>
        <v/>
      </c>
      <c r="F203" s="12" t="str">
        <f>IF($A203&lt;&gt;"",'All Cases - Enter Cases'!E203,"")</f>
        <v/>
      </c>
      <c r="G203" s="12" t="str">
        <f>IF($A203&lt;&gt;"",'All Cases - Enter Cases'!F203,"")</f>
        <v/>
      </c>
      <c r="H203" s="4" t="str">
        <f>IF($A203&lt;&gt;"",'All Cases - Enter Cases'!G203,"")</f>
        <v/>
      </c>
      <c r="I203" t="str">
        <f>IF($A203&lt;&gt;"",'All Cases - Enter Cases'!H203,"")</f>
        <v/>
      </c>
      <c r="J203" t="str">
        <f>IF($A203&lt;&gt;"",'All Cases - Enter Cases'!I203,"")</f>
        <v/>
      </c>
      <c r="K203" t="str">
        <f>IF($A203&lt;&gt;"",'All Cases - Enter Cases'!J203,"")</f>
        <v/>
      </c>
      <c r="L203" s="4" t="str">
        <f>IF($A203&lt;&gt;"",'All Cases - Enter Cases'!K203,"")</f>
        <v/>
      </c>
      <c r="M203" t="str">
        <f>IF($A203&lt;&gt;"",'All Cases - Enter Cases'!L203,"")</f>
        <v/>
      </c>
    </row>
    <row r="204" spans="1:13" x14ac:dyDescent="0.35">
      <c r="A204" s="4" t="str">
        <f>IF('All Cases - Enter Cases'!$K204="Approved",'All Cases - Enter Cases'!A204,"")</f>
        <v/>
      </c>
      <c r="B204" s="4" t="str">
        <f>IF($N204&lt;&gt;"",$N204,IF($A204&lt;&gt;"",'All Cases - Enter Cases'!$L204+7,""))</f>
        <v/>
      </c>
      <c r="C204" t="str">
        <f>IF($A204&lt;&gt;"",'All Cases - Enter Cases'!B204,"")</f>
        <v/>
      </c>
      <c r="D204" t="str">
        <f>IF($A204&lt;&gt;"",'All Cases - Enter Cases'!C204,"")</f>
        <v/>
      </c>
      <c r="E204" t="str">
        <f>IF($A204&lt;&gt;"",'All Cases - Enter Cases'!D204,"")</f>
        <v/>
      </c>
      <c r="F204" s="12" t="str">
        <f>IF($A204&lt;&gt;"",'All Cases - Enter Cases'!E204,"")</f>
        <v/>
      </c>
      <c r="G204" s="12" t="str">
        <f>IF($A204&lt;&gt;"",'All Cases - Enter Cases'!F204,"")</f>
        <v/>
      </c>
      <c r="H204" s="4" t="str">
        <f>IF($A204&lt;&gt;"",'All Cases - Enter Cases'!G204,"")</f>
        <v/>
      </c>
      <c r="I204" t="str">
        <f>IF($A204&lt;&gt;"",'All Cases - Enter Cases'!H204,"")</f>
        <v/>
      </c>
      <c r="J204" t="str">
        <f>IF($A204&lt;&gt;"",'All Cases - Enter Cases'!I204,"")</f>
        <v/>
      </c>
      <c r="K204" t="str">
        <f>IF($A204&lt;&gt;"",'All Cases - Enter Cases'!J204,"")</f>
        <v/>
      </c>
      <c r="L204" s="4" t="str">
        <f>IF($A204&lt;&gt;"",'All Cases - Enter Cases'!K204,"")</f>
        <v/>
      </c>
      <c r="M204" t="str">
        <f>IF($A204&lt;&gt;"",'All Cases - Enter Cases'!L204,"")</f>
        <v/>
      </c>
    </row>
    <row r="205" spans="1:13" x14ac:dyDescent="0.35">
      <c r="A205" s="4" t="str">
        <f>IF('All Cases - Enter Cases'!$K205="Approved",'All Cases - Enter Cases'!A205,"")</f>
        <v/>
      </c>
      <c r="B205" s="4" t="str">
        <f>IF($N205&lt;&gt;"",$N205,IF($A205&lt;&gt;"",'All Cases - Enter Cases'!$L205+7,""))</f>
        <v/>
      </c>
      <c r="C205" t="str">
        <f>IF($A205&lt;&gt;"",'All Cases - Enter Cases'!B205,"")</f>
        <v/>
      </c>
      <c r="D205" t="str">
        <f>IF($A205&lt;&gt;"",'All Cases - Enter Cases'!C205,"")</f>
        <v/>
      </c>
      <c r="E205" t="str">
        <f>IF($A205&lt;&gt;"",'All Cases - Enter Cases'!D205,"")</f>
        <v/>
      </c>
      <c r="F205" s="12" t="str">
        <f>IF($A205&lt;&gt;"",'All Cases - Enter Cases'!E205,"")</f>
        <v/>
      </c>
      <c r="G205" s="12" t="str">
        <f>IF($A205&lt;&gt;"",'All Cases - Enter Cases'!F205,"")</f>
        <v/>
      </c>
      <c r="H205" s="4" t="str">
        <f>IF($A205&lt;&gt;"",'All Cases - Enter Cases'!G205,"")</f>
        <v/>
      </c>
      <c r="I205" t="str">
        <f>IF($A205&lt;&gt;"",'All Cases - Enter Cases'!H205,"")</f>
        <v/>
      </c>
      <c r="J205" t="str">
        <f>IF($A205&lt;&gt;"",'All Cases - Enter Cases'!I205,"")</f>
        <v/>
      </c>
      <c r="K205" t="str">
        <f>IF($A205&lt;&gt;"",'All Cases - Enter Cases'!J205,"")</f>
        <v/>
      </c>
      <c r="L205" s="4" t="str">
        <f>IF($A205&lt;&gt;"",'All Cases - Enter Cases'!K205,"")</f>
        <v/>
      </c>
      <c r="M205" t="str">
        <f>IF($A205&lt;&gt;"",'All Cases - Enter Cases'!L205,"")</f>
        <v/>
      </c>
    </row>
    <row r="206" spans="1:13" x14ac:dyDescent="0.35">
      <c r="A206" s="4" t="str">
        <f>IF('All Cases - Enter Cases'!$K206="Approved",'All Cases - Enter Cases'!A206,"")</f>
        <v/>
      </c>
      <c r="B206" s="4" t="str">
        <f>IF($N206&lt;&gt;"",$N206,IF($A206&lt;&gt;"",'All Cases - Enter Cases'!$L206+7,""))</f>
        <v/>
      </c>
      <c r="C206" t="str">
        <f>IF($A206&lt;&gt;"",'All Cases - Enter Cases'!B206,"")</f>
        <v/>
      </c>
      <c r="D206" t="str">
        <f>IF($A206&lt;&gt;"",'All Cases - Enter Cases'!C206,"")</f>
        <v/>
      </c>
      <c r="E206" t="str">
        <f>IF($A206&lt;&gt;"",'All Cases - Enter Cases'!D206,"")</f>
        <v/>
      </c>
      <c r="F206" s="12" t="str">
        <f>IF($A206&lt;&gt;"",'All Cases - Enter Cases'!E206,"")</f>
        <v/>
      </c>
      <c r="G206" s="12" t="str">
        <f>IF($A206&lt;&gt;"",'All Cases - Enter Cases'!F206,"")</f>
        <v/>
      </c>
      <c r="H206" s="4" t="str">
        <f>IF($A206&lt;&gt;"",'All Cases - Enter Cases'!G206,"")</f>
        <v/>
      </c>
      <c r="I206" t="str">
        <f>IF($A206&lt;&gt;"",'All Cases - Enter Cases'!H206,"")</f>
        <v/>
      </c>
      <c r="J206" t="str">
        <f>IF($A206&lt;&gt;"",'All Cases - Enter Cases'!I206,"")</f>
        <v/>
      </c>
      <c r="K206" t="str">
        <f>IF($A206&lt;&gt;"",'All Cases - Enter Cases'!J206,"")</f>
        <v/>
      </c>
      <c r="L206" s="4" t="str">
        <f>IF($A206&lt;&gt;"",'All Cases - Enter Cases'!K206,"")</f>
        <v/>
      </c>
      <c r="M206" t="str">
        <f>IF($A206&lt;&gt;"",'All Cases - Enter Cases'!L206,"")</f>
        <v/>
      </c>
    </row>
    <row r="207" spans="1:13" x14ac:dyDescent="0.35">
      <c r="A207" s="4" t="str">
        <f>IF('All Cases - Enter Cases'!$K207="Approved",'All Cases - Enter Cases'!A207,"")</f>
        <v/>
      </c>
      <c r="B207" s="4" t="str">
        <f>IF($N207&lt;&gt;"",$N207,IF($A207&lt;&gt;"",'All Cases - Enter Cases'!$L207+7,""))</f>
        <v/>
      </c>
      <c r="C207" t="str">
        <f>IF($A207&lt;&gt;"",'All Cases - Enter Cases'!B207,"")</f>
        <v/>
      </c>
      <c r="D207" t="str">
        <f>IF($A207&lt;&gt;"",'All Cases - Enter Cases'!C207,"")</f>
        <v/>
      </c>
      <c r="E207" t="str">
        <f>IF($A207&lt;&gt;"",'All Cases - Enter Cases'!D207,"")</f>
        <v/>
      </c>
      <c r="F207" s="12" t="str">
        <f>IF($A207&lt;&gt;"",'All Cases - Enter Cases'!E207,"")</f>
        <v/>
      </c>
      <c r="G207" s="12" t="str">
        <f>IF($A207&lt;&gt;"",'All Cases - Enter Cases'!F207,"")</f>
        <v/>
      </c>
      <c r="H207" s="4" t="str">
        <f>IF($A207&lt;&gt;"",'All Cases - Enter Cases'!G207,"")</f>
        <v/>
      </c>
      <c r="I207" t="str">
        <f>IF($A207&lt;&gt;"",'All Cases - Enter Cases'!H207,"")</f>
        <v/>
      </c>
      <c r="J207" t="str">
        <f>IF($A207&lt;&gt;"",'All Cases - Enter Cases'!I207,"")</f>
        <v/>
      </c>
      <c r="K207" t="str">
        <f>IF($A207&lt;&gt;"",'All Cases - Enter Cases'!J207,"")</f>
        <v/>
      </c>
      <c r="L207" s="4" t="str">
        <f>IF($A207&lt;&gt;"",'All Cases - Enter Cases'!K207,"")</f>
        <v/>
      </c>
      <c r="M207" t="str">
        <f>IF($A207&lt;&gt;"",'All Cases - Enter Cases'!L207,"")</f>
        <v/>
      </c>
    </row>
    <row r="208" spans="1:13" x14ac:dyDescent="0.35">
      <c r="A208" s="4" t="str">
        <f>IF('All Cases - Enter Cases'!$K208="Approved",'All Cases - Enter Cases'!A208,"")</f>
        <v/>
      </c>
      <c r="B208" s="4" t="str">
        <f>IF($N208&lt;&gt;"",$N208,IF($A208&lt;&gt;"",'All Cases - Enter Cases'!$L208+7,""))</f>
        <v/>
      </c>
      <c r="C208" t="str">
        <f>IF($A208&lt;&gt;"",'All Cases - Enter Cases'!B208,"")</f>
        <v/>
      </c>
      <c r="D208" t="str">
        <f>IF($A208&lt;&gt;"",'All Cases - Enter Cases'!C208,"")</f>
        <v/>
      </c>
      <c r="E208" t="str">
        <f>IF($A208&lt;&gt;"",'All Cases - Enter Cases'!D208,"")</f>
        <v/>
      </c>
      <c r="F208" s="12" t="str">
        <f>IF($A208&lt;&gt;"",'All Cases - Enter Cases'!E208,"")</f>
        <v/>
      </c>
      <c r="G208" s="12" t="str">
        <f>IF($A208&lt;&gt;"",'All Cases - Enter Cases'!F208,"")</f>
        <v/>
      </c>
      <c r="H208" s="4" t="str">
        <f>IF($A208&lt;&gt;"",'All Cases - Enter Cases'!G208,"")</f>
        <v/>
      </c>
      <c r="I208" t="str">
        <f>IF($A208&lt;&gt;"",'All Cases - Enter Cases'!H208,"")</f>
        <v/>
      </c>
      <c r="J208" t="str">
        <f>IF($A208&lt;&gt;"",'All Cases - Enter Cases'!I208,"")</f>
        <v/>
      </c>
      <c r="K208" t="str">
        <f>IF($A208&lt;&gt;"",'All Cases - Enter Cases'!J208,"")</f>
        <v/>
      </c>
      <c r="L208" s="4" t="str">
        <f>IF($A208&lt;&gt;"",'All Cases - Enter Cases'!K208,"")</f>
        <v/>
      </c>
      <c r="M208" t="str">
        <f>IF($A208&lt;&gt;"",'All Cases - Enter Cases'!L208,"")</f>
        <v/>
      </c>
    </row>
    <row r="209" spans="1:13" x14ac:dyDescent="0.35">
      <c r="A209" s="4" t="str">
        <f>IF('All Cases - Enter Cases'!$K209="Approved",'All Cases - Enter Cases'!A209,"")</f>
        <v/>
      </c>
      <c r="B209" s="4" t="str">
        <f>IF($N209&lt;&gt;"",$N209,IF($A209&lt;&gt;"",'All Cases - Enter Cases'!$L209+7,""))</f>
        <v/>
      </c>
      <c r="C209" t="str">
        <f>IF($A209&lt;&gt;"",'All Cases - Enter Cases'!B209,"")</f>
        <v/>
      </c>
      <c r="D209" t="str">
        <f>IF($A209&lt;&gt;"",'All Cases - Enter Cases'!C209,"")</f>
        <v/>
      </c>
      <c r="E209" t="str">
        <f>IF($A209&lt;&gt;"",'All Cases - Enter Cases'!D209,"")</f>
        <v/>
      </c>
      <c r="F209" s="12" t="str">
        <f>IF($A209&lt;&gt;"",'All Cases - Enter Cases'!E209,"")</f>
        <v/>
      </c>
      <c r="G209" s="12" t="str">
        <f>IF($A209&lt;&gt;"",'All Cases - Enter Cases'!F209,"")</f>
        <v/>
      </c>
      <c r="H209" s="4" t="str">
        <f>IF($A209&lt;&gt;"",'All Cases - Enter Cases'!G209,"")</f>
        <v/>
      </c>
      <c r="I209" t="str">
        <f>IF($A209&lt;&gt;"",'All Cases - Enter Cases'!H209,"")</f>
        <v/>
      </c>
      <c r="J209" t="str">
        <f>IF($A209&lt;&gt;"",'All Cases - Enter Cases'!I209,"")</f>
        <v/>
      </c>
      <c r="K209" t="str">
        <f>IF($A209&lt;&gt;"",'All Cases - Enter Cases'!J209,"")</f>
        <v/>
      </c>
      <c r="L209" s="4" t="str">
        <f>IF($A209&lt;&gt;"",'All Cases - Enter Cases'!K209,"")</f>
        <v/>
      </c>
      <c r="M209" t="str">
        <f>IF($A209&lt;&gt;"",'All Cases - Enter Cases'!L209,"")</f>
        <v/>
      </c>
    </row>
    <row r="210" spans="1:13" x14ac:dyDescent="0.35">
      <c r="A210" s="4" t="str">
        <f>IF('All Cases - Enter Cases'!$K210="Approved",'All Cases - Enter Cases'!A210,"")</f>
        <v/>
      </c>
      <c r="B210" s="4" t="str">
        <f>IF($N210&lt;&gt;"",$N210,IF($A210&lt;&gt;"",'All Cases - Enter Cases'!$L210+7,""))</f>
        <v/>
      </c>
      <c r="C210" t="str">
        <f>IF($A210&lt;&gt;"",'All Cases - Enter Cases'!B210,"")</f>
        <v/>
      </c>
      <c r="D210" t="str">
        <f>IF($A210&lt;&gt;"",'All Cases - Enter Cases'!C210,"")</f>
        <v/>
      </c>
      <c r="E210" t="str">
        <f>IF($A210&lt;&gt;"",'All Cases - Enter Cases'!D210,"")</f>
        <v/>
      </c>
      <c r="F210" s="12" t="str">
        <f>IF($A210&lt;&gt;"",'All Cases - Enter Cases'!E210,"")</f>
        <v/>
      </c>
      <c r="G210" s="12" t="str">
        <f>IF($A210&lt;&gt;"",'All Cases - Enter Cases'!F210,"")</f>
        <v/>
      </c>
      <c r="H210" s="4" t="str">
        <f>IF($A210&lt;&gt;"",'All Cases - Enter Cases'!G210,"")</f>
        <v/>
      </c>
      <c r="I210" t="str">
        <f>IF($A210&lt;&gt;"",'All Cases - Enter Cases'!H210,"")</f>
        <v/>
      </c>
      <c r="J210" t="str">
        <f>IF($A210&lt;&gt;"",'All Cases - Enter Cases'!I210,"")</f>
        <v/>
      </c>
      <c r="K210" t="str">
        <f>IF($A210&lt;&gt;"",'All Cases - Enter Cases'!J210,"")</f>
        <v/>
      </c>
      <c r="L210" s="4" t="str">
        <f>IF($A210&lt;&gt;"",'All Cases - Enter Cases'!K210,"")</f>
        <v/>
      </c>
      <c r="M210" t="str">
        <f>IF($A210&lt;&gt;"",'All Cases - Enter Cases'!L210,"")</f>
        <v/>
      </c>
    </row>
    <row r="211" spans="1:13" x14ac:dyDescent="0.35">
      <c r="A211" s="4" t="str">
        <f>IF('All Cases - Enter Cases'!$K211="Approved",'All Cases - Enter Cases'!A211,"")</f>
        <v/>
      </c>
      <c r="B211" s="4" t="str">
        <f>IF($N211&lt;&gt;"",$N211,IF($A211&lt;&gt;"",'All Cases - Enter Cases'!$L211+7,""))</f>
        <v/>
      </c>
      <c r="C211" t="str">
        <f>IF($A211&lt;&gt;"",'All Cases - Enter Cases'!B211,"")</f>
        <v/>
      </c>
      <c r="D211" t="str">
        <f>IF($A211&lt;&gt;"",'All Cases - Enter Cases'!C211,"")</f>
        <v/>
      </c>
      <c r="E211" t="str">
        <f>IF($A211&lt;&gt;"",'All Cases - Enter Cases'!D211,"")</f>
        <v/>
      </c>
      <c r="F211" s="12" t="str">
        <f>IF($A211&lt;&gt;"",'All Cases - Enter Cases'!E211,"")</f>
        <v/>
      </c>
      <c r="G211" s="12" t="str">
        <f>IF($A211&lt;&gt;"",'All Cases - Enter Cases'!F211,"")</f>
        <v/>
      </c>
      <c r="H211" s="4" t="str">
        <f>IF($A211&lt;&gt;"",'All Cases - Enter Cases'!G211,"")</f>
        <v/>
      </c>
      <c r="I211" t="str">
        <f>IF($A211&lt;&gt;"",'All Cases - Enter Cases'!H211,"")</f>
        <v/>
      </c>
      <c r="J211" t="str">
        <f>IF($A211&lt;&gt;"",'All Cases - Enter Cases'!I211,"")</f>
        <v/>
      </c>
      <c r="K211" t="str">
        <f>IF($A211&lt;&gt;"",'All Cases - Enter Cases'!J211,"")</f>
        <v/>
      </c>
      <c r="L211" s="4" t="str">
        <f>IF($A211&lt;&gt;"",'All Cases - Enter Cases'!K211,"")</f>
        <v/>
      </c>
      <c r="M211" t="str">
        <f>IF($A211&lt;&gt;"",'All Cases - Enter Cases'!L211,"")</f>
        <v/>
      </c>
    </row>
    <row r="212" spans="1:13" x14ac:dyDescent="0.35">
      <c r="A212" s="4" t="str">
        <f>IF('All Cases - Enter Cases'!$K212="Approved",'All Cases - Enter Cases'!A212,"")</f>
        <v/>
      </c>
      <c r="B212" s="4" t="str">
        <f>IF($N212&lt;&gt;"",$N212,IF($A212&lt;&gt;"",'All Cases - Enter Cases'!$L212+7,""))</f>
        <v/>
      </c>
      <c r="C212" t="str">
        <f>IF($A212&lt;&gt;"",'All Cases - Enter Cases'!B212,"")</f>
        <v/>
      </c>
      <c r="D212" t="str">
        <f>IF($A212&lt;&gt;"",'All Cases - Enter Cases'!C212,"")</f>
        <v/>
      </c>
      <c r="E212" t="str">
        <f>IF($A212&lt;&gt;"",'All Cases - Enter Cases'!D212,"")</f>
        <v/>
      </c>
      <c r="F212" s="12" t="str">
        <f>IF($A212&lt;&gt;"",'All Cases - Enter Cases'!E212,"")</f>
        <v/>
      </c>
      <c r="G212" s="12" t="str">
        <f>IF($A212&lt;&gt;"",'All Cases - Enter Cases'!F212,"")</f>
        <v/>
      </c>
      <c r="H212" s="4" t="str">
        <f>IF($A212&lt;&gt;"",'All Cases - Enter Cases'!G212,"")</f>
        <v/>
      </c>
      <c r="I212" t="str">
        <f>IF($A212&lt;&gt;"",'All Cases - Enter Cases'!H212,"")</f>
        <v/>
      </c>
      <c r="J212" t="str">
        <f>IF($A212&lt;&gt;"",'All Cases - Enter Cases'!I212,"")</f>
        <v/>
      </c>
      <c r="K212" t="str">
        <f>IF($A212&lt;&gt;"",'All Cases - Enter Cases'!J212,"")</f>
        <v/>
      </c>
      <c r="L212" s="4" t="str">
        <f>IF($A212&lt;&gt;"",'All Cases - Enter Cases'!K212,"")</f>
        <v/>
      </c>
      <c r="M212" t="str">
        <f>IF($A212&lt;&gt;"",'All Cases - Enter Cases'!L212,"")</f>
        <v/>
      </c>
    </row>
    <row r="213" spans="1:13" x14ac:dyDescent="0.35">
      <c r="A213" s="4" t="str">
        <f>IF('All Cases - Enter Cases'!$K213="Approved",'All Cases - Enter Cases'!A213,"")</f>
        <v/>
      </c>
      <c r="B213" s="4" t="str">
        <f>IF($N213&lt;&gt;"",$N213,IF($A213&lt;&gt;"",'All Cases - Enter Cases'!$L213+7,""))</f>
        <v/>
      </c>
      <c r="C213" t="str">
        <f>IF($A213&lt;&gt;"",'All Cases - Enter Cases'!B213,"")</f>
        <v/>
      </c>
      <c r="D213" t="str">
        <f>IF($A213&lt;&gt;"",'All Cases - Enter Cases'!C213,"")</f>
        <v/>
      </c>
      <c r="E213" t="str">
        <f>IF($A213&lt;&gt;"",'All Cases - Enter Cases'!D213,"")</f>
        <v/>
      </c>
      <c r="F213" s="12" t="str">
        <f>IF($A213&lt;&gt;"",'All Cases - Enter Cases'!E213,"")</f>
        <v/>
      </c>
      <c r="G213" s="12" t="str">
        <f>IF($A213&lt;&gt;"",'All Cases - Enter Cases'!F213,"")</f>
        <v/>
      </c>
      <c r="H213" s="4" t="str">
        <f>IF($A213&lt;&gt;"",'All Cases - Enter Cases'!G213,"")</f>
        <v/>
      </c>
      <c r="I213" t="str">
        <f>IF($A213&lt;&gt;"",'All Cases - Enter Cases'!H213,"")</f>
        <v/>
      </c>
      <c r="J213" t="str">
        <f>IF($A213&lt;&gt;"",'All Cases - Enter Cases'!I213,"")</f>
        <v/>
      </c>
      <c r="K213" t="str">
        <f>IF($A213&lt;&gt;"",'All Cases - Enter Cases'!J213,"")</f>
        <v/>
      </c>
      <c r="L213" s="4" t="str">
        <f>IF($A213&lt;&gt;"",'All Cases - Enter Cases'!K213,"")</f>
        <v/>
      </c>
      <c r="M213" t="str">
        <f>IF($A213&lt;&gt;"",'All Cases - Enter Cases'!L213,"")</f>
        <v/>
      </c>
    </row>
    <row r="214" spans="1:13" x14ac:dyDescent="0.35">
      <c r="A214" s="4" t="str">
        <f>IF('All Cases - Enter Cases'!$K214="Approved",'All Cases - Enter Cases'!A214,"")</f>
        <v/>
      </c>
      <c r="B214" s="4" t="str">
        <f>IF($N214&lt;&gt;"",$N214,IF($A214&lt;&gt;"",'All Cases - Enter Cases'!$L214+7,""))</f>
        <v/>
      </c>
      <c r="C214" t="str">
        <f>IF($A214&lt;&gt;"",'All Cases - Enter Cases'!B214,"")</f>
        <v/>
      </c>
      <c r="D214" t="str">
        <f>IF($A214&lt;&gt;"",'All Cases - Enter Cases'!C214,"")</f>
        <v/>
      </c>
      <c r="E214" t="str">
        <f>IF($A214&lt;&gt;"",'All Cases - Enter Cases'!D214,"")</f>
        <v/>
      </c>
      <c r="F214" s="12" t="str">
        <f>IF($A214&lt;&gt;"",'All Cases - Enter Cases'!E214,"")</f>
        <v/>
      </c>
      <c r="G214" s="12" t="str">
        <f>IF($A214&lt;&gt;"",'All Cases - Enter Cases'!F214,"")</f>
        <v/>
      </c>
      <c r="H214" s="4" t="str">
        <f>IF($A214&lt;&gt;"",'All Cases - Enter Cases'!G214,"")</f>
        <v/>
      </c>
      <c r="I214" t="str">
        <f>IF($A214&lt;&gt;"",'All Cases - Enter Cases'!H214,"")</f>
        <v/>
      </c>
      <c r="J214" t="str">
        <f>IF($A214&lt;&gt;"",'All Cases - Enter Cases'!I214,"")</f>
        <v/>
      </c>
      <c r="K214" t="str">
        <f>IF($A214&lt;&gt;"",'All Cases - Enter Cases'!J214,"")</f>
        <v/>
      </c>
      <c r="L214" s="4" t="str">
        <f>IF($A214&lt;&gt;"",'All Cases - Enter Cases'!K214,"")</f>
        <v/>
      </c>
      <c r="M214" t="str">
        <f>IF($A214&lt;&gt;"",'All Cases - Enter Cases'!L214,"")</f>
        <v/>
      </c>
    </row>
    <row r="215" spans="1:13" x14ac:dyDescent="0.35">
      <c r="A215" s="4" t="str">
        <f>IF('All Cases - Enter Cases'!$K215="Approved",'All Cases - Enter Cases'!A215,"")</f>
        <v/>
      </c>
      <c r="B215" s="4" t="str">
        <f>IF($N215&lt;&gt;"",$N215,IF($A215&lt;&gt;"",'All Cases - Enter Cases'!$L215+7,""))</f>
        <v/>
      </c>
      <c r="C215" t="str">
        <f>IF($A215&lt;&gt;"",'All Cases - Enter Cases'!B215,"")</f>
        <v/>
      </c>
      <c r="D215" t="str">
        <f>IF($A215&lt;&gt;"",'All Cases - Enter Cases'!C215,"")</f>
        <v/>
      </c>
      <c r="E215" t="str">
        <f>IF($A215&lt;&gt;"",'All Cases - Enter Cases'!D215,"")</f>
        <v/>
      </c>
      <c r="F215" s="12" t="str">
        <f>IF($A215&lt;&gt;"",'All Cases - Enter Cases'!E215,"")</f>
        <v/>
      </c>
      <c r="G215" s="12" t="str">
        <f>IF($A215&lt;&gt;"",'All Cases - Enter Cases'!F215,"")</f>
        <v/>
      </c>
      <c r="H215" s="4" t="str">
        <f>IF($A215&lt;&gt;"",'All Cases - Enter Cases'!G215,"")</f>
        <v/>
      </c>
      <c r="I215" t="str">
        <f>IF($A215&lt;&gt;"",'All Cases - Enter Cases'!H215,"")</f>
        <v/>
      </c>
      <c r="J215" t="str">
        <f>IF($A215&lt;&gt;"",'All Cases - Enter Cases'!I215,"")</f>
        <v/>
      </c>
      <c r="K215" t="str">
        <f>IF($A215&lt;&gt;"",'All Cases - Enter Cases'!J215,"")</f>
        <v/>
      </c>
      <c r="L215" s="4" t="str">
        <f>IF($A215&lt;&gt;"",'All Cases - Enter Cases'!K215,"")</f>
        <v/>
      </c>
      <c r="M215" t="str">
        <f>IF($A215&lt;&gt;"",'All Cases - Enter Cases'!L215,"")</f>
        <v/>
      </c>
    </row>
    <row r="216" spans="1:13" x14ac:dyDescent="0.35">
      <c r="A216" s="4" t="str">
        <f>IF('All Cases - Enter Cases'!$K216="Approved",'All Cases - Enter Cases'!A216,"")</f>
        <v/>
      </c>
      <c r="B216" s="4" t="str">
        <f>IF($N216&lt;&gt;"",$N216,IF($A216&lt;&gt;"",'All Cases - Enter Cases'!$L216+7,""))</f>
        <v/>
      </c>
      <c r="C216" t="str">
        <f>IF($A216&lt;&gt;"",'All Cases - Enter Cases'!B216,"")</f>
        <v/>
      </c>
      <c r="D216" t="str">
        <f>IF($A216&lt;&gt;"",'All Cases - Enter Cases'!C216,"")</f>
        <v/>
      </c>
      <c r="E216" t="str">
        <f>IF($A216&lt;&gt;"",'All Cases - Enter Cases'!D216,"")</f>
        <v/>
      </c>
      <c r="F216" s="12" t="str">
        <f>IF($A216&lt;&gt;"",'All Cases - Enter Cases'!E216,"")</f>
        <v/>
      </c>
      <c r="G216" s="12" t="str">
        <f>IF($A216&lt;&gt;"",'All Cases - Enter Cases'!F216,"")</f>
        <v/>
      </c>
      <c r="H216" s="4" t="str">
        <f>IF($A216&lt;&gt;"",'All Cases - Enter Cases'!G216,"")</f>
        <v/>
      </c>
      <c r="I216" t="str">
        <f>IF($A216&lt;&gt;"",'All Cases - Enter Cases'!H216,"")</f>
        <v/>
      </c>
      <c r="J216" t="str">
        <f>IF($A216&lt;&gt;"",'All Cases - Enter Cases'!I216,"")</f>
        <v/>
      </c>
      <c r="K216" t="str">
        <f>IF($A216&lt;&gt;"",'All Cases - Enter Cases'!J216,"")</f>
        <v/>
      </c>
      <c r="L216" s="4" t="str">
        <f>IF($A216&lt;&gt;"",'All Cases - Enter Cases'!K216,"")</f>
        <v/>
      </c>
      <c r="M216" t="str">
        <f>IF($A216&lt;&gt;"",'All Cases - Enter Cases'!L216,"")</f>
        <v/>
      </c>
    </row>
    <row r="217" spans="1:13" x14ac:dyDescent="0.35">
      <c r="A217" s="4" t="str">
        <f>IF('All Cases - Enter Cases'!$K217="Approved",'All Cases - Enter Cases'!A217,"")</f>
        <v/>
      </c>
      <c r="B217" s="4" t="str">
        <f>IF($N217&lt;&gt;"",$N217,IF($A217&lt;&gt;"",'All Cases - Enter Cases'!$L217+7,""))</f>
        <v/>
      </c>
      <c r="C217" t="str">
        <f>IF($A217&lt;&gt;"",'All Cases - Enter Cases'!B217,"")</f>
        <v/>
      </c>
      <c r="D217" t="str">
        <f>IF($A217&lt;&gt;"",'All Cases - Enter Cases'!C217,"")</f>
        <v/>
      </c>
      <c r="E217" t="str">
        <f>IF($A217&lt;&gt;"",'All Cases - Enter Cases'!D217,"")</f>
        <v/>
      </c>
      <c r="F217" s="12" t="str">
        <f>IF($A217&lt;&gt;"",'All Cases - Enter Cases'!E217,"")</f>
        <v/>
      </c>
      <c r="G217" s="12" t="str">
        <f>IF($A217&lt;&gt;"",'All Cases - Enter Cases'!F217,"")</f>
        <v/>
      </c>
      <c r="H217" s="4" t="str">
        <f>IF($A217&lt;&gt;"",'All Cases - Enter Cases'!G217,"")</f>
        <v/>
      </c>
      <c r="I217" t="str">
        <f>IF($A217&lt;&gt;"",'All Cases - Enter Cases'!H217,"")</f>
        <v/>
      </c>
      <c r="J217" t="str">
        <f>IF($A217&lt;&gt;"",'All Cases - Enter Cases'!I217,"")</f>
        <v/>
      </c>
      <c r="K217" t="str">
        <f>IF($A217&lt;&gt;"",'All Cases - Enter Cases'!J217,"")</f>
        <v/>
      </c>
      <c r="L217" s="4" t="str">
        <f>IF($A217&lt;&gt;"",'All Cases - Enter Cases'!K217,"")</f>
        <v/>
      </c>
      <c r="M217" t="str">
        <f>IF($A217&lt;&gt;"",'All Cases - Enter Cases'!L217,"")</f>
        <v/>
      </c>
    </row>
    <row r="218" spans="1:13" x14ac:dyDescent="0.35">
      <c r="A218" s="4" t="str">
        <f>IF('All Cases - Enter Cases'!$K218="Approved",'All Cases - Enter Cases'!A218,"")</f>
        <v/>
      </c>
      <c r="B218" s="4" t="str">
        <f>IF($N218&lt;&gt;"",$N218,IF($A218&lt;&gt;"",'All Cases - Enter Cases'!$L218+7,""))</f>
        <v/>
      </c>
      <c r="C218" t="str">
        <f>IF($A218&lt;&gt;"",'All Cases - Enter Cases'!B218,"")</f>
        <v/>
      </c>
      <c r="D218" t="str">
        <f>IF($A218&lt;&gt;"",'All Cases - Enter Cases'!C218,"")</f>
        <v/>
      </c>
      <c r="E218" t="str">
        <f>IF($A218&lt;&gt;"",'All Cases - Enter Cases'!D218,"")</f>
        <v/>
      </c>
      <c r="F218" s="12" t="str">
        <f>IF($A218&lt;&gt;"",'All Cases - Enter Cases'!E218,"")</f>
        <v/>
      </c>
      <c r="G218" s="12" t="str">
        <f>IF($A218&lt;&gt;"",'All Cases - Enter Cases'!F218,"")</f>
        <v/>
      </c>
      <c r="H218" s="4" t="str">
        <f>IF($A218&lt;&gt;"",'All Cases - Enter Cases'!G218,"")</f>
        <v/>
      </c>
      <c r="I218" t="str">
        <f>IF($A218&lt;&gt;"",'All Cases - Enter Cases'!H218,"")</f>
        <v/>
      </c>
      <c r="J218" t="str">
        <f>IF($A218&lt;&gt;"",'All Cases - Enter Cases'!I218,"")</f>
        <v/>
      </c>
      <c r="K218" t="str">
        <f>IF($A218&lt;&gt;"",'All Cases - Enter Cases'!J218,"")</f>
        <v/>
      </c>
      <c r="L218" s="4" t="str">
        <f>IF($A218&lt;&gt;"",'All Cases - Enter Cases'!K218,"")</f>
        <v/>
      </c>
      <c r="M218" t="str">
        <f>IF($A218&lt;&gt;"",'All Cases - Enter Cases'!L218,"")</f>
        <v/>
      </c>
    </row>
    <row r="219" spans="1:13" x14ac:dyDescent="0.35">
      <c r="A219" s="4" t="str">
        <f>IF('All Cases - Enter Cases'!$K219="Approved",'All Cases - Enter Cases'!A219,"")</f>
        <v/>
      </c>
      <c r="B219" s="4" t="str">
        <f>IF($N219&lt;&gt;"",$N219,IF($A219&lt;&gt;"",'All Cases - Enter Cases'!$L219+7,""))</f>
        <v/>
      </c>
      <c r="C219" t="str">
        <f>IF($A219&lt;&gt;"",'All Cases - Enter Cases'!B219,"")</f>
        <v/>
      </c>
      <c r="D219" t="str">
        <f>IF($A219&lt;&gt;"",'All Cases - Enter Cases'!C219,"")</f>
        <v/>
      </c>
      <c r="E219" t="str">
        <f>IF($A219&lt;&gt;"",'All Cases - Enter Cases'!D219,"")</f>
        <v/>
      </c>
      <c r="F219" s="12" t="str">
        <f>IF($A219&lt;&gt;"",'All Cases - Enter Cases'!E219,"")</f>
        <v/>
      </c>
      <c r="G219" s="12" t="str">
        <f>IF($A219&lt;&gt;"",'All Cases - Enter Cases'!F219,"")</f>
        <v/>
      </c>
      <c r="H219" s="4" t="str">
        <f>IF($A219&lt;&gt;"",'All Cases - Enter Cases'!G219,"")</f>
        <v/>
      </c>
      <c r="I219" t="str">
        <f>IF($A219&lt;&gt;"",'All Cases - Enter Cases'!H219,"")</f>
        <v/>
      </c>
      <c r="J219" t="str">
        <f>IF($A219&lt;&gt;"",'All Cases - Enter Cases'!I219,"")</f>
        <v/>
      </c>
      <c r="K219" t="str">
        <f>IF($A219&lt;&gt;"",'All Cases - Enter Cases'!J219,"")</f>
        <v/>
      </c>
      <c r="L219" s="4" t="str">
        <f>IF($A219&lt;&gt;"",'All Cases - Enter Cases'!K219,"")</f>
        <v/>
      </c>
      <c r="M219" t="str">
        <f>IF($A219&lt;&gt;"",'All Cases - Enter Cases'!L219,"")</f>
        <v/>
      </c>
    </row>
    <row r="220" spans="1:13" x14ac:dyDescent="0.35">
      <c r="A220" s="4" t="str">
        <f>IF('All Cases - Enter Cases'!$K220="Approved",'All Cases - Enter Cases'!A220,"")</f>
        <v/>
      </c>
      <c r="B220" s="4" t="str">
        <f>IF($N220&lt;&gt;"",$N220,IF($A220&lt;&gt;"",'All Cases - Enter Cases'!$L220+7,""))</f>
        <v/>
      </c>
      <c r="C220" t="str">
        <f>IF($A220&lt;&gt;"",'All Cases - Enter Cases'!B220,"")</f>
        <v/>
      </c>
      <c r="D220" t="str">
        <f>IF($A220&lt;&gt;"",'All Cases - Enter Cases'!C220,"")</f>
        <v/>
      </c>
      <c r="E220" t="str">
        <f>IF($A220&lt;&gt;"",'All Cases - Enter Cases'!D220,"")</f>
        <v/>
      </c>
      <c r="F220" s="12" t="str">
        <f>IF($A220&lt;&gt;"",'All Cases - Enter Cases'!E220,"")</f>
        <v/>
      </c>
      <c r="G220" s="12" t="str">
        <f>IF($A220&lt;&gt;"",'All Cases - Enter Cases'!F220,"")</f>
        <v/>
      </c>
      <c r="H220" s="4" t="str">
        <f>IF($A220&lt;&gt;"",'All Cases - Enter Cases'!G220,"")</f>
        <v/>
      </c>
      <c r="I220" t="str">
        <f>IF($A220&lt;&gt;"",'All Cases - Enter Cases'!H220,"")</f>
        <v/>
      </c>
      <c r="J220" t="str">
        <f>IF($A220&lt;&gt;"",'All Cases - Enter Cases'!I220,"")</f>
        <v/>
      </c>
      <c r="K220" t="str">
        <f>IF($A220&lt;&gt;"",'All Cases - Enter Cases'!J220,"")</f>
        <v/>
      </c>
      <c r="L220" s="4" t="str">
        <f>IF($A220&lt;&gt;"",'All Cases - Enter Cases'!K220,"")</f>
        <v/>
      </c>
      <c r="M220" t="str">
        <f>IF($A220&lt;&gt;"",'All Cases - Enter Cases'!L220,"")</f>
        <v/>
      </c>
    </row>
    <row r="221" spans="1:13" x14ac:dyDescent="0.35">
      <c r="A221" s="4" t="str">
        <f>IF('All Cases - Enter Cases'!$K221="Approved",'All Cases - Enter Cases'!A221,"")</f>
        <v/>
      </c>
      <c r="B221" s="4" t="str">
        <f>IF($N221&lt;&gt;"",$N221,IF($A221&lt;&gt;"",'All Cases - Enter Cases'!$L221+7,""))</f>
        <v/>
      </c>
      <c r="C221" t="str">
        <f>IF($A221&lt;&gt;"",'All Cases - Enter Cases'!B221,"")</f>
        <v/>
      </c>
      <c r="D221" t="str">
        <f>IF($A221&lt;&gt;"",'All Cases - Enter Cases'!C221,"")</f>
        <v/>
      </c>
      <c r="E221" t="str">
        <f>IF($A221&lt;&gt;"",'All Cases - Enter Cases'!D221,"")</f>
        <v/>
      </c>
      <c r="F221" s="12" t="str">
        <f>IF($A221&lt;&gt;"",'All Cases - Enter Cases'!E221,"")</f>
        <v/>
      </c>
      <c r="G221" s="12" t="str">
        <f>IF($A221&lt;&gt;"",'All Cases - Enter Cases'!F221,"")</f>
        <v/>
      </c>
      <c r="H221" s="4" t="str">
        <f>IF($A221&lt;&gt;"",'All Cases - Enter Cases'!G221,"")</f>
        <v/>
      </c>
      <c r="I221" t="str">
        <f>IF($A221&lt;&gt;"",'All Cases - Enter Cases'!H221,"")</f>
        <v/>
      </c>
      <c r="J221" t="str">
        <f>IF($A221&lt;&gt;"",'All Cases - Enter Cases'!I221,"")</f>
        <v/>
      </c>
      <c r="K221" t="str">
        <f>IF($A221&lt;&gt;"",'All Cases - Enter Cases'!J221,"")</f>
        <v/>
      </c>
      <c r="L221" s="4" t="str">
        <f>IF($A221&lt;&gt;"",'All Cases - Enter Cases'!K221,"")</f>
        <v/>
      </c>
      <c r="M221" t="str">
        <f>IF($A221&lt;&gt;"",'All Cases - Enter Cases'!L221,"")</f>
        <v/>
      </c>
    </row>
    <row r="222" spans="1:13" x14ac:dyDescent="0.35">
      <c r="A222" s="4" t="str">
        <f>IF('All Cases - Enter Cases'!$K222="Approved",'All Cases - Enter Cases'!A222,"")</f>
        <v/>
      </c>
      <c r="B222" s="4" t="str">
        <f>IF($N222&lt;&gt;"",$N222,IF($A222&lt;&gt;"",'All Cases - Enter Cases'!$L222+7,""))</f>
        <v/>
      </c>
      <c r="C222" t="str">
        <f>IF($A222&lt;&gt;"",'All Cases - Enter Cases'!B222,"")</f>
        <v/>
      </c>
      <c r="D222" t="str">
        <f>IF($A222&lt;&gt;"",'All Cases - Enter Cases'!C222,"")</f>
        <v/>
      </c>
      <c r="E222" t="str">
        <f>IF($A222&lt;&gt;"",'All Cases - Enter Cases'!D222,"")</f>
        <v/>
      </c>
      <c r="F222" s="12" t="str">
        <f>IF($A222&lt;&gt;"",'All Cases - Enter Cases'!E222,"")</f>
        <v/>
      </c>
      <c r="G222" s="12" t="str">
        <f>IF($A222&lt;&gt;"",'All Cases - Enter Cases'!F222,"")</f>
        <v/>
      </c>
      <c r="H222" s="4" t="str">
        <f>IF($A222&lt;&gt;"",'All Cases - Enter Cases'!G222,"")</f>
        <v/>
      </c>
      <c r="I222" t="str">
        <f>IF($A222&lt;&gt;"",'All Cases - Enter Cases'!H222,"")</f>
        <v/>
      </c>
      <c r="J222" t="str">
        <f>IF($A222&lt;&gt;"",'All Cases - Enter Cases'!I222,"")</f>
        <v/>
      </c>
      <c r="K222" t="str">
        <f>IF($A222&lt;&gt;"",'All Cases - Enter Cases'!J222,"")</f>
        <v/>
      </c>
      <c r="L222" s="4" t="str">
        <f>IF($A222&lt;&gt;"",'All Cases - Enter Cases'!K222,"")</f>
        <v/>
      </c>
      <c r="M222" t="str">
        <f>IF($A222&lt;&gt;"",'All Cases - Enter Cases'!L222,"")</f>
        <v/>
      </c>
    </row>
    <row r="223" spans="1:13" x14ac:dyDescent="0.35">
      <c r="A223" s="4" t="str">
        <f>IF('All Cases - Enter Cases'!$K223="Approved",'All Cases - Enter Cases'!A223,"")</f>
        <v/>
      </c>
      <c r="B223" s="4" t="str">
        <f>IF($N223&lt;&gt;"",$N223,IF($A223&lt;&gt;"",'All Cases - Enter Cases'!$L223+7,""))</f>
        <v/>
      </c>
      <c r="C223" t="str">
        <f>IF($A223&lt;&gt;"",'All Cases - Enter Cases'!B223,"")</f>
        <v/>
      </c>
      <c r="D223" t="str">
        <f>IF($A223&lt;&gt;"",'All Cases - Enter Cases'!C223,"")</f>
        <v/>
      </c>
      <c r="E223" t="str">
        <f>IF($A223&lt;&gt;"",'All Cases - Enter Cases'!D223,"")</f>
        <v/>
      </c>
      <c r="F223" s="12" t="str">
        <f>IF($A223&lt;&gt;"",'All Cases - Enter Cases'!E223,"")</f>
        <v/>
      </c>
      <c r="G223" s="12" t="str">
        <f>IF($A223&lt;&gt;"",'All Cases - Enter Cases'!F223,"")</f>
        <v/>
      </c>
      <c r="H223" s="4" t="str">
        <f>IF($A223&lt;&gt;"",'All Cases - Enter Cases'!G223,"")</f>
        <v/>
      </c>
      <c r="I223" t="str">
        <f>IF($A223&lt;&gt;"",'All Cases - Enter Cases'!H223,"")</f>
        <v/>
      </c>
      <c r="J223" t="str">
        <f>IF($A223&lt;&gt;"",'All Cases - Enter Cases'!I223,"")</f>
        <v/>
      </c>
      <c r="K223" t="str">
        <f>IF($A223&lt;&gt;"",'All Cases - Enter Cases'!J223,"")</f>
        <v/>
      </c>
      <c r="L223" s="4" t="str">
        <f>IF($A223&lt;&gt;"",'All Cases - Enter Cases'!K223,"")</f>
        <v/>
      </c>
      <c r="M223" t="str">
        <f>IF($A223&lt;&gt;"",'All Cases - Enter Cases'!L223,"")</f>
        <v/>
      </c>
    </row>
    <row r="224" spans="1:13" x14ac:dyDescent="0.35">
      <c r="A224" s="4" t="str">
        <f>IF('All Cases - Enter Cases'!$K224="Approved",'All Cases - Enter Cases'!A224,"")</f>
        <v/>
      </c>
      <c r="B224" s="4" t="str">
        <f>IF($N224&lt;&gt;"",$N224,IF($A224&lt;&gt;"",'All Cases - Enter Cases'!$L224+7,""))</f>
        <v/>
      </c>
      <c r="C224" t="str">
        <f>IF($A224&lt;&gt;"",'All Cases - Enter Cases'!B224,"")</f>
        <v/>
      </c>
      <c r="D224" t="str">
        <f>IF($A224&lt;&gt;"",'All Cases - Enter Cases'!C224,"")</f>
        <v/>
      </c>
      <c r="E224" t="str">
        <f>IF($A224&lt;&gt;"",'All Cases - Enter Cases'!D224,"")</f>
        <v/>
      </c>
      <c r="F224" s="12" t="str">
        <f>IF($A224&lt;&gt;"",'All Cases - Enter Cases'!E224,"")</f>
        <v/>
      </c>
      <c r="G224" s="12" t="str">
        <f>IF($A224&lt;&gt;"",'All Cases - Enter Cases'!F224,"")</f>
        <v/>
      </c>
      <c r="H224" s="4" t="str">
        <f>IF($A224&lt;&gt;"",'All Cases - Enter Cases'!G224,"")</f>
        <v/>
      </c>
      <c r="I224" t="str">
        <f>IF($A224&lt;&gt;"",'All Cases - Enter Cases'!H224,"")</f>
        <v/>
      </c>
      <c r="J224" t="str">
        <f>IF($A224&lt;&gt;"",'All Cases - Enter Cases'!I224,"")</f>
        <v/>
      </c>
      <c r="K224" t="str">
        <f>IF($A224&lt;&gt;"",'All Cases - Enter Cases'!J224,"")</f>
        <v/>
      </c>
      <c r="L224" s="4" t="str">
        <f>IF($A224&lt;&gt;"",'All Cases - Enter Cases'!K224,"")</f>
        <v/>
      </c>
      <c r="M224" t="str">
        <f>IF($A224&lt;&gt;"",'All Cases - Enter Cases'!L224,"")</f>
        <v/>
      </c>
    </row>
    <row r="225" spans="1:13" x14ac:dyDescent="0.35">
      <c r="A225" s="4" t="str">
        <f>IF('All Cases - Enter Cases'!$K225="Approved",'All Cases - Enter Cases'!A225,"")</f>
        <v/>
      </c>
      <c r="B225" s="4" t="str">
        <f>IF($N225&lt;&gt;"",$N225,IF($A225&lt;&gt;"",'All Cases - Enter Cases'!$L225+7,""))</f>
        <v/>
      </c>
      <c r="C225" t="str">
        <f>IF($A225&lt;&gt;"",'All Cases - Enter Cases'!B225,"")</f>
        <v/>
      </c>
      <c r="D225" t="str">
        <f>IF($A225&lt;&gt;"",'All Cases - Enter Cases'!C225,"")</f>
        <v/>
      </c>
      <c r="E225" t="str">
        <f>IF($A225&lt;&gt;"",'All Cases - Enter Cases'!D225,"")</f>
        <v/>
      </c>
      <c r="F225" s="12" t="str">
        <f>IF($A225&lt;&gt;"",'All Cases - Enter Cases'!E225,"")</f>
        <v/>
      </c>
      <c r="G225" s="12" t="str">
        <f>IF($A225&lt;&gt;"",'All Cases - Enter Cases'!F225,"")</f>
        <v/>
      </c>
      <c r="H225" s="4" t="str">
        <f>IF($A225&lt;&gt;"",'All Cases - Enter Cases'!G225,"")</f>
        <v/>
      </c>
      <c r="I225" t="str">
        <f>IF($A225&lt;&gt;"",'All Cases - Enter Cases'!H225,"")</f>
        <v/>
      </c>
      <c r="J225" t="str">
        <f>IF($A225&lt;&gt;"",'All Cases - Enter Cases'!I225,"")</f>
        <v/>
      </c>
      <c r="K225" t="str">
        <f>IF($A225&lt;&gt;"",'All Cases - Enter Cases'!J225,"")</f>
        <v/>
      </c>
      <c r="L225" s="4" t="str">
        <f>IF($A225&lt;&gt;"",'All Cases - Enter Cases'!K225,"")</f>
        <v/>
      </c>
      <c r="M225" t="str">
        <f>IF($A225&lt;&gt;"",'All Cases - Enter Cases'!L225,"")</f>
        <v/>
      </c>
    </row>
    <row r="226" spans="1:13" x14ac:dyDescent="0.35">
      <c r="A226" s="4" t="str">
        <f>IF('All Cases - Enter Cases'!$K226="Approved",'All Cases - Enter Cases'!A226,"")</f>
        <v/>
      </c>
      <c r="B226" s="4" t="str">
        <f>IF($N226&lt;&gt;"",$N226,IF($A226&lt;&gt;"",'All Cases - Enter Cases'!$L226+7,""))</f>
        <v/>
      </c>
      <c r="C226" t="str">
        <f>IF($A226&lt;&gt;"",'All Cases - Enter Cases'!B226,"")</f>
        <v/>
      </c>
      <c r="D226" t="str">
        <f>IF($A226&lt;&gt;"",'All Cases - Enter Cases'!C226,"")</f>
        <v/>
      </c>
      <c r="E226" t="str">
        <f>IF($A226&lt;&gt;"",'All Cases - Enter Cases'!D226,"")</f>
        <v/>
      </c>
      <c r="F226" s="12" t="str">
        <f>IF($A226&lt;&gt;"",'All Cases - Enter Cases'!E226,"")</f>
        <v/>
      </c>
      <c r="G226" s="12" t="str">
        <f>IF($A226&lt;&gt;"",'All Cases - Enter Cases'!F226,"")</f>
        <v/>
      </c>
      <c r="H226" s="4" t="str">
        <f>IF($A226&lt;&gt;"",'All Cases - Enter Cases'!G226,"")</f>
        <v/>
      </c>
      <c r="I226" t="str">
        <f>IF($A226&lt;&gt;"",'All Cases - Enter Cases'!H226,"")</f>
        <v/>
      </c>
      <c r="J226" t="str">
        <f>IF($A226&lt;&gt;"",'All Cases - Enter Cases'!I226,"")</f>
        <v/>
      </c>
      <c r="K226" t="str">
        <f>IF($A226&lt;&gt;"",'All Cases - Enter Cases'!J226,"")</f>
        <v/>
      </c>
      <c r="L226" s="4" t="str">
        <f>IF($A226&lt;&gt;"",'All Cases - Enter Cases'!K226,"")</f>
        <v/>
      </c>
      <c r="M226" t="str">
        <f>IF($A226&lt;&gt;"",'All Cases - Enter Cases'!L226,"")</f>
        <v/>
      </c>
    </row>
    <row r="227" spans="1:13" x14ac:dyDescent="0.35">
      <c r="A227" s="4" t="str">
        <f>IF('All Cases - Enter Cases'!$K227="Approved",'All Cases - Enter Cases'!A227,"")</f>
        <v/>
      </c>
      <c r="B227" s="4" t="str">
        <f>IF($N227&lt;&gt;"",$N227,IF($A227&lt;&gt;"",'All Cases - Enter Cases'!$L227+7,""))</f>
        <v/>
      </c>
      <c r="C227" t="str">
        <f>IF($A227&lt;&gt;"",'All Cases - Enter Cases'!B227,"")</f>
        <v/>
      </c>
      <c r="D227" t="str">
        <f>IF($A227&lt;&gt;"",'All Cases - Enter Cases'!C227,"")</f>
        <v/>
      </c>
      <c r="E227" t="str">
        <f>IF($A227&lt;&gt;"",'All Cases - Enter Cases'!D227,"")</f>
        <v/>
      </c>
      <c r="F227" s="12" t="str">
        <f>IF($A227&lt;&gt;"",'All Cases - Enter Cases'!E227,"")</f>
        <v/>
      </c>
      <c r="G227" s="12" t="str">
        <f>IF($A227&lt;&gt;"",'All Cases - Enter Cases'!F227,"")</f>
        <v/>
      </c>
      <c r="H227" s="4" t="str">
        <f>IF($A227&lt;&gt;"",'All Cases - Enter Cases'!G227,"")</f>
        <v/>
      </c>
      <c r="I227" t="str">
        <f>IF($A227&lt;&gt;"",'All Cases - Enter Cases'!H227,"")</f>
        <v/>
      </c>
      <c r="J227" t="str">
        <f>IF($A227&lt;&gt;"",'All Cases - Enter Cases'!I227,"")</f>
        <v/>
      </c>
      <c r="K227" t="str">
        <f>IF($A227&lt;&gt;"",'All Cases - Enter Cases'!J227,"")</f>
        <v/>
      </c>
      <c r="L227" s="4" t="str">
        <f>IF($A227&lt;&gt;"",'All Cases - Enter Cases'!K227,"")</f>
        <v/>
      </c>
      <c r="M227" t="str">
        <f>IF($A227&lt;&gt;"",'All Cases - Enter Cases'!L227,"")</f>
        <v/>
      </c>
    </row>
    <row r="228" spans="1:13" x14ac:dyDescent="0.35">
      <c r="A228" s="4" t="str">
        <f>IF('All Cases - Enter Cases'!$K228="Approved",'All Cases - Enter Cases'!A228,"")</f>
        <v/>
      </c>
      <c r="B228" s="4" t="str">
        <f>IF($N228&lt;&gt;"",$N228,IF($A228&lt;&gt;"",'All Cases - Enter Cases'!$L228+7,""))</f>
        <v/>
      </c>
      <c r="C228" t="str">
        <f>IF($A228&lt;&gt;"",'All Cases - Enter Cases'!B228,"")</f>
        <v/>
      </c>
      <c r="D228" t="str">
        <f>IF($A228&lt;&gt;"",'All Cases - Enter Cases'!C228,"")</f>
        <v/>
      </c>
      <c r="E228" t="str">
        <f>IF($A228&lt;&gt;"",'All Cases - Enter Cases'!D228,"")</f>
        <v/>
      </c>
      <c r="F228" s="12" t="str">
        <f>IF($A228&lt;&gt;"",'All Cases - Enter Cases'!E228,"")</f>
        <v/>
      </c>
      <c r="G228" s="12" t="str">
        <f>IF($A228&lt;&gt;"",'All Cases - Enter Cases'!F228,"")</f>
        <v/>
      </c>
      <c r="H228" s="4" t="str">
        <f>IF($A228&lt;&gt;"",'All Cases - Enter Cases'!G228,"")</f>
        <v/>
      </c>
      <c r="I228" t="str">
        <f>IF($A228&lt;&gt;"",'All Cases - Enter Cases'!H228,"")</f>
        <v/>
      </c>
      <c r="J228" t="str">
        <f>IF($A228&lt;&gt;"",'All Cases - Enter Cases'!I228,"")</f>
        <v/>
      </c>
      <c r="K228" t="str">
        <f>IF($A228&lt;&gt;"",'All Cases - Enter Cases'!J228,"")</f>
        <v/>
      </c>
      <c r="L228" s="4" t="str">
        <f>IF($A228&lt;&gt;"",'All Cases - Enter Cases'!K228,"")</f>
        <v/>
      </c>
      <c r="M228" t="str">
        <f>IF($A228&lt;&gt;"",'All Cases - Enter Cases'!L228,"")</f>
        <v/>
      </c>
    </row>
    <row r="229" spans="1:13" x14ac:dyDescent="0.35">
      <c r="A229" s="4" t="str">
        <f>IF('All Cases - Enter Cases'!$K229="Approved",'All Cases - Enter Cases'!A229,"")</f>
        <v/>
      </c>
      <c r="B229" s="4" t="str">
        <f>IF($N229&lt;&gt;"",$N229,IF($A229&lt;&gt;"",'All Cases - Enter Cases'!$L229+7,""))</f>
        <v/>
      </c>
      <c r="C229" t="str">
        <f>IF($A229&lt;&gt;"",'All Cases - Enter Cases'!B229,"")</f>
        <v/>
      </c>
      <c r="D229" t="str">
        <f>IF($A229&lt;&gt;"",'All Cases - Enter Cases'!C229,"")</f>
        <v/>
      </c>
      <c r="E229" t="str">
        <f>IF($A229&lt;&gt;"",'All Cases - Enter Cases'!D229,"")</f>
        <v/>
      </c>
      <c r="F229" s="12" t="str">
        <f>IF($A229&lt;&gt;"",'All Cases - Enter Cases'!E229,"")</f>
        <v/>
      </c>
      <c r="G229" s="12" t="str">
        <f>IF($A229&lt;&gt;"",'All Cases - Enter Cases'!F229,"")</f>
        <v/>
      </c>
      <c r="H229" s="4" t="str">
        <f>IF($A229&lt;&gt;"",'All Cases - Enter Cases'!G229,"")</f>
        <v/>
      </c>
      <c r="I229" t="str">
        <f>IF($A229&lt;&gt;"",'All Cases - Enter Cases'!H229,"")</f>
        <v/>
      </c>
      <c r="J229" t="str">
        <f>IF($A229&lt;&gt;"",'All Cases - Enter Cases'!I229,"")</f>
        <v/>
      </c>
      <c r="K229" t="str">
        <f>IF($A229&lt;&gt;"",'All Cases - Enter Cases'!J229,"")</f>
        <v/>
      </c>
      <c r="L229" s="4" t="str">
        <f>IF($A229&lt;&gt;"",'All Cases - Enter Cases'!K229,"")</f>
        <v/>
      </c>
      <c r="M229" t="str">
        <f>IF($A229&lt;&gt;"",'All Cases - Enter Cases'!L229,"")</f>
        <v/>
      </c>
    </row>
    <row r="230" spans="1:13" x14ac:dyDescent="0.35">
      <c r="A230" s="4" t="str">
        <f>IF('All Cases - Enter Cases'!$K230="Approved",'All Cases - Enter Cases'!A230,"")</f>
        <v/>
      </c>
      <c r="B230" s="4" t="str">
        <f>IF($N230&lt;&gt;"",$N230,IF($A230&lt;&gt;"",'All Cases - Enter Cases'!$L230+7,""))</f>
        <v/>
      </c>
      <c r="C230" t="str">
        <f>IF($A230&lt;&gt;"",'All Cases - Enter Cases'!B230,"")</f>
        <v/>
      </c>
      <c r="D230" t="str">
        <f>IF($A230&lt;&gt;"",'All Cases - Enter Cases'!C230,"")</f>
        <v/>
      </c>
      <c r="E230" t="str">
        <f>IF($A230&lt;&gt;"",'All Cases - Enter Cases'!D230,"")</f>
        <v/>
      </c>
      <c r="F230" s="12" t="str">
        <f>IF($A230&lt;&gt;"",'All Cases - Enter Cases'!E230,"")</f>
        <v/>
      </c>
      <c r="G230" s="12" t="str">
        <f>IF($A230&lt;&gt;"",'All Cases - Enter Cases'!F230,"")</f>
        <v/>
      </c>
      <c r="H230" s="4" t="str">
        <f>IF($A230&lt;&gt;"",'All Cases - Enter Cases'!G230,"")</f>
        <v/>
      </c>
      <c r="I230" t="str">
        <f>IF($A230&lt;&gt;"",'All Cases - Enter Cases'!H230,"")</f>
        <v/>
      </c>
      <c r="J230" t="str">
        <f>IF($A230&lt;&gt;"",'All Cases - Enter Cases'!I230,"")</f>
        <v/>
      </c>
      <c r="K230" t="str">
        <f>IF($A230&lt;&gt;"",'All Cases - Enter Cases'!J230,"")</f>
        <v/>
      </c>
      <c r="L230" s="4" t="str">
        <f>IF($A230&lt;&gt;"",'All Cases - Enter Cases'!K230,"")</f>
        <v/>
      </c>
      <c r="M230" t="str">
        <f>IF($A230&lt;&gt;"",'All Cases - Enter Cases'!L230,"")</f>
        <v/>
      </c>
    </row>
    <row r="231" spans="1:13" x14ac:dyDescent="0.35">
      <c r="A231" s="4" t="str">
        <f>IF('All Cases - Enter Cases'!$K231="Approved",'All Cases - Enter Cases'!A231,"")</f>
        <v/>
      </c>
      <c r="B231" s="4" t="str">
        <f>IF($N231&lt;&gt;"",$N231,IF($A231&lt;&gt;"",'All Cases - Enter Cases'!$L231+7,""))</f>
        <v/>
      </c>
      <c r="C231" t="str">
        <f>IF($A231&lt;&gt;"",'All Cases - Enter Cases'!B231,"")</f>
        <v/>
      </c>
      <c r="D231" t="str">
        <f>IF($A231&lt;&gt;"",'All Cases - Enter Cases'!C231,"")</f>
        <v/>
      </c>
      <c r="E231" t="str">
        <f>IF($A231&lt;&gt;"",'All Cases - Enter Cases'!D231,"")</f>
        <v/>
      </c>
      <c r="F231" s="12" t="str">
        <f>IF($A231&lt;&gt;"",'All Cases - Enter Cases'!E231,"")</f>
        <v/>
      </c>
      <c r="G231" s="12" t="str">
        <f>IF($A231&lt;&gt;"",'All Cases - Enter Cases'!F231,"")</f>
        <v/>
      </c>
      <c r="H231" s="4" t="str">
        <f>IF($A231&lt;&gt;"",'All Cases - Enter Cases'!G231,"")</f>
        <v/>
      </c>
      <c r="I231" t="str">
        <f>IF($A231&lt;&gt;"",'All Cases - Enter Cases'!H231,"")</f>
        <v/>
      </c>
      <c r="J231" t="str">
        <f>IF($A231&lt;&gt;"",'All Cases - Enter Cases'!I231,"")</f>
        <v/>
      </c>
      <c r="K231" t="str">
        <f>IF($A231&lt;&gt;"",'All Cases - Enter Cases'!J231,"")</f>
        <v/>
      </c>
      <c r="L231" s="4" t="str">
        <f>IF($A231&lt;&gt;"",'All Cases - Enter Cases'!K231,"")</f>
        <v/>
      </c>
      <c r="M231" t="str">
        <f>IF($A231&lt;&gt;"",'All Cases - Enter Cases'!L231,"")</f>
        <v/>
      </c>
    </row>
    <row r="232" spans="1:13" x14ac:dyDescent="0.35">
      <c r="A232" s="4" t="str">
        <f>IF('All Cases - Enter Cases'!$K232="Approved",'All Cases - Enter Cases'!A232,"")</f>
        <v/>
      </c>
      <c r="B232" s="4" t="str">
        <f>IF($N232&lt;&gt;"",$N232,IF($A232&lt;&gt;"",'All Cases - Enter Cases'!$L232+7,""))</f>
        <v/>
      </c>
      <c r="C232" t="str">
        <f>IF($A232&lt;&gt;"",'All Cases - Enter Cases'!B232,"")</f>
        <v/>
      </c>
      <c r="D232" t="str">
        <f>IF($A232&lt;&gt;"",'All Cases - Enter Cases'!C232,"")</f>
        <v/>
      </c>
      <c r="E232" t="str">
        <f>IF($A232&lt;&gt;"",'All Cases - Enter Cases'!D232,"")</f>
        <v/>
      </c>
      <c r="F232" s="12" t="str">
        <f>IF($A232&lt;&gt;"",'All Cases - Enter Cases'!E232,"")</f>
        <v/>
      </c>
      <c r="G232" s="12" t="str">
        <f>IF($A232&lt;&gt;"",'All Cases - Enter Cases'!F232,"")</f>
        <v/>
      </c>
      <c r="H232" s="4" t="str">
        <f>IF($A232&lt;&gt;"",'All Cases - Enter Cases'!G232,"")</f>
        <v/>
      </c>
      <c r="I232" t="str">
        <f>IF($A232&lt;&gt;"",'All Cases - Enter Cases'!H232,"")</f>
        <v/>
      </c>
      <c r="J232" t="str">
        <f>IF($A232&lt;&gt;"",'All Cases - Enter Cases'!I232,"")</f>
        <v/>
      </c>
      <c r="K232" t="str">
        <f>IF($A232&lt;&gt;"",'All Cases - Enter Cases'!J232,"")</f>
        <v/>
      </c>
      <c r="L232" s="4" t="str">
        <f>IF($A232&lt;&gt;"",'All Cases - Enter Cases'!K232,"")</f>
        <v/>
      </c>
      <c r="M232" t="str">
        <f>IF($A232&lt;&gt;"",'All Cases - Enter Cases'!L232,"")</f>
        <v/>
      </c>
    </row>
    <row r="233" spans="1:13" x14ac:dyDescent="0.35">
      <c r="A233" s="4" t="str">
        <f>IF('All Cases - Enter Cases'!$K233="Approved",'All Cases - Enter Cases'!A233,"")</f>
        <v/>
      </c>
      <c r="B233" s="4" t="str">
        <f>IF($N233&lt;&gt;"",$N233,IF($A233&lt;&gt;"",'All Cases - Enter Cases'!$L233+7,""))</f>
        <v/>
      </c>
      <c r="C233" t="str">
        <f>IF($A233&lt;&gt;"",'All Cases - Enter Cases'!B233,"")</f>
        <v/>
      </c>
      <c r="D233" t="str">
        <f>IF($A233&lt;&gt;"",'All Cases - Enter Cases'!C233,"")</f>
        <v/>
      </c>
      <c r="E233" t="str">
        <f>IF($A233&lt;&gt;"",'All Cases - Enter Cases'!D233,"")</f>
        <v/>
      </c>
      <c r="F233" s="12" t="str">
        <f>IF($A233&lt;&gt;"",'All Cases - Enter Cases'!E233,"")</f>
        <v/>
      </c>
      <c r="G233" s="12" t="str">
        <f>IF($A233&lt;&gt;"",'All Cases - Enter Cases'!F233,"")</f>
        <v/>
      </c>
      <c r="H233" s="4" t="str">
        <f>IF($A233&lt;&gt;"",'All Cases - Enter Cases'!G233,"")</f>
        <v/>
      </c>
      <c r="I233" t="str">
        <f>IF($A233&lt;&gt;"",'All Cases - Enter Cases'!H233,"")</f>
        <v/>
      </c>
      <c r="J233" t="str">
        <f>IF($A233&lt;&gt;"",'All Cases - Enter Cases'!I233,"")</f>
        <v/>
      </c>
      <c r="K233" t="str">
        <f>IF($A233&lt;&gt;"",'All Cases - Enter Cases'!J233,"")</f>
        <v/>
      </c>
      <c r="L233" s="4" t="str">
        <f>IF($A233&lt;&gt;"",'All Cases - Enter Cases'!K233,"")</f>
        <v/>
      </c>
      <c r="M233" t="str">
        <f>IF($A233&lt;&gt;"",'All Cases - Enter Cases'!L233,"")</f>
        <v/>
      </c>
    </row>
    <row r="234" spans="1:13" x14ac:dyDescent="0.35">
      <c r="A234" s="4" t="str">
        <f>IF('All Cases - Enter Cases'!$K234="Approved",'All Cases - Enter Cases'!A234,"")</f>
        <v/>
      </c>
      <c r="B234" s="4" t="str">
        <f>IF($N234&lt;&gt;"",$N234,IF($A234&lt;&gt;"",'All Cases - Enter Cases'!$L234+7,""))</f>
        <v/>
      </c>
      <c r="C234" t="str">
        <f>IF($A234&lt;&gt;"",'All Cases - Enter Cases'!B234,"")</f>
        <v/>
      </c>
      <c r="D234" t="str">
        <f>IF($A234&lt;&gt;"",'All Cases - Enter Cases'!C234,"")</f>
        <v/>
      </c>
      <c r="E234" t="str">
        <f>IF($A234&lt;&gt;"",'All Cases - Enter Cases'!D234,"")</f>
        <v/>
      </c>
      <c r="F234" s="12" t="str">
        <f>IF($A234&lt;&gt;"",'All Cases - Enter Cases'!E234,"")</f>
        <v/>
      </c>
      <c r="G234" s="12" t="str">
        <f>IF($A234&lt;&gt;"",'All Cases - Enter Cases'!F234,"")</f>
        <v/>
      </c>
      <c r="H234" s="4" t="str">
        <f>IF($A234&lt;&gt;"",'All Cases - Enter Cases'!G234,"")</f>
        <v/>
      </c>
      <c r="I234" t="str">
        <f>IF($A234&lt;&gt;"",'All Cases - Enter Cases'!H234,"")</f>
        <v/>
      </c>
      <c r="J234" t="str">
        <f>IF($A234&lt;&gt;"",'All Cases - Enter Cases'!I234,"")</f>
        <v/>
      </c>
      <c r="K234" t="str">
        <f>IF($A234&lt;&gt;"",'All Cases - Enter Cases'!J234,"")</f>
        <v/>
      </c>
      <c r="L234" s="4" t="str">
        <f>IF($A234&lt;&gt;"",'All Cases - Enter Cases'!K234,"")</f>
        <v/>
      </c>
      <c r="M234" t="str">
        <f>IF($A234&lt;&gt;"",'All Cases - Enter Cases'!L234,"")</f>
        <v/>
      </c>
    </row>
    <row r="235" spans="1:13" x14ac:dyDescent="0.35">
      <c r="A235" s="4" t="str">
        <f>IF('All Cases - Enter Cases'!$K235="Approved",'All Cases - Enter Cases'!A235,"")</f>
        <v/>
      </c>
      <c r="B235" s="4" t="str">
        <f>IF($N235&lt;&gt;"",$N235,IF($A235&lt;&gt;"",'All Cases - Enter Cases'!$L235+7,""))</f>
        <v/>
      </c>
      <c r="C235" t="str">
        <f>IF($A235&lt;&gt;"",'All Cases - Enter Cases'!B235,"")</f>
        <v/>
      </c>
      <c r="D235" t="str">
        <f>IF($A235&lt;&gt;"",'All Cases - Enter Cases'!C235,"")</f>
        <v/>
      </c>
      <c r="E235" t="str">
        <f>IF($A235&lt;&gt;"",'All Cases - Enter Cases'!D235,"")</f>
        <v/>
      </c>
      <c r="F235" s="12" t="str">
        <f>IF($A235&lt;&gt;"",'All Cases - Enter Cases'!E235,"")</f>
        <v/>
      </c>
      <c r="G235" s="12" t="str">
        <f>IF($A235&lt;&gt;"",'All Cases - Enter Cases'!F235,"")</f>
        <v/>
      </c>
      <c r="H235" s="4" t="str">
        <f>IF($A235&lt;&gt;"",'All Cases - Enter Cases'!G235,"")</f>
        <v/>
      </c>
      <c r="I235" t="str">
        <f>IF($A235&lt;&gt;"",'All Cases - Enter Cases'!H235,"")</f>
        <v/>
      </c>
      <c r="J235" t="str">
        <f>IF($A235&lt;&gt;"",'All Cases - Enter Cases'!I235,"")</f>
        <v/>
      </c>
      <c r="K235" t="str">
        <f>IF($A235&lt;&gt;"",'All Cases - Enter Cases'!J235,"")</f>
        <v/>
      </c>
      <c r="L235" s="4" t="str">
        <f>IF($A235&lt;&gt;"",'All Cases - Enter Cases'!K235,"")</f>
        <v/>
      </c>
      <c r="M235" t="str">
        <f>IF($A235&lt;&gt;"",'All Cases - Enter Cases'!L235,"")</f>
        <v/>
      </c>
    </row>
    <row r="236" spans="1:13" x14ac:dyDescent="0.35">
      <c r="A236" s="4" t="str">
        <f>IF('All Cases - Enter Cases'!$K236="Approved",'All Cases - Enter Cases'!A236,"")</f>
        <v/>
      </c>
      <c r="B236" s="4" t="str">
        <f>IF($N236&lt;&gt;"",$N236,IF($A236&lt;&gt;"",'All Cases - Enter Cases'!$L236+7,""))</f>
        <v/>
      </c>
      <c r="C236" t="str">
        <f>IF($A236&lt;&gt;"",'All Cases - Enter Cases'!B236,"")</f>
        <v/>
      </c>
      <c r="D236" t="str">
        <f>IF($A236&lt;&gt;"",'All Cases - Enter Cases'!C236,"")</f>
        <v/>
      </c>
      <c r="E236" t="str">
        <f>IF($A236&lt;&gt;"",'All Cases - Enter Cases'!D236,"")</f>
        <v/>
      </c>
      <c r="F236" s="12" t="str">
        <f>IF($A236&lt;&gt;"",'All Cases - Enter Cases'!E236,"")</f>
        <v/>
      </c>
      <c r="G236" s="12" t="str">
        <f>IF($A236&lt;&gt;"",'All Cases - Enter Cases'!F236,"")</f>
        <v/>
      </c>
      <c r="H236" s="4" t="str">
        <f>IF($A236&lt;&gt;"",'All Cases - Enter Cases'!G236,"")</f>
        <v/>
      </c>
      <c r="I236" t="str">
        <f>IF($A236&lt;&gt;"",'All Cases - Enter Cases'!H236,"")</f>
        <v/>
      </c>
      <c r="J236" t="str">
        <f>IF($A236&lt;&gt;"",'All Cases - Enter Cases'!I236,"")</f>
        <v/>
      </c>
      <c r="K236" t="str">
        <f>IF($A236&lt;&gt;"",'All Cases - Enter Cases'!J236,"")</f>
        <v/>
      </c>
      <c r="L236" s="4" t="str">
        <f>IF($A236&lt;&gt;"",'All Cases - Enter Cases'!K236,"")</f>
        <v/>
      </c>
      <c r="M236" t="str">
        <f>IF($A236&lt;&gt;"",'All Cases - Enter Cases'!L236,"")</f>
        <v/>
      </c>
    </row>
    <row r="237" spans="1:13" x14ac:dyDescent="0.35">
      <c r="A237" s="4" t="str">
        <f>IF('All Cases - Enter Cases'!$K237="Approved",'All Cases - Enter Cases'!A237,"")</f>
        <v/>
      </c>
      <c r="B237" s="4" t="str">
        <f>IF($N237&lt;&gt;"",$N237,IF($A237&lt;&gt;"",'All Cases - Enter Cases'!$L237+7,""))</f>
        <v/>
      </c>
      <c r="C237" t="str">
        <f>IF($A237&lt;&gt;"",'All Cases - Enter Cases'!B237,"")</f>
        <v/>
      </c>
      <c r="D237" t="str">
        <f>IF($A237&lt;&gt;"",'All Cases - Enter Cases'!C237,"")</f>
        <v/>
      </c>
      <c r="E237" t="str">
        <f>IF($A237&lt;&gt;"",'All Cases - Enter Cases'!D237,"")</f>
        <v/>
      </c>
      <c r="F237" s="12" t="str">
        <f>IF($A237&lt;&gt;"",'All Cases - Enter Cases'!E237,"")</f>
        <v/>
      </c>
      <c r="G237" s="12" t="str">
        <f>IF($A237&lt;&gt;"",'All Cases - Enter Cases'!F237,"")</f>
        <v/>
      </c>
      <c r="H237" s="4" t="str">
        <f>IF($A237&lt;&gt;"",'All Cases - Enter Cases'!G237,"")</f>
        <v/>
      </c>
      <c r="I237" t="str">
        <f>IF($A237&lt;&gt;"",'All Cases - Enter Cases'!H237,"")</f>
        <v/>
      </c>
      <c r="J237" t="str">
        <f>IF($A237&lt;&gt;"",'All Cases - Enter Cases'!I237,"")</f>
        <v/>
      </c>
      <c r="K237" t="str">
        <f>IF($A237&lt;&gt;"",'All Cases - Enter Cases'!J237,"")</f>
        <v/>
      </c>
      <c r="L237" s="4" t="str">
        <f>IF($A237&lt;&gt;"",'All Cases - Enter Cases'!K237,"")</f>
        <v/>
      </c>
      <c r="M237" t="str">
        <f>IF($A237&lt;&gt;"",'All Cases - Enter Cases'!L237,"")</f>
        <v/>
      </c>
    </row>
    <row r="238" spans="1:13" x14ac:dyDescent="0.35">
      <c r="A238" s="4" t="str">
        <f>IF('All Cases - Enter Cases'!$K238="Approved",'All Cases - Enter Cases'!A238,"")</f>
        <v/>
      </c>
      <c r="B238" s="4" t="str">
        <f>IF($N238&lt;&gt;"",$N238,IF($A238&lt;&gt;"",'All Cases - Enter Cases'!$L238+7,""))</f>
        <v/>
      </c>
      <c r="C238" t="str">
        <f>IF($A238&lt;&gt;"",'All Cases - Enter Cases'!B238,"")</f>
        <v/>
      </c>
      <c r="D238" t="str">
        <f>IF($A238&lt;&gt;"",'All Cases - Enter Cases'!C238,"")</f>
        <v/>
      </c>
      <c r="E238" t="str">
        <f>IF($A238&lt;&gt;"",'All Cases - Enter Cases'!D238,"")</f>
        <v/>
      </c>
      <c r="F238" s="12" t="str">
        <f>IF($A238&lt;&gt;"",'All Cases - Enter Cases'!E238,"")</f>
        <v/>
      </c>
      <c r="G238" s="12" t="str">
        <f>IF($A238&lt;&gt;"",'All Cases - Enter Cases'!F238,"")</f>
        <v/>
      </c>
      <c r="H238" s="4" t="str">
        <f>IF($A238&lt;&gt;"",'All Cases - Enter Cases'!G238,"")</f>
        <v/>
      </c>
      <c r="I238" t="str">
        <f>IF($A238&lt;&gt;"",'All Cases - Enter Cases'!H238,"")</f>
        <v/>
      </c>
      <c r="J238" t="str">
        <f>IF($A238&lt;&gt;"",'All Cases - Enter Cases'!I238,"")</f>
        <v/>
      </c>
      <c r="K238" t="str">
        <f>IF($A238&lt;&gt;"",'All Cases - Enter Cases'!J238,"")</f>
        <v/>
      </c>
      <c r="L238" s="4" t="str">
        <f>IF($A238&lt;&gt;"",'All Cases - Enter Cases'!K238,"")</f>
        <v/>
      </c>
      <c r="M238" t="str">
        <f>IF($A238&lt;&gt;"",'All Cases - Enter Cases'!L238,"")</f>
        <v/>
      </c>
    </row>
    <row r="239" spans="1:13" x14ac:dyDescent="0.35">
      <c r="A239" s="4" t="str">
        <f>IF('All Cases - Enter Cases'!$K239="Approved",'All Cases - Enter Cases'!A239,"")</f>
        <v/>
      </c>
      <c r="B239" s="4" t="str">
        <f>IF($N239&lt;&gt;"",$N239,IF($A239&lt;&gt;"",'All Cases - Enter Cases'!$L239+7,""))</f>
        <v/>
      </c>
      <c r="C239" t="str">
        <f>IF($A239&lt;&gt;"",'All Cases - Enter Cases'!B239,"")</f>
        <v/>
      </c>
      <c r="D239" t="str">
        <f>IF($A239&lt;&gt;"",'All Cases - Enter Cases'!C239,"")</f>
        <v/>
      </c>
      <c r="E239" t="str">
        <f>IF($A239&lt;&gt;"",'All Cases - Enter Cases'!D239,"")</f>
        <v/>
      </c>
      <c r="F239" s="12" t="str">
        <f>IF($A239&lt;&gt;"",'All Cases - Enter Cases'!E239,"")</f>
        <v/>
      </c>
      <c r="G239" s="12" t="str">
        <f>IF($A239&lt;&gt;"",'All Cases - Enter Cases'!F239,"")</f>
        <v/>
      </c>
      <c r="H239" s="4" t="str">
        <f>IF($A239&lt;&gt;"",'All Cases - Enter Cases'!G239,"")</f>
        <v/>
      </c>
      <c r="I239" t="str">
        <f>IF($A239&lt;&gt;"",'All Cases - Enter Cases'!H239,"")</f>
        <v/>
      </c>
      <c r="J239" t="str">
        <f>IF($A239&lt;&gt;"",'All Cases - Enter Cases'!I239,"")</f>
        <v/>
      </c>
      <c r="K239" t="str">
        <f>IF($A239&lt;&gt;"",'All Cases - Enter Cases'!J239,"")</f>
        <v/>
      </c>
      <c r="L239" s="4" t="str">
        <f>IF($A239&lt;&gt;"",'All Cases - Enter Cases'!K239,"")</f>
        <v/>
      </c>
      <c r="M239" t="str">
        <f>IF($A239&lt;&gt;"",'All Cases - Enter Cases'!L239,"")</f>
        <v/>
      </c>
    </row>
    <row r="240" spans="1:13" x14ac:dyDescent="0.35">
      <c r="A240" s="4" t="str">
        <f>IF('All Cases - Enter Cases'!$K240="Approved",'All Cases - Enter Cases'!A240,"")</f>
        <v/>
      </c>
      <c r="B240" s="4" t="str">
        <f>IF($N240&lt;&gt;"",$N240,IF($A240&lt;&gt;"",'All Cases - Enter Cases'!$L240+7,""))</f>
        <v/>
      </c>
      <c r="C240" t="str">
        <f>IF($A240&lt;&gt;"",'All Cases - Enter Cases'!B240,"")</f>
        <v/>
      </c>
      <c r="D240" t="str">
        <f>IF($A240&lt;&gt;"",'All Cases - Enter Cases'!C240,"")</f>
        <v/>
      </c>
      <c r="E240" t="str">
        <f>IF($A240&lt;&gt;"",'All Cases - Enter Cases'!D240,"")</f>
        <v/>
      </c>
      <c r="F240" s="12" t="str">
        <f>IF($A240&lt;&gt;"",'All Cases - Enter Cases'!E240,"")</f>
        <v/>
      </c>
      <c r="G240" s="12" t="str">
        <f>IF($A240&lt;&gt;"",'All Cases - Enter Cases'!F240,"")</f>
        <v/>
      </c>
      <c r="H240" s="4" t="str">
        <f>IF($A240&lt;&gt;"",'All Cases - Enter Cases'!G240,"")</f>
        <v/>
      </c>
      <c r="I240" t="str">
        <f>IF($A240&lt;&gt;"",'All Cases - Enter Cases'!H240,"")</f>
        <v/>
      </c>
      <c r="J240" t="str">
        <f>IF($A240&lt;&gt;"",'All Cases - Enter Cases'!I240,"")</f>
        <v/>
      </c>
      <c r="K240" t="str">
        <f>IF($A240&lt;&gt;"",'All Cases - Enter Cases'!J240,"")</f>
        <v/>
      </c>
      <c r="L240" s="4" t="str">
        <f>IF($A240&lt;&gt;"",'All Cases - Enter Cases'!K240,"")</f>
        <v/>
      </c>
      <c r="M240" t="str">
        <f>IF($A240&lt;&gt;"",'All Cases - Enter Cases'!L240,"")</f>
        <v/>
      </c>
    </row>
    <row r="241" spans="1:13" x14ac:dyDescent="0.35">
      <c r="A241" s="4" t="str">
        <f>IF('All Cases - Enter Cases'!$K241="Approved",'All Cases - Enter Cases'!A241,"")</f>
        <v/>
      </c>
      <c r="B241" s="4" t="str">
        <f>IF($N241&lt;&gt;"",$N241,IF($A241&lt;&gt;"",'All Cases - Enter Cases'!$L241+7,""))</f>
        <v/>
      </c>
      <c r="C241" t="str">
        <f>IF($A241&lt;&gt;"",'All Cases - Enter Cases'!B241,"")</f>
        <v/>
      </c>
      <c r="D241" t="str">
        <f>IF($A241&lt;&gt;"",'All Cases - Enter Cases'!C241,"")</f>
        <v/>
      </c>
      <c r="E241" t="str">
        <f>IF($A241&lt;&gt;"",'All Cases - Enter Cases'!D241,"")</f>
        <v/>
      </c>
      <c r="F241" s="12" t="str">
        <f>IF($A241&lt;&gt;"",'All Cases - Enter Cases'!E241,"")</f>
        <v/>
      </c>
      <c r="G241" s="12" t="str">
        <f>IF($A241&lt;&gt;"",'All Cases - Enter Cases'!F241,"")</f>
        <v/>
      </c>
      <c r="H241" s="4" t="str">
        <f>IF($A241&lt;&gt;"",'All Cases - Enter Cases'!G241,"")</f>
        <v/>
      </c>
      <c r="I241" t="str">
        <f>IF($A241&lt;&gt;"",'All Cases - Enter Cases'!H241,"")</f>
        <v/>
      </c>
      <c r="J241" t="str">
        <f>IF($A241&lt;&gt;"",'All Cases - Enter Cases'!I241,"")</f>
        <v/>
      </c>
      <c r="K241" t="str">
        <f>IF($A241&lt;&gt;"",'All Cases - Enter Cases'!J241,"")</f>
        <v/>
      </c>
      <c r="L241" s="4" t="str">
        <f>IF($A241&lt;&gt;"",'All Cases - Enter Cases'!K241,"")</f>
        <v/>
      </c>
      <c r="M241" t="str">
        <f>IF($A241&lt;&gt;"",'All Cases - Enter Cases'!L241,"")</f>
        <v/>
      </c>
    </row>
    <row r="242" spans="1:13" x14ac:dyDescent="0.35">
      <c r="A242" s="4" t="str">
        <f>IF('All Cases - Enter Cases'!$K242="Approved",'All Cases - Enter Cases'!A242,"")</f>
        <v/>
      </c>
      <c r="B242" s="4" t="str">
        <f>IF($N242&lt;&gt;"",$N242,IF($A242&lt;&gt;"",'All Cases - Enter Cases'!$L242+7,""))</f>
        <v/>
      </c>
      <c r="C242" t="str">
        <f>IF($A242&lt;&gt;"",'All Cases - Enter Cases'!B242,"")</f>
        <v/>
      </c>
      <c r="D242" t="str">
        <f>IF($A242&lt;&gt;"",'All Cases - Enter Cases'!C242,"")</f>
        <v/>
      </c>
      <c r="E242" t="str">
        <f>IF($A242&lt;&gt;"",'All Cases - Enter Cases'!D242,"")</f>
        <v/>
      </c>
      <c r="F242" s="12" t="str">
        <f>IF($A242&lt;&gt;"",'All Cases - Enter Cases'!E242,"")</f>
        <v/>
      </c>
      <c r="G242" s="12" t="str">
        <f>IF($A242&lt;&gt;"",'All Cases - Enter Cases'!F242,"")</f>
        <v/>
      </c>
      <c r="H242" s="4" t="str">
        <f>IF($A242&lt;&gt;"",'All Cases - Enter Cases'!G242,"")</f>
        <v/>
      </c>
      <c r="I242" t="str">
        <f>IF($A242&lt;&gt;"",'All Cases - Enter Cases'!H242,"")</f>
        <v/>
      </c>
      <c r="J242" t="str">
        <f>IF($A242&lt;&gt;"",'All Cases - Enter Cases'!I242,"")</f>
        <v/>
      </c>
      <c r="K242" t="str">
        <f>IF($A242&lt;&gt;"",'All Cases - Enter Cases'!J242,"")</f>
        <v/>
      </c>
      <c r="L242" s="4" t="str">
        <f>IF($A242&lt;&gt;"",'All Cases - Enter Cases'!K242,"")</f>
        <v/>
      </c>
      <c r="M242" t="str">
        <f>IF($A242&lt;&gt;"",'All Cases - Enter Cases'!L242,"")</f>
        <v/>
      </c>
    </row>
    <row r="243" spans="1:13" x14ac:dyDescent="0.35">
      <c r="A243" s="4" t="str">
        <f>IF('All Cases - Enter Cases'!$K243="Approved",'All Cases - Enter Cases'!A243,"")</f>
        <v/>
      </c>
      <c r="B243" s="4" t="str">
        <f>IF($N243&lt;&gt;"",$N243,IF($A243&lt;&gt;"",'All Cases - Enter Cases'!$L243+7,""))</f>
        <v/>
      </c>
      <c r="C243" t="str">
        <f>IF($A243&lt;&gt;"",'All Cases - Enter Cases'!B243,"")</f>
        <v/>
      </c>
      <c r="D243" t="str">
        <f>IF($A243&lt;&gt;"",'All Cases - Enter Cases'!C243,"")</f>
        <v/>
      </c>
      <c r="E243" t="str">
        <f>IF($A243&lt;&gt;"",'All Cases - Enter Cases'!D243,"")</f>
        <v/>
      </c>
      <c r="F243" s="12" t="str">
        <f>IF($A243&lt;&gt;"",'All Cases - Enter Cases'!E243,"")</f>
        <v/>
      </c>
      <c r="G243" s="12" t="str">
        <f>IF($A243&lt;&gt;"",'All Cases - Enter Cases'!F243,"")</f>
        <v/>
      </c>
      <c r="H243" s="4" t="str">
        <f>IF($A243&lt;&gt;"",'All Cases - Enter Cases'!G243,"")</f>
        <v/>
      </c>
      <c r="I243" t="str">
        <f>IF($A243&lt;&gt;"",'All Cases - Enter Cases'!H243,"")</f>
        <v/>
      </c>
      <c r="J243" t="str">
        <f>IF($A243&lt;&gt;"",'All Cases - Enter Cases'!I243,"")</f>
        <v/>
      </c>
      <c r="K243" t="str">
        <f>IF($A243&lt;&gt;"",'All Cases - Enter Cases'!J243,"")</f>
        <v/>
      </c>
      <c r="L243" s="4" t="str">
        <f>IF($A243&lt;&gt;"",'All Cases - Enter Cases'!K243,"")</f>
        <v/>
      </c>
      <c r="M243" t="str">
        <f>IF($A243&lt;&gt;"",'All Cases - Enter Cases'!L243,"")</f>
        <v/>
      </c>
    </row>
    <row r="244" spans="1:13" x14ac:dyDescent="0.35">
      <c r="A244" s="4" t="str">
        <f>IF('All Cases - Enter Cases'!$K244="Approved",'All Cases - Enter Cases'!A244,"")</f>
        <v/>
      </c>
      <c r="B244" s="4" t="str">
        <f>IF($N244&lt;&gt;"",$N244,IF($A244&lt;&gt;"",'All Cases - Enter Cases'!$L244+7,""))</f>
        <v/>
      </c>
      <c r="C244" t="str">
        <f>IF($A244&lt;&gt;"",'All Cases - Enter Cases'!B244,"")</f>
        <v/>
      </c>
      <c r="D244" t="str">
        <f>IF($A244&lt;&gt;"",'All Cases - Enter Cases'!C244,"")</f>
        <v/>
      </c>
      <c r="E244" t="str">
        <f>IF($A244&lt;&gt;"",'All Cases - Enter Cases'!D244,"")</f>
        <v/>
      </c>
      <c r="F244" s="12" t="str">
        <f>IF($A244&lt;&gt;"",'All Cases - Enter Cases'!E244,"")</f>
        <v/>
      </c>
      <c r="G244" s="12" t="str">
        <f>IF($A244&lt;&gt;"",'All Cases - Enter Cases'!F244,"")</f>
        <v/>
      </c>
      <c r="H244" s="4" t="str">
        <f>IF($A244&lt;&gt;"",'All Cases - Enter Cases'!G244,"")</f>
        <v/>
      </c>
      <c r="I244" t="str">
        <f>IF($A244&lt;&gt;"",'All Cases - Enter Cases'!H244,"")</f>
        <v/>
      </c>
      <c r="J244" t="str">
        <f>IF($A244&lt;&gt;"",'All Cases - Enter Cases'!I244,"")</f>
        <v/>
      </c>
      <c r="K244" t="str">
        <f>IF($A244&lt;&gt;"",'All Cases - Enter Cases'!J244,"")</f>
        <v/>
      </c>
      <c r="L244" s="4" t="str">
        <f>IF($A244&lt;&gt;"",'All Cases - Enter Cases'!K244,"")</f>
        <v/>
      </c>
      <c r="M244" t="str">
        <f>IF($A244&lt;&gt;"",'All Cases - Enter Cases'!L244,"")</f>
        <v/>
      </c>
    </row>
    <row r="245" spans="1:13" x14ac:dyDescent="0.35">
      <c r="A245" s="4" t="str">
        <f>IF('All Cases - Enter Cases'!$K245="Approved",'All Cases - Enter Cases'!A245,"")</f>
        <v/>
      </c>
      <c r="B245" s="4" t="str">
        <f>IF($N245&lt;&gt;"",$N245,IF($A245&lt;&gt;"",'All Cases - Enter Cases'!$L245+7,""))</f>
        <v/>
      </c>
      <c r="C245" t="str">
        <f>IF($A245&lt;&gt;"",'All Cases - Enter Cases'!B245,"")</f>
        <v/>
      </c>
      <c r="D245" t="str">
        <f>IF($A245&lt;&gt;"",'All Cases - Enter Cases'!C245,"")</f>
        <v/>
      </c>
      <c r="E245" t="str">
        <f>IF($A245&lt;&gt;"",'All Cases - Enter Cases'!D245,"")</f>
        <v/>
      </c>
      <c r="F245" s="12" t="str">
        <f>IF($A245&lt;&gt;"",'All Cases - Enter Cases'!E245,"")</f>
        <v/>
      </c>
      <c r="G245" s="12" t="str">
        <f>IF($A245&lt;&gt;"",'All Cases - Enter Cases'!F245,"")</f>
        <v/>
      </c>
      <c r="H245" s="4" t="str">
        <f>IF($A245&lt;&gt;"",'All Cases - Enter Cases'!G245,"")</f>
        <v/>
      </c>
      <c r="I245" t="str">
        <f>IF($A245&lt;&gt;"",'All Cases - Enter Cases'!H245,"")</f>
        <v/>
      </c>
      <c r="J245" t="str">
        <f>IF($A245&lt;&gt;"",'All Cases - Enter Cases'!I245,"")</f>
        <v/>
      </c>
      <c r="K245" t="str">
        <f>IF($A245&lt;&gt;"",'All Cases - Enter Cases'!J245,"")</f>
        <v/>
      </c>
      <c r="L245" s="4" t="str">
        <f>IF($A245&lt;&gt;"",'All Cases - Enter Cases'!K245,"")</f>
        <v/>
      </c>
      <c r="M245" t="str">
        <f>IF($A245&lt;&gt;"",'All Cases - Enter Cases'!L245,"")</f>
        <v/>
      </c>
    </row>
    <row r="246" spans="1:13" x14ac:dyDescent="0.35">
      <c r="A246" s="4" t="str">
        <f>IF('All Cases - Enter Cases'!$K246="Approved",'All Cases - Enter Cases'!A246,"")</f>
        <v/>
      </c>
      <c r="B246" s="4" t="str">
        <f>IF($N246&lt;&gt;"",$N246,IF($A246&lt;&gt;"",'All Cases - Enter Cases'!$L246+7,""))</f>
        <v/>
      </c>
      <c r="C246" t="str">
        <f>IF($A246&lt;&gt;"",'All Cases - Enter Cases'!B246,"")</f>
        <v/>
      </c>
      <c r="D246" t="str">
        <f>IF($A246&lt;&gt;"",'All Cases - Enter Cases'!C246,"")</f>
        <v/>
      </c>
      <c r="E246" t="str">
        <f>IF($A246&lt;&gt;"",'All Cases - Enter Cases'!D246,"")</f>
        <v/>
      </c>
      <c r="F246" s="12" t="str">
        <f>IF($A246&lt;&gt;"",'All Cases - Enter Cases'!E246,"")</f>
        <v/>
      </c>
      <c r="G246" s="12" t="str">
        <f>IF($A246&lt;&gt;"",'All Cases - Enter Cases'!F246,"")</f>
        <v/>
      </c>
      <c r="H246" s="4" t="str">
        <f>IF($A246&lt;&gt;"",'All Cases - Enter Cases'!G246,"")</f>
        <v/>
      </c>
      <c r="I246" t="str">
        <f>IF($A246&lt;&gt;"",'All Cases - Enter Cases'!H246,"")</f>
        <v/>
      </c>
      <c r="J246" t="str">
        <f>IF($A246&lt;&gt;"",'All Cases - Enter Cases'!I246,"")</f>
        <v/>
      </c>
      <c r="K246" t="str">
        <f>IF($A246&lt;&gt;"",'All Cases - Enter Cases'!J246,"")</f>
        <v/>
      </c>
      <c r="L246" s="4" t="str">
        <f>IF($A246&lt;&gt;"",'All Cases - Enter Cases'!K246,"")</f>
        <v/>
      </c>
      <c r="M246" t="str">
        <f>IF($A246&lt;&gt;"",'All Cases - Enter Cases'!L246,"")</f>
        <v/>
      </c>
    </row>
    <row r="247" spans="1:13" x14ac:dyDescent="0.35">
      <c r="A247" s="4" t="str">
        <f>IF('All Cases - Enter Cases'!$K247="Approved",'All Cases - Enter Cases'!A247,"")</f>
        <v/>
      </c>
      <c r="B247" s="4" t="str">
        <f>IF($N247&lt;&gt;"",$N247,IF($A247&lt;&gt;"",'All Cases - Enter Cases'!$L247+7,""))</f>
        <v/>
      </c>
      <c r="C247" t="str">
        <f>IF($A247&lt;&gt;"",'All Cases - Enter Cases'!B247,"")</f>
        <v/>
      </c>
      <c r="D247" t="str">
        <f>IF($A247&lt;&gt;"",'All Cases - Enter Cases'!C247,"")</f>
        <v/>
      </c>
      <c r="E247" t="str">
        <f>IF($A247&lt;&gt;"",'All Cases - Enter Cases'!D247,"")</f>
        <v/>
      </c>
      <c r="F247" s="12" t="str">
        <f>IF($A247&lt;&gt;"",'All Cases - Enter Cases'!E247,"")</f>
        <v/>
      </c>
      <c r="G247" s="12" t="str">
        <f>IF($A247&lt;&gt;"",'All Cases - Enter Cases'!F247,"")</f>
        <v/>
      </c>
      <c r="H247" s="4" t="str">
        <f>IF($A247&lt;&gt;"",'All Cases - Enter Cases'!G247,"")</f>
        <v/>
      </c>
      <c r="I247" t="str">
        <f>IF($A247&lt;&gt;"",'All Cases - Enter Cases'!H247,"")</f>
        <v/>
      </c>
      <c r="J247" t="str">
        <f>IF($A247&lt;&gt;"",'All Cases - Enter Cases'!I247,"")</f>
        <v/>
      </c>
      <c r="K247" t="str">
        <f>IF($A247&lt;&gt;"",'All Cases - Enter Cases'!J247,"")</f>
        <v/>
      </c>
      <c r="L247" s="4" t="str">
        <f>IF($A247&lt;&gt;"",'All Cases - Enter Cases'!K247,"")</f>
        <v/>
      </c>
      <c r="M247" t="str">
        <f>IF($A247&lt;&gt;"",'All Cases - Enter Cases'!L247,"")</f>
        <v/>
      </c>
    </row>
    <row r="248" spans="1:13" x14ac:dyDescent="0.35">
      <c r="A248" s="4" t="str">
        <f>IF('All Cases - Enter Cases'!$K248="Approved",'All Cases - Enter Cases'!A248,"")</f>
        <v/>
      </c>
      <c r="B248" s="4" t="str">
        <f>IF($N248&lt;&gt;"",$N248,IF($A248&lt;&gt;"",'All Cases - Enter Cases'!$L248+7,""))</f>
        <v/>
      </c>
      <c r="C248" t="str">
        <f>IF($A248&lt;&gt;"",'All Cases - Enter Cases'!B248,"")</f>
        <v/>
      </c>
      <c r="D248" t="str">
        <f>IF($A248&lt;&gt;"",'All Cases - Enter Cases'!C248,"")</f>
        <v/>
      </c>
      <c r="E248" t="str">
        <f>IF($A248&lt;&gt;"",'All Cases - Enter Cases'!D248,"")</f>
        <v/>
      </c>
      <c r="F248" s="12" t="str">
        <f>IF($A248&lt;&gt;"",'All Cases - Enter Cases'!E248,"")</f>
        <v/>
      </c>
      <c r="G248" s="12" t="str">
        <f>IF($A248&lt;&gt;"",'All Cases - Enter Cases'!F248,"")</f>
        <v/>
      </c>
      <c r="H248" s="4" t="str">
        <f>IF($A248&lt;&gt;"",'All Cases - Enter Cases'!G248,"")</f>
        <v/>
      </c>
      <c r="I248" t="str">
        <f>IF($A248&lt;&gt;"",'All Cases - Enter Cases'!H248,"")</f>
        <v/>
      </c>
      <c r="J248" t="str">
        <f>IF($A248&lt;&gt;"",'All Cases - Enter Cases'!I248,"")</f>
        <v/>
      </c>
      <c r="K248" t="str">
        <f>IF($A248&lt;&gt;"",'All Cases - Enter Cases'!J248,"")</f>
        <v/>
      </c>
      <c r="L248" s="4" t="str">
        <f>IF($A248&lt;&gt;"",'All Cases - Enter Cases'!K248,"")</f>
        <v/>
      </c>
      <c r="M248" t="str">
        <f>IF($A248&lt;&gt;"",'All Cases - Enter Cases'!L248,"")</f>
        <v/>
      </c>
    </row>
    <row r="249" spans="1:13" x14ac:dyDescent="0.35">
      <c r="A249" s="4" t="str">
        <f>IF('All Cases - Enter Cases'!$K249="Approved",'All Cases - Enter Cases'!A249,"")</f>
        <v/>
      </c>
      <c r="B249" s="4" t="str">
        <f>IF($N249&lt;&gt;"",$N249,IF($A249&lt;&gt;"",'All Cases - Enter Cases'!$L249+7,""))</f>
        <v/>
      </c>
      <c r="C249" t="str">
        <f>IF($A249&lt;&gt;"",'All Cases - Enter Cases'!B249,"")</f>
        <v/>
      </c>
      <c r="D249" t="str">
        <f>IF($A249&lt;&gt;"",'All Cases - Enter Cases'!C249,"")</f>
        <v/>
      </c>
      <c r="E249" t="str">
        <f>IF($A249&lt;&gt;"",'All Cases - Enter Cases'!D249,"")</f>
        <v/>
      </c>
      <c r="F249" s="12" t="str">
        <f>IF($A249&lt;&gt;"",'All Cases - Enter Cases'!E249,"")</f>
        <v/>
      </c>
      <c r="G249" s="12" t="str">
        <f>IF($A249&lt;&gt;"",'All Cases - Enter Cases'!F249,"")</f>
        <v/>
      </c>
      <c r="H249" s="4" t="str">
        <f>IF($A249&lt;&gt;"",'All Cases - Enter Cases'!G249,"")</f>
        <v/>
      </c>
      <c r="I249" t="str">
        <f>IF($A249&lt;&gt;"",'All Cases - Enter Cases'!H249,"")</f>
        <v/>
      </c>
      <c r="J249" t="str">
        <f>IF($A249&lt;&gt;"",'All Cases - Enter Cases'!I249,"")</f>
        <v/>
      </c>
      <c r="K249" t="str">
        <f>IF($A249&lt;&gt;"",'All Cases - Enter Cases'!J249,"")</f>
        <v/>
      </c>
      <c r="L249" s="4" t="str">
        <f>IF($A249&lt;&gt;"",'All Cases - Enter Cases'!K249,"")</f>
        <v/>
      </c>
      <c r="M249" t="str">
        <f>IF($A249&lt;&gt;"",'All Cases - Enter Cases'!L249,"")</f>
        <v/>
      </c>
    </row>
    <row r="250" spans="1:13" x14ac:dyDescent="0.35">
      <c r="A250" s="4" t="str">
        <f>IF('All Cases - Enter Cases'!$K250="Approved",'All Cases - Enter Cases'!A250,"")</f>
        <v/>
      </c>
      <c r="B250" s="4" t="str">
        <f>IF($N250&lt;&gt;"",$N250,IF($A250&lt;&gt;"",'All Cases - Enter Cases'!$L250+7,""))</f>
        <v/>
      </c>
      <c r="C250" t="str">
        <f>IF($A250&lt;&gt;"",'All Cases - Enter Cases'!B250,"")</f>
        <v/>
      </c>
      <c r="D250" t="str">
        <f>IF($A250&lt;&gt;"",'All Cases - Enter Cases'!C250,"")</f>
        <v/>
      </c>
      <c r="E250" t="str">
        <f>IF($A250&lt;&gt;"",'All Cases - Enter Cases'!D250,"")</f>
        <v/>
      </c>
      <c r="F250" s="12" t="str">
        <f>IF($A250&lt;&gt;"",'All Cases - Enter Cases'!E250,"")</f>
        <v/>
      </c>
      <c r="G250" s="12" t="str">
        <f>IF($A250&lt;&gt;"",'All Cases - Enter Cases'!F250,"")</f>
        <v/>
      </c>
      <c r="H250" s="4" t="str">
        <f>IF($A250&lt;&gt;"",'All Cases - Enter Cases'!G250,"")</f>
        <v/>
      </c>
      <c r="I250" t="str">
        <f>IF($A250&lt;&gt;"",'All Cases - Enter Cases'!H250,"")</f>
        <v/>
      </c>
      <c r="J250" t="str">
        <f>IF($A250&lt;&gt;"",'All Cases - Enter Cases'!I250,"")</f>
        <v/>
      </c>
      <c r="K250" t="str">
        <f>IF($A250&lt;&gt;"",'All Cases - Enter Cases'!J250,"")</f>
        <v/>
      </c>
      <c r="L250" s="4" t="str">
        <f>IF($A250&lt;&gt;"",'All Cases - Enter Cases'!K250,"")</f>
        <v/>
      </c>
      <c r="M250" t="str">
        <f>IF($A250&lt;&gt;"",'All Cases - Enter Cases'!L250,"")</f>
        <v/>
      </c>
    </row>
    <row r="251" spans="1:13" x14ac:dyDescent="0.35">
      <c r="A251" s="4" t="str">
        <f>IF('All Cases - Enter Cases'!$K251="Approved",'All Cases - Enter Cases'!A251,"")</f>
        <v/>
      </c>
      <c r="B251" s="4" t="str">
        <f>IF($N251&lt;&gt;"",$N251,IF($A251&lt;&gt;"",'All Cases - Enter Cases'!$L251+7,""))</f>
        <v/>
      </c>
      <c r="C251" t="str">
        <f>IF($A251&lt;&gt;"",'All Cases - Enter Cases'!B251,"")</f>
        <v/>
      </c>
      <c r="D251" t="str">
        <f>IF($A251&lt;&gt;"",'All Cases - Enter Cases'!C251,"")</f>
        <v/>
      </c>
      <c r="E251" t="str">
        <f>IF($A251&lt;&gt;"",'All Cases - Enter Cases'!D251,"")</f>
        <v/>
      </c>
      <c r="F251" s="12" t="str">
        <f>IF($A251&lt;&gt;"",'All Cases - Enter Cases'!E251,"")</f>
        <v/>
      </c>
      <c r="G251" s="12" t="str">
        <f>IF($A251&lt;&gt;"",'All Cases - Enter Cases'!F251,"")</f>
        <v/>
      </c>
      <c r="H251" s="4" t="str">
        <f>IF($A251&lt;&gt;"",'All Cases - Enter Cases'!G251,"")</f>
        <v/>
      </c>
      <c r="I251" t="str">
        <f>IF($A251&lt;&gt;"",'All Cases - Enter Cases'!H251,"")</f>
        <v/>
      </c>
      <c r="J251" t="str">
        <f>IF($A251&lt;&gt;"",'All Cases - Enter Cases'!I251,"")</f>
        <v/>
      </c>
      <c r="K251" t="str">
        <f>IF($A251&lt;&gt;"",'All Cases - Enter Cases'!J251,"")</f>
        <v/>
      </c>
      <c r="L251" s="4" t="str">
        <f>IF($A251&lt;&gt;"",'All Cases - Enter Cases'!K251,"")</f>
        <v/>
      </c>
      <c r="M251" t="str">
        <f>IF($A251&lt;&gt;"",'All Cases - Enter Cases'!L251,"")</f>
        <v/>
      </c>
    </row>
    <row r="252" spans="1:13" x14ac:dyDescent="0.35">
      <c r="A252" s="4" t="str">
        <f>IF('All Cases - Enter Cases'!$K252="Approved",'All Cases - Enter Cases'!A252,"")</f>
        <v/>
      </c>
      <c r="B252" s="4" t="str">
        <f>IF($N252&lt;&gt;"",$N252,IF($A252&lt;&gt;"",'All Cases - Enter Cases'!$L252+7,""))</f>
        <v/>
      </c>
      <c r="C252" t="str">
        <f>IF($A252&lt;&gt;"",'All Cases - Enter Cases'!B252,"")</f>
        <v/>
      </c>
      <c r="D252" t="str">
        <f>IF($A252&lt;&gt;"",'All Cases - Enter Cases'!C252,"")</f>
        <v/>
      </c>
      <c r="E252" t="str">
        <f>IF($A252&lt;&gt;"",'All Cases - Enter Cases'!D252,"")</f>
        <v/>
      </c>
      <c r="F252" s="12" t="str">
        <f>IF($A252&lt;&gt;"",'All Cases - Enter Cases'!E252,"")</f>
        <v/>
      </c>
      <c r="G252" s="12" t="str">
        <f>IF($A252&lt;&gt;"",'All Cases - Enter Cases'!F252,"")</f>
        <v/>
      </c>
      <c r="H252" s="4" t="str">
        <f>IF($A252&lt;&gt;"",'All Cases - Enter Cases'!G252,"")</f>
        <v/>
      </c>
      <c r="I252" t="str">
        <f>IF($A252&lt;&gt;"",'All Cases - Enter Cases'!H252,"")</f>
        <v/>
      </c>
      <c r="J252" t="str">
        <f>IF($A252&lt;&gt;"",'All Cases - Enter Cases'!I252,"")</f>
        <v/>
      </c>
      <c r="K252" t="str">
        <f>IF($A252&lt;&gt;"",'All Cases - Enter Cases'!J252,"")</f>
        <v/>
      </c>
      <c r="L252" s="4" t="str">
        <f>IF($A252&lt;&gt;"",'All Cases - Enter Cases'!K252,"")</f>
        <v/>
      </c>
      <c r="M252" t="str">
        <f>IF($A252&lt;&gt;"",'All Cases - Enter Cases'!L252,"")</f>
        <v/>
      </c>
    </row>
    <row r="253" spans="1:13" x14ac:dyDescent="0.35">
      <c r="A253" s="4" t="str">
        <f>IF('All Cases - Enter Cases'!$K253="Approved",'All Cases - Enter Cases'!A253,"")</f>
        <v/>
      </c>
      <c r="B253" s="4" t="str">
        <f>IF($N253&lt;&gt;"",$N253,IF($A253&lt;&gt;"",'All Cases - Enter Cases'!$L253+7,""))</f>
        <v/>
      </c>
      <c r="C253" t="str">
        <f>IF($A253&lt;&gt;"",'All Cases - Enter Cases'!B253,"")</f>
        <v/>
      </c>
      <c r="D253" t="str">
        <f>IF($A253&lt;&gt;"",'All Cases - Enter Cases'!C253,"")</f>
        <v/>
      </c>
      <c r="E253" t="str">
        <f>IF($A253&lt;&gt;"",'All Cases - Enter Cases'!D253,"")</f>
        <v/>
      </c>
      <c r="F253" s="12" t="str">
        <f>IF($A253&lt;&gt;"",'All Cases - Enter Cases'!E253,"")</f>
        <v/>
      </c>
      <c r="G253" s="12" t="str">
        <f>IF($A253&lt;&gt;"",'All Cases - Enter Cases'!F253,"")</f>
        <v/>
      </c>
      <c r="H253" s="4" t="str">
        <f>IF($A253&lt;&gt;"",'All Cases - Enter Cases'!G253,"")</f>
        <v/>
      </c>
      <c r="I253" t="str">
        <f>IF($A253&lt;&gt;"",'All Cases - Enter Cases'!H253,"")</f>
        <v/>
      </c>
      <c r="J253" t="str">
        <f>IF($A253&lt;&gt;"",'All Cases - Enter Cases'!I253,"")</f>
        <v/>
      </c>
      <c r="K253" t="str">
        <f>IF($A253&lt;&gt;"",'All Cases - Enter Cases'!J253,"")</f>
        <v/>
      </c>
      <c r="L253" s="4" t="str">
        <f>IF($A253&lt;&gt;"",'All Cases - Enter Cases'!K253,"")</f>
        <v/>
      </c>
      <c r="M253" t="str">
        <f>IF($A253&lt;&gt;"",'All Cases - Enter Cases'!L253,"")</f>
        <v/>
      </c>
    </row>
    <row r="254" spans="1:13" x14ac:dyDescent="0.35">
      <c r="A254" s="4" t="str">
        <f>IF('All Cases - Enter Cases'!$K254="Approved",'All Cases - Enter Cases'!A254,"")</f>
        <v/>
      </c>
      <c r="B254" s="4" t="str">
        <f>IF($N254&lt;&gt;"",$N254,IF($A254&lt;&gt;"",'All Cases - Enter Cases'!$L254+7,""))</f>
        <v/>
      </c>
      <c r="C254" t="str">
        <f>IF($A254&lt;&gt;"",'All Cases - Enter Cases'!B254,"")</f>
        <v/>
      </c>
      <c r="D254" t="str">
        <f>IF($A254&lt;&gt;"",'All Cases - Enter Cases'!C254,"")</f>
        <v/>
      </c>
      <c r="E254" t="str">
        <f>IF($A254&lt;&gt;"",'All Cases - Enter Cases'!D254,"")</f>
        <v/>
      </c>
      <c r="F254" s="12" t="str">
        <f>IF($A254&lt;&gt;"",'All Cases - Enter Cases'!E254,"")</f>
        <v/>
      </c>
      <c r="G254" s="12" t="str">
        <f>IF($A254&lt;&gt;"",'All Cases - Enter Cases'!F254,"")</f>
        <v/>
      </c>
      <c r="H254" s="4" t="str">
        <f>IF($A254&lt;&gt;"",'All Cases - Enter Cases'!G254,"")</f>
        <v/>
      </c>
      <c r="I254" t="str">
        <f>IF($A254&lt;&gt;"",'All Cases - Enter Cases'!H254,"")</f>
        <v/>
      </c>
      <c r="J254" t="str">
        <f>IF($A254&lt;&gt;"",'All Cases - Enter Cases'!I254,"")</f>
        <v/>
      </c>
      <c r="K254" t="str">
        <f>IF($A254&lt;&gt;"",'All Cases - Enter Cases'!J254,"")</f>
        <v/>
      </c>
      <c r="L254" s="4" t="str">
        <f>IF($A254&lt;&gt;"",'All Cases - Enter Cases'!K254,"")</f>
        <v/>
      </c>
      <c r="M254" t="str">
        <f>IF($A254&lt;&gt;"",'All Cases - Enter Cases'!L254,"")</f>
        <v/>
      </c>
    </row>
    <row r="255" spans="1:13" x14ac:dyDescent="0.35">
      <c r="A255" s="4" t="str">
        <f>IF('All Cases - Enter Cases'!$K255="Approved",'All Cases - Enter Cases'!A255,"")</f>
        <v/>
      </c>
      <c r="B255" s="4" t="str">
        <f>IF($N255&lt;&gt;"",$N255,IF($A255&lt;&gt;"",'All Cases - Enter Cases'!$L255+7,""))</f>
        <v/>
      </c>
      <c r="C255" t="str">
        <f>IF($A255&lt;&gt;"",'All Cases - Enter Cases'!B255,"")</f>
        <v/>
      </c>
      <c r="D255" t="str">
        <f>IF($A255&lt;&gt;"",'All Cases - Enter Cases'!C255,"")</f>
        <v/>
      </c>
      <c r="E255" t="str">
        <f>IF($A255&lt;&gt;"",'All Cases - Enter Cases'!D255,"")</f>
        <v/>
      </c>
      <c r="F255" s="12" t="str">
        <f>IF($A255&lt;&gt;"",'All Cases - Enter Cases'!E255,"")</f>
        <v/>
      </c>
      <c r="G255" s="12" t="str">
        <f>IF($A255&lt;&gt;"",'All Cases - Enter Cases'!F255,"")</f>
        <v/>
      </c>
      <c r="H255" s="4" t="str">
        <f>IF($A255&lt;&gt;"",'All Cases - Enter Cases'!G255,"")</f>
        <v/>
      </c>
      <c r="I255" t="str">
        <f>IF($A255&lt;&gt;"",'All Cases - Enter Cases'!H255,"")</f>
        <v/>
      </c>
      <c r="J255" t="str">
        <f>IF($A255&lt;&gt;"",'All Cases - Enter Cases'!I255,"")</f>
        <v/>
      </c>
      <c r="K255" t="str">
        <f>IF($A255&lt;&gt;"",'All Cases - Enter Cases'!J255,"")</f>
        <v/>
      </c>
      <c r="L255" s="4" t="str">
        <f>IF($A255&lt;&gt;"",'All Cases - Enter Cases'!K255,"")</f>
        <v/>
      </c>
      <c r="M255" t="str">
        <f>IF($A255&lt;&gt;"",'All Cases - Enter Cases'!L255,"")</f>
        <v/>
      </c>
    </row>
    <row r="256" spans="1:13" x14ac:dyDescent="0.35">
      <c r="A256" s="4" t="str">
        <f>IF('All Cases - Enter Cases'!$K256="Approved",'All Cases - Enter Cases'!A256,"")</f>
        <v/>
      </c>
      <c r="B256" s="4" t="str">
        <f>IF($N256&lt;&gt;"",$N256,IF($A256&lt;&gt;"",'All Cases - Enter Cases'!$L256+7,""))</f>
        <v/>
      </c>
      <c r="C256" t="str">
        <f>IF($A256&lt;&gt;"",'All Cases - Enter Cases'!B256,"")</f>
        <v/>
      </c>
      <c r="D256" t="str">
        <f>IF($A256&lt;&gt;"",'All Cases - Enter Cases'!C256,"")</f>
        <v/>
      </c>
      <c r="E256" t="str">
        <f>IF($A256&lt;&gt;"",'All Cases - Enter Cases'!D256,"")</f>
        <v/>
      </c>
      <c r="F256" s="12" t="str">
        <f>IF($A256&lt;&gt;"",'All Cases - Enter Cases'!E256,"")</f>
        <v/>
      </c>
      <c r="G256" s="12" t="str">
        <f>IF($A256&lt;&gt;"",'All Cases - Enter Cases'!F256,"")</f>
        <v/>
      </c>
      <c r="H256" s="4" t="str">
        <f>IF($A256&lt;&gt;"",'All Cases - Enter Cases'!G256,"")</f>
        <v/>
      </c>
      <c r="I256" t="str">
        <f>IF($A256&lt;&gt;"",'All Cases - Enter Cases'!H256,"")</f>
        <v/>
      </c>
      <c r="J256" t="str">
        <f>IF($A256&lt;&gt;"",'All Cases - Enter Cases'!I256,"")</f>
        <v/>
      </c>
      <c r="K256" t="str">
        <f>IF($A256&lt;&gt;"",'All Cases - Enter Cases'!J256,"")</f>
        <v/>
      </c>
      <c r="L256" s="4" t="str">
        <f>IF($A256&lt;&gt;"",'All Cases - Enter Cases'!K256,"")</f>
        <v/>
      </c>
      <c r="M256" t="str">
        <f>IF($A256&lt;&gt;"",'All Cases - Enter Cases'!L256,"")</f>
        <v/>
      </c>
    </row>
    <row r="257" spans="1:13" x14ac:dyDescent="0.35">
      <c r="A257" s="4" t="str">
        <f>IF('All Cases - Enter Cases'!$K257="Approved",'All Cases - Enter Cases'!A257,"")</f>
        <v/>
      </c>
      <c r="B257" s="4" t="str">
        <f>IF($N257&lt;&gt;"",$N257,IF($A257&lt;&gt;"",'All Cases - Enter Cases'!$L257+7,""))</f>
        <v/>
      </c>
      <c r="C257" t="str">
        <f>IF($A257&lt;&gt;"",'All Cases - Enter Cases'!B257,"")</f>
        <v/>
      </c>
      <c r="D257" t="str">
        <f>IF($A257&lt;&gt;"",'All Cases - Enter Cases'!C257,"")</f>
        <v/>
      </c>
      <c r="E257" t="str">
        <f>IF($A257&lt;&gt;"",'All Cases - Enter Cases'!D257,"")</f>
        <v/>
      </c>
      <c r="F257" s="12" t="str">
        <f>IF($A257&lt;&gt;"",'All Cases - Enter Cases'!E257,"")</f>
        <v/>
      </c>
      <c r="G257" s="12" t="str">
        <f>IF($A257&lt;&gt;"",'All Cases - Enter Cases'!F257,"")</f>
        <v/>
      </c>
      <c r="H257" s="4" t="str">
        <f>IF($A257&lt;&gt;"",'All Cases - Enter Cases'!G257,"")</f>
        <v/>
      </c>
      <c r="I257" t="str">
        <f>IF($A257&lt;&gt;"",'All Cases - Enter Cases'!H257,"")</f>
        <v/>
      </c>
      <c r="J257" t="str">
        <f>IF($A257&lt;&gt;"",'All Cases - Enter Cases'!I257,"")</f>
        <v/>
      </c>
      <c r="K257" t="str">
        <f>IF($A257&lt;&gt;"",'All Cases - Enter Cases'!J257,"")</f>
        <v/>
      </c>
      <c r="L257" s="4" t="str">
        <f>IF($A257&lt;&gt;"",'All Cases - Enter Cases'!K257,"")</f>
        <v/>
      </c>
      <c r="M257" t="str">
        <f>IF($A257&lt;&gt;"",'All Cases - Enter Cases'!L257,"")</f>
        <v/>
      </c>
    </row>
    <row r="258" spans="1:13" x14ac:dyDescent="0.35">
      <c r="A258" s="4" t="str">
        <f>IF('All Cases - Enter Cases'!$K258="Approved",'All Cases - Enter Cases'!A258,"")</f>
        <v/>
      </c>
      <c r="B258" s="4" t="str">
        <f>IF($N258&lt;&gt;"",$N258,IF($A258&lt;&gt;"",'All Cases - Enter Cases'!$L258+7,""))</f>
        <v/>
      </c>
      <c r="C258" t="str">
        <f>IF($A258&lt;&gt;"",'All Cases - Enter Cases'!B258,"")</f>
        <v/>
      </c>
      <c r="D258" t="str">
        <f>IF($A258&lt;&gt;"",'All Cases - Enter Cases'!C258,"")</f>
        <v/>
      </c>
      <c r="E258" t="str">
        <f>IF($A258&lt;&gt;"",'All Cases - Enter Cases'!D258,"")</f>
        <v/>
      </c>
      <c r="F258" s="12" t="str">
        <f>IF($A258&lt;&gt;"",'All Cases - Enter Cases'!E258,"")</f>
        <v/>
      </c>
      <c r="G258" s="12" t="str">
        <f>IF($A258&lt;&gt;"",'All Cases - Enter Cases'!F258,"")</f>
        <v/>
      </c>
      <c r="H258" s="4" t="str">
        <f>IF($A258&lt;&gt;"",'All Cases - Enter Cases'!G258,"")</f>
        <v/>
      </c>
      <c r="I258" t="str">
        <f>IF($A258&lt;&gt;"",'All Cases - Enter Cases'!H258,"")</f>
        <v/>
      </c>
      <c r="J258" t="str">
        <f>IF($A258&lt;&gt;"",'All Cases - Enter Cases'!I258,"")</f>
        <v/>
      </c>
      <c r="K258" t="str">
        <f>IF($A258&lt;&gt;"",'All Cases - Enter Cases'!J258,"")</f>
        <v/>
      </c>
      <c r="L258" s="4" t="str">
        <f>IF($A258&lt;&gt;"",'All Cases - Enter Cases'!K258,"")</f>
        <v/>
      </c>
      <c r="M258" t="str">
        <f>IF($A258&lt;&gt;"",'All Cases - Enter Cases'!L258,"")</f>
        <v/>
      </c>
    </row>
    <row r="259" spans="1:13" x14ac:dyDescent="0.35">
      <c r="A259" s="4" t="str">
        <f>IF('All Cases - Enter Cases'!$K259="Approved",'All Cases - Enter Cases'!A259,"")</f>
        <v/>
      </c>
      <c r="B259" s="4" t="str">
        <f>IF($N259&lt;&gt;"",$N259,IF($A259&lt;&gt;"",'All Cases - Enter Cases'!$L259+7,""))</f>
        <v/>
      </c>
      <c r="C259" t="str">
        <f>IF($A259&lt;&gt;"",'All Cases - Enter Cases'!B259,"")</f>
        <v/>
      </c>
      <c r="D259" t="str">
        <f>IF($A259&lt;&gt;"",'All Cases - Enter Cases'!C259,"")</f>
        <v/>
      </c>
      <c r="E259" t="str">
        <f>IF($A259&lt;&gt;"",'All Cases - Enter Cases'!D259,"")</f>
        <v/>
      </c>
      <c r="F259" s="12" t="str">
        <f>IF($A259&lt;&gt;"",'All Cases - Enter Cases'!E259,"")</f>
        <v/>
      </c>
      <c r="G259" s="12" t="str">
        <f>IF($A259&lt;&gt;"",'All Cases - Enter Cases'!F259,"")</f>
        <v/>
      </c>
      <c r="H259" s="4" t="str">
        <f>IF($A259&lt;&gt;"",'All Cases - Enter Cases'!G259,"")</f>
        <v/>
      </c>
      <c r="I259" t="str">
        <f>IF($A259&lt;&gt;"",'All Cases - Enter Cases'!H259,"")</f>
        <v/>
      </c>
      <c r="J259" t="str">
        <f>IF($A259&lt;&gt;"",'All Cases - Enter Cases'!I259,"")</f>
        <v/>
      </c>
      <c r="K259" t="str">
        <f>IF($A259&lt;&gt;"",'All Cases - Enter Cases'!J259,"")</f>
        <v/>
      </c>
      <c r="L259" s="4" t="str">
        <f>IF($A259&lt;&gt;"",'All Cases - Enter Cases'!K259,"")</f>
        <v/>
      </c>
      <c r="M259" t="str">
        <f>IF($A259&lt;&gt;"",'All Cases - Enter Cases'!L259,"")</f>
        <v/>
      </c>
    </row>
    <row r="260" spans="1:13" x14ac:dyDescent="0.35">
      <c r="A260" s="4" t="str">
        <f>IF('All Cases - Enter Cases'!$K260="Approved",'All Cases - Enter Cases'!A260,"")</f>
        <v/>
      </c>
      <c r="B260" s="4" t="str">
        <f>IF($N260&lt;&gt;"",$N260,IF($A260&lt;&gt;"",'All Cases - Enter Cases'!$L260+7,""))</f>
        <v/>
      </c>
      <c r="C260" t="str">
        <f>IF($A260&lt;&gt;"",'All Cases - Enter Cases'!B260,"")</f>
        <v/>
      </c>
      <c r="D260" t="str">
        <f>IF($A260&lt;&gt;"",'All Cases - Enter Cases'!C260,"")</f>
        <v/>
      </c>
      <c r="E260" t="str">
        <f>IF($A260&lt;&gt;"",'All Cases - Enter Cases'!D260,"")</f>
        <v/>
      </c>
      <c r="F260" s="12" t="str">
        <f>IF($A260&lt;&gt;"",'All Cases - Enter Cases'!E260,"")</f>
        <v/>
      </c>
      <c r="G260" s="12" t="str">
        <f>IF($A260&lt;&gt;"",'All Cases - Enter Cases'!F260,"")</f>
        <v/>
      </c>
      <c r="H260" s="4" t="str">
        <f>IF($A260&lt;&gt;"",'All Cases - Enter Cases'!G260,"")</f>
        <v/>
      </c>
      <c r="I260" t="str">
        <f>IF($A260&lt;&gt;"",'All Cases - Enter Cases'!H260,"")</f>
        <v/>
      </c>
      <c r="J260" t="str">
        <f>IF($A260&lt;&gt;"",'All Cases - Enter Cases'!I260,"")</f>
        <v/>
      </c>
      <c r="K260" t="str">
        <f>IF($A260&lt;&gt;"",'All Cases - Enter Cases'!J260,"")</f>
        <v/>
      </c>
      <c r="L260" s="4" t="str">
        <f>IF($A260&lt;&gt;"",'All Cases - Enter Cases'!K260,"")</f>
        <v/>
      </c>
      <c r="M260" t="str">
        <f>IF($A260&lt;&gt;"",'All Cases - Enter Cases'!L260,"")</f>
        <v/>
      </c>
    </row>
    <row r="261" spans="1:13" x14ac:dyDescent="0.35">
      <c r="A261" s="4" t="str">
        <f>IF('All Cases - Enter Cases'!$K261="Approved",'All Cases - Enter Cases'!A261,"")</f>
        <v/>
      </c>
      <c r="B261" s="4" t="str">
        <f>IF($N261&lt;&gt;"",$N261,IF($A261&lt;&gt;"",'All Cases - Enter Cases'!$L261+7,""))</f>
        <v/>
      </c>
      <c r="C261" t="str">
        <f>IF($A261&lt;&gt;"",'All Cases - Enter Cases'!B261,"")</f>
        <v/>
      </c>
      <c r="D261" t="str">
        <f>IF($A261&lt;&gt;"",'All Cases - Enter Cases'!C261,"")</f>
        <v/>
      </c>
      <c r="E261" t="str">
        <f>IF($A261&lt;&gt;"",'All Cases - Enter Cases'!D261,"")</f>
        <v/>
      </c>
      <c r="F261" s="12" t="str">
        <f>IF($A261&lt;&gt;"",'All Cases - Enter Cases'!E261,"")</f>
        <v/>
      </c>
      <c r="G261" s="12" t="str">
        <f>IF($A261&lt;&gt;"",'All Cases - Enter Cases'!F261,"")</f>
        <v/>
      </c>
      <c r="H261" s="4" t="str">
        <f>IF($A261&lt;&gt;"",'All Cases - Enter Cases'!G261,"")</f>
        <v/>
      </c>
      <c r="I261" t="str">
        <f>IF($A261&lt;&gt;"",'All Cases - Enter Cases'!H261,"")</f>
        <v/>
      </c>
      <c r="J261" t="str">
        <f>IF($A261&lt;&gt;"",'All Cases - Enter Cases'!I261,"")</f>
        <v/>
      </c>
      <c r="K261" t="str">
        <f>IF($A261&lt;&gt;"",'All Cases - Enter Cases'!J261,"")</f>
        <v/>
      </c>
      <c r="L261" s="4" t="str">
        <f>IF($A261&lt;&gt;"",'All Cases - Enter Cases'!K261,"")</f>
        <v/>
      </c>
      <c r="M261" t="str">
        <f>IF($A261&lt;&gt;"",'All Cases - Enter Cases'!L261,"")</f>
        <v/>
      </c>
    </row>
    <row r="262" spans="1:13" x14ac:dyDescent="0.35">
      <c r="A262" s="4" t="str">
        <f>IF('All Cases - Enter Cases'!$K262="Approved",'All Cases - Enter Cases'!A262,"")</f>
        <v/>
      </c>
      <c r="B262" s="4" t="str">
        <f>IF($N262&lt;&gt;"",$N262,IF($A262&lt;&gt;"",'All Cases - Enter Cases'!$L262+7,""))</f>
        <v/>
      </c>
      <c r="C262" t="str">
        <f>IF($A262&lt;&gt;"",'All Cases - Enter Cases'!B262,"")</f>
        <v/>
      </c>
      <c r="D262" t="str">
        <f>IF($A262&lt;&gt;"",'All Cases - Enter Cases'!C262,"")</f>
        <v/>
      </c>
      <c r="E262" t="str">
        <f>IF($A262&lt;&gt;"",'All Cases - Enter Cases'!D262,"")</f>
        <v/>
      </c>
      <c r="F262" s="12" t="str">
        <f>IF($A262&lt;&gt;"",'All Cases - Enter Cases'!E262,"")</f>
        <v/>
      </c>
      <c r="G262" s="12" t="str">
        <f>IF($A262&lt;&gt;"",'All Cases - Enter Cases'!F262,"")</f>
        <v/>
      </c>
      <c r="H262" s="4" t="str">
        <f>IF($A262&lt;&gt;"",'All Cases - Enter Cases'!G262,"")</f>
        <v/>
      </c>
      <c r="I262" t="str">
        <f>IF($A262&lt;&gt;"",'All Cases - Enter Cases'!H262,"")</f>
        <v/>
      </c>
      <c r="J262" t="str">
        <f>IF($A262&lt;&gt;"",'All Cases - Enter Cases'!I262,"")</f>
        <v/>
      </c>
      <c r="K262" t="str">
        <f>IF($A262&lt;&gt;"",'All Cases - Enter Cases'!J262,"")</f>
        <v/>
      </c>
      <c r="L262" s="4" t="str">
        <f>IF($A262&lt;&gt;"",'All Cases - Enter Cases'!K262,"")</f>
        <v/>
      </c>
      <c r="M262" t="str">
        <f>IF($A262&lt;&gt;"",'All Cases - Enter Cases'!L262,"")</f>
        <v/>
      </c>
    </row>
    <row r="263" spans="1:13" x14ac:dyDescent="0.35">
      <c r="A263" s="4" t="str">
        <f>IF('All Cases - Enter Cases'!$K263="Approved",'All Cases - Enter Cases'!A263,"")</f>
        <v/>
      </c>
      <c r="B263" s="4" t="str">
        <f>IF($N263&lt;&gt;"",$N263,IF($A263&lt;&gt;"",'All Cases - Enter Cases'!$L263+7,""))</f>
        <v/>
      </c>
      <c r="C263" t="str">
        <f>IF($A263&lt;&gt;"",'All Cases - Enter Cases'!B263,"")</f>
        <v/>
      </c>
      <c r="D263" t="str">
        <f>IF($A263&lt;&gt;"",'All Cases - Enter Cases'!C263,"")</f>
        <v/>
      </c>
      <c r="E263" t="str">
        <f>IF($A263&lt;&gt;"",'All Cases - Enter Cases'!D263,"")</f>
        <v/>
      </c>
      <c r="F263" s="12" t="str">
        <f>IF($A263&lt;&gt;"",'All Cases - Enter Cases'!E263,"")</f>
        <v/>
      </c>
      <c r="G263" s="12" t="str">
        <f>IF($A263&lt;&gt;"",'All Cases - Enter Cases'!F263,"")</f>
        <v/>
      </c>
      <c r="H263" s="4" t="str">
        <f>IF($A263&lt;&gt;"",'All Cases - Enter Cases'!G263,"")</f>
        <v/>
      </c>
      <c r="I263" t="str">
        <f>IF($A263&lt;&gt;"",'All Cases - Enter Cases'!H263,"")</f>
        <v/>
      </c>
      <c r="J263" t="str">
        <f>IF($A263&lt;&gt;"",'All Cases - Enter Cases'!I263,"")</f>
        <v/>
      </c>
      <c r="K263" t="str">
        <f>IF($A263&lt;&gt;"",'All Cases - Enter Cases'!J263,"")</f>
        <v/>
      </c>
      <c r="L263" s="4" t="str">
        <f>IF($A263&lt;&gt;"",'All Cases - Enter Cases'!K263,"")</f>
        <v/>
      </c>
      <c r="M263" t="str">
        <f>IF($A263&lt;&gt;"",'All Cases - Enter Cases'!L263,"")</f>
        <v/>
      </c>
    </row>
    <row r="264" spans="1:13" x14ac:dyDescent="0.35">
      <c r="A264" s="4" t="str">
        <f>IF('All Cases - Enter Cases'!$K264="Approved",'All Cases - Enter Cases'!A264,"")</f>
        <v/>
      </c>
      <c r="B264" s="4" t="str">
        <f>IF($N264&lt;&gt;"",$N264,IF($A264&lt;&gt;"",'All Cases - Enter Cases'!$L264+7,""))</f>
        <v/>
      </c>
      <c r="C264" t="str">
        <f>IF($A264&lt;&gt;"",'All Cases - Enter Cases'!B264,"")</f>
        <v/>
      </c>
      <c r="D264" t="str">
        <f>IF($A264&lt;&gt;"",'All Cases - Enter Cases'!C264,"")</f>
        <v/>
      </c>
      <c r="E264" t="str">
        <f>IF($A264&lt;&gt;"",'All Cases - Enter Cases'!D264,"")</f>
        <v/>
      </c>
      <c r="F264" s="12" t="str">
        <f>IF($A264&lt;&gt;"",'All Cases - Enter Cases'!E264,"")</f>
        <v/>
      </c>
      <c r="G264" s="12" t="str">
        <f>IF($A264&lt;&gt;"",'All Cases - Enter Cases'!F264,"")</f>
        <v/>
      </c>
      <c r="H264" s="4" t="str">
        <f>IF($A264&lt;&gt;"",'All Cases - Enter Cases'!G264,"")</f>
        <v/>
      </c>
      <c r="I264" t="str">
        <f>IF($A264&lt;&gt;"",'All Cases - Enter Cases'!H264,"")</f>
        <v/>
      </c>
      <c r="J264" t="str">
        <f>IF($A264&lt;&gt;"",'All Cases - Enter Cases'!I264,"")</f>
        <v/>
      </c>
      <c r="K264" t="str">
        <f>IF($A264&lt;&gt;"",'All Cases - Enter Cases'!J264,"")</f>
        <v/>
      </c>
      <c r="L264" s="4" t="str">
        <f>IF($A264&lt;&gt;"",'All Cases - Enter Cases'!K264,"")</f>
        <v/>
      </c>
      <c r="M264" t="str">
        <f>IF($A264&lt;&gt;"",'All Cases - Enter Cases'!L264,"")</f>
        <v/>
      </c>
    </row>
    <row r="265" spans="1:13" x14ac:dyDescent="0.35">
      <c r="A265" s="4" t="str">
        <f>IF('All Cases - Enter Cases'!$K265="Approved",'All Cases - Enter Cases'!A265,"")</f>
        <v/>
      </c>
      <c r="B265" s="4" t="str">
        <f>IF($N265&lt;&gt;"",$N265,IF($A265&lt;&gt;"",'All Cases - Enter Cases'!$L265+7,""))</f>
        <v/>
      </c>
      <c r="C265" t="str">
        <f>IF($A265&lt;&gt;"",'All Cases - Enter Cases'!B265,"")</f>
        <v/>
      </c>
      <c r="D265" t="str">
        <f>IF($A265&lt;&gt;"",'All Cases - Enter Cases'!C265,"")</f>
        <v/>
      </c>
      <c r="E265" t="str">
        <f>IF($A265&lt;&gt;"",'All Cases - Enter Cases'!D265,"")</f>
        <v/>
      </c>
      <c r="F265" s="12" t="str">
        <f>IF($A265&lt;&gt;"",'All Cases - Enter Cases'!E265,"")</f>
        <v/>
      </c>
      <c r="G265" s="12" t="str">
        <f>IF($A265&lt;&gt;"",'All Cases - Enter Cases'!F265,"")</f>
        <v/>
      </c>
      <c r="H265" s="4" t="str">
        <f>IF($A265&lt;&gt;"",'All Cases - Enter Cases'!G265,"")</f>
        <v/>
      </c>
      <c r="I265" t="str">
        <f>IF($A265&lt;&gt;"",'All Cases - Enter Cases'!H265,"")</f>
        <v/>
      </c>
      <c r="J265" t="str">
        <f>IF($A265&lt;&gt;"",'All Cases - Enter Cases'!I265,"")</f>
        <v/>
      </c>
      <c r="K265" t="str">
        <f>IF($A265&lt;&gt;"",'All Cases - Enter Cases'!J265,"")</f>
        <v/>
      </c>
      <c r="L265" s="4" t="str">
        <f>IF($A265&lt;&gt;"",'All Cases - Enter Cases'!K265,"")</f>
        <v/>
      </c>
      <c r="M265" t="str">
        <f>IF($A265&lt;&gt;"",'All Cases - Enter Cases'!L265,"")</f>
        <v/>
      </c>
    </row>
    <row r="266" spans="1:13" x14ac:dyDescent="0.35">
      <c r="A266" s="4" t="str">
        <f>IF('All Cases - Enter Cases'!$K266="Approved",'All Cases - Enter Cases'!A266,"")</f>
        <v/>
      </c>
      <c r="B266" s="4" t="str">
        <f>IF($N266&lt;&gt;"",$N266,IF($A266&lt;&gt;"",'All Cases - Enter Cases'!$L266+7,""))</f>
        <v/>
      </c>
      <c r="C266" t="str">
        <f>IF($A266&lt;&gt;"",'All Cases - Enter Cases'!B266,"")</f>
        <v/>
      </c>
      <c r="D266" t="str">
        <f>IF($A266&lt;&gt;"",'All Cases - Enter Cases'!C266,"")</f>
        <v/>
      </c>
      <c r="E266" t="str">
        <f>IF($A266&lt;&gt;"",'All Cases - Enter Cases'!D266,"")</f>
        <v/>
      </c>
      <c r="F266" s="12" t="str">
        <f>IF($A266&lt;&gt;"",'All Cases - Enter Cases'!E266,"")</f>
        <v/>
      </c>
      <c r="G266" s="12" t="str">
        <f>IF($A266&lt;&gt;"",'All Cases - Enter Cases'!F266,"")</f>
        <v/>
      </c>
      <c r="H266" s="4" t="str">
        <f>IF($A266&lt;&gt;"",'All Cases - Enter Cases'!G266,"")</f>
        <v/>
      </c>
      <c r="I266" t="str">
        <f>IF($A266&lt;&gt;"",'All Cases - Enter Cases'!H266,"")</f>
        <v/>
      </c>
      <c r="J266" t="str">
        <f>IF($A266&lt;&gt;"",'All Cases - Enter Cases'!I266,"")</f>
        <v/>
      </c>
      <c r="K266" t="str">
        <f>IF($A266&lt;&gt;"",'All Cases - Enter Cases'!J266,"")</f>
        <v/>
      </c>
      <c r="L266" s="4" t="str">
        <f>IF($A266&lt;&gt;"",'All Cases - Enter Cases'!K266,"")</f>
        <v/>
      </c>
      <c r="M266" t="str">
        <f>IF($A266&lt;&gt;"",'All Cases - Enter Cases'!L266,"")</f>
        <v/>
      </c>
    </row>
    <row r="267" spans="1:13" x14ac:dyDescent="0.35">
      <c r="A267" s="4" t="str">
        <f>IF('All Cases - Enter Cases'!$K267="Approved",'All Cases - Enter Cases'!A267,"")</f>
        <v/>
      </c>
      <c r="B267" s="4" t="str">
        <f>IF($N267&lt;&gt;"",$N267,IF($A267&lt;&gt;"",'All Cases - Enter Cases'!$L267+7,""))</f>
        <v/>
      </c>
      <c r="C267" t="str">
        <f>IF($A267&lt;&gt;"",'All Cases - Enter Cases'!B267,"")</f>
        <v/>
      </c>
      <c r="D267" t="str">
        <f>IF($A267&lt;&gt;"",'All Cases - Enter Cases'!C267,"")</f>
        <v/>
      </c>
      <c r="E267" t="str">
        <f>IF($A267&lt;&gt;"",'All Cases - Enter Cases'!D267,"")</f>
        <v/>
      </c>
      <c r="F267" s="12" t="str">
        <f>IF($A267&lt;&gt;"",'All Cases - Enter Cases'!E267,"")</f>
        <v/>
      </c>
      <c r="G267" s="12" t="str">
        <f>IF($A267&lt;&gt;"",'All Cases - Enter Cases'!F267,"")</f>
        <v/>
      </c>
      <c r="H267" s="4" t="str">
        <f>IF($A267&lt;&gt;"",'All Cases - Enter Cases'!G267,"")</f>
        <v/>
      </c>
      <c r="I267" t="str">
        <f>IF($A267&lt;&gt;"",'All Cases - Enter Cases'!H267,"")</f>
        <v/>
      </c>
      <c r="J267" t="str">
        <f>IF($A267&lt;&gt;"",'All Cases - Enter Cases'!I267,"")</f>
        <v/>
      </c>
      <c r="K267" t="str">
        <f>IF($A267&lt;&gt;"",'All Cases - Enter Cases'!J267,"")</f>
        <v/>
      </c>
      <c r="L267" s="4" t="str">
        <f>IF($A267&lt;&gt;"",'All Cases - Enter Cases'!K267,"")</f>
        <v/>
      </c>
      <c r="M267" t="str">
        <f>IF($A267&lt;&gt;"",'All Cases - Enter Cases'!L267,"")</f>
        <v/>
      </c>
    </row>
    <row r="268" spans="1:13" x14ac:dyDescent="0.35">
      <c r="A268" s="4" t="str">
        <f>IF('All Cases - Enter Cases'!$K268="Approved",'All Cases - Enter Cases'!A268,"")</f>
        <v/>
      </c>
      <c r="B268" s="4" t="str">
        <f>IF($N268&lt;&gt;"",$N268,IF($A268&lt;&gt;"",'All Cases - Enter Cases'!$L268+7,""))</f>
        <v/>
      </c>
      <c r="C268" t="str">
        <f>IF($A268&lt;&gt;"",'All Cases - Enter Cases'!B268,"")</f>
        <v/>
      </c>
      <c r="D268" t="str">
        <f>IF($A268&lt;&gt;"",'All Cases - Enter Cases'!C268,"")</f>
        <v/>
      </c>
      <c r="E268" t="str">
        <f>IF($A268&lt;&gt;"",'All Cases - Enter Cases'!D268,"")</f>
        <v/>
      </c>
      <c r="F268" s="12" t="str">
        <f>IF($A268&lt;&gt;"",'All Cases - Enter Cases'!E268,"")</f>
        <v/>
      </c>
      <c r="G268" s="12" t="str">
        <f>IF($A268&lt;&gt;"",'All Cases - Enter Cases'!F268,"")</f>
        <v/>
      </c>
      <c r="H268" s="4" t="str">
        <f>IF($A268&lt;&gt;"",'All Cases - Enter Cases'!G268,"")</f>
        <v/>
      </c>
      <c r="I268" t="str">
        <f>IF($A268&lt;&gt;"",'All Cases - Enter Cases'!H268,"")</f>
        <v/>
      </c>
      <c r="J268" t="str">
        <f>IF($A268&lt;&gt;"",'All Cases - Enter Cases'!I268,"")</f>
        <v/>
      </c>
      <c r="K268" t="str">
        <f>IF($A268&lt;&gt;"",'All Cases - Enter Cases'!J268,"")</f>
        <v/>
      </c>
      <c r="L268" s="4" t="str">
        <f>IF($A268&lt;&gt;"",'All Cases - Enter Cases'!K268,"")</f>
        <v/>
      </c>
      <c r="M268" t="str">
        <f>IF($A268&lt;&gt;"",'All Cases - Enter Cases'!L268,"")</f>
        <v/>
      </c>
    </row>
    <row r="269" spans="1:13" x14ac:dyDescent="0.35">
      <c r="A269" s="4" t="str">
        <f>IF('All Cases - Enter Cases'!$K269="Approved",'All Cases - Enter Cases'!A269,"")</f>
        <v/>
      </c>
      <c r="B269" s="4" t="str">
        <f>IF($N269&lt;&gt;"",$N269,IF($A269&lt;&gt;"",'All Cases - Enter Cases'!$L269+7,""))</f>
        <v/>
      </c>
      <c r="C269" t="str">
        <f>IF($A269&lt;&gt;"",'All Cases - Enter Cases'!B269,"")</f>
        <v/>
      </c>
      <c r="D269" t="str">
        <f>IF($A269&lt;&gt;"",'All Cases - Enter Cases'!C269,"")</f>
        <v/>
      </c>
      <c r="E269" t="str">
        <f>IF($A269&lt;&gt;"",'All Cases - Enter Cases'!D269,"")</f>
        <v/>
      </c>
      <c r="F269" s="12" t="str">
        <f>IF($A269&lt;&gt;"",'All Cases - Enter Cases'!E269,"")</f>
        <v/>
      </c>
      <c r="G269" s="12" t="str">
        <f>IF($A269&lt;&gt;"",'All Cases - Enter Cases'!F269,"")</f>
        <v/>
      </c>
      <c r="H269" s="4" t="str">
        <f>IF($A269&lt;&gt;"",'All Cases - Enter Cases'!G269,"")</f>
        <v/>
      </c>
      <c r="I269" t="str">
        <f>IF($A269&lt;&gt;"",'All Cases - Enter Cases'!H269,"")</f>
        <v/>
      </c>
      <c r="J269" t="str">
        <f>IF($A269&lt;&gt;"",'All Cases - Enter Cases'!I269,"")</f>
        <v/>
      </c>
      <c r="K269" t="str">
        <f>IF($A269&lt;&gt;"",'All Cases - Enter Cases'!J269,"")</f>
        <v/>
      </c>
      <c r="L269" s="4" t="str">
        <f>IF($A269&lt;&gt;"",'All Cases - Enter Cases'!K269,"")</f>
        <v/>
      </c>
      <c r="M269" t="str">
        <f>IF($A269&lt;&gt;"",'All Cases - Enter Cases'!L269,"")</f>
        <v/>
      </c>
    </row>
    <row r="270" spans="1:13" x14ac:dyDescent="0.35">
      <c r="A270" s="4" t="str">
        <f>IF('All Cases - Enter Cases'!$K270="Approved",'All Cases - Enter Cases'!A270,"")</f>
        <v/>
      </c>
      <c r="B270" s="4" t="str">
        <f>IF($N270&lt;&gt;"",$N270,IF($A270&lt;&gt;"",'All Cases - Enter Cases'!$L270+7,""))</f>
        <v/>
      </c>
      <c r="C270" t="str">
        <f>IF($A270&lt;&gt;"",'All Cases - Enter Cases'!B270,"")</f>
        <v/>
      </c>
      <c r="D270" t="str">
        <f>IF($A270&lt;&gt;"",'All Cases - Enter Cases'!C270,"")</f>
        <v/>
      </c>
      <c r="E270" t="str">
        <f>IF($A270&lt;&gt;"",'All Cases - Enter Cases'!D270,"")</f>
        <v/>
      </c>
      <c r="F270" s="12" t="str">
        <f>IF($A270&lt;&gt;"",'All Cases - Enter Cases'!E270,"")</f>
        <v/>
      </c>
      <c r="G270" s="12" t="str">
        <f>IF($A270&lt;&gt;"",'All Cases - Enter Cases'!F270,"")</f>
        <v/>
      </c>
      <c r="H270" s="4" t="str">
        <f>IF($A270&lt;&gt;"",'All Cases - Enter Cases'!G270,"")</f>
        <v/>
      </c>
      <c r="I270" t="str">
        <f>IF($A270&lt;&gt;"",'All Cases - Enter Cases'!H270,"")</f>
        <v/>
      </c>
      <c r="J270" t="str">
        <f>IF($A270&lt;&gt;"",'All Cases - Enter Cases'!I270,"")</f>
        <v/>
      </c>
      <c r="K270" t="str">
        <f>IF($A270&lt;&gt;"",'All Cases - Enter Cases'!J270,"")</f>
        <v/>
      </c>
      <c r="L270" s="4" t="str">
        <f>IF($A270&lt;&gt;"",'All Cases - Enter Cases'!K270,"")</f>
        <v/>
      </c>
      <c r="M270" t="str">
        <f>IF($A270&lt;&gt;"",'All Cases - Enter Cases'!L270,"")</f>
        <v/>
      </c>
    </row>
    <row r="271" spans="1:13" x14ac:dyDescent="0.35">
      <c r="A271" s="4" t="str">
        <f>IF('All Cases - Enter Cases'!$K271="Approved",'All Cases - Enter Cases'!A271,"")</f>
        <v/>
      </c>
      <c r="B271" s="4" t="str">
        <f>IF($N271&lt;&gt;"",$N271,IF($A271&lt;&gt;"",'All Cases - Enter Cases'!$L271+7,""))</f>
        <v/>
      </c>
      <c r="C271" t="str">
        <f>IF($A271&lt;&gt;"",'All Cases - Enter Cases'!B271,"")</f>
        <v/>
      </c>
      <c r="D271" t="str">
        <f>IF($A271&lt;&gt;"",'All Cases - Enter Cases'!C271,"")</f>
        <v/>
      </c>
      <c r="E271" t="str">
        <f>IF($A271&lt;&gt;"",'All Cases - Enter Cases'!D271,"")</f>
        <v/>
      </c>
      <c r="F271" s="12" t="str">
        <f>IF($A271&lt;&gt;"",'All Cases - Enter Cases'!E271,"")</f>
        <v/>
      </c>
      <c r="G271" s="12" t="str">
        <f>IF($A271&lt;&gt;"",'All Cases - Enter Cases'!F271,"")</f>
        <v/>
      </c>
      <c r="H271" s="4" t="str">
        <f>IF($A271&lt;&gt;"",'All Cases - Enter Cases'!G271,"")</f>
        <v/>
      </c>
      <c r="I271" t="str">
        <f>IF($A271&lt;&gt;"",'All Cases - Enter Cases'!H271,"")</f>
        <v/>
      </c>
      <c r="J271" t="str">
        <f>IF($A271&lt;&gt;"",'All Cases - Enter Cases'!I271,"")</f>
        <v/>
      </c>
      <c r="K271" t="str">
        <f>IF($A271&lt;&gt;"",'All Cases - Enter Cases'!J271,"")</f>
        <v/>
      </c>
      <c r="L271" s="4" t="str">
        <f>IF($A271&lt;&gt;"",'All Cases - Enter Cases'!K271,"")</f>
        <v/>
      </c>
      <c r="M271" t="str">
        <f>IF($A271&lt;&gt;"",'All Cases - Enter Cases'!L271,"")</f>
        <v/>
      </c>
    </row>
    <row r="272" spans="1:13" x14ac:dyDescent="0.35">
      <c r="A272" s="4" t="str">
        <f>IF('All Cases - Enter Cases'!$K272="Approved",'All Cases - Enter Cases'!A272,"")</f>
        <v/>
      </c>
      <c r="B272" s="4" t="str">
        <f>IF($N272&lt;&gt;"",$N272,IF($A272&lt;&gt;"",'All Cases - Enter Cases'!$L272+7,""))</f>
        <v/>
      </c>
      <c r="C272" t="str">
        <f>IF($A272&lt;&gt;"",'All Cases - Enter Cases'!B272,"")</f>
        <v/>
      </c>
      <c r="D272" t="str">
        <f>IF($A272&lt;&gt;"",'All Cases - Enter Cases'!C272,"")</f>
        <v/>
      </c>
      <c r="E272" t="str">
        <f>IF($A272&lt;&gt;"",'All Cases - Enter Cases'!D272,"")</f>
        <v/>
      </c>
      <c r="F272" s="12" t="str">
        <f>IF($A272&lt;&gt;"",'All Cases - Enter Cases'!E272,"")</f>
        <v/>
      </c>
      <c r="G272" s="12" t="str">
        <f>IF($A272&lt;&gt;"",'All Cases - Enter Cases'!F272,"")</f>
        <v/>
      </c>
      <c r="H272" s="4" t="str">
        <f>IF($A272&lt;&gt;"",'All Cases - Enter Cases'!G272,"")</f>
        <v/>
      </c>
      <c r="I272" t="str">
        <f>IF($A272&lt;&gt;"",'All Cases - Enter Cases'!H272,"")</f>
        <v/>
      </c>
      <c r="J272" t="str">
        <f>IF($A272&lt;&gt;"",'All Cases - Enter Cases'!I272,"")</f>
        <v/>
      </c>
      <c r="K272" t="str">
        <f>IF($A272&lt;&gt;"",'All Cases - Enter Cases'!J272,"")</f>
        <v/>
      </c>
      <c r="L272" s="4" t="str">
        <f>IF($A272&lt;&gt;"",'All Cases - Enter Cases'!K272,"")</f>
        <v/>
      </c>
      <c r="M272" t="str">
        <f>IF($A272&lt;&gt;"",'All Cases - Enter Cases'!L272,"")</f>
        <v/>
      </c>
    </row>
    <row r="273" spans="1:13" x14ac:dyDescent="0.35">
      <c r="A273" s="4" t="str">
        <f>IF('All Cases - Enter Cases'!$K273="Approved",'All Cases - Enter Cases'!A273,"")</f>
        <v/>
      </c>
      <c r="B273" s="4" t="str">
        <f>IF($N273&lt;&gt;"",$N273,IF($A273&lt;&gt;"",'All Cases - Enter Cases'!$L273+7,""))</f>
        <v/>
      </c>
      <c r="C273" t="str">
        <f>IF($A273&lt;&gt;"",'All Cases - Enter Cases'!B273,"")</f>
        <v/>
      </c>
      <c r="D273" t="str">
        <f>IF($A273&lt;&gt;"",'All Cases - Enter Cases'!C273,"")</f>
        <v/>
      </c>
      <c r="E273" t="str">
        <f>IF($A273&lt;&gt;"",'All Cases - Enter Cases'!D273,"")</f>
        <v/>
      </c>
      <c r="F273" s="12" t="str">
        <f>IF($A273&lt;&gt;"",'All Cases - Enter Cases'!E273,"")</f>
        <v/>
      </c>
      <c r="G273" s="12" t="str">
        <f>IF($A273&lt;&gt;"",'All Cases - Enter Cases'!F273,"")</f>
        <v/>
      </c>
      <c r="H273" s="4" t="str">
        <f>IF($A273&lt;&gt;"",'All Cases - Enter Cases'!G273,"")</f>
        <v/>
      </c>
      <c r="I273" t="str">
        <f>IF($A273&lt;&gt;"",'All Cases - Enter Cases'!H273,"")</f>
        <v/>
      </c>
      <c r="J273" t="str">
        <f>IF($A273&lt;&gt;"",'All Cases - Enter Cases'!I273,"")</f>
        <v/>
      </c>
      <c r="K273" t="str">
        <f>IF($A273&lt;&gt;"",'All Cases - Enter Cases'!J273,"")</f>
        <v/>
      </c>
      <c r="L273" s="4" t="str">
        <f>IF($A273&lt;&gt;"",'All Cases - Enter Cases'!K273,"")</f>
        <v/>
      </c>
      <c r="M273" t="str">
        <f>IF($A273&lt;&gt;"",'All Cases - Enter Cases'!L273,"")</f>
        <v/>
      </c>
    </row>
    <row r="274" spans="1:13" x14ac:dyDescent="0.35">
      <c r="A274" s="4" t="str">
        <f>IF('All Cases - Enter Cases'!$K274="Approved",'All Cases - Enter Cases'!A274,"")</f>
        <v/>
      </c>
      <c r="B274" s="4" t="str">
        <f>IF($N274&lt;&gt;"",$N274,IF($A274&lt;&gt;"",'All Cases - Enter Cases'!$L274+7,""))</f>
        <v/>
      </c>
      <c r="C274" t="str">
        <f>IF($A274&lt;&gt;"",'All Cases - Enter Cases'!B274,"")</f>
        <v/>
      </c>
      <c r="D274" t="str">
        <f>IF($A274&lt;&gt;"",'All Cases - Enter Cases'!C274,"")</f>
        <v/>
      </c>
      <c r="E274" t="str">
        <f>IF($A274&lt;&gt;"",'All Cases - Enter Cases'!D274,"")</f>
        <v/>
      </c>
      <c r="F274" s="12" t="str">
        <f>IF($A274&lt;&gt;"",'All Cases - Enter Cases'!E274,"")</f>
        <v/>
      </c>
      <c r="G274" s="12" t="str">
        <f>IF($A274&lt;&gt;"",'All Cases - Enter Cases'!F274,"")</f>
        <v/>
      </c>
      <c r="H274" s="4" t="str">
        <f>IF($A274&lt;&gt;"",'All Cases - Enter Cases'!G274,"")</f>
        <v/>
      </c>
      <c r="I274" t="str">
        <f>IF($A274&lt;&gt;"",'All Cases - Enter Cases'!H274,"")</f>
        <v/>
      </c>
      <c r="J274" t="str">
        <f>IF($A274&lt;&gt;"",'All Cases - Enter Cases'!I274,"")</f>
        <v/>
      </c>
      <c r="K274" t="str">
        <f>IF($A274&lt;&gt;"",'All Cases - Enter Cases'!J274,"")</f>
        <v/>
      </c>
      <c r="L274" s="4" t="str">
        <f>IF($A274&lt;&gt;"",'All Cases - Enter Cases'!K274,"")</f>
        <v/>
      </c>
      <c r="M274" t="str">
        <f>IF($A274&lt;&gt;"",'All Cases - Enter Cases'!L274,"")</f>
        <v/>
      </c>
    </row>
    <row r="275" spans="1:13" x14ac:dyDescent="0.35">
      <c r="A275" s="4" t="str">
        <f>IF('All Cases - Enter Cases'!$K275="Approved",'All Cases - Enter Cases'!A275,"")</f>
        <v/>
      </c>
      <c r="B275" s="4" t="str">
        <f>IF($N275&lt;&gt;"",$N275,IF($A275&lt;&gt;"",'All Cases - Enter Cases'!$L275+7,""))</f>
        <v/>
      </c>
      <c r="C275" t="str">
        <f>IF($A275&lt;&gt;"",'All Cases - Enter Cases'!B275,"")</f>
        <v/>
      </c>
      <c r="D275" t="str">
        <f>IF($A275&lt;&gt;"",'All Cases - Enter Cases'!C275,"")</f>
        <v/>
      </c>
      <c r="E275" t="str">
        <f>IF($A275&lt;&gt;"",'All Cases - Enter Cases'!D275,"")</f>
        <v/>
      </c>
      <c r="F275" s="12" t="str">
        <f>IF($A275&lt;&gt;"",'All Cases - Enter Cases'!E275,"")</f>
        <v/>
      </c>
      <c r="G275" s="12" t="str">
        <f>IF($A275&lt;&gt;"",'All Cases - Enter Cases'!F275,"")</f>
        <v/>
      </c>
      <c r="H275" s="4" t="str">
        <f>IF($A275&lt;&gt;"",'All Cases - Enter Cases'!G275,"")</f>
        <v/>
      </c>
      <c r="I275" t="str">
        <f>IF($A275&lt;&gt;"",'All Cases - Enter Cases'!H275,"")</f>
        <v/>
      </c>
      <c r="J275" t="str">
        <f>IF($A275&lt;&gt;"",'All Cases - Enter Cases'!I275,"")</f>
        <v/>
      </c>
      <c r="K275" t="str">
        <f>IF($A275&lt;&gt;"",'All Cases - Enter Cases'!J275,"")</f>
        <v/>
      </c>
      <c r="L275" s="4" t="str">
        <f>IF($A275&lt;&gt;"",'All Cases - Enter Cases'!K275,"")</f>
        <v/>
      </c>
      <c r="M275" t="str">
        <f>IF($A275&lt;&gt;"",'All Cases - Enter Cases'!L275,"")</f>
        <v/>
      </c>
    </row>
    <row r="276" spans="1:13" x14ac:dyDescent="0.35">
      <c r="A276" s="4" t="str">
        <f>IF('All Cases - Enter Cases'!$K276="Approved",'All Cases - Enter Cases'!A276,"")</f>
        <v/>
      </c>
      <c r="B276" s="4" t="str">
        <f>IF($N276&lt;&gt;"",$N276,IF($A276&lt;&gt;"",'All Cases - Enter Cases'!$L276+7,""))</f>
        <v/>
      </c>
      <c r="C276" t="str">
        <f>IF($A276&lt;&gt;"",'All Cases - Enter Cases'!B276,"")</f>
        <v/>
      </c>
      <c r="D276" t="str">
        <f>IF($A276&lt;&gt;"",'All Cases - Enter Cases'!C276,"")</f>
        <v/>
      </c>
      <c r="E276" t="str">
        <f>IF($A276&lt;&gt;"",'All Cases - Enter Cases'!D276,"")</f>
        <v/>
      </c>
      <c r="F276" s="12" t="str">
        <f>IF($A276&lt;&gt;"",'All Cases - Enter Cases'!E276,"")</f>
        <v/>
      </c>
      <c r="G276" s="12" t="str">
        <f>IF($A276&lt;&gt;"",'All Cases - Enter Cases'!F276,"")</f>
        <v/>
      </c>
      <c r="H276" s="4" t="str">
        <f>IF($A276&lt;&gt;"",'All Cases - Enter Cases'!G276,"")</f>
        <v/>
      </c>
      <c r="I276" t="str">
        <f>IF($A276&lt;&gt;"",'All Cases - Enter Cases'!H276,"")</f>
        <v/>
      </c>
      <c r="J276" t="str">
        <f>IF($A276&lt;&gt;"",'All Cases - Enter Cases'!I276,"")</f>
        <v/>
      </c>
      <c r="K276" t="str">
        <f>IF($A276&lt;&gt;"",'All Cases - Enter Cases'!J276,"")</f>
        <v/>
      </c>
      <c r="L276" s="4" t="str">
        <f>IF($A276&lt;&gt;"",'All Cases - Enter Cases'!K276,"")</f>
        <v/>
      </c>
      <c r="M276" t="str">
        <f>IF($A276&lt;&gt;"",'All Cases - Enter Cases'!L276,"")</f>
        <v/>
      </c>
    </row>
    <row r="277" spans="1:13" x14ac:dyDescent="0.35">
      <c r="A277" s="4" t="str">
        <f>IF('All Cases - Enter Cases'!$K277="Approved",'All Cases - Enter Cases'!A277,"")</f>
        <v/>
      </c>
      <c r="B277" s="4" t="str">
        <f>IF($N277&lt;&gt;"",$N277,IF($A277&lt;&gt;"",'All Cases - Enter Cases'!$L277+7,""))</f>
        <v/>
      </c>
      <c r="C277" t="str">
        <f>IF($A277&lt;&gt;"",'All Cases - Enter Cases'!B277,"")</f>
        <v/>
      </c>
      <c r="D277" t="str">
        <f>IF($A277&lt;&gt;"",'All Cases - Enter Cases'!C277,"")</f>
        <v/>
      </c>
      <c r="E277" t="str">
        <f>IF($A277&lt;&gt;"",'All Cases - Enter Cases'!D277,"")</f>
        <v/>
      </c>
      <c r="F277" s="12" t="str">
        <f>IF($A277&lt;&gt;"",'All Cases - Enter Cases'!E277,"")</f>
        <v/>
      </c>
      <c r="G277" s="12" t="str">
        <f>IF($A277&lt;&gt;"",'All Cases - Enter Cases'!F277,"")</f>
        <v/>
      </c>
      <c r="H277" s="4" t="str">
        <f>IF($A277&lt;&gt;"",'All Cases - Enter Cases'!G277,"")</f>
        <v/>
      </c>
      <c r="I277" t="str">
        <f>IF($A277&lt;&gt;"",'All Cases - Enter Cases'!H277,"")</f>
        <v/>
      </c>
      <c r="J277" t="str">
        <f>IF($A277&lt;&gt;"",'All Cases - Enter Cases'!I277,"")</f>
        <v/>
      </c>
      <c r="K277" t="str">
        <f>IF($A277&lt;&gt;"",'All Cases - Enter Cases'!J277,"")</f>
        <v/>
      </c>
      <c r="L277" s="4" t="str">
        <f>IF($A277&lt;&gt;"",'All Cases - Enter Cases'!K277,"")</f>
        <v/>
      </c>
      <c r="M277" t="str">
        <f>IF($A277&lt;&gt;"",'All Cases - Enter Cases'!L277,"")</f>
        <v/>
      </c>
    </row>
    <row r="278" spans="1:13" x14ac:dyDescent="0.35">
      <c r="A278" s="4" t="str">
        <f>IF('All Cases - Enter Cases'!$K278="Approved",'All Cases - Enter Cases'!A278,"")</f>
        <v/>
      </c>
      <c r="B278" s="4" t="str">
        <f>IF($N278&lt;&gt;"",$N278,IF($A278&lt;&gt;"",'All Cases - Enter Cases'!$L278+7,""))</f>
        <v/>
      </c>
      <c r="C278" t="str">
        <f>IF($A278&lt;&gt;"",'All Cases - Enter Cases'!B278,"")</f>
        <v/>
      </c>
      <c r="D278" t="str">
        <f>IF($A278&lt;&gt;"",'All Cases - Enter Cases'!C278,"")</f>
        <v/>
      </c>
      <c r="E278" t="str">
        <f>IF($A278&lt;&gt;"",'All Cases - Enter Cases'!D278,"")</f>
        <v/>
      </c>
      <c r="F278" s="12" t="str">
        <f>IF($A278&lt;&gt;"",'All Cases - Enter Cases'!E278,"")</f>
        <v/>
      </c>
      <c r="G278" s="12" t="str">
        <f>IF($A278&lt;&gt;"",'All Cases - Enter Cases'!F278,"")</f>
        <v/>
      </c>
      <c r="H278" s="4" t="str">
        <f>IF($A278&lt;&gt;"",'All Cases - Enter Cases'!G278,"")</f>
        <v/>
      </c>
      <c r="I278" t="str">
        <f>IF($A278&lt;&gt;"",'All Cases - Enter Cases'!H278,"")</f>
        <v/>
      </c>
      <c r="J278" t="str">
        <f>IF($A278&lt;&gt;"",'All Cases - Enter Cases'!I278,"")</f>
        <v/>
      </c>
      <c r="K278" t="str">
        <f>IF($A278&lt;&gt;"",'All Cases - Enter Cases'!J278,"")</f>
        <v/>
      </c>
      <c r="L278" s="4" t="str">
        <f>IF($A278&lt;&gt;"",'All Cases - Enter Cases'!K278,"")</f>
        <v/>
      </c>
      <c r="M278" t="str">
        <f>IF($A278&lt;&gt;"",'All Cases - Enter Cases'!L278,"")</f>
        <v/>
      </c>
    </row>
    <row r="279" spans="1:13" x14ac:dyDescent="0.35">
      <c r="A279" s="4" t="str">
        <f>IF('All Cases - Enter Cases'!$K279="Approved",'All Cases - Enter Cases'!A279,"")</f>
        <v/>
      </c>
      <c r="B279" s="4" t="str">
        <f>IF($N279&lt;&gt;"",$N279,IF($A279&lt;&gt;"",'All Cases - Enter Cases'!$L279+7,""))</f>
        <v/>
      </c>
      <c r="C279" t="str">
        <f>IF($A279&lt;&gt;"",'All Cases - Enter Cases'!B279,"")</f>
        <v/>
      </c>
      <c r="D279" t="str">
        <f>IF($A279&lt;&gt;"",'All Cases - Enter Cases'!C279,"")</f>
        <v/>
      </c>
      <c r="E279" t="str">
        <f>IF($A279&lt;&gt;"",'All Cases - Enter Cases'!D279,"")</f>
        <v/>
      </c>
      <c r="F279" s="12" t="str">
        <f>IF($A279&lt;&gt;"",'All Cases - Enter Cases'!E279,"")</f>
        <v/>
      </c>
      <c r="G279" s="12" t="str">
        <f>IF($A279&lt;&gt;"",'All Cases - Enter Cases'!F279,"")</f>
        <v/>
      </c>
      <c r="H279" s="4" t="str">
        <f>IF($A279&lt;&gt;"",'All Cases - Enter Cases'!G279,"")</f>
        <v/>
      </c>
      <c r="I279" t="str">
        <f>IF($A279&lt;&gt;"",'All Cases - Enter Cases'!H279,"")</f>
        <v/>
      </c>
      <c r="J279" t="str">
        <f>IF($A279&lt;&gt;"",'All Cases - Enter Cases'!I279,"")</f>
        <v/>
      </c>
      <c r="K279" t="str">
        <f>IF($A279&lt;&gt;"",'All Cases - Enter Cases'!J279,"")</f>
        <v/>
      </c>
      <c r="L279" s="4" t="str">
        <f>IF($A279&lt;&gt;"",'All Cases - Enter Cases'!K279,"")</f>
        <v/>
      </c>
      <c r="M279" t="str">
        <f>IF($A279&lt;&gt;"",'All Cases - Enter Cases'!L279,"")</f>
        <v/>
      </c>
    </row>
    <row r="280" spans="1:13" x14ac:dyDescent="0.35">
      <c r="A280" s="4" t="str">
        <f>IF('All Cases - Enter Cases'!$K280="Approved",'All Cases - Enter Cases'!A280,"")</f>
        <v/>
      </c>
      <c r="B280" s="4" t="str">
        <f>IF($N280&lt;&gt;"",$N280,IF($A280&lt;&gt;"",'All Cases - Enter Cases'!$L280+7,""))</f>
        <v/>
      </c>
      <c r="C280" t="str">
        <f>IF($A280&lt;&gt;"",'All Cases - Enter Cases'!B280,"")</f>
        <v/>
      </c>
      <c r="D280" t="str">
        <f>IF($A280&lt;&gt;"",'All Cases - Enter Cases'!C280,"")</f>
        <v/>
      </c>
      <c r="E280" t="str">
        <f>IF($A280&lt;&gt;"",'All Cases - Enter Cases'!D280,"")</f>
        <v/>
      </c>
      <c r="F280" s="12" t="str">
        <f>IF($A280&lt;&gt;"",'All Cases - Enter Cases'!E280,"")</f>
        <v/>
      </c>
      <c r="G280" s="12" t="str">
        <f>IF($A280&lt;&gt;"",'All Cases - Enter Cases'!F280,"")</f>
        <v/>
      </c>
      <c r="H280" s="4" t="str">
        <f>IF($A280&lt;&gt;"",'All Cases - Enter Cases'!G280,"")</f>
        <v/>
      </c>
      <c r="I280" t="str">
        <f>IF($A280&lt;&gt;"",'All Cases - Enter Cases'!H280,"")</f>
        <v/>
      </c>
      <c r="J280" t="str">
        <f>IF($A280&lt;&gt;"",'All Cases - Enter Cases'!I280,"")</f>
        <v/>
      </c>
      <c r="K280" t="str">
        <f>IF($A280&lt;&gt;"",'All Cases - Enter Cases'!J280,"")</f>
        <v/>
      </c>
      <c r="L280" s="4" t="str">
        <f>IF($A280&lt;&gt;"",'All Cases - Enter Cases'!K280,"")</f>
        <v/>
      </c>
      <c r="M280" t="str">
        <f>IF($A280&lt;&gt;"",'All Cases - Enter Cases'!L280,"")</f>
        <v/>
      </c>
    </row>
    <row r="281" spans="1:13" x14ac:dyDescent="0.35">
      <c r="A281" s="4" t="str">
        <f>IF('All Cases - Enter Cases'!$K281="Approved",'All Cases - Enter Cases'!A281,"")</f>
        <v/>
      </c>
      <c r="B281" s="4" t="str">
        <f>IF($N281&lt;&gt;"",$N281,IF($A281&lt;&gt;"",'All Cases - Enter Cases'!$L281+7,""))</f>
        <v/>
      </c>
      <c r="C281" t="str">
        <f>IF($A281&lt;&gt;"",'All Cases - Enter Cases'!B281,"")</f>
        <v/>
      </c>
      <c r="D281" t="str">
        <f>IF($A281&lt;&gt;"",'All Cases - Enter Cases'!C281,"")</f>
        <v/>
      </c>
      <c r="E281" t="str">
        <f>IF($A281&lt;&gt;"",'All Cases - Enter Cases'!D281,"")</f>
        <v/>
      </c>
      <c r="F281" s="12" t="str">
        <f>IF($A281&lt;&gt;"",'All Cases - Enter Cases'!E281,"")</f>
        <v/>
      </c>
      <c r="G281" s="12" t="str">
        <f>IF($A281&lt;&gt;"",'All Cases - Enter Cases'!F281,"")</f>
        <v/>
      </c>
      <c r="H281" s="4" t="str">
        <f>IF($A281&lt;&gt;"",'All Cases - Enter Cases'!G281,"")</f>
        <v/>
      </c>
      <c r="I281" t="str">
        <f>IF($A281&lt;&gt;"",'All Cases - Enter Cases'!H281,"")</f>
        <v/>
      </c>
      <c r="J281" t="str">
        <f>IF($A281&lt;&gt;"",'All Cases - Enter Cases'!I281,"")</f>
        <v/>
      </c>
      <c r="K281" t="str">
        <f>IF($A281&lt;&gt;"",'All Cases - Enter Cases'!J281,"")</f>
        <v/>
      </c>
      <c r="L281" s="4" t="str">
        <f>IF($A281&lt;&gt;"",'All Cases - Enter Cases'!K281,"")</f>
        <v/>
      </c>
      <c r="M281" t="str">
        <f>IF($A281&lt;&gt;"",'All Cases - Enter Cases'!L281,"")</f>
        <v/>
      </c>
    </row>
    <row r="282" spans="1:13" x14ac:dyDescent="0.35">
      <c r="A282" s="4" t="str">
        <f>IF('All Cases - Enter Cases'!$K282="Approved",'All Cases - Enter Cases'!A282,"")</f>
        <v/>
      </c>
      <c r="B282" s="4" t="str">
        <f>IF($N282&lt;&gt;"",$N282,IF($A282&lt;&gt;"",'All Cases - Enter Cases'!$L282+7,""))</f>
        <v/>
      </c>
      <c r="C282" t="str">
        <f>IF($A282&lt;&gt;"",'All Cases - Enter Cases'!B282,"")</f>
        <v/>
      </c>
      <c r="D282" t="str">
        <f>IF($A282&lt;&gt;"",'All Cases - Enter Cases'!C282,"")</f>
        <v/>
      </c>
      <c r="E282" t="str">
        <f>IF($A282&lt;&gt;"",'All Cases - Enter Cases'!D282,"")</f>
        <v/>
      </c>
      <c r="F282" s="12" t="str">
        <f>IF($A282&lt;&gt;"",'All Cases - Enter Cases'!E282,"")</f>
        <v/>
      </c>
      <c r="G282" s="12" t="str">
        <f>IF($A282&lt;&gt;"",'All Cases - Enter Cases'!F282,"")</f>
        <v/>
      </c>
      <c r="H282" s="4" t="str">
        <f>IF($A282&lt;&gt;"",'All Cases - Enter Cases'!G282,"")</f>
        <v/>
      </c>
      <c r="I282" t="str">
        <f>IF($A282&lt;&gt;"",'All Cases - Enter Cases'!H282,"")</f>
        <v/>
      </c>
      <c r="J282" t="str">
        <f>IF($A282&lt;&gt;"",'All Cases - Enter Cases'!I282,"")</f>
        <v/>
      </c>
      <c r="K282" t="str">
        <f>IF($A282&lt;&gt;"",'All Cases - Enter Cases'!J282,"")</f>
        <v/>
      </c>
      <c r="L282" s="4" t="str">
        <f>IF($A282&lt;&gt;"",'All Cases - Enter Cases'!K282,"")</f>
        <v/>
      </c>
      <c r="M282" t="str">
        <f>IF($A282&lt;&gt;"",'All Cases - Enter Cases'!L282,"")</f>
        <v/>
      </c>
    </row>
    <row r="283" spans="1:13" x14ac:dyDescent="0.35">
      <c r="A283" s="4" t="str">
        <f>IF('All Cases - Enter Cases'!$K283="Approved",'All Cases - Enter Cases'!A283,"")</f>
        <v/>
      </c>
      <c r="B283" s="4" t="str">
        <f>IF($N283&lt;&gt;"",$N283,IF($A283&lt;&gt;"",'All Cases - Enter Cases'!$L283+7,""))</f>
        <v/>
      </c>
      <c r="C283" t="str">
        <f>IF($A283&lt;&gt;"",'All Cases - Enter Cases'!B283,"")</f>
        <v/>
      </c>
      <c r="D283" t="str">
        <f>IF($A283&lt;&gt;"",'All Cases - Enter Cases'!C283,"")</f>
        <v/>
      </c>
      <c r="E283" t="str">
        <f>IF($A283&lt;&gt;"",'All Cases - Enter Cases'!D283,"")</f>
        <v/>
      </c>
      <c r="F283" s="12" t="str">
        <f>IF($A283&lt;&gt;"",'All Cases - Enter Cases'!E283,"")</f>
        <v/>
      </c>
      <c r="G283" s="12" t="str">
        <f>IF($A283&lt;&gt;"",'All Cases - Enter Cases'!F283,"")</f>
        <v/>
      </c>
      <c r="H283" s="4" t="str">
        <f>IF($A283&lt;&gt;"",'All Cases - Enter Cases'!G283,"")</f>
        <v/>
      </c>
      <c r="I283" t="str">
        <f>IF($A283&lt;&gt;"",'All Cases - Enter Cases'!H283,"")</f>
        <v/>
      </c>
      <c r="J283" t="str">
        <f>IF($A283&lt;&gt;"",'All Cases - Enter Cases'!I283,"")</f>
        <v/>
      </c>
      <c r="K283" t="str">
        <f>IF($A283&lt;&gt;"",'All Cases - Enter Cases'!J283,"")</f>
        <v/>
      </c>
      <c r="L283" s="4" t="str">
        <f>IF($A283&lt;&gt;"",'All Cases - Enter Cases'!K283,"")</f>
        <v/>
      </c>
      <c r="M283" t="str">
        <f>IF($A283&lt;&gt;"",'All Cases - Enter Cases'!L283,"")</f>
        <v/>
      </c>
    </row>
    <row r="284" spans="1:13" x14ac:dyDescent="0.35">
      <c r="A284" s="4" t="str">
        <f>IF('All Cases - Enter Cases'!$K284="Approved",'All Cases - Enter Cases'!A284,"")</f>
        <v/>
      </c>
      <c r="B284" s="4" t="str">
        <f>IF($N284&lt;&gt;"",$N284,IF($A284&lt;&gt;"",'All Cases - Enter Cases'!$L284+7,""))</f>
        <v/>
      </c>
      <c r="C284" t="str">
        <f>IF($A284&lt;&gt;"",'All Cases - Enter Cases'!B284,"")</f>
        <v/>
      </c>
      <c r="D284" t="str">
        <f>IF($A284&lt;&gt;"",'All Cases - Enter Cases'!C284,"")</f>
        <v/>
      </c>
      <c r="E284" t="str">
        <f>IF($A284&lt;&gt;"",'All Cases - Enter Cases'!D284,"")</f>
        <v/>
      </c>
      <c r="F284" s="12" t="str">
        <f>IF($A284&lt;&gt;"",'All Cases - Enter Cases'!E284,"")</f>
        <v/>
      </c>
      <c r="G284" s="12" t="str">
        <f>IF($A284&lt;&gt;"",'All Cases - Enter Cases'!F284,"")</f>
        <v/>
      </c>
      <c r="H284" s="4" t="str">
        <f>IF($A284&lt;&gt;"",'All Cases - Enter Cases'!G284,"")</f>
        <v/>
      </c>
      <c r="I284" t="str">
        <f>IF($A284&lt;&gt;"",'All Cases - Enter Cases'!H284,"")</f>
        <v/>
      </c>
      <c r="J284" t="str">
        <f>IF($A284&lt;&gt;"",'All Cases - Enter Cases'!I284,"")</f>
        <v/>
      </c>
      <c r="K284" t="str">
        <f>IF($A284&lt;&gt;"",'All Cases - Enter Cases'!J284,"")</f>
        <v/>
      </c>
      <c r="L284" s="4" t="str">
        <f>IF($A284&lt;&gt;"",'All Cases - Enter Cases'!K284,"")</f>
        <v/>
      </c>
      <c r="M284" t="str">
        <f>IF($A284&lt;&gt;"",'All Cases - Enter Cases'!L284,"")</f>
        <v/>
      </c>
    </row>
    <row r="285" spans="1:13" x14ac:dyDescent="0.35">
      <c r="A285" s="4" t="str">
        <f>IF('All Cases - Enter Cases'!$K285="Approved",'All Cases - Enter Cases'!A285,"")</f>
        <v/>
      </c>
      <c r="B285" s="4" t="str">
        <f>IF($N285&lt;&gt;"",$N285,IF($A285&lt;&gt;"",'All Cases - Enter Cases'!$L285+7,""))</f>
        <v/>
      </c>
      <c r="C285" t="str">
        <f>IF($A285&lt;&gt;"",'All Cases - Enter Cases'!B285,"")</f>
        <v/>
      </c>
      <c r="D285" t="str">
        <f>IF($A285&lt;&gt;"",'All Cases - Enter Cases'!C285,"")</f>
        <v/>
      </c>
      <c r="E285" t="str">
        <f>IF($A285&lt;&gt;"",'All Cases - Enter Cases'!D285,"")</f>
        <v/>
      </c>
      <c r="F285" s="12" t="str">
        <f>IF($A285&lt;&gt;"",'All Cases - Enter Cases'!E285,"")</f>
        <v/>
      </c>
      <c r="G285" s="12" t="str">
        <f>IF($A285&lt;&gt;"",'All Cases - Enter Cases'!F285,"")</f>
        <v/>
      </c>
      <c r="H285" s="4" t="str">
        <f>IF($A285&lt;&gt;"",'All Cases - Enter Cases'!G285,"")</f>
        <v/>
      </c>
      <c r="I285" t="str">
        <f>IF($A285&lt;&gt;"",'All Cases - Enter Cases'!H285,"")</f>
        <v/>
      </c>
      <c r="J285" t="str">
        <f>IF($A285&lt;&gt;"",'All Cases - Enter Cases'!I285,"")</f>
        <v/>
      </c>
      <c r="K285" t="str">
        <f>IF($A285&lt;&gt;"",'All Cases - Enter Cases'!J285,"")</f>
        <v/>
      </c>
      <c r="L285" s="4" t="str">
        <f>IF($A285&lt;&gt;"",'All Cases - Enter Cases'!K285,"")</f>
        <v/>
      </c>
      <c r="M285" t="str">
        <f>IF($A285&lt;&gt;"",'All Cases - Enter Cases'!L285,"")</f>
        <v/>
      </c>
    </row>
    <row r="286" spans="1:13" x14ac:dyDescent="0.35">
      <c r="A286" s="4" t="str">
        <f>IF('All Cases - Enter Cases'!$K286="Approved",'All Cases - Enter Cases'!A286,"")</f>
        <v/>
      </c>
      <c r="B286" s="4" t="str">
        <f>IF($N286&lt;&gt;"",$N286,IF($A286&lt;&gt;"",'All Cases - Enter Cases'!$L286+7,""))</f>
        <v/>
      </c>
      <c r="C286" t="str">
        <f>IF($A286&lt;&gt;"",'All Cases - Enter Cases'!B286,"")</f>
        <v/>
      </c>
      <c r="D286" t="str">
        <f>IF($A286&lt;&gt;"",'All Cases - Enter Cases'!C286,"")</f>
        <v/>
      </c>
      <c r="E286" t="str">
        <f>IF($A286&lt;&gt;"",'All Cases - Enter Cases'!D286,"")</f>
        <v/>
      </c>
      <c r="F286" s="12" t="str">
        <f>IF($A286&lt;&gt;"",'All Cases - Enter Cases'!E286,"")</f>
        <v/>
      </c>
      <c r="G286" s="12" t="str">
        <f>IF($A286&lt;&gt;"",'All Cases - Enter Cases'!F286,"")</f>
        <v/>
      </c>
      <c r="H286" s="4" t="str">
        <f>IF($A286&lt;&gt;"",'All Cases - Enter Cases'!G286,"")</f>
        <v/>
      </c>
      <c r="I286" t="str">
        <f>IF($A286&lt;&gt;"",'All Cases - Enter Cases'!H286,"")</f>
        <v/>
      </c>
      <c r="J286" t="str">
        <f>IF($A286&lt;&gt;"",'All Cases - Enter Cases'!I286,"")</f>
        <v/>
      </c>
      <c r="K286" t="str">
        <f>IF($A286&lt;&gt;"",'All Cases - Enter Cases'!J286,"")</f>
        <v/>
      </c>
      <c r="L286" s="4" t="str">
        <f>IF($A286&lt;&gt;"",'All Cases - Enter Cases'!K286,"")</f>
        <v/>
      </c>
      <c r="M286" t="str">
        <f>IF($A286&lt;&gt;"",'All Cases - Enter Cases'!L286,"")</f>
        <v/>
      </c>
    </row>
    <row r="287" spans="1:13" x14ac:dyDescent="0.35">
      <c r="A287" s="4" t="str">
        <f>IF('All Cases - Enter Cases'!$K287="Approved",'All Cases - Enter Cases'!A287,"")</f>
        <v/>
      </c>
      <c r="B287" s="4" t="str">
        <f>IF($N287&lt;&gt;"",$N287,IF($A287&lt;&gt;"",'All Cases - Enter Cases'!$L287+7,""))</f>
        <v/>
      </c>
      <c r="C287" t="str">
        <f>IF($A287&lt;&gt;"",'All Cases - Enter Cases'!B287,"")</f>
        <v/>
      </c>
      <c r="D287" t="str">
        <f>IF($A287&lt;&gt;"",'All Cases - Enter Cases'!C287,"")</f>
        <v/>
      </c>
      <c r="E287" t="str">
        <f>IF($A287&lt;&gt;"",'All Cases - Enter Cases'!D287,"")</f>
        <v/>
      </c>
      <c r="F287" s="12" t="str">
        <f>IF($A287&lt;&gt;"",'All Cases - Enter Cases'!E287,"")</f>
        <v/>
      </c>
      <c r="G287" s="12" t="str">
        <f>IF($A287&lt;&gt;"",'All Cases - Enter Cases'!F287,"")</f>
        <v/>
      </c>
      <c r="H287" s="4" t="str">
        <f>IF($A287&lt;&gt;"",'All Cases - Enter Cases'!G287,"")</f>
        <v/>
      </c>
      <c r="I287" t="str">
        <f>IF($A287&lt;&gt;"",'All Cases - Enter Cases'!H287,"")</f>
        <v/>
      </c>
      <c r="J287" t="str">
        <f>IF($A287&lt;&gt;"",'All Cases - Enter Cases'!I287,"")</f>
        <v/>
      </c>
      <c r="K287" t="str">
        <f>IF($A287&lt;&gt;"",'All Cases - Enter Cases'!J287,"")</f>
        <v/>
      </c>
      <c r="L287" s="4" t="str">
        <f>IF($A287&lt;&gt;"",'All Cases - Enter Cases'!K287,"")</f>
        <v/>
      </c>
      <c r="M287" t="str">
        <f>IF($A287&lt;&gt;"",'All Cases - Enter Cases'!L287,"")</f>
        <v/>
      </c>
    </row>
    <row r="288" spans="1:13" x14ac:dyDescent="0.35">
      <c r="A288" s="4" t="str">
        <f>IF('All Cases - Enter Cases'!$K288="Approved",'All Cases - Enter Cases'!A288,"")</f>
        <v/>
      </c>
      <c r="B288" s="4" t="str">
        <f>IF($N288&lt;&gt;"",$N288,IF($A288&lt;&gt;"",'All Cases - Enter Cases'!$L288+7,""))</f>
        <v/>
      </c>
      <c r="C288" t="str">
        <f>IF($A288&lt;&gt;"",'All Cases - Enter Cases'!B288,"")</f>
        <v/>
      </c>
      <c r="D288" t="str">
        <f>IF($A288&lt;&gt;"",'All Cases - Enter Cases'!C288,"")</f>
        <v/>
      </c>
      <c r="E288" t="str">
        <f>IF($A288&lt;&gt;"",'All Cases - Enter Cases'!D288,"")</f>
        <v/>
      </c>
      <c r="F288" s="12" t="str">
        <f>IF($A288&lt;&gt;"",'All Cases - Enter Cases'!E288,"")</f>
        <v/>
      </c>
      <c r="G288" s="12" t="str">
        <f>IF($A288&lt;&gt;"",'All Cases - Enter Cases'!F288,"")</f>
        <v/>
      </c>
      <c r="H288" s="4" t="str">
        <f>IF($A288&lt;&gt;"",'All Cases - Enter Cases'!G288,"")</f>
        <v/>
      </c>
      <c r="I288" t="str">
        <f>IF($A288&lt;&gt;"",'All Cases - Enter Cases'!H288,"")</f>
        <v/>
      </c>
      <c r="J288" t="str">
        <f>IF($A288&lt;&gt;"",'All Cases - Enter Cases'!I288,"")</f>
        <v/>
      </c>
      <c r="K288" t="str">
        <f>IF($A288&lt;&gt;"",'All Cases - Enter Cases'!J288,"")</f>
        <v/>
      </c>
      <c r="L288" s="4" t="str">
        <f>IF($A288&lt;&gt;"",'All Cases - Enter Cases'!K288,"")</f>
        <v/>
      </c>
      <c r="M288" t="str">
        <f>IF($A288&lt;&gt;"",'All Cases - Enter Cases'!L288,"")</f>
        <v/>
      </c>
    </row>
    <row r="289" spans="1:13" x14ac:dyDescent="0.35">
      <c r="A289" s="4" t="str">
        <f>IF('All Cases - Enter Cases'!$K289="Approved",'All Cases - Enter Cases'!A289,"")</f>
        <v/>
      </c>
      <c r="B289" s="4" t="str">
        <f>IF($N289&lt;&gt;"",$N289,IF($A289&lt;&gt;"",'All Cases - Enter Cases'!$L289+7,""))</f>
        <v/>
      </c>
      <c r="C289" t="str">
        <f>IF($A289&lt;&gt;"",'All Cases - Enter Cases'!B289,"")</f>
        <v/>
      </c>
      <c r="D289" t="str">
        <f>IF($A289&lt;&gt;"",'All Cases - Enter Cases'!C289,"")</f>
        <v/>
      </c>
      <c r="E289" t="str">
        <f>IF($A289&lt;&gt;"",'All Cases - Enter Cases'!D289,"")</f>
        <v/>
      </c>
      <c r="F289" s="12" t="str">
        <f>IF($A289&lt;&gt;"",'All Cases - Enter Cases'!E289,"")</f>
        <v/>
      </c>
      <c r="G289" s="12" t="str">
        <f>IF($A289&lt;&gt;"",'All Cases - Enter Cases'!F289,"")</f>
        <v/>
      </c>
      <c r="H289" s="4" t="str">
        <f>IF($A289&lt;&gt;"",'All Cases - Enter Cases'!G289,"")</f>
        <v/>
      </c>
      <c r="I289" t="str">
        <f>IF($A289&lt;&gt;"",'All Cases - Enter Cases'!H289,"")</f>
        <v/>
      </c>
      <c r="J289" t="str">
        <f>IF($A289&lt;&gt;"",'All Cases - Enter Cases'!I289,"")</f>
        <v/>
      </c>
      <c r="K289" t="str">
        <f>IF($A289&lt;&gt;"",'All Cases - Enter Cases'!J289,"")</f>
        <v/>
      </c>
      <c r="L289" s="4" t="str">
        <f>IF($A289&lt;&gt;"",'All Cases - Enter Cases'!K289,"")</f>
        <v/>
      </c>
      <c r="M289" t="str">
        <f>IF($A289&lt;&gt;"",'All Cases - Enter Cases'!L289,"")</f>
        <v/>
      </c>
    </row>
    <row r="290" spans="1:13" x14ac:dyDescent="0.35">
      <c r="A290" s="4" t="str">
        <f>IF('All Cases - Enter Cases'!$K290="Approved",'All Cases - Enter Cases'!A290,"")</f>
        <v/>
      </c>
      <c r="B290" s="4" t="str">
        <f>IF($N290&lt;&gt;"",$N290,IF($A290&lt;&gt;"",'All Cases - Enter Cases'!$L290+7,""))</f>
        <v/>
      </c>
      <c r="C290" t="str">
        <f>IF($A290&lt;&gt;"",'All Cases - Enter Cases'!B290,"")</f>
        <v/>
      </c>
      <c r="D290" t="str">
        <f>IF($A290&lt;&gt;"",'All Cases - Enter Cases'!C290,"")</f>
        <v/>
      </c>
      <c r="E290" t="str">
        <f>IF($A290&lt;&gt;"",'All Cases - Enter Cases'!D290,"")</f>
        <v/>
      </c>
      <c r="F290" s="12" t="str">
        <f>IF($A290&lt;&gt;"",'All Cases - Enter Cases'!E290,"")</f>
        <v/>
      </c>
      <c r="G290" s="12" t="str">
        <f>IF($A290&lt;&gt;"",'All Cases - Enter Cases'!F290,"")</f>
        <v/>
      </c>
      <c r="H290" s="4" t="str">
        <f>IF($A290&lt;&gt;"",'All Cases - Enter Cases'!G290,"")</f>
        <v/>
      </c>
      <c r="I290" t="str">
        <f>IF($A290&lt;&gt;"",'All Cases - Enter Cases'!H290,"")</f>
        <v/>
      </c>
      <c r="J290" t="str">
        <f>IF($A290&lt;&gt;"",'All Cases - Enter Cases'!I290,"")</f>
        <v/>
      </c>
      <c r="K290" t="str">
        <f>IF($A290&lt;&gt;"",'All Cases - Enter Cases'!J290,"")</f>
        <v/>
      </c>
      <c r="L290" s="4" t="str">
        <f>IF($A290&lt;&gt;"",'All Cases - Enter Cases'!K290,"")</f>
        <v/>
      </c>
      <c r="M290" t="str">
        <f>IF($A290&lt;&gt;"",'All Cases - Enter Cases'!L290,"")</f>
        <v/>
      </c>
    </row>
    <row r="291" spans="1:13" x14ac:dyDescent="0.35">
      <c r="A291" s="4" t="str">
        <f>IF('All Cases - Enter Cases'!$K291="Approved",'All Cases - Enter Cases'!A291,"")</f>
        <v/>
      </c>
      <c r="B291" s="4" t="str">
        <f>IF($N291&lt;&gt;"",$N291,IF($A291&lt;&gt;"",'All Cases - Enter Cases'!$L291+7,""))</f>
        <v/>
      </c>
      <c r="C291" t="str">
        <f>IF($A291&lt;&gt;"",'All Cases - Enter Cases'!B291,"")</f>
        <v/>
      </c>
      <c r="D291" t="str">
        <f>IF($A291&lt;&gt;"",'All Cases - Enter Cases'!C291,"")</f>
        <v/>
      </c>
      <c r="E291" t="str">
        <f>IF($A291&lt;&gt;"",'All Cases - Enter Cases'!D291,"")</f>
        <v/>
      </c>
      <c r="F291" s="12" t="str">
        <f>IF($A291&lt;&gt;"",'All Cases - Enter Cases'!E291,"")</f>
        <v/>
      </c>
      <c r="G291" s="12" t="str">
        <f>IF($A291&lt;&gt;"",'All Cases - Enter Cases'!F291,"")</f>
        <v/>
      </c>
      <c r="H291" s="4" t="str">
        <f>IF($A291&lt;&gt;"",'All Cases - Enter Cases'!G291,"")</f>
        <v/>
      </c>
      <c r="I291" t="str">
        <f>IF($A291&lt;&gt;"",'All Cases - Enter Cases'!H291,"")</f>
        <v/>
      </c>
      <c r="J291" t="str">
        <f>IF($A291&lt;&gt;"",'All Cases - Enter Cases'!I291,"")</f>
        <v/>
      </c>
      <c r="K291" t="str">
        <f>IF($A291&lt;&gt;"",'All Cases - Enter Cases'!J291,"")</f>
        <v/>
      </c>
      <c r="L291" s="4" t="str">
        <f>IF($A291&lt;&gt;"",'All Cases - Enter Cases'!K291,"")</f>
        <v/>
      </c>
      <c r="M291" t="str">
        <f>IF($A291&lt;&gt;"",'All Cases - Enter Cases'!L291,"")</f>
        <v/>
      </c>
    </row>
    <row r="292" spans="1:13" x14ac:dyDescent="0.35">
      <c r="A292" s="4" t="str">
        <f>IF('All Cases - Enter Cases'!$K292="Approved",'All Cases - Enter Cases'!A292,"")</f>
        <v/>
      </c>
      <c r="B292" s="4" t="str">
        <f>IF($N292&lt;&gt;"",$N292,IF($A292&lt;&gt;"",'All Cases - Enter Cases'!$L292+7,""))</f>
        <v/>
      </c>
      <c r="C292" t="str">
        <f>IF($A292&lt;&gt;"",'All Cases - Enter Cases'!B292,"")</f>
        <v/>
      </c>
      <c r="D292" t="str">
        <f>IF($A292&lt;&gt;"",'All Cases - Enter Cases'!C292,"")</f>
        <v/>
      </c>
      <c r="E292" t="str">
        <f>IF($A292&lt;&gt;"",'All Cases - Enter Cases'!D292,"")</f>
        <v/>
      </c>
      <c r="F292" s="12" t="str">
        <f>IF($A292&lt;&gt;"",'All Cases - Enter Cases'!E292,"")</f>
        <v/>
      </c>
      <c r="G292" s="12" t="str">
        <f>IF($A292&lt;&gt;"",'All Cases - Enter Cases'!F292,"")</f>
        <v/>
      </c>
      <c r="H292" s="4" t="str">
        <f>IF($A292&lt;&gt;"",'All Cases - Enter Cases'!G292,"")</f>
        <v/>
      </c>
      <c r="I292" t="str">
        <f>IF($A292&lt;&gt;"",'All Cases - Enter Cases'!H292,"")</f>
        <v/>
      </c>
      <c r="J292" t="str">
        <f>IF($A292&lt;&gt;"",'All Cases - Enter Cases'!I292,"")</f>
        <v/>
      </c>
      <c r="K292" t="str">
        <f>IF($A292&lt;&gt;"",'All Cases - Enter Cases'!J292,"")</f>
        <v/>
      </c>
      <c r="L292" s="4" t="str">
        <f>IF($A292&lt;&gt;"",'All Cases - Enter Cases'!K292,"")</f>
        <v/>
      </c>
      <c r="M292" t="str">
        <f>IF($A292&lt;&gt;"",'All Cases - Enter Cases'!L292,"")</f>
        <v/>
      </c>
    </row>
    <row r="293" spans="1:13" x14ac:dyDescent="0.35">
      <c r="A293" s="4" t="str">
        <f>IF('All Cases - Enter Cases'!$K293="Approved",'All Cases - Enter Cases'!A293,"")</f>
        <v/>
      </c>
      <c r="B293" s="4" t="str">
        <f>IF($N293&lt;&gt;"",$N293,IF($A293&lt;&gt;"",'All Cases - Enter Cases'!$L293+7,""))</f>
        <v/>
      </c>
      <c r="C293" t="str">
        <f>IF($A293&lt;&gt;"",'All Cases - Enter Cases'!B293,"")</f>
        <v/>
      </c>
      <c r="D293" t="str">
        <f>IF($A293&lt;&gt;"",'All Cases - Enter Cases'!C293,"")</f>
        <v/>
      </c>
      <c r="E293" t="str">
        <f>IF($A293&lt;&gt;"",'All Cases - Enter Cases'!D293,"")</f>
        <v/>
      </c>
      <c r="F293" s="12" t="str">
        <f>IF($A293&lt;&gt;"",'All Cases - Enter Cases'!E293,"")</f>
        <v/>
      </c>
      <c r="G293" s="12" t="str">
        <f>IF($A293&lt;&gt;"",'All Cases - Enter Cases'!F293,"")</f>
        <v/>
      </c>
      <c r="H293" s="4" t="str">
        <f>IF($A293&lt;&gt;"",'All Cases - Enter Cases'!G293,"")</f>
        <v/>
      </c>
      <c r="I293" t="str">
        <f>IF($A293&lt;&gt;"",'All Cases - Enter Cases'!H293,"")</f>
        <v/>
      </c>
      <c r="J293" t="str">
        <f>IF($A293&lt;&gt;"",'All Cases - Enter Cases'!I293,"")</f>
        <v/>
      </c>
      <c r="K293" t="str">
        <f>IF($A293&lt;&gt;"",'All Cases - Enter Cases'!J293,"")</f>
        <v/>
      </c>
      <c r="L293" s="4" t="str">
        <f>IF($A293&lt;&gt;"",'All Cases - Enter Cases'!K293,"")</f>
        <v/>
      </c>
      <c r="M293" t="str">
        <f>IF($A293&lt;&gt;"",'All Cases - Enter Cases'!L293,"")</f>
        <v/>
      </c>
    </row>
    <row r="294" spans="1:13" x14ac:dyDescent="0.35">
      <c r="A294" s="4" t="str">
        <f>IF('All Cases - Enter Cases'!$K294="Approved",'All Cases - Enter Cases'!A294,"")</f>
        <v/>
      </c>
      <c r="B294" s="4" t="str">
        <f>IF($N294&lt;&gt;"",$N294,IF($A294&lt;&gt;"",'All Cases - Enter Cases'!$L294+7,""))</f>
        <v/>
      </c>
      <c r="C294" t="str">
        <f>IF($A294&lt;&gt;"",'All Cases - Enter Cases'!B294,"")</f>
        <v/>
      </c>
      <c r="D294" t="str">
        <f>IF($A294&lt;&gt;"",'All Cases - Enter Cases'!C294,"")</f>
        <v/>
      </c>
      <c r="E294" t="str">
        <f>IF($A294&lt;&gt;"",'All Cases - Enter Cases'!D294,"")</f>
        <v/>
      </c>
      <c r="F294" s="12" t="str">
        <f>IF($A294&lt;&gt;"",'All Cases - Enter Cases'!E294,"")</f>
        <v/>
      </c>
      <c r="G294" s="12" t="str">
        <f>IF($A294&lt;&gt;"",'All Cases - Enter Cases'!F294,"")</f>
        <v/>
      </c>
      <c r="H294" s="4" t="str">
        <f>IF($A294&lt;&gt;"",'All Cases - Enter Cases'!G294,"")</f>
        <v/>
      </c>
      <c r="I294" t="str">
        <f>IF($A294&lt;&gt;"",'All Cases - Enter Cases'!H294,"")</f>
        <v/>
      </c>
      <c r="J294" t="str">
        <f>IF($A294&lt;&gt;"",'All Cases - Enter Cases'!I294,"")</f>
        <v/>
      </c>
      <c r="K294" t="str">
        <f>IF($A294&lt;&gt;"",'All Cases - Enter Cases'!J294,"")</f>
        <v/>
      </c>
      <c r="L294" s="4" t="str">
        <f>IF($A294&lt;&gt;"",'All Cases - Enter Cases'!K294,"")</f>
        <v/>
      </c>
      <c r="M294" t="str">
        <f>IF($A294&lt;&gt;"",'All Cases - Enter Cases'!L294,"")</f>
        <v/>
      </c>
    </row>
    <row r="295" spans="1:13" x14ac:dyDescent="0.35">
      <c r="A295" s="4" t="str">
        <f>IF('All Cases - Enter Cases'!$K295="Approved",'All Cases - Enter Cases'!A295,"")</f>
        <v/>
      </c>
      <c r="B295" s="4" t="str">
        <f>IF($N295&lt;&gt;"",$N295,IF($A295&lt;&gt;"",'All Cases - Enter Cases'!$L295+7,""))</f>
        <v/>
      </c>
      <c r="C295" t="str">
        <f>IF($A295&lt;&gt;"",'All Cases - Enter Cases'!B295,"")</f>
        <v/>
      </c>
      <c r="D295" t="str">
        <f>IF($A295&lt;&gt;"",'All Cases - Enter Cases'!C295,"")</f>
        <v/>
      </c>
      <c r="E295" t="str">
        <f>IF($A295&lt;&gt;"",'All Cases - Enter Cases'!D295,"")</f>
        <v/>
      </c>
      <c r="F295" s="12" t="str">
        <f>IF($A295&lt;&gt;"",'All Cases - Enter Cases'!E295,"")</f>
        <v/>
      </c>
      <c r="G295" s="12" t="str">
        <f>IF($A295&lt;&gt;"",'All Cases - Enter Cases'!F295,"")</f>
        <v/>
      </c>
      <c r="H295" s="4" t="str">
        <f>IF($A295&lt;&gt;"",'All Cases - Enter Cases'!G295,"")</f>
        <v/>
      </c>
      <c r="I295" t="str">
        <f>IF($A295&lt;&gt;"",'All Cases - Enter Cases'!H295,"")</f>
        <v/>
      </c>
      <c r="J295" t="str">
        <f>IF($A295&lt;&gt;"",'All Cases - Enter Cases'!I295,"")</f>
        <v/>
      </c>
      <c r="K295" t="str">
        <f>IF($A295&lt;&gt;"",'All Cases - Enter Cases'!J295,"")</f>
        <v/>
      </c>
      <c r="L295" s="4" t="str">
        <f>IF($A295&lt;&gt;"",'All Cases - Enter Cases'!K295,"")</f>
        <v/>
      </c>
      <c r="M295" t="str">
        <f>IF($A295&lt;&gt;"",'All Cases - Enter Cases'!L295,"")</f>
        <v/>
      </c>
    </row>
    <row r="296" spans="1:13" x14ac:dyDescent="0.35">
      <c r="A296" s="4" t="str">
        <f>IF('All Cases - Enter Cases'!$K296="Approved",'All Cases - Enter Cases'!A296,"")</f>
        <v/>
      </c>
      <c r="B296" s="4" t="str">
        <f>IF($N296&lt;&gt;"",$N296,IF($A296&lt;&gt;"",'All Cases - Enter Cases'!$L296+7,""))</f>
        <v/>
      </c>
      <c r="C296" t="str">
        <f>IF($A296&lt;&gt;"",'All Cases - Enter Cases'!B296,"")</f>
        <v/>
      </c>
      <c r="D296" t="str">
        <f>IF($A296&lt;&gt;"",'All Cases - Enter Cases'!C296,"")</f>
        <v/>
      </c>
      <c r="E296" t="str">
        <f>IF($A296&lt;&gt;"",'All Cases - Enter Cases'!D296,"")</f>
        <v/>
      </c>
      <c r="F296" s="12" t="str">
        <f>IF($A296&lt;&gt;"",'All Cases - Enter Cases'!E296,"")</f>
        <v/>
      </c>
      <c r="G296" s="12" t="str">
        <f>IF($A296&lt;&gt;"",'All Cases - Enter Cases'!F296,"")</f>
        <v/>
      </c>
      <c r="H296" s="4" t="str">
        <f>IF($A296&lt;&gt;"",'All Cases - Enter Cases'!G296,"")</f>
        <v/>
      </c>
      <c r="I296" t="str">
        <f>IF($A296&lt;&gt;"",'All Cases - Enter Cases'!H296,"")</f>
        <v/>
      </c>
      <c r="J296" t="str">
        <f>IF($A296&lt;&gt;"",'All Cases - Enter Cases'!I296,"")</f>
        <v/>
      </c>
      <c r="K296" t="str">
        <f>IF($A296&lt;&gt;"",'All Cases - Enter Cases'!J296,"")</f>
        <v/>
      </c>
      <c r="L296" s="4" t="str">
        <f>IF($A296&lt;&gt;"",'All Cases - Enter Cases'!K296,"")</f>
        <v/>
      </c>
      <c r="M296" t="str">
        <f>IF($A296&lt;&gt;"",'All Cases - Enter Cases'!L296,"")</f>
        <v/>
      </c>
    </row>
    <row r="297" spans="1:13" x14ac:dyDescent="0.35">
      <c r="A297" s="4" t="str">
        <f>IF('All Cases - Enter Cases'!$K297="Approved",'All Cases - Enter Cases'!A297,"")</f>
        <v/>
      </c>
      <c r="B297" s="4" t="str">
        <f>IF($N297&lt;&gt;"",$N297,IF($A297&lt;&gt;"",'All Cases - Enter Cases'!$L297+7,""))</f>
        <v/>
      </c>
      <c r="C297" t="str">
        <f>IF($A297&lt;&gt;"",'All Cases - Enter Cases'!B297,"")</f>
        <v/>
      </c>
      <c r="D297" t="str">
        <f>IF($A297&lt;&gt;"",'All Cases - Enter Cases'!C297,"")</f>
        <v/>
      </c>
      <c r="E297" t="str">
        <f>IF($A297&lt;&gt;"",'All Cases - Enter Cases'!D297,"")</f>
        <v/>
      </c>
      <c r="F297" s="12" t="str">
        <f>IF($A297&lt;&gt;"",'All Cases - Enter Cases'!E297,"")</f>
        <v/>
      </c>
      <c r="G297" s="12" t="str">
        <f>IF($A297&lt;&gt;"",'All Cases - Enter Cases'!F297,"")</f>
        <v/>
      </c>
      <c r="H297" s="4" t="str">
        <f>IF($A297&lt;&gt;"",'All Cases - Enter Cases'!G297,"")</f>
        <v/>
      </c>
      <c r="I297" t="str">
        <f>IF($A297&lt;&gt;"",'All Cases - Enter Cases'!H297,"")</f>
        <v/>
      </c>
      <c r="J297" t="str">
        <f>IF($A297&lt;&gt;"",'All Cases - Enter Cases'!I297,"")</f>
        <v/>
      </c>
      <c r="K297" t="str">
        <f>IF($A297&lt;&gt;"",'All Cases - Enter Cases'!J297,"")</f>
        <v/>
      </c>
      <c r="L297" s="4" t="str">
        <f>IF($A297&lt;&gt;"",'All Cases - Enter Cases'!K297,"")</f>
        <v/>
      </c>
      <c r="M297" t="str">
        <f>IF($A297&lt;&gt;"",'All Cases - Enter Cases'!L297,"")</f>
        <v/>
      </c>
    </row>
    <row r="298" spans="1:13" x14ac:dyDescent="0.35">
      <c r="A298" s="4" t="str">
        <f>IF('All Cases - Enter Cases'!$K298="Approved",'All Cases - Enter Cases'!A298,"")</f>
        <v/>
      </c>
      <c r="B298" s="4" t="str">
        <f>IF($N298&lt;&gt;"",$N298,IF($A298&lt;&gt;"",'All Cases - Enter Cases'!$L298+7,""))</f>
        <v/>
      </c>
      <c r="C298" t="str">
        <f>IF($A298&lt;&gt;"",'All Cases - Enter Cases'!B298,"")</f>
        <v/>
      </c>
      <c r="D298" t="str">
        <f>IF($A298&lt;&gt;"",'All Cases - Enter Cases'!C298,"")</f>
        <v/>
      </c>
      <c r="E298" t="str">
        <f>IF($A298&lt;&gt;"",'All Cases - Enter Cases'!D298,"")</f>
        <v/>
      </c>
      <c r="F298" s="12" t="str">
        <f>IF($A298&lt;&gt;"",'All Cases - Enter Cases'!E298,"")</f>
        <v/>
      </c>
      <c r="G298" s="12" t="str">
        <f>IF($A298&lt;&gt;"",'All Cases - Enter Cases'!F298,"")</f>
        <v/>
      </c>
      <c r="H298" s="4" t="str">
        <f>IF($A298&lt;&gt;"",'All Cases - Enter Cases'!G298,"")</f>
        <v/>
      </c>
      <c r="I298" t="str">
        <f>IF($A298&lt;&gt;"",'All Cases - Enter Cases'!H298,"")</f>
        <v/>
      </c>
      <c r="J298" t="str">
        <f>IF($A298&lt;&gt;"",'All Cases - Enter Cases'!I298,"")</f>
        <v/>
      </c>
      <c r="K298" t="str">
        <f>IF($A298&lt;&gt;"",'All Cases - Enter Cases'!J298,"")</f>
        <v/>
      </c>
      <c r="L298" s="4" t="str">
        <f>IF($A298&lt;&gt;"",'All Cases - Enter Cases'!K298,"")</f>
        <v/>
      </c>
      <c r="M298" t="str">
        <f>IF($A298&lt;&gt;"",'All Cases - Enter Cases'!L298,"")</f>
        <v/>
      </c>
    </row>
    <row r="299" spans="1:13" x14ac:dyDescent="0.35">
      <c r="A299" s="4" t="str">
        <f>IF('All Cases - Enter Cases'!$K299="Approved",'All Cases - Enter Cases'!A299,"")</f>
        <v/>
      </c>
      <c r="B299" s="4" t="str">
        <f>IF($N299&lt;&gt;"",$N299,IF($A299&lt;&gt;"",'All Cases - Enter Cases'!$L299+7,""))</f>
        <v/>
      </c>
      <c r="C299" t="str">
        <f>IF($A299&lt;&gt;"",'All Cases - Enter Cases'!B299,"")</f>
        <v/>
      </c>
      <c r="D299" t="str">
        <f>IF($A299&lt;&gt;"",'All Cases - Enter Cases'!C299,"")</f>
        <v/>
      </c>
      <c r="E299" t="str">
        <f>IF($A299&lt;&gt;"",'All Cases - Enter Cases'!D299,"")</f>
        <v/>
      </c>
      <c r="F299" s="12" t="str">
        <f>IF($A299&lt;&gt;"",'All Cases - Enter Cases'!E299,"")</f>
        <v/>
      </c>
      <c r="G299" s="12" t="str">
        <f>IF($A299&lt;&gt;"",'All Cases - Enter Cases'!F299,"")</f>
        <v/>
      </c>
      <c r="H299" s="4" t="str">
        <f>IF($A299&lt;&gt;"",'All Cases - Enter Cases'!G299,"")</f>
        <v/>
      </c>
      <c r="I299" t="str">
        <f>IF($A299&lt;&gt;"",'All Cases - Enter Cases'!H299,"")</f>
        <v/>
      </c>
      <c r="J299" t="str">
        <f>IF($A299&lt;&gt;"",'All Cases - Enter Cases'!I299,"")</f>
        <v/>
      </c>
      <c r="K299" t="str">
        <f>IF($A299&lt;&gt;"",'All Cases - Enter Cases'!J299,"")</f>
        <v/>
      </c>
      <c r="L299" s="4" t="str">
        <f>IF($A299&lt;&gt;"",'All Cases - Enter Cases'!K299,"")</f>
        <v/>
      </c>
      <c r="M299" t="str">
        <f>IF($A299&lt;&gt;"",'All Cases - Enter Cases'!L299,"")</f>
        <v/>
      </c>
    </row>
    <row r="300" spans="1:13" x14ac:dyDescent="0.35">
      <c r="A300" s="4" t="str">
        <f>IF('All Cases - Enter Cases'!$K300="Approved",'All Cases - Enter Cases'!A300,"")</f>
        <v/>
      </c>
      <c r="B300" s="4" t="str">
        <f>IF($N300&lt;&gt;"",$N300,IF($A300&lt;&gt;"",'All Cases - Enter Cases'!$L300+7,""))</f>
        <v/>
      </c>
      <c r="C300" t="str">
        <f>IF($A300&lt;&gt;"",'All Cases - Enter Cases'!B300,"")</f>
        <v/>
      </c>
      <c r="D300" t="str">
        <f>IF($A300&lt;&gt;"",'All Cases - Enter Cases'!C300,"")</f>
        <v/>
      </c>
      <c r="E300" t="str">
        <f>IF($A300&lt;&gt;"",'All Cases - Enter Cases'!D300,"")</f>
        <v/>
      </c>
      <c r="F300" s="12" t="str">
        <f>IF($A300&lt;&gt;"",'All Cases - Enter Cases'!E300,"")</f>
        <v/>
      </c>
      <c r="G300" s="12" t="str">
        <f>IF($A300&lt;&gt;"",'All Cases - Enter Cases'!F300,"")</f>
        <v/>
      </c>
      <c r="H300" s="4" t="str">
        <f>IF($A300&lt;&gt;"",'All Cases - Enter Cases'!G300,"")</f>
        <v/>
      </c>
      <c r="I300" t="str">
        <f>IF($A300&lt;&gt;"",'All Cases - Enter Cases'!H300,"")</f>
        <v/>
      </c>
      <c r="J300" t="str">
        <f>IF($A300&lt;&gt;"",'All Cases - Enter Cases'!I300,"")</f>
        <v/>
      </c>
      <c r="K300" t="str">
        <f>IF($A300&lt;&gt;"",'All Cases - Enter Cases'!J300,"")</f>
        <v/>
      </c>
      <c r="L300" s="4" t="str">
        <f>IF($A300&lt;&gt;"",'All Cases - Enter Cases'!K300,"")</f>
        <v/>
      </c>
      <c r="M300" t="str">
        <f>IF($A300&lt;&gt;"",'All Cases - Enter Cases'!L300,"")</f>
        <v/>
      </c>
    </row>
    <row r="301" spans="1:13" x14ac:dyDescent="0.35">
      <c r="A301" s="4" t="str">
        <f>IF('All Cases - Enter Cases'!$K301="Approved",'All Cases - Enter Cases'!A301,"")</f>
        <v/>
      </c>
      <c r="B301" s="4" t="str">
        <f>IF($N301&lt;&gt;"",$N301,IF($A301&lt;&gt;"",'All Cases - Enter Cases'!$L301+7,""))</f>
        <v/>
      </c>
      <c r="C301" t="str">
        <f>IF($A301&lt;&gt;"",'All Cases - Enter Cases'!B301,"")</f>
        <v/>
      </c>
      <c r="D301" t="str">
        <f>IF($A301&lt;&gt;"",'All Cases - Enter Cases'!C301,"")</f>
        <v/>
      </c>
      <c r="E301" t="str">
        <f>IF($A301&lt;&gt;"",'All Cases - Enter Cases'!D301,"")</f>
        <v/>
      </c>
      <c r="F301" s="12" t="str">
        <f>IF($A301&lt;&gt;"",'All Cases - Enter Cases'!E301,"")</f>
        <v/>
      </c>
      <c r="G301" s="12" t="str">
        <f>IF($A301&lt;&gt;"",'All Cases - Enter Cases'!F301,"")</f>
        <v/>
      </c>
      <c r="H301" s="4" t="str">
        <f>IF($A301&lt;&gt;"",'All Cases - Enter Cases'!G301,"")</f>
        <v/>
      </c>
      <c r="I301" t="str">
        <f>IF($A301&lt;&gt;"",'All Cases - Enter Cases'!H301,"")</f>
        <v/>
      </c>
      <c r="J301" t="str">
        <f>IF($A301&lt;&gt;"",'All Cases - Enter Cases'!I301,"")</f>
        <v/>
      </c>
      <c r="K301" t="str">
        <f>IF($A301&lt;&gt;"",'All Cases - Enter Cases'!J301,"")</f>
        <v/>
      </c>
      <c r="L301" s="4" t="str">
        <f>IF($A301&lt;&gt;"",'All Cases - Enter Cases'!K301,"")</f>
        <v/>
      </c>
      <c r="M301" t="str">
        <f>IF($A301&lt;&gt;"",'All Cases - Enter Cases'!L301,"")</f>
        <v/>
      </c>
    </row>
    <row r="302" spans="1:13" x14ac:dyDescent="0.35">
      <c r="A302" s="4" t="str">
        <f>IF('All Cases - Enter Cases'!$K302="Approved",'All Cases - Enter Cases'!A302,"")</f>
        <v/>
      </c>
      <c r="B302" s="4" t="str">
        <f>IF($N302&lt;&gt;"",$N302,IF($A302&lt;&gt;"",'All Cases - Enter Cases'!$L302+7,""))</f>
        <v/>
      </c>
      <c r="C302" t="str">
        <f>IF($A302&lt;&gt;"",'All Cases - Enter Cases'!B302,"")</f>
        <v/>
      </c>
      <c r="D302" t="str">
        <f>IF($A302&lt;&gt;"",'All Cases - Enter Cases'!C302,"")</f>
        <v/>
      </c>
      <c r="E302" t="str">
        <f>IF($A302&lt;&gt;"",'All Cases - Enter Cases'!D302,"")</f>
        <v/>
      </c>
      <c r="F302" s="12" t="str">
        <f>IF($A302&lt;&gt;"",'All Cases - Enter Cases'!E302,"")</f>
        <v/>
      </c>
      <c r="G302" s="12" t="str">
        <f>IF($A302&lt;&gt;"",'All Cases - Enter Cases'!F302,"")</f>
        <v/>
      </c>
      <c r="H302" s="4" t="str">
        <f>IF($A302&lt;&gt;"",'All Cases - Enter Cases'!G302,"")</f>
        <v/>
      </c>
      <c r="I302" t="str">
        <f>IF($A302&lt;&gt;"",'All Cases - Enter Cases'!H302,"")</f>
        <v/>
      </c>
      <c r="J302" t="str">
        <f>IF($A302&lt;&gt;"",'All Cases - Enter Cases'!I302,"")</f>
        <v/>
      </c>
      <c r="K302" t="str">
        <f>IF($A302&lt;&gt;"",'All Cases - Enter Cases'!J302,"")</f>
        <v/>
      </c>
      <c r="L302" s="4" t="str">
        <f>IF($A302&lt;&gt;"",'All Cases - Enter Cases'!K302,"")</f>
        <v/>
      </c>
      <c r="M302" t="str">
        <f>IF($A302&lt;&gt;"",'All Cases - Enter Cases'!L302,"")</f>
        <v/>
      </c>
    </row>
    <row r="303" spans="1:13" x14ac:dyDescent="0.35">
      <c r="A303" s="4" t="str">
        <f>IF('All Cases - Enter Cases'!$K303="Approved",'All Cases - Enter Cases'!A303,"")</f>
        <v/>
      </c>
      <c r="B303" s="4" t="str">
        <f>IF($N303&lt;&gt;"",$N303,IF($A303&lt;&gt;"",'All Cases - Enter Cases'!$L303+7,""))</f>
        <v/>
      </c>
      <c r="C303" t="str">
        <f>IF($A303&lt;&gt;"",'All Cases - Enter Cases'!B303,"")</f>
        <v/>
      </c>
      <c r="D303" t="str">
        <f>IF($A303&lt;&gt;"",'All Cases - Enter Cases'!C303,"")</f>
        <v/>
      </c>
      <c r="E303" t="str">
        <f>IF($A303&lt;&gt;"",'All Cases - Enter Cases'!D303,"")</f>
        <v/>
      </c>
      <c r="F303" s="12" t="str">
        <f>IF($A303&lt;&gt;"",'All Cases - Enter Cases'!E303,"")</f>
        <v/>
      </c>
      <c r="G303" s="12" t="str">
        <f>IF($A303&lt;&gt;"",'All Cases - Enter Cases'!F303,"")</f>
        <v/>
      </c>
      <c r="H303" s="4" t="str">
        <f>IF($A303&lt;&gt;"",'All Cases - Enter Cases'!G303,"")</f>
        <v/>
      </c>
      <c r="I303" t="str">
        <f>IF($A303&lt;&gt;"",'All Cases - Enter Cases'!H303,"")</f>
        <v/>
      </c>
      <c r="J303" t="str">
        <f>IF($A303&lt;&gt;"",'All Cases - Enter Cases'!I303,"")</f>
        <v/>
      </c>
      <c r="K303" t="str">
        <f>IF($A303&lt;&gt;"",'All Cases - Enter Cases'!J303,"")</f>
        <v/>
      </c>
      <c r="L303" s="4" t="str">
        <f>IF($A303&lt;&gt;"",'All Cases - Enter Cases'!K303,"")</f>
        <v/>
      </c>
      <c r="M303" t="str">
        <f>IF($A303&lt;&gt;"",'All Cases - Enter Cases'!L303,"")</f>
        <v/>
      </c>
    </row>
    <row r="304" spans="1:13" x14ac:dyDescent="0.35">
      <c r="A304" s="4" t="str">
        <f>IF('All Cases - Enter Cases'!$K304="Approved",'All Cases - Enter Cases'!A304,"")</f>
        <v/>
      </c>
      <c r="B304" s="4" t="str">
        <f>IF($N304&lt;&gt;"",$N304,IF($A304&lt;&gt;"",'All Cases - Enter Cases'!$L304+7,""))</f>
        <v/>
      </c>
      <c r="C304" t="str">
        <f>IF($A304&lt;&gt;"",'All Cases - Enter Cases'!B304,"")</f>
        <v/>
      </c>
      <c r="D304" t="str">
        <f>IF($A304&lt;&gt;"",'All Cases - Enter Cases'!C304,"")</f>
        <v/>
      </c>
      <c r="E304" t="str">
        <f>IF($A304&lt;&gt;"",'All Cases - Enter Cases'!D304,"")</f>
        <v/>
      </c>
      <c r="F304" s="12" t="str">
        <f>IF($A304&lt;&gt;"",'All Cases - Enter Cases'!E304,"")</f>
        <v/>
      </c>
      <c r="G304" s="12" t="str">
        <f>IF($A304&lt;&gt;"",'All Cases - Enter Cases'!F304,"")</f>
        <v/>
      </c>
      <c r="H304" s="4" t="str">
        <f>IF($A304&lt;&gt;"",'All Cases - Enter Cases'!G304,"")</f>
        <v/>
      </c>
      <c r="I304" t="str">
        <f>IF($A304&lt;&gt;"",'All Cases - Enter Cases'!H304,"")</f>
        <v/>
      </c>
      <c r="J304" t="str">
        <f>IF($A304&lt;&gt;"",'All Cases - Enter Cases'!I304,"")</f>
        <v/>
      </c>
      <c r="K304" t="str">
        <f>IF($A304&lt;&gt;"",'All Cases - Enter Cases'!J304,"")</f>
        <v/>
      </c>
      <c r="L304" s="4" t="str">
        <f>IF($A304&lt;&gt;"",'All Cases - Enter Cases'!K304,"")</f>
        <v/>
      </c>
      <c r="M304" t="str">
        <f>IF($A304&lt;&gt;"",'All Cases - Enter Cases'!L304,"")</f>
        <v/>
      </c>
    </row>
    <row r="305" spans="1:13" x14ac:dyDescent="0.35">
      <c r="A305" s="4" t="str">
        <f>IF('All Cases - Enter Cases'!$K305="Approved",'All Cases - Enter Cases'!A305,"")</f>
        <v/>
      </c>
      <c r="B305" s="4" t="str">
        <f>IF($N305&lt;&gt;"",$N305,IF($A305&lt;&gt;"",'All Cases - Enter Cases'!$L305+7,""))</f>
        <v/>
      </c>
      <c r="C305" t="str">
        <f>IF($A305&lt;&gt;"",'All Cases - Enter Cases'!B305,"")</f>
        <v/>
      </c>
      <c r="D305" t="str">
        <f>IF($A305&lt;&gt;"",'All Cases - Enter Cases'!C305,"")</f>
        <v/>
      </c>
      <c r="E305" t="str">
        <f>IF($A305&lt;&gt;"",'All Cases - Enter Cases'!D305,"")</f>
        <v/>
      </c>
      <c r="F305" s="12" t="str">
        <f>IF($A305&lt;&gt;"",'All Cases - Enter Cases'!E305,"")</f>
        <v/>
      </c>
      <c r="G305" s="12" t="str">
        <f>IF($A305&lt;&gt;"",'All Cases - Enter Cases'!F305,"")</f>
        <v/>
      </c>
      <c r="H305" s="4" t="str">
        <f>IF($A305&lt;&gt;"",'All Cases - Enter Cases'!G305,"")</f>
        <v/>
      </c>
      <c r="I305" t="str">
        <f>IF($A305&lt;&gt;"",'All Cases - Enter Cases'!H305,"")</f>
        <v/>
      </c>
      <c r="J305" t="str">
        <f>IF($A305&lt;&gt;"",'All Cases - Enter Cases'!I305,"")</f>
        <v/>
      </c>
      <c r="K305" t="str">
        <f>IF($A305&lt;&gt;"",'All Cases - Enter Cases'!J305,"")</f>
        <v/>
      </c>
      <c r="L305" s="4" t="str">
        <f>IF($A305&lt;&gt;"",'All Cases - Enter Cases'!K305,"")</f>
        <v/>
      </c>
      <c r="M305" t="str">
        <f>IF($A305&lt;&gt;"",'All Cases - Enter Cases'!L305,"")</f>
        <v/>
      </c>
    </row>
    <row r="306" spans="1:13" x14ac:dyDescent="0.35">
      <c r="A306" s="4" t="str">
        <f>IF('All Cases - Enter Cases'!$K306="Approved",'All Cases - Enter Cases'!A306,"")</f>
        <v/>
      </c>
      <c r="B306" s="4" t="str">
        <f>IF($N306&lt;&gt;"",$N306,IF($A306&lt;&gt;"",'All Cases - Enter Cases'!$L306+7,""))</f>
        <v/>
      </c>
      <c r="C306" t="str">
        <f>IF($A306&lt;&gt;"",'All Cases - Enter Cases'!B306,"")</f>
        <v/>
      </c>
      <c r="D306" t="str">
        <f>IF($A306&lt;&gt;"",'All Cases - Enter Cases'!C306,"")</f>
        <v/>
      </c>
      <c r="E306" t="str">
        <f>IF($A306&lt;&gt;"",'All Cases - Enter Cases'!D306,"")</f>
        <v/>
      </c>
      <c r="F306" s="12" t="str">
        <f>IF($A306&lt;&gt;"",'All Cases - Enter Cases'!E306,"")</f>
        <v/>
      </c>
      <c r="G306" s="12" t="str">
        <f>IF($A306&lt;&gt;"",'All Cases - Enter Cases'!F306,"")</f>
        <v/>
      </c>
      <c r="H306" s="4" t="str">
        <f>IF($A306&lt;&gt;"",'All Cases - Enter Cases'!G306,"")</f>
        <v/>
      </c>
      <c r="I306" t="str">
        <f>IF($A306&lt;&gt;"",'All Cases - Enter Cases'!H306,"")</f>
        <v/>
      </c>
      <c r="J306" t="str">
        <f>IF($A306&lt;&gt;"",'All Cases - Enter Cases'!I306,"")</f>
        <v/>
      </c>
      <c r="K306" t="str">
        <f>IF($A306&lt;&gt;"",'All Cases - Enter Cases'!J306,"")</f>
        <v/>
      </c>
      <c r="L306" s="4" t="str">
        <f>IF($A306&lt;&gt;"",'All Cases - Enter Cases'!K306,"")</f>
        <v/>
      </c>
      <c r="M306" t="str">
        <f>IF($A306&lt;&gt;"",'All Cases - Enter Cases'!L306,"")</f>
        <v/>
      </c>
    </row>
    <row r="307" spans="1:13" x14ac:dyDescent="0.35">
      <c r="A307" s="4" t="str">
        <f>IF('All Cases - Enter Cases'!$K307="Approved",'All Cases - Enter Cases'!A307,"")</f>
        <v/>
      </c>
      <c r="B307" s="4" t="str">
        <f>IF($N307&lt;&gt;"",$N307,IF($A307&lt;&gt;"",'All Cases - Enter Cases'!$L307+7,""))</f>
        <v/>
      </c>
      <c r="C307" t="str">
        <f>IF($A307&lt;&gt;"",'All Cases - Enter Cases'!B307,"")</f>
        <v/>
      </c>
      <c r="D307" t="str">
        <f>IF($A307&lt;&gt;"",'All Cases - Enter Cases'!C307,"")</f>
        <v/>
      </c>
      <c r="E307" t="str">
        <f>IF($A307&lt;&gt;"",'All Cases - Enter Cases'!D307,"")</f>
        <v/>
      </c>
      <c r="F307" s="12" t="str">
        <f>IF($A307&lt;&gt;"",'All Cases - Enter Cases'!E307,"")</f>
        <v/>
      </c>
      <c r="G307" s="12" t="str">
        <f>IF($A307&lt;&gt;"",'All Cases - Enter Cases'!F307,"")</f>
        <v/>
      </c>
      <c r="H307" s="4" t="str">
        <f>IF($A307&lt;&gt;"",'All Cases - Enter Cases'!G307,"")</f>
        <v/>
      </c>
      <c r="I307" t="str">
        <f>IF($A307&lt;&gt;"",'All Cases - Enter Cases'!H307,"")</f>
        <v/>
      </c>
      <c r="J307" t="str">
        <f>IF($A307&lt;&gt;"",'All Cases - Enter Cases'!I307,"")</f>
        <v/>
      </c>
      <c r="K307" t="str">
        <f>IF($A307&lt;&gt;"",'All Cases - Enter Cases'!J307,"")</f>
        <v/>
      </c>
      <c r="L307" s="4" t="str">
        <f>IF($A307&lt;&gt;"",'All Cases - Enter Cases'!K307,"")</f>
        <v/>
      </c>
      <c r="M307" t="str">
        <f>IF($A307&lt;&gt;"",'All Cases - Enter Cases'!L307,"")</f>
        <v/>
      </c>
    </row>
    <row r="308" spans="1:13" x14ac:dyDescent="0.35">
      <c r="A308" s="4" t="str">
        <f>IF('All Cases - Enter Cases'!$K308="Approved",'All Cases - Enter Cases'!A308,"")</f>
        <v/>
      </c>
      <c r="B308" s="4" t="str">
        <f>IF($N308&lt;&gt;"",$N308,IF($A308&lt;&gt;"",'All Cases - Enter Cases'!$L308+7,""))</f>
        <v/>
      </c>
      <c r="C308" t="str">
        <f>IF($A308&lt;&gt;"",'All Cases - Enter Cases'!B308,"")</f>
        <v/>
      </c>
      <c r="D308" t="str">
        <f>IF($A308&lt;&gt;"",'All Cases - Enter Cases'!C308,"")</f>
        <v/>
      </c>
      <c r="E308" t="str">
        <f>IF($A308&lt;&gt;"",'All Cases - Enter Cases'!D308,"")</f>
        <v/>
      </c>
      <c r="F308" s="12" t="str">
        <f>IF($A308&lt;&gt;"",'All Cases - Enter Cases'!E308,"")</f>
        <v/>
      </c>
      <c r="G308" s="12" t="str">
        <f>IF($A308&lt;&gt;"",'All Cases - Enter Cases'!F308,"")</f>
        <v/>
      </c>
      <c r="H308" s="4" t="str">
        <f>IF($A308&lt;&gt;"",'All Cases - Enter Cases'!G308,"")</f>
        <v/>
      </c>
      <c r="I308" t="str">
        <f>IF($A308&lt;&gt;"",'All Cases - Enter Cases'!H308,"")</f>
        <v/>
      </c>
      <c r="J308" t="str">
        <f>IF($A308&lt;&gt;"",'All Cases - Enter Cases'!I308,"")</f>
        <v/>
      </c>
      <c r="K308" t="str">
        <f>IF($A308&lt;&gt;"",'All Cases - Enter Cases'!J308,"")</f>
        <v/>
      </c>
      <c r="L308" s="4" t="str">
        <f>IF($A308&lt;&gt;"",'All Cases - Enter Cases'!K308,"")</f>
        <v/>
      </c>
      <c r="M308" t="str">
        <f>IF($A308&lt;&gt;"",'All Cases - Enter Cases'!L308,"")</f>
        <v/>
      </c>
    </row>
    <row r="309" spans="1:13" x14ac:dyDescent="0.35">
      <c r="A309" s="4" t="str">
        <f>IF('All Cases - Enter Cases'!$K309="Approved",'All Cases - Enter Cases'!A309,"")</f>
        <v/>
      </c>
      <c r="B309" s="4" t="str">
        <f>IF($N309&lt;&gt;"",$N309,IF($A309&lt;&gt;"",'All Cases - Enter Cases'!$L309+7,""))</f>
        <v/>
      </c>
      <c r="C309" t="str">
        <f>IF($A309&lt;&gt;"",'All Cases - Enter Cases'!B309,"")</f>
        <v/>
      </c>
      <c r="D309" t="str">
        <f>IF($A309&lt;&gt;"",'All Cases - Enter Cases'!C309,"")</f>
        <v/>
      </c>
      <c r="E309" t="str">
        <f>IF($A309&lt;&gt;"",'All Cases - Enter Cases'!D309,"")</f>
        <v/>
      </c>
      <c r="F309" s="12" t="str">
        <f>IF($A309&lt;&gt;"",'All Cases - Enter Cases'!E309,"")</f>
        <v/>
      </c>
      <c r="G309" s="12" t="str">
        <f>IF($A309&lt;&gt;"",'All Cases - Enter Cases'!F309,"")</f>
        <v/>
      </c>
      <c r="H309" s="4" t="str">
        <f>IF($A309&lt;&gt;"",'All Cases - Enter Cases'!G309,"")</f>
        <v/>
      </c>
      <c r="I309" t="str">
        <f>IF($A309&lt;&gt;"",'All Cases - Enter Cases'!H309,"")</f>
        <v/>
      </c>
      <c r="J309" t="str">
        <f>IF($A309&lt;&gt;"",'All Cases - Enter Cases'!I309,"")</f>
        <v/>
      </c>
      <c r="K309" t="str">
        <f>IF($A309&lt;&gt;"",'All Cases - Enter Cases'!J309,"")</f>
        <v/>
      </c>
      <c r="L309" s="4" t="str">
        <f>IF($A309&lt;&gt;"",'All Cases - Enter Cases'!K309,"")</f>
        <v/>
      </c>
      <c r="M309" t="str">
        <f>IF($A309&lt;&gt;"",'All Cases - Enter Cases'!L309,"")</f>
        <v/>
      </c>
    </row>
    <row r="310" spans="1:13" x14ac:dyDescent="0.35">
      <c r="A310" s="4" t="str">
        <f>IF('All Cases - Enter Cases'!$K310="Approved",'All Cases - Enter Cases'!A310,"")</f>
        <v/>
      </c>
      <c r="B310" s="4" t="str">
        <f>IF($N310&lt;&gt;"",$N310,IF($A310&lt;&gt;"",'All Cases - Enter Cases'!$L310+7,""))</f>
        <v/>
      </c>
      <c r="C310" t="str">
        <f>IF($A310&lt;&gt;"",'All Cases - Enter Cases'!B310,"")</f>
        <v/>
      </c>
      <c r="D310" t="str">
        <f>IF($A310&lt;&gt;"",'All Cases - Enter Cases'!C310,"")</f>
        <v/>
      </c>
      <c r="E310" t="str">
        <f>IF($A310&lt;&gt;"",'All Cases - Enter Cases'!D310,"")</f>
        <v/>
      </c>
      <c r="F310" s="12" t="str">
        <f>IF($A310&lt;&gt;"",'All Cases - Enter Cases'!E310,"")</f>
        <v/>
      </c>
      <c r="G310" s="12" t="str">
        <f>IF($A310&lt;&gt;"",'All Cases - Enter Cases'!F310,"")</f>
        <v/>
      </c>
      <c r="H310" s="4" t="str">
        <f>IF($A310&lt;&gt;"",'All Cases - Enter Cases'!G310,"")</f>
        <v/>
      </c>
      <c r="I310" t="str">
        <f>IF($A310&lt;&gt;"",'All Cases - Enter Cases'!H310,"")</f>
        <v/>
      </c>
      <c r="J310" t="str">
        <f>IF($A310&lt;&gt;"",'All Cases - Enter Cases'!I310,"")</f>
        <v/>
      </c>
      <c r="K310" t="str">
        <f>IF($A310&lt;&gt;"",'All Cases - Enter Cases'!J310,"")</f>
        <v/>
      </c>
      <c r="L310" s="4" t="str">
        <f>IF($A310&lt;&gt;"",'All Cases - Enter Cases'!K310,"")</f>
        <v/>
      </c>
      <c r="M310" t="str">
        <f>IF($A310&lt;&gt;"",'All Cases - Enter Cases'!L310,"")</f>
        <v/>
      </c>
    </row>
    <row r="311" spans="1:13" x14ac:dyDescent="0.35">
      <c r="A311" s="4" t="str">
        <f>IF('All Cases - Enter Cases'!$K311="Approved",'All Cases - Enter Cases'!A311,"")</f>
        <v/>
      </c>
      <c r="B311" s="4" t="str">
        <f>IF($N311&lt;&gt;"",$N311,IF($A311&lt;&gt;"",'All Cases - Enter Cases'!$L311+7,""))</f>
        <v/>
      </c>
      <c r="C311" t="str">
        <f>IF($A311&lt;&gt;"",'All Cases - Enter Cases'!B311,"")</f>
        <v/>
      </c>
      <c r="D311" t="str">
        <f>IF($A311&lt;&gt;"",'All Cases - Enter Cases'!C311,"")</f>
        <v/>
      </c>
      <c r="E311" t="str">
        <f>IF($A311&lt;&gt;"",'All Cases - Enter Cases'!D311,"")</f>
        <v/>
      </c>
      <c r="F311" s="12" t="str">
        <f>IF($A311&lt;&gt;"",'All Cases - Enter Cases'!E311,"")</f>
        <v/>
      </c>
      <c r="G311" s="12" t="str">
        <f>IF($A311&lt;&gt;"",'All Cases - Enter Cases'!F311,"")</f>
        <v/>
      </c>
      <c r="H311" s="4" t="str">
        <f>IF($A311&lt;&gt;"",'All Cases - Enter Cases'!G311,"")</f>
        <v/>
      </c>
      <c r="I311" t="str">
        <f>IF($A311&lt;&gt;"",'All Cases - Enter Cases'!H311,"")</f>
        <v/>
      </c>
      <c r="J311" t="str">
        <f>IF($A311&lt;&gt;"",'All Cases - Enter Cases'!I311,"")</f>
        <v/>
      </c>
      <c r="K311" t="str">
        <f>IF($A311&lt;&gt;"",'All Cases - Enter Cases'!J311,"")</f>
        <v/>
      </c>
      <c r="L311" s="4" t="str">
        <f>IF($A311&lt;&gt;"",'All Cases - Enter Cases'!K311,"")</f>
        <v/>
      </c>
      <c r="M311" t="str">
        <f>IF($A311&lt;&gt;"",'All Cases - Enter Cases'!L311,"")</f>
        <v/>
      </c>
    </row>
    <row r="312" spans="1:13" x14ac:dyDescent="0.35">
      <c r="A312" s="4" t="str">
        <f>IF('All Cases - Enter Cases'!$K312="Approved",'All Cases - Enter Cases'!A312,"")</f>
        <v/>
      </c>
      <c r="B312" s="4" t="str">
        <f>IF($N312&lt;&gt;"",$N312,IF($A312&lt;&gt;"",'All Cases - Enter Cases'!$L312+7,""))</f>
        <v/>
      </c>
      <c r="C312" t="str">
        <f>IF($A312&lt;&gt;"",'All Cases - Enter Cases'!B312,"")</f>
        <v/>
      </c>
      <c r="D312" t="str">
        <f>IF($A312&lt;&gt;"",'All Cases - Enter Cases'!C312,"")</f>
        <v/>
      </c>
      <c r="E312" t="str">
        <f>IF($A312&lt;&gt;"",'All Cases - Enter Cases'!D312,"")</f>
        <v/>
      </c>
      <c r="F312" s="12" t="str">
        <f>IF($A312&lt;&gt;"",'All Cases - Enter Cases'!E312,"")</f>
        <v/>
      </c>
      <c r="G312" s="12" t="str">
        <f>IF($A312&lt;&gt;"",'All Cases - Enter Cases'!F312,"")</f>
        <v/>
      </c>
      <c r="H312" s="4" t="str">
        <f>IF($A312&lt;&gt;"",'All Cases - Enter Cases'!G312,"")</f>
        <v/>
      </c>
      <c r="I312" t="str">
        <f>IF($A312&lt;&gt;"",'All Cases - Enter Cases'!H312,"")</f>
        <v/>
      </c>
      <c r="J312" t="str">
        <f>IF($A312&lt;&gt;"",'All Cases - Enter Cases'!I312,"")</f>
        <v/>
      </c>
      <c r="K312" t="str">
        <f>IF($A312&lt;&gt;"",'All Cases - Enter Cases'!J312,"")</f>
        <v/>
      </c>
      <c r="L312" s="4" t="str">
        <f>IF($A312&lt;&gt;"",'All Cases - Enter Cases'!K312,"")</f>
        <v/>
      </c>
      <c r="M312" t="str">
        <f>IF($A312&lt;&gt;"",'All Cases - Enter Cases'!L312,"")</f>
        <v/>
      </c>
    </row>
    <row r="313" spans="1:13" x14ac:dyDescent="0.35">
      <c r="A313" s="4" t="str">
        <f>IF('All Cases - Enter Cases'!$K313="Approved",'All Cases - Enter Cases'!A313,"")</f>
        <v/>
      </c>
      <c r="B313" s="4" t="str">
        <f>IF($N313&lt;&gt;"",$N313,IF($A313&lt;&gt;"",'All Cases - Enter Cases'!$L313+7,""))</f>
        <v/>
      </c>
      <c r="C313" t="str">
        <f>IF($A313&lt;&gt;"",'All Cases - Enter Cases'!B313,"")</f>
        <v/>
      </c>
      <c r="D313" t="str">
        <f>IF($A313&lt;&gt;"",'All Cases - Enter Cases'!C313,"")</f>
        <v/>
      </c>
      <c r="E313" t="str">
        <f>IF($A313&lt;&gt;"",'All Cases - Enter Cases'!D313,"")</f>
        <v/>
      </c>
      <c r="F313" s="12" t="str">
        <f>IF($A313&lt;&gt;"",'All Cases - Enter Cases'!E313,"")</f>
        <v/>
      </c>
      <c r="G313" s="12" t="str">
        <f>IF($A313&lt;&gt;"",'All Cases - Enter Cases'!F313,"")</f>
        <v/>
      </c>
      <c r="H313" s="4" t="str">
        <f>IF($A313&lt;&gt;"",'All Cases - Enter Cases'!G313,"")</f>
        <v/>
      </c>
      <c r="I313" t="str">
        <f>IF($A313&lt;&gt;"",'All Cases - Enter Cases'!H313,"")</f>
        <v/>
      </c>
      <c r="J313" t="str">
        <f>IF($A313&lt;&gt;"",'All Cases - Enter Cases'!I313,"")</f>
        <v/>
      </c>
      <c r="K313" t="str">
        <f>IF($A313&lt;&gt;"",'All Cases - Enter Cases'!J313,"")</f>
        <v/>
      </c>
      <c r="L313" s="4" t="str">
        <f>IF($A313&lt;&gt;"",'All Cases - Enter Cases'!K313,"")</f>
        <v/>
      </c>
      <c r="M313" t="str">
        <f>IF($A313&lt;&gt;"",'All Cases - Enter Cases'!L313,"")</f>
        <v/>
      </c>
    </row>
    <row r="314" spans="1:13" x14ac:dyDescent="0.35">
      <c r="A314" s="4" t="str">
        <f>IF('All Cases - Enter Cases'!$K314="Approved",'All Cases - Enter Cases'!A314,"")</f>
        <v/>
      </c>
      <c r="B314" s="4" t="str">
        <f>IF($N314&lt;&gt;"",$N314,IF($A314&lt;&gt;"",'All Cases - Enter Cases'!$L314+7,""))</f>
        <v/>
      </c>
      <c r="C314" t="str">
        <f>IF($A314&lt;&gt;"",'All Cases - Enter Cases'!B314,"")</f>
        <v/>
      </c>
      <c r="D314" t="str">
        <f>IF($A314&lt;&gt;"",'All Cases - Enter Cases'!C314,"")</f>
        <v/>
      </c>
      <c r="E314" t="str">
        <f>IF($A314&lt;&gt;"",'All Cases - Enter Cases'!D314,"")</f>
        <v/>
      </c>
      <c r="F314" s="12" t="str">
        <f>IF($A314&lt;&gt;"",'All Cases - Enter Cases'!E314,"")</f>
        <v/>
      </c>
      <c r="G314" s="12" t="str">
        <f>IF($A314&lt;&gt;"",'All Cases - Enter Cases'!F314,"")</f>
        <v/>
      </c>
      <c r="H314" s="4" t="str">
        <f>IF($A314&lt;&gt;"",'All Cases - Enter Cases'!G314,"")</f>
        <v/>
      </c>
      <c r="I314" t="str">
        <f>IF($A314&lt;&gt;"",'All Cases - Enter Cases'!H314,"")</f>
        <v/>
      </c>
      <c r="J314" t="str">
        <f>IF($A314&lt;&gt;"",'All Cases - Enter Cases'!I314,"")</f>
        <v/>
      </c>
      <c r="K314" t="str">
        <f>IF($A314&lt;&gt;"",'All Cases - Enter Cases'!J314,"")</f>
        <v/>
      </c>
      <c r="L314" s="4" t="str">
        <f>IF($A314&lt;&gt;"",'All Cases - Enter Cases'!K314,"")</f>
        <v/>
      </c>
      <c r="M314" t="str">
        <f>IF($A314&lt;&gt;"",'All Cases - Enter Cases'!L314,"")</f>
        <v/>
      </c>
    </row>
    <row r="315" spans="1:13" x14ac:dyDescent="0.35">
      <c r="A315" s="4" t="str">
        <f>IF('All Cases - Enter Cases'!$K315="Approved",'All Cases - Enter Cases'!A315,"")</f>
        <v/>
      </c>
      <c r="B315" s="4" t="str">
        <f>IF($N315&lt;&gt;"",$N315,IF($A315&lt;&gt;"",'All Cases - Enter Cases'!$L315+7,""))</f>
        <v/>
      </c>
      <c r="C315" t="str">
        <f>IF($A315&lt;&gt;"",'All Cases - Enter Cases'!B315,"")</f>
        <v/>
      </c>
      <c r="D315" t="str">
        <f>IF($A315&lt;&gt;"",'All Cases - Enter Cases'!C315,"")</f>
        <v/>
      </c>
      <c r="E315" t="str">
        <f>IF($A315&lt;&gt;"",'All Cases - Enter Cases'!D315,"")</f>
        <v/>
      </c>
      <c r="F315" s="12" t="str">
        <f>IF($A315&lt;&gt;"",'All Cases - Enter Cases'!E315,"")</f>
        <v/>
      </c>
      <c r="G315" s="12" t="str">
        <f>IF($A315&lt;&gt;"",'All Cases - Enter Cases'!F315,"")</f>
        <v/>
      </c>
      <c r="H315" s="4" t="str">
        <f>IF($A315&lt;&gt;"",'All Cases - Enter Cases'!G315,"")</f>
        <v/>
      </c>
      <c r="I315" t="str">
        <f>IF($A315&lt;&gt;"",'All Cases - Enter Cases'!H315,"")</f>
        <v/>
      </c>
      <c r="J315" t="str">
        <f>IF($A315&lt;&gt;"",'All Cases - Enter Cases'!I315,"")</f>
        <v/>
      </c>
      <c r="K315" t="str">
        <f>IF($A315&lt;&gt;"",'All Cases - Enter Cases'!J315,"")</f>
        <v/>
      </c>
      <c r="L315" s="4" t="str">
        <f>IF($A315&lt;&gt;"",'All Cases - Enter Cases'!K315,"")</f>
        <v/>
      </c>
      <c r="M315" t="str">
        <f>IF($A315&lt;&gt;"",'All Cases - Enter Cases'!L315,"")</f>
        <v/>
      </c>
    </row>
    <row r="316" spans="1:13" x14ac:dyDescent="0.35">
      <c r="A316" s="4" t="str">
        <f>IF('All Cases - Enter Cases'!$K316="Approved",'All Cases - Enter Cases'!A316,"")</f>
        <v/>
      </c>
      <c r="B316" s="4" t="str">
        <f>IF($N316&lt;&gt;"",$N316,IF($A316&lt;&gt;"",'All Cases - Enter Cases'!$L316+7,""))</f>
        <v/>
      </c>
      <c r="C316" t="str">
        <f>IF($A316&lt;&gt;"",'All Cases - Enter Cases'!B316,"")</f>
        <v/>
      </c>
      <c r="D316" t="str">
        <f>IF($A316&lt;&gt;"",'All Cases - Enter Cases'!C316,"")</f>
        <v/>
      </c>
      <c r="E316" t="str">
        <f>IF($A316&lt;&gt;"",'All Cases - Enter Cases'!D316,"")</f>
        <v/>
      </c>
      <c r="F316" s="12" t="str">
        <f>IF($A316&lt;&gt;"",'All Cases - Enter Cases'!E316,"")</f>
        <v/>
      </c>
      <c r="G316" s="12" t="str">
        <f>IF($A316&lt;&gt;"",'All Cases - Enter Cases'!F316,"")</f>
        <v/>
      </c>
      <c r="H316" s="4" t="str">
        <f>IF($A316&lt;&gt;"",'All Cases - Enter Cases'!G316,"")</f>
        <v/>
      </c>
      <c r="I316" t="str">
        <f>IF($A316&lt;&gt;"",'All Cases - Enter Cases'!H316,"")</f>
        <v/>
      </c>
      <c r="J316" t="str">
        <f>IF($A316&lt;&gt;"",'All Cases - Enter Cases'!I316,"")</f>
        <v/>
      </c>
      <c r="K316" t="str">
        <f>IF($A316&lt;&gt;"",'All Cases - Enter Cases'!J316,"")</f>
        <v/>
      </c>
      <c r="L316" s="4" t="str">
        <f>IF($A316&lt;&gt;"",'All Cases - Enter Cases'!K316,"")</f>
        <v/>
      </c>
      <c r="M316" t="str">
        <f>IF($A316&lt;&gt;"",'All Cases - Enter Cases'!L316,"")</f>
        <v/>
      </c>
    </row>
    <row r="317" spans="1:13" x14ac:dyDescent="0.35">
      <c r="A317" s="4" t="str">
        <f>IF('All Cases - Enter Cases'!$K317="Approved",'All Cases - Enter Cases'!A317,"")</f>
        <v/>
      </c>
      <c r="B317" s="4" t="str">
        <f>IF($N317&lt;&gt;"",$N317,IF($A317&lt;&gt;"",'All Cases - Enter Cases'!$L317+7,""))</f>
        <v/>
      </c>
      <c r="C317" t="str">
        <f>IF($A317&lt;&gt;"",'All Cases - Enter Cases'!B317,"")</f>
        <v/>
      </c>
      <c r="D317" t="str">
        <f>IF($A317&lt;&gt;"",'All Cases - Enter Cases'!C317,"")</f>
        <v/>
      </c>
      <c r="E317" t="str">
        <f>IF($A317&lt;&gt;"",'All Cases - Enter Cases'!D317,"")</f>
        <v/>
      </c>
      <c r="F317" s="12" t="str">
        <f>IF($A317&lt;&gt;"",'All Cases - Enter Cases'!E317,"")</f>
        <v/>
      </c>
      <c r="G317" s="12" t="str">
        <f>IF($A317&lt;&gt;"",'All Cases - Enter Cases'!F317,"")</f>
        <v/>
      </c>
      <c r="H317" s="4" t="str">
        <f>IF($A317&lt;&gt;"",'All Cases - Enter Cases'!G317,"")</f>
        <v/>
      </c>
      <c r="I317" t="str">
        <f>IF($A317&lt;&gt;"",'All Cases - Enter Cases'!H317,"")</f>
        <v/>
      </c>
      <c r="J317" t="str">
        <f>IF($A317&lt;&gt;"",'All Cases - Enter Cases'!I317,"")</f>
        <v/>
      </c>
      <c r="K317" t="str">
        <f>IF($A317&lt;&gt;"",'All Cases - Enter Cases'!J317,"")</f>
        <v/>
      </c>
      <c r="L317" s="4" t="str">
        <f>IF($A317&lt;&gt;"",'All Cases - Enter Cases'!K317,"")</f>
        <v/>
      </c>
      <c r="M317" t="str">
        <f>IF($A317&lt;&gt;"",'All Cases - Enter Cases'!L317,"")</f>
        <v/>
      </c>
    </row>
    <row r="318" spans="1:13" x14ac:dyDescent="0.35">
      <c r="A318" s="4" t="str">
        <f>IF('All Cases - Enter Cases'!$K318="Approved",'All Cases - Enter Cases'!A318,"")</f>
        <v/>
      </c>
      <c r="B318" s="4" t="str">
        <f>IF($N318&lt;&gt;"",$N318,IF($A318&lt;&gt;"",'All Cases - Enter Cases'!$L318+7,""))</f>
        <v/>
      </c>
      <c r="C318" t="str">
        <f>IF($A318&lt;&gt;"",'All Cases - Enter Cases'!B318,"")</f>
        <v/>
      </c>
      <c r="D318" t="str">
        <f>IF($A318&lt;&gt;"",'All Cases - Enter Cases'!C318,"")</f>
        <v/>
      </c>
      <c r="E318" t="str">
        <f>IF($A318&lt;&gt;"",'All Cases - Enter Cases'!D318,"")</f>
        <v/>
      </c>
      <c r="F318" s="12" t="str">
        <f>IF($A318&lt;&gt;"",'All Cases - Enter Cases'!E318,"")</f>
        <v/>
      </c>
      <c r="G318" s="12" t="str">
        <f>IF($A318&lt;&gt;"",'All Cases - Enter Cases'!F318,"")</f>
        <v/>
      </c>
      <c r="H318" s="4" t="str">
        <f>IF($A318&lt;&gt;"",'All Cases - Enter Cases'!G318,"")</f>
        <v/>
      </c>
      <c r="I318" t="str">
        <f>IF($A318&lt;&gt;"",'All Cases - Enter Cases'!H318,"")</f>
        <v/>
      </c>
      <c r="J318" t="str">
        <f>IF($A318&lt;&gt;"",'All Cases - Enter Cases'!I318,"")</f>
        <v/>
      </c>
      <c r="K318" t="str">
        <f>IF($A318&lt;&gt;"",'All Cases - Enter Cases'!J318,"")</f>
        <v/>
      </c>
      <c r="L318" s="4" t="str">
        <f>IF($A318&lt;&gt;"",'All Cases - Enter Cases'!K318,"")</f>
        <v/>
      </c>
      <c r="M318" t="str">
        <f>IF($A318&lt;&gt;"",'All Cases - Enter Cases'!L318,"")</f>
        <v/>
      </c>
    </row>
    <row r="319" spans="1:13" x14ac:dyDescent="0.35">
      <c r="A319" s="4" t="str">
        <f>IF('All Cases - Enter Cases'!$K319="Approved",'All Cases - Enter Cases'!A319,"")</f>
        <v/>
      </c>
      <c r="B319" s="4" t="str">
        <f>IF($N319&lt;&gt;"",$N319,IF($A319&lt;&gt;"",'All Cases - Enter Cases'!$L319+7,""))</f>
        <v/>
      </c>
      <c r="C319" t="str">
        <f>IF($A319&lt;&gt;"",'All Cases - Enter Cases'!B319,"")</f>
        <v/>
      </c>
      <c r="D319" t="str">
        <f>IF($A319&lt;&gt;"",'All Cases - Enter Cases'!C319,"")</f>
        <v/>
      </c>
      <c r="E319" t="str">
        <f>IF($A319&lt;&gt;"",'All Cases - Enter Cases'!D319,"")</f>
        <v/>
      </c>
      <c r="F319" s="12" t="str">
        <f>IF($A319&lt;&gt;"",'All Cases - Enter Cases'!E319,"")</f>
        <v/>
      </c>
      <c r="G319" s="12" t="str">
        <f>IF($A319&lt;&gt;"",'All Cases - Enter Cases'!F319,"")</f>
        <v/>
      </c>
      <c r="H319" s="4" t="str">
        <f>IF($A319&lt;&gt;"",'All Cases - Enter Cases'!G319,"")</f>
        <v/>
      </c>
      <c r="I319" t="str">
        <f>IF($A319&lt;&gt;"",'All Cases - Enter Cases'!H319,"")</f>
        <v/>
      </c>
      <c r="J319" t="str">
        <f>IF($A319&lt;&gt;"",'All Cases - Enter Cases'!I319,"")</f>
        <v/>
      </c>
      <c r="K319" t="str">
        <f>IF($A319&lt;&gt;"",'All Cases - Enter Cases'!J319,"")</f>
        <v/>
      </c>
      <c r="L319" s="4" t="str">
        <f>IF($A319&lt;&gt;"",'All Cases - Enter Cases'!K319,"")</f>
        <v/>
      </c>
      <c r="M319" t="str">
        <f>IF($A319&lt;&gt;"",'All Cases - Enter Cases'!L319,"")</f>
        <v/>
      </c>
    </row>
    <row r="320" spans="1:13" x14ac:dyDescent="0.35">
      <c r="A320" s="4" t="str">
        <f>IF('All Cases - Enter Cases'!$K320="Approved",'All Cases - Enter Cases'!A320,"")</f>
        <v/>
      </c>
      <c r="B320" s="4" t="str">
        <f>IF($N320&lt;&gt;"",$N320,IF($A320&lt;&gt;"",'All Cases - Enter Cases'!$L320+7,""))</f>
        <v/>
      </c>
      <c r="C320" t="str">
        <f>IF($A320&lt;&gt;"",'All Cases - Enter Cases'!B320,"")</f>
        <v/>
      </c>
      <c r="D320" t="str">
        <f>IF($A320&lt;&gt;"",'All Cases - Enter Cases'!C320,"")</f>
        <v/>
      </c>
      <c r="E320" t="str">
        <f>IF($A320&lt;&gt;"",'All Cases - Enter Cases'!D320,"")</f>
        <v/>
      </c>
      <c r="F320" s="12" t="str">
        <f>IF($A320&lt;&gt;"",'All Cases - Enter Cases'!E320,"")</f>
        <v/>
      </c>
      <c r="G320" s="12" t="str">
        <f>IF($A320&lt;&gt;"",'All Cases - Enter Cases'!F320,"")</f>
        <v/>
      </c>
      <c r="H320" s="4" t="str">
        <f>IF($A320&lt;&gt;"",'All Cases - Enter Cases'!G320,"")</f>
        <v/>
      </c>
      <c r="I320" t="str">
        <f>IF($A320&lt;&gt;"",'All Cases - Enter Cases'!H320,"")</f>
        <v/>
      </c>
      <c r="J320" t="str">
        <f>IF($A320&lt;&gt;"",'All Cases - Enter Cases'!I320,"")</f>
        <v/>
      </c>
      <c r="K320" t="str">
        <f>IF($A320&lt;&gt;"",'All Cases - Enter Cases'!J320,"")</f>
        <v/>
      </c>
      <c r="L320" s="4" t="str">
        <f>IF($A320&lt;&gt;"",'All Cases - Enter Cases'!K320,"")</f>
        <v/>
      </c>
      <c r="M320" t="str">
        <f>IF($A320&lt;&gt;"",'All Cases - Enter Cases'!L320,"")</f>
        <v/>
      </c>
    </row>
    <row r="321" spans="1:13" x14ac:dyDescent="0.35">
      <c r="A321" s="4" t="str">
        <f>IF('All Cases - Enter Cases'!$K321="Approved",'All Cases - Enter Cases'!A321,"")</f>
        <v/>
      </c>
      <c r="B321" s="4" t="str">
        <f>IF($N321&lt;&gt;"",$N321,IF($A321&lt;&gt;"",'All Cases - Enter Cases'!$L321+7,""))</f>
        <v/>
      </c>
      <c r="C321" t="str">
        <f>IF($A321&lt;&gt;"",'All Cases - Enter Cases'!B321,"")</f>
        <v/>
      </c>
      <c r="D321" t="str">
        <f>IF($A321&lt;&gt;"",'All Cases - Enter Cases'!C321,"")</f>
        <v/>
      </c>
      <c r="E321" t="str">
        <f>IF($A321&lt;&gt;"",'All Cases - Enter Cases'!D321,"")</f>
        <v/>
      </c>
      <c r="F321" s="12" t="str">
        <f>IF($A321&lt;&gt;"",'All Cases - Enter Cases'!E321,"")</f>
        <v/>
      </c>
      <c r="G321" s="12" t="str">
        <f>IF($A321&lt;&gt;"",'All Cases - Enter Cases'!F321,"")</f>
        <v/>
      </c>
      <c r="H321" s="4" t="str">
        <f>IF($A321&lt;&gt;"",'All Cases - Enter Cases'!G321,"")</f>
        <v/>
      </c>
      <c r="I321" t="str">
        <f>IF($A321&lt;&gt;"",'All Cases - Enter Cases'!H321,"")</f>
        <v/>
      </c>
      <c r="J321" t="str">
        <f>IF($A321&lt;&gt;"",'All Cases - Enter Cases'!I321,"")</f>
        <v/>
      </c>
      <c r="K321" t="str">
        <f>IF($A321&lt;&gt;"",'All Cases - Enter Cases'!J321,"")</f>
        <v/>
      </c>
      <c r="L321" s="4" t="str">
        <f>IF($A321&lt;&gt;"",'All Cases - Enter Cases'!K321,"")</f>
        <v/>
      </c>
      <c r="M321" t="str">
        <f>IF($A321&lt;&gt;"",'All Cases - Enter Cases'!L321,"")</f>
        <v/>
      </c>
    </row>
    <row r="322" spans="1:13" x14ac:dyDescent="0.35">
      <c r="A322" s="4" t="str">
        <f>IF('All Cases - Enter Cases'!$K322="Approved",'All Cases - Enter Cases'!A322,"")</f>
        <v/>
      </c>
      <c r="B322" s="4" t="str">
        <f>IF($N322&lt;&gt;"",$N322,IF($A322&lt;&gt;"",'All Cases - Enter Cases'!$L322+7,""))</f>
        <v/>
      </c>
      <c r="C322" t="str">
        <f>IF($A322&lt;&gt;"",'All Cases - Enter Cases'!B322,"")</f>
        <v/>
      </c>
      <c r="D322" t="str">
        <f>IF($A322&lt;&gt;"",'All Cases - Enter Cases'!C322,"")</f>
        <v/>
      </c>
      <c r="E322" t="str">
        <f>IF($A322&lt;&gt;"",'All Cases - Enter Cases'!D322,"")</f>
        <v/>
      </c>
      <c r="F322" s="12" t="str">
        <f>IF($A322&lt;&gt;"",'All Cases - Enter Cases'!E322,"")</f>
        <v/>
      </c>
      <c r="G322" s="12" t="str">
        <f>IF($A322&lt;&gt;"",'All Cases - Enter Cases'!F322,"")</f>
        <v/>
      </c>
      <c r="H322" s="4" t="str">
        <f>IF($A322&lt;&gt;"",'All Cases - Enter Cases'!G322,"")</f>
        <v/>
      </c>
      <c r="I322" t="str">
        <f>IF($A322&lt;&gt;"",'All Cases - Enter Cases'!H322,"")</f>
        <v/>
      </c>
      <c r="J322" t="str">
        <f>IF($A322&lt;&gt;"",'All Cases - Enter Cases'!I322,"")</f>
        <v/>
      </c>
      <c r="K322" t="str">
        <f>IF($A322&lt;&gt;"",'All Cases - Enter Cases'!J322,"")</f>
        <v/>
      </c>
      <c r="L322" s="4" t="str">
        <f>IF($A322&lt;&gt;"",'All Cases - Enter Cases'!K322,"")</f>
        <v/>
      </c>
      <c r="M322" t="str">
        <f>IF($A322&lt;&gt;"",'All Cases - Enter Cases'!L322,"")</f>
        <v/>
      </c>
    </row>
    <row r="323" spans="1:13" x14ac:dyDescent="0.35">
      <c r="A323" s="4" t="str">
        <f>IF('All Cases - Enter Cases'!$K323="Approved",'All Cases - Enter Cases'!A323,"")</f>
        <v/>
      </c>
      <c r="B323" s="4" t="str">
        <f>IF($N323&lt;&gt;"",$N323,IF($A323&lt;&gt;"",'All Cases - Enter Cases'!$L323+7,""))</f>
        <v/>
      </c>
      <c r="C323" t="str">
        <f>IF($A323&lt;&gt;"",'All Cases - Enter Cases'!B323,"")</f>
        <v/>
      </c>
      <c r="D323" t="str">
        <f>IF($A323&lt;&gt;"",'All Cases - Enter Cases'!C323,"")</f>
        <v/>
      </c>
      <c r="E323" t="str">
        <f>IF($A323&lt;&gt;"",'All Cases - Enter Cases'!D323,"")</f>
        <v/>
      </c>
      <c r="F323" s="12" t="str">
        <f>IF($A323&lt;&gt;"",'All Cases - Enter Cases'!E323,"")</f>
        <v/>
      </c>
      <c r="G323" s="12" t="str">
        <f>IF($A323&lt;&gt;"",'All Cases - Enter Cases'!F323,"")</f>
        <v/>
      </c>
      <c r="H323" s="4" t="str">
        <f>IF($A323&lt;&gt;"",'All Cases - Enter Cases'!G323,"")</f>
        <v/>
      </c>
      <c r="I323" t="str">
        <f>IF($A323&lt;&gt;"",'All Cases - Enter Cases'!H323,"")</f>
        <v/>
      </c>
      <c r="J323" t="str">
        <f>IF($A323&lt;&gt;"",'All Cases - Enter Cases'!I323,"")</f>
        <v/>
      </c>
      <c r="K323" t="str">
        <f>IF($A323&lt;&gt;"",'All Cases - Enter Cases'!J323,"")</f>
        <v/>
      </c>
      <c r="L323" s="4" t="str">
        <f>IF($A323&lt;&gt;"",'All Cases - Enter Cases'!K323,"")</f>
        <v/>
      </c>
      <c r="M323" t="str">
        <f>IF($A323&lt;&gt;"",'All Cases - Enter Cases'!L323,"")</f>
        <v/>
      </c>
    </row>
    <row r="324" spans="1:13" x14ac:dyDescent="0.35">
      <c r="A324" s="4" t="str">
        <f>IF('All Cases - Enter Cases'!$K324="Approved",'All Cases - Enter Cases'!A324,"")</f>
        <v/>
      </c>
      <c r="B324" s="4" t="str">
        <f>IF($N324&lt;&gt;"",$N324,IF($A324&lt;&gt;"",'All Cases - Enter Cases'!$L324+7,""))</f>
        <v/>
      </c>
      <c r="C324" t="str">
        <f>IF($A324&lt;&gt;"",'All Cases - Enter Cases'!B324,"")</f>
        <v/>
      </c>
      <c r="D324" t="str">
        <f>IF($A324&lt;&gt;"",'All Cases - Enter Cases'!C324,"")</f>
        <v/>
      </c>
      <c r="E324" t="str">
        <f>IF($A324&lt;&gt;"",'All Cases - Enter Cases'!D324,"")</f>
        <v/>
      </c>
      <c r="F324" s="12" t="str">
        <f>IF($A324&lt;&gt;"",'All Cases - Enter Cases'!E324,"")</f>
        <v/>
      </c>
      <c r="G324" s="12" t="str">
        <f>IF($A324&lt;&gt;"",'All Cases - Enter Cases'!F324,"")</f>
        <v/>
      </c>
      <c r="H324" s="4" t="str">
        <f>IF($A324&lt;&gt;"",'All Cases - Enter Cases'!G324,"")</f>
        <v/>
      </c>
      <c r="I324" t="str">
        <f>IF($A324&lt;&gt;"",'All Cases - Enter Cases'!H324,"")</f>
        <v/>
      </c>
      <c r="J324" t="str">
        <f>IF($A324&lt;&gt;"",'All Cases - Enter Cases'!I324,"")</f>
        <v/>
      </c>
      <c r="K324" t="str">
        <f>IF($A324&lt;&gt;"",'All Cases - Enter Cases'!J324,"")</f>
        <v/>
      </c>
      <c r="L324" s="4" t="str">
        <f>IF($A324&lt;&gt;"",'All Cases - Enter Cases'!K324,"")</f>
        <v/>
      </c>
      <c r="M324" t="str">
        <f>IF($A324&lt;&gt;"",'All Cases - Enter Cases'!L324,"")</f>
        <v/>
      </c>
    </row>
    <row r="325" spans="1:13" x14ac:dyDescent="0.35">
      <c r="A325" s="4" t="str">
        <f>IF('All Cases - Enter Cases'!$K325="Approved",'All Cases - Enter Cases'!A325,"")</f>
        <v/>
      </c>
      <c r="B325" s="4" t="str">
        <f>IF($N325&lt;&gt;"",$N325,IF($A325&lt;&gt;"",'All Cases - Enter Cases'!$L325+7,""))</f>
        <v/>
      </c>
      <c r="C325" t="str">
        <f>IF($A325&lt;&gt;"",'All Cases - Enter Cases'!B325,"")</f>
        <v/>
      </c>
      <c r="D325" t="str">
        <f>IF($A325&lt;&gt;"",'All Cases - Enter Cases'!C325,"")</f>
        <v/>
      </c>
      <c r="E325" t="str">
        <f>IF($A325&lt;&gt;"",'All Cases - Enter Cases'!D325,"")</f>
        <v/>
      </c>
      <c r="F325" s="12" t="str">
        <f>IF($A325&lt;&gt;"",'All Cases - Enter Cases'!E325,"")</f>
        <v/>
      </c>
      <c r="G325" s="12" t="str">
        <f>IF($A325&lt;&gt;"",'All Cases - Enter Cases'!F325,"")</f>
        <v/>
      </c>
      <c r="H325" s="4" t="str">
        <f>IF($A325&lt;&gt;"",'All Cases - Enter Cases'!G325,"")</f>
        <v/>
      </c>
      <c r="I325" t="str">
        <f>IF($A325&lt;&gt;"",'All Cases - Enter Cases'!H325,"")</f>
        <v/>
      </c>
      <c r="J325" t="str">
        <f>IF($A325&lt;&gt;"",'All Cases - Enter Cases'!I325,"")</f>
        <v/>
      </c>
      <c r="K325" t="str">
        <f>IF($A325&lt;&gt;"",'All Cases - Enter Cases'!J325,"")</f>
        <v/>
      </c>
      <c r="L325" s="4" t="str">
        <f>IF($A325&lt;&gt;"",'All Cases - Enter Cases'!K325,"")</f>
        <v/>
      </c>
      <c r="M325" t="str">
        <f>IF($A325&lt;&gt;"",'All Cases - Enter Cases'!L325,"")</f>
        <v/>
      </c>
    </row>
    <row r="326" spans="1:13" x14ac:dyDescent="0.35">
      <c r="A326" s="4" t="str">
        <f>IF('All Cases - Enter Cases'!$K326="Approved",'All Cases - Enter Cases'!A326,"")</f>
        <v/>
      </c>
      <c r="B326" s="4" t="str">
        <f>IF($N326&lt;&gt;"",$N326,IF($A326&lt;&gt;"",'All Cases - Enter Cases'!$L326+7,""))</f>
        <v/>
      </c>
      <c r="C326" t="str">
        <f>IF($A326&lt;&gt;"",'All Cases - Enter Cases'!B326,"")</f>
        <v/>
      </c>
      <c r="D326" t="str">
        <f>IF($A326&lt;&gt;"",'All Cases - Enter Cases'!C326,"")</f>
        <v/>
      </c>
      <c r="E326" t="str">
        <f>IF($A326&lt;&gt;"",'All Cases - Enter Cases'!D326,"")</f>
        <v/>
      </c>
      <c r="F326" s="12" t="str">
        <f>IF($A326&lt;&gt;"",'All Cases - Enter Cases'!E326,"")</f>
        <v/>
      </c>
      <c r="G326" s="12" t="str">
        <f>IF($A326&lt;&gt;"",'All Cases - Enter Cases'!F326,"")</f>
        <v/>
      </c>
      <c r="H326" s="4" t="str">
        <f>IF($A326&lt;&gt;"",'All Cases - Enter Cases'!G326,"")</f>
        <v/>
      </c>
      <c r="I326" t="str">
        <f>IF($A326&lt;&gt;"",'All Cases - Enter Cases'!H326,"")</f>
        <v/>
      </c>
      <c r="J326" t="str">
        <f>IF($A326&lt;&gt;"",'All Cases - Enter Cases'!I326,"")</f>
        <v/>
      </c>
      <c r="K326" t="str">
        <f>IF($A326&lt;&gt;"",'All Cases - Enter Cases'!J326,"")</f>
        <v/>
      </c>
      <c r="L326" s="4" t="str">
        <f>IF($A326&lt;&gt;"",'All Cases - Enter Cases'!K326,"")</f>
        <v/>
      </c>
      <c r="M326" t="str">
        <f>IF($A326&lt;&gt;"",'All Cases - Enter Cases'!L326,"")</f>
        <v/>
      </c>
    </row>
    <row r="327" spans="1:13" x14ac:dyDescent="0.35">
      <c r="A327" s="4" t="str">
        <f>IF('All Cases - Enter Cases'!$K327="Approved",'All Cases - Enter Cases'!A327,"")</f>
        <v/>
      </c>
      <c r="B327" s="4" t="str">
        <f>IF($N327&lt;&gt;"",$N327,IF($A327&lt;&gt;"",'All Cases - Enter Cases'!$L327+7,""))</f>
        <v/>
      </c>
      <c r="C327" t="str">
        <f>IF($A327&lt;&gt;"",'All Cases - Enter Cases'!B327,"")</f>
        <v/>
      </c>
      <c r="D327" t="str">
        <f>IF($A327&lt;&gt;"",'All Cases - Enter Cases'!C327,"")</f>
        <v/>
      </c>
      <c r="E327" t="str">
        <f>IF($A327&lt;&gt;"",'All Cases - Enter Cases'!D327,"")</f>
        <v/>
      </c>
      <c r="F327" s="12" t="str">
        <f>IF($A327&lt;&gt;"",'All Cases - Enter Cases'!E327,"")</f>
        <v/>
      </c>
      <c r="G327" s="12" t="str">
        <f>IF($A327&lt;&gt;"",'All Cases - Enter Cases'!F327,"")</f>
        <v/>
      </c>
      <c r="H327" s="4" t="str">
        <f>IF($A327&lt;&gt;"",'All Cases - Enter Cases'!G327,"")</f>
        <v/>
      </c>
      <c r="I327" t="str">
        <f>IF($A327&lt;&gt;"",'All Cases - Enter Cases'!H327,"")</f>
        <v/>
      </c>
      <c r="J327" t="str">
        <f>IF($A327&lt;&gt;"",'All Cases - Enter Cases'!I327,"")</f>
        <v/>
      </c>
      <c r="K327" t="str">
        <f>IF($A327&lt;&gt;"",'All Cases - Enter Cases'!J327,"")</f>
        <v/>
      </c>
      <c r="L327" s="4" t="str">
        <f>IF($A327&lt;&gt;"",'All Cases - Enter Cases'!K327,"")</f>
        <v/>
      </c>
      <c r="M327" t="str">
        <f>IF($A327&lt;&gt;"",'All Cases - Enter Cases'!L327,"")</f>
        <v/>
      </c>
    </row>
    <row r="328" spans="1:13" x14ac:dyDescent="0.35">
      <c r="A328" s="4" t="str">
        <f>IF('All Cases - Enter Cases'!$K328="Approved",'All Cases - Enter Cases'!A328,"")</f>
        <v/>
      </c>
      <c r="B328" s="4" t="str">
        <f>IF($N328&lt;&gt;"",$N328,IF($A328&lt;&gt;"",'All Cases - Enter Cases'!$L328+7,""))</f>
        <v/>
      </c>
      <c r="C328" t="str">
        <f>IF($A328&lt;&gt;"",'All Cases - Enter Cases'!B328,"")</f>
        <v/>
      </c>
      <c r="D328" t="str">
        <f>IF($A328&lt;&gt;"",'All Cases - Enter Cases'!C328,"")</f>
        <v/>
      </c>
      <c r="E328" t="str">
        <f>IF($A328&lt;&gt;"",'All Cases - Enter Cases'!D328,"")</f>
        <v/>
      </c>
      <c r="F328" s="12" t="str">
        <f>IF($A328&lt;&gt;"",'All Cases - Enter Cases'!E328,"")</f>
        <v/>
      </c>
      <c r="G328" s="12" t="str">
        <f>IF($A328&lt;&gt;"",'All Cases - Enter Cases'!F328,"")</f>
        <v/>
      </c>
      <c r="H328" s="4" t="str">
        <f>IF($A328&lt;&gt;"",'All Cases - Enter Cases'!G328,"")</f>
        <v/>
      </c>
      <c r="I328" t="str">
        <f>IF($A328&lt;&gt;"",'All Cases - Enter Cases'!H328,"")</f>
        <v/>
      </c>
      <c r="J328" t="str">
        <f>IF($A328&lt;&gt;"",'All Cases - Enter Cases'!I328,"")</f>
        <v/>
      </c>
      <c r="K328" t="str">
        <f>IF($A328&lt;&gt;"",'All Cases - Enter Cases'!J328,"")</f>
        <v/>
      </c>
      <c r="L328" s="4" t="str">
        <f>IF($A328&lt;&gt;"",'All Cases - Enter Cases'!K328,"")</f>
        <v/>
      </c>
      <c r="M328" t="str">
        <f>IF($A328&lt;&gt;"",'All Cases - Enter Cases'!L328,"")</f>
        <v/>
      </c>
    </row>
    <row r="329" spans="1:13" x14ac:dyDescent="0.35">
      <c r="A329" s="4" t="str">
        <f>IF('All Cases - Enter Cases'!$K329="Approved",'All Cases - Enter Cases'!A329,"")</f>
        <v/>
      </c>
      <c r="B329" s="4" t="str">
        <f>IF($N329&lt;&gt;"",$N329,IF($A329&lt;&gt;"",'All Cases - Enter Cases'!$L329+7,""))</f>
        <v/>
      </c>
      <c r="C329" t="str">
        <f>IF($A329&lt;&gt;"",'All Cases - Enter Cases'!B329,"")</f>
        <v/>
      </c>
      <c r="D329" t="str">
        <f>IF($A329&lt;&gt;"",'All Cases - Enter Cases'!C329,"")</f>
        <v/>
      </c>
      <c r="E329" t="str">
        <f>IF($A329&lt;&gt;"",'All Cases - Enter Cases'!D329,"")</f>
        <v/>
      </c>
      <c r="F329" s="12" t="str">
        <f>IF($A329&lt;&gt;"",'All Cases - Enter Cases'!E329,"")</f>
        <v/>
      </c>
      <c r="G329" s="12" t="str">
        <f>IF($A329&lt;&gt;"",'All Cases - Enter Cases'!F329,"")</f>
        <v/>
      </c>
      <c r="H329" s="4" t="str">
        <f>IF($A329&lt;&gt;"",'All Cases - Enter Cases'!G329,"")</f>
        <v/>
      </c>
      <c r="I329" t="str">
        <f>IF($A329&lt;&gt;"",'All Cases - Enter Cases'!H329,"")</f>
        <v/>
      </c>
      <c r="J329" t="str">
        <f>IF($A329&lt;&gt;"",'All Cases - Enter Cases'!I329,"")</f>
        <v/>
      </c>
      <c r="K329" t="str">
        <f>IF($A329&lt;&gt;"",'All Cases - Enter Cases'!J329,"")</f>
        <v/>
      </c>
      <c r="L329" s="4" t="str">
        <f>IF($A329&lt;&gt;"",'All Cases - Enter Cases'!K329,"")</f>
        <v/>
      </c>
      <c r="M329" t="str">
        <f>IF($A329&lt;&gt;"",'All Cases - Enter Cases'!L329,"")</f>
        <v/>
      </c>
    </row>
    <row r="330" spans="1:13" x14ac:dyDescent="0.35">
      <c r="A330" s="4" t="str">
        <f>IF('All Cases - Enter Cases'!$K330="Approved",'All Cases - Enter Cases'!A330,"")</f>
        <v/>
      </c>
      <c r="B330" s="4" t="str">
        <f>IF($N330&lt;&gt;"",$N330,IF($A330&lt;&gt;"",'All Cases - Enter Cases'!$L330+7,""))</f>
        <v/>
      </c>
      <c r="C330" t="str">
        <f>IF($A330&lt;&gt;"",'All Cases - Enter Cases'!B330,"")</f>
        <v/>
      </c>
      <c r="D330" t="str">
        <f>IF($A330&lt;&gt;"",'All Cases - Enter Cases'!C330,"")</f>
        <v/>
      </c>
      <c r="E330" t="str">
        <f>IF($A330&lt;&gt;"",'All Cases - Enter Cases'!D330,"")</f>
        <v/>
      </c>
      <c r="F330" s="12" t="str">
        <f>IF($A330&lt;&gt;"",'All Cases - Enter Cases'!E330,"")</f>
        <v/>
      </c>
      <c r="G330" s="12" t="str">
        <f>IF($A330&lt;&gt;"",'All Cases - Enter Cases'!F330,"")</f>
        <v/>
      </c>
      <c r="H330" s="4" t="str">
        <f>IF($A330&lt;&gt;"",'All Cases - Enter Cases'!G330,"")</f>
        <v/>
      </c>
      <c r="I330" t="str">
        <f>IF($A330&lt;&gt;"",'All Cases - Enter Cases'!H330,"")</f>
        <v/>
      </c>
      <c r="J330" t="str">
        <f>IF($A330&lt;&gt;"",'All Cases - Enter Cases'!I330,"")</f>
        <v/>
      </c>
      <c r="K330" t="str">
        <f>IF($A330&lt;&gt;"",'All Cases - Enter Cases'!J330,"")</f>
        <v/>
      </c>
      <c r="L330" s="4" t="str">
        <f>IF($A330&lt;&gt;"",'All Cases - Enter Cases'!K330,"")</f>
        <v/>
      </c>
      <c r="M330" t="str">
        <f>IF($A330&lt;&gt;"",'All Cases - Enter Cases'!L330,"")</f>
        <v/>
      </c>
    </row>
    <row r="331" spans="1:13" x14ac:dyDescent="0.35">
      <c r="A331" s="4" t="str">
        <f>IF('All Cases - Enter Cases'!$K331="Approved",'All Cases - Enter Cases'!A331,"")</f>
        <v/>
      </c>
      <c r="B331" s="4" t="str">
        <f>IF($N331&lt;&gt;"",$N331,IF($A331&lt;&gt;"",'All Cases - Enter Cases'!$L331+7,""))</f>
        <v/>
      </c>
      <c r="C331" t="str">
        <f>IF($A331&lt;&gt;"",'All Cases - Enter Cases'!B331,"")</f>
        <v/>
      </c>
      <c r="D331" t="str">
        <f>IF($A331&lt;&gt;"",'All Cases - Enter Cases'!C331,"")</f>
        <v/>
      </c>
      <c r="E331" t="str">
        <f>IF($A331&lt;&gt;"",'All Cases - Enter Cases'!D331,"")</f>
        <v/>
      </c>
      <c r="F331" s="12" t="str">
        <f>IF($A331&lt;&gt;"",'All Cases - Enter Cases'!E331,"")</f>
        <v/>
      </c>
      <c r="G331" s="12" t="str">
        <f>IF($A331&lt;&gt;"",'All Cases - Enter Cases'!F331,"")</f>
        <v/>
      </c>
      <c r="H331" s="4" t="str">
        <f>IF($A331&lt;&gt;"",'All Cases - Enter Cases'!G331,"")</f>
        <v/>
      </c>
      <c r="I331" t="str">
        <f>IF($A331&lt;&gt;"",'All Cases - Enter Cases'!H331,"")</f>
        <v/>
      </c>
      <c r="J331" t="str">
        <f>IF($A331&lt;&gt;"",'All Cases - Enter Cases'!I331,"")</f>
        <v/>
      </c>
      <c r="K331" t="str">
        <f>IF($A331&lt;&gt;"",'All Cases - Enter Cases'!J331,"")</f>
        <v/>
      </c>
      <c r="L331" s="4" t="str">
        <f>IF($A331&lt;&gt;"",'All Cases - Enter Cases'!K331,"")</f>
        <v/>
      </c>
      <c r="M331" t="str">
        <f>IF($A331&lt;&gt;"",'All Cases - Enter Cases'!L331,"")</f>
        <v/>
      </c>
    </row>
    <row r="332" spans="1:13" x14ac:dyDescent="0.35">
      <c r="A332" s="4" t="str">
        <f>IF('All Cases - Enter Cases'!$K332="Approved",'All Cases - Enter Cases'!A332,"")</f>
        <v/>
      </c>
      <c r="B332" s="4" t="str">
        <f>IF($N332&lt;&gt;"",$N332,IF($A332&lt;&gt;"",'All Cases - Enter Cases'!$L332+7,""))</f>
        <v/>
      </c>
      <c r="C332" t="str">
        <f>IF($A332&lt;&gt;"",'All Cases - Enter Cases'!B332,"")</f>
        <v/>
      </c>
      <c r="D332" t="str">
        <f>IF($A332&lt;&gt;"",'All Cases - Enter Cases'!C332,"")</f>
        <v/>
      </c>
      <c r="E332" t="str">
        <f>IF($A332&lt;&gt;"",'All Cases - Enter Cases'!D332,"")</f>
        <v/>
      </c>
      <c r="F332" s="12" t="str">
        <f>IF($A332&lt;&gt;"",'All Cases - Enter Cases'!E332,"")</f>
        <v/>
      </c>
      <c r="G332" s="12" t="str">
        <f>IF($A332&lt;&gt;"",'All Cases - Enter Cases'!F332,"")</f>
        <v/>
      </c>
      <c r="H332" s="4" t="str">
        <f>IF($A332&lt;&gt;"",'All Cases - Enter Cases'!G332,"")</f>
        <v/>
      </c>
      <c r="I332" t="str">
        <f>IF($A332&lt;&gt;"",'All Cases - Enter Cases'!H332,"")</f>
        <v/>
      </c>
      <c r="J332" t="str">
        <f>IF($A332&lt;&gt;"",'All Cases - Enter Cases'!I332,"")</f>
        <v/>
      </c>
      <c r="K332" t="str">
        <f>IF($A332&lt;&gt;"",'All Cases - Enter Cases'!J332,"")</f>
        <v/>
      </c>
      <c r="L332" s="4" t="str">
        <f>IF($A332&lt;&gt;"",'All Cases - Enter Cases'!K332,"")</f>
        <v/>
      </c>
      <c r="M332" t="str">
        <f>IF($A332&lt;&gt;"",'All Cases - Enter Cases'!L332,"")</f>
        <v/>
      </c>
    </row>
    <row r="333" spans="1:13" x14ac:dyDescent="0.35">
      <c r="A333" s="4" t="str">
        <f>IF('All Cases - Enter Cases'!$K333="Approved",'All Cases - Enter Cases'!A333,"")</f>
        <v/>
      </c>
      <c r="B333" s="4" t="str">
        <f>IF($N333&lt;&gt;"",$N333,IF($A333&lt;&gt;"",'All Cases - Enter Cases'!$L333+7,""))</f>
        <v/>
      </c>
      <c r="C333" t="str">
        <f>IF($A333&lt;&gt;"",'All Cases - Enter Cases'!B333,"")</f>
        <v/>
      </c>
      <c r="D333" t="str">
        <f>IF($A333&lt;&gt;"",'All Cases - Enter Cases'!C333,"")</f>
        <v/>
      </c>
      <c r="E333" t="str">
        <f>IF($A333&lt;&gt;"",'All Cases - Enter Cases'!D333,"")</f>
        <v/>
      </c>
      <c r="F333" s="12" t="str">
        <f>IF($A333&lt;&gt;"",'All Cases - Enter Cases'!E333,"")</f>
        <v/>
      </c>
      <c r="G333" s="12" t="str">
        <f>IF($A333&lt;&gt;"",'All Cases - Enter Cases'!F333,"")</f>
        <v/>
      </c>
      <c r="H333" s="4" t="str">
        <f>IF($A333&lt;&gt;"",'All Cases - Enter Cases'!G333,"")</f>
        <v/>
      </c>
      <c r="I333" t="str">
        <f>IF($A333&lt;&gt;"",'All Cases - Enter Cases'!H333,"")</f>
        <v/>
      </c>
      <c r="J333" t="str">
        <f>IF($A333&lt;&gt;"",'All Cases - Enter Cases'!I333,"")</f>
        <v/>
      </c>
      <c r="K333" t="str">
        <f>IF($A333&lt;&gt;"",'All Cases - Enter Cases'!J333,"")</f>
        <v/>
      </c>
      <c r="L333" s="4" t="str">
        <f>IF($A333&lt;&gt;"",'All Cases - Enter Cases'!K333,"")</f>
        <v/>
      </c>
      <c r="M333" t="str">
        <f>IF($A333&lt;&gt;"",'All Cases - Enter Cases'!L333,"")</f>
        <v/>
      </c>
    </row>
    <row r="334" spans="1:13" x14ac:dyDescent="0.35">
      <c r="A334" s="4" t="str">
        <f>IF('All Cases - Enter Cases'!$K334="Approved",'All Cases - Enter Cases'!A334,"")</f>
        <v/>
      </c>
      <c r="B334" s="4" t="str">
        <f>IF($N334&lt;&gt;"",$N334,IF($A334&lt;&gt;"",'All Cases - Enter Cases'!$L334+7,""))</f>
        <v/>
      </c>
      <c r="C334" t="str">
        <f>IF($A334&lt;&gt;"",'All Cases - Enter Cases'!B334,"")</f>
        <v/>
      </c>
      <c r="D334" t="str">
        <f>IF($A334&lt;&gt;"",'All Cases - Enter Cases'!C334,"")</f>
        <v/>
      </c>
      <c r="E334" t="str">
        <f>IF($A334&lt;&gt;"",'All Cases - Enter Cases'!D334,"")</f>
        <v/>
      </c>
      <c r="F334" s="12" t="str">
        <f>IF($A334&lt;&gt;"",'All Cases - Enter Cases'!E334,"")</f>
        <v/>
      </c>
      <c r="G334" s="12" t="str">
        <f>IF($A334&lt;&gt;"",'All Cases - Enter Cases'!F334,"")</f>
        <v/>
      </c>
      <c r="H334" s="4" t="str">
        <f>IF($A334&lt;&gt;"",'All Cases - Enter Cases'!G334,"")</f>
        <v/>
      </c>
      <c r="I334" t="str">
        <f>IF($A334&lt;&gt;"",'All Cases - Enter Cases'!H334,"")</f>
        <v/>
      </c>
      <c r="J334" t="str">
        <f>IF($A334&lt;&gt;"",'All Cases - Enter Cases'!I334,"")</f>
        <v/>
      </c>
      <c r="K334" t="str">
        <f>IF($A334&lt;&gt;"",'All Cases - Enter Cases'!J334,"")</f>
        <v/>
      </c>
      <c r="L334" s="4" t="str">
        <f>IF($A334&lt;&gt;"",'All Cases - Enter Cases'!K334,"")</f>
        <v/>
      </c>
      <c r="M334" t="str">
        <f>IF($A334&lt;&gt;"",'All Cases - Enter Cases'!L334,"")</f>
        <v/>
      </c>
    </row>
    <row r="335" spans="1:13" x14ac:dyDescent="0.35">
      <c r="A335" s="4" t="str">
        <f>IF('All Cases - Enter Cases'!$K335="Approved",'All Cases - Enter Cases'!A335,"")</f>
        <v/>
      </c>
      <c r="B335" s="4" t="str">
        <f>IF($N335&lt;&gt;"",$N335,IF($A335&lt;&gt;"",'All Cases - Enter Cases'!$L335+7,""))</f>
        <v/>
      </c>
      <c r="C335" t="str">
        <f>IF($A335&lt;&gt;"",'All Cases - Enter Cases'!B335,"")</f>
        <v/>
      </c>
      <c r="D335" t="str">
        <f>IF($A335&lt;&gt;"",'All Cases - Enter Cases'!C335,"")</f>
        <v/>
      </c>
      <c r="E335" t="str">
        <f>IF($A335&lt;&gt;"",'All Cases - Enter Cases'!D335,"")</f>
        <v/>
      </c>
      <c r="F335" s="12" t="str">
        <f>IF($A335&lt;&gt;"",'All Cases - Enter Cases'!E335,"")</f>
        <v/>
      </c>
      <c r="G335" s="12" t="str">
        <f>IF($A335&lt;&gt;"",'All Cases - Enter Cases'!F335,"")</f>
        <v/>
      </c>
      <c r="H335" s="4" t="str">
        <f>IF($A335&lt;&gt;"",'All Cases - Enter Cases'!G335,"")</f>
        <v/>
      </c>
      <c r="I335" t="str">
        <f>IF($A335&lt;&gt;"",'All Cases - Enter Cases'!H335,"")</f>
        <v/>
      </c>
      <c r="J335" t="str">
        <f>IF($A335&lt;&gt;"",'All Cases - Enter Cases'!I335,"")</f>
        <v/>
      </c>
      <c r="K335" t="str">
        <f>IF($A335&lt;&gt;"",'All Cases - Enter Cases'!J335,"")</f>
        <v/>
      </c>
      <c r="L335" s="4" t="str">
        <f>IF($A335&lt;&gt;"",'All Cases - Enter Cases'!K335,"")</f>
        <v/>
      </c>
      <c r="M335" t="str">
        <f>IF($A335&lt;&gt;"",'All Cases - Enter Cases'!L335,"")</f>
        <v/>
      </c>
    </row>
    <row r="336" spans="1:13" x14ac:dyDescent="0.35">
      <c r="A336" s="4" t="str">
        <f>IF('All Cases - Enter Cases'!$K336="Approved",'All Cases - Enter Cases'!A336,"")</f>
        <v/>
      </c>
      <c r="B336" s="4" t="str">
        <f>IF($N336&lt;&gt;"",$N336,IF($A336&lt;&gt;"",'All Cases - Enter Cases'!$L336+7,""))</f>
        <v/>
      </c>
      <c r="C336" t="str">
        <f>IF($A336&lt;&gt;"",'All Cases - Enter Cases'!B336,"")</f>
        <v/>
      </c>
      <c r="D336" t="str">
        <f>IF($A336&lt;&gt;"",'All Cases - Enter Cases'!C336,"")</f>
        <v/>
      </c>
      <c r="E336" t="str">
        <f>IF($A336&lt;&gt;"",'All Cases - Enter Cases'!D336,"")</f>
        <v/>
      </c>
      <c r="F336" s="12" t="str">
        <f>IF($A336&lt;&gt;"",'All Cases - Enter Cases'!E336,"")</f>
        <v/>
      </c>
      <c r="G336" s="12" t="str">
        <f>IF($A336&lt;&gt;"",'All Cases - Enter Cases'!F336,"")</f>
        <v/>
      </c>
      <c r="H336" s="4" t="str">
        <f>IF($A336&lt;&gt;"",'All Cases - Enter Cases'!G336,"")</f>
        <v/>
      </c>
      <c r="I336" t="str">
        <f>IF($A336&lt;&gt;"",'All Cases - Enter Cases'!H336,"")</f>
        <v/>
      </c>
      <c r="J336" t="str">
        <f>IF($A336&lt;&gt;"",'All Cases - Enter Cases'!I336,"")</f>
        <v/>
      </c>
      <c r="K336" t="str">
        <f>IF($A336&lt;&gt;"",'All Cases - Enter Cases'!J336,"")</f>
        <v/>
      </c>
      <c r="L336" s="4" t="str">
        <f>IF($A336&lt;&gt;"",'All Cases - Enter Cases'!K336,"")</f>
        <v/>
      </c>
      <c r="M336" t="str">
        <f>IF($A336&lt;&gt;"",'All Cases - Enter Cases'!L336,"")</f>
        <v/>
      </c>
    </row>
    <row r="337" spans="1:13" x14ac:dyDescent="0.35">
      <c r="A337" s="4" t="str">
        <f>IF('All Cases - Enter Cases'!$K337="Approved",'All Cases - Enter Cases'!A337,"")</f>
        <v/>
      </c>
      <c r="B337" s="4" t="str">
        <f>IF($N337&lt;&gt;"",$N337,IF($A337&lt;&gt;"",'All Cases - Enter Cases'!$L337+7,""))</f>
        <v/>
      </c>
      <c r="C337" t="str">
        <f>IF($A337&lt;&gt;"",'All Cases - Enter Cases'!B337,"")</f>
        <v/>
      </c>
      <c r="D337" t="str">
        <f>IF($A337&lt;&gt;"",'All Cases - Enter Cases'!C337,"")</f>
        <v/>
      </c>
      <c r="E337" t="str">
        <f>IF($A337&lt;&gt;"",'All Cases - Enter Cases'!D337,"")</f>
        <v/>
      </c>
      <c r="F337" s="12" t="str">
        <f>IF($A337&lt;&gt;"",'All Cases - Enter Cases'!E337,"")</f>
        <v/>
      </c>
      <c r="G337" s="12" t="str">
        <f>IF($A337&lt;&gt;"",'All Cases - Enter Cases'!F337,"")</f>
        <v/>
      </c>
      <c r="H337" s="4" t="str">
        <f>IF($A337&lt;&gt;"",'All Cases - Enter Cases'!G337,"")</f>
        <v/>
      </c>
      <c r="I337" t="str">
        <f>IF($A337&lt;&gt;"",'All Cases - Enter Cases'!H337,"")</f>
        <v/>
      </c>
      <c r="J337" t="str">
        <f>IF($A337&lt;&gt;"",'All Cases - Enter Cases'!I337,"")</f>
        <v/>
      </c>
      <c r="K337" t="str">
        <f>IF($A337&lt;&gt;"",'All Cases - Enter Cases'!J337,"")</f>
        <v/>
      </c>
      <c r="L337" s="4" t="str">
        <f>IF($A337&lt;&gt;"",'All Cases - Enter Cases'!K337,"")</f>
        <v/>
      </c>
      <c r="M337" t="str">
        <f>IF($A337&lt;&gt;"",'All Cases - Enter Cases'!L337,"")</f>
        <v/>
      </c>
    </row>
    <row r="338" spans="1:13" x14ac:dyDescent="0.35">
      <c r="A338" s="4" t="str">
        <f>IF('All Cases - Enter Cases'!$K338="Approved",'All Cases - Enter Cases'!A338,"")</f>
        <v/>
      </c>
      <c r="B338" s="4" t="str">
        <f>IF($N338&lt;&gt;"",$N338,IF($A338&lt;&gt;"",'All Cases - Enter Cases'!$L338+7,""))</f>
        <v/>
      </c>
      <c r="C338" t="str">
        <f>IF($A338&lt;&gt;"",'All Cases - Enter Cases'!B338,"")</f>
        <v/>
      </c>
      <c r="D338" t="str">
        <f>IF($A338&lt;&gt;"",'All Cases - Enter Cases'!C338,"")</f>
        <v/>
      </c>
      <c r="E338" t="str">
        <f>IF($A338&lt;&gt;"",'All Cases - Enter Cases'!D338,"")</f>
        <v/>
      </c>
      <c r="F338" s="12" t="str">
        <f>IF($A338&lt;&gt;"",'All Cases - Enter Cases'!E338,"")</f>
        <v/>
      </c>
      <c r="G338" s="12" t="str">
        <f>IF($A338&lt;&gt;"",'All Cases - Enter Cases'!F338,"")</f>
        <v/>
      </c>
      <c r="H338" s="4" t="str">
        <f>IF($A338&lt;&gt;"",'All Cases - Enter Cases'!G338,"")</f>
        <v/>
      </c>
      <c r="I338" t="str">
        <f>IF($A338&lt;&gt;"",'All Cases - Enter Cases'!H338,"")</f>
        <v/>
      </c>
      <c r="J338" t="str">
        <f>IF($A338&lt;&gt;"",'All Cases - Enter Cases'!I338,"")</f>
        <v/>
      </c>
      <c r="K338" t="str">
        <f>IF($A338&lt;&gt;"",'All Cases - Enter Cases'!J338,"")</f>
        <v/>
      </c>
      <c r="L338" s="4" t="str">
        <f>IF($A338&lt;&gt;"",'All Cases - Enter Cases'!K338,"")</f>
        <v/>
      </c>
      <c r="M338" t="str">
        <f>IF($A338&lt;&gt;"",'All Cases - Enter Cases'!L338,"")</f>
        <v/>
      </c>
    </row>
    <row r="339" spans="1:13" x14ac:dyDescent="0.35">
      <c r="A339" s="4" t="str">
        <f>IF('All Cases - Enter Cases'!$K339="Approved",'All Cases - Enter Cases'!A339,"")</f>
        <v/>
      </c>
      <c r="B339" s="4" t="str">
        <f>IF($N339&lt;&gt;"",$N339,IF($A339&lt;&gt;"",'All Cases - Enter Cases'!$L339+7,""))</f>
        <v/>
      </c>
      <c r="C339" t="str">
        <f>IF($A339&lt;&gt;"",'All Cases - Enter Cases'!B339,"")</f>
        <v/>
      </c>
      <c r="D339" t="str">
        <f>IF($A339&lt;&gt;"",'All Cases - Enter Cases'!C339,"")</f>
        <v/>
      </c>
      <c r="E339" t="str">
        <f>IF($A339&lt;&gt;"",'All Cases - Enter Cases'!D339,"")</f>
        <v/>
      </c>
      <c r="F339" s="12" t="str">
        <f>IF($A339&lt;&gt;"",'All Cases - Enter Cases'!E339,"")</f>
        <v/>
      </c>
      <c r="G339" s="12" t="str">
        <f>IF($A339&lt;&gt;"",'All Cases - Enter Cases'!F339,"")</f>
        <v/>
      </c>
      <c r="H339" s="4" t="str">
        <f>IF($A339&lt;&gt;"",'All Cases - Enter Cases'!G339,"")</f>
        <v/>
      </c>
      <c r="I339" t="str">
        <f>IF($A339&lt;&gt;"",'All Cases - Enter Cases'!H339,"")</f>
        <v/>
      </c>
      <c r="J339" t="str">
        <f>IF($A339&lt;&gt;"",'All Cases - Enter Cases'!I339,"")</f>
        <v/>
      </c>
      <c r="K339" t="str">
        <f>IF($A339&lt;&gt;"",'All Cases - Enter Cases'!J339,"")</f>
        <v/>
      </c>
      <c r="L339" s="4" t="str">
        <f>IF($A339&lt;&gt;"",'All Cases - Enter Cases'!K339,"")</f>
        <v/>
      </c>
      <c r="M339" t="str">
        <f>IF($A339&lt;&gt;"",'All Cases - Enter Cases'!L339,"")</f>
        <v/>
      </c>
    </row>
    <row r="340" spans="1:13" x14ac:dyDescent="0.35">
      <c r="A340" s="4" t="str">
        <f>IF('All Cases - Enter Cases'!$K340="Approved",'All Cases - Enter Cases'!A340,"")</f>
        <v/>
      </c>
      <c r="B340" s="4" t="str">
        <f>IF($N340&lt;&gt;"",$N340,IF($A340&lt;&gt;"",'All Cases - Enter Cases'!$L340+7,""))</f>
        <v/>
      </c>
      <c r="C340" t="str">
        <f>IF($A340&lt;&gt;"",'All Cases - Enter Cases'!B340,"")</f>
        <v/>
      </c>
      <c r="D340" t="str">
        <f>IF($A340&lt;&gt;"",'All Cases - Enter Cases'!C340,"")</f>
        <v/>
      </c>
      <c r="E340" t="str">
        <f>IF($A340&lt;&gt;"",'All Cases - Enter Cases'!D340,"")</f>
        <v/>
      </c>
      <c r="F340" s="12" t="str">
        <f>IF($A340&lt;&gt;"",'All Cases - Enter Cases'!E340,"")</f>
        <v/>
      </c>
      <c r="G340" s="12" t="str">
        <f>IF($A340&lt;&gt;"",'All Cases - Enter Cases'!F340,"")</f>
        <v/>
      </c>
      <c r="H340" s="4" t="str">
        <f>IF($A340&lt;&gt;"",'All Cases - Enter Cases'!G340,"")</f>
        <v/>
      </c>
      <c r="I340" t="str">
        <f>IF($A340&lt;&gt;"",'All Cases - Enter Cases'!H340,"")</f>
        <v/>
      </c>
      <c r="J340" t="str">
        <f>IF($A340&lt;&gt;"",'All Cases - Enter Cases'!I340,"")</f>
        <v/>
      </c>
      <c r="K340" t="str">
        <f>IF($A340&lt;&gt;"",'All Cases - Enter Cases'!J340,"")</f>
        <v/>
      </c>
      <c r="L340" s="4" t="str">
        <f>IF($A340&lt;&gt;"",'All Cases - Enter Cases'!K340,"")</f>
        <v/>
      </c>
      <c r="M340" t="str">
        <f>IF($A340&lt;&gt;"",'All Cases - Enter Cases'!L340,"")</f>
        <v/>
      </c>
    </row>
    <row r="341" spans="1:13" x14ac:dyDescent="0.35">
      <c r="A341" s="4" t="str">
        <f>IF('All Cases - Enter Cases'!$K341="Approved",'All Cases - Enter Cases'!A341,"")</f>
        <v/>
      </c>
      <c r="B341" s="4" t="str">
        <f>IF($N341&lt;&gt;"",$N341,IF($A341&lt;&gt;"",'All Cases - Enter Cases'!$L341+7,""))</f>
        <v/>
      </c>
      <c r="C341" t="str">
        <f>IF($A341&lt;&gt;"",'All Cases - Enter Cases'!B341,"")</f>
        <v/>
      </c>
      <c r="D341" t="str">
        <f>IF($A341&lt;&gt;"",'All Cases - Enter Cases'!C341,"")</f>
        <v/>
      </c>
      <c r="E341" t="str">
        <f>IF($A341&lt;&gt;"",'All Cases - Enter Cases'!D341,"")</f>
        <v/>
      </c>
      <c r="F341" s="12" t="str">
        <f>IF($A341&lt;&gt;"",'All Cases - Enter Cases'!E341,"")</f>
        <v/>
      </c>
      <c r="G341" s="12" t="str">
        <f>IF($A341&lt;&gt;"",'All Cases - Enter Cases'!F341,"")</f>
        <v/>
      </c>
      <c r="H341" s="4" t="str">
        <f>IF($A341&lt;&gt;"",'All Cases - Enter Cases'!G341,"")</f>
        <v/>
      </c>
      <c r="I341" t="str">
        <f>IF($A341&lt;&gt;"",'All Cases - Enter Cases'!H341,"")</f>
        <v/>
      </c>
      <c r="J341" t="str">
        <f>IF($A341&lt;&gt;"",'All Cases - Enter Cases'!I341,"")</f>
        <v/>
      </c>
      <c r="K341" t="str">
        <f>IF($A341&lt;&gt;"",'All Cases - Enter Cases'!J341,"")</f>
        <v/>
      </c>
      <c r="L341" s="4" t="str">
        <f>IF($A341&lt;&gt;"",'All Cases - Enter Cases'!K341,"")</f>
        <v/>
      </c>
      <c r="M341" t="str">
        <f>IF($A341&lt;&gt;"",'All Cases - Enter Cases'!L341,"")</f>
        <v/>
      </c>
    </row>
    <row r="342" spans="1:13" x14ac:dyDescent="0.35">
      <c r="A342" s="4" t="str">
        <f>IF('All Cases - Enter Cases'!$K342="Approved",'All Cases - Enter Cases'!A342,"")</f>
        <v/>
      </c>
      <c r="B342" s="4" t="str">
        <f>IF($N342&lt;&gt;"",$N342,IF($A342&lt;&gt;"",'All Cases - Enter Cases'!$L342+7,""))</f>
        <v/>
      </c>
      <c r="C342" t="str">
        <f>IF($A342&lt;&gt;"",'All Cases - Enter Cases'!B342,"")</f>
        <v/>
      </c>
      <c r="D342" t="str">
        <f>IF($A342&lt;&gt;"",'All Cases - Enter Cases'!C342,"")</f>
        <v/>
      </c>
      <c r="E342" t="str">
        <f>IF($A342&lt;&gt;"",'All Cases - Enter Cases'!D342,"")</f>
        <v/>
      </c>
      <c r="F342" s="12" t="str">
        <f>IF($A342&lt;&gt;"",'All Cases - Enter Cases'!E342,"")</f>
        <v/>
      </c>
      <c r="G342" s="12" t="str">
        <f>IF($A342&lt;&gt;"",'All Cases - Enter Cases'!F342,"")</f>
        <v/>
      </c>
      <c r="H342" s="4" t="str">
        <f>IF($A342&lt;&gt;"",'All Cases - Enter Cases'!G342,"")</f>
        <v/>
      </c>
      <c r="I342" t="str">
        <f>IF($A342&lt;&gt;"",'All Cases - Enter Cases'!H342,"")</f>
        <v/>
      </c>
      <c r="J342" t="str">
        <f>IF($A342&lt;&gt;"",'All Cases - Enter Cases'!I342,"")</f>
        <v/>
      </c>
      <c r="K342" t="str">
        <f>IF($A342&lt;&gt;"",'All Cases - Enter Cases'!J342,"")</f>
        <v/>
      </c>
      <c r="L342" s="4" t="str">
        <f>IF($A342&lt;&gt;"",'All Cases - Enter Cases'!K342,"")</f>
        <v/>
      </c>
      <c r="M342" t="str">
        <f>IF($A342&lt;&gt;"",'All Cases - Enter Cases'!L342,"")</f>
        <v/>
      </c>
    </row>
    <row r="343" spans="1:13" x14ac:dyDescent="0.35">
      <c r="A343" s="4" t="str">
        <f>IF('All Cases - Enter Cases'!$K343="Approved",'All Cases - Enter Cases'!A343,"")</f>
        <v/>
      </c>
      <c r="B343" s="4" t="str">
        <f>IF($N343&lt;&gt;"",$N343,IF($A343&lt;&gt;"",'All Cases - Enter Cases'!$L343+7,""))</f>
        <v/>
      </c>
      <c r="C343" t="str">
        <f>IF($A343&lt;&gt;"",'All Cases - Enter Cases'!B343,"")</f>
        <v/>
      </c>
      <c r="D343" t="str">
        <f>IF($A343&lt;&gt;"",'All Cases - Enter Cases'!C343,"")</f>
        <v/>
      </c>
      <c r="E343" t="str">
        <f>IF($A343&lt;&gt;"",'All Cases - Enter Cases'!D343,"")</f>
        <v/>
      </c>
      <c r="F343" s="12" t="str">
        <f>IF($A343&lt;&gt;"",'All Cases - Enter Cases'!E343,"")</f>
        <v/>
      </c>
      <c r="G343" s="12" t="str">
        <f>IF($A343&lt;&gt;"",'All Cases - Enter Cases'!F343,"")</f>
        <v/>
      </c>
      <c r="H343" s="4" t="str">
        <f>IF($A343&lt;&gt;"",'All Cases - Enter Cases'!G343,"")</f>
        <v/>
      </c>
      <c r="I343" t="str">
        <f>IF($A343&lt;&gt;"",'All Cases - Enter Cases'!H343,"")</f>
        <v/>
      </c>
      <c r="J343" t="str">
        <f>IF($A343&lt;&gt;"",'All Cases - Enter Cases'!I343,"")</f>
        <v/>
      </c>
      <c r="K343" t="str">
        <f>IF($A343&lt;&gt;"",'All Cases - Enter Cases'!J343,"")</f>
        <v/>
      </c>
      <c r="L343" s="4" t="str">
        <f>IF($A343&lt;&gt;"",'All Cases - Enter Cases'!K343,"")</f>
        <v/>
      </c>
      <c r="M343" t="str">
        <f>IF($A343&lt;&gt;"",'All Cases - Enter Cases'!L343,"")</f>
        <v/>
      </c>
    </row>
    <row r="344" spans="1:13" x14ac:dyDescent="0.35">
      <c r="A344" s="4" t="str">
        <f>IF('All Cases - Enter Cases'!$K344="Approved",'All Cases - Enter Cases'!A344,"")</f>
        <v/>
      </c>
      <c r="B344" s="4" t="str">
        <f>IF($N344&lt;&gt;"",$N344,IF($A344&lt;&gt;"",'All Cases - Enter Cases'!$L344+7,""))</f>
        <v/>
      </c>
      <c r="C344" t="str">
        <f>IF($A344&lt;&gt;"",'All Cases - Enter Cases'!B344,"")</f>
        <v/>
      </c>
      <c r="D344" t="str">
        <f>IF($A344&lt;&gt;"",'All Cases - Enter Cases'!C344,"")</f>
        <v/>
      </c>
      <c r="E344" t="str">
        <f>IF($A344&lt;&gt;"",'All Cases - Enter Cases'!D344,"")</f>
        <v/>
      </c>
      <c r="F344" s="12" t="str">
        <f>IF($A344&lt;&gt;"",'All Cases - Enter Cases'!E344,"")</f>
        <v/>
      </c>
      <c r="G344" s="12" t="str">
        <f>IF($A344&lt;&gt;"",'All Cases - Enter Cases'!F344,"")</f>
        <v/>
      </c>
      <c r="H344" s="4" t="str">
        <f>IF($A344&lt;&gt;"",'All Cases - Enter Cases'!G344,"")</f>
        <v/>
      </c>
      <c r="I344" t="str">
        <f>IF($A344&lt;&gt;"",'All Cases - Enter Cases'!H344,"")</f>
        <v/>
      </c>
      <c r="J344" t="str">
        <f>IF($A344&lt;&gt;"",'All Cases - Enter Cases'!I344,"")</f>
        <v/>
      </c>
      <c r="K344" t="str">
        <f>IF($A344&lt;&gt;"",'All Cases - Enter Cases'!J344,"")</f>
        <v/>
      </c>
      <c r="L344" s="4" t="str">
        <f>IF($A344&lt;&gt;"",'All Cases - Enter Cases'!K344,"")</f>
        <v/>
      </c>
      <c r="M344" t="str">
        <f>IF($A344&lt;&gt;"",'All Cases - Enter Cases'!L344,"")</f>
        <v/>
      </c>
    </row>
    <row r="345" spans="1:13" x14ac:dyDescent="0.35">
      <c r="A345" s="4" t="str">
        <f>IF('All Cases - Enter Cases'!$K345="Approved",'All Cases - Enter Cases'!A345,"")</f>
        <v/>
      </c>
      <c r="B345" s="4" t="str">
        <f>IF($N345&lt;&gt;"",$N345,IF($A345&lt;&gt;"",'All Cases - Enter Cases'!$L345+7,""))</f>
        <v/>
      </c>
      <c r="C345" t="str">
        <f>IF($A345&lt;&gt;"",'All Cases - Enter Cases'!B345,"")</f>
        <v/>
      </c>
      <c r="D345" t="str">
        <f>IF($A345&lt;&gt;"",'All Cases - Enter Cases'!C345,"")</f>
        <v/>
      </c>
      <c r="E345" t="str">
        <f>IF($A345&lt;&gt;"",'All Cases - Enter Cases'!D345,"")</f>
        <v/>
      </c>
      <c r="F345" s="12" t="str">
        <f>IF($A345&lt;&gt;"",'All Cases - Enter Cases'!E345,"")</f>
        <v/>
      </c>
      <c r="G345" s="12" t="str">
        <f>IF($A345&lt;&gt;"",'All Cases - Enter Cases'!F345,"")</f>
        <v/>
      </c>
      <c r="H345" s="4" t="str">
        <f>IF($A345&lt;&gt;"",'All Cases - Enter Cases'!G345,"")</f>
        <v/>
      </c>
      <c r="I345" t="str">
        <f>IF($A345&lt;&gt;"",'All Cases - Enter Cases'!H345,"")</f>
        <v/>
      </c>
      <c r="J345" t="str">
        <f>IF($A345&lt;&gt;"",'All Cases - Enter Cases'!I345,"")</f>
        <v/>
      </c>
      <c r="K345" t="str">
        <f>IF($A345&lt;&gt;"",'All Cases - Enter Cases'!J345,"")</f>
        <v/>
      </c>
      <c r="L345" s="4" t="str">
        <f>IF($A345&lt;&gt;"",'All Cases - Enter Cases'!K345,"")</f>
        <v/>
      </c>
      <c r="M345" t="str">
        <f>IF($A345&lt;&gt;"",'All Cases - Enter Cases'!L345,"")</f>
        <v/>
      </c>
    </row>
    <row r="346" spans="1:13" x14ac:dyDescent="0.35">
      <c r="A346" s="4" t="str">
        <f>IF('All Cases - Enter Cases'!$K346="Approved",'All Cases - Enter Cases'!A346,"")</f>
        <v/>
      </c>
      <c r="B346" s="4" t="str">
        <f>IF($N346&lt;&gt;"",$N346,IF($A346&lt;&gt;"",'All Cases - Enter Cases'!$L346+7,""))</f>
        <v/>
      </c>
      <c r="C346" t="str">
        <f>IF($A346&lt;&gt;"",'All Cases - Enter Cases'!B346,"")</f>
        <v/>
      </c>
      <c r="D346" t="str">
        <f>IF($A346&lt;&gt;"",'All Cases - Enter Cases'!C346,"")</f>
        <v/>
      </c>
      <c r="E346" t="str">
        <f>IF($A346&lt;&gt;"",'All Cases - Enter Cases'!D346,"")</f>
        <v/>
      </c>
      <c r="F346" s="12" t="str">
        <f>IF($A346&lt;&gt;"",'All Cases - Enter Cases'!E346,"")</f>
        <v/>
      </c>
      <c r="G346" s="12" t="str">
        <f>IF($A346&lt;&gt;"",'All Cases - Enter Cases'!F346,"")</f>
        <v/>
      </c>
      <c r="H346" s="4" t="str">
        <f>IF($A346&lt;&gt;"",'All Cases - Enter Cases'!G346,"")</f>
        <v/>
      </c>
      <c r="I346" t="str">
        <f>IF($A346&lt;&gt;"",'All Cases - Enter Cases'!H346,"")</f>
        <v/>
      </c>
      <c r="J346" t="str">
        <f>IF($A346&lt;&gt;"",'All Cases - Enter Cases'!I346,"")</f>
        <v/>
      </c>
      <c r="K346" t="str">
        <f>IF($A346&lt;&gt;"",'All Cases - Enter Cases'!J346,"")</f>
        <v/>
      </c>
      <c r="L346" s="4" t="str">
        <f>IF($A346&lt;&gt;"",'All Cases - Enter Cases'!K346,"")</f>
        <v/>
      </c>
      <c r="M346" t="str">
        <f>IF($A346&lt;&gt;"",'All Cases - Enter Cases'!L346,"")</f>
        <v/>
      </c>
    </row>
    <row r="347" spans="1:13" x14ac:dyDescent="0.35">
      <c r="A347" s="4" t="str">
        <f>IF('All Cases - Enter Cases'!$K347="Approved",'All Cases - Enter Cases'!A347,"")</f>
        <v/>
      </c>
      <c r="B347" s="4" t="str">
        <f>IF($N347&lt;&gt;"",$N347,IF($A347&lt;&gt;"",'All Cases - Enter Cases'!$L347+7,""))</f>
        <v/>
      </c>
      <c r="C347" t="str">
        <f>IF($A347&lt;&gt;"",'All Cases - Enter Cases'!B347,"")</f>
        <v/>
      </c>
      <c r="D347" t="str">
        <f>IF($A347&lt;&gt;"",'All Cases - Enter Cases'!C347,"")</f>
        <v/>
      </c>
      <c r="E347" t="str">
        <f>IF($A347&lt;&gt;"",'All Cases - Enter Cases'!D347,"")</f>
        <v/>
      </c>
      <c r="F347" s="12" t="str">
        <f>IF($A347&lt;&gt;"",'All Cases - Enter Cases'!E347,"")</f>
        <v/>
      </c>
      <c r="G347" s="12" t="str">
        <f>IF($A347&lt;&gt;"",'All Cases - Enter Cases'!F347,"")</f>
        <v/>
      </c>
      <c r="H347" s="4" t="str">
        <f>IF($A347&lt;&gt;"",'All Cases - Enter Cases'!G347,"")</f>
        <v/>
      </c>
      <c r="I347" t="str">
        <f>IF($A347&lt;&gt;"",'All Cases - Enter Cases'!H347,"")</f>
        <v/>
      </c>
      <c r="J347" t="str">
        <f>IF($A347&lt;&gt;"",'All Cases - Enter Cases'!I347,"")</f>
        <v/>
      </c>
      <c r="K347" t="str">
        <f>IF($A347&lt;&gt;"",'All Cases - Enter Cases'!J347,"")</f>
        <v/>
      </c>
      <c r="L347" s="4" t="str">
        <f>IF($A347&lt;&gt;"",'All Cases - Enter Cases'!K347,"")</f>
        <v/>
      </c>
      <c r="M347" t="str">
        <f>IF($A347&lt;&gt;"",'All Cases - Enter Cases'!L347,"")</f>
        <v/>
      </c>
    </row>
    <row r="348" spans="1:13" x14ac:dyDescent="0.35">
      <c r="A348" s="4" t="str">
        <f>IF('All Cases - Enter Cases'!$K348="Approved",'All Cases - Enter Cases'!A348,"")</f>
        <v/>
      </c>
      <c r="B348" s="4" t="str">
        <f>IF($N348&lt;&gt;"",$N348,IF($A348&lt;&gt;"",'All Cases - Enter Cases'!$L348+7,""))</f>
        <v/>
      </c>
      <c r="C348" t="str">
        <f>IF($A348&lt;&gt;"",'All Cases - Enter Cases'!B348,"")</f>
        <v/>
      </c>
      <c r="D348" t="str">
        <f>IF($A348&lt;&gt;"",'All Cases - Enter Cases'!C348,"")</f>
        <v/>
      </c>
      <c r="E348" t="str">
        <f>IF($A348&lt;&gt;"",'All Cases - Enter Cases'!D348,"")</f>
        <v/>
      </c>
      <c r="F348" s="12" t="str">
        <f>IF($A348&lt;&gt;"",'All Cases - Enter Cases'!E348,"")</f>
        <v/>
      </c>
      <c r="G348" s="12" t="str">
        <f>IF($A348&lt;&gt;"",'All Cases - Enter Cases'!F348,"")</f>
        <v/>
      </c>
      <c r="H348" s="4" t="str">
        <f>IF($A348&lt;&gt;"",'All Cases - Enter Cases'!G348,"")</f>
        <v/>
      </c>
      <c r="I348" t="str">
        <f>IF($A348&lt;&gt;"",'All Cases - Enter Cases'!H348,"")</f>
        <v/>
      </c>
      <c r="J348" t="str">
        <f>IF($A348&lt;&gt;"",'All Cases - Enter Cases'!I348,"")</f>
        <v/>
      </c>
      <c r="K348" t="str">
        <f>IF($A348&lt;&gt;"",'All Cases - Enter Cases'!J348,"")</f>
        <v/>
      </c>
      <c r="L348" s="4" t="str">
        <f>IF($A348&lt;&gt;"",'All Cases - Enter Cases'!K348,"")</f>
        <v/>
      </c>
      <c r="M348" t="str">
        <f>IF($A348&lt;&gt;"",'All Cases - Enter Cases'!L348,"")</f>
        <v/>
      </c>
    </row>
    <row r="349" spans="1:13" x14ac:dyDescent="0.35">
      <c r="A349" s="4" t="str">
        <f>IF('All Cases - Enter Cases'!$K349="Approved",'All Cases - Enter Cases'!A349,"")</f>
        <v/>
      </c>
      <c r="B349" s="4" t="str">
        <f>IF($N349&lt;&gt;"",$N349,IF($A349&lt;&gt;"",'All Cases - Enter Cases'!$L349+7,""))</f>
        <v/>
      </c>
      <c r="C349" t="str">
        <f>IF($A349&lt;&gt;"",'All Cases - Enter Cases'!B349,"")</f>
        <v/>
      </c>
      <c r="D349" t="str">
        <f>IF($A349&lt;&gt;"",'All Cases - Enter Cases'!C349,"")</f>
        <v/>
      </c>
      <c r="E349" t="str">
        <f>IF($A349&lt;&gt;"",'All Cases - Enter Cases'!D349,"")</f>
        <v/>
      </c>
      <c r="F349" s="12" t="str">
        <f>IF($A349&lt;&gt;"",'All Cases - Enter Cases'!E349,"")</f>
        <v/>
      </c>
      <c r="G349" s="12" t="str">
        <f>IF($A349&lt;&gt;"",'All Cases - Enter Cases'!F349,"")</f>
        <v/>
      </c>
      <c r="H349" s="4" t="str">
        <f>IF($A349&lt;&gt;"",'All Cases - Enter Cases'!G349,"")</f>
        <v/>
      </c>
      <c r="I349" t="str">
        <f>IF($A349&lt;&gt;"",'All Cases - Enter Cases'!H349,"")</f>
        <v/>
      </c>
      <c r="J349" t="str">
        <f>IF($A349&lt;&gt;"",'All Cases - Enter Cases'!I349,"")</f>
        <v/>
      </c>
      <c r="K349" t="str">
        <f>IF($A349&lt;&gt;"",'All Cases - Enter Cases'!J349,"")</f>
        <v/>
      </c>
      <c r="L349" s="4" t="str">
        <f>IF($A349&lt;&gt;"",'All Cases - Enter Cases'!K349,"")</f>
        <v/>
      </c>
      <c r="M349" t="str">
        <f>IF($A349&lt;&gt;"",'All Cases - Enter Cases'!L349,"")</f>
        <v/>
      </c>
    </row>
    <row r="350" spans="1:13" x14ac:dyDescent="0.35">
      <c r="A350" s="4" t="str">
        <f>IF('All Cases - Enter Cases'!$K350="Approved",'All Cases - Enter Cases'!A350,"")</f>
        <v/>
      </c>
      <c r="B350" s="4" t="str">
        <f>IF($N350&lt;&gt;"",$N350,IF($A350&lt;&gt;"",'All Cases - Enter Cases'!$L350+7,""))</f>
        <v/>
      </c>
      <c r="C350" t="str">
        <f>IF($A350&lt;&gt;"",'All Cases - Enter Cases'!B350,"")</f>
        <v/>
      </c>
      <c r="D350" t="str">
        <f>IF($A350&lt;&gt;"",'All Cases - Enter Cases'!C350,"")</f>
        <v/>
      </c>
      <c r="E350" t="str">
        <f>IF($A350&lt;&gt;"",'All Cases - Enter Cases'!D350,"")</f>
        <v/>
      </c>
      <c r="F350" s="12" t="str">
        <f>IF($A350&lt;&gt;"",'All Cases - Enter Cases'!E350,"")</f>
        <v/>
      </c>
      <c r="G350" s="12" t="str">
        <f>IF($A350&lt;&gt;"",'All Cases - Enter Cases'!F350,"")</f>
        <v/>
      </c>
      <c r="H350" s="4" t="str">
        <f>IF($A350&lt;&gt;"",'All Cases - Enter Cases'!G350,"")</f>
        <v/>
      </c>
      <c r="I350" t="str">
        <f>IF($A350&lt;&gt;"",'All Cases - Enter Cases'!H350,"")</f>
        <v/>
      </c>
      <c r="J350" t="str">
        <f>IF($A350&lt;&gt;"",'All Cases - Enter Cases'!I350,"")</f>
        <v/>
      </c>
      <c r="K350" t="str">
        <f>IF($A350&lt;&gt;"",'All Cases - Enter Cases'!J350,"")</f>
        <v/>
      </c>
      <c r="L350" s="4" t="str">
        <f>IF($A350&lt;&gt;"",'All Cases - Enter Cases'!K350,"")</f>
        <v/>
      </c>
      <c r="M350" t="str">
        <f>IF($A350&lt;&gt;"",'All Cases - Enter Cases'!L350,"")</f>
        <v/>
      </c>
    </row>
    <row r="351" spans="1:13" x14ac:dyDescent="0.35">
      <c r="A351" s="4" t="str">
        <f>IF('All Cases - Enter Cases'!$K351="Approved",'All Cases - Enter Cases'!A351,"")</f>
        <v/>
      </c>
      <c r="B351" s="4" t="str">
        <f>IF($N351&lt;&gt;"",$N351,IF($A351&lt;&gt;"",'All Cases - Enter Cases'!$L351+7,""))</f>
        <v/>
      </c>
      <c r="C351" t="str">
        <f>IF($A351&lt;&gt;"",'All Cases - Enter Cases'!B351,"")</f>
        <v/>
      </c>
      <c r="D351" t="str">
        <f>IF($A351&lt;&gt;"",'All Cases - Enter Cases'!C351,"")</f>
        <v/>
      </c>
      <c r="E351" t="str">
        <f>IF($A351&lt;&gt;"",'All Cases - Enter Cases'!D351,"")</f>
        <v/>
      </c>
      <c r="F351" s="12" t="str">
        <f>IF($A351&lt;&gt;"",'All Cases - Enter Cases'!E351,"")</f>
        <v/>
      </c>
      <c r="G351" s="12" t="str">
        <f>IF($A351&lt;&gt;"",'All Cases - Enter Cases'!F351,"")</f>
        <v/>
      </c>
      <c r="H351" s="4" t="str">
        <f>IF($A351&lt;&gt;"",'All Cases - Enter Cases'!G351,"")</f>
        <v/>
      </c>
      <c r="I351" t="str">
        <f>IF($A351&lt;&gt;"",'All Cases - Enter Cases'!H351,"")</f>
        <v/>
      </c>
      <c r="J351" t="str">
        <f>IF($A351&lt;&gt;"",'All Cases - Enter Cases'!I351,"")</f>
        <v/>
      </c>
      <c r="K351" t="str">
        <f>IF($A351&lt;&gt;"",'All Cases - Enter Cases'!J351,"")</f>
        <v/>
      </c>
      <c r="L351" s="4" t="str">
        <f>IF($A351&lt;&gt;"",'All Cases - Enter Cases'!K351,"")</f>
        <v/>
      </c>
      <c r="M351" t="str">
        <f>IF($A351&lt;&gt;"",'All Cases - Enter Cases'!L351,"")</f>
        <v/>
      </c>
    </row>
    <row r="352" spans="1:13" x14ac:dyDescent="0.35">
      <c r="A352" s="4" t="str">
        <f>IF('All Cases - Enter Cases'!$K352="Approved",'All Cases - Enter Cases'!A352,"")</f>
        <v/>
      </c>
      <c r="B352" s="4" t="str">
        <f>IF($N352&lt;&gt;"",$N352,IF($A352&lt;&gt;"",'All Cases - Enter Cases'!$L352+7,""))</f>
        <v/>
      </c>
      <c r="C352" t="str">
        <f>IF($A352&lt;&gt;"",'All Cases - Enter Cases'!B352,"")</f>
        <v/>
      </c>
      <c r="D352" t="str">
        <f>IF($A352&lt;&gt;"",'All Cases - Enter Cases'!C352,"")</f>
        <v/>
      </c>
      <c r="E352" t="str">
        <f>IF($A352&lt;&gt;"",'All Cases - Enter Cases'!D352,"")</f>
        <v/>
      </c>
      <c r="F352" s="12" t="str">
        <f>IF($A352&lt;&gt;"",'All Cases - Enter Cases'!E352,"")</f>
        <v/>
      </c>
      <c r="G352" s="12" t="str">
        <f>IF($A352&lt;&gt;"",'All Cases - Enter Cases'!F352,"")</f>
        <v/>
      </c>
      <c r="H352" s="4" t="str">
        <f>IF($A352&lt;&gt;"",'All Cases - Enter Cases'!G352,"")</f>
        <v/>
      </c>
      <c r="I352" t="str">
        <f>IF($A352&lt;&gt;"",'All Cases - Enter Cases'!H352,"")</f>
        <v/>
      </c>
      <c r="J352" t="str">
        <f>IF($A352&lt;&gt;"",'All Cases - Enter Cases'!I352,"")</f>
        <v/>
      </c>
      <c r="K352" t="str">
        <f>IF($A352&lt;&gt;"",'All Cases - Enter Cases'!J352,"")</f>
        <v/>
      </c>
      <c r="L352" s="4" t="str">
        <f>IF($A352&lt;&gt;"",'All Cases - Enter Cases'!K352,"")</f>
        <v/>
      </c>
      <c r="M352" t="str">
        <f>IF($A352&lt;&gt;"",'All Cases - Enter Cases'!L352,"")</f>
        <v/>
      </c>
    </row>
    <row r="353" spans="1:13" x14ac:dyDescent="0.35">
      <c r="A353" s="4" t="str">
        <f>IF('All Cases - Enter Cases'!$K353="Approved",'All Cases - Enter Cases'!A353,"")</f>
        <v/>
      </c>
      <c r="B353" s="4" t="str">
        <f>IF($N353&lt;&gt;"",$N353,IF($A353&lt;&gt;"",'All Cases - Enter Cases'!$L353+7,""))</f>
        <v/>
      </c>
      <c r="C353" t="str">
        <f>IF($A353&lt;&gt;"",'All Cases - Enter Cases'!B353,"")</f>
        <v/>
      </c>
      <c r="D353" t="str">
        <f>IF($A353&lt;&gt;"",'All Cases - Enter Cases'!C353,"")</f>
        <v/>
      </c>
      <c r="E353" t="str">
        <f>IF($A353&lt;&gt;"",'All Cases - Enter Cases'!D353,"")</f>
        <v/>
      </c>
      <c r="F353" s="12" t="str">
        <f>IF($A353&lt;&gt;"",'All Cases - Enter Cases'!E353,"")</f>
        <v/>
      </c>
      <c r="G353" s="12" t="str">
        <f>IF($A353&lt;&gt;"",'All Cases - Enter Cases'!F353,"")</f>
        <v/>
      </c>
      <c r="H353" s="4" t="str">
        <f>IF($A353&lt;&gt;"",'All Cases - Enter Cases'!G353,"")</f>
        <v/>
      </c>
      <c r="I353" t="str">
        <f>IF($A353&lt;&gt;"",'All Cases - Enter Cases'!H353,"")</f>
        <v/>
      </c>
      <c r="J353" t="str">
        <f>IF($A353&lt;&gt;"",'All Cases - Enter Cases'!I353,"")</f>
        <v/>
      </c>
      <c r="K353" t="str">
        <f>IF($A353&lt;&gt;"",'All Cases - Enter Cases'!J353,"")</f>
        <v/>
      </c>
      <c r="L353" s="4" t="str">
        <f>IF($A353&lt;&gt;"",'All Cases - Enter Cases'!K353,"")</f>
        <v/>
      </c>
      <c r="M353" t="str">
        <f>IF($A353&lt;&gt;"",'All Cases - Enter Cases'!L353,"")</f>
        <v/>
      </c>
    </row>
    <row r="354" spans="1:13" x14ac:dyDescent="0.35">
      <c r="A354" s="4" t="str">
        <f>IF('All Cases - Enter Cases'!$K354="Approved",'All Cases - Enter Cases'!A354,"")</f>
        <v/>
      </c>
      <c r="B354" s="4" t="str">
        <f>IF($N354&lt;&gt;"",$N354,IF($A354&lt;&gt;"",'All Cases - Enter Cases'!$L354+7,""))</f>
        <v/>
      </c>
      <c r="C354" t="str">
        <f>IF($A354&lt;&gt;"",'All Cases - Enter Cases'!B354,"")</f>
        <v/>
      </c>
      <c r="D354" t="str">
        <f>IF($A354&lt;&gt;"",'All Cases - Enter Cases'!C354,"")</f>
        <v/>
      </c>
      <c r="E354" t="str">
        <f>IF($A354&lt;&gt;"",'All Cases - Enter Cases'!D354,"")</f>
        <v/>
      </c>
      <c r="F354" s="12" t="str">
        <f>IF($A354&lt;&gt;"",'All Cases - Enter Cases'!E354,"")</f>
        <v/>
      </c>
      <c r="G354" s="12" t="str">
        <f>IF($A354&lt;&gt;"",'All Cases - Enter Cases'!F354,"")</f>
        <v/>
      </c>
      <c r="H354" s="4" t="str">
        <f>IF($A354&lt;&gt;"",'All Cases - Enter Cases'!G354,"")</f>
        <v/>
      </c>
      <c r="I354" t="str">
        <f>IF($A354&lt;&gt;"",'All Cases - Enter Cases'!H354,"")</f>
        <v/>
      </c>
      <c r="J354" t="str">
        <f>IF($A354&lt;&gt;"",'All Cases - Enter Cases'!I354,"")</f>
        <v/>
      </c>
      <c r="K354" t="str">
        <f>IF($A354&lt;&gt;"",'All Cases - Enter Cases'!J354,"")</f>
        <v/>
      </c>
      <c r="L354" s="4" t="str">
        <f>IF($A354&lt;&gt;"",'All Cases - Enter Cases'!K354,"")</f>
        <v/>
      </c>
      <c r="M354" t="str">
        <f>IF($A354&lt;&gt;"",'All Cases - Enter Cases'!L354,"")</f>
        <v/>
      </c>
    </row>
    <row r="355" spans="1:13" x14ac:dyDescent="0.35">
      <c r="A355" s="4" t="str">
        <f>IF('All Cases - Enter Cases'!$K355="Approved",'All Cases - Enter Cases'!A355,"")</f>
        <v/>
      </c>
      <c r="B355" s="4" t="str">
        <f>IF($N355&lt;&gt;"",$N355,IF($A355&lt;&gt;"",'All Cases - Enter Cases'!$L355+7,""))</f>
        <v/>
      </c>
      <c r="C355" t="str">
        <f>IF($A355&lt;&gt;"",'All Cases - Enter Cases'!B355,"")</f>
        <v/>
      </c>
      <c r="D355" t="str">
        <f>IF($A355&lt;&gt;"",'All Cases - Enter Cases'!C355,"")</f>
        <v/>
      </c>
      <c r="E355" t="str">
        <f>IF($A355&lt;&gt;"",'All Cases - Enter Cases'!D355,"")</f>
        <v/>
      </c>
      <c r="F355" s="12" t="str">
        <f>IF($A355&lt;&gt;"",'All Cases - Enter Cases'!E355,"")</f>
        <v/>
      </c>
      <c r="G355" s="12" t="str">
        <f>IF($A355&lt;&gt;"",'All Cases - Enter Cases'!F355,"")</f>
        <v/>
      </c>
      <c r="H355" s="4" t="str">
        <f>IF($A355&lt;&gt;"",'All Cases - Enter Cases'!G355,"")</f>
        <v/>
      </c>
      <c r="I355" t="str">
        <f>IF($A355&lt;&gt;"",'All Cases - Enter Cases'!H355,"")</f>
        <v/>
      </c>
      <c r="J355" t="str">
        <f>IF($A355&lt;&gt;"",'All Cases - Enter Cases'!I355,"")</f>
        <v/>
      </c>
      <c r="K355" t="str">
        <f>IF($A355&lt;&gt;"",'All Cases - Enter Cases'!J355,"")</f>
        <v/>
      </c>
      <c r="L355" s="4" t="str">
        <f>IF($A355&lt;&gt;"",'All Cases - Enter Cases'!K355,"")</f>
        <v/>
      </c>
      <c r="M355" t="str">
        <f>IF($A355&lt;&gt;"",'All Cases - Enter Cases'!L355,"")</f>
        <v/>
      </c>
    </row>
    <row r="356" spans="1:13" x14ac:dyDescent="0.35">
      <c r="A356" s="4" t="str">
        <f>IF('All Cases - Enter Cases'!$K356="Approved",'All Cases - Enter Cases'!A356,"")</f>
        <v/>
      </c>
      <c r="B356" s="4" t="str">
        <f>IF($N356&lt;&gt;"",$N356,IF($A356&lt;&gt;"",'All Cases - Enter Cases'!$L356+7,""))</f>
        <v/>
      </c>
      <c r="C356" t="str">
        <f>IF($A356&lt;&gt;"",'All Cases - Enter Cases'!B356,"")</f>
        <v/>
      </c>
      <c r="D356" t="str">
        <f>IF($A356&lt;&gt;"",'All Cases - Enter Cases'!C356,"")</f>
        <v/>
      </c>
      <c r="E356" t="str">
        <f>IF($A356&lt;&gt;"",'All Cases - Enter Cases'!D356,"")</f>
        <v/>
      </c>
      <c r="F356" s="12" t="str">
        <f>IF($A356&lt;&gt;"",'All Cases - Enter Cases'!E356,"")</f>
        <v/>
      </c>
      <c r="G356" s="12" t="str">
        <f>IF($A356&lt;&gt;"",'All Cases - Enter Cases'!F356,"")</f>
        <v/>
      </c>
      <c r="H356" s="4" t="str">
        <f>IF($A356&lt;&gt;"",'All Cases - Enter Cases'!G356,"")</f>
        <v/>
      </c>
      <c r="I356" t="str">
        <f>IF($A356&lt;&gt;"",'All Cases - Enter Cases'!H356,"")</f>
        <v/>
      </c>
      <c r="J356" t="str">
        <f>IF($A356&lt;&gt;"",'All Cases - Enter Cases'!I356,"")</f>
        <v/>
      </c>
      <c r="K356" t="str">
        <f>IF($A356&lt;&gt;"",'All Cases - Enter Cases'!J356,"")</f>
        <v/>
      </c>
      <c r="L356" s="4" t="str">
        <f>IF($A356&lt;&gt;"",'All Cases - Enter Cases'!K356,"")</f>
        <v/>
      </c>
      <c r="M356" t="str">
        <f>IF($A356&lt;&gt;"",'All Cases - Enter Cases'!L356,"")</f>
        <v/>
      </c>
    </row>
    <row r="357" spans="1:13" x14ac:dyDescent="0.35">
      <c r="A357" s="4" t="str">
        <f>IF('All Cases - Enter Cases'!$K357="Approved",'All Cases - Enter Cases'!A357,"")</f>
        <v/>
      </c>
      <c r="B357" s="4" t="str">
        <f>IF($N357&lt;&gt;"",$N357,IF($A357&lt;&gt;"",'All Cases - Enter Cases'!$L357+7,""))</f>
        <v/>
      </c>
      <c r="C357" t="str">
        <f>IF($A357&lt;&gt;"",'All Cases - Enter Cases'!B357,"")</f>
        <v/>
      </c>
      <c r="D357" t="str">
        <f>IF($A357&lt;&gt;"",'All Cases - Enter Cases'!C357,"")</f>
        <v/>
      </c>
      <c r="E357" t="str">
        <f>IF($A357&lt;&gt;"",'All Cases - Enter Cases'!D357,"")</f>
        <v/>
      </c>
      <c r="F357" s="12" t="str">
        <f>IF($A357&lt;&gt;"",'All Cases - Enter Cases'!E357,"")</f>
        <v/>
      </c>
      <c r="G357" s="12" t="str">
        <f>IF($A357&lt;&gt;"",'All Cases - Enter Cases'!F357,"")</f>
        <v/>
      </c>
      <c r="H357" s="4" t="str">
        <f>IF($A357&lt;&gt;"",'All Cases - Enter Cases'!G357,"")</f>
        <v/>
      </c>
      <c r="I357" t="str">
        <f>IF($A357&lt;&gt;"",'All Cases - Enter Cases'!H357,"")</f>
        <v/>
      </c>
      <c r="J357" t="str">
        <f>IF($A357&lt;&gt;"",'All Cases - Enter Cases'!I357,"")</f>
        <v/>
      </c>
      <c r="K357" t="str">
        <f>IF($A357&lt;&gt;"",'All Cases - Enter Cases'!J357,"")</f>
        <v/>
      </c>
      <c r="L357" s="4" t="str">
        <f>IF($A357&lt;&gt;"",'All Cases - Enter Cases'!K357,"")</f>
        <v/>
      </c>
      <c r="M357" t="str">
        <f>IF($A357&lt;&gt;"",'All Cases - Enter Cases'!L357,"")</f>
        <v/>
      </c>
    </row>
    <row r="358" spans="1:13" x14ac:dyDescent="0.35">
      <c r="A358" s="4" t="str">
        <f>IF('All Cases - Enter Cases'!$K358="Approved",'All Cases - Enter Cases'!A358,"")</f>
        <v/>
      </c>
      <c r="B358" s="4" t="str">
        <f>IF($N358&lt;&gt;"",$N358,IF($A358&lt;&gt;"",'All Cases - Enter Cases'!$L358+7,""))</f>
        <v/>
      </c>
      <c r="C358" t="str">
        <f>IF($A358&lt;&gt;"",'All Cases - Enter Cases'!B358,"")</f>
        <v/>
      </c>
      <c r="D358" t="str">
        <f>IF($A358&lt;&gt;"",'All Cases - Enter Cases'!C358,"")</f>
        <v/>
      </c>
      <c r="E358" t="str">
        <f>IF($A358&lt;&gt;"",'All Cases - Enter Cases'!D358,"")</f>
        <v/>
      </c>
      <c r="F358" s="12" t="str">
        <f>IF($A358&lt;&gt;"",'All Cases - Enter Cases'!E358,"")</f>
        <v/>
      </c>
      <c r="G358" s="12" t="str">
        <f>IF($A358&lt;&gt;"",'All Cases - Enter Cases'!F358,"")</f>
        <v/>
      </c>
      <c r="H358" s="4" t="str">
        <f>IF($A358&lt;&gt;"",'All Cases - Enter Cases'!G358,"")</f>
        <v/>
      </c>
      <c r="I358" t="str">
        <f>IF($A358&lt;&gt;"",'All Cases - Enter Cases'!H358,"")</f>
        <v/>
      </c>
      <c r="J358" t="str">
        <f>IF($A358&lt;&gt;"",'All Cases - Enter Cases'!I358,"")</f>
        <v/>
      </c>
      <c r="K358" t="str">
        <f>IF($A358&lt;&gt;"",'All Cases - Enter Cases'!J358,"")</f>
        <v/>
      </c>
      <c r="L358" s="4" t="str">
        <f>IF($A358&lt;&gt;"",'All Cases - Enter Cases'!K358,"")</f>
        <v/>
      </c>
      <c r="M358" t="str">
        <f>IF($A358&lt;&gt;"",'All Cases - Enter Cases'!L358,"")</f>
        <v/>
      </c>
    </row>
    <row r="359" spans="1:13" x14ac:dyDescent="0.35">
      <c r="A359" s="4" t="str">
        <f>IF('All Cases - Enter Cases'!$K359="Approved",'All Cases - Enter Cases'!A359,"")</f>
        <v/>
      </c>
      <c r="B359" s="4" t="str">
        <f>IF($N359&lt;&gt;"",$N359,IF($A359&lt;&gt;"",'All Cases - Enter Cases'!$L359+7,""))</f>
        <v/>
      </c>
      <c r="C359" t="str">
        <f>IF($A359&lt;&gt;"",'All Cases - Enter Cases'!B359,"")</f>
        <v/>
      </c>
      <c r="D359" t="str">
        <f>IF($A359&lt;&gt;"",'All Cases - Enter Cases'!C359,"")</f>
        <v/>
      </c>
      <c r="E359" t="str">
        <f>IF($A359&lt;&gt;"",'All Cases - Enter Cases'!D359,"")</f>
        <v/>
      </c>
      <c r="F359" s="12" t="str">
        <f>IF($A359&lt;&gt;"",'All Cases - Enter Cases'!E359,"")</f>
        <v/>
      </c>
      <c r="G359" s="12" t="str">
        <f>IF($A359&lt;&gt;"",'All Cases - Enter Cases'!F359,"")</f>
        <v/>
      </c>
      <c r="H359" s="4" t="str">
        <f>IF($A359&lt;&gt;"",'All Cases - Enter Cases'!G359,"")</f>
        <v/>
      </c>
      <c r="I359" t="str">
        <f>IF($A359&lt;&gt;"",'All Cases - Enter Cases'!H359,"")</f>
        <v/>
      </c>
      <c r="J359" t="str">
        <f>IF($A359&lt;&gt;"",'All Cases - Enter Cases'!I359,"")</f>
        <v/>
      </c>
      <c r="K359" t="str">
        <f>IF($A359&lt;&gt;"",'All Cases - Enter Cases'!J359,"")</f>
        <v/>
      </c>
      <c r="L359" s="4" t="str">
        <f>IF($A359&lt;&gt;"",'All Cases - Enter Cases'!K359,"")</f>
        <v/>
      </c>
      <c r="M359" t="str">
        <f>IF($A359&lt;&gt;"",'All Cases - Enter Cases'!L359,"")</f>
        <v/>
      </c>
    </row>
    <row r="360" spans="1:13" x14ac:dyDescent="0.35">
      <c r="A360" s="4" t="str">
        <f>IF('All Cases - Enter Cases'!$K360="Approved",'All Cases - Enter Cases'!A360,"")</f>
        <v/>
      </c>
      <c r="B360" s="4" t="str">
        <f>IF($N360&lt;&gt;"",$N360,IF($A360&lt;&gt;"",'All Cases - Enter Cases'!$L360+7,""))</f>
        <v/>
      </c>
      <c r="C360" t="str">
        <f>IF($A360&lt;&gt;"",'All Cases - Enter Cases'!B360,"")</f>
        <v/>
      </c>
      <c r="D360" t="str">
        <f>IF($A360&lt;&gt;"",'All Cases - Enter Cases'!C360,"")</f>
        <v/>
      </c>
      <c r="E360" t="str">
        <f>IF($A360&lt;&gt;"",'All Cases - Enter Cases'!D360,"")</f>
        <v/>
      </c>
      <c r="F360" s="12" t="str">
        <f>IF($A360&lt;&gt;"",'All Cases - Enter Cases'!E360,"")</f>
        <v/>
      </c>
      <c r="G360" s="12" t="str">
        <f>IF($A360&lt;&gt;"",'All Cases - Enter Cases'!F360,"")</f>
        <v/>
      </c>
      <c r="H360" s="4" t="str">
        <f>IF($A360&lt;&gt;"",'All Cases - Enter Cases'!G360,"")</f>
        <v/>
      </c>
      <c r="I360" t="str">
        <f>IF($A360&lt;&gt;"",'All Cases - Enter Cases'!H360,"")</f>
        <v/>
      </c>
      <c r="J360" t="str">
        <f>IF($A360&lt;&gt;"",'All Cases - Enter Cases'!I360,"")</f>
        <v/>
      </c>
      <c r="K360" t="str">
        <f>IF($A360&lt;&gt;"",'All Cases - Enter Cases'!J360,"")</f>
        <v/>
      </c>
      <c r="L360" s="4" t="str">
        <f>IF($A360&lt;&gt;"",'All Cases - Enter Cases'!K360,"")</f>
        <v/>
      </c>
      <c r="M360" t="str">
        <f>IF($A360&lt;&gt;"",'All Cases - Enter Cases'!L360,"")</f>
        <v/>
      </c>
    </row>
    <row r="361" spans="1:13" x14ac:dyDescent="0.35">
      <c r="A361" s="4" t="str">
        <f>IF('All Cases - Enter Cases'!$K361="Approved",'All Cases - Enter Cases'!A361,"")</f>
        <v/>
      </c>
      <c r="B361" s="4" t="str">
        <f>IF($N361&lt;&gt;"",$N361,IF($A361&lt;&gt;"",'All Cases - Enter Cases'!$L361+7,""))</f>
        <v/>
      </c>
      <c r="C361" t="str">
        <f>IF($A361&lt;&gt;"",'All Cases - Enter Cases'!B361,"")</f>
        <v/>
      </c>
      <c r="D361" t="str">
        <f>IF($A361&lt;&gt;"",'All Cases - Enter Cases'!C361,"")</f>
        <v/>
      </c>
      <c r="E361" t="str">
        <f>IF($A361&lt;&gt;"",'All Cases - Enter Cases'!D361,"")</f>
        <v/>
      </c>
      <c r="F361" s="12" t="str">
        <f>IF($A361&lt;&gt;"",'All Cases - Enter Cases'!E361,"")</f>
        <v/>
      </c>
      <c r="G361" s="12" t="str">
        <f>IF($A361&lt;&gt;"",'All Cases - Enter Cases'!F361,"")</f>
        <v/>
      </c>
      <c r="H361" s="4" t="str">
        <f>IF($A361&lt;&gt;"",'All Cases - Enter Cases'!G361,"")</f>
        <v/>
      </c>
      <c r="I361" t="str">
        <f>IF($A361&lt;&gt;"",'All Cases - Enter Cases'!H361,"")</f>
        <v/>
      </c>
      <c r="J361" t="str">
        <f>IF($A361&lt;&gt;"",'All Cases - Enter Cases'!I361,"")</f>
        <v/>
      </c>
      <c r="K361" t="str">
        <f>IF($A361&lt;&gt;"",'All Cases - Enter Cases'!J361,"")</f>
        <v/>
      </c>
      <c r="L361" s="4" t="str">
        <f>IF($A361&lt;&gt;"",'All Cases - Enter Cases'!K361,"")</f>
        <v/>
      </c>
      <c r="M361" t="str">
        <f>IF($A361&lt;&gt;"",'All Cases - Enter Cases'!L361,"")</f>
        <v/>
      </c>
    </row>
    <row r="362" spans="1:13" x14ac:dyDescent="0.35">
      <c r="A362" s="4" t="str">
        <f>IF('All Cases - Enter Cases'!$K362="Approved",'All Cases - Enter Cases'!A362,"")</f>
        <v/>
      </c>
      <c r="B362" s="4" t="str">
        <f>IF($N362&lt;&gt;"",$N362,IF($A362&lt;&gt;"",'All Cases - Enter Cases'!$L362+7,""))</f>
        <v/>
      </c>
      <c r="C362" t="str">
        <f>IF($A362&lt;&gt;"",'All Cases - Enter Cases'!B362,"")</f>
        <v/>
      </c>
      <c r="D362" t="str">
        <f>IF($A362&lt;&gt;"",'All Cases - Enter Cases'!C362,"")</f>
        <v/>
      </c>
      <c r="E362" t="str">
        <f>IF($A362&lt;&gt;"",'All Cases - Enter Cases'!D362,"")</f>
        <v/>
      </c>
      <c r="F362" s="12" t="str">
        <f>IF($A362&lt;&gt;"",'All Cases - Enter Cases'!E362,"")</f>
        <v/>
      </c>
      <c r="G362" s="12" t="str">
        <f>IF($A362&lt;&gt;"",'All Cases - Enter Cases'!F362,"")</f>
        <v/>
      </c>
      <c r="H362" s="4" t="str">
        <f>IF($A362&lt;&gt;"",'All Cases - Enter Cases'!G362,"")</f>
        <v/>
      </c>
      <c r="I362" t="str">
        <f>IF($A362&lt;&gt;"",'All Cases - Enter Cases'!H362,"")</f>
        <v/>
      </c>
      <c r="J362" t="str">
        <f>IF($A362&lt;&gt;"",'All Cases - Enter Cases'!I362,"")</f>
        <v/>
      </c>
      <c r="K362" t="str">
        <f>IF($A362&lt;&gt;"",'All Cases - Enter Cases'!J362,"")</f>
        <v/>
      </c>
      <c r="L362" s="4" t="str">
        <f>IF($A362&lt;&gt;"",'All Cases - Enter Cases'!K362,"")</f>
        <v/>
      </c>
      <c r="M362" t="str">
        <f>IF($A362&lt;&gt;"",'All Cases - Enter Cases'!L362,"")</f>
        <v/>
      </c>
    </row>
    <row r="363" spans="1:13" x14ac:dyDescent="0.35">
      <c r="A363" s="4" t="str">
        <f>IF('All Cases - Enter Cases'!$K363="Approved",'All Cases - Enter Cases'!A363,"")</f>
        <v/>
      </c>
      <c r="B363" s="4" t="str">
        <f>IF($N363&lt;&gt;"",$N363,IF($A363&lt;&gt;"",'All Cases - Enter Cases'!$L363+7,""))</f>
        <v/>
      </c>
      <c r="C363" t="str">
        <f>IF($A363&lt;&gt;"",'All Cases - Enter Cases'!B363,"")</f>
        <v/>
      </c>
      <c r="D363" t="str">
        <f>IF($A363&lt;&gt;"",'All Cases - Enter Cases'!C363,"")</f>
        <v/>
      </c>
      <c r="E363" t="str">
        <f>IF($A363&lt;&gt;"",'All Cases - Enter Cases'!D363,"")</f>
        <v/>
      </c>
      <c r="F363" s="12" t="str">
        <f>IF($A363&lt;&gt;"",'All Cases - Enter Cases'!E363,"")</f>
        <v/>
      </c>
      <c r="G363" s="12" t="str">
        <f>IF($A363&lt;&gt;"",'All Cases - Enter Cases'!F363,"")</f>
        <v/>
      </c>
      <c r="H363" s="4" t="str">
        <f>IF($A363&lt;&gt;"",'All Cases - Enter Cases'!G363,"")</f>
        <v/>
      </c>
      <c r="I363" t="str">
        <f>IF($A363&lt;&gt;"",'All Cases - Enter Cases'!H363,"")</f>
        <v/>
      </c>
      <c r="J363" t="str">
        <f>IF($A363&lt;&gt;"",'All Cases - Enter Cases'!I363,"")</f>
        <v/>
      </c>
      <c r="K363" t="str">
        <f>IF($A363&lt;&gt;"",'All Cases - Enter Cases'!J363,"")</f>
        <v/>
      </c>
      <c r="L363" s="4" t="str">
        <f>IF($A363&lt;&gt;"",'All Cases - Enter Cases'!K363,"")</f>
        <v/>
      </c>
      <c r="M363" t="str">
        <f>IF($A363&lt;&gt;"",'All Cases - Enter Cases'!L363,"")</f>
        <v/>
      </c>
    </row>
    <row r="364" spans="1:13" x14ac:dyDescent="0.35">
      <c r="A364" s="4" t="str">
        <f>IF('All Cases - Enter Cases'!$K364="Approved",'All Cases - Enter Cases'!A364,"")</f>
        <v/>
      </c>
      <c r="B364" s="4" t="str">
        <f>IF($N364&lt;&gt;"",$N364,IF($A364&lt;&gt;"",'All Cases - Enter Cases'!$L364+7,""))</f>
        <v/>
      </c>
      <c r="C364" t="str">
        <f>IF($A364&lt;&gt;"",'All Cases - Enter Cases'!B364,"")</f>
        <v/>
      </c>
      <c r="D364" t="str">
        <f>IF($A364&lt;&gt;"",'All Cases - Enter Cases'!C364,"")</f>
        <v/>
      </c>
      <c r="E364" t="str">
        <f>IF($A364&lt;&gt;"",'All Cases - Enter Cases'!D364,"")</f>
        <v/>
      </c>
      <c r="F364" s="12" t="str">
        <f>IF($A364&lt;&gt;"",'All Cases - Enter Cases'!E364,"")</f>
        <v/>
      </c>
      <c r="G364" s="12" t="str">
        <f>IF($A364&lt;&gt;"",'All Cases - Enter Cases'!F364,"")</f>
        <v/>
      </c>
      <c r="H364" s="4" t="str">
        <f>IF($A364&lt;&gt;"",'All Cases - Enter Cases'!G364,"")</f>
        <v/>
      </c>
      <c r="I364" t="str">
        <f>IF($A364&lt;&gt;"",'All Cases - Enter Cases'!H364,"")</f>
        <v/>
      </c>
      <c r="J364" t="str">
        <f>IF($A364&lt;&gt;"",'All Cases - Enter Cases'!I364,"")</f>
        <v/>
      </c>
      <c r="K364" t="str">
        <f>IF($A364&lt;&gt;"",'All Cases - Enter Cases'!J364,"")</f>
        <v/>
      </c>
      <c r="L364" s="4" t="str">
        <f>IF($A364&lt;&gt;"",'All Cases - Enter Cases'!K364,"")</f>
        <v/>
      </c>
      <c r="M364" t="str">
        <f>IF($A364&lt;&gt;"",'All Cases - Enter Cases'!L364,"")</f>
        <v/>
      </c>
    </row>
    <row r="365" spans="1:13" x14ac:dyDescent="0.35">
      <c r="A365" s="4" t="str">
        <f>IF('All Cases - Enter Cases'!$K365="Approved",'All Cases - Enter Cases'!A365,"")</f>
        <v/>
      </c>
      <c r="B365" s="4" t="str">
        <f>IF($N365&lt;&gt;"",$N365,IF($A365&lt;&gt;"",'All Cases - Enter Cases'!$L365+7,""))</f>
        <v/>
      </c>
      <c r="C365" t="str">
        <f>IF($A365&lt;&gt;"",'All Cases - Enter Cases'!B365,"")</f>
        <v/>
      </c>
      <c r="D365" t="str">
        <f>IF($A365&lt;&gt;"",'All Cases - Enter Cases'!C365,"")</f>
        <v/>
      </c>
      <c r="E365" t="str">
        <f>IF($A365&lt;&gt;"",'All Cases - Enter Cases'!D365,"")</f>
        <v/>
      </c>
      <c r="F365" s="12" t="str">
        <f>IF($A365&lt;&gt;"",'All Cases - Enter Cases'!E365,"")</f>
        <v/>
      </c>
      <c r="G365" s="12" t="str">
        <f>IF($A365&lt;&gt;"",'All Cases - Enter Cases'!F365,"")</f>
        <v/>
      </c>
      <c r="H365" s="4" t="str">
        <f>IF($A365&lt;&gt;"",'All Cases - Enter Cases'!G365,"")</f>
        <v/>
      </c>
      <c r="I365" t="str">
        <f>IF($A365&lt;&gt;"",'All Cases - Enter Cases'!H365,"")</f>
        <v/>
      </c>
      <c r="J365" t="str">
        <f>IF($A365&lt;&gt;"",'All Cases - Enter Cases'!I365,"")</f>
        <v/>
      </c>
      <c r="K365" t="str">
        <f>IF($A365&lt;&gt;"",'All Cases - Enter Cases'!J365,"")</f>
        <v/>
      </c>
      <c r="L365" s="4" t="str">
        <f>IF($A365&lt;&gt;"",'All Cases - Enter Cases'!K365,"")</f>
        <v/>
      </c>
      <c r="M365" t="str">
        <f>IF($A365&lt;&gt;"",'All Cases - Enter Cases'!L365,"")</f>
        <v/>
      </c>
    </row>
    <row r="366" spans="1:13" x14ac:dyDescent="0.35">
      <c r="A366" s="4" t="str">
        <f>IF('All Cases - Enter Cases'!$K366="Approved",'All Cases - Enter Cases'!A366,"")</f>
        <v/>
      </c>
      <c r="B366" s="4" t="str">
        <f>IF($N366&lt;&gt;"",$N366,IF($A366&lt;&gt;"",'All Cases - Enter Cases'!$L366+7,""))</f>
        <v/>
      </c>
      <c r="C366" t="str">
        <f>IF($A366&lt;&gt;"",'All Cases - Enter Cases'!B366,"")</f>
        <v/>
      </c>
      <c r="D366" t="str">
        <f>IF($A366&lt;&gt;"",'All Cases - Enter Cases'!C366,"")</f>
        <v/>
      </c>
      <c r="E366" t="str">
        <f>IF($A366&lt;&gt;"",'All Cases - Enter Cases'!D366,"")</f>
        <v/>
      </c>
      <c r="F366" s="12" t="str">
        <f>IF($A366&lt;&gt;"",'All Cases - Enter Cases'!E366,"")</f>
        <v/>
      </c>
      <c r="G366" s="12" t="str">
        <f>IF($A366&lt;&gt;"",'All Cases - Enter Cases'!F366,"")</f>
        <v/>
      </c>
      <c r="H366" s="4" t="str">
        <f>IF($A366&lt;&gt;"",'All Cases - Enter Cases'!G366,"")</f>
        <v/>
      </c>
      <c r="I366" t="str">
        <f>IF($A366&lt;&gt;"",'All Cases - Enter Cases'!H366,"")</f>
        <v/>
      </c>
      <c r="J366" t="str">
        <f>IF($A366&lt;&gt;"",'All Cases - Enter Cases'!I366,"")</f>
        <v/>
      </c>
      <c r="K366" t="str">
        <f>IF($A366&lt;&gt;"",'All Cases - Enter Cases'!J366,"")</f>
        <v/>
      </c>
      <c r="L366" s="4" t="str">
        <f>IF($A366&lt;&gt;"",'All Cases - Enter Cases'!K366,"")</f>
        <v/>
      </c>
      <c r="M366" t="str">
        <f>IF($A366&lt;&gt;"",'All Cases - Enter Cases'!L366,"")</f>
        <v/>
      </c>
    </row>
    <row r="367" spans="1:13" x14ac:dyDescent="0.35">
      <c r="A367" s="4" t="str">
        <f>IF('All Cases - Enter Cases'!$K367="Approved",'All Cases - Enter Cases'!A367,"")</f>
        <v/>
      </c>
      <c r="B367" s="4" t="str">
        <f>IF($N367&lt;&gt;"",$N367,IF($A367&lt;&gt;"",'All Cases - Enter Cases'!$L367+7,""))</f>
        <v/>
      </c>
      <c r="C367" t="str">
        <f>IF($A367&lt;&gt;"",'All Cases - Enter Cases'!B367,"")</f>
        <v/>
      </c>
      <c r="D367" t="str">
        <f>IF($A367&lt;&gt;"",'All Cases - Enter Cases'!C367,"")</f>
        <v/>
      </c>
      <c r="E367" t="str">
        <f>IF($A367&lt;&gt;"",'All Cases - Enter Cases'!D367,"")</f>
        <v/>
      </c>
      <c r="F367" s="12" t="str">
        <f>IF($A367&lt;&gt;"",'All Cases - Enter Cases'!E367,"")</f>
        <v/>
      </c>
      <c r="G367" s="12" t="str">
        <f>IF($A367&lt;&gt;"",'All Cases - Enter Cases'!F367,"")</f>
        <v/>
      </c>
      <c r="H367" s="4" t="str">
        <f>IF($A367&lt;&gt;"",'All Cases - Enter Cases'!G367,"")</f>
        <v/>
      </c>
      <c r="I367" t="str">
        <f>IF($A367&lt;&gt;"",'All Cases - Enter Cases'!H367,"")</f>
        <v/>
      </c>
      <c r="J367" t="str">
        <f>IF($A367&lt;&gt;"",'All Cases - Enter Cases'!I367,"")</f>
        <v/>
      </c>
      <c r="K367" t="str">
        <f>IF($A367&lt;&gt;"",'All Cases - Enter Cases'!J367,"")</f>
        <v/>
      </c>
      <c r="L367" s="4" t="str">
        <f>IF($A367&lt;&gt;"",'All Cases - Enter Cases'!K367,"")</f>
        <v/>
      </c>
      <c r="M367" t="str">
        <f>IF($A367&lt;&gt;"",'All Cases - Enter Cases'!L367,"")</f>
        <v/>
      </c>
    </row>
    <row r="368" spans="1:13" x14ac:dyDescent="0.35">
      <c r="A368" s="4" t="str">
        <f>IF('All Cases - Enter Cases'!$K368="Approved",'All Cases - Enter Cases'!A368,"")</f>
        <v/>
      </c>
      <c r="B368" s="4" t="str">
        <f>IF($N368&lt;&gt;"",$N368,IF($A368&lt;&gt;"",'All Cases - Enter Cases'!$L368+7,""))</f>
        <v/>
      </c>
      <c r="C368" t="str">
        <f>IF($A368&lt;&gt;"",'All Cases - Enter Cases'!B368,"")</f>
        <v/>
      </c>
      <c r="D368" t="str">
        <f>IF($A368&lt;&gt;"",'All Cases - Enter Cases'!C368,"")</f>
        <v/>
      </c>
      <c r="E368" t="str">
        <f>IF($A368&lt;&gt;"",'All Cases - Enter Cases'!D368,"")</f>
        <v/>
      </c>
      <c r="F368" s="12" t="str">
        <f>IF($A368&lt;&gt;"",'All Cases - Enter Cases'!E368,"")</f>
        <v/>
      </c>
      <c r="G368" s="12" t="str">
        <f>IF($A368&lt;&gt;"",'All Cases - Enter Cases'!F368,"")</f>
        <v/>
      </c>
      <c r="H368" s="4" t="str">
        <f>IF($A368&lt;&gt;"",'All Cases - Enter Cases'!G368,"")</f>
        <v/>
      </c>
      <c r="I368" t="str">
        <f>IF($A368&lt;&gt;"",'All Cases - Enter Cases'!H368,"")</f>
        <v/>
      </c>
      <c r="J368" t="str">
        <f>IF($A368&lt;&gt;"",'All Cases - Enter Cases'!I368,"")</f>
        <v/>
      </c>
      <c r="K368" t="str">
        <f>IF($A368&lt;&gt;"",'All Cases - Enter Cases'!J368,"")</f>
        <v/>
      </c>
      <c r="L368" s="4" t="str">
        <f>IF($A368&lt;&gt;"",'All Cases - Enter Cases'!K368,"")</f>
        <v/>
      </c>
      <c r="M368" t="str">
        <f>IF($A368&lt;&gt;"",'All Cases - Enter Cases'!L368,"")</f>
        <v/>
      </c>
    </row>
    <row r="369" spans="1:13" x14ac:dyDescent="0.35">
      <c r="A369" s="4" t="str">
        <f>IF('All Cases - Enter Cases'!$K369="Approved",'All Cases - Enter Cases'!A369,"")</f>
        <v/>
      </c>
      <c r="B369" s="4" t="str">
        <f>IF($N369&lt;&gt;"",$N369,IF($A369&lt;&gt;"",'All Cases - Enter Cases'!$L369+7,""))</f>
        <v/>
      </c>
      <c r="C369" t="str">
        <f>IF($A369&lt;&gt;"",'All Cases - Enter Cases'!B369,"")</f>
        <v/>
      </c>
      <c r="D369" t="str">
        <f>IF($A369&lt;&gt;"",'All Cases - Enter Cases'!C369,"")</f>
        <v/>
      </c>
      <c r="E369" t="str">
        <f>IF($A369&lt;&gt;"",'All Cases - Enter Cases'!D369,"")</f>
        <v/>
      </c>
      <c r="F369" s="12" t="str">
        <f>IF($A369&lt;&gt;"",'All Cases - Enter Cases'!E369,"")</f>
        <v/>
      </c>
      <c r="G369" s="12" t="str">
        <f>IF($A369&lt;&gt;"",'All Cases - Enter Cases'!F369,"")</f>
        <v/>
      </c>
      <c r="H369" s="4" t="str">
        <f>IF($A369&lt;&gt;"",'All Cases - Enter Cases'!G369,"")</f>
        <v/>
      </c>
      <c r="I369" t="str">
        <f>IF($A369&lt;&gt;"",'All Cases - Enter Cases'!H369,"")</f>
        <v/>
      </c>
      <c r="J369" t="str">
        <f>IF($A369&lt;&gt;"",'All Cases - Enter Cases'!I369,"")</f>
        <v/>
      </c>
      <c r="K369" t="str">
        <f>IF($A369&lt;&gt;"",'All Cases - Enter Cases'!J369,"")</f>
        <v/>
      </c>
      <c r="L369" s="4" t="str">
        <f>IF($A369&lt;&gt;"",'All Cases - Enter Cases'!K369,"")</f>
        <v/>
      </c>
      <c r="M369" t="str">
        <f>IF($A369&lt;&gt;"",'All Cases - Enter Cases'!L369,"")</f>
        <v/>
      </c>
    </row>
    <row r="370" spans="1:13" x14ac:dyDescent="0.35">
      <c r="A370" s="4" t="str">
        <f>IF('All Cases - Enter Cases'!$K370="Approved",'All Cases - Enter Cases'!A370,"")</f>
        <v/>
      </c>
      <c r="B370" s="4" t="str">
        <f>IF($N370&lt;&gt;"",$N370,IF($A370&lt;&gt;"",'All Cases - Enter Cases'!$L370+7,""))</f>
        <v/>
      </c>
      <c r="C370" t="str">
        <f>IF($A370&lt;&gt;"",'All Cases - Enter Cases'!B370,"")</f>
        <v/>
      </c>
      <c r="D370" t="str">
        <f>IF($A370&lt;&gt;"",'All Cases - Enter Cases'!C370,"")</f>
        <v/>
      </c>
      <c r="E370" t="str">
        <f>IF($A370&lt;&gt;"",'All Cases - Enter Cases'!D370,"")</f>
        <v/>
      </c>
      <c r="F370" s="12" t="str">
        <f>IF($A370&lt;&gt;"",'All Cases - Enter Cases'!E370,"")</f>
        <v/>
      </c>
      <c r="G370" s="12" t="str">
        <f>IF($A370&lt;&gt;"",'All Cases - Enter Cases'!F370,"")</f>
        <v/>
      </c>
      <c r="H370" s="4" t="str">
        <f>IF($A370&lt;&gt;"",'All Cases - Enter Cases'!G370,"")</f>
        <v/>
      </c>
      <c r="I370" t="str">
        <f>IF($A370&lt;&gt;"",'All Cases - Enter Cases'!H370,"")</f>
        <v/>
      </c>
      <c r="J370" t="str">
        <f>IF($A370&lt;&gt;"",'All Cases - Enter Cases'!I370,"")</f>
        <v/>
      </c>
      <c r="K370" t="str">
        <f>IF($A370&lt;&gt;"",'All Cases - Enter Cases'!J370,"")</f>
        <v/>
      </c>
      <c r="L370" s="4" t="str">
        <f>IF($A370&lt;&gt;"",'All Cases - Enter Cases'!K370,"")</f>
        <v/>
      </c>
      <c r="M370" t="str">
        <f>IF($A370&lt;&gt;"",'All Cases - Enter Cases'!L370,"")</f>
        <v/>
      </c>
    </row>
    <row r="371" spans="1:13" x14ac:dyDescent="0.35">
      <c r="A371" s="4" t="str">
        <f>IF('All Cases - Enter Cases'!$K371="Approved",'All Cases - Enter Cases'!A371,"")</f>
        <v/>
      </c>
      <c r="B371" s="4" t="str">
        <f>IF($N371&lt;&gt;"",$N371,IF($A371&lt;&gt;"",'All Cases - Enter Cases'!$L371+7,""))</f>
        <v/>
      </c>
      <c r="C371" t="str">
        <f>IF($A371&lt;&gt;"",'All Cases - Enter Cases'!B371,"")</f>
        <v/>
      </c>
      <c r="D371" t="str">
        <f>IF($A371&lt;&gt;"",'All Cases - Enter Cases'!C371,"")</f>
        <v/>
      </c>
      <c r="E371" t="str">
        <f>IF($A371&lt;&gt;"",'All Cases - Enter Cases'!D371,"")</f>
        <v/>
      </c>
      <c r="F371" s="12" t="str">
        <f>IF($A371&lt;&gt;"",'All Cases - Enter Cases'!E371,"")</f>
        <v/>
      </c>
      <c r="G371" s="12" t="str">
        <f>IF($A371&lt;&gt;"",'All Cases - Enter Cases'!F371,"")</f>
        <v/>
      </c>
      <c r="H371" s="4" t="str">
        <f>IF($A371&lt;&gt;"",'All Cases - Enter Cases'!G371,"")</f>
        <v/>
      </c>
      <c r="I371" t="str">
        <f>IF($A371&lt;&gt;"",'All Cases - Enter Cases'!H371,"")</f>
        <v/>
      </c>
      <c r="J371" t="str">
        <f>IF($A371&lt;&gt;"",'All Cases - Enter Cases'!I371,"")</f>
        <v/>
      </c>
      <c r="K371" t="str">
        <f>IF($A371&lt;&gt;"",'All Cases - Enter Cases'!J371,"")</f>
        <v/>
      </c>
      <c r="L371" s="4" t="str">
        <f>IF($A371&lt;&gt;"",'All Cases - Enter Cases'!K371,"")</f>
        <v/>
      </c>
      <c r="M371" t="str">
        <f>IF($A371&lt;&gt;"",'All Cases - Enter Cases'!L371,"")</f>
        <v/>
      </c>
    </row>
    <row r="372" spans="1:13" x14ac:dyDescent="0.35">
      <c r="A372" s="4" t="str">
        <f>IF('All Cases - Enter Cases'!$K372="Approved",'All Cases - Enter Cases'!A372,"")</f>
        <v/>
      </c>
      <c r="B372" s="4" t="str">
        <f>IF($N372&lt;&gt;"",$N372,IF($A372&lt;&gt;"",'All Cases - Enter Cases'!$L372+7,""))</f>
        <v/>
      </c>
      <c r="C372" t="str">
        <f>IF($A372&lt;&gt;"",'All Cases - Enter Cases'!B372,"")</f>
        <v/>
      </c>
      <c r="D372" t="str">
        <f>IF($A372&lt;&gt;"",'All Cases - Enter Cases'!C372,"")</f>
        <v/>
      </c>
      <c r="E372" t="str">
        <f>IF($A372&lt;&gt;"",'All Cases - Enter Cases'!D372,"")</f>
        <v/>
      </c>
      <c r="F372" s="12" t="str">
        <f>IF($A372&lt;&gt;"",'All Cases - Enter Cases'!E372,"")</f>
        <v/>
      </c>
      <c r="G372" s="12" t="str">
        <f>IF($A372&lt;&gt;"",'All Cases - Enter Cases'!F372,"")</f>
        <v/>
      </c>
      <c r="H372" s="4" t="str">
        <f>IF($A372&lt;&gt;"",'All Cases - Enter Cases'!G372,"")</f>
        <v/>
      </c>
      <c r="I372" t="str">
        <f>IF($A372&lt;&gt;"",'All Cases - Enter Cases'!H372,"")</f>
        <v/>
      </c>
      <c r="J372" t="str">
        <f>IF($A372&lt;&gt;"",'All Cases - Enter Cases'!I372,"")</f>
        <v/>
      </c>
      <c r="K372" t="str">
        <f>IF($A372&lt;&gt;"",'All Cases - Enter Cases'!J372,"")</f>
        <v/>
      </c>
      <c r="L372" s="4" t="str">
        <f>IF($A372&lt;&gt;"",'All Cases - Enter Cases'!K372,"")</f>
        <v/>
      </c>
      <c r="M372" t="str">
        <f>IF($A372&lt;&gt;"",'All Cases - Enter Cases'!L372,"")</f>
        <v/>
      </c>
    </row>
    <row r="373" spans="1:13" x14ac:dyDescent="0.35">
      <c r="A373" s="4" t="str">
        <f>IF('All Cases - Enter Cases'!$K373="Approved",'All Cases - Enter Cases'!A373,"")</f>
        <v/>
      </c>
      <c r="B373" s="4" t="str">
        <f>IF($N373&lt;&gt;"",$N373,IF($A373&lt;&gt;"",'All Cases - Enter Cases'!$L373+7,""))</f>
        <v/>
      </c>
      <c r="C373" t="str">
        <f>IF($A373&lt;&gt;"",'All Cases - Enter Cases'!B373,"")</f>
        <v/>
      </c>
      <c r="D373" t="str">
        <f>IF($A373&lt;&gt;"",'All Cases - Enter Cases'!C373,"")</f>
        <v/>
      </c>
      <c r="E373" t="str">
        <f>IF($A373&lt;&gt;"",'All Cases - Enter Cases'!D373,"")</f>
        <v/>
      </c>
      <c r="F373" s="12" t="str">
        <f>IF($A373&lt;&gt;"",'All Cases - Enter Cases'!E373,"")</f>
        <v/>
      </c>
      <c r="G373" s="12" t="str">
        <f>IF($A373&lt;&gt;"",'All Cases - Enter Cases'!F373,"")</f>
        <v/>
      </c>
      <c r="H373" s="4" t="str">
        <f>IF($A373&lt;&gt;"",'All Cases - Enter Cases'!G373,"")</f>
        <v/>
      </c>
      <c r="I373" t="str">
        <f>IF($A373&lt;&gt;"",'All Cases - Enter Cases'!H373,"")</f>
        <v/>
      </c>
      <c r="J373" t="str">
        <f>IF($A373&lt;&gt;"",'All Cases - Enter Cases'!I373,"")</f>
        <v/>
      </c>
      <c r="K373" t="str">
        <f>IF($A373&lt;&gt;"",'All Cases - Enter Cases'!J373,"")</f>
        <v/>
      </c>
      <c r="L373" s="4" t="str">
        <f>IF($A373&lt;&gt;"",'All Cases - Enter Cases'!K373,"")</f>
        <v/>
      </c>
      <c r="M373" t="str">
        <f>IF($A373&lt;&gt;"",'All Cases - Enter Cases'!L373,"")</f>
        <v/>
      </c>
    </row>
    <row r="374" spans="1:13" x14ac:dyDescent="0.35">
      <c r="A374" s="4" t="str">
        <f>IF('All Cases - Enter Cases'!$K374="Approved",'All Cases - Enter Cases'!A374,"")</f>
        <v/>
      </c>
      <c r="B374" s="4" t="str">
        <f>IF($N374&lt;&gt;"",$N374,IF($A374&lt;&gt;"",'All Cases - Enter Cases'!$L374+7,""))</f>
        <v/>
      </c>
      <c r="C374" t="str">
        <f>IF($A374&lt;&gt;"",'All Cases - Enter Cases'!B374,"")</f>
        <v/>
      </c>
      <c r="D374" t="str">
        <f>IF($A374&lt;&gt;"",'All Cases - Enter Cases'!C374,"")</f>
        <v/>
      </c>
      <c r="E374" t="str">
        <f>IF($A374&lt;&gt;"",'All Cases - Enter Cases'!D374,"")</f>
        <v/>
      </c>
      <c r="F374" s="12" t="str">
        <f>IF($A374&lt;&gt;"",'All Cases - Enter Cases'!E374,"")</f>
        <v/>
      </c>
      <c r="G374" s="12" t="str">
        <f>IF($A374&lt;&gt;"",'All Cases - Enter Cases'!F374,"")</f>
        <v/>
      </c>
      <c r="H374" s="4" t="str">
        <f>IF($A374&lt;&gt;"",'All Cases - Enter Cases'!G374,"")</f>
        <v/>
      </c>
      <c r="I374" t="str">
        <f>IF($A374&lt;&gt;"",'All Cases - Enter Cases'!H374,"")</f>
        <v/>
      </c>
      <c r="J374" t="str">
        <f>IF($A374&lt;&gt;"",'All Cases - Enter Cases'!I374,"")</f>
        <v/>
      </c>
      <c r="K374" t="str">
        <f>IF($A374&lt;&gt;"",'All Cases - Enter Cases'!J374,"")</f>
        <v/>
      </c>
      <c r="L374" s="4" t="str">
        <f>IF($A374&lt;&gt;"",'All Cases - Enter Cases'!K374,"")</f>
        <v/>
      </c>
      <c r="M374" t="str">
        <f>IF($A374&lt;&gt;"",'All Cases - Enter Cases'!L374,"")</f>
        <v/>
      </c>
    </row>
    <row r="375" spans="1:13" x14ac:dyDescent="0.35">
      <c r="A375" s="4" t="str">
        <f>IF('All Cases - Enter Cases'!$K375="Approved",'All Cases - Enter Cases'!A375,"")</f>
        <v/>
      </c>
      <c r="B375" s="4" t="str">
        <f>IF($N375&lt;&gt;"",$N375,IF($A375&lt;&gt;"",'All Cases - Enter Cases'!$L375+7,""))</f>
        <v/>
      </c>
      <c r="C375" t="str">
        <f>IF($A375&lt;&gt;"",'All Cases - Enter Cases'!B375,"")</f>
        <v/>
      </c>
      <c r="D375" t="str">
        <f>IF($A375&lt;&gt;"",'All Cases - Enter Cases'!C375,"")</f>
        <v/>
      </c>
      <c r="E375" t="str">
        <f>IF($A375&lt;&gt;"",'All Cases - Enter Cases'!D375,"")</f>
        <v/>
      </c>
      <c r="F375" s="12" t="str">
        <f>IF($A375&lt;&gt;"",'All Cases - Enter Cases'!E375,"")</f>
        <v/>
      </c>
      <c r="G375" s="12" t="str">
        <f>IF($A375&lt;&gt;"",'All Cases - Enter Cases'!F375,"")</f>
        <v/>
      </c>
      <c r="H375" s="4" t="str">
        <f>IF($A375&lt;&gt;"",'All Cases - Enter Cases'!G375,"")</f>
        <v/>
      </c>
      <c r="I375" t="str">
        <f>IF($A375&lt;&gt;"",'All Cases - Enter Cases'!H375,"")</f>
        <v/>
      </c>
      <c r="J375" t="str">
        <f>IF($A375&lt;&gt;"",'All Cases - Enter Cases'!I375,"")</f>
        <v/>
      </c>
      <c r="K375" t="str">
        <f>IF($A375&lt;&gt;"",'All Cases - Enter Cases'!J375,"")</f>
        <v/>
      </c>
      <c r="L375" s="4" t="str">
        <f>IF($A375&lt;&gt;"",'All Cases - Enter Cases'!K375,"")</f>
        <v/>
      </c>
      <c r="M375" t="str">
        <f>IF($A375&lt;&gt;"",'All Cases - Enter Cases'!L375,"")</f>
        <v/>
      </c>
    </row>
    <row r="376" spans="1:13" x14ac:dyDescent="0.35">
      <c r="A376" s="4" t="str">
        <f>IF('All Cases - Enter Cases'!$K376="Approved",'All Cases - Enter Cases'!A376,"")</f>
        <v/>
      </c>
      <c r="B376" s="4" t="str">
        <f>IF($N376&lt;&gt;"",$N376,IF($A376&lt;&gt;"",'All Cases - Enter Cases'!$L376+7,""))</f>
        <v/>
      </c>
      <c r="C376" t="str">
        <f>IF($A376&lt;&gt;"",'All Cases - Enter Cases'!B376,"")</f>
        <v/>
      </c>
      <c r="D376" t="str">
        <f>IF($A376&lt;&gt;"",'All Cases - Enter Cases'!C376,"")</f>
        <v/>
      </c>
      <c r="E376" t="str">
        <f>IF($A376&lt;&gt;"",'All Cases - Enter Cases'!D376,"")</f>
        <v/>
      </c>
      <c r="F376" s="12" t="str">
        <f>IF($A376&lt;&gt;"",'All Cases - Enter Cases'!E376,"")</f>
        <v/>
      </c>
      <c r="G376" s="12" t="str">
        <f>IF($A376&lt;&gt;"",'All Cases - Enter Cases'!F376,"")</f>
        <v/>
      </c>
      <c r="H376" s="4" t="str">
        <f>IF($A376&lt;&gt;"",'All Cases - Enter Cases'!G376,"")</f>
        <v/>
      </c>
      <c r="I376" t="str">
        <f>IF($A376&lt;&gt;"",'All Cases - Enter Cases'!H376,"")</f>
        <v/>
      </c>
      <c r="J376" t="str">
        <f>IF($A376&lt;&gt;"",'All Cases - Enter Cases'!I376,"")</f>
        <v/>
      </c>
      <c r="K376" t="str">
        <f>IF($A376&lt;&gt;"",'All Cases - Enter Cases'!J376,"")</f>
        <v/>
      </c>
      <c r="L376" s="4" t="str">
        <f>IF($A376&lt;&gt;"",'All Cases - Enter Cases'!K376,"")</f>
        <v/>
      </c>
      <c r="M376" t="str">
        <f>IF($A376&lt;&gt;"",'All Cases - Enter Cases'!L376,"")</f>
        <v/>
      </c>
    </row>
    <row r="377" spans="1:13" x14ac:dyDescent="0.35">
      <c r="A377" s="4" t="str">
        <f>IF('All Cases - Enter Cases'!$K377="Approved",'All Cases - Enter Cases'!A377,"")</f>
        <v/>
      </c>
      <c r="B377" s="4" t="str">
        <f>IF($N377&lt;&gt;"",$N377,IF($A377&lt;&gt;"",'All Cases - Enter Cases'!$L377+7,""))</f>
        <v/>
      </c>
      <c r="C377" t="str">
        <f>IF($A377&lt;&gt;"",'All Cases - Enter Cases'!B377,"")</f>
        <v/>
      </c>
      <c r="D377" t="str">
        <f>IF($A377&lt;&gt;"",'All Cases - Enter Cases'!C377,"")</f>
        <v/>
      </c>
      <c r="E377" t="str">
        <f>IF($A377&lt;&gt;"",'All Cases - Enter Cases'!D377,"")</f>
        <v/>
      </c>
      <c r="F377" s="12" t="str">
        <f>IF($A377&lt;&gt;"",'All Cases - Enter Cases'!E377,"")</f>
        <v/>
      </c>
      <c r="G377" s="12" t="str">
        <f>IF($A377&lt;&gt;"",'All Cases - Enter Cases'!F377,"")</f>
        <v/>
      </c>
      <c r="H377" s="4" t="str">
        <f>IF($A377&lt;&gt;"",'All Cases - Enter Cases'!G377,"")</f>
        <v/>
      </c>
      <c r="I377" t="str">
        <f>IF($A377&lt;&gt;"",'All Cases - Enter Cases'!H377,"")</f>
        <v/>
      </c>
      <c r="J377" t="str">
        <f>IF($A377&lt;&gt;"",'All Cases - Enter Cases'!I377,"")</f>
        <v/>
      </c>
      <c r="K377" t="str">
        <f>IF($A377&lt;&gt;"",'All Cases - Enter Cases'!J377,"")</f>
        <v/>
      </c>
      <c r="L377" s="4" t="str">
        <f>IF($A377&lt;&gt;"",'All Cases - Enter Cases'!K377,"")</f>
        <v/>
      </c>
      <c r="M377" t="str">
        <f>IF($A377&lt;&gt;"",'All Cases - Enter Cases'!L377,"")</f>
        <v/>
      </c>
    </row>
    <row r="378" spans="1:13" x14ac:dyDescent="0.35">
      <c r="A378" s="4" t="str">
        <f>IF('All Cases - Enter Cases'!$K378="Approved",'All Cases - Enter Cases'!A378,"")</f>
        <v/>
      </c>
      <c r="B378" s="4" t="str">
        <f>IF($N378&lt;&gt;"",$N378,IF($A378&lt;&gt;"",'All Cases - Enter Cases'!$L378+7,""))</f>
        <v/>
      </c>
      <c r="C378" t="str">
        <f>IF($A378&lt;&gt;"",'All Cases - Enter Cases'!B378,"")</f>
        <v/>
      </c>
      <c r="D378" t="str">
        <f>IF($A378&lt;&gt;"",'All Cases - Enter Cases'!C378,"")</f>
        <v/>
      </c>
      <c r="E378" t="str">
        <f>IF($A378&lt;&gt;"",'All Cases - Enter Cases'!D378,"")</f>
        <v/>
      </c>
      <c r="F378" s="12" t="str">
        <f>IF($A378&lt;&gt;"",'All Cases - Enter Cases'!E378,"")</f>
        <v/>
      </c>
      <c r="G378" s="12" t="str">
        <f>IF($A378&lt;&gt;"",'All Cases - Enter Cases'!F378,"")</f>
        <v/>
      </c>
      <c r="H378" s="4" t="str">
        <f>IF($A378&lt;&gt;"",'All Cases - Enter Cases'!G378,"")</f>
        <v/>
      </c>
      <c r="I378" t="str">
        <f>IF($A378&lt;&gt;"",'All Cases - Enter Cases'!H378,"")</f>
        <v/>
      </c>
      <c r="J378" t="str">
        <f>IF($A378&lt;&gt;"",'All Cases - Enter Cases'!I378,"")</f>
        <v/>
      </c>
      <c r="K378" t="str">
        <f>IF($A378&lt;&gt;"",'All Cases - Enter Cases'!J378,"")</f>
        <v/>
      </c>
      <c r="L378" s="4" t="str">
        <f>IF($A378&lt;&gt;"",'All Cases - Enter Cases'!K378,"")</f>
        <v/>
      </c>
      <c r="M378" t="str">
        <f>IF($A378&lt;&gt;"",'All Cases - Enter Cases'!L378,"")</f>
        <v/>
      </c>
    </row>
    <row r="379" spans="1:13" x14ac:dyDescent="0.35">
      <c r="A379" s="4" t="str">
        <f>IF('All Cases - Enter Cases'!$K379="Approved",'All Cases - Enter Cases'!A379,"")</f>
        <v/>
      </c>
      <c r="B379" s="4" t="str">
        <f>IF($N379&lt;&gt;"",$N379,IF($A379&lt;&gt;"",'All Cases - Enter Cases'!$L379+7,""))</f>
        <v/>
      </c>
      <c r="C379" t="str">
        <f>IF($A379&lt;&gt;"",'All Cases - Enter Cases'!B379,"")</f>
        <v/>
      </c>
      <c r="D379" t="str">
        <f>IF($A379&lt;&gt;"",'All Cases - Enter Cases'!C379,"")</f>
        <v/>
      </c>
      <c r="E379" t="str">
        <f>IF($A379&lt;&gt;"",'All Cases - Enter Cases'!D379,"")</f>
        <v/>
      </c>
      <c r="F379" s="12" t="str">
        <f>IF($A379&lt;&gt;"",'All Cases - Enter Cases'!E379,"")</f>
        <v/>
      </c>
      <c r="G379" s="12" t="str">
        <f>IF($A379&lt;&gt;"",'All Cases - Enter Cases'!F379,"")</f>
        <v/>
      </c>
      <c r="H379" s="4" t="str">
        <f>IF($A379&lt;&gt;"",'All Cases - Enter Cases'!G379,"")</f>
        <v/>
      </c>
      <c r="I379" t="str">
        <f>IF($A379&lt;&gt;"",'All Cases - Enter Cases'!H379,"")</f>
        <v/>
      </c>
      <c r="J379" t="str">
        <f>IF($A379&lt;&gt;"",'All Cases - Enter Cases'!I379,"")</f>
        <v/>
      </c>
      <c r="K379" t="str">
        <f>IF($A379&lt;&gt;"",'All Cases - Enter Cases'!J379,"")</f>
        <v/>
      </c>
      <c r="L379" s="4" t="str">
        <f>IF($A379&lt;&gt;"",'All Cases - Enter Cases'!K379,"")</f>
        <v/>
      </c>
      <c r="M379" t="str">
        <f>IF($A379&lt;&gt;"",'All Cases - Enter Cases'!L379,"")</f>
        <v/>
      </c>
    </row>
    <row r="380" spans="1:13" x14ac:dyDescent="0.35">
      <c r="A380" s="4" t="str">
        <f>IF('All Cases - Enter Cases'!$K380="Approved",'All Cases - Enter Cases'!A380,"")</f>
        <v/>
      </c>
      <c r="B380" s="4" t="str">
        <f>IF($N380&lt;&gt;"",$N380,IF($A380&lt;&gt;"",'All Cases - Enter Cases'!$L380+7,""))</f>
        <v/>
      </c>
      <c r="C380" t="str">
        <f>IF($A380&lt;&gt;"",'All Cases - Enter Cases'!B380,"")</f>
        <v/>
      </c>
      <c r="D380" t="str">
        <f>IF($A380&lt;&gt;"",'All Cases - Enter Cases'!C380,"")</f>
        <v/>
      </c>
      <c r="E380" t="str">
        <f>IF($A380&lt;&gt;"",'All Cases - Enter Cases'!D380,"")</f>
        <v/>
      </c>
      <c r="F380" s="12" t="str">
        <f>IF($A380&lt;&gt;"",'All Cases - Enter Cases'!E380,"")</f>
        <v/>
      </c>
      <c r="G380" s="12" t="str">
        <f>IF($A380&lt;&gt;"",'All Cases - Enter Cases'!F380,"")</f>
        <v/>
      </c>
      <c r="H380" s="4" t="str">
        <f>IF($A380&lt;&gt;"",'All Cases - Enter Cases'!G380,"")</f>
        <v/>
      </c>
      <c r="I380" t="str">
        <f>IF($A380&lt;&gt;"",'All Cases - Enter Cases'!H380,"")</f>
        <v/>
      </c>
      <c r="J380" t="str">
        <f>IF($A380&lt;&gt;"",'All Cases - Enter Cases'!I380,"")</f>
        <v/>
      </c>
      <c r="K380" t="str">
        <f>IF($A380&lt;&gt;"",'All Cases - Enter Cases'!J380,"")</f>
        <v/>
      </c>
      <c r="L380" s="4" t="str">
        <f>IF($A380&lt;&gt;"",'All Cases - Enter Cases'!K380,"")</f>
        <v/>
      </c>
      <c r="M380" t="str">
        <f>IF($A380&lt;&gt;"",'All Cases - Enter Cases'!L380,"")</f>
        <v/>
      </c>
    </row>
    <row r="381" spans="1:13" x14ac:dyDescent="0.35">
      <c r="A381" s="4" t="str">
        <f>IF('All Cases - Enter Cases'!$K381="Approved",'All Cases - Enter Cases'!A381,"")</f>
        <v/>
      </c>
      <c r="B381" s="4" t="str">
        <f>IF($N381&lt;&gt;"",$N381,IF($A381&lt;&gt;"",'All Cases - Enter Cases'!$L381+7,""))</f>
        <v/>
      </c>
      <c r="C381" t="str">
        <f>IF($A381&lt;&gt;"",'All Cases - Enter Cases'!B381,"")</f>
        <v/>
      </c>
      <c r="D381" t="str">
        <f>IF($A381&lt;&gt;"",'All Cases - Enter Cases'!C381,"")</f>
        <v/>
      </c>
      <c r="E381" t="str">
        <f>IF($A381&lt;&gt;"",'All Cases - Enter Cases'!D381,"")</f>
        <v/>
      </c>
      <c r="F381" s="12" t="str">
        <f>IF($A381&lt;&gt;"",'All Cases - Enter Cases'!E381,"")</f>
        <v/>
      </c>
      <c r="G381" s="12" t="str">
        <f>IF($A381&lt;&gt;"",'All Cases - Enter Cases'!F381,"")</f>
        <v/>
      </c>
      <c r="H381" s="4" t="str">
        <f>IF($A381&lt;&gt;"",'All Cases - Enter Cases'!G381,"")</f>
        <v/>
      </c>
      <c r="I381" t="str">
        <f>IF($A381&lt;&gt;"",'All Cases - Enter Cases'!H381,"")</f>
        <v/>
      </c>
      <c r="J381" t="str">
        <f>IF($A381&lt;&gt;"",'All Cases - Enter Cases'!I381,"")</f>
        <v/>
      </c>
      <c r="K381" t="str">
        <f>IF($A381&lt;&gt;"",'All Cases - Enter Cases'!J381,"")</f>
        <v/>
      </c>
      <c r="L381" s="4" t="str">
        <f>IF($A381&lt;&gt;"",'All Cases - Enter Cases'!K381,"")</f>
        <v/>
      </c>
      <c r="M381" t="str">
        <f>IF($A381&lt;&gt;"",'All Cases - Enter Cases'!L381,"")</f>
        <v/>
      </c>
    </row>
    <row r="382" spans="1:13" x14ac:dyDescent="0.35">
      <c r="A382" s="4" t="str">
        <f>IF('All Cases - Enter Cases'!$K382="Approved",'All Cases - Enter Cases'!A382,"")</f>
        <v/>
      </c>
      <c r="B382" s="4" t="str">
        <f>IF($N382&lt;&gt;"",$N382,IF($A382&lt;&gt;"",'All Cases - Enter Cases'!$L382+7,""))</f>
        <v/>
      </c>
      <c r="C382" t="str">
        <f>IF($A382&lt;&gt;"",'All Cases - Enter Cases'!B382,"")</f>
        <v/>
      </c>
      <c r="D382" t="str">
        <f>IF($A382&lt;&gt;"",'All Cases - Enter Cases'!C382,"")</f>
        <v/>
      </c>
      <c r="E382" t="str">
        <f>IF($A382&lt;&gt;"",'All Cases - Enter Cases'!D382,"")</f>
        <v/>
      </c>
      <c r="F382" s="12" t="str">
        <f>IF($A382&lt;&gt;"",'All Cases - Enter Cases'!E382,"")</f>
        <v/>
      </c>
      <c r="G382" s="12" t="str">
        <f>IF($A382&lt;&gt;"",'All Cases - Enter Cases'!F382,"")</f>
        <v/>
      </c>
      <c r="H382" s="4" t="str">
        <f>IF($A382&lt;&gt;"",'All Cases - Enter Cases'!G382,"")</f>
        <v/>
      </c>
      <c r="I382" t="str">
        <f>IF($A382&lt;&gt;"",'All Cases - Enter Cases'!H382,"")</f>
        <v/>
      </c>
      <c r="J382" t="str">
        <f>IF($A382&lt;&gt;"",'All Cases - Enter Cases'!I382,"")</f>
        <v/>
      </c>
      <c r="K382" t="str">
        <f>IF($A382&lt;&gt;"",'All Cases - Enter Cases'!J382,"")</f>
        <v/>
      </c>
      <c r="L382" s="4" t="str">
        <f>IF($A382&lt;&gt;"",'All Cases - Enter Cases'!K382,"")</f>
        <v/>
      </c>
      <c r="M382" t="str">
        <f>IF($A382&lt;&gt;"",'All Cases - Enter Cases'!L382,"")</f>
        <v/>
      </c>
    </row>
    <row r="383" spans="1:13" x14ac:dyDescent="0.35">
      <c r="A383" s="4" t="str">
        <f>IF('All Cases - Enter Cases'!$K383="Approved",'All Cases - Enter Cases'!A383,"")</f>
        <v/>
      </c>
      <c r="B383" s="4" t="str">
        <f>IF($N383&lt;&gt;"",$N383,IF($A383&lt;&gt;"",'All Cases - Enter Cases'!$L383+7,""))</f>
        <v/>
      </c>
      <c r="C383" t="str">
        <f>IF($A383&lt;&gt;"",'All Cases - Enter Cases'!B383,"")</f>
        <v/>
      </c>
      <c r="D383" t="str">
        <f>IF($A383&lt;&gt;"",'All Cases - Enter Cases'!C383,"")</f>
        <v/>
      </c>
      <c r="E383" t="str">
        <f>IF($A383&lt;&gt;"",'All Cases - Enter Cases'!D383,"")</f>
        <v/>
      </c>
      <c r="F383" s="12" t="str">
        <f>IF($A383&lt;&gt;"",'All Cases - Enter Cases'!E383,"")</f>
        <v/>
      </c>
      <c r="G383" s="12" t="str">
        <f>IF($A383&lt;&gt;"",'All Cases - Enter Cases'!F383,"")</f>
        <v/>
      </c>
      <c r="H383" s="4" t="str">
        <f>IF($A383&lt;&gt;"",'All Cases - Enter Cases'!G383,"")</f>
        <v/>
      </c>
      <c r="I383" t="str">
        <f>IF($A383&lt;&gt;"",'All Cases - Enter Cases'!H383,"")</f>
        <v/>
      </c>
      <c r="J383" t="str">
        <f>IF($A383&lt;&gt;"",'All Cases - Enter Cases'!I383,"")</f>
        <v/>
      </c>
      <c r="K383" t="str">
        <f>IF($A383&lt;&gt;"",'All Cases - Enter Cases'!J383,"")</f>
        <v/>
      </c>
      <c r="L383" s="4" t="str">
        <f>IF($A383&lt;&gt;"",'All Cases - Enter Cases'!K383,"")</f>
        <v/>
      </c>
      <c r="M383" t="str">
        <f>IF($A383&lt;&gt;"",'All Cases - Enter Cases'!L383,"")</f>
        <v/>
      </c>
    </row>
    <row r="384" spans="1:13" x14ac:dyDescent="0.35">
      <c r="A384" s="4" t="str">
        <f>IF('All Cases - Enter Cases'!$K384="Approved",'All Cases - Enter Cases'!A384,"")</f>
        <v/>
      </c>
      <c r="B384" s="4" t="str">
        <f>IF($N384&lt;&gt;"",$N384,IF($A384&lt;&gt;"",'All Cases - Enter Cases'!$L384+7,""))</f>
        <v/>
      </c>
      <c r="C384" t="str">
        <f>IF($A384&lt;&gt;"",'All Cases - Enter Cases'!B384,"")</f>
        <v/>
      </c>
      <c r="D384" t="str">
        <f>IF($A384&lt;&gt;"",'All Cases - Enter Cases'!C384,"")</f>
        <v/>
      </c>
      <c r="E384" t="str">
        <f>IF($A384&lt;&gt;"",'All Cases - Enter Cases'!D384,"")</f>
        <v/>
      </c>
      <c r="F384" s="12" t="str">
        <f>IF($A384&lt;&gt;"",'All Cases - Enter Cases'!E384,"")</f>
        <v/>
      </c>
      <c r="G384" s="12" t="str">
        <f>IF($A384&lt;&gt;"",'All Cases - Enter Cases'!F384,"")</f>
        <v/>
      </c>
      <c r="H384" s="4" t="str">
        <f>IF($A384&lt;&gt;"",'All Cases - Enter Cases'!G384,"")</f>
        <v/>
      </c>
      <c r="I384" t="str">
        <f>IF($A384&lt;&gt;"",'All Cases - Enter Cases'!H384,"")</f>
        <v/>
      </c>
      <c r="J384" t="str">
        <f>IF($A384&lt;&gt;"",'All Cases - Enter Cases'!I384,"")</f>
        <v/>
      </c>
      <c r="K384" t="str">
        <f>IF($A384&lt;&gt;"",'All Cases - Enter Cases'!J384,"")</f>
        <v/>
      </c>
      <c r="L384" s="4" t="str">
        <f>IF($A384&lt;&gt;"",'All Cases - Enter Cases'!K384,"")</f>
        <v/>
      </c>
      <c r="M384" t="str">
        <f>IF($A384&lt;&gt;"",'All Cases - Enter Cases'!L384,"")</f>
        <v/>
      </c>
    </row>
    <row r="385" spans="1:13" x14ac:dyDescent="0.35">
      <c r="A385" s="4" t="str">
        <f>IF('All Cases - Enter Cases'!$K385="Approved",'All Cases - Enter Cases'!A385,"")</f>
        <v/>
      </c>
      <c r="B385" s="4" t="str">
        <f>IF($N385&lt;&gt;"",$N385,IF($A385&lt;&gt;"",'All Cases - Enter Cases'!$L385+7,""))</f>
        <v/>
      </c>
      <c r="C385" t="str">
        <f>IF($A385&lt;&gt;"",'All Cases - Enter Cases'!B385,"")</f>
        <v/>
      </c>
      <c r="D385" t="str">
        <f>IF($A385&lt;&gt;"",'All Cases - Enter Cases'!C385,"")</f>
        <v/>
      </c>
      <c r="E385" t="str">
        <f>IF($A385&lt;&gt;"",'All Cases - Enter Cases'!D385,"")</f>
        <v/>
      </c>
      <c r="F385" s="12" t="str">
        <f>IF($A385&lt;&gt;"",'All Cases - Enter Cases'!E385,"")</f>
        <v/>
      </c>
      <c r="G385" s="12" t="str">
        <f>IF($A385&lt;&gt;"",'All Cases - Enter Cases'!F385,"")</f>
        <v/>
      </c>
      <c r="H385" s="4" t="str">
        <f>IF($A385&lt;&gt;"",'All Cases - Enter Cases'!G385,"")</f>
        <v/>
      </c>
      <c r="I385" t="str">
        <f>IF($A385&lt;&gt;"",'All Cases - Enter Cases'!H385,"")</f>
        <v/>
      </c>
      <c r="J385" t="str">
        <f>IF($A385&lt;&gt;"",'All Cases - Enter Cases'!I385,"")</f>
        <v/>
      </c>
      <c r="K385" t="str">
        <f>IF($A385&lt;&gt;"",'All Cases - Enter Cases'!J385,"")</f>
        <v/>
      </c>
      <c r="L385" s="4" t="str">
        <f>IF($A385&lt;&gt;"",'All Cases - Enter Cases'!K385,"")</f>
        <v/>
      </c>
      <c r="M385" t="str">
        <f>IF($A385&lt;&gt;"",'All Cases - Enter Cases'!L385,"")</f>
        <v/>
      </c>
    </row>
    <row r="386" spans="1:13" x14ac:dyDescent="0.35">
      <c r="A386" s="4" t="str">
        <f>IF('All Cases - Enter Cases'!$K386="Approved",'All Cases - Enter Cases'!A386,"")</f>
        <v/>
      </c>
      <c r="B386" s="4" t="str">
        <f>IF($N386&lt;&gt;"",$N386,IF($A386&lt;&gt;"",'All Cases - Enter Cases'!$L386+7,""))</f>
        <v/>
      </c>
      <c r="C386" t="str">
        <f>IF($A386&lt;&gt;"",'All Cases - Enter Cases'!B386,"")</f>
        <v/>
      </c>
      <c r="D386" t="str">
        <f>IF($A386&lt;&gt;"",'All Cases - Enter Cases'!C386,"")</f>
        <v/>
      </c>
      <c r="E386" t="str">
        <f>IF($A386&lt;&gt;"",'All Cases - Enter Cases'!D386,"")</f>
        <v/>
      </c>
      <c r="F386" s="12" t="str">
        <f>IF($A386&lt;&gt;"",'All Cases - Enter Cases'!E386,"")</f>
        <v/>
      </c>
      <c r="G386" s="12" t="str">
        <f>IF($A386&lt;&gt;"",'All Cases - Enter Cases'!F386,"")</f>
        <v/>
      </c>
      <c r="H386" s="4" t="str">
        <f>IF($A386&lt;&gt;"",'All Cases - Enter Cases'!G386,"")</f>
        <v/>
      </c>
      <c r="I386" t="str">
        <f>IF($A386&lt;&gt;"",'All Cases - Enter Cases'!H386,"")</f>
        <v/>
      </c>
      <c r="J386" t="str">
        <f>IF($A386&lt;&gt;"",'All Cases - Enter Cases'!I386,"")</f>
        <v/>
      </c>
      <c r="K386" t="str">
        <f>IF($A386&lt;&gt;"",'All Cases - Enter Cases'!J386,"")</f>
        <v/>
      </c>
      <c r="L386" s="4" t="str">
        <f>IF($A386&lt;&gt;"",'All Cases - Enter Cases'!K386,"")</f>
        <v/>
      </c>
      <c r="M386" t="str">
        <f>IF($A386&lt;&gt;"",'All Cases - Enter Cases'!L386,"")</f>
        <v/>
      </c>
    </row>
    <row r="387" spans="1:13" x14ac:dyDescent="0.35">
      <c r="A387" s="4" t="str">
        <f>IF('All Cases - Enter Cases'!$K387="Approved",'All Cases - Enter Cases'!A387,"")</f>
        <v/>
      </c>
      <c r="B387" s="4" t="str">
        <f>IF($N387&lt;&gt;"",$N387,IF($A387&lt;&gt;"",'All Cases - Enter Cases'!$L387+7,""))</f>
        <v/>
      </c>
      <c r="C387" t="str">
        <f>IF($A387&lt;&gt;"",'All Cases - Enter Cases'!B387,"")</f>
        <v/>
      </c>
      <c r="D387" t="str">
        <f>IF($A387&lt;&gt;"",'All Cases - Enter Cases'!C387,"")</f>
        <v/>
      </c>
      <c r="E387" t="str">
        <f>IF($A387&lt;&gt;"",'All Cases - Enter Cases'!D387,"")</f>
        <v/>
      </c>
      <c r="F387" s="12" t="str">
        <f>IF($A387&lt;&gt;"",'All Cases - Enter Cases'!E387,"")</f>
        <v/>
      </c>
      <c r="G387" s="12" t="str">
        <f>IF($A387&lt;&gt;"",'All Cases - Enter Cases'!F387,"")</f>
        <v/>
      </c>
      <c r="H387" s="4" t="str">
        <f>IF($A387&lt;&gt;"",'All Cases - Enter Cases'!G387,"")</f>
        <v/>
      </c>
      <c r="I387" t="str">
        <f>IF($A387&lt;&gt;"",'All Cases - Enter Cases'!H387,"")</f>
        <v/>
      </c>
      <c r="J387" t="str">
        <f>IF($A387&lt;&gt;"",'All Cases - Enter Cases'!I387,"")</f>
        <v/>
      </c>
      <c r="K387" t="str">
        <f>IF($A387&lt;&gt;"",'All Cases - Enter Cases'!J387,"")</f>
        <v/>
      </c>
      <c r="L387" s="4" t="str">
        <f>IF($A387&lt;&gt;"",'All Cases - Enter Cases'!K387,"")</f>
        <v/>
      </c>
      <c r="M387" t="str">
        <f>IF($A387&lt;&gt;"",'All Cases - Enter Cases'!L387,"")</f>
        <v/>
      </c>
    </row>
    <row r="388" spans="1:13" x14ac:dyDescent="0.35">
      <c r="A388" s="4" t="str">
        <f>IF('All Cases - Enter Cases'!$K388="Approved",'All Cases - Enter Cases'!A388,"")</f>
        <v/>
      </c>
      <c r="B388" s="4" t="str">
        <f>IF($N388&lt;&gt;"",$N388,IF($A388&lt;&gt;"",'All Cases - Enter Cases'!$L388+7,""))</f>
        <v/>
      </c>
      <c r="C388" t="str">
        <f>IF($A388&lt;&gt;"",'All Cases - Enter Cases'!B388,"")</f>
        <v/>
      </c>
      <c r="D388" t="str">
        <f>IF($A388&lt;&gt;"",'All Cases - Enter Cases'!C388,"")</f>
        <v/>
      </c>
      <c r="E388" t="str">
        <f>IF($A388&lt;&gt;"",'All Cases - Enter Cases'!D388,"")</f>
        <v/>
      </c>
      <c r="F388" s="12" t="str">
        <f>IF($A388&lt;&gt;"",'All Cases - Enter Cases'!E388,"")</f>
        <v/>
      </c>
      <c r="G388" s="12" t="str">
        <f>IF($A388&lt;&gt;"",'All Cases - Enter Cases'!F388,"")</f>
        <v/>
      </c>
      <c r="H388" s="4" t="str">
        <f>IF($A388&lt;&gt;"",'All Cases - Enter Cases'!G388,"")</f>
        <v/>
      </c>
      <c r="I388" t="str">
        <f>IF($A388&lt;&gt;"",'All Cases - Enter Cases'!H388,"")</f>
        <v/>
      </c>
      <c r="J388" t="str">
        <f>IF($A388&lt;&gt;"",'All Cases - Enter Cases'!I388,"")</f>
        <v/>
      </c>
      <c r="K388" t="str">
        <f>IF($A388&lt;&gt;"",'All Cases - Enter Cases'!J388,"")</f>
        <v/>
      </c>
      <c r="L388" s="4" t="str">
        <f>IF($A388&lt;&gt;"",'All Cases - Enter Cases'!K388,"")</f>
        <v/>
      </c>
      <c r="M388" t="str">
        <f>IF($A388&lt;&gt;"",'All Cases - Enter Cases'!L388,"")</f>
        <v/>
      </c>
    </row>
    <row r="389" spans="1:13" x14ac:dyDescent="0.35">
      <c r="A389" s="4" t="str">
        <f>IF('All Cases - Enter Cases'!$K389="Approved",'All Cases - Enter Cases'!A389,"")</f>
        <v/>
      </c>
      <c r="B389" s="4" t="str">
        <f>IF($N389&lt;&gt;"",$N389,IF($A389&lt;&gt;"",'All Cases - Enter Cases'!$L389+7,""))</f>
        <v/>
      </c>
      <c r="C389" t="str">
        <f>IF($A389&lt;&gt;"",'All Cases - Enter Cases'!B389,"")</f>
        <v/>
      </c>
      <c r="D389" t="str">
        <f>IF($A389&lt;&gt;"",'All Cases - Enter Cases'!C389,"")</f>
        <v/>
      </c>
      <c r="E389" t="str">
        <f>IF($A389&lt;&gt;"",'All Cases - Enter Cases'!D389,"")</f>
        <v/>
      </c>
      <c r="F389" s="12" t="str">
        <f>IF($A389&lt;&gt;"",'All Cases - Enter Cases'!E389,"")</f>
        <v/>
      </c>
      <c r="G389" s="12" t="str">
        <f>IF($A389&lt;&gt;"",'All Cases - Enter Cases'!F389,"")</f>
        <v/>
      </c>
      <c r="H389" s="4" t="str">
        <f>IF($A389&lt;&gt;"",'All Cases - Enter Cases'!G389,"")</f>
        <v/>
      </c>
      <c r="I389" t="str">
        <f>IF($A389&lt;&gt;"",'All Cases - Enter Cases'!H389,"")</f>
        <v/>
      </c>
      <c r="J389" t="str">
        <f>IF($A389&lt;&gt;"",'All Cases - Enter Cases'!I389,"")</f>
        <v/>
      </c>
      <c r="K389" t="str">
        <f>IF($A389&lt;&gt;"",'All Cases - Enter Cases'!J389,"")</f>
        <v/>
      </c>
      <c r="L389" s="4" t="str">
        <f>IF($A389&lt;&gt;"",'All Cases - Enter Cases'!K389,"")</f>
        <v/>
      </c>
      <c r="M389" t="str">
        <f>IF($A389&lt;&gt;"",'All Cases - Enter Cases'!L389,"")</f>
        <v/>
      </c>
    </row>
    <row r="390" spans="1:13" x14ac:dyDescent="0.35">
      <c r="A390" s="4" t="str">
        <f>IF('All Cases - Enter Cases'!$K390="Approved",'All Cases - Enter Cases'!A390,"")</f>
        <v/>
      </c>
      <c r="B390" s="4" t="str">
        <f>IF($N390&lt;&gt;"",$N390,IF($A390&lt;&gt;"",'All Cases - Enter Cases'!$L390+7,""))</f>
        <v/>
      </c>
      <c r="C390" t="str">
        <f>IF($A390&lt;&gt;"",'All Cases - Enter Cases'!B390,"")</f>
        <v/>
      </c>
      <c r="D390" t="str">
        <f>IF($A390&lt;&gt;"",'All Cases - Enter Cases'!C390,"")</f>
        <v/>
      </c>
      <c r="E390" t="str">
        <f>IF($A390&lt;&gt;"",'All Cases - Enter Cases'!D390,"")</f>
        <v/>
      </c>
      <c r="F390" s="12" t="str">
        <f>IF($A390&lt;&gt;"",'All Cases - Enter Cases'!E390,"")</f>
        <v/>
      </c>
      <c r="G390" s="12" t="str">
        <f>IF($A390&lt;&gt;"",'All Cases - Enter Cases'!F390,"")</f>
        <v/>
      </c>
      <c r="H390" s="4" t="str">
        <f>IF($A390&lt;&gt;"",'All Cases - Enter Cases'!G390,"")</f>
        <v/>
      </c>
      <c r="I390" t="str">
        <f>IF($A390&lt;&gt;"",'All Cases - Enter Cases'!H390,"")</f>
        <v/>
      </c>
      <c r="J390" t="str">
        <f>IF($A390&lt;&gt;"",'All Cases - Enter Cases'!I390,"")</f>
        <v/>
      </c>
      <c r="K390" t="str">
        <f>IF($A390&lt;&gt;"",'All Cases - Enter Cases'!J390,"")</f>
        <v/>
      </c>
      <c r="L390" s="4" t="str">
        <f>IF($A390&lt;&gt;"",'All Cases - Enter Cases'!K390,"")</f>
        <v/>
      </c>
      <c r="M390" t="str">
        <f>IF($A390&lt;&gt;"",'All Cases - Enter Cases'!L390,"")</f>
        <v/>
      </c>
    </row>
    <row r="391" spans="1:13" x14ac:dyDescent="0.35">
      <c r="A391" s="4" t="str">
        <f>IF('All Cases - Enter Cases'!$K391="Approved",'All Cases - Enter Cases'!A391,"")</f>
        <v/>
      </c>
      <c r="B391" s="4" t="str">
        <f>IF($N391&lt;&gt;"",$N391,IF($A391&lt;&gt;"",'All Cases - Enter Cases'!$L391+7,""))</f>
        <v/>
      </c>
      <c r="C391" t="str">
        <f>IF($A391&lt;&gt;"",'All Cases - Enter Cases'!B391,"")</f>
        <v/>
      </c>
      <c r="D391" t="str">
        <f>IF($A391&lt;&gt;"",'All Cases - Enter Cases'!C391,"")</f>
        <v/>
      </c>
      <c r="E391" t="str">
        <f>IF($A391&lt;&gt;"",'All Cases - Enter Cases'!D391,"")</f>
        <v/>
      </c>
      <c r="F391" s="12" t="str">
        <f>IF($A391&lt;&gt;"",'All Cases - Enter Cases'!E391,"")</f>
        <v/>
      </c>
      <c r="G391" s="12" t="str">
        <f>IF($A391&lt;&gt;"",'All Cases - Enter Cases'!F391,"")</f>
        <v/>
      </c>
      <c r="H391" s="4" t="str">
        <f>IF($A391&lt;&gt;"",'All Cases - Enter Cases'!G391,"")</f>
        <v/>
      </c>
      <c r="I391" t="str">
        <f>IF($A391&lt;&gt;"",'All Cases - Enter Cases'!H391,"")</f>
        <v/>
      </c>
      <c r="J391" t="str">
        <f>IF($A391&lt;&gt;"",'All Cases - Enter Cases'!I391,"")</f>
        <v/>
      </c>
      <c r="K391" t="str">
        <f>IF($A391&lt;&gt;"",'All Cases - Enter Cases'!J391,"")</f>
        <v/>
      </c>
      <c r="L391" s="4" t="str">
        <f>IF($A391&lt;&gt;"",'All Cases - Enter Cases'!K391,"")</f>
        <v/>
      </c>
      <c r="M391" t="str">
        <f>IF($A391&lt;&gt;"",'All Cases - Enter Cases'!L391,"")</f>
        <v/>
      </c>
    </row>
    <row r="392" spans="1:13" x14ac:dyDescent="0.35">
      <c r="A392" s="4" t="str">
        <f>IF('All Cases - Enter Cases'!$K392="Approved",'All Cases - Enter Cases'!A392,"")</f>
        <v/>
      </c>
      <c r="B392" s="4" t="str">
        <f>IF($N392&lt;&gt;"",$N392,IF($A392&lt;&gt;"",'All Cases - Enter Cases'!$L392+7,""))</f>
        <v/>
      </c>
      <c r="C392" t="str">
        <f>IF($A392&lt;&gt;"",'All Cases - Enter Cases'!B392,"")</f>
        <v/>
      </c>
      <c r="D392" t="str">
        <f>IF($A392&lt;&gt;"",'All Cases - Enter Cases'!C392,"")</f>
        <v/>
      </c>
      <c r="E392" t="str">
        <f>IF($A392&lt;&gt;"",'All Cases - Enter Cases'!D392,"")</f>
        <v/>
      </c>
      <c r="F392" s="12" t="str">
        <f>IF($A392&lt;&gt;"",'All Cases - Enter Cases'!E392,"")</f>
        <v/>
      </c>
      <c r="G392" s="12" t="str">
        <f>IF($A392&lt;&gt;"",'All Cases - Enter Cases'!F392,"")</f>
        <v/>
      </c>
      <c r="H392" s="4" t="str">
        <f>IF($A392&lt;&gt;"",'All Cases - Enter Cases'!G392,"")</f>
        <v/>
      </c>
      <c r="I392" t="str">
        <f>IF($A392&lt;&gt;"",'All Cases - Enter Cases'!H392,"")</f>
        <v/>
      </c>
      <c r="J392" t="str">
        <f>IF($A392&lt;&gt;"",'All Cases - Enter Cases'!I392,"")</f>
        <v/>
      </c>
      <c r="K392" t="str">
        <f>IF($A392&lt;&gt;"",'All Cases - Enter Cases'!J392,"")</f>
        <v/>
      </c>
      <c r="L392" s="4" t="str">
        <f>IF($A392&lt;&gt;"",'All Cases - Enter Cases'!K392,"")</f>
        <v/>
      </c>
      <c r="M392" t="str">
        <f>IF($A392&lt;&gt;"",'All Cases - Enter Cases'!L392,"")</f>
        <v/>
      </c>
    </row>
    <row r="393" spans="1:13" x14ac:dyDescent="0.35">
      <c r="A393" s="4" t="str">
        <f>IF('All Cases - Enter Cases'!$K393="Approved",'All Cases - Enter Cases'!A393,"")</f>
        <v/>
      </c>
      <c r="B393" s="4" t="str">
        <f>IF($N393&lt;&gt;"",$N393,IF($A393&lt;&gt;"",'All Cases - Enter Cases'!$L393+7,""))</f>
        <v/>
      </c>
      <c r="C393" t="str">
        <f>IF($A393&lt;&gt;"",'All Cases - Enter Cases'!B393,"")</f>
        <v/>
      </c>
      <c r="D393" t="str">
        <f>IF($A393&lt;&gt;"",'All Cases - Enter Cases'!C393,"")</f>
        <v/>
      </c>
      <c r="E393" t="str">
        <f>IF($A393&lt;&gt;"",'All Cases - Enter Cases'!D393,"")</f>
        <v/>
      </c>
      <c r="F393" s="12" t="str">
        <f>IF($A393&lt;&gt;"",'All Cases - Enter Cases'!E393,"")</f>
        <v/>
      </c>
      <c r="G393" s="12" t="str">
        <f>IF($A393&lt;&gt;"",'All Cases - Enter Cases'!F393,"")</f>
        <v/>
      </c>
      <c r="H393" s="4" t="str">
        <f>IF($A393&lt;&gt;"",'All Cases - Enter Cases'!G393,"")</f>
        <v/>
      </c>
      <c r="I393" t="str">
        <f>IF($A393&lt;&gt;"",'All Cases - Enter Cases'!H393,"")</f>
        <v/>
      </c>
      <c r="J393" t="str">
        <f>IF($A393&lt;&gt;"",'All Cases - Enter Cases'!I393,"")</f>
        <v/>
      </c>
      <c r="K393" t="str">
        <f>IF($A393&lt;&gt;"",'All Cases - Enter Cases'!J393,"")</f>
        <v/>
      </c>
      <c r="L393" s="4" t="str">
        <f>IF($A393&lt;&gt;"",'All Cases - Enter Cases'!K393,"")</f>
        <v/>
      </c>
      <c r="M393" t="str">
        <f>IF($A393&lt;&gt;"",'All Cases - Enter Cases'!L393,"")</f>
        <v/>
      </c>
    </row>
    <row r="394" spans="1:13" x14ac:dyDescent="0.35">
      <c r="A394" s="4" t="str">
        <f>IF('All Cases - Enter Cases'!$K394="Approved",'All Cases - Enter Cases'!A394,"")</f>
        <v/>
      </c>
      <c r="B394" s="4" t="str">
        <f>IF($N394&lt;&gt;"",$N394,IF($A394&lt;&gt;"",'All Cases - Enter Cases'!$L394+7,""))</f>
        <v/>
      </c>
      <c r="C394" t="str">
        <f>IF($A394&lt;&gt;"",'All Cases - Enter Cases'!B394,"")</f>
        <v/>
      </c>
      <c r="D394" t="str">
        <f>IF($A394&lt;&gt;"",'All Cases - Enter Cases'!C394,"")</f>
        <v/>
      </c>
      <c r="E394" t="str">
        <f>IF($A394&lt;&gt;"",'All Cases - Enter Cases'!D394,"")</f>
        <v/>
      </c>
      <c r="F394" s="12" t="str">
        <f>IF($A394&lt;&gt;"",'All Cases - Enter Cases'!E394,"")</f>
        <v/>
      </c>
      <c r="G394" s="12" t="str">
        <f>IF($A394&lt;&gt;"",'All Cases - Enter Cases'!F394,"")</f>
        <v/>
      </c>
      <c r="H394" s="4" t="str">
        <f>IF($A394&lt;&gt;"",'All Cases - Enter Cases'!G394,"")</f>
        <v/>
      </c>
      <c r="I394" t="str">
        <f>IF($A394&lt;&gt;"",'All Cases - Enter Cases'!H394,"")</f>
        <v/>
      </c>
      <c r="J394" t="str">
        <f>IF($A394&lt;&gt;"",'All Cases - Enter Cases'!I394,"")</f>
        <v/>
      </c>
      <c r="K394" t="str">
        <f>IF($A394&lt;&gt;"",'All Cases - Enter Cases'!J394,"")</f>
        <v/>
      </c>
      <c r="L394" s="4" t="str">
        <f>IF($A394&lt;&gt;"",'All Cases - Enter Cases'!K394,"")</f>
        <v/>
      </c>
      <c r="M394" t="str">
        <f>IF($A394&lt;&gt;"",'All Cases - Enter Cases'!L394,"")</f>
        <v/>
      </c>
    </row>
    <row r="395" spans="1:13" x14ac:dyDescent="0.35">
      <c r="A395" s="4" t="str">
        <f>IF('All Cases - Enter Cases'!$K395="Approved",'All Cases - Enter Cases'!A395,"")</f>
        <v/>
      </c>
      <c r="B395" s="4" t="str">
        <f>IF($N395&lt;&gt;"",$N395,IF($A395&lt;&gt;"",'All Cases - Enter Cases'!$L395+7,""))</f>
        <v/>
      </c>
      <c r="C395" t="str">
        <f>IF($A395&lt;&gt;"",'All Cases - Enter Cases'!B395,"")</f>
        <v/>
      </c>
      <c r="D395" t="str">
        <f>IF($A395&lt;&gt;"",'All Cases - Enter Cases'!C395,"")</f>
        <v/>
      </c>
      <c r="E395" t="str">
        <f>IF($A395&lt;&gt;"",'All Cases - Enter Cases'!D395,"")</f>
        <v/>
      </c>
      <c r="F395" s="12" t="str">
        <f>IF($A395&lt;&gt;"",'All Cases - Enter Cases'!E395,"")</f>
        <v/>
      </c>
      <c r="G395" s="12" t="str">
        <f>IF($A395&lt;&gt;"",'All Cases - Enter Cases'!F395,"")</f>
        <v/>
      </c>
      <c r="H395" s="4" t="str">
        <f>IF($A395&lt;&gt;"",'All Cases - Enter Cases'!G395,"")</f>
        <v/>
      </c>
      <c r="I395" t="str">
        <f>IF($A395&lt;&gt;"",'All Cases - Enter Cases'!H395,"")</f>
        <v/>
      </c>
      <c r="J395" t="str">
        <f>IF($A395&lt;&gt;"",'All Cases - Enter Cases'!I395,"")</f>
        <v/>
      </c>
      <c r="K395" t="str">
        <f>IF($A395&lt;&gt;"",'All Cases - Enter Cases'!J395,"")</f>
        <v/>
      </c>
      <c r="L395" s="4" t="str">
        <f>IF($A395&lt;&gt;"",'All Cases - Enter Cases'!K395,"")</f>
        <v/>
      </c>
      <c r="M395" t="str">
        <f>IF($A395&lt;&gt;"",'All Cases - Enter Cases'!L395,"")</f>
        <v/>
      </c>
    </row>
    <row r="396" spans="1:13" x14ac:dyDescent="0.35">
      <c r="A396" s="4" t="str">
        <f>IF('All Cases - Enter Cases'!$K396="Approved",'All Cases - Enter Cases'!A396,"")</f>
        <v/>
      </c>
      <c r="B396" s="4" t="str">
        <f>IF($N396&lt;&gt;"",$N396,IF($A396&lt;&gt;"",'All Cases - Enter Cases'!$L396+7,""))</f>
        <v/>
      </c>
      <c r="C396" t="str">
        <f>IF($A396&lt;&gt;"",'All Cases - Enter Cases'!B396,"")</f>
        <v/>
      </c>
      <c r="D396" t="str">
        <f>IF($A396&lt;&gt;"",'All Cases - Enter Cases'!C396,"")</f>
        <v/>
      </c>
      <c r="E396" t="str">
        <f>IF($A396&lt;&gt;"",'All Cases - Enter Cases'!D396,"")</f>
        <v/>
      </c>
      <c r="F396" s="12" t="str">
        <f>IF($A396&lt;&gt;"",'All Cases - Enter Cases'!E396,"")</f>
        <v/>
      </c>
      <c r="G396" s="12" t="str">
        <f>IF($A396&lt;&gt;"",'All Cases - Enter Cases'!F396,"")</f>
        <v/>
      </c>
      <c r="H396" s="4" t="str">
        <f>IF($A396&lt;&gt;"",'All Cases - Enter Cases'!G396,"")</f>
        <v/>
      </c>
      <c r="I396" t="str">
        <f>IF($A396&lt;&gt;"",'All Cases - Enter Cases'!H396,"")</f>
        <v/>
      </c>
      <c r="J396" t="str">
        <f>IF($A396&lt;&gt;"",'All Cases - Enter Cases'!I396,"")</f>
        <v/>
      </c>
      <c r="K396" t="str">
        <f>IF($A396&lt;&gt;"",'All Cases - Enter Cases'!J396,"")</f>
        <v/>
      </c>
      <c r="L396" s="4" t="str">
        <f>IF($A396&lt;&gt;"",'All Cases - Enter Cases'!K396,"")</f>
        <v/>
      </c>
      <c r="M396" t="str">
        <f>IF($A396&lt;&gt;"",'All Cases - Enter Cases'!L396,"")</f>
        <v/>
      </c>
    </row>
    <row r="397" spans="1:13" x14ac:dyDescent="0.35">
      <c r="A397" s="4" t="str">
        <f>IF('All Cases - Enter Cases'!$K397="Approved",'All Cases - Enter Cases'!A397,"")</f>
        <v/>
      </c>
      <c r="B397" s="4" t="str">
        <f>IF($N397&lt;&gt;"",$N397,IF($A397&lt;&gt;"",'All Cases - Enter Cases'!$L397+7,""))</f>
        <v/>
      </c>
      <c r="C397" t="str">
        <f>IF($A397&lt;&gt;"",'All Cases - Enter Cases'!B397,"")</f>
        <v/>
      </c>
      <c r="D397" t="str">
        <f>IF($A397&lt;&gt;"",'All Cases - Enter Cases'!C397,"")</f>
        <v/>
      </c>
      <c r="E397" t="str">
        <f>IF($A397&lt;&gt;"",'All Cases - Enter Cases'!D397,"")</f>
        <v/>
      </c>
      <c r="F397" s="12" t="str">
        <f>IF($A397&lt;&gt;"",'All Cases - Enter Cases'!E397,"")</f>
        <v/>
      </c>
      <c r="G397" s="12" t="str">
        <f>IF($A397&lt;&gt;"",'All Cases - Enter Cases'!F397,"")</f>
        <v/>
      </c>
      <c r="H397" s="4" t="str">
        <f>IF($A397&lt;&gt;"",'All Cases - Enter Cases'!G397,"")</f>
        <v/>
      </c>
      <c r="I397" t="str">
        <f>IF($A397&lt;&gt;"",'All Cases - Enter Cases'!H397,"")</f>
        <v/>
      </c>
      <c r="J397" t="str">
        <f>IF($A397&lt;&gt;"",'All Cases - Enter Cases'!I397,"")</f>
        <v/>
      </c>
      <c r="K397" t="str">
        <f>IF($A397&lt;&gt;"",'All Cases - Enter Cases'!J397,"")</f>
        <v/>
      </c>
      <c r="L397" s="4" t="str">
        <f>IF($A397&lt;&gt;"",'All Cases - Enter Cases'!K397,"")</f>
        <v/>
      </c>
      <c r="M397" t="str">
        <f>IF($A397&lt;&gt;"",'All Cases - Enter Cases'!L397,"")</f>
        <v/>
      </c>
    </row>
    <row r="398" spans="1:13" x14ac:dyDescent="0.35">
      <c r="A398" s="4" t="str">
        <f>IF('All Cases - Enter Cases'!$K398="Approved",'All Cases - Enter Cases'!A398,"")</f>
        <v/>
      </c>
      <c r="B398" s="4" t="str">
        <f>IF($N398&lt;&gt;"",$N398,IF($A398&lt;&gt;"",'All Cases - Enter Cases'!$L398+7,""))</f>
        <v/>
      </c>
      <c r="C398" t="str">
        <f>IF($A398&lt;&gt;"",'All Cases - Enter Cases'!B398,"")</f>
        <v/>
      </c>
      <c r="D398" t="str">
        <f>IF($A398&lt;&gt;"",'All Cases - Enter Cases'!C398,"")</f>
        <v/>
      </c>
      <c r="E398" t="str">
        <f>IF($A398&lt;&gt;"",'All Cases - Enter Cases'!D398,"")</f>
        <v/>
      </c>
      <c r="F398" s="12" t="str">
        <f>IF($A398&lt;&gt;"",'All Cases - Enter Cases'!E398,"")</f>
        <v/>
      </c>
      <c r="G398" s="12" t="str">
        <f>IF($A398&lt;&gt;"",'All Cases - Enter Cases'!F398,"")</f>
        <v/>
      </c>
      <c r="H398" s="4" t="str">
        <f>IF($A398&lt;&gt;"",'All Cases - Enter Cases'!G398,"")</f>
        <v/>
      </c>
      <c r="I398" t="str">
        <f>IF($A398&lt;&gt;"",'All Cases - Enter Cases'!H398,"")</f>
        <v/>
      </c>
      <c r="J398" t="str">
        <f>IF($A398&lt;&gt;"",'All Cases - Enter Cases'!I398,"")</f>
        <v/>
      </c>
      <c r="K398" t="str">
        <f>IF($A398&lt;&gt;"",'All Cases - Enter Cases'!J398,"")</f>
        <v/>
      </c>
      <c r="L398" s="4" t="str">
        <f>IF($A398&lt;&gt;"",'All Cases - Enter Cases'!K398,"")</f>
        <v/>
      </c>
      <c r="M398" t="str">
        <f>IF($A398&lt;&gt;"",'All Cases - Enter Cases'!L398,"")</f>
        <v/>
      </c>
    </row>
    <row r="399" spans="1:13" x14ac:dyDescent="0.35">
      <c r="A399" s="4" t="str">
        <f>IF('All Cases - Enter Cases'!$K399="Approved",'All Cases - Enter Cases'!A399,"")</f>
        <v/>
      </c>
      <c r="B399" s="4" t="str">
        <f>IF($N399&lt;&gt;"",$N399,IF($A399&lt;&gt;"",'All Cases - Enter Cases'!$L399+7,""))</f>
        <v/>
      </c>
      <c r="C399" t="str">
        <f>IF($A399&lt;&gt;"",'All Cases - Enter Cases'!B399,"")</f>
        <v/>
      </c>
      <c r="D399" t="str">
        <f>IF($A399&lt;&gt;"",'All Cases - Enter Cases'!C399,"")</f>
        <v/>
      </c>
      <c r="E399" t="str">
        <f>IF($A399&lt;&gt;"",'All Cases - Enter Cases'!D399,"")</f>
        <v/>
      </c>
      <c r="F399" s="12" t="str">
        <f>IF($A399&lt;&gt;"",'All Cases - Enter Cases'!E399,"")</f>
        <v/>
      </c>
      <c r="G399" s="12" t="str">
        <f>IF($A399&lt;&gt;"",'All Cases - Enter Cases'!F399,"")</f>
        <v/>
      </c>
      <c r="H399" s="4" t="str">
        <f>IF($A399&lt;&gt;"",'All Cases - Enter Cases'!G399,"")</f>
        <v/>
      </c>
      <c r="I399" t="str">
        <f>IF($A399&lt;&gt;"",'All Cases - Enter Cases'!H399,"")</f>
        <v/>
      </c>
      <c r="J399" t="str">
        <f>IF($A399&lt;&gt;"",'All Cases - Enter Cases'!I399,"")</f>
        <v/>
      </c>
      <c r="K399" t="str">
        <f>IF($A399&lt;&gt;"",'All Cases - Enter Cases'!J399,"")</f>
        <v/>
      </c>
      <c r="L399" s="4" t="str">
        <f>IF($A399&lt;&gt;"",'All Cases - Enter Cases'!K399,"")</f>
        <v/>
      </c>
      <c r="M399" t="str">
        <f>IF($A399&lt;&gt;"",'All Cases - Enter Cases'!L399,"")</f>
        <v/>
      </c>
    </row>
    <row r="400" spans="1:13" x14ac:dyDescent="0.35">
      <c r="A400" s="4" t="str">
        <f>IF('All Cases - Enter Cases'!$K400="Approved",'All Cases - Enter Cases'!A400,"")</f>
        <v/>
      </c>
      <c r="B400" s="4" t="str">
        <f>IF($N400&lt;&gt;"",$N400,IF($A400&lt;&gt;"",'All Cases - Enter Cases'!$L400+7,""))</f>
        <v/>
      </c>
      <c r="C400" t="str">
        <f>IF($A400&lt;&gt;"",'All Cases - Enter Cases'!B400,"")</f>
        <v/>
      </c>
      <c r="D400" t="str">
        <f>IF($A400&lt;&gt;"",'All Cases - Enter Cases'!C400,"")</f>
        <v/>
      </c>
      <c r="E400" t="str">
        <f>IF($A400&lt;&gt;"",'All Cases - Enter Cases'!D400,"")</f>
        <v/>
      </c>
      <c r="F400" s="12" t="str">
        <f>IF($A400&lt;&gt;"",'All Cases - Enter Cases'!E400,"")</f>
        <v/>
      </c>
      <c r="G400" s="12" t="str">
        <f>IF($A400&lt;&gt;"",'All Cases - Enter Cases'!F400,"")</f>
        <v/>
      </c>
      <c r="H400" s="4" t="str">
        <f>IF($A400&lt;&gt;"",'All Cases - Enter Cases'!G400,"")</f>
        <v/>
      </c>
      <c r="I400" t="str">
        <f>IF($A400&lt;&gt;"",'All Cases - Enter Cases'!H400,"")</f>
        <v/>
      </c>
      <c r="J400" t="str">
        <f>IF($A400&lt;&gt;"",'All Cases - Enter Cases'!I400,"")</f>
        <v/>
      </c>
      <c r="K400" t="str">
        <f>IF($A400&lt;&gt;"",'All Cases - Enter Cases'!J400,"")</f>
        <v/>
      </c>
      <c r="L400" s="4" t="str">
        <f>IF($A400&lt;&gt;"",'All Cases - Enter Cases'!K400,"")</f>
        <v/>
      </c>
      <c r="M400" t="str">
        <f>IF($A400&lt;&gt;"",'All Cases - Enter Cases'!L400,"")</f>
        <v/>
      </c>
    </row>
    <row r="401" spans="1:13" x14ac:dyDescent="0.35">
      <c r="A401" s="4" t="str">
        <f>IF('All Cases - Enter Cases'!$K401="Approved",'All Cases - Enter Cases'!A401,"")</f>
        <v/>
      </c>
      <c r="B401" s="4" t="str">
        <f>IF($N401&lt;&gt;"",$N401,IF($A401&lt;&gt;"",'All Cases - Enter Cases'!$L401+7,""))</f>
        <v/>
      </c>
      <c r="C401" t="str">
        <f>IF($A401&lt;&gt;"",'All Cases - Enter Cases'!B401,"")</f>
        <v/>
      </c>
      <c r="D401" t="str">
        <f>IF($A401&lt;&gt;"",'All Cases - Enter Cases'!C401,"")</f>
        <v/>
      </c>
      <c r="E401" t="str">
        <f>IF($A401&lt;&gt;"",'All Cases - Enter Cases'!D401,"")</f>
        <v/>
      </c>
      <c r="F401" s="12" t="str">
        <f>IF($A401&lt;&gt;"",'All Cases - Enter Cases'!E401,"")</f>
        <v/>
      </c>
      <c r="G401" s="12" t="str">
        <f>IF($A401&lt;&gt;"",'All Cases - Enter Cases'!F401,"")</f>
        <v/>
      </c>
      <c r="H401" s="4" t="str">
        <f>IF($A401&lt;&gt;"",'All Cases - Enter Cases'!G401,"")</f>
        <v/>
      </c>
      <c r="I401" t="str">
        <f>IF($A401&lt;&gt;"",'All Cases - Enter Cases'!H401,"")</f>
        <v/>
      </c>
      <c r="J401" t="str">
        <f>IF($A401&lt;&gt;"",'All Cases - Enter Cases'!I401,"")</f>
        <v/>
      </c>
      <c r="K401" t="str">
        <f>IF($A401&lt;&gt;"",'All Cases - Enter Cases'!J401,"")</f>
        <v/>
      </c>
      <c r="L401" s="4" t="str">
        <f>IF($A401&lt;&gt;"",'All Cases - Enter Cases'!K401,"")</f>
        <v/>
      </c>
      <c r="M401" t="str">
        <f>IF($A401&lt;&gt;"",'All Cases - Enter Cases'!L401,"")</f>
        <v/>
      </c>
    </row>
    <row r="402" spans="1:13" x14ac:dyDescent="0.35">
      <c r="A402" s="4" t="str">
        <f>IF('All Cases - Enter Cases'!$K402="Approved",'All Cases - Enter Cases'!A402,"")</f>
        <v/>
      </c>
      <c r="B402" s="4" t="str">
        <f>IF($N402&lt;&gt;"",$N402,IF($A402&lt;&gt;"",'All Cases - Enter Cases'!$L402+7,""))</f>
        <v/>
      </c>
      <c r="C402" t="str">
        <f>IF($A402&lt;&gt;"",'All Cases - Enter Cases'!B402,"")</f>
        <v/>
      </c>
      <c r="D402" t="str">
        <f>IF($A402&lt;&gt;"",'All Cases - Enter Cases'!C402,"")</f>
        <v/>
      </c>
      <c r="E402" t="str">
        <f>IF($A402&lt;&gt;"",'All Cases - Enter Cases'!D402,"")</f>
        <v/>
      </c>
      <c r="F402" s="12" t="str">
        <f>IF($A402&lt;&gt;"",'All Cases - Enter Cases'!E402,"")</f>
        <v/>
      </c>
      <c r="G402" s="12" t="str">
        <f>IF($A402&lt;&gt;"",'All Cases - Enter Cases'!F402,"")</f>
        <v/>
      </c>
      <c r="H402" s="4" t="str">
        <f>IF($A402&lt;&gt;"",'All Cases - Enter Cases'!G402,"")</f>
        <v/>
      </c>
      <c r="I402" t="str">
        <f>IF($A402&lt;&gt;"",'All Cases - Enter Cases'!H402,"")</f>
        <v/>
      </c>
      <c r="J402" t="str">
        <f>IF($A402&lt;&gt;"",'All Cases - Enter Cases'!I402,"")</f>
        <v/>
      </c>
      <c r="K402" t="str">
        <f>IF($A402&lt;&gt;"",'All Cases - Enter Cases'!J402,"")</f>
        <v/>
      </c>
      <c r="L402" s="4" t="str">
        <f>IF($A402&lt;&gt;"",'All Cases - Enter Cases'!K402,"")</f>
        <v/>
      </c>
      <c r="M402" t="str">
        <f>IF($A402&lt;&gt;"",'All Cases - Enter Cases'!L402,"")</f>
        <v/>
      </c>
    </row>
    <row r="403" spans="1:13" x14ac:dyDescent="0.35">
      <c r="A403" s="4" t="str">
        <f>IF('All Cases - Enter Cases'!$K403="Approved",'All Cases - Enter Cases'!A403,"")</f>
        <v/>
      </c>
      <c r="B403" s="4" t="str">
        <f>IF($N403&lt;&gt;"",$N403,IF($A403&lt;&gt;"",'All Cases - Enter Cases'!$L403+7,""))</f>
        <v/>
      </c>
      <c r="C403" t="str">
        <f>IF($A403&lt;&gt;"",'All Cases - Enter Cases'!B403,"")</f>
        <v/>
      </c>
      <c r="D403" t="str">
        <f>IF($A403&lt;&gt;"",'All Cases - Enter Cases'!C403,"")</f>
        <v/>
      </c>
      <c r="E403" t="str">
        <f>IF($A403&lt;&gt;"",'All Cases - Enter Cases'!D403,"")</f>
        <v/>
      </c>
      <c r="F403" s="12" t="str">
        <f>IF($A403&lt;&gt;"",'All Cases - Enter Cases'!E403,"")</f>
        <v/>
      </c>
      <c r="G403" s="12" t="str">
        <f>IF($A403&lt;&gt;"",'All Cases - Enter Cases'!F403,"")</f>
        <v/>
      </c>
      <c r="H403" s="4" t="str">
        <f>IF($A403&lt;&gt;"",'All Cases - Enter Cases'!G403,"")</f>
        <v/>
      </c>
      <c r="I403" t="str">
        <f>IF($A403&lt;&gt;"",'All Cases - Enter Cases'!H403,"")</f>
        <v/>
      </c>
      <c r="J403" t="str">
        <f>IF($A403&lt;&gt;"",'All Cases - Enter Cases'!I403,"")</f>
        <v/>
      </c>
      <c r="K403" t="str">
        <f>IF($A403&lt;&gt;"",'All Cases - Enter Cases'!J403,"")</f>
        <v/>
      </c>
      <c r="L403" s="4" t="str">
        <f>IF($A403&lt;&gt;"",'All Cases - Enter Cases'!K403,"")</f>
        <v/>
      </c>
      <c r="M403" t="str">
        <f>IF($A403&lt;&gt;"",'All Cases - Enter Cases'!L403,"")</f>
        <v/>
      </c>
    </row>
    <row r="404" spans="1:13" x14ac:dyDescent="0.35">
      <c r="A404" s="4" t="str">
        <f>IF('All Cases - Enter Cases'!$K404="Approved",'All Cases - Enter Cases'!A404,"")</f>
        <v/>
      </c>
      <c r="B404" s="4" t="str">
        <f>IF($N404&lt;&gt;"",$N404,IF($A404&lt;&gt;"",'All Cases - Enter Cases'!$L404+7,""))</f>
        <v/>
      </c>
      <c r="C404" t="str">
        <f>IF($A404&lt;&gt;"",'All Cases - Enter Cases'!B404,"")</f>
        <v/>
      </c>
      <c r="D404" t="str">
        <f>IF($A404&lt;&gt;"",'All Cases - Enter Cases'!C404,"")</f>
        <v/>
      </c>
      <c r="E404" t="str">
        <f>IF($A404&lt;&gt;"",'All Cases - Enter Cases'!D404,"")</f>
        <v/>
      </c>
      <c r="F404" s="12" t="str">
        <f>IF($A404&lt;&gt;"",'All Cases - Enter Cases'!E404,"")</f>
        <v/>
      </c>
      <c r="G404" s="12" t="str">
        <f>IF($A404&lt;&gt;"",'All Cases - Enter Cases'!F404,"")</f>
        <v/>
      </c>
      <c r="H404" s="4" t="str">
        <f>IF($A404&lt;&gt;"",'All Cases - Enter Cases'!G404,"")</f>
        <v/>
      </c>
      <c r="I404" t="str">
        <f>IF($A404&lt;&gt;"",'All Cases - Enter Cases'!H404,"")</f>
        <v/>
      </c>
      <c r="J404" t="str">
        <f>IF($A404&lt;&gt;"",'All Cases - Enter Cases'!I404,"")</f>
        <v/>
      </c>
      <c r="K404" t="str">
        <f>IF($A404&lt;&gt;"",'All Cases - Enter Cases'!J404,"")</f>
        <v/>
      </c>
      <c r="L404" s="4" t="str">
        <f>IF($A404&lt;&gt;"",'All Cases - Enter Cases'!K404,"")</f>
        <v/>
      </c>
      <c r="M404" t="str">
        <f>IF($A404&lt;&gt;"",'All Cases - Enter Cases'!L404,"")</f>
        <v/>
      </c>
    </row>
    <row r="405" spans="1:13" x14ac:dyDescent="0.35">
      <c r="A405" s="4" t="str">
        <f>IF('All Cases - Enter Cases'!$K405="Approved",'All Cases - Enter Cases'!A405,"")</f>
        <v/>
      </c>
      <c r="B405" s="4" t="str">
        <f>IF($N405&lt;&gt;"",$N405,IF($A405&lt;&gt;"",'All Cases - Enter Cases'!$L405+7,""))</f>
        <v/>
      </c>
      <c r="C405" t="str">
        <f>IF($A405&lt;&gt;"",'All Cases - Enter Cases'!B405,"")</f>
        <v/>
      </c>
      <c r="D405" t="str">
        <f>IF($A405&lt;&gt;"",'All Cases - Enter Cases'!C405,"")</f>
        <v/>
      </c>
      <c r="E405" t="str">
        <f>IF($A405&lt;&gt;"",'All Cases - Enter Cases'!D405,"")</f>
        <v/>
      </c>
      <c r="F405" s="12" t="str">
        <f>IF($A405&lt;&gt;"",'All Cases - Enter Cases'!E405,"")</f>
        <v/>
      </c>
      <c r="G405" s="12" t="str">
        <f>IF($A405&lt;&gt;"",'All Cases - Enter Cases'!F405,"")</f>
        <v/>
      </c>
      <c r="H405" s="4" t="str">
        <f>IF($A405&lt;&gt;"",'All Cases - Enter Cases'!G405,"")</f>
        <v/>
      </c>
      <c r="I405" t="str">
        <f>IF($A405&lt;&gt;"",'All Cases - Enter Cases'!H405,"")</f>
        <v/>
      </c>
      <c r="J405" t="str">
        <f>IF($A405&lt;&gt;"",'All Cases - Enter Cases'!I405,"")</f>
        <v/>
      </c>
      <c r="K405" t="str">
        <f>IF($A405&lt;&gt;"",'All Cases - Enter Cases'!J405,"")</f>
        <v/>
      </c>
      <c r="L405" s="4" t="str">
        <f>IF($A405&lt;&gt;"",'All Cases - Enter Cases'!K405,"")</f>
        <v/>
      </c>
      <c r="M405" t="str">
        <f>IF($A405&lt;&gt;"",'All Cases - Enter Cases'!L405,"")</f>
        <v/>
      </c>
    </row>
    <row r="406" spans="1:13" x14ac:dyDescent="0.35">
      <c r="A406" s="4" t="str">
        <f>IF('All Cases - Enter Cases'!$K406="Approved",'All Cases - Enter Cases'!A406,"")</f>
        <v/>
      </c>
      <c r="B406" s="4" t="str">
        <f>IF($N406&lt;&gt;"",$N406,IF($A406&lt;&gt;"",'All Cases - Enter Cases'!$L406+7,""))</f>
        <v/>
      </c>
      <c r="C406" t="str">
        <f>IF($A406&lt;&gt;"",'All Cases - Enter Cases'!B406,"")</f>
        <v/>
      </c>
      <c r="D406" t="str">
        <f>IF($A406&lt;&gt;"",'All Cases - Enter Cases'!C406,"")</f>
        <v/>
      </c>
      <c r="E406" t="str">
        <f>IF($A406&lt;&gt;"",'All Cases - Enter Cases'!D406,"")</f>
        <v/>
      </c>
      <c r="F406" s="12" t="str">
        <f>IF($A406&lt;&gt;"",'All Cases - Enter Cases'!E406,"")</f>
        <v/>
      </c>
      <c r="G406" s="12" t="str">
        <f>IF($A406&lt;&gt;"",'All Cases - Enter Cases'!F406,"")</f>
        <v/>
      </c>
      <c r="H406" s="4" t="str">
        <f>IF($A406&lt;&gt;"",'All Cases - Enter Cases'!G406,"")</f>
        <v/>
      </c>
      <c r="I406" t="str">
        <f>IF($A406&lt;&gt;"",'All Cases - Enter Cases'!H406,"")</f>
        <v/>
      </c>
      <c r="J406" t="str">
        <f>IF($A406&lt;&gt;"",'All Cases - Enter Cases'!I406,"")</f>
        <v/>
      </c>
      <c r="K406" t="str">
        <f>IF($A406&lt;&gt;"",'All Cases - Enter Cases'!J406,"")</f>
        <v/>
      </c>
      <c r="L406" s="4" t="str">
        <f>IF($A406&lt;&gt;"",'All Cases - Enter Cases'!K406,"")</f>
        <v/>
      </c>
      <c r="M406" t="str">
        <f>IF($A406&lt;&gt;"",'All Cases - Enter Cases'!L406,"")</f>
        <v/>
      </c>
    </row>
    <row r="407" spans="1:13" x14ac:dyDescent="0.35">
      <c r="A407" s="4" t="str">
        <f>IF('All Cases - Enter Cases'!$K407="Approved",'All Cases - Enter Cases'!A407,"")</f>
        <v/>
      </c>
      <c r="B407" s="4" t="str">
        <f>IF($N407&lt;&gt;"",$N407,IF($A407&lt;&gt;"",'All Cases - Enter Cases'!$L407+7,""))</f>
        <v/>
      </c>
      <c r="C407" t="str">
        <f>IF($A407&lt;&gt;"",'All Cases - Enter Cases'!B407,"")</f>
        <v/>
      </c>
      <c r="D407" t="str">
        <f>IF($A407&lt;&gt;"",'All Cases - Enter Cases'!C407,"")</f>
        <v/>
      </c>
      <c r="E407" t="str">
        <f>IF($A407&lt;&gt;"",'All Cases - Enter Cases'!D407,"")</f>
        <v/>
      </c>
      <c r="F407" s="12" t="str">
        <f>IF($A407&lt;&gt;"",'All Cases - Enter Cases'!E407,"")</f>
        <v/>
      </c>
      <c r="G407" s="12" t="str">
        <f>IF($A407&lt;&gt;"",'All Cases - Enter Cases'!F407,"")</f>
        <v/>
      </c>
      <c r="H407" s="4" t="str">
        <f>IF($A407&lt;&gt;"",'All Cases - Enter Cases'!G407,"")</f>
        <v/>
      </c>
      <c r="I407" t="str">
        <f>IF($A407&lt;&gt;"",'All Cases - Enter Cases'!H407,"")</f>
        <v/>
      </c>
      <c r="J407" t="str">
        <f>IF($A407&lt;&gt;"",'All Cases - Enter Cases'!I407,"")</f>
        <v/>
      </c>
      <c r="K407" t="str">
        <f>IF($A407&lt;&gt;"",'All Cases - Enter Cases'!J407,"")</f>
        <v/>
      </c>
      <c r="L407" s="4" t="str">
        <f>IF($A407&lt;&gt;"",'All Cases - Enter Cases'!K407,"")</f>
        <v/>
      </c>
      <c r="M407" t="str">
        <f>IF($A407&lt;&gt;"",'All Cases - Enter Cases'!L407,"")</f>
        <v/>
      </c>
    </row>
    <row r="408" spans="1:13" x14ac:dyDescent="0.35">
      <c r="A408" s="4" t="str">
        <f>IF('All Cases - Enter Cases'!$K408="Approved",'All Cases - Enter Cases'!A408,"")</f>
        <v/>
      </c>
      <c r="B408" s="4" t="str">
        <f>IF($N408&lt;&gt;"",$N408,IF($A408&lt;&gt;"",'All Cases - Enter Cases'!$L408+7,""))</f>
        <v/>
      </c>
      <c r="C408" t="str">
        <f>IF($A408&lt;&gt;"",'All Cases - Enter Cases'!B408,"")</f>
        <v/>
      </c>
      <c r="D408" t="str">
        <f>IF($A408&lt;&gt;"",'All Cases - Enter Cases'!C408,"")</f>
        <v/>
      </c>
      <c r="E408" t="str">
        <f>IF($A408&lt;&gt;"",'All Cases - Enter Cases'!D408,"")</f>
        <v/>
      </c>
      <c r="F408" s="12" t="str">
        <f>IF($A408&lt;&gt;"",'All Cases - Enter Cases'!E408,"")</f>
        <v/>
      </c>
      <c r="G408" s="12" t="str">
        <f>IF($A408&lt;&gt;"",'All Cases - Enter Cases'!F408,"")</f>
        <v/>
      </c>
      <c r="H408" s="4" t="str">
        <f>IF($A408&lt;&gt;"",'All Cases - Enter Cases'!G408,"")</f>
        <v/>
      </c>
      <c r="I408" t="str">
        <f>IF($A408&lt;&gt;"",'All Cases - Enter Cases'!H408,"")</f>
        <v/>
      </c>
      <c r="J408" t="str">
        <f>IF($A408&lt;&gt;"",'All Cases - Enter Cases'!I408,"")</f>
        <v/>
      </c>
      <c r="K408" t="str">
        <f>IF($A408&lt;&gt;"",'All Cases - Enter Cases'!J408,"")</f>
        <v/>
      </c>
      <c r="L408" s="4" t="str">
        <f>IF($A408&lt;&gt;"",'All Cases - Enter Cases'!K408,"")</f>
        <v/>
      </c>
      <c r="M408" t="str">
        <f>IF($A408&lt;&gt;"",'All Cases - Enter Cases'!L408,"")</f>
        <v/>
      </c>
    </row>
    <row r="409" spans="1:13" x14ac:dyDescent="0.35">
      <c r="A409" s="4" t="str">
        <f>IF('All Cases - Enter Cases'!$K409="Approved",'All Cases - Enter Cases'!A409,"")</f>
        <v/>
      </c>
      <c r="B409" s="4" t="str">
        <f>IF($N409&lt;&gt;"",$N409,IF($A409&lt;&gt;"",'All Cases - Enter Cases'!$L409+7,""))</f>
        <v/>
      </c>
      <c r="C409" t="str">
        <f>IF($A409&lt;&gt;"",'All Cases - Enter Cases'!B409,"")</f>
        <v/>
      </c>
      <c r="D409" t="str">
        <f>IF($A409&lt;&gt;"",'All Cases - Enter Cases'!C409,"")</f>
        <v/>
      </c>
      <c r="E409" t="str">
        <f>IF($A409&lt;&gt;"",'All Cases - Enter Cases'!D409,"")</f>
        <v/>
      </c>
      <c r="F409" s="12" t="str">
        <f>IF($A409&lt;&gt;"",'All Cases - Enter Cases'!E409,"")</f>
        <v/>
      </c>
      <c r="G409" s="12" t="str">
        <f>IF($A409&lt;&gt;"",'All Cases - Enter Cases'!F409,"")</f>
        <v/>
      </c>
      <c r="H409" s="4" t="str">
        <f>IF($A409&lt;&gt;"",'All Cases - Enter Cases'!G409,"")</f>
        <v/>
      </c>
      <c r="I409" t="str">
        <f>IF($A409&lt;&gt;"",'All Cases - Enter Cases'!H409,"")</f>
        <v/>
      </c>
      <c r="J409" t="str">
        <f>IF($A409&lt;&gt;"",'All Cases - Enter Cases'!I409,"")</f>
        <v/>
      </c>
      <c r="K409" t="str">
        <f>IF($A409&lt;&gt;"",'All Cases - Enter Cases'!J409,"")</f>
        <v/>
      </c>
      <c r="L409" s="4" t="str">
        <f>IF($A409&lt;&gt;"",'All Cases - Enter Cases'!K409,"")</f>
        <v/>
      </c>
      <c r="M409" t="str">
        <f>IF($A409&lt;&gt;"",'All Cases - Enter Cases'!L409,"")</f>
        <v/>
      </c>
    </row>
    <row r="410" spans="1:13" x14ac:dyDescent="0.35">
      <c r="A410" s="4" t="str">
        <f>IF('All Cases - Enter Cases'!$K410="Approved",'All Cases - Enter Cases'!A410,"")</f>
        <v/>
      </c>
      <c r="B410" s="4" t="str">
        <f>IF($N410&lt;&gt;"",$N410,IF($A410&lt;&gt;"",'All Cases - Enter Cases'!$L410+7,""))</f>
        <v/>
      </c>
      <c r="C410" t="str">
        <f>IF($A410&lt;&gt;"",'All Cases - Enter Cases'!B410,"")</f>
        <v/>
      </c>
      <c r="D410" t="str">
        <f>IF($A410&lt;&gt;"",'All Cases - Enter Cases'!C410,"")</f>
        <v/>
      </c>
      <c r="E410" t="str">
        <f>IF($A410&lt;&gt;"",'All Cases - Enter Cases'!D410,"")</f>
        <v/>
      </c>
      <c r="F410" s="12" t="str">
        <f>IF($A410&lt;&gt;"",'All Cases - Enter Cases'!E410,"")</f>
        <v/>
      </c>
      <c r="G410" s="12" t="str">
        <f>IF($A410&lt;&gt;"",'All Cases - Enter Cases'!F410,"")</f>
        <v/>
      </c>
      <c r="H410" s="4" t="str">
        <f>IF($A410&lt;&gt;"",'All Cases - Enter Cases'!G410,"")</f>
        <v/>
      </c>
      <c r="I410" t="str">
        <f>IF($A410&lt;&gt;"",'All Cases - Enter Cases'!H410,"")</f>
        <v/>
      </c>
      <c r="J410" t="str">
        <f>IF($A410&lt;&gt;"",'All Cases - Enter Cases'!I410,"")</f>
        <v/>
      </c>
      <c r="K410" t="str">
        <f>IF($A410&lt;&gt;"",'All Cases - Enter Cases'!J410,"")</f>
        <v/>
      </c>
      <c r="L410" s="4" t="str">
        <f>IF($A410&lt;&gt;"",'All Cases - Enter Cases'!K410,"")</f>
        <v/>
      </c>
      <c r="M410" t="str">
        <f>IF($A410&lt;&gt;"",'All Cases - Enter Cases'!L410,"")</f>
        <v/>
      </c>
    </row>
    <row r="411" spans="1:13" x14ac:dyDescent="0.35">
      <c r="A411" s="4" t="str">
        <f>IF('All Cases - Enter Cases'!$K411="Approved",'All Cases - Enter Cases'!A411,"")</f>
        <v/>
      </c>
      <c r="B411" s="4" t="str">
        <f>IF($N411&lt;&gt;"",$N411,IF($A411&lt;&gt;"",'All Cases - Enter Cases'!$L411+7,""))</f>
        <v/>
      </c>
      <c r="C411" t="str">
        <f>IF($A411&lt;&gt;"",'All Cases - Enter Cases'!B411,"")</f>
        <v/>
      </c>
      <c r="D411" t="str">
        <f>IF($A411&lt;&gt;"",'All Cases - Enter Cases'!C411,"")</f>
        <v/>
      </c>
      <c r="E411" t="str">
        <f>IF($A411&lt;&gt;"",'All Cases - Enter Cases'!D411,"")</f>
        <v/>
      </c>
      <c r="F411" s="12" t="str">
        <f>IF($A411&lt;&gt;"",'All Cases - Enter Cases'!E411,"")</f>
        <v/>
      </c>
      <c r="G411" s="12" t="str">
        <f>IF($A411&lt;&gt;"",'All Cases - Enter Cases'!F411,"")</f>
        <v/>
      </c>
      <c r="H411" s="4" t="str">
        <f>IF($A411&lt;&gt;"",'All Cases - Enter Cases'!G411,"")</f>
        <v/>
      </c>
      <c r="I411" t="str">
        <f>IF($A411&lt;&gt;"",'All Cases - Enter Cases'!H411,"")</f>
        <v/>
      </c>
      <c r="J411" t="str">
        <f>IF($A411&lt;&gt;"",'All Cases - Enter Cases'!I411,"")</f>
        <v/>
      </c>
      <c r="K411" t="str">
        <f>IF($A411&lt;&gt;"",'All Cases - Enter Cases'!J411,"")</f>
        <v/>
      </c>
      <c r="L411" s="4" t="str">
        <f>IF($A411&lt;&gt;"",'All Cases - Enter Cases'!K411,"")</f>
        <v/>
      </c>
      <c r="M411" t="str">
        <f>IF($A411&lt;&gt;"",'All Cases - Enter Cases'!L411,"")</f>
        <v/>
      </c>
    </row>
    <row r="412" spans="1:13" x14ac:dyDescent="0.35">
      <c r="A412" s="4" t="str">
        <f>IF('All Cases - Enter Cases'!$K412="Approved",'All Cases - Enter Cases'!A412,"")</f>
        <v/>
      </c>
      <c r="B412" s="4" t="str">
        <f>IF($N412&lt;&gt;"",$N412,IF($A412&lt;&gt;"",'All Cases - Enter Cases'!$L412+7,""))</f>
        <v/>
      </c>
      <c r="C412" t="str">
        <f>IF($A412&lt;&gt;"",'All Cases - Enter Cases'!B412,"")</f>
        <v/>
      </c>
      <c r="D412" t="str">
        <f>IF($A412&lt;&gt;"",'All Cases - Enter Cases'!C412,"")</f>
        <v/>
      </c>
      <c r="E412" t="str">
        <f>IF($A412&lt;&gt;"",'All Cases - Enter Cases'!D412,"")</f>
        <v/>
      </c>
      <c r="F412" s="12" t="str">
        <f>IF($A412&lt;&gt;"",'All Cases - Enter Cases'!E412,"")</f>
        <v/>
      </c>
      <c r="G412" s="12" t="str">
        <f>IF($A412&lt;&gt;"",'All Cases - Enter Cases'!F412,"")</f>
        <v/>
      </c>
      <c r="H412" s="4" t="str">
        <f>IF($A412&lt;&gt;"",'All Cases - Enter Cases'!G412,"")</f>
        <v/>
      </c>
      <c r="I412" t="str">
        <f>IF($A412&lt;&gt;"",'All Cases - Enter Cases'!H412,"")</f>
        <v/>
      </c>
      <c r="J412" t="str">
        <f>IF($A412&lt;&gt;"",'All Cases - Enter Cases'!I412,"")</f>
        <v/>
      </c>
      <c r="K412" t="str">
        <f>IF($A412&lt;&gt;"",'All Cases - Enter Cases'!J412,"")</f>
        <v/>
      </c>
      <c r="L412" s="4" t="str">
        <f>IF($A412&lt;&gt;"",'All Cases - Enter Cases'!K412,"")</f>
        <v/>
      </c>
      <c r="M412" t="str">
        <f>IF($A412&lt;&gt;"",'All Cases - Enter Cases'!L412,"")</f>
        <v/>
      </c>
    </row>
    <row r="413" spans="1:13" x14ac:dyDescent="0.35">
      <c r="A413" s="4" t="str">
        <f>IF('All Cases - Enter Cases'!$K413="Approved",'All Cases - Enter Cases'!A413,"")</f>
        <v/>
      </c>
      <c r="B413" s="4" t="str">
        <f>IF($N413&lt;&gt;"",$N413,IF($A413&lt;&gt;"",'All Cases - Enter Cases'!$L413+7,""))</f>
        <v/>
      </c>
      <c r="C413" t="str">
        <f>IF($A413&lt;&gt;"",'All Cases - Enter Cases'!B413,"")</f>
        <v/>
      </c>
      <c r="D413" t="str">
        <f>IF($A413&lt;&gt;"",'All Cases - Enter Cases'!C413,"")</f>
        <v/>
      </c>
      <c r="E413" t="str">
        <f>IF($A413&lt;&gt;"",'All Cases - Enter Cases'!D413,"")</f>
        <v/>
      </c>
      <c r="F413" s="12" t="str">
        <f>IF($A413&lt;&gt;"",'All Cases - Enter Cases'!E413,"")</f>
        <v/>
      </c>
      <c r="G413" s="12" t="str">
        <f>IF($A413&lt;&gt;"",'All Cases - Enter Cases'!F413,"")</f>
        <v/>
      </c>
      <c r="H413" s="4" t="str">
        <f>IF($A413&lt;&gt;"",'All Cases - Enter Cases'!G413,"")</f>
        <v/>
      </c>
      <c r="I413" t="str">
        <f>IF($A413&lt;&gt;"",'All Cases - Enter Cases'!H413,"")</f>
        <v/>
      </c>
      <c r="J413" t="str">
        <f>IF($A413&lt;&gt;"",'All Cases - Enter Cases'!I413,"")</f>
        <v/>
      </c>
      <c r="K413" t="str">
        <f>IF($A413&lt;&gt;"",'All Cases - Enter Cases'!J413,"")</f>
        <v/>
      </c>
      <c r="L413" s="4" t="str">
        <f>IF($A413&lt;&gt;"",'All Cases - Enter Cases'!K413,"")</f>
        <v/>
      </c>
      <c r="M413" t="str">
        <f>IF($A413&lt;&gt;"",'All Cases - Enter Cases'!L413,"")</f>
        <v/>
      </c>
    </row>
    <row r="414" spans="1:13" x14ac:dyDescent="0.35">
      <c r="A414" s="4" t="str">
        <f>IF('All Cases - Enter Cases'!$K414="Approved",'All Cases - Enter Cases'!A414,"")</f>
        <v/>
      </c>
      <c r="B414" s="4" t="str">
        <f>IF($N414&lt;&gt;"",$N414,IF($A414&lt;&gt;"",'All Cases - Enter Cases'!$L414+7,""))</f>
        <v/>
      </c>
      <c r="C414" t="str">
        <f>IF($A414&lt;&gt;"",'All Cases - Enter Cases'!B414,"")</f>
        <v/>
      </c>
      <c r="D414" t="str">
        <f>IF($A414&lt;&gt;"",'All Cases - Enter Cases'!C414,"")</f>
        <v/>
      </c>
      <c r="E414" t="str">
        <f>IF($A414&lt;&gt;"",'All Cases - Enter Cases'!D414,"")</f>
        <v/>
      </c>
      <c r="F414" s="12" t="str">
        <f>IF($A414&lt;&gt;"",'All Cases - Enter Cases'!E414,"")</f>
        <v/>
      </c>
      <c r="G414" s="12" t="str">
        <f>IF($A414&lt;&gt;"",'All Cases - Enter Cases'!F414,"")</f>
        <v/>
      </c>
      <c r="H414" s="4" t="str">
        <f>IF($A414&lt;&gt;"",'All Cases - Enter Cases'!G414,"")</f>
        <v/>
      </c>
      <c r="I414" t="str">
        <f>IF($A414&lt;&gt;"",'All Cases - Enter Cases'!H414,"")</f>
        <v/>
      </c>
      <c r="J414" t="str">
        <f>IF($A414&lt;&gt;"",'All Cases - Enter Cases'!I414,"")</f>
        <v/>
      </c>
      <c r="K414" t="str">
        <f>IF($A414&lt;&gt;"",'All Cases - Enter Cases'!J414,"")</f>
        <v/>
      </c>
      <c r="L414" s="4" t="str">
        <f>IF($A414&lt;&gt;"",'All Cases - Enter Cases'!K414,"")</f>
        <v/>
      </c>
      <c r="M414" t="str">
        <f>IF($A414&lt;&gt;"",'All Cases - Enter Cases'!L414,"")</f>
        <v/>
      </c>
    </row>
    <row r="415" spans="1:13" x14ac:dyDescent="0.35">
      <c r="A415" s="4" t="str">
        <f>IF('All Cases - Enter Cases'!$K415="Approved",'All Cases - Enter Cases'!A415,"")</f>
        <v/>
      </c>
      <c r="B415" s="4" t="str">
        <f>IF($N415&lt;&gt;"",$N415,IF($A415&lt;&gt;"",'All Cases - Enter Cases'!$L415+7,""))</f>
        <v/>
      </c>
      <c r="C415" t="str">
        <f>IF($A415&lt;&gt;"",'All Cases - Enter Cases'!B415,"")</f>
        <v/>
      </c>
      <c r="D415" t="str">
        <f>IF($A415&lt;&gt;"",'All Cases - Enter Cases'!C415,"")</f>
        <v/>
      </c>
      <c r="E415" t="str">
        <f>IF($A415&lt;&gt;"",'All Cases - Enter Cases'!D415,"")</f>
        <v/>
      </c>
      <c r="F415" s="12" t="str">
        <f>IF($A415&lt;&gt;"",'All Cases - Enter Cases'!E415,"")</f>
        <v/>
      </c>
      <c r="G415" s="12" t="str">
        <f>IF($A415&lt;&gt;"",'All Cases - Enter Cases'!F415,"")</f>
        <v/>
      </c>
      <c r="H415" s="4" t="str">
        <f>IF($A415&lt;&gt;"",'All Cases - Enter Cases'!G415,"")</f>
        <v/>
      </c>
      <c r="I415" t="str">
        <f>IF($A415&lt;&gt;"",'All Cases - Enter Cases'!H415,"")</f>
        <v/>
      </c>
      <c r="J415" t="str">
        <f>IF($A415&lt;&gt;"",'All Cases - Enter Cases'!I415,"")</f>
        <v/>
      </c>
      <c r="K415" t="str">
        <f>IF($A415&lt;&gt;"",'All Cases - Enter Cases'!J415,"")</f>
        <v/>
      </c>
      <c r="L415" s="4" t="str">
        <f>IF($A415&lt;&gt;"",'All Cases - Enter Cases'!K415,"")</f>
        <v/>
      </c>
      <c r="M415" t="str">
        <f>IF($A415&lt;&gt;"",'All Cases - Enter Cases'!L415,"")</f>
        <v/>
      </c>
    </row>
    <row r="416" spans="1:13" x14ac:dyDescent="0.35">
      <c r="A416" s="4" t="str">
        <f>IF('All Cases - Enter Cases'!$K416="Approved",'All Cases - Enter Cases'!A416,"")</f>
        <v/>
      </c>
      <c r="B416" s="4" t="str">
        <f>IF($N416&lt;&gt;"",$N416,IF($A416&lt;&gt;"",'All Cases - Enter Cases'!$L416+7,""))</f>
        <v/>
      </c>
      <c r="C416" t="str">
        <f>IF($A416&lt;&gt;"",'All Cases - Enter Cases'!B416,"")</f>
        <v/>
      </c>
      <c r="D416" t="str">
        <f>IF($A416&lt;&gt;"",'All Cases - Enter Cases'!C416,"")</f>
        <v/>
      </c>
      <c r="E416" t="str">
        <f>IF($A416&lt;&gt;"",'All Cases - Enter Cases'!D416,"")</f>
        <v/>
      </c>
      <c r="F416" s="12" t="str">
        <f>IF($A416&lt;&gt;"",'All Cases - Enter Cases'!E416,"")</f>
        <v/>
      </c>
      <c r="G416" s="12" t="str">
        <f>IF($A416&lt;&gt;"",'All Cases - Enter Cases'!F416,"")</f>
        <v/>
      </c>
      <c r="H416" s="4" t="str">
        <f>IF($A416&lt;&gt;"",'All Cases - Enter Cases'!G416,"")</f>
        <v/>
      </c>
      <c r="I416" t="str">
        <f>IF($A416&lt;&gt;"",'All Cases - Enter Cases'!H416,"")</f>
        <v/>
      </c>
      <c r="J416" t="str">
        <f>IF($A416&lt;&gt;"",'All Cases - Enter Cases'!I416,"")</f>
        <v/>
      </c>
      <c r="K416" t="str">
        <f>IF($A416&lt;&gt;"",'All Cases - Enter Cases'!J416,"")</f>
        <v/>
      </c>
      <c r="L416" s="4" t="str">
        <f>IF($A416&lt;&gt;"",'All Cases - Enter Cases'!K416,"")</f>
        <v/>
      </c>
      <c r="M416" t="str">
        <f>IF($A416&lt;&gt;"",'All Cases - Enter Cases'!L416,"")</f>
        <v/>
      </c>
    </row>
    <row r="417" spans="1:13" x14ac:dyDescent="0.35">
      <c r="A417" s="4" t="str">
        <f>IF('All Cases - Enter Cases'!$K417="Approved",'All Cases - Enter Cases'!A417,"")</f>
        <v/>
      </c>
      <c r="B417" s="4" t="str">
        <f>IF($N417&lt;&gt;"",$N417,IF($A417&lt;&gt;"",'All Cases - Enter Cases'!$L417+7,""))</f>
        <v/>
      </c>
      <c r="C417" t="str">
        <f>IF($A417&lt;&gt;"",'All Cases - Enter Cases'!B417,"")</f>
        <v/>
      </c>
      <c r="D417" t="str">
        <f>IF($A417&lt;&gt;"",'All Cases - Enter Cases'!C417,"")</f>
        <v/>
      </c>
      <c r="E417" t="str">
        <f>IF($A417&lt;&gt;"",'All Cases - Enter Cases'!D417,"")</f>
        <v/>
      </c>
      <c r="F417" s="12" t="str">
        <f>IF($A417&lt;&gt;"",'All Cases - Enter Cases'!E417,"")</f>
        <v/>
      </c>
      <c r="G417" s="12" t="str">
        <f>IF($A417&lt;&gt;"",'All Cases - Enter Cases'!F417,"")</f>
        <v/>
      </c>
      <c r="H417" s="4" t="str">
        <f>IF($A417&lt;&gt;"",'All Cases - Enter Cases'!G417,"")</f>
        <v/>
      </c>
      <c r="I417" t="str">
        <f>IF($A417&lt;&gt;"",'All Cases - Enter Cases'!H417,"")</f>
        <v/>
      </c>
      <c r="J417" t="str">
        <f>IF($A417&lt;&gt;"",'All Cases - Enter Cases'!I417,"")</f>
        <v/>
      </c>
      <c r="K417" t="str">
        <f>IF($A417&lt;&gt;"",'All Cases - Enter Cases'!J417,"")</f>
        <v/>
      </c>
      <c r="L417" s="4" t="str">
        <f>IF($A417&lt;&gt;"",'All Cases - Enter Cases'!K417,"")</f>
        <v/>
      </c>
      <c r="M417" t="str">
        <f>IF($A417&lt;&gt;"",'All Cases - Enter Cases'!L417,"")</f>
        <v/>
      </c>
    </row>
    <row r="418" spans="1:13" x14ac:dyDescent="0.35">
      <c r="A418" s="4" t="str">
        <f>IF('All Cases - Enter Cases'!$K418="Approved",'All Cases - Enter Cases'!A418,"")</f>
        <v/>
      </c>
      <c r="B418" s="4" t="str">
        <f>IF($N418&lt;&gt;"",$N418,IF($A418&lt;&gt;"",'All Cases - Enter Cases'!$L418+7,""))</f>
        <v/>
      </c>
      <c r="C418" t="str">
        <f>IF($A418&lt;&gt;"",'All Cases - Enter Cases'!B418,"")</f>
        <v/>
      </c>
      <c r="D418" t="str">
        <f>IF($A418&lt;&gt;"",'All Cases - Enter Cases'!C418,"")</f>
        <v/>
      </c>
      <c r="E418" t="str">
        <f>IF($A418&lt;&gt;"",'All Cases - Enter Cases'!D418,"")</f>
        <v/>
      </c>
      <c r="F418" s="12" t="str">
        <f>IF($A418&lt;&gt;"",'All Cases - Enter Cases'!E418,"")</f>
        <v/>
      </c>
      <c r="G418" s="12" t="str">
        <f>IF($A418&lt;&gt;"",'All Cases - Enter Cases'!F418,"")</f>
        <v/>
      </c>
      <c r="H418" s="4" t="str">
        <f>IF($A418&lt;&gt;"",'All Cases - Enter Cases'!G418,"")</f>
        <v/>
      </c>
      <c r="I418" t="str">
        <f>IF($A418&lt;&gt;"",'All Cases - Enter Cases'!H418,"")</f>
        <v/>
      </c>
      <c r="J418" t="str">
        <f>IF($A418&lt;&gt;"",'All Cases - Enter Cases'!I418,"")</f>
        <v/>
      </c>
      <c r="K418" t="str">
        <f>IF($A418&lt;&gt;"",'All Cases - Enter Cases'!J418,"")</f>
        <v/>
      </c>
      <c r="L418" s="4" t="str">
        <f>IF($A418&lt;&gt;"",'All Cases - Enter Cases'!K418,"")</f>
        <v/>
      </c>
      <c r="M418" t="str">
        <f>IF($A418&lt;&gt;"",'All Cases - Enter Cases'!L418,"")</f>
        <v/>
      </c>
    </row>
    <row r="419" spans="1:13" x14ac:dyDescent="0.35">
      <c r="A419" s="4" t="str">
        <f>IF('All Cases - Enter Cases'!$K419="Approved",'All Cases - Enter Cases'!A419,"")</f>
        <v/>
      </c>
      <c r="B419" s="4" t="str">
        <f>IF($N419&lt;&gt;"",$N419,IF($A419&lt;&gt;"",'All Cases - Enter Cases'!$L419+7,""))</f>
        <v/>
      </c>
      <c r="C419" t="str">
        <f>IF($A419&lt;&gt;"",'All Cases - Enter Cases'!B419,"")</f>
        <v/>
      </c>
      <c r="D419" t="str">
        <f>IF($A419&lt;&gt;"",'All Cases - Enter Cases'!C419,"")</f>
        <v/>
      </c>
      <c r="E419" t="str">
        <f>IF($A419&lt;&gt;"",'All Cases - Enter Cases'!D419,"")</f>
        <v/>
      </c>
      <c r="F419" s="12" t="str">
        <f>IF($A419&lt;&gt;"",'All Cases - Enter Cases'!E419,"")</f>
        <v/>
      </c>
      <c r="G419" s="12" t="str">
        <f>IF($A419&lt;&gt;"",'All Cases - Enter Cases'!F419,"")</f>
        <v/>
      </c>
      <c r="H419" s="4" t="str">
        <f>IF($A419&lt;&gt;"",'All Cases - Enter Cases'!G419,"")</f>
        <v/>
      </c>
      <c r="I419" t="str">
        <f>IF($A419&lt;&gt;"",'All Cases - Enter Cases'!H419,"")</f>
        <v/>
      </c>
      <c r="J419" t="str">
        <f>IF($A419&lt;&gt;"",'All Cases - Enter Cases'!I419,"")</f>
        <v/>
      </c>
      <c r="K419" t="str">
        <f>IF($A419&lt;&gt;"",'All Cases - Enter Cases'!J419,"")</f>
        <v/>
      </c>
      <c r="L419" s="4" t="str">
        <f>IF($A419&lt;&gt;"",'All Cases - Enter Cases'!K419,"")</f>
        <v/>
      </c>
      <c r="M419" t="str">
        <f>IF($A419&lt;&gt;"",'All Cases - Enter Cases'!L419,"")</f>
        <v/>
      </c>
    </row>
    <row r="420" spans="1:13" x14ac:dyDescent="0.35">
      <c r="A420" s="4" t="str">
        <f>IF('All Cases - Enter Cases'!$K420="Approved",'All Cases - Enter Cases'!A420,"")</f>
        <v/>
      </c>
      <c r="B420" s="4" t="str">
        <f>IF($N420&lt;&gt;"",$N420,IF($A420&lt;&gt;"",'All Cases - Enter Cases'!$L420+7,""))</f>
        <v/>
      </c>
      <c r="C420" t="str">
        <f>IF($A420&lt;&gt;"",'All Cases - Enter Cases'!B420,"")</f>
        <v/>
      </c>
      <c r="D420" t="str">
        <f>IF($A420&lt;&gt;"",'All Cases - Enter Cases'!C420,"")</f>
        <v/>
      </c>
      <c r="E420" t="str">
        <f>IF($A420&lt;&gt;"",'All Cases - Enter Cases'!D420,"")</f>
        <v/>
      </c>
      <c r="F420" s="12" t="str">
        <f>IF($A420&lt;&gt;"",'All Cases - Enter Cases'!E420,"")</f>
        <v/>
      </c>
      <c r="G420" s="12" t="str">
        <f>IF($A420&lt;&gt;"",'All Cases - Enter Cases'!F420,"")</f>
        <v/>
      </c>
      <c r="H420" s="4" t="str">
        <f>IF($A420&lt;&gt;"",'All Cases - Enter Cases'!G420,"")</f>
        <v/>
      </c>
      <c r="I420" t="str">
        <f>IF($A420&lt;&gt;"",'All Cases - Enter Cases'!H420,"")</f>
        <v/>
      </c>
      <c r="J420" t="str">
        <f>IF($A420&lt;&gt;"",'All Cases - Enter Cases'!I420,"")</f>
        <v/>
      </c>
      <c r="K420" t="str">
        <f>IF($A420&lt;&gt;"",'All Cases - Enter Cases'!J420,"")</f>
        <v/>
      </c>
      <c r="L420" s="4" t="str">
        <f>IF($A420&lt;&gt;"",'All Cases - Enter Cases'!K420,"")</f>
        <v/>
      </c>
      <c r="M420" t="str">
        <f>IF($A420&lt;&gt;"",'All Cases - Enter Cases'!L420,"")</f>
        <v/>
      </c>
    </row>
    <row r="421" spans="1:13" x14ac:dyDescent="0.35">
      <c r="A421" s="4" t="str">
        <f>IF('All Cases - Enter Cases'!$K421="Approved",'All Cases - Enter Cases'!A421,"")</f>
        <v/>
      </c>
      <c r="B421" s="4" t="str">
        <f>IF($N421&lt;&gt;"",$N421,IF($A421&lt;&gt;"",'All Cases - Enter Cases'!$L421+7,""))</f>
        <v/>
      </c>
      <c r="C421" t="str">
        <f>IF($A421&lt;&gt;"",'All Cases - Enter Cases'!B421,"")</f>
        <v/>
      </c>
      <c r="D421" t="str">
        <f>IF($A421&lt;&gt;"",'All Cases - Enter Cases'!C421,"")</f>
        <v/>
      </c>
      <c r="E421" t="str">
        <f>IF($A421&lt;&gt;"",'All Cases - Enter Cases'!D421,"")</f>
        <v/>
      </c>
      <c r="F421" s="12" t="str">
        <f>IF($A421&lt;&gt;"",'All Cases - Enter Cases'!E421,"")</f>
        <v/>
      </c>
      <c r="G421" s="12" t="str">
        <f>IF($A421&lt;&gt;"",'All Cases - Enter Cases'!F421,"")</f>
        <v/>
      </c>
      <c r="H421" s="4" t="str">
        <f>IF($A421&lt;&gt;"",'All Cases - Enter Cases'!G421,"")</f>
        <v/>
      </c>
      <c r="I421" t="str">
        <f>IF($A421&lt;&gt;"",'All Cases - Enter Cases'!H421,"")</f>
        <v/>
      </c>
      <c r="J421" t="str">
        <f>IF($A421&lt;&gt;"",'All Cases - Enter Cases'!I421,"")</f>
        <v/>
      </c>
      <c r="K421" t="str">
        <f>IF($A421&lt;&gt;"",'All Cases - Enter Cases'!J421,"")</f>
        <v/>
      </c>
      <c r="L421" s="4" t="str">
        <f>IF($A421&lt;&gt;"",'All Cases - Enter Cases'!K421,"")</f>
        <v/>
      </c>
      <c r="M421" t="str">
        <f>IF($A421&lt;&gt;"",'All Cases - Enter Cases'!L421,"")</f>
        <v/>
      </c>
    </row>
    <row r="422" spans="1:13" x14ac:dyDescent="0.35">
      <c r="A422" s="4" t="str">
        <f>IF('All Cases - Enter Cases'!$K422="Approved",'All Cases - Enter Cases'!A422,"")</f>
        <v/>
      </c>
      <c r="B422" s="4" t="str">
        <f>IF($N422&lt;&gt;"",$N422,IF($A422&lt;&gt;"",'All Cases - Enter Cases'!$L422+7,""))</f>
        <v/>
      </c>
      <c r="C422" t="str">
        <f>IF($A422&lt;&gt;"",'All Cases - Enter Cases'!B422,"")</f>
        <v/>
      </c>
      <c r="D422" t="str">
        <f>IF($A422&lt;&gt;"",'All Cases - Enter Cases'!C422,"")</f>
        <v/>
      </c>
      <c r="E422" t="str">
        <f>IF($A422&lt;&gt;"",'All Cases - Enter Cases'!D422,"")</f>
        <v/>
      </c>
      <c r="F422" s="12" t="str">
        <f>IF($A422&lt;&gt;"",'All Cases - Enter Cases'!E422,"")</f>
        <v/>
      </c>
      <c r="G422" s="12" t="str">
        <f>IF($A422&lt;&gt;"",'All Cases - Enter Cases'!F422,"")</f>
        <v/>
      </c>
      <c r="H422" s="4" t="str">
        <f>IF($A422&lt;&gt;"",'All Cases - Enter Cases'!G422,"")</f>
        <v/>
      </c>
      <c r="I422" t="str">
        <f>IF($A422&lt;&gt;"",'All Cases - Enter Cases'!H422,"")</f>
        <v/>
      </c>
      <c r="J422" t="str">
        <f>IF($A422&lt;&gt;"",'All Cases - Enter Cases'!I422,"")</f>
        <v/>
      </c>
      <c r="K422" t="str">
        <f>IF($A422&lt;&gt;"",'All Cases - Enter Cases'!J422,"")</f>
        <v/>
      </c>
      <c r="L422" s="4" t="str">
        <f>IF($A422&lt;&gt;"",'All Cases - Enter Cases'!K422,"")</f>
        <v/>
      </c>
      <c r="M422" t="str">
        <f>IF($A422&lt;&gt;"",'All Cases - Enter Cases'!L422,"")</f>
        <v/>
      </c>
    </row>
    <row r="423" spans="1:13" x14ac:dyDescent="0.35">
      <c r="A423" s="4" t="str">
        <f>IF('All Cases - Enter Cases'!$K423="Approved",'All Cases - Enter Cases'!A423,"")</f>
        <v/>
      </c>
      <c r="B423" s="4" t="str">
        <f>IF($N423&lt;&gt;"",$N423,IF($A423&lt;&gt;"",'All Cases - Enter Cases'!$L423+7,""))</f>
        <v/>
      </c>
      <c r="C423" t="str">
        <f>IF($A423&lt;&gt;"",'All Cases - Enter Cases'!B423,"")</f>
        <v/>
      </c>
      <c r="D423" t="str">
        <f>IF($A423&lt;&gt;"",'All Cases - Enter Cases'!C423,"")</f>
        <v/>
      </c>
      <c r="E423" t="str">
        <f>IF($A423&lt;&gt;"",'All Cases - Enter Cases'!D423,"")</f>
        <v/>
      </c>
      <c r="F423" s="12" t="str">
        <f>IF($A423&lt;&gt;"",'All Cases - Enter Cases'!E423,"")</f>
        <v/>
      </c>
      <c r="G423" s="12" t="str">
        <f>IF($A423&lt;&gt;"",'All Cases - Enter Cases'!F423,"")</f>
        <v/>
      </c>
      <c r="H423" s="4" t="str">
        <f>IF($A423&lt;&gt;"",'All Cases - Enter Cases'!G423,"")</f>
        <v/>
      </c>
      <c r="I423" t="str">
        <f>IF($A423&lt;&gt;"",'All Cases - Enter Cases'!H423,"")</f>
        <v/>
      </c>
      <c r="J423" t="str">
        <f>IF($A423&lt;&gt;"",'All Cases - Enter Cases'!I423,"")</f>
        <v/>
      </c>
      <c r="K423" t="str">
        <f>IF($A423&lt;&gt;"",'All Cases - Enter Cases'!J423,"")</f>
        <v/>
      </c>
      <c r="L423" s="4" t="str">
        <f>IF($A423&lt;&gt;"",'All Cases - Enter Cases'!K423,"")</f>
        <v/>
      </c>
      <c r="M423" t="str">
        <f>IF($A423&lt;&gt;"",'All Cases - Enter Cases'!L423,"")</f>
        <v/>
      </c>
    </row>
    <row r="424" spans="1:13" x14ac:dyDescent="0.35">
      <c r="A424" s="4" t="str">
        <f>IF('All Cases - Enter Cases'!$K424="Approved",'All Cases - Enter Cases'!A424,"")</f>
        <v/>
      </c>
      <c r="B424" s="4" t="str">
        <f>IF($N424&lt;&gt;"",$N424,IF($A424&lt;&gt;"",'All Cases - Enter Cases'!$L424+7,""))</f>
        <v/>
      </c>
      <c r="C424" t="str">
        <f>IF($A424&lt;&gt;"",'All Cases - Enter Cases'!B424,"")</f>
        <v/>
      </c>
      <c r="D424" t="str">
        <f>IF($A424&lt;&gt;"",'All Cases - Enter Cases'!C424,"")</f>
        <v/>
      </c>
      <c r="E424" t="str">
        <f>IF($A424&lt;&gt;"",'All Cases - Enter Cases'!D424,"")</f>
        <v/>
      </c>
      <c r="F424" s="12" t="str">
        <f>IF($A424&lt;&gt;"",'All Cases - Enter Cases'!E424,"")</f>
        <v/>
      </c>
      <c r="G424" s="12" t="str">
        <f>IF($A424&lt;&gt;"",'All Cases - Enter Cases'!F424,"")</f>
        <v/>
      </c>
      <c r="H424" s="4" t="str">
        <f>IF($A424&lt;&gt;"",'All Cases - Enter Cases'!G424,"")</f>
        <v/>
      </c>
      <c r="I424" t="str">
        <f>IF($A424&lt;&gt;"",'All Cases - Enter Cases'!H424,"")</f>
        <v/>
      </c>
      <c r="J424" t="str">
        <f>IF($A424&lt;&gt;"",'All Cases - Enter Cases'!I424,"")</f>
        <v/>
      </c>
      <c r="K424" t="str">
        <f>IF($A424&lt;&gt;"",'All Cases - Enter Cases'!J424,"")</f>
        <v/>
      </c>
      <c r="L424" s="4" t="str">
        <f>IF($A424&lt;&gt;"",'All Cases - Enter Cases'!K424,"")</f>
        <v/>
      </c>
      <c r="M424" t="str">
        <f>IF($A424&lt;&gt;"",'All Cases - Enter Cases'!L424,"")</f>
        <v/>
      </c>
    </row>
    <row r="425" spans="1:13" x14ac:dyDescent="0.35">
      <c r="A425" s="4" t="str">
        <f>IF('All Cases - Enter Cases'!$K425="Approved",'All Cases - Enter Cases'!A425,"")</f>
        <v/>
      </c>
      <c r="B425" s="4" t="str">
        <f>IF($N425&lt;&gt;"",$N425,IF($A425&lt;&gt;"",'All Cases - Enter Cases'!$L425+7,""))</f>
        <v/>
      </c>
      <c r="C425" t="str">
        <f>IF($A425&lt;&gt;"",'All Cases - Enter Cases'!B425,"")</f>
        <v/>
      </c>
      <c r="D425" t="str">
        <f>IF($A425&lt;&gt;"",'All Cases - Enter Cases'!C425,"")</f>
        <v/>
      </c>
      <c r="E425" t="str">
        <f>IF($A425&lt;&gt;"",'All Cases - Enter Cases'!D425,"")</f>
        <v/>
      </c>
      <c r="F425" s="12" t="str">
        <f>IF($A425&lt;&gt;"",'All Cases - Enter Cases'!E425,"")</f>
        <v/>
      </c>
      <c r="G425" s="12" t="str">
        <f>IF($A425&lt;&gt;"",'All Cases - Enter Cases'!F425,"")</f>
        <v/>
      </c>
      <c r="H425" s="4" t="str">
        <f>IF($A425&lt;&gt;"",'All Cases - Enter Cases'!G425,"")</f>
        <v/>
      </c>
      <c r="I425" t="str">
        <f>IF($A425&lt;&gt;"",'All Cases - Enter Cases'!H425,"")</f>
        <v/>
      </c>
      <c r="J425" t="str">
        <f>IF($A425&lt;&gt;"",'All Cases - Enter Cases'!I425,"")</f>
        <v/>
      </c>
      <c r="K425" t="str">
        <f>IF($A425&lt;&gt;"",'All Cases - Enter Cases'!J425,"")</f>
        <v/>
      </c>
      <c r="L425" s="4" t="str">
        <f>IF($A425&lt;&gt;"",'All Cases - Enter Cases'!K425,"")</f>
        <v/>
      </c>
      <c r="M425" t="str">
        <f>IF($A425&lt;&gt;"",'All Cases - Enter Cases'!L425,"")</f>
        <v/>
      </c>
    </row>
    <row r="426" spans="1:13" x14ac:dyDescent="0.35">
      <c r="A426" s="4" t="str">
        <f>IF('All Cases - Enter Cases'!$K426="Approved",'All Cases - Enter Cases'!A426,"")</f>
        <v/>
      </c>
      <c r="B426" s="4" t="str">
        <f>IF($N426&lt;&gt;"",$N426,IF($A426&lt;&gt;"",'All Cases - Enter Cases'!$L426+7,""))</f>
        <v/>
      </c>
      <c r="C426" t="str">
        <f>IF($A426&lt;&gt;"",'All Cases - Enter Cases'!B426,"")</f>
        <v/>
      </c>
      <c r="D426" t="str">
        <f>IF($A426&lt;&gt;"",'All Cases - Enter Cases'!C426,"")</f>
        <v/>
      </c>
      <c r="E426" t="str">
        <f>IF($A426&lt;&gt;"",'All Cases - Enter Cases'!D426,"")</f>
        <v/>
      </c>
      <c r="F426" s="12" t="str">
        <f>IF($A426&lt;&gt;"",'All Cases - Enter Cases'!E426,"")</f>
        <v/>
      </c>
      <c r="G426" s="12" t="str">
        <f>IF($A426&lt;&gt;"",'All Cases - Enter Cases'!F426,"")</f>
        <v/>
      </c>
      <c r="H426" s="4" t="str">
        <f>IF($A426&lt;&gt;"",'All Cases - Enter Cases'!G426,"")</f>
        <v/>
      </c>
      <c r="I426" t="str">
        <f>IF($A426&lt;&gt;"",'All Cases - Enter Cases'!H426,"")</f>
        <v/>
      </c>
      <c r="J426" t="str">
        <f>IF($A426&lt;&gt;"",'All Cases - Enter Cases'!I426,"")</f>
        <v/>
      </c>
      <c r="K426" t="str">
        <f>IF($A426&lt;&gt;"",'All Cases - Enter Cases'!J426,"")</f>
        <v/>
      </c>
      <c r="L426" s="4" t="str">
        <f>IF($A426&lt;&gt;"",'All Cases - Enter Cases'!K426,"")</f>
        <v/>
      </c>
      <c r="M426" t="str">
        <f>IF($A426&lt;&gt;"",'All Cases - Enter Cases'!L426,"")</f>
        <v/>
      </c>
    </row>
    <row r="427" spans="1:13" x14ac:dyDescent="0.35">
      <c r="A427" s="4" t="str">
        <f>IF('All Cases - Enter Cases'!$K427="Approved",'All Cases - Enter Cases'!A427,"")</f>
        <v/>
      </c>
      <c r="B427" s="4" t="str">
        <f>IF($N427&lt;&gt;"",$N427,IF($A427&lt;&gt;"",'All Cases - Enter Cases'!$L427+7,""))</f>
        <v/>
      </c>
      <c r="C427" t="str">
        <f>IF($A427&lt;&gt;"",'All Cases - Enter Cases'!B427,"")</f>
        <v/>
      </c>
      <c r="D427" t="str">
        <f>IF($A427&lt;&gt;"",'All Cases - Enter Cases'!C427,"")</f>
        <v/>
      </c>
      <c r="E427" t="str">
        <f>IF($A427&lt;&gt;"",'All Cases - Enter Cases'!D427,"")</f>
        <v/>
      </c>
      <c r="F427" s="12" t="str">
        <f>IF($A427&lt;&gt;"",'All Cases - Enter Cases'!E427,"")</f>
        <v/>
      </c>
      <c r="G427" s="12" t="str">
        <f>IF($A427&lt;&gt;"",'All Cases - Enter Cases'!F427,"")</f>
        <v/>
      </c>
      <c r="H427" s="4" t="str">
        <f>IF($A427&lt;&gt;"",'All Cases - Enter Cases'!G427,"")</f>
        <v/>
      </c>
      <c r="I427" t="str">
        <f>IF($A427&lt;&gt;"",'All Cases - Enter Cases'!H427,"")</f>
        <v/>
      </c>
      <c r="J427" t="str">
        <f>IF($A427&lt;&gt;"",'All Cases - Enter Cases'!I427,"")</f>
        <v/>
      </c>
      <c r="K427" t="str">
        <f>IF($A427&lt;&gt;"",'All Cases - Enter Cases'!J427,"")</f>
        <v/>
      </c>
      <c r="L427" s="4" t="str">
        <f>IF($A427&lt;&gt;"",'All Cases - Enter Cases'!K427,"")</f>
        <v/>
      </c>
      <c r="M427" t="str">
        <f>IF($A427&lt;&gt;"",'All Cases - Enter Cases'!L427,"")</f>
        <v/>
      </c>
    </row>
    <row r="428" spans="1:13" x14ac:dyDescent="0.35">
      <c r="A428" s="4" t="str">
        <f>IF('All Cases - Enter Cases'!$K428="Approved",'All Cases - Enter Cases'!A428,"")</f>
        <v/>
      </c>
      <c r="B428" s="4" t="str">
        <f>IF($N428&lt;&gt;"",$N428,IF($A428&lt;&gt;"",'All Cases - Enter Cases'!$L428+7,""))</f>
        <v/>
      </c>
      <c r="C428" t="str">
        <f>IF($A428&lt;&gt;"",'All Cases - Enter Cases'!B428,"")</f>
        <v/>
      </c>
      <c r="D428" t="str">
        <f>IF($A428&lt;&gt;"",'All Cases - Enter Cases'!C428,"")</f>
        <v/>
      </c>
      <c r="E428" t="str">
        <f>IF($A428&lt;&gt;"",'All Cases - Enter Cases'!D428,"")</f>
        <v/>
      </c>
      <c r="F428" s="12" t="str">
        <f>IF($A428&lt;&gt;"",'All Cases - Enter Cases'!E428,"")</f>
        <v/>
      </c>
      <c r="G428" s="12" t="str">
        <f>IF($A428&lt;&gt;"",'All Cases - Enter Cases'!F428,"")</f>
        <v/>
      </c>
      <c r="H428" s="4" t="str">
        <f>IF($A428&lt;&gt;"",'All Cases - Enter Cases'!G428,"")</f>
        <v/>
      </c>
      <c r="I428" t="str">
        <f>IF($A428&lt;&gt;"",'All Cases - Enter Cases'!H428,"")</f>
        <v/>
      </c>
      <c r="J428" t="str">
        <f>IF($A428&lt;&gt;"",'All Cases - Enter Cases'!I428,"")</f>
        <v/>
      </c>
      <c r="K428" t="str">
        <f>IF($A428&lt;&gt;"",'All Cases - Enter Cases'!J428,"")</f>
        <v/>
      </c>
      <c r="L428" s="4" t="str">
        <f>IF($A428&lt;&gt;"",'All Cases - Enter Cases'!K428,"")</f>
        <v/>
      </c>
      <c r="M428" t="str">
        <f>IF($A428&lt;&gt;"",'All Cases - Enter Cases'!L428,"")</f>
        <v/>
      </c>
    </row>
    <row r="429" spans="1:13" x14ac:dyDescent="0.35">
      <c r="A429" s="4" t="str">
        <f>IF('All Cases - Enter Cases'!$K429="Approved",'All Cases - Enter Cases'!A429,"")</f>
        <v/>
      </c>
      <c r="B429" s="4" t="str">
        <f>IF($N429&lt;&gt;"",$N429,IF($A429&lt;&gt;"",'All Cases - Enter Cases'!$L429+7,""))</f>
        <v/>
      </c>
      <c r="C429" t="str">
        <f>IF($A429&lt;&gt;"",'All Cases - Enter Cases'!B429,"")</f>
        <v/>
      </c>
      <c r="D429" t="str">
        <f>IF($A429&lt;&gt;"",'All Cases - Enter Cases'!C429,"")</f>
        <v/>
      </c>
      <c r="E429" t="str">
        <f>IF($A429&lt;&gt;"",'All Cases - Enter Cases'!D429,"")</f>
        <v/>
      </c>
      <c r="F429" s="12" t="str">
        <f>IF($A429&lt;&gt;"",'All Cases - Enter Cases'!E429,"")</f>
        <v/>
      </c>
      <c r="G429" s="12" t="str">
        <f>IF($A429&lt;&gt;"",'All Cases - Enter Cases'!F429,"")</f>
        <v/>
      </c>
      <c r="H429" s="4" t="str">
        <f>IF($A429&lt;&gt;"",'All Cases - Enter Cases'!G429,"")</f>
        <v/>
      </c>
      <c r="I429" t="str">
        <f>IF($A429&lt;&gt;"",'All Cases - Enter Cases'!H429,"")</f>
        <v/>
      </c>
      <c r="J429" t="str">
        <f>IF($A429&lt;&gt;"",'All Cases - Enter Cases'!I429,"")</f>
        <v/>
      </c>
      <c r="K429" t="str">
        <f>IF($A429&lt;&gt;"",'All Cases - Enter Cases'!J429,"")</f>
        <v/>
      </c>
      <c r="L429" s="4" t="str">
        <f>IF($A429&lt;&gt;"",'All Cases - Enter Cases'!K429,"")</f>
        <v/>
      </c>
      <c r="M429" t="str">
        <f>IF($A429&lt;&gt;"",'All Cases - Enter Cases'!L429,"")</f>
        <v/>
      </c>
    </row>
    <row r="430" spans="1:13" x14ac:dyDescent="0.35">
      <c r="A430" s="4" t="str">
        <f>IF('All Cases - Enter Cases'!$K430="Approved",'All Cases - Enter Cases'!A430,"")</f>
        <v/>
      </c>
      <c r="B430" s="4" t="str">
        <f>IF($N430&lt;&gt;"",$N430,IF($A430&lt;&gt;"",'All Cases - Enter Cases'!$L430+7,""))</f>
        <v/>
      </c>
      <c r="C430" t="str">
        <f>IF($A430&lt;&gt;"",'All Cases - Enter Cases'!B430,"")</f>
        <v/>
      </c>
      <c r="D430" t="str">
        <f>IF($A430&lt;&gt;"",'All Cases - Enter Cases'!C430,"")</f>
        <v/>
      </c>
      <c r="E430" t="str">
        <f>IF($A430&lt;&gt;"",'All Cases - Enter Cases'!D430,"")</f>
        <v/>
      </c>
      <c r="F430" s="12" t="str">
        <f>IF($A430&lt;&gt;"",'All Cases - Enter Cases'!E430,"")</f>
        <v/>
      </c>
      <c r="G430" s="12" t="str">
        <f>IF($A430&lt;&gt;"",'All Cases - Enter Cases'!F430,"")</f>
        <v/>
      </c>
      <c r="H430" s="4" t="str">
        <f>IF($A430&lt;&gt;"",'All Cases - Enter Cases'!G430,"")</f>
        <v/>
      </c>
      <c r="I430" t="str">
        <f>IF($A430&lt;&gt;"",'All Cases - Enter Cases'!H430,"")</f>
        <v/>
      </c>
      <c r="J430" t="str">
        <f>IF($A430&lt;&gt;"",'All Cases - Enter Cases'!I430,"")</f>
        <v/>
      </c>
      <c r="K430" t="str">
        <f>IF($A430&lt;&gt;"",'All Cases - Enter Cases'!J430,"")</f>
        <v/>
      </c>
      <c r="L430" s="4" t="str">
        <f>IF($A430&lt;&gt;"",'All Cases - Enter Cases'!K430,"")</f>
        <v/>
      </c>
      <c r="M430" t="str">
        <f>IF($A430&lt;&gt;"",'All Cases - Enter Cases'!L430,"")</f>
        <v/>
      </c>
    </row>
    <row r="431" spans="1:13" x14ac:dyDescent="0.35">
      <c r="A431" s="4" t="str">
        <f>IF('All Cases - Enter Cases'!$K431="Approved",'All Cases - Enter Cases'!A431,"")</f>
        <v/>
      </c>
      <c r="B431" s="4" t="str">
        <f>IF($N431&lt;&gt;"",$N431,IF($A431&lt;&gt;"",'All Cases - Enter Cases'!$L431+7,""))</f>
        <v/>
      </c>
      <c r="C431" t="str">
        <f>IF($A431&lt;&gt;"",'All Cases - Enter Cases'!B431,"")</f>
        <v/>
      </c>
      <c r="D431" t="str">
        <f>IF($A431&lt;&gt;"",'All Cases - Enter Cases'!C431,"")</f>
        <v/>
      </c>
      <c r="E431" t="str">
        <f>IF($A431&lt;&gt;"",'All Cases - Enter Cases'!D431,"")</f>
        <v/>
      </c>
      <c r="F431" s="12" t="str">
        <f>IF($A431&lt;&gt;"",'All Cases - Enter Cases'!E431,"")</f>
        <v/>
      </c>
      <c r="G431" s="12" t="str">
        <f>IF($A431&lt;&gt;"",'All Cases - Enter Cases'!F431,"")</f>
        <v/>
      </c>
      <c r="H431" s="4" t="str">
        <f>IF($A431&lt;&gt;"",'All Cases - Enter Cases'!G431,"")</f>
        <v/>
      </c>
      <c r="I431" t="str">
        <f>IF($A431&lt;&gt;"",'All Cases - Enter Cases'!H431,"")</f>
        <v/>
      </c>
      <c r="J431" t="str">
        <f>IF($A431&lt;&gt;"",'All Cases - Enter Cases'!I431,"")</f>
        <v/>
      </c>
      <c r="K431" t="str">
        <f>IF($A431&lt;&gt;"",'All Cases - Enter Cases'!J431,"")</f>
        <v/>
      </c>
      <c r="L431" s="4" t="str">
        <f>IF($A431&lt;&gt;"",'All Cases - Enter Cases'!K431,"")</f>
        <v/>
      </c>
      <c r="M431" t="str">
        <f>IF($A431&lt;&gt;"",'All Cases - Enter Cases'!L431,"")</f>
        <v/>
      </c>
    </row>
    <row r="432" spans="1:13" x14ac:dyDescent="0.35">
      <c r="A432" s="4" t="str">
        <f>IF('All Cases - Enter Cases'!$K432="Approved",'All Cases - Enter Cases'!A432,"")</f>
        <v/>
      </c>
      <c r="B432" s="4" t="str">
        <f>IF($N432&lt;&gt;"",$N432,IF($A432&lt;&gt;"",'All Cases - Enter Cases'!$L432+7,""))</f>
        <v/>
      </c>
      <c r="C432" t="str">
        <f>IF($A432&lt;&gt;"",'All Cases - Enter Cases'!B432,"")</f>
        <v/>
      </c>
      <c r="D432" t="str">
        <f>IF($A432&lt;&gt;"",'All Cases - Enter Cases'!C432,"")</f>
        <v/>
      </c>
      <c r="E432" t="str">
        <f>IF($A432&lt;&gt;"",'All Cases - Enter Cases'!D432,"")</f>
        <v/>
      </c>
      <c r="F432" s="12" t="str">
        <f>IF($A432&lt;&gt;"",'All Cases - Enter Cases'!E432,"")</f>
        <v/>
      </c>
      <c r="G432" s="12" t="str">
        <f>IF($A432&lt;&gt;"",'All Cases - Enter Cases'!F432,"")</f>
        <v/>
      </c>
      <c r="H432" s="4" t="str">
        <f>IF($A432&lt;&gt;"",'All Cases - Enter Cases'!G432,"")</f>
        <v/>
      </c>
      <c r="I432" t="str">
        <f>IF($A432&lt;&gt;"",'All Cases - Enter Cases'!H432,"")</f>
        <v/>
      </c>
      <c r="J432" t="str">
        <f>IF($A432&lt;&gt;"",'All Cases - Enter Cases'!I432,"")</f>
        <v/>
      </c>
      <c r="K432" t="str">
        <f>IF($A432&lt;&gt;"",'All Cases - Enter Cases'!J432,"")</f>
        <v/>
      </c>
      <c r="L432" s="4" t="str">
        <f>IF($A432&lt;&gt;"",'All Cases - Enter Cases'!K432,"")</f>
        <v/>
      </c>
      <c r="M432" t="str">
        <f>IF($A432&lt;&gt;"",'All Cases - Enter Cases'!L432,"")</f>
        <v/>
      </c>
    </row>
    <row r="433" spans="1:13" x14ac:dyDescent="0.35">
      <c r="A433" s="4" t="str">
        <f>IF('All Cases - Enter Cases'!$K433="Approved",'All Cases - Enter Cases'!A433,"")</f>
        <v/>
      </c>
      <c r="B433" s="4" t="str">
        <f>IF($N433&lt;&gt;"",$N433,IF($A433&lt;&gt;"",'All Cases - Enter Cases'!$L433+7,""))</f>
        <v/>
      </c>
      <c r="C433" t="str">
        <f>IF($A433&lt;&gt;"",'All Cases - Enter Cases'!B433,"")</f>
        <v/>
      </c>
      <c r="D433" t="str">
        <f>IF($A433&lt;&gt;"",'All Cases - Enter Cases'!C433,"")</f>
        <v/>
      </c>
      <c r="E433" t="str">
        <f>IF($A433&lt;&gt;"",'All Cases - Enter Cases'!D433,"")</f>
        <v/>
      </c>
      <c r="F433" s="12" t="str">
        <f>IF($A433&lt;&gt;"",'All Cases - Enter Cases'!E433,"")</f>
        <v/>
      </c>
      <c r="G433" s="12" t="str">
        <f>IF($A433&lt;&gt;"",'All Cases - Enter Cases'!F433,"")</f>
        <v/>
      </c>
      <c r="H433" s="4" t="str">
        <f>IF($A433&lt;&gt;"",'All Cases - Enter Cases'!G433,"")</f>
        <v/>
      </c>
      <c r="I433" t="str">
        <f>IF($A433&lt;&gt;"",'All Cases - Enter Cases'!H433,"")</f>
        <v/>
      </c>
      <c r="J433" t="str">
        <f>IF($A433&lt;&gt;"",'All Cases - Enter Cases'!I433,"")</f>
        <v/>
      </c>
      <c r="K433" t="str">
        <f>IF($A433&lt;&gt;"",'All Cases - Enter Cases'!J433,"")</f>
        <v/>
      </c>
      <c r="L433" s="4" t="str">
        <f>IF($A433&lt;&gt;"",'All Cases - Enter Cases'!K433,"")</f>
        <v/>
      </c>
      <c r="M433" t="str">
        <f>IF($A433&lt;&gt;"",'All Cases - Enter Cases'!L433,"")</f>
        <v/>
      </c>
    </row>
    <row r="434" spans="1:13" x14ac:dyDescent="0.35">
      <c r="A434" s="4" t="str">
        <f>IF('All Cases - Enter Cases'!$K434="Approved",'All Cases - Enter Cases'!A434,"")</f>
        <v/>
      </c>
      <c r="B434" s="4" t="str">
        <f>IF($N434&lt;&gt;"",$N434,IF($A434&lt;&gt;"",'All Cases - Enter Cases'!$L434+7,""))</f>
        <v/>
      </c>
      <c r="C434" t="str">
        <f>IF($A434&lt;&gt;"",'All Cases - Enter Cases'!B434,"")</f>
        <v/>
      </c>
      <c r="D434" t="str">
        <f>IF($A434&lt;&gt;"",'All Cases - Enter Cases'!C434,"")</f>
        <v/>
      </c>
      <c r="E434" t="str">
        <f>IF($A434&lt;&gt;"",'All Cases - Enter Cases'!D434,"")</f>
        <v/>
      </c>
      <c r="F434" s="12" t="str">
        <f>IF($A434&lt;&gt;"",'All Cases - Enter Cases'!E434,"")</f>
        <v/>
      </c>
      <c r="G434" s="12" t="str">
        <f>IF($A434&lt;&gt;"",'All Cases - Enter Cases'!F434,"")</f>
        <v/>
      </c>
      <c r="H434" s="4" t="str">
        <f>IF($A434&lt;&gt;"",'All Cases - Enter Cases'!G434,"")</f>
        <v/>
      </c>
      <c r="I434" t="str">
        <f>IF($A434&lt;&gt;"",'All Cases - Enter Cases'!H434,"")</f>
        <v/>
      </c>
      <c r="J434" t="str">
        <f>IF($A434&lt;&gt;"",'All Cases - Enter Cases'!I434,"")</f>
        <v/>
      </c>
      <c r="K434" t="str">
        <f>IF($A434&lt;&gt;"",'All Cases - Enter Cases'!J434,"")</f>
        <v/>
      </c>
      <c r="L434" s="4" t="str">
        <f>IF($A434&lt;&gt;"",'All Cases - Enter Cases'!K434,"")</f>
        <v/>
      </c>
      <c r="M434" t="str">
        <f>IF($A434&lt;&gt;"",'All Cases - Enter Cases'!L434,"")</f>
        <v/>
      </c>
    </row>
    <row r="435" spans="1:13" x14ac:dyDescent="0.35">
      <c r="A435" s="4" t="str">
        <f>IF('All Cases - Enter Cases'!$K435="Approved",'All Cases - Enter Cases'!A435,"")</f>
        <v/>
      </c>
      <c r="B435" s="4" t="str">
        <f>IF($N435&lt;&gt;"",$N435,IF($A435&lt;&gt;"",'All Cases - Enter Cases'!$L435+7,""))</f>
        <v/>
      </c>
      <c r="C435" t="str">
        <f>IF($A435&lt;&gt;"",'All Cases - Enter Cases'!B435,"")</f>
        <v/>
      </c>
      <c r="D435" t="str">
        <f>IF($A435&lt;&gt;"",'All Cases - Enter Cases'!C435,"")</f>
        <v/>
      </c>
      <c r="E435" t="str">
        <f>IF($A435&lt;&gt;"",'All Cases - Enter Cases'!D435,"")</f>
        <v/>
      </c>
      <c r="F435" s="12" t="str">
        <f>IF($A435&lt;&gt;"",'All Cases - Enter Cases'!E435,"")</f>
        <v/>
      </c>
      <c r="G435" s="12" t="str">
        <f>IF($A435&lt;&gt;"",'All Cases - Enter Cases'!F435,"")</f>
        <v/>
      </c>
      <c r="H435" s="4" t="str">
        <f>IF($A435&lt;&gt;"",'All Cases - Enter Cases'!G435,"")</f>
        <v/>
      </c>
      <c r="I435" t="str">
        <f>IF($A435&lt;&gt;"",'All Cases - Enter Cases'!H435,"")</f>
        <v/>
      </c>
      <c r="J435" t="str">
        <f>IF($A435&lt;&gt;"",'All Cases - Enter Cases'!I435,"")</f>
        <v/>
      </c>
      <c r="K435" t="str">
        <f>IF($A435&lt;&gt;"",'All Cases - Enter Cases'!J435,"")</f>
        <v/>
      </c>
      <c r="L435" s="4" t="str">
        <f>IF($A435&lt;&gt;"",'All Cases - Enter Cases'!K435,"")</f>
        <v/>
      </c>
      <c r="M435" t="str">
        <f>IF($A435&lt;&gt;"",'All Cases - Enter Cases'!L435,"")</f>
        <v/>
      </c>
    </row>
    <row r="436" spans="1:13" x14ac:dyDescent="0.35">
      <c r="A436" s="4" t="str">
        <f>IF('All Cases - Enter Cases'!$K436="Approved",'All Cases - Enter Cases'!A436,"")</f>
        <v/>
      </c>
      <c r="B436" s="4" t="str">
        <f>IF($N436&lt;&gt;"",$N436,IF($A436&lt;&gt;"",'All Cases - Enter Cases'!$L436+7,""))</f>
        <v/>
      </c>
      <c r="C436" t="str">
        <f>IF($A436&lt;&gt;"",'All Cases - Enter Cases'!B436,"")</f>
        <v/>
      </c>
      <c r="D436" t="str">
        <f>IF($A436&lt;&gt;"",'All Cases - Enter Cases'!C436,"")</f>
        <v/>
      </c>
      <c r="E436" t="str">
        <f>IF($A436&lt;&gt;"",'All Cases - Enter Cases'!D436,"")</f>
        <v/>
      </c>
      <c r="F436" s="12" t="str">
        <f>IF($A436&lt;&gt;"",'All Cases - Enter Cases'!E436,"")</f>
        <v/>
      </c>
      <c r="G436" s="12" t="str">
        <f>IF($A436&lt;&gt;"",'All Cases - Enter Cases'!F436,"")</f>
        <v/>
      </c>
      <c r="H436" s="4" t="str">
        <f>IF($A436&lt;&gt;"",'All Cases - Enter Cases'!G436,"")</f>
        <v/>
      </c>
      <c r="I436" t="str">
        <f>IF($A436&lt;&gt;"",'All Cases - Enter Cases'!H436,"")</f>
        <v/>
      </c>
      <c r="J436" t="str">
        <f>IF($A436&lt;&gt;"",'All Cases - Enter Cases'!I436,"")</f>
        <v/>
      </c>
      <c r="K436" t="str">
        <f>IF($A436&lt;&gt;"",'All Cases - Enter Cases'!J436,"")</f>
        <v/>
      </c>
      <c r="L436" s="4" t="str">
        <f>IF($A436&lt;&gt;"",'All Cases - Enter Cases'!K436,"")</f>
        <v/>
      </c>
      <c r="M436" t="str">
        <f>IF($A436&lt;&gt;"",'All Cases - Enter Cases'!L436,"")</f>
        <v/>
      </c>
    </row>
    <row r="437" spans="1:13" x14ac:dyDescent="0.35">
      <c r="A437" s="4" t="str">
        <f>IF('All Cases - Enter Cases'!$K437="Approved",'All Cases - Enter Cases'!A437,"")</f>
        <v/>
      </c>
      <c r="B437" s="4" t="str">
        <f>IF($N437&lt;&gt;"",$N437,IF($A437&lt;&gt;"",'All Cases - Enter Cases'!$L437+7,""))</f>
        <v/>
      </c>
      <c r="C437" t="str">
        <f>IF($A437&lt;&gt;"",'All Cases - Enter Cases'!B437,"")</f>
        <v/>
      </c>
      <c r="D437" t="str">
        <f>IF($A437&lt;&gt;"",'All Cases - Enter Cases'!C437,"")</f>
        <v/>
      </c>
      <c r="E437" t="str">
        <f>IF($A437&lt;&gt;"",'All Cases - Enter Cases'!D437,"")</f>
        <v/>
      </c>
      <c r="F437" s="12" t="str">
        <f>IF($A437&lt;&gt;"",'All Cases - Enter Cases'!E437,"")</f>
        <v/>
      </c>
      <c r="G437" s="12" t="str">
        <f>IF($A437&lt;&gt;"",'All Cases - Enter Cases'!F437,"")</f>
        <v/>
      </c>
      <c r="H437" s="4" t="str">
        <f>IF($A437&lt;&gt;"",'All Cases - Enter Cases'!G437,"")</f>
        <v/>
      </c>
      <c r="I437" t="str">
        <f>IF($A437&lt;&gt;"",'All Cases - Enter Cases'!H437,"")</f>
        <v/>
      </c>
      <c r="J437" t="str">
        <f>IF($A437&lt;&gt;"",'All Cases - Enter Cases'!I437,"")</f>
        <v/>
      </c>
      <c r="K437" t="str">
        <f>IF($A437&lt;&gt;"",'All Cases - Enter Cases'!J437,"")</f>
        <v/>
      </c>
      <c r="L437" s="4" t="str">
        <f>IF($A437&lt;&gt;"",'All Cases - Enter Cases'!K437,"")</f>
        <v/>
      </c>
      <c r="M437" t="str">
        <f>IF($A437&lt;&gt;"",'All Cases - Enter Cases'!L437,"")</f>
        <v/>
      </c>
    </row>
    <row r="438" spans="1:13" x14ac:dyDescent="0.35">
      <c r="A438" s="4" t="str">
        <f>IF('All Cases - Enter Cases'!$K438="Approved",'All Cases - Enter Cases'!A438,"")</f>
        <v/>
      </c>
      <c r="B438" s="4" t="str">
        <f>IF($N438&lt;&gt;"",$N438,IF($A438&lt;&gt;"",'All Cases - Enter Cases'!$L438+7,""))</f>
        <v/>
      </c>
      <c r="C438" t="str">
        <f>IF($A438&lt;&gt;"",'All Cases - Enter Cases'!B438,"")</f>
        <v/>
      </c>
      <c r="D438" t="str">
        <f>IF($A438&lt;&gt;"",'All Cases - Enter Cases'!C438,"")</f>
        <v/>
      </c>
      <c r="E438" t="str">
        <f>IF($A438&lt;&gt;"",'All Cases - Enter Cases'!D438,"")</f>
        <v/>
      </c>
      <c r="F438" s="12" t="str">
        <f>IF($A438&lt;&gt;"",'All Cases - Enter Cases'!E438,"")</f>
        <v/>
      </c>
      <c r="G438" s="12" t="str">
        <f>IF($A438&lt;&gt;"",'All Cases - Enter Cases'!F438,"")</f>
        <v/>
      </c>
      <c r="H438" s="4" t="str">
        <f>IF($A438&lt;&gt;"",'All Cases - Enter Cases'!G438,"")</f>
        <v/>
      </c>
      <c r="I438" t="str">
        <f>IF($A438&lt;&gt;"",'All Cases - Enter Cases'!H438,"")</f>
        <v/>
      </c>
      <c r="J438" t="str">
        <f>IF($A438&lt;&gt;"",'All Cases - Enter Cases'!I438,"")</f>
        <v/>
      </c>
      <c r="K438" t="str">
        <f>IF($A438&lt;&gt;"",'All Cases - Enter Cases'!J438,"")</f>
        <v/>
      </c>
      <c r="L438" s="4" t="str">
        <f>IF($A438&lt;&gt;"",'All Cases - Enter Cases'!K438,"")</f>
        <v/>
      </c>
      <c r="M438" t="str">
        <f>IF($A438&lt;&gt;"",'All Cases - Enter Cases'!L438,"")</f>
        <v/>
      </c>
    </row>
    <row r="439" spans="1:13" x14ac:dyDescent="0.35">
      <c r="A439" s="4" t="str">
        <f>IF('All Cases - Enter Cases'!$K439="Approved",'All Cases - Enter Cases'!A439,"")</f>
        <v/>
      </c>
      <c r="B439" s="4" t="str">
        <f>IF($N439&lt;&gt;"",$N439,IF($A439&lt;&gt;"",'All Cases - Enter Cases'!$L439+7,""))</f>
        <v/>
      </c>
      <c r="C439" t="str">
        <f>IF($A439&lt;&gt;"",'All Cases - Enter Cases'!B439,"")</f>
        <v/>
      </c>
      <c r="D439" t="str">
        <f>IF($A439&lt;&gt;"",'All Cases - Enter Cases'!C439,"")</f>
        <v/>
      </c>
      <c r="E439" t="str">
        <f>IF($A439&lt;&gt;"",'All Cases - Enter Cases'!D439,"")</f>
        <v/>
      </c>
      <c r="F439" s="12" t="str">
        <f>IF($A439&lt;&gt;"",'All Cases - Enter Cases'!E439,"")</f>
        <v/>
      </c>
      <c r="G439" s="12" t="str">
        <f>IF($A439&lt;&gt;"",'All Cases - Enter Cases'!F439,"")</f>
        <v/>
      </c>
      <c r="H439" s="4" t="str">
        <f>IF($A439&lt;&gt;"",'All Cases - Enter Cases'!G439,"")</f>
        <v/>
      </c>
      <c r="I439" t="str">
        <f>IF($A439&lt;&gt;"",'All Cases - Enter Cases'!H439,"")</f>
        <v/>
      </c>
      <c r="J439" t="str">
        <f>IF($A439&lt;&gt;"",'All Cases - Enter Cases'!I439,"")</f>
        <v/>
      </c>
      <c r="K439" t="str">
        <f>IF($A439&lt;&gt;"",'All Cases - Enter Cases'!J439,"")</f>
        <v/>
      </c>
      <c r="L439" s="4" t="str">
        <f>IF($A439&lt;&gt;"",'All Cases - Enter Cases'!K439,"")</f>
        <v/>
      </c>
      <c r="M439" t="str">
        <f>IF($A439&lt;&gt;"",'All Cases - Enter Cases'!L439,"")</f>
        <v/>
      </c>
    </row>
    <row r="440" spans="1:13" x14ac:dyDescent="0.35">
      <c r="A440" s="4" t="str">
        <f>IF('All Cases - Enter Cases'!$K440="Approved",'All Cases - Enter Cases'!A440,"")</f>
        <v/>
      </c>
      <c r="B440" s="4" t="str">
        <f>IF($N440&lt;&gt;"",$N440,IF($A440&lt;&gt;"",'All Cases - Enter Cases'!$L440+7,""))</f>
        <v/>
      </c>
      <c r="C440" t="str">
        <f>IF($A440&lt;&gt;"",'All Cases - Enter Cases'!B440,"")</f>
        <v/>
      </c>
      <c r="D440" t="str">
        <f>IF($A440&lt;&gt;"",'All Cases - Enter Cases'!C440,"")</f>
        <v/>
      </c>
      <c r="E440" t="str">
        <f>IF($A440&lt;&gt;"",'All Cases - Enter Cases'!D440,"")</f>
        <v/>
      </c>
      <c r="F440" s="12" t="str">
        <f>IF($A440&lt;&gt;"",'All Cases - Enter Cases'!E440,"")</f>
        <v/>
      </c>
      <c r="G440" s="12" t="str">
        <f>IF($A440&lt;&gt;"",'All Cases - Enter Cases'!F440,"")</f>
        <v/>
      </c>
      <c r="H440" s="4" t="str">
        <f>IF($A440&lt;&gt;"",'All Cases - Enter Cases'!G440,"")</f>
        <v/>
      </c>
      <c r="I440" t="str">
        <f>IF($A440&lt;&gt;"",'All Cases - Enter Cases'!H440,"")</f>
        <v/>
      </c>
      <c r="J440" t="str">
        <f>IF($A440&lt;&gt;"",'All Cases - Enter Cases'!I440,"")</f>
        <v/>
      </c>
      <c r="K440" t="str">
        <f>IF($A440&lt;&gt;"",'All Cases - Enter Cases'!J440,"")</f>
        <v/>
      </c>
      <c r="L440" s="4" t="str">
        <f>IF($A440&lt;&gt;"",'All Cases - Enter Cases'!K440,"")</f>
        <v/>
      </c>
      <c r="M440" t="str">
        <f>IF($A440&lt;&gt;"",'All Cases - Enter Cases'!L440,"")</f>
        <v/>
      </c>
    </row>
    <row r="441" spans="1:13" x14ac:dyDescent="0.35">
      <c r="A441" s="4" t="str">
        <f>IF('All Cases - Enter Cases'!$K441="Approved",'All Cases - Enter Cases'!A441,"")</f>
        <v/>
      </c>
      <c r="B441" s="4" t="str">
        <f>IF($N441&lt;&gt;"",$N441,IF($A441&lt;&gt;"",'All Cases - Enter Cases'!$L441+7,""))</f>
        <v/>
      </c>
      <c r="C441" t="str">
        <f>IF($A441&lt;&gt;"",'All Cases - Enter Cases'!B441,"")</f>
        <v/>
      </c>
      <c r="D441" t="str">
        <f>IF($A441&lt;&gt;"",'All Cases - Enter Cases'!C441,"")</f>
        <v/>
      </c>
      <c r="E441" t="str">
        <f>IF($A441&lt;&gt;"",'All Cases - Enter Cases'!D441,"")</f>
        <v/>
      </c>
      <c r="F441" s="12" t="str">
        <f>IF($A441&lt;&gt;"",'All Cases - Enter Cases'!E441,"")</f>
        <v/>
      </c>
      <c r="G441" s="12" t="str">
        <f>IF($A441&lt;&gt;"",'All Cases - Enter Cases'!F441,"")</f>
        <v/>
      </c>
      <c r="H441" s="4" t="str">
        <f>IF($A441&lt;&gt;"",'All Cases - Enter Cases'!G441,"")</f>
        <v/>
      </c>
      <c r="I441" t="str">
        <f>IF($A441&lt;&gt;"",'All Cases - Enter Cases'!H441,"")</f>
        <v/>
      </c>
      <c r="J441" t="str">
        <f>IF($A441&lt;&gt;"",'All Cases - Enter Cases'!I441,"")</f>
        <v/>
      </c>
      <c r="K441" t="str">
        <f>IF($A441&lt;&gt;"",'All Cases - Enter Cases'!J441,"")</f>
        <v/>
      </c>
      <c r="L441" s="4" t="str">
        <f>IF($A441&lt;&gt;"",'All Cases - Enter Cases'!K441,"")</f>
        <v/>
      </c>
      <c r="M441" t="str">
        <f>IF($A441&lt;&gt;"",'All Cases - Enter Cases'!L441,"")</f>
        <v/>
      </c>
    </row>
    <row r="442" spans="1:13" x14ac:dyDescent="0.35">
      <c r="A442" s="4" t="str">
        <f>IF('All Cases - Enter Cases'!$K442="Approved",'All Cases - Enter Cases'!A442,"")</f>
        <v/>
      </c>
      <c r="B442" s="4" t="str">
        <f>IF($N442&lt;&gt;"",$N442,IF($A442&lt;&gt;"",'All Cases - Enter Cases'!$L442+7,""))</f>
        <v/>
      </c>
      <c r="C442" t="str">
        <f>IF($A442&lt;&gt;"",'All Cases - Enter Cases'!B442,"")</f>
        <v/>
      </c>
      <c r="D442" t="str">
        <f>IF($A442&lt;&gt;"",'All Cases - Enter Cases'!C442,"")</f>
        <v/>
      </c>
      <c r="E442" t="str">
        <f>IF($A442&lt;&gt;"",'All Cases - Enter Cases'!D442,"")</f>
        <v/>
      </c>
      <c r="F442" s="12" t="str">
        <f>IF($A442&lt;&gt;"",'All Cases - Enter Cases'!E442,"")</f>
        <v/>
      </c>
      <c r="G442" s="12" t="str">
        <f>IF($A442&lt;&gt;"",'All Cases - Enter Cases'!F442,"")</f>
        <v/>
      </c>
      <c r="H442" s="4" t="str">
        <f>IF($A442&lt;&gt;"",'All Cases - Enter Cases'!G442,"")</f>
        <v/>
      </c>
      <c r="I442" t="str">
        <f>IF($A442&lt;&gt;"",'All Cases - Enter Cases'!H442,"")</f>
        <v/>
      </c>
      <c r="J442" t="str">
        <f>IF($A442&lt;&gt;"",'All Cases - Enter Cases'!I442,"")</f>
        <v/>
      </c>
      <c r="K442" t="str">
        <f>IF($A442&lt;&gt;"",'All Cases - Enter Cases'!J442,"")</f>
        <v/>
      </c>
      <c r="L442" s="4" t="str">
        <f>IF($A442&lt;&gt;"",'All Cases - Enter Cases'!K442,"")</f>
        <v/>
      </c>
      <c r="M442" t="str">
        <f>IF($A442&lt;&gt;"",'All Cases - Enter Cases'!L442,"")</f>
        <v/>
      </c>
    </row>
    <row r="443" spans="1:13" x14ac:dyDescent="0.35">
      <c r="A443" s="4" t="str">
        <f>IF('All Cases - Enter Cases'!$K443="Approved",'All Cases - Enter Cases'!A443,"")</f>
        <v/>
      </c>
      <c r="B443" s="4" t="str">
        <f>IF($N443&lt;&gt;"",$N443,IF($A443&lt;&gt;"",'All Cases - Enter Cases'!$L443+7,""))</f>
        <v/>
      </c>
      <c r="C443" t="str">
        <f>IF($A443&lt;&gt;"",'All Cases - Enter Cases'!B443,"")</f>
        <v/>
      </c>
      <c r="D443" t="str">
        <f>IF($A443&lt;&gt;"",'All Cases - Enter Cases'!C443,"")</f>
        <v/>
      </c>
      <c r="E443" t="str">
        <f>IF($A443&lt;&gt;"",'All Cases - Enter Cases'!D443,"")</f>
        <v/>
      </c>
      <c r="F443" s="12" t="str">
        <f>IF($A443&lt;&gt;"",'All Cases - Enter Cases'!E443,"")</f>
        <v/>
      </c>
      <c r="G443" s="12" t="str">
        <f>IF($A443&lt;&gt;"",'All Cases - Enter Cases'!F443,"")</f>
        <v/>
      </c>
      <c r="H443" s="4" t="str">
        <f>IF($A443&lt;&gt;"",'All Cases - Enter Cases'!G443,"")</f>
        <v/>
      </c>
      <c r="I443" t="str">
        <f>IF($A443&lt;&gt;"",'All Cases - Enter Cases'!H443,"")</f>
        <v/>
      </c>
      <c r="J443" t="str">
        <f>IF($A443&lt;&gt;"",'All Cases - Enter Cases'!I443,"")</f>
        <v/>
      </c>
      <c r="K443" t="str">
        <f>IF($A443&lt;&gt;"",'All Cases - Enter Cases'!J443,"")</f>
        <v/>
      </c>
      <c r="L443" s="4" t="str">
        <f>IF($A443&lt;&gt;"",'All Cases - Enter Cases'!K443,"")</f>
        <v/>
      </c>
      <c r="M443" t="str">
        <f>IF($A443&lt;&gt;"",'All Cases - Enter Cases'!L443,"")</f>
        <v/>
      </c>
    </row>
    <row r="444" spans="1:13" x14ac:dyDescent="0.35">
      <c r="A444" s="4" t="str">
        <f>IF('All Cases - Enter Cases'!$K444="Approved",'All Cases - Enter Cases'!A444,"")</f>
        <v/>
      </c>
      <c r="B444" s="4" t="str">
        <f>IF($N444&lt;&gt;"",$N444,IF($A444&lt;&gt;"",'All Cases - Enter Cases'!$L444+7,""))</f>
        <v/>
      </c>
      <c r="C444" t="str">
        <f>IF($A444&lt;&gt;"",'All Cases - Enter Cases'!B444,"")</f>
        <v/>
      </c>
      <c r="D444" t="str">
        <f>IF($A444&lt;&gt;"",'All Cases - Enter Cases'!C444,"")</f>
        <v/>
      </c>
      <c r="E444" t="str">
        <f>IF($A444&lt;&gt;"",'All Cases - Enter Cases'!D444,"")</f>
        <v/>
      </c>
      <c r="F444" s="12" t="str">
        <f>IF($A444&lt;&gt;"",'All Cases - Enter Cases'!E444,"")</f>
        <v/>
      </c>
      <c r="G444" s="12" t="str">
        <f>IF($A444&lt;&gt;"",'All Cases - Enter Cases'!F444,"")</f>
        <v/>
      </c>
      <c r="H444" s="4" t="str">
        <f>IF($A444&lt;&gt;"",'All Cases - Enter Cases'!G444,"")</f>
        <v/>
      </c>
      <c r="I444" t="str">
        <f>IF($A444&lt;&gt;"",'All Cases - Enter Cases'!H444,"")</f>
        <v/>
      </c>
      <c r="J444" t="str">
        <f>IF($A444&lt;&gt;"",'All Cases - Enter Cases'!I444,"")</f>
        <v/>
      </c>
      <c r="K444" t="str">
        <f>IF($A444&lt;&gt;"",'All Cases - Enter Cases'!J444,"")</f>
        <v/>
      </c>
      <c r="L444" s="4" t="str">
        <f>IF($A444&lt;&gt;"",'All Cases - Enter Cases'!K444,"")</f>
        <v/>
      </c>
      <c r="M444" t="str">
        <f>IF($A444&lt;&gt;"",'All Cases - Enter Cases'!L444,"")</f>
        <v/>
      </c>
    </row>
    <row r="445" spans="1:13" x14ac:dyDescent="0.35">
      <c r="A445" s="4" t="str">
        <f>IF('All Cases - Enter Cases'!$K445="Approved",'All Cases - Enter Cases'!A445,"")</f>
        <v/>
      </c>
      <c r="B445" s="4" t="str">
        <f>IF($N445&lt;&gt;"",$N445,IF($A445&lt;&gt;"",'All Cases - Enter Cases'!$L445+7,""))</f>
        <v/>
      </c>
      <c r="C445" t="str">
        <f>IF($A445&lt;&gt;"",'All Cases - Enter Cases'!B445,"")</f>
        <v/>
      </c>
      <c r="D445" t="str">
        <f>IF($A445&lt;&gt;"",'All Cases - Enter Cases'!C445,"")</f>
        <v/>
      </c>
      <c r="E445" t="str">
        <f>IF($A445&lt;&gt;"",'All Cases - Enter Cases'!D445,"")</f>
        <v/>
      </c>
      <c r="F445" s="12" t="str">
        <f>IF($A445&lt;&gt;"",'All Cases - Enter Cases'!E445,"")</f>
        <v/>
      </c>
      <c r="G445" s="12" t="str">
        <f>IF($A445&lt;&gt;"",'All Cases - Enter Cases'!F445,"")</f>
        <v/>
      </c>
      <c r="H445" s="4" t="str">
        <f>IF($A445&lt;&gt;"",'All Cases - Enter Cases'!G445,"")</f>
        <v/>
      </c>
      <c r="I445" t="str">
        <f>IF($A445&lt;&gt;"",'All Cases - Enter Cases'!H445,"")</f>
        <v/>
      </c>
      <c r="J445" t="str">
        <f>IF($A445&lt;&gt;"",'All Cases - Enter Cases'!I445,"")</f>
        <v/>
      </c>
      <c r="K445" t="str">
        <f>IF($A445&lt;&gt;"",'All Cases - Enter Cases'!J445,"")</f>
        <v/>
      </c>
      <c r="L445" s="4" t="str">
        <f>IF($A445&lt;&gt;"",'All Cases - Enter Cases'!K445,"")</f>
        <v/>
      </c>
      <c r="M445" t="str">
        <f>IF($A445&lt;&gt;"",'All Cases - Enter Cases'!L445,"")</f>
        <v/>
      </c>
    </row>
    <row r="446" spans="1:13" x14ac:dyDescent="0.35">
      <c r="A446" s="4" t="str">
        <f>IF('All Cases - Enter Cases'!$K446="Approved",'All Cases - Enter Cases'!A446,"")</f>
        <v/>
      </c>
      <c r="B446" s="4" t="str">
        <f>IF($N446&lt;&gt;"",$N446,IF($A446&lt;&gt;"",'All Cases - Enter Cases'!$L446+7,""))</f>
        <v/>
      </c>
      <c r="C446" t="str">
        <f>IF($A446&lt;&gt;"",'All Cases - Enter Cases'!B446,"")</f>
        <v/>
      </c>
      <c r="D446" t="str">
        <f>IF($A446&lt;&gt;"",'All Cases - Enter Cases'!C446,"")</f>
        <v/>
      </c>
      <c r="E446" t="str">
        <f>IF($A446&lt;&gt;"",'All Cases - Enter Cases'!D446,"")</f>
        <v/>
      </c>
      <c r="F446" s="12" t="str">
        <f>IF($A446&lt;&gt;"",'All Cases - Enter Cases'!E446,"")</f>
        <v/>
      </c>
      <c r="G446" s="12" t="str">
        <f>IF($A446&lt;&gt;"",'All Cases - Enter Cases'!F446,"")</f>
        <v/>
      </c>
      <c r="H446" s="4" t="str">
        <f>IF($A446&lt;&gt;"",'All Cases - Enter Cases'!G446,"")</f>
        <v/>
      </c>
      <c r="I446" t="str">
        <f>IF($A446&lt;&gt;"",'All Cases - Enter Cases'!H446,"")</f>
        <v/>
      </c>
      <c r="J446" t="str">
        <f>IF($A446&lt;&gt;"",'All Cases - Enter Cases'!I446,"")</f>
        <v/>
      </c>
      <c r="K446" t="str">
        <f>IF($A446&lt;&gt;"",'All Cases - Enter Cases'!J446,"")</f>
        <v/>
      </c>
      <c r="L446" s="4" t="str">
        <f>IF($A446&lt;&gt;"",'All Cases - Enter Cases'!K446,"")</f>
        <v/>
      </c>
      <c r="M446" t="str">
        <f>IF($A446&lt;&gt;"",'All Cases - Enter Cases'!L446,"")</f>
        <v/>
      </c>
    </row>
    <row r="447" spans="1:13" x14ac:dyDescent="0.35">
      <c r="A447" s="4" t="str">
        <f>IF('All Cases - Enter Cases'!$K447="Approved",'All Cases - Enter Cases'!A447,"")</f>
        <v/>
      </c>
      <c r="B447" s="4" t="str">
        <f>IF($N447&lt;&gt;"",$N447,IF($A447&lt;&gt;"",'All Cases - Enter Cases'!$L447+7,""))</f>
        <v/>
      </c>
      <c r="C447" t="str">
        <f>IF($A447&lt;&gt;"",'All Cases - Enter Cases'!B447,"")</f>
        <v/>
      </c>
      <c r="D447" t="str">
        <f>IF($A447&lt;&gt;"",'All Cases - Enter Cases'!C447,"")</f>
        <v/>
      </c>
      <c r="E447" t="str">
        <f>IF($A447&lt;&gt;"",'All Cases - Enter Cases'!D447,"")</f>
        <v/>
      </c>
      <c r="F447" s="12" t="str">
        <f>IF($A447&lt;&gt;"",'All Cases - Enter Cases'!E447,"")</f>
        <v/>
      </c>
      <c r="G447" s="12" t="str">
        <f>IF($A447&lt;&gt;"",'All Cases - Enter Cases'!F447,"")</f>
        <v/>
      </c>
      <c r="H447" s="4" t="str">
        <f>IF($A447&lt;&gt;"",'All Cases - Enter Cases'!G447,"")</f>
        <v/>
      </c>
      <c r="I447" t="str">
        <f>IF($A447&lt;&gt;"",'All Cases - Enter Cases'!H447,"")</f>
        <v/>
      </c>
      <c r="J447" t="str">
        <f>IF($A447&lt;&gt;"",'All Cases - Enter Cases'!I447,"")</f>
        <v/>
      </c>
      <c r="K447" t="str">
        <f>IF($A447&lt;&gt;"",'All Cases - Enter Cases'!J447,"")</f>
        <v/>
      </c>
      <c r="L447" s="4" t="str">
        <f>IF($A447&lt;&gt;"",'All Cases - Enter Cases'!K447,"")</f>
        <v/>
      </c>
      <c r="M447" t="str">
        <f>IF($A447&lt;&gt;"",'All Cases - Enter Cases'!L447,"")</f>
        <v/>
      </c>
    </row>
    <row r="448" spans="1:13" x14ac:dyDescent="0.35">
      <c r="A448" s="4" t="str">
        <f>IF('All Cases - Enter Cases'!$K448="Approved",'All Cases - Enter Cases'!A448,"")</f>
        <v/>
      </c>
      <c r="B448" s="4" t="str">
        <f>IF($N448&lt;&gt;"",$N448,IF($A448&lt;&gt;"",'All Cases - Enter Cases'!$L448+7,""))</f>
        <v/>
      </c>
      <c r="C448" t="str">
        <f>IF($A448&lt;&gt;"",'All Cases - Enter Cases'!B448,"")</f>
        <v/>
      </c>
      <c r="D448" t="str">
        <f>IF($A448&lt;&gt;"",'All Cases - Enter Cases'!C448,"")</f>
        <v/>
      </c>
      <c r="E448" t="str">
        <f>IF($A448&lt;&gt;"",'All Cases - Enter Cases'!D448,"")</f>
        <v/>
      </c>
      <c r="F448" s="12" t="str">
        <f>IF($A448&lt;&gt;"",'All Cases - Enter Cases'!E448,"")</f>
        <v/>
      </c>
      <c r="G448" s="12" t="str">
        <f>IF($A448&lt;&gt;"",'All Cases - Enter Cases'!F448,"")</f>
        <v/>
      </c>
      <c r="H448" s="4" t="str">
        <f>IF($A448&lt;&gt;"",'All Cases - Enter Cases'!G448,"")</f>
        <v/>
      </c>
      <c r="I448" t="str">
        <f>IF($A448&lt;&gt;"",'All Cases - Enter Cases'!H448,"")</f>
        <v/>
      </c>
      <c r="J448" t="str">
        <f>IF($A448&lt;&gt;"",'All Cases - Enter Cases'!I448,"")</f>
        <v/>
      </c>
      <c r="K448" t="str">
        <f>IF($A448&lt;&gt;"",'All Cases - Enter Cases'!J448,"")</f>
        <v/>
      </c>
      <c r="L448" s="4" t="str">
        <f>IF($A448&lt;&gt;"",'All Cases - Enter Cases'!K448,"")</f>
        <v/>
      </c>
      <c r="M448" t="str">
        <f>IF($A448&lt;&gt;"",'All Cases - Enter Cases'!L448,"")</f>
        <v/>
      </c>
    </row>
    <row r="449" spans="1:13" x14ac:dyDescent="0.35">
      <c r="A449" s="4" t="str">
        <f>IF('All Cases - Enter Cases'!$K449="Approved",'All Cases - Enter Cases'!A449,"")</f>
        <v/>
      </c>
      <c r="B449" s="4" t="str">
        <f>IF($N449&lt;&gt;"",$N449,IF($A449&lt;&gt;"",'All Cases - Enter Cases'!$L449+7,""))</f>
        <v/>
      </c>
      <c r="C449" t="str">
        <f>IF($A449&lt;&gt;"",'All Cases - Enter Cases'!B449,"")</f>
        <v/>
      </c>
      <c r="D449" t="str">
        <f>IF($A449&lt;&gt;"",'All Cases - Enter Cases'!C449,"")</f>
        <v/>
      </c>
      <c r="E449" t="str">
        <f>IF($A449&lt;&gt;"",'All Cases - Enter Cases'!D449,"")</f>
        <v/>
      </c>
      <c r="F449" s="12" t="str">
        <f>IF($A449&lt;&gt;"",'All Cases - Enter Cases'!E449,"")</f>
        <v/>
      </c>
      <c r="G449" s="12" t="str">
        <f>IF($A449&lt;&gt;"",'All Cases - Enter Cases'!F449,"")</f>
        <v/>
      </c>
      <c r="H449" s="4" t="str">
        <f>IF($A449&lt;&gt;"",'All Cases - Enter Cases'!G449,"")</f>
        <v/>
      </c>
      <c r="I449" t="str">
        <f>IF($A449&lt;&gt;"",'All Cases - Enter Cases'!H449,"")</f>
        <v/>
      </c>
      <c r="J449" t="str">
        <f>IF($A449&lt;&gt;"",'All Cases - Enter Cases'!I449,"")</f>
        <v/>
      </c>
      <c r="K449" t="str">
        <f>IF($A449&lt;&gt;"",'All Cases - Enter Cases'!J449,"")</f>
        <v/>
      </c>
      <c r="L449" s="4" t="str">
        <f>IF($A449&lt;&gt;"",'All Cases - Enter Cases'!K449,"")</f>
        <v/>
      </c>
      <c r="M449" t="str">
        <f>IF($A449&lt;&gt;"",'All Cases - Enter Cases'!L449,"")</f>
        <v/>
      </c>
    </row>
    <row r="450" spans="1:13" x14ac:dyDescent="0.35">
      <c r="A450" s="4" t="str">
        <f>IF('All Cases - Enter Cases'!$K450="Approved",'All Cases - Enter Cases'!A450,"")</f>
        <v/>
      </c>
      <c r="B450" s="4" t="str">
        <f>IF($N450&lt;&gt;"",$N450,IF($A450&lt;&gt;"",'All Cases - Enter Cases'!$L450+7,""))</f>
        <v/>
      </c>
      <c r="C450" t="str">
        <f>IF($A450&lt;&gt;"",'All Cases - Enter Cases'!B450,"")</f>
        <v/>
      </c>
      <c r="D450" t="str">
        <f>IF($A450&lt;&gt;"",'All Cases - Enter Cases'!C450,"")</f>
        <v/>
      </c>
      <c r="E450" t="str">
        <f>IF($A450&lt;&gt;"",'All Cases - Enter Cases'!D450,"")</f>
        <v/>
      </c>
      <c r="F450" s="12" t="str">
        <f>IF($A450&lt;&gt;"",'All Cases - Enter Cases'!E450,"")</f>
        <v/>
      </c>
      <c r="G450" s="12" t="str">
        <f>IF($A450&lt;&gt;"",'All Cases - Enter Cases'!F450,"")</f>
        <v/>
      </c>
      <c r="H450" s="4" t="str">
        <f>IF($A450&lt;&gt;"",'All Cases - Enter Cases'!G450,"")</f>
        <v/>
      </c>
      <c r="I450" t="str">
        <f>IF($A450&lt;&gt;"",'All Cases - Enter Cases'!H450,"")</f>
        <v/>
      </c>
      <c r="J450" t="str">
        <f>IF($A450&lt;&gt;"",'All Cases - Enter Cases'!I450,"")</f>
        <v/>
      </c>
      <c r="K450" t="str">
        <f>IF($A450&lt;&gt;"",'All Cases - Enter Cases'!J450,"")</f>
        <v/>
      </c>
      <c r="L450" s="4" t="str">
        <f>IF($A450&lt;&gt;"",'All Cases - Enter Cases'!K450,"")</f>
        <v/>
      </c>
      <c r="M450" t="str">
        <f>IF($A450&lt;&gt;"",'All Cases - Enter Cases'!L450,"")</f>
        <v/>
      </c>
    </row>
    <row r="451" spans="1:13" x14ac:dyDescent="0.35">
      <c r="A451" s="4" t="str">
        <f>IF('All Cases - Enter Cases'!$K451="Approved",'All Cases - Enter Cases'!A451,"")</f>
        <v/>
      </c>
      <c r="B451" s="4" t="str">
        <f>IF($N451&lt;&gt;"",$N451,IF($A451&lt;&gt;"",'All Cases - Enter Cases'!$L451+7,""))</f>
        <v/>
      </c>
      <c r="C451" t="str">
        <f>IF($A451&lt;&gt;"",'All Cases - Enter Cases'!B451,"")</f>
        <v/>
      </c>
      <c r="D451" t="str">
        <f>IF($A451&lt;&gt;"",'All Cases - Enter Cases'!C451,"")</f>
        <v/>
      </c>
      <c r="E451" t="str">
        <f>IF($A451&lt;&gt;"",'All Cases - Enter Cases'!D451,"")</f>
        <v/>
      </c>
      <c r="F451" s="12" t="str">
        <f>IF($A451&lt;&gt;"",'All Cases - Enter Cases'!E451,"")</f>
        <v/>
      </c>
      <c r="G451" s="12" t="str">
        <f>IF($A451&lt;&gt;"",'All Cases - Enter Cases'!F451,"")</f>
        <v/>
      </c>
      <c r="H451" s="4" t="str">
        <f>IF($A451&lt;&gt;"",'All Cases - Enter Cases'!G451,"")</f>
        <v/>
      </c>
      <c r="I451" t="str">
        <f>IF($A451&lt;&gt;"",'All Cases - Enter Cases'!H451,"")</f>
        <v/>
      </c>
      <c r="J451" t="str">
        <f>IF($A451&lt;&gt;"",'All Cases - Enter Cases'!I451,"")</f>
        <v/>
      </c>
      <c r="K451" t="str">
        <f>IF($A451&lt;&gt;"",'All Cases - Enter Cases'!J451,"")</f>
        <v/>
      </c>
      <c r="L451" s="4" t="str">
        <f>IF($A451&lt;&gt;"",'All Cases - Enter Cases'!K451,"")</f>
        <v/>
      </c>
      <c r="M451" t="str">
        <f>IF($A451&lt;&gt;"",'All Cases - Enter Cases'!L451,"")</f>
        <v/>
      </c>
    </row>
    <row r="452" spans="1:13" x14ac:dyDescent="0.35">
      <c r="A452" s="4" t="str">
        <f>IF('All Cases - Enter Cases'!$K452="Approved",'All Cases - Enter Cases'!A452,"")</f>
        <v/>
      </c>
      <c r="B452" s="4" t="str">
        <f>IF($N452&lt;&gt;"",$N452,IF($A452&lt;&gt;"",'All Cases - Enter Cases'!$L452+7,""))</f>
        <v/>
      </c>
      <c r="C452" t="str">
        <f>IF($A452&lt;&gt;"",'All Cases - Enter Cases'!B452,"")</f>
        <v/>
      </c>
      <c r="D452" t="str">
        <f>IF($A452&lt;&gt;"",'All Cases - Enter Cases'!C452,"")</f>
        <v/>
      </c>
      <c r="E452" t="str">
        <f>IF($A452&lt;&gt;"",'All Cases - Enter Cases'!D452,"")</f>
        <v/>
      </c>
      <c r="F452" s="12" t="str">
        <f>IF($A452&lt;&gt;"",'All Cases - Enter Cases'!E452,"")</f>
        <v/>
      </c>
      <c r="G452" s="12" t="str">
        <f>IF($A452&lt;&gt;"",'All Cases - Enter Cases'!F452,"")</f>
        <v/>
      </c>
      <c r="H452" s="4" t="str">
        <f>IF($A452&lt;&gt;"",'All Cases - Enter Cases'!G452,"")</f>
        <v/>
      </c>
      <c r="I452" t="str">
        <f>IF($A452&lt;&gt;"",'All Cases - Enter Cases'!H452,"")</f>
        <v/>
      </c>
      <c r="J452" t="str">
        <f>IF($A452&lt;&gt;"",'All Cases - Enter Cases'!I452,"")</f>
        <v/>
      </c>
      <c r="K452" t="str">
        <f>IF($A452&lt;&gt;"",'All Cases - Enter Cases'!J452,"")</f>
        <v/>
      </c>
      <c r="L452" s="4" t="str">
        <f>IF($A452&lt;&gt;"",'All Cases - Enter Cases'!K452,"")</f>
        <v/>
      </c>
      <c r="M452" t="str">
        <f>IF($A452&lt;&gt;"",'All Cases - Enter Cases'!L452,"")</f>
        <v/>
      </c>
    </row>
    <row r="453" spans="1:13" x14ac:dyDescent="0.35">
      <c r="A453" s="4" t="str">
        <f>IF('All Cases - Enter Cases'!$K453="Approved",'All Cases - Enter Cases'!A453,"")</f>
        <v/>
      </c>
      <c r="B453" s="4" t="str">
        <f>IF($N453&lt;&gt;"",$N453,IF($A453&lt;&gt;"",'All Cases - Enter Cases'!$L453+7,""))</f>
        <v/>
      </c>
      <c r="C453" t="str">
        <f>IF($A453&lt;&gt;"",'All Cases - Enter Cases'!B453,"")</f>
        <v/>
      </c>
      <c r="D453" t="str">
        <f>IF($A453&lt;&gt;"",'All Cases - Enter Cases'!C453,"")</f>
        <v/>
      </c>
      <c r="E453" t="str">
        <f>IF($A453&lt;&gt;"",'All Cases - Enter Cases'!D453,"")</f>
        <v/>
      </c>
      <c r="F453" s="12" t="str">
        <f>IF($A453&lt;&gt;"",'All Cases - Enter Cases'!E453,"")</f>
        <v/>
      </c>
      <c r="G453" s="12" t="str">
        <f>IF($A453&lt;&gt;"",'All Cases - Enter Cases'!F453,"")</f>
        <v/>
      </c>
      <c r="H453" s="4" t="str">
        <f>IF($A453&lt;&gt;"",'All Cases - Enter Cases'!G453,"")</f>
        <v/>
      </c>
      <c r="I453" t="str">
        <f>IF($A453&lt;&gt;"",'All Cases - Enter Cases'!H453,"")</f>
        <v/>
      </c>
      <c r="J453" t="str">
        <f>IF($A453&lt;&gt;"",'All Cases - Enter Cases'!I453,"")</f>
        <v/>
      </c>
      <c r="K453" t="str">
        <f>IF($A453&lt;&gt;"",'All Cases - Enter Cases'!J453,"")</f>
        <v/>
      </c>
      <c r="L453" s="4" t="str">
        <f>IF($A453&lt;&gt;"",'All Cases - Enter Cases'!K453,"")</f>
        <v/>
      </c>
      <c r="M453" t="str">
        <f>IF($A453&lt;&gt;"",'All Cases - Enter Cases'!L453,"")</f>
        <v/>
      </c>
    </row>
    <row r="454" spans="1:13" x14ac:dyDescent="0.35">
      <c r="A454" s="4" t="str">
        <f>IF('All Cases - Enter Cases'!$K454="Approved",'All Cases - Enter Cases'!A454,"")</f>
        <v/>
      </c>
      <c r="B454" s="4" t="str">
        <f>IF($N454&lt;&gt;"",$N454,IF($A454&lt;&gt;"",'All Cases - Enter Cases'!$L454+7,""))</f>
        <v/>
      </c>
      <c r="C454" t="str">
        <f>IF($A454&lt;&gt;"",'All Cases - Enter Cases'!B454,"")</f>
        <v/>
      </c>
      <c r="D454" t="str">
        <f>IF($A454&lt;&gt;"",'All Cases - Enter Cases'!C454,"")</f>
        <v/>
      </c>
      <c r="E454" t="str">
        <f>IF($A454&lt;&gt;"",'All Cases - Enter Cases'!D454,"")</f>
        <v/>
      </c>
      <c r="F454" s="12" t="str">
        <f>IF($A454&lt;&gt;"",'All Cases - Enter Cases'!E454,"")</f>
        <v/>
      </c>
      <c r="G454" s="12" t="str">
        <f>IF($A454&lt;&gt;"",'All Cases - Enter Cases'!F454,"")</f>
        <v/>
      </c>
      <c r="H454" s="4" t="str">
        <f>IF($A454&lt;&gt;"",'All Cases - Enter Cases'!G454,"")</f>
        <v/>
      </c>
      <c r="I454" t="str">
        <f>IF($A454&lt;&gt;"",'All Cases - Enter Cases'!H454,"")</f>
        <v/>
      </c>
      <c r="J454" t="str">
        <f>IF($A454&lt;&gt;"",'All Cases - Enter Cases'!I454,"")</f>
        <v/>
      </c>
      <c r="K454" t="str">
        <f>IF($A454&lt;&gt;"",'All Cases - Enter Cases'!J454,"")</f>
        <v/>
      </c>
      <c r="L454" s="4" t="str">
        <f>IF($A454&lt;&gt;"",'All Cases - Enter Cases'!K454,"")</f>
        <v/>
      </c>
      <c r="M454" t="str">
        <f>IF($A454&lt;&gt;"",'All Cases - Enter Cases'!L454,"")</f>
        <v/>
      </c>
    </row>
    <row r="455" spans="1:13" x14ac:dyDescent="0.35">
      <c r="A455" s="4" t="str">
        <f>IF('All Cases - Enter Cases'!$K455="Approved",'All Cases - Enter Cases'!A455,"")</f>
        <v/>
      </c>
      <c r="B455" s="4" t="str">
        <f>IF($N455&lt;&gt;"",$N455,IF($A455&lt;&gt;"",'All Cases - Enter Cases'!$L455+7,""))</f>
        <v/>
      </c>
      <c r="C455" t="str">
        <f>IF($A455&lt;&gt;"",'All Cases - Enter Cases'!B455,"")</f>
        <v/>
      </c>
      <c r="D455" t="str">
        <f>IF($A455&lt;&gt;"",'All Cases - Enter Cases'!C455,"")</f>
        <v/>
      </c>
      <c r="E455" t="str">
        <f>IF($A455&lt;&gt;"",'All Cases - Enter Cases'!D455,"")</f>
        <v/>
      </c>
      <c r="F455" s="12" t="str">
        <f>IF($A455&lt;&gt;"",'All Cases - Enter Cases'!E455,"")</f>
        <v/>
      </c>
      <c r="G455" s="12" t="str">
        <f>IF($A455&lt;&gt;"",'All Cases - Enter Cases'!F455,"")</f>
        <v/>
      </c>
      <c r="H455" s="4" t="str">
        <f>IF($A455&lt;&gt;"",'All Cases - Enter Cases'!G455,"")</f>
        <v/>
      </c>
      <c r="I455" t="str">
        <f>IF($A455&lt;&gt;"",'All Cases - Enter Cases'!H455,"")</f>
        <v/>
      </c>
      <c r="J455" t="str">
        <f>IF($A455&lt;&gt;"",'All Cases - Enter Cases'!I455,"")</f>
        <v/>
      </c>
      <c r="K455" t="str">
        <f>IF($A455&lt;&gt;"",'All Cases - Enter Cases'!J455,"")</f>
        <v/>
      </c>
      <c r="L455" s="4" t="str">
        <f>IF($A455&lt;&gt;"",'All Cases - Enter Cases'!K455,"")</f>
        <v/>
      </c>
      <c r="M455" t="str">
        <f>IF($A455&lt;&gt;"",'All Cases - Enter Cases'!L455,"")</f>
        <v/>
      </c>
    </row>
    <row r="456" spans="1:13" x14ac:dyDescent="0.35">
      <c r="A456" s="4" t="str">
        <f>IF('All Cases - Enter Cases'!$K456="Approved",'All Cases - Enter Cases'!A456,"")</f>
        <v/>
      </c>
      <c r="B456" s="4" t="str">
        <f>IF($N456&lt;&gt;"",$N456,IF($A456&lt;&gt;"",'All Cases - Enter Cases'!$L456+7,""))</f>
        <v/>
      </c>
      <c r="C456" t="str">
        <f>IF($A456&lt;&gt;"",'All Cases - Enter Cases'!B456,"")</f>
        <v/>
      </c>
      <c r="D456" t="str">
        <f>IF($A456&lt;&gt;"",'All Cases - Enter Cases'!C456,"")</f>
        <v/>
      </c>
      <c r="E456" t="str">
        <f>IF($A456&lt;&gt;"",'All Cases - Enter Cases'!D456,"")</f>
        <v/>
      </c>
      <c r="F456" s="12" t="str">
        <f>IF($A456&lt;&gt;"",'All Cases - Enter Cases'!E456,"")</f>
        <v/>
      </c>
      <c r="G456" s="12" t="str">
        <f>IF($A456&lt;&gt;"",'All Cases - Enter Cases'!F456,"")</f>
        <v/>
      </c>
      <c r="H456" s="4" t="str">
        <f>IF($A456&lt;&gt;"",'All Cases - Enter Cases'!G456,"")</f>
        <v/>
      </c>
      <c r="I456" t="str">
        <f>IF($A456&lt;&gt;"",'All Cases - Enter Cases'!H456,"")</f>
        <v/>
      </c>
      <c r="J456" t="str">
        <f>IF($A456&lt;&gt;"",'All Cases - Enter Cases'!I456,"")</f>
        <v/>
      </c>
      <c r="K456" t="str">
        <f>IF($A456&lt;&gt;"",'All Cases - Enter Cases'!J456,"")</f>
        <v/>
      </c>
      <c r="L456" s="4" t="str">
        <f>IF($A456&lt;&gt;"",'All Cases - Enter Cases'!K456,"")</f>
        <v/>
      </c>
      <c r="M456" t="str">
        <f>IF($A456&lt;&gt;"",'All Cases - Enter Cases'!L456,"")</f>
        <v/>
      </c>
    </row>
    <row r="457" spans="1:13" x14ac:dyDescent="0.35">
      <c r="A457" s="4" t="str">
        <f>IF('All Cases - Enter Cases'!$K457="Approved",'All Cases - Enter Cases'!A457,"")</f>
        <v/>
      </c>
      <c r="B457" s="4" t="str">
        <f>IF($N457&lt;&gt;"",$N457,IF($A457&lt;&gt;"",'All Cases - Enter Cases'!$L457+7,""))</f>
        <v/>
      </c>
      <c r="C457" t="str">
        <f>IF($A457&lt;&gt;"",'All Cases - Enter Cases'!B457,"")</f>
        <v/>
      </c>
      <c r="D457" t="str">
        <f>IF($A457&lt;&gt;"",'All Cases - Enter Cases'!C457,"")</f>
        <v/>
      </c>
      <c r="E457" t="str">
        <f>IF($A457&lt;&gt;"",'All Cases - Enter Cases'!D457,"")</f>
        <v/>
      </c>
      <c r="F457" s="12" t="str">
        <f>IF($A457&lt;&gt;"",'All Cases - Enter Cases'!E457,"")</f>
        <v/>
      </c>
      <c r="G457" s="12" t="str">
        <f>IF($A457&lt;&gt;"",'All Cases - Enter Cases'!F457,"")</f>
        <v/>
      </c>
      <c r="H457" s="4" t="str">
        <f>IF($A457&lt;&gt;"",'All Cases - Enter Cases'!G457,"")</f>
        <v/>
      </c>
      <c r="I457" t="str">
        <f>IF($A457&lt;&gt;"",'All Cases - Enter Cases'!H457,"")</f>
        <v/>
      </c>
      <c r="J457" t="str">
        <f>IF($A457&lt;&gt;"",'All Cases - Enter Cases'!I457,"")</f>
        <v/>
      </c>
      <c r="K457" t="str">
        <f>IF($A457&lt;&gt;"",'All Cases - Enter Cases'!J457,"")</f>
        <v/>
      </c>
      <c r="L457" s="4" t="str">
        <f>IF($A457&lt;&gt;"",'All Cases - Enter Cases'!K457,"")</f>
        <v/>
      </c>
      <c r="M457" t="str">
        <f>IF($A457&lt;&gt;"",'All Cases - Enter Cases'!L457,"")</f>
        <v/>
      </c>
    </row>
    <row r="458" spans="1:13" x14ac:dyDescent="0.35">
      <c r="A458" s="4" t="str">
        <f>IF('All Cases - Enter Cases'!$K458="Approved",'All Cases - Enter Cases'!A458,"")</f>
        <v/>
      </c>
      <c r="B458" s="4" t="str">
        <f>IF($N458&lt;&gt;"",$N458,IF($A458&lt;&gt;"",'All Cases - Enter Cases'!$L458+7,""))</f>
        <v/>
      </c>
      <c r="C458" t="str">
        <f>IF($A458&lt;&gt;"",'All Cases - Enter Cases'!B458,"")</f>
        <v/>
      </c>
      <c r="D458" t="str">
        <f>IF($A458&lt;&gt;"",'All Cases - Enter Cases'!C458,"")</f>
        <v/>
      </c>
      <c r="E458" t="str">
        <f>IF($A458&lt;&gt;"",'All Cases - Enter Cases'!D458,"")</f>
        <v/>
      </c>
      <c r="F458" s="12" t="str">
        <f>IF($A458&lt;&gt;"",'All Cases - Enter Cases'!E458,"")</f>
        <v/>
      </c>
      <c r="G458" s="12" t="str">
        <f>IF($A458&lt;&gt;"",'All Cases - Enter Cases'!F458,"")</f>
        <v/>
      </c>
      <c r="H458" s="4" t="str">
        <f>IF($A458&lt;&gt;"",'All Cases - Enter Cases'!G458,"")</f>
        <v/>
      </c>
      <c r="I458" t="str">
        <f>IF($A458&lt;&gt;"",'All Cases - Enter Cases'!H458,"")</f>
        <v/>
      </c>
      <c r="J458" t="str">
        <f>IF($A458&lt;&gt;"",'All Cases - Enter Cases'!I458,"")</f>
        <v/>
      </c>
      <c r="K458" t="str">
        <f>IF($A458&lt;&gt;"",'All Cases - Enter Cases'!J458,"")</f>
        <v/>
      </c>
      <c r="L458" s="4" t="str">
        <f>IF($A458&lt;&gt;"",'All Cases - Enter Cases'!K458,"")</f>
        <v/>
      </c>
      <c r="M458" t="str">
        <f>IF($A458&lt;&gt;"",'All Cases - Enter Cases'!L458,"")</f>
        <v/>
      </c>
    </row>
    <row r="459" spans="1:13" x14ac:dyDescent="0.35">
      <c r="A459" s="4" t="str">
        <f>IF('All Cases - Enter Cases'!$K459="Approved",'All Cases - Enter Cases'!A459,"")</f>
        <v/>
      </c>
      <c r="B459" s="4" t="str">
        <f>IF($N459&lt;&gt;"",$N459,IF($A459&lt;&gt;"",'All Cases - Enter Cases'!$L459+7,""))</f>
        <v/>
      </c>
      <c r="C459" t="str">
        <f>IF($A459&lt;&gt;"",'All Cases - Enter Cases'!B459,"")</f>
        <v/>
      </c>
      <c r="D459" t="str">
        <f>IF($A459&lt;&gt;"",'All Cases - Enter Cases'!C459,"")</f>
        <v/>
      </c>
      <c r="E459" t="str">
        <f>IF($A459&lt;&gt;"",'All Cases - Enter Cases'!D459,"")</f>
        <v/>
      </c>
      <c r="F459" s="12" t="str">
        <f>IF($A459&lt;&gt;"",'All Cases - Enter Cases'!E459,"")</f>
        <v/>
      </c>
      <c r="G459" s="12" t="str">
        <f>IF($A459&lt;&gt;"",'All Cases - Enter Cases'!F459,"")</f>
        <v/>
      </c>
      <c r="H459" s="4" t="str">
        <f>IF($A459&lt;&gt;"",'All Cases - Enter Cases'!G459,"")</f>
        <v/>
      </c>
      <c r="I459" t="str">
        <f>IF($A459&lt;&gt;"",'All Cases - Enter Cases'!H459,"")</f>
        <v/>
      </c>
      <c r="J459" t="str">
        <f>IF($A459&lt;&gt;"",'All Cases - Enter Cases'!I459,"")</f>
        <v/>
      </c>
      <c r="K459" t="str">
        <f>IF($A459&lt;&gt;"",'All Cases - Enter Cases'!J459,"")</f>
        <v/>
      </c>
      <c r="L459" s="4" t="str">
        <f>IF($A459&lt;&gt;"",'All Cases - Enter Cases'!K459,"")</f>
        <v/>
      </c>
      <c r="M459" t="str">
        <f>IF($A459&lt;&gt;"",'All Cases - Enter Cases'!L459,"")</f>
        <v/>
      </c>
    </row>
    <row r="460" spans="1:13" x14ac:dyDescent="0.35">
      <c r="A460" s="4" t="str">
        <f>IF('All Cases - Enter Cases'!$K460="Approved",'All Cases - Enter Cases'!A460,"")</f>
        <v/>
      </c>
      <c r="B460" s="4" t="str">
        <f>IF($N460&lt;&gt;"",$N460,IF($A460&lt;&gt;"",'All Cases - Enter Cases'!$L460+7,""))</f>
        <v/>
      </c>
      <c r="C460" t="str">
        <f>IF($A460&lt;&gt;"",'All Cases - Enter Cases'!B460,"")</f>
        <v/>
      </c>
      <c r="D460" t="str">
        <f>IF($A460&lt;&gt;"",'All Cases - Enter Cases'!C460,"")</f>
        <v/>
      </c>
      <c r="E460" t="str">
        <f>IF($A460&lt;&gt;"",'All Cases - Enter Cases'!D460,"")</f>
        <v/>
      </c>
      <c r="F460" s="12" t="str">
        <f>IF($A460&lt;&gt;"",'All Cases - Enter Cases'!E460,"")</f>
        <v/>
      </c>
      <c r="G460" s="12" t="str">
        <f>IF($A460&lt;&gt;"",'All Cases - Enter Cases'!F460,"")</f>
        <v/>
      </c>
      <c r="H460" s="4" t="str">
        <f>IF($A460&lt;&gt;"",'All Cases - Enter Cases'!G460,"")</f>
        <v/>
      </c>
      <c r="I460" t="str">
        <f>IF($A460&lt;&gt;"",'All Cases - Enter Cases'!H460,"")</f>
        <v/>
      </c>
      <c r="J460" t="str">
        <f>IF($A460&lt;&gt;"",'All Cases - Enter Cases'!I460,"")</f>
        <v/>
      </c>
      <c r="K460" t="str">
        <f>IF($A460&lt;&gt;"",'All Cases - Enter Cases'!J460,"")</f>
        <v/>
      </c>
      <c r="L460" s="4" t="str">
        <f>IF($A460&lt;&gt;"",'All Cases - Enter Cases'!K460,"")</f>
        <v/>
      </c>
      <c r="M460" t="str">
        <f>IF($A460&lt;&gt;"",'All Cases - Enter Cases'!L460,"")</f>
        <v/>
      </c>
    </row>
    <row r="461" spans="1:13" x14ac:dyDescent="0.35">
      <c r="A461" s="4" t="str">
        <f>IF('All Cases - Enter Cases'!$K461="Approved",'All Cases - Enter Cases'!A461,"")</f>
        <v/>
      </c>
      <c r="B461" s="4" t="str">
        <f>IF($N461&lt;&gt;"",$N461,IF($A461&lt;&gt;"",'All Cases - Enter Cases'!$L461+7,""))</f>
        <v/>
      </c>
      <c r="C461" t="str">
        <f>IF($A461&lt;&gt;"",'All Cases - Enter Cases'!B461,"")</f>
        <v/>
      </c>
      <c r="D461" t="str">
        <f>IF($A461&lt;&gt;"",'All Cases - Enter Cases'!C461,"")</f>
        <v/>
      </c>
      <c r="E461" t="str">
        <f>IF($A461&lt;&gt;"",'All Cases - Enter Cases'!D461,"")</f>
        <v/>
      </c>
      <c r="F461" s="12" t="str">
        <f>IF($A461&lt;&gt;"",'All Cases - Enter Cases'!E461,"")</f>
        <v/>
      </c>
      <c r="G461" s="12" t="str">
        <f>IF($A461&lt;&gt;"",'All Cases - Enter Cases'!F461,"")</f>
        <v/>
      </c>
      <c r="H461" s="4" t="str">
        <f>IF($A461&lt;&gt;"",'All Cases - Enter Cases'!G461,"")</f>
        <v/>
      </c>
      <c r="I461" t="str">
        <f>IF($A461&lt;&gt;"",'All Cases - Enter Cases'!H461,"")</f>
        <v/>
      </c>
      <c r="J461" t="str">
        <f>IF($A461&lt;&gt;"",'All Cases - Enter Cases'!I461,"")</f>
        <v/>
      </c>
      <c r="K461" t="str">
        <f>IF($A461&lt;&gt;"",'All Cases - Enter Cases'!J461,"")</f>
        <v/>
      </c>
      <c r="L461" s="4" t="str">
        <f>IF($A461&lt;&gt;"",'All Cases - Enter Cases'!K461,"")</f>
        <v/>
      </c>
      <c r="M461" t="str">
        <f>IF($A461&lt;&gt;"",'All Cases - Enter Cases'!L461,"")</f>
        <v/>
      </c>
    </row>
    <row r="462" spans="1:13" x14ac:dyDescent="0.35">
      <c r="A462" s="4" t="str">
        <f>IF('All Cases - Enter Cases'!$K462="Approved",'All Cases - Enter Cases'!A462,"")</f>
        <v/>
      </c>
      <c r="B462" s="4" t="str">
        <f>IF($N462&lt;&gt;"",$N462,IF($A462&lt;&gt;"",'All Cases - Enter Cases'!$L462+7,""))</f>
        <v/>
      </c>
      <c r="C462" t="str">
        <f>IF($A462&lt;&gt;"",'All Cases - Enter Cases'!B462,"")</f>
        <v/>
      </c>
      <c r="D462" t="str">
        <f>IF($A462&lt;&gt;"",'All Cases - Enter Cases'!C462,"")</f>
        <v/>
      </c>
      <c r="E462" t="str">
        <f>IF($A462&lt;&gt;"",'All Cases - Enter Cases'!D462,"")</f>
        <v/>
      </c>
      <c r="F462" s="12" t="str">
        <f>IF($A462&lt;&gt;"",'All Cases - Enter Cases'!E462,"")</f>
        <v/>
      </c>
      <c r="G462" s="12" t="str">
        <f>IF($A462&lt;&gt;"",'All Cases - Enter Cases'!F462,"")</f>
        <v/>
      </c>
      <c r="H462" s="4" t="str">
        <f>IF($A462&lt;&gt;"",'All Cases - Enter Cases'!G462,"")</f>
        <v/>
      </c>
      <c r="I462" t="str">
        <f>IF($A462&lt;&gt;"",'All Cases - Enter Cases'!H462,"")</f>
        <v/>
      </c>
      <c r="J462" t="str">
        <f>IF($A462&lt;&gt;"",'All Cases - Enter Cases'!I462,"")</f>
        <v/>
      </c>
      <c r="K462" t="str">
        <f>IF($A462&lt;&gt;"",'All Cases - Enter Cases'!J462,"")</f>
        <v/>
      </c>
      <c r="L462" s="4" t="str">
        <f>IF($A462&lt;&gt;"",'All Cases - Enter Cases'!K462,"")</f>
        <v/>
      </c>
      <c r="M462" t="str">
        <f>IF($A462&lt;&gt;"",'All Cases - Enter Cases'!L462,"")</f>
        <v/>
      </c>
    </row>
    <row r="463" spans="1:13" x14ac:dyDescent="0.35">
      <c r="A463" s="4" t="str">
        <f>IF('All Cases - Enter Cases'!$K463="Approved",'All Cases - Enter Cases'!A463,"")</f>
        <v/>
      </c>
      <c r="B463" s="4" t="str">
        <f>IF($N463&lt;&gt;"",$N463,IF($A463&lt;&gt;"",'All Cases - Enter Cases'!$L463+7,""))</f>
        <v/>
      </c>
      <c r="C463" t="str">
        <f>IF($A463&lt;&gt;"",'All Cases - Enter Cases'!B463,"")</f>
        <v/>
      </c>
      <c r="D463" t="str">
        <f>IF($A463&lt;&gt;"",'All Cases - Enter Cases'!C463,"")</f>
        <v/>
      </c>
      <c r="E463" t="str">
        <f>IF($A463&lt;&gt;"",'All Cases - Enter Cases'!D463,"")</f>
        <v/>
      </c>
      <c r="F463" s="12" t="str">
        <f>IF($A463&lt;&gt;"",'All Cases - Enter Cases'!E463,"")</f>
        <v/>
      </c>
      <c r="G463" s="12" t="str">
        <f>IF($A463&lt;&gt;"",'All Cases - Enter Cases'!F463,"")</f>
        <v/>
      </c>
      <c r="H463" s="4" t="str">
        <f>IF($A463&lt;&gt;"",'All Cases - Enter Cases'!G463,"")</f>
        <v/>
      </c>
      <c r="I463" t="str">
        <f>IF($A463&lt;&gt;"",'All Cases - Enter Cases'!H463,"")</f>
        <v/>
      </c>
      <c r="J463" t="str">
        <f>IF($A463&lt;&gt;"",'All Cases - Enter Cases'!I463,"")</f>
        <v/>
      </c>
      <c r="K463" t="str">
        <f>IF($A463&lt;&gt;"",'All Cases - Enter Cases'!J463,"")</f>
        <v/>
      </c>
      <c r="L463" s="4" t="str">
        <f>IF($A463&lt;&gt;"",'All Cases - Enter Cases'!K463,"")</f>
        <v/>
      </c>
      <c r="M463" t="str">
        <f>IF($A463&lt;&gt;"",'All Cases - Enter Cases'!L463,"")</f>
        <v/>
      </c>
    </row>
    <row r="464" spans="1:13" x14ac:dyDescent="0.35">
      <c r="A464" s="4" t="str">
        <f>IF('All Cases - Enter Cases'!$K464="Approved",'All Cases - Enter Cases'!A464,"")</f>
        <v/>
      </c>
      <c r="B464" s="4" t="str">
        <f>IF($N464&lt;&gt;"",$N464,IF($A464&lt;&gt;"",'All Cases - Enter Cases'!$L464+7,""))</f>
        <v/>
      </c>
      <c r="C464" t="str">
        <f>IF($A464&lt;&gt;"",'All Cases - Enter Cases'!B464,"")</f>
        <v/>
      </c>
      <c r="D464" t="str">
        <f>IF($A464&lt;&gt;"",'All Cases - Enter Cases'!C464,"")</f>
        <v/>
      </c>
      <c r="E464" t="str">
        <f>IF($A464&lt;&gt;"",'All Cases - Enter Cases'!D464,"")</f>
        <v/>
      </c>
      <c r="F464" s="12" t="str">
        <f>IF($A464&lt;&gt;"",'All Cases - Enter Cases'!E464,"")</f>
        <v/>
      </c>
      <c r="G464" s="12" t="str">
        <f>IF($A464&lt;&gt;"",'All Cases - Enter Cases'!F464,"")</f>
        <v/>
      </c>
      <c r="H464" s="4" t="str">
        <f>IF($A464&lt;&gt;"",'All Cases - Enter Cases'!G464,"")</f>
        <v/>
      </c>
      <c r="I464" t="str">
        <f>IF($A464&lt;&gt;"",'All Cases - Enter Cases'!H464,"")</f>
        <v/>
      </c>
      <c r="J464" t="str">
        <f>IF($A464&lt;&gt;"",'All Cases - Enter Cases'!I464,"")</f>
        <v/>
      </c>
      <c r="K464" t="str">
        <f>IF($A464&lt;&gt;"",'All Cases - Enter Cases'!J464,"")</f>
        <v/>
      </c>
      <c r="L464" s="4" t="str">
        <f>IF($A464&lt;&gt;"",'All Cases - Enter Cases'!K464,"")</f>
        <v/>
      </c>
      <c r="M464" t="str">
        <f>IF($A464&lt;&gt;"",'All Cases - Enter Cases'!L464,"")</f>
        <v/>
      </c>
    </row>
    <row r="465" spans="1:13" x14ac:dyDescent="0.35">
      <c r="A465" s="4" t="str">
        <f>IF('All Cases - Enter Cases'!$K465="Approved",'All Cases - Enter Cases'!A465,"")</f>
        <v/>
      </c>
      <c r="B465" s="4" t="str">
        <f>IF($N465&lt;&gt;"",$N465,IF($A465&lt;&gt;"",'All Cases - Enter Cases'!$L465+7,""))</f>
        <v/>
      </c>
      <c r="C465" t="str">
        <f>IF($A465&lt;&gt;"",'All Cases - Enter Cases'!B465,"")</f>
        <v/>
      </c>
      <c r="D465" t="str">
        <f>IF($A465&lt;&gt;"",'All Cases - Enter Cases'!C465,"")</f>
        <v/>
      </c>
      <c r="E465" t="str">
        <f>IF($A465&lt;&gt;"",'All Cases - Enter Cases'!D465,"")</f>
        <v/>
      </c>
      <c r="F465" s="12" t="str">
        <f>IF($A465&lt;&gt;"",'All Cases - Enter Cases'!E465,"")</f>
        <v/>
      </c>
      <c r="G465" s="12" t="str">
        <f>IF($A465&lt;&gt;"",'All Cases - Enter Cases'!F465,"")</f>
        <v/>
      </c>
      <c r="H465" s="4" t="str">
        <f>IF($A465&lt;&gt;"",'All Cases - Enter Cases'!G465,"")</f>
        <v/>
      </c>
      <c r="I465" t="str">
        <f>IF($A465&lt;&gt;"",'All Cases - Enter Cases'!H465,"")</f>
        <v/>
      </c>
      <c r="J465" t="str">
        <f>IF($A465&lt;&gt;"",'All Cases - Enter Cases'!I465,"")</f>
        <v/>
      </c>
      <c r="K465" t="str">
        <f>IF($A465&lt;&gt;"",'All Cases - Enter Cases'!J465,"")</f>
        <v/>
      </c>
      <c r="L465" s="4" t="str">
        <f>IF($A465&lt;&gt;"",'All Cases - Enter Cases'!K465,"")</f>
        <v/>
      </c>
      <c r="M465" t="str">
        <f>IF($A465&lt;&gt;"",'All Cases - Enter Cases'!L465,"")</f>
        <v/>
      </c>
    </row>
    <row r="466" spans="1:13" x14ac:dyDescent="0.35">
      <c r="A466" s="4" t="str">
        <f>IF('All Cases - Enter Cases'!$K466="Approved",'All Cases - Enter Cases'!A466,"")</f>
        <v/>
      </c>
      <c r="B466" s="4" t="str">
        <f>IF($N466&lt;&gt;"",$N466,IF($A466&lt;&gt;"",'All Cases - Enter Cases'!$L466+7,""))</f>
        <v/>
      </c>
      <c r="C466" t="str">
        <f>IF($A466&lt;&gt;"",'All Cases - Enter Cases'!B466,"")</f>
        <v/>
      </c>
      <c r="D466" t="str">
        <f>IF($A466&lt;&gt;"",'All Cases - Enter Cases'!C466,"")</f>
        <v/>
      </c>
      <c r="E466" t="str">
        <f>IF($A466&lt;&gt;"",'All Cases - Enter Cases'!D466,"")</f>
        <v/>
      </c>
      <c r="F466" s="12" t="str">
        <f>IF($A466&lt;&gt;"",'All Cases - Enter Cases'!E466,"")</f>
        <v/>
      </c>
      <c r="G466" s="12" t="str">
        <f>IF($A466&lt;&gt;"",'All Cases - Enter Cases'!F466,"")</f>
        <v/>
      </c>
      <c r="H466" s="4" t="str">
        <f>IF($A466&lt;&gt;"",'All Cases - Enter Cases'!G466,"")</f>
        <v/>
      </c>
      <c r="I466" t="str">
        <f>IF($A466&lt;&gt;"",'All Cases - Enter Cases'!H466,"")</f>
        <v/>
      </c>
      <c r="J466" t="str">
        <f>IF($A466&lt;&gt;"",'All Cases - Enter Cases'!I466,"")</f>
        <v/>
      </c>
      <c r="K466" t="str">
        <f>IF($A466&lt;&gt;"",'All Cases - Enter Cases'!J466,"")</f>
        <v/>
      </c>
      <c r="L466" s="4" t="str">
        <f>IF($A466&lt;&gt;"",'All Cases - Enter Cases'!K466,"")</f>
        <v/>
      </c>
      <c r="M466" t="str">
        <f>IF($A466&lt;&gt;"",'All Cases - Enter Cases'!L466,"")</f>
        <v/>
      </c>
    </row>
    <row r="467" spans="1:13" x14ac:dyDescent="0.35">
      <c r="A467" s="4" t="str">
        <f>IF('All Cases - Enter Cases'!$K467="Approved",'All Cases - Enter Cases'!A467,"")</f>
        <v/>
      </c>
      <c r="B467" s="4" t="str">
        <f>IF($N467&lt;&gt;"",$N467,IF($A467&lt;&gt;"",'All Cases - Enter Cases'!$L467+7,""))</f>
        <v/>
      </c>
      <c r="C467" t="str">
        <f>IF($A467&lt;&gt;"",'All Cases - Enter Cases'!B467,"")</f>
        <v/>
      </c>
      <c r="D467" t="str">
        <f>IF($A467&lt;&gt;"",'All Cases - Enter Cases'!C467,"")</f>
        <v/>
      </c>
      <c r="E467" t="str">
        <f>IF($A467&lt;&gt;"",'All Cases - Enter Cases'!D467,"")</f>
        <v/>
      </c>
      <c r="F467" s="12" t="str">
        <f>IF($A467&lt;&gt;"",'All Cases - Enter Cases'!E467,"")</f>
        <v/>
      </c>
      <c r="G467" s="12" t="str">
        <f>IF($A467&lt;&gt;"",'All Cases - Enter Cases'!F467,"")</f>
        <v/>
      </c>
      <c r="H467" s="4" t="str">
        <f>IF($A467&lt;&gt;"",'All Cases - Enter Cases'!G467,"")</f>
        <v/>
      </c>
      <c r="I467" t="str">
        <f>IF($A467&lt;&gt;"",'All Cases - Enter Cases'!H467,"")</f>
        <v/>
      </c>
      <c r="J467" t="str">
        <f>IF($A467&lt;&gt;"",'All Cases - Enter Cases'!I467,"")</f>
        <v/>
      </c>
      <c r="K467" t="str">
        <f>IF($A467&lt;&gt;"",'All Cases - Enter Cases'!J467,"")</f>
        <v/>
      </c>
      <c r="L467" s="4" t="str">
        <f>IF($A467&lt;&gt;"",'All Cases - Enter Cases'!K467,"")</f>
        <v/>
      </c>
      <c r="M467" t="str">
        <f>IF($A467&lt;&gt;"",'All Cases - Enter Cases'!L467,"")</f>
        <v/>
      </c>
    </row>
    <row r="468" spans="1:13" x14ac:dyDescent="0.35">
      <c r="A468" s="4" t="str">
        <f>IF('All Cases - Enter Cases'!$K468="Approved",'All Cases - Enter Cases'!A468,"")</f>
        <v/>
      </c>
      <c r="B468" s="4" t="str">
        <f>IF($N468&lt;&gt;"",$N468,IF($A468&lt;&gt;"",'All Cases - Enter Cases'!$L468+7,""))</f>
        <v/>
      </c>
      <c r="C468" t="str">
        <f>IF($A468&lt;&gt;"",'All Cases - Enter Cases'!B468,"")</f>
        <v/>
      </c>
      <c r="D468" t="str">
        <f>IF($A468&lt;&gt;"",'All Cases - Enter Cases'!C468,"")</f>
        <v/>
      </c>
      <c r="E468" t="str">
        <f>IF($A468&lt;&gt;"",'All Cases - Enter Cases'!D468,"")</f>
        <v/>
      </c>
      <c r="F468" s="12" t="str">
        <f>IF($A468&lt;&gt;"",'All Cases - Enter Cases'!E468,"")</f>
        <v/>
      </c>
      <c r="G468" s="12" t="str">
        <f>IF($A468&lt;&gt;"",'All Cases - Enter Cases'!F468,"")</f>
        <v/>
      </c>
      <c r="H468" s="4" t="str">
        <f>IF($A468&lt;&gt;"",'All Cases - Enter Cases'!G468,"")</f>
        <v/>
      </c>
      <c r="I468" t="str">
        <f>IF($A468&lt;&gt;"",'All Cases - Enter Cases'!H468,"")</f>
        <v/>
      </c>
      <c r="J468" t="str">
        <f>IF($A468&lt;&gt;"",'All Cases - Enter Cases'!I468,"")</f>
        <v/>
      </c>
      <c r="K468" t="str">
        <f>IF($A468&lt;&gt;"",'All Cases - Enter Cases'!J468,"")</f>
        <v/>
      </c>
      <c r="L468" s="4" t="str">
        <f>IF($A468&lt;&gt;"",'All Cases - Enter Cases'!K468,"")</f>
        <v/>
      </c>
      <c r="M468" t="str">
        <f>IF($A468&lt;&gt;"",'All Cases - Enter Cases'!L468,"")</f>
        <v/>
      </c>
    </row>
    <row r="469" spans="1:13" x14ac:dyDescent="0.35">
      <c r="A469" s="4" t="str">
        <f>IF('All Cases - Enter Cases'!$K469="Approved",'All Cases - Enter Cases'!A469,"")</f>
        <v/>
      </c>
      <c r="B469" s="4" t="str">
        <f>IF($N469&lt;&gt;"",$N469,IF($A469&lt;&gt;"",'All Cases - Enter Cases'!$L469+7,""))</f>
        <v/>
      </c>
      <c r="C469" t="str">
        <f>IF($A469&lt;&gt;"",'All Cases - Enter Cases'!B469,"")</f>
        <v/>
      </c>
      <c r="D469" t="str">
        <f>IF($A469&lt;&gt;"",'All Cases - Enter Cases'!C469,"")</f>
        <v/>
      </c>
      <c r="E469" t="str">
        <f>IF($A469&lt;&gt;"",'All Cases - Enter Cases'!D469,"")</f>
        <v/>
      </c>
      <c r="F469" s="12" t="str">
        <f>IF($A469&lt;&gt;"",'All Cases - Enter Cases'!E469,"")</f>
        <v/>
      </c>
      <c r="G469" s="12" t="str">
        <f>IF($A469&lt;&gt;"",'All Cases - Enter Cases'!F469,"")</f>
        <v/>
      </c>
      <c r="H469" s="4" t="str">
        <f>IF($A469&lt;&gt;"",'All Cases - Enter Cases'!G469,"")</f>
        <v/>
      </c>
      <c r="I469" t="str">
        <f>IF($A469&lt;&gt;"",'All Cases - Enter Cases'!H469,"")</f>
        <v/>
      </c>
      <c r="J469" t="str">
        <f>IF($A469&lt;&gt;"",'All Cases - Enter Cases'!I469,"")</f>
        <v/>
      </c>
      <c r="K469" t="str">
        <f>IF($A469&lt;&gt;"",'All Cases - Enter Cases'!J469,"")</f>
        <v/>
      </c>
      <c r="L469" s="4" t="str">
        <f>IF($A469&lt;&gt;"",'All Cases - Enter Cases'!K469,"")</f>
        <v/>
      </c>
      <c r="M469" t="str">
        <f>IF($A469&lt;&gt;"",'All Cases - Enter Cases'!L469,"")</f>
        <v/>
      </c>
    </row>
    <row r="470" spans="1:13" x14ac:dyDescent="0.35">
      <c r="A470" s="4" t="str">
        <f>IF('All Cases - Enter Cases'!$K470="Approved",'All Cases - Enter Cases'!A470,"")</f>
        <v/>
      </c>
      <c r="B470" s="4" t="str">
        <f>IF($N470&lt;&gt;"",$N470,IF($A470&lt;&gt;"",'All Cases - Enter Cases'!$L470+7,""))</f>
        <v/>
      </c>
      <c r="C470" t="str">
        <f>IF($A470&lt;&gt;"",'All Cases - Enter Cases'!B470,"")</f>
        <v/>
      </c>
      <c r="D470" t="str">
        <f>IF($A470&lt;&gt;"",'All Cases - Enter Cases'!C470,"")</f>
        <v/>
      </c>
      <c r="E470" t="str">
        <f>IF($A470&lt;&gt;"",'All Cases - Enter Cases'!D470,"")</f>
        <v/>
      </c>
      <c r="F470" s="12" t="str">
        <f>IF($A470&lt;&gt;"",'All Cases - Enter Cases'!E470,"")</f>
        <v/>
      </c>
      <c r="G470" s="12" t="str">
        <f>IF($A470&lt;&gt;"",'All Cases - Enter Cases'!F470,"")</f>
        <v/>
      </c>
      <c r="H470" s="4" t="str">
        <f>IF($A470&lt;&gt;"",'All Cases - Enter Cases'!G470,"")</f>
        <v/>
      </c>
      <c r="I470" t="str">
        <f>IF($A470&lt;&gt;"",'All Cases - Enter Cases'!H470,"")</f>
        <v/>
      </c>
      <c r="J470" t="str">
        <f>IF($A470&lt;&gt;"",'All Cases - Enter Cases'!I470,"")</f>
        <v/>
      </c>
      <c r="K470" t="str">
        <f>IF($A470&lt;&gt;"",'All Cases - Enter Cases'!J470,"")</f>
        <v/>
      </c>
      <c r="L470" s="4" t="str">
        <f>IF($A470&lt;&gt;"",'All Cases - Enter Cases'!K470,"")</f>
        <v/>
      </c>
      <c r="M470" t="str">
        <f>IF($A470&lt;&gt;"",'All Cases - Enter Cases'!L470,"")</f>
        <v/>
      </c>
    </row>
    <row r="471" spans="1:13" x14ac:dyDescent="0.35">
      <c r="A471" s="4" t="str">
        <f>IF('All Cases - Enter Cases'!$K471="Approved",'All Cases - Enter Cases'!A471,"")</f>
        <v/>
      </c>
      <c r="B471" s="4" t="str">
        <f>IF($N471&lt;&gt;"",$N471,IF($A471&lt;&gt;"",'All Cases - Enter Cases'!$L471+7,""))</f>
        <v/>
      </c>
      <c r="C471" t="str">
        <f>IF($A471&lt;&gt;"",'All Cases - Enter Cases'!B471,"")</f>
        <v/>
      </c>
      <c r="D471" t="str">
        <f>IF($A471&lt;&gt;"",'All Cases - Enter Cases'!C471,"")</f>
        <v/>
      </c>
      <c r="E471" t="str">
        <f>IF($A471&lt;&gt;"",'All Cases - Enter Cases'!D471,"")</f>
        <v/>
      </c>
      <c r="F471" s="12" t="str">
        <f>IF($A471&lt;&gt;"",'All Cases - Enter Cases'!E471,"")</f>
        <v/>
      </c>
      <c r="G471" s="12" t="str">
        <f>IF($A471&lt;&gt;"",'All Cases - Enter Cases'!F471,"")</f>
        <v/>
      </c>
      <c r="H471" s="4" t="str">
        <f>IF($A471&lt;&gt;"",'All Cases - Enter Cases'!G471,"")</f>
        <v/>
      </c>
      <c r="I471" t="str">
        <f>IF($A471&lt;&gt;"",'All Cases - Enter Cases'!H471,"")</f>
        <v/>
      </c>
      <c r="J471" t="str">
        <f>IF($A471&lt;&gt;"",'All Cases - Enter Cases'!I471,"")</f>
        <v/>
      </c>
      <c r="K471" t="str">
        <f>IF($A471&lt;&gt;"",'All Cases - Enter Cases'!J471,"")</f>
        <v/>
      </c>
      <c r="L471" s="4" t="str">
        <f>IF($A471&lt;&gt;"",'All Cases - Enter Cases'!K471,"")</f>
        <v/>
      </c>
      <c r="M471" t="str">
        <f>IF($A471&lt;&gt;"",'All Cases - Enter Cases'!L471,"")</f>
        <v/>
      </c>
    </row>
    <row r="472" spans="1:13" x14ac:dyDescent="0.35">
      <c r="A472" s="4" t="str">
        <f>IF('All Cases - Enter Cases'!$K472="Approved",'All Cases - Enter Cases'!A472,"")</f>
        <v/>
      </c>
      <c r="B472" s="4" t="str">
        <f>IF($N472&lt;&gt;"",$N472,IF($A472&lt;&gt;"",'All Cases - Enter Cases'!$L472+7,""))</f>
        <v/>
      </c>
      <c r="C472" t="str">
        <f>IF($A472&lt;&gt;"",'All Cases - Enter Cases'!B472,"")</f>
        <v/>
      </c>
      <c r="D472" t="str">
        <f>IF($A472&lt;&gt;"",'All Cases - Enter Cases'!C472,"")</f>
        <v/>
      </c>
      <c r="E472" t="str">
        <f>IF($A472&lt;&gt;"",'All Cases - Enter Cases'!D472,"")</f>
        <v/>
      </c>
      <c r="F472" s="12" t="str">
        <f>IF($A472&lt;&gt;"",'All Cases - Enter Cases'!E472,"")</f>
        <v/>
      </c>
      <c r="G472" s="12" t="str">
        <f>IF($A472&lt;&gt;"",'All Cases - Enter Cases'!F472,"")</f>
        <v/>
      </c>
      <c r="H472" s="4" t="str">
        <f>IF($A472&lt;&gt;"",'All Cases - Enter Cases'!G472,"")</f>
        <v/>
      </c>
      <c r="I472" t="str">
        <f>IF($A472&lt;&gt;"",'All Cases - Enter Cases'!H472,"")</f>
        <v/>
      </c>
      <c r="J472" t="str">
        <f>IF($A472&lt;&gt;"",'All Cases - Enter Cases'!I472,"")</f>
        <v/>
      </c>
      <c r="K472" t="str">
        <f>IF($A472&lt;&gt;"",'All Cases - Enter Cases'!J472,"")</f>
        <v/>
      </c>
      <c r="L472" s="4" t="str">
        <f>IF($A472&lt;&gt;"",'All Cases - Enter Cases'!K472,"")</f>
        <v/>
      </c>
      <c r="M472" t="str">
        <f>IF($A472&lt;&gt;"",'All Cases - Enter Cases'!L472,"")</f>
        <v/>
      </c>
    </row>
    <row r="473" spans="1:13" x14ac:dyDescent="0.35">
      <c r="A473" s="4" t="str">
        <f>IF('All Cases - Enter Cases'!$K473="Approved",'All Cases - Enter Cases'!A473,"")</f>
        <v/>
      </c>
      <c r="B473" s="4" t="str">
        <f>IF($N473&lt;&gt;"",$N473,IF($A473&lt;&gt;"",'All Cases - Enter Cases'!$L473+7,""))</f>
        <v/>
      </c>
      <c r="C473" t="str">
        <f>IF($A473&lt;&gt;"",'All Cases - Enter Cases'!B473,"")</f>
        <v/>
      </c>
      <c r="D473" t="str">
        <f>IF($A473&lt;&gt;"",'All Cases - Enter Cases'!C473,"")</f>
        <v/>
      </c>
      <c r="E473" t="str">
        <f>IF($A473&lt;&gt;"",'All Cases - Enter Cases'!D473,"")</f>
        <v/>
      </c>
      <c r="F473" s="12" t="str">
        <f>IF($A473&lt;&gt;"",'All Cases - Enter Cases'!E473,"")</f>
        <v/>
      </c>
      <c r="G473" s="12" t="str">
        <f>IF($A473&lt;&gt;"",'All Cases - Enter Cases'!F473,"")</f>
        <v/>
      </c>
      <c r="H473" s="4" t="str">
        <f>IF($A473&lt;&gt;"",'All Cases - Enter Cases'!G473,"")</f>
        <v/>
      </c>
      <c r="I473" t="str">
        <f>IF($A473&lt;&gt;"",'All Cases - Enter Cases'!H473,"")</f>
        <v/>
      </c>
      <c r="J473" t="str">
        <f>IF($A473&lt;&gt;"",'All Cases - Enter Cases'!I473,"")</f>
        <v/>
      </c>
      <c r="K473" t="str">
        <f>IF($A473&lt;&gt;"",'All Cases - Enter Cases'!J473,"")</f>
        <v/>
      </c>
      <c r="L473" s="4" t="str">
        <f>IF($A473&lt;&gt;"",'All Cases - Enter Cases'!K473,"")</f>
        <v/>
      </c>
      <c r="M473" t="str">
        <f>IF($A473&lt;&gt;"",'All Cases - Enter Cases'!L473,"")</f>
        <v/>
      </c>
    </row>
    <row r="474" spans="1:13" x14ac:dyDescent="0.35">
      <c r="A474" s="4" t="str">
        <f>IF('All Cases - Enter Cases'!$K474="Approved",'All Cases - Enter Cases'!A474,"")</f>
        <v/>
      </c>
      <c r="B474" s="4" t="str">
        <f>IF($N474&lt;&gt;"",$N474,IF($A474&lt;&gt;"",'All Cases - Enter Cases'!$L474+7,""))</f>
        <v/>
      </c>
      <c r="C474" t="str">
        <f>IF($A474&lt;&gt;"",'All Cases - Enter Cases'!B474,"")</f>
        <v/>
      </c>
      <c r="D474" t="str">
        <f>IF($A474&lt;&gt;"",'All Cases - Enter Cases'!C474,"")</f>
        <v/>
      </c>
      <c r="E474" t="str">
        <f>IF($A474&lt;&gt;"",'All Cases - Enter Cases'!D474,"")</f>
        <v/>
      </c>
      <c r="F474" s="12" t="str">
        <f>IF($A474&lt;&gt;"",'All Cases - Enter Cases'!E474,"")</f>
        <v/>
      </c>
      <c r="G474" s="12" t="str">
        <f>IF($A474&lt;&gt;"",'All Cases - Enter Cases'!F474,"")</f>
        <v/>
      </c>
      <c r="H474" s="4" t="str">
        <f>IF($A474&lt;&gt;"",'All Cases - Enter Cases'!G474,"")</f>
        <v/>
      </c>
      <c r="I474" t="str">
        <f>IF($A474&lt;&gt;"",'All Cases - Enter Cases'!H474,"")</f>
        <v/>
      </c>
      <c r="J474" t="str">
        <f>IF($A474&lt;&gt;"",'All Cases - Enter Cases'!I474,"")</f>
        <v/>
      </c>
      <c r="K474" t="str">
        <f>IF($A474&lt;&gt;"",'All Cases - Enter Cases'!J474,"")</f>
        <v/>
      </c>
      <c r="L474" s="4" t="str">
        <f>IF($A474&lt;&gt;"",'All Cases - Enter Cases'!K474,"")</f>
        <v/>
      </c>
      <c r="M474" t="str">
        <f>IF($A474&lt;&gt;"",'All Cases - Enter Cases'!L474,"")</f>
        <v/>
      </c>
    </row>
    <row r="475" spans="1:13" x14ac:dyDescent="0.35">
      <c r="A475" s="4" t="str">
        <f>IF('All Cases - Enter Cases'!$K475="Approved",'All Cases - Enter Cases'!A475,"")</f>
        <v/>
      </c>
      <c r="B475" s="4" t="str">
        <f>IF($N475&lt;&gt;"",$N475,IF($A475&lt;&gt;"",'All Cases - Enter Cases'!$L475+7,""))</f>
        <v/>
      </c>
      <c r="C475" t="str">
        <f>IF($A475&lt;&gt;"",'All Cases - Enter Cases'!B475,"")</f>
        <v/>
      </c>
      <c r="D475" t="str">
        <f>IF($A475&lt;&gt;"",'All Cases - Enter Cases'!C475,"")</f>
        <v/>
      </c>
      <c r="E475" t="str">
        <f>IF($A475&lt;&gt;"",'All Cases - Enter Cases'!D475,"")</f>
        <v/>
      </c>
      <c r="F475" s="12" t="str">
        <f>IF($A475&lt;&gt;"",'All Cases - Enter Cases'!E475,"")</f>
        <v/>
      </c>
      <c r="G475" s="12" t="str">
        <f>IF($A475&lt;&gt;"",'All Cases - Enter Cases'!F475,"")</f>
        <v/>
      </c>
      <c r="H475" s="4" t="str">
        <f>IF($A475&lt;&gt;"",'All Cases - Enter Cases'!G475,"")</f>
        <v/>
      </c>
      <c r="I475" t="str">
        <f>IF($A475&lt;&gt;"",'All Cases - Enter Cases'!H475,"")</f>
        <v/>
      </c>
      <c r="J475" t="str">
        <f>IF($A475&lt;&gt;"",'All Cases - Enter Cases'!I475,"")</f>
        <v/>
      </c>
      <c r="K475" t="str">
        <f>IF($A475&lt;&gt;"",'All Cases - Enter Cases'!J475,"")</f>
        <v/>
      </c>
      <c r="L475" s="4" t="str">
        <f>IF($A475&lt;&gt;"",'All Cases - Enter Cases'!K475,"")</f>
        <v/>
      </c>
      <c r="M475" t="str">
        <f>IF($A475&lt;&gt;"",'All Cases - Enter Cases'!L475,"")</f>
        <v/>
      </c>
    </row>
    <row r="476" spans="1:13" x14ac:dyDescent="0.35">
      <c r="A476" s="4" t="str">
        <f>IF('All Cases - Enter Cases'!$K476="Approved",'All Cases - Enter Cases'!A476,"")</f>
        <v/>
      </c>
      <c r="B476" s="4" t="str">
        <f>IF($N476&lt;&gt;"",$N476,IF($A476&lt;&gt;"",'All Cases - Enter Cases'!$L476+7,""))</f>
        <v/>
      </c>
      <c r="C476" t="str">
        <f>IF($A476&lt;&gt;"",'All Cases - Enter Cases'!B476,"")</f>
        <v/>
      </c>
      <c r="D476" t="str">
        <f>IF($A476&lt;&gt;"",'All Cases - Enter Cases'!C476,"")</f>
        <v/>
      </c>
      <c r="E476" t="str">
        <f>IF($A476&lt;&gt;"",'All Cases - Enter Cases'!D476,"")</f>
        <v/>
      </c>
      <c r="F476" s="12" t="str">
        <f>IF($A476&lt;&gt;"",'All Cases - Enter Cases'!E476,"")</f>
        <v/>
      </c>
      <c r="G476" s="12" t="str">
        <f>IF($A476&lt;&gt;"",'All Cases - Enter Cases'!F476,"")</f>
        <v/>
      </c>
      <c r="H476" s="4" t="str">
        <f>IF($A476&lt;&gt;"",'All Cases - Enter Cases'!G476,"")</f>
        <v/>
      </c>
      <c r="I476" t="str">
        <f>IF($A476&lt;&gt;"",'All Cases - Enter Cases'!H476,"")</f>
        <v/>
      </c>
      <c r="J476" t="str">
        <f>IF($A476&lt;&gt;"",'All Cases - Enter Cases'!I476,"")</f>
        <v/>
      </c>
      <c r="K476" t="str">
        <f>IF($A476&lt;&gt;"",'All Cases - Enter Cases'!J476,"")</f>
        <v/>
      </c>
      <c r="L476" s="4" t="str">
        <f>IF($A476&lt;&gt;"",'All Cases - Enter Cases'!K476,"")</f>
        <v/>
      </c>
      <c r="M476" t="str">
        <f>IF($A476&lt;&gt;"",'All Cases - Enter Cases'!L476,"")</f>
        <v/>
      </c>
    </row>
    <row r="477" spans="1:13" x14ac:dyDescent="0.35">
      <c r="A477" s="4" t="str">
        <f>IF('All Cases - Enter Cases'!$K477="Approved",'All Cases - Enter Cases'!A477,"")</f>
        <v/>
      </c>
      <c r="B477" s="4" t="str">
        <f>IF($N477&lt;&gt;"",$N477,IF($A477&lt;&gt;"",'All Cases - Enter Cases'!$L477+7,""))</f>
        <v/>
      </c>
      <c r="C477" t="str">
        <f>IF($A477&lt;&gt;"",'All Cases - Enter Cases'!B477,"")</f>
        <v/>
      </c>
      <c r="D477" t="str">
        <f>IF($A477&lt;&gt;"",'All Cases - Enter Cases'!C477,"")</f>
        <v/>
      </c>
      <c r="E477" t="str">
        <f>IF($A477&lt;&gt;"",'All Cases - Enter Cases'!D477,"")</f>
        <v/>
      </c>
      <c r="F477" s="12" t="str">
        <f>IF($A477&lt;&gt;"",'All Cases - Enter Cases'!E477,"")</f>
        <v/>
      </c>
      <c r="G477" s="12" t="str">
        <f>IF($A477&lt;&gt;"",'All Cases - Enter Cases'!F477,"")</f>
        <v/>
      </c>
      <c r="H477" s="4" t="str">
        <f>IF($A477&lt;&gt;"",'All Cases - Enter Cases'!G477,"")</f>
        <v/>
      </c>
      <c r="I477" t="str">
        <f>IF($A477&lt;&gt;"",'All Cases - Enter Cases'!H477,"")</f>
        <v/>
      </c>
      <c r="J477" t="str">
        <f>IF($A477&lt;&gt;"",'All Cases - Enter Cases'!I477,"")</f>
        <v/>
      </c>
      <c r="K477" t="str">
        <f>IF($A477&lt;&gt;"",'All Cases - Enter Cases'!J477,"")</f>
        <v/>
      </c>
      <c r="L477" s="4" t="str">
        <f>IF($A477&lt;&gt;"",'All Cases - Enter Cases'!K477,"")</f>
        <v/>
      </c>
      <c r="M477" t="str">
        <f>IF($A477&lt;&gt;"",'All Cases - Enter Cases'!L477,"")</f>
        <v/>
      </c>
    </row>
    <row r="478" spans="1:13" x14ac:dyDescent="0.35">
      <c r="A478" s="4" t="str">
        <f>IF('All Cases - Enter Cases'!$K478="Approved",'All Cases - Enter Cases'!A478,"")</f>
        <v/>
      </c>
      <c r="B478" s="4" t="str">
        <f>IF($N478&lt;&gt;"",$N478,IF($A478&lt;&gt;"",'All Cases - Enter Cases'!$L478+7,""))</f>
        <v/>
      </c>
      <c r="C478" t="str">
        <f>IF($A478&lt;&gt;"",'All Cases - Enter Cases'!B478,"")</f>
        <v/>
      </c>
      <c r="D478" t="str">
        <f>IF($A478&lt;&gt;"",'All Cases - Enter Cases'!C478,"")</f>
        <v/>
      </c>
      <c r="E478" t="str">
        <f>IF($A478&lt;&gt;"",'All Cases - Enter Cases'!D478,"")</f>
        <v/>
      </c>
      <c r="F478" s="12" t="str">
        <f>IF($A478&lt;&gt;"",'All Cases - Enter Cases'!E478,"")</f>
        <v/>
      </c>
      <c r="G478" s="12" t="str">
        <f>IF($A478&lt;&gt;"",'All Cases - Enter Cases'!F478,"")</f>
        <v/>
      </c>
      <c r="H478" s="4" t="str">
        <f>IF($A478&lt;&gt;"",'All Cases - Enter Cases'!G478,"")</f>
        <v/>
      </c>
      <c r="I478" t="str">
        <f>IF($A478&lt;&gt;"",'All Cases - Enter Cases'!H478,"")</f>
        <v/>
      </c>
      <c r="J478" t="str">
        <f>IF($A478&lt;&gt;"",'All Cases - Enter Cases'!I478,"")</f>
        <v/>
      </c>
      <c r="K478" t="str">
        <f>IF($A478&lt;&gt;"",'All Cases - Enter Cases'!J478,"")</f>
        <v/>
      </c>
      <c r="L478" s="4" t="str">
        <f>IF($A478&lt;&gt;"",'All Cases - Enter Cases'!K478,"")</f>
        <v/>
      </c>
      <c r="M478" t="str">
        <f>IF($A478&lt;&gt;"",'All Cases - Enter Cases'!L478,"")</f>
        <v/>
      </c>
    </row>
    <row r="479" spans="1:13" x14ac:dyDescent="0.35">
      <c r="A479" s="4" t="str">
        <f>IF('All Cases - Enter Cases'!$K479="Approved",'All Cases - Enter Cases'!A479,"")</f>
        <v/>
      </c>
      <c r="B479" s="4" t="str">
        <f>IF($N479&lt;&gt;"",$N479,IF($A479&lt;&gt;"",'All Cases - Enter Cases'!$L479+7,""))</f>
        <v/>
      </c>
      <c r="C479" t="str">
        <f>IF($A479&lt;&gt;"",'All Cases - Enter Cases'!B479,"")</f>
        <v/>
      </c>
      <c r="D479" t="str">
        <f>IF($A479&lt;&gt;"",'All Cases - Enter Cases'!C479,"")</f>
        <v/>
      </c>
      <c r="E479" t="str">
        <f>IF($A479&lt;&gt;"",'All Cases - Enter Cases'!D479,"")</f>
        <v/>
      </c>
      <c r="F479" s="12" t="str">
        <f>IF($A479&lt;&gt;"",'All Cases - Enter Cases'!E479,"")</f>
        <v/>
      </c>
      <c r="G479" s="12" t="str">
        <f>IF($A479&lt;&gt;"",'All Cases - Enter Cases'!F479,"")</f>
        <v/>
      </c>
      <c r="H479" s="4" t="str">
        <f>IF($A479&lt;&gt;"",'All Cases - Enter Cases'!G479,"")</f>
        <v/>
      </c>
      <c r="I479" t="str">
        <f>IF($A479&lt;&gt;"",'All Cases - Enter Cases'!H479,"")</f>
        <v/>
      </c>
      <c r="J479" t="str">
        <f>IF($A479&lt;&gt;"",'All Cases - Enter Cases'!I479,"")</f>
        <v/>
      </c>
      <c r="K479" t="str">
        <f>IF($A479&lt;&gt;"",'All Cases - Enter Cases'!J479,"")</f>
        <v/>
      </c>
      <c r="L479" s="4" t="str">
        <f>IF($A479&lt;&gt;"",'All Cases - Enter Cases'!K479,"")</f>
        <v/>
      </c>
      <c r="M479" t="str">
        <f>IF($A479&lt;&gt;"",'All Cases - Enter Cases'!L479,"")</f>
        <v/>
      </c>
    </row>
    <row r="480" spans="1:13" x14ac:dyDescent="0.35">
      <c r="A480" s="4" t="str">
        <f>IF('All Cases - Enter Cases'!$K480="Approved",'All Cases - Enter Cases'!A480,"")</f>
        <v/>
      </c>
      <c r="B480" s="4" t="str">
        <f>IF($N480&lt;&gt;"",$N480,IF($A480&lt;&gt;"",'All Cases - Enter Cases'!$L480+7,""))</f>
        <v/>
      </c>
      <c r="C480" t="str">
        <f>IF($A480&lt;&gt;"",'All Cases - Enter Cases'!B480,"")</f>
        <v/>
      </c>
      <c r="D480" t="str">
        <f>IF($A480&lt;&gt;"",'All Cases - Enter Cases'!C480,"")</f>
        <v/>
      </c>
      <c r="E480" t="str">
        <f>IF($A480&lt;&gt;"",'All Cases - Enter Cases'!D480,"")</f>
        <v/>
      </c>
      <c r="F480" s="12" t="str">
        <f>IF($A480&lt;&gt;"",'All Cases - Enter Cases'!E480,"")</f>
        <v/>
      </c>
      <c r="G480" s="12" t="str">
        <f>IF($A480&lt;&gt;"",'All Cases - Enter Cases'!F480,"")</f>
        <v/>
      </c>
      <c r="H480" s="4" t="str">
        <f>IF($A480&lt;&gt;"",'All Cases - Enter Cases'!G480,"")</f>
        <v/>
      </c>
      <c r="I480" t="str">
        <f>IF($A480&lt;&gt;"",'All Cases - Enter Cases'!H480,"")</f>
        <v/>
      </c>
      <c r="J480" t="str">
        <f>IF($A480&lt;&gt;"",'All Cases - Enter Cases'!I480,"")</f>
        <v/>
      </c>
      <c r="K480" t="str">
        <f>IF($A480&lt;&gt;"",'All Cases - Enter Cases'!J480,"")</f>
        <v/>
      </c>
      <c r="L480" s="4" t="str">
        <f>IF($A480&lt;&gt;"",'All Cases - Enter Cases'!K480,"")</f>
        <v/>
      </c>
      <c r="M480" t="str">
        <f>IF($A480&lt;&gt;"",'All Cases - Enter Cases'!L480,"")</f>
        <v/>
      </c>
    </row>
    <row r="481" spans="1:13" x14ac:dyDescent="0.35">
      <c r="A481" s="4" t="str">
        <f>IF('All Cases - Enter Cases'!$K481="Approved",'All Cases - Enter Cases'!A481,"")</f>
        <v/>
      </c>
      <c r="B481" s="4" t="str">
        <f>IF($N481&lt;&gt;"",$N481,IF($A481&lt;&gt;"",'All Cases - Enter Cases'!$L481+7,""))</f>
        <v/>
      </c>
      <c r="C481" t="str">
        <f>IF($A481&lt;&gt;"",'All Cases - Enter Cases'!B481,"")</f>
        <v/>
      </c>
      <c r="D481" t="str">
        <f>IF($A481&lt;&gt;"",'All Cases - Enter Cases'!C481,"")</f>
        <v/>
      </c>
      <c r="E481" t="str">
        <f>IF($A481&lt;&gt;"",'All Cases - Enter Cases'!D481,"")</f>
        <v/>
      </c>
      <c r="F481" s="12" t="str">
        <f>IF($A481&lt;&gt;"",'All Cases - Enter Cases'!E481,"")</f>
        <v/>
      </c>
      <c r="G481" s="12" t="str">
        <f>IF($A481&lt;&gt;"",'All Cases - Enter Cases'!F481,"")</f>
        <v/>
      </c>
      <c r="H481" s="4" t="str">
        <f>IF($A481&lt;&gt;"",'All Cases - Enter Cases'!G481,"")</f>
        <v/>
      </c>
      <c r="I481" t="str">
        <f>IF($A481&lt;&gt;"",'All Cases - Enter Cases'!H481,"")</f>
        <v/>
      </c>
      <c r="J481" t="str">
        <f>IF($A481&lt;&gt;"",'All Cases - Enter Cases'!I481,"")</f>
        <v/>
      </c>
      <c r="K481" t="str">
        <f>IF($A481&lt;&gt;"",'All Cases - Enter Cases'!J481,"")</f>
        <v/>
      </c>
      <c r="L481" s="4" t="str">
        <f>IF($A481&lt;&gt;"",'All Cases - Enter Cases'!K481,"")</f>
        <v/>
      </c>
      <c r="M481" t="str">
        <f>IF($A481&lt;&gt;"",'All Cases - Enter Cases'!L481,"")</f>
        <v/>
      </c>
    </row>
    <row r="482" spans="1:13" x14ac:dyDescent="0.35">
      <c r="A482" s="4" t="str">
        <f>IF('All Cases - Enter Cases'!$K482="Approved",'All Cases - Enter Cases'!A482,"")</f>
        <v/>
      </c>
      <c r="B482" s="4" t="str">
        <f>IF($N482&lt;&gt;"",$N482,IF($A482&lt;&gt;"",'All Cases - Enter Cases'!$L482+7,""))</f>
        <v/>
      </c>
      <c r="C482" t="str">
        <f>IF($A482&lt;&gt;"",'All Cases - Enter Cases'!B482,"")</f>
        <v/>
      </c>
      <c r="D482" t="str">
        <f>IF($A482&lt;&gt;"",'All Cases - Enter Cases'!C482,"")</f>
        <v/>
      </c>
      <c r="E482" t="str">
        <f>IF($A482&lt;&gt;"",'All Cases - Enter Cases'!D482,"")</f>
        <v/>
      </c>
      <c r="F482" s="12" t="str">
        <f>IF($A482&lt;&gt;"",'All Cases - Enter Cases'!E482,"")</f>
        <v/>
      </c>
      <c r="G482" s="12" t="str">
        <f>IF($A482&lt;&gt;"",'All Cases - Enter Cases'!F482,"")</f>
        <v/>
      </c>
      <c r="H482" s="4" t="str">
        <f>IF($A482&lt;&gt;"",'All Cases - Enter Cases'!G482,"")</f>
        <v/>
      </c>
      <c r="I482" t="str">
        <f>IF($A482&lt;&gt;"",'All Cases - Enter Cases'!H482,"")</f>
        <v/>
      </c>
      <c r="J482" t="str">
        <f>IF($A482&lt;&gt;"",'All Cases - Enter Cases'!I482,"")</f>
        <v/>
      </c>
      <c r="K482" t="str">
        <f>IF($A482&lt;&gt;"",'All Cases - Enter Cases'!J482,"")</f>
        <v/>
      </c>
      <c r="L482" s="4" t="str">
        <f>IF($A482&lt;&gt;"",'All Cases - Enter Cases'!K482,"")</f>
        <v/>
      </c>
      <c r="M482" t="str">
        <f>IF($A482&lt;&gt;"",'All Cases - Enter Cases'!L482,"")</f>
        <v/>
      </c>
    </row>
    <row r="483" spans="1:13" x14ac:dyDescent="0.35">
      <c r="A483" s="4" t="str">
        <f>IF('All Cases - Enter Cases'!$K483="Approved",'All Cases - Enter Cases'!A483,"")</f>
        <v/>
      </c>
      <c r="B483" s="4" t="str">
        <f>IF($N483&lt;&gt;"",$N483,IF($A483&lt;&gt;"",'All Cases - Enter Cases'!$L483+7,""))</f>
        <v/>
      </c>
      <c r="C483" t="str">
        <f>IF($A483&lt;&gt;"",'All Cases - Enter Cases'!B483,"")</f>
        <v/>
      </c>
      <c r="D483" t="str">
        <f>IF($A483&lt;&gt;"",'All Cases - Enter Cases'!C483,"")</f>
        <v/>
      </c>
      <c r="E483" t="str">
        <f>IF($A483&lt;&gt;"",'All Cases - Enter Cases'!D483,"")</f>
        <v/>
      </c>
      <c r="F483" s="12" t="str">
        <f>IF($A483&lt;&gt;"",'All Cases - Enter Cases'!E483,"")</f>
        <v/>
      </c>
      <c r="G483" s="12" t="str">
        <f>IF($A483&lt;&gt;"",'All Cases - Enter Cases'!F483,"")</f>
        <v/>
      </c>
      <c r="H483" s="4" t="str">
        <f>IF($A483&lt;&gt;"",'All Cases - Enter Cases'!G483,"")</f>
        <v/>
      </c>
      <c r="I483" t="str">
        <f>IF($A483&lt;&gt;"",'All Cases - Enter Cases'!H483,"")</f>
        <v/>
      </c>
      <c r="J483" t="str">
        <f>IF($A483&lt;&gt;"",'All Cases - Enter Cases'!I483,"")</f>
        <v/>
      </c>
      <c r="K483" t="str">
        <f>IF($A483&lt;&gt;"",'All Cases - Enter Cases'!J483,"")</f>
        <v/>
      </c>
      <c r="L483" s="4" t="str">
        <f>IF($A483&lt;&gt;"",'All Cases - Enter Cases'!K483,"")</f>
        <v/>
      </c>
      <c r="M483" t="str">
        <f>IF($A483&lt;&gt;"",'All Cases - Enter Cases'!L483,"")</f>
        <v/>
      </c>
    </row>
    <row r="484" spans="1:13" x14ac:dyDescent="0.35">
      <c r="A484" s="4" t="str">
        <f>IF('All Cases - Enter Cases'!$K484="Approved",'All Cases - Enter Cases'!A484,"")</f>
        <v/>
      </c>
      <c r="B484" s="4" t="str">
        <f>IF($N484&lt;&gt;"",$N484,IF($A484&lt;&gt;"",'All Cases - Enter Cases'!$L484+7,""))</f>
        <v/>
      </c>
      <c r="C484" t="str">
        <f>IF($A484&lt;&gt;"",'All Cases - Enter Cases'!B484,"")</f>
        <v/>
      </c>
      <c r="D484" t="str">
        <f>IF($A484&lt;&gt;"",'All Cases - Enter Cases'!C484,"")</f>
        <v/>
      </c>
      <c r="E484" t="str">
        <f>IF($A484&lt;&gt;"",'All Cases - Enter Cases'!D484,"")</f>
        <v/>
      </c>
      <c r="F484" s="12" t="str">
        <f>IF($A484&lt;&gt;"",'All Cases - Enter Cases'!E484,"")</f>
        <v/>
      </c>
      <c r="G484" s="12" t="str">
        <f>IF($A484&lt;&gt;"",'All Cases - Enter Cases'!F484,"")</f>
        <v/>
      </c>
      <c r="H484" s="4" t="str">
        <f>IF($A484&lt;&gt;"",'All Cases - Enter Cases'!G484,"")</f>
        <v/>
      </c>
      <c r="I484" t="str">
        <f>IF($A484&lt;&gt;"",'All Cases - Enter Cases'!H484,"")</f>
        <v/>
      </c>
      <c r="J484" t="str">
        <f>IF($A484&lt;&gt;"",'All Cases - Enter Cases'!I484,"")</f>
        <v/>
      </c>
      <c r="K484" t="str">
        <f>IF($A484&lt;&gt;"",'All Cases - Enter Cases'!J484,"")</f>
        <v/>
      </c>
      <c r="L484" s="4" t="str">
        <f>IF($A484&lt;&gt;"",'All Cases - Enter Cases'!K484,"")</f>
        <v/>
      </c>
      <c r="M484" t="str">
        <f>IF($A484&lt;&gt;"",'All Cases - Enter Cases'!L484,"")</f>
        <v/>
      </c>
    </row>
    <row r="485" spans="1:13" x14ac:dyDescent="0.35">
      <c r="A485" s="4" t="str">
        <f>IF('All Cases - Enter Cases'!$K485="Approved",'All Cases - Enter Cases'!A485,"")</f>
        <v/>
      </c>
      <c r="B485" s="4" t="str">
        <f>IF($N485&lt;&gt;"",$N485,IF($A485&lt;&gt;"",'All Cases - Enter Cases'!$L485+7,""))</f>
        <v/>
      </c>
      <c r="C485" t="str">
        <f>IF($A485&lt;&gt;"",'All Cases - Enter Cases'!B485,"")</f>
        <v/>
      </c>
      <c r="D485" t="str">
        <f>IF($A485&lt;&gt;"",'All Cases - Enter Cases'!C485,"")</f>
        <v/>
      </c>
      <c r="E485" t="str">
        <f>IF($A485&lt;&gt;"",'All Cases - Enter Cases'!D485,"")</f>
        <v/>
      </c>
      <c r="F485" s="12" t="str">
        <f>IF($A485&lt;&gt;"",'All Cases - Enter Cases'!E485,"")</f>
        <v/>
      </c>
      <c r="G485" s="12" t="str">
        <f>IF($A485&lt;&gt;"",'All Cases - Enter Cases'!F485,"")</f>
        <v/>
      </c>
      <c r="H485" s="4" t="str">
        <f>IF($A485&lt;&gt;"",'All Cases - Enter Cases'!G485,"")</f>
        <v/>
      </c>
      <c r="I485" t="str">
        <f>IF($A485&lt;&gt;"",'All Cases - Enter Cases'!H485,"")</f>
        <v/>
      </c>
      <c r="J485" t="str">
        <f>IF($A485&lt;&gt;"",'All Cases - Enter Cases'!I485,"")</f>
        <v/>
      </c>
      <c r="K485" t="str">
        <f>IF($A485&lt;&gt;"",'All Cases - Enter Cases'!J485,"")</f>
        <v/>
      </c>
      <c r="L485" s="4" t="str">
        <f>IF($A485&lt;&gt;"",'All Cases - Enter Cases'!K485,"")</f>
        <v/>
      </c>
      <c r="M485" t="str">
        <f>IF($A485&lt;&gt;"",'All Cases - Enter Cases'!L485,"")</f>
        <v/>
      </c>
    </row>
    <row r="486" spans="1:13" x14ac:dyDescent="0.35">
      <c r="A486" s="4" t="str">
        <f>IF('All Cases - Enter Cases'!$K486="Approved",'All Cases - Enter Cases'!A486,"")</f>
        <v/>
      </c>
      <c r="B486" s="4" t="str">
        <f>IF($N486&lt;&gt;"",$N486,IF($A486&lt;&gt;"",'All Cases - Enter Cases'!$L486+7,""))</f>
        <v/>
      </c>
      <c r="C486" t="str">
        <f>IF($A486&lt;&gt;"",'All Cases - Enter Cases'!B486,"")</f>
        <v/>
      </c>
      <c r="D486" t="str">
        <f>IF($A486&lt;&gt;"",'All Cases - Enter Cases'!C486,"")</f>
        <v/>
      </c>
      <c r="E486" t="str">
        <f>IF($A486&lt;&gt;"",'All Cases - Enter Cases'!D486,"")</f>
        <v/>
      </c>
      <c r="F486" s="12" t="str">
        <f>IF($A486&lt;&gt;"",'All Cases - Enter Cases'!E486,"")</f>
        <v/>
      </c>
      <c r="G486" s="12" t="str">
        <f>IF($A486&lt;&gt;"",'All Cases - Enter Cases'!F486,"")</f>
        <v/>
      </c>
      <c r="H486" s="4" t="str">
        <f>IF($A486&lt;&gt;"",'All Cases - Enter Cases'!G486,"")</f>
        <v/>
      </c>
      <c r="I486" t="str">
        <f>IF($A486&lt;&gt;"",'All Cases - Enter Cases'!H486,"")</f>
        <v/>
      </c>
      <c r="J486" t="str">
        <f>IF($A486&lt;&gt;"",'All Cases - Enter Cases'!I486,"")</f>
        <v/>
      </c>
      <c r="K486" t="str">
        <f>IF($A486&lt;&gt;"",'All Cases - Enter Cases'!J486,"")</f>
        <v/>
      </c>
      <c r="L486" s="4" t="str">
        <f>IF($A486&lt;&gt;"",'All Cases - Enter Cases'!K486,"")</f>
        <v/>
      </c>
      <c r="M486" t="str">
        <f>IF($A486&lt;&gt;"",'All Cases - Enter Cases'!L486,"")</f>
        <v/>
      </c>
    </row>
    <row r="487" spans="1:13" x14ac:dyDescent="0.35">
      <c r="A487" s="4" t="str">
        <f>IF('All Cases - Enter Cases'!$K487="Approved",'All Cases - Enter Cases'!A487,"")</f>
        <v/>
      </c>
      <c r="B487" s="4" t="str">
        <f>IF($N487&lt;&gt;"",$N487,IF($A487&lt;&gt;"",'All Cases - Enter Cases'!$L487+7,""))</f>
        <v/>
      </c>
      <c r="C487" t="str">
        <f>IF($A487&lt;&gt;"",'All Cases - Enter Cases'!B487,"")</f>
        <v/>
      </c>
      <c r="D487" t="str">
        <f>IF($A487&lt;&gt;"",'All Cases - Enter Cases'!C487,"")</f>
        <v/>
      </c>
      <c r="E487" t="str">
        <f>IF($A487&lt;&gt;"",'All Cases - Enter Cases'!D487,"")</f>
        <v/>
      </c>
      <c r="F487" s="12" t="str">
        <f>IF($A487&lt;&gt;"",'All Cases - Enter Cases'!E487,"")</f>
        <v/>
      </c>
      <c r="G487" s="12" t="str">
        <f>IF($A487&lt;&gt;"",'All Cases - Enter Cases'!F487,"")</f>
        <v/>
      </c>
      <c r="H487" s="4" t="str">
        <f>IF($A487&lt;&gt;"",'All Cases - Enter Cases'!G487,"")</f>
        <v/>
      </c>
      <c r="I487" t="str">
        <f>IF($A487&lt;&gt;"",'All Cases - Enter Cases'!H487,"")</f>
        <v/>
      </c>
      <c r="J487" t="str">
        <f>IF($A487&lt;&gt;"",'All Cases - Enter Cases'!I487,"")</f>
        <v/>
      </c>
      <c r="K487" t="str">
        <f>IF($A487&lt;&gt;"",'All Cases - Enter Cases'!J487,"")</f>
        <v/>
      </c>
      <c r="L487" s="4" t="str">
        <f>IF($A487&lt;&gt;"",'All Cases - Enter Cases'!K487,"")</f>
        <v/>
      </c>
      <c r="M487" t="str">
        <f>IF($A487&lt;&gt;"",'All Cases - Enter Cases'!L487,"")</f>
        <v/>
      </c>
    </row>
    <row r="488" spans="1:13" x14ac:dyDescent="0.35">
      <c r="A488" s="4" t="str">
        <f>IF('All Cases - Enter Cases'!$K488="Approved",'All Cases - Enter Cases'!A488,"")</f>
        <v/>
      </c>
      <c r="B488" s="4" t="str">
        <f>IF($N488&lt;&gt;"",$N488,IF($A488&lt;&gt;"",'All Cases - Enter Cases'!$L488+7,""))</f>
        <v/>
      </c>
      <c r="C488" t="str">
        <f>IF($A488&lt;&gt;"",'All Cases - Enter Cases'!B488,"")</f>
        <v/>
      </c>
      <c r="D488" t="str">
        <f>IF($A488&lt;&gt;"",'All Cases - Enter Cases'!C488,"")</f>
        <v/>
      </c>
      <c r="E488" t="str">
        <f>IF($A488&lt;&gt;"",'All Cases - Enter Cases'!D488,"")</f>
        <v/>
      </c>
      <c r="F488" s="12" t="str">
        <f>IF($A488&lt;&gt;"",'All Cases - Enter Cases'!E488,"")</f>
        <v/>
      </c>
      <c r="G488" s="12" t="str">
        <f>IF($A488&lt;&gt;"",'All Cases - Enter Cases'!F488,"")</f>
        <v/>
      </c>
      <c r="H488" s="4" t="str">
        <f>IF($A488&lt;&gt;"",'All Cases - Enter Cases'!G488,"")</f>
        <v/>
      </c>
      <c r="I488" t="str">
        <f>IF($A488&lt;&gt;"",'All Cases - Enter Cases'!H488,"")</f>
        <v/>
      </c>
      <c r="J488" t="str">
        <f>IF($A488&lt;&gt;"",'All Cases - Enter Cases'!I488,"")</f>
        <v/>
      </c>
      <c r="K488" t="str">
        <f>IF($A488&lt;&gt;"",'All Cases - Enter Cases'!J488,"")</f>
        <v/>
      </c>
      <c r="L488" s="4" t="str">
        <f>IF($A488&lt;&gt;"",'All Cases - Enter Cases'!K488,"")</f>
        <v/>
      </c>
      <c r="M488" t="str">
        <f>IF($A488&lt;&gt;"",'All Cases - Enter Cases'!L488,"")</f>
        <v/>
      </c>
    </row>
    <row r="489" spans="1:13" x14ac:dyDescent="0.35">
      <c r="A489" s="4" t="str">
        <f>IF('All Cases - Enter Cases'!$K489="Approved",'All Cases - Enter Cases'!A489,"")</f>
        <v/>
      </c>
      <c r="B489" s="4" t="str">
        <f>IF($N489&lt;&gt;"",$N489,IF($A489&lt;&gt;"",'All Cases - Enter Cases'!$L489+7,""))</f>
        <v/>
      </c>
      <c r="C489" t="str">
        <f>IF($A489&lt;&gt;"",'All Cases - Enter Cases'!B489,"")</f>
        <v/>
      </c>
      <c r="D489" t="str">
        <f>IF($A489&lt;&gt;"",'All Cases - Enter Cases'!C489,"")</f>
        <v/>
      </c>
      <c r="E489" t="str">
        <f>IF($A489&lt;&gt;"",'All Cases - Enter Cases'!D489,"")</f>
        <v/>
      </c>
      <c r="F489" s="12" t="str">
        <f>IF($A489&lt;&gt;"",'All Cases - Enter Cases'!E489,"")</f>
        <v/>
      </c>
      <c r="G489" s="12" t="str">
        <f>IF($A489&lt;&gt;"",'All Cases - Enter Cases'!F489,"")</f>
        <v/>
      </c>
      <c r="H489" s="4" t="str">
        <f>IF($A489&lt;&gt;"",'All Cases - Enter Cases'!G489,"")</f>
        <v/>
      </c>
      <c r="I489" t="str">
        <f>IF($A489&lt;&gt;"",'All Cases - Enter Cases'!H489,"")</f>
        <v/>
      </c>
      <c r="J489" t="str">
        <f>IF($A489&lt;&gt;"",'All Cases - Enter Cases'!I489,"")</f>
        <v/>
      </c>
      <c r="K489" t="str">
        <f>IF($A489&lt;&gt;"",'All Cases - Enter Cases'!J489,"")</f>
        <v/>
      </c>
      <c r="L489" s="4" t="str">
        <f>IF($A489&lt;&gt;"",'All Cases - Enter Cases'!K489,"")</f>
        <v/>
      </c>
      <c r="M489" t="str">
        <f>IF($A489&lt;&gt;"",'All Cases - Enter Cases'!L489,"")</f>
        <v/>
      </c>
    </row>
    <row r="490" spans="1:13" x14ac:dyDescent="0.35">
      <c r="A490" s="4" t="str">
        <f>IF('All Cases - Enter Cases'!$K490="Approved",'All Cases - Enter Cases'!A490,"")</f>
        <v/>
      </c>
      <c r="B490" s="4" t="str">
        <f>IF($N490&lt;&gt;"",$N490,IF($A490&lt;&gt;"",'All Cases - Enter Cases'!$L490+7,""))</f>
        <v/>
      </c>
      <c r="C490" t="str">
        <f>IF($A490&lt;&gt;"",'All Cases - Enter Cases'!B490,"")</f>
        <v/>
      </c>
      <c r="D490" t="str">
        <f>IF($A490&lt;&gt;"",'All Cases - Enter Cases'!C490,"")</f>
        <v/>
      </c>
      <c r="E490" t="str">
        <f>IF($A490&lt;&gt;"",'All Cases - Enter Cases'!D490,"")</f>
        <v/>
      </c>
      <c r="F490" s="12" t="str">
        <f>IF($A490&lt;&gt;"",'All Cases - Enter Cases'!E490,"")</f>
        <v/>
      </c>
      <c r="G490" s="12" t="str">
        <f>IF($A490&lt;&gt;"",'All Cases - Enter Cases'!F490,"")</f>
        <v/>
      </c>
      <c r="H490" s="4" t="str">
        <f>IF($A490&lt;&gt;"",'All Cases - Enter Cases'!G490,"")</f>
        <v/>
      </c>
      <c r="I490" t="str">
        <f>IF($A490&lt;&gt;"",'All Cases - Enter Cases'!H490,"")</f>
        <v/>
      </c>
      <c r="J490" t="str">
        <f>IF($A490&lt;&gt;"",'All Cases - Enter Cases'!I490,"")</f>
        <v/>
      </c>
      <c r="K490" t="str">
        <f>IF($A490&lt;&gt;"",'All Cases - Enter Cases'!J490,"")</f>
        <v/>
      </c>
      <c r="L490" s="4" t="str">
        <f>IF($A490&lt;&gt;"",'All Cases - Enter Cases'!K490,"")</f>
        <v/>
      </c>
      <c r="M490" t="str">
        <f>IF($A490&lt;&gt;"",'All Cases - Enter Cases'!L490,"")</f>
        <v/>
      </c>
    </row>
    <row r="491" spans="1:13" x14ac:dyDescent="0.35">
      <c r="A491" s="4" t="str">
        <f>IF('All Cases - Enter Cases'!$K491="Approved",'All Cases - Enter Cases'!A491,"")</f>
        <v/>
      </c>
      <c r="B491" s="4" t="str">
        <f>IF($N491&lt;&gt;"",$N491,IF($A491&lt;&gt;"",'All Cases - Enter Cases'!$L491+7,""))</f>
        <v/>
      </c>
      <c r="C491" t="str">
        <f>IF($A491&lt;&gt;"",'All Cases - Enter Cases'!B491,"")</f>
        <v/>
      </c>
      <c r="D491" t="str">
        <f>IF($A491&lt;&gt;"",'All Cases - Enter Cases'!C491,"")</f>
        <v/>
      </c>
      <c r="E491" t="str">
        <f>IF($A491&lt;&gt;"",'All Cases - Enter Cases'!D491,"")</f>
        <v/>
      </c>
      <c r="F491" s="12" t="str">
        <f>IF($A491&lt;&gt;"",'All Cases - Enter Cases'!E491,"")</f>
        <v/>
      </c>
      <c r="G491" s="12" t="str">
        <f>IF($A491&lt;&gt;"",'All Cases - Enter Cases'!F491,"")</f>
        <v/>
      </c>
      <c r="H491" s="4" t="str">
        <f>IF($A491&lt;&gt;"",'All Cases - Enter Cases'!G491,"")</f>
        <v/>
      </c>
      <c r="I491" t="str">
        <f>IF($A491&lt;&gt;"",'All Cases - Enter Cases'!H491,"")</f>
        <v/>
      </c>
      <c r="J491" t="str">
        <f>IF($A491&lt;&gt;"",'All Cases - Enter Cases'!I491,"")</f>
        <v/>
      </c>
      <c r="K491" t="str">
        <f>IF($A491&lt;&gt;"",'All Cases - Enter Cases'!J491,"")</f>
        <v/>
      </c>
      <c r="L491" s="4" t="str">
        <f>IF($A491&lt;&gt;"",'All Cases - Enter Cases'!K491,"")</f>
        <v/>
      </c>
      <c r="M491" t="str">
        <f>IF($A491&lt;&gt;"",'All Cases - Enter Cases'!L491,"")</f>
        <v/>
      </c>
    </row>
    <row r="492" spans="1:13" x14ac:dyDescent="0.35">
      <c r="A492" s="4" t="str">
        <f>IF('All Cases - Enter Cases'!$K492="Approved",'All Cases - Enter Cases'!A492,"")</f>
        <v/>
      </c>
      <c r="B492" s="4" t="str">
        <f>IF($N492&lt;&gt;"",$N492,IF($A492&lt;&gt;"",'All Cases - Enter Cases'!$L492+7,""))</f>
        <v/>
      </c>
      <c r="C492" t="str">
        <f>IF($A492&lt;&gt;"",'All Cases - Enter Cases'!B492,"")</f>
        <v/>
      </c>
      <c r="D492" t="str">
        <f>IF($A492&lt;&gt;"",'All Cases - Enter Cases'!C492,"")</f>
        <v/>
      </c>
      <c r="E492" t="str">
        <f>IF($A492&lt;&gt;"",'All Cases - Enter Cases'!D492,"")</f>
        <v/>
      </c>
      <c r="F492" s="12" t="str">
        <f>IF($A492&lt;&gt;"",'All Cases - Enter Cases'!E492,"")</f>
        <v/>
      </c>
      <c r="G492" s="12" t="str">
        <f>IF($A492&lt;&gt;"",'All Cases - Enter Cases'!F492,"")</f>
        <v/>
      </c>
      <c r="H492" s="4" t="str">
        <f>IF($A492&lt;&gt;"",'All Cases - Enter Cases'!G492,"")</f>
        <v/>
      </c>
      <c r="I492" t="str">
        <f>IF($A492&lt;&gt;"",'All Cases - Enter Cases'!H492,"")</f>
        <v/>
      </c>
      <c r="J492" t="str">
        <f>IF($A492&lt;&gt;"",'All Cases - Enter Cases'!I492,"")</f>
        <v/>
      </c>
      <c r="K492" t="str">
        <f>IF($A492&lt;&gt;"",'All Cases - Enter Cases'!J492,"")</f>
        <v/>
      </c>
      <c r="L492" s="4" t="str">
        <f>IF($A492&lt;&gt;"",'All Cases - Enter Cases'!K492,"")</f>
        <v/>
      </c>
      <c r="M492" t="str">
        <f>IF($A492&lt;&gt;"",'All Cases - Enter Cases'!L492,"")</f>
        <v/>
      </c>
    </row>
    <row r="493" spans="1:13" x14ac:dyDescent="0.35">
      <c r="A493" s="4" t="str">
        <f>IF('All Cases - Enter Cases'!$K493="Approved",'All Cases - Enter Cases'!A493,"")</f>
        <v/>
      </c>
      <c r="B493" s="4" t="str">
        <f>IF($N493&lt;&gt;"",$N493,IF($A493&lt;&gt;"",'All Cases - Enter Cases'!$L493+7,""))</f>
        <v/>
      </c>
      <c r="C493" t="str">
        <f>IF($A493&lt;&gt;"",'All Cases - Enter Cases'!B493,"")</f>
        <v/>
      </c>
      <c r="D493" t="str">
        <f>IF($A493&lt;&gt;"",'All Cases - Enter Cases'!C493,"")</f>
        <v/>
      </c>
      <c r="E493" t="str">
        <f>IF($A493&lt;&gt;"",'All Cases - Enter Cases'!D493,"")</f>
        <v/>
      </c>
      <c r="F493" s="12" t="str">
        <f>IF($A493&lt;&gt;"",'All Cases - Enter Cases'!E493,"")</f>
        <v/>
      </c>
      <c r="G493" s="12" t="str">
        <f>IF($A493&lt;&gt;"",'All Cases - Enter Cases'!F493,"")</f>
        <v/>
      </c>
      <c r="H493" s="4" t="str">
        <f>IF($A493&lt;&gt;"",'All Cases - Enter Cases'!G493,"")</f>
        <v/>
      </c>
      <c r="I493" t="str">
        <f>IF($A493&lt;&gt;"",'All Cases - Enter Cases'!H493,"")</f>
        <v/>
      </c>
      <c r="J493" t="str">
        <f>IF($A493&lt;&gt;"",'All Cases - Enter Cases'!I493,"")</f>
        <v/>
      </c>
      <c r="K493" t="str">
        <f>IF($A493&lt;&gt;"",'All Cases - Enter Cases'!J493,"")</f>
        <v/>
      </c>
      <c r="L493" s="4" t="str">
        <f>IF($A493&lt;&gt;"",'All Cases - Enter Cases'!K493,"")</f>
        <v/>
      </c>
      <c r="M493" t="str">
        <f>IF($A493&lt;&gt;"",'All Cases - Enter Cases'!L493,"")</f>
        <v/>
      </c>
    </row>
    <row r="494" spans="1:13" x14ac:dyDescent="0.35">
      <c r="A494" s="4" t="str">
        <f>IF('All Cases - Enter Cases'!$K494="Approved",'All Cases - Enter Cases'!A494,"")</f>
        <v/>
      </c>
      <c r="B494" s="4" t="str">
        <f>IF($N494&lt;&gt;"",$N494,IF($A494&lt;&gt;"",'All Cases - Enter Cases'!$L494+7,""))</f>
        <v/>
      </c>
      <c r="C494" t="str">
        <f>IF($A494&lt;&gt;"",'All Cases - Enter Cases'!B494,"")</f>
        <v/>
      </c>
      <c r="D494" t="str">
        <f>IF($A494&lt;&gt;"",'All Cases - Enter Cases'!C494,"")</f>
        <v/>
      </c>
      <c r="E494" t="str">
        <f>IF($A494&lt;&gt;"",'All Cases - Enter Cases'!D494,"")</f>
        <v/>
      </c>
      <c r="F494" s="12" t="str">
        <f>IF($A494&lt;&gt;"",'All Cases - Enter Cases'!E494,"")</f>
        <v/>
      </c>
      <c r="G494" s="12" t="str">
        <f>IF($A494&lt;&gt;"",'All Cases - Enter Cases'!F494,"")</f>
        <v/>
      </c>
      <c r="H494" s="4" t="str">
        <f>IF($A494&lt;&gt;"",'All Cases - Enter Cases'!G494,"")</f>
        <v/>
      </c>
      <c r="I494" t="str">
        <f>IF($A494&lt;&gt;"",'All Cases - Enter Cases'!H494,"")</f>
        <v/>
      </c>
      <c r="J494" t="str">
        <f>IF($A494&lt;&gt;"",'All Cases - Enter Cases'!I494,"")</f>
        <v/>
      </c>
      <c r="K494" t="str">
        <f>IF($A494&lt;&gt;"",'All Cases - Enter Cases'!J494,"")</f>
        <v/>
      </c>
      <c r="L494" s="4" t="str">
        <f>IF($A494&lt;&gt;"",'All Cases - Enter Cases'!K494,"")</f>
        <v/>
      </c>
      <c r="M494" t="str">
        <f>IF($A494&lt;&gt;"",'All Cases - Enter Cases'!L494,"")</f>
        <v/>
      </c>
    </row>
    <row r="495" spans="1:13" x14ac:dyDescent="0.35">
      <c r="A495" s="4" t="str">
        <f>IF('All Cases - Enter Cases'!$K495="Approved",'All Cases - Enter Cases'!A495,"")</f>
        <v/>
      </c>
      <c r="B495" s="4" t="str">
        <f>IF($N495&lt;&gt;"",$N495,IF($A495&lt;&gt;"",'All Cases - Enter Cases'!$L495+7,""))</f>
        <v/>
      </c>
      <c r="C495" t="str">
        <f>IF($A495&lt;&gt;"",'All Cases - Enter Cases'!B495,"")</f>
        <v/>
      </c>
      <c r="D495" t="str">
        <f>IF($A495&lt;&gt;"",'All Cases - Enter Cases'!C495,"")</f>
        <v/>
      </c>
      <c r="E495" t="str">
        <f>IF($A495&lt;&gt;"",'All Cases - Enter Cases'!D495,"")</f>
        <v/>
      </c>
      <c r="F495" s="12" t="str">
        <f>IF($A495&lt;&gt;"",'All Cases - Enter Cases'!E495,"")</f>
        <v/>
      </c>
      <c r="G495" s="12" t="str">
        <f>IF($A495&lt;&gt;"",'All Cases - Enter Cases'!F495,"")</f>
        <v/>
      </c>
      <c r="H495" s="4" t="str">
        <f>IF($A495&lt;&gt;"",'All Cases - Enter Cases'!G495,"")</f>
        <v/>
      </c>
      <c r="I495" t="str">
        <f>IF($A495&lt;&gt;"",'All Cases - Enter Cases'!H495,"")</f>
        <v/>
      </c>
      <c r="J495" t="str">
        <f>IF($A495&lt;&gt;"",'All Cases - Enter Cases'!I495,"")</f>
        <v/>
      </c>
      <c r="K495" t="str">
        <f>IF($A495&lt;&gt;"",'All Cases - Enter Cases'!J495,"")</f>
        <v/>
      </c>
      <c r="L495" s="4" t="str">
        <f>IF($A495&lt;&gt;"",'All Cases - Enter Cases'!K495,"")</f>
        <v/>
      </c>
      <c r="M495" t="str">
        <f>IF($A495&lt;&gt;"",'All Cases - Enter Cases'!L495,"")</f>
        <v/>
      </c>
    </row>
    <row r="496" spans="1:13" x14ac:dyDescent="0.35">
      <c r="A496" s="4" t="str">
        <f>IF('All Cases - Enter Cases'!$K496="Approved",'All Cases - Enter Cases'!A496,"")</f>
        <v/>
      </c>
      <c r="B496" s="4" t="str">
        <f>IF($N496&lt;&gt;"",$N496,IF($A496&lt;&gt;"",'All Cases - Enter Cases'!$L496+7,""))</f>
        <v/>
      </c>
      <c r="C496" t="str">
        <f>IF($A496&lt;&gt;"",'All Cases - Enter Cases'!B496,"")</f>
        <v/>
      </c>
      <c r="D496" t="str">
        <f>IF($A496&lt;&gt;"",'All Cases - Enter Cases'!C496,"")</f>
        <v/>
      </c>
      <c r="E496" t="str">
        <f>IF($A496&lt;&gt;"",'All Cases - Enter Cases'!D496,"")</f>
        <v/>
      </c>
      <c r="F496" s="12" t="str">
        <f>IF($A496&lt;&gt;"",'All Cases - Enter Cases'!E496,"")</f>
        <v/>
      </c>
      <c r="G496" s="12" t="str">
        <f>IF($A496&lt;&gt;"",'All Cases - Enter Cases'!F496,"")</f>
        <v/>
      </c>
      <c r="H496" s="4" t="str">
        <f>IF($A496&lt;&gt;"",'All Cases - Enter Cases'!G496,"")</f>
        <v/>
      </c>
      <c r="I496" t="str">
        <f>IF($A496&lt;&gt;"",'All Cases - Enter Cases'!H496,"")</f>
        <v/>
      </c>
      <c r="J496" t="str">
        <f>IF($A496&lt;&gt;"",'All Cases - Enter Cases'!I496,"")</f>
        <v/>
      </c>
      <c r="K496" t="str">
        <f>IF($A496&lt;&gt;"",'All Cases - Enter Cases'!J496,"")</f>
        <v/>
      </c>
      <c r="L496" s="4" t="str">
        <f>IF($A496&lt;&gt;"",'All Cases - Enter Cases'!K496,"")</f>
        <v/>
      </c>
      <c r="M496" t="str">
        <f>IF($A496&lt;&gt;"",'All Cases - Enter Cases'!L496,"")</f>
        <v/>
      </c>
    </row>
    <row r="497" spans="1:13" x14ac:dyDescent="0.35">
      <c r="A497" s="4" t="str">
        <f>IF('All Cases - Enter Cases'!$K497="Approved",'All Cases - Enter Cases'!A497,"")</f>
        <v/>
      </c>
      <c r="B497" s="4" t="str">
        <f>IF($N497&lt;&gt;"",$N497,IF($A497&lt;&gt;"",'All Cases - Enter Cases'!$L497+7,""))</f>
        <v/>
      </c>
      <c r="C497" t="str">
        <f>IF($A497&lt;&gt;"",'All Cases - Enter Cases'!B497,"")</f>
        <v/>
      </c>
      <c r="D497" t="str">
        <f>IF($A497&lt;&gt;"",'All Cases - Enter Cases'!C497,"")</f>
        <v/>
      </c>
      <c r="E497" t="str">
        <f>IF($A497&lt;&gt;"",'All Cases - Enter Cases'!D497,"")</f>
        <v/>
      </c>
      <c r="F497" s="12" t="str">
        <f>IF($A497&lt;&gt;"",'All Cases - Enter Cases'!E497,"")</f>
        <v/>
      </c>
      <c r="G497" s="12" t="str">
        <f>IF($A497&lt;&gt;"",'All Cases - Enter Cases'!F497,"")</f>
        <v/>
      </c>
      <c r="H497" s="4" t="str">
        <f>IF($A497&lt;&gt;"",'All Cases - Enter Cases'!G497,"")</f>
        <v/>
      </c>
      <c r="I497" t="str">
        <f>IF($A497&lt;&gt;"",'All Cases - Enter Cases'!H497,"")</f>
        <v/>
      </c>
      <c r="J497" t="str">
        <f>IF($A497&lt;&gt;"",'All Cases - Enter Cases'!I497,"")</f>
        <v/>
      </c>
      <c r="K497" t="str">
        <f>IF($A497&lt;&gt;"",'All Cases - Enter Cases'!J497,"")</f>
        <v/>
      </c>
      <c r="L497" s="4" t="str">
        <f>IF($A497&lt;&gt;"",'All Cases - Enter Cases'!K497,"")</f>
        <v/>
      </c>
      <c r="M497" t="str">
        <f>IF($A497&lt;&gt;"",'All Cases - Enter Cases'!L497,"")</f>
        <v/>
      </c>
    </row>
    <row r="498" spans="1:13" x14ac:dyDescent="0.35">
      <c r="A498" s="4" t="str">
        <f>IF('All Cases - Enter Cases'!$K498="Approved",'All Cases - Enter Cases'!A498,"")</f>
        <v/>
      </c>
      <c r="B498" s="4" t="str">
        <f>IF($N498&lt;&gt;"",$N498,IF($A498&lt;&gt;"",'All Cases - Enter Cases'!$L498+7,""))</f>
        <v/>
      </c>
      <c r="C498" t="str">
        <f>IF($A498&lt;&gt;"",'All Cases - Enter Cases'!B498,"")</f>
        <v/>
      </c>
      <c r="D498" t="str">
        <f>IF($A498&lt;&gt;"",'All Cases - Enter Cases'!C498,"")</f>
        <v/>
      </c>
      <c r="E498" t="str">
        <f>IF($A498&lt;&gt;"",'All Cases - Enter Cases'!D498,"")</f>
        <v/>
      </c>
      <c r="F498" s="12" t="str">
        <f>IF($A498&lt;&gt;"",'All Cases - Enter Cases'!E498,"")</f>
        <v/>
      </c>
      <c r="G498" s="12" t="str">
        <f>IF($A498&lt;&gt;"",'All Cases - Enter Cases'!F498,"")</f>
        <v/>
      </c>
      <c r="H498" s="4" t="str">
        <f>IF($A498&lt;&gt;"",'All Cases - Enter Cases'!G498,"")</f>
        <v/>
      </c>
      <c r="I498" t="str">
        <f>IF($A498&lt;&gt;"",'All Cases - Enter Cases'!H498,"")</f>
        <v/>
      </c>
      <c r="J498" t="str">
        <f>IF($A498&lt;&gt;"",'All Cases - Enter Cases'!I498,"")</f>
        <v/>
      </c>
      <c r="K498" t="str">
        <f>IF($A498&lt;&gt;"",'All Cases - Enter Cases'!J498,"")</f>
        <v/>
      </c>
      <c r="L498" s="4" t="str">
        <f>IF($A498&lt;&gt;"",'All Cases - Enter Cases'!K498,"")</f>
        <v/>
      </c>
      <c r="M498" t="str">
        <f>IF($A498&lt;&gt;"",'All Cases - Enter Cases'!L498,"")</f>
        <v/>
      </c>
    </row>
    <row r="499" spans="1:13" x14ac:dyDescent="0.35">
      <c r="A499" s="4" t="str">
        <f>IF('All Cases - Enter Cases'!$K499="Approved",'All Cases - Enter Cases'!A499,"")</f>
        <v/>
      </c>
      <c r="B499" s="4" t="str">
        <f>IF($N499&lt;&gt;"",$N499,IF($A499&lt;&gt;"",'All Cases - Enter Cases'!$L499+7,""))</f>
        <v/>
      </c>
      <c r="C499" t="str">
        <f>IF($A499&lt;&gt;"",'All Cases - Enter Cases'!B499,"")</f>
        <v/>
      </c>
      <c r="D499" t="str">
        <f>IF($A499&lt;&gt;"",'All Cases - Enter Cases'!C499,"")</f>
        <v/>
      </c>
      <c r="E499" t="str">
        <f>IF($A499&lt;&gt;"",'All Cases - Enter Cases'!D499,"")</f>
        <v/>
      </c>
      <c r="F499" s="12" t="str">
        <f>IF($A499&lt;&gt;"",'All Cases - Enter Cases'!E499,"")</f>
        <v/>
      </c>
      <c r="G499" s="12" t="str">
        <f>IF($A499&lt;&gt;"",'All Cases - Enter Cases'!F499,"")</f>
        <v/>
      </c>
      <c r="H499" s="4" t="str">
        <f>IF($A499&lt;&gt;"",'All Cases - Enter Cases'!G499,"")</f>
        <v/>
      </c>
      <c r="I499" t="str">
        <f>IF($A499&lt;&gt;"",'All Cases - Enter Cases'!H499,"")</f>
        <v/>
      </c>
      <c r="J499" t="str">
        <f>IF($A499&lt;&gt;"",'All Cases - Enter Cases'!I499,"")</f>
        <v/>
      </c>
      <c r="K499" t="str">
        <f>IF($A499&lt;&gt;"",'All Cases - Enter Cases'!J499,"")</f>
        <v/>
      </c>
      <c r="L499" s="4" t="str">
        <f>IF($A499&lt;&gt;"",'All Cases - Enter Cases'!K499,"")</f>
        <v/>
      </c>
      <c r="M499" t="str">
        <f>IF($A499&lt;&gt;"",'All Cases - Enter Cases'!L499,"")</f>
        <v/>
      </c>
    </row>
    <row r="500" spans="1:13" x14ac:dyDescent="0.35">
      <c r="A500" s="4" t="str">
        <f>IF('All Cases - Enter Cases'!$K500="Approved",'All Cases - Enter Cases'!A500,"")</f>
        <v/>
      </c>
      <c r="B500" s="4" t="str">
        <f>IF($N500&lt;&gt;"",$N500,IF($A500&lt;&gt;"",'All Cases - Enter Cases'!$L500+7,""))</f>
        <v/>
      </c>
      <c r="C500" t="str">
        <f>IF($A500&lt;&gt;"",'All Cases - Enter Cases'!B500,"")</f>
        <v/>
      </c>
      <c r="D500" t="str">
        <f>IF($A500&lt;&gt;"",'All Cases - Enter Cases'!C500,"")</f>
        <v/>
      </c>
      <c r="E500" t="str">
        <f>IF($A500&lt;&gt;"",'All Cases - Enter Cases'!D500,"")</f>
        <v/>
      </c>
      <c r="F500" s="12" t="str">
        <f>IF($A500&lt;&gt;"",'All Cases - Enter Cases'!E500,"")</f>
        <v/>
      </c>
      <c r="G500" s="12" t="str">
        <f>IF($A500&lt;&gt;"",'All Cases - Enter Cases'!F500,"")</f>
        <v/>
      </c>
      <c r="H500" s="4" t="str">
        <f>IF($A500&lt;&gt;"",'All Cases - Enter Cases'!G500,"")</f>
        <v/>
      </c>
      <c r="I500" t="str">
        <f>IF($A500&lt;&gt;"",'All Cases - Enter Cases'!H500,"")</f>
        <v/>
      </c>
      <c r="J500" t="str">
        <f>IF($A500&lt;&gt;"",'All Cases - Enter Cases'!I500,"")</f>
        <v/>
      </c>
      <c r="K500" t="str">
        <f>IF($A500&lt;&gt;"",'All Cases - Enter Cases'!J500,"")</f>
        <v/>
      </c>
      <c r="L500" s="4" t="str">
        <f>IF($A500&lt;&gt;"",'All Cases - Enter Cases'!K500,"")</f>
        <v/>
      </c>
      <c r="M500" t="str">
        <f>IF($A500&lt;&gt;"",'All Cases - Enter Cases'!L500,"")</f>
        <v/>
      </c>
    </row>
    <row r="501" spans="1:13" x14ac:dyDescent="0.35">
      <c r="A501" s="4" t="str">
        <f>IF('All Cases - Enter Cases'!$K501="Approved",'All Cases - Enter Cases'!A501,"")</f>
        <v/>
      </c>
      <c r="B501" s="4" t="str">
        <f>IF($N501&lt;&gt;"",$N501,IF($A501&lt;&gt;"",'All Cases - Enter Cases'!$L501+7,""))</f>
        <v/>
      </c>
      <c r="C501" t="str">
        <f>IF($A501&lt;&gt;"",'All Cases - Enter Cases'!B501,"")</f>
        <v/>
      </c>
      <c r="D501" t="str">
        <f>IF($A501&lt;&gt;"",'All Cases - Enter Cases'!C501,"")</f>
        <v/>
      </c>
      <c r="E501" t="str">
        <f>IF($A501&lt;&gt;"",'All Cases - Enter Cases'!D501,"")</f>
        <v/>
      </c>
      <c r="F501" s="12" t="str">
        <f>IF($A501&lt;&gt;"",'All Cases - Enter Cases'!E501,"")</f>
        <v/>
      </c>
      <c r="G501" s="12" t="str">
        <f>IF($A501&lt;&gt;"",'All Cases - Enter Cases'!F501,"")</f>
        <v/>
      </c>
      <c r="H501" s="4" t="str">
        <f>IF($A501&lt;&gt;"",'All Cases - Enter Cases'!G501,"")</f>
        <v/>
      </c>
      <c r="I501" t="str">
        <f>IF($A501&lt;&gt;"",'All Cases - Enter Cases'!H501,"")</f>
        <v/>
      </c>
      <c r="J501" t="str">
        <f>IF($A501&lt;&gt;"",'All Cases - Enter Cases'!I501,"")</f>
        <v/>
      </c>
      <c r="K501" t="str">
        <f>IF($A501&lt;&gt;"",'All Cases - Enter Cases'!J501,"")</f>
        <v/>
      </c>
      <c r="L501" s="4" t="str">
        <f>IF($A501&lt;&gt;"",'All Cases - Enter Cases'!K501,"")</f>
        <v/>
      </c>
      <c r="M501" t="str">
        <f>IF($A501&lt;&gt;"",'All Cases - Enter Cases'!L501,"")</f>
        <v/>
      </c>
    </row>
    <row r="502" spans="1:13" x14ac:dyDescent="0.35">
      <c r="A502" s="4" t="str">
        <f>IF('All Cases - Enter Cases'!$K502="Approved",'All Cases - Enter Cases'!A502,"")</f>
        <v/>
      </c>
      <c r="B502" s="4" t="str">
        <f>IF($N502&lt;&gt;"",$N502,IF($A502&lt;&gt;"",'All Cases - Enter Cases'!$L502+7,""))</f>
        <v/>
      </c>
      <c r="C502" t="str">
        <f>IF($A502&lt;&gt;"",'All Cases - Enter Cases'!B502,"")</f>
        <v/>
      </c>
      <c r="D502" t="str">
        <f>IF($A502&lt;&gt;"",'All Cases - Enter Cases'!C502,"")</f>
        <v/>
      </c>
      <c r="E502" t="str">
        <f>IF($A502&lt;&gt;"",'All Cases - Enter Cases'!D502,"")</f>
        <v/>
      </c>
      <c r="F502" s="12" t="str">
        <f>IF($A502&lt;&gt;"",'All Cases - Enter Cases'!E502,"")</f>
        <v/>
      </c>
      <c r="G502" s="12" t="str">
        <f>IF($A502&lt;&gt;"",'All Cases - Enter Cases'!F502,"")</f>
        <v/>
      </c>
      <c r="H502" s="4" t="str">
        <f>IF($A502&lt;&gt;"",'All Cases - Enter Cases'!G502,"")</f>
        <v/>
      </c>
      <c r="I502" t="str">
        <f>IF($A502&lt;&gt;"",'All Cases - Enter Cases'!H502,"")</f>
        <v/>
      </c>
      <c r="J502" t="str">
        <f>IF($A502&lt;&gt;"",'All Cases - Enter Cases'!I502,"")</f>
        <v/>
      </c>
      <c r="K502" t="str">
        <f>IF($A502&lt;&gt;"",'All Cases - Enter Cases'!J502,"")</f>
        <v/>
      </c>
      <c r="L502" s="4" t="str">
        <f>IF($A502&lt;&gt;"",'All Cases - Enter Cases'!K502,"")</f>
        <v/>
      </c>
      <c r="M502" t="str">
        <f>IF($A502&lt;&gt;"",'All Cases - Enter Cases'!L502,"")</f>
        <v/>
      </c>
    </row>
    <row r="503" spans="1:13" x14ac:dyDescent="0.35">
      <c r="A503" s="4" t="str">
        <f>IF('All Cases - Enter Cases'!$K503="Approved",'All Cases - Enter Cases'!A503,"")</f>
        <v/>
      </c>
      <c r="B503" s="4" t="str">
        <f>IF($N503&lt;&gt;"",$N503,IF($A503&lt;&gt;"",'All Cases - Enter Cases'!$L503+7,""))</f>
        <v/>
      </c>
      <c r="C503" t="str">
        <f>IF($A503&lt;&gt;"",'All Cases - Enter Cases'!B503,"")</f>
        <v/>
      </c>
      <c r="D503" t="str">
        <f>IF($A503&lt;&gt;"",'All Cases - Enter Cases'!C503,"")</f>
        <v/>
      </c>
      <c r="E503" t="str">
        <f>IF($A503&lt;&gt;"",'All Cases - Enter Cases'!D503,"")</f>
        <v/>
      </c>
      <c r="F503" s="12" t="str">
        <f>IF($A503&lt;&gt;"",'All Cases - Enter Cases'!E503,"")</f>
        <v/>
      </c>
      <c r="G503" s="12" t="str">
        <f>IF($A503&lt;&gt;"",'All Cases - Enter Cases'!F503,"")</f>
        <v/>
      </c>
      <c r="H503" s="4" t="str">
        <f>IF($A503&lt;&gt;"",'All Cases - Enter Cases'!G503,"")</f>
        <v/>
      </c>
      <c r="I503" t="str">
        <f>IF($A503&lt;&gt;"",'All Cases - Enter Cases'!H503,"")</f>
        <v/>
      </c>
      <c r="J503" t="str">
        <f>IF($A503&lt;&gt;"",'All Cases - Enter Cases'!I503,"")</f>
        <v/>
      </c>
      <c r="K503" t="str">
        <f>IF($A503&lt;&gt;"",'All Cases - Enter Cases'!J503,"")</f>
        <v/>
      </c>
      <c r="L503" s="4" t="str">
        <f>IF($A503&lt;&gt;"",'All Cases - Enter Cases'!K503,"")</f>
        <v/>
      </c>
      <c r="M503" t="str">
        <f>IF($A503&lt;&gt;"",'All Cases - Enter Cases'!L503,"")</f>
        <v/>
      </c>
    </row>
    <row r="504" spans="1:13" x14ac:dyDescent="0.35">
      <c r="A504" s="4" t="str">
        <f>IF('All Cases - Enter Cases'!$K504="Approved",'All Cases - Enter Cases'!A504,"")</f>
        <v/>
      </c>
      <c r="B504" s="4" t="str">
        <f>IF($N504&lt;&gt;"",$N504,IF($A504&lt;&gt;"",'All Cases - Enter Cases'!$L504+7,""))</f>
        <v/>
      </c>
      <c r="C504" t="str">
        <f>IF($A504&lt;&gt;"",'All Cases - Enter Cases'!B504,"")</f>
        <v/>
      </c>
      <c r="D504" t="str">
        <f>IF($A504&lt;&gt;"",'All Cases - Enter Cases'!C504,"")</f>
        <v/>
      </c>
      <c r="E504" t="str">
        <f>IF($A504&lt;&gt;"",'All Cases - Enter Cases'!D504,"")</f>
        <v/>
      </c>
      <c r="F504" s="12" t="str">
        <f>IF($A504&lt;&gt;"",'All Cases - Enter Cases'!E504,"")</f>
        <v/>
      </c>
      <c r="G504" s="12" t="str">
        <f>IF($A504&lt;&gt;"",'All Cases - Enter Cases'!F504,"")</f>
        <v/>
      </c>
      <c r="H504" s="4" t="str">
        <f>IF($A504&lt;&gt;"",'All Cases - Enter Cases'!G504,"")</f>
        <v/>
      </c>
      <c r="I504" t="str">
        <f>IF($A504&lt;&gt;"",'All Cases - Enter Cases'!H504,"")</f>
        <v/>
      </c>
      <c r="J504" t="str">
        <f>IF($A504&lt;&gt;"",'All Cases - Enter Cases'!I504,"")</f>
        <v/>
      </c>
      <c r="K504" t="str">
        <f>IF($A504&lt;&gt;"",'All Cases - Enter Cases'!J504,"")</f>
        <v/>
      </c>
      <c r="L504" s="4" t="str">
        <f>IF($A504&lt;&gt;"",'All Cases - Enter Cases'!K504,"")</f>
        <v/>
      </c>
      <c r="M504" t="str">
        <f>IF($A504&lt;&gt;"",'All Cases - Enter Cases'!L504,"")</f>
        <v/>
      </c>
    </row>
    <row r="505" spans="1:13" x14ac:dyDescent="0.35">
      <c r="A505" s="4" t="str">
        <f>IF('All Cases - Enter Cases'!$K505="Approved",'All Cases - Enter Cases'!A505,"")</f>
        <v/>
      </c>
      <c r="B505" s="4" t="str">
        <f>IF($N505&lt;&gt;"",$N505,IF($A505&lt;&gt;"",'All Cases - Enter Cases'!$L505+7,""))</f>
        <v/>
      </c>
      <c r="C505" t="str">
        <f>IF($A505&lt;&gt;"",'All Cases - Enter Cases'!B505,"")</f>
        <v/>
      </c>
      <c r="D505" t="str">
        <f>IF($A505&lt;&gt;"",'All Cases - Enter Cases'!C505,"")</f>
        <v/>
      </c>
      <c r="E505" t="str">
        <f>IF($A505&lt;&gt;"",'All Cases - Enter Cases'!D505,"")</f>
        <v/>
      </c>
      <c r="F505" s="12" t="str">
        <f>IF($A505&lt;&gt;"",'All Cases - Enter Cases'!E505,"")</f>
        <v/>
      </c>
      <c r="G505" s="12" t="str">
        <f>IF($A505&lt;&gt;"",'All Cases - Enter Cases'!F505,"")</f>
        <v/>
      </c>
      <c r="H505" s="4" t="str">
        <f>IF($A505&lt;&gt;"",'All Cases - Enter Cases'!G505,"")</f>
        <v/>
      </c>
      <c r="I505" t="str">
        <f>IF($A505&lt;&gt;"",'All Cases - Enter Cases'!H505,"")</f>
        <v/>
      </c>
      <c r="J505" t="str">
        <f>IF($A505&lt;&gt;"",'All Cases - Enter Cases'!I505,"")</f>
        <v/>
      </c>
      <c r="K505" t="str">
        <f>IF($A505&lt;&gt;"",'All Cases - Enter Cases'!J505,"")</f>
        <v/>
      </c>
      <c r="L505" s="4" t="str">
        <f>IF($A505&lt;&gt;"",'All Cases - Enter Cases'!K505,"")</f>
        <v/>
      </c>
      <c r="M505" t="str">
        <f>IF($A505&lt;&gt;"",'All Cases - Enter Cases'!L505,"")</f>
        <v/>
      </c>
    </row>
    <row r="506" spans="1:13" x14ac:dyDescent="0.35">
      <c r="A506" s="4" t="str">
        <f>IF('All Cases - Enter Cases'!$K506="Approved",'All Cases - Enter Cases'!A506,"")</f>
        <v/>
      </c>
      <c r="B506" s="4" t="str">
        <f>IF($N506&lt;&gt;"",$N506,IF($A506&lt;&gt;"",'All Cases - Enter Cases'!$L506+7,""))</f>
        <v/>
      </c>
      <c r="C506" t="str">
        <f>IF($A506&lt;&gt;"",'All Cases - Enter Cases'!B506,"")</f>
        <v/>
      </c>
      <c r="D506" t="str">
        <f>IF($A506&lt;&gt;"",'All Cases - Enter Cases'!C506,"")</f>
        <v/>
      </c>
      <c r="E506" t="str">
        <f>IF($A506&lt;&gt;"",'All Cases - Enter Cases'!D506,"")</f>
        <v/>
      </c>
      <c r="F506" s="12" t="str">
        <f>IF($A506&lt;&gt;"",'All Cases - Enter Cases'!E506,"")</f>
        <v/>
      </c>
      <c r="G506" s="12" t="str">
        <f>IF($A506&lt;&gt;"",'All Cases - Enter Cases'!F506,"")</f>
        <v/>
      </c>
      <c r="H506" s="4" t="str">
        <f>IF($A506&lt;&gt;"",'All Cases - Enter Cases'!G506,"")</f>
        <v/>
      </c>
      <c r="I506" t="str">
        <f>IF($A506&lt;&gt;"",'All Cases - Enter Cases'!H506,"")</f>
        <v/>
      </c>
      <c r="J506" t="str">
        <f>IF($A506&lt;&gt;"",'All Cases - Enter Cases'!I506,"")</f>
        <v/>
      </c>
      <c r="K506" t="str">
        <f>IF($A506&lt;&gt;"",'All Cases - Enter Cases'!J506,"")</f>
        <v/>
      </c>
      <c r="L506" s="4" t="str">
        <f>IF($A506&lt;&gt;"",'All Cases - Enter Cases'!K506,"")</f>
        <v/>
      </c>
      <c r="M506" t="str">
        <f>IF($A506&lt;&gt;"",'All Cases - Enter Cases'!L506,"")</f>
        <v/>
      </c>
    </row>
    <row r="507" spans="1:13" x14ac:dyDescent="0.35">
      <c r="A507" s="4" t="str">
        <f>IF('All Cases - Enter Cases'!$K507="Approved",'All Cases - Enter Cases'!A507,"")</f>
        <v/>
      </c>
      <c r="B507" s="4" t="str">
        <f>IF($N507&lt;&gt;"",$N507,IF($A507&lt;&gt;"",'All Cases - Enter Cases'!$L507+7,""))</f>
        <v/>
      </c>
      <c r="C507" t="str">
        <f>IF($A507&lt;&gt;"",'All Cases - Enter Cases'!B507,"")</f>
        <v/>
      </c>
      <c r="D507" t="str">
        <f>IF($A507&lt;&gt;"",'All Cases - Enter Cases'!C507,"")</f>
        <v/>
      </c>
      <c r="E507" t="str">
        <f>IF($A507&lt;&gt;"",'All Cases - Enter Cases'!D507,"")</f>
        <v/>
      </c>
      <c r="F507" s="12" t="str">
        <f>IF($A507&lt;&gt;"",'All Cases - Enter Cases'!E507,"")</f>
        <v/>
      </c>
      <c r="G507" s="12" t="str">
        <f>IF($A507&lt;&gt;"",'All Cases - Enter Cases'!F507,"")</f>
        <v/>
      </c>
      <c r="H507" s="4" t="str">
        <f>IF($A507&lt;&gt;"",'All Cases - Enter Cases'!G507,"")</f>
        <v/>
      </c>
      <c r="I507" t="str">
        <f>IF($A507&lt;&gt;"",'All Cases - Enter Cases'!H507,"")</f>
        <v/>
      </c>
      <c r="J507" t="str">
        <f>IF($A507&lt;&gt;"",'All Cases - Enter Cases'!I507,"")</f>
        <v/>
      </c>
      <c r="K507" t="str">
        <f>IF($A507&lt;&gt;"",'All Cases - Enter Cases'!J507,"")</f>
        <v/>
      </c>
      <c r="L507" s="4" t="str">
        <f>IF($A507&lt;&gt;"",'All Cases - Enter Cases'!K507,"")</f>
        <v/>
      </c>
      <c r="M507" t="str">
        <f>IF($A507&lt;&gt;"",'All Cases - Enter Cases'!L507,"")</f>
        <v/>
      </c>
    </row>
    <row r="508" spans="1:13" x14ac:dyDescent="0.35">
      <c r="A508" s="4" t="str">
        <f>IF('All Cases - Enter Cases'!$K508="Approved",'All Cases - Enter Cases'!A508,"")</f>
        <v/>
      </c>
      <c r="B508" s="4" t="str">
        <f>IF($N508&lt;&gt;"",$N508,IF($A508&lt;&gt;"",'All Cases - Enter Cases'!$L508+7,""))</f>
        <v/>
      </c>
      <c r="C508" t="str">
        <f>IF($A508&lt;&gt;"",'All Cases - Enter Cases'!B508,"")</f>
        <v/>
      </c>
      <c r="D508" t="str">
        <f>IF($A508&lt;&gt;"",'All Cases - Enter Cases'!C508,"")</f>
        <v/>
      </c>
      <c r="E508" t="str">
        <f>IF($A508&lt;&gt;"",'All Cases - Enter Cases'!D508,"")</f>
        <v/>
      </c>
      <c r="F508" s="12" t="str">
        <f>IF($A508&lt;&gt;"",'All Cases - Enter Cases'!E508,"")</f>
        <v/>
      </c>
      <c r="G508" s="12" t="str">
        <f>IF($A508&lt;&gt;"",'All Cases - Enter Cases'!F508,"")</f>
        <v/>
      </c>
      <c r="H508" s="4" t="str">
        <f>IF($A508&lt;&gt;"",'All Cases - Enter Cases'!G508,"")</f>
        <v/>
      </c>
      <c r="I508" t="str">
        <f>IF($A508&lt;&gt;"",'All Cases - Enter Cases'!H508,"")</f>
        <v/>
      </c>
      <c r="J508" t="str">
        <f>IF($A508&lt;&gt;"",'All Cases - Enter Cases'!I508,"")</f>
        <v/>
      </c>
      <c r="K508" t="str">
        <f>IF($A508&lt;&gt;"",'All Cases - Enter Cases'!J508,"")</f>
        <v/>
      </c>
      <c r="L508" s="4" t="str">
        <f>IF($A508&lt;&gt;"",'All Cases - Enter Cases'!K508,"")</f>
        <v/>
      </c>
      <c r="M508" t="str">
        <f>IF($A508&lt;&gt;"",'All Cases - Enter Cases'!L508,"")</f>
        <v/>
      </c>
    </row>
    <row r="509" spans="1:13" x14ac:dyDescent="0.35">
      <c r="A509" s="4" t="str">
        <f>IF('All Cases - Enter Cases'!$K509="Approved",'All Cases - Enter Cases'!A509,"")</f>
        <v/>
      </c>
      <c r="B509" s="4" t="str">
        <f>IF($N509&lt;&gt;"",$N509,IF($A509&lt;&gt;"",'All Cases - Enter Cases'!$L509+7,""))</f>
        <v/>
      </c>
      <c r="C509" t="str">
        <f>IF($A509&lt;&gt;"",'All Cases - Enter Cases'!B509,"")</f>
        <v/>
      </c>
      <c r="D509" t="str">
        <f>IF($A509&lt;&gt;"",'All Cases - Enter Cases'!C509,"")</f>
        <v/>
      </c>
      <c r="E509" t="str">
        <f>IF($A509&lt;&gt;"",'All Cases - Enter Cases'!D509,"")</f>
        <v/>
      </c>
      <c r="F509" s="12" t="str">
        <f>IF($A509&lt;&gt;"",'All Cases - Enter Cases'!E509,"")</f>
        <v/>
      </c>
      <c r="G509" s="12" t="str">
        <f>IF($A509&lt;&gt;"",'All Cases - Enter Cases'!F509,"")</f>
        <v/>
      </c>
      <c r="H509" s="4" t="str">
        <f>IF($A509&lt;&gt;"",'All Cases - Enter Cases'!G509,"")</f>
        <v/>
      </c>
      <c r="I509" t="str">
        <f>IF($A509&lt;&gt;"",'All Cases - Enter Cases'!H509,"")</f>
        <v/>
      </c>
      <c r="J509" t="str">
        <f>IF($A509&lt;&gt;"",'All Cases - Enter Cases'!I509,"")</f>
        <v/>
      </c>
      <c r="K509" t="str">
        <f>IF($A509&lt;&gt;"",'All Cases - Enter Cases'!J509,"")</f>
        <v/>
      </c>
      <c r="L509" s="4" t="str">
        <f>IF($A509&lt;&gt;"",'All Cases - Enter Cases'!K509,"")</f>
        <v/>
      </c>
      <c r="M509" t="str">
        <f>IF($A509&lt;&gt;"",'All Cases - Enter Cases'!L509,"")</f>
        <v/>
      </c>
    </row>
    <row r="510" spans="1:13" x14ac:dyDescent="0.35">
      <c r="A510" s="4" t="str">
        <f>IF('All Cases - Enter Cases'!$K510="Approved",'All Cases - Enter Cases'!A510,"")</f>
        <v/>
      </c>
      <c r="B510" s="4" t="str">
        <f>IF($N510&lt;&gt;"",$N510,IF($A510&lt;&gt;"",'All Cases - Enter Cases'!$L510+7,""))</f>
        <v/>
      </c>
      <c r="C510" t="str">
        <f>IF($A510&lt;&gt;"",'All Cases - Enter Cases'!B510,"")</f>
        <v/>
      </c>
      <c r="D510" t="str">
        <f>IF($A510&lt;&gt;"",'All Cases - Enter Cases'!C510,"")</f>
        <v/>
      </c>
      <c r="E510" t="str">
        <f>IF($A510&lt;&gt;"",'All Cases - Enter Cases'!D510,"")</f>
        <v/>
      </c>
      <c r="F510" s="12" t="str">
        <f>IF($A510&lt;&gt;"",'All Cases - Enter Cases'!E510,"")</f>
        <v/>
      </c>
      <c r="G510" s="12" t="str">
        <f>IF($A510&lt;&gt;"",'All Cases - Enter Cases'!F510,"")</f>
        <v/>
      </c>
      <c r="H510" s="4" t="str">
        <f>IF($A510&lt;&gt;"",'All Cases - Enter Cases'!G510,"")</f>
        <v/>
      </c>
      <c r="I510" t="str">
        <f>IF($A510&lt;&gt;"",'All Cases - Enter Cases'!H510,"")</f>
        <v/>
      </c>
      <c r="J510" t="str">
        <f>IF($A510&lt;&gt;"",'All Cases - Enter Cases'!I510,"")</f>
        <v/>
      </c>
      <c r="K510" t="str">
        <f>IF($A510&lt;&gt;"",'All Cases - Enter Cases'!J510,"")</f>
        <v/>
      </c>
      <c r="L510" s="4" t="str">
        <f>IF($A510&lt;&gt;"",'All Cases - Enter Cases'!K510,"")</f>
        <v/>
      </c>
      <c r="M510" t="str">
        <f>IF($A510&lt;&gt;"",'All Cases - Enter Cases'!L510,"")</f>
        <v/>
      </c>
    </row>
    <row r="511" spans="1:13" x14ac:dyDescent="0.35">
      <c r="A511" s="4" t="str">
        <f>IF('All Cases - Enter Cases'!$K511="Approved",'All Cases - Enter Cases'!A511,"")</f>
        <v/>
      </c>
      <c r="B511" s="4" t="str">
        <f>IF($N511&lt;&gt;"",$N511,IF($A511&lt;&gt;"",'All Cases - Enter Cases'!$L511+7,""))</f>
        <v/>
      </c>
      <c r="C511" t="str">
        <f>IF($A511&lt;&gt;"",'All Cases - Enter Cases'!B511,"")</f>
        <v/>
      </c>
      <c r="D511" t="str">
        <f>IF($A511&lt;&gt;"",'All Cases - Enter Cases'!C511,"")</f>
        <v/>
      </c>
      <c r="E511" t="str">
        <f>IF($A511&lt;&gt;"",'All Cases - Enter Cases'!D511,"")</f>
        <v/>
      </c>
      <c r="F511" s="12" t="str">
        <f>IF($A511&lt;&gt;"",'All Cases - Enter Cases'!E511,"")</f>
        <v/>
      </c>
      <c r="G511" s="12" t="str">
        <f>IF($A511&lt;&gt;"",'All Cases - Enter Cases'!F511,"")</f>
        <v/>
      </c>
      <c r="H511" s="4" t="str">
        <f>IF($A511&lt;&gt;"",'All Cases - Enter Cases'!G511,"")</f>
        <v/>
      </c>
      <c r="I511" t="str">
        <f>IF($A511&lt;&gt;"",'All Cases - Enter Cases'!H511,"")</f>
        <v/>
      </c>
      <c r="J511" t="str">
        <f>IF($A511&lt;&gt;"",'All Cases - Enter Cases'!I511,"")</f>
        <v/>
      </c>
      <c r="K511" t="str">
        <f>IF($A511&lt;&gt;"",'All Cases - Enter Cases'!J511,"")</f>
        <v/>
      </c>
      <c r="L511" s="4" t="str">
        <f>IF($A511&lt;&gt;"",'All Cases - Enter Cases'!K511,"")</f>
        <v/>
      </c>
      <c r="M511" t="str">
        <f>IF($A511&lt;&gt;"",'All Cases - Enter Cases'!L511,"")</f>
        <v/>
      </c>
    </row>
    <row r="512" spans="1:13" x14ac:dyDescent="0.35">
      <c r="A512" s="4" t="str">
        <f>IF('All Cases - Enter Cases'!$K512="Approved",'All Cases - Enter Cases'!A512,"")</f>
        <v/>
      </c>
      <c r="B512" s="4" t="str">
        <f>IF($N512&lt;&gt;"",$N512,IF($A512&lt;&gt;"",'All Cases - Enter Cases'!$L512+7,""))</f>
        <v/>
      </c>
      <c r="C512" t="str">
        <f>IF($A512&lt;&gt;"",'All Cases - Enter Cases'!B512,"")</f>
        <v/>
      </c>
      <c r="D512" t="str">
        <f>IF($A512&lt;&gt;"",'All Cases - Enter Cases'!C512,"")</f>
        <v/>
      </c>
      <c r="E512" t="str">
        <f>IF($A512&lt;&gt;"",'All Cases - Enter Cases'!D512,"")</f>
        <v/>
      </c>
      <c r="F512" s="12" t="str">
        <f>IF($A512&lt;&gt;"",'All Cases - Enter Cases'!E512,"")</f>
        <v/>
      </c>
      <c r="G512" s="12" t="str">
        <f>IF($A512&lt;&gt;"",'All Cases - Enter Cases'!F512,"")</f>
        <v/>
      </c>
      <c r="H512" s="4" t="str">
        <f>IF($A512&lt;&gt;"",'All Cases - Enter Cases'!G512,"")</f>
        <v/>
      </c>
      <c r="I512" t="str">
        <f>IF($A512&lt;&gt;"",'All Cases - Enter Cases'!H512,"")</f>
        <v/>
      </c>
      <c r="J512" t="str">
        <f>IF($A512&lt;&gt;"",'All Cases - Enter Cases'!I512,"")</f>
        <v/>
      </c>
      <c r="K512" t="str">
        <f>IF($A512&lt;&gt;"",'All Cases - Enter Cases'!J512,"")</f>
        <v/>
      </c>
      <c r="L512" s="4" t="str">
        <f>IF($A512&lt;&gt;"",'All Cases - Enter Cases'!K512,"")</f>
        <v/>
      </c>
      <c r="M512" t="str">
        <f>IF($A512&lt;&gt;"",'All Cases - Enter Cases'!L512,"")</f>
        <v/>
      </c>
    </row>
    <row r="513" spans="1:13" x14ac:dyDescent="0.35">
      <c r="A513" s="4" t="str">
        <f>IF('All Cases - Enter Cases'!$K513="Approved",'All Cases - Enter Cases'!A513,"")</f>
        <v/>
      </c>
      <c r="B513" s="4" t="str">
        <f>IF($N513&lt;&gt;"",$N513,IF($A513&lt;&gt;"",'All Cases - Enter Cases'!$L513+7,""))</f>
        <v/>
      </c>
      <c r="C513" t="str">
        <f>IF($A513&lt;&gt;"",'All Cases - Enter Cases'!B513,"")</f>
        <v/>
      </c>
      <c r="D513" t="str">
        <f>IF($A513&lt;&gt;"",'All Cases - Enter Cases'!C513,"")</f>
        <v/>
      </c>
      <c r="E513" t="str">
        <f>IF($A513&lt;&gt;"",'All Cases - Enter Cases'!D513,"")</f>
        <v/>
      </c>
      <c r="F513" s="12" t="str">
        <f>IF($A513&lt;&gt;"",'All Cases - Enter Cases'!E513,"")</f>
        <v/>
      </c>
      <c r="G513" s="12" t="str">
        <f>IF($A513&lt;&gt;"",'All Cases - Enter Cases'!F513,"")</f>
        <v/>
      </c>
      <c r="H513" s="4" t="str">
        <f>IF($A513&lt;&gt;"",'All Cases - Enter Cases'!G513,"")</f>
        <v/>
      </c>
      <c r="I513" t="str">
        <f>IF($A513&lt;&gt;"",'All Cases - Enter Cases'!H513,"")</f>
        <v/>
      </c>
      <c r="J513" t="str">
        <f>IF($A513&lt;&gt;"",'All Cases - Enter Cases'!I513,"")</f>
        <v/>
      </c>
      <c r="K513" t="str">
        <f>IF($A513&lt;&gt;"",'All Cases - Enter Cases'!J513,"")</f>
        <v/>
      </c>
      <c r="L513" s="4" t="str">
        <f>IF($A513&lt;&gt;"",'All Cases - Enter Cases'!K513,"")</f>
        <v/>
      </c>
      <c r="M513" t="str">
        <f>IF($A513&lt;&gt;"",'All Cases - Enter Cases'!L513,"")</f>
        <v/>
      </c>
    </row>
    <row r="514" spans="1:13" x14ac:dyDescent="0.35">
      <c r="A514" s="4" t="str">
        <f>IF('All Cases - Enter Cases'!$K514="Approved",'All Cases - Enter Cases'!A514,"")</f>
        <v/>
      </c>
      <c r="B514" s="4" t="str">
        <f>IF($N514&lt;&gt;"",$N514,IF($A514&lt;&gt;"",'All Cases - Enter Cases'!$L514+7,""))</f>
        <v/>
      </c>
      <c r="C514" t="str">
        <f>IF($A514&lt;&gt;"",'All Cases - Enter Cases'!B514,"")</f>
        <v/>
      </c>
      <c r="D514" t="str">
        <f>IF($A514&lt;&gt;"",'All Cases - Enter Cases'!C514,"")</f>
        <v/>
      </c>
      <c r="E514" t="str">
        <f>IF($A514&lt;&gt;"",'All Cases - Enter Cases'!D514,"")</f>
        <v/>
      </c>
      <c r="F514" s="12" t="str">
        <f>IF($A514&lt;&gt;"",'All Cases - Enter Cases'!E514,"")</f>
        <v/>
      </c>
      <c r="G514" s="12" t="str">
        <f>IF($A514&lt;&gt;"",'All Cases - Enter Cases'!F514,"")</f>
        <v/>
      </c>
      <c r="H514" s="4" t="str">
        <f>IF($A514&lt;&gt;"",'All Cases - Enter Cases'!G514,"")</f>
        <v/>
      </c>
      <c r="I514" t="str">
        <f>IF($A514&lt;&gt;"",'All Cases - Enter Cases'!H514,"")</f>
        <v/>
      </c>
      <c r="J514" t="str">
        <f>IF($A514&lt;&gt;"",'All Cases - Enter Cases'!I514,"")</f>
        <v/>
      </c>
      <c r="K514" t="str">
        <f>IF($A514&lt;&gt;"",'All Cases - Enter Cases'!J514,"")</f>
        <v/>
      </c>
      <c r="L514" s="4" t="str">
        <f>IF($A514&lt;&gt;"",'All Cases - Enter Cases'!K514,"")</f>
        <v/>
      </c>
      <c r="M514" t="str">
        <f>IF($A514&lt;&gt;"",'All Cases - Enter Cases'!L514,"")</f>
        <v/>
      </c>
    </row>
    <row r="515" spans="1:13" x14ac:dyDescent="0.35">
      <c r="A515" s="4" t="str">
        <f>IF('All Cases - Enter Cases'!$K515="Approved",'All Cases - Enter Cases'!A515,"")</f>
        <v/>
      </c>
      <c r="B515" s="4" t="str">
        <f>IF($N515&lt;&gt;"",$N515,IF($A515&lt;&gt;"",'All Cases - Enter Cases'!$L515+7,""))</f>
        <v/>
      </c>
      <c r="C515" t="str">
        <f>IF($A515&lt;&gt;"",'All Cases - Enter Cases'!B515,"")</f>
        <v/>
      </c>
      <c r="D515" t="str">
        <f>IF($A515&lt;&gt;"",'All Cases - Enter Cases'!C515,"")</f>
        <v/>
      </c>
      <c r="E515" t="str">
        <f>IF($A515&lt;&gt;"",'All Cases - Enter Cases'!D515,"")</f>
        <v/>
      </c>
      <c r="F515" s="12" t="str">
        <f>IF($A515&lt;&gt;"",'All Cases - Enter Cases'!E515,"")</f>
        <v/>
      </c>
      <c r="G515" s="12" t="str">
        <f>IF($A515&lt;&gt;"",'All Cases - Enter Cases'!F515,"")</f>
        <v/>
      </c>
      <c r="H515" s="4" t="str">
        <f>IF($A515&lt;&gt;"",'All Cases - Enter Cases'!G515,"")</f>
        <v/>
      </c>
      <c r="I515" t="str">
        <f>IF($A515&lt;&gt;"",'All Cases - Enter Cases'!H515,"")</f>
        <v/>
      </c>
      <c r="J515" t="str">
        <f>IF($A515&lt;&gt;"",'All Cases - Enter Cases'!I515,"")</f>
        <v/>
      </c>
      <c r="K515" t="str">
        <f>IF($A515&lt;&gt;"",'All Cases - Enter Cases'!J515,"")</f>
        <v/>
      </c>
      <c r="L515" s="4" t="str">
        <f>IF($A515&lt;&gt;"",'All Cases - Enter Cases'!K515,"")</f>
        <v/>
      </c>
      <c r="M515" t="str">
        <f>IF($A515&lt;&gt;"",'All Cases - Enter Cases'!L515,"")</f>
        <v/>
      </c>
    </row>
    <row r="516" spans="1:13" x14ac:dyDescent="0.35">
      <c r="A516" s="4" t="str">
        <f>IF('All Cases - Enter Cases'!$K516="Approved",'All Cases - Enter Cases'!A516,"")</f>
        <v/>
      </c>
      <c r="B516" s="4" t="str">
        <f>IF($N516&lt;&gt;"",$N516,IF($A516&lt;&gt;"",'All Cases - Enter Cases'!$L516+7,""))</f>
        <v/>
      </c>
      <c r="C516" t="str">
        <f>IF($A516&lt;&gt;"",'All Cases - Enter Cases'!B516,"")</f>
        <v/>
      </c>
      <c r="D516" t="str">
        <f>IF($A516&lt;&gt;"",'All Cases - Enter Cases'!C516,"")</f>
        <v/>
      </c>
      <c r="E516" t="str">
        <f>IF($A516&lt;&gt;"",'All Cases - Enter Cases'!D516,"")</f>
        <v/>
      </c>
      <c r="F516" s="12" t="str">
        <f>IF($A516&lt;&gt;"",'All Cases - Enter Cases'!E516,"")</f>
        <v/>
      </c>
      <c r="G516" s="12" t="str">
        <f>IF($A516&lt;&gt;"",'All Cases - Enter Cases'!F516,"")</f>
        <v/>
      </c>
      <c r="H516" s="4" t="str">
        <f>IF($A516&lt;&gt;"",'All Cases - Enter Cases'!G516,"")</f>
        <v/>
      </c>
      <c r="I516" t="str">
        <f>IF($A516&lt;&gt;"",'All Cases - Enter Cases'!H516,"")</f>
        <v/>
      </c>
      <c r="J516" t="str">
        <f>IF($A516&lt;&gt;"",'All Cases - Enter Cases'!I516,"")</f>
        <v/>
      </c>
      <c r="K516" t="str">
        <f>IF($A516&lt;&gt;"",'All Cases - Enter Cases'!J516,"")</f>
        <v/>
      </c>
      <c r="L516" s="4" t="str">
        <f>IF($A516&lt;&gt;"",'All Cases - Enter Cases'!K516,"")</f>
        <v/>
      </c>
      <c r="M516" t="str">
        <f>IF($A516&lt;&gt;"",'All Cases - Enter Cases'!L516,"")</f>
        <v/>
      </c>
    </row>
    <row r="517" spans="1:13" x14ac:dyDescent="0.35">
      <c r="A517" s="4" t="str">
        <f>IF('All Cases - Enter Cases'!$K517="Approved",'All Cases - Enter Cases'!A517,"")</f>
        <v/>
      </c>
      <c r="B517" s="4" t="str">
        <f>IF($N517&lt;&gt;"",$N517,IF($A517&lt;&gt;"",'All Cases - Enter Cases'!$L517+7,""))</f>
        <v/>
      </c>
      <c r="C517" t="str">
        <f>IF($A517&lt;&gt;"",'All Cases - Enter Cases'!B517,"")</f>
        <v/>
      </c>
      <c r="D517" t="str">
        <f>IF($A517&lt;&gt;"",'All Cases - Enter Cases'!C517,"")</f>
        <v/>
      </c>
      <c r="E517" t="str">
        <f>IF($A517&lt;&gt;"",'All Cases - Enter Cases'!D517,"")</f>
        <v/>
      </c>
      <c r="F517" s="12" t="str">
        <f>IF($A517&lt;&gt;"",'All Cases - Enter Cases'!E517,"")</f>
        <v/>
      </c>
      <c r="G517" s="12" t="str">
        <f>IF($A517&lt;&gt;"",'All Cases - Enter Cases'!F517,"")</f>
        <v/>
      </c>
      <c r="H517" s="4" t="str">
        <f>IF($A517&lt;&gt;"",'All Cases - Enter Cases'!G517,"")</f>
        <v/>
      </c>
      <c r="I517" t="str">
        <f>IF($A517&lt;&gt;"",'All Cases - Enter Cases'!H517,"")</f>
        <v/>
      </c>
      <c r="J517" t="str">
        <f>IF($A517&lt;&gt;"",'All Cases - Enter Cases'!I517,"")</f>
        <v/>
      </c>
      <c r="K517" t="str">
        <f>IF($A517&lt;&gt;"",'All Cases - Enter Cases'!J517,"")</f>
        <v/>
      </c>
      <c r="L517" s="4" t="str">
        <f>IF($A517&lt;&gt;"",'All Cases - Enter Cases'!K517,"")</f>
        <v/>
      </c>
      <c r="M517" t="str">
        <f>IF($A517&lt;&gt;"",'All Cases - Enter Cases'!L517,"")</f>
        <v/>
      </c>
    </row>
    <row r="518" spans="1:13" x14ac:dyDescent="0.35">
      <c r="A518" s="4" t="str">
        <f>IF('All Cases - Enter Cases'!$K518="Approved",'All Cases - Enter Cases'!A518,"")</f>
        <v/>
      </c>
      <c r="B518" s="4" t="str">
        <f>IF($N518&lt;&gt;"",$N518,IF($A518&lt;&gt;"",'All Cases - Enter Cases'!$L518+7,""))</f>
        <v/>
      </c>
      <c r="C518" t="str">
        <f>IF($A518&lt;&gt;"",'All Cases - Enter Cases'!B518,"")</f>
        <v/>
      </c>
      <c r="D518" t="str">
        <f>IF($A518&lt;&gt;"",'All Cases - Enter Cases'!C518,"")</f>
        <v/>
      </c>
      <c r="E518" t="str">
        <f>IF($A518&lt;&gt;"",'All Cases - Enter Cases'!D518,"")</f>
        <v/>
      </c>
      <c r="F518" s="12" t="str">
        <f>IF($A518&lt;&gt;"",'All Cases - Enter Cases'!E518,"")</f>
        <v/>
      </c>
      <c r="G518" s="12" t="str">
        <f>IF($A518&lt;&gt;"",'All Cases - Enter Cases'!F518,"")</f>
        <v/>
      </c>
      <c r="H518" s="4" t="str">
        <f>IF($A518&lt;&gt;"",'All Cases - Enter Cases'!G518,"")</f>
        <v/>
      </c>
      <c r="I518" t="str">
        <f>IF($A518&lt;&gt;"",'All Cases - Enter Cases'!H518,"")</f>
        <v/>
      </c>
      <c r="J518" t="str">
        <f>IF($A518&lt;&gt;"",'All Cases - Enter Cases'!I518,"")</f>
        <v/>
      </c>
      <c r="K518" t="str">
        <f>IF($A518&lt;&gt;"",'All Cases - Enter Cases'!J518,"")</f>
        <v/>
      </c>
      <c r="L518" s="4" t="str">
        <f>IF($A518&lt;&gt;"",'All Cases - Enter Cases'!K518,"")</f>
        <v/>
      </c>
      <c r="M518" t="str">
        <f>IF($A518&lt;&gt;"",'All Cases - Enter Cases'!L518,"")</f>
        <v/>
      </c>
    </row>
    <row r="519" spans="1:13" x14ac:dyDescent="0.35">
      <c r="A519" s="4" t="str">
        <f>IF('All Cases - Enter Cases'!$K519="Approved",'All Cases - Enter Cases'!A519,"")</f>
        <v/>
      </c>
      <c r="B519" s="4" t="str">
        <f>IF($N519&lt;&gt;"",$N519,IF($A519&lt;&gt;"",'All Cases - Enter Cases'!$L519+7,""))</f>
        <v/>
      </c>
      <c r="C519" t="str">
        <f>IF($A519&lt;&gt;"",'All Cases - Enter Cases'!B519,"")</f>
        <v/>
      </c>
      <c r="D519" t="str">
        <f>IF($A519&lt;&gt;"",'All Cases - Enter Cases'!C519,"")</f>
        <v/>
      </c>
      <c r="E519" t="str">
        <f>IF($A519&lt;&gt;"",'All Cases - Enter Cases'!D519,"")</f>
        <v/>
      </c>
      <c r="F519" s="12" t="str">
        <f>IF($A519&lt;&gt;"",'All Cases - Enter Cases'!E519,"")</f>
        <v/>
      </c>
      <c r="G519" s="12" t="str">
        <f>IF($A519&lt;&gt;"",'All Cases - Enter Cases'!F519,"")</f>
        <v/>
      </c>
      <c r="H519" s="4" t="str">
        <f>IF($A519&lt;&gt;"",'All Cases - Enter Cases'!G519,"")</f>
        <v/>
      </c>
      <c r="I519" t="str">
        <f>IF($A519&lt;&gt;"",'All Cases - Enter Cases'!H519,"")</f>
        <v/>
      </c>
      <c r="J519" t="str">
        <f>IF($A519&lt;&gt;"",'All Cases - Enter Cases'!I519,"")</f>
        <v/>
      </c>
      <c r="K519" t="str">
        <f>IF($A519&lt;&gt;"",'All Cases - Enter Cases'!J519,"")</f>
        <v/>
      </c>
      <c r="L519" s="4" t="str">
        <f>IF($A519&lt;&gt;"",'All Cases - Enter Cases'!K519,"")</f>
        <v/>
      </c>
      <c r="M519" t="str">
        <f>IF($A519&lt;&gt;"",'All Cases - Enter Cases'!L519,"")</f>
        <v/>
      </c>
    </row>
    <row r="520" spans="1:13" x14ac:dyDescent="0.35">
      <c r="A520" s="4" t="str">
        <f>IF('All Cases - Enter Cases'!$K520="Approved",'All Cases - Enter Cases'!A520,"")</f>
        <v/>
      </c>
      <c r="B520" s="4" t="str">
        <f>IF($N520&lt;&gt;"",$N520,IF($A520&lt;&gt;"",'All Cases - Enter Cases'!$L520+7,""))</f>
        <v/>
      </c>
      <c r="C520" t="str">
        <f>IF($A520&lt;&gt;"",'All Cases - Enter Cases'!B520,"")</f>
        <v/>
      </c>
      <c r="D520" t="str">
        <f>IF($A520&lt;&gt;"",'All Cases - Enter Cases'!C520,"")</f>
        <v/>
      </c>
      <c r="E520" t="str">
        <f>IF($A520&lt;&gt;"",'All Cases - Enter Cases'!D520,"")</f>
        <v/>
      </c>
      <c r="F520" s="12" t="str">
        <f>IF($A520&lt;&gt;"",'All Cases - Enter Cases'!E520,"")</f>
        <v/>
      </c>
      <c r="G520" s="12" t="str">
        <f>IF($A520&lt;&gt;"",'All Cases - Enter Cases'!F520,"")</f>
        <v/>
      </c>
      <c r="H520" s="4" t="str">
        <f>IF($A520&lt;&gt;"",'All Cases - Enter Cases'!G520,"")</f>
        <v/>
      </c>
      <c r="I520" t="str">
        <f>IF($A520&lt;&gt;"",'All Cases - Enter Cases'!H520,"")</f>
        <v/>
      </c>
      <c r="J520" t="str">
        <f>IF($A520&lt;&gt;"",'All Cases - Enter Cases'!I520,"")</f>
        <v/>
      </c>
      <c r="K520" t="str">
        <f>IF($A520&lt;&gt;"",'All Cases - Enter Cases'!J520,"")</f>
        <v/>
      </c>
      <c r="L520" s="4" t="str">
        <f>IF($A520&lt;&gt;"",'All Cases - Enter Cases'!K520,"")</f>
        <v/>
      </c>
      <c r="M520" t="str">
        <f>IF($A520&lt;&gt;"",'All Cases - Enter Cases'!L520,"")</f>
        <v/>
      </c>
    </row>
    <row r="521" spans="1:13" x14ac:dyDescent="0.35">
      <c r="A521" s="4" t="str">
        <f>IF('All Cases - Enter Cases'!$K521="Approved",'All Cases - Enter Cases'!A521,"")</f>
        <v/>
      </c>
      <c r="B521" s="4" t="str">
        <f>IF($N521&lt;&gt;"",$N521,IF($A521&lt;&gt;"",'All Cases - Enter Cases'!$L521+7,""))</f>
        <v/>
      </c>
      <c r="C521" t="str">
        <f>IF($A521&lt;&gt;"",'All Cases - Enter Cases'!B521,"")</f>
        <v/>
      </c>
      <c r="D521" t="str">
        <f>IF($A521&lt;&gt;"",'All Cases - Enter Cases'!C521,"")</f>
        <v/>
      </c>
      <c r="E521" t="str">
        <f>IF($A521&lt;&gt;"",'All Cases - Enter Cases'!D521,"")</f>
        <v/>
      </c>
      <c r="F521" s="12" t="str">
        <f>IF($A521&lt;&gt;"",'All Cases - Enter Cases'!E521,"")</f>
        <v/>
      </c>
      <c r="G521" s="12" t="str">
        <f>IF($A521&lt;&gt;"",'All Cases - Enter Cases'!F521,"")</f>
        <v/>
      </c>
      <c r="H521" s="4" t="str">
        <f>IF($A521&lt;&gt;"",'All Cases - Enter Cases'!G521,"")</f>
        <v/>
      </c>
      <c r="I521" t="str">
        <f>IF($A521&lt;&gt;"",'All Cases - Enter Cases'!H521,"")</f>
        <v/>
      </c>
      <c r="J521" t="str">
        <f>IF($A521&lt;&gt;"",'All Cases - Enter Cases'!I521,"")</f>
        <v/>
      </c>
      <c r="K521" t="str">
        <f>IF($A521&lt;&gt;"",'All Cases - Enter Cases'!J521,"")</f>
        <v/>
      </c>
      <c r="L521" s="4" t="str">
        <f>IF($A521&lt;&gt;"",'All Cases - Enter Cases'!K521,"")</f>
        <v/>
      </c>
      <c r="M521" t="str">
        <f>IF($A521&lt;&gt;"",'All Cases - Enter Cases'!L521,"")</f>
        <v/>
      </c>
    </row>
    <row r="522" spans="1:13" x14ac:dyDescent="0.35">
      <c r="A522" s="4" t="str">
        <f>IF('All Cases - Enter Cases'!$K522="Approved",'All Cases - Enter Cases'!A522,"")</f>
        <v/>
      </c>
      <c r="B522" s="4" t="str">
        <f>IF($N522&lt;&gt;"",$N522,IF($A522&lt;&gt;"",'All Cases - Enter Cases'!$L522+7,""))</f>
        <v/>
      </c>
      <c r="C522" t="str">
        <f>IF($A522&lt;&gt;"",'All Cases - Enter Cases'!B522,"")</f>
        <v/>
      </c>
      <c r="D522" t="str">
        <f>IF($A522&lt;&gt;"",'All Cases - Enter Cases'!C522,"")</f>
        <v/>
      </c>
      <c r="E522" t="str">
        <f>IF($A522&lt;&gt;"",'All Cases - Enter Cases'!D522,"")</f>
        <v/>
      </c>
      <c r="F522" s="12" t="str">
        <f>IF($A522&lt;&gt;"",'All Cases - Enter Cases'!E522,"")</f>
        <v/>
      </c>
      <c r="G522" s="12" t="str">
        <f>IF($A522&lt;&gt;"",'All Cases - Enter Cases'!F522,"")</f>
        <v/>
      </c>
      <c r="H522" s="4" t="str">
        <f>IF($A522&lt;&gt;"",'All Cases - Enter Cases'!G522,"")</f>
        <v/>
      </c>
      <c r="I522" t="str">
        <f>IF($A522&lt;&gt;"",'All Cases - Enter Cases'!H522,"")</f>
        <v/>
      </c>
      <c r="J522" t="str">
        <f>IF($A522&lt;&gt;"",'All Cases - Enter Cases'!I522,"")</f>
        <v/>
      </c>
      <c r="K522" t="str">
        <f>IF($A522&lt;&gt;"",'All Cases - Enter Cases'!J522,"")</f>
        <v/>
      </c>
      <c r="L522" s="4" t="str">
        <f>IF($A522&lt;&gt;"",'All Cases - Enter Cases'!K522,"")</f>
        <v/>
      </c>
      <c r="M522" t="str">
        <f>IF($A522&lt;&gt;"",'All Cases - Enter Cases'!L522,"")</f>
        <v/>
      </c>
    </row>
    <row r="523" spans="1:13" x14ac:dyDescent="0.35">
      <c r="A523" s="4" t="str">
        <f>IF('All Cases - Enter Cases'!$K523="Approved",'All Cases - Enter Cases'!A523,"")</f>
        <v/>
      </c>
      <c r="B523" s="4" t="str">
        <f>IF($N523&lt;&gt;"",$N523,IF($A523&lt;&gt;"",'All Cases - Enter Cases'!$L523+7,""))</f>
        <v/>
      </c>
      <c r="C523" t="str">
        <f>IF($A523&lt;&gt;"",'All Cases - Enter Cases'!B523,"")</f>
        <v/>
      </c>
      <c r="D523" t="str">
        <f>IF($A523&lt;&gt;"",'All Cases - Enter Cases'!C523,"")</f>
        <v/>
      </c>
      <c r="E523" t="str">
        <f>IF($A523&lt;&gt;"",'All Cases - Enter Cases'!D523,"")</f>
        <v/>
      </c>
      <c r="F523" s="12" t="str">
        <f>IF($A523&lt;&gt;"",'All Cases - Enter Cases'!E523,"")</f>
        <v/>
      </c>
      <c r="G523" s="12" t="str">
        <f>IF($A523&lt;&gt;"",'All Cases - Enter Cases'!F523,"")</f>
        <v/>
      </c>
      <c r="H523" s="4" t="str">
        <f>IF($A523&lt;&gt;"",'All Cases - Enter Cases'!G523,"")</f>
        <v/>
      </c>
      <c r="I523" t="str">
        <f>IF($A523&lt;&gt;"",'All Cases - Enter Cases'!H523,"")</f>
        <v/>
      </c>
      <c r="J523" t="str">
        <f>IF($A523&lt;&gt;"",'All Cases - Enter Cases'!I523,"")</f>
        <v/>
      </c>
      <c r="K523" t="str">
        <f>IF($A523&lt;&gt;"",'All Cases - Enter Cases'!J523,"")</f>
        <v/>
      </c>
      <c r="L523" s="4" t="str">
        <f>IF($A523&lt;&gt;"",'All Cases - Enter Cases'!K523,"")</f>
        <v/>
      </c>
      <c r="M523" t="str">
        <f>IF($A523&lt;&gt;"",'All Cases - Enter Cases'!L523,"")</f>
        <v/>
      </c>
    </row>
    <row r="524" spans="1:13" x14ac:dyDescent="0.35">
      <c r="A524" s="4" t="str">
        <f>IF('All Cases - Enter Cases'!$K524="Approved",'All Cases - Enter Cases'!A524,"")</f>
        <v/>
      </c>
      <c r="B524" s="4" t="str">
        <f>IF($N524&lt;&gt;"",$N524,IF($A524&lt;&gt;"",'All Cases - Enter Cases'!$L524+7,""))</f>
        <v/>
      </c>
      <c r="C524" t="str">
        <f>IF($A524&lt;&gt;"",'All Cases - Enter Cases'!B524,"")</f>
        <v/>
      </c>
      <c r="D524" t="str">
        <f>IF($A524&lt;&gt;"",'All Cases - Enter Cases'!C524,"")</f>
        <v/>
      </c>
      <c r="E524" t="str">
        <f>IF($A524&lt;&gt;"",'All Cases - Enter Cases'!D524,"")</f>
        <v/>
      </c>
      <c r="F524" s="12" t="str">
        <f>IF($A524&lt;&gt;"",'All Cases - Enter Cases'!E524,"")</f>
        <v/>
      </c>
      <c r="G524" s="12" t="str">
        <f>IF($A524&lt;&gt;"",'All Cases - Enter Cases'!F524,"")</f>
        <v/>
      </c>
      <c r="H524" s="4" t="str">
        <f>IF($A524&lt;&gt;"",'All Cases - Enter Cases'!G524,"")</f>
        <v/>
      </c>
      <c r="I524" t="str">
        <f>IF($A524&lt;&gt;"",'All Cases - Enter Cases'!H524,"")</f>
        <v/>
      </c>
      <c r="J524" t="str">
        <f>IF($A524&lt;&gt;"",'All Cases - Enter Cases'!I524,"")</f>
        <v/>
      </c>
      <c r="K524" t="str">
        <f>IF($A524&lt;&gt;"",'All Cases - Enter Cases'!J524,"")</f>
        <v/>
      </c>
      <c r="L524" s="4" t="str">
        <f>IF($A524&lt;&gt;"",'All Cases - Enter Cases'!K524,"")</f>
        <v/>
      </c>
      <c r="M524" t="str">
        <f>IF($A524&lt;&gt;"",'All Cases - Enter Cases'!L524,"")</f>
        <v/>
      </c>
    </row>
    <row r="525" spans="1:13" x14ac:dyDescent="0.35">
      <c r="A525" s="4" t="str">
        <f>IF('All Cases - Enter Cases'!$K525="Approved",'All Cases - Enter Cases'!A525,"")</f>
        <v/>
      </c>
      <c r="B525" s="4" t="str">
        <f>IF($N525&lt;&gt;"",$N525,IF($A525&lt;&gt;"",'All Cases - Enter Cases'!$L525+7,""))</f>
        <v/>
      </c>
      <c r="C525" t="str">
        <f>IF($A525&lt;&gt;"",'All Cases - Enter Cases'!B525,"")</f>
        <v/>
      </c>
      <c r="D525" t="str">
        <f>IF($A525&lt;&gt;"",'All Cases - Enter Cases'!C525,"")</f>
        <v/>
      </c>
      <c r="E525" t="str">
        <f>IF($A525&lt;&gt;"",'All Cases - Enter Cases'!D525,"")</f>
        <v/>
      </c>
      <c r="F525" s="12" t="str">
        <f>IF($A525&lt;&gt;"",'All Cases - Enter Cases'!E525,"")</f>
        <v/>
      </c>
      <c r="G525" s="12" t="str">
        <f>IF($A525&lt;&gt;"",'All Cases - Enter Cases'!F525,"")</f>
        <v/>
      </c>
      <c r="H525" s="4" t="str">
        <f>IF($A525&lt;&gt;"",'All Cases - Enter Cases'!G525,"")</f>
        <v/>
      </c>
      <c r="I525" t="str">
        <f>IF($A525&lt;&gt;"",'All Cases - Enter Cases'!H525,"")</f>
        <v/>
      </c>
      <c r="J525" t="str">
        <f>IF($A525&lt;&gt;"",'All Cases - Enter Cases'!I525,"")</f>
        <v/>
      </c>
      <c r="K525" t="str">
        <f>IF($A525&lt;&gt;"",'All Cases - Enter Cases'!J525,"")</f>
        <v/>
      </c>
      <c r="L525" s="4" t="str">
        <f>IF($A525&lt;&gt;"",'All Cases - Enter Cases'!K525,"")</f>
        <v/>
      </c>
      <c r="M525" t="str">
        <f>IF($A525&lt;&gt;"",'All Cases - Enter Cases'!L525,"")</f>
        <v/>
      </c>
    </row>
    <row r="526" spans="1:13" x14ac:dyDescent="0.35">
      <c r="A526" s="4" t="str">
        <f>IF('All Cases - Enter Cases'!$K526="Approved",'All Cases - Enter Cases'!A526,"")</f>
        <v/>
      </c>
      <c r="B526" s="4" t="str">
        <f>IF($N526&lt;&gt;"",$N526,IF($A526&lt;&gt;"",'All Cases - Enter Cases'!$L526+7,""))</f>
        <v/>
      </c>
      <c r="C526" t="str">
        <f>IF($A526&lt;&gt;"",'All Cases - Enter Cases'!B526,"")</f>
        <v/>
      </c>
      <c r="D526" t="str">
        <f>IF($A526&lt;&gt;"",'All Cases - Enter Cases'!C526,"")</f>
        <v/>
      </c>
      <c r="E526" t="str">
        <f>IF($A526&lt;&gt;"",'All Cases - Enter Cases'!D526,"")</f>
        <v/>
      </c>
      <c r="F526" s="12" t="str">
        <f>IF($A526&lt;&gt;"",'All Cases - Enter Cases'!E526,"")</f>
        <v/>
      </c>
      <c r="G526" s="12" t="str">
        <f>IF($A526&lt;&gt;"",'All Cases - Enter Cases'!F526,"")</f>
        <v/>
      </c>
      <c r="H526" s="4" t="str">
        <f>IF($A526&lt;&gt;"",'All Cases - Enter Cases'!G526,"")</f>
        <v/>
      </c>
      <c r="I526" t="str">
        <f>IF($A526&lt;&gt;"",'All Cases - Enter Cases'!H526,"")</f>
        <v/>
      </c>
      <c r="J526" t="str">
        <f>IF($A526&lt;&gt;"",'All Cases - Enter Cases'!I526,"")</f>
        <v/>
      </c>
      <c r="K526" t="str">
        <f>IF($A526&lt;&gt;"",'All Cases - Enter Cases'!J526,"")</f>
        <v/>
      </c>
      <c r="L526" s="4" t="str">
        <f>IF($A526&lt;&gt;"",'All Cases - Enter Cases'!K526,"")</f>
        <v/>
      </c>
      <c r="M526" t="str">
        <f>IF($A526&lt;&gt;"",'All Cases - Enter Cases'!L526,"")</f>
        <v/>
      </c>
    </row>
    <row r="527" spans="1:13" x14ac:dyDescent="0.35">
      <c r="A527" s="4" t="str">
        <f>IF('All Cases - Enter Cases'!$K527="Approved",'All Cases - Enter Cases'!A527,"")</f>
        <v/>
      </c>
      <c r="B527" s="4" t="str">
        <f>IF($N527&lt;&gt;"",$N527,IF($A527&lt;&gt;"",'All Cases - Enter Cases'!$L527+7,""))</f>
        <v/>
      </c>
      <c r="C527" t="str">
        <f>IF($A527&lt;&gt;"",'All Cases - Enter Cases'!B527,"")</f>
        <v/>
      </c>
      <c r="D527" t="str">
        <f>IF($A527&lt;&gt;"",'All Cases - Enter Cases'!C527,"")</f>
        <v/>
      </c>
      <c r="E527" t="str">
        <f>IF($A527&lt;&gt;"",'All Cases - Enter Cases'!D527,"")</f>
        <v/>
      </c>
      <c r="F527" s="12" t="str">
        <f>IF($A527&lt;&gt;"",'All Cases - Enter Cases'!E527,"")</f>
        <v/>
      </c>
      <c r="G527" s="12" t="str">
        <f>IF($A527&lt;&gt;"",'All Cases - Enter Cases'!F527,"")</f>
        <v/>
      </c>
      <c r="H527" s="4" t="str">
        <f>IF($A527&lt;&gt;"",'All Cases - Enter Cases'!G527,"")</f>
        <v/>
      </c>
      <c r="I527" t="str">
        <f>IF($A527&lt;&gt;"",'All Cases - Enter Cases'!H527,"")</f>
        <v/>
      </c>
      <c r="J527" t="str">
        <f>IF($A527&lt;&gt;"",'All Cases - Enter Cases'!I527,"")</f>
        <v/>
      </c>
      <c r="K527" t="str">
        <f>IF($A527&lt;&gt;"",'All Cases - Enter Cases'!J527,"")</f>
        <v/>
      </c>
      <c r="L527" s="4" t="str">
        <f>IF($A527&lt;&gt;"",'All Cases - Enter Cases'!K527,"")</f>
        <v/>
      </c>
      <c r="M527" t="str">
        <f>IF($A527&lt;&gt;"",'All Cases - Enter Cases'!L527,"")</f>
        <v/>
      </c>
    </row>
    <row r="528" spans="1:13" x14ac:dyDescent="0.35">
      <c r="A528" s="4" t="str">
        <f>IF('All Cases - Enter Cases'!$K528="Approved",'All Cases - Enter Cases'!A528,"")</f>
        <v/>
      </c>
      <c r="B528" s="4" t="str">
        <f>IF($N528&lt;&gt;"",$N528,IF($A528&lt;&gt;"",'All Cases - Enter Cases'!$L528+7,""))</f>
        <v/>
      </c>
      <c r="C528" t="str">
        <f>IF($A528&lt;&gt;"",'All Cases - Enter Cases'!B528,"")</f>
        <v/>
      </c>
      <c r="D528" t="str">
        <f>IF($A528&lt;&gt;"",'All Cases - Enter Cases'!C528,"")</f>
        <v/>
      </c>
      <c r="E528" t="str">
        <f>IF($A528&lt;&gt;"",'All Cases - Enter Cases'!D528,"")</f>
        <v/>
      </c>
      <c r="F528" s="12" t="str">
        <f>IF($A528&lt;&gt;"",'All Cases - Enter Cases'!E528,"")</f>
        <v/>
      </c>
      <c r="G528" s="12" t="str">
        <f>IF($A528&lt;&gt;"",'All Cases - Enter Cases'!F528,"")</f>
        <v/>
      </c>
      <c r="H528" s="4" t="str">
        <f>IF($A528&lt;&gt;"",'All Cases - Enter Cases'!G528,"")</f>
        <v/>
      </c>
      <c r="I528" t="str">
        <f>IF($A528&lt;&gt;"",'All Cases - Enter Cases'!H528,"")</f>
        <v/>
      </c>
      <c r="J528" t="str">
        <f>IF($A528&lt;&gt;"",'All Cases - Enter Cases'!I528,"")</f>
        <v/>
      </c>
      <c r="K528" t="str">
        <f>IF($A528&lt;&gt;"",'All Cases - Enter Cases'!J528,"")</f>
        <v/>
      </c>
      <c r="L528" s="4" t="str">
        <f>IF($A528&lt;&gt;"",'All Cases - Enter Cases'!K528,"")</f>
        <v/>
      </c>
      <c r="M528" t="str">
        <f>IF($A528&lt;&gt;"",'All Cases - Enter Cases'!L528,"")</f>
        <v/>
      </c>
    </row>
    <row r="529" spans="1:13" x14ac:dyDescent="0.35">
      <c r="A529" s="4" t="str">
        <f>IF('All Cases - Enter Cases'!$K529="Approved",'All Cases - Enter Cases'!A529,"")</f>
        <v/>
      </c>
      <c r="B529" s="4" t="str">
        <f>IF($N529&lt;&gt;"",$N529,IF($A529&lt;&gt;"",'All Cases - Enter Cases'!$L529+7,""))</f>
        <v/>
      </c>
      <c r="C529" t="str">
        <f>IF($A529&lt;&gt;"",'All Cases - Enter Cases'!B529,"")</f>
        <v/>
      </c>
      <c r="D529" t="str">
        <f>IF($A529&lt;&gt;"",'All Cases - Enter Cases'!C529,"")</f>
        <v/>
      </c>
      <c r="E529" t="str">
        <f>IF($A529&lt;&gt;"",'All Cases - Enter Cases'!D529,"")</f>
        <v/>
      </c>
      <c r="F529" s="12" t="str">
        <f>IF($A529&lt;&gt;"",'All Cases - Enter Cases'!E529,"")</f>
        <v/>
      </c>
      <c r="G529" s="12" t="str">
        <f>IF($A529&lt;&gt;"",'All Cases - Enter Cases'!F529,"")</f>
        <v/>
      </c>
      <c r="H529" s="4" t="str">
        <f>IF($A529&lt;&gt;"",'All Cases - Enter Cases'!G529,"")</f>
        <v/>
      </c>
      <c r="I529" t="str">
        <f>IF($A529&lt;&gt;"",'All Cases - Enter Cases'!H529,"")</f>
        <v/>
      </c>
      <c r="J529" t="str">
        <f>IF($A529&lt;&gt;"",'All Cases - Enter Cases'!I529,"")</f>
        <v/>
      </c>
      <c r="K529" t="str">
        <f>IF($A529&lt;&gt;"",'All Cases - Enter Cases'!J529,"")</f>
        <v/>
      </c>
      <c r="L529" s="4" t="str">
        <f>IF($A529&lt;&gt;"",'All Cases - Enter Cases'!K529,"")</f>
        <v/>
      </c>
      <c r="M529" t="str">
        <f>IF($A529&lt;&gt;"",'All Cases - Enter Cases'!L529,"")</f>
        <v/>
      </c>
    </row>
    <row r="530" spans="1:13" x14ac:dyDescent="0.35">
      <c r="A530" s="4" t="str">
        <f>IF('All Cases - Enter Cases'!$K530="Approved",'All Cases - Enter Cases'!A530,"")</f>
        <v/>
      </c>
      <c r="B530" s="4" t="str">
        <f>IF($N530&lt;&gt;"",$N530,IF($A530&lt;&gt;"",'All Cases - Enter Cases'!$L530+7,""))</f>
        <v/>
      </c>
      <c r="C530" t="str">
        <f>IF($A530&lt;&gt;"",'All Cases - Enter Cases'!B530,"")</f>
        <v/>
      </c>
      <c r="D530" t="str">
        <f>IF($A530&lt;&gt;"",'All Cases - Enter Cases'!C530,"")</f>
        <v/>
      </c>
      <c r="E530" t="str">
        <f>IF($A530&lt;&gt;"",'All Cases - Enter Cases'!D530,"")</f>
        <v/>
      </c>
      <c r="F530" s="12" t="str">
        <f>IF($A530&lt;&gt;"",'All Cases - Enter Cases'!E530,"")</f>
        <v/>
      </c>
      <c r="G530" s="12" t="str">
        <f>IF($A530&lt;&gt;"",'All Cases - Enter Cases'!F530,"")</f>
        <v/>
      </c>
      <c r="H530" s="4" t="str">
        <f>IF($A530&lt;&gt;"",'All Cases - Enter Cases'!G530,"")</f>
        <v/>
      </c>
      <c r="I530" t="str">
        <f>IF($A530&lt;&gt;"",'All Cases - Enter Cases'!H530,"")</f>
        <v/>
      </c>
      <c r="J530" t="str">
        <f>IF($A530&lt;&gt;"",'All Cases - Enter Cases'!I530,"")</f>
        <v/>
      </c>
      <c r="K530" t="str">
        <f>IF($A530&lt;&gt;"",'All Cases - Enter Cases'!J530,"")</f>
        <v/>
      </c>
      <c r="L530" s="4" t="str">
        <f>IF($A530&lt;&gt;"",'All Cases - Enter Cases'!K530,"")</f>
        <v/>
      </c>
      <c r="M530" t="str">
        <f>IF($A530&lt;&gt;"",'All Cases - Enter Cases'!L530,"")</f>
        <v/>
      </c>
    </row>
    <row r="531" spans="1:13" x14ac:dyDescent="0.35">
      <c r="A531" s="4" t="str">
        <f>IF('All Cases - Enter Cases'!$K531="Approved",'All Cases - Enter Cases'!A531,"")</f>
        <v/>
      </c>
      <c r="B531" s="4" t="str">
        <f>IF($N531&lt;&gt;"",$N531,IF($A531&lt;&gt;"",'All Cases - Enter Cases'!$L531+7,""))</f>
        <v/>
      </c>
      <c r="C531" t="str">
        <f>IF($A531&lt;&gt;"",'All Cases - Enter Cases'!B531,"")</f>
        <v/>
      </c>
      <c r="D531" t="str">
        <f>IF($A531&lt;&gt;"",'All Cases - Enter Cases'!C531,"")</f>
        <v/>
      </c>
      <c r="E531" t="str">
        <f>IF($A531&lt;&gt;"",'All Cases - Enter Cases'!D531,"")</f>
        <v/>
      </c>
      <c r="F531" s="12" t="str">
        <f>IF($A531&lt;&gt;"",'All Cases - Enter Cases'!E531,"")</f>
        <v/>
      </c>
      <c r="G531" s="12" t="str">
        <f>IF($A531&lt;&gt;"",'All Cases - Enter Cases'!F531,"")</f>
        <v/>
      </c>
      <c r="H531" s="4" t="str">
        <f>IF($A531&lt;&gt;"",'All Cases - Enter Cases'!G531,"")</f>
        <v/>
      </c>
      <c r="I531" t="str">
        <f>IF($A531&lt;&gt;"",'All Cases - Enter Cases'!H531,"")</f>
        <v/>
      </c>
      <c r="J531" t="str">
        <f>IF($A531&lt;&gt;"",'All Cases - Enter Cases'!I531,"")</f>
        <v/>
      </c>
      <c r="K531" t="str">
        <f>IF($A531&lt;&gt;"",'All Cases - Enter Cases'!J531,"")</f>
        <v/>
      </c>
      <c r="L531" s="4" t="str">
        <f>IF($A531&lt;&gt;"",'All Cases - Enter Cases'!K531,"")</f>
        <v/>
      </c>
      <c r="M531" t="str">
        <f>IF($A531&lt;&gt;"",'All Cases - Enter Cases'!L531,"")</f>
        <v/>
      </c>
    </row>
    <row r="532" spans="1:13" x14ac:dyDescent="0.35">
      <c r="A532" s="4" t="str">
        <f>IF('All Cases - Enter Cases'!$K532="Approved",'All Cases - Enter Cases'!A532,"")</f>
        <v/>
      </c>
      <c r="B532" s="4" t="str">
        <f>IF($N532&lt;&gt;"",$N532,IF($A532&lt;&gt;"",'All Cases - Enter Cases'!$L532+7,""))</f>
        <v/>
      </c>
      <c r="C532" t="str">
        <f>IF($A532&lt;&gt;"",'All Cases - Enter Cases'!B532,"")</f>
        <v/>
      </c>
      <c r="D532" t="str">
        <f>IF($A532&lt;&gt;"",'All Cases - Enter Cases'!C532,"")</f>
        <v/>
      </c>
      <c r="E532" t="str">
        <f>IF($A532&lt;&gt;"",'All Cases - Enter Cases'!D532,"")</f>
        <v/>
      </c>
      <c r="F532" s="12" t="str">
        <f>IF($A532&lt;&gt;"",'All Cases - Enter Cases'!E532,"")</f>
        <v/>
      </c>
      <c r="G532" s="12" t="str">
        <f>IF($A532&lt;&gt;"",'All Cases - Enter Cases'!F532,"")</f>
        <v/>
      </c>
      <c r="H532" s="4" t="str">
        <f>IF($A532&lt;&gt;"",'All Cases - Enter Cases'!G532,"")</f>
        <v/>
      </c>
      <c r="I532" t="str">
        <f>IF($A532&lt;&gt;"",'All Cases - Enter Cases'!H532,"")</f>
        <v/>
      </c>
      <c r="J532" t="str">
        <f>IF($A532&lt;&gt;"",'All Cases - Enter Cases'!I532,"")</f>
        <v/>
      </c>
      <c r="K532" t="str">
        <f>IF($A532&lt;&gt;"",'All Cases - Enter Cases'!J532,"")</f>
        <v/>
      </c>
      <c r="L532" s="4" t="str">
        <f>IF($A532&lt;&gt;"",'All Cases - Enter Cases'!K532,"")</f>
        <v/>
      </c>
      <c r="M532" t="str">
        <f>IF($A532&lt;&gt;"",'All Cases - Enter Cases'!L532,"")</f>
        <v/>
      </c>
    </row>
    <row r="533" spans="1:13" x14ac:dyDescent="0.35">
      <c r="A533" s="4" t="str">
        <f>IF('All Cases - Enter Cases'!$K533="Approved",'All Cases - Enter Cases'!A533,"")</f>
        <v/>
      </c>
      <c r="B533" s="4" t="str">
        <f>IF($N533&lt;&gt;"",$N533,IF($A533&lt;&gt;"",'All Cases - Enter Cases'!$L533+7,""))</f>
        <v/>
      </c>
      <c r="C533" t="str">
        <f>IF($A533&lt;&gt;"",'All Cases - Enter Cases'!B533,"")</f>
        <v/>
      </c>
      <c r="D533" t="str">
        <f>IF($A533&lt;&gt;"",'All Cases - Enter Cases'!C533,"")</f>
        <v/>
      </c>
      <c r="E533" t="str">
        <f>IF($A533&lt;&gt;"",'All Cases - Enter Cases'!D533,"")</f>
        <v/>
      </c>
      <c r="F533" s="12" t="str">
        <f>IF($A533&lt;&gt;"",'All Cases - Enter Cases'!E533,"")</f>
        <v/>
      </c>
      <c r="G533" s="12" t="str">
        <f>IF($A533&lt;&gt;"",'All Cases - Enter Cases'!F533,"")</f>
        <v/>
      </c>
      <c r="H533" s="4" t="str">
        <f>IF($A533&lt;&gt;"",'All Cases - Enter Cases'!G533,"")</f>
        <v/>
      </c>
      <c r="I533" t="str">
        <f>IF($A533&lt;&gt;"",'All Cases - Enter Cases'!H533,"")</f>
        <v/>
      </c>
      <c r="J533" t="str">
        <f>IF($A533&lt;&gt;"",'All Cases - Enter Cases'!I533,"")</f>
        <v/>
      </c>
      <c r="K533" t="str">
        <f>IF($A533&lt;&gt;"",'All Cases - Enter Cases'!J533,"")</f>
        <v/>
      </c>
      <c r="L533" s="4" t="str">
        <f>IF($A533&lt;&gt;"",'All Cases - Enter Cases'!K533,"")</f>
        <v/>
      </c>
      <c r="M533" t="str">
        <f>IF($A533&lt;&gt;"",'All Cases - Enter Cases'!L533,"")</f>
        <v/>
      </c>
    </row>
    <row r="534" spans="1:13" x14ac:dyDescent="0.35">
      <c r="A534" s="4" t="str">
        <f>IF('All Cases - Enter Cases'!$K534="Approved",'All Cases - Enter Cases'!A534,"")</f>
        <v/>
      </c>
      <c r="B534" s="4" t="str">
        <f>IF($N534&lt;&gt;"",$N534,IF($A534&lt;&gt;"",'All Cases - Enter Cases'!$L534+7,""))</f>
        <v/>
      </c>
      <c r="C534" t="str">
        <f>IF($A534&lt;&gt;"",'All Cases - Enter Cases'!B534,"")</f>
        <v/>
      </c>
      <c r="D534" t="str">
        <f>IF($A534&lt;&gt;"",'All Cases - Enter Cases'!C534,"")</f>
        <v/>
      </c>
      <c r="E534" t="str">
        <f>IF($A534&lt;&gt;"",'All Cases - Enter Cases'!D534,"")</f>
        <v/>
      </c>
      <c r="F534" s="12" t="str">
        <f>IF($A534&lt;&gt;"",'All Cases - Enter Cases'!E534,"")</f>
        <v/>
      </c>
      <c r="G534" s="12" t="str">
        <f>IF($A534&lt;&gt;"",'All Cases - Enter Cases'!F534,"")</f>
        <v/>
      </c>
      <c r="H534" s="4" t="str">
        <f>IF($A534&lt;&gt;"",'All Cases - Enter Cases'!G534,"")</f>
        <v/>
      </c>
      <c r="I534" t="str">
        <f>IF($A534&lt;&gt;"",'All Cases - Enter Cases'!H534,"")</f>
        <v/>
      </c>
      <c r="J534" t="str">
        <f>IF($A534&lt;&gt;"",'All Cases - Enter Cases'!I534,"")</f>
        <v/>
      </c>
      <c r="K534" t="str">
        <f>IF($A534&lt;&gt;"",'All Cases - Enter Cases'!J534,"")</f>
        <v/>
      </c>
      <c r="L534" s="4" t="str">
        <f>IF($A534&lt;&gt;"",'All Cases - Enter Cases'!K534,"")</f>
        <v/>
      </c>
      <c r="M534" t="str">
        <f>IF($A534&lt;&gt;"",'All Cases - Enter Cases'!L534,"")</f>
        <v/>
      </c>
    </row>
    <row r="535" spans="1:13" x14ac:dyDescent="0.35">
      <c r="A535" s="4" t="str">
        <f>IF('All Cases - Enter Cases'!$K535="Approved",'All Cases - Enter Cases'!A535,"")</f>
        <v/>
      </c>
      <c r="B535" s="4" t="str">
        <f>IF($N535&lt;&gt;"",$N535,IF($A535&lt;&gt;"",'All Cases - Enter Cases'!$L535+7,""))</f>
        <v/>
      </c>
      <c r="C535" t="str">
        <f>IF($A535&lt;&gt;"",'All Cases - Enter Cases'!B535,"")</f>
        <v/>
      </c>
      <c r="D535" t="str">
        <f>IF($A535&lt;&gt;"",'All Cases - Enter Cases'!C535,"")</f>
        <v/>
      </c>
      <c r="E535" t="str">
        <f>IF($A535&lt;&gt;"",'All Cases - Enter Cases'!D535,"")</f>
        <v/>
      </c>
      <c r="F535" s="12" t="str">
        <f>IF($A535&lt;&gt;"",'All Cases - Enter Cases'!E535,"")</f>
        <v/>
      </c>
      <c r="G535" s="12" t="str">
        <f>IF($A535&lt;&gt;"",'All Cases - Enter Cases'!F535,"")</f>
        <v/>
      </c>
      <c r="H535" s="4" t="str">
        <f>IF($A535&lt;&gt;"",'All Cases - Enter Cases'!G535,"")</f>
        <v/>
      </c>
      <c r="I535" t="str">
        <f>IF($A535&lt;&gt;"",'All Cases - Enter Cases'!H535,"")</f>
        <v/>
      </c>
      <c r="J535" t="str">
        <f>IF($A535&lt;&gt;"",'All Cases - Enter Cases'!I535,"")</f>
        <v/>
      </c>
      <c r="K535" t="str">
        <f>IF($A535&lt;&gt;"",'All Cases - Enter Cases'!J535,"")</f>
        <v/>
      </c>
      <c r="L535" s="4" t="str">
        <f>IF($A535&lt;&gt;"",'All Cases - Enter Cases'!K535,"")</f>
        <v/>
      </c>
      <c r="M535" t="str">
        <f>IF($A535&lt;&gt;"",'All Cases - Enter Cases'!L535,"")</f>
        <v/>
      </c>
    </row>
    <row r="536" spans="1:13" x14ac:dyDescent="0.35">
      <c r="A536" s="4" t="str">
        <f>IF('All Cases - Enter Cases'!$K536="Approved",'All Cases - Enter Cases'!A536,"")</f>
        <v/>
      </c>
      <c r="B536" s="4" t="str">
        <f>IF($N536&lt;&gt;"",$N536,IF($A536&lt;&gt;"",'All Cases - Enter Cases'!$L536+7,""))</f>
        <v/>
      </c>
      <c r="C536" t="str">
        <f>IF($A536&lt;&gt;"",'All Cases - Enter Cases'!B536,"")</f>
        <v/>
      </c>
      <c r="D536" t="str">
        <f>IF($A536&lt;&gt;"",'All Cases - Enter Cases'!C536,"")</f>
        <v/>
      </c>
      <c r="E536" t="str">
        <f>IF($A536&lt;&gt;"",'All Cases - Enter Cases'!D536,"")</f>
        <v/>
      </c>
      <c r="F536" s="12" t="str">
        <f>IF($A536&lt;&gt;"",'All Cases - Enter Cases'!E536,"")</f>
        <v/>
      </c>
      <c r="G536" s="12" t="str">
        <f>IF($A536&lt;&gt;"",'All Cases - Enter Cases'!F536,"")</f>
        <v/>
      </c>
      <c r="H536" s="4" t="str">
        <f>IF($A536&lt;&gt;"",'All Cases - Enter Cases'!G536,"")</f>
        <v/>
      </c>
      <c r="I536" t="str">
        <f>IF($A536&lt;&gt;"",'All Cases - Enter Cases'!H536,"")</f>
        <v/>
      </c>
      <c r="J536" t="str">
        <f>IF($A536&lt;&gt;"",'All Cases - Enter Cases'!I536,"")</f>
        <v/>
      </c>
      <c r="K536" t="str">
        <f>IF($A536&lt;&gt;"",'All Cases - Enter Cases'!J536,"")</f>
        <v/>
      </c>
      <c r="L536" s="4" t="str">
        <f>IF($A536&lt;&gt;"",'All Cases - Enter Cases'!K536,"")</f>
        <v/>
      </c>
      <c r="M536" t="str">
        <f>IF($A536&lt;&gt;"",'All Cases - Enter Cases'!L536,"")</f>
        <v/>
      </c>
    </row>
    <row r="537" spans="1:13" x14ac:dyDescent="0.35">
      <c r="A537" s="4" t="str">
        <f>IF('All Cases - Enter Cases'!$K537="Approved",'All Cases - Enter Cases'!A537,"")</f>
        <v/>
      </c>
      <c r="B537" s="4" t="str">
        <f>IF($N537&lt;&gt;"",$N537,IF($A537&lt;&gt;"",'All Cases - Enter Cases'!$L537+7,""))</f>
        <v/>
      </c>
      <c r="C537" t="str">
        <f>IF($A537&lt;&gt;"",'All Cases - Enter Cases'!B537,"")</f>
        <v/>
      </c>
      <c r="D537" t="str">
        <f>IF($A537&lt;&gt;"",'All Cases - Enter Cases'!C537,"")</f>
        <v/>
      </c>
      <c r="E537" t="str">
        <f>IF($A537&lt;&gt;"",'All Cases - Enter Cases'!D537,"")</f>
        <v/>
      </c>
      <c r="F537" s="12" t="str">
        <f>IF($A537&lt;&gt;"",'All Cases - Enter Cases'!E537,"")</f>
        <v/>
      </c>
      <c r="G537" s="12" t="str">
        <f>IF($A537&lt;&gt;"",'All Cases - Enter Cases'!F537,"")</f>
        <v/>
      </c>
      <c r="H537" s="4" t="str">
        <f>IF($A537&lt;&gt;"",'All Cases - Enter Cases'!G537,"")</f>
        <v/>
      </c>
      <c r="I537" t="str">
        <f>IF($A537&lt;&gt;"",'All Cases - Enter Cases'!H537,"")</f>
        <v/>
      </c>
      <c r="J537" t="str">
        <f>IF($A537&lt;&gt;"",'All Cases - Enter Cases'!I537,"")</f>
        <v/>
      </c>
      <c r="K537" t="str">
        <f>IF($A537&lt;&gt;"",'All Cases - Enter Cases'!J537,"")</f>
        <v/>
      </c>
      <c r="L537" s="4" t="str">
        <f>IF($A537&lt;&gt;"",'All Cases - Enter Cases'!K537,"")</f>
        <v/>
      </c>
      <c r="M537" t="str">
        <f>IF($A537&lt;&gt;"",'All Cases - Enter Cases'!L537,"")</f>
        <v/>
      </c>
    </row>
    <row r="538" spans="1:13" x14ac:dyDescent="0.35">
      <c r="A538" s="4" t="str">
        <f>IF('All Cases - Enter Cases'!$K538="Approved",'All Cases - Enter Cases'!A538,"")</f>
        <v/>
      </c>
      <c r="B538" s="4" t="str">
        <f>IF($N538&lt;&gt;"",$N538,IF($A538&lt;&gt;"",'All Cases - Enter Cases'!$L538+7,""))</f>
        <v/>
      </c>
      <c r="C538" t="str">
        <f>IF($A538&lt;&gt;"",'All Cases - Enter Cases'!B538,"")</f>
        <v/>
      </c>
      <c r="D538" t="str">
        <f>IF($A538&lt;&gt;"",'All Cases - Enter Cases'!C538,"")</f>
        <v/>
      </c>
      <c r="E538" t="str">
        <f>IF($A538&lt;&gt;"",'All Cases - Enter Cases'!D538,"")</f>
        <v/>
      </c>
      <c r="F538" s="12" t="str">
        <f>IF($A538&lt;&gt;"",'All Cases - Enter Cases'!E538,"")</f>
        <v/>
      </c>
      <c r="G538" s="12" t="str">
        <f>IF($A538&lt;&gt;"",'All Cases - Enter Cases'!F538,"")</f>
        <v/>
      </c>
      <c r="H538" s="4" t="str">
        <f>IF($A538&lt;&gt;"",'All Cases - Enter Cases'!G538,"")</f>
        <v/>
      </c>
      <c r="I538" t="str">
        <f>IF($A538&lt;&gt;"",'All Cases - Enter Cases'!H538,"")</f>
        <v/>
      </c>
      <c r="J538" t="str">
        <f>IF($A538&lt;&gt;"",'All Cases - Enter Cases'!I538,"")</f>
        <v/>
      </c>
      <c r="K538" t="str">
        <f>IF($A538&lt;&gt;"",'All Cases - Enter Cases'!J538,"")</f>
        <v/>
      </c>
      <c r="L538" s="4" t="str">
        <f>IF($A538&lt;&gt;"",'All Cases - Enter Cases'!K538,"")</f>
        <v/>
      </c>
      <c r="M538" t="str">
        <f>IF($A538&lt;&gt;"",'All Cases - Enter Cases'!L538,"")</f>
        <v/>
      </c>
    </row>
    <row r="539" spans="1:13" x14ac:dyDescent="0.35">
      <c r="A539" s="4" t="str">
        <f>IF('All Cases - Enter Cases'!$K539="Approved",'All Cases - Enter Cases'!A539,"")</f>
        <v/>
      </c>
      <c r="B539" s="4" t="str">
        <f>IF($N539&lt;&gt;"",$N539,IF($A539&lt;&gt;"",'All Cases - Enter Cases'!$L539+7,""))</f>
        <v/>
      </c>
      <c r="C539" t="str">
        <f>IF($A539&lt;&gt;"",'All Cases - Enter Cases'!B539,"")</f>
        <v/>
      </c>
      <c r="D539" t="str">
        <f>IF($A539&lt;&gt;"",'All Cases - Enter Cases'!C539,"")</f>
        <v/>
      </c>
      <c r="E539" t="str">
        <f>IF($A539&lt;&gt;"",'All Cases - Enter Cases'!D539,"")</f>
        <v/>
      </c>
      <c r="F539" s="12" t="str">
        <f>IF($A539&lt;&gt;"",'All Cases - Enter Cases'!E539,"")</f>
        <v/>
      </c>
      <c r="G539" s="12" t="str">
        <f>IF($A539&lt;&gt;"",'All Cases - Enter Cases'!F539,"")</f>
        <v/>
      </c>
      <c r="H539" s="4" t="str">
        <f>IF($A539&lt;&gt;"",'All Cases - Enter Cases'!G539,"")</f>
        <v/>
      </c>
      <c r="I539" t="str">
        <f>IF($A539&lt;&gt;"",'All Cases - Enter Cases'!H539,"")</f>
        <v/>
      </c>
      <c r="J539" t="str">
        <f>IF($A539&lt;&gt;"",'All Cases - Enter Cases'!I539,"")</f>
        <v/>
      </c>
      <c r="K539" t="str">
        <f>IF($A539&lt;&gt;"",'All Cases - Enter Cases'!J539,"")</f>
        <v/>
      </c>
      <c r="L539" s="4" t="str">
        <f>IF($A539&lt;&gt;"",'All Cases - Enter Cases'!K539,"")</f>
        <v/>
      </c>
      <c r="M539" t="str">
        <f>IF($A539&lt;&gt;"",'All Cases - Enter Cases'!L539,"")</f>
        <v/>
      </c>
    </row>
    <row r="540" spans="1:13" x14ac:dyDescent="0.35">
      <c r="A540" s="4" t="str">
        <f>IF('All Cases - Enter Cases'!$K540="Approved",'All Cases - Enter Cases'!A540,"")</f>
        <v/>
      </c>
      <c r="B540" s="4" t="str">
        <f>IF($N540&lt;&gt;"",$N540,IF($A540&lt;&gt;"",'All Cases - Enter Cases'!$L540+7,""))</f>
        <v/>
      </c>
      <c r="C540" t="str">
        <f>IF($A540&lt;&gt;"",'All Cases - Enter Cases'!B540,"")</f>
        <v/>
      </c>
      <c r="D540" t="str">
        <f>IF($A540&lt;&gt;"",'All Cases - Enter Cases'!C540,"")</f>
        <v/>
      </c>
      <c r="E540" t="str">
        <f>IF($A540&lt;&gt;"",'All Cases - Enter Cases'!D540,"")</f>
        <v/>
      </c>
      <c r="F540" s="12" t="str">
        <f>IF($A540&lt;&gt;"",'All Cases - Enter Cases'!E540,"")</f>
        <v/>
      </c>
      <c r="G540" s="12" t="str">
        <f>IF($A540&lt;&gt;"",'All Cases - Enter Cases'!F540,"")</f>
        <v/>
      </c>
      <c r="H540" s="4" t="str">
        <f>IF($A540&lt;&gt;"",'All Cases - Enter Cases'!G540,"")</f>
        <v/>
      </c>
      <c r="I540" t="str">
        <f>IF($A540&lt;&gt;"",'All Cases - Enter Cases'!H540,"")</f>
        <v/>
      </c>
      <c r="J540" t="str">
        <f>IF($A540&lt;&gt;"",'All Cases - Enter Cases'!I540,"")</f>
        <v/>
      </c>
      <c r="K540" t="str">
        <f>IF($A540&lt;&gt;"",'All Cases - Enter Cases'!J540,"")</f>
        <v/>
      </c>
      <c r="L540" s="4" t="str">
        <f>IF($A540&lt;&gt;"",'All Cases - Enter Cases'!K540,"")</f>
        <v/>
      </c>
      <c r="M540" t="str">
        <f>IF($A540&lt;&gt;"",'All Cases - Enter Cases'!L540,"")</f>
        <v/>
      </c>
    </row>
    <row r="541" spans="1:13" x14ac:dyDescent="0.35">
      <c r="A541" s="4" t="str">
        <f>IF('All Cases - Enter Cases'!$K541="Approved",'All Cases - Enter Cases'!A541,"")</f>
        <v/>
      </c>
      <c r="B541" s="4" t="str">
        <f>IF($N541&lt;&gt;"",$N541,IF($A541&lt;&gt;"",'All Cases - Enter Cases'!$L541+7,""))</f>
        <v/>
      </c>
      <c r="C541" t="str">
        <f>IF($A541&lt;&gt;"",'All Cases - Enter Cases'!B541,"")</f>
        <v/>
      </c>
      <c r="D541" t="str">
        <f>IF($A541&lt;&gt;"",'All Cases - Enter Cases'!C541,"")</f>
        <v/>
      </c>
      <c r="E541" t="str">
        <f>IF($A541&lt;&gt;"",'All Cases - Enter Cases'!D541,"")</f>
        <v/>
      </c>
      <c r="F541" s="12" t="str">
        <f>IF($A541&lt;&gt;"",'All Cases - Enter Cases'!E541,"")</f>
        <v/>
      </c>
      <c r="G541" s="12" t="str">
        <f>IF($A541&lt;&gt;"",'All Cases - Enter Cases'!F541,"")</f>
        <v/>
      </c>
      <c r="H541" s="4" t="str">
        <f>IF($A541&lt;&gt;"",'All Cases - Enter Cases'!G541,"")</f>
        <v/>
      </c>
      <c r="I541" t="str">
        <f>IF($A541&lt;&gt;"",'All Cases - Enter Cases'!H541,"")</f>
        <v/>
      </c>
      <c r="J541" t="str">
        <f>IF($A541&lt;&gt;"",'All Cases - Enter Cases'!I541,"")</f>
        <v/>
      </c>
      <c r="K541" t="str">
        <f>IF($A541&lt;&gt;"",'All Cases - Enter Cases'!J541,"")</f>
        <v/>
      </c>
      <c r="L541" s="4" t="str">
        <f>IF($A541&lt;&gt;"",'All Cases - Enter Cases'!K541,"")</f>
        <v/>
      </c>
      <c r="M541" t="str">
        <f>IF($A541&lt;&gt;"",'All Cases - Enter Cases'!L541,"")</f>
        <v/>
      </c>
    </row>
    <row r="542" spans="1:13" x14ac:dyDescent="0.35">
      <c r="A542" s="4" t="str">
        <f>IF('All Cases - Enter Cases'!$K542="Approved",'All Cases - Enter Cases'!A542,"")</f>
        <v/>
      </c>
      <c r="B542" s="4" t="str">
        <f>IF($N542&lt;&gt;"",$N542,IF($A542&lt;&gt;"",'All Cases - Enter Cases'!$L542+7,""))</f>
        <v/>
      </c>
      <c r="C542" t="str">
        <f>IF($A542&lt;&gt;"",'All Cases - Enter Cases'!B542,"")</f>
        <v/>
      </c>
      <c r="D542" t="str">
        <f>IF($A542&lt;&gt;"",'All Cases - Enter Cases'!C542,"")</f>
        <v/>
      </c>
      <c r="E542" t="str">
        <f>IF($A542&lt;&gt;"",'All Cases - Enter Cases'!D542,"")</f>
        <v/>
      </c>
      <c r="F542" s="12" t="str">
        <f>IF($A542&lt;&gt;"",'All Cases - Enter Cases'!E542,"")</f>
        <v/>
      </c>
      <c r="G542" s="12" t="str">
        <f>IF($A542&lt;&gt;"",'All Cases - Enter Cases'!F542,"")</f>
        <v/>
      </c>
      <c r="H542" s="4" t="str">
        <f>IF($A542&lt;&gt;"",'All Cases - Enter Cases'!G542,"")</f>
        <v/>
      </c>
      <c r="I542" t="str">
        <f>IF($A542&lt;&gt;"",'All Cases - Enter Cases'!H542,"")</f>
        <v/>
      </c>
      <c r="J542" t="str">
        <f>IF($A542&lt;&gt;"",'All Cases - Enter Cases'!I542,"")</f>
        <v/>
      </c>
      <c r="K542" t="str">
        <f>IF($A542&lt;&gt;"",'All Cases - Enter Cases'!J542,"")</f>
        <v/>
      </c>
      <c r="L542" s="4" t="str">
        <f>IF($A542&lt;&gt;"",'All Cases - Enter Cases'!K542,"")</f>
        <v/>
      </c>
      <c r="M542" t="str">
        <f>IF($A542&lt;&gt;"",'All Cases - Enter Cases'!L542,"")</f>
        <v/>
      </c>
    </row>
    <row r="543" spans="1:13" x14ac:dyDescent="0.35">
      <c r="A543" s="4" t="str">
        <f>IF('All Cases - Enter Cases'!$K543="Approved",'All Cases - Enter Cases'!A543,"")</f>
        <v/>
      </c>
      <c r="B543" s="4" t="str">
        <f>IF($N543&lt;&gt;"",$N543,IF($A543&lt;&gt;"",'All Cases - Enter Cases'!$L543+7,""))</f>
        <v/>
      </c>
      <c r="C543" t="str">
        <f>IF($A543&lt;&gt;"",'All Cases - Enter Cases'!B543,"")</f>
        <v/>
      </c>
      <c r="D543" t="str">
        <f>IF($A543&lt;&gt;"",'All Cases - Enter Cases'!C543,"")</f>
        <v/>
      </c>
      <c r="E543" t="str">
        <f>IF($A543&lt;&gt;"",'All Cases - Enter Cases'!D543,"")</f>
        <v/>
      </c>
      <c r="F543" s="12" t="str">
        <f>IF($A543&lt;&gt;"",'All Cases - Enter Cases'!E543,"")</f>
        <v/>
      </c>
      <c r="G543" s="12" t="str">
        <f>IF($A543&lt;&gt;"",'All Cases - Enter Cases'!F543,"")</f>
        <v/>
      </c>
      <c r="H543" s="4" t="str">
        <f>IF($A543&lt;&gt;"",'All Cases - Enter Cases'!G543,"")</f>
        <v/>
      </c>
      <c r="I543" t="str">
        <f>IF($A543&lt;&gt;"",'All Cases - Enter Cases'!H543,"")</f>
        <v/>
      </c>
      <c r="J543" t="str">
        <f>IF($A543&lt;&gt;"",'All Cases - Enter Cases'!I543,"")</f>
        <v/>
      </c>
      <c r="K543" t="str">
        <f>IF($A543&lt;&gt;"",'All Cases - Enter Cases'!J543,"")</f>
        <v/>
      </c>
      <c r="L543" s="4" t="str">
        <f>IF($A543&lt;&gt;"",'All Cases - Enter Cases'!K543,"")</f>
        <v/>
      </c>
      <c r="M543" t="str">
        <f>IF($A543&lt;&gt;"",'All Cases - Enter Cases'!L543,"")</f>
        <v/>
      </c>
    </row>
    <row r="544" spans="1:13" x14ac:dyDescent="0.35">
      <c r="A544" s="4" t="str">
        <f>IF('All Cases - Enter Cases'!$K544="Approved",'All Cases - Enter Cases'!A544,"")</f>
        <v/>
      </c>
      <c r="B544" s="4" t="str">
        <f>IF($N544&lt;&gt;"",$N544,IF($A544&lt;&gt;"",'All Cases - Enter Cases'!$L544+7,""))</f>
        <v/>
      </c>
      <c r="C544" t="str">
        <f>IF($A544&lt;&gt;"",'All Cases - Enter Cases'!B544,"")</f>
        <v/>
      </c>
      <c r="D544" t="str">
        <f>IF($A544&lt;&gt;"",'All Cases - Enter Cases'!C544,"")</f>
        <v/>
      </c>
      <c r="E544" t="str">
        <f>IF($A544&lt;&gt;"",'All Cases - Enter Cases'!D544,"")</f>
        <v/>
      </c>
      <c r="F544" s="12" t="str">
        <f>IF($A544&lt;&gt;"",'All Cases - Enter Cases'!E544,"")</f>
        <v/>
      </c>
      <c r="G544" s="12" t="str">
        <f>IF($A544&lt;&gt;"",'All Cases - Enter Cases'!F544,"")</f>
        <v/>
      </c>
      <c r="H544" s="4" t="str">
        <f>IF($A544&lt;&gt;"",'All Cases - Enter Cases'!G544,"")</f>
        <v/>
      </c>
      <c r="I544" t="str">
        <f>IF($A544&lt;&gt;"",'All Cases - Enter Cases'!H544,"")</f>
        <v/>
      </c>
      <c r="J544" t="str">
        <f>IF($A544&lt;&gt;"",'All Cases - Enter Cases'!I544,"")</f>
        <v/>
      </c>
      <c r="K544" t="str">
        <f>IF($A544&lt;&gt;"",'All Cases - Enter Cases'!J544,"")</f>
        <v/>
      </c>
      <c r="L544" s="4" t="str">
        <f>IF($A544&lt;&gt;"",'All Cases - Enter Cases'!K544,"")</f>
        <v/>
      </c>
      <c r="M544" t="str">
        <f>IF($A544&lt;&gt;"",'All Cases - Enter Cases'!L544,"")</f>
        <v/>
      </c>
    </row>
    <row r="545" spans="1:13" x14ac:dyDescent="0.35">
      <c r="A545" s="4" t="str">
        <f>IF('All Cases - Enter Cases'!$K545="Approved",'All Cases - Enter Cases'!A545,"")</f>
        <v/>
      </c>
      <c r="B545" s="4" t="str">
        <f>IF($N545&lt;&gt;"",$N545,IF($A545&lt;&gt;"",'All Cases - Enter Cases'!$L545+7,""))</f>
        <v/>
      </c>
      <c r="C545" t="str">
        <f>IF($A545&lt;&gt;"",'All Cases - Enter Cases'!B545,"")</f>
        <v/>
      </c>
      <c r="D545" t="str">
        <f>IF($A545&lt;&gt;"",'All Cases - Enter Cases'!C545,"")</f>
        <v/>
      </c>
      <c r="E545" t="str">
        <f>IF($A545&lt;&gt;"",'All Cases - Enter Cases'!D545,"")</f>
        <v/>
      </c>
      <c r="F545" s="12" t="str">
        <f>IF($A545&lt;&gt;"",'All Cases - Enter Cases'!E545,"")</f>
        <v/>
      </c>
      <c r="G545" s="12" t="str">
        <f>IF($A545&lt;&gt;"",'All Cases - Enter Cases'!F545,"")</f>
        <v/>
      </c>
      <c r="H545" s="4" t="str">
        <f>IF($A545&lt;&gt;"",'All Cases - Enter Cases'!G545,"")</f>
        <v/>
      </c>
      <c r="I545" t="str">
        <f>IF($A545&lt;&gt;"",'All Cases - Enter Cases'!H545,"")</f>
        <v/>
      </c>
      <c r="J545" t="str">
        <f>IF($A545&lt;&gt;"",'All Cases - Enter Cases'!I545,"")</f>
        <v/>
      </c>
      <c r="K545" t="str">
        <f>IF($A545&lt;&gt;"",'All Cases - Enter Cases'!J545,"")</f>
        <v/>
      </c>
      <c r="L545" s="4" t="str">
        <f>IF($A545&lt;&gt;"",'All Cases - Enter Cases'!K545,"")</f>
        <v/>
      </c>
      <c r="M545" t="str">
        <f>IF($A545&lt;&gt;"",'All Cases - Enter Cases'!L545,"")</f>
        <v/>
      </c>
    </row>
    <row r="546" spans="1:13" x14ac:dyDescent="0.35">
      <c r="A546" s="4" t="str">
        <f>IF('All Cases - Enter Cases'!$K546="Approved",'All Cases - Enter Cases'!A546,"")</f>
        <v/>
      </c>
      <c r="B546" s="4" t="str">
        <f>IF($N546&lt;&gt;"",$N546,IF($A546&lt;&gt;"",'All Cases - Enter Cases'!$L546+7,""))</f>
        <v/>
      </c>
      <c r="C546" t="str">
        <f>IF($A546&lt;&gt;"",'All Cases - Enter Cases'!B546,"")</f>
        <v/>
      </c>
      <c r="D546" t="str">
        <f>IF($A546&lt;&gt;"",'All Cases - Enter Cases'!C546,"")</f>
        <v/>
      </c>
      <c r="E546" t="str">
        <f>IF($A546&lt;&gt;"",'All Cases - Enter Cases'!D546,"")</f>
        <v/>
      </c>
      <c r="F546" s="12" t="str">
        <f>IF($A546&lt;&gt;"",'All Cases - Enter Cases'!E546,"")</f>
        <v/>
      </c>
      <c r="G546" s="12" t="str">
        <f>IF($A546&lt;&gt;"",'All Cases - Enter Cases'!F546,"")</f>
        <v/>
      </c>
      <c r="H546" s="4" t="str">
        <f>IF($A546&lt;&gt;"",'All Cases - Enter Cases'!G546,"")</f>
        <v/>
      </c>
      <c r="I546" t="str">
        <f>IF($A546&lt;&gt;"",'All Cases - Enter Cases'!H546,"")</f>
        <v/>
      </c>
      <c r="J546" t="str">
        <f>IF($A546&lt;&gt;"",'All Cases - Enter Cases'!I546,"")</f>
        <v/>
      </c>
      <c r="K546" t="str">
        <f>IF($A546&lt;&gt;"",'All Cases - Enter Cases'!J546,"")</f>
        <v/>
      </c>
      <c r="L546" s="4" t="str">
        <f>IF($A546&lt;&gt;"",'All Cases - Enter Cases'!K546,"")</f>
        <v/>
      </c>
      <c r="M546" t="str">
        <f>IF($A546&lt;&gt;"",'All Cases - Enter Cases'!L546,"")</f>
        <v/>
      </c>
    </row>
    <row r="547" spans="1:13" x14ac:dyDescent="0.35">
      <c r="A547" s="4" t="str">
        <f>IF('All Cases - Enter Cases'!$K547="Approved",'All Cases - Enter Cases'!A547,"")</f>
        <v/>
      </c>
      <c r="B547" s="4" t="str">
        <f>IF($N547&lt;&gt;"",$N547,IF($A547&lt;&gt;"",'All Cases - Enter Cases'!$L547+7,""))</f>
        <v/>
      </c>
      <c r="C547" t="str">
        <f>IF($A547&lt;&gt;"",'All Cases - Enter Cases'!B547,"")</f>
        <v/>
      </c>
      <c r="D547" t="str">
        <f>IF($A547&lt;&gt;"",'All Cases - Enter Cases'!C547,"")</f>
        <v/>
      </c>
      <c r="E547" t="str">
        <f>IF($A547&lt;&gt;"",'All Cases - Enter Cases'!D547,"")</f>
        <v/>
      </c>
      <c r="F547" s="12" t="str">
        <f>IF($A547&lt;&gt;"",'All Cases - Enter Cases'!E547,"")</f>
        <v/>
      </c>
      <c r="G547" s="12" t="str">
        <f>IF($A547&lt;&gt;"",'All Cases - Enter Cases'!F547,"")</f>
        <v/>
      </c>
      <c r="H547" s="4" t="str">
        <f>IF($A547&lt;&gt;"",'All Cases - Enter Cases'!G547,"")</f>
        <v/>
      </c>
      <c r="I547" t="str">
        <f>IF($A547&lt;&gt;"",'All Cases - Enter Cases'!H547,"")</f>
        <v/>
      </c>
      <c r="J547" t="str">
        <f>IF($A547&lt;&gt;"",'All Cases - Enter Cases'!I547,"")</f>
        <v/>
      </c>
      <c r="K547" t="str">
        <f>IF($A547&lt;&gt;"",'All Cases - Enter Cases'!J547,"")</f>
        <v/>
      </c>
      <c r="L547" s="4" t="str">
        <f>IF($A547&lt;&gt;"",'All Cases - Enter Cases'!K547,"")</f>
        <v/>
      </c>
      <c r="M547" t="str">
        <f>IF($A547&lt;&gt;"",'All Cases - Enter Cases'!L547,"")</f>
        <v/>
      </c>
    </row>
    <row r="548" spans="1:13" x14ac:dyDescent="0.35">
      <c r="A548" s="4" t="str">
        <f>IF('All Cases - Enter Cases'!$K548="Approved",'All Cases - Enter Cases'!A548,"")</f>
        <v/>
      </c>
      <c r="B548" s="4" t="str">
        <f>IF($N548&lt;&gt;"",$N548,IF($A548&lt;&gt;"",'All Cases - Enter Cases'!$L548+7,""))</f>
        <v/>
      </c>
      <c r="C548" t="str">
        <f>IF($A548&lt;&gt;"",'All Cases - Enter Cases'!B548,"")</f>
        <v/>
      </c>
      <c r="D548" t="str">
        <f>IF($A548&lt;&gt;"",'All Cases - Enter Cases'!C548,"")</f>
        <v/>
      </c>
      <c r="E548" t="str">
        <f>IF($A548&lt;&gt;"",'All Cases - Enter Cases'!D548,"")</f>
        <v/>
      </c>
      <c r="F548" s="12" t="str">
        <f>IF($A548&lt;&gt;"",'All Cases - Enter Cases'!E548,"")</f>
        <v/>
      </c>
      <c r="G548" s="12" t="str">
        <f>IF($A548&lt;&gt;"",'All Cases - Enter Cases'!F548,"")</f>
        <v/>
      </c>
      <c r="H548" s="4" t="str">
        <f>IF($A548&lt;&gt;"",'All Cases - Enter Cases'!G548,"")</f>
        <v/>
      </c>
      <c r="I548" t="str">
        <f>IF($A548&lt;&gt;"",'All Cases - Enter Cases'!H548,"")</f>
        <v/>
      </c>
      <c r="J548" t="str">
        <f>IF($A548&lt;&gt;"",'All Cases - Enter Cases'!I548,"")</f>
        <v/>
      </c>
      <c r="K548" t="str">
        <f>IF($A548&lt;&gt;"",'All Cases - Enter Cases'!J548,"")</f>
        <v/>
      </c>
      <c r="L548" s="4" t="str">
        <f>IF($A548&lt;&gt;"",'All Cases - Enter Cases'!K548,"")</f>
        <v/>
      </c>
      <c r="M548" t="str">
        <f>IF($A548&lt;&gt;"",'All Cases - Enter Cases'!L548,"")</f>
        <v/>
      </c>
    </row>
    <row r="549" spans="1:13" x14ac:dyDescent="0.35">
      <c r="A549" s="4" t="str">
        <f>IF('All Cases - Enter Cases'!$K549="Approved",'All Cases - Enter Cases'!A549,"")</f>
        <v/>
      </c>
      <c r="B549" s="4" t="str">
        <f>IF($N549&lt;&gt;"",$N549,IF($A549&lt;&gt;"",'All Cases - Enter Cases'!$L549+7,""))</f>
        <v/>
      </c>
      <c r="C549" t="str">
        <f>IF($A549&lt;&gt;"",'All Cases - Enter Cases'!B549,"")</f>
        <v/>
      </c>
      <c r="D549" t="str">
        <f>IF($A549&lt;&gt;"",'All Cases - Enter Cases'!C549,"")</f>
        <v/>
      </c>
      <c r="E549" t="str">
        <f>IF($A549&lt;&gt;"",'All Cases - Enter Cases'!D549,"")</f>
        <v/>
      </c>
      <c r="F549" s="12" t="str">
        <f>IF($A549&lt;&gt;"",'All Cases - Enter Cases'!E549,"")</f>
        <v/>
      </c>
      <c r="G549" s="12" t="str">
        <f>IF($A549&lt;&gt;"",'All Cases - Enter Cases'!F549,"")</f>
        <v/>
      </c>
      <c r="H549" s="4" t="str">
        <f>IF($A549&lt;&gt;"",'All Cases - Enter Cases'!G549,"")</f>
        <v/>
      </c>
      <c r="I549" t="str">
        <f>IF($A549&lt;&gt;"",'All Cases - Enter Cases'!H549,"")</f>
        <v/>
      </c>
      <c r="J549" t="str">
        <f>IF($A549&lt;&gt;"",'All Cases - Enter Cases'!I549,"")</f>
        <v/>
      </c>
      <c r="K549" t="str">
        <f>IF($A549&lt;&gt;"",'All Cases - Enter Cases'!J549,"")</f>
        <v/>
      </c>
      <c r="L549" s="4" t="str">
        <f>IF($A549&lt;&gt;"",'All Cases - Enter Cases'!K549,"")</f>
        <v/>
      </c>
      <c r="M549" t="str">
        <f>IF($A549&lt;&gt;"",'All Cases - Enter Cases'!L549,"")</f>
        <v/>
      </c>
    </row>
    <row r="550" spans="1:13" x14ac:dyDescent="0.35">
      <c r="A550" s="4" t="str">
        <f>IF('All Cases - Enter Cases'!$K550="Approved",'All Cases - Enter Cases'!A550,"")</f>
        <v/>
      </c>
      <c r="B550" s="4" t="str">
        <f>IF($N550&lt;&gt;"",$N550,IF($A550&lt;&gt;"",'All Cases - Enter Cases'!$L550+7,""))</f>
        <v/>
      </c>
      <c r="C550" t="str">
        <f>IF($A550&lt;&gt;"",'All Cases - Enter Cases'!B550,"")</f>
        <v/>
      </c>
      <c r="D550" t="str">
        <f>IF($A550&lt;&gt;"",'All Cases - Enter Cases'!C550,"")</f>
        <v/>
      </c>
      <c r="E550" t="str">
        <f>IF($A550&lt;&gt;"",'All Cases - Enter Cases'!D550,"")</f>
        <v/>
      </c>
      <c r="F550" s="12" t="str">
        <f>IF($A550&lt;&gt;"",'All Cases - Enter Cases'!E550,"")</f>
        <v/>
      </c>
      <c r="G550" s="12" t="str">
        <f>IF($A550&lt;&gt;"",'All Cases - Enter Cases'!F550,"")</f>
        <v/>
      </c>
      <c r="H550" s="4" t="str">
        <f>IF($A550&lt;&gt;"",'All Cases - Enter Cases'!G550,"")</f>
        <v/>
      </c>
      <c r="I550" t="str">
        <f>IF($A550&lt;&gt;"",'All Cases - Enter Cases'!H550,"")</f>
        <v/>
      </c>
      <c r="J550" t="str">
        <f>IF($A550&lt;&gt;"",'All Cases - Enter Cases'!I550,"")</f>
        <v/>
      </c>
      <c r="K550" t="str">
        <f>IF($A550&lt;&gt;"",'All Cases - Enter Cases'!J550,"")</f>
        <v/>
      </c>
      <c r="L550" s="4" t="str">
        <f>IF($A550&lt;&gt;"",'All Cases - Enter Cases'!K550,"")</f>
        <v/>
      </c>
      <c r="M550" t="str">
        <f>IF($A550&lt;&gt;"",'All Cases - Enter Cases'!L550,"")</f>
        <v/>
      </c>
    </row>
    <row r="551" spans="1:13" x14ac:dyDescent="0.35">
      <c r="A551" s="4" t="str">
        <f>IF('All Cases - Enter Cases'!$K551="Approved",'All Cases - Enter Cases'!A551,"")</f>
        <v/>
      </c>
      <c r="B551" s="4" t="str">
        <f>IF($N551&lt;&gt;"",$N551,IF($A551&lt;&gt;"",'All Cases - Enter Cases'!$L551+7,""))</f>
        <v/>
      </c>
      <c r="C551" t="str">
        <f>IF($A551&lt;&gt;"",'All Cases - Enter Cases'!B551,"")</f>
        <v/>
      </c>
      <c r="D551" t="str">
        <f>IF($A551&lt;&gt;"",'All Cases - Enter Cases'!C551,"")</f>
        <v/>
      </c>
      <c r="E551" t="str">
        <f>IF($A551&lt;&gt;"",'All Cases - Enter Cases'!D551,"")</f>
        <v/>
      </c>
      <c r="F551" s="12" t="str">
        <f>IF($A551&lt;&gt;"",'All Cases - Enter Cases'!E551,"")</f>
        <v/>
      </c>
      <c r="G551" s="12" t="str">
        <f>IF($A551&lt;&gt;"",'All Cases - Enter Cases'!F551,"")</f>
        <v/>
      </c>
      <c r="H551" s="4" t="str">
        <f>IF($A551&lt;&gt;"",'All Cases - Enter Cases'!G551,"")</f>
        <v/>
      </c>
      <c r="I551" t="str">
        <f>IF($A551&lt;&gt;"",'All Cases - Enter Cases'!H551,"")</f>
        <v/>
      </c>
      <c r="J551" t="str">
        <f>IF($A551&lt;&gt;"",'All Cases - Enter Cases'!I551,"")</f>
        <v/>
      </c>
      <c r="K551" t="str">
        <f>IF($A551&lt;&gt;"",'All Cases - Enter Cases'!J551,"")</f>
        <v/>
      </c>
      <c r="L551" s="4" t="str">
        <f>IF($A551&lt;&gt;"",'All Cases - Enter Cases'!K551,"")</f>
        <v/>
      </c>
      <c r="M551" t="str">
        <f>IF($A551&lt;&gt;"",'All Cases - Enter Cases'!L551,"")</f>
        <v/>
      </c>
    </row>
    <row r="552" spans="1:13" x14ac:dyDescent="0.35">
      <c r="A552" s="4" t="str">
        <f>IF('All Cases - Enter Cases'!$K552="Approved",'All Cases - Enter Cases'!A552,"")</f>
        <v/>
      </c>
      <c r="B552" s="4" t="str">
        <f>IF($N552&lt;&gt;"",$N552,IF($A552&lt;&gt;"",'All Cases - Enter Cases'!$L552+7,""))</f>
        <v/>
      </c>
      <c r="C552" t="str">
        <f>IF($A552&lt;&gt;"",'All Cases - Enter Cases'!B552,"")</f>
        <v/>
      </c>
      <c r="D552" t="str">
        <f>IF($A552&lt;&gt;"",'All Cases - Enter Cases'!C552,"")</f>
        <v/>
      </c>
      <c r="E552" t="str">
        <f>IF($A552&lt;&gt;"",'All Cases - Enter Cases'!D552,"")</f>
        <v/>
      </c>
      <c r="F552" s="12" t="str">
        <f>IF($A552&lt;&gt;"",'All Cases - Enter Cases'!E552,"")</f>
        <v/>
      </c>
      <c r="G552" s="12" t="str">
        <f>IF($A552&lt;&gt;"",'All Cases - Enter Cases'!F552,"")</f>
        <v/>
      </c>
      <c r="H552" s="4" t="str">
        <f>IF($A552&lt;&gt;"",'All Cases - Enter Cases'!G552,"")</f>
        <v/>
      </c>
      <c r="I552" t="str">
        <f>IF($A552&lt;&gt;"",'All Cases - Enter Cases'!H552,"")</f>
        <v/>
      </c>
      <c r="J552" t="str">
        <f>IF($A552&lt;&gt;"",'All Cases - Enter Cases'!I552,"")</f>
        <v/>
      </c>
      <c r="K552" t="str">
        <f>IF($A552&lt;&gt;"",'All Cases - Enter Cases'!J552,"")</f>
        <v/>
      </c>
      <c r="L552" s="4" t="str">
        <f>IF($A552&lt;&gt;"",'All Cases - Enter Cases'!K552,"")</f>
        <v/>
      </c>
      <c r="M552" t="str">
        <f>IF($A552&lt;&gt;"",'All Cases - Enter Cases'!L552,"")</f>
        <v/>
      </c>
    </row>
    <row r="553" spans="1:13" x14ac:dyDescent="0.35">
      <c r="A553" s="4" t="str">
        <f>IF('All Cases - Enter Cases'!$K553="Approved",'All Cases - Enter Cases'!A553,"")</f>
        <v/>
      </c>
      <c r="B553" s="4" t="str">
        <f>IF($N553&lt;&gt;"",$N553,IF($A553&lt;&gt;"",'All Cases - Enter Cases'!$L553+7,""))</f>
        <v/>
      </c>
      <c r="C553" t="str">
        <f>IF($A553&lt;&gt;"",'All Cases - Enter Cases'!B553,"")</f>
        <v/>
      </c>
      <c r="D553" t="str">
        <f>IF($A553&lt;&gt;"",'All Cases - Enter Cases'!C553,"")</f>
        <v/>
      </c>
      <c r="E553" t="str">
        <f>IF($A553&lt;&gt;"",'All Cases - Enter Cases'!D553,"")</f>
        <v/>
      </c>
      <c r="F553" s="12" t="str">
        <f>IF($A553&lt;&gt;"",'All Cases - Enter Cases'!E553,"")</f>
        <v/>
      </c>
      <c r="G553" s="12" t="str">
        <f>IF($A553&lt;&gt;"",'All Cases - Enter Cases'!F553,"")</f>
        <v/>
      </c>
      <c r="H553" s="4" t="str">
        <f>IF($A553&lt;&gt;"",'All Cases - Enter Cases'!G553,"")</f>
        <v/>
      </c>
      <c r="I553" t="str">
        <f>IF($A553&lt;&gt;"",'All Cases - Enter Cases'!H553,"")</f>
        <v/>
      </c>
      <c r="J553" t="str">
        <f>IF($A553&lt;&gt;"",'All Cases - Enter Cases'!I553,"")</f>
        <v/>
      </c>
      <c r="K553" t="str">
        <f>IF($A553&lt;&gt;"",'All Cases - Enter Cases'!J553,"")</f>
        <v/>
      </c>
      <c r="L553" s="4" t="str">
        <f>IF($A553&lt;&gt;"",'All Cases - Enter Cases'!K553,"")</f>
        <v/>
      </c>
      <c r="M553" t="str">
        <f>IF($A553&lt;&gt;"",'All Cases - Enter Cases'!L553,"")</f>
        <v/>
      </c>
    </row>
    <row r="554" spans="1:13" x14ac:dyDescent="0.35">
      <c r="A554" s="4" t="str">
        <f>IF('All Cases - Enter Cases'!$K554="Approved",'All Cases - Enter Cases'!A554,"")</f>
        <v/>
      </c>
      <c r="B554" s="4" t="str">
        <f>IF($N554&lt;&gt;"",$N554,IF($A554&lt;&gt;"",'All Cases - Enter Cases'!$L554+7,""))</f>
        <v/>
      </c>
      <c r="C554" t="str">
        <f>IF($A554&lt;&gt;"",'All Cases - Enter Cases'!B554,"")</f>
        <v/>
      </c>
      <c r="D554" t="str">
        <f>IF($A554&lt;&gt;"",'All Cases - Enter Cases'!C554,"")</f>
        <v/>
      </c>
      <c r="E554" t="str">
        <f>IF($A554&lt;&gt;"",'All Cases - Enter Cases'!D554,"")</f>
        <v/>
      </c>
      <c r="F554" s="12" t="str">
        <f>IF($A554&lt;&gt;"",'All Cases - Enter Cases'!E554,"")</f>
        <v/>
      </c>
      <c r="G554" s="12" t="str">
        <f>IF($A554&lt;&gt;"",'All Cases - Enter Cases'!F554,"")</f>
        <v/>
      </c>
      <c r="H554" s="4" t="str">
        <f>IF($A554&lt;&gt;"",'All Cases - Enter Cases'!G554,"")</f>
        <v/>
      </c>
      <c r="I554" t="str">
        <f>IF($A554&lt;&gt;"",'All Cases - Enter Cases'!H554,"")</f>
        <v/>
      </c>
      <c r="J554" t="str">
        <f>IF($A554&lt;&gt;"",'All Cases - Enter Cases'!I554,"")</f>
        <v/>
      </c>
      <c r="K554" t="str">
        <f>IF($A554&lt;&gt;"",'All Cases - Enter Cases'!J554,"")</f>
        <v/>
      </c>
      <c r="L554" s="4" t="str">
        <f>IF($A554&lt;&gt;"",'All Cases - Enter Cases'!K554,"")</f>
        <v/>
      </c>
      <c r="M554" t="str">
        <f>IF($A554&lt;&gt;"",'All Cases - Enter Cases'!L554,"")</f>
        <v/>
      </c>
    </row>
    <row r="555" spans="1:13" x14ac:dyDescent="0.35">
      <c r="A555" s="4" t="str">
        <f>IF('All Cases - Enter Cases'!$K555="Approved",'All Cases - Enter Cases'!A555,"")</f>
        <v/>
      </c>
      <c r="B555" s="4" t="str">
        <f>IF($N555&lt;&gt;"",$N555,IF($A555&lt;&gt;"",'All Cases - Enter Cases'!$L555+7,""))</f>
        <v/>
      </c>
      <c r="C555" t="str">
        <f>IF($A555&lt;&gt;"",'All Cases - Enter Cases'!B555,"")</f>
        <v/>
      </c>
      <c r="D555" t="str">
        <f>IF($A555&lt;&gt;"",'All Cases - Enter Cases'!C555,"")</f>
        <v/>
      </c>
      <c r="E555" t="str">
        <f>IF($A555&lt;&gt;"",'All Cases - Enter Cases'!D555,"")</f>
        <v/>
      </c>
      <c r="F555" s="12" t="str">
        <f>IF($A555&lt;&gt;"",'All Cases - Enter Cases'!E555,"")</f>
        <v/>
      </c>
      <c r="G555" s="12" t="str">
        <f>IF($A555&lt;&gt;"",'All Cases - Enter Cases'!F555,"")</f>
        <v/>
      </c>
      <c r="H555" s="4" t="str">
        <f>IF($A555&lt;&gt;"",'All Cases - Enter Cases'!G555,"")</f>
        <v/>
      </c>
      <c r="I555" t="str">
        <f>IF($A555&lt;&gt;"",'All Cases - Enter Cases'!H555,"")</f>
        <v/>
      </c>
      <c r="J555" t="str">
        <f>IF($A555&lt;&gt;"",'All Cases - Enter Cases'!I555,"")</f>
        <v/>
      </c>
      <c r="K555" t="str">
        <f>IF($A555&lt;&gt;"",'All Cases - Enter Cases'!J555,"")</f>
        <v/>
      </c>
      <c r="L555" s="4" t="str">
        <f>IF($A555&lt;&gt;"",'All Cases - Enter Cases'!K555,"")</f>
        <v/>
      </c>
      <c r="M555" t="str">
        <f>IF($A555&lt;&gt;"",'All Cases - Enter Cases'!L555,"")</f>
        <v/>
      </c>
    </row>
    <row r="556" spans="1:13" x14ac:dyDescent="0.35">
      <c r="A556" s="4" t="str">
        <f>IF('All Cases - Enter Cases'!$K556="Approved",'All Cases - Enter Cases'!A556,"")</f>
        <v/>
      </c>
      <c r="B556" s="4" t="str">
        <f>IF($N556&lt;&gt;"",$N556,IF($A556&lt;&gt;"",'All Cases - Enter Cases'!$L556+7,""))</f>
        <v/>
      </c>
      <c r="C556" t="str">
        <f>IF($A556&lt;&gt;"",'All Cases - Enter Cases'!B556,"")</f>
        <v/>
      </c>
      <c r="D556" t="str">
        <f>IF($A556&lt;&gt;"",'All Cases - Enter Cases'!C556,"")</f>
        <v/>
      </c>
      <c r="E556" t="str">
        <f>IF($A556&lt;&gt;"",'All Cases - Enter Cases'!D556,"")</f>
        <v/>
      </c>
      <c r="F556" s="12" t="str">
        <f>IF($A556&lt;&gt;"",'All Cases - Enter Cases'!E556,"")</f>
        <v/>
      </c>
      <c r="G556" s="12" t="str">
        <f>IF($A556&lt;&gt;"",'All Cases - Enter Cases'!F556,"")</f>
        <v/>
      </c>
      <c r="H556" s="4" t="str">
        <f>IF($A556&lt;&gt;"",'All Cases - Enter Cases'!G556,"")</f>
        <v/>
      </c>
      <c r="I556" t="str">
        <f>IF($A556&lt;&gt;"",'All Cases - Enter Cases'!H556,"")</f>
        <v/>
      </c>
      <c r="J556" t="str">
        <f>IF($A556&lt;&gt;"",'All Cases - Enter Cases'!I556,"")</f>
        <v/>
      </c>
      <c r="K556" t="str">
        <f>IF($A556&lt;&gt;"",'All Cases - Enter Cases'!J556,"")</f>
        <v/>
      </c>
      <c r="L556" s="4" t="str">
        <f>IF($A556&lt;&gt;"",'All Cases - Enter Cases'!K556,"")</f>
        <v/>
      </c>
      <c r="M556" t="str">
        <f>IF($A556&lt;&gt;"",'All Cases - Enter Cases'!L556,"")</f>
        <v/>
      </c>
    </row>
    <row r="557" spans="1:13" x14ac:dyDescent="0.35">
      <c r="A557" s="4" t="str">
        <f>IF('All Cases - Enter Cases'!$K557="Approved",'All Cases - Enter Cases'!A557,"")</f>
        <v/>
      </c>
      <c r="B557" s="4" t="str">
        <f>IF($N557&lt;&gt;"",$N557,IF($A557&lt;&gt;"",'All Cases - Enter Cases'!$L557+7,""))</f>
        <v/>
      </c>
      <c r="C557" t="str">
        <f>IF($A557&lt;&gt;"",'All Cases - Enter Cases'!B557,"")</f>
        <v/>
      </c>
      <c r="D557" t="str">
        <f>IF($A557&lt;&gt;"",'All Cases - Enter Cases'!C557,"")</f>
        <v/>
      </c>
      <c r="E557" t="str">
        <f>IF($A557&lt;&gt;"",'All Cases - Enter Cases'!D557,"")</f>
        <v/>
      </c>
      <c r="F557" s="12" t="str">
        <f>IF($A557&lt;&gt;"",'All Cases - Enter Cases'!E557,"")</f>
        <v/>
      </c>
      <c r="G557" s="12" t="str">
        <f>IF($A557&lt;&gt;"",'All Cases - Enter Cases'!F557,"")</f>
        <v/>
      </c>
      <c r="H557" s="4" t="str">
        <f>IF($A557&lt;&gt;"",'All Cases - Enter Cases'!G557,"")</f>
        <v/>
      </c>
      <c r="I557" t="str">
        <f>IF($A557&lt;&gt;"",'All Cases - Enter Cases'!H557,"")</f>
        <v/>
      </c>
      <c r="J557" t="str">
        <f>IF($A557&lt;&gt;"",'All Cases - Enter Cases'!I557,"")</f>
        <v/>
      </c>
      <c r="K557" t="str">
        <f>IF($A557&lt;&gt;"",'All Cases - Enter Cases'!J557,"")</f>
        <v/>
      </c>
      <c r="L557" s="4" t="str">
        <f>IF($A557&lt;&gt;"",'All Cases - Enter Cases'!K557,"")</f>
        <v/>
      </c>
      <c r="M557" t="str">
        <f>IF($A557&lt;&gt;"",'All Cases - Enter Cases'!L557,"")</f>
        <v/>
      </c>
    </row>
    <row r="558" spans="1:13" x14ac:dyDescent="0.35">
      <c r="A558" s="4" t="str">
        <f>IF('All Cases - Enter Cases'!$K558="Approved",'All Cases - Enter Cases'!A558,"")</f>
        <v/>
      </c>
      <c r="B558" s="4" t="str">
        <f>IF($N558&lt;&gt;"",$N558,IF($A558&lt;&gt;"",'All Cases - Enter Cases'!$L558+7,""))</f>
        <v/>
      </c>
      <c r="C558" t="str">
        <f>IF($A558&lt;&gt;"",'All Cases - Enter Cases'!B558,"")</f>
        <v/>
      </c>
      <c r="D558" t="str">
        <f>IF($A558&lt;&gt;"",'All Cases - Enter Cases'!C558,"")</f>
        <v/>
      </c>
      <c r="E558" t="str">
        <f>IF($A558&lt;&gt;"",'All Cases - Enter Cases'!D558,"")</f>
        <v/>
      </c>
      <c r="F558" s="12" t="str">
        <f>IF($A558&lt;&gt;"",'All Cases - Enter Cases'!E558,"")</f>
        <v/>
      </c>
      <c r="G558" s="12" t="str">
        <f>IF($A558&lt;&gt;"",'All Cases - Enter Cases'!F558,"")</f>
        <v/>
      </c>
      <c r="H558" s="4" t="str">
        <f>IF($A558&lt;&gt;"",'All Cases - Enter Cases'!G558,"")</f>
        <v/>
      </c>
      <c r="I558" t="str">
        <f>IF($A558&lt;&gt;"",'All Cases - Enter Cases'!H558,"")</f>
        <v/>
      </c>
      <c r="J558" t="str">
        <f>IF($A558&lt;&gt;"",'All Cases - Enter Cases'!I558,"")</f>
        <v/>
      </c>
      <c r="K558" t="str">
        <f>IF($A558&lt;&gt;"",'All Cases - Enter Cases'!J558,"")</f>
        <v/>
      </c>
      <c r="L558" s="4" t="str">
        <f>IF($A558&lt;&gt;"",'All Cases - Enter Cases'!K558,"")</f>
        <v/>
      </c>
      <c r="M558" t="str">
        <f>IF($A558&lt;&gt;"",'All Cases - Enter Cases'!L558,"")</f>
        <v/>
      </c>
    </row>
    <row r="559" spans="1:13" x14ac:dyDescent="0.35">
      <c r="A559" s="4" t="str">
        <f>IF('All Cases - Enter Cases'!$K559="Approved",'All Cases - Enter Cases'!A559,"")</f>
        <v/>
      </c>
      <c r="B559" s="4" t="str">
        <f>IF($N559&lt;&gt;"",$N559,IF($A559&lt;&gt;"",'All Cases - Enter Cases'!$L559+7,""))</f>
        <v/>
      </c>
      <c r="C559" t="str">
        <f>IF($A559&lt;&gt;"",'All Cases - Enter Cases'!B559,"")</f>
        <v/>
      </c>
      <c r="D559" t="str">
        <f>IF($A559&lt;&gt;"",'All Cases - Enter Cases'!C559,"")</f>
        <v/>
      </c>
      <c r="E559" t="str">
        <f>IF($A559&lt;&gt;"",'All Cases - Enter Cases'!D559,"")</f>
        <v/>
      </c>
      <c r="F559" s="12" t="str">
        <f>IF($A559&lt;&gt;"",'All Cases - Enter Cases'!E559,"")</f>
        <v/>
      </c>
      <c r="G559" s="12" t="str">
        <f>IF($A559&lt;&gt;"",'All Cases - Enter Cases'!F559,"")</f>
        <v/>
      </c>
      <c r="H559" s="4" t="str">
        <f>IF($A559&lt;&gt;"",'All Cases - Enter Cases'!G559,"")</f>
        <v/>
      </c>
      <c r="I559" t="str">
        <f>IF($A559&lt;&gt;"",'All Cases - Enter Cases'!H559,"")</f>
        <v/>
      </c>
      <c r="J559" t="str">
        <f>IF($A559&lt;&gt;"",'All Cases - Enter Cases'!I559,"")</f>
        <v/>
      </c>
      <c r="K559" t="str">
        <f>IF($A559&lt;&gt;"",'All Cases - Enter Cases'!J559,"")</f>
        <v/>
      </c>
      <c r="L559" s="4" t="str">
        <f>IF($A559&lt;&gt;"",'All Cases - Enter Cases'!K559,"")</f>
        <v/>
      </c>
      <c r="M559" t="str">
        <f>IF($A559&lt;&gt;"",'All Cases - Enter Cases'!L559,"")</f>
        <v/>
      </c>
    </row>
    <row r="560" spans="1:13" x14ac:dyDescent="0.35">
      <c r="A560" s="4" t="str">
        <f>IF('All Cases - Enter Cases'!$K560="Approved",'All Cases - Enter Cases'!A560,"")</f>
        <v/>
      </c>
      <c r="B560" s="4" t="str">
        <f>IF($N560&lt;&gt;"",$N560,IF($A560&lt;&gt;"",'All Cases - Enter Cases'!$L560+7,""))</f>
        <v/>
      </c>
      <c r="C560" t="str">
        <f>IF($A560&lt;&gt;"",'All Cases - Enter Cases'!B560,"")</f>
        <v/>
      </c>
      <c r="D560" t="str">
        <f>IF($A560&lt;&gt;"",'All Cases - Enter Cases'!C560,"")</f>
        <v/>
      </c>
      <c r="E560" t="str">
        <f>IF($A560&lt;&gt;"",'All Cases - Enter Cases'!D560,"")</f>
        <v/>
      </c>
      <c r="F560" s="12" t="str">
        <f>IF($A560&lt;&gt;"",'All Cases - Enter Cases'!E560,"")</f>
        <v/>
      </c>
      <c r="G560" s="12" t="str">
        <f>IF($A560&lt;&gt;"",'All Cases - Enter Cases'!F560,"")</f>
        <v/>
      </c>
      <c r="H560" s="4" t="str">
        <f>IF($A560&lt;&gt;"",'All Cases - Enter Cases'!G560,"")</f>
        <v/>
      </c>
      <c r="I560" t="str">
        <f>IF($A560&lt;&gt;"",'All Cases - Enter Cases'!H560,"")</f>
        <v/>
      </c>
      <c r="J560" t="str">
        <f>IF($A560&lt;&gt;"",'All Cases - Enter Cases'!I560,"")</f>
        <v/>
      </c>
      <c r="K560" t="str">
        <f>IF($A560&lt;&gt;"",'All Cases - Enter Cases'!J560,"")</f>
        <v/>
      </c>
      <c r="L560" s="4" t="str">
        <f>IF($A560&lt;&gt;"",'All Cases - Enter Cases'!K560,"")</f>
        <v/>
      </c>
      <c r="M560" t="str">
        <f>IF($A560&lt;&gt;"",'All Cases - Enter Cases'!L560,"")</f>
        <v/>
      </c>
    </row>
    <row r="561" spans="1:13" x14ac:dyDescent="0.35">
      <c r="A561" s="4" t="str">
        <f>IF('All Cases - Enter Cases'!$K561="Approved",'All Cases - Enter Cases'!A561,"")</f>
        <v/>
      </c>
      <c r="B561" s="4" t="str">
        <f>IF($N561&lt;&gt;"",$N561,IF($A561&lt;&gt;"",'All Cases - Enter Cases'!$L561+7,""))</f>
        <v/>
      </c>
      <c r="C561" t="str">
        <f>IF($A561&lt;&gt;"",'All Cases - Enter Cases'!B561,"")</f>
        <v/>
      </c>
      <c r="D561" t="str">
        <f>IF($A561&lt;&gt;"",'All Cases - Enter Cases'!C561,"")</f>
        <v/>
      </c>
      <c r="E561" t="str">
        <f>IF($A561&lt;&gt;"",'All Cases - Enter Cases'!D561,"")</f>
        <v/>
      </c>
      <c r="F561" s="12" t="str">
        <f>IF($A561&lt;&gt;"",'All Cases - Enter Cases'!E561,"")</f>
        <v/>
      </c>
      <c r="G561" s="12" t="str">
        <f>IF($A561&lt;&gt;"",'All Cases - Enter Cases'!F561,"")</f>
        <v/>
      </c>
      <c r="H561" s="4" t="str">
        <f>IF($A561&lt;&gt;"",'All Cases - Enter Cases'!G561,"")</f>
        <v/>
      </c>
      <c r="I561" t="str">
        <f>IF($A561&lt;&gt;"",'All Cases - Enter Cases'!H561,"")</f>
        <v/>
      </c>
      <c r="J561" t="str">
        <f>IF($A561&lt;&gt;"",'All Cases - Enter Cases'!I561,"")</f>
        <v/>
      </c>
      <c r="K561" t="str">
        <f>IF($A561&lt;&gt;"",'All Cases - Enter Cases'!J561,"")</f>
        <v/>
      </c>
      <c r="L561" s="4" t="str">
        <f>IF($A561&lt;&gt;"",'All Cases - Enter Cases'!K561,"")</f>
        <v/>
      </c>
      <c r="M561" t="str">
        <f>IF($A561&lt;&gt;"",'All Cases - Enter Cases'!L561,"")</f>
        <v/>
      </c>
    </row>
    <row r="562" spans="1:13" x14ac:dyDescent="0.35">
      <c r="A562" s="4" t="str">
        <f>IF('All Cases - Enter Cases'!$K562="Approved",'All Cases - Enter Cases'!A562,"")</f>
        <v/>
      </c>
      <c r="B562" s="4" t="str">
        <f>IF($N562&lt;&gt;"",$N562,IF($A562&lt;&gt;"",'All Cases - Enter Cases'!$L562+7,""))</f>
        <v/>
      </c>
      <c r="C562" t="str">
        <f>IF($A562&lt;&gt;"",'All Cases - Enter Cases'!B562,"")</f>
        <v/>
      </c>
      <c r="D562" t="str">
        <f>IF($A562&lt;&gt;"",'All Cases - Enter Cases'!C562,"")</f>
        <v/>
      </c>
      <c r="E562" t="str">
        <f>IF($A562&lt;&gt;"",'All Cases - Enter Cases'!D562,"")</f>
        <v/>
      </c>
      <c r="F562" s="12" t="str">
        <f>IF($A562&lt;&gt;"",'All Cases - Enter Cases'!E562,"")</f>
        <v/>
      </c>
      <c r="G562" s="12" t="str">
        <f>IF($A562&lt;&gt;"",'All Cases - Enter Cases'!F562,"")</f>
        <v/>
      </c>
      <c r="H562" s="4" t="str">
        <f>IF($A562&lt;&gt;"",'All Cases - Enter Cases'!G562,"")</f>
        <v/>
      </c>
      <c r="I562" t="str">
        <f>IF($A562&lt;&gt;"",'All Cases - Enter Cases'!H562,"")</f>
        <v/>
      </c>
      <c r="J562" t="str">
        <f>IF($A562&lt;&gt;"",'All Cases - Enter Cases'!I562,"")</f>
        <v/>
      </c>
      <c r="K562" t="str">
        <f>IF($A562&lt;&gt;"",'All Cases - Enter Cases'!J562,"")</f>
        <v/>
      </c>
      <c r="L562" s="4" t="str">
        <f>IF($A562&lt;&gt;"",'All Cases - Enter Cases'!K562,"")</f>
        <v/>
      </c>
      <c r="M562" t="str">
        <f>IF($A562&lt;&gt;"",'All Cases - Enter Cases'!L562,"")</f>
        <v/>
      </c>
    </row>
    <row r="563" spans="1:13" x14ac:dyDescent="0.35">
      <c r="A563" s="4" t="str">
        <f>IF('All Cases - Enter Cases'!$K563="Approved",'All Cases - Enter Cases'!A563,"")</f>
        <v/>
      </c>
      <c r="B563" s="4" t="str">
        <f>IF($N563&lt;&gt;"",$N563,IF($A563&lt;&gt;"",'All Cases - Enter Cases'!$L563+7,""))</f>
        <v/>
      </c>
      <c r="C563" t="str">
        <f>IF($A563&lt;&gt;"",'All Cases - Enter Cases'!B563,"")</f>
        <v/>
      </c>
      <c r="D563" t="str">
        <f>IF($A563&lt;&gt;"",'All Cases - Enter Cases'!C563,"")</f>
        <v/>
      </c>
      <c r="E563" t="str">
        <f>IF($A563&lt;&gt;"",'All Cases - Enter Cases'!D563,"")</f>
        <v/>
      </c>
      <c r="F563" s="12" t="str">
        <f>IF($A563&lt;&gt;"",'All Cases - Enter Cases'!E563,"")</f>
        <v/>
      </c>
      <c r="G563" s="12" t="str">
        <f>IF($A563&lt;&gt;"",'All Cases - Enter Cases'!F563,"")</f>
        <v/>
      </c>
      <c r="H563" s="4" t="str">
        <f>IF($A563&lt;&gt;"",'All Cases - Enter Cases'!G563,"")</f>
        <v/>
      </c>
      <c r="I563" t="str">
        <f>IF($A563&lt;&gt;"",'All Cases - Enter Cases'!H563,"")</f>
        <v/>
      </c>
      <c r="J563" t="str">
        <f>IF($A563&lt;&gt;"",'All Cases - Enter Cases'!I563,"")</f>
        <v/>
      </c>
      <c r="K563" t="str">
        <f>IF($A563&lt;&gt;"",'All Cases - Enter Cases'!J563,"")</f>
        <v/>
      </c>
      <c r="L563" s="4" t="str">
        <f>IF($A563&lt;&gt;"",'All Cases - Enter Cases'!K563,"")</f>
        <v/>
      </c>
      <c r="M563" t="str">
        <f>IF($A563&lt;&gt;"",'All Cases - Enter Cases'!L563,"")</f>
        <v/>
      </c>
    </row>
    <row r="564" spans="1:13" x14ac:dyDescent="0.35">
      <c r="A564" s="4" t="str">
        <f>IF('All Cases - Enter Cases'!$K564="Approved",'All Cases - Enter Cases'!A564,"")</f>
        <v/>
      </c>
      <c r="B564" s="4" t="str">
        <f>IF($N564&lt;&gt;"",$N564,IF($A564&lt;&gt;"",'All Cases - Enter Cases'!$L564+7,""))</f>
        <v/>
      </c>
      <c r="C564" t="str">
        <f>IF($A564&lt;&gt;"",'All Cases - Enter Cases'!B564,"")</f>
        <v/>
      </c>
      <c r="D564" t="str">
        <f>IF($A564&lt;&gt;"",'All Cases - Enter Cases'!C564,"")</f>
        <v/>
      </c>
      <c r="E564" t="str">
        <f>IF($A564&lt;&gt;"",'All Cases - Enter Cases'!D564,"")</f>
        <v/>
      </c>
      <c r="F564" s="12" t="str">
        <f>IF($A564&lt;&gt;"",'All Cases - Enter Cases'!E564,"")</f>
        <v/>
      </c>
      <c r="G564" s="12" t="str">
        <f>IF($A564&lt;&gt;"",'All Cases - Enter Cases'!F564,"")</f>
        <v/>
      </c>
      <c r="H564" s="4" t="str">
        <f>IF($A564&lt;&gt;"",'All Cases - Enter Cases'!G564,"")</f>
        <v/>
      </c>
      <c r="I564" t="str">
        <f>IF($A564&lt;&gt;"",'All Cases - Enter Cases'!H564,"")</f>
        <v/>
      </c>
      <c r="J564" t="str">
        <f>IF($A564&lt;&gt;"",'All Cases - Enter Cases'!I564,"")</f>
        <v/>
      </c>
      <c r="K564" t="str">
        <f>IF($A564&lt;&gt;"",'All Cases - Enter Cases'!J564,"")</f>
        <v/>
      </c>
      <c r="L564" s="4" t="str">
        <f>IF($A564&lt;&gt;"",'All Cases - Enter Cases'!K564,"")</f>
        <v/>
      </c>
      <c r="M564" t="str">
        <f>IF($A564&lt;&gt;"",'All Cases - Enter Cases'!L564,"")</f>
        <v/>
      </c>
    </row>
    <row r="565" spans="1:13" x14ac:dyDescent="0.35">
      <c r="A565" s="4" t="str">
        <f>IF('All Cases - Enter Cases'!$K565="Approved",'All Cases - Enter Cases'!A565,"")</f>
        <v/>
      </c>
      <c r="B565" s="4" t="str">
        <f>IF($N565&lt;&gt;"",$N565,IF($A565&lt;&gt;"",'All Cases - Enter Cases'!$L565+7,""))</f>
        <v/>
      </c>
      <c r="C565" t="str">
        <f>IF($A565&lt;&gt;"",'All Cases - Enter Cases'!B565,"")</f>
        <v/>
      </c>
      <c r="D565" t="str">
        <f>IF($A565&lt;&gt;"",'All Cases - Enter Cases'!C565,"")</f>
        <v/>
      </c>
      <c r="E565" t="str">
        <f>IF($A565&lt;&gt;"",'All Cases - Enter Cases'!D565,"")</f>
        <v/>
      </c>
      <c r="F565" s="12" t="str">
        <f>IF($A565&lt;&gt;"",'All Cases - Enter Cases'!E565,"")</f>
        <v/>
      </c>
      <c r="G565" s="12" t="str">
        <f>IF($A565&lt;&gt;"",'All Cases - Enter Cases'!F565,"")</f>
        <v/>
      </c>
      <c r="H565" s="4" t="str">
        <f>IF($A565&lt;&gt;"",'All Cases - Enter Cases'!G565,"")</f>
        <v/>
      </c>
      <c r="I565" t="str">
        <f>IF($A565&lt;&gt;"",'All Cases - Enter Cases'!H565,"")</f>
        <v/>
      </c>
      <c r="J565" t="str">
        <f>IF($A565&lt;&gt;"",'All Cases - Enter Cases'!I565,"")</f>
        <v/>
      </c>
      <c r="K565" t="str">
        <f>IF($A565&lt;&gt;"",'All Cases - Enter Cases'!J565,"")</f>
        <v/>
      </c>
      <c r="L565" s="4" t="str">
        <f>IF($A565&lt;&gt;"",'All Cases - Enter Cases'!K565,"")</f>
        <v/>
      </c>
      <c r="M565" t="str">
        <f>IF($A565&lt;&gt;"",'All Cases - Enter Cases'!L565,"")</f>
        <v/>
      </c>
    </row>
    <row r="566" spans="1:13" x14ac:dyDescent="0.35">
      <c r="A566" s="4" t="str">
        <f>IF('All Cases - Enter Cases'!$K566="Approved",'All Cases - Enter Cases'!A566,"")</f>
        <v/>
      </c>
      <c r="B566" s="4" t="str">
        <f>IF($N566&lt;&gt;"",$N566,IF($A566&lt;&gt;"",'All Cases - Enter Cases'!$L566+7,""))</f>
        <v/>
      </c>
      <c r="C566" t="str">
        <f>IF($A566&lt;&gt;"",'All Cases - Enter Cases'!B566,"")</f>
        <v/>
      </c>
      <c r="D566" t="str">
        <f>IF($A566&lt;&gt;"",'All Cases - Enter Cases'!C566,"")</f>
        <v/>
      </c>
      <c r="E566" t="str">
        <f>IF($A566&lt;&gt;"",'All Cases - Enter Cases'!D566,"")</f>
        <v/>
      </c>
      <c r="F566" s="12" t="str">
        <f>IF($A566&lt;&gt;"",'All Cases - Enter Cases'!E566,"")</f>
        <v/>
      </c>
      <c r="G566" s="12" t="str">
        <f>IF($A566&lt;&gt;"",'All Cases - Enter Cases'!F566,"")</f>
        <v/>
      </c>
      <c r="H566" s="4" t="str">
        <f>IF($A566&lt;&gt;"",'All Cases - Enter Cases'!G566,"")</f>
        <v/>
      </c>
      <c r="I566" t="str">
        <f>IF($A566&lt;&gt;"",'All Cases - Enter Cases'!H566,"")</f>
        <v/>
      </c>
      <c r="J566" t="str">
        <f>IF($A566&lt;&gt;"",'All Cases - Enter Cases'!I566,"")</f>
        <v/>
      </c>
      <c r="K566" t="str">
        <f>IF($A566&lt;&gt;"",'All Cases - Enter Cases'!J566,"")</f>
        <v/>
      </c>
      <c r="L566" s="4" t="str">
        <f>IF($A566&lt;&gt;"",'All Cases - Enter Cases'!K566,"")</f>
        <v/>
      </c>
      <c r="M566" t="str">
        <f>IF($A566&lt;&gt;"",'All Cases - Enter Cases'!L566,"")</f>
        <v/>
      </c>
    </row>
    <row r="567" spans="1:13" x14ac:dyDescent="0.35">
      <c r="A567" s="4" t="str">
        <f>IF('All Cases - Enter Cases'!$K567="Approved",'All Cases - Enter Cases'!A567,"")</f>
        <v/>
      </c>
      <c r="B567" s="4" t="str">
        <f>IF($N567&lt;&gt;"",$N567,IF($A567&lt;&gt;"",'All Cases - Enter Cases'!$L567+7,""))</f>
        <v/>
      </c>
      <c r="C567" t="str">
        <f>IF($A567&lt;&gt;"",'All Cases - Enter Cases'!B567,"")</f>
        <v/>
      </c>
      <c r="D567" t="str">
        <f>IF($A567&lt;&gt;"",'All Cases - Enter Cases'!C567,"")</f>
        <v/>
      </c>
      <c r="E567" t="str">
        <f>IF($A567&lt;&gt;"",'All Cases - Enter Cases'!D567,"")</f>
        <v/>
      </c>
      <c r="F567" s="12" t="str">
        <f>IF($A567&lt;&gt;"",'All Cases - Enter Cases'!E567,"")</f>
        <v/>
      </c>
      <c r="G567" s="12" t="str">
        <f>IF($A567&lt;&gt;"",'All Cases - Enter Cases'!F567,"")</f>
        <v/>
      </c>
      <c r="H567" s="4" t="str">
        <f>IF($A567&lt;&gt;"",'All Cases - Enter Cases'!G567,"")</f>
        <v/>
      </c>
      <c r="I567" t="str">
        <f>IF($A567&lt;&gt;"",'All Cases - Enter Cases'!H567,"")</f>
        <v/>
      </c>
      <c r="J567" t="str">
        <f>IF($A567&lt;&gt;"",'All Cases - Enter Cases'!I567,"")</f>
        <v/>
      </c>
      <c r="K567" t="str">
        <f>IF($A567&lt;&gt;"",'All Cases - Enter Cases'!J567,"")</f>
        <v/>
      </c>
      <c r="L567" s="4" t="str">
        <f>IF($A567&lt;&gt;"",'All Cases - Enter Cases'!K567,"")</f>
        <v/>
      </c>
      <c r="M567" t="str">
        <f>IF($A567&lt;&gt;"",'All Cases - Enter Cases'!L567,"")</f>
        <v/>
      </c>
    </row>
    <row r="568" spans="1:13" x14ac:dyDescent="0.35">
      <c r="A568" s="4" t="str">
        <f>IF('All Cases - Enter Cases'!$K568="Approved",'All Cases - Enter Cases'!A568,"")</f>
        <v/>
      </c>
      <c r="B568" s="4" t="str">
        <f>IF($N568&lt;&gt;"",$N568,IF($A568&lt;&gt;"",'All Cases - Enter Cases'!$L568+7,""))</f>
        <v/>
      </c>
      <c r="C568" t="str">
        <f>IF($A568&lt;&gt;"",'All Cases - Enter Cases'!B568,"")</f>
        <v/>
      </c>
      <c r="D568" t="str">
        <f>IF($A568&lt;&gt;"",'All Cases - Enter Cases'!C568,"")</f>
        <v/>
      </c>
      <c r="E568" t="str">
        <f>IF($A568&lt;&gt;"",'All Cases - Enter Cases'!D568,"")</f>
        <v/>
      </c>
      <c r="F568" s="12" t="str">
        <f>IF($A568&lt;&gt;"",'All Cases - Enter Cases'!E568,"")</f>
        <v/>
      </c>
      <c r="G568" s="12" t="str">
        <f>IF($A568&lt;&gt;"",'All Cases - Enter Cases'!F568,"")</f>
        <v/>
      </c>
      <c r="H568" s="4" t="str">
        <f>IF($A568&lt;&gt;"",'All Cases - Enter Cases'!G568,"")</f>
        <v/>
      </c>
      <c r="I568" t="str">
        <f>IF($A568&lt;&gt;"",'All Cases - Enter Cases'!H568,"")</f>
        <v/>
      </c>
      <c r="J568" t="str">
        <f>IF($A568&lt;&gt;"",'All Cases - Enter Cases'!I568,"")</f>
        <v/>
      </c>
      <c r="K568" t="str">
        <f>IF($A568&lt;&gt;"",'All Cases - Enter Cases'!J568,"")</f>
        <v/>
      </c>
      <c r="L568" s="4" t="str">
        <f>IF($A568&lt;&gt;"",'All Cases - Enter Cases'!K568,"")</f>
        <v/>
      </c>
      <c r="M568" t="str">
        <f>IF($A568&lt;&gt;"",'All Cases - Enter Cases'!L568,"")</f>
        <v/>
      </c>
    </row>
    <row r="569" spans="1:13" x14ac:dyDescent="0.35">
      <c r="A569" s="4" t="str">
        <f>IF('All Cases - Enter Cases'!$K569="Approved",'All Cases - Enter Cases'!A569,"")</f>
        <v/>
      </c>
      <c r="B569" s="4" t="str">
        <f>IF($N569&lt;&gt;"",$N569,IF($A569&lt;&gt;"",'All Cases - Enter Cases'!$L569+7,""))</f>
        <v/>
      </c>
      <c r="C569" t="str">
        <f>IF($A569&lt;&gt;"",'All Cases - Enter Cases'!B569,"")</f>
        <v/>
      </c>
      <c r="D569" t="str">
        <f>IF($A569&lt;&gt;"",'All Cases - Enter Cases'!C569,"")</f>
        <v/>
      </c>
      <c r="E569" t="str">
        <f>IF($A569&lt;&gt;"",'All Cases - Enter Cases'!D569,"")</f>
        <v/>
      </c>
      <c r="F569" s="12" t="str">
        <f>IF($A569&lt;&gt;"",'All Cases - Enter Cases'!E569,"")</f>
        <v/>
      </c>
      <c r="G569" s="12" t="str">
        <f>IF($A569&lt;&gt;"",'All Cases - Enter Cases'!F569,"")</f>
        <v/>
      </c>
      <c r="H569" s="4" t="str">
        <f>IF($A569&lt;&gt;"",'All Cases - Enter Cases'!G569,"")</f>
        <v/>
      </c>
      <c r="I569" t="str">
        <f>IF($A569&lt;&gt;"",'All Cases - Enter Cases'!H569,"")</f>
        <v/>
      </c>
      <c r="J569" t="str">
        <f>IF($A569&lt;&gt;"",'All Cases - Enter Cases'!I569,"")</f>
        <v/>
      </c>
      <c r="K569" t="str">
        <f>IF($A569&lt;&gt;"",'All Cases - Enter Cases'!J569,"")</f>
        <v/>
      </c>
      <c r="L569" s="4" t="str">
        <f>IF($A569&lt;&gt;"",'All Cases - Enter Cases'!K569,"")</f>
        <v/>
      </c>
      <c r="M569" t="str">
        <f>IF($A569&lt;&gt;"",'All Cases - Enter Cases'!L569,"")</f>
        <v/>
      </c>
    </row>
    <row r="570" spans="1:13" x14ac:dyDescent="0.35">
      <c r="A570" s="4" t="str">
        <f>IF('All Cases - Enter Cases'!$K570="Approved",'All Cases - Enter Cases'!A570,"")</f>
        <v/>
      </c>
      <c r="B570" s="4" t="str">
        <f>IF($N570&lt;&gt;"",$N570,IF($A570&lt;&gt;"",'All Cases - Enter Cases'!$L570+7,""))</f>
        <v/>
      </c>
      <c r="C570" t="str">
        <f>IF($A570&lt;&gt;"",'All Cases - Enter Cases'!B570,"")</f>
        <v/>
      </c>
      <c r="D570" t="str">
        <f>IF($A570&lt;&gt;"",'All Cases - Enter Cases'!C570,"")</f>
        <v/>
      </c>
      <c r="E570" t="str">
        <f>IF($A570&lt;&gt;"",'All Cases - Enter Cases'!D570,"")</f>
        <v/>
      </c>
      <c r="F570" s="12" t="str">
        <f>IF($A570&lt;&gt;"",'All Cases - Enter Cases'!E570,"")</f>
        <v/>
      </c>
      <c r="G570" s="12" t="str">
        <f>IF($A570&lt;&gt;"",'All Cases - Enter Cases'!F570,"")</f>
        <v/>
      </c>
      <c r="H570" s="4" t="str">
        <f>IF($A570&lt;&gt;"",'All Cases - Enter Cases'!G570,"")</f>
        <v/>
      </c>
      <c r="I570" t="str">
        <f>IF($A570&lt;&gt;"",'All Cases - Enter Cases'!H570,"")</f>
        <v/>
      </c>
      <c r="J570" t="str">
        <f>IF($A570&lt;&gt;"",'All Cases - Enter Cases'!I570,"")</f>
        <v/>
      </c>
      <c r="K570" t="str">
        <f>IF($A570&lt;&gt;"",'All Cases - Enter Cases'!J570,"")</f>
        <v/>
      </c>
      <c r="L570" s="4" t="str">
        <f>IF($A570&lt;&gt;"",'All Cases - Enter Cases'!K570,"")</f>
        <v/>
      </c>
      <c r="M570" t="str">
        <f>IF($A570&lt;&gt;"",'All Cases - Enter Cases'!L570,"")</f>
        <v/>
      </c>
    </row>
    <row r="571" spans="1:13" x14ac:dyDescent="0.35">
      <c r="A571" s="4" t="str">
        <f>IF('All Cases - Enter Cases'!$K571="Approved",'All Cases - Enter Cases'!A571,"")</f>
        <v/>
      </c>
      <c r="B571" s="4" t="str">
        <f>IF($N571&lt;&gt;"",$N571,IF($A571&lt;&gt;"",'All Cases - Enter Cases'!$L571+7,""))</f>
        <v/>
      </c>
      <c r="C571" t="str">
        <f>IF($A571&lt;&gt;"",'All Cases - Enter Cases'!B571,"")</f>
        <v/>
      </c>
      <c r="D571" t="str">
        <f>IF($A571&lt;&gt;"",'All Cases - Enter Cases'!C571,"")</f>
        <v/>
      </c>
      <c r="E571" t="str">
        <f>IF($A571&lt;&gt;"",'All Cases - Enter Cases'!D571,"")</f>
        <v/>
      </c>
      <c r="F571" s="12" t="str">
        <f>IF($A571&lt;&gt;"",'All Cases - Enter Cases'!E571,"")</f>
        <v/>
      </c>
      <c r="G571" s="12" t="str">
        <f>IF($A571&lt;&gt;"",'All Cases - Enter Cases'!F571,"")</f>
        <v/>
      </c>
      <c r="H571" s="4" t="str">
        <f>IF($A571&lt;&gt;"",'All Cases - Enter Cases'!G571,"")</f>
        <v/>
      </c>
      <c r="I571" t="str">
        <f>IF($A571&lt;&gt;"",'All Cases - Enter Cases'!H571,"")</f>
        <v/>
      </c>
      <c r="J571" t="str">
        <f>IF($A571&lt;&gt;"",'All Cases - Enter Cases'!I571,"")</f>
        <v/>
      </c>
      <c r="K571" t="str">
        <f>IF($A571&lt;&gt;"",'All Cases - Enter Cases'!J571,"")</f>
        <v/>
      </c>
      <c r="L571" s="4" t="str">
        <f>IF($A571&lt;&gt;"",'All Cases - Enter Cases'!K571,"")</f>
        <v/>
      </c>
      <c r="M571" t="str">
        <f>IF($A571&lt;&gt;"",'All Cases - Enter Cases'!L571,"")</f>
        <v/>
      </c>
    </row>
    <row r="572" spans="1:13" x14ac:dyDescent="0.35">
      <c r="A572" s="4" t="str">
        <f>IF('All Cases - Enter Cases'!$K572="Approved",'All Cases - Enter Cases'!A572,"")</f>
        <v/>
      </c>
      <c r="B572" s="4" t="str">
        <f>IF($N572&lt;&gt;"",$N572,IF($A572&lt;&gt;"",'All Cases - Enter Cases'!$L572+7,""))</f>
        <v/>
      </c>
      <c r="C572" t="str">
        <f>IF($A572&lt;&gt;"",'All Cases - Enter Cases'!B572,"")</f>
        <v/>
      </c>
      <c r="D572" t="str">
        <f>IF($A572&lt;&gt;"",'All Cases - Enter Cases'!C572,"")</f>
        <v/>
      </c>
      <c r="E572" t="str">
        <f>IF($A572&lt;&gt;"",'All Cases - Enter Cases'!D572,"")</f>
        <v/>
      </c>
      <c r="F572" s="12" t="str">
        <f>IF($A572&lt;&gt;"",'All Cases - Enter Cases'!E572,"")</f>
        <v/>
      </c>
      <c r="G572" s="12" t="str">
        <f>IF($A572&lt;&gt;"",'All Cases - Enter Cases'!F572,"")</f>
        <v/>
      </c>
      <c r="H572" s="4" t="str">
        <f>IF($A572&lt;&gt;"",'All Cases - Enter Cases'!G572,"")</f>
        <v/>
      </c>
      <c r="I572" t="str">
        <f>IF($A572&lt;&gt;"",'All Cases - Enter Cases'!H572,"")</f>
        <v/>
      </c>
      <c r="J572" t="str">
        <f>IF($A572&lt;&gt;"",'All Cases - Enter Cases'!I572,"")</f>
        <v/>
      </c>
      <c r="K572" t="str">
        <f>IF($A572&lt;&gt;"",'All Cases - Enter Cases'!J572,"")</f>
        <v/>
      </c>
      <c r="L572" s="4" t="str">
        <f>IF($A572&lt;&gt;"",'All Cases - Enter Cases'!K572,"")</f>
        <v/>
      </c>
      <c r="M572" t="str">
        <f>IF($A572&lt;&gt;"",'All Cases - Enter Cases'!L572,"")</f>
        <v/>
      </c>
    </row>
    <row r="573" spans="1:13" x14ac:dyDescent="0.35">
      <c r="A573" s="4" t="str">
        <f>IF('All Cases - Enter Cases'!$K573="Approved",'All Cases - Enter Cases'!A573,"")</f>
        <v/>
      </c>
      <c r="B573" s="4" t="str">
        <f>IF($N573&lt;&gt;"",$N573,IF($A573&lt;&gt;"",'All Cases - Enter Cases'!$L573+7,""))</f>
        <v/>
      </c>
      <c r="C573" t="str">
        <f>IF($A573&lt;&gt;"",'All Cases - Enter Cases'!B573,"")</f>
        <v/>
      </c>
      <c r="D573" t="str">
        <f>IF($A573&lt;&gt;"",'All Cases - Enter Cases'!C573,"")</f>
        <v/>
      </c>
      <c r="E573" t="str">
        <f>IF($A573&lt;&gt;"",'All Cases - Enter Cases'!D573,"")</f>
        <v/>
      </c>
      <c r="F573" s="12" t="str">
        <f>IF($A573&lt;&gt;"",'All Cases - Enter Cases'!E573,"")</f>
        <v/>
      </c>
      <c r="G573" s="12" t="str">
        <f>IF($A573&lt;&gt;"",'All Cases - Enter Cases'!F573,"")</f>
        <v/>
      </c>
      <c r="H573" s="4" t="str">
        <f>IF($A573&lt;&gt;"",'All Cases - Enter Cases'!G573,"")</f>
        <v/>
      </c>
      <c r="I573" t="str">
        <f>IF($A573&lt;&gt;"",'All Cases - Enter Cases'!H573,"")</f>
        <v/>
      </c>
      <c r="J573" t="str">
        <f>IF($A573&lt;&gt;"",'All Cases - Enter Cases'!I573,"")</f>
        <v/>
      </c>
      <c r="K573" t="str">
        <f>IF($A573&lt;&gt;"",'All Cases - Enter Cases'!J573,"")</f>
        <v/>
      </c>
      <c r="L573" s="4" t="str">
        <f>IF($A573&lt;&gt;"",'All Cases - Enter Cases'!K573,"")</f>
        <v/>
      </c>
      <c r="M573" t="str">
        <f>IF($A573&lt;&gt;"",'All Cases - Enter Cases'!L573,"")</f>
        <v/>
      </c>
    </row>
    <row r="574" spans="1:13" x14ac:dyDescent="0.35">
      <c r="A574" s="4" t="str">
        <f>IF('All Cases - Enter Cases'!$K574="Approved",'All Cases - Enter Cases'!A574,"")</f>
        <v/>
      </c>
      <c r="B574" s="4" t="str">
        <f>IF($N574&lt;&gt;"",$N574,IF($A574&lt;&gt;"",'All Cases - Enter Cases'!$L574+7,""))</f>
        <v/>
      </c>
      <c r="C574" t="str">
        <f>IF($A574&lt;&gt;"",'All Cases - Enter Cases'!B574,"")</f>
        <v/>
      </c>
      <c r="D574" t="str">
        <f>IF($A574&lt;&gt;"",'All Cases - Enter Cases'!C574,"")</f>
        <v/>
      </c>
      <c r="E574" t="str">
        <f>IF($A574&lt;&gt;"",'All Cases - Enter Cases'!D574,"")</f>
        <v/>
      </c>
      <c r="F574" s="12" t="str">
        <f>IF($A574&lt;&gt;"",'All Cases - Enter Cases'!E574,"")</f>
        <v/>
      </c>
      <c r="G574" s="12" t="str">
        <f>IF($A574&lt;&gt;"",'All Cases - Enter Cases'!F574,"")</f>
        <v/>
      </c>
      <c r="H574" s="4" t="str">
        <f>IF($A574&lt;&gt;"",'All Cases - Enter Cases'!G574,"")</f>
        <v/>
      </c>
      <c r="I574" t="str">
        <f>IF($A574&lt;&gt;"",'All Cases - Enter Cases'!H574,"")</f>
        <v/>
      </c>
      <c r="J574" t="str">
        <f>IF($A574&lt;&gt;"",'All Cases - Enter Cases'!I574,"")</f>
        <v/>
      </c>
      <c r="K574" t="str">
        <f>IF($A574&lt;&gt;"",'All Cases - Enter Cases'!J574,"")</f>
        <v/>
      </c>
      <c r="L574" s="4" t="str">
        <f>IF($A574&lt;&gt;"",'All Cases - Enter Cases'!K574,"")</f>
        <v/>
      </c>
      <c r="M574" t="str">
        <f>IF($A574&lt;&gt;"",'All Cases - Enter Cases'!L574,"")</f>
        <v/>
      </c>
    </row>
    <row r="575" spans="1:13" x14ac:dyDescent="0.35">
      <c r="A575" s="4" t="str">
        <f>IF('All Cases - Enter Cases'!$K575="Approved",'All Cases - Enter Cases'!A575,"")</f>
        <v/>
      </c>
      <c r="B575" s="4" t="str">
        <f>IF($N575&lt;&gt;"",$N575,IF($A575&lt;&gt;"",'All Cases - Enter Cases'!$L575+7,""))</f>
        <v/>
      </c>
      <c r="C575" t="str">
        <f>IF($A575&lt;&gt;"",'All Cases - Enter Cases'!B575,"")</f>
        <v/>
      </c>
      <c r="D575" t="str">
        <f>IF($A575&lt;&gt;"",'All Cases - Enter Cases'!C575,"")</f>
        <v/>
      </c>
      <c r="E575" t="str">
        <f>IF($A575&lt;&gt;"",'All Cases - Enter Cases'!D575,"")</f>
        <v/>
      </c>
      <c r="F575" s="12" t="str">
        <f>IF($A575&lt;&gt;"",'All Cases - Enter Cases'!E575,"")</f>
        <v/>
      </c>
      <c r="G575" s="12" t="str">
        <f>IF($A575&lt;&gt;"",'All Cases - Enter Cases'!F575,"")</f>
        <v/>
      </c>
      <c r="H575" s="4" t="str">
        <f>IF($A575&lt;&gt;"",'All Cases - Enter Cases'!G575,"")</f>
        <v/>
      </c>
      <c r="I575" t="str">
        <f>IF($A575&lt;&gt;"",'All Cases - Enter Cases'!H575,"")</f>
        <v/>
      </c>
      <c r="J575" t="str">
        <f>IF($A575&lt;&gt;"",'All Cases - Enter Cases'!I575,"")</f>
        <v/>
      </c>
      <c r="K575" t="str">
        <f>IF($A575&lt;&gt;"",'All Cases - Enter Cases'!J575,"")</f>
        <v/>
      </c>
      <c r="L575" s="4" t="str">
        <f>IF($A575&lt;&gt;"",'All Cases - Enter Cases'!K575,"")</f>
        <v/>
      </c>
      <c r="M575" t="str">
        <f>IF($A575&lt;&gt;"",'All Cases - Enter Cases'!L575,"")</f>
        <v/>
      </c>
    </row>
    <row r="576" spans="1:13" x14ac:dyDescent="0.35">
      <c r="A576" s="4" t="str">
        <f>IF('All Cases - Enter Cases'!$K576="Approved",'All Cases - Enter Cases'!A576,"")</f>
        <v/>
      </c>
      <c r="B576" s="4" t="str">
        <f>IF($N576&lt;&gt;"",$N576,IF($A576&lt;&gt;"",'All Cases - Enter Cases'!$L576+7,""))</f>
        <v/>
      </c>
      <c r="C576" t="str">
        <f>IF($A576&lt;&gt;"",'All Cases - Enter Cases'!B576,"")</f>
        <v/>
      </c>
      <c r="D576" t="str">
        <f>IF($A576&lt;&gt;"",'All Cases - Enter Cases'!C576,"")</f>
        <v/>
      </c>
      <c r="E576" t="str">
        <f>IF($A576&lt;&gt;"",'All Cases - Enter Cases'!D576,"")</f>
        <v/>
      </c>
      <c r="F576" s="12" t="str">
        <f>IF($A576&lt;&gt;"",'All Cases - Enter Cases'!E576,"")</f>
        <v/>
      </c>
      <c r="G576" s="12" t="str">
        <f>IF($A576&lt;&gt;"",'All Cases - Enter Cases'!F576,"")</f>
        <v/>
      </c>
      <c r="H576" s="4" t="str">
        <f>IF($A576&lt;&gt;"",'All Cases - Enter Cases'!G576,"")</f>
        <v/>
      </c>
      <c r="I576" t="str">
        <f>IF($A576&lt;&gt;"",'All Cases - Enter Cases'!H576,"")</f>
        <v/>
      </c>
      <c r="J576" t="str">
        <f>IF($A576&lt;&gt;"",'All Cases - Enter Cases'!I576,"")</f>
        <v/>
      </c>
      <c r="K576" t="str">
        <f>IF($A576&lt;&gt;"",'All Cases - Enter Cases'!J576,"")</f>
        <v/>
      </c>
      <c r="L576" s="4" t="str">
        <f>IF($A576&lt;&gt;"",'All Cases - Enter Cases'!K576,"")</f>
        <v/>
      </c>
      <c r="M576" t="str">
        <f>IF($A576&lt;&gt;"",'All Cases - Enter Cases'!L576,"")</f>
        <v/>
      </c>
    </row>
    <row r="577" spans="1:13" x14ac:dyDescent="0.35">
      <c r="A577" s="4" t="str">
        <f>IF('All Cases - Enter Cases'!$K577="Approved",'All Cases - Enter Cases'!A577,"")</f>
        <v/>
      </c>
      <c r="B577" s="4" t="str">
        <f>IF($N577&lt;&gt;"",$N577,IF($A577&lt;&gt;"",'All Cases - Enter Cases'!$L577+7,""))</f>
        <v/>
      </c>
      <c r="C577" t="str">
        <f>IF($A577&lt;&gt;"",'All Cases - Enter Cases'!B577,"")</f>
        <v/>
      </c>
      <c r="D577" t="str">
        <f>IF($A577&lt;&gt;"",'All Cases - Enter Cases'!C577,"")</f>
        <v/>
      </c>
      <c r="E577" t="str">
        <f>IF($A577&lt;&gt;"",'All Cases - Enter Cases'!D577,"")</f>
        <v/>
      </c>
      <c r="F577" s="12" t="str">
        <f>IF($A577&lt;&gt;"",'All Cases - Enter Cases'!E577,"")</f>
        <v/>
      </c>
      <c r="G577" s="12" t="str">
        <f>IF($A577&lt;&gt;"",'All Cases - Enter Cases'!F577,"")</f>
        <v/>
      </c>
      <c r="H577" s="4" t="str">
        <f>IF($A577&lt;&gt;"",'All Cases - Enter Cases'!G577,"")</f>
        <v/>
      </c>
      <c r="I577" t="str">
        <f>IF($A577&lt;&gt;"",'All Cases - Enter Cases'!H577,"")</f>
        <v/>
      </c>
      <c r="J577" t="str">
        <f>IF($A577&lt;&gt;"",'All Cases - Enter Cases'!I577,"")</f>
        <v/>
      </c>
      <c r="K577" t="str">
        <f>IF($A577&lt;&gt;"",'All Cases - Enter Cases'!J577,"")</f>
        <v/>
      </c>
      <c r="L577" s="4" t="str">
        <f>IF($A577&lt;&gt;"",'All Cases - Enter Cases'!K577,"")</f>
        <v/>
      </c>
      <c r="M577" t="str">
        <f>IF($A577&lt;&gt;"",'All Cases - Enter Cases'!L577,"")</f>
        <v/>
      </c>
    </row>
    <row r="578" spans="1:13" x14ac:dyDescent="0.35">
      <c r="A578" s="4" t="str">
        <f>IF('All Cases - Enter Cases'!$K578="Approved",'All Cases - Enter Cases'!A578,"")</f>
        <v/>
      </c>
      <c r="B578" s="4" t="str">
        <f>IF($N578&lt;&gt;"",$N578,IF($A578&lt;&gt;"",'All Cases - Enter Cases'!$L578+7,""))</f>
        <v/>
      </c>
      <c r="C578" t="str">
        <f>IF($A578&lt;&gt;"",'All Cases - Enter Cases'!B578,"")</f>
        <v/>
      </c>
      <c r="D578" t="str">
        <f>IF($A578&lt;&gt;"",'All Cases - Enter Cases'!C578,"")</f>
        <v/>
      </c>
      <c r="E578" t="str">
        <f>IF($A578&lt;&gt;"",'All Cases - Enter Cases'!D578,"")</f>
        <v/>
      </c>
      <c r="F578" s="12" t="str">
        <f>IF($A578&lt;&gt;"",'All Cases - Enter Cases'!E578,"")</f>
        <v/>
      </c>
      <c r="G578" s="12" t="str">
        <f>IF($A578&lt;&gt;"",'All Cases - Enter Cases'!F578,"")</f>
        <v/>
      </c>
      <c r="H578" s="4" t="str">
        <f>IF($A578&lt;&gt;"",'All Cases - Enter Cases'!G578,"")</f>
        <v/>
      </c>
      <c r="I578" t="str">
        <f>IF($A578&lt;&gt;"",'All Cases - Enter Cases'!H578,"")</f>
        <v/>
      </c>
      <c r="J578" t="str">
        <f>IF($A578&lt;&gt;"",'All Cases - Enter Cases'!I578,"")</f>
        <v/>
      </c>
      <c r="K578" t="str">
        <f>IF($A578&lt;&gt;"",'All Cases - Enter Cases'!J578,"")</f>
        <v/>
      </c>
      <c r="L578" s="4" t="str">
        <f>IF($A578&lt;&gt;"",'All Cases - Enter Cases'!K578,"")</f>
        <v/>
      </c>
      <c r="M578" t="str">
        <f>IF($A578&lt;&gt;"",'All Cases - Enter Cases'!L578,"")</f>
        <v/>
      </c>
    </row>
    <row r="579" spans="1:13" x14ac:dyDescent="0.35">
      <c r="A579" s="4" t="str">
        <f>IF('All Cases - Enter Cases'!$K579="Approved",'All Cases - Enter Cases'!A579,"")</f>
        <v/>
      </c>
      <c r="B579" s="4" t="str">
        <f>IF($N579&lt;&gt;"",$N579,IF($A579&lt;&gt;"",'All Cases - Enter Cases'!$L579+7,""))</f>
        <v/>
      </c>
      <c r="C579" t="str">
        <f>IF($A579&lt;&gt;"",'All Cases - Enter Cases'!B579,"")</f>
        <v/>
      </c>
      <c r="D579" t="str">
        <f>IF($A579&lt;&gt;"",'All Cases - Enter Cases'!C579,"")</f>
        <v/>
      </c>
      <c r="E579" t="str">
        <f>IF($A579&lt;&gt;"",'All Cases - Enter Cases'!D579,"")</f>
        <v/>
      </c>
      <c r="F579" s="12" t="str">
        <f>IF($A579&lt;&gt;"",'All Cases - Enter Cases'!E579,"")</f>
        <v/>
      </c>
      <c r="G579" s="12" t="str">
        <f>IF($A579&lt;&gt;"",'All Cases - Enter Cases'!F579,"")</f>
        <v/>
      </c>
      <c r="H579" s="4" t="str">
        <f>IF($A579&lt;&gt;"",'All Cases - Enter Cases'!G579,"")</f>
        <v/>
      </c>
      <c r="I579" t="str">
        <f>IF($A579&lt;&gt;"",'All Cases - Enter Cases'!H579,"")</f>
        <v/>
      </c>
      <c r="J579" t="str">
        <f>IF($A579&lt;&gt;"",'All Cases - Enter Cases'!I579,"")</f>
        <v/>
      </c>
      <c r="K579" t="str">
        <f>IF($A579&lt;&gt;"",'All Cases - Enter Cases'!J579,"")</f>
        <v/>
      </c>
      <c r="L579" s="4" t="str">
        <f>IF($A579&lt;&gt;"",'All Cases - Enter Cases'!K579,"")</f>
        <v/>
      </c>
      <c r="M579" t="str">
        <f>IF($A579&lt;&gt;"",'All Cases - Enter Cases'!L579,"")</f>
        <v/>
      </c>
    </row>
    <row r="580" spans="1:13" x14ac:dyDescent="0.35">
      <c r="A580" s="4" t="str">
        <f>IF('All Cases - Enter Cases'!$K580="Approved",'All Cases - Enter Cases'!A580,"")</f>
        <v/>
      </c>
      <c r="B580" s="4" t="str">
        <f>IF($N580&lt;&gt;"",$N580,IF($A580&lt;&gt;"",'All Cases - Enter Cases'!$L580+7,""))</f>
        <v/>
      </c>
      <c r="C580" t="str">
        <f>IF($A580&lt;&gt;"",'All Cases - Enter Cases'!B580,"")</f>
        <v/>
      </c>
      <c r="D580" t="str">
        <f>IF($A580&lt;&gt;"",'All Cases - Enter Cases'!C580,"")</f>
        <v/>
      </c>
      <c r="E580" t="str">
        <f>IF($A580&lt;&gt;"",'All Cases - Enter Cases'!D580,"")</f>
        <v/>
      </c>
      <c r="F580" s="12" t="str">
        <f>IF($A580&lt;&gt;"",'All Cases - Enter Cases'!E580,"")</f>
        <v/>
      </c>
      <c r="G580" s="12" t="str">
        <f>IF($A580&lt;&gt;"",'All Cases - Enter Cases'!F580,"")</f>
        <v/>
      </c>
      <c r="H580" s="4" t="str">
        <f>IF($A580&lt;&gt;"",'All Cases - Enter Cases'!G580,"")</f>
        <v/>
      </c>
      <c r="I580" t="str">
        <f>IF($A580&lt;&gt;"",'All Cases - Enter Cases'!H580,"")</f>
        <v/>
      </c>
      <c r="J580" t="str">
        <f>IF($A580&lt;&gt;"",'All Cases - Enter Cases'!I580,"")</f>
        <v/>
      </c>
      <c r="K580" t="str">
        <f>IF($A580&lt;&gt;"",'All Cases - Enter Cases'!J580,"")</f>
        <v/>
      </c>
      <c r="L580" s="4" t="str">
        <f>IF($A580&lt;&gt;"",'All Cases - Enter Cases'!K580,"")</f>
        <v/>
      </c>
      <c r="M580" t="str">
        <f>IF($A580&lt;&gt;"",'All Cases - Enter Cases'!L580,"")</f>
        <v/>
      </c>
    </row>
    <row r="581" spans="1:13" x14ac:dyDescent="0.35">
      <c r="A581" s="4" t="str">
        <f>IF('All Cases - Enter Cases'!$K581="Approved",'All Cases - Enter Cases'!A581,"")</f>
        <v/>
      </c>
      <c r="B581" s="4" t="str">
        <f>IF($N581&lt;&gt;"",$N581,IF($A581&lt;&gt;"",'All Cases - Enter Cases'!$L581+7,""))</f>
        <v/>
      </c>
      <c r="C581" t="str">
        <f>IF($A581&lt;&gt;"",'All Cases - Enter Cases'!B581,"")</f>
        <v/>
      </c>
      <c r="D581" t="str">
        <f>IF($A581&lt;&gt;"",'All Cases - Enter Cases'!C581,"")</f>
        <v/>
      </c>
      <c r="E581" t="str">
        <f>IF($A581&lt;&gt;"",'All Cases - Enter Cases'!D581,"")</f>
        <v/>
      </c>
      <c r="F581" s="12" t="str">
        <f>IF($A581&lt;&gt;"",'All Cases - Enter Cases'!E581,"")</f>
        <v/>
      </c>
      <c r="G581" s="12" t="str">
        <f>IF($A581&lt;&gt;"",'All Cases - Enter Cases'!F581,"")</f>
        <v/>
      </c>
      <c r="H581" s="4" t="str">
        <f>IF($A581&lt;&gt;"",'All Cases - Enter Cases'!G581,"")</f>
        <v/>
      </c>
      <c r="I581" t="str">
        <f>IF($A581&lt;&gt;"",'All Cases - Enter Cases'!H581,"")</f>
        <v/>
      </c>
      <c r="J581" t="str">
        <f>IF($A581&lt;&gt;"",'All Cases - Enter Cases'!I581,"")</f>
        <v/>
      </c>
      <c r="K581" t="str">
        <f>IF($A581&lt;&gt;"",'All Cases - Enter Cases'!J581,"")</f>
        <v/>
      </c>
      <c r="L581" s="4" t="str">
        <f>IF($A581&lt;&gt;"",'All Cases - Enter Cases'!K581,"")</f>
        <v/>
      </c>
      <c r="M581" t="str">
        <f>IF($A581&lt;&gt;"",'All Cases - Enter Cases'!L581,"")</f>
        <v/>
      </c>
    </row>
    <row r="582" spans="1:13" x14ac:dyDescent="0.35">
      <c r="A582" s="4" t="str">
        <f>IF('All Cases - Enter Cases'!$K582="Approved",'All Cases - Enter Cases'!A582,"")</f>
        <v/>
      </c>
      <c r="B582" s="4" t="str">
        <f>IF($N582&lt;&gt;"",$N582,IF($A582&lt;&gt;"",'All Cases - Enter Cases'!$L582+7,""))</f>
        <v/>
      </c>
      <c r="C582" t="str">
        <f>IF($A582&lt;&gt;"",'All Cases - Enter Cases'!B582,"")</f>
        <v/>
      </c>
      <c r="D582" t="str">
        <f>IF($A582&lt;&gt;"",'All Cases - Enter Cases'!C582,"")</f>
        <v/>
      </c>
      <c r="E582" t="str">
        <f>IF($A582&lt;&gt;"",'All Cases - Enter Cases'!D582,"")</f>
        <v/>
      </c>
      <c r="F582" s="12" t="str">
        <f>IF($A582&lt;&gt;"",'All Cases - Enter Cases'!E582,"")</f>
        <v/>
      </c>
      <c r="G582" s="12" t="str">
        <f>IF($A582&lt;&gt;"",'All Cases - Enter Cases'!F582,"")</f>
        <v/>
      </c>
      <c r="H582" s="4" t="str">
        <f>IF($A582&lt;&gt;"",'All Cases - Enter Cases'!G582,"")</f>
        <v/>
      </c>
      <c r="I582" t="str">
        <f>IF($A582&lt;&gt;"",'All Cases - Enter Cases'!H582,"")</f>
        <v/>
      </c>
      <c r="J582" t="str">
        <f>IF($A582&lt;&gt;"",'All Cases - Enter Cases'!I582,"")</f>
        <v/>
      </c>
      <c r="K582" t="str">
        <f>IF($A582&lt;&gt;"",'All Cases - Enter Cases'!J582,"")</f>
        <v/>
      </c>
      <c r="L582" s="4" t="str">
        <f>IF($A582&lt;&gt;"",'All Cases - Enter Cases'!K582,"")</f>
        <v/>
      </c>
      <c r="M582" t="str">
        <f>IF($A582&lt;&gt;"",'All Cases - Enter Cases'!L582,"")</f>
        <v/>
      </c>
    </row>
    <row r="583" spans="1:13" x14ac:dyDescent="0.35">
      <c r="A583" s="4" t="str">
        <f>IF('All Cases - Enter Cases'!$K583="Approved",'All Cases - Enter Cases'!A583,"")</f>
        <v/>
      </c>
      <c r="B583" s="4" t="str">
        <f>IF($N583&lt;&gt;"",$N583,IF($A583&lt;&gt;"",'All Cases - Enter Cases'!$L583+7,""))</f>
        <v/>
      </c>
      <c r="C583" t="str">
        <f>IF($A583&lt;&gt;"",'All Cases - Enter Cases'!B583,"")</f>
        <v/>
      </c>
      <c r="D583" t="str">
        <f>IF($A583&lt;&gt;"",'All Cases - Enter Cases'!C583,"")</f>
        <v/>
      </c>
      <c r="E583" t="str">
        <f>IF($A583&lt;&gt;"",'All Cases - Enter Cases'!D583,"")</f>
        <v/>
      </c>
      <c r="F583" s="12" t="str">
        <f>IF($A583&lt;&gt;"",'All Cases - Enter Cases'!E583,"")</f>
        <v/>
      </c>
      <c r="G583" s="12" t="str">
        <f>IF($A583&lt;&gt;"",'All Cases - Enter Cases'!F583,"")</f>
        <v/>
      </c>
      <c r="H583" s="4" t="str">
        <f>IF($A583&lt;&gt;"",'All Cases - Enter Cases'!G583,"")</f>
        <v/>
      </c>
      <c r="I583" t="str">
        <f>IF($A583&lt;&gt;"",'All Cases - Enter Cases'!H583,"")</f>
        <v/>
      </c>
      <c r="J583" t="str">
        <f>IF($A583&lt;&gt;"",'All Cases - Enter Cases'!I583,"")</f>
        <v/>
      </c>
      <c r="K583" t="str">
        <f>IF($A583&lt;&gt;"",'All Cases - Enter Cases'!J583,"")</f>
        <v/>
      </c>
      <c r="L583" s="4" t="str">
        <f>IF($A583&lt;&gt;"",'All Cases - Enter Cases'!K583,"")</f>
        <v/>
      </c>
      <c r="M583" t="str">
        <f>IF($A583&lt;&gt;"",'All Cases - Enter Cases'!L583,"")</f>
        <v/>
      </c>
    </row>
    <row r="584" spans="1:13" x14ac:dyDescent="0.35">
      <c r="A584" s="4" t="str">
        <f>IF('All Cases - Enter Cases'!$K584="Approved",'All Cases - Enter Cases'!A584,"")</f>
        <v/>
      </c>
      <c r="B584" s="4" t="str">
        <f>IF($N584&lt;&gt;"",$N584,IF($A584&lt;&gt;"",'All Cases - Enter Cases'!$L584+7,""))</f>
        <v/>
      </c>
      <c r="C584" t="str">
        <f>IF($A584&lt;&gt;"",'All Cases - Enter Cases'!B584,"")</f>
        <v/>
      </c>
      <c r="D584" t="str">
        <f>IF($A584&lt;&gt;"",'All Cases - Enter Cases'!C584,"")</f>
        <v/>
      </c>
      <c r="E584" t="str">
        <f>IF($A584&lt;&gt;"",'All Cases - Enter Cases'!D584,"")</f>
        <v/>
      </c>
      <c r="F584" s="12" t="str">
        <f>IF($A584&lt;&gt;"",'All Cases - Enter Cases'!E584,"")</f>
        <v/>
      </c>
      <c r="G584" s="12" t="str">
        <f>IF($A584&lt;&gt;"",'All Cases - Enter Cases'!F584,"")</f>
        <v/>
      </c>
      <c r="H584" s="4" t="str">
        <f>IF($A584&lt;&gt;"",'All Cases - Enter Cases'!G584,"")</f>
        <v/>
      </c>
      <c r="I584" t="str">
        <f>IF($A584&lt;&gt;"",'All Cases - Enter Cases'!H584,"")</f>
        <v/>
      </c>
      <c r="J584" t="str">
        <f>IF($A584&lt;&gt;"",'All Cases - Enter Cases'!I584,"")</f>
        <v/>
      </c>
      <c r="K584" t="str">
        <f>IF($A584&lt;&gt;"",'All Cases - Enter Cases'!J584,"")</f>
        <v/>
      </c>
      <c r="L584" s="4" t="str">
        <f>IF($A584&lt;&gt;"",'All Cases - Enter Cases'!K584,"")</f>
        <v/>
      </c>
      <c r="M584" t="str">
        <f>IF($A584&lt;&gt;"",'All Cases - Enter Cases'!L584,"")</f>
        <v/>
      </c>
    </row>
    <row r="585" spans="1:13" x14ac:dyDescent="0.35">
      <c r="A585" s="4" t="str">
        <f>IF('All Cases - Enter Cases'!$K585="Approved",'All Cases - Enter Cases'!A585,"")</f>
        <v/>
      </c>
      <c r="B585" s="4" t="str">
        <f>IF($N585&lt;&gt;"",$N585,IF($A585&lt;&gt;"",'All Cases - Enter Cases'!$L585+7,""))</f>
        <v/>
      </c>
      <c r="C585" t="str">
        <f>IF($A585&lt;&gt;"",'All Cases - Enter Cases'!B585,"")</f>
        <v/>
      </c>
      <c r="D585" t="str">
        <f>IF($A585&lt;&gt;"",'All Cases - Enter Cases'!C585,"")</f>
        <v/>
      </c>
      <c r="E585" t="str">
        <f>IF($A585&lt;&gt;"",'All Cases - Enter Cases'!D585,"")</f>
        <v/>
      </c>
      <c r="F585" s="12" t="str">
        <f>IF($A585&lt;&gt;"",'All Cases - Enter Cases'!E585,"")</f>
        <v/>
      </c>
      <c r="G585" s="12" t="str">
        <f>IF($A585&lt;&gt;"",'All Cases - Enter Cases'!F585,"")</f>
        <v/>
      </c>
      <c r="H585" s="4" t="str">
        <f>IF($A585&lt;&gt;"",'All Cases - Enter Cases'!G585,"")</f>
        <v/>
      </c>
      <c r="I585" t="str">
        <f>IF($A585&lt;&gt;"",'All Cases - Enter Cases'!H585,"")</f>
        <v/>
      </c>
      <c r="J585" t="str">
        <f>IF($A585&lt;&gt;"",'All Cases - Enter Cases'!I585,"")</f>
        <v/>
      </c>
      <c r="K585" t="str">
        <f>IF($A585&lt;&gt;"",'All Cases - Enter Cases'!J585,"")</f>
        <v/>
      </c>
      <c r="L585" s="4" t="str">
        <f>IF($A585&lt;&gt;"",'All Cases - Enter Cases'!K585,"")</f>
        <v/>
      </c>
      <c r="M585" t="str">
        <f>IF($A585&lt;&gt;"",'All Cases - Enter Cases'!L585,"")</f>
        <v/>
      </c>
    </row>
    <row r="586" spans="1:13" x14ac:dyDescent="0.35">
      <c r="A586" s="4" t="str">
        <f>IF('All Cases - Enter Cases'!$K586="Approved",'All Cases - Enter Cases'!A586,"")</f>
        <v/>
      </c>
      <c r="B586" s="4" t="str">
        <f>IF($N586&lt;&gt;"",$N586,IF($A586&lt;&gt;"",'All Cases - Enter Cases'!$L586+7,""))</f>
        <v/>
      </c>
      <c r="C586" t="str">
        <f>IF($A586&lt;&gt;"",'All Cases - Enter Cases'!B586,"")</f>
        <v/>
      </c>
      <c r="D586" t="str">
        <f>IF($A586&lt;&gt;"",'All Cases - Enter Cases'!C586,"")</f>
        <v/>
      </c>
      <c r="E586" t="str">
        <f>IF($A586&lt;&gt;"",'All Cases - Enter Cases'!D586,"")</f>
        <v/>
      </c>
      <c r="F586" s="12" t="str">
        <f>IF($A586&lt;&gt;"",'All Cases - Enter Cases'!E586,"")</f>
        <v/>
      </c>
      <c r="G586" s="12" t="str">
        <f>IF($A586&lt;&gt;"",'All Cases - Enter Cases'!F586,"")</f>
        <v/>
      </c>
      <c r="H586" s="4" t="str">
        <f>IF($A586&lt;&gt;"",'All Cases - Enter Cases'!G586,"")</f>
        <v/>
      </c>
      <c r="I586" t="str">
        <f>IF($A586&lt;&gt;"",'All Cases - Enter Cases'!H586,"")</f>
        <v/>
      </c>
      <c r="J586" t="str">
        <f>IF($A586&lt;&gt;"",'All Cases - Enter Cases'!I586,"")</f>
        <v/>
      </c>
      <c r="K586" t="str">
        <f>IF($A586&lt;&gt;"",'All Cases - Enter Cases'!J586,"")</f>
        <v/>
      </c>
      <c r="L586" s="4" t="str">
        <f>IF($A586&lt;&gt;"",'All Cases - Enter Cases'!K586,"")</f>
        <v/>
      </c>
      <c r="M586" t="str">
        <f>IF($A586&lt;&gt;"",'All Cases - Enter Cases'!L586,"")</f>
        <v/>
      </c>
    </row>
    <row r="587" spans="1:13" x14ac:dyDescent="0.35">
      <c r="A587" s="4" t="str">
        <f>IF('All Cases - Enter Cases'!$K587="Approved",'All Cases - Enter Cases'!A587,"")</f>
        <v/>
      </c>
      <c r="B587" s="4" t="str">
        <f>IF($N587&lt;&gt;"",$N587,IF($A587&lt;&gt;"",'All Cases - Enter Cases'!$L587+7,""))</f>
        <v/>
      </c>
      <c r="C587" t="str">
        <f>IF($A587&lt;&gt;"",'All Cases - Enter Cases'!B587,"")</f>
        <v/>
      </c>
      <c r="D587" t="str">
        <f>IF($A587&lt;&gt;"",'All Cases - Enter Cases'!C587,"")</f>
        <v/>
      </c>
      <c r="E587" t="str">
        <f>IF($A587&lt;&gt;"",'All Cases - Enter Cases'!D587,"")</f>
        <v/>
      </c>
      <c r="F587" s="12" t="str">
        <f>IF($A587&lt;&gt;"",'All Cases - Enter Cases'!E587,"")</f>
        <v/>
      </c>
      <c r="G587" s="12" t="str">
        <f>IF($A587&lt;&gt;"",'All Cases - Enter Cases'!F587,"")</f>
        <v/>
      </c>
      <c r="H587" s="4" t="str">
        <f>IF($A587&lt;&gt;"",'All Cases - Enter Cases'!G587,"")</f>
        <v/>
      </c>
      <c r="I587" t="str">
        <f>IF($A587&lt;&gt;"",'All Cases - Enter Cases'!H587,"")</f>
        <v/>
      </c>
      <c r="J587" t="str">
        <f>IF($A587&lt;&gt;"",'All Cases - Enter Cases'!I587,"")</f>
        <v/>
      </c>
      <c r="K587" t="str">
        <f>IF($A587&lt;&gt;"",'All Cases - Enter Cases'!J587,"")</f>
        <v/>
      </c>
      <c r="L587" s="4" t="str">
        <f>IF($A587&lt;&gt;"",'All Cases - Enter Cases'!K587,"")</f>
        <v/>
      </c>
      <c r="M587" t="str">
        <f>IF($A587&lt;&gt;"",'All Cases - Enter Cases'!L587,"")</f>
        <v/>
      </c>
    </row>
    <row r="588" spans="1:13" x14ac:dyDescent="0.35">
      <c r="A588" s="4" t="str">
        <f>IF('All Cases - Enter Cases'!$K588="Approved",'All Cases - Enter Cases'!A588,"")</f>
        <v/>
      </c>
      <c r="B588" s="4" t="str">
        <f>IF($N588&lt;&gt;"",$N588,IF($A588&lt;&gt;"",'All Cases - Enter Cases'!$L588+7,""))</f>
        <v/>
      </c>
      <c r="C588" t="str">
        <f>IF($A588&lt;&gt;"",'All Cases - Enter Cases'!B588,"")</f>
        <v/>
      </c>
      <c r="D588" t="str">
        <f>IF($A588&lt;&gt;"",'All Cases - Enter Cases'!C588,"")</f>
        <v/>
      </c>
      <c r="E588" t="str">
        <f>IF($A588&lt;&gt;"",'All Cases - Enter Cases'!D588,"")</f>
        <v/>
      </c>
      <c r="F588" s="12" t="str">
        <f>IF($A588&lt;&gt;"",'All Cases - Enter Cases'!E588,"")</f>
        <v/>
      </c>
      <c r="G588" s="12" t="str">
        <f>IF($A588&lt;&gt;"",'All Cases - Enter Cases'!F588,"")</f>
        <v/>
      </c>
      <c r="H588" s="4" t="str">
        <f>IF($A588&lt;&gt;"",'All Cases - Enter Cases'!G588,"")</f>
        <v/>
      </c>
      <c r="I588" t="str">
        <f>IF($A588&lt;&gt;"",'All Cases - Enter Cases'!H588,"")</f>
        <v/>
      </c>
      <c r="J588" t="str">
        <f>IF($A588&lt;&gt;"",'All Cases - Enter Cases'!I588,"")</f>
        <v/>
      </c>
      <c r="K588" t="str">
        <f>IF($A588&lt;&gt;"",'All Cases - Enter Cases'!J588,"")</f>
        <v/>
      </c>
      <c r="L588" s="4" t="str">
        <f>IF($A588&lt;&gt;"",'All Cases - Enter Cases'!K588,"")</f>
        <v/>
      </c>
      <c r="M588" t="str">
        <f>IF($A588&lt;&gt;"",'All Cases - Enter Cases'!L588,"")</f>
        <v/>
      </c>
    </row>
    <row r="589" spans="1:13" x14ac:dyDescent="0.35">
      <c r="A589" s="4" t="str">
        <f>IF('All Cases - Enter Cases'!$K589="Approved",'All Cases - Enter Cases'!A589,"")</f>
        <v/>
      </c>
      <c r="B589" s="4" t="str">
        <f>IF($N589&lt;&gt;"",$N589,IF($A589&lt;&gt;"",'All Cases - Enter Cases'!$L589+7,""))</f>
        <v/>
      </c>
      <c r="C589" t="str">
        <f>IF($A589&lt;&gt;"",'All Cases - Enter Cases'!B589,"")</f>
        <v/>
      </c>
      <c r="D589" t="str">
        <f>IF($A589&lt;&gt;"",'All Cases - Enter Cases'!C589,"")</f>
        <v/>
      </c>
      <c r="E589" t="str">
        <f>IF($A589&lt;&gt;"",'All Cases - Enter Cases'!D589,"")</f>
        <v/>
      </c>
      <c r="F589" s="12" t="str">
        <f>IF($A589&lt;&gt;"",'All Cases - Enter Cases'!E589,"")</f>
        <v/>
      </c>
      <c r="G589" s="12" t="str">
        <f>IF($A589&lt;&gt;"",'All Cases - Enter Cases'!F589,"")</f>
        <v/>
      </c>
      <c r="H589" s="4" t="str">
        <f>IF($A589&lt;&gt;"",'All Cases - Enter Cases'!G589,"")</f>
        <v/>
      </c>
      <c r="I589" t="str">
        <f>IF($A589&lt;&gt;"",'All Cases - Enter Cases'!H589,"")</f>
        <v/>
      </c>
      <c r="J589" t="str">
        <f>IF($A589&lt;&gt;"",'All Cases - Enter Cases'!I589,"")</f>
        <v/>
      </c>
      <c r="K589" t="str">
        <f>IF($A589&lt;&gt;"",'All Cases - Enter Cases'!J589,"")</f>
        <v/>
      </c>
      <c r="L589" s="4" t="str">
        <f>IF($A589&lt;&gt;"",'All Cases - Enter Cases'!K589,"")</f>
        <v/>
      </c>
      <c r="M589" t="str">
        <f>IF($A589&lt;&gt;"",'All Cases - Enter Cases'!L589,"")</f>
        <v/>
      </c>
    </row>
    <row r="590" spans="1:13" x14ac:dyDescent="0.35">
      <c r="A590" s="4" t="str">
        <f>IF('All Cases - Enter Cases'!$K590="Approved",'All Cases - Enter Cases'!A590,"")</f>
        <v/>
      </c>
      <c r="B590" s="4" t="str">
        <f>IF($N590&lt;&gt;"",$N590,IF($A590&lt;&gt;"",'All Cases - Enter Cases'!$L590+7,""))</f>
        <v/>
      </c>
      <c r="C590" t="str">
        <f>IF($A590&lt;&gt;"",'All Cases - Enter Cases'!B590,"")</f>
        <v/>
      </c>
      <c r="D590" t="str">
        <f>IF($A590&lt;&gt;"",'All Cases - Enter Cases'!C590,"")</f>
        <v/>
      </c>
      <c r="E590" t="str">
        <f>IF($A590&lt;&gt;"",'All Cases - Enter Cases'!D590,"")</f>
        <v/>
      </c>
      <c r="F590" s="12" t="str">
        <f>IF($A590&lt;&gt;"",'All Cases - Enter Cases'!E590,"")</f>
        <v/>
      </c>
      <c r="G590" s="12" t="str">
        <f>IF($A590&lt;&gt;"",'All Cases - Enter Cases'!F590,"")</f>
        <v/>
      </c>
      <c r="H590" s="4" t="str">
        <f>IF($A590&lt;&gt;"",'All Cases - Enter Cases'!G590,"")</f>
        <v/>
      </c>
      <c r="I590" t="str">
        <f>IF($A590&lt;&gt;"",'All Cases - Enter Cases'!H590,"")</f>
        <v/>
      </c>
      <c r="J590" t="str">
        <f>IF($A590&lt;&gt;"",'All Cases - Enter Cases'!I590,"")</f>
        <v/>
      </c>
      <c r="K590" t="str">
        <f>IF($A590&lt;&gt;"",'All Cases - Enter Cases'!J590,"")</f>
        <v/>
      </c>
      <c r="L590" s="4" t="str">
        <f>IF($A590&lt;&gt;"",'All Cases - Enter Cases'!K590,"")</f>
        <v/>
      </c>
      <c r="M590" t="str">
        <f>IF($A590&lt;&gt;"",'All Cases - Enter Cases'!L590,"")</f>
        <v/>
      </c>
    </row>
    <row r="591" spans="1:13" x14ac:dyDescent="0.35">
      <c r="A591" s="4" t="str">
        <f>IF('All Cases - Enter Cases'!$K591="Approved",'All Cases - Enter Cases'!A591,"")</f>
        <v/>
      </c>
      <c r="B591" s="4" t="str">
        <f>IF($N591&lt;&gt;"",$N591,IF($A591&lt;&gt;"",'All Cases - Enter Cases'!$L591+7,""))</f>
        <v/>
      </c>
      <c r="C591" t="str">
        <f>IF($A591&lt;&gt;"",'All Cases - Enter Cases'!B591,"")</f>
        <v/>
      </c>
      <c r="D591" t="str">
        <f>IF($A591&lt;&gt;"",'All Cases - Enter Cases'!C591,"")</f>
        <v/>
      </c>
      <c r="E591" t="str">
        <f>IF($A591&lt;&gt;"",'All Cases - Enter Cases'!D591,"")</f>
        <v/>
      </c>
      <c r="F591" s="12" t="str">
        <f>IF($A591&lt;&gt;"",'All Cases - Enter Cases'!E591,"")</f>
        <v/>
      </c>
      <c r="G591" s="12" t="str">
        <f>IF($A591&lt;&gt;"",'All Cases - Enter Cases'!F591,"")</f>
        <v/>
      </c>
      <c r="H591" s="4" t="str">
        <f>IF($A591&lt;&gt;"",'All Cases - Enter Cases'!G591,"")</f>
        <v/>
      </c>
      <c r="I591" t="str">
        <f>IF($A591&lt;&gt;"",'All Cases - Enter Cases'!H591,"")</f>
        <v/>
      </c>
      <c r="J591" t="str">
        <f>IF($A591&lt;&gt;"",'All Cases - Enter Cases'!I591,"")</f>
        <v/>
      </c>
      <c r="K591" t="str">
        <f>IF($A591&lt;&gt;"",'All Cases - Enter Cases'!J591,"")</f>
        <v/>
      </c>
      <c r="L591" s="4" t="str">
        <f>IF($A591&lt;&gt;"",'All Cases - Enter Cases'!K591,"")</f>
        <v/>
      </c>
      <c r="M591" t="str">
        <f>IF($A591&lt;&gt;"",'All Cases - Enter Cases'!L591,"")</f>
        <v/>
      </c>
    </row>
    <row r="592" spans="1:13" x14ac:dyDescent="0.35">
      <c r="A592" s="4" t="str">
        <f>IF('All Cases - Enter Cases'!$K592="Approved",'All Cases - Enter Cases'!A592,"")</f>
        <v/>
      </c>
      <c r="B592" s="4" t="str">
        <f>IF($N592&lt;&gt;"",$N592,IF($A592&lt;&gt;"",'All Cases - Enter Cases'!$L592+7,""))</f>
        <v/>
      </c>
      <c r="C592" t="str">
        <f>IF($A592&lt;&gt;"",'All Cases - Enter Cases'!B592,"")</f>
        <v/>
      </c>
      <c r="D592" t="str">
        <f>IF($A592&lt;&gt;"",'All Cases - Enter Cases'!C592,"")</f>
        <v/>
      </c>
      <c r="E592" t="str">
        <f>IF($A592&lt;&gt;"",'All Cases - Enter Cases'!D592,"")</f>
        <v/>
      </c>
      <c r="F592" s="12" t="str">
        <f>IF($A592&lt;&gt;"",'All Cases - Enter Cases'!E592,"")</f>
        <v/>
      </c>
      <c r="G592" s="12" t="str">
        <f>IF($A592&lt;&gt;"",'All Cases - Enter Cases'!F592,"")</f>
        <v/>
      </c>
      <c r="H592" s="4" t="str">
        <f>IF($A592&lt;&gt;"",'All Cases - Enter Cases'!G592,"")</f>
        <v/>
      </c>
      <c r="I592" t="str">
        <f>IF($A592&lt;&gt;"",'All Cases - Enter Cases'!H592,"")</f>
        <v/>
      </c>
      <c r="J592" t="str">
        <f>IF($A592&lt;&gt;"",'All Cases - Enter Cases'!I592,"")</f>
        <v/>
      </c>
      <c r="K592" t="str">
        <f>IF($A592&lt;&gt;"",'All Cases - Enter Cases'!J592,"")</f>
        <v/>
      </c>
      <c r="L592" s="4" t="str">
        <f>IF($A592&lt;&gt;"",'All Cases - Enter Cases'!K592,"")</f>
        <v/>
      </c>
      <c r="M592" t="str">
        <f>IF($A592&lt;&gt;"",'All Cases - Enter Cases'!L592,"")</f>
        <v/>
      </c>
    </row>
    <row r="593" spans="1:13" x14ac:dyDescent="0.35">
      <c r="A593" s="4" t="str">
        <f>IF('All Cases - Enter Cases'!$K593="Approved",'All Cases - Enter Cases'!A593,"")</f>
        <v/>
      </c>
      <c r="B593" s="4" t="str">
        <f>IF($N593&lt;&gt;"",$N593,IF($A593&lt;&gt;"",'All Cases - Enter Cases'!$L593+7,""))</f>
        <v/>
      </c>
      <c r="C593" t="str">
        <f>IF($A593&lt;&gt;"",'All Cases - Enter Cases'!B593,"")</f>
        <v/>
      </c>
      <c r="D593" t="str">
        <f>IF($A593&lt;&gt;"",'All Cases - Enter Cases'!C593,"")</f>
        <v/>
      </c>
      <c r="E593" t="str">
        <f>IF($A593&lt;&gt;"",'All Cases - Enter Cases'!D593,"")</f>
        <v/>
      </c>
      <c r="F593" s="12" t="str">
        <f>IF($A593&lt;&gt;"",'All Cases - Enter Cases'!E593,"")</f>
        <v/>
      </c>
      <c r="G593" s="12" t="str">
        <f>IF($A593&lt;&gt;"",'All Cases - Enter Cases'!F593,"")</f>
        <v/>
      </c>
      <c r="H593" s="4" t="str">
        <f>IF($A593&lt;&gt;"",'All Cases - Enter Cases'!G593,"")</f>
        <v/>
      </c>
      <c r="I593" t="str">
        <f>IF($A593&lt;&gt;"",'All Cases - Enter Cases'!H593,"")</f>
        <v/>
      </c>
      <c r="J593" t="str">
        <f>IF($A593&lt;&gt;"",'All Cases - Enter Cases'!I593,"")</f>
        <v/>
      </c>
      <c r="K593" t="str">
        <f>IF($A593&lt;&gt;"",'All Cases - Enter Cases'!J593,"")</f>
        <v/>
      </c>
      <c r="L593" s="4" t="str">
        <f>IF($A593&lt;&gt;"",'All Cases - Enter Cases'!K593,"")</f>
        <v/>
      </c>
      <c r="M593" t="str">
        <f>IF($A593&lt;&gt;"",'All Cases - Enter Cases'!L593,"")</f>
        <v/>
      </c>
    </row>
    <row r="594" spans="1:13" x14ac:dyDescent="0.35">
      <c r="A594" s="4" t="str">
        <f>IF('All Cases - Enter Cases'!$K594="Approved",'All Cases - Enter Cases'!A594,"")</f>
        <v/>
      </c>
      <c r="B594" s="4" t="str">
        <f>IF($N594&lt;&gt;"",$N594,IF($A594&lt;&gt;"",'All Cases - Enter Cases'!$L594+7,""))</f>
        <v/>
      </c>
      <c r="C594" t="str">
        <f>IF($A594&lt;&gt;"",'All Cases - Enter Cases'!B594,"")</f>
        <v/>
      </c>
      <c r="D594" t="str">
        <f>IF($A594&lt;&gt;"",'All Cases - Enter Cases'!C594,"")</f>
        <v/>
      </c>
      <c r="E594" t="str">
        <f>IF($A594&lt;&gt;"",'All Cases - Enter Cases'!D594,"")</f>
        <v/>
      </c>
      <c r="F594" s="12" t="str">
        <f>IF($A594&lt;&gt;"",'All Cases - Enter Cases'!E594,"")</f>
        <v/>
      </c>
      <c r="G594" s="12" t="str">
        <f>IF($A594&lt;&gt;"",'All Cases - Enter Cases'!F594,"")</f>
        <v/>
      </c>
      <c r="H594" s="4" t="str">
        <f>IF($A594&lt;&gt;"",'All Cases - Enter Cases'!G594,"")</f>
        <v/>
      </c>
      <c r="I594" t="str">
        <f>IF($A594&lt;&gt;"",'All Cases - Enter Cases'!H594,"")</f>
        <v/>
      </c>
      <c r="J594" t="str">
        <f>IF($A594&lt;&gt;"",'All Cases - Enter Cases'!I594,"")</f>
        <v/>
      </c>
      <c r="K594" t="str">
        <f>IF($A594&lt;&gt;"",'All Cases - Enter Cases'!J594,"")</f>
        <v/>
      </c>
      <c r="L594" s="4" t="str">
        <f>IF($A594&lt;&gt;"",'All Cases - Enter Cases'!K594,"")</f>
        <v/>
      </c>
      <c r="M594" t="str">
        <f>IF($A594&lt;&gt;"",'All Cases - Enter Cases'!L594,"")</f>
        <v/>
      </c>
    </row>
    <row r="595" spans="1:13" x14ac:dyDescent="0.35">
      <c r="A595" s="4" t="str">
        <f>IF('All Cases - Enter Cases'!$K595="Approved",'All Cases - Enter Cases'!A595,"")</f>
        <v/>
      </c>
      <c r="B595" s="4" t="str">
        <f>IF($N595&lt;&gt;"",$N595,IF($A595&lt;&gt;"",'All Cases - Enter Cases'!$L595+7,""))</f>
        <v/>
      </c>
      <c r="C595" t="str">
        <f>IF($A595&lt;&gt;"",'All Cases - Enter Cases'!B595,"")</f>
        <v/>
      </c>
      <c r="D595" t="str">
        <f>IF($A595&lt;&gt;"",'All Cases - Enter Cases'!C595,"")</f>
        <v/>
      </c>
      <c r="E595" t="str">
        <f>IF($A595&lt;&gt;"",'All Cases - Enter Cases'!D595,"")</f>
        <v/>
      </c>
      <c r="F595" s="12" t="str">
        <f>IF($A595&lt;&gt;"",'All Cases - Enter Cases'!E595,"")</f>
        <v/>
      </c>
      <c r="G595" s="12" t="str">
        <f>IF($A595&lt;&gt;"",'All Cases - Enter Cases'!F595,"")</f>
        <v/>
      </c>
      <c r="H595" s="4" t="str">
        <f>IF($A595&lt;&gt;"",'All Cases - Enter Cases'!G595,"")</f>
        <v/>
      </c>
      <c r="I595" t="str">
        <f>IF($A595&lt;&gt;"",'All Cases - Enter Cases'!H595,"")</f>
        <v/>
      </c>
      <c r="J595" t="str">
        <f>IF($A595&lt;&gt;"",'All Cases - Enter Cases'!I595,"")</f>
        <v/>
      </c>
      <c r="K595" t="str">
        <f>IF($A595&lt;&gt;"",'All Cases - Enter Cases'!J595,"")</f>
        <v/>
      </c>
      <c r="L595" s="4" t="str">
        <f>IF($A595&lt;&gt;"",'All Cases - Enter Cases'!K595,"")</f>
        <v/>
      </c>
      <c r="M595" t="str">
        <f>IF($A595&lt;&gt;"",'All Cases - Enter Cases'!L595,"")</f>
        <v/>
      </c>
    </row>
    <row r="596" spans="1:13" x14ac:dyDescent="0.35">
      <c r="A596" s="4" t="str">
        <f>IF('All Cases - Enter Cases'!$K596="Approved",'All Cases - Enter Cases'!A596,"")</f>
        <v/>
      </c>
      <c r="B596" s="4" t="str">
        <f>IF($N596&lt;&gt;"",$N596,IF($A596&lt;&gt;"",'All Cases - Enter Cases'!$L596+7,""))</f>
        <v/>
      </c>
      <c r="C596" t="str">
        <f>IF($A596&lt;&gt;"",'All Cases - Enter Cases'!B596,"")</f>
        <v/>
      </c>
      <c r="D596" t="str">
        <f>IF($A596&lt;&gt;"",'All Cases - Enter Cases'!C596,"")</f>
        <v/>
      </c>
      <c r="E596" t="str">
        <f>IF($A596&lt;&gt;"",'All Cases - Enter Cases'!D596,"")</f>
        <v/>
      </c>
      <c r="F596" s="12" t="str">
        <f>IF($A596&lt;&gt;"",'All Cases - Enter Cases'!E596,"")</f>
        <v/>
      </c>
      <c r="G596" s="12" t="str">
        <f>IF($A596&lt;&gt;"",'All Cases - Enter Cases'!F596,"")</f>
        <v/>
      </c>
      <c r="H596" s="4" t="str">
        <f>IF($A596&lt;&gt;"",'All Cases - Enter Cases'!G596,"")</f>
        <v/>
      </c>
      <c r="I596" t="str">
        <f>IF($A596&lt;&gt;"",'All Cases - Enter Cases'!H596,"")</f>
        <v/>
      </c>
      <c r="J596" t="str">
        <f>IF($A596&lt;&gt;"",'All Cases - Enter Cases'!I596,"")</f>
        <v/>
      </c>
      <c r="K596" t="str">
        <f>IF($A596&lt;&gt;"",'All Cases - Enter Cases'!J596,"")</f>
        <v/>
      </c>
      <c r="L596" s="4" t="str">
        <f>IF($A596&lt;&gt;"",'All Cases - Enter Cases'!K596,"")</f>
        <v/>
      </c>
      <c r="M596" t="str">
        <f>IF($A596&lt;&gt;"",'All Cases - Enter Cases'!L596,"")</f>
        <v/>
      </c>
    </row>
    <row r="597" spans="1:13" x14ac:dyDescent="0.35">
      <c r="A597" s="4" t="str">
        <f>IF('All Cases - Enter Cases'!$K597="Approved",'All Cases - Enter Cases'!A597,"")</f>
        <v/>
      </c>
      <c r="B597" s="4" t="str">
        <f>IF($N597&lt;&gt;"",$N597,IF($A597&lt;&gt;"",'All Cases - Enter Cases'!$L597+7,""))</f>
        <v/>
      </c>
      <c r="C597" t="str">
        <f>IF($A597&lt;&gt;"",'All Cases - Enter Cases'!B597,"")</f>
        <v/>
      </c>
      <c r="D597" t="str">
        <f>IF($A597&lt;&gt;"",'All Cases - Enter Cases'!C597,"")</f>
        <v/>
      </c>
      <c r="E597" t="str">
        <f>IF($A597&lt;&gt;"",'All Cases - Enter Cases'!D597,"")</f>
        <v/>
      </c>
      <c r="F597" s="12" t="str">
        <f>IF($A597&lt;&gt;"",'All Cases - Enter Cases'!E597,"")</f>
        <v/>
      </c>
      <c r="G597" s="12" t="str">
        <f>IF($A597&lt;&gt;"",'All Cases - Enter Cases'!F597,"")</f>
        <v/>
      </c>
      <c r="H597" s="4" t="str">
        <f>IF($A597&lt;&gt;"",'All Cases - Enter Cases'!G597,"")</f>
        <v/>
      </c>
      <c r="I597" t="str">
        <f>IF($A597&lt;&gt;"",'All Cases - Enter Cases'!H597,"")</f>
        <v/>
      </c>
      <c r="J597" t="str">
        <f>IF($A597&lt;&gt;"",'All Cases - Enter Cases'!I597,"")</f>
        <v/>
      </c>
      <c r="K597" t="str">
        <f>IF($A597&lt;&gt;"",'All Cases - Enter Cases'!J597,"")</f>
        <v/>
      </c>
      <c r="L597" s="4" t="str">
        <f>IF($A597&lt;&gt;"",'All Cases - Enter Cases'!K597,"")</f>
        <v/>
      </c>
      <c r="M597" t="str">
        <f>IF($A597&lt;&gt;"",'All Cases - Enter Cases'!L597,"")</f>
        <v/>
      </c>
    </row>
    <row r="598" spans="1:13" x14ac:dyDescent="0.35">
      <c r="A598" s="4" t="str">
        <f>IF('All Cases - Enter Cases'!$K598="Approved",'All Cases - Enter Cases'!A598,"")</f>
        <v/>
      </c>
      <c r="B598" s="4" t="str">
        <f>IF($N598&lt;&gt;"",$N598,IF($A598&lt;&gt;"",'All Cases - Enter Cases'!$L598+7,""))</f>
        <v/>
      </c>
      <c r="C598" t="str">
        <f>IF($A598&lt;&gt;"",'All Cases - Enter Cases'!B598,"")</f>
        <v/>
      </c>
      <c r="D598" t="str">
        <f>IF($A598&lt;&gt;"",'All Cases - Enter Cases'!C598,"")</f>
        <v/>
      </c>
      <c r="E598" t="str">
        <f>IF($A598&lt;&gt;"",'All Cases - Enter Cases'!D598,"")</f>
        <v/>
      </c>
      <c r="F598" s="12" t="str">
        <f>IF($A598&lt;&gt;"",'All Cases - Enter Cases'!E598,"")</f>
        <v/>
      </c>
      <c r="G598" s="12" t="str">
        <f>IF($A598&lt;&gt;"",'All Cases - Enter Cases'!F598,"")</f>
        <v/>
      </c>
      <c r="H598" s="4" t="str">
        <f>IF($A598&lt;&gt;"",'All Cases - Enter Cases'!G598,"")</f>
        <v/>
      </c>
      <c r="I598" t="str">
        <f>IF($A598&lt;&gt;"",'All Cases - Enter Cases'!H598,"")</f>
        <v/>
      </c>
      <c r="J598" t="str">
        <f>IF($A598&lt;&gt;"",'All Cases - Enter Cases'!I598,"")</f>
        <v/>
      </c>
      <c r="K598" t="str">
        <f>IF($A598&lt;&gt;"",'All Cases - Enter Cases'!J598,"")</f>
        <v/>
      </c>
      <c r="L598" s="4" t="str">
        <f>IF($A598&lt;&gt;"",'All Cases - Enter Cases'!K598,"")</f>
        <v/>
      </c>
      <c r="M598" t="str">
        <f>IF($A598&lt;&gt;"",'All Cases - Enter Cases'!L598,"")</f>
        <v/>
      </c>
    </row>
    <row r="599" spans="1:13" x14ac:dyDescent="0.35">
      <c r="A599" s="4" t="str">
        <f>IF('All Cases - Enter Cases'!$K599="Approved",'All Cases - Enter Cases'!A599,"")</f>
        <v/>
      </c>
      <c r="B599" s="4" t="str">
        <f>IF($N599&lt;&gt;"",$N599,IF($A599&lt;&gt;"",'All Cases - Enter Cases'!$L599+7,""))</f>
        <v/>
      </c>
      <c r="C599" t="str">
        <f>IF($A599&lt;&gt;"",'All Cases - Enter Cases'!B599,"")</f>
        <v/>
      </c>
      <c r="D599" t="str">
        <f>IF($A599&lt;&gt;"",'All Cases - Enter Cases'!C599,"")</f>
        <v/>
      </c>
      <c r="E599" t="str">
        <f>IF($A599&lt;&gt;"",'All Cases - Enter Cases'!D599,"")</f>
        <v/>
      </c>
      <c r="F599" s="12" t="str">
        <f>IF($A599&lt;&gt;"",'All Cases - Enter Cases'!E599,"")</f>
        <v/>
      </c>
      <c r="G599" s="12" t="str">
        <f>IF($A599&lt;&gt;"",'All Cases - Enter Cases'!F599,"")</f>
        <v/>
      </c>
      <c r="H599" s="4" t="str">
        <f>IF($A599&lt;&gt;"",'All Cases - Enter Cases'!G599,"")</f>
        <v/>
      </c>
      <c r="I599" t="str">
        <f>IF($A599&lt;&gt;"",'All Cases - Enter Cases'!H599,"")</f>
        <v/>
      </c>
      <c r="J599" t="str">
        <f>IF($A599&lt;&gt;"",'All Cases - Enter Cases'!I599,"")</f>
        <v/>
      </c>
      <c r="K599" t="str">
        <f>IF($A599&lt;&gt;"",'All Cases - Enter Cases'!J599,"")</f>
        <v/>
      </c>
      <c r="L599" s="4" t="str">
        <f>IF($A599&lt;&gt;"",'All Cases - Enter Cases'!K599,"")</f>
        <v/>
      </c>
      <c r="M599" t="str">
        <f>IF($A599&lt;&gt;"",'All Cases - Enter Cases'!L599,"")</f>
        <v/>
      </c>
    </row>
    <row r="600" spans="1:13" x14ac:dyDescent="0.35">
      <c r="A600" s="4" t="str">
        <f>IF('All Cases - Enter Cases'!$K600="Approved",'All Cases - Enter Cases'!A600,"")</f>
        <v/>
      </c>
      <c r="B600" s="4" t="str">
        <f>IF($N600&lt;&gt;"",$N600,IF($A600&lt;&gt;"",'All Cases - Enter Cases'!$L600+7,""))</f>
        <v/>
      </c>
      <c r="C600" t="str">
        <f>IF($A600&lt;&gt;"",'All Cases - Enter Cases'!B600,"")</f>
        <v/>
      </c>
      <c r="D600" t="str">
        <f>IF($A600&lt;&gt;"",'All Cases - Enter Cases'!C600,"")</f>
        <v/>
      </c>
      <c r="E600" t="str">
        <f>IF($A600&lt;&gt;"",'All Cases - Enter Cases'!D600,"")</f>
        <v/>
      </c>
      <c r="F600" s="12" t="str">
        <f>IF($A600&lt;&gt;"",'All Cases - Enter Cases'!E600,"")</f>
        <v/>
      </c>
      <c r="G600" s="12" t="str">
        <f>IF($A600&lt;&gt;"",'All Cases - Enter Cases'!F600,"")</f>
        <v/>
      </c>
      <c r="H600" s="4" t="str">
        <f>IF($A600&lt;&gt;"",'All Cases - Enter Cases'!G600,"")</f>
        <v/>
      </c>
      <c r="I600" t="str">
        <f>IF($A600&lt;&gt;"",'All Cases - Enter Cases'!H600,"")</f>
        <v/>
      </c>
      <c r="J600" t="str">
        <f>IF($A600&lt;&gt;"",'All Cases - Enter Cases'!I600,"")</f>
        <v/>
      </c>
      <c r="K600" t="str">
        <f>IF($A600&lt;&gt;"",'All Cases - Enter Cases'!J600,"")</f>
        <v/>
      </c>
      <c r="L600" s="4" t="str">
        <f>IF($A600&lt;&gt;"",'All Cases - Enter Cases'!K600,"")</f>
        <v/>
      </c>
      <c r="M600" t="str">
        <f>IF($A600&lt;&gt;"",'All Cases - Enter Cases'!L600,"")</f>
        <v/>
      </c>
    </row>
    <row r="601" spans="1:13" x14ac:dyDescent="0.35">
      <c r="A601" s="4" t="str">
        <f>IF('All Cases - Enter Cases'!$K601="Approved",'All Cases - Enter Cases'!A601,"")</f>
        <v/>
      </c>
      <c r="B601" s="4" t="str">
        <f>IF($N601&lt;&gt;"",$N601,IF($A601&lt;&gt;"",'All Cases - Enter Cases'!$L601+7,""))</f>
        <v/>
      </c>
      <c r="C601" t="str">
        <f>IF($A601&lt;&gt;"",'All Cases - Enter Cases'!B601,"")</f>
        <v/>
      </c>
      <c r="D601" t="str">
        <f>IF($A601&lt;&gt;"",'All Cases - Enter Cases'!C601,"")</f>
        <v/>
      </c>
      <c r="E601" t="str">
        <f>IF($A601&lt;&gt;"",'All Cases - Enter Cases'!D601,"")</f>
        <v/>
      </c>
      <c r="F601" s="12" t="str">
        <f>IF($A601&lt;&gt;"",'All Cases - Enter Cases'!E601,"")</f>
        <v/>
      </c>
      <c r="G601" s="12" t="str">
        <f>IF($A601&lt;&gt;"",'All Cases - Enter Cases'!F601,"")</f>
        <v/>
      </c>
      <c r="H601" s="4" t="str">
        <f>IF($A601&lt;&gt;"",'All Cases - Enter Cases'!G601,"")</f>
        <v/>
      </c>
      <c r="I601" t="str">
        <f>IF($A601&lt;&gt;"",'All Cases - Enter Cases'!H601,"")</f>
        <v/>
      </c>
      <c r="J601" t="str">
        <f>IF($A601&lt;&gt;"",'All Cases - Enter Cases'!I601,"")</f>
        <v/>
      </c>
      <c r="K601" t="str">
        <f>IF($A601&lt;&gt;"",'All Cases - Enter Cases'!J601,"")</f>
        <v/>
      </c>
      <c r="L601" s="4" t="str">
        <f>IF($A601&lt;&gt;"",'All Cases - Enter Cases'!K601,"")</f>
        <v/>
      </c>
      <c r="M601" t="str">
        <f>IF($A601&lt;&gt;"",'All Cases - Enter Cases'!L601,"")</f>
        <v/>
      </c>
    </row>
    <row r="602" spans="1:13" x14ac:dyDescent="0.35">
      <c r="A602" s="4" t="str">
        <f>IF('All Cases - Enter Cases'!$K602="Approved",'All Cases - Enter Cases'!A602,"")</f>
        <v/>
      </c>
      <c r="B602" s="4" t="str">
        <f>IF($N602&lt;&gt;"",$N602,IF($A602&lt;&gt;"",'All Cases - Enter Cases'!$L602+7,""))</f>
        <v/>
      </c>
      <c r="C602" t="str">
        <f>IF($A602&lt;&gt;"",'All Cases - Enter Cases'!B602,"")</f>
        <v/>
      </c>
      <c r="D602" t="str">
        <f>IF($A602&lt;&gt;"",'All Cases - Enter Cases'!C602,"")</f>
        <v/>
      </c>
      <c r="E602" t="str">
        <f>IF($A602&lt;&gt;"",'All Cases - Enter Cases'!D602,"")</f>
        <v/>
      </c>
      <c r="F602" s="12" t="str">
        <f>IF($A602&lt;&gt;"",'All Cases - Enter Cases'!E602,"")</f>
        <v/>
      </c>
      <c r="G602" s="12" t="str">
        <f>IF($A602&lt;&gt;"",'All Cases - Enter Cases'!F602,"")</f>
        <v/>
      </c>
      <c r="H602" s="4" t="str">
        <f>IF($A602&lt;&gt;"",'All Cases - Enter Cases'!G602,"")</f>
        <v/>
      </c>
      <c r="I602" t="str">
        <f>IF($A602&lt;&gt;"",'All Cases - Enter Cases'!H602,"")</f>
        <v/>
      </c>
      <c r="J602" t="str">
        <f>IF($A602&lt;&gt;"",'All Cases - Enter Cases'!I602,"")</f>
        <v/>
      </c>
      <c r="K602" t="str">
        <f>IF($A602&lt;&gt;"",'All Cases - Enter Cases'!J602,"")</f>
        <v/>
      </c>
      <c r="L602" s="4" t="str">
        <f>IF($A602&lt;&gt;"",'All Cases - Enter Cases'!K602,"")</f>
        <v/>
      </c>
      <c r="M602" t="str">
        <f>IF($A602&lt;&gt;"",'All Cases - Enter Cases'!L602,"")</f>
        <v/>
      </c>
    </row>
    <row r="603" spans="1:13" x14ac:dyDescent="0.35">
      <c r="A603" s="4" t="str">
        <f>IF('All Cases - Enter Cases'!$K603="Approved",'All Cases - Enter Cases'!A603,"")</f>
        <v/>
      </c>
      <c r="B603" s="4" t="str">
        <f>IF($N603&lt;&gt;"",$N603,IF($A603&lt;&gt;"",'All Cases - Enter Cases'!$L603+7,""))</f>
        <v/>
      </c>
      <c r="C603" t="str">
        <f>IF($A603&lt;&gt;"",'All Cases - Enter Cases'!B603,"")</f>
        <v/>
      </c>
      <c r="D603" t="str">
        <f>IF($A603&lt;&gt;"",'All Cases - Enter Cases'!C603,"")</f>
        <v/>
      </c>
      <c r="E603" t="str">
        <f>IF($A603&lt;&gt;"",'All Cases - Enter Cases'!D603,"")</f>
        <v/>
      </c>
      <c r="F603" s="12" t="str">
        <f>IF($A603&lt;&gt;"",'All Cases - Enter Cases'!E603,"")</f>
        <v/>
      </c>
      <c r="G603" s="12" t="str">
        <f>IF($A603&lt;&gt;"",'All Cases - Enter Cases'!F603,"")</f>
        <v/>
      </c>
      <c r="H603" s="4" t="str">
        <f>IF($A603&lt;&gt;"",'All Cases - Enter Cases'!G603,"")</f>
        <v/>
      </c>
      <c r="I603" t="str">
        <f>IF($A603&lt;&gt;"",'All Cases - Enter Cases'!H603,"")</f>
        <v/>
      </c>
      <c r="J603" t="str">
        <f>IF($A603&lt;&gt;"",'All Cases - Enter Cases'!I603,"")</f>
        <v/>
      </c>
      <c r="K603" t="str">
        <f>IF($A603&lt;&gt;"",'All Cases - Enter Cases'!J603,"")</f>
        <v/>
      </c>
      <c r="L603" s="4" t="str">
        <f>IF($A603&lt;&gt;"",'All Cases - Enter Cases'!K603,"")</f>
        <v/>
      </c>
      <c r="M603" t="str">
        <f>IF($A603&lt;&gt;"",'All Cases - Enter Cases'!L603,"")</f>
        <v/>
      </c>
    </row>
    <row r="604" spans="1:13" x14ac:dyDescent="0.35">
      <c r="A604" s="4" t="str">
        <f>IF('All Cases - Enter Cases'!$K604="Approved",'All Cases - Enter Cases'!A604,"")</f>
        <v/>
      </c>
      <c r="B604" s="4" t="str">
        <f>IF($N604&lt;&gt;"",$N604,IF($A604&lt;&gt;"",'All Cases - Enter Cases'!$L604+7,""))</f>
        <v/>
      </c>
      <c r="C604" t="str">
        <f>IF($A604&lt;&gt;"",'All Cases - Enter Cases'!B604,"")</f>
        <v/>
      </c>
      <c r="D604" t="str">
        <f>IF($A604&lt;&gt;"",'All Cases - Enter Cases'!C604,"")</f>
        <v/>
      </c>
      <c r="E604" t="str">
        <f>IF($A604&lt;&gt;"",'All Cases - Enter Cases'!D604,"")</f>
        <v/>
      </c>
      <c r="F604" s="12" t="str">
        <f>IF($A604&lt;&gt;"",'All Cases - Enter Cases'!E604,"")</f>
        <v/>
      </c>
      <c r="G604" s="12" t="str">
        <f>IF($A604&lt;&gt;"",'All Cases - Enter Cases'!F604,"")</f>
        <v/>
      </c>
      <c r="H604" s="4" t="str">
        <f>IF($A604&lt;&gt;"",'All Cases - Enter Cases'!G604,"")</f>
        <v/>
      </c>
      <c r="I604" t="str">
        <f>IF($A604&lt;&gt;"",'All Cases - Enter Cases'!H604,"")</f>
        <v/>
      </c>
      <c r="J604" t="str">
        <f>IF($A604&lt;&gt;"",'All Cases - Enter Cases'!I604,"")</f>
        <v/>
      </c>
      <c r="K604" t="str">
        <f>IF($A604&lt;&gt;"",'All Cases - Enter Cases'!J604,"")</f>
        <v/>
      </c>
      <c r="L604" s="4" t="str">
        <f>IF($A604&lt;&gt;"",'All Cases - Enter Cases'!K604,"")</f>
        <v/>
      </c>
      <c r="M604" t="str">
        <f>IF($A604&lt;&gt;"",'All Cases - Enter Cases'!L604,"")</f>
        <v/>
      </c>
    </row>
    <row r="605" spans="1:13" x14ac:dyDescent="0.35">
      <c r="A605" s="4" t="str">
        <f>IF('All Cases - Enter Cases'!$K605="Approved",'All Cases - Enter Cases'!A605,"")</f>
        <v/>
      </c>
      <c r="B605" s="4" t="str">
        <f>IF($N605&lt;&gt;"",$N605,IF($A605&lt;&gt;"",'All Cases - Enter Cases'!$L605+7,""))</f>
        <v/>
      </c>
      <c r="C605" t="str">
        <f>IF($A605&lt;&gt;"",'All Cases - Enter Cases'!B605,"")</f>
        <v/>
      </c>
      <c r="D605" t="str">
        <f>IF($A605&lt;&gt;"",'All Cases - Enter Cases'!C605,"")</f>
        <v/>
      </c>
      <c r="E605" t="str">
        <f>IF($A605&lt;&gt;"",'All Cases - Enter Cases'!D605,"")</f>
        <v/>
      </c>
      <c r="F605" s="12" t="str">
        <f>IF($A605&lt;&gt;"",'All Cases - Enter Cases'!E605,"")</f>
        <v/>
      </c>
      <c r="G605" s="12" t="str">
        <f>IF($A605&lt;&gt;"",'All Cases - Enter Cases'!F605,"")</f>
        <v/>
      </c>
      <c r="H605" s="4" t="str">
        <f>IF($A605&lt;&gt;"",'All Cases - Enter Cases'!G605,"")</f>
        <v/>
      </c>
      <c r="I605" t="str">
        <f>IF($A605&lt;&gt;"",'All Cases - Enter Cases'!H605,"")</f>
        <v/>
      </c>
      <c r="J605" t="str">
        <f>IF($A605&lt;&gt;"",'All Cases - Enter Cases'!I605,"")</f>
        <v/>
      </c>
      <c r="K605" t="str">
        <f>IF($A605&lt;&gt;"",'All Cases - Enter Cases'!J605,"")</f>
        <v/>
      </c>
      <c r="L605" s="4" t="str">
        <f>IF($A605&lt;&gt;"",'All Cases - Enter Cases'!K605,"")</f>
        <v/>
      </c>
      <c r="M605" t="str">
        <f>IF($A605&lt;&gt;"",'All Cases - Enter Cases'!L605,"")</f>
        <v/>
      </c>
    </row>
    <row r="606" spans="1:13" x14ac:dyDescent="0.35">
      <c r="A606" s="4" t="str">
        <f>IF('All Cases - Enter Cases'!$K606="Approved",'All Cases - Enter Cases'!A606,"")</f>
        <v/>
      </c>
      <c r="B606" s="4" t="str">
        <f>IF($N606&lt;&gt;"",$N606,IF($A606&lt;&gt;"",'All Cases - Enter Cases'!$L606+7,""))</f>
        <v/>
      </c>
      <c r="C606" t="str">
        <f>IF($A606&lt;&gt;"",'All Cases - Enter Cases'!B606,"")</f>
        <v/>
      </c>
      <c r="D606" t="str">
        <f>IF($A606&lt;&gt;"",'All Cases - Enter Cases'!C606,"")</f>
        <v/>
      </c>
      <c r="E606" t="str">
        <f>IF($A606&lt;&gt;"",'All Cases - Enter Cases'!D606,"")</f>
        <v/>
      </c>
      <c r="F606" s="12" t="str">
        <f>IF($A606&lt;&gt;"",'All Cases - Enter Cases'!E606,"")</f>
        <v/>
      </c>
      <c r="G606" s="12" t="str">
        <f>IF($A606&lt;&gt;"",'All Cases - Enter Cases'!F606,"")</f>
        <v/>
      </c>
      <c r="H606" s="4" t="str">
        <f>IF($A606&lt;&gt;"",'All Cases - Enter Cases'!G606,"")</f>
        <v/>
      </c>
      <c r="I606" t="str">
        <f>IF($A606&lt;&gt;"",'All Cases - Enter Cases'!H606,"")</f>
        <v/>
      </c>
      <c r="J606" t="str">
        <f>IF($A606&lt;&gt;"",'All Cases - Enter Cases'!I606,"")</f>
        <v/>
      </c>
      <c r="K606" t="str">
        <f>IF($A606&lt;&gt;"",'All Cases - Enter Cases'!J606,"")</f>
        <v/>
      </c>
      <c r="L606" s="4" t="str">
        <f>IF($A606&lt;&gt;"",'All Cases - Enter Cases'!K606,"")</f>
        <v/>
      </c>
      <c r="M606" t="str">
        <f>IF($A606&lt;&gt;"",'All Cases - Enter Cases'!L606,"")</f>
        <v/>
      </c>
    </row>
    <row r="607" spans="1:13" x14ac:dyDescent="0.35">
      <c r="A607" s="4" t="str">
        <f>IF('All Cases - Enter Cases'!$K607="Approved",'All Cases - Enter Cases'!A607,"")</f>
        <v/>
      </c>
      <c r="B607" s="4" t="str">
        <f>IF($N607&lt;&gt;"",$N607,IF($A607&lt;&gt;"",'All Cases - Enter Cases'!$L607+7,""))</f>
        <v/>
      </c>
      <c r="C607" t="str">
        <f>IF($A607&lt;&gt;"",'All Cases - Enter Cases'!B607,"")</f>
        <v/>
      </c>
      <c r="D607" t="str">
        <f>IF($A607&lt;&gt;"",'All Cases - Enter Cases'!C607,"")</f>
        <v/>
      </c>
      <c r="E607" t="str">
        <f>IF($A607&lt;&gt;"",'All Cases - Enter Cases'!D607,"")</f>
        <v/>
      </c>
      <c r="F607" s="12" t="str">
        <f>IF($A607&lt;&gt;"",'All Cases - Enter Cases'!E607,"")</f>
        <v/>
      </c>
      <c r="G607" s="12" t="str">
        <f>IF($A607&lt;&gt;"",'All Cases - Enter Cases'!F607,"")</f>
        <v/>
      </c>
      <c r="H607" s="4" t="str">
        <f>IF($A607&lt;&gt;"",'All Cases - Enter Cases'!G607,"")</f>
        <v/>
      </c>
      <c r="I607" t="str">
        <f>IF($A607&lt;&gt;"",'All Cases - Enter Cases'!H607,"")</f>
        <v/>
      </c>
      <c r="J607" t="str">
        <f>IF($A607&lt;&gt;"",'All Cases - Enter Cases'!I607,"")</f>
        <v/>
      </c>
      <c r="K607" t="str">
        <f>IF($A607&lt;&gt;"",'All Cases - Enter Cases'!J607,"")</f>
        <v/>
      </c>
      <c r="L607" s="4" t="str">
        <f>IF($A607&lt;&gt;"",'All Cases - Enter Cases'!K607,"")</f>
        <v/>
      </c>
      <c r="M607" t="str">
        <f>IF($A607&lt;&gt;"",'All Cases - Enter Cases'!L607,"")</f>
        <v/>
      </c>
    </row>
    <row r="608" spans="1:13" x14ac:dyDescent="0.35">
      <c r="A608" s="4" t="str">
        <f>IF('All Cases - Enter Cases'!$K608="Approved",'All Cases - Enter Cases'!A608,"")</f>
        <v/>
      </c>
      <c r="B608" s="4" t="str">
        <f>IF($N608&lt;&gt;"",$N608,IF($A608&lt;&gt;"",'All Cases - Enter Cases'!$L608+7,""))</f>
        <v/>
      </c>
      <c r="C608" t="str">
        <f>IF($A608&lt;&gt;"",'All Cases - Enter Cases'!B608,"")</f>
        <v/>
      </c>
      <c r="D608" t="str">
        <f>IF($A608&lt;&gt;"",'All Cases - Enter Cases'!C608,"")</f>
        <v/>
      </c>
      <c r="E608" t="str">
        <f>IF($A608&lt;&gt;"",'All Cases - Enter Cases'!D608,"")</f>
        <v/>
      </c>
      <c r="F608" s="12" t="str">
        <f>IF($A608&lt;&gt;"",'All Cases - Enter Cases'!E608,"")</f>
        <v/>
      </c>
      <c r="G608" s="12" t="str">
        <f>IF($A608&lt;&gt;"",'All Cases - Enter Cases'!F608,"")</f>
        <v/>
      </c>
      <c r="H608" s="4" t="str">
        <f>IF($A608&lt;&gt;"",'All Cases - Enter Cases'!G608,"")</f>
        <v/>
      </c>
      <c r="I608" t="str">
        <f>IF($A608&lt;&gt;"",'All Cases - Enter Cases'!H608,"")</f>
        <v/>
      </c>
      <c r="J608" t="str">
        <f>IF($A608&lt;&gt;"",'All Cases - Enter Cases'!I608,"")</f>
        <v/>
      </c>
      <c r="K608" t="str">
        <f>IF($A608&lt;&gt;"",'All Cases - Enter Cases'!J608,"")</f>
        <v/>
      </c>
      <c r="L608" s="4" t="str">
        <f>IF($A608&lt;&gt;"",'All Cases - Enter Cases'!K608,"")</f>
        <v/>
      </c>
      <c r="M608" t="str">
        <f>IF($A608&lt;&gt;"",'All Cases - Enter Cases'!L608,"")</f>
        <v/>
      </c>
    </row>
    <row r="609" spans="1:13" x14ac:dyDescent="0.35">
      <c r="A609" s="4" t="str">
        <f>IF('All Cases - Enter Cases'!$K609="Approved",'All Cases - Enter Cases'!A609,"")</f>
        <v/>
      </c>
      <c r="B609" s="4" t="str">
        <f>IF($N609&lt;&gt;"",$N609,IF($A609&lt;&gt;"",'All Cases - Enter Cases'!$L609+7,""))</f>
        <v/>
      </c>
      <c r="C609" t="str">
        <f>IF($A609&lt;&gt;"",'All Cases - Enter Cases'!B609,"")</f>
        <v/>
      </c>
      <c r="D609" t="str">
        <f>IF($A609&lt;&gt;"",'All Cases - Enter Cases'!C609,"")</f>
        <v/>
      </c>
      <c r="E609" t="str">
        <f>IF($A609&lt;&gt;"",'All Cases - Enter Cases'!D609,"")</f>
        <v/>
      </c>
      <c r="F609" s="12" t="str">
        <f>IF($A609&lt;&gt;"",'All Cases - Enter Cases'!E609,"")</f>
        <v/>
      </c>
      <c r="G609" s="12" t="str">
        <f>IF($A609&lt;&gt;"",'All Cases - Enter Cases'!F609,"")</f>
        <v/>
      </c>
      <c r="H609" s="4" t="str">
        <f>IF($A609&lt;&gt;"",'All Cases - Enter Cases'!G609,"")</f>
        <v/>
      </c>
      <c r="I609" t="str">
        <f>IF($A609&lt;&gt;"",'All Cases - Enter Cases'!H609,"")</f>
        <v/>
      </c>
      <c r="J609" t="str">
        <f>IF($A609&lt;&gt;"",'All Cases - Enter Cases'!I609,"")</f>
        <v/>
      </c>
      <c r="K609" t="str">
        <f>IF($A609&lt;&gt;"",'All Cases - Enter Cases'!J609,"")</f>
        <v/>
      </c>
      <c r="L609" s="4" t="str">
        <f>IF($A609&lt;&gt;"",'All Cases - Enter Cases'!K609,"")</f>
        <v/>
      </c>
      <c r="M609" t="str">
        <f>IF($A609&lt;&gt;"",'All Cases - Enter Cases'!L609,"")</f>
        <v/>
      </c>
    </row>
    <row r="610" spans="1:13" x14ac:dyDescent="0.35">
      <c r="A610" s="4" t="str">
        <f>IF('All Cases - Enter Cases'!$K610="Approved",'All Cases - Enter Cases'!A610,"")</f>
        <v/>
      </c>
      <c r="B610" s="4" t="str">
        <f>IF($N610&lt;&gt;"",$N610,IF($A610&lt;&gt;"",'All Cases - Enter Cases'!$L610+7,""))</f>
        <v/>
      </c>
      <c r="C610" t="str">
        <f>IF($A610&lt;&gt;"",'All Cases - Enter Cases'!B610,"")</f>
        <v/>
      </c>
      <c r="D610" t="str">
        <f>IF($A610&lt;&gt;"",'All Cases - Enter Cases'!C610,"")</f>
        <v/>
      </c>
      <c r="E610" t="str">
        <f>IF($A610&lt;&gt;"",'All Cases - Enter Cases'!D610,"")</f>
        <v/>
      </c>
      <c r="F610" s="12" t="str">
        <f>IF($A610&lt;&gt;"",'All Cases - Enter Cases'!E610,"")</f>
        <v/>
      </c>
      <c r="G610" s="12" t="str">
        <f>IF($A610&lt;&gt;"",'All Cases - Enter Cases'!F610,"")</f>
        <v/>
      </c>
      <c r="H610" s="4" t="str">
        <f>IF($A610&lt;&gt;"",'All Cases - Enter Cases'!G610,"")</f>
        <v/>
      </c>
      <c r="I610" t="str">
        <f>IF($A610&lt;&gt;"",'All Cases - Enter Cases'!H610,"")</f>
        <v/>
      </c>
      <c r="J610" t="str">
        <f>IF($A610&lt;&gt;"",'All Cases - Enter Cases'!I610,"")</f>
        <v/>
      </c>
      <c r="K610" t="str">
        <f>IF($A610&lt;&gt;"",'All Cases - Enter Cases'!J610,"")</f>
        <v/>
      </c>
      <c r="L610" s="4" t="str">
        <f>IF($A610&lt;&gt;"",'All Cases - Enter Cases'!K610,"")</f>
        <v/>
      </c>
      <c r="M610" t="str">
        <f>IF($A610&lt;&gt;"",'All Cases - Enter Cases'!L610,"")</f>
        <v/>
      </c>
    </row>
    <row r="611" spans="1:13" x14ac:dyDescent="0.35">
      <c r="A611" s="4" t="str">
        <f>IF('All Cases - Enter Cases'!$K611="Approved",'All Cases - Enter Cases'!A611,"")</f>
        <v/>
      </c>
      <c r="B611" s="4" t="str">
        <f>IF($N611&lt;&gt;"",$N611,IF($A611&lt;&gt;"",'All Cases - Enter Cases'!$L611+7,""))</f>
        <v/>
      </c>
      <c r="C611" t="str">
        <f>IF($A611&lt;&gt;"",'All Cases - Enter Cases'!B611,"")</f>
        <v/>
      </c>
      <c r="D611" t="str">
        <f>IF($A611&lt;&gt;"",'All Cases - Enter Cases'!C611,"")</f>
        <v/>
      </c>
      <c r="E611" t="str">
        <f>IF($A611&lt;&gt;"",'All Cases - Enter Cases'!D611,"")</f>
        <v/>
      </c>
      <c r="F611" s="12" t="str">
        <f>IF($A611&lt;&gt;"",'All Cases - Enter Cases'!E611,"")</f>
        <v/>
      </c>
      <c r="G611" s="12" t="str">
        <f>IF($A611&lt;&gt;"",'All Cases - Enter Cases'!F611,"")</f>
        <v/>
      </c>
      <c r="H611" s="4" t="str">
        <f>IF($A611&lt;&gt;"",'All Cases - Enter Cases'!G611,"")</f>
        <v/>
      </c>
      <c r="I611" t="str">
        <f>IF($A611&lt;&gt;"",'All Cases - Enter Cases'!H611,"")</f>
        <v/>
      </c>
      <c r="J611" t="str">
        <f>IF($A611&lt;&gt;"",'All Cases - Enter Cases'!I611,"")</f>
        <v/>
      </c>
      <c r="K611" t="str">
        <f>IF($A611&lt;&gt;"",'All Cases - Enter Cases'!J611,"")</f>
        <v/>
      </c>
      <c r="L611" s="4" t="str">
        <f>IF($A611&lt;&gt;"",'All Cases - Enter Cases'!K611,"")</f>
        <v/>
      </c>
      <c r="M611" t="str">
        <f>IF($A611&lt;&gt;"",'All Cases - Enter Cases'!L611,"")</f>
        <v/>
      </c>
    </row>
    <row r="612" spans="1:13" x14ac:dyDescent="0.35">
      <c r="A612" s="4" t="str">
        <f>IF('All Cases - Enter Cases'!$K612="Approved",'All Cases - Enter Cases'!A612,"")</f>
        <v/>
      </c>
      <c r="B612" s="4" t="str">
        <f>IF($N612&lt;&gt;"",$N612,IF($A612&lt;&gt;"",'All Cases - Enter Cases'!$L612+7,""))</f>
        <v/>
      </c>
      <c r="C612" t="str">
        <f>IF($A612&lt;&gt;"",'All Cases - Enter Cases'!B612,"")</f>
        <v/>
      </c>
      <c r="D612" t="str">
        <f>IF($A612&lt;&gt;"",'All Cases - Enter Cases'!C612,"")</f>
        <v/>
      </c>
      <c r="E612" t="str">
        <f>IF($A612&lt;&gt;"",'All Cases - Enter Cases'!D612,"")</f>
        <v/>
      </c>
      <c r="F612" s="12" t="str">
        <f>IF($A612&lt;&gt;"",'All Cases - Enter Cases'!E612,"")</f>
        <v/>
      </c>
      <c r="G612" s="12" t="str">
        <f>IF($A612&lt;&gt;"",'All Cases - Enter Cases'!F612,"")</f>
        <v/>
      </c>
      <c r="H612" s="4" t="str">
        <f>IF($A612&lt;&gt;"",'All Cases - Enter Cases'!G612,"")</f>
        <v/>
      </c>
      <c r="I612" t="str">
        <f>IF($A612&lt;&gt;"",'All Cases - Enter Cases'!H612,"")</f>
        <v/>
      </c>
      <c r="J612" t="str">
        <f>IF($A612&lt;&gt;"",'All Cases - Enter Cases'!I612,"")</f>
        <v/>
      </c>
      <c r="K612" t="str">
        <f>IF($A612&lt;&gt;"",'All Cases - Enter Cases'!J612,"")</f>
        <v/>
      </c>
      <c r="L612" s="4" t="str">
        <f>IF($A612&lt;&gt;"",'All Cases - Enter Cases'!K612,"")</f>
        <v/>
      </c>
      <c r="M612" t="str">
        <f>IF($A612&lt;&gt;"",'All Cases - Enter Cases'!L612,"")</f>
        <v/>
      </c>
    </row>
    <row r="613" spans="1:13" x14ac:dyDescent="0.35">
      <c r="A613" s="4" t="str">
        <f>IF('All Cases - Enter Cases'!$K613="Approved",'All Cases - Enter Cases'!A613,"")</f>
        <v/>
      </c>
      <c r="B613" s="4" t="str">
        <f>IF($N613&lt;&gt;"",$N613,IF($A613&lt;&gt;"",'All Cases - Enter Cases'!$L613+7,""))</f>
        <v/>
      </c>
      <c r="C613" t="str">
        <f>IF($A613&lt;&gt;"",'All Cases - Enter Cases'!B613,"")</f>
        <v/>
      </c>
      <c r="D613" t="str">
        <f>IF($A613&lt;&gt;"",'All Cases - Enter Cases'!C613,"")</f>
        <v/>
      </c>
      <c r="E613" t="str">
        <f>IF($A613&lt;&gt;"",'All Cases - Enter Cases'!D613,"")</f>
        <v/>
      </c>
      <c r="F613" s="12" t="str">
        <f>IF($A613&lt;&gt;"",'All Cases - Enter Cases'!E613,"")</f>
        <v/>
      </c>
      <c r="G613" s="12" t="str">
        <f>IF($A613&lt;&gt;"",'All Cases - Enter Cases'!F613,"")</f>
        <v/>
      </c>
      <c r="H613" s="4" t="str">
        <f>IF($A613&lt;&gt;"",'All Cases - Enter Cases'!G613,"")</f>
        <v/>
      </c>
      <c r="I613" t="str">
        <f>IF($A613&lt;&gt;"",'All Cases - Enter Cases'!H613,"")</f>
        <v/>
      </c>
      <c r="J613" t="str">
        <f>IF($A613&lt;&gt;"",'All Cases - Enter Cases'!I613,"")</f>
        <v/>
      </c>
      <c r="K613" t="str">
        <f>IF($A613&lt;&gt;"",'All Cases - Enter Cases'!J613,"")</f>
        <v/>
      </c>
      <c r="L613" s="4" t="str">
        <f>IF($A613&lt;&gt;"",'All Cases - Enter Cases'!K613,"")</f>
        <v/>
      </c>
      <c r="M613" t="str">
        <f>IF($A613&lt;&gt;"",'All Cases - Enter Cases'!L613,"")</f>
        <v/>
      </c>
    </row>
    <row r="614" spans="1:13" x14ac:dyDescent="0.35">
      <c r="A614" s="4" t="str">
        <f>IF('All Cases - Enter Cases'!$K614="Approved",'All Cases - Enter Cases'!A614,"")</f>
        <v/>
      </c>
      <c r="B614" s="4" t="str">
        <f>IF($N614&lt;&gt;"",$N614,IF($A614&lt;&gt;"",'All Cases - Enter Cases'!$L614+7,""))</f>
        <v/>
      </c>
      <c r="C614" t="str">
        <f>IF($A614&lt;&gt;"",'All Cases - Enter Cases'!B614,"")</f>
        <v/>
      </c>
      <c r="D614" t="str">
        <f>IF($A614&lt;&gt;"",'All Cases - Enter Cases'!C614,"")</f>
        <v/>
      </c>
      <c r="E614" t="str">
        <f>IF($A614&lt;&gt;"",'All Cases - Enter Cases'!D614,"")</f>
        <v/>
      </c>
      <c r="F614" s="12" t="str">
        <f>IF($A614&lt;&gt;"",'All Cases - Enter Cases'!E614,"")</f>
        <v/>
      </c>
      <c r="G614" s="12" t="str">
        <f>IF($A614&lt;&gt;"",'All Cases - Enter Cases'!F614,"")</f>
        <v/>
      </c>
      <c r="H614" s="4" t="str">
        <f>IF($A614&lt;&gt;"",'All Cases - Enter Cases'!G614,"")</f>
        <v/>
      </c>
      <c r="I614" t="str">
        <f>IF($A614&lt;&gt;"",'All Cases - Enter Cases'!H614,"")</f>
        <v/>
      </c>
      <c r="J614" t="str">
        <f>IF($A614&lt;&gt;"",'All Cases - Enter Cases'!I614,"")</f>
        <v/>
      </c>
      <c r="K614" t="str">
        <f>IF($A614&lt;&gt;"",'All Cases - Enter Cases'!J614,"")</f>
        <v/>
      </c>
      <c r="L614" s="4" t="str">
        <f>IF($A614&lt;&gt;"",'All Cases - Enter Cases'!K614,"")</f>
        <v/>
      </c>
      <c r="M614" t="str">
        <f>IF($A614&lt;&gt;"",'All Cases - Enter Cases'!L614,"")</f>
        <v/>
      </c>
    </row>
    <row r="615" spans="1:13" x14ac:dyDescent="0.35">
      <c r="A615" s="4" t="str">
        <f>IF('All Cases - Enter Cases'!$K615="Approved",'All Cases - Enter Cases'!A615,"")</f>
        <v/>
      </c>
      <c r="B615" s="4" t="str">
        <f>IF($N615&lt;&gt;"",$N615,IF($A615&lt;&gt;"",'All Cases - Enter Cases'!$L615+7,""))</f>
        <v/>
      </c>
      <c r="C615" t="str">
        <f>IF($A615&lt;&gt;"",'All Cases - Enter Cases'!B615,"")</f>
        <v/>
      </c>
      <c r="D615" t="str">
        <f>IF($A615&lt;&gt;"",'All Cases - Enter Cases'!C615,"")</f>
        <v/>
      </c>
      <c r="E615" t="str">
        <f>IF($A615&lt;&gt;"",'All Cases - Enter Cases'!D615,"")</f>
        <v/>
      </c>
      <c r="F615" s="12" t="str">
        <f>IF($A615&lt;&gt;"",'All Cases - Enter Cases'!E615,"")</f>
        <v/>
      </c>
      <c r="G615" s="12" t="str">
        <f>IF($A615&lt;&gt;"",'All Cases - Enter Cases'!F615,"")</f>
        <v/>
      </c>
      <c r="H615" s="4" t="str">
        <f>IF($A615&lt;&gt;"",'All Cases - Enter Cases'!G615,"")</f>
        <v/>
      </c>
      <c r="I615" t="str">
        <f>IF($A615&lt;&gt;"",'All Cases - Enter Cases'!H615,"")</f>
        <v/>
      </c>
      <c r="J615" t="str">
        <f>IF($A615&lt;&gt;"",'All Cases - Enter Cases'!I615,"")</f>
        <v/>
      </c>
      <c r="K615" t="str">
        <f>IF($A615&lt;&gt;"",'All Cases - Enter Cases'!J615,"")</f>
        <v/>
      </c>
      <c r="L615" s="4" t="str">
        <f>IF($A615&lt;&gt;"",'All Cases - Enter Cases'!K615,"")</f>
        <v/>
      </c>
      <c r="M615" t="str">
        <f>IF($A615&lt;&gt;"",'All Cases - Enter Cases'!L615,"")</f>
        <v/>
      </c>
    </row>
    <row r="616" spans="1:13" x14ac:dyDescent="0.35">
      <c r="A616" s="4" t="str">
        <f>IF('All Cases - Enter Cases'!$K616="Approved",'All Cases - Enter Cases'!A616,"")</f>
        <v/>
      </c>
      <c r="B616" s="4" t="str">
        <f>IF($N616&lt;&gt;"",$N616,IF($A616&lt;&gt;"",'All Cases - Enter Cases'!$L616+7,""))</f>
        <v/>
      </c>
      <c r="C616" t="str">
        <f>IF($A616&lt;&gt;"",'All Cases - Enter Cases'!B616,"")</f>
        <v/>
      </c>
      <c r="D616" t="str">
        <f>IF($A616&lt;&gt;"",'All Cases - Enter Cases'!C616,"")</f>
        <v/>
      </c>
      <c r="E616" t="str">
        <f>IF($A616&lt;&gt;"",'All Cases - Enter Cases'!D616,"")</f>
        <v/>
      </c>
      <c r="F616" s="12" t="str">
        <f>IF($A616&lt;&gt;"",'All Cases - Enter Cases'!E616,"")</f>
        <v/>
      </c>
      <c r="G616" s="12" t="str">
        <f>IF($A616&lt;&gt;"",'All Cases - Enter Cases'!F616,"")</f>
        <v/>
      </c>
      <c r="H616" s="4" t="str">
        <f>IF($A616&lt;&gt;"",'All Cases - Enter Cases'!G616,"")</f>
        <v/>
      </c>
      <c r="I616" t="str">
        <f>IF($A616&lt;&gt;"",'All Cases - Enter Cases'!H616,"")</f>
        <v/>
      </c>
      <c r="J616" t="str">
        <f>IF($A616&lt;&gt;"",'All Cases - Enter Cases'!I616,"")</f>
        <v/>
      </c>
      <c r="K616" t="str">
        <f>IF($A616&lt;&gt;"",'All Cases - Enter Cases'!J616,"")</f>
        <v/>
      </c>
      <c r="L616" s="4" t="str">
        <f>IF($A616&lt;&gt;"",'All Cases - Enter Cases'!K616,"")</f>
        <v/>
      </c>
      <c r="M616" t="str">
        <f>IF($A616&lt;&gt;"",'All Cases - Enter Cases'!L616,"")</f>
        <v/>
      </c>
    </row>
    <row r="617" spans="1:13" x14ac:dyDescent="0.35">
      <c r="A617" s="4" t="str">
        <f>IF('All Cases - Enter Cases'!$K617="Approved",'All Cases - Enter Cases'!A617,"")</f>
        <v/>
      </c>
      <c r="B617" s="4" t="str">
        <f>IF($N617&lt;&gt;"",$N617,IF($A617&lt;&gt;"",'All Cases - Enter Cases'!$L617+7,""))</f>
        <v/>
      </c>
      <c r="C617" t="str">
        <f>IF($A617&lt;&gt;"",'All Cases - Enter Cases'!B617,"")</f>
        <v/>
      </c>
      <c r="D617" t="str">
        <f>IF($A617&lt;&gt;"",'All Cases - Enter Cases'!C617,"")</f>
        <v/>
      </c>
      <c r="E617" t="str">
        <f>IF($A617&lt;&gt;"",'All Cases - Enter Cases'!D617,"")</f>
        <v/>
      </c>
      <c r="F617" s="12" t="str">
        <f>IF($A617&lt;&gt;"",'All Cases - Enter Cases'!E617,"")</f>
        <v/>
      </c>
      <c r="G617" s="12" t="str">
        <f>IF($A617&lt;&gt;"",'All Cases - Enter Cases'!F617,"")</f>
        <v/>
      </c>
      <c r="H617" s="4" t="str">
        <f>IF($A617&lt;&gt;"",'All Cases - Enter Cases'!G617,"")</f>
        <v/>
      </c>
      <c r="I617" t="str">
        <f>IF($A617&lt;&gt;"",'All Cases - Enter Cases'!H617,"")</f>
        <v/>
      </c>
      <c r="J617" t="str">
        <f>IF($A617&lt;&gt;"",'All Cases - Enter Cases'!I617,"")</f>
        <v/>
      </c>
      <c r="K617" t="str">
        <f>IF($A617&lt;&gt;"",'All Cases - Enter Cases'!J617,"")</f>
        <v/>
      </c>
      <c r="L617" s="4" t="str">
        <f>IF($A617&lt;&gt;"",'All Cases - Enter Cases'!K617,"")</f>
        <v/>
      </c>
      <c r="M617" t="str">
        <f>IF($A617&lt;&gt;"",'All Cases - Enter Cases'!L617,"")</f>
        <v/>
      </c>
    </row>
    <row r="618" spans="1:13" x14ac:dyDescent="0.35">
      <c r="A618" s="4" t="str">
        <f>IF('All Cases - Enter Cases'!$K618="Approved",'All Cases - Enter Cases'!A618,"")</f>
        <v/>
      </c>
      <c r="B618" s="4" t="str">
        <f>IF($N618&lt;&gt;"",$N618,IF($A618&lt;&gt;"",'All Cases - Enter Cases'!$L618+7,""))</f>
        <v/>
      </c>
      <c r="C618" t="str">
        <f>IF($A618&lt;&gt;"",'All Cases - Enter Cases'!B618,"")</f>
        <v/>
      </c>
      <c r="D618" t="str">
        <f>IF($A618&lt;&gt;"",'All Cases - Enter Cases'!C618,"")</f>
        <v/>
      </c>
      <c r="E618" t="str">
        <f>IF($A618&lt;&gt;"",'All Cases - Enter Cases'!D618,"")</f>
        <v/>
      </c>
      <c r="F618" s="12" t="str">
        <f>IF($A618&lt;&gt;"",'All Cases - Enter Cases'!E618,"")</f>
        <v/>
      </c>
      <c r="G618" s="12" t="str">
        <f>IF($A618&lt;&gt;"",'All Cases - Enter Cases'!F618,"")</f>
        <v/>
      </c>
      <c r="H618" s="4" t="str">
        <f>IF($A618&lt;&gt;"",'All Cases - Enter Cases'!G618,"")</f>
        <v/>
      </c>
      <c r="I618" t="str">
        <f>IF($A618&lt;&gt;"",'All Cases - Enter Cases'!H618,"")</f>
        <v/>
      </c>
      <c r="J618" t="str">
        <f>IF($A618&lt;&gt;"",'All Cases - Enter Cases'!I618,"")</f>
        <v/>
      </c>
      <c r="K618" t="str">
        <f>IF($A618&lt;&gt;"",'All Cases - Enter Cases'!J618,"")</f>
        <v/>
      </c>
      <c r="L618" s="4" t="str">
        <f>IF($A618&lt;&gt;"",'All Cases - Enter Cases'!K618,"")</f>
        <v/>
      </c>
      <c r="M618" t="str">
        <f>IF($A618&lt;&gt;"",'All Cases - Enter Cases'!L618,"")</f>
        <v/>
      </c>
    </row>
    <row r="619" spans="1:13" x14ac:dyDescent="0.35">
      <c r="A619" s="4" t="str">
        <f>IF('All Cases - Enter Cases'!$K619="Approved",'All Cases - Enter Cases'!A619,"")</f>
        <v/>
      </c>
      <c r="B619" s="4" t="str">
        <f>IF($N619&lt;&gt;"",$N619,IF($A619&lt;&gt;"",'All Cases - Enter Cases'!$L619+7,""))</f>
        <v/>
      </c>
      <c r="C619" t="str">
        <f>IF($A619&lt;&gt;"",'All Cases - Enter Cases'!B619,"")</f>
        <v/>
      </c>
      <c r="D619" t="str">
        <f>IF($A619&lt;&gt;"",'All Cases - Enter Cases'!C619,"")</f>
        <v/>
      </c>
      <c r="E619" t="str">
        <f>IF($A619&lt;&gt;"",'All Cases - Enter Cases'!D619,"")</f>
        <v/>
      </c>
      <c r="F619" s="12" t="str">
        <f>IF($A619&lt;&gt;"",'All Cases - Enter Cases'!E619,"")</f>
        <v/>
      </c>
      <c r="G619" s="12" t="str">
        <f>IF($A619&lt;&gt;"",'All Cases - Enter Cases'!F619,"")</f>
        <v/>
      </c>
      <c r="H619" s="4" t="str">
        <f>IF($A619&lt;&gt;"",'All Cases - Enter Cases'!G619,"")</f>
        <v/>
      </c>
      <c r="I619" t="str">
        <f>IF($A619&lt;&gt;"",'All Cases - Enter Cases'!H619,"")</f>
        <v/>
      </c>
      <c r="J619" t="str">
        <f>IF($A619&lt;&gt;"",'All Cases - Enter Cases'!I619,"")</f>
        <v/>
      </c>
      <c r="K619" t="str">
        <f>IF($A619&lt;&gt;"",'All Cases - Enter Cases'!J619,"")</f>
        <v/>
      </c>
      <c r="L619" s="4" t="str">
        <f>IF($A619&lt;&gt;"",'All Cases - Enter Cases'!K619,"")</f>
        <v/>
      </c>
      <c r="M619" t="str">
        <f>IF($A619&lt;&gt;"",'All Cases - Enter Cases'!L619,"")</f>
        <v/>
      </c>
    </row>
    <row r="620" spans="1:13" x14ac:dyDescent="0.35">
      <c r="A620" s="4" t="str">
        <f>IF('All Cases - Enter Cases'!$K620="Approved",'All Cases - Enter Cases'!A620,"")</f>
        <v/>
      </c>
      <c r="B620" s="4" t="str">
        <f>IF($N620&lt;&gt;"",$N620,IF($A620&lt;&gt;"",'All Cases - Enter Cases'!$L620+7,""))</f>
        <v/>
      </c>
      <c r="C620" t="str">
        <f>IF($A620&lt;&gt;"",'All Cases - Enter Cases'!B620,"")</f>
        <v/>
      </c>
      <c r="D620" t="str">
        <f>IF($A620&lt;&gt;"",'All Cases - Enter Cases'!C620,"")</f>
        <v/>
      </c>
      <c r="E620" t="str">
        <f>IF($A620&lt;&gt;"",'All Cases - Enter Cases'!D620,"")</f>
        <v/>
      </c>
      <c r="F620" s="12" t="str">
        <f>IF($A620&lt;&gt;"",'All Cases - Enter Cases'!E620,"")</f>
        <v/>
      </c>
      <c r="G620" s="12" t="str">
        <f>IF($A620&lt;&gt;"",'All Cases - Enter Cases'!F620,"")</f>
        <v/>
      </c>
      <c r="H620" s="4" t="str">
        <f>IF($A620&lt;&gt;"",'All Cases - Enter Cases'!G620,"")</f>
        <v/>
      </c>
      <c r="I620" t="str">
        <f>IF($A620&lt;&gt;"",'All Cases - Enter Cases'!H620,"")</f>
        <v/>
      </c>
      <c r="J620" t="str">
        <f>IF($A620&lt;&gt;"",'All Cases - Enter Cases'!I620,"")</f>
        <v/>
      </c>
      <c r="K620" t="str">
        <f>IF($A620&lt;&gt;"",'All Cases - Enter Cases'!J620,"")</f>
        <v/>
      </c>
      <c r="L620" s="4" t="str">
        <f>IF($A620&lt;&gt;"",'All Cases - Enter Cases'!K620,"")</f>
        <v/>
      </c>
      <c r="M620" t="str">
        <f>IF($A620&lt;&gt;"",'All Cases - Enter Cases'!L620,"")</f>
        <v/>
      </c>
    </row>
    <row r="621" spans="1:13" x14ac:dyDescent="0.35">
      <c r="A621" s="4" t="str">
        <f>IF('All Cases - Enter Cases'!$K621="Approved",'All Cases - Enter Cases'!A621,"")</f>
        <v/>
      </c>
      <c r="B621" s="4" t="str">
        <f>IF($N621&lt;&gt;"",$N621,IF($A621&lt;&gt;"",'All Cases - Enter Cases'!$L621+7,""))</f>
        <v/>
      </c>
      <c r="C621" t="str">
        <f>IF($A621&lt;&gt;"",'All Cases - Enter Cases'!B621,"")</f>
        <v/>
      </c>
      <c r="D621" t="str">
        <f>IF($A621&lt;&gt;"",'All Cases - Enter Cases'!C621,"")</f>
        <v/>
      </c>
      <c r="E621" t="str">
        <f>IF($A621&lt;&gt;"",'All Cases - Enter Cases'!D621,"")</f>
        <v/>
      </c>
      <c r="F621" s="12" t="str">
        <f>IF($A621&lt;&gt;"",'All Cases - Enter Cases'!E621,"")</f>
        <v/>
      </c>
      <c r="G621" s="12" t="str">
        <f>IF($A621&lt;&gt;"",'All Cases - Enter Cases'!F621,"")</f>
        <v/>
      </c>
      <c r="H621" s="4" t="str">
        <f>IF($A621&lt;&gt;"",'All Cases - Enter Cases'!G621,"")</f>
        <v/>
      </c>
      <c r="I621" t="str">
        <f>IF($A621&lt;&gt;"",'All Cases - Enter Cases'!H621,"")</f>
        <v/>
      </c>
      <c r="J621" t="str">
        <f>IF($A621&lt;&gt;"",'All Cases - Enter Cases'!I621,"")</f>
        <v/>
      </c>
      <c r="K621" t="str">
        <f>IF($A621&lt;&gt;"",'All Cases - Enter Cases'!J621,"")</f>
        <v/>
      </c>
      <c r="L621" s="4" t="str">
        <f>IF($A621&lt;&gt;"",'All Cases - Enter Cases'!K621,"")</f>
        <v/>
      </c>
      <c r="M621" t="str">
        <f>IF($A621&lt;&gt;"",'All Cases - Enter Cases'!L621,"")</f>
        <v/>
      </c>
    </row>
    <row r="622" spans="1:13" x14ac:dyDescent="0.35">
      <c r="A622" s="4" t="str">
        <f>IF('All Cases - Enter Cases'!$K622="Approved",'All Cases - Enter Cases'!A622,"")</f>
        <v/>
      </c>
      <c r="B622" s="4" t="str">
        <f>IF($N622&lt;&gt;"",$N622,IF($A622&lt;&gt;"",'All Cases - Enter Cases'!$L622+7,""))</f>
        <v/>
      </c>
      <c r="C622" t="str">
        <f>IF($A622&lt;&gt;"",'All Cases - Enter Cases'!B622,"")</f>
        <v/>
      </c>
      <c r="D622" t="str">
        <f>IF($A622&lt;&gt;"",'All Cases - Enter Cases'!C622,"")</f>
        <v/>
      </c>
      <c r="E622" t="str">
        <f>IF($A622&lt;&gt;"",'All Cases - Enter Cases'!D622,"")</f>
        <v/>
      </c>
      <c r="F622" s="12" t="str">
        <f>IF($A622&lt;&gt;"",'All Cases - Enter Cases'!E622,"")</f>
        <v/>
      </c>
      <c r="G622" s="12" t="str">
        <f>IF($A622&lt;&gt;"",'All Cases - Enter Cases'!F622,"")</f>
        <v/>
      </c>
      <c r="H622" s="4" t="str">
        <f>IF($A622&lt;&gt;"",'All Cases - Enter Cases'!G622,"")</f>
        <v/>
      </c>
      <c r="I622" t="str">
        <f>IF($A622&lt;&gt;"",'All Cases - Enter Cases'!H622,"")</f>
        <v/>
      </c>
      <c r="J622" t="str">
        <f>IF($A622&lt;&gt;"",'All Cases - Enter Cases'!I622,"")</f>
        <v/>
      </c>
      <c r="K622" t="str">
        <f>IF($A622&lt;&gt;"",'All Cases - Enter Cases'!J622,"")</f>
        <v/>
      </c>
      <c r="L622" s="4" t="str">
        <f>IF($A622&lt;&gt;"",'All Cases - Enter Cases'!K622,"")</f>
        <v/>
      </c>
      <c r="M622" t="str">
        <f>IF($A622&lt;&gt;"",'All Cases - Enter Cases'!L622,"")</f>
        <v/>
      </c>
    </row>
    <row r="623" spans="1:13" x14ac:dyDescent="0.35">
      <c r="A623" s="4" t="str">
        <f>IF('All Cases - Enter Cases'!$K623="Approved",'All Cases - Enter Cases'!A623,"")</f>
        <v/>
      </c>
      <c r="B623" s="4" t="str">
        <f>IF($N623&lt;&gt;"",$N623,IF($A623&lt;&gt;"",'All Cases - Enter Cases'!$L623+7,""))</f>
        <v/>
      </c>
      <c r="C623" t="str">
        <f>IF($A623&lt;&gt;"",'All Cases - Enter Cases'!B623,"")</f>
        <v/>
      </c>
      <c r="D623" t="str">
        <f>IF($A623&lt;&gt;"",'All Cases - Enter Cases'!C623,"")</f>
        <v/>
      </c>
      <c r="E623" t="str">
        <f>IF($A623&lt;&gt;"",'All Cases - Enter Cases'!D623,"")</f>
        <v/>
      </c>
      <c r="F623" s="12" t="str">
        <f>IF($A623&lt;&gt;"",'All Cases - Enter Cases'!E623,"")</f>
        <v/>
      </c>
      <c r="G623" s="12" t="str">
        <f>IF($A623&lt;&gt;"",'All Cases - Enter Cases'!F623,"")</f>
        <v/>
      </c>
      <c r="H623" s="4" t="str">
        <f>IF($A623&lt;&gt;"",'All Cases - Enter Cases'!G623,"")</f>
        <v/>
      </c>
      <c r="I623" t="str">
        <f>IF($A623&lt;&gt;"",'All Cases - Enter Cases'!H623,"")</f>
        <v/>
      </c>
      <c r="J623" t="str">
        <f>IF($A623&lt;&gt;"",'All Cases - Enter Cases'!I623,"")</f>
        <v/>
      </c>
      <c r="K623" t="str">
        <f>IF($A623&lt;&gt;"",'All Cases - Enter Cases'!J623,"")</f>
        <v/>
      </c>
      <c r="L623" s="4" t="str">
        <f>IF($A623&lt;&gt;"",'All Cases - Enter Cases'!K623,"")</f>
        <v/>
      </c>
      <c r="M623" t="str">
        <f>IF($A623&lt;&gt;"",'All Cases - Enter Cases'!L623,"")</f>
        <v/>
      </c>
    </row>
    <row r="624" spans="1:13" x14ac:dyDescent="0.35">
      <c r="A624" s="4" t="str">
        <f>IF('All Cases - Enter Cases'!$K624="Approved",'All Cases - Enter Cases'!A624,"")</f>
        <v/>
      </c>
      <c r="B624" s="4" t="str">
        <f>IF($N624&lt;&gt;"",$N624,IF($A624&lt;&gt;"",'All Cases - Enter Cases'!$L624+7,""))</f>
        <v/>
      </c>
      <c r="C624" t="str">
        <f>IF($A624&lt;&gt;"",'All Cases - Enter Cases'!B624,"")</f>
        <v/>
      </c>
      <c r="D624" t="str">
        <f>IF($A624&lt;&gt;"",'All Cases - Enter Cases'!C624,"")</f>
        <v/>
      </c>
      <c r="E624" t="str">
        <f>IF($A624&lt;&gt;"",'All Cases - Enter Cases'!D624,"")</f>
        <v/>
      </c>
      <c r="F624" s="12" t="str">
        <f>IF($A624&lt;&gt;"",'All Cases - Enter Cases'!E624,"")</f>
        <v/>
      </c>
      <c r="G624" s="12" t="str">
        <f>IF($A624&lt;&gt;"",'All Cases - Enter Cases'!F624,"")</f>
        <v/>
      </c>
      <c r="H624" s="4" t="str">
        <f>IF($A624&lt;&gt;"",'All Cases - Enter Cases'!G624,"")</f>
        <v/>
      </c>
      <c r="I624" t="str">
        <f>IF($A624&lt;&gt;"",'All Cases - Enter Cases'!H624,"")</f>
        <v/>
      </c>
      <c r="J624" t="str">
        <f>IF($A624&lt;&gt;"",'All Cases - Enter Cases'!I624,"")</f>
        <v/>
      </c>
      <c r="K624" t="str">
        <f>IF($A624&lt;&gt;"",'All Cases - Enter Cases'!J624,"")</f>
        <v/>
      </c>
      <c r="L624" s="4" t="str">
        <f>IF($A624&lt;&gt;"",'All Cases - Enter Cases'!K624,"")</f>
        <v/>
      </c>
      <c r="M624" t="str">
        <f>IF($A624&lt;&gt;"",'All Cases - Enter Cases'!L624,"")</f>
        <v/>
      </c>
    </row>
    <row r="625" spans="1:13" x14ac:dyDescent="0.35">
      <c r="A625" s="4" t="str">
        <f>IF('All Cases - Enter Cases'!$K625="Approved",'All Cases - Enter Cases'!A625,"")</f>
        <v/>
      </c>
      <c r="B625" s="4" t="str">
        <f>IF($N625&lt;&gt;"",$N625,IF($A625&lt;&gt;"",'All Cases - Enter Cases'!$L625+7,""))</f>
        <v/>
      </c>
      <c r="C625" t="str">
        <f>IF($A625&lt;&gt;"",'All Cases - Enter Cases'!B625,"")</f>
        <v/>
      </c>
      <c r="D625" t="str">
        <f>IF($A625&lt;&gt;"",'All Cases - Enter Cases'!C625,"")</f>
        <v/>
      </c>
      <c r="E625" t="str">
        <f>IF($A625&lt;&gt;"",'All Cases - Enter Cases'!D625,"")</f>
        <v/>
      </c>
      <c r="F625" s="12" t="str">
        <f>IF($A625&lt;&gt;"",'All Cases - Enter Cases'!E625,"")</f>
        <v/>
      </c>
      <c r="G625" s="12" t="str">
        <f>IF($A625&lt;&gt;"",'All Cases - Enter Cases'!F625,"")</f>
        <v/>
      </c>
      <c r="H625" s="4" t="str">
        <f>IF($A625&lt;&gt;"",'All Cases - Enter Cases'!G625,"")</f>
        <v/>
      </c>
      <c r="I625" t="str">
        <f>IF($A625&lt;&gt;"",'All Cases - Enter Cases'!H625,"")</f>
        <v/>
      </c>
      <c r="J625" t="str">
        <f>IF($A625&lt;&gt;"",'All Cases - Enter Cases'!I625,"")</f>
        <v/>
      </c>
      <c r="K625" t="str">
        <f>IF($A625&lt;&gt;"",'All Cases - Enter Cases'!J625,"")</f>
        <v/>
      </c>
      <c r="L625" s="4" t="str">
        <f>IF($A625&lt;&gt;"",'All Cases - Enter Cases'!K625,"")</f>
        <v/>
      </c>
      <c r="M625" t="str">
        <f>IF($A625&lt;&gt;"",'All Cases - Enter Cases'!L625,"")</f>
        <v/>
      </c>
    </row>
    <row r="626" spans="1:13" x14ac:dyDescent="0.35">
      <c r="A626" s="4" t="str">
        <f>IF('All Cases - Enter Cases'!$K626="Approved",'All Cases - Enter Cases'!A626,"")</f>
        <v/>
      </c>
      <c r="B626" s="4" t="str">
        <f>IF($N626&lt;&gt;"",$N626,IF($A626&lt;&gt;"",'All Cases - Enter Cases'!$L626+7,""))</f>
        <v/>
      </c>
      <c r="C626" t="str">
        <f>IF($A626&lt;&gt;"",'All Cases - Enter Cases'!B626,"")</f>
        <v/>
      </c>
      <c r="D626" t="str">
        <f>IF($A626&lt;&gt;"",'All Cases - Enter Cases'!C626,"")</f>
        <v/>
      </c>
      <c r="E626" t="str">
        <f>IF($A626&lt;&gt;"",'All Cases - Enter Cases'!D626,"")</f>
        <v/>
      </c>
      <c r="F626" s="12" t="str">
        <f>IF($A626&lt;&gt;"",'All Cases - Enter Cases'!E626,"")</f>
        <v/>
      </c>
      <c r="G626" s="12" t="str">
        <f>IF($A626&lt;&gt;"",'All Cases - Enter Cases'!F626,"")</f>
        <v/>
      </c>
      <c r="H626" s="4" t="str">
        <f>IF($A626&lt;&gt;"",'All Cases - Enter Cases'!G626,"")</f>
        <v/>
      </c>
      <c r="I626" t="str">
        <f>IF($A626&lt;&gt;"",'All Cases - Enter Cases'!H626,"")</f>
        <v/>
      </c>
      <c r="J626" t="str">
        <f>IF($A626&lt;&gt;"",'All Cases - Enter Cases'!I626,"")</f>
        <v/>
      </c>
      <c r="K626" t="str">
        <f>IF($A626&lt;&gt;"",'All Cases - Enter Cases'!J626,"")</f>
        <v/>
      </c>
      <c r="L626" s="4" t="str">
        <f>IF($A626&lt;&gt;"",'All Cases - Enter Cases'!K626,"")</f>
        <v/>
      </c>
      <c r="M626" t="str">
        <f>IF($A626&lt;&gt;"",'All Cases - Enter Cases'!L626,"")</f>
        <v/>
      </c>
    </row>
    <row r="627" spans="1:13" x14ac:dyDescent="0.35">
      <c r="A627" s="4" t="str">
        <f>IF('All Cases - Enter Cases'!$K627="Approved",'All Cases - Enter Cases'!A627,"")</f>
        <v/>
      </c>
      <c r="B627" s="4" t="str">
        <f>IF($N627&lt;&gt;"",$N627,IF($A627&lt;&gt;"",'All Cases - Enter Cases'!$L627+7,""))</f>
        <v/>
      </c>
      <c r="C627" t="str">
        <f>IF($A627&lt;&gt;"",'All Cases - Enter Cases'!B627,"")</f>
        <v/>
      </c>
      <c r="D627" t="str">
        <f>IF($A627&lt;&gt;"",'All Cases - Enter Cases'!C627,"")</f>
        <v/>
      </c>
      <c r="E627" t="str">
        <f>IF($A627&lt;&gt;"",'All Cases - Enter Cases'!D627,"")</f>
        <v/>
      </c>
      <c r="F627" s="12" t="str">
        <f>IF($A627&lt;&gt;"",'All Cases - Enter Cases'!E627,"")</f>
        <v/>
      </c>
      <c r="G627" s="12" t="str">
        <f>IF($A627&lt;&gt;"",'All Cases - Enter Cases'!F627,"")</f>
        <v/>
      </c>
      <c r="H627" s="4" t="str">
        <f>IF($A627&lt;&gt;"",'All Cases - Enter Cases'!G627,"")</f>
        <v/>
      </c>
      <c r="I627" t="str">
        <f>IF($A627&lt;&gt;"",'All Cases - Enter Cases'!H627,"")</f>
        <v/>
      </c>
      <c r="J627" t="str">
        <f>IF($A627&lt;&gt;"",'All Cases - Enter Cases'!I627,"")</f>
        <v/>
      </c>
      <c r="K627" t="str">
        <f>IF($A627&lt;&gt;"",'All Cases - Enter Cases'!J627,"")</f>
        <v/>
      </c>
      <c r="L627" s="4" t="str">
        <f>IF($A627&lt;&gt;"",'All Cases - Enter Cases'!K627,"")</f>
        <v/>
      </c>
      <c r="M627" t="str">
        <f>IF($A627&lt;&gt;"",'All Cases - Enter Cases'!L627,"")</f>
        <v/>
      </c>
    </row>
    <row r="628" spans="1:13" x14ac:dyDescent="0.35">
      <c r="A628" s="4" t="str">
        <f>IF('All Cases - Enter Cases'!$K628="Approved",'All Cases - Enter Cases'!A628,"")</f>
        <v/>
      </c>
      <c r="B628" s="4" t="str">
        <f>IF($N628&lt;&gt;"",$N628,IF($A628&lt;&gt;"",'All Cases - Enter Cases'!$L628+7,""))</f>
        <v/>
      </c>
      <c r="C628" t="str">
        <f>IF($A628&lt;&gt;"",'All Cases - Enter Cases'!B628,"")</f>
        <v/>
      </c>
      <c r="D628" t="str">
        <f>IF($A628&lt;&gt;"",'All Cases - Enter Cases'!C628,"")</f>
        <v/>
      </c>
      <c r="E628" t="str">
        <f>IF($A628&lt;&gt;"",'All Cases - Enter Cases'!D628,"")</f>
        <v/>
      </c>
      <c r="F628" s="12" t="str">
        <f>IF($A628&lt;&gt;"",'All Cases - Enter Cases'!E628,"")</f>
        <v/>
      </c>
      <c r="G628" s="12" t="str">
        <f>IF($A628&lt;&gt;"",'All Cases - Enter Cases'!F628,"")</f>
        <v/>
      </c>
      <c r="H628" s="4" t="str">
        <f>IF($A628&lt;&gt;"",'All Cases - Enter Cases'!G628,"")</f>
        <v/>
      </c>
      <c r="I628" t="str">
        <f>IF($A628&lt;&gt;"",'All Cases - Enter Cases'!H628,"")</f>
        <v/>
      </c>
      <c r="J628" t="str">
        <f>IF($A628&lt;&gt;"",'All Cases - Enter Cases'!I628,"")</f>
        <v/>
      </c>
      <c r="K628" t="str">
        <f>IF($A628&lt;&gt;"",'All Cases - Enter Cases'!J628,"")</f>
        <v/>
      </c>
      <c r="L628" s="4" t="str">
        <f>IF($A628&lt;&gt;"",'All Cases - Enter Cases'!K628,"")</f>
        <v/>
      </c>
      <c r="M628" t="str">
        <f>IF($A628&lt;&gt;"",'All Cases - Enter Cases'!L628,"")</f>
        <v/>
      </c>
    </row>
    <row r="629" spans="1:13" x14ac:dyDescent="0.35">
      <c r="A629" s="4" t="str">
        <f>IF('All Cases - Enter Cases'!$K629="Approved",'All Cases - Enter Cases'!A629,"")</f>
        <v/>
      </c>
      <c r="B629" s="4" t="str">
        <f>IF($N629&lt;&gt;"",$N629,IF($A629&lt;&gt;"",'All Cases - Enter Cases'!$L629+7,""))</f>
        <v/>
      </c>
      <c r="C629" t="str">
        <f>IF($A629&lt;&gt;"",'All Cases - Enter Cases'!B629,"")</f>
        <v/>
      </c>
      <c r="D629" t="str">
        <f>IF($A629&lt;&gt;"",'All Cases - Enter Cases'!C629,"")</f>
        <v/>
      </c>
      <c r="E629" t="str">
        <f>IF($A629&lt;&gt;"",'All Cases - Enter Cases'!D629,"")</f>
        <v/>
      </c>
      <c r="F629" s="12" t="str">
        <f>IF($A629&lt;&gt;"",'All Cases - Enter Cases'!E629,"")</f>
        <v/>
      </c>
      <c r="G629" s="12" t="str">
        <f>IF($A629&lt;&gt;"",'All Cases - Enter Cases'!F629,"")</f>
        <v/>
      </c>
      <c r="H629" s="4" t="str">
        <f>IF($A629&lt;&gt;"",'All Cases - Enter Cases'!G629,"")</f>
        <v/>
      </c>
      <c r="I629" t="str">
        <f>IF($A629&lt;&gt;"",'All Cases - Enter Cases'!H629,"")</f>
        <v/>
      </c>
      <c r="J629" t="str">
        <f>IF($A629&lt;&gt;"",'All Cases - Enter Cases'!I629,"")</f>
        <v/>
      </c>
      <c r="K629" t="str">
        <f>IF($A629&lt;&gt;"",'All Cases - Enter Cases'!J629,"")</f>
        <v/>
      </c>
      <c r="L629" s="4" t="str">
        <f>IF($A629&lt;&gt;"",'All Cases - Enter Cases'!K629,"")</f>
        <v/>
      </c>
      <c r="M629" t="str">
        <f>IF($A629&lt;&gt;"",'All Cases - Enter Cases'!L629,"")</f>
        <v/>
      </c>
    </row>
    <row r="630" spans="1:13" x14ac:dyDescent="0.35">
      <c r="A630" s="4" t="str">
        <f>IF('All Cases - Enter Cases'!$K630="Approved",'All Cases - Enter Cases'!A630,"")</f>
        <v/>
      </c>
      <c r="B630" s="4" t="str">
        <f>IF($N630&lt;&gt;"",$N630,IF($A630&lt;&gt;"",'All Cases - Enter Cases'!$L630+7,""))</f>
        <v/>
      </c>
      <c r="C630" t="str">
        <f>IF($A630&lt;&gt;"",'All Cases - Enter Cases'!B630,"")</f>
        <v/>
      </c>
      <c r="D630" t="str">
        <f>IF($A630&lt;&gt;"",'All Cases - Enter Cases'!C630,"")</f>
        <v/>
      </c>
      <c r="E630" t="str">
        <f>IF($A630&lt;&gt;"",'All Cases - Enter Cases'!D630,"")</f>
        <v/>
      </c>
      <c r="F630" s="12" t="str">
        <f>IF($A630&lt;&gt;"",'All Cases - Enter Cases'!E630,"")</f>
        <v/>
      </c>
      <c r="G630" s="12" t="str">
        <f>IF($A630&lt;&gt;"",'All Cases - Enter Cases'!F630,"")</f>
        <v/>
      </c>
      <c r="H630" s="4" t="str">
        <f>IF($A630&lt;&gt;"",'All Cases - Enter Cases'!G630,"")</f>
        <v/>
      </c>
      <c r="I630" t="str">
        <f>IF($A630&lt;&gt;"",'All Cases - Enter Cases'!H630,"")</f>
        <v/>
      </c>
      <c r="J630" t="str">
        <f>IF($A630&lt;&gt;"",'All Cases - Enter Cases'!I630,"")</f>
        <v/>
      </c>
      <c r="K630" t="str">
        <f>IF($A630&lt;&gt;"",'All Cases - Enter Cases'!J630,"")</f>
        <v/>
      </c>
      <c r="L630" s="4" t="str">
        <f>IF($A630&lt;&gt;"",'All Cases - Enter Cases'!K630,"")</f>
        <v/>
      </c>
      <c r="M630" t="str">
        <f>IF($A630&lt;&gt;"",'All Cases - Enter Cases'!L630,"")</f>
        <v/>
      </c>
    </row>
    <row r="631" spans="1:13" x14ac:dyDescent="0.35">
      <c r="A631" s="4" t="str">
        <f>IF('All Cases - Enter Cases'!$K631="Approved",'All Cases - Enter Cases'!A631,"")</f>
        <v/>
      </c>
      <c r="B631" s="4" t="str">
        <f>IF($N631&lt;&gt;"",$N631,IF($A631&lt;&gt;"",'All Cases - Enter Cases'!$L631+7,""))</f>
        <v/>
      </c>
      <c r="C631" t="str">
        <f>IF($A631&lt;&gt;"",'All Cases - Enter Cases'!B631,"")</f>
        <v/>
      </c>
      <c r="D631" t="str">
        <f>IF($A631&lt;&gt;"",'All Cases - Enter Cases'!C631,"")</f>
        <v/>
      </c>
      <c r="E631" t="str">
        <f>IF($A631&lt;&gt;"",'All Cases - Enter Cases'!D631,"")</f>
        <v/>
      </c>
      <c r="F631" s="12" t="str">
        <f>IF($A631&lt;&gt;"",'All Cases - Enter Cases'!E631,"")</f>
        <v/>
      </c>
      <c r="G631" s="12" t="str">
        <f>IF($A631&lt;&gt;"",'All Cases - Enter Cases'!F631,"")</f>
        <v/>
      </c>
      <c r="H631" s="4" t="str">
        <f>IF($A631&lt;&gt;"",'All Cases - Enter Cases'!G631,"")</f>
        <v/>
      </c>
      <c r="I631" t="str">
        <f>IF($A631&lt;&gt;"",'All Cases - Enter Cases'!H631,"")</f>
        <v/>
      </c>
      <c r="J631" t="str">
        <f>IF($A631&lt;&gt;"",'All Cases - Enter Cases'!I631,"")</f>
        <v/>
      </c>
      <c r="K631" t="str">
        <f>IF($A631&lt;&gt;"",'All Cases - Enter Cases'!J631,"")</f>
        <v/>
      </c>
      <c r="L631" s="4" t="str">
        <f>IF($A631&lt;&gt;"",'All Cases - Enter Cases'!K631,"")</f>
        <v/>
      </c>
      <c r="M631" t="str">
        <f>IF($A631&lt;&gt;"",'All Cases - Enter Cases'!L631,"")</f>
        <v/>
      </c>
    </row>
    <row r="632" spans="1:13" x14ac:dyDescent="0.35">
      <c r="A632" s="4" t="str">
        <f>IF('All Cases - Enter Cases'!$K632="Approved",'All Cases - Enter Cases'!A632,"")</f>
        <v/>
      </c>
      <c r="B632" s="4" t="str">
        <f>IF($N632&lt;&gt;"",$N632,IF($A632&lt;&gt;"",'All Cases - Enter Cases'!$L632+7,""))</f>
        <v/>
      </c>
      <c r="C632" t="str">
        <f>IF($A632&lt;&gt;"",'All Cases - Enter Cases'!B632,"")</f>
        <v/>
      </c>
      <c r="D632" t="str">
        <f>IF($A632&lt;&gt;"",'All Cases - Enter Cases'!C632,"")</f>
        <v/>
      </c>
      <c r="E632" t="str">
        <f>IF($A632&lt;&gt;"",'All Cases - Enter Cases'!D632,"")</f>
        <v/>
      </c>
      <c r="F632" s="12" t="str">
        <f>IF($A632&lt;&gt;"",'All Cases - Enter Cases'!E632,"")</f>
        <v/>
      </c>
      <c r="G632" s="12" t="str">
        <f>IF($A632&lt;&gt;"",'All Cases - Enter Cases'!F632,"")</f>
        <v/>
      </c>
      <c r="H632" s="4" t="str">
        <f>IF($A632&lt;&gt;"",'All Cases - Enter Cases'!G632,"")</f>
        <v/>
      </c>
      <c r="I632" t="str">
        <f>IF($A632&lt;&gt;"",'All Cases - Enter Cases'!H632,"")</f>
        <v/>
      </c>
      <c r="J632" t="str">
        <f>IF($A632&lt;&gt;"",'All Cases - Enter Cases'!I632,"")</f>
        <v/>
      </c>
      <c r="K632" t="str">
        <f>IF($A632&lt;&gt;"",'All Cases - Enter Cases'!J632,"")</f>
        <v/>
      </c>
      <c r="L632" s="4" t="str">
        <f>IF($A632&lt;&gt;"",'All Cases - Enter Cases'!K632,"")</f>
        <v/>
      </c>
      <c r="M632" t="str">
        <f>IF($A632&lt;&gt;"",'All Cases - Enter Cases'!L632,"")</f>
        <v/>
      </c>
    </row>
    <row r="633" spans="1:13" x14ac:dyDescent="0.35">
      <c r="A633" s="4" t="str">
        <f>IF('All Cases - Enter Cases'!$K633="Approved",'All Cases - Enter Cases'!A633,"")</f>
        <v/>
      </c>
      <c r="B633" s="4" t="str">
        <f>IF($N633&lt;&gt;"",$N633,IF($A633&lt;&gt;"",'All Cases - Enter Cases'!$L633+7,""))</f>
        <v/>
      </c>
      <c r="C633" t="str">
        <f>IF($A633&lt;&gt;"",'All Cases - Enter Cases'!B633,"")</f>
        <v/>
      </c>
      <c r="D633" t="str">
        <f>IF($A633&lt;&gt;"",'All Cases - Enter Cases'!C633,"")</f>
        <v/>
      </c>
      <c r="E633" t="str">
        <f>IF($A633&lt;&gt;"",'All Cases - Enter Cases'!D633,"")</f>
        <v/>
      </c>
      <c r="F633" s="12" t="str">
        <f>IF($A633&lt;&gt;"",'All Cases - Enter Cases'!E633,"")</f>
        <v/>
      </c>
      <c r="G633" s="12" t="str">
        <f>IF($A633&lt;&gt;"",'All Cases - Enter Cases'!F633,"")</f>
        <v/>
      </c>
      <c r="H633" s="4" t="str">
        <f>IF($A633&lt;&gt;"",'All Cases - Enter Cases'!G633,"")</f>
        <v/>
      </c>
      <c r="I633" t="str">
        <f>IF($A633&lt;&gt;"",'All Cases - Enter Cases'!H633,"")</f>
        <v/>
      </c>
      <c r="J633" t="str">
        <f>IF($A633&lt;&gt;"",'All Cases - Enter Cases'!I633,"")</f>
        <v/>
      </c>
      <c r="K633" t="str">
        <f>IF($A633&lt;&gt;"",'All Cases - Enter Cases'!J633,"")</f>
        <v/>
      </c>
      <c r="L633" s="4" t="str">
        <f>IF($A633&lt;&gt;"",'All Cases - Enter Cases'!K633,"")</f>
        <v/>
      </c>
      <c r="M633" t="str">
        <f>IF($A633&lt;&gt;"",'All Cases - Enter Cases'!L633,"")</f>
        <v/>
      </c>
    </row>
    <row r="634" spans="1:13" x14ac:dyDescent="0.35">
      <c r="A634" s="4" t="str">
        <f>IF('All Cases - Enter Cases'!$K634="Approved",'All Cases - Enter Cases'!A634,"")</f>
        <v/>
      </c>
      <c r="B634" s="4" t="str">
        <f>IF($N634&lt;&gt;"",$N634,IF($A634&lt;&gt;"",'All Cases - Enter Cases'!$L634+7,""))</f>
        <v/>
      </c>
      <c r="C634" t="str">
        <f>IF($A634&lt;&gt;"",'All Cases - Enter Cases'!B634,"")</f>
        <v/>
      </c>
      <c r="D634" t="str">
        <f>IF($A634&lt;&gt;"",'All Cases - Enter Cases'!C634,"")</f>
        <v/>
      </c>
      <c r="E634" t="str">
        <f>IF($A634&lt;&gt;"",'All Cases - Enter Cases'!D634,"")</f>
        <v/>
      </c>
      <c r="F634" s="12" t="str">
        <f>IF($A634&lt;&gt;"",'All Cases - Enter Cases'!E634,"")</f>
        <v/>
      </c>
      <c r="G634" s="12" t="str">
        <f>IF($A634&lt;&gt;"",'All Cases - Enter Cases'!F634,"")</f>
        <v/>
      </c>
      <c r="H634" s="4" t="str">
        <f>IF($A634&lt;&gt;"",'All Cases - Enter Cases'!G634,"")</f>
        <v/>
      </c>
      <c r="I634" t="str">
        <f>IF($A634&lt;&gt;"",'All Cases - Enter Cases'!H634,"")</f>
        <v/>
      </c>
      <c r="J634" t="str">
        <f>IF($A634&lt;&gt;"",'All Cases - Enter Cases'!I634,"")</f>
        <v/>
      </c>
      <c r="K634" t="str">
        <f>IF($A634&lt;&gt;"",'All Cases - Enter Cases'!J634,"")</f>
        <v/>
      </c>
      <c r="L634" s="4" t="str">
        <f>IF($A634&lt;&gt;"",'All Cases - Enter Cases'!K634,"")</f>
        <v/>
      </c>
      <c r="M634" t="str">
        <f>IF($A634&lt;&gt;"",'All Cases - Enter Cases'!L634,"")</f>
        <v/>
      </c>
    </row>
    <row r="635" spans="1:13" x14ac:dyDescent="0.35">
      <c r="A635" s="4" t="str">
        <f>IF('All Cases - Enter Cases'!$K635="Approved",'All Cases - Enter Cases'!A635,"")</f>
        <v/>
      </c>
      <c r="B635" s="4" t="str">
        <f>IF($N635&lt;&gt;"",$N635,IF($A635&lt;&gt;"",'All Cases - Enter Cases'!$L635+7,""))</f>
        <v/>
      </c>
      <c r="C635" t="str">
        <f>IF($A635&lt;&gt;"",'All Cases - Enter Cases'!B635,"")</f>
        <v/>
      </c>
      <c r="D635" t="str">
        <f>IF($A635&lt;&gt;"",'All Cases - Enter Cases'!C635,"")</f>
        <v/>
      </c>
      <c r="E635" t="str">
        <f>IF($A635&lt;&gt;"",'All Cases - Enter Cases'!D635,"")</f>
        <v/>
      </c>
      <c r="F635" s="12" t="str">
        <f>IF($A635&lt;&gt;"",'All Cases - Enter Cases'!E635,"")</f>
        <v/>
      </c>
      <c r="G635" s="12" t="str">
        <f>IF($A635&lt;&gt;"",'All Cases - Enter Cases'!F635,"")</f>
        <v/>
      </c>
      <c r="H635" s="4" t="str">
        <f>IF($A635&lt;&gt;"",'All Cases - Enter Cases'!G635,"")</f>
        <v/>
      </c>
      <c r="I635" t="str">
        <f>IF($A635&lt;&gt;"",'All Cases - Enter Cases'!H635,"")</f>
        <v/>
      </c>
      <c r="J635" t="str">
        <f>IF($A635&lt;&gt;"",'All Cases - Enter Cases'!I635,"")</f>
        <v/>
      </c>
      <c r="K635" t="str">
        <f>IF($A635&lt;&gt;"",'All Cases - Enter Cases'!J635,"")</f>
        <v/>
      </c>
      <c r="L635" s="4" t="str">
        <f>IF($A635&lt;&gt;"",'All Cases - Enter Cases'!K635,"")</f>
        <v/>
      </c>
      <c r="M635" t="str">
        <f>IF($A635&lt;&gt;"",'All Cases - Enter Cases'!L635,"")</f>
        <v/>
      </c>
    </row>
    <row r="636" spans="1:13" x14ac:dyDescent="0.35">
      <c r="A636" s="4" t="str">
        <f>IF('All Cases - Enter Cases'!$K636="Approved",'All Cases - Enter Cases'!A636,"")</f>
        <v/>
      </c>
      <c r="B636" s="4" t="str">
        <f>IF($N636&lt;&gt;"",$N636,IF($A636&lt;&gt;"",'All Cases - Enter Cases'!$L636+7,""))</f>
        <v/>
      </c>
      <c r="C636" t="str">
        <f>IF($A636&lt;&gt;"",'All Cases - Enter Cases'!B636,"")</f>
        <v/>
      </c>
      <c r="D636" t="str">
        <f>IF($A636&lt;&gt;"",'All Cases - Enter Cases'!C636,"")</f>
        <v/>
      </c>
      <c r="E636" t="str">
        <f>IF($A636&lt;&gt;"",'All Cases - Enter Cases'!D636,"")</f>
        <v/>
      </c>
      <c r="F636" s="12" t="str">
        <f>IF($A636&lt;&gt;"",'All Cases - Enter Cases'!E636,"")</f>
        <v/>
      </c>
      <c r="G636" s="12" t="str">
        <f>IF($A636&lt;&gt;"",'All Cases - Enter Cases'!F636,"")</f>
        <v/>
      </c>
      <c r="H636" s="4" t="str">
        <f>IF($A636&lt;&gt;"",'All Cases - Enter Cases'!G636,"")</f>
        <v/>
      </c>
      <c r="I636" t="str">
        <f>IF($A636&lt;&gt;"",'All Cases - Enter Cases'!H636,"")</f>
        <v/>
      </c>
      <c r="J636" t="str">
        <f>IF($A636&lt;&gt;"",'All Cases - Enter Cases'!I636,"")</f>
        <v/>
      </c>
      <c r="K636" t="str">
        <f>IF($A636&lt;&gt;"",'All Cases - Enter Cases'!J636,"")</f>
        <v/>
      </c>
      <c r="L636" s="4" t="str">
        <f>IF($A636&lt;&gt;"",'All Cases - Enter Cases'!K636,"")</f>
        <v/>
      </c>
      <c r="M636" t="str">
        <f>IF($A636&lt;&gt;"",'All Cases - Enter Cases'!L636,"")</f>
        <v/>
      </c>
    </row>
    <row r="637" spans="1:13" x14ac:dyDescent="0.35">
      <c r="A637" s="4" t="str">
        <f>IF('All Cases - Enter Cases'!$K637="Approved",'All Cases - Enter Cases'!A637,"")</f>
        <v/>
      </c>
      <c r="B637" s="4" t="str">
        <f>IF($N637&lt;&gt;"",$N637,IF($A637&lt;&gt;"",'All Cases - Enter Cases'!$L637+7,""))</f>
        <v/>
      </c>
      <c r="C637" t="str">
        <f>IF($A637&lt;&gt;"",'All Cases - Enter Cases'!B637,"")</f>
        <v/>
      </c>
      <c r="D637" t="str">
        <f>IF($A637&lt;&gt;"",'All Cases - Enter Cases'!C637,"")</f>
        <v/>
      </c>
      <c r="E637" t="str">
        <f>IF($A637&lt;&gt;"",'All Cases - Enter Cases'!D637,"")</f>
        <v/>
      </c>
      <c r="F637" s="12" t="str">
        <f>IF($A637&lt;&gt;"",'All Cases - Enter Cases'!E637,"")</f>
        <v/>
      </c>
      <c r="G637" s="12" t="str">
        <f>IF($A637&lt;&gt;"",'All Cases - Enter Cases'!F637,"")</f>
        <v/>
      </c>
      <c r="H637" s="4" t="str">
        <f>IF($A637&lt;&gt;"",'All Cases - Enter Cases'!G637,"")</f>
        <v/>
      </c>
      <c r="I637" t="str">
        <f>IF($A637&lt;&gt;"",'All Cases - Enter Cases'!H637,"")</f>
        <v/>
      </c>
      <c r="J637" t="str">
        <f>IF($A637&lt;&gt;"",'All Cases - Enter Cases'!I637,"")</f>
        <v/>
      </c>
      <c r="K637" t="str">
        <f>IF($A637&lt;&gt;"",'All Cases - Enter Cases'!J637,"")</f>
        <v/>
      </c>
      <c r="L637" s="4" t="str">
        <f>IF($A637&lt;&gt;"",'All Cases - Enter Cases'!K637,"")</f>
        <v/>
      </c>
      <c r="M637" t="str">
        <f>IF($A637&lt;&gt;"",'All Cases - Enter Cases'!L637,"")</f>
        <v/>
      </c>
    </row>
    <row r="638" spans="1:13" x14ac:dyDescent="0.35">
      <c r="A638" s="4" t="str">
        <f>IF('All Cases - Enter Cases'!$K638="Approved",'All Cases - Enter Cases'!A638,"")</f>
        <v/>
      </c>
      <c r="B638" s="4" t="str">
        <f>IF($N638&lt;&gt;"",$N638,IF($A638&lt;&gt;"",'All Cases - Enter Cases'!$L638+7,""))</f>
        <v/>
      </c>
      <c r="C638" t="str">
        <f>IF($A638&lt;&gt;"",'All Cases - Enter Cases'!B638,"")</f>
        <v/>
      </c>
      <c r="D638" t="str">
        <f>IF($A638&lt;&gt;"",'All Cases - Enter Cases'!C638,"")</f>
        <v/>
      </c>
      <c r="E638" t="str">
        <f>IF($A638&lt;&gt;"",'All Cases - Enter Cases'!D638,"")</f>
        <v/>
      </c>
      <c r="F638" s="12" t="str">
        <f>IF($A638&lt;&gt;"",'All Cases - Enter Cases'!E638,"")</f>
        <v/>
      </c>
      <c r="G638" s="12" t="str">
        <f>IF($A638&lt;&gt;"",'All Cases - Enter Cases'!F638,"")</f>
        <v/>
      </c>
      <c r="H638" s="4" t="str">
        <f>IF($A638&lt;&gt;"",'All Cases - Enter Cases'!G638,"")</f>
        <v/>
      </c>
      <c r="I638" t="str">
        <f>IF($A638&lt;&gt;"",'All Cases - Enter Cases'!H638,"")</f>
        <v/>
      </c>
      <c r="J638" t="str">
        <f>IF($A638&lt;&gt;"",'All Cases - Enter Cases'!I638,"")</f>
        <v/>
      </c>
      <c r="K638" t="str">
        <f>IF($A638&lt;&gt;"",'All Cases - Enter Cases'!J638,"")</f>
        <v/>
      </c>
      <c r="L638" s="4" t="str">
        <f>IF($A638&lt;&gt;"",'All Cases - Enter Cases'!K638,"")</f>
        <v/>
      </c>
      <c r="M638" t="str">
        <f>IF($A638&lt;&gt;"",'All Cases - Enter Cases'!L638,"")</f>
        <v/>
      </c>
    </row>
    <row r="639" spans="1:13" x14ac:dyDescent="0.35">
      <c r="A639" s="4" t="str">
        <f>IF('All Cases - Enter Cases'!$K639="Approved",'All Cases - Enter Cases'!A639,"")</f>
        <v/>
      </c>
      <c r="B639" s="4" t="str">
        <f>IF($N639&lt;&gt;"",$N639,IF($A639&lt;&gt;"",'All Cases - Enter Cases'!$L639+7,""))</f>
        <v/>
      </c>
      <c r="C639" t="str">
        <f>IF($A639&lt;&gt;"",'All Cases - Enter Cases'!B639,"")</f>
        <v/>
      </c>
      <c r="D639" t="str">
        <f>IF($A639&lt;&gt;"",'All Cases - Enter Cases'!C639,"")</f>
        <v/>
      </c>
      <c r="E639" t="str">
        <f>IF($A639&lt;&gt;"",'All Cases - Enter Cases'!D639,"")</f>
        <v/>
      </c>
      <c r="F639" s="12" t="str">
        <f>IF($A639&lt;&gt;"",'All Cases - Enter Cases'!E639,"")</f>
        <v/>
      </c>
      <c r="G639" s="12" t="str">
        <f>IF($A639&lt;&gt;"",'All Cases - Enter Cases'!F639,"")</f>
        <v/>
      </c>
      <c r="H639" s="4" t="str">
        <f>IF($A639&lt;&gt;"",'All Cases - Enter Cases'!G639,"")</f>
        <v/>
      </c>
      <c r="I639" t="str">
        <f>IF($A639&lt;&gt;"",'All Cases - Enter Cases'!H639,"")</f>
        <v/>
      </c>
      <c r="J639" t="str">
        <f>IF($A639&lt;&gt;"",'All Cases - Enter Cases'!I639,"")</f>
        <v/>
      </c>
      <c r="K639" t="str">
        <f>IF($A639&lt;&gt;"",'All Cases - Enter Cases'!J639,"")</f>
        <v/>
      </c>
      <c r="L639" s="4" t="str">
        <f>IF($A639&lt;&gt;"",'All Cases - Enter Cases'!K639,"")</f>
        <v/>
      </c>
      <c r="M639" t="str">
        <f>IF($A639&lt;&gt;"",'All Cases - Enter Cases'!L639,"")</f>
        <v/>
      </c>
    </row>
    <row r="640" spans="1:13" x14ac:dyDescent="0.35">
      <c r="A640" s="4" t="str">
        <f>IF('All Cases - Enter Cases'!$K640="Approved",'All Cases - Enter Cases'!A640,"")</f>
        <v/>
      </c>
      <c r="B640" s="4" t="str">
        <f>IF($N640&lt;&gt;"",$N640,IF($A640&lt;&gt;"",'All Cases - Enter Cases'!$L640+7,""))</f>
        <v/>
      </c>
      <c r="C640" t="str">
        <f>IF($A640&lt;&gt;"",'All Cases - Enter Cases'!B640,"")</f>
        <v/>
      </c>
      <c r="D640" t="str">
        <f>IF($A640&lt;&gt;"",'All Cases - Enter Cases'!C640,"")</f>
        <v/>
      </c>
      <c r="E640" t="str">
        <f>IF($A640&lt;&gt;"",'All Cases - Enter Cases'!D640,"")</f>
        <v/>
      </c>
      <c r="F640" s="12" t="str">
        <f>IF($A640&lt;&gt;"",'All Cases - Enter Cases'!E640,"")</f>
        <v/>
      </c>
      <c r="G640" s="12" t="str">
        <f>IF($A640&lt;&gt;"",'All Cases - Enter Cases'!F640,"")</f>
        <v/>
      </c>
      <c r="H640" s="4" t="str">
        <f>IF($A640&lt;&gt;"",'All Cases - Enter Cases'!G640,"")</f>
        <v/>
      </c>
      <c r="I640" t="str">
        <f>IF($A640&lt;&gt;"",'All Cases - Enter Cases'!H640,"")</f>
        <v/>
      </c>
      <c r="J640" t="str">
        <f>IF($A640&lt;&gt;"",'All Cases - Enter Cases'!I640,"")</f>
        <v/>
      </c>
      <c r="K640" t="str">
        <f>IF($A640&lt;&gt;"",'All Cases - Enter Cases'!J640,"")</f>
        <v/>
      </c>
      <c r="L640" s="4" t="str">
        <f>IF($A640&lt;&gt;"",'All Cases - Enter Cases'!K640,"")</f>
        <v/>
      </c>
      <c r="M640" t="str">
        <f>IF($A640&lt;&gt;"",'All Cases - Enter Cases'!L640,"")</f>
        <v/>
      </c>
    </row>
    <row r="641" spans="1:13" x14ac:dyDescent="0.35">
      <c r="A641" s="4" t="str">
        <f>IF('All Cases - Enter Cases'!$K641="Approved",'All Cases - Enter Cases'!A641,"")</f>
        <v/>
      </c>
      <c r="B641" s="4" t="str">
        <f>IF($N641&lt;&gt;"",$N641,IF($A641&lt;&gt;"",'All Cases - Enter Cases'!$L641+7,""))</f>
        <v/>
      </c>
      <c r="C641" t="str">
        <f>IF($A641&lt;&gt;"",'All Cases - Enter Cases'!B641,"")</f>
        <v/>
      </c>
      <c r="D641" t="str">
        <f>IF($A641&lt;&gt;"",'All Cases - Enter Cases'!C641,"")</f>
        <v/>
      </c>
      <c r="E641" t="str">
        <f>IF($A641&lt;&gt;"",'All Cases - Enter Cases'!D641,"")</f>
        <v/>
      </c>
      <c r="F641" s="12" t="str">
        <f>IF($A641&lt;&gt;"",'All Cases - Enter Cases'!E641,"")</f>
        <v/>
      </c>
      <c r="G641" s="12" t="str">
        <f>IF($A641&lt;&gt;"",'All Cases - Enter Cases'!F641,"")</f>
        <v/>
      </c>
      <c r="H641" s="4" t="str">
        <f>IF($A641&lt;&gt;"",'All Cases - Enter Cases'!G641,"")</f>
        <v/>
      </c>
      <c r="I641" t="str">
        <f>IF($A641&lt;&gt;"",'All Cases - Enter Cases'!H641,"")</f>
        <v/>
      </c>
      <c r="J641" t="str">
        <f>IF($A641&lt;&gt;"",'All Cases - Enter Cases'!I641,"")</f>
        <v/>
      </c>
      <c r="K641" t="str">
        <f>IF($A641&lt;&gt;"",'All Cases - Enter Cases'!J641,"")</f>
        <v/>
      </c>
      <c r="L641" s="4" t="str">
        <f>IF($A641&lt;&gt;"",'All Cases - Enter Cases'!K641,"")</f>
        <v/>
      </c>
      <c r="M641" t="str">
        <f>IF($A641&lt;&gt;"",'All Cases - Enter Cases'!L641,"")</f>
        <v/>
      </c>
    </row>
    <row r="642" spans="1:13" x14ac:dyDescent="0.35">
      <c r="A642" s="4" t="str">
        <f>IF('All Cases - Enter Cases'!$K642="Approved",'All Cases - Enter Cases'!A642,"")</f>
        <v/>
      </c>
      <c r="B642" s="4" t="str">
        <f>IF($N642&lt;&gt;"",$N642,IF($A642&lt;&gt;"",'All Cases - Enter Cases'!$L642+7,""))</f>
        <v/>
      </c>
      <c r="C642" t="str">
        <f>IF($A642&lt;&gt;"",'All Cases - Enter Cases'!B642,"")</f>
        <v/>
      </c>
      <c r="D642" t="str">
        <f>IF($A642&lt;&gt;"",'All Cases - Enter Cases'!C642,"")</f>
        <v/>
      </c>
      <c r="E642" t="str">
        <f>IF($A642&lt;&gt;"",'All Cases - Enter Cases'!D642,"")</f>
        <v/>
      </c>
      <c r="F642" s="12" t="str">
        <f>IF($A642&lt;&gt;"",'All Cases - Enter Cases'!E642,"")</f>
        <v/>
      </c>
      <c r="G642" s="12" t="str">
        <f>IF($A642&lt;&gt;"",'All Cases - Enter Cases'!F642,"")</f>
        <v/>
      </c>
      <c r="H642" s="4" t="str">
        <f>IF($A642&lt;&gt;"",'All Cases - Enter Cases'!G642,"")</f>
        <v/>
      </c>
      <c r="I642" t="str">
        <f>IF($A642&lt;&gt;"",'All Cases - Enter Cases'!H642,"")</f>
        <v/>
      </c>
      <c r="J642" t="str">
        <f>IF($A642&lt;&gt;"",'All Cases - Enter Cases'!I642,"")</f>
        <v/>
      </c>
      <c r="K642" t="str">
        <f>IF($A642&lt;&gt;"",'All Cases - Enter Cases'!J642,"")</f>
        <v/>
      </c>
      <c r="L642" s="4" t="str">
        <f>IF($A642&lt;&gt;"",'All Cases - Enter Cases'!K642,"")</f>
        <v/>
      </c>
      <c r="M642" t="str">
        <f>IF($A642&lt;&gt;"",'All Cases - Enter Cases'!L642,"")</f>
        <v/>
      </c>
    </row>
    <row r="643" spans="1:13" x14ac:dyDescent="0.35">
      <c r="A643" s="4" t="str">
        <f>IF('All Cases - Enter Cases'!$K643="Approved",'All Cases - Enter Cases'!A643,"")</f>
        <v/>
      </c>
      <c r="B643" s="4" t="str">
        <f>IF($N643&lt;&gt;"",$N643,IF($A643&lt;&gt;"",'All Cases - Enter Cases'!$L643+7,""))</f>
        <v/>
      </c>
      <c r="C643" t="str">
        <f>IF($A643&lt;&gt;"",'All Cases - Enter Cases'!B643,"")</f>
        <v/>
      </c>
      <c r="D643" t="str">
        <f>IF($A643&lt;&gt;"",'All Cases - Enter Cases'!C643,"")</f>
        <v/>
      </c>
      <c r="E643" t="str">
        <f>IF($A643&lt;&gt;"",'All Cases - Enter Cases'!D643,"")</f>
        <v/>
      </c>
      <c r="F643" s="12" t="str">
        <f>IF($A643&lt;&gt;"",'All Cases - Enter Cases'!E643,"")</f>
        <v/>
      </c>
      <c r="G643" s="12" t="str">
        <f>IF($A643&lt;&gt;"",'All Cases - Enter Cases'!F643,"")</f>
        <v/>
      </c>
      <c r="H643" s="4" t="str">
        <f>IF($A643&lt;&gt;"",'All Cases - Enter Cases'!G643,"")</f>
        <v/>
      </c>
      <c r="I643" t="str">
        <f>IF($A643&lt;&gt;"",'All Cases - Enter Cases'!H643,"")</f>
        <v/>
      </c>
      <c r="J643" t="str">
        <f>IF($A643&lt;&gt;"",'All Cases - Enter Cases'!I643,"")</f>
        <v/>
      </c>
      <c r="K643" t="str">
        <f>IF($A643&lt;&gt;"",'All Cases - Enter Cases'!J643,"")</f>
        <v/>
      </c>
      <c r="L643" s="4" t="str">
        <f>IF($A643&lt;&gt;"",'All Cases - Enter Cases'!K643,"")</f>
        <v/>
      </c>
      <c r="M643" t="str">
        <f>IF($A643&lt;&gt;"",'All Cases - Enter Cases'!L643,"")</f>
        <v/>
      </c>
    </row>
    <row r="644" spans="1:13" x14ac:dyDescent="0.35">
      <c r="A644" s="4" t="str">
        <f>IF('All Cases - Enter Cases'!$K644="Approved",'All Cases - Enter Cases'!A644,"")</f>
        <v/>
      </c>
      <c r="B644" s="4" t="str">
        <f>IF($N644&lt;&gt;"",$N644,IF($A644&lt;&gt;"",'All Cases - Enter Cases'!$L644+7,""))</f>
        <v/>
      </c>
      <c r="C644" t="str">
        <f>IF($A644&lt;&gt;"",'All Cases - Enter Cases'!B644,"")</f>
        <v/>
      </c>
      <c r="D644" t="str">
        <f>IF($A644&lt;&gt;"",'All Cases - Enter Cases'!C644,"")</f>
        <v/>
      </c>
      <c r="E644" t="str">
        <f>IF($A644&lt;&gt;"",'All Cases - Enter Cases'!D644,"")</f>
        <v/>
      </c>
      <c r="F644" s="12" t="str">
        <f>IF($A644&lt;&gt;"",'All Cases - Enter Cases'!E644,"")</f>
        <v/>
      </c>
      <c r="G644" s="12" t="str">
        <f>IF($A644&lt;&gt;"",'All Cases - Enter Cases'!F644,"")</f>
        <v/>
      </c>
      <c r="H644" s="4" t="str">
        <f>IF($A644&lt;&gt;"",'All Cases - Enter Cases'!G644,"")</f>
        <v/>
      </c>
      <c r="I644" t="str">
        <f>IF($A644&lt;&gt;"",'All Cases - Enter Cases'!H644,"")</f>
        <v/>
      </c>
      <c r="J644" t="str">
        <f>IF($A644&lt;&gt;"",'All Cases - Enter Cases'!I644,"")</f>
        <v/>
      </c>
      <c r="K644" t="str">
        <f>IF($A644&lt;&gt;"",'All Cases - Enter Cases'!J644,"")</f>
        <v/>
      </c>
      <c r="L644" s="4" t="str">
        <f>IF($A644&lt;&gt;"",'All Cases - Enter Cases'!K644,"")</f>
        <v/>
      </c>
      <c r="M644" t="str">
        <f>IF($A644&lt;&gt;"",'All Cases - Enter Cases'!L644,"")</f>
        <v/>
      </c>
    </row>
    <row r="645" spans="1:13" x14ac:dyDescent="0.35">
      <c r="A645" s="4" t="str">
        <f>IF('All Cases - Enter Cases'!$K645="Approved",'All Cases - Enter Cases'!A645,"")</f>
        <v/>
      </c>
      <c r="B645" s="4" t="str">
        <f>IF($N645&lt;&gt;"",$N645,IF($A645&lt;&gt;"",'All Cases - Enter Cases'!$L645+7,""))</f>
        <v/>
      </c>
      <c r="C645" t="str">
        <f>IF($A645&lt;&gt;"",'All Cases - Enter Cases'!B645,"")</f>
        <v/>
      </c>
      <c r="D645" t="str">
        <f>IF($A645&lt;&gt;"",'All Cases - Enter Cases'!C645,"")</f>
        <v/>
      </c>
      <c r="E645" t="str">
        <f>IF($A645&lt;&gt;"",'All Cases - Enter Cases'!D645,"")</f>
        <v/>
      </c>
      <c r="F645" s="12" t="str">
        <f>IF($A645&lt;&gt;"",'All Cases - Enter Cases'!E645,"")</f>
        <v/>
      </c>
      <c r="G645" s="12" t="str">
        <f>IF($A645&lt;&gt;"",'All Cases - Enter Cases'!F645,"")</f>
        <v/>
      </c>
      <c r="H645" s="4" t="str">
        <f>IF($A645&lt;&gt;"",'All Cases - Enter Cases'!G645,"")</f>
        <v/>
      </c>
      <c r="I645" t="str">
        <f>IF($A645&lt;&gt;"",'All Cases - Enter Cases'!H645,"")</f>
        <v/>
      </c>
      <c r="J645" t="str">
        <f>IF($A645&lt;&gt;"",'All Cases - Enter Cases'!I645,"")</f>
        <v/>
      </c>
      <c r="K645" t="str">
        <f>IF($A645&lt;&gt;"",'All Cases - Enter Cases'!J645,"")</f>
        <v/>
      </c>
      <c r="L645" s="4" t="str">
        <f>IF($A645&lt;&gt;"",'All Cases - Enter Cases'!K645,"")</f>
        <v/>
      </c>
      <c r="M645" t="str">
        <f>IF($A645&lt;&gt;"",'All Cases - Enter Cases'!L645,"")</f>
        <v/>
      </c>
    </row>
    <row r="646" spans="1:13" x14ac:dyDescent="0.35">
      <c r="A646" s="4" t="str">
        <f>IF('All Cases - Enter Cases'!$K646="Approved",'All Cases - Enter Cases'!A646,"")</f>
        <v/>
      </c>
      <c r="B646" s="4" t="str">
        <f>IF($N646&lt;&gt;"",$N646,IF($A646&lt;&gt;"",'All Cases - Enter Cases'!$L646+7,""))</f>
        <v/>
      </c>
      <c r="C646" t="str">
        <f>IF($A646&lt;&gt;"",'All Cases - Enter Cases'!B646,"")</f>
        <v/>
      </c>
      <c r="D646" t="str">
        <f>IF($A646&lt;&gt;"",'All Cases - Enter Cases'!C646,"")</f>
        <v/>
      </c>
      <c r="E646" t="str">
        <f>IF($A646&lt;&gt;"",'All Cases - Enter Cases'!D646,"")</f>
        <v/>
      </c>
      <c r="F646" s="12" t="str">
        <f>IF($A646&lt;&gt;"",'All Cases - Enter Cases'!E646,"")</f>
        <v/>
      </c>
      <c r="G646" s="12" t="str">
        <f>IF($A646&lt;&gt;"",'All Cases - Enter Cases'!F646,"")</f>
        <v/>
      </c>
      <c r="H646" s="4" t="str">
        <f>IF($A646&lt;&gt;"",'All Cases - Enter Cases'!G646,"")</f>
        <v/>
      </c>
      <c r="I646" t="str">
        <f>IF($A646&lt;&gt;"",'All Cases - Enter Cases'!H646,"")</f>
        <v/>
      </c>
      <c r="J646" t="str">
        <f>IF($A646&lt;&gt;"",'All Cases - Enter Cases'!I646,"")</f>
        <v/>
      </c>
      <c r="K646" t="str">
        <f>IF($A646&lt;&gt;"",'All Cases - Enter Cases'!J646,"")</f>
        <v/>
      </c>
      <c r="L646" s="4" t="str">
        <f>IF($A646&lt;&gt;"",'All Cases - Enter Cases'!K646,"")</f>
        <v/>
      </c>
      <c r="M646" t="str">
        <f>IF($A646&lt;&gt;"",'All Cases - Enter Cases'!L646,"")</f>
        <v/>
      </c>
    </row>
    <row r="647" spans="1:13" x14ac:dyDescent="0.35">
      <c r="A647" s="4" t="str">
        <f>IF('All Cases - Enter Cases'!$K647="Approved",'All Cases - Enter Cases'!A647,"")</f>
        <v/>
      </c>
      <c r="B647" s="4" t="str">
        <f>IF($N647&lt;&gt;"",$N647,IF($A647&lt;&gt;"",'All Cases - Enter Cases'!$L647+7,""))</f>
        <v/>
      </c>
      <c r="C647" t="str">
        <f>IF($A647&lt;&gt;"",'All Cases - Enter Cases'!B647,"")</f>
        <v/>
      </c>
      <c r="D647" t="str">
        <f>IF($A647&lt;&gt;"",'All Cases - Enter Cases'!C647,"")</f>
        <v/>
      </c>
      <c r="E647" t="str">
        <f>IF($A647&lt;&gt;"",'All Cases - Enter Cases'!D647,"")</f>
        <v/>
      </c>
      <c r="F647" s="12" t="str">
        <f>IF($A647&lt;&gt;"",'All Cases - Enter Cases'!E647,"")</f>
        <v/>
      </c>
      <c r="G647" s="12" t="str">
        <f>IF($A647&lt;&gt;"",'All Cases - Enter Cases'!F647,"")</f>
        <v/>
      </c>
      <c r="H647" s="4" t="str">
        <f>IF($A647&lt;&gt;"",'All Cases - Enter Cases'!G647,"")</f>
        <v/>
      </c>
      <c r="I647" t="str">
        <f>IF($A647&lt;&gt;"",'All Cases - Enter Cases'!H647,"")</f>
        <v/>
      </c>
      <c r="J647" t="str">
        <f>IF($A647&lt;&gt;"",'All Cases - Enter Cases'!I647,"")</f>
        <v/>
      </c>
      <c r="K647" t="str">
        <f>IF($A647&lt;&gt;"",'All Cases - Enter Cases'!J647,"")</f>
        <v/>
      </c>
      <c r="L647" s="4" t="str">
        <f>IF($A647&lt;&gt;"",'All Cases - Enter Cases'!K647,"")</f>
        <v/>
      </c>
      <c r="M647" t="str">
        <f>IF($A647&lt;&gt;"",'All Cases - Enter Cases'!L647,"")</f>
        <v/>
      </c>
    </row>
    <row r="648" spans="1:13" x14ac:dyDescent="0.35">
      <c r="A648" s="4" t="str">
        <f>IF('All Cases - Enter Cases'!$K648="Approved",'All Cases - Enter Cases'!A648,"")</f>
        <v/>
      </c>
      <c r="B648" s="4" t="str">
        <f>IF($N648&lt;&gt;"",$N648,IF($A648&lt;&gt;"",'All Cases - Enter Cases'!$L648+7,""))</f>
        <v/>
      </c>
      <c r="C648" t="str">
        <f>IF($A648&lt;&gt;"",'All Cases - Enter Cases'!B648,"")</f>
        <v/>
      </c>
      <c r="D648" t="str">
        <f>IF($A648&lt;&gt;"",'All Cases - Enter Cases'!C648,"")</f>
        <v/>
      </c>
      <c r="E648" t="str">
        <f>IF($A648&lt;&gt;"",'All Cases - Enter Cases'!D648,"")</f>
        <v/>
      </c>
      <c r="F648" s="12" t="str">
        <f>IF($A648&lt;&gt;"",'All Cases - Enter Cases'!E648,"")</f>
        <v/>
      </c>
      <c r="G648" s="12" t="str">
        <f>IF($A648&lt;&gt;"",'All Cases - Enter Cases'!F648,"")</f>
        <v/>
      </c>
      <c r="H648" s="4" t="str">
        <f>IF($A648&lt;&gt;"",'All Cases - Enter Cases'!G648,"")</f>
        <v/>
      </c>
      <c r="I648" t="str">
        <f>IF($A648&lt;&gt;"",'All Cases - Enter Cases'!H648,"")</f>
        <v/>
      </c>
      <c r="J648" t="str">
        <f>IF($A648&lt;&gt;"",'All Cases - Enter Cases'!I648,"")</f>
        <v/>
      </c>
      <c r="K648" t="str">
        <f>IF($A648&lt;&gt;"",'All Cases - Enter Cases'!J648,"")</f>
        <v/>
      </c>
      <c r="L648" s="4" t="str">
        <f>IF($A648&lt;&gt;"",'All Cases - Enter Cases'!K648,"")</f>
        <v/>
      </c>
      <c r="M648" t="str">
        <f>IF($A648&lt;&gt;"",'All Cases - Enter Cases'!L648,"")</f>
        <v/>
      </c>
    </row>
    <row r="649" spans="1:13" x14ac:dyDescent="0.35">
      <c r="A649" s="4" t="str">
        <f>IF('All Cases - Enter Cases'!$K649="Approved",'All Cases - Enter Cases'!A649,"")</f>
        <v/>
      </c>
      <c r="B649" s="4" t="str">
        <f>IF($N649&lt;&gt;"",$N649,IF($A649&lt;&gt;"",'All Cases - Enter Cases'!$L649+7,""))</f>
        <v/>
      </c>
      <c r="C649" t="str">
        <f>IF($A649&lt;&gt;"",'All Cases - Enter Cases'!B649,"")</f>
        <v/>
      </c>
      <c r="D649" t="str">
        <f>IF($A649&lt;&gt;"",'All Cases - Enter Cases'!C649,"")</f>
        <v/>
      </c>
      <c r="E649" t="str">
        <f>IF($A649&lt;&gt;"",'All Cases - Enter Cases'!D649,"")</f>
        <v/>
      </c>
      <c r="F649" s="12" t="str">
        <f>IF($A649&lt;&gt;"",'All Cases - Enter Cases'!E649,"")</f>
        <v/>
      </c>
      <c r="G649" s="12" t="str">
        <f>IF($A649&lt;&gt;"",'All Cases - Enter Cases'!F649,"")</f>
        <v/>
      </c>
      <c r="H649" s="4" t="str">
        <f>IF($A649&lt;&gt;"",'All Cases - Enter Cases'!G649,"")</f>
        <v/>
      </c>
      <c r="I649" t="str">
        <f>IF($A649&lt;&gt;"",'All Cases - Enter Cases'!H649,"")</f>
        <v/>
      </c>
      <c r="J649" t="str">
        <f>IF($A649&lt;&gt;"",'All Cases - Enter Cases'!I649,"")</f>
        <v/>
      </c>
      <c r="K649" t="str">
        <f>IF($A649&lt;&gt;"",'All Cases - Enter Cases'!J649,"")</f>
        <v/>
      </c>
      <c r="L649" s="4" t="str">
        <f>IF($A649&lt;&gt;"",'All Cases - Enter Cases'!K649,"")</f>
        <v/>
      </c>
      <c r="M649" t="str">
        <f>IF($A649&lt;&gt;"",'All Cases - Enter Cases'!L649,"")</f>
        <v/>
      </c>
    </row>
    <row r="650" spans="1:13" x14ac:dyDescent="0.35">
      <c r="A650" s="4" t="str">
        <f>IF('All Cases - Enter Cases'!$K650="Approved",'All Cases - Enter Cases'!A650,"")</f>
        <v/>
      </c>
      <c r="B650" s="4" t="str">
        <f>IF($N650&lt;&gt;"",$N650,IF($A650&lt;&gt;"",'All Cases - Enter Cases'!$L650+7,""))</f>
        <v/>
      </c>
      <c r="C650" t="str">
        <f>IF($A650&lt;&gt;"",'All Cases - Enter Cases'!B650,"")</f>
        <v/>
      </c>
      <c r="D650" t="str">
        <f>IF($A650&lt;&gt;"",'All Cases - Enter Cases'!C650,"")</f>
        <v/>
      </c>
      <c r="E650" t="str">
        <f>IF($A650&lt;&gt;"",'All Cases - Enter Cases'!D650,"")</f>
        <v/>
      </c>
      <c r="F650" s="12" t="str">
        <f>IF($A650&lt;&gt;"",'All Cases - Enter Cases'!E650,"")</f>
        <v/>
      </c>
      <c r="G650" s="12" t="str">
        <f>IF($A650&lt;&gt;"",'All Cases - Enter Cases'!F650,"")</f>
        <v/>
      </c>
      <c r="H650" s="4" t="str">
        <f>IF($A650&lt;&gt;"",'All Cases - Enter Cases'!G650,"")</f>
        <v/>
      </c>
      <c r="I650" t="str">
        <f>IF($A650&lt;&gt;"",'All Cases - Enter Cases'!H650,"")</f>
        <v/>
      </c>
      <c r="J650" t="str">
        <f>IF($A650&lt;&gt;"",'All Cases - Enter Cases'!I650,"")</f>
        <v/>
      </c>
      <c r="K650" t="str">
        <f>IF($A650&lt;&gt;"",'All Cases - Enter Cases'!J650,"")</f>
        <v/>
      </c>
      <c r="L650" s="4" t="str">
        <f>IF($A650&lt;&gt;"",'All Cases - Enter Cases'!K650,"")</f>
        <v/>
      </c>
      <c r="M650" t="str">
        <f>IF($A650&lt;&gt;"",'All Cases - Enter Cases'!L650,"")</f>
        <v/>
      </c>
    </row>
    <row r="651" spans="1:13" x14ac:dyDescent="0.35">
      <c r="A651" s="4" t="str">
        <f>IF('All Cases - Enter Cases'!$K651="Approved",'All Cases - Enter Cases'!A651,"")</f>
        <v/>
      </c>
      <c r="B651" s="4" t="str">
        <f>IF($N651&lt;&gt;"",$N651,IF($A651&lt;&gt;"",'All Cases - Enter Cases'!$L651+7,""))</f>
        <v/>
      </c>
      <c r="C651" t="str">
        <f>IF($A651&lt;&gt;"",'All Cases - Enter Cases'!B651,"")</f>
        <v/>
      </c>
      <c r="D651" t="str">
        <f>IF($A651&lt;&gt;"",'All Cases - Enter Cases'!C651,"")</f>
        <v/>
      </c>
      <c r="E651" t="str">
        <f>IF($A651&lt;&gt;"",'All Cases - Enter Cases'!D651,"")</f>
        <v/>
      </c>
      <c r="F651" s="12" t="str">
        <f>IF($A651&lt;&gt;"",'All Cases - Enter Cases'!E651,"")</f>
        <v/>
      </c>
      <c r="G651" s="12" t="str">
        <f>IF($A651&lt;&gt;"",'All Cases - Enter Cases'!F651,"")</f>
        <v/>
      </c>
      <c r="H651" s="4" t="str">
        <f>IF($A651&lt;&gt;"",'All Cases - Enter Cases'!G651,"")</f>
        <v/>
      </c>
      <c r="I651" t="str">
        <f>IF($A651&lt;&gt;"",'All Cases - Enter Cases'!H651,"")</f>
        <v/>
      </c>
      <c r="J651" t="str">
        <f>IF($A651&lt;&gt;"",'All Cases - Enter Cases'!I651,"")</f>
        <v/>
      </c>
      <c r="K651" t="str">
        <f>IF($A651&lt;&gt;"",'All Cases - Enter Cases'!J651,"")</f>
        <v/>
      </c>
      <c r="L651" s="4" t="str">
        <f>IF($A651&lt;&gt;"",'All Cases - Enter Cases'!K651,"")</f>
        <v/>
      </c>
      <c r="M651" t="str">
        <f>IF($A651&lt;&gt;"",'All Cases - Enter Cases'!L651,"")</f>
        <v/>
      </c>
    </row>
    <row r="652" spans="1:13" x14ac:dyDescent="0.35">
      <c r="A652" s="4" t="str">
        <f>IF('All Cases - Enter Cases'!$K652="Approved",'All Cases - Enter Cases'!A652,"")</f>
        <v/>
      </c>
      <c r="B652" s="4" t="str">
        <f>IF($N652&lt;&gt;"",$N652,IF($A652&lt;&gt;"",'All Cases - Enter Cases'!$L652+7,""))</f>
        <v/>
      </c>
      <c r="C652" t="str">
        <f>IF($A652&lt;&gt;"",'All Cases - Enter Cases'!B652,"")</f>
        <v/>
      </c>
      <c r="D652" t="str">
        <f>IF($A652&lt;&gt;"",'All Cases - Enter Cases'!C652,"")</f>
        <v/>
      </c>
      <c r="E652" t="str">
        <f>IF($A652&lt;&gt;"",'All Cases - Enter Cases'!D652,"")</f>
        <v/>
      </c>
      <c r="F652" s="12" t="str">
        <f>IF($A652&lt;&gt;"",'All Cases - Enter Cases'!E652,"")</f>
        <v/>
      </c>
      <c r="G652" s="12" t="str">
        <f>IF($A652&lt;&gt;"",'All Cases - Enter Cases'!F652,"")</f>
        <v/>
      </c>
      <c r="H652" s="4" t="str">
        <f>IF($A652&lt;&gt;"",'All Cases - Enter Cases'!G652,"")</f>
        <v/>
      </c>
      <c r="I652" t="str">
        <f>IF($A652&lt;&gt;"",'All Cases - Enter Cases'!H652,"")</f>
        <v/>
      </c>
      <c r="J652" t="str">
        <f>IF($A652&lt;&gt;"",'All Cases - Enter Cases'!I652,"")</f>
        <v/>
      </c>
      <c r="K652" t="str">
        <f>IF($A652&lt;&gt;"",'All Cases - Enter Cases'!J652,"")</f>
        <v/>
      </c>
      <c r="L652" s="4" t="str">
        <f>IF($A652&lt;&gt;"",'All Cases - Enter Cases'!K652,"")</f>
        <v/>
      </c>
      <c r="M652" t="str">
        <f>IF($A652&lt;&gt;"",'All Cases - Enter Cases'!L652,"")</f>
        <v/>
      </c>
    </row>
    <row r="653" spans="1:13" x14ac:dyDescent="0.35">
      <c r="A653" s="4" t="str">
        <f>IF('All Cases - Enter Cases'!$K653="Approved",'All Cases - Enter Cases'!A653,"")</f>
        <v/>
      </c>
      <c r="B653" s="4" t="str">
        <f>IF($N653&lt;&gt;"",$N653,IF($A653&lt;&gt;"",'All Cases - Enter Cases'!$L653+7,""))</f>
        <v/>
      </c>
      <c r="C653" t="str">
        <f>IF($A653&lt;&gt;"",'All Cases - Enter Cases'!B653,"")</f>
        <v/>
      </c>
      <c r="D653" t="str">
        <f>IF($A653&lt;&gt;"",'All Cases - Enter Cases'!C653,"")</f>
        <v/>
      </c>
      <c r="E653" t="str">
        <f>IF($A653&lt;&gt;"",'All Cases - Enter Cases'!D653,"")</f>
        <v/>
      </c>
      <c r="F653" s="12" t="str">
        <f>IF($A653&lt;&gt;"",'All Cases - Enter Cases'!E653,"")</f>
        <v/>
      </c>
      <c r="G653" s="12" t="str">
        <f>IF($A653&lt;&gt;"",'All Cases - Enter Cases'!F653,"")</f>
        <v/>
      </c>
      <c r="H653" s="4" t="str">
        <f>IF($A653&lt;&gt;"",'All Cases - Enter Cases'!G653,"")</f>
        <v/>
      </c>
      <c r="I653" t="str">
        <f>IF($A653&lt;&gt;"",'All Cases - Enter Cases'!H653,"")</f>
        <v/>
      </c>
      <c r="J653" t="str">
        <f>IF($A653&lt;&gt;"",'All Cases - Enter Cases'!I653,"")</f>
        <v/>
      </c>
      <c r="K653" t="str">
        <f>IF($A653&lt;&gt;"",'All Cases - Enter Cases'!J653,"")</f>
        <v/>
      </c>
      <c r="L653" s="4" t="str">
        <f>IF($A653&lt;&gt;"",'All Cases - Enter Cases'!K653,"")</f>
        <v/>
      </c>
      <c r="M653" t="str">
        <f>IF($A653&lt;&gt;"",'All Cases - Enter Cases'!L653,"")</f>
        <v/>
      </c>
    </row>
    <row r="654" spans="1:13" x14ac:dyDescent="0.35">
      <c r="A654" s="4" t="str">
        <f>IF('All Cases - Enter Cases'!$K654="Approved",'All Cases - Enter Cases'!A654,"")</f>
        <v/>
      </c>
      <c r="B654" s="4" t="str">
        <f>IF($N654&lt;&gt;"",$N654,IF($A654&lt;&gt;"",'All Cases - Enter Cases'!$L654+7,""))</f>
        <v/>
      </c>
      <c r="C654" t="str">
        <f>IF($A654&lt;&gt;"",'All Cases - Enter Cases'!B654,"")</f>
        <v/>
      </c>
      <c r="D654" t="str">
        <f>IF($A654&lt;&gt;"",'All Cases - Enter Cases'!C654,"")</f>
        <v/>
      </c>
      <c r="E654" t="str">
        <f>IF($A654&lt;&gt;"",'All Cases - Enter Cases'!D654,"")</f>
        <v/>
      </c>
      <c r="F654" s="12" t="str">
        <f>IF($A654&lt;&gt;"",'All Cases - Enter Cases'!E654,"")</f>
        <v/>
      </c>
      <c r="G654" s="12" t="str">
        <f>IF($A654&lt;&gt;"",'All Cases - Enter Cases'!F654,"")</f>
        <v/>
      </c>
      <c r="H654" s="4" t="str">
        <f>IF($A654&lt;&gt;"",'All Cases - Enter Cases'!G654,"")</f>
        <v/>
      </c>
      <c r="I654" t="str">
        <f>IF($A654&lt;&gt;"",'All Cases - Enter Cases'!H654,"")</f>
        <v/>
      </c>
      <c r="J654" t="str">
        <f>IF($A654&lt;&gt;"",'All Cases - Enter Cases'!I654,"")</f>
        <v/>
      </c>
      <c r="K654" t="str">
        <f>IF($A654&lt;&gt;"",'All Cases - Enter Cases'!J654,"")</f>
        <v/>
      </c>
      <c r="L654" s="4" t="str">
        <f>IF($A654&lt;&gt;"",'All Cases - Enter Cases'!K654,"")</f>
        <v/>
      </c>
      <c r="M654" t="str">
        <f>IF($A654&lt;&gt;"",'All Cases - Enter Cases'!L654,"")</f>
        <v/>
      </c>
    </row>
    <row r="655" spans="1:13" x14ac:dyDescent="0.35">
      <c r="A655" s="4" t="str">
        <f>IF('All Cases - Enter Cases'!$K655="Approved",'All Cases - Enter Cases'!A655,"")</f>
        <v/>
      </c>
      <c r="B655" s="4" t="str">
        <f>IF($N655&lt;&gt;"",$N655,IF($A655&lt;&gt;"",'All Cases - Enter Cases'!$L655+7,""))</f>
        <v/>
      </c>
      <c r="C655" t="str">
        <f>IF($A655&lt;&gt;"",'All Cases - Enter Cases'!B655,"")</f>
        <v/>
      </c>
      <c r="D655" t="str">
        <f>IF($A655&lt;&gt;"",'All Cases - Enter Cases'!C655,"")</f>
        <v/>
      </c>
      <c r="E655" t="str">
        <f>IF($A655&lt;&gt;"",'All Cases - Enter Cases'!D655,"")</f>
        <v/>
      </c>
      <c r="F655" s="12" t="str">
        <f>IF($A655&lt;&gt;"",'All Cases - Enter Cases'!E655,"")</f>
        <v/>
      </c>
      <c r="G655" s="12" t="str">
        <f>IF($A655&lt;&gt;"",'All Cases - Enter Cases'!F655,"")</f>
        <v/>
      </c>
      <c r="H655" s="4" t="str">
        <f>IF($A655&lt;&gt;"",'All Cases - Enter Cases'!G655,"")</f>
        <v/>
      </c>
      <c r="I655" t="str">
        <f>IF($A655&lt;&gt;"",'All Cases - Enter Cases'!H655,"")</f>
        <v/>
      </c>
      <c r="J655" t="str">
        <f>IF($A655&lt;&gt;"",'All Cases - Enter Cases'!I655,"")</f>
        <v/>
      </c>
      <c r="K655" t="str">
        <f>IF($A655&lt;&gt;"",'All Cases - Enter Cases'!J655,"")</f>
        <v/>
      </c>
      <c r="L655" s="4" t="str">
        <f>IF($A655&lt;&gt;"",'All Cases - Enter Cases'!K655,"")</f>
        <v/>
      </c>
      <c r="M655" t="str">
        <f>IF($A655&lt;&gt;"",'All Cases - Enter Cases'!L655,"")</f>
        <v/>
      </c>
    </row>
    <row r="656" spans="1:13" x14ac:dyDescent="0.35">
      <c r="A656" s="4" t="str">
        <f>IF('All Cases - Enter Cases'!$K656="Approved",'All Cases - Enter Cases'!A656,"")</f>
        <v/>
      </c>
      <c r="B656" s="4" t="str">
        <f>IF($N656&lt;&gt;"",$N656,IF($A656&lt;&gt;"",'All Cases - Enter Cases'!$L656+7,""))</f>
        <v/>
      </c>
      <c r="C656" t="str">
        <f>IF($A656&lt;&gt;"",'All Cases - Enter Cases'!B656,"")</f>
        <v/>
      </c>
      <c r="D656" t="str">
        <f>IF($A656&lt;&gt;"",'All Cases - Enter Cases'!C656,"")</f>
        <v/>
      </c>
      <c r="E656" t="str">
        <f>IF($A656&lt;&gt;"",'All Cases - Enter Cases'!D656,"")</f>
        <v/>
      </c>
      <c r="F656" s="12" t="str">
        <f>IF($A656&lt;&gt;"",'All Cases - Enter Cases'!E656,"")</f>
        <v/>
      </c>
      <c r="G656" s="12" t="str">
        <f>IF($A656&lt;&gt;"",'All Cases - Enter Cases'!F656,"")</f>
        <v/>
      </c>
      <c r="H656" s="4" t="str">
        <f>IF($A656&lt;&gt;"",'All Cases - Enter Cases'!G656,"")</f>
        <v/>
      </c>
      <c r="I656" t="str">
        <f>IF($A656&lt;&gt;"",'All Cases - Enter Cases'!H656,"")</f>
        <v/>
      </c>
      <c r="J656" t="str">
        <f>IF($A656&lt;&gt;"",'All Cases - Enter Cases'!I656,"")</f>
        <v/>
      </c>
      <c r="K656" t="str">
        <f>IF($A656&lt;&gt;"",'All Cases - Enter Cases'!J656,"")</f>
        <v/>
      </c>
      <c r="L656" s="4" t="str">
        <f>IF($A656&lt;&gt;"",'All Cases - Enter Cases'!K656,"")</f>
        <v/>
      </c>
      <c r="M656" t="str">
        <f>IF($A656&lt;&gt;"",'All Cases - Enter Cases'!L656,"")</f>
        <v/>
      </c>
    </row>
    <row r="657" spans="1:13" x14ac:dyDescent="0.35">
      <c r="A657" s="4" t="str">
        <f>IF('All Cases - Enter Cases'!$K657="Approved",'All Cases - Enter Cases'!A657,"")</f>
        <v/>
      </c>
      <c r="B657" s="4" t="str">
        <f>IF($N657&lt;&gt;"",$N657,IF($A657&lt;&gt;"",'All Cases - Enter Cases'!$L657+7,""))</f>
        <v/>
      </c>
      <c r="C657" t="str">
        <f>IF($A657&lt;&gt;"",'All Cases - Enter Cases'!B657,"")</f>
        <v/>
      </c>
      <c r="D657" t="str">
        <f>IF($A657&lt;&gt;"",'All Cases - Enter Cases'!C657,"")</f>
        <v/>
      </c>
      <c r="E657" t="str">
        <f>IF($A657&lt;&gt;"",'All Cases - Enter Cases'!D657,"")</f>
        <v/>
      </c>
      <c r="F657" s="12" t="str">
        <f>IF($A657&lt;&gt;"",'All Cases - Enter Cases'!E657,"")</f>
        <v/>
      </c>
      <c r="G657" s="12" t="str">
        <f>IF($A657&lt;&gt;"",'All Cases - Enter Cases'!F657,"")</f>
        <v/>
      </c>
      <c r="H657" s="4" t="str">
        <f>IF($A657&lt;&gt;"",'All Cases - Enter Cases'!G657,"")</f>
        <v/>
      </c>
      <c r="I657" t="str">
        <f>IF($A657&lt;&gt;"",'All Cases - Enter Cases'!H657,"")</f>
        <v/>
      </c>
      <c r="J657" t="str">
        <f>IF($A657&lt;&gt;"",'All Cases - Enter Cases'!I657,"")</f>
        <v/>
      </c>
      <c r="K657" t="str">
        <f>IF($A657&lt;&gt;"",'All Cases - Enter Cases'!J657,"")</f>
        <v/>
      </c>
      <c r="L657" s="4" t="str">
        <f>IF($A657&lt;&gt;"",'All Cases - Enter Cases'!K657,"")</f>
        <v/>
      </c>
      <c r="M657" t="str">
        <f>IF($A657&lt;&gt;"",'All Cases - Enter Cases'!L657,"")</f>
        <v/>
      </c>
    </row>
    <row r="658" spans="1:13" x14ac:dyDescent="0.35">
      <c r="A658" s="4" t="str">
        <f>IF('All Cases - Enter Cases'!$K658="Approved",'All Cases - Enter Cases'!A658,"")</f>
        <v/>
      </c>
      <c r="B658" s="4" t="str">
        <f>IF($N658&lt;&gt;"",$N658,IF($A658&lt;&gt;"",'All Cases - Enter Cases'!$L658+7,""))</f>
        <v/>
      </c>
      <c r="C658" t="str">
        <f>IF($A658&lt;&gt;"",'All Cases - Enter Cases'!B658,"")</f>
        <v/>
      </c>
      <c r="D658" t="str">
        <f>IF($A658&lt;&gt;"",'All Cases - Enter Cases'!C658,"")</f>
        <v/>
      </c>
      <c r="E658" t="str">
        <f>IF($A658&lt;&gt;"",'All Cases - Enter Cases'!D658,"")</f>
        <v/>
      </c>
      <c r="F658" s="12" t="str">
        <f>IF($A658&lt;&gt;"",'All Cases - Enter Cases'!E658,"")</f>
        <v/>
      </c>
      <c r="G658" s="12" t="str">
        <f>IF($A658&lt;&gt;"",'All Cases - Enter Cases'!F658,"")</f>
        <v/>
      </c>
      <c r="H658" s="4" t="str">
        <f>IF($A658&lt;&gt;"",'All Cases - Enter Cases'!G658,"")</f>
        <v/>
      </c>
      <c r="I658" t="str">
        <f>IF($A658&lt;&gt;"",'All Cases - Enter Cases'!H658,"")</f>
        <v/>
      </c>
      <c r="J658" t="str">
        <f>IF($A658&lt;&gt;"",'All Cases - Enter Cases'!I658,"")</f>
        <v/>
      </c>
      <c r="K658" t="str">
        <f>IF($A658&lt;&gt;"",'All Cases - Enter Cases'!J658,"")</f>
        <v/>
      </c>
      <c r="L658" s="4" t="str">
        <f>IF($A658&lt;&gt;"",'All Cases - Enter Cases'!K658,"")</f>
        <v/>
      </c>
      <c r="M658" t="str">
        <f>IF($A658&lt;&gt;"",'All Cases - Enter Cases'!L658,"")</f>
        <v/>
      </c>
    </row>
    <row r="659" spans="1:13" x14ac:dyDescent="0.35">
      <c r="A659" s="4" t="str">
        <f>IF('All Cases - Enter Cases'!$K659="Approved",'All Cases - Enter Cases'!A659,"")</f>
        <v/>
      </c>
      <c r="B659" s="4" t="str">
        <f>IF($N659&lt;&gt;"",$N659,IF($A659&lt;&gt;"",'All Cases - Enter Cases'!$L659+7,""))</f>
        <v/>
      </c>
      <c r="C659" t="str">
        <f>IF($A659&lt;&gt;"",'All Cases - Enter Cases'!B659,"")</f>
        <v/>
      </c>
      <c r="D659" t="str">
        <f>IF($A659&lt;&gt;"",'All Cases - Enter Cases'!C659,"")</f>
        <v/>
      </c>
      <c r="E659" t="str">
        <f>IF($A659&lt;&gt;"",'All Cases - Enter Cases'!D659,"")</f>
        <v/>
      </c>
      <c r="F659" s="12" t="str">
        <f>IF($A659&lt;&gt;"",'All Cases - Enter Cases'!E659,"")</f>
        <v/>
      </c>
      <c r="G659" s="12" t="str">
        <f>IF($A659&lt;&gt;"",'All Cases - Enter Cases'!F659,"")</f>
        <v/>
      </c>
      <c r="H659" s="4" t="str">
        <f>IF($A659&lt;&gt;"",'All Cases - Enter Cases'!G659,"")</f>
        <v/>
      </c>
      <c r="I659" t="str">
        <f>IF($A659&lt;&gt;"",'All Cases - Enter Cases'!H659,"")</f>
        <v/>
      </c>
      <c r="J659" t="str">
        <f>IF($A659&lt;&gt;"",'All Cases - Enter Cases'!I659,"")</f>
        <v/>
      </c>
      <c r="K659" t="str">
        <f>IF($A659&lt;&gt;"",'All Cases - Enter Cases'!J659,"")</f>
        <v/>
      </c>
      <c r="L659" s="4" t="str">
        <f>IF($A659&lt;&gt;"",'All Cases - Enter Cases'!K659,"")</f>
        <v/>
      </c>
      <c r="M659" t="str">
        <f>IF($A659&lt;&gt;"",'All Cases - Enter Cases'!L659,"")</f>
        <v/>
      </c>
    </row>
    <row r="660" spans="1:13" x14ac:dyDescent="0.35">
      <c r="A660" s="4" t="str">
        <f>IF('All Cases - Enter Cases'!$K660="Approved",'All Cases - Enter Cases'!A660,"")</f>
        <v/>
      </c>
      <c r="B660" s="4" t="str">
        <f>IF($N660&lt;&gt;"",$N660,IF($A660&lt;&gt;"",'All Cases - Enter Cases'!$L660+7,""))</f>
        <v/>
      </c>
      <c r="C660" t="str">
        <f>IF($A660&lt;&gt;"",'All Cases - Enter Cases'!B660,"")</f>
        <v/>
      </c>
      <c r="D660" t="str">
        <f>IF($A660&lt;&gt;"",'All Cases - Enter Cases'!C660,"")</f>
        <v/>
      </c>
      <c r="E660" t="str">
        <f>IF($A660&lt;&gt;"",'All Cases - Enter Cases'!D660,"")</f>
        <v/>
      </c>
      <c r="F660" s="12" t="str">
        <f>IF($A660&lt;&gt;"",'All Cases - Enter Cases'!E660,"")</f>
        <v/>
      </c>
      <c r="G660" s="12" t="str">
        <f>IF($A660&lt;&gt;"",'All Cases - Enter Cases'!F660,"")</f>
        <v/>
      </c>
      <c r="H660" s="4" t="str">
        <f>IF($A660&lt;&gt;"",'All Cases - Enter Cases'!G660,"")</f>
        <v/>
      </c>
      <c r="I660" t="str">
        <f>IF($A660&lt;&gt;"",'All Cases - Enter Cases'!H660,"")</f>
        <v/>
      </c>
      <c r="J660" t="str">
        <f>IF($A660&lt;&gt;"",'All Cases - Enter Cases'!I660,"")</f>
        <v/>
      </c>
      <c r="K660" t="str">
        <f>IF($A660&lt;&gt;"",'All Cases - Enter Cases'!J660,"")</f>
        <v/>
      </c>
      <c r="L660" s="4" t="str">
        <f>IF($A660&lt;&gt;"",'All Cases - Enter Cases'!K660,"")</f>
        <v/>
      </c>
      <c r="M660" t="str">
        <f>IF($A660&lt;&gt;"",'All Cases - Enter Cases'!L660,"")</f>
        <v/>
      </c>
    </row>
    <row r="661" spans="1:13" x14ac:dyDescent="0.35">
      <c r="A661" s="4" t="str">
        <f>IF('All Cases - Enter Cases'!$K661="Approved",'All Cases - Enter Cases'!A661,"")</f>
        <v/>
      </c>
      <c r="B661" s="4" t="str">
        <f>IF($N661&lt;&gt;"",$N661,IF($A661&lt;&gt;"",'All Cases - Enter Cases'!$L661+7,""))</f>
        <v/>
      </c>
      <c r="C661" t="str">
        <f>IF($A661&lt;&gt;"",'All Cases - Enter Cases'!B661,"")</f>
        <v/>
      </c>
      <c r="D661" t="str">
        <f>IF($A661&lt;&gt;"",'All Cases - Enter Cases'!C661,"")</f>
        <v/>
      </c>
      <c r="E661" t="str">
        <f>IF($A661&lt;&gt;"",'All Cases - Enter Cases'!D661,"")</f>
        <v/>
      </c>
      <c r="F661" s="12" t="str">
        <f>IF($A661&lt;&gt;"",'All Cases - Enter Cases'!E661,"")</f>
        <v/>
      </c>
      <c r="G661" s="12" t="str">
        <f>IF($A661&lt;&gt;"",'All Cases - Enter Cases'!F661,"")</f>
        <v/>
      </c>
      <c r="H661" s="4" t="str">
        <f>IF($A661&lt;&gt;"",'All Cases - Enter Cases'!G661,"")</f>
        <v/>
      </c>
      <c r="I661" t="str">
        <f>IF($A661&lt;&gt;"",'All Cases - Enter Cases'!H661,"")</f>
        <v/>
      </c>
      <c r="J661" t="str">
        <f>IF($A661&lt;&gt;"",'All Cases - Enter Cases'!I661,"")</f>
        <v/>
      </c>
      <c r="K661" t="str">
        <f>IF($A661&lt;&gt;"",'All Cases - Enter Cases'!J661,"")</f>
        <v/>
      </c>
      <c r="L661" s="4" t="str">
        <f>IF($A661&lt;&gt;"",'All Cases - Enter Cases'!K661,"")</f>
        <v/>
      </c>
      <c r="M661" t="str">
        <f>IF($A661&lt;&gt;"",'All Cases - Enter Cases'!L661,"")</f>
        <v/>
      </c>
    </row>
    <row r="662" spans="1:13" x14ac:dyDescent="0.35">
      <c r="A662" s="4" t="str">
        <f>IF('All Cases - Enter Cases'!$K662="Approved",'All Cases - Enter Cases'!A662,"")</f>
        <v/>
      </c>
      <c r="B662" s="4" t="str">
        <f>IF($N662&lt;&gt;"",$N662,IF($A662&lt;&gt;"",'All Cases - Enter Cases'!$L662+7,""))</f>
        <v/>
      </c>
      <c r="C662" t="str">
        <f>IF($A662&lt;&gt;"",'All Cases - Enter Cases'!B662,"")</f>
        <v/>
      </c>
      <c r="D662" t="str">
        <f>IF($A662&lt;&gt;"",'All Cases - Enter Cases'!C662,"")</f>
        <v/>
      </c>
      <c r="E662" t="str">
        <f>IF($A662&lt;&gt;"",'All Cases - Enter Cases'!D662,"")</f>
        <v/>
      </c>
      <c r="F662" s="12" t="str">
        <f>IF($A662&lt;&gt;"",'All Cases - Enter Cases'!E662,"")</f>
        <v/>
      </c>
      <c r="G662" s="12" t="str">
        <f>IF($A662&lt;&gt;"",'All Cases - Enter Cases'!F662,"")</f>
        <v/>
      </c>
      <c r="H662" s="4" t="str">
        <f>IF($A662&lt;&gt;"",'All Cases - Enter Cases'!G662,"")</f>
        <v/>
      </c>
      <c r="I662" t="str">
        <f>IF($A662&lt;&gt;"",'All Cases - Enter Cases'!H662,"")</f>
        <v/>
      </c>
      <c r="J662" t="str">
        <f>IF($A662&lt;&gt;"",'All Cases - Enter Cases'!I662,"")</f>
        <v/>
      </c>
      <c r="K662" t="str">
        <f>IF($A662&lt;&gt;"",'All Cases - Enter Cases'!J662,"")</f>
        <v/>
      </c>
      <c r="L662" s="4" t="str">
        <f>IF($A662&lt;&gt;"",'All Cases - Enter Cases'!K662,"")</f>
        <v/>
      </c>
      <c r="M662" t="str">
        <f>IF($A662&lt;&gt;"",'All Cases - Enter Cases'!L662,"")</f>
        <v/>
      </c>
    </row>
    <row r="663" spans="1:13" x14ac:dyDescent="0.35">
      <c r="A663" s="4" t="str">
        <f>IF('All Cases - Enter Cases'!$K663="Approved",'All Cases - Enter Cases'!A663,"")</f>
        <v/>
      </c>
      <c r="B663" s="4" t="str">
        <f>IF($N663&lt;&gt;"",$N663,IF($A663&lt;&gt;"",'All Cases - Enter Cases'!$L663+7,""))</f>
        <v/>
      </c>
      <c r="C663" t="str">
        <f>IF($A663&lt;&gt;"",'All Cases - Enter Cases'!B663,"")</f>
        <v/>
      </c>
      <c r="D663" t="str">
        <f>IF($A663&lt;&gt;"",'All Cases - Enter Cases'!C663,"")</f>
        <v/>
      </c>
      <c r="E663" t="str">
        <f>IF($A663&lt;&gt;"",'All Cases - Enter Cases'!D663,"")</f>
        <v/>
      </c>
      <c r="F663" s="12" t="str">
        <f>IF($A663&lt;&gt;"",'All Cases - Enter Cases'!E663,"")</f>
        <v/>
      </c>
      <c r="G663" s="12" t="str">
        <f>IF($A663&lt;&gt;"",'All Cases - Enter Cases'!F663,"")</f>
        <v/>
      </c>
      <c r="H663" s="4" t="str">
        <f>IF($A663&lt;&gt;"",'All Cases - Enter Cases'!G663,"")</f>
        <v/>
      </c>
      <c r="I663" t="str">
        <f>IF($A663&lt;&gt;"",'All Cases - Enter Cases'!H663,"")</f>
        <v/>
      </c>
      <c r="J663" t="str">
        <f>IF($A663&lt;&gt;"",'All Cases - Enter Cases'!I663,"")</f>
        <v/>
      </c>
      <c r="K663" t="str">
        <f>IF($A663&lt;&gt;"",'All Cases - Enter Cases'!J663,"")</f>
        <v/>
      </c>
      <c r="L663" s="4" t="str">
        <f>IF($A663&lt;&gt;"",'All Cases - Enter Cases'!K663,"")</f>
        <v/>
      </c>
      <c r="M663" t="str">
        <f>IF($A663&lt;&gt;"",'All Cases - Enter Cases'!L663,"")</f>
        <v/>
      </c>
    </row>
    <row r="664" spans="1:13" x14ac:dyDescent="0.35">
      <c r="A664" s="4" t="str">
        <f>IF('All Cases - Enter Cases'!$K664="Approved",'All Cases - Enter Cases'!A664,"")</f>
        <v/>
      </c>
      <c r="B664" s="4" t="str">
        <f>IF($N664&lt;&gt;"",$N664,IF($A664&lt;&gt;"",'All Cases - Enter Cases'!$L664+7,""))</f>
        <v/>
      </c>
      <c r="C664" t="str">
        <f>IF($A664&lt;&gt;"",'All Cases - Enter Cases'!B664,"")</f>
        <v/>
      </c>
      <c r="D664" t="str">
        <f>IF($A664&lt;&gt;"",'All Cases - Enter Cases'!C664,"")</f>
        <v/>
      </c>
      <c r="E664" t="str">
        <f>IF($A664&lt;&gt;"",'All Cases - Enter Cases'!D664,"")</f>
        <v/>
      </c>
      <c r="F664" s="12" t="str">
        <f>IF($A664&lt;&gt;"",'All Cases - Enter Cases'!E664,"")</f>
        <v/>
      </c>
      <c r="G664" s="12" t="str">
        <f>IF($A664&lt;&gt;"",'All Cases - Enter Cases'!F664,"")</f>
        <v/>
      </c>
      <c r="H664" s="4" t="str">
        <f>IF($A664&lt;&gt;"",'All Cases - Enter Cases'!G664,"")</f>
        <v/>
      </c>
      <c r="I664" t="str">
        <f>IF($A664&lt;&gt;"",'All Cases - Enter Cases'!H664,"")</f>
        <v/>
      </c>
      <c r="J664" t="str">
        <f>IF($A664&lt;&gt;"",'All Cases - Enter Cases'!I664,"")</f>
        <v/>
      </c>
      <c r="K664" t="str">
        <f>IF($A664&lt;&gt;"",'All Cases - Enter Cases'!J664,"")</f>
        <v/>
      </c>
      <c r="L664" s="4" t="str">
        <f>IF($A664&lt;&gt;"",'All Cases - Enter Cases'!K664,"")</f>
        <v/>
      </c>
      <c r="M664" t="str">
        <f>IF($A664&lt;&gt;"",'All Cases - Enter Cases'!L664,"")</f>
        <v/>
      </c>
    </row>
    <row r="665" spans="1:13" x14ac:dyDescent="0.35">
      <c r="A665" s="4" t="str">
        <f>IF('All Cases - Enter Cases'!$K665="Approved",'All Cases - Enter Cases'!A665,"")</f>
        <v/>
      </c>
      <c r="B665" s="4" t="str">
        <f>IF($N665&lt;&gt;"",$N665,IF($A665&lt;&gt;"",'All Cases - Enter Cases'!$L665+7,""))</f>
        <v/>
      </c>
      <c r="C665" t="str">
        <f>IF($A665&lt;&gt;"",'All Cases - Enter Cases'!B665,"")</f>
        <v/>
      </c>
      <c r="D665" t="str">
        <f>IF($A665&lt;&gt;"",'All Cases - Enter Cases'!C665,"")</f>
        <v/>
      </c>
      <c r="E665" t="str">
        <f>IF($A665&lt;&gt;"",'All Cases - Enter Cases'!D665,"")</f>
        <v/>
      </c>
      <c r="F665" s="12" t="str">
        <f>IF($A665&lt;&gt;"",'All Cases - Enter Cases'!E665,"")</f>
        <v/>
      </c>
      <c r="G665" s="12" t="str">
        <f>IF($A665&lt;&gt;"",'All Cases - Enter Cases'!F665,"")</f>
        <v/>
      </c>
      <c r="H665" s="4" t="str">
        <f>IF($A665&lt;&gt;"",'All Cases - Enter Cases'!G665,"")</f>
        <v/>
      </c>
      <c r="I665" t="str">
        <f>IF($A665&lt;&gt;"",'All Cases - Enter Cases'!H665,"")</f>
        <v/>
      </c>
      <c r="J665" t="str">
        <f>IF($A665&lt;&gt;"",'All Cases - Enter Cases'!I665,"")</f>
        <v/>
      </c>
      <c r="K665" t="str">
        <f>IF($A665&lt;&gt;"",'All Cases - Enter Cases'!J665,"")</f>
        <v/>
      </c>
      <c r="L665" s="4" t="str">
        <f>IF($A665&lt;&gt;"",'All Cases - Enter Cases'!K665,"")</f>
        <v/>
      </c>
      <c r="M665" t="str">
        <f>IF($A665&lt;&gt;"",'All Cases - Enter Cases'!L665,"")</f>
        <v/>
      </c>
    </row>
    <row r="666" spans="1:13" x14ac:dyDescent="0.35">
      <c r="A666" s="4" t="str">
        <f>IF('All Cases - Enter Cases'!$K666="Approved",'All Cases - Enter Cases'!A666,"")</f>
        <v/>
      </c>
      <c r="B666" s="4" t="str">
        <f>IF($N666&lt;&gt;"",$N666,IF($A666&lt;&gt;"",'All Cases - Enter Cases'!$L666+7,""))</f>
        <v/>
      </c>
      <c r="C666" t="str">
        <f>IF($A666&lt;&gt;"",'All Cases - Enter Cases'!B666,"")</f>
        <v/>
      </c>
      <c r="D666" t="str">
        <f>IF($A666&lt;&gt;"",'All Cases - Enter Cases'!C666,"")</f>
        <v/>
      </c>
      <c r="E666" t="str">
        <f>IF($A666&lt;&gt;"",'All Cases - Enter Cases'!D666,"")</f>
        <v/>
      </c>
      <c r="F666" s="12" t="str">
        <f>IF($A666&lt;&gt;"",'All Cases - Enter Cases'!E666,"")</f>
        <v/>
      </c>
      <c r="G666" s="12" t="str">
        <f>IF($A666&lt;&gt;"",'All Cases - Enter Cases'!F666,"")</f>
        <v/>
      </c>
      <c r="H666" s="4" t="str">
        <f>IF($A666&lt;&gt;"",'All Cases - Enter Cases'!G666,"")</f>
        <v/>
      </c>
      <c r="I666" t="str">
        <f>IF($A666&lt;&gt;"",'All Cases - Enter Cases'!H666,"")</f>
        <v/>
      </c>
      <c r="J666" t="str">
        <f>IF($A666&lt;&gt;"",'All Cases - Enter Cases'!I666,"")</f>
        <v/>
      </c>
      <c r="K666" t="str">
        <f>IF($A666&lt;&gt;"",'All Cases - Enter Cases'!J666,"")</f>
        <v/>
      </c>
      <c r="L666" s="4" t="str">
        <f>IF($A666&lt;&gt;"",'All Cases - Enter Cases'!K666,"")</f>
        <v/>
      </c>
      <c r="M666" t="str">
        <f>IF($A666&lt;&gt;"",'All Cases - Enter Cases'!L666,"")</f>
        <v/>
      </c>
    </row>
    <row r="667" spans="1:13" x14ac:dyDescent="0.35">
      <c r="A667" s="4" t="str">
        <f>IF('All Cases - Enter Cases'!$K667="Approved",'All Cases - Enter Cases'!A667,"")</f>
        <v/>
      </c>
      <c r="B667" s="4" t="str">
        <f>IF($N667&lt;&gt;"",$N667,IF($A667&lt;&gt;"",'All Cases - Enter Cases'!$L667+7,""))</f>
        <v/>
      </c>
      <c r="C667" t="str">
        <f>IF($A667&lt;&gt;"",'All Cases - Enter Cases'!B667,"")</f>
        <v/>
      </c>
      <c r="D667" t="str">
        <f>IF($A667&lt;&gt;"",'All Cases - Enter Cases'!C667,"")</f>
        <v/>
      </c>
      <c r="E667" t="str">
        <f>IF($A667&lt;&gt;"",'All Cases - Enter Cases'!D667,"")</f>
        <v/>
      </c>
      <c r="F667" s="12" t="str">
        <f>IF($A667&lt;&gt;"",'All Cases - Enter Cases'!E667,"")</f>
        <v/>
      </c>
      <c r="G667" s="12" t="str">
        <f>IF($A667&lt;&gt;"",'All Cases - Enter Cases'!F667,"")</f>
        <v/>
      </c>
      <c r="H667" s="4" t="str">
        <f>IF($A667&lt;&gt;"",'All Cases - Enter Cases'!G667,"")</f>
        <v/>
      </c>
      <c r="I667" t="str">
        <f>IF($A667&lt;&gt;"",'All Cases - Enter Cases'!H667,"")</f>
        <v/>
      </c>
      <c r="J667" t="str">
        <f>IF($A667&lt;&gt;"",'All Cases - Enter Cases'!I667,"")</f>
        <v/>
      </c>
      <c r="K667" t="str">
        <f>IF($A667&lt;&gt;"",'All Cases - Enter Cases'!J667,"")</f>
        <v/>
      </c>
      <c r="L667" s="4" t="str">
        <f>IF($A667&lt;&gt;"",'All Cases - Enter Cases'!K667,"")</f>
        <v/>
      </c>
      <c r="M667" t="str">
        <f>IF($A667&lt;&gt;"",'All Cases - Enter Cases'!L667,"")</f>
        <v/>
      </c>
    </row>
    <row r="668" spans="1:13" x14ac:dyDescent="0.35">
      <c r="A668" s="4" t="str">
        <f>IF('All Cases - Enter Cases'!$K668="Approved",'All Cases - Enter Cases'!A668,"")</f>
        <v/>
      </c>
      <c r="B668" s="4" t="str">
        <f>IF($N668&lt;&gt;"",$N668,IF($A668&lt;&gt;"",'All Cases - Enter Cases'!$L668+7,""))</f>
        <v/>
      </c>
      <c r="C668" t="str">
        <f>IF($A668&lt;&gt;"",'All Cases - Enter Cases'!B668,"")</f>
        <v/>
      </c>
      <c r="D668" t="str">
        <f>IF($A668&lt;&gt;"",'All Cases - Enter Cases'!C668,"")</f>
        <v/>
      </c>
      <c r="E668" t="str">
        <f>IF($A668&lt;&gt;"",'All Cases - Enter Cases'!D668,"")</f>
        <v/>
      </c>
      <c r="F668" s="12" t="str">
        <f>IF($A668&lt;&gt;"",'All Cases - Enter Cases'!E668,"")</f>
        <v/>
      </c>
      <c r="G668" s="12" t="str">
        <f>IF($A668&lt;&gt;"",'All Cases - Enter Cases'!F668,"")</f>
        <v/>
      </c>
      <c r="H668" s="4" t="str">
        <f>IF($A668&lt;&gt;"",'All Cases - Enter Cases'!G668,"")</f>
        <v/>
      </c>
      <c r="I668" t="str">
        <f>IF($A668&lt;&gt;"",'All Cases - Enter Cases'!H668,"")</f>
        <v/>
      </c>
      <c r="J668" t="str">
        <f>IF($A668&lt;&gt;"",'All Cases - Enter Cases'!I668,"")</f>
        <v/>
      </c>
      <c r="K668" t="str">
        <f>IF($A668&lt;&gt;"",'All Cases - Enter Cases'!J668,"")</f>
        <v/>
      </c>
      <c r="L668" s="4" t="str">
        <f>IF($A668&lt;&gt;"",'All Cases - Enter Cases'!K668,"")</f>
        <v/>
      </c>
      <c r="M668" t="str">
        <f>IF($A668&lt;&gt;"",'All Cases - Enter Cases'!L668,"")</f>
        <v/>
      </c>
    </row>
    <row r="669" spans="1:13" x14ac:dyDescent="0.35">
      <c r="A669" s="4" t="str">
        <f>IF('All Cases - Enter Cases'!$K669="Approved",'All Cases - Enter Cases'!A669,"")</f>
        <v/>
      </c>
      <c r="B669" s="4" t="str">
        <f>IF($N669&lt;&gt;"",$N669,IF($A669&lt;&gt;"",'All Cases - Enter Cases'!$L669+7,""))</f>
        <v/>
      </c>
      <c r="C669" t="str">
        <f>IF($A669&lt;&gt;"",'All Cases - Enter Cases'!B669,"")</f>
        <v/>
      </c>
      <c r="D669" t="str">
        <f>IF($A669&lt;&gt;"",'All Cases - Enter Cases'!C669,"")</f>
        <v/>
      </c>
      <c r="E669" t="str">
        <f>IF($A669&lt;&gt;"",'All Cases - Enter Cases'!D669,"")</f>
        <v/>
      </c>
      <c r="F669" s="12" t="str">
        <f>IF($A669&lt;&gt;"",'All Cases - Enter Cases'!E669,"")</f>
        <v/>
      </c>
      <c r="G669" s="12" t="str">
        <f>IF($A669&lt;&gt;"",'All Cases - Enter Cases'!F669,"")</f>
        <v/>
      </c>
      <c r="H669" s="4" t="str">
        <f>IF($A669&lt;&gt;"",'All Cases - Enter Cases'!G669,"")</f>
        <v/>
      </c>
      <c r="I669" t="str">
        <f>IF($A669&lt;&gt;"",'All Cases - Enter Cases'!H669,"")</f>
        <v/>
      </c>
      <c r="J669" t="str">
        <f>IF($A669&lt;&gt;"",'All Cases - Enter Cases'!I669,"")</f>
        <v/>
      </c>
      <c r="K669" t="str">
        <f>IF($A669&lt;&gt;"",'All Cases - Enter Cases'!J669,"")</f>
        <v/>
      </c>
      <c r="L669" s="4" t="str">
        <f>IF($A669&lt;&gt;"",'All Cases - Enter Cases'!K669,"")</f>
        <v/>
      </c>
      <c r="M669" t="str">
        <f>IF($A669&lt;&gt;"",'All Cases - Enter Cases'!L669,"")</f>
        <v/>
      </c>
    </row>
    <row r="670" spans="1:13" x14ac:dyDescent="0.35">
      <c r="A670" s="4" t="str">
        <f>IF('All Cases - Enter Cases'!$K670="Approved",'All Cases - Enter Cases'!A670,"")</f>
        <v/>
      </c>
      <c r="B670" s="4" t="str">
        <f>IF($N670&lt;&gt;"",$N670,IF($A670&lt;&gt;"",'All Cases - Enter Cases'!$L670+7,""))</f>
        <v/>
      </c>
      <c r="C670" t="str">
        <f>IF($A670&lt;&gt;"",'All Cases - Enter Cases'!B670,"")</f>
        <v/>
      </c>
      <c r="D670" t="str">
        <f>IF($A670&lt;&gt;"",'All Cases - Enter Cases'!C670,"")</f>
        <v/>
      </c>
      <c r="E670" t="str">
        <f>IF($A670&lt;&gt;"",'All Cases - Enter Cases'!D670,"")</f>
        <v/>
      </c>
      <c r="F670" s="12" t="str">
        <f>IF($A670&lt;&gt;"",'All Cases - Enter Cases'!E670,"")</f>
        <v/>
      </c>
      <c r="G670" s="12" t="str">
        <f>IF($A670&lt;&gt;"",'All Cases - Enter Cases'!F670,"")</f>
        <v/>
      </c>
      <c r="H670" s="4" t="str">
        <f>IF($A670&lt;&gt;"",'All Cases - Enter Cases'!G670,"")</f>
        <v/>
      </c>
      <c r="I670" t="str">
        <f>IF($A670&lt;&gt;"",'All Cases - Enter Cases'!H670,"")</f>
        <v/>
      </c>
      <c r="J670" t="str">
        <f>IF($A670&lt;&gt;"",'All Cases - Enter Cases'!I670,"")</f>
        <v/>
      </c>
      <c r="K670" t="str">
        <f>IF($A670&lt;&gt;"",'All Cases - Enter Cases'!J670,"")</f>
        <v/>
      </c>
      <c r="L670" s="4" t="str">
        <f>IF($A670&lt;&gt;"",'All Cases - Enter Cases'!K670,"")</f>
        <v/>
      </c>
      <c r="M670" t="str">
        <f>IF($A670&lt;&gt;"",'All Cases - Enter Cases'!L670,"")</f>
        <v/>
      </c>
    </row>
    <row r="671" spans="1:13" x14ac:dyDescent="0.35">
      <c r="A671" s="4" t="str">
        <f>IF('All Cases - Enter Cases'!$K671="Approved",'All Cases - Enter Cases'!A671,"")</f>
        <v/>
      </c>
      <c r="B671" s="4" t="str">
        <f>IF($N671&lt;&gt;"",$N671,IF($A671&lt;&gt;"",'All Cases - Enter Cases'!$L671+7,""))</f>
        <v/>
      </c>
      <c r="C671" t="str">
        <f>IF($A671&lt;&gt;"",'All Cases - Enter Cases'!B671,"")</f>
        <v/>
      </c>
      <c r="D671" t="str">
        <f>IF($A671&lt;&gt;"",'All Cases - Enter Cases'!C671,"")</f>
        <v/>
      </c>
      <c r="E671" t="str">
        <f>IF($A671&lt;&gt;"",'All Cases - Enter Cases'!D671,"")</f>
        <v/>
      </c>
      <c r="F671" s="12" t="str">
        <f>IF($A671&lt;&gt;"",'All Cases - Enter Cases'!E671,"")</f>
        <v/>
      </c>
      <c r="G671" s="12" t="str">
        <f>IF($A671&lt;&gt;"",'All Cases - Enter Cases'!F671,"")</f>
        <v/>
      </c>
      <c r="H671" s="4" t="str">
        <f>IF($A671&lt;&gt;"",'All Cases - Enter Cases'!G671,"")</f>
        <v/>
      </c>
      <c r="I671" t="str">
        <f>IF($A671&lt;&gt;"",'All Cases - Enter Cases'!H671,"")</f>
        <v/>
      </c>
      <c r="J671" t="str">
        <f>IF($A671&lt;&gt;"",'All Cases - Enter Cases'!I671,"")</f>
        <v/>
      </c>
      <c r="K671" t="str">
        <f>IF($A671&lt;&gt;"",'All Cases - Enter Cases'!J671,"")</f>
        <v/>
      </c>
      <c r="L671" s="4" t="str">
        <f>IF($A671&lt;&gt;"",'All Cases - Enter Cases'!K671,"")</f>
        <v/>
      </c>
      <c r="M671" t="str">
        <f>IF($A671&lt;&gt;"",'All Cases - Enter Cases'!L671,"")</f>
        <v/>
      </c>
    </row>
    <row r="672" spans="1:13" x14ac:dyDescent="0.35">
      <c r="A672" s="4" t="str">
        <f>IF('All Cases - Enter Cases'!$K672="Approved",'All Cases - Enter Cases'!A672,"")</f>
        <v/>
      </c>
      <c r="B672" s="4" t="str">
        <f>IF($N672&lt;&gt;"",$N672,IF($A672&lt;&gt;"",'All Cases - Enter Cases'!$L672+7,""))</f>
        <v/>
      </c>
      <c r="C672" t="str">
        <f>IF($A672&lt;&gt;"",'All Cases - Enter Cases'!B672,"")</f>
        <v/>
      </c>
      <c r="D672" t="str">
        <f>IF($A672&lt;&gt;"",'All Cases - Enter Cases'!C672,"")</f>
        <v/>
      </c>
      <c r="E672" t="str">
        <f>IF($A672&lt;&gt;"",'All Cases - Enter Cases'!D672,"")</f>
        <v/>
      </c>
      <c r="F672" s="12" t="str">
        <f>IF($A672&lt;&gt;"",'All Cases - Enter Cases'!E672,"")</f>
        <v/>
      </c>
      <c r="G672" s="12" t="str">
        <f>IF($A672&lt;&gt;"",'All Cases - Enter Cases'!F672,"")</f>
        <v/>
      </c>
      <c r="H672" s="4" t="str">
        <f>IF($A672&lt;&gt;"",'All Cases - Enter Cases'!G672,"")</f>
        <v/>
      </c>
      <c r="I672" t="str">
        <f>IF($A672&lt;&gt;"",'All Cases - Enter Cases'!H672,"")</f>
        <v/>
      </c>
      <c r="J672" t="str">
        <f>IF($A672&lt;&gt;"",'All Cases - Enter Cases'!I672,"")</f>
        <v/>
      </c>
      <c r="K672" t="str">
        <f>IF($A672&lt;&gt;"",'All Cases - Enter Cases'!J672,"")</f>
        <v/>
      </c>
      <c r="L672" s="4" t="str">
        <f>IF($A672&lt;&gt;"",'All Cases - Enter Cases'!K672,"")</f>
        <v/>
      </c>
      <c r="M672" t="str">
        <f>IF($A672&lt;&gt;"",'All Cases - Enter Cases'!L672,"")</f>
        <v/>
      </c>
    </row>
    <row r="673" spans="1:13" x14ac:dyDescent="0.35">
      <c r="A673" s="4" t="str">
        <f>IF('All Cases - Enter Cases'!$K673="Approved",'All Cases - Enter Cases'!A673,"")</f>
        <v/>
      </c>
      <c r="B673" s="4" t="str">
        <f>IF($N673&lt;&gt;"",$N673,IF($A673&lt;&gt;"",'All Cases - Enter Cases'!$L673+7,""))</f>
        <v/>
      </c>
      <c r="C673" t="str">
        <f>IF($A673&lt;&gt;"",'All Cases - Enter Cases'!B673,"")</f>
        <v/>
      </c>
      <c r="D673" t="str">
        <f>IF($A673&lt;&gt;"",'All Cases - Enter Cases'!C673,"")</f>
        <v/>
      </c>
      <c r="E673" t="str">
        <f>IF($A673&lt;&gt;"",'All Cases - Enter Cases'!D673,"")</f>
        <v/>
      </c>
      <c r="F673" s="12" t="str">
        <f>IF($A673&lt;&gt;"",'All Cases - Enter Cases'!E673,"")</f>
        <v/>
      </c>
      <c r="G673" s="12" t="str">
        <f>IF($A673&lt;&gt;"",'All Cases - Enter Cases'!F673,"")</f>
        <v/>
      </c>
      <c r="H673" s="4" t="str">
        <f>IF($A673&lt;&gt;"",'All Cases - Enter Cases'!G673,"")</f>
        <v/>
      </c>
      <c r="I673" t="str">
        <f>IF($A673&lt;&gt;"",'All Cases - Enter Cases'!H673,"")</f>
        <v/>
      </c>
      <c r="J673" t="str">
        <f>IF($A673&lt;&gt;"",'All Cases - Enter Cases'!I673,"")</f>
        <v/>
      </c>
      <c r="K673" t="str">
        <f>IF($A673&lt;&gt;"",'All Cases - Enter Cases'!J673,"")</f>
        <v/>
      </c>
      <c r="L673" s="4" t="str">
        <f>IF($A673&lt;&gt;"",'All Cases - Enter Cases'!K673,"")</f>
        <v/>
      </c>
      <c r="M673" t="str">
        <f>IF($A673&lt;&gt;"",'All Cases - Enter Cases'!L673,"")</f>
        <v/>
      </c>
    </row>
    <row r="674" spans="1:13" x14ac:dyDescent="0.35">
      <c r="A674" s="4" t="str">
        <f>IF('All Cases - Enter Cases'!$K674="Approved",'All Cases - Enter Cases'!A674,"")</f>
        <v/>
      </c>
      <c r="B674" s="4" t="str">
        <f>IF($N674&lt;&gt;"",$N674,IF($A674&lt;&gt;"",'All Cases - Enter Cases'!$L674+7,""))</f>
        <v/>
      </c>
      <c r="C674" t="str">
        <f>IF($A674&lt;&gt;"",'All Cases - Enter Cases'!B674,"")</f>
        <v/>
      </c>
      <c r="D674" t="str">
        <f>IF($A674&lt;&gt;"",'All Cases - Enter Cases'!C674,"")</f>
        <v/>
      </c>
      <c r="E674" t="str">
        <f>IF($A674&lt;&gt;"",'All Cases - Enter Cases'!D674,"")</f>
        <v/>
      </c>
      <c r="F674" s="12" t="str">
        <f>IF($A674&lt;&gt;"",'All Cases - Enter Cases'!E674,"")</f>
        <v/>
      </c>
      <c r="G674" s="12" t="str">
        <f>IF($A674&lt;&gt;"",'All Cases - Enter Cases'!F674,"")</f>
        <v/>
      </c>
      <c r="H674" s="4" t="str">
        <f>IF($A674&lt;&gt;"",'All Cases - Enter Cases'!G674,"")</f>
        <v/>
      </c>
      <c r="I674" t="str">
        <f>IF($A674&lt;&gt;"",'All Cases - Enter Cases'!H674,"")</f>
        <v/>
      </c>
      <c r="J674" t="str">
        <f>IF($A674&lt;&gt;"",'All Cases - Enter Cases'!I674,"")</f>
        <v/>
      </c>
      <c r="K674" t="str">
        <f>IF($A674&lt;&gt;"",'All Cases - Enter Cases'!J674,"")</f>
        <v/>
      </c>
      <c r="L674" s="4" t="str">
        <f>IF($A674&lt;&gt;"",'All Cases - Enter Cases'!K674,"")</f>
        <v/>
      </c>
      <c r="M674" t="str">
        <f>IF($A674&lt;&gt;"",'All Cases - Enter Cases'!L674,"")</f>
        <v/>
      </c>
    </row>
    <row r="675" spans="1:13" x14ac:dyDescent="0.35">
      <c r="A675" s="4" t="str">
        <f>IF('All Cases - Enter Cases'!$K675="Approved",'All Cases - Enter Cases'!A675,"")</f>
        <v/>
      </c>
      <c r="B675" s="4" t="str">
        <f>IF($N675&lt;&gt;"",$N675,IF($A675&lt;&gt;"",'All Cases - Enter Cases'!$L675+7,""))</f>
        <v/>
      </c>
      <c r="C675" t="str">
        <f>IF($A675&lt;&gt;"",'All Cases - Enter Cases'!B675,"")</f>
        <v/>
      </c>
      <c r="D675" t="str">
        <f>IF($A675&lt;&gt;"",'All Cases - Enter Cases'!C675,"")</f>
        <v/>
      </c>
      <c r="E675" t="str">
        <f>IF($A675&lt;&gt;"",'All Cases - Enter Cases'!D675,"")</f>
        <v/>
      </c>
      <c r="F675" s="12" t="str">
        <f>IF($A675&lt;&gt;"",'All Cases - Enter Cases'!E675,"")</f>
        <v/>
      </c>
      <c r="G675" s="12" t="str">
        <f>IF($A675&lt;&gt;"",'All Cases - Enter Cases'!F675,"")</f>
        <v/>
      </c>
      <c r="H675" s="4" t="str">
        <f>IF($A675&lt;&gt;"",'All Cases - Enter Cases'!G675,"")</f>
        <v/>
      </c>
      <c r="I675" t="str">
        <f>IF($A675&lt;&gt;"",'All Cases - Enter Cases'!H675,"")</f>
        <v/>
      </c>
      <c r="J675" t="str">
        <f>IF($A675&lt;&gt;"",'All Cases - Enter Cases'!I675,"")</f>
        <v/>
      </c>
      <c r="K675" t="str">
        <f>IF($A675&lt;&gt;"",'All Cases - Enter Cases'!J675,"")</f>
        <v/>
      </c>
      <c r="L675" s="4" t="str">
        <f>IF($A675&lt;&gt;"",'All Cases - Enter Cases'!K675,"")</f>
        <v/>
      </c>
      <c r="M675" t="str">
        <f>IF($A675&lt;&gt;"",'All Cases - Enter Cases'!L675,"")</f>
        <v/>
      </c>
    </row>
    <row r="676" spans="1:13" x14ac:dyDescent="0.35">
      <c r="A676" s="4" t="str">
        <f>IF('All Cases - Enter Cases'!$K676="Approved",'All Cases - Enter Cases'!A676,"")</f>
        <v/>
      </c>
      <c r="B676" s="4" t="str">
        <f>IF($N676&lt;&gt;"",$N676,IF($A676&lt;&gt;"",'All Cases - Enter Cases'!$L676+7,""))</f>
        <v/>
      </c>
      <c r="C676" t="str">
        <f>IF($A676&lt;&gt;"",'All Cases - Enter Cases'!B676,"")</f>
        <v/>
      </c>
      <c r="D676" t="str">
        <f>IF($A676&lt;&gt;"",'All Cases - Enter Cases'!C676,"")</f>
        <v/>
      </c>
      <c r="E676" t="str">
        <f>IF($A676&lt;&gt;"",'All Cases - Enter Cases'!D676,"")</f>
        <v/>
      </c>
      <c r="F676" s="12" t="str">
        <f>IF($A676&lt;&gt;"",'All Cases - Enter Cases'!E676,"")</f>
        <v/>
      </c>
      <c r="G676" s="12" t="str">
        <f>IF($A676&lt;&gt;"",'All Cases - Enter Cases'!F676,"")</f>
        <v/>
      </c>
      <c r="H676" s="4" t="str">
        <f>IF($A676&lt;&gt;"",'All Cases - Enter Cases'!G676,"")</f>
        <v/>
      </c>
      <c r="I676" t="str">
        <f>IF($A676&lt;&gt;"",'All Cases - Enter Cases'!H676,"")</f>
        <v/>
      </c>
      <c r="J676" t="str">
        <f>IF($A676&lt;&gt;"",'All Cases - Enter Cases'!I676,"")</f>
        <v/>
      </c>
      <c r="K676" t="str">
        <f>IF($A676&lt;&gt;"",'All Cases - Enter Cases'!J676,"")</f>
        <v/>
      </c>
      <c r="L676" s="4" t="str">
        <f>IF($A676&lt;&gt;"",'All Cases - Enter Cases'!K676,"")</f>
        <v/>
      </c>
      <c r="M676" t="str">
        <f>IF($A676&lt;&gt;"",'All Cases - Enter Cases'!L676,"")</f>
        <v/>
      </c>
    </row>
    <row r="677" spans="1:13" x14ac:dyDescent="0.35">
      <c r="A677" s="4" t="str">
        <f>IF('All Cases - Enter Cases'!$K677="Approved",'All Cases - Enter Cases'!A677,"")</f>
        <v/>
      </c>
      <c r="B677" s="4" t="str">
        <f>IF($N677&lt;&gt;"",$N677,IF($A677&lt;&gt;"",'All Cases - Enter Cases'!$L677+7,""))</f>
        <v/>
      </c>
      <c r="C677" t="str">
        <f>IF($A677&lt;&gt;"",'All Cases - Enter Cases'!B677,"")</f>
        <v/>
      </c>
      <c r="D677" t="str">
        <f>IF($A677&lt;&gt;"",'All Cases - Enter Cases'!C677,"")</f>
        <v/>
      </c>
      <c r="E677" t="str">
        <f>IF($A677&lt;&gt;"",'All Cases - Enter Cases'!D677,"")</f>
        <v/>
      </c>
      <c r="F677" s="12" t="str">
        <f>IF($A677&lt;&gt;"",'All Cases - Enter Cases'!E677,"")</f>
        <v/>
      </c>
      <c r="G677" s="12" t="str">
        <f>IF($A677&lt;&gt;"",'All Cases - Enter Cases'!F677,"")</f>
        <v/>
      </c>
      <c r="H677" s="4" t="str">
        <f>IF($A677&lt;&gt;"",'All Cases - Enter Cases'!G677,"")</f>
        <v/>
      </c>
      <c r="I677" t="str">
        <f>IF($A677&lt;&gt;"",'All Cases - Enter Cases'!H677,"")</f>
        <v/>
      </c>
      <c r="J677" t="str">
        <f>IF($A677&lt;&gt;"",'All Cases - Enter Cases'!I677,"")</f>
        <v/>
      </c>
      <c r="K677" t="str">
        <f>IF($A677&lt;&gt;"",'All Cases - Enter Cases'!J677,"")</f>
        <v/>
      </c>
      <c r="L677" s="4" t="str">
        <f>IF($A677&lt;&gt;"",'All Cases - Enter Cases'!K677,"")</f>
        <v/>
      </c>
      <c r="M677" t="str">
        <f>IF($A677&lt;&gt;"",'All Cases - Enter Cases'!L677,"")</f>
        <v/>
      </c>
    </row>
    <row r="678" spans="1:13" x14ac:dyDescent="0.35">
      <c r="A678" s="4" t="str">
        <f>IF('All Cases - Enter Cases'!$K678="Approved",'All Cases - Enter Cases'!A678,"")</f>
        <v/>
      </c>
      <c r="B678" s="4" t="str">
        <f>IF($N678&lt;&gt;"",$N678,IF($A678&lt;&gt;"",'All Cases - Enter Cases'!$L678+7,""))</f>
        <v/>
      </c>
      <c r="C678" t="str">
        <f>IF($A678&lt;&gt;"",'All Cases - Enter Cases'!B678,"")</f>
        <v/>
      </c>
      <c r="D678" t="str">
        <f>IF($A678&lt;&gt;"",'All Cases - Enter Cases'!C678,"")</f>
        <v/>
      </c>
      <c r="E678" t="str">
        <f>IF($A678&lt;&gt;"",'All Cases - Enter Cases'!D678,"")</f>
        <v/>
      </c>
      <c r="F678" s="12" t="str">
        <f>IF($A678&lt;&gt;"",'All Cases - Enter Cases'!E678,"")</f>
        <v/>
      </c>
      <c r="G678" s="12" t="str">
        <f>IF($A678&lt;&gt;"",'All Cases - Enter Cases'!F678,"")</f>
        <v/>
      </c>
      <c r="H678" s="4" t="str">
        <f>IF($A678&lt;&gt;"",'All Cases - Enter Cases'!G678,"")</f>
        <v/>
      </c>
      <c r="I678" t="str">
        <f>IF($A678&lt;&gt;"",'All Cases - Enter Cases'!H678,"")</f>
        <v/>
      </c>
      <c r="J678" t="str">
        <f>IF($A678&lt;&gt;"",'All Cases - Enter Cases'!I678,"")</f>
        <v/>
      </c>
      <c r="K678" t="str">
        <f>IF($A678&lt;&gt;"",'All Cases - Enter Cases'!J678,"")</f>
        <v/>
      </c>
      <c r="L678" s="4" t="str">
        <f>IF($A678&lt;&gt;"",'All Cases - Enter Cases'!K678,"")</f>
        <v/>
      </c>
      <c r="M678" t="str">
        <f>IF($A678&lt;&gt;"",'All Cases - Enter Cases'!L678,"")</f>
        <v/>
      </c>
    </row>
    <row r="679" spans="1:13" x14ac:dyDescent="0.35">
      <c r="A679" s="4" t="str">
        <f>IF('All Cases - Enter Cases'!$K679="Approved",'All Cases - Enter Cases'!A679,"")</f>
        <v/>
      </c>
      <c r="B679" s="4" t="str">
        <f>IF($N679&lt;&gt;"",$N679,IF($A679&lt;&gt;"",'All Cases - Enter Cases'!$L679+7,""))</f>
        <v/>
      </c>
      <c r="C679" t="str">
        <f>IF($A679&lt;&gt;"",'All Cases - Enter Cases'!B679,"")</f>
        <v/>
      </c>
      <c r="D679" t="str">
        <f>IF($A679&lt;&gt;"",'All Cases - Enter Cases'!C679,"")</f>
        <v/>
      </c>
      <c r="E679" t="str">
        <f>IF($A679&lt;&gt;"",'All Cases - Enter Cases'!D679,"")</f>
        <v/>
      </c>
      <c r="F679" s="12" t="str">
        <f>IF($A679&lt;&gt;"",'All Cases - Enter Cases'!E679,"")</f>
        <v/>
      </c>
      <c r="G679" s="12" t="str">
        <f>IF($A679&lt;&gt;"",'All Cases - Enter Cases'!F679,"")</f>
        <v/>
      </c>
      <c r="H679" s="4" t="str">
        <f>IF($A679&lt;&gt;"",'All Cases - Enter Cases'!G679,"")</f>
        <v/>
      </c>
      <c r="I679" t="str">
        <f>IF($A679&lt;&gt;"",'All Cases - Enter Cases'!H679,"")</f>
        <v/>
      </c>
      <c r="J679" t="str">
        <f>IF($A679&lt;&gt;"",'All Cases - Enter Cases'!I679,"")</f>
        <v/>
      </c>
      <c r="K679" t="str">
        <f>IF($A679&lt;&gt;"",'All Cases - Enter Cases'!J679,"")</f>
        <v/>
      </c>
      <c r="L679" s="4" t="str">
        <f>IF($A679&lt;&gt;"",'All Cases - Enter Cases'!K679,"")</f>
        <v/>
      </c>
      <c r="M679" t="str">
        <f>IF($A679&lt;&gt;"",'All Cases - Enter Cases'!L679,"")</f>
        <v/>
      </c>
    </row>
    <row r="680" spans="1:13" x14ac:dyDescent="0.35">
      <c r="A680" s="4" t="str">
        <f>IF('All Cases - Enter Cases'!$K680="Approved",'All Cases - Enter Cases'!A680,"")</f>
        <v/>
      </c>
      <c r="B680" s="4" t="str">
        <f>IF($N680&lt;&gt;"",$N680,IF($A680&lt;&gt;"",'All Cases - Enter Cases'!$L680+7,""))</f>
        <v/>
      </c>
      <c r="C680" t="str">
        <f>IF($A680&lt;&gt;"",'All Cases - Enter Cases'!B680,"")</f>
        <v/>
      </c>
      <c r="D680" t="str">
        <f>IF($A680&lt;&gt;"",'All Cases - Enter Cases'!C680,"")</f>
        <v/>
      </c>
      <c r="E680" t="str">
        <f>IF($A680&lt;&gt;"",'All Cases - Enter Cases'!D680,"")</f>
        <v/>
      </c>
      <c r="F680" s="12" t="str">
        <f>IF($A680&lt;&gt;"",'All Cases - Enter Cases'!E680,"")</f>
        <v/>
      </c>
      <c r="G680" s="12" t="str">
        <f>IF($A680&lt;&gt;"",'All Cases - Enter Cases'!F680,"")</f>
        <v/>
      </c>
      <c r="H680" s="4" t="str">
        <f>IF($A680&lt;&gt;"",'All Cases - Enter Cases'!G680,"")</f>
        <v/>
      </c>
      <c r="I680" t="str">
        <f>IF($A680&lt;&gt;"",'All Cases - Enter Cases'!H680,"")</f>
        <v/>
      </c>
      <c r="J680" t="str">
        <f>IF($A680&lt;&gt;"",'All Cases - Enter Cases'!I680,"")</f>
        <v/>
      </c>
      <c r="K680" t="str">
        <f>IF($A680&lt;&gt;"",'All Cases - Enter Cases'!J680,"")</f>
        <v/>
      </c>
      <c r="L680" s="4" t="str">
        <f>IF($A680&lt;&gt;"",'All Cases - Enter Cases'!K680,"")</f>
        <v/>
      </c>
      <c r="M680" t="str">
        <f>IF($A680&lt;&gt;"",'All Cases - Enter Cases'!L680,"")</f>
        <v/>
      </c>
    </row>
    <row r="681" spans="1:13" x14ac:dyDescent="0.35">
      <c r="A681" s="4" t="str">
        <f>IF('All Cases - Enter Cases'!$K681="Approved",'All Cases - Enter Cases'!A681,"")</f>
        <v/>
      </c>
      <c r="B681" s="4" t="str">
        <f>IF($N681&lt;&gt;"",$N681,IF($A681&lt;&gt;"",'All Cases - Enter Cases'!$L681+7,""))</f>
        <v/>
      </c>
      <c r="C681" t="str">
        <f>IF($A681&lt;&gt;"",'All Cases - Enter Cases'!B681,"")</f>
        <v/>
      </c>
      <c r="D681" t="str">
        <f>IF($A681&lt;&gt;"",'All Cases - Enter Cases'!C681,"")</f>
        <v/>
      </c>
      <c r="E681" t="str">
        <f>IF($A681&lt;&gt;"",'All Cases - Enter Cases'!D681,"")</f>
        <v/>
      </c>
      <c r="F681" s="12" t="str">
        <f>IF($A681&lt;&gt;"",'All Cases - Enter Cases'!E681,"")</f>
        <v/>
      </c>
      <c r="G681" s="12" t="str">
        <f>IF($A681&lt;&gt;"",'All Cases - Enter Cases'!F681,"")</f>
        <v/>
      </c>
      <c r="H681" s="4" t="str">
        <f>IF($A681&lt;&gt;"",'All Cases - Enter Cases'!G681,"")</f>
        <v/>
      </c>
      <c r="I681" t="str">
        <f>IF($A681&lt;&gt;"",'All Cases - Enter Cases'!H681,"")</f>
        <v/>
      </c>
      <c r="J681" t="str">
        <f>IF($A681&lt;&gt;"",'All Cases - Enter Cases'!I681,"")</f>
        <v/>
      </c>
      <c r="K681" t="str">
        <f>IF($A681&lt;&gt;"",'All Cases - Enter Cases'!J681,"")</f>
        <v/>
      </c>
      <c r="L681" s="4" t="str">
        <f>IF($A681&lt;&gt;"",'All Cases - Enter Cases'!K681,"")</f>
        <v/>
      </c>
      <c r="M681" t="str">
        <f>IF($A681&lt;&gt;"",'All Cases - Enter Cases'!L681,"")</f>
        <v/>
      </c>
    </row>
    <row r="682" spans="1:13" x14ac:dyDescent="0.35">
      <c r="A682" s="4" t="str">
        <f>IF('All Cases - Enter Cases'!$K682="Approved",'All Cases - Enter Cases'!A682,"")</f>
        <v/>
      </c>
      <c r="B682" s="4" t="str">
        <f>IF($N682&lt;&gt;"",$N682,IF($A682&lt;&gt;"",'All Cases - Enter Cases'!$L682+7,""))</f>
        <v/>
      </c>
      <c r="C682" t="str">
        <f>IF($A682&lt;&gt;"",'All Cases - Enter Cases'!B682,"")</f>
        <v/>
      </c>
      <c r="D682" t="str">
        <f>IF($A682&lt;&gt;"",'All Cases - Enter Cases'!C682,"")</f>
        <v/>
      </c>
      <c r="E682" t="str">
        <f>IF($A682&lt;&gt;"",'All Cases - Enter Cases'!D682,"")</f>
        <v/>
      </c>
      <c r="F682" s="12" t="str">
        <f>IF($A682&lt;&gt;"",'All Cases - Enter Cases'!E682,"")</f>
        <v/>
      </c>
      <c r="G682" s="12" t="str">
        <f>IF($A682&lt;&gt;"",'All Cases - Enter Cases'!F682,"")</f>
        <v/>
      </c>
      <c r="H682" s="4" t="str">
        <f>IF($A682&lt;&gt;"",'All Cases - Enter Cases'!G682,"")</f>
        <v/>
      </c>
      <c r="I682" t="str">
        <f>IF($A682&lt;&gt;"",'All Cases - Enter Cases'!H682,"")</f>
        <v/>
      </c>
      <c r="J682" t="str">
        <f>IF($A682&lt;&gt;"",'All Cases - Enter Cases'!I682,"")</f>
        <v/>
      </c>
      <c r="K682" t="str">
        <f>IF($A682&lt;&gt;"",'All Cases - Enter Cases'!J682,"")</f>
        <v/>
      </c>
      <c r="L682" s="4" t="str">
        <f>IF($A682&lt;&gt;"",'All Cases - Enter Cases'!K682,"")</f>
        <v/>
      </c>
      <c r="M682" t="str">
        <f>IF($A682&lt;&gt;"",'All Cases - Enter Cases'!L682,"")</f>
        <v/>
      </c>
    </row>
    <row r="683" spans="1:13" x14ac:dyDescent="0.35">
      <c r="A683" s="4" t="str">
        <f>IF('All Cases - Enter Cases'!$K683="Approved",'All Cases - Enter Cases'!A683,"")</f>
        <v/>
      </c>
      <c r="B683" s="4" t="str">
        <f>IF($N683&lt;&gt;"",$N683,IF($A683&lt;&gt;"",'All Cases - Enter Cases'!$L683+7,""))</f>
        <v/>
      </c>
      <c r="C683" t="str">
        <f>IF($A683&lt;&gt;"",'All Cases - Enter Cases'!B683,"")</f>
        <v/>
      </c>
      <c r="D683" t="str">
        <f>IF($A683&lt;&gt;"",'All Cases - Enter Cases'!C683,"")</f>
        <v/>
      </c>
      <c r="E683" t="str">
        <f>IF($A683&lt;&gt;"",'All Cases - Enter Cases'!D683,"")</f>
        <v/>
      </c>
      <c r="F683" s="12" t="str">
        <f>IF($A683&lt;&gt;"",'All Cases - Enter Cases'!E683,"")</f>
        <v/>
      </c>
      <c r="G683" s="12" t="str">
        <f>IF($A683&lt;&gt;"",'All Cases - Enter Cases'!F683,"")</f>
        <v/>
      </c>
      <c r="H683" s="4" t="str">
        <f>IF($A683&lt;&gt;"",'All Cases - Enter Cases'!G683,"")</f>
        <v/>
      </c>
      <c r="I683" t="str">
        <f>IF($A683&lt;&gt;"",'All Cases - Enter Cases'!H683,"")</f>
        <v/>
      </c>
      <c r="J683" t="str">
        <f>IF($A683&lt;&gt;"",'All Cases - Enter Cases'!I683,"")</f>
        <v/>
      </c>
      <c r="K683" t="str">
        <f>IF($A683&lt;&gt;"",'All Cases - Enter Cases'!J683,"")</f>
        <v/>
      </c>
      <c r="L683" s="4" t="str">
        <f>IF($A683&lt;&gt;"",'All Cases - Enter Cases'!K683,"")</f>
        <v/>
      </c>
      <c r="M683" t="str">
        <f>IF($A683&lt;&gt;"",'All Cases - Enter Cases'!L683,"")</f>
        <v/>
      </c>
    </row>
    <row r="684" spans="1:13" x14ac:dyDescent="0.35">
      <c r="A684" s="4" t="str">
        <f>IF('All Cases - Enter Cases'!$K684="Approved",'All Cases - Enter Cases'!A684,"")</f>
        <v/>
      </c>
      <c r="B684" s="4" t="str">
        <f>IF($N684&lt;&gt;"",$N684,IF($A684&lt;&gt;"",'All Cases - Enter Cases'!$L684+7,""))</f>
        <v/>
      </c>
      <c r="C684" t="str">
        <f>IF($A684&lt;&gt;"",'All Cases - Enter Cases'!B684,"")</f>
        <v/>
      </c>
      <c r="D684" t="str">
        <f>IF($A684&lt;&gt;"",'All Cases - Enter Cases'!C684,"")</f>
        <v/>
      </c>
      <c r="E684" t="str">
        <f>IF($A684&lt;&gt;"",'All Cases - Enter Cases'!D684,"")</f>
        <v/>
      </c>
      <c r="F684" s="12" t="str">
        <f>IF($A684&lt;&gt;"",'All Cases - Enter Cases'!E684,"")</f>
        <v/>
      </c>
      <c r="G684" s="12" t="str">
        <f>IF($A684&lt;&gt;"",'All Cases - Enter Cases'!F684,"")</f>
        <v/>
      </c>
      <c r="H684" s="4" t="str">
        <f>IF($A684&lt;&gt;"",'All Cases - Enter Cases'!G684,"")</f>
        <v/>
      </c>
      <c r="I684" t="str">
        <f>IF($A684&lt;&gt;"",'All Cases - Enter Cases'!H684,"")</f>
        <v/>
      </c>
      <c r="J684" t="str">
        <f>IF($A684&lt;&gt;"",'All Cases - Enter Cases'!I684,"")</f>
        <v/>
      </c>
      <c r="K684" t="str">
        <f>IF($A684&lt;&gt;"",'All Cases - Enter Cases'!J684,"")</f>
        <v/>
      </c>
      <c r="L684" s="4" t="str">
        <f>IF($A684&lt;&gt;"",'All Cases - Enter Cases'!K684,"")</f>
        <v/>
      </c>
      <c r="M684" t="str">
        <f>IF($A684&lt;&gt;"",'All Cases - Enter Cases'!L684,"")</f>
        <v/>
      </c>
    </row>
    <row r="685" spans="1:13" x14ac:dyDescent="0.35">
      <c r="A685" s="4" t="str">
        <f>IF('All Cases - Enter Cases'!$K685="Approved",'All Cases - Enter Cases'!A685,"")</f>
        <v/>
      </c>
      <c r="B685" s="4" t="str">
        <f>IF($N685&lt;&gt;"",$N685,IF($A685&lt;&gt;"",'All Cases - Enter Cases'!$L685+7,""))</f>
        <v/>
      </c>
      <c r="C685" t="str">
        <f>IF($A685&lt;&gt;"",'All Cases - Enter Cases'!B685,"")</f>
        <v/>
      </c>
      <c r="D685" t="str">
        <f>IF($A685&lt;&gt;"",'All Cases - Enter Cases'!C685,"")</f>
        <v/>
      </c>
      <c r="E685" t="str">
        <f>IF($A685&lt;&gt;"",'All Cases - Enter Cases'!D685,"")</f>
        <v/>
      </c>
      <c r="F685" s="12" t="str">
        <f>IF($A685&lt;&gt;"",'All Cases - Enter Cases'!E685,"")</f>
        <v/>
      </c>
      <c r="G685" s="12" t="str">
        <f>IF($A685&lt;&gt;"",'All Cases - Enter Cases'!F685,"")</f>
        <v/>
      </c>
      <c r="H685" s="4" t="str">
        <f>IF($A685&lt;&gt;"",'All Cases - Enter Cases'!G685,"")</f>
        <v/>
      </c>
      <c r="I685" t="str">
        <f>IF($A685&lt;&gt;"",'All Cases - Enter Cases'!H685,"")</f>
        <v/>
      </c>
      <c r="J685" t="str">
        <f>IF($A685&lt;&gt;"",'All Cases - Enter Cases'!I685,"")</f>
        <v/>
      </c>
      <c r="K685" t="str">
        <f>IF($A685&lt;&gt;"",'All Cases - Enter Cases'!J685,"")</f>
        <v/>
      </c>
      <c r="L685" s="4" t="str">
        <f>IF($A685&lt;&gt;"",'All Cases - Enter Cases'!K685,"")</f>
        <v/>
      </c>
      <c r="M685" t="str">
        <f>IF($A685&lt;&gt;"",'All Cases - Enter Cases'!L685,"")</f>
        <v/>
      </c>
    </row>
    <row r="686" spans="1:13" x14ac:dyDescent="0.35">
      <c r="A686" s="4" t="str">
        <f>IF('All Cases - Enter Cases'!$K686="Approved",'All Cases - Enter Cases'!A686,"")</f>
        <v/>
      </c>
      <c r="B686" s="4" t="str">
        <f>IF($N686&lt;&gt;"",$N686,IF($A686&lt;&gt;"",'All Cases - Enter Cases'!$L686+7,""))</f>
        <v/>
      </c>
      <c r="C686" t="str">
        <f>IF($A686&lt;&gt;"",'All Cases - Enter Cases'!B686,"")</f>
        <v/>
      </c>
      <c r="D686" t="str">
        <f>IF($A686&lt;&gt;"",'All Cases - Enter Cases'!C686,"")</f>
        <v/>
      </c>
      <c r="E686" t="str">
        <f>IF($A686&lt;&gt;"",'All Cases - Enter Cases'!D686,"")</f>
        <v/>
      </c>
      <c r="F686" s="12" t="str">
        <f>IF($A686&lt;&gt;"",'All Cases - Enter Cases'!E686,"")</f>
        <v/>
      </c>
      <c r="G686" s="12" t="str">
        <f>IF($A686&lt;&gt;"",'All Cases - Enter Cases'!F686,"")</f>
        <v/>
      </c>
      <c r="H686" s="4" t="str">
        <f>IF($A686&lt;&gt;"",'All Cases - Enter Cases'!G686,"")</f>
        <v/>
      </c>
      <c r="I686" t="str">
        <f>IF($A686&lt;&gt;"",'All Cases - Enter Cases'!H686,"")</f>
        <v/>
      </c>
      <c r="J686" t="str">
        <f>IF($A686&lt;&gt;"",'All Cases - Enter Cases'!I686,"")</f>
        <v/>
      </c>
      <c r="K686" t="str">
        <f>IF($A686&lt;&gt;"",'All Cases - Enter Cases'!J686,"")</f>
        <v/>
      </c>
      <c r="L686" s="4" t="str">
        <f>IF($A686&lt;&gt;"",'All Cases - Enter Cases'!K686,"")</f>
        <v/>
      </c>
      <c r="M686" t="str">
        <f>IF($A686&lt;&gt;"",'All Cases - Enter Cases'!L686,"")</f>
        <v/>
      </c>
    </row>
    <row r="687" spans="1:13" x14ac:dyDescent="0.35">
      <c r="A687" s="4" t="str">
        <f>IF('All Cases - Enter Cases'!$K687="Approved",'All Cases - Enter Cases'!A687,"")</f>
        <v/>
      </c>
      <c r="B687" s="4" t="str">
        <f>IF($N687&lt;&gt;"",$N687,IF($A687&lt;&gt;"",'All Cases - Enter Cases'!$L687+7,""))</f>
        <v/>
      </c>
      <c r="C687" t="str">
        <f>IF($A687&lt;&gt;"",'All Cases - Enter Cases'!B687,"")</f>
        <v/>
      </c>
      <c r="D687" t="str">
        <f>IF($A687&lt;&gt;"",'All Cases - Enter Cases'!C687,"")</f>
        <v/>
      </c>
      <c r="E687" t="str">
        <f>IF($A687&lt;&gt;"",'All Cases - Enter Cases'!D687,"")</f>
        <v/>
      </c>
      <c r="F687" s="12" t="str">
        <f>IF($A687&lt;&gt;"",'All Cases - Enter Cases'!E687,"")</f>
        <v/>
      </c>
      <c r="G687" s="12" t="str">
        <f>IF($A687&lt;&gt;"",'All Cases - Enter Cases'!F687,"")</f>
        <v/>
      </c>
      <c r="H687" s="4" t="str">
        <f>IF($A687&lt;&gt;"",'All Cases - Enter Cases'!G687,"")</f>
        <v/>
      </c>
      <c r="I687" t="str">
        <f>IF($A687&lt;&gt;"",'All Cases - Enter Cases'!H687,"")</f>
        <v/>
      </c>
      <c r="J687" t="str">
        <f>IF($A687&lt;&gt;"",'All Cases - Enter Cases'!I687,"")</f>
        <v/>
      </c>
      <c r="K687" t="str">
        <f>IF($A687&lt;&gt;"",'All Cases - Enter Cases'!J687,"")</f>
        <v/>
      </c>
      <c r="L687" s="4" t="str">
        <f>IF($A687&lt;&gt;"",'All Cases - Enter Cases'!K687,"")</f>
        <v/>
      </c>
      <c r="M687" t="str">
        <f>IF($A687&lt;&gt;"",'All Cases - Enter Cases'!L687,"")</f>
        <v/>
      </c>
    </row>
    <row r="688" spans="1:13" x14ac:dyDescent="0.35">
      <c r="A688" s="4" t="str">
        <f>IF('All Cases - Enter Cases'!$K688="Approved",'All Cases - Enter Cases'!A688,"")</f>
        <v/>
      </c>
      <c r="B688" s="4" t="str">
        <f>IF($N688&lt;&gt;"",$N688,IF($A688&lt;&gt;"",'All Cases - Enter Cases'!$L688+7,""))</f>
        <v/>
      </c>
      <c r="C688" t="str">
        <f>IF($A688&lt;&gt;"",'All Cases - Enter Cases'!B688,"")</f>
        <v/>
      </c>
      <c r="D688" t="str">
        <f>IF($A688&lt;&gt;"",'All Cases - Enter Cases'!C688,"")</f>
        <v/>
      </c>
      <c r="E688" t="str">
        <f>IF($A688&lt;&gt;"",'All Cases - Enter Cases'!D688,"")</f>
        <v/>
      </c>
      <c r="F688" s="12" t="str">
        <f>IF($A688&lt;&gt;"",'All Cases - Enter Cases'!E688,"")</f>
        <v/>
      </c>
      <c r="G688" s="12" t="str">
        <f>IF($A688&lt;&gt;"",'All Cases - Enter Cases'!F688,"")</f>
        <v/>
      </c>
      <c r="H688" s="4" t="str">
        <f>IF($A688&lt;&gt;"",'All Cases - Enter Cases'!G688,"")</f>
        <v/>
      </c>
      <c r="I688" t="str">
        <f>IF($A688&lt;&gt;"",'All Cases - Enter Cases'!H688,"")</f>
        <v/>
      </c>
      <c r="J688" t="str">
        <f>IF($A688&lt;&gt;"",'All Cases - Enter Cases'!I688,"")</f>
        <v/>
      </c>
      <c r="K688" t="str">
        <f>IF($A688&lt;&gt;"",'All Cases - Enter Cases'!J688,"")</f>
        <v/>
      </c>
      <c r="L688" s="4" t="str">
        <f>IF($A688&lt;&gt;"",'All Cases - Enter Cases'!K688,"")</f>
        <v/>
      </c>
      <c r="M688" t="str">
        <f>IF($A688&lt;&gt;"",'All Cases - Enter Cases'!L688,"")</f>
        <v/>
      </c>
    </row>
    <row r="689" spans="1:13" x14ac:dyDescent="0.35">
      <c r="A689" s="4" t="str">
        <f>IF('All Cases - Enter Cases'!$K689="Approved",'All Cases - Enter Cases'!A689,"")</f>
        <v/>
      </c>
      <c r="B689" s="4" t="str">
        <f>IF($N689&lt;&gt;"",$N689,IF($A689&lt;&gt;"",'All Cases - Enter Cases'!$L689+7,""))</f>
        <v/>
      </c>
      <c r="C689" t="str">
        <f>IF($A689&lt;&gt;"",'All Cases - Enter Cases'!B689,"")</f>
        <v/>
      </c>
      <c r="D689" t="str">
        <f>IF($A689&lt;&gt;"",'All Cases - Enter Cases'!C689,"")</f>
        <v/>
      </c>
      <c r="E689" t="str">
        <f>IF($A689&lt;&gt;"",'All Cases - Enter Cases'!D689,"")</f>
        <v/>
      </c>
      <c r="F689" s="12" t="str">
        <f>IF($A689&lt;&gt;"",'All Cases - Enter Cases'!E689,"")</f>
        <v/>
      </c>
      <c r="G689" s="12" t="str">
        <f>IF($A689&lt;&gt;"",'All Cases - Enter Cases'!F689,"")</f>
        <v/>
      </c>
      <c r="H689" s="4" t="str">
        <f>IF($A689&lt;&gt;"",'All Cases - Enter Cases'!G689,"")</f>
        <v/>
      </c>
      <c r="I689" t="str">
        <f>IF($A689&lt;&gt;"",'All Cases - Enter Cases'!H689,"")</f>
        <v/>
      </c>
      <c r="J689" t="str">
        <f>IF($A689&lt;&gt;"",'All Cases - Enter Cases'!I689,"")</f>
        <v/>
      </c>
      <c r="K689" t="str">
        <f>IF($A689&lt;&gt;"",'All Cases - Enter Cases'!J689,"")</f>
        <v/>
      </c>
      <c r="L689" s="4" t="str">
        <f>IF($A689&lt;&gt;"",'All Cases - Enter Cases'!K689,"")</f>
        <v/>
      </c>
      <c r="M689" t="str">
        <f>IF($A689&lt;&gt;"",'All Cases - Enter Cases'!L689,"")</f>
        <v/>
      </c>
    </row>
    <row r="690" spans="1:13" x14ac:dyDescent="0.35">
      <c r="A690" s="4" t="str">
        <f>IF('All Cases - Enter Cases'!$K690="Approved",'All Cases - Enter Cases'!A690,"")</f>
        <v/>
      </c>
      <c r="B690" s="4" t="str">
        <f>IF($N690&lt;&gt;"",$N690,IF($A690&lt;&gt;"",'All Cases - Enter Cases'!$L690+7,""))</f>
        <v/>
      </c>
      <c r="C690" t="str">
        <f>IF($A690&lt;&gt;"",'All Cases - Enter Cases'!B690,"")</f>
        <v/>
      </c>
      <c r="D690" t="str">
        <f>IF($A690&lt;&gt;"",'All Cases - Enter Cases'!C690,"")</f>
        <v/>
      </c>
      <c r="E690" t="str">
        <f>IF($A690&lt;&gt;"",'All Cases - Enter Cases'!D690,"")</f>
        <v/>
      </c>
      <c r="F690" s="12" t="str">
        <f>IF($A690&lt;&gt;"",'All Cases - Enter Cases'!E690,"")</f>
        <v/>
      </c>
      <c r="G690" s="12" t="str">
        <f>IF($A690&lt;&gt;"",'All Cases - Enter Cases'!F690,"")</f>
        <v/>
      </c>
      <c r="H690" s="4" t="str">
        <f>IF($A690&lt;&gt;"",'All Cases - Enter Cases'!G690,"")</f>
        <v/>
      </c>
      <c r="I690" t="str">
        <f>IF($A690&lt;&gt;"",'All Cases - Enter Cases'!H690,"")</f>
        <v/>
      </c>
      <c r="J690" t="str">
        <f>IF($A690&lt;&gt;"",'All Cases - Enter Cases'!I690,"")</f>
        <v/>
      </c>
      <c r="K690" t="str">
        <f>IF($A690&lt;&gt;"",'All Cases - Enter Cases'!J690,"")</f>
        <v/>
      </c>
      <c r="L690" s="4" t="str">
        <f>IF($A690&lt;&gt;"",'All Cases - Enter Cases'!K690,"")</f>
        <v/>
      </c>
      <c r="M690" t="str">
        <f>IF($A690&lt;&gt;"",'All Cases - Enter Cases'!L690,"")</f>
        <v/>
      </c>
    </row>
    <row r="691" spans="1:13" x14ac:dyDescent="0.35">
      <c r="A691" s="4" t="str">
        <f>IF('All Cases - Enter Cases'!$K691="Approved",'All Cases - Enter Cases'!A691,"")</f>
        <v/>
      </c>
      <c r="B691" s="4" t="str">
        <f>IF($N691&lt;&gt;"",$N691,IF($A691&lt;&gt;"",'All Cases - Enter Cases'!$L691+7,""))</f>
        <v/>
      </c>
      <c r="C691" t="str">
        <f>IF($A691&lt;&gt;"",'All Cases - Enter Cases'!B691,"")</f>
        <v/>
      </c>
      <c r="D691" t="str">
        <f>IF($A691&lt;&gt;"",'All Cases - Enter Cases'!C691,"")</f>
        <v/>
      </c>
      <c r="E691" t="str">
        <f>IF($A691&lt;&gt;"",'All Cases - Enter Cases'!D691,"")</f>
        <v/>
      </c>
      <c r="F691" s="12" t="str">
        <f>IF($A691&lt;&gt;"",'All Cases - Enter Cases'!E691,"")</f>
        <v/>
      </c>
      <c r="G691" s="12" t="str">
        <f>IF($A691&lt;&gt;"",'All Cases - Enter Cases'!F691,"")</f>
        <v/>
      </c>
      <c r="H691" s="4" t="str">
        <f>IF($A691&lt;&gt;"",'All Cases - Enter Cases'!G691,"")</f>
        <v/>
      </c>
      <c r="I691" t="str">
        <f>IF($A691&lt;&gt;"",'All Cases - Enter Cases'!H691,"")</f>
        <v/>
      </c>
      <c r="J691" t="str">
        <f>IF($A691&lt;&gt;"",'All Cases - Enter Cases'!I691,"")</f>
        <v/>
      </c>
      <c r="K691" t="str">
        <f>IF($A691&lt;&gt;"",'All Cases - Enter Cases'!J691,"")</f>
        <v/>
      </c>
      <c r="L691" s="4" t="str">
        <f>IF($A691&lt;&gt;"",'All Cases - Enter Cases'!K691,"")</f>
        <v/>
      </c>
      <c r="M691" t="str">
        <f>IF($A691&lt;&gt;"",'All Cases - Enter Cases'!L691,"")</f>
        <v/>
      </c>
    </row>
    <row r="692" spans="1:13" x14ac:dyDescent="0.35">
      <c r="A692" s="4" t="str">
        <f>IF('All Cases - Enter Cases'!$K692="Approved",'All Cases - Enter Cases'!A692,"")</f>
        <v/>
      </c>
      <c r="B692" s="4" t="str">
        <f>IF($N692&lt;&gt;"",$N692,IF($A692&lt;&gt;"",'All Cases - Enter Cases'!$L692+7,""))</f>
        <v/>
      </c>
      <c r="C692" t="str">
        <f>IF($A692&lt;&gt;"",'All Cases - Enter Cases'!B692,"")</f>
        <v/>
      </c>
      <c r="D692" t="str">
        <f>IF($A692&lt;&gt;"",'All Cases - Enter Cases'!C692,"")</f>
        <v/>
      </c>
      <c r="E692" t="str">
        <f>IF($A692&lt;&gt;"",'All Cases - Enter Cases'!D692,"")</f>
        <v/>
      </c>
      <c r="F692" s="12" t="str">
        <f>IF($A692&lt;&gt;"",'All Cases - Enter Cases'!E692,"")</f>
        <v/>
      </c>
      <c r="G692" s="12" t="str">
        <f>IF($A692&lt;&gt;"",'All Cases - Enter Cases'!F692,"")</f>
        <v/>
      </c>
      <c r="H692" s="4" t="str">
        <f>IF($A692&lt;&gt;"",'All Cases - Enter Cases'!G692,"")</f>
        <v/>
      </c>
      <c r="I692" t="str">
        <f>IF($A692&lt;&gt;"",'All Cases - Enter Cases'!H692,"")</f>
        <v/>
      </c>
      <c r="J692" t="str">
        <f>IF($A692&lt;&gt;"",'All Cases - Enter Cases'!I692,"")</f>
        <v/>
      </c>
      <c r="K692" t="str">
        <f>IF($A692&lt;&gt;"",'All Cases - Enter Cases'!J692,"")</f>
        <v/>
      </c>
      <c r="L692" s="4" t="str">
        <f>IF($A692&lt;&gt;"",'All Cases - Enter Cases'!K692,"")</f>
        <v/>
      </c>
      <c r="M692" t="str">
        <f>IF($A692&lt;&gt;"",'All Cases - Enter Cases'!L692,"")</f>
        <v/>
      </c>
    </row>
    <row r="693" spans="1:13" x14ac:dyDescent="0.35">
      <c r="A693" s="4" t="str">
        <f>IF('All Cases - Enter Cases'!$K693="Approved",'All Cases - Enter Cases'!A693,"")</f>
        <v/>
      </c>
      <c r="B693" s="4" t="str">
        <f>IF($N693&lt;&gt;"",$N693,IF($A693&lt;&gt;"",'All Cases - Enter Cases'!$L693+7,""))</f>
        <v/>
      </c>
      <c r="C693" t="str">
        <f>IF($A693&lt;&gt;"",'All Cases - Enter Cases'!B693,"")</f>
        <v/>
      </c>
      <c r="D693" t="str">
        <f>IF($A693&lt;&gt;"",'All Cases - Enter Cases'!C693,"")</f>
        <v/>
      </c>
      <c r="E693" t="str">
        <f>IF($A693&lt;&gt;"",'All Cases - Enter Cases'!D693,"")</f>
        <v/>
      </c>
      <c r="F693" s="12" t="str">
        <f>IF($A693&lt;&gt;"",'All Cases - Enter Cases'!E693,"")</f>
        <v/>
      </c>
      <c r="G693" s="12" t="str">
        <f>IF($A693&lt;&gt;"",'All Cases - Enter Cases'!F693,"")</f>
        <v/>
      </c>
      <c r="H693" s="4" t="str">
        <f>IF($A693&lt;&gt;"",'All Cases - Enter Cases'!G693,"")</f>
        <v/>
      </c>
      <c r="I693" t="str">
        <f>IF($A693&lt;&gt;"",'All Cases - Enter Cases'!H693,"")</f>
        <v/>
      </c>
      <c r="J693" t="str">
        <f>IF($A693&lt;&gt;"",'All Cases - Enter Cases'!I693,"")</f>
        <v/>
      </c>
      <c r="K693" t="str">
        <f>IF($A693&lt;&gt;"",'All Cases - Enter Cases'!J693,"")</f>
        <v/>
      </c>
      <c r="L693" s="4" t="str">
        <f>IF($A693&lt;&gt;"",'All Cases - Enter Cases'!K693,"")</f>
        <v/>
      </c>
      <c r="M693" t="str">
        <f>IF($A693&lt;&gt;"",'All Cases - Enter Cases'!L693,"")</f>
        <v/>
      </c>
    </row>
    <row r="694" spans="1:13" x14ac:dyDescent="0.35">
      <c r="A694" s="4" t="str">
        <f>IF('All Cases - Enter Cases'!$K694="Approved",'All Cases - Enter Cases'!A694,"")</f>
        <v/>
      </c>
      <c r="B694" s="4" t="str">
        <f>IF($N694&lt;&gt;"",$N694,IF($A694&lt;&gt;"",'All Cases - Enter Cases'!$L694+7,""))</f>
        <v/>
      </c>
      <c r="C694" t="str">
        <f>IF($A694&lt;&gt;"",'All Cases - Enter Cases'!B694,"")</f>
        <v/>
      </c>
      <c r="D694" t="str">
        <f>IF($A694&lt;&gt;"",'All Cases - Enter Cases'!C694,"")</f>
        <v/>
      </c>
      <c r="E694" t="str">
        <f>IF($A694&lt;&gt;"",'All Cases - Enter Cases'!D694,"")</f>
        <v/>
      </c>
      <c r="F694" s="12" t="str">
        <f>IF($A694&lt;&gt;"",'All Cases - Enter Cases'!E694,"")</f>
        <v/>
      </c>
      <c r="G694" s="12" t="str">
        <f>IF($A694&lt;&gt;"",'All Cases - Enter Cases'!F694,"")</f>
        <v/>
      </c>
      <c r="H694" s="4" t="str">
        <f>IF($A694&lt;&gt;"",'All Cases - Enter Cases'!G694,"")</f>
        <v/>
      </c>
      <c r="I694" t="str">
        <f>IF($A694&lt;&gt;"",'All Cases - Enter Cases'!H694,"")</f>
        <v/>
      </c>
      <c r="J694" t="str">
        <f>IF($A694&lt;&gt;"",'All Cases - Enter Cases'!I694,"")</f>
        <v/>
      </c>
      <c r="K694" t="str">
        <f>IF($A694&lt;&gt;"",'All Cases - Enter Cases'!J694,"")</f>
        <v/>
      </c>
      <c r="L694" s="4" t="str">
        <f>IF($A694&lt;&gt;"",'All Cases - Enter Cases'!K694,"")</f>
        <v/>
      </c>
      <c r="M694" t="str">
        <f>IF($A694&lt;&gt;"",'All Cases - Enter Cases'!L694,"")</f>
        <v/>
      </c>
    </row>
    <row r="695" spans="1:13" x14ac:dyDescent="0.35">
      <c r="A695" s="4" t="str">
        <f>IF('All Cases - Enter Cases'!$K695="Approved",'All Cases - Enter Cases'!A695,"")</f>
        <v/>
      </c>
      <c r="B695" s="4" t="str">
        <f>IF($N695&lt;&gt;"",$N695,IF($A695&lt;&gt;"",'All Cases - Enter Cases'!$L695+7,""))</f>
        <v/>
      </c>
      <c r="C695" t="str">
        <f>IF($A695&lt;&gt;"",'All Cases - Enter Cases'!B695,"")</f>
        <v/>
      </c>
      <c r="D695" t="str">
        <f>IF($A695&lt;&gt;"",'All Cases - Enter Cases'!C695,"")</f>
        <v/>
      </c>
      <c r="E695" t="str">
        <f>IF($A695&lt;&gt;"",'All Cases - Enter Cases'!D695,"")</f>
        <v/>
      </c>
      <c r="F695" s="12" t="str">
        <f>IF($A695&lt;&gt;"",'All Cases - Enter Cases'!E695,"")</f>
        <v/>
      </c>
      <c r="G695" s="12" t="str">
        <f>IF($A695&lt;&gt;"",'All Cases - Enter Cases'!F695,"")</f>
        <v/>
      </c>
      <c r="H695" s="4" t="str">
        <f>IF($A695&lt;&gt;"",'All Cases - Enter Cases'!G695,"")</f>
        <v/>
      </c>
      <c r="I695" t="str">
        <f>IF($A695&lt;&gt;"",'All Cases - Enter Cases'!H695,"")</f>
        <v/>
      </c>
      <c r="J695" t="str">
        <f>IF($A695&lt;&gt;"",'All Cases - Enter Cases'!I695,"")</f>
        <v/>
      </c>
      <c r="K695" t="str">
        <f>IF($A695&lt;&gt;"",'All Cases - Enter Cases'!J695,"")</f>
        <v/>
      </c>
      <c r="L695" s="4" t="str">
        <f>IF($A695&lt;&gt;"",'All Cases - Enter Cases'!K695,"")</f>
        <v/>
      </c>
      <c r="M695" t="str">
        <f>IF($A695&lt;&gt;"",'All Cases - Enter Cases'!L695,"")</f>
        <v/>
      </c>
    </row>
    <row r="696" spans="1:13" x14ac:dyDescent="0.35">
      <c r="A696" s="4" t="str">
        <f>IF('All Cases - Enter Cases'!$K696="Approved",'All Cases - Enter Cases'!A696,"")</f>
        <v/>
      </c>
      <c r="B696" s="4" t="str">
        <f>IF($N696&lt;&gt;"",$N696,IF($A696&lt;&gt;"",'All Cases - Enter Cases'!$L696+7,""))</f>
        <v/>
      </c>
      <c r="C696" t="str">
        <f>IF($A696&lt;&gt;"",'All Cases - Enter Cases'!B696,"")</f>
        <v/>
      </c>
      <c r="D696" t="str">
        <f>IF($A696&lt;&gt;"",'All Cases - Enter Cases'!C696,"")</f>
        <v/>
      </c>
      <c r="E696" t="str">
        <f>IF($A696&lt;&gt;"",'All Cases - Enter Cases'!D696,"")</f>
        <v/>
      </c>
      <c r="F696" s="12" t="str">
        <f>IF($A696&lt;&gt;"",'All Cases - Enter Cases'!E696,"")</f>
        <v/>
      </c>
      <c r="G696" s="12" t="str">
        <f>IF($A696&lt;&gt;"",'All Cases - Enter Cases'!F696,"")</f>
        <v/>
      </c>
      <c r="H696" s="4" t="str">
        <f>IF($A696&lt;&gt;"",'All Cases - Enter Cases'!G696,"")</f>
        <v/>
      </c>
      <c r="I696" t="str">
        <f>IF($A696&lt;&gt;"",'All Cases - Enter Cases'!H696,"")</f>
        <v/>
      </c>
      <c r="J696" t="str">
        <f>IF($A696&lt;&gt;"",'All Cases - Enter Cases'!I696,"")</f>
        <v/>
      </c>
      <c r="K696" t="str">
        <f>IF($A696&lt;&gt;"",'All Cases - Enter Cases'!J696,"")</f>
        <v/>
      </c>
      <c r="L696" s="4" t="str">
        <f>IF($A696&lt;&gt;"",'All Cases - Enter Cases'!K696,"")</f>
        <v/>
      </c>
      <c r="M696" t="str">
        <f>IF($A696&lt;&gt;"",'All Cases - Enter Cases'!L696,"")</f>
        <v/>
      </c>
    </row>
    <row r="697" spans="1:13" x14ac:dyDescent="0.35">
      <c r="A697" s="4" t="str">
        <f>IF('All Cases - Enter Cases'!$K697="Approved",'All Cases - Enter Cases'!A697,"")</f>
        <v/>
      </c>
      <c r="B697" s="4" t="str">
        <f>IF($N697&lt;&gt;"",$N697,IF($A697&lt;&gt;"",'All Cases - Enter Cases'!$L697+7,""))</f>
        <v/>
      </c>
      <c r="C697" t="str">
        <f>IF($A697&lt;&gt;"",'All Cases - Enter Cases'!B697,"")</f>
        <v/>
      </c>
      <c r="D697" t="str">
        <f>IF($A697&lt;&gt;"",'All Cases - Enter Cases'!C697,"")</f>
        <v/>
      </c>
      <c r="E697" t="str">
        <f>IF($A697&lt;&gt;"",'All Cases - Enter Cases'!D697,"")</f>
        <v/>
      </c>
      <c r="F697" s="12" t="str">
        <f>IF($A697&lt;&gt;"",'All Cases - Enter Cases'!E697,"")</f>
        <v/>
      </c>
      <c r="G697" s="12" t="str">
        <f>IF($A697&lt;&gt;"",'All Cases - Enter Cases'!F697,"")</f>
        <v/>
      </c>
      <c r="H697" s="4" t="str">
        <f>IF($A697&lt;&gt;"",'All Cases - Enter Cases'!G697,"")</f>
        <v/>
      </c>
      <c r="I697" t="str">
        <f>IF($A697&lt;&gt;"",'All Cases - Enter Cases'!H697,"")</f>
        <v/>
      </c>
      <c r="J697" t="str">
        <f>IF($A697&lt;&gt;"",'All Cases - Enter Cases'!I697,"")</f>
        <v/>
      </c>
      <c r="K697" t="str">
        <f>IF($A697&lt;&gt;"",'All Cases - Enter Cases'!J697,"")</f>
        <v/>
      </c>
      <c r="L697" s="4" t="str">
        <f>IF($A697&lt;&gt;"",'All Cases - Enter Cases'!K697,"")</f>
        <v/>
      </c>
      <c r="M697" t="str">
        <f>IF($A697&lt;&gt;"",'All Cases - Enter Cases'!L697,"")</f>
        <v/>
      </c>
    </row>
    <row r="698" spans="1:13" x14ac:dyDescent="0.35">
      <c r="A698" s="4" t="str">
        <f>IF('All Cases - Enter Cases'!$K698="Approved",'All Cases - Enter Cases'!A698,"")</f>
        <v/>
      </c>
      <c r="B698" s="4" t="str">
        <f>IF($N698&lt;&gt;"",$N698,IF($A698&lt;&gt;"",'All Cases - Enter Cases'!$L698+7,""))</f>
        <v/>
      </c>
      <c r="C698" t="str">
        <f>IF($A698&lt;&gt;"",'All Cases - Enter Cases'!B698,"")</f>
        <v/>
      </c>
      <c r="D698" t="str">
        <f>IF($A698&lt;&gt;"",'All Cases - Enter Cases'!C698,"")</f>
        <v/>
      </c>
      <c r="E698" t="str">
        <f>IF($A698&lt;&gt;"",'All Cases - Enter Cases'!D698,"")</f>
        <v/>
      </c>
      <c r="F698" s="12" t="str">
        <f>IF($A698&lt;&gt;"",'All Cases - Enter Cases'!E698,"")</f>
        <v/>
      </c>
      <c r="G698" s="12" t="str">
        <f>IF($A698&lt;&gt;"",'All Cases - Enter Cases'!F698,"")</f>
        <v/>
      </c>
      <c r="H698" s="4" t="str">
        <f>IF($A698&lt;&gt;"",'All Cases - Enter Cases'!G698,"")</f>
        <v/>
      </c>
      <c r="I698" t="str">
        <f>IF($A698&lt;&gt;"",'All Cases - Enter Cases'!H698,"")</f>
        <v/>
      </c>
      <c r="J698" t="str">
        <f>IF($A698&lt;&gt;"",'All Cases - Enter Cases'!I698,"")</f>
        <v/>
      </c>
      <c r="K698" t="str">
        <f>IF($A698&lt;&gt;"",'All Cases - Enter Cases'!J698,"")</f>
        <v/>
      </c>
      <c r="L698" s="4" t="str">
        <f>IF($A698&lt;&gt;"",'All Cases - Enter Cases'!K698,"")</f>
        <v/>
      </c>
      <c r="M698" t="str">
        <f>IF($A698&lt;&gt;"",'All Cases - Enter Cases'!L698,"")</f>
        <v/>
      </c>
    </row>
    <row r="699" spans="1:13" x14ac:dyDescent="0.35">
      <c r="A699" s="4" t="str">
        <f>IF('All Cases - Enter Cases'!$K699="Approved",'All Cases - Enter Cases'!A699,"")</f>
        <v/>
      </c>
      <c r="B699" s="4" t="str">
        <f>IF($N699&lt;&gt;"",$N699,IF($A699&lt;&gt;"",'All Cases - Enter Cases'!$L699+7,""))</f>
        <v/>
      </c>
      <c r="C699" t="str">
        <f>IF($A699&lt;&gt;"",'All Cases - Enter Cases'!B699,"")</f>
        <v/>
      </c>
      <c r="D699" t="str">
        <f>IF($A699&lt;&gt;"",'All Cases - Enter Cases'!C699,"")</f>
        <v/>
      </c>
      <c r="E699" t="str">
        <f>IF($A699&lt;&gt;"",'All Cases - Enter Cases'!D699,"")</f>
        <v/>
      </c>
      <c r="F699" s="12" t="str">
        <f>IF($A699&lt;&gt;"",'All Cases - Enter Cases'!E699,"")</f>
        <v/>
      </c>
      <c r="G699" s="12" t="str">
        <f>IF($A699&lt;&gt;"",'All Cases - Enter Cases'!F699,"")</f>
        <v/>
      </c>
      <c r="H699" s="4" t="str">
        <f>IF($A699&lt;&gt;"",'All Cases - Enter Cases'!G699,"")</f>
        <v/>
      </c>
      <c r="I699" t="str">
        <f>IF($A699&lt;&gt;"",'All Cases - Enter Cases'!H699,"")</f>
        <v/>
      </c>
      <c r="J699" t="str">
        <f>IF($A699&lt;&gt;"",'All Cases - Enter Cases'!I699,"")</f>
        <v/>
      </c>
      <c r="K699" t="str">
        <f>IF($A699&lt;&gt;"",'All Cases - Enter Cases'!J699,"")</f>
        <v/>
      </c>
      <c r="L699" s="4" t="str">
        <f>IF($A699&lt;&gt;"",'All Cases - Enter Cases'!K699,"")</f>
        <v/>
      </c>
      <c r="M699" t="str">
        <f>IF($A699&lt;&gt;"",'All Cases - Enter Cases'!L699,"")</f>
        <v/>
      </c>
    </row>
    <row r="700" spans="1:13" x14ac:dyDescent="0.35">
      <c r="A700" s="4" t="str">
        <f>IF('All Cases - Enter Cases'!$K700="Approved",'All Cases - Enter Cases'!A700,"")</f>
        <v/>
      </c>
      <c r="B700" s="4" t="str">
        <f>IF($N700&lt;&gt;"",$N700,IF($A700&lt;&gt;"",'All Cases - Enter Cases'!$L700+7,""))</f>
        <v/>
      </c>
      <c r="C700" t="str">
        <f>IF($A700&lt;&gt;"",'All Cases - Enter Cases'!B700,"")</f>
        <v/>
      </c>
      <c r="D700" t="str">
        <f>IF($A700&lt;&gt;"",'All Cases - Enter Cases'!C700,"")</f>
        <v/>
      </c>
      <c r="E700" t="str">
        <f>IF($A700&lt;&gt;"",'All Cases - Enter Cases'!D700,"")</f>
        <v/>
      </c>
      <c r="F700" s="12" t="str">
        <f>IF($A700&lt;&gt;"",'All Cases - Enter Cases'!E700,"")</f>
        <v/>
      </c>
      <c r="G700" s="12" t="str">
        <f>IF($A700&lt;&gt;"",'All Cases - Enter Cases'!F700,"")</f>
        <v/>
      </c>
      <c r="H700" s="4" t="str">
        <f>IF($A700&lt;&gt;"",'All Cases - Enter Cases'!G700,"")</f>
        <v/>
      </c>
      <c r="I700" t="str">
        <f>IF($A700&lt;&gt;"",'All Cases - Enter Cases'!H700,"")</f>
        <v/>
      </c>
      <c r="J700" t="str">
        <f>IF($A700&lt;&gt;"",'All Cases - Enter Cases'!I700,"")</f>
        <v/>
      </c>
      <c r="K700" t="str">
        <f>IF($A700&lt;&gt;"",'All Cases - Enter Cases'!J700,"")</f>
        <v/>
      </c>
      <c r="L700" s="4" t="str">
        <f>IF($A700&lt;&gt;"",'All Cases - Enter Cases'!K700,"")</f>
        <v/>
      </c>
      <c r="M700" t="str">
        <f>IF($A700&lt;&gt;"",'All Cases - Enter Cases'!L700,"")</f>
        <v/>
      </c>
    </row>
    <row r="701" spans="1:13" x14ac:dyDescent="0.35">
      <c r="A701" s="4" t="str">
        <f>IF('All Cases - Enter Cases'!$K701="Approved",'All Cases - Enter Cases'!A701,"")</f>
        <v/>
      </c>
      <c r="B701" s="4" t="str">
        <f>IF($N701&lt;&gt;"",$N701,IF($A701&lt;&gt;"",'All Cases - Enter Cases'!$L701+7,""))</f>
        <v/>
      </c>
      <c r="C701" t="str">
        <f>IF($A701&lt;&gt;"",'All Cases - Enter Cases'!B701,"")</f>
        <v/>
      </c>
      <c r="D701" t="str">
        <f>IF($A701&lt;&gt;"",'All Cases - Enter Cases'!C701,"")</f>
        <v/>
      </c>
      <c r="E701" t="str">
        <f>IF($A701&lt;&gt;"",'All Cases - Enter Cases'!D701,"")</f>
        <v/>
      </c>
      <c r="F701" s="12" t="str">
        <f>IF($A701&lt;&gt;"",'All Cases - Enter Cases'!E701,"")</f>
        <v/>
      </c>
      <c r="G701" s="12" t="str">
        <f>IF($A701&lt;&gt;"",'All Cases - Enter Cases'!F701,"")</f>
        <v/>
      </c>
      <c r="H701" s="4" t="str">
        <f>IF($A701&lt;&gt;"",'All Cases - Enter Cases'!G701,"")</f>
        <v/>
      </c>
      <c r="I701" t="str">
        <f>IF($A701&lt;&gt;"",'All Cases - Enter Cases'!H701,"")</f>
        <v/>
      </c>
      <c r="J701" t="str">
        <f>IF($A701&lt;&gt;"",'All Cases - Enter Cases'!I701,"")</f>
        <v/>
      </c>
      <c r="K701" t="str">
        <f>IF($A701&lt;&gt;"",'All Cases - Enter Cases'!J701,"")</f>
        <v/>
      </c>
      <c r="L701" s="4" t="str">
        <f>IF($A701&lt;&gt;"",'All Cases - Enter Cases'!K701,"")</f>
        <v/>
      </c>
      <c r="M701" t="str">
        <f>IF($A701&lt;&gt;"",'All Cases - Enter Cases'!L701,"")</f>
        <v/>
      </c>
    </row>
    <row r="702" spans="1:13" x14ac:dyDescent="0.35">
      <c r="A702" s="4" t="str">
        <f>IF('All Cases - Enter Cases'!$K702="Approved",'All Cases - Enter Cases'!A702,"")</f>
        <v/>
      </c>
      <c r="B702" s="4" t="str">
        <f>IF($N702&lt;&gt;"",$N702,IF($A702&lt;&gt;"",'All Cases - Enter Cases'!$L702+7,""))</f>
        <v/>
      </c>
      <c r="C702" t="str">
        <f>IF($A702&lt;&gt;"",'All Cases - Enter Cases'!B702,"")</f>
        <v/>
      </c>
      <c r="D702" t="str">
        <f>IF($A702&lt;&gt;"",'All Cases - Enter Cases'!C702,"")</f>
        <v/>
      </c>
      <c r="E702" t="str">
        <f>IF($A702&lt;&gt;"",'All Cases - Enter Cases'!D702,"")</f>
        <v/>
      </c>
      <c r="F702" s="12" t="str">
        <f>IF($A702&lt;&gt;"",'All Cases - Enter Cases'!E702,"")</f>
        <v/>
      </c>
      <c r="G702" s="12" t="str">
        <f>IF($A702&lt;&gt;"",'All Cases - Enter Cases'!F702,"")</f>
        <v/>
      </c>
      <c r="H702" s="4" t="str">
        <f>IF($A702&lt;&gt;"",'All Cases - Enter Cases'!G702,"")</f>
        <v/>
      </c>
      <c r="I702" t="str">
        <f>IF($A702&lt;&gt;"",'All Cases - Enter Cases'!H702,"")</f>
        <v/>
      </c>
      <c r="J702" t="str">
        <f>IF($A702&lt;&gt;"",'All Cases - Enter Cases'!I702,"")</f>
        <v/>
      </c>
      <c r="K702" t="str">
        <f>IF($A702&lt;&gt;"",'All Cases - Enter Cases'!J702,"")</f>
        <v/>
      </c>
      <c r="L702" s="4" t="str">
        <f>IF($A702&lt;&gt;"",'All Cases - Enter Cases'!K702,"")</f>
        <v/>
      </c>
      <c r="M702" t="str">
        <f>IF($A702&lt;&gt;"",'All Cases - Enter Cases'!L702,"")</f>
        <v/>
      </c>
    </row>
    <row r="703" spans="1:13" x14ac:dyDescent="0.35">
      <c r="A703" s="4" t="str">
        <f>IF('All Cases - Enter Cases'!$K703="Approved",'All Cases - Enter Cases'!A703,"")</f>
        <v/>
      </c>
      <c r="B703" s="4" t="str">
        <f>IF($N703&lt;&gt;"",$N703,IF($A703&lt;&gt;"",'All Cases - Enter Cases'!$L703+7,""))</f>
        <v/>
      </c>
      <c r="C703" t="str">
        <f>IF($A703&lt;&gt;"",'All Cases - Enter Cases'!B703,"")</f>
        <v/>
      </c>
      <c r="D703" t="str">
        <f>IF($A703&lt;&gt;"",'All Cases - Enter Cases'!C703,"")</f>
        <v/>
      </c>
      <c r="E703" t="str">
        <f>IF($A703&lt;&gt;"",'All Cases - Enter Cases'!D703,"")</f>
        <v/>
      </c>
      <c r="F703" s="12" t="str">
        <f>IF($A703&lt;&gt;"",'All Cases - Enter Cases'!E703,"")</f>
        <v/>
      </c>
      <c r="G703" s="12" t="str">
        <f>IF($A703&lt;&gt;"",'All Cases - Enter Cases'!F703,"")</f>
        <v/>
      </c>
      <c r="H703" s="4" t="str">
        <f>IF($A703&lt;&gt;"",'All Cases - Enter Cases'!G703,"")</f>
        <v/>
      </c>
      <c r="I703" t="str">
        <f>IF($A703&lt;&gt;"",'All Cases - Enter Cases'!H703,"")</f>
        <v/>
      </c>
      <c r="J703" t="str">
        <f>IF($A703&lt;&gt;"",'All Cases - Enter Cases'!I703,"")</f>
        <v/>
      </c>
      <c r="K703" t="str">
        <f>IF($A703&lt;&gt;"",'All Cases - Enter Cases'!J703,"")</f>
        <v/>
      </c>
      <c r="L703" s="4" t="str">
        <f>IF($A703&lt;&gt;"",'All Cases - Enter Cases'!K703,"")</f>
        <v/>
      </c>
      <c r="M703" t="str">
        <f>IF($A703&lt;&gt;"",'All Cases - Enter Cases'!L703,"")</f>
        <v/>
      </c>
    </row>
    <row r="704" spans="1:13" x14ac:dyDescent="0.35">
      <c r="A704" s="4" t="str">
        <f>IF('All Cases - Enter Cases'!$K704="Approved",'All Cases - Enter Cases'!A704,"")</f>
        <v/>
      </c>
      <c r="B704" s="4" t="str">
        <f>IF($N704&lt;&gt;"",$N704,IF($A704&lt;&gt;"",'All Cases - Enter Cases'!$L704+7,""))</f>
        <v/>
      </c>
      <c r="C704" t="str">
        <f>IF($A704&lt;&gt;"",'All Cases - Enter Cases'!B704,"")</f>
        <v/>
      </c>
      <c r="D704" t="str">
        <f>IF($A704&lt;&gt;"",'All Cases - Enter Cases'!C704,"")</f>
        <v/>
      </c>
      <c r="E704" t="str">
        <f>IF($A704&lt;&gt;"",'All Cases - Enter Cases'!D704,"")</f>
        <v/>
      </c>
      <c r="F704" s="12" t="str">
        <f>IF($A704&lt;&gt;"",'All Cases - Enter Cases'!E704,"")</f>
        <v/>
      </c>
      <c r="G704" s="12" t="str">
        <f>IF($A704&lt;&gt;"",'All Cases - Enter Cases'!F704,"")</f>
        <v/>
      </c>
      <c r="H704" s="4" t="str">
        <f>IF($A704&lt;&gt;"",'All Cases - Enter Cases'!G704,"")</f>
        <v/>
      </c>
      <c r="I704" t="str">
        <f>IF($A704&lt;&gt;"",'All Cases - Enter Cases'!H704,"")</f>
        <v/>
      </c>
      <c r="J704" t="str">
        <f>IF($A704&lt;&gt;"",'All Cases - Enter Cases'!I704,"")</f>
        <v/>
      </c>
      <c r="K704" t="str">
        <f>IF($A704&lt;&gt;"",'All Cases - Enter Cases'!J704,"")</f>
        <v/>
      </c>
      <c r="L704" s="4" t="str">
        <f>IF($A704&lt;&gt;"",'All Cases - Enter Cases'!K704,"")</f>
        <v/>
      </c>
      <c r="M704" t="str">
        <f>IF($A704&lt;&gt;"",'All Cases - Enter Cases'!L704,"")</f>
        <v/>
      </c>
    </row>
    <row r="705" spans="1:13" x14ac:dyDescent="0.35">
      <c r="A705" s="4" t="str">
        <f>IF('All Cases - Enter Cases'!$K705="Approved",'All Cases - Enter Cases'!A705,"")</f>
        <v/>
      </c>
      <c r="B705" s="4" t="str">
        <f>IF($N705&lt;&gt;"",$N705,IF($A705&lt;&gt;"",'All Cases - Enter Cases'!$L705+7,""))</f>
        <v/>
      </c>
      <c r="C705" t="str">
        <f>IF($A705&lt;&gt;"",'All Cases - Enter Cases'!B705,"")</f>
        <v/>
      </c>
      <c r="D705" t="str">
        <f>IF($A705&lt;&gt;"",'All Cases - Enter Cases'!C705,"")</f>
        <v/>
      </c>
      <c r="E705" t="str">
        <f>IF($A705&lt;&gt;"",'All Cases - Enter Cases'!D705,"")</f>
        <v/>
      </c>
      <c r="F705" s="12" t="str">
        <f>IF($A705&lt;&gt;"",'All Cases - Enter Cases'!E705,"")</f>
        <v/>
      </c>
      <c r="G705" s="12" t="str">
        <f>IF($A705&lt;&gt;"",'All Cases - Enter Cases'!F705,"")</f>
        <v/>
      </c>
      <c r="H705" s="4" t="str">
        <f>IF($A705&lt;&gt;"",'All Cases - Enter Cases'!G705,"")</f>
        <v/>
      </c>
      <c r="I705" t="str">
        <f>IF($A705&lt;&gt;"",'All Cases - Enter Cases'!H705,"")</f>
        <v/>
      </c>
      <c r="J705" t="str">
        <f>IF($A705&lt;&gt;"",'All Cases - Enter Cases'!I705,"")</f>
        <v/>
      </c>
      <c r="K705" t="str">
        <f>IF($A705&lt;&gt;"",'All Cases - Enter Cases'!J705,"")</f>
        <v/>
      </c>
      <c r="L705" s="4" t="str">
        <f>IF($A705&lt;&gt;"",'All Cases - Enter Cases'!K705,"")</f>
        <v/>
      </c>
      <c r="M705" t="str">
        <f>IF($A705&lt;&gt;"",'All Cases - Enter Cases'!L705,"")</f>
        <v/>
      </c>
    </row>
    <row r="706" spans="1:13" x14ac:dyDescent="0.35">
      <c r="A706" s="4" t="str">
        <f>IF('All Cases - Enter Cases'!$K706="Approved",'All Cases - Enter Cases'!A706,"")</f>
        <v/>
      </c>
      <c r="B706" s="4" t="str">
        <f>IF($N706&lt;&gt;"",$N706,IF($A706&lt;&gt;"",'All Cases - Enter Cases'!$L706+7,""))</f>
        <v/>
      </c>
      <c r="C706" t="str">
        <f>IF($A706&lt;&gt;"",'All Cases - Enter Cases'!B706,"")</f>
        <v/>
      </c>
      <c r="D706" t="str">
        <f>IF($A706&lt;&gt;"",'All Cases - Enter Cases'!C706,"")</f>
        <v/>
      </c>
      <c r="E706" t="str">
        <f>IF($A706&lt;&gt;"",'All Cases - Enter Cases'!D706,"")</f>
        <v/>
      </c>
      <c r="F706" s="12" t="str">
        <f>IF($A706&lt;&gt;"",'All Cases - Enter Cases'!E706,"")</f>
        <v/>
      </c>
      <c r="G706" s="12" t="str">
        <f>IF($A706&lt;&gt;"",'All Cases - Enter Cases'!F706,"")</f>
        <v/>
      </c>
      <c r="H706" s="4" t="str">
        <f>IF($A706&lt;&gt;"",'All Cases - Enter Cases'!G706,"")</f>
        <v/>
      </c>
      <c r="I706" t="str">
        <f>IF($A706&lt;&gt;"",'All Cases - Enter Cases'!H706,"")</f>
        <v/>
      </c>
      <c r="J706" t="str">
        <f>IF($A706&lt;&gt;"",'All Cases - Enter Cases'!I706,"")</f>
        <v/>
      </c>
      <c r="K706" t="str">
        <f>IF($A706&lt;&gt;"",'All Cases - Enter Cases'!J706,"")</f>
        <v/>
      </c>
      <c r="L706" s="4" t="str">
        <f>IF($A706&lt;&gt;"",'All Cases - Enter Cases'!K706,"")</f>
        <v/>
      </c>
      <c r="M706" t="str">
        <f>IF($A706&lt;&gt;"",'All Cases - Enter Cases'!L706,"")</f>
        <v/>
      </c>
    </row>
    <row r="707" spans="1:13" x14ac:dyDescent="0.35">
      <c r="A707" s="4" t="str">
        <f>IF('All Cases - Enter Cases'!$K707="Approved",'All Cases - Enter Cases'!A707,"")</f>
        <v/>
      </c>
      <c r="B707" s="4" t="str">
        <f>IF($N707&lt;&gt;"",$N707,IF($A707&lt;&gt;"",'All Cases - Enter Cases'!$L707+7,""))</f>
        <v/>
      </c>
      <c r="C707" t="str">
        <f>IF($A707&lt;&gt;"",'All Cases - Enter Cases'!B707,"")</f>
        <v/>
      </c>
      <c r="D707" t="str">
        <f>IF($A707&lt;&gt;"",'All Cases - Enter Cases'!C707,"")</f>
        <v/>
      </c>
      <c r="E707" t="str">
        <f>IF($A707&lt;&gt;"",'All Cases - Enter Cases'!D707,"")</f>
        <v/>
      </c>
      <c r="F707" s="12" t="str">
        <f>IF($A707&lt;&gt;"",'All Cases - Enter Cases'!E707,"")</f>
        <v/>
      </c>
      <c r="G707" s="12" t="str">
        <f>IF($A707&lt;&gt;"",'All Cases - Enter Cases'!F707,"")</f>
        <v/>
      </c>
      <c r="H707" s="4" t="str">
        <f>IF($A707&lt;&gt;"",'All Cases - Enter Cases'!G707,"")</f>
        <v/>
      </c>
      <c r="I707" t="str">
        <f>IF($A707&lt;&gt;"",'All Cases - Enter Cases'!H707,"")</f>
        <v/>
      </c>
      <c r="J707" t="str">
        <f>IF($A707&lt;&gt;"",'All Cases - Enter Cases'!I707,"")</f>
        <v/>
      </c>
      <c r="K707" t="str">
        <f>IF($A707&lt;&gt;"",'All Cases - Enter Cases'!J707,"")</f>
        <v/>
      </c>
      <c r="L707" s="4" t="str">
        <f>IF($A707&lt;&gt;"",'All Cases - Enter Cases'!K707,"")</f>
        <v/>
      </c>
      <c r="M707" t="str">
        <f>IF($A707&lt;&gt;"",'All Cases - Enter Cases'!L707,"")</f>
        <v/>
      </c>
    </row>
    <row r="708" spans="1:13" x14ac:dyDescent="0.35">
      <c r="A708" s="4" t="str">
        <f>IF('All Cases - Enter Cases'!$K708="Approved",'All Cases - Enter Cases'!A708,"")</f>
        <v/>
      </c>
      <c r="B708" s="4" t="str">
        <f>IF($N708&lt;&gt;"",$N708,IF($A708&lt;&gt;"",'All Cases - Enter Cases'!$L708+7,""))</f>
        <v/>
      </c>
      <c r="C708" t="str">
        <f>IF($A708&lt;&gt;"",'All Cases - Enter Cases'!B708,"")</f>
        <v/>
      </c>
      <c r="D708" t="str">
        <f>IF($A708&lt;&gt;"",'All Cases - Enter Cases'!C708,"")</f>
        <v/>
      </c>
      <c r="E708" t="str">
        <f>IF($A708&lt;&gt;"",'All Cases - Enter Cases'!D708,"")</f>
        <v/>
      </c>
      <c r="F708" s="12" t="str">
        <f>IF($A708&lt;&gt;"",'All Cases - Enter Cases'!E708,"")</f>
        <v/>
      </c>
      <c r="G708" s="12" t="str">
        <f>IF($A708&lt;&gt;"",'All Cases - Enter Cases'!F708,"")</f>
        <v/>
      </c>
      <c r="H708" s="4" t="str">
        <f>IF($A708&lt;&gt;"",'All Cases - Enter Cases'!G708,"")</f>
        <v/>
      </c>
      <c r="I708" t="str">
        <f>IF($A708&lt;&gt;"",'All Cases - Enter Cases'!H708,"")</f>
        <v/>
      </c>
      <c r="J708" t="str">
        <f>IF($A708&lt;&gt;"",'All Cases - Enter Cases'!I708,"")</f>
        <v/>
      </c>
      <c r="K708" t="str">
        <f>IF($A708&lt;&gt;"",'All Cases - Enter Cases'!J708,"")</f>
        <v/>
      </c>
      <c r="L708" s="4" t="str">
        <f>IF($A708&lt;&gt;"",'All Cases - Enter Cases'!K708,"")</f>
        <v/>
      </c>
      <c r="M708" t="str">
        <f>IF($A708&lt;&gt;"",'All Cases - Enter Cases'!L708,"")</f>
        <v/>
      </c>
    </row>
    <row r="709" spans="1:13" x14ac:dyDescent="0.35">
      <c r="A709" s="4" t="str">
        <f>IF('All Cases - Enter Cases'!$K709="Approved",'All Cases - Enter Cases'!A709,"")</f>
        <v/>
      </c>
      <c r="B709" s="4" t="str">
        <f>IF($N709&lt;&gt;"",$N709,IF($A709&lt;&gt;"",'All Cases - Enter Cases'!$L709+7,""))</f>
        <v/>
      </c>
      <c r="C709" t="str">
        <f>IF($A709&lt;&gt;"",'All Cases - Enter Cases'!B709,"")</f>
        <v/>
      </c>
      <c r="D709" t="str">
        <f>IF($A709&lt;&gt;"",'All Cases - Enter Cases'!C709,"")</f>
        <v/>
      </c>
      <c r="E709" t="str">
        <f>IF($A709&lt;&gt;"",'All Cases - Enter Cases'!D709,"")</f>
        <v/>
      </c>
      <c r="F709" s="12" t="str">
        <f>IF($A709&lt;&gt;"",'All Cases - Enter Cases'!E709,"")</f>
        <v/>
      </c>
      <c r="G709" s="12" t="str">
        <f>IF($A709&lt;&gt;"",'All Cases - Enter Cases'!F709,"")</f>
        <v/>
      </c>
      <c r="H709" s="4" t="str">
        <f>IF($A709&lt;&gt;"",'All Cases - Enter Cases'!G709,"")</f>
        <v/>
      </c>
      <c r="I709" t="str">
        <f>IF($A709&lt;&gt;"",'All Cases - Enter Cases'!H709,"")</f>
        <v/>
      </c>
      <c r="J709" t="str">
        <f>IF($A709&lt;&gt;"",'All Cases - Enter Cases'!I709,"")</f>
        <v/>
      </c>
      <c r="K709" t="str">
        <f>IF($A709&lt;&gt;"",'All Cases - Enter Cases'!J709,"")</f>
        <v/>
      </c>
      <c r="L709" s="4" t="str">
        <f>IF($A709&lt;&gt;"",'All Cases - Enter Cases'!K709,"")</f>
        <v/>
      </c>
      <c r="M709" t="str">
        <f>IF($A709&lt;&gt;"",'All Cases - Enter Cases'!L709,"")</f>
        <v/>
      </c>
    </row>
    <row r="710" spans="1:13" x14ac:dyDescent="0.35">
      <c r="A710" s="4" t="str">
        <f>IF('All Cases - Enter Cases'!$K710="Approved",'All Cases - Enter Cases'!A710,"")</f>
        <v/>
      </c>
      <c r="B710" s="4" t="str">
        <f>IF($N710&lt;&gt;"",$N710,IF($A710&lt;&gt;"",'All Cases - Enter Cases'!$L710+7,""))</f>
        <v/>
      </c>
      <c r="C710" t="str">
        <f>IF($A710&lt;&gt;"",'All Cases - Enter Cases'!B710,"")</f>
        <v/>
      </c>
      <c r="D710" t="str">
        <f>IF($A710&lt;&gt;"",'All Cases - Enter Cases'!C710,"")</f>
        <v/>
      </c>
      <c r="E710" t="str">
        <f>IF($A710&lt;&gt;"",'All Cases - Enter Cases'!D710,"")</f>
        <v/>
      </c>
      <c r="F710" s="12" t="str">
        <f>IF($A710&lt;&gt;"",'All Cases - Enter Cases'!E710,"")</f>
        <v/>
      </c>
      <c r="G710" s="12" t="str">
        <f>IF($A710&lt;&gt;"",'All Cases - Enter Cases'!F710,"")</f>
        <v/>
      </c>
      <c r="H710" s="4" t="str">
        <f>IF($A710&lt;&gt;"",'All Cases - Enter Cases'!G710,"")</f>
        <v/>
      </c>
      <c r="I710" t="str">
        <f>IF($A710&lt;&gt;"",'All Cases - Enter Cases'!H710,"")</f>
        <v/>
      </c>
      <c r="J710" t="str">
        <f>IF($A710&lt;&gt;"",'All Cases - Enter Cases'!I710,"")</f>
        <v/>
      </c>
      <c r="K710" t="str">
        <f>IF($A710&lt;&gt;"",'All Cases - Enter Cases'!J710,"")</f>
        <v/>
      </c>
      <c r="L710" s="4" t="str">
        <f>IF($A710&lt;&gt;"",'All Cases - Enter Cases'!K710,"")</f>
        <v/>
      </c>
      <c r="M710" t="str">
        <f>IF($A710&lt;&gt;"",'All Cases - Enter Cases'!L710,"")</f>
        <v/>
      </c>
    </row>
    <row r="711" spans="1:13" x14ac:dyDescent="0.35">
      <c r="A711" s="4" t="str">
        <f>IF('All Cases - Enter Cases'!$K711="Approved",'All Cases - Enter Cases'!A711,"")</f>
        <v/>
      </c>
      <c r="B711" s="4" t="str">
        <f>IF($N711&lt;&gt;"",$N711,IF($A711&lt;&gt;"",'All Cases - Enter Cases'!$L711+7,""))</f>
        <v/>
      </c>
      <c r="C711" t="str">
        <f>IF($A711&lt;&gt;"",'All Cases - Enter Cases'!B711,"")</f>
        <v/>
      </c>
      <c r="D711" t="str">
        <f>IF($A711&lt;&gt;"",'All Cases - Enter Cases'!C711,"")</f>
        <v/>
      </c>
      <c r="E711" t="str">
        <f>IF($A711&lt;&gt;"",'All Cases - Enter Cases'!D711,"")</f>
        <v/>
      </c>
      <c r="F711" s="12" t="str">
        <f>IF($A711&lt;&gt;"",'All Cases - Enter Cases'!E711,"")</f>
        <v/>
      </c>
      <c r="G711" s="12" t="str">
        <f>IF($A711&lt;&gt;"",'All Cases - Enter Cases'!F711,"")</f>
        <v/>
      </c>
      <c r="H711" s="4" t="str">
        <f>IF($A711&lt;&gt;"",'All Cases - Enter Cases'!G711,"")</f>
        <v/>
      </c>
      <c r="I711" t="str">
        <f>IF($A711&lt;&gt;"",'All Cases - Enter Cases'!H711,"")</f>
        <v/>
      </c>
      <c r="J711" t="str">
        <f>IF($A711&lt;&gt;"",'All Cases - Enter Cases'!I711,"")</f>
        <v/>
      </c>
      <c r="K711" t="str">
        <f>IF($A711&lt;&gt;"",'All Cases - Enter Cases'!J711,"")</f>
        <v/>
      </c>
      <c r="L711" s="4" t="str">
        <f>IF($A711&lt;&gt;"",'All Cases - Enter Cases'!K711,"")</f>
        <v/>
      </c>
      <c r="M711" t="str">
        <f>IF($A711&lt;&gt;"",'All Cases - Enter Cases'!L711,"")</f>
        <v/>
      </c>
    </row>
    <row r="712" spans="1:13" x14ac:dyDescent="0.35">
      <c r="A712" s="4" t="str">
        <f>IF('All Cases - Enter Cases'!$K712="Approved",'All Cases - Enter Cases'!A712,"")</f>
        <v/>
      </c>
      <c r="B712" s="4" t="str">
        <f>IF($N712&lt;&gt;"",$N712,IF($A712&lt;&gt;"",'All Cases - Enter Cases'!$L712+7,""))</f>
        <v/>
      </c>
      <c r="C712" t="str">
        <f>IF($A712&lt;&gt;"",'All Cases - Enter Cases'!B712,"")</f>
        <v/>
      </c>
      <c r="D712" t="str">
        <f>IF($A712&lt;&gt;"",'All Cases - Enter Cases'!C712,"")</f>
        <v/>
      </c>
      <c r="E712" t="str">
        <f>IF($A712&lt;&gt;"",'All Cases - Enter Cases'!D712,"")</f>
        <v/>
      </c>
      <c r="F712" s="12" t="str">
        <f>IF($A712&lt;&gt;"",'All Cases - Enter Cases'!E712,"")</f>
        <v/>
      </c>
      <c r="G712" s="12" t="str">
        <f>IF($A712&lt;&gt;"",'All Cases - Enter Cases'!F712,"")</f>
        <v/>
      </c>
      <c r="H712" s="4" t="str">
        <f>IF($A712&lt;&gt;"",'All Cases - Enter Cases'!G712,"")</f>
        <v/>
      </c>
      <c r="I712" t="str">
        <f>IF($A712&lt;&gt;"",'All Cases - Enter Cases'!H712,"")</f>
        <v/>
      </c>
      <c r="J712" t="str">
        <f>IF($A712&lt;&gt;"",'All Cases - Enter Cases'!I712,"")</f>
        <v/>
      </c>
      <c r="K712" t="str">
        <f>IF($A712&lt;&gt;"",'All Cases - Enter Cases'!J712,"")</f>
        <v/>
      </c>
      <c r="L712" s="4" t="str">
        <f>IF($A712&lt;&gt;"",'All Cases - Enter Cases'!K712,"")</f>
        <v/>
      </c>
      <c r="M712" t="str">
        <f>IF($A712&lt;&gt;"",'All Cases - Enter Cases'!L712,"")</f>
        <v/>
      </c>
    </row>
    <row r="713" spans="1:13" x14ac:dyDescent="0.35">
      <c r="A713" s="4" t="str">
        <f>IF('All Cases - Enter Cases'!$K713="Approved",'All Cases - Enter Cases'!A713,"")</f>
        <v/>
      </c>
      <c r="B713" s="4" t="str">
        <f>IF($N713&lt;&gt;"",$N713,IF($A713&lt;&gt;"",'All Cases - Enter Cases'!$L713+7,""))</f>
        <v/>
      </c>
      <c r="C713" t="str">
        <f>IF($A713&lt;&gt;"",'All Cases - Enter Cases'!B713,"")</f>
        <v/>
      </c>
      <c r="D713" t="str">
        <f>IF($A713&lt;&gt;"",'All Cases - Enter Cases'!C713,"")</f>
        <v/>
      </c>
      <c r="E713" t="str">
        <f>IF($A713&lt;&gt;"",'All Cases - Enter Cases'!D713,"")</f>
        <v/>
      </c>
      <c r="F713" s="12" t="str">
        <f>IF($A713&lt;&gt;"",'All Cases - Enter Cases'!E713,"")</f>
        <v/>
      </c>
      <c r="G713" s="12" t="str">
        <f>IF($A713&lt;&gt;"",'All Cases - Enter Cases'!F713,"")</f>
        <v/>
      </c>
      <c r="H713" s="4" t="str">
        <f>IF($A713&lt;&gt;"",'All Cases - Enter Cases'!G713,"")</f>
        <v/>
      </c>
      <c r="I713" t="str">
        <f>IF($A713&lt;&gt;"",'All Cases - Enter Cases'!H713,"")</f>
        <v/>
      </c>
      <c r="J713" t="str">
        <f>IF($A713&lt;&gt;"",'All Cases - Enter Cases'!I713,"")</f>
        <v/>
      </c>
      <c r="K713" t="str">
        <f>IF($A713&lt;&gt;"",'All Cases - Enter Cases'!J713,"")</f>
        <v/>
      </c>
      <c r="L713" s="4" t="str">
        <f>IF($A713&lt;&gt;"",'All Cases - Enter Cases'!K713,"")</f>
        <v/>
      </c>
      <c r="M713" t="str">
        <f>IF($A713&lt;&gt;"",'All Cases - Enter Cases'!L713,"")</f>
        <v/>
      </c>
    </row>
    <row r="714" spans="1:13" x14ac:dyDescent="0.35">
      <c r="A714" s="4" t="str">
        <f>IF('All Cases - Enter Cases'!$K714="Approved",'All Cases - Enter Cases'!A714,"")</f>
        <v/>
      </c>
      <c r="B714" s="4" t="str">
        <f>IF($N714&lt;&gt;"",$N714,IF($A714&lt;&gt;"",'All Cases - Enter Cases'!$L714+7,""))</f>
        <v/>
      </c>
      <c r="C714" t="str">
        <f>IF($A714&lt;&gt;"",'All Cases - Enter Cases'!B714,"")</f>
        <v/>
      </c>
      <c r="D714" t="str">
        <f>IF($A714&lt;&gt;"",'All Cases - Enter Cases'!C714,"")</f>
        <v/>
      </c>
      <c r="E714" t="str">
        <f>IF($A714&lt;&gt;"",'All Cases - Enter Cases'!D714,"")</f>
        <v/>
      </c>
      <c r="F714" s="12" t="str">
        <f>IF($A714&lt;&gt;"",'All Cases - Enter Cases'!E714,"")</f>
        <v/>
      </c>
      <c r="G714" s="12" t="str">
        <f>IF($A714&lt;&gt;"",'All Cases - Enter Cases'!F714,"")</f>
        <v/>
      </c>
      <c r="H714" s="4" t="str">
        <f>IF($A714&lt;&gt;"",'All Cases - Enter Cases'!G714,"")</f>
        <v/>
      </c>
      <c r="I714" t="str">
        <f>IF($A714&lt;&gt;"",'All Cases - Enter Cases'!H714,"")</f>
        <v/>
      </c>
      <c r="J714" t="str">
        <f>IF($A714&lt;&gt;"",'All Cases - Enter Cases'!I714,"")</f>
        <v/>
      </c>
      <c r="K714" t="str">
        <f>IF($A714&lt;&gt;"",'All Cases - Enter Cases'!J714,"")</f>
        <v/>
      </c>
      <c r="L714" s="4" t="str">
        <f>IF($A714&lt;&gt;"",'All Cases - Enter Cases'!K714,"")</f>
        <v/>
      </c>
      <c r="M714" t="str">
        <f>IF($A714&lt;&gt;"",'All Cases - Enter Cases'!L714,"")</f>
        <v/>
      </c>
    </row>
    <row r="715" spans="1:13" x14ac:dyDescent="0.35">
      <c r="A715" s="4" t="str">
        <f>IF('All Cases - Enter Cases'!$K715="Approved",'All Cases - Enter Cases'!A715,"")</f>
        <v/>
      </c>
      <c r="B715" s="4" t="str">
        <f>IF($N715&lt;&gt;"",$N715,IF($A715&lt;&gt;"",'All Cases - Enter Cases'!$L715+7,""))</f>
        <v/>
      </c>
      <c r="C715" t="str">
        <f>IF($A715&lt;&gt;"",'All Cases - Enter Cases'!B715,"")</f>
        <v/>
      </c>
      <c r="D715" t="str">
        <f>IF($A715&lt;&gt;"",'All Cases - Enter Cases'!C715,"")</f>
        <v/>
      </c>
      <c r="E715" t="str">
        <f>IF($A715&lt;&gt;"",'All Cases - Enter Cases'!D715,"")</f>
        <v/>
      </c>
      <c r="F715" s="12" t="str">
        <f>IF($A715&lt;&gt;"",'All Cases - Enter Cases'!E715,"")</f>
        <v/>
      </c>
      <c r="G715" s="12" t="str">
        <f>IF($A715&lt;&gt;"",'All Cases - Enter Cases'!F715,"")</f>
        <v/>
      </c>
      <c r="H715" s="4" t="str">
        <f>IF($A715&lt;&gt;"",'All Cases - Enter Cases'!G715,"")</f>
        <v/>
      </c>
      <c r="I715" t="str">
        <f>IF($A715&lt;&gt;"",'All Cases - Enter Cases'!H715,"")</f>
        <v/>
      </c>
      <c r="J715" t="str">
        <f>IF($A715&lt;&gt;"",'All Cases - Enter Cases'!I715,"")</f>
        <v/>
      </c>
      <c r="K715" t="str">
        <f>IF($A715&lt;&gt;"",'All Cases - Enter Cases'!J715,"")</f>
        <v/>
      </c>
      <c r="L715" s="4" t="str">
        <f>IF($A715&lt;&gt;"",'All Cases - Enter Cases'!K715,"")</f>
        <v/>
      </c>
      <c r="M715" t="str">
        <f>IF($A715&lt;&gt;"",'All Cases - Enter Cases'!L715,"")</f>
        <v/>
      </c>
    </row>
    <row r="716" spans="1:13" x14ac:dyDescent="0.35">
      <c r="A716" s="4" t="str">
        <f>IF('All Cases - Enter Cases'!$K716="Approved",'All Cases - Enter Cases'!A716,"")</f>
        <v/>
      </c>
      <c r="B716" s="4" t="str">
        <f>IF($N716&lt;&gt;"",$N716,IF($A716&lt;&gt;"",'All Cases - Enter Cases'!$L716+7,""))</f>
        <v/>
      </c>
      <c r="C716" t="str">
        <f>IF($A716&lt;&gt;"",'All Cases - Enter Cases'!B716,"")</f>
        <v/>
      </c>
      <c r="D716" t="str">
        <f>IF($A716&lt;&gt;"",'All Cases - Enter Cases'!C716,"")</f>
        <v/>
      </c>
      <c r="E716" t="str">
        <f>IF($A716&lt;&gt;"",'All Cases - Enter Cases'!D716,"")</f>
        <v/>
      </c>
      <c r="F716" s="12" t="str">
        <f>IF($A716&lt;&gt;"",'All Cases - Enter Cases'!E716,"")</f>
        <v/>
      </c>
      <c r="G716" s="12" t="str">
        <f>IF($A716&lt;&gt;"",'All Cases - Enter Cases'!F716,"")</f>
        <v/>
      </c>
      <c r="H716" s="4" t="str">
        <f>IF($A716&lt;&gt;"",'All Cases - Enter Cases'!G716,"")</f>
        <v/>
      </c>
      <c r="I716" t="str">
        <f>IF($A716&lt;&gt;"",'All Cases - Enter Cases'!H716,"")</f>
        <v/>
      </c>
      <c r="J716" t="str">
        <f>IF($A716&lt;&gt;"",'All Cases - Enter Cases'!I716,"")</f>
        <v/>
      </c>
      <c r="K716" t="str">
        <f>IF($A716&lt;&gt;"",'All Cases - Enter Cases'!J716,"")</f>
        <v/>
      </c>
      <c r="L716" s="4" t="str">
        <f>IF($A716&lt;&gt;"",'All Cases - Enter Cases'!K716,"")</f>
        <v/>
      </c>
      <c r="M716" t="str">
        <f>IF($A716&lt;&gt;"",'All Cases - Enter Cases'!L716,"")</f>
        <v/>
      </c>
    </row>
    <row r="717" spans="1:13" x14ac:dyDescent="0.35">
      <c r="A717" s="4" t="str">
        <f>IF('All Cases - Enter Cases'!$K717="Approved",'All Cases - Enter Cases'!A717,"")</f>
        <v/>
      </c>
      <c r="B717" s="4" t="str">
        <f>IF($N717&lt;&gt;"",$N717,IF($A717&lt;&gt;"",'All Cases - Enter Cases'!$L717+7,""))</f>
        <v/>
      </c>
      <c r="C717" t="str">
        <f>IF($A717&lt;&gt;"",'All Cases - Enter Cases'!B717,"")</f>
        <v/>
      </c>
      <c r="D717" t="str">
        <f>IF($A717&lt;&gt;"",'All Cases - Enter Cases'!C717,"")</f>
        <v/>
      </c>
      <c r="E717" t="str">
        <f>IF($A717&lt;&gt;"",'All Cases - Enter Cases'!D717,"")</f>
        <v/>
      </c>
      <c r="F717" s="12" t="str">
        <f>IF($A717&lt;&gt;"",'All Cases - Enter Cases'!E717,"")</f>
        <v/>
      </c>
      <c r="G717" s="12" t="str">
        <f>IF($A717&lt;&gt;"",'All Cases - Enter Cases'!F717,"")</f>
        <v/>
      </c>
      <c r="H717" s="4" t="str">
        <f>IF($A717&lt;&gt;"",'All Cases - Enter Cases'!G717,"")</f>
        <v/>
      </c>
      <c r="I717" t="str">
        <f>IF($A717&lt;&gt;"",'All Cases - Enter Cases'!H717,"")</f>
        <v/>
      </c>
      <c r="J717" t="str">
        <f>IF($A717&lt;&gt;"",'All Cases - Enter Cases'!I717,"")</f>
        <v/>
      </c>
      <c r="K717" t="str">
        <f>IF($A717&lt;&gt;"",'All Cases - Enter Cases'!J717,"")</f>
        <v/>
      </c>
      <c r="L717" s="4" t="str">
        <f>IF($A717&lt;&gt;"",'All Cases - Enter Cases'!K717,"")</f>
        <v/>
      </c>
      <c r="M717" t="str">
        <f>IF($A717&lt;&gt;"",'All Cases - Enter Cases'!L717,"")</f>
        <v/>
      </c>
    </row>
    <row r="718" spans="1:13" x14ac:dyDescent="0.35">
      <c r="A718" s="4" t="str">
        <f>IF('All Cases - Enter Cases'!$K718="Approved",'All Cases - Enter Cases'!A718,"")</f>
        <v/>
      </c>
      <c r="B718" s="4" t="str">
        <f>IF($N718&lt;&gt;"",$N718,IF($A718&lt;&gt;"",'All Cases - Enter Cases'!$L718+7,""))</f>
        <v/>
      </c>
      <c r="C718" t="str">
        <f>IF($A718&lt;&gt;"",'All Cases - Enter Cases'!B718,"")</f>
        <v/>
      </c>
      <c r="D718" t="str">
        <f>IF($A718&lt;&gt;"",'All Cases - Enter Cases'!C718,"")</f>
        <v/>
      </c>
      <c r="E718" t="str">
        <f>IF($A718&lt;&gt;"",'All Cases - Enter Cases'!D718,"")</f>
        <v/>
      </c>
      <c r="F718" s="12" t="str">
        <f>IF($A718&lt;&gt;"",'All Cases - Enter Cases'!E718,"")</f>
        <v/>
      </c>
      <c r="G718" s="12" t="str">
        <f>IF($A718&lt;&gt;"",'All Cases - Enter Cases'!F718,"")</f>
        <v/>
      </c>
      <c r="H718" s="4" t="str">
        <f>IF($A718&lt;&gt;"",'All Cases - Enter Cases'!G718,"")</f>
        <v/>
      </c>
      <c r="I718" t="str">
        <f>IF($A718&lt;&gt;"",'All Cases - Enter Cases'!H718,"")</f>
        <v/>
      </c>
      <c r="J718" t="str">
        <f>IF($A718&lt;&gt;"",'All Cases - Enter Cases'!I718,"")</f>
        <v/>
      </c>
      <c r="K718" t="str">
        <f>IF($A718&lt;&gt;"",'All Cases - Enter Cases'!J718,"")</f>
        <v/>
      </c>
      <c r="L718" s="4" t="str">
        <f>IF($A718&lt;&gt;"",'All Cases - Enter Cases'!K718,"")</f>
        <v/>
      </c>
      <c r="M718" t="str">
        <f>IF($A718&lt;&gt;"",'All Cases - Enter Cases'!L718,"")</f>
        <v/>
      </c>
    </row>
    <row r="719" spans="1:13" x14ac:dyDescent="0.35">
      <c r="A719" s="4" t="str">
        <f>IF('All Cases - Enter Cases'!$K719="Approved",'All Cases - Enter Cases'!A719,"")</f>
        <v/>
      </c>
      <c r="B719" s="4" t="str">
        <f>IF($N719&lt;&gt;"",$N719,IF($A719&lt;&gt;"",'All Cases - Enter Cases'!$L719+7,""))</f>
        <v/>
      </c>
      <c r="C719" t="str">
        <f>IF($A719&lt;&gt;"",'All Cases - Enter Cases'!B719,"")</f>
        <v/>
      </c>
      <c r="D719" t="str">
        <f>IF($A719&lt;&gt;"",'All Cases - Enter Cases'!C719,"")</f>
        <v/>
      </c>
      <c r="E719" t="str">
        <f>IF($A719&lt;&gt;"",'All Cases - Enter Cases'!D719,"")</f>
        <v/>
      </c>
      <c r="F719" s="12" t="str">
        <f>IF($A719&lt;&gt;"",'All Cases - Enter Cases'!E719,"")</f>
        <v/>
      </c>
      <c r="G719" s="12" t="str">
        <f>IF($A719&lt;&gt;"",'All Cases - Enter Cases'!F719,"")</f>
        <v/>
      </c>
      <c r="H719" s="4" t="str">
        <f>IF($A719&lt;&gt;"",'All Cases - Enter Cases'!G719,"")</f>
        <v/>
      </c>
      <c r="I719" t="str">
        <f>IF($A719&lt;&gt;"",'All Cases - Enter Cases'!H719,"")</f>
        <v/>
      </c>
      <c r="J719" t="str">
        <f>IF($A719&lt;&gt;"",'All Cases - Enter Cases'!I719,"")</f>
        <v/>
      </c>
      <c r="K719" t="str">
        <f>IF($A719&lt;&gt;"",'All Cases - Enter Cases'!J719,"")</f>
        <v/>
      </c>
      <c r="L719" s="4" t="str">
        <f>IF($A719&lt;&gt;"",'All Cases - Enter Cases'!K719,"")</f>
        <v/>
      </c>
      <c r="M719" t="str">
        <f>IF($A719&lt;&gt;"",'All Cases - Enter Cases'!L719,"")</f>
        <v/>
      </c>
    </row>
    <row r="720" spans="1:13" x14ac:dyDescent="0.35">
      <c r="A720" s="4" t="str">
        <f>IF('All Cases - Enter Cases'!$K720="Approved",'All Cases - Enter Cases'!A720,"")</f>
        <v/>
      </c>
      <c r="B720" s="4" t="str">
        <f>IF($N720&lt;&gt;"",$N720,IF($A720&lt;&gt;"",'All Cases - Enter Cases'!$L720+7,""))</f>
        <v/>
      </c>
      <c r="C720" t="str">
        <f>IF($A720&lt;&gt;"",'All Cases - Enter Cases'!B720,"")</f>
        <v/>
      </c>
      <c r="D720" t="str">
        <f>IF($A720&lt;&gt;"",'All Cases - Enter Cases'!C720,"")</f>
        <v/>
      </c>
      <c r="E720" t="str">
        <f>IF($A720&lt;&gt;"",'All Cases - Enter Cases'!D720,"")</f>
        <v/>
      </c>
      <c r="F720" s="12" t="str">
        <f>IF($A720&lt;&gt;"",'All Cases - Enter Cases'!E720,"")</f>
        <v/>
      </c>
      <c r="G720" s="12" t="str">
        <f>IF($A720&lt;&gt;"",'All Cases - Enter Cases'!F720,"")</f>
        <v/>
      </c>
      <c r="H720" s="4" t="str">
        <f>IF($A720&lt;&gt;"",'All Cases - Enter Cases'!G720,"")</f>
        <v/>
      </c>
      <c r="I720" t="str">
        <f>IF($A720&lt;&gt;"",'All Cases - Enter Cases'!H720,"")</f>
        <v/>
      </c>
      <c r="J720" t="str">
        <f>IF($A720&lt;&gt;"",'All Cases - Enter Cases'!I720,"")</f>
        <v/>
      </c>
      <c r="K720" t="str">
        <f>IF($A720&lt;&gt;"",'All Cases - Enter Cases'!J720,"")</f>
        <v/>
      </c>
      <c r="L720" s="4" t="str">
        <f>IF($A720&lt;&gt;"",'All Cases - Enter Cases'!K720,"")</f>
        <v/>
      </c>
      <c r="M720" t="str">
        <f>IF($A720&lt;&gt;"",'All Cases - Enter Cases'!L720,"")</f>
        <v/>
      </c>
    </row>
    <row r="721" spans="1:13" x14ac:dyDescent="0.35">
      <c r="A721" s="4" t="str">
        <f>IF('All Cases - Enter Cases'!$K721="Approved",'All Cases - Enter Cases'!A721,"")</f>
        <v/>
      </c>
      <c r="B721" s="4" t="str">
        <f>IF($N721&lt;&gt;"",$N721,IF($A721&lt;&gt;"",'All Cases - Enter Cases'!$L721+7,""))</f>
        <v/>
      </c>
      <c r="C721" t="str">
        <f>IF($A721&lt;&gt;"",'All Cases - Enter Cases'!B721,"")</f>
        <v/>
      </c>
      <c r="D721" t="str">
        <f>IF($A721&lt;&gt;"",'All Cases - Enter Cases'!C721,"")</f>
        <v/>
      </c>
      <c r="E721" t="str">
        <f>IF($A721&lt;&gt;"",'All Cases - Enter Cases'!D721,"")</f>
        <v/>
      </c>
      <c r="F721" s="12" t="str">
        <f>IF($A721&lt;&gt;"",'All Cases - Enter Cases'!E721,"")</f>
        <v/>
      </c>
      <c r="G721" s="12" t="str">
        <f>IF($A721&lt;&gt;"",'All Cases - Enter Cases'!F721,"")</f>
        <v/>
      </c>
      <c r="H721" s="4" t="str">
        <f>IF($A721&lt;&gt;"",'All Cases - Enter Cases'!G721,"")</f>
        <v/>
      </c>
      <c r="I721" t="str">
        <f>IF($A721&lt;&gt;"",'All Cases - Enter Cases'!H721,"")</f>
        <v/>
      </c>
      <c r="J721" t="str">
        <f>IF($A721&lt;&gt;"",'All Cases - Enter Cases'!I721,"")</f>
        <v/>
      </c>
      <c r="K721" t="str">
        <f>IF($A721&lt;&gt;"",'All Cases - Enter Cases'!J721,"")</f>
        <v/>
      </c>
      <c r="L721" s="4" t="str">
        <f>IF($A721&lt;&gt;"",'All Cases - Enter Cases'!K721,"")</f>
        <v/>
      </c>
      <c r="M721" t="str">
        <f>IF($A721&lt;&gt;"",'All Cases - Enter Cases'!L721,"")</f>
        <v/>
      </c>
    </row>
    <row r="722" spans="1:13" x14ac:dyDescent="0.35">
      <c r="A722" s="4" t="str">
        <f>IF('All Cases - Enter Cases'!$K722="Approved",'All Cases - Enter Cases'!A722,"")</f>
        <v/>
      </c>
      <c r="B722" s="4" t="str">
        <f>IF($N722&lt;&gt;"",$N722,IF($A722&lt;&gt;"",'All Cases - Enter Cases'!$L722+7,""))</f>
        <v/>
      </c>
      <c r="C722" t="str">
        <f>IF($A722&lt;&gt;"",'All Cases - Enter Cases'!B722,"")</f>
        <v/>
      </c>
      <c r="D722" t="str">
        <f>IF($A722&lt;&gt;"",'All Cases - Enter Cases'!C722,"")</f>
        <v/>
      </c>
      <c r="E722" t="str">
        <f>IF($A722&lt;&gt;"",'All Cases - Enter Cases'!D722,"")</f>
        <v/>
      </c>
      <c r="F722" s="12" t="str">
        <f>IF($A722&lt;&gt;"",'All Cases - Enter Cases'!E722,"")</f>
        <v/>
      </c>
      <c r="G722" s="12" t="str">
        <f>IF($A722&lt;&gt;"",'All Cases - Enter Cases'!F722,"")</f>
        <v/>
      </c>
      <c r="H722" s="4" t="str">
        <f>IF($A722&lt;&gt;"",'All Cases - Enter Cases'!G722,"")</f>
        <v/>
      </c>
      <c r="I722" t="str">
        <f>IF($A722&lt;&gt;"",'All Cases - Enter Cases'!H722,"")</f>
        <v/>
      </c>
      <c r="J722" t="str">
        <f>IF($A722&lt;&gt;"",'All Cases - Enter Cases'!I722,"")</f>
        <v/>
      </c>
      <c r="K722" t="str">
        <f>IF($A722&lt;&gt;"",'All Cases - Enter Cases'!J722,"")</f>
        <v/>
      </c>
      <c r="L722" s="4" t="str">
        <f>IF($A722&lt;&gt;"",'All Cases - Enter Cases'!K722,"")</f>
        <v/>
      </c>
      <c r="M722" t="str">
        <f>IF($A722&lt;&gt;"",'All Cases - Enter Cases'!L722,"")</f>
        <v/>
      </c>
    </row>
    <row r="723" spans="1:13" x14ac:dyDescent="0.35">
      <c r="A723" s="4" t="str">
        <f>IF('All Cases - Enter Cases'!$K723="Approved",'All Cases - Enter Cases'!A723,"")</f>
        <v/>
      </c>
      <c r="B723" s="4" t="str">
        <f>IF($N723&lt;&gt;"",$N723,IF($A723&lt;&gt;"",'All Cases - Enter Cases'!$L723+7,""))</f>
        <v/>
      </c>
      <c r="C723" t="str">
        <f>IF($A723&lt;&gt;"",'All Cases - Enter Cases'!B723,"")</f>
        <v/>
      </c>
      <c r="D723" t="str">
        <f>IF($A723&lt;&gt;"",'All Cases - Enter Cases'!C723,"")</f>
        <v/>
      </c>
      <c r="E723" t="str">
        <f>IF($A723&lt;&gt;"",'All Cases - Enter Cases'!D723,"")</f>
        <v/>
      </c>
      <c r="F723" s="12" t="str">
        <f>IF($A723&lt;&gt;"",'All Cases - Enter Cases'!E723,"")</f>
        <v/>
      </c>
      <c r="G723" s="12" t="str">
        <f>IF($A723&lt;&gt;"",'All Cases - Enter Cases'!F723,"")</f>
        <v/>
      </c>
      <c r="H723" s="4" t="str">
        <f>IF($A723&lt;&gt;"",'All Cases - Enter Cases'!G723,"")</f>
        <v/>
      </c>
      <c r="I723" t="str">
        <f>IF($A723&lt;&gt;"",'All Cases - Enter Cases'!H723,"")</f>
        <v/>
      </c>
      <c r="J723" t="str">
        <f>IF($A723&lt;&gt;"",'All Cases - Enter Cases'!I723,"")</f>
        <v/>
      </c>
      <c r="K723" t="str">
        <f>IF($A723&lt;&gt;"",'All Cases - Enter Cases'!J723,"")</f>
        <v/>
      </c>
      <c r="L723" s="4" t="str">
        <f>IF($A723&lt;&gt;"",'All Cases - Enter Cases'!K723,"")</f>
        <v/>
      </c>
      <c r="M723" t="str">
        <f>IF($A723&lt;&gt;"",'All Cases - Enter Cases'!L723,"")</f>
        <v/>
      </c>
    </row>
    <row r="724" spans="1:13" x14ac:dyDescent="0.35">
      <c r="A724" s="4" t="str">
        <f>IF('All Cases - Enter Cases'!$K724="Approved",'All Cases - Enter Cases'!A724,"")</f>
        <v/>
      </c>
      <c r="B724" s="4" t="str">
        <f>IF($N724&lt;&gt;"",$N724,IF($A724&lt;&gt;"",'All Cases - Enter Cases'!$L724+7,""))</f>
        <v/>
      </c>
      <c r="C724" t="str">
        <f>IF($A724&lt;&gt;"",'All Cases - Enter Cases'!B724,"")</f>
        <v/>
      </c>
      <c r="D724" t="str">
        <f>IF($A724&lt;&gt;"",'All Cases - Enter Cases'!C724,"")</f>
        <v/>
      </c>
      <c r="E724" t="str">
        <f>IF($A724&lt;&gt;"",'All Cases - Enter Cases'!D724,"")</f>
        <v/>
      </c>
      <c r="F724" s="12" t="str">
        <f>IF($A724&lt;&gt;"",'All Cases - Enter Cases'!E724,"")</f>
        <v/>
      </c>
      <c r="G724" s="12" t="str">
        <f>IF($A724&lt;&gt;"",'All Cases - Enter Cases'!F724,"")</f>
        <v/>
      </c>
      <c r="H724" s="4" t="str">
        <f>IF($A724&lt;&gt;"",'All Cases - Enter Cases'!G724,"")</f>
        <v/>
      </c>
      <c r="I724" t="str">
        <f>IF($A724&lt;&gt;"",'All Cases - Enter Cases'!H724,"")</f>
        <v/>
      </c>
      <c r="J724" t="str">
        <f>IF($A724&lt;&gt;"",'All Cases - Enter Cases'!I724,"")</f>
        <v/>
      </c>
      <c r="K724" t="str">
        <f>IF($A724&lt;&gt;"",'All Cases - Enter Cases'!J724,"")</f>
        <v/>
      </c>
      <c r="L724" s="4" t="str">
        <f>IF($A724&lt;&gt;"",'All Cases - Enter Cases'!K724,"")</f>
        <v/>
      </c>
      <c r="M724" t="str">
        <f>IF($A724&lt;&gt;"",'All Cases - Enter Cases'!L724,"")</f>
        <v/>
      </c>
    </row>
    <row r="725" spans="1:13" x14ac:dyDescent="0.35">
      <c r="A725" s="4" t="str">
        <f>IF('All Cases - Enter Cases'!$K725="Approved",'All Cases - Enter Cases'!A725,"")</f>
        <v/>
      </c>
      <c r="B725" s="4" t="str">
        <f>IF($N725&lt;&gt;"",$N725,IF($A725&lt;&gt;"",'All Cases - Enter Cases'!$L725+7,""))</f>
        <v/>
      </c>
      <c r="C725" t="str">
        <f>IF($A725&lt;&gt;"",'All Cases - Enter Cases'!B725,"")</f>
        <v/>
      </c>
      <c r="D725" t="str">
        <f>IF($A725&lt;&gt;"",'All Cases - Enter Cases'!C725,"")</f>
        <v/>
      </c>
      <c r="E725" t="str">
        <f>IF($A725&lt;&gt;"",'All Cases - Enter Cases'!D725,"")</f>
        <v/>
      </c>
      <c r="F725" s="12" t="str">
        <f>IF($A725&lt;&gt;"",'All Cases - Enter Cases'!E725,"")</f>
        <v/>
      </c>
      <c r="G725" s="12" t="str">
        <f>IF($A725&lt;&gt;"",'All Cases - Enter Cases'!F725,"")</f>
        <v/>
      </c>
      <c r="H725" s="4" t="str">
        <f>IF($A725&lt;&gt;"",'All Cases - Enter Cases'!G725,"")</f>
        <v/>
      </c>
      <c r="I725" t="str">
        <f>IF($A725&lt;&gt;"",'All Cases - Enter Cases'!H725,"")</f>
        <v/>
      </c>
      <c r="J725" t="str">
        <f>IF($A725&lt;&gt;"",'All Cases - Enter Cases'!I725,"")</f>
        <v/>
      </c>
      <c r="K725" t="str">
        <f>IF($A725&lt;&gt;"",'All Cases - Enter Cases'!J725,"")</f>
        <v/>
      </c>
      <c r="L725" s="4" t="str">
        <f>IF($A725&lt;&gt;"",'All Cases - Enter Cases'!K725,"")</f>
        <v/>
      </c>
      <c r="M725" t="str">
        <f>IF($A725&lt;&gt;"",'All Cases - Enter Cases'!L725,"")</f>
        <v/>
      </c>
    </row>
    <row r="726" spans="1:13" x14ac:dyDescent="0.35">
      <c r="A726" s="4" t="str">
        <f>IF('All Cases - Enter Cases'!$K726="Approved",'All Cases - Enter Cases'!A726,"")</f>
        <v/>
      </c>
      <c r="B726" s="4" t="str">
        <f>IF($N726&lt;&gt;"",$N726,IF($A726&lt;&gt;"",'All Cases - Enter Cases'!$L726+7,""))</f>
        <v/>
      </c>
      <c r="C726" t="str">
        <f>IF($A726&lt;&gt;"",'All Cases - Enter Cases'!B726,"")</f>
        <v/>
      </c>
      <c r="D726" t="str">
        <f>IF($A726&lt;&gt;"",'All Cases - Enter Cases'!C726,"")</f>
        <v/>
      </c>
      <c r="E726" t="str">
        <f>IF($A726&lt;&gt;"",'All Cases - Enter Cases'!D726,"")</f>
        <v/>
      </c>
      <c r="F726" s="12" t="str">
        <f>IF($A726&lt;&gt;"",'All Cases - Enter Cases'!E726,"")</f>
        <v/>
      </c>
      <c r="G726" s="12" t="str">
        <f>IF($A726&lt;&gt;"",'All Cases - Enter Cases'!F726,"")</f>
        <v/>
      </c>
      <c r="H726" s="4" t="str">
        <f>IF($A726&lt;&gt;"",'All Cases - Enter Cases'!G726,"")</f>
        <v/>
      </c>
      <c r="I726" t="str">
        <f>IF($A726&lt;&gt;"",'All Cases - Enter Cases'!H726,"")</f>
        <v/>
      </c>
      <c r="J726" t="str">
        <f>IF($A726&lt;&gt;"",'All Cases - Enter Cases'!I726,"")</f>
        <v/>
      </c>
      <c r="K726" t="str">
        <f>IF($A726&lt;&gt;"",'All Cases - Enter Cases'!J726,"")</f>
        <v/>
      </c>
      <c r="L726" s="4" t="str">
        <f>IF($A726&lt;&gt;"",'All Cases - Enter Cases'!K726,"")</f>
        <v/>
      </c>
      <c r="M726" t="str">
        <f>IF($A726&lt;&gt;"",'All Cases - Enter Cases'!L726,"")</f>
        <v/>
      </c>
    </row>
    <row r="727" spans="1:13" x14ac:dyDescent="0.35">
      <c r="A727" s="4" t="str">
        <f>IF('All Cases - Enter Cases'!$K727="Approved",'All Cases - Enter Cases'!A727,"")</f>
        <v/>
      </c>
      <c r="B727" s="4" t="str">
        <f>IF($N727&lt;&gt;"",$N727,IF($A727&lt;&gt;"",'All Cases - Enter Cases'!$L727+7,""))</f>
        <v/>
      </c>
      <c r="C727" t="str">
        <f>IF($A727&lt;&gt;"",'All Cases - Enter Cases'!B727,"")</f>
        <v/>
      </c>
      <c r="D727" t="str">
        <f>IF($A727&lt;&gt;"",'All Cases - Enter Cases'!C727,"")</f>
        <v/>
      </c>
      <c r="E727" t="str">
        <f>IF($A727&lt;&gt;"",'All Cases - Enter Cases'!D727,"")</f>
        <v/>
      </c>
      <c r="F727" s="12" t="str">
        <f>IF($A727&lt;&gt;"",'All Cases - Enter Cases'!E727,"")</f>
        <v/>
      </c>
      <c r="G727" s="12" t="str">
        <f>IF($A727&lt;&gt;"",'All Cases - Enter Cases'!F727,"")</f>
        <v/>
      </c>
      <c r="H727" s="4" t="str">
        <f>IF($A727&lt;&gt;"",'All Cases - Enter Cases'!G727,"")</f>
        <v/>
      </c>
      <c r="I727" t="str">
        <f>IF($A727&lt;&gt;"",'All Cases - Enter Cases'!H727,"")</f>
        <v/>
      </c>
      <c r="J727" t="str">
        <f>IF($A727&lt;&gt;"",'All Cases - Enter Cases'!I727,"")</f>
        <v/>
      </c>
      <c r="K727" t="str">
        <f>IF($A727&lt;&gt;"",'All Cases - Enter Cases'!J727,"")</f>
        <v/>
      </c>
      <c r="L727" s="4" t="str">
        <f>IF($A727&lt;&gt;"",'All Cases - Enter Cases'!K727,"")</f>
        <v/>
      </c>
      <c r="M727" t="str">
        <f>IF($A727&lt;&gt;"",'All Cases - Enter Cases'!L727,"")</f>
        <v/>
      </c>
    </row>
    <row r="728" spans="1:13" x14ac:dyDescent="0.35">
      <c r="A728" s="4" t="str">
        <f>IF('All Cases - Enter Cases'!$K728="Approved",'All Cases - Enter Cases'!A728,"")</f>
        <v/>
      </c>
      <c r="B728" s="4" t="str">
        <f>IF($N728&lt;&gt;"",$N728,IF($A728&lt;&gt;"",'All Cases - Enter Cases'!$L728+7,""))</f>
        <v/>
      </c>
      <c r="C728" t="str">
        <f>IF($A728&lt;&gt;"",'All Cases - Enter Cases'!B728,"")</f>
        <v/>
      </c>
      <c r="D728" t="str">
        <f>IF($A728&lt;&gt;"",'All Cases - Enter Cases'!C728,"")</f>
        <v/>
      </c>
      <c r="E728" t="str">
        <f>IF($A728&lt;&gt;"",'All Cases - Enter Cases'!D728,"")</f>
        <v/>
      </c>
      <c r="F728" s="12" t="str">
        <f>IF($A728&lt;&gt;"",'All Cases - Enter Cases'!E728,"")</f>
        <v/>
      </c>
      <c r="G728" s="12" t="str">
        <f>IF($A728&lt;&gt;"",'All Cases - Enter Cases'!F728,"")</f>
        <v/>
      </c>
      <c r="H728" s="4" t="str">
        <f>IF($A728&lt;&gt;"",'All Cases - Enter Cases'!G728,"")</f>
        <v/>
      </c>
      <c r="I728" t="str">
        <f>IF($A728&lt;&gt;"",'All Cases - Enter Cases'!H728,"")</f>
        <v/>
      </c>
      <c r="J728" t="str">
        <f>IF($A728&lt;&gt;"",'All Cases - Enter Cases'!I728,"")</f>
        <v/>
      </c>
      <c r="K728" t="str">
        <f>IF($A728&lt;&gt;"",'All Cases - Enter Cases'!J728,"")</f>
        <v/>
      </c>
      <c r="L728" s="4" t="str">
        <f>IF($A728&lt;&gt;"",'All Cases - Enter Cases'!K728,"")</f>
        <v/>
      </c>
      <c r="M728" t="str">
        <f>IF($A728&lt;&gt;"",'All Cases - Enter Cases'!L728,"")</f>
        <v/>
      </c>
    </row>
    <row r="729" spans="1:13" x14ac:dyDescent="0.35">
      <c r="A729" s="4" t="str">
        <f>IF('All Cases - Enter Cases'!$K729="Approved",'All Cases - Enter Cases'!A729,"")</f>
        <v/>
      </c>
      <c r="B729" s="4" t="str">
        <f>IF($N729&lt;&gt;"",$N729,IF($A729&lt;&gt;"",'All Cases - Enter Cases'!$L729+7,""))</f>
        <v/>
      </c>
      <c r="C729" t="str">
        <f>IF($A729&lt;&gt;"",'All Cases - Enter Cases'!B729,"")</f>
        <v/>
      </c>
      <c r="D729" t="str">
        <f>IF($A729&lt;&gt;"",'All Cases - Enter Cases'!C729,"")</f>
        <v/>
      </c>
      <c r="E729" t="str">
        <f>IF($A729&lt;&gt;"",'All Cases - Enter Cases'!D729,"")</f>
        <v/>
      </c>
      <c r="F729" s="12" t="str">
        <f>IF($A729&lt;&gt;"",'All Cases - Enter Cases'!E729,"")</f>
        <v/>
      </c>
      <c r="G729" s="12" t="str">
        <f>IF($A729&lt;&gt;"",'All Cases - Enter Cases'!F729,"")</f>
        <v/>
      </c>
      <c r="H729" s="4" t="str">
        <f>IF($A729&lt;&gt;"",'All Cases - Enter Cases'!G729,"")</f>
        <v/>
      </c>
      <c r="I729" t="str">
        <f>IF($A729&lt;&gt;"",'All Cases - Enter Cases'!H729,"")</f>
        <v/>
      </c>
      <c r="J729" t="str">
        <f>IF($A729&lt;&gt;"",'All Cases - Enter Cases'!I729,"")</f>
        <v/>
      </c>
      <c r="K729" t="str">
        <f>IF($A729&lt;&gt;"",'All Cases - Enter Cases'!J729,"")</f>
        <v/>
      </c>
      <c r="L729" s="4" t="str">
        <f>IF($A729&lt;&gt;"",'All Cases - Enter Cases'!K729,"")</f>
        <v/>
      </c>
      <c r="M729" t="str">
        <f>IF($A729&lt;&gt;"",'All Cases - Enter Cases'!L729,"")</f>
        <v/>
      </c>
    </row>
    <row r="730" spans="1:13" x14ac:dyDescent="0.35">
      <c r="A730" s="4" t="str">
        <f>IF('All Cases - Enter Cases'!$K730="Approved",'All Cases - Enter Cases'!A730,"")</f>
        <v/>
      </c>
      <c r="B730" s="4" t="str">
        <f>IF($N730&lt;&gt;"",$N730,IF($A730&lt;&gt;"",'All Cases - Enter Cases'!$L730+7,""))</f>
        <v/>
      </c>
      <c r="C730" t="str">
        <f>IF($A730&lt;&gt;"",'All Cases - Enter Cases'!B730,"")</f>
        <v/>
      </c>
      <c r="D730" t="str">
        <f>IF($A730&lt;&gt;"",'All Cases - Enter Cases'!C730,"")</f>
        <v/>
      </c>
      <c r="E730" t="str">
        <f>IF($A730&lt;&gt;"",'All Cases - Enter Cases'!D730,"")</f>
        <v/>
      </c>
      <c r="F730" s="12" t="str">
        <f>IF($A730&lt;&gt;"",'All Cases - Enter Cases'!E730,"")</f>
        <v/>
      </c>
      <c r="G730" s="12" t="str">
        <f>IF($A730&lt;&gt;"",'All Cases - Enter Cases'!F730,"")</f>
        <v/>
      </c>
      <c r="H730" s="4" t="str">
        <f>IF($A730&lt;&gt;"",'All Cases - Enter Cases'!G730,"")</f>
        <v/>
      </c>
      <c r="I730" t="str">
        <f>IF($A730&lt;&gt;"",'All Cases - Enter Cases'!H730,"")</f>
        <v/>
      </c>
      <c r="J730" t="str">
        <f>IF($A730&lt;&gt;"",'All Cases - Enter Cases'!I730,"")</f>
        <v/>
      </c>
      <c r="K730" t="str">
        <f>IF($A730&lt;&gt;"",'All Cases - Enter Cases'!J730,"")</f>
        <v/>
      </c>
      <c r="L730" s="4" t="str">
        <f>IF($A730&lt;&gt;"",'All Cases - Enter Cases'!K730,"")</f>
        <v/>
      </c>
      <c r="M730" t="str">
        <f>IF($A730&lt;&gt;"",'All Cases - Enter Cases'!L730,"")</f>
        <v/>
      </c>
    </row>
    <row r="731" spans="1:13" x14ac:dyDescent="0.35">
      <c r="A731" s="4" t="str">
        <f>IF('All Cases - Enter Cases'!$K731="Approved",'All Cases - Enter Cases'!A731,"")</f>
        <v/>
      </c>
      <c r="B731" s="4" t="str">
        <f>IF($N731&lt;&gt;"",$N731,IF($A731&lt;&gt;"",'All Cases - Enter Cases'!$L731+7,""))</f>
        <v/>
      </c>
      <c r="C731" t="str">
        <f>IF($A731&lt;&gt;"",'All Cases - Enter Cases'!B731,"")</f>
        <v/>
      </c>
      <c r="D731" t="str">
        <f>IF($A731&lt;&gt;"",'All Cases - Enter Cases'!C731,"")</f>
        <v/>
      </c>
      <c r="E731" t="str">
        <f>IF($A731&lt;&gt;"",'All Cases - Enter Cases'!D731,"")</f>
        <v/>
      </c>
      <c r="F731" s="12" t="str">
        <f>IF($A731&lt;&gt;"",'All Cases - Enter Cases'!E731,"")</f>
        <v/>
      </c>
      <c r="G731" s="12" t="str">
        <f>IF($A731&lt;&gt;"",'All Cases - Enter Cases'!F731,"")</f>
        <v/>
      </c>
      <c r="H731" s="4" t="str">
        <f>IF($A731&lt;&gt;"",'All Cases - Enter Cases'!G731,"")</f>
        <v/>
      </c>
      <c r="I731" t="str">
        <f>IF($A731&lt;&gt;"",'All Cases - Enter Cases'!H731,"")</f>
        <v/>
      </c>
      <c r="J731" t="str">
        <f>IF($A731&lt;&gt;"",'All Cases - Enter Cases'!I731,"")</f>
        <v/>
      </c>
      <c r="K731" t="str">
        <f>IF($A731&lt;&gt;"",'All Cases - Enter Cases'!J731,"")</f>
        <v/>
      </c>
      <c r="L731" s="4" t="str">
        <f>IF($A731&lt;&gt;"",'All Cases - Enter Cases'!K731,"")</f>
        <v/>
      </c>
      <c r="M731" t="str">
        <f>IF($A731&lt;&gt;"",'All Cases - Enter Cases'!L731,"")</f>
        <v/>
      </c>
    </row>
    <row r="732" spans="1:13" x14ac:dyDescent="0.35">
      <c r="A732" s="4" t="str">
        <f>IF('All Cases - Enter Cases'!$K732="Approved",'All Cases - Enter Cases'!A732,"")</f>
        <v/>
      </c>
      <c r="B732" s="4" t="str">
        <f>IF($N732&lt;&gt;"",$N732,IF($A732&lt;&gt;"",'All Cases - Enter Cases'!$L732+7,""))</f>
        <v/>
      </c>
      <c r="C732" t="str">
        <f>IF($A732&lt;&gt;"",'All Cases - Enter Cases'!B732,"")</f>
        <v/>
      </c>
      <c r="D732" t="str">
        <f>IF($A732&lt;&gt;"",'All Cases - Enter Cases'!C732,"")</f>
        <v/>
      </c>
      <c r="E732" t="str">
        <f>IF($A732&lt;&gt;"",'All Cases - Enter Cases'!D732,"")</f>
        <v/>
      </c>
      <c r="F732" s="12" t="str">
        <f>IF($A732&lt;&gt;"",'All Cases - Enter Cases'!E732,"")</f>
        <v/>
      </c>
      <c r="G732" s="12" t="str">
        <f>IF($A732&lt;&gt;"",'All Cases - Enter Cases'!F732,"")</f>
        <v/>
      </c>
      <c r="H732" s="4" t="str">
        <f>IF($A732&lt;&gt;"",'All Cases - Enter Cases'!G732,"")</f>
        <v/>
      </c>
      <c r="I732" t="str">
        <f>IF($A732&lt;&gt;"",'All Cases - Enter Cases'!H732,"")</f>
        <v/>
      </c>
      <c r="J732" t="str">
        <f>IF($A732&lt;&gt;"",'All Cases - Enter Cases'!I732,"")</f>
        <v/>
      </c>
      <c r="K732" t="str">
        <f>IF($A732&lt;&gt;"",'All Cases - Enter Cases'!J732,"")</f>
        <v/>
      </c>
      <c r="L732" s="4" t="str">
        <f>IF($A732&lt;&gt;"",'All Cases - Enter Cases'!K732,"")</f>
        <v/>
      </c>
      <c r="M732" t="str">
        <f>IF($A732&lt;&gt;"",'All Cases - Enter Cases'!L732,"")</f>
        <v/>
      </c>
    </row>
    <row r="733" spans="1:13" x14ac:dyDescent="0.35">
      <c r="A733" s="4" t="str">
        <f>IF('All Cases - Enter Cases'!$K733="Approved",'All Cases - Enter Cases'!A733,"")</f>
        <v/>
      </c>
      <c r="B733" s="4" t="str">
        <f>IF($N733&lt;&gt;"",$N733,IF($A733&lt;&gt;"",'All Cases - Enter Cases'!$L733+7,""))</f>
        <v/>
      </c>
      <c r="C733" t="str">
        <f>IF($A733&lt;&gt;"",'All Cases - Enter Cases'!B733,"")</f>
        <v/>
      </c>
      <c r="D733" t="str">
        <f>IF($A733&lt;&gt;"",'All Cases - Enter Cases'!C733,"")</f>
        <v/>
      </c>
      <c r="E733" t="str">
        <f>IF($A733&lt;&gt;"",'All Cases - Enter Cases'!D733,"")</f>
        <v/>
      </c>
      <c r="F733" s="12" t="str">
        <f>IF($A733&lt;&gt;"",'All Cases - Enter Cases'!E733,"")</f>
        <v/>
      </c>
      <c r="G733" s="12" t="str">
        <f>IF($A733&lt;&gt;"",'All Cases - Enter Cases'!F733,"")</f>
        <v/>
      </c>
      <c r="H733" s="4" t="str">
        <f>IF($A733&lt;&gt;"",'All Cases - Enter Cases'!G733,"")</f>
        <v/>
      </c>
      <c r="I733" t="str">
        <f>IF($A733&lt;&gt;"",'All Cases - Enter Cases'!H733,"")</f>
        <v/>
      </c>
      <c r="J733" t="str">
        <f>IF($A733&lt;&gt;"",'All Cases - Enter Cases'!I733,"")</f>
        <v/>
      </c>
      <c r="K733" t="str">
        <f>IF($A733&lt;&gt;"",'All Cases - Enter Cases'!J733,"")</f>
        <v/>
      </c>
      <c r="L733" s="4" t="str">
        <f>IF($A733&lt;&gt;"",'All Cases - Enter Cases'!K733,"")</f>
        <v/>
      </c>
      <c r="M733" t="str">
        <f>IF($A733&lt;&gt;"",'All Cases - Enter Cases'!L733,"")</f>
        <v/>
      </c>
    </row>
    <row r="734" spans="1:13" x14ac:dyDescent="0.35">
      <c r="A734" s="4" t="str">
        <f>IF('All Cases - Enter Cases'!$K734="Approved",'All Cases - Enter Cases'!A734,"")</f>
        <v/>
      </c>
      <c r="B734" s="4" t="str">
        <f>IF($N734&lt;&gt;"",$N734,IF($A734&lt;&gt;"",'All Cases - Enter Cases'!$L734+7,""))</f>
        <v/>
      </c>
      <c r="C734" t="str">
        <f>IF($A734&lt;&gt;"",'All Cases - Enter Cases'!B734,"")</f>
        <v/>
      </c>
      <c r="D734" t="str">
        <f>IF($A734&lt;&gt;"",'All Cases - Enter Cases'!C734,"")</f>
        <v/>
      </c>
      <c r="E734" t="str">
        <f>IF($A734&lt;&gt;"",'All Cases - Enter Cases'!D734,"")</f>
        <v/>
      </c>
      <c r="F734" s="12" t="str">
        <f>IF($A734&lt;&gt;"",'All Cases - Enter Cases'!E734,"")</f>
        <v/>
      </c>
      <c r="G734" s="12" t="str">
        <f>IF($A734&lt;&gt;"",'All Cases - Enter Cases'!F734,"")</f>
        <v/>
      </c>
      <c r="H734" s="4" t="str">
        <f>IF($A734&lt;&gt;"",'All Cases - Enter Cases'!G734,"")</f>
        <v/>
      </c>
      <c r="I734" t="str">
        <f>IF($A734&lt;&gt;"",'All Cases - Enter Cases'!H734,"")</f>
        <v/>
      </c>
      <c r="J734" t="str">
        <f>IF($A734&lt;&gt;"",'All Cases - Enter Cases'!I734,"")</f>
        <v/>
      </c>
      <c r="K734" t="str">
        <f>IF($A734&lt;&gt;"",'All Cases - Enter Cases'!J734,"")</f>
        <v/>
      </c>
      <c r="L734" s="4" t="str">
        <f>IF($A734&lt;&gt;"",'All Cases - Enter Cases'!K734,"")</f>
        <v/>
      </c>
      <c r="M734" t="str">
        <f>IF($A734&lt;&gt;"",'All Cases - Enter Cases'!L734,"")</f>
        <v/>
      </c>
    </row>
    <row r="735" spans="1:13" x14ac:dyDescent="0.35">
      <c r="A735" s="4" t="str">
        <f>IF('All Cases - Enter Cases'!$K735="Approved",'All Cases - Enter Cases'!A735,"")</f>
        <v/>
      </c>
      <c r="B735" s="4" t="str">
        <f>IF($N735&lt;&gt;"",$N735,IF($A735&lt;&gt;"",'All Cases - Enter Cases'!$L735+7,""))</f>
        <v/>
      </c>
      <c r="C735" t="str">
        <f>IF($A735&lt;&gt;"",'All Cases - Enter Cases'!B735,"")</f>
        <v/>
      </c>
      <c r="D735" t="str">
        <f>IF($A735&lt;&gt;"",'All Cases - Enter Cases'!C735,"")</f>
        <v/>
      </c>
      <c r="E735" t="str">
        <f>IF($A735&lt;&gt;"",'All Cases - Enter Cases'!D735,"")</f>
        <v/>
      </c>
      <c r="F735" s="12" t="str">
        <f>IF($A735&lt;&gt;"",'All Cases - Enter Cases'!E735,"")</f>
        <v/>
      </c>
      <c r="G735" s="12" t="str">
        <f>IF($A735&lt;&gt;"",'All Cases - Enter Cases'!F735,"")</f>
        <v/>
      </c>
      <c r="H735" s="4" t="str">
        <f>IF($A735&lt;&gt;"",'All Cases - Enter Cases'!G735,"")</f>
        <v/>
      </c>
      <c r="I735" t="str">
        <f>IF($A735&lt;&gt;"",'All Cases - Enter Cases'!H735,"")</f>
        <v/>
      </c>
      <c r="J735" t="str">
        <f>IF($A735&lt;&gt;"",'All Cases - Enter Cases'!I735,"")</f>
        <v/>
      </c>
      <c r="K735" t="str">
        <f>IF($A735&lt;&gt;"",'All Cases - Enter Cases'!J735,"")</f>
        <v/>
      </c>
      <c r="L735" s="4" t="str">
        <f>IF($A735&lt;&gt;"",'All Cases - Enter Cases'!K735,"")</f>
        <v/>
      </c>
      <c r="M735" t="str">
        <f>IF($A735&lt;&gt;"",'All Cases - Enter Cases'!L735,"")</f>
        <v/>
      </c>
    </row>
    <row r="736" spans="1:13" x14ac:dyDescent="0.35">
      <c r="A736" s="4" t="str">
        <f>IF('All Cases - Enter Cases'!$K736="Approved",'All Cases - Enter Cases'!A736,"")</f>
        <v/>
      </c>
      <c r="B736" s="4" t="str">
        <f>IF($N736&lt;&gt;"",$N736,IF($A736&lt;&gt;"",'All Cases - Enter Cases'!$L736+7,""))</f>
        <v/>
      </c>
      <c r="C736" t="str">
        <f>IF($A736&lt;&gt;"",'All Cases - Enter Cases'!B736,"")</f>
        <v/>
      </c>
      <c r="D736" t="str">
        <f>IF($A736&lt;&gt;"",'All Cases - Enter Cases'!C736,"")</f>
        <v/>
      </c>
      <c r="E736" t="str">
        <f>IF($A736&lt;&gt;"",'All Cases - Enter Cases'!D736,"")</f>
        <v/>
      </c>
      <c r="F736" s="12" t="str">
        <f>IF($A736&lt;&gt;"",'All Cases - Enter Cases'!E736,"")</f>
        <v/>
      </c>
      <c r="G736" s="12" t="str">
        <f>IF($A736&lt;&gt;"",'All Cases - Enter Cases'!F736,"")</f>
        <v/>
      </c>
      <c r="H736" s="4" t="str">
        <f>IF($A736&lt;&gt;"",'All Cases - Enter Cases'!G736,"")</f>
        <v/>
      </c>
      <c r="I736" t="str">
        <f>IF($A736&lt;&gt;"",'All Cases - Enter Cases'!H736,"")</f>
        <v/>
      </c>
      <c r="J736" t="str">
        <f>IF($A736&lt;&gt;"",'All Cases - Enter Cases'!I736,"")</f>
        <v/>
      </c>
      <c r="K736" t="str">
        <f>IF($A736&lt;&gt;"",'All Cases - Enter Cases'!J736,"")</f>
        <v/>
      </c>
      <c r="L736" s="4" t="str">
        <f>IF($A736&lt;&gt;"",'All Cases - Enter Cases'!K736,"")</f>
        <v/>
      </c>
      <c r="M736" t="str">
        <f>IF($A736&lt;&gt;"",'All Cases - Enter Cases'!L736,"")</f>
        <v/>
      </c>
    </row>
    <row r="737" spans="1:13" x14ac:dyDescent="0.35">
      <c r="A737" s="4" t="str">
        <f>IF('All Cases - Enter Cases'!$K737="Approved",'All Cases - Enter Cases'!A737,"")</f>
        <v/>
      </c>
      <c r="B737" s="4" t="str">
        <f>IF($N737&lt;&gt;"",$N737,IF($A737&lt;&gt;"",'All Cases - Enter Cases'!$L737+7,""))</f>
        <v/>
      </c>
      <c r="C737" t="str">
        <f>IF($A737&lt;&gt;"",'All Cases - Enter Cases'!B737,"")</f>
        <v/>
      </c>
      <c r="D737" t="str">
        <f>IF($A737&lt;&gt;"",'All Cases - Enter Cases'!C737,"")</f>
        <v/>
      </c>
      <c r="E737" t="str">
        <f>IF($A737&lt;&gt;"",'All Cases - Enter Cases'!D737,"")</f>
        <v/>
      </c>
      <c r="F737" s="12" t="str">
        <f>IF($A737&lt;&gt;"",'All Cases - Enter Cases'!E737,"")</f>
        <v/>
      </c>
      <c r="G737" s="12" t="str">
        <f>IF($A737&lt;&gt;"",'All Cases - Enter Cases'!F737,"")</f>
        <v/>
      </c>
      <c r="H737" s="4" t="str">
        <f>IF($A737&lt;&gt;"",'All Cases - Enter Cases'!G737,"")</f>
        <v/>
      </c>
      <c r="I737" t="str">
        <f>IF($A737&lt;&gt;"",'All Cases - Enter Cases'!H737,"")</f>
        <v/>
      </c>
      <c r="J737" t="str">
        <f>IF($A737&lt;&gt;"",'All Cases - Enter Cases'!I737,"")</f>
        <v/>
      </c>
      <c r="K737" t="str">
        <f>IF($A737&lt;&gt;"",'All Cases - Enter Cases'!J737,"")</f>
        <v/>
      </c>
      <c r="L737" s="4" t="str">
        <f>IF($A737&lt;&gt;"",'All Cases - Enter Cases'!K737,"")</f>
        <v/>
      </c>
      <c r="M737" t="str">
        <f>IF($A737&lt;&gt;"",'All Cases - Enter Cases'!L737,"")</f>
        <v/>
      </c>
    </row>
    <row r="738" spans="1:13" x14ac:dyDescent="0.35">
      <c r="A738" s="4" t="str">
        <f>IF('All Cases - Enter Cases'!$K738="Approved",'All Cases - Enter Cases'!A738,"")</f>
        <v/>
      </c>
      <c r="B738" s="4" t="str">
        <f>IF($N738&lt;&gt;"",$N738,IF($A738&lt;&gt;"",'All Cases - Enter Cases'!$L738+7,""))</f>
        <v/>
      </c>
      <c r="C738" t="str">
        <f>IF($A738&lt;&gt;"",'All Cases - Enter Cases'!B738,"")</f>
        <v/>
      </c>
      <c r="D738" t="str">
        <f>IF($A738&lt;&gt;"",'All Cases - Enter Cases'!C738,"")</f>
        <v/>
      </c>
      <c r="E738" t="str">
        <f>IF($A738&lt;&gt;"",'All Cases - Enter Cases'!D738,"")</f>
        <v/>
      </c>
      <c r="F738" s="12" t="str">
        <f>IF($A738&lt;&gt;"",'All Cases - Enter Cases'!E738,"")</f>
        <v/>
      </c>
      <c r="G738" s="12" t="str">
        <f>IF($A738&lt;&gt;"",'All Cases - Enter Cases'!F738,"")</f>
        <v/>
      </c>
      <c r="H738" s="4" t="str">
        <f>IF($A738&lt;&gt;"",'All Cases - Enter Cases'!G738,"")</f>
        <v/>
      </c>
      <c r="I738" t="str">
        <f>IF($A738&lt;&gt;"",'All Cases - Enter Cases'!H738,"")</f>
        <v/>
      </c>
      <c r="J738" t="str">
        <f>IF($A738&lt;&gt;"",'All Cases - Enter Cases'!I738,"")</f>
        <v/>
      </c>
      <c r="K738" t="str">
        <f>IF($A738&lt;&gt;"",'All Cases - Enter Cases'!J738,"")</f>
        <v/>
      </c>
      <c r="L738" s="4" t="str">
        <f>IF($A738&lt;&gt;"",'All Cases - Enter Cases'!K738,"")</f>
        <v/>
      </c>
      <c r="M738" t="str">
        <f>IF($A738&lt;&gt;"",'All Cases - Enter Cases'!L738,"")</f>
        <v/>
      </c>
    </row>
    <row r="739" spans="1:13" x14ac:dyDescent="0.35">
      <c r="A739" s="4" t="str">
        <f>IF('All Cases - Enter Cases'!$K739="Approved",'All Cases - Enter Cases'!A739,"")</f>
        <v/>
      </c>
      <c r="B739" s="4" t="str">
        <f>IF($N739&lt;&gt;"",$N739,IF($A739&lt;&gt;"",'All Cases - Enter Cases'!$L739+7,""))</f>
        <v/>
      </c>
      <c r="C739" t="str">
        <f>IF($A739&lt;&gt;"",'All Cases - Enter Cases'!B739,"")</f>
        <v/>
      </c>
      <c r="D739" t="str">
        <f>IF($A739&lt;&gt;"",'All Cases - Enter Cases'!C739,"")</f>
        <v/>
      </c>
      <c r="E739" t="str">
        <f>IF($A739&lt;&gt;"",'All Cases - Enter Cases'!D739,"")</f>
        <v/>
      </c>
      <c r="F739" s="12" t="str">
        <f>IF($A739&lt;&gt;"",'All Cases - Enter Cases'!E739,"")</f>
        <v/>
      </c>
      <c r="G739" s="12" t="str">
        <f>IF($A739&lt;&gt;"",'All Cases - Enter Cases'!F739,"")</f>
        <v/>
      </c>
      <c r="H739" s="4" t="str">
        <f>IF($A739&lt;&gt;"",'All Cases - Enter Cases'!G739,"")</f>
        <v/>
      </c>
      <c r="I739" t="str">
        <f>IF($A739&lt;&gt;"",'All Cases - Enter Cases'!H739,"")</f>
        <v/>
      </c>
      <c r="J739" t="str">
        <f>IF($A739&lt;&gt;"",'All Cases - Enter Cases'!I739,"")</f>
        <v/>
      </c>
      <c r="K739" t="str">
        <f>IF($A739&lt;&gt;"",'All Cases - Enter Cases'!J739,"")</f>
        <v/>
      </c>
      <c r="L739" s="4" t="str">
        <f>IF($A739&lt;&gt;"",'All Cases - Enter Cases'!K739,"")</f>
        <v/>
      </c>
      <c r="M739" t="str">
        <f>IF($A739&lt;&gt;"",'All Cases - Enter Cases'!L739,"")</f>
        <v/>
      </c>
    </row>
    <row r="740" spans="1:13" x14ac:dyDescent="0.35">
      <c r="A740" s="4" t="str">
        <f>IF('All Cases - Enter Cases'!$K740="Approved",'All Cases - Enter Cases'!A740,"")</f>
        <v/>
      </c>
      <c r="B740" s="4" t="str">
        <f>IF($N740&lt;&gt;"",$N740,IF($A740&lt;&gt;"",'All Cases - Enter Cases'!$L740+7,""))</f>
        <v/>
      </c>
      <c r="C740" t="str">
        <f>IF($A740&lt;&gt;"",'All Cases - Enter Cases'!B740,"")</f>
        <v/>
      </c>
      <c r="D740" t="str">
        <f>IF($A740&lt;&gt;"",'All Cases - Enter Cases'!C740,"")</f>
        <v/>
      </c>
      <c r="E740" t="str">
        <f>IF($A740&lt;&gt;"",'All Cases - Enter Cases'!D740,"")</f>
        <v/>
      </c>
      <c r="F740" s="12" t="str">
        <f>IF($A740&lt;&gt;"",'All Cases - Enter Cases'!E740,"")</f>
        <v/>
      </c>
      <c r="G740" s="12" t="str">
        <f>IF($A740&lt;&gt;"",'All Cases - Enter Cases'!F740,"")</f>
        <v/>
      </c>
      <c r="H740" s="4" t="str">
        <f>IF($A740&lt;&gt;"",'All Cases - Enter Cases'!G740,"")</f>
        <v/>
      </c>
      <c r="I740" t="str">
        <f>IF($A740&lt;&gt;"",'All Cases - Enter Cases'!H740,"")</f>
        <v/>
      </c>
      <c r="J740" t="str">
        <f>IF($A740&lt;&gt;"",'All Cases - Enter Cases'!I740,"")</f>
        <v/>
      </c>
      <c r="K740" t="str">
        <f>IF($A740&lt;&gt;"",'All Cases - Enter Cases'!J740,"")</f>
        <v/>
      </c>
      <c r="L740" s="4" t="str">
        <f>IF($A740&lt;&gt;"",'All Cases - Enter Cases'!K740,"")</f>
        <v/>
      </c>
      <c r="M740" t="str">
        <f>IF($A740&lt;&gt;"",'All Cases - Enter Cases'!L740,"")</f>
        <v/>
      </c>
    </row>
    <row r="741" spans="1:13" x14ac:dyDescent="0.35">
      <c r="A741" s="4" t="str">
        <f>IF('All Cases - Enter Cases'!$K741="Approved",'All Cases - Enter Cases'!A741,"")</f>
        <v/>
      </c>
      <c r="B741" s="4" t="str">
        <f>IF($N741&lt;&gt;"",$N741,IF($A741&lt;&gt;"",'All Cases - Enter Cases'!$L741+7,""))</f>
        <v/>
      </c>
      <c r="C741" t="str">
        <f>IF($A741&lt;&gt;"",'All Cases - Enter Cases'!B741,"")</f>
        <v/>
      </c>
      <c r="D741" t="str">
        <f>IF($A741&lt;&gt;"",'All Cases - Enter Cases'!C741,"")</f>
        <v/>
      </c>
      <c r="E741" t="str">
        <f>IF($A741&lt;&gt;"",'All Cases - Enter Cases'!D741,"")</f>
        <v/>
      </c>
      <c r="F741" s="12" t="str">
        <f>IF($A741&lt;&gt;"",'All Cases - Enter Cases'!E741,"")</f>
        <v/>
      </c>
      <c r="G741" s="12" t="str">
        <f>IF($A741&lt;&gt;"",'All Cases - Enter Cases'!F741,"")</f>
        <v/>
      </c>
      <c r="H741" s="4" t="str">
        <f>IF($A741&lt;&gt;"",'All Cases - Enter Cases'!G741,"")</f>
        <v/>
      </c>
      <c r="I741" t="str">
        <f>IF($A741&lt;&gt;"",'All Cases - Enter Cases'!H741,"")</f>
        <v/>
      </c>
      <c r="J741" t="str">
        <f>IF($A741&lt;&gt;"",'All Cases - Enter Cases'!I741,"")</f>
        <v/>
      </c>
      <c r="K741" t="str">
        <f>IF($A741&lt;&gt;"",'All Cases - Enter Cases'!J741,"")</f>
        <v/>
      </c>
      <c r="L741" s="4" t="str">
        <f>IF($A741&lt;&gt;"",'All Cases - Enter Cases'!K741,"")</f>
        <v/>
      </c>
      <c r="M741" t="str">
        <f>IF($A741&lt;&gt;"",'All Cases - Enter Cases'!L741,"")</f>
        <v/>
      </c>
    </row>
    <row r="742" spans="1:13" x14ac:dyDescent="0.35">
      <c r="A742" s="4" t="str">
        <f>IF('All Cases - Enter Cases'!$K742="Approved",'All Cases - Enter Cases'!A742,"")</f>
        <v/>
      </c>
      <c r="B742" s="4" t="str">
        <f>IF($N742&lt;&gt;"",$N742,IF($A742&lt;&gt;"",'All Cases - Enter Cases'!$L742+7,""))</f>
        <v/>
      </c>
      <c r="C742" t="str">
        <f>IF($A742&lt;&gt;"",'All Cases - Enter Cases'!B742,"")</f>
        <v/>
      </c>
      <c r="D742" t="str">
        <f>IF($A742&lt;&gt;"",'All Cases - Enter Cases'!C742,"")</f>
        <v/>
      </c>
      <c r="E742" t="str">
        <f>IF($A742&lt;&gt;"",'All Cases - Enter Cases'!D742,"")</f>
        <v/>
      </c>
      <c r="F742" s="12" t="str">
        <f>IF($A742&lt;&gt;"",'All Cases - Enter Cases'!E742,"")</f>
        <v/>
      </c>
      <c r="G742" s="12" t="str">
        <f>IF($A742&lt;&gt;"",'All Cases - Enter Cases'!F742,"")</f>
        <v/>
      </c>
      <c r="H742" s="4" t="str">
        <f>IF($A742&lt;&gt;"",'All Cases - Enter Cases'!G742,"")</f>
        <v/>
      </c>
      <c r="I742" t="str">
        <f>IF($A742&lt;&gt;"",'All Cases - Enter Cases'!H742,"")</f>
        <v/>
      </c>
      <c r="J742" t="str">
        <f>IF($A742&lt;&gt;"",'All Cases - Enter Cases'!I742,"")</f>
        <v/>
      </c>
      <c r="K742" t="str">
        <f>IF($A742&lt;&gt;"",'All Cases - Enter Cases'!J742,"")</f>
        <v/>
      </c>
      <c r="L742" s="4" t="str">
        <f>IF($A742&lt;&gt;"",'All Cases - Enter Cases'!K742,"")</f>
        <v/>
      </c>
      <c r="M742" t="str">
        <f>IF($A742&lt;&gt;"",'All Cases - Enter Cases'!L742,"")</f>
        <v/>
      </c>
    </row>
    <row r="743" spans="1:13" x14ac:dyDescent="0.35">
      <c r="A743" s="4" t="str">
        <f>IF('All Cases - Enter Cases'!$K743="Approved",'All Cases - Enter Cases'!A743,"")</f>
        <v/>
      </c>
      <c r="B743" s="4" t="str">
        <f>IF($N743&lt;&gt;"",$N743,IF($A743&lt;&gt;"",'All Cases - Enter Cases'!$L743+7,""))</f>
        <v/>
      </c>
      <c r="C743" t="str">
        <f>IF($A743&lt;&gt;"",'All Cases - Enter Cases'!B743,"")</f>
        <v/>
      </c>
      <c r="D743" t="str">
        <f>IF($A743&lt;&gt;"",'All Cases - Enter Cases'!C743,"")</f>
        <v/>
      </c>
      <c r="E743" t="str">
        <f>IF($A743&lt;&gt;"",'All Cases - Enter Cases'!D743,"")</f>
        <v/>
      </c>
      <c r="F743" s="12" t="str">
        <f>IF($A743&lt;&gt;"",'All Cases - Enter Cases'!E743,"")</f>
        <v/>
      </c>
      <c r="G743" s="12" t="str">
        <f>IF($A743&lt;&gt;"",'All Cases - Enter Cases'!F743,"")</f>
        <v/>
      </c>
      <c r="H743" s="4" t="str">
        <f>IF($A743&lt;&gt;"",'All Cases - Enter Cases'!G743,"")</f>
        <v/>
      </c>
      <c r="I743" t="str">
        <f>IF($A743&lt;&gt;"",'All Cases - Enter Cases'!H743,"")</f>
        <v/>
      </c>
      <c r="J743" t="str">
        <f>IF($A743&lt;&gt;"",'All Cases - Enter Cases'!I743,"")</f>
        <v/>
      </c>
      <c r="K743" t="str">
        <f>IF($A743&lt;&gt;"",'All Cases - Enter Cases'!J743,"")</f>
        <v/>
      </c>
      <c r="L743" s="4" t="str">
        <f>IF($A743&lt;&gt;"",'All Cases - Enter Cases'!K743,"")</f>
        <v/>
      </c>
      <c r="M743" t="str">
        <f>IF($A743&lt;&gt;"",'All Cases - Enter Cases'!L743,"")</f>
        <v/>
      </c>
    </row>
    <row r="744" spans="1:13" x14ac:dyDescent="0.35">
      <c r="A744" s="4" t="str">
        <f>IF('All Cases - Enter Cases'!$K744="Approved",'All Cases - Enter Cases'!A744,"")</f>
        <v/>
      </c>
      <c r="B744" s="4" t="str">
        <f>IF($N744&lt;&gt;"",$N744,IF($A744&lt;&gt;"",'All Cases - Enter Cases'!$L744+7,""))</f>
        <v/>
      </c>
      <c r="C744" t="str">
        <f>IF($A744&lt;&gt;"",'All Cases - Enter Cases'!B744,"")</f>
        <v/>
      </c>
      <c r="D744" t="str">
        <f>IF($A744&lt;&gt;"",'All Cases - Enter Cases'!C744,"")</f>
        <v/>
      </c>
      <c r="E744" t="str">
        <f>IF($A744&lt;&gt;"",'All Cases - Enter Cases'!D744,"")</f>
        <v/>
      </c>
      <c r="F744" s="12" t="str">
        <f>IF($A744&lt;&gt;"",'All Cases - Enter Cases'!E744,"")</f>
        <v/>
      </c>
      <c r="G744" s="12" t="str">
        <f>IF($A744&lt;&gt;"",'All Cases - Enter Cases'!F744,"")</f>
        <v/>
      </c>
      <c r="H744" s="4" t="str">
        <f>IF($A744&lt;&gt;"",'All Cases - Enter Cases'!G744,"")</f>
        <v/>
      </c>
      <c r="I744" t="str">
        <f>IF($A744&lt;&gt;"",'All Cases - Enter Cases'!H744,"")</f>
        <v/>
      </c>
      <c r="J744" t="str">
        <f>IF($A744&lt;&gt;"",'All Cases - Enter Cases'!I744,"")</f>
        <v/>
      </c>
      <c r="K744" t="str">
        <f>IF($A744&lt;&gt;"",'All Cases - Enter Cases'!J744,"")</f>
        <v/>
      </c>
      <c r="L744" s="4" t="str">
        <f>IF($A744&lt;&gt;"",'All Cases - Enter Cases'!K744,"")</f>
        <v/>
      </c>
      <c r="M744" t="str">
        <f>IF($A744&lt;&gt;"",'All Cases - Enter Cases'!L744,"")</f>
        <v/>
      </c>
    </row>
    <row r="745" spans="1:13" x14ac:dyDescent="0.35">
      <c r="A745" s="4" t="str">
        <f>IF('All Cases - Enter Cases'!$K745="Approved",'All Cases - Enter Cases'!A745,"")</f>
        <v/>
      </c>
      <c r="B745" s="4" t="str">
        <f>IF($N745&lt;&gt;"",$N745,IF($A745&lt;&gt;"",'All Cases - Enter Cases'!$L745+7,""))</f>
        <v/>
      </c>
      <c r="C745" t="str">
        <f>IF($A745&lt;&gt;"",'All Cases - Enter Cases'!B745,"")</f>
        <v/>
      </c>
      <c r="D745" t="str">
        <f>IF($A745&lt;&gt;"",'All Cases - Enter Cases'!C745,"")</f>
        <v/>
      </c>
      <c r="E745" t="str">
        <f>IF($A745&lt;&gt;"",'All Cases - Enter Cases'!D745,"")</f>
        <v/>
      </c>
      <c r="F745" s="12" t="str">
        <f>IF($A745&lt;&gt;"",'All Cases - Enter Cases'!E745,"")</f>
        <v/>
      </c>
      <c r="G745" s="12" t="str">
        <f>IF($A745&lt;&gt;"",'All Cases - Enter Cases'!F745,"")</f>
        <v/>
      </c>
      <c r="H745" s="4" t="str">
        <f>IF($A745&lt;&gt;"",'All Cases - Enter Cases'!G745,"")</f>
        <v/>
      </c>
      <c r="I745" t="str">
        <f>IF($A745&lt;&gt;"",'All Cases - Enter Cases'!H745,"")</f>
        <v/>
      </c>
      <c r="J745" t="str">
        <f>IF($A745&lt;&gt;"",'All Cases - Enter Cases'!I745,"")</f>
        <v/>
      </c>
      <c r="K745" t="str">
        <f>IF($A745&lt;&gt;"",'All Cases - Enter Cases'!J745,"")</f>
        <v/>
      </c>
      <c r="L745" s="4" t="str">
        <f>IF($A745&lt;&gt;"",'All Cases - Enter Cases'!K745,"")</f>
        <v/>
      </c>
      <c r="M745" t="str">
        <f>IF($A745&lt;&gt;"",'All Cases - Enter Cases'!L745,"")</f>
        <v/>
      </c>
    </row>
    <row r="746" spans="1:13" x14ac:dyDescent="0.35">
      <c r="A746" s="4" t="str">
        <f>IF('All Cases - Enter Cases'!$K746="Approved",'All Cases - Enter Cases'!A746,"")</f>
        <v/>
      </c>
      <c r="B746" s="4" t="str">
        <f>IF($N746&lt;&gt;"",$N746,IF($A746&lt;&gt;"",'All Cases - Enter Cases'!$L746+7,""))</f>
        <v/>
      </c>
      <c r="C746" t="str">
        <f>IF($A746&lt;&gt;"",'All Cases - Enter Cases'!B746,"")</f>
        <v/>
      </c>
      <c r="D746" t="str">
        <f>IF($A746&lt;&gt;"",'All Cases - Enter Cases'!C746,"")</f>
        <v/>
      </c>
      <c r="E746" t="str">
        <f>IF($A746&lt;&gt;"",'All Cases - Enter Cases'!D746,"")</f>
        <v/>
      </c>
      <c r="F746" s="12" t="str">
        <f>IF($A746&lt;&gt;"",'All Cases - Enter Cases'!E746,"")</f>
        <v/>
      </c>
      <c r="G746" s="12" t="str">
        <f>IF($A746&lt;&gt;"",'All Cases - Enter Cases'!F746,"")</f>
        <v/>
      </c>
      <c r="H746" s="4" t="str">
        <f>IF($A746&lt;&gt;"",'All Cases - Enter Cases'!G746,"")</f>
        <v/>
      </c>
      <c r="I746" t="str">
        <f>IF($A746&lt;&gt;"",'All Cases - Enter Cases'!H746,"")</f>
        <v/>
      </c>
      <c r="J746" t="str">
        <f>IF($A746&lt;&gt;"",'All Cases - Enter Cases'!I746,"")</f>
        <v/>
      </c>
      <c r="K746" t="str">
        <f>IF($A746&lt;&gt;"",'All Cases - Enter Cases'!J746,"")</f>
        <v/>
      </c>
      <c r="L746" s="4" t="str">
        <f>IF($A746&lt;&gt;"",'All Cases - Enter Cases'!K746,"")</f>
        <v/>
      </c>
      <c r="M746" t="str">
        <f>IF($A746&lt;&gt;"",'All Cases - Enter Cases'!L746,"")</f>
        <v/>
      </c>
    </row>
    <row r="747" spans="1:13" x14ac:dyDescent="0.35">
      <c r="A747" s="4" t="str">
        <f>IF('All Cases - Enter Cases'!$K747="Approved",'All Cases - Enter Cases'!A747,"")</f>
        <v/>
      </c>
      <c r="B747" s="4" t="str">
        <f>IF($N747&lt;&gt;"",$N747,IF($A747&lt;&gt;"",'All Cases - Enter Cases'!$L747+7,""))</f>
        <v/>
      </c>
      <c r="C747" t="str">
        <f>IF($A747&lt;&gt;"",'All Cases - Enter Cases'!B747,"")</f>
        <v/>
      </c>
      <c r="D747" t="str">
        <f>IF($A747&lt;&gt;"",'All Cases - Enter Cases'!C747,"")</f>
        <v/>
      </c>
      <c r="E747" t="str">
        <f>IF($A747&lt;&gt;"",'All Cases - Enter Cases'!D747,"")</f>
        <v/>
      </c>
      <c r="F747" s="12" t="str">
        <f>IF($A747&lt;&gt;"",'All Cases - Enter Cases'!E747,"")</f>
        <v/>
      </c>
      <c r="G747" s="12" t="str">
        <f>IF($A747&lt;&gt;"",'All Cases - Enter Cases'!F747,"")</f>
        <v/>
      </c>
      <c r="H747" s="4" t="str">
        <f>IF($A747&lt;&gt;"",'All Cases - Enter Cases'!G747,"")</f>
        <v/>
      </c>
      <c r="I747" t="str">
        <f>IF($A747&lt;&gt;"",'All Cases - Enter Cases'!H747,"")</f>
        <v/>
      </c>
      <c r="J747" t="str">
        <f>IF($A747&lt;&gt;"",'All Cases - Enter Cases'!I747,"")</f>
        <v/>
      </c>
      <c r="K747" t="str">
        <f>IF($A747&lt;&gt;"",'All Cases - Enter Cases'!J747,"")</f>
        <v/>
      </c>
      <c r="L747" s="4" t="str">
        <f>IF($A747&lt;&gt;"",'All Cases - Enter Cases'!K747,"")</f>
        <v/>
      </c>
      <c r="M747" t="str">
        <f>IF($A747&lt;&gt;"",'All Cases - Enter Cases'!L747,"")</f>
        <v/>
      </c>
    </row>
    <row r="748" spans="1:13" x14ac:dyDescent="0.35">
      <c r="A748" s="4" t="str">
        <f>IF('All Cases - Enter Cases'!$K748="Approved",'All Cases - Enter Cases'!A748,"")</f>
        <v/>
      </c>
      <c r="B748" s="4" t="str">
        <f>IF($N748&lt;&gt;"",$N748,IF($A748&lt;&gt;"",'All Cases - Enter Cases'!$L748+7,""))</f>
        <v/>
      </c>
      <c r="C748" t="str">
        <f>IF($A748&lt;&gt;"",'All Cases - Enter Cases'!B748,"")</f>
        <v/>
      </c>
      <c r="D748" t="str">
        <f>IF($A748&lt;&gt;"",'All Cases - Enter Cases'!C748,"")</f>
        <v/>
      </c>
      <c r="E748" t="str">
        <f>IF($A748&lt;&gt;"",'All Cases - Enter Cases'!D748,"")</f>
        <v/>
      </c>
      <c r="F748" s="12" t="str">
        <f>IF($A748&lt;&gt;"",'All Cases - Enter Cases'!E748,"")</f>
        <v/>
      </c>
      <c r="G748" s="12" t="str">
        <f>IF($A748&lt;&gt;"",'All Cases - Enter Cases'!F748,"")</f>
        <v/>
      </c>
      <c r="H748" s="4" t="str">
        <f>IF($A748&lt;&gt;"",'All Cases - Enter Cases'!G748,"")</f>
        <v/>
      </c>
      <c r="I748" t="str">
        <f>IF($A748&lt;&gt;"",'All Cases - Enter Cases'!H748,"")</f>
        <v/>
      </c>
      <c r="J748" t="str">
        <f>IF($A748&lt;&gt;"",'All Cases - Enter Cases'!I748,"")</f>
        <v/>
      </c>
      <c r="K748" t="str">
        <f>IF($A748&lt;&gt;"",'All Cases - Enter Cases'!J748,"")</f>
        <v/>
      </c>
      <c r="L748" s="4" t="str">
        <f>IF($A748&lt;&gt;"",'All Cases - Enter Cases'!K748,"")</f>
        <v/>
      </c>
      <c r="M748" t="str">
        <f>IF($A748&lt;&gt;"",'All Cases - Enter Cases'!L748,"")</f>
        <v/>
      </c>
    </row>
    <row r="749" spans="1:13" x14ac:dyDescent="0.35">
      <c r="A749" s="4" t="str">
        <f>IF('All Cases - Enter Cases'!$K749="Approved",'All Cases - Enter Cases'!A749,"")</f>
        <v/>
      </c>
      <c r="B749" s="4" t="str">
        <f>IF($N749&lt;&gt;"",$N749,IF($A749&lt;&gt;"",'All Cases - Enter Cases'!$L749+7,""))</f>
        <v/>
      </c>
      <c r="C749" t="str">
        <f>IF($A749&lt;&gt;"",'All Cases - Enter Cases'!B749,"")</f>
        <v/>
      </c>
      <c r="D749" t="str">
        <f>IF($A749&lt;&gt;"",'All Cases - Enter Cases'!C749,"")</f>
        <v/>
      </c>
      <c r="E749" t="str">
        <f>IF($A749&lt;&gt;"",'All Cases - Enter Cases'!D749,"")</f>
        <v/>
      </c>
      <c r="F749" s="12" t="str">
        <f>IF($A749&lt;&gt;"",'All Cases - Enter Cases'!E749,"")</f>
        <v/>
      </c>
      <c r="G749" s="12" t="str">
        <f>IF($A749&lt;&gt;"",'All Cases - Enter Cases'!F749,"")</f>
        <v/>
      </c>
      <c r="H749" s="4" t="str">
        <f>IF($A749&lt;&gt;"",'All Cases - Enter Cases'!G749,"")</f>
        <v/>
      </c>
      <c r="I749" t="str">
        <f>IF($A749&lt;&gt;"",'All Cases - Enter Cases'!H749,"")</f>
        <v/>
      </c>
      <c r="J749" t="str">
        <f>IF($A749&lt;&gt;"",'All Cases - Enter Cases'!I749,"")</f>
        <v/>
      </c>
      <c r="K749" t="str">
        <f>IF($A749&lt;&gt;"",'All Cases - Enter Cases'!J749,"")</f>
        <v/>
      </c>
      <c r="L749" s="4" t="str">
        <f>IF($A749&lt;&gt;"",'All Cases - Enter Cases'!K749,"")</f>
        <v/>
      </c>
      <c r="M749" t="str">
        <f>IF($A749&lt;&gt;"",'All Cases - Enter Cases'!L749,"")</f>
        <v/>
      </c>
    </row>
    <row r="750" spans="1:13" x14ac:dyDescent="0.35">
      <c r="A750" s="4" t="str">
        <f>IF('All Cases - Enter Cases'!$K750="Approved",'All Cases - Enter Cases'!A750,"")</f>
        <v/>
      </c>
      <c r="B750" s="4" t="str">
        <f>IF($N750&lt;&gt;"",$N750,IF($A750&lt;&gt;"",'All Cases - Enter Cases'!$L750+7,""))</f>
        <v/>
      </c>
      <c r="C750" t="str">
        <f>IF($A750&lt;&gt;"",'All Cases - Enter Cases'!B750,"")</f>
        <v/>
      </c>
      <c r="D750" t="str">
        <f>IF($A750&lt;&gt;"",'All Cases - Enter Cases'!C750,"")</f>
        <v/>
      </c>
      <c r="E750" t="str">
        <f>IF($A750&lt;&gt;"",'All Cases - Enter Cases'!D750,"")</f>
        <v/>
      </c>
      <c r="F750" s="12" t="str">
        <f>IF($A750&lt;&gt;"",'All Cases - Enter Cases'!E750,"")</f>
        <v/>
      </c>
      <c r="G750" s="12" t="str">
        <f>IF($A750&lt;&gt;"",'All Cases - Enter Cases'!F750,"")</f>
        <v/>
      </c>
      <c r="H750" s="4" t="str">
        <f>IF($A750&lt;&gt;"",'All Cases - Enter Cases'!G750,"")</f>
        <v/>
      </c>
      <c r="I750" t="str">
        <f>IF($A750&lt;&gt;"",'All Cases - Enter Cases'!H750,"")</f>
        <v/>
      </c>
      <c r="J750" t="str">
        <f>IF($A750&lt;&gt;"",'All Cases - Enter Cases'!I750,"")</f>
        <v/>
      </c>
      <c r="K750" t="str">
        <f>IF($A750&lt;&gt;"",'All Cases - Enter Cases'!J750,"")</f>
        <v/>
      </c>
      <c r="L750" s="4" t="str">
        <f>IF($A750&lt;&gt;"",'All Cases - Enter Cases'!K750,"")</f>
        <v/>
      </c>
      <c r="M750" t="str">
        <f>IF($A750&lt;&gt;"",'All Cases - Enter Cases'!L750,"")</f>
        <v/>
      </c>
    </row>
    <row r="751" spans="1:13" x14ac:dyDescent="0.35">
      <c r="A751" s="4" t="str">
        <f>IF('All Cases - Enter Cases'!$K751="Approved",'All Cases - Enter Cases'!A751,"")</f>
        <v/>
      </c>
      <c r="B751" s="4" t="str">
        <f>IF($N751&lt;&gt;"",$N751,IF($A751&lt;&gt;"",'All Cases - Enter Cases'!$L751+7,""))</f>
        <v/>
      </c>
      <c r="C751" t="str">
        <f>IF($A751&lt;&gt;"",'All Cases - Enter Cases'!B751,"")</f>
        <v/>
      </c>
      <c r="D751" t="str">
        <f>IF($A751&lt;&gt;"",'All Cases - Enter Cases'!C751,"")</f>
        <v/>
      </c>
      <c r="E751" t="str">
        <f>IF($A751&lt;&gt;"",'All Cases - Enter Cases'!D751,"")</f>
        <v/>
      </c>
      <c r="F751" s="12" t="str">
        <f>IF($A751&lt;&gt;"",'All Cases - Enter Cases'!E751,"")</f>
        <v/>
      </c>
      <c r="G751" s="12" t="str">
        <f>IF($A751&lt;&gt;"",'All Cases - Enter Cases'!F751,"")</f>
        <v/>
      </c>
      <c r="H751" s="4" t="str">
        <f>IF($A751&lt;&gt;"",'All Cases - Enter Cases'!G751,"")</f>
        <v/>
      </c>
      <c r="I751" t="str">
        <f>IF($A751&lt;&gt;"",'All Cases - Enter Cases'!H751,"")</f>
        <v/>
      </c>
      <c r="J751" t="str">
        <f>IF($A751&lt;&gt;"",'All Cases - Enter Cases'!I751,"")</f>
        <v/>
      </c>
      <c r="K751" t="str">
        <f>IF($A751&lt;&gt;"",'All Cases - Enter Cases'!J751,"")</f>
        <v/>
      </c>
      <c r="L751" s="4" t="str">
        <f>IF($A751&lt;&gt;"",'All Cases - Enter Cases'!K751,"")</f>
        <v/>
      </c>
      <c r="M751" t="str">
        <f>IF($A751&lt;&gt;"",'All Cases - Enter Cases'!L751,"")</f>
        <v/>
      </c>
    </row>
    <row r="752" spans="1:13" x14ac:dyDescent="0.35">
      <c r="A752" s="4" t="str">
        <f>IF('All Cases - Enter Cases'!$K752="Approved",'All Cases - Enter Cases'!A752,"")</f>
        <v/>
      </c>
      <c r="B752" s="4" t="str">
        <f>IF($N752&lt;&gt;"",$N752,IF($A752&lt;&gt;"",'All Cases - Enter Cases'!$L752+7,""))</f>
        <v/>
      </c>
      <c r="C752" t="str">
        <f>IF($A752&lt;&gt;"",'All Cases - Enter Cases'!B752,"")</f>
        <v/>
      </c>
      <c r="D752" t="str">
        <f>IF($A752&lt;&gt;"",'All Cases - Enter Cases'!C752,"")</f>
        <v/>
      </c>
      <c r="E752" t="str">
        <f>IF($A752&lt;&gt;"",'All Cases - Enter Cases'!D752,"")</f>
        <v/>
      </c>
      <c r="F752" s="12" t="str">
        <f>IF($A752&lt;&gt;"",'All Cases - Enter Cases'!E752,"")</f>
        <v/>
      </c>
      <c r="G752" s="12" t="str">
        <f>IF($A752&lt;&gt;"",'All Cases - Enter Cases'!F752,"")</f>
        <v/>
      </c>
      <c r="H752" s="4" t="str">
        <f>IF($A752&lt;&gt;"",'All Cases - Enter Cases'!G752,"")</f>
        <v/>
      </c>
      <c r="I752" t="str">
        <f>IF($A752&lt;&gt;"",'All Cases - Enter Cases'!H752,"")</f>
        <v/>
      </c>
      <c r="J752" t="str">
        <f>IF($A752&lt;&gt;"",'All Cases - Enter Cases'!I752,"")</f>
        <v/>
      </c>
      <c r="K752" t="str">
        <f>IF($A752&lt;&gt;"",'All Cases - Enter Cases'!J752,"")</f>
        <v/>
      </c>
      <c r="L752" s="4" t="str">
        <f>IF($A752&lt;&gt;"",'All Cases - Enter Cases'!K752,"")</f>
        <v/>
      </c>
      <c r="M752" t="str">
        <f>IF($A752&lt;&gt;"",'All Cases - Enter Cases'!L752,"")</f>
        <v/>
      </c>
    </row>
    <row r="753" spans="1:13" x14ac:dyDescent="0.35">
      <c r="A753" s="4" t="str">
        <f>IF('All Cases - Enter Cases'!$K753="Approved",'All Cases - Enter Cases'!A753,"")</f>
        <v/>
      </c>
      <c r="B753" s="4" t="str">
        <f>IF($N753&lt;&gt;"",$N753,IF($A753&lt;&gt;"",'All Cases - Enter Cases'!$L753+7,""))</f>
        <v/>
      </c>
      <c r="C753" t="str">
        <f>IF($A753&lt;&gt;"",'All Cases - Enter Cases'!B753,"")</f>
        <v/>
      </c>
      <c r="D753" t="str">
        <f>IF($A753&lt;&gt;"",'All Cases - Enter Cases'!C753,"")</f>
        <v/>
      </c>
      <c r="E753" t="str">
        <f>IF($A753&lt;&gt;"",'All Cases - Enter Cases'!D753,"")</f>
        <v/>
      </c>
      <c r="F753" s="12" t="str">
        <f>IF($A753&lt;&gt;"",'All Cases - Enter Cases'!E753,"")</f>
        <v/>
      </c>
      <c r="G753" s="12" t="str">
        <f>IF($A753&lt;&gt;"",'All Cases - Enter Cases'!F753,"")</f>
        <v/>
      </c>
      <c r="H753" s="4" t="str">
        <f>IF($A753&lt;&gt;"",'All Cases - Enter Cases'!G753,"")</f>
        <v/>
      </c>
      <c r="I753" t="str">
        <f>IF($A753&lt;&gt;"",'All Cases - Enter Cases'!H753,"")</f>
        <v/>
      </c>
      <c r="J753" t="str">
        <f>IF($A753&lt;&gt;"",'All Cases - Enter Cases'!I753,"")</f>
        <v/>
      </c>
      <c r="K753" t="str">
        <f>IF($A753&lt;&gt;"",'All Cases - Enter Cases'!J753,"")</f>
        <v/>
      </c>
      <c r="L753" s="4" t="str">
        <f>IF($A753&lt;&gt;"",'All Cases - Enter Cases'!K753,"")</f>
        <v/>
      </c>
      <c r="M753" t="str">
        <f>IF($A753&lt;&gt;"",'All Cases - Enter Cases'!L753,"")</f>
        <v/>
      </c>
    </row>
    <row r="754" spans="1:13" x14ac:dyDescent="0.35">
      <c r="A754" s="4" t="str">
        <f>IF('All Cases - Enter Cases'!$K754="Approved",'All Cases - Enter Cases'!A754,"")</f>
        <v/>
      </c>
      <c r="B754" s="4" t="str">
        <f>IF($N754&lt;&gt;"",$N754,IF($A754&lt;&gt;"",'All Cases - Enter Cases'!$L754+7,""))</f>
        <v/>
      </c>
      <c r="C754" t="str">
        <f>IF($A754&lt;&gt;"",'All Cases - Enter Cases'!B754,"")</f>
        <v/>
      </c>
      <c r="D754" t="str">
        <f>IF($A754&lt;&gt;"",'All Cases - Enter Cases'!C754,"")</f>
        <v/>
      </c>
      <c r="E754" t="str">
        <f>IF($A754&lt;&gt;"",'All Cases - Enter Cases'!D754,"")</f>
        <v/>
      </c>
      <c r="F754" s="12" t="str">
        <f>IF($A754&lt;&gt;"",'All Cases - Enter Cases'!E754,"")</f>
        <v/>
      </c>
      <c r="G754" s="12" t="str">
        <f>IF($A754&lt;&gt;"",'All Cases - Enter Cases'!F754,"")</f>
        <v/>
      </c>
      <c r="H754" s="4" t="str">
        <f>IF($A754&lt;&gt;"",'All Cases - Enter Cases'!G754,"")</f>
        <v/>
      </c>
      <c r="I754" t="str">
        <f>IF($A754&lt;&gt;"",'All Cases - Enter Cases'!H754,"")</f>
        <v/>
      </c>
      <c r="J754" t="str">
        <f>IF($A754&lt;&gt;"",'All Cases - Enter Cases'!I754,"")</f>
        <v/>
      </c>
      <c r="K754" t="str">
        <f>IF($A754&lt;&gt;"",'All Cases - Enter Cases'!J754,"")</f>
        <v/>
      </c>
      <c r="L754" s="4" t="str">
        <f>IF($A754&lt;&gt;"",'All Cases - Enter Cases'!K754,"")</f>
        <v/>
      </c>
      <c r="M754" t="str">
        <f>IF($A754&lt;&gt;"",'All Cases - Enter Cases'!L754,"")</f>
        <v/>
      </c>
    </row>
    <row r="755" spans="1:13" x14ac:dyDescent="0.35">
      <c r="A755" s="4" t="str">
        <f>IF('All Cases - Enter Cases'!$K755="Approved",'All Cases - Enter Cases'!A755,"")</f>
        <v/>
      </c>
      <c r="B755" s="4" t="str">
        <f>IF($N755&lt;&gt;"",$N755,IF($A755&lt;&gt;"",'All Cases - Enter Cases'!$L755+7,""))</f>
        <v/>
      </c>
      <c r="C755" t="str">
        <f>IF($A755&lt;&gt;"",'All Cases - Enter Cases'!B755,"")</f>
        <v/>
      </c>
      <c r="D755" t="str">
        <f>IF($A755&lt;&gt;"",'All Cases - Enter Cases'!C755,"")</f>
        <v/>
      </c>
      <c r="E755" t="str">
        <f>IF($A755&lt;&gt;"",'All Cases - Enter Cases'!D755,"")</f>
        <v/>
      </c>
      <c r="F755" s="12" t="str">
        <f>IF($A755&lt;&gt;"",'All Cases - Enter Cases'!E755,"")</f>
        <v/>
      </c>
      <c r="G755" s="12" t="str">
        <f>IF($A755&lt;&gt;"",'All Cases - Enter Cases'!F755,"")</f>
        <v/>
      </c>
      <c r="H755" s="4" t="str">
        <f>IF($A755&lt;&gt;"",'All Cases - Enter Cases'!G755,"")</f>
        <v/>
      </c>
      <c r="I755" t="str">
        <f>IF($A755&lt;&gt;"",'All Cases - Enter Cases'!H755,"")</f>
        <v/>
      </c>
      <c r="J755" t="str">
        <f>IF($A755&lt;&gt;"",'All Cases - Enter Cases'!I755,"")</f>
        <v/>
      </c>
      <c r="K755" t="str">
        <f>IF($A755&lt;&gt;"",'All Cases - Enter Cases'!J755,"")</f>
        <v/>
      </c>
      <c r="L755" s="4" t="str">
        <f>IF($A755&lt;&gt;"",'All Cases - Enter Cases'!K755,"")</f>
        <v/>
      </c>
      <c r="M755" t="str">
        <f>IF($A755&lt;&gt;"",'All Cases - Enter Cases'!L755,"")</f>
        <v/>
      </c>
    </row>
    <row r="756" spans="1:13" x14ac:dyDescent="0.35">
      <c r="A756" s="4" t="str">
        <f>IF('All Cases - Enter Cases'!$K756="Approved",'All Cases - Enter Cases'!A756,"")</f>
        <v/>
      </c>
      <c r="B756" s="4" t="str">
        <f>IF($N756&lt;&gt;"",$N756,IF($A756&lt;&gt;"",'All Cases - Enter Cases'!$L756+7,""))</f>
        <v/>
      </c>
      <c r="C756" t="str">
        <f>IF($A756&lt;&gt;"",'All Cases - Enter Cases'!B756,"")</f>
        <v/>
      </c>
      <c r="D756" t="str">
        <f>IF($A756&lt;&gt;"",'All Cases - Enter Cases'!C756,"")</f>
        <v/>
      </c>
      <c r="E756" t="str">
        <f>IF($A756&lt;&gt;"",'All Cases - Enter Cases'!D756,"")</f>
        <v/>
      </c>
      <c r="F756" s="12" t="str">
        <f>IF($A756&lt;&gt;"",'All Cases - Enter Cases'!E756,"")</f>
        <v/>
      </c>
      <c r="G756" s="12" t="str">
        <f>IF($A756&lt;&gt;"",'All Cases - Enter Cases'!F756,"")</f>
        <v/>
      </c>
      <c r="H756" s="4" t="str">
        <f>IF($A756&lt;&gt;"",'All Cases - Enter Cases'!G756,"")</f>
        <v/>
      </c>
      <c r="I756" t="str">
        <f>IF($A756&lt;&gt;"",'All Cases - Enter Cases'!H756,"")</f>
        <v/>
      </c>
      <c r="J756" t="str">
        <f>IF($A756&lt;&gt;"",'All Cases - Enter Cases'!I756,"")</f>
        <v/>
      </c>
      <c r="K756" t="str">
        <f>IF($A756&lt;&gt;"",'All Cases - Enter Cases'!J756,"")</f>
        <v/>
      </c>
      <c r="L756" s="4" t="str">
        <f>IF($A756&lt;&gt;"",'All Cases - Enter Cases'!K756,"")</f>
        <v/>
      </c>
      <c r="M756" t="str">
        <f>IF($A756&lt;&gt;"",'All Cases - Enter Cases'!L756,"")</f>
        <v/>
      </c>
    </row>
    <row r="757" spans="1:13" x14ac:dyDescent="0.35">
      <c r="A757" s="4" t="str">
        <f>IF('All Cases - Enter Cases'!$K757="Approved",'All Cases - Enter Cases'!A757,"")</f>
        <v/>
      </c>
      <c r="B757" s="4" t="str">
        <f>IF($N757&lt;&gt;"",$N757,IF($A757&lt;&gt;"",'All Cases - Enter Cases'!$L757+7,""))</f>
        <v/>
      </c>
      <c r="C757" t="str">
        <f>IF($A757&lt;&gt;"",'All Cases - Enter Cases'!B757,"")</f>
        <v/>
      </c>
      <c r="D757" t="str">
        <f>IF($A757&lt;&gt;"",'All Cases - Enter Cases'!C757,"")</f>
        <v/>
      </c>
      <c r="E757" t="str">
        <f>IF($A757&lt;&gt;"",'All Cases - Enter Cases'!D757,"")</f>
        <v/>
      </c>
      <c r="F757" s="12" t="str">
        <f>IF($A757&lt;&gt;"",'All Cases - Enter Cases'!E757,"")</f>
        <v/>
      </c>
      <c r="G757" s="12" t="str">
        <f>IF($A757&lt;&gt;"",'All Cases - Enter Cases'!F757,"")</f>
        <v/>
      </c>
      <c r="H757" s="4" t="str">
        <f>IF($A757&lt;&gt;"",'All Cases - Enter Cases'!G757,"")</f>
        <v/>
      </c>
      <c r="I757" t="str">
        <f>IF($A757&lt;&gt;"",'All Cases - Enter Cases'!H757,"")</f>
        <v/>
      </c>
      <c r="J757" t="str">
        <f>IF($A757&lt;&gt;"",'All Cases - Enter Cases'!I757,"")</f>
        <v/>
      </c>
      <c r="K757" t="str">
        <f>IF($A757&lt;&gt;"",'All Cases - Enter Cases'!J757,"")</f>
        <v/>
      </c>
      <c r="L757" s="4" t="str">
        <f>IF($A757&lt;&gt;"",'All Cases - Enter Cases'!K757,"")</f>
        <v/>
      </c>
      <c r="M757" t="str">
        <f>IF($A757&lt;&gt;"",'All Cases - Enter Cases'!L757,"")</f>
        <v/>
      </c>
    </row>
    <row r="758" spans="1:13" x14ac:dyDescent="0.35">
      <c r="A758" s="4" t="str">
        <f>IF('All Cases - Enter Cases'!$K758="Approved",'All Cases - Enter Cases'!A758,"")</f>
        <v/>
      </c>
      <c r="B758" s="4" t="str">
        <f>IF($N758&lt;&gt;"",$N758,IF($A758&lt;&gt;"",'All Cases - Enter Cases'!$L758+7,""))</f>
        <v/>
      </c>
      <c r="C758" t="str">
        <f>IF($A758&lt;&gt;"",'All Cases - Enter Cases'!B758,"")</f>
        <v/>
      </c>
      <c r="D758" t="str">
        <f>IF($A758&lt;&gt;"",'All Cases - Enter Cases'!C758,"")</f>
        <v/>
      </c>
      <c r="E758" t="str">
        <f>IF($A758&lt;&gt;"",'All Cases - Enter Cases'!D758,"")</f>
        <v/>
      </c>
      <c r="F758" s="12" t="str">
        <f>IF($A758&lt;&gt;"",'All Cases - Enter Cases'!E758,"")</f>
        <v/>
      </c>
      <c r="G758" s="12" t="str">
        <f>IF($A758&lt;&gt;"",'All Cases - Enter Cases'!F758,"")</f>
        <v/>
      </c>
      <c r="H758" s="4" t="str">
        <f>IF($A758&lt;&gt;"",'All Cases - Enter Cases'!G758,"")</f>
        <v/>
      </c>
      <c r="I758" t="str">
        <f>IF($A758&lt;&gt;"",'All Cases - Enter Cases'!H758,"")</f>
        <v/>
      </c>
      <c r="J758" t="str">
        <f>IF($A758&lt;&gt;"",'All Cases - Enter Cases'!I758,"")</f>
        <v/>
      </c>
      <c r="K758" t="str">
        <f>IF($A758&lt;&gt;"",'All Cases - Enter Cases'!J758,"")</f>
        <v/>
      </c>
      <c r="L758" s="4" t="str">
        <f>IF($A758&lt;&gt;"",'All Cases - Enter Cases'!K758,"")</f>
        <v/>
      </c>
      <c r="M758" t="str">
        <f>IF($A758&lt;&gt;"",'All Cases - Enter Cases'!L758,"")</f>
        <v/>
      </c>
    </row>
    <row r="759" spans="1:13" x14ac:dyDescent="0.35">
      <c r="A759" s="4" t="str">
        <f>IF('All Cases - Enter Cases'!$K759="Approved",'All Cases - Enter Cases'!A759,"")</f>
        <v/>
      </c>
      <c r="B759" s="4" t="str">
        <f>IF($N759&lt;&gt;"",$N759,IF($A759&lt;&gt;"",'All Cases - Enter Cases'!$L759+7,""))</f>
        <v/>
      </c>
      <c r="C759" t="str">
        <f>IF($A759&lt;&gt;"",'All Cases - Enter Cases'!B759,"")</f>
        <v/>
      </c>
      <c r="D759" t="str">
        <f>IF($A759&lt;&gt;"",'All Cases - Enter Cases'!C759,"")</f>
        <v/>
      </c>
      <c r="E759" t="str">
        <f>IF($A759&lt;&gt;"",'All Cases - Enter Cases'!D759,"")</f>
        <v/>
      </c>
      <c r="F759" s="12" t="str">
        <f>IF($A759&lt;&gt;"",'All Cases - Enter Cases'!E759,"")</f>
        <v/>
      </c>
      <c r="G759" s="12" t="str">
        <f>IF($A759&lt;&gt;"",'All Cases - Enter Cases'!F759,"")</f>
        <v/>
      </c>
      <c r="H759" s="4" t="str">
        <f>IF($A759&lt;&gt;"",'All Cases - Enter Cases'!G759,"")</f>
        <v/>
      </c>
      <c r="I759" t="str">
        <f>IF($A759&lt;&gt;"",'All Cases - Enter Cases'!H759,"")</f>
        <v/>
      </c>
      <c r="J759" t="str">
        <f>IF($A759&lt;&gt;"",'All Cases - Enter Cases'!I759,"")</f>
        <v/>
      </c>
      <c r="K759" t="str">
        <f>IF($A759&lt;&gt;"",'All Cases - Enter Cases'!J759,"")</f>
        <v/>
      </c>
      <c r="L759" s="4" t="str">
        <f>IF($A759&lt;&gt;"",'All Cases - Enter Cases'!K759,"")</f>
        <v/>
      </c>
      <c r="M759" t="str">
        <f>IF($A759&lt;&gt;"",'All Cases - Enter Cases'!L759,"")</f>
        <v/>
      </c>
    </row>
    <row r="760" spans="1:13" x14ac:dyDescent="0.35">
      <c r="A760" s="4" t="str">
        <f>IF('All Cases - Enter Cases'!$K760="Approved",'All Cases - Enter Cases'!A760,"")</f>
        <v/>
      </c>
      <c r="B760" s="4" t="str">
        <f>IF($N760&lt;&gt;"",$N760,IF($A760&lt;&gt;"",'All Cases - Enter Cases'!$L760+7,""))</f>
        <v/>
      </c>
      <c r="C760" t="str">
        <f>IF($A760&lt;&gt;"",'All Cases - Enter Cases'!B760,"")</f>
        <v/>
      </c>
      <c r="D760" t="str">
        <f>IF($A760&lt;&gt;"",'All Cases - Enter Cases'!C760,"")</f>
        <v/>
      </c>
      <c r="E760" t="str">
        <f>IF($A760&lt;&gt;"",'All Cases - Enter Cases'!D760,"")</f>
        <v/>
      </c>
      <c r="F760" s="12" t="str">
        <f>IF($A760&lt;&gt;"",'All Cases - Enter Cases'!E760,"")</f>
        <v/>
      </c>
      <c r="G760" s="12" t="str">
        <f>IF($A760&lt;&gt;"",'All Cases - Enter Cases'!F760,"")</f>
        <v/>
      </c>
      <c r="H760" s="4" t="str">
        <f>IF($A760&lt;&gt;"",'All Cases - Enter Cases'!G760,"")</f>
        <v/>
      </c>
      <c r="I760" t="str">
        <f>IF($A760&lt;&gt;"",'All Cases - Enter Cases'!H760,"")</f>
        <v/>
      </c>
      <c r="J760" t="str">
        <f>IF($A760&lt;&gt;"",'All Cases - Enter Cases'!I760,"")</f>
        <v/>
      </c>
      <c r="K760" t="str">
        <f>IF($A760&lt;&gt;"",'All Cases - Enter Cases'!J760,"")</f>
        <v/>
      </c>
      <c r="L760" s="4" t="str">
        <f>IF($A760&lt;&gt;"",'All Cases - Enter Cases'!K760,"")</f>
        <v/>
      </c>
      <c r="M760" t="str">
        <f>IF($A760&lt;&gt;"",'All Cases - Enter Cases'!L760,"")</f>
        <v/>
      </c>
    </row>
    <row r="761" spans="1:13" x14ac:dyDescent="0.35">
      <c r="A761" s="4" t="str">
        <f>IF('All Cases - Enter Cases'!$K761="Approved",'All Cases - Enter Cases'!A761,"")</f>
        <v/>
      </c>
      <c r="B761" s="4" t="str">
        <f>IF($N761&lt;&gt;"",$N761,IF($A761&lt;&gt;"",'All Cases - Enter Cases'!$L761+7,""))</f>
        <v/>
      </c>
      <c r="C761" t="str">
        <f>IF($A761&lt;&gt;"",'All Cases - Enter Cases'!B761,"")</f>
        <v/>
      </c>
      <c r="D761" t="str">
        <f>IF($A761&lt;&gt;"",'All Cases - Enter Cases'!C761,"")</f>
        <v/>
      </c>
      <c r="E761" t="str">
        <f>IF($A761&lt;&gt;"",'All Cases - Enter Cases'!D761,"")</f>
        <v/>
      </c>
      <c r="F761" s="12" t="str">
        <f>IF($A761&lt;&gt;"",'All Cases - Enter Cases'!E761,"")</f>
        <v/>
      </c>
      <c r="G761" s="12" t="str">
        <f>IF($A761&lt;&gt;"",'All Cases - Enter Cases'!F761,"")</f>
        <v/>
      </c>
      <c r="H761" s="4" t="str">
        <f>IF($A761&lt;&gt;"",'All Cases - Enter Cases'!G761,"")</f>
        <v/>
      </c>
      <c r="I761" t="str">
        <f>IF($A761&lt;&gt;"",'All Cases - Enter Cases'!H761,"")</f>
        <v/>
      </c>
      <c r="J761" t="str">
        <f>IF($A761&lt;&gt;"",'All Cases - Enter Cases'!I761,"")</f>
        <v/>
      </c>
      <c r="K761" t="str">
        <f>IF($A761&lt;&gt;"",'All Cases - Enter Cases'!J761,"")</f>
        <v/>
      </c>
      <c r="L761" s="4" t="str">
        <f>IF($A761&lt;&gt;"",'All Cases - Enter Cases'!K761,"")</f>
        <v/>
      </c>
      <c r="M761" t="str">
        <f>IF($A761&lt;&gt;"",'All Cases - Enter Cases'!L761,"")</f>
        <v/>
      </c>
    </row>
    <row r="762" spans="1:13" x14ac:dyDescent="0.35">
      <c r="A762" s="4" t="str">
        <f>IF('All Cases - Enter Cases'!$K762="Approved",'All Cases - Enter Cases'!A762,"")</f>
        <v/>
      </c>
      <c r="B762" s="4" t="str">
        <f>IF($N762&lt;&gt;"",$N762,IF($A762&lt;&gt;"",'All Cases - Enter Cases'!$L762+7,""))</f>
        <v/>
      </c>
      <c r="C762" t="str">
        <f>IF($A762&lt;&gt;"",'All Cases - Enter Cases'!B762,"")</f>
        <v/>
      </c>
      <c r="D762" t="str">
        <f>IF($A762&lt;&gt;"",'All Cases - Enter Cases'!C762,"")</f>
        <v/>
      </c>
      <c r="E762" t="str">
        <f>IF($A762&lt;&gt;"",'All Cases - Enter Cases'!D762,"")</f>
        <v/>
      </c>
      <c r="F762" s="12" t="str">
        <f>IF($A762&lt;&gt;"",'All Cases - Enter Cases'!E762,"")</f>
        <v/>
      </c>
      <c r="G762" s="12" t="str">
        <f>IF($A762&lt;&gt;"",'All Cases - Enter Cases'!F762,"")</f>
        <v/>
      </c>
      <c r="H762" s="4" t="str">
        <f>IF($A762&lt;&gt;"",'All Cases - Enter Cases'!G762,"")</f>
        <v/>
      </c>
      <c r="I762" t="str">
        <f>IF($A762&lt;&gt;"",'All Cases - Enter Cases'!H762,"")</f>
        <v/>
      </c>
      <c r="J762" t="str">
        <f>IF($A762&lt;&gt;"",'All Cases - Enter Cases'!I762,"")</f>
        <v/>
      </c>
      <c r="K762" t="str">
        <f>IF($A762&lt;&gt;"",'All Cases - Enter Cases'!J762,"")</f>
        <v/>
      </c>
      <c r="L762" s="4" t="str">
        <f>IF($A762&lt;&gt;"",'All Cases - Enter Cases'!K762,"")</f>
        <v/>
      </c>
      <c r="M762" t="str">
        <f>IF($A762&lt;&gt;"",'All Cases - Enter Cases'!L762,"")</f>
        <v/>
      </c>
    </row>
    <row r="763" spans="1:13" x14ac:dyDescent="0.35">
      <c r="A763" s="4" t="str">
        <f>IF('All Cases - Enter Cases'!$K763="Approved",'All Cases - Enter Cases'!A763,"")</f>
        <v/>
      </c>
      <c r="B763" s="4" t="str">
        <f>IF($N763&lt;&gt;"",$N763,IF($A763&lt;&gt;"",'All Cases - Enter Cases'!$L763+7,""))</f>
        <v/>
      </c>
      <c r="C763" t="str">
        <f>IF($A763&lt;&gt;"",'All Cases - Enter Cases'!B763,"")</f>
        <v/>
      </c>
      <c r="D763" t="str">
        <f>IF($A763&lt;&gt;"",'All Cases - Enter Cases'!C763,"")</f>
        <v/>
      </c>
      <c r="E763" t="str">
        <f>IF($A763&lt;&gt;"",'All Cases - Enter Cases'!D763,"")</f>
        <v/>
      </c>
      <c r="F763" s="12" t="str">
        <f>IF($A763&lt;&gt;"",'All Cases - Enter Cases'!E763,"")</f>
        <v/>
      </c>
      <c r="G763" s="12" t="str">
        <f>IF($A763&lt;&gt;"",'All Cases - Enter Cases'!F763,"")</f>
        <v/>
      </c>
      <c r="H763" s="4" t="str">
        <f>IF($A763&lt;&gt;"",'All Cases - Enter Cases'!G763,"")</f>
        <v/>
      </c>
      <c r="I763" t="str">
        <f>IF($A763&lt;&gt;"",'All Cases - Enter Cases'!H763,"")</f>
        <v/>
      </c>
      <c r="J763" t="str">
        <f>IF($A763&lt;&gt;"",'All Cases - Enter Cases'!I763,"")</f>
        <v/>
      </c>
      <c r="K763" t="str">
        <f>IF($A763&lt;&gt;"",'All Cases - Enter Cases'!J763,"")</f>
        <v/>
      </c>
      <c r="L763" s="4" t="str">
        <f>IF($A763&lt;&gt;"",'All Cases - Enter Cases'!K763,"")</f>
        <v/>
      </c>
      <c r="M763" t="str">
        <f>IF($A763&lt;&gt;"",'All Cases - Enter Cases'!L763,"")</f>
        <v/>
      </c>
    </row>
    <row r="764" spans="1:13" x14ac:dyDescent="0.35">
      <c r="A764" s="4" t="str">
        <f>IF('All Cases - Enter Cases'!$K764="Approved",'All Cases - Enter Cases'!A764,"")</f>
        <v/>
      </c>
      <c r="B764" s="4" t="str">
        <f>IF($N764&lt;&gt;"",$N764,IF($A764&lt;&gt;"",'All Cases - Enter Cases'!$L764+7,""))</f>
        <v/>
      </c>
      <c r="C764" t="str">
        <f>IF($A764&lt;&gt;"",'All Cases - Enter Cases'!B764,"")</f>
        <v/>
      </c>
      <c r="D764" t="str">
        <f>IF($A764&lt;&gt;"",'All Cases - Enter Cases'!C764,"")</f>
        <v/>
      </c>
      <c r="E764" t="str">
        <f>IF($A764&lt;&gt;"",'All Cases - Enter Cases'!D764,"")</f>
        <v/>
      </c>
      <c r="F764" s="12" t="str">
        <f>IF($A764&lt;&gt;"",'All Cases - Enter Cases'!E764,"")</f>
        <v/>
      </c>
      <c r="G764" s="12" t="str">
        <f>IF($A764&lt;&gt;"",'All Cases - Enter Cases'!F764,"")</f>
        <v/>
      </c>
      <c r="H764" s="4" t="str">
        <f>IF($A764&lt;&gt;"",'All Cases - Enter Cases'!G764,"")</f>
        <v/>
      </c>
      <c r="I764" t="str">
        <f>IF($A764&lt;&gt;"",'All Cases - Enter Cases'!H764,"")</f>
        <v/>
      </c>
      <c r="J764" t="str">
        <f>IF($A764&lt;&gt;"",'All Cases - Enter Cases'!I764,"")</f>
        <v/>
      </c>
      <c r="K764" t="str">
        <f>IF($A764&lt;&gt;"",'All Cases - Enter Cases'!J764,"")</f>
        <v/>
      </c>
      <c r="L764" s="4" t="str">
        <f>IF($A764&lt;&gt;"",'All Cases - Enter Cases'!K764,"")</f>
        <v/>
      </c>
      <c r="M764" t="str">
        <f>IF($A764&lt;&gt;"",'All Cases - Enter Cases'!L764,"")</f>
        <v/>
      </c>
    </row>
    <row r="765" spans="1:13" x14ac:dyDescent="0.35">
      <c r="A765" s="4" t="str">
        <f>IF('All Cases - Enter Cases'!$K765="Approved",'All Cases - Enter Cases'!A765,"")</f>
        <v/>
      </c>
      <c r="B765" s="4" t="str">
        <f>IF($N765&lt;&gt;"",$N765,IF($A765&lt;&gt;"",'All Cases - Enter Cases'!$L765+7,""))</f>
        <v/>
      </c>
      <c r="C765" t="str">
        <f>IF($A765&lt;&gt;"",'All Cases - Enter Cases'!B765,"")</f>
        <v/>
      </c>
      <c r="D765" t="str">
        <f>IF($A765&lt;&gt;"",'All Cases - Enter Cases'!C765,"")</f>
        <v/>
      </c>
      <c r="E765" t="str">
        <f>IF($A765&lt;&gt;"",'All Cases - Enter Cases'!D765,"")</f>
        <v/>
      </c>
      <c r="F765" s="12" t="str">
        <f>IF($A765&lt;&gt;"",'All Cases - Enter Cases'!E765,"")</f>
        <v/>
      </c>
      <c r="G765" s="12" t="str">
        <f>IF($A765&lt;&gt;"",'All Cases - Enter Cases'!F765,"")</f>
        <v/>
      </c>
      <c r="H765" s="4" t="str">
        <f>IF($A765&lt;&gt;"",'All Cases - Enter Cases'!G765,"")</f>
        <v/>
      </c>
      <c r="I765" t="str">
        <f>IF($A765&lt;&gt;"",'All Cases - Enter Cases'!H765,"")</f>
        <v/>
      </c>
      <c r="J765" t="str">
        <f>IF($A765&lt;&gt;"",'All Cases - Enter Cases'!I765,"")</f>
        <v/>
      </c>
      <c r="K765" t="str">
        <f>IF($A765&lt;&gt;"",'All Cases - Enter Cases'!J765,"")</f>
        <v/>
      </c>
      <c r="L765" s="4" t="str">
        <f>IF($A765&lt;&gt;"",'All Cases - Enter Cases'!K765,"")</f>
        <v/>
      </c>
      <c r="M765" t="str">
        <f>IF($A765&lt;&gt;"",'All Cases - Enter Cases'!L765,"")</f>
        <v/>
      </c>
    </row>
    <row r="766" spans="1:13" x14ac:dyDescent="0.35">
      <c r="A766" s="4" t="str">
        <f>IF('All Cases - Enter Cases'!$K766="Approved",'All Cases - Enter Cases'!A766,"")</f>
        <v/>
      </c>
      <c r="B766" s="4" t="str">
        <f>IF($N766&lt;&gt;"",$N766,IF($A766&lt;&gt;"",'All Cases - Enter Cases'!$L766+7,""))</f>
        <v/>
      </c>
      <c r="C766" t="str">
        <f>IF($A766&lt;&gt;"",'All Cases - Enter Cases'!B766,"")</f>
        <v/>
      </c>
      <c r="D766" t="str">
        <f>IF($A766&lt;&gt;"",'All Cases - Enter Cases'!C766,"")</f>
        <v/>
      </c>
      <c r="E766" t="str">
        <f>IF($A766&lt;&gt;"",'All Cases - Enter Cases'!D766,"")</f>
        <v/>
      </c>
      <c r="F766" s="12" t="str">
        <f>IF($A766&lt;&gt;"",'All Cases - Enter Cases'!E766,"")</f>
        <v/>
      </c>
      <c r="G766" s="12" t="str">
        <f>IF($A766&lt;&gt;"",'All Cases - Enter Cases'!F766,"")</f>
        <v/>
      </c>
      <c r="H766" s="4" t="str">
        <f>IF($A766&lt;&gt;"",'All Cases - Enter Cases'!G766,"")</f>
        <v/>
      </c>
      <c r="I766" t="str">
        <f>IF($A766&lt;&gt;"",'All Cases - Enter Cases'!H766,"")</f>
        <v/>
      </c>
      <c r="J766" t="str">
        <f>IF($A766&lt;&gt;"",'All Cases - Enter Cases'!I766,"")</f>
        <v/>
      </c>
      <c r="K766" t="str">
        <f>IF($A766&lt;&gt;"",'All Cases - Enter Cases'!J766,"")</f>
        <v/>
      </c>
      <c r="L766" s="4" t="str">
        <f>IF($A766&lt;&gt;"",'All Cases - Enter Cases'!K766,"")</f>
        <v/>
      </c>
      <c r="M766" t="str">
        <f>IF($A766&lt;&gt;"",'All Cases - Enter Cases'!L766,"")</f>
        <v/>
      </c>
    </row>
    <row r="767" spans="1:13" x14ac:dyDescent="0.35">
      <c r="A767" s="4" t="str">
        <f>IF('All Cases - Enter Cases'!$K767="Approved",'All Cases - Enter Cases'!A767,"")</f>
        <v/>
      </c>
      <c r="B767" s="4" t="str">
        <f>IF($N767&lt;&gt;"",$N767,IF($A767&lt;&gt;"",'All Cases - Enter Cases'!$L767+7,""))</f>
        <v/>
      </c>
      <c r="C767" t="str">
        <f>IF($A767&lt;&gt;"",'All Cases - Enter Cases'!B767,"")</f>
        <v/>
      </c>
      <c r="D767" t="str">
        <f>IF($A767&lt;&gt;"",'All Cases - Enter Cases'!C767,"")</f>
        <v/>
      </c>
      <c r="E767" t="str">
        <f>IF($A767&lt;&gt;"",'All Cases - Enter Cases'!D767,"")</f>
        <v/>
      </c>
      <c r="F767" s="12" t="str">
        <f>IF($A767&lt;&gt;"",'All Cases - Enter Cases'!E767,"")</f>
        <v/>
      </c>
      <c r="G767" s="12" t="str">
        <f>IF($A767&lt;&gt;"",'All Cases - Enter Cases'!F767,"")</f>
        <v/>
      </c>
      <c r="H767" s="4" t="str">
        <f>IF($A767&lt;&gt;"",'All Cases - Enter Cases'!G767,"")</f>
        <v/>
      </c>
      <c r="I767" t="str">
        <f>IF($A767&lt;&gt;"",'All Cases - Enter Cases'!H767,"")</f>
        <v/>
      </c>
      <c r="J767" t="str">
        <f>IF($A767&lt;&gt;"",'All Cases - Enter Cases'!I767,"")</f>
        <v/>
      </c>
      <c r="K767" t="str">
        <f>IF($A767&lt;&gt;"",'All Cases - Enter Cases'!J767,"")</f>
        <v/>
      </c>
      <c r="L767" s="4" t="str">
        <f>IF($A767&lt;&gt;"",'All Cases - Enter Cases'!K767,"")</f>
        <v/>
      </c>
      <c r="M767" t="str">
        <f>IF($A767&lt;&gt;"",'All Cases - Enter Cases'!L767,"")</f>
        <v/>
      </c>
    </row>
    <row r="768" spans="1:13" x14ac:dyDescent="0.35">
      <c r="A768" s="4" t="str">
        <f>IF('All Cases - Enter Cases'!$K768="Approved",'All Cases - Enter Cases'!A768,"")</f>
        <v/>
      </c>
      <c r="B768" s="4" t="str">
        <f>IF($N768&lt;&gt;"",$N768,IF($A768&lt;&gt;"",'All Cases - Enter Cases'!$L768+7,""))</f>
        <v/>
      </c>
      <c r="C768" t="str">
        <f>IF($A768&lt;&gt;"",'All Cases - Enter Cases'!B768,"")</f>
        <v/>
      </c>
      <c r="D768" t="str">
        <f>IF($A768&lt;&gt;"",'All Cases - Enter Cases'!C768,"")</f>
        <v/>
      </c>
      <c r="E768" t="str">
        <f>IF($A768&lt;&gt;"",'All Cases - Enter Cases'!D768,"")</f>
        <v/>
      </c>
      <c r="F768" s="12" t="str">
        <f>IF($A768&lt;&gt;"",'All Cases - Enter Cases'!E768,"")</f>
        <v/>
      </c>
      <c r="G768" s="12" t="str">
        <f>IF($A768&lt;&gt;"",'All Cases - Enter Cases'!F768,"")</f>
        <v/>
      </c>
      <c r="H768" s="4" t="str">
        <f>IF($A768&lt;&gt;"",'All Cases - Enter Cases'!G768,"")</f>
        <v/>
      </c>
      <c r="I768" t="str">
        <f>IF($A768&lt;&gt;"",'All Cases - Enter Cases'!H768,"")</f>
        <v/>
      </c>
      <c r="J768" t="str">
        <f>IF($A768&lt;&gt;"",'All Cases - Enter Cases'!I768,"")</f>
        <v/>
      </c>
      <c r="K768" t="str">
        <f>IF($A768&lt;&gt;"",'All Cases - Enter Cases'!J768,"")</f>
        <v/>
      </c>
      <c r="L768" s="4" t="str">
        <f>IF($A768&lt;&gt;"",'All Cases - Enter Cases'!K768,"")</f>
        <v/>
      </c>
      <c r="M768" t="str">
        <f>IF($A768&lt;&gt;"",'All Cases - Enter Cases'!L768,"")</f>
        <v/>
      </c>
    </row>
    <row r="769" spans="1:13" x14ac:dyDescent="0.35">
      <c r="A769" s="4" t="str">
        <f>IF('All Cases - Enter Cases'!$K769="Approved",'All Cases - Enter Cases'!A769,"")</f>
        <v/>
      </c>
      <c r="B769" s="4" t="str">
        <f>IF($N769&lt;&gt;"",$N769,IF($A769&lt;&gt;"",'All Cases - Enter Cases'!$L769+7,""))</f>
        <v/>
      </c>
      <c r="C769" t="str">
        <f>IF($A769&lt;&gt;"",'All Cases - Enter Cases'!B769,"")</f>
        <v/>
      </c>
      <c r="D769" t="str">
        <f>IF($A769&lt;&gt;"",'All Cases - Enter Cases'!C769,"")</f>
        <v/>
      </c>
      <c r="E769" t="str">
        <f>IF($A769&lt;&gt;"",'All Cases - Enter Cases'!D769,"")</f>
        <v/>
      </c>
      <c r="F769" s="12" t="str">
        <f>IF($A769&lt;&gt;"",'All Cases - Enter Cases'!E769,"")</f>
        <v/>
      </c>
      <c r="G769" s="12" t="str">
        <f>IF($A769&lt;&gt;"",'All Cases - Enter Cases'!F769,"")</f>
        <v/>
      </c>
      <c r="H769" s="4" t="str">
        <f>IF($A769&lt;&gt;"",'All Cases - Enter Cases'!G769,"")</f>
        <v/>
      </c>
      <c r="I769" t="str">
        <f>IF($A769&lt;&gt;"",'All Cases - Enter Cases'!H769,"")</f>
        <v/>
      </c>
      <c r="J769" t="str">
        <f>IF($A769&lt;&gt;"",'All Cases - Enter Cases'!I769,"")</f>
        <v/>
      </c>
      <c r="K769" t="str">
        <f>IF($A769&lt;&gt;"",'All Cases - Enter Cases'!J769,"")</f>
        <v/>
      </c>
      <c r="L769" s="4" t="str">
        <f>IF($A769&lt;&gt;"",'All Cases - Enter Cases'!K769,"")</f>
        <v/>
      </c>
      <c r="M769" t="str">
        <f>IF($A769&lt;&gt;"",'All Cases - Enter Cases'!L769,"")</f>
        <v/>
      </c>
    </row>
    <row r="770" spans="1:13" x14ac:dyDescent="0.35">
      <c r="A770" s="4" t="str">
        <f>IF('All Cases - Enter Cases'!$K770="Approved",'All Cases - Enter Cases'!A770,"")</f>
        <v/>
      </c>
      <c r="B770" s="4" t="str">
        <f>IF($N770&lt;&gt;"",$N770,IF($A770&lt;&gt;"",'All Cases - Enter Cases'!$L770+7,""))</f>
        <v/>
      </c>
      <c r="C770" t="str">
        <f>IF($A770&lt;&gt;"",'All Cases - Enter Cases'!B770,"")</f>
        <v/>
      </c>
      <c r="D770" t="str">
        <f>IF($A770&lt;&gt;"",'All Cases - Enter Cases'!C770,"")</f>
        <v/>
      </c>
      <c r="E770" t="str">
        <f>IF($A770&lt;&gt;"",'All Cases - Enter Cases'!D770,"")</f>
        <v/>
      </c>
      <c r="F770" s="12" t="str">
        <f>IF($A770&lt;&gt;"",'All Cases - Enter Cases'!E770,"")</f>
        <v/>
      </c>
      <c r="G770" s="12" t="str">
        <f>IF($A770&lt;&gt;"",'All Cases - Enter Cases'!F770,"")</f>
        <v/>
      </c>
      <c r="H770" s="4" t="str">
        <f>IF($A770&lt;&gt;"",'All Cases - Enter Cases'!G770,"")</f>
        <v/>
      </c>
      <c r="I770" t="str">
        <f>IF($A770&lt;&gt;"",'All Cases - Enter Cases'!H770,"")</f>
        <v/>
      </c>
      <c r="J770" t="str">
        <f>IF($A770&lt;&gt;"",'All Cases - Enter Cases'!I770,"")</f>
        <v/>
      </c>
      <c r="K770" t="str">
        <f>IF($A770&lt;&gt;"",'All Cases - Enter Cases'!J770,"")</f>
        <v/>
      </c>
      <c r="L770" s="4" t="str">
        <f>IF($A770&lt;&gt;"",'All Cases - Enter Cases'!K770,"")</f>
        <v/>
      </c>
      <c r="M770" t="str">
        <f>IF($A770&lt;&gt;"",'All Cases - Enter Cases'!L770,"")</f>
        <v/>
      </c>
    </row>
    <row r="771" spans="1:13" x14ac:dyDescent="0.35">
      <c r="A771" s="4" t="str">
        <f>IF('All Cases - Enter Cases'!$K771="Approved",'All Cases - Enter Cases'!A771,"")</f>
        <v/>
      </c>
      <c r="B771" s="4" t="str">
        <f>IF($N771&lt;&gt;"",$N771,IF($A771&lt;&gt;"",'All Cases - Enter Cases'!$L771+7,""))</f>
        <v/>
      </c>
      <c r="C771" t="str">
        <f>IF($A771&lt;&gt;"",'All Cases - Enter Cases'!B771,"")</f>
        <v/>
      </c>
      <c r="D771" t="str">
        <f>IF($A771&lt;&gt;"",'All Cases - Enter Cases'!C771,"")</f>
        <v/>
      </c>
      <c r="E771" t="str">
        <f>IF($A771&lt;&gt;"",'All Cases - Enter Cases'!D771,"")</f>
        <v/>
      </c>
      <c r="F771" s="12" t="str">
        <f>IF($A771&lt;&gt;"",'All Cases - Enter Cases'!E771,"")</f>
        <v/>
      </c>
      <c r="G771" s="12" t="str">
        <f>IF($A771&lt;&gt;"",'All Cases - Enter Cases'!F771,"")</f>
        <v/>
      </c>
      <c r="H771" s="4" t="str">
        <f>IF($A771&lt;&gt;"",'All Cases - Enter Cases'!G771,"")</f>
        <v/>
      </c>
      <c r="I771" t="str">
        <f>IF($A771&lt;&gt;"",'All Cases - Enter Cases'!H771,"")</f>
        <v/>
      </c>
      <c r="J771" t="str">
        <f>IF($A771&lt;&gt;"",'All Cases - Enter Cases'!I771,"")</f>
        <v/>
      </c>
      <c r="K771" t="str">
        <f>IF($A771&lt;&gt;"",'All Cases - Enter Cases'!J771,"")</f>
        <v/>
      </c>
      <c r="L771" s="4" t="str">
        <f>IF($A771&lt;&gt;"",'All Cases - Enter Cases'!K771,"")</f>
        <v/>
      </c>
      <c r="M771" t="str">
        <f>IF($A771&lt;&gt;"",'All Cases - Enter Cases'!L771,"")</f>
        <v/>
      </c>
    </row>
    <row r="772" spans="1:13" x14ac:dyDescent="0.35">
      <c r="A772" s="4" t="str">
        <f>IF('All Cases - Enter Cases'!$K772="Approved",'All Cases - Enter Cases'!A772,"")</f>
        <v/>
      </c>
      <c r="B772" s="4" t="str">
        <f>IF($N772&lt;&gt;"",$N772,IF($A772&lt;&gt;"",'All Cases - Enter Cases'!$L772+7,""))</f>
        <v/>
      </c>
      <c r="C772" t="str">
        <f>IF($A772&lt;&gt;"",'All Cases - Enter Cases'!B772,"")</f>
        <v/>
      </c>
      <c r="D772" t="str">
        <f>IF($A772&lt;&gt;"",'All Cases - Enter Cases'!C772,"")</f>
        <v/>
      </c>
      <c r="E772" t="str">
        <f>IF($A772&lt;&gt;"",'All Cases - Enter Cases'!D772,"")</f>
        <v/>
      </c>
      <c r="F772" s="12" t="str">
        <f>IF($A772&lt;&gt;"",'All Cases - Enter Cases'!E772,"")</f>
        <v/>
      </c>
      <c r="G772" s="12" t="str">
        <f>IF($A772&lt;&gt;"",'All Cases - Enter Cases'!F772,"")</f>
        <v/>
      </c>
      <c r="H772" s="4" t="str">
        <f>IF($A772&lt;&gt;"",'All Cases - Enter Cases'!G772,"")</f>
        <v/>
      </c>
      <c r="I772" t="str">
        <f>IF($A772&lt;&gt;"",'All Cases - Enter Cases'!H772,"")</f>
        <v/>
      </c>
      <c r="J772" t="str">
        <f>IF($A772&lt;&gt;"",'All Cases - Enter Cases'!I772,"")</f>
        <v/>
      </c>
      <c r="K772" t="str">
        <f>IF($A772&lt;&gt;"",'All Cases - Enter Cases'!J772,"")</f>
        <v/>
      </c>
      <c r="L772" s="4" t="str">
        <f>IF($A772&lt;&gt;"",'All Cases - Enter Cases'!K772,"")</f>
        <v/>
      </c>
      <c r="M772" t="str">
        <f>IF($A772&lt;&gt;"",'All Cases - Enter Cases'!L772,"")</f>
        <v/>
      </c>
    </row>
    <row r="773" spans="1:13" x14ac:dyDescent="0.35">
      <c r="A773" s="4" t="str">
        <f>IF('All Cases - Enter Cases'!$K773="Approved",'All Cases - Enter Cases'!A773,"")</f>
        <v/>
      </c>
      <c r="B773" s="4" t="str">
        <f>IF($N773&lt;&gt;"",$N773,IF($A773&lt;&gt;"",'All Cases - Enter Cases'!$L773+7,""))</f>
        <v/>
      </c>
      <c r="C773" t="str">
        <f>IF($A773&lt;&gt;"",'All Cases - Enter Cases'!B773,"")</f>
        <v/>
      </c>
      <c r="D773" t="str">
        <f>IF($A773&lt;&gt;"",'All Cases - Enter Cases'!C773,"")</f>
        <v/>
      </c>
      <c r="E773" t="str">
        <f>IF($A773&lt;&gt;"",'All Cases - Enter Cases'!D773,"")</f>
        <v/>
      </c>
      <c r="F773" s="12" t="str">
        <f>IF($A773&lt;&gt;"",'All Cases - Enter Cases'!E773,"")</f>
        <v/>
      </c>
      <c r="G773" s="12" t="str">
        <f>IF($A773&lt;&gt;"",'All Cases - Enter Cases'!F773,"")</f>
        <v/>
      </c>
      <c r="H773" s="4" t="str">
        <f>IF($A773&lt;&gt;"",'All Cases - Enter Cases'!G773,"")</f>
        <v/>
      </c>
      <c r="I773" t="str">
        <f>IF($A773&lt;&gt;"",'All Cases - Enter Cases'!H773,"")</f>
        <v/>
      </c>
      <c r="J773" t="str">
        <f>IF($A773&lt;&gt;"",'All Cases - Enter Cases'!I773,"")</f>
        <v/>
      </c>
      <c r="K773" t="str">
        <f>IF($A773&lt;&gt;"",'All Cases - Enter Cases'!J773,"")</f>
        <v/>
      </c>
      <c r="L773" s="4" t="str">
        <f>IF($A773&lt;&gt;"",'All Cases - Enter Cases'!K773,"")</f>
        <v/>
      </c>
      <c r="M773" t="str">
        <f>IF($A773&lt;&gt;"",'All Cases - Enter Cases'!L773,"")</f>
        <v/>
      </c>
    </row>
    <row r="774" spans="1:13" x14ac:dyDescent="0.35">
      <c r="A774" s="4" t="str">
        <f>IF('All Cases - Enter Cases'!$K774="Approved",'All Cases - Enter Cases'!A774,"")</f>
        <v/>
      </c>
      <c r="B774" s="4" t="str">
        <f>IF($N774&lt;&gt;"",$N774,IF($A774&lt;&gt;"",'All Cases - Enter Cases'!$L774+7,""))</f>
        <v/>
      </c>
      <c r="C774" t="str">
        <f>IF($A774&lt;&gt;"",'All Cases - Enter Cases'!B774,"")</f>
        <v/>
      </c>
      <c r="D774" t="str">
        <f>IF($A774&lt;&gt;"",'All Cases - Enter Cases'!C774,"")</f>
        <v/>
      </c>
      <c r="E774" t="str">
        <f>IF($A774&lt;&gt;"",'All Cases - Enter Cases'!D774,"")</f>
        <v/>
      </c>
      <c r="F774" s="12" t="str">
        <f>IF($A774&lt;&gt;"",'All Cases - Enter Cases'!E774,"")</f>
        <v/>
      </c>
      <c r="G774" s="12" t="str">
        <f>IF($A774&lt;&gt;"",'All Cases - Enter Cases'!F774,"")</f>
        <v/>
      </c>
      <c r="H774" s="4" t="str">
        <f>IF($A774&lt;&gt;"",'All Cases - Enter Cases'!G774,"")</f>
        <v/>
      </c>
      <c r="I774" t="str">
        <f>IF($A774&lt;&gt;"",'All Cases - Enter Cases'!H774,"")</f>
        <v/>
      </c>
      <c r="J774" t="str">
        <f>IF($A774&lt;&gt;"",'All Cases - Enter Cases'!I774,"")</f>
        <v/>
      </c>
      <c r="K774" t="str">
        <f>IF($A774&lt;&gt;"",'All Cases - Enter Cases'!J774,"")</f>
        <v/>
      </c>
      <c r="L774" s="4" t="str">
        <f>IF($A774&lt;&gt;"",'All Cases - Enter Cases'!K774,"")</f>
        <v/>
      </c>
      <c r="M774" t="str">
        <f>IF($A774&lt;&gt;"",'All Cases - Enter Cases'!L774,"")</f>
        <v/>
      </c>
    </row>
    <row r="775" spans="1:13" x14ac:dyDescent="0.35">
      <c r="A775" s="4" t="str">
        <f>IF('All Cases - Enter Cases'!$K775="Approved",'All Cases - Enter Cases'!A775,"")</f>
        <v/>
      </c>
      <c r="B775" s="4" t="str">
        <f>IF($N775&lt;&gt;"",$N775,IF($A775&lt;&gt;"",'All Cases - Enter Cases'!$L775+7,""))</f>
        <v/>
      </c>
      <c r="C775" t="str">
        <f>IF($A775&lt;&gt;"",'All Cases - Enter Cases'!B775,"")</f>
        <v/>
      </c>
      <c r="D775" t="str">
        <f>IF($A775&lt;&gt;"",'All Cases - Enter Cases'!C775,"")</f>
        <v/>
      </c>
      <c r="E775" t="str">
        <f>IF($A775&lt;&gt;"",'All Cases - Enter Cases'!D775,"")</f>
        <v/>
      </c>
      <c r="F775" s="12" t="str">
        <f>IF($A775&lt;&gt;"",'All Cases - Enter Cases'!E775,"")</f>
        <v/>
      </c>
      <c r="G775" s="12" t="str">
        <f>IF($A775&lt;&gt;"",'All Cases - Enter Cases'!F775,"")</f>
        <v/>
      </c>
      <c r="H775" s="4" t="str">
        <f>IF($A775&lt;&gt;"",'All Cases - Enter Cases'!G775,"")</f>
        <v/>
      </c>
      <c r="I775" t="str">
        <f>IF($A775&lt;&gt;"",'All Cases - Enter Cases'!H775,"")</f>
        <v/>
      </c>
      <c r="J775" t="str">
        <f>IF($A775&lt;&gt;"",'All Cases - Enter Cases'!I775,"")</f>
        <v/>
      </c>
      <c r="K775" t="str">
        <f>IF($A775&lt;&gt;"",'All Cases - Enter Cases'!J775,"")</f>
        <v/>
      </c>
      <c r="L775" s="4" t="str">
        <f>IF($A775&lt;&gt;"",'All Cases - Enter Cases'!K775,"")</f>
        <v/>
      </c>
      <c r="M775" t="str">
        <f>IF($A775&lt;&gt;"",'All Cases - Enter Cases'!L775,"")</f>
        <v/>
      </c>
    </row>
    <row r="776" spans="1:13" x14ac:dyDescent="0.35">
      <c r="A776" s="4" t="str">
        <f>IF('All Cases - Enter Cases'!$K776="Approved",'All Cases - Enter Cases'!A776,"")</f>
        <v/>
      </c>
      <c r="B776" s="4" t="str">
        <f>IF($N776&lt;&gt;"",$N776,IF($A776&lt;&gt;"",'All Cases - Enter Cases'!$L776+7,""))</f>
        <v/>
      </c>
      <c r="C776" t="str">
        <f>IF($A776&lt;&gt;"",'All Cases - Enter Cases'!B776,"")</f>
        <v/>
      </c>
      <c r="D776" t="str">
        <f>IF($A776&lt;&gt;"",'All Cases - Enter Cases'!C776,"")</f>
        <v/>
      </c>
      <c r="E776" t="str">
        <f>IF($A776&lt;&gt;"",'All Cases - Enter Cases'!D776,"")</f>
        <v/>
      </c>
      <c r="F776" s="12" t="str">
        <f>IF($A776&lt;&gt;"",'All Cases - Enter Cases'!E776,"")</f>
        <v/>
      </c>
      <c r="G776" s="12" t="str">
        <f>IF($A776&lt;&gt;"",'All Cases - Enter Cases'!F776,"")</f>
        <v/>
      </c>
      <c r="H776" s="4" t="str">
        <f>IF($A776&lt;&gt;"",'All Cases - Enter Cases'!G776,"")</f>
        <v/>
      </c>
      <c r="I776" t="str">
        <f>IF($A776&lt;&gt;"",'All Cases - Enter Cases'!H776,"")</f>
        <v/>
      </c>
      <c r="J776" t="str">
        <f>IF($A776&lt;&gt;"",'All Cases - Enter Cases'!I776,"")</f>
        <v/>
      </c>
      <c r="K776" t="str">
        <f>IF($A776&lt;&gt;"",'All Cases - Enter Cases'!J776,"")</f>
        <v/>
      </c>
      <c r="L776" s="4" t="str">
        <f>IF($A776&lt;&gt;"",'All Cases - Enter Cases'!K776,"")</f>
        <v/>
      </c>
      <c r="M776" t="str">
        <f>IF($A776&lt;&gt;"",'All Cases - Enter Cases'!L776,"")</f>
        <v/>
      </c>
    </row>
    <row r="777" spans="1:13" x14ac:dyDescent="0.35">
      <c r="A777" s="4" t="str">
        <f>IF('All Cases - Enter Cases'!$K777="Approved",'All Cases - Enter Cases'!A777,"")</f>
        <v/>
      </c>
      <c r="B777" s="4" t="str">
        <f>IF($N777&lt;&gt;"",$N777,IF($A777&lt;&gt;"",'All Cases - Enter Cases'!$L777+7,""))</f>
        <v/>
      </c>
      <c r="C777" t="str">
        <f>IF($A777&lt;&gt;"",'All Cases - Enter Cases'!B777,"")</f>
        <v/>
      </c>
      <c r="D777" t="str">
        <f>IF($A777&lt;&gt;"",'All Cases - Enter Cases'!C777,"")</f>
        <v/>
      </c>
      <c r="E777" t="str">
        <f>IF($A777&lt;&gt;"",'All Cases - Enter Cases'!D777,"")</f>
        <v/>
      </c>
      <c r="F777" s="12" t="str">
        <f>IF($A777&lt;&gt;"",'All Cases - Enter Cases'!E777,"")</f>
        <v/>
      </c>
      <c r="G777" s="12" t="str">
        <f>IF($A777&lt;&gt;"",'All Cases - Enter Cases'!F777,"")</f>
        <v/>
      </c>
      <c r="H777" s="4" t="str">
        <f>IF($A777&lt;&gt;"",'All Cases - Enter Cases'!G777,"")</f>
        <v/>
      </c>
      <c r="I777" t="str">
        <f>IF($A777&lt;&gt;"",'All Cases - Enter Cases'!H777,"")</f>
        <v/>
      </c>
      <c r="J777" t="str">
        <f>IF($A777&lt;&gt;"",'All Cases - Enter Cases'!I777,"")</f>
        <v/>
      </c>
      <c r="K777" t="str">
        <f>IF($A777&lt;&gt;"",'All Cases - Enter Cases'!J777,"")</f>
        <v/>
      </c>
      <c r="L777" s="4" t="str">
        <f>IF($A777&lt;&gt;"",'All Cases - Enter Cases'!K777,"")</f>
        <v/>
      </c>
      <c r="M777" t="str">
        <f>IF($A777&lt;&gt;"",'All Cases - Enter Cases'!L777,"")</f>
        <v/>
      </c>
    </row>
    <row r="778" spans="1:13" x14ac:dyDescent="0.35">
      <c r="A778" s="4" t="str">
        <f>IF('All Cases - Enter Cases'!$K778="Approved",'All Cases - Enter Cases'!A778,"")</f>
        <v/>
      </c>
      <c r="B778" s="4" t="str">
        <f>IF($N778&lt;&gt;"",$N778,IF($A778&lt;&gt;"",'All Cases - Enter Cases'!$L778+7,""))</f>
        <v/>
      </c>
      <c r="C778" t="str">
        <f>IF($A778&lt;&gt;"",'All Cases - Enter Cases'!B778,"")</f>
        <v/>
      </c>
      <c r="D778" t="str">
        <f>IF($A778&lt;&gt;"",'All Cases - Enter Cases'!C778,"")</f>
        <v/>
      </c>
      <c r="E778" t="str">
        <f>IF($A778&lt;&gt;"",'All Cases - Enter Cases'!D778,"")</f>
        <v/>
      </c>
      <c r="F778" s="12" t="str">
        <f>IF($A778&lt;&gt;"",'All Cases - Enter Cases'!E778,"")</f>
        <v/>
      </c>
      <c r="G778" s="12" t="str">
        <f>IF($A778&lt;&gt;"",'All Cases - Enter Cases'!F778,"")</f>
        <v/>
      </c>
      <c r="H778" s="4" t="str">
        <f>IF($A778&lt;&gt;"",'All Cases - Enter Cases'!G778,"")</f>
        <v/>
      </c>
      <c r="I778" t="str">
        <f>IF($A778&lt;&gt;"",'All Cases - Enter Cases'!H778,"")</f>
        <v/>
      </c>
      <c r="J778" t="str">
        <f>IF($A778&lt;&gt;"",'All Cases - Enter Cases'!I778,"")</f>
        <v/>
      </c>
      <c r="K778" t="str">
        <f>IF($A778&lt;&gt;"",'All Cases - Enter Cases'!J778,"")</f>
        <v/>
      </c>
      <c r="L778" s="4" t="str">
        <f>IF($A778&lt;&gt;"",'All Cases - Enter Cases'!K778,"")</f>
        <v/>
      </c>
      <c r="M778" t="str">
        <f>IF($A778&lt;&gt;"",'All Cases - Enter Cases'!L778,"")</f>
        <v/>
      </c>
    </row>
    <row r="779" spans="1:13" x14ac:dyDescent="0.35">
      <c r="A779" s="4" t="str">
        <f>IF('All Cases - Enter Cases'!$K779="Approved",'All Cases - Enter Cases'!A779,"")</f>
        <v/>
      </c>
      <c r="B779" s="4" t="str">
        <f>IF($N779&lt;&gt;"",$N779,IF($A779&lt;&gt;"",'All Cases - Enter Cases'!$L779+7,""))</f>
        <v/>
      </c>
      <c r="C779" t="str">
        <f>IF($A779&lt;&gt;"",'All Cases - Enter Cases'!B779,"")</f>
        <v/>
      </c>
      <c r="D779" t="str">
        <f>IF($A779&lt;&gt;"",'All Cases - Enter Cases'!C779,"")</f>
        <v/>
      </c>
      <c r="E779" t="str">
        <f>IF($A779&lt;&gt;"",'All Cases - Enter Cases'!D779,"")</f>
        <v/>
      </c>
      <c r="F779" s="12" t="str">
        <f>IF($A779&lt;&gt;"",'All Cases - Enter Cases'!E779,"")</f>
        <v/>
      </c>
      <c r="G779" s="12" t="str">
        <f>IF($A779&lt;&gt;"",'All Cases - Enter Cases'!F779,"")</f>
        <v/>
      </c>
      <c r="H779" s="4" t="str">
        <f>IF($A779&lt;&gt;"",'All Cases - Enter Cases'!G779,"")</f>
        <v/>
      </c>
      <c r="I779" t="str">
        <f>IF($A779&lt;&gt;"",'All Cases - Enter Cases'!H779,"")</f>
        <v/>
      </c>
      <c r="J779" t="str">
        <f>IF($A779&lt;&gt;"",'All Cases - Enter Cases'!I779,"")</f>
        <v/>
      </c>
      <c r="K779" t="str">
        <f>IF($A779&lt;&gt;"",'All Cases - Enter Cases'!J779,"")</f>
        <v/>
      </c>
      <c r="L779" s="4" t="str">
        <f>IF($A779&lt;&gt;"",'All Cases - Enter Cases'!K779,"")</f>
        <v/>
      </c>
      <c r="M779" t="str">
        <f>IF($A779&lt;&gt;"",'All Cases - Enter Cases'!L779,"")</f>
        <v/>
      </c>
    </row>
    <row r="780" spans="1:13" x14ac:dyDescent="0.35">
      <c r="A780" s="4" t="str">
        <f>IF('All Cases - Enter Cases'!$K780="Approved",'All Cases - Enter Cases'!A780,"")</f>
        <v/>
      </c>
      <c r="B780" s="4" t="str">
        <f>IF($N780&lt;&gt;"",$N780,IF($A780&lt;&gt;"",'All Cases - Enter Cases'!$L780+7,""))</f>
        <v/>
      </c>
      <c r="C780" t="str">
        <f>IF($A780&lt;&gt;"",'All Cases - Enter Cases'!B780,"")</f>
        <v/>
      </c>
      <c r="D780" t="str">
        <f>IF($A780&lt;&gt;"",'All Cases - Enter Cases'!C780,"")</f>
        <v/>
      </c>
      <c r="E780" t="str">
        <f>IF($A780&lt;&gt;"",'All Cases - Enter Cases'!D780,"")</f>
        <v/>
      </c>
      <c r="F780" s="12" t="str">
        <f>IF($A780&lt;&gt;"",'All Cases - Enter Cases'!E780,"")</f>
        <v/>
      </c>
      <c r="G780" s="12" t="str">
        <f>IF($A780&lt;&gt;"",'All Cases - Enter Cases'!F780,"")</f>
        <v/>
      </c>
      <c r="H780" s="4" t="str">
        <f>IF($A780&lt;&gt;"",'All Cases - Enter Cases'!G780,"")</f>
        <v/>
      </c>
      <c r="I780" t="str">
        <f>IF($A780&lt;&gt;"",'All Cases - Enter Cases'!H780,"")</f>
        <v/>
      </c>
      <c r="J780" t="str">
        <f>IF($A780&lt;&gt;"",'All Cases - Enter Cases'!I780,"")</f>
        <v/>
      </c>
      <c r="K780" t="str">
        <f>IF($A780&lt;&gt;"",'All Cases - Enter Cases'!J780,"")</f>
        <v/>
      </c>
      <c r="L780" s="4" t="str">
        <f>IF($A780&lt;&gt;"",'All Cases - Enter Cases'!K780,"")</f>
        <v/>
      </c>
      <c r="M780" t="str">
        <f>IF($A780&lt;&gt;"",'All Cases - Enter Cases'!L780,"")</f>
        <v/>
      </c>
    </row>
    <row r="781" spans="1:13" x14ac:dyDescent="0.35">
      <c r="A781" s="4" t="str">
        <f>IF('All Cases - Enter Cases'!$K781="Approved",'All Cases - Enter Cases'!A781,"")</f>
        <v/>
      </c>
      <c r="B781" s="4" t="str">
        <f>IF($N781&lt;&gt;"",$N781,IF($A781&lt;&gt;"",'All Cases - Enter Cases'!$L781+7,""))</f>
        <v/>
      </c>
      <c r="C781" t="str">
        <f>IF($A781&lt;&gt;"",'All Cases - Enter Cases'!B781,"")</f>
        <v/>
      </c>
      <c r="D781" t="str">
        <f>IF($A781&lt;&gt;"",'All Cases - Enter Cases'!C781,"")</f>
        <v/>
      </c>
      <c r="E781" t="str">
        <f>IF($A781&lt;&gt;"",'All Cases - Enter Cases'!D781,"")</f>
        <v/>
      </c>
      <c r="F781" s="12" t="str">
        <f>IF($A781&lt;&gt;"",'All Cases - Enter Cases'!E781,"")</f>
        <v/>
      </c>
      <c r="G781" s="12" t="str">
        <f>IF($A781&lt;&gt;"",'All Cases - Enter Cases'!F781,"")</f>
        <v/>
      </c>
      <c r="H781" s="4" t="str">
        <f>IF($A781&lt;&gt;"",'All Cases - Enter Cases'!G781,"")</f>
        <v/>
      </c>
      <c r="I781" t="str">
        <f>IF($A781&lt;&gt;"",'All Cases - Enter Cases'!H781,"")</f>
        <v/>
      </c>
      <c r="J781" t="str">
        <f>IF($A781&lt;&gt;"",'All Cases - Enter Cases'!I781,"")</f>
        <v/>
      </c>
      <c r="K781" t="str">
        <f>IF($A781&lt;&gt;"",'All Cases - Enter Cases'!J781,"")</f>
        <v/>
      </c>
      <c r="L781" s="4" t="str">
        <f>IF($A781&lt;&gt;"",'All Cases - Enter Cases'!K781,"")</f>
        <v/>
      </c>
      <c r="M781" t="str">
        <f>IF($A781&lt;&gt;"",'All Cases - Enter Cases'!L781,"")</f>
        <v/>
      </c>
    </row>
    <row r="782" spans="1:13" x14ac:dyDescent="0.35">
      <c r="A782" s="4" t="str">
        <f>IF('All Cases - Enter Cases'!$K782="Approved",'All Cases - Enter Cases'!A782,"")</f>
        <v/>
      </c>
      <c r="B782" s="4" t="str">
        <f>IF($N782&lt;&gt;"",$N782,IF($A782&lt;&gt;"",'All Cases - Enter Cases'!$L782+7,""))</f>
        <v/>
      </c>
      <c r="C782" t="str">
        <f>IF($A782&lt;&gt;"",'All Cases - Enter Cases'!B782,"")</f>
        <v/>
      </c>
      <c r="D782" t="str">
        <f>IF($A782&lt;&gt;"",'All Cases - Enter Cases'!C782,"")</f>
        <v/>
      </c>
      <c r="E782" t="str">
        <f>IF($A782&lt;&gt;"",'All Cases - Enter Cases'!D782,"")</f>
        <v/>
      </c>
      <c r="F782" s="12" t="str">
        <f>IF($A782&lt;&gt;"",'All Cases - Enter Cases'!E782,"")</f>
        <v/>
      </c>
      <c r="G782" s="12" t="str">
        <f>IF($A782&lt;&gt;"",'All Cases - Enter Cases'!F782,"")</f>
        <v/>
      </c>
      <c r="H782" s="4" t="str">
        <f>IF($A782&lt;&gt;"",'All Cases - Enter Cases'!G782,"")</f>
        <v/>
      </c>
      <c r="I782" t="str">
        <f>IF($A782&lt;&gt;"",'All Cases - Enter Cases'!H782,"")</f>
        <v/>
      </c>
      <c r="J782" t="str">
        <f>IF($A782&lt;&gt;"",'All Cases - Enter Cases'!I782,"")</f>
        <v/>
      </c>
      <c r="K782" t="str">
        <f>IF($A782&lt;&gt;"",'All Cases - Enter Cases'!J782,"")</f>
        <v/>
      </c>
      <c r="L782" s="4" t="str">
        <f>IF($A782&lt;&gt;"",'All Cases - Enter Cases'!K782,"")</f>
        <v/>
      </c>
      <c r="M782" t="str">
        <f>IF($A782&lt;&gt;"",'All Cases - Enter Cases'!L782,"")</f>
        <v/>
      </c>
    </row>
    <row r="783" spans="1:13" x14ac:dyDescent="0.35">
      <c r="A783" s="4" t="str">
        <f>IF('All Cases - Enter Cases'!$K783="Approved",'All Cases - Enter Cases'!A783,"")</f>
        <v/>
      </c>
      <c r="B783" s="4" t="str">
        <f>IF($N783&lt;&gt;"",$N783,IF($A783&lt;&gt;"",'All Cases - Enter Cases'!$L783+7,""))</f>
        <v/>
      </c>
      <c r="C783" t="str">
        <f>IF($A783&lt;&gt;"",'All Cases - Enter Cases'!B783,"")</f>
        <v/>
      </c>
      <c r="D783" t="str">
        <f>IF($A783&lt;&gt;"",'All Cases - Enter Cases'!C783,"")</f>
        <v/>
      </c>
      <c r="E783" t="str">
        <f>IF($A783&lt;&gt;"",'All Cases - Enter Cases'!D783,"")</f>
        <v/>
      </c>
      <c r="F783" s="12" t="str">
        <f>IF($A783&lt;&gt;"",'All Cases - Enter Cases'!E783,"")</f>
        <v/>
      </c>
      <c r="G783" s="12" t="str">
        <f>IF($A783&lt;&gt;"",'All Cases - Enter Cases'!F783,"")</f>
        <v/>
      </c>
      <c r="H783" s="4" t="str">
        <f>IF($A783&lt;&gt;"",'All Cases - Enter Cases'!G783,"")</f>
        <v/>
      </c>
      <c r="I783" t="str">
        <f>IF($A783&lt;&gt;"",'All Cases - Enter Cases'!H783,"")</f>
        <v/>
      </c>
      <c r="J783" t="str">
        <f>IF($A783&lt;&gt;"",'All Cases - Enter Cases'!I783,"")</f>
        <v/>
      </c>
      <c r="K783" t="str">
        <f>IF($A783&lt;&gt;"",'All Cases - Enter Cases'!J783,"")</f>
        <v/>
      </c>
      <c r="L783" s="4" t="str">
        <f>IF($A783&lt;&gt;"",'All Cases - Enter Cases'!K783,"")</f>
        <v/>
      </c>
      <c r="M783" t="str">
        <f>IF($A783&lt;&gt;"",'All Cases - Enter Cases'!L783,"")</f>
        <v/>
      </c>
    </row>
    <row r="784" spans="1:13" x14ac:dyDescent="0.35">
      <c r="A784" s="4" t="str">
        <f>IF('All Cases - Enter Cases'!$K784="Approved",'All Cases - Enter Cases'!A784,"")</f>
        <v/>
      </c>
      <c r="B784" s="4" t="str">
        <f>IF($N784&lt;&gt;"",$N784,IF($A784&lt;&gt;"",'All Cases - Enter Cases'!$L784+7,""))</f>
        <v/>
      </c>
      <c r="C784" t="str">
        <f>IF($A784&lt;&gt;"",'All Cases - Enter Cases'!B784,"")</f>
        <v/>
      </c>
      <c r="D784" t="str">
        <f>IF($A784&lt;&gt;"",'All Cases - Enter Cases'!C784,"")</f>
        <v/>
      </c>
      <c r="E784" t="str">
        <f>IF($A784&lt;&gt;"",'All Cases - Enter Cases'!D784,"")</f>
        <v/>
      </c>
      <c r="F784" s="12" t="str">
        <f>IF($A784&lt;&gt;"",'All Cases - Enter Cases'!E784,"")</f>
        <v/>
      </c>
      <c r="G784" s="12" t="str">
        <f>IF($A784&lt;&gt;"",'All Cases - Enter Cases'!F784,"")</f>
        <v/>
      </c>
      <c r="H784" s="4" t="str">
        <f>IF($A784&lt;&gt;"",'All Cases - Enter Cases'!G784,"")</f>
        <v/>
      </c>
      <c r="I784" t="str">
        <f>IF($A784&lt;&gt;"",'All Cases - Enter Cases'!H784,"")</f>
        <v/>
      </c>
      <c r="J784" t="str">
        <f>IF($A784&lt;&gt;"",'All Cases - Enter Cases'!I784,"")</f>
        <v/>
      </c>
      <c r="K784" t="str">
        <f>IF($A784&lt;&gt;"",'All Cases - Enter Cases'!J784,"")</f>
        <v/>
      </c>
      <c r="L784" s="4" t="str">
        <f>IF($A784&lt;&gt;"",'All Cases - Enter Cases'!K784,"")</f>
        <v/>
      </c>
      <c r="M784" t="str">
        <f>IF($A784&lt;&gt;"",'All Cases - Enter Cases'!L784,"")</f>
        <v/>
      </c>
    </row>
    <row r="785" spans="1:13" x14ac:dyDescent="0.35">
      <c r="A785" s="4" t="str">
        <f>IF('All Cases - Enter Cases'!$K785="Approved",'All Cases - Enter Cases'!A785,"")</f>
        <v/>
      </c>
      <c r="B785" s="4" t="str">
        <f>IF($N785&lt;&gt;"",$N785,IF($A785&lt;&gt;"",'All Cases - Enter Cases'!$L785+7,""))</f>
        <v/>
      </c>
      <c r="C785" t="str">
        <f>IF($A785&lt;&gt;"",'All Cases - Enter Cases'!B785,"")</f>
        <v/>
      </c>
      <c r="D785" t="str">
        <f>IF($A785&lt;&gt;"",'All Cases - Enter Cases'!C785,"")</f>
        <v/>
      </c>
      <c r="E785" t="str">
        <f>IF($A785&lt;&gt;"",'All Cases - Enter Cases'!D785,"")</f>
        <v/>
      </c>
      <c r="F785" s="12" t="str">
        <f>IF($A785&lt;&gt;"",'All Cases - Enter Cases'!E785,"")</f>
        <v/>
      </c>
      <c r="G785" s="12" t="str">
        <f>IF($A785&lt;&gt;"",'All Cases - Enter Cases'!F785,"")</f>
        <v/>
      </c>
      <c r="H785" s="4" t="str">
        <f>IF($A785&lt;&gt;"",'All Cases - Enter Cases'!G785,"")</f>
        <v/>
      </c>
      <c r="I785" t="str">
        <f>IF($A785&lt;&gt;"",'All Cases - Enter Cases'!H785,"")</f>
        <v/>
      </c>
      <c r="J785" t="str">
        <f>IF($A785&lt;&gt;"",'All Cases - Enter Cases'!I785,"")</f>
        <v/>
      </c>
      <c r="K785" t="str">
        <f>IF($A785&lt;&gt;"",'All Cases - Enter Cases'!J785,"")</f>
        <v/>
      </c>
      <c r="L785" s="4" t="str">
        <f>IF($A785&lt;&gt;"",'All Cases - Enter Cases'!K785,"")</f>
        <v/>
      </c>
      <c r="M785" t="str">
        <f>IF($A785&lt;&gt;"",'All Cases - Enter Cases'!L785,"")</f>
        <v/>
      </c>
    </row>
    <row r="786" spans="1:13" x14ac:dyDescent="0.35">
      <c r="A786" s="4" t="str">
        <f>IF('All Cases - Enter Cases'!$K786="Approved",'All Cases - Enter Cases'!A786,"")</f>
        <v/>
      </c>
      <c r="B786" s="4" t="str">
        <f>IF($N786&lt;&gt;"",$N786,IF($A786&lt;&gt;"",'All Cases - Enter Cases'!$L786+7,""))</f>
        <v/>
      </c>
      <c r="C786" t="str">
        <f>IF($A786&lt;&gt;"",'All Cases - Enter Cases'!B786,"")</f>
        <v/>
      </c>
      <c r="D786" t="str">
        <f>IF($A786&lt;&gt;"",'All Cases - Enter Cases'!C786,"")</f>
        <v/>
      </c>
      <c r="E786" t="str">
        <f>IF($A786&lt;&gt;"",'All Cases - Enter Cases'!D786,"")</f>
        <v/>
      </c>
      <c r="F786" s="12" t="str">
        <f>IF($A786&lt;&gt;"",'All Cases - Enter Cases'!E786,"")</f>
        <v/>
      </c>
      <c r="G786" s="12" t="str">
        <f>IF($A786&lt;&gt;"",'All Cases - Enter Cases'!F786,"")</f>
        <v/>
      </c>
      <c r="H786" s="4" t="str">
        <f>IF($A786&lt;&gt;"",'All Cases - Enter Cases'!G786,"")</f>
        <v/>
      </c>
      <c r="I786" t="str">
        <f>IF($A786&lt;&gt;"",'All Cases - Enter Cases'!H786,"")</f>
        <v/>
      </c>
      <c r="J786" t="str">
        <f>IF($A786&lt;&gt;"",'All Cases - Enter Cases'!I786,"")</f>
        <v/>
      </c>
      <c r="K786" t="str">
        <f>IF($A786&lt;&gt;"",'All Cases - Enter Cases'!J786,"")</f>
        <v/>
      </c>
      <c r="L786" s="4" t="str">
        <f>IF($A786&lt;&gt;"",'All Cases - Enter Cases'!K786,"")</f>
        <v/>
      </c>
      <c r="M786" t="str">
        <f>IF($A786&lt;&gt;"",'All Cases - Enter Cases'!L786,"")</f>
        <v/>
      </c>
    </row>
    <row r="787" spans="1:13" x14ac:dyDescent="0.35">
      <c r="A787" s="4" t="str">
        <f>IF('All Cases - Enter Cases'!$K787="Approved",'All Cases - Enter Cases'!A787,"")</f>
        <v/>
      </c>
      <c r="B787" s="4" t="str">
        <f>IF($N787&lt;&gt;"",$N787,IF($A787&lt;&gt;"",'All Cases - Enter Cases'!$L787+7,""))</f>
        <v/>
      </c>
      <c r="C787" t="str">
        <f>IF($A787&lt;&gt;"",'All Cases - Enter Cases'!B787,"")</f>
        <v/>
      </c>
      <c r="D787" t="str">
        <f>IF($A787&lt;&gt;"",'All Cases - Enter Cases'!C787,"")</f>
        <v/>
      </c>
      <c r="E787" t="str">
        <f>IF($A787&lt;&gt;"",'All Cases - Enter Cases'!D787,"")</f>
        <v/>
      </c>
      <c r="F787" s="12" t="str">
        <f>IF($A787&lt;&gt;"",'All Cases - Enter Cases'!E787,"")</f>
        <v/>
      </c>
      <c r="G787" s="12" t="str">
        <f>IF($A787&lt;&gt;"",'All Cases - Enter Cases'!F787,"")</f>
        <v/>
      </c>
      <c r="H787" s="4" t="str">
        <f>IF($A787&lt;&gt;"",'All Cases - Enter Cases'!G787,"")</f>
        <v/>
      </c>
      <c r="I787" t="str">
        <f>IF($A787&lt;&gt;"",'All Cases - Enter Cases'!H787,"")</f>
        <v/>
      </c>
      <c r="J787" t="str">
        <f>IF($A787&lt;&gt;"",'All Cases - Enter Cases'!I787,"")</f>
        <v/>
      </c>
      <c r="K787" t="str">
        <f>IF($A787&lt;&gt;"",'All Cases - Enter Cases'!J787,"")</f>
        <v/>
      </c>
      <c r="L787" s="4" t="str">
        <f>IF($A787&lt;&gt;"",'All Cases - Enter Cases'!K787,"")</f>
        <v/>
      </c>
      <c r="M787" t="str">
        <f>IF($A787&lt;&gt;"",'All Cases - Enter Cases'!L787,"")</f>
        <v/>
      </c>
    </row>
    <row r="788" spans="1:13" x14ac:dyDescent="0.35">
      <c r="A788" s="4" t="str">
        <f>IF('All Cases - Enter Cases'!$K788="Approved",'All Cases - Enter Cases'!A788,"")</f>
        <v/>
      </c>
      <c r="B788" s="4" t="str">
        <f>IF($N788&lt;&gt;"",$N788,IF($A788&lt;&gt;"",'All Cases - Enter Cases'!$L788+7,""))</f>
        <v/>
      </c>
      <c r="C788" t="str">
        <f>IF($A788&lt;&gt;"",'All Cases - Enter Cases'!B788,"")</f>
        <v/>
      </c>
      <c r="D788" t="str">
        <f>IF($A788&lt;&gt;"",'All Cases - Enter Cases'!C788,"")</f>
        <v/>
      </c>
      <c r="E788" t="str">
        <f>IF($A788&lt;&gt;"",'All Cases - Enter Cases'!D788,"")</f>
        <v/>
      </c>
      <c r="F788" s="12" t="str">
        <f>IF($A788&lt;&gt;"",'All Cases - Enter Cases'!E788,"")</f>
        <v/>
      </c>
      <c r="G788" s="12" t="str">
        <f>IF($A788&lt;&gt;"",'All Cases - Enter Cases'!F788,"")</f>
        <v/>
      </c>
      <c r="H788" s="4" t="str">
        <f>IF($A788&lt;&gt;"",'All Cases - Enter Cases'!G788,"")</f>
        <v/>
      </c>
      <c r="I788" t="str">
        <f>IF($A788&lt;&gt;"",'All Cases - Enter Cases'!H788,"")</f>
        <v/>
      </c>
      <c r="J788" t="str">
        <f>IF($A788&lt;&gt;"",'All Cases - Enter Cases'!I788,"")</f>
        <v/>
      </c>
      <c r="K788" t="str">
        <f>IF($A788&lt;&gt;"",'All Cases - Enter Cases'!J788,"")</f>
        <v/>
      </c>
      <c r="L788" s="4" t="str">
        <f>IF($A788&lt;&gt;"",'All Cases - Enter Cases'!K788,"")</f>
        <v/>
      </c>
      <c r="M788" t="str">
        <f>IF($A788&lt;&gt;"",'All Cases - Enter Cases'!L788,"")</f>
        <v/>
      </c>
    </row>
    <row r="789" spans="1:13" x14ac:dyDescent="0.35">
      <c r="A789" s="4" t="str">
        <f>IF('All Cases - Enter Cases'!$K789="Approved",'All Cases - Enter Cases'!A789,"")</f>
        <v/>
      </c>
      <c r="B789" s="4" t="str">
        <f>IF($N789&lt;&gt;"",$N789,IF($A789&lt;&gt;"",'All Cases - Enter Cases'!$L789+7,""))</f>
        <v/>
      </c>
      <c r="C789" t="str">
        <f>IF($A789&lt;&gt;"",'All Cases - Enter Cases'!B789,"")</f>
        <v/>
      </c>
      <c r="D789" t="str">
        <f>IF($A789&lt;&gt;"",'All Cases - Enter Cases'!C789,"")</f>
        <v/>
      </c>
      <c r="E789" t="str">
        <f>IF($A789&lt;&gt;"",'All Cases - Enter Cases'!D789,"")</f>
        <v/>
      </c>
      <c r="F789" s="12" t="str">
        <f>IF($A789&lt;&gt;"",'All Cases - Enter Cases'!E789,"")</f>
        <v/>
      </c>
      <c r="G789" s="12" t="str">
        <f>IF($A789&lt;&gt;"",'All Cases - Enter Cases'!F789,"")</f>
        <v/>
      </c>
      <c r="H789" s="4" t="str">
        <f>IF($A789&lt;&gt;"",'All Cases - Enter Cases'!G789,"")</f>
        <v/>
      </c>
      <c r="I789" t="str">
        <f>IF($A789&lt;&gt;"",'All Cases - Enter Cases'!H789,"")</f>
        <v/>
      </c>
      <c r="J789" t="str">
        <f>IF($A789&lt;&gt;"",'All Cases - Enter Cases'!I789,"")</f>
        <v/>
      </c>
      <c r="K789" t="str">
        <f>IF($A789&lt;&gt;"",'All Cases - Enter Cases'!J789,"")</f>
        <v/>
      </c>
      <c r="L789" s="4" t="str">
        <f>IF($A789&lt;&gt;"",'All Cases - Enter Cases'!K789,"")</f>
        <v/>
      </c>
      <c r="M789" t="str">
        <f>IF($A789&lt;&gt;"",'All Cases - Enter Cases'!L789,"")</f>
        <v/>
      </c>
    </row>
    <row r="790" spans="1:13" x14ac:dyDescent="0.35">
      <c r="A790" s="4" t="str">
        <f>IF('All Cases - Enter Cases'!$K790="Approved",'All Cases - Enter Cases'!A790,"")</f>
        <v/>
      </c>
      <c r="B790" s="4" t="str">
        <f>IF($N790&lt;&gt;"",$N790,IF($A790&lt;&gt;"",'All Cases - Enter Cases'!$L790+7,""))</f>
        <v/>
      </c>
      <c r="C790" t="str">
        <f>IF($A790&lt;&gt;"",'All Cases - Enter Cases'!B790,"")</f>
        <v/>
      </c>
      <c r="D790" t="str">
        <f>IF($A790&lt;&gt;"",'All Cases - Enter Cases'!C790,"")</f>
        <v/>
      </c>
      <c r="E790" t="str">
        <f>IF($A790&lt;&gt;"",'All Cases - Enter Cases'!D790,"")</f>
        <v/>
      </c>
      <c r="F790" s="12" t="str">
        <f>IF($A790&lt;&gt;"",'All Cases - Enter Cases'!E790,"")</f>
        <v/>
      </c>
      <c r="G790" s="12" t="str">
        <f>IF($A790&lt;&gt;"",'All Cases - Enter Cases'!F790,"")</f>
        <v/>
      </c>
      <c r="H790" s="4" t="str">
        <f>IF($A790&lt;&gt;"",'All Cases - Enter Cases'!G790,"")</f>
        <v/>
      </c>
      <c r="I790" t="str">
        <f>IF($A790&lt;&gt;"",'All Cases - Enter Cases'!H790,"")</f>
        <v/>
      </c>
      <c r="J790" t="str">
        <f>IF($A790&lt;&gt;"",'All Cases - Enter Cases'!I790,"")</f>
        <v/>
      </c>
      <c r="K790" t="str">
        <f>IF($A790&lt;&gt;"",'All Cases - Enter Cases'!J790,"")</f>
        <v/>
      </c>
      <c r="L790" s="4" t="str">
        <f>IF($A790&lt;&gt;"",'All Cases - Enter Cases'!K790,"")</f>
        <v/>
      </c>
      <c r="M790" t="str">
        <f>IF($A790&lt;&gt;"",'All Cases - Enter Cases'!L790,"")</f>
        <v/>
      </c>
    </row>
    <row r="791" spans="1:13" x14ac:dyDescent="0.35">
      <c r="A791" s="4" t="str">
        <f>IF('All Cases - Enter Cases'!$K791="Approved",'All Cases - Enter Cases'!A791,"")</f>
        <v/>
      </c>
      <c r="B791" s="4" t="str">
        <f>IF($N791&lt;&gt;"",$N791,IF($A791&lt;&gt;"",'All Cases - Enter Cases'!$L791+7,""))</f>
        <v/>
      </c>
      <c r="C791" t="str">
        <f>IF($A791&lt;&gt;"",'All Cases - Enter Cases'!B791,"")</f>
        <v/>
      </c>
      <c r="D791" t="str">
        <f>IF($A791&lt;&gt;"",'All Cases - Enter Cases'!C791,"")</f>
        <v/>
      </c>
      <c r="E791" t="str">
        <f>IF($A791&lt;&gt;"",'All Cases - Enter Cases'!D791,"")</f>
        <v/>
      </c>
      <c r="F791" s="12" t="str">
        <f>IF($A791&lt;&gt;"",'All Cases - Enter Cases'!E791,"")</f>
        <v/>
      </c>
      <c r="G791" s="12" t="str">
        <f>IF($A791&lt;&gt;"",'All Cases - Enter Cases'!F791,"")</f>
        <v/>
      </c>
      <c r="H791" s="4" t="str">
        <f>IF($A791&lt;&gt;"",'All Cases - Enter Cases'!G791,"")</f>
        <v/>
      </c>
      <c r="I791" t="str">
        <f>IF($A791&lt;&gt;"",'All Cases - Enter Cases'!H791,"")</f>
        <v/>
      </c>
      <c r="J791" t="str">
        <f>IF($A791&lt;&gt;"",'All Cases - Enter Cases'!I791,"")</f>
        <v/>
      </c>
      <c r="K791" t="str">
        <f>IF($A791&lt;&gt;"",'All Cases - Enter Cases'!J791,"")</f>
        <v/>
      </c>
      <c r="L791" s="4" t="str">
        <f>IF($A791&lt;&gt;"",'All Cases - Enter Cases'!K791,"")</f>
        <v/>
      </c>
      <c r="M791" t="str">
        <f>IF($A791&lt;&gt;"",'All Cases - Enter Cases'!L791,"")</f>
        <v/>
      </c>
    </row>
    <row r="792" spans="1:13" x14ac:dyDescent="0.35">
      <c r="A792" s="4" t="str">
        <f>IF('All Cases - Enter Cases'!$K792="Approved",'All Cases - Enter Cases'!A792,"")</f>
        <v/>
      </c>
      <c r="B792" s="4" t="str">
        <f>IF($N792&lt;&gt;"",$N792,IF($A792&lt;&gt;"",'All Cases - Enter Cases'!$L792+7,""))</f>
        <v/>
      </c>
      <c r="C792" t="str">
        <f>IF($A792&lt;&gt;"",'All Cases - Enter Cases'!B792,"")</f>
        <v/>
      </c>
      <c r="D792" t="str">
        <f>IF($A792&lt;&gt;"",'All Cases - Enter Cases'!C792,"")</f>
        <v/>
      </c>
      <c r="E792" t="str">
        <f>IF($A792&lt;&gt;"",'All Cases - Enter Cases'!D792,"")</f>
        <v/>
      </c>
      <c r="F792" s="12" t="str">
        <f>IF($A792&lt;&gt;"",'All Cases - Enter Cases'!E792,"")</f>
        <v/>
      </c>
      <c r="G792" s="12" t="str">
        <f>IF($A792&lt;&gt;"",'All Cases - Enter Cases'!F792,"")</f>
        <v/>
      </c>
      <c r="H792" s="4" t="str">
        <f>IF($A792&lt;&gt;"",'All Cases - Enter Cases'!G792,"")</f>
        <v/>
      </c>
      <c r="I792" t="str">
        <f>IF($A792&lt;&gt;"",'All Cases - Enter Cases'!H792,"")</f>
        <v/>
      </c>
      <c r="J792" t="str">
        <f>IF($A792&lt;&gt;"",'All Cases - Enter Cases'!I792,"")</f>
        <v/>
      </c>
      <c r="K792" t="str">
        <f>IF($A792&lt;&gt;"",'All Cases - Enter Cases'!J792,"")</f>
        <v/>
      </c>
      <c r="L792" s="4" t="str">
        <f>IF($A792&lt;&gt;"",'All Cases - Enter Cases'!K792,"")</f>
        <v/>
      </c>
      <c r="M792" t="str">
        <f>IF($A792&lt;&gt;"",'All Cases - Enter Cases'!L792,"")</f>
        <v/>
      </c>
    </row>
    <row r="793" spans="1:13" x14ac:dyDescent="0.35">
      <c r="A793" s="4" t="str">
        <f>IF('All Cases - Enter Cases'!$K793="Approved",'All Cases - Enter Cases'!A793,"")</f>
        <v/>
      </c>
      <c r="B793" s="4" t="str">
        <f>IF($N793&lt;&gt;"",$N793,IF($A793&lt;&gt;"",'All Cases - Enter Cases'!$L793+7,""))</f>
        <v/>
      </c>
      <c r="C793" t="str">
        <f>IF($A793&lt;&gt;"",'All Cases - Enter Cases'!B793,"")</f>
        <v/>
      </c>
      <c r="D793" t="str">
        <f>IF($A793&lt;&gt;"",'All Cases - Enter Cases'!C793,"")</f>
        <v/>
      </c>
      <c r="E793" t="str">
        <f>IF($A793&lt;&gt;"",'All Cases - Enter Cases'!D793,"")</f>
        <v/>
      </c>
      <c r="F793" s="12" t="str">
        <f>IF($A793&lt;&gt;"",'All Cases - Enter Cases'!E793,"")</f>
        <v/>
      </c>
      <c r="G793" s="12" t="str">
        <f>IF($A793&lt;&gt;"",'All Cases - Enter Cases'!F793,"")</f>
        <v/>
      </c>
      <c r="H793" s="4" t="str">
        <f>IF($A793&lt;&gt;"",'All Cases - Enter Cases'!G793,"")</f>
        <v/>
      </c>
      <c r="I793" t="str">
        <f>IF($A793&lt;&gt;"",'All Cases - Enter Cases'!H793,"")</f>
        <v/>
      </c>
      <c r="J793" t="str">
        <f>IF($A793&lt;&gt;"",'All Cases - Enter Cases'!I793,"")</f>
        <v/>
      </c>
      <c r="K793" t="str">
        <f>IF($A793&lt;&gt;"",'All Cases - Enter Cases'!J793,"")</f>
        <v/>
      </c>
      <c r="L793" s="4" t="str">
        <f>IF($A793&lt;&gt;"",'All Cases - Enter Cases'!K793,"")</f>
        <v/>
      </c>
      <c r="M793" t="str">
        <f>IF($A793&lt;&gt;"",'All Cases - Enter Cases'!L793,"")</f>
        <v/>
      </c>
    </row>
    <row r="794" spans="1:13" x14ac:dyDescent="0.35">
      <c r="A794" s="4" t="str">
        <f>IF('All Cases - Enter Cases'!$K794="Approved",'All Cases - Enter Cases'!A794,"")</f>
        <v/>
      </c>
      <c r="B794" s="4" t="str">
        <f>IF($N794&lt;&gt;"",$N794,IF($A794&lt;&gt;"",'All Cases - Enter Cases'!$L794+7,""))</f>
        <v/>
      </c>
      <c r="C794" t="str">
        <f>IF($A794&lt;&gt;"",'All Cases - Enter Cases'!B794,"")</f>
        <v/>
      </c>
      <c r="D794" t="str">
        <f>IF($A794&lt;&gt;"",'All Cases - Enter Cases'!C794,"")</f>
        <v/>
      </c>
      <c r="E794" t="str">
        <f>IF($A794&lt;&gt;"",'All Cases - Enter Cases'!D794,"")</f>
        <v/>
      </c>
      <c r="F794" s="12" t="str">
        <f>IF($A794&lt;&gt;"",'All Cases - Enter Cases'!E794,"")</f>
        <v/>
      </c>
      <c r="G794" s="12" t="str">
        <f>IF($A794&lt;&gt;"",'All Cases - Enter Cases'!F794,"")</f>
        <v/>
      </c>
      <c r="H794" s="4" t="str">
        <f>IF($A794&lt;&gt;"",'All Cases - Enter Cases'!G794,"")</f>
        <v/>
      </c>
      <c r="I794" t="str">
        <f>IF($A794&lt;&gt;"",'All Cases - Enter Cases'!H794,"")</f>
        <v/>
      </c>
      <c r="J794" t="str">
        <f>IF($A794&lt;&gt;"",'All Cases - Enter Cases'!I794,"")</f>
        <v/>
      </c>
      <c r="K794" t="str">
        <f>IF($A794&lt;&gt;"",'All Cases - Enter Cases'!J794,"")</f>
        <v/>
      </c>
      <c r="L794" s="4" t="str">
        <f>IF($A794&lt;&gt;"",'All Cases - Enter Cases'!K794,"")</f>
        <v/>
      </c>
      <c r="M794" t="str">
        <f>IF($A794&lt;&gt;"",'All Cases - Enter Cases'!L794,"")</f>
        <v/>
      </c>
    </row>
    <row r="795" spans="1:13" x14ac:dyDescent="0.35">
      <c r="A795" s="4" t="str">
        <f>IF('All Cases - Enter Cases'!$K795="Approved",'All Cases - Enter Cases'!A795,"")</f>
        <v/>
      </c>
      <c r="B795" s="4" t="str">
        <f>IF($N795&lt;&gt;"",$N795,IF($A795&lt;&gt;"",'All Cases - Enter Cases'!$L795+7,""))</f>
        <v/>
      </c>
      <c r="C795" t="str">
        <f>IF($A795&lt;&gt;"",'All Cases - Enter Cases'!B795,"")</f>
        <v/>
      </c>
      <c r="D795" t="str">
        <f>IF($A795&lt;&gt;"",'All Cases - Enter Cases'!C795,"")</f>
        <v/>
      </c>
      <c r="E795" t="str">
        <f>IF($A795&lt;&gt;"",'All Cases - Enter Cases'!D795,"")</f>
        <v/>
      </c>
      <c r="F795" s="12" t="str">
        <f>IF($A795&lt;&gt;"",'All Cases - Enter Cases'!E795,"")</f>
        <v/>
      </c>
      <c r="G795" s="12" t="str">
        <f>IF($A795&lt;&gt;"",'All Cases - Enter Cases'!F795,"")</f>
        <v/>
      </c>
      <c r="H795" s="4" t="str">
        <f>IF($A795&lt;&gt;"",'All Cases - Enter Cases'!G795,"")</f>
        <v/>
      </c>
      <c r="I795" t="str">
        <f>IF($A795&lt;&gt;"",'All Cases - Enter Cases'!H795,"")</f>
        <v/>
      </c>
      <c r="J795" t="str">
        <f>IF($A795&lt;&gt;"",'All Cases - Enter Cases'!I795,"")</f>
        <v/>
      </c>
      <c r="K795" t="str">
        <f>IF($A795&lt;&gt;"",'All Cases - Enter Cases'!J795,"")</f>
        <v/>
      </c>
      <c r="L795" s="4" t="str">
        <f>IF($A795&lt;&gt;"",'All Cases - Enter Cases'!K795,"")</f>
        <v/>
      </c>
      <c r="M795" t="str">
        <f>IF($A795&lt;&gt;"",'All Cases - Enter Cases'!L795,"")</f>
        <v/>
      </c>
    </row>
    <row r="796" spans="1:13" x14ac:dyDescent="0.35">
      <c r="A796" s="4" t="str">
        <f>IF('All Cases - Enter Cases'!$K796="Approved",'All Cases - Enter Cases'!A796,"")</f>
        <v/>
      </c>
      <c r="B796" s="4" t="str">
        <f>IF($N796&lt;&gt;"",$N796,IF($A796&lt;&gt;"",'All Cases - Enter Cases'!$L796+7,""))</f>
        <v/>
      </c>
      <c r="C796" t="str">
        <f>IF($A796&lt;&gt;"",'All Cases - Enter Cases'!B796,"")</f>
        <v/>
      </c>
      <c r="D796" t="str">
        <f>IF($A796&lt;&gt;"",'All Cases - Enter Cases'!C796,"")</f>
        <v/>
      </c>
      <c r="E796" t="str">
        <f>IF($A796&lt;&gt;"",'All Cases - Enter Cases'!D796,"")</f>
        <v/>
      </c>
      <c r="F796" s="12" t="str">
        <f>IF($A796&lt;&gt;"",'All Cases - Enter Cases'!E796,"")</f>
        <v/>
      </c>
      <c r="G796" s="12" t="str">
        <f>IF($A796&lt;&gt;"",'All Cases - Enter Cases'!F796,"")</f>
        <v/>
      </c>
      <c r="H796" s="4" t="str">
        <f>IF($A796&lt;&gt;"",'All Cases - Enter Cases'!G796,"")</f>
        <v/>
      </c>
      <c r="I796" t="str">
        <f>IF($A796&lt;&gt;"",'All Cases - Enter Cases'!H796,"")</f>
        <v/>
      </c>
      <c r="J796" t="str">
        <f>IF($A796&lt;&gt;"",'All Cases - Enter Cases'!I796,"")</f>
        <v/>
      </c>
      <c r="K796" t="str">
        <f>IF($A796&lt;&gt;"",'All Cases - Enter Cases'!J796,"")</f>
        <v/>
      </c>
      <c r="L796" s="4" t="str">
        <f>IF($A796&lt;&gt;"",'All Cases - Enter Cases'!K796,"")</f>
        <v/>
      </c>
      <c r="M796" t="str">
        <f>IF($A796&lt;&gt;"",'All Cases - Enter Cases'!L796,"")</f>
        <v/>
      </c>
    </row>
    <row r="797" spans="1:13" x14ac:dyDescent="0.35">
      <c r="A797" s="4" t="str">
        <f>IF('All Cases - Enter Cases'!$K797="Approved",'All Cases - Enter Cases'!A797,"")</f>
        <v/>
      </c>
      <c r="B797" s="4" t="str">
        <f>IF($N797&lt;&gt;"",$N797,IF($A797&lt;&gt;"",'All Cases - Enter Cases'!$L797+7,""))</f>
        <v/>
      </c>
      <c r="C797" t="str">
        <f>IF($A797&lt;&gt;"",'All Cases - Enter Cases'!B797,"")</f>
        <v/>
      </c>
      <c r="D797" t="str">
        <f>IF($A797&lt;&gt;"",'All Cases - Enter Cases'!C797,"")</f>
        <v/>
      </c>
      <c r="E797" t="str">
        <f>IF($A797&lt;&gt;"",'All Cases - Enter Cases'!D797,"")</f>
        <v/>
      </c>
      <c r="F797" s="12" t="str">
        <f>IF($A797&lt;&gt;"",'All Cases - Enter Cases'!E797,"")</f>
        <v/>
      </c>
      <c r="G797" s="12" t="str">
        <f>IF($A797&lt;&gt;"",'All Cases - Enter Cases'!F797,"")</f>
        <v/>
      </c>
      <c r="H797" s="4" t="str">
        <f>IF($A797&lt;&gt;"",'All Cases - Enter Cases'!G797,"")</f>
        <v/>
      </c>
      <c r="I797" t="str">
        <f>IF($A797&lt;&gt;"",'All Cases - Enter Cases'!H797,"")</f>
        <v/>
      </c>
      <c r="J797" t="str">
        <f>IF($A797&lt;&gt;"",'All Cases - Enter Cases'!I797,"")</f>
        <v/>
      </c>
      <c r="K797" t="str">
        <f>IF($A797&lt;&gt;"",'All Cases - Enter Cases'!J797,"")</f>
        <v/>
      </c>
      <c r="L797" s="4" t="str">
        <f>IF($A797&lt;&gt;"",'All Cases - Enter Cases'!K797,"")</f>
        <v/>
      </c>
      <c r="M797" t="str">
        <f>IF($A797&lt;&gt;"",'All Cases - Enter Cases'!L797,"")</f>
        <v/>
      </c>
    </row>
    <row r="798" spans="1:13" x14ac:dyDescent="0.35">
      <c r="A798" s="4" t="str">
        <f>IF('All Cases - Enter Cases'!$K798="Approved",'All Cases - Enter Cases'!A798,"")</f>
        <v/>
      </c>
      <c r="B798" s="4" t="str">
        <f>IF($N798&lt;&gt;"",$N798,IF($A798&lt;&gt;"",'All Cases - Enter Cases'!$L798+7,""))</f>
        <v/>
      </c>
      <c r="C798" t="str">
        <f>IF($A798&lt;&gt;"",'All Cases - Enter Cases'!B798,"")</f>
        <v/>
      </c>
      <c r="D798" t="str">
        <f>IF($A798&lt;&gt;"",'All Cases - Enter Cases'!C798,"")</f>
        <v/>
      </c>
      <c r="E798" t="str">
        <f>IF($A798&lt;&gt;"",'All Cases - Enter Cases'!D798,"")</f>
        <v/>
      </c>
      <c r="F798" s="12" t="str">
        <f>IF($A798&lt;&gt;"",'All Cases - Enter Cases'!E798,"")</f>
        <v/>
      </c>
      <c r="G798" s="12" t="str">
        <f>IF($A798&lt;&gt;"",'All Cases - Enter Cases'!F798,"")</f>
        <v/>
      </c>
      <c r="H798" s="4" t="str">
        <f>IF($A798&lt;&gt;"",'All Cases - Enter Cases'!G798,"")</f>
        <v/>
      </c>
      <c r="I798" t="str">
        <f>IF($A798&lt;&gt;"",'All Cases - Enter Cases'!H798,"")</f>
        <v/>
      </c>
      <c r="J798" t="str">
        <f>IF($A798&lt;&gt;"",'All Cases - Enter Cases'!I798,"")</f>
        <v/>
      </c>
      <c r="K798" t="str">
        <f>IF($A798&lt;&gt;"",'All Cases - Enter Cases'!J798,"")</f>
        <v/>
      </c>
      <c r="L798" s="4" t="str">
        <f>IF($A798&lt;&gt;"",'All Cases - Enter Cases'!K798,"")</f>
        <v/>
      </c>
      <c r="M798" t="str">
        <f>IF($A798&lt;&gt;"",'All Cases - Enter Cases'!L798,"")</f>
        <v/>
      </c>
    </row>
    <row r="799" spans="1:13" x14ac:dyDescent="0.35">
      <c r="A799" s="4" t="str">
        <f>IF('All Cases - Enter Cases'!$K799="Approved",'All Cases - Enter Cases'!A799,"")</f>
        <v/>
      </c>
      <c r="B799" s="4" t="str">
        <f>IF($N799&lt;&gt;"",$N799,IF($A799&lt;&gt;"",'All Cases - Enter Cases'!$L799+7,""))</f>
        <v/>
      </c>
      <c r="C799" t="str">
        <f>IF($A799&lt;&gt;"",'All Cases - Enter Cases'!B799,"")</f>
        <v/>
      </c>
      <c r="D799" t="str">
        <f>IF($A799&lt;&gt;"",'All Cases - Enter Cases'!C799,"")</f>
        <v/>
      </c>
      <c r="E799" t="str">
        <f>IF($A799&lt;&gt;"",'All Cases - Enter Cases'!D799,"")</f>
        <v/>
      </c>
      <c r="F799" s="12" t="str">
        <f>IF($A799&lt;&gt;"",'All Cases - Enter Cases'!E799,"")</f>
        <v/>
      </c>
      <c r="G799" s="12" t="str">
        <f>IF($A799&lt;&gt;"",'All Cases - Enter Cases'!F799,"")</f>
        <v/>
      </c>
      <c r="H799" s="4" t="str">
        <f>IF($A799&lt;&gt;"",'All Cases - Enter Cases'!G799,"")</f>
        <v/>
      </c>
      <c r="I799" t="str">
        <f>IF($A799&lt;&gt;"",'All Cases - Enter Cases'!H799,"")</f>
        <v/>
      </c>
      <c r="J799" t="str">
        <f>IF($A799&lt;&gt;"",'All Cases - Enter Cases'!I799,"")</f>
        <v/>
      </c>
      <c r="K799" t="str">
        <f>IF($A799&lt;&gt;"",'All Cases - Enter Cases'!J799,"")</f>
        <v/>
      </c>
      <c r="L799" s="4" t="str">
        <f>IF($A799&lt;&gt;"",'All Cases - Enter Cases'!K799,"")</f>
        <v/>
      </c>
      <c r="M799" t="str">
        <f>IF($A799&lt;&gt;"",'All Cases - Enter Cases'!L799,"")</f>
        <v/>
      </c>
    </row>
    <row r="800" spans="1:13" x14ac:dyDescent="0.35">
      <c r="A800" s="4" t="str">
        <f>IF('All Cases - Enter Cases'!$K800="Approved",'All Cases - Enter Cases'!A800,"")</f>
        <v/>
      </c>
      <c r="B800" s="4" t="str">
        <f>IF($N800&lt;&gt;"",$N800,IF($A800&lt;&gt;"",'All Cases - Enter Cases'!$L800+7,""))</f>
        <v/>
      </c>
      <c r="C800" t="str">
        <f>IF($A800&lt;&gt;"",'All Cases - Enter Cases'!B800,"")</f>
        <v/>
      </c>
      <c r="D800" t="str">
        <f>IF($A800&lt;&gt;"",'All Cases - Enter Cases'!C800,"")</f>
        <v/>
      </c>
      <c r="E800" t="str">
        <f>IF($A800&lt;&gt;"",'All Cases - Enter Cases'!D800,"")</f>
        <v/>
      </c>
      <c r="F800" s="12" t="str">
        <f>IF($A800&lt;&gt;"",'All Cases - Enter Cases'!E800,"")</f>
        <v/>
      </c>
      <c r="G800" s="12" t="str">
        <f>IF($A800&lt;&gt;"",'All Cases - Enter Cases'!F800,"")</f>
        <v/>
      </c>
      <c r="H800" s="4" t="str">
        <f>IF($A800&lt;&gt;"",'All Cases - Enter Cases'!G800,"")</f>
        <v/>
      </c>
      <c r="I800" t="str">
        <f>IF($A800&lt;&gt;"",'All Cases - Enter Cases'!H800,"")</f>
        <v/>
      </c>
      <c r="J800" t="str">
        <f>IF($A800&lt;&gt;"",'All Cases - Enter Cases'!I800,"")</f>
        <v/>
      </c>
      <c r="K800" t="str">
        <f>IF($A800&lt;&gt;"",'All Cases - Enter Cases'!J800,"")</f>
        <v/>
      </c>
      <c r="L800" s="4" t="str">
        <f>IF($A800&lt;&gt;"",'All Cases - Enter Cases'!K800,"")</f>
        <v/>
      </c>
      <c r="M800" t="str">
        <f>IF($A800&lt;&gt;"",'All Cases - Enter Cases'!L800,"")</f>
        <v/>
      </c>
    </row>
    <row r="801" spans="1:13" x14ac:dyDescent="0.35">
      <c r="A801" s="4" t="str">
        <f>IF('All Cases - Enter Cases'!$K801="Approved",'All Cases - Enter Cases'!A801,"")</f>
        <v/>
      </c>
      <c r="B801" s="4" t="str">
        <f>IF($N801&lt;&gt;"",$N801,IF($A801&lt;&gt;"",'All Cases - Enter Cases'!$L801+7,""))</f>
        <v/>
      </c>
      <c r="C801" t="str">
        <f>IF($A801&lt;&gt;"",'All Cases - Enter Cases'!B801,"")</f>
        <v/>
      </c>
      <c r="D801" t="str">
        <f>IF($A801&lt;&gt;"",'All Cases - Enter Cases'!C801,"")</f>
        <v/>
      </c>
      <c r="E801" t="str">
        <f>IF($A801&lt;&gt;"",'All Cases - Enter Cases'!D801,"")</f>
        <v/>
      </c>
      <c r="F801" s="12" t="str">
        <f>IF($A801&lt;&gt;"",'All Cases - Enter Cases'!E801,"")</f>
        <v/>
      </c>
      <c r="G801" s="12" t="str">
        <f>IF($A801&lt;&gt;"",'All Cases - Enter Cases'!F801,"")</f>
        <v/>
      </c>
      <c r="H801" s="4" t="str">
        <f>IF($A801&lt;&gt;"",'All Cases - Enter Cases'!G801,"")</f>
        <v/>
      </c>
      <c r="I801" t="str">
        <f>IF($A801&lt;&gt;"",'All Cases - Enter Cases'!H801,"")</f>
        <v/>
      </c>
      <c r="J801" t="str">
        <f>IF($A801&lt;&gt;"",'All Cases - Enter Cases'!I801,"")</f>
        <v/>
      </c>
      <c r="K801" t="str">
        <f>IF($A801&lt;&gt;"",'All Cases - Enter Cases'!J801,"")</f>
        <v/>
      </c>
      <c r="L801" s="4" t="str">
        <f>IF($A801&lt;&gt;"",'All Cases - Enter Cases'!K801,"")</f>
        <v/>
      </c>
      <c r="M801" t="str">
        <f>IF($A801&lt;&gt;"",'All Cases - Enter Cases'!L801,"")</f>
        <v/>
      </c>
    </row>
    <row r="802" spans="1:13" x14ac:dyDescent="0.35">
      <c r="A802" s="4" t="str">
        <f>IF('All Cases - Enter Cases'!$K802="Approved",'All Cases - Enter Cases'!A802,"")</f>
        <v/>
      </c>
      <c r="B802" s="4" t="str">
        <f>IF($N802&lt;&gt;"",$N802,IF($A802&lt;&gt;"",'All Cases - Enter Cases'!$L802+7,""))</f>
        <v/>
      </c>
      <c r="C802" t="str">
        <f>IF($A802&lt;&gt;"",'All Cases - Enter Cases'!B802,"")</f>
        <v/>
      </c>
      <c r="D802" t="str">
        <f>IF($A802&lt;&gt;"",'All Cases - Enter Cases'!C802,"")</f>
        <v/>
      </c>
      <c r="E802" t="str">
        <f>IF($A802&lt;&gt;"",'All Cases - Enter Cases'!D802,"")</f>
        <v/>
      </c>
      <c r="F802" s="12" t="str">
        <f>IF($A802&lt;&gt;"",'All Cases - Enter Cases'!E802,"")</f>
        <v/>
      </c>
      <c r="G802" s="12" t="str">
        <f>IF($A802&lt;&gt;"",'All Cases - Enter Cases'!F802,"")</f>
        <v/>
      </c>
      <c r="H802" s="4" t="str">
        <f>IF($A802&lt;&gt;"",'All Cases - Enter Cases'!G802,"")</f>
        <v/>
      </c>
      <c r="I802" t="str">
        <f>IF($A802&lt;&gt;"",'All Cases - Enter Cases'!H802,"")</f>
        <v/>
      </c>
      <c r="J802" t="str">
        <f>IF($A802&lt;&gt;"",'All Cases - Enter Cases'!I802,"")</f>
        <v/>
      </c>
      <c r="K802" t="str">
        <f>IF($A802&lt;&gt;"",'All Cases - Enter Cases'!J802,"")</f>
        <v/>
      </c>
      <c r="L802" s="4" t="str">
        <f>IF($A802&lt;&gt;"",'All Cases - Enter Cases'!K802,"")</f>
        <v/>
      </c>
      <c r="M802" t="str">
        <f>IF($A802&lt;&gt;"",'All Cases - Enter Cases'!L802,"")</f>
        <v/>
      </c>
    </row>
    <row r="803" spans="1:13" x14ac:dyDescent="0.35">
      <c r="A803" s="4" t="str">
        <f>IF('All Cases - Enter Cases'!$K803="Approved",'All Cases - Enter Cases'!A803,"")</f>
        <v/>
      </c>
      <c r="B803" s="4" t="str">
        <f>IF($N803&lt;&gt;"",$N803,IF($A803&lt;&gt;"",'All Cases - Enter Cases'!$L803+7,""))</f>
        <v/>
      </c>
      <c r="C803" t="str">
        <f>IF($A803&lt;&gt;"",'All Cases - Enter Cases'!B803,"")</f>
        <v/>
      </c>
      <c r="D803" t="str">
        <f>IF($A803&lt;&gt;"",'All Cases - Enter Cases'!C803,"")</f>
        <v/>
      </c>
      <c r="E803" t="str">
        <f>IF($A803&lt;&gt;"",'All Cases - Enter Cases'!D803,"")</f>
        <v/>
      </c>
      <c r="F803" s="12" t="str">
        <f>IF($A803&lt;&gt;"",'All Cases - Enter Cases'!E803,"")</f>
        <v/>
      </c>
      <c r="G803" s="12" t="str">
        <f>IF($A803&lt;&gt;"",'All Cases - Enter Cases'!F803,"")</f>
        <v/>
      </c>
      <c r="H803" s="4" t="str">
        <f>IF($A803&lt;&gt;"",'All Cases - Enter Cases'!G803,"")</f>
        <v/>
      </c>
      <c r="I803" t="str">
        <f>IF($A803&lt;&gt;"",'All Cases - Enter Cases'!H803,"")</f>
        <v/>
      </c>
      <c r="J803" t="str">
        <f>IF($A803&lt;&gt;"",'All Cases - Enter Cases'!I803,"")</f>
        <v/>
      </c>
      <c r="K803" t="str">
        <f>IF($A803&lt;&gt;"",'All Cases - Enter Cases'!J803,"")</f>
        <v/>
      </c>
      <c r="L803" s="4" t="str">
        <f>IF($A803&lt;&gt;"",'All Cases - Enter Cases'!K803,"")</f>
        <v/>
      </c>
      <c r="M803" t="str">
        <f>IF($A803&lt;&gt;"",'All Cases - Enter Cases'!L803,"")</f>
        <v/>
      </c>
    </row>
    <row r="804" spans="1:13" x14ac:dyDescent="0.35">
      <c r="A804" s="4" t="str">
        <f>IF('All Cases - Enter Cases'!$K804="Approved",'All Cases - Enter Cases'!A804,"")</f>
        <v/>
      </c>
      <c r="B804" s="4" t="str">
        <f>IF($N804&lt;&gt;"",$N804,IF($A804&lt;&gt;"",'All Cases - Enter Cases'!$L804+7,""))</f>
        <v/>
      </c>
      <c r="C804" t="str">
        <f>IF($A804&lt;&gt;"",'All Cases - Enter Cases'!B804,"")</f>
        <v/>
      </c>
      <c r="D804" t="str">
        <f>IF($A804&lt;&gt;"",'All Cases - Enter Cases'!C804,"")</f>
        <v/>
      </c>
      <c r="E804" t="str">
        <f>IF($A804&lt;&gt;"",'All Cases - Enter Cases'!D804,"")</f>
        <v/>
      </c>
      <c r="F804" s="12" t="str">
        <f>IF($A804&lt;&gt;"",'All Cases - Enter Cases'!E804,"")</f>
        <v/>
      </c>
      <c r="G804" s="12" t="str">
        <f>IF($A804&lt;&gt;"",'All Cases - Enter Cases'!F804,"")</f>
        <v/>
      </c>
      <c r="H804" s="4" t="str">
        <f>IF($A804&lt;&gt;"",'All Cases - Enter Cases'!G804,"")</f>
        <v/>
      </c>
      <c r="I804" t="str">
        <f>IF($A804&lt;&gt;"",'All Cases - Enter Cases'!H804,"")</f>
        <v/>
      </c>
      <c r="J804" t="str">
        <f>IF($A804&lt;&gt;"",'All Cases - Enter Cases'!I804,"")</f>
        <v/>
      </c>
      <c r="K804" t="str">
        <f>IF($A804&lt;&gt;"",'All Cases - Enter Cases'!J804,"")</f>
        <v/>
      </c>
      <c r="L804" s="4" t="str">
        <f>IF($A804&lt;&gt;"",'All Cases - Enter Cases'!K804,"")</f>
        <v/>
      </c>
      <c r="M804" t="str">
        <f>IF($A804&lt;&gt;"",'All Cases - Enter Cases'!L804,"")</f>
        <v/>
      </c>
    </row>
    <row r="805" spans="1:13" x14ac:dyDescent="0.35">
      <c r="A805" s="4" t="str">
        <f>IF('All Cases - Enter Cases'!$K805="Approved",'All Cases - Enter Cases'!A805,"")</f>
        <v/>
      </c>
      <c r="B805" s="4" t="str">
        <f>IF($N805&lt;&gt;"",$N805,IF($A805&lt;&gt;"",'All Cases - Enter Cases'!$L805+7,""))</f>
        <v/>
      </c>
      <c r="C805" t="str">
        <f>IF($A805&lt;&gt;"",'All Cases - Enter Cases'!B805,"")</f>
        <v/>
      </c>
      <c r="D805" t="str">
        <f>IF($A805&lt;&gt;"",'All Cases - Enter Cases'!C805,"")</f>
        <v/>
      </c>
      <c r="E805" t="str">
        <f>IF($A805&lt;&gt;"",'All Cases - Enter Cases'!D805,"")</f>
        <v/>
      </c>
      <c r="F805" s="12" t="str">
        <f>IF($A805&lt;&gt;"",'All Cases - Enter Cases'!E805,"")</f>
        <v/>
      </c>
      <c r="G805" s="12" t="str">
        <f>IF($A805&lt;&gt;"",'All Cases - Enter Cases'!F805,"")</f>
        <v/>
      </c>
      <c r="H805" s="4" t="str">
        <f>IF($A805&lt;&gt;"",'All Cases - Enter Cases'!G805,"")</f>
        <v/>
      </c>
      <c r="I805" t="str">
        <f>IF($A805&lt;&gt;"",'All Cases - Enter Cases'!H805,"")</f>
        <v/>
      </c>
      <c r="J805" t="str">
        <f>IF($A805&lt;&gt;"",'All Cases - Enter Cases'!I805,"")</f>
        <v/>
      </c>
      <c r="K805" t="str">
        <f>IF($A805&lt;&gt;"",'All Cases - Enter Cases'!J805,"")</f>
        <v/>
      </c>
      <c r="L805" s="4" t="str">
        <f>IF($A805&lt;&gt;"",'All Cases - Enter Cases'!K805,"")</f>
        <v/>
      </c>
      <c r="M805" t="str">
        <f>IF($A805&lt;&gt;"",'All Cases - Enter Cases'!L805,"")</f>
        <v/>
      </c>
    </row>
    <row r="806" spans="1:13" x14ac:dyDescent="0.35">
      <c r="A806" s="4" t="str">
        <f>IF('All Cases - Enter Cases'!$K806="Approved",'All Cases - Enter Cases'!A806,"")</f>
        <v/>
      </c>
      <c r="B806" s="4" t="str">
        <f>IF($N806&lt;&gt;"",$N806,IF($A806&lt;&gt;"",'All Cases - Enter Cases'!$L806+7,""))</f>
        <v/>
      </c>
      <c r="C806" t="str">
        <f>IF($A806&lt;&gt;"",'All Cases - Enter Cases'!B806,"")</f>
        <v/>
      </c>
      <c r="D806" t="str">
        <f>IF($A806&lt;&gt;"",'All Cases - Enter Cases'!C806,"")</f>
        <v/>
      </c>
      <c r="E806" t="str">
        <f>IF($A806&lt;&gt;"",'All Cases - Enter Cases'!D806,"")</f>
        <v/>
      </c>
      <c r="F806" s="12" t="str">
        <f>IF($A806&lt;&gt;"",'All Cases - Enter Cases'!E806,"")</f>
        <v/>
      </c>
      <c r="G806" s="12" t="str">
        <f>IF($A806&lt;&gt;"",'All Cases - Enter Cases'!F806,"")</f>
        <v/>
      </c>
      <c r="H806" s="4" t="str">
        <f>IF($A806&lt;&gt;"",'All Cases - Enter Cases'!G806,"")</f>
        <v/>
      </c>
      <c r="I806" t="str">
        <f>IF($A806&lt;&gt;"",'All Cases - Enter Cases'!H806,"")</f>
        <v/>
      </c>
      <c r="J806" t="str">
        <f>IF($A806&lt;&gt;"",'All Cases - Enter Cases'!I806,"")</f>
        <v/>
      </c>
      <c r="K806" t="str">
        <f>IF($A806&lt;&gt;"",'All Cases - Enter Cases'!J806,"")</f>
        <v/>
      </c>
      <c r="L806" s="4" t="str">
        <f>IF($A806&lt;&gt;"",'All Cases - Enter Cases'!K806,"")</f>
        <v/>
      </c>
      <c r="M806" t="str">
        <f>IF($A806&lt;&gt;"",'All Cases - Enter Cases'!L806,"")</f>
        <v/>
      </c>
    </row>
    <row r="807" spans="1:13" x14ac:dyDescent="0.35">
      <c r="A807" s="4" t="str">
        <f>IF('All Cases - Enter Cases'!$K807="Approved",'All Cases - Enter Cases'!A807,"")</f>
        <v/>
      </c>
      <c r="B807" s="4" t="str">
        <f>IF($N807&lt;&gt;"",$N807,IF($A807&lt;&gt;"",'All Cases - Enter Cases'!$L807+7,""))</f>
        <v/>
      </c>
      <c r="C807" t="str">
        <f>IF($A807&lt;&gt;"",'All Cases - Enter Cases'!B807,"")</f>
        <v/>
      </c>
      <c r="D807" t="str">
        <f>IF($A807&lt;&gt;"",'All Cases - Enter Cases'!C807,"")</f>
        <v/>
      </c>
      <c r="E807" t="str">
        <f>IF($A807&lt;&gt;"",'All Cases - Enter Cases'!D807,"")</f>
        <v/>
      </c>
      <c r="F807" s="12" t="str">
        <f>IF($A807&lt;&gt;"",'All Cases - Enter Cases'!E807,"")</f>
        <v/>
      </c>
      <c r="G807" s="12" t="str">
        <f>IF($A807&lt;&gt;"",'All Cases - Enter Cases'!F807,"")</f>
        <v/>
      </c>
      <c r="H807" s="4" t="str">
        <f>IF($A807&lt;&gt;"",'All Cases - Enter Cases'!G807,"")</f>
        <v/>
      </c>
      <c r="I807" t="str">
        <f>IF($A807&lt;&gt;"",'All Cases - Enter Cases'!H807,"")</f>
        <v/>
      </c>
      <c r="J807" t="str">
        <f>IF($A807&lt;&gt;"",'All Cases - Enter Cases'!I807,"")</f>
        <v/>
      </c>
      <c r="K807" t="str">
        <f>IF($A807&lt;&gt;"",'All Cases - Enter Cases'!J807,"")</f>
        <v/>
      </c>
      <c r="L807" s="4" t="str">
        <f>IF($A807&lt;&gt;"",'All Cases - Enter Cases'!K807,"")</f>
        <v/>
      </c>
      <c r="M807" t="str">
        <f>IF($A807&lt;&gt;"",'All Cases - Enter Cases'!L807,"")</f>
        <v/>
      </c>
    </row>
    <row r="808" spans="1:13" x14ac:dyDescent="0.35">
      <c r="A808" s="4" t="str">
        <f>IF('All Cases - Enter Cases'!$K808="Approved",'All Cases - Enter Cases'!A808,"")</f>
        <v/>
      </c>
      <c r="B808" s="4" t="str">
        <f>IF($N808&lt;&gt;"",$N808,IF($A808&lt;&gt;"",'All Cases - Enter Cases'!$L808+7,""))</f>
        <v/>
      </c>
      <c r="C808" t="str">
        <f>IF($A808&lt;&gt;"",'All Cases - Enter Cases'!B808,"")</f>
        <v/>
      </c>
      <c r="D808" t="str">
        <f>IF($A808&lt;&gt;"",'All Cases - Enter Cases'!C808,"")</f>
        <v/>
      </c>
      <c r="E808" t="str">
        <f>IF($A808&lt;&gt;"",'All Cases - Enter Cases'!D808,"")</f>
        <v/>
      </c>
      <c r="F808" s="12" t="str">
        <f>IF($A808&lt;&gt;"",'All Cases - Enter Cases'!E808,"")</f>
        <v/>
      </c>
      <c r="G808" s="12" t="str">
        <f>IF($A808&lt;&gt;"",'All Cases - Enter Cases'!F808,"")</f>
        <v/>
      </c>
      <c r="H808" s="4" t="str">
        <f>IF($A808&lt;&gt;"",'All Cases - Enter Cases'!G808,"")</f>
        <v/>
      </c>
      <c r="I808" t="str">
        <f>IF($A808&lt;&gt;"",'All Cases - Enter Cases'!H808,"")</f>
        <v/>
      </c>
      <c r="J808" t="str">
        <f>IF($A808&lt;&gt;"",'All Cases - Enter Cases'!I808,"")</f>
        <v/>
      </c>
      <c r="K808" t="str">
        <f>IF($A808&lt;&gt;"",'All Cases - Enter Cases'!J808,"")</f>
        <v/>
      </c>
      <c r="L808" s="4" t="str">
        <f>IF($A808&lt;&gt;"",'All Cases - Enter Cases'!K808,"")</f>
        <v/>
      </c>
      <c r="M808" t="str">
        <f>IF($A808&lt;&gt;"",'All Cases - Enter Cases'!L808,"")</f>
        <v/>
      </c>
    </row>
    <row r="809" spans="1:13" x14ac:dyDescent="0.35">
      <c r="A809" s="4" t="str">
        <f>IF('All Cases - Enter Cases'!$K809="Approved",'All Cases - Enter Cases'!A809,"")</f>
        <v/>
      </c>
      <c r="B809" s="4" t="str">
        <f>IF($N809&lt;&gt;"",$N809,IF($A809&lt;&gt;"",'All Cases - Enter Cases'!$L809+7,""))</f>
        <v/>
      </c>
      <c r="C809" t="str">
        <f>IF($A809&lt;&gt;"",'All Cases - Enter Cases'!B809,"")</f>
        <v/>
      </c>
      <c r="D809" t="str">
        <f>IF($A809&lt;&gt;"",'All Cases - Enter Cases'!C809,"")</f>
        <v/>
      </c>
      <c r="E809" t="str">
        <f>IF($A809&lt;&gt;"",'All Cases - Enter Cases'!D809,"")</f>
        <v/>
      </c>
      <c r="F809" s="12" t="str">
        <f>IF($A809&lt;&gt;"",'All Cases - Enter Cases'!E809,"")</f>
        <v/>
      </c>
      <c r="G809" s="12" t="str">
        <f>IF($A809&lt;&gt;"",'All Cases - Enter Cases'!F809,"")</f>
        <v/>
      </c>
      <c r="H809" s="4" t="str">
        <f>IF($A809&lt;&gt;"",'All Cases - Enter Cases'!G809,"")</f>
        <v/>
      </c>
      <c r="I809" t="str">
        <f>IF($A809&lt;&gt;"",'All Cases - Enter Cases'!H809,"")</f>
        <v/>
      </c>
      <c r="J809" t="str">
        <f>IF($A809&lt;&gt;"",'All Cases - Enter Cases'!I809,"")</f>
        <v/>
      </c>
      <c r="K809" t="str">
        <f>IF($A809&lt;&gt;"",'All Cases - Enter Cases'!J809,"")</f>
        <v/>
      </c>
      <c r="L809" s="4" t="str">
        <f>IF($A809&lt;&gt;"",'All Cases - Enter Cases'!K809,"")</f>
        <v/>
      </c>
      <c r="M809" t="str">
        <f>IF($A809&lt;&gt;"",'All Cases - Enter Cases'!L809,"")</f>
        <v/>
      </c>
    </row>
    <row r="810" spans="1:13" x14ac:dyDescent="0.35">
      <c r="A810" s="4" t="str">
        <f>IF('All Cases - Enter Cases'!$K810="Approved",'All Cases - Enter Cases'!A810,"")</f>
        <v/>
      </c>
      <c r="B810" s="4" t="str">
        <f>IF($N810&lt;&gt;"",$N810,IF($A810&lt;&gt;"",'All Cases - Enter Cases'!$L810+7,""))</f>
        <v/>
      </c>
      <c r="C810" t="str">
        <f>IF($A810&lt;&gt;"",'All Cases - Enter Cases'!B810,"")</f>
        <v/>
      </c>
      <c r="D810" t="str">
        <f>IF($A810&lt;&gt;"",'All Cases - Enter Cases'!C810,"")</f>
        <v/>
      </c>
      <c r="E810" t="str">
        <f>IF($A810&lt;&gt;"",'All Cases - Enter Cases'!D810,"")</f>
        <v/>
      </c>
      <c r="F810" s="12" t="str">
        <f>IF($A810&lt;&gt;"",'All Cases - Enter Cases'!E810,"")</f>
        <v/>
      </c>
      <c r="G810" s="12" t="str">
        <f>IF($A810&lt;&gt;"",'All Cases - Enter Cases'!F810,"")</f>
        <v/>
      </c>
      <c r="H810" s="4" t="str">
        <f>IF($A810&lt;&gt;"",'All Cases - Enter Cases'!G810,"")</f>
        <v/>
      </c>
      <c r="I810" t="str">
        <f>IF($A810&lt;&gt;"",'All Cases - Enter Cases'!H810,"")</f>
        <v/>
      </c>
      <c r="J810" t="str">
        <f>IF($A810&lt;&gt;"",'All Cases - Enter Cases'!I810,"")</f>
        <v/>
      </c>
      <c r="K810" t="str">
        <f>IF($A810&lt;&gt;"",'All Cases - Enter Cases'!J810,"")</f>
        <v/>
      </c>
      <c r="L810" s="4" t="str">
        <f>IF($A810&lt;&gt;"",'All Cases - Enter Cases'!K810,"")</f>
        <v/>
      </c>
      <c r="M810" t="str">
        <f>IF($A810&lt;&gt;"",'All Cases - Enter Cases'!L810,"")</f>
        <v/>
      </c>
    </row>
    <row r="811" spans="1:13" x14ac:dyDescent="0.35">
      <c r="A811" s="4" t="str">
        <f>IF('All Cases - Enter Cases'!$K811="Approved",'All Cases - Enter Cases'!A811,"")</f>
        <v/>
      </c>
      <c r="B811" s="4" t="str">
        <f>IF($N811&lt;&gt;"",$N811,IF($A811&lt;&gt;"",'All Cases - Enter Cases'!$L811+7,""))</f>
        <v/>
      </c>
      <c r="C811" t="str">
        <f>IF($A811&lt;&gt;"",'All Cases - Enter Cases'!B811,"")</f>
        <v/>
      </c>
      <c r="D811" t="str">
        <f>IF($A811&lt;&gt;"",'All Cases - Enter Cases'!C811,"")</f>
        <v/>
      </c>
      <c r="E811" t="str">
        <f>IF($A811&lt;&gt;"",'All Cases - Enter Cases'!D811,"")</f>
        <v/>
      </c>
      <c r="F811" s="12" t="str">
        <f>IF($A811&lt;&gt;"",'All Cases - Enter Cases'!E811,"")</f>
        <v/>
      </c>
      <c r="G811" s="12" t="str">
        <f>IF($A811&lt;&gt;"",'All Cases - Enter Cases'!F811,"")</f>
        <v/>
      </c>
      <c r="H811" s="4" t="str">
        <f>IF($A811&lt;&gt;"",'All Cases - Enter Cases'!G811,"")</f>
        <v/>
      </c>
      <c r="I811" t="str">
        <f>IF($A811&lt;&gt;"",'All Cases - Enter Cases'!H811,"")</f>
        <v/>
      </c>
      <c r="J811" t="str">
        <f>IF($A811&lt;&gt;"",'All Cases - Enter Cases'!I811,"")</f>
        <v/>
      </c>
      <c r="K811" t="str">
        <f>IF($A811&lt;&gt;"",'All Cases - Enter Cases'!J811,"")</f>
        <v/>
      </c>
      <c r="L811" s="4" t="str">
        <f>IF($A811&lt;&gt;"",'All Cases - Enter Cases'!K811,"")</f>
        <v/>
      </c>
      <c r="M811" t="str">
        <f>IF($A811&lt;&gt;"",'All Cases - Enter Cases'!L811,"")</f>
        <v/>
      </c>
    </row>
    <row r="812" spans="1:13" x14ac:dyDescent="0.35">
      <c r="A812" s="4" t="str">
        <f>IF('All Cases - Enter Cases'!$K812="Approved",'All Cases - Enter Cases'!A812,"")</f>
        <v/>
      </c>
      <c r="B812" s="4" t="str">
        <f>IF($N812&lt;&gt;"",$N812,IF($A812&lt;&gt;"",'All Cases - Enter Cases'!$L812+7,""))</f>
        <v/>
      </c>
      <c r="C812" t="str">
        <f>IF($A812&lt;&gt;"",'All Cases - Enter Cases'!B812,"")</f>
        <v/>
      </c>
      <c r="D812" t="str">
        <f>IF($A812&lt;&gt;"",'All Cases - Enter Cases'!C812,"")</f>
        <v/>
      </c>
      <c r="E812" t="str">
        <f>IF($A812&lt;&gt;"",'All Cases - Enter Cases'!D812,"")</f>
        <v/>
      </c>
      <c r="F812" s="12" t="str">
        <f>IF($A812&lt;&gt;"",'All Cases - Enter Cases'!E812,"")</f>
        <v/>
      </c>
      <c r="G812" s="12" t="str">
        <f>IF($A812&lt;&gt;"",'All Cases - Enter Cases'!F812,"")</f>
        <v/>
      </c>
      <c r="H812" s="4" t="str">
        <f>IF($A812&lt;&gt;"",'All Cases - Enter Cases'!G812,"")</f>
        <v/>
      </c>
      <c r="I812" t="str">
        <f>IF($A812&lt;&gt;"",'All Cases - Enter Cases'!H812,"")</f>
        <v/>
      </c>
      <c r="J812" t="str">
        <f>IF($A812&lt;&gt;"",'All Cases - Enter Cases'!I812,"")</f>
        <v/>
      </c>
      <c r="K812" t="str">
        <f>IF($A812&lt;&gt;"",'All Cases - Enter Cases'!J812,"")</f>
        <v/>
      </c>
      <c r="L812" s="4" t="str">
        <f>IF($A812&lt;&gt;"",'All Cases - Enter Cases'!K812,"")</f>
        <v/>
      </c>
      <c r="M812" t="str">
        <f>IF($A812&lt;&gt;"",'All Cases - Enter Cases'!L812,"")</f>
        <v/>
      </c>
    </row>
    <row r="813" spans="1:13" x14ac:dyDescent="0.35">
      <c r="A813" s="4" t="str">
        <f>IF('All Cases - Enter Cases'!$K813="Approved",'All Cases - Enter Cases'!A813,"")</f>
        <v/>
      </c>
      <c r="B813" s="4" t="str">
        <f>IF($N813&lt;&gt;"",$N813,IF($A813&lt;&gt;"",'All Cases - Enter Cases'!$L813+7,""))</f>
        <v/>
      </c>
      <c r="C813" t="str">
        <f>IF($A813&lt;&gt;"",'All Cases - Enter Cases'!B813,"")</f>
        <v/>
      </c>
      <c r="D813" t="str">
        <f>IF($A813&lt;&gt;"",'All Cases - Enter Cases'!C813,"")</f>
        <v/>
      </c>
      <c r="E813" t="str">
        <f>IF($A813&lt;&gt;"",'All Cases - Enter Cases'!D813,"")</f>
        <v/>
      </c>
      <c r="F813" s="12" t="str">
        <f>IF($A813&lt;&gt;"",'All Cases - Enter Cases'!E813,"")</f>
        <v/>
      </c>
      <c r="G813" s="12" t="str">
        <f>IF($A813&lt;&gt;"",'All Cases - Enter Cases'!F813,"")</f>
        <v/>
      </c>
      <c r="H813" s="4" t="str">
        <f>IF($A813&lt;&gt;"",'All Cases - Enter Cases'!G813,"")</f>
        <v/>
      </c>
      <c r="I813" t="str">
        <f>IF($A813&lt;&gt;"",'All Cases - Enter Cases'!H813,"")</f>
        <v/>
      </c>
      <c r="J813" t="str">
        <f>IF($A813&lt;&gt;"",'All Cases - Enter Cases'!I813,"")</f>
        <v/>
      </c>
      <c r="K813" t="str">
        <f>IF($A813&lt;&gt;"",'All Cases - Enter Cases'!J813,"")</f>
        <v/>
      </c>
      <c r="L813" s="4" t="str">
        <f>IF($A813&lt;&gt;"",'All Cases - Enter Cases'!K813,"")</f>
        <v/>
      </c>
      <c r="M813" t="str">
        <f>IF($A813&lt;&gt;"",'All Cases - Enter Cases'!L813,"")</f>
        <v/>
      </c>
    </row>
    <row r="814" spans="1:13" x14ac:dyDescent="0.35">
      <c r="A814" s="4" t="str">
        <f>IF('All Cases - Enter Cases'!$K814="Approved",'All Cases - Enter Cases'!A814,"")</f>
        <v/>
      </c>
      <c r="B814" s="4" t="str">
        <f>IF($N814&lt;&gt;"",$N814,IF($A814&lt;&gt;"",'All Cases - Enter Cases'!$L814+7,""))</f>
        <v/>
      </c>
      <c r="C814" t="str">
        <f>IF($A814&lt;&gt;"",'All Cases - Enter Cases'!B814,"")</f>
        <v/>
      </c>
      <c r="D814" t="str">
        <f>IF($A814&lt;&gt;"",'All Cases - Enter Cases'!C814,"")</f>
        <v/>
      </c>
      <c r="E814" t="str">
        <f>IF($A814&lt;&gt;"",'All Cases - Enter Cases'!D814,"")</f>
        <v/>
      </c>
      <c r="F814" s="12" t="str">
        <f>IF($A814&lt;&gt;"",'All Cases - Enter Cases'!E814,"")</f>
        <v/>
      </c>
      <c r="G814" s="12" t="str">
        <f>IF($A814&lt;&gt;"",'All Cases - Enter Cases'!F814,"")</f>
        <v/>
      </c>
      <c r="H814" s="4" t="str">
        <f>IF($A814&lt;&gt;"",'All Cases - Enter Cases'!G814,"")</f>
        <v/>
      </c>
      <c r="I814" t="str">
        <f>IF($A814&lt;&gt;"",'All Cases - Enter Cases'!H814,"")</f>
        <v/>
      </c>
      <c r="J814" t="str">
        <f>IF($A814&lt;&gt;"",'All Cases - Enter Cases'!I814,"")</f>
        <v/>
      </c>
      <c r="K814" t="str">
        <f>IF($A814&lt;&gt;"",'All Cases - Enter Cases'!J814,"")</f>
        <v/>
      </c>
      <c r="L814" s="4" t="str">
        <f>IF($A814&lt;&gt;"",'All Cases - Enter Cases'!K814,"")</f>
        <v/>
      </c>
      <c r="M814" t="str">
        <f>IF($A814&lt;&gt;"",'All Cases - Enter Cases'!L814,"")</f>
        <v/>
      </c>
    </row>
    <row r="815" spans="1:13" x14ac:dyDescent="0.35">
      <c r="A815" s="4" t="str">
        <f>IF('All Cases - Enter Cases'!$K815="Approved",'All Cases - Enter Cases'!A815,"")</f>
        <v/>
      </c>
      <c r="B815" s="4" t="str">
        <f>IF($N815&lt;&gt;"",$N815,IF($A815&lt;&gt;"",'All Cases - Enter Cases'!$L815+7,""))</f>
        <v/>
      </c>
      <c r="C815" t="str">
        <f>IF($A815&lt;&gt;"",'All Cases - Enter Cases'!B815,"")</f>
        <v/>
      </c>
      <c r="D815" t="str">
        <f>IF($A815&lt;&gt;"",'All Cases - Enter Cases'!C815,"")</f>
        <v/>
      </c>
      <c r="E815" t="str">
        <f>IF($A815&lt;&gt;"",'All Cases - Enter Cases'!D815,"")</f>
        <v/>
      </c>
      <c r="F815" s="12" t="str">
        <f>IF($A815&lt;&gt;"",'All Cases - Enter Cases'!E815,"")</f>
        <v/>
      </c>
      <c r="G815" s="12" t="str">
        <f>IF($A815&lt;&gt;"",'All Cases - Enter Cases'!F815,"")</f>
        <v/>
      </c>
      <c r="H815" s="4" t="str">
        <f>IF($A815&lt;&gt;"",'All Cases - Enter Cases'!G815,"")</f>
        <v/>
      </c>
      <c r="I815" t="str">
        <f>IF($A815&lt;&gt;"",'All Cases - Enter Cases'!H815,"")</f>
        <v/>
      </c>
      <c r="J815" t="str">
        <f>IF($A815&lt;&gt;"",'All Cases - Enter Cases'!I815,"")</f>
        <v/>
      </c>
      <c r="K815" t="str">
        <f>IF($A815&lt;&gt;"",'All Cases - Enter Cases'!J815,"")</f>
        <v/>
      </c>
      <c r="L815" s="4" t="str">
        <f>IF($A815&lt;&gt;"",'All Cases - Enter Cases'!K815,"")</f>
        <v/>
      </c>
      <c r="M815" t="str">
        <f>IF($A815&lt;&gt;"",'All Cases - Enter Cases'!L815,"")</f>
        <v/>
      </c>
    </row>
    <row r="816" spans="1:13" x14ac:dyDescent="0.35">
      <c r="A816" s="4" t="str">
        <f>IF('All Cases - Enter Cases'!$K816="Approved",'All Cases - Enter Cases'!A816,"")</f>
        <v/>
      </c>
      <c r="B816" s="4" t="str">
        <f>IF($N816&lt;&gt;"",$N816,IF($A816&lt;&gt;"",'All Cases - Enter Cases'!$L816+7,""))</f>
        <v/>
      </c>
      <c r="C816" t="str">
        <f>IF($A816&lt;&gt;"",'All Cases - Enter Cases'!B816,"")</f>
        <v/>
      </c>
      <c r="D816" t="str">
        <f>IF($A816&lt;&gt;"",'All Cases - Enter Cases'!C816,"")</f>
        <v/>
      </c>
      <c r="E816" t="str">
        <f>IF($A816&lt;&gt;"",'All Cases - Enter Cases'!D816,"")</f>
        <v/>
      </c>
      <c r="F816" s="12" t="str">
        <f>IF($A816&lt;&gt;"",'All Cases - Enter Cases'!E816,"")</f>
        <v/>
      </c>
      <c r="G816" s="12" t="str">
        <f>IF($A816&lt;&gt;"",'All Cases - Enter Cases'!F816,"")</f>
        <v/>
      </c>
      <c r="H816" s="4" t="str">
        <f>IF($A816&lt;&gt;"",'All Cases - Enter Cases'!G816,"")</f>
        <v/>
      </c>
      <c r="I816" t="str">
        <f>IF($A816&lt;&gt;"",'All Cases - Enter Cases'!H816,"")</f>
        <v/>
      </c>
      <c r="J816" t="str">
        <f>IF($A816&lt;&gt;"",'All Cases - Enter Cases'!I816,"")</f>
        <v/>
      </c>
      <c r="K816" t="str">
        <f>IF($A816&lt;&gt;"",'All Cases - Enter Cases'!J816,"")</f>
        <v/>
      </c>
      <c r="L816" s="4" t="str">
        <f>IF($A816&lt;&gt;"",'All Cases - Enter Cases'!K816,"")</f>
        <v/>
      </c>
      <c r="M816" t="str">
        <f>IF($A816&lt;&gt;"",'All Cases - Enter Cases'!L816,"")</f>
        <v/>
      </c>
    </row>
    <row r="817" spans="1:13" x14ac:dyDescent="0.35">
      <c r="A817" s="4" t="str">
        <f>IF('All Cases - Enter Cases'!$K817="Approved",'All Cases - Enter Cases'!A817,"")</f>
        <v/>
      </c>
      <c r="B817" s="4" t="str">
        <f>IF($N817&lt;&gt;"",$N817,IF($A817&lt;&gt;"",'All Cases - Enter Cases'!$L817+7,""))</f>
        <v/>
      </c>
      <c r="C817" t="str">
        <f>IF($A817&lt;&gt;"",'All Cases - Enter Cases'!B817,"")</f>
        <v/>
      </c>
      <c r="D817" t="str">
        <f>IF($A817&lt;&gt;"",'All Cases - Enter Cases'!C817,"")</f>
        <v/>
      </c>
      <c r="E817" t="str">
        <f>IF($A817&lt;&gt;"",'All Cases - Enter Cases'!D817,"")</f>
        <v/>
      </c>
      <c r="F817" s="12" t="str">
        <f>IF($A817&lt;&gt;"",'All Cases - Enter Cases'!E817,"")</f>
        <v/>
      </c>
      <c r="G817" s="12" t="str">
        <f>IF($A817&lt;&gt;"",'All Cases - Enter Cases'!F817,"")</f>
        <v/>
      </c>
      <c r="H817" s="4" t="str">
        <f>IF($A817&lt;&gt;"",'All Cases - Enter Cases'!G817,"")</f>
        <v/>
      </c>
      <c r="I817" t="str">
        <f>IF($A817&lt;&gt;"",'All Cases - Enter Cases'!H817,"")</f>
        <v/>
      </c>
      <c r="J817" t="str">
        <f>IF($A817&lt;&gt;"",'All Cases - Enter Cases'!I817,"")</f>
        <v/>
      </c>
      <c r="K817" t="str">
        <f>IF($A817&lt;&gt;"",'All Cases - Enter Cases'!J817,"")</f>
        <v/>
      </c>
      <c r="L817" s="4" t="str">
        <f>IF($A817&lt;&gt;"",'All Cases - Enter Cases'!K817,"")</f>
        <v/>
      </c>
      <c r="M817" t="str">
        <f>IF($A817&lt;&gt;"",'All Cases - Enter Cases'!L817,"")</f>
        <v/>
      </c>
    </row>
    <row r="818" spans="1:13" x14ac:dyDescent="0.35">
      <c r="A818" s="4" t="str">
        <f>IF('All Cases - Enter Cases'!$K818="Approved",'All Cases - Enter Cases'!A818,"")</f>
        <v/>
      </c>
      <c r="B818" s="4" t="str">
        <f>IF($N818&lt;&gt;"",$N818,IF($A818&lt;&gt;"",'All Cases - Enter Cases'!$L818+7,""))</f>
        <v/>
      </c>
      <c r="C818" t="str">
        <f>IF($A818&lt;&gt;"",'All Cases - Enter Cases'!B818,"")</f>
        <v/>
      </c>
      <c r="D818" t="str">
        <f>IF($A818&lt;&gt;"",'All Cases - Enter Cases'!C818,"")</f>
        <v/>
      </c>
      <c r="E818" t="str">
        <f>IF($A818&lt;&gt;"",'All Cases - Enter Cases'!D818,"")</f>
        <v/>
      </c>
      <c r="F818" s="12" t="str">
        <f>IF($A818&lt;&gt;"",'All Cases - Enter Cases'!E818,"")</f>
        <v/>
      </c>
      <c r="G818" s="12" t="str">
        <f>IF($A818&lt;&gt;"",'All Cases - Enter Cases'!F818,"")</f>
        <v/>
      </c>
      <c r="H818" s="4" t="str">
        <f>IF($A818&lt;&gt;"",'All Cases - Enter Cases'!G818,"")</f>
        <v/>
      </c>
      <c r="I818" t="str">
        <f>IF($A818&lt;&gt;"",'All Cases - Enter Cases'!H818,"")</f>
        <v/>
      </c>
      <c r="J818" t="str">
        <f>IF($A818&lt;&gt;"",'All Cases - Enter Cases'!I818,"")</f>
        <v/>
      </c>
      <c r="K818" t="str">
        <f>IF($A818&lt;&gt;"",'All Cases - Enter Cases'!J818,"")</f>
        <v/>
      </c>
      <c r="L818" s="4" t="str">
        <f>IF($A818&lt;&gt;"",'All Cases - Enter Cases'!K818,"")</f>
        <v/>
      </c>
      <c r="M818" t="str">
        <f>IF($A818&lt;&gt;"",'All Cases - Enter Cases'!L818,"")</f>
        <v/>
      </c>
    </row>
    <row r="819" spans="1:13" x14ac:dyDescent="0.35">
      <c r="A819" s="4" t="str">
        <f>IF('All Cases - Enter Cases'!$K819="Approved",'All Cases - Enter Cases'!A819,"")</f>
        <v/>
      </c>
      <c r="B819" s="4" t="str">
        <f>IF($N819&lt;&gt;"",$N819,IF($A819&lt;&gt;"",'All Cases - Enter Cases'!$L819+7,""))</f>
        <v/>
      </c>
      <c r="C819" t="str">
        <f>IF($A819&lt;&gt;"",'All Cases - Enter Cases'!B819,"")</f>
        <v/>
      </c>
      <c r="D819" t="str">
        <f>IF($A819&lt;&gt;"",'All Cases - Enter Cases'!C819,"")</f>
        <v/>
      </c>
      <c r="E819" t="str">
        <f>IF($A819&lt;&gt;"",'All Cases - Enter Cases'!D819,"")</f>
        <v/>
      </c>
      <c r="F819" s="12" t="str">
        <f>IF($A819&lt;&gt;"",'All Cases - Enter Cases'!E819,"")</f>
        <v/>
      </c>
      <c r="G819" s="12" t="str">
        <f>IF($A819&lt;&gt;"",'All Cases - Enter Cases'!F819,"")</f>
        <v/>
      </c>
      <c r="H819" s="4" t="str">
        <f>IF($A819&lt;&gt;"",'All Cases - Enter Cases'!G819,"")</f>
        <v/>
      </c>
      <c r="I819" t="str">
        <f>IF($A819&lt;&gt;"",'All Cases - Enter Cases'!H819,"")</f>
        <v/>
      </c>
      <c r="J819" t="str">
        <f>IF($A819&lt;&gt;"",'All Cases - Enter Cases'!I819,"")</f>
        <v/>
      </c>
      <c r="K819" t="str">
        <f>IF($A819&lt;&gt;"",'All Cases - Enter Cases'!J819,"")</f>
        <v/>
      </c>
      <c r="L819" s="4" t="str">
        <f>IF($A819&lt;&gt;"",'All Cases - Enter Cases'!K819,"")</f>
        <v/>
      </c>
      <c r="M819" t="str">
        <f>IF($A819&lt;&gt;"",'All Cases - Enter Cases'!L819,"")</f>
        <v/>
      </c>
    </row>
    <row r="820" spans="1:13" x14ac:dyDescent="0.35">
      <c r="A820" s="4" t="str">
        <f>IF('All Cases - Enter Cases'!$K820="Approved",'All Cases - Enter Cases'!A820,"")</f>
        <v/>
      </c>
      <c r="B820" s="4" t="str">
        <f>IF($N820&lt;&gt;"",$N820,IF($A820&lt;&gt;"",'All Cases - Enter Cases'!$L820+7,""))</f>
        <v/>
      </c>
      <c r="C820" t="str">
        <f>IF($A820&lt;&gt;"",'All Cases - Enter Cases'!B820,"")</f>
        <v/>
      </c>
      <c r="D820" t="str">
        <f>IF($A820&lt;&gt;"",'All Cases - Enter Cases'!C820,"")</f>
        <v/>
      </c>
      <c r="E820" t="str">
        <f>IF($A820&lt;&gt;"",'All Cases - Enter Cases'!D820,"")</f>
        <v/>
      </c>
      <c r="F820" s="12" t="str">
        <f>IF($A820&lt;&gt;"",'All Cases - Enter Cases'!E820,"")</f>
        <v/>
      </c>
      <c r="G820" s="12" t="str">
        <f>IF($A820&lt;&gt;"",'All Cases - Enter Cases'!F820,"")</f>
        <v/>
      </c>
      <c r="H820" s="4" t="str">
        <f>IF($A820&lt;&gt;"",'All Cases - Enter Cases'!G820,"")</f>
        <v/>
      </c>
      <c r="I820" t="str">
        <f>IF($A820&lt;&gt;"",'All Cases - Enter Cases'!H820,"")</f>
        <v/>
      </c>
      <c r="J820" t="str">
        <f>IF($A820&lt;&gt;"",'All Cases - Enter Cases'!I820,"")</f>
        <v/>
      </c>
      <c r="K820" t="str">
        <f>IF($A820&lt;&gt;"",'All Cases - Enter Cases'!J820,"")</f>
        <v/>
      </c>
      <c r="L820" s="4" t="str">
        <f>IF($A820&lt;&gt;"",'All Cases - Enter Cases'!K820,"")</f>
        <v/>
      </c>
      <c r="M820" t="str">
        <f>IF($A820&lt;&gt;"",'All Cases - Enter Cases'!L820,"")</f>
        <v/>
      </c>
    </row>
    <row r="821" spans="1:13" x14ac:dyDescent="0.35">
      <c r="A821" s="4" t="str">
        <f>IF('All Cases - Enter Cases'!$K821="Approved",'All Cases - Enter Cases'!A821,"")</f>
        <v/>
      </c>
      <c r="B821" s="4" t="str">
        <f>IF($N821&lt;&gt;"",$N821,IF($A821&lt;&gt;"",'All Cases - Enter Cases'!$L821+7,""))</f>
        <v/>
      </c>
      <c r="C821" t="str">
        <f>IF($A821&lt;&gt;"",'All Cases - Enter Cases'!B821,"")</f>
        <v/>
      </c>
      <c r="D821" t="str">
        <f>IF($A821&lt;&gt;"",'All Cases - Enter Cases'!C821,"")</f>
        <v/>
      </c>
      <c r="E821" t="str">
        <f>IF($A821&lt;&gt;"",'All Cases - Enter Cases'!D821,"")</f>
        <v/>
      </c>
      <c r="F821" s="12" t="str">
        <f>IF($A821&lt;&gt;"",'All Cases - Enter Cases'!E821,"")</f>
        <v/>
      </c>
      <c r="G821" s="12" t="str">
        <f>IF($A821&lt;&gt;"",'All Cases - Enter Cases'!F821,"")</f>
        <v/>
      </c>
      <c r="H821" s="4" t="str">
        <f>IF($A821&lt;&gt;"",'All Cases - Enter Cases'!G821,"")</f>
        <v/>
      </c>
      <c r="I821" t="str">
        <f>IF($A821&lt;&gt;"",'All Cases - Enter Cases'!H821,"")</f>
        <v/>
      </c>
      <c r="J821" t="str">
        <f>IF($A821&lt;&gt;"",'All Cases - Enter Cases'!I821,"")</f>
        <v/>
      </c>
      <c r="K821" t="str">
        <f>IF($A821&lt;&gt;"",'All Cases - Enter Cases'!J821,"")</f>
        <v/>
      </c>
      <c r="L821" s="4" t="str">
        <f>IF($A821&lt;&gt;"",'All Cases - Enter Cases'!K821,"")</f>
        <v/>
      </c>
      <c r="M821" t="str">
        <f>IF($A821&lt;&gt;"",'All Cases - Enter Cases'!L821,"")</f>
        <v/>
      </c>
    </row>
    <row r="822" spans="1:13" x14ac:dyDescent="0.35">
      <c r="A822" s="4" t="str">
        <f>IF('All Cases - Enter Cases'!$K822="Approved",'All Cases - Enter Cases'!A822,"")</f>
        <v/>
      </c>
      <c r="B822" s="4" t="str">
        <f>IF($N822&lt;&gt;"",$N822,IF($A822&lt;&gt;"",'All Cases - Enter Cases'!$L822+7,""))</f>
        <v/>
      </c>
      <c r="C822" t="str">
        <f>IF($A822&lt;&gt;"",'All Cases - Enter Cases'!B822,"")</f>
        <v/>
      </c>
      <c r="D822" t="str">
        <f>IF($A822&lt;&gt;"",'All Cases - Enter Cases'!C822,"")</f>
        <v/>
      </c>
      <c r="E822" t="str">
        <f>IF($A822&lt;&gt;"",'All Cases - Enter Cases'!D822,"")</f>
        <v/>
      </c>
      <c r="F822" s="12" t="str">
        <f>IF($A822&lt;&gt;"",'All Cases - Enter Cases'!E822,"")</f>
        <v/>
      </c>
      <c r="G822" s="12" t="str">
        <f>IF($A822&lt;&gt;"",'All Cases - Enter Cases'!F822,"")</f>
        <v/>
      </c>
      <c r="H822" s="4" t="str">
        <f>IF($A822&lt;&gt;"",'All Cases - Enter Cases'!G822,"")</f>
        <v/>
      </c>
      <c r="I822" t="str">
        <f>IF($A822&lt;&gt;"",'All Cases - Enter Cases'!H822,"")</f>
        <v/>
      </c>
      <c r="J822" t="str">
        <f>IF($A822&lt;&gt;"",'All Cases - Enter Cases'!I822,"")</f>
        <v/>
      </c>
      <c r="K822" t="str">
        <f>IF($A822&lt;&gt;"",'All Cases - Enter Cases'!J822,"")</f>
        <v/>
      </c>
      <c r="L822" s="4" t="str">
        <f>IF($A822&lt;&gt;"",'All Cases - Enter Cases'!K822,"")</f>
        <v/>
      </c>
      <c r="M822" t="str">
        <f>IF($A822&lt;&gt;"",'All Cases - Enter Cases'!L822,"")</f>
        <v/>
      </c>
    </row>
    <row r="823" spans="1:13" x14ac:dyDescent="0.35">
      <c r="A823" s="4" t="str">
        <f>IF('All Cases - Enter Cases'!$K823="Approved",'All Cases - Enter Cases'!A823,"")</f>
        <v/>
      </c>
      <c r="B823" s="4" t="str">
        <f>IF($N823&lt;&gt;"",$N823,IF($A823&lt;&gt;"",'All Cases - Enter Cases'!$L823+7,""))</f>
        <v/>
      </c>
      <c r="C823" t="str">
        <f>IF($A823&lt;&gt;"",'All Cases - Enter Cases'!B823,"")</f>
        <v/>
      </c>
      <c r="D823" t="str">
        <f>IF($A823&lt;&gt;"",'All Cases - Enter Cases'!C823,"")</f>
        <v/>
      </c>
      <c r="E823" t="str">
        <f>IF($A823&lt;&gt;"",'All Cases - Enter Cases'!D823,"")</f>
        <v/>
      </c>
      <c r="F823" s="12" t="str">
        <f>IF($A823&lt;&gt;"",'All Cases - Enter Cases'!E823,"")</f>
        <v/>
      </c>
      <c r="G823" s="12" t="str">
        <f>IF($A823&lt;&gt;"",'All Cases - Enter Cases'!F823,"")</f>
        <v/>
      </c>
      <c r="H823" s="4" t="str">
        <f>IF($A823&lt;&gt;"",'All Cases - Enter Cases'!G823,"")</f>
        <v/>
      </c>
      <c r="I823" t="str">
        <f>IF($A823&lt;&gt;"",'All Cases - Enter Cases'!H823,"")</f>
        <v/>
      </c>
      <c r="J823" t="str">
        <f>IF($A823&lt;&gt;"",'All Cases - Enter Cases'!I823,"")</f>
        <v/>
      </c>
      <c r="K823" t="str">
        <f>IF($A823&lt;&gt;"",'All Cases - Enter Cases'!J823,"")</f>
        <v/>
      </c>
      <c r="L823" s="4" t="str">
        <f>IF($A823&lt;&gt;"",'All Cases - Enter Cases'!K823,"")</f>
        <v/>
      </c>
      <c r="M823" t="str">
        <f>IF($A823&lt;&gt;"",'All Cases - Enter Cases'!L823,"")</f>
        <v/>
      </c>
    </row>
    <row r="824" spans="1:13" x14ac:dyDescent="0.35">
      <c r="A824" s="4" t="str">
        <f>IF('All Cases - Enter Cases'!$K824="Approved",'All Cases - Enter Cases'!A824,"")</f>
        <v/>
      </c>
      <c r="B824" s="4" t="str">
        <f>IF($N824&lt;&gt;"",$N824,IF($A824&lt;&gt;"",'All Cases - Enter Cases'!$L824+7,""))</f>
        <v/>
      </c>
      <c r="C824" t="str">
        <f>IF($A824&lt;&gt;"",'All Cases - Enter Cases'!B824,"")</f>
        <v/>
      </c>
      <c r="D824" t="str">
        <f>IF($A824&lt;&gt;"",'All Cases - Enter Cases'!C824,"")</f>
        <v/>
      </c>
      <c r="E824" t="str">
        <f>IF($A824&lt;&gt;"",'All Cases - Enter Cases'!D824,"")</f>
        <v/>
      </c>
      <c r="F824" s="12" t="str">
        <f>IF($A824&lt;&gt;"",'All Cases - Enter Cases'!E824,"")</f>
        <v/>
      </c>
      <c r="G824" s="12" t="str">
        <f>IF($A824&lt;&gt;"",'All Cases - Enter Cases'!F824,"")</f>
        <v/>
      </c>
      <c r="H824" s="4" t="str">
        <f>IF($A824&lt;&gt;"",'All Cases - Enter Cases'!G824,"")</f>
        <v/>
      </c>
      <c r="I824" t="str">
        <f>IF($A824&lt;&gt;"",'All Cases - Enter Cases'!H824,"")</f>
        <v/>
      </c>
      <c r="J824" t="str">
        <f>IF($A824&lt;&gt;"",'All Cases - Enter Cases'!I824,"")</f>
        <v/>
      </c>
      <c r="K824" t="str">
        <f>IF($A824&lt;&gt;"",'All Cases - Enter Cases'!J824,"")</f>
        <v/>
      </c>
      <c r="L824" s="4" t="str">
        <f>IF($A824&lt;&gt;"",'All Cases - Enter Cases'!K824,"")</f>
        <v/>
      </c>
      <c r="M824" t="str">
        <f>IF($A824&lt;&gt;"",'All Cases - Enter Cases'!L824,"")</f>
        <v/>
      </c>
    </row>
    <row r="825" spans="1:13" x14ac:dyDescent="0.35">
      <c r="A825" s="4" t="str">
        <f>IF('All Cases - Enter Cases'!$K825="Approved",'All Cases - Enter Cases'!A825,"")</f>
        <v/>
      </c>
      <c r="B825" s="4" t="str">
        <f>IF($N825&lt;&gt;"",$N825,IF($A825&lt;&gt;"",'All Cases - Enter Cases'!$L825+7,""))</f>
        <v/>
      </c>
      <c r="C825" t="str">
        <f>IF($A825&lt;&gt;"",'All Cases - Enter Cases'!B825,"")</f>
        <v/>
      </c>
      <c r="D825" t="str">
        <f>IF($A825&lt;&gt;"",'All Cases - Enter Cases'!C825,"")</f>
        <v/>
      </c>
      <c r="E825" t="str">
        <f>IF($A825&lt;&gt;"",'All Cases - Enter Cases'!D825,"")</f>
        <v/>
      </c>
      <c r="F825" s="12" t="str">
        <f>IF($A825&lt;&gt;"",'All Cases - Enter Cases'!E825,"")</f>
        <v/>
      </c>
      <c r="G825" s="12" t="str">
        <f>IF($A825&lt;&gt;"",'All Cases - Enter Cases'!F825,"")</f>
        <v/>
      </c>
      <c r="H825" s="4" t="str">
        <f>IF($A825&lt;&gt;"",'All Cases - Enter Cases'!G825,"")</f>
        <v/>
      </c>
      <c r="I825" t="str">
        <f>IF($A825&lt;&gt;"",'All Cases - Enter Cases'!H825,"")</f>
        <v/>
      </c>
      <c r="J825" t="str">
        <f>IF($A825&lt;&gt;"",'All Cases - Enter Cases'!I825,"")</f>
        <v/>
      </c>
      <c r="K825" t="str">
        <f>IF($A825&lt;&gt;"",'All Cases - Enter Cases'!J825,"")</f>
        <v/>
      </c>
      <c r="L825" s="4" t="str">
        <f>IF($A825&lt;&gt;"",'All Cases - Enter Cases'!K825,"")</f>
        <v/>
      </c>
      <c r="M825" t="str">
        <f>IF($A825&lt;&gt;"",'All Cases - Enter Cases'!L825,"")</f>
        <v/>
      </c>
    </row>
    <row r="826" spans="1:13" x14ac:dyDescent="0.35">
      <c r="A826" s="4" t="str">
        <f>IF('All Cases - Enter Cases'!$K826="Approved",'All Cases - Enter Cases'!A826,"")</f>
        <v/>
      </c>
      <c r="B826" s="4" t="str">
        <f>IF($N826&lt;&gt;"",$N826,IF($A826&lt;&gt;"",'All Cases - Enter Cases'!$L826+7,""))</f>
        <v/>
      </c>
      <c r="C826" t="str">
        <f>IF($A826&lt;&gt;"",'All Cases - Enter Cases'!B826,"")</f>
        <v/>
      </c>
      <c r="D826" t="str">
        <f>IF($A826&lt;&gt;"",'All Cases - Enter Cases'!C826,"")</f>
        <v/>
      </c>
      <c r="E826" t="str">
        <f>IF($A826&lt;&gt;"",'All Cases - Enter Cases'!D826,"")</f>
        <v/>
      </c>
      <c r="F826" s="12" t="str">
        <f>IF($A826&lt;&gt;"",'All Cases - Enter Cases'!E826,"")</f>
        <v/>
      </c>
      <c r="G826" s="12" t="str">
        <f>IF($A826&lt;&gt;"",'All Cases - Enter Cases'!F826,"")</f>
        <v/>
      </c>
      <c r="H826" s="4" t="str">
        <f>IF($A826&lt;&gt;"",'All Cases - Enter Cases'!G826,"")</f>
        <v/>
      </c>
      <c r="I826" t="str">
        <f>IF($A826&lt;&gt;"",'All Cases - Enter Cases'!H826,"")</f>
        <v/>
      </c>
      <c r="J826" t="str">
        <f>IF($A826&lt;&gt;"",'All Cases - Enter Cases'!I826,"")</f>
        <v/>
      </c>
      <c r="K826" t="str">
        <f>IF($A826&lt;&gt;"",'All Cases - Enter Cases'!J826,"")</f>
        <v/>
      </c>
      <c r="L826" s="4" t="str">
        <f>IF($A826&lt;&gt;"",'All Cases - Enter Cases'!K826,"")</f>
        <v/>
      </c>
      <c r="M826" t="str">
        <f>IF($A826&lt;&gt;"",'All Cases - Enter Cases'!L826,"")</f>
        <v/>
      </c>
    </row>
    <row r="827" spans="1:13" x14ac:dyDescent="0.35">
      <c r="A827" s="4" t="str">
        <f>IF('All Cases - Enter Cases'!$K827="Approved",'All Cases - Enter Cases'!A827,"")</f>
        <v/>
      </c>
      <c r="B827" s="4" t="str">
        <f>IF($N827&lt;&gt;"",$N827,IF($A827&lt;&gt;"",'All Cases - Enter Cases'!$L827+7,""))</f>
        <v/>
      </c>
      <c r="C827" t="str">
        <f>IF($A827&lt;&gt;"",'All Cases - Enter Cases'!B827,"")</f>
        <v/>
      </c>
      <c r="D827" t="str">
        <f>IF($A827&lt;&gt;"",'All Cases - Enter Cases'!C827,"")</f>
        <v/>
      </c>
      <c r="E827" t="str">
        <f>IF($A827&lt;&gt;"",'All Cases - Enter Cases'!D827,"")</f>
        <v/>
      </c>
      <c r="F827" s="12" t="str">
        <f>IF($A827&lt;&gt;"",'All Cases - Enter Cases'!E827,"")</f>
        <v/>
      </c>
      <c r="G827" s="12" t="str">
        <f>IF($A827&lt;&gt;"",'All Cases - Enter Cases'!F827,"")</f>
        <v/>
      </c>
      <c r="H827" s="4" t="str">
        <f>IF($A827&lt;&gt;"",'All Cases - Enter Cases'!G827,"")</f>
        <v/>
      </c>
      <c r="I827" t="str">
        <f>IF($A827&lt;&gt;"",'All Cases - Enter Cases'!H827,"")</f>
        <v/>
      </c>
      <c r="J827" t="str">
        <f>IF($A827&lt;&gt;"",'All Cases - Enter Cases'!I827,"")</f>
        <v/>
      </c>
      <c r="K827" t="str">
        <f>IF($A827&lt;&gt;"",'All Cases - Enter Cases'!J827,"")</f>
        <v/>
      </c>
      <c r="L827" s="4" t="str">
        <f>IF($A827&lt;&gt;"",'All Cases - Enter Cases'!K827,"")</f>
        <v/>
      </c>
      <c r="M827" t="str">
        <f>IF($A827&lt;&gt;"",'All Cases - Enter Cases'!L827,"")</f>
        <v/>
      </c>
    </row>
    <row r="828" spans="1:13" x14ac:dyDescent="0.35">
      <c r="A828" s="4" t="str">
        <f>IF('All Cases - Enter Cases'!$K828="Approved",'All Cases - Enter Cases'!A828,"")</f>
        <v/>
      </c>
      <c r="B828" s="4" t="str">
        <f>IF($N828&lt;&gt;"",$N828,IF($A828&lt;&gt;"",'All Cases - Enter Cases'!$L828+7,""))</f>
        <v/>
      </c>
      <c r="C828" t="str">
        <f>IF($A828&lt;&gt;"",'All Cases - Enter Cases'!B828,"")</f>
        <v/>
      </c>
      <c r="D828" t="str">
        <f>IF($A828&lt;&gt;"",'All Cases - Enter Cases'!C828,"")</f>
        <v/>
      </c>
      <c r="E828" t="str">
        <f>IF($A828&lt;&gt;"",'All Cases - Enter Cases'!D828,"")</f>
        <v/>
      </c>
      <c r="F828" s="12" t="str">
        <f>IF($A828&lt;&gt;"",'All Cases - Enter Cases'!E828,"")</f>
        <v/>
      </c>
      <c r="G828" s="12" t="str">
        <f>IF($A828&lt;&gt;"",'All Cases - Enter Cases'!F828,"")</f>
        <v/>
      </c>
      <c r="H828" s="4" t="str">
        <f>IF($A828&lt;&gt;"",'All Cases - Enter Cases'!G828,"")</f>
        <v/>
      </c>
      <c r="I828" t="str">
        <f>IF($A828&lt;&gt;"",'All Cases - Enter Cases'!H828,"")</f>
        <v/>
      </c>
      <c r="J828" t="str">
        <f>IF($A828&lt;&gt;"",'All Cases - Enter Cases'!I828,"")</f>
        <v/>
      </c>
      <c r="K828" t="str">
        <f>IF($A828&lt;&gt;"",'All Cases - Enter Cases'!J828,"")</f>
        <v/>
      </c>
      <c r="L828" s="4" t="str">
        <f>IF($A828&lt;&gt;"",'All Cases - Enter Cases'!K828,"")</f>
        <v/>
      </c>
      <c r="M828" t="str">
        <f>IF($A828&lt;&gt;"",'All Cases - Enter Cases'!L828,"")</f>
        <v/>
      </c>
    </row>
    <row r="829" spans="1:13" x14ac:dyDescent="0.35">
      <c r="A829" s="4" t="str">
        <f>IF('All Cases - Enter Cases'!$K829="Approved",'All Cases - Enter Cases'!A829,"")</f>
        <v/>
      </c>
      <c r="B829" s="4" t="str">
        <f>IF($N829&lt;&gt;"",$N829,IF($A829&lt;&gt;"",'All Cases - Enter Cases'!$L829+7,""))</f>
        <v/>
      </c>
      <c r="C829" t="str">
        <f>IF($A829&lt;&gt;"",'All Cases - Enter Cases'!B829,"")</f>
        <v/>
      </c>
      <c r="D829" t="str">
        <f>IF($A829&lt;&gt;"",'All Cases - Enter Cases'!C829,"")</f>
        <v/>
      </c>
      <c r="E829" t="str">
        <f>IF($A829&lt;&gt;"",'All Cases - Enter Cases'!D829,"")</f>
        <v/>
      </c>
      <c r="F829" s="12" t="str">
        <f>IF($A829&lt;&gt;"",'All Cases - Enter Cases'!E829,"")</f>
        <v/>
      </c>
      <c r="G829" s="12" t="str">
        <f>IF($A829&lt;&gt;"",'All Cases - Enter Cases'!F829,"")</f>
        <v/>
      </c>
      <c r="H829" s="4" t="str">
        <f>IF($A829&lt;&gt;"",'All Cases - Enter Cases'!G829,"")</f>
        <v/>
      </c>
      <c r="I829" t="str">
        <f>IF($A829&lt;&gt;"",'All Cases - Enter Cases'!H829,"")</f>
        <v/>
      </c>
      <c r="J829" t="str">
        <f>IF($A829&lt;&gt;"",'All Cases - Enter Cases'!I829,"")</f>
        <v/>
      </c>
      <c r="K829" t="str">
        <f>IF($A829&lt;&gt;"",'All Cases - Enter Cases'!J829,"")</f>
        <v/>
      </c>
      <c r="L829" s="4" t="str">
        <f>IF($A829&lt;&gt;"",'All Cases - Enter Cases'!K829,"")</f>
        <v/>
      </c>
      <c r="M829" t="str">
        <f>IF($A829&lt;&gt;"",'All Cases - Enter Cases'!L829,"")</f>
        <v/>
      </c>
    </row>
    <row r="830" spans="1:13" x14ac:dyDescent="0.35">
      <c r="A830" s="4" t="str">
        <f>IF('All Cases - Enter Cases'!$K830="Approved",'All Cases - Enter Cases'!A830,"")</f>
        <v/>
      </c>
      <c r="B830" s="4" t="str">
        <f>IF($N830&lt;&gt;"",$N830,IF($A830&lt;&gt;"",'All Cases - Enter Cases'!$L830+7,""))</f>
        <v/>
      </c>
      <c r="C830" t="str">
        <f>IF($A830&lt;&gt;"",'All Cases - Enter Cases'!B830,"")</f>
        <v/>
      </c>
      <c r="D830" t="str">
        <f>IF($A830&lt;&gt;"",'All Cases - Enter Cases'!C830,"")</f>
        <v/>
      </c>
      <c r="E830" t="str">
        <f>IF($A830&lt;&gt;"",'All Cases - Enter Cases'!D830,"")</f>
        <v/>
      </c>
      <c r="F830" s="12" t="str">
        <f>IF($A830&lt;&gt;"",'All Cases - Enter Cases'!E830,"")</f>
        <v/>
      </c>
      <c r="G830" s="12" t="str">
        <f>IF($A830&lt;&gt;"",'All Cases - Enter Cases'!F830,"")</f>
        <v/>
      </c>
      <c r="H830" s="4" t="str">
        <f>IF($A830&lt;&gt;"",'All Cases - Enter Cases'!G830,"")</f>
        <v/>
      </c>
      <c r="I830" t="str">
        <f>IF($A830&lt;&gt;"",'All Cases - Enter Cases'!H830,"")</f>
        <v/>
      </c>
      <c r="J830" t="str">
        <f>IF($A830&lt;&gt;"",'All Cases - Enter Cases'!I830,"")</f>
        <v/>
      </c>
      <c r="K830" t="str">
        <f>IF($A830&lt;&gt;"",'All Cases - Enter Cases'!J830,"")</f>
        <v/>
      </c>
      <c r="L830" s="4" t="str">
        <f>IF($A830&lt;&gt;"",'All Cases - Enter Cases'!K830,"")</f>
        <v/>
      </c>
      <c r="M830" t="str">
        <f>IF($A830&lt;&gt;"",'All Cases - Enter Cases'!L830,"")</f>
        <v/>
      </c>
    </row>
    <row r="831" spans="1:13" x14ac:dyDescent="0.35">
      <c r="A831" s="4" t="str">
        <f>IF('All Cases - Enter Cases'!$K831="Approved",'All Cases - Enter Cases'!A831,"")</f>
        <v/>
      </c>
      <c r="B831" s="4" t="str">
        <f>IF($N831&lt;&gt;"",$N831,IF($A831&lt;&gt;"",'All Cases - Enter Cases'!$L831+7,""))</f>
        <v/>
      </c>
      <c r="C831" t="str">
        <f>IF($A831&lt;&gt;"",'All Cases - Enter Cases'!B831,"")</f>
        <v/>
      </c>
      <c r="D831" t="str">
        <f>IF($A831&lt;&gt;"",'All Cases - Enter Cases'!C831,"")</f>
        <v/>
      </c>
      <c r="E831" t="str">
        <f>IF($A831&lt;&gt;"",'All Cases - Enter Cases'!D831,"")</f>
        <v/>
      </c>
      <c r="F831" s="12" t="str">
        <f>IF($A831&lt;&gt;"",'All Cases - Enter Cases'!E831,"")</f>
        <v/>
      </c>
      <c r="G831" s="12" t="str">
        <f>IF($A831&lt;&gt;"",'All Cases - Enter Cases'!F831,"")</f>
        <v/>
      </c>
      <c r="H831" s="4" t="str">
        <f>IF($A831&lt;&gt;"",'All Cases - Enter Cases'!G831,"")</f>
        <v/>
      </c>
      <c r="I831" t="str">
        <f>IF($A831&lt;&gt;"",'All Cases - Enter Cases'!H831,"")</f>
        <v/>
      </c>
      <c r="J831" t="str">
        <f>IF($A831&lt;&gt;"",'All Cases - Enter Cases'!I831,"")</f>
        <v/>
      </c>
      <c r="K831" t="str">
        <f>IF($A831&lt;&gt;"",'All Cases - Enter Cases'!J831,"")</f>
        <v/>
      </c>
      <c r="L831" s="4" t="str">
        <f>IF($A831&lt;&gt;"",'All Cases - Enter Cases'!K831,"")</f>
        <v/>
      </c>
      <c r="M831" t="str">
        <f>IF($A831&lt;&gt;"",'All Cases - Enter Cases'!L831,"")</f>
        <v/>
      </c>
    </row>
    <row r="832" spans="1:13" x14ac:dyDescent="0.35">
      <c r="A832" s="4" t="str">
        <f>IF('All Cases - Enter Cases'!$K832="Approved",'All Cases - Enter Cases'!A832,"")</f>
        <v/>
      </c>
      <c r="B832" s="4" t="str">
        <f>IF($N832&lt;&gt;"",$N832,IF($A832&lt;&gt;"",'All Cases - Enter Cases'!$L832+7,""))</f>
        <v/>
      </c>
      <c r="C832" t="str">
        <f>IF($A832&lt;&gt;"",'All Cases - Enter Cases'!B832,"")</f>
        <v/>
      </c>
      <c r="D832" t="str">
        <f>IF($A832&lt;&gt;"",'All Cases - Enter Cases'!C832,"")</f>
        <v/>
      </c>
      <c r="E832" t="str">
        <f>IF($A832&lt;&gt;"",'All Cases - Enter Cases'!D832,"")</f>
        <v/>
      </c>
      <c r="F832" s="12" t="str">
        <f>IF($A832&lt;&gt;"",'All Cases - Enter Cases'!E832,"")</f>
        <v/>
      </c>
      <c r="G832" s="12" t="str">
        <f>IF($A832&lt;&gt;"",'All Cases - Enter Cases'!F832,"")</f>
        <v/>
      </c>
      <c r="H832" s="4" t="str">
        <f>IF($A832&lt;&gt;"",'All Cases - Enter Cases'!G832,"")</f>
        <v/>
      </c>
      <c r="I832" t="str">
        <f>IF($A832&lt;&gt;"",'All Cases - Enter Cases'!H832,"")</f>
        <v/>
      </c>
      <c r="J832" t="str">
        <f>IF($A832&lt;&gt;"",'All Cases - Enter Cases'!I832,"")</f>
        <v/>
      </c>
      <c r="K832" t="str">
        <f>IF($A832&lt;&gt;"",'All Cases - Enter Cases'!J832,"")</f>
        <v/>
      </c>
      <c r="L832" s="4" t="str">
        <f>IF($A832&lt;&gt;"",'All Cases - Enter Cases'!K832,"")</f>
        <v/>
      </c>
      <c r="M832" t="str">
        <f>IF($A832&lt;&gt;"",'All Cases - Enter Cases'!L832,"")</f>
        <v/>
      </c>
    </row>
    <row r="833" spans="1:13" x14ac:dyDescent="0.35">
      <c r="A833" s="4" t="str">
        <f>IF('All Cases - Enter Cases'!$K833="Approved",'All Cases - Enter Cases'!A833,"")</f>
        <v/>
      </c>
      <c r="B833" s="4" t="str">
        <f>IF($N833&lt;&gt;"",$N833,IF($A833&lt;&gt;"",'All Cases - Enter Cases'!$L833+7,""))</f>
        <v/>
      </c>
      <c r="C833" t="str">
        <f>IF($A833&lt;&gt;"",'All Cases - Enter Cases'!B833,"")</f>
        <v/>
      </c>
      <c r="D833" t="str">
        <f>IF($A833&lt;&gt;"",'All Cases - Enter Cases'!C833,"")</f>
        <v/>
      </c>
      <c r="E833" t="str">
        <f>IF($A833&lt;&gt;"",'All Cases - Enter Cases'!D833,"")</f>
        <v/>
      </c>
      <c r="F833" s="12" t="str">
        <f>IF($A833&lt;&gt;"",'All Cases - Enter Cases'!E833,"")</f>
        <v/>
      </c>
      <c r="G833" s="12" t="str">
        <f>IF($A833&lt;&gt;"",'All Cases - Enter Cases'!F833,"")</f>
        <v/>
      </c>
      <c r="H833" s="4" t="str">
        <f>IF($A833&lt;&gt;"",'All Cases - Enter Cases'!G833,"")</f>
        <v/>
      </c>
      <c r="I833" t="str">
        <f>IF($A833&lt;&gt;"",'All Cases - Enter Cases'!H833,"")</f>
        <v/>
      </c>
      <c r="J833" t="str">
        <f>IF($A833&lt;&gt;"",'All Cases - Enter Cases'!I833,"")</f>
        <v/>
      </c>
      <c r="K833" t="str">
        <f>IF($A833&lt;&gt;"",'All Cases - Enter Cases'!J833,"")</f>
        <v/>
      </c>
      <c r="L833" s="4" t="str">
        <f>IF($A833&lt;&gt;"",'All Cases - Enter Cases'!K833,"")</f>
        <v/>
      </c>
      <c r="M833" t="str">
        <f>IF($A833&lt;&gt;"",'All Cases - Enter Cases'!L833,"")</f>
        <v/>
      </c>
    </row>
    <row r="834" spans="1:13" x14ac:dyDescent="0.35">
      <c r="A834" s="4" t="str">
        <f>IF('All Cases - Enter Cases'!$K834="Approved",'All Cases - Enter Cases'!A834,"")</f>
        <v/>
      </c>
      <c r="B834" s="4" t="str">
        <f>IF($N834&lt;&gt;"",$N834,IF($A834&lt;&gt;"",'All Cases - Enter Cases'!$L834+7,""))</f>
        <v/>
      </c>
      <c r="C834" t="str">
        <f>IF($A834&lt;&gt;"",'All Cases - Enter Cases'!B834,"")</f>
        <v/>
      </c>
      <c r="D834" t="str">
        <f>IF($A834&lt;&gt;"",'All Cases - Enter Cases'!C834,"")</f>
        <v/>
      </c>
      <c r="E834" t="str">
        <f>IF($A834&lt;&gt;"",'All Cases - Enter Cases'!D834,"")</f>
        <v/>
      </c>
      <c r="F834" s="12" t="str">
        <f>IF($A834&lt;&gt;"",'All Cases - Enter Cases'!E834,"")</f>
        <v/>
      </c>
      <c r="G834" s="12" t="str">
        <f>IF($A834&lt;&gt;"",'All Cases - Enter Cases'!F834,"")</f>
        <v/>
      </c>
      <c r="H834" s="4" t="str">
        <f>IF($A834&lt;&gt;"",'All Cases - Enter Cases'!G834,"")</f>
        <v/>
      </c>
      <c r="I834" t="str">
        <f>IF($A834&lt;&gt;"",'All Cases - Enter Cases'!H834,"")</f>
        <v/>
      </c>
      <c r="J834" t="str">
        <f>IF($A834&lt;&gt;"",'All Cases - Enter Cases'!I834,"")</f>
        <v/>
      </c>
      <c r="K834" t="str">
        <f>IF($A834&lt;&gt;"",'All Cases - Enter Cases'!J834,"")</f>
        <v/>
      </c>
      <c r="L834" s="4" t="str">
        <f>IF($A834&lt;&gt;"",'All Cases - Enter Cases'!K834,"")</f>
        <v/>
      </c>
      <c r="M834" t="str">
        <f>IF($A834&lt;&gt;"",'All Cases - Enter Cases'!L834,"")</f>
        <v/>
      </c>
    </row>
    <row r="835" spans="1:13" x14ac:dyDescent="0.35">
      <c r="A835" s="4" t="str">
        <f>IF('All Cases - Enter Cases'!$K835="Approved",'All Cases - Enter Cases'!A835,"")</f>
        <v/>
      </c>
      <c r="B835" s="4" t="str">
        <f>IF($N835&lt;&gt;"",$N835,IF($A835&lt;&gt;"",'All Cases - Enter Cases'!$L835+7,""))</f>
        <v/>
      </c>
      <c r="C835" t="str">
        <f>IF($A835&lt;&gt;"",'All Cases - Enter Cases'!B835,"")</f>
        <v/>
      </c>
      <c r="D835" t="str">
        <f>IF($A835&lt;&gt;"",'All Cases - Enter Cases'!C835,"")</f>
        <v/>
      </c>
      <c r="E835" t="str">
        <f>IF($A835&lt;&gt;"",'All Cases - Enter Cases'!D835,"")</f>
        <v/>
      </c>
      <c r="F835" s="12" t="str">
        <f>IF($A835&lt;&gt;"",'All Cases - Enter Cases'!E835,"")</f>
        <v/>
      </c>
      <c r="G835" s="12" t="str">
        <f>IF($A835&lt;&gt;"",'All Cases - Enter Cases'!F835,"")</f>
        <v/>
      </c>
      <c r="H835" s="4" t="str">
        <f>IF($A835&lt;&gt;"",'All Cases - Enter Cases'!G835,"")</f>
        <v/>
      </c>
      <c r="I835" t="str">
        <f>IF($A835&lt;&gt;"",'All Cases - Enter Cases'!H835,"")</f>
        <v/>
      </c>
      <c r="J835" t="str">
        <f>IF($A835&lt;&gt;"",'All Cases - Enter Cases'!I835,"")</f>
        <v/>
      </c>
      <c r="K835" t="str">
        <f>IF($A835&lt;&gt;"",'All Cases - Enter Cases'!J835,"")</f>
        <v/>
      </c>
      <c r="L835" s="4" t="str">
        <f>IF($A835&lt;&gt;"",'All Cases - Enter Cases'!K835,"")</f>
        <v/>
      </c>
      <c r="M835" t="str">
        <f>IF($A835&lt;&gt;"",'All Cases - Enter Cases'!L835,"")</f>
        <v/>
      </c>
    </row>
    <row r="836" spans="1:13" x14ac:dyDescent="0.35">
      <c r="A836" s="4" t="str">
        <f>IF('All Cases - Enter Cases'!$K836="Approved",'All Cases - Enter Cases'!A836,"")</f>
        <v/>
      </c>
      <c r="B836" s="4" t="str">
        <f>IF($N836&lt;&gt;"",$N836,IF($A836&lt;&gt;"",'All Cases - Enter Cases'!$L836+7,""))</f>
        <v/>
      </c>
      <c r="C836" t="str">
        <f>IF($A836&lt;&gt;"",'All Cases - Enter Cases'!B836,"")</f>
        <v/>
      </c>
      <c r="D836" t="str">
        <f>IF($A836&lt;&gt;"",'All Cases - Enter Cases'!C836,"")</f>
        <v/>
      </c>
      <c r="E836" t="str">
        <f>IF($A836&lt;&gt;"",'All Cases - Enter Cases'!D836,"")</f>
        <v/>
      </c>
      <c r="F836" s="12" t="str">
        <f>IF($A836&lt;&gt;"",'All Cases - Enter Cases'!E836,"")</f>
        <v/>
      </c>
      <c r="G836" s="12" t="str">
        <f>IF($A836&lt;&gt;"",'All Cases - Enter Cases'!F836,"")</f>
        <v/>
      </c>
      <c r="H836" s="4" t="str">
        <f>IF($A836&lt;&gt;"",'All Cases - Enter Cases'!G836,"")</f>
        <v/>
      </c>
      <c r="I836" t="str">
        <f>IF($A836&lt;&gt;"",'All Cases - Enter Cases'!H836,"")</f>
        <v/>
      </c>
      <c r="J836" t="str">
        <f>IF($A836&lt;&gt;"",'All Cases - Enter Cases'!I836,"")</f>
        <v/>
      </c>
      <c r="K836" t="str">
        <f>IF($A836&lt;&gt;"",'All Cases - Enter Cases'!J836,"")</f>
        <v/>
      </c>
      <c r="L836" s="4" t="str">
        <f>IF($A836&lt;&gt;"",'All Cases - Enter Cases'!K836,"")</f>
        <v/>
      </c>
      <c r="M836" t="str">
        <f>IF($A836&lt;&gt;"",'All Cases - Enter Cases'!L836,"")</f>
        <v/>
      </c>
    </row>
    <row r="837" spans="1:13" x14ac:dyDescent="0.35">
      <c r="A837" s="4" t="str">
        <f>IF('All Cases - Enter Cases'!$K837="Approved",'All Cases - Enter Cases'!A837,"")</f>
        <v/>
      </c>
      <c r="B837" s="4" t="str">
        <f>IF($N837&lt;&gt;"",$N837,IF($A837&lt;&gt;"",'All Cases - Enter Cases'!$L837+7,""))</f>
        <v/>
      </c>
      <c r="C837" t="str">
        <f>IF($A837&lt;&gt;"",'All Cases - Enter Cases'!B837,"")</f>
        <v/>
      </c>
      <c r="D837" t="str">
        <f>IF($A837&lt;&gt;"",'All Cases - Enter Cases'!C837,"")</f>
        <v/>
      </c>
      <c r="E837" t="str">
        <f>IF($A837&lt;&gt;"",'All Cases - Enter Cases'!D837,"")</f>
        <v/>
      </c>
      <c r="F837" s="12" t="str">
        <f>IF($A837&lt;&gt;"",'All Cases - Enter Cases'!E837,"")</f>
        <v/>
      </c>
      <c r="G837" s="12" t="str">
        <f>IF($A837&lt;&gt;"",'All Cases - Enter Cases'!F837,"")</f>
        <v/>
      </c>
      <c r="H837" s="4" t="str">
        <f>IF($A837&lt;&gt;"",'All Cases - Enter Cases'!G837,"")</f>
        <v/>
      </c>
      <c r="I837" t="str">
        <f>IF($A837&lt;&gt;"",'All Cases - Enter Cases'!H837,"")</f>
        <v/>
      </c>
      <c r="J837" t="str">
        <f>IF($A837&lt;&gt;"",'All Cases - Enter Cases'!I837,"")</f>
        <v/>
      </c>
      <c r="K837" t="str">
        <f>IF($A837&lt;&gt;"",'All Cases - Enter Cases'!J837,"")</f>
        <v/>
      </c>
      <c r="L837" s="4" t="str">
        <f>IF($A837&lt;&gt;"",'All Cases - Enter Cases'!K837,"")</f>
        <v/>
      </c>
      <c r="M837" t="str">
        <f>IF($A837&lt;&gt;"",'All Cases - Enter Cases'!L837,"")</f>
        <v/>
      </c>
    </row>
    <row r="838" spans="1:13" x14ac:dyDescent="0.35">
      <c r="A838" s="4" t="str">
        <f>IF('All Cases - Enter Cases'!$K838="Approved",'All Cases - Enter Cases'!A838,"")</f>
        <v/>
      </c>
      <c r="B838" s="4" t="str">
        <f>IF($N838&lt;&gt;"",$N838,IF($A838&lt;&gt;"",'All Cases - Enter Cases'!$L838+7,""))</f>
        <v/>
      </c>
      <c r="C838" t="str">
        <f>IF($A838&lt;&gt;"",'All Cases - Enter Cases'!B838,"")</f>
        <v/>
      </c>
      <c r="D838" t="str">
        <f>IF($A838&lt;&gt;"",'All Cases - Enter Cases'!C838,"")</f>
        <v/>
      </c>
      <c r="E838" t="str">
        <f>IF($A838&lt;&gt;"",'All Cases - Enter Cases'!D838,"")</f>
        <v/>
      </c>
      <c r="F838" s="12" t="str">
        <f>IF($A838&lt;&gt;"",'All Cases - Enter Cases'!E838,"")</f>
        <v/>
      </c>
      <c r="G838" s="12" t="str">
        <f>IF($A838&lt;&gt;"",'All Cases - Enter Cases'!F838,"")</f>
        <v/>
      </c>
      <c r="H838" s="4" t="str">
        <f>IF($A838&lt;&gt;"",'All Cases - Enter Cases'!G838,"")</f>
        <v/>
      </c>
      <c r="I838" t="str">
        <f>IF($A838&lt;&gt;"",'All Cases - Enter Cases'!H838,"")</f>
        <v/>
      </c>
      <c r="J838" t="str">
        <f>IF($A838&lt;&gt;"",'All Cases - Enter Cases'!I838,"")</f>
        <v/>
      </c>
      <c r="K838" t="str">
        <f>IF($A838&lt;&gt;"",'All Cases - Enter Cases'!J838,"")</f>
        <v/>
      </c>
      <c r="L838" s="4" t="str">
        <f>IF($A838&lt;&gt;"",'All Cases - Enter Cases'!K838,"")</f>
        <v/>
      </c>
      <c r="M838" t="str">
        <f>IF($A838&lt;&gt;"",'All Cases - Enter Cases'!L838,"")</f>
        <v/>
      </c>
    </row>
    <row r="839" spans="1:13" x14ac:dyDescent="0.35">
      <c r="A839" s="4" t="str">
        <f>IF('All Cases - Enter Cases'!$K839="Approved",'All Cases - Enter Cases'!A839,"")</f>
        <v/>
      </c>
      <c r="B839" s="4" t="str">
        <f>IF($N839&lt;&gt;"",$N839,IF($A839&lt;&gt;"",'All Cases - Enter Cases'!$L839+7,""))</f>
        <v/>
      </c>
      <c r="C839" t="str">
        <f>IF($A839&lt;&gt;"",'All Cases - Enter Cases'!B839,"")</f>
        <v/>
      </c>
      <c r="D839" t="str">
        <f>IF($A839&lt;&gt;"",'All Cases - Enter Cases'!C839,"")</f>
        <v/>
      </c>
      <c r="E839" t="str">
        <f>IF($A839&lt;&gt;"",'All Cases - Enter Cases'!D839,"")</f>
        <v/>
      </c>
      <c r="F839" s="12" t="str">
        <f>IF($A839&lt;&gt;"",'All Cases - Enter Cases'!E839,"")</f>
        <v/>
      </c>
      <c r="G839" s="12" t="str">
        <f>IF($A839&lt;&gt;"",'All Cases - Enter Cases'!F839,"")</f>
        <v/>
      </c>
      <c r="H839" s="4" t="str">
        <f>IF($A839&lt;&gt;"",'All Cases - Enter Cases'!G839,"")</f>
        <v/>
      </c>
      <c r="I839" t="str">
        <f>IF($A839&lt;&gt;"",'All Cases - Enter Cases'!H839,"")</f>
        <v/>
      </c>
      <c r="J839" t="str">
        <f>IF($A839&lt;&gt;"",'All Cases - Enter Cases'!I839,"")</f>
        <v/>
      </c>
      <c r="K839" t="str">
        <f>IF($A839&lt;&gt;"",'All Cases - Enter Cases'!J839,"")</f>
        <v/>
      </c>
      <c r="L839" s="4" t="str">
        <f>IF($A839&lt;&gt;"",'All Cases - Enter Cases'!K839,"")</f>
        <v/>
      </c>
      <c r="M839" t="str">
        <f>IF($A839&lt;&gt;"",'All Cases - Enter Cases'!L839,"")</f>
        <v/>
      </c>
    </row>
    <row r="840" spans="1:13" x14ac:dyDescent="0.35">
      <c r="A840" s="4" t="str">
        <f>IF('All Cases - Enter Cases'!$K840="Approved",'All Cases - Enter Cases'!A840,"")</f>
        <v/>
      </c>
      <c r="B840" s="4" t="str">
        <f>IF($N840&lt;&gt;"",$N840,IF($A840&lt;&gt;"",'All Cases - Enter Cases'!$L840+7,""))</f>
        <v/>
      </c>
      <c r="C840" t="str">
        <f>IF($A840&lt;&gt;"",'All Cases - Enter Cases'!B840,"")</f>
        <v/>
      </c>
      <c r="D840" t="str">
        <f>IF($A840&lt;&gt;"",'All Cases - Enter Cases'!C840,"")</f>
        <v/>
      </c>
      <c r="E840" t="str">
        <f>IF($A840&lt;&gt;"",'All Cases - Enter Cases'!D840,"")</f>
        <v/>
      </c>
      <c r="F840" s="12" t="str">
        <f>IF($A840&lt;&gt;"",'All Cases - Enter Cases'!E840,"")</f>
        <v/>
      </c>
      <c r="G840" s="12" t="str">
        <f>IF($A840&lt;&gt;"",'All Cases - Enter Cases'!F840,"")</f>
        <v/>
      </c>
      <c r="H840" s="4" t="str">
        <f>IF($A840&lt;&gt;"",'All Cases - Enter Cases'!G840,"")</f>
        <v/>
      </c>
      <c r="I840" t="str">
        <f>IF($A840&lt;&gt;"",'All Cases - Enter Cases'!H840,"")</f>
        <v/>
      </c>
      <c r="J840" t="str">
        <f>IF($A840&lt;&gt;"",'All Cases - Enter Cases'!I840,"")</f>
        <v/>
      </c>
      <c r="K840" t="str">
        <f>IF($A840&lt;&gt;"",'All Cases - Enter Cases'!J840,"")</f>
        <v/>
      </c>
      <c r="L840" s="4" t="str">
        <f>IF($A840&lt;&gt;"",'All Cases - Enter Cases'!K840,"")</f>
        <v/>
      </c>
      <c r="M840" t="str">
        <f>IF($A840&lt;&gt;"",'All Cases - Enter Cases'!L840,"")</f>
        <v/>
      </c>
    </row>
    <row r="841" spans="1:13" x14ac:dyDescent="0.35">
      <c r="A841" s="4" t="str">
        <f>IF('All Cases - Enter Cases'!$K841="Approved",'All Cases - Enter Cases'!A841,"")</f>
        <v/>
      </c>
      <c r="B841" s="4" t="str">
        <f>IF($N841&lt;&gt;"",$N841,IF($A841&lt;&gt;"",'All Cases - Enter Cases'!$L841+7,""))</f>
        <v/>
      </c>
      <c r="C841" t="str">
        <f>IF($A841&lt;&gt;"",'All Cases - Enter Cases'!B841,"")</f>
        <v/>
      </c>
      <c r="D841" t="str">
        <f>IF($A841&lt;&gt;"",'All Cases - Enter Cases'!C841,"")</f>
        <v/>
      </c>
      <c r="E841" t="str">
        <f>IF($A841&lt;&gt;"",'All Cases - Enter Cases'!D841,"")</f>
        <v/>
      </c>
      <c r="F841" s="12" t="str">
        <f>IF($A841&lt;&gt;"",'All Cases - Enter Cases'!E841,"")</f>
        <v/>
      </c>
      <c r="G841" s="12" t="str">
        <f>IF($A841&lt;&gt;"",'All Cases - Enter Cases'!F841,"")</f>
        <v/>
      </c>
      <c r="H841" s="4" t="str">
        <f>IF($A841&lt;&gt;"",'All Cases - Enter Cases'!G841,"")</f>
        <v/>
      </c>
      <c r="I841" t="str">
        <f>IF($A841&lt;&gt;"",'All Cases - Enter Cases'!H841,"")</f>
        <v/>
      </c>
      <c r="J841" t="str">
        <f>IF($A841&lt;&gt;"",'All Cases - Enter Cases'!I841,"")</f>
        <v/>
      </c>
      <c r="K841" t="str">
        <f>IF($A841&lt;&gt;"",'All Cases - Enter Cases'!J841,"")</f>
        <v/>
      </c>
      <c r="L841" s="4" t="str">
        <f>IF($A841&lt;&gt;"",'All Cases - Enter Cases'!K841,"")</f>
        <v/>
      </c>
      <c r="M841" t="str">
        <f>IF($A841&lt;&gt;"",'All Cases - Enter Cases'!L841,"")</f>
        <v/>
      </c>
    </row>
    <row r="842" spans="1:13" x14ac:dyDescent="0.35">
      <c r="A842" s="4" t="str">
        <f>IF('All Cases - Enter Cases'!$K842="Approved",'All Cases - Enter Cases'!A842,"")</f>
        <v/>
      </c>
      <c r="B842" s="4" t="str">
        <f>IF($N842&lt;&gt;"",$N842,IF($A842&lt;&gt;"",'All Cases - Enter Cases'!$L842+7,""))</f>
        <v/>
      </c>
      <c r="C842" t="str">
        <f>IF($A842&lt;&gt;"",'All Cases - Enter Cases'!B842,"")</f>
        <v/>
      </c>
      <c r="D842" t="str">
        <f>IF($A842&lt;&gt;"",'All Cases - Enter Cases'!C842,"")</f>
        <v/>
      </c>
      <c r="E842" t="str">
        <f>IF($A842&lt;&gt;"",'All Cases - Enter Cases'!D842,"")</f>
        <v/>
      </c>
      <c r="F842" s="12" t="str">
        <f>IF($A842&lt;&gt;"",'All Cases - Enter Cases'!E842,"")</f>
        <v/>
      </c>
      <c r="G842" s="12" t="str">
        <f>IF($A842&lt;&gt;"",'All Cases - Enter Cases'!F842,"")</f>
        <v/>
      </c>
      <c r="H842" s="4" t="str">
        <f>IF($A842&lt;&gt;"",'All Cases - Enter Cases'!G842,"")</f>
        <v/>
      </c>
      <c r="I842" t="str">
        <f>IF($A842&lt;&gt;"",'All Cases - Enter Cases'!H842,"")</f>
        <v/>
      </c>
      <c r="J842" t="str">
        <f>IF($A842&lt;&gt;"",'All Cases - Enter Cases'!I842,"")</f>
        <v/>
      </c>
      <c r="K842" t="str">
        <f>IF($A842&lt;&gt;"",'All Cases - Enter Cases'!J842,"")</f>
        <v/>
      </c>
      <c r="L842" s="4" t="str">
        <f>IF($A842&lt;&gt;"",'All Cases - Enter Cases'!K842,"")</f>
        <v/>
      </c>
      <c r="M842" t="str">
        <f>IF($A842&lt;&gt;"",'All Cases - Enter Cases'!L842,"")</f>
        <v/>
      </c>
    </row>
    <row r="843" spans="1:13" x14ac:dyDescent="0.35">
      <c r="A843" s="4" t="str">
        <f>IF('All Cases - Enter Cases'!$K843="Approved",'All Cases - Enter Cases'!A843,"")</f>
        <v/>
      </c>
      <c r="B843" s="4" t="str">
        <f>IF($N843&lt;&gt;"",$N843,IF($A843&lt;&gt;"",'All Cases - Enter Cases'!$L843+7,""))</f>
        <v/>
      </c>
      <c r="C843" t="str">
        <f>IF($A843&lt;&gt;"",'All Cases - Enter Cases'!B843,"")</f>
        <v/>
      </c>
      <c r="D843" t="str">
        <f>IF($A843&lt;&gt;"",'All Cases - Enter Cases'!C843,"")</f>
        <v/>
      </c>
      <c r="E843" t="str">
        <f>IF($A843&lt;&gt;"",'All Cases - Enter Cases'!D843,"")</f>
        <v/>
      </c>
      <c r="F843" s="12" t="str">
        <f>IF($A843&lt;&gt;"",'All Cases - Enter Cases'!E843,"")</f>
        <v/>
      </c>
      <c r="G843" s="12" t="str">
        <f>IF($A843&lt;&gt;"",'All Cases - Enter Cases'!F843,"")</f>
        <v/>
      </c>
      <c r="H843" s="4" t="str">
        <f>IF($A843&lt;&gt;"",'All Cases - Enter Cases'!G843,"")</f>
        <v/>
      </c>
      <c r="I843" t="str">
        <f>IF($A843&lt;&gt;"",'All Cases - Enter Cases'!H843,"")</f>
        <v/>
      </c>
      <c r="J843" t="str">
        <f>IF($A843&lt;&gt;"",'All Cases - Enter Cases'!I843,"")</f>
        <v/>
      </c>
      <c r="K843" t="str">
        <f>IF($A843&lt;&gt;"",'All Cases - Enter Cases'!J843,"")</f>
        <v/>
      </c>
      <c r="L843" s="4" t="str">
        <f>IF($A843&lt;&gt;"",'All Cases - Enter Cases'!K843,"")</f>
        <v/>
      </c>
      <c r="M843" t="str">
        <f>IF($A843&lt;&gt;"",'All Cases - Enter Cases'!L843,"")</f>
        <v/>
      </c>
    </row>
    <row r="844" spans="1:13" x14ac:dyDescent="0.35">
      <c r="A844" s="4" t="str">
        <f>IF('All Cases - Enter Cases'!$K844="Approved",'All Cases - Enter Cases'!A844,"")</f>
        <v/>
      </c>
      <c r="B844" s="4" t="str">
        <f>IF($N844&lt;&gt;"",$N844,IF($A844&lt;&gt;"",'All Cases - Enter Cases'!$L844+7,""))</f>
        <v/>
      </c>
      <c r="C844" t="str">
        <f>IF($A844&lt;&gt;"",'All Cases - Enter Cases'!B844,"")</f>
        <v/>
      </c>
      <c r="D844" t="str">
        <f>IF($A844&lt;&gt;"",'All Cases - Enter Cases'!C844,"")</f>
        <v/>
      </c>
      <c r="E844" t="str">
        <f>IF($A844&lt;&gt;"",'All Cases - Enter Cases'!D844,"")</f>
        <v/>
      </c>
      <c r="F844" s="12" t="str">
        <f>IF($A844&lt;&gt;"",'All Cases - Enter Cases'!E844,"")</f>
        <v/>
      </c>
      <c r="G844" s="12" t="str">
        <f>IF($A844&lt;&gt;"",'All Cases - Enter Cases'!F844,"")</f>
        <v/>
      </c>
      <c r="H844" s="4" t="str">
        <f>IF($A844&lt;&gt;"",'All Cases - Enter Cases'!G844,"")</f>
        <v/>
      </c>
      <c r="I844" t="str">
        <f>IF($A844&lt;&gt;"",'All Cases - Enter Cases'!H844,"")</f>
        <v/>
      </c>
      <c r="J844" t="str">
        <f>IF($A844&lt;&gt;"",'All Cases - Enter Cases'!I844,"")</f>
        <v/>
      </c>
      <c r="K844" t="str">
        <f>IF($A844&lt;&gt;"",'All Cases - Enter Cases'!J844,"")</f>
        <v/>
      </c>
      <c r="L844" s="4" t="str">
        <f>IF($A844&lt;&gt;"",'All Cases - Enter Cases'!K844,"")</f>
        <v/>
      </c>
      <c r="M844" t="str">
        <f>IF($A844&lt;&gt;"",'All Cases - Enter Cases'!L844,"")</f>
        <v/>
      </c>
    </row>
    <row r="845" spans="1:13" x14ac:dyDescent="0.35">
      <c r="A845" s="4" t="str">
        <f>IF('All Cases - Enter Cases'!$K845="Approved",'All Cases - Enter Cases'!A845,"")</f>
        <v/>
      </c>
      <c r="B845" s="4" t="str">
        <f>IF($N845&lt;&gt;"",$N845,IF($A845&lt;&gt;"",'All Cases - Enter Cases'!$L845+7,""))</f>
        <v/>
      </c>
      <c r="C845" t="str">
        <f>IF($A845&lt;&gt;"",'All Cases - Enter Cases'!B845,"")</f>
        <v/>
      </c>
      <c r="D845" t="str">
        <f>IF($A845&lt;&gt;"",'All Cases - Enter Cases'!C845,"")</f>
        <v/>
      </c>
      <c r="E845" t="str">
        <f>IF($A845&lt;&gt;"",'All Cases - Enter Cases'!D845,"")</f>
        <v/>
      </c>
      <c r="F845" s="12" t="str">
        <f>IF($A845&lt;&gt;"",'All Cases - Enter Cases'!E845,"")</f>
        <v/>
      </c>
      <c r="G845" s="12" t="str">
        <f>IF($A845&lt;&gt;"",'All Cases - Enter Cases'!F845,"")</f>
        <v/>
      </c>
      <c r="H845" s="4" t="str">
        <f>IF($A845&lt;&gt;"",'All Cases - Enter Cases'!G845,"")</f>
        <v/>
      </c>
      <c r="I845" t="str">
        <f>IF($A845&lt;&gt;"",'All Cases - Enter Cases'!H845,"")</f>
        <v/>
      </c>
      <c r="J845" t="str">
        <f>IF($A845&lt;&gt;"",'All Cases - Enter Cases'!I845,"")</f>
        <v/>
      </c>
      <c r="K845" t="str">
        <f>IF($A845&lt;&gt;"",'All Cases - Enter Cases'!J845,"")</f>
        <v/>
      </c>
      <c r="L845" s="4" t="str">
        <f>IF($A845&lt;&gt;"",'All Cases - Enter Cases'!K845,"")</f>
        <v/>
      </c>
      <c r="M845" t="str">
        <f>IF($A845&lt;&gt;"",'All Cases - Enter Cases'!L845,"")</f>
        <v/>
      </c>
    </row>
    <row r="846" spans="1:13" x14ac:dyDescent="0.35">
      <c r="A846" s="4" t="str">
        <f>IF('All Cases - Enter Cases'!$K846="Approved",'All Cases - Enter Cases'!A846,"")</f>
        <v/>
      </c>
      <c r="B846" s="4" t="str">
        <f>IF($N846&lt;&gt;"",$N846,IF($A846&lt;&gt;"",'All Cases - Enter Cases'!$L846+7,""))</f>
        <v/>
      </c>
      <c r="C846" t="str">
        <f>IF($A846&lt;&gt;"",'All Cases - Enter Cases'!B846,"")</f>
        <v/>
      </c>
      <c r="D846" t="str">
        <f>IF($A846&lt;&gt;"",'All Cases - Enter Cases'!C846,"")</f>
        <v/>
      </c>
      <c r="E846" t="str">
        <f>IF($A846&lt;&gt;"",'All Cases - Enter Cases'!D846,"")</f>
        <v/>
      </c>
      <c r="F846" s="12" t="str">
        <f>IF($A846&lt;&gt;"",'All Cases - Enter Cases'!E846,"")</f>
        <v/>
      </c>
      <c r="G846" s="12" t="str">
        <f>IF($A846&lt;&gt;"",'All Cases - Enter Cases'!F846,"")</f>
        <v/>
      </c>
      <c r="H846" s="4" t="str">
        <f>IF($A846&lt;&gt;"",'All Cases - Enter Cases'!G846,"")</f>
        <v/>
      </c>
      <c r="I846" t="str">
        <f>IF($A846&lt;&gt;"",'All Cases - Enter Cases'!H846,"")</f>
        <v/>
      </c>
      <c r="J846" t="str">
        <f>IF($A846&lt;&gt;"",'All Cases - Enter Cases'!I846,"")</f>
        <v/>
      </c>
      <c r="K846" t="str">
        <f>IF($A846&lt;&gt;"",'All Cases - Enter Cases'!J846,"")</f>
        <v/>
      </c>
      <c r="L846" s="4" t="str">
        <f>IF($A846&lt;&gt;"",'All Cases - Enter Cases'!K846,"")</f>
        <v/>
      </c>
      <c r="M846" t="str">
        <f>IF($A846&lt;&gt;"",'All Cases - Enter Cases'!L846,"")</f>
        <v/>
      </c>
    </row>
    <row r="847" spans="1:13" x14ac:dyDescent="0.35">
      <c r="A847" s="4" t="str">
        <f>IF('All Cases - Enter Cases'!$K847="Approved",'All Cases - Enter Cases'!A847,"")</f>
        <v/>
      </c>
      <c r="B847" s="4" t="str">
        <f>IF($N847&lt;&gt;"",$N847,IF($A847&lt;&gt;"",'All Cases - Enter Cases'!$L847+7,""))</f>
        <v/>
      </c>
      <c r="C847" t="str">
        <f>IF($A847&lt;&gt;"",'All Cases - Enter Cases'!B847,"")</f>
        <v/>
      </c>
      <c r="D847" t="str">
        <f>IF($A847&lt;&gt;"",'All Cases - Enter Cases'!C847,"")</f>
        <v/>
      </c>
      <c r="E847" t="str">
        <f>IF($A847&lt;&gt;"",'All Cases - Enter Cases'!D847,"")</f>
        <v/>
      </c>
      <c r="F847" s="12" t="str">
        <f>IF($A847&lt;&gt;"",'All Cases - Enter Cases'!E847,"")</f>
        <v/>
      </c>
      <c r="G847" s="12" t="str">
        <f>IF($A847&lt;&gt;"",'All Cases - Enter Cases'!F847,"")</f>
        <v/>
      </c>
      <c r="H847" s="4" t="str">
        <f>IF($A847&lt;&gt;"",'All Cases - Enter Cases'!G847,"")</f>
        <v/>
      </c>
      <c r="I847" t="str">
        <f>IF($A847&lt;&gt;"",'All Cases - Enter Cases'!H847,"")</f>
        <v/>
      </c>
      <c r="J847" t="str">
        <f>IF($A847&lt;&gt;"",'All Cases - Enter Cases'!I847,"")</f>
        <v/>
      </c>
      <c r="K847" t="str">
        <f>IF($A847&lt;&gt;"",'All Cases - Enter Cases'!J847,"")</f>
        <v/>
      </c>
      <c r="L847" s="4" t="str">
        <f>IF($A847&lt;&gt;"",'All Cases - Enter Cases'!K847,"")</f>
        <v/>
      </c>
      <c r="M847" t="str">
        <f>IF($A847&lt;&gt;"",'All Cases - Enter Cases'!L847,"")</f>
        <v/>
      </c>
    </row>
    <row r="848" spans="1:13" x14ac:dyDescent="0.35">
      <c r="A848" s="4" t="str">
        <f>IF('All Cases - Enter Cases'!$K848="Approved",'All Cases - Enter Cases'!A848,"")</f>
        <v/>
      </c>
      <c r="B848" s="4" t="str">
        <f>IF($N848&lt;&gt;"",$N848,IF($A848&lt;&gt;"",'All Cases - Enter Cases'!$L848+7,""))</f>
        <v/>
      </c>
      <c r="C848" t="str">
        <f>IF($A848&lt;&gt;"",'All Cases - Enter Cases'!B848,"")</f>
        <v/>
      </c>
      <c r="D848" t="str">
        <f>IF($A848&lt;&gt;"",'All Cases - Enter Cases'!C848,"")</f>
        <v/>
      </c>
      <c r="E848" t="str">
        <f>IF($A848&lt;&gt;"",'All Cases - Enter Cases'!D848,"")</f>
        <v/>
      </c>
      <c r="F848" s="12" t="str">
        <f>IF($A848&lt;&gt;"",'All Cases - Enter Cases'!E848,"")</f>
        <v/>
      </c>
      <c r="G848" s="12" t="str">
        <f>IF($A848&lt;&gt;"",'All Cases - Enter Cases'!F848,"")</f>
        <v/>
      </c>
      <c r="H848" s="4" t="str">
        <f>IF($A848&lt;&gt;"",'All Cases - Enter Cases'!G848,"")</f>
        <v/>
      </c>
      <c r="I848" t="str">
        <f>IF($A848&lt;&gt;"",'All Cases - Enter Cases'!H848,"")</f>
        <v/>
      </c>
      <c r="J848" t="str">
        <f>IF($A848&lt;&gt;"",'All Cases - Enter Cases'!I848,"")</f>
        <v/>
      </c>
      <c r="K848" t="str">
        <f>IF($A848&lt;&gt;"",'All Cases - Enter Cases'!J848,"")</f>
        <v/>
      </c>
      <c r="L848" s="4" t="str">
        <f>IF($A848&lt;&gt;"",'All Cases - Enter Cases'!K848,"")</f>
        <v/>
      </c>
      <c r="M848" t="str">
        <f>IF($A848&lt;&gt;"",'All Cases - Enter Cases'!L848,"")</f>
        <v/>
      </c>
    </row>
    <row r="849" spans="1:13" x14ac:dyDescent="0.35">
      <c r="A849" s="4" t="str">
        <f>IF('All Cases - Enter Cases'!$K849="Approved",'All Cases - Enter Cases'!A849,"")</f>
        <v/>
      </c>
      <c r="B849" s="4" t="str">
        <f>IF($N849&lt;&gt;"",$N849,IF($A849&lt;&gt;"",'All Cases - Enter Cases'!$L849+7,""))</f>
        <v/>
      </c>
      <c r="C849" t="str">
        <f>IF($A849&lt;&gt;"",'All Cases - Enter Cases'!B849,"")</f>
        <v/>
      </c>
      <c r="D849" t="str">
        <f>IF($A849&lt;&gt;"",'All Cases - Enter Cases'!C849,"")</f>
        <v/>
      </c>
      <c r="E849" t="str">
        <f>IF($A849&lt;&gt;"",'All Cases - Enter Cases'!D849,"")</f>
        <v/>
      </c>
      <c r="F849" s="12" t="str">
        <f>IF($A849&lt;&gt;"",'All Cases - Enter Cases'!E849,"")</f>
        <v/>
      </c>
      <c r="G849" s="12" t="str">
        <f>IF($A849&lt;&gt;"",'All Cases - Enter Cases'!F849,"")</f>
        <v/>
      </c>
      <c r="H849" s="4" t="str">
        <f>IF($A849&lt;&gt;"",'All Cases - Enter Cases'!G849,"")</f>
        <v/>
      </c>
      <c r="I849" t="str">
        <f>IF($A849&lt;&gt;"",'All Cases - Enter Cases'!H849,"")</f>
        <v/>
      </c>
      <c r="J849" t="str">
        <f>IF($A849&lt;&gt;"",'All Cases - Enter Cases'!I849,"")</f>
        <v/>
      </c>
      <c r="K849" t="str">
        <f>IF($A849&lt;&gt;"",'All Cases - Enter Cases'!J849,"")</f>
        <v/>
      </c>
      <c r="L849" s="4" t="str">
        <f>IF($A849&lt;&gt;"",'All Cases - Enter Cases'!K849,"")</f>
        <v/>
      </c>
      <c r="M849" t="str">
        <f>IF($A849&lt;&gt;"",'All Cases - Enter Cases'!L849,"")</f>
        <v/>
      </c>
    </row>
    <row r="850" spans="1:13" x14ac:dyDescent="0.35">
      <c r="A850" s="4" t="str">
        <f>IF('All Cases - Enter Cases'!$K850="Approved",'All Cases - Enter Cases'!A850,"")</f>
        <v/>
      </c>
      <c r="B850" s="4" t="str">
        <f>IF($N850&lt;&gt;"",$N850,IF($A850&lt;&gt;"",'All Cases - Enter Cases'!$L850+7,""))</f>
        <v/>
      </c>
      <c r="C850" t="str">
        <f>IF($A850&lt;&gt;"",'All Cases - Enter Cases'!B850,"")</f>
        <v/>
      </c>
      <c r="D850" t="str">
        <f>IF($A850&lt;&gt;"",'All Cases - Enter Cases'!C850,"")</f>
        <v/>
      </c>
      <c r="E850" t="str">
        <f>IF($A850&lt;&gt;"",'All Cases - Enter Cases'!D850,"")</f>
        <v/>
      </c>
      <c r="F850" s="12" t="str">
        <f>IF($A850&lt;&gt;"",'All Cases - Enter Cases'!E850,"")</f>
        <v/>
      </c>
      <c r="G850" s="12" t="str">
        <f>IF($A850&lt;&gt;"",'All Cases - Enter Cases'!F850,"")</f>
        <v/>
      </c>
      <c r="H850" s="4" t="str">
        <f>IF($A850&lt;&gt;"",'All Cases - Enter Cases'!G850,"")</f>
        <v/>
      </c>
      <c r="I850" t="str">
        <f>IF($A850&lt;&gt;"",'All Cases - Enter Cases'!H850,"")</f>
        <v/>
      </c>
      <c r="J850" t="str">
        <f>IF($A850&lt;&gt;"",'All Cases - Enter Cases'!I850,"")</f>
        <v/>
      </c>
      <c r="K850" t="str">
        <f>IF($A850&lt;&gt;"",'All Cases - Enter Cases'!J850,"")</f>
        <v/>
      </c>
      <c r="L850" s="4" t="str">
        <f>IF($A850&lt;&gt;"",'All Cases - Enter Cases'!K850,"")</f>
        <v/>
      </c>
      <c r="M850" t="str">
        <f>IF($A850&lt;&gt;"",'All Cases - Enter Cases'!L850,"")</f>
        <v/>
      </c>
    </row>
    <row r="851" spans="1:13" x14ac:dyDescent="0.35">
      <c r="A851" s="4" t="str">
        <f>IF('All Cases - Enter Cases'!$K851="Approved",'All Cases - Enter Cases'!A851,"")</f>
        <v/>
      </c>
      <c r="B851" s="4" t="str">
        <f>IF($N851&lt;&gt;"",$N851,IF($A851&lt;&gt;"",'All Cases - Enter Cases'!$L851+7,""))</f>
        <v/>
      </c>
      <c r="C851" t="str">
        <f>IF($A851&lt;&gt;"",'All Cases - Enter Cases'!B851,"")</f>
        <v/>
      </c>
      <c r="D851" t="str">
        <f>IF($A851&lt;&gt;"",'All Cases - Enter Cases'!C851,"")</f>
        <v/>
      </c>
      <c r="E851" t="str">
        <f>IF($A851&lt;&gt;"",'All Cases - Enter Cases'!D851,"")</f>
        <v/>
      </c>
      <c r="F851" s="12" t="str">
        <f>IF($A851&lt;&gt;"",'All Cases - Enter Cases'!E851,"")</f>
        <v/>
      </c>
      <c r="G851" s="12" t="str">
        <f>IF($A851&lt;&gt;"",'All Cases - Enter Cases'!F851,"")</f>
        <v/>
      </c>
      <c r="H851" s="4" t="str">
        <f>IF($A851&lt;&gt;"",'All Cases - Enter Cases'!G851,"")</f>
        <v/>
      </c>
      <c r="I851" t="str">
        <f>IF($A851&lt;&gt;"",'All Cases - Enter Cases'!H851,"")</f>
        <v/>
      </c>
      <c r="J851" t="str">
        <f>IF($A851&lt;&gt;"",'All Cases - Enter Cases'!I851,"")</f>
        <v/>
      </c>
      <c r="K851" t="str">
        <f>IF($A851&lt;&gt;"",'All Cases - Enter Cases'!J851,"")</f>
        <v/>
      </c>
      <c r="L851" s="4" t="str">
        <f>IF($A851&lt;&gt;"",'All Cases - Enter Cases'!K851,"")</f>
        <v/>
      </c>
      <c r="M851" t="str">
        <f>IF($A851&lt;&gt;"",'All Cases - Enter Cases'!L851,"")</f>
        <v/>
      </c>
    </row>
    <row r="852" spans="1:13" x14ac:dyDescent="0.35">
      <c r="A852" s="4" t="str">
        <f>IF('All Cases - Enter Cases'!$K852="Approved",'All Cases - Enter Cases'!A852,"")</f>
        <v/>
      </c>
      <c r="B852" s="4" t="str">
        <f>IF($N852&lt;&gt;"",$N852,IF($A852&lt;&gt;"",'All Cases - Enter Cases'!$L852+7,""))</f>
        <v/>
      </c>
      <c r="C852" t="str">
        <f>IF($A852&lt;&gt;"",'All Cases - Enter Cases'!B852,"")</f>
        <v/>
      </c>
      <c r="D852" t="str">
        <f>IF($A852&lt;&gt;"",'All Cases - Enter Cases'!C852,"")</f>
        <v/>
      </c>
      <c r="E852" t="str">
        <f>IF($A852&lt;&gt;"",'All Cases - Enter Cases'!D852,"")</f>
        <v/>
      </c>
      <c r="F852" s="12" t="str">
        <f>IF($A852&lt;&gt;"",'All Cases - Enter Cases'!E852,"")</f>
        <v/>
      </c>
      <c r="G852" s="12" t="str">
        <f>IF($A852&lt;&gt;"",'All Cases - Enter Cases'!F852,"")</f>
        <v/>
      </c>
      <c r="H852" s="4" t="str">
        <f>IF($A852&lt;&gt;"",'All Cases - Enter Cases'!G852,"")</f>
        <v/>
      </c>
      <c r="I852" t="str">
        <f>IF($A852&lt;&gt;"",'All Cases - Enter Cases'!H852,"")</f>
        <v/>
      </c>
      <c r="J852" t="str">
        <f>IF($A852&lt;&gt;"",'All Cases - Enter Cases'!I852,"")</f>
        <v/>
      </c>
      <c r="K852" t="str">
        <f>IF($A852&lt;&gt;"",'All Cases - Enter Cases'!J852,"")</f>
        <v/>
      </c>
      <c r="L852" s="4" t="str">
        <f>IF($A852&lt;&gt;"",'All Cases - Enter Cases'!K852,"")</f>
        <v/>
      </c>
      <c r="M852" t="str">
        <f>IF($A852&lt;&gt;"",'All Cases - Enter Cases'!L852,"")</f>
        <v/>
      </c>
    </row>
    <row r="853" spans="1:13" x14ac:dyDescent="0.35">
      <c r="A853" s="4" t="str">
        <f>IF('All Cases - Enter Cases'!$K853="Approved",'All Cases - Enter Cases'!A853,"")</f>
        <v/>
      </c>
      <c r="B853" s="4" t="str">
        <f>IF($N853&lt;&gt;"",$N853,IF($A853&lt;&gt;"",'All Cases - Enter Cases'!$L853+7,""))</f>
        <v/>
      </c>
      <c r="C853" t="str">
        <f>IF($A853&lt;&gt;"",'All Cases - Enter Cases'!B853,"")</f>
        <v/>
      </c>
      <c r="D853" t="str">
        <f>IF($A853&lt;&gt;"",'All Cases - Enter Cases'!C853,"")</f>
        <v/>
      </c>
      <c r="E853" t="str">
        <f>IF($A853&lt;&gt;"",'All Cases - Enter Cases'!D853,"")</f>
        <v/>
      </c>
      <c r="F853" s="12" t="str">
        <f>IF($A853&lt;&gt;"",'All Cases - Enter Cases'!E853,"")</f>
        <v/>
      </c>
      <c r="G853" s="12" t="str">
        <f>IF($A853&lt;&gt;"",'All Cases - Enter Cases'!F853,"")</f>
        <v/>
      </c>
      <c r="H853" s="4" t="str">
        <f>IF($A853&lt;&gt;"",'All Cases - Enter Cases'!G853,"")</f>
        <v/>
      </c>
      <c r="I853" t="str">
        <f>IF($A853&lt;&gt;"",'All Cases - Enter Cases'!H853,"")</f>
        <v/>
      </c>
      <c r="J853" t="str">
        <f>IF($A853&lt;&gt;"",'All Cases - Enter Cases'!I853,"")</f>
        <v/>
      </c>
      <c r="K853" t="str">
        <f>IF($A853&lt;&gt;"",'All Cases - Enter Cases'!J853,"")</f>
        <v/>
      </c>
      <c r="L853" s="4" t="str">
        <f>IF($A853&lt;&gt;"",'All Cases - Enter Cases'!K853,"")</f>
        <v/>
      </c>
      <c r="M853" t="str">
        <f>IF($A853&lt;&gt;"",'All Cases - Enter Cases'!L853,"")</f>
        <v/>
      </c>
    </row>
    <row r="854" spans="1:13" x14ac:dyDescent="0.35">
      <c r="A854" s="4" t="str">
        <f>IF('All Cases - Enter Cases'!$K854="Approved",'All Cases - Enter Cases'!A854,"")</f>
        <v/>
      </c>
      <c r="B854" s="4" t="str">
        <f>IF($N854&lt;&gt;"",$N854,IF($A854&lt;&gt;"",'All Cases - Enter Cases'!$L854+7,""))</f>
        <v/>
      </c>
      <c r="C854" t="str">
        <f>IF($A854&lt;&gt;"",'All Cases - Enter Cases'!B854,"")</f>
        <v/>
      </c>
      <c r="D854" t="str">
        <f>IF($A854&lt;&gt;"",'All Cases - Enter Cases'!C854,"")</f>
        <v/>
      </c>
      <c r="E854" t="str">
        <f>IF($A854&lt;&gt;"",'All Cases - Enter Cases'!D854,"")</f>
        <v/>
      </c>
      <c r="F854" s="12" t="str">
        <f>IF($A854&lt;&gt;"",'All Cases - Enter Cases'!E854,"")</f>
        <v/>
      </c>
      <c r="G854" s="12" t="str">
        <f>IF($A854&lt;&gt;"",'All Cases - Enter Cases'!F854,"")</f>
        <v/>
      </c>
      <c r="H854" s="4" t="str">
        <f>IF($A854&lt;&gt;"",'All Cases - Enter Cases'!G854,"")</f>
        <v/>
      </c>
      <c r="I854" t="str">
        <f>IF($A854&lt;&gt;"",'All Cases - Enter Cases'!H854,"")</f>
        <v/>
      </c>
      <c r="J854" t="str">
        <f>IF($A854&lt;&gt;"",'All Cases - Enter Cases'!I854,"")</f>
        <v/>
      </c>
      <c r="K854" t="str">
        <f>IF($A854&lt;&gt;"",'All Cases - Enter Cases'!J854,"")</f>
        <v/>
      </c>
      <c r="L854" s="4" t="str">
        <f>IF($A854&lt;&gt;"",'All Cases - Enter Cases'!K854,"")</f>
        <v/>
      </c>
      <c r="M854" t="str">
        <f>IF($A854&lt;&gt;"",'All Cases - Enter Cases'!L854,"")</f>
        <v/>
      </c>
    </row>
    <row r="855" spans="1:13" x14ac:dyDescent="0.35">
      <c r="A855" s="4" t="str">
        <f>IF('All Cases - Enter Cases'!$K855="Approved",'All Cases - Enter Cases'!A855,"")</f>
        <v/>
      </c>
      <c r="B855" s="4" t="str">
        <f>IF($N855&lt;&gt;"",$N855,IF($A855&lt;&gt;"",'All Cases - Enter Cases'!$L855+7,""))</f>
        <v/>
      </c>
      <c r="C855" t="str">
        <f>IF($A855&lt;&gt;"",'All Cases - Enter Cases'!B855,"")</f>
        <v/>
      </c>
      <c r="D855" t="str">
        <f>IF($A855&lt;&gt;"",'All Cases - Enter Cases'!C855,"")</f>
        <v/>
      </c>
      <c r="E855" t="str">
        <f>IF($A855&lt;&gt;"",'All Cases - Enter Cases'!D855,"")</f>
        <v/>
      </c>
      <c r="F855" s="12" t="str">
        <f>IF($A855&lt;&gt;"",'All Cases - Enter Cases'!E855,"")</f>
        <v/>
      </c>
      <c r="G855" s="12" t="str">
        <f>IF($A855&lt;&gt;"",'All Cases - Enter Cases'!F855,"")</f>
        <v/>
      </c>
      <c r="H855" s="4" t="str">
        <f>IF($A855&lt;&gt;"",'All Cases - Enter Cases'!G855,"")</f>
        <v/>
      </c>
      <c r="I855" t="str">
        <f>IF($A855&lt;&gt;"",'All Cases - Enter Cases'!H855,"")</f>
        <v/>
      </c>
      <c r="J855" t="str">
        <f>IF($A855&lt;&gt;"",'All Cases - Enter Cases'!I855,"")</f>
        <v/>
      </c>
      <c r="K855" t="str">
        <f>IF($A855&lt;&gt;"",'All Cases - Enter Cases'!J855,"")</f>
        <v/>
      </c>
      <c r="L855" s="4" t="str">
        <f>IF($A855&lt;&gt;"",'All Cases - Enter Cases'!K855,"")</f>
        <v/>
      </c>
      <c r="M855" t="str">
        <f>IF($A855&lt;&gt;"",'All Cases - Enter Cases'!L855,"")</f>
        <v/>
      </c>
    </row>
    <row r="856" spans="1:13" x14ac:dyDescent="0.35">
      <c r="A856" s="4" t="str">
        <f>IF('All Cases - Enter Cases'!$K856="Approved",'All Cases - Enter Cases'!A856,"")</f>
        <v/>
      </c>
      <c r="B856" s="4" t="str">
        <f>IF($N856&lt;&gt;"",$N856,IF($A856&lt;&gt;"",'All Cases - Enter Cases'!$L856+7,""))</f>
        <v/>
      </c>
      <c r="C856" t="str">
        <f>IF($A856&lt;&gt;"",'All Cases - Enter Cases'!B856,"")</f>
        <v/>
      </c>
      <c r="D856" t="str">
        <f>IF($A856&lt;&gt;"",'All Cases - Enter Cases'!C856,"")</f>
        <v/>
      </c>
      <c r="E856" t="str">
        <f>IF($A856&lt;&gt;"",'All Cases - Enter Cases'!D856,"")</f>
        <v/>
      </c>
      <c r="F856" s="12" t="str">
        <f>IF($A856&lt;&gt;"",'All Cases - Enter Cases'!E856,"")</f>
        <v/>
      </c>
      <c r="G856" s="12" t="str">
        <f>IF($A856&lt;&gt;"",'All Cases - Enter Cases'!F856,"")</f>
        <v/>
      </c>
      <c r="H856" s="4" t="str">
        <f>IF($A856&lt;&gt;"",'All Cases - Enter Cases'!G856,"")</f>
        <v/>
      </c>
      <c r="I856" t="str">
        <f>IF($A856&lt;&gt;"",'All Cases - Enter Cases'!H856,"")</f>
        <v/>
      </c>
      <c r="J856" t="str">
        <f>IF($A856&lt;&gt;"",'All Cases - Enter Cases'!I856,"")</f>
        <v/>
      </c>
      <c r="K856" t="str">
        <f>IF($A856&lt;&gt;"",'All Cases - Enter Cases'!J856,"")</f>
        <v/>
      </c>
      <c r="L856" s="4" t="str">
        <f>IF($A856&lt;&gt;"",'All Cases - Enter Cases'!K856,"")</f>
        <v/>
      </c>
      <c r="M856" t="str">
        <f>IF($A856&lt;&gt;"",'All Cases - Enter Cases'!L856,"")</f>
        <v/>
      </c>
    </row>
    <row r="857" spans="1:13" x14ac:dyDescent="0.35">
      <c r="A857" s="4" t="str">
        <f>IF('All Cases - Enter Cases'!$K857="Approved",'All Cases - Enter Cases'!A857,"")</f>
        <v/>
      </c>
      <c r="B857" s="4" t="str">
        <f>IF($N857&lt;&gt;"",$N857,IF($A857&lt;&gt;"",'All Cases - Enter Cases'!$L857+7,""))</f>
        <v/>
      </c>
      <c r="C857" t="str">
        <f>IF($A857&lt;&gt;"",'All Cases - Enter Cases'!B857,"")</f>
        <v/>
      </c>
      <c r="D857" t="str">
        <f>IF($A857&lt;&gt;"",'All Cases - Enter Cases'!C857,"")</f>
        <v/>
      </c>
      <c r="E857" t="str">
        <f>IF($A857&lt;&gt;"",'All Cases - Enter Cases'!D857,"")</f>
        <v/>
      </c>
      <c r="F857" s="12" t="str">
        <f>IF($A857&lt;&gt;"",'All Cases - Enter Cases'!E857,"")</f>
        <v/>
      </c>
      <c r="G857" s="12" t="str">
        <f>IF($A857&lt;&gt;"",'All Cases - Enter Cases'!F857,"")</f>
        <v/>
      </c>
      <c r="H857" s="4" t="str">
        <f>IF($A857&lt;&gt;"",'All Cases - Enter Cases'!G857,"")</f>
        <v/>
      </c>
      <c r="I857" t="str">
        <f>IF($A857&lt;&gt;"",'All Cases - Enter Cases'!H857,"")</f>
        <v/>
      </c>
      <c r="J857" t="str">
        <f>IF($A857&lt;&gt;"",'All Cases - Enter Cases'!I857,"")</f>
        <v/>
      </c>
      <c r="K857" t="str">
        <f>IF($A857&lt;&gt;"",'All Cases - Enter Cases'!J857,"")</f>
        <v/>
      </c>
      <c r="L857" s="4" t="str">
        <f>IF($A857&lt;&gt;"",'All Cases - Enter Cases'!K857,"")</f>
        <v/>
      </c>
      <c r="M857" t="str">
        <f>IF($A857&lt;&gt;"",'All Cases - Enter Cases'!L857,"")</f>
        <v/>
      </c>
    </row>
    <row r="858" spans="1:13" x14ac:dyDescent="0.35">
      <c r="A858" s="4" t="str">
        <f>IF('All Cases - Enter Cases'!$K858="Approved",'All Cases - Enter Cases'!A858,"")</f>
        <v/>
      </c>
      <c r="B858" s="4" t="str">
        <f>IF($N858&lt;&gt;"",$N858,IF($A858&lt;&gt;"",'All Cases - Enter Cases'!$L858+7,""))</f>
        <v/>
      </c>
      <c r="C858" t="str">
        <f>IF($A858&lt;&gt;"",'All Cases - Enter Cases'!B858,"")</f>
        <v/>
      </c>
      <c r="D858" t="str">
        <f>IF($A858&lt;&gt;"",'All Cases - Enter Cases'!C858,"")</f>
        <v/>
      </c>
      <c r="E858" t="str">
        <f>IF($A858&lt;&gt;"",'All Cases - Enter Cases'!D858,"")</f>
        <v/>
      </c>
      <c r="F858" s="12" t="str">
        <f>IF($A858&lt;&gt;"",'All Cases - Enter Cases'!E858,"")</f>
        <v/>
      </c>
      <c r="G858" s="12" t="str">
        <f>IF($A858&lt;&gt;"",'All Cases - Enter Cases'!F858,"")</f>
        <v/>
      </c>
      <c r="H858" s="4" t="str">
        <f>IF($A858&lt;&gt;"",'All Cases - Enter Cases'!G858,"")</f>
        <v/>
      </c>
      <c r="I858" t="str">
        <f>IF($A858&lt;&gt;"",'All Cases - Enter Cases'!H858,"")</f>
        <v/>
      </c>
      <c r="J858" t="str">
        <f>IF($A858&lt;&gt;"",'All Cases - Enter Cases'!I858,"")</f>
        <v/>
      </c>
      <c r="K858" t="str">
        <f>IF($A858&lt;&gt;"",'All Cases - Enter Cases'!J858,"")</f>
        <v/>
      </c>
      <c r="L858" s="4" t="str">
        <f>IF($A858&lt;&gt;"",'All Cases - Enter Cases'!K858,"")</f>
        <v/>
      </c>
      <c r="M858" t="str">
        <f>IF($A858&lt;&gt;"",'All Cases - Enter Cases'!L858,"")</f>
        <v/>
      </c>
    </row>
    <row r="859" spans="1:13" x14ac:dyDescent="0.35">
      <c r="A859" s="4" t="str">
        <f>IF('All Cases - Enter Cases'!$K859="Approved",'All Cases - Enter Cases'!A859,"")</f>
        <v/>
      </c>
      <c r="B859" s="4" t="str">
        <f>IF($N859&lt;&gt;"",$N859,IF($A859&lt;&gt;"",'All Cases - Enter Cases'!$L859+7,""))</f>
        <v/>
      </c>
      <c r="C859" t="str">
        <f>IF($A859&lt;&gt;"",'All Cases - Enter Cases'!B859,"")</f>
        <v/>
      </c>
      <c r="D859" t="str">
        <f>IF($A859&lt;&gt;"",'All Cases - Enter Cases'!C859,"")</f>
        <v/>
      </c>
      <c r="E859" t="str">
        <f>IF($A859&lt;&gt;"",'All Cases - Enter Cases'!D859,"")</f>
        <v/>
      </c>
      <c r="F859" s="12" t="str">
        <f>IF($A859&lt;&gt;"",'All Cases - Enter Cases'!E859,"")</f>
        <v/>
      </c>
      <c r="G859" s="12" t="str">
        <f>IF($A859&lt;&gt;"",'All Cases - Enter Cases'!F859,"")</f>
        <v/>
      </c>
      <c r="H859" s="4" t="str">
        <f>IF($A859&lt;&gt;"",'All Cases - Enter Cases'!G859,"")</f>
        <v/>
      </c>
      <c r="I859" t="str">
        <f>IF($A859&lt;&gt;"",'All Cases - Enter Cases'!H859,"")</f>
        <v/>
      </c>
      <c r="J859" t="str">
        <f>IF($A859&lt;&gt;"",'All Cases - Enter Cases'!I859,"")</f>
        <v/>
      </c>
      <c r="K859" t="str">
        <f>IF($A859&lt;&gt;"",'All Cases - Enter Cases'!J859,"")</f>
        <v/>
      </c>
      <c r="L859" s="4" t="str">
        <f>IF($A859&lt;&gt;"",'All Cases - Enter Cases'!K859,"")</f>
        <v/>
      </c>
      <c r="M859" t="str">
        <f>IF($A859&lt;&gt;"",'All Cases - Enter Cases'!L859,"")</f>
        <v/>
      </c>
    </row>
    <row r="860" spans="1:13" x14ac:dyDescent="0.35">
      <c r="A860" s="4" t="str">
        <f>IF('All Cases - Enter Cases'!$K860="Approved",'All Cases - Enter Cases'!A860,"")</f>
        <v/>
      </c>
      <c r="B860" s="4" t="str">
        <f>IF($N860&lt;&gt;"",$N860,IF($A860&lt;&gt;"",'All Cases - Enter Cases'!$L860+7,""))</f>
        <v/>
      </c>
      <c r="C860" t="str">
        <f>IF($A860&lt;&gt;"",'All Cases - Enter Cases'!B860,"")</f>
        <v/>
      </c>
      <c r="D860" t="str">
        <f>IF($A860&lt;&gt;"",'All Cases - Enter Cases'!C860,"")</f>
        <v/>
      </c>
      <c r="E860" t="str">
        <f>IF($A860&lt;&gt;"",'All Cases - Enter Cases'!D860,"")</f>
        <v/>
      </c>
      <c r="F860" s="12" t="str">
        <f>IF($A860&lt;&gt;"",'All Cases - Enter Cases'!E860,"")</f>
        <v/>
      </c>
      <c r="G860" s="12" t="str">
        <f>IF($A860&lt;&gt;"",'All Cases - Enter Cases'!F860,"")</f>
        <v/>
      </c>
      <c r="H860" s="4" t="str">
        <f>IF($A860&lt;&gt;"",'All Cases - Enter Cases'!G860,"")</f>
        <v/>
      </c>
      <c r="I860" t="str">
        <f>IF($A860&lt;&gt;"",'All Cases - Enter Cases'!H860,"")</f>
        <v/>
      </c>
      <c r="J860" t="str">
        <f>IF($A860&lt;&gt;"",'All Cases - Enter Cases'!I860,"")</f>
        <v/>
      </c>
      <c r="K860" t="str">
        <f>IF($A860&lt;&gt;"",'All Cases - Enter Cases'!J860,"")</f>
        <v/>
      </c>
      <c r="L860" s="4" t="str">
        <f>IF($A860&lt;&gt;"",'All Cases - Enter Cases'!K860,"")</f>
        <v/>
      </c>
      <c r="M860" t="str">
        <f>IF($A860&lt;&gt;"",'All Cases - Enter Cases'!L860,"")</f>
        <v/>
      </c>
    </row>
    <row r="861" spans="1:13" x14ac:dyDescent="0.35">
      <c r="A861" s="4" t="str">
        <f>IF('All Cases - Enter Cases'!$K861="Approved",'All Cases - Enter Cases'!A861,"")</f>
        <v/>
      </c>
      <c r="B861" s="4" t="str">
        <f>IF($N861&lt;&gt;"",$N861,IF($A861&lt;&gt;"",'All Cases - Enter Cases'!$L861+7,""))</f>
        <v/>
      </c>
      <c r="C861" t="str">
        <f>IF($A861&lt;&gt;"",'All Cases - Enter Cases'!B861,"")</f>
        <v/>
      </c>
      <c r="D861" t="str">
        <f>IF($A861&lt;&gt;"",'All Cases - Enter Cases'!C861,"")</f>
        <v/>
      </c>
      <c r="E861" t="str">
        <f>IF($A861&lt;&gt;"",'All Cases - Enter Cases'!D861,"")</f>
        <v/>
      </c>
      <c r="F861" s="12" t="str">
        <f>IF($A861&lt;&gt;"",'All Cases - Enter Cases'!E861,"")</f>
        <v/>
      </c>
      <c r="G861" s="12" t="str">
        <f>IF($A861&lt;&gt;"",'All Cases - Enter Cases'!F861,"")</f>
        <v/>
      </c>
      <c r="H861" s="4" t="str">
        <f>IF($A861&lt;&gt;"",'All Cases - Enter Cases'!G861,"")</f>
        <v/>
      </c>
      <c r="I861" t="str">
        <f>IF($A861&lt;&gt;"",'All Cases - Enter Cases'!H861,"")</f>
        <v/>
      </c>
      <c r="J861" t="str">
        <f>IF($A861&lt;&gt;"",'All Cases - Enter Cases'!I861,"")</f>
        <v/>
      </c>
      <c r="K861" t="str">
        <f>IF($A861&lt;&gt;"",'All Cases - Enter Cases'!J861,"")</f>
        <v/>
      </c>
      <c r="L861" s="4" t="str">
        <f>IF($A861&lt;&gt;"",'All Cases - Enter Cases'!K861,"")</f>
        <v/>
      </c>
      <c r="M861" t="str">
        <f>IF($A861&lt;&gt;"",'All Cases - Enter Cases'!L861,"")</f>
        <v/>
      </c>
    </row>
    <row r="862" spans="1:13" x14ac:dyDescent="0.35">
      <c r="A862" s="4" t="str">
        <f>IF('All Cases - Enter Cases'!$K862="Approved",'All Cases - Enter Cases'!A862,"")</f>
        <v/>
      </c>
      <c r="B862" s="4" t="str">
        <f>IF($N862&lt;&gt;"",$N862,IF($A862&lt;&gt;"",'All Cases - Enter Cases'!$L862+7,""))</f>
        <v/>
      </c>
      <c r="C862" t="str">
        <f>IF($A862&lt;&gt;"",'All Cases - Enter Cases'!B862,"")</f>
        <v/>
      </c>
      <c r="D862" t="str">
        <f>IF($A862&lt;&gt;"",'All Cases - Enter Cases'!C862,"")</f>
        <v/>
      </c>
      <c r="E862" t="str">
        <f>IF($A862&lt;&gt;"",'All Cases - Enter Cases'!D862,"")</f>
        <v/>
      </c>
      <c r="F862" s="12" t="str">
        <f>IF($A862&lt;&gt;"",'All Cases - Enter Cases'!E862,"")</f>
        <v/>
      </c>
      <c r="G862" s="12" t="str">
        <f>IF($A862&lt;&gt;"",'All Cases - Enter Cases'!F862,"")</f>
        <v/>
      </c>
      <c r="H862" s="4" t="str">
        <f>IF($A862&lt;&gt;"",'All Cases - Enter Cases'!G862,"")</f>
        <v/>
      </c>
      <c r="I862" t="str">
        <f>IF($A862&lt;&gt;"",'All Cases - Enter Cases'!H862,"")</f>
        <v/>
      </c>
      <c r="J862" t="str">
        <f>IF($A862&lt;&gt;"",'All Cases - Enter Cases'!I862,"")</f>
        <v/>
      </c>
      <c r="K862" t="str">
        <f>IF($A862&lt;&gt;"",'All Cases - Enter Cases'!J862,"")</f>
        <v/>
      </c>
      <c r="L862" s="4" t="str">
        <f>IF($A862&lt;&gt;"",'All Cases - Enter Cases'!K862,"")</f>
        <v/>
      </c>
      <c r="M862" t="str">
        <f>IF($A862&lt;&gt;"",'All Cases - Enter Cases'!L862,"")</f>
        <v/>
      </c>
    </row>
    <row r="863" spans="1:13" x14ac:dyDescent="0.35">
      <c r="A863" s="4" t="str">
        <f>IF('All Cases - Enter Cases'!$K863="Approved",'All Cases - Enter Cases'!A863,"")</f>
        <v/>
      </c>
      <c r="B863" s="4" t="str">
        <f>IF($N863&lt;&gt;"",$N863,IF($A863&lt;&gt;"",'All Cases - Enter Cases'!$L863+7,""))</f>
        <v/>
      </c>
      <c r="C863" t="str">
        <f>IF($A863&lt;&gt;"",'All Cases - Enter Cases'!B863,"")</f>
        <v/>
      </c>
      <c r="D863" t="str">
        <f>IF($A863&lt;&gt;"",'All Cases - Enter Cases'!C863,"")</f>
        <v/>
      </c>
      <c r="E863" t="str">
        <f>IF($A863&lt;&gt;"",'All Cases - Enter Cases'!D863,"")</f>
        <v/>
      </c>
      <c r="F863" s="12" t="str">
        <f>IF($A863&lt;&gt;"",'All Cases - Enter Cases'!E863,"")</f>
        <v/>
      </c>
      <c r="G863" s="12" t="str">
        <f>IF($A863&lt;&gt;"",'All Cases - Enter Cases'!F863,"")</f>
        <v/>
      </c>
      <c r="H863" s="4" t="str">
        <f>IF($A863&lt;&gt;"",'All Cases - Enter Cases'!G863,"")</f>
        <v/>
      </c>
      <c r="I863" t="str">
        <f>IF($A863&lt;&gt;"",'All Cases - Enter Cases'!H863,"")</f>
        <v/>
      </c>
      <c r="J863" t="str">
        <f>IF($A863&lt;&gt;"",'All Cases - Enter Cases'!I863,"")</f>
        <v/>
      </c>
      <c r="K863" t="str">
        <f>IF($A863&lt;&gt;"",'All Cases - Enter Cases'!J863,"")</f>
        <v/>
      </c>
      <c r="L863" s="4" t="str">
        <f>IF($A863&lt;&gt;"",'All Cases - Enter Cases'!K863,"")</f>
        <v/>
      </c>
      <c r="M863" t="str">
        <f>IF($A863&lt;&gt;"",'All Cases - Enter Cases'!L863,"")</f>
        <v/>
      </c>
    </row>
    <row r="864" spans="1:13" x14ac:dyDescent="0.35">
      <c r="A864" s="4" t="str">
        <f>IF('All Cases - Enter Cases'!$K864="Approved",'All Cases - Enter Cases'!A864,"")</f>
        <v/>
      </c>
      <c r="B864" s="4" t="str">
        <f>IF($N864&lt;&gt;"",$N864,IF($A864&lt;&gt;"",'All Cases - Enter Cases'!$L864+7,""))</f>
        <v/>
      </c>
      <c r="C864" t="str">
        <f>IF($A864&lt;&gt;"",'All Cases - Enter Cases'!B864,"")</f>
        <v/>
      </c>
      <c r="D864" t="str">
        <f>IF($A864&lt;&gt;"",'All Cases - Enter Cases'!C864,"")</f>
        <v/>
      </c>
      <c r="E864" t="str">
        <f>IF($A864&lt;&gt;"",'All Cases - Enter Cases'!D864,"")</f>
        <v/>
      </c>
      <c r="F864" s="12" t="str">
        <f>IF($A864&lt;&gt;"",'All Cases - Enter Cases'!E864,"")</f>
        <v/>
      </c>
      <c r="G864" s="12" t="str">
        <f>IF($A864&lt;&gt;"",'All Cases - Enter Cases'!F864,"")</f>
        <v/>
      </c>
      <c r="H864" s="4" t="str">
        <f>IF($A864&lt;&gt;"",'All Cases - Enter Cases'!G864,"")</f>
        <v/>
      </c>
      <c r="I864" t="str">
        <f>IF($A864&lt;&gt;"",'All Cases - Enter Cases'!H864,"")</f>
        <v/>
      </c>
      <c r="J864" t="str">
        <f>IF($A864&lt;&gt;"",'All Cases - Enter Cases'!I864,"")</f>
        <v/>
      </c>
      <c r="K864" t="str">
        <f>IF($A864&lt;&gt;"",'All Cases - Enter Cases'!J864,"")</f>
        <v/>
      </c>
      <c r="L864" s="4" t="str">
        <f>IF($A864&lt;&gt;"",'All Cases - Enter Cases'!K864,"")</f>
        <v/>
      </c>
      <c r="M864" t="str">
        <f>IF($A864&lt;&gt;"",'All Cases - Enter Cases'!L864,"")</f>
        <v/>
      </c>
    </row>
    <row r="865" spans="1:13" x14ac:dyDescent="0.35">
      <c r="A865" s="4" t="str">
        <f>IF('All Cases - Enter Cases'!$K865="Approved",'All Cases - Enter Cases'!A865,"")</f>
        <v/>
      </c>
      <c r="B865" s="4" t="str">
        <f>IF($N865&lt;&gt;"",$N865,IF($A865&lt;&gt;"",'All Cases - Enter Cases'!$L865+7,""))</f>
        <v/>
      </c>
      <c r="C865" t="str">
        <f>IF($A865&lt;&gt;"",'All Cases - Enter Cases'!B865,"")</f>
        <v/>
      </c>
      <c r="D865" t="str">
        <f>IF($A865&lt;&gt;"",'All Cases - Enter Cases'!C865,"")</f>
        <v/>
      </c>
      <c r="E865" t="str">
        <f>IF($A865&lt;&gt;"",'All Cases - Enter Cases'!D865,"")</f>
        <v/>
      </c>
      <c r="F865" s="12" t="str">
        <f>IF($A865&lt;&gt;"",'All Cases - Enter Cases'!E865,"")</f>
        <v/>
      </c>
      <c r="G865" s="12" t="str">
        <f>IF($A865&lt;&gt;"",'All Cases - Enter Cases'!F865,"")</f>
        <v/>
      </c>
      <c r="H865" s="4" t="str">
        <f>IF($A865&lt;&gt;"",'All Cases - Enter Cases'!G865,"")</f>
        <v/>
      </c>
      <c r="I865" t="str">
        <f>IF($A865&lt;&gt;"",'All Cases - Enter Cases'!H865,"")</f>
        <v/>
      </c>
      <c r="J865" t="str">
        <f>IF($A865&lt;&gt;"",'All Cases - Enter Cases'!I865,"")</f>
        <v/>
      </c>
      <c r="K865" t="str">
        <f>IF($A865&lt;&gt;"",'All Cases - Enter Cases'!J865,"")</f>
        <v/>
      </c>
      <c r="L865" s="4" t="str">
        <f>IF($A865&lt;&gt;"",'All Cases - Enter Cases'!K865,"")</f>
        <v/>
      </c>
      <c r="M865" t="str">
        <f>IF($A865&lt;&gt;"",'All Cases - Enter Cases'!L865,"")</f>
        <v/>
      </c>
    </row>
    <row r="866" spans="1:13" x14ac:dyDescent="0.35">
      <c r="A866" s="4" t="str">
        <f>IF('All Cases - Enter Cases'!$K866="Approved",'All Cases - Enter Cases'!A866,"")</f>
        <v/>
      </c>
      <c r="B866" s="4" t="str">
        <f>IF($N866&lt;&gt;"",$N866,IF($A866&lt;&gt;"",'All Cases - Enter Cases'!$L866+7,""))</f>
        <v/>
      </c>
      <c r="C866" t="str">
        <f>IF($A866&lt;&gt;"",'All Cases - Enter Cases'!B866,"")</f>
        <v/>
      </c>
      <c r="D866" t="str">
        <f>IF($A866&lt;&gt;"",'All Cases - Enter Cases'!C866,"")</f>
        <v/>
      </c>
      <c r="E866" t="str">
        <f>IF($A866&lt;&gt;"",'All Cases - Enter Cases'!D866,"")</f>
        <v/>
      </c>
      <c r="F866" s="12" t="str">
        <f>IF($A866&lt;&gt;"",'All Cases - Enter Cases'!E866,"")</f>
        <v/>
      </c>
      <c r="G866" s="12" t="str">
        <f>IF($A866&lt;&gt;"",'All Cases - Enter Cases'!F866,"")</f>
        <v/>
      </c>
      <c r="H866" s="4" t="str">
        <f>IF($A866&lt;&gt;"",'All Cases - Enter Cases'!G866,"")</f>
        <v/>
      </c>
      <c r="I866" t="str">
        <f>IF($A866&lt;&gt;"",'All Cases - Enter Cases'!H866,"")</f>
        <v/>
      </c>
      <c r="J866" t="str">
        <f>IF($A866&lt;&gt;"",'All Cases - Enter Cases'!I866,"")</f>
        <v/>
      </c>
      <c r="K866" t="str">
        <f>IF($A866&lt;&gt;"",'All Cases - Enter Cases'!J866,"")</f>
        <v/>
      </c>
      <c r="L866" s="4" t="str">
        <f>IF($A866&lt;&gt;"",'All Cases - Enter Cases'!K866,"")</f>
        <v/>
      </c>
      <c r="M866" t="str">
        <f>IF($A866&lt;&gt;"",'All Cases - Enter Cases'!L866,"")</f>
        <v/>
      </c>
    </row>
    <row r="867" spans="1:13" x14ac:dyDescent="0.35">
      <c r="A867" s="4" t="str">
        <f>IF('All Cases - Enter Cases'!$K867="Approved",'All Cases - Enter Cases'!A867,"")</f>
        <v/>
      </c>
      <c r="B867" s="4" t="str">
        <f>IF($N867&lt;&gt;"",$N867,IF($A867&lt;&gt;"",'All Cases - Enter Cases'!$L867+7,""))</f>
        <v/>
      </c>
      <c r="C867" t="str">
        <f>IF($A867&lt;&gt;"",'All Cases - Enter Cases'!B867,"")</f>
        <v/>
      </c>
      <c r="D867" t="str">
        <f>IF($A867&lt;&gt;"",'All Cases - Enter Cases'!C867,"")</f>
        <v/>
      </c>
      <c r="E867" t="str">
        <f>IF($A867&lt;&gt;"",'All Cases - Enter Cases'!D867,"")</f>
        <v/>
      </c>
      <c r="F867" s="12" t="str">
        <f>IF($A867&lt;&gt;"",'All Cases - Enter Cases'!E867,"")</f>
        <v/>
      </c>
      <c r="G867" s="12" t="str">
        <f>IF($A867&lt;&gt;"",'All Cases - Enter Cases'!F867,"")</f>
        <v/>
      </c>
      <c r="H867" s="4" t="str">
        <f>IF($A867&lt;&gt;"",'All Cases - Enter Cases'!G867,"")</f>
        <v/>
      </c>
      <c r="I867" t="str">
        <f>IF($A867&lt;&gt;"",'All Cases - Enter Cases'!H867,"")</f>
        <v/>
      </c>
      <c r="J867" t="str">
        <f>IF($A867&lt;&gt;"",'All Cases - Enter Cases'!I867,"")</f>
        <v/>
      </c>
      <c r="K867" t="str">
        <f>IF($A867&lt;&gt;"",'All Cases - Enter Cases'!J867,"")</f>
        <v/>
      </c>
      <c r="L867" s="4" t="str">
        <f>IF($A867&lt;&gt;"",'All Cases - Enter Cases'!K867,"")</f>
        <v/>
      </c>
      <c r="M867" t="str">
        <f>IF($A867&lt;&gt;"",'All Cases - Enter Cases'!L867,"")</f>
        <v/>
      </c>
    </row>
    <row r="868" spans="1:13" x14ac:dyDescent="0.35">
      <c r="A868" s="4" t="str">
        <f>IF('All Cases - Enter Cases'!$K868="Approved",'All Cases - Enter Cases'!A868,"")</f>
        <v/>
      </c>
      <c r="B868" s="4" t="str">
        <f>IF($N868&lt;&gt;"",$N868,IF($A868&lt;&gt;"",'All Cases - Enter Cases'!$L868+7,""))</f>
        <v/>
      </c>
      <c r="C868" t="str">
        <f>IF($A868&lt;&gt;"",'All Cases - Enter Cases'!B868,"")</f>
        <v/>
      </c>
      <c r="D868" t="str">
        <f>IF($A868&lt;&gt;"",'All Cases - Enter Cases'!C868,"")</f>
        <v/>
      </c>
      <c r="E868" t="str">
        <f>IF($A868&lt;&gt;"",'All Cases - Enter Cases'!D868,"")</f>
        <v/>
      </c>
      <c r="F868" s="12" t="str">
        <f>IF($A868&lt;&gt;"",'All Cases - Enter Cases'!E868,"")</f>
        <v/>
      </c>
      <c r="G868" s="12" t="str">
        <f>IF($A868&lt;&gt;"",'All Cases - Enter Cases'!F868,"")</f>
        <v/>
      </c>
      <c r="H868" s="4" t="str">
        <f>IF($A868&lt;&gt;"",'All Cases - Enter Cases'!G868,"")</f>
        <v/>
      </c>
      <c r="I868" t="str">
        <f>IF($A868&lt;&gt;"",'All Cases - Enter Cases'!H868,"")</f>
        <v/>
      </c>
      <c r="J868" t="str">
        <f>IF($A868&lt;&gt;"",'All Cases - Enter Cases'!I868,"")</f>
        <v/>
      </c>
      <c r="K868" t="str">
        <f>IF($A868&lt;&gt;"",'All Cases - Enter Cases'!J868,"")</f>
        <v/>
      </c>
      <c r="L868" s="4" t="str">
        <f>IF($A868&lt;&gt;"",'All Cases - Enter Cases'!K868,"")</f>
        <v/>
      </c>
      <c r="M868" t="str">
        <f>IF($A868&lt;&gt;"",'All Cases - Enter Cases'!L868,"")</f>
        <v/>
      </c>
    </row>
    <row r="869" spans="1:13" x14ac:dyDescent="0.35">
      <c r="A869" s="4" t="str">
        <f>IF('All Cases - Enter Cases'!$K869="Approved",'All Cases - Enter Cases'!A869,"")</f>
        <v/>
      </c>
      <c r="B869" s="4" t="str">
        <f>IF($N869&lt;&gt;"",$N869,IF($A869&lt;&gt;"",'All Cases - Enter Cases'!$L869+7,""))</f>
        <v/>
      </c>
      <c r="C869" t="str">
        <f>IF($A869&lt;&gt;"",'All Cases - Enter Cases'!B869,"")</f>
        <v/>
      </c>
      <c r="D869" t="str">
        <f>IF($A869&lt;&gt;"",'All Cases - Enter Cases'!C869,"")</f>
        <v/>
      </c>
      <c r="E869" t="str">
        <f>IF($A869&lt;&gt;"",'All Cases - Enter Cases'!D869,"")</f>
        <v/>
      </c>
      <c r="F869" s="12" t="str">
        <f>IF($A869&lt;&gt;"",'All Cases - Enter Cases'!E869,"")</f>
        <v/>
      </c>
      <c r="G869" s="12" t="str">
        <f>IF($A869&lt;&gt;"",'All Cases - Enter Cases'!F869,"")</f>
        <v/>
      </c>
      <c r="H869" s="4" t="str">
        <f>IF($A869&lt;&gt;"",'All Cases - Enter Cases'!G869,"")</f>
        <v/>
      </c>
      <c r="I869" t="str">
        <f>IF($A869&lt;&gt;"",'All Cases - Enter Cases'!H869,"")</f>
        <v/>
      </c>
      <c r="J869" t="str">
        <f>IF($A869&lt;&gt;"",'All Cases - Enter Cases'!I869,"")</f>
        <v/>
      </c>
      <c r="K869" t="str">
        <f>IF($A869&lt;&gt;"",'All Cases - Enter Cases'!J869,"")</f>
        <v/>
      </c>
      <c r="L869" s="4" t="str">
        <f>IF($A869&lt;&gt;"",'All Cases - Enter Cases'!K869,"")</f>
        <v/>
      </c>
      <c r="M869" t="str">
        <f>IF($A869&lt;&gt;"",'All Cases - Enter Cases'!L869,"")</f>
        <v/>
      </c>
    </row>
    <row r="870" spans="1:13" x14ac:dyDescent="0.35">
      <c r="A870" s="4" t="str">
        <f>IF('All Cases - Enter Cases'!$K870="Approved",'All Cases - Enter Cases'!A870,"")</f>
        <v/>
      </c>
      <c r="B870" s="4" t="str">
        <f>IF($N870&lt;&gt;"",$N870,IF($A870&lt;&gt;"",'All Cases - Enter Cases'!$L870+7,""))</f>
        <v/>
      </c>
      <c r="C870" t="str">
        <f>IF($A870&lt;&gt;"",'All Cases - Enter Cases'!B870,"")</f>
        <v/>
      </c>
      <c r="D870" t="str">
        <f>IF($A870&lt;&gt;"",'All Cases - Enter Cases'!C870,"")</f>
        <v/>
      </c>
      <c r="E870" t="str">
        <f>IF($A870&lt;&gt;"",'All Cases - Enter Cases'!D870,"")</f>
        <v/>
      </c>
      <c r="F870" s="12" t="str">
        <f>IF($A870&lt;&gt;"",'All Cases - Enter Cases'!E870,"")</f>
        <v/>
      </c>
      <c r="G870" s="12" t="str">
        <f>IF($A870&lt;&gt;"",'All Cases - Enter Cases'!F870,"")</f>
        <v/>
      </c>
      <c r="H870" s="4" t="str">
        <f>IF($A870&lt;&gt;"",'All Cases - Enter Cases'!G870,"")</f>
        <v/>
      </c>
      <c r="I870" t="str">
        <f>IF($A870&lt;&gt;"",'All Cases - Enter Cases'!H870,"")</f>
        <v/>
      </c>
      <c r="J870" t="str">
        <f>IF($A870&lt;&gt;"",'All Cases - Enter Cases'!I870,"")</f>
        <v/>
      </c>
      <c r="K870" t="str">
        <f>IF($A870&lt;&gt;"",'All Cases - Enter Cases'!J870,"")</f>
        <v/>
      </c>
      <c r="L870" s="4" t="str">
        <f>IF($A870&lt;&gt;"",'All Cases - Enter Cases'!K870,"")</f>
        <v/>
      </c>
      <c r="M870" t="str">
        <f>IF($A870&lt;&gt;"",'All Cases - Enter Cases'!L870,"")</f>
        <v/>
      </c>
    </row>
    <row r="871" spans="1:13" x14ac:dyDescent="0.35">
      <c r="A871" s="4" t="str">
        <f>IF('All Cases - Enter Cases'!$K871="Approved",'All Cases - Enter Cases'!A871,"")</f>
        <v/>
      </c>
      <c r="B871" s="4" t="str">
        <f>IF($N871&lt;&gt;"",$N871,IF($A871&lt;&gt;"",'All Cases - Enter Cases'!$L871+7,""))</f>
        <v/>
      </c>
      <c r="C871" t="str">
        <f>IF($A871&lt;&gt;"",'All Cases - Enter Cases'!B871,"")</f>
        <v/>
      </c>
      <c r="D871" t="str">
        <f>IF($A871&lt;&gt;"",'All Cases - Enter Cases'!C871,"")</f>
        <v/>
      </c>
      <c r="E871" t="str">
        <f>IF($A871&lt;&gt;"",'All Cases - Enter Cases'!D871,"")</f>
        <v/>
      </c>
      <c r="F871" s="12" t="str">
        <f>IF($A871&lt;&gt;"",'All Cases - Enter Cases'!E871,"")</f>
        <v/>
      </c>
      <c r="G871" s="12" t="str">
        <f>IF($A871&lt;&gt;"",'All Cases - Enter Cases'!F871,"")</f>
        <v/>
      </c>
      <c r="H871" s="4" t="str">
        <f>IF($A871&lt;&gt;"",'All Cases - Enter Cases'!G871,"")</f>
        <v/>
      </c>
      <c r="I871" t="str">
        <f>IF($A871&lt;&gt;"",'All Cases - Enter Cases'!H871,"")</f>
        <v/>
      </c>
      <c r="J871" t="str">
        <f>IF($A871&lt;&gt;"",'All Cases - Enter Cases'!I871,"")</f>
        <v/>
      </c>
      <c r="K871" t="str">
        <f>IF($A871&lt;&gt;"",'All Cases - Enter Cases'!J871,"")</f>
        <v/>
      </c>
      <c r="L871" s="4" t="str">
        <f>IF($A871&lt;&gt;"",'All Cases - Enter Cases'!K871,"")</f>
        <v/>
      </c>
      <c r="M871" t="str">
        <f>IF($A871&lt;&gt;"",'All Cases - Enter Cases'!L871,"")</f>
        <v/>
      </c>
    </row>
    <row r="872" spans="1:13" x14ac:dyDescent="0.35">
      <c r="A872" s="4" t="str">
        <f>IF('All Cases - Enter Cases'!$K872="Approved",'All Cases - Enter Cases'!A872,"")</f>
        <v/>
      </c>
      <c r="B872" s="4" t="str">
        <f>IF($N872&lt;&gt;"",$N872,IF($A872&lt;&gt;"",'All Cases - Enter Cases'!$L872+7,""))</f>
        <v/>
      </c>
      <c r="C872" t="str">
        <f>IF($A872&lt;&gt;"",'All Cases - Enter Cases'!B872,"")</f>
        <v/>
      </c>
      <c r="D872" t="str">
        <f>IF($A872&lt;&gt;"",'All Cases - Enter Cases'!C872,"")</f>
        <v/>
      </c>
      <c r="E872" t="str">
        <f>IF($A872&lt;&gt;"",'All Cases - Enter Cases'!D872,"")</f>
        <v/>
      </c>
      <c r="F872" s="12" t="str">
        <f>IF($A872&lt;&gt;"",'All Cases - Enter Cases'!E872,"")</f>
        <v/>
      </c>
      <c r="G872" s="12" t="str">
        <f>IF($A872&lt;&gt;"",'All Cases - Enter Cases'!F872,"")</f>
        <v/>
      </c>
      <c r="H872" s="4" t="str">
        <f>IF($A872&lt;&gt;"",'All Cases - Enter Cases'!G872,"")</f>
        <v/>
      </c>
      <c r="I872" t="str">
        <f>IF($A872&lt;&gt;"",'All Cases - Enter Cases'!H872,"")</f>
        <v/>
      </c>
      <c r="J872" t="str">
        <f>IF($A872&lt;&gt;"",'All Cases - Enter Cases'!I872,"")</f>
        <v/>
      </c>
      <c r="K872" t="str">
        <f>IF($A872&lt;&gt;"",'All Cases - Enter Cases'!J872,"")</f>
        <v/>
      </c>
      <c r="L872" s="4" t="str">
        <f>IF($A872&lt;&gt;"",'All Cases - Enter Cases'!K872,"")</f>
        <v/>
      </c>
      <c r="M872" t="str">
        <f>IF($A872&lt;&gt;"",'All Cases - Enter Cases'!L872,"")</f>
        <v/>
      </c>
    </row>
    <row r="873" spans="1:13" x14ac:dyDescent="0.35">
      <c r="A873" s="4" t="str">
        <f>IF('All Cases - Enter Cases'!$K873="Approved",'All Cases - Enter Cases'!A873,"")</f>
        <v/>
      </c>
      <c r="B873" s="4" t="str">
        <f>IF($N873&lt;&gt;"",$N873,IF($A873&lt;&gt;"",'All Cases - Enter Cases'!$L873+7,""))</f>
        <v/>
      </c>
      <c r="C873" t="str">
        <f>IF($A873&lt;&gt;"",'All Cases - Enter Cases'!B873,"")</f>
        <v/>
      </c>
      <c r="D873" t="str">
        <f>IF($A873&lt;&gt;"",'All Cases - Enter Cases'!C873,"")</f>
        <v/>
      </c>
      <c r="E873" t="str">
        <f>IF($A873&lt;&gt;"",'All Cases - Enter Cases'!D873,"")</f>
        <v/>
      </c>
      <c r="F873" s="12" t="str">
        <f>IF($A873&lt;&gt;"",'All Cases - Enter Cases'!E873,"")</f>
        <v/>
      </c>
      <c r="G873" s="12" t="str">
        <f>IF($A873&lt;&gt;"",'All Cases - Enter Cases'!F873,"")</f>
        <v/>
      </c>
      <c r="H873" s="4" t="str">
        <f>IF($A873&lt;&gt;"",'All Cases - Enter Cases'!G873,"")</f>
        <v/>
      </c>
      <c r="I873" t="str">
        <f>IF($A873&lt;&gt;"",'All Cases - Enter Cases'!H873,"")</f>
        <v/>
      </c>
      <c r="J873" t="str">
        <f>IF($A873&lt;&gt;"",'All Cases - Enter Cases'!I873,"")</f>
        <v/>
      </c>
      <c r="K873" t="str">
        <f>IF($A873&lt;&gt;"",'All Cases - Enter Cases'!J873,"")</f>
        <v/>
      </c>
      <c r="L873" s="4" t="str">
        <f>IF($A873&lt;&gt;"",'All Cases - Enter Cases'!K873,"")</f>
        <v/>
      </c>
      <c r="M873" t="str">
        <f>IF($A873&lt;&gt;"",'All Cases - Enter Cases'!L873,"")</f>
        <v/>
      </c>
    </row>
    <row r="874" spans="1:13" x14ac:dyDescent="0.35">
      <c r="A874" s="4" t="str">
        <f>IF('All Cases - Enter Cases'!$K874="Approved",'All Cases - Enter Cases'!A874,"")</f>
        <v/>
      </c>
      <c r="B874" s="4" t="str">
        <f>IF($N874&lt;&gt;"",$N874,IF($A874&lt;&gt;"",'All Cases - Enter Cases'!$L874+7,""))</f>
        <v/>
      </c>
      <c r="C874" t="str">
        <f>IF($A874&lt;&gt;"",'All Cases - Enter Cases'!B874,"")</f>
        <v/>
      </c>
      <c r="D874" t="str">
        <f>IF($A874&lt;&gt;"",'All Cases - Enter Cases'!C874,"")</f>
        <v/>
      </c>
      <c r="E874" t="str">
        <f>IF($A874&lt;&gt;"",'All Cases - Enter Cases'!D874,"")</f>
        <v/>
      </c>
      <c r="F874" s="12" t="str">
        <f>IF($A874&lt;&gt;"",'All Cases - Enter Cases'!E874,"")</f>
        <v/>
      </c>
      <c r="G874" s="12" t="str">
        <f>IF($A874&lt;&gt;"",'All Cases - Enter Cases'!F874,"")</f>
        <v/>
      </c>
      <c r="H874" s="4" t="str">
        <f>IF($A874&lt;&gt;"",'All Cases - Enter Cases'!G874,"")</f>
        <v/>
      </c>
      <c r="I874" t="str">
        <f>IF($A874&lt;&gt;"",'All Cases - Enter Cases'!H874,"")</f>
        <v/>
      </c>
      <c r="J874" t="str">
        <f>IF($A874&lt;&gt;"",'All Cases - Enter Cases'!I874,"")</f>
        <v/>
      </c>
      <c r="K874" t="str">
        <f>IF($A874&lt;&gt;"",'All Cases - Enter Cases'!J874,"")</f>
        <v/>
      </c>
      <c r="L874" s="4" t="str">
        <f>IF($A874&lt;&gt;"",'All Cases - Enter Cases'!K874,"")</f>
        <v/>
      </c>
      <c r="M874" t="str">
        <f>IF($A874&lt;&gt;"",'All Cases - Enter Cases'!L874,"")</f>
        <v/>
      </c>
    </row>
    <row r="875" spans="1:13" x14ac:dyDescent="0.35">
      <c r="A875" s="4" t="str">
        <f>IF('All Cases - Enter Cases'!$K875="Approved",'All Cases - Enter Cases'!A875,"")</f>
        <v/>
      </c>
      <c r="B875" s="4" t="str">
        <f>IF($N875&lt;&gt;"",$N875,IF($A875&lt;&gt;"",'All Cases - Enter Cases'!$L875+7,""))</f>
        <v/>
      </c>
      <c r="C875" t="str">
        <f>IF($A875&lt;&gt;"",'All Cases - Enter Cases'!B875,"")</f>
        <v/>
      </c>
      <c r="D875" t="str">
        <f>IF($A875&lt;&gt;"",'All Cases - Enter Cases'!C875,"")</f>
        <v/>
      </c>
      <c r="E875" t="str">
        <f>IF($A875&lt;&gt;"",'All Cases - Enter Cases'!D875,"")</f>
        <v/>
      </c>
      <c r="F875" s="12" t="str">
        <f>IF($A875&lt;&gt;"",'All Cases - Enter Cases'!E875,"")</f>
        <v/>
      </c>
      <c r="G875" s="12" t="str">
        <f>IF($A875&lt;&gt;"",'All Cases - Enter Cases'!F875,"")</f>
        <v/>
      </c>
      <c r="H875" s="4" t="str">
        <f>IF($A875&lt;&gt;"",'All Cases - Enter Cases'!G875,"")</f>
        <v/>
      </c>
      <c r="I875" t="str">
        <f>IF($A875&lt;&gt;"",'All Cases - Enter Cases'!H875,"")</f>
        <v/>
      </c>
      <c r="J875" t="str">
        <f>IF($A875&lt;&gt;"",'All Cases - Enter Cases'!I875,"")</f>
        <v/>
      </c>
      <c r="K875" t="str">
        <f>IF($A875&lt;&gt;"",'All Cases - Enter Cases'!J875,"")</f>
        <v/>
      </c>
      <c r="L875" s="4" t="str">
        <f>IF($A875&lt;&gt;"",'All Cases - Enter Cases'!K875,"")</f>
        <v/>
      </c>
      <c r="M875" t="str">
        <f>IF($A875&lt;&gt;"",'All Cases - Enter Cases'!L875,"")</f>
        <v/>
      </c>
    </row>
    <row r="876" spans="1:13" x14ac:dyDescent="0.35">
      <c r="A876" s="4" t="str">
        <f>IF('All Cases - Enter Cases'!$K876="Approved",'All Cases - Enter Cases'!A876,"")</f>
        <v/>
      </c>
      <c r="B876" s="4" t="str">
        <f>IF($N876&lt;&gt;"",$N876,IF($A876&lt;&gt;"",'All Cases - Enter Cases'!$L876+7,""))</f>
        <v/>
      </c>
      <c r="C876" t="str">
        <f>IF($A876&lt;&gt;"",'All Cases - Enter Cases'!B876,"")</f>
        <v/>
      </c>
      <c r="D876" t="str">
        <f>IF($A876&lt;&gt;"",'All Cases - Enter Cases'!C876,"")</f>
        <v/>
      </c>
      <c r="E876" t="str">
        <f>IF($A876&lt;&gt;"",'All Cases - Enter Cases'!D876,"")</f>
        <v/>
      </c>
      <c r="F876" s="12" t="str">
        <f>IF($A876&lt;&gt;"",'All Cases - Enter Cases'!E876,"")</f>
        <v/>
      </c>
      <c r="G876" s="12" t="str">
        <f>IF($A876&lt;&gt;"",'All Cases - Enter Cases'!F876,"")</f>
        <v/>
      </c>
      <c r="H876" s="4" t="str">
        <f>IF($A876&lt;&gt;"",'All Cases - Enter Cases'!G876,"")</f>
        <v/>
      </c>
      <c r="I876" t="str">
        <f>IF($A876&lt;&gt;"",'All Cases - Enter Cases'!H876,"")</f>
        <v/>
      </c>
      <c r="J876" t="str">
        <f>IF($A876&lt;&gt;"",'All Cases - Enter Cases'!I876,"")</f>
        <v/>
      </c>
      <c r="K876" t="str">
        <f>IF($A876&lt;&gt;"",'All Cases - Enter Cases'!J876,"")</f>
        <v/>
      </c>
      <c r="L876" s="4" t="str">
        <f>IF($A876&lt;&gt;"",'All Cases - Enter Cases'!K876,"")</f>
        <v/>
      </c>
      <c r="M876" t="str">
        <f>IF($A876&lt;&gt;"",'All Cases - Enter Cases'!L876,"")</f>
        <v/>
      </c>
    </row>
    <row r="877" spans="1:13" x14ac:dyDescent="0.35">
      <c r="A877" s="4" t="str">
        <f>IF('All Cases - Enter Cases'!$K877="Approved",'All Cases - Enter Cases'!A877,"")</f>
        <v/>
      </c>
      <c r="B877" s="4" t="str">
        <f>IF($N877&lt;&gt;"",$N877,IF($A877&lt;&gt;"",'All Cases - Enter Cases'!$L877+7,""))</f>
        <v/>
      </c>
      <c r="C877" t="str">
        <f>IF($A877&lt;&gt;"",'All Cases - Enter Cases'!B877,"")</f>
        <v/>
      </c>
      <c r="D877" t="str">
        <f>IF($A877&lt;&gt;"",'All Cases - Enter Cases'!C877,"")</f>
        <v/>
      </c>
      <c r="E877" t="str">
        <f>IF($A877&lt;&gt;"",'All Cases - Enter Cases'!D877,"")</f>
        <v/>
      </c>
      <c r="F877" s="12" t="str">
        <f>IF($A877&lt;&gt;"",'All Cases - Enter Cases'!E877,"")</f>
        <v/>
      </c>
      <c r="G877" s="12" t="str">
        <f>IF($A877&lt;&gt;"",'All Cases - Enter Cases'!F877,"")</f>
        <v/>
      </c>
      <c r="H877" s="4" t="str">
        <f>IF($A877&lt;&gt;"",'All Cases - Enter Cases'!G877,"")</f>
        <v/>
      </c>
      <c r="I877" t="str">
        <f>IF($A877&lt;&gt;"",'All Cases - Enter Cases'!H877,"")</f>
        <v/>
      </c>
      <c r="J877" t="str">
        <f>IF($A877&lt;&gt;"",'All Cases - Enter Cases'!I877,"")</f>
        <v/>
      </c>
      <c r="K877" t="str">
        <f>IF($A877&lt;&gt;"",'All Cases - Enter Cases'!J877,"")</f>
        <v/>
      </c>
      <c r="L877" s="4" t="str">
        <f>IF($A877&lt;&gt;"",'All Cases - Enter Cases'!K877,"")</f>
        <v/>
      </c>
      <c r="M877" t="str">
        <f>IF($A877&lt;&gt;"",'All Cases - Enter Cases'!L877,"")</f>
        <v/>
      </c>
    </row>
    <row r="878" spans="1:13" x14ac:dyDescent="0.35">
      <c r="A878" s="4" t="str">
        <f>IF('All Cases - Enter Cases'!$K878="Approved",'All Cases - Enter Cases'!A878,"")</f>
        <v/>
      </c>
      <c r="B878" s="4" t="str">
        <f>IF($N878&lt;&gt;"",$N878,IF($A878&lt;&gt;"",'All Cases - Enter Cases'!$L878+7,""))</f>
        <v/>
      </c>
      <c r="C878" t="str">
        <f>IF($A878&lt;&gt;"",'All Cases - Enter Cases'!B878,"")</f>
        <v/>
      </c>
      <c r="D878" t="str">
        <f>IF($A878&lt;&gt;"",'All Cases - Enter Cases'!C878,"")</f>
        <v/>
      </c>
      <c r="E878" t="str">
        <f>IF($A878&lt;&gt;"",'All Cases - Enter Cases'!D878,"")</f>
        <v/>
      </c>
      <c r="F878" s="12" t="str">
        <f>IF($A878&lt;&gt;"",'All Cases - Enter Cases'!E878,"")</f>
        <v/>
      </c>
      <c r="G878" s="12" t="str">
        <f>IF($A878&lt;&gt;"",'All Cases - Enter Cases'!F878,"")</f>
        <v/>
      </c>
      <c r="H878" s="4" t="str">
        <f>IF($A878&lt;&gt;"",'All Cases - Enter Cases'!G878,"")</f>
        <v/>
      </c>
      <c r="I878" t="str">
        <f>IF($A878&lt;&gt;"",'All Cases - Enter Cases'!H878,"")</f>
        <v/>
      </c>
      <c r="J878" t="str">
        <f>IF($A878&lt;&gt;"",'All Cases - Enter Cases'!I878,"")</f>
        <v/>
      </c>
      <c r="K878" t="str">
        <f>IF($A878&lt;&gt;"",'All Cases - Enter Cases'!J878,"")</f>
        <v/>
      </c>
      <c r="L878" s="4" t="str">
        <f>IF($A878&lt;&gt;"",'All Cases - Enter Cases'!K878,"")</f>
        <v/>
      </c>
      <c r="M878" t="str">
        <f>IF($A878&lt;&gt;"",'All Cases - Enter Cases'!L878,"")</f>
        <v/>
      </c>
    </row>
    <row r="879" spans="1:13" x14ac:dyDescent="0.35">
      <c r="A879" s="4" t="str">
        <f>IF('All Cases - Enter Cases'!$K879="Approved",'All Cases - Enter Cases'!A879,"")</f>
        <v/>
      </c>
      <c r="B879" s="4" t="str">
        <f>IF($N879&lt;&gt;"",$N879,IF($A879&lt;&gt;"",'All Cases - Enter Cases'!$L879+7,""))</f>
        <v/>
      </c>
      <c r="C879" t="str">
        <f>IF($A879&lt;&gt;"",'All Cases - Enter Cases'!B879,"")</f>
        <v/>
      </c>
      <c r="D879" t="str">
        <f>IF($A879&lt;&gt;"",'All Cases - Enter Cases'!C879,"")</f>
        <v/>
      </c>
      <c r="E879" t="str">
        <f>IF($A879&lt;&gt;"",'All Cases - Enter Cases'!D879,"")</f>
        <v/>
      </c>
      <c r="F879" s="12" t="str">
        <f>IF($A879&lt;&gt;"",'All Cases - Enter Cases'!E879,"")</f>
        <v/>
      </c>
      <c r="G879" s="12" t="str">
        <f>IF($A879&lt;&gt;"",'All Cases - Enter Cases'!F879,"")</f>
        <v/>
      </c>
      <c r="H879" s="4" t="str">
        <f>IF($A879&lt;&gt;"",'All Cases - Enter Cases'!G879,"")</f>
        <v/>
      </c>
      <c r="I879" t="str">
        <f>IF($A879&lt;&gt;"",'All Cases - Enter Cases'!H879,"")</f>
        <v/>
      </c>
      <c r="J879" t="str">
        <f>IF($A879&lt;&gt;"",'All Cases - Enter Cases'!I879,"")</f>
        <v/>
      </c>
      <c r="K879" t="str">
        <f>IF($A879&lt;&gt;"",'All Cases - Enter Cases'!J879,"")</f>
        <v/>
      </c>
      <c r="L879" s="4" t="str">
        <f>IF($A879&lt;&gt;"",'All Cases - Enter Cases'!K879,"")</f>
        <v/>
      </c>
      <c r="M879" t="str">
        <f>IF($A879&lt;&gt;"",'All Cases - Enter Cases'!L879,"")</f>
        <v/>
      </c>
    </row>
    <row r="880" spans="1:13" x14ac:dyDescent="0.35">
      <c r="A880" s="4" t="str">
        <f>IF('All Cases - Enter Cases'!$K880="Approved",'All Cases - Enter Cases'!A880,"")</f>
        <v/>
      </c>
      <c r="B880" s="4" t="str">
        <f>IF($N880&lt;&gt;"",$N880,IF($A880&lt;&gt;"",'All Cases - Enter Cases'!$L880+7,""))</f>
        <v/>
      </c>
      <c r="C880" t="str">
        <f>IF($A880&lt;&gt;"",'All Cases - Enter Cases'!B880,"")</f>
        <v/>
      </c>
      <c r="D880" t="str">
        <f>IF($A880&lt;&gt;"",'All Cases - Enter Cases'!C880,"")</f>
        <v/>
      </c>
      <c r="E880" t="str">
        <f>IF($A880&lt;&gt;"",'All Cases - Enter Cases'!D880,"")</f>
        <v/>
      </c>
      <c r="F880" s="12" t="str">
        <f>IF($A880&lt;&gt;"",'All Cases - Enter Cases'!E880,"")</f>
        <v/>
      </c>
      <c r="G880" s="12" t="str">
        <f>IF($A880&lt;&gt;"",'All Cases - Enter Cases'!F880,"")</f>
        <v/>
      </c>
      <c r="H880" s="4" t="str">
        <f>IF($A880&lt;&gt;"",'All Cases - Enter Cases'!G880,"")</f>
        <v/>
      </c>
      <c r="I880" t="str">
        <f>IF($A880&lt;&gt;"",'All Cases - Enter Cases'!H880,"")</f>
        <v/>
      </c>
      <c r="J880" t="str">
        <f>IF($A880&lt;&gt;"",'All Cases - Enter Cases'!I880,"")</f>
        <v/>
      </c>
      <c r="K880" t="str">
        <f>IF($A880&lt;&gt;"",'All Cases - Enter Cases'!J880,"")</f>
        <v/>
      </c>
      <c r="L880" s="4" t="str">
        <f>IF($A880&lt;&gt;"",'All Cases - Enter Cases'!K880,"")</f>
        <v/>
      </c>
      <c r="M880" t="str">
        <f>IF($A880&lt;&gt;"",'All Cases - Enter Cases'!L880,"")</f>
        <v/>
      </c>
    </row>
    <row r="881" spans="1:13" x14ac:dyDescent="0.35">
      <c r="A881" s="4" t="str">
        <f>IF('All Cases - Enter Cases'!$K881="Approved",'All Cases - Enter Cases'!A881,"")</f>
        <v/>
      </c>
      <c r="B881" s="4" t="str">
        <f>IF($N881&lt;&gt;"",$N881,IF($A881&lt;&gt;"",'All Cases - Enter Cases'!$L881+7,""))</f>
        <v/>
      </c>
      <c r="C881" t="str">
        <f>IF($A881&lt;&gt;"",'All Cases - Enter Cases'!B881,"")</f>
        <v/>
      </c>
      <c r="D881" t="str">
        <f>IF($A881&lt;&gt;"",'All Cases - Enter Cases'!C881,"")</f>
        <v/>
      </c>
      <c r="E881" t="str">
        <f>IF($A881&lt;&gt;"",'All Cases - Enter Cases'!D881,"")</f>
        <v/>
      </c>
      <c r="F881" s="12" t="str">
        <f>IF($A881&lt;&gt;"",'All Cases - Enter Cases'!E881,"")</f>
        <v/>
      </c>
      <c r="G881" s="12" t="str">
        <f>IF($A881&lt;&gt;"",'All Cases - Enter Cases'!F881,"")</f>
        <v/>
      </c>
      <c r="H881" s="4" t="str">
        <f>IF($A881&lt;&gt;"",'All Cases - Enter Cases'!G881,"")</f>
        <v/>
      </c>
      <c r="I881" t="str">
        <f>IF($A881&lt;&gt;"",'All Cases - Enter Cases'!H881,"")</f>
        <v/>
      </c>
      <c r="J881" t="str">
        <f>IF($A881&lt;&gt;"",'All Cases - Enter Cases'!I881,"")</f>
        <v/>
      </c>
      <c r="K881" t="str">
        <f>IF($A881&lt;&gt;"",'All Cases - Enter Cases'!J881,"")</f>
        <v/>
      </c>
      <c r="L881" s="4" t="str">
        <f>IF($A881&lt;&gt;"",'All Cases - Enter Cases'!K881,"")</f>
        <v/>
      </c>
      <c r="M881" t="str">
        <f>IF($A881&lt;&gt;"",'All Cases - Enter Cases'!L881,"")</f>
        <v/>
      </c>
    </row>
    <row r="882" spans="1:13" x14ac:dyDescent="0.35">
      <c r="A882" s="4" t="str">
        <f>IF('All Cases - Enter Cases'!$K882="Approved",'All Cases - Enter Cases'!A882,"")</f>
        <v/>
      </c>
      <c r="B882" s="4" t="str">
        <f>IF($N882&lt;&gt;"",$N882,IF($A882&lt;&gt;"",'All Cases - Enter Cases'!$L882+7,""))</f>
        <v/>
      </c>
      <c r="C882" t="str">
        <f>IF($A882&lt;&gt;"",'All Cases - Enter Cases'!B882,"")</f>
        <v/>
      </c>
      <c r="D882" t="str">
        <f>IF($A882&lt;&gt;"",'All Cases - Enter Cases'!C882,"")</f>
        <v/>
      </c>
      <c r="E882" t="str">
        <f>IF($A882&lt;&gt;"",'All Cases - Enter Cases'!D882,"")</f>
        <v/>
      </c>
      <c r="F882" s="12" t="str">
        <f>IF($A882&lt;&gt;"",'All Cases - Enter Cases'!E882,"")</f>
        <v/>
      </c>
      <c r="G882" s="12" t="str">
        <f>IF($A882&lt;&gt;"",'All Cases - Enter Cases'!F882,"")</f>
        <v/>
      </c>
      <c r="H882" s="4" t="str">
        <f>IF($A882&lt;&gt;"",'All Cases - Enter Cases'!G882,"")</f>
        <v/>
      </c>
      <c r="I882" t="str">
        <f>IF($A882&lt;&gt;"",'All Cases - Enter Cases'!H882,"")</f>
        <v/>
      </c>
      <c r="J882" t="str">
        <f>IF($A882&lt;&gt;"",'All Cases - Enter Cases'!I882,"")</f>
        <v/>
      </c>
      <c r="K882" t="str">
        <f>IF($A882&lt;&gt;"",'All Cases - Enter Cases'!J882,"")</f>
        <v/>
      </c>
      <c r="L882" s="4" t="str">
        <f>IF($A882&lt;&gt;"",'All Cases - Enter Cases'!K882,"")</f>
        <v/>
      </c>
      <c r="M882" t="str">
        <f>IF($A882&lt;&gt;"",'All Cases - Enter Cases'!L882,"")</f>
        <v/>
      </c>
    </row>
    <row r="883" spans="1:13" x14ac:dyDescent="0.35">
      <c r="A883" s="4" t="str">
        <f>IF('All Cases - Enter Cases'!$K883="Approved",'All Cases - Enter Cases'!A883,"")</f>
        <v/>
      </c>
      <c r="B883" s="4" t="str">
        <f>IF($N883&lt;&gt;"",$N883,IF($A883&lt;&gt;"",'All Cases - Enter Cases'!$L883+7,""))</f>
        <v/>
      </c>
      <c r="C883" t="str">
        <f>IF($A883&lt;&gt;"",'All Cases - Enter Cases'!B883,"")</f>
        <v/>
      </c>
      <c r="D883" t="str">
        <f>IF($A883&lt;&gt;"",'All Cases - Enter Cases'!C883,"")</f>
        <v/>
      </c>
      <c r="E883" t="str">
        <f>IF($A883&lt;&gt;"",'All Cases - Enter Cases'!D883,"")</f>
        <v/>
      </c>
      <c r="F883" s="12" t="str">
        <f>IF($A883&lt;&gt;"",'All Cases - Enter Cases'!E883,"")</f>
        <v/>
      </c>
      <c r="G883" s="12" t="str">
        <f>IF($A883&lt;&gt;"",'All Cases - Enter Cases'!F883,"")</f>
        <v/>
      </c>
      <c r="H883" s="4" t="str">
        <f>IF($A883&lt;&gt;"",'All Cases - Enter Cases'!G883,"")</f>
        <v/>
      </c>
      <c r="I883" t="str">
        <f>IF($A883&lt;&gt;"",'All Cases - Enter Cases'!H883,"")</f>
        <v/>
      </c>
      <c r="J883" t="str">
        <f>IF($A883&lt;&gt;"",'All Cases - Enter Cases'!I883,"")</f>
        <v/>
      </c>
      <c r="K883" t="str">
        <f>IF($A883&lt;&gt;"",'All Cases - Enter Cases'!J883,"")</f>
        <v/>
      </c>
      <c r="L883" s="4" t="str">
        <f>IF($A883&lt;&gt;"",'All Cases - Enter Cases'!K883,"")</f>
        <v/>
      </c>
      <c r="M883" t="str">
        <f>IF($A883&lt;&gt;"",'All Cases - Enter Cases'!L883,"")</f>
        <v/>
      </c>
    </row>
    <row r="884" spans="1:13" x14ac:dyDescent="0.35">
      <c r="A884" s="4" t="str">
        <f>IF('All Cases - Enter Cases'!$K884="Approved",'All Cases - Enter Cases'!A884,"")</f>
        <v/>
      </c>
      <c r="B884" s="4" t="str">
        <f>IF($N884&lt;&gt;"",$N884,IF($A884&lt;&gt;"",'All Cases - Enter Cases'!$L884+7,""))</f>
        <v/>
      </c>
      <c r="C884" t="str">
        <f>IF($A884&lt;&gt;"",'All Cases - Enter Cases'!B884,"")</f>
        <v/>
      </c>
      <c r="D884" t="str">
        <f>IF($A884&lt;&gt;"",'All Cases - Enter Cases'!C884,"")</f>
        <v/>
      </c>
      <c r="E884" t="str">
        <f>IF($A884&lt;&gt;"",'All Cases - Enter Cases'!D884,"")</f>
        <v/>
      </c>
      <c r="F884" s="12" t="str">
        <f>IF($A884&lt;&gt;"",'All Cases - Enter Cases'!E884,"")</f>
        <v/>
      </c>
      <c r="G884" s="12" t="str">
        <f>IF($A884&lt;&gt;"",'All Cases - Enter Cases'!F884,"")</f>
        <v/>
      </c>
      <c r="H884" s="4" t="str">
        <f>IF($A884&lt;&gt;"",'All Cases - Enter Cases'!G884,"")</f>
        <v/>
      </c>
      <c r="I884" t="str">
        <f>IF($A884&lt;&gt;"",'All Cases - Enter Cases'!H884,"")</f>
        <v/>
      </c>
      <c r="J884" t="str">
        <f>IF($A884&lt;&gt;"",'All Cases - Enter Cases'!I884,"")</f>
        <v/>
      </c>
      <c r="K884" t="str">
        <f>IF($A884&lt;&gt;"",'All Cases - Enter Cases'!J884,"")</f>
        <v/>
      </c>
      <c r="L884" s="4" t="str">
        <f>IF($A884&lt;&gt;"",'All Cases - Enter Cases'!K884,"")</f>
        <v/>
      </c>
      <c r="M884" t="str">
        <f>IF($A884&lt;&gt;"",'All Cases - Enter Cases'!L884,"")</f>
        <v/>
      </c>
    </row>
    <row r="885" spans="1:13" x14ac:dyDescent="0.35">
      <c r="A885" s="4" t="str">
        <f>IF('All Cases - Enter Cases'!$K885="Approved",'All Cases - Enter Cases'!A885,"")</f>
        <v/>
      </c>
      <c r="B885" s="4" t="str">
        <f>IF($N885&lt;&gt;"",$N885,IF($A885&lt;&gt;"",'All Cases - Enter Cases'!$L885+7,""))</f>
        <v/>
      </c>
      <c r="C885" t="str">
        <f>IF($A885&lt;&gt;"",'All Cases - Enter Cases'!B885,"")</f>
        <v/>
      </c>
      <c r="D885" t="str">
        <f>IF($A885&lt;&gt;"",'All Cases - Enter Cases'!C885,"")</f>
        <v/>
      </c>
      <c r="E885" t="str">
        <f>IF($A885&lt;&gt;"",'All Cases - Enter Cases'!D885,"")</f>
        <v/>
      </c>
      <c r="F885" s="12" t="str">
        <f>IF($A885&lt;&gt;"",'All Cases - Enter Cases'!E885,"")</f>
        <v/>
      </c>
      <c r="G885" s="12" t="str">
        <f>IF($A885&lt;&gt;"",'All Cases - Enter Cases'!F885,"")</f>
        <v/>
      </c>
      <c r="H885" s="4" t="str">
        <f>IF($A885&lt;&gt;"",'All Cases - Enter Cases'!G885,"")</f>
        <v/>
      </c>
      <c r="I885" t="str">
        <f>IF($A885&lt;&gt;"",'All Cases - Enter Cases'!H885,"")</f>
        <v/>
      </c>
      <c r="J885" t="str">
        <f>IF($A885&lt;&gt;"",'All Cases - Enter Cases'!I885,"")</f>
        <v/>
      </c>
      <c r="K885" t="str">
        <f>IF($A885&lt;&gt;"",'All Cases - Enter Cases'!J885,"")</f>
        <v/>
      </c>
      <c r="L885" s="4" t="str">
        <f>IF($A885&lt;&gt;"",'All Cases - Enter Cases'!K885,"")</f>
        <v/>
      </c>
      <c r="M885" t="str">
        <f>IF($A885&lt;&gt;"",'All Cases - Enter Cases'!L885,"")</f>
        <v/>
      </c>
    </row>
    <row r="886" spans="1:13" x14ac:dyDescent="0.35">
      <c r="A886" s="4" t="str">
        <f>IF('All Cases - Enter Cases'!$K886="Approved",'All Cases - Enter Cases'!A886,"")</f>
        <v/>
      </c>
      <c r="B886" s="4" t="str">
        <f>IF($N886&lt;&gt;"",$N886,IF($A886&lt;&gt;"",'All Cases - Enter Cases'!$L886+7,""))</f>
        <v/>
      </c>
      <c r="C886" t="str">
        <f>IF($A886&lt;&gt;"",'All Cases - Enter Cases'!B886,"")</f>
        <v/>
      </c>
      <c r="D886" t="str">
        <f>IF($A886&lt;&gt;"",'All Cases - Enter Cases'!C886,"")</f>
        <v/>
      </c>
      <c r="E886" t="str">
        <f>IF($A886&lt;&gt;"",'All Cases - Enter Cases'!D886,"")</f>
        <v/>
      </c>
      <c r="F886" s="12" t="str">
        <f>IF($A886&lt;&gt;"",'All Cases - Enter Cases'!E886,"")</f>
        <v/>
      </c>
      <c r="G886" s="12" t="str">
        <f>IF($A886&lt;&gt;"",'All Cases - Enter Cases'!F886,"")</f>
        <v/>
      </c>
      <c r="H886" s="4" t="str">
        <f>IF($A886&lt;&gt;"",'All Cases - Enter Cases'!G886,"")</f>
        <v/>
      </c>
      <c r="I886" t="str">
        <f>IF($A886&lt;&gt;"",'All Cases - Enter Cases'!H886,"")</f>
        <v/>
      </c>
      <c r="J886" t="str">
        <f>IF($A886&lt;&gt;"",'All Cases - Enter Cases'!I886,"")</f>
        <v/>
      </c>
      <c r="K886" t="str">
        <f>IF($A886&lt;&gt;"",'All Cases - Enter Cases'!J886,"")</f>
        <v/>
      </c>
      <c r="L886" s="4" t="str">
        <f>IF($A886&lt;&gt;"",'All Cases - Enter Cases'!K886,"")</f>
        <v/>
      </c>
      <c r="M886" t="str">
        <f>IF($A886&lt;&gt;"",'All Cases - Enter Cases'!L886,"")</f>
        <v/>
      </c>
    </row>
    <row r="887" spans="1:13" x14ac:dyDescent="0.35">
      <c r="A887" s="4" t="str">
        <f>IF('All Cases - Enter Cases'!$K887="Approved",'All Cases - Enter Cases'!A887,"")</f>
        <v/>
      </c>
      <c r="B887" s="4" t="str">
        <f>IF($N887&lt;&gt;"",$N887,IF($A887&lt;&gt;"",'All Cases - Enter Cases'!$L887+7,""))</f>
        <v/>
      </c>
      <c r="C887" t="str">
        <f>IF($A887&lt;&gt;"",'All Cases - Enter Cases'!B887,"")</f>
        <v/>
      </c>
      <c r="D887" t="str">
        <f>IF($A887&lt;&gt;"",'All Cases - Enter Cases'!C887,"")</f>
        <v/>
      </c>
      <c r="E887" t="str">
        <f>IF($A887&lt;&gt;"",'All Cases - Enter Cases'!D887,"")</f>
        <v/>
      </c>
      <c r="F887" s="12" t="str">
        <f>IF($A887&lt;&gt;"",'All Cases - Enter Cases'!E887,"")</f>
        <v/>
      </c>
      <c r="G887" s="12" t="str">
        <f>IF($A887&lt;&gt;"",'All Cases - Enter Cases'!F887,"")</f>
        <v/>
      </c>
      <c r="H887" s="4" t="str">
        <f>IF($A887&lt;&gt;"",'All Cases - Enter Cases'!G887,"")</f>
        <v/>
      </c>
      <c r="I887" t="str">
        <f>IF($A887&lt;&gt;"",'All Cases - Enter Cases'!H887,"")</f>
        <v/>
      </c>
      <c r="J887" t="str">
        <f>IF($A887&lt;&gt;"",'All Cases - Enter Cases'!I887,"")</f>
        <v/>
      </c>
      <c r="K887" t="str">
        <f>IF($A887&lt;&gt;"",'All Cases - Enter Cases'!J887,"")</f>
        <v/>
      </c>
      <c r="L887" s="4" t="str">
        <f>IF($A887&lt;&gt;"",'All Cases - Enter Cases'!K887,"")</f>
        <v/>
      </c>
      <c r="M887" t="str">
        <f>IF($A887&lt;&gt;"",'All Cases - Enter Cases'!L887,"")</f>
        <v/>
      </c>
    </row>
    <row r="888" spans="1:13" x14ac:dyDescent="0.35">
      <c r="A888" s="4" t="str">
        <f>IF('All Cases - Enter Cases'!$K888="Approved",'All Cases - Enter Cases'!A888,"")</f>
        <v/>
      </c>
      <c r="B888" s="4" t="str">
        <f>IF($N888&lt;&gt;"",$N888,IF($A888&lt;&gt;"",'All Cases - Enter Cases'!$L888+7,""))</f>
        <v/>
      </c>
      <c r="C888" t="str">
        <f>IF($A888&lt;&gt;"",'All Cases - Enter Cases'!B888,"")</f>
        <v/>
      </c>
      <c r="D888" t="str">
        <f>IF($A888&lt;&gt;"",'All Cases - Enter Cases'!C888,"")</f>
        <v/>
      </c>
      <c r="E888" t="str">
        <f>IF($A888&lt;&gt;"",'All Cases - Enter Cases'!D888,"")</f>
        <v/>
      </c>
      <c r="F888" s="12" t="str">
        <f>IF($A888&lt;&gt;"",'All Cases - Enter Cases'!E888,"")</f>
        <v/>
      </c>
      <c r="G888" s="12" t="str">
        <f>IF($A888&lt;&gt;"",'All Cases - Enter Cases'!F888,"")</f>
        <v/>
      </c>
      <c r="H888" s="4" t="str">
        <f>IF($A888&lt;&gt;"",'All Cases - Enter Cases'!G888,"")</f>
        <v/>
      </c>
      <c r="I888" t="str">
        <f>IF($A888&lt;&gt;"",'All Cases - Enter Cases'!H888,"")</f>
        <v/>
      </c>
      <c r="J888" t="str">
        <f>IF($A888&lt;&gt;"",'All Cases - Enter Cases'!I888,"")</f>
        <v/>
      </c>
      <c r="K888" t="str">
        <f>IF($A888&lt;&gt;"",'All Cases - Enter Cases'!J888,"")</f>
        <v/>
      </c>
      <c r="L888" s="4" t="str">
        <f>IF($A888&lt;&gt;"",'All Cases - Enter Cases'!K888,"")</f>
        <v/>
      </c>
      <c r="M888" t="str">
        <f>IF($A888&lt;&gt;"",'All Cases - Enter Cases'!L888,"")</f>
        <v/>
      </c>
    </row>
    <row r="889" spans="1:13" x14ac:dyDescent="0.35">
      <c r="A889" s="4" t="str">
        <f>IF('All Cases - Enter Cases'!$K889="Approved",'All Cases - Enter Cases'!A889,"")</f>
        <v/>
      </c>
      <c r="B889" s="4" t="str">
        <f>IF($N889&lt;&gt;"",$N889,IF($A889&lt;&gt;"",'All Cases - Enter Cases'!$L889+7,""))</f>
        <v/>
      </c>
      <c r="C889" t="str">
        <f>IF($A889&lt;&gt;"",'All Cases - Enter Cases'!B889,"")</f>
        <v/>
      </c>
      <c r="D889" t="str">
        <f>IF($A889&lt;&gt;"",'All Cases - Enter Cases'!C889,"")</f>
        <v/>
      </c>
      <c r="E889" t="str">
        <f>IF($A889&lt;&gt;"",'All Cases - Enter Cases'!D889,"")</f>
        <v/>
      </c>
      <c r="F889" s="12" t="str">
        <f>IF($A889&lt;&gt;"",'All Cases - Enter Cases'!E889,"")</f>
        <v/>
      </c>
      <c r="G889" s="12" t="str">
        <f>IF($A889&lt;&gt;"",'All Cases - Enter Cases'!F889,"")</f>
        <v/>
      </c>
      <c r="H889" s="4" t="str">
        <f>IF($A889&lt;&gt;"",'All Cases - Enter Cases'!G889,"")</f>
        <v/>
      </c>
      <c r="I889" t="str">
        <f>IF($A889&lt;&gt;"",'All Cases - Enter Cases'!H889,"")</f>
        <v/>
      </c>
      <c r="J889" t="str">
        <f>IF($A889&lt;&gt;"",'All Cases - Enter Cases'!I889,"")</f>
        <v/>
      </c>
      <c r="K889" t="str">
        <f>IF($A889&lt;&gt;"",'All Cases - Enter Cases'!J889,"")</f>
        <v/>
      </c>
      <c r="L889" s="4" t="str">
        <f>IF($A889&lt;&gt;"",'All Cases - Enter Cases'!K889,"")</f>
        <v/>
      </c>
      <c r="M889" t="str">
        <f>IF($A889&lt;&gt;"",'All Cases - Enter Cases'!L889,"")</f>
        <v/>
      </c>
    </row>
    <row r="890" spans="1:13" x14ac:dyDescent="0.35">
      <c r="A890" s="4" t="str">
        <f>IF('All Cases - Enter Cases'!$K890="Approved",'All Cases - Enter Cases'!A890,"")</f>
        <v/>
      </c>
      <c r="B890" s="4" t="str">
        <f>IF($N890&lt;&gt;"",$N890,IF($A890&lt;&gt;"",'All Cases - Enter Cases'!$L890+7,""))</f>
        <v/>
      </c>
      <c r="C890" t="str">
        <f>IF($A890&lt;&gt;"",'All Cases - Enter Cases'!B890,"")</f>
        <v/>
      </c>
      <c r="D890" t="str">
        <f>IF($A890&lt;&gt;"",'All Cases - Enter Cases'!C890,"")</f>
        <v/>
      </c>
      <c r="E890" t="str">
        <f>IF($A890&lt;&gt;"",'All Cases - Enter Cases'!D890,"")</f>
        <v/>
      </c>
      <c r="F890" s="12" t="str">
        <f>IF($A890&lt;&gt;"",'All Cases - Enter Cases'!E890,"")</f>
        <v/>
      </c>
      <c r="G890" s="12" t="str">
        <f>IF($A890&lt;&gt;"",'All Cases - Enter Cases'!F890,"")</f>
        <v/>
      </c>
      <c r="H890" s="4" t="str">
        <f>IF($A890&lt;&gt;"",'All Cases - Enter Cases'!G890,"")</f>
        <v/>
      </c>
      <c r="I890" t="str">
        <f>IF($A890&lt;&gt;"",'All Cases - Enter Cases'!H890,"")</f>
        <v/>
      </c>
      <c r="J890" t="str">
        <f>IF($A890&lt;&gt;"",'All Cases - Enter Cases'!I890,"")</f>
        <v/>
      </c>
      <c r="K890" t="str">
        <f>IF($A890&lt;&gt;"",'All Cases - Enter Cases'!J890,"")</f>
        <v/>
      </c>
      <c r="L890" s="4" t="str">
        <f>IF($A890&lt;&gt;"",'All Cases - Enter Cases'!K890,"")</f>
        <v/>
      </c>
      <c r="M890" t="str">
        <f>IF($A890&lt;&gt;"",'All Cases - Enter Cases'!L890,"")</f>
        <v/>
      </c>
    </row>
    <row r="891" spans="1:13" x14ac:dyDescent="0.35">
      <c r="A891" s="4" t="str">
        <f>IF('All Cases - Enter Cases'!$K891="Approved",'All Cases - Enter Cases'!A891,"")</f>
        <v/>
      </c>
      <c r="B891" s="4" t="str">
        <f>IF($N891&lt;&gt;"",$N891,IF($A891&lt;&gt;"",'All Cases - Enter Cases'!$L891+7,""))</f>
        <v/>
      </c>
      <c r="C891" t="str">
        <f>IF($A891&lt;&gt;"",'All Cases - Enter Cases'!B891,"")</f>
        <v/>
      </c>
      <c r="D891" t="str">
        <f>IF($A891&lt;&gt;"",'All Cases - Enter Cases'!C891,"")</f>
        <v/>
      </c>
      <c r="E891" t="str">
        <f>IF($A891&lt;&gt;"",'All Cases - Enter Cases'!D891,"")</f>
        <v/>
      </c>
      <c r="F891" s="12" t="str">
        <f>IF($A891&lt;&gt;"",'All Cases - Enter Cases'!E891,"")</f>
        <v/>
      </c>
      <c r="G891" s="12" t="str">
        <f>IF($A891&lt;&gt;"",'All Cases - Enter Cases'!F891,"")</f>
        <v/>
      </c>
      <c r="H891" s="4" t="str">
        <f>IF($A891&lt;&gt;"",'All Cases - Enter Cases'!G891,"")</f>
        <v/>
      </c>
      <c r="I891" t="str">
        <f>IF($A891&lt;&gt;"",'All Cases - Enter Cases'!H891,"")</f>
        <v/>
      </c>
      <c r="J891" t="str">
        <f>IF($A891&lt;&gt;"",'All Cases - Enter Cases'!I891,"")</f>
        <v/>
      </c>
      <c r="K891" t="str">
        <f>IF($A891&lt;&gt;"",'All Cases - Enter Cases'!J891,"")</f>
        <v/>
      </c>
      <c r="L891" s="4" t="str">
        <f>IF($A891&lt;&gt;"",'All Cases - Enter Cases'!K891,"")</f>
        <v/>
      </c>
      <c r="M891" t="str">
        <f>IF($A891&lt;&gt;"",'All Cases - Enter Cases'!L891,"")</f>
        <v/>
      </c>
    </row>
    <row r="892" spans="1:13" x14ac:dyDescent="0.35">
      <c r="A892" s="4" t="str">
        <f>IF('All Cases - Enter Cases'!$K892="Approved",'All Cases - Enter Cases'!A892,"")</f>
        <v/>
      </c>
      <c r="B892" s="4" t="str">
        <f>IF($N892&lt;&gt;"",$N892,IF($A892&lt;&gt;"",'All Cases - Enter Cases'!$L892+7,""))</f>
        <v/>
      </c>
      <c r="C892" t="str">
        <f>IF($A892&lt;&gt;"",'All Cases - Enter Cases'!B892,"")</f>
        <v/>
      </c>
      <c r="D892" t="str">
        <f>IF($A892&lt;&gt;"",'All Cases - Enter Cases'!C892,"")</f>
        <v/>
      </c>
      <c r="E892" t="str">
        <f>IF($A892&lt;&gt;"",'All Cases - Enter Cases'!D892,"")</f>
        <v/>
      </c>
      <c r="F892" s="12" t="str">
        <f>IF($A892&lt;&gt;"",'All Cases - Enter Cases'!E892,"")</f>
        <v/>
      </c>
      <c r="G892" s="12" t="str">
        <f>IF($A892&lt;&gt;"",'All Cases - Enter Cases'!F892,"")</f>
        <v/>
      </c>
      <c r="H892" s="4" t="str">
        <f>IF($A892&lt;&gt;"",'All Cases - Enter Cases'!G892,"")</f>
        <v/>
      </c>
      <c r="I892" t="str">
        <f>IF($A892&lt;&gt;"",'All Cases - Enter Cases'!H892,"")</f>
        <v/>
      </c>
      <c r="J892" t="str">
        <f>IF($A892&lt;&gt;"",'All Cases - Enter Cases'!I892,"")</f>
        <v/>
      </c>
      <c r="K892" t="str">
        <f>IF($A892&lt;&gt;"",'All Cases - Enter Cases'!J892,"")</f>
        <v/>
      </c>
      <c r="L892" s="4" t="str">
        <f>IF($A892&lt;&gt;"",'All Cases - Enter Cases'!K892,"")</f>
        <v/>
      </c>
      <c r="M892" t="str">
        <f>IF($A892&lt;&gt;"",'All Cases - Enter Cases'!L892,"")</f>
        <v/>
      </c>
    </row>
    <row r="893" spans="1:13" x14ac:dyDescent="0.35">
      <c r="A893" s="4" t="str">
        <f>IF('All Cases - Enter Cases'!$K893="Approved",'All Cases - Enter Cases'!A893,"")</f>
        <v/>
      </c>
      <c r="B893" s="4" t="str">
        <f>IF($N893&lt;&gt;"",$N893,IF($A893&lt;&gt;"",'All Cases - Enter Cases'!$L893+7,""))</f>
        <v/>
      </c>
      <c r="C893" t="str">
        <f>IF($A893&lt;&gt;"",'All Cases - Enter Cases'!B893,"")</f>
        <v/>
      </c>
      <c r="D893" t="str">
        <f>IF($A893&lt;&gt;"",'All Cases - Enter Cases'!C893,"")</f>
        <v/>
      </c>
      <c r="E893" t="str">
        <f>IF($A893&lt;&gt;"",'All Cases - Enter Cases'!D893,"")</f>
        <v/>
      </c>
      <c r="F893" s="12" t="str">
        <f>IF($A893&lt;&gt;"",'All Cases - Enter Cases'!E893,"")</f>
        <v/>
      </c>
      <c r="G893" s="12" t="str">
        <f>IF($A893&lt;&gt;"",'All Cases - Enter Cases'!F893,"")</f>
        <v/>
      </c>
      <c r="H893" s="4" t="str">
        <f>IF($A893&lt;&gt;"",'All Cases - Enter Cases'!G893,"")</f>
        <v/>
      </c>
      <c r="I893" t="str">
        <f>IF($A893&lt;&gt;"",'All Cases - Enter Cases'!H893,"")</f>
        <v/>
      </c>
      <c r="J893" t="str">
        <f>IF($A893&lt;&gt;"",'All Cases - Enter Cases'!I893,"")</f>
        <v/>
      </c>
      <c r="K893" t="str">
        <f>IF($A893&lt;&gt;"",'All Cases - Enter Cases'!J893,"")</f>
        <v/>
      </c>
      <c r="L893" s="4" t="str">
        <f>IF($A893&lt;&gt;"",'All Cases - Enter Cases'!K893,"")</f>
        <v/>
      </c>
      <c r="M893" t="str">
        <f>IF($A893&lt;&gt;"",'All Cases - Enter Cases'!L893,"")</f>
        <v/>
      </c>
    </row>
    <row r="894" spans="1:13" x14ac:dyDescent="0.35">
      <c r="A894" s="4" t="str">
        <f>IF('All Cases - Enter Cases'!$K894="Approved",'All Cases - Enter Cases'!A894,"")</f>
        <v/>
      </c>
      <c r="B894" s="4" t="str">
        <f>IF($N894&lt;&gt;"",$N894,IF($A894&lt;&gt;"",'All Cases - Enter Cases'!$L894+7,""))</f>
        <v/>
      </c>
      <c r="C894" t="str">
        <f>IF($A894&lt;&gt;"",'All Cases - Enter Cases'!B894,"")</f>
        <v/>
      </c>
      <c r="D894" t="str">
        <f>IF($A894&lt;&gt;"",'All Cases - Enter Cases'!C894,"")</f>
        <v/>
      </c>
      <c r="E894" t="str">
        <f>IF($A894&lt;&gt;"",'All Cases - Enter Cases'!D894,"")</f>
        <v/>
      </c>
      <c r="F894" s="12" t="str">
        <f>IF($A894&lt;&gt;"",'All Cases - Enter Cases'!E894,"")</f>
        <v/>
      </c>
      <c r="G894" s="12" t="str">
        <f>IF($A894&lt;&gt;"",'All Cases - Enter Cases'!F894,"")</f>
        <v/>
      </c>
      <c r="H894" s="4" t="str">
        <f>IF($A894&lt;&gt;"",'All Cases - Enter Cases'!G894,"")</f>
        <v/>
      </c>
      <c r="I894" t="str">
        <f>IF($A894&lt;&gt;"",'All Cases - Enter Cases'!H894,"")</f>
        <v/>
      </c>
      <c r="J894" t="str">
        <f>IF($A894&lt;&gt;"",'All Cases - Enter Cases'!I894,"")</f>
        <v/>
      </c>
      <c r="K894" t="str">
        <f>IF($A894&lt;&gt;"",'All Cases - Enter Cases'!J894,"")</f>
        <v/>
      </c>
      <c r="L894" s="4" t="str">
        <f>IF($A894&lt;&gt;"",'All Cases - Enter Cases'!K894,"")</f>
        <v/>
      </c>
      <c r="M894" t="str">
        <f>IF($A894&lt;&gt;"",'All Cases - Enter Cases'!L894,"")</f>
        <v/>
      </c>
    </row>
    <row r="895" spans="1:13" x14ac:dyDescent="0.35">
      <c r="A895" s="4" t="str">
        <f>IF('All Cases - Enter Cases'!$K895="Approved",'All Cases - Enter Cases'!A895,"")</f>
        <v/>
      </c>
      <c r="B895" s="4" t="str">
        <f>IF($N895&lt;&gt;"",$N895,IF($A895&lt;&gt;"",'All Cases - Enter Cases'!$L895+7,""))</f>
        <v/>
      </c>
      <c r="C895" t="str">
        <f>IF($A895&lt;&gt;"",'All Cases - Enter Cases'!B895,"")</f>
        <v/>
      </c>
      <c r="D895" t="str">
        <f>IF($A895&lt;&gt;"",'All Cases - Enter Cases'!C895,"")</f>
        <v/>
      </c>
      <c r="E895" t="str">
        <f>IF($A895&lt;&gt;"",'All Cases - Enter Cases'!D895,"")</f>
        <v/>
      </c>
      <c r="F895" s="12" t="str">
        <f>IF($A895&lt;&gt;"",'All Cases - Enter Cases'!E895,"")</f>
        <v/>
      </c>
      <c r="G895" s="12" t="str">
        <f>IF($A895&lt;&gt;"",'All Cases - Enter Cases'!F895,"")</f>
        <v/>
      </c>
      <c r="H895" s="4" t="str">
        <f>IF($A895&lt;&gt;"",'All Cases - Enter Cases'!G895,"")</f>
        <v/>
      </c>
      <c r="I895" t="str">
        <f>IF($A895&lt;&gt;"",'All Cases - Enter Cases'!H895,"")</f>
        <v/>
      </c>
      <c r="J895" t="str">
        <f>IF($A895&lt;&gt;"",'All Cases - Enter Cases'!I895,"")</f>
        <v/>
      </c>
      <c r="K895" t="str">
        <f>IF($A895&lt;&gt;"",'All Cases - Enter Cases'!J895,"")</f>
        <v/>
      </c>
      <c r="L895" s="4" t="str">
        <f>IF($A895&lt;&gt;"",'All Cases - Enter Cases'!K895,"")</f>
        <v/>
      </c>
      <c r="M895" t="str">
        <f>IF($A895&lt;&gt;"",'All Cases - Enter Cases'!L895,"")</f>
        <v/>
      </c>
    </row>
    <row r="896" spans="1:13" x14ac:dyDescent="0.35">
      <c r="A896" s="4" t="str">
        <f>IF('All Cases - Enter Cases'!$K896="Approved",'All Cases - Enter Cases'!A896,"")</f>
        <v/>
      </c>
      <c r="B896" s="4" t="str">
        <f>IF($N896&lt;&gt;"",$N896,IF($A896&lt;&gt;"",'All Cases - Enter Cases'!$L896+7,""))</f>
        <v/>
      </c>
      <c r="C896" t="str">
        <f>IF($A896&lt;&gt;"",'All Cases - Enter Cases'!B896,"")</f>
        <v/>
      </c>
      <c r="D896" t="str">
        <f>IF($A896&lt;&gt;"",'All Cases - Enter Cases'!C896,"")</f>
        <v/>
      </c>
      <c r="E896" t="str">
        <f>IF($A896&lt;&gt;"",'All Cases - Enter Cases'!D896,"")</f>
        <v/>
      </c>
      <c r="F896" s="12" t="str">
        <f>IF($A896&lt;&gt;"",'All Cases - Enter Cases'!E896,"")</f>
        <v/>
      </c>
      <c r="G896" s="12" t="str">
        <f>IF($A896&lt;&gt;"",'All Cases - Enter Cases'!F896,"")</f>
        <v/>
      </c>
      <c r="H896" s="4" t="str">
        <f>IF($A896&lt;&gt;"",'All Cases - Enter Cases'!G896,"")</f>
        <v/>
      </c>
      <c r="I896" t="str">
        <f>IF($A896&lt;&gt;"",'All Cases - Enter Cases'!H896,"")</f>
        <v/>
      </c>
      <c r="J896" t="str">
        <f>IF($A896&lt;&gt;"",'All Cases - Enter Cases'!I896,"")</f>
        <v/>
      </c>
      <c r="K896" t="str">
        <f>IF($A896&lt;&gt;"",'All Cases - Enter Cases'!J896,"")</f>
        <v/>
      </c>
      <c r="L896" s="4" t="str">
        <f>IF($A896&lt;&gt;"",'All Cases - Enter Cases'!K896,"")</f>
        <v/>
      </c>
      <c r="M896" t="str">
        <f>IF($A896&lt;&gt;"",'All Cases - Enter Cases'!L896,"")</f>
        <v/>
      </c>
    </row>
    <row r="897" spans="1:13" x14ac:dyDescent="0.35">
      <c r="A897" s="4" t="str">
        <f>IF('All Cases - Enter Cases'!$K897="Approved",'All Cases - Enter Cases'!A897,"")</f>
        <v/>
      </c>
      <c r="B897" s="4" t="str">
        <f>IF($N897&lt;&gt;"",$N897,IF($A897&lt;&gt;"",'All Cases - Enter Cases'!$L897+7,""))</f>
        <v/>
      </c>
      <c r="C897" t="str">
        <f>IF($A897&lt;&gt;"",'All Cases - Enter Cases'!B897,"")</f>
        <v/>
      </c>
      <c r="D897" t="str">
        <f>IF($A897&lt;&gt;"",'All Cases - Enter Cases'!C897,"")</f>
        <v/>
      </c>
      <c r="E897" t="str">
        <f>IF($A897&lt;&gt;"",'All Cases - Enter Cases'!D897,"")</f>
        <v/>
      </c>
      <c r="F897" s="12" t="str">
        <f>IF($A897&lt;&gt;"",'All Cases - Enter Cases'!E897,"")</f>
        <v/>
      </c>
      <c r="G897" s="12" t="str">
        <f>IF($A897&lt;&gt;"",'All Cases - Enter Cases'!F897,"")</f>
        <v/>
      </c>
      <c r="H897" s="4" t="str">
        <f>IF($A897&lt;&gt;"",'All Cases - Enter Cases'!G897,"")</f>
        <v/>
      </c>
      <c r="I897" t="str">
        <f>IF($A897&lt;&gt;"",'All Cases - Enter Cases'!H897,"")</f>
        <v/>
      </c>
      <c r="J897" t="str">
        <f>IF($A897&lt;&gt;"",'All Cases - Enter Cases'!I897,"")</f>
        <v/>
      </c>
      <c r="K897" t="str">
        <f>IF($A897&lt;&gt;"",'All Cases - Enter Cases'!J897,"")</f>
        <v/>
      </c>
      <c r="L897" s="4" t="str">
        <f>IF($A897&lt;&gt;"",'All Cases - Enter Cases'!K897,"")</f>
        <v/>
      </c>
      <c r="M897" t="str">
        <f>IF($A897&lt;&gt;"",'All Cases - Enter Cases'!L897,"")</f>
        <v/>
      </c>
    </row>
    <row r="898" spans="1:13" x14ac:dyDescent="0.35">
      <c r="A898" s="4" t="str">
        <f>IF('All Cases - Enter Cases'!$K898="Approved",'All Cases - Enter Cases'!A898,"")</f>
        <v/>
      </c>
      <c r="B898" s="4" t="str">
        <f>IF($N898&lt;&gt;"",$N898,IF($A898&lt;&gt;"",'All Cases - Enter Cases'!$L898+7,""))</f>
        <v/>
      </c>
      <c r="C898" t="str">
        <f>IF($A898&lt;&gt;"",'All Cases - Enter Cases'!B898,"")</f>
        <v/>
      </c>
      <c r="D898" t="str">
        <f>IF($A898&lt;&gt;"",'All Cases - Enter Cases'!C898,"")</f>
        <v/>
      </c>
      <c r="E898" t="str">
        <f>IF($A898&lt;&gt;"",'All Cases - Enter Cases'!D898,"")</f>
        <v/>
      </c>
      <c r="F898" s="12" t="str">
        <f>IF($A898&lt;&gt;"",'All Cases - Enter Cases'!E898,"")</f>
        <v/>
      </c>
      <c r="G898" s="12" t="str">
        <f>IF($A898&lt;&gt;"",'All Cases - Enter Cases'!F898,"")</f>
        <v/>
      </c>
      <c r="H898" s="4" t="str">
        <f>IF($A898&lt;&gt;"",'All Cases - Enter Cases'!G898,"")</f>
        <v/>
      </c>
      <c r="I898" t="str">
        <f>IF($A898&lt;&gt;"",'All Cases - Enter Cases'!H898,"")</f>
        <v/>
      </c>
      <c r="J898" t="str">
        <f>IF($A898&lt;&gt;"",'All Cases - Enter Cases'!I898,"")</f>
        <v/>
      </c>
      <c r="K898" t="str">
        <f>IF($A898&lt;&gt;"",'All Cases - Enter Cases'!J898,"")</f>
        <v/>
      </c>
      <c r="L898" s="4" t="str">
        <f>IF($A898&lt;&gt;"",'All Cases - Enter Cases'!K898,"")</f>
        <v/>
      </c>
      <c r="M898" t="str">
        <f>IF($A898&lt;&gt;"",'All Cases - Enter Cases'!L898,"")</f>
        <v/>
      </c>
    </row>
    <row r="899" spans="1:13" x14ac:dyDescent="0.35">
      <c r="A899" s="4" t="str">
        <f>IF('All Cases - Enter Cases'!$K899="Approved",'All Cases - Enter Cases'!A899,"")</f>
        <v/>
      </c>
      <c r="B899" s="4" t="str">
        <f>IF($N899&lt;&gt;"",$N899,IF($A899&lt;&gt;"",'All Cases - Enter Cases'!$L899+7,""))</f>
        <v/>
      </c>
      <c r="C899" t="str">
        <f>IF($A899&lt;&gt;"",'All Cases - Enter Cases'!B899,"")</f>
        <v/>
      </c>
      <c r="D899" t="str">
        <f>IF($A899&lt;&gt;"",'All Cases - Enter Cases'!C899,"")</f>
        <v/>
      </c>
      <c r="E899" t="str">
        <f>IF($A899&lt;&gt;"",'All Cases - Enter Cases'!D899,"")</f>
        <v/>
      </c>
      <c r="F899" s="12" t="str">
        <f>IF($A899&lt;&gt;"",'All Cases - Enter Cases'!E899,"")</f>
        <v/>
      </c>
      <c r="G899" s="12" t="str">
        <f>IF($A899&lt;&gt;"",'All Cases - Enter Cases'!F899,"")</f>
        <v/>
      </c>
      <c r="H899" s="4" t="str">
        <f>IF($A899&lt;&gt;"",'All Cases - Enter Cases'!G899,"")</f>
        <v/>
      </c>
      <c r="I899" t="str">
        <f>IF($A899&lt;&gt;"",'All Cases - Enter Cases'!H899,"")</f>
        <v/>
      </c>
      <c r="J899" t="str">
        <f>IF($A899&lt;&gt;"",'All Cases - Enter Cases'!I899,"")</f>
        <v/>
      </c>
      <c r="K899" t="str">
        <f>IF($A899&lt;&gt;"",'All Cases - Enter Cases'!J899,"")</f>
        <v/>
      </c>
      <c r="L899" s="4" t="str">
        <f>IF($A899&lt;&gt;"",'All Cases - Enter Cases'!K899,"")</f>
        <v/>
      </c>
      <c r="M899" t="str">
        <f>IF($A899&lt;&gt;"",'All Cases - Enter Cases'!L899,"")</f>
        <v/>
      </c>
    </row>
    <row r="900" spans="1:13" x14ac:dyDescent="0.35">
      <c r="A900" s="4" t="str">
        <f>IF('All Cases - Enter Cases'!$K900="Approved",'All Cases - Enter Cases'!A900,"")</f>
        <v/>
      </c>
      <c r="B900" s="4" t="str">
        <f>IF($N900&lt;&gt;"",$N900,IF($A900&lt;&gt;"",'All Cases - Enter Cases'!$L900+7,""))</f>
        <v/>
      </c>
      <c r="C900" t="str">
        <f>IF($A900&lt;&gt;"",'All Cases - Enter Cases'!B900,"")</f>
        <v/>
      </c>
      <c r="D900" t="str">
        <f>IF($A900&lt;&gt;"",'All Cases - Enter Cases'!C900,"")</f>
        <v/>
      </c>
      <c r="E900" t="str">
        <f>IF($A900&lt;&gt;"",'All Cases - Enter Cases'!D900,"")</f>
        <v/>
      </c>
      <c r="F900" s="12" t="str">
        <f>IF($A900&lt;&gt;"",'All Cases - Enter Cases'!E900,"")</f>
        <v/>
      </c>
      <c r="G900" s="12" t="str">
        <f>IF($A900&lt;&gt;"",'All Cases - Enter Cases'!F900,"")</f>
        <v/>
      </c>
      <c r="H900" s="4" t="str">
        <f>IF($A900&lt;&gt;"",'All Cases - Enter Cases'!G900,"")</f>
        <v/>
      </c>
      <c r="I900" t="str">
        <f>IF($A900&lt;&gt;"",'All Cases - Enter Cases'!H900,"")</f>
        <v/>
      </c>
      <c r="J900" t="str">
        <f>IF($A900&lt;&gt;"",'All Cases - Enter Cases'!I900,"")</f>
        <v/>
      </c>
      <c r="K900" t="str">
        <f>IF($A900&lt;&gt;"",'All Cases - Enter Cases'!J900,"")</f>
        <v/>
      </c>
      <c r="L900" s="4" t="str">
        <f>IF($A900&lt;&gt;"",'All Cases - Enter Cases'!K900,"")</f>
        <v/>
      </c>
      <c r="M900" t="str">
        <f>IF($A900&lt;&gt;"",'All Cases - Enter Cases'!L900,"")</f>
        <v/>
      </c>
    </row>
    <row r="901" spans="1:13" x14ac:dyDescent="0.35">
      <c r="A901" s="4" t="str">
        <f>IF('All Cases - Enter Cases'!$K901="Approved",'All Cases - Enter Cases'!A901,"")</f>
        <v/>
      </c>
      <c r="B901" s="4" t="str">
        <f>IF($N901&lt;&gt;"",$N901,IF($A901&lt;&gt;"",'All Cases - Enter Cases'!$L901+7,""))</f>
        <v/>
      </c>
      <c r="C901" t="str">
        <f>IF($A901&lt;&gt;"",'All Cases - Enter Cases'!B901,"")</f>
        <v/>
      </c>
      <c r="D901" t="str">
        <f>IF($A901&lt;&gt;"",'All Cases - Enter Cases'!C901,"")</f>
        <v/>
      </c>
      <c r="E901" t="str">
        <f>IF($A901&lt;&gt;"",'All Cases - Enter Cases'!D901,"")</f>
        <v/>
      </c>
      <c r="F901" s="12" t="str">
        <f>IF($A901&lt;&gt;"",'All Cases - Enter Cases'!E901,"")</f>
        <v/>
      </c>
      <c r="G901" s="12" t="str">
        <f>IF($A901&lt;&gt;"",'All Cases - Enter Cases'!F901,"")</f>
        <v/>
      </c>
      <c r="H901" s="4" t="str">
        <f>IF($A901&lt;&gt;"",'All Cases - Enter Cases'!G901,"")</f>
        <v/>
      </c>
      <c r="I901" t="str">
        <f>IF($A901&lt;&gt;"",'All Cases - Enter Cases'!H901,"")</f>
        <v/>
      </c>
      <c r="J901" t="str">
        <f>IF($A901&lt;&gt;"",'All Cases - Enter Cases'!I901,"")</f>
        <v/>
      </c>
      <c r="K901" t="str">
        <f>IF($A901&lt;&gt;"",'All Cases - Enter Cases'!J901,"")</f>
        <v/>
      </c>
      <c r="L901" s="4" t="str">
        <f>IF($A901&lt;&gt;"",'All Cases - Enter Cases'!K901,"")</f>
        <v/>
      </c>
      <c r="M901" t="str">
        <f>IF($A901&lt;&gt;"",'All Cases - Enter Cases'!L901,"")</f>
        <v/>
      </c>
    </row>
    <row r="902" spans="1:13" x14ac:dyDescent="0.35">
      <c r="A902" s="4" t="str">
        <f>IF('All Cases - Enter Cases'!$K902="Approved",'All Cases - Enter Cases'!A902,"")</f>
        <v/>
      </c>
      <c r="B902" s="4" t="str">
        <f>IF($N902&lt;&gt;"",$N902,IF($A902&lt;&gt;"",'All Cases - Enter Cases'!$L902+7,""))</f>
        <v/>
      </c>
      <c r="C902" t="str">
        <f>IF($A902&lt;&gt;"",'All Cases - Enter Cases'!B902,"")</f>
        <v/>
      </c>
      <c r="D902" t="str">
        <f>IF($A902&lt;&gt;"",'All Cases - Enter Cases'!C902,"")</f>
        <v/>
      </c>
      <c r="E902" t="str">
        <f>IF($A902&lt;&gt;"",'All Cases - Enter Cases'!D902,"")</f>
        <v/>
      </c>
      <c r="F902" s="12" t="str">
        <f>IF($A902&lt;&gt;"",'All Cases - Enter Cases'!E902,"")</f>
        <v/>
      </c>
      <c r="G902" s="12" t="str">
        <f>IF($A902&lt;&gt;"",'All Cases - Enter Cases'!F902,"")</f>
        <v/>
      </c>
      <c r="H902" s="4" t="str">
        <f>IF($A902&lt;&gt;"",'All Cases - Enter Cases'!G902,"")</f>
        <v/>
      </c>
      <c r="I902" t="str">
        <f>IF($A902&lt;&gt;"",'All Cases - Enter Cases'!H902,"")</f>
        <v/>
      </c>
      <c r="J902" t="str">
        <f>IF($A902&lt;&gt;"",'All Cases - Enter Cases'!I902,"")</f>
        <v/>
      </c>
      <c r="K902" t="str">
        <f>IF($A902&lt;&gt;"",'All Cases - Enter Cases'!J902,"")</f>
        <v/>
      </c>
      <c r="L902" s="4" t="str">
        <f>IF($A902&lt;&gt;"",'All Cases - Enter Cases'!K902,"")</f>
        <v/>
      </c>
      <c r="M902" t="str">
        <f>IF($A902&lt;&gt;"",'All Cases - Enter Cases'!L902,"")</f>
        <v/>
      </c>
    </row>
    <row r="903" spans="1:13" x14ac:dyDescent="0.35">
      <c r="A903" s="4" t="str">
        <f>IF('All Cases - Enter Cases'!$K903="Approved",'All Cases - Enter Cases'!A903,"")</f>
        <v/>
      </c>
      <c r="B903" s="4" t="str">
        <f>IF($N903&lt;&gt;"",$N903,IF($A903&lt;&gt;"",'All Cases - Enter Cases'!$L903+7,""))</f>
        <v/>
      </c>
      <c r="C903" t="str">
        <f>IF($A903&lt;&gt;"",'All Cases - Enter Cases'!B903,"")</f>
        <v/>
      </c>
      <c r="D903" t="str">
        <f>IF($A903&lt;&gt;"",'All Cases - Enter Cases'!C903,"")</f>
        <v/>
      </c>
      <c r="E903" t="str">
        <f>IF($A903&lt;&gt;"",'All Cases - Enter Cases'!D903,"")</f>
        <v/>
      </c>
      <c r="F903" s="12" t="str">
        <f>IF($A903&lt;&gt;"",'All Cases - Enter Cases'!E903,"")</f>
        <v/>
      </c>
      <c r="G903" s="12" t="str">
        <f>IF($A903&lt;&gt;"",'All Cases - Enter Cases'!F903,"")</f>
        <v/>
      </c>
      <c r="H903" s="4" t="str">
        <f>IF($A903&lt;&gt;"",'All Cases - Enter Cases'!G903,"")</f>
        <v/>
      </c>
      <c r="I903" t="str">
        <f>IF($A903&lt;&gt;"",'All Cases - Enter Cases'!H903,"")</f>
        <v/>
      </c>
      <c r="J903" t="str">
        <f>IF($A903&lt;&gt;"",'All Cases - Enter Cases'!I903,"")</f>
        <v/>
      </c>
      <c r="K903" t="str">
        <f>IF($A903&lt;&gt;"",'All Cases - Enter Cases'!J903,"")</f>
        <v/>
      </c>
      <c r="L903" s="4" t="str">
        <f>IF($A903&lt;&gt;"",'All Cases - Enter Cases'!K903,"")</f>
        <v/>
      </c>
      <c r="M903" t="str">
        <f>IF($A903&lt;&gt;"",'All Cases - Enter Cases'!L903,"")</f>
        <v/>
      </c>
    </row>
    <row r="904" spans="1:13" x14ac:dyDescent="0.35">
      <c r="A904" s="4" t="str">
        <f>IF('All Cases - Enter Cases'!$K904="Approved",'All Cases - Enter Cases'!A904,"")</f>
        <v/>
      </c>
      <c r="B904" s="4" t="str">
        <f>IF($N904&lt;&gt;"",$N904,IF($A904&lt;&gt;"",'All Cases - Enter Cases'!$L904+7,""))</f>
        <v/>
      </c>
      <c r="C904" t="str">
        <f>IF($A904&lt;&gt;"",'All Cases - Enter Cases'!B904,"")</f>
        <v/>
      </c>
      <c r="D904" t="str">
        <f>IF($A904&lt;&gt;"",'All Cases - Enter Cases'!C904,"")</f>
        <v/>
      </c>
      <c r="E904" t="str">
        <f>IF($A904&lt;&gt;"",'All Cases - Enter Cases'!D904,"")</f>
        <v/>
      </c>
      <c r="F904" s="12" t="str">
        <f>IF($A904&lt;&gt;"",'All Cases - Enter Cases'!E904,"")</f>
        <v/>
      </c>
      <c r="G904" s="12" t="str">
        <f>IF($A904&lt;&gt;"",'All Cases - Enter Cases'!F904,"")</f>
        <v/>
      </c>
      <c r="H904" s="4" t="str">
        <f>IF($A904&lt;&gt;"",'All Cases - Enter Cases'!G904,"")</f>
        <v/>
      </c>
      <c r="I904" t="str">
        <f>IF($A904&lt;&gt;"",'All Cases - Enter Cases'!H904,"")</f>
        <v/>
      </c>
      <c r="J904" t="str">
        <f>IF($A904&lt;&gt;"",'All Cases - Enter Cases'!I904,"")</f>
        <v/>
      </c>
      <c r="K904" t="str">
        <f>IF($A904&lt;&gt;"",'All Cases - Enter Cases'!J904,"")</f>
        <v/>
      </c>
      <c r="L904" s="4" t="str">
        <f>IF($A904&lt;&gt;"",'All Cases - Enter Cases'!K904,"")</f>
        <v/>
      </c>
      <c r="M904" t="str">
        <f>IF($A904&lt;&gt;"",'All Cases - Enter Cases'!L904,"")</f>
        <v/>
      </c>
    </row>
    <row r="905" spans="1:13" x14ac:dyDescent="0.35">
      <c r="A905" s="4" t="str">
        <f>IF('All Cases - Enter Cases'!$K905="Approved",'All Cases - Enter Cases'!A905,"")</f>
        <v/>
      </c>
      <c r="B905" s="4" t="str">
        <f>IF($N905&lt;&gt;"",$N905,IF($A905&lt;&gt;"",'All Cases - Enter Cases'!$L905+7,""))</f>
        <v/>
      </c>
      <c r="C905" t="str">
        <f>IF($A905&lt;&gt;"",'All Cases - Enter Cases'!B905,"")</f>
        <v/>
      </c>
      <c r="D905" t="str">
        <f>IF($A905&lt;&gt;"",'All Cases - Enter Cases'!C905,"")</f>
        <v/>
      </c>
      <c r="E905" t="str">
        <f>IF($A905&lt;&gt;"",'All Cases - Enter Cases'!D905,"")</f>
        <v/>
      </c>
      <c r="F905" s="12" t="str">
        <f>IF($A905&lt;&gt;"",'All Cases - Enter Cases'!E905,"")</f>
        <v/>
      </c>
      <c r="G905" s="12" t="str">
        <f>IF($A905&lt;&gt;"",'All Cases - Enter Cases'!F905,"")</f>
        <v/>
      </c>
      <c r="H905" s="4" t="str">
        <f>IF($A905&lt;&gt;"",'All Cases - Enter Cases'!G905,"")</f>
        <v/>
      </c>
      <c r="I905" t="str">
        <f>IF($A905&lt;&gt;"",'All Cases - Enter Cases'!H905,"")</f>
        <v/>
      </c>
      <c r="J905" t="str">
        <f>IF($A905&lt;&gt;"",'All Cases - Enter Cases'!I905,"")</f>
        <v/>
      </c>
      <c r="K905" t="str">
        <f>IF($A905&lt;&gt;"",'All Cases - Enter Cases'!J905,"")</f>
        <v/>
      </c>
      <c r="L905" s="4" t="str">
        <f>IF($A905&lt;&gt;"",'All Cases - Enter Cases'!K905,"")</f>
        <v/>
      </c>
      <c r="M905" t="str">
        <f>IF($A905&lt;&gt;"",'All Cases - Enter Cases'!L905,"")</f>
        <v/>
      </c>
    </row>
    <row r="906" spans="1:13" x14ac:dyDescent="0.35">
      <c r="A906" s="4" t="str">
        <f>IF('All Cases - Enter Cases'!$K906="Approved",'All Cases - Enter Cases'!A906,"")</f>
        <v/>
      </c>
      <c r="B906" s="4" t="str">
        <f>IF($N906&lt;&gt;"",$N906,IF($A906&lt;&gt;"",'All Cases - Enter Cases'!$L906+7,""))</f>
        <v/>
      </c>
      <c r="C906" t="str">
        <f>IF($A906&lt;&gt;"",'All Cases - Enter Cases'!B906,"")</f>
        <v/>
      </c>
      <c r="D906" t="str">
        <f>IF($A906&lt;&gt;"",'All Cases - Enter Cases'!C906,"")</f>
        <v/>
      </c>
      <c r="E906" t="str">
        <f>IF($A906&lt;&gt;"",'All Cases - Enter Cases'!D906,"")</f>
        <v/>
      </c>
      <c r="F906" s="12" t="str">
        <f>IF($A906&lt;&gt;"",'All Cases - Enter Cases'!E906,"")</f>
        <v/>
      </c>
      <c r="G906" s="12" t="str">
        <f>IF($A906&lt;&gt;"",'All Cases - Enter Cases'!F906,"")</f>
        <v/>
      </c>
      <c r="H906" s="4" t="str">
        <f>IF($A906&lt;&gt;"",'All Cases - Enter Cases'!G906,"")</f>
        <v/>
      </c>
      <c r="I906" t="str">
        <f>IF($A906&lt;&gt;"",'All Cases - Enter Cases'!H906,"")</f>
        <v/>
      </c>
      <c r="J906" t="str">
        <f>IF($A906&lt;&gt;"",'All Cases - Enter Cases'!I906,"")</f>
        <v/>
      </c>
      <c r="K906" t="str">
        <f>IF($A906&lt;&gt;"",'All Cases - Enter Cases'!J906,"")</f>
        <v/>
      </c>
      <c r="L906" s="4" t="str">
        <f>IF($A906&lt;&gt;"",'All Cases - Enter Cases'!K906,"")</f>
        <v/>
      </c>
      <c r="M906" t="str">
        <f>IF($A906&lt;&gt;"",'All Cases - Enter Cases'!L906,"")</f>
        <v/>
      </c>
    </row>
    <row r="907" spans="1:13" x14ac:dyDescent="0.35">
      <c r="A907" s="4" t="str">
        <f>IF('All Cases - Enter Cases'!$K907="Approved",'All Cases - Enter Cases'!A907,"")</f>
        <v/>
      </c>
      <c r="B907" s="4" t="str">
        <f>IF($N907&lt;&gt;"",$N907,IF($A907&lt;&gt;"",'All Cases - Enter Cases'!$L907+7,""))</f>
        <v/>
      </c>
      <c r="C907" t="str">
        <f>IF($A907&lt;&gt;"",'All Cases - Enter Cases'!B907,"")</f>
        <v/>
      </c>
      <c r="D907" t="str">
        <f>IF($A907&lt;&gt;"",'All Cases - Enter Cases'!C907,"")</f>
        <v/>
      </c>
      <c r="E907" t="str">
        <f>IF($A907&lt;&gt;"",'All Cases - Enter Cases'!D907,"")</f>
        <v/>
      </c>
      <c r="F907" s="12" t="str">
        <f>IF($A907&lt;&gt;"",'All Cases - Enter Cases'!E907,"")</f>
        <v/>
      </c>
      <c r="G907" s="12" t="str">
        <f>IF($A907&lt;&gt;"",'All Cases - Enter Cases'!F907,"")</f>
        <v/>
      </c>
      <c r="H907" s="4" t="str">
        <f>IF($A907&lt;&gt;"",'All Cases - Enter Cases'!G907,"")</f>
        <v/>
      </c>
      <c r="I907" t="str">
        <f>IF($A907&lt;&gt;"",'All Cases - Enter Cases'!H907,"")</f>
        <v/>
      </c>
      <c r="J907" t="str">
        <f>IF($A907&lt;&gt;"",'All Cases - Enter Cases'!I907,"")</f>
        <v/>
      </c>
      <c r="K907" t="str">
        <f>IF($A907&lt;&gt;"",'All Cases - Enter Cases'!J907,"")</f>
        <v/>
      </c>
      <c r="L907" s="4" t="str">
        <f>IF($A907&lt;&gt;"",'All Cases - Enter Cases'!K907,"")</f>
        <v/>
      </c>
      <c r="M907" t="str">
        <f>IF($A907&lt;&gt;"",'All Cases - Enter Cases'!L907,"")</f>
        <v/>
      </c>
    </row>
    <row r="908" spans="1:13" x14ac:dyDescent="0.35">
      <c r="A908" s="4" t="str">
        <f>IF('All Cases - Enter Cases'!$K908="Approved",'All Cases - Enter Cases'!A908,"")</f>
        <v/>
      </c>
      <c r="B908" s="4" t="str">
        <f>IF($N908&lt;&gt;"",$N908,IF($A908&lt;&gt;"",'All Cases - Enter Cases'!$L908+7,""))</f>
        <v/>
      </c>
      <c r="C908" t="str">
        <f>IF($A908&lt;&gt;"",'All Cases - Enter Cases'!B908,"")</f>
        <v/>
      </c>
      <c r="D908" t="str">
        <f>IF($A908&lt;&gt;"",'All Cases - Enter Cases'!C908,"")</f>
        <v/>
      </c>
      <c r="E908" t="str">
        <f>IF($A908&lt;&gt;"",'All Cases - Enter Cases'!D908,"")</f>
        <v/>
      </c>
      <c r="F908" s="12" t="str">
        <f>IF($A908&lt;&gt;"",'All Cases - Enter Cases'!E908,"")</f>
        <v/>
      </c>
      <c r="G908" s="12" t="str">
        <f>IF($A908&lt;&gt;"",'All Cases - Enter Cases'!F908,"")</f>
        <v/>
      </c>
      <c r="H908" s="4" t="str">
        <f>IF($A908&lt;&gt;"",'All Cases - Enter Cases'!G908,"")</f>
        <v/>
      </c>
      <c r="I908" t="str">
        <f>IF($A908&lt;&gt;"",'All Cases - Enter Cases'!H908,"")</f>
        <v/>
      </c>
      <c r="J908" t="str">
        <f>IF($A908&lt;&gt;"",'All Cases - Enter Cases'!I908,"")</f>
        <v/>
      </c>
      <c r="K908" t="str">
        <f>IF($A908&lt;&gt;"",'All Cases - Enter Cases'!J908,"")</f>
        <v/>
      </c>
      <c r="L908" s="4" t="str">
        <f>IF($A908&lt;&gt;"",'All Cases - Enter Cases'!K908,"")</f>
        <v/>
      </c>
      <c r="M908" t="str">
        <f>IF($A908&lt;&gt;"",'All Cases - Enter Cases'!L908,"")</f>
        <v/>
      </c>
    </row>
    <row r="909" spans="1:13" x14ac:dyDescent="0.35">
      <c r="A909" s="4" t="str">
        <f>IF('All Cases - Enter Cases'!$K909="Approved",'All Cases - Enter Cases'!A909,"")</f>
        <v/>
      </c>
      <c r="B909" s="4" t="str">
        <f>IF($N909&lt;&gt;"",$N909,IF($A909&lt;&gt;"",'All Cases - Enter Cases'!$L909+7,""))</f>
        <v/>
      </c>
      <c r="C909" t="str">
        <f>IF($A909&lt;&gt;"",'All Cases - Enter Cases'!B909,"")</f>
        <v/>
      </c>
      <c r="D909" t="str">
        <f>IF($A909&lt;&gt;"",'All Cases - Enter Cases'!C909,"")</f>
        <v/>
      </c>
      <c r="E909" t="str">
        <f>IF($A909&lt;&gt;"",'All Cases - Enter Cases'!D909,"")</f>
        <v/>
      </c>
      <c r="F909" s="12" t="str">
        <f>IF($A909&lt;&gt;"",'All Cases - Enter Cases'!E909,"")</f>
        <v/>
      </c>
      <c r="G909" s="12" t="str">
        <f>IF($A909&lt;&gt;"",'All Cases - Enter Cases'!F909,"")</f>
        <v/>
      </c>
      <c r="H909" s="4" t="str">
        <f>IF($A909&lt;&gt;"",'All Cases - Enter Cases'!G909,"")</f>
        <v/>
      </c>
      <c r="I909" t="str">
        <f>IF($A909&lt;&gt;"",'All Cases - Enter Cases'!H909,"")</f>
        <v/>
      </c>
      <c r="J909" t="str">
        <f>IF($A909&lt;&gt;"",'All Cases - Enter Cases'!I909,"")</f>
        <v/>
      </c>
      <c r="K909" t="str">
        <f>IF($A909&lt;&gt;"",'All Cases - Enter Cases'!J909,"")</f>
        <v/>
      </c>
      <c r="L909" s="4" t="str">
        <f>IF($A909&lt;&gt;"",'All Cases - Enter Cases'!K909,"")</f>
        <v/>
      </c>
      <c r="M909" t="str">
        <f>IF($A909&lt;&gt;"",'All Cases - Enter Cases'!L909,"")</f>
        <v/>
      </c>
    </row>
    <row r="910" spans="1:13" x14ac:dyDescent="0.35">
      <c r="A910" s="4" t="str">
        <f>IF('All Cases - Enter Cases'!$K910="Approved",'All Cases - Enter Cases'!A910,"")</f>
        <v/>
      </c>
      <c r="B910" s="4" t="str">
        <f>IF($N910&lt;&gt;"",$N910,IF($A910&lt;&gt;"",'All Cases - Enter Cases'!$L910+7,""))</f>
        <v/>
      </c>
      <c r="C910" t="str">
        <f>IF($A910&lt;&gt;"",'All Cases - Enter Cases'!B910,"")</f>
        <v/>
      </c>
      <c r="D910" t="str">
        <f>IF($A910&lt;&gt;"",'All Cases - Enter Cases'!C910,"")</f>
        <v/>
      </c>
      <c r="E910" t="str">
        <f>IF($A910&lt;&gt;"",'All Cases - Enter Cases'!D910,"")</f>
        <v/>
      </c>
      <c r="F910" s="12" t="str">
        <f>IF($A910&lt;&gt;"",'All Cases - Enter Cases'!E910,"")</f>
        <v/>
      </c>
      <c r="G910" s="12" t="str">
        <f>IF($A910&lt;&gt;"",'All Cases - Enter Cases'!F910,"")</f>
        <v/>
      </c>
      <c r="H910" s="4" t="str">
        <f>IF($A910&lt;&gt;"",'All Cases - Enter Cases'!G910,"")</f>
        <v/>
      </c>
      <c r="I910" t="str">
        <f>IF($A910&lt;&gt;"",'All Cases - Enter Cases'!H910,"")</f>
        <v/>
      </c>
      <c r="J910" t="str">
        <f>IF($A910&lt;&gt;"",'All Cases - Enter Cases'!I910,"")</f>
        <v/>
      </c>
      <c r="K910" t="str">
        <f>IF($A910&lt;&gt;"",'All Cases - Enter Cases'!J910,"")</f>
        <v/>
      </c>
      <c r="L910" s="4" t="str">
        <f>IF($A910&lt;&gt;"",'All Cases - Enter Cases'!K910,"")</f>
        <v/>
      </c>
      <c r="M910" t="str">
        <f>IF($A910&lt;&gt;"",'All Cases - Enter Cases'!L910,"")</f>
        <v/>
      </c>
    </row>
    <row r="911" spans="1:13" x14ac:dyDescent="0.35">
      <c r="A911" s="4" t="str">
        <f>IF('All Cases - Enter Cases'!$K911="Approved",'All Cases - Enter Cases'!A911,"")</f>
        <v/>
      </c>
      <c r="B911" s="4" t="str">
        <f>IF($N911&lt;&gt;"",$N911,IF($A911&lt;&gt;"",'All Cases - Enter Cases'!$L911+7,""))</f>
        <v/>
      </c>
      <c r="C911" t="str">
        <f>IF($A911&lt;&gt;"",'All Cases - Enter Cases'!B911,"")</f>
        <v/>
      </c>
      <c r="D911" t="str">
        <f>IF($A911&lt;&gt;"",'All Cases - Enter Cases'!C911,"")</f>
        <v/>
      </c>
      <c r="E911" t="str">
        <f>IF($A911&lt;&gt;"",'All Cases - Enter Cases'!D911,"")</f>
        <v/>
      </c>
      <c r="F911" s="12" t="str">
        <f>IF($A911&lt;&gt;"",'All Cases - Enter Cases'!E911,"")</f>
        <v/>
      </c>
      <c r="G911" s="12" t="str">
        <f>IF($A911&lt;&gt;"",'All Cases - Enter Cases'!F911,"")</f>
        <v/>
      </c>
      <c r="H911" s="4" t="str">
        <f>IF($A911&lt;&gt;"",'All Cases - Enter Cases'!G911,"")</f>
        <v/>
      </c>
      <c r="I911" t="str">
        <f>IF($A911&lt;&gt;"",'All Cases - Enter Cases'!H911,"")</f>
        <v/>
      </c>
      <c r="J911" t="str">
        <f>IF($A911&lt;&gt;"",'All Cases - Enter Cases'!I911,"")</f>
        <v/>
      </c>
      <c r="K911" t="str">
        <f>IF($A911&lt;&gt;"",'All Cases - Enter Cases'!J911,"")</f>
        <v/>
      </c>
      <c r="L911" s="4" t="str">
        <f>IF($A911&lt;&gt;"",'All Cases - Enter Cases'!K911,"")</f>
        <v/>
      </c>
      <c r="M911" t="str">
        <f>IF($A911&lt;&gt;"",'All Cases - Enter Cases'!L911,"")</f>
        <v/>
      </c>
    </row>
    <row r="912" spans="1:13" x14ac:dyDescent="0.35">
      <c r="A912" s="4" t="str">
        <f>IF('All Cases - Enter Cases'!$K912="Approved",'All Cases - Enter Cases'!A912,"")</f>
        <v/>
      </c>
      <c r="B912" s="4" t="str">
        <f>IF($N912&lt;&gt;"",$N912,IF($A912&lt;&gt;"",'All Cases - Enter Cases'!$L912+7,""))</f>
        <v/>
      </c>
      <c r="C912" t="str">
        <f>IF($A912&lt;&gt;"",'All Cases - Enter Cases'!B912,"")</f>
        <v/>
      </c>
      <c r="D912" t="str">
        <f>IF($A912&lt;&gt;"",'All Cases - Enter Cases'!C912,"")</f>
        <v/>
      </c>
      <c r="E912" t="str">
        <f>IF($A912&lt;&gt;"",'All Cases - Enter Cases'!D912,"")</f>
        <v/>
      </c>
      <c r="F912" s="12" t="str">
        <f>IF($A912&lt;&gt;"",'All Cases - Enter Cases'!E912,"")</f>
        <v/>
      </c>
      <c r="G912" s="12" t="str">
        <f>IF($A912&lt;&gt;"",'All Cases - Enter Cases'!F912,"")</f>
        <v/>
      </c>
      <c r="H912" s="4" t="str">
        <f>IF($A912&lt;&gt;"",'All Cases - Enter Cases'!G912,"")</f>
        <v/>
      </c>
      <c r="I912" t="str">
        <f>IF($A912&lt;&gt;"",'All Cases - Enter Cases'!H912,"")</f>
        <v/>
      </c>
      <c r="J912" t="str">
        <f>IF($A912&lt;&gt;"",'All Cases - Enter Cases'!I912,"")</f>
        <v/>
      </c>
      <c r="K912" t="str">
        <f>IF($A912&lt;&gt;"",'All Cases - Enter Cases'!J912,"")</f>
        <v/>
      </c>
      <c r="L912" s="4" t="str">
        <f>IF($A912&lt;&gt;"",'All Cases - Enter Cases'!K912,"")</f>
        <v/>
      </c>
      <c r="M912" t="str">
        <f>IF($A912&lt;&gt;"",'All Cases - Enter Cases'!L912,"")</f>
        <v/>
      </c>
    </row>
    <row r="913" spans="1:13" x14ac:dyDescent="0.35">
      <c r="A913" s="4" t="str">
        <f>IF('All Cases - Enter Cases'!$K913="Approved",'All Cases - Enter Cases'!A913,"")</f>
        <v/>
      </c>
      <c r="B913" s="4" t="str">
        <f>IF($N913&lt;&gt;"",$N913,IF($A913&lt;&gt;"",'All Cases - Enter Cases'!$L913+7,""))</f>
        <v/>
      </c>
      <c r="C913" t="str">
        <f>IF($A913&lt;&gt;"",'All Cases - Enter Cases'!B913,"")</f>
        <v/>
      </c>
      <c r="D913" t="str">
        <f>IF($A913&lt;&gt;"",'All Cases - Enter Cases'!C913,"")</f>
        <v/>
      </c>
      <c r="E913" t="str">
        <f>IF($A913&lt;&gt;"",'All Cases - Enter Cases'!D913,"")</f>
        <v/>
      </c>
      <c r="F913" s="12" t="str">
        <f>IF($A913&lt;&gt;"",'All Cases - Enter Cases'!E913,"")</f>
        <v/>
      </c>
      <c r="G913" s="12" t="str">
        <f>IF($A913&lt;&gt;"",'All Cases - Enter Cases'!F913,"")</f>
        <v/>
      </c>
      <c r="H913" s="4" t="str">
        <f>IF($A913&lt;&gt;"",'All Cases - Enter Cases'!G913,"")</f>
        <v/>
      </c>
      <c r="I913" t="str">
        <f>IF($A913&lt;&gt;"",'All Cases - Enter Cases'!H913,"")</f>
        <v/>
      </c>
      <c r="J913" t="str">
        <f>IF($A913&lt;&gt;"",'All Cases - Enter Cases'!I913,"")</f>
        <v/>
      </c>
      <c r="K913" t="str">
        <f>IF($A913&lt;&gt;"",'All Cases - Enter Cases'!J913,"")</f>
        <v/>
      </c>
      <c r="L913" s="4" t="str">
        <f>IF($A913&lt;&gt;"",'All Cases - Enter Cases'!K913,"")</f>
        <v/>
      </c>
      <c r="M913" t="str">
        <f>IF($A913&lt;&gt;"",'All Cases - Enter Cases'!L913,"")</f>
        <v/>
      </c>
    </row>
    <row r="914" spans="1:13" x14ac:dyDescent="0.35">
      <c r="A914" s="4" t="str">
        <f>IF('All Cases - Enter Cases'!$K914="Approved",'All Cases - Enter Cases'!A914,"")</f>
        <v/>
      </c>
      <c r="B914" s="4" t="str">
        <f>IF($N914&lt;&gt;"",$N914,IF($A914&lt;&gt;"",'All Cases - Enter Cases'!$L914+7,""))</f>
        <v/>
      </c>
      <c r="C914" t="str">
        <f>IF($A914&lt;&gt;"",'All Cases - Enter Cases'!B914,"")</f>
        <v/>
      </c>
      <c r="D914" t="str">
        <f>IF($A914&lt;&gt;"",'All Cases - Enter Cases'!C914,"")</f>
        <v/>
      </c>
      <c r="E914" t="str">
        <f>IF($A914&lt;&gt;"",'All Cases - Enter Cases'!D914,"")</f>
        <v/>
      </c>
      <c r="F914" s="12" t="str">
        <f>IF($A914&lt;&gt;"",'All Cases - Enter Cases'!E914,"")</f>
        <v/>
      </c>
      <c r="G914" s="12" t="str">
        <f>IF($A914&lt;&gt;"",'All Cases - Enter Cases'!F914,"")</f>
        <v/>
      </c>
      <c r="H914" s="4" t="str">
        <f>IF($A914&lt;&gt;"",'All Cases - Enter Cases'!G914,"")</f>
        <v/>
      </c>
      <c r="I914" t="str">
        <f>IF($A914&lt;&gt;"",'All Cases - Enter Cases'!H914,"")</f>
        <v/>
      </c>
      <c r="J914" t="str">
        <f>IF($A914&lt;&gt;"",'All Cases - Enter Cases'!I914,"")</f>
        <v/>
      </c>
      <c r="K914" t="str">
        <f>IF($A914&lt;&gt;"",'All Cases - Enter Cases'!J914,"")</f>
        <v/>
      </c>
      <c r="L914" s="4" t="str">
        <f>IF($A914&lt;&gt;"",'All Cases - Enter Cases'!K914,"")</f>
        <v/>
      </c>
      <c r="M914" t="str">
        <f>IF($A914&lt;&gt;"",'All Cases - Enter Cases'!L914,"")</f>
        <v/>
      </c>
    </row>
    <row r="915" spans="1:13" x14ac:dyDescent="0.35">
      <c r="A915" s="4" t="str">
        <f>IF('All Cases - Enter Cases'!$K915="Approved",'All Cases - Enter Cases'!A915,"")</f>
        <v/>
      </c>
      <c r="B915" s="4" t="str">
        <f>IF($N915&lt;&gt;"",$N915,IF($A915&lt;&gt;"",'All Cases - Enter Cases'!$L915+7,""))</f>
        <v/>
      </c>
      <c r="C915" t="str">
        <f>IF($A915&lt;&gt;"",'All Cases - Enter Cases'!B915,"")</f>
        <v/>
      </c>
      <c r="D915" t="str">
        <f>IF($A915&lt;&gt;"",'All Cases - Enter Cases'!C915,"")</f>
        <v/>
      </c>
      <c r="E915" t="str">
        <f>IF($A915&lt;&gt;"",'All Cases - Enter Cases'!D915,"")</f>
        <v/>
      </c>
      <c r="F915" s="12" t="str">
        <f>IF($A915&lt;&gt;"",'All Cases - Enter Cases'!E915,"")</f>
        <v/>
      </c>
      <c r="G915" s="12" t="str">
        <f>IF($A915&lt;&gt;"",'All Cases - Enter Cases'!F915,"")</f>
        <v/>
      </c>
      <c r="H915" s="4" t="str">
        <f>IF($A915&lt;&gt;"",'All Cases - Enter Cases'!G915,"")</f>
        <v/>
      </c>
      <c r="I915" t="str">
        <f>IF($A915&lt;&gt;"",'All Cases - Enter Cases'!H915,"")</f>
        <v/>
      </c>
      <c r="J915" t="str">
        <f>IF($A915&lt;&gt;"",'All Cases - Enter Cases'!I915,"")</f>
        <v/>
      </c>
      <c r="K915" t="str">
        <f>IF($A915&lt;&gt;"",'All Cases - Enter Cases'!J915,"")</f>
        <v/>
      </c>
      <c r="L915" s="4" t="str">
        <f>IF($A915&lt;&gt;"",'All Cases - Enter Cases'!K915,"")</f>
        <v/>
      </c>
      <c r="M915" t="str">
        <f>IF($A915&lt;&gt;"",'All Cases - Enter Cases'!L915,"")</f>
        <v/>
      </c>
    </row>
    <row r="916" spans="1:13" x14ac:dyDescent="0.35">
      <c r="A916" s="4" t="str">
        <f>IF('All Cases - Enter Cases'!$K916="Approved",'All Cases - Enter Cases'!A916,"")</f>
        <v/>
      </c>
      <c r="B916" s="4" t="str">
        <f>IF($N916&lt;&gt;"",$N916,IF($A916&lt;&gt;"",'All Cases - Enter Cases'!$L916+7,""))</f>
        <v/>
      </c>
      <c r="C916" t="str">
        <f>IF($A916&lt;&gt;"",'All Cases - Enter Cases'!B916,"")</f>
        <v/>
      </c>
      <c r="D916" t="str">
        <f>IF($A916&lt;&gt;"",'All Cases - Enter Cases'!C916,"")</f>
        <v/>
      </c>
      <c r="E916" t="str">
        <f>IF($A916&lt;&gt;"",'All Cases - Enter Cases'!D916,"")</f>
        <v/>
      </c>
      <c r="F916" s="12" t="str">
        <f>IF($A916&lt;&gt;"",'All Cases - Enter Cases'!E916,"")</f>
        <v/>
      </c>
      <c r="G916" s="12" t="str">
        <f>IF($A916&lt;&gt;"",'All Cases - Enter Cases'!F916,"")</f>
        <v/>
      </c>
      <c r="H916" s="4" t="str">
        <f>IF($A916&lt;&gt;"",'All Cases - Enter Cases'!G916,"")</f>
        <v/>
      </c>
      <c r="I916" t="str">
        <f>IF($A916&lt;&gt;"",'All Cases - Enter Cases'!H916,"")</f>
        <v/>
      </c>
      <c r="J916" t="str">
        <f>IF($A916&lt;&gt;"",'All Cases - Enter Cases'!I916,"")</f>
        <v/>
      </c>
      <c r="K916" t="str">
        <f>IF($A916&lt;&gt;"",'All Cases - Enter Cases'!J916,"")</f>
        <v/>
      </c>
      <c r="L916" s="4" t="str">
        <f>IF($A916&lt;&gt;"",'All Cases - Enter Cases'!K916,"")</f>
        <v/>
      </c>
      <c r="M916" t="str">
        <f>IF($A916&lt;&gt;"",'All Cases - Enter Cases'!L916,"")</f>
        <v/>
      </c>
    </row>
    <row r="917" spans="1:13" x14ac:dyDescent="0.35">
      <c r="A917" s="4" t="str">
        <f>IF('All Cases - Enter Cases'!$K917="Approved",'All Cases - Enter Cases'!A917,"")</f>
        <v/>
      </c>
      <c r="B917" s="4" t="str">
        <f>IF($N917&lt;&gt;"",$N917,IF($A917&lt;&gt;"",'All Cases - Enter Cases'!$L917+7,""))</f>
        <v/>
      </c>
      <c r="C917" t="str">
        <f>IF($A917&lt;&gt;"",'All Cases - Enter Cases'!B917,"")</f>
        <v/>
      </c>
      <c r="D917" t="str">
        <f>IF($A917&lt;&gt;"",'All Cases - Enter Cases'!C917,"")</f>
        <v/>
      </c>
      <c r="E917" t="str">
        <f>IF($A917&lt;&gt;"",'All Cases - Enter Cases'!D917,"")</f>
        <v/>
      </c>
      <c r="F917" s="12" t="str">
        <f>IF($A917&lt;&gt;"",'All Cases - Enter Cases'!E917,"")</f>
        <v/>
      </c>
      <c r="G917" s="12" t="str">
        <f>IF($A917&lt;&gt;"",'All Cases - Enter Cases'!F917,"")</f>
        <v/>
      </c>
      <c r="H917" s="4" t="str">
        <f>IF($A917&lt;&gt;"",'All Cases - Enter Cases'!G917,"")</f>
        <v/>
      </c>
      <c r="I917" t="str">
        <f>IF($A917&lt;&gt;"",'All Cases - Enter Cases'!H917,"")</f>
        <v/>
      </c>
      <c r="J917" t="str">
        <f>IF($A917&lt;&gt;"",'All Cases - Enter Cases'!I917,"")</f>
        <v/>
      </c>
      <c r="K917" t="str">
        <f>IF($A917&lt;&gt;"",'All Cases - Enter Cases'!J917,"")</f>
        <v/>
      </c>
      <c r="L917" s="4" t="str">
        <f>IF($A917&lt;&gt;"",'All Cases - Enter Cases'!K917,"")</f>
        <v/>
      </c>
      <c r="M917" t="str">
        <f>IF($A917&lt;&gt;"",'All Cases - Enter Cases'!L917,"")</f>
        <v/>
      </c>
    </row>
    <row r="918" spans="1:13" x14ac:dyDescent="0.35">
      <c r="A918" s="4" t="str">
        <f>IF('All Cases - Enter Cases'!$K918="Approved",'All Cases - Enter Cases'!A918,"")</f>
        <v/>
      </c>
      <c r="B918" s="4" t="str">
        <f>IF($N918&lt;&gt;"",$N918,IF($A918&lt;&gt;"",'All Cases - Enter Cases'!$L918+7,""))</f>
        <v/>
      </c>
      <c r="C918" t="str">
        <f>IF($A918&lt;&gt;"",'All Cases - Enter Cases'!B918,"")</f>
        <v/>
      </c>
      <c r="D918" t="str">
        <f>IF($A918&lt;&gt;"",'All Cases - Enter Cases'!C918,"")</f>
        <v/>
      </c>
      <c r="E918" t="str">
        <f>IF($A918&lt;&gt;"",'All Cases - Enter Cases'!D918,"")</f>
        <v/>
      </c>
      <c r="F918" s="12" t="str">
        <f>IF($A918&lt;&gt;"",'All Cases - Enter Cases'!E918,"")</f>
        <v/>
      </c>
      <c r="G918" s="12" t="str">
        <f>IF($A918&lt;&gt;"",'All Cases - Enter Cases'!F918,"")</f>
        <v/>
      </c>
      <c r="H918" s="4" t="str">
        <f>IF($A918&lt;&gt;"",'All Cases - Enter Cases'!G918,"")</f>
        <v/>
      </c>
      <c r="I918" t="str">
        <f>IF($A918&lt;&gt;"",'All Cases - Enter Cases'!H918,"")</f>
        <v/>
      </c>
      <c r="J918" t="str">
        <f>IF($A918&lt;&gt;"",'All Cases - Enter Cases'!I918,"")</f>
        <v/>
      </c>
      <c r="K918" t="str">
        <f>IF($A918&lt;&gt;"",'All Cases - Enter Cases'!J918,"")</f>
        <v/>
      </c>
      <c r="L918" s="4" t="str">
        <f>IF($A918&lt;&gt;"",'All Cases - Enter Cases'!K918,"")</f>
        <v/>
      </c>
      <c r="M918" t="str">
        <f>IF($A918&lt;&gt;"",'All Cases - Enter Cases'!L918,"")</f>
        <v/>
      </c>
    </row>
    <row r="919" spans="1:13" x14ac:dyDescent="0.35">
      <c r="A919" s="4" t="str">
        <f>IF('All Cases - Enter Cases'!$K919="Approved",'All Cases - Enter Cases'!A919,"")</f>
        <v/>
      </c>
      <c r="B919" s="4" t="str">
        <f>IF($N919&lt;&gt;"",$N919,IF($A919&lt;&gt;"",'All Cases - Enter Cases'!$L919+7,""))</f>
        <v/>
      </c>
      <c r="C919" t="str">
        <f>IF($A919&lt;&gt;"",'All Cases - Enter Cases'!B919,"")</f>
        <v/>
      </c>
      <c r="D919" t="str">
        <f>IF($A919&lt;&gt;"",'All Cases - Enter Cases'!C919,"")</f>
        <v/>
      </c>
      <c r="E919" t="str">
        <f>IF($A919&lt;&gt;"",'All Cases - Enter Cases'!D919,"")</f>
        <v/>
      </c>
      <c r="F919" s="12" t="str">
        <f>IF($A919&lt;&gt;"",'All Cases - Enter Cases'!E919,"")</f>
        <v/>
      </c>
      <c r="G919" s="12" t="str">
        <f>IF($A919&lt;&gt;"",'All Cases - Enter Cases'!F919,"")</f>
        <v/>
      </c>
      <c r="H919" s="4" t="str">
        <f>IF($A919&lt;&gt;"",'All Cases - Enter Cases'!G919,"")</f>
        <v/>
      </c>
      <c r="I919" t="str">
        <f>IF($A919&lt;&gt;"",'All Cases - Enter Cases'!H919,"")</f>
        <v/>
      </c>
      <c r="J919" t="str">
        <f>IF($A919&lt;&gt;"",'All Cases - Enter Cases'!I919,"")</f>
        <v/>
      </c>
      <c r="K919" t="str">
        <f>IF($A919&lt;&gt;"",'All Cases - Enter Cases'!J919,"")</f>
        <v/>
      </c>
      <c r="L919" s="4" t="str">
        <f>IF($A919&lt;&gt;"",'All Cases - Enter Cases'!K919,"")</f>
        <v/>
      </c>
      <c r="M919" t="str">
        <f>IF($A919&lt;&gt;"",'All Cases - Enter Cases'!L919,"")</f>
        <v/>
      </c>
    </row>
    <row r="920" spans="1:13" x14ac:dyDescent="0.35">
      <c r="A920" s="4" t="str">
        <f>IF('All Cases - Enter Cases'!$K920="Approved",'All Cases - Enter Cases'!A920,"")</f>
        <v/>
      </c>
      <c r="B920" s="4" t="str">
        <f>IF($N920&lt;&gt;"",$N920,IF($A920&lt;&gt;"",'All Cases - Enter Cases'!$L920+7,""))</f>
        <v/>
      </c>
      <c r="C920" t="str">
        <f>IF($A920&lt;&gt;"",'All Cases - Enter Cases'!B920,"")</f>
        <v/>
      </c>
      <c r="D920" t="str">
        <f>IF($A920&lt;&gt;"",'All Cases - Enter Cases'!C920,"")</f>
        <v/>
      </c>
      <c r="E920" t="str">
        <f>IF($A920&lt;&gt;"",'All Cases - Enter Cases'!D920,"")</f>
        <v/>
      </c>
      <c r="F920" s="12" t="str">
        <f>IF($A920&lt;&gt;"",'All Cases - Enter Cases'!E920,"")</f>
        <v/>
      </c>
      <c r="G920" s="12" t="str">
        <f>IF($A920&lt;&gt;"",'All Cases - Enter Cases'!F920,"")</f>
        <v/>
      </c>
      <c r="H920" s="4" t="str">
        <f>IF($A920&lt;&gt;"",'All Cases - Enter Cases'!G920,"")</f>
        <v/>
      </c>
      <c r="I920" t="str">
        <f>IF($A920&lt;&gt;"",'All Cases - Enter Cases'!H920,"")</f>
        <v/>
      </c>
      <c r="J920" t="str">
        <f>IF($A920&lt;&gt;"",'All Cases - Enter Cases'!I920,"")</f>
        <v/>
      </c>
      <c r="K920" t="str">
        <f>IF($A920&lt;&gt;"",'All Cases - Enter Cases'!J920,"")</f>
        <v/>
      </c>
      <c r="L920" s="4" t="str">
        <f>IF($A920&lt;&gt;"",'All Cases - Enter Cases'!K920,"")</f>
        <v/>
      </c>
      <c r="M920" t="str">
        <f>IF($A920&lt;&gt;"",'All Cases - Enter Cases'!L920,"")</f>
        <v/>
      </c>
    </row>
    <row r="921" spans="1:13" x14ac:dyDescent="0.35">
      <c r="A921" s="4" t="str">
        <f>IF('All Cases - Enter Cases'!$K921="Approved",'All Cases - Enter Cases'!A921,"")</f>
        <v/>
      </c>
      <c r="B921" s="4" t="str">
        <f>IF($N921&lt;&gt;"",$N921,IF($A921&lt;&gt;"",'All Cases - Enter Cases'!$L921+7,""))</f>
        <v/>
      </c>
      <c r="C921" t="str">
        <f>IF($A921&lt;&gt;"",'All Cases - Enter Cases'!B921,"")</f>
        <v/>
      </c>
      <c r="D921" t="str">
        <f>IF($A921&lt;&gt;"",'All Cases - Enter Cases'!C921,"")</f>
        <v/>
      </c>
      <c r="E921" t="str">
        <f>IF($A921&lt;&gt;"",'All Cases - Enter Cases'!D921,"")</f>
        <v/>
      </c>
      <c r="F921" s="12" t="str">
        <f>IF($A921&lt;&gt;"",'All Cases - Enter Cases'!E921,"")</f>
        <v/>
      </c>
      <c r="G921" s="12" t="str">
        <f>IF($A921&lt;&gt;"",'All Cases - Enter Cases'!F921,"")</f>
        <v/>
      </c>
      <c r="H921" s="4" t="str">
        <f>IF($A921&lt;&gt;"",'All Cases - Enter Cases'!G921,"")</f>
        <v/>
      </c>
      <c r="I921" t="str">
        <f>IF($A921&lt;&gt;"",'All Cases - Enter Cases'!H921,"")</f>
        <v/>
      </c>
      <c r="J921" t="str">
        <f>IF($A921&lt;&gt;"",'All Cases - Enter Cases'!I921,"")</f>
        <v/>
      </c>
      <c r="K921" t="str">
        <f>IF($A921&lt;&gt;"",'All Cases - Enter Cases'!J921,"")</f>
        <v/>
      </c>
      <c r="L921" s="4" t="str">
        <f>IF($A921&lt;&gt;"",'All Cases - Enter Cases'!K921,"")</f>
        <v/>
      </c>
      <c r="M921" t="str">
        <f>IF($A921&lt;&gt;"",'All Cases - Enter Cases'!L921,"")</f>
        <v/>
      </c>
    </row>
    <row r="922" spans="1:13" x14ac:dyDescent="0.35">
      <c r="A922" s="4" t="str">
        <f>IF('All Cases - Enter Cases'!$K922="Approved",'All Cases - Enter Cases'!A922,"")</f>
        <v/>
      </c>
      <c r="B922" s="4" t="str">
        <f>IF($N922&lt;&gt;"",$N922,IF($A922&lt;&gt;"",'All Cases - Enter Cases'!$L922+7,""))</f>
        <v/>
      </c>
      <c r="C922" t="str">
        <f>IF($A922&lt;&gt;"",'All Cases - Enter Cases'!B922,"")</f>
        <v/>
      </c>
      <c r="D922" t="str">
        <f>IF($A922&lt;&gt;"",'All Cases - Enter Cases'!C922,"")</f>
        <v/>
      </c>
      <c r="E922" t="str">
        <f>IF($A922&lt;&gt;"",'All Cases - Enter Cases'!D922,"")</f>
        <v/>
      </c>
      <c r="F922" s="12" t="str">
        <f>IF($A922&lt;&gt;"",'All Cases - Enter Cases'!E922,"")</f>
        <v/>
      </c>
      <c r="G922" s="12" t="str">
        <f>IF($A922&lt;&gt;"",'All Cases - Enter Cases'!F922,"")</f>
        <v/>
      </c>
      <c r="H922" s="4" t="str">
        <f>IF($A922&lt;&gt;"",'All Cases - Enter Cases'!G922,"")</f>
        <v/>
      </c>
      <c r="I922" t="str">
        <f>IF($A922&lt;&gt;"",'All Cases - Enter Cases'!H922,"")</f>
        <v/>
      </c>
      <c r="J922" t="str">
        <f>IF($A922&lt;&gt;"",'All Cases - Enter Cases'!I922,"")</f>
        <v/>
      </c>
      <c r="K922" t="str">
        <f>IF($A922&lt;&gt;"",'All Cases - Enter Cases'!J922,"")</f>
        <v/>
      </c>
      <c r="L922" s="4" t="str">
        <f>IF($A922&lt;&gt;"",'All Cases - Enter Cases'!K922,"")</f>
        <v/>
      </c>
      <c r="M922" t="str">
        <f>IF($A922&lt;&gt;"",'All Cases - Enter Cases'!L922,"")</f>
        <v/>
      </c>
    </row>
    <row r="923" spans="1:13" x14ac:dyDescent="0.35">
      <c r="A923" s="4" t="str">
        <f>IF('All Cases - Enter Cases'!$K923="Approved",'All Cases - Enter Cases'!A923,"")</f>
        <v/>
      </c>
      <c r="B923" s="4" t="str">
        <f>IF($N923&lt;&gt;"",$N923,IF($A923&lt;&gt;"",'All Cases - Enter Cases'!$L923+7,""))</f>
        <v/>
      </c>
      <c r="C923" t="str">
        <f>IF($A923&lt;&gt;"",'All Cases - Enter Cases'!B923,"")</f>
        <v/>
      </c>
      <c r="D923" t="str">
        <f>IF($A923&lt;&gt;"",'All Cases - Enter Cases'!C923,"")</f>
        <v/>
      </c>
      <c r="E923" t="str">
        <f>IF($A923&lt;&gt;"",'All Cases - Enter Cases'!D923,"")</f>
        <v/>
      </c>
      <c r="F923" s="12" t="str">
        <f>IF($A923&lt;&gt;"",'All Cases - Enter Cases'!E923,"")</f>
        <v/>
      </c>
      <c r="G923" s="12" t="str">
        <f>IF($A923&lt;&gt;"",'All Cases - Enter Cases'!F923,"")</f>
        <v/>
      </c>
      <c r="H923" s="4" t="str">
        <f>IF($A923&lt;&gt;"",'All Cases - Enter Cases'!G923,"")</f>
        <v/>
      </c>
      <c r="I923" t="str">
        <f>IF($A923&lt;&gt;"",'All Cases - Enter Cases'!H923,"")</f>
        <v/>
      </c>
      <c r="J923" t="str">
        <f>IF($A923&lt;&gt;"",'All Cases - Enter Cases'!I923,"")</f>
        <v/>
      </c>
      <c r="K923" t="str">
        <f>IF($A923&lt;&gt;"",'All Cases - Enter Cases'!J923,"")</f>
        <v/>
      </c>
      <c r="L923" s="4" t="str">
        <f>IF($A923&lt;&gt;"",'All Cases - Enter Cases'!K923,"")</f>
        <v/>
      </c>
      <c r="M923" t="str">
        <f>IF($A923&lt;&gt;"",'All Cases - Enter Cases'!L923,"")</f>
        <v/>
      </c>
    </row>
    <row r="924" spans="1:13" x14ac:dyDescent="0.35">
      <c r="A924" s="4" t="str">
        <f>IF('All Cases - Enter Cases'!$K924="Approved",'All Cases - Enter Cases'!A924,"")</f>
        <v/>
      </c>
      <c r="B924" s="4" t="str">
        <f>IF($N924&lt;&gt;"",$N924,IF($A924&lt;&gt;"",'All Cases - Enter Cases'!$L924+7,""))</f>
        <v/>
      </c>
      <c r="C924" t="str">
        <f>IF($A924&lt;&gt;"",'All Cases - Enter Cases'!B924,"")</f>
        <v/>
      </c>
      <c r="D924" t="str">
        <f>IF($A924&lt;&gt;"",'All Cases - Enter Cases'!C924,"")</f>
        <v/>
      </c>
      <c r="E924" t="str">
        <f>IF($A924&lt;&gt;"",'All Cases - Enter Cases'!D924,"")</f>
        <v/>
      </c>
      <c r="F924" s="12" t="str">
        <f>IF($A924&lt;&gt;"",'All Cases - Enter Cases'!E924,"")</f>
        <v/>
      </c>
      <c r="G924" s="12" t="str">
        <f>IF($A924&lt;&gt;"",'All Cases - Enter Cases'!F924,"")</f>
        <v/>
      </c>
      <c r="H924" s="4" t="str">
        <f>IF($A924&lt;&gt;"",'All Cases - Enter Cases'!G924,"")</f>
        <v/>
      </c>
      <c r="I924" t="str">
        <f>IF($A924&lt;&gt;"",'All Cases - Enter Cases'!H924,"")</f>
        <v/>
      </c>
      <c r="J924" t="str">
        <f>IF($A924&lt;&gt;"",'All Cases - Enter Cases'!I924,"")</f>
        <v/>
      </c>
      <c r="K924" t="str">
        <f>IF($A924&lt;&gt;"",'All Cases - Enter Cases'!J924,"")</f>
        <v/>
      </c>
      <c r="L924" s="4" t="str">
        <f>IF($A924&lt;&gt;"",'All Cases - Enter Cases'!K924,"")</f>
        <v/>
      </c>
      <c r="M924" t="str">
        <f>IF($A924&lt;&gt;"",'All Cases - Enter Cases'!L924,"")</f>
        <v/>
      </c>
    </row>
    <row r="925" spans="1:13" x14ac:dyDescent="0.35">
      <c r="A925" s="4" t="str">
        <f>IF('All Cases - Enter Cases'!$K925="Approved",'All Cases - Enter Cases'!A925,"")</f>
        <v/>
      </c>
      <c r="B925" s="4" t="str">
        <f>IF($N925&lt;&gt;"",$N925,IF($A925&lt;&gt;"",'All Cases - Enter Cases'!$L925+7,""))</f>
        <v/>
      </c>
      <c r="C925" t="str">
        <f>IF($A925&lt;&gt;"",'All Cases - Enter Cases'!B925,"")</f>
        <v/>
      </c>
      <c r="D925" t="str">
        <f>IF($A925&lt;&gt;"",'All Cases - Enter Cases'!C925,"")</f>
        <v/>
      </c>
      <c r="E925" t="str">
        <f>IF($A925&lt;&gt;"",'All Cases - Enter Cases'!D925,"")</f>
        <v/>
      </c>
      <c r="F925" s="12" t="str">
        <f>IF($A925&lt;&gt;"",'All Cases - Enter Cases'!E925,"")</f>
        <v/>
      </c>
      <c r="G925" s="12" t="str">
        <f>IF($A925&lt;&gt;"",'All Cases - Enter Cases'!F925,"")</f>
        <v/>
      </c>
      <c r="H925" s="4" t="str">
        <f>IF($A925&lt;&gt;"",'All Cases - Enter Cases'!G925,"")</f>
        <v/>
      </c>
      <c r="I925" t="str">
        <f>IF($A925&lt;&gt;"",'All Cases - Enter Cases'!H925,"")</f>
        <v/>
      </c>
      <c r="J925" t="str">
        <f>IF($A925&lt;&gt;"",'All Cases - Enter Cases'!I925,"")</f>
        <v/>
      </c>
      <c r="K925" t="str">
        <f>IF($A925&lt;&gt;"",'All Cases - Enter Cases'!J925,"")</f>
        <v/>
      </c>
      <c r="L925" s="4" t="str">
        <f>IF($A925&lt;&gt;"",'All Cases - Enter Cases'!K925,"")</f>
        <v/>
      </c>
      <c r="M925" t="str">
        <f>IF($A925&lt;&gt;"",'All Cases - Enter Cases'!L925,"")</f>
        <v/>
      </c>
    </row>
    <row r="926" spans="1:13" x14ac:dyDescent="0.35">
      <c r="A926" s="4" t="str">
        <f>IF('All Cases - Enter Cases'!$K926="Approved",'All Cases - Enter Cases'!A926,"")</f>
        <v/>
      </c>
      <c r="B926" s="4" t="str">
        <f>IF($N926&lt;&gt;"",$N926,IF($A926&lt;&gt;"",'All Cases - Enter Cases'!$L926+7,""))</f>
        <v/>
      </c>
      <c r="C926" t="str">
        <f>IF($A926&lt;&gt;"",'All Cases - Enter Cases'!B926,"")</f>
        <v/>
      </c>
      <c r="D926" t="str">
        <f>IF($A926&lt;&gt;"",'All Cases - Enter Cases'!C926,"")</f>
        <v/>
      </c>
      <c r="E926" t="str">
        <f>IF($A926&lt;&gt;"",'All Cases - Enter Cases'!D926,"")</f>
        <v/>
      </c>
      <c r="F926" s="12" t="str">
        <f>IF($A926&lt;&gt;"",'All Cases - Enter Cases'!E926,"")</f>
        <v/>
      </c>
      <c r="G926" s="12" t="str">
        <f>IF($A926&lt;&gt;"",'All Cases - Enter Cases'!F926,"")</f>
        <v/>
      </c>
      <c r="H926" s="4" t="str">
        <f>IF($A926&lt;&gt;"",'All Cases - Enter Cases'!G926,"")</f>
        <v/>
      </c>
      <c r="I926" t="str">
        <f>IF($A926&lt;&gt;"",'All Cases - Enter Cases'!H926,"")</f>
        <v/>
      </c>
      <c r="J926" t="str">
        <f>IF($A926&lt;&gt;"",'All Cases - Enter Cases'!I926,"")</f>
        <v/>
      </c>
      <c r="K926" t="str">
        <f>IF($A926&lt;&gt;"",'All Cases - Enter Cases'!J926,"")</f>
        <v/>
      </c>
      <c r="L926" s="4" t="str">
        <f>IF($A926&lt;&gt;"",'All Cases - Enter Cases'!K926,"")</f>
        <v/>
      </c>
      <c r="M926" t="str">
        <f>IF($A926&lt;&gt;"",'All Cases - Enter Cases'!L926,"")</f>
        <v/>
      </c>
    </row>
    <row r="927" spans="1:13" x14ac:dyDescent="0.35">
      <c r="A927" s="4" t="str">
        <f>IF('All Cases - Enter Cases'!$K927="Approved",'All Cases - Enter Cases'!A927,"")</f>
        <v/>
      </c>
      <c r="B927" s="4" t="str">
        <f>IF($N927&lt;&gt;"",$N927,IF($A927&lt;&gt;"",'All Cases - Enter Cases'!$L927+7,""))</f>
        <v/>
      </c>
      <c r="C927" t="str">
        <f>IF($A927&lt;&gt;"",'All Cases - Enter Cases'!B927,"")</f>
        <v/>
      </c>
      <c r="D927" t="str">
        <f>IF($A927&lt;&gt;"",'All Cases - Enter Cases'!C927,"")</f>
        <v/>
      </c>
      <c r="E927" t="str">
        <f>IF($A927&lt;&gt;"",'All Cases - Enter Cases'!D927,"")</f>
        <v/>
      </c>
      <c r="F927" s="12" t="str">
        <f>IF($A927&lt;&gt;"",'All Cases - Enter Cases'!E927,"")</f>
        <v/>
      </c>
      <c r="G927" s="12" t="str">
        <f>IF($A927&lt;&gt;"",'All Cases - Enter Cases'!F927,"")</f>
        <v/>
      </c>
      <c r="H927" s="4" t="str">
        <f>IF($A927&lt;&gt;"",'All Cases - Enter Cases'!G927,"")</f>
        <v/>
      </c>
      <c r="I927" t="str">
        <f>IF($A927&lt;&gt;"",'All Cases - Enter Cases'!H927,"")</f>
        <v/>
      </c>
      <c r="J927" t="str">
        <f>IF($A927&lt;&gt;"",'All Cases - Enter Cases'!I927,"")</f>
        <v/>
      </c>
      <c r="K927" t="str">
        <f>IF($A927&lt;&gt;"",'All Cases - Enter Cases'!J927,"")</f>
        <v/>
      </c>
      <c r="L927" s="4" t="str">
        <f>IF($A927&lt;&gt;"",'All Cases - Enter Cases'!K927,"")</f>
        <v/>
      </c>
      <c r="M927" t="str">
        <f>IF($A927&lt;&gt;"",'All Cases - Enter Cases'!L927,"")</f>
        <v/>
      </c>
    </row>
    <row r="928" spans="1:13" x14ac:dyDescent="0.35">
      <c r="A928" s="4" t="str">
        <f>IF('All Cases - Enter Cases'!$K928="Approved",'All Cases - Enter Cases'!A928,"")</f>
        <v/>
      </c>
      <c r="B928" s="4" t="str">
        <f>IF($N928&lt;&gt;"",$N928,IF($A928&lt;&gt;"",'All Cases - Enter Cases'!$L928+7,""))</f>
        <v/>
      </c>
      <c r="C928" t="str">
        <f>IF($A928&lt;&gt;"",'All Cases - Enter Cases'!B928,"")</f>
        <v/>
      </c>
      <c r="D928" t="str">
        <f>IF($A928&lt;&gt;"",'All Cases - Enter Cases'!C928,"")</f>
        <v/>
      </c>
      <c r="E928" t="str">
        <f>IF($A928&lt;&gt;"",'All Cases - Enter Cases'!D928,"")</f>
        <v/>
      </c>
      <c r="F928" s="12" t="str">
        <f>IF($A928&lt;&gt;"",'All Cases - Enter Cases'!E928,"")</f>
        <v/>
      </c>
      <c r="G928" s="12" t="str">
        <f>IF($A928&lt;&gt;"",'All Cases - Enter Cases'!F928,"")</f>
        <v/>
      </c>
      <c r="H928" s="4" t="str">
        <f>IF($A928&lt;&gt;"",'All Cases - Enter Cases'!G928,"")</f>
        <v/>
      </c>
      <c r="I928" t="str">
        <f>IF($A928&lt;&gt;"",'All Cases - Enter Cases'!H928,"")</f>
        <v/>
      </c>
      <c r="J928" t="str">
        <f>IF($A928&lt;&gt;"",'All Cases - Enter Cases'!I928,"")</f>
        <v/>
      </c>
      <c r="K928" t="str">
        <f>IF($A928&lt;&gt;"",'All Cases - Enter Cases'!J928,"")</f>
        <v/>
      </c>
      <c r="L928" s="4" t="str">
        <f>IF($A928&lt;&gt;"",'All Cases - Enter Cases'!K928,"")</f>
        <v/>
      </c>
      <c r="M928" t="str">
        <f>IF($A928&lt;&gt;"",'All Cases - Enter Cases'!L928,"")</f>
        <v/>
      </c>
    </row>
    <row r="929" spans="1:13" x14ac:dyDescent="0.35">
      <c r="A929" s="4" t="str">
        <f>IF('All Cases - Enter Cases'!$K929="Approved",'All Cases - Enter Cases'!A929,"")</f>
        <v/>
      </c>
      <c r="B929" s="4" t="str">
        <f>IF($N929&lt;&gt;"",$N929,IF($A929&lt;&gt;"",'All Cases - Enter Cases'!$L929+7,""))</f>
        <v/>
      </c>
      <c r="C929" t="str">
        <f>IF($A929&lt;&gt;"",'All Cases - Enter Cases'!B929,"")</f>
        <v/>
      </c>
      <c r="D929" t="str">
        <f>IF($A929&lt;&gt;"",'All Cases - Enter Cases'!C929,"")</f>
        <v/>
      </c>
      <c r="E929" t="str">
        <f>IF($A929&lt;&gt;"",'All Cases - Enter Cases'!D929,"")</f>
        <v/>
      </c>
      <c r="F929" s="12" t="str">
        <f>IF($A929&lt;&gt;"",'All Cases - Enter Cases'!E929,"")</f>
        <v/>
      </c>
      <c r="G929" s="12" t="str">
        <f>IF($A929&lt;&gt;"",'All Cases - Enter Cases'!F929,"")</f>
        <v/>
      </c>
      <c r="H929" s="4" t="str">
        <f>IF($A929&lt;&gt;"",'All Cases - Enter Cases'!G929,"")</f>
        <v/>
      </c>
      <c r="I929" t="str">
        <f>IF($A929&lt;&gt;"",'All Cases - Enter Cases'!H929,"")</f>
        <v/>
      </c>
      <c r="J929" t="str">
        <f>IF($A929&lt;&gt;"",'All Cases - Enter Cases'!I929,"")</f>
        <v/>
      </c>
      <c r="K929" t="str">
        <f>IF($A929&lt;&gt;"",'All Cases - Enter Cases'!J929,"")</f>
        <v/>
      </c>
      <c r="L929" s="4" t="str">
        <f>IF($A929&lt;&gt;"",'All Cases - Enter Cases'!K929,"")</f>
        <v/>
      </c>
      <c r="M929" t="str">
        <f>IF($A929&lt;&gt;"",'All Cases - Enter Cases'!L929,"")</f>
        <v/>
      </c>
    </row>
    <row r="930" spans="1:13" x14ac:dyDescent="0.35">
      <c r="A930" s="4" t="str">
        <f>IF('All Cases - Enter Cases'!$K930="Approved",'All Cases - Enter Cases'!A930,"")</f>
        <v/>
      </c>
      <c r="B930" s="4" t="str">
        <f>IF($N930&lt;&gt;"",$N930,IF($A930&lt;&gt;"",'All Cases - Enter Cases'!$L930+7,""))</f>
        <v/>
      </c>
      <c r="C930" t="str">
        <f>IF($A930&lt;&gt;"",'All Cases - Enter Cases'!B930,"")</f>
        <v/>
      </c>
      <c r="D930" t="str">
        <f>IF($A930&lt;&gt;"",'All Cases - Enter Cases'!C930,"")</f>
        <v/>
      </c>
      <c r="E930" t="str">
        <f>IF($A930&lt;&gt;"",'All Cases - Enter Cases'!D930,"")</f>
        <v/>
      </c>
      <c r="F930" s="12" t="str">
        <f>IF($A930&lt;&gt;"",'All Cases - Enter Cases'!E930,"")</f>
        <v/>
      </c>
      <c r="G930" s="12" t="str">
        <f>IF($A930&lt;&gt;"",'All Cases - Enter Cases'!F930,"")</f>
        <v/>
      </c>
      <c r="H930" s="4" t="str">
        <f>IF($A930&lt;&gt;"",'All Cases - Enter Cases'!G930,"")</f>
        <v/>
      </c>
      <c r="I930" t="str">
        <f>IF($A930&lt;&gt;"",'All Cases - Enter Cases'!H930,"")</f>
        <v/>
      </c>
      <c r="J930" t="str">
        <f>IF($A930&lt;&gt;"",'All Cases - Enter Cases'!I930,"")</f>
        <v/>
      </c>
      <c r="K930" t="str">
        <f>IF($A930&lt;&gt;"",'All Cases - Enter Cases'!J930,"")</f>
        <v/>
      </c>
      <c r="L930" s="4" t="str">
        <f>IF($A930&lt;&gt;"",'All Cases - Enter Cases'!K930,"")</f>
        <v/>
      </c>
      <c r="M930" t="str">
        <f>IF($A930&lt;&gt;"",'All Cases - Enter Cases'!L930,"")</f>
        <v/>
      </c>
    </row>
    <row r="931" spans="1:13" x14ac:dyDescent="0.35">
      <c r="A931" s="4" t="str">
        <f>IF('All Cases - Enter Cases'!$K931="Approved",'All Cases - Enter Cases'!A931,"")</f>
        <v/>
      </c>
      <c r="B931" s="4" t="str">
        <f>IF($N931&lt;&gt;"",$N931,IF($A931&lt;&gt;"",'All Cases - Enter Cases'!$L931+7,""))</f>
        <v/>
      </c>
      <c r="C931" t="str">
        <f>IF($A931&lt;&gt;"",'All Cases - Enter Cases'!B931,"")</f>
        <v/>
      </c>
      <c r="D931" t="str">
        <f>IF($A931&lt;&gt;"",'All Cases - Enter Cases'!C931,"")</f>
        <v/>
      </c>
      <c r="E931" t="str">
        <f>IF($A931&lt;&gt;"",'All Cases - Enter Cases'!D931,"")</f>
        <v/>
      </c>
      <c r="F931" s="12" t="str">
        <f>IF($A931&lt;&gt;"",'All Cases - Enter Cases'!E931,"")</f>
        <v/>
      </c>
      <c r="G931" s="12" t="str">
        <f>IF($A931&lt;&gt;"",'All Cases - Enter Cases'!F931,"")</f>
        <v/>
      </c>
      <c r="H931" s="4" t="str">
        <f>IF($A931&lt;&gt;"",'All Cases - Enter Cases'!G931,"")</f>
        <v/>
      </c>
      <c r="I931" t="str">
        <f>IF($A931&lt;&gt;"",'All Cases - Enter Cases'!H931,"")</f>
        <v/>
      </c>
      <c r="J931" t="str">
        <f>IF($A931&lt;&gt;"",'All Cases - Enter Cases'!I931,"")</f>
        <v/>
      </c>
      <c r="K931" t="str">
        <f>IF($A931&lt;&gt;"",'All Cases - Enter Cases'!J931,"")</f>
        <v/>
      </c>
      <c r="L931" s="4" t="str">
        <f>IF($A931&lt;&gt;"",'All Cases - Enter Cases'!K931,"")</f>
        <v/>
      </c>
      <c r="M931" t="str">
        <f>IF($A931&lt;&gt;"",'All Cases - Enter Cases'!L931,"")</f>
        <v/>
      </c>
    </row>
    <row r="932" spans="1:13" x14ac:dyDescent="0.35">
      <c r="A932" s="4" t="str">
        <f>IF('All Cases - Enter Cases'!$K932="Approved",'All Cases - Enter Cases'!A932,"")</f>
        <v/>
      </c>
      <c r="B932" s="4" t="str">
        <f>IF($N932&lt;&gt;"",$N932,IF($A932&lt;&gt;"",'All Cases - Enter Cases'!$L932+7,""))</f>
        <v/>
      </c>
      <c r="C932" t="str">
        <f>IF($A932&lt;&gt;"",'All Cases - Enter Cases'!B932,"")</f>
        <v/>
      </c>
      <c r="D932" t="str">
        <f>IF($A932&lt;&gt;"",'All Cases - Enter Cases'!C932,"")</f>
        <v/>
      </c>
      <c r="E932" t="str">
        <f>IF($A932&lt;&gt;"",'All Cases - Enter Cases'!D932,"")</f>
        <v/>
      </c>
      <c r="F932" s="12" t="str">
        <f>IF($A932&lt;&gt;"",'All Cases - Enter Cases'!E932,"")</f>
        <v/>
      </c>
      <c r="G932" s="12" t="str">
        <f>IF($A932&lt;&gt;"",'All Cases - Enter Cases'!F932,"")</f>
        <v/>
      </c>
      <c r="H932" s="4" t="str">
        <f>IF($A932&lt;&gt;"",'All Cases - Enter Cases'!G932,"")</f>
        <v/>
      </c>
      <c r="I932" t="str">
        <f>IF($A932&lt;&gt;"",'All Cases - Enter Cases'!H932,"")</f>
        <v/>
      </c>
      <c r="J932" t="str">
        <f>IF($A932&lt;&gt;"",'All Cases - Enter Cases'!I932,"")</f>
        <v/>
      </c>
      <c r="K932" t="str">
        <f>IF($A932&lt;&gt;"",'All Cases - Enter Cases'!J932,"")</f>
        <v/>
      </c>
      <c r="L932" s="4" t="str">
        <f>IF($A932&lt;&gt;"",'All Cases - Enter Cases'!K932,"")</f>
        <v/>
      </c>
      <c r="M932" t="str">
        <f>IF($A932&lt;&gt;"",'All Cases - Enter Cases'!L932,"")</f>
        <v/>
      </c>
    </row>
    <row r="933" spans="1:13" x14ac:dyDescent="0.35">
      <c r="A933" s="4" t="str">
        <f>IF('All Cases - Enter Cases'!$K933="Approved",'All Cases - Enter Cases'!A933,"")</f>
        <v/>
      </c>
      <c r="B933" s="4" t="str">
        <f>IF($N933&lt;&gt;"",$N933,IF($A933&lt;&gt;"",'All Cases - Enter Cases'!$L933+7,""))</f>
        <v/>
      </c>
      <c r="C933" t="str">
        <f>IF($A933&lt;&gt;"",'All Cases - Enter Cases'!B933,"")</f>
        <v/>
      </c>
      <c r="D933" t="str">
        <f>IF($A933&lt;&gt;"",'All Cases - Enter Cases'!C933,"")</f>
        <v/>
      </c>
      <c r="E933" t="str">
        <f>IF($A933&lt;&gt;"",'All Cases - Enter Cases'!D933,"")</f>
        <v/>
      </c>
      <c r="F933" s="12" t="str">
        <f>IF($A933&lt;&gt;"",'All Cases - Enter Cases'!E933,"")</f>
        <v/>
      </c>
      <c r="G933" s="12" t="str">
        <f>IF($A933&lt;&gt;"",'All Cases - Enter Cases'!F933,"")</f>
        <v/>
      </c>
      <c r="H933" s="4" t="str">
        <f>IF($A933&lt;&gt;"",'All Cases - Enter Cases'!G933,"")</f>
        <v/>
      </c>
      <c r="I933" t="str">
        <f>IF($A933&lt;&gt;"",'All Cases - Enter Cases'!H933,"")</f>
        <v/>
      </c>
      <c r="J933" t="str">
        <f>IF($A933&lt;&gt;"",'All Cases - Enter Cases'!I933,"")</f>
        <v/>
      </c>
      <c r="K933" t="str">
        <f>IF($A933&lt;&gt;"",'All Cases - Enter Cases'!J933,"")</f>
        <v/>
      </c>
      <c r="L933" s="4" t="str">
        <f>IF($A933&lt;&gt;"",'All Cases - Enter Cases'!K933,"")</f>
        <v/>
      </c>
      <c r="M933" t="str">
        <f>IF($A933&lt;&gt;"",'All Cases - Enter Cases'!L933,"")</f>
        <v/>
      </c>
    </row>
    <row r="934" spans="1:13" x14ac:dyDescent="0.35">
      <c r="A934" s="4" t="str">
        <f>IF('All Cases - Enter Cases'!$K934="Approved",'All Cases - Enter Cases'!A934,"")</f>
        <v/>
      </c>
      <c r="B934" s="4" t="str">
        <f>IF($N934&lt;&gt;"",$N934,IF($A934&lt;&gt;"",'All Cases - Enter Cases'!$L934+7,""))</f>
        <v/>
      </c>
      <c r="C934" t="str">
        <f>IF($A934&lt;&gt;"",'All Cases - Enter Cases'!B934,"")</f>
        <v/>
      </c>
      <c r="D934" t="str">
        <f>IF($A934&lt;&gt;"",'All Cases - Enter Cases'!C934,"")</f>
        <v/>
      </c>
      <c r="E934" t="str">
        <f>IF($A934&lt;&gt;"",'All Cases - Enter Cases'!D934,"")</f>
        <v/>
      </c>
      <c r="F934" s="12" t="str">
        <f>IF($A934&lt;&gt;"",'All Cases - Enter Cases'!E934,"")</f>
        <v/>
      </c>
      <c r="G934" s="12" t="str">
        <f>IF($A934&lt;&gt;"",'All Cases - Enter Cases'!F934,"")</f>
        <v/>
      </c>
      <c r="H934" s="4" t="str">
        <f>IF($A934&lt;&gt;"",'All Cases - Enter Cases'!G934,"")</f>
        <v/>
      </c>
      <c r="I934" t="str">
        <f>IF($A934&lt;&gt;"",'All Cases - Enter Cases'!H934,"")</f>
        <v/>
      </c>
      <c r="J934" t="str">
        <f>IF($A934&lt;&gt;"",'All Cases - Enter Cases'!I934,"")</f>
        <v/>
      </c>
      <c r="K934" t="str">
        <f>IF($A934&lt;&gt;"",'All Cases - Enter Cases'!J934,"")</f>
        <v/>
      </c>
      <c r="L934" s="4" t="str">
        <f>IF($A934&lt;&gt;"",'All Cases - Enter Cases'!K934,"")</f>
        <v/>
      </c>
      <c r="M934" t="str">
        <f>IF($A934&lt;&gt;"",'All Cases - Enter Cases'!L934,"")</f>
        <v/>
      </c>
    </row>
    <row r="935" spans="1:13" x14ac:dyDescent="0.35">
      <c r="A935" s="4" t="str">
        <f>IF('All Cases - Enter Cases'!$K935="Approved",'All Cases - Enter Cases'!A935,"")</f>
        <v/>
      </c>
      <c r="B935" s="4" t="str">
        <f>IF($N935&lt;&gt;"",$N935,IF($A935&lt;&gt;"",'All Cases - Enter Cases'!$L935+7,""))</f>
        <v/>
      </c>
      <c r="C935" t="str">
        <f>IF($A935&lt;&gt;"",'All Cases - Enter Cases'!B935,"")</f>
        <v/>
      </c>
      <c r="D935" t="str">
        <f>IF($A935&lt;&gt;"",'All Cases - Enter Cases'!C935,"")</f>
        <v/>
      </c>
      <c r="E935" t="str">
        <f>IF($A935&lt;&gt;"",'All Cases - Enter Cases'!D935,"")</f>
        <v/>
      </c>
      <c r="F935" s="12" t="str">
        <f>IF($A935&lt;&gt;"",'All Cases - Enter Cases'!E935,"")</f>
        <v/>
      </c>
      <c r="G935" s="12" t="str">
        <f>IF($A935&lt;&gt;"",'All Cases - Enter Cases'!F935,"")</f>
        <v/>
      </c>
      <c r="H935" s="4" t="str">
        <f>IF($A935&lt;&gt;"",'All Cases - Enter Cases'!G935,"")</f>
        <v/>
      </c>
      <c r="I935" t="str">
        <f>IF($A935&lt;&gt;"",'All Cases - Enter Cases'!H935,"")</f>
        <v/>
      </c>
      <c r="J935" t="str">
        <f>IF($A935&lt;&gt;"",'All Cases - Enter Cases'!I935,"")</f>
        <v/>
      </c>
      <c r="K935" t="str">
        <f>IF($A935&lt;&gt;"",'All Cases - Enter Cases'!J935,"")</f>
        <v/>
      </c>
      <c r="L935" s="4" t="str">
        <f>IF($A935&lt;&gt;"",'All Cases - Enter Cases'!K935,"")</f>
        <v/>
      </c>
      <c r="M935" t="str">
        <f>IF($A935&lt;&gt;"",'All Cases - Enter Cases'!L935,"")</f>
        <v/>
      </c>
    </row>
    <row r="936" spans="1:13" x14ac:dyDescent="0.35">
      <c r="A936" s="4" t="str">
        <f>IF('All Cases - Enter Cases'!$K936="Approved",'All Cases - Enter Cases'!A936,"")</f>
        <v/>
      </c>
      <c r="B936" s="4" t="str">
        <f>IF($N936&lt;&gt;"",$N936,IF($A936&lt;&gt;"",'All Cases - Enter Cases'!$L936+7,""))</f>
        <v/>
      </c>
      <c r="C936" t="str">
        <f>IF($A936&lt;&gt;"",'All Cases - Enter Cases'!B936,"")</f>
        <v/>
      </c>
      <c r="D936" t="str">
        <f>IF($A936&lt;&gt;"",'All Cases - Enter Cases'!C936,"")</f>
        <v/>
      </c>
      <c r="E936" t="str">
        <f>IF($A936&lt;&gt;"",'All Cases - Enter Cases'!D936,"")</f>
        <v/>
      </c>
      <c r="F936" s="12" t="str">
        <f>IF($A936&lt;&gt;"",'All Cases - Enter Cases'!E936,"")</f>
        <v/>
      </c>
      <c r="G936" s="12" t="str">
        <f>IF($A936&lt;&gt;"",'All Cases - Enter Cases'!F936,"")</f>
        <v/>
      </c>
      <c r="H936" s="4" t="str">
        <f>IF($A936&lt;&gt;"",'All Cases - Enter Cases'!G936,"")</f>
        <v/>
      </c>
      <c r="I936" t="str">
        <f>IF($A936&lt;&gt;"",'All Cases - Enter Cases'!H936,"")</f>
        <v/>
      </c>
      <c r="J936" t="str">
        <f>IF($A936&lt;&gt;"",'All Cases - Enter Cases'!I936,"")</f>
        <v/>
      </c>
      <c r="K936" t="str">
        <f>IF($A936&lt;&gt;"",'All Cases - Enter Cases'!J936,"")</f>
        <v/>
      </c>
      <c r="L936" s="4" t="str">
        <f>IF($A936&lt;&gt;"",'All Cases - Enter Cases'!K936,"")</f>
        <v/>
      </c>
      <c r="M936" t="str">
        <f>IF($A936&lt;&gt;"",'All Cases - Enter Cases'!L936,"")</f>
        <v/>
      </c>
    </row>
    <row r="937" spans="1:13" x14ac:dyDescent="0.35">
      <c r="A937" s="4" t="str">
        <f>IF('All Cases - Enter Cases'!$K937="Approved",'All Cases - Enter Cases'!A937,"")</f>
        <v/>
      </c>
      <c r="B937" s="4" t="str">
        <f>IF($N937&lt;&gt;"",$N937,IF($A937&lt;&gt;"",'All Cases - Enter Cases'!$L937+7,""))</f>
        <v/>
      </c>
      <c r="C937" t="str">
        <f>IF($A937&lt;&gt;"",'All Cases - Enter Cases'!B937,"")</f>
        <v/>
      </c>
      <c r="D937" t="str">
        <f>IF($A937&lt;&gt;"",'All Cases - Enter Cases'!C937,"")</f>
        <v/>
      </c>
      <c r="E937" t="str">
        <f>IF($A937&lt;&gt;"",'All Cases - Enter Cases'!D937,"")</f>
        <v/>
      </c>
      <c r="F937" s="12" t="str">
        <f>IF($A937&lt;&gt;"",'All Cases - Enter Cases'!E937,"")</f>
        <v/>
      </c>
      <c r="G937" s="12" t="str">
        <f>IF($A937&lt;&gt;"",'All Cases - Enter Cases'!F937,"")</f>
        <v/>
      </c>
      <c r="H937" s="4" t="str">
        <f>IF($A937&lt;&gt;"",'All Cases - Enter Cases'!G937,"")</f>
        <v/>
      </c>
      <c r="I937" t="str">
        <f>IF($A937&lt;&gt;"",'All Cases - Enter Cases'!H937,"")</f>
        <v/>
      </c>
      <c r="J937" t="str">
        <f>IF($A937&lt;&gt;"",'All Cases - Enter Cases'!I937,"")</f>
        <v/>
      </c>
      <c r="K937" t="str">
        <f>IF($A937&lt;&gt;"",'All Cases - Enter Cases'!J937,"")</f>
        <v/>
      </c>
      <c r="L937" s="4" t="str">
        <f>IF($A937&lt;&gt;"",'All Cases - Enter Cases'!K937,"")</f>
        <v/>
      </c>
      <c r="M937" t="str">
        <f>IF($A937&lt;&gt;"",'All Cases - Enter Cases'!L937,"")</f>
        <v/>
      </c>
    </row>
    <row r="938" spans="1:13" x14ac:dyDescent="0.35">
      <c r="A938" s="4" t="str">
        <f>IF('All Cases - Enter Cases'!$K938="Approved",'All Cases - Enter Cases'!A938,"")</f>
        <v/>
      </c>
      <c r="B938" s="4" t="str">
        <f>IF($N938&lt;&gt;"",$N938,IF($A938&lt;&gt;"",'All Cases - Enter Cases'!$L938+7,""))</f>
        <v/>
      </c>
      <c r="C938" t="str">
        <f>IF($A938&lt;&gt;"",'All Cases - Enter Cases'!B938,"")</f>
        <v/>
      </c>
      <c r="D938" t="str">
        <f>IF($A938&lt;&gt;"",'All Cases - Enter Cases'!C938,"")</f>
        <v/>
      </c>
      <c r="E938" t="str">
        <f>IF($A938&lt;&gt;"",'All Cases - Enter Cases'!D938,"")</f>
        <v/>
      </c>
      <c r="F938" s="12" t="str">
        <f>IF($A938&lt;&gt;"",'All Cases - Enter Cases'!E938,"")</f>
        <v/>
      </c>
      <c r="G938" s="12" t="str">
        <f>IF($A938&lt;&gt;"",'All Cases - Enter Cases'!F938,"")</f>
        <v/>
      </c>
      <c r="H938" s="4" t="str">
        <f>IF($A938&lt;&gt;"",'All Cases - Enter Cases'!G938,"")</f>
        <v/>
      </c>
      <c r="I938" t="str">
        <f>IF($A938&lt;&gt;"",'All Cases - Enter Cases'!H938,"")</f>
        <v/>
      </c>
      <c r="J938" t="str">
        <f>IF($A938&lt;&gt;"",'All Cases - Enter Cases'!I938,"")</f>
        <v/>
      </c>
      <c r="K938" t="str">
        <f>IF($A938&lt;&gt;"",'All Cases - Enter Cases'!J938,"")</f>
        <v/>
      </c>
      <c r="L938" s="4" t="str">
        <f>IF($A938&lt;&gt;"",'All Cases - Enter Cases'!K938,"")</f>
        <v/>
      </c>
      <c r="M938" t="str">
        <f>IF($A938&lt;&gt;"",'All Cases - Enter Cases'!L938,"")</f>
        <v/>
      </c>
    </row>
    <row r="939" spans="1:13" x14ac:dyDescent="0.35">
      <c r="A939" s="4" t="str">
        <f>IF('All Cases - Enter Cases'!$K939="Approved",'All Cases - Enter Cases'!A939,"")</f>
        <v/>
      </c>
      <c r="B939" s="4" t="str">
        <f>IF($N939&lt;&gt;"",$N939,IF($A939&lt;&gt;"",'All Cases - Enter Cases'!$L939+7,""))</f>
        <v/>
      </c>
      <c r="C939" t="str">
        <f>IF($A939&lt;&gt;"",'All Cases - Enter Cases'!B939,"")</f>
        <v/>
      </c>
      <c r="D939" t="str">
        <f>IF($A939&lt;&gt;"",'All Cases - Enter Cases'!C939,"")</f>
        <v/>
      </c>
      <c r="E939" t="str">
        <f>IF($A939&lt;&gt;"",'All Cases - Enter Cases'!D939,"")</f>
        <v/>
      </c>
      <c r="F939" s="12" t="str">
        <f>IF($A939&lt;&gt;"",'All Cases - Enter Cases'!E939,"")</f>
        <v/>
      </c>
      <c r="G939" s="12" t="str">
        <f>IF($A939&lt;&gt;"",'All Cases - Enter Cases'!F939,"")</f>
        <v/>
      </c>
      <c r="H939" s="4" t="str">
        <f>IF($A939&lt;&gt;"",'All Cases - Enter Cases'!G939,"")</f>
        <v/>
      </c>
      <c r="I939" t="str">
        <f>IF($A939&lt;&gt;"",'All Cases - Enter Cases'!H939,"")</f>
        <v/>
      </c>
      <c r="J939" t="str">
        <f>IF($A939&lt;&gt;"",'All Cases - Enter Cases'!I939,"")</f>
        <v/>
      </c>
      <c r="K939" t="str">
        <f>IF($A939&lt;&gt;"",'All Cases - Enter Cases'!J939,"")</f>
        <v/>
      </c>
      <c r="L939" s="4" t="str">
        <f>IF($A939&lt;&gt;"",'All Cases - Enter Cases'!K939,"")</f>
        <v/>
      </c>
      <c r="M939" t="str">
        <f>IF($A939&lt;&gt;"",'All Cases - Enter Cases'!L939,"")</f>
        <v/>
      </c>
    </row>
    <row r="940" spans="1:13" x14ac:dyDescent="0.35">
      <c r="A940" s="4" t="str">
        <f>IF('All Cases - Enter Cases'!$K940="Approved",'All Cases - Enter Cases'!A940,"")</f>
        <v/>
      </c>
      <c r="B940" s="4" t="str">
        <f>IF($N940&lt;&gt;"",$N940,IF($A940&lt;&gt;"",'All Cases - Enter Cases'!$L940+7,""))</f>
        <v/>
      </c>
      <c r="C940" t="str">
        <f>IF($A940&lt;&gt;"",'All Cases - Enter Cases'!B940,"")</f>
        <v/>
      </c>
      <c r="D940" t="str">
        <f>IF($A940&lt;&gt;"",'All Cases - Enter Cases'!C940,"")</f>
        <v/>
      </c>
      <c r="E940" t="str">
        <f>IF($A940&lt;&gt;"",'All Cases - Enter Cases'!D940,"")</f>
        <v/>
      </c>
      <c r="F940" s="12" t="str">
        <f>IF($A940&lt;&gt;"",'All Cases - Enter Cases'!E940,"")</f>
        <v/>
      </c>
      <c r="G940" s="12" t="str">
        <f>IF($A940&lt;&gt;"",'All Cases - Enter Cases'!F940,"")</f>
        <v/>
      </c>
      <c r="H940" s="4" t="str">
        <f>IF($A940&lt;&gt;"",'All Cases - Enter Cases'!G940,"")</f>
        <v/>
      </c>
      <c r="I940" t="str">
        <f>IF($A940&lt;&gt;"",'All Cases - Enter Cases'!H940,"")</f>
        <v/>
      </c>
      <c r="J940" t="str">
        <f>IF($A940&lt;&gt;"",'All Cases - Enter Cases'!I940,"")</f>
        <v/>
      </c>
      <c r="K940" t="str">
        <f>IF($A940&lt;&gt;"",'All Cases - Enter Cases'!J940,"")</f>
        <v/>
      </c>
      <c r="L940" s="4" t="str">
        <f>IF($A940&lt;&gt;"",'All Cases - Enter Cases'!K940,"")</f>
        <v/>
      </c>
      <c r="M940" t="str">
        <f>IF($A940&lt;&gt;"",'All Cases - Enter Cases'!L940,"")</f>
        <v/>
      </c>
    </row>
    <row r="941" spans="1:13" x14ac:dyDescent="0.35">
      <c r="A941" s="4" t="str">
        <f>IF('All Cases - Enter Cases'!$K941="Approved",'All Cases - Enter Cases'!A941,"")</f>
        <v/>
      </c>
      <c r="B941" s="4" t="str">
        <f>IF($N941&lt;&gt;"",$N941,IF($A941&lt;&gt;"",'All Cases - Enter Cases'!$L941+7,""))</f>
        <v/>
      </c>
      <c r="C941" t="str">
        <f>IF($A941&lt;&gt;"",'All Cases - Enter Cases'!B941,"")</f>
        <v/>
      </c>
      <c r="D941" t="str">
        <f>IF($A941&lt;&gt;"",'All Cases - Enter Cases'!C941,"")</f>
        <v/>
      </c>
      <c r="E941" t="str">
        <f>IF($A941&lt;&gt;"",'All Cases - Enter Cases'!D941,"")</f>
        <v/>
      </c>
      <c r="F941" s="12" t="str">
        <f>IF($A941&lt;&gt;"",'All Cases - Enter Cases'!E941,"")</f>
        <v/>
      </c>
      <c r="G941" s="12" t="str">
        <f>IF($A941&lt;&gt;"",'All Cases - Enter Cases'!F941,"")</f>
        <v/>
      </c>
      <c r="H941" s="4" t="str">
        <f>IF($A941&lt;&gt;"",'All Cases - Enter Cases'!G941,"")</f>
        <v/>
      </c>
      <c r="I941" t="str">
        <f>IF($A941&lt;&gt;"",'All Cases - Enter Cases'!H941,"")</f>
        <v/>
      </c>
      <c r="J941" t="str">
        <f>IF($A941&lt;&gt;"",'All Cases - Enter Cases'!I941,"")</f>
        <v/>
      </c>
      <c r="K941" t="str">
        <f>IF($A941&lt;&gt;"",'All Cases - Enter Cases'!J941,"")</f>
        <v/>
      </c>
      <c r="L941" s="4" t="str">
        <f>IF($A941&lt;&gt;"",'All Cases - Enter Cases'!K941,"")</f>
        <v/>
      </c>
      <c r="M941" t="str">
        <f>IF($A941&lt;&gt;"",'All Cases - Enter Cases'!L941,"")</f>
        <v/>
      </c>
    </row>
    <row r="942" spans="1:13" x14ac:dyDescent="0.35">
      <c r="A942" s="4" t="str">
        <f>IF('All Cases - Enter Cases'!$K942="Approved",'All Cases - Enter Cases'!A942,"")</f>
        <v/>
      </c>
      <c r="B942" s="4" t="str">
        <f>IF($N942&lt;&gt;"",$N942,IF($A942&lt;&gt;"",'All Cases - Enter Cases'!$L942+7,""))</f>
        <v/>
      </c>
      <c r="C942" t="str">
        <f>IF($A942&lt;&gt;"",'All Cases - Enter Cases'!B942,"")</f>
        <v/>
      </c>
      <c r="D942" t="str">
        <f>IF($A942&lt;&gt;"",'All Cases - Enter Cases'!C942,"")</f>
        <v/>
      </c>
      <c r="E942" t="str">
        <f>IF($A942&lt;&gt;"",'All Cases - Enter Cases'!D942,"")</f>
        <v/>
      </c>
      <c r="F942" s="12" t="str">
        <f>IF($A942&lt;&gt;"",'All Cases - Enter Cases'!E942,"")</f>
        <v/>
      </c>
      <c r="G942" s="12" t="str">
        <f>IF($A942&lt;&gt;"",'All Cases - Enter Cases'!F942,"")</f>
        <v/>
      </c>
      <c r="H942" s="4" t="str">
        <f>IF($A942&lt;&gt;"",'All Cases - Enter Cases'!G942,"")</f>
        <v/>
      </c>
      <c r="I942" t="str">
        <f>IF($A942&lt;&gt;"",'All Cases - Enter Cases'!H942,"")</f>
        <v/>
      </c>
      <c r="J942" t="str">
        <f>IF($A942&lt;&gt;"",'All Cases - Enter Cases'!I942,"")</f>
        <v/>
      </c>
      <c r="K942" t="str">
        <f>IF($A942&lt;&gt;"",'All Cases - Enter Cases'!J942,"")</f>
        <v/>
      </c>
      <c r="L942" s="4" t="str">
        <f>IF($A942&lt;&gt;"",'All Cases - Enter Cases'!K942,"")</f>
        <v/>
      </c>
      <c r="M942" t="str">
        <f>IF($A942&lt;&gt;"",'All Cases - Enter Cases'!L942,"")</f>
        <v/>
      </c>
    </row>
    <row r="943" spans="1:13" x14ac:dyDescent="0.35">
      <c r="A943" s="4" t="str">
        <f>IF('All Cases - Enter Cases'!$K943="Approved",'All Cases - Enter Cases'!A943,"")</f>
        <v/>
      </c>
      <c r="B943" s="4" t="str">
        <f>IF($N943&lt;&gt;"",$N943,IF($A943&lt;&gt;"",'All Cases - Enter Cases'!$L943+7,""))</f>
        <v/>
      </c>
      <c r="C943" t="str">
        <f>IF($A943&lt;&gt;"",'All Cases - Enter Cases'!B943,"")</f>
        <v/>
      </c>
      <c r="D943" t="str">
        <f>IF($A943&lt;&gt;"",'All Cases - Enter Cases'!C943,"")</f>
        <v/>
      </c>
      <c r="E943" t="str">
        <f>IF($A943&lt;&gt;"",'All Cases - Enter Cases'!D943,"")</f>
        <v/>
      </c>
      <c r="F943" s="12" t="str">
        <f>IF($A943&lt;&gt;"",'All Cases - Enter Cases'!E943,"")</f>
        <v/>
      </c>
      <c r="G943" s="12" t="str">
        <f>IF($A943&lt;&gt;"",'All Cases - Enter Cases'!F943,"")</f>
        <v/>
      </c>
      <c r="H943" s="4" t="str">
        <f>IF($A943&lt;&gt;"",'All Cases - Enter Cases'!G943,"")</f>
        <v/>
      </c>
      <c r="I943" t="str">
        <f>IF($A943&lt;&gt;"",'All Cases - Enter Cases'!H943,"")</f>
        <v/>
      </c>
      <c r="J943" t="str">
        <f>IF($A943&lt;&gt;"",'All Cases - Enter Cases'!I943,"")</f>
        <v/>
      </c>
      <c r="K943" t="str">
        <f>IF($A943&lt;&gt;"",'All Cases - Enter Cases'!J943,"")</f>
        <v/>
      </c>
      <c r="L943" s="4" t="str">
        <f>IF($A943&lt;&gt;"",'All Cases - Enter Cases'!K943,"")</f>
        <v/>
      </c>
      <c r="M943" t="str">
        <f>IF($A943&lt;&gt;"",'All Cases - Enter Cases'!L943,"")</f>
        <v/>
      </c>
    </row>
    <row r="944" spans="1:13" x14ac:dyDescent="0.35">
      <c r="A944" s="4" t="str">
        <f>IF('All Cases - Enter Cases'!$K944="Approved",'All Cases - Enter Cases'!A944,"")</f>
        <v/>
      </c>
      <c r="B944" s="4" t="str">
        <f>IF($N944&lt;&gt;"",$N944,IF($A944&lt;&gt;"",'All Cases - Enter Cases'!$L944+7,""))</f>
        <v/>
      </c>
      <c r="C944" t="str">
        <f>IF($A944&lt;&gt;"",'All Cases - Enter Cases'!B944,"")</f>
        <v/>
      </c>
      <c r="D944" t="str">
        <f>IF($A944&lt;&gt;"",'All Cases - Enter Cases'!C944,"")</f>
        <v/>
      </c>
      <c r="E944" t="str">
        <f>IF($A944&lt;&gt;"",'All Cases - Enter Cases'!D944,"")</f>
        <v/>
      </c>
      <c r="F944" s="12" t="str">
        <f>IF($A944&lt;&gt;"",'All Cases - Enter Cases'!E944,"")</f>
        <v/>
      </c>
      <c r="G944" s="12" t="str">
        <f>IF($A944&lt;&gt;"",'All Cases - Enter Cases'!F944,"")</f>
        <v/>
      </c>
      <c r="H944" s="4" t="str">
        <f>IF($A944&lt;&gt;"",'All Cases - Enter Cases'!G944,"")</f>
        <v/>
      </c>
      <c r="I944" t="str">
        <f>IF($A944&lt;&gt;"",'All Cases - Enter Cases'!H944,"")</f>
        <v/>
      </c>
      <c r="J944" t="str">
        <f>IF($A944&lt;&gt;"",'All Cases - Enter Cases'!I944,"")</f>
        <v/>
      </c>
      <c r="K944" t="str">
        <f>IF($A944&lt;&gt;"",'All Cases - Enter Cases'!J944,"")</f>
        <v/>
      </c>
      <c r="L944" s="4" t="str">
        <f>IF($A944&lt;&gt;"",'All Cases - Enter Cases'!K944,"")</f>
        <v/>
      </c>
      <c r="M944" t="str">
        <f>IF($A944&lt;&gt;"",'All Cases - Enter Cases'!L944,"")</f>
        <v/>
      </c>
    </row>
    <row r="945" spans="1:13" x14ac:dyDescent="0.35">
      <c r="A945" s="4" t="str">
        <f>IF('All Cases - Enter Cases'!$K945="Approved",'All Cases - Enter Cases'!A945,"")</f>
        <v/>
      </c>
      <c r="B945" s="4" t="str">
        <f>IF($N945&lt;&gt;"",$N945,IF($A945&lt;&gt;"",'All Cases - Enter Cases'!$L945+7,""))</f>
        <v/>
      </c>
      <c r="C945" t="str">
        <f>IF($A945&lt;&gt;"",'All Cases - Enter Cases'!B945,"")</f>
        <v/>
      </c>
      <c r="D945" t="str">
        <f>IF($A945&lt;&gt;"",'All Cases - Enter Cases'!C945,"")</f>
        <v/>
      </c>
      <c r="E945" t="str">
        <f>IF($A945&lt;&gt;"",'All Cases - Enter Cases'!D945,"")</f>
        <v/>
      </c>
      <c r="F945" s="12" t="str">
        <f>IF($A945&lt;&gt;"",'All Cases - Enter Cases'!E945,"")</f>
        <v/>
      </c>
      <c r="G945" s="12" t="str">
        <f>IF($A945&lt;&gt;"",'All Cases - Enter Cases'!F945,"")</f>
        <v/>
      </c>
      <c r="H945" s="4" t="str">
        <f>IF($A945&lt;&gt;"",'All Cases - Enter Cases'!G945,"")</f>
        <v/>
      </c>
      <c r="I945" t="str">
        <f>IF($A945&lt;&gt;"",'All Cases - Enter Cases'!H945,"")</f>
        <v/>
      </c>
      <c r="J945" t="str">
        <f>IF($A945&lt;&gt;"",'All Cases - Enter Cases'!I945,"")</f>
        <v/>
      </c>
      <c r="K945" t="str">
        <f>IF($A945&lt;&gt;"",'All Cases - Enter Cases'!J945,"")</f>
        <v/>
      </c>
      <c r="L945" s="4" t="str">
        <f>IF($A945&lt;&gt;"",'All Cases - Enter Cases'!K945,"")</f>
        <v/>
      </c>
      <c r="M945" t="str">
        <f>IF($A945&lt;&gt;"",'All Cases - Enter Cases'!L945,"")</f>
        <v/>
      </c>
    </row>
    <row r="946" spans="1:13" x14ac:dyDescent="0.35">
      <c r="A946" s="4" t="str">
        <f>IF('All Cases - Enter Cases'!$K946="Approved",'All Cases - Enter Cases'!A946,"")</f>
        <v/>
      </c>
      <c r="B946" s="4" t="str">
        <f>IF($N946&lt;&gt;"",$N946,IF($A946&lt;&gt;"",'All Cases - Enter Cases'!$L946+7,""))</f>
        <v/>
      </c>
      <c r="C946" t="str">
        <f>IF($A946&lt;&gt;"",'All Cases - Enter Cases'!B946,"")</f>
        <v/>
      </c>
      <c r="D946" t="str">
        <f>IF($A946&lt;&gt;"",'All Cases - Enter Cases'!C946,"")</f>
        <v/>
      </c>
      <c r="E946" t="str">
        <f>IF($A946&lt;&gt;"",'All Cases - Enter Cases'!D946,"")</f>
        <v/>
      </c>
      <c r="F946" s="12" t="str">
        <f>IF($A946&lt;&gt;"",'All Cases - Enter Cases'!E946,"")</f>
        <v/>
      </c>
      <c r="G946" s="12" t="str">
        <f>IF($A946&lt;&gt;"",'All Cases - Enter Cases'!F946,"")</f>
        <v/>
      </c>
      <c r="H946" s="4" t="str">
        <f>IF($A946&lt;&gt;"",'All Cases - Enter Cases'!G946,"")</f>
        <v/>
      </c>
      <c r="I946" t="str">
        <f>IF($A946&lt;&gt;"",'All Cases - Enter Cases'!H946,"")</f>
        <v/>
      </c>
      <c r="J946" t="str">
        <f>IF($A946&lt;&gt;"",'All Cases - Enter Cases'!I946,"")</f>
        <v/>
      </c>
      <c r="K946" t="str">
        <f>IF($A946&lt;&gt;"",'All Cases - Enter Cases'!J946,"")</f>
        <v/>
      </c>
      <c r="L946" s="4" t="str">
        <f>IF($A946&lt;&gt;"",'All Cases - Enter Cases'!K946,"")</f>
        <v/>
      </c>
      <c r="M946" t="str">
        <f>IF($A946&lt;&gt;"",'All Cases - Enter Cases'!L946,"")</f>
        <v/>
      </c>
    </row>
    <row r="947" spans="1:13" x14ac:dyDescent="0.35">
      <c r="A947" s="4" t="str">
        <f>IF('All Cases - Enter Cases'!$K947="Approved",'All Cases - Enter Cases'!A947,"")</f>
        <v/>
      </c>
      <c r="B947" s="4" t="str">
        <f>IF($N947&lt;&gt;"",$N947,IF($A947&lt;&gt;"",'All Cases - Enter Cases'!$L947+7,""))</f>
        <v/>
      </c>
      <c r="C947" t="str">
        <f>IF($A947&lt;&gt;"",'All Cases - Enter Cases'!B947,"")</f>
        <v/>
      </c>
      <c r="D947" t="str">
        <f>IF($A947&lt;&gt;"",'All Cases - Enter Cases'!C947,"")</f>
        <v/>
      </c>
      <c r="E947" t="str">
        <f>IF($A947&lt;&gt;"",'All Cases - Enter Cases'!D947,"")</f>
        <v/>
      </c>
      <c r="F947" s="12" t="str">
        <f>IF($A947&lt;&gt;"",'All Cases - Enter Cases'!E947,"")</f>
        <v/>
      </c>
      <c r="G947" s="12" t="str">
        <f>IF($A947&lt;&gt;"",'All Cases - Enter Cases'!F947,"")</f>
        <v/>
      </c>
      <c r="H947" s="4" t="str">
        <f>IF($A947&lt;&gt;"",'All Cases - Enter Cases'!G947,"")</f>
        <v/>
      </c>
      <c r="I947" t="str">
        <f>IF($A947&lt;&gt;"",'All Cases - Enter Cases'!H947,"")</f>
        <v/>
      </c>
      <c r="J947" t="str">
        <f>IF($A947&lt;&gt;"",'All Cases - Enter Cases'!I947,"")</f>
        <v/>
      </c>
      <c r="K947" t="str">
        <f>IF($A947&lt;&gt;"",'All Cases - Enter Cases'!J947,"")</f>
        <v/>
      </c>
      <c r="L947" s="4" t="str">
        <f>IF($A947&lt;&gt;"",'All Cases - Enter Cases'!K947,"")</f>
        <v/>
      </c>
      <c r="M947" t="str">
        <f>IF($A947&lt;&gt;"",'All Cases - Enter Cases'!L947,"")</f>
        <v/>
      </c>
    </row>
    <row r="948" spans="1:13" x14ac:dyDescent="0.35">
      <c r="A948" s="4" t="str">
        <f>IF('All Cases - Enter Cases'!$K948="Approved",'All Cases - Enter Cases'!A948,"")</f>
        <v/>
      </c>
      <c r="B948" s="4" t="str">
        <f>IF($N948&lt;&gt;"",$N948,IF($A948&lt;&gt;"",'All Cases - Enter Cases'!$L948+7,""))</f>
        <v/>
      </c>
      <c r="C948" t="str">
        <f>IF($A948&lt;&gt;"",'All Cases - Enter Cases'!B948,"")</f>
        <v/>
      </c>
      <c r="D948" t="str">
        <f>IF($A948&lt;&gt;"",'All Cases - Enter Cases'!C948,"")</f>
        <v/>
      </c>
      <c r="E948" t="str">
        <f>IF($A948&lt;&gt;"",'All Cases - Enter Cases'!D948,"")</f>
        <v/>
      </c>
      <c r="F948" s="12" t="str">
        <f>IF($A948&lt;&gt;"",'All Cases - Enter Cases'!E948,"")</f>
        <v/>
      </c>
      <c r="G948" s="12" t="str">
        <f>IF($A948&lt;&gt;"",'All Cases - Enter Cases'!F948,"")</f>
        <v/>
      </c>
      <c r="H948" s="4" t="str">
        <f>IF($A948&lt;&gt;"",'All Cases - Enter Cases'!G948,"")</f>
        <v/>
      </c>
      <c r="I948" t="str">
        <f>IF($A948&lt;&gt;"",'All Cases - Enter Cases'!H948,"")</f>
        <v/>
      </c>
      <c r="J948" t="str">
        <f>IF($A948&lt;&gt;"",'All Cases - Enter Cases'!I948,"")</f>
        <v/>
      </c>
      <c r="K948" t="str">
        <f>IF($A948&lt;&gt;"",'All Cases - Enter Cases'!J948,"")</f>
        <v/>
      </c>
      <c r="L948" s="4" t="str">
        <f>IF($A948&lt;&gt;"",'All Cases - Enter Cases'!K948,"")</f>
        <v/>
      </c>
      <c r="M948" t="str">
        <f>IF($A948&lt;&gt;"",'All Cases - Enter Cases'!L948,"")</f>
        <v/>
      </c>
    </row>
    <row r="949" spans="1:13" x14ac:dyDescent="0.35">
      <c r="A949" s="4" t="str">
        <f>IF('All Cases - Enter Cases'!$K949="Approved",'All Cases - Enter Cases'!A949,"")</f>
        <v/>
      </c>
      <c r="B949" s="4" t="str">
        <f>IF($N949&lt;&gt;"",$N949,IF($A949&lt;&gt;"",'All Cases - Enter Cases'!$L949+7,""))</f>
        <v/>
      </c>
      <c r="C949" t="str">
        <f>IF($A949&lt;&gt;"",'All Cases - Enter Cases'!B949,"")</f>
        <v/>
      </c>
      <c r="D949" t="str">
        <f>IF($A949&lt;&gt;"",'All Cases - Enter Cases'!C949,"")</f>
        <v/>
      </c>
      <c r="E949" t="str">
        <f>IF($A949&lt;&gt;"",'All Cases - Enter Cases'!D949,"")</f>
        <v/>
      </c>
      <c r="F949" s="12" t="str">
        <f>IF($A949&lt;&gt;"",'All Cases - Enter Cases'!E949,"")</f>
        <v/>
      </c>
      <c r="G949" s="12" t="str">
        <f>IF($A949&lt;&gt;"",'All Cases - Enter Cases'!F949,"")</f>
        <v/>
      </c>
      <c r="H949" s="4" t="str">
        <f>IF($A949&lt;&gt;"",'All Cases - Enter Cases'!G949,"")</f>
        <v/>
      </c>
      <c r="I949" t="str">
        <f>IF($A949&lt;&gt;"",'All Cases - Enter Cases'!H949,"")</f>
        <v/>
      </c>
      <c r="J949" t="str">
        <f>IF($A949&lt;&gt;"",'All Cases - Enter Cases'!I949,"")</f>
        <v/>
      </c>
      <c r="K949" t="str">
        <f>IF($A949&lt;&gt;"",'All Cases - Enter Cases'!J949,"")</f>
        <v/>
      </c>
      <c r="L949" s="4" t="str">
        <f>IF($A949&lt;&gt;"",'All Cases - Enter Cases'!K949,"")</f>
        <v/>
      </c>
      <c r="M949" t="str">
        <f>IF($A949&lt;&gt;"",'All Cases - Enter Cases'!L949,"")</f>
        <v/>
      </c>
    </row>
    <row r="950" spans="1:13" x14ac:dyDescent="0.35">
      <c r="A950" s="4" t="str">
        <f>IF('All Cases - Enter Cases'!$K950="Approved",'All Cases - Enter Cases'!A950,"")</f>
        <v/>
      </c>
      <c r="B950" s="4" t="str">
        <f>IF($N950&lt;&gt;"",$N950,IF($A950&lt;&gt;"",'All Cases - Enter Cases'!$L950+7,""))</f>
        <v/>
      </c>
      <c r="C950" t="str">
        <f>IF($A950&lt;&gt;"",'All Cases - Enter Cases'!B950,"")</f>
        <v/>
      </c>
      <c r="D950" t="str">
        <f>IF($A950&lt;&gt;"",'All Cases - Enter Cases'!C950,"")</f>
        <v/>
      </c>
      <c r="E950" t="str">
        <f>IF($A950&lt;&gt;"",'All Cases - Enter Cases'!D950,"")</f>
        <v/>
      </c>
      <c r="F950" s="12" t="str">
        <f>IF($A950&lt;&gt;"",'All Cases - Enter Cases'!E950,"")</f>
        <v/>
      </c>
      <c r="G950" s="12" t="str">
        <f>IF($A950&lt;&gt;"",'All Cases - Enter Cases'!F950,"")</f>
        <v/>
      </c>
      <c r="H950" s="4" t="str">
        <f>IF($A950&lt;&gt;"",'All Cases - Enter Cases'!G950,"")</f>
        <v/>
      </c>
      <c r="I950" t="str">
        <f>IF($A950&lt;&gt;"",'All Cases - Enter Cases'!H950,"")</f>
        <v/>
      </c>
      <c r="J950" t="str">
        <f>IF($A950&lt;&gt;"",'All Cases - Enter Cases'!I950,"")</f>
        <v/>
      </c>
      <c r="K950" t="str">
        <f>IF($A950&lt;&gt;"",'All Cases - Enter Cases'!J950,"")</f>
        <v/>
      </c>
      <c r="L950" s="4" t="str">
        <f>IF($A950&lt;&gt;"",'All Cases - Enter Cases'!K950,"")</f>
        <v/>
      </c>
      <c r="M950" t="str">
        <f>IF($A950&lt;&gt;"",'All Cases - Enter Cases'!L950,"")</f>
        <v/>
      </c>
    </row>
    <row r="951" spans="1:13" x14ac:dyDescent="0.35">
      <c r="A951" s="4" t="str">
        <f>IF('All Cases - Enter Cases'!$K951="Approved",'All Cases - Enter Cases'!A951,"")</f>
        <v/>
      </c>
      <c r="B951" s="4" t="str">
        <f>IF($N951&lt;&gt;"",$N951,IF($A951&lt;&gt;"",'All Cases - Enter Cases'!$L951+7,""))</f>
        <v/>
      </c>
      <c r="C951" t="str">
        <f>IF($A951&lt;&gt;"",'All Cases - Enter Cases'!B951,"")</f>
        <v/>
      </c>
      <c r="D951" t="str">
        <f>IF($A951&lt;&gt;"",'All Cases - Enter Cases'!C951,"")</f>
        <v/>
      </c>
      <c r="E951" t="str">
        <f>IF($A951&lt;&gt;"",'All Cases - Enter Cases'!D951,"")</f>
        <v/>
      </c>
      <c r="F951" s="12" t="str">
        <f>IF($A951&lt;&gt;"",'All Cases - Enter Cases'!E951,"")</f>
        <v/>
      </c>
      <c r="G951" s="12" t="str">
        <f>IF($A951&lt;&gt;"",'All Cases - Enter Cases'!F951,"")</f>
        <v/>
      </c>
      <c r="H951" s="4" t="str">
        <f>IF($A951&lt;&gt;"",'All Cases - Enter Cases'!G951,"")</f>
        <v/>
      </c>
      <c r="I951" t="str">
        <f>IF($A951&lt;&gt;"",'All Cases - Enter Cases'!H951,"")</f>
        <v/>
      </c>
      <c r="J951" t="str">
        <f>IF($A951&lt;&gt;"",'All Cases - Enter Cases'!I951,"")</f>
        <v/>
      </c>
      <c r="K951" t="str">
        <f>IF($A951&lt;&gt;"",'All Cases - Enter Cases'!J951,"")</f>
        <v/>
      </c>
      <c r="L951" s="4" t="str">
        <f>IF($A951&lt;&gt;"",'All Cases - Enter Cases'!K951,"")</f>
        <v/>
      </c>
      <c r="M951" t="str">
        <f>IF($A951&lt;&gt;"",'All Cases - Enter Cases'!L951,"")</f>
        <v/>
      </c>
    </row>
    <row r="952" spans="1:13" x14ac:dyDescent="0.35">
      <c r="A952" s="4" t="str">
        <f>IF('All Cases - Enter Cases'!$K952="Approved",'All Cases - Enter Cases'!A952,"")</f>
        <v/>
      </c>
      <c r="B952" s="4" t="str">
        <f>IF($N952&lt;&gt;"",$N952,IF($A952&lt;&gt;"",'All Cases - Enter Cases'!$L952+7,""))</f>
        <v/>
      </c>
      <c r="C952" t="str">
        <f>IF($A952&lt;&gt;"",'All Cases - Enter Cases'!B952,"")</f>
        <v/>
      </c>
      <c r="D952" t="str">
        <f>IF($A952&lt;&gt;"",'All Cases - Enter Cases'!C952,"")</f>
        <v/>
      </c>
      <c r="E952" t="str">
        <f>IF($A952&lt;&gt;"",'All Cases - Enter Cases'!D952,"")</f>
        <v/>
      </c>
      <c r="F952" s="12" t="str">
        <f>IF($A952&lt;&gt;"",'All Cases - Enter Cases'!E952,"")</f>
        <v/>
      </c>
      <c r="G952" s="12" t="str">
        <f>IF($A952&lt;&gt;"",'All Cases - Enter Cases'!F952,"")</f>
        <v/>
      </c>
      <c r="H952" s="4" t="str">
        <f>IF($A952&lt;&gt;"",'All Cases - Enter Cases'!G952,"")</f>
        <v/>
      </c>
      <c r="I952" t="str">
        <f>IF($A952&lt;&gt;"",'All Cases - Enter Cases'!H952,"")</f>
        <v/>
      </c>
      <c r="J952" t="str">
        <f>IF($A952&lt;&gt;"",'All Cases - Enter Cases'!I952,"")</f>
        <v/>
      </c>
      <c r="K952" t="str">
        <f>IF($A952&lt;&gt;"",'All Cases - Enter Cases'!J952,"")</f>
        <v/>
      </c>
      <c r="L952" s="4" t="str">
        <f>IF($A952&lt;&gt;"",'All Cases - Enter Cases'!K952,"")</f>
        <v/>
      </c>
      <c r="M952" t="str">
        <f>IF($A952&lt;&gt;"",'All Cases - Enter Cases'!L952,"")</f>
        <v/>
      </c>
    </row>
    <row r="953" spans="1:13" x14ac:dyDescent="0.35">
      <c r="A953" s="4" t="str">
        <f>IF('All Cases - Enter Cases'!$K953="Approved",'All Cases - Enter Cases'!A953,"")</f>
        <v/>
      </c>
      <c r="B953" s="4" t="str">
        <f>IF($N953&lt;&gt;"",$N953,IF($A953&lt;&gt;"",'All Cases - Enter Cases'!$L953+7,""))</f>
        <v/>
      </c>
      <c r="C953" t="str">
        <f>IF($A953&lt;&gt;"",'All Cases - Enter Cases'!B953,"")</f>
        <v/>
      </c>
      <c r="D953" t="str">
        <f>IF($A953&lt;&gt;"",'All Cases - Enter Cases'!C953,"")</f>
        <v/>
      </c>
      <c r="E953" t="str">
        <f>IF($A953&lt;&gt;"",'All Cases - Enter Cases'!D953,"")</f>
        <v/>
      </c>
      <c r="F953" s="12" t="str">
        <f>IF($A953&lt;&gt;"",'All Cases - Enter Cases'!E953,"")</f>
        <v/>
      </c>
      <c r="G953" s="12" t="str">
        <f>IF($A953&lt;&gt;"",'All Cases - Enter Cases'!F953,"")</f>
        <v/>
      </c>
      <c r="H953" s="4" t="str">
        <f>IF($A953&lt;&gt;"",'All Cases - Enter Cases'!G953,"")</f>
        <v/>
      </c>
      <c r="I953" t="str">
        <f>IF($A953&lt;&gt;"",'All Cases - Enter Cases'!H953,"")</f>
        <v/>
      </c>
      <c r="J953" t="str">
        <f>IF($A953&lt;&gt;"",'All Cases - Enter Cases'!I953,"")</f>
        <v/>
      </c>
      <c r="K953" t="str">
        <f>IF($A953&lt;&gt;"",'All Cases - Enter Cases'!J953,"")</f>
        <v/>
      </c>
      <c r="L953" s="4" t="str">
        <f>IF($A953&lt;&gt;"",'All Cases - Enter Cases'!K953,"")</f>
        <v/>
      </c>
      <c r="M953" t="str">
        <f>IF($A953&lt;&gt;"",'All Cases - Enter Cases'!L953,"")</f>
        <v/>
      </c>
    </row>
    <row r="954" spans="1:13" x14ac:dyDescent="0.35">
      <c r="A954" s="4" t="str">
        <f>IF('All Cases - Enter Cases'!$K954="Approved",'All Cases - Enter Cases'!A954,"")</f>
        <v/>
      </c>
      <c r="B954" s="4" t="str">
        <f>IF($N954&lt;&gt;"",$N954,IF($A954&lt;&gt;"",'All Cases - Enter Cases'!$L954+7,""))</f>
        <v/>
      </c>
      <c r="C954" t="str">
        <f>IF($A954&lt;&gt;"",'All Cases - Enter Cases'!B954,"")</f>
        <v/>
      </c>
      <c r="D954" t="str">
        <f>IF($A954&lt;&gt;"",'All Cases - Enter Cases'!C954,"")</f>
        <v/>
      </c>
      <c r="E954" t="str">
        <f>IF($A954&lt;&gt;"",'All Cases - Enter Cases'!D954,"")</f>
        <v/>
      </c>
      <c r="F954" s="12" t="str">
        <f>IF($A954&lt;&gt;"",'All Cases - Enter Cases'!E954,"")</f>
        <v/>
      </c>
      <c r="G954" s="12" t="str">
        <f>IF($A954&lt;&gt;"",'All Cases - Enter Cases'!F954,"")</f>
        <v/>
      </c>
      <c r="H954" s="4" t="str">
        <f>IF($A954&lt;&gt;"",'All Cases - Enter Cases'!G954,"")</f>
        <v/>
      </c>
      <c r="I954" t="str">
        <f>IF($A954&lt;&gt;"",'All Cases - Enter Cases'!H954,"")</f>
        <v/>
      </c>
      <c r="J954" t="str">
        <f>IF($A954&lt;&gt;"",'All Cases - Enter Cases'!I954,"")</f>
        <v/>
      </c>
      <c r="K954" t="str">
        <f>IF($A954&lt;&gt;"",'All Cases - Enter Cases'!J954,"")</f>
        <v/>
      </c>
      <c r="L954" s="4" t="str">
        <f>IF($A954&lt;&gt;"",'All Cases - Enter Cases'!K954,"")</f>
        <v/>
      </c>
      <c r="M954" t="str">
        <f>IF($A954&lt;&gt;"",'All Cases - Enter Cases'!L954,"")</f>
        <v/>
      </c>
    </row>
    <row r="955" spans="1:13" x14ac:dyDescent="0.35">
      <c r="A955" s="4" t="str">
        <f>IF('All Cases - Enter Cases'!$K955="Approved",'All Cases - Enter Cases'!A955,"")</f>
        <v/>
      </c>
      <c r="B955" s="4" t="str">
        <f>IF($N955&lt;&gt;"",$N955,IF($A955&lt;&gt;"",'All Cases - Enter Cases'!$L955+7,""))</f>
        <v/>
      </c>
      <c r="C955" t="str">
        <f>IF($A955&lt;&gt;"",'All Cases - Enter Cases'!B955,"")</f>
        <v/>
      </c>
      <c r="D955" t="str">
        <f>IF($A955&lt;&gt;"",'All Cases - Enter Cases'!C955,"")</f>
        <v/>
      </c>
      <c r="E955" t="str">
        <f>IF($A955&lt;&gt;"",'All Cases - Enter Cases'!D955,"")</f>
        <v/>
      </c>
      <c r="F955" s="12" t="str">
        <f>IF($A955&lt;&gt;"",'All Cases - Enter Cases'!E955,"")</f>
        <v/>
      </c>
      <c r="G955" s="12" t="str">
        <f>IF($A955&lt;&gt;"",'All Cases - Enter Cases'!F955,"")</f>
        <v/>
      </c>
      <c r="H955" s="4" t="str">
        <f>IF($A955&lt;&gt;"",'All Cases - Enter Cases'!G955,"")</f>
        <v/>
      </c>
      <c r="I955" t="str">
        <f>IF($A955&lt;&gt;"",'All Cases - Enter Cases'!H955,"")</f>
        <v/>
      </c>
      <c r="J955" t="str">
        <f>IF($A955&lt;&gt;"",'All Cases - Enter Cases'!I955,"")</f>
        <v/>
      </c>
      <c r="K955" t="str">
        <f>IF($A955&lt;&gt;"",'All Cases - Enter Cases'!J955,"")</f>
        <v/>
      </c>
      <c r="L955" s="4" t="str">
        <f>IF($A955&lt;&gt;"",'All Cases - Enter Cases'!K955,"")</f>
        <v/>
      </c>
      <c r="M955" t="str">
        <f>IF($A955&lt;&gt;"",'All Cases - Enter Cases'!L955,"")</f>
        <v/>
      </c>
    </row>
    <row r="956" spans="1:13" x14ac:dyDescent="0.35">
      <c r="A956" s="4" t="str">
        <f>IF('All Cases - Enter Cases'!$K956="Approved",'All Cases - Enter Cases'!A956,"")</f>
        <v/>
      </c>
      <c r="B956" s="4" t="str">
        <f>IF($N956&lt;&gt;"",$N956,IF($A956&lt;&gt;"",'All Cases - Enter Cases'!$L956+7,""))</f>
        <v/>
      </c>
      <c r="C956" t="str">
        <f>IF($A956&lt;&gt;"",'All Cases - Enter Cases'!B956,"")</f>
        <v/>
      </c>
      <c r="D956" t="str">
        <f>IF($A956&lt;&gt;"",'All Cases - Enter Cases'!C956,"")</f>
        <v/>
      </c>
      <c r="E956" t="str">
        <f>IF($A956&lt;&gt;"",'All Cases - Enter Cases'!D956,"")</f>
        <v/>
      </c>
      <c r="F956" s="12" t="str">
        <f>IF($A956&lt;&gt;"",'All Cases - Enter Cases'!E956,"")</f>
        <v/>
      </c>
      <c r="G956" s="12" t="str">
        <f>IF($A956&lt;&gt;"",'All Cases - Enter Cases'!F956,"")</f>
        <v/>
      </c>
      <c r="H956" s="4" t="str">
        <f>IF($A956&lt;&gt;"",'All Cases - Enter Cases'!G956,"")</f>
        <v/>
      </c>
      <c r="I956" t="str">
        <f>IF($A956&lt;&gt;"",'All Cases - Enter Cases'!H956,"")</f>
        <v/>
      </c>
      <c r="J956" t="str">
        <f>IF($A956&lt;&gt;"",'All Cases - Enter Cases'!I956,"")</f>
        <v/>
      </c>
      <c r="K956" t="str">
        <f>IF($A956&lt;&gt;"",'All Cases - Enter Cases'!J956,"")</f>
        <v/>
      </c>
      <c r="L956" s="4" t="str">
        <f>IF($A956&lt;&gt;"",'All Cases - Enter Cases'!K956,"")</f>
        <v/>
      </c>
      <c r="M956" t="str">
        <f>IF($A956&lt;&gt;"",'All Cases - Enter Cases'!L956,"")</f>
        <v/>
      </c>
    </row>
    <row r="957" spans="1:13" x14ac:dyDescent="0.35">
      <c r="A957" s="4" t="str">
        <f>IF('All Cases - Enter Cases'!$K957="Approved",'All Cases - Enter Cases'!A957,"")</f>
        <v/>
      </c>
      <c r="B957" s="4" t="str">
        <f>IF($N957&lt;&gt;"",$N957,IF($A957&lt;&gt;"",'All Cases - Enter Cases'!$L957+7,""))</f>
        <v/>
      </c>
      <c r="C957" t="str">
        <f>IF($A957&lt;&gt;"",'All Cases - Enter Cases'!B957,"")</f>
        <v/>
      </c>
      <c r="D957" t="str">
        <f>IF($A957&lt;&gt;"",'All Cases - Enter Cases'!C957,"")</f>
        <v/>
      </c>
      <c r="E957" t="str">
        <f>IF($A957&lt;&gt;"",'All Cases - Enter Cases'!D957,"")</f>
        <v/>
      </c>
      <c r="F957" s="12" t="str">
        <f>IF($A957&lt;&gt;"",'All Cases - Enter Cases'!E957,"")</f>
        <v/>
      </c>
      <c r="G957" s="12" t="str">
        <f>IF($A957&lt;&gt;"",'All Cases - Enter Cases'!F957,"")</f>
        <v/>
      </c>
      <c r="H957" s="4" t="str">
        <f>IF($A957&lt;&gt;"",'All Cases - Enter Cases'!G957,"")</f>
        <v/>
      </c>
      <c r="I957" t="str">
        <f>IF($A957&lt;&gt;"",'All Cases - Enter Cases'!H957,"")</f>
        <v/>
      </c>
      <c r="J957" t="str">
        <f>IF($A957&lt;&gt;"",'All Cases - Enter Cases'!I957,"")</f>
        <v/>
      </c>
      <c r="K957" t="str">
        <f>IF($A957&lt;&gt;"",'All Cases - Enter Cases'!J957,"")</f>
        <v/>
      </c>
      <c r="L957" s="4" t="str">
        <f>IF($A957&lt;&gt;"",'All Cases - Enter Cases'!K957,"")</f>
        <v/>
      </c>
      <c r="M957" t="str">
        <f>IF($A957&lt;&gt;"",'All Cases - Enter Cases'!L957,"")</f>
        <v/>
      </c>
    </row>
    <row r="958" spans="1:13" x14ac:dyDescent="0.35">
      <c r="A958" s="4" t="str">
        <f>IF('All Cases - Enter Cases'!$K958="Approved",'All Cases - Enter Cases'!A958,"")</f>
        <v/>
      </c>
      <c r="B958" s="4" t="str">
        <f>IF($N958&lt;&gt;"",$N958,IF($A958&lt;&gt;"",'All Cases - Enter Cases'!$L958+7,""))</f>
        <v/>
      </c>
      <c r="C958" t="str">
        <f>IF($A958&lt;&gt;"",'All Cases - Enter Cases'!B958,"")</f>
        <v/>
      </c>
      <c r="D958" t="str">
        <f>IF($A958&lt;&gt;"",'All Cases - Enter Cases'!C958,"")</f>
        <v/>
      </c>
      <c r="E958" t="str">
        <f>IF($A958&lt;&gt;"",'All Cases - Enter Cases'!D958,"")</f>
        <v/>
      </c>
      <c r="F958" s="12" t="str">
        <f>IF($A958&lt;&gt;"",'All Cases - Enter Cases'!E958,"")</f>
        <v/>
      </c>
      <c r="G958" s="12" t="str">
        <f>IF($A958&lt;&gt;"",'All Cases - Enter Cases'!F958,"")</f>
        <v/>
      </c>
      <c r="H958" s="4" t="str">
        <f>IF($A958&lt;&gt;"",'All Cases - Enter Cases'!G958,"")</f>
        <v/>
      </c>
      <c r="I958" t="str">
        <f>IF($A958&lt;&gt;"",'All Cases - Enter Cases'!H958,"")</f>
        <v/>
      </c>
      <c r="J958" t="str">
        <f>IF($A958&lt;&gt;"",'All Cases - Enter Cases'!I958,"")</f>
        <v/>
      </c>
      <c r="K958" t="str">
        <f>IF($A958&lt;&gt;"",'All Cases - Enter Cases'!J958,"")</f>
        <v/>
      </c>
      <c r="L958" s="4" t="str">
        <f>IF($A958&lt;&gt;"",'All Cases - Enter Cases'!K958,"")</f>
        <v/>
      </c>
      <c r="M958" t="str">
        <f>IF($A958&lt;&gt;"",'All Cases - Enter Cases'!L958,"")</f>
        <v/>
      </c>
    </row>
    <row r="959" spans="1:13" x14ac:dyDescent="0.35">
      <c r="A959" s="4" t="str">
        <f>IF('All Cases - Enter Cases'!$K959="Approved",'All Cases - Enter Cases'!A959,"")</f>
        <v/>
      </c>
      <c r="B959" s="4" t="str">
        <f>IF($N959&lt;&gt;"",$N959,IF($A959&lt;&gt;"",'All Cases - Enter Cases'!$L959+7,""))</f>
        <v/>
      </c>
      <c r="C959" t="str">
        <f>IF($A959&lt;&gt;"",'All Cases - Enter Cases'!B959,"")</f>
        <v/>
      </c>
      <c r="D959" t="str">
        <f>IF($A959&lt;&gt;"",'All Cases - Enter Cases'!C959,"")</f>
        <v/>
      </c>
      <c r="E959" t="str">
        <f>IF($A959&lt;&gt;"",'All Cases - Enter Cases'!D959,"")</f>
        <v/>
      </c>
      <c r="F959" s="12" t="str">
        <f>IF($A959&lt;&gt;"",'All Cases - Enter Cases'!E959,"")</f>
        <v/>
      </c>
      <c r="G959" s="12" t="str">
        <f>IF($A959&lt;&gt;"",'All Cases - Enter Cases'!F959,"")</f>
        <v/>
      </c>
      <c r="H959" s="4" t="str">
        <f>IF($A959&lt;&gt;"",'All Cases - Enter Cases'!G959,"")</f>
        <v/>
      </c>
      <c r="I959" t="str">
        <f>IF($A959&lt;&gt;"",'All Cases - Enter Cases'!H959,"")</f>
        <v/>
      </c>
      <c r="J959" t="str">
        <f>IF($A959&lt;&gt;"",'All Cases - Enter Cases'!I959,"")</f>
        <v/>
      </c>
      <c r="K959" t="str">
        <f>IF($A959&lt;&gt;"",'All Cases - Enter Cases'!J959,"")</f>
        <v/>
      </c>
      <c r="L959" s="4" t="str">
        <f>IF($A959&lt;&gt;"",'All Cases - Enter Cases'!K959,"")</f>
        <v/>
      </c>
      <c r="M959" t="str">
        <f>IF($A959&lt;&gt;"",'All Cases - Enter Cases'!L959,"")</f>
        <v/>
      </c>
    </row>
    <row r="960" spans="1:13" x14ac:dyDescent="0.35">
      <c r="A960" s="4" t="str">
        <f>IF('All Cases - Enter Cases'!$K960="Approved",'All Cases - Enter Cases'!A960,"")</f>
        <v/>
      </c>
      <c r="B960" s="4" t="str">
        <f>IF($N960&lt;&gt;"",$N960,IF($A960&lt;&gt;"",'All Cases - Enter Cases'!$L960+7,""))</f>
        <v/>
      </c>
      <c r="C960" t="str">
        <f>IF($A960&lt;&gt;"",'All Cases - Enter Cases'!B960,"")</f>
        <v/>
      </c>
      <c r="D960" t="str">
        <f>IF($A960&lt;&gt;"",'All Cases - Enter Cases'!C960,"")</f>
        <v/>
      </c>
      <c r="E960" t="str">
        <f>IF($A960&lt;&gt;"",'All Cases - Enter Cases'!D960,"")</f>
        <v/>
      </c>
      <c r="F960" s="12" t="str">
        <f>IF($A960&lt;&gt;"",'All Cases - Enter Cases'!E960,"")</f>
        <v/>
      </c>
      <c r="G960" s="12" t="str">
        <f>IF($A960&lt;&gt;"",'All Cases - Enter Cases'!F960,"")</f>
        <v/>
      </c>
      <c r="H960" s="4" t="str">
        <f>IF($A960&lt;&gt;"",'All Cases - Enter Cases'!G960,"")</f>
        <v/>
      </c>
      <c r="I960" t="str">
        <f>IF($A960&lt;&gt;"",'All Cases - Enter Cases'!H960,"")</f>
        <v/>
      </c>
      <c r="J960" t="str">
        <f>IF($A960&lt;&gt;"",'All Cases - Enter Cases'!I960,"")</f>
        <v/>
      </c>
      <c r="K960" t="str">
        <f>IF($A960&lt;&gt;"",'All Cases - Enter Cases'!J960,"")</f>
        <v/>
      </c>
      <c r="L960" s="4" t="str">
        <f>IF($A960&lt;&gt;"",'All Cases - Enter Cases'!K960,"")</f>
        <v/>
      </c>
      <c r="M960" t="str">
        <f>IF($A960&lt;&gt;"",'All Cases - Enter Cases'!L960,"")</f>
        <v/>
      </c>
    </row>
    <row r="961" spans="1:13" x14ac:dyDescent="0.35">
      <c r="A961" s="4" t="str">
        <f>IF('All Cases - Enter Cases'!$K961="Approved",'All Cases - Enter Cases'!A961,"")</f>
        <v/>
      </c>
      <c r="B961" s="4" t="str">
        <f>IF($N961&lt;&gt;"",$N961,IF($A961&lt;&gt;"",'All Cases - Enter Cases'!$L961+7,""))</f>
        <v/>
      </c>
      <c r="C961" t="str">
        <f>IF($A961&lt;&gt;"",'All Cases - Enter Cases'!B961,"")</f>
        <v/>
      </c>
      <c r="D961" t="str">
        <f>IF($A961&lt;&gt;"",'All Cases - Enter Cases'!C961,"")</f>
        <v/>
      </c>
      <c r="E961" t="str">
        <f>IF($A961&lt;&gt;"",'All Cases - Enter Cases'!D961,"")</f>
        <v/>
      </c>
      <c r="F961" s="12" t="str">
        <f>IF($A961&lt;&gt;"",'All Cases - Enter Cases'!E961,"")</f>
        <v/>
      </c>
      <c r="G961" s="12" t="str">
        <f>IF($A961&lt;&gt;"",'All Cases - Enter Cases'!F961,"")</f>
        <v/>
      </c>
      <c r="H961" s="4" t="str">
        <f>IF($A961&lt;&gt;"",'All Cases - Enter Cases'!G961,"")</f>
        <v/>
      </c>
      <c r="I961" t="str">
        <f>IF($A961&lt;&gt;"",'All Cases - Enter Cases'!H961,"")</f>
        <v/>
      </c>
      <c r="J961" t="str">
        <f>IF($A961&lt;&gt;"",'All Cases - Enter Cases'!I961,"")</f>
        <v/>
      </c>
      <c r="K961" t="str">
        <f>IF($A961&lt;&gt;"",'All Cases - Enter Cases'!J961,"")</f>
        <v/>
      </c>
      <c r="L961" s="4" t="str">
        <f>IF($A961&lt;&gt;"",'All Cases - Enter Cases'!K961,"")</f>
        <v/>
      </c>
      <c r="M961" t="str">
        <f>IF($A961&lt;&gt;"",'All Cases - Enter Cases'!L961,"")</f>
        <v/>
      </c>
    </row>
    <row r="962" spans="1:13" x14ac:dyDescent="0.35">
      <c r="A962" s="4" t="str">
        <f>IF('All Cases - Enter Cases'!$K962="Approved",'All Cases - Enter Cases'!A962,"")</f>
        <v/>
      </c>
      <c r="B962" s="4" t="str">
        <f>IF($N962&lt;&gt;"",$N962,IF($A962&lt;&gt;"",'All Cases - Enter Cases'!$L962+7,""))</f>
        <v/>
      </c>
      <c r="C962" t="str">
        <f>IF($A962&lt;&gt;"",'All Cases - Enter Cases'!B962,"")</f>
        <v/>
      </c>
      <c r="D962" t="str">
        <f>IF($A962&lt;&gt;"",'All Cases - Enter Cases'!C962,"")</f>
        <v/>
      </c>
      <c r="E962" t="str">
        <f>IF($A962&lt;&gt;"",'All Cases - Enter Cases'!D962,"")</f>
        <v/>
      </c>
      <c r="F962" s="12" t="str">
        <f>IF($A962&lt;&gt;"",'All Cases - Enter Cases'!E962,"")</f>
        <v/>
      </c>
      <c r="G962" s="12" t="str">
        <f>IF($A962&lt;&gt;"",'All Cases - Enter Cases'!F962,"")</f>
        <v/>
      </c>
      <c r="H962" s="4" t="str">
        <f>IF($A962&lt;&gt;"",'All Cases - Enter Cases'!G962,"")</f>
        <v/>
      </c>
      <c r="I962" t="str">
        <f>IF($A962&lt;&gt;"",'All Cases - Enter Cases'!H962,"")</f>
        <v/>
      </c>
      <c r="J962" t="str">
        <f>IF($A962&lt;&gt;"",'All Cases - Enter Cases'!I962,"")</f>
        <v/>
      </c>
      <c r="K962" t="str">
        <f>IF($A962&lt;&gt;"",'All Cases - Enter Cases'!J962,"")</f>
        <v/>
      </c>
      <c r="L962" s="4" t="str">
        <f>IF($A962&lt;&gt;"",'All Cases - Enter Cases'!K962,"")</f>
        <v/>
      </c>
      <c r="M962" t="str">
        <f>IF($A962&lt;&gt;"",'All Cases - Enter Cases'!L962,"")</f>
        <v/>
      </c>
    </row>
    <row r="963" spans="1:13" x14ac:dyDescent="0.35">
      <c r="A963" s="4" t="str">
        <f>IF('All Cases - Enter Cases'!$K963="Approved",'All Cases - Enter Cases'!A963,"")</f>
        <v/>
      </c>
      <c r="B963" s="4" t="str">
        <f>IF($N963&lt;&gt;"",$N963,IF($A963&lt;&gt;"",'All Cases - Enter Cases'!$L963+7,""))</f>
        <v/>
      </c>
      <c r="C963" t="str">
        <f>IF($A963&lt;&gt;"",'All Cases - Enter Cases'!B963,"")</f>
        <v/>
      </c>
      <c r="D963" t="str">
        <f>IF($A963&lt;&gt;"",'All Cases - Enter Cases'!C963,"")</f>
        <v/>
      </c>
      <c r="E963" t="str">
        <f>IF($A963&lt;&gt;"",'All Cases - Enter Cases'!D963,"")</f>
        <v/>
      </c>
      <c r="F963" s="12" t="str">
        <f>IF($A963&lt;&gt;"",'All Cases - Enter Cases'!E963,"")</f>
        <v/>
      </c>
      <c r="G963" s="12" t="str">
        <f>IF($A963&lt;&gt;"",'All Cases - Enter Cases'!F963,"")</f>
        <v/>
      </c>
      <c r="H963" s="4" t="str">
        <f>IF($A963&lt;&gt;"",'All Cases - Enter Cases'!G963,"")</f>
        <v/>
      </c>
      <c r="I963" t="str">
        <f>IF($A963&lt;&gt;"",'All Cases - Enter Cases'!H963,"")</f>
        <v/>
      </c>
      <c r="J963" t="str">
        <f>IF($A963&lt;&gt;"",'All Cases - Enter Cases'!I963,"")</f>
        <v/>
      </c>
      <c r="K963" t="str">
        <f>IF($A963&lt;&gt;"",'All Cases - Enter Cases'!J963,"")</f>
        <v/>
      </c>
      <c r="L963" s="4" t="str">
        <f>IF($A963&lt;&gt;"",'All Cases - Enter Cases'!K963,"")</f>
        <v/>
      </c>
      <c r="M963" t="str">
        <f>IF($A963&lt;&gt;"",'All Cases - Enter Cases'!L963,"")</f>
        <v/>
      </c>
    </row>
    <row r="964" spans="1:13" x14ac:dyDescent="0.35">
      <c r="A964" s="4" t="str">
        <f>IF('All Cases - Enter Cases'!$K964="Approved",'All Cases - Enter Cases'!A964,"")</f>
        <v/>
      </c>
      <c r="B964" s="4" t="str">
        <f>IF($N964&lt;&gt;"",$N964,IF($A964&lt;&gt;"",'All Cases - Enter Cases'!$L964+7,""))</f>
        <v/>
      </c>
      <c r="C964" t="str">
        <f>IF($A964&lt;&gt;"",'All Cases - Enter Cases'!B964,"")</f>
        <v/>
      </c>
      <c r="D964" t="str">
        <f>IF($A964&lt;&gt;"",'All Cases - Enter Cases'!C964,"")</f>
        <v/>
      </c>
      <c r="E964" t="str">
        <f>IF($A964&lt;&gt;"",'All Cases - Enter Cases'!D964,"")</f>
        <v/>
      </c>
      <c r="F964" s="12" t="str">
        <f>IF($A964&lt;&gt;"",'All Cases - Enter Cases'!E964,"")</f>
        <v/>
      </c>
      <c r="G964" s="12" t="str">
        <f>IF($A964&lt;&gt;"",'All Cases - Enter Cases'!F964,"")</f>
        <v/>
      </c>
      <c r="H964" s="4" t="str">
        <f>IF($A964&lt;&gt;"",'All Cases - Enter Cases'!G964,"")</f>
        <v/>
      </c>
      <c r="I964" t="str">
        <f>IF($A964&lt;&gt;"",'All Cases - Enter Cases'!H964,"")</f>
        <v/>
      </c>
      <c r="J964" t="str">
        <f>IF($A964&lt;&gt;"",'All Cases - Enter Cases'!I964,"")</f>
        <v/>
      </c>
      <c r="K964" t="str">
        <f>IF($A964&lt;&gt;"",'All Cases - Enter Cases'!J964,"")</f>
        <v/>
      </c>
      <c r="L964" s="4" t="str">
        <f>IF($A964&lt;&gt;"",'All Cases - Enter Cases'!K964,"")</f>
        <v/>
      </c>
      <c r="M964" t="str">
        <f>IF($A964&lt;&gt;"",'All Cases - Enter Cases'!L964,"")</f>
        <v/>
      </c>
    </row>
    <row r="965" spans="1:13" x14ac:dyDescent="0.35">
      <c r="A965" s="4" t="str">
        <f>IF('All Cases - Enter Cases'!$K965="Approved",'All Cases - Enter Cases'!A965,"")</f>
        <v/>
      </c>
      <c r="B965" s="4" t="str">
        <f>IF($N965&lt;&gt;"",$N965,IF($A965&lt;&gt;"",'All Cases - Enter Cases'!$L965+7,""))</f>
        <v/>
      </c>
      <c r="C965" t="str">
        <f>IF($A965&lt;&gt;"",'All Cases - Enter Cases'!B965,"")</f>
        <v/>
      </c>
      <c r="D965" t="str">
        <f>IF($A965&lt;&gt;"",'All Cases - Enter Cases'!C965,"")</f>
        <v/>
      </c>
      <c r="E965" t="str">
        <f>IF($A965&lt;&gt;"",'All Cases - Enter Cases'!D965,"")</f>
        <v/>
      </c>
      <c r="F965" s="12" t="str">
        <f>IF($A965&lt;&gt;"",'All Cases - Enter Cases'!E965,"")</f>
        <v/>
      </c>
      <c r="G965" s="12" t="str">
        <f>IF($A965&lt;&gt;"",'All Cases - Enter Cases'!F965,"")</f>
        <v/>
      </c>
      <c r="H965" s="4" t="str">
        <f>IF($A965&lt;&gt;"",'All Cases - Enter Cases'!G965,"")</f>
        <v/>
      </c>
      <c r="I965" t="str">
        <f>IF($A965&lt;&gt;"",'All Cases - Enter Cases'!H965,"")</f>
        <v/>
      </c>
      <c r="J965" t="str">
        <f>IF($A965&lt;&gt;"",'All Cases - Enter Cases'!I965,"")</f>
        <v/>
      </c>
      <c r="K965" t="str">
        <f>IF($A965&lt;&gt;"",'All Cases - Enter Cases'!J965,"")</f>
        <v/>
      </c>
      <c r="L965" s="4" t="str">
        <f>IF($A965&lt;&gt;"",'All Cases - Enter Cases'!K965,"")</f>
        <v/>
      </c>
      <c r="M965" t="str">
        <f>IF($A965&lt;&gt;"",'All Cases - Enter Cases'!L965,"")</f>
        <v/>
      </c>
    </row>
    <row r="966" spans="1:13" x14ac:dyDescent="0.35">
      <c r="A966" s="4" t="str">
        <f>IF('All Cases - Enter Cases'!$K966="Approved",'All Cases - Enter Cases'!A966,"")</f>
        <v/>
      </c>
      <c r="B966" s="4" t="str">
        <f>IF($N966&lt;&gt;"",$N966,IF($A966&lt;&gt;"",'All Cases - Enter Cases'!$L966+7,""))</f>
        <v/>
      </c>
      <c r="C966" t="str">
        <f>IF($A966&lt;&gt;"",'All Cases - Enter Cases'!B966,"")</f>
        <v/>
      </c>
      <c r="D966" t="str">
        <f>IF($A966&lt;&gt;"",'All Cases - Enter Cases'!C966,"")</f>
        <v/>
      </c>
      <c r="E966" t="str">
        <f>IF($A966&lt;&gt;"",'All Cases - Enter Cases'!D966,"")</f>
        <v/>
      </c>
      <c r="F966" s="12" t="str">
        <f>IF($A966&lt;&gt;"",'All Cases - Enter Cases'!E966,"")</f>
        <v/>
      </c>
      <c r="G966" s="12" t="str">
        <f>IF($A966&lt;&gt;"",'All Cases - Enter Cases'!F966,"")</f>
        <v/>
      </c>
      <c r="H966" s="4" t="str">
        <f>IF($A966&lt;&gt;"",'All Cases - Enter Cases'!G966,"")</f>
        <v/>
      </c>
      <c r="I966" t="str">
        <f>IF($A966&lt;&gt;"",'All Cases - Enter Cases'!H966,"")</f>
        <v/>
      </c>
      <c r="J966" t="str">
        <f>IF($A966&lt;&gt;"",'All Cases - Enter Cases'!I966,"")</f>
        <v/>
      </c>
      <c r="K966" t="str">
        <f>IF($A966&lt;&gt;"",'All Cases - Enter Cases'!J966,"")</f>
        <v/>
      </c>
      <c r="L966" s="4" t="str">
        <f>IF($A966&lt;&gt;"",'All Cases - Enter Cases'!K966,"")</f>
        <v/>
      </c>
      <c r="M966" t="str">
        <f>IF($A966&lt;&gt;"",'All Cases - Enter Cases'!L966,"")</f>
        <v/>
      </c>
    </row>
    <row r="967" spans="1:13" x14ac:dyDescent="0.35">
      <c r="A967" s="4" t="str">
        <f>IF('All Cases - Enter Cases'!$K967="Approved",'All Cases - Enter Cases'!A967,"")</f>
        <v/>
      </c>
      <c r="B967" s="4" t="str">
        <f>IF($N967&lt;&gt;"",$N967,IF($A967&lt;&gt;"",'All Cases - Enter Cases'!$L967+7,""))</f>
        <v/>
      </c>
      <c r="C967" t="str">
        <f>IF($A967&lt;&gt;"",'All Cases - Enter Cases'!B967,"")</f>
        <v/>
      </c>
      <c r="D967" t="str">
        <f>IF($A967&lt;&gt;"",'All Cases - Enter Cases'!C967,"")</f>
        <v/>
      </c>
      <c r="E967" t="str">
        <f>IF($A967&lt;&gt;"",'All Cases - Enter Cases'!D967,"")</f>
        <v/>
      </c>
      <c r="F967" s="12" t="str">
        <f>IF($A967&lt;&gt;"",'All Cases - Enter Cases'!E967,"")</f>
        <v/>
      </c>
      <c r="G967" s="12" t="str">
        <f>IF($A967&lt;&gt;"",'All Cases - Enter Cases'!F967,"")</f>
        <v/>
      </c>
      <c r="H967" s="4" t="str">
        <f>IF($A967&lt;&gt;"",'All Cases - Enter Cases'!G967,"")</f>
        <v/>
      </c>
      <c r="I967" t="str">
        <f>IF($A967&lt;&gt;"",'All Cases - Enter Cases'!H967,"")</f>
        <v/>
      </c>
      <c r="J967" t="str">
        <f>IF($A967&lt;&gt;"",'All Cases - Enter Cases'!I967,"")</f>
        <v/>
      </c>
      <c r="K967" t="str">
        <f>IF($A967&lt;&gt;"",'All Cases - Enter Cases'!J967,"")</f>
        <v/>
      </c>
      <c r="L967" s="4" t="str">
        <f>IF($A967&lt;&gt;"",'All Cases - Enter Cases'!K967,"")</f>
        <v/>
      </c>
      <c r="M967" t="str">
        <f>IF($A967&lt;&gt;"",'All Cases - Enter Cases'!L967,"")</f>
        <v/>
      </c>
    </row>
    <row r="968" spans="1:13" x14ac:dyDescent="0.35">
      <c r="A968" s="4" t="str">
        <f>IF('All Cases - Enter Cases'!$K968="Approved",'All Cases - Enter Cases'!A968,"")</f>
        <v/>
      </c>
      <c r="B968" s="4" t="str">
        <f>IF($N968&lt;&gt;"",$N968,IF($A968&lt;&gt;"",'All Cases - Enter Cases'!$L968+7,""))</f>
        <v/>
      </c>
      <c r="C968" t="str">
        <f>IF($A968&lt;&gt;"",'All Cases - Enter Cases'!B968,"")</f>
        <v/>
      </c>
      <c r="D968" t="str">
        <f>IF($A968&lt;&gt;"",'All Cases - Enter Cases'!C968,"")</f>
        <v/>
      </c>
      <c r="E968" t="str">
        <f>IF($A968&lt;&gt;"",'All Cases - Enter Cases'!D968,"")</f>
        <v/>
      </c>
      <c r="F968" s="12" t="str">
        <f>IF($A968&lt;&gt;"",'All Cases - Enter Cases'!E968,"")</f>
        <v/>
      </c>
      <c r="G968" s="12" t="str">
        <f>IF($A968&lt;&gt;"",'All Cases - Enter Cases'!F968,"")</f>
        <v/>
      </c>
      <c r="H968" s="4" t="str">
        <f>IF($A968&lt;&gt;"",'All Cases - Enter Cases'!G968,"")</f>
        <v/>
      </c>
      <c r="I968" t="str">
        <f>IF($A968&lt;&gt;"",'All Cases - Enter Cases'!H968,"")</f>
        <v/>
      </c>
      <c r="J968" t="str">
        <f>IF($A968&lt;&gt;"",'All Cases - Enter Cases'!I968,"")</f>
        <v/>
      </c>
      <c r="K968" t="str">
        <f>IF($A968&lt;&gt;"",'All Cases - Enter Cases'!J968,"")</f>
        <v/>
      </c>
      <c r="L968" s="4" t="str">
        <f>IF($A968&lt;&gt;"",'All Cases - Enter Cases'!K968,"")</f>
        <v/>
      </c>
      <c r="M968" t="str">
        <f>IF($A968&lt;&gt;"",'All Cases - Enter Cases'!L968,"")</f>
        <v/>
      </c>
    </row>
    <row r="969" spans="1:13" x14ac:dyDescent="0.35">
      <c r="A969" s="4" t="str">
        <f>IF('All Cases - Enter Cases'!$K969="Approved",'All Cases - Enter Cases'!A969,"")</f>
        <v/>
      </c>
      <c r="B969" s="4" t="str">
        <f>IF($N969&lt;&gt;"",$N969,IF($A969&lt;&gt;"",'All Cases - Enter Cases'!$L969+7,""))</f>
        <v/>
      </c>
      <c r="C969" t="str">
        <f>IF($A969&lt;&gt;"",'All Cases - Enter Cases'!B969,"")</f>
        <v/>
      </c>
      <c r="D969" t="str">
        <f>IF($A969&lt;&gt;"",'All Cases - Enter Cases'!C969,"")</f>
        <v/>
      </c>
      <c r="E969" t="str">
        <f>IF($A969&lt;&gt;"",'All Cases - Enter Cases'!D969,"")</f>
        <v/>
      </c>
      <c r="F969" s="12" t="str">
        <f>IF($A969&lt;&gt;"",'All Cases - Enter Cases'!E969,"")</f>
        <v/>
      </c>
      <c r="G969" s="12" t="str">
        <f>IF($A969&lt;&gt;"",'All Cases - Enter Cases'!F969,"")</f>
        <v/>
      </c>
      <c r="H969" s="4" t="str">
        <f>IF($A969&lt;&gt;"",'All Cases - Enter Cases'!G969,"")</f>
        <v/>
      </c>
      <c r="I969" t="str">
        <f>IF($A969&lt;&gt;"",'All Cases - Enter Cases'!H969,"")</f>
        <v/>
      </c>
      <c r="J969" t="str">
        <f>IF($A969&lt;&gt;"",'All Cases - Enter Cases'!I969,"")</f>
        <v/>
      </c>
      <c r="K969" t="str">
        <f>IF($A969&lt;&gt;"",'All Cases - Enter Cases'!J969,"")</f>
        <v/>
      </c>
      <c r="L969" s="4" t="str">
        <f>IF($A969&lt;&gt;"",'All Cases - Enter Cases'!K969,"")</f>
        <v/>
      </c>
      <c r="M969" t="str">
        <f>IF($A969&lt;&gt;"",'All Cases - Enter Cases'!L969,"")</f>
        <v/>
      </c>
    </row>
    <row r="970" spans="1:13" x14ac:dyDescent="0.35">
      <c r="A970" s="4" t="str">
        <f>IF('All Cases - Enter Cases'!$K970="Approved",'All Cases - Enter Cases'!A970,"")</f>
        <v/>
      </c>
      <c r="B970" s="4" t="str">
        <f>IF($N970&lt;&gt;"",$N970,IF($A970&lt;&gt;"",'All Cases - Enter Cases'!$L970+7,""))</f>
        <v/>
      </c>
      <c r="C970" t="str">
        <f>IF($A970&lt;&gt;"",'All Cases - Enter Cases'!B970,"")</f>
        <v/>
      </c>
      <c r="D970" t="str">
        <f>IF($A970&lt;&gt;"",'All Cases - Enter Cases'!C970,"")</f>
        <v/>
      </c>
      <c r="E970" t="str">
        <f>IF($A970&lt;&gt;"",'All Cases - Enter Cases'!D970,"")</f>
        <v/>
      </c>
      <c r="F970" s="12" t="str">
        <f>IF($A970&lt;&gt;"",'All Cases - Enter Cases'!E970,"")</f>
        <v/>
      </c>
      <c r="G970" s="12" t="str">
        <f>IF($A970&lt;&gt;"",'All Cases - Enter Cases'!F970,"")</f>
        <v/>
      </c>
      <c r="H970" s="4" t="str">
        <f>IF($A970&lt;&gt;"",'All Cases - Enter Cases'!G970,"")</f>
        <v/>
      </c>
      <c r="I970" t="str">
        <f>IF($A970&lt;&gt;"",'All Cases - Enter Cases'!H970,"")</f>
        <v/>
      </c>
      <c r="J970" t="str">
        <f>IF($A970&lt;&gt;"",'All Cases - Enter Cases'!I970,"")</f>
        <v/>
      </c>
      <c r="K970" t="str">
        <f>IF($A970&lt;&gt;"",'All Cases - Enter Cases'!J970,"")</f>
        <v/>
      </c>
      <c r="L970" s="4" t="str">
        <f>IF($A970&lt;&gt;"",'All Cases - Enter Cases'!K970,"")</f>
        <v/>
      </c>
      <c r="M970" t="str">
        <f>IF($A970&lt;&gt;"",'All Cases - Enter Cases'!L970,"")</f>
        <v/>
      </c>
    </row>
    <row r="971" spans="1:13" x14ac:dyDescent="0.35">
      <c r="A971" s="4" t="str">
        <f>IF('All Cases - Enter Cases'!$K971="Approved",'All Cases - Enter Cases'!A971,"")</f>
        <v/>
      </c>
      <c r="B971" s="4" t="str">
        <f>IF($N971&lt;&gt;"",$N971,IF($A971&lt;&gt;"",'All Cases - Enter Cases'!$L971+7,""))</f>
        <v/>
      </c>
      <c r="C971" t="str">
        <f>IF($A971&lt;&gt;"",'All Cases - Enter Cases'!B971,"")</f>
        <v/>
      </c>
      <c r="D971" t="str">
        <f>IF($A971&lt;&gt;"",'All Cases - Enter Cases'!C971,"")</f>
        <v/>
      </c>
      <c r="E971" t="str">
        <f>IF($A971&lt;&gt;"",'All Cases - Enter Cases'!D971,"")</f>
        <v/>
      </c>
      <c r="F971" s="12" t="str">
        <f>IF($A971&lt;&gt;"",'All Cases - Enter Cases'!E971,"")</f>
        <v/>
      </c>
      <c r="G971" s="12" t="str">
        <f>IF($A971&lt;&gt;"",'All Cases - Enter Cases'!F971,"")</f>
        <v/>
      </c>
      <c r="H971" s="4" t="str">
        <f>IF($A971&lt;&gt;"",'All Cases - Enter Cases'!G971,"")</f>
        <v/>
      </c>
      <c r="I971" t="str">
        <f>IF($A971&lt;&gt;"",'All Cases - Enter Cases'!H971,"")</f>
        <v/>
      </c>
      <c r="J971" t="str">
        <f>IF($A971&lt;&gt;"",'All Cases - Enter Cases'!I971,"")</f>
        <v/>
      </c>
      <c r="K971" t="str">
        <f>IF($A971&lt;&gt;"",'All Cases - Enter Cases'!J971,"")</f>
        <v/>
      </c>
      <c r="L971" s="4" t="str">
        <f>IF($A971&lt;&gt;"",'All Cases - Enter Cases'!K971,"")</f>
        <v/>
      </c>
      <c r="M971" t="str">
        <f>IF($A971&lt;&gt;"",'All Cases - Enter Cases'!L971,"")</f>
        <v/>
      </c>
    </row>
    <row r="972" spans="1:13" x14ac:dyDescent="0.35">
      <c r="A972" s="4" t="str">
        <f>IF('All Cases - Enter Cases'!$K972="Approved",'All Cases - Enter Cases'!A972,"")</f>
        <v/>
      </c>
      <c r="B972" s="4" t="str">
        <f>IF($N972&lt;&gt;"",$N972,IF($A972&lt;&gt;"",'All Cases - Enter Cases'!$L972+7,""))</f>
        <v/>
      </c>
      <c r="C972" t="str">
        <f>IF($A972&lt;&gt;"",'All Cases - Enter Cases'!B972,"")</f>
        <v/>
      </c>
      <c r="D972" t="str">
        <f>IF($A972&lt;&gt;"",'All Cases - Enter Cases'!C972,"")</f>
        <v/>
      </c>
      <c r="E972" t="str">
        <f>IF($A972&lt;&gt;"",'All Cases - Enter Cases'!D972,"")</f>
        <v/>
      </c>
      <c r="F972" s="12" t="str">
        <f>IF($A972&lt;&gt;"",'All Cases - Enter Cases'!E972,"")</f>
        <v/>
      </c>
      <c r="G972" s="12" t="str">
        <f>IF($A972&lt;&gt;"",'All Cases - Enter Cases'!F972,"")</f>
        <v/>
      </c>
      <c r="H972" s="4" t="str">
        <f>IF($A972&lt;&gt;"",'All Cases - Enter Cases'!G972,"")</f>
        <v/>
      </c>
      <c r="I972" t="str">
        <f>IF($A972&lt;&gt;"",'All Cases - Enter Cases'!H972,"")</f>
        <v/>
      </c>
      <c r="J972" t="str">
        <f>IF($A972&lt;&gt;"",'All Cases - Enter Cases'!I972,"")</f>
        <v/>
      </c>
      <c r="K972" t="str">
        <f>IF($A972&lt;&gt;"",'All Cases - Enter Cases'!J972,"")</f>
        <v/>
      </c>
      <c r="L972" s="4" t="str">
        <f>IF($A972&lt;&gt;"",'All Cases - Enter Cases'!K972,"")</f>
        <v/>
      </c>
      <c r="M972" t="str">
        <f>IF($A972&lt;&gt;"",'All Cases - Enter Cases'!L972,"")</f>
        <v/>
      </c>
    </row>
    <row r="973" spans="1:13" x14ac:dyDescent="0.35">
      <c r="A973" s="4" t="str">
        <f>IF('All Cases - Enter Cases'!$K973="Approved",'All Cases - Enter Cases'!A973,"")</f>
        <v/>
      </c>
      <c r="B973" s="4" t="str">
        <f>IF($N973&lt;&gt;"",$N973,IF($A973&lt;&gt;"",'All Cases - Enter Cases'!$L973+7,""))</f>
        <v/>
      </c>
      <c r="C973" t="str">
        <f>IF($A973&lt;&gt;"",'All Cases - Enter Cases'!B973,"")</f>
        <v/>
      </c>
      <c r="D973" t="str">
        <f>IF($A973&lt;&gt;"",'All Cases - Enter Cases'!C973,"")</f>
        <v/>
      </c>
      <c r="E973" t="str">
        <f>IF($A973&lt;&gt;"",'All Cases - Enter Cases'!D973,"")</f>
        <v/>
      </c>
      <c r="F973" s="12" t="str">
        <f>IF($A973&lt;&gt;"",'All Cases - Enter Cases'!E973,"")</f>
        <v/>
      </c>
      <c r="G973" s="12" t="str">
        <f>IF($A973&lt;&gt;"",'All Cases - Enter Cases'!F973,"")</f>
        <v/>
      </c>
      <c r="H973" s="4" t="str">
        <f>IF($A973&lt;&gt;"",'All Cases - Enter Cases'!G973,"")</f>
        <v/>
      </c>
      <c r="I973" t="str">
        <f>IF($A973&lt;&gt;"",'All Cases - Enter Cases'!H973,"")</f>
        <v/>
      </c>
      <c r="J973" t="str">
        <f>IF($A973&lt;&gt;"",'All Cases - Enter Cases'!I973,"")</f>
        <v/>
      </c>
      <c r="K973" t="str">
        <f>IF($A973&lt;&gt;"",'All Cases - Enter Cases'!J973,"")</f>
        <v/>
      </c>
      <c r="L973" s="4" t="str">
        <f>IF($A973&lt;&gt;"",'All Cases - Enter Cases'!K973,"")</f>
        <v/>
      </c>
      <c r="M973" t="str">
        <f>IF($A973&lt;&gt;"",'All Cases - Enter Cases'!L973,"")</f>
        <v/>
      </c>
    </row>
    <row r="974" spans="1:13" x14ac:dyDescent="0.35">
      <c r="A974" s="4" t="str">
        <f>IF('All Cases - Enter Cases'!$K974="Approved",'All Cases - Enter Cases'!A974,"")</f>
        <v/>
      </c>
      <c r="B974" s="4" t="str">
        <f>IF($N974&lt;&gt;"",$N974,IF($A974&lt;&gt;"",'All Cases - Enter Cases'!$L974+7,""))</f>
        <v/>
      </c>
      <c r="C974" t="str">
        <f>IF($A974&lt;&gt;"",'All Cases - Enter Cases'!B974,"")</f>
        <v/>
      </c>
      <c r="D974" t="str">
        <f>IF($A974&lt;&gt;"",'All Cases - Enter Cases'!C974,"")</f>
        <v/>
      </c>
      <c r="E974" t="str">
        <f>IF($A974&lt;&gt;"",'All Cases - Enter Cases'!D974,"")</f>
        <v/>
      </c>
      <c r="F974" s="12" t="str">
        <f>IF($A974&lt;&gt;"",'All Cases - Enter Cases'!E974,"")</f>
        <v/>
      </c>
      <c r="G974" s="12" t="str">
        <f>IF($A974&lt;&gt;"",'All Cases - Enter Cases'!F974,"")</f>
        <v/>
      </c>
      <c r="H974" s="4" t="str">
        <f>IF($A974&lt;&gt;"",'All Cases - Enter Cases'!G974,"")</f>
        <v/>
      </c>
      <c r="I974" t="str">
        <f>IF($A974&lt;&gt;"",'All Cases - Enter Cases'!H974,"")</f>
        <v/>
      </c>
      <c r="J974" t="str">
        <f>IF($A974&lt;&gt;"",'All Cases - Enter Cases'!I974,"")</f>
        <v/>
      </c>
      <c r="K974" t="str">
        <f>IF($A974&lt;&gt;"",'All Cases - Enter Cases'!J974,"")</f>
        <v/>
      </c>
      <c r="L974" s="4" t="str">
        <f>IF($A974&lt;&gt;"",'All Cases - Enter Cases'!K974,"")</f>
        <v/>
      </c>
      <c r="M974" t="str">
        <f>IF($A974&lt;&gt;"",'All Cases - Enter Cases'!L974,"")</f>
        <v/>
      </c>
    </row>
    <row r="975" spans="1:13" x14ac:dyDescent="0.35">
      <c r="A975" s="4" t="str">
        <f>IF('All Cases - Enter Cases'!$K975="Approved",'All Cases - Enter Cases'!A975,"")</f>
        <v/>
      </c>
      <c r="B975" s="4" t="str">
        <f>IF($N975&lt;&gt;"",$N975,IF($A975&lt;&gt;"",'All Cases - Enter Cases'!$L975+7,""))</f>
        <v/>
      </c>
      <c r="C975" t="str">
        <f>IF($A975&lt;&gt;"",'All Cases - Enter Cases'!B975,"")</f>
        <v/>
      </c>
      <c r="D975" t="str">
        <f>IF($A975&lt;&gt;"",'All Cases - Enter Cases'!C975,"")</f>
        <v/>
      </c>
      <c r="E975" t="str">
        <f>IF($A975&lt;&gt;"",'All Cases - Enter Cases'!D975,"")</f>
        <v/>
      </c>
      <c r="F975" s="12" t="str">
        <f>IF($A975&lt;&gt;"",'All Cases - Enter Cases'!E975,"")</f>
        <v/>
      </c>
      <c r="G975" s="12" t="str">
        <f>IF($A975&lt;&gt;"",'All Cases - Enter Cases'!F975,"")</f>
        <v/>
      </c>
      <c r="H975" s="4" t="str">
        <f>IF($A975&lt;&gt;"",'All Cases - Enter Cases'!G975,"")</f>
        <v/>
      </c>
      <c r="I975" t="str">
        <f>IF($A975&lt;&gt;"",'All Cases - Enter Cases'!H975,"")</f>
        <v/>
      </c>
      <c r="J975" t="str">
        <f>IF($A975&lt;&gt;"",'All Cases - Enter Cases'!I975,"")</f>
        <v/>
      </c>
      <c r="K975" t="str">
        <f>IF($A975&lt;&gt;"",'All Cases - Enter Cases'!J975,"")</f>
        <v/>
      </c>
      <c r="L975" s="4" t="str">
        <f>IF($A975&lt;&gt;"",'All Cases - Enter Cases'!K975,"")</f>
        <v/>
      </c>
      <c r="M975" t="str">
        <f>IF($A975&lt;&gt;"",'All Cases - Enter Cases'!L975,"")</f>
        <v/>
      </c>
    </row>
    <row r="976" spans="1:13" x14ac:dyDescent="0.35">
      <c r="A976" s="4" t="str">
        <f>IF('All Cases - Enter Cases'!$K976="Approved",'All Cases - Enter Cases'!A976,"")</f>
        <v/>
      </c>
      <c r="B976" s="4" t="str">
        <f>IF($N976&lt;&gt;"",$N976,IF($A976&lt;&gt;"",'All Cases - Enter Cases'!$L976+7,""))</f>
        <v/>
      </c>
      <c r="C976" t="str">
        <f>IF($A976&lt;&gt;"",'All Cases - Enter Cases'!B976,"")</f>
        <v/>
      </c>
      <c r="D976" t="str">
        <f>IF($A976&lt;&gt;"",'All Cases - Enter Cases'!C976,"")</f>
        <v/>
      </c>
      <c r="E976" t="str">
        <f>IF($A976&lt;&gt;"",'All Cases - Enter Cases'!D976,"")</f>
        <v/>
      </c>
      <c r="F976" s="12" t="str">
        <f>IF($A976&lt;&gt;"",'All Cases - Enter Cases'!E976,"")</f>
        <v/>
      </c>
      <c r="G976" s="12" t="str">
        <f>IF($A976&lt;&gt;"",'All Cases - Enter Cases'!F976,"")</f>
        <v/>
      </c>
      <c r="H976" s="4" t="str">
        <f>IF($A976&lt;&gt;"",'All Cases - Enter Cases'!G976,"")</f>
        <v/>
      </c>
      <c r="I976" t="str">
        <f>IF($A976&lt;&gt;"",'All Cases - Enter Cases'!H976,"")</f>
        <v/>
      </c>
      <c r="J976" t="str">
        <f>IF($A976&lt;&gt;"",'All Cases - Enter Cases'!I976,"")</f>
        <v/>
      </c>
      <c r="K976" t="str">
        <f>IF($A976&lt;&gt;"",'All Cases - Enter Cases'!J976,"")</f>
        <v/>
      </c>
      <c r="L976" s="4" t="str">
        <f>IF($A976&lt;&gt;"",'All Cases - Enter Cases'!K976,"")</f>
        <v/>
      </c>
      <c r="M976" t="str">
        <f>IF($A976&lt;&gt;"",'All Cases - Enter Cases'!L976,"")</f>
        <v/>
      </c>
    </row>
    <row r="977" spans="1:13" x14ac:dyDescent="0.35">
      <c r="A977" s="4" t="str">
        <f>IF('All Cases - Enter Cases'!$K977="Approved",'All Cases - Enter Cases'!A977,"")</f>
        <v/>
      </c>
      <c r="B977" s="4" t="str">
        <f>IF($N977&lt;&gt;"",$N977,IF($A977&lt;&gt;"",'All Cases - Enter Cases'!$L977+7,""))</f>
        <v/>
      </c>
      <c r="C977" t="str">
        <f>IF($A977&lt;&gt;"",'All Cases - Enter Cases'!B977,"")</f>
        <v/>
      </c>
      <c r="D977" t="str">
        <f>IF($A977&lt;&gt;"",'All Cases - Enter Cases'!C977,"")</f>
        <v/>
      </c>
      <c r="E977" t="str">
        <f>IF($A977&lt;&gt;"",'All Cases - Enter Cases'!D977,"")</f>
        <v/>
      </c>
      <c r="F977" s="12" t="str">
        <f>IF($A977&lt;&gt;"",'All Cases - Enter Cases'!E977,"")</f>
        <v/>
      </c>
      <c r="G977" s="12" t="str">
        <f>IF($A977&lt;&gt;"",'All Cases - Enter Cases'!F977,"")</f>
        <v/>
      </c>
      <c r="H977" s="4" t="str">
        <f>IF($A977&lt;&gt;"",'All Cases - Enter Cases'!G977,"")</f>
        <v/>
      </c>
      <c r="I977" t="str">
        <f>IF($A977&lt;&gt;"",'All Cases - Enter Cases'!H977,"")</f>
        <v/>
      </c>
      <c r="J977" t="str">
        <f>IF($A977&lt;&gt;"",'All Cases - Enter Cases'!I977,"")</f>
        <v/>
      </c>
      <c r="K977" t="str">
        <f>IF($A977&lt;&gt;"",'All Cases - Enter Cases'!J977,"")</f>
        <v/>
      </c>
      <c r="L977" s="4" t="str">
        <f>IF($A977&lt;&gt;"",'All Cases - Enter Cases'!K977,"")</f>
        <v/>
      </c>
      <c r="M977" t="str">
        <f>IF($A977&lt;&gt;"",'All Cases - Enter Cases'!L977,"")</f>
        <v/>
      </c>
    </row>
    <row r="978" spans="1:13" x14ac:dyDescent="0.35">
      <c r="A978" s="4" t="str">
        <f>IF('All Cases - Enter Cases'!$K978="Approved",'All Cases - Enter Cases'!A978,"")</f>
        <v/>
      </c>
      <c r="B978" s="4" t="str">
        <f>IF($N978&lt;&gt;"",$N978,IF($A978&lt;&gt;"",'All Cases - Enter Cases'!$L978+7,""))</f>
        <v/>
      </c>
      <c r="C978" t="str">
        <f>IF($A978&lt;&gt;"",'All Cases - Enter Cases'!B978,"")</f>
        <v/>
      </c>
      <c r="D978" t="str">
        <f>IF($A978&lt;&gt;"",'All Cases - Enter Cases'!C978,"")</f>
        <v/>
      </c>
      <c r="E978" t="str">
        <f>IF($A978&lt;&gt;"",'All Cases - Enter Cases'!D978,"")</f>
        <v/>
      </c>
      <c r="F978" s="12" t="str">
        <f>IF($A978&lt;&gt;"",'All Cases - Enter Cases'!E978,"")</f>
        <v/>
      </c>
      <c r="G978" s="12" t="str">
        <f>IF($A978&lt;&gt;"",'All Cases - Enter Cases'!F978,"")</f>
        <v/>
      </c>
      <c r="H978" s="4" t="str">
        <f>IF($A978&lt;&gt;"",'All Cases - Enter Cases'!G978,"")</f>
        <v/>
      </c>
      <c r="I978" t="str">
        <f>IF($A978&lt;&gt;"",'All Cases - Enter Cases'!H978,"")</f>
        <v/>
      </c>
      <c r="J978" t="str">
        <f>IF($A978&lt;&gt;"",'All Cases - Enter Cases'!I978,"")</f>
        <v/>
      </c>
      <c r="K978" t="str">
        <f>IF($A978&lt;&gt;"",'All Cases - Enter Cases'!J978,"")</f>
        <v/>
      </c>
      <c r="L978" s="4" t="str">
        <f>IF($A978&lt;&gt;"",'All Cases - Enter Cases'!K978,"")</f>
        <v/>
      </c>
      <c r="M978" t="str">
        <f>IF($A978&lt;&gt;"",'All Cases - Enter Cases'!L978,"")</f>
        <v/>
      </c>
    </row>
    <row r="979" spans="1:13" x14ac:dyDescent="0.35">
      <c r="A979" s="4" t="str">
        <f>IF('All Cases - Enter Cases'!$K979="Approved",'All Cases - Enter Cases'!A979,"")</f>
        <v/>
      </c>
      <c r="B979" s="4" t="str">
        <f>IF($N979&lt;&gt;"",$N979,IF($A979&lt;&gt;"",'All Cases - Enter Cases'!$L979+7,""))</f>
        <v/>
      </c>
      <c r="C979" t="str">
        <f>IF($A979&lt;&gt;"",'All Cases - Enter Cases'!B979,"")</f>
        <v/>
      </c>
      <c r="D979" t="str">
        <f>IF($A979&lt;&gt;"",'All Cases - Enter Cases'!C979,"")</f>
        <v/>
      </c>
      <c r="E979" t="str">
        <f>IF($A979&lt;&gt;"",'All Cases - Enter Cases'!D979,"")</f>
        <v/>
      </c>
      <c r="F979" s="12" t="str">
        <f>IF($A979&lt;&gt;"",'All Cases - Enter Cases'!E979,"")</f>
        <v/>
      </c>
      <c r="G979" s="12" t="str">
        <f>IF($A979&lt;&gt;"",'All Cases - Enter Cases'!F979,"")</f>
        <v/>
      </c>
      <c r="H979" s="4" t="str">
        <f>IF($A979&lt;&gt;"",'All Cases - Enter Cases'!G979,"")</f>
        <v/>
      </c>
      <c r="I979" t="str">
        <f>IF($A979&lt;&gt;"",'All Cases - Enter Cases'!H979,"")</f>
        <v/>
      </c>
      <c r="J979" t="str">
        <f>IF($A979&lt;&gt;"",'All Cases - Enter Cases'!I979,"")</f>
        <v/>
      </c>
      <c r="K979" t="str">
        <f>IF($A979&lt;&gt;"",'All Cases - Enter Cases'!J979,"")</f>
        <v/>
      </c>
      <c r="L979" s="4" t="str">
        <f>IF($A979&lt;&gt;"",'All Cases - Enter Cases'!K979,"")</f>
        <v/>
      </c>
      <c r="M979" t="str">
        <f>IF($A979&lt;&gt;"",'All Cases - Enter Cases'!L979,"")</f>
        <v/>
      </c>
    </row>
    <row r="980" spans="1:13" x14ac:dyDescent="0.35">
      <c r="A980" s="4" t="str">
        <f>IF('All Cases - Enter Cases'!$K980="Approved",'All Cases - Enter Cases'!A980,"")</f>
        <v/>
      </c>
      <c r="B980" s="4" t="str">
        <f>IF($N980&lt;&gt;"",$N980,IF($A980&lt;&gt;"",'All Cases - Enter Cases'!$L980+7,""))</f>
        <v/>
      </c>
      <c r="C980" t="str">
        <f>IF($A980&lt;&gt;"",'All Cases - Enter Cases'!B980,"")</f>
        <v/>
      </c>
      <c r="D980" t="str">
        <f>IF($A980&lt;&gt;"",'All Cases - Enter Cases'!C980,"")</f>
        <v/>
      </c>
      <c r="E980" t="str">
        <f>IF($A980&lt;&gt;"",'All Cases - Enter Cases'!D980,"")</f>
        <v/>
      </c>
      <c r="F980" s="12" t="str">
        <f>IF($A980&lt;&gt;"",'All Cases - Enter Cases'!E980,"")</f>
        <v/>
      </c>
      <c r="G980" s="12" t="str">
        <f>IF($A980&lt;&gt;"",'All Cases - Enter Cases'!F980,"")</f>
        <v/>
      </c>
      <c r="H980" s="4" t="str">
        <f>IF($A980&lt;&gt;"",'All Cases - Enter Cases'!G980,"")</f>
        <v/>
      </c>
      <c r="I980" t="str">
        <f>IF($A980&lt;&gt;"",'All Cases - Enter Cases'!H980,"")</f>
        <v/>
      </c>
      <c r="J980" t="str">
        <f>IF($A980&lt;&gt;"",'All Cases - Enter Cases'!I980,"")</f>
        <v/>
      </c>
      <c r="K980" t="str">
        <f>IF($A980&lt;&gt;"",'All Cases - Enter Cases'!J980,"")</f>
        <v/>
      </c>
      <c r="L980" s="4" t="str">
        <f>IF($A980&lt;&gt;"",'All Cases - Enter Cases'!K980,"")</f>
        <v/>
      </c>
      <c r="M980" t="str">
        <f>IF($A980&lt;&gt;"",'All Cases - Enter Cases'!L980,"")</f>
        <v/>
      </c>
    </row>
    <row r="981" spans="1:13" x14ac:dyDescent="0.35">
      <c r="A981" s="4" t="str">
        <f>IF('All Cases - Enter Cases'!$K981="Approved",'All Cases - Enter Cases'!A981,"")</f>
        <v/>
      </c>
      <c r="B981" s="4" t="str">
        <f>IF($N981&lt;&gt;"",$N981,IF($A981&lt;&gt;"",'All Cases - Enter Cases'!$L981+7,""))</f>
        <v/>
      </c>
      <c r="C981" t="str">
        <f>IF($A981&lt;&gt;"",'All Cases - Enter Cases'!B981,"")</f>
        <v/>
      </c>
      <c r="D981" t="str">
        <f>IF($A981&lt;&gt;"",'All Cases - Enter Cases'!C981,"")</f>
        <v/>
      </c>
      <c r="E981" t="str">
        <f>IF($A981&lt;&gt;"",'All Cases - Enter Cases'!D981,"")</f>
        <v/>
      </c>
      <c r="F981" s="12" t="str">
        <f>IF($A981&lt;&gt;"",'All Cases - Enter Cases'!E981,"")</f>
        <v/>
      </c>
      <c r="G981" s="12" t="str">
        <f>IF($A981&lt;&gt;"",'All Cases - Enter Cases'!F981,"")</f>
        <v/>
      </c>
      <c r="H981" s="4" t="str">
        <f>IF($A981&lt;&gt;"",'All Cases - Enter Cases'!G981,"")</f>
        <v/>
      </c>
      <c r="I981" t="str">
        <f>IF($A981&lt;&gt;"",'All Cases - Enter Cases'!H981,"")</f>
        <v/>
      </c>
      <c r="J981" t="str">
        <f>IF($A981&lt;&gt;"",'All Cases - Enter Cases'!I981,"")</f>
        <v/>
      </c>
      <c r="K981" t="str">
        <f>IF($A981&lt;&gt;"",'All Cases - Enter Cases'!J981,"")</f>
        <v/>
      </c>
      <c r="L981" s="4" t="str">
        <f>IF($A981&lt;&gt;"",'All Cases - Enter Cases'!K981,"")</f>
        <v/>
      </c>
      <c r="M981" t="str">
        <f>IF($A981&lt;&gt;"",'All Cases - Enter Cases'!L981,"")</f>
        <v/>
      </c>
    </row>
    <row r="982" spans="1:13" x14ac:dyDescent="0.35">
      <c r="A982" s="4" t="str">
        <f>IF('All Cases - Enter Cases'!$K982="Approved",'All Cases - Enter Cases'!A982,"")</f>
        <v/>
      </c>
      <c r="B982" s="4" t="str">
        <f>IF($N982&lt;&gt;"",$N982,IF($A982&lt;&gt;"",'All Cases - Enter Cases'!$L982+7,""))</f>
        <v/>
      </c>
      <c r="C982" t="str">
        <f>IF($A982&lt;&gt;"",'All Cases - Enter Cases'!B982,"")</f>
        <v/>
      </c>
      <c r="D982" t="str">
        <f>IF($A982&lt;&gt;"",'All Cases - Enter Cases'!C982,"")</f>
        <v/>
      </c>
      <c r="E982" t="str">
        <f>IF($A982&lt;&gt;"",'All Cases - Enter Cases'!D982,"")</f>
        <v/>
      </c>
      <c r="F982" s="12" t="str">
        <f>IF($A982&lt;&gt;"",'All Cases - Enter Cases'!E982,"")</f>
        <v/>
      </c>
      <c r="G982" s="12" t="str">
        <f>IF($A982&lt;&gt;"",'All Cases - Enter Cases'!F982,"")</f>
        <v/>
      </c>
      <c r="H982" s="4" t="str">
        <f>IF($A982&lt;&gt;"",'All Cases - Enter Cases'!G982,"")</f>
        <v/>
      </c>
      <c r="I982" t="str">
        <f>IF($A982&lt;&gt;"",'All Cases - Enter Cases'!H982,"")</f>
        <v/>
      </c>
      <c r="J982" t="str">
        <f>IF($A982&lt;&gt;"",'All Cases - Enter Cases'!I982,"")</f>
        <v/>
      </c>
      <c r="K982" t="str">
        <f>IF($A982&lt;&gt;"",'All Cases - Enter Cases'!J982,"")</f>
        <v/>
      </c>
      <c r="L982" s="4" t="str">
        <f>IF($A982&lt;&gt;"",'All Cases - Enter Cases'!K982,"")</f>
        <v/>
      </c>
      <c r="M982" t="str">
        <f>IF($A982&lt;&gt;"",'All Cases - Enter Cases'!L982,"")</f>
        <v/>
      </c>
    </row>
    <row r="983" spans="1:13" x14ac:dyDescent="0.35">
      <c r="A983" s="4" t="str">
        <f>IF('All Cases - Enter Cases'!$K983="Approved",'All Cases - Enter Cases'!A983,"")</f>
        <v/>
      </c>
      <c r="B983" s="4" t="str">
        <f>IF($N983&lt;&gt;"",$N983,IF($A983&lt;&gt;"",'All Cases - Enter Cases'!$L983+7,""))</f>
        <v/>
      </c>
      <c r="C983" t="str">
        <f>IF($A983&lt;&gt;"",'All Cases - Enter Cases'!B983,"")</f>
        <v/>
      </c>
      <c r="D983" t="str">
        <f>IF($A983&lt;&gt;"",'All Cases - Enter Cases'!C983,"")</f>
        <v/>
      </c>
      <c r="E983" t="str">
        <f>IF($A983&lt;&gt;"",'All Cases - Enter Cases'!D983,"")</f>
        <v/>
      </c>
      <c r="F983" s="12" t="str">
        <f>IF($A983&lt;&gt;"",'All Cases - Enter Cases'!E983,"")</f>
        <v/>
      </c>
      <c r="G983" s="12" t="str">
        <f>IF($A983&lt;&gt;"",'All Cases - Enter Cases'!F983,"")</f>
        <v/>
      </c>
      <c r="H983" s="4" t="str">
        <f>IF($A983&lt;&gt;"",'All Cases - Enter Cases'!G983,"")</f>
        <v/>
      </c>
      <c r="I983" t="str">
        <f>IF($A983&lt;&gt;"",'All Cases - Enter Cases'!H983,"")</f>
        <v/>
      </c>
      <c r="J983" t="str">
        <f>IF($A983&lt;&gt;"",'All Cases - Enter Cases'!I983,"")</f>
        <v/>
      </c>
      <c r="K983" t="str">
        <f>IF($A983&lt;&gt;"",'All Cases - Enter Cases'!J983,"")</f>
        <v/>
      </c>
      <c r="L983" s="4" t="str">
        <f>IF($A983&lt;&gt;"",'All Cases - Enter Cases'!K983,"")</f>
        <v/>
      </c>
      <c r="M983" t="str">
        <f>IF($A983&lt;&gt;"",'All Cases - Enter Cases'!L983,"")</f>
        <v/>
      </c>
    </row>
    <row r="984" spans="1:13" x14ac:dyDescent="0.35">
      <c r="A984" s="4" t="str">
        <f>IF('All Cases - Enter Cases'!$K984="Approved",'All Cases - Enter Cases'!A984,"")</f>
        <v/>
      </c>
      <c r="B984" s="4" t="str">
        <f>IF($N984&lt;&gt;"",$N984,IF($A984&lt;&gt;"",'All Cases - Enter Cases'!$L984+7,""))</f>
        <v/>
      </c>
      <c r="C984" t="str">
        <f>IF($A984&lt;&gt;"",'All Cases - Enter Cases'!B984,"")</f>
        <v/>
      </c>
      <c r="D984" t="str">
        <f>IF($A984&lt;&gt;"",'All Cases - Enter Cases'!C984,"")</f>
        <v/>
      </c>
      <c r="E984" t="str">
        <f>IF($A984&lt;&gt;"",'All Cases - Enter Cases'!D984,"")</f>
        <v/>
      </c>
      <c r="F984" s="12" t="str">
        <f>IF($A984&lt;&gt;"",'All Cases - Enter Cases'!E984,"")</f>
        <v/>
      </c>
      <c r="G984" s="12" t="str">
        <f>IF($A984&lt;&gt;"",'All Cases - Enter Cases'!F984,"")</f>
        <v/>
      </c>
      <c r="H984" s="4" t="str">
        <f>IF($A984&lt;&gt;"",'All Cases - Enter Cases'!G984,"")</f>
        <v/>
      </c>
      <c r="I984" t="str">
        <f>IF($A984&lt;&gt;"",'All Cases - Enter Cases'!H984,"")</f>
        <v/>
      </c>
      <c r="J984" t="str">
        <f>IF($A984&lt;&gt;"",'All Cases - Enter Cases'!I984,"")</f>
        <v/>
      </c>
      <c r="K984" t="str">
        <f>IF($A984&lt;&gt;"",'All Cases - Enter Cases'!J984,"")</f>
        <v/>
      </c>
      <c r="L984" s="4" t="str">
        <f>IF($A984&lt;&gt;"",'All Cases - Enter Cases'!K984,"")</f>
        <v/>
      </c>
      <c r="M984" t="str">
        <f>IF($A984&lt;&gt;"",'All Cases - Enter Cases'!L984,"")</f>
        <v/>
      </c>
    </row>
    <row r="985" spans="1:13" x14ac:dyDescent="0.35">
      <c r="A985" s="4" t="str">
        <f>IF('All Cases - Enter Cases'!$K985="Approved",'All Cases - Enter Cases'!A985,"")</f>
        <v/>
      </c>
      <c r="B985" s="4" t="str">
        <f>IF($N985&lt;&gt;"",$N985,IF($A985&lt;&gt;"",'All Cases - Enter Cases'!$L985+7,""))</f>
        <v/>
      </c>
      <c r="C985" t="str">
        <f>IF($A985&lt;&gt;"",'All Cases - Enter Cases'!B985,"")</f>
        <v/>
      </c>
      <c r="D985" t="str">
        <f>IF($A985&lt;&gt;"",'All Cases - Enter Cases'!C985,"")</f>
        <v/>
      </c>
      <c r="E985" t="str">
        <f>IF($A985&lt;&gt;"",'All Cases - Enter Cases'!D985,"")</f>
        <v/>
      </c>
      <c r="F985" s="12" t="str">
        <f>IF($A985&lt;&gt;"",'All Cases - Enter Cases'!E985,"")</f>
        <v/>
      </c>
      <c r="G985" s="12" t="str">
        <f>IF($A985&lt;&gt;"",'All Cases - Enter Cases'!F985,"")</f>
        <v/>
      </c>
      <c r="H985" s="4" t="str">
        <f>IF($A985&lt;&gt;"",'All Cases - Enter Cases'!G985,"")</f>
        <v/>
      </c>
      <c r="I985" t="str">
        <f>IF($A985&lt;&gt;"",'All Cases - Enter Cases'!H985,"")</f>
        <v/>
      </c>
      <c r="J985" t="str">
        <f>IF($A985&lt;&gt;"",'All Cases - Enter Cases'!I985,"")</f>
        <v/>
      </c>
      <c r="K985" t="str">
        <f>IF($A985&lt;&gt;"",'All Cases - Enter Cases'!J985,"")</f>
        <v/>
      </c>
      <c r="L985" s="4" t="str">
        <f>IF($A985&lt;&gt;"",'All Cases - Enter Cases'!K985,"")</f>
        <v/>
      </c>
      <c r="M985" t="str">
        <f>IF($A985&lt;&gt;"",'All Cases - Enter Cases'!L985,"")</f>
        <v/>
      </c>
    </row>
    <row r="986" spans="1:13" x14ac:dyDescent="0.35">
      <c r="A986" s="4" t="str">
        <f>IF('All Cases - Enter Cases'!$K986="Approved",'All Cases - Enter Cases'!A986,"")</f>
        <v/>
      </c>
      <c r="B986" s="4" t="str">
        <f>IF($N986&lt;&gt;"",$N986,IF($A986&lt;&gt;"",'All Cases - Enter Cases'!$L986+7,""))</f>
        <v/>
      </c>
      <c r="C986" t="str">
        <f>IF($A986&lt;&gt;"",'All Cases - Enter Cases'!B986,"")</f>
        <v/>
      </c>
      <c r="D986" t="str">
        <f>IF($A986&lt;&gt;"",'All Cases - Enter Cases'!C986,"")</f>
        <v/>
      </c>
      <c r="E986" t="str">
        <f>IF($A986&lt;&gt;"",'All Cases - Enter Cases'!D986,"")</f>
        <v/>
      </c>
      <c r="F986" s="12" t="str">
        <f>IF($A986&lt;&gt;"",'All Cases - Enter Cases'!E986,"")</f>
        <v/>
      </c>
      <c r="G986" s="12" t="str">
        <f>IF($A986&lt;&gt;"",'All Cases - Enter Cases'!F986,"")</f>
        <v/>
      </c>
      <c r="H986" s="4" t="str">
        <f>IF($A986&lt;&gt;"",'All Cases - Enter Cases'!G986,"")</f>
        <v/>
      </c>
      <c r="I986" t="str">
        <f>IF($A986&lt;&gt;"",'All Cases - Enter Cases'!H986,"")</f>
        <v/>
      </c>
      <c r="J986" t="str">
        <f>IF($A986&lt;&gt;"",'All Cases - Enter Cases'!I986,"")</f>
        <v/>
      </c>
      <c r="K986" t="str">
        <f>IF($A986&lt;&gt;"",'All Cases - Enter Cases'!J986,"")</f>
        <v/>
      </c>
      <c r="L986" s="4" t="str">
        <f>IF($A986&lt;&gt;"",'All Cases - Enter Cases'!K986,"")</f>
        <v/>
      </c>
      <c r="M986" t="str">
        <f>IF($A986&lt;&gt;"",'All Cases - Enter Cases'!L986,"")</f>
        <v/>
      </c>
    </row>
    <row r="987" spans="1:13" x14ac:dyDescent="0.35">
      <c r="A987" s="4" t="str">
        <f>IF('All Cases - Enter Cases'!$K987="Approved",'All Cases - Enter Cases'!A987,"")</f>
        <v/>
      </c>
      <c r="B987" s="4" t="str">
        <f>IF($N987&lt;&gt;"",$N987,IF($A987&lt;&gt;"",'All Cases - Enter Cases'!$L987+7,""))</f>
        <v/>
      </c>
      <c r="C987" t="str">
        <f>IF($A987&lt;&gt;"",'All Cases - Enter Cases'!B987,"")</f>
        <v/>
      </c>
      <c r="D987" t="str">
        <f>IF($A987&lt;&gt;"",'All Cases - Enter Cases'!C987,"")</f>
        <v/>
      </c>
      <c r="E987" t="str">
        <f>IF($A987&lt;&gt;"",'All Cases - Enter Cases'!D987,"")</f>
        <v/>
      </c>
      <c r="F987" s="12" t="str">
        <f>IF($A987&lt;&gt;"",'All Cases - Enter Cases'!E987,"")</f>
        <v/>
      </c>
      <c r="G987" s="12" t="str">
        <f>IF($A987&lt;&gt;"",'All Cases - Enter Cases'!F987,"")</f>
        <v/>
      </c>
      <c r="H987" s="4" t="str">
        <f>IF($A987&lt;&gt;"",'All Cases - Enter Cases'!G987,"")</f>
        <v/>
      </c>
      <c r="I987" t="str">
        <f>IF($A987&lt;&gt;"",'All Cases - Enter Cases'!H987,"")</f>
        <v/>
      </c>
      <c r="J987" t="str">
        <f>IF($A987&lt;&gt;"",'All Cases - Enter Cases'!I987,"")</f>
        <v/>
      </c>
      <c r="K987" t="str">
        <f>IF($A987&lt;&gt;"",'All Cases - Enter Cases'!J987,"")</f>
        <v/>
      </c>
      <c r="L987" s="4" t="str">
        <f>IF($A987&lt;&gt;"",'All Cases - Enter Cases'!K987,"")</f>
        <v/>
      </c>
      <c r="M987" t="str">
        <f>IF($A987&lt;&gt;"",'All Cases - Enter Cases'!L987,"")</f>
        <v/>
      </c>
    </row>
    <row r="988" spans="1:13" x14ac:dyDescent="0.35">
      <c r="A988" s="4" t="str">
        <f>IF('All Cases - Enter Cases'!$K988="Approved",'All Cases - Enter Cases'!A988,"")</f>
        <v/>
      </c>
      <c r="B988" s="4" t="str">
        <f>IF($N988&lt;&gt;"",$N988,IF($A988&lt;&gt;"",'All Cases - Enter Cases'!$L988+7,""))</f>
        <v/>
      </c>
      <c r="C988" t="str">
        <f>IF($A988&lt;&gt;"",'All Cases - Enter Cases'!B988,"")</f>
        <v/>
      </c>
      <c r="D988" t="str">
        <f>IF($A988&lt;&gt;"",'All Cases - Enter Cases'!C988,"")</f>
        <v/>
      </c>
      <c r="E988" t="str">
        <f>IF($A988&lt;&gt;"",'All Cases - Enter Cases'!D988,"")</f>
        <v/>
      </c>
      <c r="F988" s="12" t="str">
        <f>IF($A988&lt;&gt;"",'All Cases - Enter Cases'!E988,"")</f>
        <v/>
      </c>
      <c r="G988" s="12" t="str">
        <f>IF($A988&lt;&gt;"",'All Cases - Enter Cases'!F988,"")</f>
        <v/>
      </c>
      <c r="H988" s="4" t="str">
        <f>IF($A988&lt;&gt;"",'All Cases - Enter Cases'!G988,"")</f>
        <v/>
      </c>
      <c r="I988" t="str">
        <f>IF($A988&lt;&gt;"",'All Cases - Enter Cases'!H988,"")</f>
        <v/>
      </c>
      <c r="J988" t="str">
        <f>IF($A988&lt;&gt;"",'All Cases - Enter Cases'!I988,"")</f>
        <v/>
      </c>
      <c r="K988" t="str">
        <f>IF($A988&lt;&gt;"",'All Cases - Enter Cases'!J988,"")</f>
        <v/>
      </c>
      <c r="L988" s="4" t="str">
        <f>IF($A988&lt;&gt;"",'All Cases - Enter Cases'!K988,"")</f>
        <v/>
      </c>
      <c r="M988" t="str">
        <f>IF($A988&lt;&gt;"",'All Cases - Enter Cases'!L988,"")</f>
        <v/>
      </c>
    </row>
    <row r="989" spans="1:13" x14ac:dyDescent="0.35">
      <c r="A989" s="4" t="str">
        <f>IF('All Cases - Enter Cases'!$K989="Approved",'All Cases - Enter Cases'!A989,"")</f>
        <v/>
      </c>
      <c r="B989" s="4" t="str">
        <f>IF($N989&lt;&gt;"",$N989,IF($A989&lt;&gt;"",'All Cases - Enter Cases'!$L989+7,""))</f>
        <v/>
      </c>
      <c r="C989" t="str">
        <f>IF($A989&lt;&gt;"",'All Cases - Enter Cases'!B989,"")</f>
        <v/>
      </c>
      <c r="D989" t="str">
        <f>IF($A989&lt;&gt;"",'All Cases - Enter Cases'!C989,"")</f>
        <v/>
      </c>
      <c r="E989" t="str">
        <f>IF($A989&lt;&gt;"",'All Cases - Enter Cases'!D989,"")</f>
        <v/>
      </c>
      <c r="F989" s="12" t="str">
        <f>IF($A989&lt;&gt;"",'All Cases - Enter Cases'!E989,"")</f>
        <v/>
      </c>
      <c r="G989" s="12" t="str">
        <f>IF($A989&lt;&gt;"",'All Cases - Enter Cases'!F989,"")</f>
        <v/>
      </c>
      <c r="H989" s="4" t="str">
        <f>IF($A989&lt;&gt;"",'All Cases - Enter Cases'!G989,"")</f>
        <v/>
      </c>
      <c r="I989" t="str">
        <f>IF($A989&lt;&gt;"",'All Cases - Enter Cases'!H989,"")</f>
        <v/>
      </c>
      <c r="J989" t="str">
        <f>IF($A989&lt;&gt;"",'All Cases - Enter Cases'!I989,"")</f>
        <v/>
      </c>
      <c r="K989" t="str">
        <f>IF($A989&lt;&gt;"",'All Cases - Enter Cases'!J989,"")</f>
        <v/>
      </c>
      <c r="L989" s="4" t="str">
        <f>IF($A989&lt;&gt;"",'All Cases - Enter Cases'!K989,"")</f>
        <v/>
      </c>
      <c r="M989" t="str">
        <f>IF($A989&lt;&gt;"",'All Cases - Enter Cases'!L989,"")</f>
        <v/>
      </c>
    </row>
    <row r="990" spans="1:13" x14ac:dyDescent="0.35">
      <c r="A990" s="4" t="str">
        <f>IF('All Cases - Enter Cases'!$K990="Approved",'All Cases - Enter Cases'!A990,"")</f>
        <v/>
      </c>
      <c r="B990" s="4" t="str">
        <f>IF($N990&lt;&gt;"",$N990,IF($A990&lt;&gt;"",'All Cases - Enter Cases'!$L990+7,""))</f>
        <v/>
      </c>
      <c r="C990" t="str">
        <f>IF($A990&lt;&gt;"",'All Cases - Enter Cases'!B990,"")</f>
        <v/>
      </c>
      <c r="D990" t="str">
        <f>IF($A990&lt;&gt;"",'All Cases - Enter Cases'!C990,"")</f>
        <v/>
      </c>
      <c r="E990" t="str">
        <f>IF($A990&lt;&gt;"",'All Cases - Enter Cases'!D990,"")</f>
        <v/>
      </c>
      <c r="F990" s="12" t="str">
        <f>IF($A990&lt;&gt;"",'All Cases - Enter Cases'!E990,"")</f>
        <v/>
      </c>
      <c r="G990" s="12" t="str">
        <f>IF($A990&lt;&gt;"",'All Cases - Enter Cases'!F990,"")</f>
        <v/>
      </c>
      <c r="H990" s="4" t="str">
        <f>IF($A990&lt;&gt;"",'All Cases - Enter Cases'!G990,"")</f>
        <v/>
      </c>
      <c r="I990" t="str">
        <f>IF($A990&lt;&gt;"",'All Cases - Enter Cases'!H990,"")</f>
        <v/>
      </c>
      <c r="J990" t="str">
        <f>IF($A990&lt;&gt;"",'All Cases - Enter Cases'!I990,"")</f>
        <v/>
      </c>
      <c r="K990" t="str">
        <f>IF($A990&lt;&gt;"",'All Cases - Enter Cases'!J990,"")</f>
        <v/>
      </c>
      <c r="L990" s="4" t="str">
        <f>IF($A990&lt;&gt;"",'All Cases - Enter Cases'!K990,"")</f>
        <v/>
      </c>
      <c r="M990" t="str">
        <f>IF($A990&lt;&gt;"",'All Cases - Enter Cases'!L990,"")</f>
        <v/>
      </c>
    </row>
    <row r="991" spans="1:13" x14ac:dyDescent="0.35">
      <c r="A991" s="4" t="str">
        <f>IF('All Cases - Enter Cases'!$K991="Approved",'All Cases - Enter Cases'!A991,"")</f>
        <v/>
      </c>
      <c r="B991" s="4" t="str">
        <f>IF($N991&lt;&gt;"",$N991,IF($A991&lt;&gt;"",'All Cases - Enter Cases'!$L991+7,""))</f>
        <v/>
      </c>
      <c r="C991" t="str">
        <f>IF($A991&lt;&gt;"",'All Cases - Enter Cases'!B991,"")</f>
        <v/>
      </c>
      <c r="D991" t="str">
        <f>IF($A991&lt;&gt;"",'All Cases - Enter Cases'!C991,"")</f>
        <v/>
      </c>
      <c r="E991" t="str">
        <f>IF($A991&lt;&gt;"",'All Cases - Enter Cases'!D991,"")</f>
        <v/>
      </c>
      <c r="F991" s="12" t="str">
        <f>IF($A991&lt;&gt;"",'All Cases - Enter Cases'!E991,"")</f>
        <v/>
      </c>
      <c r="G991" s="12" t="str">
        <f>IF($A991&lt;&gt;"",'All Cases - Enter Cases'!F991,"")</f>
        <v/>
      </c>
      <c r="H991" s="4" t="str">
        <f>IF($A991&lt;&gt;"",'All Cases - Enter Cases'!G991,"")</f>
        <v/>
      </c>
      <c r="I991" t="str">
        <f>IF($A991&lt;&gt;"",'All Cases - Enter Cases'!H991,"")</f>
        <v/>
      </c>
      <c r="J991" t="str">
        <f>IF($A991&lt;&gt;"",'All Cases - Enter Cases'!I991,"")</f>
        <v/>
      </c>
      <c r="K991" t="str">
        <f>IF($A991&lt;&gt;"",'All Cases - Enter Cases'!J991,"")</f>
        <v/>
      </c>
      <c r="L991" s="4" t="str">
        <f>IF($A991&lt;&gt;"",'All Cases - Enter Cases'!K991,"")</f>
        <v/>
      </c>
      <c r="M991" t="str">
        <f>IF($A991&lt;&gt;"",'All Cases - Enter Cases'!L991,"")</f>
        <v/>
      </c>
    </row>
    <row r="992" spans="1:13" x14ac:dyDescent="0.35">
      <c r="A992" s="4" t="str">
        <f>IF('All Cases - Enter Cases'!$K992="Approved",'All Cases - Enter Cases'!A992,"")</f>
        <v/>
      </c>
      <c r="B992" s="4" t="str">
        <f>IF($N992&lt;&gt;"",$N992,IF($A992&lt;&gt;"",'All Cases - Enter Cases'!$L992+7,""))</f>
        <v/>
      </c>
      <c r="C992" t="str">
        <f>IF($A992&lt;&gt;"",'All Cases - Enter Cases'!B992,"")</f>
        <v/>
      </c>
      <c r="D992" t="str">
        <f>IF($A992&lt;&gt;"",'All Cases - Enter Cases'!C992,"")</f>
        <v/>
      </c>
      <c r="E992" t="str">
        <f>IF($A992&lt;&gt;"",'All Cases - Enter Cases'!D992,"")</f>
        <v/>
      </c>
      <c r="F992" s="12" t="str">
        <f>IF($A992&lt;&gt;"",'All Cases - Enter Cases'!E992,"")</f>
        <v/>
      </c>
      <c r="G992" s="12" t="str">
        <f>IF($A992&lt;&gt;"",'All Cases - Enter Cases'!F992,"")</f>
        <v/>
      </c>
      <c r="H992" s="4" t="str">
        <f>IF($A992&lt;&gt;"",'All Cases - Enter Cases'!G992,"")</f>
        <v/>
      </c>
      <c r="I992" t="str">
        <f>IF($A992&lt;&gt;"",'All Cases - Enter Cases'!H992,"")</f>
        <v/>
      </c>
      <c r="J992" t="str">
        <f>IF($A992&lt;&gt;"",'All Cases - Enter Cases'!I992,"")</f>
        <v/>
      </c>
      <c r="K992" t="str">
        <f>IF($A992&lt;&gt;"",'All Cases - Enter Cases'!J992,"")</f>
        <v/>
      </c>
      <c r="L992" s="4" t="str">
        <f>IF($A992&lt;&gt;"",'All Cases - Enter Cases'!K992,"")</f>
        <v/>
      </c>
      <c r="M992" t="str">
        <f>IF($A992&lt;&gt;"",'All Cases - Enter Cases'!L992,"")</f>
        <v/>
      </c>
    </row>
    <row r="993" spans="1:13" x14ac:dyDescent="0.35">
      <c r="A993" s="4" t="str">
        <f>IF('All Cases - Enter Cases'!$K993="Approved",'All Cases - Enter Cases'!A993,"")</f>
        <v/>
      </c>
      <c r="B993" s="4" t="str">
        <f>IF($N993&lt;&gt;"",$N993,IF($A993&lt;&gt;"",'All Cases - Enter Cases'!$L993+7,""))</f>
        <v/>
      </c>
      <c r="C993" t="str">
        <f>IF($A993&lt;&gt;"",'All Cases - Enter Cases'!B993,"")</f>
        <v/>
      </c>
      <c r="D993" t="str">
        <f>IF($A993&lt;&gt;"",'All Cases - Enter Cases'!C993,"")</f>
        <v/>
      </c>
      <c r="E993" t="str">
        <f>IF($A993&lt;&gt;"",'All Cases - Enter Cases'!D993,"")</f>
        <v/>
      </c>
      <c r="F993" s="12" t="str">
        <f>IF($A993&lt;&gt;"",'All Cases - Enter Cases'!E993,"")</f>
        <v/>
      </c>
      <c r="G993" s="12" t="str">
        <f>IF($A993&lt;&gt;"",'All Cases - Enter Cases'!F993,"")</f>
        <v/>
      </c>
      <c r="H993" s="4" t="str">
        <f>IF($A993&lt;&gt;"",'All Cases - Enter Cases'!G993,"")</f>
        <v/>
      </c>
      <c r="I993" t="str">
        <f>IF($A993&lt;&gt;"",'All Cases - Enter Cases'!H993,"")</f>
        <v/>
      </c>
      <c r="J993" t="str">
        <f>IF($A993&lt;&gt;"",'All Cases - Enter Cases'!I993,"")</f>
        <v/>
      </c>
      <c r="K993" t="str">
        <f>IF($A993&lt;&gt;"",'All Cases - Enter Cases'!J993,"")</f>
        <v/>
      </c>
      <c r="L993" s="4" t="str">
        <f>IF($A993&lt;&gt;"",'All Cases - Enter Cases'!K993,"")</f>
        <v/>
      </c>
      <c r="M993" t="str">
        <f>IF($A993&lt;&gt;"",'All Cases - Enter Cases'!L993,"")</f>
        <v/>
      </c>
    </row>
    <row r="994" spans="1:13" x14ac:dyDescent="0.35">
      <c r="A994" s="4" t="str">
        <f>IF('All Cases - Enter Cases'!$K994="Approved",'All Cases - Enter Cases'!A994,"")</f>
        <v/>
      </c>
      <c r="B994" s="4" t="str">
        <f>IF($N994&lt;&gt;"",$N994,IF($A994&lt;&gt;"",'All Cases - Enter Cases'!$L994+7,""))</f>
        <v/>
      </c>
      <c r="C994" t="str">
        <f>IF($A994&lt;&gt;"",'All Cases - Enter Cases'!B994,"")</f>
        <v/>
      </c>
      <c r="D994" t="str">
        <f>IF($A994&lt;&gt;"",'All Cases - Enter Cases'!C994,"")</f>
        <v/>
      </c>
      <c r="E994" t="str">
        <f>IF($A994&lt;&gt;"",'All Cases - Enter Cases'!D994,"")</f>
        <v/>
      </c>
      <c r="F994" s="12" t="str">
        <f>IF($A994&lt;&gt;"",'All Cases - Enter Cases'!E994,"")</f>
        <v/>
      </c>
      <c r="G994" s="12" t="str">
        <f>IF($A994&lt;&gt;"",'All Cases - Enter Cases'!F994,"")</f>
        <v/>
      </c>
      <c r="H994" s="4" t="str">
        <f>IF($A994&lt;&gt;"",'All Cases - Enter Cases'!G994,"")</f>
        <v/>
      </c>
      <c r="I994" t="str">
        <f>IF($A994&lt;&gt;"",'All Cases - Enter Cases'!H994,"")</f>
        <v/>
      </c>
      <c r="J994" t="str">
        <f>IF($A994&lt;&gt;"",'All Cases - Enter Cases'!I994,"")</f>
        <v/>
      </c>
      <c r="K994" t="str">
        <f>IF($A994&lt;&gt;"",'All Cases - Enter Cases'!J994,"")</f>
        <v/>
      </c>
      <c r="L994" s="4" t="str">
        <f>IF($A994&lt;&gt;"",'All Cases - Enter Cases'!K994,"")</f>
        <v/>
      </c>
      <c r="M994" t="str">
        <f>IF($A994&lt;&gt;"",'All Cases - Enter Cases'!L994,"")</f>
        <v/>
      </c>
    </row>
    <row r="995" spans="1:13" x14ac:dyDescent="0.35">
      <c r="A995" s="4" t="str">
        <f>IF('All Cases - Enter Cases'!$K995="Approved",'All Cases - Enter Cases'!A995,"")</f>
        <v/>
      </c>
      <c r="B995" s="4" t="str">
        <f>IF($N995&lt;&gt;"",$N995,IF($A995&lt;&gt;"",'All Cases - Enter Cases'!$L995+7,""))</f>
        <v/>
      </c>
      <c r="C995" t="str">
        <f>IF($A995&lt;&gt;"",'All Cases - Enter Cases'!B995,"")</f>
        <v/>
      </c>
      <c r="D995" t="str">
        <f>IF($A995&lt;&gt;"",'All Cases - Enter Cases'!C995,"")</f>
        <v/>
      </c>
      <c r="E995" t="str">
        <f>IF($A995&lt;&gt;"",'All Cases - Enter Cases'!D995,"")</f>
        <v/>
      </c>
      <c r="F995" s="12" t="str">
        <f>IF($A995&lt;&gt;"",'All Cases - Enter Cases'!E995,"")</f>
        <v/>
      </c>
      <c r="G995" s="12" t="str">
        <f>IF($A995&lt;&gt;"",'All Cases - Enter Cases'!F995,"")</f>
        <v/>
      </c>
      <c r="H995" s="4" t="str">
        <f>IF($A995&lt;&gt;"",'All Cases - Enter Cases'!G995,"")</f>
        <v/>
      </c>
      <c r="I995" t="str">
        <f>IF($A995&lt;&gt;"",'All Cases - Enter Cases'!H995,"")</f>
        <v/>
      </c>
      <c r="J995" t="str">
        <f>IF($A995&lt;&gt;"",'All Cases - Enter Cases'!I995,"")</f>
        <v/>
      </c>
      <c r="K995" t="str">
        <f>IF($A995&lt;&gt;"",'All Cases - Enter Cases'!J995,"")</f>
        <v/>
      </c>
      <c r="L995" s="4" t="str">
        <f>IF($A995&lt;&gt;"",'All Cases - Enter Cases'!K995,"")</f>
        <v/>
      </c>
      <c r="M995" t="str">
        <f>IF($A995&lt;&gt;"",'All Cases - Enter Cases'!L995,"")</f>
        <v/>
      </c>
    </row>
    <row r="996" spans="1:13" x14ac:dyDescent="0.35">
      <c r="A996" s="4" t="str">
        <f>IF('All Cases - Enter Cases'!$K996="Approved",'All Cases - Enter Cases'!A996,"")</f>
        <v/>
      </c>
      <c r="B996" s="4" t="str">
        <f>IF($N996&lt;&gt;"",$N996,IF($A996&lt;&gt;"",'All Cases - Enter Cases'!$L996+7,""))</f>
        <v/>
      </c>
      <c r="C996" t="str">
        <f>IF($A996&lt;&gt;"",'All Cases - Enter Cases'!B996,"")</f>
        <v/>
      </c>
      <c r="D996" t="str">
        <f>IF($A996&lt;&gt;"",'All Cases - Enter Cases'!C996,"")</f>
        <v/>
      </c>
      <c r="E996" t="str">
        <f>IF($A996&lt;&gt;"",'All Cases - Enter Cases'!D996,"")</f>
        <v/>
      </c>
      <c r="F996" s="12" t="str">
        <f>IF($A996&lt;&gt;"",'All Cases - Enter Cases'!E996,"")</f>
        <v/>
      </c>
      <c r="G996" s="12" t="str">
        <f>IF($A996&lt;&gt;"",'All Cases - Enter Cases'!F996,"")</f>
        <v/>
      </c>
      <c r="H996" s="4" t="str">
        <f>IF($A996&lt;&gt;"",'All Cases - Enter Cases'!G996,"")</f>
        <v/>
      </c>
      <c r="I996" t="str">
        <f>IF($A996&lt;&gt;"",'All Cases - Enter Cases'!H996,"")</f>
        <v/>
      </c>
      <c r="J996" t="str">
        <f>IF($A996&lt;&gt;"",'All Cases - Enter Cases'!I996,"")</f>
        <v/>
      </c>
      <c r="K996" t="str">
        <f>IF($A996&lt;&gt;"",'All Cases - Enter Cases'!J996,"")</f>
        <v/>
      </c>
      <c r="L996" s="4" t="str">
        <f>IF($A996&lt;&gt;"",'All Cases - Enter Cases'!K996,"")</f>
        <v/>
      </c>
      <c r="M996" t="str">
        <f>IF($A996&lt;&gt;"",'All Cases - Enter Cases'!L996,"")</f>
        <v/>
      </c>
    </row>
    <row r="997" spans="1:13" x14ac:dyDescent="0.35">
      <c r="A997" s="4" t="str">
        <f>IF('All Cases - Enter Cases'!$K997="Approved",'All Cases - Enter Cases'!A997,"")</f>
        <v/>
      </c>
      <c r="B997" s="4" t="str">
        <f>IF($N997&lt;&gt;"",$N997,IF($A997&lt;&gt;"",'All Cases - Enter Cases'!$L997+7,""))</f>
        <v/>
      </c>
      <c r="C997" t="str">
        <f>IF($A997&lt;&gt;"",'All Cases - Enter Cases'!B997,"")</f>
        <v/>
      </c>
      <c r="D997" t="str">
        <f>IF($A997&lt;&gt;"",'All Cases - Enter Cases'!C997,"")</f>
        <v/>
      </c>
      <c r="E997" t="str">
        <f>IF($A997&lt;&gt;"",'All Cases - Enter Cases'!D997,"")</f>
        <v/>
      </c>
      <c r="F997" s="12" t="str">
        <f>IF($A997&lt;&gt;"",'All Cases - Enter Cases'!E997,"")</f>
        <v/>
      </c>
      <c r="G997" s="12" t="str">
        <f>IF($A997&lt;&gt;"",'All Cases - Enter Cases'!F997,"")</f>
        <v/>
      </c>
      <c r="H997" s="4" t="str">
        <f>IF($A997&lt;&gt;"",'All Cases - Enter Cases'!G997,"")</f>
        <v/>
      </c>
      <c r="I997" t="str">
        <f>IF($A997&lt;&gt;"",'All Cases - Enter Cases'!H997,"")</f>
        <v/>
      </c>
      <c r="J997" t="str">
        <f>IF($A997&lt;&gt;"",'All Cases - Enter Cases'!I997,"")</f>
        <v/>
      </c>
      <c r="K997" t="str">
        <f>IF($A997&lt;&gt;"",'All Cases - Enter Cases'!J997,"")</f>
        <v/>
      </c>
      <c r="L997" s="4" t="str">
        <f>IF($A997&lt;&gt;"",'All Cases - Enter Cases'!K997,"")</f>
        <v/>
      </c>
      <c r="M997" t="str">
        <f>IF($A997&lt;&gt;"",'All Cases - Enter Cases'!L997,"")</f>
        <v/>
      </c>
    </row>
    <row r="998" spans="1:13" x14ac:dyDescent="0.35">
      <c r="A998" s="4" t="str">
        <f>IF('All Cases - Enter Cases'!$K998="Approved",'All Cases - Enter Cases'!A998,"")</f>
        <v/>
      </c>
      <c r="B998" s="4" t="str">
        <f>IF($N998&lt;&gt;"",$N998,IF($A998&lt;&gt;"",'All Cases - Enter Cases'!$L998+7,""))</f>
        <v/>
      </c>
      <c r="C998" t="str">
        <f>IF($A998&lt;&gt;"",'All Cases - Enter Cases'!B998,"")</f>
        <v/>
      </c>
      <c r="D998" t="str">
        <f>IF($A998&lt;&gt;"",'All Cases - Enter Cases'!C998,"")</f>
        <v/>
      </c>
      <c r="E998" t="str">
        <f>IF($A998&lt;&gt;"",'All Cases - Enter Cases'!D998,"")</f>
        <v/>
      </c>
      <c r="F998" s="12" t="str">
        <f>IF($A998&lt;&gt;"",'All Cases - Enter Cases'!E998,"")</f>
        <v/>
      </c>
      <c r="G998" s="12" t="str">
        <f>IF($A998&lt;&gt;"",'All Cases - Enter Cases'!F998,"")</f>
        <v/>
      </c>
      <c r="H998" s="4" t="str">
        <f>IF($A998&lt;&gt;"",'All Cases - Enter Cases'!G998,"")</f>
        <v/>
      </c>
      <c r="I998" t="str">
        <f>IF($A998&lt;&gt;"",'All Cases - Enter Cases'!H998,"")</f>
        <v/>
      </c>
      <c r="J998" t="str">
        <f>IF($A998&lt;&gt;"",'All Cases - Enter Cases'!I998,"")</f>
        <v/>
      </c>
      <c r="K998" t="str">
        <f>IF($A998&lt;&gt;"",'All Cases - Enter Cases'!J998,"")</f>
        <v/>
      </c>
      <c r="L998" s="4" t="str">
        <f>IF($A998&lt;&gt;"",'All Cases - Enter Cases'!K998,"")</f>
        <v/>
      </c>
      <c r="M998" t="str">
        <f>IF($A998&lt;&gt;"",'All Cases - Enter Cases'!L998,"")</f>
        <v/>
      </c>
    </row>
    <row r="999" spans="1:13" x14ac:dyDescent="0.35">
      <c r="A999" s="4" t="str">
        <f>IF('All Cases - Enter Cases'!$K999="Approved",'All Cases - Enter Cases'!A999,"")</f>
        <v/>
      </c>
      <c r="B999" s="4" t="str">
        <f>IF($N999&lt;&gt;"",$N999,IF($A999&lt;&gt;"",'All Cases - Enter Cases'!$L999+7,""))</f>
        <v/>
      </c>
      <c r="C999" t="str">
        <f>IF($A999&lt;&gt;"",'All Cases - Enter Cases'!B999,"")</f>
        <v/>
      </c>
      <c r="D999" t="str">
        <f>IF($A999&lt;&gt;"",'All Cases - Enter Cases'!C999,"")</f>
        <v/>
      </c>
      <c r="E999" t="str">
        <f>IF($A999&lt;&gt;"",'All Cases - Enter Cases'!D999,"")</f>
        <v/>
      </c>
      <c r="F999" s="12" t="str">
        <f>IF($A999&lt;&gt;"",'All Cases - Enter Cases'!E999,"")</f>
        <v/>
      </c>
      <c r="G999" s="12" t="str">
        <f>IF($A999&lt;&gt;"",'All Cases - Enter Cases'!F999,"")</f>
        <v/>
      </c>
      <c r="H999" s="4" t="str">
        <f>IF($A999&lt;&gt;"",'All Cases - Enter Cases'!G999,"")</f>
        <v/>
      </c>
      <c r="I999" t="str">
        <f>IF($A999&lt;&gt;"",'All Cases - Enter Cases'!H999,"")</f>
        <v/>
      </c>
      <c r="J999" t="str">
        <f>IF($A999&lt;&gt;"",'All Cases - Enter Cases'!I999,"")</f>
        <v/>
      </c>
      <c r="K999" t="str">
        <f>IF($A999&lt;&gt;"",'All Cases - Enter Cases'!J999,"")</f>
        <v/>
      </c>
      <c r="L999" s="4" t="str">
        <f>IF($A999&lt;&gt;"",'All Cases - Enter Cases'!K999,"")</f>
        <v/>
      </c>
      <c r="M999" t="str">
        <f>IF($A999&lt;&gt;"",'All Cases - Enter Cases'!L999,"")</f>
        <v/>
      </c>
    </row>
    <row r="1000" spans="1:13" x14ac:dyDescent="0.35">
      <c r="A1000" s="4" t="str">
        <f>IF('All Cases - Enter Cases'!$K1000="Approved",'All Cases - Enter Cases'!A1000,"")</f>
        <v/>
      </c>
      <c r="B1000" s="4" t="str">
        <f>IF($N1000&lt;&gt;"",$N1000,IF($A1000&lt;&gt;"",'All Cases - Enter Cases'!$L1000+7,""))</f>
        <v/>
      </c>
      <c r="C1000" t="str">
        <f>IF($A1000&lt;&gt;"",'All Cases - Enter Cases'!B1000,"")</f>
        <v/>
      </c>
      <c r="D1000" t="str">
        <f>IF($A1000&lt;&gt;"",'All Cases - Enter Cases'!C1000,"")</f>
        <v/>
      </c>
      <c r="E1000" t="str">
        <f>IF($A1000&lt;&gt;"",'All Cases - Enter Cases'!D1000,"")</f>
        <v/>
      </c>
      <c r="F1000" s="12" t="str">
        <f>IF($A1000&lt;&gt;"",'All Cases - Enter Cases'!E1000,"")</f>
        <v/>
      </c>
      <c r="G1000" s="12" t="str">
        <f>IF($A1000&lt;&gt;"",'All Cases - Enter Cases'!F1000,"")</f>
        <v/>
      </c>
      <c r="H1000" s="4" t="str">
        <f>IF($A1000&lt;&gt;"",'All Cases - Enter Cases'!G1000,"")</f>
        <v/>
      </c>
      <c r="I1000" t="str">
        <f>IF($A1000&lt;&gt;"",'All Cases - Enter Cases'!H1000,"")</f>
        <v/>
      </c>
      <c r="J1000" t="str">
        <f>IF($A1000&lt;&gt;"",'All Cases - Enter Cases'!I1000,"")</f>
        <v/>
      </c>
      <c r="K1000" t="str">
        <f>IF($A1000&lt;&gt;"",'All Cases - Enter Cases'!J1000,"")</f>
        <v/>
      </c>
      <c r="L1000" s="4" t="str">
        <f>IF($A1000&lt;&gt;"",'All Cases - Enter Cases'!K1000,"")</f>
        <v/>
      </c>
      <c r="M1000" t="str">
        <f>IF($A1000&lt;&gt;"",'All Cases - Enter Cases'!L1000,"")</f>
        <v/>
      </c>
    </row>
  </sheetData>
  <conditionalFormatting sqref="B2:B1000">
    <cfRule type="expression" dxfId="5" priority="1">
      <formula>AND($A2&lt;&gt;"",$B2&lt;TODAY())</formula>
    </cfRule>
    <cfRule type="expression" dxfId="4" priority="2">
      <formula>AND($A2&lt;&gt;"",$B2&gt;=TODAY(),$B2&lt;=TODAY()+3)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00"/>
  <sheetViews>
    <sheetView workbookViewId="0">
      <pane ySplit="1" topLeftCell="A2" activePane="bottomLeft" state="frozen"/>
      <selection pane="bottomLeft" activeCell="F27" sqref="F27"/>
    </sheetView>
  </sheetViews>
  <sheetFormatPr defaultRowHeight="14.5" x14ac:dyDescent="0.35"/>
  <cols>
    <col min="1" max="1" width="5.7265625" style="4" customWidth="1"/>
    <col min="2" max="2" width="12.90625" customWidth="1"/>
    <col min="3" max="3" width="24.36328125" customWidth="1"/>
    <col min="4" max="4" width="15.90625" customWidth="1"/>
    <col min="5" max="5" width="48.36328125" customWidth="1"/>
    <col min="6" max="7" width="10" customWidth="1"/>
    <col min="8" max="8" width="10.453125" style="4" customWidth="1"/>
    <col min="9" max="9" width="15.1796875" customWidth="1"/>
    <col min="10" max="10" width="14" customWidth="1"/>
    <col min="11" max="11" width="20.453125" customWidth="1"/>
    <col min="12" max="12" width="20" style="4" customWidth="1"/>
    <col min="13" max="13" width="19" customWidth="1"/>
    <col min="14" max="14" width="10" customWidth="1"/>
    <col min="15" max="15" width="19" hidden="1" customWidth="1"/>
  </cols>
  <sheetData>
    <row r="1" spans="1:16" ht="22" customHeight="1" x14ac:dyDescent="0.35">
      <c r="A1" s="29" t="s">
        <v>0</v>
      </c>
      <c r="B1" s="29" t="s">
        <v>13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14</v>
      </c>
      <c r="M1" s="29" t="s">
        <v>16</v>
      </c>
      <c r="N1" s="29" t="s">
        <v>12</v>
      </c>
      <c r="O1" s="29" t="s">
        <v>15</v>
      </c>
      <c r="P1" s="29"/>
    </row>
    <row r="2" spans="1:16" s="23" customFormat="1" ht="20" customHeight="1" x14ac:dyDescent="0.35">
      <c r="A2" s="17">
        <f>IF('Approved-In-Depth'!$A2&lt;&gt;"",'Approved-In-Depth'!A2,"")</f>
        <v>1</v>
      </c>
      <c r="B2" s="25">
        <f>IF($O2&lt;&gt;"",$O2,IF($A2&lt;&gt;"",'Approved-In-Depth'!$B2+7,""))</f>
        <v>46017</v>
      </c>
      <c r="C2" s="23" t="str">
        <f>IF($A2&lt;&gt;"",'Approved-In-Depth'!C2,"")</f>
        <v>Marfani Traders</v>
      </c>
      <c r="D2" s="23" t="str">
        <f>IF($A2&lt;&gt;"",'Approved-In-Depth'!D2,"")</f>
        <v>Shop</v>
      </c>
      <c r="E2" s="23" t="str">
        <f>IF($A2&lt;&gt;"",'Approved-In-Depth'!E2,"")</f>
        <v>Godown No. S-19 West Warf, New Lipton Gali ,Karachi</v>
      </c>
      <c r="F2" s="23" t="str">
        <f>IF($A2&lt;&gt;"",'Approved-In-Depth'!F2,"")</f>
        <v>Karachi</v>
      </c>
      <c r="G2" s="23" t="str">
        <f>IF($A2&lt;&gt;"",'Approved-In-Depth'!G2,"")</f>
        <v>Sindh</v>
      </c>
      <c r="H2" s="21" t="str">
        <f>IF($A2&lt;&gt;"",'Approved-In-Depth'!H2,"")</f>
        <v>OneWorld</v>
      </c>
      <c r="I2" s="23" t="str">
        <f>IF($A2&lt;&gt;"",'Approved-In-Depth'!I2,"")</f>
        <v>Wd-40</v>
      </c>
      <c r="J2" s="23" t="str">
        <f>IF($A2&lt;&gt;"",'Approved-In-Depth'!J2,"")</f>
        <v>Fluid</v>
      </c>
      <c r="K2" s="26">
        <f>IF($A2&lt;&gt;"",'Approved-In-Depth'!K2,"")</f>
        <v>45966</v>
      </c>
      <c r="L2" s="21" t="str">
        <f>IF($A2&lt;&gt;"",'Approved-In-Depth'!L2,"")</f>
        <v>Approved</v>
      </c>
      <c r="M2" s="27">
        <f>IF($A2&lt;&gt;"",'Approved-In-Depth'!M2,"")</f>
        <v>46003</v>
      </c>
    </row>
    <row r="3" spans="1:16" s="23" customFormat="1" ht="20" customHeight="1" x14ac:dyDescent="0.35">
      <c r="A3" s="17">
        <f>IF('Approved-In-Depth'!$A3&lt;&gt;"",'Approved-In-Depth'!A3,"")</f>
        <v>2</v>
      </c>
      <c r="B3" s="25">
        <f>IF($O3&lt;&gt;"",$O3,IF($A3&lt;&gt;"",'Approved-In-Depth'!$B3+7,""))</f>
        <v>46049</v>
      </c>
      <c r="C3" s="23" t="str">
        <f>IF($A3&lt;&gt;"",'Approved-In-Depth'!C3,"")</f>
        <v>Sami Garments Factory</v>
      </c>
      <c r="D3" s="23" t="str">
        <f>IF($A3&lt;&gt;"",'Approved-In-Depth'!D3,"")</f>
        <v>Factory</v>
      </c>
      <c r="E3" s="23" t="str">
        <f>IF($A3&lt;&gt;"",'Approved-In-Depth'!E3,"")</f>
        <v>Plot No.L-27 Sector 12B Industrial Area ,New Karachi</v>
      </c>
      <c r="F3" s="23" t="str">
        <f>IF($A3&lt;&gt;"",'Approved-In-Depth'!F3,"")</f>
        <v>Karachi</v>
      </c>
      <c r="G3" s="23" t="str">
        <f>IF($A3&lt;&gt;"",'Approved-In-Depth'!G3,"")</f>
        <v>Sindh</v>
      </c>
      <c r="H3" s="21" t="str">
        <f>IF($A3&lt;&gt;"",'Approved-In-Depth'!H3,"")</f>
        <v>SafeMark</v>
      </c>
      <c r="I3" s="23" t="str">
        <f>IF($A3&lt;&gt;"",'Approved-In-Depth'!I3,"")</f>
        <v>Reebok</v>
      </c>
      <c r="J3" s="23" t="str">
        <f>IF($A3&lt;&gt;"",'Approved-In-Depth'!J3,"")</f>
        <v>Garments</v>
      </c>
      <c r="K3" s="26">
        <f>IF($A3&lt;&gt;"",'Approved-In-Depth'!K3,"")</f>
        <v>46031</v>
      </c>
      <c r="L3" s="21" t="str">
        <f>IF($A3&lt;&gt;"",'Approved-In-Depth'!L3,"")</f>
        <v>Approved</v>
      </c>
      <c r="M3" s="27">
        <f>IF($A3&lt;&gt;"",'Approved-In-Depth'!M3,"")</f>
        <v>46035</v>
      </c>
    </row>
    <row r="4" spans="1:16" s="23" customFormat="1" ht="20" customHeight="1" x14ac:dyDescent="0.35">
      <c r="A4" s="17">
        <f>IF('Approved-In-Depth'!$A4&lt;&gt;"",'Approved-In-Depth'!A4,"")</f>
        <v>3</v>
      </c>
      <c r="B4" s="25">
        <f>IF($O4&lt;&gt;"",$O4,IF($A4&lt;&gt;"",'Approved-In-Depth'!$B4+7,""))</f>
        <v>46049</v>
      </c>
      <c r="C4" s="23" t="str">
        <f>IF($A4&lt;&gt;"",'Approved-In-Depth'!C4,"")</f>
        <v>Sami Garments Factory</v>
      </c>
      <c r="D4" s="23" t="str">
        <f>IF($A4&lt;&gt;"",'Approved-In-Depth'!D4,"")</f>
        <v>Factory</v>
      </c>
      <c r="E4" s="23" t="str">
        <f>IF($A4&lt;&gt;"",'Approved-In-Depth'!E4,"")</f>
        <v>Plot No.L-27 Sector 12B Industrial Area ,New Karachi</v>
      </c>
      <c r="F4" s="23" t="str">
        <f>IF($A4&lt;&gt;"",'Approved-In-Depth'!F4,"")</f>
        <v>Karachi</v>
      </c>
      <c r="G4" s="23" t="str">
        <f>IF($A4&lt;&gt;"",'Approved-In-Depth'!G4,"")</f>
        <v>Sindh</v>
      </c>
      <c r="H4" s="21" t="str">
        <f>IF($A4&lt;&gt;"",'Approved-In-Depth'!H4,"")</f>
        <v>SafeMark</v>
      </c>
      <c r="I4" s="23" t="str">
        <f>IF($A4&lt;&gt;"",'Approved-In-Depth'!I4,"")</f>
        <v>Champion</v>
      </c>
      <c r="J4" s="23" t="str">
        <f>IF($A4&lt;&gt;"",'Approved-In-Depth'!J4,"")</f>
        <v>Garments</v>
      </c>
      <c r="K4" s="26">
        <f>IF($A4&lt;&gt;"",'Approved-In-Depth'!K4,"")</f>
        <v>46031</v>
      </c>
      <c r="L4" s="21" t="str">
        <f>IF($A4&lt;&gt;"",'Approved-In-Depth'!L4,"")</f>
        <v>Approved</v>
      </c>
      <c r="M4" s="27">
        <f>IF($A4&lt;&gt;"",'Approved-In-Depth'!M4,"")</f>
        <v>46035</v>
      </c>
    </row>
    <row r="5" spans="1:16" s="23" customFormat="1" ht="20" customHeight="1" x14ac:dyDescent="0.35">
      <c r="A5" s="17">
        <f>IF('Approved-In-Depth'!$A5&lt;&gt;"",'Approved-In-Depth'!A5,"")</f>
        <v>4</v>
      </c>
      <c r="B5" s="25">
        <f>IF($O5&lt;&gt;"",$O5,IF($A5&lt;&gt;"",'Approved-In-Depth'!$B5+7,""))</f>
        <v>46049</v>
      </c>
      <c r="C5" s="23" t="str">
        <f>IF($A5&lt;&gt;"",'Approved-In-Depth'!C5,"")</f>
        <v>Sami Garments Factory</v>
      </c>
      <c r="D5" s="23" t="str">
        <f>IF($A5&lt;&gt;"",'Approved-In-Depth'!D5,"")</f>
        <v>Factory</v>
      </c>
      <c r="E5" s="23" t="str">
        <f>IF($A5&lt;&gt;"",'Approved-In-Depth'!E5,"")</f>
        <v>Plot No.L-27 Sector 12B Industrial Area ,New Karachi</v>
      </c>
      <c r="F5" s="23" t="str">
        <f>IF($A5&lt;&gt;"",'Approved-In-Depth'!F5,"")</f>
        <v>Karachi</v>
      </c>
      <c r="G5" s="23" t="str">
        <f>IF($A5&lt;&gt;"",'Approved-In-Depth'!G5,"")</f>
        <v>Sindh</v>
      </c>
      <c r="H5" s="21" t="str">
        <f>IF($A5&lt;&gt;"",'Approved-In-Depth'!H5,"")</f>
        <v>SafeMark</v>
      </c>
      <c r="I5" s="23" t="str">
        <f>IF($A5&lt;&gt;"",'Approved-In-Depth'!I5,"")</f>
        <v>Hugo Boss</v>
      </c>
      <c r="J5" s="23" t="str">
        <f>IF($A5&lt;&gt;"",'Approved-In-Depth'!J5,"")</f>
        <v>Garments</v>
      </c>
      <c r="K5" s="26">
        <f>IF($A5&lt;&gt;"",'Approved-In-Depth'!K5,"")</f>
        <v>46031</v>
      </c>
      <c r="L5" s="21" t="str">
        <f>IF($A5&lt;&gt;"",'Approved-In-Depth'!L5,"")</f>
        <v>Approved</v>
      </c>
      <c r="M5" s="27">
        <f>IF($A5&lt;&gt;"",'Approved-In-Depth'!M5,"")</f>
        <v>46035</v>
      </c>
    </row>
    <row r="6" spans="1:16" s="23" customFormat="1" ht="20" customHeight="1" x14ac:dyDescent="0.35">
      <c r="A6" s="17">
        <f>IF('Approved-In-Depth'!$A6&lt;&gt;"",'Approved-In-Depth'!A6,"")</f>
        <v>5</v>
      </c>
      <c r="B6" s="25">
        <f>IF($O6&lt;&gt;"",$O6,IF($A6&lt;&gt;"",'Approved-In-Depth'!$B6+7,""))</f>
        <v>46053</v>
      </c>
      <c r="C6" s="23" t="str">
        <f>IF($A6&lt;&gt;"",'Approved-In-Depth'!C6,"")</f>
        <v>Faisal Shoes Manufacturing</v>
      </c>
      <c r="D6" s="23" t="str">
        <f>IF($A6&lt;&gt;"",'Approved-In-Depth'!D6,"")</f>
        <v>Factory</v>
      </c>
      <c r="E6" s="23" t="str">
        <f>IF($A6&lt;&gt;"",'Approved-In-Depth'!E6,"")</f>
        <v>Plot No.C-62 Taksali Androne Lahore</v>
      </c>
      <c r="F6" s="23" t="str">
        <f>IF($A6&lt;&gt;"",'Approved-In-Depth'!F6,"")</f>
        <v>Lahore</v>
      </c>
      <c r="G6" s="23" t="str">
        <f>IF($A6&lt;&gt;"",'Approved-In-Depth'!G6,"")</f>
        <v>Punjab</v>
      </c>
      <c r="H6" s="21" t="str">
        <f>IF($A6&lt;&gt;"",'Approved-In-Depth'!H6,"")</f>
        <v>SafeMark</v>
      </c>
      <c r="I6" s="23" t="str">
        <f>IF($A6&lt;&gt;"",'Approved-In-Depth'!I6,"")</f>
        <v>Tommy Hilfiger</v>
      </c>
      <c r="J6" s="23" t="str">
        <f>IF($A6&lt;&gt;"",'Approved-In-Depth'!J6,"")</f>
        <v>Shoes</v>
      </c>
      <c r="K6" s="26">
        <f>IF($A6&lt;&gt;"",'Approved-In-Depth'!K6,"")</f>
        <v>46031</v>
      </c>
      <c r="L6" s="21" t="str">
        <f>IF($A6&lt;&gt;"",'Approved-In-Depth'!L6,"")</f>
        <v>Approved</v>
      </c>
      <c r="M6" s="27">
        <f>IF($A6&lt;&gt;"",'Approved-In-Depth'!M6,"")</f>
        <v>46039</v>
      </c>
    </row>
    <row r="7" spans="1:16" s="23" customFormat="1" ht="20" customHeight="1" x14ac:dyDescent="0.35">
      <c r="A7" s="17">
        <f>IF('Approved-In-Depth'!$A7&lt;&gt;"",'Approved-In-Depth'!A7,"")</f>
        <v>6</v>
      </c>
      <c r="B7" s="25">
        <f>IF($O7&lt;&gt;"",$O7,IF($A7&lt;&gt;"",'Approved-In-Depth'!$B7+7,""))</f>
        <v>46054</v>
      </c>
      <c r="C7" s="23" t="str">
        <f>IF($A7&lt;&gt;"",'Approved-In-Depth'!C7,"")</f>
        <v>Faisal Shoes Manufacturing</v>
      </c>
      <c r="D7" s="23" t="str">
        <f>IF($A7&lt;&gt;"",'Approved-In-Depth'!D7,"")</f>
        <v>Factory</v>
      </c>
      <c r="E7" s="23" t="str">
        <f>IF($A7&lt;&gt;"",'Approved-In-Depth'!E7,"")</f>
        <v>Plot No.C-62 Taksali Androne Lahore</v>
      </c>
      <c r="F7" s="23" t="str">
        <f>IF($A7&lt;&gt;"",'Approved-In-Depth'!F7,"")</f>
        <v>Lahore</v>
      </c>
      <c r="G7" s="23" t="str">
        <f>IF($A7&lt;&gt;"",'Approved-In-Depth'!G7,"")</f>
        <v>Punjab</v>
      </c>
      <c r="H7" s="21" t="str">
        <f>IF($A7&lt;&gt;"",'Approved-In-Depth'!H7,"")</f>
        <v>SafeMark</v>
      </c>
      <c r="I7" s="23" t="str">
        <f>IF($A7&lt;&gt;"",'Approved-In-Depth'!I7,"")</f>
        <v>Calvin Klein</v>
      </c>
      <c r="J7" s="23" t="str">
        <f>IF($A7&lt;&gt;"",'Approved-In-Depth'!J7,"")</f>
        <v>Shoes</v>
      </c>
      <c r="K7" s="26">
        <f>IF($A7&lt;&gt;"",'Approved-In-Depth'!K7,"")</f>
        <v>46031</v>
      </c>
      <c r="L7" s="21" t="str">
        <f>IF($A7&lt;&gt;"",'Approved-In-Depth'!L7,"")</f>
        <v>Approved</v>
      </c>
      <c r="M7" s="27">
        <f>IF($A7&lt;&gt;"",'Approved-In-Depth'!M7,"")</f>
        <v>46040</v>
      </c>
    </row>
    <row r="8" spans="1:16" s="23" customFormat="1" ht="20" customHeight="1" x14ac:dyDescent="0.35">
      <c r="A8" s="17">
        <f>IF('Approved-In-Depth'!$A8&lt;&gt;"",'Approved-In-Depth'!A8,"")</f>
        <v>7</v>
      </c>
      <c r="B8" s="25">
        <f>IF($O8&lt;&gt;"",$O8,IF($A8&lt;&gt;"",'Approved-In-Depth'!$B8+7,""))</f>
        <v>46043</v>
      </c>
      <c r="C8" s="23" t="str">
        <f>IF($A8&lt;&gt;"",'Approved-In-Depth'!C8,"")</f>
        <v>Faisal Shoes Manufacturing</v>
      </c>
      <c r="D8" s="23" t="str">
        <f>IF($A8&lt;&gt;"",'Approved-In-Depth'!D8,"")</f>
        <v>Factory</v>
      </c>
      <c r="E8" s="23" t="str">
        <f>IF($A8&lt;&gt;"",'Approved-In-Depth'!E8,"")</f>
        <v>Plot No.C-62 Taksali Androne Lahore</v>
      </c>
      <c r="F8" s="23" t="str">
        <f>IF($A8&lt;&gt;"",'Approved-In-Depth'!F8,"")</f>
        <v>Lahore</v>
      </c>
      <c r="G8" s="23" t="str">
        <f>IF($A8&lt;&gt;"",'Approved-In-Depth'!G8,"")</f>
        <v>Punjab</v>
      </c>
      <c r="H8" s="21" t="str">
        <f>IF($A8&lt;&gt;"",'Approved-In-Depth'!H8,"")</f>
        <v>SafeMark</v>
      </c>
      <c r="I8" s="23" t="str">
        <f>IF($A8&lt;&gt;"",'Approved-In-Depth'!I8,"")</f>
        <v>Reebok</v>
      </c>
      <c r="J8" s="23" t="str">
        <f>IF($A8&lt;&gt;"",'Approved-In-Depth'!J8,"")</f>
        <v>Shoes</v>
      </c>
      <c r="K8" s="26">
        <f>IF($A8&lt;&gt;"",'Approved-In-Depth'!K8,"")</f>
        <v>46027</v>
      </c>
      <c r="L8" s="21" t="str">
        <f>IF($A8&lt;&gt;"",'Approved-In-Depth'!L8,"")</f>
        <v>Approved</v>
      </c>
      <c r="M8" s="27">
        <f>IF($A8&lt;&gt;"",'Approved-In-Depth'!M8,"")</f>
        <v>46029</v>
      </c>
    </row>
    <row r="9" spans="1:16" s="23" customFormat="1" ht="20" customHeight="1" x14ac:dyDescent="0.35">
      <c r="A9" s="17">
        <f>IF('Approved-In-Depth'!$A9&lt;&gt;"",'Approved-In-Depth'!A9,"")</f>
        <v>8</v>
      </c>
      <c r="B9" s="25">
        <f>IF($O9&lt;&gt;"",$O9,IF($A9&lt;&gt;"",'Approved-In-Depth'!$B9+7,""))</f>
        <v>46055</v>
      </c>
      <c r="C9" s="23" t="str">
        <f>IF($A9&lt;&gt;"",'Approved-In-Depth'!C9,"")</f>
        <v>Faisal Shoes Manufacturing</v>
      </c>
      <c r="D9" s="23" t="str">
        <f>IF($A9&lt;&gt;"",'Approved-In-Depth'!D9,"")</f>
        <v>Factory</v>
      </c>
      <c r="E9" s="23" t="str">
        <f>IF($A9&lt;&gt;"",'Approved-In-Depth'!E9,"")</f>
        <v>Plot No.C-62 Taksali Androne Lahore</v>
      </c>
      <c r="F9" s="23" t="str">
        <f>IF($A9&lt;&gt;"",'Approved-In-Depth'!F9,"")</f>
        <v>Lahore</v>
      </c>
      <c r="G9" s="23" t="str">
        <f>IF($A9&lt;&gt;"",'Approved-In-Depth'!G9,"")</f>
        <v>Punjab</v>
      </c>
      <c r="H9" s="21" t="str">
        <f>IF($A9&lt;&gt;"",'Approved-In-Depth'!H9,"")</f>
        <v>AA</v>
      </c>
      <c r="I9" s="23" t="str">
        <f>IF($A9&lt;&gt;"",'Approved-In-Depth'!I9,"")</f>
        <v>Gucci</v>
      </c>
      <c r="J9" s="23" t="str">
        <f>IF($A9&lt;&gt;"",'Approved-In-Depth'!J9,"")</f>
        <v>Shoes</v>
      </c>
      <c r="K9" s="26">
        <f>IF($A9&lt;&gt;"",'Approved-In-Depth'!K9,"")</f>
        <v>46029</v>
      </c>
      <c r="L9" s="17" t="str">
        <f>IF($A9&lt;&gt;"",'Approved-In-Depth'!L9,"")</f>
        <v>Approved</v>
      </c>
      <c r="M9" s="27">
        <f>IF($A9&lt;&gt;"",'Approved-In-Depth'!M9,"")</f>
        <v>46041</v>
      </c>
    </row>
    <row r="10" spans="1:16" s="23" customFormat="1" ht="20" customHeight="1" x14ac:dyDescent="0.35">
      <c r="A10" s="17">
        <f>IF('Approved-In-Depth'!$A10&lt;&gt;"",'Approved-In-Depth'!A10,"")</f>
        <v>9</v>
      </c>
      <c r="B10" s="25">
        <f>IF($O10&lt;&gt;"",$O10,IF($A10&lt;&gt;"",'Approved-In-Depth'!$B10+7,""))</f>
        <v>46043</v>
      </c>
      <c r="C10" s="23" t="str">
        <f>IF($A10&lt;&gt;"",'Approved-In-Depth'!C10,"")</f>
        <v>Faisal Shoes Manufacturing</v>
      </c>
      <c r="D10" s="23" t="str">
        <f>IF($A10&lt;&gt;"",'Approved-In-Depth'!D10,"")</f>
        <v>Factory</v>
      </c>
      <c r="E10" s="23" t="str">
        <f>IF($A10&lt;&gt;"",'Approved-In-Depth'!E10,"")</f>
        <v>Plot No.C-62 Taksali Androne Lahore</v>
      </c>
      <c r="F10" s="23" t="str">
        <f>IF($A10&lt;&gt;"",'Approved-In-Depth'!F10,"")</f>
        <v>Lahore</v>
      </c>
      <c r="G10" s="23" t="str">
        <f>IF($A10&lt;&gt;"",'Approved-In-Depth'!G10,"")</f>
        <v>Punjab</v>
      </c>
      <c r="H10" s="21" t="str">
        <f>IF($A10&lt;&gt;"",'Approved-In-Depth'!H10,"")</f>
        <v>SafeMark</v>
      </c>
      <c r="I10" s="23" t="str">
        <f>IF($A10&lt;&gt;"",'Approved-In-Depth'!I10,"")</f>
        <v>New Balance</v>
      </c>
      <c r="J10" s="23" t="str">
        <f>IF($A10&lt;&gt;"",'Approved-In-Depth'!J10,"")</f>
        <v>Shoes</v>
      </c>
      <c r="K10" s="26">
        <f>IF($A10&lt;&gt;"",'Approved-In-Depth'!K10,"")</f>
        <v>46027</v>
      </c>
      <c r="L10" s="17" t="str">
        <f>IF($A10&lt;&gt;"",'Approved-In-Depth'!L10,"")</f>
        <v>Approved</v>
      </c>
      <c r="M10" s="27">
        <f>IF($A10&lt;&gt;"",'Approved-In-Depth'!M10,"")</f>
        <v>46029</v>
      </c>
    </row>
    <row r="11" spans="1:16" s="23" customFormat="1" ht="20" customHeight="1" x14ac:dyDescent="0.35">
      <c r="A11" s="17">
        <f>IF('Approved-In-Depth'!$A11&lt;&gt;"",'Approved-In-Depth'!A11,"")</f>
        <v>10</v>
      </c>
      <c r="B11" s="25">
        <f>IF($O11&lt;&gt;"",$O11,IF($A11&lt;&gt;"",'Approved-In-Depth'!$B11+7,""))</f>
        <v>46043</v>
      </c>
      <c r="C11" s="23" t="str">
        <f>IF($A11&lt;&gt;"",'Approved-In-Depth'!C11,"")</f>
        <v>Faisal Shoes Manufacturing</v>
      </c>
      <c r="D11" s="23" t="str">
        <f>IF($A11&lt;&gt;"",'Approved-In-Depth'!D11,"")</f>
        <v>Factory</v>
      </c>
      <c r="E11" s="23" t="str">
        <f>IF($A11&lt;&gt;"",'Approved-In-Depth'!E11,"")</f>
        <v>Plot No.C-62 Taksali Androne Lahore</v>
      </c>
      <c r="F11" s="23" t="str">
        <f>IF($A11&lt;&gt;"",'Approved-In-Depth'!F11,"")</f>
        <v>Lahore</v>
      </c>
      <c r="G11" s="23" t="str">
        <f>IF($A11&lt;&gt;"",'Approved-In-Depth'!G11,"")</f>
        <v>Punjab</v>
      </c>
      <c r="H11" s="21" t="str">
        <f>IF($A11&lt;&gt;"",'Approved-In-Depth'!H11,"")</f>
        <v>SafeMark</v>
      </c>
      <c r="I11" s="23" t="str">
        <f>IF($A11&lt;&gt;"",'Approved-In-Depth'!I11,"")</f>
        <v>Hugo Boss</v>
      </c>
      <c r="J11" s="23" t="str">
        <f>IF($A11&lt;&gt;"",'Approved-In-Depth'!J11,"")</f>
        <v>Shoes</v>
      </c>
      <c r="K11" s="26">
        <f>IF($A11&lt;&gt;"",'Approved-In-Depth'!K11,"")</f>
        <v>46027</v>
      </c>
      <c r="L11" s="17" t="str">
        <f>IF($A11&lt;&gt;"",'Approved-In-Depth'!L11,"")</f>
        <v>Approved</v>
      </c>
      <c r="M11" s="27">
        <f>IF($A11&lt;&gt;"",'Approved-In-Depth'!M11,"")</f>
        <v>46029</v>
      </c>
    </row>
    <row r="12" spans="1:16" s="23" customFormat="1" ht="20" customHeight="1" x14ac:dyDescent="0.35">
      <c r="A12" s="17">
        <f>IF('Approved-In-Depth'!$A12&lt;&gt;"",'Approved-In-Depth'!A12,"")</f>
        <v>11</v>
      </c>
      <c r="B12" s="25">
        <f>IF($O12&lt;&gt;"",$O12,IF($A12&lt;&gt;"",'Approved-In-Depth'!$B12+7,""))</f>
        <v>46059</v>
      </c>
      <c r="C12" s="23" t="str">
        <f>IF($A12&lt;&gt;"",'Approved-In-Depth'!C12,"")</f>
        <v>A.K Jeans</v>
      </c>
      <c r="D12" s="23" t="str">
        <f>IF($A12&lt;&gt;"",'Approved-In-Depth'!D12,"")</f>
        <v>WholeSale</v>
      </c>
      <c r="E12" s="23" t="str">
        <f>IF($A12&lt;&gt;"",'Approved-In-Depth'!E12,"")</f>
        <v>Shop No.79, Al karim Market , New Anarkali ,Lahore</v>
      </c>
      <c r="F12" s="23" t="str">
        <f>IF($A12&lt;&gt;"",'Approved-In-Depth'!F12,"")</f>
        <v>Lahore</v>
      </c>
      <c r="G12" s="23" t="str">
        <f>IF($A12&lt;&gt;"",'Approved-In-Depth'!G12,"")</f>
        <v>Punjab</v>
      </c>
      <c r="H12" s="21" t="str">
        <f>IF($A12&lt;&gt;"",'Approved-In-Depth'!H12,"")</f>
        <v>SafeMark</v>
      </c>
      <c r="I12" s="23" t="str">
        <f>IF($A12&lt;&gt;"",'Approved-In-Depth'!I12,"")</f>
        <v>Tommy Hilfiger</v>
      </c>
      <c r="J12" s="23" t="str">
        <f>IF($A12&lt;&gt;"",'Approved-In-Depth'!J12,"")</f>
        <v>Jeans</v>
      </c>
      <c r="K12" s="26">
        <f>IF($A12&lt;&gt;"",'Approved-In-Depth'!K12,"")</f>
        <v>46031</v>
      </c>
      <c r="L12" s="17" t="str">
        <f>IF($A12&lt;&gt;"",'Approved-In-Depth'!L12,"")</f>
        <v>Approved</v>
      </c>
      <c r="M12" s="27">
        <f>IF($A12&lt;&gt;"",'Approved-In-Depth'!M12,"")</f>
        <v>46045</v>
      </c>
    </row>
    <row r="13" spans="1:16" s="23" customFormat="1" ht="20" customHeight="1" x14ac:dyDescent="0.35">
      <c r="A13" s="21">
        <f>IF('Approved-In-Depth'!$A13&lt;&gt;"",'Approved-In-Depth'!A13,"")</f>
        <v>12</v>
      </c>
      <c r="B13" s="27">
        <f>IF($O13&lt;&gt;"",$O13,IF($A13&lt;&gt;"",'Approved-In-Depth'!$B13+7,""))</f>
        <v>46052</v>
      </c>
      <c r="C13" s="23" t="str">
        <f>IF($A13&lt;&gt;"",'Approved-In-Depth'!C13,"")</f>
        <v>A.K Jeans</v>
      </c>
      <c r="D13" s="23" t="str">
        <f>IF($A13&lt;&gt;"",'Approved-In-Depth'!D13,"")</f>
        <v>WholeSale</v>
      </c>
      <c r="E13" s="23" t="str">
        <f>IF($A13&lt;&gt;"",'Approved-In-Depth'!E13,"")</f>
        <v>Shop No.79, Al karim Market , New Anarkali ,Lahore</v>
      </c>
      <c r="F13" s="23" t="str">
        <f>IF($A13&lt;&gt;"",'Approved-In-Depth'!F13,"")</f>
        <v>Lahore</v>
      </c>
      <c r="G13" s="23" t="str">
        <f>IF($A13&lt;&gt;"",'Approved-In-Depth'!G13,"")</f>
        <v>Punjab</v>
      </c>
      <c r="H13" s="21" t="str">
        <f>IF($A13&lt;&gt;"",'Approved-In-Depth'!H13,"")</f>
        <v>SafeMark</v>
      </c>
      <c r="I13" s="23" t="str">
        <f>IF($A13&lt;&gt;"",'Approved-In-Depth'!I13,"")</f>
        <v>Levis</v>
      </c>
      <c r="J13" s="23" t="str">
        <f>IF($A13&lt;&gt;"",'Approved-In-Depth'!J13,"")</f>
        <v>Jeans</v>
      </c>
      <c r="K13" s="27">
        <f>IF($A13&lt;&gt;"",'Approved-In-Depth'!K13,"")</f>
        <v>46031</v>
      </c>
      <c r="L13" s="17" t="str">
        <f>IF($A13&lt;&gt;"",'Approved-In-Depth'!L13,"")</f>
        <v>Approved</v>
      </c>
      <c r="M13" s="27">
        <f>IF($A13&lt;&gt;"",'Approved-In-Depth'!M13,"")</f>
        <v>46038</v>
      </c>
    </row>
    <row r="14" spans="1:16" s="23" customFormat="1" ht="20" customHeight="1" x14ac:dyDescent="0.35">
      <c r="A14" s="21" t="str">
        <f>IF('Approved-In-Depth'!$A14&lt;&gt;"",'Approved-In-Depth'!A14,"")</f>
        <v/>
      </c>
      <c r="B14" s="27" t="str">
        <f>IF($O14&lt;&gt;"",$O14,IF($A14&lt;&gt;"",'Approved-In-Depth'!$B14+7,""))</f>
        <v/>
      </c>
      <c r="C14" s="23" t="str">
        <f>IF($A14&lt;&gt;"",'Approved-In-Depth'!C14,"")</f>
        <v/>
      </c>
      <c r="D14" s="23" t="str">
        <f>IF($A14&lt;&gt;"",'Approved-In-Depth'!D14,"")</f>
        <v/>
      </c>
      <c r="E14" s="23" t="str">
        <f>IF($A14&lt;&gt;"",'Approved-In-Depth'!E14,"")</f>
        <v/>
      </c>
      <c r="F14" s="23" t="str">
        <f>IF($A14&lt;&gt;"",'Approved-In-Depth'!F14,"")</f>
        <v/>
      </c>
      <c r="G14" s="23" t="str">
        <f>IF($A14&lt;&gt;"",'Approved-In-Depth'!G14,"")</f>
        <v/>
      </c>
      <c r="H14" s="21" t="str">
        <f>IF($A14&lt;&gt;"",'Approved-In-Depth'!H14,"")</f>
        <v/>
      </c>
      <c r="I14" s="23" t="str">
        <f>IF($A14&lt;&gt;"",'Approved-In-Depth'!I14,"")</f>
        <v/>
      </c>
      <c r="J14" s="23" t="str">
        <f>IF($A14&lt;&gt;"",'Approved-In-Depth'!J14,"")</f>
        <v/>
      </c>
      <c r="K14" s="27" t="str">
        <f>IF($A14&lt;&gt;"",'Approved-In-Depth'!K14,"")</f>
        <v/>
      </c>
      <c r="L14" s="17" t="str">
        <f>IF($A14&lt;&gt;"",'Approved-In-Depth'!L14,"")</f>
        <v/>
      </c>
      <c r="M14" s="27" t="str">
        <f>IF($A14&lt;&gt;"",'Approved-In-Depth'!M14,"")</f>
        <v/>
      </c>
    </row>
    <row r="15" spans="1:16" s="23" customFormat="1" ht="20" customHeight="1" x14ac:dyDescent="0.35">
      <c r="A15" s="21">
        <f>IF('Approved-In-Depth'!$A15&lt;&gt;"",'Approved-In-Depth'!A15,"")</f>
        <v>14</v>
      </c>
      <c r="B15" s="27">
        <f>IF($O15&lt;&gt;"",$O15,IF($A15&lt;&gt;"",'Approved-In-Depth'!$B15+7,""))</f>
        <v>46049</v>
      </c>
      <c r="C15" s="23" t="str">
        <f>IF($A15&lt;&gt;"",'Approved-In-Depth'!C15,"")</f>
        <v>Scarf Case</v>
      </c>
      <c r="D15" s="23" t="str">
        <f>IF($A15&lt;&gt;"",'Approved-In-Depth'!D15,"")</f>
        <v>Customs</v>
      </c>
      <c r="E15" s="23" t="str">
        <f>IF($A15&lt;&gt;"",'Approved-In-Depth'!E15,"")</f>
        <v>Mugal Pura dry port Lahore</v>
      </c>
      <c r="F15" s="23" t="str">
        <f>IF($A15&lt;&gt;"",'Approved-In-Depth'!F15,"")</f>
        <v>Lahore</v>
      </c>
      <c r="G15" s="23" t="str">
        <f>IF($A15&lt;&gt;"",'Approved-In-Depth'!G15,"")</f>
        <v>Punjab</v>
      </c>
      <c r="H15" s="21" t="str">
        <f>IF($A15&lt;&gt;"",'Approved-In-Depth'!H15,"")</f>
        <v>AA</v>
      </c>
      <c r="I15" s="23" t="str">
        <f>IF($A15&lt;&gt;"",'Approved-In-Depth'!I15,"")</f>
        <v>Gucci</v>
      </c>
      <c r="J15" s="23" t="str">
        <f>IF($A15&lt;&gt;"",'Approved-In-Depth'!J15,"")</f>
        <v>scarf</v>
      </c>
      <c r="K15" s="27">
        <f>IF($A15&lt;&gt;"",'Approved-In-Depth'!K15,"")</f>
        <v>45975</v>
      </c>
      <c r="L15" s="17" t="str">
        <f>IF($A15&lt;&gt;"",'Approved-In-Depth'!L15,"")</f>
        <v>Approved</v>
      </c>
      <c r="M15" s="27">
        <f>IF($A15&lt;&gt;"",'Approved-In-Depth'!M15,"")</f>
        <v>46035</v>
      </c>
    </row>
    <row r="16" spans="1:16" s="23" customFormat="1" ht="20" customHeight="1" x14ac:dyDescent="0.35">
      <c r="A16" s="21">
        <f>IF('Approved-In-Depth'!$A16&lt;&gt;"",'Approved-In-Depth'!A16,"")</f>
        <v>15</v>
      </c>
      <c r="B16" s="27">
        <f>IF($O16&lt;&gt;"",$O16,IF($A16&lt;&gt;"",'Approved-In-Depth'!$B16+7,""))</f>
        <v>46207</v>
      </c>
      <c r="C16" s="23" t="str">
        <f>IF($A16&lt;&gt;"",'Approved-In-Depth'!C16,"")</f>
        <v>kashif Printing</v>
      </c>
      <c r="D16" s="23" t="str">
        <f>IF($A16&lt;&gt;"",'Approved-In-Depth'!D16,"")</f>
        <v>Distributor</v>
      </c>
      <c r="E16" s="23" t="str">
        <f>IF($A16&lt;&gt;"",'Approved-In-Depth'!E16,"")</f>
        <v>Plot No.D-43 Androne lahore</v>
      </c>
      <c r="F16" s="23" t="str">
        <f>IF($A16&lt;&gt;"",'Approved-In-Depth'!F16,"")</f>
        <v>Lahore</v>
      </c>
      <c r="G16" s="23" t="str">
        <f>IF($A16&lt;&gt;"",'Approved-In-Depth'!G16,"")</f>
        <v>Punjab</v>
      </c>
      <c r="H16" s="21" t="str">
        <f>IF($A16&lt;&gt;"",'Approved-In-Depth'!H16,"")</f>
        <v>OneWorld</v>
      </c>
      <c r="I16" s="23" t="str">
        <f>IF($A16&lt;&gt;"",'Approved-In-Depth'!I16,"")</f>
        <v>Wd-40</v>
      </c>
      <c r="J16" s="23" t="str">
        <f>IF($A16&lt;&gt;"",'Approved-In-Depth'!J16,"")</f>
        <v>Fluid</v>
      </c>
      <c r="K16" s="27">
        <f>IF($A16&lt;&gt;"",'Approved-In-Depth'!K16,"")</f>
        <v>45824</v>
      </c>
      <c r="L16" s="17" t="str">
        <f>IF($A16&lt;&gt;"",'Approved-In-Depth'!L16,"")</f>
        <v>Approved</v>
      </c>
      <c r="M16" s="27">
        <f>IF($A16&lt;&gt;"",'Approved-In-Depth'!M16,"")</f>
        <v>46193</v>
      </c>
    </row>
    <row r="17" spans="1:13" s="23" customFormat="1" ht="20" customHeight="1" x14ac:dyDescent="0.35">
      <c r="A17" s="21" t="str">
        <f>IF('Approved-In-Depth'!$A17&lt;&gt;"",'Approved-In-Depth'!A17,"")</f>
        <v/>
      </c>
      <c r="B17" s="27" t="str">
        <f>IF($O17&lt;&gt;"",$O17,IF($A17&lt;&gt;"",'Approved-In-Depth'!$B17+7,""))</f>
        <v/>
      </c>
      <c r="C17" s="23" t="str">
        <f>IF($A17&lt;&gt;"",'Approved-In-Depth'!C17,"")</f>
        <v/>
      </c>
      <c r="D17" s="23" t="str">
        <f>IF($A17&lt;&gt;"",'Approved-In-Depth'!D17,"")</f>
        <v/>
      </c>
      <c r="E17" s="23" t="str">
        <f>IF($A17&lt;&gt;"",'Approved-In-Depth'!E17,"")</f>
        <v/>
      </c>
      <c r="F17" s="23" t="str">
        <f>IF($A17&lt;&gt;"",'Approved-In-Depth'!F17,"")</f>
        <v/>
      </c>
      <c r="G17" s="23" t="str">
        <f>IF($A17&lt;&gt;"",'Approved-In-Depth'!G17,"")</f>
        <v/>
      </c>
      <c r="H17" s="21" t="str">
        <f>IF($A17&lt;&gt;"",'Approved-In-Depth'!H17,"")</f>
        <v/>
      </c>
      <c r="I17" s="23" t="str">
        <f>IF($A17&lt;&gt;"",'Approved-In-Depth'!I17,"")</f>
        <v/>
      </c>
      <c r="J17" s="23" t="str">
        <f>IF($A17&lt;&gt;"",'Approved-In-Depth'!J17,"")</f>
        <v/>
      </c>
      <c r="K17" s="27" t="str">
        <f>IF($A17&lt;&gt;"",'Approved-In-Depth'!K17,"")</f>
        <v/>
      </c>
      <c r="L17" s="21" t="str">
        <f>IF($A17&lt;&gt;"",'Approved-In-Depth'!L17,"")</f>
        <v/>
      </c>
      <c r="M17" s="27" t="str">
        <f>IF($A17&lt;&gt;"",'Approved-In-Depth'!M17,"")</f>
        <v/>
      </c>
    </row>
    <row r="18" spans="1:13" s="23" customFormat="1" ht="20" customHeight="1" x14ac:dyDescent="0.35">
      <c r="A18" s="21" t="str">
        <f>IF('Approved-In-Depth'!$A18&lt;&gt;"",'Approved-In-Depth'!A18,"")</f>
        <v/>
      </c>
      <c r="B18" s="27" t="str">
        <f>IF($O18&lt;&gt;"",$O18,IF($A18&lt;&gt;"",'Approved-In-Depth'!$B18+7,""))</f>
        <v/>
      </c>
      <c r="C18" s="23" t="str">
        <f>IF($A18&lt;&gt;"",'Approved-In-Depth'!C18,"")</f>
        <v/>
      </c>
      <c r="D18" s="23" t="str">
        <f>IF($A18&lt;&gt;"",'Approved-In-Depth'!D18,"")</f>
        <v/>
      </c>
      <c r="E18" s="23" t="str">
        <f>IF($A18&lt;&gt;"",'Approved-In-Depth'!E18,"")</f>
        <v/>
      </c>
      <c r="F18" s="23" t="str">
        <f>IF($A18&lt;&gt;"",'Approved-In-Depth'!F18,"")</f>
        <v/>
      </c>
      <c r="G18" s="23" t="str">
        <f>IF($A18&lt;&gt;"",'Approved-In-Depth'!G18,"")</f>
        <v/>
      </c>
      <c r="H18" s="21" t="str">
        <f>IF($A18&lt;&gt;"",'Approved-In-Depth'!H18,"")</f>
        <v/>
      </c>
      <c r="I18" s="23" t="str">
        <f>IF($A18&lt;&gt;"",'Approved-In-Depth'!I18,"")</f>
        <v/>
      </c>
      <c r="J18" s="23" t="str">
        <f>IF($A18&lt;&gt;"",'Approved-In-Depth'!J18,"")</f>
        <v/>
      </c>
      <c r="K18" s="27" t="str">
        <f>IF($A18&lt;&gt;"",'Approved-In-Depth'!K18,"")</f>
        <v/>
      </c>
      <c r="L18" s="21" t="str">
        <f>IF($A18&lt;&gt;"",'Approved-In-Depth'!L18,"")</f>
        <v/>
      </c>
      <c r="M18" s="27" t="str">
        <f>IF($A18&lt;&gt;"",'Approved-In-Depth'!M18,"")</f>
        <v/>
      </c>
    </row>
    <row r="19" spans="1:13" s="23" customFormat="1" ht="20" customHeight="1" x14ac:dyDescent="0.35">
      <c r="A19" s="21" t="str">
        <f>IF('Approved-In-Depth'!$A19&lt;&gt;"",'Approved-In-Depth'!A19,"")</f>
        <v/>
      </c>
      <c r="B19" s="27" t="str">
        <f>IF($O19&lt;&gt;"",$O19,IF($A19&lt;&gt;"",'Approved-In-Depth'!$B19+7,""))</f>
        <v/>
      </c>
      <c r="C19" s="23" t="str">
        <f>IF($A19&lt;&gt;"",'Approved-In-Depth'!C19,"")</f>
        <v/>
      </c>
      <c r="D19" s="23" t="str">
        <f>IF($A19&lt;&gt;"",'Approved-In-Depth'!D19,"")</f>
        <v/>
      </c>
      <c r="E19" s="23" t="str">
        <f>IF($A19&lt;&gt;"",'Approved-In-Depth'!E19,"")</f>
        <v/>
      </c>
      <c r="F19" s="23" t="str">
        <f>IF($A19&lt;&gt;"",'Approved-In-Depth'!F19,"")</f>
        <v/>
      </c>
      <c r="G19" s="23" t="str">
        <f>IF($A19&lt;&gt;"",'Approved-In-Depth'!G19,"")</f>
        <v/>
      </c>
      <c r="H19" s="21" t="str">
        <f>IF($A19&lt;&gt;"",'Approved-In-Depth'!H19,"")</f>
        <v/>
      </c>
      <c r="I19" s="23" t="str">
        <f>IF($A19&lt;&gt;"",'Approved-In-Depth'!I19,"")</f>
        <v/>
      </c>
      <c r="J19" s="23" t="str">
        <f>IF($A19&lt;&gt;"",'Approved-In-Depth'!J19,"")</f>
        <v/>
      </c>
      <c r="K19" s="27" t="str">
        <f>IF($A19&lt;&gt;"",'Approved-In-Depth'!K19,"")</f>
        <v/>
      </c>
      <c r="L19" s="21" t="str">
        <f>IF($A19&lt;&gt;"",'Approved-In-Depth'!L19,"")</f>
        <v/>
      </c>
      <c r="M19" s="27" t="str">
        <f>IF($A19&lt;&gt;"",'Approved-In-Depth'!M19,"")</f>
        <v/>
      </c>
    </row>
    <row r="20" spans="1:13" s="23" customFormat="1" ht="20" customHeight="1" x14ac:dyDescent="0.35">
      <c r="A20" s="21" t="str">
        <f>IF('Approved-In-Depth'!$A20&lt;&gt;"",'Approved-In-Depth'!A20,"")</f>
        <v/>
      </c>
      <c r="B20" s="27" t="str">
        <f>IF($O20&lt;&gt;"",$O20,IF($A20&lt;&gt;"",'Approved-In-Depth'!$B20+7,""))</f>
        <v/>
      </c>
      <c r="C20" s="23" t="str">
        <f>IF($A20&lt;&gt;"",'Approved-In-Depth'!C20,"")</f>
        <v/>
      </c>
      <c r="D20" s="23" t="str">
        <f>IF($A20&lt;&gt;"",'Approved-In-Depth'!D20,"")</f>
        <v/>
      </c>
      <c r="E20" s="23" t="str">
        <f>IF($A20&lt;&gt;"",'Approved-In-Depth'!E20,"")</f>
        <v/>
      </c>
      <c r="F20" s="23" t="str">
        <f>IF($A20&lt;&gt;"",'Approved-In-Depth'!F20,"")</f>
        <v/>
      </c>
      <c r="G20" s="23" t="str">
        <f>IF($A20&lt;&gt;"",'Approved-In-Depth'!G20,"")</f>
        <v/>
      </c>
      <c r="H20" s="21" t="str">
        <f>IF($A20&lt;&gt;"",'Approved-In-Depth'!H20,"")</f>
        <v/>
      </c>
      <c r="I20" s="23" t="str">
        <f>IF($A20&lt;&gt;"",'Approved-In-Depth'!I20,"")</f>
        <v/>
      </c>
      <c r="J20" s="23" t="str">
        <f>IF($A20&lt;&gt;"",'Approved-In-Depth'!J20,"")</f>
        <v/>
      </c>
      <c r="K20" s="27" t="str">
        <f>IF($A20&lt;&gt;"",'Approved-In-Depth'!K20,"")</f>
        <v/>
      </c>
      <c r="L20" s="21" t="str">
        <f>IF($A20&lt;&gt;"",'Approved-In-Depth'!L20,"")</f>
        <v/>
      </c>
      <c r="M20" s="27" t="str">
        <f>IF($A20&lt;&gt;"",'Approved-In-Depth'!M20,"")</f>
        <v/>
      </c>
    </row>
    <row r="21" spans="1:13" x14ac:dyDescent="0.35">
      <c r="A21" s="4" t="str">
        <f>IF('Approved-In-Depth'!$A21&lt;&gt;"",'Approved-In-Depth'!A21,"")</f>
        <v/>
      </c>
      <c r="B21" s="16" t="str">
        <f>IF($O21&lt;&gt;"",$O21,IF($A21&lt;&gt;"",'Approved-In-Depth'!$B21+7,""))</f>
        <v/>
      </c>
      <c r="C21" t="str">
        <f>IF($A21&lt;&gt;"",'Approved-In-Depth'!C21,"")</f>
        <v/>
      </c>
      <c r="D21" t="str">
        <f>IF($A21&lt;&gt;"",'Approved-In-Depth'!D21,"")</f>
        <v/>
      </c>
      <c r="E21" t="str">
        <f>IF($A21&lt;&gt;"",'Approved-In-Depth'!E21,"")</f>
        <v/>
      </c>
      <c r="F21" t="str">
        <f>IF($A21&lt;&gt;"",'Approved-In-Depth'!F21,"")</f>
        <v/>
      </c>
      <c r="G21" t="str">
        <f>IF($A21&lt;&gt;"",'Approved-In-Depth'!G21,"")</f>
        <v/>
      </c>
      <c r="H21" s="4" t="str">
        <f>IF($A21&lt;&gt;"",'Approved-In-Depth'!H21,"")</f>
        <v/>
      </c>
      <c r="I21" t="str">
        <f>IF($A21&lt;&gt;"",'Approved-In-Depth'!I21,"")</f>
        <v/>
      </c>
      <c r="J21" t="str">
        <f>IF($A21&lt;&gt;"",'Approved-In-Depth'!J21,"")</f>
        <v/>
      </c>
      <c r="K21" s="16" t="str">
        <f>IF($A21&lt;&gt;"",'Approved-In-Depth'!K21,"")</f>
        <v/>
      </c>
      <c r="L21" s="4" t="str">
        <f>IF($A21&lt;&gt;"",'Approved-In-Depth'!L21,"")</f>
        <v/>
      </c>
      <c r="M21" s="16" t="str">
        <f>IF($A21&lt;&gt;"",'Approved-In-Depth'!M21,"")</f>
        <v/>
      </c>
    </row>
    <row r="22" spans="1:13" x14ac:dyDescent="0.35">
      <c r="A22" s="4" t="str">
        <f>IF('Approved-In-Depth'!$A22&lt;&gt;"",'Approved-In-Depth'!A22,"")</f>
        <v/>
      </c>
      <c r="B22" s="16" t="str">
        <f>IF($O22&lt;&gt;"",$O22,IF($A22&lt;&gt;"",'Approved-In-Depth'!$B22+7,""))</f>
        <v/>
      </c>
      <c r="C22" t="str">
        <f>IF($A22&lt;&gt;"",'Approved-In-Depth'!C22,"")</f>
        <v/>
      </c>
      <c r="D22" t="str">
        <f>IF($A22&lt;&gt;"",'Approved-In-Depth'!D22,"")</f>
        <v/>
      </c>
      <c r="E22" t="str">
        <f>IF($A22&lt;&gt;"",'Approved-In-Depth'!E22,"")</f>
        <v/>
      </c>
      <c r="F22" t="str">
        <f>IF($A22&lt;&gt;"",'Approved-In-Depth'!F22,"")</f>
        <v/>
      </c>
      <c r="G22" t="str">
        <f>IF($A22&lt;&gt;"",'Approved-In-Depth'!G22,"")</f>
        <v/>
      </c>
      <c r="H22" s="4" t="str">
        <f>IF($A22&lt;&gt;"",'Approved-In-Depth'!H22,"")</f>
        <v/>
      </c>
      <c r="I22" t="str">
        <f>IF($A22&lt;&gt;"",'Approved-In-Depth'!I22,"")</f>
        <v/>
      </c>
      <c r="J22" t="str">
        <f>IF($A22&lt;&gt;"",'Approved-In-Depth'!J22,"")</f>
        <v/>
      </c>
      <c r="K22" s="16" t="str">
        <f>IF($A22&lt;&gt;"",'Approved-In-Depth'!K22,"")</f>
        <v/>
      </c>
      <c r="L22" s="4" t="str">
        <f>IF($A22&lt;&gt;"",'Approved-In-Depth'!L22,"")</f>
        <v/>
      </c>
      <c r="M22" s="16" t="str">
        <f>IF($A22&lt;&gt;"",'Approved-In-Depth'!M22,"")</f>
        <v/>
      </c>
    </row>
    <row r="23" spans="1:13" x14ac:dyDescent="0.35">
      <c r="A23" s="4" t="str">
        <f>IF('Approved-In-Depth'!$A23&lt;&gt;"",'Approved-In-Depth'!A23,"")</f>
        <v/>
      </c>
      <c r="B23" s="16" t="str">
        <f>IF($O23&lt;&gt;"",$O23,IF($A23&lt;&gt;"",'Approved-In-Depth'!$B23+7,""))</f>
        <v/>
      </c>
      <c r="C23" t="str">
        <f>IF($A23&lt;&gt;"",'Approved-In-Depth'!C23,"")</f>
        <v/>
      </c>
      <c r="D23" t="str">
        <f>IF($A23&lt;&gt;"",'Approved-In-Depth'!D23,"")</f>
        <v/>
      </c>
      <c r="E23" t="str">
        <f>IF($A23&lt;&gt;"",'Approved-In-Depth'!E23,"")</f>
        <v/>
      </c>
      <c r="F23" t="str">
        <f>IF($A23&lt;&gt;"",'Approved-In-Depth'!F23,"")</f>
        <v/>
      </c>
      <c r="G23" t="str">
        <f>IF($A23&lt;&gt;"",'Approved-In-Depth'!G23,"")</f>
        <v/>
      </c>
      <c r="H23" s="4" t="str">
        <f>IF($A23&lt;&gt;"",'Approved-In-Depth'!H23,"")</f>
        <v/>
      </c>
      <c r="I23" t="str">
        <f>IF($A23&lt;&gt;"",'Approved-In-Depth'!I23,"")</f>
        <v/>
      </c>
      <c r="J23" t="str">
        <f>IF($A23&lt;&gt;"",'Approved-In-Depth'!J23,"")</f>
        <v/>
      </c>
      <c r="K23" s="16" t="str">
        <f>IF($A23&lt;&gt;"",'Approved-In-Depth'!K23,"")</f>
        <v/>
      </c>
      <c r="L23" s="4" t="str">
        <f>IF($A23&lt;&gt;"",'Approved-In-Depth'!L23,"")</f>
        <v/>
      </c>
      <c r="M23" s="16" t="str">
        <f>IF($A23&lt;&gt;"",'Approved-In-Depth'!M23,"")</f>
        <v/>
      </c>
    </row>
    <row r="24" spans="1:13" x14ac:dyDescent="0.35">
      <c r="A24" s="4" t="str">
        <f>IF('Approved-In-Depth'!$A24&lt;&gt;"",'Approved-In-Depth'!A24,"")</f>
        <v/>
      </c>
      <c r="B24" s="16" t="str">
        <f>IF($O24&lt;&gt;"",$O24,IF($A24&lt;&gt;"",'Approved-In-Depth'!$B24+7,""))</f>
        <v/>
      </c>
      <c r="C24" t="str">
        <f>IF($A24&lt;&gt;"",'Approved-In-Depth'!C24,"")</f>
        <v/>
      </c>
      <c r="D24" t="str">
        <f>IF($A24&lt;&gt;"",'Approved-In-Depth'!D24,"")</f>
        <v/>
      </c>
      <c r="E24" t="str">
        <f>IF($A24&lt;&gt;"",'Approved-In-Depth'!E24,"")</f>
        <v/>
      </c>
      <c r="F24" t="str">
        <f>IF($A24&lt;&gt;"",'Approved-In-Depth'!F24,"")</f>
        <v/>
      </c>
      <c r="G24" t="str">
        <f>IF($A24&lt;&gt;"",'Approved-In-Depth'!G24,"")</f>
        <v/>
      </c>
      <c r="H24" s="4" t="str">
        <f>IF($A24&lt;&gt;"",'Approved-In-Depth'!H24,"")</f>
        <v/>
      </c>
      <c r="I24" t="str">
        <f>IF($A24&lt;&gt;"",'Approved-In-Depth'!I24,"")</f>
        <v/>
      </c>
      <c r="J24" t="str">
        <f>IF($A24&lt;&gt;"",'Approved-In-Depth'!J24,"")</f>
        <v/>
      </c>
      <c r="K24" s="16" t="str">
        <f>IF($A24&lt;&gt;"",'Approved-In-Depth'!K24,"")</f>
        <v/>
      </c>
      <c r="L24" s="4" t="str">
        <f>IF($A24&lt;&gt;"",'Approved-In-Depth'!L24,"")</f>
        <v/>
      </c>
      <c r="M24" s="16" t="str">
        <f>IF($A24&lt;&gt;"",'Approved-In-Depth'!M24,"")</f>
        <v/>
      </c>
    </row>
    <row r="25" spans="1:13" x14ac:dyDescent="0.35">
      <c r="A25" s="4" t="str">
        <f>IF('Approved-In-Depth'!$A25&lt;&gt;"",'Approved-In-Depth'!A25,"")</f>
        <v/>
      </c>
      <c r="B25" s="16" t="str">
        <f>IF($O25&lt;&gt;"",$O25,IF($A25&lt;&gt;"",'Approved-In-Depth'!$B25+7,""))</f>
        <v/>
      </c>
      <c r="C25" t="str">
        <f>IF($A25&lt;&gt;"",'Approved-In-Depth'!C25,"")</f>
        <v/>
      </c>
      <c r="D25" t="str">
        <f>IF($A25&lt;&gt;"",'Approved-In-Depth'!D25,"")</f>
        <v/>
      </c>
      <c r="E25" t="str">
        <f>IF($A25&lt;&gt;"",'Approved-In-Depth'!E25,"")</f>
        <v/>
      </c>
      <c r="F25" t="str">
        <f>IF($A25&lt;&gt;"",'Approved-In-Depth'!F25,"")</f>
        <v/>
      </c>
      <c r="G25" t="str">
        <f>IF($A25&lt;&gt;"",'Approved-In-Depth'!G25,"")</f>
        <v/>
      </c>
      <c r="H25" s="4" t="str">
        <f>IF($A25&lt;&gt;"",'Approved-In-Depth'!H25,"")</f>
        <v/>
      </c>
      <c r="I25" t="str">
        <f>IF($A25&lt;&gt;"",'Approved-In-Depth'!I25,"")</f>
        <v/>
      </c>
      <c r="J25" t="str">
        <f>IF($A25&lt;&gt;"",'Approved-In-Depth'!J25,"")</f>
        <v/>
      </c>
      <c r="K25" s="16" t="str">
        <f>IF($A25&lt;&gt;"",'Approved-In-Depth'!K25,"")</f>
        <v/>
      </c>
      <c r="L25" s="4" t="str">
        <f>IF($A25&lt;&gt;"",'Approved-In-Depth'!L25,"")</f>
        <v/>
      </c>
      <c r="M25" s="16" t="str">
        <f>IF($A25&lt;&gt;"",'Approved-In-Depth'!M25,"")</f>
        <v/>
      </c>
    </row>
    <row r="26" spans="1:13" x14ac:dyDescent="0.35">
      <c r="A26" s="4" t="str">
        <f>IF('Approved-In-Depth'!$A26&lt;&gt;"",'Approved-In-Depth'!A26,"")</f>
        <v/>
      </c>
      <c r="B26" s="16" t="str">
        <f>IF($O26&lt;&gt;"",$O26,IF($A26&lt;&gt;"",'Approved-In-Depth'!$B26+7,""))</f>
        <v/>
      </c>
      <c r="C26" t="str">
        <f>IF($A26&lt;&gt;"",'Approved-In-Depth'!C26,"")</f>
        <v/>
      </c>
      <c r="D26" t="str">
        <f>IF($A26&lt;&gt;"",'Approved-In-Depth'!D26,"")</f>
        <v/>
      </c>
      <c r="E26" t="str">
        <f>IF($A26&lt;&gt;"",'Approved-In-Depth'!E26,"")</f>
        <v/>
      </c>
      <c r="F26" t="str">
        <f>IF($A26&lt;&gt;"",'Approved-In-Depth'!F26,"")</f>
        <v/>
      </c>
      <c r="G26" t="str">
        <f>IF($A26&lt;&gt;"",'Approved-In-Depth'!G26,"")</f>
        <v/>
      </c>
      <c r="H26" s="4" t="str">
        <f>IF($A26&lt;&gt;"",'Approved-In-Depth'!H26,"")</f>
        <v/>
      </c>
      <c r="I26" t="str">
        <f>IF($A26&lt;&gt;"",'Approved-In-Depth'!I26,"")</f>
        <v/>
      </c>
      <c r="J26" t="str">
        <f>IF($A26&lt;&gt;"",'Approved-In-Depth'!J26,"")</f>
        <v/>
      </c>
      <c r="K26" s="16" t="str">
        <f>IF($A26&lt;&gt;"",'Approved-In-Depth'!K26,"")</f>
        <v/>
      </c>
      <c r="L26" s="4" t="str">
        <f>IF($A26&lt;&gt;"",'Approved-In-Depth'!L26,"")</f>
        <v/>
      </c>
      <c r="M26" s="16" t="str">
        <f>IF($A26&lt;&gt;"",'Approved-In-Depth'!M26,"")</f>
        <v/>
      </c>
    </row>
    <row r="27" spans="1:13" x14ac:dyDescent="0.35">
      <c r="A27" s="4" t="str">
        <f>IF('Approved-In-Depth'!$A27&lt;&gt;"",'Approved-In-Depth'!A27,"")</f>
        <v/>
      </c>
      <c r="B27" s="16" t="str">
        <f>IF($O27&lt;&gt;"",$O27,IF($A27&lt;&gt;"",'Approved-In-Depth'!$B27+7,""))</f>
        <v/>
      </c>
      <c r="C27" t="str">
        <f>IF($A27&lt;&gt;"",'Approved-In-Depth'!C27,"")</f>
        <v/>
      </c>
      <c r="D27" t="str">
        <f>IF($A27&lt;&gt;"",'Approved-In-Depth'!D27,"")</f>
        <v/>
      </c>
      <c r="E27" t="str">
        <f>IF($A27&lt;&gt;"",'Approved-In-Depth'!E27,"")</f>
        <v/>
      </c>
      <c r="F27" t="str">
        <f>IF($A27&lt;&gt;"",'Approved-In-Depth'!F27,"")</f>
        <v/>
      </c>
      <c r="G27" t="str">
        <f>IF($A27&lt;&gt;"",'Approved-In-Depth'!G27,"")</f>
        <v/>
      </c>
      <c r="H27" s="4" t="str">
        <f>IF($A27&lt;&gt;"",'Approved-In-Depth'!H27,"")</f>
        <v/>
      </c>
      <c r="I27" t="str">
        <f>IF($A27&lt;&gt;"",'Approved-In-Depth'!I27,"")</f>
        <v/>
      </c>
      <c r="J27" t="str">
        <f>IF($A27&lt;&gt;"",'Approved-In-Depth'!J27,"")</f>
        <v/>
      </c>
      <c r="K27" s="16" t="str">
        <f>IF($A27&lt;&gt;"",'Approved-In-Depth'!K27,"")</f>
        <v/>
      </c>
      <c r="L27" s="4" t="str">
        <f>IF($A27&lt;&gt;"",'Approved-In-Depth'!L27,"")</f>
        <v/>
      </c>
      <c r="M27" s="16" t="str">
        <f>IF($A27&lt;&gt;"",'Approved-In-Depth'!M27,"")</f>
        <v/>
      </c>
    </row>
    <row r="28" spans="1:13" x14ac:dyDescent="0.35">
      <c r="A28" s="4" t="str">
        <f>IF('Approved-In-Depth'!$A28&lt;&gt;"",'Approved-In-Depth'!A28,"")</f>
        <v/>
      </c>
      <c r="B28" s="16" t="str">
        <f>IF($O28&lt;&gt;"",$O28,IF($A28&lt;&gt;"",'Approved-In-Depth'!$B28+7,""))</f>
        <v/>
      </c>
      <c r="C28" t="str">
        <f>IF($A28&lt;&gt;"",'Approved-In-Depth'!C28,"")</f>
        <v/>
      </c>
      <c r="D28" t="str">
        <f>IF($A28&lt;&gt;"",'Approved-In-Depth'!D28,"")</f>
        <v/>
      </c>
      <c r="E28" t="str">
        <f>IF($A28&lt;&gt;"",'Approved-In-Depth'!E28,"")</f>
        <v/>
      </c>
      <c r="F28" t="str">
        <f>IF($A28&lt;&gt;"",'Approved-In-Depth'!F28,"")</f>
        <v/>
      </c>
      <c r="G28" t="str">
        <f>IF($A28&lt;&gt;"",'Approved-In-Depth'!G28,"")</f>
        <v/>
      </c>
      <c r="H28" s="4" t="str">
        <f>IF($A28&lt;&gt;"",'Approved-In-Depth'!H28,"")</f>
        <v/>
      </c>
      <c r="I28" t="str">
        <f>IF($A28&lt;&gt;"",'Approved-In-Depth'!I28,"")</f>
        <v/>
      </c>
      <c r="J28" t="str">
        <f>IF($A28&lt;&gt;"",'Approved-In-Depth'!J28,"")</f>
        <v/>
      </c>
      <c r="K28" s="16" t="str">
        <f>IF($A28&lt;&gt;"",'Approved-In-Depth'!K28,"")</f>
        <v/>
      </c>
      <c r="L28" s="4" t="str">
        <f>IF($A28&lt;&gt;"",'Approved-In-Depth'!L28,"")</f>
        <v/>
      </c>
      <c r="M28" s="16" t="str">
        <f>IF($A28&lt;&gt;"",'Approved-In-Depth'!M28,"")</f>
        <v/>
      </c>
    </row>
    <row r="29" spans="1:13" x14ac:dyDescent="0.35">
      <c r="A29" s="4" t="str">
        <f>IF('Approved-In-Depth'!$A29&lt;&gt;"",'Approved-In-Depth'!A29,"")</f>
        <v/>
      </c>
      <c r="B29" s="16" t="str">
        <f>IF($O29&lt;&gt;"",$O29,IF($A29&lt;&gt;"",'Approved-In-Depth'!$B29+7,""))</f>
        <v/>
      </c>
      <c r="C29" t="str">
        <f>IF($A29&lt;&gt;"",'Approved-In-Depth'!C29,"")</f>
        <v/>
      </c>
      <c r="D29" t="str">
        <f>IF($A29&lt;&gt;"",'Approved-In-Depth'!D29,"")</f>
        <v/>
      </c>
      <c r="E29" t="str">
        <f>IF($A29&lt;&gt;"",'Approved-In-Depth'!E29,"")</f>
        <v/>
      </c>
      <c r="F29" t="str">
        <f>IF($A29&lt;&gt;"",'Approved-In-Depth'!F29,"")</f>
        <v/>
      </c>
      <c r="G29" t="str">
        <f>IF($A29&lt;&gt;"",'Approved-In-Depth'!G29,"")</f>
        <v/>
      </c>
      <c r="H29" s="4" t="str">
        <f>IF($A29&lt;&gt;"",'Approved-In-Depth'!H29,"")</f>
        <v/>
      </c>
      <c r="I29" t="str">
        <f>IF($A29&lt;&gt;"",'Approved-In-Depth'!I29,"")</f>
        <v/>
      </c>
      <c r="J29" t="str">
        <f>IF($A29&lt;&gt;"",'Approved-In-Depth'!J29,"")</f>
        <v/>
      </c>
      <c r="K29" s="16" t="str">
        <f>IF($A29&lt;&gt;"",'Approved-In-Depth'!K29,"")</f>
        <v/>
      </c>
      <c r="L29" s="4" t="str">
        <f>IF($A29&lt;&gt;"",'Approved-In-Depth'!L29,"")</f>
        <v/>
      </c>
      <c r="M29" s="16" t="str">
        <f>IF($A29&lt;&gt;"",'Approved-In-Depth'!M29,"")</f>
        <v/>
      </c>
    </row>
    <row r="30" spans="1:13" x14ac:dyDescent="0.35">
      <c r="A30" s="4" t="str">
        <f>IF('Approved-In-Depth'!$A30&lt;&gt;"",'Approved-In-Depth'!A30,"")</f>
        <v/>
      </c>
      <c r="B30" s="16" t="str">
        <f>IF($O30&lt;&gt;"",$O30,IF($A30&lt;&gt;"",'Approved-In-Depth'!$B30+7,""))</f>
        <v/>
      </c>
      <c r="C30" t="str">
        <f>IF($A30&lt;&gt;"",'Approved-In-Depth'!C30,"")</f>
        <v/>
      </c>
      <c r="D30" t="str">
        <f>IF($A30&lt;&gt;"",'Approved-In-Depth'!D30,"")</f>
        <v/>
      </c>
      <c r="E30" t="str">
        <f>IF($A30&lt;&gt;"",'Approved-In-Depth'!E30,"")</f>
        <v/>
      </c>
      <c r="F30" t="str">
        <f>IF($A30&lt;&gt;"",'Approved-In-Depth'!F30,"")</f>
        <v/>
      </c>
      <c r="G30" t="str">
        <f>IF($A30&lt;&gt;"",'Approved-In-Depth'!G30,"")</f>
        <v/>
      </c>
      <c r="H30" s="4" t="str">
        <f>IF($A30&lt;&gt;"",'Approved-In-Depth'!H30,"")</f>
        <v/>
      </c>
      <c r="I30" t="str">
        <f>IF($A30&lt;&gt;"",'Approved-In-Depth'!I30,"")</f>
        <v/>
      </c>
      <c r="J30" t="str">
        <f>IF($A30&lt;&gt;"",'Approved-In-Depth'!J30,"")</f>
        <v/>
      </c>
      <c r="K30" s="16" t="str">
        <f>IF($A30&lt;&gt;"",'Approved-In-Depth'!K30,"")</f>
        <v/>
      </c>
      <c r="L30" s="4" t="str">
        <f>IF($A30&lt;&gt;"",'Approved-In-Depth'!L30,"")</f>
        <v/>
      </c>
      <c r="M30" s="16" t="str">
        <f>IF($A30&lt;&gt;"",'Approved-In-Depth'!M30,"")</f>
        <v/>
      </c>
    </row>
    <row r="31" spans="1:13" x14ac:dyDescent="0.35">
      <c r="A31" s="4" t="str">
        <f>IF('Approved-In-Depth'!$A31&lt;&gt;"",'Approved-In-Depth'!A31,"")</f>
        <v/>
      </c>
      <c r="B31" s="16" t="str">
        <f>IF($O31&lt;&gt;"",$O31,IF($A31&lt;&gt;"",'Approved-In-Depth'!$B31+7,""))</f>
        <v/>
      </c>
      <c r="C31" t="str">
        <f>IF($A31&lt;&gt;"",'Approved-In-Depth'!C31,"")</f>
        <v/>
      </c>
      <c r="D31" t="str">
        <f>IF($A31&lt;&gt;"",'Approved-In-Depth'!D31,"")</f>
        <v/>
      </c>
      <c r="E31" t="str">
        <f>IF($A31&lt;&gt;"",'Approved-In-Depth'!E31,"")</f>
        <v/>
      </c>
      <c r="F31" t="str">
        <f>IF($A31&lt;&gt;"",'Approved-In-Depth'!F31,"")</f>
        <v/>
      </c>
      <c r="G31" t="str">
        <f>IF($A31&lt;&gt;"",'Approved-In-Depth'!G31,"")</f>
        <v/>
      </c>
      <c r="H31" s="4" t="str">
        <f>IF($A31&lt;&gt;"",'Approved-In-Depth'!H31,"")</f>
        <v/>
      </c>
      <c r="I31" t="str">
        <f>IF($A31&lt;&gt;"",'Approved-In-Depth'!I31,"")</f>
        <v/>
      </c>
      <c r="J31" t="str">
        <f>IF($A31&lt;&gt;"",'Approved-In-Depth'!J31,"")</f>
        <v/>
      </c>
      <c r="K31" s="16" t="str">
        <f>IF($A31&lt;&gt;"",'Approved-In-Depth'!K31,"")</f>
        <v/>
      </c>
      <c r="L31" s="4" t="str">
        <f>IF($A31&lt;&gt;"",'Approved-In-Depth'!L31,"")</f>
        <v/>
      </c>
      <c r="M31" s="16" t="str">
        <f>IF($A31&lt;&gt;"",'Approved-In-Depth'!M31,"")</f>
        <v/>
      </c>
    </row>
    <row r="32" spans="1:13" x14ac:dyDescent="0.35">
      <c r="A32" s="4" t="str">
        <f>IF('Approved-In-Depth'!$A32&lt;&gt;"",'Approved-In-Depth'!A32,"")</f>
        <v/>
      </c>
      <c r="B32" s="16" t="str">
        <f>IF($O32&lt;&gt;"",$O32,IF($A32&lt;&gt;"",'Approved-In-Depth'!$B32+7,""))</f>
        <v/>
      </c>
      <c r="C32" t="str">
        <f>IF($A32&lt;&gt;"",'Approved-In-Depth'!C32,"")</f>
        <v/>
      </c>
      <c r="D32" t="str">
        <f>IF($A32&lt;&gt;"",'Approved-In-Depth'!D32,"")</f>
        <v/>
      </c>
      <c r="E32" t="str">
        <f>IF($A32&lt;&gt;"",'Approved-In-Depth'!E32,"")</f>
        <v/>
      </c>
      <c r="F32" t="str">
        <f>IF($A32&lt;&gt;"",'Approved-In-Depth'!F32,"")</f>
        <v/>
      </c>
      <c r="G32" t="str">
        <f>IF($A32&lt;&gt;"",'Approved-In-Depth'!G32,"")</f>
        <v/>
      </c>
      <c r="H32" s="4" t="str">
        <f>IF($A32&lt;&gt;"",'Approved-In-Depth'!H32,"")</f>
        <v/>
      </c>
      <c r="I32" t="str">
        <f>IF($A32&lt;&gt;"",'Approved-In-Depth'!I32,"")</f>
        <v/>
      </c>
      <c r="J32" t="str">
        <f>IF($A32&lt;&gt;"",'Approved-In-Depth'!J32,"")</f>
        <v/>
      </c>
      <c r="K32" s="16" t="str">
        <f>IF($A32&lt;&gt;"",'Approved-In-Depth'!K32,"")</f>
        <v/>
      </c>
      <c r="L32" s="4" t="str">
        <f>IF($A32&lt;&gt;"",'Approved-In-Depth'!L32,"")</f>
        <v/>
      </c>
      <c r="M32" s="16" t="str">
        <f>IF($A32&lt;&gt;"",'Approved-In-Depth'!M32,"")</f>
        <v/>
      </c>
    </row>
    <row r="33" spans="1:13" x14ac:dyDescent="0.35">
      <c r="A33" s="4" t="str">
        <f>IF('Approved-In-Depth'!$A33&lt;&gt;"",'Approved-In-Depth'!A33,"")</f>
        <v/>
      </c>
      <c r="B33" s="16" t="str">
        <f>IF($O33&lt;&gt;"",$O33,IF($A33&lt;&gt;"",'Approved-In-Depth'!$B33+7,""))</f>
        <v/>
      </c>
      <c r="C33" t="str">
        <f>IF($A33&lt;&gt;"",'Approved-In-Depth'!C33,"")</f>
        <v/>
      </c>
      <c r="D33" t="str">
        <f>IF($A33&lt;&gt;"",'Approved-In-Depth'!D33,"")</f>
        <v/>
      </c>
      <c r="E33" t="str">
        <f>IF($A33&lt;&gt;"",'Approved-In-Depth'!E33,"")</f>
        <v/>
      </c>
      <c r="F33" t="str">
        <f>IF($A33&lt;&gt;"",'Approved-In-Depth'!F33,"")</f>
        <v/>
      </c>
      <c r="G33" t="str">
        <f>IF($A33&lt;&gt;"",'Approved-In-Depth'!G33,"")</f>
        <v/>
      </c>
      <c r="H33" s="4" t="str">
        <f>IF($A33&lt;&gt;"",'Approved-In-Depth'!H33,"")</f>
        <v/>
      </c>
      <c r="I33" t="str">
        <f>IF($A33&lt;&gt;"",'Approved-In-Depth'!I33,"")</f>
        <v/>
      </c>
      <c r="J33" t="str">
        <f>IF($A33&lt;&gt;"",'Approved-In-Depth'!J33,"")</f>
        <v/>
      </c>
      <c r="K33" s="16" t="str">
        <f>IF($A33&lt;&gt;"",'Approved-In-Depth'!K33,"")</f>
        <v/>
      </c>
      <c r="L33" s="4" t="str">
        <f>IF($A33&lt;&gt;"",'Approved-In-Depth'!L33,"")</f>
        <v/>
      </c>
      <c r="M33" s="16" t="str">
        <f>IF($A33&lt;&gt;"",'Approved-In-Depth'!M33,"")</f>
        <v/>
      </c>
    </row>
    <row r="34" spans="1:13" x14ac:dyDescent="0.35">
      <c r="A34" s="4" t="str">
        <f>IF('Approved-In-Depth'!$A34&lt;&gt;"",'Approved-In-Depth'!A34,"")</f>
        <v/>
      </c>
      <c r="B34" s="16" t="str">
        <f>IF($O34&lt;&gt;"",$O34,IF($A34&lt;&gt;"",'Approved-In-Depth'!$B34+7,""))</f>
        <v/>
      </c>
      <c r="C34" t="str">
        <f>IF($A34&lt;&gt;"",'Approved-In-Depth'!C34,"")</f>
        <v/>
      </c>
      <c r="D34" t="str">
        <f>IF($A34&lt;&gt;"",'Approved-In-Depth'!D34,"")</f>
        <v/>
      </c>
      <c r="E34" t="str">
        <f>IF($A34&lt;&gt;"",'Approved-In-Depth'!E34,"")</f>
        <v/>
      </c>
      <c r="F34" t="str">
        <f>IF($A34&lt;&gt;"",'Approved-In-Depth'!F34,"")</f>
        <v/>
      </c>
      <c r="G34" t="str">
        <f>IF($A34&lt;&gt;"",'Approved-In-Depth'!G34,"")</f>
        <v/>
      </c>
      <c r="H34" s="4" t="str">
        <f>IF($A34&lt;&gt;"",'Approved-In-Depth'!H34,"")</f>
        <v/>
      </c>
      <c r="I34" t="str">
        <f>IF($A34&lt;&gt;"",'Approved-In-Depth'!I34,"")</f>
        <v/>
      </c>
      <c r="J34" t="str">
        <f>IF($A34&lt;&gt;"",'Approved-In-Depth'!J34,"")</f>
        <v/>
      </c>
      <c r="K34" s="16" t="str">
        <f>IF($A34&lt;&gt;"",'Approved-In-Depth'!K34,"")</f>
        <v/>
      </c>
      <c r="L34" s="4" t="str">
        <f>IF($A34&lt;&gt;"",'Approved-In-Depth'!L34,"")</f>
        <v/>
      </c>
      <c r="M34" s="16" t="str">
        <f>IF($A34&lt;&gt;"",'Approved-In-Depth'!M34,"")</f>
        <v/>
      </c>
    </row>
    <row r="35" spans="1:13" x14ac:dyDescent="0.35">
      <c r="A35" s="4" t="str">
        <f>IF('Approved-In-Depth'!$A35&lt;&gt;"",'Approved-In-Depth'!A35,"")</f>
        <v/>
      </c>
      <c r="B35" s="16" t="str">
        <f>IF($O35&lt;&gt;"",$O35,IF($A35&lt;&gt;"",'Approved-In-Depth'!$B35+7,""))</f>
        <v/>
      </c>
      <c r="C35" t="str">
        <f>IF($A35&lt;&gt;"",'Approved-In-Depth'!C35,"")</f>
        <v/>
      </c>
      <c r="D35" t="str">
        <f>IF($A35&lt;&gt;"",'Approved-In-Depth'!D35,"")</f>
        <v/>
      </c>
      <c r="E35" t="str">
        <f>IF($A35&lt;&gt;"",'Approved-In-Depth'!E35,"")</f>
        <v/>
      </c>
      <c r="F35" t="str">
        <f>IF($A35&lt;&gt;"",'Approved-In-Depth'!F35,"")</f>
        <v/>
      </c>
      <c r="G35" t="str">
        <f>IF($A35&lt;&gt;"",'Approved-In-Depth'!G35,"")</f>
        <v/>
      </c>
      <c r="H35" s="4" t="str">
        <f>IF($A35&lt;&gt;"",'Approved-In-Depth'!H35,"")</f>
        <v/>
      </c>
      <c r="I35" t="str">
        <f>IF($A35&lt;&gt;"",'Approved-In-Depth'!I35,"")</f>
        <v/>
      </c>
      <c r="J35" t="str">
        <f>IF($A35&lt;&gt;"",'Approved-In-Depth'!J35,"")</f>
        <v/>
      </c>
      <c r="K35" s="16" t="str">
        <f>IF($A35&lt;&gt;"",'Approved-In-Depth'!K35,"")</f>
        <v/>
      </c>
      <c r="L35" s="4" t="str">
        <f>IF($A35&lt;&gt;"",'Approved-In-Depth'!L35,"")</f>
        <v/>
      </c>
      <c r="M35" s="16" t="str">
        <f>IF($A35&lt;&gt;"",'Approved-In-Depth'!M35,"")</f>
        <v/>
      </c>
    </row>
    <row r="36" spans="1:13" x14ac:dyDescent="0.35">
      <c r="A36" s="4" t="str">
        <f>IF('Approved-In-Depth'!$A36&lt;&gt;"",'Approved-In-Depth'!A36,"")</f>
        <v/>
      </c>
      <c r="B36" s="16" t="str">
        <f>IF($O36&lt;&gt;"",$O36,IF($A36&lt;&gt;"",'Approved-In-Depth'!$B36+7,""))</f>
        <v/>
      </c>
      <c r="C36" t="str">
        <f>IF($A36&lt;&gt;"",'Approved-In-Depth'!C36,"")</f>
        <v/>
      </c>
      <c r="D36" t="str">
        <f>IF($A36&lt;&gt;"",'Approved-In-Depth'!D36,"")</f>
        <v/>
      </c>
      <c r="E36" t="str">
        <f>IF($A36&lt;&gt;"",'Approved-In-Depth'!E36,"")</f>
        <v/>
      </c>
      <c r="F36" t="str">
        <f>IF($A36&lt;&gt;"",'Approved-In-Depth'!F36,"")</f>
        <v/>
      </c>
      <c r="G36" t="str">
        <f>IF($A36&lt;&gt;"",'Approved-In-Depth'!G36,"")</f>
        <v/>
      </c>
      <c r="H36" s="4" t="str">
        <f>IF($A36&lt;&gt;"",'Approved-In-Depth'!H36,"")</f>
        <v/>
      </c>
      <c r="I36" t="str">
        <f>IF($A36&lt;&gt;"",'Approved-In-Depth'!I36,"")</f>
        <v/>
      </c>
      <c r="J36" t="str">
        <f>IF($A36&lt;&gt;"",'Approved-In-Depth'!J36,"")</f>
        <v/>
      </c>
      <c r="K36" s="16" t="str">
        <f>IF($A36&lt;&gt;"",'Approved-In-Depth'!K36,"")</f>
        <v/>
      </c>
      <c r="L36" s="4" t="str">
        <f>IF($A36&lt;&gt;"",'Approved-In-Depth'!L36,"")</f>
        <v/>
      </c>
      <c r="M36" s="16" t="str">
        <f>IF($A36&lt;&gt;"",'Approved-In-Depth'!M36,"")</f>
        <v/>
      </c>
    </row>
    <row r="37" spans="1:13" x14ac:dyDescent="0.35">
      <c r="A37" s="4" t="str">
        <f>IF('Approved-In-Depth'!$A37&lt;&gt;"",'Approved-In-Depth'!A37,"")</f>
        <v/>
      </c>
      <c r="B37" s="16" t="str">
        <f>IF($O37&lt;&gt;"",$O37,IF($A37&lt;&gt;"",'Approved-In-Depth'!$B37+7,""))</f>
        <v/>
      </c>
      <c r="C37" t="str">
        <f>IF($A37&lt;&gt;"",'Approved-In-Depth'!C37,"")</f>
        <v/>
      </c>
      <c r="D37" t="str">
        <f>IF($A37&lt;&gt;"",'Approved-In-Depth'!D37,"")</f>
        <v/>
      </c>
      <c r="E37" t="str">
        <f>IF($A37&lt;&gt;"",'Approved-In-Depth'!E37,"")</f>
        <v/>
      </c>
      <c r="F37" t="str">
        <f>IF($A37&lt;&gt;"",'Approved-In-Depth'!F37,"")</f>
        <v/>
      </c>
      <c r="G37" t="str">
        <f>IF($A37&lt;&gt;"",'Approved-In-Depth'!G37,"")</f>
        <v/>
      </c>
      <c r="H37" s="4" t="str">
        <f>IF($A37&lt;&gt;"",'Approved-In-Depth'!H37,"")</f>
        <v/>
      </c>
      <c r="I37" t="str">
        <f>IF($A37&lt;&gt;"",'Approved-In-Depth'!I37,"")</f>
        <v/>
      </c>
      <c r="J37" t="str">
        <f>IF($A37&lt;&gt;"",'Approved-In-Depth'!J37,"")</f>
        <v/>
      </c>
      <c r="K37" s="16" t="str">
        <f>IF($A37&lt;&gt;"",'Approved-In-Depth'!K37,"")</f>
        <v/>
      </c>
      <c r="L37" s="4" t="str">
        <f>IF($A37&lt;&gt;"",'Approved-In-Depth'!L37,"")</f>
        <v/>
      </c>
      <c r="M37" s="16" t="str">
        <f>IF($A37&lt;&gt;"",'Approved-In-Depth'!M37,"")</f>
        <v/>
      </c>
    </row>
    <row r="38" spans="1:13" x14ac:dyDescent="0.35">
      <c r="A38" s="4" t="str">
        <f>IF('Approved-In-Depth'!$A38&lt;&gt;"",'Approved-In-Depth'!A38,"")</f>
        <v/>
      </c>
      <c r="B38" s="16" t="str">
        <f>IF($O38&lt;&gt;"",$O38,IF($A38&lt;&gt;"",'Approved-In-Depth'!$B38+7,""))</f>
        <v/>
      </c>
      <c r="C38" t="str">
        <f>IF($A38&lt;&gt;"",'Approved-In-Depth'!C38,"")</f>
        <v/>
      </c>
      <c r="D38" t="str">
        <f>IF($A38&lt;&gt;"",'Approved-In-Depth'!D38,"")</f>
        <v/>
      </c>
      <c r="E38" t="str">
        <f>IF($A38&lt;&gt;"",'Approved-In-Depth'!E38,"")</f>
        <v/>
      </c>
      <c r="F38" t="str">
        <f>IF($A38&lt;&gt;"",'Approved-In-Depth'!F38,"")</f>
        <v/>
      </c>
      <c r="G38" t="str">
        <f>IF($A38&lt;&gt;"",'Approved-In-Depth'!G38,"")</f>
        <v/>
      </c>
      <c r="H38" s="4" t="str">
        <f>IF($A38&lt;&gt;"",'Approved-In-Depth'!H38,"")</f>
        <v/>
      </c>
      <c r="I38" t="str">
        <f>IF($A38&lt;&gt;"",'Approved-In-Depth'!I38,"")</f>
        <v/>
      </c>
      <c r="J38" t="str">
        <f>IF($A38&lt;&gt;"",'Approved-In-Depth'!J38,"")</f>
        <v/>
      </c>
      <c r="K38" s="16" t="str">
        <f>IF($A38&lt;&gt;"",'Approved-In-Depth'!K38,"")</f>
        <v/>
      </c>
      <c r="L38" s="4" t="str">
        <f>IF($A38&lt;&gt;"",'Approved-In-Depth'!L38,"")</f>
        <v/>
      </c>
      <c r="M38" s="16" t="str">
        <f>IF($A38&lt;&gt;"",'Approved-In-Depth'!M38,"")</f>
        <v/>
      </c>
    </row>
    <row r="39" spans="1:13" x14ac:dyDescent="0.35">
      <c r="A39" s="4" t="str">
        <f>IF('Approved-In-Depth'!$A39&lt;&gt;"",'Approved-In-Depth'!A39,"")</f>
        <v/>
      </c>
      <c r="B39" t="str">
        <f>IF($O39&lt;&gt;"",$O39,IF($A39&lt;&gt;"",'Approved-In-Depth'!$B39+7,""))</f>
        <v/>
      </c>
      <c r="C39" t="str">
        <f>IF($A39&lt;&gt;"",'Approved-In-Depth'!C39,"")</f>
        <v/>
      </c>
      <c r="D39" t="str">
        <f>IF($A39&lt;&gt;"",'Approved-In-Depth'!D39,"")</f>
        <v/>
      </c>
      <c r="E39" t="str">
        <f>IF($A39&lt;&gt;"",'Approved-In-Depth'!E39,"")</f>
        <v/>
      </c>
      <c r="F39" t="str">
        <f>IF($A39&lt;&gt;"",'Approved-In-Depth'!F39,"")</f>
        <v/>
      </c>
      <c r="G39" t="str">
        <f>IF($A39&lt;&gt;"",'Approved-In-Depth'!G39,"")</f>
        <v/>
      </c>
      <c r="H39" s="4" t="str">
        <f>IF($A39&lt;&gt;"",'Approved-In-Depth'!H39,"")</f>
        <v/>
      </c>
      <c r="I39" t="str">
        <f>IF($A39&lt;&gt;"",'Approved-In-Depth'!I39,"")</f>
        <v/>
      </c>
      <c r="J39" t="str">
        <f>IF($A39&lt;&gt;"",'Approved-In-Depth'!J39,"")</f>
        <v/>
      </c>
      <c r="K39" s="16" t="str">
        <f>IF($A39&lt;&gt;"",'Approved-In-Depth'!K39,"")</f>
        <v/>
      </c>
      <c r="L39" s="4" t="str">
        <f>IF($A39&lt;&gt;"",'Approved-In-Depth'!L39,"")</f>
        <v/>
      </c>
      <c r="M39" s="16" t="str">
        <f>IF($A39&lt;&gt;"",'Approved-In-Depth'!M39,"")</f>
        <v/>
      </c>
    </row>
    <row r="40" spans="1:13" x14ac:dyDescent="0.35">
      <c r="A40" s="4" t="str">
        <f>IF('Approved-In-Depth'!$A40&lt;&gt;"",'Approved-In-Depth'!A40,"")</f>
        <v/>
      </c>
      <c r="B40" t="str">
        <f>IF($O40&lt;&gt;"",$O40,IF($A40&lt;&gt;"",'Approved-In-Depth'!$B40+7,""))</f>
        <v/>
      </c>
      <c r="C40" t="str">
        <f>IF($A40&lt;&gt;"",'Approved-In-Depth'!C40,"")</f>
        <v/>
      </c>
      <c r="D40" t="str">
        <f>IF($A40&lt;&gt;"",'Approved-In-Depth'!D40,"")</f>
        <v/>
      </c>
      <c r="E40" t="str">
        <f>IF($A40&lt;&gt;"",'Approved-In-Depth'!E40,"")</f>
        <v/>
      </c>
      <c r="F40" t="str">
        <f>IF($A40&lt;&gt;"",'Approved-In-Depth'!F40,"")</f>
        <v/>
      </c>
      <c r="G40" t="str">
        <f>IF($A40&lt;&gt;"",'Approved-In-Depth'!G40,"")</f>
        <v/>
      </c>
      <c r="H40" s="4" t="str">
        <f>IF($A40&lt;&gt;"",'Approved-In-Depth'!H40,"")</f>
        <v/>
      </c>
      <c r="I40" t="str">
        <f>IF($A40&lt;&gt;"",'Approved-In-Depth'!I40,"")</f>
        <v/>
      </c>
      <c r="J40" t="str">
        <f>IF($A40&lt;&gt;"",'Approved-In-Depth'!J40,"")</f>
        <v/>
      </c>
      <c r="K40" s="16" t="str">
        <f>IF($A40&lt;&gt;"",'Approved-In-Depth'!K40,"")</f>
        <v/>
      </c>
      <c r="L40" s="4" t="str">
        <f>IF($A40&lt;&gt;"",'Approved-In-Depth'!L40,"")</f>
        <v/>
      </c>
      <c r="M40" s="16" t="str">
        <f>IF($A40&lt;&gt;"",'Approved-In-Depth'!M40,"")</f>
        <v/>
      </c>
    </row>
    <row r="41" spans="1:13" x14ac:dyDescent="0.35">
      <c r="A41" s="4" t="str">
        <f>IF('Approved-In-Depth'!$A41&lt;&gt;"",'Approved-In-Depth'!A41,"")</f>
        <v/>
      </c>
      <c r="B41" t="str">
        <f>IF($O41&lt;&gt;"",$O41,IF($A41&lt;&gt;"",'Approved-In-Depth'!$B41+7,""))</f>
        <v/>
      </c>
      <c r="C41" t="str">
        <f>IF($A41&lt;&gt;"",'Approved-In-Depth'!C41,"")</f>
        <v/>
      </c>
      <c r="D41" t="str">
        <f>IF($A41&lt;&gt;"",'Approved-In-Depth'!D41,"")</f>
        <v/>
      </c>
      <c r="E41" t="str">
        <f>IF($A41&lt;&gt;"",'Approved-In-Depth'!E41,"")</f>
        <v/>
      </c>
      <c r="F41" t="str">
        <f>IF($A41&lt;&gt;"",'Approved-In-Depth'!F41,"")</f>
        <v/>
      </c>
      <c r="G41" t="str">
        <f>IF($A41&lt;&gt;"",'Approved-In-Depth'!G41,"")</f>
        <v/>
      </c>
      <c r="H41" s="4" t="str">
        <f>IF($A41&lt;&gt;"",'Approved-In-Depth'!H41,"")</f>
        <v/>
      </c>
      <c r="I41" t="str">
        <f>IF($A41&lt;&gt;"",'Approved-In-Depth'!I41,"")</f>
        <v/>
      </c>
      <c r="J41" t="str">
        <f>IF($A41&lt;&gt;"",'Approved-In-Depth'!J41,"")</f>
        <v/>
      </c>
      <c r="K41" s="16" t="str">
        <f>IF($A41&lt;&gt;"",'Approved-In-Depth'!K41,"")</f>
        <v/>
      </c>
      <c r="L41" s="4" t="str">
        <f>IF($A41&lt;&gt;"",'Approved-In-Depth'!L41,"")</f>
        <v/>
      </c>
      <c r="M41" s="16" t="str">
        <f>IF($A41&lt;&gt;"",'Approved-In-Depth'!M41,"")</f>
        <v/>
      </c>
    </row>
    <row r="42" spans="1:13" x14ac:dyDescent="0.35">
      <c r="A42" s="4" t="str">
        <f>IF('Approved-In-Depth'!$A42&lt;&gt;"",'Approved-In-Depth'!A42,"")</f>
        <v/>
      </c>
      <c r="B42" t="str">
        <f>IF($O42&lt;&gt;"",$O42,IF($A42&lt;&gt;"",'Approved-In-Depth'!$B42+7,""))</f>
        <v/>
      </c>
      <c r="C42" t="str">
        <f>IF($A42&lt;&gt;"",'Approved-In-Depth'!C42,"")</f>
        <v/>
      </c>
      <c r="D42" t="str">
        <f>IF($A42&lt;&gt;"",'Approved-In-Depth'!D42,"")</f>
        <v/>
      </c>
      <c r="E42" t="str">
        <f>IF($A42&lt;&gt;"",'Approved-In-Depth'!E42,"")</f>
        <v/>
      </c>
      <c r="F42" t="str">
        <f>IF($A42&lt;&gt;"",'Approved-In-Depth'!F42,"")</f>
        <v/>
      </c>
      <c r="G42" t="str">
        <f>IF($A42&lt;&gt;"",'Approved-In-Depth'!G42,"")</f>
        <v/>
      </c>
      <c r="H42" s="4" t="str">
        <f>IF($A42&lt;&gt;"",'Approved-In-Depth'!H42,"")</f>
        <v/>
      </c>
      <c r="I42" t="str">
        <f>IF($A42&lt;&gt;"",'Approved-In-Depth'!I42,"")</f>
        <v/>
      </c>
      <c r="J42" t="str">
        <f>IF($A42&lt;&gt;"",'Approved-In-Depth'!J42,"")</f>
        <v/>
      </c>
      <c r="K42" s="16" t="str">
        <f>IF($A42&lt;&gt;"",'Approved-In-Depth'!K42,"")</f>
        <v/>
      </c>
      <c r="L42" s="4" t="str">
        <f>IF($A42&lt;&gt;"",'Approved-In-Depth'!L42,"")</f>
        <v/>
      </c>
      <c r="M42" s="16" t="str">
        <f>IF($A42&lt;&gt;"",'Approved-In-Depth'!M42,"")</f>
        <v/>
      </c>
    </row>
    <row r="43" spans="1:13" x14ac:dyDescent="0.35">
      <c r="A43" s="4" t="str">
        <f>IF('Approved-In-Depth'!$A43&lt;&gt;"",'Approved-In-Depth'!A43,"")</f>
        <v/>
      </c>
      <c r="B43" t="str">
        <f>IF($O43&lt;&gt;"",$O43,IF($A43&lt;&gt;"",'Approved-In-Depth'!$B43+7,""))</f>
        <v/>
      </c>
      <c r="C43" t="str">
        <f>IF($A43&lt;&gt;"",'Approved-In-Depth'!C43,"")</f>
        <v/>
      </c>
      <c r="D43" t="str">
        <f>IF($A43&lt;&gt;"",'Approved-In-Depth'!D43,"")</f>
        <v/>
      </c>
      <c r="E43" t="str">
        <f>IF($A43&lt;&gt;"",'Approved-In-Depth'!E43,"")</f>
        <v/>
      </c>
      <c r="F43" t="str">
        <f>IF($A43&lt;&gt;"",'Approved-In-Depth'!F43,"")</f>
        <v/>
      </c>
      <c r="G43" t="str">
        <f>IF($A43&lt;&gt;"",'Approved-In-Depth'!G43,"")</f>
        <v/>
      </c>
      <c r="H43" s="4" t="str">
        <f>IF($A43&lt;&gt;"",'Approved-In-Depth'!H43,"")</f>
        <v/>
      </c>
      <c r="I43" t="str">
        <f>IF($A43&lt;&gt;"",'Approved-In-Depth'!I43,"")</f>
        <v/>
      </c>
      <c r="J43" t="str">
        <f>IF($A43&lt;&gt;"",'Approved-In-Depth'!J43,"")</f>
        <v/>
      </c>
      <c r="K43" s="16" t="str">
        <f>IF($A43&lt;&gt;"",'Approved-In-Depth'!K43,"")</f>
        <v/>
      </c>
      <c r="L43" s="4" t="str">
        <f>IF($A43&lt;&gt;"",'Approved-In-Depth'!L43,"")</f>
        <v/>
      </c>
      <c r="M43" s="16" t="str">
        <f>IF($A43&lt;&gt;"",'Approved-In-Depth'!M43,"")</f>
        <v/>
      </c>
    </row>
    <row r="44" spans="1:13" x14ac:dyDescent="0.35">
      <c r="A44" s="4" t="str">
        <f>IF('Approved-In-Depth'!$A44&lt;&gt;"",'Approved-In-Depth'!A44,"")</f>
        <v/>
      </c>
      <c r="B44" t="str">
        <f>IF($O44&lt;&gt;"",$O44,IF($A44&lt;&gt;"",'Approved-In-Depth'!$B44+7,""))</f>
        <v/>
      </c>
      <c r="C44" t="str">
        <f>IF($A44&lt;&gt;"",'Approved-In-Depth'!C44,"")</f>
        <v/>
      </c>
      <c r="D44" t="str">
        <f>IF($A44&lt;&gt;"",'Approved-In-Depth'!D44,"")</f>
        <v/>
      </c>
      <c r="E44" t="str">
        <f>IF($A44&lt;&gt;"",'Approved-In-Depth'!E44,"")</f>
        <v/>
      </c>
      <c r="F44" t="str">
        <f>IF($A44&lt;&gt;"",'Approved-In-Depth'!F44,"")</f>
        <v/>
      </c>
      <c r="G44" t="str">
        <f>IF($A44&lt;&gt;"",'Approved-In-Depth'!G44,"")</f>
        <v/>
      </c>
      <c r="H44" s="4" t="str">
        <f>IF($A44&lt;&gt;"",'Approved-In-Depth'!H44,"")</f>
        <v/>
      </c>
      <c r="I44" t="str">
        <f>IF($A44&lt;&gt;"",'Approved-In-Depth'!I44,"")</f>
        <v/>
      </c>
      <c r="J44" t="str">
        <f>IF($A44&lt;&gt;"",'Approved-In-Depth'!J44,"")</f>
        <v/>
      </c>
      <c r="K44" s="16" t="str">
        <f>IF($A44&lt;&gt;"",'Approved-In-Depth'!K44,"")</f>
        <v/>
      </c>
      <c r="L44" s="4" t="str">
        <f>IF($A44&lt;&gt;"",'Approved-In-Depth'!L44,"")</f>
        <v/>
      </c>
      <c r="M44" s="16" t="str">
        <f>IF($A44&lt;&gt;"",'Approved-In-Depth'!M44,"")</f>
        <v/>
      </c>
    </row>
    <row r="45" spans="1:13" x14ac:dyDescent="0.35">
      <c r="A45" s="4" t="str">
        <f>IF('Approved-In-Depth'!$A45&lt;&gt;"",'Approved-In-Depth'!A45,"")</f>
        <v/>
      </c>
      <c r="B45" t="str">
        <f>IF($O45&lt;&gt;"",$O45,IF($A45&lt;&gt;"",'Approved-In-Depth'!$B45+7,""))</f>
        <v/>
      </c>
      <c r="C45" t="str">
        <f>IF($A45&lt;&gt;"",'Approved-In-Depth'!C45,"")</f>
        <v/>
      </c>
      <c r="D45" t="str">
        <f>IF($A45&lt;&gt;"",'Approved-In-Depth'!D45,"")</f>
        <v/>
      </c>
      <c r="E45" t="str">
        <f>IF($A45&lt;&gt;"",'Approved-In-Depth'!E45,"")</f>
        <v/>
      </c>
      <c r="F45" t="str">
        <f>IF($A45&lt;&gt;"",'Approved-In-Depth'!F45,"")</f>
        <v/>
      </c>
      <c r="G45" t="str">
        <f>IF($A45&lt;&gt;"",'Approved-In-Depth'!G45,"")</f>
        <v/>
      </c>
      <c r="H45" s="4" t="str">
        <f>IF($A45&lt;&gt;"",'Approved-In-Depth'!H45,"")</f>
        <v/>
      </c>
      <c r="I45" t="str">
        <f>IF($A45&lt;&gt;"",'Approved-In-Depth'!I45,"")</f>
        <v/>
      </c>
      <c r="J45" t="str">
        <f>IF($A45&lt;&gt;"",'Approved-In-Depth'!J45,"")</f>
        <v/>
      </c>
      <c r="K45" t="str">
        <f>IF($A45&lt;&gt;"",'Approved-In-Depth'!K45,"")</f>
        <v/>
      </c>
      <c r="L45" s="4" t="str">
        <f>IF($A45&lt;&gt;"",'Approved-In-Depth'!L45,"")</f>
        <v/>
      </c>
      <c r="M45" s="16" t="str">
        <f>IF($A45&lt;&gt;"",'Approved-In-Depth'!M45,"")</f>
        <v/>
      </c>
    </row>
    <row r="46" spans="1:13" x14ac:dyDescent="0.35">
      <c r="A46" s="4" t="str">
        <f>IF('Approved-In-Depth'!$A46&lt;&gt;"",'Approved-In-Depth'!A46,"")</f>
        <v/>
      </c>
      <c r="B46" t="str">
        <f>IF($O46&lt;&gt;"",$O46,IF($A46&lt;&gt;"",'Approved-In-Depth'!$B46+7,""))</f>
        <v/>
      </c>
      <c r="C46" t="str">
        <f>IF($A46&lt;&gt;"",'Approved-In-Depth'!C46,"")</f>
        <v/>
      </c>
      <c r="D46" t="str">
        <f>IF($A46&lt;&gt;"",'Approved-In-Depth'!D46,"")</f>
        <v/>
      </c>
      <c r="E46" t="str">
        <f>IF($A46&lt;&gt;"",'Approved-In-Depth'!E46,"")</f>
        <v/>
      </c>
      <c r="F46" t="str">
        <f>IF($A46&lt;&gt;"",'Approved-In-Depth'!F46,"")</f>
        <v/>
      </c>
      <c r="G46" t="str">
        <f>IF($A46&lt;&gt;"",'Approved-In-Depth'!G46,"")</f>
        <v/>
      </c>
      <c r="H46" s="4" t="str">
        <f>IF($A46&lt;&gt;"",'Approved-In-Depth'!H46,"")</f>
        <v/>
      </c>
      <c r="I46" t="str">
        <f>IF($A46&lt;&gt;"",'Approved-In-Depth'!I46,"")</f>
        <v/>
      </c>
      <c r="J46" t="str">
        <f>IF($A46&lt;&gt;"",'Approved-In-Depth'!J46,"")</f>
        <v/>
      </c>
      <c r="K46" t="str">
        <f>IF($A46&lt;&gt;"",'Approved-In-Depth'!K46,"")</f>
        <v/>
      </c>
      <c r="L46" s="4" t="str">
        <f>IF($A46&lt;&gt;"",'Approved-In-Depth'!L46,"")</f>
        <v/>
      </c>
      <c r="M46" t="str">
        <f>IF($A46&lt;&gt;"",'Approved-In-Depth'!M46,"")</f>
        <v/>
      </c>
    </row>
    <row r="47" spans="1:13" x14ac:dyDescent="0.35">
      <c r="A47" s="4" t="str">
        <f>IF('Approved-In-Depth'!$A47&lt;&gt;"",'Approved-In-Depth'!A47,"")</f>
        <v/>
      </c>
      <c r="B47" t="str">
        <f>IF($O47&lt;&gt;"",$O47,IF($A47&lt;&gt;"",'Approved-In-Depth'!$B47+7,""))</f>
        <v/>
      </c>
      <c r="C47" t="str">
        <f>IF($A47&lt;&gt;"",'Approved-In-Depth'!C47,"")</f>
        <v/>
      </c>
      <c r="D47" t="str">
        <f>IF($A47&lt;&gt;"",'Approved-In-Depth'!D47,"")</f>
        <v/>
      </c>
      <c r="E47" t="str">
        <f>IF($A47&lt;&gt;"",'Approved-In-Depth'!E47,"")</f>
        <v/>
      </c>
      <c r="F47" t="str">
        <f>IF($A47&lt;&gt;"",'Approved-In-Depth'!F47,"")</f>
        <v/>
      </c>
      <c r="G47" t="str">
        <f>IF($A47&lt;&gt;"",'Approved-In-Depth'!G47,"")</f>
        <v/>
      </c>
      <c r="H47" s="4" t="str">
        <f>IF($A47&lt;&gt;"",'Approved-In-Depth'!H47,"")</f>
        <v/>
      </c>
      <c r="I47" t="str">
        <f>IF($A47&lt;&gt;"",'Approved-In-Depth'!I47,"")</f>
        <v/>
      </c>
      <c r="J47" t="str">
        <f>IF($A47&lt;&gt;"",'Approved-In-Depth'!J47,"")</f>
        <v/>
      </c>
      <c r="K47" t="str">
        <f>IF($A47&lt;&gt;"",'Approved-In-Depth'!K47,"")</f>
        <v/>
      </c>
      <c r="L47" s="4" t="str">
        <f>IF($A47&lt;&gt;"",'Approved-In-Depth'!L47,"")</f>
        <v/>
      </c>
      <c r="M47" t="str">
        <f>IF($A47&lt;&gt;"",'Approved-In-Depth'!M47,"")</f>
        <v/>
      </c>
    </row>
    <row r="48" spans="1:13" x14ac:dyDescent="0.35">
      <c r="A48" s="4" t="str">
        <f>IF('Approved-In-Depth'!$A48&lt;&gt;"",'Approved-In-Depth'!A48,"")</f>
        <v/>
      </c>
      <c r="B48" t="str">
        <f>IF($O48&lt;&gt;"",$O48,IF($A48&lt;&gt;"",'Approved-In-Depth'!$B48+7,""))</f>
        <v/>
      </c>
      <c r="C48" t="str">
        <f>IF($A48&lt;&gt;"",'Approved-In-Depth'!C48,"")</f>
        <v/>
      </c>
      <c r="D48" t="str">
        <f>IF($A48&lt;&gt;"",'Approved-In-Depth'!D48,"")</f>
        <v/>
      </c>
      <c r="E48" t="str">
        <f>IF($A48&lt;&gt;"",'Approved-In-Depth'!E48,"")</f>
        <v/>
      </c>
      <c r="F48" t="str">
        <f>IF($A48&lt;&gt;"",'Approved-In-Depth'!F48,"")</f>
        <v/>
      </c>
      <c r="G48" t="str">
        <f>IF($A48&lt;&gt;"",'Approved-In-Depth'!G48,"")</f>
        <v/>
      </c>
      <c r="H48" s="4" t="str">
        <f>IF($A48&lt;&gt;"",'Approved-In-Depth'!H48,"")</f>
        <v/>
      </c>
      <c r="I48" t="str">
        <f>IF($A48&lt;&gt;"",'Approved-In-Depth'!I48,"")</f>
        <v/>
      </c>
      <c r="J48" t="str">
        <f>IF($A48&lt;&gt;"",'Approved-In-Depth'!J48,"")</f>
        <v/>
      </c>
      <c r="K48" t="str">
        <f>IF($A48&lt;&gt;"",'Approved-In-Depth'!K48,"")</f>
        <v/>
      </c>
      <c r="L48" s="4" t="str">
        <f>IF($A48&lt;&gt;"",'Approved-In-Depth'!L48,"")</f>
        <v/>
      </c>
      <c r="M48" t="str">
        <f>IF($A48&lt;&gt;"",'Approved-In-Depth'!M48,"")</f>
        <v/>
      </c>
    </row>
    <row r="49" spans="1:13" x14ac:dyDescent="0.35">
      <c r="A49" s="4" t="str">
        <f>IF('Approved-In-Depth'!$A49&lt;&gt;"",'Approved-In-Depth'!A49,"")</f>
        <v/>
      </c>
      <c r="B49" t="str">
        <f>IF($O49&lt;&gt;"",$O49,IF($A49&lt;&gt;"",'Approved-In-Depth'!$B49+7,""))</f>
        <v/>
      </c>
      <c r="C49" t="str">
        <f>IF($A49&lt;&gt;"",'Approved-In-Depth'!C49,"")</f>
        <v/>
      </c>
      <c r="D49" t="str">
        <f>IF($A49&lt;&gt;"",'Approved-In-Depth'!D49,"")</f>
        <v/>
      </c>
      <c r="E49" t="str">
        <f>IF($A49&lt;&gt;"",'Approved-In-Depth'!E49,"")</f>
        <v/>
      </c>
      <c r="F49" t="str">
        <f>IF($A49&lt;&gt;"",'Approved-In-Depth'!F49,"")</f>
        <v/>
      </c>
      <c r="G49" t="str">
        <f>IF($A49&lt;&gt;"",'Approved-In-Depth'!G49,"")</f>
        <v/>
      </c>
      <c r="H49" s="4" t="str">
        <f>IF($A49&lt;&gt;"",'Approved-In-Depth'!H49,"")</f>
        <v/>
      </c>
      <c r="I49" t="str">
        <f>IF($A49&lt;&gt;"",'Approved-In-Depth'!I49,"")</f>
        <v/>
      </c>
      <c r="J49" t="str">
        <f>IF($A49&lt;&gt;"",'Approved-In-Depth'!J49,"")</f>
        <v/>
      </c>
      <c r="K49" t="str">
        <f>IF($A49&lt;&gt;"",'Approved-In-Depth'!K49,"")</f>
        <v/>
      </c>
      <c r="L49" s="4" t="str">
        <f>IF($A49&lt;&gt;"",'Approved-In-Depth'!L49,"")</f>
        <v/>
      </c>
      <c r="M49" t="str">
        <f>IF($A49&lt;&gt;"",'Approved-In-Depth'!M49,"")</f>
        <v/>
      </c>
    </row>
    <row r="50" spans="1:13" x14ac:dyDescent="0.35">
      <c r="A50" s="4" t="str">
        <f>IF('Approved-In-Depth'!$A50&lt;&gt;"",'Approved-In-Depth'!A50,"")</f>
        <v/>
      </c>
      <c r="B50" t="str">
        <f>IF($O50&lt;&gt;"",$O50,IF($A50&lt;&gt;"",'Approved-In-Depth'!$B50+7,""))</f>
        <v/>
      </c>
      <c r="C50" t="str">
        <f>IF($A50&lt;&gt;"",'Approved-In-Depth'!C50,"")</f>
        <v/>
      </c>
      <c r="D50" t="str">
        <f>IF($A50&lt;&gt;"",'Approved-In-Depth'!D50,"")</f>
        <v/>
      </c>
      <c r="E50" t="str">
        <f>IF($A50&lt;&gt;"",'Approved-In-Depth'!E50,"")</f>
        <v/>
      </c>
      <c r="F50" t="str">
        <f>IF($A50&lt;&gt;"",'Approved-In-Depth'!F50,"")</f>
        <v/>
      </c>
      <c r="G50" t="str">
        <f>IF($A50&lt;&gt;"",'Approved-In-Depth'!G50,"")</f>
        <v/>
      </c>
      <c r="H50" s="4" t="str">
        <f>IF($A50&lt;&gt;"",'Approved-In-Depth'!H50,"")</f>
        <v/>
      </c>
      <c r="I50" t="str">
        <f>IF($A50&lt;&gt;"",'Approved-In-Depth'!I50,"")</f>
        <v/>
      </c>
      <c r="J50" t="str">
        <f>IF($A50&lt;&gt;"",'Approved-In-Depth'!J50,"")</f>
        <v/>
      </c>
      <c r="K50" t="str">
        <f>IF($A50&lt;&gt;"",'Approved-In-Depth'!K50,"")</f>
        <v/>
      </c>
      <c r="L50" s="4" t="str">
        <f>IF($A50&lt;&gt;"",'Approved-In-Depth'!L50,"")</f>
        <v/>
      </c>
      <c r="M50" t="str">
        <f>IF($A50&lt;&gt;"",'Approved-In-Depth'!M50,"")</f>
        <v/>
      </c>
    </row>
    <row r="51" spans="1:13" x14ac:dyDescent="0.35">
      <c r="A51" s="4" t="str">
        <f>IF('Approved-In-Depth'!$A51&lt;&gt;"",'Approved-In-Depth'!A51,"")</f>
        <v/>
      </c>
      <c r="B51" t="str">
        <f>IF($O51&lt;&gt;"",$O51,IF($A51&lt;&gt;"",'Approved-In-Depth'!$B51+7,""))</f>
        <v/>
      </c>
      <c r="C51" t="str">
        <f>IF($A51&lt;&gt;"",'Approved-In-Depth'!C51,"")</f>
        <v/>
      </c>
      <c r="D51" t="str">
        <f>IF($A51&lt;&gt;"",'Approved-In-Depth'!D51,"")</f>
        <v/>
      </c>
      <c r="E51" t="str">
        <f>IF($A51&lt;&gt;"",'Approved-In-Depth'!E51,"")</f>
        <v/>
      </c>
      <c r="F51" t="str">
        <f>IF($A51&lt;&gt;"",'Approved-In-Depth'!F51,"")</f>
        <v/>
      </c>
      <c r="G51" t="str">
        <f>IF($A51&lt;&gt;"",'Approved-In-Depth'!G51,"")</f>
        <v/>
      </c>
      <c r="H51" s="4" t="str">
        <f>IF($A51&lt;&gt;"",'Approved-In-Depth'!H51,"")</f>
        <v/>
      </c>
      <c r="I51" t="str">
        <f>IF($A51&lt;&gt;"",'Approved-In-Depth'!I51,"")</f>
        <v/>
      </c>
      <c r="J51" t="str">
        <f>IF($A51&lt;&gt;"",'Approved-In-Depth'!J51,"")</f>
        <v/>
      </c>
      <c r="K51" t="str">
        <f>IF($A51&lt;&gt;"",'Approved-In-Depth'!K51,"")</f>
        <v/>
      </c>
      <c r="L51" s="4" t="str">
        <f>IF($A51&lt;&gt;"",'Approved-In-Depth'!L51,"")</f>
        <v/>
      </c>
      <c r="M51" t="str">
        <f>IF($A51&lt;&gt;"",'Approved-In-Depth'!M51,"")</f>
        <v/>
      </c>
    </row>
    <row r="52" spans="1:13" x14ac:dyDescent="0.35">
      <c r="A52" s="4" t="str">
        <f>IF('Approved-In-Depth'!$A52&lt;&gt;"",'Approved-In-Depth'!A52,"")</f>
        <v/>
      </c>
      <c r="B52" t="str">
        <f>IF($O52&lt;&gt;"",$O52,IF($A52&lt;&gt;"",'Approved-In-Depth'!$B52+7,""))</f>
        <v/>
      </c>
      <c r="C52" t="str">
        <f>IF($A52&lt;&gt;"",'Approved-In-Depth'!C52,"")</f>
        <v/>
      </c>
      <c r="D52" t="str">
        <f>IF($A52&lt;&gt;"",'Approved-In-Depth'!D52,"")</f>
        <v/>
      </c>
      <c r="E52" t="str">
        <f>IF($A52&lt;&gt;"",'Approved-In-Depth'!E52,"")</f>
        <v/>
      </c>
      <c r="F52" t="str">
        <f>IF($A52&lt;&gt;"",'Approved-In-Depth'!F52,"")</f>
        <v/>
      </c>
      <c r="G52" t="str">
        <f>IF($A52&lt;&gt;"",'Approved-In-Depth'!G52,"")</f>
        <v/>
      </c>
      <c r="H52" s="4" t="str">
        <f>IF($A52&lt;&gt;"",'Approved-In-Depth'!H52,"")</f>
        <v/>
      </c>
      <c r="I52" t="str">
        <f>IF($A52&lt;&gt;"",'Approved-In-Depth'!I52,"")</f>
        <v/>
      </c>
      <c r="J52" t="str">
        <f>IF($A52&lt;&gt;"",'Approved-In-Depth'!J52,"")</f>
        <v/>
      </c>
      <c r="K52" t="str">
        <f>IF($A52&lt;&gt;"",'Approved-In-Depth'!K52,"")</f>
        <v/>
      </c>
      <c r="L52" s="4" t="str">
        <f>IF($A52&lt;&gt;"",'Approved-In-Depth'!L52,"")</f>
        <v/>
      </c>
      <c r="M52" t="str">
        <f>IF($A52&lt;&gt;"",'Approved-In-Depth'!M52,"")</f>
        <v/>
      </c>
    </row>
    <row r="53" spans="1:13" x14ac:dyDescent="0.35">
      <c r="A53" s="4" t="str">
        <f>IF('Approved-In-Depth'!$A53&lt;&gt;"",'Approved-In-Depth'!A53,"")</f>
        <v/>
      </c>
      <c r="B53" t="str">
        <f>IF($O53&lt;&gt;"",$O53,IF($A53&lt;&gt;"",'Approved-In-Depth'!$B53+7,""))</f>
        <v/>
      </c>
      <c r="C53" t="str">
        <f>IF($A53&lt;&gt;"",'Approved-In-Depth'!C53,"")</f>
        <v/>
      </c>
      <c r="D53" t="str">
        <f>IF($A53&lt;&gt;"",'Approved-In-Depth'!D53,"")</f>
        <v/>
      </c>
      <c r="E53" t="str">
        <f>IF($A53&lt;&gt;"",'Approved-In-Depth'!E53,"")</f>
        <v/>
      </c>
      <c r="F53" t="str">
        <f>IF($A53&lt;&gt;"",'Approved-In-Depth'!F53,"")</f>
        <v/>
      </c>
      <c r="G53" t="str">
        <f>IF($A53&lt;&gt;"",'Approved-In-Depth'!G53,"")</f>
        <v/>
      </c>
      <c r="H53" s="4" t="str">
        <f>IF($A53&lt;&gt;"",'Approved-In-Depth'!H53,"")</f>
        <v/>
      </c>
      <c r="I53" t="str">
        <f>IF($A53&lt;&gt;"",'Approved-In-Depth'!I53,"")</f>
        <v/>
      </c>
      <c r="J53" t="str">
        <f>IF($A53&lt;&gt;"",'Approved-In-Depth'!J53,"")</f>
        <v/>
      </c>
      <c r="K53" t="str">
        <f>IF($A53&lt;&gt;"",'Approved-In-Depth'!K53,"")</f>
        <v/>
      </c>
      <c r="L53" s="4" t="str">
        <f>IF($A53&lt;&gt;"",'Approved-In-Depth'!L53,"")</f>
        <v/>
      </c>
      <c r="M53" t="str">
        <f>IF($A53&lt;&gt;"",'Approved-In-Depth'!M53,"")</f>
        <v/>
      </c>
    </row>
    <row r="54" spans="1:13" x14ac:dyDescent="0.35">
      <c r="A54" s="4" t="str">
        <f>IF('Approved-In-Depth'!$A54&lt;&gt;"",'Approved-In-Depth'!A54,"")</f>
        <v/>
      </c>
      <c r="B54" t="str">
        <f>IF($O54&lt;&gt;"",$O54,IF($A54&lt;&gt;"",'Approved-In-Depth'!$B54+7,""))</f>
        <v/>
      </c>
      <c r="C54" t="str">
        <f>IF($A54&lt;&gt;"",'Approved-In-Depth'!C54,"")</f>
        <v/>
      </c>
      <c r="D54" t="str">
        <f>IF($A54&lt;&gt;"",'Approved-In-Depth'!D54,"")</f>
        <v/>
      </c>
      <c r="E54" t="str">
        <f>IF($A54&lt;&gt;"",'Approved-In-Depth'!E54,"")</f>
        <v/>
      </c>
      <c r="F54" t="str">
        <f>IF($A54&lt;&gt;"",'Approved-In-Depth'!F54,"")</f>
        <v/>
      </c>
      <c r="G54" t="str">
        <f>IF($A54&lt;&gt;"",'Approved-In-Depth'!G54,"")</f>
        <v/>
      </c>
      <c r="H54" s="4" t="str">
        <f>IF($A54&lt;&gt;"",'Approved-In-Depth'!H54,"")</f>
        <v/>
      </c>
      <c r="I54" t="str">
        <f>IF($A54&lt;&gt;"",'Approved-In-Depth'!I54,"")</f>
        <v/>
      </c>
      <c r="J54" t="str">
        <f>IF($A54&lt;&gt;"",'Approved-In-Depth'!J54,"")</f>
        <v/>
      </c>
      <c r="K54" t="str">
        <f>IF($A54&lt;&gt;"",'Approved-In-Depth'!K54,"")</f>
        <v/>
      </c>
      <c r="L54" s="4" t="str">
        <f>IF($A54&lt;&gt;"",'Approved-In-Depth'!L54,"")</f>
        <v/>
      </c>
      <c r="M54" t="str">
        <f>IF($A54&lt;&gt;"",'Approved-In-Depth'!M54,"")</f>
        <v/>
      </c>
    </row>
    <row r="55" spans="1:13" x14ac:dyDescent="0.35">
      <c r="A55" s="4" t="str">
        <f>IF('Approved-In-Depth'!$A55&lt;&gt;"",'Approved-In-Depth'!A55,"")</f>
        <v/>
      </c>
      <c r="B55" t="str">
        <f>IF($O55&lt;&gt;"",$O55,IF($A55&lt;&gt;"",'Approved-In-Depth'!$B55+7,""))</f>
        <v/>
      </c>
      <c r="C55" t="str">
        <f>IF($A55&lt;&gt;"",'Approved-In-Depth'!C55,"")</f>
        <v/>
      </c>
      <c r="D55" t="str">
        <f>IF($A55&lt;&gt;"",'Approved-In-Depth'!D55,"")</f>
        <v/>
      </c>
      <c r="E55" t="str">
        <f>IF($A55&lt;&gt;"",'Approved-In-Depth'!E55,"")</f>
        <v/>
      </c>
      <c r="F55" t="str">
        <f>IF($A55&lt;&gt;"",'Approved-In-Depth'!F55,"")</f>
        <v/>
      </c>
      <c r="G55" t="str">
        <f>IF($A55&lt;&gt;"",'Approved-In-Depth'!G55,"")</f>
        <v/>
      </c>
      <c r="H55" s="4" t="str">
        <f>IF($A55&lt;&gt;"",'Approved-In-Depth'!H55,"")</f>
        <v/>
      </c>
      <c r="I55" t="str">
        <f>IF($A55&lt;&gt;"",'Approved-In-Depth'!I55,"")</f>
        <v/>
      </c>
      <c r="J55" t="str">
        <f>IF($A55&lt;&gt;"",'Approved-In-Depth'!J55,"")</f>
        <v/>
      </c>
      <c r="K55" t="str">
        <f>IF($A55&lt;&gt;"",'Approved-In-Depth'!K55,"")</f>
        <v/>
      </c>
      <c r="L55" s="4" t="str">
        <f>IF($A55&lt;&gt;"",'Approved-In-Depth'!L55,"")</f>
        <v/>
      </c>
      <c r="M55" t="str">
        <f>IF($A55&lt;&gt;"",'Approved-In-Depth'!M55,"")</f>
        <v/>
      </c>
    </row>
    <row r="56" spans="1:13" x14ac:dyDescent="0.35">
      <c r="A56" s="4" t="str">
        <f>IF('Approved-In-Depth'!$A56&lt;&gt;"",'Approved-In-Depth'!A56,"")</f>
        <v/>
      </c>
      <c r="B56" t="str">
        <f>IF($O56&lt;&gt;"",$O56,IF($A56&lt;&gt;"",'Approved-In-Depth'!$B56+7,""))</f>
        <v/>
      </c>
      <c r="C56" t="str">
        <f>IF($A56&lt;&gt;"",'Approved-In-Depth'!C56,"")</f>
        <v/>
      </c>
      <c r="D56" t="str">
        <f>IF($A56&lt;&gt;"",'Approved-In-Depth'!D56,"")</f>
        <v/>
      </c>
      <c r="E56" t="str">
        <f>IF($A56&lt;&gt;"",'Approved-In-Depth'!E56,"")</f>
        <v/>
      </c>
      <c r="F56" t="str">
        <f>IF($A56&lt;&gt;"",'Approved-In-Depth'!F56,"")</f>
        <v/>
      </c>
      <c r="G56" t="str">
        <f>IF($A56&lt;&gt;"",'Approved-In-Depth'!G56,"")</f>
        <v/>
      </c>
      <c r="H56" s="4" t="str">
        <f>IF($A56&lt;&gt;"",'Approved-In-Depth'!H56,"")</f>
        <v/>
      </c>
      <c r="I56" t="str">
        <f>IF($A56&lt;&gt;"",'Approved-In-Depth'!I56,"")</f>
        <v/>
      </c>
      <c r="J56" t="str">
        <f>IF($A56&lt;&gt;"",'Approved-In-Depth'!J56,"")</f>
        <v/>
      </c>
      <c r="K56" t="str">
        <f>IF($A56&lt;&gt;"",'Approved-In-Depth'!K56,"")</f>
        <v/>
      </c>
      <c r="L56" s="4" t="str">
        <f>IF($A56&lt;&gt;"",'Approved-In-Depth'!L56,"")</f>
        <v/>
      </c>
      <c r="M56" t="str">
        <f>IF($A56&lt;&gt;"",'Approved-In-Depth'!M56,"")</f>
        <v/>
      </c>
    </row>
    <row r="57" spans="1:13" x14ac:dyDescent="0.35">
      <c r="A57" s="4" t="str">
        <f>IF('Approved-In-Depth'!$A57&lt;&gt;"",'Approved-In-Depth'!A57,"")</f>
        <v/>
      </c>
      <c r="B57" t="str">
        <f>IF($O57&lt;&gt;"",$O57,IF($A57&lt;&gt;"",'Approved-In-Depth'!$B57+7,""))</f>
        <v/>
      </c>
      <c r="C57" t="str">
        <f>IF($A57&lt;&gt;"",'Approved-In-Depth'!C57,"")</f>
        <v/>
      </c>
      <c r="D57" t="str">
        <f>IF($A57&lt;&gt;"",'Approved-In-Depth'!D57,"")</f>
        <v/>
      </c>
      <c r="E57" t="str">
        <f>IF($A57&lt;&gt;"",'Approved-In-Depth'!E57,"")</f>
        <v/>
      </c>
      <c r="F57" t="str">
        <f>IF($A57&lt;&gt;"",'Approved-In-Depth'!F57,"")</f>
        <v/>
      </c>
      <c r="G57" t="str">
        <f>IF($A57&lt;&gt;"",'Approved-In-Depth'!G57,"")</f>
        <v/>
      </c>
      <c r="H57" s="4" t="str">
        <f>IF($A57&lt;&gt;"",'Approved-In-Depth'!H57,"")</f>
        <v/>
      </c>
      <c r="I57" t="str">
        <f>IF($A57&lt;&gt;"",'Approved-In-Depth'!I57,"")</f>
        <v/>
      </c>
      <c r="J57" t="str">
        <f>IF($A57&lt;&gt;"",'Approved-In-Depth'!J57,"")</f>
        <v/>
      </c>
      <c r="K57" t="str">
        <f>IF($A57&lt;&gt;"",'Approved-In-Depth'!K57,"")</f>
        <v/>
      </c>
      <c r="L57" s="4" t="str">
        <f>IF($A57&lt;&gt;"",'Approved-In-Depth'!L57,"")</f>
        <v/>
      </c>
      <c r="M57" t="str">
        <f>IF($A57&lt;&gt;"",'Approved-In-Depth'!M57,"")</f>
        <v/>
      </c>
    </row>
    <row r="58" spans="1:13" x14ac:dyDescent="0.35">
      <c r="A58" s="4" t="str">
        <f>IF('Approved-In-Depth'!$A58&lt;&gt;"",'Approved-In-Depth'!A58,"")</f>
        <v/>
      </c>
      <c r="B58" t="str">
        <f>IF($O58&lt;&gt;"",$O58,IF($A58&lt;&gt;"",'Approved-In-Depth'!$B58+7,""))</f>
        <v/>
      </c>
      <c r="C58" t="str">
        <f>IF($A58&lt;&gt;"",'Approved-In-Depth'!C58,"")</f>
        <v/>
      </c>
      <c r="D58" t="str">
        <f>IF($A58&lt;&gt;"",'Approved-In-Depth'!D58,"")</f>
        <v/>
      </c>
      <c r="E58" t="str">
        <f>IF($A58&lt;&gt;"",'Approved-In-Depth'!E58,"")</f>
        <v/>
      </c>
      <c r="F58" t="str">
        <f>IF($A58&lt;&gt;"",'Approved-In-Depth'!F58,"")</f>
        <v/>
      </c>
      <c r="G58" t="str">
        <f>IF($A58&lt;&gt;"",'Approved-In-Depth'!G58,"")</f>
        <v/>
      </c>
      <c r="H58" s="4" t="str">
        <f>IF($A58&lt;&gt;"",'Approved-In-Depth'!H58,"")</f>
        <v/>
      </c>
      <c r="I58" t="str">
        <f>IF($A58&lt;&gt;"",'Approved-In-Depth'!I58,"")</f>
        <v/>
      </c>
      <c r="J58" t="str">
        <f>IF($A58&lt;&gt;"",'Approved-In-Depth'!J58,"")</f>
        <v/>
      </c>
      <c r="K58" t="str">
        <f>IF($A58&lt;&gt;"",'Approved-In-Depth'!K58,"")</f>
        <v/>
      </c>
      <c r="L58" s="4" t="str">
        <f>IF($A58&lt;&gt;"",'Approved-In-Depth'!L58,"")</f>
        <v/>
      </c>
      <c r="M58" t="str">
        <f>IF($A58&lt;&gt;"",'Approved-In-Depth'!M58,"")</f>
        <v/>
      </c>
    </row>
    <row r="59" spans="1:13" x14ac:dyDescent="0.35">
      <c r="A59" s="4" t="str">
        <f>IF('Approved-In-Depth'!$A59&lt;&gt;"",'Approved-In-Depth'!A59,"")</f>
        <v/>
      </c>
      <c r="B59" t="str">
        <f>IF($O59&lt;&gt;"",$O59,IF($A59&lt;&gt;"",'Approved-In-Depth'!$B59+7,""))</f>
        <v/>
      </c>
      <c r="C59" t="str">
        <f>IF($A59&lt;&gt;"",'Approved-In-Depth'!C59,"")</f>
        <v/>
      </c>
      <c r="D59" t="str">
        <f>IF($A59&lt;&gt;"",'Approved-In-Depth'!D59,"")</f>
        <v/>
      </c>
      <c r="E59" t="str">
        <f>IF($A59&lt;&gt;"",'Approved-In-Depth'!E59,"")</f>
        <v/>
      </c>
      <c r="F59" t="str">
        <f>IF($A59&lt;&gt;"",'Approved-In-Depth'!F59,"")</f>
        <v/>
      </c>
      <c r="G59" t="str">
        <f>IF($A59&lt;&gt;"",'Approved-In-Depth'!G59,"")</f>
        <v/>
      </c>
      <c r="H59" s="4" t="str">
        <f>IF($A59&lt;&gt;"",'Approved-In-Depth'!H59,"")</f>
        <v/>
      </c>
      <c r="I59" t="str">
        <f>IF($A59&lt;&gt;"",'Approved-In-Depth'!I59,"")</f>
        <v/>
      </c>
      <c r="J59" t="str">
        <f>IF($A59&lt;&gt;"",'Approved-In-Depth'!J59,"")</f>
        <v/>
      </c>
      <c r="K59" t="str">
        <f>IF($A59&lt;&gt;"",'Approved-In-Depth'!K59,"")</f>
        <v/>
      </c>
      <c r="L59" s="4" t="str">
        <f>IF($A59&lt;&gt;"",'Approved-In-Depth'!L59,"")</f>
        <v/>
      </c>
      <c r="M59" t="str">
        <f>IF($A59&lt;&gt;"",'Approved-In-Depth'!M59,"")</f>
        <v/>
      </c>
    </row>
    <row r="60" spans="1:13" x14ac:dyDescent="0.35">
      <c r="A60" s="4" t="str">
        <f>IF('Approved-In-Depth'!$A60&lt;&gt;"",'Approved-In-Depth'!A60,"")</f>
        <v/>
      </c>
      <c r="B60" t="str">
        <f>IF($O60&lt;&gt;"",$O60,IF($A60&lt;&gt;"",'Approved-In-Depth'!$B60+7,""))</f>
        <v/>
      </c>
      <c r="C60" t="str">
        <f>IF($A60&lt;&gt;"",'Approved-In-Depth'!C60,"")</f>
        <v/>
      </c>
      <c r="D60" t="str">
        <f>IF($A60&lt;&gt;"",'Approved-In-Depth'!D60,"")</f>
        <v/>
      </c>
      <c r="E60" t="str">
        <f>IF($A60&lt;&gt;"",'Approved-In-Depth'!E60,"")</f>
        <v/>
      </c>
      <c r="F60" t="str">
        <f>IF($A60&lt;&gt;"",'Approved-In-Depth'!F60,"")</f>
        <v/>
      </c>
      <c r="G60" t="str">
        <f>IF($A60&lt;&gt;"",'Approved-In-Depth'!G60,"")</f>
        <v/>
      </c>
      <c r="H60" s="4" t="str">
        <f>IF($A60&lt;&gt;"",'Approved-In-Depth'!H60,"")</f>
        <v/>
      </c>
      <c r="I60" t="str">
        <f>IF($A60&lt;&gt;"",'Approved-In-Depth'!I60,"")</f>
        <v/>
      </c>
      <c r="J60" t="str">
        <f>IF($A60&lt;&gt;"",'Approved-In-Depth'!J60,"")</f>
        <v/>
      </c>
      <c r="K60" t="str">
        <f>IF($A60&lt;&gt;"",'Approved-In-Depth'!K60,"")</f>
        <v/>
      </c>
      <c r="L60" s="4" t="str">
        <f>IF($A60&lt;&gt;"",'Approved-In-Depth'!L60,"")</f>
        <v/>
      </c>
      <c r="M60" t="str">
        <f>IF($A60&lt;&gt;"",'Approved-In-Depth'!M60,"")</f>
        <v/>
      </c>
    </row>
    <row r="61" spans="1:13" x14ac:dyDescent="0.35">
      <c r="A61" s="4" t="str">
        <f>IF('Approved-In-Depth'!$A61&lt;&gt;"",'Approved-In-Depth'!A61,"")</f>
        <v/>
      </c>
      <c r="B61" t="str">
        <f>IF($O61&lt;&gt;"",$O61,IF($A61&lt;&gt;"",'Approved-In-Depth'!$B61+7,""))</f>
        <v/>
      </c>
      <c r="C61" t="str">
        <f>IF($A61&lt;&gt;"",'Approved-In-Depth'!C61,"")</f>
        <v/>
      </c>
      <c r="D61" t="str">
        <f>IF($A61&lt;&gt;"",'Approved-In-Depth'!D61,"")</f>
        <v/>
      </c>
      <c r="E61" t="str">
        <f>IF($A61&lt;&gt;"",'Approved-In-Depth'!E61,"")</f>
        <v/>
      </c>
      <c r="F61" t="str">
        <f>IF($A61&lt;&gt;"",'Approved-In-Depth'!F61,"")</f>
        <v/>
      </c>
      <c r="G61" t="str">
        <f>IF($A61&lt;&gt;"",'Approved-In-Depth'!G61,"")</f>
        <v/>
      </c>
      <c r="H61" s="4" t="str">
        <f>IF($A61&lt;&gt;"",'Approved-In-Depth'!H61,"")</f>
        <v/>
      </c>
      <c r="I61" t="str">
        <f>IF($A61&lt;&gt;"",'Approved-In-Depth'!I61,"")</f>
        <v/>
      </c>
      <c r="J61" t="str">
        <f>IF($A61&lt;&gt;"",'Approved-In-Depth'!J61,"")</f>
        <v/>
      </c>
      <c r="K61" t="str">
        <f>IF($A61&lt;&gt;"",'Approved-In-Depth'!K61,"")</f>
        <v/>
      </c>
      <c r="L61" s="4" t="str">
        <f>IF($A61&lt;&gt;"",'Approved-In-Depth'!L61,"")</f>
        <v/>
      </c>
      <c r="M61" t="str">
        <f>IF($A61&lt;&gt;"",'Approved-In-Depth'!M61,"")</f>
        <v/>
      </c>
    </row>
    <row r="62" spans="1:13" x14ac:dyDescent="0.35">
      <c r="A62" s="4" t="str">
        <f>IF('Approved-In-Depth'!$A62&lt;&gt;"",'Approved-In-Depth'!A62,"")</f>
        <v/>
      </c>
      <c r="B62" t="str">
        <f>IF($O62&lt;&gt;"",$O62,IF($A62&lt;&gt;"",'Approved-In-Depth'!$B62+7,""))</f>
        <v/>
      </c>
      <c r="C62" t="str">
        <f>IF($A62&lt;&gt;"",'Approved-In-Depth'!C62,"")</f>
        <v/>
      </c>
      <c r="D62" t="str">
        <f>IF($A62&lt;&gt;"",'Approved-In-Depth'!D62,"")</f>
        <v/>
      </c>
      <c r="E62" t="str">
        <f>IF($A62&lt;&gt;"",'Approved-In-Depth'!E62,"")</f>
        <v/>
      </c>
      <c r="F62" t="str">
        <f>IF($A62&lt;&gt;"",'Approved-In-Depth'!F62,"")</f>
        <v/>
      </c>
      <c r="G62" t="str">
        <f>IF($A62&lt;&gt;"",'Approved-In-Depth'!G62,"")</f>
        <v/>
      </c>
      <c r="H62" s="4" t="str">
        <f>IF($A62&lt;&gt;"",'Approved-In-Depth'!H62,"")</f>
        <v/>
      </c>
      <c r="I62" t="str">
        <f>IF($A62&lt;&gt;"",'Approved-In-Depth'!I62,"")</f>
        <v/>
      </c>
      <c r="J62" t="str">
        <f>IF($A62&lt;&gt;"",'Approved-In-Depth'!J62,"")</f>
        <v/>
      </c>
      <c r="K62" t="str">
        <f>IF($A62&lt;&gt;"",'Approved-In-Depth'!K62,"")</f>
        <v/>
      </c>
      <c r="L62" s="4" t="str">
        <f>IF($A62&lt;&gt;"",'Approved-In-Depth'!L62,"")</f>
        <v/>
      </c>
      <c r="M62" t="str">
        <f>IF($A62&lt;&gt;"",'Approved-In-Depth'!M62,"")</f>
        <v/>
      </c>
    </row>
    <row r="63" spans="1:13" x14ac:dyDescent="0.35">
      <c r="A63" s="4" t="str">
        <f>IF('Approved-In-Depth'!$A63&lt;&gt;"",'Approved-In-Depth'!A63,"")</f>
        <v/>
      </c>
      <c r="B63" t="str">
        <f>IF($O63&lt;&gt;"",$O63,IF($A63&lt;&gt;"",'Approved-In-Depth'!$B63+7,""))</f>
        <v/>
      </c>
      <c r="C63" t="str">
        <f>IF($A63&lt;&gt;"",'Approved-In-Depth'!C63,"")</f>
        <v/>
      </c>
      <c r="D63" t="str">
        <f>IF($A63&lt;&gt;"",'Approved-In-Depth'!D63,"")</f>
        <v/>
      </c>
      <c r="E63" t="str">
        <f>IF($A63&lt;&gt;"",'Approved-In-Depth'!E63,"")</f>
        <v/>
      </c>
      <c r="F63" t="str">
        <f>IF($A63&lt;&gt;"",'Approved-In-Depth'!F63,"")</f>
        <v/>
      </c>
      <c r="G63" t="str">
        <f>IF($A63&lt;&gt;"",'Approved-In-Depth'!G63,"")</f>
        <v/>
      </c>
      <c r="H63" s="4" t="str">
        <f>IF($A63&lt;&gt;"",'Approved-In-Depth'!H63,"")</f>
        <v/>
      </c>
      <c r="I63" t="str">
        <f>IF($A63&lt;&gt;"",'Approved-In-Depth'!I63,"")</f>
        <v/>
      </c>
      <c r="J63" t="str">
        <f>IF($A63&lt;&gt;"",'Approved-In-Depth'!J63,"")</f>
        <v/>
      </c>
      <c r="K63" t="str">
        <f>IF($A63&lt;&gt;"",'Approved-In-Depth'!K63,"")</f>
        <v/>
      </c>
      <c r="L63" s="4" t="str">
        <f>IF($A63&lt;&gt;"",'Approved-In-Depth'!L63,"")</f>
        <v/>
      </c>
      <c r="M63" t="str">
        <f>IF($A63&lt;&gt;"",'Approved-In-Depth'!M63,"")</f>
        <v/>
      </c>
    </row>
    <row r="64" spans="1:13" x14ac:dyDescent="0.35">
      <c r="A64" s="4" t="str">
        <f>IF('Approved-In-Depth'!$A64&lt;&gt;"",'Approved-In-Depth'!A64,"")</f>
        <v/>
      </c>
      <c r="B64" t="str">
        <f>IF($O64&lt;&gt;"",$O64,IF($A64&lt;&gt;"",'Approved-In-Depth'!$B64+7,""))</f>
        <v/>
      </c>
      <c r="C64" t="str">
        <f>IF($A64&lt;&gt;"",'Approved-In-Depth'!C64,"")</f>
        <v/>
      </c>
      <c r="D64" t="str">
        <f>IF($A64&lt;&gt;"",'Approved-In-Depth'!D64,"")</f>
        <v/>
      </c>
      <c r="E64" t="str">
        <f>IF($A64&lt;&gt;"",'Approved-In-Depth'!E64,"")</f>
        <v/>
      </c>
      <c r="F64" t="str">
        <f>IF($A64&lt;&gt;"",'Approved-In-Depth'!F64,"")</f>
        <v/>
      </c>
      <c r="G64" t="str">
        <f>IF($A64&lt;&gt;"",'Approved-In-Depth'!G64,"")</f>
        <v/>
      </c>
      <c r="H64" s="4" t="str">
        <f>IF($A64&lt;&gt;"",'Approved-In-Depth'!H64,"")</f>
        <v/>
      </c>
      <c r="I64" t="str">
        <f>IF($A64&lt;&gt;"",'Approved-In-Depth'!I64,"")</f>
        <v/>
      </c>
      <c r="J64" t="str">
        <f>IF($A64&lt;&gt;"",'Approved-In-Depth'!J64,"")</f>
        <v/>
      </c>
      <c r="K64" t="str">
        <f>IF($A64&lt;&gt;"",'Approved-In-Depth'!K64,"")</f>
        <v/>
      </c>
      <c r="L64" s="4" t="str">
        <f>IF($A64&lt;&gt;"",'Approved-In-Depth'!L64,"")</f>
        <v/>
      </c>
      <c r="M64" t="str">
        <f>IF($A64&lt;&gt;"",'Approved-In-Depth'!M64,"")</f>
        <v/>
      </c>
    </row>
    <row r="65" spans="1:13" x14ac:dyDescent="0.35">
      <c r="A65" s="4" t="str">
        <f>IF('Approved-In-Depth'!$A65&lt;&gt;"",'Approved-In-Depth'!A65,"")</f>
        <v/>
      </c>
      <c r="B65" t="str">
        <f>IF($O65&lt;&gt;"",$O65,IF($A65&lt;&gt;"",'Approved-In-Depth'!$B65+7,""))</f>
        <v/>
      </c>
      <c r="C65" t="str">
        <f>IF($A65&lt;&gt;"",'Approved-In-Depth'!C65,"")</f>
        <v/>
      </c>
      <c r="D65" t="str">
        <f>IF($A65&lt;&gt;"",'Approved-In-Depth'!D65,"")</f>
        <v/>
      </c>
      <c r="E65" t="str">
        <f>IF($A65&lt;&gt;"",'Approved-In-Depth'!E65,"")</f>
        <v/>
      </c>
      <c r="F65" t="str">
        <f>IF($A65&lt;&gt;"",'Approved-In-Depth'!F65,"")</f>
        <v/>
      </c>
      <c r="G65" t="str">
        <f>IF($A65&lt;&gt;"",'Approved-In-Depth'!G65,"")</f>
        <v/>
      </c>
      <c r="H65" s="4" t="str">
        <f>IF($A65&lt;&gt;"",'Approved-In-Depth'!H65,"")</f>
        <v/>
      </c>
      <c r="I65" t="str">
        <f>IF($A65&lt;&gt;"",'Approved-In-Depth'!I65,"")</f>
        <v/>
      </c>
      <c r="J65" t="str">
        <f>IF($A65&lt;&gt;"",'Approved-In-Depth'!J65,"")</f>
        <v/>
      </c>
      <c r="K65" t="str">
        <f>IF($A65&lt;&gt;"",'Approved-In-Depth'!K65,"")</f>
        <v/>
      </c>
      <c r="L65" s="4" t="str">
        <f>IF($A65&lt;&gt;"",'Approved-In-Depth'!L65,"")</f>
        <v/>
      </c>
      <c r="M65" t="str">
        <f>IF($A65&lt;&gt;"",'Approved-In-Depth'!M65,"")</f>
        <v/>
      </c>
    </row>
    <row r="66" spans="1:13" x14ac:dyDescent="0.35">
      <c r="A66" s="4" t="str">
        <f>IF('Approved-In-Depth'!$A66&lt;&gt;"",'Approved-In-Depth'!A66,"")</f>
        <v/>
      </c>
      <c r="B66" t="str">
        <f>IF($O66&lt;&gt;"",$O66,IF($A66&lt;&gt;"",'Approved-In-Depth'!$B66+7,""))</f>
        <v/>
      </c>
      <c r="C66" t="str">
        <f>IF($A66&lt;&gt;"",'Approved-In-Depth'!C66,"")</f>
        <v/>
      </c>
      <c r="D66" t="str">
        <f>IF($A66&lt;&gt;"",'Approved-In-Depth'!D66,"")</f>
        <v/>
      </c>
      <c r="E66" t="str">
        <f>IF($A66&lt;&gt;"",'Approved-In-Depth'!E66,"")</f>
        <v/>
      </c>
      <c r="F66" t="str">
        <f>IF($A66&lt;&gt;"",'Approved-In-Depth'!F66,"")</f>
        <v/>
      </c>
      <c r="G66" t="str">
        <f>IF($A66&lt;&gt;"",'Approved-In-Depth'!G66,"")</f>
        <v/>
      </c>
      <c r="H66" s="4" t="str">
        <f>IF($A66&lt;&gt;"",'Approved-In-Depth'!H66,"")</f>
        <v/>
      </c>
      <c r="I66" t="str">
        <f>IF($A66&lt;&gt;"",'Approved-In-Depth'!I66,"")</f>
        <v/>
      </c>
      <c r="J66" t="str">
        <f>IF($A66&lt;&gt;"",'Approved-In-Depth'!J66,"")</f>
        <v/>
      </c>
      <c r="K66" t="str">
        <f>IF($A66&lt;&gt;"",'Approved-In-Depth'!K66,"")</f>
        <v/>
      </c>
      <c r="L66" s="4" t="str">
        <f>IF($A66&lt;&gt;"",'Approved-In-Depth'!L66,"")</f>
        <v/>
      </c>
      <c r="M66" t="str">
        <f>IF($A66&lt;&gt;"",'Approved-In-Depth'!M66,"")</f>
        <v/>
      </c>
    </row>
    <row r="67" spans="1:13" x14ac:dyDescent="0.35">
      <c r="A67" s="4" t="str">
        <f>IF('Approved-In-Depth'!$A67&lt;&gt;"",'Approved-In-Depth'!A67,"")</f>
        <v/>
      </c>
      <c r="B67" t="str">
        <f>IF($O67&lt;&gt;"",$O67,IF($A67&lt;&gt;"",'Approved-In-Depth'!$B67+7,""))</f>
        <v/>
      </c>
      <c r="C67" t="str">
        <f>IF($A67&lt;&gt;"",'Approved-In-Depth'!C67,"")</f>
        <v/>
      </c>
      <c r="D67" t="str">
        <f>IF($A67&lt;&gt;"",'Approved-In-Depth'!D67,"")</f>
        <v/>
      </c>
      <c r="E67" t="str">
        <f>IF($A67&lt;&gt;"",'Approved-In-Depth'!E67,"")</f>
        <v/>
      </c>
      <c r="F67" t="str">
        <f>IF($A67&lt;&gt;"",'Approved-In-Depth'!F67,"")</f>
        <v/>
      </c>
      <c r="G67" t="str">
        <f>IF($A67&lt;&gt;"",'Approved-In-Depth'!G67,"")</f>
        <v/>
      </c>
      <c r="H67" s="4" t="str">
        <f>IF($A67&lt;&gt;"",'Approved-In-Depth'!H67,"")</f>
        <v/>
      </c>
      <c r="I67" t="str">
        <f>IF($A67&lt;&gt;"",'Approved-In-Depth'!I67,"")</f>
        <v/>
      </c>
      <c r="J67" t="str">
        <f>IF($A67&lt;&gt;"",'Approved-In-Depth'!J67,"")</f>
        <v/>
      </c>
      <c r="K67" t="str">
        <f>IF($A67&lt;&gt;"",'Approved-In-Depth'!K67,"")</f>
        <v/>
      </c>
      <c r="L67" s="4" t="str">
        <f>IF($A67&lt;&gt;"",'Approved-In-Depth'!L67,"")</f>
        <v/>
      </c>
      <c r="M67" t="str">
        <f>IF($A67&lt;&gt;"",'Approved-In-Depth'!M67,"")</f>
        <v/>
      </c>
    </row>
    <row r="68" spans="1:13" x14ac:dyDescent="0.35">
      <c r="A68" s="4" t="str">
        <f>IF('Approved-In-Depth'!$A68&lt;&gt;"",'Approved-In-Depth'!A68,"")</f>
        <v/>
      </c>
      <c r="B68" t="str">
        <f>IF($O68&lt;&gt;"",$O68,IF($A68&lt;&gt;"",'Approved-In-Depth'!$B68+7,""))</f>
        <v/>
      </c>
      <c r="C68" t="str">
        <f>IF($A68&lt;&gt;"",'Approved-In-Depth'!C68,"")</f>
        <v/>
      </c>
      <c r="D68" t="str">
        <f>IF($A68&lt;&gt;"",'Approved-In-Depth'!D68,"")</f>
        <v/>
      </c>
      <c r="E68" t="str">
        <f>IF($A68&lt;&gt;"",'Approved-In-Depth'!E68,"")</f>
        <v/>
      </c>
      <c r="F68" t="str">
        <f>IF($A68&lt;&gt;"",'Approved-In-Depth'!F68,"")</f>
        <v/>
      </c>
      <c r="G68" t="str">
        <f>IF($A68&lt;&gt;"",'Approved-In-Depth'!G68,"")</f>
        <v/>
      </c>
      <c r="H68" s="4" t="str">
        <f>IF($A68&lt;&gt;"",'Approved-In-Depth'!H68,"")</f>
        <v/>
      </c>
      <c r="I68" t="str">
        <f>IF($A68&lt;&gt;"",'Approved-In-Depth'!I68,"")</f>
        <v/>
      </c>
      <c r="J68" t="str">
        <f>IF($A68&lt;&gt;"",'Approved-In-Depth'!J68,"")</f>
        <v/>
      </c>
      <c r="K68" t="str">
        <f>IF($A68&lt;&gt;"",'Approved-In-Depth'!K68,"")</f>
        <v/>
      </c>
      <c r="L68" s="4" t="str">
        <f>IF($A68&lt;&gt;"",'Approved-In-Depth'!L68,"")</f>
        <v/>
      </c>
      <c r="M68" t="str">
        <f>IF($A68&lt;&gt;"",'Approved-In-Depth'!M68,"")</f>
        <v/>
      </c>
    </row>
    <row r="69" spans="1:13" x14ac:dyDescent="0.35">
      <c r="A69" s="4" t="str">
        <f>IF('Approved-In-Depth'!$A69&lt;&gt;"",'Approved-In-Depth'!A69,"")</f>
        <v/>
      </c>
      <c r="B69" t="str">
        <f>IF($O69&lt;&gt;"",$O69,IF($A69&lt;&gt;"",'Approved-In-Depth'!$B69+7,""))</f>
        <v/>
      </c>
      <c r="C69" t="str">
        <f>IF($A69&lt;&gt;"",'Approved-In-Depth'!C69,"")</f>
        <v/>
      </c>
      <c r="D69" t="str">
        <f>IF($A69&lt;&gt;"",'Approved-In-Depth'!D69,"")</f>
        <v/>
      </c>
      <c r="E69" t="str">
        <f>IF($A69&lt;&gt;"",'Approved-In-Depth'!E69,"")</f>
        <v/>
      </c>
      <c r="F69" t="str">
        <f>IF($A69&lt;&gt;"",'Approved-In-Depth'!F69,"")</f>
        <v/>
      </c>
      <c r="G69" t="str">
        <f>IF($A69&lt;&gt;"",'Approved-In-Depth'!G69,"")</f>
        <v/>
      </c>
      <c r="H69" s="4" t="str">
        <f>IF($A69&lt;&gt;"",'Approved-In-Depth'!H69,"")</f>
        <v/>
      </c>
      <c r="I69" t="str">
        <f>IF($A69&lt;&gt;"",'Approved-In-Depth'!I69,"")</f>
        <v/>
      </c>
      <c r="J69" t="str">
        <f>IF($A69&lt;&gt;"",'Approved-In-Depth'!J69,"")</f>
        <v/>
      </c>
      <c r="K69" t="str">
        <f>IF($A69&lt;&gt;"",'Approved-In-Depth'!K69,"")</f>
        <v/>
      </c>
      <c r="L69" s="4" t="str">
        <f>IF($A69&lt;&gt;"",'Approved-In-Depth'!L69,"")</f>
        <v/>
      </c>
      <c r="M69" t="str">
        <f>IF($A69&lt;&gt;"",'Approved-In-Depth'!M69,"")</f>
        <v/>
      </c>
    </row>
    <row r="70" spans="1:13" x14ac:dyDescent="0.35">
      <c r="A70" s="4" t="str">
        <f>IF('Approved-In-Depth'!$A70&lt;&gt;"",'Approved-In-Depth'!A70,"")</f>
        <v/>
      </c>
      <c r="B70" t="str">
        <f>IF($O70&lt;&gt;"",$O70,IF($A70&lt;&gt;"",'Approved-In-Depth'!$B70+7,""))</f>
        <v/>
      </c>
      <c r="C70" t="str">
        <f>IF($A70&lt;&gt;"",'Approved-In-Depth'!C70,"")</f>
        <v/>
      </c>
      <c r="D70" t="str">
        <f>IF($A70&lt;&gt;"",'Approved-In-Depth'!D70,"")</f>
        <v/>
      </c>
      <c r="E70" t="str">
        <f>IF($A70&lt;&gt;"",'Approved-In-Depth'!E70,"")</f>
        <v/>
      </c>
      <c r="F70" t="str">
        <f>IF($A70&lt;&gt;"",'Approved-In-Depth'!F70,"")</f>
        <v/>
      </c>
      <c r="G70" t="str">
        <f>IF($A70&lt;&gt;"",'Approved-In-Depth'!G70,"")</f>
        <v/>
      </c>
      <c r="H70" s="4" t="str">
        <f>IF($A70&lt;&gt;"",'Approved-In-Depth'!H70,"")</f>
        <v/>
      </c>
      <c r="I70" t="str">
        <f>IF($A70&lt;&gt;"",'Approved-In-Depth'!I70,"")</f>
        <v/>
      </c>
      <c r="J70" t="str">
        <f>IF($A70&lt;&gt;"",'Approved-In-Depth'!J70,"")</f>
        <v/>
      </c>
      <c r="K70" t="str">
        <f>IF($A70&lt;&gt;"",'Approved-In-Depth'!K70,"")</f>
        <v/>
      </c>
      <c r="L70" s="4" t="str">
        <f>IF($A70&lt;&gt;"",'Approved-In-Depth'!L70,"")</f>
        <v/>
      </c>
      <c r="M70" t="str">
        <f>IF($A70&lt;&gt;"",'Approved-In-Depth'!M70,"")</f>
        <v/>
      </c>
    </row>
    <row r="71" spans="1:13" x14ac:dyDescent="0.35">
      <c r="A71" s="4" t="str">
        <f>IF('Approved-In-Depth'!$A71&lt;&gt;"",'Approved-In-Depth'!A71,"")</f>
        <v/>
      </c>
      <c r="B71" t="str">
        <f>IF($O71&lt;&gt;"",$O71,IF($A71&lt;&gt;"",'Approved-In-Depth'!$B71+7,""))</f>
        <v/>
      </c>
      <c r="C71" t="str">
        <f>IF($A71&lt;&gt;"",'Approved-In-Depth'!C71,"")</f>
        <v/>
      </c>
      <c r="D71" t="str">
        <f>IF($A71&lt;&gt;"",'Approved-In-Depth'!D71,"")</f>
        <v/>
      </c>
      <c r="E71" t="str">
        <f>IF($A71&lt;&gt;"",'Approved-In-Depth'!E71,"")</f>
        <v/>
      </c>
      <c r="F71" t="str">
        <f>IF($A71&lt;&gt;"",'Approved-In-Depth'!F71,"")</f>
        <v/>
      </c>
      <c r="G71" t="str">
        <f>IF($A71&lt;&gt;"",'Approved-In-Depth'!G71,"")</f>
        <v/>
      </c>
      <c r="H71" s="4" t="str">
        <f>IF($A71&lt;&gt;"",'Approved-In-Depth'!H71,"")</f>
        <v/>
      </c>
      <c r="I71" t="str">
        <f>IF($A71&lt;&gt;"",'Approved-In-Depth'!I71,"")</f>
        <v/>
      </c>
      <c r="J71" t="str">
        <f>IF($A71&lt;&gt;"",'Approved-In-Depth'!J71,"")</f>
        <v/>
      </c>
      <c r="K71" t="str">
        <f>IF($A71&lt;&gt;"",'Approved-In-Depth'!K71,"")</f>
        <v/>
      </c>
      <c r="L71" s="4" t="str">
        <f>IF($A71&lt;&gt;"",'Approved-In-Depth'!L71,"")</f>
        <v/>
      </c>
      <c r="M71" t="str">
        <f>IF($A71&lt;&gt;"",'Approved-In-Depth'!M71,"")</f>
        <v/>
      </c>
    </row>
    <row r="72" spans="1:13" x14ac:dyDescent="0.35">
      <c r="A72" s="4" t="str">
        <f>IF('Approved-In-Depth'!$A72&lt;&gt;"",'Approved-In-Depth'!A72,"")</f>
        <v/>
      </c>
      <c r="B72" t="str">
        <f>IF($O72&lt;&gt;"",$O72,IF($A72&lt;&gt;"",'Approved-In-Depth'!$B72+7,""))</f>
        <v/>
      </c>
      <c r="C72" t="str">
        <f>IF($A72&lt;&gt;"",'Approved-In-Depth'!C72,"")</f>
        <v/>
      </c>
      <c r="D72" t="str">
        <f>IF($A72&lt;&gt;"",'Approved-In-Depth'!D72,"")</f>
        <v/>
      </c>
      <c r="E72" t="str">
        <f>IF($A72&lt;&gt;"",'Approved-In-Depth'!E72,"")</f>
        <v/>
      </c>
      <c r="F72" t="str">
        <f>IF($A72&lt;&gt;"",'Approved-In-Depth'!F72,"")</f>
        <v/>
      </c>
      <c r="G72" t="str">
        <f>IF($A72&lt;&gt;"",'Approved-In-Depth'!G72,"")</f>
        <v/>
      </c>
      <c r="H72" s="4" t="str">
        <f>IF($A72&lt;&gt;"",'Approved-In-Depth'!H72,"")</f>
        <v/>
      </c>
      <c r="I72" t="str">
        <f>IF($A72&lt;&gt;"",'Approved-In-Depth'!I72,"")</f>
        <v/>
      </c>
      <c r="J72" t="str">
        <f>IF($A72&lt;&gt;"",'Approved-In-Depth'!J72,"")</f>
        <v/>
      </c>
      <c r="K72" t="str">
        <f>IF($A72&lt;&gt;"",'Approved-In-Depth'!K72,"")</f>
        <v/>
      </c>
      <c r="L72" s="4" t="str">
        <f>IF($A72&lt;&gt;"",'Approved-In-Depth'!L72,"")</f>
        <v/>
      </c>
      <c r="M72" t="str">
        <f>IF($A72&lt;&gt;"",'Approved-In-Depth'!M72,"")</f>
        <v/>
      </c>
    </row>
    <row r="73" spans="1:13" x14ac:dyDescent="0.35">
      <c r="A73" s="4" t="str">
        <f>IF('Approved-In-Depth'!$A73&lt;&gt;"",'Approved-In-Depth'!A73,"")</f>
        <v/>
      </c>
      <c r="B73" t="str">
        <f>IF($O73&lt;&gt;"",$O73,IF($A73&lt;&gt;"",'Approved-In-Depth'!$B73+7,""))</f>
        <v/>
      </c>
      <c r="C73" t="str">
        <f>IF($A73&lt;&gt;"",'Approved-In-Depth'!C73,"")</f>
        <v/>
      </c>
      <c r="D73" t="str">
        <f>IF($A73&lt;&gt;"",'Approved-In-Depth'!D73,"")</f>
        <v/>
      </c>
      <c r="E73" t="str">
        <f>IF($A73&lt;&gt;"",'Approved-In-Depth'!E73,"")</f>
        <v/>
      </c>
      <c r="F73" t="str">
        <f>IF($A73&lt;&gt;"",'Approved-In-Depth'!F73,"")</f>
        <v/>
      </c>
      <c r="G73" t="str">
        <f>IF($A73&lt;&gt;"",'Approved-In-Depth'!G73,"")</f>
        <v/>
      </c>
      <c r="H73" s="4" t="str">
        <f>IF($A73&lt;&gt;"",'Approved-In-Depth'!H73,"")</f>
        <v/>
      </c>
      <c r="I73" t="str">
        <f>IF($A73&lt;&gt;"",'Approved-In-Depth'!I73,"")</f>
        <v/>
      </c>
      <c r="J73" t="str">
        <f>IF($A73&lt;&gt;"",'Approved-In-Depth'!J73,"")</f>
        <v/>
      </c>
      <c r="K73" t="str">
        <f>IF($A73&lt;&gt;"",'Approved-In-Depth'!K73,"")</f>
        <v/>
      </c>
      <c r="L73" s="4" t="str">
        <f>IF($A73&lt;&gt;"",'Approved-In-Depth'!L73,"")</f>
        <v/>
      </c>
      <c r="M73" t="str">
        <f>IF($A73&lt;&gt;"",'Approved-In-Depth'!M73,"")</f>
        <v/>
      </c>
    </row>
    <row r="74" spans="1:13" x14ac:dyDescent="0.35">
      <c r="A74" s="4" t="str">
        <f>IF('Approved-In-Depth'!$A74&lt;&gt;"",'Approved-In-Depth'!A74,"")</f>
        <v/>
      </c>
      <c r="B74" t="str">
        <f>IF($O74&lt;&gt;"",$O74,IF($A74&lt;&gt;"",'Approved-In-Depth'!$B74+7,""))</f>
        <v/>
      </c>
      <c r="C74" t="str">
        <f>IF($A74&lt;&gt;"",'Approved-In-Depth'!C74,"")</f>
        <v/>
      </c>
      <c r="D74" t="str">
        <f>IF($A74&lt;&gt;"",'Approved-In-Depth'!D74,"")</f>
        <v/>
      </c>
      <c r="E74" t="str">
        <f>IF($A74&lt;&gt;"",'Approved-In-Depth'!E74,"")</f>
        <v/>
      </c>
      <c r="F74" t="str">
        <f>IF($A74&lt;&gt;"",'Approved-In-Depth'!F74,"")</f>
        <v/>
      </c>
      <c r="G74" t="str">
        <f>IF($A74&lt;&gt;"",'Approved-In-Depth'!G74,"")</f>
        <v/>
      </c>
      <c r="H74" s="4" t="str">
        <f>IF($A74&lt;&gt;"",'Approved-In-Depth'!H74,"")</f>
        <v/>
      </c>
      <c r="I74" t="str">
        <f>IF($A74&lt;&gt;"",'Approved-In-Depth'!I74,"")</f>
        <v/>
      </c>
      <c r="J74" t="str">
        <f>IF($A74&lt;&gt;"",'Approved-In-Depth'!J74,"")</f>
        <v/>
      </c>
      <c r="K74" t="str">
        <f>IF($A74&lt;&gt;"",'Approved-In-Depth'!K74,"")</f>
        <v/>
      </c>
      <c r="L74" s="4" t="str">
        <f>IF($A74&lt;&gt;"",'Approved-In-Depth'!L74,"")</f>
        <v/>
      </c>
      <c r="M74" t="str">
        <f>IF($A74&lt;&gt;"",'Approved-In-Depth'!M74,"")</f>
        <v/>
      </c>
    </row>
    <row r="75" spans="1:13" x14ac:dyDescent="0.35">
      <c r="A75" s="4" t="str">
        <f>IF('Approved-In-Depth'!$A75&lt;&gt;"",'Approved-In-Depth'!A75,"")</f>
        <v/>
      </c>
      <c r="B75" t="str">
        <f>IF($O75&lt;&gt;"",$O75,IF($A75&lt;&gt;"",'Approved-In-Depth'!$B75+7,""))</f>
        <v/>
      </c>
      <c r="C75" t="str">
        <f>IF($A75&lt;&gt;"",'Approved-In-Depth'!C75,"")</f>
        <v/>
      </c>
      <c r="D75" t="str">
        <f>IF($A75&lt;&gt;"",'Approved-In-Depth'!D75,"")</f>
        <v/>
      </c>
      <c r="E75" t="str">
        <f>IF($A75&lt;&gt;"",'Approved-In-Depth'!E75,"")</f>
        <v/>
      </c>
      <c r="F75" t="str">
        <f>IF($A75&lt;&gt;"",'Approved-In-Depth'!F75,"")</f>
        <v/>
      </c>
      <c r="G75" t="str">
        <f>IF($A75&lt;&gt;"",'Approved-In-Depth'!G75,"")</f>
        <v/>
      </c>
      <c r="H75" s="4" t="str">
        <f>IF($A75&lt;&gt;"",'Approved-In-Depth'!H75,"")</f>
        <v/>
      </c>
      <c r="I75" t="str">
        <f>IF($A75&lt;&gt;"",'Approved-In-Depth'!I75,"")</f>
        <v/>
      </c>
      <c r="J75" t="str">
        <f>IF($A75&lt;&gt;"",'Approved-In-Depth'!J75,"")</f>
        <v/>
      </c>
      <c r="K75" t="str">
        <f>IF($A75&lt;&gt;"",'Approved-In-Depth'!K75,"")</f>
        <v/>
      </c>
      <c r="L75" s="4" t="str">
        <f>IF($A75&lt;&gt;"",'Approved-In-Depth'!L75,"")</f>
        <v/>
      </c>
      <c r="M75" t="str">
        <f>IF($A75&lt;&gt;"",'Approved-In-Depth'!M75,"")</f>
        <v/>
      </c>
    </row>
    <row r="76" spans="1:13" x14ac:dyDescent="0.35">
      <c r="A76" s="4" t="str">
        <f>IF('Approved-In-Depth'!$A76&lt;&gt;"",'Approved-In-Depth'!A76,"")</f>
        <v/>
      </c>
      <c r="B76" t="str">
        <f>IF($O76&lt;&gt;"",$O76,IF($A76&lt;&gt;"",'Approved-In-Depth'!$B76+7,""))</f>
        <v/>
      </c>
      <c r="C76" t="str">
        <f>IF($A76&lt;&gt;"",'Approved-In-Depth'!C76,"")</f>
        <v/>
      </c>
      <c r="D76" t="str">
        <f>IF($A76&lt;&gt;"",'Approved-In-Depth'!D76,"")</f>
        <v/>
      </c>
      <c r="E76" t="str">
        <f>IF($A76&lt;&gt;"",'Approved-In-Depth'!E76,"")</f>
        <v/>
      </c>
      <c r="F76" t="str">
        <f>IF($A76&lt;&gt;"",'Approved-In-Depth'!F76,"")</f>
        <v/>
      </c>
      <c r="G76" t="str">
        <f>IF($A76&lt;&gt;"",'Approved-In-Depth'!G76,"")</f>
        <v/>
      </c>
      <c r="H76" s="4" t="str">
        <f>IF($A76&lt;&gt;"",'Approved-In-Depth'!H76,"")</f>
        <v/>
      </c>
      <c r="I76" t="str">
        <f>IF($A76&lt;&gt;"",'Approved-In-Depth'!I76,"")</f>
        <v/>
      </c>
      <c r="J76" t="str">
        <f>IF($A76&lt;&gt;"",'Approved-In-Depth'!J76,"")</f>
        <v/>
      </c>
      <c r="K76" t="str">
        <f>IF($A76&lt;&gt;"",'Approved-In-Depth'!K76,"")</f>
        <v/>
      </c>
      <c r="L76" s="4" t="str">
        <f>IF($A76&lt;&gt;"",'Approved-In-Depth'!L76,"")</f>
        <v/>
      </c>
      <c r="M76" t="str">
        <f>IF($A76&lt;&gt;"",'Approved-In-Depth'!M76,"")</f>
        <v/>
      </c>
    </row>
    <row r="77" spans="1:13" x14ac:dyDescent="0.35">
      <c r="A77" s="4" t="str">
        <f>IF('Approved-In-Depth'!$A77&lt;&gt;"",'Approved-In-Depth'!A77,"")</f>
        <v/>
      </c>
      <c r="B77" t="str">
        <f>IF($O77&lt;&gt;"",$O77,IF($A77&lt;&gt;"",'Approved-In-Depth'!$B77+7,""))</f>
        <v/>
      </c>
      <c r="C77" t="str">
        <f>IF($A77&lt;&gt;"",'Approved-In-Depth'!C77,"")</f>
        <v/>
      </c>
      <c r="D77" t="str">
        <f>IF($A77&lt;&gt;"",'Approved-In-Depth'!D77,"")</f>
        <v/>
      </c>
      <c r="E77" t="str">
        <f>IF($A77&lt;&gt;"",'Approved-In-Depth'!E77,"")</f>
        <v/>
      </c>
      <c r="F77" t="str">
        <f>IF($A77&lt;&gt;"",'Approved-In-Depth'!F77,"")</f>
        <v/>
      </c>
      <c r="G77" t="str">
        <f>IF($A77&lt;&gt;"",'Approved-In-Depth'!G77,"")</f>
        <v/>
      </c>
      <c r="H77" s="4" t="str">
        <f>IF($A77&lt;&gt;"",'Approved-In-Depth'!H77,"")</f>
        <v/>
      </c>
      <c r="I77" t="str">
        <f>IF($A77&lt;&gt;"",'Approved-In-Depth'!I77,"")</f>
        <v/>
      </c>
      <c r="J77" t="str">
        <f>IF($A77&lt;&gt;"",'Approved-In-Depth'!J77,"")</f>
        <v/>
      </c>
      <c r="K77" t="str">
        <f>IF($A77&lt;&gt;"",'Approved-In-Depth'!K77,"")</f>
        <v/>
      </c>
      <c r="L77" s="4" t="str">
        <f>IF($A77&lt;&gt;"",'Approved-In-Depth'!L77,"")</f>
        <v/>
      </c>
      <c r="M77" t="str">
        <f>IF($A77&lt;&gt;"",'Approved-In-Depth'!M77,"")</f>
        <v/>
      </c>
    </row>
    <row r="78" spans="1:13" x14ac:dyDescent="0.35">
      <c r="A78" s="4" t="str">
        <f>IF('Approved-In-Depth'!$A78&lt;&gt;"",'Approved-In-Depth'!A78,"")</f>
        <v/>
      </c>
      <c r="B78" t="str">
        <f>IF($O78&lt;&gt;"",$O78,IF($A78&lt;&gt;"",'Approved-In-Depth'!$B78+7,""))</f>
        <v/>
      </c>
      <c r="C78" t="str">
        <f>IF($A78&lt;&gt;"",'Approved-In-Depth'!C78,"")</f>
        <v/>
      </c>
      <c r="D78" t="str">
        <f>IF($A78&lt;&gt;"",'Approved-In-Depth'!D78,"")</f>
        <v/>
      </c>
      <c r="E78" t="str">
        <f>IF($A78&lt;&gt;"",'Approved-In-Depth'!E78,"")</f>
        <v/>
      </c>
      <c r="F78" t="str">
        <f>IF($A78&lt;&gt;"",'Approved-In-Depth'!F78,"")</f>
        <v/>
      </c>
      <c r="G78" t="str">
        <f>IF($A78&lt;&gt;"",'Approved-In-Depth'!G78,"")</f>
        <v/>
      </c>
      <c r="H78" s="4" t="str">
        <f>IF($A78&lt;&gt;"",'Approved-In-Depth'!H78,"")</f>
        <v/>
      </c>
      <c r="I78" t="str">
        <f>IF($A78&lt;&gt;"",'Approved-In-Depth'!I78,"")</f>
        <v/>
      </c>
      <c r="J78" t="str">
        <f>IF($A78&lt;&gt;"",'Approved-In-Depth'!J78,"")</f>
        <v/>
      </c>
      <c r="K78" t="str">
        <f>IF($A78&lt;&gt;"",'Approved-In-Depth'!K78,"")</f>
        <v/>
      </c>
      <c r="L78" s="4" t="str">
        <f>IF($A78&lt;&gt;"",'Approved-In-Depth'!L78,"")</f>
        <v/>
      </c>
      <c r="M78" t="str">
        <f>IF($A78&lt;&gt;"",'Approved-In-Depth'!M78,"")</f>
        <v/>
      </c>
    </row>
    <row r="79" spans="1:13" x14ac:dyDescent="0.35">
      <c r="A79" s="4" t="str">
        <f>IF('Approved-In-Depth'!$A79&lt;&gt;"",'Approved-In-Depth'!A79,"")</f>
        <v/>
      </c>
      <c r="B79" t="str">
        <f>IF($O79&lt;&gt;"",$O79,IF($A79&lt;&gt;"",'Approved-In-Depth'!$B79+7,""))</f>
        <v/>
      </c>
      <c r="C79" t="str">
        <f>IF($A79&lt;&gt;"",'Approved-In-Depth'!C79,"")</f>
        <v/>
      </c>
      <c r="D79" t="str">
        <f>IF($A79&lt;&gt;"",'Approved-In-Depth'!D79,"")</f>
        <v/>
      </c>
      <c r="E79" t="str">
        <f>IF($A79&lt;&gt;"",'Approved-In-Depth'!E79,"")</f>
        <v/>
      </c>
      <c r="F79" t="str">
        <f>IF($A79&lt;&gt;"",'Approved-In-Depth'!F79,"")</f>
        <v/>
      </c>
      <c r="G79" t="str">
        <f>IF($A79&lt;&gt;"",'Approved-In-Depth'!G79,"")</f>
        <v/>
      </c>
      <c r="H79" s="4" t="str">
        <f>IF($A79&lt;&gt;"",'Approved-In-Depth'!H79,"")</f>
        <v/>
      </c>
      <c r="I79" t="str">
        <f>IF($A79&lt;&gt;"",'Approved-In-Depth'!I79,"")</f>
        <v/>
      </c>
      <c r="J79" t="str">
        <f>IF($A79&lt;&gt;"",'Approved-In-Depth'!J79,"")</f>
        <v/>
      </c>
      <c r="K79" t="str">
        <f>IF($A79&lt;&gt;"",'Approved-In-Depth'!K79,"")</f>
        <v/>
      </c>
      <c r="L79" s="4" t="str">
        <f>IF($A79&lt;&gt;"",'Approved-In-Depth'!L79,"")</f>
        <v/>
      </c>
      <c r="M79" t="str">
        <f>IF($A79&lt;&gt;"",'Approved-In-Depth'!M79,"")</f>
        <v/>
      </c>
    </row>
    <row r="80" spans="1:13" x14ac:dyDescent="0.35">
      <c r="A80" s="4" t="str">
        <f>IF('Approved-In-Depth'!$A80&lt;&gt;"",'Approved-In-Depth'!A80,"")</f>
        <v/>
      </c>
      <c r="B80" t="str">
        <f>IF($O80&lt;&gt;"",$O80,IF($A80&lt;&gt;"",'Approved-In-Depth'!$B80+7,""))</f>
        <v/>
      </c>
      <c r="C80" t="str">
        <f>IF($A80&lt;&gt;"",'Approved-In-Depth'!C80,"")</f>
        <v/>
      </c>
      <c r="D80" t="str">
        <f>IF($A80&lt;&gt;"",'Approved-In-Depth'!D80,"")</f>
        <v/>
      </c>
      <c r="E80" t="str">
        <f>IF($A80&lt;&gt;"",'Approved-In-Depth'!E80,"")</f>
        <v/>
      </c>
      <c r="F80" t="str">
        <f>IF($A80&lt;&gt;"",'Approved-In-Depth'!F80,"")</f>
        <v/>
      </c>
      <c r="G80" t="str">
        <f>IF($A80&lt;&gt;"",'Approved-In-Depth'!G80,"")</f>
        <v/>
      </c>
      <c r="H80" s="4" t="str">
        <f>IF($A80&lt;&gt;"",'Approved-In-Depth'!H80,"")</f>
        <v/>
      </c>
      <c r="I80" t="str">
        <f>IF($A80&lt;&gt;"",'Approved-In-Depth'!I80,"")</f>
        <v/>
      </c>
      <c r="J80" t="str">
        <f>IF($A80&lt;&gt;"",'Approved-In-Depth'!J80,"")</f>
        <v/>
      </c>
      <c r="K80" t="str">
        <f>IF($A80&lt;&gt;"",'Approved-In-Depth'!K80,"")</f>
        <v/>
      </c>
      <c r="L80" s="4" t="str">
        <f>IF($A80&lt;&gt;"",'Approved-In-Depth'!L80,"")</f>
        <v/>
      </c>
      <c r="M80" t="str">
        <f>IF($A80&lt;&gt;"",'Approved-In-Depth'!M80,"")</f>
        <v/>
      </c>
    </row>
    <row r="81" spans="1:13" x14ac:dyDescent="0.35">
      <c r="A81" s="4" t="str">
        <f>IF('Approved-In-Depth'!$A81&lt;&gt;"",'Approved-In-Depth'!A81,"")</f>
        <v/>
      </c>
      <c r="B81" t="str">
        <f>IF($O81&lt;&gt;"",$O81,IF($A81&lt;&gt;"",'Approved-In-Depth'!$B81+7,""))</f>
        <v/>
      </c>
      <c r="C81" t="str">
        <f>IF($A81&lt;&gt;"",'Approved-In-Depth'!C81,"")</f>
        <v/>
      </c>
      <c r="D81" t="str">
        <f>IF($A81&lt;&gt;"",'Approved-In-Depth'!D81,"")</f>
        <v/>
      </c>
      <c r="E81" t="str">
        <f>IF($A81&lt;&gt;"",'Approved-In-Depth'!E81,"")</f>
        <v/>
      </c>
      <c r="F81" t="str">
        <f>IF($A81&lt;&gt;"",'Approved-In-Depth'!F81,"")</f>
        <v/>
      </c>
      <c r="G81" t="str">
        <f>IF($A81&lt;&gt;"",'Approved-In-Depth'!G81,"")</f>
        <v/>
      </c>
      <c r="H81" s="4" t="str">
        <f>IF($A81&lt;&gt;"",'Approved-In-Depth'!H81,"")</f>
        <v/>
      </c>
      <c r="I81" t="str">
        <f>IF($A81&lt;&gt;"",'Approved-In-Depth'!I81,"")</f>
        <v/>
      </c>
      <c r="J81" t="str">
        <f>IF($A81&lt;&gt;"",'Approved-In-Depth'!J81,"")</f>
        <v/>
      </c>
      <c r="K81" t="str">
        <f>IF($A81&lt;&gt;"",'Approved-In-Depth'!K81,"")</f>
        <v/>
      </c>
      <c r="L81" s="4" t="str">
        <f>IF($A81&lt;&gt;"",'Approved-In-Depth'!L81,"")</f>
        <v/>
      </c>
      <c r="M81" t="str">
        <f>IF($A81&lt;&gt;"",'Approved-In-Depth'!M81,"")</f>
        <v/>
      </c>
    </row>
    <row r="82" spans="1:13" x14ac:dyDescent="0.35">
      <c r="A82" s="4" t="str">
        <f>IF('Approved-In-Depth'!$A82&lt;&gt;"",'Approved-In-Depth'!A82,"")</f>
        <v/>
      </c>
      <c r="B82" t="str">
        <f>IF($O82&lt;&gt;"",$O82,IF($A82&lt;&gt;"",'Approved-In-Depth'!$B82+7,""))</f>
        <v/>
      </c>
      <c r="C82" t="str">
        <f>IF($A82&lt;&gt;"",'Approved-In-Depth'!C82,"")</f>
        <v/>
      </c>
      <c r="D82" t="str">
        <f>IF($A82&lt;&gt;"",'Approved-In-Depth'!D82,"")</f>
        <v/>
      </c>
      <c r="E82" t="str">
        <f>IF($A82&lt;&gt;"",'Approved-In-Depth'!E82,"")</f>
        <v/>
      </c>
      <c r="F82" t="str">
        <f>IF($A82&lt;&gt;"",'Approved-In-Depth'!F82,"")</f>
        <v/>
      </c>
      <c r="G82" t="str">
        <f>IF($A82&lt;&gt;"",'Approved-In-Depth'!G82,"")</f>
        <v/>
      </c>
      <c r="H82" s="4" t="str">
        <f>IF($A82&lt;&gt;"",'Approved-In-Depth'!H82,"")</f>
        <v/>
      </c>
      <c r="I82" t="str">
        <f>IF($A82&lt;&gt;"",'Approved-In-Depth'!I82,"")</f>
        <v/>
      </c>
      <c r="J82" t="str">
        <f>IF($A82&lt;&gt;"",'Approved-In-Depth'!J82,"")</f>
        <v/>
      </c>
      <c r="K82" t="str">
        <f>IF($A82&lt;&gt;"",'Approved-In-Depth'!K82,"")</f>
        <v/>
      </c>
      <c r="L82" s="4" t="str">
        <f>IF($A82&lt;&gt;"",'Approved-In-Depth'!L82,"")</f>
        <v/>
      </c>
      <c r="M82" t="str">
        <f>IF($A82&lt;&gt;"",'Approved-In-Depth'!M82,"")</f>
        <v/>
      </c>
    </row>
    <row r="83" spans="1:13" x14ac:dyDescent="0.35">
      <c r="A83" s="4" t="str">
        <f>IF('Approved-In-Depth'!$A83&lt;&gt;"",'Approved-In-Depth'!A83,"")</f>
        <v/>
      </c>
      <c r="B83" t="str">
        <f>IF($O83&lt;&gt;"",$O83,IF($A83&lt;&gt;"",'Approved-In-Depth'!$B83+7,""))</f>
        <v/>
      </c>
      <c r="C83" t="str">
        <f>IF($A83&lt;&gt;"",'Approved-In-Depth'!C83,"")</f>
        <v/>
      </c>
      <c r="D83" t="str">
        <f>IF($A83&lt;&gt;"",'Approved-In-Depth'!D83,"")</f>
        <v/>
      </c>
      <c r="E83" t="str">
        <f>IF($A83&lt;&gt;"",'Approved-In-Depth'!E83,"")</f>
        <v/>
      </c>
      <c r="F83" t="str">
        <f>IF($A83&lt;&gt;"",'Approved-In-Depth'!F83,"")</f>
        <v/>
      </c>
      <c r="G83" t="str">
        <f>IF($A83&lt;&gt;"",'Approved-In-Depth'!G83,"")</f>
        <v/>
      </c>
      <c r="H83" s="4" t="str">
        <f>IF($A83&lt;&gt;"",'Approved-In-Depth'!H83,"")</f>
        <v/>
      </c>
      <c r="I83" t="str">
        <f>IF($A83&lt;&gt;"",'Approved-In-Depth'!I83,"")</f>
        <v/>
      </c>
      <c r="J83" t="str">
        <f>IF($A83&lt;&gt;"",'Approved-In-Depth'!J83,"")</f>
        <v/>
      </c>
      <c r="K83" t="str">
        <f>IF($A83&lt;&gt;"",'Approved-In-Depth'!K83,"")</f>
        <v/>
      </c>
      <c r="L83" s="4" t="str">
        <f>IF($A83&lt;&gt;"",'Approved-In-Depth'!L83,"")</f>
        <v/>
      </c>
      <c r="M83" t="str">
        <f>IF($A83&lt;&gt;"",'Approved-In-Depth'!M83,"")</f>
        <v/>
      </c>
    </row>
    <row r="84" spans="1:13" x14ac:dyDescent="0.35">
      <c r="A84" s="4" t="str">
        <f>IF('Approved-In-Depth'!$A84&lt;&gt;"",'Approved-In-Depth'!A84,"")</f>
        <v/>
      </c>
      <c r="B84" t="str">
        <f>IF($O84&lt;&gt;"",$O84,IF($A84&lt;&gt;"",'Approved-In-Depth'!$B84+7,""))</f>
        <v/>
      </c>
      <c r="C84" t="str">
        <f>IF($A84&lt;&gt;"",'Approved-In-Depth'!C84,"")</f>
        <v/>
      </c>
      <c r="D84" t="str">
        <f>IF($A84&lt;&gt;"",'Approved-In-Depth'!D84,"")</f>
        <v/>
      </c>
      <c r="E84" t="str">
        <f>IF($A84&lt;&gt;"",'Approved-In-Depth'!E84,"")</f>
        <v/>
      </c>
      <c r="F84" t="str">
        <f>IF($A84&lt;&gt;"",'Approved-In-Depth'!F84,"")</f>
        <v/>
      </c>
      <c r="G84" t="str">
        <f>IF($A84&lt;&gt;"",'Approved-In-Depth'!G84,"")</f>
        <v/>
      </c>
      <c r="H84" s="4" t="str">
        <f>IF($A84&lt;&gt;"",'Approved-In-Depth'!H84,"")</f>
        <v/>
      </c>
      <c r="I84" t="str">
        <f>IF($A84&lt;&gt;"",'Approved-In-Depth'!I84,"")</f>
        <v/>
      </c>
      <c r="J84" t="str">
        <f>IF($A84&lt;&gt;"",'Approved-In-Depth'!J84,"")</f>
        <v/>
      </c>
      <c r="K84" t="str">
        <f>IF($A84&lt;&gt;"",'Approved-In-Depth'!K84,"")</f>
        <v/>
      </c>
      <c r="L84" s="4" t="str">
        <f>IF($A84&lt;&gt;"",'Approved-In-Depth'!L84,"")</f>
        <v/>
      </c>
      <c r="M84" t="str">
        <f>IF($A84&lt;&gt;"",'Approved-In-Depth'!M84,"")</f>
        <v/>
      </c>
    </row>
    <row r="85" spans="1:13" x14ac:dyDescent="0.35">
      <c r="A85" s="4" t="str">
        <f>IF('Approved-In-Depth'!$A85&lt;&gt;"",'Approved-In-Depth'!A85,"")</f>
        <v/>
      </c>
      <c r="B85" t="str">
        <f>IF($O85&lt;&gt;"",$O85,IF($A85&lt;&gt;"",'Approved-In-Depth'!$B85+7,""))</f>
        <v/>
      </c>
      <c r="C85" t="str">
        <f>IF($A85&lt;&gt;"",'Approved-In-Depth'!C85,"")</f>
        <v/>
      </c>
      <c r="D85" t="str">
        <f>IF($A85&lt;&gt;"",'Approved-In-Depth'!D85,"")</f>
        <v/>
      </c>
      <c r="E85" t="str">
        <f>IF($A85&lt;&gt;"",'Approved-In-Depth'!E85,"")</f>
        <v/>
      </c>
      <c r="F85" t="str">
        <f>IF($A85&lt;&gt;"",'Approved-In-Depth'!F85,"")</f>
        <v/>
      </c>
      <c r="G85" t="str">
        <f>IF($A85&lt;&gt;"",'Approved-In-Depth'!G85,"")</f>
        <v/>
      </c>
      <c r="H85" s="4" t="str">
        <f>IF($A85&lt;&gt;"",'Approved-In-Depth'!H85,"")</f>
        <v/>
      </c>
      <c r="I85" t="str">
        <f>IF($A85&lt;&gt;"",'Approved-In-Depth'!I85,"")</f>
        <v/>
      </c>
      <c r="J85" t="str">
        <f>IF($A85&lt;&gt;"",'Approved-In-Depth'!J85,"")</f>
        <v/>
      </c>
      <c r="K85" t="str">
        <f>IF($A85&lt;&gt;"",'Approved-In-Depth'!K85,"")</f>
        <v/>
      </c>
      <c r="L85" s="4" t="str">
        <f>IF($A85&lt;&gt;"",'Approved-In-Depth'!L85,"")</f>
        <v/>
      </c>
      <c r="M85" t="str">
        <f>IF($A85&lt;&gt;"",'Approved-In-Depth'!M85,"")</f>
        <v/>
      </c>
    </row>
    <row r="86" spans="1:13" x14ac:dyDescent="0.35">
      <c r="A86" s="4" t="str">
        <f>IF('Approved-In-Depth'!$A86&lt;&gt;"",'Approved-In-Depth'!A86,"")</f>
        <v/>
      </c>
      <c r="B86" t="str">
        <f>IF($O86&lt;&gt;"",$O86,IF($A86&lt;&gt;"",'Approved-In-Depth'!$B86+7,""))</f>
        <v/>
      </c>
      <c r="C86" t="str">
        <f>IF($A86&lt;&gt;"",'Approved-In-Depth'!C86,"")</f>
        <v/>
      </c>
      <c r="D86" t="str">
        <f>IF($A86&lt;&gt;"",'Approved-In-Depth'!D86,"")</f>
        <v/>
      </c>
      <c r="E86" t="str">
        <f>IF($A86&lt;&gt;"",'Approved-In-Depth'!E86,"")</f>
        <v/>
      </c>
      <c r="F86" t="str">
        <f>IF($A86&lt;&gt;"",'Approved-In-Depth'!F86,"")</f>
        <v/>
      </c>
      <c r="G86" t="str">
        <f>IF($A86&lt;&gt;"",'Approved-In-Depth'!G86,"")</f>
        <v/>
      </c>
      <c r="H86" s="4" t="str">
        <f>IF($A86&lt;&gt;"",'Approved-In-Depth'!H86,"")</f>
        <v/>
      </c>
      <c r="I86" t="str">
        <f>IF($A86&lt;&gt;"",'Approved-In-Depth'!I86,"")</f>
        <v/>
      </c>
      <c r="J86" t="str">
        <f>IF($A86&lt;&gt;"",'Approved-In-Depth'!J86,"")</f>
        <v/>
      </c>
      <c r="K86" t="str">
        <f>IF($A86&lt;&gt;"",'Approved-In-Depth'!K86,"")</f>
        <v/>
      </c>
      <c r="L86" s="4" t="str">
        <f>IF($A86&lt;&gt;"",'Approved-In-Depth'!L86,"")</f>
        <v/>
      </c>
      <c r="M86" t="str">
        <f>IF($A86&lt;&gt;"",'Approved-In-Depth'!M86,"")</f>
        <v/>
      </c>
    </row>
    <row r="87" spans="1:13" x14ac:dyDescent="0.35">
      <c r="A87" s="4" t="str">
        <f>IF('Approved-In-Depth'!$A87&lt;&gt;"",'Approved-In-Depth'!A87,"")</f>
        <v/>
      </c>
      <c r="B87" t="str">
        <f>IF($O87&lt;&gt;"",$O87,IF($A87&lt;&gt;"",'Approved-In-Depth'!$B87+7,""))</f>
        <v/>
      </c>
      <c r="C87" t="str">
        <f>IF($A87&lt;&gt;"",'Approved-In-Depth'!C87,"")</f>
        <v/>
      </c>
      <c r="D87" t="str">
        <f>IF($A87&lt;&gt;"",'Approved-In-Depth'!D87,"")</f>
        <v/>
      </c>
      <c r="E87" t="str">
        <f>IF($A87&lt;&gt;"",'Approved-In-Depth'!E87,"")</f>
        <v/>
      </c>
      <c r="F87" t="str">
        <f>IF($A87&lt;&gt;"",'Approved-In-Depth'!F87,"")</f>
        <v/>
      </c>
      <c r="G87" t="str">
        <f>IF($A87&lt;&gt;"",'Approved-In-Depth'!G87,"")</f>
        <v/>
      </c>
      <c r="H87" s="4" t="str">
        <f>IF($A87&lt;&gt;"",'Approved-In-Depth'!H87,"")</f>
        <v/>
      </c>
      <c r="I87" t="str">
        <f>IF($A87&lt;&gt;"",'Approved-In-Depth'!I87,"")</f>
        <v/>
      </c>
      <c r="J87" t="str">
        <f>IF($A87&lt;&gt;"",'Approved-In-Depth'!J87,"")</f>
        <v/>
      </c>
      <c r="K87" t="str">
        <f>IF($A87&lt;&gt;"",'Approved-In-Depth'!K87,"")</f>
        <v/>
      </c>
      <c r="L87" s="4" t="str">
        <f>IF($A87&lt;&gt;"",'Approved-In-Depth'!L87,"")</f>
        <v/>
      </c>
      <c r="M87" t="str">
        <f>IF($A87&lt;&gt;"",'Approved-In-Depth'!M87,"")</f>
        <v/>
      </c>
    </row>
    <row r="88" spans="1:13" x14ac:dyDescent="0.35">
      <c r="A88" s="4" t="str">
        <f>IF('Approved-In-Depth'!$A88&lt;&gt;"",'Approved-In-Depth'!A88,"")</f>
        <v/>
      </c>
      <c r="B88" t="str">
        <f>IF($O88&lt;&gt;"",$O88,IF($A88&lt;&gt;"",'Approved-In-Depth'!$B88+7,""))</f>
        <v/>
      </c>
      <c r="C88" t="str">
        <f>IF($A88&lt;&gt;"",'Approved-In-Depth'!C88,"")</f>
        <v/>
      </c>
      <c r="D88" t="str">
        <f>IF($A88&lt;&gt;"",'Approved-In-Depth'!D88,"")</f>
        <v/>
      </c>
      <c r="E88" t="str">
        <f>IF($A88&lt;&gt;"",'Approved-In-Depth'!E88,"")</f>
        <v/>
      </c>
      <c r="F88" t="str">
        <f>IF($A88&lt;&gt;"",'Approved-In-Depth'!F88,"")</f>
        <v/>
      </c>
      <c r="G88" t="str">
        <f>IF($A88&lt;&gt;"",'Approved-In-Depth'!G88,"")</f>
        <v/>
      </c>
      <c r="H88" s="4" t="str">
        <f>IF($A88&lt;&gt;"",'Approved-In-Depth'!H88,"")</f>
        <v/>
      </c>
      <c r="I88" t="str">
        <f>IF($A88&lt;&gt;"",'Approved-In-Depth'!I88,"")</f>
        <v/>
      </c>
      <c r="J88" t="str">
        <f>IF($A88&lt;&gt;"",'Approved-In-Depth'!J88,"")</f>
        <v/>
      </c>
      <c r="K88" t="str">
        <f>IF($A88&lt;&gt;"",'Approved-In-Depth'!K88,"")</f>
        <v/>
      </c>
      <c r="L88" s="4" t="str">
        <f>IF($A88&lt;&gt;"",'Approved-In-Depth'!L88,"")</f>
        <v/>
      </c>
      <c r="M88" t="str">
        <f>IF($A88&lt;&gt;"",'Approved-In-Depth'!M88,"")</f>
        <v/>
      </c>
    </row>
    <row r="89" spans="1:13" x14ac:dyDescent="0.35">
      <c r="A89" s="4" t="str">
        <f>IF('Approved-In-Depth'!$A89&lt;&gt;"",'Approved-In-Depth'!A89,"")</f>
        <v/>
      </c>
      <c r="B89" t="str">
        <f>IF($O89&lt;&gt;"",$O89,IF($A89&lt;&gt;"",'Approved-In-Depth'!$B89+7,""))</f>
        <v/>
      </c>
      <c r="C89" t="str">
        <f>IF($A89&lt;&gt;"",'Approved-In-Depth'!C89,"")</f>
        <v/>
      </c>
      <c r="D89" t="str">
        <f>IF($A89&lt;&gt;"",'Approved-In-Depth'!D89,"")</f>
        <v/>
      </c>
      <c r="E89" t="str">
        <f>IF($A89&lt;&gt;"",'Approved-In-Depth'!E89,"")</f>
        <v/>
      </c>
      <c r="F89" t="str">
        <f>IF($A89&lt;&gt;"",'Approved-In-Depth'!F89,"")</f>
        <v/>
      </c>
      <c r="G89" t="str">
        <f>IF($A89&lt;&gt;"",'Approved-In-Depth'!G89,"")</f>
        <v/>
      </c>
      <c r="H89" s="4" t="str">
        <f>IF($A89&lt;&gt;"",'Approved-In-Depth'!H89,"")</f>
        <v/>
      </c>
      <c r="I89" t="str">
        <f>IF($A89&lt;&gt;"",'Approved-In-Depth'!I89,"")</f>
        <v/>
      </c>
      <c r="J89" t="str">
        <f>IF($A89&lt;&gt;"",'Approved-In-Depth'!J89,"")</f>
        <v/>
      </c>
      <c r="K89" t="str">
        <f>IF($A89&lt;&gt;"",'Approved-In-Depth'!K89,"")</f>
        <v/>
      </c>
      <c r="L89" s="4" t="str">
        <f>IF($A89&lt;&gt;"",'Approved-In-Depth'!L89,"")</f>
        <v/>
      </c>
      <c r="M89" t="str">
        <f>IF($A89&lt;&gt;"",'Approved-In-Depth'!M89,"")</f>
        <v/>
      </c>
    </row>
    <row r="90" spans="1:13" x14ac:dyDescent="0.35">
      <c r="A90" s="4" t="str">
        <f>IF('Approved-In-Depth'!$A90&lt;&gt;"",'Approved-In-Depth'!A90,"")</f>
        <v/>
      </c>
      <c r="B90" t="str">
        <f>IF($O90&lt;&gt;"",$O90,IF($A90&lt;&gt;"",'Approved-In-Depth'!$B90+7,""))</f>
        <v/>
      </c>
      <c r="C90" t="str">
        <f>IF($A90&lt;&gt;"",'Approved-In-Depth'!C90,"")</f>
        <v/>
      </c>
      <c r="D90" t="str">
        <f>IF($A90&lt;&gt;"",'Approved-In-Depth'!D90,"")</f>
        <v/>
      </c>
      <c r="E90" t="str">
        <f>IF($A90&lt;&gt;"",'Approved-In-Depth'!E90,"")</f>
        <v/>
      </c>
      <c r="F90" t="str">
        <f>IF($A90&lt;&gt;"",'Approved-In-Depth'!F90,"")</f>
        <v/>
      </c>
      <c r="G90" t="str">
        <f>IF($A90&lt;&gt;"",'Approved-In-Depth'!G90,"")</f>
        <v/>
      </c>
      <c r="H90" s="4" t="str">
        <f>IF($A90&lt;&gt;"",'Approved-In-Depth'!H90,"")</f>
        <v/>
      </c>
      <c r="I90" t="str">
        <f>IF($A90&lt;&gt;"",'Approved-In-Depth'!I90,"")</f>
        <v/>
      </c>
      <c r="J90" t="str">
        <f>IF($A90&lt;&gt;"",'Approved-In-Depth'!J90,"")</f>
        <v/>
      </c>
      <c r="K90" t="str">
        <f>IF($A90&lt;&gt;"",'Approved-In-Depth'!K90,"")</f>
        <v/>
      </c>
      <c r="L90" s="4" t="str">
        <f>IF($A90&lt;&gt;"",'Approved-In-Depth'!L90,"")</f>
        <v/>
      </c>
      <c r="M90" t="str">
        <f>IF($A90&lt;&gt;"",'Approved-In-Depth'!M90,"")</f>
        <v/>
      </c>
    </row>
    <row r="91" spans="1:13" x14ac:dyDescent="0.35">
      <c r="A91" s="4" t="str">
        <f>IF('Approved-In-Depth'!$A91&lt;&gt;"",'Approved-In-Depth'!A91,"")</f>
        <v/>
      </c>
      <c r="B91" t="str">
        <f>IF($O91&lt;&gt;"",$O91,IF($A91&lt;&gt;"",'Approved-In-Depth'!$B91+7,""))</f>
        <v/>
      </c>
      <c r="C91" t="str">
        <f>IF($A91&lt;&gt;"",'Approved-In-Depth'!C91,"")</f>
        <v/>
      </c>
      <c r="D91" t="str">
        <f>IF($A91&lt;&gt;"",'Approved-In-Depth'!D91,"")</f>
        <v/>
      </c>
      <c r="E91" t="str">
        <f>IF($A91&lt;&gt;"",'Approved-In-Depth'!E91,"")</f>
        <v/>
      </c>
      <c r="F91" t="str">
        <f>IF($A91&lt;&gt;"",'Approved-In-Depth'!F91,"")</f>
        <v/>
      </c>
      <c r="G91" t="str">
        <f>IF($A91&lt;&gt;"",'Approved-In-Depth'!G91,"")</f>
        <v/>
      </c>
      <c r="H91" s="4" t="str">
        <f>IF($A91&lt;&gt;"",'Approved-In-Depth'!H91,"")</f>
        <v/>
      </c>
      <c r="I91" t="str">
        <f>IF($A91&lt;&gt;"",'Approved-In-Depth'!I91,"")</f>
        <v/>
      </c>
      <c r="J91" t="str">
        <f>IF($A91&lt;&gt;"",'Approved-In-Depth'!J91,"")</f>
        <v/>
      </c>
      <c r="K91" t="str">
        <f>IF($A91&lt;&gt;"",'Approved-In-Depth'!K91,"")</f>
        <v/>
      </c>
      <c r="L91" s="4" t="str">
        <f>IF($A91&lt;&gt;"",'Approved-In-Depth'!L91,"")</f>
        <v/>
      </c>
      <c r="M91" t="str">
        <f>IF($A91&lt;&gt;"",'Approved-In-Depth'!M91,"")</f>
        <v/>
      </c>
    </row>
    <row r="92" spans="1:13" x14ac:dyDescent="0.35">
      <c r="A92" s="4" t="str">
        <f>IF('Approved-In-Depth'!$A92&lt;&gt;"",'Approved-In-Depth'!A92,"")</f>
        <v/>
      </c>
      <c r="B92" t="str">
        <f>IF($O92&lt;&gt;"",$O92,IF($A92&lt;&gt;"",'Approved-In-Depth'!$B92+7,""))</f>
        <v/>
      </c>
      <c r="C92" t="str">
        <f>IF($A92&lt;&gt;"",'Approved-In-Depth'!C92,"")</f>
        <v/>
      </c>
      <c r="D92" t="str">
        <f>IF($A92&lt;&gt;"",'Approved-In-Depth'!D92,"")</f>
        <v/>
      </c>
      <c r="E92" t="str">
        <f>IF($A92&lt;&gt;"",'Approved-In-Depth'!E92,"")</f>
        <v/>
      </c>
      <c r="F92" t="str">
        <f>IF($A92&lt;&gt;"",'Approved-In-Depth'!F92,"")</f>
        <v/>
      </c>
      <c r="G92" t="str">
        <f>IF($A92&lt;&gt;"",'Approved-In-Depth'!G92,"")</f>
        <v/>
      </c>
      <c r="H92" s="4" t="str">
        <f>IF($A92&lt;&gt;"",'Approved-In-Depth'!H92,"")</f>
        <v/>
      </c>
      <c r="I92" t="str">
        <f>IF($A92&lt;&gt;"",'Approved-In-Depth'!I92,"")</f>
        <v/>
      </c>
      <c r="J92" t="str">
        <f>IF($A92&lt;&gt;"",'Approved-In-Depth'!J92,"")</f>
        <v/>
      </c>
      <c r="K92" t="str">
        <f>IF($A92&lt;&gt;"",'Approved-In-Depth'!K92,"")</f>
        <v/>
      </c>
      <c r="L92" s="4" t="str">
        <f>IF($A92&lt;&gt;"",'Approved-In-Depth'!L92,"")</f>
        <v/>
      </c>
      <c r="M92" t="str">
        <f>IF($A92&lt;&gt;"",'Approved-In-Depth'!M92,"")</f>
        <v/>
      </c>
    </row>
    <row r="93" spans="1:13" x14ac:dyDescent="0.35">
      <c r="A93" s="4" t="str">
        <f>IF('Approved-In-Depth'!$A93&lt;&gt;"",'Approved-In-Depth'!A93,"")</f>
        <v/>
      </c>
      <c r="B93" t="str">
        <f>IF($O93&lt;&gt;"",$O93,IF($A93&lt;&gt;"",'Approved-In-Depth'!$B93+7,""))</f>
        <v/>
      </c>
      <c r="C93" t="str">
        <f>IF($A93&lt;&gt;"",'Approved-In-Depth'!C93,"")</f>
        <v/>
      </c>
      <c r="D93" t="str">
        <f>IF($A93&lt;&gt;"",'Approved-In-Depth'!D93,"")</f>
        <v/>
      </c>
      <c r="E93" t="str">
        <f>IF($A93&lt;&gt;"",'Approved-In-Depth'!E93,"")</f>
        <v/>
      </c>
      <c r="F93" t="str">
        <f>IF($A93&lt;&gt;"",'Approved-In-Depth'!F93,"")</f>
        <v/>
      </c>
      <c r="G93" t="str">
        <f>IF($A93&lt;&gt;"",'Approved-In-Depth'!G93,"")</f>
        <v/>
      </c>
      <c r="H93" s="4" t="str">
        <f>IF($A93&lt;&gt;"",'Approved-In-Depth'!H93,"")</f>
        <v/>
      </c>
      <c r="I93" t="str">
        <f>IF($A93&lt;&gt;"",'Approved-In-Depth'!I93,"")</f>
        <v/>
      </c>
      <c r="J93" t="str">
        <f>IF($A93&lt;&gt;"",'Approved-In-Depth'!J93,"")</f>
        <v/>
      </c>
      <c r="K93" t="str">
        <f>IF($A93&lt;&gt;"",'Approved-In-Depth'!K93,"")</f>
        <v/>
      </c>
      <c r="L93" s="4" t="str">
        <f>IF($A93&lt;&gt;"",'Approved-In-Depth'!L93,"")</f>
        <v/>
      </c>
      <c r="M93" t="str">
        <f>IF($A93&lt;&gt;"",'Approved-In-Depth'!M93,"")</f>
        <v/>
      </c>
    </row>
    <row r="94" spans="1:13" x14ac:dyDescent="0.35">
      <c r="A94" s="4" t="str">
        <f>IF('Approved-In-Depth'!$A94&lt;&gt;"",'Approved-In-Depth'!A94,"")</f>
        <v/>
      </c>
      <c r="B94" t="str">
        <f>IF($O94&lt;&gt;"",$O94,IF($A94&lt;&gt;"",'Approved-In-Depth'!$B94+7,""))</f>
        <v/>
      </c>
      <c r="C94" t="str">
        <f>IF($A94&lt;&gt;"",'Approved-In-Depth'!C94,"")</f>
        <v/>
      </c>
      <c r="D94" t="str">
        <f>IF($A94&lt;&gt;"",'Approved-In-Depth'!D94,"")</f>
        <v/>
      </c>
      <c r="E94" t="str">
        <f>IF($A94&lt;&gt;"",'Approved-In-Depth'!E94,"")</f>
        <v/>
      </c>
      <c r="F94" t="str">
        <f>IF($A94&lt;&gt;"",'Approved-In-Depth'!F94,"")</f>
        <v/>
      </c>
      <c r="G94" t="str">
        <f>IF($A94&lt;&gt;"",'Approved-In-Depth'!G94,"")</f>
        <v/>
      </c>
      <c r="H94" s="4" t="str">
        <f>IF($A94&lt;&gt;"",'Approved-In-Depth'!H94,"")</f>
        <v/>
      </c>
      <c r="I94" t="str">
        <f>IF($A94&lt;&gt;"",'Approved-In-Depth'!I94,"")</f>
        <v/>
      </c>
      <c r="J94" t="str">
        <f>IF($A94&lt;&gt;"",'Approved-In-Depth'!J94,"")</f>
        <v/>
      </c>
      <c r="K94" t="str">
        <f>IF($A94&lt;&gt;"",'Approved-In-Depth'!K94,"")</f>
        <v/>
      </c>
      <c r="L94" s="4" t="str">
        <f>IF($A94&lt;&gt;"",'Approved-In-Depth'!L94,"")</f>
        <v/>
      </c>
      <c r="M94" t="str">
        <f>IF($A94&lt;&gt;"",'Approved-In-Depth'!M94,"")</f>
        <v/>
      </c>
    </row>
    <row r="95" spans="1:13" x14ac:dyDescent="0.35">
      <c r="A95" s="4" t="str">
        <f>IF('Approved-In-Depth'!$A95&lt;&gt;"",'Approved-In-Depth'!A95,"")</f>
        <v/>
      </c>
      <c r="B95" t="str">
        <f>IF($O95&lt;&gt;"",$O95,IF($A95&lt;&gt;"",'Approved-In-Depth'!$B95+7,""))</f>
        <v/>
      </c>
      <c r="C95" t="str">
        <f>IF($A95&lt;&gt;"",'Approved-In-Depth'!C95,"")</f>
        <v/>
      </c>
      <c r="D95" t="str">
        <f>IF($A95&lt;&gt;"",'Approved-In-Depth'!D95,"")</f>
        <v/>
      </c>
      <c r="E95" t="str">
        <f>IF($A95&lt;&gt;"",'Approved-In-Depth'!E95,"")</f>
        <v/>
      </c>
      <c r="F95" t="str">
        <f>IF($A95&lt;&gt;"",'Approved-In-Depth'!F95,"")</f>
        <v/>
      </c>
      <c r="G95" t="str">
        <f>IF($A95&lt;&gt;"",'Approved-In-Depth'!G95,"")</f>
        <v/>
      </c>
      <c r="H95" s="4" t="str">
        <f>IF($A95&lt;&gt;"",'Approved-In-Depth'!H95,"")</f>
        <v/>
      </c>
      <c r="I95" t="str">
        <f>IF($A95&lt;&gt;"",'Approved-In-Depth'!I95,"")</f>
        <v/>
      </c>
      <c r="J95" t="str">
        <f>IF($A95&lt;&gt;"",'Approved-In-Depth'!J95,"")</f>
        <v/>
      </c>
      <c r="K95" t="str">
        <f>IF($A95&lt;&gt;"",'Approved-In-Depth'!K95,"")</f>
        <v/>
      </c>
      <c r="L95" s="4" t="str">
        <f>IF($A95&lt;&gt;"",'Approved-In-Depth'!L95,"")</f>
        <v/>
      </c>
      <c r="M95" t="str">
        <f>IF($A95&lt;&gt;"",'Approved-In-Depth'!M95,"")</f>
        <v/>
      </c>
    </row>
    <row r="96" spans="1:13" x14ac:dyDescent="0.35">
      <c r="A96" s="4" t="str">
        <f>IF('Approved-In-Depth'!$A96&lt;&gt;"",'Approved-In-Depth'!A96,"")</f>
        <v/>
      </c>
      <c r="B96" t="str">
        <f>IF($O96&lt;&gt;"",$O96,IF($A96&lt;&gt;"",'Approved-In-Depth'!$B96+7,""))</f>
        <v/>
      </c>
      <c r="C96" t="str">
        <f>IF($A96&lt;&gt;"",'Approved-In-Depth'!C96,"")</f>
        <v/>
      </c>
      <c r="D96" t="str">
        <f>IF($A96&lt;&gt;"",'Approved-In-Depth'!D96,"")</f>
        <v/>
      </c>
      <c r="E96" t="str">
        <f>IF($A96&lt;&gt;"",'Approved-In-Depth'!E96,"")</f>
        <v/>
      </c>
      <c r="F96" t="str">
        <f>IF($A96&lt;&gt;"",'Approved-In-Depth'!F96,"")</f>
        <v/>
      </c>
      <c r="G96" t="str">
        <f>IF($A96&lt;&gt;"",'Approved-In-Depth'!G96,"")</f>
        <v/>
      </c>
      <c r="H96" s="4" t="str">
        <f>IF($A96&lt;&gt;"",'Approved-In-Depth'!H96,"")</f>
        <v/>
      </c>
      <c r="I96" t="str">
        <f>IF($A96&lt;&gt;"",'Approved-In-Depth'!I96,"")</f>
        <v/>
      </c>
      <c r="J96" t="str">
        <f>IF($A96&lt;&gt;"",'Approved-In-Depth'!J96,"")</f>
        <v/>
      </c>
      <c r="K96" t="str">
        <f>IF($A96&lt;&gt;"",'Approved-In-Depth'!K96,"")</f>
        <v/>
      </c>
      <c r="L96" s="4" t="str">
        <f>IF($A96&lt;&gt;"",'Approved-In-Depth'!L96,"")</f>
        <v/>
      </c>
      <c r="M96" t="str">
        <f>IF($A96&lt;&gt;"",'Approved-In-Depth'!M96,"")</f>
        <v/>
      </c>
    </row>
    <row r="97" spans="1:13" x14ac:dyDescent="0.35">
      <c r="A97" s="4" t="str">
        <f>IF('Approved-In-Depth'!$A97&lt;&gt;"",'Approved-In-Depth'!A97,"")</f>
        <v/>
      </c>
      <c r="B97" t="str">
        <f>IF($O97&lt;&gt;"",$O97,IF($A97&lt;&gt;"",'Approved-In-Depth'!$B97+7,""))</f>
        <v/>
      </c>
      <c r="C97" t="str">
        <f>IF($A97&lt;&gt;"",'Approved-In-Depth'!C97,"")</f>
        <v/>
      </c>
      <c r="D97" t="str">
        <f>IF($A97&lt;&gt;"",'Approved-In-Depth'!D97,"")</f>
        <v/>
      </c>
      <c r="E97" t="str">
        <f>IF($A97&lt;&gt;"",'Approved-In-Depth'!E97,"")</f>
        <v/>
      </c>
      <c r="F97" t="str">
        <f>IF($A97&lt;&gt;"",'Approved-In-Depth'!F97,"")</f>
        <v/>
      </c>
      <c r="G97" t="str">
        <f>IF($A97&lt;&gt;"",'Approved-In-Depth'!G97,"")</f>
        <v/>
      </c>
      <c r="H97" s="4" t="str">
        <f>IF($A97&lt;&gt;"",'Approved-In-Depth'!H97,"")</f>
        <v/>
      </c>
      <c r="I97" t="str">
        <f>IF($A97&lt;&gt;"",'Approved-In-Depth'!I97,"")</f>
        <v/>
      </c>
      <c r="J97" t="str">
        <f>IF($A97&lt;&gt;"",'Approved-In-Depth'!J97,"")</f>
        <v/>
      </c>
      <c r="K97" t="str">
        <f>IF($A97&lt;&gt;"",'Approved-In-Depth'!K97,"")</f>
        <v/>
      </c>
      <c r="L97" s="4" t="str">
        <f>IF($A97&lt;&gt;"",'Approved-In-Depth'!L97,"")</f>
        <v/>
      </c>
      <c r="M97" t="str">
        <f>IF($A97&lt;&gt;"",'Approved-In-Depth'!M97,"")</f>
        <v/>
      </c>
    </row>
    <row r="98" spans="1:13" x14ac:dyDescent="0.35">
      <c r="A98" s="4" t="str">
        <f>IF('Approved-In-Depth'!$A98&lt;&gt;"",'Approved-In-Depth'!A98,"")</f>
        <v/>
      </c>
      <c r="B98" t="str">
        <f>IF($O98&lt;&gt;"",$O98,IF($A98&lt;&gt;"",'Approved-In-Depth'!$B98+7,""))</f>
        <v/>
      </c>
      <c r="C98" t="str">
        <f>IF($A98&lt;&gt;"",'Approved-In-Depth'!C98,"")</f>
        <v/>
      </c>
      <c r="D98" t="str">
        <f>IF($A98&lt;&gt;"",'Approved-In-Depth'!D98,"")</f>
        <v/>
      </c>
      <c r="E98" t="str">
        <f>IF($A98&lt;&gt;"",'Approved-In-Depth'!E98,"")</f>
        <v/>
      </c>
      <c r="F98" t="str">
        <f>IF($A98&lt;&gt;"",'Approved-In-Depth'!F98,"")</f>
        <v/>
      </c>
      <c r="G98" t="str">
        <f>IF($A98&lt;&gt;"",'Approved-In-Depth'!G98,"")</f>
        <v/>
      </c>
      <c r="H98" s="4" t="str">
        <f>IF($A98&lt;&gt;"",'Approved-In-Depth'!H98,"")</f>
        <v/>
      </c>
      <c r="I98" t="str">
        <f>IF($A98&lt;&gt;"",'Approved-In-Depth'!I98,"")</f>
        <v/>
      </c>
      <c r="J98" t="str">
        <f>IF($A98&lt;&gt;"",'Approved-In-Depth'!J98,"")</f>
        <v/>
      </c>
      <c r="K98" t="str">
        <f>IF($A98&lt;&gt;"",'Approved-In-Depth'!K98,"")</f>
        <v/>
      </c>
      <c r="L98" s="4" t="str">
        <f>IF($A98&lt;&gt;"",'Approved-In-Depth'!L98,"")</f>
        <v/>
      </c>
      <c r="M98" t="str">
        <f>IF($A98&lt;&gt;"",'Approved-In-Depth'!M98,"")</f>
        <v/>
      </c>
    </row>
    <row r="99" spans="1:13" x14ac:dyDescent="0.35">
      <c r="A99" s="4" t="str">
        <f>IF('Approved-In-Depth'!$A99&lt;&gt;"",'Approved-In-Depth'!A99,"")</f>
        <v/>
      </c>
      <c r="B99" t="str">
        <f>IF($O99&lt;&gt;"",$O99,IF($A99&lt;&gt;"",'Approved-In-Depth'!$B99+7,""))</f>
        <v/>
      </c>
      <c r="C99" t="str">
        <f>IF($A99&lt;&gt;"",'Approved-In-Depth'!C99,"")</f>
        <v/>
      </c>
      <c r="D99" t="str">
        <f>IF($A99&lt;&gt;"",'Approved-In-Depth'!D99,"")</f>
        <v/>
      </c>
      <c r="E99" t="str">
        <f>IF($A99&lt;&gt;"",'Approved-In-Depth'!E99,"")</f>
        <v/>
      </c>
      <c r="F99" t="str">
        <f>IF($A99&lt;&gt;"",'Approved-In-Depth'!F99,"")</f>
        <v/>
      </c>
      <c r="G99" t="str">
        <f>IF($A99&lt;&gt;"",'Approved-In-Depth'!G99,"")</f>
        <v/>
      </c>
      <c r="H99" s="4" t="str">
        <f>IF($A99&lt;&gt;"",'Approved-In-Depth'!H99,"")</f>
        <v/>
      </c>
      <c r="I99" t="str">
        <f>IF($A99&lt;&gt;"",'Approved-In-Depth'!I99,"")</f>
        <v/>
      </c>
      <c r="J99" t="str">
        <f>IF($A99&lt;&gt;"",'Approved-In-Depth'!J99,"")</f>
        <v/>
      </c>
      <c r="K99" t="str">
        <f>IF($A99&lt;&gt;"",'Approved-In-Depth'!K99,"")</f>
        <v/>
      </c>
      <c r="L99" s="4" t="str">
        <f>IF($A99&lt;&gt;"",'Approved-In-Depth'!L99,"")</f>
        <v/>
      </c>
      <c r="M99" t="str">
        <f>IF($A99&lt;&gt;"",'Approved-In-Depth'!M99,"")</f>
        <v/>
      </c>
    </row>
    <row r="100" spans="1:13" x14ac:dyDescent="0.35">
      <c r="A100" s="4" t="str">
        <f>IF('Approved-In-Depth'!$A100&lt;&gt;"",'Approved-In-Depth'!A100,"")</f>
        <v/>
      </c>
      <c r="B100" t="str">
        <f>IF($O100&lt;&gt;"",$O100,IF($A100&lt;&gt;"",'Approved-In-Depth'!$B100+7,""))</f>
        <v/>
      </c>
      <c r="C100" t="str">
        <f>IF($A100&lt;&gt;"",'Approved-In-Depth'!C100,"")</f>
        <v/>
      </c>
      <c r="D100" t="str">
        <f>IF($A100&lt;&gt;"",'Approved-In-Depth'!D100,"")</f>
        <v/>
      </c>
      <c r="E100" t="str">
        <f>IF($A100&lt;&gt;"",'Approved-In-Depth'!E100,"")</f>
        <v/>
      </c>
      <c r="F100" t="str">
        <f>IF($A100&lt;&gt;"",'Approved-In-Depth'!F100,"")</f>
        <v/>
      </c>
      <c r="G100" t="str">
        <f>IF($A100&lt;&gt;"",'Approved-In-Depth'!G100,"")</f>
        <v/>
      </c>
      <c r="H100" s="4" t="str">
        <f>IF($A100&lt;&gt;"",'Approved-In-Depth'!H100,"")</f>
        <v/>
      </c>
      <c r="I100" t="str">
        <f>IF($A100&lt;&gt;"",'Approved-In-Depth'!I100,"")</f>
        <v/>
      </c>
      <c r="J100" t="str">
        <f>IF($A100&lt;&gt;"",'Approved-In-Depth'!J100,"")</f>
        <v/>
      </c>
      <c r="K100" t="str">
        <f>IF($A100&lt;&gt;"",'Approved-In-Depth'!K100,"")</f>
        <v/>
      </c>
      <c r="L100" s="4" t="str">
        <f>IF($A100&lt;&gt;"",'Approved-In-Depth'!L100,"")</f>
        <v/>
      </c>
      <c r="M100" t="str">
        <f>IF($A100&lt;&gt;"",'Approved-In-Depth'!M100,"")</f>
        <v/>
      </c>
    </row>
    <row r="101" spans="1:13" x14ac:dyDescent="0.35">
      <c r="A101" s="4" t="str">
        <f>IF('Approved-In-Depth'!$A101&lt;&gt;"",'Approved-In-Depth'!A101,"")</f>
        <v/>
      </c>
      <c r="B101" t="str">
        <f>IF($O101&lt;&gt;"",$O101,IF($A101&lt;&gt;"",'Approved-In-Depth'!$B101+7,""))</f>
        <v/>
      </c>
      <c r="C101" t="str">
        <f>IF($A101&lt;&gt;"",'Approved-In-Depth'!C101,"")</f>
        <v/>
      </c>
      <c r="D101" t="str">
        <f>IF($A101&lt;&gt;"",'Approved-In-Depth'!D101,"")</f>
        <v/>
      </c>
      <c r="E101" t="str">
        <f>IF($A101&lt;&gt;"",'Approved-In-Depth'!E101,"")</f>
        <v/>
      </c>
      <c r="F101" t="str">
        <f>IF($A101&lt;&gt;"",'Approved-In-Depth'!F101,"")</f>
        <v/>
      </c>
      <c r="G101" t="str">
        <f>IF($A101&lt;&gt;"",'Approved-In-Depth'!G101,"")</f>
        <v/>
      </c>
      <c r="H101" s="4" t="str">
        <f>IF($A101&lt;&gt;"",'Approved-In-Depth'!H101,"")</f>
        <v/>
      </c>
      <c r="I101" t="str">
        <f>IF($A101&lt;&gt;"",'Approved-In-Depth'!I101,"")</f>
        <v/>
      </c>
      <c r="J101" t="str">
        <f>IF($A101&lt;&gt;"",'Approved-In-Depth'!J101,"")</f>
        <v/>
      </c>
      <c r="K101" t="str">
        <f>IF($A101&lt;&gt;"",'Approved-In-Depth'!K101,"")</f>
        <v/>
      </c>
      <c r="L101" s="4" t="str">
        <f>IF($A101&lt;&gt;"",'Approved-In-Depth'!L101,"")</f>
        <v/>
      </c>
      <c r="M101" t="str">
        <f>IF($A101&lt;&gt;"",'Approved-In-Depth'!M101,"")</f>
        <v/>
      </c>
    </row>
    <row r="102" spans="1:13" x14ac:dyDescent="0.35">
      <c r="A102" s="4" t="str">
        <f>IF('Approved-In-Depth'!$A102&lt;&gt;"",'Approved-In-Depth'!A102,"")</f>
        <v/>
      </c>
      <c r="B102" t="str">
        <f>IF($O102&lt;&gt;"",$O102,IF($A102&lt;&gt;"",'Approved-In-Depth'!$B102+7,""))</f>
        <v/>
      </c>
      <c r="C102" t="str">
        <f>IF($A102&lt;&gt;"",'Approved-In-Depth'!C102,"")</f>
        <v/>
      </c>
      <c r="D102" t="str">
        <f>IF($A102&lt;&gt;"",'Approved-In-Depth'!D102,"")</f>
        <v/>
      </c>
      <c r="E102" t="str">
        <f>IF($A102&lt;&gt;"",'Approved-In-Depth'!E102,"")</f>
        <v/>
      </c>
      <c r="F102" t="str">
        <f>IF($A102&lt;&gt;"",'Approved-In-Depth'!F102,"")</f>
        <v/>
      </c>
      <c r="G102" t="str">
        <f>IF($A102&lt;&gt;"",'Approved-In-Depth'!G102,"")</f>
        <v/>
      </c>
      <c r="H102" s="4" t="str">
        <f>IF($A102&lt;&gt;"",'Approved-In-Depth'!H102,"")</f>
        <v/>
      </c>
      <c r="I102" t="str">
        <f>IF($A102&lt;&gt;"",'Approved-In-Depth'!I102,"")</f>
        <v/>
      </c>
      <c r="J102" t="str">
        <f>IF($A102&lt;&gt;"",'Approved-In-Depth'!J102,"")</f>
        <v/>
      </c>
      <c r="K102" t="str">
        <f>IF($A102&lt;&gt;"",'Approved-In-Depth'!K102,"")</f>
        <v/>
      </c>
      <c r="L102" s="4" t="str">
        <f>IF($A102&lt;&gt;"",'Approved-In-Depth'!L102,"")</f>
        <v/>
      </c>
      <c r="M102" t="str">
        <f>IF($A102&lt;&gt;"",'Approved-In-Depth'!M102,"")</f>
        <v/>
      </c>
    </row>
    <row r="103" spans="1:13" x14ac:dyDescent="0.35">
      <c r="A103" s="4" t="str">
        <f>IF('Approved-In-Depth'!$A103&lt;&gt;"",'Approved-In-Depth'!A103,"")</f>
        <v/>
      </c>
      <c r="B103" t="str">
        <f>IF($O103&lt;&gt;"",$O103,IF($A103&lt;&gt;"",'Approved-In-Depth'!$B103+7,""))</f>
        <v/>
      </c>
      <c r="C103" t="str">
        <f>IF($A103&lt;&gt;"",'Approved-In-Depth'!C103,"")</f>
        <v/>
      </c>
      <c r="D103" t="str">
        <f>IF($A103&lt;&gt;"",'Approved-In-Depth'!D103,"")</f>
        <v/>
      </c>
      <c r="E103" t="str">
        <f>IF($A103&lt;&gt;"",'Approved-In-Depth'!E103,"")</f>
        <v/>
      </c>
      <c r="F103" t="str">
        <f>IF($A103&lt;&gt;"",'Approved-In-Depth'!F103,"")</f>
        <v/>
      </c>
      <c r="G103" t="str">
        <f>IF($A103&lt;&gt;"",'Approved-In-Depth'!G103,"")</f>
        <v/>
      </c>
      <c r="H103" s="4" t="str">
        <f>IF($A103&lt;&gt;"",'Approved-In-Depth'!H103,"")</f>
        <v/>
      </c>
      <c r="I103" t="str">
        <f>IF($A103&lt;&gt;"",'Approved-In-Depth'!I103,"")</f>
        <v/>
      </c>
      <c r="J103" t="str">
        <f>IF($A103&lt;&gt;"",'Approved-In-Depth'!J103,"")</f>
        <v/>
      </c>
      <c r="K103" t="str">
        <f>IF($A103&lt;&gt;"",'Approved-In-Depth'!K103,"")</f>
        <v/>
      </c>
      <c r="L103" s="4" t="str">
        <f>IF($A103&lt;&gt;"",'Approved-In-Depth'!L103,"")</f>
        <v/>
      </c>
      <c r="M103" t="str">
        <f>IF($A103&lt;&gt;"",'Approved-In-Depth'!M103,"")</f>
        <v/>
      </c>
    </row>
    <row r="104" spans="1:13" x14ac:dyDescent="0.35">
      <c r="A104" s="4" t="str">
        <f>IF('Approved-In-Depth'!$A104&lt;&gt;"",'Approved-In-Depth'!A104,"")</f>
        <v/>
      </c>
      <c r="B104" t="str">
        <f>IF($O104&lt;&gt;"",$O104,IF($A104&lt;&gt;"",'Approved-In-Depth'!$B104+7,""))</f>
        <v/>
      </c>
      <c r="C104" t="str">
        <f>IF($A104&lt;&gt;"",'Approved-In-Depth'!C104,"")</f>
        <v/>
      </c>
      <c r="D104" t="str">
        <f>IF($A104&lt;&gt;"",'Approved-In-Depth'!D104,"")</f>
        <v/>
      </c>
      <c r="E104" t="str">
        <f>IF($A104&lt;&gt;"",'Approved-In-Depth'!E104,"")</f>
        <v/>
      </c>
      <c r="F104" t="str">
        <f>IF($A104&lt;&gt;"",'Approved-In-Depth'!F104,"")</f>
        <v/>
      </c>
      <c r="G104" t="str">
        <f>IF($A104&lt;&gt;"",'Approved-In-Depth'!G104,"")</f>
        <v/>
      </c>
      <c r="H104" s="4" t="str">
        <f>IF($A104&lt;&gt;"",'Approved-In-Depth'!H104,"")</f>
        <v/>
      </c>
      <c r="I104" t="str">
        <f>IF($A104&lt;&gt;"",'Approved-In-Depth'!I104,"")</f>
        <v/>
      </c>
      <c r="J104" t="str">
        <f>IF($A104&lt;&gt;"",'Approved-In-Depth'!J104,"")</f>
        <v/>
      </c>
      <c r="K104" t="str">
        <f>IF($A104&lt;&gt;"",'Approved-In-Depth'!K104,"")</f>
        <v/>
      </c>
      <c r="L104" s="4" t="str">
        <f>IF($A104&lt;&gt;"",'Approved-In-Depth'!L104,"")</f>
        <v/>
      </c>
      <c r="M104" t="str">
        <f>IF($A104&lt;&gt;"",'Approved-In-Depth'!M104,"")</f>
        <v/>
      </c>
    </row>
    <row r="105" spans="1:13" x14ac:dyDescent="0.35">
      <c r="A105" s="4" t="str">
        <f>IF('Approved-In-Depth'!$A105&lt;&gt;"",'Approved-In-Depth'!A105,"")</f>
        <v/>
      </c>
      <c r="B105" t="str">
        <f>IF($O105&lt;&gt;"",$O105,IF($A105&lt;&gt;"",'Approved-In-Depth'!$B105+7,""))</f>
        <v/>
      </c>
      <c r="C105" t="str">
        <f>IF($A105&lt;&gt;"",'Approved-In-Depth'!C105,"")</f>
        <v/>
      </c>
      <c r="D105" t="str">
        <f>IF($A105&lt;&gt;"",'Approved-In-Depth'!D105,"")</f>
        <v/>
      </c>
      <c r="E105" t="str">
        <f>IF($A105&lt;&gt;"",'Approved-In-Depth'!E105,"")</f>
        <v/>
      </c>
      <c r="F105" t="str">
        <f>IF($A105&lt;&gt;"",'Approved-In-Depth'!F105,"")</f>
        <v/>
      </c>
      <c r="G105" t="str">
        <f>IF($A105&lt;&gt;"",'Approved-In-Depth'!G105,"")</f>
        <v/>
      </c>
      <c r="H105" s="4" t="str">
        <f>IF($A105&lt;&gt;"",'Approved-In-Depth'!H105,"")</f>
        <v/>
      </c>
      <c r="I105" t="str">
        <f>IF($A105&lt;&gt;"",'Approved-In-Depth'!I105,"")</f>
        <v/>
      </c>
      <c r="J105" t="str">
        <f>IF($A105&lt;&gt;"",'Approved-In-Depth'!J105,"")</f>
        <v/>
      </c>
      <c r="K105" t="str">
        <f>IF($A105&lt;&gt;"",'Approved-In-Depth'!K105,"")</f>
        <v/>
      </c>
      <c r="L105" s="4" t="str">
        <f>IF($A105&lt;&gt;"",'Approved-In-Depth'!L105,"")</f>
        <v/>
      </c>
      <c r="M105" t="str">
        <f>IF($A105&lt;&gt;"",'Approved-In-Depth'!M105,"")</f>
        <v/>
      </c>
    </row>
    <row r="106" spans="1:13" x14ac:dyDescent="0.35">
      <c r="A106" s="4" t="str">
        <f>IF('Approved-In-Depth'!$A106&lt;&gt;"",'Approved-In-Depth'!A106,"")</f>
        <v/>
      </c>
      <c r="B106" t="str">
        <f>IF($O106&lt;&gt;"",$O106,IF($A106&lt;&gt;"",'Approved-In-Depth'!$B106+7,""))</f>
        <v/>
      </c>
      <c r="C106" t="str">
        <f>IF($A106&lt;&gt;"",'Approved-In-Depth'!C106,"")</f>
        <v/>
      </c>
      <c r="D106" t="str">
        <f>IF($A106&lt;&gt;"",'Approved-In-Depth'!D106,"")</f>
        <v/>
      </c>
      <c r="E106" t="str">
        <f>IF($A106&lt;&gt;"",'Approved-In-Depth'!E106,"")</f>
        <v/>
      </c>
      <c r="F106" t="str">
        <f>IF($A106&lt;&gt;"",'Approved-In-Depth'!F106,"")</f>
        <v/>
      </c>
      <c r="G106" t="str">
        <f>IF($A106&lt;&gt;"",'Approved-In-Depth'!G106,"")</f>
        <v/>
      </c>
      <c r="H106" s="4" t="str">
        <f>IF($A106&lt;&gt;"",'Approved-In-Depth'!H106,"")</f>
        <v/>
      </c>
      <c r="I106" t="str">
        <f>IF($A106&lt;&gt;"",'Approved-In-Depth'!I106,"")</f>
        <v/>
      </c>
      <c r="J106" t="str">
        <f>IF($A106&lt;&gt;"",'Approved-In-Depth'!J106,"")</f>
        <v/>
      </c>
      <c r="K106" t="str">
        <f>IF($A106&lt;&gt;"",'Approved-In-Depth'!K106,"")</f>
        <v/>
      </c>
      <c r="L106" s="4" t="str">
        <f>IF($A106&lt;&gt;"",'Approved-In-Depth'!L106,"")</f>
        <v/>
      </c>
      <c r="M106" t="str">
        <f>IF($A106&lt;&gt;"",'Approved-In-Depth'!M106,"")</f>
        <v/>
      </c>
    </row>
    <row r="107" spans="1:13" x14ac:dyDescent="0.35">
      <c r="A107" s="4" t="str">
        <f>IF('Approved-In-Depth'!$A107&lt;&gt;"",'Approved-In-Depth'!A107,"")</f>
        <v/>
      </c>
      <c r="B107" t="str">
        <f>IF($O107&lt;&gt;"",$O107,IF($A107&lt;&gt;"",'Approved-In-Depth'!$B107+7,""))</f>
        <v/>
      </c>
      <c r="C107" t="str">
        <f>IF($A107&lt;&gt;"",'Approved-In-Depth'!C107,"")</f>
        <v/>
      </c>
      <c r="D107" t="str">
        <f>IF($A107&lt;&gt;"",'Approved-In-Depth'!D107,"")</f>
        <v/>
      </c>
      <c r="E107" t="str">
        <f>IF($A107&lt;&gt;"",'Approved-In-Depth'!E107,"")</f>
        <v/>
      </c>
      <c r="F107" t="str">
        <f>IF($A107&lt;&gt;"",'Approved-In-Depth'!F107,"")</f>
        <v/>
      </c>
      <c r="G107" t="str">
        <f>IF($A107&lt;&gt;"",'Approved-In-Depth'!G107,"")</f>
        <v/>
      </c>
      <c r="H107" s="4" t="str">
        <f>IF($A107&lt;&gt;"",'Approved-In-Depth'!H107,"")</f>
        <v/>
      </c>
      <c r="I107" t="str">
        <f>IF($A107&lt;&gt;"",'Approved-In-Depth'!I107,"")</f>
        <v/>
      </c>
      <c r="J107" t="str">
        <f>IF($A107&lt;&gt;"",'Approved-In-Depth'!J107,"")</f>
        <v/>
      </c>
      <c r="K107" t="str">
        <f>IF($A107&lt;&gt;"",'Approved-In-Depth'!K107,"")</f>
        <v/>
      </c>
      <c r="L107" s="4" t="str">
        <f>IF($A107&lt;&gt;"",'Approved-In-Depth'!L107,"")</f>
        <v/>
      </c>
      <c r="M107" t="str">
        <f>IF($A107&lt;&gt;"",'Approved-In-Depth'!M107,"")</f>
        <v/>
      </c>
    </row>
    <row r="108" spans="1:13" x14ac:dyDescent="0.35">
      <c r="A108" s="4" t="str">
        <f>IF('Approved-In-Depth'!$A108&lt;&gt;"",'Approved-In-Depth'!A108,"")</f>
        <v/>
      </c>
      <c r="B108" t="str">
        <f>IF($O108&lt;&gt;"",$O108,IF($A108&lt;&gt;"",'Approved-In-Depth'!$B108+7,""))</f>
        <v/>
      </c>
      <c r="C108" t="str">
        <f>IF($A108&lt;&gt;"",'Approved-In-Depth'!C108,"")</f>
        <v/>
      </c>
      <c r="D108" t="str">
        <f>IF($A108&lt;&gt;"",'Approved-In-Depth'!D108,"")</f>
        <v/>
      </c>
      <c r="E108" t="str">
        <f>IF($A108&lt;&gt;"",'Approved-In-Depth'!E108,"")</f>
        <v/>
      </c>
      <c r="F108" t="str">
        <f>IF($A108&lt;&gt;"",'Approved-In-Depth'!F108,"")</f>
        <v/>
      </c>
      <c r="G108" t="str">
        <f>IF($A108&lt;&gt;"",'Approved-In-Depth'!G108,"")</f>
        <v/>
      </c>
      <c r="H108" s="4" t="str">
        <f>IF($A108&lt;&gt;"",'Approved-In-Depth'!H108,"")</f>
        <v/>
      </c>
      <c r="I108" t="str">
        <f>IF($A108&lt;&gt;"",'Approved-In-Depth'!I108,"")</f>
        <v/>
      </c>
      <c r="J108" t="str">
        <f>IF($A108&lt;&gt;"",'Approved-In-Depth'!J108,"")</f>
        <v/>
      </c>
      <c r="K108" t="str">
        <f>IF($A108&lt;&gt;"",'Approved-In-Depth'!K108,"")</f>
        <v/>
      </c>
      <c r="L108" s="4" t="str">
        <f>IF($A108&lt;&gt;"",'Approved-In-Depth'!L108,"")</f>
        <v/>
      </c>
      <c r="M108" t="str">
        <f>IF($A108&lt;&gt;"",'Approved-In-Depth'!M108,"")</f>
        <v/>
      </c>
    </row>
    <row r="109" spans="1:13" x14ac:dyDescent="0.35">
      <c r="A109" s="4" t="str">
        <f>IF('Approved-In-Depth'!$A109&lt;&gt;"",'Approved-In-Depth'!A109,"")</f>
        <v/>
      </c>
      <c r="B109" t="str">
        <f>IF($O109&lt;&gt;"",$O109,IF($A109&lt;&gt;"",'Approved-In-Depth'!$B109+7,""))</f>
        <v/>
      </c>
      <c r="C109" t="str">
        <f>IF($A109&lt;&gt;"",'Approved-In-Depth'!C109,"")</f>
        <v/>
      </c>
      <c r="D109" t="str">
        <f>IF($A109&lt;&gt;"",'Approved-In-Depth'!D109,"")</f>
        <v/>
      </c>
      <c r="E109" t="str">
        <f>IF($A109&lt;&gt;"",'Approved-In-Depth'!E109,"")</f>
        <v/>
      </c>
      <c r="F109" t="str">
        <f>IF($A109&lt;&gt;"",'Approved-In-Depth'!F109,"")</f>
        <v/>
      </c>
      <c r="G109" t="str">
        <f>IF($A109&lt;&gt;"",'Approved-In-Depth'!G109,"")</f>
        <v/>
      </c>
      <c r="H109" s="4" t="str">
        <f>IF($A109&lt;&gt;"",'Approved-In-Depth'!H109,"")</f>
        <v/>
      </c>
      <c r="I109" t="str">
        <f>IF($A109&lt;&gt;"",'Approved-In-Depth'!I109,"")</f>
        <v/>
      </c>
      <c r="J109" t="str">
        <f>IF($A109&lt;&gt;"",'Approved-In-Depth'!J109,"")</f>
        <v/>
      </c>
      <c r="K109" t="str">
        <f>IF($A109&lt;&gt;"",'Approved-In-Depth'!K109,"")</f>
        <v/>
      </c>
      <c r="L109" s="4" t="str">
        <f>IF($A109&lt;&gt;"",'Approved-In-Depth'!L109,"")</f>
        <v/>
      </c>
      <c r="M109" t="str">
        <f>IF($A109&lt;&gt;"",'Approved-In-Depth'!M109,"")</f>
        <v/>
      </c>
    </row>
    <row r="110" spans="1:13" x14ac:dyDescent="0.35">
      <c r="A110" s="4" t="str">
        <f>IF('Approved-In-Depth'!$A110&lt;&gt;"",'Approved-In-Depth'!A110,"")</f>
        <v/>
      </c>
      <c r="B110" t="str">
        <f>IF($O110&lt;&gt;"",$O110,IF($A110&lt;&gt;"",'Approved-In-Depth'!$B110+7,""))</f>
        <v/>
      </c>
      <c r="C110" t="str">
        <f>IF($A110&lt;&gt;"",'Approved-In-Depth'!C110,"")</f>
        <v/>
      </c>
      <c r="D110" t="str">
        <f>IF($A110&lt;&gt;"",'Approved-In-Depth'!D110,"")</f>
        <v/>
      </c>
      <c r="E110" t="str">
        <f>IF($A110&lt;&gt;"",'Approved-In-Depth'!E110,"")</f>
        <v/>
      </c>
      <c r="F110" t="str">
        <f>IF($A110&lt;&gt;"",'Approved-In-Depth'!F110,"")</f>
        <v/>
      </c>
      <c r="G110" t="str">
        <f>IF($A110&lt;&gt;"",'Approved-In-Depth'!G110,"")</f>
        <v/>
      </c>
      <c r="H110" s="4" t="str">
        <f>IF($A110&lt;&gt;"",'Approved-In-Depth'!H110,"")</f>
        <v/>
      </c>
      <c r="I110" t="str">
        <f>IF($A110&lt;&gt;"",'Approved-In-Depth'!I110,"")</f>
        <v/>
      </c>
      <c r="J110" t="str">
        <f>IF($A110&lt;&gt;"",'Approved-In-Depth'!J110,"")</f>
        <v/>
      </c>
      <c r="K110" t="str">
        <f>IF($A110&lt;&gt;"",'Approved-In-Depth'!K110,"")</f>
        <v/>
      </c>
      <c r="L110" s="4" t="str">
        <f>IF($A110&lt;&gt;"",'Approved-In-Depth'!L110,"")</f>
        <v/>
      </c>
      <c r="M110" t="str">
        <f>IF($A110&lt;&gt;"",'Approved-In-Depth'!M110,"")</f>
        <v/>
      </c>
    </row>
    <row r="111" spans="1:13" x14ac:dyDescent="0.35">
      <c r="A111" s="4" t="str">
        <f>IF('Approved-In-Depth'!$A111&lt;&gt;"",'Approved-In-Depth'!A111,"")</f>
        <v/>
      </c>
      <c r="B111" t="str">
        <f>IF($O111&lt;&gt;"",$O111,IF($A111&lt;&gt;"",'Approved-In-Depth'!$B111+7,""))</f>
        <v/>
      </c>
      <c r="C111" t="str">
        <f>IF($A111&lt;&gt;"",'Approved-In-Depth'!C111,"")</f>
        <v/>
      </c>
      <c r="D111" t="str">
        <f>IF($A111&lt;&gt;"",'Approved-In-Depth'!D111,"")</f>
        <v/>
      </c>
      <c r="E111" t="str">
        <f>IF($A111&lt;&gt;"",'Approved-In-Depth'!E111,"")</f>
        <v/>
      </c>
      <c r="F111" t="str">
        <f>IF($A111&lt;&gt;"",'Approved-In-Depth'!F111,"")</f>
        <v/>
      </c>
      <c r="G111" t="str">
        <f>IF($A111&lt;&gt;"",'Approved-In-Depth'!G111,"")</f>
        <v/>
      </c>
      <c r="H111" s="4" t="str">
        <f>IF($A111&lt;&gt;"",'Approved-In-Depth'!H111,"")</f>
        <v/>
      </c>
      <c r="I111" t="str">
        <f>IF($A111&lt;&gt;"",'Approved-In-Depth'!I111,"")</f>
        <v/>
      </c>
      <c r="J111" t="str">
        <f>IF($A111&lt;&gt;"",'Approved-In-Depth'!J111,"")</f>
        <v/>
      </c>
      <c r="K111" t="str">
        <f>IF($A111&lt;&gt;"",'Approved-In-Depth'!K111,"")</f>
        <v/>
      </c>
      <c r="L111" s="4" t="str">
        <f>IF($A111&lt;&gt;"",'Approved-In-Depth'!L111,"")</f>
        <v/>
      </c>
      <c r="M111" t="str">
        <f>IF($A111&lt;&gt;"",'Approved-In-Depth'!M111,"")</f>
        <v/>
      </c>
    </row>
    <row r="112" spans="1:13" x14ac:dyDescent="0.35">
      <c r="A112" s="4" t="str">
        <f>IF('Approved-In-Depth'!$A112&lt;&gt;"",'Approved-In-Depth'!A112,"")</f>
        <v/>
      </c>
      <c r="B112" t="str">
        <f>IF($O112&lt;&gt;"",$O112,IF($A112&lt;&gt;"",'Approved-In-Depth'!$B112+7,""))</f>
        <v/>
      </c>
      <c r="C112" t="str">
        <f>IF($A112&lt;&gt;"",'Approved-In-Depth'!C112,"")</f>
        <v/>
      </c>
      <c r="D112" t="str">
        <f>IF($A112&lt;&gt;"",'Approved-In-Depth'!D112,"")</f>
        <v/>
      </c>
      <c r="E112" t="str">
        <f>IF($A112&lt;&gt;"",'Approved-In-Depth'!E112,"")</f>
        <v/>
      </c>
      <c r="F112" t="str">
        <f>IF($A112&lt;&gt;"",'Approved-In-Depth'!F112,"")</f>
        <v/>
      </c>
      <c r="G112" t="str">
        <f>IF($A112&lt;&gt;"",'Approved-In-Depth'!G112,"")</f>
        <v/>
      </c>
      <c r="H112" s="4" t="str">
        <f>IF($A112&lt;&gt;"",'Approved-In-Depth'!H112,"")</f>
        <v/>
      </c>
      <c r="I112" t="str">
        <f>IF($A112&lt;&gt;"",'Approved-In-Depth'!I112,"")</f>
        <v/>
      </c>
      <c r="J112" t="str">
        <f>IF($A112&lt;&gt;"",'Approved-In-Depth'!J112,"")</f>
        <v/>
      </c>
      <c r="K112" t="str">
        <f>IF($A112&lt;&gt;"",'Approved-In-Depth'!K112,"")</f>
        <v/>
      </c>
      <c r="L112" s="4" t="str">
        <f>IF($A112&lt;&gt;"",'Approved-In-Depth'!L112,"")</f>
        <v/>
      </c>
      <c r="M112" t="str">
        <f>IF($A112&lt;&gt;"",'Approved-In-Depth'!M112,"")</f>
        <v/>
      </c>
    </row>
    <row r="113" spans="1:13" x14ac:dyDescent="0.35">
      <c r="A113" s="4" t="str">
        <f>IF('Approved-In-Depth'!$A113&lt;&gt;"",'Approved-In-Depth'!A113,"")</f>
        <v/>
      </c>
      <c r="B113" t="str">
        <f>IF($O113&lt;&gt;"",$O113,IF($A113&lt;&gt;"",'Approved-In-Depth'!$B113+7,""))</f>
        <v/>
      </c>
      <c r="C113" t="str">
        <f>IF($A113&lt;&gt;"",'Approved-In-Depth'!C113,"")</f>
        <v/>
      </c>
      <c r="D113" t="str">
        <f>IF($A113&lt;&gt;"",'Approved-In-Depth'!D113,"")</f>
        <v/>
      </c>
      <c r="E113" t="str">
        <f>IF($A113&lt;&gt;"",'Approved-In-Depth'!E113,"")</f>
        <v/>
      </c>
      <c r="F113" t="str">
        <f>IF($A113&lt;&gt;"",'Approved-In-Depth'!F113,"")</f>
        <v/>
      </c>
      <c r="G113" t="str">
        <f>IF($A113&lt;&gt;"",'Approved-In-Depth'!G113,"")</f>
        <v/>
      </c>
      <c r="H113" s="4" t="str">
        <f>IF($A113&lt;&gt;"",'Approved-In-Depth'!H113,"")</f>
        <v/>
      </c>
      <c r="I113" t="str">
        <f>IF($A113&lt;&gt;"",'Approved-In-Depth'!I113,"")</f>
        <v/>
      </c>
      <c r="J113" t="str">
        <f>IF($A113&lt;&gt;"",'Approved-In-Depth'!J113,"")</f>
        <v/>
      </c>
      <c r="K113" t="str">
        <f>IF($A113&lt;&gt;"",'Approved-In-Depth'!K113,"")</f>
        <v/>
      </c>
      <c r="L113" s="4" t="str">
        <f>IF($A113&lt;&gt;"",'Approved-In-Depth'!L113,"")</f>
        <v/>
      </c>
      <c r="M113" t="str">
        <f>IF($A113&lt;&gt;"",'Approved-In-Depth'!M113,"")</f>
        <v/>
      </c>
    </row>
    <row r="114" spans="1:13" x14ac:dyDescent="0.35">
      <c r="A114" s="4" t="str">
        <f>IF('Approved-In-Depth'!$A114&lt;&gt;"",'Approved-In-Depth'!A114,"")</f>
        <v/>
      </c>
      <c r="B114" t="str">
        <f>IF($O114&lt;&gt;"",$O114,IF($A114&lt;&gt;"",'Approved-In-Depth'!$B114+7,""))</f>
        <v/>
      </c>
      <c r="C114" t="str">
        <f>IF($A114&lt;&gt;"",'Approved-In-Depth'!C114,"")</f>
        <v/>
      </c>
      <c r="D114" t="str">
        <f>IF($A114&lt;&gt;"",'Approved-In-Depth'!D114,"")</f>
        <v/>
      </c>
      <c r="E114" t="str">
        <f>IF($A114&lt;&gt;"",'Approved-In-Depth'!E114,"")</f>
        <v/>
      </c>
      <c r="F114" t="str">
        <f>IF($A114&lt;&gt;"",'Approved-In-Depth'!F114,"")</f>
        <v/>
      </c>
      <c r="G114" t="str">
        <f>IF($A114&lt;&gt;"",'Approved-In-Depth'!G114,"")</f>
        <v/>
      </c>
      <c r="H114" s="4" t="str">
        <f>IF($A114&lt;&gt;"",'Approved-In-Depth'!H114,"")</f>
        <v/>
      </c>
      <c r="I114" t="str">
        <f>IF($A114&lt;&gt;"",'Approved-In-Depth'!I114,"")</f>
        <v/>
      </c>
      <c r="J114" t="str">
        <f>IF($A114&lt;&gt;"",'Approved-In-Depth'!J114,"")</f>
        <v/>
      </c>
      <c r="K114" t="str">
        <f>IF($A114&lt;&gt;"",'Approved-In-Depth'!K114,"")</f>
        <v/>
      </c>
      <c r="L114" s="4" t="str">
        <f>IF($A114&lt;&gt;"",'Approved-In-Depth'!L114,"")</f>
        <v/>
      </c>
      <c r="M114" t="str">
        <f>IF($A114&lt;&gt;"",'Approved-In-Depth'!M114,"")</f>
        <v/>
      </c>
    </row>
    <row r="115" spans="1:13" x14ac:dyDescent="0.35">
      <c r="A115" s="4" t="str">
        <f>IF('Approved-In-Depth'!$A115&lt;&gt;"",'Approved-In-Depth'!A115,"")</f>
        <v/>
      </c>
      <c r="B115" t="str">
        <f>IF($O115&lt;&gt;"",$O115,IF($A115&lt;&gt;"",'Approved-In-Depth'!$B115+7,""))</f>
        <v/>
      </c>
      <c r="C115" t="str">
        <f>IF($A115&lt;&gt;"",'Approved-In-Depth'!C115,"")</f>
        <v/>
      </c>
      <c r="D115" t="str">
        <f>IF($A115&lt;&gt;"",'Approved-In-Depth'!D115,"")</f>
        <v/>
      </c>
      <c r="E115" t="str">
        <f>IF($A115&lt;&gt;"",'Approved-In-Depth'!E115,"")</f>
        <v/>
      </c>
      <c r="F115" t="str">
        <f>IF($A115&lt;&gt;"",'Approved-In-Depth'!F115,"")</f>
        <v/>
      </c>
      <c r="G115" t="str">
        <f>IF($A115&lt;&gt;"",'Approved-In-Depth'!G115,"")</f>
        <v/>
      </c>
      <c r="H115" s="4" t="str">
        <f>IF($A115&lt;&gt;"",'Approved-In-Depth'!H115,"")</f>
        <v/>
      </c>
      <c r="I115" t="str">
        <f>IF($A115&lt;&gt;"",'Approved-In-Depth'!I115,"")</f>
        <v/>
      </c>
      <c r="J115" t="str">
        <f>IF($A115&lt;&gt;"",'Approved-In-Depth'!J115,"")</f>
        <v/>
      </c>
      <c r="K115" t="str">
        <f>IF($A115&lt;&gt;"",'Approved-In-Depth'!K115,"")</f>
        <v/>
      </c>
      <c r="L115" s="4" t="str">
        <f>IF($A115&lt;&gt;"",'Approved-In-Depth'!L115,"")</f>
        <v/>
      </c>
      <c r="M115" t="str">
        <f>IF($A115&lt;&gt;"",'Approved-In-Depth'!M115,"")</f>
        <v/>
      </c>
    </row>
    <row r="116" spans="1:13" x14ac:dyDescent="0.35">
      <c r="A116" s="4" t="str">
        <f>IF('Approved-In-Depth'!$A116&lt;&gt;"",'Approved-In-Depth'!A116,"")</f>
        <v/>
      </c>
      <c r="B116" t="str">
        <f>IF($O116&lt;&gt;"",$O116,IF($A116&lt;&gt;"",'Approved-In-Depth'!$B116+7,""))</f>
        <v/>
      </c>
      <c r="C116" t="str">
        <f>IF($A116&lt;&gt;"",'Approved-In-Depth'!C116,"")</f>
        <v/>
      </c>
      <c r="D116" t="str">
        <f>IF($A116&lt;&gt;"",'Approved-In-Depth'!D116,"")</f>
        <v/>
      </c>
      <c r="E116" t="str">
        <f>IF($A116&lt;&gt;"",'Approved-In-Depth'!E116,"")</f>
        <v/>
      </c>
      <c r="F116" t="str">
        <f>IF($A116&lt;&gt;"",'Approved-In-Depth'!F116,"")</f>
        <v/>
      </c>
      <c r="G116" t="str">
        <f>IF($A116&lt;&gt;"",'Approved-In-Depth'!G116,"")</f>
        <v/>
      </c>
      <c r="H116" s="4" t="str">
        <f>IF($A116&lt;&gt;"",'Approved-In-Depth'!H116,"")</f>
        <v/>
      </c>
      <c r="I116" t="str">
        <f>IF($A116&lt;&gt;"",'Approved-In-Depth'!I116,"")</f>
        <v/>
      </c>
      <c r="J116" t="str">
        <f>IF($A116&lt;&gt;"",'Approved-In-Depth'!J116,"")</f>
        <v/>
      </c>
      <c r="K116" t="str">
        <f>IF($A116&lt;&gt;"",'Approved-In-Depth'!K116,"")</f>
        <v/>
      </c>
      <c r="L116" s="4" t="str">
        <f>IF($A116&lt;&gt;"",'Approved-In-Depth'!L116,"")</f>
        <v/>
      </c>
      <c r="M116" t="str">
        <f>IF($A116&lt;&gt;"",'Approved-In-Depth'!M116,"")</f>
        <v/>
      </c>
    </row>
    <row r="117" spans="1:13" x14ac:dyDescent="0.35">
      <c r="A117" s="4" t="str">
        <f>IF('Approved-In-Depth'!$A117&lt;&gt;"",'Approved-In-Depth'!A117,"")</f>
        <v/>
      </c>
      <c r="B117" t="str">
        <f>IF($O117&lt;&gt;"",$O117,IF($A117&lt;&gt;"",'Approved-In-Depth'!$B117+7,""))</f>
        <v/>
      </c>
      <c r="C117" t="str">
        <f>IF($A117&lt;&gt;"",'Approved-In-Depth'!C117,"")</f>
        <v/>
      </c>
      <c r="D117" t="str">
        <f>IF($A117&lt;&gt;"",'Approved-In-Depth'!D117,"")</f>
        <v/>
      </c>
      <c r="E117" t="str">
        <f>IF($A117&lt;&gt;"",'Approved-In-Depth'!E117,"")</f>
        <v/>
      </c>
      <c r="F117" t="str">
        <f>IF($A117&lt;&gt;"",'Approved-In-Depth'!F117,"")</f>
        <v/>
      </c>
      <c r="G117" t="str">
        <f>IF($A117&lt;&gt;"",'Approved-In-Depth'!G117,"")</f>
        <v/>
      </c>
      <c r="H117" s="4" t="str">
        <f>IF($A117&lt;&gt;"",'Approved-In-Depth'!H117,"")</f>
        <v/>
      </c>
      <c r="I117" t="str">
        <f>IF($A117&lt;&gt;"",'Approved-In-Depth'!I117,"")</f>
        <v/>
      </c>
      <c r="J117" t="str">
        <f>IF($A117&lt;&gt;"",'Approved-In-Depth'!J117,"")</f>
        <v/>
      </c>
      <c r="K117" t="str">
        <f>IF($A117&lt;&gt;"",'Approved-In-Depth'!K117,"")</f>
        <v/>
      </c>
      <c r="L117" s="4" t="str">
        <f>IF($A117&lt;&gt;"",'Approved-In-Depth'!L117,"")</f>
        <v/>
      </c>
      <c r="M117" t="str">
        <f>IF($A117&lt;&gt;"",'Approved-In-Depth'!M117,"")</f>
        <v/>
      </c>
    </row>
    <row r="118" spans="1:13" x14ac:dyDescent="0.35">
      <c r="A118" s="4" t="str">
        <f>IF('Approved-In-Depth'!$A118&lt;&gt;"",'Approved-In-Depth'!A118,"")</f>
        <v/>
      </c>
      <c r="B118" t="str">
        <f>IF($O118&lt;&gt;"",$O118,IF($A118&lt;&gt;"",'Approved-In-Depth'!$B118+7,""))</f>
        <v/>
      </c>
      <c r="C118" t="str">
        <f>IF($A118&lt;&gt;"",'Approved-In-Depth'!C118,"")</f>
        <v/>
      </c>
      <c r="D118" t="str">
        <f>IF($A118&lt;&gt;"",'Approved-In-Depth'!D118,"")</f>
        <v/>
      </c>
      <c r="E118" t="str">
        <f>IF($A118&lt;&gt;"",'Approved-In-Depth'!E118,"")</f>
        <v/>
      </c>
      <c r="F118" t="str">
        <f>IF($A118&lt;&gt;"",'Approved-In-Depth'!F118,"")</f>
        <v/>
      </c>
      <c r="G118" t="str">
        <f>IF($A118&lt;&gt;"",'Approved-In-Depth'!G118,"")</f>
        <v/>
      </c>
      <c r="H118" s="4" t="str">
        <f>IF($A118&lt;&gt;"",'Approved-In-Depth'!H118,"")</f>
        <v/>
      </c>
      <c r="I118" t="str">
        <f>IF($A118&lt;&gt;"",'Approved-In-Depth'!I118,"")</f>
        <v/>
      </c>
      <c r="J118" t="str">
        <f>IF($A118&lt;&gt;"",'Approved-In-Depth'!J118,"")</f>
        <v/>
      </c>
      <c r="K118" t="str">
        <f>IF($A118&lt;&gt;"",'Approved-In-Depth'!K118,"")</f>
        <v/>
      </c>
      <c r="L118" s="4" t="str">
        <f>IF($A118&lt;&gt;"",'Approved-In-Depth'!L118,"")</f>
        <v/>
      </c>
      <c r="M118" t="str">
        <f>IF($A118&lt;&gt;"",'Approved-In-Depth'!M118,"")</f>
        <v/>
      </c>
    </row>
    <row r="119" spans="1:13" x14ac:dyDescent="0.35">
      <c r="A119" s="4" t="str">
        <f>IF('Approved-In-Depth'!$A119&lt;&gt;"",'Approved-In-Depth'!A119,"")</f>
        <v/>
      </c>
      <c r="B119" t="str">
        <f>IF($O119&lt;&gt;"",$O119,IF($A119&lt;&gt;"",'Approved-In-Depth'!$B119+7,""))</f>
        <v/>
      </c>
      <c r="C119" t="str">
        <f>IF($A119&lt;&gt;"",'Approved-In-Depth'!C119,"")</f>
        <v/>
      </c>
      <c r="D119" t="str">
        <f>IF($A119&lt;&gt;"",'Approved-In-Depth'!D119,"")</f>
        <v/>
      </c>
      <c r="E119" t="str">
        <f>IF($A119&lt;&gt;"",'Approved-In-Depth'!E119,"")</f>
        <v/>
      </c>
      <c r="F119" t="str">
        <f>IF($A119&lt;&gt;"",'Approved-In-Depth'!F119,"")</f>
        <v/>
      </c>
      <c r="G119" t="str">
        <f>IF($A119&lt;&gt;"",'Approved-In-Depth'!G119,"")</f>
        <v/>
      </c>
      <c r="H119" s="4" t="str">
        <f>IF($A119&lt;&gt;"",'Approved-In-Depth'!H119,"")</f>
        <v/>
      </c>
      <c r="I119" t="str">
        <f>IF($A119&lt;&gt;"",'Approved-In-Depth'!I119,"")</f>
        <v/>
      </c>
      <c r="J119" t="str">
        <f>IF($A119&lt;&gt;"",'Approved-In-Depth'!J119,"")</f>
        <v/>
      </c>
      <c r="K119" t="str">
        <f>IF($A119&lt;&gt;"",'Approved-In-Depth'!K119,"")</f>
        <v/>
      </c>
      <c r="L119" s="4" t="str">
        <f>IF($A119&lt;&gt;"",'Approved-In-Depth'!L119,"")</f>
        <v/>
      </c>
      <c r="M119" t="str">
        <f>IF($A119&lt;&gt;"",'Approved-In-Depth'!M119,"")</f>
        <v/>
      </c>
    </row>
    <row r="120" spans="1:13" x14ac:dyDescent="0.35">
      <c r="A120" s="4" t="str">
        <f>IF('Approved-In-Depth'!$A120&lt;&gt;"",'Approved-In-Depth'!A120,"")</f>
        <v/>
      </c>
      <c r="B120" t="str">
        <f>IF($O120&lt;&gt;"",$O120,IF($A120&lt;&gt;"",'Approved-In-Depth'!$B120+7,""))</f>
        <v/>
      </c>
      <c r="C120" t="str">
        <f>IF($A120&lt;&gt;"",'Approved-In-Depth'!C120,"")</f>
        <v/>
      </c>
      <c r="D120" t="str">
        <f>IF($A120&lt;&gt;"",'Approved-In-Depth'!D120,"")</f>
        <v/>
      </c>
      <c r="E120" t="str">
        <f>IF($A120&lt;&gt;"",'Approved-In-Depth'!E120,"")</f>
        <v/>
      </c>
      <c r="F120" t="str">
        <f>IF($A120&lt;&gt;"",'Approved-In-Depth'!F120,"")</f>
        <v/>
      </c>
      <c r="G120" t="str">
        <f>IF($A120&lt;&gt;"",'Approved-In-Depth'!G120,"")</f>
        <v/>
      </c>
      <c r="H120" s="4" t="str">
        <f>IF($A120&lt;&gt;"",'Approved-In-Depth'!H120,"")</f>
        <v/>
      </c>
      <c r="I120" t="str">
        <f>IF($A120&lt;&gt;"",'Approved-In-Depth'!I120,"")</f>
        <v/>
      </c>
      <c r="J120" t="str">
        <f>IF($A120&lt;&gt;"",'Approved-In-Depth'!J120,"")</f>
        <v/>
      </c>
      <c r="K120" t="str">
        <f>IF($A120&lt;&gt;"",'Approved-In-Depth'!K120,"")</f>
        <v/>
      </c>
      <c r="L120" s="4" t="str">
        <f>IF($A120&lt;&gt;"",'Approved-In-Depth'!L120,"")</f>
        <v/>
      </c>
      <c r="M120" t="str">
        <f>IF($A120&lt;&gt;"",'Approved-In-Depth'!M120,"")</f>
        <v/>
      </c>
    </row>
    <row r="121" spans="1:13" x14ac:dyDescent="0.35">
      <c r="A121" s="4" t="str">
        <f>IF('Approved-In-Depth'!$A121&lt;&gt;"",'Approved-In-Depth'!A121,"")</f>
        <v/>
      </c>
      <c r="B121" t="str">
        <f>IF($O121&lt;&gt;"",$O121,IF($A121&lt;&gt;"",'Approved-In-Depth'!$B121+7,""))</f>
        <v/>
      </c>
      <c r="C121" t="str">
        <f>IF($A121&lt;&gt;"",'Approved-In-Depth'!C121,"")</f>
        <v/>
      </c>
      <c r="D121" t="str">
        <f>IF($A121&lt;&gt;"",'Approved-In-Depth'!D121,"")</f>
        <v/>
      </c>
      <c r="E121" t="str">
        <f>IF($A121&lt;&gt;"",'Approved-In-Depth'!E121,"")</f>
        <v/>
      </c>
      <c r="F121" t="str">
        <f>IF($A121&lt;&gt;"",'Approved-In-Depth'!F121,"")</f>
        <v/>
      </c>
      <c r="G121" t="str">
        <f>IF($A121&lt;&gt;"",'Approved-In-Depth'!G121,"")</f>
        <v/>
      </c>
      <c r="H121" s="4" t="str">
        <f>IF($A121&lt;&gt;"",'Approved-In-Depth'!H121,"")</f>
        <v/>
      </c>
      <c r="I121" t="str">
        <f>IF($A121&lt;&gt;"",'Approved-In-Depth'!I121,"")</f>
        <v/>
      </c>
      <c r="J121" t="str">
        <f>IF($A121&lt;&gt;"",'Approved-In-Depth'!J121,"")</f>
        <v/>
      </c>
      <c r="K121" t="str">
        <f>IF($A121&lt;&gt;"",'Approved-In-Depth'!K121,"")</f>
        <v/>
      </c>
      <c r="L121" s="4" t="str">
        <f>IF($A121&lt;&gt;"",'Approved-In-Depth'!L121,"")</f>
        <v/>
      </c>
      <c r="M121" t="str">
        <f>IF($A121&lt;&gt;"",'Approved-In-Depth'!M121,"")</f>
        <v/>
      </c>
    </row>
    <row r="122" spans="1:13" x14ac:dyDescent="0.35">
      <c r="A122" s="4" t="str">
        <f>IF('Approved-In-Depth'!$A122&lt;&gt;"",'Approved-In-Depth'!A122,"")</f>
        <v/>
      </c>
      <c r="B122" t="str">
        <f>IF($O122&lt;&gt;"",$O122,IF($A122&lt;&gt;"",'Approved-In-Depth'!$B122+7,""))</f>
        <v/>
      </c>
      <c r="C122" t="str">
        <f>IF($A122&lt;&gt;"",'Approved-In-Depth'!C122,"")</f>
        <v/>
      </c>
      <c r="D122" t="str">
        <f>IF($A122&lt;&gt;"",'Approved-In-Depth'!D122,"")</f>
        <v/>
      </c>
      <c r="E122" t="str">
        <f>IF($A122&lt;&gt;"",'Approved-In-Depth'!E122,"")</f>
        <v/>
      </c>
      <c r="F122" t="str">
        <f>IF($A122&lt;&gt;"",'Approved-In-Depth'!F122,"")</f>
        <v/>
      </c>
      <c r="G122" t="str">
        <f>IF($A122&lt;&gt;"",'Approved-In-Depth'!G122,"")</f>
        <v/>
      </c>
      <c r="H122" s="4" t="str">
        <f>IF($A122&lt;&gt;"",'Approved-In-Depth'!H122,"")</f>
        <v/>
      </c>
      <c r="I122" t="str">
        <f>IF($A122&lt;&gt;"",'Approved-In-Depth'!I122,"")</f>
        <v/>
      </c>
      <c r="J122" t="str">
        <f>IF($A122&lt;&gt;"",'Approved-In-Depth'!J122,"")</f>
        <v/>
      </c>
      <c r="K122" t="str">
        <f>IF($A122&lt;&gt;"",'Approved-In-Depth'!K122,"")</f>
        <v/>
      </c>
      <c r="L122" s="4" t="str">
        <f>IF($A122&lt;&gt;"",'Approved-In-Depth'!L122,"")</f>
        <v/>
      </c>
      <c r="M122" t="str">
        <f>IF($A122&lt;&gt;"",'Approved-In-Depth'!M122,"")</f>
        <v/>
      </c>
    </row>
    <row r="123" spans="1:13" x14ac:dyDescent="0.35">
      <c r="A123" s="4" t="str">
        <f>IF('Approved-In-Depth'!$A123&lt;&gt;"",'Approved-In-Depth'!A123,"")</f>
        <v/>
      </c>
      <c r="B123" t="str">
        <f>IF($O123&lt;&gt;"",$O123,IF($A123&lt;&gt;"",'Approved-In-Depth'!$B123+7,""))</f>
        <v/>
      </c>
      <c r="C123" t="str">
        <f>IF($A123&lt;&gt;"",'Approved-In-Depth'!C123,"")</f>
        <v/>
      </c>
      <c r="D123" t="str">
        <f>IF($A123&lt;&gt;"",'Approved-In-Depth'!D123,"")</f>
        <v/>
      </c>
      <c r="E123" t="str">
        <f>IF($A123&lt;&gt;"",'Approved-In-Depth'!E123,"")</f>
        <v/>
      </c>
      <c r="F123" t="str">
        <f>IF($A123&lt;&gt;"",'Approved-In-Depth'!F123,"")</f>
        <v/>
      </c>
      <c r="G123" t="str">
        <f>IF($A123&lt;&gt;"",'Approved-In-Depth'!G123,"")</f>
        <v/>
      </c>
      <c r="H123" s="4" t="str">
        <f>IF($A123&lt;&gt;"",'Approved-In-Depth'!H123,"")</f>
        <v/>
      </c>
      <c r="I123" t="str">
        <f>IF($A123&lt;&gt;"",'Approved-In-Depth'!I123,"")</f>
        <v/>
      </c>
      <c r="J123" t="str">
        <f>IF($A123&lt;&gt;"",'Approved-In-Depth'!J123,"")</f>
        <v/>
      </c>
      <c r="K123" t="str">
        <f>IF($A123&lt;&gt;"",'Approved-In-Depth'!K123,"")</f>
        <v/>
      </c>
      <c r="L123" s="4" t="str">
        <f>IF($A123&lt;&gt;"",'Approved-In-Depth'!L123,"")</f>
        <v/>
      </c>
      <c r="M123" t="str">
        <f>IF($A123&lt;&gt;"",'Approved-In-Depth'!M123,"")</f>
        <v/>
      </c>
    </row>
    <row r="124" spans="1:13" x14ac:dyDescent="0.35">
      <c r="A124" s="4" t="str">
        <f>IF('Approved-In-Depth'!$A124&lt;&gt;"",'Approved-In-Depth'!A124,"")</f>
        <v/>
      </c>
      <c r="B124" t="str">
        <f>IF($O124&lt;&gt;"",$O124,IF($A124&lt;&gt;"",'Approved-In-Depth'!$B124+7,""))</f>
        <v/>
      </c>
      <c r="C124" t="str">
        <f>IF($A124&lt;&gt;"",'Approved-In-Depth'!C124,"")</f>
        <v/>
      </c>
      <c r="D124" t="str">
        <f>IF($A124&lt;&gt;"",'Approved-In-Depth'!D124,"")</f>
        <v/>
      </c>
      <c r="E124" t="str">
        <f>IF($A124&lt;&gt;"",'Approved-In-Depth'!E124,"")</f>
        <v/>
      </c>
      <c r="F124" t="str">
        <f>IF($A124&lt;&gt;"",'Approved-In-Depth'!F124,"")</f>
        <v/>
      </c>
      <c r="G124" t="str">
        <f>IF($A124&lt;&gt;"",'Approved-In-Depth'!G124,"")</f>
        <v/>
      </c>
      <c r="H124" s="4" t="str">
        <f>IF($A124&lt;&gt;"",'Approved-In-Depth'!H124,"")</f>
        <v/>
      </c>
      <c r="I124" t="str">
        <f>IF($A124&lt;&gt;"",'Approved-In-Depth'!I124,"")</f>
        <v/>
      </c>
      <c r="J124" t="str">
        <f>IF($A124&lt;&gt;"",'Approved-In-Depth'!J124,"")</f>
        <v/>
      </c>
      <c r="K124" t="str">
        <f>IF($A124&lt;&gt;"",'Approved-In-Depth'!K124,"")</f>
        <v/>
      </c>
      <c r="L124" s="4" t="str">
        <f>IF($A124&lt;&gt;"",'Approved-In-Depth'!L124,"")</f>
        <v/>
      </c>
      <c r="M124" t="str">
        <f>IF($A124&lt;&gt;"",'Approved-In-Depth'!M124,"")</f>
        <v/>
      </c>
    </row>
    <row r="125" spans="1:13" x14ac:dyDescent="0.35">
      <c r="A125" s="4" t="str">
        <f>IF('Approved-In-Depth'!$A125&lt;&gt;"",'Approved-In-Depth'!A125,"")</f>
        <v/>
      </c>
      <c r="B125" t="str">
        <f>IF($O125&lt;&gt;"",$O125,IF($A125&lt;&gt;"",'Approved-In-Depth'!$B125+7,""))</f>
        <v/>
      </c>
      <c r="C125" t="str">
        <f>IF($A125&lt;&gt;"",'Approved-In-Depth'!C125,"")</f>
        <v/>
      </c>
      <c r="D125" t="str">
        <f>IF($A125&lt;&gt;"",'Approved-In-Depth'!D125,"")</f>
        <v/>
      </c>
      <c r="E125" t="str">
        <f>IF($A125&lt;&gt;"",'Approved-In-Depth'!E125,"")</f>
        <v/>
      </c>
      <c r="F125" t="str">
        <f>IF($A125&lt;&gt;"",'Approved-In-Depth'!F125,"")</f>
        <v/>
      </c>
      <c r="G125" t="str">
        <f>IF($A125&lt;&gt;"",'Approved-In-Depth'!G125,"")</f>
        <v/>
      </c>
      <c r="H125" s="4" t="str">
        <f>IF($A125&lt;&gt;"",'Approved-In-Depth'!H125,"")</f>
        <v/>
      </c>
      <c r="I125" t="str">
        <f>IF($A125&lt;&gt;"",'Approved-In-Depth'!I125,"")</f>
        <v/>
      </c>
      <c r="J125" t="str">
        <f>IF($A125&lt;&gt;"",'Approved-In-Depth'!J125,"")</f>
        <v/>
      </c>
      <c r="K125" t="str">
        <f>IF($A125&lt;&gt;"",'Approved-In-Depth'!K125,"")</f>
        <v/>
      </c>
      <c r="L125" s="4" t="str">
        <f>IF($A125&lt;&gt;"",'Approved-In-Depth'!L125,"")</f>
        <v/>
      </c>
      <c r="M125" t="str">
        <f>IF($A125&lt;&gt;"",'Approved-In-Depth'!M125,"")</f>
        <v/>
      </c>
    </row>
    <row r="126" spans="1:13" x14ac:dyDescent="0.35">
      <c r="A126" s="4" t="str">
        <f>IF('Approved-In-Depth'!$A126&lt;&gt;"",'Approved-In-Depth'!A126,"")</f>
        <v/>
      </c>
      <c r="B126" t="str">
        <f>IF($O126&lt;&gt;"",$O126,IF($A126&lt;&gt;"",'Approved-In-Depth'!$B126+7,""))</f>
        <v/>
      </c>
      <c r="C126" t="str">
        <f>IF($A126&lt;&gt;"",'Approved-In-Depth'!C126,"")</f>
        <v/>
      </c>
      <c r="D126" t="str">
        <f>IF($A126&lt;&gt;"",'Approved-In-Depth'!D126,"")</f>
        <v/>
      </c>
      <c r="E126" t="str">
        <f>IF($A126&lt;&gt;"",'Approved-In-Depth'!E126,"")</f>
        <v/>
      </c>
      <c r="F126" t="str">
        <f>IF($A126&lt;&gt;"",'Approved-In-Depth'!F126,"")</f>
        <v/>
      </c>
      <c r="G126" t="str">
        <f>IF($A126&lt;&gt;"",'Approved-In-Depth'!G126,"")</f>
        <v/>
      </c>
      <c r="H126" s="4" t="str">
        <f>IF($A126&lt;&gt;"",'Approved-In-Depth'!H126,"")</f>
        <v/>
      </c>
      <c r="I126" t="str">
        <f>IF($A126&lt;&gt;"",'Approved-In-Depth'!I126,"")</f>
        <v/>
      </c>
      <c r="J126" t="str">
        <f>IF($A126&lt;&gt;"",'Approved-In-Depth'!J126,"")</f>
        <v/>
      </c>
      <c r="K126" t="str">
        <f>IF($A126&lt;&gt;"",'Approved-In-Depth'!K126,"")</f>
        <v/>
      </c>
      <c r="L126" s="4" t="str">
        <f>IF($A126&lt;&gt;"",'Approved-In-Depth'!L126,"")</f>
        <v/>
      </c>
      <c r="M126" t="str">
        <f>IF($A126&lt;&gt;"",'Approved-In-Depth'!M126,"")</f>
        <v/>
      </c>
    </row>
    <row r="127" spans="1:13" x14ac:dyDescent="0.35">
      <c r="A127" s="4" t="str">
        <f>IF('Approved-In-Depth'!$A127&lt;&gt;"",'Approved-In-Depth'!A127,"")</f>
        <v/>
      </c>
      <c r="B127" t="str">
        <f>IF($O127&lt;&gt;"",$O127,IF($A127&lt;&gt;"",'Approved-In-Depth'!$B127+7,""))</f>
        <v/>
      </c>
      <c r="C127" t="str">
        <f>IF($A127&lt;&gt;"",'Approved-In-Depth'!C127,"")</f>
        <v/>
      </c>
      <c r="D127" t="str">
        <f>IF($A127&lt;&gt;"",'Approved-In-Depth'!D127,"")</f>
        <v/>
      </c>
      <c r="E127" t="str">
        <f>IF($A127&lt;&gt;"",'Approved-In-Depth'!E127,"")</f>
        <v/>
      </c>
      <c r="F127" t="str">
        <f>IF($A127&lt;&gt;"",'Approved-In-Depth'!F127,"")</f>
        <v/>
      </c>
      <c r="G127" t="str">
        <f>IF($A127&lt;&gt;"",'Approved-In-Depth'!G127,"")</f>
        <v/>
      </c>
      <c r="H127" s="4" t="str">
        <f>IF($A127&lt;&gt;"",'Approved-In-Depth'!H127,"")</f>
        <v/>
      </c>
      <c r="I127" t="str">
        <f>IF($A127&lt;&gt;"",'Approved-In-Depth'!I127,"")</f>
        <v/>
      </c>
      <c r="J127" t="str">
        <f>IF($A127&lt;&gt;"",'Approved-In-Depth'!J127,"")</f>
        <v/>
      </c>
      <c r="K127" t="str">
        <f>IF($A127&lt;&gt;"",'Approved-In-Depth'!K127,"")</f>
        <v/>
      </c>
      <c r="L127" s="4" t="str">
        <f>IF($A127&lt;&gt;"",'Approved-In-Depth'!L127,"")</f>
        <v/>
      </c>
      <c r="M127" t="str">
        <f>IF($A127&lt;&gt;"",'Approved-In-Depth'!M127,"")</f>
        <v/>
      </c>
    </row>
    <row r="128" spans="1:13" x14ac:dyDescent="0.35">
      <c r="A128" s="4" t="str">
        <f>IF('Approved-In-Depth'!$A128&lt;&gt;"",'Approved-In-Depth'!A128,"")</f>
        <v/>
      </c>
      <c r="B128" t="str">
        <f>IF($O128&lt;&gt;"",$O128,IF($A128&lt;&gt;"",'Approved-In-Depth'!$B128+7,""))</f>
        <v/>
      </c>
      <c r="C128" t="str">
        <f>IF($A128&lt;&gt;"",'Approved-In-Depth'!C128,"")</f>
        <v/>
      </c>
      <c r="D128" t="str">
        <f>IF($A128&lt;&gt;"",'Approved-In-Depth'!D128,"")</f>
        <v/>
      </c>
      <c r="E128" t="str">
        <f>IF($A128&lt;&gt;"",'Approved-In-Depth'!E128,"")</f>
        <v/>
      </c>
      <c r="F128" t="str">
        <f>IF($A128&lt;&gt;"",'Approved-In-Depth'!F128,"")</f>
        <v/>
      </c>
      <c r="G128" t="str">
        <f>IF($A128&lt;&gt;"",'Approved-In-Depth'!G128,"")</f>
        <v/>
      </c>
      <c r="H128" s="4" t="str">
        <f>IF($A128&lt;&gt;"",'Approved-In-Depth'!H128,"")</f>
        <v/>
      </c>
      <c r="I128" t="str">
        <f>IF($A128&lt;&gt;"",'Approved-In-Depth'!I128,"")</f>
        <v/>
      </c>
      <c r="J128" t="str">
        <f>IF($A128&lt;&gt;"",'Approved-In-Depth'!J128,"")</f>
        <v/>
      </c>
      <c r="K128" t="str">
        <f>IF($A128&lt;&gt;"",'Approved-In-Depth'!K128,"")</f>
        <v/>
      </c>
      <c r="L128" s="4" t="str">
        <f>IF($A128&lt;&gt;"",'Approved-In-Depth'!L128,"")</f>
        <v/>
      </c>
      <c r="M128" t="str">
        <f>IF($A128&lt;&gt;"",'Approved-In-Depth'!M128,"")</f>
        <v/>
      </c>
    </row>
    <row r="129" spans="1:13" x14ac:dyDescent="0.35">
      <c r="A129" s="4" t="str">
        <f>IF('Approved-In-Depth'!$A129&lt;&gt;"",'Approved-In-Depth'!A129,"")</f>
        <v/>
      </c>
      <c r="B129" t="str">
        <f>IF($O129&lt;&gt;"",$O129,IF($A129&lt;&gt;"",'Approved-In-Depth'!$B129+7,""))</f>
        <v/>
      </c>
      <c r="C129" t="str">
        <f>IF($A129&lt;&gt;"",'Approved-In-Depth'!C129,"")</f>
        <v/>
      </c>
      <c r="D129" t="str">
        <f>IF($A129&lt;&gt;"",'Approved-In-Depth'!D129,"")</f>
        <v/>
      </c>
      <c r="E129" t="str">
        <f>IF($A129&lt;&gt;"",'Approved-In-Depth'!E129,"")</f>
        <v/>
      </c>
      <c r="F129" t="str">
        <f>IF($A129&lt;&gt;"",'Approved-In-Depth'!F129,"")</f>
        <v/>
      </c>
      <c r="G129" t="str">
        <f>IF($A129&lt;&gt;"",'Approved-In-Depth'!G129,"")</f>
        <v/>
      </c>
      <c r="H129" s="4" t="str">
        <f>IF($A129&lt;&gt;"",'Approved-In-Depth'!H129,"")</f>
        <v/>
      </c>
      <c r="I129" t="str">
        <f>IF($A129&lt;&gt;"",'Approved-In-Depth'!I129,"")</f>
        <v/>
      </c>
      <c r="J129" t="str">
        <f>IF($A129&lt;&gt;"",'Approved-In-Depth'!J129,"")</f>
        <v/>
      </c>
      <c r="K129" t="str">
        <f>IF($A129&lt;&gt;"",'Approved-In-Depth'!K129,"")</f>
        <v/>
      </c>
      <c r="L129" s="4" t="str">
        <f>IF($A129&lt;&gt;"",'Approved-In-Depth'!L129,"")</f>
        <v/>
      </c>
      <c r="M129" t="str">
        <f>IF($A129&lt;&gt;"",'Approved-In-Depth'!M129,"")</f>
        <v/>
      </c>
    </row>
    <row r="130" spans="1:13" x14ac:dyDescent="0.35">
      <c r="A130" s="4" t="str">
        <f>IF('Approved-In-Depth'!$A130&lt;&gt;"",'Approved-In-Depth'!A130,"")</f>
        <v/>
      </c>
      <c r="B130" t="str">
        <f>IF($O130&lt;&gt;"",$O130,IF($A130&lt;&gt;"",'Approved-In-Depth'!$B130+7,""))</f>
        <v/>
      </c>
      <c r="C130" t="str">
        <f>IF($A130&lt;&gt;"",'Approved-In-Depth'!C130,"")</f>
        <v/>
      </c>
      <c r="D130" t="str">
        <f>IF($A130&lt;&gt;"",'Approved-In-Depth'!D130,"")</f>
        <v/>
      </c>
      <c r="E130" t="str">
        <f>IF($A130&lt;&gt;"",'Approved-In-Depth'!E130,"")</f>
        <v/>
      </c>
      <c r="F130" t="str">
        <f>IF($A130&lt;&gt;"",'Approved-In-Depth'!F130,"")</f>
        <v/>
      </c>
      <c r="G130" t="str">
        <f>IF($A130&lt;&gt;"",'Approved-In-Depth'!G130,"")</f>
        <v/>
      </c>
      <c r="H130" s="4" t="str">
        <f>IF($A130&lt;&gt;"",'Approved-In-Depth'!H130,"")</f>
        <v/>
      </c>
      <c r="I130" t="str">
        <f>IF($A130&lt;&gt;"",'Approved-In-Depth'!I130,"")</f>
        <v/>
      </c>
      <c r="J130" t="str">
        <f>IF($A130&lt;&gt;"",'Approved-In-Depth'!J130,"")</f>
        <v/>
      </c>
      <c r="K130" t="str">
        <f>IF($A130&lt;&gt;"",'Approved-In-Depth'!K130,"")</f>
        <v/>
      </c>
      <c r="L130" s="4" t="str">
        <f>IF($A130&lt;&gt;"",'Approved-In-Depth'!L130,"")</f>
        <v/>
      </c>
      <c r="M130" t="str">
        <f>IF($A130&lt;&gt;"",'Approved-In-Depth'!M130,"")</f>
        <v/>
      </c>
    </row>
    <row r="131" spans="1:13" x14ac:dyDescent="0.35">
      <c r="A131" s="4" t="str">
        <f>IF('Approved-In-Depth'!$A131&lt;&gt;"",'Approved-In-Depth'!A131,"")</f>
        <v/>
      </c>
      <c r="B131" t="str">
        <f>IF($O131&lt;&gt;"",$O131,IF($A131&lt;&gt;"",'Approved-In-Depth'!$B131+7,""))</f>
        <v/>
      </c>
      <c r="C131" t="str">
        <f>IF($A131&lt;&gt;"",'Approved-In-Depth'!C131,"")</f>
        <v/>
      </c>
      <c r="D131" t="str">
        <f>IF($A131&lt;&gt;"",'Approved-In-Depth'!D131,"")</f>
        <v/>
      </c>
      <c r="E131" t="str">
        <f>IF($A131&lt;&gt;"",'Approved-In-Depth'!E131,"")</f>
        <v/>
      </c>
      <c r="F131" t="str">
        <f>IF($A131&lt;&gt;"",'Approved-In-Depth'!F131,"")</f>
        <v/>
      </c>
      <c r="G131" t="str">
        <f>IF($A131&lt;&gt;"",'Approved-In-Depth'!G131,"")</f>
        <v/>
      </c>
      <c r="H131" s="4" t="str">
        <f>IF($A131&lt;&gt;"",'Approved-In-Depth'!H131,"")</f>
        <v/>
      </c>
      <c r="I131" t="str">
        <f>IF($A131&lt;&gt;"",'Approved-In-Depth'!I131,"")</f>
        <v/>
      </c>
      <c r="J131" t="str">
        <f>IF($A131&lt;&gt;"",'Approved-In-Depth'!J131,"")</f>
        <v/>
      </c>
      <c r="K131" t="str">
        <f>IF($A131&lt;&gt;"",'Approved-In-Depth'!K131,"")</f>
        <v/>
      </c>
      <c r="L131" s="4" t="str">
        <f>IF($A131&lt;&gt;"",'Approved-In-Depth'!L131,"")</f>
        <v/>
      </c>
      <c r="M131" t="str">
        <f>IF($A131&lt;&gt;"",'Approved-In-Depth'!M131,"")</f>
        <v/>
      </c>
    </row>
    <row r="132" spans="1:13" x14ac:dyDescent="0.35">
      <c r="A132" s="4" t="str">
        <f>IF('Approved-In-Depth'!$A132&lt;&gt;"",'Approved-In-Depth'!A132,"")</f>
        <v/>
      </c>
      <c r="B132" t="str">
        <f>IF($O132&lt;&gt;"",$O132,IF($A132&lt;&gt;"",'Approved-In-Depth'!$B132+7,""))</f>
        <v/>
      </c>
      <c r="C132" t="str">
        <f>IF($A132&lt;&gt;"",'Approved-In-Depth'!C132,"")</f>
        <v/>
      </c>
      <c r="D132" t="str">
        <f>IF($A132&lt;&gt;"",'Approved-In-Depth'!D132,"")</f>
        <v/>
      </c>
      <c r="E132" t="str">
        <f>IF($A132&lt;&gt;"",'Approved-In-Depth'!E132,"")</f>
        <v/>
      </c>
      <c r="F132" t="str">
        <f>IF($A132&lt;&gt;"",'Approved-In-Depth'!F132,"")</f>
        <v/>
      </c>
      <c r="G132" t="str">
        <f>IF($A132&lt;&gt;"",'Approved-In-Depth'!G132,"")</f>
        <v/>
      </c>
      <c r="H132" s="4" t="str">
        <f>IF($A132&lt;&gt;"",'Approved-In-Depth'!H132,"")</f>
        <v/>
      </c>
      <c r="I132" t="str">
        <f>IF($A132&lt;&gt;"",'Approved-In-Depth'!I132,"")</f>
        <v/>
      </c>
      <c r="J132" t="str">
        <f>IF($A132&lt;&gt;"",'Approved-In-Depth'!J132,"")</f>
        <v/>
      </c>
      <c r="K132" t="str">
        <f>IF($A132&lt;&gt;"",'Approved-In-Depth'!K132,"")</f>
        <v/>
      </c>
      <c r="L132" s="4" t="str">
        <f>IF($A132&lt;&gt;"",'Approved-In-Depth'!L132,"")</f>
        <v/>
      </c>
      <c r="M132" t="str">
        <f>IF($A132&lt;&gt;"",'Approved-In-Depth'!M132,"")</f>
        <v/>
      </c>
    </row>
    <row r="133" spans="1:13" x14ac:dyDescent="0.35">
      <c r="A133" s="4" t="str">
        <f>IF('Approved-In-Depth'!$A133&lt;&gt;"",'Approved-In-Depth'!A133,"")</f>
        <v/>
      </c>
      <c r="B133" t="str">
        <f>IF($O133&lt;&gt;"",$O133,IF($A133&lt;&gt;"",'Approved-In-Depth'!$B133+7,""))</f>
        <v/>
      </c>
      <c r="C133" t="str">
        <f>IF($A133&lt;&gt;"",'Approved-In-Depth'!C133,"")</f>
        <v/>
      </c>
      <c r="D133" t="str">
        <f>IF($A133&lt;&gt;"",'Approved-In-Depth'!D133,"")</f>
        <v/>
      </c>
      <c r="E133" t="str">
        <f>IF($A133&lt;&gt;"",'Approved-In-Depth'!E133,"")</f>
        <v/>
      </c>
      <c r="F133" t="str">
        <f>IF($A133&lt;&gt;"",'Approved-In-Depth'!F133,"")</f>
        <v/>
      </c>
      <c r="G133" t="str">
        <f>IF($A133&lt;&gt;"",'Approved-In-Depth'!G133,"")</f>
        <v/>
      </c>
      <c r="H133" s="4" t="str">
        <f>IF($A133&lt;&gt;"",'Approved-In-Depth'!H133,"")</f>
        <v/>
      </c>
      <c r="I133" t="str">
        <f>IF($A133&lt;&gt;"",'Approved-In-Depth'!I133,"")</f>
        <v/>
      </c>
      <c r="J133" t="str">
        <f>IF($A133&lt;&gt;"",'Approved-In-Depth'!J133,"")</f>
        <v/>
      </c>
      <c r="K133" t="str">
        <f>IF($A133&lt;&gt;"",'Approved-In-Depth'!K133,"")</f>
        <v/>
      </c>
      <c r="L133" s="4" t="str">
        <f>IF($A133&lt;&gt;"",'Approved-In-Depth'!L133,"")</f>
        <v/>
      </c>
      <c r="M133" t="str">
        <f>IF($A133&lt;&gt;"",'Approved-In-Depth'!M133,"")</f>
        <v/>
      </c>
    </row>
    <row r="134" spans="1:13" x14ac:dyDescent="0.35">
      <c r="A134" s="4" t="str">
        <f>IF('Approved-In-Depth'!$A134&lt;&gt;"",'Approved-In-Depth'!A134,"")</f>
        <v/>
      </c>
      <c r="B134" t="str">
        <f>IF($O134&lt;&gt;"",$O134,IF($A134&lt;&gt;"",'Approved-In-Depth'!$B134+7,""))</f>
        <v/>
      </c>
      <c r="C134" t="str">
        <f>IF($A134&lt;&gt;"",'Approved-In-Depth'!C134,"")</f>
        <v/>
      </c>
      <c r="D134" t="str">
        <f>IF($A134&lt;&gt;"",'Approved-In-Depth'!D134,"")</f>
        <v/>
      </c>
      <c r="E134" t="str">
        <f>IF($A134&lt;&gt;"",'Approved-In-Depth'!E134,"")</f>
        <v/>
      </c>
      <c r="F134" t="str">
        <f>IF($A134&lt;&gt;"",'Approved-In-Depth'!F134,"")</f>
        <v/>
      </c>
      <c r="G134" t="str">
        <f>IF($A134&lt;&gt;"",'Approved-In-Depth'!G134,"")</f>
        <v/>
      </c>
      <c r="H134" s="4" t="str">
        <f>IF($A134&lt;&gt;"",'Approved-In-Depth'!H134,"")</f>
        <v/>
      </c>
      <c r="I134" t="str">
        <f>IF($A134&lt;&gt;"",'Approved-In-Depth'!I134,"")</f>
        <v/>
      </c>
      <c r="J134" t="str">
        <f>IF($A134&lt;&gt;"",'Approved-In-Depth'!J134,"")</f>
        <v/>
      </c>
      <c r="K134" t="str">
        <f>IF($A134&lt;&gt;"",'Approved-In-Depth'!K134,"")</f>
        <v/>
      </c>
      <c r="L134" s="4" t="str">
        <f>IF($A134&lt;&gt;"",'Approved-In-Depth'!L134,"")</f>
        <v/>
      </c>
      <c r="M134" t="str">
        <f>IF($A134&lt;&gt;"",'Approved-In-Depth'!M134,"")</f>
        <v/>
      </c>
    </row>
    <row r="135" spans="1:13" x14ac:dyDescent="0.35">
      <c r="A135" s="4" t="str">
        <f>IF('Approved-In-Depth'!$A135&lt;&gt;"",'Approved-In-Depth'!A135,"")</f>
        <v/>
      </c>
      <c r="B135" t="str">
        <f>IF($O135&lt;&gt;"",$O135,IF($A135&lt;&gt;"",'Approved-In-Depth'!$B135+7,""))</f>
        <v/>
      </c>
      <c r="C135" t="str">
        <f>IF($A135&lt;&gt;"",'Approved-In-Depth'!C135,"")</f>
        <v/>
      </c>
      <c r="D135" t="str">
        <f>IF($A135&lt;&gt;"",'Approved-In-Depth'!D135,"")</f>
        <v/>
      </c>
      <c r="E135" t="str">
        <f>IF($A135&lt;&gt;"",'Approved-In-Depth'!E135,"")</f>
        <v/>
      </c>
      <c r="F135" t="str">
        <f>IF($A135&lt;&gt;"",'Approved-In-Depth'!F135,"")</f>
        <v/>
      </c>
      <c r="G135" t="str">
        <f>IF($A135&lt;&gt;"",'Approved-In-Depth'!G135,"")</f>
        <v/>
      </c>
      <c r="H135" s="4" t="str">
        <f>IF($A135&lt;&gt;"",'Approved-In-Depth'!H135,"")</f>
        <v/>
      </c>
      <c r="I135" t="str">
        <f>IF($A135&lt;&gt;"",'Approved-In-Depth'!I135,"")</f>
        <v/>
      </c>
      <c r="J135" t="str">
        <f>IF($A135&lt;&gt;"",'Approved-In-Depth'!J135,"")</f>
        <v/>
      </c>
      <c r="K135" t="str">
        <f>IF($A135&lt;&gt;"",'Approved-In-Depth'!K135,"")</f>
        <v/>
      </c>
      <c r="L135" s="4" t="str">
        <f>IF($A135&lt;&gt;"",'Approved-In-Depth'!L135,"")</f>
        <v/>
      </c>
      <c r="M135" t="str">
        <f>IF($A135&lt;&gt;"",'Approved-In-Depth'!M135,"")</f>
        <v/>
      </c>
    </row>
    <row r="136" spans="1:13" x14ac:dyDescent="0.35">
      <c r="A136" s="4" t="str">
        <f>IF('Approved-In-Depth'!$A136&lt;&gt;"",'Approved-In-Depth'!A136,"")</f>
        <v/>
      </c>
      <c r="B136" t="str">
        <f>IF($O136&lt;&gt;"",$O136,IF($A136&lt;&gt;"",'Approved-In-Depth'!$B136+7,""))</f>
        <v/>
      </c>
      <c r="C136" t="str">
        <f>IF($A136&lt;&gt;"",'Approved-In-Depth'!C136,"")</f>
        <v/>
      </c>
      <c r="D136" t="str">
        <f>IF($A136&lt;&gt;"",'Approved-In-Depth'!D136,"")</f>
        <v/>
      </c>
      <c r="E136" t="str">
        <f>IF($A136&lt;&gt;"",'Approved-In-Depth'!E136,"")</f>
        <v/>
      </c>
      <c r="F136" t="str">
        <f>IF($A136&lt;&gt;"",'Approved-In-Depth'!F136,"")</f>
        <v/>
      </c>
      <c r="G136" t="str">
        <f>IF($A136&lt;&gt;"",'Approved-In-Depth'!G136,"")</f>
        <v/>
      </c>
      <c r="H136" s="4" t="str">
        <f>IF($A136&lt;&gt;"",'Approved-In-Depth'!H136,"")</f>
        <v/>
      </c>
      <c r="I136" t="str">
        <f>IF($A136&lt;&gt;"",'Approved-In-Depth'!I136,"")</f>
        <v/>
      </c>
      <c r="J136" t="str">
        <f>IF($A136&lt;&gt;"",'Approved-In-Depth'!J136,"")</f>
        <v/>
      </c>
      <c r="K136" t="str">
        <f>IF($A136&lt;&gt;"",'Approved-In-Depth'!K136,"")</f>
        <v/>
      </c>
      <c r="L136" s="4" t="str">
        <f>IF($A136&lt;&gt;"",'Approved-In-Depth'!L136,"")</f>
        <v/>
      </c>
      <c r="M136" t="str">
        <f>IF($A136&lt;&gt;"",'Approved-In-Depth'!M136,"")</f>
        <v/>
      </c>
    </row>
    <row r="137" spans="1:13" x14ac:dyDescent="0.35">
      <c r="A137" s="4" t="str">
        <f>IF('Approved-In-Depth'!$A137&lt;&gt;"",'Approved-In-Depth'!A137,"")</f>
        <v/>
      </c>
      <c r="B137" t="str">
        <f>IF($O137&lt;&gt;"",$O137,IF($A137&lt;&gt;"",'Approved-In-Depth'!$B137+7,""))</f>
        <v/>
      </c>
      <c r="C137" t="str">
        <f>IF($A137&lt;&gt;"",'Approved-In-Depth'!C137,"")</f>
        <v/>
      </c>
      <c r="D137" t="str">
        <f>IF($A137&lt;&gt;"",'Approved-In-Depth'!D137,"")</f>
        <v/>
      </c>
      <c r="E137" t="str">
        <f>IF($A137&lt;&gt;"",'Approved-In-Depth'!E137,"")</f>
        <v/>
      </c>
      <c r="F137" t="str">
        <f>IF($A137&lt;&gt;"",'Approved-In-Depth'!F137,"")</f>
        <v/>
      </c>
      <c r="G137" t="str">
        <f>IF($A137&lt;&gt;"",'Approved-In-Depth'!G137,"")</f>
        <v/>
      </c>
      <c r="H137" s="4" t="str">
        <f>IF($A137&lt;&gt;"",'Approved-In-Depth'!H137,"")</f>
        <v/>
      </c>
      <c r="I137" t="str">
        <f>IF($A137&lt;&gt;"",'Approved-In-Depth'!I137,"")</f>
        <v/>
      </c>
      <c r="J137" t="str">
        <f>IF($A137&lt;&gt;"",'Approved-In-Depth'!J137,"")</f>
        <v/>
      </c>
      <c r="K137" t="str">
        <f>IF($A137&lt;&gt;"",'Approved-In-Depth'!K137,"")</f>
        <v/>
      </c>
      <c r="L137" s="4" t="str">
        <f>IF($A137&lt;&gt;"",'Approved-In-Depth'!L137,"")</f>
        <v/>
      </c>
      <c r="M137" t="str">
        <f>IF($A137&lt;&gt;"",'Approved-In-Depth'!M137,"")</f>
        <v/>
      </c>
    </row>
    <row r="138" spans="1:13" x14ac:dyDescent="0.35">
      <c r="A138" s="4" t="str">
        <f>IF('Approved-In-Depth'!$A138&lt;&gt;"",'Approved-In-Depth'!A138,"")</f>
        <v/>
      </c>
      <c r="B138" t="str">
        <f>IF($O138&lt;&gt;"",$O138,IF($A138&lt;&gt;"",'Approved-In-Depth'!$B138+7,""))</f>
        <v/>
      </c>
      <c r="C138" t="str">
        <f>IF($A138&lt;&gt;"",'Approved-In-Depth'!C138,"")</f>
        <v/>
      </c>
      <c r="D138" t="str">
        <f>IF($A138&lt;&gt;"",'Approved-In-Depth'!D138,"")</f>
        <v/>
      </c>
      <c r="E138" t="str">
        <f>IF($A138&lt;&gt;"",'Approved-In-Depth'!E138,"")</f>
        <v/>
      </c>
      <c r="F138" t="str">
        <f>IF($A138&lt;&gt;"",'Approved-In-Depth'!F138,"")</f>
        <v/>
      </c>
      <c r="G138" t="str">
        <f>IF($A138&lt;&gt;"",'Approved-In-Depth'!G138,"")</f>
        <v/>
      </c>
      <c r="H138" s="4" t="str">
        <f>IF($A138&lt;&gt;"",'Approved-In-Depth'!H138,"")</f>
        <v/>
      </c>
      <c r="I138" t="str">
        <f>IF($A138&lt;&gt;"",'Approved-In-Depth'!I138,"")</f>
        <v/>
      </c>
      <c r="J138" t="str">
        <f>IF($A138&lt;&gt;"",'Approved-In-Depth'!J138,"")</f>
        <v/>
      </c>
      <c r="K138" t="str">
        <f>IF($A138&lt;&gt;"",'Approved-In-Depth'!K138,"")</f>
        <v/>
      </c>
      <c r="L138" s="4" t="str">
        <f>IF($A138&lt;&gt;"",'Approved-In-Depth'!L138,"")</f>
        <v/>
      </c>
      <c r="M138" t="str">
        <f>IF($A138&lt;&gt;"",'Approved-In-Depth'!M138,"")</f>
        <v/>
      </c>
    </row>
    <row r="139" spans="1:13" x14ac:dyDescent="0.35">
      <c r="A139" s="4" t="str">
        <f>IF('Approved-In-Depth'!$A139&lt;&gt;"",'Approved-In-Depth'!A139,"")</f>
        <v/>
      </c>
      <c r="B139" t="str">
        <f>IF($O139&lt;&gt;"",$O139,IF($A139&lt;&gt;"",'Approved-In-Depth'!$B139+7,""))</f>
        <v/>
      </c>
      <c r="C139" t="str">
        <f>IF($A139&lt;&gt;"",'Approved-In-Depth'!C139,"")</f>
        <v/>
      </c>
      <c r="D139" t="str">
        <f>IF($A139&lt;&gt;"",'Approved-In-Depth'!D139,"")</f>
        <v/>
      </c>
      <c r="E139" t="str">
        <f>IF($A139&lt;&gt;"",'Approved-In-Depth'!E139,"")</f>
        <v/>
      </c>
      <c r="F139" t="str">
        <f>IF($A139&lt;&gt;"",'Approved-In-Depth'!F139,"")</f>
        <v/>
      </c>
      <c r="G139" t="str">
        <f>IF($A139&lt;&gt;"",'Approved-In-Depth'!G139,"")</f>
        <v/>
      </c>
      <c r="H139" s="4" t="str">
        <f>IF($A139&lt;&gt;"",'Approved-In-Depth'!H139,"")</f>
        <v/>
      </c>
      <c r="I139" t="str">
        <f>IF($A139&lt;&gt;"",'Approved-In-Depth'!I139,"")</f>
        <v/>
      </c>
      <c r="J139" t="str">
        <f>IF($A139&lt;&gt;"",'Approved-In-Depth'!J139,"")</f>
        <v/>
      </c>
      <c r="K139" t="str">
        <f>IF($A139&lt;&gt;"",'Approved-In-Depth'!K139,"")</f>
        <v/>
      </c>
      <c r="L139" s="4" t="str">
        <f>IF($A139&lt;&gt;"",'Approved-In-Depth'!L139,"")</f>
        <v/>
      </c>
      <c r="M139" t="str">
        <f>IF($A139&lt;&gt;"",'Approved-In-Depth'!M139,"")</f>
        <v/>
      </c>
    </row>
    <row r="140" spans="1:13" x14ac:dyDescent="0.35">
      <c r="A140" s="4" t="str">
        <f>IF('Approved-In-Depth'!$A140&lt;&gt;"",'Approved-In-Depth'!A140,"")</f>
        <v/>
      </c>
      <c r="B140" t="str">
        <f>IF($O140&lt;&gt;"",$O140,IF($A140&lt;&gt;"",'Approved-In-Depth'!$B140+7,""))</f>
        <v/>
      </c>
      <c r="C140" t="str">
        <f>IF($A140&lt;&gt;"",'Approved-In-Depth'!C140,"")</f>
        <v/>
      </c>
      <c r="D140" t="str">
        <f>IF($A140&lt;&gt;"",'Approved-In-Depth'!D140,"")</f>
        <v/>
      </c>
      <c r="E140" t="str">
        <f>IF($A140&lt;&gt;"",'Approved-In-Depth'!E140,"")</f>
        <v/>
      </c>
      <c r="F140" t="str">
        <f>IF($A140&lt;&gt;"",'Approved-In-Depth'!F140,"")</f>
        <v/>
      </c>
      <c r="G140" t="str">
        <f>IF($A140&lt;&gt;"",'Approved-In-Depth'!G140,"")</f>
        <v/>
      </c>
      <c r="H140" s="4" t="str">
        <f>IF($A140&lt;&gt;"",'Approved-In-Depth'!H140,"")</f>
        <v/>
      </c>
      <c r="I140" t="str">
        <f>IF($A140&lt;&gt;"",'Approved-In-Depth'!I140,"")</f>
        <v/>
      </c>
      <c r="J140" t="str">
        <f>IF($A140&lt;&gt;"",'Approved-In-Depth'!J140,"")</f>
        <v/>
      </c>
      <c r="K140" t="str">
        <f>IF($A140&lt;&gt;"",'Approved-In-Depth'!K140,"")</f>
        <v/>
      </c>
      <c r="L140" s="4" t="str">
        <f>IF($A140&lt;&gt;"",'Approved-In-Depth'!L140,"")</f>
        <v/>
      </c>
      <c r="M140" t="str">
        <f>IF($A140&lt;&gt;"",'Approved-In-Depth'!M140,"")</f>
        <v/>
      </c>
    </row>
    <row r="141" spans="1:13" x14ac:dyDescent="0.35">
      <c r="A141" s="4" t="str">
        <f>IF('Approved-In-Depth'!$A141&lt;&gt;"",'Approved-In-Depth'!A141,"")</f>
        <v/>
      </c>
      <c r="B141" t="str">
        <f>IF($O141&lt;&gt;"",$O141,IF($A141&lt;&gt;"",'Approved-In-Depth'!$B141+7,""))</f>
        <v/>
      </c>
      <c r="C141" t="str">
        <f>IF($A141&lt;&gt;"",'Approved-In-Depth'!C141,"")</f>
        <v/>
      </c>
      <c r="D141" t="str">
        <f>IF($A141&lt;&gt;"",'Approved-In-Depth'!D141,"")</f>
        <v/>
      </c>
      <c r="E141" t="str">
        <f>IF($A141&lt;&gt;"",'Approved-In-Depth'!E141,"")</f>
        <v/>
      </c>
      <c r="F141" t="str">
        <f>IF($A141&lt;&gt;"",'Approved-In-Depth'!F141,"")</f>
        <v/>
      </c>
      <c r="G141" t="str">
        <f>IF($A141&lt;&gt;"",'Approved-In-Depth'!G141,"")</f>
        <v/>
      </c>
      <c r="H141" s="4" t="str">
        <f>IF($A141&lt;&gt;"",'Approved-In-Depth'!H141,"")</f>
        <v/>
      </c>
      <c r="I141" t="str">
        <f>IF($A141&lt;&gt;"",'Approved-In-Depth'!I141,"")</f>
        <v/>
      </c>
      <c r="J141" t="str">
        <f>IF($A141&lt;&gt;"",'Approved-In-Depth'!J141,"")</f>
        <v/>
      </c>
      <c r="K141" t="str">
        <f>IF($A141&lt;&gt;"",'Approved-In-Depth'!K141,"")</f>
        <v/>
      </c>
      <c r="L141" s="4" t="str">
        <f>IF($A141&lt;&gt;"",'Approved-In-Depth'!L141,"")</f>
        <v/>
      </c>
      <c r="M141" t="str">
        <f>IF($A141&lt;&gt;"",'Approved-In-Depth'!M141,"")</f>
        <v/>
      </c>
    </row>
    <row r="142" spans="1:13" x14ac:dyDescent="0.35">
      <c r="A142" s="4" t="str">
        <f>IF('Approved-In-Depth'!$A142&lt;&gt;"",'Approved-In-Depth'!A142,"")</f>
        <v/>
      </c>
      <c r="B142" t="str">
        <f>IF($O142&lt;&gt;"",$O142,IF($A142&lt;&gt;"",'Approved-In-Depth'!$B142+7,""))</f>
        <v/>
      </c>
      <c r="C142" t="str">
        <f>IF($A142&lt;&gt;"",'Approved-In-Depth'!C142,"")</f>
        <v/>
      </c>
      <c r="D142" t="str">
        <f>IF($A142&lt;&gt;"",'Approved-In-Depth'!D142,"")</f>
        <v/>
      </c>
      <c r="E142" t="str">
        <f>IF($A142&lt;&gt;"",'Approved-In-Depth'!E142,"")</f>
        <v/>
      </c>
      <c r="F142" t="str">
        <f>IF($A142&lt;&gt;"",'Approved-In-Depth'!F142,"")</f>
        <v/>
      </c>
      <c r="G142" t="str">
        <f>IF($A142&lt;&gt;"",'Approved-In-Depth'!G142,"")</f>
        <v/>
      </c>
      <c r="H142" s="4" t="str">
        <f>IF($A142&lt;&gt;"",'Approved-In-Depth'!H142,"")</f>
        <v/>
      </c>
      <c r="I142" t="str">
        <f>IF($A142&lt;&gt;"",'Approved-In-Depth'!I142,"")</f>
        <v/>
      </c>
      <c r="J142" t="str">
        <f>IF($A142&lt;&gt;"",'Approved-In-Depth'!J142,"")</f>
        <v/>
      </c>
      <c r="K142" t="str">
        <f>IF($A142&lt;&gt;"",'Approved-In-Depth'!K142,"")</f>
        <v/>
      </c>
      <c r="L142" s="4" t="str">
        <f>IF($A142&lt;&gt;"",'Approved-In-Depth'!L142,"")</f>
        <v/>
      </c>
      <c r="M142" t="str">
        <f>IF($A142&lt;&gt;"",'Approved-In-Depth'!M142,"")</f>
        <v/>
      </c>
    </row>
    <row r="143" spans="1:13" x14ac:dyDescent="0.35">
      <c r="A143" s="4" t="str">
        <f>IF('Approved-In-Depth'!$A143&lt;&gt;"",'Approved-In-Depth'!A143,"")</f>
        <v/>
      </c>
      <c r="B143" t="str">
        <f>IF($O143&lt;&gt;"",$O143,IF($A143&lt;&gt;"",'Approved-In-Depth'!$B143+7,""))</f>
        <v/>
      </c>
      <c r="C143" t="str">
        <f>IF($A143&lt;&gt;"",'Approved-In-Depth'!C143,"")</f>
        <v/>
      </c>
      <c r="D143" t="str">
        <f>IF($A143&lt;&gt;"",'Approved-In-Depth'!D143,"")</f>
        <v/>
      </c>
      <c r="E143" t="str">
        <f>IF($A143&lt;&gt;"",'Approved-In-Depth'!E143,"")</f>
        <v/>
      </c>
      <c r="F143" t="str">
        <f>IF($A143&lt;&gt;"",'Approved-In-Depth'!F143,"")</f>
        <v/>
      </c>
      <c r="G143" t="str">
        <f>IF($A143&lt;&gt;"",'Approved-In-Depth'!G143,"")</f>
        <v/>
      </c>
      <c r="H143" s="4" t="str">
        <f>IF($A143&lt;&gt;"",'Approved-In-Depth'!H143,"")</f>
        <v/>
      </c>
      <c r="I143" t="str">
        <f>IF($A143&lt;&gt;"",'Approved-In-Depth'!I143,"")</f>
        <v/>
      </c>
      <c r="J143" t="str">
        <f>IF($A143&lt;&gt;"",'Approved-In-Depth'!J143,"")</f>
        <v/>
      </c>
      <c r="K143" t="str">
        <f>IF($A143&lt;&gt;"",'Approved-In-Depth'!K143,"")</f>
        <v/>
      </c>
      <c r="L143" s="4" t="str">
        <f>IF($A143&lt;&gt;"",'Approved-In-Depth'!L143,"")</f>
        <v/>
      </c>
      <c r="M143" t="str">
        <f>IF($A143&lt;&gt;"",'Approved-In-Depth'!M143,"")</f>
        <v/>
      </c>
    </row>
    <row r="144" spans="1:13" x14ac:dyDescent="0.35">
      <c r="A144" s="4" t="str">
        <f>IF('Approved-In-Depth'!$A144&lt;&gt;"",'Approved-In-Depth'!A144,"")</f>
        <v/>
      </c>
      <c r="B144" t="str">
        <f>IF($O144&lt;&gt;"",$O144,IF($A144&lt;&gt;"",'Approved-In-Depth'!$B144+7,""))</f>
        <v/>
      </c>
      <c r="C144" t="str">
        <f>IF($A144&lt;&gt;"",'Approved-In-Depth'!C144,"")</f>
        <v/>
      </c>
      <c r="D144" t="str">
        <f>IF($A144&lt;&gt;"",'Approved-In-Depth'!D144,"")</f>
        <v/>
      </c>
      <c r="E144" t="str">
        <f>IF($A144&lt;&gt;"",'Approved-In-Depth'!E144,"")</f>
        <v/>
      </c>
      <c r="F144" t="str">
        <f>IF($A144&lt;&gt;"",'Approved-In-Depth'!F144,"")</f>
        <v/>
      </c>
      <c r="G144" t="str">
        <f>IF($A144&lt;&gt;"",'Approved-In-Depth'!G144,"")</f>
        <v/>
      </c>
      <c r="H144" s="4" t="str">
        <f>IF($A144&lt;&gt;"",'Approved-In-Depth'!H144,"")</f>
        <v/>
      </c>
      <c r="I144" t="str">
        <f>IF($A144&lt;&gt;"",'Approved-In-Depth'!I144,"")</f>
        <v/>
      </c>
      <c r="J144" t="str">
        <f>IF($A144&lt;&gt;"",'Approved-In-Depth'!J144,"")</f>
        <v/>
      </c>
      <c r="K144" t="str">
        <f>IF($A144&lt;&gt;"",'Approved-In-Depth'!K144,"")</f>
        <v/>
      </c>
      <c r="L144" s="4" t="str">
        <f>IF($A144&lt;&gt;"",'Approved-In-Depth'!L144,"")</f>
        <v/>
      </c>
      <c r="M144" t="str">
        <f>IF($A144&lt;&gt;"",'Approved-In-Depth'!M144,"")</f>
        <v/>
      </c>
    </row>
    <row r="145" spans="1:13" x14ac:dyDescent="0.35">
      <c r="A145" s="4" t="str">
        <f>IF('Approved-In-Depth'!$A145&lt;&gt;"",'Approved-In-Depth'!A145,"")</f>
        <v/>
      </c>
      <c r="B145" t="str">
        <f>IF($O145&lt;&gt;"",$O145,IF($A145&lt;&gt;"",'Approved-In-Depth'!$B145+7,""))</f>
        <v/>
      </c>
      <c r="C145" t="str">
        <f>IF($A145&lt;&gt;"",'Approved-In-Depth'!C145,"")</f>
        <v/>
      </c>
      <c r="D145" t="str">
        <f>IF($A145&lt;&gt;"",'Approved-In-Depth'!D145,"")</f>
        <v/>
      </c>
      <c r="E145" t="str">
        <f>IF($A145&lt;&gt;"",'Approved-In-Depth'!E145,"")</f>
        <v/>
      </c>
      <c r="F145" t="str">
        <f>IF($A145&lt;&gt;"",'Approved-In-Depth'!F145,"")</f>
        <v/>
      </c>
      <c r="G145" t="str">
        <f>IF($A145&lt;&gt;"",'Approved-In-Depth'!G145,"")</f>
        <v/>
      </c>
      <c r="H145" s="4" t="str">
        <f>IF($A145&lt;&gt;"",'Approved-In-Depth'!H145,"")</f>
        <v/>
      </c>
      <c r="I145" t="str">
        <f>IF($A145&lt;&gt;"",'Approved-In-Depth'!I145,"")</f>
        <v/>
      </c>
      <c r="J145" t="str">
        <f>IF($A145&lt;&gt;"",'Approved-In-Depth'!J145,"")</f>
        <v/>
      </c>
      <c r="K145" t="str">
        <f>IF($A145&lt;&gt;"",'Approved-In-Depth'!K145,"")</f>
        <v/>
      </c>
      <c r="L145" s="4" t="str">
        <f>IF($A145&lt;&gt;"",'Approved-In-Depth'!L145,"")</f>
        <v/>
      </c>
      <c r="M145" t="str">
        <f>IF($A145&lt;&gt;"",'Approved-In-Depth'!M145,"")</f>
        <v/>
      </c>
    </row>
    <row r="146" spans="1:13" x14ac:dyDescent="0.35">
      <c r="A146" s="4" t="str">
        <f>IF('Approved-In-Depth'!$A146&lt;&gt;"",'Approved-In-Depth'!A146,"")</f>
        <v/>
      </c>
      <c r="B146" t="str">
        <f>IF($O146&lt;&gt;"",$O146,IF($A146&lt;&gt;"",'Approved-In-Depth'!$B146+7,""))</f>
        <v/>
      </c>
      <c r="C146" t="str">
        <f>IF($A146&lt;&gt;"",'Approved-In-Depth'!C146,"")</f>
        <v/>
      </c>
      <c r="D146" t="str">
        <f>IF($A146&lt;&gt;"",'Approved-In-Depth'!D146,"")</f>
        <v/>
      </c>
      <c r="E146" t="str">
        <f>IF($A146&lt;&gt;"",'Approved-In-Depth'!E146,"")</f>
        <v/>
      </c>
      <c r="F146" t="str">
        <f>IF($A146&lt;&gt;"",'Approved-In-Depth'!F146,"")</f>
        <v/>
      </c>
      <c r="G146" t="str">
        <f>IF($A146&lt;&gt;"",'Approved-In-Depth'!G146,"")</f>
        <v/>
      </c>
      <c r="H146" s="4" t="str">
        <f>IF($A146&lt;&gt;"",'Approved-In-Depth'!H146,"")</f>
        <v/>
      </c>
      <c r="I146" t="str">
        <f>IF($A146&lt;&gt;"",'Approved-In-Depth'!I146,"")</f>
        <v/>
      </c>
      <c r="J146" t="str">
        <f>IF($A146&lt;&gt;"",'Approved-In-Depth'!J146,"")</f>
        <v/>
      </c>
      <c r="K146" t="str">
        <f>IF($A146&lt;&gt;"",'Approved-In-Depth'!K146,"")</f>
        <v/>
      </c>
      <c r="L146" s="4" t="str">
        <f>IF($A146&lt;&gt;"",'Approved-In-Depth'!L146,"")</f>
        <v/>
      </c>
      <c r="M146" t="str">
        <f>IF($A146&lt;&gt;"",'Approved-In-Depth'!M146,"")</f>
        <v/>
      </c>
    </row>
    <row r="147" spans="1:13" x14ac:dyDescent="0.35">
      <c r="A147" s="4" t="str">
        <f>IF('Approved-In-Depth'!$A147&lt;&gt;"",'Approved-In-Depth'!A147,"")</f>
        <v/>
      </c>
      <c r="B147" t="str">
        <f>IF($O147&lt;&gt;"",$O147,IF($A147&lt;&gt;"",'Approved-In-Depth'!$B147+7,""))</f>
        <v/>
      </c>
      <c r="C147" t="str">
        <f>IF($A147&lt;&gt;"",'Approved-In-Depth'!C147,"")</f>
        <v/>
      </c>
      <c r="D147" t="str">
        <f>IF($A147&lt;&gt;"",'Approved-In-Depth'!D147,"")</f>
        <v/>
      </c>
      <c r="E147" t="str">
        <f>IF($A147&lt;&gt;"",'Approved-In-Depth'!E147,"")</f>
        <v/>
      </c>
      <c r="F147" t="str">
        <f>IF($A147&lt;&gt;"",'Approved-In-Depth'!F147,"")</f>
        <v/>
      </c>
      <c r="G147" t="str">
        <f>IF($A147&lt;&gt;"",'Approved-In-Depth'!G147,"")</f>
        <v/>
      </c>
      <c r="H147" s="4" t="str">
        <f>IF($A147&lt;&gt;"",'Approved-In-Depth'!H147,"")</f>
        <v/>
      </c>
      <c r="I147" t="str">
        <f>IF($A147&lt;&gt;"",'Approved-In-Depth'!I147,"")</f>
        <v/>
      </c>
      <c r="J147" t="str">
        <f>IF($A147&lt;&gt;"",'Approved-In-Depth'!J147,"")</f>
        <v/>
      </c>
      <c r="K147" t="str">
        <f>IF($A147&lt;&gt;"",'Approved-In-Depth'!K147,"")</f>
        <v/>
      </c>
      <c r="L147" s="4" t="str">
        <f>IF($A147&lt;&gt;"",'Approved-In-Depth'!L147,"")</f>
        <v/>
      </c>
      <c r="M147" t="str">
        <f>IF($A147&lt;&gt;"",'Approved-In-Depth'!M147,"")</f>
        <v/>
      </c>
    </row>
    <row r="148" spans="1:13" x14ac:dyDescent="0.35">
      <c r="A148" s="4" t="str">
        <f>IF('Approved-In-Depth'!$A148&lt;&gt;"",'Approved-In-Depth'!A148,"")</f>
        <v/>
      </c>
      <c r="B148" t="str">
        <f>IF($O148&lt;&gt;"",$O148,IF($A148&lt;&gt;"",'Approved-In-Depth'!$B148+7,""))</f>
        <v/>
      </c>
      <c r="C148" t="str">
        <f>IF($A148&lt;&gt;"",'Approved-In-Depth'!C148,"")</f>
        <v/>
      </c>
      <c r="D148" t="str">
        <f>IF($A148&lt;&gt;"",'Approved-In-Depth'!D148,"")</f>
        <v/>
      </c>
      <c r="E148" t="str">
        <f>IF($A148&lt;&gt;"",'Approved-In-Depth'!E148,"")</f>
        <v/>
      </c>
      <c r="F148" t="str">
        <f>IF($A148&lt;&gt;"",'Approved-In-Depth'!F148,"")</f>
        <v/>
      </c>
      <c r="G148" t="str">
        <f>IF($A148&lt;&gt;"",'Approved-In-Depth'!G148,"")</f>
        <v/>
      </c>
      <c r="H148" s="4" t="str">
        <f>IF($A148&lt;&gt;"",'Approved-In-Depth'!H148,"")</f>
        <v/>
      </c>
      <c r="I148" t="str">
        <f>IF($A148&lt;&gt;"",'Approved-In-Depth'!I148,"")</f>
        <v/>
      </c>
      <c r="J148" t="str">
        <f>IF($A148&lt;&gt;"",'Approved-In-Depth'!J148,"")</f>
        <v/>
      </c>
      <c r="K148" t="str">
        <f>IF($A148&lt;&gt;"",'Approved-In-Depth'!K148,"")</f>
        <v/>
      </c>
      <c r="L148" s="4" t="str">
        <f>IF($A148&lt;&gt;"",'Approved-In-Depth'!L148,"")</f>
        <v/>
      </c>
      <c r="M148" t="str">
        <f>IF($A148&lt;&gt;"",'Approved-In-Depth'!M148,"")</f>
        <v/>
      </c>
    </row>
    <row r="149" spans="1:13" x14ac:dyDescent="0.35">
      <c r="A149" s="4" t="str">
        <f>IF('Approved-In-Depth'!$A149&lt;&gt;"",'Approved-In-Depth'!A149,"")</f>
        <v/>
      </c>
      <c r="B149" t="str">
        <f>IF($O149&lt;&gt;"",$O149,IF($A149&lt;&gt;"",'Approved-In-Depth'!$B149+7,""))</f>
        <v/>
      </c>
      <c r="C149" t="str">
        <f>IF($A149&lt;&gt;"",'Approved-In-Depth'!C149,"")</f>
        <v/>
      </c>
      <c r="D149" t="str">
        <f>IF($A149&lt;&gt;"",'Approved-In-Depth'!D149,"")</f>
        <v/>
      </c>
      <c r="E149" t="str">
        <f>IF($A149&lt;&gt;"",'Approved-In-Depth'!E149,"")</f>
        <v/>
      </c>
      <c r="F149" t="str">
        <f>IF($A149&lt;&gt;"",'Approved-In-Depth'!F149,"")</f>
        <v/>
      </c>
      <c r="G149" t="str">
        <f>IF($A149&lt;&gt;"",'Approved-In-Depth'!G149,"")</f>
        <v/>
      </c>
      <c r="H149" s="4" t="str">
        <f>IF($A149&lt;&gt;"",'Approved-In-Depth'!H149,"")</f>
        <v/>
      </c>
      <c r="I149" t="str">
        <f>IF($A149&lt;&gt;"",'Approved-In-Depth'!I149,"")</f>
        <v/>
      </c>
      <c r="J149" t="str">
        <f>IF($A149&lt;&gt;"",'Approved-In-Depth'!J149,"")</f>
        <v/>
      </c>
      <c r="K149" t="str">
        <f>IF($A149&lt;&gt;"",'Approved-In-Depth'!K149,"")</f>
        <v/>
      </c>
      <c r="L149" s="4" t="str">
        <f>IF($A149&lt;&gt;"",'Approved-In-Depth'!L149,"")</f>
        <v/>
      </c>
      <c r="M149" t="str">
        <f>IF($A149&lt;&gt;"",'Approved-In-Depth'!M149,"")</f>
        <v/>
      </c>
    </row>
    <row r="150" spans="1:13" x14ac:dyDescent="0.35">
      <c r="A150" s="4" t="str">
        <f>IF('Approved-In-Depth'!$A150&lt;&gt;"",'Approved-In-Depth'!A150,"")</f>
        <v/>
      </c>
      <c r="B150" t="str">
        <f>IF($O150&lt;&gt;"",$O150,IF($A150&lt;&gt;"",'Approved-In-Depth'!$B150+7,""))</f>
        <v/>
      </c>
      <c r="C150" t="str">
        <f>IF($A150&lt;&gt;"",'Approved-In-Depth'!C150,"")</f>
        <v/>
      </c>
      <c r="D150" t="str">
        <f>IF($A150&lt;&gt;"",'Approved-In-Depth'!D150,"")</f>
        <v/>
      </c>
      <c r="E150" t="str">
        <f>IF($A150&lt;&gt;"",'Approved-In-Depth'!E150,"")</f>
        <v/>
      </c>
      <c r="F150" t="str">
        <f>IF($A150&lt;&gt;"",'Approved-In-Depth'!F150,"")</f>
        <v/>
      </c>
      <c r="G150" t="str">
        <f>IF($A150&lt;&gt;"",'Approved-In-Depth'!G150,"")</f>
        <v/>
      </c>
      <c r="H150" s="4" t="str">
        <f>IF($A150&lt;&gt;"",'Approved-In-Depth'!H150,"")</f>
        <v/>
      </c>
      <c r="I150" t="str">
        <f>IF($A150&lt;&gt;"",'Approved-In-Depth'!I150,"")</f>
        <v/>
      </c>
      <c r="J150" t="str">
        <f>IF($A150&lt;&gt;"",'Approved-In-Depth'!J150,"")</f>
        <v/>
      </c>
      <c r="K150" t="str">
        <f>IF($A150&lt;&gt;"",'Approved-In-Depth'!K150,"")</f>
        <v/>
      </c>
      <c r="L150" s="4" t="str">
        <f>IF($A150&lt;&gt;"",'Approved-In-Depth'!L150,"")</f>
        <v/>
      </c>
      <c r="M150" t="str">
        <f>IF($A150&lt;&gt;"",'Approved-In-Depth'!M150,"")</f>
        <v/>
      </c>
    </row>
    <row r="151" spans="1:13" x14ac:dyDescent="0.35">
      <c r="A151" s="4" t="str">
        <f>IF('Approved-In-Depth'!$A151&lt;&gt;"",'Approved-In-Depth'!A151,"")</f>
        <v/>
      </c>
      <c r="B151" t="str">
        <f>IF($O151&lt;&gt;"",$O151,IF($A151&lt;&gt;"",'Approved-In-Depth'!$B151+7,""))</f>
        <v/>
      </c>
      <c r="C151" t="str">
        <f>IF($A151&lt;&gt;"",'Approved-In-Depth'!C151,"")</f>
        <v/>
      </c>
      <c r="D151" t="str">
        <f>IF($A151&lt;&gt;"",'Approved-In-Depth'!D151,"")</f>
        <v/>
      </c>
      <c r="E151" t="str">
        <f>IF($A151&lt;&gt;"",'Approved-In-Depth'!E151,"")</f>
        <v/>
      </c>
      <c r="F151" t="str">
        <f>IF($A151&lt;&gt;"",'Approved-In-Depth'!F151,"")</f>
        <v/>
      </c>
      <c r="G151" t="str">
        <f>IF($A151&lt;&gt;"",'Approved-In-Depth'!G151,"")</f>
        <v/>
      </c>
      <c r="H151" s="4" t="str">
        <f>IF($A151&lt;&gt;"",'Approved-In-Depth'!H151,"")</f>
        <v/>
      </c>
      <c r="I151" t="str">
        <f>IF($A151&lt;&gt;"",'Approved-In-Depth'!I151,"")</f>
        <v/>
      </c>
      <c r="J151" t="str">
        <f>IF($A151&lt;&gt;"",'Approved-In-Depth'!J151,"")</f>
        <v/>
      </c>
      <c r="K151" t="str">
        <f>IF($A151&lt;&gt;"",'Approved-In-Depth'!K151,"")</f>
        <v/>
      </c>
      <c r="L151" s="4" t="str">
        <f>IF($A151&lt;&gt;"",'Approved-In-Depth'!L151,"")</f>
        <v/>
      </c>
      <c r="M151" t="str">
        <f>IF($A151&lt;&gt;"",'Approved-In-Depth'!M151,"")</f>
        <v/>
      </c>
    </row>
    <row r="152" spans="1:13" x14ac:dyDescent="0.35">
      <c r="A152" s="4" t="str">
        <f>IF('Approved-In-Depth'!$A152&lt;&gt;"",'Approved-In-Depth'!A152,"")</f>
        <v/>
      </c>
      <c r="B152" t="str">
        <f>IF($O152&lt;&gt;"",$O152,IF($A152&lt;&gt;"",'Approved-In-Depth'!$B152+7,""))</f>
        <v/>
      </c>
      <c r="C152" t="str">
        <f>IF($A152&lt;&gt;"",'Approved-In-Depth'!C152,"")</f>
        <v/>
      </c>
      <c r="D152" t="str">
        <f>IF($A152&lt;&gt;"",'Approved-In-Depth'!D152,"")</f>
        <v/>
      </c>
      <c r="E152" t="str">
        <f>IF($A152&lt;&gt;"",'Approved-In-Depth'!E152,"")</f>
        <v/>
      </c>
      <c r="F152" t="str">
        <f>IF($A152&lt;&gt;"",'Approved-In-Depth'!F152,"")</f>
        <v/>
      </c>
      <c r="G152" t="str">
        <f>IF($A152&lt;&gt;"",'Approved-In-Depth'!G152,"")</f>
        <v/>
      </c>
      <c r="H152" s="4" t="str">
        <f>IF($A152&lt;&gt;"",'Approved-In-Depth'!H152,"")</f>
        <v/>
      </c>
      <c r="I152" t="str">
        <f>IF($A152&lt;&gt;"",'Approved-In-Depth'!I152,"")</f>
        <v/>
      </c>
      <c r="J152" t="str">
        <f>IF($A152&lt;&gt;"",'Approved-In-Depth'!J152,"")</f>
        <v/>
      </c>
      <c r="K152" t="str">
        <f>IF($A152&lt;&gt;"",'Approved-In-Depth'!K152,"")</f>
        <v/>
      </c>
      <c r="L152" s="4" t="str">
        <f>IF($A152&lt;&gt;"",'Approved-In-Depth'!L152,"")</f>
        <v/>
      </c>
      <c r="M152" t="str">
        <f>IF($A152&lt;&gt;"",'Approved-In-Depth'!M152,"")</f>
        <v/>
      </c>
    </row>
    <row r="153" spans="1:13" x14ac:dyDescent="0.35">
      <c r="A153" s="4" t="str">
        <f>IF('Approved-In-Depth'!$A153&lt;&gt;"",'Approved-In-Depth'!A153,"")</f>
        <v/>
      </c>
      <c r="B153" t="str">
        <f>IF($O153&lt;&gt;"",$O153,IF($A153&lt;&gt;"",'Approved-In-Depth'!$B153+7,""))</f>
        <v/>
      </c>
      <c r="C153" t="str">
        <f>IF($A153&lt;&gt;"",'Approved-In-Depth'!C153,"")</f>
        <v/>
      </c>
      <c r="D153" t="str">
        <f>IF($A153&lt;&gt;"",'Approved-In-Depth'!D153,"")</f>
        <v/>
      </c>
      <c r="E153" t="str">
        <f>IF($A153&lt;&gt;"",'Approved-In-Depth'!E153,"")</f>
        <v/>
      </c>
      <c r="F153" t="str">
        <f>IF($A153&lt;&gt;"",'Approved-In-Depth'!F153,"")</f>
        <v/>
      </c>
      <c r="G153" t="str">
        <f>IF($A153&lt;&gt;"",'Approved-In-Depth'!G153,"")</f>
        <v/>
      </c>
      <c r="H153" s="4" t="str">
        <f>IF($A153&lt;&gt;"",'Approved-In-Depth'!H153,"")</f>
        <v/>
      </c>
      <c r="I153" t="str">
        <f>IF($A153&lt;&gt;"",'Approved-In-Depth'!I153,"")</f>
        <v/>
      </c>
      <c r="J153" t="str">
        <f>IF($A153&lt;&gt;"",'Approved-In-Depth'!J153,"")</f>
        <v/>
      </c>
      <c r="K153" t="str">
        <f>IF($A153&lt;&gt;"",'Approved-In-Depth'!K153,"")</f>
        <v/>
      </c>
      <c r="L153" s="4" t="str">
        <f>IF($A153&lt;&gt;"",'Approved-In-Depth'!L153,"")</f>
        <v/>
      </c>
      <c r="M153" t="str">
        <f>IF($A153&lt;&gt;"",'Approved-In-Depth'!M153,"")</f>
        <v/>
      </c>
    </row>
    <row r="154" spans="1:13" x14ac:dyDescent="0.35">
      <c r="A154" s="4" t="str">
        <f>IF('Approved-In-Depth'!$A154&lt;&gt;"",'Approved-In-Depth'!A154,"")</f>
        <v/>
      </c>
      <c r="B154" t="str">
        <f>IF($O154&lt;&gt;"",$O154,IF($A154&lt;&gt;"",'Approved-In-Depth'!$B154+7,""))</f>
        <v/>
      </c>
      <c r="C154" t="str">
        <f>IF($A154&lt;&gt;"",'Approved-In-Depth'!C154,"")</f>
        <v/>
      </c>
      <c r="D154" t="str">
        <f>IF($A154&lt;&gt;"",'Approved-In-Depth'!D154,"")</f>
        <v/>
      </c>
      <c r="E154" t="str">
        <f>IF($A154&lt;&gt;"",'Approved-In-Depth'!E154,"")</f>
        <v/>
      </c>
      <c r="F154" t="str">
        <f>IF($A154&lt;&gt;"",'Approved-In-Depth'!F154,"")</f>
        <v/>
      </c>
      <c r="G154" t="str">
        <f>IF($A154&lt;&gt;"",'Approved-In-Depth'!G154,"")</f>
        <v/>
      </c>
      <c r="H154" s="4" t="str">
        <f>IF($A154&lt;&gt;"",'Approved-In-Depth'!H154,"")</f>
        <v/>
      </c>
      <c r="I154" t="str">
        <f>IF($A154&lt;&gt;"",'Approved-In-Depth'!I154,"")</f>
        <v/>
      </c>
      <c r="J154" t="str">
        <f>IF($A154&lt;&gt;"",'Approved-In-Depth'!J154,"")</f>
        <v/>
      </c>
      <c r="K154" t="str">
        <f>IF($A154&lt;&gt;"",'Approved-In-Depth'!K154,"")</f>
        <v/>
      </c>
      <c r="L154" s="4" t="str">
        <f>IF($A154&lt;&gt;"",'Approved-In-Depth'!L154,"")</f>
        <v/>
      </c>
      <c r="M154" t="str">
        <f>IF($A154&lt;&gt;"",'Approved-In-Depth'!M154,"")</f>
        <v/>
      </c>
    </row>
    <row r="155" spans="1:13" x14ac:dyDescent="0.35">
      <c r="A155" s="4" t="str">
        <f>IF('Approved-In-Depth'!$A155&lt;&gt;"",'Approved-In-Depth'!A155,"")</f>
        <v/>
      </c>
      <c r="B155" t="str">
        <f>IF($O155&lt;&gt;"",$O155,IF($A155&lt;&gt;"",'Approved-In-Depth'!$B155+7,""))</f>
        <v/>
      </c>
      <c r="C155" t="str">
        <f>IF($A155&lt;&gt;"",'Approved-In-Depth'!C155,"")</f>
        <v/>
      </c>
      <c r="D155" t="str">
        <f>IF($A155&lt;&gt;"",'Approved-In-Depth'!D155,"")</f>
        <v/>
      </c>
      <c r="E155" t="str">
        <f>IF($A155&lt;&gt;"",'Approved-In-Depth'!E155,"")</f>
        <v/>
      </c>
      <c r="F155" t="str">
        <f>IF($A155&lt;&gt;"",'Approved-In-Depth'!F155,"")</f>
        <v/>
      </c>
      <c r="G155" t="str">
        <f>IF($A155&lt;&gt;"",'Approved-In-Depth'!G155,"")</f>
        <v/>
      </c>
      <c r="H155" s="4" t="str">
        <f>IF($A155&lt;&gt;"",'Approved-In-Depth'!H155,"")</f>
        <v/>
      </c>
      <c r="I155" t="str">
        <f>IF($A155&lt;&gt;"",'Approved-In-Depth'!I155,"")</f>
        <v/>
      </c>
      <c r="J155" t="str">
        <f>IF($A155&lt;&gt;"",'Approved-In-Depth'!J155,"")</f>
        <v/>
      </c>
      <c r="K155" t="str">
        <f>IF($A155&lt;&gt;"",'Approved-In-Depth'!K155,"")</f>
        <v/>
      </c>
      <c r="L155" s="4" t="str">
        <f>IF($A155&lt;&gt;"",'Approved-In-Depth'!L155,"")</f>
        <v/>
      </c>
      <c r="M155" t="str">
        <f>IF($A155&lt;&gt;"",'Approved-In-Depth'!M155,"")</f>
        <v/>
      </c>
    </row>
    <row r="156" spans="1:13" x14ac:dyDescent="0.35">
      <c r="A156" s="4" t="str">
        <f>IF('Approved-In-Depth'!$A156&lt;&gt;"",'Approved-In-Depth'!A156,"")</f>
        <v/>
      </c>
      <c r="B156" t="str">
        <f>IF($O156&lt;&gt;"",$O156,IF($A156&lt;&gt;"",'Approved-In-Depth'!$B156+7,""))</f>
        <v/>
      </c>
      <c r="C156" t="str">
        <f>IF($A156&lt;&gt;"",'Approved-In-Depth'!C156,"")</f>
        <v/>
      </c>
      <c r="D156" t="str">
        <f>IF($A156&lt;&gt;"",'Approved-In-Depth'!D156,"")</f>
        <v/>
      </c>
      <c r="E156" t="str">
        <f>IF($A156&lt;&gt;"",'Approved-In-Depth'!E156,"")</f>
        <v/>
      </c>
      <c r="F156" t="str">
        <f>IF($A156&lt;&gt;"",'Approved-In-Depth'!F156,"")</f>
        <v/>
      </c>
      <c r="G156" t="str">
        <f>IF($A156&lt;&gt;"",'Approved-In-Depth'!G156,"")</f>
        <v/>
      </c>
      <c r="H156" s="4" t="str">
        <f>IF($A156&lt;&gt;"",'Approved-In-Depth'!H156,"")</f>
        <v/>
      </c>
      <c r="I156" t="str">
        <f>IF($A156&lt;&gt;"",'Approved-In-Depth'!I156,"")</f>
        <v/>
      </c>
      <c r="J156" t="str">
        <f>IF($A156&lt;&gt;"",'Approved-In-Depth'!J156,"")</f>
        <v/>
      </c>
      <c r="K156" t="str">
        <f>IF($A156&lt;&gt;"",'Approved-In-Depth'!K156,"")</f>
        <v/>
      </c>
      <c r="L156" s="4" t="str">
        <f>IF($A156&lt;&gt;"",'Approved-In-Depth'!L156,"")</f>
        <v/>
      </c>
      <c r="M156" t="str">
        <f>IF($A156&lt;&gt;"",'Approved-In-Depth'!M156,"")</f>
        <v/>
      </c>
    </row>
    <row r="157" spans="1:13" x14ac:dyDescent="0.35">
      <c r="A157" s="4" t="str">
        <f>IF('Approved-In-Depth'!$A157&lt;&gt;"",'Approved-In-Depth'!A157,"")</f>
        <v/>
      </c>
      <c r="B157" t="str">
        <f>IF($O157&lt;&gt;"",$O157,IF($A157&lt;&gt;"",'Approved-In-Depth'!$B157+7,""))</f>
        <v/>
      </c>
      <c r="C157" t="str">
        <f>IF($A157&lt;&gt;"",'Approved-In-Depth'!C157,"")</f>
        <v/>
      </c>
      <c r="D157" t="str">
        <f>IF($A157&lt;&gt;"",'Approved-In-Depth'!D157,"")</f>
        <v/>
      </c>
      <c r="E157" t="str">
        <f>IF($A157&lt;&gt;"",'Approved-In-Depth'!E157,"")</f>
        <v/>
      </c>
      <c r="F157" t="str">
        <f>IF($A157&lt;&gt;"",'Approved-In-Depth'!F157,"")</f>
        <v/>
      </c>
      <c r="G157" t="str">
        <f>IF($A157&lt;&gt;"",'Approved-In-Depth'!G157,"")</f>
        <v/>
      </c>
      <c r="H157" s="4" t="str">
        <f>IF($A157&lt;&gt;"",'Approved-In-Depth'!H157,"")</f>
        <v/>
      </c>
      <c r="I157" t="str">
        <f>IF($A157&lt;&gt;"",'Approved-In-Depth'!I157,"")</f>
        <v/>
      </c>
      <c r="J157" t="str">
        <f>IF($A157&lt;&gt;"",'Approved-In-Depth'!J157,"")</f>
        <v/>
      </c>
      <c r="K157" t="str">
        <f>IF($A157&lt;&gt;"",'Approved-In-Depth'!K157,"")</f>
        <v/>
      </c>
      <c r="L157" s="4" t="str">
        <f>IF($A157&lt;&gt;"",'Approved-In-Depth'!L157,"")</f>
        <v/>
      </c>
      <c r="M157" t="str">
        <f>IF($A157&lt;&gt;"",'Approved-In-Depth'!M157,"")</f>
        <v/>
      </c>
    </row>
    <row r="158" spans="1:13" x14ac:dyDescent="0.35">
      <c r="A158" s="4" t="str">
        <f>IF('Approved-In-Depth'!$A158&lt;&gt;"",'Approved-In-Depth'!A158,"")</f>
        <v/>
      </c>
      <c r="B158" t="str">
        <f>IF($O158&lt;&gt;"",$O158,IF($A158&lt;&gt;"",'Approved-In-Depth'!$B158+7,""))</f>
        <v/>
      </c>
      <c r="C158" t="str">
        <f>IF($A158&lt;&gt;"",'Approved-In-Depth'!C158,"")</f>
        <v/>
      </c>
      <c r="D158" t="str">
        <f>IF($A158&lt;&gt;"",'Approved-In-Depth'!D158,"")</f>
        <v/>
      </c>
      <c r="E158" t="str">
        <f>IF($A158&lt;&gt;"",'Approved-In-Depth'!E158,"")</f>
        <v/>
      </c>
      <c r="F158" t="str">
        <f>IF($A158&lt;&gt;"",'Approved-In-Depth'!F158,"")</f>
        <v/>
      </c>
      <c r="G158" t="str">
        <f>IF($A158&lt;&gt;"",'Approved-In-Depth'!G158,"")</f>
        <v/>
      </c>
      <c r="H158" s="4" t="str">
        <f>IF($A158&lt;&gt;"",'Approved-In-Depth'!H158,"")</f>
        <v/>
      </c>
      <c r="I158" t="str">
        <f>IF($A158&lt;&gt;"",'Approved-In-Depth'!I158,"")</f>
        <v/>
      </c>
      <c r="J158" t="str">
        <f>IF($A158&lt;&gt;"",'Approved-In-Depth'!J158,"")</f>
        <v/>
      </c>
      <c r="K158" t="str">
        <f>IF($A158&lt;&gt;"",'Approved-In-Depth'!K158,"")</f>
        <v/>
      </c>
      <c r="L158" s="4" t="str">
        <f>IF($A158&lt;&gt;"",'Approved-In-Depth'!L158,"")</f>
        <v/>
      </c>
      <c r="M158" t="str">
        <f>IF($A158&lt;&gt;"",'Approved-In-Depth'!M158,"")</f>
        <v/>
      </c>
    </row>
    <row r="159" spans="1:13" x14ac:dyDescent="0.35">
      <c r="A159" s="4" t="str">
        <f>IF('Approved-In-Depth'!$A159&lt;&gt;"",'Approved-In-Depth'!A159,"")</f>
        <v/>
      </c>
      <c r="B159" t="str">
        <f>IF($O159&lt;&gt;"",$O159,IF($A159&lt;&gt;"",'Approved-In-Depth'!$B159+7,""))</f>
        <v/>
      </c>
      <c r="C159" t="str">
        <f>IF($A159&lt;&gt;"",'Approved-In-Depth'!C159,"")</f>
        <v/>
      </c>
      <c r="D159" t="str">
        <f>IF($A159&lt;&gt;"",'Approved-In-Depth'!D159,"")</f>
        <v/>
      </c>
      <c r="E159" t="str">
        <f>IF($A159&lt;&gt;"",'Approved-In-Depth'!E159,"")</f>
        <v/>
      </c>
      <c r="F159" t="str">
        <f>IF($A159&lt;&gt;"",'Approved-In-Depth'!F159,"")</f>
        <v/>
      </c>
      <c r="G159" t="str">
        <f>IF($A159&lt;&gt;"",'Approved-In-Depth'!G159,"")</f>
        <v/>
      </c>
      <c r="H159" s="4" t="str">
        <f>IF($A159&lt;&gt;"",'Approved-In-Depth'!H159,"")</f>
        <v/>
      </c>
      <c r="I159" t="str">
        <f>IF($A159&lt;&gt;"",'Approved-In-Depth'!I159,"")</f>
        <v/>
      </c>
      <c r="J159" t="str">
        <f>IF($A159&lt;&gt;"",'Approved-In-Depth'!J159,"")</f>
        <v/>
      </c>
      <c r="K159" t="str">
        <f>IF($A159&lt;&gt;"",'Approved-In-Depth'!K159,"")</f>
        <v/>
      </c>
      <c r="L159" s="4" t="str">
        <f>IF($A159&lt;&gt;"",'Approved-In-Depth'!L159,"")</f>
        <v/>
      </c>
      <c r="M159" t="str">
        <f>IF($A159&lt;&gt;"",'Approved-In-Depth'!M159,"")</f>
        <v/>
      </c>
    </row>
    <row r="160" spans="1:13" x14ac:dyDescent="0.35">
      <c r="A160" s="4" t="str">
        <f>IF('Approved-In-Depth'!$A160&lt;&gt;"",'Approved-In-Depth'!A160,"")</f>
        <v/>
      </c>
      <c r="B160" t="str">
        <f>IF($O160&lt;&gt;"",$O160,IF($A160&lt;&gt;"",'Approved-In-Depth'!$B160+7,""))</f>
        <v/>
      </c>
      <c r="C160" t="str">
        <f>IF($A160&lt;&gt;"",'Approved-In-Depth'!C160,"")</f>
        <v/>
      </c>
      <c r="D160" t="str">
        <f>IF($A160&lt;&gt;"",'Approved-In-Depth'!D160,"")</f>
        <v/>
      </c>
      <c r="E160" t="str">
        <f>IF($A160&lt;&gt;"",'Approved-In-Depth'!E160,"")</f>
        <v/>
      </c>
      <c r="F160" t="str">
        <f>IF($A160&lt;&gt;"",'Approved-In-Depth'!F160,"")</f>
        <v/>
      </c>
      <c r="G160" t="str">
        <f>IF($A160&lt;&gt;"",'Approved-In-Depth'!G160,"")</f>
        <v/>
      </c>
      <c r="H160" s="4" t="str">
        <f>IF($A160&lt;&gt;"",'Approved-In-Depth'!H160,"")</f>
        <v/>
      </c>
      <c r="I160" t="str">
        <f>IF($A160&lt;&gt;"",'Approved-In-Depth'!I160,"")</f>
        <v/>
      </c>
      <c r="J160" t="str">
        <f>IF($A160&lt;&gt;"",'Approved-In-Depth'!J160,"")</f>
        <v/>
      </c>
      <c r="K160" t="str">
        <f>IF($A160&lt;&gt;"",'Approved-In-Depth'!K160,"")</f>
        <v/>
      </c>
      <c r="L160" s="4" t="str">
        <f>IF($A160&lt;&gt;"",'Approved-In-Depth'!L160,"")</f>
        <v/>
      </c>
      <c r="M160" t="str">
        <f>IF($A160&lt;&gt;"",'Approved-In-Depth'!M160,"")</f>
        <v/>
      </c>
    </row>
    <row r="161" spans="1:13" x14ac:dyDescent="0.35">
      <c r="A161" s="4" t="str">
        <f>IF('Approved-In-Depth'!$A161&lt;&gt;"",'Approved-In-Depth'!A161,"")</f>
        <v/>
      </c>
      <c r="B161" t="str">
        <f>IF($O161&lt;&gt;"",$O161,IF($A161&lt;&gt;"",'Approved-In-Depth'!$B161+7,""))</f>
        <v/>
      </c>
      <c r="C161" t="str">
        <f>IF($A161&lt;&gt;"",'Approved-In-Depth'!C161,"")</f>
        <v/>
      </c>
      <c r="D161" t="str">
        <f>IF($A161&lt;&gt;"",'Approved-In-Depth'!D161,"")</f>
        <v/>
      </c>
      <c r="E161" t="str">
        <f>IF($A161&lt;&gt;"",'Approved-In-Depth'!E161,"")</f>
        <v/>
      </c>
      <c r="F161" t="str">
        <f>IF($A161&lt;&gt;"",'Approved-In-Depth'!F161,"")</f>
        <v/>
      </c>
      <c r="G161" t="str">
        <f>IF($A161&lt;&gt;"",'Approved-In-Depth'!G161,"")</f>
        <v/>
      </c>
      <c r="H161" s="4" t="str">
        <f>IF($A161&lt;&gt;"",'Approved-In-Depth'!H161,"")</f>
        <v/>
      </c>
      <c r="I161" t="str">
        <f>IF($A161&lt;&gt;"",'Approved-In-Depth'!I161,"")</f>
        <v/>
      </c>
      <c r="J161" t="str">
        <f>IF($A161&lt;&gt;"",'Approved-In-Depth'!J161,"")</f>
        <v/>
      </c>
      <c r="K161" t="str">
        <f>IF($A161&lt;&gt;"",'Approved-In-Depth'!K161,"")</f>
        <v/>
      </c>
      <c r="L161" s="4" t="str">
        <f>IF($A161&lt;&gt;"",'Approved-In-Depth'!L161,"")</f>
        <v/>
      </c>
      <c r="M161" t="str">
        <f>IF($A161&lt;&gt;"",'Approved-In-Depth'!M161,"")</f>
        <v/>
      </c>
    </row>
    <row r="162" spans="1:13" x14ac:dyDescent="0.35">
      <c r="A162" s="4" t="str">
        <f>IF('Approved-In-Depth'!$A162&lt;&gt;"",'Approved-In-Depth'!A162,"")</f>
        <v/>
      </c>
      <c r="B162" t="str">
        <f>IF($O162&lt;&gt;"",$O162,IF($A162&lt;&gt;"",'Approved-In-Depth'!$B162+7,""))</f>
        <v/>
      </c>
      <c r="C162" t="str">
        <f>IF($A162&lt;&gt;"",'Approved-In-Depth'!C162,"")</f>
        <v/>
      </c>
      <c r="D162" t="str">
        <f>IF($A162&lt;&gt;"",'Approved-In-Depth'!D162,"")</f>
        <v/>
      </c>
      <c r="E162" t="str">
        <f>IF($A162&lt;&gt;"",'Approved-In-Depth'!E162,"")</f>
        <v/>
      </c>
      <c r="F162" t="str">
        <f>IF($A162&lt;&gt;"",'Approved-In-Depth'!F162,"")</f>
        <v/>
      </c>
      <c r="G162" t="str">
        <f>IF($A162&lt;&gt;"",'Approved-In-Depth'!G162,"")</f>
        <v/>
      </c>
      <c r="H162" s="4" t="str">
        <f>IF($A162&lt;&gt;"",'Approved-In-Depth'!H162,"")</f>
        <v/>
      </c>
      <c r="I162" t="str">
        <f>IF($A162&lt;&gt;"",'Approved-In-Depth'!I162,"")</f>
        <v/>
      </c>
      <c r="J162" t="str">
        <f>IF($A162&lt;&gt;"",'Approved-In-Depth'!J162,"")</f>
        <v/>
      </c>
      <c r="K162" t="str">
        <f>IF($A162&lt;&gt;"",'Approved-In-Depth'!K162,"")</f>
        <v/>
      </c>
      <c r="L162" s="4" t="str">
        <f>IF($A162&lt;&gt;"",'Approved-In-Depth'!L162,"")</f>
        <v/>
      </c>
      <c r="M162" t="str">
        <f>IF($A162&lt;&gt;"",'Approved-In-Depth'!M162,"")</f>
        <v/>
      </c>
    </row>
    <row r="163" spans="1:13" x14ac:dyDescent="0.35">
      <c r="A163" s="4" t="str">
        <f>IF('Approved-In-Depth'!$A163&lt;&gt;"",'Approved-In-Depth'!A163,"")</f>
        <v/>
      </c>
      <c r="B163" t="str">
        <f>IF($O163&lt;&gt;"",$O163,IF($A163&lt;&gt;"",'Approved-In-Depth'!$B163+7,""))</f>
        <v/>
      </c>
      <c r="C163" t="str">
        <f>IF($A163&lt;&gt;"",'Approved-In-Depth'!C163,"")</f>
        <v/>
      </c>
      <c r="D163" t="str">
        <f>IF($A163&lt;&gt;"",'Approved-In-Depth'!D163,"")</f>
        <v/>
      </c>
      <c r="E163" t="str">
        <f>IF($A163&lt;&gt;"",'Approved-In-Depth'!E163,"")</f>
        <v/>
      </c>
      <c r="F163" t="str">
        <f>IF($A163&lt;&gt;"",'Approved-In-Depth'!F163,"")</f>
        <v/>
      </c>
      <c r="G163" t="str">
        <f>IF($A163&lt;&gt;"",'Approved-In-Depth'!G163,"")</f>
        <v/>
      </c>
      <c r="H163" s="4" t="str">
        <f>IF($A163&lt;&gt;"",'Approved-In-Depth'!H163,"")</f>
        <v/>
      </c>
      <c r="I163" t="str">
        <f>IF($A163&lt;&gt;"",'Approved-In-Depth'!I163,"")</f>
        <v/>
      </c>
      <c r="J163" t="str">
        <f>IF($A163&lt;&gt;"",'Approved-In-Depth'!J163,"")</f>
        <v/>
      </c>
      <c r="K163" t="str">
        <f>IF($A163&lt;&gt;"",'Approved-In-Depth'!K163,"")</f>
        <v/>
      </c>
      <c r="L163" s="4" t="str">
        <f>IF($A163&lt;&gt;"",'Approved-In-Depth'!L163,"")</f>
        <v/>
      </c>
      <c r="M163" t="str">
        <f>IF($A163&lt;&gt;"",'Approved-In-Depth'!M163,"")</f>
        <v/>
      </c>
    </row>
    <row r="164" spans="1:13" x14ac:dyDescent="0.35">
      <c r="A164" s="4" t="str">
        <f>IF('Approved-In-Depth'!$A164&lt;&gt;"",'Approved-In-Depth'!A164,"")</f>
        <v/>
      </c>
      <c r="B164" t="str">
        <f>IF($O164&lt;&gt;"",$O164,IF($A164&lt;&gt;"",'Approved-In-Depth'!$B164+7,""))</f>
        <v/>
      </c>
      <c r="C164" t="str">
        <f>IF($A164&lt;&gt;"",'Approved-In-Depth'!C164,"")</f>
        <v/>
      </c>
      <c r="D164" t="str">
        <f>IF($A164&lt;&gt;"",'Approved-In-Depth'!D164,"")</f>
        <v/>
      </c>
      <c r="E164" t="str">
        <f>IF($A164&lt;&gt;"",'Approved-In-Depth'!E164,"")</f>
        <v/>
      </c>
      <c r="F164" t="str">
        <f>IF($A164&lt;&gt;"",'Approved-In-Depth'!F164,"")</f>
        <v/>
      </c>
      <c r="G164" t="str">
        <f>IF($A164&lt;&gt;"",'Approved-In-Depth'!G164,"")</f>
        <v/>
      </c>
      <c r="H164" s="4" t="str">
        <f>IF($A164&lt;&gt;"",'Approved-In-Depth'!H164,"")</f>
        <v/>
      </c>
      <c r="I164" t="str">
        <f>IF($A164&lt;&gt;"",'Approved-In-Depth'!I164,"")</f>
        <v/>
      </c>
      <c r="J164" t="str">
        <f>IF($A164&lt;&gt;"",'Approved-In-Depth'!J164,"")</f>
        <v/>
      </c>
      <c r="K164" t="str">
        <f>IF($A164&lt;&gt;"",'Approved-In-Depth'!K164,"")</f>
        <v/>
      </c>
      <c r="L164" s="4" t="str">
        <f>IF($A164&lt;&gt;"",'Approved-In-Depth'!L164,"")</f>
        <v/>
      </c>
      <c r="M164" t="str">
        <f>IF($A164&lt;&gt;"",'Approved-In-Depth'!M164,"")</f>
        <v/>
      </c>
    </row>
    <row r="165" spans="1:13" x14ac:dyDescent="0.35">
      <c r="A165" s="4" t="str">
        <f>IF('Approved-In-Depth'!$A165&lt;&gt;"",'Approved-In-Depth'!A165,"")</f>
        <v/>
      </c>
      <c r="B165" t="str">
        <f>IF($O165&lt;&gt;"",$O165,IF($A165&lt;&gt;"",'Approved-In-Depth'!$B165+7,""))</f>
        <v/>
      </c>
      <c r="C165" t="str">
        <f>IF($A165&lt;&gt;"",'Approved-In-Depth'!C165,"")</f>
        <v/>
      </c>
      <c r="D165" t="str">
        <f>IF($A165&lt;&gt;"",'Approved-In-Depth'!D165,"")</f>
        <v/>
      </c>
      <c r="E165" t="str">
        <f>IF($A165&lt;&gt;"",'Approved-In-Depth'!E165,"")</f>
        <v/>
      </c>
      <c r="F165" t="str">
        <f>IF($A165&lt;&gt;"",'Approved-In-Depth'!F165,"")</f>
        <v/>
      </c>
      <c r="G165" t="str">
        <f>IF($A165&lt;&gt;"",'Approved-In-Depth'!G165,"")</f>
        <v/>
      </c>
      <c r="H165" s="4" t="str">
        <f>IF($A165&lt;&gt;"",'Approved-In-Depth'!H165,"")</f>
        <v/>
      </c>
      <c r="I165" t="str">
        <f>IF($A165&lt;&gt;"",'Approved-In-Depth'!I165,"")</f>
        <v/>
      </c>
      <c r="J165" t="str">
        <f>IF($A165&lt;&gt;"",'Approved-In-Depth'!J165,"")</f>
        <v/>
      </c>
      <c r="K165" t="str">
        <f>IF($A165&lt;&gt;"",'Approved-In-Depth'!K165,"")</f>
        <v/>
      </c>
      <c r="L165" s="4" t="str">
        <f>IF($A165&lt;&gt;"",'Approved-In-Depth'!L165,"")</f>
        <v/>
      </c>
      <c r="M165" t="str">
        <f>IF($A165&lt;&gt;"",'Approved-In-Depth'!M165,"")</f>
        <v/>
      </c>
    </row>
    <row r="166" spans="1:13" x14ac:dyDescent="0.35">
      <c r="A166" s="4" t="str">
        <f>IF('Approved-In-Depth'!$A166&lt;&gt;"",'Approved-In-Depth'!A166,"")</f>
        <v/>
      </c>
      <c r="B166" t="str">
        <f>IF($O166&lt;&gt;"",$O166,IF($A166&lt;&gt;"",'Approved-In-Depth'!$B166+7,""))</f>
        <v/>
      </c>
      <c r="C166" t="str">
        <f>IF($A166&lt;&gt;"",'Approved-In-Depth'!C166,"")</f>
        <v/>
      </c>
      <c r="D166" t="str">
        <f>IF($A166&lt;&gt;"",'Approved-In-Depth'!D166,"")</f>
        <v/>
      </c>
      <c r="E166" t="str">
        <f>IF($A166&lt;&gt;"",'Approved-In-Depth'!E166,"")</f>
        <v/>
      </c>
      <c r="F166" t="str">
        <f>IF($A166&lt;&gt;"",'Approved-In-Depth'!F166,"")</f>
        <v/>
      </c>
      <c r="G166" t="str">
        <f>IF($A166&lt;&gt;"",'Approved-In-Depth'!G166,"")</f>
        <v/>
      </c>
      <c r="H166" s="4" t="str">
        <f>IF($A166&lt;&gt;"",'Approved-In-Depth'!H166,"")</f>
        <v/>
      </c>
      <c r="I166" t="str">
        <f>IF($A166&lt;&gt;"",'Approved-In-Depth'!I166,"")</f>
        <v/>
      </c>
      <c r="J166" t="str">
        <f>IF($A166&lt;&gt;"",'Approved-In-Depth'!J166,"")</f>
        <v/>
      </c>
      <c r="K166" t="str">
        <f>IF($A166&lt;&gt;"",'Approved-In-Depth'!K166,"")</f>
        <v/>
      </c>
      <c r="L166" s="4" t="str">
        <f>IF($A166&lt;&gt;"",'Approved-In-Depth'!L166,"")</f>
        <v/>
      </c>
      <c r="M166" t="str">
        <f>IF($A166&lt;&gt;"",'Approved-In-Depth'!M166,"")</f>
        <v/>
      </c>
    </row>
    <row r="167" spans="1:13" x14ac:dyDescent="0.35">
      <c r="A167" s="4" t="str">
        <f>IF('Approved-In-Depth'!$A167&lt;&gt;"",'Approved-In-Depth'!A167,"")</f>
        <v/>
      </c>
      <c r="B167" t="str">
        <f>IF($O167&lt;&gt;"",$O167,IF($A167&lt;&gt;"",'Approved-In-Depth'!$B167+7,""))</f>
        <v/>
      </c>
      <c r="C167" t="str">
        <f>IF($A167&lt;&gt;"",'Approved-In-Depth'!C167,"")</f>
        <v/>
      </c>
      <c r="D167" t="str">
        <f>IF($A167&lt;&gt;"",'Approved-In-Depth'!D167,"")</f>
        <v/>
      </c>
      <c r="E167" t="str">
        <f>IF($A167&lt;&gt;"",'Approved-In-Depth'!E167,"")</f>
        <v/>
      </c>
      <c r="F167" t="str">
        <f>IF($A167&lt;&gt;"",'Approved-In-Depth'!F167,"")</f>
        <v/>
      </c>
      <c r="G167" t="str">
        <f>IF($A167&lt;&gt;"",'Approved-In-Depth'!G167,"")</f>
        <v/>
      </c>
      <c r="H167" s="4" t="str">
        <f>IF($A167&lt;&gt;"",'Approved-In-Depth'!H167,"")</f>
        <v/>
      </c>
      <c r="I167" t="str">
        <f>IF($A167&lt;&gt;"",'Approved-In-Depth'!I167,"")</f>
        <v/>
      </c>
      <c r="J167" t="str">
        <f>IF($A167&lt;&gt;"",'Approved-In-Depth'!J167,"")</f>
        <v/>
      </c>
      <c r="K167" t="str">
        <f>IF($A167&lt;&gt;"",'Approved-In-Depth'!K167,"")</f>
        <v/>
      </c>
      <c r="L167" s="4" t="str">
        <f>IF($A167&lt;&gt;"",'Approved-In-Depth'!L167,"")</f>
        <v/>
      </c>
      <c r="M167" t="str">
        <f>IF($A167&lt;&gt;"",'Approved-In-Depth'!M167,"")</f>
        <v/>
      </c>
    </row>
    <row r="168" spans="1:13" x14ac:dyDescent="0.35">
      <c r="A168" s="4" t="str">
        <f>IF('Approved-In-Depth'!$A168&lt;&gt;"",'Approved-In-Depth'!A168,"")</f>
        <v/>
      </c>
      <c r="B168" t="str">
        <f>IF($O168&lt;&gt;"",$O168,IF($A168&lt;&gt;"",'Approved-In-Depth'!$B168+7,""))</f>
        <v/>
      </c>
      <c r="C168" t="str">
        <f>IF($A168&lt;&gt;"",'Approved-In-Depth'!C168,"")</f>
        <v/>
      </c>
      <c r="D168" t="str">
        <f>IF($A168&lt;&gt;"",'Approved-In-Depth'!D168,"")</f>
        <v/>
      </c>
      <c r="E168" t="str">
        <f>IF($A168&lt;&gt;"",'Approved-In-Depth'!E168,"")</f>
        <v/>
      </c>
      <c r="F168" t="str">
        <f>IF($A168&lt;&gt;"",'Approved-In-Depth'!F168,"")</f>
        <v/>
      </c>
      <c r="G168" t="str">
        <f>IF($A168&lt;&gt;"",'Approved-In-Depth'!G168,"")</f>
        <v/>
      </c>
      <c r="H168" s="4" t="str">
        <f>IF($A168&lt;&gt;"",'Approved-In-Depth'!H168,"")</f>
        <v/>
      </c>
      <c r="I168" t="str">
        <f>IF($A168&lt;&gt;"",'Approved-In-Depth'!I168,"")</f>
        <v/>
      </c>
      <c r="J168" t="str">
        <f>IF($A168&lt;&gt;"",'Approved-In-Depth'!J168,"")</f>
        <v/>
      </c>
      <c r="K168" t="str">
        <f>IF($A168&lt;&gt;"",'Approved-In-Depth'!K168,"")</f>
        <v/>
      </c>
      <c r="L168" s="4" t="str">
        <f>IF($A168&lt;&gt;"",'Approved-In-Depth'!L168,"")</f>
        <v/>
      </c>
      <c r="M168" t="str">
        <f>IF($A168&lt;&gt;"",'Approved-In-Depth'!M168,"")</f>
        <v/>
      </c>
    </row>
    <row r="169" spans="1:13" x14ac:dyDescent="0.35">
      <c r="A169" s="4" t="str">
        <f>IF('Approved-In-Depth'!$A169&lt;&gt;"",'Approved-In-Depth'!A169,"")</f>
        <v/>
      </c>
      <c r="B169" t="str">
        <f>IF($O169&lt;&gt;"",$O169,IF($A169&lt;&gt;"",'Approved-In-Depth'!$B169+7,""))</f>
        <v/>
      </c>
      <c r="C169" t="str">
        <f>IF($A169&lt;&gt;"",'Approved-In-Depth'!C169,"")</f>
        <v/>
      </c>
      <c r="D169" t="str">
        <f>IF($A169&lt;&gt;"",'Approved-In-Depth'!D169,"")</f>
        <v/>
      </c>
      <c r="E169" t="str">
        <f>IF($A169&lt;&gt;"",'Approved-In-Depth'!E169,"")</f>
        <v/>
      </c>
      <c r="F169" t="str">
        <f>IF($A169&lt;&gt;"",'Approved-In-Depth'!F169,"")</f>
        <v/>
      </c>
      <c r="G169" t="str">
        <f>IF($A169&lt;&gt;"",'Approved-In-Depth'!G169,"")</f>
        <v/>
      </c>
      <c r="H169" s="4" t="str">
        <f>IF($A169&lt;&gt;"",'Approved-In-Depth'!H169,"")</f>
        <v/>
      </c>
      <c r="I169" t="str">
        <f>IF($A169&lt;&gt;"",'Approved-In-Depth'!I169,"")</f>
        <v/>
      </c>
      <c r="J169" t="str">
        <f>IF($A169&lt;&gt;"",'Approved-In-Depth'!J169,"")</f>
        <v/>
      </c>
      <c r="K169" t="str">
        <f>IF($A169&lt;&gt;"",'Approved-In-Depth'!K169,"")</f>
        <v/>
      </c>
      <c r="L169" s="4" t="str">
        <f>IF($A169&lt;&gt;"",'Approved-In-Depth'!L169,"")</f>
        <v/>
      </c>
      <c r="M169" t="str">
        <f>IF($A169&lt;&gt;"",'Approved-In-Depth'!M169,"")</f>
        <v/>
      </c>
    </row>
    <row r="170" spans="1:13" x14ac:dyDescent="0.35">
      <c r="A170" s="4" t="str">
        <f>IF('Approved-In-Depth'!$A170&lt;&gt;"",'Approved-In-Depth'!A170,"")</f>
        <v/>
      </c>
      <c r="B170" t="str">
        <f>IF($O170&lt;&gt;"",$O170,IF($A170&lt;&gt;"",'Approved-In-Depth'!$B170+7,""))</f>
        <v/>
      </c>
      <c r="C170" t="str">
        <f>IF($A170&lt;&gt;"",'Approved-In-Depth'!C170,"")</f>
        <v/>
      </c>
      <c r="D170" t="str">
        <f>IF($A170&lt;&gt;"",'Approved-In-Depth'!D170,"")</f>
        <v/>
      </c>
      <c r="E170" t="str">
        <f>IF($A170&lt;&gt;"",'Approved-In-Depth'!E170,"")</f>
        <v/>
      </c>
      <c r="F170" t="str">
        <f>IF($A170&lt;&gt;"",'Approved-In-Depth'!F170,"")</f>
        <v/>
      </c>
      <c r="G170" t="str">
        <f>IF($A170&lt;&gt;"",'Approved-In-Depth'!G170,"")</f>
        <v/>
      </c>
      <c r="H170" s="4" t="str">
        <f>IF($A170&lt;&gt;"",'Approved-In-Depth'!H170,"")</f>
        <v/>
      </c>
      <c r="I170" t="str">
        <f>IF($A170&lt;&gt;"",'Approved-In-Depth'!I170,"")</f>
        <v/>
      </c>
      <c r="J170" t="str">
        <f>IF($A170&lt;&gt;"",'Approved-In-Depth'!J170,"")</f>
        <v/>
      </c>
      <c r="K170" t="str">
        <f>IF($A170&lt;&gt;"",'Approved-In-Depth'!K170,"")</f>
        <v/>
      </c>
      <c r="L170" s="4" t="str">
        <f>IF($A170&lt;&gt;"",'Approved-In-Depth'!L170,"")</f>
        <v/>
      </c>
      <c r="M170" t="str">
        <f>IF($A170&lt;&gt;"",'Approved-In-Depth'!M170,"")</f>
        <v/>
      </c>
    </row>
    <row r="171" spans="1:13" x14ac:dyDescent="0.35">
      <c r="A171" s="4" t="str">
        <f>IF('Approved-In-Depth'!$A171&lt;&gt;"",'Approved-In-Depth'!A171,"")</f>
        <v/>
      </c>
      <c r="B171" t="str">
        <f>IF($O171&lt;&gt;"",$O171,IF($A171&lt;&gt;"",'Approved-In-Depth'!$B171+7,""))</f>
        <v/>
      </c>
      <c r="C171" t="str">
        <f>IF($A171&lt;&gt;"",'Approved-In-Depth'!C171,"")</f>
        <v/>
      </c>
      <c r="D171" t="str">
        <f>IF($A171&lt;&gt;"",'Approved-In-Depth'!D171,"")</f>
        <v/>
      </c>
      <c r="E171" t="str">
        <f>IF($A171&lt;&gt;"",'Approved-In-Depth'!E171,"")</f>
        <v/>
      </c>
      <c r="F171" t="str">
        <f>IF($A171&lt;&gt;"",'Approved-In-Depth'!F171,"")</f>
        <v/>
      </c>
      <c r="G171" t="str">
        <f>IF($A171&lt;&gt;"",'Approved-In-Depth'!G171,"")</f>
        <v/>
      </c>
      <c r="H171" s="4" t="str">
        <f>IF($A171&lt;&gt;"",'Approved-In-Depth'!H171,"")</f>
        <v/>
      </c>
      <c r="I171" t="str">
        <f>IF($A171&lt;&gt;"",'Approved-In-Depth'!I171,"")</f>
        <v/>
      </c>
      <c r="J171" t="str">
        <f>IF($A171&lt;&gt;"",'Approved-In-Depth'!J171,"")</f>
        <v/>
      </c>
      <c r="K171" t="str">
        <f>IF($A171&lt;&gt;"",'Approved-In-Depth'!K171,"")</f>
        <v/>
      </c>
      <c r="L171" s="4" t="str">
        <f>IF($A171&lt;&gt;"",'Approved-In-Depth'!L171,"")</f>
        <v/>
      </c>
      <c r="M171" t="str">
        <f>IF($A171&lt;&gt;"",'Approved-In-Depth'!M171,"")</f>
        <v/>
      </c>
    </row>
    <row r="172" spans="1:13" x14ac:dyDescent="0.35">
      <c r="A172" s="4" t="str">
        <f>IF('Approved-In-Depth'!$A172&lt;&gt;"",'Approved-In-Depth'!A172,"")</f>
        <v/>
      </c>
      <c r="B172" t="str">
        <f>IF($O172&lt;&gt;"",$O172,IF($A172&lt;&gt;"",'Approved-In-Depth'!$B172+7,""))</f>
        <v/>
      </c>
      <c r="C172" t="str">
        <f>IF($A172&lt;&gt;"",'Approved-In-Depth'!C172,"")</f>
        <v/>
      </c>
      <c r="D172" t="str">
        <f>IF($A172&lt;&gt;"",'Approved-In-Depth'!D172,"")</f>
        <v/>
      </c>
      <c r="E172" t="str">
        <f>IF($A172&lt;&gt;"",'Approved-In-Depth'!E172,"")</f>
        <v/>
      </c>
      <c r="F172" t="str">
        <f>IF($A172&lt;&gt;"",'Approved-In-Depth'!F172,"")</f>
        <v/>
      </c>
      <c r="G172" t="str">
        <f>IF($A172&lt;&gt;"",'Approved-In-Depth'!G172,"")</f>
        <v/>
      </c>
      <c r="H172" s="4" t="str">
        <f>IF($A172&lt;&gt;"",'Approved-In-Depth'!H172,"")</f>
        <v/>
      </c>
      <c r="I172" t="str">
        <f>IF($A172&lt;&gt;"",'Approved-In-Depth'!I172,"")</f>
        <v/>
      </c>
      <c r="J172" t="str">
        <f>IF($A172&lt;&gt;"",'Approved-In-Depth'!J172,"")</f>
        <v/>
      </c>
      <c r="K172" t="str">
        <f>IF($A172&lt;&gt;"",'Approved-In-Depth'!K172,"")</f>
        <v/>
      </c>
      <c r="L172" s="4" t="str">
        <f>IF($A172&lt;&gt;"",'Approved-In-Depth'!L172,"")</f>
        <v/>
      </c>
      <c r="M172" t="str">
        <f>IF($A172&lt;&gt;"",'Approved-In-Depth'!M172,"")</f>
        <v/>
      </c>
    </row>
    <row r="173" spans="1:13" x14ac:dyDescent="0.35">
      <c r="A173" s="4" t="str">
        <f>IF('Approved-In-Depth'!$A173&lt;&gt;"",'Approved-In-Depth'!A173,"")</f>
        <v/>
      </c>
      <c r="B173" t="str">
        <f>IF($O173&lt;&gt;"",$O173,IF($A173&lt;&gt;"",'Approved-In-Depth'!$B173+7,""))</f>
        <v/>
      </c>
      <c r="C173" t="str">
        <f>IF($A173&lt;&gt;"",'Approved-In-Depth'!C173,"")</f>
        <v/>
      </c>
      <c r="D173" t="str">
        <f>IF($A173&lt;&gt;"",'Approved-In-Depth'!D173,"")</f>
        <v/>
      </c>
      <c r="E173" t="str">
        <f>IF($A173&lt;&gt;"",'Approved-In-Depth'!E173,"")</f>
        <v/>
      </c>
      <c r="F173" t="str">
        <f>IF($A173&lt;&gt;"",'Approved-In-Depth'!F173,"")</f>
        <v/>
      </c>
      <c r="G173" t="str">
        <f>IF($A173&lt;&gt;"",'Approved-In-Depth'!G173,"")</f>
        <v/>
      </c>
      <c r="H173" s="4" t="str">
        <f>IF($A173&lt;&gt;"",'Approved-In-Depth'!H173,"")</f>
        <v/>
      </c>
      <c r="I173" t="str">
        <f>IF($A173&lt;&gt;"",'Approved-In-Depth'!I173,"")</f>
        <v/>
      </c>
      <c r="J173" t="str">
        <f>IF($A173&lt;&gt;"",'Approved-In-Depth'!J173,"")</f>
        <v/>
      </c>
      <c r="K173" t="str">
        <f>IF($A173&lt;&gt;"",'Approved-In-Depth'!K173,"")</f>
        <v/>
      </c>
      <c r="L173" s="4" t="str">
        <f>IF($A173&lt;&gt;"",'Approved-In-Depth'!L173,"")</f>
        <v/>
      </c>
      <c r="M173" t="str">
        <f>IF($A173&lt;&gt;"",'Approved-In-Depth'!M173,"")</f>
        <v/>
      </c>
    </row>
    <row r="174" spans="1:13" x14ac:dyDescent="0.35">
      <c r="A174" s="4" t="str">
        <f>IF('Approved-In-Depth'!$A174&lt;&gt;"",'Approved-In-Depth'!A174,"")</f>
        <v/>
      </c>
      <c r="B174" t="str">
        <f>IF($O174&lt;&gt;"",$O174,IF($A174&lt;&gt;"",'Approved-In-Depth'!$B174+7,""))</f>
        <v/>
      </c>
      <c r="C174" t="str">
        <f>IF($A174&lt;&gt;"",'Approved-In-Depth'!C174,"")</f>
        <v/>
      </c>
      <c r="D174" t="str">
        <f>IF($A174&lt;&gt;"",'Approved-In-Depth'!D174,"")</f>
        <v/>
      </c>
      <c r="E174" t="str">
        <f>IF($A174&lt;&gt;"",'Approved-In-Depth'!E174,"")</f>
        <v/>
      </c>
      <c r="F174" t="str">
        <f>IF($A174&lt;&gt;"",'Approved-In-Depth'!F174,"")</f>
        <v/>
      </c>
      <c r="G174" t="str">
        <f>IF($A174&lt;&gt;"",'Approved-In-Depth'!G174,"")</f>
        <v/>
      </c>
      <c r="H174" s="4" t="str">
        <f>IF($A174&lt;&gt;"",'Approved-In-Depth'!H174,"")</f>
        <v/>
      </c>
      <c r="I174" t="str">
        <f>IF($A174&lt;&gt;"",'Approved-In-Depth'!I174,"")</f>
        <v/>
      </c>
      <c r="J174" t="str">
        <f>IF($A174&lt;&gt;"",'Approved-In-Depth'!J174,"")</f>
        <v/>
      </c>
      <c r="K174" t="str">
        <f>IF($A174&lt;&gt;"",'Approved-In-Depth'!K174,"")</f>
        <v/>
      </c>
      <c r="L174" s="4" t="str">
        <f>IF($A174&lt;&gt;"",'Approved-In-Depth'!L174,"")</f>
        <v/>
      </c>
      <c r="M174" t="str">
        <f>IF($A174&lt;&gt;"",'Approved-In-Depth'!M174,"")</f>
        <v/>
      </c>
    </row>
    <row r="175" spans="1:13" x14ac:dyDescent="0.35">
      <c r="A175" s="4" t="str">
        <f>IF('Approved-In-Depth'!$A175&lt;&gt;"",'Approved-In-Depth'!A175,"")</f>
        <v/>
      </c>
      <c r="B175" t="str">
        <f>IF($O175&lt;&gt;"",$O175,IF($A175&lt;&gt;"",'Approved-In-Depth'!$B175+7,""))</f>
        <v/>
      </c>
      <c r="C175" t="str">
        <f>IF($A175&lt;&gt;"",'Approved-In-Depth'!C175,"")</f>
        <v/>
      </c>
      <c r="D175" t="str">
        <f>IF($A175&lt;&gt;"",'Approved-In-Depth'!D175,"")</f>
        <v/>
      </c>
      <c r="E175" t="str">
        <f>IF($A175&lt;&gt;"",'Approved-In-Depth'!E175,"")</f>
        <v/>
      </c>
      <c r="F175" t="str">
        <f>IF($A175&lt;&gt;"",'Approved-In-Depth'!F175,"")</f>
        <v/>
      </c>
      <c r="G175" t="str">
        <f>IF($A175&lt;&gt;"",'Approved-In-Depth'!G175,"")</f>
        <v/>
      </c>
      <c r="H175" s="4" t="str">
        <f>IF($A175&lt;&gt;"",'Approved-In-Depth'!H175,"")</f>
        <v/>
      </c>
      <c r="I175" t="str">
        <f>IF($A175&lt;&gt;"",'Approved-In-Depth'!I175,"")</f>
        <v/>
      </c>
      <c r="J175" t="str">
        <f>IF($A175&lt;&gt;"",'Approved-In-Depth'!J175,"")</f>
        <v/>
      </c>
      <c r="K175" t="str">
        <f>IF($A175&lt;&gt;"",'Approved-In-Depth'!K175,"")</f>
        <v/>
      </c>
      <c r="L175" s="4" t="str">
        <f>IF($A175&lt;&gt;"",'Approved-In-Depth'!L175,"")</f>
        <v/>
      </c>
      <c r="M175" t="str">
        <f>IF($A175&lt;&gt;"",'Approved-In-Depth'!M175,"")</f>
        <v/>
      </c>
    </row>
    <row r="176" spans="1:13" x14ac:dyDescent="0.35">
      <c r="A176" s="4" t="str">
        <f>IF('Approved-In-Depth'!$A176&lt;&gt;"",'Approved-In-Depth'!A176,"")</f>
        <v/>
      </c>
      <c r="B176" t="str">
        <f>IF($O176&lt;&gt;"",$O176,IF($A176&lt;&gt;"",'Approved-In-Depth'!$B176+7,""))</f>
        <v/>
      </c>
      <c r="C176" t="str">
        <f>IF($A176&lt;&gt;"",'Approved-In-Depth'!C176,"")</f>
        <v/>
      </c>
      <c r="D176" t="str">
        <f>IF($A176&lt;&gt;"",'Approved-In-Depth'!D176,"")</f>
        <v/>
      </c>
      <c r="E176" t="str">
        <f>IF($A176&lt;&gt;"",'Approved-In-Depth'!E176,"")</f>
        <v/>
      </c>
      <c r="F176" t="str">
        <f>IF($A176&lt;&gt;"",'Approved-In-Depth'!F176,"")</f>
        <v/>
      </c>
      <c r="G176" t="str">
        <f>IF($A176&lt;&gt;"",'Approved-In-Depth'!G176,"")</f>
        <v/>
      </c>
      <c r="H176" s="4" t="str">
        <f>IF($A176&lt;&gt;"",'Approved-In-Depth'!H176,"")</f>
        <v/>
      </c>
      <c r="I176" t="str">
        <f>IF($A176&lt;&gt;"",'Approved-In-Depth'!I176,"")</f>
        <v/>
      </c>
      <c r="J176" t="str">
        <f>IF($A176&lt;&gt;"",'Approved-In-Depth'!J176,"")</f>
        <v/>
      </c>
      <c r="K176" t="str">
        <f>IF($A176&lt;&gt;"",'Approved-In-Depth'!K176,"")</f>
        <v/>
      </c>
      <c r="L176" s="4" t="str">
        <f>IF($A176&lt;&gt;"",'Approved-In-Depth'!L176,"")</f>
        <v/>
      </c>
      <c r="M176" t="str">
        <f>IF($A176&lt;&gt;"",'Approved-In-Depth'!M176,"")</f>
        <v/>
      </c>
    </row>
    <row r="177" spans="1:13" x14ac:dyDescent="0.35">
      <c r="A177" s="4" t="str">
        <f>IF('Approved-In-Depth'!$A177&lt;&gt;"",'Approved-In-Depth'!A177,"")</f>
        <v/>
      </c>
      <c r="B177" t="str">
        <f>IF($O177&lt;&gt;"",$O177,IF($A177&lt;&gt;"",'Approved-In-Depth'!$B177+7,""))</f>
        <v/>
      </c>
      <c r="C177" t="str">
        <f>IF($A177&lt;&gt;"",'Approved-In-Depth'!C177,"")</f>
        <v/>
      </c>
      <c r="D177" t="str">
        <f>IF($A177&lt;&gt;"",'Approved-In-Depth'!D177,"")</f>
        <v/>
      </c>
      <c r="E177" t="str">
        <f>IF($A177&lt;&gt;"",'Approved-In-Depth'!E177,"")</f>
        <v/>
      </c>
      <c r="F177" t="str">
        <f>IF($A177&lt;&gt;"",'Approved-In-Depth'!F177,"")</f>
        <v/>
      </c>
      <c r="G177" t="str">
        <f>IF($A177&lt;&gt;"",'Approved-In-Depth'!G177,"")</f>
        <v/>
      </c>
      <c r="H177" s="4" t="str">
        <f>IF($A177&lt;&gt;"",'Approved-In-Depth'!H177,"")</f>
        <v/>
      </c>
      <c r="I177" t="str">
        <f>IF($A177&lt;&gt;"",'Approved-In-Depth'!I177,"")</f>
        <v/>
      </c>
      <c r="J177" t="str">
        <f>IF($A177&lt;&gt;"",'Approved-In-Depth'!J177,"")</f>
        <v/>
      </c>
      <c r="K177" t="str">
        <f>IF($A177&lt;&gt;"",'Approved-In-Depth'!K177,"")</f>
        <v/>
      </c>
      <c r="L177" s="4" t="str">
        <f>IF($A177&lt;&gt;"",'Approved-In-Depth'!L177,"")</f>
        <v/>
      </c>
      <c r="M177" t="str">
        <f>IF($A177&lt;&gt;"",'Approved-In-Depth'!M177,"")</f>
        <v/>
      </c>
    </row>
    <row r="178" spans="1:13" x14ac:dyDescent="0.35">
      <c r="A178" s="4" t="str">
        <f>IF('Approved-In-Depth'!$A178&lt;&gt;"",'Approved-In-Depth'!A178,"")</f>
        <v/>
      </c>
      <c r="B178" t="str">
        <f>IF($O178&lt;&gt;"",$O178,IF($A178&lt;&gt;"",'Approved-In-Depth'!$B178+7,""))</f>
        <v/>
      </c>
      <c r="C178" t="str">
        <f>IF($A178&lt;&gt;"",'Approved-In-Depth'!C178,"")</f>
        <v/>
      </c>
      <c r="D178" t="str">
        <f>IF($A178&lt;&gt;"",'Approved-In-Depth'!D178,"")</f>
        <v/>
      </c>
      <c r="E178" t="str">
        <f>IF($A178&lt;&gt;"",'Approved-In-Depth'!E178,"")</f>
        <v/>
      </c>
      <c r="F178" t="str">
        <f>IF($A178&lt;&gt;"",'Approved-In-Depth'!F178,"")</f>
        <v/>
      </c>
      <c r="G178" t="str">
        <f>IF($A178&lt;&gt;"",'Approved-In-Depth'!G178,"")</f>
        <v/>
      </c>
      <c r="H178" s="4" t="str">
        <f>IF($A178&lt;&gt;"",'Approved-In-Depth'!H178,"")</f>
        <v/>
      </c>
      <c r="I178" t="str">
        <f>IF($A178&lt;&gt;"",'Approved-In-Depth'!I178,"")</f>
        <v/>
      </c>
      <c r="J178" t="str">
        <f>IF($A178&lt;&gt;"",'Approved-In-Depth'!J178,"")</f>
        <v/>
      </c>
      <c r="K178" t="str">
        <f>IF($A178&lt;&gt;"",'Approved-In-Depth'!K178,"")</f>
        <v/>
      </c>
      <c r="L178" s="4" t="str">
        <f>IF($A178&lt;&gt;"",'Approved-In-Depth'!L178,"")</f>
        <v/>
      </c>
      <c r="M178" t="str">
        <f>IF($A178&lt;&gt;"",'Approved-In-Depth'!M178,"")</f>
        <v/>
      </c>
    </row>
    <row r="179" spans="1:13" x14ac:dyDescent="0.35">
      <c r="A179" s="4" t="str">
        <f>IF('Approved-In-Depth'!$A179&lt;&gt;"",'Approved-In-Depth'!A179,"")</f>
        <v/>
      </c>
      <c r="B179" t="str">
        <f>IF($O179&lt;&gt;"",$O179,IF($A179&lt;&gt;"",'Approved-In-Depth'!$B179+7,""))</f>
        <v/>
      </c>
      <c r="C179" t="str">
        <f>IF($A179&lt;&gt;"",'Approved-In-Depth'!C179,"")</f>
        <v/>
      </c>
      <c r="D179" t="str">
        <f>IF($A179&lt;&gt;"",'Approved-In-Depth'!D179,"")</f>
        <v/>
      </c>
      <c r="E179" t="str">
        <f>IF($A179&lt;&gt;"",'Approved-In-Depth'!E179,"")</f>
        <v/>
      </c>
      <c r="F179" t="str">
        <f>IF($A179&lt;&gt;"",'Approved-In-Depth'!F179,"")</f>
        <v/>
      </c>
      <c r="G179" t="str">
        <f>IF($A179&lt;&gt;"",'Approved-In-Depth'!G179,"")</f>
        <v/>
      </c>
      <c r="H179" s="4" t="str">
        <f>IF($A179&lt;&gt;"",'Approved-In-Depth'!H179,"")</f>
        <v/>
      </c>
      <c r="I179" t="str">
        <f>IF($A179&lt;&gt;"",'Approved-In-Depth'!I179,"")</f>
        <v/>
      </c>
      <c r="J179" t="str">
        <f>IF($A179&lt;&gt;"",'Approved-In-Depth'!J179,"")</f>
        <v/>
      </c>
      <c r="K179" t="str">
        <f>IF($A179&lt;&gt;"",'Approved-In-Depth'!K179,"")</f>
        <v/>
      </c>
      <c r="L179" s="4" t="str">
        <f>IF($A179&lt;&gt;"",'Approved-In-Depth'!L179,"")</f>
        <v/>
      </c>
      <c r="M179" t="str">
        <f>IF($A179&lt;&gt;"",'Approved-In-Depth'!M179,"")</f>
        <v/>
      </c>
    </row>
    <row r="180" spans="1:13" x14ac:dyDescent="0.35">
      <c r="A180" s="4" t="str">
        <f>IF('Approved-In-Depth'!$A180&lt;&gt;"",'Approved-In-Depth'!A180,"")</f>
        <v/>
      </c>
      <c r="B180" t="str">
        <f>IF($O180&lt;&gt;"",$O180,IF($A180&lt;&gt;"",'Approved-In-Depth'!$B180+7,""))</f>
        <v/>
      </c>
      <c r="C180" t="str">
        <f>IF($A180&lt;&gt;"",'Approved-In-Depth'!C180,"")</f>
        <v/>
      </c>
      <c r="D180" t="str">
        <f>IF($A180&lt;&gt;"",'Approved-In-Depth'!D180,"")</f>
        <v/>
      </c>
      <c r="E180" t="str">
        <f>IF($A180&lt;&gt;"",'Approved-In-Depth'!E180,"")</f>
        <v/>
      </c>
      <c r="F180" t="str">
        <f>IF($A180&lt;&gt;"",'Approved-In-Depth'!F180,"")</f>
        <v/>
      </c>
      <c r="G180" t="str">
        <f>IF($A180&lt;&gt;"",'Approved-In-Depth'!G180,"")</f>
        <v/>
      </c>
      <c r="H180" s="4" t="str">
        <f>IF($A180&lt;&gt;"",'Approved-In-Depth'!H180,"")</f>
        <v/>
      </c>
      <c r="I180" t="str">
        <f>IF($A180&lt;&gt;"",'Approved-In-Depth'!I180,"")</f>
        <v/>
      </c>
      <c r="J180" t="str">
        <f>IF($A180&lt;&gt;"",'Approved-In-Depth'!J180,"")</f>
        <v/>
      </c>
      <c r="K180" t="str">
        <f>IF($A180&lt;&gt;"",'Approved-In-Depth'!K180,"")</f>
        <v/>
      </c>
      <c r="L180" s="4" t="str">
        <f>IF($A180&lt;&gt;"",'Approved-In-Depth'!L180,"")</f>
        <v/>
      </c>
      <c r="M180" t="str">
        <f>IF($A180&lt;&gt;"",'Approved-In-Depth'!M180,"")</f>
        <v/>
      </c>
    </row>
    <row r="181" spans="1:13" x14ac:dyDescent="0.35">
      <c r="A181" s="4" t="str">
        <f>IF('Approved-In-Depth'!$A181&lt;&gt;"",'Approved-In-Depth'!A181,"")</f>
        <v/>
      </c>
      <c r="B181" t="str">
        <f>IF($O181&lt;&gt;"",$O181,IF($A181&lt;&gt;"",'Approved-In-Depth'!$B181+7,""))</f>
        <v/>
      </c>
      <c r="C181" t="str">
        <f>IF($A181&lt;&gt;"",'Approved-In-Depth'!C181,"")</f>
        <v/>
      </c>
      <c r="D181" t="str">
        <f>IF($A181&lt;&gt;"",'Approved-In-Depth'!D181,"")</f>
        <v/>
      </c>
      <c r="E181" t="str">
        <f>IF($A181&lt;&gt;"",'Approved-In-Depth'!E181,"")</f>
        <v/>
      </c>
      <c r="F181" t="str">
        <f>IF($A181&lt;&gt;"",'Approved-In-Depth'!F181,"")</f>
        <v/>
      </c>
      <c r="G181" t="str">
        <f>IF($A181&lt;&gt;"",'Approved-In-Depth'!G181,"")</f>
        <v/>
      </c>
      <c r="H181" s="4" t="str">
        <f>IF($A181&lt;&gt;"",'Approved-In-Depth'!H181,"")</f>
        <v/>
      </c>
      <c r="I181" t="str">
        <f>IF($A181&lt;&gt;"",'Approved-In-Depth'!I181,"")</f>
        <v/>
      </c>
      <c r="J181" t="str">
        <f>IF($A181&lt;&gt;"",'Approved-In-Depth'!J181,"")</f>
        <v/>
      </c>
      <c r="K181" t="str">
        <f>IF($A181&lt;&gt;"",'Approved-In-Depth'!K181,"")</f>
        <v/>
      </c>
      <c r="L181" s="4" t="str">
        <f>IF($A181&lt;&gt;"",'Approved-In-Depth'!L181,"")</f>
        <v/>
      </c>
      <c r="M181" t="str">
        <f>IF($A181&lt;&gt;"",'Approved-In-Depth'!M181,"")</f>
        <v/>
      </c>
    </row>
    <row r="182" spans="1:13" x14ac:dyDescent="0.35">
      <c r="A182" s="4" t="str">
        <f>IF('Approved-In-Depth'!$A182&lt;&gt;"",'Approved-In-Depth'!A182,"")</f>
        <v/>
      </c>
      <c r="B182" t="str">
        <f>IF($O182&lt;&gt;"",$O182,IF($A182&lt;&gt;"",'Approved-In-Depth'!$B182+7,""))</f>
        <v/>
      </c>
      <c r="C182" t="str">
        <f>IF($A182&lt;&gt;"",'Approved-In-Depth'!C182,"")</f>
        <v/>
      </c>
      <c r="D182" t="str">
        <f>IF($A182&lt;&gt;"",'Approved-In-Depth'!D182,"")</f>
        <v/>
      </c>
      <c r="E182" t="str">
        <f>IF($A182&lt;&gt;"",'Approved-In-Depth'!E182,"")</f>
        <v/>
      </c>
      <c r="F182" t="str">
        <f>IF($A182&lt;&gt;"",'Approved-In-Depth'!F182,"")</f>
        <v/>
      </c>
      <c r="G182" t="str">
        <f>IF($A182&lt;&gt;"",'Approved-In-Depth'!G182,"")</f>
        <v/>
      </c>
      <c r="H182" s="4" t="str">
        <f>IF($A182&lt;&gt;"",'Approved-In-Depth'!H182,"")</f>
        <v/>
      </c>
      <c r="I182" t="str">
        <f>IF($A182&lt;&gt;"",'Approved-In-Depth'!I182,"")</f>
        <v/>
      </c>
      <c r="J182" t="str">
        <f>IF($A182&lt;&gt;"",'Approved-In-Depth'!J182,"")</f>
        <v/>
      </c>
      <c r="K182" t="str">
        <f>IF($A182&lt;&gt;"",'Approved-In-Depth'!K182,"")</f>
        <v/>
      </c>
      <c r="L182" s="4" t="str">
        <f>IF($A182&lt;&gt;"",'Approved-In-Depth'!L182,"")</f>
        <v/>
      </c>
      <c r="M182" t="str">
        <f>IF($A182&lt;&gt;"",'Approved-In-Depth'!M182,"")</f>
        <v/>
      </c>
    </row>
    <row r="183" spans="1:13" x14ac:dyDescent="0.35">
      <c r="A183" s="4" t="str">
        <f>IF('Approved-In-Depth'!$A183&lt;&gt;"",'Approved-In-Depth'!A183,"")</f>
        <v/>
      </c>
      <c r="B183" t="str">
        <f>IF($O183&lt;&gt;"",$O183,IF($A183&lt;&gt;"",'Approved-In-Depth'!$B183+7,""))</f>
        <v/>
      </c>
      <c r="C183" t="str">
        <f>IF($A183&lt;&gt;"",'Approved-In-Depth'!C183,"")</f>
        <v/>
      </c>
      <c r="D183" t="str">
        <f>IF($A183&lt;&gt;"",'Approved-In-Depth'!D183,"")</f>
        <v/>
      </c>
      <c r="E183" t="str">
        <f>IF($A183&lt;&gt;"",'Approved-In-Depth'!E183,"")</f>
        <v/>
      </c>
      <c r="F183" t="str">
        <f>IF($A183&lt;&gt;"",'Approved-In-Depth'!F183,"")</f>
        <v/>
      </c>
      <c r="G183" t="str">
        <f>IF($A183&lt;&gt;"",'Approved-In-Depth'!G183,"")</f>
        <v/>
      </c>
      <c r="H183" s="4" t="str">
        <f>IF($A183&lt;&gt;"",'Approved-In-Depth'!H183,"")</f>
        <v/>
      </c>
      <c r="I183" t="str">
        <f>IF($A183&lt;&gt;"",'Approved-In-Depth'!I183,"")</f>
        <v/>
      </c>
      <c r="J183" t="str">
        <f>IF($A183&lt;&gt;"",'Approved-In-Depth'!J183,"")</f>
        <v/>
      </c>
      <c r="K183" t="str">
        <f>IF($A183&lt;&gt;"",'Approved-In-Depth'!K183,"")</f>
        <v/>
      </c>
      <c r="L183" s="4" t="str">
        <f>IF($A183&lt;&gt;"",'Approved-In-Depth'!L183,"")</f>
        <v/>
      </c>
      <c r="M183" t="str">
        <f>IF($A183&lt;&gt;"",'Approved-In-Depth'!M183,"")</f>
        <v/>
      </c>
    </row>
    <row r="184" spans="1:13" x14ac:dyDescent="0.35">
      <c r="A184" s="4" t="str">
        <f>IF('Approved-In-Depth'!$A184&lt;&gt;"",'Approved-In-Depth'!A184,"")</f>
        <v/>
      </c>
      <c r="B184" t="str">
        <f>IF($O184&lt;&gt;"",$O184,IF($A184&lt;&gt;"",'Approved-In-Depth'!$B184+7,""))</f>
        <v/>
      </c>
      <c r="C184" t="str">
        <f>IF($A184&lt;&gt;"",'Approved-In-Depth'!C184,"")</f>
        <v/>
      </c>
      <c r="D184" t="str">
        <f>IF($A184&lt;&gt;"",'Approved-In-Depth'!D184,"")</f>
        <v/>
      </c>
      <c r="E184" t="str">
        <f>IF($A184&lt;&gt;"",'Approved-In-Depth'!E184,"")</f>
        <v/>
      </c>
      <c r="F184" t="str">
        <f>IF($A184&lt;&gt;"",'Approved-In-Depth'!F184,"")</f>
        <v/>
      </c>
      <c r="G184" t="str">
        <f>IF($A184&lt;&gt;"",'Approved-In-Depth'!G184,"")</f>
        <v/>
      </c>
      <c r="H184" s="4" t="str">
        <f>IF($A184&lt;&gt;"",'Approved-In-Depth'!H184,"")</f>
        <v/>
      </c>
      <c r="I184" t="str">
        <f>IF($A184&lt;&gt;"",'Approved-In-Depth'!I184,"")</f>
        <v/>
      </c>
      <c r="J184" t="str">
        <f>IF($A184&lt;&gt;"",'Approved-In-Depth'!J184,"")</f>
        <v/>
      </c>
      <c r="K184" t="str">
        <f>IF($A184&lt;&gt;"",'Approved-In-Depth'!K184,"")</f>
        <v/>
      </c>
      <c r="L184" s="4" t="str">
        <f>IF($A184&lt;&gt;"",'Approved-In-Depth'!L184,"")</f>
        <v/>
      </c>
      <c r="M184" t="str">
        <f>IF($A184&lt;&gt;"",'Approved-In-Depth'!M184,"")</f>
        <v/>
      </c>
    </row>
    <row r="185" spans="1:13" x14ac:dyDescent="0.35">
      <c r="A185" s="4" t="str">
        <f>IF('Approved-In-Depth'!$A185&lt;&gt;"",'Approved-In-Depth'!A185,"")</f>
        <v/>
      </c>
      <c r="B185" t="str">
        <f>IF($O185&lt;&gt;"",$O185,IF($A185&lt;&gt;"",'Approved-In-Depth'!$B185+7,""))</f>
        <v/>
      </c>
      <c r="C185" t="str">
        <f>IF($A185&lt;&gt;"",'Approved-In-Depth'!C185,"")</f>
        <v/>
      </c>
      <c r="D185" t="str">
        <f>IF($A185&lt;&gt;"",'Approved-In-Depth'!D185,"")</f>
        <v/>
      </c>
      <c r="E185" t="str">
        <f>IF($A185&lt;&gt;"",'Approved-In-Depth'!E185,"")</f>
        <v/>
      </c>
      <c r="F185" t="str">
        <f>IF($A185&lt;&gt;"",'Approved-In-Depth'!F185,"")</f>
        <v/>
      </c>
      <c r="G185" t="str">
        <f>IF($A185&lt;&gt;"",'Approved-In-Depth'!G185,"")</f>
        <v/>
      </c>
      <c r="H185" s="4" t="str">
        <f>IF($A185&lt;&gt;"",'Approved-In-Depth'!H185,"")</f>
        <v/>
      </c>
      <c r="I185" t="str">
        <f>IF($A185&lt;&gt;"",'Approved-In-Depth'!I185,"")</f>
        <v/>
      </c>
      <c r="J185" t="str">
        <f>IF($A185&lt;&gt;"",'Approved-In-Depth'!J185,"")</f>
        <v/>
      </c>
      <c r="K185" t="str">
        <f>IF($A185&lt;&gt;"",'Approved-In-Depth'!K185,"")</f>
        <v/>
      </c>
      <c r="L185" s="4" t="str">
        <f>IF($A185&lt;&gt;"",'Approved-In-Depth'!L185,"")</f>
        <v/>
      </c>
      <c r="M185" t="str">
        <f>IF($A185&lt;&gt;"",'Approved-In-Depth'!M185,"")</f>
        <v/>
      </c>
    </row>
    <row r="186" spans="1:13" x14ac:dyDescent="0.35">
      <c r="A186" s="4" t="str">
        <f>IF('Approved-In-Depth'!$A186&lt;&gt;"",'Approved-In-Depth'!A186,"")</f>
        <v/>
      </c>
      <c r="B186" t="str">
        <f>IF($O186&lt;&gt;"",$O186,IF($A186&lt;&gt;"",'Approved-In-Depth'!$B186+7,""))</f>
        <v/>
      </c>
      <c r="C186" t="str">
        <f>IF($A186&lt;&gt;"",'Approved-In-Depth'!C186,"")</f>
        <v/>
      </c>
      <c r="D186" t="str">
        <f>IF($A186&lt;&gt;"",'Approved-In-Depth'!D186,"")</f>
        <v/>
      </c>
      <c r="E186" t="str">
        <f>IF($A186&lt;&gt;"",'Approved-In-Depth'!E186,"")</f>
        <v/>
      </c>
      <c r="F186" t="str">
        <f>IF($A186&lt;&gt;"",'Approved-In-Depth'!F186,"")</f>
        <v/>
      </c>
      <c r="G186" t="str">
        <f>IF($A186&lt;&gt;"",'Approved-In-Depth'!G186,"")</f>
        <v/>
      </c>
      <c r="H186" s="4" t="str">
        <f>IF($A186&lt;&gt;"",'Approved-In-Depth'!H186,"")</f>
        <v/>
      </c>
      <c r="I186" t="str">
        <f>IF($A186&lt;&gt;"",'Approved-In-Depth'!I186,"")</f>
        <v/>
      </c>
      <c r="J186" t="str">
        <f>IF($A186&lt;&gt;"",'Approved-In-Depth'!J186,"")</f>
        <v/>
      </c>
      <c r="K186" t="str">
        <f>IF($A186&lt;&gt;"",'Approved-In-Depth'!K186,"")</f>
        <v/>
      </c>
      <c r="L186" s="4" t="str">
        <f>IF($A186&lt;&gt;"",'Approved-In-Depth'!L186,"")</f>
        <v/>
      </c>
      <c r="M186" t="str">
        <f>IF($A186&lt;&gt;"",'Approved-In-Depth'!M186,"")</f>
        <v/>
      </c>
    </row>
    <row r="187" spans="1:13" x14ac:dyDescent="0.35">
      <c r="A187" s="4" t="str">
        <f>IF('Approved-In-Depth'!$A187&lt;&gt;"",'Approved-In-Depth'!A187,"")</f>
        <v/>
      </c>
      <c r="B187" t="str">
        <f>IF($O187&lt;&gt;"",$O187,IF($A187&lt;&gt;"",'Approved-In-Depth'!$B187+7,""))</f>
        <v/>
      </c>
      <c r="C187" t="str">
        <f>IF($A187&lt;&gt;"",'Approved-In-Depth'!C187,"")</f>
        <v/>
      </c>
      <c r="D187" t="str">
        <f>IF($A187&lt;&gt;"",'Approved-In-Depth'!D187,"")</f>
        <v/>
      </c>
      <c r="E187" t="str">
        <f>IF($A187&lt;&gt;"",'Approved-In-Depth'!E187,"")</f>
        <v/>
      </c>
      <c r="F187" t="str">
        <f>IF($A187&lt;&gt;"",'Approved-In-Depth'!F187,"")</f>
        <v/>
      </c>
      <c r="G187" t="str">
        <f>IF($A187&lt;&gt;"",'Approved-In-Depth'!G187,"")</f>
        <v/>
      </c>
      <c r="H187" s="4" t="str">
        <f>IF($A187&lt;&gt;"",'Approved-In-Depth'!H187,"")</f>
        <v/>
      </c>
      <c r="I187" t="str">
        <f>IF($A187&lt;&gt;"",'Approved-In-Depth'!I187,"")</f>
        <v/>
      </c>
      <c r="J187" t="str">
        <f>IF($A187&lt;&gt;"",'Approved-In-Depth'!J187,"")</f>
        <v/>
      </c>
      <c r="K187" t="str">
        <f>IF($A187&lt;&gt;"",'Approved-In-Depth'!K187,"")</f>
        <v/>
      </c>
      <c r="L187" s="4" t="str">
        <f>IF($A187&lt;&gt;"",'Approved-In-Depth'!L187,"")</f>
        <v/>
      </c>
      <c r="M187" t="str">
        <f>IF($A187&lt;&gt;"",'Approved-In-Depth'!M187,"")</f>
        <v/>
      </c>
    </row>
    <row r="188" spans="1:13" x14ac:dyDescent="0.35">
      <c r="A188" s="4" t="str">
        <f>IF('Approved-In-Depth'!$A188&lt;&gt;"",'Approved-In-Depth'!A188,"")</f>
        <v/>
      </c>
      <c r="B188" t="str">
        <f>IF($O188&lt;&gt;"",$O188,IF($A188&lt;&gt;"",'Approved-In-Depth'!$B188+7,""))</f>
        <v/>
      </c>
      <c r="C188" t="str">
        <f>IF($A188&lt;&gt;"",'Approved-In-Depth'!C188,"")</f>
        <v/>
      </c>
      <c r="D188" t="str">
        <f>IF($A188&lt;&gt;"",'Approved-In-Depth'!D188,"")</f>
        <v/>
      </c>
      <c r="E188" t="str">
        <f>IF($A188&lt;&gt;"",'Approved-In-Depth'!E188,"")</f>
        <v/>
      </c>
      <c r="F188" t="str">
        <f>IF($A188&lt;&gt;"",'Approved-In-Depth'!F188,"")</f>
        <v/>
      </c>
      <c r="G188" t="str">
        <f>IF($A188&lt;&gt;"",'Approved-In-Depth'!G188,"")</f>
        <v/>
      </c>
      <c r="H188" s="4" t="str">
        <f>IF($A188&lt;&gt;"",'Approved-In-Depth'!H188,"")</f>
        <v/>
      </c>
      <c r="I188" t="str">
        <f>IF($A188&lt;&gt;"",'Approved-In-Depth'!I188,"")</f>
        <v/>
      </c>
      <c r="J188" t="str">
        <f>IF($A188&lt;&gt;"",'Approved-In-Depth'!J188,"")</f>
        <v/>
      </c>
      <c r="K188" t="str">
        <f>IF($A188&lt;&gt;"",'Approved-In-Depth'!K188,"")</f>
        <v/>
      </c>
      <c r="L188" s="4" t="str">
        <f>IF($A188&lt;&gt;"",'Approved-In-Depth'!L188,"")</f>
        <v/>
      </c>
      <c r="M188" t="str">
        <f>IF($A188&lt;&gt;"",'Approved-In-Depth'!M188,"")</f>
        <v/>
      </c>
    </row>
    <row r="189" spans="1:13" x14ac:dyDescent="0.35">
      <c r="A189" s="4" t="str">
        <f>IF('Approved-In-Depth'!$A189&lt;&gt;"",'Approved-In-Depth'!A189,"")</f>
        <v/>
      </c>
      <c r="B189" t="str">
        <f>IF($O189&lt;&gt;"",$O189,IF($A189&lt;&gt;"",'Approved-In-Depth'!$B189+7,""))</f>
        <v/>
      </c>
      <c r="C189" t="str">
        <f>IF($A189&lt;&gt;"",'Approved-In-Depth'!C189,"")</f>
        <v/>
      </c>
      <c r="D189" t="str">
        <f>IF($A189&lt;&gt;"",'Approved-In-Depth'!D189,"")</f>
        <v/>
      </c>
      <c r="E189" t="str">
        <f>IF($A189&lt;&gt;"",'Approved-In-Depth'!E189,"")</f>
        <v/>
      </c>
      <c r="F189" t="str">
        <f>IF($A189&lt;&gt;"",'Approved-In-Depth'!F189,"")</f>
        <v/>
      </c>
      <c r="G189" t="str">
        <f>IF($A189&lt;&gt;"",'Approved-In-Depth'!G189,"")</f>
        <v/>
      </c>
      <c r="H189" s="4" t="str">
        <f>IF($A189&lt;&gt;"",'Approved-In-Depth'!H189,"")</f>
        <v/>
      </c>
      <c r="I189" t="str">
        <f>IF($A189&lt;&gt;"",'Approved-In-Depth'!I189,"")</f>
        <v/>
      </c>
      <c r="J189" t="str">
        <f>IF($A189&lt;&gt;"",'Approved-In-Depth'!J189,"")</f>
        <v/>
      </c>
      <c r="K189" t="str">
        <f>IF($A189&lt;&gt;"",'Approved-In-Depth'!K189,"")</f>
        <v/>
      </c>
      <c r="L189" s="4" t="str">
        <f>IF($A189&lt;&gt;"",'Approved-In-Depth'!L189,"")</f>
        <v/>
      </c>
      <c r="M189" t="str">
        <f>IF($A189&lt;&gt;"",'Approved-In-Depth'!M189,"")</f>
        <v/>
      </c>
    </row>
    <row r="190" spans="1:13" x14ac:dyDescent="0.35">
      <c r="A190" s="4" t="str">
        <f>IF('Approved-In-Depth'!$A190&lt;&gt;"",'Approved-In-Depth'!A190,"")</f>
        <v/>
      </c>
      <c r="B190" t="str">
        <f>IF($O190&lt;&gt;"",$O190,IF($A190&lt;&gt;"",'Approved-In-Depth'!$B190+7,""))</f>
        <v/>
      </c>
      <c r="C190" t="str">
        <f>IF($A190&lt;&gt;"",'Approved-In-Depth'!C190,"")</f>
        <v/>
      </c>
      <c r="D190" t="str">
        <f>IF($A190&lt;&gt;"",'Approved-In-Depth'!D190,"")</f>
        <v/>
      </c>
      <c r="E190" t="str">
        <f>IF($A190&lt;&gt;"",'Approved-In-Depth'!E190,"")</f>
        <v/>
      </c>
      <c r="F190" t="str">
        <f>IF($A190&lt;&gt;"",'Approved-In-Depth'!F190,"")</f>
        <v/>
      </c>
      <c r="G190" t="str">
        <f>IF($A190&lt;&gt;"",'Approved-In-Depth'!G190,"")</f>
        <v/>
      </c>
      <c r="H190" s="4" t="str">
        <f>IF($A190&lt;&gt;"",'Approved-In-Depth'!H190,"")</f>
        <v/>
      </c>
      <c r="I190" t="str">
        <f>IF($A190&lt;&gt;"",'Approved-In-Depth'!I190,"")</f>
        <v/>
      </c>
      <c r="J190" t="str">
        <f>IF($A190&lt;&gt;"",'Approved-In-Depth'!J190,"")</f>
        <v/>
      </c>
      <c r="K190" t="str">
        <f>IF($A190&lt;&gt;"",'Approved-In-Depth'!K190,"")</f>
        <v/>
      </c>
      <c r="L190" s="4" t="str">
        <f>IF($A190&lt;&gt;"",'Approved-In-Depth'!L190,"")</f>
        <v/>
      </c>
      <c r="M190" t="str">
        <f>IF($A190&lt;&gt;"",'Approved-In-Depth'!M190,"")</f>
        <v/>
      </c>
    </row>
    <row r="191" spans="1:13" x14ac:dyDescent="0.35">
      <c r="A191" s="4" t="str">
        <f>IF('Approved-In-Depth'!$A191&lt;&gt;"",'Approved-In-Depth'!A191,"")</f>
        <v/>
      </c>
      <c r="B191" t="str">
        <f>IF($O191&lt;&gt;"",$O191,IF($A191&lt;&gt;"",'Approved-In-Depth'!$B191+7,""))</f>
        <v/>
      </c>
      <c r="C191" t="str">
        <f>IF($A191&lt;&gt;"",'Approved-In-Depth'!C191,"")</f>
        <v/>
      </c>
      <c r="D191" t="str">
        <f>IF($A191&lt;&gt;"",'Approved-In-Depth'!D191,"")</f>
        <v/>
      </c>
      <c r="E191" t="str">
        <f>IF($A191&lt;&gt;"",'Approved-In-Depth'!E191,"")</f>
        <v/>
      </c>
      <c r="F191" t="str">
        <f>IF($A191&lt;&gt;"",'Approved-In-Depth'!F191,"")</f>
        <v/>
      </c>
      <c r="G191" t="str">
        <f>IF($A191&lt;&gt;"",'Approved-In-Depth'!G191,"")</f>
        <v/>
      </c>
      <c r="H191" s="4" t="str">
        <f>IF($A191&lt;&gt;"",'Approved-In-Depth'!H191,"")</f>
        <v/>
      </c>
      <c r="I191" t="str">
        <f>IF($A191&lt;&gt;"",'Approved-In-Depth'!I191,"")</f>
        <v/>
      </c>
      <c r="J191" t="str">
        <f>IF($A191&lt;&gt;"",'Approved-In-Depth'!J191,"")</f>
        <v/>
      </c>
      <c r="K191" t="str">
        <f>IF($A191&lt;&gt;"",'Approved-In-Depth'!K191,"")</f>
        <v/>
      </c>
      <c r="L191" s="4" t="str">
        <f>IF($A191&lt;&gt;"",'Approved-In-Depth'!L191,"")</f>
        <v/>
      </c>
      <c r="M191" t="str">
        <f>IF($A191&lt;&gt;"",'Approved-In-Depth'!M191,"")</f>
        <v/>
      </c>
    </row>
    <row r="192" spans="1:13" x14ac:dyDescent="0.35">
      <c r="A192" s="4" t="str">
        <f>IF('Approved-In-Depth'!$A192&lt;&gt;"",'Approved-In-Depth'!A192,"")</f>
        <v/>
      </c>
      <c r="B192" t="str">
        <f>IF($O192&lt;&gt;"",$O192,IF($A192&lt;&gt;"",'Approved-In-Depth'!$B192+7,""))</f>
        <v/>
      </c>
      <c r="C192" t="str">
        <f>IF($A192&lt;&gt;"",'Approved-In-Depth'!C192,"")</f>
        <v/>
      </c>
      <c r="D192" t="str">
        <f>IF($A192&lt;&gt;"",'Approved-In-Depth'!D192,"")</f>
        <v/>
      </c>
      <c r="E192" t="str">
        <f>IF($A192&lt;&gt;"",'Approved-In-Depth'!E192,"")</f>
        <v/>
      </c>
      <c r="F192" t="str">
        <f>IF($A192&lt;&gt;"",'Approved-In-Depth'!F192,"")</f>
        <v/>
      </c>
      <c r="G192" t="str">
        <f>IF($A192&lt;&gt;"",'Approved-In-Depth'!G192,"")</f>
        <v/>
      </c>
      <c r="H192" s="4" t="str">
        <f>IF($A192&lt;&gt;"",'Approved-In-Depth'!H192,"")</f>
        <v/>
      </c>
      <c r="I192" t="str">
        <f>IF($A192&lt;&gt;"",'Approved-In-Depth'!I192,"")</f>
        <v/>
      </c>
      <c r="J192" t="str">
        <f>IF($A192&lt;&gt;"",'Approved-In-Depth'!J192,"")</f>
        <v/>
      </c>
      <c r="K192" t="str">
        <f>IF($A192&lt;&gt;"",'Approved-In-Depth'!K192,"")</f>
        <v/>
      </c>
      <c r="L192" s="4" t="str">
        <f>IF($A192&lt;&gt;"",'Approved-In-Depth'!L192,"")</f>
        <v/>
      </c>
      <c r="M192" t="str">
        <f>IF($A192&lt;&gt;"",'Approved-In-Depth'!M192,"")</f>
        <v/>
      </c>
    </row>
    <row r="193" spans="1:13" x14ac:dyDescent="0.35">
      <c r="A193" s="4" t="str">
        <f>IF('Approved-In-Depth'!$A193&lt;&gt;"",'Approved-In-Depth'!A193,"")</f>
        <v/>
      </c>
      <c r="B193" t="str">
        <f>IF($O193&lt;&gt;"",$O193,IF($A193&lt;&gt;"",'Approved-In-Depth'!$B193+7,""))</f>
        <v/>
      </c>
      <c r="C193" t="str">
        <f>IF($A193&lt;&gt;"",'Approved-In-Depth'!C193,"")</f>
        <v/>
      </c>
      <c r="D193" t="str">
        <f>IF($A193&lt;&gt;"",'Approved-In-Depth'!D193,"")</f>
        <v/>
      </c>
      <c r="E193" t="str">
        <f>IF($A193&lt;&gt;"",'Approved-In-Depth'!E193,"")</f>
        <v/>
      </c>
      <c r="F193" t="str">
        <f>IF($A193&lt;&gt;"",'Approved-In-Depth'!F193,"")</f>
        <v/>
      </c>
      <c r="G193" t="str">
        <f>IF($A193&lt;&gt;"",'Approved-In-Depth'!G193,"")</f>
        <v/>
      </c>
      <c r="H193" s="4" t="str">
        <f>IF($A193&lt;&gt;"",'Approved-In-Depth'!H193,"")</f>
        <v/>
      </c>
      <c r="I193" t="str">
        <f>IF($A193&lt;&gt;"",'Approved-In-Depth'!I193,"")</f>
        <v/>
      </c>
      <c r="J193" t="str">
        <f>IF($A193&lt;&gt;"",'Approved-In-Depth'!J193,"")</f>
        <v/>
      </c>
      <c r="K193" t="str">
        <f>IF($A193&lt;&gt;"",'Approved-In-Depth'!K193,"")</f>
        <v/>
      </c>
      <c r="L193" s="4" t="str">
        <f>IF($A193&lt;&gt;"",'Approved-In-Depth'!L193,"")</f>
        <v/>
      </c>
      <c r="M193" t="str">
        <f>IF($A193&lt;&gt;"",'Approved-In-Depth'!M193,"")</f>
        <v/>
      </c>
    </row>
    <row r="194" spans="1:13" x14ac:dyDescent="0.35">
      <c r="A194" s="4" t="str">
        <f>IF('Approved-In-Depth'!$A194&lt;&gt;"",'Approved-In-Depth'!A194,"")</f>
        <v/>
      </c>
      <c r="B194" t="str">
        <f>IF($O194&lt;&gt;"",$O194,IF($A194&lt;&gt;"",'Approved-In-Depth'!$B194+7,""))</f>
        <v/>
      </c>
      <c r="C194" t="str">
        <f>IF($A194&lt;&gt;"",'Approved-In-Depth'!C194,"")</f>
        <v/>
      </c>
      <c r="D194" t="str">
        <f>IF($A194&lt;&gt;"",'Approved-In-Depth'!D194,"")</f>
        <v/>
      </c>
      <c r="E194" t="str">
        <f>IF($A194&lt;&gt;"",'Approved-In-Depth'!E194,"")</f>
        <v/>
      </c>
      <c r="F194" t="str">
        <f>IF($A194&lt;&gt;"",'Approved-In-Depth'!F194,"")</f>
        <v/>
      </c>
      <c r="G194" t="str">
        <f>IF($A194&lt;&gt;"",'Approved-In-Depth'!G194,"")</f>
        <v/>
      </c>
      <c r="H194" s="4" t="str">
        <f>IF($A194&lt;&gt;"",'Approved-In-Depth'!H194,"")</f>
        <v/>
      </c>
      <c r="I194" t="str">
        <f>IF($A194&lt;&gt;"",'Approved-In-Depth'!I194,"")</f>
        <v/>
      </c>
      <c r="J194" t="str">
        <f>IF($A194&lt;&gt;"",'Approved-In-Depth'!J194,"")</f>
        <v/>
      </c>
      <c r="K194" t="str">
        <f>IF($A194&lt;&gt;"",'Approved-In-Depth'!K194,"")</f>
        <v/>
      </c>
      <c r="L194" s="4" t="str">
        <f>IF($A194&lt;&gt;"",'Approved-In-Depth'!L194,"")</f>
        <v/>
      </c>
      <c r="M194" t="str">
        <f>IF($A194&lt;&gt;"",'Approved-In-Depth'!M194,"")</f>
        <v/>
      </c>
    </row>
    <row r="195" spans="1:13" x14ac:dyDescent="0.35">
      <c r="A195" s="4" t="str">
        <f>IF('Approved-In-Depth'!$A195&lt;&gt;"",'Approved-In-Depth'!A195,"")</f>
        <v/>
      </c>
      <c r="B195" t="str">
        <f>IF($O195&lt;&gt;"",$O195,IF($A195&lt;&gt;"",'Approved-In-Depth'!$B195+7,""))</f>
        <v/>
      </c>
      <c r="C195" t="str">
        <f>IF($A195&lt;&gt;"",'Approved-In-Depth'!C195,"")</f>
        <v/>
      </c>
      <c r="D195" t="str">
        <f>IF($A195&lt;&gt;"",'Approved-In-Depth'!D195,"")</f>
        <v/>
      </c>
      <c r="E195" t="str">
        <f>IF($A195&lt;&gt;"",'Approved-In-Depth'!E195,"")</f>
        <v/>
      </c>
      <c r="F195" t="str">
        <f>IF($A195&lt;&gt;"",'Approved-In-Depth'!F195,"")</f>
        <v/>
      </c>
      <c r="G195" t="str">
        <f>IF($A195&lt;&gt;"",'Approved-In-Depth'!G195,"")</f>
        <v/>
      </c>
      <c r="H195" s="4" t="str">
        <f>IF($A195&lt;&gt;"",'Approved-In-Depth'!H195,"")</f>
        <v/>
      </c>
      <c r="I195" t="str">
        <f>IF($A195&lt;&gt;"",'Approved-In-Depth'!I195,"")</f>
        <v/>
      </c>
      <c r="J195" t="str">
        <f>IF($A195&lt;&gt;"",'Approved-In-Depth'!J195,"")</f>
        <v/>
      </c>
      <c r="K195" t="str">
        <f>IF($A195&lt;&gt;"",'Approved-In-Depth'!K195,"")</f>
        <v/>
      </c>
      <c r="L195" s="4" t="str">
        <f>IF($A195&lt;&gt;"",'Approved-In-Depth'!L195,"")</f>
        <v/>
      </c>
      <c r="M195" t="str">
        <f>IF($A195&lt;&gt;"",'Approved-In-Depth'!M195,"")</f>
        <v/>
      </c>
    </row>
    <row r="196" spans="1:13" x14ac:dyDescent="0.35">
      <c r="A196" s="4" t="str">
        <f>IF('Approved-In-Depth'!$A196&lt;&gt;"",'Approved-In-Depth'!A196,"")</f>
        <v/>
      </c>
      <c r="B196" t="str">
        <f>IF($O196&lt;&gt;"",$O196,IF($A196&lt;&gt;"",'Approved-In-Depth'!$B196+7,""))</f>
        <v/>
      </c>
      <c r="C196" t="str">
        <f>IF($A196&lt;&gt;"",'Approved-In-Depth'!C196,"")</f>
        <v/>
      </c>
      <c r="D196" t="str">
        <f>IF($A196&lt;&gt;"",'Approved-In-Depth'!D196,"")</f>
        <v/>
      </c>
      <c r="E196" t="str">
        <f>IF($A196&lt;&gt;"",'Approved-In-Depth'!E196,"")</f>
        <v/>
      </c>
      <c r="F196" t="str">
        <f>IF($A196&lt;&gt;"",'Approved-In-Depth'!F196,"")</f>
        <v/>
      </c>
      <c r="G196" t="str">
        <f>IF($A196&lt;&gt;"",'Approved-In-Depth'!G196,"")</f>
        <v/>
      </c>
      <c r="H196" s="4" t="str">
        <f>IF($A196&lt;&gt;"",'Approved-In-Depth'!H196,"")</f>
        <v/>
      </c>
      <c r="I196" t="str">
        <f>IF($A196&lt;&gt;"",'Approved-In-Depth'!I196,"")</f>
        <v/>
      </c>
      <c r="J196" t="str">
        <f>IF($A196&lt;&gt;"",'Approved-In-Depth'!J196,"")</f>
        <v/>
      </c>
      <c r="K196" t="str">
        <f>IF($A196&lt;&gt;"",'Approved-In-Depth'!K196,"")</f>
        <v/>
      </c>
      <c r="L196" s="4" t="str">
        <f>IF($A196&lt;&gt;"",'Approved-In-Depth'!L196,"")</f>
        <v/>
      </c>
      <c r="M196" t="str">
        <f>IF($A196&lt;&gt;"",'Approved-In-Depth'!M196,"")</f>
        <v/>
      </c>
    </row>
    <row r="197" spans="1:13" x14ac:dyDescent="0.35">
      <c r="A197" s="4" t="str">
        <f>IF('Approved-In-Depth'!$A197&lt;&gt;"",'Approved-In-Depth'!A197,"")</f>
        <v/>
      </c>
      <c r="B197" t="str">
        <f>IF($O197&lt;&gt;"",$O197,IF($A197&lt;&gt;"",'Approved-In-Depth'!$B197+7,""))</f>
        <v/>
      </c>
      <c r="C197" t="str">
        <f>IF($A197&lt;&gt;"",'Approved-In-Depth'!C197,"")</f>
        <v/>
      </c>
      <c r="D197" t="str">
        <f>IF($A197&lt;&gt;"",'Approved-In-Depth'!D197,"")</f>
        <v/>
      </c>
      <c r="E197" t="str">
        <f>IF($A197&lt;&gt;"",'Approved-In-Depth'!E197,"")</f>
        <v/>
      </c>
      <c r="F197" t="str">
        <f>IF($A197&lt;&gt;"",'Approved-In-Depth'!F197,"")</f>
        <v/>
      </c>
      <c r="G197" t="str">
        <f>IF($A197&lt;&gt;"",'Approved-In-Depth'!G197,"")</f>
        <v/>
      </c>
      <c r="H197" s="4" t="str">
        <f>IF($A197&lt;&gt;"",'Approved-In-Depth'!H197,"")</f>
        <v/>
      </c>
      <c r="I197" t="str">
        <f>IF($A197&lt;&gt;"",'Approved-In-Depth'!I197,"")</f>
        <v/>
      </c>
      <c r="J197" t="str">
        <f>IF($A197&lt;&gt;"",'Approved-In-Depth'!J197,"")</f>
        <v/>
      </c>
      <c r="K197" t="str">
        <f>IF($A197&lt;&gt;"",'Approved-In-Depth'!K197,"")</f>
        <v/>
      </c>
      <c r="L197" s="4" t="str">
        <f>IF($A197&lt;&gt;"",'Approved-In-Depth'!L197,"")</f>
        <v/>
      </c>
      <c r="M197" t="str">
        <f>IF($A197&lt;&gt;"",'Approved-In-Depth'!M197,"")</f>
        <v/>
      </c>
    </row>
    <row r="198" spans="1:13" x14ac:dyDescent="0.35">
      <c r="A198" s="4" t="str">
        <f>IF('Approved-In-Depth'!$A198&lt;&gt;"",'Approved-In-Depth'!A198,"")</f>
        <v/>
      </c>
      <c r="B198" t="str">
        <f>IF($O198&lt;&gt;"",$O198,IF($A198&lt;&gt;"",'Approved-In-Depth'!$B198+7,""))</f>
        <v/>
      </c>
      <c r="C198" t="str">
        <f>IF($A198&lt;&gt;"",'Approved-In-Depth'!C198,"")</f>
        <v/>
      </c>
      <c r="D198" t="str">
        <f>IF($A198&lt;&gt;"",'Approved-In-Depth'!D198,"")</f>
        <v/>
      </c>
      <c r="E198" t="str">
        <f>IF($A198&lt;&gt;"",'Approved-In-Depth'!E198,"")</f>
        <v/>
      </c>
      <c r="F198" t="str">
        <f>IF($A198&lt;&gt;"",'Approved-In-Depth'!F198,"")</f>
        <v/>
      </c>
      <c r="G198" t="str">
        <f>IF($A198&lt;&gt;"",'Approved-In-Depth'!G198,"")</f>
        <v/>
      </c>
      <c r="H198" s="4" t="str">
        <f>IF($A198&lt;&gt;"",'Approved-In-Depth'!H198,"")</f>
        <v/>
      </c>
      <c r="I198" t="str">
        <f>IF($A198&lt;&gt;"",'Approved-In-Depth'!I198,"")</f>
        <v/>
      </c>
      <c r="J198" t="str">
        <f>IF($A198&lt;&gt;"",'Approved-In-Depth'!J198,"")</f>
        <v/>
      </c>
      <c r="K198" t="str">
        <f>IF($A198&lt;&gt;"",'Approved-In-Depth'!K198,"")</f>
        <v/>
      </c>
      <c r="L198" s="4" t="str">
        <f>IF($A198&lt;&gt;"",'Approved-In-Depth'!L198,"")</f>
        <v/>
      </c>
      <c r="M198" t="str">
        <f>IF($A198&lt;&gt;"",'Approved-In-Depth'!M198,"")</f>
        <v/>
      </c>
    </row>
    <row r="199" spans="1:13" x14ac:dyDescent="0.35">
      <c r="A199" s="4" t="str">
        <f>IF('Approved-In-Depth'!$A199&lt;&gt;"",'Approved-In-Depth'!A199,"")</f>
        <v/>
      </c>
      <c r="B199" t="str">
        <f>IF($O199&lt;&gt;"",$O199,IF($A199&lt;&gt;"",'Approved-In-Depth'!$B199+7,""))</f>
        <v/>
      </c>
      <c r="C199" t="str">
        <f>IF($A199&lt;&gt;"",'Approved-In-Depth'!C199,"")</f>
        <v/>
      </c>
      <c r="D199" t="str">
        <f>IF($A199&lt;&gt;"",'Approved-In-Depth'!D199,"")</f>
        <v/>
      </c>
      <c r="E199" t="str">
        <f>IF($A199&lt;&gt;"",'Approved-In-Depth'!E199,"")</f>
        <v/>
      </c>
      <c r="F199" t="str">
        <f>IF($A199&lt;&gt;"",'Approved-In-Depth'!F199,"")</f>
        <v/>
      </c>
      <c r="G199" t="str">
        <f>IF($A199&lt;&gt;"",'Approved-In-Depth'!G199,"")</f>
        <v/>
      </c>
      <c r="H199" s="4" t="str">
        <f>IF($A199&lt;&gt;"",'Approved-In-Depth'!H199,"")</f>
        <v/>
      </c>
      <c r="I199" t="str">
        <f>IF($A199&lt;&gt;"",'Approved-In-Depth'!I199,"")</f>
        <v/>
      </c>
      <c r="J199" t="str">
        <f>IF($A199&lt;&gt;"",'Approved-In-Depth'!J199,"")</f>
        <v/>
      </c>
      <c r="K199" t="str">
        <f>IF($A199&lt;&gt;"",'Approved-In-Depth'!K199,"")</f>
        <v/>
      </c>
      <c r="L199" s="4" t="str">
        <f>IF($A199&lt;&gt;"",'Approved-In-Depth'!L199,"")</f>
        <v/>
      </c>
      <c r="M199" t="str">
        <f>IF($A199&lt;&gt;"",'Approved-In-Depth'!M199,"")</f>
        <v/>
      </c>
    </row>
    <row r="200" spans="1:13" x14ac:dyDescent="0.35">
      <c r="A200" s="4" t="str">
        <f>IF('Approved-In-Depth'!$A200&lt;&gt;"",'Approved-In-Depth'!A200,"")</f>
        <v/>
      </c>
      <c r="B200" t="str">
        <f>IF($O200&lt;&gt;"",$O200,IF($A200&lt;&gt;"",'Approved-In-Depth'!$B200+7,""))</f>
        <v/>
      </c>
      <c r="C200" t="str">
        <f>IF($A200&lt;&gt;"",'Approved-In-Depth'!C200,"")</f>
        <v/>
      </c>
      <c r="D200" t="str">
        <f>IF($A200&lt;&gt;"",'Approved-In-Depth'!D200,"")</f>
        <v/>
      </c>
      <c r="E200" t="str">
        <f>IF($A200&lt;&gt;"",'Approved-In-Depth'!E200,"")</f>
        <v/>
      </c>
      <c r="F200" t="str">
        <f>IF($A200&lt;&gt;"",'Approved-In-Depth'!F200,"")</f>
        <v/>
      </c>
      <c r="G200" t="str">
        <f>IF($A200&lt;&gt;"",'Approved-In-Depth'!G200,"")</f>
        <v/>
      </c>
      <c r="H200" s="4" t="str">
        <f>IF($A200&lt;&gt;"",'Approved-In-Depth'!H200,"")</f>
        <v/>
      </c>
      <c r="I200" t="str">
        <f>IF($A200&lt;&gt;"",'Approved-In-Depth'!I200,"")</f>
        <v/>
      </c>
      <c r="J200" t="str">
        <f>IF($A200&lt;&gt;"",'Approved-In-Depth'!J200,"")</f>
        <v/>
      </c>
      <c r="K200" t="str">
        <f>IF($A200&lt;&gt;"",'Approved-In-Depth'!K200,"")</f>
        <v/>
      </c>
      <c r="L200" s="4" t="str">
        <f>IF($A200&lt;&gt;"",'Approved-In-Depth'!L200,"")</f>
        <v/>
      </c>
      <c r="M200" t="str">
        <f>IF($A200&lt;&gt;"",'Approved-In-Depth'!M200,"")</f>
        <v/>
      </c>
    </row>
    <row r="201" spans="1:13" x14ac:dyDescent="0.35">
      <c r="A201" s="4" t="str">
        <f>IF('Approved-In-Depth'!$A201&lt;&gt;"",'Approved-In-Depth'!A201,"")</f>
        <v/>
      </c>
      <c r="B201" t="str">
        <f>IF($O201&lt;&gt;"",$O201,IF($A201&lt;&gt;"",'Approved-In-Depth'!$B201+7,""))</f>
        <v/>
      </c>
      <c r="C201" t="str">
        <f>IF($A201&lt;&gt;"",'Approved-In-Depth'!C201,"")</f>
        <v/>
      </c>
      <c r="D201" t="str">
        <f>IF($A201&lt;&gt;"",'Approved-In-Depth'!D201,"")</f>
        <v/>
      </c>
      <c r="E201" t="str">
        <f>IF($A201&lt;&gt;"",'Approved-In-Depth'!E201,"")</f>
        <v/>
      </c>
      <c r="F201" t="str">
        <f>IF($A201&lt;&gt;"",'Approved-In-Depth'!F201,"")</f>
        <v/>
      </c>
      <c r="G201" t="str">
        <f>IF($A201&lt;&gt;"",'Approved-In-Depth'!G201,"")</f>
        <v/>
      </c>
      <c r="H201" s="4" t="str">
        <f>IF($A201&lt;&gt;"",'Approved-In-Depth'!H201,"")</f>
        <v/>
      </c>
      <c r="I201" t="str">
        <f>IF($A201&lt;&gt;"",'Approved-In-Depth'!I201,"")</f>
        <v/>
      </c>
      <c r="J201" t="str">
        <f>IF($A201&lt;&gt;"",'Approved-In-Depth'!J201,"")</f>
        <v/>
      </c>
      <c r="K201" t="str">
        <f>IF($A201&lt;&gt;"",'Approved-In-Depth'!K201,"")</f>
        <v/>
      </c>
      <c r="L201" s="4" t="str">
        <f>IF($A201&lt;&gt;"",'Approved-In-Depth'!L201,"")</f>
        <v/>
      </c>
      <c r="M201" t="str">
        <f>IF($A201&lt;&gt;"",'Approved-In-Depth'!M201,"")</f>
        <v/>
      </c>
    </row>
    <row r="202" spans="1:13" x14ac:dyDescent="0.35">
      <c r="A202" s="4" t="str">
        <f>IF('Approved-In-Depth'!$A202&lt;&gt;"",'Approved-In-Depth'!A202,"")</f>
        <v/>
      </c>
      <c r="B202" t="str">
        <f>IF($O202&lt;&gt;"",$O202,IF($A202&lt;&gt;"",'Approved-In-Depth'!$B202+7,""))</f>
        <v/>
      </c>
      <c r="C202" t="str">
        <f>IF($A202&lt;&gt;"",'Approved-In-Depth'!C202,"")</f>
        <v/>
      </c>
      <c r="D202" t="str">
        <f>IF($A202&lt;&gt;"",'Approved-In-Depth'!D202,"")</f>
        <v/>
      </c>
      <c r="E202" t="str">
        <f>IF($A202&lt;&gt;"",'Approved-In-Depth'!E202,"")</f>
        <v/>
      </c>
      <c r="F202" t="str">
        <f>IF($A202&lt;&gt;"",'Approved-In-Depth'!F202,"")</f>
        <v/>
      </c>
      <c r="G202" t="str">
        <f>IF($A202&lt;&gt;"",'Approved-In-Depth'!G202,"")</f>
        <v/>
      </c>
      <c r="H202" s="4" t="str">
        <f>IF($A202&lt;&gt;"",'Approved-In-Depth'!H202,"")</f>
        <v/>
      </c>
      <c r="I202" t="str">
        <f>IF($A202&lt;&gt;"",'Approved-In-Depth'!I202,"")</f>
        <v/>
      </c>
      <c r="J202" t="str">
        <f>IF($A202&lt;&gt;"",'Approved-In-Depth'!J202,"")</f>
        <v/>
      </c>
      <c r="K202" t="str">
        <f>IF($A202&lt;&gt;"",'Approved-In-Depth'!K202,"")</f>
        <v/>
      </c>
      <c r="L202" s="4" t="str">
        <f>IF($A202&lt;&gt;"",'Approved-In-Depth'!L202,"")</f>
        <v/>
      </c>
      <c r="M202" t="str">
        <f>IF($A202&lt;&gt;"",'Approved-In-Depth'!M202,"")</f>
        <v/>
      </c>
    </row>
    <row r="203" spans="1:13" x14ac:dyDescent="0.35">
      <c r="A203" s="4" t="str">
        <f>IF('Approved-In-Depth'!$A203&lt;&gt;"",'Approved-In-Depth'!A203,"")</f>
        <v/>
      </c>
      <c r="B203" t="str">
        <f>IF($O203&lt;&gt;"",$O203,IF($A203&lt;&gt;"",'Approved-In-Depth'!$B203+7,""))</f>
        <v/>
      </c>
      <c r="C203" t="str">
        <f>IF($A203&lt;&gt;"",'Approved-In-Depth'!C203,"")</f>
        <v/>
      </c>
      <c r="D203" t="str">
        <f>IF($A203&lt;&gt;"",'Approved-In-Depth'!D203,"")</f>
        <v/>
      </c>
      <c r="E203" t="str">
        <f>IF($A203&lt;&gt;"",'Approved-In-Depth'!E203,"")</f>
        <v/>
      </c>
      <c r="F203" t="str">
        <f>IF($A203&lt;&gt;"",'Approved-In-Depth'!F203,"")</f>
        <v/>
      </c>
      <c r="G203" t="str">
        <f>IF($A203&lt;&gt;"",'Approved-In-Depth'!G203,"")</f>
        <v/>
      </c>
      <c r="H203" s="4" t="str">
        <f>IF($A203&lt;&gt;"",'Approved-In-Depth'!H203,"")</f>
        <v/>
      </c>
      <c r="I203" t="str">
        <f>IF($A203&lt;&gt;"",'Approved-In-Depth'!I203,"")</f>
        <v/>
      </c>
      <c r="J203" t="str">
        <f>IF($A203&lt;&gt;"",'Approved-In-Depth'!J203,"")</f>
        <v/>
      </c>
      <c r="K203" t="str">
        <f>IF($A203&lt;&gt;"",'Approved-In-Depth'!K203,"")</f>
        <v/>
      </c>
      <c r="L203" s="4" t="str">
        <f>IF($A203&lt;&gt;"",'Approved-In-Depth'!L203,"")</f>
        <v/>
      </c>
      <c r="M203" t="str">
        <f>IF($A203&lt;&gt;"",'Approved-In-Depth'!M203,"")</f>
        <v/>
      </c>
    </row>
    <row r="204" spans="1:13" x14ac:dyDescent="0.35">
      <c r="A204" s="4" t="str">
        <f>IF('Approved-In-Depth'!$A204&lt;&gt;"",'Approved-In-Depth'!A204,"")</f>
        <v/>
      </c>
      <c r="B204" t="str">
        <f>IF($O204&lt;&gt;"",$O204,IF($A204&lt;&gt;"",'Approved-In-Depth'!$B204+7,""))</f>
        <v/>
      </c>
      <c r="C204" t="str">
        <f>IF($A204&lt;&gt;"",'Approved-In-Depth'!C204,"")</f>
        <v/>
      </c>
      <c r="D204" t="str">
        <f>IF($A204&lt;&gt;"",'Approved-In-Depth'!D204,"")</f>
        <v/>
      </c>
      <c r="E204" t="str">
        <f>IF($A204&lt;&gt;"",'Approved-In-Depth'!E204,"")</f>
        <v/>
      </c>
      <c r="F204" t="str">
        <f>IF($A204&lt;&gt;"",'Approved-In-Depth'!F204,"")</f>
        <v/>
      </c>
      <c r="G204" t="str">
        <f>IF($A204&lt;&gt;"",'Approved-In-Depth'!G204,"")</f>
        <v/>
      </c>
      <c r="H204" s="4" t="str">
        <f>IF($A204&lt;&gt;"",'Approved-In-Depth'!H204,"")</f>
        <v/>
      </c>
      <c r="I204" t="str">
        <f>IF($A204&lt;&gt;"",'Approved-In-Depth'!I204,"")</f>
        <v/>
      </c>
      <c r="J204" t="str">
        <f>IF($A204&lt;&gt;"",'Approved-In-Depth'!J204,"")</f>
        <v/>
      </c>
      <c r="K204" t="str">
        <f>IF($A204&lt;&gt;"",'Approved-In-Depth'!K204,"")</f>
        <v/>
      </c>
      <c r="L204" s="4" t="str">
        <f>IF($A204&lt;&gt;"",'Approved-In-Depth'!L204,"")</f>
        <v/>
      </c>
      <c r="M204" t="str">
        <f>IF($A204&lt;&gt;"",'Approved-In-Depth'!M204,"")</f>
        <v/>
      </c>
    </row>
    <row r="205" spans="1:13" x14ac:dyDescent="0.35">
      <c r="A205" s="4" t="str">
        <f>IF('Approved-In-Depth'!$A205&lt;&gt;"",'Approved-In-Depth'!A205,"")</f>
        <v/>
      </c>
      <c r="B205" t="str">
        <f>IF($O205&lt;&gt;"",$O205,IF($A205&lt;&gt;"",'Approved-In-Depth'!$B205+7,""))</f>
        <v/>
      </c>
      <c r="C205" t="str">
        <f>IF($A205&lt;&gt;"",'Approved-In-Depth'!C205,"")</f>
        <v/>
      </c>
      <c r="D205" t="str">
        <f>IF($A205&lt;&gt;"",'Approved-In-Depth'!D205,"")</f>
        <v/>
      </c>
      <c r="E205" t="str">
        <f>IF($A205&lt;&gt;"",'Approved-In-Depth'!E205,"")</f>
        <v/>
      </c>
      <c r="F205" t="str">
        <f>IF($A205&lt;&gt;"",'Approved-In-Depth'!F205,"")</f>
        <v/>
      </c>
      <c r="G205" t="str">
        <f>IF($A205&lt;&gt;"",'Approved-In-Depth'!G205,"")</f>
        <v/>
      </c>
      <c r="H205" s="4" t="str">
        <f>IF($A205&lt;&gt;"",'Approved-In-Depth'!H205,"")</f>
        <v/>
      </c>
      <c r="I205" t="str">
        <f>IF($A205&lt;&gt;"",'Approved-In-Depth'!I205,"")</f>
        <v/>
      </c>
      <c r="J205" t="str">
        <f>IF($A205&lt;&gt;"",'Approved-In-Depth'!J205,"")</f>
        <v/>
      </c>
      <c r="K205" t="str">
        <f>IF($A205&lt;&gt;"",'Approved-In-Depth'!K205,"")</f>
        <v/>
      </c>
      <c r="L205" s="4" t="str">
        <f>IF($A205&lt;&gt;"",'Approved-In-Depth'!L205,"")</f>
        <v/>
      </c>
      <c r="M205" t="str">
        <f>IF($A205&lt;&gt;"",'Approved-In-Depth'!M205,"")</f>
        <v/>
      </c>
    </row>
    <row r="206" spans="1:13" x14ac:dyDescent="0.35">
      <c r="A206" s="4" t="str">
        <f>IF('Approved-In-Depth'!$A206&lt;&gt;"",'Approved-In-Depth'!A206,"")</f>
        <v/>
      </c>
      <c r="B206" t="str">
        <f>IF($O206&lt;&gt;"",$O206,IF($A206&lt;&gt;"",'Approved-In-Depth'!$B206+7,""))</f>
        <v/>
      </c>
      <c r="C206" t="str">
        <f>IF($A206&lt;&gt;"",'Approved-In-Depth'!C206,"")</f>
        <v/>
      </c>
      <c r="D206" t="str">
        <f>IF($A206&lt;&gt;"",'Approved-In-Depth'!D206,"")</f>
        <v/>
      </c>
      <c r="E206" t="str">
        <f>IF($A206&lt;&gt;"",'Approved-In-Depth'!E206,"")</f>
        <v/>
      </c>
      <c r="F206" t="str">
        <f>IF($A206&lt;&gt;"",'Approved-In-Depth'!F206,"")</f>
        <v/>
      </c>
      <c r="G206" t="str">
        <f>IF($A206&lt;&gt;"",'Approved-In-Depth'!G206,"")</f>
        <v/>
      </c>
      <c r="H206" s="4" t="str">
        <f>IF($A206&lt;&gt;"",'Approved-In-Depth'!H206,"")</f>
        <v/>
      </c>
      <c r="I206" t="str">
        <f>IF($A206&lt;&gt;"",'Approved-In-Depth'!I206,"")</f>
        <v/>
      </c>
      <c r="J206" t="str">
        <f>IF($A206&lt;&gt;"",'Approved-In-Depth'!J206,"")</f>
        <v/>
      </c>
      <c r="K206" t="str">
        <f>IF($A206&lt;&gt;"",'Approved-In-Depth'!K206,"")</f>
        <v/>
      </c>
      <c r="L206" s="4" t="str">
        <f>IF($A206&lt;&gt;"",'Approved-In-Depth'!L206,"")</f>
        <v/>
      </c>
      <c r="M206" t="str">
        <f>IF($A206&lt;&gt;"",'Approved-In-Depth'!M206,"")</f>
        <v/>
      </c>
    </row>
    <row r="207" spans="1:13" x14ac:dyDescent="0.35">
      <c r="A207" s="4" t="str">
        <f>IF('Approved-In-Depth'!$A207&lt;&gt;"",'Approved-In-Depth'!A207,"")</f>
        <v/>
      </c>
      <c r="B207" t="str">
        <f>IF($O207&lt;&gt;"",$O207,IF($A207&lt;&gt;"",'Approved-In-Depth'!$B207+7,""))</f>
        <v/>
      </c>
      <c r="C207" t="str">
        <f>IF($A207&lt;&gt;"",'Approved-In-Depth'!C207,"")</f>
        <v/>
      </c>
      <c r="D207" t="str">
        <f>IF($A207&lt;&gt;"",'Approved-In-Depth'!D207,"")</f>
        <v/>
      </c>
      <c r="E207" t="str">
        <f>IF($A207&lt;&gt;"",'Approved-In-Depth'!E207,"")</f>
        <v/>
      </c>
      <c r="F207" t="str">
        <f>IF($A207&lt;&gt;"",'Approved-In-Depth'!F207,"")</f>
        <v/>
      </c>
      <c r="G207" t="str">
        <f>IF($A207&lt;&gt;"",'Approved-In-Depth'!G207,"")</f>
        <v/>
      </c>
      <c r="H207" s="4" t="str">
        <f>IF($A207&lt;&gt;"",'Approved-In-Depth'!H207,"")</f>
        <v/>
      </c>
      <c r="I207" t="str">
        <f>IF($A207&lt;&gt;"",'Approved-In-Depth'!I207,"")</f>
        <v/>
      </c>
      <c r="J207" t="str">
        <f>IF($A207&lt;&gt;"",'Approved-In-Depth'!J207,"")</f>
        <v/>
      </c>
      <c r="K207" t="str">
        <f>IF($A207&lt;&gt;"",'Approved-In-Depth'!K207,"")</f>
        <v/>
      </c>
      <c r="L207" s="4" t="str">
        <f>IF($A207&lt;&gt;"",'Approved-In-Depth'!L207,"")</f>
        <v/>
      </c>
      <c r="M207" t="str">
        <f>IF($A207&lt;&gt;"",'Approved-In-Depth'!M207,"")</f>
        <v/>
      </c>
    </row>
    <row r="208" spans="1:13" x14ac:dyDescent="0.35">
      <c r="A208" s="4" t="str">
        <f>IF('Approved-In-Depth'!$A208&lt;&gt;"",'Approved-In-Depth'!A208,"")</f>
        <v/>
      </c>
      <c r="B208" t="str">
        <f>IF($O208&lt;&gt;"",$O208,IF($A208&lt;&gt;"",'Approved-In-Depth'!$B208+7,""))</f>
        <v/>
      </c>
      <c r="C208" t="str">
        <f>IF($A208&lt;&gt;"",'Approved-In-Depth'!C208,"")</f>
        <v/>
      </c>
      <c r="D208" t="str">
        <f>IF($A208&lt;&gt;"",'Approved-In-Depth'!D208,"")</f>
        <v/>
      </c>
      <c r="E208" t="str">
        <f>IF($A208&lt;&gt;"",'Approved-In-Depth'!E208,"")</f>
        <v/>
      </c>
      <c r="F208" t="str">
        <f>IF($A208&lt;&gt;"",'Approved-In-Depth'!F208,"")</f>
        <v/>
      </c>
      <c r="G208" t="str">
        <f>IF($A208&lt;&gt;"",'Approved-In-Depth'!G208,"")</f>
        <v/>
      </c>
      <c r="H208" s="4" t="str">
        <f>IF($A208&lt;&gt;"",'Approved-In-Depth'!H208,"")</f>
        <v/>
      </c>
      <c r="I208" t="str">
        <f>IF($A208&lt;&gt;"",'Approved-In-Depth'!I208,"")</f>
        <v/>
      </c>
      <c r="J208" t="str">
        <f>IF($A208&lt;&gt;"",'Approved-In-Depth'!J208,"")</f>
        <v/>
      </c>
      <c r="K208" t="str">
        <f>IF($A208&lt;&gt;"",'Approved-In-Depth'!K208,"")</f>
        <v/>
      </c>
      <c r="L208" s="4" t="str">
        <f>IF($A208&lt;&gt;"",'Approved-In-Depth'!L208,"")</f>
        <v/>
      </c>
      <c r="M208" t="str">
        <f>IF($A208&lt;&gt;"",'Approved-In-Depth'!M208,"")</f>
        <v/>
      </c>
    </row>
    <row r="209" spans="1:13" x14ac:dyDescent="0.35">
      <c r="A209" s="4" t="str">
        <f>IF('Approved-In-Depth'!$A209&lt;&gt;"",'Approved-In-Depth'!A209,"")</f>
        <v/>
      </c>
      <c r="B209" t="str">
        <f>IF($O209&lt;&gt;"",$O209,IF($A209&lt;&gt;"",'Approved-In-Depth'!$B209+7,""))</f>
        <v/>
      </c>
      <c r="C209" t="str">
        <f>IF($A209&lt;&gt;"",'Approved-In-Depth'!C209,"")</f>
        <v/>
      </c>
      <c r="D209" t="str">
        <f>IF($A209&lt;&gt;"",'Approved-In-Depth'!D209,"")</f>
        <v/>
      </c>
      <c r="E209" t="str">
        <f>IF($A209&lt;&gt;"",'Approved-In-Depth'!E209,"")</f>
        <v/>
      </c>
      <c r="F209" t="str">
        <f>IF($A209&lt;&gt;"",'Approved-In-Depth'!F209,"")</f>
        <v/>
      </c>
      <c r="G209" t="str">
        <f>IF($A209&lt;&gt;"",'Approved-In-Depth'!G209,"")</f>
        <v/>
      </c>
      <c r="H209" s="4" t="str">
        <f>IF($A209&lt;&gt;"",'Approved-In-Depth'!H209,"")</f>
        <v/>
      </c>
      <c r="I209" t="str">
        <f>IF($A209&lt;&gt;"",'Approved-In-Depth'!I209,"")</f>
        <v/>
      </c>
      <c r="J209" t="str">
        <f>IF($A209&lt;&gt;"",'Approved-In-Depth'!J209,"")</f>
        <v/>
      </c>
      <c r="K209" t="str">
        <f>IF($A209&lt;&gt;"",'Approved-In-Depth'!K209,"")</f>
        <v/>
      </c>
      <c r="L209" s="4" t="str">
        <f>IF($A209&lt;&gt;"",'Approved-In-Depth'!L209,"")</f>
        <v/>
      </c>
      <c r="M209" t="str">
        <f>IF($A209&lt;&gt;"",'Approved-In-Depth'!M209,"")</f>
        <v/>
      </c>
    </row>
    <row r="210" spans="1:13" x14ac:dyDescent="0.35">
      <c r="A210" s="4" t="str">
        <f>IF('Approved-In-Depth'!$A210&lt;&gt;"",'Approved-In-Depth'!A210,"")</f>
        <v/>
      </c>
      <c r="B210" t="str">
        <f>IF($O210&lt;&gt;"",$O210,IF($A210&lt;&gt;"",'Approved-In-Depth'!$B210+7,""))</f>
        <v/>
      </c>
      <c r="C210" t="str">
        <f>IF($A210&lt;&gt;"",'Approved-In-Depth'!C210,"")</f>
        <v/>
      </c>
      <c r="D210" t="str">
        <f>IF($A210&lt;&gt;"",'Approved-In-Depth'!D210,"")</f>
        <v/>
      </c>
      <c r="E210" t="str">
        <f>IF($A210&lt;&gt;"",'Approved-In-Depth'!E210,"")</f>
        <v/>
      </c>
      <c r="F210" t="str">
        <f>IF($A210&lt;&gt;"",'Approved-In-Depth'!F210,"")</f>
        <v/>
      </c>
      <c r="G210" t="str">
        <f>IF($A210&lt;&gt;"",'Approved-In-Depth'!G210,"")</f>
        <v/>
      </c>
      <c r="H210" s="4" t="str">
        <f>IF($A210&lt;&gt;"",'Approved-In-Depth'!H210,"")</f>
        <v/>
      </c>
      <c r="I210" t="str">
        <f>IF($A210&lt;&gt;"",'Approved-In-Depth'!I210,"")</f>
        <v/>
      </c>
      <c r="J210" t="str">
        <f>IF($A210&lt;&gt;"",'Approved-In-Depth'!J210,"")</f>
        <v/>
      </c>
      <c r="K210" t="str">
        <f>IF($A210&lt;&gt;"",'Approved-In-Depth'!K210,"")</f>
        <v/>
      </c>
      <c r="L210" s="4" t="str">
        <f>IF($A210&lt;&gt;"",'Approved-In-Depth'!L210,"")</f>
        <v/>
      </c>
      <c r="M210" t="str">
        <f>IF($A210&lt;&gt;"",'Approved-In-Depth'!M210,"")</f>
        <v/>
      </c>
    </row>
    <row r="211" spans="1:13" x14ac:dyDescent="0.35">
      <c r="A211" s="4" t="str">
        <f>IF('Approved-In-Depth'!$A211&lt;&gt;"",'Approved-In-Depth'!A211,"")</f>
        <v/>
      </c>
      <c r="B211" t="str">
        <f>IF($O211&lt;&gt;"",$O211,IF($A211&lt;&gt;"",'Approved-In-Depth'!$B211+7,""))</f>
        <v/>
      </c>
      <c r="C211" t="str">
        <f>IF($A211&lt;&gt;"",'Approved-In-Depth'!C211,"")</f>
        <v/>
      </c>
      <c r="D211" t="str">
        <f>IF($A211&lt;&gt;"",'Approved-In-Depth'!D211,"")</f>
        <v/>
      </c>
      <c r="E211" t="str">
        <f>IF($A211&lt;&gt;"",'Approved-In-Depth'!E211,"")</f>
        <v/>
      </c>
      <c r="F211" t="str">
        <f>IF($A211&lt;&gt;"",'Approved-In-Depth'!F211,"")</f>
        <v/>
      </c>
      <c r="G211" t="str">
        <f>IF($A211&lt;&gt;"",'Approved-In-Depth'!G211,"")</f>
        <v/>
      </c>
      <c r="H211" s="4" t="str">
        <f>IF($A211&lt;&gt;"",'Approved-In-Depth'!H211,"")</f>
        <v/>
      </c>
      <c r="I211" t="str">
        <f>IF($A211&lt;&gt;"",'Approved-In-Depth'!I211,"")</f>
        <v/>
      </c>
      <c r="J211" t="str">
        <f>IF($A211&lt;&gt;"",'Approved-In-Depth'!J211,"")</f>
        <v/>
      </c>
      <c r="K211" t="str">
        <f>IF($A211&lt;&gt;"",'Approved-In-Depth'!K211,"")</f>
        <v/>
      </c>
      <c r="L211" s="4" t="str">
        <f>IF($A211&lt;&gt;"",'Approved-In-Depth'!L211,"")</f>
        <v/>
      </c>
      <c r="M211" t="str">
        <f>IF($A211&lt;&gt;"",'Approved-In-Depth'!M211,"")</f>
        <v/>
      </c>
    </row>
    <row r="212" spans="1:13" x14ac:dyDescent="0.35">
      <c r="A212" s="4" t="str">
        <f>IF('Approved-In-Depth'!$A212&lt;&gt;"",'Approved-In-Depth'!A212,"")</f>
        <v/>
      </c>
      <c r="B212" t="str">
        <f>IF($O212&lt;&gt;"",$O212,IF($A212&lt;&gt;"",'Approved-In-Depth'!$B212+7,""))</f>
        <v/>
      </c>
      <c r="C212" t="str">
        <f>IF($A212&lt;&gt;"",'Approved-In-Depth'!C212,"")</f>
        <v/>
      </c>
      <c r="D212" t="str">
        <f>IF($A212&lt;&gt;"",'Approved-In-Depth'!D212,"")</f>
        <v/>
      </c>
      <c r="E212" t="str">
        <f>IF($A212&lt;&gt;"",'Approved-In-Depth'!E212,"")</f>
        <v/>
      </c>
      <c r="F212" t="str">
        <f>IF($A212&lt;&gt;"",'Approved-In-Depth'!F212,"")</f>
        <v/>
      </c>
      <c r="G212" t="str">
        <f>IF($A212&lt;&gt;"",'Approved-In-Depth'!G212,"")</f>
        <v/>
      </c>
      <c r="H212" s="4" t="str">
        <f>IF($A212&lt;&gt;"",'Approved-In-Depth'!H212,"")</f>
        <v/>
      </c>
      <c r="I212" t="str">
        <f>IF($A212&lt;&gt;"",'Approved-In-Depth'!I212,"")</f>
        <v/>
      </c>
      <c r="J212" t="str">
        <f>IF($A212&lt;&gt;"",'Approved-In-Depth'!J212,"")</f>
        <v/>
      </c>
      <c r="K212" t="str">
        <f>IF($A212&lt;&gt;"",'Approved-In-Depth'!K212,"")</f>
        <v/>
      </c>
      <c r="L212" s="4" t="str">
        <f>IF($A212&lt;&gt;"",'Approved-In-Depth'!L212,"")</f>
        <v/>
      </c>
      <c r="M212" t="str">
        <f>IF($A212&lt;&gt;"",'Approved-In-Depth'!M212,"")</f>
        <v/>
      </c>
    </row>
    <row r="213" spans="1:13" x14ac:dyDescent="0.35">
      <c r="A213" s="4" t="str">
        <f>IF('Approved-In-Depth'!$A213&lt;&gt;"",'Approved-In-Depth'!A213,"")</f>
        <v/>
      </c>
      <c r="B213" t="str">
        <f>IF($O213&lt;&gt;"",$O213,IF($A213&lt;&gt;"",'Approved-In-Depth'!$B213+7,""))</f>
        <v/>
      </c>
      <c r="C213" t="str">
        <f>IF($A213&lt;&gt;"",'Approved-In-Depth'!C213,"")</f>
        <v/>
      </c>
      <c r="D213" t="str">
        <f>IF($A213&lt;&gt;"",'Approved-In-Depth'!D213,"")</f>
        <v/>
      </c>
      <c r="E213" t="str">
        <f>IF($A213&lt;&gt;"",'Approved-In-Depth'!E213,"")</f>
        <v/>
      </c>
      <c r="F213" t="str">
        <f>IF($A213&lt;&gt;"",'Approved-In-Depth'!F213,"")</f>
        <v/>
      </c>
      <c r="G213" t="str">
        <f>IF($A213&lt;&gt;"",'Approved-In-Depth'!G213,"")</f>
        <v/>
      </c>
      <c r="H213" s="4" t="str">
        <f>IF($A213&lt;&gt;"",'Approved-In-Depth'!H213,"")</f>
        <v/>
      </c>
      <c r="I213" t="str">
        <f>IF($A213&lt;&gt;"",'Approved-In-Depth'!I213,"")</f>
        <v/>
      </c>
      <c r="J213" t="str">
        <f>IF($A213&lt;&gt;"",'Approved-In-Depth'!J213,"")</f>
        <v/>
      </c>
      <c r="K213" t="str">
        <f>IF($A213&lt;&gt;"",'Approved-In-Depth'!K213,"")</f>
        <v/>
      </c>
      <c r="L213" s="4" t="str">
        <f>IF($A213&lt;&gt;"",'Approved-In-Depth'!L213,"")</f>
        <v/>
      </c>
      <c r="M213" t="str">
        <f>IF($A213&lt;&gt;"",'Approved-In-Depth'!M213,"")</f>
        <v/>
      </c>
    </row>
    <row r="214" spans="1:13" x14ac:dyDescent="0.35">
      <c r="A214" s="4" t="str">
        <f>IF('Approved-In-Depth'!$A214&lt;&gt;"",'Approved-In-Depth'!A214,"")</f>
        <v/>
      </c>
      <c r="B214" t="str">
        <f>IF($O214&lt;&gt;"",$O214,IF($A214&lt;&gt;"",'Approved-In-Depth'!$B214+7,""))</f>
        <v/>
      </c>
      <c r="C214" t="str">
        <f>IF($A214&lt;&gt;"",'Approved-In-Depth'!C214,"")</f>
        <v/>
      </c>
      <c r="D214" t="str">
        <f>IF($A214&lt;&gt;"",'Approved-In-Depth'!D214,"")</f>
        <v/>
      </c>
      <c r="E214" t="str">
        <f>IF($A214&lt;&gt;"",'Approved-In-Depth'!E214,"")</f>
        <v/>
      </c>
      <c r="F214" t="str">
        <f>IF($A214&lt;&gt;"",'Approved-In-Depth'!F214,"")</f>
        <v/>
      </c>
      <c r="G214" t="str">
        <f>IF($A214&lt;&gt;"",'Approved-In-Depth'!G214,"")</f>
        <v/>
      </c>
      <c r="H214" s="4" t="str">
        <f>IF($A214&lt;&gt;"",'Approved-In-Depth'!H214,"")</f>
        <v/>
      </c>
      <c r="I214" t="str">
        <f>IF($A214&lt;&gt;"",'Approved-In-Depth'!I214,"")</f>
        <v/>
      </c>
      <c r="J214" t="str">
        <f>IF($A214&lt;&gt;"",'Approved-In-Depth'!J214,"")</f>
        <v/>
      </c>
      <c r="K214" t="str">
        <f>IF($A214&lt;&gt;"",'Approved-In-Depth'!K214,"")</f>
        <v/>
      </c>
      <c r="L214" s="4" t="str">
        <f>IF($A214&lt;&gt;"",'Approved-In-Depth'!L214,"")</f>
        <v/>
      </c>
      <c r="M214" t="str">
        <f>IF($A214&lt;&gt;"",'Approved-In-Depth'!M214,"")</f>
        <v/>
      </c>
    </row>
    <row r="215" spans="1:13" x14ac:dyDescent="0.35">
      <c r="A215" s="4" t="str">
        <f>IF('Approved-In-Depth'!$A215&lt;&gt;"",'Approved-In-Depth'!A215,"")</f>
        <v/>
      </c>
      <c r="B215" t="str">
        <f>IF($O215&lt;&gt;"",$O215,IF($A215&lt;&gt;"",'Approved-In-Depth'!$B215+7,""))</f>
        <v/>
      </c>
      <c r="C215" t="str">
        <f>IF($A215&lt;&gt;"",'Approved-In-Depth'!C215,"")</f>
        <v/>
      </c>
      <c r="D215" t="str">
        <f>IF($A215&lt;&gt;"",'Approved-In-Depth'!D215,"")</f>
        <v/>
      </c>
      <c r="E215" t="str">
        <f>IF($A215&lt;&gt;"",'Approved-In-Depth'!E215,"")</f>
        <v/>
      </c>
      <c r="F215" t="str">
        <f>IF($A215&lt;&gt;"",'Approved-In-Depth'!F215,"")</f>
        <v/>
      </c>
      <c r="G215" t="str">
        <f>IF($A215&lt;&gt;"",'Approved-In-Depth'!G215,"")</f>
        <v/>
      </c>
      <c r="H215" s="4" t="str">
        <f>IF($A215&lt;&gt;"",'Approved-In-Depth'!H215,"")</f>
        <v/>
      </c>
      <c r="I215" t="str">
        <f>IF($A215&lt;&gt;"",'Approved-In-Depth'!I215,"")</f>
        <v/>
      </c>
      <c r="J215" t="str">
        <f>IF($A215&lt;&gt;"",'Approved-In-Depth'!J215,"")</f>
        <v/>
      </c>
      <c r="K215" t="str">
        <f>IF($A215&lt;&gt;"",'Approved-In-Depth'!K215,"")</f>
        <v/>
      </c>
      <c r="L215" s="4" t="str">
        <f>IF($A215&lt;&gt;"",'Approved-In-Depth'!L215,"")</f>
        <v/>
      </c>
      <c r="M215" t="str">
        <f>IF($A215&lt;&gt;"",'Approved-In-Depth'!M215,"")</f>
        <v/>
      </c>
    </row>
    <row r="216" spans="1:13" x14ac:dyDescent="0.35">
      <c r="A216" s="4" t="str">
        <f>IF('Approved-In-Depth'!$A216&lt;&gt;"",'Approved-In-Depth'!A216,"")</f>
        <v/>
      </c>
      <c r="B216" t="str">
        <f>IF($O216&lt;&gt;"",$O216,IF($A216&lt;&gt;"",'Approved-In-Depth'!$B216+7,""))</f>
        <v/>
      </c>
      <c r="C216" t="str">
        <f>IF($A216&lt;&gt;"",'Approved-In-Depth'!C216,"")</f>
        <v/>
      </c>
      <c r="D216" t="str">
        <f>IF($A216&lt;&gt;"",'Approved-In-Depth'!D216,"")</f>
        <v/>
      </c>
      <c r="E216" t="str">
        <f>IF($A216&lt;&gt;"",'Approved-In-Depth'!E216,"")</f>
        <v/>
      </c>
      <c r="F216" t="str">
        <f>IF($A216&lt;&gt;"",'Approved-In-Depth'!F216,"")</f>
        <v/>
      </c>
      <c r="G216" t="str">
        <f>IF($A216&lt;&gt;"",'Approved-In-Depth'!G216,"")</f>
        <v/>
      </c>
      <c r="H216" s="4" t="str">
        <f>IF($A216&lt;&gt;"",'Approved-In-Depth'!H216,"")</f>
        <v/>
      </c>
      <c r="I216" t="str">
        <f>IF($A216&lt;&gt;"",'Approved-In-Depth'!I216,"")</f>
        <v/>
      </c>
      <c r="J216" t="str">
        <f>IF($A216&lt;&gt;"",'Approved-In-Depth'!J216,"")</f>
        <v/>
      </c>
      <c r="K216" t="str">
        <f>IF($A216&lt;&gt;"",'Approved-In-Depth'!K216,"")</f>
        <v/>
      </c>
      <c r="L216" s="4" t="str">
        <f>IF($A216&lt;&gt;"",'Approved-In-Depth'!L216,"")</f>
        <v/>
      </c>
      <c r="M216" t="str">
        <f>IF($A216&lt;&gt;"",'Approved-In-Depth'!M216,"")</f>
        <v/>
      </c>
    </row>
    <row r="217" spans="1:13" x14ac:dyDescent="0.35">
      <c r="A217" s="4" t="str">
        <f>IF('Approved-In-Depth'!$A217&lt;&gt;"",'Approved-In-Depth'!A217,"")</f>
        <v/>
      </c>
      <c r="B217" t="str">
        <f>IF($O217&lt;&gt;"",$O217,IF($A217&lt;&gt;"",'Approved-In-Depth'!$B217+7,""))</f>
        <v/>
      </c>
      <c r="C217" t="str">
        <f>IF($A217&lt;&gt;"",'Approved-In-Depth'!C217,"")</f>
        <v/>
      </c>
      <c r="D217" t="str">
        <f>IF($A217&lt;&gt;"",'Approved-In-Depth'!D217,"")</f>
        <v/>
      </c>
      <c r="E217" t="str">
        <f>IF($A217&lt;&gt;"",'Approved-In-Depth'!E217,"")</f>
        <v/>
      </c>
      <c r="F217" t="str">
        <f>IF($A217&lt;&gt;"",'Approved-In-Depth'!F217,"")</f>
        <v/>
      </c>
      <c r="G217" t="str">
        <f>IF($A217&lt;&gt;"",'Approved-In-Depth'!G217,"")</f>
        <v/>
      </c>
      <c r="H217" s="4" t="str">
        <f>IF($A217&lt;&gt;"",'Approved-In-Depth'!H217,"")</f>
        <v/>
      </c>
      <c r="I217" t="str">
        <f>IF($A217&lt;&gt;"",'Approved-In-Depth'!I217,"")</f>
        <v/>
      </c>
      <c r="J217" t="str">
        <f>IF($A217&lt;&gt;"",'Approved-In-Depth'!J217,"")</f>
        <v/>
      </c>
      <c r="K217" t="str">
        <f>IF($A217&lt;&gt;"",'Approved-In-Depth'!K217,"")</f>
        <v/>
      </c>
      <c r="L217" s="4" t="str">
        <f>IF($A217&lt;&gt;"",'Approved-In-Depth'!L217,"")</f>
        <v/>
      </c>
      <c r="M217" t="str">
        <f>IF($A217&lt;&gt;"",'Approved-In-Depth'!M217,"")</f>
        <v/>
      </c>
    </row>
    <row r="218" spans="1:13" x14ac:dyDescent="0.35">
      <c r="A218" s="4" t="str">
        <f>IF('Approved-In-Depth'!$A218&lt;&gt;"",'Approved-In-Depth'!A218,"")</f>
        <v/>
      </c>
      <c r="B218" t="str">
        <f>IF($O218&lt;&gt;"",$O218,IF($A218&lt;&gt;"",'Approved-In-Depth'!$B218+7,""))</f>
        <v/>
      </c>
      <c r="C218" t="str">
        <f>IF($A218&lt;&gt;"",'Approved-In-Depth'!C218,"")</f>
        <v/>
      </c>
      <c r="D218" t="str">
        <f>IF($A218&lt;&gt;"",'Approved-In-Depth'!D218,"")</f>
        <v/>
      </c>
      <c r="E218" t="str">
        <f>IF($A218&lt;&gt;"",'Approved-In-Depth'!E218,"")</f>
        <v/>
      </c>
      <c r="F218" t="str">
        <f>IF($A218&lt;&gt;"",'Approved-In-Depth'!F218,"")</f>
        <v/>
      </c>
      <c r="G218" t="str">
        <f>IF($A218&lt;&gt;"",'Approved-In-Depth'!G218,"")</f>
        <v/>
      </c>
      <c r="H218" s="4" t="str">
        <f>IF($A218&lt;&gt;"",'Approved-In-Depth'!H218,"")</f>
        <v/>
      </c>
      <c r="I218" t="str">
        <f>IF($A218&lt;&gt;"",'Approved-In-Depth'!I218,"")</f>
        <v/>
      </c>
      <c r="J218" t="str">
        <f>IF($A218&lt;&gt;"",'Approved-In-Depth'!J218,"")</f>
        <v/>
      </c>
      <c r="K218" t="str">
        <f>IF($A218&lt;&gt;"",'Approved-In-Depth'!K218,"")</f>
        <v/>
      </c>
      <c r="L218" s="4" t="str">
        <f>IF($A218&lt;&gt;"",'Approved-In-Depth'!L218,"")</f>
        <v/>
      </c>
      <c r="M218" t="str">
        <f>IF($A218&lt;&gt;"",'Approved-In-Depth'!M218,"")</f>
        <v/>
      </c>
    </row>
    <row r="219" spans="1:13" x14ac:dyDescent="0.35">
      <c r="A219" s="4" t="str">
        <f>IF('Approved-In-Depth'!$A219&lt;&gt;"",'Approved-In-Depth'!A219,"")</f>
        <v/>
      </c>
      <c r="B219" t="str">
        <f>IF($O219&lt;&gt;"",$O219,IF($A219&lt;&gt;"",'Approved-In-Depth'!$B219+7,""))</f>
        <v/>
      </c>
      <c r="C219" t="str">
        <f>IF($A219&lt;&gt;"",'Approved-In-Depth'!C219,"")</f>
        <v/>
      </c>
      <c r="D219" t="str">
        <f>IF($A219&lt;&gt;"",'Approved-In-Depth'!D219,"")</f>
        <v/>
      </c>
      <c r="E219" t="str">
        <f>IF($A219&lt;&gt;"",'Approved-In-Depth'!E219,"")</f>
        <v/>
      </c>
      <c r="F219" t="str">
        <f>IF($A219&lt;&gt;"",'Approved-In-Depth'!F219,"")</f>
        <v/>
      </c>
      <c r="G219" t="str">
        <f>IF($A219&lt;&gt;"",'Approved-In-Depth'!G219,"")</f>
        <v/>
      </c>
      <c r="H219" s="4" t="str">
        <f>IF($A219&lt;&gt;"",'Approved-In-Depth'!H219,"")</f>
        <v/>
      </c>
      <c r="I219" t="str">
        <f>IF($A219&lt;&gt;"",'Approved-In-Depth'!I219,"")</f>
        <v/>
      </c>
      <c r="J219" t="str">
        <f>IF($A219&lt;&gt;"",'Approved-In-Depth'!J219,"")</f>
        <v/>
      </c>
      <c r="K219" t="str">
        <f>IF($A219&lt;&gt;"",'Approved-In-Depth'!K219,"")</f>
        <v/>
      </c>
      <c r="L219" s="4" t="str">
        <f>IF($A219&lt;&gt;"",'Approved-In-Depth'!L219,"")</f>
        <v/>
      </c>
      <c r="M219" t="str">
        <f>IF($A219&lt;&gt;"",'Approved-In-Depth'!M219,"")</f>
        <v/>
      </c>
    </row>
    <row r="220" spans="1:13" x14ac:dyDescent="0.35">
      <c r="A220" s="4" t="str">
        <f>IF('Approved-In-Depth'!$A220&lt;&gt;"",'Approved-In-Depth'!A220,"")</f>
        <v/>
      </c>
      <c r="B220" t="str">
        <f>IF($O220&lt;&gt;"",$O220,IF($A220&lt;&gt;"",'Approved-In-Depth'!$B220+7,""))</f>
        <v/>
      </c>
      <c r="C220" t="str">
        <f>IF($A220&lt;&gt;"",'Approved-In-Depth'!C220,"")</f>
        <v/>
      </c>
      <c r="D220" t="str">
        <f>IF($A220&lt;&gt;"",'Approved-In-Depth'!D220,"")</f>
        <v/>
      </c>
      <c r="E220" t="str">
        <f>IF($A220&lt;&gt;"",'Approved-In-Depth'!E220,"")</f>
        <v/>
      </c>
      <c r="F220" t="str">
        <f>IF($A220&lt;&gt;"",'Approved-In-Depth'!F220,"")</f>
        <v/>
      </c>
      <c r="G220" t="str">
        <f>IF($A220&lt;&gt;"",'Approved-In-Depth'!G220,"")</f>
        <v/>
      </c>
      <c r="H220" s="4" t="str">
        <f>IF($A220&lt;&gt;"",'Approved-In-Depth'!H220,"")</f>
        <v/>
      </c>
      <c r="I220" t="str">
        <f>IF($A220&lt;&gt;"",'Approved-In-Depth'!I220,"")</f>
        <v/>
      </c>
      <c r="J220" t="str">
        <f>IF($A220&lt;&gt;"",'Approved-In-Depth'!J220,"")</f>
        <v/>
      </c>
      <c r="K220" t="str">
        <f>IF($A220&lt;&gt;"",'Approved-In-Depth'!K220,"")</f>
        <v/>
      </c>
      <c r="L220" s="4" t="str">
        <f>IF($A220&lt;&gt;"",'Approved-In-Depth'!L220,"")</f>
        <v/>
      </c>
      <c r="M220" t="str">
        <f>IF($A220&lt;&gt;"",'Approved-In-Depth'!M220,"")</f>
        <v/>
      </c>
    </row>
    <row r="221" spans="1:13" x14ac:dyDescent="0.35">
      <c r="A221" s="4" t="str">
        <f>IF('Approved-In-Depth'!$A221&lt;&gt;"",'Approved-In-Depth'!A221,"")</f>
        <v/>
      </c>
      <c r="B221" t="str">
        <f>IF($O221&lt;&gt;"",$O221,IF($A221&lt;&gt;"",'Approved-In-Depth'!$B221+7,""))</f>
        <v/>
      </c>
      <c r="C221" t="str">
        <f>IF($A221&lt;&gt;"",'Approved-In-Depth'!C221,"")</f>
        <v/>
      </c>
      <c r="D221" t="str">
        <f>IF($A221&lt;&gt;"",'Approved-In-Depth'!D221,"")</f>
        <v/>
      </c>
      <c r="E221" t="str">
        <f>IF($A221&lt;&gt;"",'Approved-In-Depth'!E221,"")</f>
        <v/>
      </c>
      <c r="F221" t="str">
        <f>IF($A221&lt;&gt;"",'Approved-In-Depth'!F221,"")</f>
        <v/>
      </c>
      <c r="G221" t="str">
        <f>IF($A221&lt;&gt;"",'Approved-In-Depth'!G221,"")</f>
        <v/>
      </c>
      <c r="H221" s="4" t="str">
        <f>IF($A221&lt;&gt;"",'Approved-In-Depth'!H221,"")</f>
        <v/>
      </c>
      <c r="I221" t="str">
        <f>IF($A221&lt;&gt;"",'Approved-In-Depth'!I221,"")</f>
        <v/>
      </c>
      <c r="J221" t="str">
        <f>IF($A221&lt;&gt;"",'Approved-In-Depth'!J221,"")</f>
        <v/>
      </c>
      <c r="K221" t="str">
        <f>IF($A221&lt;&gt;"",'Approved-In-Depth'!K221,"")</f>
        <v/>
      </c>
      <c r="L221" s="4" t="str">
        <f>IF($A221&lt;&gt;"",'Approved-In-Depth'!L221,"")</f>
        <v/>
      </c>
      <c r="M221" t="str">
        <f>IF($A221&lt;&gt;"",'Approved-In-Depth'!M221,"")</f>
        <v/>
      </c>
    </row>
    <row r="222" spans="1:13" x14ac:dyDescent="0.35">
      <c r="A222" s="4" t="str">
        <f>IF('Approved-In-Depth'!$A222&lt;&gt;"",'Approved-In-Depth'!A222,"")</f>
        <v/>
      </c>
      <c r="B222" t="str">
        <f>IF($O222&lt;&gt;"",$O222,IF($A222&lt;&gt;"",'Approved-In-Depth'!$B222+7,""))</f>
        <v/>
      </c>
      <c r="C222" t="str">
        <f>IF($A222&lt;&gt;"",'Approved-In-Depth'!C222,"")</f>
        <v/>
      </c>
      <c r="D222" t="str">
        <f>IF($A222&lt;&gt;"",'Approved-In-Depth'!D222,"")</f>
        <v/>
      </c>
      <c r="E222" t="str">
        <f>IF($A222&lt;&gt;"",'Approved-In-Depth'!E222,"")</f>
        <v/>
      </c>
      <c r="F222" t="str">
        <f>IF($A222&lt;&gt;"",'Approved-In-Depth'!F222,"")</f>
        <v/>
      </c>
      <c r="G222" t="str">
        <f>IF($A222&lt;&gt;"",'Approved-In-Depth'!G222,"")</f>
        <v/>
      </c>
      <c r="H222" s="4" t="str">
        <f>IF($A222&lt;&gt;"",'Approved-In-Depth'!H222,"")</f>
        <v/>
      </c>
      <c r="I222" t="str">
        <f>IF($A222&lt;&gt;"",'Approved-In-Depth'!I222,"")</f>
        <v/>
      </c>
      <c r="J222" t="str">
        <f>IF($A222&lt;&gt;"",'Approved-In-Depth'!J222,"")</f>
        <v/>
      </c>
      <c r="K222" t="str">
        <f>IF($A222&lt;&gt;"",'Approved-In-Depth'!K222,"")</f>
        <v/>
      </c>
      <c r="L222" s="4" t="str">
        <f>IF($A222&lt;&gt;"",'Approved-In-Depth'!L222,"")</f>
        <v/>
      </c>
      <c r="M222" t="str">
        <f>IF($A222&lt;&gt;"",'Approved-In-Depth'!M222,"")</f>
        <v/>
      </c>
    </row>
    <row r="223" spans="1:13" x14ac:dyDescent="0.35">
      <c r="A223" s="4" t="str">
        <f>IF('Approved-In-Depth'!$A223&lt;&gt;"",'Approved-In-Depth'!A223,"")</f>
        <v/>
      </c>
      <c r="B223" t="str">
        <f>IF($O223&lt;&gt;"",$O223,IF($A223&lt;&gt;"",'Approved-In-Depth'!$B223+7,""))</f>
        <v/>
      </c>
      <c r="C223" t="str">
        <f>IF($A223&lt;&gt;"",'Approved-In-Depth'!C223,"")</f>
        <v/>
      </c>
      <c r="D223" t="str">
        <f>IF($A223&lt;&gt;"",'Approved-In-Depth'!D223,"")</f>
        <v/>
      </c>
      <c r="E223" t="str">
        <f>IF($A223&lt;&gt;"",'Approved-In-Depth'!E223,"")</f>
        <v/>
      </c>
      <c r="F223" t="str">
        <f>IF($A223&lt;&gt;"",'Approved-In-Depth'!F223,"")</f>
        <v/>
      </c>
      <c r="G223" t="str">
        <f>IF($A223&lt;&gt;"",'Approved-In-Depth'!G223,"")</f>
        <v/>
      </c>
      <c r="H223" s="4" t="str">
        <f>IF($A223&lt;&gt;"",'Approved-In-Depth'!H223,"")</f>
        <v/>
      </c>
      <c r="I223" t="str">
        <f>IF($A223&lt;&gt;"",'Approved-In-Depth'!I223,"")</f>
        <v/>
      </c>
      <c r="J223" t="str">
        <f>IF($A223&lt;&gt;"",'Approved-In-Depth'!J223,"")</f>
        <v/>
      </c>
      <c r="K223" t="str">
        <f>IF($A223&lt;&gt;"",'Approved-In-Depth'!K223,"")</f>
        <v/>
      </c>
      <c r="L223" s="4" t="str">
        <f>IF($A223&lt;&gt;"",'Approved-In-Depth'!L223,"")</f>
        <v/>
      </c>
      <c r="M223" t="str">
        <f>IF($A223&lt;&gt;"",'Approved-In-Depth'!M223,"")</f>
        <v/>
      </c>
    </row>
    <row r="224" spans="1:13" x14ac:dyDescent="0.35">
      <c r="A224" s="4" t="str">
        <f>IF('Approved-In-Depth'!$A224&lt;&gt;"",'Approved-In-Depth'!A224,"")</f>
        <v/>
      </c>
      <c r="B224" t="str">
        <f>IF($O224&lt;&gt;"",$O224,IF($A224&lt;&gt;"",'Approved-In-Depth'!$B224+7,""))</f>
        <v/>
      </c>
      <c r="C224" t="str">
        <f>IF($A224&lt;&gt;"",'Approved-In-Depth'!C224,"")</f>
        <v/>
      </c>
      <c r="D224" t="str">
        <f>IF($A224&lt;&gt;"",'Approved-In-Depth'!D224,"")</f>
        <v/>
      </c>
      <c r="E224" t="str">
        <f>IF($A224&lt;&gt;"",'Approved-In-Depth'!E224,"")</f>
        <v/>
      </c>
      <c r="F224" t="str">
        <f>IF($A224&lt;&gt;"",'Approved-In-Depth'!F224,"")</f>
        <v/>
      </c>
      <c r="G224" t="str">
        <f>IF($A224&lt;&gt;"",'Approved-In-Depth'!G224,"")</f>
        <v/>
      </c>
      <c r="H224" s="4" t="str">
        <f>IF($A224&lt;&gt;"",'Approved-In-Depth'!H224,"")</f>
        <v/>
      </c>
      <c r="I224" t="str">
        <f>IF($A224&lt;&gt;"",'Approved-In-Depth'!I224,"")</f>
        <v/>
      </c>
      <c r="J224" t="str">
        <f>IF($A224&lt;&gt;"",'Approved-In-Depth'!J224,"")</f>
        <v/>
      </c>
      <c r="K224" t="str">
        <f>IF($A224&lt;&gt;"",'Approved-In-Depth'!K224,"")</f>
        <v/>
      </c>
      <c r="L224" s="4" t="str">
        <f>IF($A224&lt;&gt;"",'Approved-In-Depth'!L224,"")</f>
        <v/>
      </c>
      <c r="M224" t="str">
        <f>IF($A224&lt;&gt;"",'Approved-In-Depth'!M224,"")</f>
        <v/>
      </c>
    </row>
    <row r="225" spans="1:13" x14ac:dyDescent="0.35">
      <c r="A225" s="4" t="str">
        <f>IF('Approved-In-Depth'!$A225&lt;&gt;"",'Approved-In-Depth'!A225,"")</f>
        <v/>
      </c>
      <c r="B225" t="str">
        <f>IF($O225&lt;&gt;"",$O225,IF($A225&lt;&gt;"",'Approved-In-Depth'!$B225+7,""))</f>
        <v/>
      </c>
      <c r="C225" t="str">
        <f>IF($A225&lt;&gt;"",'Approved-In-Depth'!C225,"")</f>
        <v/>
      </c>
      <c r="D225" t="str">
        <f>IF($A225&lt;&gt;"",'Approved-In-Depth'!D225,"")</f>
        <v/>
      </c>
      <c r="E225" t="str">
        <f>IF($A225&lt;&gt;"",'Approved-In-Depth'!E225,"")</f>
        <v/>
      </c>
      <c r="F225" t="str">
        <f>IF($A225&lt;&gt;"",'Approved-In-Depth'!F225,"")</f>
        <v/>
      </c>
      <c r="G225" t="str">
        <f>IF($A225&lt;&gt;"",'Approved-In-Depth'!G225,"")</f>
        <v/>
      </c>
      <c r="H225" s="4" t="str">
        <f>IF($A225&lt;&gt;"",'Approved-In-Depth'!H225,"")</f>
        <v/>
      </c>
      <c r="I225" t="str">
        <f>IF($A225&lt;&gt;"",'Approved-In-Depth'!I225,"")</f>
        <v/>
      </c>
      <c r="J225" t="str">
        <f>IF($A225&lt;&gt;"",'Approved-In-Depth'!J225,"")</f>
        <v/>
      </c>
      <c r="K225" t="str">
        <f>IF($A225&lt;&gt;"",'Approved-In-Depth'!K225,"")</f>
        <v/>
      </c>
      <c r="L225" s="4" t="str">
        <f>IF($A225&lt;&gt;"",'Approved-In-Depth'!L225,"")</f>
        <v/>
      </c>
      <c r="M225" t="str">
        <f>IF($A225&lt;&gt;"",'Approved-In-Depth'!M225,"")</f>
        <v/>
      </c>
    </row>
    <row r="226" spans="1:13" x14ac:dyDescent="0.35">
      <c r="A226" s="4" t="str">
        <f>IF('Approved-In-Depth'!$A226&lt;&gt;"",'Approved-In-Depth'!A226,"")</f>
        <v/>
      </c>
      <c r="B226" t="str">
        <f>IF($O226&lt;&gt;"",$O226,IF($A226&lt;&gt;"",'Approved-In-Depth'!$B226+7,""))</f>
        <v/>
      </c>
      <c r="C226" t="str">
        <f>IF($A226&lt;&gt;"",'Approved-In-Depth'!C226,"")</f>
        <v/>
      </c>
      <c r="D226" t="str">
        <f>IF($A226&lt;&gt;"",'Approved-In-Depth'!D226,"")</f>
        <v/>
      </c>
      <c r="E226" t="str">
        <f>IF($A226&lt;&gt;"",'Approved-In-Depth'!E226,"")</f>
        <v/>
      </c>
      <c r="F226" t="str">
        <f>IF($A226&lt;&gt;"",'Approved-In-Depth'!F226,"")</f>
        <v/>
      </c>
      <c r="G226" t="str">
        <f>IF($A226&lt;&gt;"",'Approved-In-Depth'!G226,"")</f>
        <v/>
      </c>
      <c r="H226" s="4" t="str">
        <f>IF($A226&lt;&gt;"",'Approved-In-Depth'!H226,"")</f>
        <v/>
      </c>
      <c r="I226" t="str">
        <f>IF($A226&lt;&gt;"",'Approved-In-Depth'!I226,"")</f>
        <v/>
      </c>
      <c r="J226" t="str">
        <f>IF($A226&lt;&gt;"",'Approved-In-Depth'!J226,"")</f>
        <v/>
      </c>
      <c r="K226" t="str">
        <f>IF($A226&lt;&gt;"",'Approved-In-Depth'!K226,"")</f>
        <v/>
      </c>
      <c r="L226" s="4" t="str">
        <f>IF($A226&lt;&gt;"",'Approved-In-Depth'!L226,"")</f>
        <v/>
      </c>
      <c r="M226" t="str">
        <f>IF($A226&lt;&gt;"",'Approved-In-Depth'!M226,"")</f>
        <v/>
      </c>
    </row>
    <row r="227" spans="1:13" x14ac:dyDescent="0.35">
      <c r="A227" s="4" t="str">
        <f>IF('Approved-In-Depth'!$A227&lt;&gt;"",'Approved-In-Depth'!A227,"")</f>
        <v/>
      </c>
      <c r="B227" t="str">
        <f>IF($O227&lt;&gt;"",$O227,IF($A227&lt;&gt;"",'Approved-In-Depth'!$B227+7,""))</f>
        <v/>
      </c>
      <c r="C227" t="str">
        <f>IF($A227&lt;&gt;"",'Approved-In-Depth'!C227,"")</f>
        <v/>
      </c>
      <c r="D227" t="str">
        <f>IF($A227&lt;&gt;"",'Approved-In-Depth'!D227,"")</f>
        <v/>
      </c>
      <c r="E227" t="str">
        <f>IF($A227&lt;&gt;"",'Approved-In-Depth'!E227,"")</f>
        <v/>
      </c>
      <c r="F227" t="str">
        <f>IF($A227&lt;&gt;"",'Approved-In-Depth'!F227,"")</f>
        <v/>
      </c>
      <c r="G227" t="str">
        <f>IF($A227&lt;&gt;"",'Approved-In-Depth'!G227,"")</f>
        <v/>
      </c>
      <c r="H227" s="4" t="str">
        <f>IF($A227&lt;&gt;"",'Approved-In-Depth'!H227,"")</f>
        <v/>
      </c>
      <c r="I227" t="str">
        <f>IF($A227&lt;&gt;"",'Approved-In-Depth'!I227,"")</f>
        <v/>
      </c>
      <c r="J227" t="str">
        <f>IF($A227&lt;&gt;"",'Approved-In-Depth'!J227,"")</f>
        <v/>
      </c>
      <c r="K227" t="str">
        <f>IF($A227&lt;&gt;"",'Approved-In-Depth'!K227,"")</f>
        <v/>
      </c>
      <c r="L227" s="4" t="str">
        <f>IF($A227&lt;&gt;"",'Approved-In-Depth'!L227,"")</f>
        <v/>
      </c>
      <c r="M227" t="str">
        <f>IF($A227&lt;&gt;"",'Approved-In-Depth'!M227,"")</f>
        <v/>
      </c>
    </row>
    <row r="228" spans="1:13" x14ac:dyDescent="0.35">
      <c r="A228" s="4" t="str">
        <f>IF('Approved-In-Depth'!$A228&lt;&gt;"",'Approved-In-Depth'!A228,"")</f>
        <v/>
      </c>
      <c r="B228" t="str">
        <f>IF($O228&lt;&gt;"",$O228,IF($A228&lt;&gt;"",'Approved-In-Depth'!$B228+7,""))</f>
        <v/>
      </c>
      <c r="C228" t="str">
        <f>IF($A228&lt;&gt;"",'Approved-In-Depth'!C228,"")</f>
        <v/>
      </c>
      <c r="D228" t="str">
        <f>IF($A228&lt;&gt;"",'Approved-In-Depth'!D228,"")</f>
        <v/>
      </c>
      <c r="E228" t="str">
        <f>IF($A228&lt;&gt;"",'Approved-In-Depth'!E228,"")</f>
        <v/>
      </c>
      <c r="F228" t="str">
        <f>IF($A228&lt;&gt;"",'Approved-In-Depth'!F228,"")</f>
        <v/>
      </c>
      <c r="G228" t="str">
        <f>IF($A228&lt;&gt;"",'Approved-In-Depth'!G228,"")</f>
        <v/>
      </c>
      <c r="H228" s="4" t="str">
        <f>IF($A228&lt;&gt;"",'Approved-In-Depth'!H228,"")</f>
        <v/>
      </c>
      <c r="I228" t="str">
        <f>IF($A228&lt;&gt;"",'Approved-In-Depth'!I228,"")</f>
        <v/>
      </c>
      <c r="J228" t="str">
        <f>IF($A228&lt;&gt;"",'Approved-In-Depth'!J228,"")</f>
        <v/>
      </c>
      <c r="K228" t="str">
        <f>IF($A228&lt;&gt;"",'Approved-In-Depth'!K228,"")</f>
        <v/>
      </c>
      <c r="L228" s="4" t="str">
        <f>IF($A228&lt;&gt;"",'Approved-In-Depth'!L228,"")</f>
        <v/>
      </c>
      <c r="M228" t="str">
        <f>IF($A228&lt;&gt;"",'Approved-In-Depth'!M228,"")</f>
        <v/>
      </c>
    </row>
    <row r="229" spans="1:13" x14ac:dyDescent="0.35">
      <c r="A229" s="4" t="str">
        <f>IF('Approved-In-Depth'!$A229&lt;&gt;"",'Approved-In-Depth'!A229,"")</f>
        <v/>
      </c>
      <c r="B229" t="str">
        <f>IF($O229&lt;&gt;"",$O229,IF($A229&lt;&gt;"",'Approved-In-Depth'!$B229+7,""))</f>
        <v/>
      </c>
      <c r="C229" t="str">
        <f>IF($A229&lt;&gt;"",'Approved-In-Depth'!C229,"")</f>
        <v/>
      </c>
      <c r="D229" t="str">
        <f>IF($A229&lt;&gt;"",'Approved-In-Depth'!D229,"")</f>
        <v/>
      </c>
      <c r="E229" t="str">
        <f>IF($A229&lt;&gt;"",'Approved-In-Depth'!E229,"")</f>
        <v/>
      </c>
      <c r="F229" t="str">
        <f>IF($A229&lt;&gt;"",'Approved-In-Depth'!F229,"")</f>
        <v/>
      </c>
      <c r="G229" t="str">
        <f>IF($A229&lt;&gt;"",'Approved-In-Depth'!G229,"")</f>
        <v/>
      </c>
      <c r="H229" s="4" t="str">
        <f>IF($A229&lt;&gt;"",'Approved-In-Depth'!H229,"")</f>
        <v/>
      </c>
      <c r="I229" t="str">
        <f>IF($A229&lt;&gt;"",'Approved-In-Depth'!I229,"")</f>
        <v/>
      </c>
      <c r="J229" t="str">
        <f>IF($A229&lt;&gt;"",'Approved-In-Depth'!J229,"")</f>
        <v/>
      </c>
      <c r="K229" t="str">
        <f>IF($A229&lt;&gt;"",'Approved-In-Depth'!K229,"")</f>
        <v/>
      </c>
      <c r="L229" s="4" t="str">
        <f>IF($A229&lt;&gt;"",'Approved-In-Depth'!L229,"")</f>
        <v/>
      </c>
      <c r="M229" t="str">
        <f>IF($A229&lt;&gt;"",'Approved-In-Depth'!M229,"")</f>
        <v/>
      </c>
    </row>
    <row r="230" spans="1:13" x14ac:dyDescent="0.35">
      <c r="A230" s="4" t="str">
        <f>IF('Approved-In-Depth'!$A230&lt;&gt;"",'Approved-In-Depth'!A230,"")</f>
        <v/>
      </c>
      <c r="B230" t="str">
        <f>IF($O230&lt;&gt;"",$O230,IF($A230&lt;&gt;"",'Approved-In-Depth'!$B230+7,""))</f>
        <v/>
      </c>
      <c r="C230" t="str">
        <f>IF($A230&lt;&gt;"",'Approved-In-Depth'!C230,"")</f>
        <v/>
      </c>
      <c r="D230" t="str">
        <f>IF($A230&lt;&gt;"",'Approved-In-Depth'!D230,"")</f>
        <v/>
      </c>
      <c r="E230" t="str">
        <f>IF($A230&lt;&gt;"",'Approved-In-Depth'!E230,"")</f>
        <v/>
      </c>
      <c r="F230" t="str">
        <f>IF($A230&lt;&gt;"",'Approved-In-Depth'!F230,"")</f>
        <v/>
      </c>
      <c r="G230" t="str">
        <f>IF($A230&lt;&gt;"",'Approved-In-Depth'!G230,"")</f>
        <v/>
      </c>
      <c r="H230" s="4" t="str">
        <f>IF($A230&lt;&gt;"",'Approved-In-Depth'!H230,"")</f>
        <v/>
      </c>
      <c r="I230" t="str">
        <f>IF($A230&lt;&gt;"",'Approved-In-Depth'!I230,"")</f>
        <v/>
      </c>
      <c r="J230" t="str">
        <f>IF($A230&lt;&gt;"",'Approved-In-Depth'!J230,"")</f>
        <v/>
      </c>
      <c r="K230" t="str">
        <f>IF($A230&lt;&gt;"",'Approved-In-Depth'!K230,"")</f>
        <v/>
      </c>
      <c r="L230" s="4" t="str">
        <f>IF($A230&lt;&gt;"",'Approved-In-Depth'!L230,"")</f>
        <v/>
      </c>
      <c r="M230" t="str">
        <f>IF($A230&lt;&gt;"",'Approved-In-Depth'!M230,"")</f>
        <v/>
      </c>
    </row>
    <row r="231" spans="1:13" x14ac:dyDescent="0.35">
      <c r="A231" s="4" t="str">
        <f>IF('Approved-In-Depth'!$A231&lt;&gt;"",'Approved-In-Depth'!A231,"")</f>
        <v/>
      </c>
      <c r="B231" t="str">
        <f>IF($O231&lt;&gt;"",$O231,IF($A231&lt;&gt;"",'Approved-In-Depth'!$B231+7,""))</f>
        <v/>
      </c>
      <c r="C231" t="str">
        <f>IF($A231&lt;&gt;"",'Approved-In-Depth'!C231,"")</f>
        <v/>
      </c>
      <c r="D231" t="str">
        <f>IF($A231&lt;&gt;"",'Approved-In-Depth'!D231,"")</f>
        <v/>
      </c>
      <c r="E231" t="str">
        <f>IF($A231&lt;&gt;"",'Approved-In-Depth'!E231,"")</f>
        <v/>
      </c>
      <c r="F231" t="str">
        <f>IF($A231&lt;&gt;"",'Approved-In-Depth'!F231,"")</f>
        <v/>
      </c>
      <c r="G231" t="str">
        <f>IF($A231&lt;&gt;"",'Approved-In-Depth'!G231,"")</f>
        <v/>
      </c>
      <c r="H231" s="4" t="str">
        <f>IF($A231&lt;&gt;"",'Approved-In-Depth'!H231,"")</f>
        <v/>
      </c>
      <c r="I231" t="str">
        <f>IF($A231&lt;&gt;"",'Approved-In-Depth'!I231,"")</f>
        <v/>
      </c>
      <c r="J231" t="str">
        <f>IF($A231&lt;&gt;"",'Approved-In-Depth'!J231,"")</f>
        <v/>
      </c>
      <c r="K231" t="str">
        <f>IF($A231&lt;&gt;"",'Approved-In-Depth'!K231,"")</f>
        <v/>
      </c>
      <c r="L231" s="4" t="str">
        <f>IF($A231&lt;&gt;"",'Approved-In-Depth'!L231,"")</f>
        <v/>
      </c>
      <c r="M231" t="str">
        <f>IF($A231&lt;&gt;"",'Approved-In-Depth'!M231,"")</f>
        <v/>
      </c>
    </row>
    <row r="232" spans="1:13" x14ac:dyDescent="0.35">
      <c r="A232" s="4" t="str">
        <f>IF('Approved-In-Depth'!$A232&lt;&gt;"",'Approved-In-Depth'!A232,"")</f>
        <v/>
      </c>
      <c r="B232" t="str">
        <f>IF($O232&lt;&gt;"",$O232,IF($A232&lt;&gt;"",'Approved-In-Depth'!$B232+7,""))</f>
        <v/>
      </c>
      <c r="C232" t="str">
        <f>IF($A232&lt;&gt;"",'Approved-In-Depth'!C232,"")</f>
        <v/>
      </c>
      <c r="D232" t="str">
        <f>IF($A232&lt;&gt;"",'Approved-In-Depth'!D232,"")</f>
        <v/>
      </c>
      <c r="E232" t="str">
        <f>IF($A232&lt;&gt;"",'Approved-In-Depth'!E232,"")</f>
        <v/>
      </c>
      <c r="F232" t="str">
        <f>IF($A232&lt;&gt;"",'Approved-In-Depth'!F232,"")</f>
        <v/>
      </c>
      <c r="G232" t="str">
        <f>IF($A232&lt;&gt;"",'Approved-In-Depth'!G232,"")</f>
        <v/>
      </c>
      <c r="H232" s="4" t="str">
        <f>IF($A232&lt;&gt;"",'Approved-In-Depth'!H232,"")</f>
        <v/>
      </c>
      <c r="I232" t="str">
        <f>IF($A232&lt;&gt;"",'Approved-In-Depth'!I232,"")</f>
        <v/>
      </c>
      <c r="J232" t="str">
        <f>IF($A232&lt;&gt;"",'Approved-In-Depth'!J232,"")</f>
        <v/>
      </c>
      <c r="K232" t="str">
        <f>IF($A232&lt;&gt;"",'Approved-In-Depth'!K232,"")</f>
        <v/>
      </c>
      <c r="L232" s="4" t="str">
        <f>IF($A232&lt;&gt;"",'Approved-In-Depth'!L232,"")</f>
        <v/>
      </c>
      <c r="M232" t="str">
        <f>IF($A232&lt;&gt;"",'Approved-In-Depth'!M232,"")</f>
        <v/>
      </c>
    </row>
    <row r="233" spans="1:13" x14ac:dyDescent="0.35">
      <c r="A233" s="4" t="str">
        <f>IF('Approved-In-Depth'!$A233&lt;&gt;"",'Approved-In-Depth'!A233,"")</f>
        <v/>
      </c>
      <c r="B233" t="str">
        <f>IF($O233&lt;&gt;"",$O233,IF($A233&lt;&gt;"",'Approved-In-Depth'!$B233+7,""))</f>
        <v/>
      </c>
      <c r="C233" t="str">
        <f>IF($A233&lt;&gt;"",'Approved-In-Depth'!C233,"")</f>
        <v/>
      </c>
      <c r="D233" t="str">
        <f>IF($A233&lt;&gt;"",'Approved-In-Depth'!D233,"")</f>
        <v/>
      </c>
      <c r="E233" t="str">
        <f>IF($A233&lt;&gt;"",'Approved-In-Depth'!E233,"")</f>
        <v/>
      </c>
      <c r="F233" t="str">
        <f>IF($A233&lt;&gt;"",'Approved-In-Depth'!F233,"")</f>
        <v/>
      </c>
      <c r="G233" t="str">
        <f>IF($A233&lt;&gt;"",'Approved-In-Depth'!G233,"")</f>
        <v/>
      </c>
      <c r="H233" s="4" t="str">
        <f>IF($A233&lt;&gt;"",'Approved-In-Depth'!H233,"")</f>
        <v/>
      </c>
      <c r="I233" t="str">
        <f>IF($A233&lt;&gt;"",'Approved-In-Depth'!I233,"")</f>
        <v/>
      </c>
      <c r="J233" t="str">
        <f>IF($A233&lt;&gt;"",'Approved-In-Depth'!J233,"")</f>
        <v/>
      </c>
      <c r="K233" t="str">
        <f>IF($A233&lt;&gt;"",'Approved-In-Depth'!K233,"")</f>
        <v/>
      </c>
      <c r="L233" s="4" t="str">
        <f>IF($A233&lt;&gt;"",'Approved-In-Depth'!L233,"")</f>
        <v/>
      </c>
      <c r="M233" t="str">
        <f>IF($A233&lt;&gt;"",'Approved-In-Depth'!M233,"")</f>
        <v/>
      </c>
    </row>
    <row r="234" spans="1:13" x14ac:dyDescent="0.35">
      <c r="A234" s="4" t="str">
        <f>IF('Approved-In-Depth'!$A234&lt;&gt;"",'Approved-In-Depth'!A234,"")</f>
        <v/>
      </c>
      <c r="B234" t="str">
        <f>IF($O234&lt;&gt;"",$O234,IF($A234&lt;&gt;"",'Approved-In-Depth'!$B234+7,""))</f>
        <v/>
      </c>
      <c r="C234" t="str">
        <f>IF($A234&lt;&gt;"",'Approved-In-Depth'!C234,"")</f>
        <v/>
      </c>
      <c r="D234" t="str">
        <f>IF($A234&lt;&gt;"",'Approved-In-Depth'!D234,"")</f>
        <v/>
      </c>
      <c r="E234" t="str">
        <f>IF($A234&lt;&gt;"",'Approved-In-Depth'!E234,"")</f>
        <v/>
      </c>
      <c r="F234" t="str">
        <f>IF($A234&lt;&gt;"",'Approved-In-Depth'!F234,"")</f>
        <v/>
      </c>
      <c r="G234" t="str">
        <f>IF($A234&lt;&gt;"",'Approved-In-Depth'!G234,"")</f>
        <v/>
      </c>
      <c r="H234" s="4" t="str">
        <f>IF($A234&lt;&gt;"",'Approved-In-Depth'!H234,"")</f>
        <v/>
      </c>
      <c r="I234" t="str">
        <f>IF($A234&lt;&gt;"",'Approved-In-Depth'!I234,"")</f>
        <v/>
      </c>
      <c r="J234" t="str">
        <f>IF($A234&lt;&gt;"",'Approved-In-Depth'!J234,"")</f>
        <v/>
      </c>
      <c r="K234" t="str">
        <f>IF($A234&lt;&gt;"",'Approved-In-Depth'!K234,"")</f>
        <v/>
      </c>
      <c r="L234" s="4" t="str">
        <f>IF($A234&lt;&gt;"",'Approved-In-Depth'!L234,"")</f>
        <v/>
      </c>
      <c r="M234" t="str">
        <f>IF($A234&lt;&gt;"",'Approved-In-Depth'!M234,"")</f>
        <v/>
      </c>
    </row>
    <row r="235" spans="1:13" x14ac:dyDescent="0.35">
      <c r="A235" s="4" t="str">
        <f>IF('Approved-In-Depth'!$A235&lt;&gt;"",'Approved-In-Depth'!A235,"")</f>
        <v/>
      </c>
      <c r="B235" t="str">
        <f>IF($O235&lt;&gt;"",$O235,IF($A235&lt;&gt;"",'Approved-In-Depth'!$B235+7,""))</f>
        <v/>
      </c>
      <c r="C235" t="str">
        <f>IF($A235&lt;&gt;"",'Approved-In-Depth'!C235,"")</f>
        <v/>
      </c>
      <c r="D235" t="str">
        <f>IF($A235&lt;&gt;"",'Approved-In-Depth'!D235,"")</f>
        <v/>
      </c>
      <c r="E235" t="str">
        <f>IF($A235&lt;&gt;"",'Approved-In-Depth'!E235,"")</f>
        <v/>
      </c>
      <c r="F235" t="str">
        <f>IF($A235&lt;&gt;"",'Approved-In-Depth'!F235,"")</f>
        <v/>
      </c>
      <c r="G235" t="str">
        <f>IF($A235&lt;&gt;"",'Approved-In-Depth'!G235,"")</f>
        <v/>
      </c>
      <c r="H235" s="4" t="str">
        <f>IF($A235&lt;&gt;"",'Approved-In-Depth'!H235,"")</f>
        <v/>
      </c>
      <c r="I235" t="str">
        <f>IF($A235&lt;&gt;"",'Approved-In-Depth'!I235,"")</f>
        <v/>
      </c>
      <c r="J235" t="str">
        <f>IF($A235&lt;&gt;"",'Approved-In-Depth'!J235,"")</f>
        <v/>
      </c>
      <c r="K235" t="str">
        <f>IF($A235&lt;&gt;"",'Approved-In-Depth'!K235,"")</f>
        <v/>
      </c>
      <c r="L235" s="4" t="str">
        <f>IF($A235&lt;&gt;"",'Approved-In-Depth'!L235,"")</f>
        <v/>
      </c>
      <c r="M235" t="str">
        <f>IF($A235&lt;&gt;"",'Approved-In-Depth'!M235,"")</f>
        <v/>
      </c>
    </row>
    <row r="236" spans="1:13" x14ac:dyDescent="0.35">
      <c r="A236" s="4" t="str">
        <f>IF('Approved-In-Depth'!$A236&lt;&gt;"",'Approved-In-Depth'!A236,"")</f>
        <v/>
      </c>
      <c r="B236" t="str">
        <f>IF($O236&lt;&gt;"",$O236,IF($A236&lt;&gt;"",'Approved-In-Depth'!$B236+7,""))</f>
        <v/>
      </c>
      <c r="C236" t="str">
        <f>IF($A236&lt;&gt;"",'Approved-In-Depth'!C236,"")</f>
        <v/>
      </c>
      <c r="D236" t="str">
        <f>IF($A236&lt;&gt;"",'Approved-In-Depth'!D236,"")</f>
        <v/>
      </c>
      <c r="E236" t="str">
        <f>IF($A236&lt;&gt;"",'Approved-In-Depth'!E236,"")</f>
        <v/>
      </c>
      <c r="F236" t="str">
        <f>IF($A236&lt;&gt;"",'Approved-In-Depth'!F236,"")</f>
        <v/>
      </c>
      <c r="G236" t="str">
        <f>IF($A236&lt;&gt;"",'Approved-In-Depth'!G236,"")</f>
        <v/>
      </c>
      <c r="H236" s="4" t="str">
        <f>IF($A236&lt;&gt;"",'Approved-In-Depth'!H236,"")</f>
        <v/>
      </c>
      <c r="I236" t="str">
        <f>IF($A236&lt;&gt;"",'Approved-In-Depth'!I236,"")</f>
        <v/>
      </c>
      <c r="J236" t="str">
        <f>IF($A236&lt;&gt;"",'Approved-In-Depth'!J236,"")</f>
        <v/>
      </c>
      <c r="K236" t="str">
        <f>IF($A236&lt;&gt;"",'Approved-In-Depth'!K236,"")</f>
        <v/>
      </c>
      <c r="L236" s="4" t="str">
        <f>IF($A236&lt;&gt;"",'Approved-In-Depth'!L236,"")</f>
        <v/>
      </c>
      <c r="M236" t="str">
        <f>IF($A236&lt;&gt;"",'Approved-In-Depth'!M236,"")</f>
        <v/>
      </c>
    </row>
    <row r="237" spans="1:13" x14ac:dyDescent="0.35">
      <c r="A237" s="4" t="str">
        <f>IF('Approved-In-Depth'!$A237&lt;&gt;"",'Approved-In-Depth'!A237,"")</f>
        <v/>
      </c>
      <c r="B237" t="str">
        <f>IF($O237&lt;&gt;"",$O237,IF($A237&lt;&gt;"",'Approved-In-Depth'!$B237+7,""))</f>
        <v/>
      </c>
      <c r="C237" t="str">
        <f>IF($A237&lt;&gt;"",'Approved-In-Depth'!C237,"")</f>
        <v/>
      </c>
      <c r="D237" t="str">
        <f>IF($A237&lt;&gt;"",'Approved-In-Depth'!D237,"")</f>
        <v/>
      </c>
      <c r="E237" t="str">
        <f>IF($A237&lt;&gt;"",'Approved-In-Depth'!E237,"")</f>
        <v/>
      </c>
      <c r="F237" t="str">
        <f>IF($A237&lt;&gt;"",'Approved-In-Depth'!F237,"")</f>
        <v/>
      </c>
      <c r="G237" t="str">
        <f>IF($A237&lt;&gt;"",'Approved-In-Depth'!G237,"")</f>
        <v/>
      </c>
      <c r="H237" s="4" t="str">
        <f>IF($A237&lt;&gt;"",'Approved-In-Depth'!H237,"")</f>
        <v/>
      </c>
      <c r="I237" t="str">
        <f>IF($A237&lt;&gt;"",'Approved-In-Depth'!I237,"")</f>
        <v/>
      </c>
      <c r="J237" t="str">
        <f>IF($A237&lt;&gt;"",'Approved-In-Depth'!J237,"")</f>
        <v/>
      </c>
      <c r="K237" t="str">
        <f>IF($A237&lt;&gt;"",'Approved-In-Depth'!K237,"")</f>
        <v/>
      </c>
      <c r="L237" s="4" t="str">
        <f>IF($A237&lt;&gt;"",'Approved-In-Depth'!L237,"")</f>
        <v/>
      </c>
      <c r="M237" t="str">
        <f>IF($A237&lt;&gt;"",'Approved-In-Depth'!M237,"")</f>
        <v/>
      </c>
    </row>
    <row r="238" spans="1:13" x14ac:dyDescent="0.35">
      <c r="A238" s="4" t="str">
        <f>IF('Approved-In-Depth'!$A238&lt;&gt;"",'Approved-In-Depth'!A238,"")</f>
        <v/>
      </c>
      <c r="B238" t="str">
        <f>IF($O238&lt;&gt;"",$O238,IF($A238&lt;&gt;"",'Approved-In-Depth'!$B238+7,""))</f>
        <v/>
      </c>
      <c r="C238" t="str">
        <f>IF($A238&lt;&gt;"",'Approved-In-Depth'!C238,"")</f>
        <v/>
      </c>
      <c r="D238" t="str">
        <f>IF($A238&lt;&gt;"",'Approved-In-Depth'!D238,"")</f>
        <v/>
      </c>
      <c r="E238" t="str">
        <f>IF($A238&lt;&gt;"",'Approved-In-Depth'!E238,"")</f>
        <v/>
      </c>
      <c r="F238" t="str">
        <f>IF($A238&lt;&gt;"",'Approved-In-Depth'!F238,"")</f>
        <v/>
      </c>
      <c r="G238" t="str">
        <f>IF($A238&lt;&gt;"",'Approved-In-Depth'!G238,"")</f>
        <v/>
      </c>
      <c r="H238" s="4" t="str">
        <f>IF($A238&lt;&gt;"",'Approved-In-Depth'!H238,"")</f>
        <v/>
      </c>
      <c r="I238" t="str">
        <f>IF($A238&lt;&gt;"",'Approved-In-Depth'!I238,"")</f>
        <v/>
      </c>
      <c r="J238" t="str">
        <f>IF($A238&lt;&gt;"",'Approved-In-Depth'!J238,"")</f>
        <v/>
      </c>
      <c r="K238" t="str">
        <f>IF($A238&lt;&gt;"",'Approved-In-Depth'!K238,"")</f>
        <v/>
      </c>
      <c r="L238" s="4" t="str">
        <f>IF($A238&lt;&gt;"",'Approved-In-Depth'!L238,"")</f>
        <v/>
      </c>
      <c r="M238" t="str">
        <f>IF($A238&lt;&gt;"",'Approved-In-Depth'!M238,"")</f>
        <v/>
      </c>
    </row>
    <row r="239" spans="1:13" x14ac:dyDescent="0.35">
      <c r="A239" s="4" t="str">
        <f>IF('Approved-In-Depth'!$A239&lt;&gt;"",'Approved-In-Depth'!A239,"")</f>
        <v/>
      </c>
      <c r="B239" t="str">
        <f>IF($O239&lt;&gt;"",$O239,IF($A239&lt;&gt;"",'Approved-In-Depth'!$B239+7,""))</f>
        <v/>
      </c>
      <c r="C239" t="str">
        <f>IF($A239&lt;&gt;"",'Approved-In-Depth'!C239,"")</f>
        <v/>
      </c>
      <c r="D239" t="str">
        <f>IF($A239&lt;&gt;"",'Approved-In-Depth'!D239,"")</f>
        <v/>
      </c>
      <c r="E239" t="str">
        <f>IF($A239&lt;&gt;"",'Approved-In-Depth'!E239,"")</f>
        <v/>
      </c>
      <c r="F239" t="str">
        <f>IF($A239&lt;&gt;"",'Approved-In-Depth'!F239,"")</f>
        <v/>
      </c>
      <c r="G239" t="str">
        <f>IF($A239&lt;&gt;"",'Approved-In-Depth'!G239,"")</f>
        <v/>
      </c>
      <c r="H239" s="4" t="str">
        <f>IF($A239&lt;&gt;"",'Approved-In-Depth'!H239,"")</f>
        <v/>
      </c>
      <c r="I239" t="str">
        <f>IF($A239&lt;&gt;"",'Approved-In-Depth'!I239,"")</f>
        <v/>
      </c>
      <c r="J239" t="str">
        <f>IF($A239&lt;&gt;"",'Approved-In-Depth'!J239,"")</f>
        <v/>
      </c>
      <c r="K239" t="str">
        <f>IF($A239&lt;&gt;"",'Approved-In-Depth'!K239,"")</f>
        <v/>
      </c>
      <c r="L239" s="4" t="str">
        <f>IF($A239&lt;&gt;"",'Approved-In-Depth'!L239,"")</f>
        <v/>
      </c>
      <c r="M239" t="str">
        <f>IF($A239&lt;&gt;"",'Approved-In-Depth'!M239,"")</f>
        <v/>
      </c>
    </row>
    <row r="240" spans="1:13" x14ac:dyDescent="0.35">
      <c r="A240" s="4" t="str">
        <f>IF('Approved-In-Depth'!$A240&lt;&gt;"",'Approved-In-Depth'!A240,"")</f>
        <v/>
      </c>
      <c r="B240" t="str">
        <f>IF($O240&lt;&gt;"",$O240,IF($A240&lt;&gt;"",'Approved-In-Depth'!$B240+7,""))</f>
        <v/>
      </c>
      <c r="C240" t="str">
        <f>IF($A240&lt;&gt;"",'Approved-In-Depth'!C240,"")</f>
        <v/>
      </c>
      <c r="D240" t="str">
        <f>IF($A240&lt;&gt;"",'Approved-In-Depth'!D240,"")</f>
        <v/>
      </c>
      <c r="E240" t="str">
        <f>IF($A240&lt;&gt;"",'Approved-In-Depth'!E240,"")</f>
        <v/>
      </c>
      <c r="F240" t="str">
        <f>IF($A240&lt;&gt;"",'Approved-In-Depth'!F240,"")</f>
        <v/>
      </c>
      <c r="G240" t="str">
        <f>IF($A240&lt;&gt;"",'Approved-In-Depth'!G240,"")</f>
        <v/>
      </c>
      <c r="H240" s="4" t="str">
        <f>IF($A240&lt;&gt;"",'Approved-In-Depth'!H240,"")</f>
        <v/>
      </c>
      <c r="I240" t="str">
        <f>IF($A240&lt;&gt;"",'Approved-In-Depth'!I240,"")</f>
        <v/>
      </c>
      <c r="J240" t="str">
        <f>IF($A240&lt;&gt;"",'Approved-In-Depth'!J240,"")</f>
        <v/>
      </c>
      <c r="K240" t="str">
        <f>IF($A240&lt;&gt;"",'Approved-In-Depth'!K240,"")</f>
        <v/>
      </c>
      <c r="L240" s="4" t="str">
        <f>IF($A240&lt;&gt;"",'Approved-In-Depth'!L240,"")</f>
        <v/>
      </c>
      <c r="M240" t="str">
        <f>IF($A240&lt;&gt;"",'Approved-In-Depth'!M240,"")</f>
        <v/>
      </c>
    </row>
    <row r="241" spans="1:13" x14ac:dyDescent="0.35">
      <c r="A241" s="4" t="str">
        <f>IF('Approved-In-Depth'!$A241&lt;&gt;"",'Approved-In-Depth'!A241,"")</f>
        <v/>
      </c>
      <c r="B241" t="str">
        <f>IF($O241&lt;&gt;"",$O241,IF($A241&lt;&gt;"",'Approved-In-Depth'!$B241+7,""))</f>
        <v/>
      </c>
      <c r="C241" t="str">
        <f>IF($A241&lt;&gt;"",'Approved-In-Depth'!C241,"")</f>
        <v/>
      </c>
      <c r="D241" t="str">
        <f>IF($A241&lt;&gt;"",'Approved-In-Depth'!D241,"")</f>
        <v/>
      </c>
      <c r="E241" t="str">
        <f>IF($A241&lt;&gt;"",'Approved-In-Depth'!E241,"")</f>
        <v/>
      </c>
      <c r="F241" t="str">
        <f>IF($A241&lt;&gt;"",'Approved-In-Depth'!F241,"")</f>
        <v/>
      </c>
      <c r="G241" t="str">
        <f>IF($A241&lt;&gt;"",'Approved-In-Depth'!G241,"")</f>
        <v/>
      </c>
      <c r="H241" s="4" t="str">
        <f>IF($A241&lt;&gt;"",'Approved-In-Depth'!H241,"")</f>
        <v/>
      </c>
      <c r="I241" t="str">
        <f>IF($A241&lt;&gt;"",'Approved-In-Depth'!I241,"")</f>
        <v/>
      </c>
      <c r="J241" t="str">
        <f>IF($A241&lt;&gt;"",'Approved-In-Depth'!J241,"")</f>
        <v/>
      </c>
      <c r="K241" t="str">
        <f>IF($A241&lt;&gt;"",'Approved-In-Depth'!K241,"")</f>
        <v/>
      </c>
      <c r="L241" s="4" t="str">
        <f>IF($A241&lt;&gt;"",'Approved-In-Depth'!L241,"")</f>
        <v/>
      </c>
      <c r="M241" t="str">
        <f>IF($A241&lt;&gt;"",'Approved-In-Depth'!M241,"")</f>
        <v/>
      </c>
    </row>
    <row r="242" spans="1:13" x14ac:dyDescent="0.35">
      <c r="A242" s="4" t="str">
        <f>IF('Approved-In-Depth'!$A242&lt;&gt;"",'Approved-In-Depth'!A242,"")</f>
        <v/>
      </c>
      <c r="B242" t="str">
        <f>IF($O242&lt;&gt;"",$O242,IF($A242&lt;&gt;"",'Approved-In-Depth'!$B242+7,""))</f>
        <v/>
      </c>
      <c r="C242" t="str">
        <f>IF($A242&lt;&gt;"",'Approved-In-Depth'!C242,"")</f>
        <v/>
      </c>
      <c r="D242" t="str">
        <f>IF($A242&lt;&gt;"",'Approved-In-Depth'!D242,"")</f>
        <v/>
      </c>
      <c r="E242" t="str">
        <f>IF($A242&lt;&gt;"",'Approved-In-Depth'!E242,"")</f>
        <v/>
      </c>
      <c r="F242" t="str">
        <f>IF($A242&lt;&gt;"",'Approved-In-Depth'!F242,"")</f>
        <v/>
      </c>
      <c r="G242" t="str">
        <f>IF($A242&lt;&gt;"",'Approved-In-Depth'!G242,"")</f>
        <v/>
      </c>
      <c r="H242" s="4" t="str">
        <f>IF($A242&lt;&gt;"",'Approved-In-Depth'!H242,"")</f>
        <v/>
      </c>
      <c r="I242" t="str">
        <f>IF($A242&lt;&gt;"",'Approved-In-Depth'!I242,"")</f>
        <v/>
      </c>
      <c r="J242" t="str">
        <f>IF($A242&lt;&gt;"",'Approved-In-Depth'!J242,"")</f>
        <v/>
      </c>
      <c r="K242" t="str">
        <f>IF($A242&lt;&gt;"",'Approved-In-Depth'!K242,"")</f>
        <v/>
      </c>
      <c r="L242" s="4" t="str">
        <f>IF($A242&lt;&gt;"",'Approved-In-Depth'!L242,"")</f>
        <v/>
      </c>
      <c r="M242" t="str">
        <f>IF($A242&lt;&gt;"",'Approved-In-Depth'!M242,"")</f>
        <v/>
      </c>
    </row>
    <row r="243" spans="1:13" x14ac:dyDescent="0.35">
      <c r="A243" s="4" t="str">
        <f>IF('Approved-In-Depth'!$A243&lt;&gt;"",'Approved-In-Depth'!A243,"")</f>
        <v/>
      </c>
      <c r="B243" t="str">
        <f>IF($O243&lt;&gt;"",$O243,IF($A243&lt;&gt;"",'Approved-In-Depth'!$B243+7,""))</f>
        <v/>
      </c>
      <c r="C243" t="str">
        <f>IF($A243&lt;&gt;"",'Approved-In-Depth'!C243,"")</f>
        <v/>
      </c>
      <c r="D243" t="str">
        <f>IF($A243&lt;&gt;"",'Approved-In-Depth'!D243,"")</f>
        <v/>
      </c>
      <c r="E243" t="str">
        <f>IF($A243&lt;&gt;"",'Approved-In-Depth'!E243,"")</f>
        <v/>
      </c>
      <c r="F243" t="str">
        <f>IF($A243&lt;&gt;"",'Approved-In-Depth'!F243,"")</f>
        <v/>
      </c>
      <c r="G243" t="str">
        <f>IF($A243&lt;&gt;"",'Approved-In-Depth'!G243,"")</f>
        <v/>
      </c>
      <c r="H243" s="4" t="str">
        <f>IF($A243&lt;&gt;"",'Approved-In-Depth'!H243,"")</f>
        <v/>
      </c>
      <c r="I243" t="str">
        <f>IF($A243&lt;&gt;"",'Approved-In-Depth'!I243,"")</f>
        <v/>
      </c>
      <c r="J243" t="str">
        <f>IF($A243&lt;&gt;"",'Approved-In-Depth'!J243,"")</f>
        <v/>
      </c>
      <c r="K243" t="str">
        <f>IF($A243&lt;&gt;"",'Approved-In-Depth'!K243,"")</f>
        <v/>
      </c>
      <c r="L243" s="4" t="str">
        <f>IF($A243&lt;&gt;"",'Approved-In-Depth'!L243,"")</f>
        <v/>
      </c>
      <c r="M243" t="str">
        <f>IF($A243&lt;&gt;"",'Approved-In-Depth'!M243,"")</f>
        <v/>
      </c>
    </row>
    <row r="244" spans="1:13" x14ac:dyDescent="0.35">
      <c r="A244" s="4" t="str">
        <f>IF('Approved-In-Depth'!$A244&lt;&gt;"",'Approved-In-Depth'!A244,"")</f>
        <v/>
      </c>
      <c r="B244" t="str">
        <f>IF($O244&lt;&gt;"",$O244,IF($A244&lt;&gt;"",'Approved-In-Depth'!$B244+7,""))</f>
        <v/>
      </c>
      <c r="C244" t="str">
        <f>IF($A244&lt;&gt;"",'Approved-In-Depth'!C244,"")</f>
        <v/>
      </c>
      <c r="D244" t="str">
        <f>IF($A244&lt;&gt;"",'Approved-In-Depth'!D244,"")</f>
        <v/>
      </c>
      <c r="E244" t="str">
        <f>IF($A244&lt;&gt;"",'Approved-In-Depth'!E244,"")</f>
        <v/>
      </c>
      <c r="F244" t="str">
        <f>IF($A244&lt;&gt;"",'Approved-In-Depth'!F244,"")</f>
        <v/>
      </c>
      <c r="G244" t="str">
        <f>IF($A244&lt;&gt;"",'Approved-In-Depth'!G244,"")</f>
        <v/>
      </c>
      <c r="H244" s="4" t="str">
        <f>IF($A244&lt;&gt;"",'Approved-In-Depth'!H244,"")</f>
        <v/>
      </c>
      <c r="I244" t="str">
        <f>IF($A244&lt;&gt;"",'Approved-In-Depth'!I244,"")</f>
        <v/>
      </c>
      <c r="J244" t="str">
        <f>IF($A244&lt;&gt;"",'Approved-In-Depth'!J244,"")</f>
        <v/>
      </c>
      <c r="K244" t="str">
        <f>IF($A244&lt;&gt;"",'Approved-In-Depth'!K244,"")</f>
        <v/>
      </c>
      <c r="L244" s="4" t="str">
        <f>IF($A244&lt;&gt;"",'Approved-In-Depth'!L244,"")</f>
        <v/>
      </c>
      <c r="M244" t="str">
        <f>IF($A244&lt;&gt;"",'Approved-In-Depth'!M244,"")</f>
        <v/>
      </c>
    </row>
    <row r="245" spans="1:13" x14ac:dyDescent="0.35">
      <c r="A245" s="4" t="str">
        <f>IF('Approved-In-Depth'!$A245&lt;&gt;"",'Approved-In-Depth'!A245,"")</f>
        <v/>
      </c>
      <c r="B245" t="str">
        <f>IF($O245&lt;&gt;"",$O245,IF($A245&lt;&gt;"",'Approved-In-Depth'!$B245+7,""))</f>
        <v/>
      </c>
      <c r="C245" t="str">
        <f>IF($A245&lt;&gt;"",'Approved-In-Depth'!C245,"")</f>
        <v/>
      </c>
      <c r="D245" t="str">
        <f>IF($A245&lt;&gt;"",'Approved-In-Depth'!D245,"")</f>
        <v/>
      </c>
      <c r="E245" t="str">
        <f>IF($A245&lt;&gt;"",'Approved-In-Depth'!E245,"")</f>
        <v/>
      </c>
      <c r="F245" t="str">
        <f>IF($A245&lt;&gt;"",'Approved-In-Depth'!F245,"")</f>
        <v/>
      </c>
      <c r="G245" t="str">
        <f>IF($A245&lt;&gt;"",'Approved-In-Depth'!G245,"")</f>
        <v/>
      </c>
      <c r="H245" s="4" t="str">
        <f>IF($A245&lt;&gt;"",'Approved-In-Depth'!H245,"")</f>
        <v/>
      </c>
      <c r="I245" t="str">
        <f>IF($A245&lt;&gt;"",'Approved-In-Depth'!I245,"")</f>
        <v/>
      </c>
      <c r="J245" t="str">
        <f>IF($A245&lt;&gt;"",'Approved-In-Depth'!J245,"")</f>
        <v/>
      </c>
      <c r="K245" t="str">
        <f>IF($A245&lt;&gt;"",'Approved-In-Depth'!K245,"")</f>
        <v/>
      </c>
      <c r="L245" s="4" t="str">
        <f>IF($A245&lt;&gt;"",'Approved-In-Depth'!L245,"")</f>
        <v/>
      </c>
      <c r="M245" t="str">
        <f>IF($A245&lt;&gt;"",'Approved-In-Depth'!M245,"")</f>
        <v/>
      </c>
    </row>
    <row r="246" spans="1:13" x14ac:dyDescent="0.35">
      <c r="A246" s="4" t="str">
        <f>IF('Approved-In-Depth'!$A246&lt;&gt;"",'Approved-In-Depth'!A246,"")</f>
        <v/>
      </c>
      <c r="B246" t="str">
        <f>IF($O246&lt;&gt;"",$O246,IF($A246&lt;&gt;"",'Approved-In-Depth'!$B246+7,""))</f>
        <v/>
      </c>
      <c r="C246" t="str">
        <f>IF($A246&lt;&gt;"",'Approved-In-Depth'!C246,"")</f>
        <v/>
      </c>
      <c r="D246" t="str">
        <f>IF($A246&lt;&gt;"",'Approved-In-Depth'!D246,"")</f>
        <v/>
      </c>
      <c r="E246" t="str">
        <f>IF($A246&lt;&gt;"",'Approved-In-Depth'!E246,"")</f>
        <v/>
      </c>
      <c r="F246" t="str">
        <f>IF($A246&lt;&gt;"",'Approved-In-Depth'!F246,"")</f>
        <v/>
      </c>
      <c r="G246" t="str">
        <f>IF($A246&lt;&gt;"",'Approved-In-Depth'!G246,"")</f>
        <v/>
      </c>
      <c r="H246" s="4" t="str">
        <f>IF($A246&lt;&gt;"",'Approved-In-Depth'!H246,"")</f>
        <v/>
      </c>
      <c r="I246" t="str">
        <f>IF($A246&lt;&gt;"",'Approved-In-Depth'!I246,"")</f>
        <v/>
      </c>
      <c r="J246" t="str">
        <f>IF($A246&lt;&gt;"",'Approved-In-Depth'!J246,"")</f>
        <v/>
      </c>
      <c r="K246" t="str">
        <f>IF($A246&lt;&gt;"",'Approved-In-Depth'!K246,"")</f>
        <v/>
      </c>
      <c r="L246" s="4" t="str">
        <f>IF($A246&lt;&gt;"",'Approved-In-Depth'!L246,"")</f>
        <v/>
      </c>
      <c r="M246" t="str">
        <f>IF($A246&lt;&gt;"",'Approved-In-Depth'!M246,"")</f>
        <v/>
      </c>
    </row>
    <row r="247" spans="1:13" x14ac:dyDescent="0.35">
      <c r="A247" s="4" t="str">
        <f>IF('Approved-In-Depth'!$A247&lt;&gt;"",'Approved-In-Depth'!A247,"")</f>
        <v/>
      </c>
      <c r="B247" t="str">
        <f>IF($O247&lt;&gt;"",$O247,IF($A247&lt;&gt;"",'Approved-In-Depth'!$B247+7,""))</f>
        <v/>
      </c>
      <c r="C247" t="str">
        <f>IF($A247&lt;&gt;"",'Approved-In-Depth'!C247,"")</f>
        <v/>
      </c>
      <c r="D247" t="str">
        <f>IF($A247&lt;&gt;"",'Approved-In-Depth'!D247,"")</f>
        <v/>
      </c>
      <c r="E247" t="str">
        <f>IF($A247&lt;&gt;"",'Approved-In-Depth'!E247,"")</f>
        <v/>
      </c>
      <c r="F247" t="str">
        <f>IF($A247&lt;&gt;"",'Approved-In-Depth'!F247,"")</f>
        <v/>
      </c>
      <c r="G247" t="str">
        <f>IF($A247&lt;&gt;"",'Approved-In-Depth'!G247,"")</f>
        <v/>
      </c>
      <c r="H247" s="4" t="str">
        <f>IF($A247&lt;&gt;"",'Approved-In-Depth'!H247,"")</f>
        <v/>
      </c>
      <c r="I247" t="str">
        <f>IF($A247&lt;&gt;"",'Approved-In-Depth'!I247,"")</f>
        <v/>
      </c>
      <c r="J247" t="str">
        <f>IF($A247&lt;&gt;"",'Approved-In-Depth'!J247,"")</f>
        <v/>
      </c>
      <c r="K247" t="str">
        <f>IF($A247&lt;&gt;"",'Approved-In-Depth'!K247,"")</f>
        <v/>
      </c>
      <c r="L247" s="4" t="str">
        <f>IF($A247&lt;&gt;"",'Approved-In-Depth'!L247,"")</f>
        <v/>
      </c>
      <c r="M247" t="str">
        <f>IF($A247&lt;&gt;"",'Approved-In-Depth'!M247,"")</f>
        <v/>
      </c>
    </row>
    <row r="248" spans="1:13" x14ac:dyDescent="0.35">
      <c r="A248" s="4" t="str">
        <f>IF('Approved-In-Depth'!$A248&lt;&gt;"",'Approved-In-Depth'!A248,"")</f>
        <v/>
      </c>
      <c r="B248" t="str">
        <f>IF($O248&lt;&gt;"",$O248,IF($A248&lt;&gt;"",'Approved-In-Depth'!$B248+7,""))</f>
        <v/>
      </c>
      <c r="C248" t="str">
        <f>IF($A248&lt;&gt;"",'Approved-In-Depth'!C248,"")</f>
        <v/>
      </c>
      <c r="D248" t="str">
        <f>IF($A248&lt;&gt;"",'Approved-In-Depth'!D248,"")</f>
        <v/>
      </c>
      <c r="E248" t="str">
        <f>IF($A248&lt;&gt;"",'Approved-In-Depth'!E248,"")</f>
        <v/>
      </c>
      <c r="F248" t="str">
        <f>IF($A248&lt;&gt;"",'Approved-In-Depth'!F248,"")</f>
        <v/>
      </c>
      <c r="G248" t="str">
        <f>IF($A248&lt;&gt;"",'Approved-In-Depth'!G248,"")</f>
        <v/>
      </c>
      <c r="H248" s="4" t="str">
        <f>IF($A248&lt;&gt;"",'Approved-In-Depth'!H248,"")</f>
        <v/>
      </c>
      <c r="I248" t="str">
        <f>IF($A248&lt;&gt;"",'Approved-In-Depth'!I248,"")</f>
        <v/>
      </c>
      <c r="J248" t="str">
        <f>IF($A248&lt;&gt;"",'Approved-In-Depth'!J248,"")</f>
        <v/>
      </c>
      <c r="K248" t="str">
        <f>IF($A248&lt;&gt;"",'Approved-In-Depth'!K248,"")</f>
        <v/>
      </c>
      <c r="L248" s="4" t="str">
        <f>IF($A248&lt;&gt;"",'Approved-In-Depth'!L248,"")</f>
        <v/>
      </c>
      <c r="M248" t="str">
        <f>IF($A248&lt;&gt;"",'Approved-In-Depth'!M248,"")</f>
        <v/>
      </c>
    </row>
    <row r="249" spans="1:13" x14ac:dyDescent="0.35">
      <c r="A249" s="4" t="str">
        <f>IF('Approved-In-Depth'!$A249&lt;&gt;"",'Approved-In-Depth'!A249,"")</f>
        <v/>
      </c>
      <c r="B249" t="str">
        <f>IF($O249&lt;&gt;"",$O249,IF($A249&lt;&gt;"",'Approved-In-Depth'!$B249+7,""))</f>
        <v/>
      </c>
      <c r="C249" t="str">
        <f>IF($A249&lt;&gt;"",'Approved-In-Depth'!C249,"")</f>
        <v/>
      </c>
      <c r="D249" t="str">
        <f>IF($A249&lt;&gt;"",'Approved-In-Depth'!D249,"")</f>
        <v/>
      </c>
      <c r="E249" t="str">
        <f>IF($A249&lt;&gt;"",'Approved-In-Depth'!E249,"")</f>
        <v/>
      </c>
      <c r="F249" t="str">
        <f>IF($A249&lt;&gt;"",'Approved-In-Depth'!F249,"")</f>
        <v/>
      </c>
      <c r="G249" t="str">
        <f>IF($A249&lt;&gt;"",'Approved-In-Depth'!G249,"")</f>
        <v/>
      </c>
      <c r="H249" s="4" t="str">
        <f>IF($A249&lt;&gt;"",'Approved-In-Depth'!H249,"")</f>
        <v/>
      </c>
      <c r="I249" t="str">
        <f>IF($A249&lt;&gt;"",'Approved-In-Depth'!I249,"")</f>
        <v/>
      </c>
      <c r="J249" t="str">
        <f>IF($A249&lt;&gt;"",'Approved-In-Depth'!J249,"")</f>
        <v/>
      </c>
      <c r="K249" t="str">
        <f>IF($A249&lt;&gt;"",'Approved-In-Depth'!K249,"")</f>
        <v/>
      </c>
      <c r="L249" s="4" t="str">
        <f>IF($A249&lt;&gt;"",'Approved-In-Depth'!L249,"")</f>
        <v/>
      </c>
      <c r="M249" t="str">
        <f>IF($A249&lt;&gt;"",'Approved-In-Depth'!M249,"")</f>
        <v/>
      </c>
    </row>
    <row r="250" spans="1:13" x14ac:dyDescent="0.35">
      <c r="A250" s="4" t="str">
        <f>IF('Approved-In-Depth'!$A250&lt;&gt;"",'Approved-In-Depth'!A250,"")</f>
        <v/>
      </c>
      <c r="B250" t="str">
        <f>IF($O250&lt;&gt;"",$O250,IF($A250&lt;&gt;"",'Approved-In-Depth'!$B250+7,""))</f>
        <v/>
      </c>
      <c r="C250" t="str">
        <f>IF($A250&lt;&gt;"",'Approved-In-Depth'!C250,"")</f>
        <v/>
      </c>
      <c r="D250" t="str">
        <f>IF($A250&lt;&gt;"",'Approved-In-Depth'!D250,"")</f>
        <v/>
      </c>
      <c r="E250" t="str">
        <f>IF($A250&lt;&gt;"",'Approved-In-Depth'!E250,"")</f>
        <v/>
      </c>
      <c r="F250" t="str">
        <f>IF($A250&lt;&gt;"",'Approved-In-Depth'!F250,"")</f>
        <v/>
      </c>
      <c r="G250" t="str">
        <f>IF($A250&lt;&gt;"",'Approved-In-Depth'!G250,"")</f>
        <v/>
      </c>
      <c r="H250" s="4" t="str">
        <f>IF($A250&lt;&gt;"",'Approved-In-Depth'!H250,"")</f>
        <v/>
      </c>
      <c r="I250" t="str">
        <f>IF($A250&lt;&gt;"",'Approved-In-Depth'!I250,"")</f>
        <v/>
      </c>
      <c r="J250" t="str">
        <f>IF($A250&lt;&gt;"",'Approved-In-Depth'!J250,"")</f>
        <v/>
      </c>
      <c r="K250" t="str">
        <f>IF($A250&lt;&gt;"",'Approved-In-Depth'!K250,"")</f>
        <v/>
      </c>
      <c r="L250" s="4" t="str">
        <f>IF($A250&lt;&gt;"",'Approved-In-Depth'!L250,"")</f>
        <v/>
      </c>
      <c r="M250" t="str">
        <f>IF($A250&lt;&gt;"",'Approved-In-Depth'!M250,"")</f>
        <v/>
      </c>
    </row>
    <row r="251" spans="1:13" x14ac:dyDescent="0.35">
      <c r="A251" s="4" t="str">
        <f>IF('Approved-In-Depth'!$A251&lt;&gt;"",'Approved-In-Depth'!A251,"")</f>
        <v/>
      </c>
      <c r="B251" t="str">
        <f>IF($O251&lt;&gt;"",$O251,IF($A251&lt;&gt;"",'Approved-In-Depth'!$B251+7,""))</f>
        <v/>
      </c>
      <c r="C251" t="str">
        <f>IF($A251&lt;&gt;"",'Approved-In-Depth'!C251,"")</f>
        <v/>
      </c>
      <c r="D251" t="str">
        <f>IF($A251&lt;&gt;"",'Approved-In-Depth'!D251,"")</f>
        <v/>
      </c>
      <c r="E251" t="str">
        <f>IF($A251&lt;&gt;"",'Approved-In-Depth'!E251,"")</f>
        <v/>
      </c>
      <c r="F251" t="str">
        <f>IF($A251&lt;&gt;"",'Approved-In-Depth'!F251,"")</f>
        <v/>
      </c>
      <c r="G251" t="str">
        <f>IF($A251&lt;&gt;"",'Approved-In-Depth'!G251,"")</f>
        <v/>
      </c>
      <c r="H251" s="4" t="str">
        <f>IF($A251&lt;&gt;"",'Approved-In-Depth'!H251,"")</f>
        <v/>
      </c>
      <c r="I251" t="str">
        <f>IF($A251&lt;&gt;"",'Approved-In-Depth'!I251,"")</f>
        <v/>
      </c>
      <c r="J251" t="str">
        <f>IF($A251&lt;&gt;"",'Approved-In-Depth'!J251,"")</f>
        <v/>
      </c>
      <c r="K251" t="str">
        <f>IF($A251&lt;&gt;"",'Approved-In-Depth'!K251,"")</f>
        <v/>
      </c>
      <c r="L251" s="4" t="str">
        <f>IF($A251&lt;&gt;"",'Approved-In-Depth'!L251,"")</f>
        <v/>
      </c>
      <c r="M251" t="str">
        <f>IF($A251&lt;&gt;"",'Approved-In-Depth'!M251,"")</f>
        <v/>
      </c>
    </row>
    <row r="252" spans="1:13" x14ac:dyDescent="0.35">
      <c r="A252" s="4" t="str">
        <f>IF('Approved-In-Depth'!$A252&lt;&gt;"",'Approved-In-Depth'!A252,"")</f>
        <v/>
      </c>
      <c r="B252" t="str">
        <f>IF($O252&lt;&gt;"",$O252,IF($A252&lt;&gt;"",'Approved-In-Depth'!$B252+7,""))</f>
        <v/>
      </c>
      <c r="C252" t="str">
        <f>IF($A252&lt;&gt;"",'Approved-In-Depth'!C252,"")</f>
        <v/>
      </c>
      <c r="D252" t="str">
        <f>IF($A252&lt;&gt;"",'Approved-In-Depth'!D252,"")</f>
        <v/>
      </c>
      <c r="E252" t="str">
        <f>IF($A252&lt;&gt;"",'Approved-In-Depth'!E252,"")</f>
        <v/>
      </c>
      <c r="F252" t="str">
        <f>IF($A252&lt;&gt;"",'Approved-In-Depth'!F252,"")</f>
        <v/>
      </c>
      <c r="G252" t="str">
        <f>IF($A252&lt;&gt;"",'Approved-In-Depth'!G252,"")</f>
        <v/>
      </c>
      <c r="H252" s="4" t="str">
        <f>IF($A252&lt;&gt;"",'Approved-In-Depth'!H252,"")</f>
        <v/>
      </c>
      <c r="I252" t="str">
        <f>IF($A252&lt;&gt;"",'Approved-In-Depth'!I252,"")</f>
        <v/>
      </c>
      <c r="J252" t="str">
        <f>IF($A252&lt;&gt;"",'Approved-In-Depth'!J252,"")</f>
        <v/>
      </c>
      <c r="K252" t="str">
        <f>IF($A252&lt;&gt;"",'Approved-In-Depth'!K252,"")</f>
        <v/>
      </c>
      <c r="L252" s="4" t="str">
        <f>IF($A252&lt;&gt;"",'Approved-In-Depth'!L252,"")</f>
        <v/>
      </c>
      <c r="M252" t="str">
        <f>IF($A252&lt;&gt;"",'Approved-In-Depth'!M252,"")</f>
        <v/>
      </c>
    </row>
    <row r="253" spans="1:13" x14ac:dyDescent="0.35">
      <c r="A253" s="4" t="str">
        <f>IF('Approved-In-Depth'!$A253&lt;&gt;"",'Approved-In-Depth'!A253,"")</f>
        <v/>
      </c>
      <c r="B253" t="str">
        <f>IF($O253&lt;&gt;"",$O253,IF($A253&lt;&gt;"",'Approved-In-Depth'!$B253+7,""))</f>
        <v/>
      </c>
      <c r="C253" t="str">
        <f>IF($A253&lt;&gt;"",'Approved-In-Depth'!C253,"")</f>
        <v/>
      </c>
      <c r="D253" t="str">
        <f>IF($A253&lt;&gt;"",'Approved-In-Depth'!D253,"")</f>
        <v/>
      </c>
      <c r="E253" t="str">
        <f>IF($A253&lt;&gt;"",'Approved-In-Depth'!E253,"")</f>
        <v/>
      </c>
      <c r="F253" t="str">
        <f>IF($A253&lt;&gt;"",'Approved-In-Depth'!F253,"")</f>
        <v/>
      </c>
      <c r="G253" t="str">
        <f>IF($A253&lt;&gt;"",'Approved-In-Depth'!G253,"")</f>
        <v/>
      </c>
      <c r="H253" s="4" t="str">
        <f>IF($A253&lt;&gt;"",'Approved-In-Depth'!H253,"")</f>
        <v/>
      </c>
      <c r="I253" t="str">
        <f>IF($A253&lt;&gt;"",'Approved-In-Depth'!I253,"")</f>
        <v/>
      </c>
      <c r="J253" t="str">
        <f>IF($A253&lt;&gt;"",'Approved-In-Depth'!J253,"")</f>
        <v/>
      </c>
      <c r="K253" t="str">
        <f>IF($A253&lt;&gt;"",'Approved-In-Depth'!K253,"")</f>
        <v/>
      </c>
      <c r="L253" s="4" t="str">
        <f>IF($A253&lt;&gt;"",'Approved-In-Depth'!L253,"")</f>
        <v/>
      </c>
      <c r="M253" t="str">
        <f>IF($A253&lt;&gt;"",'Approved-In-Depth'!M253,"")</f>
        <v/>
      </c>
    </row>
    <row r="254" spans="1:13" x14ac:dyDescent="0.35">
      <c r="A254" s="4" t="str">
        <f>IF('Approved-In-Depth'!$A254&lt;&gt;"",'Approved-In-Depth'!A254,"")</f>
        <v/>
      </c>
      <c r="B254" t="str">
        <f>IF($O254&lt;&gt;"",$O254,IF($A254&lt;&gt;"",'Approved-In-Depth'!$B254+7,""))</f>
        <v/>
      </c>
      <c r="C254" t="str">
        <f>IF($A254&lt;&gt;"",'Approved-In-Depth'!C254,"")</f>
        <v/>
      </c>
      <c r="D254" t="str">
        <f>IF($A254&lt;&gt;"",'Approved-In-Depth'!D254,"")</f>
        <v/>
      </c>
      <c r="E254" t="str">
        <f>IF($A254&lt;&gt;"",'Approved-In-Depth'!E254,"")</f>
        <v/>
      </c>
      <c r="F254" t="str">
        <f>IF($A254&lt;&gt;"",'Approved-In-Depth'!F254,"")</f>
        <v/>
      </c>
      <c r="G254" t="str">
        <f>IF($A254&lt;&gt;"",'Approved-In-Depth'!G254,"")</f>
        <v/>
      </c>
      <c r="H254" s="4" t="str">
        <f>IF($A254&lt;&gt;"",'Approved-In-Depth'!H254,"")</f>
        <v/>
      </c>
      <c r="I254" t="str">
        <f>IF($A254&lt;&gt;"",'Approved-In-Depth'!I254,"")</f>
        <v/>
      </c>
      <c r="J254" t="str">
        <f>IF($A254&lt;&gt;"",'Approved-In-Depth'!J254,"")</f>
        <v/>
      </c>
      <c r="K254" t="str">
        <f>IF($A254&lt;&gt;"",'Approved-In-Depth'!K254,"")</f>
        <v/>
      </c>
      <c r="L254" s="4" t="str">
        <f>IF($A254&lt;&gt;"",'Approved-In-Depth'!L254,"")</f>
        <v/>
      </c>
      <c r="M254" t="str">
        <f>IF($A254&lt;&gt;"",'Approved-In-Depth'!M254,"")</f>
        <v/>
      </c>
    </row>
    <row r="255" spans="1:13" x14ac:dyDescent="0.35">
      <c r="A255" s="4" t="str">
        <f>IF('Approved-In-Depth'!$A255&lt;&gt;"",'Approved-In-Depth'!A255,"")</f>
        <v/>
      </c>
      <c r="B255" t="str">
        <f>IF($O255&lt;&gt;"",$O255,IF($A255&lt;&gt;"",'Approved-In-Depth'!$B255+7,""))</f>
        <v/>
      </c>
      <c r="C255" t="str">
        <f>IF($A255&lt;&gt;"",'Approved-In-Depth'!C255,"")</f>
        <v/>
      </c>
      <c r="D255" t="str">
        <f>IF($A255&lt;&gt;"",'Approved-In-Depth'!D255,"")</f>
        <v/>
      </c>
      <c r="E255" t="str">
        <f>IF($A255&lt;&gt;"",'Approved-In-Depth'!E255,"")</f>
        <v/>
      </c>
      <c r="F255" t="str">
        <f>IF($A255&lt;&gt;"",'Approved-In-Depth'!F255,"")</f>
        <v/>
      </c>
      <c r="G255" t="str">
        <f>IF($A255&lt;&gt;"",'Approved-In-Depth'!G255,"")</f>
        <v/>
      </c>
      <c r="H255" s="4" t="str">
        <f>IF($A255&lt;&gt;"",'Approved-In-Depth'!H255,"")</f>
        <v/>
      </c>
      <c r="I255" t="str">
        <f>IF($A255&lt;&gt;"",'Approved-In-Depth'!I255,"")</f>
        <v/>
      </c>
      <c r="J255" t="str">
        <f>IF($A255&lt;&gt;"",'Approved-In-Depth'!J255,"")</f>
        <v/>
      </c>
      <c r="K255" t="str">
        <f>IF($A255&lt;&gt;"",'Approved-In-Depth'!K255,"")</f>
        <v/>
      </c>
      <c r="L255" s="4" t="str">
        <f>IF($A255&lt;&gt;"",'Approved-In-Depth'!L255,"")</f>
        <v/>
      </c>
      <c r="M255" t="str">
        <f>IF($A255&lt;&gt;"",'Approved-In-Depth'!M255,"")</f>
        <v/>
      </c>
    </row>
    <row r="256" spans="1:13" x14ac:dyDescent="0.35">
      <c r="A256" s="4" t="str">
        <f>IF('Approved-In-Depth'!$A256&lt;&gt;"",'Approved-In-Depth'!A256,"")</f>
        <v/>
      </c>
      <c r="B256" t="str">
        <f>IF($O256&lt;&gt;"",$O256,IF($A256&lt;&gt;"",'Approved-In-Depth'!$B256+7,""))</f>
        <v/>
      </c>
      <c r="C256" t="str">
        <f>IF($A256&lt;&gt;"",'Approved-In-Depth'!C256,"")</f>
        <v/>
      </c>
      <c r="D256" t="str">
        <f>IF($A256&lt;&gt;"",'Approved-In-Depth'!D256,"")</f>
        <v/>
      </c>
      <c r="E256" t="str">
        <f>IF($A256&lt;&gt;"",'Approved-In-Depth'!E256,"")</f>
        <v/>
      </c>
      <c r="F256" t="str">
        <f>IF($A256&lt;&gt;"",'Approved-In-Depth'!F256,"")</f>
        <v/>
      </c>
      <c r="G256" t="str">
        <f>IF($A256&lt;&gt;"",'Approved-In-Depth'!G256,"")</f>
        <v/>
      </c>
      <c r="H256" s="4" t="str">
        <f>IF($A256&lt;&gt;"",'Approved-In-Depth'!H256,"")</f>
        <v/>
      </c>
      <c r="I256" t="str">
        <f>IF($A256&lt;&gt;"",'Approved-In-Depth'!I256,"")</f>
        <v/>
      </c>
      <c r="J256" t="str">
        <f>IF($A256&lt;&gt;"",'Approved-In-Depth'!J256,"")</f>
        <v/>
      </c>
      <c r="K256" t="str">
        <f>IF($A256&lt;&gt;"",'Approved-In-Depth'!K256,"")</f>
        <v/>
      </c>
      <c r="L256" s="4" t="str">
        <f>IF($A256&lt;&gt;"",'Approved-In-Depth'!L256,"")</f>
        <v/>
      </c>
      <c r="M256" t="str">
        <f>IF($A256&lt;&gt;"",'Approved-In-Depth'!M256,"")</f>
        <v/>
      </c>
    </row>
    <row r="257" spans="1:13" x14ac:dyDescent="0.35">
      <c r="A257" s="4" t="str">
        <f>IF('Approved-In-Depth'!$A257&lt;&gt;"",'Approved-In-Depth'!A257,"")</f>
        <v/>
      </c>
      <c r="B257" t="str">
        <f>IF($O257&lt;&gt;"",$O257,IF($A257&lt;&gt;"",'Approved-In-Depth'!$B257+7,""))</f>
        <v/>
      </c>
      <c r="C257" t="str">
        <f>IF($A257&lt;&gt;"",'Approved-In-Depth'!C257,"")</f>
        <v/>
      </c>
      <c r="D257" t="str">
        <f>IF($A257&lt;&gt;"",'Approved-In-Depth'!D257,"")</f>
        <v/>
      </c>
      <c r="E257" t="str">
        <f>IF($A257&lt;&gt;"",'Approved-In-Depth'!E257,"")</f>
        <v/>
      </c>
      <c r="F257" t="str">
        <f>IF($A257&lt;&gt;"",'Approved-In-Depth'!F257,"")</f>
        <v/>
      </c>
      <c r="G257" t="str">
        <f>IF($A257&lt;&gt;"",'Approved-In-Depth'!G257,"")</f>
        <v/>
      </c>
      <c r="H257" s="4" t="str">
        <f>IF($A257&lt;&gt;"",'Approved-In-Depth'!H257,"")</f>
        <v/>
      </c>
      <c r="I257" t="str">
        <f>IF($A257&lt;&gt;"",'Approved-In-Depth'!I257,"")</f>
        <v/>
      </c>
      <c r="J257" t="str">
        <f>IF($A257&lt;&gt;"",'Approved-In-Depth'!J257,"")</f>
        <v/>
      </c>
      <c r="K257" t="str">
        <f>IF($A257&lt;&gt;"",'Approved-In-Depth'!K257,"")</f>
        <v/>
      </c>
      <c r="L257" s="4" t="str">
        <f>IF($A257&lt;&gt;"",'Approved-In-Depth'!L257,"")</f>
        <v/>
      </c>
      <c r="M257" t="str">
        <f>IF($A257&lt;&gt;"",'Approved-In-Depth'!M257,"")</f>
        <v/>
      </c>
    </row>
    <row r="258" spans="1:13" x14ac:dyDescent="0.35">
      <c r="A258" s="4" t="str">
        <f>IF('Approved-In-Depth'!$A258&lt;&gt;"",'Approved-In-Depth'!A258,"")</f>
        <v/>
      </c>
      <c r="B258" t="str">
        <f>IF($O258&lt;&gt;"",$O258,IF($A258&lt;&gt;"",'Approved-In-Depth'!$B258+7,""))</f>
        <v/>
      </c>
      <c r="C258" t="str">
        <f>IF($A258&lt;&gt;"",'Approved-In-Depth'!C258,"")</f>
        <v/>
      </c>
      <c r="D258" t="str">
        <f>IF($A258&lt;&gt;"",'Approved-In-Depth'!D258,"")</f>
        <v/>
      </c>
      <c r="E258" t="str">
        <f>IF($A258&lt;&gt;"",'Approved-In-Depth'!E258,"")</f>
        <v/>
      </c>
      <c r="F258" t="str">
        <f>IF($A258&lt;&gt;"",'Approved-In-Depth'!F258,"")</f>
        <v/>
      </c>
      <c r="G258" t="str">
        <f>IF($A258&lt;&gt;"",'Approved-In-Depth'!G258,"")</f>
        <v/>
      </c>
      <c r="H258" s="4" t="str">
        <f>IF($A258&lt;&gt;"",'Approved-In-Depth'!H258,"")</f>
        <v/>
      </c>
      <c r="I258" t="str">
        <f>IF($A258&lt;&gt;"",'Approved-In-Depth'!I258,"")</f>
        <v/>
      </c>
      <c r="J258" t="str">
        <f>IF($A258&lt;&gt;"",'Approved-In-Depth'!J258,"")</f>
        <v/>
      </c>
      <c r="K258" t="str">
        <f>IF($A258&lt;&gt;"",'Approved-In-Depth'!K258,"")</f>
        <v/>
      </c>
      <c r="L258" s="4" t="str">
        <f>IF($A258&lt;&gt;"",'Approved-In-Depth'!L258,"")</f>
        <v/>
      </c>
      <c r="M258" t="str">
        <f>IF($A258&lt;&gt;"",'Approved-In-Depth'!M258,"")</f>
        <v/>
      </c>
    </row>
    <row r="259" spans="1:13" x14ac:dyDescent="0.35">
      <c r="A259" s="4" t="str">
        <f>IF('Approved-In-Depth'!$A259&lt;&gt;"",'Approved-In-Depth'!A259,"")</f>
        <v/>
      </c>
      <c r="B259" t="str">
        <f>IF($O259&lt;&gt;"",$O259,IF($A259&lt;&gt;"",'Approved-In-Depth'!$B259+7,""))</f>
        <v/>
      </c>
      <c r="C259" t="str">
        <f>IF($A259&lt;&gt;"",'Approved-In-Depth'!C259,"")</f>
        <v/>
      </c>
      <c r="D259" t="str">
        <f>IF($A259&lt;&gt;"",'Approved-In-Depth'!D259,"")</f>
        <v/>
      </c>
      <c r="E259" t="str">
        <f>IF($A259&lt;&gt;"",'Approved-In-Depth'!E259,"")</f>
        <v/>
      </c>
      <c r="F259" t="str">
        <f>IF($A259&lt;&gt;"",'Approved-In-Depth'!F259,"")</f>
        <v/>
      </c>
      <c r="G259" t="str">
        <f>IF($A259&lt;&gt;"",'Approved-In-Depth'!G259,"")</f>
        <v/>
      </c>
      <c r="H259" s="4" t="str">
        <f>IF($A259&lt;&gt;"",'Approved-In-Depth'!H259,"")</f>
        <v/>
      </c>
      <c r="I259" t="str">
        <f>IF($A259&lt;&gt;"",'Approved-In-Depth'!I259,"")</f>
        <v/>
      </c>
      <c r="J259" t="str">
        <f>IF($A259&lt;&gt;"",'Approved-In-Depth'!J259,"")</f>
        <v/>
      </c>
      <c r="K259" t="str">
        <f>IF($A259&lt;&gt;"",'Approved-In-Depth'!K259,"")</f>
        <v/>
      </c>
      <c r="L259" s="4" t="str">
        <f>IF($A259&lt;&gt;"",'Approved-In-Depth'!L259,"")</f>
        <v/>
      </c>
      <c r="M259" t="str">
        <f>IF($A259&lt;&gt;"",'Approved-In-Depth'!M259,"")</f>
        <v/>
      </c>
    </row>
    <row r="260" spans="1:13" x14ac:dyDescent="0.35">
      <c r="A260" s="4" t="str">
        <f>IF('Approved-In-Depth'!$A260&lt;&gt;"",'Approved-In-Depth'!A260,"")</f>
        <v/>
      </c>
      <c r="B260" t="str">
        <f>IF($O260&lt;&gt;"",$O260,IF($A260&lt;&gt;"",'Approved-In-Depth'!$B260+7,""))</f>
        <v/>
      </c>
      <c r="C260" t="str">
        <f>IF($A260&lt;&gt;"",'Approved-In-Depth'!C260,"")</f>
        <v/>
      </c>
      <c r="D260" t="str">
        <f>IF($A260&lt;&gt;"",'Approved-In-Depth'!D260,"")</f>
        <v/>
      </c>
      <c r="E260" t="str">
        <f>IF($A260&lt;&gt;"",'Approved-In-Depth'!E260,"")</f>
        <v/>
      </c>
      <c r="F260" t="str">
        <f>IF($A260&lt;&gt;"",'Approved-In-Depth'!F260,"")</f>
        <v/>
      </c>
      <c r="G260" t="str">
        <f>IF($A260&lt;&gt;"",'Approved-In-Depth'!G260,"")</f>
        <v/>
      </c>
      <c r="H260" s="4" t="str">
        <f>IF($A260&lt;&gt;"",'Approved-In-Depth'!H260,"")</f>
        <v/>
      </c>
      <c r="I260" t="str">
        <f>IF($A260&lt;&gt;"",'Approved-In-Depth'!I260,"")</f>
        <v/>
      </c>
      <c r="J260" t="str">
        <f>IF($A260&lt;&gt;"",'Approved-In-Depth'!J260,"")</f>
        <v/>
      </c>
      <c r="K260" t="str">
        <f>IF($A260&lt;&gt;"",'Approved-In-Depth'!K260,"")</f>
        <v/>
      </c>
      <c r="L260" s="4" t="str">
        <f>IF($A260&lt;&gt;"",'Approved-In-Depth'!L260,"")</f>
        <v/>
      </c>
      <c r="M260" t="str">
        <f>IF($A260&lt;&gt;"",'Approved-In-Depth'!M260,"")</f>
        <v/>
      </c>
    </row>
    <row r="261" spans="1:13" x14ac:dyDescent="0.35">
      <c r="A261" s="4" t="str">
        <f>IF('Approved-In-Depth'!$A261&lt;&gt;"",'Approved-In-Depth'!A261,"")</f>
        <v/>
      </c>
      <c r="B261" t="str">
        <f>IF($O261&lt;&gt;"",$O261,IF($A261&lt;&gt;"",'Approved-In-Depth'!$B261+7,""))</f>
        <v/>
      </c>
      <c r="C261" t="str">
        <f>IF($A261&lt;&gt;"",'Approved-In-Depth'!C261,"")</f>
        <v/>
      </c>
      <c r="D261" t="str">
        <f>IF($A261&lt;&gt;"",'Approved-In-Depth'!D261,"")</f>
        <v/>
      </c>
      <c r="E261" t="str">
        <f>IF($A261&lt;&gt;"",'Approved-In-Depth'!E261,"")</f>
        <v/>
      </c>
      <c r="F261" t="str">
        <f>IF($A261&lt;&gt;"",'Approved-In-Depth'!F261,"")</f>
        <v/>
      </c>
      <c r="G261" t="str">
        <f>IF($A261&lt;&gt;"",'Approved-In-Depth'!G261,"")</f>
        <v/>
      </c>
      <c r="H261" s="4" t="str">
        <f>IF($A261&lt;&gt;"",'Approved-In-Depth'!H261,"")</f>
        <v/>
      </c>
      <c r="I261" t="str">
        <f>IF($A261&lt;&gt;"",'Approved-In-Depth'!I261,"")</f>
        <v/>
      </c>
      <c r="J261" t="str">
        <f>IF($A261&lt;&gt;"",'Approved-In-Depth'!J261,"")</f>
        <v/>
      </c>
      <c r="K261" t="str">
        <f>IF($A261&lt;&gt;"",'Approved-In-Depth'!K261,"")</f>
        <v/>
      </c>
      <c r="L261" s="4" t="str">
        <f>IF($A261&lt;&gt;"",'Approved-In-Depth'!L261,"")</f>
        <v/>
      </c>
      <c r="M261" t="str">
        <f>IF($A261&lt;&gt;"",'Approved-In-Depth'!M261,"")</f>
        <v/>
      </c>
    </row>
    <row r="262" spans="1:13" x14ac:dyDescent="0.35">
      <c r="A262" s="4" t="str">
        <f>IF('Approved-In-Depth'!$A262&lt;&gt;"",'Approved-In-Depth'!A262,"")</f>
        <v/>
      </c>
      <c r="B262" t="str">
        <f>IF($O262&lt;&gt;"",$O262,IF($A262&lt;&gt;"",'Approved-In-Depth'!$B262+7,""))</f>
        <v/>
      </c>
      <c r="C262" t="str">
        <f>IF($A262&lt;&gt;"",'Approved-In-Depth'!C262,"")</f>
        <v/>
      </c>
      <c r="D262" t="str">
        <f>IF($A262&lt;&gt;"",'Approved-In-Depth'!D262,"")</f>
        <v/>
      </c>
      <c r="E262" t="str">
        <f>IF($A262&lt;&gt;"",'Approved-In-Depth'!E262,"")</f>
        <v/>
      </c>
      <c r="F262" t="str">
        <f>IF($A262&lt;&gt;"",'Approved-In-Depth'!F262,"")</f>
        <v/>
      </c>
      <c r="G262" t="str">
        <f>IF($A262&lt;&gt;"",'Approved-In-Depth'!G262,"")</f>
        <v/>
      </c>
      <c r="H262" s="4" t="str">
        <f>IF($A262&lt;&gt;"",'Approved-In-Depth'!H262,"")</f>
        <v/>
      </c>
      <c r="I262" t="str">
        <f>IF($A262&lt;&gt;"",'Approved-In-Depth'!I262,"")</f>
        <v/>
      </c>
      <c r="J262" t="str">
        <f>IF($A262&lt;&gt;"",'Approved-In-Depth'!J262,"")</f>
        <v/>
      </c>
      <c r="K262" t="str">
        <f>IF($A262&lt;&gt;"",'Approved-In-Depth'!K262,"")</f>
        <v/>
      </c>
      <c r="L262" s="4" t="str">
        <f>IF($A262&lt;&gt;"",'Approved-In-Depth'!L262,"")</f>
        <v/>
      </c>
      <c r="M262" t="str">
        <f>IF($A262&lt;&gt;"",'Approved-In-Depth'!M262,"")</f>
        <v/>
      </c>
    </row>
    <row r="263" spans="1:13" x14ac:dyDescent="0.35">
      <c r="A263" s="4" t="str">
        <f>IF('Approved-In-Depth'!$A263&lt;&gt;"",'Approved-In-Depth'!A263,"")</f>
        <v/>
      </c>
      <c r="B263" t="str">
        <f>IF($O263&lt;&gt;"",$O263,IF($A263&lt;&gt;"",'Approved-In-Depth'!$B263+7,""))</f>
        <v/>
      </c>
      <c r="C263" t="str">
        <f>IF($A263&lt;&gt;"",'Approved-In-Depth'!C263,"")</f>
        <v/>
      </c>
      <c r="D263" t="str">
        <f>IF($A263&lt;&gt;"",'Approved-In-Depth'!D263,"")</f>
        <v/>
      </c>
      <c r="E263" t="str">
        <f>IF($A263&lt;&gt;"",'Approved-In-Depth'!E263,"")</f>
        <v/>
      </c>
      <c r="F263" t="str">
        <f>IF($A263&lt;&gt;"",'Approved-In-Depth'!F263,"")</f>
        <v/>
      </c>
      <c r="G263" t="str">
        <f>IF($A263&lt;&gt;"",'Approved-In-Depth'!G263,"")</f>
        <v/>
      </c>
      <c r="H263" s="4" t="str">
        <f>IF($A263&lt;&gt;"",'Approved-In-Depth'!H263,"")</f>
        <v/>
      </c>
      <c r="I263" t="str">
        <f>IF($A263&lt;&gt;"",'Approved-In-Depth'!I263,"")</f>
        <v/>
      </c>
      <c r="J263" t="str">
        <f>IF($A263&lt;&gt;"",'Approved-In-Depth'!J263,"")</f>
        <v/>
      </c>
      <c r="K263" t="str">
        <f>IF($A263&lt;&gt;"",'Approved-In-Depth'!K263,"")</f>
        <v/>
      </c>
      <c r="L263" s="4" t="str">
        <f>IF($A263&lt;&gt;"",'Approved-In-Depth'!L263,"")</f>
        <v/>
      </c>
      <c r="M263" t="str">
        <f>IF($A263&lt;&gt;"",'Approved-In-Depth'!M263,"")</f>
        <v/>
      </c>
    </row>
    <row r="264" spans="1:13" x14ac:dyDescent="0.35">
      <c r="A264" s="4" t="str">
        <f>IF('Approved-In-Depth'!$A264&lt;&gt;"",'Approved-In-Depth'!A264,"")</f>
        <v/>
      </c>
      <c r="B264" t="str">
        <f>IF($O264&lt;&gt;"",$O264,IF($A264&lt;&gt;"",'Approved-In-Depth'!$B264+7,""))</f>
        <v/>
      </c>
      <c r="C264" t="str">
        <f>IF($A264&lt;&gt;"",'Approved-In-Depth'!C264,"")</f>
        <v/>
      </c>
      <c r="D264" t="str">
        <f>IF($A264&lt;&gt;"",'Approved-In-Depth'!D264,"")</f>
        <v/>
      </c>
      <c r="E264" t="str">
        <f>IF($A264&lt;&gt;"",'Approved-In-Depth'!E264,"")</f>
        <v/>
      </c>
      <c r="F264" t="str">
        <f>IF($A264&lt;&gt;"",'Approved-In-Depth'!F264,"")</f>
        <v/>
      </c>
      <c r="G264" t="str">
        <f>IF($A264&lt;&gt;"",'Approved-In-Depth'!G264,"")</f>
        <v/>
      </c>
      <c r="H264" s="4" t="str">
        <f>IF($A264&lt;&gt;"",'Approved-In-Depth'!H264,"")</f>
        <v/>
      </c>
      <c r="I264" t="str">
        <f>IF($A264&lt;&gt;"",'Approved-In-Depth'!I264,"")</f>
        <v/>
      </c>
      <c r="J264" t="str">
        <f>IF($A264&lt;&gt;"",'Approved-In-Depth'!J264,"")</f>
        <v/>
      </c>
      <c r="K264" t="str">
        <f>IF($A264&lt;&gt;"",'Approved-In-Depth'!K264,"")</f>
        <v/>
      </c>
      <c r="L264" s="4" t="str">
        <f>IF($A264&lt;&gt;"",'Approved-In-Depth'!L264,"")</f>
        <v/>
      </c>
      <c r="M264" t="str">
        <f>IF($A264&lt;&gt;"",'Approved-In-Depth'!M264,"")</f>
        <v/>
      </c>
    </row>
    <row r="265" spans="1:13" x14ac:dyDescent="0.35">
      <c r="A265" s="4" t="str">
        <f>IF('Approved-In-Depth'!$A265&lt;&gt;"",'Approved-In-Depth'!A265,"")</f>
        <v/>
      </c>
      <c r="B265" t="str">
        <f>IF($O265&lt;&gt;"",$O265,IF($A265&lt;&gt;"",'Approved-In-Depth'!$B265+7,""))</f>
        <v/>
      </c>
      <c r="C265" t="str">
        <f>IF($A265&lt;&gt;"",'Approved-In-Depth'!C265,"")</f>
        <v/>
      </c>
      <c r="D265" t="str">
        <f>IF($A265&lt;&gt;"",'Approved-In-Depth'!D265,"")</f>
        <v/>
      </c>
      <c r="E265" t="str">
        <f>IF($A265&lt;&gt;"",'Approved-In-Depth'!E265,"")</f>
        <v/>
      </c>
      <c r="F265" t="str">
        <f>IF($A265&lt;&gt;"",'Approved-In-Depth'!F265,"")</f>
        <v/>
      </c>
      <c r="G265" t="str">
        <f>IF($A265&lt;&gt;"",'Approved-In-Depth'!G265,"")</f>
        <v/>
      </c>
      <c r="H265" s="4" t="str">
        <f>IF($A265&lt;&gt;"",'Approved-In-Depth'!H265,"")</f>
        <v/>
      </c>
      <c r="I265" t="str">
        <f>IF($A265&lt;&gt;"",'Approved-In-Depth'!I265,"")</f>
        <v/>
      </c>
      <c r="J265" t="str">
        <f>IF($A265&lt;&gt;"",'Approved-In-Depth'!J265,"")</f>
        <v/>
      </c>
      <c r="K265" t="str">
        <f>IF($A265&lt;&gt;"",'Approved-In-Depth'!K265,"")</f>
        <v/>
      </c>
      <c r="L265" s="4" t="str">
        <f>IF($A265&lt;&gt;"",'Approved-In-Depth'!L265,"")</f>
        <v/>
      </c>
      <c r="M265" t="str">
        <f>IF($A265&lt;&gt;"",'Approved-In-Depth'!M265,"")</f>
        <v/>
      </c>
    </row>
    <row r="266" spans="1:13" x14ac:dyDescent="0.35">
      <c r="A266" s="4" t="str">
        <f>IF('Approved-In-Depth'!$A266&lt;&gt;"",'Approved-In-Depth'!A266,"")</f>
        <v/>
      </c>
      <c r="B266" t="str">
        <f>IF($O266&lt;&gt;"",$O266,IF($A266&lt;&gt;"",'Approved-In-Depth'!$B266+7,""))</f>
        <v/>
      </c>
      <c r="C266" t="str">
        <f>IF($A266&lt;&gt;"",'Approved-In-Depth'!C266,"")</f>
        <v/>
      </c>
      <c r="D266" t="str">
        <f>IF($A266&lt;&gt;"",'Approved-In-Depth'!D266,"")</f>
        <v/>
      </c>
      <c r="E266" t="str">
        <f>IF($A266&lt;&gt;"",'Approved-In-Depth'!E266,"")</f>
        <v/>
      </c>
      <c r="F266" t="str">
        <f>IF($A266&lt;&gt;"",'Approved-In-Depth'!F266,"")</f>
        <v/>
      </c>
      <c r="G266" t="str">
        <f>IF($A266&lt;&gt;"",'Approved-In-Depth'!G266,"")</f>
        <v/>
      </c>
      <c r="H266" s="4" t="str">
        <f>IF($A266&lt;&gt;"",'Approved-In-Depth'!H266,"")</f>
        <v/>
      </c>
      <c r="I266" t="str">
        <f>IF($A266&lt;&gt;"",'Approved-In-Depth'!I266,"")</f>
        <v/>
      </c>
      <c r="J266" t="str">
        <f>IF($A266&lt;&gt;"",'Approved-In-Depth'!J266,"")</f>
        <v/>
      </c>
      <c r="K266" t="str">
        <f>IF($A266&lt;&gt;"",'Approved-In-Depth'!K266,"")</f>
        <v/>
      </c>
      <c r="L266" s="4" t="str">
        <f>IF($A266&lt;&gt;"",'Approved-In-Depth'!L266,"")</f>
        <v/>
      </c>
      <c r="M266" t="str">
        <f>IF($A266&lt;&gt;"",'Approved-In-Depth'!M266,"")</f>
        <v/>
      </c>
    </row>
    <row r="267" spans="1:13" x14ac:dyDescent="0.35">
      <c r="A267" s="4" t="str">
        <f>IF('Approved-In-Depth'!$A267&lt;&gt;"",'Approved-In-Depth'!A267,"")</f>
        <v/>
      </c>
      <c r="B267" t="str">
        <f>IF($O267&lt;&gt;"",$O267,IF($A267&lt;&gt;"",'Approved-In-Depth'!$B267+7,""))</f>
        <v/>
      </c>
      <c r="C267" t="str">
        <f>IF($A267&lt;&gt;"",'Approved-In-Depth'!C267,"")</f>
        <v/>
      </c>
      <c r="D267" t="str">
        <f>IF($A267&lt;&gt;"",'Approved-In-Depth'!D267,"")</f>
        <v/>
      </c>
      <c r="E267" t="str">
        <f>IF($A267&lt;&gt;"",'Approved-In-Depth'!E267,"")</f>
        <v/>
      </c>
      <c r="F267" t="str">
        <f>IF($A267&lt;&gt;"",'Approved-In-Depth'!F267,"")</f>
        <v/>
      </c>
      <c r="G267" t="str">
        <f>IF($A267&lt;&gt;"",'Approved-In-Depth'!G267,"")</f>
        <v/>
      </c>
      <c r="H267" s="4" t="str">
        <f>IF($A267&lt;&gt;"",'Approved-In-Depth'!H267,"")</f>
        <v/>
      </c>
      <c r="I267" t="str">
        <f>IF($A267&lt;&gt;"",'Approved-In-Depth'!I267,"")</f>
        <v/>
      </c>
      <c r="J267" t="str">
        <f>IF($A267&lt;&gt;"",'Approved-In-Depth'!J267,"")</f>
        <v/>
      </c>
      <c r="K267" t="str">
        <f>IF($A267&lt;&gt;"",'Approved-In-Depth'!K267,"")</f>
        <v/>
      </c>
      <c r="L267" s="4" t="str">
        <f>IF($A267&lt;&gt;"",'Approved-In-Depth'!L267,"")</f>
        <v/>
      </c>
      <c r="M267" t="str">
        <f>IF($A267&lt;&gt;"",'Approved-In-Depth'!M267,"")</f>
        <v/>
      </c>
    </row>
    <row r="268" spans="1:13" x14ac:dyDescent="0.35">
      <c r="A268" s="4" t="str">
        <f>IF('Approved-In-Depth'!$A268&lt;&gt;"",'Approved-In-Depth'!A268,"")</f>
        <v/>
      </c>
      <c r="B268" t="str">
        <f>IF($O268&lt;&gt;"",$O268,IF($A268&lt;&gt;"",'Approved-In-Depth'!$B268+7,""))</f>
        <v/>
      </c>
      <c r="C268" t="str">
        <f>IF($A268&lt;&gt;"",'Approved-In-Depth'!C268,"")</f>
        <v/>
      </c>
      <c r="D268" t="str">
        <f>IF($A268&lt;&gt;"",'Approved-In-Depth'!D268,"")</f>
        <v/>
      </c>
      <c r="E268" t="str">
        <f>IF($A268&lt;&gt;"",'Approved-In-Depth'!E268,"")</f>
        <v/>
      </c>
      <c r="F268" t="str">
        <f>IF($A268&lt;&gt;"",'Approved-In-Depth'!F268,"")</f>
        <v/>
      </c>
      <c r="G268" t="str">
        <f>IF($A268&lt;&gt;"",'Approved-In-Depth'!G268,"")</f>
        <v/>
      </c>
      <c r="H268" s="4" t="str">
        <f>IF($A268&lt;&gt;"",'Approved-In-Depth'!H268,"")</f>
        <v/>
      </c>
      <c r="I268" t="str">
        <f>IF($A268&lt;&gt;"",'Approved-In-Depth'!I268,"")</f>
        <v/>
      </c>
      <c r="J268" t="str">
        <f>IF($A268&lt;&gt;"",'Approved-In-Depth'!J268,"")</f>
        <v/>
      </c>
      <c r="K268" t="str">
        <f>IF($A268&lt;&gt;"",'Approved-In-Depth'!K268,"")</f>
        <v/>
      </c>
      <c r="L268" s="4" t="str">
        <f>IF($A268&lt;&gt;"",'Approved-In-Depth'!L268,"")</f>
        <v/>
      </c>
      <c r="M268" t="str">
        <f>IF($A268&lt;&gt;"",'Approved-In-Depth'!M268,"")</f>
        <v/>
      </c>
    </row>
    <row r="269" spans="1:13" x14ac:dyDescent="0.35">
      <c r="A269" s="4" t="str">
        <f>IF('Approved-In-Depth'!$A269&lt;&gt;"",'Approved-In-Depth'!A269,"")</f>
        <v/>
      </c>
      <c r="B269" t="str">
        <f>IF($O269&lt;&gt;"",$O269,IF($A269&lt;&gt;"",'Approved-In-Depth'!$B269+7,""))</f>
        <v/>
      </c>
      <c r="C269" t="str">
        <f>IF($A269&lt;&gt;"",'Approved-In-Depth'!C269,"")</f>
        <v/>
      </c>
      <c r="D269" t="str">
        <f>IF($A269&lt;&gt;"",'Approved-In-Depth'!D269,"")</f>
        <v/>
      </c>
      <c r="E269" t="str">
        <f>IF($A269&lt;&gt;"",'Approved-In-Depth'!E269,"")</f>
        <v/>
      </c>
      <c r="F269" t="str">
        <f>IF($A269&lt;&gt;"",'Approved-In-Depth'!F269,"")</f>
        <v/>
      </c>
      <c r="G269" t="str">
        <f>IF($A269&lt;&gt;"",'Approved-In-Depth'!G269,"")</f>
        <v/>
      </c>
      <c r="H269" s="4" t="str">
        <f>IF($A269&lt;&gt;"",'Approved-In-Depth'!H269,"")</f>
        <v/>
      </c>
      <c r="I269" t="str">
        <f>IF($A269&lt;&gt;"",'Approved-In-Depth'!I269,"")</f>
        <v/>
      </c>
      <c r="J269" t="str">
        <f>IF($A269&lt;&gt;"",'Approved-In-Depth'!J269,"")</f>
        <v/>
      </c>
      <c r="K269" t="str">
        <f>IF($A269&lt;&gt;"",'Approved-In-Depth'!K269,"")</f>
        <v/>
      </c>
      <c r="L269" s="4" t="str">
        <f>IF($A269&lt;&gt;"",'Approved-In-Depth'!L269,"")</f>
        <v/>
      </c>
      <c r="M269" t="str">
        <f>IF($A269&lt;&gt;"",'Approved-In-Depth'!M269,"")</f>
        <v/>
      </c>
    </row>
    <row r="270" spans="1:13" x14ac:dyDescent="0.35">
      <c r="A270" s="4" t="str">
        <f>IF('Approved-In-Depth'!$A270&lt;&gt;"",'Approved-In-Depth'!A270,"")</f>
        <v/>
      </c>
      <c r="B270" t="str">
        <f>IF($O270&lt;&gt;"",$O270,IF($A270&lt;&gt;"",'Approved-In-Depth'!$B270+7,""))</f>
        <v/>
      </c>
      <c r="C270" t="str">
        <f>IF($A270&lt;&gt;"",'Approved-In-Depth'!C270,"")</f>
        <v/>
      </c>
      <c r="D270" t="str">
        <f>IF($A270&lt;&gt;"",'Approved-In-Depth'!D270,"")</f>
        <v/>
      </c>
      <c r="E270" t="str">
        <f>IF($A270&lt;&gt;"",'Approved-In-Depth'!E270,"")</f>
        <v/>
      </c>
      <c r="F270" t="str">
        <f>IF($A270&lt;&gt;"",'Approved-In-Depth'!F270,"")</f>
        <v/>
      </c>
      <c r="G270" t="str">
        <f>IF($A270&lt;&gt;"",'Approved-In-Depth'!G270,"")</f>
        <v/>
      </c>
      <c r="H270" s="4" t="str">
        <f>IF($A270&lt;&gt;"",'Approved-In-Depth'!H270,"")</f>
        <v/>
      </c>
      <c r="I270" t="str">
        <f>IF($A270&lt;&gt;"",'Approved-In-Depth'!I270,"")</f>
        <v/>
      </c>
      <c r="J270" t="str">
        <f>IF($A270&lt;&gt;"",'Approved-In-Depth'!J270,"")</f>
        <v/>
      </c>
      <c r="K270" t="str">
        <f>IF($A270&lt;&gt;"",'Approved-In-Depth'!K270,"")</f>
        <v/>
      </c>
      <c r="L270" s="4" t="str">
        <f>IF($A270&lt;&gt;"",'Approved-In-Depth'!L270,"")</f>
        <v/>
      </c>
      <c r="M270" t="str">
        <f>IF($A270&lt;&gt;"",'Approved-In-Depth'!M270,"")</f>
        <v/>
      </c>
    </row>
    <row r="271" spans="1:13" x14ac:dyDescent="0.35">
      <c r="A271" s="4" t="str">
        <f>IF('Approved-In-Depth'!$A271&lt;&gt;"",'Approved-In-Depth'!A271,"")</f>
        <v/>
      </c>
      <c r="B271" t="str">
        <f>IF($O271&lt;&gt;"",$O271,IF($A271&lt;&gt;"",'Approved-In-Depth'!$B271+7,""))</f>
        <v/>
      </c>
      <c r="C271" t="str">
        <f>IF($A271&lt;&gt;"",'Approved-In-Depth'!C271,"")</f>
        <v/>
      </c>
      <c r="D271" t="str">
        <f>IF($A271&lt;&gt;"",'Approved-In-Depth'!D271,"")</f>
        <v/>
      </c>
      <c r="E271" t="str">
        <f>IF($A271&lt;&gt;"",'Approved-In-Depth'!E271,"")</f>
        <v/>
      </c>
      <c r="F271" t="str">
        <f>IF($A271&lt;&gt;"",'Approved-In-Depth'!F271,"")</f>
        <v/>
      </c>
      <c r="G271" t="str">
        <f>IF($A271&lt;&gt;"",'Approved-In-Depth'!G271,"")</f>
        <v/>
      </c>
      <c r="H271" s="4" t="str">
        <f>IF($A271&lt;&gt;"",'Approved-In-Depth'!H271,"")</f>
        <v/>
      </c>
      <c r="I271" t="str">
        <f>IF($A271&lt;&gt;"",'Approved-In-Depth'!I271,"")</f>
        <v/>
      </c>
      <c r="J271" t="str">
        <f>IF($A271&lt;&gt;"",'Approved-In-Depth'!J271,"")</f>
        <v/>
      </c>
      <c r="K271" t="str">
        <f>IF($A271&lt;&gt;"",'Approved-In-Depth'!K271,"")</f>
        <v/>
      </c>
      <c r="L271" s="4" t="str">
        <f>IF($A271&lt;&gt;"",'Approved-In-Depth'!L271,"")</f>
        <v/>
      </c>
      <c r="M271" t="str">
        <f>IF($A271&lt;&gt;"",'Approved-In-Depth'!M271,"")</f>
        <v/>
      </c>
    </row>
    <row r="272" spans="1:13" x14ac:dyDescent="0.35">
      <c r="A272" s="4" t="str">
        <f>IF('Approved-In-Depth'!$A272&lt;&gt;"",'Approved-In-Depth'!A272,"")</f>
        <v/>
      </c>
      <c r="B272" t="str">
        <f>IF($O272&lt;&gt;"",$O272,IF($A272&lt;&gt;"",'Approved-In-Depth'!$B272+7,""))</f>
        <v/>
      </c>
      <c r="C272" t="str">
        <f>IF($A272&lt;&gt;"",'Approved-In-Depth'!C272,"")</f>
        <v/>
      </c>
      <c r="D272" t="str">
        <f>IF($A272&lt;&gt;"",'Approved-In-Depth'!D272,"")</f>
        <v/>
      </c>
      <c r="E272" t="str">
        <f>IF($A272&lt;&gt;"",'Approved-In-Depth'!E272,"")</f>
        <v/>
      </c>
      <c r="F272" t="str">
        <f>IF($A272&lt;&gt;"",'Approved-In-Depth'!F272,"")</f>
        <v/>
      </c>
      <c r="G272" t="str">
        <f>IF($A272&lt;&gt;"",'Approved-In-Depth'!G272,"")</f>
        <v/>
      </c>
      <c r="H272" s="4" t="str">
        <f>IF($A272&lt;&gt;"",'Approved-In-Depth'!H272,"")</f>
        <v/>
      </c>
      <c r="I272" t="str">
        <f>IF($A272&lt;&gt;"",'Approved-In-Depth'!I272,"")</f>
        <v/>
      </c>
      <c r="J272" t="str">
        <f>IF($A272&lt;&gt;"",'Approved-In-Depth'!J272,"")</f>
        <v/>
      </c>
      <c r="K272" t="str">
        <f>IF($A272&lt;&gt;"",'Approved-In-Depth'!K272,"")</f>
        <v/>
      </c>
      <c r="L272" s="4" t="str">
        <f>IF($A272&lt;&gt;"",'Approved-In-Depth'!L272,"")</f>
        <v/>
      </c>
      <c r="M272" t="str">
        <f>IF($A272&lt;&gt;"",'Approved-In-Depth'!M272,"")</f>
        <v/>
      </c>
    </row>
    <row r="273" spans="1:13" x14ac:dyDescent="0.35">
      <c r="A273" s="4" t="str">
        <f>IF('Approved-In-Depth'!$A273&lt;&gt;"",'Approved-In-Depth'!A273,"")</f>
        <v/>
      </c>
      <c r="B273" t="str">
        <f>IF($O273&lt;&gt;"",$O273,IF($A273&lt;&gt;"",'Approved-In-Depth'!$B273+7,""))</f>
        <v/>
      </c>
      <c r="C273" t="str">
        <f>IF($A273&lt;&gt;"",'Approved-In-Depth'!C273,"")</f>
        <v/>
      </c>
      <c r="D273" t="str">
        <f>IF($A273&lt;&gt;"",'Approved-In-Depth'!D273,"")</f>
        <v/>
      </c>
      <c r="E273" t="str">
        <f>IF($A273&lt;&gt;"",'Approved-In-Depth'!E273,"")</f>
        <v/>
      </c>
      <c r="F273" t="str">
        <f>IF($A273&lt;&gt;"",'Approved-In-Depth'!F273,"")</f>
        <v/>
      </c>
      <c r="G273" t="str">
        <f>IF($A273&lt;&gt;"",'Approved-In-Depth'!G273,"")</f>
        <v/>
      </c>
      <c r="H273" s="4" t="str">
        <f>IF($A273&lt;&gt;"",'Approved-In-Depth'!H273,"")</f>
        <v/>
      </c>
      <c r="I273" t="str">
        <f>IF($A273&lt;&gt;"",'Approved-In-Depth'!I273,"")</f>
        <v/>
      </c>
      <c r="J273" t="str">
        <f>IF($A273&lt;&gt;"",'Approved-In-Depth'!J273,"")</f>
        <v/>
      </c>
      <c r="K273" t="str">
        <f>IF($A273&lt;&gt;"",'Approved-In-Depth'!K273,"")</f>
        <v/>
      </c>
      <c r="L273" s="4" t="str">
        <f>IF($A273&lt;&gt;"",'Approved-In-Depth'!L273,"")</f>
        <v/>
      </c>
      <c r="M273" t="str">
        <f>IF($A273&lt;&gt;"",'Approved-In-Depth'!M273,"")</f>
        <v/>
      </c>
    </row>
    <row r="274" spans="1:13" x14ac:dyDescent="0.35">
      <c r="A274" s="4" t="str">
        <f>IF('Approved-In-Depth'!$A274&lt;&gt;"",'Approved-In-Depth'!A274,"")</f>
        <v/>
      </c>
      <c r="B274" t="str">
        <f>IF($O274&lt;&gt;"",$O274,IF($A274&lt;&gt;"",'Approved-In-Depth'!$B274+7,""))</f>
        <v/>
      </c>
      <c r="C274" t="str">
        <f>IF($A274&lt;&gt;"",'Approved-In-Depth'!C274,"")</f>
        <v/>
      </c>
      <c r="D274" t="str">
        <f>IF($A274&lt;&gt;"",'Approved-In-Depth'!D274,"")</f>
        <v/>
      </c>
      <c r="E274" t="str">
        <f>IF($A274&lt;&gt;"",'Approved-In-Depth'!E274,"")</f>
        <v/>
      </c>
      <c r="F274" t="str">
        <f>IF($A274&lt;&gt;"",'Approved-In-Depth'!F274,"")</f>
        <v/>
      </c>
      <c r="G274" t="str">
        <f>IF($A274&lt;&gt;"",'Approved-In-Depth'!G274,"")</f>
        <v/>
      </c>
      <c r="H274" s="4" t="str">
        <f>IF($A274&lt;&gt;"",'Approved-In-Depth'!H274,"")</f>
        <v/>
      </c>
      <c r="I274" t="str">
        <f>IF($A274&lt;&gt;"",'Approved-In-Depth'!I274,"")</f>
        <v/>
      </c>
      <c r="J274" t="str">
        <f>IF($A274&lt;&gt;"",'Approved-In-Depth'!J274,"")</f>
        <v/>
      </c>
      <c r="K274" t="str">
        <f>IF($A274&lt;&gt;"",'Approved-In-Depth'!K274,"")</f>
        <v/>
      </c>
      <c r="L274" s="4" t="str">
        <f>IF($A274&lt;&gt;"",'Approved-In-Depth'!L274,"")</f>
        <v/>
      </c>
      <c r="M274" t="str">
        <f>IF($A274&lt;&gt;"",'Approved-In-Depth'!M274,"")</f>
        <v/>
      </c>
    </row>
    <row r="275" spans="1:13" x14ac:dyDescent="0.35">
      <c r="A275" s="4" t="str">
        <f>IF('Approved-In-Depth'!$A275&lt;&gt;"",'Approved-In-Depth'!A275,"")</f>
        <v/>
      </c>
      <c r="B275" t="str">
        <f>IF($O275&lt;&gt;"",$O275,IF($A275&lt;&gt;"",'Approved-In-Depth'!$B275+7,""))</f>
        <v/>
      </c>
      <c r="C275" t="str">
        <f>IF($A275&lt;&gt;"",'Approved-In-Depth'!C275,"")</f>
        <v/>
      </c>
      <c r="D275" t="str">
        <f>IF($A275&lt;&gt;"",'Approved-In-Depth'!D275,"")</f>
        <v/>
      </c>
      <c r="E275" t="str">
        <f>IF($A275&lt;&gt;"",'Approved-In-Depth'!E275,"")</f>
        <v/>
      </c>
      <c r="F275" t="str">
        <f>IF($A275&lt;&gt;"",'Approved-In-Depth'!F275,"")</f>
        <v/>
      </c>
      <c r="G275" t="str">
        <f>IF($A275&lt;&gt;"",'Approved-In-Depth'!G275,"")</f>
        <v/>
      </c>
      <c r="H275" s="4" t="str">
        <f>IF($A275&lt;&gt;"",'Approved-In-Depth'!H275,"")</f>
        <v/>
      </c>
      <c r="I275" t="str">
        <f>IF($A275&lt;&gt;"",'Approved-In-Depth'!I275,"")</f>
        <v/>
      </c>
      <c r="J275" t="str">
        <f>IF($A275&lt;&gt;"",'Approved-In-Depth'!J275,"")</f>
        <v/>
      </c>
      <c r="K275" t="str">
        <f>IF($A275&lt;&gt;"",'Approved-In-Depth'!K275,"")</f>
        <v/>
      </c>
      <c r="L275" s="4" t="str">
        <f>IF($A275&lt;&gt;"",'Approved-In-Depth'!L275,"")</f>
        <v/>
      </c>
      <c r="M275" t="str">
        <f>IF($A275&lt;&gt;"",'Approved-In-Depth'!M275,"")</f>
        <v/>
      </c>
    </row>
    <row r="276" spans="1:13" x14ac:dyDescent="0.35">
      <c r="A276" s="4" t="str">
        <f>IF('Approved-In-Depth'!$A276&lt;&gt;"",'Approved-In-Depth'!A276,"")</f>
        <v/>
      </c>
      <c r="B276" t="str">
        <f>IF($O276&lt;&gt;"",$O276,IF($A276&lt;&gt;"",'Approved-In-Depth'!$B276+7,""))</f>
        <v/>
      </c>
      <c r="C276" t="str">
        <f>IF($A276&lt;&gt;"",'Approved-In-Depth'!C276,"")</f>
        <v/>
      </c>
      <c r="D276" t="str">
        <f>IF($A276&lt;&gt;"",'Approved-In-Depth'!D276,"")</f>
        <v/>
      </c>
      <c r="E276" t="str">
        <f>IF($A276&lt;&gt;"",'Approved-In-Depth'!E276,"")</f>
        <v/>
      </c>
      <c r="F276" t="str">
        <f>IF($A276&lt;&gt;"",'Approved-In-Depth'!F276,"")</f>
        <v/>
      </c>
      <c r="G276" t="str">
        <f>IF($A276&lt;&gt;"",'Approved-In-Depth'!G276,"")</f>
        <v/>
      </c>
      <c r="H276" s="4" t="str">
        <f>IF($A276&lt;&gt;"",'Approved-In-Depth'!H276,"")</f>
        <v/>
      </c>
      <c r="I276" t="str">
        <f>IF($A276&lt;&gt;"",'Approved-In-Depth'!I276,"")</f>
        <v/>
      </c>
      <c r="J276" t="str">
        <f>IF($A276&lt;&gt;"",'Approved-In-Depth'!J276,"")</f>
        <v/>
      </c>
      <c r="K276" t="str">
        <f>IF($A276&lt;&gt;"",'Approved-In-Depth'!K276,"")</f>
        <v/>
      </c>
      <c r="L276" s="4" t="str">
        <f>IF($A276&lt;&gt;"",'Approved-In-Depth'!L276,"")</f>
        <v/>
      </c>
      <c r="M276" t="str">
        <f>IF($A276&lt;&gt;"",'Approved-In-Depth'!M276,"")</f>
        <v/>
      </c>
    </row>
    <row r="277" spans="1:13" x14ac:dyDescent="0.35">
      <c r="A277" s="4" t="str">
        <f>IF('Approved-In-Depth'!$A277&lt;&gt;"",'Approved-In-Depth'!A277,"")</f>
        <v/>
      </c>
      <c r="B277" t="str">
        <f>IF($O277&lt;&gt;"",$O277,IF($A277&lt;&gt;"",'Approved-In-Depth'!$B277+7,""))</f>
        <v/>
      </c>
      <c r="C277" t="str">
        <f>IF($A277&lt;&gt;"",'Approved-In-Depth'!C277,"")</f>
        <v/>
      </c>
      <c r="D277" t="str">
        <f>IF($A277&lt;&gt;"",'Approved-In-Depth'!D277,"")</f>
        <v/>
      </c>
      <c r="E277" t="str">
        <f>IF($A277&lt;&gt;"",'Approved-In-Depth'!E277,"")</f>
        <v/>
      </c>
      <c r="F277" t="str">
        <f>IF($A277&lt;&gt;"",'Approved-In-Depth'!F277,"")</f>
        <v/>
      </c>
      <c r="G277" t="str">
        <f>IF($A277&lt;&gt;"",'Approved-In-Depth'!G277,"")</f>
        <v/>
      </c>
      <c r="H277" s="4" t="str">
        <f>IF($A277&lt;&gt;"",'Approved-In-Depth'!H277,"")</f>
        <v/>
      </c>
      <c r="I277" t="str">
        <f>IF($A277&lt;&gt;"",'Approved-In-Depth'!I277,"")</f>
        <v/>
      </c>
      <c r="J277" t="str">
        <f>IF($A277&lt;&gt;"",'Approved-In-Depth'!J277,"")</f>
        <v/>
      </c>
      <c r="K277" t="str">
        <f>IF($A277&lt;&gt;"",'Approved-In-Depth'!K277,"")</f>
        <v/>
      </c>
      <c r="L277" s="4" t="str">
        <f>IF($A277&lt;&gt;"",'Approved-In-Depth'!L277,"")</f>
        <v/>
      </c>
      <c r="M277" t="str">
        <f>IF($A277&lt;&gt;"",'Approved-In-Depth'!M277,"")</f>
        <v/>
      </c>
    </row>
    <row r="278" spans="1:13" x14ac:dyDescent="0.35">
      <c r="A278" s="4" t="str">
        <f>IF('Approved-In-Depth'!$A278&lt;&gt;"",'Approved-In-Depth'!A278,"")</f>
        <v/>
      </c>
      <c r="B278" t="str">
        <f>IF($O278&lt;&gt;"",$O278,IF($A278&lt;&gt;"",'Approved-In-Depth'!$B278+7,""))</f>
        <v/>
      </c>
      <c r="C278" t="str">
        <f>IF($A278&lt;&gt;"",'Approved-In-Depth'!C278,"")</f>
        <v/>
      </c>
      <c r="D278" t="str">
        <f>IF($A278&lt;&gt;"",'Approved-In-Depth'!D278,"")</f>
        <v/>
      </c>
      <c r="E278" t="str">
        <f>IF($A278&lt;&gt;"",'Approved-In-Depth'!E278,"")</f>
        <v/>
      </c>
      <c r="F278" t="str">
        <f>IF($A278&lt;&gt;"",'Approved-In-Depth'!F278,"")</f>
        <v/>
      </c>
      <c r="G278" t="str">
        <f>IF($A278&lt;&gt;"",'Approved-In-Depth'!G278,"")</f>
        <v/>
      </c>
      <c r="H278" s="4" t="str">
        <f>IF($A278&lt;&gt;"",'Approved-In-Depth'!H278,"")</f>
        <v/>
      </c>
      <c r="I278" t="str">
        <f>IF($A278&lt;&gt;"",'Approved-In-Depth'!I278,"")</f>
        <v/>
      </c>
      <c r="J278" t="str">
        <f>IF($A278&lt;&gt;"",'Approved-In-Depth'!J278,"")</f>
        <v/>
      </c>
      <c r="K278" t="str">
        <f>IF($A278&lt;&gt;"",'Approved-In-Depth'!K278,"")</f>
        <v/>
      </c>
      <c r="L278" s="4" t="str">
        <f>IF($A278&lt;&gt;"",'Approved-In-Depth'!L278,"")</f>
        <v/>
      </c>
      <c r="M278" t="str">
        <f>IF($A278&lt;&gt;"",'Approved-In-Depth'!M278,"")</f>
        <v/>
      </c>
    </row>
    <row r="279" spans="1:13" x14ac:dyDescent="0.35">
      <c r="A279" s="4" t="str">
        <f>IF('Approved-In-Depth'!$A279&lt;&gt;"",'Approved-In-Depth'!A279,"")</f>
        <v/>
      </c>
      <c r="B279" t="str">
        <f>IF($O279&lt;&gt;"",$O279,IF($A279&lt;&gt;"",'Approved-In-Depth'!$B279+7,""))</f>
        <v/>
      </c>
      <c r="C279" t="str">
        <f>IF($A279&lt;&gt;"",'Approved-In-Depth'!C279,"")</f>
        <v/>
      </c>
      <c r="D279" t="str">
        <f>IF($A279&lt;&gt;"",'Approved-In-Depth'!D279,"")</f>
        <v/>
      </c>
      <c r="E279" t="str">
        <f>IF($A279&lt;&gt;"",'Approved-In-Depth'!E279,"")</f>
        <v/>
      </c>
      <c r="F279" t="str">
        <f>IF($A279&lt;&gt;"",'Approved-In-Depth'!F279,"")</f>
        <v/>
      </c>
      <c r="G279" t="str">
        <f>IF($A279&lt;&gt;"",'Approved-In-Depth'!G279,"")</f>
        <v/>
      </c>
      <c r="H279" s="4" t="str">
        <f>IF($A279&lt;&gt;"",'Approved-In-Depth'!H279,"")</f>
        <v/>
      </c>
      <c r="I279" t="str">
        <f>IF($A279&lt;&gt;"",'Approved-In-Depth'!I279,"")</f>
        <v/>
      </c>
      <c r="J279" t="str">
        <f>IF($A279&lt;&gt;"",'Approved-In-Depth'!J279,"")</f>
        <v/>
      </c>
      <c r="K279" t="str">
        <f>IF($A279&lt;&gt;"",'Approved-In-Depth'!K279,"")</f>
        <v/>
      </c>
      <c r="L279" s="4" t="str">
        <f>IF($A279&lt;&gt;"",'Approved-In-Depth'!L279,"")</f>
        <v/>
      </c>
      <c r="M279" t="str">
        <f>IF($A279&lt;&gt;"",'Approved-In-Depth'!M279,"")</f>
        <v/>
      </c>
    </row>
    <row r="280" spans="1:13" x14ac:dyDescent="0.35">
      <c r="A280" s="4" t="str">
        <f>IF('Approved-In-Depth'!$A280&lt;&gt;"",'Approved-In-Depth'!A280,"")</f>
        <v/>
      </c>
      <c r="B280" t="str">
        <f>IF($O280&lt;&gt;"",$O280,IF($A280&lt;&gt;"",'Approved-In-Depth'!$B280+7,""))</f>
        <v/>
      </c>
      <c r="C280" t="str">
        <f>IF($A280&lt;&gt;"",'Approved-In-Depth'!C280,"")</f>
        <v/>
      </c>
      <c r="D280" t="str">
        <f>IF($A280&lt;&gt;"",'Approved-In-Depth'!D280,"")</f>
        <v/>
      </c>
      <c r="E280" t="str">
        <f>IF($A280&lt;&gt;"",'Approved-In-Depth'!E280,"")</f>
        <v/>
      </c>
      <c r="F280" t="str">
        <f>IF($A280&lt;&gt;"",'Approved-In-Depth'!F280,"")</f>
        <v/>
      </c>
      <c r="G280" t="str">
        <f>IF($A280&lt;&gt;"",'Approved-In-Depth'!G280,"")</f>
        <v/>
      </c>
      <c r="H280" s="4" t="str">
        <f>IF($A280&lt;&gt;"",'Approved-In-Depth'!H280,"")</f>
        <v/>
      </c>
      <c r="I280" t="str">
        <f>IF($A280&lt;&gt;"",'Approved-In-Depth'!I280,"")</f>
        <v/>
      </c>
      <c r="J280" t="str">
        <f>IF($A280&lt;&gt;"",'Approved-In-Depth'!J280,"")</f>
        <v/>
      </c>
      <c r="K280" t="str">
        <f>IF($A280&lt;&gt;"",'Approved-In-Depth'!K280,"")</f>
        <v/>
      </c>
      <c r="L280" s="4" t="str">
        <f>IF($A280&lt;&gt;"",'Approved-In-Depth'!L280,"")</f>
        <v/>
      </c>
      <c r="M280" t="str">
        <f>IF($A280&lt;&gt;"",'Approved-In-Depth'!M280,"")</f>
        <v/>
      </c>
    </row>
    <row r="281" spans="1:13" x14ac:dyDescent="0.35">
      <c r="A281" s="4" t="str">
        <f>IF('Approved-In-Depth'!$A281&lt;&gt;"",'Approved-In-Depth'!A281,"")</f>
        <v/>
      </c>
      <c r="B281" t="str">
        <f>IF($O281&lt;&gt;"",$O281,IF($A281&lt;&gt;"",'Approved-In-Depth'!$B281+7,""))</f>
        <v/>
      </c>
      <c r="C281" t="str">
        <f>IF($A281&lt;&gt;"",'Approved-In-Depth'!C281,"")</f>
        <v/>
      </c>
      <c r="D281" t="str">
        <f>IF($A281&lt;&gt;"",'Approved-In-Depth'!D281,"")</f>
        <v/>
      </c>
      <c r="E281" t="str">
        <f>IF($A281&lt;&gt;"",'Approved-In-Depth'!E281,"")</f>
        <v/>
      </c>
      <c r="F281" t="str">
        <f>IF($A281&lt;&gt;"",'Approved-In-Depth'!F281,"")</f>
        <v/>
      </c>
      <c r="G281" t="str">
        <f>IF($A281&lt;&gt;"",'Approved-In-Depth'!G281,"")</f>
        <v/>
      </c>
      <c r="H281" s="4" t="str">
        <f>IF($A281&lt;&gt;"",'Approved-In-Depth'!H281,"")</f>
        <v/>
      </c>
      <c r="I281" t="str">
        <f>IF($A281&lt;&gt;"",'Approved-In-Depth'!I281,"")</f>
        <v/>
      </c>
      <c r="J281" t="str">
        <f>IF($A281&lt;&gt;"",'Approved-In-Depth'!J281,"")</f>
        <v/>
      </c>
      <c r="K281" t="str">
        <f>IF($A281&lt;&gt;"",'Approved-In-Depth'!K281,"")</f>
        <v/>
      </c>
      <c r="L281" s="4" t="str">
        <f>IF($A281&lt;&gt;"",'Approved-In-Depth'!L281,"")</f>
        <v/>
      </c>
      <c r="M281" t="str">
        <f>IF($A281&lt;&gt;"",'Approved-In-Depth'!M281,"")</f>
        <v/>
      </c>
    </row>
    <row r="282" spans="1:13" x14ac:dyDescent="0.35">
      <c r="A282" s="4" t="str">
        <f>IF('Approved-In-Depth'!$A282&lt;&gt;"",'Approved-In-Depth'!A282,"")</f>
        <v/>
      </c>
      <c r="B282" t="str">
        <f>IF($O282&lt;&gt;"",$O282,IF($A282&lt;&gt;"",'Approved-In-Depth'!$B282+7,""))</f>
        <v/>
      </c>
      <c r="C282" t="str">
        <f>IF($A282&lt;&gt;"",'Approved-In-Depth'!C282,"")</f>
        <v/>
      </c>
      <c r="D282" t="str">
        <f>IF($A282&lt;&gt;"",'Approved-In-Depth'!D282,"")</f>
        <v/>
      </c>
      <c r="E282" t="str">
        <f>IF($A282&lt;&gt;"",'Approved-In-Depth'!E282,"")</f>
        <v/>
      </c>
      <c r="F282" t="str">
        <f>IF($A282&lt;&gt;"",'Approved-In-Depth'!F282,"")</f>
        <v/>
      </c>
      <c r="G282" t="str">
        <f>IF($A282&lt;&gt;"",'Approved-In-Depth'!G282,"")</f>
        <v/>
      </c>
      <c r="H282" s="4" t="str">
        <f>IF($A282&lt;&gt;"",'Approved-In-Depth'!H282,"")</f>
        <v/>
      </c>
      <c r="I282" t="str">
        <f>IF($A282&lt;&gt;"",'Approved-In-Depth'!I282,"")</f>
        <v/>
      </c>
      <c r="J282" t="str">
        <f>IF($A282&lt;&gt;"",'Approved-In-Depth'!J282,"")</f>
        <v/>
      </c>
      <c r="K282" t="str">
        <f>IF($A282&lt;&gt;"",'Approved-In-Depth'!K282,"")</f>
        <v/>
      </c>
      <c r="L282" s="4" t="str">
        <f>IF($A282&lt;&gt;"",'Approved-In-Depth'!L282,"")</f>
        <v/>
      </c>
      <c r="M282" t="str">
        <f>IF($A282&lt;&gt;"",'Approved-In-Depth'!M282,"")</f>
        <v/>
      </c>
    </row>
    <row r="283" spans="1:13" x14ac:dyDescent="0.35">
      <c r="A283" s="4" t="str">
        <f>IF('Approved-In-Depth'!$A283&lt;&gt;"",'Approved-In-Depth'!A283,"")</f>
        <v/>
      </c>
      <c r="B283" t="str">
        <f>IF($O283&lt;&gt;"",$O283,IF($A283&lt;&gt;"",'Approved-In-Depth'!$B283+7,""))</f>
        <v/>
      </c>
      <c r="C283" t="str">
        <f>IF($A283&lt;&gt;"",'Approved-In-Depth'!C283,"")</f>
        <v/>
      </c>
      <c r="D283" t="str">
        <f>IF($A283&lt;&gt;"",'Approved-In-Depth'!D283,"")</f>
        <v/>
      </c>
      <c r="E283" t="str">
        <f>IF($A283&lt;&gt;"",'Approved-In-Depth'!E283,"")</f>
        <v/>
      </c>
      <c r="F283" t="str">
        <f>IF($A283&lt;&gt;"",'Approved-In-Depth'!F283,"")</f>
        <v/>
      </c>
      <c r="G283" t="str">
        <f>IF($A283&lt;&gt;"",'Approved-In-Depth'!G283,"")</f>
        <v/>
      </c>
      <c r="H283" s="4" t="str">
        <f>IF($A283&lt;&gt;"",'Approved-In-Depth'!H283,"")</f>
        <v/>
      </c>
      <c r="I283" t="str">
        <f>IF($A283&lt;&gt;"",'Approved-In-Depth'!I283,"")</f>
        <v/>
      </c>
      <c r="J283" t="str">
        <f>IF($A283&lt;&gt;"",'Approved-In-Depth'!J283,"")</f>
        <v/>
      </c>
      <c r="K283" t="str">
        <f>IF($A283&lt;&gt;"",'Approved-In-Depth'!K283,"")</f>
        <v/>
      </c>
      <c r="L283" s="4" t="str">
        <f>IF($A283&lt;&gt;"",'Approved-In-Depth'!L283,"")</f>
        <v/>
      </c>
      <c r="M283" t="str">
        <f>IF($A283&lt;&gt;"",'Approved-In-Depth'!M283,"")</f>
        <v/>
      </c>
    </row>
    <row r="284" spans="1:13" x14ac:dyDescent="0.35">
      <c r="A284" s="4" t="str">
        <f>IF('Approved-In-Depth'!$A284&lt;&gt;"",'Approved-In-Depth'!A284,"")</f>
        <v/>
      </c>
      <c r="B284" t="str">
        <f>IF($O284&lt;&gt;"",$O284,IF($A284&lt;&gt;"",'Approved-In-Depth'!$B284+7,""))</f>
        <v/>
      </c>
      <c r="C284" t="str">
        <f>IF($A284&lt;&gt;"",'Approved-In-Depth'!C284,"")</f>
        <v/>
      </c>
      <c r="D284" t="str">
        <f>IF($A284&lt;&gt;"",'Approved-In-Depth'!D284,"")</f>
        <v/>
      </c>
      <c r="E284" t="str">
        <f>IF($A284&lt;&gt;"",'Approved-In-Depth'!E284,"")</f>
        <v/>
      </c>
      <c r="F284" t="str">
        <f>IF($A284&lt;&gt;"",'Approved-In-Depth'!F284,"")</f>
        <v/>
      </c>
      <c r="G284" t="str">
        <f>IF($A284&lt;&gt;"",'Approved-In-Depth'!G284,"")</f>
        <v/>
      </c>
      <c r="H284" s="4" t="str">
        <f>IF($A284&lt;&gt;"",'Approved-In-Depth'!H284,"")</f>
        <v/>
      </c>
      <c r="I284" t="str">
        <f>IF($A284&lt;&gt;"",'Approved-In-Depth'!I284,"")</f>
        <v/>
      </c>
      <c r="J284" t="str">
        <f>IF($A284&lt;&gt;"",'Approved-In-Depth'!J284,"")</f>
        <v/>
      </c>
      <c r="K284" t="str">
        <f>IF($A284&lt;&gt;"",'Approved-In-Depth'!K284,"")</f>
        <v/>
      </c>
      <c r="L284" s="4" t="str">
        <f>IF($A284&lt;&gt;"",'Approved-In-Depth'!L284,"")</f>
        <v/>
      </c>
      <c r="M284" t="str">
        <f>IF($A284&lt;&gt;"",'Approved-In-Depth'!M284,"")</f>
        <v/>
      </c>
    </row>
    <row r="285" spans="1:13" x14ac:dyDescent="0.35">
      <c r="A285" s="4" t="str">
        <f>IF('Approved-In-Depth'!$A285&lt;&gt;"",'Approved-In-Depth'!A285,"")</f>
        <v/>
      </c>
      <c r="B285" t="str">
        <f>IF($O285&lt;&gt;"",$O285,IF($A285&lt;&gt;"",'Approved-In-Depth'!$B285+7,""))</f>
        <v/>
      </c>
      <c r="C285" t="str">
        <f>IF($A285&lt;&gt;"",'Approved-In-Depth'!C285,"")</f>
        <v/>
      </c>
      <c r="D285" t="str">
        <f>IF($A285&lt;&gt;"",'Approved-In-Depth'!D285,"")</f>
        <v/>
      </c>
      <c r="E285" t="str">
        <f>IF($A285&lt;&gt;"",'Approved-In-Depth'!E285,"")</f>
        <v/>
      </c>
      <c r="F285" t="str">
        <f>IF($A285&lt;&gt;"",'Approved-In-Depth'!F285,"")</f>
        <v/>
      </c>
      <c r="G285" t="str">
        <f>IF($A285&lt;&gt;"",'Approved-In-Depth'!G285,"")</f>
        <v/>
      </c>
      <c r="H285" s="4" t="str">
        <f>IF($A285&lt;&gt;"",'Approved-In-Depth'!H285,"")</f>
        <v/>
      </c>
      <c r="I285" t="str">
        <f>IF($A285&lt;&gt;"",'Approved-In-Depth'!I285,"")</f>
        <v/>
      </c>
      <c r="J285" t="str">
        <f>IF($A285&lt;&gt;"",'Approved-In-Depth'!J285,"")</f>
        <v/>
      </c>
      <c r="K285" t="str">
        <f>IF($A285&lt;&gt;"",'Approved-In-Depth'!K285,"")</f>
        <v/>
      </c>
      <c r="L285" s="4" t="str">
        <f>IF($A285&lt;&gt;"",'Approved-In-Depth'!L285,"")</f>
        <v/>
      </c>
      <c r="M285" t="str">
        <f>IF($A285&lt;&gt;"",'Approved-In-Depth'!M285,"")</f>
        <v/>
      </c>
    </row>
    <row r="286" spans="1:13" x14ac:dyDescent="0.35">
      <c r="A286" s="4" t="str">
        <f>IF('Approved-In-Depth'!$A286&lt;&gt;"",'Approved-In-Depth'!A286,"")</f>
        <v/>
      </c>
      <c r="B286" t="str">
        <f>IF($O286&lt;&gt;"",$O286,IF($A286&lt;&gt;"",'Approved-In-Depth'!$B286+7,""))</f>
        <v/>
      </c>
      <c r="C286" t="str">
        <f>IF($A286&lt;&gt;"",'Approved-In-Depth'!C286,"")</f>
        <v/>
      </c>
      <c r="D286" t="str">
        <f>IF($A286&lt;&gt;"",'Approved-In-Depth'!D286,"")</f>
        <v/>
      </c>
      <c r="E286" t="str">
        <f>IF($A286&lt;&gt;"",'Approved-In-Depth'!E286,"")</f>
        <v/>
      </c>
      <c r="F286" t="str">
        <f>IF($A286&lt;&gt;"",'Approved-In-Depth'!F286,"")</f>
        <v/>
      </c>
      <c r="G286" t="str">
        <f>IF($A286&lt;&gt;"",'Approved-In-Depth'!G286,"")</f>
        <v/>
      </c>
      <c r="H286" s="4" t="str">
        <f>IF($A286&lt;&gt;"",'Approved-In-Depth'!H286,"")</f>
        <v/>
      </c>
      <c r="I286" t="str">
        <f>IF($A286&lt;&gt;"",'Approved-In-Depth'!I286,"")</f>
        <v/>
      </c>
      <c r="J286" t="str">
        <f>IF($A286&lt;&gt;"",'Approved-In-Depth'!J286,"")</f>
        <v/>
      </c>
      <c r="K286" t="str">
        <f>IF($A286&lt;&gt;"",'Approved-In-Depth'!K286,"")</f>
        <v/>
      </c>
      <c r="L286" s="4" t="str">
        <f>IF($A286&lt;&gt;"",'Approved-In-Depth'!L286,"")</f>
        <v/>
      </c>
      <c r="M286" t="str">
        <f>IF($A286&lt;&gt;"",'Approved-In-Depth'!M286,"")</f>
        <v/>
      </c>
    </row>
    <row r="287" spans="1:13" x14ac:dyDescent="0.35">
      <c r="A287" s="4" t="str">
        <f>IF('Approved-In-Depth'!$A287&lt;&gt;"",'Approved-In-Depth'!A287,"")</f>
        <v/>
      </c>
      <c r="B287" t="str">
        <f>IF($O287&lt;&gt;"",$O287,IF($A287&lt;&gt;"",'Approved-In-Depth'!$B287+7,""))</f>
        <v/>
      </c>
      <c r="C287" t="str">
        <f>IF($A287&lt;&gt;"",'Approved-In-Depth'!C287,"")</f>
        <v/>
      </c>
      <c r="D287" t="str">
        <f>IF($A287&lt;&gt;"",'Approved-In-Depth'!D287,"")</f>
        <v/>
      </c>
      <c r="E287" t="str">
        <f>IF($A287&lt;&gt;"",'Approved-In-Depth'!E287,"")</f>
        <v/>
      </c>
      <c r="F287" t="str">
        <f>IF($A287&lt;&gt;"",'Approved-In-Depth'!F287,"")</f>
        <v/>
      </c>
      <c r="G287" t="str">
        <f>IF($A287&lt;&gt;"",'Approved-In-Depth'!G287,"")</f>
        <v/>
      </c>
      <c r="H287" s="4" t="str">
        <f>IF($A287&lt;&gt;"",'Approved-In-Depth'!H287,"")</f>
        <v/>
      </c>
      <c r="I287" t="str">
        <f>IF($A287&lt;&gt;"",'Approved-In-Depth'!I287,"")</f>
        <v/>
      </c>
      <c r="J287" t="str">
        <f>IF($A287&lt;&gt;"",'Approved-In-Depth'!J287,"")</f>
        <v/>
      </c>
      <c r="K287" t="str">
        <f>IF($A287&lt;&gt;"",'Approved-In-Depth'!K287,"")</f>
        <v/>
      </c>
      <c r="L287" s="4" t="str">
        <f>IF($A287&lt;&gt;"",'Approved-In-Depth'!L287,"")</f>
        <v/>
      </c>
      <c r="M287" t="str">
        <f>IF($A287&lt;&gt;"",'Approved-In-Depth'!M287,"")</f>
        <v/>
      </c>
    </row>
    <row r="288" spans="1:13" x14ac:dyDescent="0.35">
      <c r="A288" s="4" t="str">
        <f>IF('Approved-In-Depth'!$A288&lt;&gt;"",'Approved-In-Depth'!A288,"")</f>
        <v/>
      </c>
      <c r="B288" t="str">
        <f>IF($O288&lt;&gt;"",$O288,IF($A288&lt;&gt;"",'Approved-In-Depth'!$B288+7,""))</f>
        <v/>
      </c>
      <c r="C288" t="str">
        <f>IF($A288&lt;&gt;"",'Approved-In-Depth'!C288,"")</f>
        <v/>
      </c>
      <c r="D288" t="str">
        <f>IF($A288&lt;&gt;"",'Approved-In-Depth'!D288,"")</f>
        <v/>
      </c>
      <c r="E288" t="str">
        <f>IF($A288&lt;&gt;"",'Approved-In-Depth'!E288,"")</f>
        <v/>
      </c>
      <c r="F288" t="str">
        <f>IF($A288&lt;&gt;"",'Approved-In-Depth'!F288,"")</f>
        <v/>
      </c>
      <c r="G288" t="str">
        <f>IF($A288&lt;&gt;"",'Approved-In-Depth'!G288,"")</f>
        <v/>
      </c>
      <c r="H288" s="4" t="str">
        <f>IF($A288&lt;&gt;"",'Approved-In-Depth'!H288,"")</f>
        <v/>
      </c>
      <c r="I288" t="str">
        <f>IF($A288&lt;&gt;"",'Approved-In-Depth'!I288,"")</f>
        <v/>
      </c>
      <c r="J288" t="str">
        <f>IF($A288&lt;&gt;"",'Approved-In-Depth'!J288,"")</f>
        <v/>
      </c>
      <c r="K288" t="str">
        <f>IF($A288&lt;&gt;"",'Approved-In-Depth'!K288,"")</f>
        <v/>
      </c>
      <c r="L288" s="4" t="str">
        <f>IF($A288&lt;&gt;"",'Approved-In-Depth'!L288,"")</f>
        <v/>
      </c>
      <c r="M288" t="str">
        <f>IF($A288&lt;&gt;"",'Approved-In-Depth'!M288,"")</f>
        <v/>
      </c>
    </row>
    <row r="289" spans="1:13" x14ac:dyDescent="0.35">
      <c r="A289" s="4" t="str">
        <f>IF('Approved-In-Depth'!$A289&lt;&gt;"",'Approved-In-Depth'!A289,"")</f>
        <v/>
      </c>
      <c r="B289" t="str">
        <f>IF($O289&lt;&gt;"",$O289,IF($A289&lt;&gt;"",'Approved-In-Depth'!$B289+7,""))</f>
        <v/>
      </c>
      <c r="C289" t="str">
        <f>IF($A289&lt;&gt;"",'Approved-In-Depth'!C289,"")</f>
        <v/>
      </c>
      <c r="D289" t="str">
        <f>IF($A289&lt;&gt;"",'Approved-In-Depth'!D289,"")</f>
        <v/>
      </c>
      <c r="E289" t="str">
        <f>IF($A289&lt;&gt;"",'Approved-In-Depth'!E289,"")</f>
        <v/>
      </c>
      <c r="F289" t="str">
        <f>IF($A289&lt;&gt;"",'Approved-In-Depth'!F289,"")</f>
        <v/>
      </c>
      <c r="G289" t="str">
        <f>IF($A289&lt;&gt;"",'Approved-In-Depth'!G289,"")</f>
        <v/>
      </c>
      <c r="H289" s="4" t="str">
        <f>IF($A289&lt;&gt;"",'Approved-In-Depth'!H289,"")</f>
        <v/>
      </c>
      <c r="I289" t="str">
        <f>IF($A289&lt;&gt;"",'Approved-In-Depth'!I289,"")</f>
        <v/>
      </c>
      <c r="J289" t="str">
        <f>IF($A289&lt;&gt;"",'Approved-In-Depth'!J289,"")</f>
        <v/>
      </c>
      <c r="K289" t="str">
        <f>IF($A289&lt;&gt;"",'Approved-In-Depth'!K289,"")</f>
        <v/>
      </c>
      <c r="L289" s="4" t="str">
        <f>IF($A289&lt;&gt;"",'Approved-In-Depth'!L289,"")</f>
        <v/>
      </c>
      <c r="M289" t="str">
        <f>IF($A289&lt;&gt;"",'Approved-In-Depth'!M289,"")</f>
        <v/>
      </c>
    </row>
    <row r="290" spans="1:13" x14ac:dyDescent="0.35">
      <c r="A290" s="4" t="str">
        <f>IF('Approved-In-Depth'!$A290&lt;&gt;"",'Approved-In-Depth'!A290,"")</f>
        <v/>
      </c>
      <c r="B290" t="str">
        <f>IF($O290&lt;&gt;"",$O290,IF($A290&lt;&gt;"",'Approved-In-Depth'!$B290+7,""))</f>
        <v/>
      </c>
      <c r="C290" t="str">
        <f>IF($A290&lt;&gt;"",'Approved-In-Depth'!C290,"")</f>
        <v/>
      </c>
      <c r="D290" t="str">
        <f>IF($A290&lt;&gt;"",'Approved-In-Depth'!D290,"")</f>
        <v/>
      </c>
      <c r="E290" t="str">
        <f>IF($A290&lt;&gt;"",'Approved-In-Depth'!E290,"")</f>
        <v/>
      </c>
      <c r="F290" t="str">
        <f>IF($A290&lt;&gt;"",'Approved-In-Depth'!F290,"")</f>
        <v/>
      </c>
      <c r="G290" t="str">
        <f>IF($A290&lt;&gt;"",'Approved-In-Depth'!G290,"")</f>
        <v/>
      </c>
      <c r="H290" s="4" t="str">
        <f>IF($A290&lt;&gt;"",'Approved-In-Depth'!H290,"")</f>
        <v/>
      </c>
      <c r="I290" t="str">
        <f>IF($A290&lt;&gt;"",'Approved-In-Depth'!I290,"")</f>
        <v/>
      </c>
      <c r="J290" t="str">
        <f>IF($A290&lt;&gt;"",'Approved-In-Depth'!J290,"")</f>
        <v/>
      </c>
      <c r="K290" t="str">
        <f>IF($A290&lt;&gt;"",'Approved-In-Depth'!K290,"")</f>
        <v/>
      </c>
      <c r="L290" s="4" t="str">
        <f>IF($A290&lt;&gt;"",'Approved-In-Depth'!L290,"")</f>
        <v/>
      </c>
      <c r="M290" t="str">
        <f>IF($A290&lt;&gt;"",'Approved-In-Depth'!M290,"")</f>
        <v/>
      </c>
    </row>
    <row r="291" spans="1:13" x14ac:dyDescent="0.35">
      <c r="A291" s="4" t="str">
        <f>IF('Approved-In-Depth'!$A291&lt;&gt;"",'Approved-In-Depth'!A291,"")</f>
        <v/>
      </c>
      <c r="B291" t="str">
        <f>IF($O291&lt;&gt;"",$O291,IF($A291&lt;&gt;"",'Approved-In-Depth'!$B291+7,""))</f>
        <v/>
      </c>
      <c r="C291" t="str">
        <f>IF($A291&lt;&gt;"",'Approved-In-Depth'!C291,"")</f>
        <v/>
      </c>
      <c r="D291" t="str">
        <f>IF($A291&lt;&gt;"",'Approved-In-Depth'!D291,"")</f>
        <v/>
      </c>
      <c r="E291" t="str">
        <f>IF($A291&lt;&gt;"",'Approved-In-Depth'!E291,"")</f>
        <v/>
      </c>
      <c r="F291" t="str">
        <f>IF($A291&lt;&gt;"",'Approved-In-Depth'!F291,"")</f>
        <v/>
      </c>
      <c r="G291" t="str">
        <f>IF($A291&lt;&gt;"",'Approved-In-Depth'!G291,"")</f>
        <v/>
      </c>
      <c r="H291" s="4" t="str">
        <f>IF($A291&lt;&gt;"",'Approved-In-Depth'!H291,"")</f>
        <v/>
      </c>
      <c r="I291" t="str">
        <f>IF($A291&lt;&gt;"",'Approved-In-Depth'!I291,"")</f>
        <v/>
      </c>
      <c r="J291" t="str">
        <f>IF($A291&lt;&gt;"",'Approved-In-Depth'!J291,"")</f>
        <v/>
      </c>
      <c r="K291" t="str">
        <f>IF($A291&lt;&gt;"",'Approved-In-Depth'!K291,"")</f>
        <v/>
      </c>
      <c r="L291" s="4" t="str">
        <f>IF($A291&lt;&gt;"",'Approved-In-Depth'!L291,"")</f>
        <v/>
      </c>
      <c r="M291" t="str">
        <f>IF($A291&lt;&gt;"",'Approved-In-Depth'!M291,"")</f>
        <v/>
      </c>
    </row>
    <row r="292" spans="1:13" x14ac:dyDescent="0.35">
      <c r="A292" s="4" t="str">
        <f>IF('Approved-In-Depth'!$A292&lt;&gt;"",'Approved-In-Depth'!A292,"")</f>
        <v/>
      </c>
      <c r="B292" t="str">
        <f>IF($O292&lt;&gt;"",$O292,IF($A292&lt;&gt;"",'Approved-In-Depth'!$B292+7,""))</f>
        <v/>
      </c>
      <c r="C292" t="str">
        <f>IF($A292&lt;&gt;"",'Approved-In-Depth'!C292,"")</f>
        <v/>
      </c>
      <c r="D292" t="str">
        <f>IF($A292&lt;&gt;"",'Approved-In-Depth'!D292,"")</f>
        <v/>
      </c>
      <c r="E292" t="str">
        <f>IF($A292&lt;&gt;"",'Approved-In-Depth'!E292,"")</f>
        <v/>
      </c>
      <c r="F292" t="str">
        <f>IF($A292&lt;&gt;"",'Approved-In-Depth'!F292,"")</f>
        <v/>
      </c>
      <c r="G292" t="str">
        <f>IF($A292&lt;&gt;"",'Approved-In-Depth'!G292,"")</f>
        <v/>
      </c>
      <c r="H292" s="4" t="str">
        <f>IF($A292&lt;&gt;"",'Approved-In-Depth'!H292,"")</f>
        <v/>
      </c>
      <c r="I292" t="str">
        <f>IF($A292&lt;&gt;"",'Approved-In-Depth'!I292,"")</f>
        <v/>
      </c>
      <c r="J292" t="str">
        <f>IF($A292&lt;&gt;"",'Approved-In-Depth'!J292,"")</f>
        <v/>
      </c>
      <c r="K292" t="str">
        <f>IF($A292&lt;&gt;"",'Approved-In-Depth'!K292,"")</f>
        <v/>
      </c>
      <c r="L292" s="4" t="str">
        <f>IF($A292&lt;&gt;"",'Approved-In-Depth'!L292,"")</f>
        <v/>
      </c>
      <c r="M292" t="str">
        <f>IF($A292&lt;&gt;"",'Approved-In-Depth'!M292,"")</f>
        <v/>
      </c>
    </row>
    <row r="293" spans="1:13" x14ac:dyDescent="0.35">
      <c r="A293" s="4" t="str">
        <f>IF('Approved-In-Depth'!$A293&lt;&gt;"",'Approved-In-Depth'!A293,"")</f>
        <v/>
      </c>
      <c r="B293" t="str">
        <f>IF($O293&lt;&gt;"",$O293,IF($A293&lt;&gt;"",'Approved-In-Depth'!$B293+7,""))</f>
        <v/>
      </c>
      <c r="C293" t="str">
        <f>IF($A293&lt;&gt;"",'Approved-In-Depth'!C293,"")</f>
        <v/>
      </c>
      <c r="D293" t="str">
        <f>IF($A293&lt;&gt;"",'Approved-In-Depth'!D293,"")</f>
        <v/>
      </c>
      <c r="E293" t="str">
        <f>IF($A293&lt;&gt;"",'Approved-In-Depth'!E293,"")</f>
        <v/>
      </c>
      <c r="F293" t="str">
        <f>IF($A293&lt;&gt;"",'Approved-In-Depth'!F293,"")</f>
        <v/>
      </c>
      <c r="G293" t="str">
        <f>IF($A293&lt;&gt;"",'Approved-In-Depth'!G293,"")</f>
        <v/>
      </c>
      <c r="H293" s="4" t="str">
        <f>IF($A293&lt;&gt;"",'Approved-In-Depth'!H293,"")</f>
        <v/>
      </c>
      <c r="I293" t="str">
        <f>IF($A293&lt;&gt;"",'Approved-In-Depth'!I293,"")</f>
        <v/>
      </c>
      <c r="J293" t="str">
        <f>IF($A293&lt;&gt;"",'Approved-In-Depth'!J293,"")</f>
        <v/>
      </c>
      <c r="K293" t="str">
        <f>IF($A293&lt;&gt;"",'Approved-In-Depth'!K293,"")</f>
        <v/>
      </c>
      <c r="L293" s="4" t="str">
        <f>IF($A293&lt;&gt;"",'Approved-In-Depth'!L293,"")</f>
        <v/>
      </c>
      <c r="M293" t="str">
        <f>IF($A293&lt;&gt;"",'Approved-In-Depth'!M293,"")</f>
        <v/>
      </c>
    </row>
    <row r="294" spans="1:13" x14ac:dyDescent="0.35">
      <c r="A294" s="4" t="str">
        <f>IF('Approved-In-Depth'!$A294&lt;&gt;"",'Approved-In-Depth'!A294,"")</f>
        <v/>
      </c>
      <c r="B294" t="str">
        <f>IF($O294&lt;&gt;"",$O294,IF($A294&lt;&gt;"",'Approved-In-Depth'!$B294+7,""))</f>
        <v/>
      </c>
      <c r="C294" t="str">
        <f>IF($A294&lt;&gt;"",'Approved-In-Depth'!C294,"")</f>
        <v/>
      </c>
      <c r="D294" t="str">
        <f>IF($A294&lt;&gt;"",'Approved-In-Depth'!D294,"")</f>
        <v/>
      </c>
      <c r="E294" t="str">
        <f>IF($A294&lt;&gt;"",'Approved-In-Depth'!E294,"")</f>
        <v/>
      </c>
      <c r="F294" t="str">
        <f>IF($A294&lt;&gt;"",'Approved-In-Depth'!F294,"")</f>
        <v/>
      </c>
      <c r="G294" t="str">
        <f>IF($A294&lt;&gt;"",'Approved-In-Depth'!G294,"")</f>
        <v/>
      </c>
      <c r="H294" s="4" t="str">
        <f>IF($A294&lt;&gt;"",'Approved-In-Depth'!H294,"")</f>
        <v/>
      </c>
      <c r="I294" t="str">
        <f>IF($A294&lt;&gt;"",'Approved-In-Depth'!I294,"")</f>
        <v/>
      </c>
      <c r="J294" t="str">
        <f>IF($A294&lt;&gt;"",'Approved-In-Depth'!J294,"")</f>
        <v/>
      </c>
      <c r="K294" t="str">
        <f>IF($A294&lt;&gt;"",'Approved-In-Depth'!K294,"")</f>
        <v/>
      </c>
      <c r="L294" s="4" t="str">
        <f>IF($A294&lt;&gt;"",'Approved-In-Depth'!L294,"")</f>
        <v/>
      </c>
      <c r="M294" t="str">
        <f>IF($A294&lt;&gt;"",'Approved-In-Depth'!M294,"")</f>
        <v/>
      </c>
    </row>
    <row r="295" spans="1:13" x14ac:dyDescent="0.35">
      <c r="A295" s="4" t="str">
        <f>IF('Approved-In-Depth'!$A295&lt;&gt;"",'Approved-In-Depth'!A295,"")</f>
        <v/>
      </c>
      <c r="B295" t="str">
        <f>IF($O295&lt;&gt;"",$O295,IF($A295&lt;&gt;"",'Approved-In-Depth'!$B295+7,""))</f>
        <v/>
      </c>
      <c r="C295" t="str">
        <f>IF($A295&lt;&gt;"",'Approved-In-Depth'!C295,"")</f>
        <v/>
      </c>
      <c r="D295" t="str">
        <f>IF($A295&lt;&gt;"",'Approved-In-Depth'!D295,"")</f>
        <v/>
      </c>
      <c r="E295" t="str">
        <f>IF($A295&lt;&gt;"",'Approved-In-Depth'!E295,"")</f>
        <v/>
      </c>
      <c r="F295" t="str">
        <f>IF($A295&lt;&gt;"",'Approved-In-Depth'!F295,"")</f>
        <v/>
      </c>
      <c r="G295" t="str">
        <f>IF($A295&lt;&gt;"",'Approved-In-Depth'!G295,"")</f>
        <v/>
      </c>
      <c r="H295" s="4" t="str">
        <f>IF($A295&lt;&gt;"",'Approved-In-Depth'!H295,"")</f>
        <v/>
      </c>
      <c r="I295" t="str">
        <f>IF($A295&lt;&gt;"",'Approved-In-Depth'!I295,"")</f>
        <v/>
      </c>
      <c r="J295" t="str">
        <f>IF($A295&lt;&gt;"",'Approved-In-Depth'!J295,"")</f>
        <v/>
      </c>
      <c r="K295" t="str">
        <f>IF($A295&lt;&gt;"",'Approved-In-Depth'!K295,"")</f>
        <v/>
      </c>
      <c r="L295" s="4" t="str">
        <f>IF($A295&lt;&gt;"",'Approved-In-Depth'!L295,"")</f>
        <v/>
      </c>
      <c r="M295" t="str">
        <f>IF($A295&lt;&gt;"",'Approved-In-Depth'!M295,"")</f>
        <v/>
      </c>
    </row>
    <row r="296" spans="1:13" x14ac:dyDescent="0.35">
      <c r="A296" s="4" t="str">
        <f>IF('Approved-In-Depth'!$A296&lt;&gt;"",'Approved-In-Depth'!A296,"")</f>
        <v/>
      </c>
      <c r="B296" t="str">
        <f>IF($O296&lt;&gt;"",$O296,IF($A296&lt;&gt;"",'Approved-In-Depth'!$B296+7,""))</f>
        <v/>
      </c>
      <c r="C296" t="str">
        <f>IF($A296&lt;&gt;"",'Approved-In-Depth'!C296,"")</f>
        <v/>
      </c>
      <c r="D296" t="str">
        <f>IF($A296&lt;&gt;"",'Approved-In-Depth'!D296,"")</f>
        <v/>
      </c>
      <c r="E296" t="str">
        <f>IF($A296&lt;&gt;"",'Approved-In-Depth'!E296,"")</f>
        <v/>
      </c>
      <c r="F296" t="str">
        <f>IF($A296&lt;&gt;"",'Approved-In-Depth'!F296,"")</f>
        <v/>
      </c>
      <c r="G296" t="str">
        <f>IF($A296&lt;&gt;"",'Approved-In-Depth'!G296,"")</f>
        <v/>
      </c>
      <c r="H296" s="4" t="str">
        <f>IF($A296&lt;&gt;"",'Approved-In-Depth'!H296,"")</f>
        <v/>
      </c>
      <c r="I296" t="str">
        <f>IF($A296&lt;&gt;"",'Approved-In-Depth'!I296,"")</f>
        <v/>
      </c>
      <c r="J296" t="str">
        <f>IF($A296&lt;&gt;"",'Approved-In-Depth'!J296,"")</f>
        <v/>
      </c>
      <c r="K296" t="str">
        <f>IF($A296&lt;&gt;"",'Approved-In-Depth'!K296,"")</f>
        <v/>
      </c>
      <c r="L296" s="4" t="str">
        <f>IF($A296&lt;&gt;"",'Approved-In-Depth'!L296,"")</f>
        <v/>
      </c>
      <c r="M296" t="str">
        <f>IF($A296&lt;&gt;"",'Approved-In-Depth'!M296,"")</f>
        <v/>
      </c>
    </row>
    <row r="297" spans="1:13" x14ac:dyDescent="0.35">
      <c r="A297" s="4" t="str">
        <f>IF('Approved-In-Depth'!$A297&lt;&gt;"",'Approved-In-Depth'!A297,"")</f>
        <v/>
      </c>
      <c r="B297" t="str">
        <f>IF($O297&lt;&gt;"",$O297,IF($A297&lt;&gt;"",'Approved-In-Depth'!$B297+7,""))</f>
        <v/>
      </c>
      <c r="C297" t="str">
        <f>IF($A297&lt;&gt;"",'Approved-In-Depth'!C297,"")</f>
        <v/>
      </c>
      <c r="D297" t="str">
        <f>IF($A297&lt;&gt;"",'Approved-In-Depth'!D297,"")</f>
        <v/>
      </c>
      <c r="E297" t="str">
        <f>IF($A297&lt;&gt;"",'Approved-In-Depth'!E297,"")</f>
        <v/>
      </c>
      <c r="F297" t="str">
        <f>IF($A297&lt;&gt;"",'Approved-In-Depth'!F297,"")</f>
        <v/>
      </c>
      <c r="G297" t="str">
        <f>IF($A297&lt;&gt;"",'Approved-In-Depth'!G297,"")</f>
        <v/>
      </c>
      <c r="H297" s="4" t="str">
        <f>IF($A297&lt;&gt;"",'Approved-In-Depth'!H297,"")</f>
        <v/>
      </c>
      <c r="I297" t="str">
        <f>IF($A297&lt;&gt;"",'Approved-In-Depth'!I297,"")</f>
        <v/>
      </c>
      <c r="J297" t="str">
        <f>IF($A297&lt;&gt;"",'Approved-In-Depth'!J297,"")</f>
        <v/>
      </c>
      <c r="K297" t="str">
        <f>IF($A297&lt;&gt;"",'Approved-In-Depth'!K297,"")</f>
        <v/>
      </c>
      <c r="L297" s="4" t="str">
        <f>IF($A297&lt;&gt;"",'Approved-In-Depth'!L297,"")</f>
        <v/>
      </c>
      <c r="M297" t="str">
        <f>IF($A297&lt;&gt;"",'Approved-In-Depth'!M297,"")</f>
        <v/>
      </c>
    </row>
    <row r="298" spans="1:13" x14ac:dyDescent="0.35">
      <c r="A298" s="4" t="str">
        <f>IF('Approved-In-Depth'!$A298&lt;&gt;"",'Approved-In-Depth'!A298,"")</f>
        <v/>
      </c>
      <c r="B298" t="str">
        <f>IF($O298&lt;&gt;"",$O298,IF($A298&lt;&gt;"",'Approved-In-Depth'!$B298+7,""))</f>
        <v/>
      </c>
      <c r="C298" t="str">
        <f>IF($A298&lt;&gt;"",'Approved-In-Depth'!C298,"")</f>
        <v/>
      </c>
      <c r="D298" t="str">
        <f>IF($A298&lt;&gt;"",'Approved-In-Depth'!D298,"")</f>
        <v/>
      </c>
      <c r="E298" t="str">
        <f>IF($A298&lt;&gt;"",'Approved-In-Depth'!E298,"")</f>
        <v/>
      </c>
      <c r="F298" t="str">
        <f>IF($A298&lt;&gt;"",'Approved-In-Depth'!F298,"")</f>
        <v/>
      </c>
      <c r="G298" t="str">
        <f>IF($A298&lt;&gt;"",'Approved-In-Depth'!G298,"")</f>
        <v/>
      </c>
      <c r="H298" s="4" t="str">
        <f>IF($A298&lt;&gt;"",'Approved-In-Depth'!H298,"")</f>
        <v/>
      </c>
      <c r="I298" t="str">
        <f>IF($A298&lt;&gt;"",'Approved-In-Depth'!I298,"")</f>
        <v/>
      </c>
      <c r="J298" t="str">
        <f>IF($A298&lt;&gt;"",'Approved-In-Depth'!J298,"")</f>
        <v/>
      </c>
      <c r="K298" t="str">
        <f>IF($A298&lt;&gt;"",'Approved-In-Depth'!K298,"")</f>
        <v/>
      </c>
      <c r="L298" s="4" t="str">
        <f>IF($A298&lt;&gt;"",'Approved-In-Depth'!L298,"")</f>
        <v/>
      </c>
      <c r="M298" t="str">
        <f>IF($A298&lt;&gt;"",'Approved-In-Depth'!M298,"")</f>
        <v/>
      </c>
    </row>
    <row r="299" spans="1:13" x14ac:dyDescent="0.35">
      <c r="A299" s="4" t="str">
        <f>IF('Approved-In-Depth'!$A299&lt;&gt;"",'Approved-In-Depth'!A299,"")</f>
        <v/>
      </c>
      <c r="B299" t="str">
        <f>IF($O299&lt;&gt;"",$O299,IF($A299&lt;&gt;"",'Approved-In-Depth'!$B299+7,""))</f>
        <v/>
      </c>
      <c r="C299" t="str">
        <f>IF($A299&lt;&gt;"",'Approved-In-Depth'!C299,"")</f>
        <v/>
      </c>
      <c r="D299" t="str">
        <f>IF($A299&lt;&gt;"",'Approved-In-Depth'!D299,"")</f>
        <v/>
      </c>
      <c r="E299" t="str">
        <f>IF($A299&lt;&gt;"",'Approved-In-Depth'!E299,"")</f>
        <v/>
      </c>
      <c r="F299" t="str">
        <f>IF($A299&lt;&gt;"",'Approved-In-Depth'!F299,"")</f>
        <v/>
      </c>
      <c r="G299" t="str">
        <f>IF($A299&lt;&gt;"",'Approved-In-Depth'!G299,"")</f>
        <v/>
      </c>
      <c r="H299" s="4" t="str">
        <f>IF($A299&lt;&gt;"",'Approved-In-Depth'!H299,"")</f>
        <v/>
      </c>
      <c r="I299" t="str">
        <f>IF($A299&lt;&gt;"",'Approved-In-Depth'!I299,"")</f>
        <v/>
      </c>
      <c r="J299" t="str">
        <f>IF($A299&lt;&gt;"",'Approved-In-Depth'!J299,"")</f>
        <v/>
      </c>
      <c r="K299" t="str">
        <f>IF($A299&lt;&gt;"",'Approved-In-Depth'!K299,"")</f>
        <v/>
      </c>
      <c r="L299" s="4" t="str">
        <f>IF($A299&lt;&gt;"",'Approved-In-Depth'!L299,"")</f>
        <v/>
      </c>
      <c r="M299" t="str">
        <f>IF($A299&lt;&gt;"",'Approved-In-Depth'!M299,"")</f>
        <v/>
      </c>
    </row>
    <row r="300" spans="1:13" x14ac:dyDescent="0.35">
      <c r="A300" s="4" t="str">
        <f>IF('Approved-In-Depth'!$A300&lt;&gt;"",'Approved-In-Depth'!A300,"")</f>
        <v/>
      </c>
      <c r="B300" t="str">
        <f>IF($O300&lt;&gt;"",$O300,IF($A300&lt;&gt;"",'Approved-In-Depth'!$B300+7,""))</f>
        <v/>
      </c>
      <c r="C300" t="str">
        <f>IF($A300&lt;&gt;"",'Approved-In-Depth'!C300,"")</f>
        <v/>
      </c>
      <c r="D300" t="str">
        <f>IF($A300&lt;&gt;"",'Approved-In-Depth'!D300,"")</f>
        <v/>
      </c>
      <c r="E300" t="str">
        <f>IF($A300&lt;&gt;"",'Approved-In-Depth'!E300,"")</f>
        <v/>
      </c>
      <c r="F300" t="str">
        <f>IF($A300&lt;&gt;"",'Approved-In-Depth'!F300,"")</f>
        <v/>
      </c>
      <c r="G300" t="str">
        <f>IF($A300&lt;&gt;"",'Approved-In-Depth'!G300,"")</f>
        <v/>
      </c>
      <c r="H300" s="4" t="str">
        <f>IF($A300&lt;&gt;"",'Approved-In-Depth'!H300,"")</f>
        <v/>
      </c>
      <c r="I300" t="str">
        <f>IF($A300&lt;&gt;"",'Approved-In-Depth'!I300,"")</f>
        <v/>
      </c>
      <c r="J300" t="str">
        <f>IF($A300&lt;&gt;"",'Approved-In-Depth'!J300,"")</f>
        <v/>
      </c>
      <c r="K300" t="str">
        <f>IF($A300&lt;&gt;"",'Approved-In-Depth'!K300,"")</f>
        <v/>
      </c>
      <c r="L300" s="4" t="str">
        <f>IF($A300&lt;&gt;"",'Approved-In-Depth'!L300,"")</f>
        <v/>
      </c>
      <c r="M300" t="str">
        <f>IF($A300&lt;&gt;"",'Approved-In-Depth'!M300,"")</f>
        <v/>
      </c>
    </row>
    <row r="301" spans="1:13" x14ac:dyDescent="0.35">
      <c r="A301" s="4" t="str">
        <f>IF('Approved-In-Depth'!$A301&lt;&gt;"",'Approved-In-Depth'!A301,"")</f>
        <v/>
      </c>
      <c r="B301" t="str">
        <f>IF($O301&lt;&gt;"",$O301,IF($A301&lt;&gt;"",'Approved-In-Depth'!$B301+7,""))</f>
        <v/>
      </c>
      <c r="C301" t="str">
        <f>IF($A301&lt;&gt;"",'Approved-In-Depth'!C301,"")</f>
        <v/>
      </c>
      <c r="D301" t="str">
        <f>IF($A301&lt;&gt;"",'Approved-In-Depth'!D301,"")</f>
        <v/>
      </c>
      <c r="E301" t="str">
        <f>IF($A301&lt;&gt;"",'Approved-In-Depth'!E301,"")</f>
        <v/>
      </c>
      <c r="F301" t="str">
        <f>IF($A301&lt;&gt;"",'Approved-In-Depth'!F301,"")</f>
        <v/>
      </c>
      <c r="G301" t="str">
        <f>IF($A301&lt;&gt;"",'Approved-In-Depth'!G301,"")</f>
        <v/>
      </c>
      <c r="H301" s="4" t="str">
        <f>IF($A301&lt;&gt;"",'Approved-In-Depth'!H301,"")</f>
        <v/>
      </c>
      <c r="I301" t="str">
        <f>IF($A301&lt;&gt;"",'Approved-In-Depth'!I301,"")</f>
        <v/>
      </c>
      <c r="J301" t="str">
        <f>IF($A301&lt;&gt;"",'Approved-In-Depth'!J301,"")</f>
        <v/>
      </c>
      <c r="K301" t="str">
        <f>IF($A301&lt;&gt;"",'Approved-In-Depth'!K301,"")</f>
        <v/>
      </c>
      <c r="L301" s="4" t="str">
        <f>IF($A301&lt;&gt;"",'Approved-In-Depth'!L301,"")</f>
        <v/>
      </c>
      <c r="M301" t="str">
        <f>IF($A301&lt;&gt;"",'Approved-In-Depth'!M301,"")</f>
        <v/>
      </c>
    </row>
    <row r="302" spans="1:13" x14ac:dyDescent="0.35">
      <c r="A302" s="4" t="str">
        <f>IF('Approved-In-Depth'!$A302&lt;&gt;"",'Approved-In-Depth'!A302,"")</f>
        <v/>
      </c>
      <c r="B302" t="str">
        <f>IF($O302&lt;&gt;"",$O302,IF($A302&lt;&gt;"",'Approved-In-Depth'!$B302+7,""))</f>
        <v/>
      </c>
      <c r="C302" t="str">
        <f>IF($A302&lt;&gt;"",'Approved-In-Depth'!C302,"")</f>
        <v/>
      </c>
      <c r="D302" t="str">
        <f>IF($A302&lt;&gt;"",'Approved-In-Depth'!D302,"")</f>
        <v/>
      </c>
      <c r="E302" t="str">
        <f>IF($A302&lt;&gt;"",'Approved-In-Depth'!E302,"")</f>
        <v/>
      </c>
      <c r="F302" t="str">
        <f>IF($A302&lt;&gt;"",'Approved-In-Depth'!F302,"")</f>
        <v/>
      </c>
      <c r="G302" t="str">
        <f>IF($A302&lt;&gt;"",'Approved-In-Depth'!G302,"")</f>
        <v/>
      </c>
      <c r="H302" s="4" t="str">
        <f>IF($A302&lt;&gt;"",'Approved-In-Depth'!H302,"")</f>
        <v/>
      </c>
      <c r="I302" t="str">
        <f>IF($A302&lt;&gt;"",'Approved-In-Depth'!I302,"")</f>
        <v/>
      </c>
      <c r="J302" t="str">
        <f>IF($A302&lt;&gt;"",'Approved-In-Depth'!J302,"")</f>
        <v/>
      </c>
      <c r="K302" t="str">
        <f>IF($A302&lt;&gt;"",'Approved-In-Depth'!K302,"")</f>
        <v/>
      </c>
      <c r="L302" s="4" t="str">
        <f>IF($A302&lt;&gt;"",'Approved-In-Depth'!L302,"")</f>
        <v/>
      </c>
      <c r="M302" t="str">
        <f>IF($A302&lt;&gt;"",'Approved-In-Depth'!M302,"")</f>
        <v/>
      </c>
    </row>
    <row r="303" spans="1:13" x14ac:dyDescent="0.35">
      <c r="A303" s="4" t="str">
        <f>IF('Approved-In-Depth'!$A303&lt;&gt;"",'Approved-In-Depth'!A303,"")</f>
        <v/>
      </c>
      <c r="B303" t="str">
        <f>IF($O303&lt;&gt;"",$O303,IF($A303&lt;&gt;"",'Approved-In-Depth'!$B303+7,""))</f>
        <v/>
      </c>
      <c r="C303" t="str">
        <f>IF($A303&lt;&gt;"",'Approved-In-Depth'!C303,"")</f>
        <v/>
      </c>
      <c r="D303" t="str">
        <f>IF($A303&lt;&gt;"",'Approved-In-Depth'!D303,"")</f>
        <v/>
      </c>
      <c r="E303" t="str">
        <f>IF($A303&lt;&gt;"",'Approved-In-Depth'!E303,"")</f>
        <v/>
      </c>
      <c r="F303" t="str">
        <f>IF($A303&lt;&gt;"",'Approved-In-Depth'!F303,"")</f>
        <v/>
      </c>
      <c r="G303" t="str">
        <f>IF($A303&lt;&gt;"",'Approved-In-Depth'!G303,"")</f>
        <v/>
      </c>
      <c r="H303" s="4" t="str">
        <f>IF($A303&lt;&gt;"",'Approved-In-Depth'!H303,"")</f>
        <v/>
      </c>
      <c r="I303" t="str">
        <f>IF($A303&lt;&gt;"",'Approved-In-Depth'!I303,"")</f>
        <v/>
      </c>
      <c r="J303" t="str">
        <f>IF($A303&lt;&gt;"",'Approved-In-Depth'!J303,"")</f>
        <v/>
      </c>
      <c r="K303" t="str">
        <f>IF($A303&lt;&gt;"",'Approved-In-Depth'!K303,"")</f>
        <v/>
      </c>
      <c r="L303" s="4" t="str">
        <f>IF($A303&lt;&gt;"",'Approved-In-Depth'!L303,"")</f>
        <v/>
      </c>
      <c r="M303" t="str">
        <f>IF($A303&lt;&gt;"",'Approved-In-Depth'!M303,"")</f>
        <v/>
      </c>
    </row>
    <row r="304" spans="1:13" x14ac:dyDescent="0.35">
      <c r="A304" s="4" t="str">
        <f>IF('Approved-In-Depth'!$A304&lt;&gt;"",'Approved-In-Depth'!A304,"")</f>
        <v/>
      </c>
      <c r="B304" t="str">
        <f>IF($O304&lt;&gt;"",$O304,IF($A304&lt;&gt;"",'Approved-In-Depth'!$B304+7,""))</f>
        <v/>
      </c>
      <c r="C304" t="str">
        <f>IF($A304&lt;&gt;"",'Approved-In-Depth'!C304,"")</f>
        <v/>
      </c>
      <c r="D304" t="str">
        <f>IF($A304&lt;&gt;"",'Approved-In-Depth'!D304,"")</f>
        <v/>
      </c>
      <c r="E304" t="str">
        <f>IF($A304&lt;&gt;"",'Approved-In-Depth'!E304,"")</f>
        <v/>
      </c>
      <c r="F304" t="str">
        <f>IF($A304&lt;&gt;"",'Approved-In-Depth'!F304,"")</f>
        <v/>
      </c>
      <c r="G304" t="str">
        <f>IF($A304&lt;&gt;"",'Approved-In-Depth'!G304,"")</f>
        <v/>
      </c>
      <c r="H304" s="4" t="str">
        <f>IF($A304&lt;&gt;"",'Approved-In-Depth'!H304,"")</f>
        <v/>
      </c>
      <c r="I304" t="str">
        <f>IF($A304&lt;&gt;"",'Approved-In-Depth'!I304,"")</f>
        <v/>
      </c>
      <c r="J304" t="str">
        <f>IF($A304&lt;&gt;"",'Approved-In-Depth'!J304,"")</f>
        <v/>
      </c>
      <c r="K304" t="str">
        <f>IF($A304&lt;&gt;"",'Approved-In-Depth'!K304,"")</f>
        <v/>
      </c>
      <c r="L304" s="4" t="str">
        <f>IF($A304&lt;&gt;"",'Approved-In-Depth'!L304,"")</f>
        <v/>
      </c>
      <c r="M304" t="str">
        <f>IF($A304&lt;&gt;"",'Approved-In-Depth'!M304,"")</f>
        <v/>
      </c>
    </row>
    <row r="305" spans="1:13" x14ac:dyDescent="0.35">
      <c r="A305" s="4" t="str">
        <f>IF('Approved-In-Depth'!$A305&lt;&gt;"",'Approved-In-Depth'!A305,"")</f>
        <v/>
      </c>
      <c r="B305" t="str">
        <f>IF($O305&lt;&gt;"",$O305,IF($A305&lt;&gt;"",'Approved-In-Depth'!$B305+7,""))</f>
        <v/>
      </c>
      <c r="C305" t="str">
        <f>IF($A305&lt;&gt;"",'Approved-In-Depth'!C305,"")</f>
        <v/>
      </c>
      <c r="D305" t="str">
        <f>IF($A305&lt;&gt;"",'Approved-In-Depth'!D305,"")</f>
        <v/>
      </c>
      <c r="E305" t="str">
        <f>IF($A305&lt;&gt;"",'Approved-In-Depth'!E305,"")</f>
        <v/>
      </c>
      <c r="F305" t="str">
        <f>IF($A305&lt;&gt;"",'Approved-In-Depth'!F305,"")</f>
        <v/>
      </c>
      <c r="G305" t="str">
        <f>IF($A305&lt;&gt;"",'Approved-In-Depth'!G305,"")</f>
        <v/>
      </c>
      <c r="H305" s="4" t="str">
        <f>IF($A305&lt;&gt;"",'Approved-In-Depth'!H305,"")</f>
        <v/>
      </c>
      <c r="I305" t="str">
        <f>IF($A305&lt;&gt;"",'Approved-In-Depth'!I305,"")</f>
        <v/>
      </c>
      <c r="J305" t="str">
        <f>IF($A305&lt;&gt;"",'Approved-In-Depth'!J305,"")</f>
        <v/>
      </c>
      <c r="K305" t="str">
        <f>IF($A305&lt;&gt;"",'Approved-In-Depth'!K305,"")</f>
        <v/>
      </c>
      <c r="L305" s="4" t="str">
        <f>IF($A305&lt;&gt;"",'Approved-In-Depth'!L305,"")</f>
        <v/>
      </c>
      <c r="M305" t="str">
        <f>IF($A305&lt;&gt;"",'Approved-In-Depth'!M305,"")</f>
        <v/>
      </c>
    </row>
    <row r="306" spans="1:13" x14ac:dyDescent="0.35">
      <c r="A306" s="4" t="str">
        <f>IF('Approved-In-Depth'!$A306&lt;&gt;"",'Approved-In-Depth'!A306,"")</f>
        <v/>
      </c>
      <c r="B306" t="str">
        <f>IF($O306&lt;&gt;"",$O306,IF($A306&lt;&gt;"",'Approved-In-Depth'!$B306+7,""))</f>
        <v/>
      </c>
      <c r="C306" t="str">
        <f>IF($A306&lt;&gt;"",'Approved-In-Depth'!C306,"")</f>
        <v/>
      </c>
      <c r="D306" t="str">
        <f>IF($A306&lt;&gt;"",'Approved-In-Depth'!D306,"")</f>
        <v/>
      </c>
      <c r="E306" t="str">
        <f>IF($A306&lt;&gt;"",'Approved-In-Depth'!E306,"")</f>
        <v/>
      </c>
      <c r="F306" t="str">
        <f>IF($A306&lt;&gt;"",'Approved-In-Depth'!F306,"")</f>
        <v/>
      </c>
      <c r="G306" t="str">
        <f>IF($A306&lt;&gt;"",'Approved-In-Depth'!G306,"")</f>
        <v/>
      </c>
      <c r="H306" s="4" t="str">
        <f>IF($A306&lt;&gt;"",'Approved-In-Depth'!H306,"")</f>
        <v/>
      </c>
      <c r="I306" t="str">
        <f>IF($A306&lt;&gt;"",'Approved-In-Depth'!I306,"")</f>
        <v/>
      </c>
      <c r="J306" t="str">
        <f>IF($A306&lt;&gt;"",'Approved-In-Depth'!J306,"")</f>
        <v/>
      </c>
      <c r="K306" t="str">
        <f>IF($A306&lt;&gt;"",'Approved-In-Depth'!K306,"")</f>
        <v/>
      </c>
      <c r="L306" s="4" t="str">
        <f>IF($A306&lt;&gt;"",'Approved-In-Depth'!L306,"")</f>
        <v/>
      </c>
      <c r="M306" t="str">
        <f>IF($A306&lt;&gt;"",'Approved-In-Depth'!M306,"")</f>
        <v/>
      </c>
    </row>
    <row r="307" spans="1:13" x14ac:dyDescent="0.35">
      <c r="A307" s="4" t="str">
        <f>IF('Approved-In-Depth'!$A307&lt;&gt;"",'Approved-In-Depth'!A307,"")</f>
        <v/>
      </c>
      <c r="B307" t="str">
        <f>IF($O307&lt;&gt;"",$O307,IF($A307&lt;&gt;"",'Approved-In-Depth'!$B307+7,""))</f>
        <v/>
      </c>
      <c r="C307" t="str">
        <f>IF($A307&lt;&gt;"",'Approved-In-Depth'!C307,"")</f>
        <v/>
      </c>
      <c r="D307" t="str">
        <f>IF($A307&lt;&gt;"",'Approved-In-Depth'!D307,"")</f>
        <v/>
      </c>
      <c r="E307" t="str">
        <f>IF($A307&lt;&gt;"",'Approved-In-Depth'!E307,"")</f>
        <v/>
      </c>
      <c r="F307" t="str">
        <f>IF($A307&lt;&gt;"",'Approved-In-Depth'!F307,"")</f>
        <v/>
      </c>
      <c r="G307" t="str">
        <f>IF($A307&lt;&gt;"",'Approved-In-Depth'!G307,"")</f>
        <v/>
      </c>
      <c r="H307" s="4" t="str">
        <f>IF($A307&lt;&gt;"",'Approved-In-Depth'!H307,"")</f>
        <v/>
      </c>
      <c r="I307" t="str">
        <f>IF($A307&lt;&gt;"",'Approved-In-Depth'!I307,"")</f>
        <v/>
      </c>
      <c r="J307" t="str">
        <f>IF($A307&lt;&gt;"",'Approved-In-Depth'!J307,"")</f>
        <v/>
      </c>
      <c r="K307" t="str">
        <f>IF($A307&lt;&gt;"",'Approved-In-Depth'!K307,"")</f>
        <v/>
      </c>
      <c r="L307" s="4" t="str">
        <f>IF($A307&lt;&gt;"",'Approved-In-Depth'!L307,"")</f>
        <v/>
      </c>
      <c r="M307" t="str">
        <f>IF($A307&lt;&gt;"",'Approved-In-Depth'!M307,"")</f>
        <v/>
      </c>
    </row>
    <row r="308" spans="1:13" x14ac:dyDescent="0.35">
      <c r="A308" s="4" t="str">
        <f>IF('Approved-In-Depth'!$A308&lt;&gt;"",'Approved-In-Depth'!A308,"")</f>
        <v/>
      </c>
      <c r="B308" t="str">
        <f>IF($O308&lt;&gt;"",$O308,IF($A308&lt;&gt;"",'Approved-In-Depth'!$B308+7,""))</f>
        <v/>
      </c>
      <c r="C308" t="str">
        <f>IF($A308&lt;&gt;"",'Approved-In-Depth'!C308,"")</f>
        <v/>
      </c>
      <c r="D308" t="str">
        <f>IF($A308&lt;&gt;"",'Approved-In-Depth'!D308,"")</f>
        <v/>
      </c>
      <c r="E308" t="str">
        <f>IF($A308&lt;&gt;"",'Approved-In-Depth'!E308,"")</f>
        <v/>
      </c>
      <c r="F308" t="str">
        <f>IF($A308&lt;&gt;"",'Approved-In-Depth'!F308,"")</f>
        <v/>
      </c>
      <c r="G308" t="str">
        <f>IF($A308&lt;&gt;"",'Approved-In-Depth'!G308,"")</f>
        <v/>
      </c>
      <c r="H308" s="4" t="str">
        <f>IF($A308&lt;&gt;"",'Approved-In-Depth'!H308,"")</f>
        <v/>
      </c>
      <c r="I308" t="str">
        <f>IF($A308&lt;&gt;"",'Approved-In-Depth'!I308,"")</f>
        <v/>
      </c>
      <c r="J308" t="str">
        <f>IF($A308&lt;&gt;"",'Approved-In-Depth'!J308,"")</f>
        <v/>
      </c>
      <c r="K308" t="str">
        <f>IF($A308&lt;&gt;"",'Approved-In-Depth'!K308,"")</f>
        <v/>
      </c>
      <c r="L308" s="4" t="str">
        <f>IF($A308&lt;&gt;"",'Approved-In-Depth'!L308,"")</f>
        <v/>
      </c>
      <c r="M308" t="str">
        <f>IF($A308&lt;&gt;"",'Approved-In-Depth'!M308,"")</f>
        <v/>
      </c>
    </row>
    <row r="309" spans="1:13" x14ac:dyDescent="0.35">
      <c r="A309" s="4" t="str">
        <f>IF('Approved-In-Depth'!$A309&lt;&gt;"",'Approved-In-Depth'!A309,"")</f>
        <v/>
      </c>
      <c r="B309" t="str">
        <f>IF($O309&lt;&gt;"",$O309,IF($A309&lt;&gt;"",'Approved-In-Depth'!$B309+7,""))</f>
        <v/>
      </c>
      <c r="C309" t="str">
        <f>IF($A309&lt;&gt;"",'Approved-In-Depth'!C309,"")</f>
        <v/>
      </c>
      <c r="D309" t="str">
        <f>IF($A309&lt;&gt;"",'Approved-In-Depth'!D309,"")</f>
        <v/>
      </c>
      <c r="E309" t="str">
        <f>IF($A309&lt;&gt;"",'Approved-In-Depth'!E309,"")</f>
        <v/>
      </c>
      <c r="F309" t="str">
        <f>IF($A309&lt;&gt;"",'Approved-In-Depth'!F309,"")</f>
        <v/>
      </c>
      <c r="G309" t="str">
        <f>IF($A309&lt;&gt;"",'Approved-In-Depth'!G309,"")</f>
        <v/>
      </c>
      <c r="H309" s="4" t="str">
        <f>IF($A309&lt;&gt;"",'Approved-In-Depth'!H309,"")</f>
        <v/>
      </c>
      <c r="I309" t="str">
        <f>IF($A309&lt;&gt;"",'Approved-In-Depth'!I309,"")</f>
        <v/>
      </c>
      <c r="J309" t="str">
        <f>IF($A309&lt;&gt;"",'Approved-In-Depth'!J309,"")</f>
        <v/>
      </c>
      <c r="K309" t="str">
        <f>IF($A309&lt;&gt;"",'Approved-In-Depth'!K309,"")</f>
        <v/>
      </c>
      <c r="L309" s="4" t="str">
        <f>IF($A309&lt;&gt;"",'Approved-In-Depth'!L309,"")</f>
        <v/>
      </c>
      <c r="M309" t="str">
        <f>IF($A309&lt;&gt;"",'Approved-In-Depth'!M309,"")</f>
        <v/>
      </c>
    </row>
    <row r="310" spans="1:13" x14ac:dyDescent="0.35">
      <c r="A310" s="4" t="str">
        <f>IF('Approved-In-Depth'!$A310&lt;&gt;"",'Approved-In-Depth'!A310,"")</f>
        <v/>
      </c>
      <c r="B310" t="str">
        <f>IF($O310&lt;&gt;"",$O310,IF($A310&lt;&gt;"",'Approved-In-Depth'!$B310+7,""))</f>
        <v/>
      </c>
      <c r="C310" t="str">
        <f>IF($A310&lt;&gt;"",'Approved-In-Depth'!C310,"")</f>
        <v/>
      </c>
      <c r="D310" t="str">
        <f>IF($A310&lt;&gt;"",'Approved-In-Depth'!D310,"")</f>
        <v/>
      </c>
      <c r="E310" t="str">
        <f>IF($A310&lt;&gt;"",'Approved-In-Depth'!E310,"")</f>
        <v/>
      </c>
      <c r="F310" t="str">
        <f>IF($A310&lt;&gt;"",'Approved-In-Depth'!F310,"")</f>
        <v/>
      </c>
      <c r="G310" t="str">
        <f>IF($A310&lt;&gt;"",'Approved-In-Depth'!G310,"")</f>
        <v/>
      </c>
      <c r="H310" s="4" t="str">
        <f>IF($A310&lt;&gt;"",'Approved-In-Depth'!H310,"")</f>
        <v/>
      </c>
      <c r="I310" t="str">
        <f>IF($A310&lt;&gt;"",'Approved-In-Depth'!I310,"")</f>
        <v/>
      </c>
      <c r="J310" t="str">
        <f>IF($A310&lt;&gt;"",'Approved-In-Depth'!J310,"")</f>
        <v/>
      </c>
      <c r="K310" t="str">
        <f>IF($A310&lt;&gt;"",'Approved-In-Depth'!K310,"")</f>
        <v/>
      </c>
      <c r="L310" s="4" t="str">
        <f>IF($A310&lt;&gt;"",'Approved-In-Depth'!L310,"")</f>
        <v/>
      </c>
      <c r="M310" t="str">
        <f>IF($A310&lt;&gt;"",'Approved-In-Depth'!M310,"")</f>
        <v/>
      </c>
    </row>
    <row r="311" spans="1:13" x14ac:dyDescent="0.35">
      <c r="A311" s="4" t="str">
        <f>IF('Approved-In-Depth'!$A311&lt;&gt;"",'Approved-In-Depth'!A311,"")</f>
        <v/>
      </c>
      <c r="B311" t="str">
        <f>IF($O311&lt;&gt;"",$O311,IF($A311&lt;&gt;"",'Approved-In-Depth'!$B311+7,""))</f>
        <v/>
      </c>
      <c r="C311" t="str">
        <f>IF($A311&lt;&gt;"",'Approved-In-Depth'!C311,"")</f>
        <v/>
      </c>
      <c r="D311" t="str">
        <f>IF($A311&lt;&gt;"",'Approved-In-Depth'!D311,"")</f>
        <v/>
      </c>
      <c r="E311" t="str">
        <f>IF($A311&lt;&gt;"",'Approved-In-Depth'!E311,"")</f>
        <v/>
      </c>
      <c r="F311" t="str">
        <f>IF($A311&lt;&gt;"",'Approved-In-Depth'!F311,"")</f>
        <v/>
      </c>
      <c r="G311" t="str">
        <f>IF($A311&lt;&gt;"",'Approved-In-Depth'!G311,"")</f>
        <v/>
      </c>
      <c r="H311" s="4" t="str">
        <f>IF($A311&lt;&gt;"",'Approved-In-Depth'!H311,"")</f>
        <v/>
      </c>
      <c r="I311" t="str">
        <f>IF($A311&lt;&gt;"",'Approved-In-Depth'!I311,"")</f>
        <v/>
      </c>
      <c r="J311" t="str">
        <f>IF($A311&lt;&gt;"",'Approved-In-Depth'!J311,"")</f>
        <v/>
      </c>
      <c r="K311" t="str">
        <f>IF($A311&lt;&gt;"",'Approved-In-Depth'!K311,"")</f>
        <v/>
      </c>
      <c r="L311" s="4" t="str">
        <f>IF($A311&lt;&gt;"",'Approved-In-Depth'!L311,"")</f>
        <v/>
      </c>
      <c r="M311" t="str">
        <f>IF($A311&lt;&gt;"",'Approved-In-Depth'!M311,"")</f>
        <v/>
      </c>
    </row>
    <row r="312" spans="1:13" x14ac:dyDescent="0.35">
      <c r="A312" s="4" t="str">
        <f>IF('Approved-In-Depth'!$A312&lt;&gt;"",'Approved-In-Depth'!A312,"")</f>
        <v/>
      </c>
      <c r="B312" t="str">
        <f>IF($O312&lt;&gt;"",$O312,IF($A312&lt;&gt;"",'Approved-In-Depth'!$B312+7,""))</f>
        <v/>
      </c>
      <c r="C312" t="str">
        <f>IF($A312&lt;&gt;"",'Approved-In-Depth'!C312,"")</f>
        <v/>
      </c>
      <c r="D312" t="str">
        <f>IF($A312&lt;&gt;"",'Approved-In-Depth'!D312,"")</f>
        <v/>
      </c>
      <c r="E312" t="str">
        <f>IF($A312&lt;&gt;"",'Approved-In-Depth'!E312,"")</f>
        <v/>
      </c>
      <c r="F312" t="str">
        <f>IF($A312&lt;&gt;"",'Approved-In-Depth'!F312,"")</f>
        <v/>
      </c>
      <c r="G312" t="str">
        <f>IF($A312&lt;&gt;"",'Approved-In-Depth'!G312,"")</f>
        <v/>
      </c>
      <c r="H312" s="4" t="str">
        <f>IF($A312&lt;&gt;"",'Approved-In-Depth'!H312,"")</f>
        <v/>
      </c>
      <c r="I312" t="str">
        <f>IF($A312&lt;&gt;"",'Approved-In-Depth'!I312,"")</f>
        <v/>
      </c>
      <c r="J312" t="str">
        <f>IF($A312&lt;&gt;"",'Approved-In-Depth'!J312,"")</f>
        <v/>
      </c>
      <c r="K312" t="str">
        <f>IF($A312&lt;&gt;"",'Approved-In-Depth'!K312,"")</f>
        <v/>
      </c>
      <c r="L312" s="4" t="str">
        <f>IF($A312&lt;&gt;"",'Approved-In-Depth'!L312,"")</f>
        <v/>
      </c>
      <c r="M312" t="str">
        <f>IF($A312&lt;&gt;"",'Approved-In-Depth'!M312,"")</f>
        <v/>
      </c>
    </row>
    <row r="313" spans="1:13" x14ac:dyDescent="0.35">
      <c r="A313" s="4" t="str">
        <f>IF('Approved-In-Depth'!$A313&lt;&gt;"",'Approved-In-Depth'!A313,"")</f>
        <v/>
      </c>
      <c r="B313" t="str">
        <f>IF($O313&lt;&gt;"",$O313,IF($A313&lt;&gt;"",'Approved-In-Depth'!$B313+7,""))</f>
        <v/>
      </c>
      <c r="C313" t="str">
        <f>IF($A313&lt;&gt;"",'Approved-In-Depth'!C313,"")</f>
        <v/>
      </c>
      <c r="D313" t="str">
        <f>IF($A313&lt;&gt;"",'Approved-In-Depth'!D313,"")</f>
        <v/>
      </c>
      <c r="E313" t="str">
        <f>IF($A313&lt;&gt;"",'Approved-In-Depth'!E313,"")</f>
        <v/>
      </c>
      <c r="F313" t="str">
        <f>IF($A313&lt;&gt;"",'Approved-In-Depth'!F313,"")</f>
        <v/>
      </c>
      <c r="G313" t="str">
        <f>IF($A313&lt;&gt;"",'Approved-In-Depth'!G313,"")</f>
        <v/>
      </c>
      <c r="H313" s="4" t="str">
        <f>IF($A313&lt;&gt;"",'Approved-In-Depth'!H313,"")</f>
        <v/>
      </c>
      <c r="I313" t="str">
        <f>IF($A313&lt;&gt;"",'Approved-In-Depth'!I313,"")</f>
        <v/>
      </c>
      <c r="J313" t="str">
        <f>IF($A313&lt;&gt;"",'Approved-In-Depth'!J313,"")</f>
        <v/>
      </c>
      <c r="K313" t="str">
        <f>IF($A313&lt;&gt;"",'Approved-In-Depth'!K313,"")</f>
        <v/>
      </c>
      <c r="L313" s="4" t="str">
        <f>IF($A313&lt;&gt;"",'Approved-In-Depth'!L313,"")</f>
        <v/>
      </c>
      <c r="M313" t="str">
        <f>IF($A313&lt;&gt;"",'Approved-In-Depth'!M313,"")</f>
        <v/>
      </c>
    </row>
    <row r="314" spans="1:13" x14ac:dyDescent="0.35">
      <c r="A314" s="4" t="str">
        <f>IF('Approved-In-Depth'!$A314&lt;&gt;"",'Approved-In-Depth'!A314,"")</f>
        <v/>
      </c>
      <c r="B314" t="str">
        <f>IF($O314&lt;&gt;"",$O314,IF($A314&lt;&gt;"",'Approved-In-Depth'!$B314+7,""))</f>
        <v/>
      </c>
      <c r="C314" t="str">
        <f>IF($A314&lt;&gt;"",'Approved-In-Depth'!C314,"")</f>
        <v/>
      </c>
      <c r="D314" t="str">
        <f>IF($A314&lt;&gt;"",'Approved-In-Depth'!D314,"")</f>
        <v/>
      </c>
      <c r="E314" t="str">
        <f>IF($A314&lt;&gt;"",'Approved-In-Depth'!E314,"")</f>
        <v/>
      </c>
      <c r="F314" t="str">
        <f>IF($A314&lt;&gt;"",'Approved-In-Depth'!F314,"")</f>
        <v/>
      </c>
      <c r="G314" t="str">
        <f>IF($A314&lt;&gt;"",'Approved-In-Depth'!G314,"")</f>
        <v/>
      </c>
      <c r="H314" s="4" t="str">
        <f>IF($A314&lt;&gt;"",'Approved-In-Depth'!H314,"")</f>
        <v/>
      </c>
      <c r="I314" t="str">
        <f>IF($A314&lt;&gt;"",'Approved-In-Depth'!I314,"")</f>
        <v/>
      </c>
      <c r="J314" t="str">
        <f>IF($A314&lt;&gt;"",'Approved-In-Depth'!J314,"")</f>
        <v/>
      </c>
      <c r="K314" t="str">
        <f>IF($A314&lt;&gt;"",'Approved-In-Depth'!K314,"")</f>
        <v/>
      </c>
      <c r="L314" s="4" t="str">
        <f>IF($A314&lt;&gt;"",'Approved-In-Depth'!L314,"")</f>
        <v/>
      </c>
      <c r="M314" t="str">
        <f>IF($A314&lt;&gt;"",'Approved-In-Depth'!M314,"")</f>
        <v/>
      </c>
    </row>
    <row r="315" spans="1:13" x14ac:dyDescent="0.35">
      <c r="A315" s="4" t="str">
        <f>IF('Approved-In-Depth'!$A315&lt;&gt;"",'Approved-In-Depth'!A315,"")</f>
        <v/>
      </c>
      <c r="B315" t="str">
        <f>IF($O315&lt;&gt;"",$O315,IF($A315&lt;&gt;"",'Approved-In-Depth'!$B315+7,""))</f>
        <v/>
      </c>
      <c r="C315" t="str">
        <f>IF($A315&lt;&gt;"",'Approved-In-Depth'!C315,"")</f>
        <v/>
      </c>
      <c r="D315" t="str">
        <f>IF($A315&lt;&gt;"",'Approved-In-Depth'!D315,"")</f>
        <v/>
      </c>
      <c r="E315" t="str">
        <f>IF($A315&lt;&gt;"",'Approved-In-Depth'!E315,"")</f>
        <v/>
      </c>
      <c r="F315" t="str">
        <f>IF($A315&lt;&gt;"",'Approved-In-Depth'!F315,"")</f>
        <v/>
      </c>
      <c r="G315" t="str">
        <f>IF($A315&lt;&gt;"",'Approved-In-Depth'!G315,"")</f>
        <v/>
      </c>
      <c r="H315" s="4" t="str">
        <f>IF($A315&lt;&gt;"",'Approved-In-Depth'!H315,"")</f>
        <v/>
      </c>
      <c r="I315" t="str">
        <f>IF($A315&lt;&gt;"",'Approved-In-Depth'!I315,"")</f>
        <v/>
      </c>
      <c r="J315" t="str">
        <f>IF($A315&lt;&gt;"",'Approved-In-Depth'!J315,"")</f>
        <v/>
      </c>
      <c r="K315" t="str">
        <f>IF($A315&lt;&gt;"",'Approved-In-Depth'!K315,"")</f>
        <v/>
      </c>
      <c r="L315" s="4" t="str">
        <f>IF($A315&lt;&gt;"",'Approved-In-Depth'!L315,"")</f>
        <v/>
      </c>
      <c r="M315" t="str">
        <f>IF($A315&lt;&gt;"",'Approved-In-Depth'!M315,"")</f>
        <v/>
      </c>
    </row>
    <row r="316" spans="1:13" x14ac:dyDescent="0.35">
      <c r="A316" s="4" t="str">
        <f>IF('Approved-In-Depth'!$A316&lt;&gt;"",'Approved-In-Depth'!A316,"")</f>
        <v/>
      </c>
      <c r="B316" t="str">
        <f>IF($O316&lt;&gt;"",$O316,IF($A316&lt;&gt;"",'Approved-In-Depth'!$B316+7,""))</f>
        <v/>
      </c>
      <c r="C316" t="str">
        <f>IF($A316&lt;&gt;"",'Approved-In-Depth'!C316,"")</f>
        <v/>
      </c>
      <c r="D316" t="str">
        <f>IF($A316&lt;&gt;"",'Approved-In-Depth'!D316,"")</f>
        <v/>
      </c>
      <c r="E316" t="str">
        <f>IF($A316&lt;&gt;"",'Approved-In-Depth'!E316,"")</f>
        <v/>
      </c>
      <c r="F316" t="str">
        <f>IF($A316&lt;&gt;"",'Approved-In-Depth'!F316,"")</f>
        <v/>
      </c>
      <c r="G316" t="str">
        <f>IF($A316&lt;&gt;"",'Approved-In-Depth'!G316,"")</f>
        <v/>
      </c>
      <c r="H316" s="4" t="str">
        <f>IF($A316&lt;&gt;"",'Approved-In-Depth'!H316,"")</f>
        <v/>
      </c>
      <c r="I316" t="str">
        <f>IF($A316&lt;&gt;"",'Approved-In-Depth'!I316,"")</f>
        <v/>
      </c>
      <c r="J316" t="str">
        <f>IF($A316&lt;&gt;"",'Approved-In-Depth'!J316,"")</f>
        <v/>
      </c>
      <c r="K316" t="str">
        <f>IF($A316&lt;&gt;"",'Approved-In-Depth'!K316,"")</f>
        <v/>
      </c>
      <c r="L316" s="4" t="str">
        <f>IF($A316&lt;&gt;"",'Approved-In-Depth'!L316,"")</f>
        <v/>
      </c>
      <c r="M316" t="str">
        <f>IF($A316&lt;&gt;"",'Approved-In-Depth'!M316,"")</f>
        <v/>
      </c>
    </row>
    <row r="317" spans="1:13" x14ac:dyDescent="0.35">
      <c r="A317" s="4" t="str">
        <f>IF('Approved-In-Depth'!$A317&lt;&gt;"",'Approved-In-Depth'!A317,"")</f>
        <v/>
      </c>
      <c r="B317" t="str">
        <f>IF($O317&lt;&gt;"",$O317,IF($A317&lt;&gt;"",'Approved-In-Depth'!$B317+7,""))</f>
        <v/>
      </c>
      <c r="C317" t="str">
        <f>IF($A317&lt;&gt;"",'Approved-In-Depth'!C317,"")</f>
        <v/>
      </c>
      <c r="D317" t="str">
        <f>IF($A317&lt;&gt;"",'Approved-In-Depth'!D317,"")</f>
        <v/>
      </c>
      <c r="E317" t="str">
        <f>IF($A317&lt;&gt;"",'Approved-In-Depth'!E317,"")</f>
        <v/>
      </c>
      <c r="F317" t="str">
        <f>IF($A317&lt;&gt;"",'Approved-In-Depth'!F317,"")</f>
        <v/>
      </c>
      <c r="G317" t="str">
        <f>IF($A317&lt;&gt;"",'Approved-In-Depth'!G317,"")</f>
        <v/>
      </c>
      <c r="H317" s="4" t="str">
        <f>IF($A317&lt;&gt;"",'Approved-In-Depth'!H317,"")</f>
        <v/>
      </c>
      <c r="I317" t="str">
        <f>IF($A317&lt;&gt;"",'Approved-In-Depth'!I317,"")</f>
        <v/>
      </c>
      <c r="J317" t="str">
        <f>IF($A317&lt;&gt;"",'Approved-In-Depth'!J317,"")</f>
        <v/>
      </c>
      <c r="K317" t="str">
        <f>IF($A317&lt;&gt;"",'Approved-In-Depth'!K317,"")</f>
        <v/>
      </c>
      <c r="L317" s="4" t="str">
        <f>IF($A317&lt;&gt;"",'Approved-In-Depth'!L317,"")</f>
        <v/>
      </c>
      <c r="M317" t="str">
        <f>IF($A317&lt;&gt;"",'Approved-In-Depth'!M317,"")</f>
        <v/>
      </c>
    </row>
    <row r="318" spans="1:13" x14ac:dyDescent="0.35">
      <c r="A318" s="4" t="str">
        <f>IF('Approved-In-Depth'!$A318&lt;&gt;"",'Approved-In-Depth'!A318,"")</f>
        <v/>
      </c>
      <c r="B318" t="str">
        <f>IF($O318&lt;&gt;"",$O318,IF($A318&lt;&gt;"",'Approved-In-Depth'!$B318+7,""))</f>
        <v/>
      </c>
      <c r="C318" t="str">
        <f>IF($A318&lt;&gt;"",'Approved-In-Depth'!C318,"")</f>
        <v/>
      </c>
      <c r="D318" t="str">
        <f>IF($A318&lt;&gt;"",'Approved-In-Depth'!D318,"")</f>
        <v/>
      </c>
      <c r="E318" t="str">
        <f>IF($A318&lt;&gt;"",'Approved-In-Depth'!E318,"")</f>
        <v/>
      </c>
      <c r="F318" t="str">
        <f>IF($A318&lt;&gt;"",'Approved-In-Depth'!F318,"")</f>
        <v/>
      </c>
      <c r="G318" t="str">
        <f>IF($A318&lt;&gt;"",'Approved-In-Depth'!G318,"")</f>
        <v/>
      </c>
      <c r="H318" s="4" t="str">
        <f>IF($A318&lt;&gt;"",'Approved-In-Depth'!H318,"")</f>
        <v/>
      </c>
      <c r="I318" t="str">
        <f>IF($A318&lt;&gt;"",'Approved-In-Depth'!I318,"")</f>
        <v/>
      </c>
      <c r="J318" t="str">
        <f>IF($A318&lt;&gt;"",'Approved-In-Depth'!J318,"")</f>
        <v/>
      </c>
      <c r="K318" t="str">
        <f>IF($A318&lt;&gt;"",'Approved-In-Depth'!K318,"")</f>
        <v/>
      </c>
      <c r="L318" s="4" t="str">
        <f>IF($A318&lt;&gt;"",'Approved-In-Depth'!L318,"")</f>
        <v/>
      </c>
      <c r="M318" t="str">
        <f>IF($A318&lt;&gt;"",'Approved-In-Depth'!M318,"")</f>
        <v/>
      </c>
    </row>
    <row r="319" spans="1:13" x14ac:dyDescent="0.35">
      <c r="A319" s="4" t="str">
        <f>IF('Approved-In-Depth'!$A319&lt;&gt;"",'Approved-In-Depth'!A319,"")</f>
        <v/>
      </c>
      <c r="B319" t="str">
        <f>IF($O319&lt;&gt;"",$O319,IF($A319&lt;&gt;"",'Approved-In-Depth'!$B319+7,""))</f>
        <v/>
      </c>
      <c r="C319" t="str">
        <f>IF($A319&lt;&gt;"",'Approved-In-Depth'!C319,"")</f>
        <v/>
      </c>
      <c r="D319" t="str">
        <f>IF($A319&lt;&gt;"",'Approved-In-Depth'!D319,"")</f>
        <v/>
      </c>
      <c r="E319" t="str">
        <f>IF($A319&lt;&gt;"",'Approved-In-Depth'!E319,"")</f>
        <v/>
      </c>
      <c r="F319" t="str">
        <f>IF($A319&lt;&gt;"",'Approved-In-Depth'!F319,"")</f>
        <v/>
      </c>
      <c r="G319" t="str">
        <f>IF($A319&lt;&gt;"",'Approved-In-Depth'!G319,"")</f>
        <v/>
      </c>
      <c r="H319" s="4" t="str">
        <f>IF($A319&lt;&gt;"",'Approved-In-Depth'!H319,"")</f>
        <v/>
      </c>
      <c r="I319" t="str">
        <f>IF($A319&lt;&gt;"",'Approved-In-Depth'!I319,"")</f>
        <v/>
      </c>
      <c r="J319" t="str">
        <f>IF($A319&lt;&gt;"",'Approved-In-Depth'!J319,"")</f>
        <v/>
      </c>
      <c r="K319" t="str">
        <f>IF($A319&lt;&gt;"",'Approved-In-Depth'!K319,"")</f>
        <v/>
      </c>
      <c r="L319" s="4" t="str">
        <f>IF($A319&lt;&gt;"",'Approved-In-Depth'!L319,"")</f>
        <v/>
      </c>
      <c r="M319" t="str">
        <f>IF($A319&lt;&gt;"",'Approved-In-Depth'!M319,"")</f>
        <v/>
      </c>
    </row>
    <row r="320" spans="1:13" x14ac:dyDescent="0.35">
      <c r="A320" s="4" t="str">
        <f>IF('Approved-In-Depth'!$A320&lt;&gt;"",'Approved-In-Depth'!A320,"")</f>
        <v/>
      </c>
      <c r="B320" t="str">
        <f>IF($O320&lt;&gt;"",$O320,IF($A320&lt;&gt;"",'Approved-In-Depth'!$B320+7,""))</f>
        <v/>
      </c>
      <c r="C320" t="str">
        <f>IF($A320&lt;&gt;"",'Approved-In-Depth'!C320,"")</f>
        <v/>
      </c>
      <c r="D320" t="str">
        <f>IF($A320&lt;&gt;"",'Approved-In-Depth'!D320,"")</f>
        <v/>
      </c>
      <c r="E320" t="str">
        <f>IF($A320&lt;&gt;"",'Approved-In-Depth'!E320,"")</f>
        <v/>
      </c>
      <c r="F320" t="str">
        <f>IF($A320&lt;&gt;"",'Approved-In-Depth'!F320,"")</f>
        <v/>
      </c>
      <c r="G320" t="str">
        <f>IF($A320&lt;&gt;"",'Approved-In-Depth'!G320,"")</f>
        <v/>
      </c>
      <c r="H320" s="4" t="str">
        <f>IF($A320&lt;&gt;"",'Approved-In-Depth'!H320,"")</f>
        <v/>
      </c>
      <c r="I320" t="str">
        <f>IF($A320&lt;&gt;"",'Approved-In-Depth'!I320,"")</f>
        <v/>
      </c>
      <c r="J320" t="str">
        <f>IF($A320&lt;&gt;"",'Approved-In-Depth'!J320,"")</f>
        <v/>
      </c>
      <c r="K320" t="str">
        <f>IF($A320&lt;&gt;"",'Approved-In-Depth'!K320,"")</f>
        <v/>
      </c>
      <c r="L320" s="4" t="str">
        <f>IF($A320&lt;&gt;"",'Approved-In-Depth'!L320,"")</f>
        <v/>
      </c>
      <c r="M320" t="str">
        <f>IF($A320&lt;&gt;"",'Approved-In-Depth'!M320,"")</f>
        <v/>
      </c>
    </row>
    <row r="321" spans="1:13" x14ac:dyDescent="0.35">
      <c r="A321" s="4" t="str">
        <f>IF('Approved-In-Depth'!$A321&lt;&gt;"",'Approved-In-Depth'!A321,"")</f>
        <v/>
      </c>
      <c r="B321" t="str">
        <f>IF($O321&lt;&gt;"",$O321,IF($A321&lt;&gt;"",'Approved-In-Depth'!$B321+7,""))</f>
        <v/>
      </c>
      <c r="C321" t="str">
        <f>IF($A321&lt;&gt;"",'Approved-In-Depth'!C321,"")</f>
        <v/>
      </c>
      <c r="D321" t="str">
        <f>IF($A321&lt;&gt;"",'Approved-In-Depth'!D321,"")</f>
        <v/>
      </c>
      <c r="E321" t="str">
        <f>IF($A321&lt;&gt;"",'Approved-In-Depth'!E321,"")</f>
        <v/>
      </c>
      <c r="F321" t="str">
        <f>IF($A321&lt;&gt;"",'Approved-In-Depth'!F321,"")</f>
        <v/>
      </c>
      <c r="G321" t="str">
        <f>IF($A321&lt;&gt;"",'Approved-In-Depth'!G321,"")</f>
        <v/>
      </c>
      <c r="H321" s="4" t="str">
        <f>IF($A321&lt;&gt;"",'Approved-In-Depth'!H321,"")</f>
        <v/>
      </c>
      <c r="I321" t="str">
        <f>IF($A321&lt;&gt;"",'Approved-In-Depth'!I321,"")</f>
        <v/>
      </c>
      <c r="J321" t="str">
        <f>IF($A321&lt;&gt;"",'Approved-In-Depth'!J321,"")</f>
        <v/>
      </c>
      <c r="K321" t="str">
        <f>IF($A321&lt;&gt;"",'Approved-In-Depth'!K321,"")</f>
        <v/>
      </c>
      <c r="L321" s="4" t="str">
        <f>IF($A321&lt;&gt;"",'Approved-In-Depth'!L321,"")</f>
        <v/>
      </c>
      <c r="M321" t="str">
        <f>IF($A321&lt;&gt;"",'Approved-In-Depth'!M321,"")</f>
        <v/>
      </c>
    </row>
    <row r="322" spans="1:13" x14ac:dyDescent="0.35">
      <c r="A322" s="4" t="str">
        <f>IF('Approved-In-Depth'!$A322&lt;&gt;"",'Approved-In-Depth'!A322,"")</f>
        <v/>
      </c>
      <c r="B322" t="str">
        <f>IF($O322&lt;&gt;"",$O322,IF($A322&lt;&gt;"",'Approved-In-Depth'!$B322+7,""))</f>
        <v/>
      </c>
      <c r="C322" t="str">
        <f>IF($A322&lt;&gt;"",'Approved-In-Depth'!C322,"")</f>
        <v/>
      </c>
      <c r="D322" t="str">
        <f>IF($A322&lt;&gt;"",'Approved-In-Depth'!D322,"")</f>
        <v/>
      </c>
      <c r="E322" t="str">
        <f>IF($A322&lt;&gt;"",'Approved-In-Depth'!E322,"")</f>
        <v/>
      </c>
      <c r="F322" t="str">
        <f>IF($A322&lt;&gt;"",'Approved-In-Depth'!F322,"")</f>
        <v/>
      </c>
      <c r="G322" t="str">
        <f>IF($A322&lt;&gt;"",'Approved-In-Depth'!G322,"")</f>
        <v/>
      </c>
      <c r="H322" s="4" t="str">
        <f>IF($A322&lt;&gt;"",'Approved-In-Depth'!H322,"")</f>
        <v/>
      </c>
      <c r="I322" t="str">
        <f>IF($A322&lt;&gt;"",'Approved-In-Depth'!I322,"")</f>
        <v/>
      </c>
      <c r="J322" t="str">
        <f>IF($A322&lt;&gt;"",'Approved-In-Depth'!J322,"")</f>
        <v/>
      </c>
      <c r="K322" t="str">
        <f>IF($A322&lt;&gt;"",'Approved-In-Depth'!K322,"")</f>
        <v/>
      </c>
      <c r="L322" s="4" t="str">
        <f>IF($A322&lt;&gt;"",'Approved-In-Depth'!L322,"")</f>
        <v/>
      </c>
      <c r="M322" t="str">
        <f>IF($A322&lt;&gt;"",'Approved-In-Depth'!M322,"")</f>
        <v/>
      </c>
    </row>
    <row r="323" spans="1:13" x14ac:dyDescent="0.35">
      <c r="A323" s="4" t="str">
        <f>IF('Approved-In-Depth'!$A323&lt;&gt;"",'Approved-In-Depth'!A323,"")</f>
        <v/>
      </c>
      <c r="B323" t="str">
        <f>IF($O323&lt;&gt;"",$O323,IF($A323&lt;&gt;"",'Approved-In-Depth'!$B323+7,""))</f>
        <v/>
      </c>
      <c r="C323" t="str">
        <f>IF($A323&lt;&gt;"",'Approved-In-Depth'!C323,"")</f>
        <v/>
      </c>
      <c r="D323" t="str">
        <f>IF($A323&lt;&gt;"",'Approved-In-Depth'!D323,"")</f>
        <v/>
      </c>
      <c r="E323" t="str">
        <f>IF($A323&lt;&gt;"",'Approved-In-Depth'!E323,"")</f>
        <v/>
      </c>
      <c r="F323" t="str">
        <f>IF($A323&lt;&gt;"",'Approved-In-Depth'!F323,"")</f>
        <v/>
      </c>
      <c r="G323" t="str">
        <f>IF($A323&lt;&gt;"",'Approved-In-Depth'!G323,"")</f>
        <v/>
      </c>
      <c r="H323" s="4" t="str">
        <f>IF($A323&lt;&gt;"",'Approved-In-Depth'!H323,"")</f>
        <v/>
      </c>
      <c r="I323" t="str">
        <f>IF($A323&lt;&gt;"",'Approved-In-Depth'!I323,"")</f>
        <v/>
      </c>
      <c r="J323" t="str">
        <f>IF($A323&lt;&gt;"",'Approved-In-Depth'!J323,"")</f>
        <v/>
      </c>
      <c r="K323" t="str">
        <f>IF($A323&lt;&gt;"",'Approved-In-Depth'!K323,"")</f>
        <v/>
      </c>
      <c r="L323" s="4" t="str">
        <f>IF($A323&lt;&gt;"",'Approved-In-Depth'!L323,"")</f>
        <v/>
      </c>
      <c r="M323" t="str">
        <f>IF($A323&lt;&gt;"",'Approved-In-Depth'!M323,"")</f>
        <v/>
      </c>
    </row>
    <row r="324" spans="1:13" x14ac:dyDescent="0.35">
      <c r="A324" s="4" t="str">
        <f>IF('Approved-In-Depth'!$A324&lt;&gt;"",'Approved-In-Depth'!A324,"")</f>
        <v/>
      </c>
      <c r="B324" t="str">
        <f>IF($O324&lt;&gt;"",$O324,IF($A324&lt;&gt;"",'Approved-In-Depth'!$B324+7,""))</f>
        <v/>
      </c>
      <c r="C324" t="str">
        <f>IF($A324&lt;&gt;"",'Approved-In-Depth'!C324,"")</f>
        <v/>
      </c>
      <c r="D324" t="str">
        <f>IF($A324&lt;&gt;"",'Approved-In-Depth'!D324,"")</f>
        <v/>
      </c>
      <c r="E324" t="str">
        <f>IF($A324&lt;&gt;"",'Approved-In-Depth'!E324,"")</f>
        <v/>
      </c>
      <c r="F324" t="str">
        <f>IF($A324&lt;&gt;"",'Approved-In-Depth'!F324,"")</f>
        <v/>
      </c>
      <c r="G324" t="str">
        <f>IF($A324&lt;&gt;"",'Approved-In-Depth'!G324,"")</f>
        <v/>
      </c>
      <c r="H324" s="4" t="str">
        <f>IF($A324&lt;&gt;"",'Approved-In-Depth'!H324,"")</f>
        <v/>
      </c>
      <c r="I324" t="str">
        <f>IF($A324&lt;&gt;"",'Approved-In-Depth'!I324,"")</f>
        <v/>
      </c>
      <c r="J324" t="str">
        <f>IF($A324&lt;&gt;"",'Approved-In-Depth'!J324,"")</f>
        <v/>
      </c>
      <c r="K324" t="str">
        <f>IF($A324&lt;&gt;"",'Approved-In-Depth'!K324,"")</f>
        <v/>
      </c>
      <c r="L324" s="4" t="str">
        <f>IF($A324&lt;&gt;"",'Approved-In-Depth'!L324,"")</f>
        <v/>
      </c>
      <c r="M324" t="str">
        <f>IF($A324&lt;&gt;"",'Approved-In-Depth'!M324,"")</f>
        <v/>
      </c>
    </row>
    <row r="325" spans="1:13" x14ac:dyDescent="0.35">
      <c r="A325" s="4" t="str">
        <f>IF('Approved-In-Depth'!$A325&lt;&gt;"",'Approved-In-Depth'!A325,"")</f>
        <v/>
      </c>
      <c r="B325" t="str">
        <f>IF($O325&lt;&gt;"",$O325,IF($A325&lt;&gt;"",'Approved-In-Depth'!$B325+7,""))</f>
        <v/>
      </c>
      <c r="C325" t="str">
        <f>IF($A325&lt;&gt;"",'Approved-In-Depth'!C325,"")</f>
        <v/>
      </c>
      <c r="D325" t="str">
        <f>IF($A325&lt;&gt;"",'Approved-In-Depth'!D325,"")</f>
        <v/>
      </c>
      <c r="E325" t="str">
        <f>IF($A325&lt;&gt;"",'Approved-In-Depth'!E325,"")</f>
        <v/>
      </c>
      <c r="F325" t="str">
        <f>IF($A325&lt;&gt;"",'Approved-In-Depth'!F325,"")</f>
        <v/>
      </c>
      <c r="G325" t="str">
        <f>IF($A325&lt;&gt;"",'Approved-In-Depth'!G325,"")</f>
        <v/>
      </c>
      <c r="H325" s="4" t="str">
        <f>IF($A325&lt;&gt;"",'Approved-In-Depth'!H325,"")</f>
        <v/>
      </c>
      <c r="I325" t="str">
        <f>IF($A325&lt;&gt;"",'Approved-In-Depth'!I325,"")</f>
        <v/>
      </c>
      <c r="J325" t="str">
        <f>IF($A325&lt;&gt;"",'Approved-In-Depth'!J325,"")</f>
        <v/>
      </c>
      <c r="K325" t="str">
        <f>IF($A325&lt;&gt;"",'Approved-In-Depth'!K325,"")</f>
        <v/>
      </c>
      <c r="L325" s="4" t="str">
        <f>IF($A325&lt;&gt;"",'Approved-In-Depth'!L325,"")</f>
        <v/>
      </c>
      <c r="M325" t="str">
        <f>IF($A325&lt;&gt;"",'Approved-In-Depth'!M325,"")</f>
        <v/>
      </c>
    </row>
    <row r="326" spans="1:13" x14ac:dyDescent="0.35">
      <c r="A326" s="4" t="str">
        <f>IF('Approved-In-Depth'!$A326&lt;&gt;"",'Approved-In-Depth'!A326,"")</f>
        <v/>
      </c>
      <c r="B326" t="str">
        <f>IF($O326&lt;&gt;"",$O326,IF($A326&lt;&gt;"",'Approved-In-Depth'!$B326+7,""))</f>
        <v/>
      </c>
      <c r="C326" t="str">
        <f>IF($A326&lt;&gt;"",'Approved-In-Depth'!C326,"")</f>
        <v/>
      </c>
      <c r="D326" t="str">
        <f>IF($A326&lt;&gt;"",'Approved-In-Depth'!D326,"")</f>
        <v/>
      </c>
      <c r="E326" t="str">
        <f>IF($A326&lt;&gt;"",'Approved-In-Depth'!E326,"")</f>
        <v/>
      </c>
      <c r="F326" t="str">
        <f>IF($A326&lt;&gt;"",'Approved-In-Depth'!F326,"")</f>
        <v/>
      </c>
      <c r="G326" t="str">
        <f>IF($A326&lt;&gt;"",'Approved-In-Depth'!G326,"")</f>
        <v/>
      </c>
      <c r="H326" s="4" t="str">
        <f>IF($A326&lt;&gt;"",'Approved-In-Depth'!H326,"")</f>
        <v/>
      </c>
      <c r="I326" t="str">
        <f>IF($A326&lt;&gt;"",'Approved-In-Depth'!I326,"")</f>
        <v/>
      </c>
      <c r="J326" t="str">
        <f>IF($A326&lt;&gt;"",'Approved-In-Depth'!J326,"")</f>
        <v/>
      </c>
      <c r="K326" t="str">
        <f>IF($A326&lt;&gt;"",'Approved-In-Depth'!K326,"")</f>
        <v/>
      </c>
      <c r="L326" s="4" t="str">
        <f>IF($A326&lt;&gt;"",'Approved-In-Depth'!L326,"")</f>
        <v/>
      </c>
      <c r="M326" t="str">
        <f>IF($A326&lt;&gt;"",'Approved-In-Depth'!M326,"")</f>
        <v/>
      </c>
    </row>
    <row r="327" spans="1:13" x14ac:dyDescent="0.35">
      <c r="A327" s="4" t="str">
        <f>IF('Approved-In-Depth'!$A327&lt;&gt;"",'Approved-In-Depth'!A327,"")</f>
        <v/>
      </c>
      <c r="B327" t="str">
        <f>IF($O327&lt;&gt;"",$O327,IF($A327&lt;&gt;"",'Approved-In-Depth'!$B327+7,""))</f>
        <v/>
      </c>
      <c r="C327" t="str">
        <f>IF($A327&lt;&gt;"",'Approved-In-Depth'!C327,"")</f>
        <v/>
      </c>
      <c r="D327" t="str">
        <f>IF($A327&lt;&gt;"",'Approved-In-Depth'!D327,"")</f>
        <v/>
      </c>
      <c r="E327" t="str">
        <f>IF($A327&lt;&gt;"",'Approved-In-Depth'!E327,"")</f>
        <v/>
      </c>
      <c r="F327" t="str">
        <f>IF($A327&lt;&gt;"",'Approved-In-Depth'!F327,"")</f>
        <v/>
      </c>
      <c r="G327" t="str">
        <f>IF($A327&lt;&gt;"",'Approved-In-Depth'!G327,"")</f>
        <v/>
      </c>
      <c r="H327" s="4" t="str">
        <f>IF($A327&lt;&gt;"",'Approved-In-Depth'!H327,"")</f>
        <v/>
      </c>
      <c r="I327" t="str">
        <f>IF($A327&lt;&gt;"",'Approved-In-Depth'!I327,"")</f>
        <v/>
      </c>
      <c r="J327" t="str">
        <f>IF($A327&lt;&gt;"",'Approved-In-Depth'!J327,"")</f>
        <v/>
      </c>
      <c r="K327" t="str">
        <f>IF($A327&lt;&gt;"",'Approved-In-Depth'!K327,"")</f>
        <v/>
      </c>
      <c r="L327" s="4" t="str">
        <f>IF($A327&lt;&gt;"",'Approved-In-Depth'!L327,"")</f>
        <v/>
      </c>
      <c r="M327" t="str">
        <f>IF($A327&lt;&gt;"",'Approved-In-Depth'!M327,"")</f>
        <v/>
      </c>
    </row>
    <row r="328" spans="1:13" x14ac:dyDescent="0.35">
      <c r="A328" s="4" t="str">
        <f>IF('Approved-In-Depth'!$A328&lt;&gt;"",'Approved-In-Depth'!A328,"")</f>
        <v/>
      </c>
      <c r="B328" t="str">
        <f>IF($O328&lt;&gt;"",$O328,IF($A328&lt;&gt;"",'Approved-In-Depth'!$B328+7,""))</f>
        <v/>
      </c>
      <c r="C328" t="str">
        <f>IF($A328&lt;&gt;"",'Approved-In-Depth'!C328,"")</f>
        <v/>
      </c>
      <c r="D328" t="str">
        <f>IF($A328&lt;&gt;"",'Approved-In-Depth'!D328,"")</f>
        <v/>
      </c>
      <c r="E328" t="str">
        <f>IF($A328&lt;&gt;"",'Approved-In-Depth'!E328,"")</f>
        <v/>
      </c>
      <c r="F328" t="str">
        <f>IF($A328&lt;&gt;"",'Approved-In-Depth'!F328,"")</f>
        <v/>
      </c>
      <c r="G328" t="str">
        <f>IF($A328&lt;&gt;"",'Approved-In-Depth'!G328,"")</f>
        <v/>
      </c>
      <c r="H328" s="4" t="str">
        <f>IF($A328&lt;&gt;"",'Approved-In-Depth'!H328,"")</f>
        <v/>
      </c>
      <c r="I328" t="str">
        <f>IF($A328&lt;&gt;"",'Approved-In-Depth'!I328,"")</f>
        <v/>
      </c>
      <c r="J328" t="str">
        <f>IF($A328&lt;&gt;"",'Approved-In-Depth'!J328,"")</f>
        <v/>
      </c>
      <c r="K328" t="str">
        <f>IF($A328&lt;&gt;"",'Approved-In-Depth'!K328,"")</f>
        <v/>
      </c>
      <c r="L328" s="4" t="str">
        <f>IF($A328&lt;&gt;"",'Approved-In-Depth'!L328,"")</f>
        <v/>
      </c>
      <c r="M328" t="str">
        <f>IF($A328&lt;&gt;"",'Approved-In-Depth'!M328,"")</f>
        <v/>
      </c>
    </row>
    <row r="329" spans="1:13" x14ac:dyDescent="0.35">
      <c r="A329" s="4" t="str">
        <f>IF('Approved-In-Depth'!$A329&lt;&gt;"",'Approved-In-Depth'!A329,"")</f>
        <v/>
      </c>
      <c r="B329" t="str">
        <f>IF($O329&lt;&gt;"",$O329,IF($A329&lt;&gt;"",'Approved-In-Depth'!$B329+7,""))</f>
        <v/>
      </c>
      <c r="C329" t="str">
        <f>IF($A329&lt;&gt;"",'Approved-In-Depth'!C329,"")</f>
        <v/>
      </c>
      <c r="D329" t="str">
        <f>IF($A329&lt;&gt;"",'Approved-In-Depth'!D329,"")</f>
        <v/>
      </c>
      <c r="E329" t="str">
        <f>IF($A329&lt;&gt;"",'Approved-In-Depth'!E329,"")</f>
        <v/>
      </c>
      <c r="F329" t="str">
        <f>IF($A329&lt;&gt;"",'Approved-In-Depth'!F329,"")</f>
        <v/>
      </c>
      <c r="G329" t="str">
        <f>IF($A329&lt;&gt;"",'Approved-In-Depth'!G329,"")</f>
        <v/>
      </c>
      <c r="H329" s="4" t="str">
        <f>IF($A329&lt;&gt;"",'Approved-In-Depth'!H329,"")</f>
        <v/>
      </c>
      <c r="I329" t="str">
        <f>IF($A329&lt;&gt;"",'Approved-In-Depth'!I329,"")</f>
        <v/>
      </c>
      <c r="J329" t="str">
        <f>IF($A329&lt;&gt;"",'Approved-In-Depth'!J329,"")</f>
        <v/>
      </c>
      <c r="K329" t="str">
        <f>IF($A329&lt;&gt;"",'Approved-In-Depth'!K329,"")</f>
        <v/>
      </c>
      <c r="L329" s="4" t="str">
        <f>IF($A329&lt;&gt;"",'Approved-In-Depth'!L329,"")</f>
        <v/>
      </c>
      <c r="M329" t="str">
        <f>IF($A329&lt;&gt;"",'Approved-In-Depth'!M329,"")</f>
        <v/>
      </c>
    </row>
    <row r="330" spans="1:13" x14ac:dyDescent="0.35">
      <c r="A330" s="4" t="str">
        <f>IF('Approved-In-Depth'!$A330&lt;&gt;"",'Approved-In-Depth'!A330,"")</f>
        <v/>
      </c>
      <c r="B330" t="str">
        <f>IF($O330&lt;&gt;"",$O330,IF($A330&lt;&gt;"",'Approved-In-Depth'!$B330+7,""))</f>
        <v/>
      </c>
      <c r="C330" t="str">
        <f>IF($A330&lt;&gt;"",'Approved-In-Depth'!C330,"")</f>
        <v/>
      </c>
      <c r="D330" t="str">
        <f>IF($A330&lt;&gt;"",'Approved-In-Depth'!D330,"")</f>
        <v/>
      </c>
      <c r="E330" t="str">
        <f>IF($A330&lt;&gt;"",'Approved-In-Depth'!E330,"")</f>
        <v/>
      </c>
      <c r="F330" t="str">
        <f>IF($A330&lt;&gt;"",'Approved-In-Depth'!F330,"")</f>
        <v/>
      </c>
      <c r="G330" t="str">
        <f>IF($A330&lt;&gt;"",'Approved-In-Depth'!G330,"")</f>
        <v/>
      </c>
      <c r="H330" s="4" t="str">
        <f>IF($A330&lt;&gt;"",'Approved-In-Depth'!H330,"")</f>
        <v/>
      </c>
      <c r="I330" t="str">
        <f>IF($A330&lt;&gt;"",'Approved-In-Depth'!I330,"")</f>
        <v/>
      </c>
      <c r="J330" t="str">
        <f>IF($A330&lt;&gt;"",'Approved-In-Depth'!J330,"")</f>
        <v/>
      </c>
      <c r="K330" t="str">
        <f>IF($A330&lt;&gt;"",'Approved-In-Depth'!K330,"")</f>
        <v/>
      </c>
      <c r="L330" s="4" t="str">
        <f>IF($A330&lt;&gt;"",'Approved-In-Depth'!L330,"")</f>
        <v/>
      </c>
      <c r="M330" t="str">
        <f>IF($A330&lt;&gt;"",'Approved-In-Depth'!M330,"")</f>
        <v/>
      </c>
    </row>
    <row r="331" spans="1:13" x14ac:dyDescent="0.35">
      <c r="A331" s="4" t="str">
        <f>IF('Approved-In-Depth'!$A331&lt;&gt;"",'Approved-In-Depth'!A331,"")</f>
        <v/>
      </c>
      <c r="B331" t="str">
        <f>IF($O331&lt;&gt;"",$O331,IF($A331&lt;&gt;"",'Approved-In-Depth'!$B331+7,""))</f>
        <v/>
      </c>
      <c r="C331" t="str">
        <f>IF($A331&lt;&gt;"",'Approved-In-Depth'!C331,"")</f>
        <v/>
      </c>
      <c r="D331" t="str">
        <f>IF($A331&lt;&gt;"",'Approved-In-Depth'!D331,"")</f>
        <v/>
      </c>
      <c r="E331" t="str">
        <f>IF($A331&lt;&gt;"",'Approved-In-Depth'!E331,"")</f>
        <v/>
      </c>
      <c r="F331" t="str">
        <f>IF($A331&lt;&gt;"",'Approved-In-Depth'!F331,"")</f>
        <v/>
      </c>
      <c r="G331" t="str">
        <f>IF($A331&lt;&gt;"",'Approved-In-Depth'!G331,"")</f>
        <v/>
      </c>
      <c r="H331" s="4" t="str">
        <f>IF($A331&lt;&gt;"",'Approved-In-Depth'!H331,"")</f>
        <v/>
      </c>
      <c r="I331" t="str">
        <f>IF($A331&lt;&gt;"",'Approved-In-Depth'!I331,"")</f>
        <v/>
      </c>
      <c r="J331" t="str">
        <f>IF($A331&lt;&gt;"",'Approved-In-Depth'!J331,"")</f>
        <v/>
      </c>
      <c r="K331" t="str">
        <f>IF($A331&lt;&gt;"",'Approved-In-Depth'!K331,"")</f>
        <v/>
      </c>
      <c r="L331" s="4" t="str">
        <f>IF($A331&lt;&gt;"",'Approved-In-Depth'!L331,"")</f>
        <v/>
      </c>
      <c r="M331" t="str">
        <f>IF($A331&lt;&gt;"",'Approved-In-Depth'!M331,"")</f>
        <v/>
      </c>
    </row>
    <row r="332" spans="1:13" x14ac:dyDescent="0.35">
      <c r="A332" s="4" t="str">
        <f>IF('Approved-In-Depth'!$A332&lt;&gt;"",'Approved-In-Depth'!A332,"")</f>
        <v/>
      </c>
      <c r="B332" t="str">
        <f>IF($O332&lt;&gt;"",$O332,IF($A332&lt;&gt;"",'Approved-In-Depth'!$B332+7,""))</f>
        <v/>
      </c>
      <c r="C332" t="str">
        <f>IF($A332&lt;&gt;"",'Approved-In-Depth'!C332,"")</f>
        <v/>
      </c>
      <c r="D332" t="str">
        <f>IF($A332&lt;&gt;"",'Approved-In-Depth'!D332,"")</f>
        <v/>
      </c>
      <c r="E332" t="str">
        <f>IF($A332&lt;&gt;"",'Approved-In-Depth'!E332,"")</f>
        <v/>
      </c>
      <c r="F332" t="str">
        <f>IF($A332&lt;&gt;"",'Approved-In-Depth'!F332,"")</f>
        <v/>
      </c>
      <c r="G332" t="str">
        <f>IF($A332&lt;&gt;"",'Approved-In-Depth'!G332,"")</f>
        <v/>
      </c>
      <c r="H332" s="4" t="str">
        <f>IF($A332&lt;&gt;"",'Approved-In-Depth'!H332,"")</f>
        <v/>
      </c>
      <c r="I332" t="str">
        <f>IF($A332&lt;&gt;"",'Approved-In-Depth'!I332,"")</f>
        <v/>
      </c>
      <c r="J332" t="str">
        <f>IF($A332&lt;&gt;"",'Approved-In-Depth'!J332,"")</f>
        <v/>
      </c>
      <c r="K332" t="str">
        <f>IF($A332&lt;&gt;"",'Approved-In-Depth'!K332,"")</f>
        <v/>
      </c>
      <c r="L332" s="4" t="str">
        <f>IF($A332&lt;&gt;"",'Approved-In-Depth'!L332,"")</f>
        <v/>
      </c>
      <c r="M332" t="str">
        <f>IF($A332&lt;&gt;"",'Approved-In-Depth'!M332,"")</f>
        <v/>
      </c>
    </row>
    <row r="333" spans="1:13" x14ac:dyDescent="0.35">
      <c r="A333" s="4" t="str">
        <f>IF('Approved-In-Depth'!$A333&lt;&gt;"",'Approved-In-Depth'!A333,"")</f>
        <v/>
      </c>
      <c r="B333" t="str">
        <f>IF($O333&lt;&gt;"",$O333,IF($A333&lt;&gt;"",'Approved-In-Depth'!$B333+7,""))</f>
        <v/>
      </c>
      <c r="C333" t="str">
        <f>IF($A333&lt;&gt;"",'Approved-In-Depth'!C333,"")</f>
        <v/>
      </c>
      <c r="D333" t="str">
        <f>IF($A333&lt;&gt;"",'Approved-In-Depth'!D333,"")</f>
        <v/>
      </c>
      <c r="E333" t="str">
        <f>IF($A333&lt;&gt;"",'Approved-In-Depth'!E333,"")</f>
        <v/>
      </c>
      <c r="F333" t="str">
        <f>IF($A333&lt;&gt;"",'Approved-In-Depth'!F333,"")</f>
        <v/>
      </c>
      <c r="G333" t="str">
        <f>IF($A333&lt;&gt;"",'Approved-In-Depth'!G333,"")</f>
        <v/>
      </c>
      <c r="H333" s="4" t="str">
        <f>IF($A333&lt;&gt;"",'Approved-In-Depth'!H333,"")</f>
        <v/>
      </c>
      <c r="I333" t="str">
        <f>IF($A333&lt;&gt;"",'Approved-In-Depth'!I333,"")</f>
        <v/>
      </c>
      <c r="J333" t="str">
        <f>IF($A333&lt;&gt;"",'Approved-In-Depth'!J333,"")</f>
        <v/>
      </c>
      <c r="K333" t="str">
        <f>IF($A333&lt;&gt;"",'Approved-In-Depth'!K333,"")</f>
        <v/>
      </c>
      <c r="L333" s="4" t="str">
        <f>IF($A333&lt;&gt;"",'Approved-In-Depth'!L333,"")</f>
        <v/>
      </c>
      <c r="M333" t="str">
        <f>IF($A333&lt;&gt;"",'Approved-In-Depth'!M333,"")</f>
        <v/>
      </c>
    </row>
    <row r="334" spans="1:13" x14ac:dyDescent="0.35">
      <c r="A334" s="4" t="str">
        <f>IF('Approved-In-Depth'!$A334&lt;&gt;"",'Approved-In-Depth'!A334,"")</f>
        <v/>
      </c>
      <c r="B334" t="str">
        <f>IF($O334&lt;&gt;"",$O334,IF($A334&lt;&gt;"",'Approved-In-Depth'!$B334+7,""))</f>
        <v/>
      </c>
      <c r="C334" t="str">
        <f>IF($A334&lt;&gt;"",'Approved-In-Depth'!C334,"")</f>
        <v/>
      </c>
      <c r="D334" t="str">
        <f>IF($A334&lt;&gt;"",'Approved-In-Depth'!D334,"")</f>
        <v/>
      </c>
      <c r="E334" t="str">
        <f>IF($A334&lt;&gt;"",'Approved-In-Depth'!E334,"")</f>
        <v/>
      </c>
      <c r="F334" t="str">
        <f>IF($A334&lt;&gt;"",'Approved-In-Depth'!F334,"")</f>
        <v/>
      </c>
      <c r="G334" t="str">
        <f>IF($A334&lt;&gt;"",'Approved-In-Depth'!G334,"")</f>
        <v/>
      </c>
      <c r="H334" s="4" t="str">
        <f>IF($A334&lt;&gt;"",'Approved-In-Depth'!H334,"")</f>
        <v/>
      </c>
      <c r="I334" t="str">
        <f>IF($A334&lt;&gt;"",'Approved-In-Depth'!I334,"")</f>
        <v/>
      </c>
      <c r="J334" t="str">
        <f>IF($A334&lt;&gt;"",'Approved-In-Depth'!J334,"")</f>
        <v/>
      </c>
      <c r="K334" t="str">
        <f>IF($A334&lt;&gt;"",'Approved-In-Depth'!K334,"")</f>
        <v/>
      </c>
      <c r="L334" s="4" t="str">
        <f>IF($A334&lt;&gt;"",'Approved-In-Depth'!L334,"")</f>
        <v/>
      </c>
      <c r="M334" t="str">
        <f>IF($A334&lt;&gt;"",'Approved-In-Depth'!M334,"")</f>
        <v/>
      </c>
    </row>
    <row r="335" spans="1:13" x14ac:dyDescent="0.35">
      <c r="A335" s="4" t="str">
        <f>IF('Approved-In-Depth'!$A335&lt;&gt;"",'Approved-In-Depth'!A335,"")</f>
        <v/>
      </c>
      <c r="B335" t="str">
        <f>IF($O335&lt;&gt;"",$O335,IF($A335&lt;&gt;"",'Approved-In-Depth'!$B335+7,""))</f>
        <v/>
      </c>
      <c r="C335" t="str">
        <f>IF($A335&lt;&gt;"",'Approved-In-Depth'!C335,"")</f>
        <v/>
      </c>
      <c r="D335" t="str">
        <f>IF($A335&lt;&gt;"",'Approved-In-Depth'!D335,"")</f>
        <v/>
      </c>
      <c r="E335" t="str">
        <f>IF($A335&lt;&gt;"",'Approved-In-Depth'!E335,"")</f>
        <v/>
      </c>
      <c r="F335" t="str">
        <f>IF($A335&lt;&gt;"",'Approved-In-Depth'!F335,"")</f>
        <v/>
      </c>
      <c r="G335" t="str">
        <f>IF($A335&lt;&gt;"",'Approved-In-Depth'!G335,"")</f>
        <v/>
      </c>
      <c r="H335" s="4" t="str">
        <f>IF($A335&lt;&gt;"",'Approved-In-Depth'!H335,"")</f>
        <v/>
      </c>
      <c r="I335" t="str">
        <f>IF($A335&lt;&gt;"",'Approved-In-Depth'!I335,"")</f>
        <v/>
      </c>
      <c r="J335" t="str">
        <f>IF($A335&lt;&gt;"",'Approved-In-Depth'!J335,"")</f>
        <v/>
      </c>
      <c r="K335" t="str">
        <f>IF($A335&lt;&gt;"",'Approved-In-Depth'!K335,"")</f>
        <v/>
      </c>
      <c r="L335" s="4" t="str">
        <f>IF($A335&lt;&gt;"",'Approved-In-Depth'!L335,"")</f>
        <v/>
      </c>
      <c r="M335" t="str">
        <f>IF($A335&lt;&gt;"",'Approved-In-Depth'!M335,"")</f>
        <v/>
      </c>
    </row>
    <row r="336" spans="1:13" x14ac:dyDescent="0.35">
      <c r="A336" s="4" t="str">
        <f>IF('Approved-In-Depth'!$A336&lt;&gt;"",'Approved-In-Depth'!A336,"")</f>
        <v/>
      </c>
      <c r="B336" t="str">
        <f>IF($O336&lt;&gt;"",$O336,IF($A336&lt;&gt;"",'Approved-In-Depth'!$B336+7,""))</f>
        <v/>
      </c>
      <c r="C336" t="str">
        <f>IF($A336&lt;&gt;"",'Approved-In-Depth'!C336,"")</f>
        <v/>
      </c>
      <c r="D336" t="str">
        <f>IF($A336&lt;&gt;"",'Approved-In-Depth'!D336,"")</f>
        <v/>
      </c>
      <c r="E336" t="str">
        <f>IF($A336&lt;&gt;"",'Approved-In-Depth'!E336,"")</f>
        <v/>
      </c>
      <c r="F336" t="str">
        <f>IF($A336&lt;&gt;"",'Approved-In-Depth'!F336,"")</f>
        <v/>
      </c>
      <c r="G336" t="str">
        <f>IF($A336&lt;&gt;"",'Approved-In-Depth'!G336,"")</f>
        <v/>
      </c>
      <c r="H336" s="4" t="str">
        <f>IF($A336&lt;&gt;"",'Approved-In-Depth'!H336,"")</f>
        <v/>
      </c>
      <c r="I336" t="str">
        <f>IF($A336&lt;&gt;"",'Approved-In-Depth'!I336,"")</f>
        <v/>
      </c>
      <c r="J336" t="str">
        <f>IF($A336&lt;&gt;"",'Approved-In-Depth'!J336,"")</f>
        <v/>
      </c>
      <c r="K336" t="str">
        <f>IF($A336&lt;&gt;"",'Approved-In-Depth'!K336,"")</f>
        <v/>
      </c>
      <c r="L336" s="4" t="str">
        <f>IF($A336&lt;&gt;"",'Approved-In-Depth'!L336,"")</f>
        <v/>
      </c>
      <c r="M336" t="str">
        <f>IF($A336&lt;&gt;"",'Approved-In-Depth'!M336,"")</f>
        <v/>
      </c>
    </row>
    <row r="337" spans="1:13" x14ac:dyDescent="0.35">
      <c r="A337" s="4" t="str">
        <f>IF('Approved-In-Depth'!$A337&lt;&gt;"",'Approved-In-Depth'!A337,"")</f>
        <v/>
      </c>
      <c r="B337" t="str">
        <f>IF($O337&lt;&gt;"",$O337,IF($A337&lt;&gt;"",'Approved-In-Depth'!$B337+7,""))</f>
        <v/>
      </c>
      <c r="C337" t="str">
        <f>IF($A337&lt;&gt;"",'Approved-In-Depth'!C337,"")</f>
        <v/>
      </c>
      <c r="D337" t="str">
        <f>IF($A337&lt;&gt;"",'Approved-In-Depth'!D337,"")</f>
        <v/>
      </c>
      <c r="E337" t="str">
        <f>IF($A337&lt;&gt;"",'Approved-In-Depth'!E337,"")</f>
        <v/>
      </c>
      <c r="F337" t="str">
        <f>IF($A337&lt;&gt;"",'Approved-In-Depth'!F337,"")</f>
        <v/>
      </c>
      <c r="G337" t="str">
        <f>IF($A337&lt;&gt;"",'Approved-In-Depth'!G337,"")</f>
        <v/>
      </c>
      <c r="H337" s="4" t="str">
        <f>IF($A337&lt;&gt;"",'Approved-In-Depth'!H337,"")</f>
        <v/>
      </c>
      <c r="I337" t="str">
        <f>IF($A337&lt;&gt;"",'Approved-In-Depth'!I337,"")</f>
        <v/>
      </c>
      <c r="J337" t="str">
        <f>IF($A337&lt;&gt;"",'Approved-In-Depth'!J337,"")</f>
        <v/>
      </c>
      <c r="K337" t="str">
        <f>IF($A337&lt;&gt;"",'Approved-In-Depth'!K337,"")</f>
        <v/>
      </c>
      <c r="L337" s="4" t="str">
        <f>IF($A337&lt;&gt;"",'Approved-In-Depth'!L337,"")</f>
        <v/>
      </c>
      <c r="M337" t="str">
        <f>IF($A337&lt;&gt;"",'Approved-In-Depth'!M337,"")</f>
        <v/>
      </c>
    </row>
    <row r="338" spans="1:13" x14ac:dyDescent="0.35">
      <c r="A338" s="4" t="str">
        <f>IF('Approved-In-Depth'!$A338&lt;&gt;"",'Approved-In-Depth'!A338,"")</f>
        <v/>
      </c>
      <c r="B338" t="str">
        <f>IF($O338&lt;&gt;"",$O338,IF($A338&lt;&gt;"",'Approved-In-Depth'!$B338+7,""))</f>
        <v/>
      </c>
      <c r="C338" t="str">
        <f>IF($A338&lt;&gt;"",'Approved-In-Depth'!C338,"")</f>
        <v/>
      </c>
      <c r="D338" t="str">
        <f>IF($A338&lt;&gt;"",'Approved-In-Depth'!D338,"")</f>
        <v/>
      </c>
      <c r="E338" t="str">
        <f>IF($A338&lt;&gt;"",'Approved-In-Depth'!E338,"")</f>
        <v/>
      </c>
      <c r="F338" t="str">
        <f>IF($A338&lt;&gt;"",'Approved-In-Depth'!F338,"")</f>
        <v/>
      </c>
      <c r="G338" t="str">
        <f>IF($A338&lt;&gt;"",'Approved-In-Depth'!G338,"")</f>
        <v/>
      </c>
      <c r="H338" s="4" t="str">
        <f>IF($A338&lt;&gt;"",'Approved-In-Depth'!H338,"")</f>
        <v/>
      </c>
      <c r="I338" t="str">
        <f>IF($A338&lt;&gt;"",'Approved-In-Depth'!I338,"")</f>
        <v/>
      </c>
      <c r="J338" t="str">
        <f>IF($A338&lt;&gt;"",'Approved-In-Depth'!J338,"")</f>
        <v/>
      </c>
      <c r="K338" t="str">
        <f>IF($A338&lt;&gt;"",'Approved-In-Depth'!K338,"")</f>
        <v/>
      </c>
      <c r="L338" s="4" t="str">
        <f>IF($A338&lt;&gt;"",'Approved-In-Depth'!L338,"")</f>
        <v/>
      </c>
      <c r="M338" t="str">
        <f>IF($A338&lt;&gt;"",'Approved-In-Depth'!M338,"")</f>
        <v/>
      </c>
    </row>
    <row r="339" spans="1:13" x14ac:dyDescent="0.35">
      <c r="A339" s="4" t="str">
        <f>IF('Approved-In-Depth'!$A339&lt;&gt;"",'Approved-In-Depth'!A339,"")</f>
        <v/>
      </c>
      <c r="B339" t="str">
        <f>IF($O339&lt;&gt;"",$O339,IF($A339&lt;&gt;"",'Approved-In-Depth'!$B339+7,""))</f>
        <v/>
      </c>
      <c r="C339" t="str">
        <f>IF($A339&lt;&gt;"",'Approved-In-Depth'!C339,"")</f>
        <v/>
      </c>
      <c r="D339" t="str">
        <f>IF($A339&lt;&gt;"",'Approved-In-Depth'!D339,"")</f>
        <v/>
      </c>
      <c r="E339" t="str">
        <f>IF($A339&lt;&gt;"",'Approved-In-Depth'!E339,"")</f>
        <v/>
      </c>
      <c r="F339" t="str">
        <f>IF($A339&lt;&gt;"",'Approved-In-Depth'!F339,"")</f>
        <v/>
      </c>
      <c r="G339" t="str">
        <f>IF($A339&lt;&gt;"",'Approved-In-Depth'!G339,"")</f>
        <v/>
      </c>
      <c r="H339" s="4" t="str">
        <f>IF($A339&lt;&gt;"",'Approved-In-Depth'!H339,"")</f>
        <v/>
      </c>
      <c r="I339" t="str">
        <f>IF($A339&lt;&gt;"",'Approved-In-Depth'!I339,"")</f>
        <v/>
      </c>
      <c r="J339" t="str">
        <f>IF($A339&lt;&gt;"",'Approved-In-Depth'!J339,"")</f>
        <v/>
      </c>
      <c r="K339" t="str">
        <f>IF($A339&lt;&gt;"",'Approved-In-Depth'!K339,"")</f>
        <v/>
      </c>
      <c r="L339" s="4" t="str">
        <f>IF($A339&lt;&gt;"",'Approved-In-Depth'!L339,"")</f>
        <v/>
      </c>
      <c r="M339" t="str">
        <f>IF($A339&lt;&gt;"",'Approved-In-Depth'!M339,"")</f>
        <v/>
      </c>
    </row>
    <row r="340" spans="1:13" x14ac:dyDescent="0.35">
      <c r="A340" s="4" t="str">
        <f>IF('Approved-In-Depth'!$A340&lt;&gt;"",'Approved-In-Depth'!A340,"")</f>
        <v/>
      </c>
      <c r="B340" t="str">
        <f>IF($O340&lt;&gt;"",$O340,IF($A340&lt;&gt;"",'Approved-In-Depth'!$B340+7,""))</f>
        <v/>
      </c>
      <c r="C340" t="str">
        <f>IF($A340&lt;&gt;"",'Approved-In-Depth'!C340,"")</f>
        <v/>
      </c>
      <c r="D340" t="str">
        <f>IF($A340&lt;&gt;"",'Approved-In-Depth'!D340,"")</f>
        <v/>
      </c>
      <c r="E340" t="str">
        <f>IF($A340&lt;&gt;"",'Approved-In-Depth'!E340,"")</f>
        <v/>
      </c>
      <c r="F340" t="str">
        <f>IF($A340&lt;&gt;"",'Approved-In-Depth'!F340,"")</f>
        <v/>
      </c>
      <c r="G340" t="str">
        <f>IF($A340&lt;&gt;"",'Approved-In-Depth'!G340,"")</f>
        <v/>
      </c>
      <c r="H340" s="4" t="str">
        <f>IF($A340&lt;&gt;"",'Approved-In-Depth'!H340,"")</f>
        <v/>
      </c>
      <c r="I340" t="str">
        <f>IF($A340&lt;&gt;"",'Approved-In-Depth'!I340,"")</f>
        <v/>
      </c>
      <c r="J340" t="str">
        <f>IF($A340&lt;&gt;"",'Approved-In-Depth'!J340,"")</f>
        <v/>
      </c>
      <c r="K340" t="str">
        <f>IF($A340&lt;&gt;"",'Approved-In-Depth'!K340,"")</f>
        <v/>
      </c>
      <c r="L340" s="4" t="str">
        <f>IF($A340&lt;&gt;"",'Approved-In-Depth'!L340,"")</f>
        <v/>
      </c>
      <c r="M340" t="str">
        <f>IF($A340&lt;&gt;"",'Approved-In-Depth'!M340,"")</f>
        <v/>
      </c>
    </row>
    <row r="341" spans="1:13" x14ac:dyDescent="0.35">
      <c r="A341" s="4" t="str">
        <f>IF('Approved-In-Depth'!$A341&lt;&gt;"",'Approved-In-Depth'!A341,"")</f>
        <v/>
      </c>
      <c r="B341" t="str">
        <f>IF($O341&lt;&gt;"",$O341,IF($A341&lt;&gt;"",'Approved-In-Depth'!$B341+7,""))</f>
        <v/>
      </c>
      <c r="C341" t="str">
        <f>IF($A341&lt;&gt;"",'Approved-In-Depth'!C341,"")</f>
        <v/>
      </c>
      <c r="D341" t="str">
        <f>IF($A341&lt;&gt;"",'Approved-In-Depth'!D341,"")</f>
        <v/>
      </c>
      <c r="E341" t="str">
        <f>IF($A341&lt;&gt;"",'Approved-In-Depth'!E341,"")</f>
        <v/>
      </c>
      <c r="F341" t="str">
        <f>IF($A341&lt;&gt;"",'Approved-In-Depth'!F341,"")</f>
        <v/>
      </c>
      <c r="G341" t="str">
        <f>IF($A341&lt;&gt;"",'Approved-In-Depth'!G341,"")</f>
        <v/>
      </c>
      <c r="H341" s="4" t="str">
        <f>IF($A341&lt;&gt;"",'Approved-In-Depth'!H341,"")</f>
        <v/>
      </c>
      <c r="I341" t="str">
        <f>IF($A341&lt;&gt;"",'Approved-In-Depth'!I341,"")</f>
        <v/>
      </c>
      <c r="J341" t="str">
        <f>IF($A341&lt;&gt;"",'Approved-In-Depth'!J341,"")</f>
        <v/>
      </c>
      <c r="K341" t="str">
        <f>IF($A341&lt;&gt;"",'Approved-In-Depth'!K341,"")</f>
        <v/>
      </c>
      <c r="L341" s="4" t="str">
        <f>IF($A341&lt;&gt;"",'Approved-In-Depth'!L341,"")</f>
        <v/>
      </c>
      <c r="M341" t="str">
        <f>IF($A341&lt;&gt;"",'Approved-In-Depth'!M341,"")</f>
        <v/>
      </c>
    </row>
    <row r="342" spans="1:13" x14ac:dyDescent="0.35">
      <c r="A342" s="4" t="str">
        <f>IF('Approved-In-Depth'!$A342&lt;&gt;"",'Approved-In-Depth'!A342,"")</f>
        <v/>
      </c>
      <c r="B342" t="str">
        <f>IF($O342&lt;&gt;"",$O342,IF($A342&lt;&gt;"",'Approved-In-Depth'!$B342+7,""))</f>
        <v/>
      </c>
      <c r="C342" t="str">
        <f>IF($A342&lt;&gt;"",'Approved-In-Depth'!C342,"")</f>
        <v/>
      </c>
      <c r="D342" t="str">
        <f>IF($A342&lt;&gt;"",'Approved-In-Depth'!D342,"")</f>
        <v/>
      </c>
      <c r="E342" t="str">
        <f>IF($A342&lt;&gt;"",'Approved-In-Depth'!E342,"")</f>
        <v/>
      </c>
      <c r="F342" t="str">
        <f>IF($A342&lt;&gt;"",'Approved-In-Depth'!F342,"")</f>
        <v/>
      </c>
      <c r="G342" t="str">
        <f>IF($A342&lt;&gt;"",'Approved-In-Depth'!G342,"")</f>
        <v/>
      </c>
      <c r="H342" s="4" t="str">
        <f>IF($A342&lt;&gt;"",'Approved-In-Depth'!H342,"")</f>
        <v/>
      </c>
      <c r="I342" t="str">
        <f>IF($A342&lt;&gt;"",'Approved-In-Depth'!I342,"")</f>
        <v/>
      </c>
      <c r="J342" t="str">
        <f>IF($A342&lt;&gt;"",'Approved-In-Depth'!J342,"")</f>
        <v/>
      </c>
      <c r="K342" t="str">
        <f>IF($A342&lt;&gt;"",'Approved-In-Depth'!K342,"")</f>
        <v/>
      </c>
      <c r="L342" s="4" t="str">
        <f>IF($A342&lt;&gt;"",'Approved-In-Depth'!L342,"")</f>
        <v/>
      </c>
      <c r="M342" t="str">
        <f>IF($A342&lt;&gt;"",'Approved-In-Depth'!M342,"")</f>
        <v/>
      </c>
    </row>
    <row r="343" spans="1:13" x14ac:dyDescent="0.35">
      <c r="A343" s="4" t="str">
        <f>IF('Approved-In-Depth'!$A343&lt;&gt;"",'Approved-In-Depth'!A343,"")</f>
        <v/>
      </c>
      <c r="B343" t="str">
        <f>IF($O343&lt;&gt;"",$O343,IF($A343&lt;&gt;"",'Approved-In-Depth'!$B343+7,""))</f>
        <v/>
      </c>
      <c r="C343" t="str">
        <f>IF($A343&lt;&gt;"",'Approved-In-Depth'!C343,"")</f>
        <v/>
      </c>
      <c r="D343" t="str">
        <f>IF($A343&lt;&gt;"",'Approved-In-Depth'!D343,"")</f>
        <v/>
      </c>
      <c r="E343" t="str">
        <f>IF($A343&lt;&gt;"",'Approved-In-Depth'!E343,"")</f>
        <v/>
      </c>
      <c r="F343" t="str">
        <f>IF($A343&lt;&gt;"",'Approved-In-Depth'!F343,"")</f>
        <v/>
      </c>
      <c r="G343" t="str">
        <f>IF($A343&lt;&gt;"",'Approved-In-Depth'!G343,"")</f>
        <v/>
      </c>
      <c r="H343" s="4" t="str">
        <f>IF($A343&lt;&gt;"",'Approved-In-Depth'!H343,"")</f>
        <v/>
      </c>
      <c r="I343" t="str">
        <f>IF($A343&lt;&gt;"",'Approved-In-Depth'!I343,"")</f>
        <v/>
      </c>
      <c r="J343" t="str">
        <f>IF($A343&lt;&gt;"",'Approved-In-Depth'!J343,"")</f>
        <v/>
      </c>
      <c r="K343" t="str">
        <f>IF($A343&lt;&gt;"",'Approved-In-Depth'!K343,"")</f>
        <v/>
      </c>
      <c r="L343" s="4" t="str">
        <f>IF($A343&lt;&gt;"",'Approved-In-Depth'!L343,"")</f>
        <v/>
      </c>
      <c r="M343" t="str">
        <f>IF($A343&lt;&gt;"",'Approved-In-Depth'!M343,"")</f>
        <v/>
      </c>
    </row>
    <row r="344" spans="1:13" x14ac:dyDescent="0.35">
      <c r="A344" s="4" t="str">
        <f>IF('Approved-In-Depth'!$A344&lt;&gt;"",'Approved-In-Depth'!A344,"")</f>
        <v/>
      </c>
      <c r="B344" t="str">
        <f>IF($O344&lt;&gt;"",$O344,IF($A344&lt;&gt;"",'Approved-In-Depth'!$B344+7,""))</f>
        <v/>
      </c>
      <c r="C344" t="str">
        <f>IF($A344&lt;&gt;"",'Approved-In-Depth'!C344,"")</f>
        <v/>
      </c>
      <c r="D344" t="str">
        <f>IF($A344&lt;&gt;"",'Approved-In-Depth'!D344,"")</f>
        <v/>
      </c>
      <c r="E344" t="str">
        <f>IF($A344&lt;&gt;"",'Approved-In-Depth'!E344,"")</f>
        <v/>
      </c>
      <c r="F344" t="str">
        <f>IF($A344&lt;&gt;"",'Approved-In-Depth'!F344,"")</f>
        <v/>
      </c>
      <c r="G344" t="str">
        <f>IF($A344&lt;&gt;"",'Approved-In-Depth'!G344,"")</f>
        <v/>
      </c>
      <c r="H344" s="4" t="str">
        <f>IF($A344&lt;&gt;"",'Approved-In-Depth'!H344,"")</f>
        <v/>
      </c>
      <c r="I344" t="str">
        <f>IF($A344&lt;&gt;"",'Approved-In-Depth'!I344,"")</f>
        <v/>
      </c>
      <c r="J344" t="str">
        <f>IF($A344&lt;&gt;"",'Approved-In-Depth'!J344,"")</f>
        <v/>
      </c>
      <c r="K344" t="str">
        <f>IF($A344&lt;&gt;"",'Approved-In-Depth'!K344,"")</f>
        <v/>
      </c>
      <c r="L344" s="4" t="str">
        <f>IF($A344&lt;&gt;"",'Approved-In-Depth'!L344,"")</f>
        <v/>
      </c>
      <c r="M344" t="str">
        <f>IF($A344&lt;&gt;"",'Approved-In-Depth'!M344,"")</f>
        <v/>
      </c>
    </row>
    <row r="345" spans="1:13" x14ac:dyDescent="0.35">
      <c r="A345" s="4" t="str">
        <f>IF('Approved-In-Depth'!$A345&lt;&gt;"",'Approved-In-Depth'!A345,"")</f>
        <v/>
      </c>
      <c r="B345" t="str">
        <f>IF($O345&lt;&gt;"",$O345,IF($A345&lt;&gt;"",'Approved-In-Depth'!$B345+7,""))</f>
        <v/>
      </c>
      <c r="C345" t="str">
        <f>IF($A345&lt;&gt;"",'Approved-In-Depth'!C345,"")</f>
        <v/>
      </c>
      <c r="D345" t="str">
        <f>IF($A345&lt;&gt;"",'Approved-In-Depth'!D345,"")</f>
        <v/>
      </c>
      <c r="E345" t="str">
        <f>IF($A345&lt;&gt;"",'Approved-In-Depth'!E345,"")</f>
        <v/>
      </c>
      <c r="F345" t="str">
        <f>IF($A345&lt;&gt;"",'Approved-In-Depth'!F345,"")</f>
        <v/>
      </c>
      <c r="G345" t="str">
        <f>IF($A345&lt;&gt;"",'Approved-In-Depth'!G345,"")</f>
        <v/>
      </c>
      <c r="H345" s="4" t="str">
        <f>IF($A345&lt;&gt;"",'Approved-In-Depth'!H345,"")</f>
        <v/>
      </c>
      <c r="I345" t="str">
        <f>IF($A345&lt;&gt;"",'Approved-In-Depth'!I345,"")</f>
        <v/>
      </c>
      <c r="J345" t="str">
        <f>IF($A345&lt;&gt;"",'Approved-In-Depth'!J345,"")</f>
        <v/>
      </c>
      <c r="K345" t="str">
        <f>IF($A345&lt;&gt;"",'Approved-In-Depth'!K345,"")</f>
        <v/>
      </c>
      <c r="L345" s="4" t="str">
        <f>IF($A345&lt;&gt;"",'Approved-In-Depth'!L345,"")</f>
        <v/>
      </c>
      <c r="M345" t="str">
        <f>IF($A345&lt;&gt;"",'Approved-In-Depth'!M345,"")</f>
        <v/>
      </c>
    </row>
    <row r="346" spans="1:13" x14ac:dyDescent="0.35">
      <c r="A346" s="4" t="str">
        <f>IF('Approved-In-Depth'!$A346&lt;&gt;"",'Approved-In-Depth'!A346,"")</f>
        <v/>
      </c>
      <c r="B346" t="str">
        <f>IF($O346&lt;&gt;"",$O346,IF($A346&lt;&gt;"",'Approved-In-Depth'!$B346+7,""))</f>
        <v/>
      </c>
      <c r="C346" t="str">
        <f>IF($A346&lt;&gt;"",'Approved-In-Depth'!C346,"")</f>
        <v/>
      </c>
      <c r="D346" t="str">
        <f>IF($A346&lt;&gt;"",'Approved-In-Depth'!D346,"")</f>
        <v/>
      </c>
      <c r="E346" t="str">
        <f>IF($A346&lt;&gt;"",'Approved-In-Depth'!E346,"")</f>
        <v/>
      </c>
      <c r="F346" t="str">
        <f>IF($A346&lt;&gt;"",'Approved-In-Depth'!F346,"")</f>
        <v/>
      </c>
      <c r="G346" t="str">
        <f>IF($A346&lt;&gt;"",'Approved-In-Depth'!G346,"")</f>
        <v/>
      </c>
      <c r="H346" s="4" t="str">
        <f>IF($A346&lt;&gt;"",'Approved-In-Depth'!H346,"")</f>
        <v/>
      </c>
      <c r="I346" t="str">
        <f>IF($A346&lt;&gt;"",'Approved-In-Depth'!I346,"")</f>
        <v/>
      </c>
      <c r="J346" t="str">
        <f>IF($A346&lt;&gt;"",'Approved-In-Depth'!J346,"")</f>
        <v/>
      </c>
      <c r="K346" t="str">
        <f>IF($A346&lt;&gt;"",'Approved-In-Depth'!K346,"")</f>
        <v/>
      </c>
      <c r="L346" s="4" t="str">
        <f>IF($A346&lt;&gt;"",'Approved-In-Depth'!L346,"")</f>
        <v/>
      </c>
      <c r="M346" t="str">
        <f>IF($A346&lt;&gt;"",'Approved-In-Depth'!M346,"")</f>
        <v/>
      </c>
    </row>
    <row r="347" spans="1:13" x14ac:dyDescent="0.35">
      <c r="A347" s="4" t="str">
        <f>IF('Approved-In-Depth'!$A347&lt;&gt;"",'Approved-In-Depth'!A347,"")</f>
        <v/>
      </c>
      <c r="B347" t="str">
        <f>IF($O347&lt;&gt;"",$O347,IF($A347&lt;&gt;"",'Approved-In-Depth'!$B347+7,""))</f>
        <v/>
      </c>
      <c r="C347" t="str">
        <f>IF($A347&lt;&gt;"",'Approved-In-Depth'!C347,"")</f>
        <v/>
      </c>
      <c r="D347" t="str">
        <f>IF($A347&lt;&gt;"",'Approved-In-Depth'!D347,"")</f>
        <v/>
      </c>
      <c r="E347" t="str">
        <f>IF($A347&lt;&gt;"",'Approved-In-Depth'!E347,"")</f>
        <v/>
      </c>
      <c r="F347" t="str">
        <f>IF($A347&lt;&gt;"",'Approved-In-Depth'!F347,"")</f>
        <v/>
      </c>
      <c r="G347" t="str">
        <f>IF($A347&lt;&gt;"",'Approved-In-Depth'!G347,"")</f>
        <v/>
      </c>
      <c r="H347" s="4" t="str">
        <f>IF($A347&lt;&gt;"",'Approved-In-Depth'!H347,"")</f>
        <v/>
      </c>
      <c r="I347" t="str">
        <f>IF($A347&lt;&gt;"",'Approved-In-Depth'!I347,"")</f>
        <v/>
      </c>
      <c r="J347" t="str">
        <f>IF($A347&lt;&gt;"",'Approved-In-Depth'!J347,"")</f>
        <v/>
      </c>
      <c r="K347" t="str">
        <f>IF($A347&lt;&gt;"",'Approved-In-Depth'!K347,"")</f>
        <v/>
      </c>
      <c r="L347" s="4" t="str">
        <f>IF($A347&lt;&gt;"",'Approved-In-Depth'!L347,"")</f>
        <v/>
      </c>
      <c r="M347" t="str">
        <f>IF($A347&lt;&gt;"",'Approved-In-Depth'!M347,"")</f>
        <v/>
      </c>
    </row>
    <row r="348" spans="1:13" x14ac:dyDescent="0.35">
      <c r="A348" s="4" t="str">
        <f>IF('Approved-In-Depth'!$A348&lt;&gt;"",'Approved-In-Depth'!A348,"")</f>
        <v/>
      </c>
      <c r="B348" t="str">
        <f>IF($O348&lt;&gt;"",$O348,IF($A348&lt;&gt;"",'Approved-In-Depth'!$B348+7,""))</f>
        <v/>
      </c>
      <c r="C348" t="str">
        <f>IF($A348&lt;&gt;"",'Approved-In-Depth'!C348,"")</f>
        <v/>
      </c>
      <c r="D348" t="str">
        <f>IF($A348&lt;&gt;"",'Approved-In-Depth'!D348,"")</f>
        <v/>
      </c>
      <c r="E348" t="str">
        <f>IF($A348&lt;&gt;"",'Approved-In-Depth'!E348,"")</f>
        <v/>
      </c>
      <c r="F348" t="str">
        <f>IF($A348&lt;&gt;"",'Approved-In-Depth'!F348,"")</f>
        <v/>
      </c>
      <c r="G348" t="str">
        <f>IF($A348&lt;&gt;"",'Approved-In-Depth'!G348,"")</f>
        <v/>
      </c>
      <c r="H348" s="4" t="str">
        <f>IF($A348&lt;&gt;"",'Approved-In-Depth'!H348,"")</f>
        <v/>
      </c>
      <c r="I348" t="str">
        <f>IF($A348&lt;&gt;"",'Approved-In-Depth'!I348,"")</f>
        <v/>
      </c>
      <c r="J348" t="str">
        <f>IF($A348&lt;&gt;"",'Approved-In-Depth'!J348,"")</f>
        <v/>
      </c>
      <c r="K348" t="str">
        <f>IF($A348&lt;&gt;"",'Approved-In-Depth'!K348,"")</f>
        <v/>
      </c>
      <c r="L348" s="4" t="str">
        <f>IF($A348&lt;&gt;"",'Approved-In-Depth'!L348,"")</f>
        <v/>
      </c>
      <c r="M348" t="str">
        <f>IF($A348&lt;&gt;"",'Approved-In-Depth'!M348,"")</f>
        <v/>
      </c>
    </row>
    <row r="349" spans="1:13" x14ac:dyDescent="0.35">
      <c r="A349" s="4" t="str">
        <f>IF('Approved-In-Depth'!$A349&lt;&gt;"",'Approved-In-Depth'!A349,"")</f>
        <v/>
      </c>
      <c r="B349" t="str">
        <f>IF($O349&lt;&gt;"",$O349,IF($A349&lt;&gt;"",'Approved-In-Depth'!$B349+7,""))</f>
        <v/>
      </c>
      <c r="C349" t="str">
        <f>IF($A349&lt;&gt;"",'Approved-In-Depth'!C349,"")</f>
        <v/>
      </c>
      <c r="D349" t="str">
        <f>IF($A349&lt;&gt;"",'Approved-In-Depth'!D349,"")</f>
        <v/>
      </c>
      <c r="E349" t="str">
        <f>IF($A349&lt;&gt;"",'Approved-In-Depth'!E349,"")</f>
        <v/>
      </c>
      <c r="F349" t="str">
        <f>IF($A349&lt;&gt;"",'Approved-In-Depth'!F349,"")</f>
        <v/>
      </c>
      <c r="G349" t="str">
        <f>IF($A349&lt;&gt;"",'Approved-In-Depth'!G349,"")</f>
        <v/>
      </c>
      <c r="H349" s="4" t="str">
        <f>IF($A349&lt;&gt;"",'Approved-In-Depth'!H349,"")</f>
        <v/>
      </c>
      <c r="I349" t="str">
        <f>IF($A349&lt;&gt;"",'Approved-In-Depth'!I349,"")</f>
        <v/>
      </c>
      <c r="J349" t="str">
        <f>IF($A349&lt;&gt;"",'Approved-In-Depth'!J349,"")</f>
        <v/>
      </c>
      <c r="K349" t="str">
        <f>IF($A349&lt;&gt;"",'Approved-In-Depth'!K349,"")</f>
        <v/>
      </c>
      <c r="L349" s="4" t="str">
        <f>IF($A349&lt;&gt;"",'Approved-In-Depth'!L349,"")</f>
        <v/>
      </c>
      <c r="M349" t="str">
        <f>IF($A349&lt;&gt;"",'Approved-In-Depth'!M349,"")</f>
        <v/>
      </c>
    </row>
    <row r="350" spans="1:13" x14ac:dyDescent="0.35">
      <c r="A350" s="4" t="str">
        <f>IF('Approved-In-Depth'!$A350&lt;&gt;"",'Approved-In-Depth'!A350,"")</f>
        <v/>
      </c>
      <c r="B350" t="str">
        <f>IF($O350&lt;&gt;"",$O350,IF($A350&lt;&gt;"",'Approved-In-Depth'!$B350+7,""))</f>
        <v/>
      </c>
      <c r="C350" t="str">
        <f>IF($A350&lt;&gt;"",'Approved-In-Depth'!C350,"")</f>
        <v/>
      </c>
      <c r="D350" t="str">
        <f>IF($A350&lt;&gt;"",'Approved-In-Depth'!D350,"")</f>
        <v/>
      </c>
      <c r="E350" t="str">
        <f>IF($A350&lt;&gt;"",'Approved-In-Depth'!E350,"")</f>
        <v/>
      </c>
      <c r="F350" t="str">
        <f>IF($A350&lt;&gt;"",'Approved-In-Depth'!F350,"")</f>
        <v/>
      </c>
      <c r="G350" t="str">
        <f>IF($A350&lt;&gt;"",'Approved-In-Depth'!G350,"")</f>
        <v/>
      </c>
      <c r="H350" s="4" t="str">
        <f>IF($A350&lt;&gt;"",'Approved-In-Depth'!H350,"")</f>
        <v/>
      </c>
      <c r="I350" t="str">
        <f>IF($A350&lt;&gt;"",'Approved-In-Depth'!I350,"")</f>
        <v/>
      </c>
      <c r="J350" t="str">
        <f>IF($A350&lt;&gt;"",'Approved-In-Depth'!J350,"")</f>
        <v/>
      </c>
      <c r="K350" t="str">
        <f>IF($A350&lt;&gt;"",'Approved-In-Depth'!K350,"")</f>
        <v/>
      </c>
      <c r="L350" s="4" t="str">
        <f>IF($A350&lt;&gt;"",'Approved-In-Depth'!L350,"")</f>
        <v/>
      </c>
      <c r="M350" t="str">
        <f>IF($A350&lt;&gt;"",'Approved-In-Depth'!M350,"")</f>
        <v/>
      </c>
    </row>
    <row r="351" spans="1:13" x14ac:dyDescent="0.35">
      <c r="A351" s="4" t="str">
        <f>IF('Approved-In-Depth'!$A351&lt;&gt;"",'Approved-In-Depth'!A351,"")</f>
        <v/>
      </c>
      <c r="B351" t="str">
        <f>IF($O351&lt;&gt;"",$O351,IF($A351&lt;&gt;"",'Approved-In-Depth'!$B351+7,""))</f>
        <v/>
      </c>
      <c r="C351" t="str">
        <f>IF($A351&lt;&gt;"",'Approved-In-Depth'!C351,"")</f>
        <v/>
      </c>
      <c r="D351" t="str">
        <f>IF($A351&lt;&gt;"",'Approved-In-Depth'!D351,"")</f>
        <v/>
      </c>
      <c r="E351" t="str">
        <f>IF($A351&lt;&gt;"",'Approved-In-Depth'!E351,"")</f>
        <v/>
      </c>
      <c r="F351" t="str">
        <f>IF($A351&lt;&gt;"",'Approved-In-Depth'!F351,"")</f>
        <v/>
      </c>
      <c r="G351" t="str">
        <f>IF($A351&lt;&gt;"",'Approved-In-Depth'!G351,"")</f>
        <v/>
      </c>
      <c r="H351" s="4" t="str">
        <f>IF($A351&lt;&gt;"",'Approved-In-Depth'!H351,"")</f>
        <v/>
      </c>
      <c r="I351" t="str">
        <f>IF($A351&lt;&gt;"",'Approved-In-Depth'!I351,"")</f>
        <v/>
      </c>
      <c r="J351" t="str">
        <f>IF($A351&lt;&gt;"",'Approved-In-Depth'!J351,"")</f>
        <v/>
      </c>
      <c r="K351" t="str">
        <f>IF($A351&lt;&gt;"",'Approved-In-Depth'!K351,"")</f>
        <v/>
      </c>
      <c r="L351" s="4" t="str">
        <f>IF($A351&lt;&gt;"",'Approved-In-Depth'!L351,"")</f>
        <v/>
      </c>
      <c r="M351" t="str">
        <f>IF($A351&lt;&gt;"",'Approved-In-Depth'!M351,"")</f>
        <v/>
      </c>
    </row>
    <row r="352" spans="1:13" x14ac:dyDescent="0.35">
      <c r="A352" s="4" t="str">
        <f>IF('Approved-In-Depth'!$A352&lt;&gt;"",'Approved-In-Depth'!A352,"")</f>
        <v/>
      </c>
      <c r="B352" t="str">
        <f>IF($O352&lt;&gt;"",$O352,IF($A352&lt;&gt;"",'Approved-In-Depth'!$B352+7,""))</f>
        <v/>
      </c>
      <c r="C352" t="str">
        <f>IF($A352&lt;&gt;"",'Approved-In-Depth'!C352,"")</f>
        <v/>
      </c>
      <c r="D352" t="str">
        <f>IF($A352&lt;&gt;"",'Approved-In-Depth'!D352,"")</f>
        <v/>
      </c>
      <c r="E352" t="str">
        <f>IF($A352&lt;&gt;"",'Approved-In-Depth'!E352,"")</f>
        <v/>
      </c>
      <c r="F352" t="str">
        <f>IF($A352&lt;&gt;"",'Approved-In-Depth'!F352,"")</f>
        <v/>
      </c>
      <c r="G352" t="str">
        <f>IF($A352&lt;&gt;"",'Approved-In-Depth'!G352,"")</f>
        <v/>
      </c>
      <c r="H352" s="4" t="str">
        <f>IF($A352&lt;&gt;"",'Approved-In-Depth'!H352,"")</f>
        <v/>
      </c>
      <c r="I352" t="str">
        <f>IF($A352&lt;&gt;"",'Approved-In-Depth'!I352,"")</f>
        <v/>
      </c>
      <c r="J352" t="str">
        <f>IF($A352&lt;&gt;"",'Approved-In-Depth'!J352,"")</f>
        <v/>
      </c>
      <c r="K352" t="str">
        <f>IF($A352&lt;&gt;"",'Approved-In-Depth'!K352,"")</f>
        <v/>
      </c>
      <c r="L352" s="4" t="str">
        <f>IF($A352&lt;&gt;"",'Approved-In-Depth'!L352,"")</f>
        <v/>
      </c>
      <c r="M352" t="str">
        <f>IF($A352&lt;&gt;"",'Approved-In-Depth'!M352,"")</f>
        <v/>
      </c>
    </row>
    <row r="353" spans="1:13" x14ac:dyDescent="0.35">
      <c r="A353" s="4" t="str">
        <f>IF('Approved-In-Depth'!$A353&lt;&gt;"",'Approved-In-Depth'!A353,"")</f>
        <v/>
      </c>
      <c r="B353" t="str">
        <f>IF($O353&lt;&gt;"",$O353,IF($A353&lt;&gt;"",'Approved-In-Depth'!$B353+7,""))</f>
        <v/>
      </c>
      <c r="C353" t="str">
        <f>IF($A353&lt;&gt;"",'Approved-In-Depth'!C353,"")</f>
        <v/>
      </c>
      <c r="D353" t="str">
        <f>IF($A353&lt;&gt;"",'Approved-In-Depth'!D353,"")</f>
        <v/>
      </c>
      <c r="E353" t="str">
        <f>IF($A353&lt;&gt;"",'Approved-In-Depth'!E353,"")</f>
        <v/>
      </c>
      <c r="F353" t="str">
        <f>IF($A353&lt;&gt;"",'Approved-In-Depth'!F353,"")</f>
        <v/>
      </c>
      <c r="G353" t="str">
        <f>IF($A353&lt;&gt;"",'Approved-In-Depth'!G353,"")</f>
        <v/>
      </c>
      <c r="H353" s="4" t="str">
        <f>IF($A353&lt;&gt;"",'Approved-In-Depth'!H353,"")</f>
        <v/>
      </c>
      <c r="I353" t="str">
        <f>IF($A353&lt;&gt;"",'Approved-In-Depth'!I353,"")</f>
        <v/>
      </c>
      <c r="J353" t="str">
        <f>IF($A353&lt;&gt;"",'Approved-In-Depth'!J353,"")</f>
        <v/>
      </c>
      <c r="K353" t="str">
        <f>IF($A353&lt;&gt;"",'Approved-In-Depth'!K353,"")</f>
        <v/>
      </c>
      <c r="L353" s="4" t="str">
        <f>IF($A353&lt;&gt;"",'Approved-In-Depth'!L353,"")</f>
        <v/>
      </c>
      <c r="M353" t="str">
        <f>IF($A353&lt;&gt;"",'Approved-In-Depth'!M353,"")</f>
        <v/>
      </c>
    </row>
    <row r="354" spans="1:13" x14ac:dyDescent="0.35">
      <c r="A354" s="4" t="str">
        <f>IF('Approved-In-Depth'!$A354&lt;&gt;"",'Approved-In-Depth'!A354,"")</f>
        <v/>
      </c>
      <c r="B354" t="str">
        <f>IF($O354&lt;&gt;"",$O354,IF($A354&lt;&gt;"",'Approved-In-Depth'!$B354+7,""))</f>
        <v/>
      </c>
      <c r="C354" t="str">
        <f>IF($A354&lt;&gt;"",'Approved-In-Depth'!C354,"")</f>
        <v/>
      </c>
      <c r="D354" t="str">
        <f>IF($A354&lt;&gt;"",'Approved-In-Depth'!D354,"")</f>
        <v/>
      </c>
      <c r="E354" t="str">
        <f>IF($A354&lt;&gt;"",'Approved-In-Depth'!E354,"")</f>
        <v/>
      </c>
      <c r="F354" t="str">
        <f>IF($A354&lt;&gt;"",'Approved-In-Depth'!F354,"")</f>
        <v/>
      </c>
      <c r="G354" t="str">
        <f>IF($A354&lt;&gt;"",'Approved-In-Depth'!G354,"")</f>
        <v/>
      </c>
      <c r="H354" s="4" t="str">
        <f>IF($A354&lt;&gt;"",'Approved-In-Depth'!H354,"")</f>
        <v/>
      </c>
      <c r="I354" t="str">
        <f>IF($A354&lt;&gt;"",'Approved-In-Depth'!I354,"")</f>
        <v/>
      </c>
      <c r="J354" t="str">
        <f>IF($A354&lt;&gt;"",'Approved-In-Depth'!J354,"")</f>
        <v/>
      </c>
      <c r="K354" t="str">
        <f>IF($A354&lt;&gt;"",'Approved-In-Depth'!K354,"")</f>
        <v/>
      </c>
      <c r="L354" s="4" t="str">
        <f>IF($A354&lt;&gt;"",'Approved-In-Depth'!L354,"")</f>
        <v/>
      </c>
      <c r="M354" t="str">
        <f>IF($A354&lt;&gt;"",'Approved-In-Depth'!M354,"")</f>
        <v/>
      </c>
    </row>
    <row r="355" spans="1:13" x14ac:dyDescent="0.35">
      <c r="A355" s="4" t="str">
        <f>IF('Approved-In-Depth'!$A355&lt;&gt;"",'Approved-In-Depth'!A355,"")</f>
        <v/>
      </c>
      <c r="B355" t="str">
        <f>IF($O355&lt;&gt;"",$O355,IF($A355&lt;&gt;"",'Approved-In-Depth'!$B355+7,""))</f>
        <v/>
      </c>
      <c r="C355" t="str">
        <f>IF($A355&lt;&gt;"",'Approved-In-Depth'!C355,"")</f>
        <v/>
      </c>
      <c r="D355" t="str">
        <f>IF($A355&lt;&gt;"",'Approved-In-Depth'!D355,"")</f>
        <v/>
      </c>
      <c r="E355" t="str">
        <f>IF($A355&lt;&gt;"",'Approved-In-Depth'!E355,"")</f>
        <v/>
      </c>
      <c r="F355" t="str">
        <f>IF($A355&lt;&gt;"",'Approved-In-Depth'!F355,"")</f>
        <v/>
      </c>
      <c r="G355" t="str">
        <f>IF($A355&lt;&gt;"",'Approved-In-Depth'!G355,"")</f>
        <v/>
      </c>
      <c r="H355" s="4" t="str">
        <f>IF($A355&lt;&gt;"",'Approved-In-Depth'!H355,"")</f>
        <v/>
      </c>
      <c r="I355" t="str">
        <f>IF($A355&lt;&gt;"",'Approved-In-Depth'!I355,"")</f>
        <v/>
      </c>
      <c r="J355" t="str">
        <f>IF($A355&lt;&gt;"",'Approved-In-Depth'!J355,"")</f>
        <v/>
      </c>
      <c r="K355" t="str">
        <f>IF($A355&lt;&gt;"",'Approved-In-Depth'!K355,"")</f>
        <v/>
      </c>
      <c r="L355" s="4" t="str">
        <f>IF($A355&lt;&gt;"",'Approved-In-Depth'!L355,"")</f>
        <v/>
      </c>
      <c r="M355" t="str">
        <f>IF($A355&lt;&gt;"",'Approved-In-Depth'!M355,"")</f>
        <v/>
      </c>
    </row>
    <row r="356" spans="1:13" x14ac:dyDescent="0.35">
      <c r="A356" s="4" t="str">
        <f>IF('Approved-In-Depth'!$A356&lt;&gt;"",'Approved-In-Depth'!A356,"")</f>
        <v/>
      </c>
      <c r="B356" t="str">
        <f>IF($O356&lt;&gt;"",$O356,IF($A356&lt;&gt;"",'Approved-In-Depth'!$B356+7,""))</f>
        <v/>
      </c>
      <c r="C356" t="str">
        <f>IF($A356&lt;&gt;"",'Approved-In-Depth'!C356,"")</f>
        <v/>
      </c>
      <c r="D356" t="str">
        <f>IF($A356&lt;&gt;"",'Approved-In-Depth'!D356,"")</f>
        <v/>
      </c>
      <c r="E356" t="str">
        <f>IF($A356&lt;&gt;"",'Approved-In-Depth'!E356,"")</f>
        <v/>
      </c>
      <c r="F356" t="str">
        <f>IF($A356&lt;&gt;"",'Approved-In-Depth'!F356,"")</f>
        <v/>
      </c>
      <c r="G356" t="str">
        <f>IF($A356&lt;&gt;"",'Approved-In-Depth'!G356,"")</f>
        <v/>
      </c>
      <c r="H356" s="4" t="str">
        <f>IF($A356&lt;&gt;"",'Approved-In-Depth'!H356,"")</f>
        <v/>
      </c>
      <c r="I356" t="str">
        <f>IF($A356&lt;&gt;"",'Approved-In-Depth'!I356,"")</f>
        <v/>
      </c>
      <c r="J356" t="str">
        <f>IF($A356&lt;&gt;"",'Approved-In-Depth'!J356,"")</f>
        <v/>
      </c>
      <c r="K356" t="str">
        <f>IF($A356&lt;&gt;"",'Approved-In-Depth'!K356,"")</f>
        <v/>
      </c>
      <c r="L356" s="4" t="str">
        <f>IF($A356&lt;&gt;"",'Approved-In-Depth'!L356,"")</f>
        <v/>
      </c>
      <c r="M356" t="str">
        <f>IF($A356&lt;&gt;"",'Approved-In-Depth'!M356,"")</f>
        <v/>
      </c>
    </row>
    <row r="357" spans="1:13" x14ac:dyDescent="0.35">
      <c r="A357" s="4" t="str">
        <f>IF('Approved-In-Depth'!$A357&lt;&gt;"",'Approved-In-Depth'!A357,"")</f>
        <v/>
      </c>
      <c r="B357" t="str">
        <f>IF($O357&lt;&gt;"",$O357,IF($A357&lt;&gt;"",'Approved-In-Depth'!$B357+7,""))</f>
        <v/>
      </c>
      <c r="C357" t="str">
        <f>IF($A357&lt;&gt;"",'Approved-In-Depth'!C357,"")</f>
        <v/>
      </c>
      <c r="D357" t="str">
        <f>IF($A357&lt;&gt;"",'Approved-In-Depth'!D357,"")</f>
        <v/>
      </c>
      <c r="E357" t="str">
        <f>IF($A357&lt;&gt;"",'Approved-In-Depth'!E357,"")</f>
        <v/>
      </c>
      <c r="F357" t="str">
        <f>IF($A357&lt;&gt;"",'Approved-In-Depth'!F357,"")</f>
        <v/>
      </c>
      <c r="G357" t="str">
        <f>IF($A357&lt;&gt;"",'Approved-In-Depth'!G357,"")</f>
        <v/>
      </c>
      <c r="H357" s="4" t="str">
        <f>IF($A357&lt;&gt;"",'Approved-In-Depth'!H357,"")</f>
        <v/>
      </c>
      <c r="I357" t="str">
        <f>IF($A357&lt;&gt;"",'Approved-In-Depth'!I357,"")</f>
        <v/>
      </c>
      <c r="J357" t="str">
        <f>IF($A357&lt;&gt;"",'Approved-In-Depth'!J357,"")</f>
        <v/>
      </c>
      <c r="K357" t="str">
        <f>IF($A357&lt;&gt;"",'Approved-In-Depth'!K357,"")</f>
        <v/>
      </c>
      <c r="L357" s="4" t="str">
        <f>IF($A357&lt;&gt;"",'Approved-In-Depth'!L357,"")</f>
        <v/>
      </c>
      <c r="M357" t="str">
        <f>IF($A357&lt;&gt;"",'Approved-In-Depth'!M357,"")</f>
        <v/>
      </c>
    </row>
    <row r="358" spans="1:13" x14ac:dyDescent="0.35">
      <c r="A358" s="4" t="str">
        <f>IF('Approved-In-Depth'!$A358&lt;&gt;"",'Approved-In-Depth'!A358,"")</f>
        <v/>
      </c>
      <c r="B358" t="str">
        <f>IF($O358&lt;&gt;"",$O358,IF($A358&lt;&gt;"",'Approved-In-Depth'!$B358+7,""))</f>
        <v/>
      </c>
      <c r="C358" t="str">
        <f>IF($A358&lt;&gt;"",'Approved-In-Depth'!C358,"")</f>
        <v/>
      </c>
      <c r="D358" t="str">
        <f>IF($A358&lt;&gt;"",'Approved-In-Depth'!D358,"")</f>
        <v/>
      </c>
      <c r="E358" t="str">
        <f>IF($A358&lt;&gt;"",'Approved-In-Depth'!E358,"")</f>
        <v/>
      </c>
      <c r="F358" t="str">
        <f>IF($A358&lt;&gt;"",'Approved-In-Depth'!F358,"")</f>
        <v/>
      </c>
      <c r="G358" t="str">
        <f>IF($A358&lt;&gt;"",'Approved-In-Depth'!G358,"")</f>
        <v/>
      </c>
      <c r="H358" s="4" t="str">
        <f>IF($A358&lt;&gt;"",'Approved-In-Depth'!H358,"")</f>
        <v/>
      </c>
      <c r="I358" t="str">
        <f>IF($A358&lt;&gt;"",'Approved-In-Depth'!I358,"")</f>
        <v/>
      </c>
      <c r="J358" t="str">
        <f>IF($A358&lt;&gt;"",'Approved-In-Depth'!J358,"")</f>
        <v/>
      </c>
      <c r="K358" t="str">
        <f>IF($A358&lt;&gt;"",'Approved-In-Depth'!K358,"")</f>
        <v/>
      </c>
      <c r="L358" s="4" t="str">
        <f>IF($A358&lt;&gt;"",'Approved-In-Depth'!L358,"")</f>
        <v/>
      </c>
      <c r="M358" t="str">
        <f>IF($A358&lt;&gt;"",'Approved-In-Depth'!M358,"")</f>
        <v/>
      </c>
    </row>
    <row r="359" spans="1:13" x14ac:dyDescent="0.35">
      <c r="A359" s="4" t="str">
        <f>IF('Approved-In-Depth'!$A359&lt;&gt;"",'Approved-In-Depth'!A359,"")</f>
        <v/>
      </c>
      <c r="B359" t="str">
        <f>IF($O359&lt;&gt;"",$O359,IF($A359&lt;&gt;"",'Approved-In-Depth'!$B359+7,""))</f>
        <v/>
      </c>
      <c r="C359" t="str">
        <f>IF($A359&lt;&gt;"",'Approved-In-Depth'!C359,"")</f>
        <v/>
      </c>
      <c r="D359" t="str">
        <f>IF($A359&lt;&gt;"",'Approved-In-Depth'!D359,"")</f>
        <v/>
      </c>
      <c r="E359" t="str">
        <f>IF($A359&lt;&gt;"",'Approved-In-Depth'!E359,"")</f>
        <v/>
      </c>
      <c r="F359" t="str">
        <f>IF($A359&lt;&gt;"",'Approved-In-Depth'!F359,"")</f>
        <v/>
      </c>
      <c r="G359" t="str">
        <f>IF($A359&lt;&gt;"",'Approved-In-Depth'!G359,"")</f>
        <v/>
      </c>
      <c r="H359" s="4" t="str">
        <f>IF($A359&lt;&gt;"",'Approved-In-Depth'!H359,"")</f>
        <v/>
      </c>
      <c r="I359" t="str">
        <f>IF($A359&lt;&gt;"",'Approved-In-Depth'!I359,"")</f>
        <v/>
      </c>
      <c r="J359" t="str">
        <f>IF($A359&lt;&gt;"",'Approved-In-Depth'!J359,"")</f>
        <v/>
      </c>
      <c r="K359" t="str">
        <f>IF($A359&lt;&gt;"",'Approved-In-Depth'!K359,"")</f>
        <v/>
      </c>
      <c r="L359" s="4" t="str">
        <f>IF($A359&lt;&gt;"",'Approved-In-Depth'!L359,"")</f>
        <v/>
      </c>
      <c r="M359" t="str">
        <f>IF($A359&lt;&gt;"",'Approved-In-Depth'!M359,"")</f>
        <v/>
      </c>
    </row>
    <row r="360" spans="1:13" x14ac:dyDescent="0.35">
      <c r="A360" s="4" t="str">
        <f>IF('Approved-In-Depth'!$A360&lt;&gt;"",'Approved-In-Depth'!A360,"")</f>
        <v/>
      </c>
      <c r="B360" t="str">
        <f>IF($O360&lt;&gt;"",$O360,IF($A360&lt;&gt;"",'Approved-In-Depth'!$B360+7,""))</f>
        <v/>
      </c>
      <c r="C360" t="str">
        <f>IF($A360&lt;&gt;"",'Approved-In-Depth'!C360,"")</f>
        <v/>
      </c>
      <c r="D360" t="str">
        <f>IF($A360&lt;&gt;"",'Approved-In-Depth'!D360,"")</f>
        <v/>
      </c>
      <c r="E360" t="str">
        <f>IF($A360&lt;&gt;"",'Approved-In-Depth'!E360,"")</f>
        <v/>
      </c>
      <c r="F360" t="str">
        <f>IF($A360&lt;&gt;"",'Approved-In-Depth'!F360,"")</f>
        <v/>
      </c>
      <c r="G360" t="str">
        <f>IF($A360&lt;&gt;"",'Approved-In-Depth'!G360,"")</f>
        <v/>
      </c>
      <c r="H360" s="4" t="str">
        <f>IF($A360&lt;&gt;"",'Approved-In-Depth'!H360,"")</f>
        <v/>
      </c>
      <c r="I360" t="str">
        <f>IF($A360&lt;&gt;"",'Approved-In-Depth'!I360,"")</f>
        <v/>
      </c>
      <c r="J360" t="str">
        <f>IF($A360&lt;&gt;"",'Approved-In-Depth'!J360,"")</f>
        <v/>
      </c>
      <c r="K360" t="str">
        <f>IF($A360&lt;&gt;"",'Approved-In-Depth'!K360,"")</f>
        <v/>
      </c>
      <c r="L360" s="4" t="str">
        <f>IF($A360&lt;&gt;"",'Approved-In-Depth'!L360,"")</f>
        <v/>
      </c>
      <c r="M360" t="str">
        <f>IF($A360&lt;&gt;"",'Approved-In-Depth'!M360,"")</f>
        <v/>
      </c>
    </row>
    <row r="361" spans="1:13" x14ac:dyDescent="0.35">
      <c r="A361" s="4" t="str">
        <f>IF('Approved-In-Depth'!$A361&lt;&gt;"",'Approved-In-Depth'!A361,"")</f>
        <v/>
      </c>
      <c r="B361" t="str">
        <f>IF($O361&lt;&gt;"",$O361,IF($A361&lt;&gt;"",'Approved-In-Depth'!$B361+7,""))</f>
        <v/>
      </c>
      <c r="C361" t="str">
        <f>IF($A361&lt;&gt;"",'Approved-In-Depth'!C361,"")</f>
        <v/>
      </c>
      <c r="D361" t="str">
        <f>IF($A361&lt;&gt;"",'Approved-In-Depth'!D361,"")</f>
        <v/>
      </c>
      <c r="E361" t="str">
        <f>IF($A361&lt;&gt;"",'Approved-In-Depth'!E361,"")</f>
        <v/>
      </c>
      <c r="F361" t="str">
        <f>IF($A361&lt;&gt;"",'Approved-In-Depth'!F361,"")</f>
        <v/>
      </c>
      <c r="G361" t="str">
        <f>IF($A361&lt;&gt;"",'Approved-In-Depth'!G361,"")</f>
        <v/>
      </c>
      <c r="H361" s="4" t="str">
        <f>IF($A361&lt;&gt;"",'Approved-In-Depth'!H361,"")</f>
        <v/>
      </c>
      <c r="I361" t="str">
        <f>IF($A361&lt;&gt;"",'Approved-In-Depth'!I361,"")</f>
        <v/>
      </c>
      <c r="J361" t="str">
        <f>IF($A361&lt;&gt;"",'Approved-In-Depth'!J361,"")</f>
        <v/>
      </c>
      <c r="K361" t="str">
        <f>IF($A361&lt;&gt;"",'Approved-In-Depth'!K361,"")</f>
        <v/>
      </c>
      <c r="L361" s="4" t="str">
        <f>IF($A361&lt;&gt;"",'Approved-In-Depth'!L361,"")</f>
        <v/>
      </c>
      <c r="M361" t="str">
        <f>IF($A361&lt;&gt;"",'Approved-In-Depth'!M361,"")</f>
        <v/>
      </c>
    </row>
    <row r="362" spans="1:13" x14ac:dyDescent="0.35">
      <c r="A362" s="4" t="str">
        <f>IF('Approved-In-Depth'!$A362&lt;&gt;"",'Approved-In-Depth'!A362,"")</f>
        <v/>
      </c>
      <c r="B362" t="str">
        <f>IF($O362&lt;&gt;"",$O362,IF($A362&lt;&gt;"",'Approved-In-Depth'!$B362+7,""))</f>
        <v/>
      </c>
      <c r="C362" t="str">
        <f>IF($A362&lt;&gt;"",'Approved-In-Depth'!C362,"")</f>
        <v/>
      </c>
      <c r="D362" t="str">
        <f>IF($A362&lt;&gt;"",'Approved-In-Depth'!D362,"")</f>
        <v/>
      </c>
      <c r="E362" t="str">
        <f>IF($A362&lt;&gt;"",'Approved-In-Depth'!E362,"")</f>
        <v/>
      </c>
      <c r="F362" t="str">
        <f>IF($A362&lt;&gt;"",'Approved-In-Depth'!F362,"")</f>
        <v/>
      </c>
      <c r="G362" t="str">
        <f>IF($A362&lt;&gt;"",'Approved-In-Depth'!G362,"")</f>
        <v/>
      </c>
      <c r="H362" s="4" t="str">
        <f>IF($A362&lt;&gt;"",'Approved-In-Depth'!H362,"")</f>
        <v/>
      </c>
      <c r="I362" t="str">
        <f>IF($A362&lt;&gt;"",'Approved-In-Depth'!I362,"")</f>
        <v/>
      </c>
      <c r="J362" t="str">
        <f>IF($A362&lt;&gt;"",'Approved-In-Depth'!J362,"")</f>
        <v/>
      </c>
      <c r="K362" t="str">
        <f>IF($A362&lt;&gt;"",'Approved-In-Depth'!K362,"")</f>
        <v/>
      </c>
      <c r="L362" s="4" t="str">
        <f>IF($A362&lt;&gt;"",'Approved-In-Depth'!L362,"")</f>
        <v/>
      </c>
      <c r="M362" t="str">
        <f>IF($A362&lt;&gt;"",'Approved-In-Depth'!M362,"")</f>
        <v/>
      </c>
    </row>
    <row r="363" spans="1:13" x14ac:dyDescent="0.35">
      <c r="A363" s="4" t="str">
        <f>IF('Approved-In-Depth'!$A363&lt;&gt;"",'Approved-In-Depth'!A363,"")</f>
        <v/>
      </c>
      <c r="B363" t="str">
        <f>IF($O363&lt;&gt;"",$O363,IF($A363&lt;&gt;"",'Approved-In-Depth'!$B363+7,""))</f>
        <v/>
      </c>
      <c r="C363" t="str">
        <f>IF($A363&lt;&gt;"",'Approved-In-Depth'!C363,"")</f>
        <v/>
      </c>
      <c r="D363" t="str">
        <f>IF($A363&lt;&gt;"",'Approved-In-Depth'!D363,"")</f>
        <v/>
      </c>
      <c r="E363" t="str">
        <f>IF($A363&lt;&gt;"",'Approved-In-Depth'!E363,"")</f>
        <v/>
      </c>
      <c r="F363" t="str">
        <f>IF($A363&lt;&gt;"",'Approved-In-Depth'!F363,"")</f>
        <v/>
      </c>
      <c r="G363" t="str">
        <f>IF($A363&lt;&gt;"",'Approved-In-Depth'!G363,"")</f>
        <v/>
      </c>
      <c r="H363" s="4" t="str">
        <f>IF($A363&lt;&gt;"",'Approved-In-Depth'!H363,"")</f>
        <v/>
      </c>
      <c r="I363" t="str">
        <f>IF($A363&lt;&gt;"",'Approved-In-Depth'!I363,"")</f>
        <v/>
      </c>
      <c r="J363" t="str">
        <f>IF($A363&lt;&gt;"",'Approved-In-Depth'!J363,"")</f>
        <v/>
      </c>
      <c r="K363" t="str">
        <f>IF($A363&lt;&gt;"",'Approved-In-Depth'!K363,"")</f>
        <v/>
      </c>
      <c r="L363" s="4" t="str">
        <f>IF($A363&lt;&gt;"",'Approved-In-Depth'!L363,"")</f>
        <v/>
      </c>
      <c r="M363" t="str">
        <f>IF($A363&lt;&gt;"",'Approved-In-Depth'!M363,"")</f>
        <v/>
      </c>
    </row>
    <row r="364" spans="1:13" x14ac:dyDescent="0.35">
      <c r="A364" s="4" t="str">
        <f>IF('Approved-In-Depth'!$A364&lt;&gt;"",'Approved-In-Depth'!A364,"")</f>
        <v/>
      </c>
      <c r="B364" t="str">
        <f>IF($O364&lt;&gt;"",$O364,IF($A364&lt;&gt;"",'Approved-In-Depth'!$B364+7,""))</f>
        <v/>
      </c>
      <c r="C364" t="str">
        <f>IF($A364&lt;&gt;"",'Approved-In-Depth'!C364,"")</f>
        <v/>
      </c>
      <c r="D364" t="str">
        <f>IF($A364&lt;&gt;"",'Approved-In-Depth'!D364,"")</f>
        <v/>
      </c>
      <c r="E364" t="str">
        <f>IF($A364&lt;&gt;"",'Approved-In-Depth'!E364,"")</f>
        <v/>
      </c>
      <c r="F364" t="str">
        <f>IF($A364&lt;&gt;"",'Approved-In-Depth'!F364,"")</f>
        <v/>
      </c>
      <c r="G364" t="str">
        <f>IF($A364&lt;&gt;"",'Approved-In-Depth'!G364,"")</f>
        <v/>
      </c>
      <c r="H364" s="4" t="str">
        <f>IF($A364&lt;&gt;"",'Approved-In-Depth'!H364,"")</f>
        <v/>
      </c>
      <c r="I364" t="str">
        <f>IF($A364&lt;&gt;"",'Approved-In-Depth'!I364,"")</f>
        <v/>
      </c>
      <c r="J364" t="str">
        <f>IF($A364&lt;&gt;"",'Approved-In-Depth'!J364,"")</f>
        <v/>
      </c>
      <c r="K364" t="str">
        <f>IF($A364&lt;&gt;"",'Approved-In-Depth'!K364,"")</f>
        <v/>
      </c>
      <c r="L364" s="4" t="str">
        <f>IF($A364&lt;&gt;"",'Approved-In-Depth'!L364,"")</f>
        <v/>
      </c>
      <c r="M364" t="str">
        <f>IF($A364&lt;&gt;"",'Approved-In-Depth'!M364,"")</f>
        <v/>
      </c>
    </row>
    <row r="365" spans="1:13" x14ac:dyDescent="0.35">
      <c r="A365" s="4" t="str">
        <f>IF('Approved-In-Depth'!$A365&lt;&gt;"",'Approved-In-Depth'!A365,"")</f>
        <v/>
      </c>
      <c r="B365" t="str">
        <f>IF($O365&lt;&gt;"",$O365,IF($A365&lt;&gt;"",'Approved-In-Depth'!$B365+7,""))</f>
        <v/>
      </c>
      <c r="C365" t="str">
        <f>IF($A365&lt;&gt;"",'Approved-In-Depth'!C365,"")</f>
        <v/>
      </c>
      <c r="D365" t="str">
        <f>IF($A365&lt;&gt;"",'Approved-In-Depth'!D365,"")</f>
        <v/>
      </c>
      <c r="E365" t="str">
        <f>IF($A365&lt;&gt;"",'Approved-In-Depth'!E365,"")</f>
        <v/>
      </c>
      <c r="F365" t="str">
        <f>IF($A365&lt;&gt;"",'Approved-In-Depth'!F365,"")</f>
        <v/>
      </c>
      <c r="G365" t="str">
        <f>IF($A365&lt;&gt;"",'Approved-In-Depth'!G365,"")</f>
        <v/>
      </c>
      <c r="H365" s="4" t="str">
        <f>IF($A365&lt;&gt;"",'Approved-In-Depth'!H365,"")</f>
        <v/>
      </c>
      <c r="I365" t="str">
        <f>IF($A365&lt;&gt;"",'Approved-In-Depth'!I365,"")</f>
        <v/>
      </c>
      <c r="J365" t="str">
        <f>IF($A365&lt;&gt;"",'Approved-In-Depth'!J365,"")</f>
        <v/>
      </c>
      <c r="K365" t="str">
        <f>IF($A365&lt;&gt;"",'Approved-In-Depth'!K365,"")</f>
        <v/>
      </c>
      <c r="L365" s="4" t="str">
        <f>IF($A365&lt;&gt;"",'Approved-In-Depth'!L365,"")</f>
        <v/>
      </c>
      <c r="M365" t="str">
        <f>IF($A365&lt;&gt;"",'Approved-In-Depth'!M365,"")</f>
        <v/>
      </c>
    </row>
    <row r="366" spans="1:13" x14ac:dyDescent="0.35">
      <c r="A366" s="4" t="str">
        <f>IF('Approved-In-Depth'!$A366&lt;&gt;"",'Approved-In-Depth'!A366,"")</f>
        <v/>
      </c>
      <c r="B366" t="str">
        <f>IF($O366&lt;&gt;"",$O366,IF($A366&lt;&gt;"",'Approved-In-Depth'!$B366+7,""))</f>
        <v/>
      </c>
      <c r="C366" t="str">
        <f>IF($A366&lt;&gt;"",'Approved-In-Depth'!C366,"")</f>
        <v/>
      </c>
      <c r="D366" t="str">
        <f>IF($A366&lt;&gt;"",'Approved-In-Depth'!D366,"")</f>
        <v/>
      </c>
      <c r="E366" t="str">
        <f>IF($A366&lt;&gt;"",'Approved-In-Depth'!E366,"")</f>
        <v/>
      </c>
      <c r="F366" t="str">
        <f>IF($A366&lt;&gt;"",'Approved-In-Depth'!F366,"")</f>
        <v/>
      </c>
      <c r="G366" t="str">
        <f>IF($A366&lt;&gt;"",'Approved-In-Depth'!G366,"")</f>
        <v/>
      </c>
      <c r="H366" s="4" t="str">
        <f>IF($A366&lt;&gt;"",'Approved-In-Depth'!H366,"")</f>
        <v/>
      </c>
      <c r="I366" t="str">
        <f>IF($A366&lt;&gt;"",'Approved-In-Depth'!I366,"")</f>
        <v/>
      </c>
      <c r="J366" t="str">
        <f>IF($A366&lt;&gt;"",'Approved-In-Depth'!J366,"")</f>
        <v/>
      </c>
      <c r="K366" t="str">
        <f>IF($A366&lt;&gt;"",'Approved-In-Depth'!K366,"")</f>
        <v/>
      </c>
      <c r="L366" s="4" t="str">
        <f>IF($A366&lt;&gt;"",'Approved-In-Depth'!L366,"")</f>
        <v/>
      </c>
      <c r="M366" t="str">
        <f>IF($A366&lt;&gt;"",'Approved-In-Depth'!M366,"")</f>
        <v/>
      </c>
    </row>
    <row r="367" spans="1:13" x14ac:dyDescent="0.35">
      <c r="A367" s="4" t="str">
        <f>IF('Approved-In-Depth'!$A367&lt;&gt;"",'Approved-In-Depth'!A367,"")</f>
        <v/>
      </c>
      <c r="B367" t="str">
        <f>IF($O367&lt;&gt;"",$O367,IF($A367&lt;&gt;"",'Approved-In-Depth'!$B367+7,""))</f>
        <v/>
      </c>
      <c r="C367" t="str">
        <f>IF($A367&lt;&gt;"",'Approved-In-Depth'!C367,"")</f>
        <v/>
      </c>
      <c r="D367" t="str">
        <f>IF($A367&lt;&gt;"",'Approved-In-Depth'!D367,"")</f>
        <v/>
      </c>
      <c r="E367" t="str">
        <f>IF($A367&lt;&gt;"",'Approved-In-Depth'!E367,"")</f>
        <v/>
      </c>
      <c r="F367" t="str">
        <f>IF($A367&lt;&gt;"",'Approved-In-Depth'!F367,"")</f>
        <v/>
      </c>
      <c r="G367" t="str">
        <f>IF($A367&lt;&gt;"",'Approved-In-Depth'!G367,"")</f>
        <v/>
      </c>
      <c r="H367" s="4" t="str">
        <f>IF($A367&lt;&gt;"",'Approved-In-Depth'!H367,"")</f>
        <v/>
      </c>
      <c r="I367" t="str">
        <f>IF($A367&lt;&gt;"",'Approved-In-Depth'!I367,"")</f>
        <v/>
      </c>
      <c r="J367" t="str">
        <f>IF($A367&lt;&gt;"",'Approved-In-Depth'!J367,"")</f>
        <v/>
      </c>
      <c r="K367" t="str">
        <f>IF($A367&lt;&gt;"",'Approved-In-Depth'!K367,"")</f>
        <v/>
      </c>
      <c r="L367" s="4" t="str">
        <f>IF($A367&lt;&gt;"",'Approved-In-Depth'!L367,"")</f>
        <v/>
      </c>
      <c r="M367" t="str">
        <f>IF($A367&lt;&gt;"",'Approved-In-Depth'!M367,"")</f>
        <v/>
      </c>
    </row>
    <row r="368" spans="1:13" x14ac:dyDescent="0.35">
      <c r="A368" s="4" t="str">
        <f>IF('Approved-In-Depth'!$A368&lt;&gt;"",'Approved-In-Depth'!A368,"")</f>
        <v/>
      </c>
      <c r="B368" t="str">
        <f>IF($O368&lt;&gt;"",$O368,IF($A368&lt;&gt;"",'Approved-In-Depth'!$B368+7,""))</f>
        <v/>
      </c>
      <c r="C368" t="str">
        <f>IF($A368&lt;&gt;"",'Approved-In-Depth'!C368,"")</f>
        <v/>
      </c>
      <c r="D368" t="str">
        <f>IF($A368&lt;&gt;"",'Approved-In-Depth'!D368,"")</f>
        <v/>
      </c>
      <c r="E368" t="str">
        <f>IF($A368&lt;&gt;"",'Approved-In-Depth'!E368,"")</f>
        <v/>
      </c>
      <c r="F368" t="str">
        <f>IF($A368&lt;&gt;"",'Approved-In-Depth'!F368,"")</f>
        <v/>
      </c>
      <c r="G368" t="str">
        <f>IF($A368&lt;&gt;"",'Approved-In-Depth'!G368,"")</f>
        <v/>
      </c>
      <c r="H368" s="4" t="str">
        <f>IF($A368&lt;&gt;"",'Approved-In-Depth'!H368,"")</f>
        <v/>
      </c>
      <c r="I368" t="str">
        <f>IF($A368&lt;&gt;"",'Approved-In-Depth'!I368,"")</f>
        <v/>
      </c>
      <c r="J368" t="str">
        <f>IF($A368&lt;&gt;"",'Approved-In-Depth'!J368,"")</f>
        <v/>
      </c>
      <c r="K368" t="str">
        <f>IF($A368&lt;&gt;"",'Approved-In-Depth'!K368,"")</f>
        <v/>
      </c>
      <c r="L368" s="4" t="str">
        <f>IF($A368&lt;&gt;"",'Approved-In-Depth'!L368,"")</f>
        <v/>
      </c>
      <c r="M368" t="str">
        <f>IF($A368&lt;&gt;"",'Approved-In-Depth'!M368,"")</f>
        <v/>
      </c>
    </row>
    <row r="369" spans="1:13" x14ac:dyDescent="0.35">
      <c r="A369" s="4" t="str">
        <f>IF('Approved-In-Depth'!$A369&lt;&gt;"",'Approved-In-Depth'!A369,"")</f>
        <v/>
      </c>
      <c r="B369" t="str">
        <f>IF($O369&lt;&gt;"",$O369,IF($A369&lt;&gt;"",'Approved-In-Depth'!$B369+7,""))</f>
        <v/>
      </c>
      <c r="C369" t="str">
        <f>IF($A369&lt;&gt;"",'Approved-In-Depth'!C369,"")</f>
        <v/>
      </c>
      <c r="D369" t="str">
        <f>IF($A369&lt;&gt;"",'Approved-In-Depth'!D369,"")</f>
        <v/>
      </c>
      <c r="E369" t="str">
        <f>IF($A369&lt;&gt;"",'Approved-In-Depth'!E369,"")</f>
        <v/>
      </c>
      <c r="F369" t="str">
        <f>IF($A369&lt;&gt;"",'Approved-In-Depth'!F369,"")</f>
        <v/>
      </c>
      <c r="G369" t="str">
        <f>IF($A369&lt;&gt;"",'Approved-In-Depth'!G369,"")</f>
        <v/>
      </c>
      <c r="H369" s="4" t="str">
        <f>IF($A369&lt;&gt;"",'Approved-In-Depth'!H369,"")</f>
        <v/>
      </c>
      <c r="I369" t="str">
        <f>IF($A369&lt;&gt;"",'Approved-In-Depth'!I369,"")</f>
        <v/>
      </c>
      <c r="J369" t="str">
        <f>IF($A369&lt;&gt;"",'Approved-In-Depth'!J369,"")</f>
        <v/>
      </c>
      <c r="K369" t="str">
        <f>IF($A369&lt;&gt;"",'Approved-In-Depth'!K369,"")</f>
        <v/>
      </c>
      <c r="L369" s="4" t="str">
        <f>IF($A369&lt;&gt;"",'Approved-In-Depth'!L369,"")</f>
        <v/>
      </c>
      <c r="M369" t="str">
        <f>IF($A369&lt;&gt;"",'Approved-In-Depth'!M369,"")</f>
        <v/>
      </c>
    </row>
    <row r="370" spans="1:13" x14ac:dyDescent="0.35">
      <c r="A370" s="4" t="str">
        <f>IF('Approved-In-Depth'!$A370&lt;&gt;"",'Approved-In-Depth'!A370,"")</f>
        <v/>
      </c>
      <c r="B370" t="str">
        <f>IF($O370&lt;&gt;"",$O370,IF($A370&lt;&gt;"",'Approved-In-Depth'!$B370+7,""))</f>
        <v/>
      </c>
      <c r="C370" t="str">
        <f>IF($A370&lt;&gt;"",'Approved-In-Depth'!C370,"")</f>
        <v/>
      </c>
      <c r="D370" t="str">
        <f>IF($A370&lt;&gt;"",'Approved-In-Depth'!D370,"")</f>
        <v/>
      </c>
      <c r="E370" t="str">
        <f>IF($A370&lt;&gt;"",'Approved-In-Depth'!E370,"")</f>
        <v/>
      </c>
      <c r="F370" t="str">
        <f>IF($A370&lt;&gt;"",'Approved-In-Depth'!F370,"")</f>
        <v/>
      </c>
      <c r="G370" t="str">
        <f>IF($A370&lt;&gt;"",'Approved-In-Depth'!G370,"")</f>
        <v/>
      </c>
      <c r="H370" s="4" t="str">
        <f>IF($A370&lt;&gt;"",'Approved-In-Depth'!H370,"")</f>
        <v/>
      </c>
      <c r="I370" t="str">
        <f>IF($A370&lt;&gt;"",'Approved-In-Depth'!I370,"")</f>
        <v/>
      </c>
      <c r="J370" t="str">
        <f>IF($A370&lt;&gt;"",'Approved-In-Depth'!J370,"")</f>
        <v/>
      </c>
      <c r="K370" t="str">
        <f>IF($A370&lt;&gt;"",'Approved-In-Depth'!K370,"")</f>
        <v/>
      </c>
      <c r="L370" s="4" t="str">
        <f>IF($A370&lt;&gt;"",'Approved-In-Depth'!L370,"")</f>
        <v/>
      </c>
      <c r="M370" t="str">
        <f>IF($A370&lt;&gt;"",'Approved-In-Depth'!M370,"")</f>
        <v/>
      </c>
    </row>
    <row r="371" spans="1:13" x14ac:dyDescent="0.35">
      <c r="A371" s="4" t="str">
        <f>IF('Approved-In-Depth'!$A371&lt;&gt;"",'Approved-In-Depth'!A371,"")</f>
        <v/>
      </c>
      <c r="B371" t="str">
        <f>IF($O371&lt;&gt;"",$O371,IF($A371&lt;&gt;"",'Approved-In-Depth'!$B371+7,""))</f>
        <v/>
      </c>
      <c r="C371" t="str">
        <f>IF($A371&lt;&gt;"",'Approved-In-Depth'!C371,"")</f>
        <v/>
      </c>
      <c r="D371" t="str">
        <f>IF($A371&lt;&gt;"",'Approved-In-Depth'!D371,"")</f>
        <v/>
      </c>
      <c r="E371" t="str">
        <f>IF($A371&lt;&gt;"",'Approved-In-Depth'!E371,"")</f>
        <v/>
      </c>
      <c r="F371" t="str">
        <f>IF($A371&lt;&gt;"",'Approved-In-Depth'!F371,"")</f>
        <v/>
      </c>
      <c r="G371" t="str">
        <f>IF($A371&lt;&gt;"",'Approved-In-Depth'!G371,"")</f>
        <v/>
      </c>
      <c r="H371" s="4" t="str">
        <f>IF($A371&lt;&gt;"",'Approved-In-Depth'!H371,"")</f>
        <v/>
      </c>
      <c r="I371" t="str">
        <f>IF($A371&lt;&gt;"",'Approved-In-Depth'!I371,"")</f>
        <v/>
      </c>
      <c r="J371" t="str">
        <f>IF($A371&lt;&gt;"",'Approved-In-Depth'!J371,"")</f>
        <v/>
      </c>
      <c r="K371" t="str">
        <f>IF($A371&lt;&gt;"",'Approved-In-Depth'!K371,"")</f>
        <v/>
      </c>
      <c r="L371" s="4" t="str">
        <f>IF($A371&lt;&gt;"",'Approved-In-Depth'!L371,"")</f>
        <v/>
      </c>
      <c r="M371" t="str">
        <f>IF($A371&lt;&gt;"",'Approved-In-Depth'!M371,"")</f>
        <v/>
      </c>
    </row>
    <row r="372" spans="1:13" x14ac:dyDescent="0.35">
      <c r="A372" s="4" t="str">
        <f>IF('Approved-In-Depth'!$A372&lt;&gt;"",'Approved-In-Depth'!A372,"")</f>
        <v/>
      </c>
      <c r="B372" t="str">
        <f>IF($O372&lt;&gt;"",$O372,IF($A372&lt;&gt;"",'Approved-In-Depth'!$B372+7,""))</f>
        <v/>
      </c>
      <c r="C372" t="str">
        <f>IF($A372&lt;&gt;"",'Approved-In-Depth'!C372,"")</f>
        <v/>
      </c>
      <c r="D372" t="str">
        <f>IF($A372&lt;&gt;"",'Approved-In-Depth'!D372,"")</f>
        <v/>
      </c>
      <c r="E372" t="str">
        <f>IF($A372&lt;&gt;"",'Approved-In-Depth'!E372,"")</f>
        <v/>
      </c>
      <c r="F372" t="str">
        <f>IF($A372&lt;&gt;"",'Approved-In-Depth'!F372,"")</f>
        <v/>
      </c>
      <c r="G372" t="str">
        <f>IF($A372&lt;&gt;"",'Approved-In-Depth'!G372,"")</f>
        <v/>
      </c>
      <c r="H372" s="4" t="str">
        <f>IF($A372&lt;&gt;"",'Approved-In-Depth'!H372,"")</f>
        <v/>
      </c>
      <c r="I372" t="str">
        <f>IF($A372&lt;&gt;"",'Approved-In-Depth'!I372,"")</f>
        <v/>
      </c>
      <c r="J372" t="str">
        <f>IF($A372&lt;&gt;"",'Approved-In-Depth'!J372,"")</f>
        <v/>
      </c>
      <c r="K372" t="str">
        <f>IF($A372&lt;&gt;"",'Approved-In-Depth'!K372,"")</f>
        <v/>
      </c>
      <c r="L372" s="4" t="str">
        <f>IF($A372&lt;&gt;"",'Approved-In-Depth'!L372,"")</f>
        <v/>
      </c>
      <c r="M372" t="str">
        <f>IF($A372&lt;&gt;"",'Approved-In-Depth'!M372,"")</f>
        <v/>
      </c>
    </row>
    <row r="373" spans="1:13" x14ac:dyDescent="0.35">
      <c r="A373" s="4" t="str">
        <f>IF('Approved-In-Depth'!$A373&lt;&gt;"",'Approved-In-Depth'!A373,"")</f>
        <v/>
      </c>
      <c r="B373" t="str">
        <f>IF($O373&lt;&gt;"",$O373,IF($A373&lt;&gt;"",'Approved-In-Depth'!$B373+7,""))</f>
        <v/>
      </c>
      <c r="C373" t="str">
        <f>IF($A373&lt;&gt;"",'Approved-In-Depth'!C373,"")</f>
        <v/>
      </c>
      <c r="D373" t="str">
        <f>IF($A373&lt;&gt;"",'Approved-In-Depth'!D373,"")</f>
        <v/>
      </c>
      <c r="E373" t="str">
        <f>IF($A373&lt;&gt;"",'Approved-In-Depth'!E373,"")</f>
        <v/>
      </c>
      <c r="F373" t="str">
        <f>IF($A373&lt;&gt;"",'Approved-In-Depth'!F373,"")</f>
        <v/>
      </c>
      <c r="G373" t="str">
        <f>IF($A373&lt;&gt;"",'Approved-In-Depth'!G373,"")</f>
        <v/>
      </c>
      <c r="H373" s="4" t="str">
        <f>IF($A373&lt;&gt;"",'Approved-In-Depth'!H373,"")</f>
        <v/>
      </c>
      <c r="I373" t="str">
        <f>IF($A373&lt;&gt;"",'Approved-In-Depth'!I373,"")</f>
        <v/>
      </c>
      <c r="J373" t="str">
        <f>IF($A373&lt;&gt;"",'Approved-In-Depth'!J373,"")</f>
        <v/>
      </c>
      <c r="K373" t="str">
        <f>IF($A373&lt;&gt;"",'Approved-In-Depth'!K373,"")</f>
        <v/>
      </c>
      <c r="L373" s="4" t="str">
        <f>IF($A373&lt;&gt;"",'Approved-In-Depth'!L373,"")</f>
        <v/>
      </c>
      <c r="M373" t="str">
        <f>IF($A373&lt;&gt;"",'Approved-In-Depth'!M373,"")</f>
        <v/>
      </c>
    </row>
    <row r="374" spans="1:13" x14ac:dyDescent="0.35">
      <c r="A374" s="4" t="str">
        <f>IF('Approved-In-Depth'!$A374&lt;&gt;"",'Approved-In-Depth'!A374,"")</f>
        <v/>
      </c>
      <c r="B374" t="str">
        <f>IF($O374&lt;&gt;"",$O374,IF($A374&lt;&gt;"",'Approved-In-Depth'!$B374+7,""))</f>
        <v/>
      </c>
      <c r="C374" t="str">
        <f>IF($A374&lt;&gt;"",'Approved-In-Depth'!C374,"")</f>
        <v/>
      </c>
      <c r="D374" t="str">
        <f>IF($A374&lt;&gt;"",'Approved-In-Depth'!D374,"")</f>
        <v/>
      </c>
      <c r="E374" t="str">
        <f>IF($A374&lt;&gt;"",'Approved-In-Depth'!E374,"")</f>
        <v/>
      </c>
      <c r="F374" t="str">
        <f>IF($A374&lt;&gt;"",'Approved-In-Depth'!F374,"")</f>
        <v/>
      </c>
      <c r="G374" t="str">
        <f>IF($A374&lt;&gt;"",'Approved-In-Depth'!G374,"")</f>
        <v/>
      </c>
      <c r="H374" s="4" t="str">
        <f>IF($A374&lt;&gt;"",'Approved-In-Depth'!H374,"")</f>
        <v/>
      </c>
      <c r="I374" t="str">
        <f>IF($A374&lt;&gt;"",'Approved-In-Depth'!I374,"")</f>
        <v/>
      </c>
      <c r="J374" t="str">
        <f>IF($A374&lt;&gt;"",'Approved-In-Depth'!J374,"")</f>
        <v/>
      </c>
      <c r="K374" t="str">
        <f>IF($A374&lt;&gt;"",'Approved-In-Depth'!K374,"")</f>
        <v/>
      </c>
      <c r="L374" s="4" t="str">
        <f>IF($A374&lt;&gt;"",'Approved-In-Depth'!L374,"")</f>
        <v/>
      </c>
      <c r="M374" t="str">
        <f>IF($A374&lt;&gt;"",'Approved-In-Depth'!M374,"")</f>
        <v/>
      </c>
    </row>
    <row r="375" spans="1:13" x14ac:dyDescent="0.35">
      <c r="A375" s="4" t="str">
        <f>IF('Approved-In-Depth'!$A375&lt;&gt;"",'Approved-In-Depth'!A375,"")</f>
        <v/>
      </c>
      <c r="B375" t="str">
        <f>IF($O375&lt;&gt;"",$O375,IF($A375&lt;&gt;"",'Approved-In-Depth'!$B375+7,""))</f>
        <v/>
      </c>
      <c r="C375" t="str">
        <f>IF($A375&lt;&gt;"",'Approved-In-Depth'!C375,"")</f>
        <v/>
      </c>
      <c r="D375" t="str">
        <f>IF($A375&lt;&gt;"",'Approved-In-Depth'!D375,"")</f>
        <v/>
      </c>
      <c r="E375" t="str">
        <f>IF($A375&lt;&gt;"",'Approved-In-Depth'!E375,"")</f>
        <v/>
      </c>
      <c r="F375" t="str">
        <f>IF($A375&lt;&gt;"",'Approved-In-Depth'!F375,"")</f>
        <v/>
      </c>
      <c r="G375" t="str">
        <f>IF($A375&lt;&gt;"",'Approved-In-Depth'!G375,"")</f>
        <v/>
      </c>
      <c r="H375" s="4" t="str">
        <f>IF($A375&lt;&gt;"",'Approved-In-Depth'!H375,"")</f>
        <v/>
      </c>
      <c r="I375" t="str">
        <f>IF($A375&lt;&gt;"",'Approved-In-Depth'!I375,"")</f>
        <v/>
      </c>
      <c r="J375" t="str">
        <f>IF($A375&lt;&gt;"",'Approved-In-Depth'!J375,"")</f>
        <v/>
      </c>
      <c r="K375" t="str">
        <f>IF($A375&lt;&gt;"",'Approved-In-Depth'!K375,"")</f>
        <v/>
      </c>
      <c r="L375" s="4" t="str">
        <f>IF($A375&lt;&gt;"",'Approved-In-Depth'!L375,"")</f>
        <v/>
      </c>
      <c r="M375" t="str">
        <f>IF($A375&lt;&gt;"",'Approved-In-Depth'!M375,"")</f>
        <v/>
      </c>
    </row>
    <row r="376" spans="1:13" x14ac:dyDescent="0.35">
      <c r="A376" s="4" t="str">
        <f>IF('Approved-In-Depth'!$A376&lt;&gt;"",'Approved-In-Depth'!A376,"")</f>
        <v/>
      </c>
      <c r="B376" t="str">
        <f>IF($O376&lt;&gt;"",$O376,IF($A376&lt;&gt;"",'Approved-In-Depth'!$B376+7,""))</f>
        <v/>
      </c>
      <c r="C376" t="str">
        <f>IF($A376&lt;&gt;"",'Approved-In-Depth'!C376,"")</f>
        <v/>
      </c>
      <c r="D376" t="str">
        <f>IF($A376&lt;&gt;"",'Approved-In-Depth'!D376,"")</f>
        <v/>
      </c>
      <c r="E376" t="str">
        <f>IF($A376&lt;&gt;"",'Approved-In-Depth'!E376,"")</f>
        <v/>
      </c>
      <c r="F376" t="str">
        <f>IF($A376&lt;&gt;"",'Approved-In-Depth'!F376,"")</f>
        <v/>
      </c>
      <c r="G376" t="str">
        <f>IF($A376&lt;&gt;"",'Approved-In-Depth'!G376,"")</f>
        <v/>
      </c>
      <c r="H376" s="4" t="str">
        <f>IF($A376&lt;&gt;"",'Approved-In-Depth'!H376,"")</f>
        <v/>
      </c>
      <c r="I376" t="str">
        <f>IF($A376&lt;&gt;"",'Approved-In-Depth'!I376,"")</f>
        <v/>
      </c>
      <c r="J376" t="str">
        <f>IF($A376&lt;&gt;"",'Approved-In-Depth'!J376,"")</f>
        <v/>
      </c>
      <c r="K376" t="str">
        <f>IF($A376&lt;&gt;"",'Approved-In-Depth'!K376,"")</f>
        <v/>
      </c>
      <c r="L376" s="4" t="str">
        <f>IF($A376&lt;&gt;"",'Approved-In-Depth'!L376,"")</f>
        <v/>
      </c>
      <c r="M376" t="str">
        <f>IF($A376&lt;&gt;"",'Approved-In-Depth'!M376,"")</f>
        <v/>
      </c>
    </row>
    <row r="377" spans="1:13" x14ac:dyDescent="0.35">
      <c r="A377" s="4" t="str">
        <f>IF('Approved-In-Depth'!$A377&lt;&gt;"",'Approved-In-Depth'!A377,"")</f>
        <v/>
      </c>
      <c r="B377" t="str">
        <f>IF($O377&lt;&gt;"",$O377,IF($A377&lt;&gt;"",'Approved-In-Depth'!$B377+7,""))</f>
        <v/>
      </c>
      <c r="C377" t="str">
        <f>IF($A377&lt;&gt;"",'Approved-In-Depth'!C377,"")</f>
        <v/>
      </c>
      <c r="D377" t="str">
        <f>IF($A377&lt;&gt;"",'Approved-In-Depth'!D377,"")</f>
        <v/>
      </c>
      <c r="E377" t="str">
        <f>IF($A377&lt;&gt;"",'Approved-In-Depth'!E377,"")</f>
        <v/>
      </c>
      <c r="F377" t="str">
        <f>IF($A377&lt;&gt;"",'Approved-In-Depth'!F377,"")</f>
        <v/>
      </c>
      <c r="G377" t="str">
        <f>IF($A377&lt;&gt;"",'Approved-In-Depth'!G377,"")</f>
        <v/>
      </c>
      <c r="H377" s="4" t="str">
        <f>IF($A377&lt;&gt;"",'Approved-In-Depth'!H377,"")</f>
        <v/>
      </c>
      <c r="I377" t="str">
        <f>IF($A377&lt;&gt;"",'Approved-In-Depth'!I377,"")</f>
        <v/>
      </c>
      <c r="J377" t="str">
        <f>IF($A377&lt;&gt;"",'Approved-In-Depth'!J377,"")</f>
        <v/>
      </c>
      <c r="K377" t="str">
        <f>IF($A377&lt;&gt;"",'Approved-In-Depth'!K377,"")</f>
        <v/>
      </c>
      <c r="L377" s="4" t="str">
        <f>IF($A377&lt;&gt;"",'Approved-In-Depth'!L377,"")</f>
        <v/>
      </c>
      <c r="M377" t="str">
        <f>IF($A377&lt;&gt;"",'Approved-In-Depth'!M377,"")</f>
        <v/>
      </c>
    </row>
    <row r="378" spans="1:13" x14ac:dyDescent="0.35">
      <c r="A378" s="4" t="str">
        <f>IF('Approved-In-Depth'!$A378&lt;&gt;"",'Approved-In-Depth'!A378,"")</f>
        <v/>
      </c>
      <c r="B378" t="str">
        <f>IF($O378&lt;&gt;"",$O378,IF($A378&lt;&gt;"",'Approved-In-Depth'!$B378+7,""))</f>
        <v/>
      </c>
      <c r="C378" t="str">
        <f>IF($A378&lt;&gt;"",'Approved-In-Depth'!C378,"")</f>
        <v/>
      </c>
      <c r="D378" t="str">
        <f>IF($A378&lt;&gt;"",'Approved-In-Depth'!D378,"")</f>
        <v/>
      </c>
      <c r="E378" t="str">
        <f>IF($A378&lt;&gt;"",'Approved-In-Depth'!E378,"")</f>
        <v/>
      </c>
      <c r="F378" t="str">
        <f>IF($A378&lt;&gt;"",'Approved-In-Depth'!F378,"")</f>
        <v/>
      </c>
      <c r="G378" t="str">
        <f>IF($A378&lt;&gt;"",'Approved-In-Depth'!G378,"")</f>
        <v/>
      </c>
      <c r="H378" s="4" t="str">
        <f>IF($A378&lt;&gt;"",'Approved-In-Depth'!H378,"")</f>
        <v/>
      </c>
      <c r="I378" t="str">
        <f>IF($A378&lt;&gt;"",'Approved-In-Depth'!I378,"")</f>
        <v/>
      </c>
      <c r="J378" t="str">
        <f>IF($A378&lt;&gt;"",'Approved-In-Depth'!J378,"")</f>
        <v/>
      </c>
      <c r="K378" t="str">
        <f>IF($A378&lt;&gt;"",'Approved-In-Depth'!K378,"")</f>
        <v/>
      </c>
      <c r="L378" s="4" t="str">
        <f>IF($A378&lt;&gt;"",'Approved-In-Depth'!L378,"")</f>
        <v/>
      </c>
      <c r="M378" t="str">
        <f>IF($A378&lt;&gt;"",'Approved-In-Depth'!M378,"")</f>
        <v/>
      </c>
    </row>
    <row r="379" spans="1:13" x14ac:dyDescent="0.35">
      <c r="A379" s="4" t="str">
        <f>IF('Approved-In-Depth'!$A379&lt;&gt;"",'Approved-In-Depth'!A379,"")</f>
        <v/>
      </c>
      <c r="B379" t="str">
        <f>IF($O379&lt;&gt;"",$O379,IF($A379&lt;&gt;"",'Approved-In-Depth'!$B379+7,""))</f>
        <v/>
      </c>
      <c r="C379" t="str">
        <f>IF($A379&lt;&gt;"",'Approved-In-Depth'!C379,"")</f>
        <v/>
      </c>
      <c r="D379" t="str">
        <f>IF($A379&lt;&gt;"",'Approved-In-Depth'!D379,"")</f>
        <v/>
      </c>
      <c r="E379" t="str">
        <f>IF($A379&lt;&gt;"",'Approved-In-Depth'!E379,"")</f>
        <v/>
      </c>
      <c r="F379" t="str">
        <f>IF($A379&lt;&gt;"",'Approved-In-Depth'!F379,"")</f>
        <v/>
      </c>
      <c r="G379" t="str">
        <f>IF($A379&lt;&gt;"",'Approved-In-Depth'!G379,"")</f>
        <v/>
      </c>
      <c r="H379" s="4" t="str">
        <f>IF($A379&lt;&gt;"",'Approved-In-Depth'!H379,"")</f>
        <v/>
      </c>
      <c r="I379" t="str">
        <f>IF($A379&lt;&gt;"",'Approved-In-Depth'!I379,"")</f>
        <v/>
      </c>
      <c r="J379" t="str">
        <f>IF($A379&lt;&gt;"",'Approved-In-Depth'!J379,"")</f>
        <v/>
      </c>
      <c r="K379" t="str">
        <f>IF($A379&lt;&gt;"",'Approved-In-Depth'!K379,"")</f>
        <v/>
      </c>
      <c r="L379" s="4" t="str">
        <f>IF($A379&lt;&gt;"",'Approved-In-Depth'!L379,"")</f>
        <v/>
      </c>
      <c r="M379" t="str">
        <f>IF($A379&lt;&gt;"",'Approved-In-Depth'!M379,"")</f>
        <v/>
      </c>
    </row>
    <row r="380" spans="1:13" x14ac:dyDescent="0.35">
      <c r="A380" s="4" t="str">
        <f>IF('Approved-In-Depth'!$A380&lt;&gt;"",'Approved-In-Depth'!A380,"")</f>
        <v/>
      </c>
      <c r="B380" t="str">
        <f>IF($O380&lt;&gt;"",$O380,IF($A380&lt;&gt;"",'Approved-In-Depth'!$B380+7,""))</f>
        <v/>
      </c>
      <c r="C380" t="str">
        <f>IF($A380&lt;&gt;"",'Approved-In-Depth'!C380,"")</f>
        <v/>
      </c>
      <c r="D380" t="str">
        <f>IF($A380&lt;&gt;"",'Approved-In-Depth'!D380,"")</f>
        <v/>
      </c>
      <c r="E380" t="str">
        <f>IF($A380&lt;&gt;"",'Approved-In-Depth'!E380,"")</f>
        <v/>
      </c>
      <c r="F380" t="str">
        <f>IF($A380&lt;&gt;"",'Approved-In-Depth'!F380,"")</f>
        <v/>
      </c>
      <c r="G380" t="str">
        <f>IF($A380&lt;&gt;"",'Approved-In-Depth'!G380,"")</f>
        <v/>
      </c>
      <c r="H380" s="4" t="str">
        <f>IF($A380&lt;&gt;"",'Approved-In-Depth'!H380,"")</f>
        <v/>
      </c>
      <c r="I380" t="str">
        <f>IF($A380&lt;&gt;"",'Approved-In-Depth'!I380,"")</f>
        <v/>
      </c>
      <c r="J380" t="str">
        <f>IF($A380&lt;&gt;"",'Approved-In-Depth'!J380,"")</f>
        <v/>
      </c>
      <c r="K380" t="str">
        <f>IF($A380&lt;&gt;"",'Approved-In-Depth'!K380,"")</f>
        <v/>
      </c>
      <c r="L380" s="4" t="str">
        <f>IF($A380&lt;&gt;"",'Approved-In-Depth'!L380,"")</f>
        <v/>
      </c>
      <c r="M380" t="str">
        <f>IF($A380&lt;&gt;"",'Approved-In-Depth'!M380,"")</f>
        <v/>
      </c>
    </row>
    <row r="381" spans="1:13" x14ac:dyDescent="0.35">
      <c r="A381" s="4" t="str">
        <f>IF('Approved-In-Depth'!$A381&lt;&gt;"",'Approved-In-Depth'!A381,"")</f>
        <v/>
      </c>
      <c r="B381" t="str">
        <f>IF($O381&lt;&gt;"",$O381,IF($A381&lt;&gt;"",'Approved-In-Depth'!$B381+7,""))</f>
        <v/>
      </c>
      <c r="C381" t="str">
        <f>IF($A381&lt;&gt;"",'Approved-In-Depth'!C381,"")</f>
        <v/>
      </c>
      <c r="D381" t="str">
        <f>IF($A381&lt;&gt;"",'Approved-In-Depth'!D381,"")</f>
        <v/>
      </c>
      <c r="E381" t="str">
        <f>IF($A381&lt;&gt;"",'Approved-In-Depth'!E381,"")</f>
        <v/>
      </c>
      <c r="F381" t="str">
        <f>IF($A381&lt;&gt;"",'Approved-In-Depth'!F381,"")</f>
        <v/>
      </c>
      <c r="G381" t="str">
        <f>IF($A381&lt;&gt;"",'Approved-In-Depth'!G381,"")</f>
        <v/>
      </c>
      <c r="H381" s="4" t="str">
        <f>IF($A381&lt;&gt;"",'Approved-In-Depth'!H381,"")</f>
        <v/>
      </c>
      <c r="I381" t="str">
        <f>IF($A381&lt;&gt;"",'Approved-In-Depth'!I381,"")</f>
        <v/>
      </c>
      <c r="J381" t="str">
        <f>IF($A381&lt;&gt;"",'Approved-In-Depth'!J381,"")</f>
        <v/>
      </c>
      <c r="K381" t="str">
        <f>IF($A381&lt;&gt;"",'Approved-In-Depth'!K381,"")</f>
        <v/>
      </c>
      <c r="L381" s="4" t="str">
        <f>IF($A381&lt;&gt;"",'Approved-In-Depth'!L381,"")</f>
        <v/>
      </c>
      <c r="M381" t="str">
        <f>IF($A381&lt;&gt;"",'Approved-In-Depth'!M381,"")</f>
        <v/>
      </c>
    </row>
    <row r="382" spans="1:13" x14ac:dyDescent="0.35">
      <c r="A382" s="4" t="str">
        <f>IF('Approved-In-Depth'!$A382&lt;&gt;"",'Approved-In-Depth'!A382,"")</f>
        <v/>
      </c>
      <c r="B382" t="str">
        <f>IF($O382&lt;&gt;"",$O382,IF($A382&lt;&gt;"",'Approved-In-Depth'!$B382+7,""))</f>
        <v/>
      </c>
      <c r="C382" t="str">
        <f>IF($A382&lt;&gt;"",'Approved-In-Depth'!C382,"")</f>
        <v/>
      </c>
      <c r="D382" t="str">
        <f>IF($A382&lt;&gt;"",'Approved-In-Depth'!D382,"")</f>
        <v/>
      </c>
      <c r="E382" t="str">
        <f>IF($A382&lt;&gt;"",'Approved-In-Depth'!E382,"")</f>
        <v/>
      </c>
      <c r="F382" t="str">
        <f>IF($A382&lt;&gt;"",'Approved-In-Depth'!F382,"")</f>
        <v/>
      </c>
      <c r="G382" t="str">
        <f>IF($A382&lt;&gt;"",'Approved-In-Depth'!G382,"")</f>
        <v/>
      </c>
      <c r="H382" s="4" t="str">
        <f>IF($A382&lt;&gt;"",'Approved-In-Depth'!H382,"")</f>
        <v/>
      </c>
      <c r="I382" t="str">
        <f>IF($A382&lt;&gt;"",'Approved-In-Depth'!I382,"")</f>
        <v/>
      </c>
      <c r="J382" t="str">
        <f>IF($A382&lt;&gt;"",'Approved-In-Depth'!J382,"")</f>
        <v/>
      </c>
      <c r="K382" t="str">
        <f>IF($A382&lt;&gt;"",'Approved-In-Depth'!K382,"")</f>
        <v/>
      </c>
      <c r="L382" s="4" t="str">
        <f>IF($A382&lt;&gt;"",'Approved-In-Depth'!L382,"")</f>
        <v/>
      </c>
      <c r="M382" t="str">
        <f>IF($A382&lt;&gt;"",'Approved-In-Depth'!M382,"")</f>
        <v/>
      </c>
    </row>
    <row r="383" spans="1:13" x14ac:dyDescent="0.35">
      <c r="A383" s="4" t="str">
        <f>IF('Approved-In-Depth'!$A383&lt;&gt;"",'Approved-In-Depth'!A383,"")</f>
        <v/>
      </c>
      <c r="B383" t="str">
        <f>IF($O383&lt;&gt;"",$O383,IF($A383&lt;&gt;"",'Approved-In-Depth'!$B383+7,""))</f>
        <v/>
      </c>
      <c r="C383" t="str">
        <f>IF($A383&lt;&gt;"",'Approved-In-Depth'!C383,"")</f>
        <v/>
      </c>
      <c r="D383" t="str">
        <f>IF($A383&lt;&gt;"",'Approved-In-Depth'!D383,"")</f>
        <v/>
      </c>
      <c r="E383" t="str">
        <f>IF($A383&lt;&gt;"",'Approved-In-Depth'!E383,"")</f>
        <v/>
      </c>
      <c r="F383" t="str">
        <f>IF($A383&lt;&gt;"",'Approved-In-Depth'!F383,"")</f>
        <v/>
      </c>
      <c r="G383" t="str">
        <f>IF($A383&lt;&gt;"",'Approved-In-Depth'!G383,"")</f>
        <v/>
      </c>
      <c r="H383" s="4" t="str">
        <f>IF($A383&lt;&gt;"",'Approved-In-Depth'!H383,"")</f>
        <v/>
      </c>
      <c r="I383" t="str">
        <f>IF($A383&lt;&gt;"",'Approved-In-Depth'!I383,"")</f>
        <v/>
      </c>
      <c r="J383" t="str">
        <f>IF($A383&lt;&gt;"",'Approved-In-Depth'!J383,"")</f>
        <v/>
      </c>
      <c r="K383" t="str">
        <f>IF($A383&lt;&gt;"",'Approved-In-Depth'!K383,"")</f>
        <v/>
      </c>
      <c r="L383" s="4" t="str">
        <f>IF($A383&lt;&gt;"",'Approved-In-Depth'!L383,"")</f>
        <v/>
      </c>
      <c r="M383" t="str">
        <f>IF($A383&lt;&gt;"",'Approved-In-Depth'!M383,"")</f>
        <v/>
      </c>
    </row>
    <row r="384" spans="1:13" x14ac:dyDescent="0.35">
      <c r="A384" s="4" t="str">
        <f>IF('Approved-In-Depth'!$A384&lt;&gt;"",'Approved-In-Depth'!A384,"")</f>
        <v/>
      </c>
      <c r="B384" t="str">
        <f>IF($O384&lt;&gt;"",$O384,IF($A384&lt;&gt;"",'Approved-In-Depth'!$B384+7,""))</f>
        <v/>
      </c>
      <c r="C384" t="str">
        <f>IF($A384&lt;&gt;"",'Approved-In-Depth'!C384,"")</f>
        <v/>
      </c>
      <c r="D384" t="str">
        <f>IF($A384&lt;&gt;"",'Approved-In-Depth'!D384,"")</f>
        <v/>
      </c>
      <c r="E384" t="str">
        <f>IF($A384&lt;&gt;"",'Approved-In-Depth'!E384,"")</f>
        <v/>
      </c>
      <c r="F384" t="str">
        <f>IF($A384&lt;&gt;"",'Approved-In-Depth'!F384,"")</f>
        <v/>
      </c>
      <c r="G384" t="str">
        <f>IF($A384&lt;&gt;"",'Approved-In-Depth'!G384,"")</f>
        <v/>
      </c>
      <c r="H384" s="4" t="str">
        <f>IF($A384&lt;&gt;"",'Approved-In-Depth'!H384,"")</f>
        <v/>
      </c>
      <c r="I384" t="str">
        <f>IF($A384&lt;&gt;"",'Approved-In-Depth'!I384,"")</f>
        <v/>
      </c>
      <c r="J384" t="str">
        <f>IF($A384&lt;&gt;"",'Approved-In-Depth'!J384,"")</f>
        <v/>
      </c>
      <c r="K384" t="str">
        <f>IF($A384&lt;&gt;"",'Approved-In-Depth'!K384,"")</f>
        <v/>
      </c>
      <c r="L384" s="4" t="str">
        <f>IF($A384&lt;&gt;"",'Approved-In-Depth'!L384,"")</f>
        <v/>
      </c>
      <c r="M384" t="str">
        <f>IF($A384&lt;&gt;"",'Approved-In-Depth'!M384,"")</f>
        <v/>
      </c>
    </row>
    <row r="385" spans="1:13" x14ac:dyDescent="0.35">
      <c r="A385" s="4" t="str">
        <f>IF('Approved-In-Depth'!$A385&lt;&gt;"",'Approved-In-Depth'!A385,"")</f>
        <v/>
      </c>
      <c r="B385" t="str">
        <f>IF($O385&lt;&gt;"",$O385,IF($A385&lt;&gt;"",'Approved-In-Depth'!$B385+7,""))</f>
        <v/>
      </c>
      <c r="C385" t="str">
        <f>IF($A385&lt;&gt;"",'Approved-In-Depth'!C385,"")</f>
        <v/>
      </c>
      <c r="D385" t="str">
        <f>IF($A385&lt;&gt;"",'Approved-In-Depth'!D385,"")</f>
        <v/>
      </c>
      <c r="E385" t="str">
        <f>IF($A385&lt;&gt;"",'Approved-In-Depth'!E385,"")</f>
        <v/>
      </c>
      <c r="F385" t="str">
        <f>IF($A385&lt;&gt;"",'Approved-In-Depth'!F385,"")</f>
        <v/>
      </c>
      <c r="G385" t="str">
        <f>IF($A385&lt;&gt;"",'Approved-In-Depth'!G385,"")</f>
        <v/>
      </c>
      <c r="H385" s="4" t="str">
        <f>IF($A385&lt;&gt;"",'Approved-In-Depth'!H385,"")</f>
        <v/>
      </c>
      <c r="I385" t="str">
        <f>IF($A385&lt;&gt;"",'Approved-In-Depth'!I385,"")</f>
        <v/>
      </c>
      <c r="J385" t="str">
        <f>IF($A385&lt;&gt;"",'Approved-In-Depth'!J385,"")</f>
        <v/>
      </c>
      <c r="K385" t="str">
        <f>IF($A385&lt;&gt;"",'Approved-In-Depth'!K385,"")</f>
        <v/>
      </c>
      <c r="L385" s="4" t="str">
        <f>IF($A385&lt;&gt;"",'Approved-In-Depth'!L385,"")</f>
        <v/>
      </c>
      <c r="M385" t="str">
        <f>IF($A385&lt;&gt;"",'Approved-In-Depth'!M385,"")</f>
        <v/>
      </c>
    </row>
    <row r="386" spans="1:13" x14ac:dyDescent="0.35">
      <c r="A386" s="4" t="str">
        <f>IF('Approved-In-Depth'!$A386&lt;&gt;"",'Approved-In-Depth'!A386,"")</f>
        <v/>
      </c>
      <c r="B386" t="str">
        <f>IF($O386&lt;&gt;"",$O386,IF($A386&lt;&gt;"",'Approved-In-Depth'!$B386+7,""))</f>
        <v/>
      </c>
      <c r="C386" t="str">
        <f>IF($A386&lt;&gt;"",'Approved-In-Depth'!C386,"")</f>
        <v/>
      </c>
      <c r="D386" t="str">
        <f>IF($A386&lt;&gt;"",'Approved-In-Depth'!D386,"")</f>
        <v/>
      </c>
      <c r="E386" t="str">
        <f>IF($A386&lt;&gt;"",'Approved-In-Depth'!E386,"")</f>
        <v/>
      </c>
      <c r="F386" t="str">
        <f>IF($A386&lt;&gt;"",'Approved-In-Depth'!F386,"")</f>
        <v/>
      </c>
      <c r="G386" t="str">
        <f>IF($A386&lt;&gt;"",'Approved-In-Depth'!G386,"")</f>
        <v/>
      </c>
      <c r="H386" s="4" t="str">
        <f>IF($A386&lt;&gt;"",'Approved-In-Depth'!H386,"")</f>
        <v/>
      </c>
      <c r="I386" t="str">
        <f>IF($A386&lt;&gt;"",'Approved-In-Depth'!I386,"")</f>
        <v/>
      </c>
      <c r="J386" t="str">
        <f>IF($A386&lt;&gt;"",'Approved-In-Depth'!J386,"")</f>
        <v/>
      </c>
      <c r="K386" t="str">
        <f>IF($A386&lt;&gt;"",'Approved-In-Depth'!K386,"")</f>
        <v/>
      </c>
      <c r="L386" s="4" t="str">
        <f>IF($A386&lt;&gt;"",'Approved-In-Depth'!L386,"")</f>
        <v/>
      </c>
      <c r="M386" t="str">
        <f>IF($A386&lt;&gt;"",'Approved-In-Depth'!M386,"")</f>
        <v/>
      </c>
    </row>
    <row r="387" spans="1:13" x14ac:dyDescent="0.35">
      <c r="A387" s="4" t="str">
        <f>IF('Approved-In-Depth'!$A387&lt;&gt;"",'Approved-In-Depth'!A387,"")</f>
        <v/>
      </c>
      <c r="B387" t="str">
        <f>IF($O387&lt;&gt;"",$O387,IF($A387&lt;&gt;"",'Approved-In-Depth'!$B387+7,""))</f>
        <v/>
      </c>
      <c r="C387" t="str">
        <f>IF($A387&lt;&gt;"",'Approved-In-Depth'!C387,"")</f>
        <v/>
      </c>
      <c r="D387" t="str">
        <f>IF($A387&lt;&gt;"",'Approved-In-Depth'!D387,"")</f>
        <v/>
      </c>
      <c r="E387" t="str">
        <f>IF($A387&lt;&gt;"",'Approved-In-Depth'!E387,"")</f>
        <v/>
      </c>
      <c r="F387" t="str">
        <f>IF($A387&lt;&gt;"",'Approved-In-Depth'!F387,"")</f>
        <v/>
      </c>
      <c r="G387" t="str">
        <f>IF($A387&lt;&gt;"",'Approved-In-Depth'!G387,"")</f>
        <v/>
      </c>
      <c r="H387" s="4" t="str">
        <f>IF($A387&lt;&gt;"",'Approved-In-Depth'!H387,"")</f>
        <v/>
      </c>
      <c r="I387" t="str">
        <f>IF($A387&lt;&gt;"",'Approved-In-Depth'!I387,"")</f>
        <v/>
      </c>
      <c r="J387" t="str">
        <f>IF($A387&lt;&gt;"",'Approved-In-Depth'!J387,"")</f>
        <v/>
      </c>
      <c r="K387" t="str">
        <f>IF($A387&lt;&gt;"",'Approved-In-Depth'!K387,"")</f>
        <v/>
      </c>
      <c r="L387" s="4" t="str">
        <f>IF($A387&lt;&gt;"",'Approved-In-Depth'!L387,"")</f>
        <v/>
      </c>
      <c r="M387" t="str">
        <f>IF($A387&lt;&gt;"",'Approved-In-Depth'!M387,"")</f>
        <v/>
      </c>
    </row>
    <row r="388" spans="1:13" x14ac:dyDescent="0.35">
      <c r="A388" s="4" t="str">
        <f>IF('Approved-In-Depth'!$A388&lt;&gt;"",'Approved-In-Depth'!A388,"")</f>
        <v/>
      </c>
      <c r="B388" t="str">
        <f>IF($O388&lt;&gt;"",$O388,IF($A388&lt;&gt;"",'Approved-In-Depth'!$B388+7,""))</f>
        <v/>
      </c>
      <c r="C388" t="str">
        <f>IF($A388&lt;&gt;"",'Approved-In-Depth'!C388,"")</f>
        <v/>
      </c>
      <c r="D388" t="str">
        <f>IF($A388&lt;&gt;"",'Approved-In-Depth'!D388,"")</f>
        <v/>
      </c>
      <c r="E388" t="str">
        <f>IF($A388&lt;&gt;"",'Approved-In-Depth'!E388,"")</f>
        <v/>
      </c>
      <c r="F388" t="str">
        <f>IF($A388&lt;&gt;"",'Approved-In-Depth'!F388,"")</f>
        <v/>
      </c>
      <c r="G388" t="str">
        <f>IF($A388&lt;&gt;"",'Approved-In-Depth'!G388,"")</f>
        <v/>
      </c>
      <c r="H388" s="4" t="str">
        <f>IF($A388&lt;&gt;"",'Approved-In-Depth'!H388,"")</f>
        <v/>
      </c>
      <c r="I388" t="str">
        <f>IF($A388&lt;&gt;"",'Approved-In-Depth'!I388,"")</f>
        <v/>
      </c>
      <c r="J388" t="str">
        <f>IF($A388&lt;&gt;"",'Approved-In-Depth'!J388,"")</f>
        <v/>
      </c>
      <c r="K388" t="str">
        <f>IF($A388&lt;&gt;"",'Approved-In-Depth'!K388,"")</f>
        <v/>
      </c>
      <c r="L388" s="4" t="str">
        <f>IF($A388&lt;&gt;"",'Approved-In-Depth'!L388,"")</f>
        <v/>
      </c>
      <c r="M388" t="str">
        <f>IF($A388&lt;&gt;"",'Approved-In-Depth'!M388,"")</f>
        <v/>
      </c>
    </row>
    <row r="389" spans="1:13" x14ac:dyDescent="0.35">
      <c r="A389" s="4" t="str">
        <f>IF('Approved-In-Depth'!$A389&lt;&gt;"",'Approved-In-Depth'!A389,"")</f>
        <v/>
      </c>
      <c r="B389" t="str">
        <f>IF($O389&lt;&gt;"",$O389,IF($A389&lt;&gt;"",'Approved-In-Depth'!$B389+7,""))</f>
        <v/>
      </c>
      <c r="C389" t="str">
        <f>IF($A389&lt;&gt;"",'Approved-In-Depth'!C389,"")</f>
        <v/>
      </c>
      <c r="D389" t="str">
        <f>IF($A389&lt;&gt;"",'Approved-In-Depth'!D389,"")</f>
        <v/>
      </c>
      <c r="E389" t="str">
        <f>IF($A389&lt;&gt;"",'Approved-In-Depth'!E389,"")</f>
        <v/>
      </c>
      <c r="F389" t="str">
        <f>IF($A389&lt;&gt;"",'Approved-In-Depth'!F389,"")</f>
        <v/>
      </c>
      <c r="G389" t="str">
        <f>IF($A389&lt;&gt;"",'Approved-In-Depth'!G389,"")</f>
        <v/>
      </c>
      <c r="H389" s="4" t="str">
        <f>IF($A389&lt;&gt;"",'Approved-In-Depth'!H389,"")</f>
        <v/>
      </c>
      <c r="I389" t="str">
        <f>IF($A389&lt;&gt;"",'Approved-In-Depth'!I389,"")</f>
        <v/>
      </c>
      <c r="J389" t="str">
        <f>IF($A389&lt;&gt;"",'Approved-In-Depth'!J389,"")</f>
        <v/>
      </c>
      <c r="K389" t="str">
        <f>IF($A389&lt;&gt;"",'Approved-In-Depth'!K389,"")</f>
        <v/>
      </c>
      <c r="L389" s="4" t="str">
        <f>IF($A389&lt;&gt;"",'Approved-In-Depth'!L389,"")</f>
        <v/>
      </c>
      <c r="M389" t="str">
        <f>IF($A389&lt;&gt;"",'Approved-In-Depth'!M389,"")</f>
        <v/>
      </c>
    </row>
    <row r="390" spans="1:13" x14ac:dyDescent="0.35">
      <c r="A390" s="4" t="str">
        <f>IF('Approved-In-Depth'!$A390&lt;&gt;"",'Approved-In-Depth'!A390,"")</f>
        <v/>
      </c>
      <c r="B390" t="str">
        <f>IF($O390&lt;&gt;"",$O390,IF($A390&lt;&gt;"",'Approved-In-Depth'!$B390+7,""))</f>
        <v/>
      </c>
      <c r="C390" t="str">
        <f>IF($A390&lt;&gt;"",'Approved-In-Depth'!C390,"")</f>
        <v/>
      </c>
      <c r="D390" t="str">
        <f>IF($A390&lt;&gt;"",'Approved-In-Depth'!D390,"")</f>
        <v/>
      </c>
      <c r="E390" t="str">
        <f>IF($A390&lt;&gt;"",'Approved-In-Depth'!E390,"")</f>
        <v/>
      </c>
      <c r="F390" t="str">
        <f>IF($A390&lt;&gt;"",'Approved-In-Depth'!F390,"")</f>
        <v/>
      </c>
      <c r="G390" t="str">
        <f>IF($A390&lt;&gt;"",'Approved-In-Depth'!G390,"")</f>
        <v/>
      </c>
      <c r="H390" s="4" t="str">
        <f>IF($A390&lt;&gt;"",'Approved-In-Depth'!H390,"")</f>
        <v/>
      </c>
      <c r="I390" t="str">
        <f>IF($A390&lt;&gt;"",'Approved-In-Depth'!I390,"")</f>
        <v/>
      </c>
      <c r="J390" t="str">
        <f>IF($A390&lt;&gt;"",'Approved-In-Depth'!J390,"")</f>
        <v/>
      </c>
      <c r="K390" t="str">
        <f>IF($A390&lt;&gt;"",'Approved-In-Depth'!K390,"")</f>
        <v/>
      </c>
      <c r="L390" s="4" t="str">
        <f>IF($A390&lt;&gt;"",'Approved-In-Depth'!L390,"")</f>
        <v/>
      </c>
      <c r="M390" t="str">
        <f>IF($A390&lt;&gt;"",'Approved-In-Depth'!M390,"")</f>
        <v/>
      </c>
    </row>
    <row r="391" spans="1:13" x14ac:dyDescent="0.35">
      <c r="A391" s="4" t="str">
        <f>IF('Approved-In-Depth'!$A391&lt;&gt;"",'Approved-In-Depth'!A391,"")</f>
        <v/>
      </c>
      <c r="B391" t="str">
        <f>IF($O391&lt;&gt;"",$O391,IF($A391&lt;&gt;"",'Approved-In-Depth'!$B391+7,""))</f>
        <v/>
      </c>
      <c r="C391" t="str">
        <f>IF($A391&lt;&gt;"",'Approved-In-Depth'!C391,"")</f>
        <v/>
      </c>
      <c r="D391" t="str">
        <f>IF($A391&lt;&gt;"",'Approved-In-Depth'!D391,"")</f>
        <v/>
      </c>
      <c r="E391" t="str">
        <f>IF($A391&lt;&gt;"",'Approved-In-Depth'!E391,"")</f>
        <v/>
      </c>
      <c r="F391" t="str">
        <f>IF($A391&lt;&gt;"",'Approved-In-Depth'!F391,"")</f>
        <v/>
      </c>
      <c r="G391" t="str">
        <f>IF($A391&lt;&gt;"",'Approved-In-Depth'!G391,"")</f>
        <v/>
      </c>
      <c r="H391" s="4" t="str">
        <f>IF($A391&lt;&gt;"",'Approved-In-Depth'!H391,"")</f>
        <v/>
      </c>
      <c r="I391" t="str">
        <f>IF($A391&lt;&gt;"",'Approved-In-Depth'!I391,"")</f>
        <v/>
      </c>
      <c r="J391" t="str">
        <f>IF($A391&lt;&gt;"",'Approved-In-Depth'!J391,"")</f>
        <v/>
      </c>
      <c r="K391" t="str">
        <f>IF($A391&lt;&gt;"",'Approved-In-Depth'!K391,"")</f>
        <v/>
      </c>
      <c r="L391" s="4" t="str">
        <f>IF($A391&lt;&gt;"",'Approved-In-Depth'!L391,"")</f>
        <v/>
      </c>
      <c r="M391" t="str">
        <f>IF($A391&lt;&gt;"",'Approved-In-Depth'!M391,"")</f>
        <v/>
      </c>
    </row>
    <row r="392" spans="1:13" x14ac:dyDescent="0.35">
      <c r="A392" s="4" t="str">
        <f>IF('Approved-In-Depth'!$A392&lt;&gt;"",'Approved-In-Depth'!A392,"")</f>
        <v/>
      </c>
      <c r="B392" t="str">
        <f>IF($O392&lt;&gt;"",$O392,IF($A392&lt;&gt;"",'Approved-In-Depth'!$B392+7,""))</f>
        <v/>
      </c>
      <c r="C392" t="str">
        <f>IF($A392&lt;&gt;"",'Approved-In-Depth'!C392,"")</f>
        <v/>
      </c>
      <c r="D392" t="str">
        <f>IF($A392&lt;&gt;"",'Approved-In-Depth'!D392,"")</f>
        <v/>
      </c>
      <c r="E392" t="str">
        <f>IF($A392&lt;&gt;"",'Approved-In-Depth'!E392,"")</f>
        <v/>
      </c>
      <c r="F392" t="str">
        <f>IF($A392&lt;&gt;"",'Approved-In-Depth'!F392,"")</f>
        <v/>
      </c>
      <c r="G392" t="str">
        <f>IF($A392&lt;&gt;"",'Approved-In-Depth'!G392,"")</f>
        <v/>
      </c>
      <c r="H392" s="4" t="str">
        <f>IF($A392&lt;&gt;"",'Approved-In-Depth'!H392,"")</f>
        <v/>
      </c>
      <c r="I392" t="str">
        <f>IF($A392&lt;&gt;"",'Approved-In-Depth'!I392,"")</f>
        <v/>
      </c>
      <c r="J392" t="str">
        <f>IF($A392&lt;&gt;"",'Approved-In-Depth'!J392,"")</f>
        <v/>
      </c>
      <c r="K392" t="str">
        <f>IF($A392&lt;&gt;"",'Approved-In-Depth'!K392,"")</f>
        <v/>
      </c>
      <c r="L392" s="4" t="str">
        <f>IF($A392&lt;&gt;"",'Approved-In-Depth'!L392,"")</f>
        <v/>
      </c>
      <c r="M392" t="str">
        <f>IF($A392&lt;&gt;"",'Approved-In-Depth'!M392,"")</f>
        <v/>
      </c>
    </row>
    <row r="393" spans="1:13" x14ac:dyDescent="0.35">
      <c r="A393" s="4" t="str">
        <f>IF('Approved-In-Depth'!$A393&lt;&gt;"",'Approved-In-Depth'!A393,"")</f>
        <v/>
      </c>
      <c r="B393" t="str">
        <f>IF($O393&lt;&gt;"",$O393,IF($A393&lt;&gt;"",'Approved-In-Depth'!$B393+7,""))</f>
        <v/>
      </c>
      <c r="C393" t="str">
        <f>IF($A393&lt;&gt;"",'Approved-In-Depth'!C393,"")</f>
        <v/>
      </c>
      <c r="D393" t="str">
        <f>IF($A393&lt;&gt;"",'Approved-In-Depth'!D393,"")</f>
        <v/>
      </c>
      <c r="E393" t="str">
        <f>IF($A393&lt;&gt;"",'Approved-In-Depth'!E393,"")</f>
        <v/>
      </c>
      <c r="F393" t="str">
        <f>IF($A393&lt;&gt;"",'Approved-In-Depth'!F393,"")</f>
        <v/>
      </c>
      <c r="G393" t="str">
        <f>IF($A393&lt;&gt;"",'Approved-In-Depth'!G393,"")</f>
        <v/>
      </c>
      <c r="H393" s="4" t="str">
        <f>IF($A393&lt;&gt;"",'Approved-In-Depth'!H393,"")</f>
        <v/>
      </c>
      <c r="I393" t="str">
        <f>IF($A393&lt;&gt;"",'Approved-In-Depth'!I393,"")</f>
        <v/>
      </c>
      <c r="J393" t="str">
        <f>IF($A393&lt;&gt;"",'Approved-In-Depth'!J393,"")</f>
        <v/>
      </c>
      <c r="K393" t="str">
        <f>IF($A393&lt;&gt;"",'Approved-In-Depth'!K393,"")</f>
        <v/>
      </c>
      <c r="L393" s="4" t="str">
        <f>IF($A393&lt;&gt;"",'Approved-In-Depth'!L393,"")</f>
        <v/>
      </c>
      <c r="M393" t="str">
        <f>IF($A393&lt;&gt;"",'Approved-In-Depth'!M393,"")</f>
        <v/>
      </c>
    </row>
    <row r="394" spans="1:13" x14ac:dyDescent="0.35">
      <c r="A394" s="4" t="str">
        <f>IF('Approved-In-Depth'!$A394&lt;&gt;"",'Approved-In-Depth'!A394,"")</f>
        <v/>
      </c>
      <c r="B394" t="str">
        <f>IF($O394&lt;&gt;"",$O394,IF($A394&lt;&gt;"",'Approved-In-Depth'!$B394+7,""))</f>
        <v/>
      </c>
      <c r="C394" t="str">
        <f>IF($A394&lt;&gt;"",'Approved-In-Depth'!C394,"")</f>
        <v/>
      </c>
      <c r="D394" t="str">
        <f>IF($A394&lt;&gt;"",'Approved-In-Depth'!D394,"")</f>
        <v/>
      </c>
      <c r="E394" t="str">
        <f>IF($A394&lt;&gt;"",'Approved-In-Depth'!E394,"")</f>
        <v/>
      </c>
      <c r="F394" t="str">
        <f>IF($A394&lt;&gt;"",'Approved-In-Depth'!F394,"")</f>
        <v/>
      </c>
      <c r="G394" t="str">
        <f>IF($A394&lt;&gt;"",'Approved-In-Depth'!G394,"")</f>
        <v/>
      </c>
      <c r="H394" s="4" t="str">
        <f>IF($A394&lt;&gt;"",'Approved-In-Depth'!H394,"")</f>
        <v/>
      </c>
      <c r="I394" t="str">
        <f>IF($A394&lt;&gt;"",'Approved-In-Depth'!I394,"")</f>
        <v/>
      </c>
      <c r="J394" t="str">
        <f>IF($A394&lt;&gt;"",'Approved-In-Depth'!J394,"")</f>
        <v/>
      </c>
      <c r="K394" t="str">
        <f>IF($A394&lt;&gt;"",'Approved-In-Depth'!K394,"")</f>
        <v/>
      </c>
      <c r="L394" s="4" t="str">
        <f>IF($A394&lt;&gt;"",'Approved-In-Depth'!L394,"")</f>
        <v/>
      </c>
      <c r="M394" t="str">
        <f>IF($A394&lt;&gt;"",'Approved-In-Depth'!M394,"")</f>
        <v/>
      </c>
    </row>
    <row r="395" spans="1:13" x14ac:dyDescent="0.35">
      <c r="A395" s="4" t="str">
        <f>IF('Approved-In-Depth'!$A395&lt;&gt;"",'Approved-In-Depth'!A395,"")</f>
        <v/>
      </c>
      <c r="B395" t="str">
        <f>IF($O395&lt;&gt;"",$O395,IF($A395&lt;&gt;"",'Approved-In-Depth'!$B395+7,""))</f>
        <v/>
      </c>
      <c r="C395" t="str">
        <f>IF($A395&lt;&gt;"",'Approved-In-Depth'!C395,"")</f>
        <v/>
      </c>
      <c r="D395" t="str">
        <f>IF($A395&lt;&gt;"",'Approved-In-Depth'!D395,"")</f>
        <v/>
      </c>
      <c r="E395" t="str">
        <f>IF($A395&lt;&gt;"",'Approved-In-Depth'!E395,"")</f>
        <v/>
      </c>
      <c r="F395" t="str">
        <f>IF($A395&lt;&gt;"",'Approved-In-Depth'!F395,"")</f>
        <v/>
      </c>
      <c r="G395" t="str">
        <f>IF($A395&lt;&gt;"",'Approved-In-Depth'!G395,"")</f>
        <v/>
      </c>
      <c r="H395" s="4" t="str">
        <f>IF($A395&lt;&gt;"",'Approved-In-Depth'!H395,"")</f>
        <v/>
      </c>
      <c r="I395" t="str">
        <f>IF($A395&lt;&gt;"",'Approved-In-Depth'!I395,"")</f>
        <v/>
      </c>
      <c r="J395" t="str">
        <f>IF($A395&lt;&gt;"",'Approved-In-Depth'!J395,"")</f>
        <v/>
      </c>
      <c r="K395" t="str">
        <f>IF($A395&lt;&gt;"",'Approved-In-Depth'!K395,"")</f>
        <v/>
      </c>
      <c r="L395" s="4" t="str">
        <f>IF($A395&lt;&gt;"",'Approved-In-Depth'!L395,"")</f>
        <v/>
      </c>
      <c r="M395" t="str">
        <f>IF($A395&lt;&gt;"",'Approved-In-Depth'!M395,"")</f>
        <v/>
      </c>
    </row>
    <row r="396" spans="1:13" x14ac:dyDescent="0.35">
      <c r="A396" s="4" t="str">
        <f>IF('Approved-In-Depth'!$A396&lt;&gt;"",'Approved-In-Depth'!A396,"")</f>
        <v/>
      </c>
      <c r="B396" t="str">
        <f>IF($O396&lt;&gt;"",$O396,IF($A396&lt;&gt;"",'Approved-In-Depth'!$B396+7,""))</f>
        <v/>
      </c>
      <c r="C396" t="str">
        <f>IF($A396&lt;&gt;"",'Approved-In-Depth'!C396,"")</f>
        <v/>
      </c>
      <c r="D396" t="str">
        <f>IF($A396&lt;&gt;"",'Approved-In-Depth'!D396,"")</f>
        <v/>
      </c>
      <c r="E396" t="str">
        <f>IF($A396&lt;&gt;"",'Approved-In-Depth'!E396,"")</f>
        <v/>
      </c>
      <c r="F396" t="str">
        <f>IF($A396&lt;&gt;"",'Approved-In-Depth'!F396,"")</f>
        <v/>
      </c>
      <c r="G396" t="str">
        <f>IF($A396&lt;&gt;"",'Approved-In-Depth'!G396,"")</f>
        <v/>
      </c>
      <c r="H396" s="4" t="str">
        <f>IF($A396&lt;&gt;"",'Approved-In-Depth'!H396,"")</f>
        <v/>
      </c>
      <c r="I396" t="str">
        <f>IF($A396&lt;&gt;"",'Approved-In-Depth'!I396,"")</f>
        <v/>
      </c>
      <c r="J396" t="str">
        <f>IF($A396&lt;&gt;"",'Approved-In-Depth'!J396,"")</f>
        <v/>
      </c>
      <c r="K396" t="str">
        <f>IF($A396&lt;&gt;"",'Approved-In-Depth'!K396,"")</f>
        <v/>
      </c>
      <c r="L396" s="4" t="str">
        <f>IF($A396&lt;&gt;"",'Approved-In-Depth'!L396,"")</f>
        <v/>
      </c>
      <c r="M396" t="str">
        <f>IF($A396&lt;&gt;"",'Approved-In-Depth'!M396,"")</f>
        <v/>
      </c>
    </row>
    <row r="397" spans="1:13" x14ac:dyDescent="0.35">
      <c r="A397" s="4" t="str">
        <f>IF('Approved-In-Depth'!$A397&lt;&gt;"",'Approved-In-Depth'!A397,"")</f>
        <v/>
      </c>
      <c r="B397" t="str">
        <f>IF($O397&lt;&gt;"",$O397,IF($A397&lt;&gt;"",'Approved-In-Depth'!$B397+7,""))</f>
        <v/>
      </c>
      <c r="C397" t="str">
        <f>IF($A397&lt;&gt;"",'Approved-In-Depth'!C397,"")</f>
        <v/>
      </c>
      <c r="D397" t="str">
        <f>IF($A397&lt;&gt;"",'Approved-In-Depth'!D397,"")</f>
        <v/>
      </c>
      <c r="E397" t="str">
        <f>IF($A397&lt;&gt;"",'Approved-In-Depth'!E397,"")</f>
        <v/>
      </c>
      <c r="F397" t="str">
        <f>IF($A397&lt;&gt;"",'Approved-In-Depth'!F397,"")</f>
        <v/>
      </c>
      <c r="G397" t="str">
        <f>IF($A397&lt;&gt;"",'Approved-In-Depth'!G397,"")</f>
        <v/>
      </c>
      <c r="H397" s="4" t="str">
        <f>IF($A397&lt;&gt;"",'Approved-In-Depth'!H397,"")</f>
        <v/>
      </c>
      <c r="I397" t="str">
        <f>IF($A397&lt;&gt;"",'Approved-In-Depth'!I397,"")</f>
        <v/>
      </c>
      <c r="J397" t="str">
        <f>IF($A397&lt;&gt;"",'Approved-In-Depth'!J397,"")</f>
        <v/>
      </c>
      <c r="K397" t="str">
        <f>IF($A397&lt;&gt;"",'Approved-In-Depth'!K397,"")</f>
        <v/>
      </c>
      <c r="L397" s="4" t="str">
        <f>IF($A397&lt;&gt;"",'Approved-In-Depth'!L397,"")</f>
        <v/>
      </c>
      <c r="M397" t="str">
        <f>IF($A397&lt;&gt;"",'Approved-In-Depth'!M397,"")</f>
        <v/>
      </c>
    </row>
    <row r="398" spans="1:13" x14ac:dyDescent="0.35">
      <c r="A398" s="4" t="str">
        <f>IF('Approved-In-Depth'!$A398&lt;&gt;"",'Approved-In-Depth'!A398,"")</f>
        <v/>
      </c>
      <c r="B398" t="str">
        <f>IF($O398&lt;&gt;"",$O398,IF($A398&lt;&gt;"",'Approved-In-Depth'!$B398+7,""))</f>
        <v/>
      </c>
      <c r="C398" t="str">
        <f>IF($A398&lt;&gt;"",'Approved-In-Depth'!C398,"")</f>
        <v/>
      </c>
      <c r="D398" t="str">
        <f>IF($A398&lt;&gt;"",'Approved-In-Depth'!D398,"")</f>
        <v/>
      </c>
      <c r="E398" t="str">
        <f>IF($A398&lt;&gt;"",'Approved-In-Depth'!E398,"")</f>
        <v/>
      </c>
      <c r="F398" t="str">
        <f>IF($A398&lt;&gt;"",'Approved-In-Depth'!F398,"")</f>
        <v/>
      </c>
      <c r="G398" t="str">
        <f>IF($A398&lt;&gt;"",'Approved-In-Depth'!G398,"")</f>
        <v/>
      </c>
      <c r="H398" s="4" t="str">
        <f>IF($A398&lt;&gt;"",'Approved-In-Depth'!H398,"")</f>
        <v/>
      </c>
      <c r="I398" t="str">
        <f>IF($A398&lt;&gt;"",'Approved-In-Depth'!I398,"")</f>
        <v/>
      </c>
      <c r="J398" t="str">
        <f>IF($A398&lt;&gt;"",'Approved-In-Depth'!J398,"")</f>
        <v/>
      </c>
      <c r="K398" t="str">
        <f>IF($A398&lt;&gt;"",'Approved-In-Depth'!K398,"")</f>
        <v/>
      </c>
      <c r="L398" s="4" t="str">
        <f>IF($A398&lt;&gt;"",'Approved-In-Depth'!L398,"")</f>
        <v/>
      </c>
      <c r="M398" t="str">
        <f>IF($A398&lt;&gt;"",'Approved-In-Depth'!M398,"")</f>
        <v/>
      </c>
    </row>
    <row r="399" spans="1:13" x14ac:dyDescent="0.35">
      <c r="A399" s="4" t="str">
        <f>IF('Approved-In-Depth'!$A399&lt;&gt;"",'Approved-In-Depth'!A399,"")</f>
        <v/>
      </c>
      <c r="B399" t="str">
        <f>IF($O399&lt;&gt;"",$O399,IF($A399&lt;&gt;"",'Approved-In-Depth'!$B399+7,""))</f>
        <v/>
      </c>
      <c r="C399" t="str">
        <f>IF($A399&lt;&gt;"",'Approved-In-Depth'!C399,"")</f>
        <v/>
      </c>
      <c r="D399" t="str">
        <f>IF($A399&lt;&gt;"",'Approved-In-Depth'!D399,"")</f>
        <v/>
      </c>
      <c r="E399" t="str">
        <f>IF($A399&lt;&gt;"",'Approved-In-Depth'!E399,"")</f>
        <v/>
      </c>
      <c r="F399" t="str">
        <f>IF($A399&lt;&gt;"",'Approved-In-Depth'!F399,"")</f>
        <v/>
      </c>
      <c r="G399" t="str">
        <f>IF($A399&lt;&gt;"",'Approved-In-Depth'!G399,"")</f>
        <v/>
      </c>
      <c r="H399" s="4" t="str">
        <f>IF($A399&lt;&gt;"",'Approved-In-Depth'!H399,"")</f>
        <v/>
      </c>
      <c r="I399" t="str">
        <f>IF($A399&lt;&gt;"",'Approved-In-Depth'!I399,"")</f>
        <v/>
      </c>
      <c r="J399" t="str">
        <f>IF($A399&lt;&gt;"",'Approved-In-Depth'!J399,"")</f>
        <v/>
      </c>
      <c r="K399" t="str">
        <f>IF($A399&lt;&gt;"",'Approved-In-Depth'!K399,"")</f>
        <v/>
      </c>
      <c r="L399" s="4" t="str">
        <f>IF($A399&lt;&gt;"",'Approved-In-Depth'!L399,"")</f>
        <v/>
      </c>
      <c r="M399" t="str">
        <f>IF($A399&lt;&gt;"",'Approved-In-Depth'!M399,"")</f>
        <v/>
      </c>
    </row>
    <row r="400" spans="1:13" x14ac:dyDescent="0.35">
      <c r="A400" s="4" t="str">
        <f>IF('Approved-In-Depth'!$A400&lt;&gt;"",'Approved-In-Depth'!A400,"")</f>
        <v/>
      </c>
      <c r="B400" t="str">
        <f>IF($O400&lt;&gt;"",$O400,IF($A400&lt;&gt;"",'Approved-In-Depth'!$B400+7,""))</f>
        <v/>
      </c>
      <c r="C400" t="str">
        <f>IF($A400&lt;&gt;"",'Approved-In-Depth'!C400,"")</f>
        <v/>
      </c>
      <c r="D400" t="str">
        <f>IF($A400&lt;&gt;"",'Approved-In-Depth'!D400,"")</f>
        <v/>
      </c>
      <c r="E400" t="str">
        <f>IF($A400&lt;&gt;"",'Approved-In-Depth'!E400,"")</f>
        <v/>
      </c>
      <c r="F400" t="str">
        <f>IF($A400&lt;&gt;"",'Approved-In-Depth'!F400,"")</f>
        <v/>
      </c>
      <c r="G400" t="str">
        <f>IF($A400&lt;&gt;"",'Approved-In-Depth'!G400,"")</f>
        <v/>
      </c>
      <c r="H400" s="4" t="str">
        <f>IF($A400&lt;&gt;"",'Approved-In-Depth'!H400,"")</f>
        <v/>
      </c>
      <c r="I400" t="str">
        <f>IF($A400&lt;&gt;"",'Approved-In-Depth'!I400,"")</f>
        <v/>
      </c>
      <c r="J400" t="str">
        <f>IF($A400&lt;&gt;"",'Approved-In-Depth'!J400,"")</f>
        <v/>
      </c>
      <c r="K400" t="str">
        <f>IF($A400&lt;&gt;"",'Approved-In-Depth'!K400,"")</f>
        <v/>
      </c>
      <c r="L400" s="4" t="str">
        <f>IF($A400&lt;&gt;"",'Approved-In-Depth'!L400,"")</f>
        <v/>
      </c>
      <c r="M400" t="str">
        <f>IF($A400&lt;&gt;"",'Approved-In-Depth'!M400,"")</f>
        <v/>
      </c>
    </row>
    <row r="401" spans="1:13" x14ac:dyDescent="0.35">
      <c r="A401" s="4" t="str">
        <f>IF('Approved-In-Depth'!$A401&lt;&gt;"",'Approved-In-Depth'!A401,"")</f>
        <v/>
      </c>
      <c r="B401" t="str">
        <f>IF($O401&lt;&gt;"",$O401,IF($A401&lt;&gt;"",'Approved-In-Depth'!$B401+7,""))</f>
        <v/>
      </c>
      <c r="C401" t="str">
        <f>IF($A401&lt;&gt;"",'Approved-In-Depth'!C401,"")</f>
        <v/>
      </c>
      <c r="D401" t="str">
        <f>IF($A401&lt;&gt;"",'Approved-In-Depth'!D401,"")</f>
        <v/>
      </c>
      <c r="E401" t="str">
        <f>IF($A401&lt;&gt;"",'Approved-In-Depth'!E401,"")</f>
        <v/>
      </c>
      <c r="F401" t="str">
        <f>IF($A401&lt;&gt;"",'Approved-In-Depth'!F401,"")</f>
        <v/>
      </c>
      <c r="G401" t="str">
        <f>IF($A401&lt;&gt;"",'Approved-In-Depth'!G401,"")</f>
        <v/>
      </c>
      <c r="H401" s="4" t="str">
        <f>IF($A401&lt;&gt;"",'Approved-In-Depth'!H401,"")</f>
        <v/>
      </c>
      <c r="I401" t="str">
        <f>IF($A401&lt;&gt;"",'Approved-In-Depth'!I401,"")</f>
        <v/>
      </c>
      <c r="J401" t="str">
        <f>IF($A401&lt;&gt;"",'Approved-In-Depth'!J401,"")</f>
        <v/>
      </c>
      <c r="K401" t="str">
        <f>IF($A401&lt;&gt;"",'Approved-In-Depth'!K401,"")</f>
        <v/>
      </c>
      <c r="L401" s="4" t="str">
        <f>IF($A401&lt;&gt;"",'Approved-In-Depth'!L401,"")</f>
        <v/>
      </c>
      <c r="M401" t="str">
        <f>IF($A401&lt;&gt;"",'Approved-In-Depth'!M401,"")</f>
        <v/>
      </c>
    </row>
    <row r="402" spans="1:13" x14ac:dyDescent="0.35">
      <c r="A402" s="4" t="str">
        <f>IF('Approved-In-Depth'!$A402&lt;&gt;"",'Approved-In-Depth'!A402,"")</f>
        <v/>
      </c>
      <c r="B402" t="str">
        <f>IF($O402&lt;&gt;"",$O402,IF($A402&lt;&gt;"",'Approved-In-Depth'!$B402+7,""))</f>
        <v/>
      </c>
      <c r="C402" t="str">
        <f>IF($A402&lt;&gt;"",'Approved-In-Depth'!C402,"")</f>
        <v/>
      </c>
      <c r="D402" t="str">
        <f>IF($A402&lt;&gt;"",'Approved-In-Depth'!D402,"")</f>
        <v/>
      </c>
      <c r="E402" t="str">
        <f>IF($A402&lt;&gt;"",'Approved-In-Depth'!E402,"")</f>
        <v/>
      </c>
      <c r="F402" t="str">
        <f>IF($A402&lt;&gt;"",'Approved-In-Depth'!F402,"")</f>
        <v/>
      </c>
      <c r="G402" t="str">
        <f>IF($A402&lt;&gt;"",'Approved-In-Depth'!G402,"")</f>
        <v/>
      </c>
      <c r="H402" s="4" t="str">
        <f>IF($A402&lt;&gt;"",'Approved-In-Depth'!H402,"")</f>
        <v/>
      </c>
      <c r="I402" t="str">
        <f>IF($A402&lt;&gt;"",'Approved-In-Depth'!I402,"")</f>
        <v/>
      </c>
      <c r="J402" t="str">
        <f>IF($A402&lt;&gt;"",'Approved-In-Depth'!J402,"")</f>
        <v/>
      </c>
      <c r="K402" t="str">
        <f>IF($A402&lt;&gt;"",'Approved-In-Depth'!K402,"")</f>
        <v/>
      </c>
      <c r="L402" s="4" t="str">
        <f>IF($A402&lt;&gt;"",'Approved-In-Depth'!L402,"")</f>
        <v/>
      </c>
      <c r="M402" t="str">
        <f>IF($A402&lt;&gt;"",'Approved-In-Depth'!M402,"")</f>
        <v/>
      </c>
    </row>
    <row r="403" spans="1:13" x14ac:dyDescent="0.35">
      <c r="A403" s="4" t="str">
        <f>IF('Approved-In-Depth'!$A403&lt;&gt;"",'Approved-In-Depth'!A403,"")</f>
        <v/>
      </c>
      <c r="B403" t="str">
        <f>IF($O403&lt;&gt;"",$O403,IF($A403&lt;&gt;"",'Approved-In-Depth'!$B403+7,""))</f>
        <v/>
      </c>
      <c r="C403" t="str">
        <f>IF($A403&lt;&gt;"",'Approved-In-Depth'!C403,"")</f>
        <v/>
      </c>
      <c r="D403" t="str">
        <f>IF($A403&lt;&gt;"",'Approved-In-Depth'!D403,"")</f>
        <v/>
      </c>
      <c r="E403" t="str">
        <f>IF($A403&lt;&gt;"",'Approved-In-Depth'!E403,"")</f>
        <v/>
      </c>
      <c r="F403" t="str">
        <f>IF($A403&lt;&gt;"",'Approved-In-Depth'!F403,"")</f>
        <v/>
      </c>
      <c r="G403" t="str">
        <f>IF($A403&lt;&gt;"",'Approved-In-Depth'!G403,"")</f>
        <v/>
      </c>
      <c r="H403" s="4" t="str">
        <f>IF($A403&lt;&gt;"",'Approved-In-Depth'!H403,"")</f>
        <v/>
      </c>
      <c r="I403" t="str">
        <f>IF($A403&lt;&gt;"",'Approved-In-Depth'!I403,"")</f>
        <v/>
      </c>
      <c r="J403" t="str">
        <f>IF($A403&lt;&gt;"",'Approved-In-Depth'!J403,"")</f>
        <v/>
      </c>
      <c r="K403" t="str">
        <f>IF($A403&lt;&gt;"",'Approved-In-Depth'!K403,"")</f>
        <v/>
      </c>
      <c r="L403" s="4" t="str">
        <f>IF($A403&lt;&gt;"",'Approved-In-Depth'!L403,"")</f>
        <v/>
      </c>
      <c r="M403" t="str">
        <f>IF($A403&lt;&gt;"",'Approved-In-Depth'!M403,"")</f>
        <v/>
      </c>
    </row>
    <row r="404" spans="1:13" x14ac:dyDescent="0.35">
      <c r="A404" s="4" t="str">
        <f>IF('Approved-In-Depth'!$A404&lt;&gt;"",'Approved-In-Depth'!A404,"")</f>
        <v/>
      </c>
      <c r="B404" t="str">
        <f>IF($O404&lt;&gt;"",$O404,IF($A404&lt;&gt;"",'Approved-In-Depth'!$B404+7,""))</f>
        <v/>
      </c>
      <c r="C404" t="str">
        <f>IF($A404&lt;&gt;"",'Approved-In-Depth'!C404,"")</f>
        <v/>
      </c>
      <c r="D404" t="str">
        <f>IF($A404&lt;&gt;"",'Approved-In-Depth'!D404,"")</f>
        <v/>
      </c>
      <c r="E404" t="str">
        <f>IF($A404&lt;&gt;"",'Approved-In-Depth'!E404,"")</f>
        <v/>
      </c>
      <c r="F404" t="str">
        <f>IF($A404&lt;&gt;"",'Approved-In-Depth'!F404,"")</f>
        <v/>
      </c>
      <c r="G404" t="str">
        <f>IF($A404&lt;&gt;"",'Approved-In-Depth'!G404,"")</f>
        <v/>
      </c>
      <c r="H404" s="4" t="str">
        <f>IF($A404&lt;&gt;"",'Approved-In-Depth'!H404,"")</f>
        <v/>
      </c>
      <c r="I404" t="str">
        <f>IF($A404&lt;&gt;"",'Approved-In-Depth'!I404,"")</f>
        <v/>
      </c>
      <c r="J404" t="str">
        <f>IF($A404&lt;&gt;"",'Approved-In-Depth'!J404,"")</f>
        <v/>
      </c>
      <c r="K404" t="str">
        <f>IF($A404&lt;&gt;"",'Approved-In-Depth'!K404,"")</f>
        <v/>
      </c>
      <c r="L404" s="4" t="str">
        <f>IF($A404&lt;&gt;"",'Approved-In-Depth'!L404,"")</f>
        <v/>
      </c>
      <c r="M404" t="str">
        <f>IF($A404&lt;&gt;"",'Approved-In-Depth'!M404,"")</f>
        <v/>
      </c>
    </row>
    <row r="405" spans="1:13" x14ac:dyDescent="0.35">
      <c r="A405" s="4" t="str">
        <f>IF('Approved-In-Depth'!$A405&lt;&gt;"",'Approved-In-Depth'!A405,"")</f>
        <v/>
      </c>
      <c r="B405" t="str">
        <f>IF($O405&lt;&gt;"",$O405,IF($A405&lt;&gt;"",'Approved-In-Depth'!$B405+7,""))</f>
        <v/>
      </c>
      <c r="C405" t="str">
        <f>IF($A405&lt;&gt;"",'Approved-In-Depth'!C405,"")</f>
        <v/>
      </c>
      <c r="D405" t="str">
        <f>IF($A405&lt;&gt;"",'Approved-In-Depth'!D405,"")</f>
        <v/>
      </c>
      <c r="E405" t="str">
        <f>IF($A405&lt;&gt;"",'Approved-In-Depth'!E405,"")</f>
        <v/>
      </c>
      <c r="F405" t="str">
        <f>IF($A405&lt;&gt;"",'Approved-In-Depth'!F405,"")</f>
        <v/>
      </c>
      <c r="G405" t="str">
        <f>IF($A405&lt;&gt;"",'Approved-In-Depth'!G405,"")</f>
        <v/>
      </c>
      <c r="H405" s="4" t="str">
        <f>IF($A405&lt;&gt;"",'Approved-In-Depth'!H405,"")</f>
        <v/>
      </c>
      <c r="I405" t="str">
        <f>IF($A405&lt;&gt;"",'Approved-In-Depth'!I405,"")</f>
        <v/>
      </c>
      <c r="J405" t="str">
        <f>IF($A405&lt;&gt;"",'Approved-In-Depth'!J405,"")</f>
        <v/>
      </c>
      <c r="K405" t="str">
        <f>IF($A405&lt;&gt;"",'Approved-In-Depth'!K405,"")</f>
        <v/>
      </c>
      <c r="L405" s="4" t="str">
        <f>IF($A405&lt;&gt;"",'Approved-In-Depth'!L405,"")</f>
        <v/>
      </c>
      <c r="M405" t="str">
        <f>IF($A405&lt;&gt;"",'Approved-In-Depth'!M405,"")</f>
        <v/>
      </c>
    </row>
    <row r="406" spans="1:13" x14ac:dyDescent="0.35">
      <c r="A406" s="4" t="str">
        <f>IF('Approved-In-Depth'!$A406&lt;&gt;"",'Approved-In-Depth'!A406,"")</f>
        <v/>
      </c>
      <c r="B406" t="str">
        <f>IF($O406&lt;&gt;"",$O406,IF($A406&lt;&gt;"",'Approved-In-Depth'!$B406+7,""))</f>
        <v/>
      </c>
      <c r="C406" t="str">
        <f>IF($A406&lt;&gt;"",'Approved-In-Depth'!C406,"")</f>
        <v/>
      </c>
      <c r="D406" t="str">
        <f>IF($A406&lt;&gt;"",'Approved-In-Depth'!D406,"")</f>
        <v/>
      </c>
      <c r="E406" t="str">
        <f>IF($A406&lt;&gt;"",'Approved-In-Depth'!E406,"")</f>
        <v/>
      </c>
      <c r="F406" t="str">
        <f>IF($A406&lt;&gt;"",'Approved-In-Depth'!F406,"")</f>
        <v/>
      </c>
      <c r="G406" t="str">
        <f>IF($A406&lt;&gt;"",'Approved-In-Depth'!G406,"")</f>
        <v/>
      </c>
      <c r="H406" s="4" t="str">
        <f>IF($A406&lt;&gt;"",'Approved-In-Depth'!H406,"")</f>
        <v/>
      </c>
      <c r="I406" t="str">
        <f>IF($A406&lt;&gt;"",'Approved-In-Depth'!I406,"")</f>
        <v/>
      </c>
      <c r="J406" t="str">
        <f>IF($A406&lt;&gt;"",'Approved-In-Depth'!J406,"")</f>
        <v/>
      </c>
      <c r="K406" t="str">
        <f>IF($A406&lt;&gt;"",'Approved-In-Depth'!K406,"")</f>
        <v/>
      </c>
      <c r="L406" s="4" t="str">
        <f>IF($A406&lt;&gt;"",'Approved-In-Depth'!L406,"")</f>
        <v/>
      </c>
      <c r="M406" t="str">
        <f>IF($A406&lt;&gt;"",'Approved-In-Depth'!M406,"")</f>
        <v/>
      </c>
    </row>
    <row r="407" spans="1:13" x14ac:dyDescent="0.35">
      <c r="A407" s="4" t="str">
        <f>IF('Approved-In-Depth'!$A407&lt;&gt;"",'Approved-In-Depth'!A407,"")</f>
        <v/>
      </c>
      <c r="B407" t="str">
        <f>IF($O407&lt;&gt;"",$O407,IF($A407&lt;&gt;"",'Approved-In-Depth'!$B407+7,""))</f>
        <v/>
      </c>
      <c r="C407" t="str">
        <f>IF($A407&lt;&gt;"",'Approved-In-Depth'!C407,"")</f>
        <v/>
      </c>
      <c r="D407" t="str">
        <f>IF($A407&lt;&gt;"",'Approved-In-Depth'!D407,"")</f>
        <v/>
      </c>
      <c r="E407" t="str">
        <f>IF($A407&lt;&gt;"",'Approved-In-Depth'!E407,"")</f>
        <v/>
      </c>
      <c r="F407" t="str">
        <f>IF($A407&lt;&gt;"",'Approved-In-Depth'!F407,"")</f>
        <v/>
      </c>
      <c r="G407" t="str">
        <f>IF($A407&lt;&gt;"",'Approved-In-Depth'!G407,"")</f>
        <v/>
      </c>
      <c r="H407" s="4" t="str">
        <f>IF($A407&lt;&gt;"",'Approved-In-Depth'!H407,"")</f>
        <v/>
      </c>
      <c r="I407" t="str">
        <f>IF($A407&lt;&gt;"",'Approved-In-Depth'!I407,"")</f>
        <v/>
      </c>
      <c r="J407" t="str">
        <f>IF($A407&lt;&gt;"",'Approved-In-Depth'!J407,"")</f>
        <v/>
      </c>
      <c r="K407" t="str">
        <f>IF($A407&lt;&gt;"",'Approved-In-Depth'!K407,"")</f>
        <v/>
      </c>
      <c r="L407" s="4" t="str">
        <f>IF($A407&lt;&gt;"",'Approved-In-Depth'!L407,"")</f>
        <v/>
      </c>
      <c r="M407" t="str">
        <f>IF($A407&lt;&gt;"",'Approved-In-Depth'!M407,"")</f>
        <v/>
      </c>
    </row>
    <row r="408" spans="1:13" x14ac:dyDescent="0.35">
      <c r="A408" s="4" t="str">
        <f>IF('Approved-In-Depth'!$A408&lt;&gt;"",'Approved-In-Depth'!A408,"")</f>
        <v/>
      </c>
      <c r="B408" t="str">
        <f>IF($O408&lt;&gt;"",$O408,IF($A408&lt;&gt;"",'Approved-In-Depth'!$B408+7,""))</f>
        <v/>
      </c>
      <c r="C408" t="str">
        <f>IF($A408&lt;&gt;"",'Approved-In-Depth'!C408,"")</f>
        <v/>
      </c>
      <c r="D408" t="str">
        <f>IF($A408&lt;&gt;"",'Approved-In-Depth'!D408,"")</f>
        <v/>
      </c>
      <c r="E408" t="str">
        <f>IF($A408&lt;&gt;"",'Approved-In-Depth'!E408,"")</f>
        <v/>
      </c>
      <c r="F408" t="str">
        <f>IF($A408&lt;&gt;"",'Approved-In-Depth'!F408,"")</f>
        <v/>
      </c>
      <c r="G408" t="str">
        <f>IF($A408&lt;&gt;"",'Approved-In-Depth'!G408,"")</f>
        <v/>
      </c>
      <c r="H408" s="4" t="str">
        <f>IF($A408&lt;&gt;"",'Approved-In-Depth'!H408,"")</f>
        <v/>
      </c>
      <c r="I408" t="str">
        <f>IF($A408&lt;&gt;"",'Approved-In-Depth'!I408,"")</f>
        <v/>
      </c>
      <c r="J408" t="str">
        <f>IF($A408&lt;&gt;"",'Approved-In-Depth'!J408,"")</f>
        <v/>
      </c>
      <c r="K408" t="str">
        <f>IF($A408&lt;&gt;"",'Approved-In-Depth'!K408,"")</f>
        <v/>
      </c>
      <c r="L408" s="4" t="str">
        <f>IF($A408&lt;&gt;"",'Approved-In-Depth'!L408,"")</f>
        <v/>
      </c>
      <c r="M408" t="str">
        <f>IF($A408&lt;&gt;"",'Approved-In-Depth'!M408,"")</f>
        <v/>
      </c>
    </row>
    <row r="409" spans="1:13" x14ac:dyDescent="0.35">
      <c r="A409" s="4" t="str">
        <f>IF('Approved-In-Depth'!$A409&lt;&gt;"",'Approved-In-Depth'!A409,"")</f>
        <v/>
      </c>
      <c r="B409" t="str">
        <f>IF($O409&lt;&gt;"",$O409,IF($A409&lt;&gt;"",'Approved-In-Depth'!$B409+7,""))</f>
        <v/>
      </c>
      <c r="C409" t="str">
        <f>IF($A409&lt;&gt;"",'Approved-In-Depth'!C409,"")</f>
        <v/>
      </c>
      <c r="D409" t="str">
        <f>IF($A409&lt;&gt;"",'Approved-In-Depth'!D409,"")</f>
        <v/>
      </c>
      <c r="E409" t="str">
        <f>IF($A409&lt;&gt;"",'Approved-In-Depth'!E409,"")</f>
        <v/>
      </c>
      <c r="F409" t="str">
        <f>IF($A409&lt;&gt;"",'Approved-In-Depth'!F409,"")</f>
        <v/>
      </c>
      <c r="G409" t="str">
        <f>IF($A409&lt;&gt;"",'Approved-In-Depth'!G409,"")</f>
        <v/>
      </c>
      <c r="H409" s="4" t="str">
        <f>IF($A409&lt;&gt;"",'Approved-In-Depth'!H409,"")</f>
        <v/>
      </c>
      <c r="I409" t="str">
        <f>IF($A409&lt;&gt;"",'Approved-In-Depth'!I409,"")</f>
        <v/>
      </c>
      <c r="J409" t="str">
        <f>IF($A409&lt;&gt;"",'Approved-In-Depth'!J409,"")</f>
        <v/>
      </c>
      <c r="K409" t="str">
        <f>IF($A409&lt;&gt;"",'Approved-In-Depth'!K409,"")</f>
        <v/>
      </c>
      <c r="L409" s="4" t="str">
        <f>IF($A409&lt;&gt;"",'Approved-In-Depth'!L409,"")</f>
        <v/>
      </c>
      <c r="M409" t="str">
        <f>IF($A409&lt;&gt;"",'Approved-In-Depth'!M409,"")</f>
        <v/>
      </c>
    </row>
    <row r="410" spans="1:13" x14ac:dyDescent="0.35">
      <c r="A410" s="4" t="str">
        <f>IF('Approved-In-Depth'!$A410&lt;&gt;"",'Approved-In-Depth'!A410,"")</f>
        <v/>
      </c>
      <c r="B410" t="str">
        <f>IF($O410&lt;&gt;"",$O410,IF($A410&lt;&gt;"",'Approved-In-Depth'!$B410+7,""))</f>
        <v/>
      </c>
      <c r="C410" t="str">
        <f>IF($A410&lt;&gt;"",'Approved-In-Depth'!C410,"")</f>
        <v/>
      </c>
      <c r="D410" t="str">
        <f>IF($A410&lt;&gt;"",'Approved-In-Depth'!D410,"")</f>
        <v/>
      </c>
      <c r="E410" t="str">
        <f>IF($A410&lt;&gt;"",'Approved-In-Depth'!E410,"")</f>
        <v/>
      </c>
      <c r="F410" t="str">
        <f>IF($A410&lt;&gt;"",'Approved-In-Depth'!F410,"")</f>
        <v/>
      </c>
      <c r="G410" t="str">
        <f>IF($A410&lt;&gt;"",'Approved-In-Depth'!G410,"")</f>
        <v/>
      </c>
      <c r="H410" s="4" t="str">
        <f>IF($A410&lt;&gt;"",'Approved-In-Depth'!H410,"")</f>
        <v/>
      </c>
      <c r="I410" t="str">
        <f>IF($A410&lt;&gt;"",'Approved-In-Depth'!I410,"")</f>
        <v/>
      </c>
      <c r="J410" t="str">
        <f>IF($A410&lt;&gt;"",'Approved-In-Depth'!J410,"")</f>
        <v/>
      </c>
      <c r="K410" t="str">
        <f>IF($A410&lt;&gt;"",'Approved-In-Depth'!K410,"")</f>
        <v/>
      </c>
      <c r="L410" s="4" t="str">
        <f>IF($A410&lt;&gt;"",'Approved-In-Depth'!L410,"")</f>
        <v/>
      </c>
      <c r="M410" t="str">
        <f>IF($A410&lt;&gt;"",'Approved-In-Depth'!M410,"")</f>
        <v/>
      </c>
    </row>
    <row r="411" spans="1:13" x14ac:dyDescent="0.35">
      <c r="A411" s="4" t="str">
        <f>IF('Approved-In-Depth'!$A411&lt;&gt;"",'Approved-In-Depth'!A411,"")</f>
        <v/>
      </c>
      <c r="B411" t="str">
        <f>IF($O411&lt;&gt;"",$O411,IF($A411&lt;&gt;"",'Approved-In-Depth'!$B411+7,""))</f>
        <v/>
      </c>
      <c r="C411" t="str">
        <f>IF($A411&lt;&gt;"",'Approved-In-Depth'!C411,"")</f>
        <v/>
      </c>
      <c r="D411" t="str">
        <f>IF($A411&lt;&gt;"",'Approved-In-Depth'!D411,"")</f>
        <v/>
      </c>
      <c r="E411" t="str">
        <f>IF($A411&lt;&gt;"",'Approved-In-Depth'!E411,"")</f>
        <v/>
      </c>
      <c r="F411" t="str">
        <f>IF($A411&lt;&gt;"",'Approved-In-Depth'!F411,"")</f>
        <v/>
      </c>
      <c r="G411" t="str">
        <f>IF($A411&lt;&gt;"",'Approved-In-Depth'!G411,"")</f>
        <v/>
      </c>
      <c r="H411" s="4" t="str">
        <f>IF($A411&lt;&gt;"",'Approved-In-Depth'!H411,"")</f>
        <v/>
      </c>
      <c r="I411" t="str">
        <f>IF($A411&lt;&gt;"",'Approved-In-Depth'!I411,"")</f>
        <v/>
      </c>
      <c r="J411" t="str">
        <f>IF($A411&lt;&gt;"",'Approved-In-Depth'!J411,"")</f>
        <v/>
      </c>
      <c r="K411" t="str">
        <f>IF($A411&lt;&gt;"",'Approved-In-Depth'!K411,"")</f>
        <v/>
      </c>
      <c r="L411" s="4" t="str">
        <f>IF($A411&lt;&gt;"",'Approved-In-Depth'!L411,"")</f>
        <v/>
      </c>
      <c r="M411" t="str">
        <f>IF($A411&lt;&gt;"",'Approved-In-Depth'!M411,"")</f>
        <v/>
      </c>
    </row>
    <row r="412" spans="1:13" x14ac:dyDescent="0.35">
      <c r="A412" s="4" t="str">
        <f>IF('Approved-In-Depth'!$A412&lt;&gt;"",'Approved-In-Depth'!A412,"")</f>
        <v/>
      </c>
      <c r="B412" t="str">
        <f>IF($O412&lt;&gt;"",$O412,IF($A412&lt;&gt;"",'Approved-In-Depth'!$B412+7,""))</f>
        <v/>
      </c>
      <c r="C412" t="str">
        <f>IF($A412&lt;&gt;"",'Approved-In-Depth'!C412,"")</f>
        <v/>
      </c>
      <c r="D412" t="str">
        <f>IF($A412&lt;&gt;"",'Approved-In-Depth'!D412,"")</f>
        <v/>
      </c>
      <c r="E412" t="str">
        <f>IF($A412&lt;&gt;"",'Approved-In-Depth'!E412,"")</f>
        <v/>
      </c>
      <c r="F412" t="str">
        <f>IF($A412&lt;&gt;"",'Approved-In-Depth'!F412,"")</f>
        <v/>
      </c>
      <c r="G412" t="str">
        <f>IF($A412&lt;&gt;"",'Approved-In-Depth'!G412,"")</f>
        <v/>
      </c>
      <c r="H412" s="4" t="str">
        <f>IF($A412&lt;&gt;"",'Approved-In-Depth'!H412,"")</f>
        <v/>
      </c>
      <c r="I412" t="str">
        <f>IF($A412&lt;&gt;"",'Approved-In-Depth'!I412,"")</f>
        <v/>
      </c>
      <c r="J412" t="str">
        <f>IF($A412&lt;&gt;"",'Approved-In-Depth'!J412,"")</f>
        <v/>
      </c>
      <c r="K412" t="str">
        <f>IF($A412&lt;&gt;"",'Approved-In-Depth'!K412,"")</f>
        <v/>
      </c>
      <c r="L412" s="4" t="str">
        <f>IF($A412&lt;&gt;"",'Approved-In-Depth'!L412,"")</f>
        <v/>
      </c>
      <c r="M412" t="str">
        <f>IF($A412&lt;&gt;"",'Approved-In-Depth'!M412,"")</f>
        <v/>
      </c>
    </row>
    <row r="413" spans="1:13" x14ac:dyDescent="0.35">
      <c r="A413" s="4" t="str">
        <f>IF('Approved-In-Depth'!$A413&lt;&gt;"",'Approved-In-Depth'!A413,"")</f>
        <v/>
      </c>
      <c r="B413" t="str">
        <f>IF($O413&lt;&gt;"",$O413,IF($A413&lt;&gt;"",'Approved-In-Depth'!$B413+7,""))</f>
        <v/>
      </c>
      <c r="C413" t="str">
        <f>IF($A413&lt;&gt;"",'Approved-In-Depth'!C413,"")</f>
        <v/>
      </c>
      <c r="D413" t="str">
        <f>IF($A413&lt;&gt;"",'Approved-In-Depth'!D413,"")</f>
        <v/>
      </c>
      <c r="E413" t="str">
        <f>IF($A413&lt;&gt;"",'Approved-In-Depth'!E413,"")</f>
        <v/>
      </c>
      <c r="F413" t="str">
        <f>IF($A413&lt;&gt;"",'Approved-In-Depth'!F413,"")</f>
        <v/>
      </c>
      <c r="G413" t="str">
        <f>IF($A413&lt;&gt;"",'Approved-In-Depth'!G413,"")</f>
        <v/>
      </c>
      <c r="H413" s="4" t="str">
        <f>IF($A413&lt;&gt;"",'Approved-In-Depth'!H413,"")</f>
        <v/>
      </c>
      <c r="I413" t="str">
        <f>IF($A413&lt;&gt;"",'Approved-In-Depth'!I413,"")</f>
        <v/>
      </c>
      <c r="J413" t="str">
        <f>IF($A413&lt;&gt;"",'Approved-In-Depth'!J413,"")</f>
        <v/>
      </c>
      <c r="K413" t="str">
        <f>IF($A413&lt;&gt;"",'Approved-In-Depth'!K413,"")</f>
        <v/>
      </c>
      <c r="L413" s="4" t="str">
        <f>IF($A413&lt;&gt;"",'Approved-In-Depth'!L413,"")</f>
        <v/>
      </c>
      <c r="M413" t="str">
        <f>IF($A413&lt;&gt;"",'Approved-In-Depth'!M413,"")</f>
        <v/>
      </c>
    </row>
    <row r="414" spans="1:13" x14ac:dyDescent="0.35">
      <c r="A414" s="4" t="str">
        <f>IF('Approved-In-Depth'!$A414&lt;&gt;"",'Approved-In-Depth'!A414,"")</f>
        <v/>
      </c>
      <c r="B414" t="str">
        <f>IF($O414&lt;&gt;"",$O414,IF($A414&lt;&gt;"",'Approved-In-Depth'!$B414+7,""))</f>
        <v/>
      </c>
      <c r="C414" t="str">
        <f>IF($A414&lt;&gt;"",'Approved-In-Depth'!C414,"")</f>
        <v/>
      </c>
      <c r="D414" t="str">
        <f>IF($A414&lt;&gt;"",'Approved-In-Depth'!D414,"")</f>
        <v/>
      </c>
      <c r="E414" t="str">
        <f>IF($A414&lt;&gt;"",'Approved-In-Depth'!E414,"")</f>
        <v/>
      </c>
      <c r="F414" t="str">
        <f>IF($A414&lt;&gt;"",'Approved-In-Depth'!F414,"")</f>
        <v/>
      </c>
      <c r="G414" t="str">
        <f>IF($A414&lt;&gt;"",'Approved-In-Depth'!G414,"")</f>
        <v/>
      </c>
      <c r="H414" s="4" t="str">
        <f>IF($A414&lt;&gt;"",'Approved-In-Depth'!H414,"")</f>
        <v/>
      </c>
      <c r="I414" t="str">
        <f>IF($A414&lt;&gt;"",'Approved-In-Depth'!I414,"")</f>
        <v/>
      </c>
      <c r="J414" t="str">
        <f>IF($A414&lt;&gt;"",'Approved-In-Depth'!J414,"")</f>
        <v/>
      </c>
      <c r="K414" t="str">
        <f>IF($A414&lt;&gt;"",'Approved-In-Depth'!K414,"")</f>
        <v/>
      </c>
      <c r="L414" s="4" t="str">
        <f>IF($A414&lt;&gt;"",'Approved-In-Depth'!L414,"")</f>
        <v/>
      </c>
      <c r="M414" t="str">
        <f>IF($A414&lt;&gt;"",'Approved-In-Depth'!M414,"")</f>
        <v/>
      </c>
    </row>
    <row r="415" spans="1:13" x14ac:dyDescent="0.35">
      <c r="A415" s="4" t="str">
        <f>IF('Approved-In-Depth'!$A415&lt;&gt;"",'Approved-In-Depth'!A415,"")</f>
        <v/>
      </c>
      <c r="B415" t="str">
        <f>IF($O415&lt;&gt;"",$O415,IF($A415&lt;&gt;"",'Approved-In-Depth'!$B415+7,""))</f>
        <v/>
      </c>
      <c r="C415" t="str">
        <f>IF($A415&lt;&gt;"",'Approved-In-Depth'!C415,"")</f>
        <v/>
      </c>
      <c r="D415" t="str">
        <f>IF($A415&lt;&gt;"",'Approved-In-Depth'!D415,"")</f>
        <v/>
      </c>
      <c r="E415" t="str">
        <f>IF($A415&lt;&gt;"",'Approved-In-Depth'!E415,"")</f>
        <v/>
      </c>
      <c r="F415" t="str">
        <f>IF($A415&lt;&gt;"",'Approved-In-Depth'!F415,"")</f>
        <v/>
      </c>
      <c r="G415" t="str">
        <f>IF($A415&lt;&gt;"",'Approved-In-Depth'!G415,"")</f>
        <v/>
      </c>
      <c r="H415" s="4" t="str">
        <f>IF($A415&lt;&gt;"",'Approved-In-Depth'!H415,"")</f>
        <v/>
      </c>
      <c r="I415" t="str">
        <f>IF($A415&lt;&gt;"",'Approved-In-Depth'!I415,"")</f>
        <v/>
      </c>
      <c r="J415" t="str">
        <f>IF($A415&lt;&gt;"",'Approved-In-Depth'!J415,"")</f>
        <v/>
      </c>
      <c r="K415" t="str">
        <f>IF($A415&lt;&gt;"",'Approved-In-Depth'!K415,"")</f>
        <v/>
      </c>
      <c r="L415" s="4" t="str">
        <f>IF($A415&lt;&gt;"",'Approved-In-Depth'!L415,"")</f>
        <v/>
      </c>
      <c r="M415" t="str">
        <f>IF($A415&lt;&gt;"",'Approved-In-Depth'!M415,"")</f>
        <v/>
      </c>
    </row>
    <row r="416" spans="1:13" x14ac:dyDescent="0.35">
      <c r="A416" s="4" t="str">
        <f>IF('Approved-In-Depth'!$A416&lt;&gt;"",'Approved-In-Depth'!A416,"")</f>
        <v/>
      </c>
      <c r="B416" t="str">
        <f>IF($O416&lt;&gt;"",$O416,IF($A416&lt;&gt;"",'Approved-In-Depth'!$B416+7,""))</f>
        <v/>
      </c>
      <c r="C416" t="str">
        <f>IF($A416&lt;&gt;"",'Approved-In-Depth'!C416,"")</f>
        <v/>
      </c>
      <c r="D416" t="str">
        <f>IF($A416&lt;&gt;"",'Approved-In-Depth'!D416,"")</f>
        <v/>
      </c>
      <c r="E416" t="str">
        <f>IF($A416&lt;&gt;"",'Approved-In-Depth'!E416,"")</f>
        <v/>
      </c>
      <c r="F416" t="str">
        <f>IF($A416&lt;&gt;"",'Approved-In-Depth'!F416,"")</f>
        <v/>
      </c>
      <c r="G416" t="str">
        <f>IF($A416&lt;&gt;"",'Approved-In-Depth'!G416,"")</f>
        <v/>
      </c>
      <c r="H416" s="4" t="str">
        <f>IF($A416&lt;&gt;"",'Approved-In-Depth'!H416,"")</f>
        <v/>
      </c>
      <c r="I416" t="str">
        <f>IF($A416&lt;&gt;"",'Approved-In-Depth'!I416,"")</f>
        <v/>
      </c>
      <c r="J416" t="str">
        <f>IF($A416&lt;&gt;"",'Approved-In-Depth'!J416,"")</f>
        <v/>
      </c>
      <c r="K416" t="str">
        <f>IF($A416&lt;&gt;"",'Approved-In-Depth'!K416,"")</f>
        <v/>
      </c>
      <c r="L416" s="4" t="str">
        <f>IF($A416&lt;&gt;"",'Approved-In-Depth'!L416,"")</f>
        <v/>
      </c>
      <c r="M416" t="str">
        <f>IF($A416&lt;&gt;"",'Approved-In-Depth'!M416,"")</f>
        <v/>
      </c>
    </row>
    <row r="417" spans="1:13" x14ac:dyDescent="0.35">
      <c r="A417" s="4" t="str">
        <f>IF('Approved-In-Depth'!$A417&lt;&gt;"",'Approved-In-Depth'!A417,"")</f>
        <v/>
      </c>
      <c r="B417" t="str">
        <f>IF($O417&lt;&gt;"",$O417,IF($A417&lt;&gt;"",'Approved-In-Depth'!$B417+7,""))</f>
        <v/>
      </c>
      <c r="C417" t="str">
        <f>IF($A417&lt;&gt;"",'Approved-In-Depth'!C417,"")</f>
        <v/>
      </c>
      <c r="D417" t="str">
        <f>IF($A417&lt;&gt;"",'Approved-In-Depth'!D417,"")</f>
        <v/>
      </c>
      <c r="E417" t="str">
        <f>IF($A417&lt;&gt;"",'Approved-In-Depth'!E417,"")</f>
        <v/>
      </c>
      <c r="F417" t="str">
        <f>IF($A417&lt;&gt;"",'Approved-In-Depth'!F417,"")</f>
        <v/>
      </c>
      <c r="G417" t="str">
        <f>IF($A417&lt;&gt;"",'Approved-In-Depth'!G417,"")</f>
        <v/>
      </c>
      <c r="H417" s="4" t="str">
        <f>IF($A417&lt;&gt;"",'Approved-In-Depth'!H417,"")</f>
        <v/>
      </c>
      <c r="I417" t="str">
        <f>IF($A417&lt;&gt;"",'Approved-In-Depth'!I417,"")</f>
        <v/>
      </c>
      <c r="J417" t="str">
        <f>IF($A417&lt;&gt;"",'Approved-In-Depth'!J417,"")</f>
        <v/>
      </c>
      <c r="K417" t="str">
        <f>IF($A417&lt;&gt;"",'Approved-In-Depth'!K417,"")</f>
        <v/>
      </c>
      <c r="L417" s="4" t="str">
        <f>IF($A417&lt;&gt;"",'Approved-In-Depth'!L417,"")</f>
        <v/>
      </c>
      <c r="M417" t="str">
        <f>IF($A417&lt;&gt;"",'Approved-In-Depth'!M417,"")</f>
        <v/>
      </c>
    </row>
    <row r="418" spans="1:13" x14ac:dyDescent="0.35">
      <c r="A418" s="4" t="str">
        <f>IF('Approved-In-Depth'!$A418&lt;&gt;"",'Approved-In-Depth'!A418,"")</f>
        <v/>
      </c>
      <c r="B418" t="str">
        <f>IF($O418&lt;&gt;"",$O418,IF($A418&lt;&gt;"",'Approved-In-Depth'!$B418+7,""))</f>
        <v/>
      </c>
      <c r="C418" t="str">
        <f>IF($A418&lt;&gt;"",'Approved-In-Depth'!C418,"")</f>
        <v/>
      </c>
      <c r="D418" t="str">
        <f>IF($A418&lt;&gt;"",'Approved-In-Depth'!D418,"")</f>
        <v/>
      </c>
      <c r="E418" t="str">
        <f>IF($A418&lt;&gt;"",'Approved-In-Depth'!E418,"")</f>
        <v/>
      </c>
      <c r="F418" t="str">
        <f>IF($A418&lt;&gt;"",'Approved-In-Depth'!F418,"")</f>
        <v/>
      </c>
      <c r="G418" t="str">
        <f>IF($A418&lt;&gt;"",'Approved-In-Depth'!G418,"")</f>
        <v/>
      </c>
      <c r="H418" s="4" t="str">
        <f>IF($A418&lt;&gt;"",'Approved-In-Depth'!H418,"")</f>
        <v/>
      </c>
      <c r="I418" t="str">
        <f>IF($A418&lt;&gt;"",'Approved-In-Depth'!I418,"")</f>
        <v/>
      </c>
      <c r="J418" t="str">
        <f>IF($A418&lt;&gt;"",'Approved-In-Depth'!J418,"")</f>
        <v/>
      </c>
      <c r="K418" t="str">
        <f>IF($A418&lt;&gt;"",'Approved-In-Depth'!K418,"")</f>
        <v/>
      </c>
      <c r="L418" s="4" t="str">
        <f>IF($A418&lt;&gt;"",'Approved-In-Depth'!L418,"")</f>
        <v/>
      </c>
      <c r="M418" t="str">
        <f>IF($A418&lt;&gt;"",'Approved-In-Depth'!M418,"")</f>
        <v/>
      </c>
    </row>
    <row r="419" spans="1:13" x14ac:dyDescent="0.35">
      <c r="A419" s="4" t="str">
        <f>IF('Approved-In-Depth'!$A419&lt;&gt;"",'Approved-In-Depth'!A419,"")</f>
        <v/>
      </c>
      <c r="B419" t="str">
        <f>IF($O419&lt;&gt;"",$O419,IF($A419&lt;&gt;"",'Approved-In-Depth'!$B419+7,""))</f>
        <v/>
      </c>
      <c r="C419" t="str">
        <f>IF($A419&lt;&gt;"",'Approved-In-Depth'!C419,"")</f>
        <v/>
      </c>
      <c r="D419" t="str">
        <f>IF($A419&lt;&gt;"",'Approved-In-Depth'!D419,"")</f>
        <v/>
      </c>
      <c r="E419" t="str">
        <f>IF($A419&lt;&gt;"",'Approved-In-Depth'!E419,"")</f>
        <v/>
      </c>
      <c r="F419" t="str">
        <f>IF($A419&lt;&gt;"",'Approved-In-Depth'!F419,"")</f>
        <v/>
      </c>
      <c r="G419" t="str">
        <f>IF($A419&lt;&gt;"",'Approved-In-Depth'!G419,"")</f>
        <v/>
      </c>
      <c r="H419" s="4" t="str">
        <f>IF($A419&lt;&gt;"",'Approved-In-Depth'!H419,"")</f>
        <v/>
      </c>
      <c r="I419" t="str">
        <f>IF($A419&lt;&gt;"",'Approved-In-Depth'!I419,"")</f>
        <v/>
      </c>
      <c r="J419" t="str">
        <f>IF($A419&lt;&gt;"",'Approved-In-Depth'!J419,"")</f>
        <v/>
      </c>
      <c r="K419" t="str">
        <f>IF($A419&lt;&gt;"",'Approved-In-Depth'!K419,"")</f>
        <v/>
      </c>
      <c r="L419" s="4" t="str">
        <f>IF($A419&lt;&gt;"",'Approved-In-Depth'!L419,"")</f>
        <v/>
      </c>
      <c r="M419" t="str">
        <f>IF($A419&lt;&gt;"",'Approved-In-Depth'!M419,"")</f>
        <v/>
      </c>
    </row>
    <row r="420" spans="1:13" x14ac:dyDescent="0.35">
      <c r="A420" s="4" t="str">
        <f>IF('Approved-In-Depth'!$A420&lt;&gt;"",'Approved-In-Depth'!A420,"")</f>
        <v/>
      </c>
      <c r="B420" t="str">
        <f>IF($O420&lt;&gt;"",$O420,IF($A420&lt;&gt;"",'Approved-In-Depth'!$B420+7,""))</f>
        <v/>
      </c>
      <c r="C420" t="str">
        <f>IF($A420&lt;&gt;"",'Approved-In-Depth'!C420,"")</f>
        <v/>
      </c>
      <c r="D420" t="str">
        <f>IF($A420&lt;&gt;"",'Approved-In-Depth'!D420,"")</f>
        <v/>
      </c>
      <c r="E420" t="str">
        <f>IF($A420&lt;&gt;"",'Approved-In-Depth'!E420,"")</f>
        <v/>
      </c>
      <c r="F420" t="str">
        <f>IF($A420&lt;&gt;"",'Approved-In-Depth'!F420,"")</f>
        <v/>
      </c>
      <c r="G420" t="str">
        <f>IF($A420&lt;&gt;"",'Approved-In-Depth'!G420,"")</f>
        <v/>
      </c>
      <c r="H420" s="4" t="str">
        <f>IF($A420&lt;&gt;"",'Approved-In-Depth'!H420,"")</f>
        <v/>
      </c>
      <c r="I420" t="str">
        <f>IF($A420&lt;&gt;"",'Approved-In-Depth'!I420,"")</f>
        <v/>
      </c>
      <c r="J420" t="str">
        <f>IF($A420&lt;&gt;"",'Approved-In-Depth'!J420,"")</f>
        <v/>
      </c>
      <c r="K420" t="str">
        <f>IF($A420&lt;&gt;"",'Approved-In-Depth'!K420,"")</f>
        <v/>
      </c>
      <c r="L420" s="4" t="str">
        <f>IF($A420&lt;&gt;"",'Approved-In-Depth'!L420,"")</f>
        <v/>
      </c>
      <c r="M420" t="str">
        <f>IF($A420&lt;&gt;"",'Approved-In-Depth'!M420,"")</f>
        <v/>
      </c>
    </row>
    <row r="421" spans="1:13" x14ac:dyDescent="0.35">
      <c r="A421" s="4" t="str">
        <f>IF('Approved-In-Depth'!$A421&lt;&gt;"",'Approved-In-Depth'!A421,"")</f>
        <v/>
      </c>
      <c r="B421" t="str">
        <f>IF($O421&lt;&gt;"",$O421,IF($A421&lt;&gt;"",'Approved-In-Depth'!$B421+7,""))</f>
        <v/>
      </c>
      <c r="C421" t="str">
        <f>IF($A421&lt;&gt;"",'Approved-In-Depth'!C421,"")</f>
        <v/>
      </c>
      <c r="D421" t="str">
        <f>IF($A421&lt;&gt;"",'Approved-In-Depth'!D421,"")</f>
        <v/>
      </c>
      <c r="E421" t="str">
        <f>IF($A421&lt;&gt;"",'Approved-In-Depth'!E421,"")</f>
        <v/>
      </c>
      <c r="F421" t="str">
        <f>IF($A421&lt;&gt;"",'Approved-In-Depth'!F421,"")</f>
        <v/>
      </c>
      <c r="G421" t="str">
        <f>IF($A421&lt;&gt;"",'Approved-In-Depth'!G421,"")</f>
        <v/>
      </c>
      <c r="H421" s="4" t="str">
        <f>IF($A421&lt;&gt;"",'Approved-In-Depth'!H421,"")</f>
        <v/>
      </c>
      <c r="I421" t="str">
        <f>IF($A421&lt;&gt;"",'Approved-In-Depth'!I421,"")</f>
        <v/>
      </c>
      <c r="J421" t="str">
        <f>IF($A421&lt;&gt;"",'Approved-In-Depth'!J421,"")</f>
        <v/>
      </c>
      <c r="K421" t="str">
        <f>IF($A421&lt;&gt;"",'Approved-In-Depth'!K421,"")</f>
        <v/>
      </c>
      <c r="L421" s="4" t="str">
        <f>IF($A421&lt;&gt;"",'Approved-In-Depth'!L421,"")</f>
        <v/>
      </c>
      <c r="M421" t="str">
        <f>IF($A421&lt;&gt;"",'Approved-In-Depth'!M421,"")</f>
        <v/>
      </c>
    </row>
    <row r="422" spans="1:13" x14ac:dyDescent="0.35">
      <c r="A422" s="4" t="str">
        <f>IF('Approved-In-Depth'!$A422&lt;&gt;"",'Approved-In-Depth'!A422,"")</f>
        <v/>
      </c>
      <c r="B422" t="str">
        <f>IF($O422&lt;&gt;"",$O422,IF($A422&lt;&gt;"",'Approved-In-Depth'!$B422+7,""))</f>
        <v/>
      </c>
      <c r="C422" t="str">
        <f>IF($A422&lt;&gt;"",'Approved-In-Depth'!C422,"")</f>
        <v/>
      </c>
      <c r="D422" t="str">
        <f>IF($A422&lt;&gt;"",'Approved-In-Depth'!D422,"")</f>
        <v/>
      </c>
      <c r="E422" t="str">
        <f>IF($A422&lt;&gt;"",'Approved-In-Depth'!E422,"")</f>
        <v/>
      </c>
      <c r="F422" t="str">
        <f>IF($A422&lt;&gt;"",'Approved-In-Depth'!F422,"")</f>
        <v/>
      </c>
      <c r="G422" t="str">
        <f>IF($A422&lt;&gt;"",'Approved-In-Depth'!G422,"")</f>
        <v/>
      </c>
      <c r="H422" s="4" t="str">
        <f>IF($A422&lt;&gt;"",'Approved-In-Depth'!H422,"")</f>
        <v/>
      </c>
      <c r="I422" t="str">
        <f>IF($A422&lt;&gt;"",'Approved-In-Depth'!I422,"")</f>
        <v/>
      </c>
      <c r="J422" t="str">
        <f>IF($A422&lt;&gt;"",'Approved-In-Depth'!J422,"")</f>
        <v/>
      </c>
      <c r="K422" t="str">
        <f>IF($A422&lt;&gt;"",'Approved-In-Depth'!K422,"")</f>
        <v/>
      </c>
      <c r="L422" s="4" t="str">
        <f>IF($A422&lt;&gt;"",'Approved-In-Depth'!L422,"")</f>
        <v/>
      </c>
      <c r="M422" t="str">
        <f>IF($A422&lt;&gt;"",'Approved-In-Depth'!M422,"")</f>
        <v/>
      </c>
    </row>
    <row r="423" spans="1:13" x14ac:dyDescent="0.35">
      <c r="A423" s="4" t="str">
        <f>IF('Approved-In-Depth'!$A423&lt;&gt;"",'Approved-In-Depth'!A423,"")</f>
        <v/>
      </c>
      <c r="B423" t="str">
        <f>IF($O423&lt;&gt;"",$O423,IF($A423&lt;&gt;"",'Approved-In-Depth'!$B423+7,""))</f>
        <v/>
      </c>
      <c r="C423" t="str">
        <f>IF($A423&lt;&gt;"",'Approved-In-Depth'!C423,"")</f>
        <v/>
      </c>
      <c r="D423" t="str">
        <f>IF($A423&lt;&gt;"",'Approved-In-Depth'!D423,"")</f>
        <v/>
      </c>
      <c r="E423" t="str">
        <f>IF($A423&lt;&gt;"",'Approved-In-Depth'!E423,"")</f>
        <v/>
      </c>
      <c r="F423" t="str">
        <f>IF($A423&lt;&gt;"",'Approved-In-Depth'!F423,"")</f>
        <v/>
      </c>
      <c r="G423" t="str">
        <f>IF($A423&lt;&gt;"",'Approved-In-Depth'!G423,"")</f>
        <v/>
      </c>
      <c r="H423" s="4" t="str">
        <f>IF($A423&lt;&gt;"",'Approved-In-Depth'!H423,"")</f>
        <v/>
      </c>
      <c r="I423" t="str">
        <f>IF($A423&lt;&gt;"",'Approved-In-Depth'!I423,"")</f>
        <v/>
      </c>
      <c r="J423" t="str">
        <f>IF($A423&lt;&gt;"",'Approved-In-Depth'!J423,"")</f>
        <v/>
      </c>
      <c r="K423" t="str">
        <f>IF($A423&lt;&gt;"",'Approved-In-Depth'!K423,"")</f>
        <v/>
      </c>
      <c r="L423" s="4" t="str">
        <f>IF($A423&lt;&gt;"",'Approved-In-Depth'!L423,"")</f>
        <v/>
      </c>
      <c r="M423" t="str">
        <f>IF($A423&lt;&gt;"",'Approved-In-Depth'!M423,"")</f>
        <v/>
      </c>
    </row>
    <row r="424" spans="1:13" x14ac:dyDescent="0.35">
      <c r="A424" s="4" t="str">
        <f>IF('Approved-In-Depth'!$A424&lt;&gt;"",'Approved-In-Depth'!A424,"")</f>
        <v/>
      </c>
      <c r="B424" t="str">
        <f>IF($O424&lt;&gt;"",$O424,IF($A424&lt;&gt;"",'Approved-In-Depth'!$B424+7,""))</f>
        <v/>
      </c>
      <c r="C424" t="str">
        <f>IF($A424&lt;&gt;"",'Approved-In-Depth'!C424,"")</f>
        <v/>
      </c>
      <c r="D424" t="str">
        <f>IF($A424&lt;&gt;"",'Approved-In-Depth'!D424,"")</f>
        <v/>
      </c>
      <c r="E424" t="str">
        <f>IF($A424&lt;&gt;"",'Approved-In-Depth'!E424,"")</f>
        <v/>
      </c>
      <c r="F424" t="str">
        <f>IF($A424&lt;&gt;"",'Approved-In-Depth'!F424,"")</f>
        <v/>
      </c>
      <c r="G424" t="str">
        <f>IF($A424&lt;&gt;"",'Approved-In-Depth'!G424,"")</f>
        <v/>
      </c>
      <c r="H424" s="4" t="str">
        <f>IF($A424&lt;&gt;"",'Approved-In-Depth'!H424,"")</f>
        <v/>
      </c>
      <c r="I424" t="str">
        <f>IF($A424&lt;&gt;"",'Approved-In-Depth'!I424,"")</f>
        <v/>
      </c>
      <c r="J424" t="str">
        <f>IF($A424&lt;&gt;"",'Approved-In-Depth'!J424,"")</f>
        <v/>
      </c>
      <c r="K424" t="str">
        <f>IF($A424&lt;&gt;"",'Approved-In-Depth'!K424,"")</f>
        <v/>
      </c>
      <c r="L424" s="4" t="str">
        <f>IF($A424&lt;&gt;"",'Approved-In-Depth'!L424,"")</f>
        <v/>
      </c>
      <c r="M424" t="str">
        <f>IF($A424&lt;&gt;"",'Approved-In-Depth'!M424,"")</f>
        <v/>
      </c>
    </row>
    <row r="425" spans="1:13" x14ac:dyDescent="0.35">
      <c r="A425" s="4" t="str">
        <f>IF('Approved-In-Depth'!$A425&lt;&gt;"",'Approved-In-Depth'!A425,"")</f>
        <v/>
      </c>
      <c r="B425" t="str">
        <f>IF($O425&lt;&gt;"",$O425,IF($A425&lt;&gt;"",'Approved-In-Depth'!$B425+7,""))</f>
        <v/>
      </c>
      <c r="C425" t="str">
        <f>IF($A425&lt;&gt;"",'Approved-In-Depth'!C425,"")</f>
        <v/>
      </c>
      <c r="D425" t="str">
        <f>IF($A425&lt;&gt;"",'Approved-In-Depth'!D425,"")</f>
        <v/>
      </c>
      <c r="E425" t="str">
        <f>IF($A425&lt;&gt;"",'Approved-In-Depth'!E425,"")</f>
        <v/>
      </c>
      <c r="F425" t="str">
        <f>IF($A425&lt;&gt;"",'Approved-In-Depth'!F425,"")</f>
        <v/>
      </c>
      <c r="G425" t="str">
        <f>IF($A425&lt;&gt;"",'Approved-In-Depth'!G425,"")</f>
        <v/>
      </c>
      <c r="H425" s="4" t="str">
        <f>IF($A425&lt;&gt;"",'Approved-In-Depth'!H425,"")</f>
        <v/>
      </c>
      <c r="I425" t="str">
        <f>IF($A425&lt;&gt;"",'Approved-In-Depth'!I425,"")</f>
        <v/>
      </c>
      <c r="J425" t="str">
        <f>IF($A425&lt;&gt;"",'Approved-In-Depth'!J425,"")</f>
        <v/>
      </c>
      <c r="K425" t="str">
        <f>IF($A425&lt;&gt;"",'Approved-In-Depth'!K425,"")</f>
        <v/>
      </c>
      <c r="L425" s="4" t="str">
        <f>IF($A425&lt;&gt;"",'Approved-In-Depth'!L425,"")</f>
        <v/>
      </c>
      <c r="M425" t="str">
        <f>IF($A425&lt;&gt;"",'Approved-In-Depth'!M425,"")</f>
        <v/>
      </c>
    </row>
    <row r="426" spans="1:13" x14ac:dyDescent="0.35">
      <c r="A426" s="4" t="str">
        <f>IF('Approved-In-Depth'!$A426&lt;&gt;"",'Approved-In-Depth'!A426,"")</f>
        <v/>
      </c>
      <c r="B426" t="str">
        <f>IF($O426&lt;&gt;"",$O426,IF($A426&lt;&gt;"",'Approved-In-Depth'!$B426+7,""))</f>
        <v/>
      </c>
      <c r="C426" t="str">
        <f>IF($A426&lt;&gt;"",'Approved-In-Depth'!C426,"")</f>
        <v/>
      </c>
      <c r="D426" t="str">
        <f>IF($A426&lt;&gt;"",'Approved-In-Depth'!D426,"")</f>
        <v/>
      </c>
      <c r="E426" t="str">
        <f>IF($A426&lt;&gt;"",'Approved-In-Depth'!E426,"")</f>
        <v/>
      </c>
      <c r="F426" t="str">
        <f>IF($A426&lt;&gt;"",'Approved-In-Depth'!F426,"")</f>
        <v/>
      </c>
      <c r="G426" t="str">
        <f>IF($A426&lt;&gt;"",'Approved-In-Depth'!G426,"")</f>
        <v/>
      </c>
      <c r="H426" s="4" t="str">
        <f>IF($A426&lt;&gt;"",'Approved-In-Depth'!H426,"")</f>
        <v/>
      </c>
      <c r="I426" t="str">
        <f>IF($A426&lt;&gt;"",'Approved-In-Depth'!I426,"")</f>
        <v/>
      </c>
      <c r="J426" t="str">
        <f>IF($A426&lt;&gt;"",'Approved-In-Depth'!J426,"")</f>
        <v/>
      </c>
      <c r="K426" t="str">
        <f>IF($A426&lt;&gt;"",'Approved-In-Depth'!K426,"")</f>
        <v/>
      </c>
      <c r="L426" s="4" t="str">
        <f>IF($A426&lt;&gt;"",'Approved-In-Depth'!L426,"")</f>
        <v/>
      </c>
      <c r="M426" t="str">
        <f>IF($A426&lt;&gt;"",'Approved-In-Depth'!M426,"")</f>
        <v/>
      </c>
    </row>
    <row r="427" spans="1:13" x14ac:dyDescent="0.35">
      <c r="A427" s="4" t="str">
        <f>IF('Approved-In-Depth'!$A427&lt;&gt;"",'Approved-In-Depth'!A427,"")</f>
        <v/>
      </c>
      <c r="B427" t="str">
        <f>IF($O427&lt;&gt;"",$O427,IF($A427&lt;&gt;"",'Approved-In-Depth'!$B427+7,""))</f>
        <v/>
      </c>
      <c r="C427" t="str">
        <f>IF($A427&lt;&gt;"",'Approved-In-Depth'!C427,"")</f>
        <v/>
      </c>
      <c r="D427" t="str">
        <f>IF($A427&lt;&gt;"",'Approved-In-Depth'!D427,"")</f>
        <v/>
      </c>
      <c r="E427" t="str">
        <f>IF($A427&lt;&gt;"",'Approved-In-Depth'!E427,"")</f>
        <v/>
      </c>
      <c r="F427" t="str">
        <f>IF($A427&lt;&gt;"",'Approved-In-Depth'!F427,"")</f>
        <v/>
      </c>
      <c r="G427" t="str">
        <f>IF($A427&lt;&gt;"",'Approved-In-Depth'!G427,"")</f>
        <v/>
      </c>
      <c r="H427" s="4" t="str">
        <f>IF($A427&lt;&gt;"",'Approved-In-Depth'!H427,"")</f>
        <v/>
      </c>
      <c r="I427" t="str">
        <f>IF($A427&lt;&gt;"",'Approved-In-Depth'!I427,"")</f>
        <v/>
      </c>
      <c r="J427" t="str">
        <f>IF($A427&lt;&gt;"",'Approved-In-Depth'!J427,"")</f>
        <v/>
      </c>
      <c r="K427" t="str">
        <f>IF($A427&lt;&gt;"",'Approved-In-Depth'!K427,"")</f>
        <v/>
      </c>
      <c r="L427" s="4" t="str">
        <f>IF($A427&lt;&gt;"",'Approved-In-Depth'!L427,"")</f>
        <v/>
      </c>
      <c r="M427" t="str">
        <f>IF($A427&lt;&gt;"",'Approved-In-Depth'!M427,"")</f>
        <v/>
      </c>
    </row>
    <row r="428" spans="1:13" x14ac:dyDescent="0.35">
      <c r="A428" s="4" t="str">
        <f>IF('Approved-In-Depth'!$A428&lt;&gt;"",'Approved-In-Depth'!A428,"")</f>
        <v/>
      </c>
      <c r="B428" t="str">
        <f>IF($O428&lt;&gt;"",$O428,IF($A428&lt;&gt;"",'Approved-In-Depth'!$B428+7,""))</f>
        <v/>
      </c>
      <c r="C428" t="str">
        <f>IF($A428&lt;&gt;"",'Approved-In-Depth'!C428,"")</f>
        <v/>
      </c>
      <c r="D428" t="str">
        <f>IF($A428&lt;&gt;"",'Approved-In-Depth'!D428,"")</f>
        <v/>
      </c>
      <c r="E428" t="str">
        <f>IF($A428&lt;&gt;"",'Approved-In-Depth'!E428,"")</f>
        <v/>
      </c>
      <c r="F428" t="str">
        <f>IF($A428&lt;&gt;"",'Approved-In-Depth'!F428,"")</f>
        <v/>
      </c>
      <c r="G428" t="str">
        <f>IF($A428&lt;&gt;"",'Approved-In-Depth'!G428,"")</f>
        <v/>
      </c>
      <c r="H428" s="4" t="str">
        <f>IF($A428&lt;&gt;"",'Approved-In-Depth'!H428,"")</f>
        <v/>
      </c>
      <c r="I428" t="str">
        <f>IF($A428&lt;&gt;"",'Approved-In-Depth'!I428,"")</f>
        <v/>
      </c>
      <c r="J428" t="str">
        <f>IF($A428&lt;&gt;"",'Approved-In-Depth'!J428,"")</f>
        <v/>
      </c>
      <c r="K428" t="str">
        <f>IF($A428&lt;&gt;"",'Approved-In-Depth'!K428,"")</f>
        <v/>
      </c>
      <c r="L428" s="4" t="str">
        <f>IF($A428&lt;&gt;"",'Approved-In-Depth'!L428,"")</f>
        <v/>
      </c>
      <c r="M428" t="str">
        <f>IF($A428&lt;&gt;"",'Approved-In-Depth'!M428,"")</f>
        <v/>
      </c>
    </row>
    <row r="429" spans="1:13" x14ac:dyDescent="0.35">
      <c r="A429" s="4" t="str">
        <f>IF('Approved-In-Depth'!$A429&lt;&gt;"",'Approved-In-Depth'!A429,"")</f>
        <v/>
      </c>
      <c r="B429" t="str">
        <f>IF($O429&lt;&gt;"",$O429,IF($A429&lt;&gt;"",'Approved-In-Depth'!$B429+7,""))</f>
        <v/>
      </c>
      <c r="C429" t="str">
        <f>IF($A429&lt;&gt;"",'Approved-In-Depth'!C429,"")</f>
        <v/>
      </c>
      <c r="D429" t="str">
        <f>IF($A429&lt;&gt;"",'Approved-In-Depth'!D429,"")</f>
        <v/>
      </c>
      <c r="E429" t="str">
        <f>IF($A429&lt;&gt;"",'Approved-In-Depth'!E429,"")</f>
        <v/>
      </c>
      <c r="F429" t="str">
        <f>IF($A429&lt;&gt;"",'Approved-In-Depth'!F429,"")</f>
        <v/>
      </c>
      <c r="G429" t="str">
        <f>IF($A429&lt;&gt;"",'Approved-In-Depth'!G429,"")</f>
        <v/>
      </c>
      <c r="H429" s="4" t="str">
        <f>IF($A429&lt;&gt;"",'Approved-In-Depth'!H429,"")</f>
        <v/>
      </c>
      <c r="I429" t="str">
        <f>IF($A429&lt;&gt;"",'Approved-In-Depth'!I429,"")</f>
        <v/>
      </c>
      <c r="J429" t="str">
        <f>IF($A429&lt;&gt;"",'Approved-In-Depth'!J429,"")</f>
        <v/>
      </c>
      <c r="K429" t="str">
        <f>IF($A429&lt;&gt;"",'Approved-In-Depth'!K429,"")</f>
        <v/>
      </c>
      <c r="L429" s="4" t="str">
        <f>IF($A429&lt;&gt;"",'Approved-In-Depth'!L429,"")</f>
        <v/>
      </c>
      <c r="M429" t="str">
        <f>IF($A429&lt;&gt;"",'Approved-In-Depth'!M429,"")</f>
        <v/>
      </c>
    </row>
    <row r="430" spans="1:13" x14ac:dyDescent="0.35">
      <c r="A430" s="4" t="str">
        <f>IF('Approved-In-Depth'!$A430&lt;&gt;"",'Approved-In-Depth'!A430,"")</f>
        <v/>
      </c>
      <c r="B430" t="str">
        <f>IF($O430&lt;&gt;"",$O430,IF($A430&lt;&gt;"",'Approved-In-Depth'!$B430+7,""))</f>
        <v/>
      </c>
      <c r="C430" t="str">
        <f>IF($A430&lt;&gt;"",'Approved-In-Depth'!C430,"")</f>
        <v/>
      </c>
      <c r="D430" t="str">
        <f>IF($A430&lt;&gt;"",'Approved-In-Depth'!D430,"")</f>
        <v/>
      </c>
      <c r="E430" t="str">
        <f>IF($A430&lt;&gt;"",'Approved-In-Depth'!E430,"")</f>
        <v/>
      </c>
      <c r="F430" t="str">
        <f>IF($A430&lt;&gt;"",'Approved-In-Depth'!F430,"")</f>
        <v/>
      </c>
      <c r="G430" t="str">
        <f>IF($A430&lt;&gt;"",'Approved-In-Depth'!G430,"")</f>
        <v/>
      </c>
      <c r="H430" s="4" t="str">
        <f>IF($A430&lt;&gt;"",'Approved-In-Depth'!H430,"")</f>
        <v/>
      </c>
      <c r="I430" t="str">
        <f>IF($A430&lt;&gt;"",'Approved-In-Depth'!I430,"")</f>
        <v/>
      </c>
      <c r="J430" t="str">
        <f>IF($A430&lt;&gt;"",'Approved-In-Depth'!J430,"")</f>
        <v/>
      </c>
      <c r="K430" t="str">
        <f>IF($A430&lt;&gt;"",'Approved-In-Depth'!K430,"")</f>
        <v/>
      </c>
      <c r="L430" s="4" t="str">
        <f>IF($A430&lt;&gt;"",'Approved-In-Depth'!L430,"")</f>
        <v/>
      </c>
      <c r="M430" t="str">
        <f>IF($A430&lt;&gt;"",'Approved-In-Depth'!M430,"")</f>
        <v/>
      </c>
    </row>
    <row r="431" spans="1:13" x14ac:dyDescent="0.35">
      <c r="A431" s="4" t="str">
        <f>IF('Approved-In-Depth'!$A431&lt;&gt;"",'Approved-In-Depth'!A431,"")</f>
        <v/>
      </c>
      <c r="B431" t="str">
        <f>IF($O431&lt;&gt;"",$O431,IF($A431&lt;&gt;"",'Approved-In-Depth'!$B431+7,""))</f>
        <v/>
      </c>
      <c r="C431" t="str">
        <f>IF($A431&lt;&gt;"",'Approved-In-Depth'!C431,"")</f>
        <v/>
      </c>
      <c r="D431" t="str">
        <f>IF($A431&lt;&gt;"",'Approved-In-Depth'!D431,"")</f>
        <v/>
      </c>
      <c r="E431" t="str">
        <f>IF($A431&lt;&gt;"",'Approved-In-Depth'!E431,"")</f>
        <v/>
      </c>
      <c r="F431" t="str">
        <f>IF($A431&lt;&gt;"",'Approved-In-Depth'!F431,"")</f>
        <v/>
      </c>
      <c r="G431" t="str">
        <f>IF($A431&lt;&gt;"",'Approved-In-Depth'!G431,"")</f>
        <v/>
      </c>
      <c r="H431" s="4" t="str">
        <f>IF($A431&lt;&gt;"",'Approved-In-Depth'!H431,"")</f>
        <v/>
      </c>
      <c r="I431" t="str">
        <f>IF($A431&lt;&gt;"",'Approved-In-Depth'!I431,"")</f>
        <v/>
      </c>
      <c r="J431" t="str">
        <f>IF($A431&lt;&gt;"",'Approved-In-Depth'!J431,"")</f>
        <v/>
      </c>
      <c r="K431" t="str">
        <f>IF($A431&lt;&gt;"",'Approved-In-Depth'!K431,"")</f>
        <v/>
      </c>
      <c r="L431" s="4" t="str">
        <f>IF($A431&lt;&gt;"",'Approved-In-Depth'!L431,"")</f>
        <v/>
      </c>
      <c r="M431" t="str">
        <f>IF($A431&lt;&gt;"",'Approved-In-Depth'!M431,"")</f>
        <v/>
      </c>
    </row>
    <row r="432" spans="1:13" x14ac:dyDescent="0.35">
      <c r="A432" s="4" t="str">
        <f>IF('Approved-In-Depth'!$A432&lt;&gt;"",'Approved-In-Depth'!A432,"")</f>
        <v/>
      </c>
      <c r="B432" t="str">
        <f>IF($O432&lt;&gt;"",$O432,IF($A432&lt;&gt;"",'Approved-In-Depth'!$B432+7,""))</f>
        <v/>
      </c>
      <c r="C432" t="str">
        <f>IF($A432&lt;&gt;"",'Approved-In-Depth'!C432,"")</f>
        <v/>
      </c>
      <c r="D432" t="str">
        <f>IF($A432&lt;&gt;"",'Approved-In-Depth'!D432,"")</f>
        <v/>
      </c>
      <c r="E432" t="str">
        <f>IF($A432&lt;&gt;"",'Approved-In-Depth'!E432,"")</f>
        <v/>
      </c>
      <c r="F432" t="str">
        <f>IF($A432&lt;&gt;"",'Approved-In-Depth'!F432,"")</f>
        <v/>
      </c>
      <c r="G432" t="str">
        <f>IF($A432&lt;&gt;"",'Approved-In-Depth'!G432,"")</f>
        <v/>
      </c>
      <c r="H432" s="4" t="str">
        <f>IF($A432&lt;&gt;"",'Approved-In-Depth'!H432,"")</f>
        <v/>
      </c>
      <c r="I432" t="str">
        <f>IF($A432&lt;&gt;"",'Approved-In-Depth'!I432,"")</f>
        <v/>
      </c>
      <c r="J432" t="str">
        <f>IF($A432&lt;&gt;"",'Approved-In-Depth'!J432,"")</f>
        <v/>
      </c>
      <c r="K432" t="str">
        <f>IF($A432&lt;&gt;"",'Approved-In-Depth'!K432,"")</f>
        <v/>
      </c>
      <c r="L432" s="4" t="str">
        <f>IF($A432&lt;&gt;"",'Approved-In-Depth'!L432,"")</f>
        <v/>
      </c>
      <c r="M432" t="str">
        <f>IF($A432&lt;&gt;"",'Approved-In-Depth'!M432,"")</f>
        <v/>
      </c>
    </row>
    <row r="433" spans="1:13" x14ac:dyDescent="0.35">
      <c r="A433" s="4" t="str">
        <f>IF('Approved-In-Depth'!$A433&lt;&gt;"",'Approved-In-Depth'!A433,"")</f>
        <v/>
      </c>
      <c r="B433" t="str">
        <f>IF($O433&lt;&gt;"",$O433,IF($A433&lt;&gt;"",'Approved-In-Depth'!$B433+7,""))</f>
        <v/>
      </c>
      <c r="C433" t="str">
        <f>IF($A433&lt;&gt;"",'Approved-In-Depth'!C433,"")</f>
        <v/>
      </c>
      <c r="D433" t="str">
        <f>IF($A433&lt;&gt;"",'Approved-In-Depth'!D433,"")</f>
        <v/>
      </c>
      <c r="E433" t="str">
        <f>IF($A433&lt;&gt;"",'Approved-In-Depth'!E433,"")</f>
        <v/>
      </c>
      <c r="F433" t="str">
        <f>IF($A433&lt;&gt;"",'Approved-In-Depth'!F433,"")</f>
        <v/>
      </c>
      <c r="G433" t="str">
        <f>IF($A433&lt;&gt;"",'Approved-In-Depth'!G433,"")</f>
        <v/>
      </c>
      <c r="H433" s="4" t="str">
        <f>IF($A433&lt;&gt;"",'Approved-In-Depth'!H433,"")</f>
        <v/>
      </c>
      <c r="I433" t="str">
        <f>IF($A433&lt;&gt;"",'Approved-In-Depth'!I433,"")</f>
        <v/>
      </c>
      <c r="J433" t="str">
        <f>IF($A433&lt;&gt;"",'Approved-In-Depth'!J433,"")</f>
        <v/>
      </c>
      <c r="K433" t="str">
        <f>IF($A433&lt;&gt;"",'Approved-In-Depth'!K433,"")</f>
        <v/>
      </c>
      <c r="L433" s="4" t="str">
        <f>IF($A433&lt;&gt;"",'Approved-In-Depth'!L433,"")</f>
        <v/>
      </c>
      <c r="M433" t="str">
        <f>IF($A433&lt;&gt;"",'Approved-In-Depth'!M433,"")</f>
        <v/>
      </c>
    </row>
    <row r="434" spans="1:13" x14ac:dyDescent="0.35">
      <c r="A434" s="4" t="str">
        <f>IF('Approved-In-Depth'!$A434&lt;&gt;"",'Approved-In-Depth'!A434,"")</f>
        <v/>
      </c>
      <c r="B434" t="str">
        <f>IF($O434&lt;&gt;"",$O434,IF($A434&lt;&gt;"",'Approved-In-Depth'!$B434+7,""))</f>
        <v/>
      </c>
      <c r="C434" t="str">
        <f>IF($A434&lt;&gt;"",'Approved-In-Depth'!C434,"")</f>
        <v/>
      </c>
      <c r="D434" t="str">
        <f>IF($A434&lt;&gt;"",'Approved-In-Depth'!D434,"")</f>
        <v/>
      </c>
      <c r="E434" t="str">
        <f>IF($A434&lt;&gt;"",'Approved-In-Depth'!E434,"")</f>
        <v/>
      </c>
      <c r="F434" t="str">
        <f>IF($A434&lt;&gt;"",'Approved-In-Depth'!F434,"")</f>
        <v/>
      </c>
      <c r="G434" t="str">
        <f>IF($A434&lt;&gt;"",'Approved-In-Depth'!G434,"")</f>
        <v/>
      </c>
      <c r="H434" s="4" t="str">
        <f>IF($A434&lt;&gt;"",'Approved-In-Depth'!H434,"")</f>
        <v/>
      </c>
      <c r="I434" t="str">
        <f>IF($A434&lt;&gt;"",'Approved-In-Depth'!I434,"")</f>
        <v/>
      </c>
      <c r="J434" t="str">
        <f>IF($A434&lt;&gt;"",'Approved-In-Depth'!J434,"")</f>
        <v/>
      </c>
      <c r="K434" t="str">
        <f>IF($A434&lt;&gt;"",'Approved-In-Depth'!K434,"")</f>
        <v/>
      </c>
      <c r="L434" s="4" t="str">
        <f>IF($A434&lt;&gt;"",'Approved-In-Depth'!L434,"")</f>
        <v/>
      </c>
      <c r="M434" t="str">
        <f>IF($A434&lt;&gt;"",'Approved-In-Depth'!M434,"")</f>
        <v/>
      </c>
    </row>
    <row r="435" spans="1:13" x14ac:dyDescent="0.35">
      <c r="A435" s="4" t="str">
        <f>IF('Approved-In-Depth'!$A435&lt;&gt;"",'Approved-In-Depth'!A435,"")</f>
        <v/>
      </c>
      <c r="B435" t="str">
        <f>IF($O435&lt;&gt;"",$O435,IF($A435&lt;&gt;"",'Approved-In-Depth'!$B435+7,""))</f>
        <v/>
      </c>
      <c r="C435" t="str">
        <f>IF($A435&lt;&gt;"",'Approved-In-Depth'!C435,"")</f>
        <v/>
      </c>
      <c r="D435" t="str">
        <f>IF($A435&lt;&gt;"",'Approved-In-Depth'!D435,"")</f>
        <v/>
      </c>
      <c r="E435" t="str">
        <f>IF($A435&lt;&gt;"",'Approved-In-Depth'!E435,"")</f>
        <v/>
      </c>
      <c r="F435" t="str">
        <f>IF($A435&lt;&gt;"",'Approved-In-Depth'!F435,"")</f>
        <v/>
      </c>
      <c r="G435" t="str">
        <f>IF($A435&lt;&gt;"",'Approved-In-Depth'!G435,"")</f>
        <v/>
      </c>
      <c r="H435" s="4" t="str">
        <f>IF($A435&lt;&gt;"",'Approved-In-Depth'!H435,"")</f>
        <v/>
      </c>
      <c r="I435" t="str">
        <f>IF($A435&lt;&gt;"",'Approved-In-Depth'!I435,"")</f>
        <v/>
      </c>
      <c r="J435" t="str">
        <f>IF($A435&lt;&gt;"",'Approved-In-Depth'!J435,"")</f>
        <v/>
      </c>
      <c r="K435" t="str">
        <f>IF($A435&lt;&gt;"",'Approved-In-Depth'!K435,"")</f>
        <v/>
      </c>
      <c r="L435" s="4" t="str">
        <f>IF($A435&lt;&gt;"",'Approved-In-Depth'!L435,"")</f>
        <v/>
      </c>
      <c r="M435" t="str">
        <f>IF($A435&lt;&gt;"",'Approved-In-Depth'!M435,"")</f>
        <v/>
      </c>
    </row>
    <row r="436" spans="1:13" x14ac:dyDescent="0.35">
      <c r="A436" s="4" t="str">
        <f>IF('Approved-In-Depth'!$A436&lt;&gt;"",'Approved-In-Depth'!A436,"")</f>
        <v/>
      </c>
      <c r="B436" t="str">
        <f>IF($O436&lt;&gt;"",$O436,IF($A436&lt;&gt;"",'Approved-In-Depth'!$B436+7,""))</f>
        <v/>
      </c>
      <c r="C436" t="str">
        <f>IF($A436&lt;&gt;"",'Approved-In-Depth'!C436,"")</f>
        <v/>
      </c>
      <c r="D436" t="str">
        <f>IF($A436&lt;&gt;"",'Approved-In-Depth'!D436,"")</f>
        <v/>
      </c>
      <c r="E436" t="str">
        <f>IF($A436&lt;&gt;"",'Approved-In-Depth'!E436,"")</f>
        <v/>
      </c>
      <c r="F436" t="str">
        <f>IF($A436&lt;&gt;"",'Approved-In-Depth'!F436,"")</f>
        <v/>
      </c>
      <c r="G436" t="str">
        <f>IF($A436&lt;&gt;"",'Approved-In-Depth'!G436,"")</f>
        <v/>
      </c>
      <c r="H436" s="4" t="str">
        <f>IF($A436&lt;&gt;"",'Approved-In-Depth'!H436,"")</f>
        <v/>
      </c>
      <c r="I436" t="str">
        <f>IF($A436&lt;&gt;"",'Approved-In-Depth'!I436,"")</f>
        <v/>
      </c>
      <c r="J436" t="str">
        <f>IF($A436&lt;&gt;"",'Approved-In-Depth'!J436,"")</f>
        <v/>
      </c>
      <c r="K436" t="str">
        <f>IF($A436&lt;&gt;"",'Approved-In-Depth'!K436,"")</f>
        <v/>
      </c>
      <c r="L436" s="4" t="str">
        <f>IF($A436&lt;&gt;"",'Approved-In-Depth'!L436,"")</f>
        <v/>
      </c>
      <c r="M436" t="str">
        <f>IF($A436&lt;&gt;"",'Approved-In-Depth'!M436,"")</f>
        <v/>
      </c>
    </row>
    <row r="437" spans="1:13" x14ac:dyDescent="0.35">
      <c r="A437" s="4" t="str">
        <f>IF('Approved-In-Depth'!$A437&lt;&gt;"",'Approved-In-Depth'!A437,"")</f>
        <v/>
      </c>
      <c r="B437" t="str">
        <f>IF($O437&lt;&gt;"",$O437,IF($A437&lt;&gt;"",'Approved-In-Depth'!$B437+7,""))</f>
        <v/>
      </c>
      <c r="C437" t="str">
        <f>IF($A437&lt;&gt;"",'Approved-In-Depth'!C437,"")</f>
        <v/>
      </c>
      <c r="D437" t="str">
        <f>IF($A437&lt;&gt;"",'Approved-In-Depth'!D437,"")</f>
        <v/>
      </c>
      <c r="E437" t="str">
        <f>IF($A437&lt;&gt;"",'Approved-In-Depth'!E437,"")</f>
        <v/>
      </c>
      <c r="F437" t="str">
        <f>IF($A437&lt;&gt;"",'Approved-In-Depth'!F437,"")</f>
        <v/>
      </c>
      <c r="G437" t="str">
        <f>IF($A437&lt;&gt;"",'Approved-In-Depth'!G437,"")</f>
        <v/>
      </c>
      <c r="H437" s="4" t="str">
        <f>IF($A437&lt;&gt;"",'Approved-In-Depth'!H437,"")</f>
        <v/>
      </c>
      <c r="I437" t="str">
        <f>IF($A437&lt;&gt;"",'Approved-In-Depth'!I437,"")</f>
        <v/>
      </c>
      <c r="J437" t="str">
        <f>IF($A437&lt;&gt;"",'Approved-In-Depth'!J437,"")</f>
        <v/>
      </c>
      <c r="K437" t="str">
        <f>IF($A437&lt;&gt;"",'Approved-In-Depth'!K437,"")</f>
        <v/>
      </c>
      <c r="L437" s="4" t="str">
        <f>IF($A437&lt;&gt;"",'Approved-In-Depth'!L437,"")</f>
        <v/>
      </c>
      <c r="M437" t="str">
        <f>IF($A437&lt;&gt;"",'Approved-In-Depth'!M437,"")</f>
        <v/>
      </c>
    </row>
    <row r="438" spans="1:13" x14ac:dyDescent="0.35">
      <c r="A438" s="4" t="str">
        <f>IF('Approved-In-Depth'!$A438&lt;&gt;"",'Approved-In-Depth'!A438,"")</f>
        <v/>
      </c>
      <c r="B438" t="str">
        <f>IF($O438&lt;&gt;"",$O438,IF($A438&lt;&gt;"",'Approved-In-Depth'!$B438+7,""))</f>
        <v/>
      </c>
      <c r="C438" t="str">
        <f>IF($A438&lt;&gt;"",'Approved-In-Depth'!C438,"")</f>
        <v/>
      </c>
      <c r="D438" t="str">
        <f>IF($A438&lt;&gt;"",'Approved-In-Depth'!D438,"")</f>
        <v/>
      </c>
      <c r="E438" t="str">
        <f>IF($A438&lt;&gt;"",'Approved-In-Depth'!E438,"")</f>
        <v/>
      </c>
      <c r="F438" t="str">
        <f>IF($A438&lt;&gt;"",'Approved-In-Depth'!F438,"")</f>
        <v/>
      </c>
      <c r="G438" t="str">
        <f>IF($A438&lt;&gt;"",'Approved-In-Depth'!G438,"")</f>
        <v/>
      </c>
      <c r="H438" s="4" t="str">
        <f>IF($A438&lt;&gt;"",'Approved-In-Depth'!H438,"")</f>
        <v/>
      </c>
      <c r="I438" t="str">
        <f>IF($A438&lt;&gt;"",'Approved-In-Depth'!I438,"")</f>
        <v/>
      </c>
      <c r="J438" t="str">
        <f>IF($A438&lt;&gt;"",'Approved-In-Depth'!J438,"")</f>
        <v/>
      </c>
      <c r="K438" t="str">
        <f>IF($A438&lt;&gt;"",'Approved-In-Depth'!K438,"")</f>
        <v/>
      </c>
      <c r="L438" s="4" t="str">
        <f>IF($A438&lt;&gt;"",'Approved-In-Depth'!L438,"")</f>
        <v/>
      </c>
      <c r="M438" t="str">
        <f>IF($A438&lt;&gt;"",'Approved-In-Depth'!M438,"")</f>
        <v/>
      </c>
    </row>
    <row r="439" spans="1:13" x14ac:dyDescent="0.35">
      <c r="A439" s="4" t="str">
        <f>IF('Approved-In-Depth'!$A439&lt;&gt;"",'Approved-In-Depth'!A439,"")</f>
        <v/>
      </c>
      <c r="B439" t="str">
        <f>IF($O439&lt;&gt;"",$O439,IF($A439&lt;&gt;"",'Approved-In-Depth'!$B439+7,""))</f>
        <v/>
      </c>
      <c r="C439" t="str">
        <f>IF($A439&lt;&gt;"",'Approved-In-Depth'!C439,"")</f>
        <v/>
      </c>
      <c r="D439" t="str">
        <f>IF($A439&lt;&gt;"",'Approved-In-Depth'!D439,"")</f>
        <v/>
      </c>
      <c r="E439" t="str">
        <f>IF($A439&lt;&gt;"",'Approved-In-Depth'!E439,"")</f>
        <v/>
      </c>
      <c r="F439" t="str">
        <f>IF($A439&lt;&gt;"",'Approved-In-Depth'!F439,"")</f>
        <v/>
      </c>
      <c r="G439" t="str">
        <f>IF($A439&lt;&gt;"",'Approved-In-Depth'!G439,"")</f>
        <v/>
      </c>
      <c r="H439" s="4" t="str">
        <f>IF($A439&lt;&gt;"",'Approved-In-Depth'!H439,"")</f>
        <v/>
      </c>
      <c r="I439" t="str">
        <f>IF($A439&lt;&gt;"",'Approved-In-Depth'!I439,"")</f>
        <v/>
      </c>
      <c r="J439" t="str">
        <f>IF($A439&lt;&gt;"",'Approved-In-Depth'!J439,"")</f>
        <v/>
      </c>
      <c r="K439" t="str">
        <f>IF($A439&lt;&gt;"",'Approved-In-Depth'!K439,"")</f>
        <v/>
      </c>
      <c r="L439" s="4" t="str">
        <f>IF($A439&lt;&gt;"",'Approved-In-Depth'!L439,"")</f>
        <v/>
      </c>
      <c r="M439" t="str">
        <f>IF($A439&lt;&gt;"",'Approved-In-Depth'!M439,"")</f>
        <v/>
      </c>
    </row>
    <row r="440" spans="1:13" x14ac:dyDescent="0.35">
      <c r="A440" s="4" t="str">
        <f>IF('Approved-In-Depth'!$A440&lt;&gt;"",'Approved-In-Depth'!A440,"")</f>
        <v/>
      </c>
      <c r="B440" t="str">
        <f>IF($O440&lt;&gt;"",$O440,IF($A440&lt;&gt;"",'Approved-In-Depth'!$B440+7,""))</f>
        <v/>
      </c>
      <c r="C440" t="str">
        <f>IF($A440&lt;&gt;"",'Approved-In-Depth'!C440,"")</f>
        <v/>
      </c>
      <c r="D440" t="str">
        <f>IF($A440&lt;&gt;"",'Approved-In-Depth'!D440,"")</f>
        <v/>
      </c>
      <c r="E440" t="str">
        <f>IF($A440&lt;&gt;"",'Approved-In-Depth'!E440,"")</f>
        <v/>
      </c>
      <c r="F440" t="str">
        <f>IF($A440&lt;&gt;"",'Approved-In-Depth'!F440,"")</f>
        <v/>
      </c>
      <c r="G440" t="str">
        <f>IF($A440&lt;&gt;"",'Approved-In-Depth'!G440,"")</f>
        <v/>
      </c>
      <c r="H440" s="4" t="str">
        <f>IF($A440&lt;&gt;"",'Approved-In-Depth'!H440,"")</f>
        <v/>
      </c>
      <c r="I440" t="str">
        <f>IF($A440&lt;&gt;"",'Approved-In-Depth'!I440,"")</f>
        <v/>
      </c>
      <c r="J440" t="str">
        <f>IF($A440&lt;&gt;"",'Approved-In-Depth'!J440,"")</f>
        <v/>
      </c>
      <c r="K440" t="str">
        <f>IF($A440&lt;&gt;"",'Approved-In-Depth'!K440,"")</f>
        <v/>
      </c>
      <c r="L440" s="4" t="str">
        <f>IF($A440&lt;&gt;"",'Approved-In-Depth'!L440,"")</f>
        <v/>
      </c>
      <c r="M440" t="str">
        <f>IF($A440&lt;&gt;"",'Approved-In-Depth'!M440,"")</f>
        <v/>
      </c>
    </row>
    <row r="441" spans="1:13" x14ac:dyDescent="0.35">
      <c r="A441" s="4" t="str">
        <f>IF('Approved-In-Depth'!$A441&lt;&gt;"",'Approved-In-Depth'!A441,"")</f>
        <v/>
      </c>
      <c r="B441" t="str">
        <f>IF($O441&lt;&gt;"",$O441,IF($A441&lt;&gt;"",'Approved-In-Depth'!$B441+7,""))</f>
        <v/>
      </c>
      <c r="C441" t="str">
        <f>IF($A441&lt;&gt;"",'Approved-In-Depth'!C441,"")</f>
        <v/>
      </c>
      <c r="D441" t="str">
        <f>IF($A441&lt;&gt;"",'Approved-In-Depth'!D441,"")</f>
        <v/>
      </c>
      <c r="E441" t="str">
        <f>IF($A441&lt;&gt;"",'Approved-In-Depth'!E441,"")</f>
        <v/>
      </c>
      <c r="F441" t="str">
        <f>IF($A441&lt;&gt;"",'Approved-In-Depth'!F441,"")</f>
        <v/>
      </c>
      <c r="G441" t="str">
        <f>IF($A441&lt;&gt;"",'Approved-In-Depth'!G441,"")</f>
        <v/>
      </c>
      <c r="H441" s="4" t="str">
        <f>IF($A441&lt;&gt;"",'Approved-In-Depth'!H441,"")</f>
        <v/>
      </c>
      <c r="I441" t="str">
        <f>IF($A441&lt;&gt;"",'Approved-In-Depth'!I441,"")</f>
        <v/>
      </c>
      <c r="J441" t="str">
        <f>IF($A441&lt;&gt;"",'Approved-In-Depth'!J441,"")</f>
        <v/>
      </c>
      <c r="K441" t="str">
        <f>IF($A441&lt;&gt;"",'Approved-In-Depth'!K441,"")</f>
        <v/>
      </c>
      <c r="L441" s="4" t="str">
        <f>IF($A441&lt;&gt;"",'Approved-In-Depth'!L441,"")</f>
        <v/>
      </c>
      <c r="M441" t="str">
        <f>IF($A441&lt;&gt;"",'Approved-In-Depth'!M441,"")</f>
        <v/>
      </c>
    </row>
    <row r="442" spans="1:13" x14ac:dyDescent="0.35">
      <c r="A442" s="4" t="str">
        <f>IF('Approved-In-Depth'!$A442&lt;&gt;"",'Approved-In-Depth'!A442,"")</f>
        <v/>
      </c>
      <c r="B442" t="str">
        <f>IF($O442&lt;&gt;"",$O442,IF($A442&lt;&gt;"",'Approved-In-Depth'!$B442+7,""))</f>
        <v/>
      </c>
      <c r="C442" t="str">
        <f>IF($A442&lt;&gt;"",'Approved-In-Depth'!C442,"")</f>
        <v/>
      </c>
      <c r="D442" t="str">
        <f>IF($A442&lt;&gt;"",'Approved-In-Depth'!D442,"")</f>
        <v/>
      </c>
      <c r="E442" t="str">
        <f>IF($A442&lt;&gt;"",'Approved-In-Depth'!E442,"")</f>
        <v/>
      </c>
      <c r="F442" t="str">
        <f>IF($A442&lt;&gt;"",'Approved-In-Depth'!F442,"")</f>
        <v/>
      </c>
      <c r="G442" t="str">
        <f>IF($A442&lt;&gt;"",'Approved-In-Depth'!G442,"")</f>
        <v/>
      </c>
      <c r="H442" s="4" t="str">
        <f>IF($A442&lt;&gt;"",'Approved-In-Depth'!H442,"")</f>
        <v/>
      </c>
      <c r="I442" t="str">
        <f>IF($A442&lt;&gt;"",'Approved-In-Depth'!I442,"")</f>
        <v/>
      </c>
      <c r="J442" t="str">
        <f>IF($A442&lt;&gt;"",'Approved-In-Depth'!J442,"")</f>
        <v/>
      </c>
      <c r="K442" t="str">
        <f>IF($A442&lt;&gt;"",'Approved-In-Depth'!K442,"")</f>
        <v/>
      </c>
      <c r="L442" s="4" t="str">
        <f>IF($A442&lt;&gt;"",'Approved-In-Depth'!L442,"")</f>
        <v/>
      </c>
      <c r="M442" t="str">
        <f>IF($A442&lt;&gt;"",'Approved-In-Depth'!M442,"")</f>
        <v/>
      </c>
    </row>
    <row r="443" spans="1:13" x14ac:dyDescent="0.35">
      <c r="A443" s="4" t="str">
        <f>IF('Approved-In-Depth'!$A443&lt;&gt;"",'Approved-In-Depth'!A443,"")</f>
        <v/>
      </c>
      <c r="B443" t="str">
        <f>IF($O443&lt;&gt;"",$O443,IF($A443&lt;&gt;"",'Approved-In-Depth'!$B443+7,""))</f>
        <v/>
      </c>
      <c r="C443" t="str">
        <f>IF($A443&lt;&gt;"",'Approved-In-Depth'!C443,"")</f>
        <v/>
      </c>
      <c r="D443" t="str">
        <f>IF($A443&lt;&gt;"",'Approved-In-Depth'!D443,"")</f>
        <v/>
      </c>
      <c r="E443" t="str">
        <f>IF($A443&lt;&gt;"",'Approved-In-Depth'!E443,"")</f>
        <v/>
      </c>
      <c r="F443" t="str">
        <f>IF($A443&lt;&gt;"",'Approved-In-Depth'!F443,"")</f>
        <v/>
      </c>
      <c r="G443" t="str">
        <f>IF($A443&lt;&gt;"",'Approved-In-Depth'!G443,"")</f>
        <v/>
      </c>
      <c r="H443" s="4" t="str">
        <f>IF($A443&lt;&gt;"",'Approved-In-Depth'!H443,"")</f>
        <v/>
      </c>
      <c r="I443" t="str">
        <f>IF($A443&lt;&gt;"",'Approved-In-Depth'!I443,"")</f>
        <v/>
      </c>
      <c r="J443" t="str">
        <f>IF($A443&lt;&gt;"",'Approved-In-Depth'!J443,"")</f>
        <v/>
      </c>
      <c r="K443" t="str">
        <f>IF($A443&lt;&gt;"",'Approved-In-Depth'!K443,"")</f>
        <v/>
      </c>
      <c r="L443" s="4" t="str">
        <f>IF($A443&lt;&gt;"",'Approved-In-Depth'!L443,"")</f>
        <v/>
      </c>
      <c r="M443" t="str">
        <f>IF($A443&lt;&gt;"",'Approved-In-Depth'!M443,"")</f>
        <v/>
      </c>
    </row>
    <row r="444" spans="1:13" x14ac:dyDescent="0.35">
      <c r="A444" s="4" t="str">
        <f>IF('Approved-In-Depth'!$A444&lt;&gt;"",'Approved-In-Depth'!A444,"")</f>
        <v/>
      </c>
      <c r="B444" t="str">
        <f>IF($O444&lt;&gt;"",$O444,IF($A444&lt;&gt;"",'Approved-In-Depth'!$B444+7,""))</f>
        <v/>
      </c>
      <c r="C444" t="str">
        <f>IF($A444&lt;&gt;"",'Approved-In-Depth'!C444,"")</f>
        <v/>
      </c>
      <c r="D444" t="str">
        <f>IF($A444&lt;&gt;"",'Approved-In-Depth'!D444,"")</f>
        <v/>
      </c>
      <c r="E444" t="str">
        <f>IF($A444&lt;&gt;"",'Approved-In-Depth'!E444,"")</f>
        <v/>
      </c>
      <c r="F444" t="str">
        <f>IF($A444&lt;&gt;"",'Approved-In-Depth'!F444,"")</f>
        <v/>
      </c>
      <c r="G444" t="str">
        <f>IF($A444&lt;&gt;"",'Approved-In-Depth'!G444,"")</f>
        <v/>
      </c>
      <c r="H444" s="4" t="str">
        <f>IF($A444&lt;&gt;"",'Approved-In-Depth'!H444,"")</f>
        <v/>
      </c>
      <c r="I444" t="str">
        <f>IF($A444&lt;&gt;"",'Approved-In-Depth'!I444,"")</f>
        <v/>
      </c>
      <c r="J444" t="str">
        <f>IF($A444&lt;&gt;"",'Approved-In-Depth'!J444,"")</f>
        <v/>
      </c>
      <c r="K444" t="str">
        <f>IF($A444&lt;&gt;"",'Approved-In-Depth'!K444,"")</f>
        <v/>
      </c>
      <c r="L444" s="4" t="str">
        <f>IF($A444&lt;&gt;"",'Approved-In-Depth'!L444,"")</f>
        <v/>
      </c>
      <c r="M444" t="str">
        <f>IF($A444&lt;&gt;"",'Approved-In-Depth'!M444,"")</f>
        <v/>
      </c>
    </row>
    <row r="445" spans="1:13" x14ac:dyDescent="0.35">
      <c r="A445" s="4" t="str">
        <f>IF('Approved-In-Depth'!$A445&lt;&gt;"",'Approved-In-Depth'!A445,"")</f>
        <v/>
      </c>
      <c r="B445" t="str">
        <f>IF($O445&lt;&gt;"",$O445,IF($A445&lt;&gt;"",'Approved-In-Depth'!$B445+7,""))</f>
        <v/>
      </c>
      <c r="C445" t="str">
        <f>IF($A445&lt;&gt;"",'Approved-In-Depth'!C445,"")</f>
        <v/>
      </c>
      <c r="D445" t="str">
        <f>IF($A445&lt;&gt;"",'Approved-In-Depth'!D445,"")</f>
        <v/>
      </c>
      <c r="E445" t="str">
        <f>IF($A445&lt;&gt;"",'Approved-In-Depth'!E445,"")</f>
        <v/>
      </c>
      <c r="F445" t="str">
        <f>IF($A445&lt;&gt;"",'Approved-In-Depth'!F445,"")</f>
        <v/>
      </c>
      <c r="G445" t="str">
        <f>IF($A445&lt;&gt;"",'Approved-In-Depth'!G445,"")</f>
        <v/>
      </c>
      <c r="H445" s="4" t="str">
        <f>IF($A445&lt;&gt;"",'Approved-In-Depth'!H445,"")</f>
        <v/>
      </c>
      <c r="I445" t="str">
        <f>IF($A445&lt;&gt;"",'Approved-In-Depth'!I445,"")</f>
        <v/>
      </c>
      <c r="J445" t="str">
        <f>IF($A445&lt;&gt;"",'Approved-In-Depth'!J445,"")</f>
        <v/>
      </c>
      <c r="K445" t="str">
        <f>IF($A445&lt;&gt;"",'Approved-In-Depth'!K445,"")</f>
        <v/>
      </c>
      <c r="L445" s="4" t="str">
        <f>IF($A445&lt;&gt;"",'Approved-In-Depth'!L445,"")</f>
        <v/>
      </c>
      <c r="M445" t="str">
        <f>IF($A445&lt;&gt;"",'Approved-In-Depth'!M445,"")</f>
        <v/>
      </c>
    </row>
    <row r="446" spans="1:13" x14ac:dyDescent="0.35">
      <c r="A446" s="4" t="str">
        <f>IF('Approved-In-Depth'!$A446&lt;&gt;"",'Approved-In-Depth'!A446,"")</f>
        <v/>
      </c>
      <c r="B446" t="str">
        <f>IF($O446&lt;&gt;"",$O446,IF($A446&lt;&gt;"",'Approved-In-Depth'!$B446+7,""))</f>
        <v/>
      </c>
      <c r="C446" t="str">
        <f>IF($A446&lt;&gt;"",'Approved-In-Depth'!C446,"")</f>
        <v/>
      </c>
      <c r="D446" t="str">
        <f>IF($A446&lt;&gt;"",'Approved-In-Depth'!D446,"")</f>
        <v/>
      </c>
      <c r="E446" t="str">
        <f>IF($A446&lt;&gt;"",'Approved-In-Depth'!E446,"")</f>
        <v/>
      </c>
      <c r="F446" t="str">
        <f>IF($A446&lt;&gt;"",'Approved-In-Depth'!F446,"")</f>
        <v/>
      </c>
      <c r="G446" t="str">
        <f>IF($A446&lt;&gt;"",'Approved-In-Depth'!G446,"")</f>
        <v/>
      </c>
      <c r="H446" s="4" t="str">
        <f>IF($A446&lt;&gt;"",'Approved-In-Depth'!H446,"")</f>
        <v/>
      </c>
      <c r="I446" t="str">
        <f>IF($A446&lt;&gt;"",'Approved-In-Depth'!I446,"")</f>
        <v/>
      </c>
      <c r="J446" t="str">
        <f>IF($A446&lt;&gt;"",'Approved-In-Depth'!J446,"")</f>
        <v/>
      </c>
      <c r="K446" t="str">
        <f>IF($A446&lt;&gt;"",'Approved-In-Depth'!K446,"")</f>
        <v/>
      </c>
      <c r="L446" s="4" t="str">
        <f>IF($A446&lt;&gt;"",'Approved-In-Depth'!L446,"")</f>
        <v/>
      </c>
      <c r="M446" t="str">
        <f>IF($A446&lt;&gt;"",'Approved-In-Depth'!M446,"")</f>
        <v/>
      </c>
    </row>
    <row r="447" spans="1:13" x14ac:dyDescent="0.35">
      <c r="A447" s="4" t="str">
        <f>IF('Approved-In-Depth'!$A447&lt;&gt;"",'Approved-In-Depth'!A447,"")</f>
        <v/>
      </c>
      <c r="B447" t="str">
        <f>IF($O447&lt;&gt;"",$O447,IF($A447&lt;&gt;"",'Approved-In-Depth'!$B447+7,""))</f>
        <v/>
      </c>
      <c r="C447" t="str">
        <f>IF($A447&lt;&gt;"",'Approved-In-Depth'!C447,"")</f>
        <v/>
      </c>
      <c r="D447" t="str">
        <f>IF($A447&lt;&gt;"",'Approved-In-Depth'!D447,"")</f>
        <v/>
      </c>
      <c r="E447" t="str">
        <f>IF($A447&lt;&gt;"",'Approved-In-Depth'!E447,"")</f>
        <v/>
      </c>
      <c r="F447" t="str">
        <f>IF($A447&lt;&gt;"",'Approved-In-Depth'!F447,"")</f>
        <v/>
      </c>
      <c r="G447" t="str">
        <f>IF($A447&lt;&gt;"",'Approved-In-Depth'!G447,"")</f>
        <v/>
      </c>
      <c r="H447" s="4" t="str">
        <f>IF($A447&lt;&gt;"",'Approved-In-Depth'!H447,"")</f>
        <v/>
      </c>
      <c r="I447" t="str">
        <f>IF($A447&lt;&gt;"",'Approved-In-Depth'!I447,"")</f>
        <v/>
      </c>
      <c r="J447" t="str">
        <f>IF($A447&lt;&gt;"",'Approved-In-Depth'!J447,"")</f>
        <v/>
      </c>
      <c r="K447" t="str">
        <f>IF($A447&lt;&gt;"",'Approved-In-Depth'!K447,"")</f>
        <v/>
      </c>
      <c r="L447" s="4" t="str">
        <f>IF($A447&lt;&gt;"",'Approved-In-Depth'!L447,"")</f>
        <v/>
      </c>
      <c r="M447" t="str">
        <f>IF($A447&lt;&gt;"",'Approved-In-Depth'!M447,"")</f>
        <v/>
      </c>
    </row>
    <row r="448" spans="1:13" x14ac:dyDescent="0.35">
      <c r="A448" s="4" t="str">
        <f>IF('Approved-In-Depth'!$A448&lt;&gt;"",'Approved-In-Depth'!A448,"")</f>
        <v/>
      </c>
      <c r="B448" t="str">
        <f>IF($O448&lt;&gt;"",$O448,IF($A448&lt;&gt;"",'Approved-In-Depth'!$B448+7,""))</f>
        <v/>
      </c>
      <c r="C448" t="str">
        <f>IF($A448&lt;&gt;"",'Approved-In-Depth'!C448,"")</f>
        <v/>
      </c>
      <c r="D448" t="str">
        <f>IF($A448&lt;&gt;"",'Approved-In-Depth'!D448,"")</f>
        <v/>
      </c>
      <c r="E448" t="str">
        <f>IF($A448&lt;&gt;"",'Approved-In-Depth'!E448,"")</f>
        <v/>
      </c>
      <c r="F448" t="str">
        <f>IF($A448&lt;&gt;"",'Approved-In-Depth'!F448,"")</f>
        <v/>
      </c>
      <c r="G448" t="str">
        <f>IF($A448&lt;&gt;"",'Approved-In-Depth'!G448,"")</f>
        <v/>
      </c>
      <c r="H448" s="4" t="str">
        <f>IF($A448&lt;&gt;"",'Approved-In-Depth'!H448,"")</f>
        <v/>
      </c>
      <c r="I448" t="str">
        <f>IF($A448&lt;&gt;"",'Approved-In-Depth'!I448,"")</f>
        <v/>
      </c>
      <c r="J448" t="str">
        <f>IF($A448&lt;&gt;"",'Approved-In-Depth'!J448,"")</f>
        <v/>
      </c>
      <c r="K448" t="str">
        <f>IF($A448&lt;&gt;"",'Approved-In-Depth'!K448,"")</f>
        <v/>
      </c>
      <c r="L448" s="4" t="str">
        <f>IF($A448&lt;&gt;"",'Approved-In-Depth'!L448,"")</f>
        <v/>
      </c>
      <c r="M448" t="str">
        <f>IF($A448&lt;&gt;"",'Approved-In-Depth'!M448,"")</f>
        <v/>
      </c>
    </row>
    <row r="449" spans="1:13" x14ac:dyDescent="0.35">
      <c r="A449" s="4" t="str">
        <f>IF('Approved-In-Depth'!$A449&lt;&gt;"",'Approved-In-Depth'!A449,"")</f>
        <v/>
      </c>
      <c r="B449" t="str">
        <f>IF($O449&lt;&gt;"",$O449,IF($A449&lt;&gt;"",'Approved-In-Depth'!$B449+7,""))</f>
        <v/>
      </c>
      <c r="C449" t="str">
        <f>IF($A449&lt;&gt;"",'Approved-In-Depth'!C449,"")</f>
        <v/>
      </c>
      <c r="D449" t="str">
        <f>IF($A449&lt;&gt;"",'Approved-In-Depth'!D449,"")</f>
        <v/>
      </c>
      <c r="E449" t="str">
        <f>IF($A449&lt;&gt;"",'Approved-In-Depth'!E449,"")</f>
        <v/>
      </c>
      <c r="F449" t="str">
        <f>IF($A449&lt;&gt;"",'Approved-In-Depth'!F449,"")</f>
        <v/>
      </c>
      <c r="G449" t="str">
        <f>IF($A449&lt;&gt;"",'Approved-In-Depth'!G449,"")</f>
        <v/>
      </c>
      <c r="H449" s="4" t="str">
        <f>IF($A449&lt;&gt;"",'Approved-In-Depth'!H449,"")</f>
        <v/>
      </c>
      <c r="I449" t="str">
        <f>IF($A449&lt;&gt;"",'Approved-In-Depth'!I449,"")</f>
        <v/>
      </c>
      <c r="J449" t="str">
        <f>IF($A449&lt;&gt;"",'Approved-In-Depth'!J449,"")</f>
        <v/>
      </c>
      <c r="K449" t="str">
        <f>IF($A449&lt;&gt;"",'Approved-In-Depth'!K449,"")</f>
        <v/>
      </c>
      <c r="L449" s="4" t="str">
        <f>IF($A449&lt;&gt;"",'Approved-In-Depth'!L449,"")</f>
        <v/>
      </c>
      <c r="M449" t="str">
        <f>IF($A449&lt;&gt;"",'Approved-In-Depth'!M449,"")</f>
        <v/>
      </c>
    </row>
    <row r="450" spans="1:13" x14ac:dyDescent="0.35">
      <c r="A450" s="4" t="str">
        <f>IF('Approved-In-Depth'!$A450&lt;&gt;"",'Approved-In-Depth'!A450,"")</f>
        <v/>
      </c>
      <c r="B450" t="str">
        <f>IF($O450&lt;&gt;"",$O450,IF($A450&lt;&gt;"",'Approved-In-Depth'!$B450+7,""))</f>
        <v/>
      </c>
      <c r="C450" t="str">
        <f>IF($A450&lt;&gt;"",'Approved-In-Depth'!C450,"")</f>
        <v/>
      </c>
      <c r="D450" t="str">
        <f>IF($A450&lt;&gt;"",'Approved-In-Depth'!D450,"")</f>
        <v/>
      </c>
      <c r="E450" t="str">
        <f>IF($A450&lt;&gt;"",'Approved-In-Depth'!E450,"")</f>
        <v/>
      </c>
      <c r="F450" t="str">
        <f>IF($A450&lt;&gt;"",'Approved-In-Depth'!F450,"")</f>
        <v/>
      </c>
      <c r="G450" t="str">
        <f>IF($A450&lt;&gt;"",'Approved-In-Depth'!G450,"")</f>
        <v/>
      </c>
      <c r="H450" s="4" t="str">
        <f>IF($A450&lt;&gt;"",'Approved-In-Depth'!H450,"")</f>
        <v/>
      </c>
      <c r="I450" t="str">
        <f>IF($A450&lt;&gt;"",'Approved-In-Depth'!I450,"")</f>
        <v/>
      </c>
      <c r="J450" t="str">
        <f>IF($A450&lt;&gt;"",'Approved-In-Depth'!J450,"")</f>
        <v/>
      </c>
      <c r="K450" t="str">
        <f>IF($A450&lt;&gt;"",'Approved-In-Depth'!K450,"")</f>
        <v/>
      </c>
      <c r="L450" s="4" t="str">
        <f>IF($A450&lt;&gt;"",'Approved-In-Depth'!L450,"")</f>
        <v/>
      </c>
      <c r="M450" t="str">
        <f>IF($A450&lt;&gt;"",'Approved-In-Depth'!M450,"")</f>
        <v/>
      </c>
    </row>
    <row r="451" spans="1:13" x14ac:dyDescent="0.35">
      <c r="A451" s="4" t="str">
        <f>IF('Approved-In-Depth'!$A451&lt;&gt;"",'Approved-In-Depth'!A451,"")</f>
        <v/>
      </c>
      <c r="B451" t="str">
        <f>IF($O451&lt;&gt;"",$O451,IF($A451&lt;&gt;"",'Approved-In-Depth'!$B451+7,""))</f>
        <v/>
      </c>
      <c r="C451" t="str">
        <f>IF($A451&lt;&gt;"",'Approved-In-Depth'!C451,"")</f>
        <v/>
      </c>
      <c r="D451" t="str">
        <f>IF($A451&lt;&gt;"",'Approved-In-Depth'!D451,"")</f>
        <v/>
      </c>
      <c r="E451" t="str">
        <f>IF($A451&lt;&gt;"",'Approved-In-Depth'!E451,"")</f>
        <v/>
      </c>
      <c r="F451" t="str">
        <f>IF($A451&lt;&gt;"",'Approved-In-Depth'!F451,"")</f>
        <v/>
      </c>
      <c r="G451" t="str">
        <f>IF($A451&lt;&gt;"",'Approved-In-Depth'!G451,"")</f>
        <v/>
      </c>
      <c r="H451" s="4" t="str">
        <f>IF($A451&lt;&gt;"",'Approved-In-Depth'!H451,"")</f>
        <v/>
      </c>
      <c r="I451" t="str">
        <f>IF($A451&lt;&gt;"",'Approved-In-Depth'!I451,"")</f>
        <v/>
      </c>
      <c r="J451" t="str">
        <f>IF($A451&lt;&gt;"",'Approved-In-Depth'!J451,"")</f>
        <v/>
      </c>
      <c r="K451" t="str">
        <f>IF($A451&lt;&gt;"",'Approved-In-Depth'!K451,"")</f>
        <v/>
      </c>
      <c r="L451" s="4" t="str">
        <f>IF($A451&lt;&gt;"",'Approved-In-Depth'!L451,"")</f>
        <v/>
      </c>
      <c r="M451" t="str">
        <f>IF($A451&lt;&gt;"",'Approved-In-Depth'!M451,"")</f>
        <v/>
      </c>
    </row>
    <row r="452" spans="1:13" x14ac:dyDescent="0.35">
      <c r="A452" s="4" t="str">
        <f>IF('Approved-In-Depth'!$A452&lt;&gt;"",'Approved-In-Depth'!A452,"")</f>
        <v/>
      </c>
      <c r="B452" t="str">
        <f>IF($O452&lt;&gt;"",$O452,IF($A452&lt;&gt;"",'Approved-In-Depth'!$B452+7,""))</f>
        <v/>
      </c>
      <c r="C452" t="str">
        <f>IF($A452&lt;&gt;"",'Approved-In-Depth'!C452,"")</f>
        <v/>
      </c>
      <c r="D452" t="str">
        <f>IF($A452&lt;&gt;"",'Approved-In-Depth'!D452,"")</f>
        <v/>
      </c>
      <c r="E452" t="str">
        <f>IF($A452&lt;&gt;"",'Approved-In-Depth'!E452,"")</f>
        <v/>
      </c>
      <c r="F452" t="str">
        <f>IF($A452&lt;&gt;"",'Approved-In-Depth'!F452,"")</f>
        <v/>
      </c>
      <c r="G452" t="str">
        <f>IF($A452&lt;&gt;"",'Approved-In-Depth'!G452,"")</f>
        <v/>
      </c>
      <c r="H452" s="4" t="str">
        <f>IF($A452&lt;&gt;"",'Approved-In-Depth'!H452,"")</f>
        <v/>
      </c>
      <c r="I452" t="str">
        <f>IF($A452&lt;&gt;"",'Approved-In-Depth'!I452,"")</f>
        <v/>
      </c>
      <c r="J452" t="str">
        <f>IF($A452&lt;&gt;"",'Approved-In-Depth'!J452,"")</f>
        <v/>
      </c>
      <c r="K452" t="str">
        <f>IF($A452&lt;&gt;"",'Approved-In-Depth'!K452,"")</f>
        <v/>
      </c>
      <c r="L452" s="4" t="str">
        <f>IF($A452&lt;&gt;"",'Approved-In-Depth'!L452,"")</f>
        <v/>
      </c>
      <c r="M452" t="str">
        <f>IF($A452&lt;&gt;"",'Approved-In-Depth'!M452,"")</f>
        <v/>
      </c>
    </row>
    <row r="453" spans="1:13" x14ac:dyDescent="0.35">
      <c r="A453" s="4" t="str">
        <f>IF('Approved-In-Depth'!$A453&lt;&gt;"",'Approved-In-Depth'!A453,"")</f>
        <v/>
      </c>
      <c r="B453" t="str">
        <f>IF($O453&lt;&gt;"",$O453,IF($A453&lt;&gt;"",'Approved-In-Depth'!$B453+7,""))</f>
        <v/>
      </c>
      <c r="C453" t="str">
        <f>IF($A453&lt;&gt;"",'Approved-In-Depth'!C453,"")</f>
        <v/>
      </c>
      <c r="D453" t="str">
        <f>IF($A453&lt;&gt;"",'Approved-In-Depth'!D453,"")</f>
        <v/>
      </c>
      <c r="E453" t="str">
        <f>IF($A453&lt;&gt;"",'Approved-In-Depth'!E453,"")</f>
        <v/>
      </c>
      <c r="F453" t="str">
        <f>IF($A453&lt;&gt;"",'Approved-In-Depth'!F453,"")</f>
        <v/>
      </c>
      <c r="G453" t="str">
        <f>IF($A453&lt;&gt;"",'Approved-In-Depth'!G453,"")</f>
        <v/>
      </c>
      <c r="H453" s="4" t="str">
        <f>IF($A453&lt;&gt;"",'Approved-In-Depth'!H453,"")</f>
        <v/>
      </c>
      <c r="I453" t="str">
        <f>IF($A453&lt;&gt;"",'Approved-In-Depth'!I453,"")</f>
        <v/>
      </c>
      <c r="J453" t="str">
        <f>IF($A453&lt;&gt;"",'Approved-In-Depth'!J453,"")</f>
        <v/>
      </c>
      <c r="K453" t="str">
        <f>IF($A453&lt;&gt;"",'Approved-In-Depth'!K453,"")</f>
        <v/>
      </c>
      <c r="L453" s="4" t="str">
        <f>IF($A453&lt;&gt;"",'Approved-In-Depth'!L453,"")</f>
        <v/>
      </c>
      <c r="M453" t="str">
        <f>IF($A453&lt;&gt;"",'Approved-In-Depth'!M453,"")</f>
        <v/>
      </c>
    </row>
    <row r="454" spans="1:13" x14ac:dyDescent="0.35">
      <c r="A454" s="4" t="str">
        <f>IF('Approved-In-Depth'!$A454&lt;&gt;"",'Approved-In-Depth'!A454,"")</f>
        <v/>
      </c>
      <c r="B454" t="str">
        <f>IF($O454&lt;&gt;"",$O454,IF($A454&lt;&gt;"",'Approved-In-Depth'!$B454+7,""))</f>
        <v/>
      </c>
      <c r="C454" t="str">
        <f>IF($A454&lt;&gt;"",'Approved-In-Depth'!C454,"")</f>
        <v/>
      </c>
      <c r="D454" t="str">
        <f>IF($A454&lt;&gt;"",'Approved-In-Depth'!D454,"")</f>
        <v/>
      </c>
      <c r="E454" t="str">
        <f>IF($A454&lt;&gt;"",'Approved-In-Depth'!E454,"")</f>
        <v/>
      </c>
      <c r="F454" t="str">
        <f>IF($A454&lt;&gt;"",'Approved-In-Depth'!F454,"")</f>
        <v/>
      </c>
      <c r="G454" t="str">
        <f>IF($A454&lt;&gt;"",'Approved-In-Depth'!G454,"")</f>
        <v/>
      </c>
      <c r="H454" s="4" t="str">
        <f>IF($A454&lt;&gt;"",'Approved-In-Depth'!H454,"")</f>
        <v/>
      </c>
      <c r="I454" t="str">
        <f>IF($A454&lt;&gt;"",'Approved-In-Depth'!I454,"")</f>
        <v/>
      </c>
      <c r="J454" t="str">
        <f>IF($A454&lt;&gt;"",'Approved-In-Depth'!J454,"")</f>
        <v/>
      </c>
      <c r="K454" t="str">
        <f>IF($A454&lt;&gt;"",'Approved-In-Depth'!K454,"")</f>
        <v/>
      </c>
      <c r="L454" s="4" t="str">
        <f>IF($A454&lt;&gt;"",'Approved-In-Depth'!L454,"")</f>
        <v/>
      </c>
      <c r="M454" t="str">
        <f>IF($A454&lt;&gt;"",'Approved-In-Depth'!M454,"")</f>
        <v/>
      </c>
    </row>
    <row r="455" spans="1:13" x14ac:dyDescent="0.35">
      <c r="A455" s="4" t="str">
        <f>IF('Approved-In-Depth'!$A455&lt;&gt;"",'Approved-In-Depth'!A455,"")</f>
        <v/>
      </c>
      <c r="B455" t="str">
        <f>IF($O455&lt;&gt;"",$O455,IF($A455&lt;&gt;"",'Approved-In-Depth'!$B455+7,""))</f>
        <v/>
      </c>
      <c r="C455" t="str">
        <f>IF($A455&lt;&gt;"",'Approved-In-Depth'!C455,"")</f>
        <v/>
      </c>
      <c r="D455" t="str">
        <f>IF($A455&lt;&gt;"",'Approved-In-Depth'!D455,"")</f>
        <v/>
      </c>
      <c r="E455" t="str">
        <f>IF($A455&lt;&gt;"",'Approved-In-Depth'!E455,"")</f>
        <v/>
      </c>
      <c r="F455" t="str">
        <f>IF($A455&lt;&gt;"",'Approved-In-Depth'!F455,"")</f>
        <v/>
      </c>
      <c r="G455" t="str">
        <f>IF($A455&lt;&gt;"",'Approved-In-Depth'!G455,"")</f>
        <v/>
      </c>
      <c r="H455" s="4" t="str">
        <f>IF($A455&lt;&gt;"",'Approved-In-Depth'!H455,"")</f>
        <v/>
      </c>
      <c r="I455" t="str">
        <f>IF($A455&lt;&gt;"",'Approved-In-Depth'!I455,"")</f>
        <v/>
      </c>
      <c r="J455" t="str">
        <f>IF($A455&lt;&gt;"",'Approved-In-Depth'!J455,"")</f>
        <v/>
      </c>
      <c r="K455" t="str">
        <f>IF($A455&lt;&gt;"",'Approved-In-Depth'!K455,"")</f>
        <v/>
      </c>
      <c r="L455" s="4" t="str">
        <f>IF($A455&lt;&gt;"",'Approved-In-Depth'!L455,"")</f>
        <v/>
      </c>
      <c r="M455" t="str">
        <f>IF($A455&lt;&gt;"",'Approved-In-Depth'!M455,"")</f>
        <v/>
      </c>
    </row>
    <row r="456" spans="1:13" x14ac:dyDescent="0.35">
      <c r="A456" s="4" t="str">
        <f>IF('Approved-In-Depth'!$A456&lt;&gt;"",'Approved-In-Depth'!A456,"")</f>
        <v/>
      </c>
      <c r="B456" t="str">
        <f>IF($O456&lt;&gt;"",$O456,IF($A456&lt;&gt;"",'Approved-In-Depth'!$B456+7,""))</f>
        <v/>
      </c>
      <c r="C456" t="str">
        <f>IF($A456&lt;&gt;"",'Approved-In-Depth'!C456,"")</f>
        <v/>
      </c>
      <c r="D456" t="str">
        <f>IF($A456&lt;&gt;"",'Approved-In-Depth'!D456,"")</f>
        <v/>
      </c>
      <c r="E456" t="str">
        <f>IF($A456&lt;&gt;"",'Approved-In-Depth'!E456,"")</f>
        <v/>
      </c>
      <c r="F456" t="str">
        <f>IF($A456&lt;&gt;"",'Approved-In-Depth'!F456,"")</f>
        <v/>
      </c>
      <c r="G456" t="str">
        <f>IF($A456&lt;&gt;"",'Approved-In-Depth'!G456,"")</f>
        <v/>
      </c>
      <c r="H456" s="4" t="str">
        <f>IF($A456&lt;&gt;"",'Approved-In-Depth'!H456,"")</f>
        <v/>
      </c>
      <c r="I456" t="str">
        <f>IF($A456&lt;&gt;"",'Approved-In-Depth'!I456,"")</f>
        <v/>
      </c>
      <c r="J456" t="str">
        <f>IF($A456&lt;&gt;"",'Approved-In-Depth'!J456,"")</f>
        <v/>
      </c>
      <c r="K456" t="str">
        <f>IF($A456&lt;&gt;"",'Approved-In-Depth'!K456,"")</f>
        <v/>
      </c>
      <c r="L456" s="4" t="str">
        <f>IF($A456&lt;&gt;"",'Approved-In-Depth'!L456,"")</f>
        <v/>
      </c>
      <c r="M456" t="str">
        <f>IF($A456&lt;&gt;"",'Approved-In-Depth'!M456,"")</f>
        <v/>
      </c>
    </row>
    <row r="457" spans="1:13" x14ac:dyDescent="0.35">
      <c r="A457" s="4" t="str">
        <f>IF('Approved-In-Depth'!$A457&lt;&gt;"",'Approved-In-Depth'!A457,"")</f>
        <v/>
      </c>
      <c r="B457" t="str">
        <f>IF($O457&lt;&gt;"",$O457,IF($A457&lt;&gt;"",'Approved-In-Depth'!$B457+7,""))</f>
        <v/>
      </c>
      <c r="C457" t="str">
        <f>IF($A457&lt;&gt;"",'Approved-In-Depth'!C457,"")</f>
        <v/>
      </c>
      <c r="D457" t="str">
        <f>IF($A457&lt;&gt;"",'Approved-In-Depth'!D457,"")</f>
        <v/>
      </c>
      <c r="E457" t="str">
        <f>IF($A457&lt;&gt;"",'Approved-In-Depth'!E457,"")</f>
        <v/>
      </c>
      <c r="F457" t="str">
        <f>IF($A457&lt;&gt;"",'Approved-In-Depth'!F457,"")</f>
        <v/>
      </c>
      <c r="G457" t="str">
        <f>IF($A457&lt;&gt;"",'Approved-In-Depth'!G457,"")</f>
        <v/>
      </c>
      <c r="H457" s="4" t="str">
        <f>IF($A457&lt;&gt;"",'Approved-In-Depth'!H457,"")</f>
        <v/>
      </c>
      <c r="I457" t="str">
        <f>IF($A457&lt;&gt;"",'Approved-In-Depth'!I457,"")</f>
        <v/>
      </c>
      <c r="J457" t="str">
        <f>IF($A457&lt;&gt;"",'Approved-In-Depth'!J457,"")</f>
        <v/>
      </c>
      <c r="K457" t="str">
        <f>IF($A457&lt;&gt;"",'Approved-In-Depth'!K457,"")</f>
        <v/>
      </c>
      <c r="L457" s="4" t="str">
        <f>IF($A457&lt;&gt;"",'Approved-In-Depth'!L457,"")</f>
        <v/>
      </c>
      <c r="M457" t="str">
        <f>IF($A457&lt;&gt;"",'Approved-In-Depth'!M457,"")</f>
        <v/>
      </c>
    </row>
    <row r="458" spans="1:13" x14ac:dyDescent="0.35">
      <c r="A458" s="4" t="str">
        <f>IF('Approved-In-Depth'!$A458&lt;&gt;"",'Approved-In-Depth'!A458,"")</f>
        <v/>
      </c>
      <c r="B458" t="str">
        <f>IF($O458&lt;&gt;"",$O458,IF($A458&lt;&gt;"",'Approved-In-Depth'!$B458+7,""))</f>
        <v/>
      </c>
      <c r="C458" t="str">
        <f>IF($A458&lt;&gt;"",'Approved-In-Depth'!C458,"")</f>
        <v/>
      </c>
      <c r="D458" t="str">
        <f>IF($A458&lt;&gt;"",'Approved-In-Depth'!D458,"")</f>
        <v/>
      </c>
      <c r="E458" t="str">
        <f>IF($A458&lt;&gt;"",'Approved-In-Depth'!E458,"")</f>
        <v/>
      </c>
      <c r="F458" t="str">
        <f>IF($A458&lt;&gt;"",'Approved-In-Depth'!F458,"")</f>
        <v/>
      </c>
      <c r="G458" t="str">
        <f>IF($A458&lt;&gt;"",'Approved-In-Depth'!G458,"")</f>
        <v/>
      </c>
      <c r="H458" s="4" t="str">
        <f>IF($A458&lt;&gt;"",'Approved-In-Depth'!H458,"")</f>
        <v/>
      </c>
      <c r="I458" t="str">
        <f>IF($A458&lt;&gt;"",'Approved-In-Depth'!I458,"")</f>
        <v/>
      </c>
      <c r="J458" t="str">
        <f>IF($A458&lt;&gt;"",'Approved-In-Depth'!J458,"")</f>
        <v/>
      </c>
      <c r="K458" t="str">
        <f>IF($A458&lt;&gt;"",'Approved-In-Depth'!K458,"")</f>
        <v/>
      </c>
      <c r="L458" s="4" t="str">
        <f>IF($A458&lt;&gt;"",'Approved-In-Depth'!L458,"")</f>
        <v/>
      </c>
      <c r="M458" t="str">
        <f>IF($A458&lt;&gt;"",'Approved-In-Depth'!M458,"")</f>
        <v/>
      </c>
    </row>
    <row r="459" spans="1:13" x14ac:dyDescent="0.35">
      <c r="A459" s="4" t="str">
        <f>IF('Approved-In-Depth'!$A459&lt;&gt;"",'Approved-In-Depth'!A459,"")</f>
        <v/>
      </c>
      <c r="B459" t="str">
        <f>IF($O459&lt;&gt;"",$O459,IF($A459&lt;&gt;"",'Approved-In-Depth'!$B459+7,""))</f>
        <v/>
      </c>
      <c r="C459" t="str">
        <f>IF($A459&lt;&gt;"",'Approved-In-Depth'!C459,"")</f>
        <v/>
      </c>
      <c r="D459" t="str">
        <f>IF($A459&lt;&gt;"",'Approved-In-Depth'!D459,"")</f>
        <v/>
      </c>
      <c r="E459" t="str">
        <f>IF($A459&lt;&gt;"",'Approved-In-Depth'!E459,"")</f>
        <v/>
      </c>
      <c r="F459" t="str">
        <f>IF($A459&lt;&gt;"",'Approved-In-Depth'!F459,"")</f>
        <v/>
      </c>
      <c r="G459" t="str">
        <f>IF($A459&lt;&gt;"",'Approved-In-Depth'!G459,"")</f>
        <v/>
      </c>
      <c r="H459" s="4" t="str">
        <f>IF($A459&lt;&gt;"",'Approved-In-Depth'!H459,"")</f>
        <v/>
      </c>
      <c r="I459" t="str">
        <f>IF($A459&lt;&gt;"",'Approved-In-Depth'!I459,"")</f>
        <v/>
      </c>
      <c r="J459" t="str">
        <f>IF($A459&lt;&gt;"",'Approved-In-Depth'!J459,"")</f>
        <v/>
      </c>
      <c r="K459" t="str">
        <f>IF($A459&lt;&gt;"",'Approved-In-Depth'!K459,"")</f>
        <v/>
      </c>
      <c r="L459" s="4" t="str">
        <f>IF($A459&lt;&gt;"",'Approved-In-Depth'!L459,"")</f>
        <v/>
      </c>
      <c r="M459" t="str">
        <f>IF($A459&lt;&gt;"",'Approved-In-Depth'!M459,"")</f>
        <v/>
      </c>
    </row>
    <row r="460" spans="1:13" x14ac:dyDescent="0.35">
      <c r="A460" s="4" t="str">
        <f>IF('Approved-In-Depth'!$A460&lt;&gt;"",'Approved-In-Depth'!A460,"")</f>
        <v/>
      </c>
      <c r="B460" t="str">
        <f>IF($O460&lt;&gt;"",$O460,IF($A460&lt;&gt;"",'Approved-In-Depth'!$B460+7,""))</f>
        <v/>
      </c>
      <c r="C460" t="str">
        <f>IF($A460&lt;&gt;"",'Approved-In-Depth'!C460,"")</f>
        <v/>
      </c>
      <c r="D460" t="str">
        <f>IF($A460&lt;&gt;"",'Approved-In-Depth'!D460,"")</f>
        <v/>
      </c>
      <c r="E460" t="str">
        <f>IF($A460&lt;&gt;"",'Approved-In-Depth'!E460,"")</f>
        <v/>
      </c>
      <c r="F460" t="str">
        <f>IF($A460&lt;&gt;"",'Approved-In-Depth'!F460,"")</f>
        <v/>
      </c>
      <c r="G460" t="str">
        <f>IF($A460&lt;&gt;"",'Approved-In-Depth'!G460,"")</f>
        <v/>
      </c>
      <c r="H460" s="4" t="str">
        <f>IF($A460&lt;&gt;"",'Approved-In-Depth'!H460,"")</f>
        <v/>
      </c>
      <c r="I460" t="str">
        <f>IF($A460&lt;&gt;"",'Approved-In-Depth'!I460,"")</f>
        <v/>
      </c>
      <c r="J460" t="str">
        <f>IF($A460&lt;&gt;"",'Approved-In-Depth'!J460,"")</f>
        <v/>
      </c>
      <c r="K460" t="str">
        <f>IF($A460&lt;&gt;"",'Approved-In-Depth'!K460,"")</f>
        <v/>
      </c>
      <c r="L460" s="4" t="str">
        <f>IF($A460&lt;&gt;"",'Approved-In-Depth'!L460,"")</f>
        <v/>
      </c>
      <c r="M460" t="str">
        <f>IF($A460&lt;&gt;"",'Approved-In-Depth'!M460,"")</f>
        <v/>
      </c>
    </row>
    <row r="461" spans="1:13" x14ac:dyDescent="0.35">
      <c r="A461" s="4" t="str">
        <f>IF('Approved-In-Depth'!$A461&lt;&gt;"",'Approved-In-Depth'!A461,"")</f>
        <v/>
      </c>
      <c r="B461" t="str">
        <f>IF($O461&lt;&gt;"",$O461,IF($A461&lt;&gt;"",'Approved-In-Depth'!$B461+7,""))</f>
        <v/>
      </c>
      <c r="C461" t="str">
        <f>IF($A461&lt;&gt;"",'Approved-In-Depth'!C461,"")</f>
        <v/>
      </c>
      <c r="D461" t="str">
        <f>IF($A461&lt;&gt;"",'Approved-In-Depth'!D461,"")</f>
        <v/>
      </c>
      <c r="E461" t="str">
        <f>IF($A461&lt;&gt;"",'Approved-In-Depth'!E461,"")</f>
        <v/>
      </c>
      <c r="F461" t="str">
        <f>IF($A461&lt;&gt;"",'Approved-In-Depth'!F461,"")</f>
        <v/>
      </c>
      <c r="G461" t="str">
        <f>IF($A461&lt;&gt;"",'Approved-In-Depth'!G461,"")</f>
        <v/>
      </c>
      <c r="H461" s="4" t="str">
        <f>IF($A461&lt;&gt;"",'Approved-In-Depth'!H461,"")</f>
        <v/>
      </c>
      <c r="I461" t="str">
        <f>IF($A461&lt;&gt;"",'Approved-In-Depth'!I461,"")</f>
        <v/>
      </c>
      <c r="J461" t="str">
        <f>IF($A461&lt;&gt;"",'Approved-In-Depth'!J461,"")</f>
        <v/>
      </c>
      <c r="K461" t="str">
        <f>IF($A461&lt;&gt;"",'Approved-In-Depth'!K461,"")</f>
        <v/>
      </c>
      <c r="L461" s="4" t="str">
        <f>IF($A461&lt;&gt;"",'Approved-In-Depth'!L461,"")</f>
        <v/>
      </c>
      <c r="M461" t="str">
        <f>IF($A461&lt;&gt;"",'Approved-In-Depth'!M461,"")</f>
        <v/>
      </c>
    </row>
    <row r="462" spans="1:13" x14ac:dyDescent="0.35">
      <c r="A462" s="4" t="str">
        <f>IF('Approved-In-Depth'!$A462&lt;&gt;"",'Approved-In-Depth'!A462,"")</f>
        <v/>
      </c>
      <c r="B462" t="str">
        <f>IF($O462&lt;&gt;"",$O462,IF($A462&lt;&gt;"",'Approved-In-Depth'!$B462+7,""))</f>
        <v/>
      </c>
      <c r="C462" t="str">
        <f>IF($A462&lt;&gt;"",'Approved-In-Depth'!C462,"")</f>
        <v/>
      </c>
      <c r="D462" t="str">
        <f>IF($A462&lt;&gt;"",'Approved-In-Depth'!D462,"")</f>
        <v/>
      </c>
      <c r="E462" t="str">
        <f>IF($A462&lt;&gt;"",'Approved-In-Depth'!E462,"")</f>
        <v/>
      </c>
      <c r="F462" t="str">
        <f>IF($A462&lt;&gt;"",'Approved-In-Depth'!F462,"")</f>
        <v/>
      </c>
      <c r="G462" t="str">
        <f>IF($A462&lt;&gt;"",'Approved-In-Depth'!G462,"")</f>
        <v/>
      </c>
      <c r="H462" s="4" t="str">
        <f>IF($A462&lt;&gt;"",'Approved-In-Depth'!H462,"")</f>
        <v/>
      </c>
      <c r="I462" t="str">
        <f>IF($A462&lt;&gt;"",'Approved-In-Depth'!I462,"")</f>
        <v/>
      </c>
      <c r="J462" t="str">
        <f>IF($A462&lt;&gt;"",'Approved-In-Depth'!J462,"")</f>
        <v/>
      </c>
      <c r="K462" t="str">
        <f>IF($A462&lt;&gt;"",'Approved-In-Depth'!K462,"")</f>
        <v/>
      </c>
      <c r="L462" s="4" t="str">
        <f>IF($A462&lt;&gt;"",'Approved-In-Depth'!L462,"")</f>
        <v/>
      </c>
      <c r="M462" t="str">
        <f>IF($A462&lt;&gt;"",'Approved-In-Depth'!M462,"")</f>
        <v/>
      </c>
    </row>
    <row r="463" spans="1:13" x14ac:dyDescent="0.35">
      <c r="A463" s="4" t="str">
        <f>IF('Approved-In-Depth'!$A463&lt;&gt;"",'Approved-In-Depth'!A463,"")</f>
        <v/>
      </c>
      <c r="B463" t="str">
        <f>IF($O463&lt;&gt;"",$O463,IF($A463&lt;&gt;"",'Approved-In-Depth'!$B463+7,""))</f>
        <v/>
      </c>
      <c r="C463" t="str">
        <f>IF($A463&lt;&gt;"",'Approved-In-Depth'!C463,"")</f>
        <v/>
      </c>
      <c r="D463" t="str">
        <f>IF($A463&lt;&gt;"",'Approved-In-Depth'!D463,"")</f>
        <v/>
      </c>
      <c r="E463" t="str">
        <f>IF($A463&lt;&gt;"",'Approved-In-Depth'!E463,"")</f>
        <v/>
      </c>
      <c r="F463" t="str">
        <f>IF($A463&lt;&gt;"",'Approved-In-Depth'!F463,"")</f>
        <v/>
      </c>
      <c r="G463" t="str">
        <f>IF($A463&lt;&gt;"",'Approved-In-Depth'!G463,"")</f>
        <v/>
      </c>
      <c r="H463" s="4" t="str">
        <f>IF($A463&lt;&gt;"",'Approved-In-Depth'!H463,"")</f>
        <v/>
      </c>
      <c r="I463" t="str">
        <f>IF($A463&lt;&gt;"",'Approved-In-Depth'!I463,"")</f>
        <v/>
      </c>
      <c r="J463" t="str">
        <f>IF($A463&lt;&gt;"",'Approved-In-Depth'!J463,"")</f>
        <v/>
      </c>
      <c r="K463" t="str">
        <f>IF($A463&lt;&gt;"",'Approved-In-Depth'!K463,"")</f>
        <v/>
      </c>
      <c r="L463" s="4" t="str">
        <f>IF($A463&lt;&gt;"",'Approved-In-Depth'!L463,"")</f>
        <v/>
      </c>
      <c r="M463" t="str">
        <f>IF($A463&lt;&gt;"",'Approved-In-Depth'!M463,"")</f>
        <v/>
      </c>
    </row>
    <row r="464" spans="1:13" x14ac:dyDescent="0.35">
      <c r="A464" s="4" t="str">
        <f>IF('Approved-In-Depth'!$A464&lt;&gt;"",'Approved-In-Depth'!A464,"")</f>
        <v/>
      </c>
      <c r="B464" t="str">
        <f>IF($O464&lt;&gt;"",$O464,IF($A464&lt;&gt;"",'Approved-In-Depth'!$B464+7,""))</f>
        <v/>
      </c>
      <c r="C464" t="str">
        <f>IF($A464&lt;&gt;"",'Approved-In-Depth'!C464,"")</f>
        <v/>
      </c>
      <c r="D464" t="str">
        <f>IF($A464&lt;&gt;"",'Approved-In-Depth'!D464,"")</f>
        <v/>
      </c>
      <c r="E464" t="str">
        <f>IF($A464&lt;&gt;"",'Approved-In-Depth'!E464,"")</f>
        <v/>
      </c>
      <c r="F464" t="str">
        <f>IF($A464&lt;&gt;"",'Approved-In-Depth'!F464,"")</f>
        <v/>
      </c>
      <c r="G464" t="str">
        <f>IF($A464&lt;&gt;"",'Approved-In-Depth'!G464,"")</f>
        <v/>
      </c>
      <c r="H464" s="4" t="str">
        <f>IF($A464&lt;&gt;"",'Approved-In-Depth'!H464,"")</f>
        <v/>
      </c>
      <c r="I464" t="str">
        <f>IF($A464&lt;&gt;"",'Approved-In-Depth'!I464,"")</f>
        <v/>
      </c>
      <c r="J464" t="str">
        <f>IF($A464&lt;&gt;"",'Approved-In-Depth'!J464,"")</f>
        <v/>
      </c>
      <c r="K464" t="str">
        <f>IF($A464&lt;&gt;"",'Approved-In-Depth'!K464,"")</f>
        <v/>
      </c>
      <c r="L464" s="4" t="str">
        <f>IF($A464&lt;&gt;"",'Approved-In-Depth'!L464,"")</f>
        <v/>
      </c>
      <c r="M464" t="str">
        <f>IF($A464&lt;&gt;"",'Approved-In-Depth'!M464,"")</f>
        <v/>
      </c>
    </row>
    <row r="465" spans="1:13" x14ac:dyDescent="0.35">
      <c r="A465" s="4" t="str">
        <f>IF('Approved-In-Depth'!$A465&lt;&gt;"",'Approved-In-Depth'!A465,"")</f>
        <v/>
      </c>
      <c r="B465" t="str">
        <f>IF($O465&lt;&gt;"",$O465,IF($A465&lt;&gt;"",'Approved-In-Depth'!$B465+7,""))</f>
        <v/>
      </c>
      <c r="C465" t="str">
        <f>IF($A465&lt;&gt;"",'Approved-In-Depth'!C465,"")</f>
        <v/>
      </c>
      <c r="D465" t="str">
        <f>IF($A465&lt;&gt;"",'Approved-In-Depth'!D465,"")</f>
        <v/>
      </c>
      <c r="E465" t="str">
        <f>IF($A465&lt;&gt;"",'Approved-In-Depth'!E465,"")</f>
        <v/>
      </c>
      <c r="F465" t="str">
        <f>IF($A465&lt;&gt;"",'Approved-In-Depth'!F465,"")</f>
        <v/>
      </c>
      <c r="G465" t="str">
        <f>IF($A465&lt;&gt;"",'Approved-In-Depth'!G465,"")</f>
        <v/>
      </c>
      <c r="H465" s="4" t="str">
        <f>IF($A465&lt;&gt;"",'Approved-In-Depth'!H465,"")</f>
        <v/>
      </c>
      <c r="I465" t="str">
        <f>IF($A465&lt;&gt;"",'Approved-In-Depth'!I465,"")</f>
        <v/>
      </c>
      <c r="J465" t="str">
        <f>IF($A465&lt;&gt;"",'Approved-In-Depth'!J465,"")</f>
        <v/>
      </c>
      <c r="K465" t="str">
        <f>IF($A465&lt;&gt;"",'Approved-In-Depth'!K465,"")</f>
        <v/>
      </c>
      <c r="L465" s="4" t="str">
        <f>IF($A465&lt;&gt;"",'Approved-In-Depth'!L465,"")</f>
        <v/>
      </c>
      <c r="M465" t="str">
        <f>IF($A465&lt;&gt;"",'Approved-In-Depth'!M465,"")</f>
        <v/>
      </c>
    </row>
    <row r="466" spans="1:13" x14ac:dyDescent="0.35">
      <c r="A466" s="4" t="str">
        <f>IF('Approved-In-Depth'!$A466&lt;&gt;"",'Approved-In-Depth'!A466,"")</f>
        <v/>
      </c>
      <c r="B466" t="str">
        <f>IF($O466&lt;&gt;"",$O466,IF($A466&lt;&gt;"",'Approved-In-Depth'!$B466+7,""))</f>
        <v/>
      </c>
      <c r="C466" t="str">
        <f>IF($A466&lt;&gt;"",'Approved-In-Depth'!C466,"")</f>
        <v/>
      </c>
      <c r="D466" t="str">
        <f>IF($A466&lt;&gt;"",'Approved-In-Depth'!D466,"")</f>
        <v/>
      </c>
      <c r="E466" t="str">
        <f>IF($A466&lt;&gt;"",'Approved-In-Depth'!E466,"")</f>
        <v/>
      </c>
      <c r="F466" t="str">
        <f>IF($A466&lt;&gt;"",'Approved-In-Depth'!F466,"")</f>
        <v/>
      </c>
      <c r="G466" t="str">
        <f>IF($A466&lt;&gt;"",'Approved-In-Depth'!G466,"")</f>
        <v/>
      </c>
      <c r="H466" s="4" t="str">
        <f>IF($A466&lt;&gt;"",'Approved-In-Depth'!H466,"")</f>
        <v/>
      </c>
      <c r="I466" t="str">
        <f>IF($A466&lt;&gt;"",'Approved-In-Depth'!I466,"")</f>
        <v/>
      </c>
      <c r="J466" t="str">
        <f>IF($A466&lt;&gt;"",'Approved-In-Depth'!J466,"")</f>
        <v/>
      </c>
      <c r="K466" t="str">
        <f>IF($A466&lt;&gt;"",'Approved-In-Depth'!K466,"")</f>
        <v/>
      </c>
      <c r="L466" s="4" t="str">
        <f>IF($A466&lt;&gt;"",'Approved-In-Depth'!L466,"")</f>
        <v/>
      </c>
      <c r="M466" t="str">
        <f>IF($A466&lt;&gt;"",'Approved-In-Depth'!M466,"")</f>
        <v/>
      </c>
    </row>
    <row r="467" spans="1:13" x14ac:dyDescent="0.35">
      <c r="A467" s="4" t="str">
        <f>IF('Approved-In-Depth'!$A467&lt;&gt;"",'Approved-In-Depth'!A467,"")</f>
        <v/>
      </c>
      <c r="B467" t="str">
        <f>IF($O467&lt;&gt;"",$O467,IF($A467&lt;&gt;"",'Approved-In-Depth'!$B467+7,""))</f>
        <v/>
      </c>
      <c r="C467" t="str">
        <f>IF($A467&lt;&gt;"",'Approved-In-Depth'!C467,"")</f>
        <v/>
      </c>
      <c r="D467" t="str">
        <f>IF($A467&lt;&gt;"",'Approved-In-Depth'!D467,"")</f>
        <v/>
      </c>
      <c r="E467" t="str">
        <f>IF($A467&lt;&gt;"",'Approved-In-Depth'!E467,"")</f>
        <v/>
      </c>
      <c r="F467" t="str">
        <f>IF($A467&lt;&gt;"",'Approved-In-Depth'!F467,"")</f>
        <v/>
      </c>
      <c r="G467" t="str">
        <f>IF($A467&lt;&gt;"",'Approved-In-Depth'!G467,"")</f>
        <v/>
      </c>
      <c r="H467" s="4" t="str">
        <f>IF($A467&lt;&gt;"",'Approved-In-Depth'!H467,"")</f>
        <v/>
      </c>
      <c r="I467" t="str">
        <f>IF($A467&lt;&gt;"",'Approved-In-Depth'!I467,"")</f>
        <v/>
      </c>
      <c r="J467" t="str">
        <f>IF($A467&lt;&gt;"",'Approved-In-Depth'!J467,"")</f>
        <v/>
      </c>
      <c r="K467" t="str">
        <f>IF($A467&lt;&gt;"",'Approved-In-Depth'!K467,"")</f>
        <v/>
      </c>
      <c r="L467" s="4" t="str">
        <f>IF($A467&lt;&gt;"",'Approved-In-Depth'!L467,"")</f>
        <v/>
      </c>
      <c r="M467" t="str">
        <f>IF($A467&lt;&gt;"",'Approved-In-Depth'!M467,"")</f>
        <v/>
      </c>
    </row>
    <row r="468" spans="1:13" x14ac:dyDescent="0.35">
      <c r="A468" s="4" t="str">
        <f>IF('Approved-In-Depth'!$A468&lt;&gt;"",'Approved-In-Depth'!A468,"")</f>
        <v/>
      </c>
      <c r="B468" t="str">
        <f>IF($O468&lt;&gt;"",$O468,IF($A468&lt;&gt;"",'Approved-In-Depth'!$B468+7,""))</f>
        <v/>
      </c>
      <c r="C468" t="str">
        <f>IF($A468&lt;&gt;"",'Approved-In-Depth'!C468,"")</f>
        <v/>
      </c>
      <c r="D468" t="str">
        <f>IF($A468&lt;&gt;"",'Approved-In-Depth'!D468,"")</f>
        <v/>
      </c>
      <c r="E468" t="str">
        <f>IF($A468&lt;&gt;"",'Approved-In-Depth'!E468,"")</f>
        <v/>
      </c>
      <c r="F468" t="str">
        <f>IF($A468&lt;&gt;"",'Approved-In-Depth'!F468,"")</f>
        <v/>
      </c>
      <c r="G468" t="str">
        <f>IF($A468&lt;&gt;"",'Approved-In-Depth'!G468,"")</f>
        <v/>
      </c>
      <c r="H468" s="4" t="str">
        <f>IF($A468&lt;&gt;"",'Approved-In-Depth'!H468,"")</f>
        <v/>
      </c>
      <c r="I468" t="str">
        <f>IF($A468&lt;&gt;"",'Approved-In-Depth'!I468,"")</f>
        <v/>
      </c>
      <c r="J468" t="str">
        <f>IF($A468&lt;&gt;"",'Approved-In-Depth'!J468,"")</f>
        <v/>
      </c>
      <c r="K468" t="str">
        <f>IF($A468&lt;&gt;"",'Approved-In-Depth'!K468,"")</f>
        <v/>
      </c>
      <c r="L468" s="4" t="str">
        <f>IF($A468&lt;&gt;"",'Approved-In-Depth'!L468,"")</f>
        <v/>
      </c>
      <c r="M468" t="str">
        <f>IF($A468&lt;&gt;"",'Approved-In-Depth'!M468,"")</f>
        <v/>
      </c>
    </row>
    <row r="469" spans="1:13" x14ac:dyDescent="0.35">
      <c r="A469" s="4" t="str">
        <f>IF('Approved-In-Depth'!$A469&lt;&gt;"",'Approved-In-Depth'!A469,"")</f>
        <v/>
      </c>
      <c r="B469" t="str">
        <f>IF($O469&lt;&gt;"",$O469,IF($A469&lt;&gt;"",'Approved-In-Depth'!$B469+7,""))</f>
        <v/>
      </c>
      <c r="C469" t="str">
        <f>IF($A469&lt;&gt;"",'Approved-In-Depth'!C469,"")</f>
        <v/>
      </c>
      <c r="D469" t="str">
        <f>IF($A469&lt;&gt;"",'Approved-In-Depth'!D469,"")</f>
        <v/>
      </c>
      <c r="E469" t="str">
        <f>IF($A469&lt;&gt;"",'Approved-In-Depth'!E469,"")</f>
        <v/>
      </c>
      <c r="F469" t="str">
        <f>IF($A469&lt;&gt;"",'Approved-In-Depth'!F469,"")</f>
        <v/>
      </c>
      <c r="G469" t="str">
        <f>IF($A469&lt;&gt;"",'Approved-In-Depth'!G469,"")</f>
        <v/>
      </c>
      <c r="H469" s="4" t="str">
        <f>IF($A469&lt;&gt;"",'Approved-In-Depth'!H469,"")</f>
        <v/>
      </c>
      <c r="I469" t="str">
        <f>IF($A469&lt;&gt;"",'Approved-In-Depth'!I469,"")</f>
        <v/>
      </c>
      <c r="J469" t="str">
        <f>IF($A469&lt;&gt;"",'Approved-In-Depth'!J469,"")</f>
        <v/>
      </c>
      <c r="K469" t="str">
        <f>IF($A469&lt;&gt;"",'Approved-In-Depth'!K469,"")</f>
        <v/>
      </c>
      <c r="L469" s="4" t="str">
        <f>IF($A469&lt;&gt;"",'Approved-In-Depth'!L469,"")</f>
        <v/>
      </c>
      <c r="M469" t="str">
        <f>IF($A469&lt;&gt;"",'Approved-In-Depth'!M469,"")</f>
        <v/>
      </c>
    </row>
    <row r="470" spans="1:13" x14ac:dyDescent="0.35">
      <c r="A470" s="4" t="str">
        <f>IF('Approved-In-Depth'!$A470&lt;&gt;"",'Approved-In-Depth'!A470,"")</f>
        <v/>
      </c>
      <c r="B470" t="str">
        <f>IF($O470&lt;&gt;"",$O470,IF($A470&lt;&gt;"",'Approved-In-Depth'!$B470+7,""))</f>
        <v/>
      </c>
      <c r="C470" t="str">
        <f>IF($A470&lt;&gt;"",'Approved-In-Depth'!C470,"")</f>
        <v/>
      </c>
      <c r="D470" t="str">
        <f>IF($A470&lt;&gt;"",'Approved-In-Depth'!D470,"")</f>
        <v/>
      </c>
      <c r="E470" t="str">
        <f>IF($A470&lt;&gt;"",'Approved-In-Depth'!E470,"")</f>
        <v/>
      </c>
      <c r="F470" t="str">
        <f>IF($A470&lt;&gt;"",'Approved-In-Depth'!F470,"")</f>
        <v/>
      </c>
      <c r="G470" t="str">
        <f>IF($A470&lt;&gt;"",'Approved-In-Depth'!G470,"")</f>
        <v/>
      </c>
      <c r="H470" s="4" t="str">
        <f>IF($A470&lt;&gt;"",'Approved-In-Depth'!H470,"")</f>
        <v/>
      </c>
      <c r="I470" t="str">
        <f>IF($A470&lt;&gt;"",'Approved-In-Depth'!I470,"")</f>
        <v/>
      </c>
      <c r="J470" t="str">
        <f>IF($A470&lt;&gt;"",'Approved-In-Depth'!J470,"")</f>
        <v/>
      </c>
      <c r="K470" t="str">
        <f>IF($A470&lt;&gt;"",'Approved-In-Depth'!K470,"")</f>
        <v/>
      </c>
      <c r="L470" s="4" t="str">
        <f>IF($A470&lt;&gt;"",'Approved-In-Depth'!L470,"")</f>
        <v/>
      </c>
      <c r="M470" t="str">
        <f>IF($A470&lt;&gt;"",'Approved-In-Depth'!M470,"")</f>
        <v/>
      </c>
    </row>
    <row r="471" spans="1:13" x14ac:dyDescent="0.35">
      <c r="A471" s="4" t="str">
        <f>IF('Approved-In-Depth'!$A471&lt;&gt;"",'Approved-In-Depth'!A471,"")</f>
        <v/>
      </c>
      <c r="B471" t="str">
        <f>IF($O471&lt;&gt;"",$O471,IF($A471&lt;&gt;"",'Approved-In-Depth'!$B471+7,""))</f>
        <v/>
      </c>
      <c r="C471" t="str">
        <f>IF($A471&lt;&gt;"",'Approved-In-Depth'!C471,"")</f>
        <v/>
      </c>
      <c r="D471" t="str">
        <f>IF($A471&lt;&gt;"",'Approved-In-Depth'!D471,"")</f>
        <v/>
      </c>
      <c r="E471" t="str">
        <f>IF($A471&lt;&gt;"",'Approved-In-Depth'!E471,"")</f>
        <v/>
      </c>
      <c r="F471" t="str">
        <f>IF($A471&lt;&gt;"",'Approved-In-Depth'!F471,"")</f>
        <v/>
      </c>
      <c r="G471" t="str">
        <f>IF($A471&lt;&gt;"",'Approved-In-Depth'!G471,"")</f>
        <v/>
      </c>
      <c r="H471" s="4" t="str">
        <f>IF($A471&lt;&gt;"",'Approved-In-Depth'!H471,"")</f>
        <v/>
      </c>
      <c r="I471" t="str">
        <f>IF($A471&lt;&gt;"",'Approved-In-Depth'!I471,"")</f>
        <v/>
      </c>
      <c r="J471" t="str">
        <f>IF($A471&lt;&gt;"",'Approved-In-Depth'!J471,"")</f>
        <v/>
      </c>
      <c r="K471" t="str">
        <f>IF($A471&lt;&gt;"",'Approved-In-Depth'!K471,"")</f>
        <v/>
      </c>
      <c r="L471" s="4" t="str">
        <f>IF($A471&lt;&gt;"",'Approved-In-Depth'!L471,"")</f>
        <v/>
      </c>
      <c r="M471" t="str">
        <f>IF($A471&lt;&gt;"",'Approved-In-Depth'!M471,"")</f>
        <v/>
      </c>
    </row>
    <row r="472" spans="1:13" x14ac:dyDescent="0.35">
      <c r="A472" s="4" t="str">
        <f>IF('Approved-In-Depth'!$A472&lt;&gt;"",'Approved-In-Depth'!A472,"")</f>
        <v/>
      </c>
      <c r="B472" t="str">
        <f>IF($O472&lt;&gt;"",$O472,IF($A472&lt;&gt;"",'Approved-In-Depth'!$B472+7,""))</f>
        <v/>
      </c>
      <c r="C472" t="str">
        <f>IF($A472&lt;&gt;"",'Approved-In-Depth'!C472,"")</f>
        <v/>
      </c>
      <c r="D472" t="str">
        <f>IF($A472&lt;&gt;"",'Approved-In-Depth'!D472,"")</f>
        <v/>
      </c>
      <c r="E472" t="str">
        <f>IF($A472&lt;&gt;"",'Approved-In-Depth'!E472,"")</f>
        <v/>
      </c>
      <c r="F472" t="str">
        <f>IF($A472&lt;&gt;"",'Approved-In-Depth'!F472,"")</f>
        <v/>
      </c>
      <c r="G472" t="str">
        <f>IF($A472&lt;&gt;"",'Approved-In-Depth'!G472,"")</f>
        <v/>
      </c>
      <c r="H472" s="4" t="str">
        <f>IF($A472&lt;&gt;"",'Approved-In-Depth'!H472,"")</f>
        <v/>
      </c>
      <c r="I472" t="str">
        <f>IF($A472&lt;&gt;"",'Approved-In-Depth'!I472,"")</f>
        <v/>
      </c>
      <c r="J472" t="str">
        <f>IF($A472&lt;&gt;"",'Approved-In-Depth'!J472,"")</f>
        <v/>
      </c>
      <c r="K472" t="str">
        <f>IF($A472&lt;&gt;"",'Approved-In-Depth'!K472,"")</f>
        <v/>
      </c>
      <c r="L472" s="4" t="str">
        <f>IF($A472&lt;&gt;"",'Approved-In-Depth'!L472,"")</f>
        <v/>
      </c>
      <c r="M472" t="str">
        <f>IF($A472&lt;&gt;"",'Approved-In-Depth'!M472,"")</f>
        <v/>
      </c>
    </row>
    <row r="473" spans="1:13" x14ac:dyDescent="0.35">
      <c r="A473" s="4" t="str">
        <f>IF('Approved-In-Depth'!$A473&lt;&gt;"",'Approved-In-Depth'!A473,"")</f>
        <v/>
      </c>
      <c r="B473" t="str">
        <f>IF($O473&lt;&gt;"",$O473,IF($A473&lt;&gt;"",'Approved-In-Depth'!$B473+7,""))</f>
        <v/>
      </c>
      <c r="C473" t="str">
        <f>IF($A473&lt;&gt;"",'Approved-In-Depth'!C473,"")</f>
        <v/>
      </c>
      <c r="D473" t="str">
        <f>IF($A473&lt;&gt;"",'Approved-In-Depth'!D473,"")</f>
        <v/>
      </c>
      <c r="E473" t="str">
        <f>IF($A473&lt;&gt;"",'Approved-In-Depth'!E473,"")</f>
        <v/>
      </c>
      <c r="F473" t="str">
        <f>IF($A473&lt;&gt;"",'Approved-In-Depth'!F473,"")</f>
        <v/>
      </c>
      <c r="G473" t="str">
        <f>IF($A473&lt;&gt;"",'Approved-In-Depth'!G473,"")</f>
        <v/>
      </c>
      <c r="H473" s="4" t="str">
        <f>IF($A473&lt;&gt;"",'Approved-In-Depth'!H473,"")</f>
        <v/>
      </c>
      <c r="I473" t="str">
        <f>IF($A473&lt;&gt;"",'Approved-In-Depth'!I473,"")</f>
        <v/>
      </c>
      <c r="J473" t="str">
        <f>IF($A473&lt;&gt;"",'Approved-In-Depth'!J473,"")</f>
        <v/>
      </c>
      <c r="K473" t="str">
        <f>IF($A473&lt;&gt;"",'Approved-In-Depth'!K473,"")</f>
        <v/>
      </c>
      <c r="L473" s="4" t="str">
        <f>IF($A473&lt;&gt;"",'Approved-In-Depth'!L473,"")</f>
        <v/>
      </c>
      <c r="M473" t="str">
        <f>IF($A473&lt;&gt;"",'Approved-In-Depth'!M473,"")</f>
        <v/>
      </c>
    </row>
    <row r="474" spans="1:13" x14ac:dyDescent="0.35">
      <c r="A474" s="4" t="str">
        <f>IF('Approved-In-Depth'!$A474&lt;&gt;"",'Approved-In-Depth'!A474,"")</f>
        <v/>
      </c>
      <c r="B474" t="str">
        <f>IF($O474&lt;&gt;"",$O474,IF($A474&lt;&gt;"",'Approved-In-Depth'!$B474+7,""))</f>
        <v/>
      </c>
      <c r="C474" t="str">
        <f>IF($A474&lt;&gt;"",'Approved-In-Depth'!C474,"")</f>
        <v/>
      </c>
      <c r="D474" t="str">
        <f>IF($A474&lt;&gt;"",'Approved-In-Depth'!D474,"")</f>
        <v/>
      </c>
      <c r="E474" t="str">
        <f>IF($A474&lt;&gt;"",'Approved-In-Depth'!E474,"")</f>
        <v/>
      </c>
      <c r="F474" t="str">
        <f>IF($A474&lt;&gt;"",'Approved-In-Depth'!F474,"")</f>
        <v/>
      </c>
      <c r="G474" t="str">
        <f>IF($A474&lt;&gt;"",'Approved-In-Depth'!G474,"")</f>
        <v/>
      </c>
      <c r="H474" s="4" t="str">
        <f>IF($A474&lt;&gt;"",'Approved-In-Depth'!H474,"")</f>
        <v/>
      </c>
      <c r="I474" t="str">
        <f>IF($A474&lt;&gt;"",'Approved-In-Depth'!I474,"")</f>
        <v/>
      </c>
      <c r="J474" t="str">
        <f>IF($A474&lt;&gt;"",'Approved-In-Depth'!J474,"")</f>
        <v/>
      </c>
      <c r="K474" t="str">
        <f>IF($A474&lt;&gt;"",'Approved-In-Depth'!K474,"")</f>
        <v/>
      </c>
      <c r="L474" s="4" t="str">
        <f>IF($A474&lt;&gt;"",'Approved-In-Depth'!L474,"")</f>
        <v/>
      </c>
      <c r="M474" t="str">
        <f>IF($A474&lt;&gt;"",'Approved-In-Depth'!M474,"")</f>
        <v/>
      </c>
    </row>
    <row r="475" spans="1:13" x14ac:dyDescent="0.35">
      <c r="A475" s="4" t="str">
        <f>IF('Approved-In-Depth'!$A475&lt;&gt;"",'Approved-In-Depth'!A475,"")</f>
        <v/>
      </c>
      <c r="B475" t="str">
        <f>IF($O475&lt;&gt;"",$O475,IF($A475&lt;&gt;"",'Approved-In-Depth'!$B475+7,""))</f>
        <v/>
      </c>
      <c r="C475" t="str">
        <f>IF($A475&lt;&gt;"",'Approved-In-Depth'!C475,"")</f>
        <v/>
      </c>
      <c r="D475" t="str">
        <f>IF($A475&lt;&gt;"",'Approved-In-Depth'!D475,"")</f>
        <v/>
      </c>
      <c r="E475" t="str">
        <f>IF($A475&lt;&gt;"",'Approved-In-Depth'!E475,"")</f>
        <v/>
      </c>
      <c r="F475" t="str">
        <f>IF($A475&lt;&gt;"",'Approved-In-Depth'!F475,"")</f>
        <v/>
      </c>
      <c r="G475" t="str">
        <f>IF($A475&lt;&gt;"",'Approved-In-Depth'!G475,"")</f>
        <v/>
      </c>
      <c r="H475" s="4" t="str">
        <f>IF($A475&lt;&gt;"",'Approved-In-Depth'!H475,"")</f>
        <v/>
      </c>
      <c r="I475" t="str">
        <f>IF($A475&lt;&gt;"",'Approved-In-Depth'!I475,"")</f>
        <v/>
      </c>
      <c r="J475" t="str">
        <f>IF($A475&lt;&gt;"",'Approved-In-Depth'!J475,"")</f>
        <v/>
      </c>
      <c r="K475" t="str">
        <f>IF($A475&lt;&gt;"",'Approved-In-Depth'!K475,"")</f>
        <v/>
      </c>
      <c r="L475" s="4" t="str">
        <f>IF($A475&lt;&gt;"",'Approved-In-Depth'!L475,"")</f>
        <v/>
      </c>
      <c r="M475" t="str">
        <f>IF($A475&lt;&gt;"",'Approved-In-Depth'!M475,"")</f>
        <v/>
      </c>
    </row>
    <row r="476" spans="1:13" x14ac:dyDescent="0.35">
      <c r="A476" s="4" t="str">
        <f>IF('Approved-In-Depth'!$A476&lt;&gt;"",'Approved-In-Depth'!A476,"")</f>
        <v/>
      </c>
      <c r="B476" t="str">
        <f>IF($O476&lt;&gt;"",$O476,IF($A476&lt;&gt;"",'Approved-In-Depth'!$B476+7,""))</f>
        <v/>
      </c>
      <c r="C476" t="str">
        <f>IF($A476&lt;&gt;"",'Approved-In-Depth'!C476,"")</f>
        <v/>
      </c>
      <c r="D476" t="str">
        <f>IF($A476&lt;&gt;"",'Approved-In-Depth'!D476,"")</f>
        <v/>
      </c>
      <c r="E476" t="str">
        <f>IF($A476&lt;&gt;"",'Approved-In-Depth'!E476,"")</f>
        <v/>
      </c>
      <c r="F476" t="str">
        <f>IF($A476&lt;&gt;"",'Approved-In-Depth'!F476,"")</f>
        <v/>
      </c>
      <c r="G476" t="str">
        <f>IF($A476&lt;&gt;"",'Approved-In-Depth'!G476,"")</f>
        <v/>
      </c>
      <c r="H476" s="4" t="str">
        <f>IF($A476&lt;&gt;"",'Approved-In-Depth'!H476,"")</f>
        <v/>
      </c>
      <c r="I476" t="str">
        <f>IF($A476&lt;&gt;"",'Approved-In-Depth'!I476,"")</f>
        <v/>
      </c>
      <c r="J476" t="str">
        <f>IF($A476&lt;&gt;"",'Approved-In-Depth'!J476,"")</f>
        <v/>
      </c>
      <c r="K476" t="str">
        <f>IF($A476&lt;&gt;"",'Approved-In-Depth'!K476,"")</f>
        <v/>
      </c>
      <c r="L476" s="4" t="str">
        <f>IF($A476&lt;&gt;"",'Approved-In-Depth'!L476,"")</f>
        <v/>
      </c>
      <c r="M476" t="str">
        <f>IF($A476&lt;&gt;"",'Approved-In-Depth'!M476,"")</f>
        <v/>
      </c>
    </row>
    <row r="477" spans="1:13" x14ac:dyDescent="0.35">
      <c r="A477" s="4" t="str">
        <f>IF('Approved-In-Depth'!$A477&lt;&gt;"",'Approved-In-Depth'!A477,"")</f>
        <v/>
      </c>
      <c r="B477" t="str">
        <f>IF($O477&lt;&gt;"",$O477,IF($A477&lt;&gt;"",'Approved-In-Depth'!$B477+7,""))</f>
        <v/>
      </c>
      <c r="C477" t="str">
        <f>IF($A477&lt;&gt;"",'Approved-In-Depth'!C477,"")</f>
        <v/>
      </c>
      <c r="D477" t="str">
        <f>IF($A477&lt;&gt;"",'Approved-In-Depth'!D477,"")</f>
        <v/>
      </c>
      <c r="E477" t="str">
        <f>IF($A477&lt;&gt;"",'Approved-In-Depth'!E477,"")</f>
        <v/>
      </c>
      <c r="F477" t="str">
        <f>IF($A477&lt;&gt;"",'Approved-In-Depth'!F477,"")</f>
        <v/>
      </c>
      <c r="G477" t="str">
        <f>IF($A477&lt;&gt;"",'Approved-In-Depth'!G477,"")</f>
        <v/>
      </c>
      <c r="H477" s="4" t="str">
        <f>IF($A477&lt;&gt;"",'Approved-In-Depth'!H477,"")</f>
        <v/>
      </c>
      <c r="I477" t="str">
        <f>IF($A477&lt;&gt;"",'Approved-In-Depth'!I477,"")</f>
        <v/>
      </c>
      <c r="J477" t="str">
        <f>IF($A477&lt;&gt;"",'Approved-In-Depth'!J477,"")</f>
        <v/>
      </c>
      <c r="K477" t="str">
        <f>IF($A477&lt;&gt;"",'Approved-In-Depth'!K477,"")</f>
        <v/>
      </c>
      <c r="L477" s="4" t="str">
        <f>IF($A477&lt;&gt;"",'Approved-In-Depth'!L477,"")</f>
        <v/>
      </c>
      <c r="M477" t="str">
        <f>IF($A477&lt;&gt;"",'Approved-In-Depth'!M477,"")</f>
        <v/>
      </c>
    </row>
    <row r="478" spans="1:13" x14ac:dyDescent="0.35">
      <c r="A478" s="4" t="str">
        <f>IF('Approved-In-Depth'!$A478&lt;&gt;"",'Approved-In-Depth'!A478,"")</f>
        <v/>
      </c>
      <c r="B478" t="str">
        <f>IF($O478&lt;&gt;"",$O478,IF($A478&lt;&gt;"",'Approved-In-Depth'!$B478+7,""))</f>
        <v/>
      </c>
      <c r="C478" t="str">
        <f>IF($A478&lt;&gt;"",'Approved-In-Depth'!C478,"")</f>
        <v/>
      </c>
      <c r="D478" t="str">
        <f>IF($A478&lt;&gt;"",'Approved-In-Depth'!D478,"")</f>
        <v/>
      </c>
      <c r="E478" t="str">
        <f>IF($A478&lt;&gt;"",'Approved-In-Depth'!E478,"")</f>
        <v/>
      </c>
      <c r="F478" t="str">
        <f>IF($A478&lt;&gt;"",'Approved-In-Depth'!F478,"")</f>
        <v/>
      </c>
      <c r="G478" t="str">
        <f>IF($A478&lt;&gt;"",'Approved-In-Depth'!G478,"")</f>
        <v/>
      </c>
      <c r="H478" s="4" t="str">
        <f>IF($A478&lt;&gt;"",'Approved-In-Depth'!H478,"")</f>
        <v/>
      </c>
      <c r="I478" t="str">
        <f>IF($A478&lt;&gt;"",'Approved-In-Depth'!I478,"")</f>
        <v/>
      </c>
      <c r="J478" t="str">
        <f>IF($A478&lt;&gt;"",'Approved-In-Depth'!J478,"")</f>
        <v/>
      </c>
      <c r="K478" t="str">
        <f>IF($A478&lt;&gt;"",'Approved-In-Depth'!K478,"")</f>
        <v/>
      </c>
      <c r="L478" s="4" t="str">
        <f>IF($A478&lt;&gt;"",'Approved-In-Depth'!L478,"")</f>
        <v/>
      </c>
      <c r="M478" t="str">
        <f>IF($A478&lt;&gt;"",'Approved-In-Depth'!M478,"")</f>
        <v/>
      </c>
    </row>
    <row r="479" spans="1:13" x14ac:dyDescent="0.35">
      <c r="A479" s="4" t="str">
        <f>IF('Approved-In-Depth'!$A479&lt;&gt;"",'Approved-In-Depth'!A479,"")</f>
        <v/>
      </c>
      <c r="B479" t="str">
        <f>IF($O479&lt;&gt;"",$O479,IF($A479&lt;&gt;"",'Approved-In-Depth'!$B479+7,""))</f>
        <v/>
      </c>
      <c r="C479" t="str">
        <f>IF($A479&lt;&gt;"",'Approved-In-Depth'!C479,"")</f>
        <v/>
      </c>
      <c r="D479" t="str">
        <f>IF($A479&lt;&gt;"",'Approved-In-Depth'!D479,"")</f>
        <v/>
      </c>
      <c r="E479" t="str">
        <f>IF($A479&lt;&gt;"",'Approved-In-Depth'!E479,"")</f>
        <v/>
      </c>
      <c r="F479" t="str">
        <f>IF($A479&lt;&gt;"",'Approved-In-Depth'!F479,"")</f>
        <v/>
      </c>
      <c r="G479" t="str">
        <f>IF($A479&lt;&gt;"",'Approved-In-Depth'!G479,"")</f>
        <v/>
      </c>
      <c r="H479" s="4" t="str">
        <f>IF($A479&lt;&gt;"",'Approved-In-Depth'!H479,"")</f>
        <v/>
      </c>
      <c r="I479" t="str">
        <f>IF($A479&lt;&gt;"",'Approved-In-Depth'!I479,"")</f>
        <v/>
      </c>
      <c r="J479" t="str">
        <f>IF($A479&lt;&gt;"",'Approved-In-Depth'!J479,"")</f>
        <v/>
      </c>
      <c r="K479" t="str">
        <f>IF($A479&lt;&gt;"",'Approved-In-Depth'!K479,"")</f>
        <v/>
      </c>
      <c r="L479" s="4" t="str">
        <f>IF($A479&lt;&gt;"",'Approved-In-Depth'!L479,"")</f>
        <v/>
      </c>
      <c r="M479" t="str">
        <f>IF($A479&lt;&gt;"",'Approved-In-Depth'!M479,"")</f>
        <v/>
      </c>
    </row>
    <row r="480" spans="1:13" x14ac:dyDescent="0.35">
      <c r="A480" s="4" t="str">
        <f>IF('Approved-In-Depth'!$A480&lt;&gt;"",'Approved-In-Depth'!A480,"")</f>
        <v/>
      </c>
      <c r="B480" t="str">
        <f>IF($O480&lt;&gt;"",$O480,IF($A480&lt;&gt;"",'Approved-In-Depth'!$B480+7,""))</f>
        <v/>
      </c>
      <c r="C480" t="str">
        <f>IF($A480&lt;&gt;"",'Approved-In-Depth'!C480,"")</f>
        <v/>
      </c>
      <c r="D480" t="str">
        <f>IF($A480&lt;&gt;"",'Approved-In-Depth'!D480,"")</f>
        <v/>
      </c>
      <c r="E480" t="str">
        <f>IF($A480&lt;&gt;"",'Approved-In-Depth'!E480,"")</f>
        <v/>
      </c>
      <c r="F480" t="str">
        <f>IF($A480&lt;&gt;"",'Approved-In-Depth'!F480,"")</f>
        <v/>
      </c>
      <c r="G480" t="str">
        <f>IF($A480&lt;&gt;"",'Approved-In-Depth'!G480,"")</f>
        <v/>
      </c>
      <c r="H480" s="4" t="str">
        <f>IF($A480&lt;&gt;"",'Approved-In-Depth'!H480,"")</f>
        <v/>
      </c>
      <c r="I480" t="str">
        <f>IF($A480&lt;&gt;"",'Approved-In-Depth'!I480,"")</f>
        <v/>
      </c>
      <c r="J480" t="str">
        <f>IF($A480&lt;&gt;"",'Approved-In-Depth'!J480,"")</f>
        <v/>
      </c>
      <c r="K480" t="str">
        <f>IF($A480&lt;&gt;"",'Approved-In-Depth'!K480,"")</f>
        <v/>
      </c>
      <c r="L480" s="4" t="str">
        <f>IF($A480&lt;&gt;"",'Approved-In-Depth'!L480,"")</f>
        <v/>
      </c>
      <c r="M480" t="str">
        <f>IF($A480&lt;&gt;"",'Approved-In-Depth'!M480,"")</f>
        <v/>
      </c>
    </row>
    <row r="481" spans="1:13" x14ac:dyDescent="0.35">
      <c r="A481" s="4" t="str">
        <f>IF('Approved-In-Depth'!$A481&lt;&gt;"",'Approved-In-Depth'!A481,"")</f>
        <v/>
      </c>
      <c r="B481" t="str">
        <f>IF($O481&lt;&gt;"",$O481,IF($A481&lt;&gt;"",'Approved-In-Depth'!$B481+7,""))</f>
        <v/>
      </c>
      <c r="C481" t="str">
        <f>IF($A481&lt;&gt;"",'Approved-In-Depth'!C481,"")</f>
        <v/>
      </c>
      <c r="D481" t="str">
        <f>IF($A481&lt;&gt;"",'Approved-In-Depth'!D481,"")</f>
        <v/>
      </c>
      <c r="E481" t="str">
        <f>IF($A481&lt;&gt;"",'Approved-In-Depth'!E481,"")</f>
        <v/>
      </c>
      <c r="F481" t="str">
        <f>IF($A481&lt;&gt;"",'Approved-In-Depth'!F481,"")</f>
        <v/>
      </c>
      <c r="G481" t="str">
        <f>IF($A481&lt;&gt;"",'Approved-In-Depth'!G481,"")</f>
        <v/>
      </c>
      <c r="H481" s="4" t="str">
        <f>IF($A481&lt;&gt;"",'Approved-In-Depth'!H481,"")</f>
        <v/>
      </c>
      <c r="I481" t="str">
        <f>IF($A481&lt;&gt;"",'Approved-In-Depth'!I481,"")</f>
        <v/>
      </c>
      <c r="J481" t="str">
        <f>IF($A481&lt;&gt;"",'Approved-In-Depth'!J481,"")</f>
        <v/>
      </c>
      <c r="K481" t="str">
        <f>IF($A481&lt;&gt;"",'Approved-In-Depth'!K481,"")</f>
        <v/>
      </c>
      <c r="L481" s="4" t="str">
        <f>IF($A481&lt;&gt;"",'Approved-In-Depth'!L481,"")</f>
        <v/>
      </c>
      <c r="M481" t="str">
        <f>IF($A481&lt;&gt;"",'Approved-In-Depth'!M481,"")</f>
        <v/>
      </c>
    </row>
    <row r="482" spans="1:13" x14ac:dyDescent="0.35">
      <c r="A482" s="4" t="str">
        <f>IF('Approved-In-Depth'!$A482&lt;&gt;"",'Approved-In-Depth'!A482,"")</f>
        <v/>
      </c>
      <c r="B482" t="str">
        <f>IF($O482&lt;&gt;"",$O482,IF($A482&lt;&gt;"",'Approved-In-Depth'!$B482+7,""))</f>
        <v/>
      </c>
      <c r="C482" t="str">
        <f>IF($A482&lt;&gt;"",'Approved-In-Depth'!C482,"")</f>
        <v/>
      </c>
      <c r="D482" t="str">
        <f>IF($A482&lt;&gt;"",'Approved-In-Depth'!D482,"")</f>
        <v/>
      </c>
      <c r="E482" t="str">
        <f>IF($A482&lt;&gt;"",'Approved-In-Depth'!E482,"")</f>
        <v/>
      </c>
      <c r="F482" t="str">
        <f>IF($A482&lt;&gt;"",'Approved-In-Depth'!F482,"")</f>
        <v/>
      </c>
      <c r="G482" t="str">
        <f>IF($A482&lt;&gt;"",'Approved-In-Depth'!G482,"")</f>
        <v/>
      </c>
      <c r="H482" s="4" t="str">
        <f>IF($A482&lt;&gt;"",'Approved-In-Depth'!H482,"")</f>
        <v/>
      </c>
      <c r="I482" t="str">
        <f>IF($A482&lt;&gt;"",'Approved-In-Depth'!I482,"")</f>
        <v/>
      </c>
      <c r="J482" t="str">
        <f>IF($A482&lt;&gt;"",'Approved-In-Depth'!J482,"")</f>
        <v/>
      </c>
      <c r="K482" t="str">
        <f>IF($A482&lt;&gt;"",'Approved-In-Depth'!K482,"")</f>
        <v/>
      </c>
      <c r="L482" s="4" t="str">
        <f>IF($A482&lt;&gt;"",'Approved-In-Depth'!L482,"")</f>
        <v/>
      </c>
      <c r="M482" t="str">
        <f>IF($A482&lt;&gt;"",'Approved-In-Depth'!M482,"")</f>
        <v/>
      </c>
    </row>
    <row r="483" spans="1:13" x14ac:dyDescent="0.35">
      <c r="A483" s="4" t="str">
        <f>IF('Approved-In-Depth'!$A483&lt;&gt;"",'Approved-In-Depth'!A483,"")</f>
        <v/>
      </c>
      <c r="B483" t="str">
        <f>IF($O483&lt;&gt;"",$O483,IF($A483&lt;&gt;"",'Approved-In-Depth'!$B483+7,""))</f>
        <v/>
      </c>
      <c r="C483" t="str">
        <f>IF($A483&lt;&gt;"",'Approved-In-Depth'!C483,"")</f>
        <v/>
      </c>
      <c r="D483" t="str">
        <f>IF($A483&lt;&gt;"",'Approved-In-Depth'!D483,"")</f>
        <v/>
      </c>
      <c r="E483" t="str">
        <f>IF($A483&lt;&gt;"",'Approved-In-Depth'!E483,"")</f>
        <v/>
      </c>
      <c r="F483" t="str">
        <f>IF($A483&lt;&gt;"",'Approved-In-Depth'!F483,"")</f>
        <v/>
      </c>
      <c r="G483" t="str">
        <f>IF($A483&lt;&gt;"",'Approved-In-Depth'!G483,"")</f>
        <v/>
      </c>
      <c r="H483" s="4" t="str">
        <f>IF($A483&lt;&gt;"",'Approved-In-Depth'!H483,"")</f>
        <v/>
      </c>
      <c r="I483" t="str">
        <f>IF($A483&lt;&gt;"",'Approved-In-Depth'!I483,"")</f>
        <v/>
      </c>
      <c r="J483" t="str">
        <f>IF($A483&lt;&gt;"",'Approved-In-Depth'!J483,"")</f>
        <v/>
      </c>
      <c r="K483" t="str">
        <f>IF($A483&lt;&gt;"",'Approved-In-Depth'!K483,"")</f>
        <v/>
      </c>
      <c r="L483" s="4" t="str">
        <f>IF($A483&lt;&gt;"",'Approved-In-Depth'!L483,"")</f>
        <v/>
      </c>
      <c r="M483" t="str">
        <f>IF($A483&lt;&gt;"",'Approved-In-Depth'!M483,"")</f>
        <v/>
      </c>
    </row>
    <row r="484" spans="1:13" x14ac:dyDescent="0.35">
      <c r="A484" s="4" t="str">
        <f>IF('Approved-In-Depth'!$A484&lt;&gt;"",'Approved-In-Depth'!A484,"")</f>
        <v/>
      </c>
      <c r="B484" t="str">
        <f>IF($O484&lt;&gt;"",$O484,IF($A484&lt;&gt;"",'Approved-In-Depth'!$B484+7,""))</f>
        <v/>
      </c>
      <c r="C484" t="str">
        <f>IF($A484&lt;&gt;"",'Approved-In-Depth'!C484,"")</f>
        <v/>
      </c>
      <c r="D484" t="str">
        <f>IF($A484&lt;&gt;"",'Approved-In-Depth'!D484,"")</f>
        <v/>
      </c>
      <c r="E484" t="str">
        <f>IF($A484&lt;&gt;"",'Approved-In-Depth'!E484,"")</f>
        <v/>
      </c>
      <c r="F484" t="str">
        <f>IF($A484&lt;&gt;"",'Approved-In-Depth'!F484,"")</f>
        <v/>
      </c>
      <c r="G484" t="str">
        <f>IF($A484&lt;&gt;"",'Approved-In-Depth'!G484,"")</f>
        <v/>
      </c>
      <c r="H484" s="4" t="str">
        <f>IF($A484&lt;&gt;"",'Approved-In-Depth'!H484,"")</f>
        <v/>
      </c>
      <c r="I484" t="str">
        <f>IF($A484&lt;&gt;"",'Approved-In-Depth'!I484,"")</f>
        <v/>
      </c>
      <c r="J484" t="str">
        <f>IF($A484&lt;&gt;"",'Approved-In-Depth'!J484,"")</f>
        <v/>
      </c>
      <c r="K484" t="str">
        <f>IF($A484&lt;&gt;"",'Approved-In-Depth'!K484,"")</f>
        <v/>
      </c>
      <c r="L484" s="4" t="str">
        <f>IF($A484&lt;&gt;"",'Approved-In-Depth'!L484,"")</f>
        <v/>
      </c>
      <c r="M484" t="str">
        <f>IF($A484&lt;&gt;"",'Approved-In-Depth'!M484,"")</f>
        <v/>
      </c>
    </row>
    <row r="485" spans="1:13" x14ac:dyDescent="0.35">
      <c r="A485" s="4" t="str">
        <f>IF('Approved-In-Depth'!$A485&lt;&gt;"",'Approved-In-Depth'!A485,"")</f>
        <v/>
      </c>
      <c r="B485" t="str">
        <f>IF($O485&lt;&gt;"",$O485,IF($A485&lt;&gt;"",'Approved-In-Depth'!$B485+7,""))</f>
        <v/>
      </c>
      <c r="C485" t="str">
        <f>IF($A485&lt;&gt;"",'Approved-In-Depth'!C485,"")</f>
        <v/>
      </c>
      <c r="D485" t="str">
        <f>IF($A485&lt;&gt;"",'Approved-In-Depth'!D485,"")</f>
        <v/>
      </c>
      <c r="E485" t="str">
        <f>IF($A485&lt;&gt;"",'Approved-In-Depth'!E485,"")</f>
        <v/>
      </c>
      <c r="F485" t="str">
        <f>IF($A485&lt;&gt;"",'Approved-In-Depth'!F485,"")</f>
        <v/>
      </c>
      <c r="G485" t="str">
        <f>IF($A485&lt;&gt;"",'Approved-In-Depth'!G485,"")</f>
        <v/>
      </c>
      <c r="H485" s="4" t="str">
        <f>IF($A485&lt;&gt;"",'Approved-In-Depth'!H485,"")</f>
        <v/>
      </c>
      <c r="I485" t="str">
        <f>IF($A485&lt;&gt;"",'Approved-In-Depth'!I485,"")</f>
        <v/>
      </c>
      <c r="J485" t="str">
        <f>IF($A485&lt;&gt;"",'Approved-In-Depth'!J485,"")</f>
        <v/>
      </c>
      <c r="K485" t="str">
        <f>IF($A485&lt;&gt;"",'Approved-In-Depth'!K485,"")</f>
        <v/>
      </c>
      <c r="L485" s="4" t="str">
        <f>IF($A485&lt;&gt;"",'Approved-In-Depth'!L485,"")</f>
        <v/>
      </c>
      <c r="M485" t="str">
        <f>IF($A485&lt;&gt;"",'Approved-In-Depth'!M485,"")</f>
        <v/>
      </c>
    </row>
    <row r="486" spans="1:13" x14ac:dyDescent="0.35">
      <c r="A486" s="4" t="str">
        <f>IF('Approved-In-Depth'!$A486&lt;&gt;"",'Approved-In-Depth'!A486,"")</f>
        <v/>
      </c>
      <c r="B486" t="str">
        <f>IF($O486&lt;&gt;"",$O486,IF($A486&lt;&gt;"",'Approved-In-Depth'!$B486+7,""))</f>
        <v/>
      </c>
      <c r="C486" t="str">
        <f>IF($A486&lt;&gt;"",'Approved-In-Depth'!C486,"")</f>
        <v/>
      </c>
      <c r="D486" t="str">
        <f>IF($A486&lt;&gt;"",'Approved-In-Depth'!D486,"")</f>
        <v/>
      </c>
      <c r="E486" t="str">
        <f>IF($A486&lt;&gt;"",'Approved-In-Depth'!E486,"")</f>
        <v/>
      </c>
      <c r="F486" t="str">
        <f>IF($A486&lt;&gt;"",'Approved-In-Depth'!F486,"")</f>
        <v/>
      </c>
      <c r="G486" t="str">
        <f>IF($A486&lt;&gt;"",'Approved-In-Depth'!G486,"")</f>
        <v/>
      </c>
      <c r="H486" s="4" t="str">
        <f>IF($A486&lt;&gt;"",'Approved-In-Depth'!H486,"")</f>
        <v/>
      </c>
      <c r="I486" t="str">
        <f>IF($A486&lt;&gt;"",'Approved-In-Depth'!I486,"")</f>
        <v/>
      </c>
      <c r="J486" t="str">
        <f>IF($A486&lt;&gt;"",'Approved-In-Depth'!J486,"")</f>
        <v/>
      </c>
      <c r="K486" t="str">
        <f>IF($A486&lt;&gt;"",'Approved-In-Depth'!K486,"")</f>
        <v/>
      </c>
      <c r="L486" s="4" t="str">
        <f>IF($A486&lt;&gt;"",'Approved-In-Depth'!L486,"")</f>
        <v/>
      </c>
      <c r="M486" t="str">
        <f>IF($A486&lt;&gt;"",'Approved-In-Depth'!M486,"")</f>
        <v/>
      </c>
    </row>
    <row r="487" spans="1:13" x14ac:dyDescent="0.35">
      <c r="A487" s="4" t="str">
        <f>IF('Approved-In-Depth'!$A487&lt;&gt;"",'Approved-In-Depth'!A487,"")</f>
        <v/>
      </c>
      <c r="B487" t="str">
        <f>IF($O487&lt;&gt;"",$O487,IF($A487&lt;&gt;"",'Approved-In-Depth'!$B487+7,""))</f>
        <v/>
      </c>
      <c r="C487" t="str">
        <f>IF($A487&lt;&gt;"",'Approved-In-Depth'!C487,"")</f>
        <v/>
      </c>
      <c r="D487" t="str">
        <f>IF($A487&lt;&gt;"",'Approved-In-Depth'!D487,"")</f>
        <v/>
      </c>
      <c r="E487" t="str">
        <f>IF($A487&lt;&gt;"",'Approved-In-Depth'!E487,"")</f>
        <v/>
      </c>
      <c r="F487" t="str">
        <f>IF($A487&lt;&gt;"",'Approved-In-Depth'!F487,"")</f>
        <v/>
      </c>
      <c r="G487" t="str">
        <f>IF($A487&lt;&gt;"",'Approved-In-Depth'!G487,"")</f>
        <v/>
      </c>
      <c r="H487" s="4" t="str">
        <f>IF($A487&lt;&gt;"",'Approved-In-Depth'!H487,"")</f>
        <v/>
      </c>
      <c r="I487" t="str">
        <f>IF($A487&lt;&gt;"",'Approved-In-Depth'!I487,"")</f>
        <v/>
      </c>
      <c r="J487" t="str">
        <f>IF($A487&lt;&gt;"",'Approved-In-Depth'!J487,"")</f>
        <v/>
      </c>
      <c r="K487" t="str">
        <f>IF($A487&lt;&gt;"",'Approved-In-Depth'!K487,"")</f>
        <v/>
      </c>
      <c r="L487" s="4" t="str">
        <f>IF($A487&lt;&gt;"",'Approved-In-Depth'!L487,"")</f>
        <v/>
      </c>
      <c r="M487" t="str">
        <f>IF($A487&lt;&gt;"",'Approved-In-Depth'!M487,"")</f>
        <v/>
      </c>
    </row>
    <row r="488" spans="1:13" x14ac:dyDescent="0.35">
      <c r="A488" s="4" t="str">
        <f>IF('Approved-In-Depth'!$A488&lt;&gt;"",'Approved-In-Depth'!A488,"")</f>
        <v/>
      </c>
      <c r="B488" t="str">
        <f>IF($O488&lt;&gt;"",$O488,IF($A488&lt;&gt;"",'Approved-In-Depth'!$B488+7,""))</f>
        <v/>
      </c>
      <c r="C488" t="str">
        <f>IF($A488&lt;&gt;"",'Approved-In-Depth'!C488,"")</f>
        <v/>
      </c>
      <c r="D488" t="str">
        <f>IF($A488&lt;&gt;"",'Approved-In-Depth'!D488,"")</f>
        <v/>
      </c>
      <c r="E488" t="str">
        <f>IF($A488&lt;&gt;"",'Approved-In-Depth'!E488,"")</f>
        <v/>
      </c>
      <c r="F488" t="str">
        <f>IF($A488&lt;&gt;"",'Approved-In-Depth'!F488,"")</f>
        <v/>
      </c>
      <c r="G488" t="str">
        <f>IF($A488&lt;&gt;"",'Approved-In-Depth'!G488,"")</f>
        <v/>
      </c>
      <c r="H488" s="4" t="str">
        <f>IF($A488&lt;&gt;"",'Approved-In-Depth'!H488,"")</f>
        <v/>
      </c>
      <c r="I488" t="str">
        <f>IF($A488&lt;&gt;"",'Approved-In-Depth'!I488,"")</f>
        <v/>
      </c>
      <c r="J488" t="str">
        <f>IF($A488&lt;&gt;"",'Approved-In-Depth'!J488,"")</f>
        <v/>
      </c>
      <c r="K488" t="str">
        <f>IF($A488&lt;&gt;"",'Approved-In-Depth'!K488,"")</f>
        <v/>
      </c>
      <c r="L488" s="4" t="str">
        <f>IF($A488&lt;&gt;"",'Approved-In-Depth'!L488,"")</f>
        <v/>
      </c>
      <c r="M488" t="str">
        <f>IF($A488&lt;&gt;"",'Approved-In-Depth'!M488,"")</f>
        <v/>
      </c>
    </row>
    <row r="489" spans="1:13" x14ac:dyDescent="0.35">
      <c r="A489" s="4" t="str">
        <f>IF('Approved-In-Depth'!$A489&lt;&gt;"",'Approved-In-Depth'!A489,"")</f>
        <v/>
      </c>
      <c r="B489" t="str">
        <f>IF($O489&lt;&gt;"",$O489,IF($A489&lt;&gt;"",'Approved-In-Depth'!$B489+7,""))</f>
        <v/>
      </c>
      <c r="C489" t="str">
        <f>IF($A489&lt;&gt;"",'Approved-In-Depth'!C489,"")</f>
        <v/>
      </c>
      <c r="D489" t="str">
        <f>IF($A489&lt;&gt;"",'Approved-In-Depth'!D489,"")</f>
        <v/>
      </c>
      <c r="E489" t="str">
        <f>IF($A489&lt;&gt;"",'Approved-In-Depth'!E489,"")</f>
        <v/>
      </c>
      <c r="F489" t="str">
        <f>IF($A489&lt;&gt;"",'Approved-In-Depth'!F489,"")</f>
        <v/>
      </c>
      <c r="G489" t="str">
        <f>IF($A489&lt;&gt;"",'Approved-In-Depth'!G489,"")</f>
        <v/>
      </c>
      <c r="H489" s="4" t="str">
        <f>IF($A489&lt;&gt;"",'Approved-In-Depth'!H489,"")</f>
        <v/>
      </c>
      <c r="I489" t="str">
        <f>IF($A489&lt;&gt;"",'Approved-In-Depth'!I489,"")</f>
        <v/>
      </c>
      <c r="J489" t="str">
        <f>IF($A489&lt;&gt;"",'Approved-In-Depth'!J489,"")</f>
        <v/>
      </c>
      <c r="K489" t="str">
        <f>IF($A489&lt;&gt;"",'Approved-In-Depth'!K489,"")</f>
        <v/>
      </c>
      <c r="L489" s="4" t="str">
        <f>IF($A489&lt;&gt;"",'Approved-In-Depth'!L489,"")</f>
        <v/>
      </c>
      <c r="M489" t="str">
        <f>IF($A489&lt;&gt;"",'Approved-In-Depth'!M489,"")</f>
        <v/>
      </c>
    </row>
    <row r="490" spans="1:13" x14ac:dyDescent="0.35">
      <c r="A490" s="4" t="str">
        <f>IF('Approved-In-Depth'!$A490&lt;&gt;"",'Approved-In-Depth'!A490,"")</f>
        <v/>
      </c>
      <c r="B490" t="str">
        <f>IF($O490&lt;&gt;"",$O490,IF($A490&lt;&gt;"",'Approved-In-Depth'!$B490+7,""))</f>
        <v/>
      </c>
      <c r="C490" t="str">
        <f>IF($A490&lt;&gt;"",'Approved-In-Depth'!C490,"")</f>
        <v/>
      </c>
      <c r="D490" t="str">
        <f>IF($A490&lt;&gt;"",'Approved-In-Depth'!D490,"")</f>
        <v/>
      </c>
      <c r="E490" t="str">
        <f>IF($A490&lt;&gt;"",'Approved-In-Depth'!E490,"")</f>
        <v/>
      </c>
      <c r="F490" t="str">
        <f>IF($A490&lt;&gt;"",'Approved-In-Depth'!F490,"")</f>
        <v/>
      </c>
      <c r="G490" t="str">
        <f>IF($A490&lt;&gt;"",'Approved-In-Depth'!G490,"")</f>
        <v/>
      </c>
      <c r="H490" s="4" t="str">
        <f>IF($A490&lt;&gt;"",'Approved-In-Depth'!H490,"")</f>
        <v/>
      </c>
      <c r="I490" t="str">
        <f>IF($A490&lt;&gt;"",'Approved-In-Depth'!I490,"")</f>
        <v/>
      </c>
      <c r="J490" t="str">
        <f>IF($A490&lt;&gt;"",'Approved-In-Depth'!J490,"")</f>
        <v/>
      </c>
      <c r="K490" t="str">
        <f>IF($A490&lt;&gt;"",'Approved-In-Depth'!K490,"")</f>
        <v/>
      </c>
      <c r="L490" s="4" t="str">
        <f>IF($A490&lt;&gt;"",'Approved-In-Depth'!L490,"")</f>
        <v/>
      </c>
      <c r="M490" t="str">
        <f>IF($A490&lt;&gt;"",'Approved-In-Depth'!M490,"")</f>
        <v/>
      </c>
    </row>
    <row r="491" spans="1:13" x14ac:dyDescent="0.35">
      <c r="A491" s="4" t="str">
        <f>IF('Approved-In-Depth'!$A491&lt;&gt;"",'Approved-In-Depth'!A491,"")</f>
        <v/>
      </c>
      <c r="B491" t="str">
        <f>IF($O491&lt;&gt;"",$O491,IF($A491&lt;&gt;"",'Approved-In-Depth'!$B491+7,""))</f>
        <v/>
      </c>
      <c r="C491" t="str">
        <f>IF($A491&lt;&gt;"",'Approved-In-Depth'!C491,"")</f>
        <v/>
      </c>
      <c r="D491" t="str">
        <f>IF($A491&lt;&gt;"",'Approved-In-Depth'!D491,"")</f>
        <v/>
      </c>
      <c r="E491" t="str">
        <f>IF($A491&lt;&gt;"",'Approved-In-Depth'!E491,"")</f>
        <v/>
      </c>
      <c r="F491" t="str">
        <f>IF($A491&lt;&gt;"",'Approved-In-Depth'!F491,"")</f>
        <v/>
      </c>
      <c r="G491" t="str">
        <f>IF($A491&lt;&gt;"",'Approved-In-Depth'!G491,"")</f>
        <v/>
      </c>
      <c r="H491" s="4" t="str">
        <f>IF($A491&lt;&gt;"",'Approved-In-Depth'!H491,"")</f>
        <v/>
      </c>
      <c r="I491" t="str">
        <f>IF($A491&lt;&gt;"",'Approved-In-Depth'!I491,"")</f>
        <v/>
      </c>
      <c r="J491" t="str">
        <f>IF($A491&lt;&gt;"",'Approved-In-Depth'!J491,"")</f>
        <v/>
      </c>
      <c r="K491" t="str">
        <f>IF($A491&lt;&gt;"",'Approved-In-Depth'!K491,"")</f>
        <v/>
      </c>
      <c r="L491" s="4" t="str">
        <f>IF($A491&lt;&gt;"",'Approved-In-Depth'!L491,"")</f>
        <v/>
      </c>
      <c r="M491" t="str">
        <f>IF($A491&lt;&gt;"",'Approved-In-Depth'!M491,"")</f>
        <v/>
      </c>
    </row>
    <row r="492" spans="1:13" x14ac:dyDescent="0.35">
      <c r="A492" s="4" t="str">
        <f>IF('Approved-In-Depth'!$A492&lt;&gt;"",'Approved-In-Depth'!A492,"")</f>
        <v/>
      </c>
      <c r="B492" t="str">
        <f>IF($O492&lt;&gt;"",$O492,IF($A492&lt;&gt;"",'Approved-In-Depth'!$B492+7,""))</f>
        <v/>
      </c>
      <c r="C492" t="str">
        <f>IF($A492&lt;&gt;"",'Approved-In-Depth'!C492,"")</f>
        <v/>
      </c>
      <c r="D492" t="str">
        <f>IF($A492&lt;&gt;"",'Approved-In-Depth'!D492,"")</f>
        <v/>
      </c>
      <c r="E492" t="str">
        <f>IF($A492&lt;&gt;"",'Approved-In-Depth'!E492,"")</f>
        <v/>
      </c>
      <c r="F492" t="str">
        <f>IF($A492&lt;&gt;"",'Approved-In-Depth'!F492,"")</f>
        <v/>
      </c>
      <c r="G492" t="str">
        <f>IF($A492&lt;&gt;"",'Approved-In-Depth'!G492,"")</f>
        <v/>
      </c>
      <c r="H492" s="4" t="str">
        <f>IF($A492&lt;&gt;"",'Approved-In-Depth'!H492,"")</f>
        <v/>
      </c>
      <c r="I492" t="str">
        <f>IF($A492&lt;&gt;"",'Approved-In-Depth'!I492,"")</f>
        <v/>
      </c>
      <c r="J492" t="str">
        <f>IF($A492&lt;&gt;"",'Approved-In-Depth'!J492,"")</f>
        <v/>
      </c>
      <c r="K492" t="str">
        <f>IF($A492&lt;&gt;"",'Approved-In-Depth'!K492,"")</f>
        <v/>
      </c>
      <c r="L492" s="4" t="str">
        <f>IF($A492&lt;&gt;"",'Approved-In-Depth'!L492,"")</f>
        <v/>
      </c>
      <c r="M492" t="str">
        <f>IF($A492&lt;&gt;"",'Approved-In-Depth'!M492,"")</f>
        <v/>
      </c>
    </row>
    <row r="493" spans="1:13" x14ac:dyDescent="0.35">
      <c r="A493" s="4" t="str">
        <f>IF('Approved-In-Depth'!$A493&lt;&gt;"",'Approved-In-Depth'!A493,"")</f>
        <v/>
      </c>
      <c r="B493" t="str">
        <f>IF($O493&lt;&gt;"",$O493,IF($A493&lt;&gt;"",'Approved-In-Depth'!$B493+7,""))</f>
        <v/>
      </c>
      <c r="C493" t="str">
        <f>IF($A493&lt;&gt;"",'Approved-In-Depth'!C493,"")</f>
        <v/>
      </c>
      <c r="D493" t="str">
        <f>IF($A493&lt;&gt;"",'Approved-In-Depth'!D493,"")</f>
        <v/>
      </c>
      <c r="E493" t="str">
        <f>IF($A493&lt;&gt;"",'Approved-In-Depth'!E493,"")</f>
        <v/>
      </c>
      <c r="F493" t="str">
        <f>IF($A493&lt;&gt;"",'Approved-In-Depth'!F493,"")</f>
        <v/>
      </c>
      <c r="G493" t="str">
        <f>IF($A493&lt;&gt;"",'Approved-In-Depth'!G493,"")</f>
        <v/>
      </c>
      <c r="H493" s="4" t="str">
        <f>IF($A493&lt;&gt;"",'Approved-In-Depth'!H493,"")</f>
        <v/>
      </c>
      <c r="I493" t="str">
        <f>IF($A493&lt;&gt;"",'Approved-In-Depth'!I493,"")</f>
        <v/>
      </c>
      <c r="J493" t="str">
        <f>IF($A493&lt;&gt;"",'Approved-In-Depth'!J493,"")</f>
        <v/>
      </c>
      <c r="K493" t="str">
        <f>IF($A493&lt;&gt;"",'Approved-In-Depth'!K493,"")</f>
        <v/>
      </c>
      <c r="L493" s="4" t="str">
        <f>IF($A493&lt;&gt;"",'Approved-In-Depth'!L493,"")</f>
        <v/>
      </c>
      <c r="M493" t="str">
        <f>IF($A493&lt;&gt;"",'Approved-In-Depth'!M493,"")</f>
        <v/>
      </c>
    </row>
    <row r="494" spans="1:13" x14ac:dyDescent="0.35">
      <c r="A494" s="4" t="str">
        <f>IF('Approved-In-Depth'!$A494&lt;&gt;"",'Approved-In-Depth'!A494,"")</f>
        <v/>
      </c>
      <c r="B494" t="str">
        <f>IF($O494&lt;&gt;"",$O494,IF($A494&lt;&gt;"",'Approved-In-Depth'!$B494+7,""))</f>
        <v/>
      </c>
      <c r="C494" t="str">
        <f>IF($A494&lt;&gt;"",'Approved-In-Depth'!C494,"")</f>
        <v/>
      </c>
      <c r="D494" t="str">
        <f>IF($A494&lt;&gt;"",'Approved-In-Depth'!D494,"")</f>
        <v/>
      </c>
      <c r="E494" t="str">
        <f>IF($A494&lt;&gt;"",'Approved-In-Depth'!E494,"")</f>
        <v/>
      </c>
      <c r="F494" t="str">
        <f>IF($A494&lt;&gt;"",'Approved-In-Depth'!F494,"")</f>
        <v/>
      </c>
      <c r="G494" t="str">
        <f>IF($A494&lt;&gt;"",'Approved-In-Depth'!G494,"")</f>
        <v/>
      </c>
      <c r="H494" s="4" t="str">
        <f>IF($A494&lt;&gt;"",'Approved-In-Depth'!H494,"")</f>
        <v/>
      </c>
      <c r="I494" t="str">
        <f>IF($A494&lt;&gt;"",'Approved-In-Depth'!I494,"")</f>
        <v/>
      </c>
      <c r="J494" t="str">
        <f>IF($A494&lt;&gt;"",'Approved-In-Depth'!J494,"")</f>
        <v/>
      </c>
      <c r="K494" t="str">
        <f>IF($A494&lt;&gt;"",'Approved-In-Depth'!K494,"")</f>
        <v/>
      </c>
      <c r="L494" s="4" t="str">
        <f>IF($A494&lt;&gt;"",'Approved-In-Depth'!L494,"")</f>
        <v/>
      </c>
      <c r="M494" t="str">
        <f>IF($A494&lt;&gt;"",'Approved-In-Depth'!M494,"")</f>
        <v/>
      </c>
    </row>
    <row r="495" spans="1:13" x14ac:dyDescent="0.35">
      <c r="A495" s="4" t="str">
        <f>IF('Approved-In-Depth'!$A495&lt;&gt;"",'Approved-In-Depth'!A495,"")</f>
        <v/>
      </c>
      <c r="B495" t="str">
        <f>IF($O495&lt;&gt;"",$O495,IF($A495&lt;&gt;"",'Approved-In-Depth'!$B495+7,""))</f>
        <v/>
      </c>
      <c r="C495" t="str">
        <f>IF($A495&lt;&gt;"",'Approved-In-Depth'!C495,"")</f>
        <v/>
      </c>
      <c r="D495" t="str">
        <f>IF($A495&lt;&gt;"",'Approved-In-Depth'!D495,"")</f>
        <v/>
      </c>
      <c r="E495" t="str">
        <f>IF($A495&lt;&gt;"",'Approved-In-Depth'!E495,"")</f>
        <v/>
      </c>
      <c r="F495" t="str">
        <f>IF($A495&lt;&gt;"",'Approved-In-Depth'!F495,"")</f>
        <v/>
      </c>
      <c r="G495" t="str">
        <f>IF($A495&lt;&gt;"",'Approved-In-Depth'!G495,"")</f>
        <v/>
      </c>
      <c r="H495" s="4" t="str">
        <f>IF($A495&lt;&gt;"",'Approved-In-Depth'!H495,"")</f>
        <v/>
      </c>
      <c r="I495" t="str">
        <f>IF($A495&lt;&gt;"",'Approved-In-Depth'!I495,"")</f>
        <v/>
      </c>
      <c r="J495" t="str">
        <f>IF($A495&lt;&gt;"",'Approved-In-Depth'!J495,"")</f>
        <v/>
      </c>
      <c r="K495" t="str">
        <f>IF($A495&lt;&gt;"",'Approved-In-Depth'!K495,"")</f>
        <v/>
      </c>
      <c r="L495" s="4" t="str">
        <f>IF($A495&lt;&gt;"",'Approved-In-Depth'!L495,"")</f>
        <v/>
      </c>
      <c r="M495" t="str">
        <f>IF($A495&lt;&gt;"",'Approved-In-Depth'!M495,"")</f>
        <v/>
      </c>
    </row>
    <row r="496" spans="1:13" x14ac:dyDescent="0.35">
      <c r="A496" s="4" t="str">
        <f>IF('Approved-In-Depth'!$A496&lt;&gt;"",'Approved-In-Depth'!A496,"")</f>
        <v/>
      </c>
      <c r="B496" t="str">
        <f>IF($O496&lt;&gt;"",$O496,IF($A496&lt;&gt;"",'Approved-In-Depth'!$B496+7,""))</f>
        <v/>
      </c>
      <c r="C496" t="str">
        <f>IF($A496&lt;&gt;"",'Approved-In-Depth'!C496,"")</f>
        <v/>
      </c>
      <c r="D496" t="str">
        <f>IF($A496&lt;&gt;"",'Approved-In-Depth'!D496,"")</f>
        <v/>
      </c>
      <c r="E496" t="str">
        <f>IF($A496&lt;&gt;"",'Approved-In-Depth'!E496,"")</f>
        <v/>
      </c>
      <c r="F496" t="str">
        <f>IF($A496&lt;&gt;"",'Approved-In-Depth'!F496,"")</f>
        <v/>
      </c>
      <c r="G496" t="str">
        <f>IF($A496&lt;&gt;"",'Approved-In-Depth'!G496,"")</f>
        <v/>
      </c>
      <c r="H496" s="4" t="str">
        <f>IF($A496&lt;&gt;"",'Approved-In-Depth'!H496,"")</f>
        <v/>
      </c>
      <c r="I496" t="str">
        <f>IF($A496&lt;&gt;"",'Approved-In-Depth'!I496,"")</f>
        <v/>
      </c>
      <c r="J496" t="str">
        <f>IF($A496&lt;&gt;"",'Approved-In-Depth'!J496,"")</f>
        <v/>
      </c>
      <c r="K496" t="str">
        <f>IF($A496&lt;&gt;"",'Approved-In-Depth'!K496,"")</f>
        <v/>
      </c>
      <c r="L496" s="4" t="str">
        <f>IF($A496&lt;&gt;"",'Approved-In-Depth'!L496,"")</f>
        <v/>
      </c>
      <c r="M496" t="str">
        <f>IF($A496&lt;&gt;"",'Approved-In-Depth'!M496,"")</f>
        <v/>
      </c>
    </row>
    <row r="497" spans="1:13" x14ac:dyDescent="0.35">
      <c r="A497" s="4" t="str">
        <f>IF('Approved-In-Depth'!$A497&lt;&gt;"",'Approved-In-Depth'!A497,"")</f>
        <v/>
      </c>
      <c r="B497" t="str">
        <f>IF($O497&lt;&gt;"",$O497,IF($A497&lt;&gt;"",'Approved-In-Depth'!$B497+7,""))</f>
        <v/>
      </c>
      <c r="C497" t="str">
        <f>IF($A497&lt;&gt;"",'Approved-In-Depth'!C497,"")</f>
        <v/>
      </c>
      <c r="D497" t="str">
        <f>IF($A497&lt;&gt;"",'Approved-In-Depth'!D497,"")</f>
        <v/>
      </c>
      <c r="E497" t="str">
        <f>IF($A497&lt;&gt;"",'Approved-In-Depth'!E497,"")</f>
        <v/>
      </c>
      <c r="F497" t="str">
        <f>IF($A497&lt;&gt;"",'Approved-In-Depth'!F497,"")</f>
        <v/>
      </c>
      <c r="G497" t="str">
        <f>IF($A497&lt;&gt;"",'Approved-In-Depth'!G497,"")</f>
        <v/>
      </c>
      <c r="H497" s="4" t="str">
        <f>IF($A497&lt;&gt;"",'Approved-In-Depth'!H497,"")</f>
        <v/>
      </c>
      <c r="I497" t="str">
        <f>IF($A497&lt;&gt;"",'Approved-In-Depth'!I497,"")</f>
        <v/>
      </c>
      <c r="J497" t="str">
        <f>IF($A497&lt;&gt;"",'Approved-In-Depth'!J497,"")</f>
        <v/>
      </c>
      <c r="K497" t="str">
        <f>IF($A497&lt;&gt;"",'Approved-In-Depth'!K497,"")</f>
        <v/>
      </c>
      <c r="L497" s="4" t="str">
        <f>IF($A497&lt;&gt;"",'Approved-In-Depth'!L497,"")</f>
        <v/>
      </c>
      <c r="M497" t="str">
        <f>IF($A497&lt;&gt;"",'Approved-In-Depth'!M497,"")</f>
        <v/>
      </c>
    </row>
    <row r="498" spans="1:13" x14ac:dyDescent="0.35">
      <c r="A498" s="4" t="str">
        <f>IF('Approved-In-Depth'!$A498&lt;&gt;"",'Approved-In-Depth'!A498,"")</f>
        <v/>
      </c>
      <c r="B498" t="str">
        <f>IF($O498&lt;&gt;"",$O498,IF($A498&lt;&gt;"",'Approved-In-Depth'!$B498+7,""))</f>
        <v/>
      </c>
      <c r="C498" t="str">
        <f>IF($A498&lt;&gt;"",'Approved-In-Depth'!C498,"")</f>
        <v/>
      </c>
      <c r="D498" t="str">
        <f>IF($A498&lt;&gt;"",'Approved-In-Depth'!D498,"")</f>
        <v/>
      </c>
      <c r="E498" t="str">
        <f>IF($A498&lt;&gt;"",'Approved-In-Depth'!E498,"")</f>
        <v/>
      </c>
      <c r="F498" t="str">
        <f>IF($A498&lt;&gt;"",'Approved-In-Depth'!F498,"")</f>
        <v/>
      </c>
      <c r="G498" t="str">
        <f>IF($A498&lt;&gt;"",'Approved-In-Depth'!G498,"")</f>
        <v/>
      </c>
      <c r="H498" s="4" t="str">
        <f>IF($A498&lt;&gt;"",'Approved-In-Depth'!H498,"")</f>
        <v/>
      </c>
      <c r="I498" t="str">
        <f>IF($A498&lt;&gt;"",'Approved-In-Depth'!I498,"")</f>
        <v/>
      </c>
      <c r="J498" t="str">
        <f>IF($A498&lt;&gt;"",'Approved-In-Depth'!J498,"")</f>
        <v/>
      </c>
      <c r="K498" t="str">
        <f>IF($A498&lt;&gt;"",'Approved-In-Depth'!K498,"")</f>
        <v/>
      </c>
      <c r="L498" s="4" t="str">
        <f>IF($A498&lt;&gt;"",'Approved-In-Depth'!L498,"")</f>
        <v/>
      </c>
      <c r="M498" t="str">
        <f>IF($A498&lt;&gt;"",'Approved-In-Depth'!M498,"")</f>
        <v/>
      </c>
    </row>
    <row r="499" spans="1:13" x14ac:dyDescent="0.35">
      <c r="A499" s="4" t="str">
        <f>IF('Approved-In-Depth'!$A499&lt;&gt;"",'Approved-In-Depth'!A499,"")</f>
        <v/>
      </c>
      <c r="B499" t="str">
        <f>IF($O499&lt;&gt;"",$O499,IF($A499&lt;&gt;"",'Approved-In-Depth'!$B499+7,""))</f>
        <v/>
      </c>
      <c r="C499" t="str">
        <f>IF($A499&lt;&gt;"",'Approved-In-Depth'!C499,"")</f>
        <v/>
      </c>
      <c r="D499" t="str">
        <f>IF($A499&lt;&gt;"",'Approved-In-Depth'!D499,"")</f>
        <v/>
      </c>
      <c r="E499" t="str">
        <f>IF($A499&lt;&gt;"",'Approved-In-Depth'!E499,"")</f>
        <v/>
      </c>
      <c r="F499" t="str">
        <f>IF($A499&lt;&gt;"",'Approved-In-Depth'!F499,"")</f>
        <v/>
      </c>
      <c r="G499" t="str">
        <f>IF($A499&lt;&gt;"",'Approved-In-Depth'!G499,"")</f>
        <v/>
      </c>
      <c r="H499" s="4" t="str">
        <f>IF($A499&lt;&gt;"",'Approved-In-Depth'!H499,"")</f>
        <v/>
      </c>
      <c r="I499" t="str">
        <f>IF($A499&lt;&gt;"",'Approved-In-Depth'!I499,"")</f>
        <v/>
      </c>
      <c r="J499" t="str">
        <f>IF($A499&lt;&gt;"",'Approved-In-Depth'!J499,"")</f>
        <v/>
      </c>
      <c r="K499" t="str">
        <f>IF($A499&lt;&gt;"",'Approved-In-Depth'!K499,"")</f>
        <v/>
      </c>
      <c r="L499" s="4" t="str">
        <f>IF($A499&lt;&gt;"",'Approved-In-Depth'!L499,"")</f>
        <v/>
      </c>
      <c r="M499" t="str">
        <f>IF($A499&lt;&gt;"",'Approved-In-Depth'!M499,"")</f>
        <v/>
      </c>
    </row>
    <row r="500" spans="1:13" x14ac:dyDescent="0.35">
      <c r="A500" s="4" t="str">
        <f>IF('Approved-In-Depth'!$A500&lt;&gt;"",'Approved-In-Depth'!A500,"")</f>
        <v/>
      </c>
      <c r="B500" t="str">
        <f>IF($O500&lt;&gt;"",$O500,IF($A500&lt;&gt;"",'Approved-In-Depth'!$B500+7,""))</f>
        <v/>
      </c>
      <c r="C500" t="str">
        <f>IF($A500&lt;&gt;"",'Approved-In-Depth'!C500,"")</f>
        <v/>
      </c>
      <c r="D500" t="str">
        <f>IF($A500&lt;&gt;"",'Approved-In-Depth'!D500,"")</f>
        <v/>
      </c>
      <c r="E500" t="str">
        <f>IF($A500&lt;&gt;"",'Approved-In-Depth'!E500,"")</f>
        <v/>
      </c>
      <c r="F500" t="str">
        <f>IF($A500&lt;&gt;"",'Approved-In-Depth'!F500,"")</f>
        <v/>
      </c>
      <c r="G500" t="str">
        <f>IF($A500&lt;&gt;"",'Approved-In-Depth'!G500,"")</f>
        <v/>
      </c>
      <c r="H500" s="4" t="str">
        <f>IF($A500&lt;&gt;"",'Approved-In-Depth'!H500,"")</f>
        <v/>
      </c>
      <c r="I500" t="str">
        <f>IF($A500&lt;&gt;"",'Approved-In-Depth'!I500,"")</f>
        <v/>
      </c>
      <c r="J500" t="str">
        <f>IF($A500&lt;&gt;"",'Approved-In-Depth'!J500,"")</f>
        <v/>
      </c>
      <c r="K500" t="str">
        <f>IF($A500&lt;&gt;"",'Approved-In-Depth'!K500,"")</f>
        <v/>
      </c>
      <c r="L500" s="4" t="str">
        <f>IF($A500&lt;&gt;"",'Approved-In-Depth'!L500,"")</f>
        <v/>
      </c>
      <c r="M500" t="str">
        <f>IF($A500&lt;&gt;"",'Approved-In-Depth'!M500,"")</f>
        <v/>
      </c>
    </row>
    <row r="501" spans="1:13" x14ac:dyDescent="0.35">
      <c r="A501" s="4" t="str">
        <f>IF('Approved-In-Depth'!$A501&lt;&gt;"",'Approved-In-Depth'!A501,"")</f>
        <v/>
      </c>
      <c r="B501" t="str">
        <f>IF($O501&lt;&gt;"",$O501,IF($A501&lt;&gt;"",'Approved-In-Depth'!$B501+7,""))</f>
        <v/>
      </c>
      <c r="C501" t="str">
        <f>IF($A501&lt;&gt;"",'Approved-In-Depth'!C501,"")</f>
        <v/>
      </c>
      <c r="D501" t="str">
        <f>IF($A501&lt;&gt;"",'Approved-In-Depth'!D501,"")</f>
        <v/>
      </c>
      <c r="E501" t="str">
        <f>IF($A501&lt;&gt;"",'Approved-In-Depth'!E501,"")</f>
        <v/>
      </c>
      <c r="F501" t="str">
        <f>IF($A501&lt;&gt;"",'Approved-In-Depth'!F501,"")</f>
        <v/>
      </c>
      <c r="G501" t="str">
        <f>IF($A501&lt;&gt;"",'Approved-In-Depth'!G501,"")</f>
        <v/>
      </c>
      <c r="H501" s="4" t="str">
        <f>IF($A501&lt;&gt;"",'Approved-In-Depth'!H501,"")</f>
        <v/>
      </c>
      <c r="I501" t="str">
        <f>IF($A501&lt;&gt;"",'Approved-In-Depth'!I501,"")</f>
        <v/>
      </c>
      <c r="J501" t="str">
        <f>IF($A501&lt;&gt;"",'Approved-In-Depth'!J501,"")</f>
        <v/>
      </c>
      <c r="K501" t="str">
        <f>IF($A501&lt;&gt;"",'Approved-In-Depth'!K501,"")</f>
        <v/>
      </c>
      <c r="L501" s="4" t="str">
        <f>IF($A501&lt;&gt;"",'Approved-In-Depth'!L501,"")</f>
        <v/>
      </c>
      <c r="M501" t="str">
        <f>IF($A501&lt;&gt;"",'Approved-In-Depth'!M501,"")</f>
        <v/>
      </c>
    </row>
    <row r="502" spans="1:13" x14ac:dyDescent="0.35">
      <c r="A502" s="4" t="str">
        <f>IF('Approved-In-Depth'!$A502&lt;&gt;"",'Approved-In-Depth'!A502,"")</f>
        <v/>
      </c>
      <c r="B502" t="str">
        <f>IF($O502&lt;&gt;"",$O502,IF($A502&lt;&gt;"",'Approved-In-Depth'!$B502+7,""))</f>
        <v/>
      </c>
      <c r="C502" t="str">
        <f>IF($A502&lt;&gt;"",'Approved-In-Depth'!C502,"")</f>
        <v/>
      </c>
      <c r="D502" t="str">
        <f>IF($A502&lt;&gt;"",'Approved-In-Depth'!D502,"")</f>
        <v/>
      </c>
      <c r="E502" t="str">
        <f>IF($A502&lt;&gt;"",'Approved-In-Depth'!E502,"")</f>
        <v/>
      </c>
      <c r="F502" t="str">
        <f>IF($A502&lt;&gt;"",'Approved-In-Depth'!F502,"")</f>
        <v/>
      </c>
      <c r="G502" t="str">
        <f>IF($A502&lt;&gt;"",'Approved-In-Depth'!G502,"")</f>
        <v/>
      </c>
      <c r="H502" s="4" t="str">
        <f>IF($A502&lt;&gt;"",'Approved-In-Depth'!H502,"")</f>
        <v/>
      </c>
      <c r="I502" t="str">
        <f>IF($A502&lt;&gt;"",'Approved-In-Depth'!I502,"")</f>
        <v/>
      </c>
      <c r="J502" t="str">
        <f>IF($A502&lt;&gt;"",'Approved-In-Depth'!J502,"")</f>
        <v/>
      </c>
      <c r="K502" t="str">
        <f>IF($A502&lt;&gt;"",'Approved-In-Depth'!K502,"")</f>
        <v/>
      </c>
      <c r="L502" s="4" t="str">
        <f>IF($A502&lt;&gt;"",'Approved-In-Depth'!L502,"")</f>
        <v/>
      </c>
      <c r="M502" t="str">
        <f>IF($A502&lt;&gt;"",'Approved-In-Depth'!M502,"")</f>
        <v/>
      </c>
    </row>
    <row r="503" spans="1:13" x14ac:dyDescent="0.35">
      <c r="A503" s="4" t="str">
        <f>IF('Approved-In-Depth'!$A503&lt;&gt;"",'Approved-In-Depth'!A503,"")</f>
        <v/>
      </c>
      <c r="B503" t="str">
        <f>IF($O503&lt;&gt;"",$O503,IF($A503&lt;&gt;"",'Approved-In-Depth'!$B503+7,""))</f>
        <v/>
      </c>
      <c r="C503" t="str">
        <f>IF($A503&lt;&gt;"",'Approved-In-Depth'!C503,"")</f>
        <v/>
      </c>
      <c r="D503" t="str">
        <f>IF($A503&lt;&gt;"",'Approved-In-Depth'!D503,"")</f>
        <v/>
      </c>
      <c r="E503" t="str">
        <f>IF($A503&lt;&gt;"",'Approved-In-Depth'!E503,"")</f>
        <v/>
      </c>
      <c r="F503" t="str">
        <f>IF($A503&lt;&gt;"",'Approved-In-Depth'!F503,"")</f>
        <v/>
      </c>
      <c r="G503" t="str">
        <f>IF($A503&lt;&gt;"",'Approved-In-Depth'!G503,"")</f>
        <v/>
      </c>
      <c r="H503" s="4" t="str">
        <f>IF($A503&lt;&gt;"",'Approved-In-Depth'!H503,"")</f>
        <v/>
      </c>
      <c r="I503" t="str">
        <f>IF($A503&lt;&gt;"",'Approved-In-Depth'!I503,"")</f>
        <v/>
      </c>
      <c r="J503" t="str">
        <f>IF($A503&lt;&gt;"",'Approved-In-Depth'!J503,"")</f>
        <v/>
      </c>
      <c r="K503" t="str">
        <f>IF($A503&lt;&gt;"",'Approved-In-Depth'!K503,"")</f>
        <v/>
      </c>
      <c r="L503" s="4" t="str">
        <f>IF($A503&lt;&gt;"",'Approved-In-Depth'!L503,"")</f>
        <v/>
      </c>
      <c r="M503" t="str">
        <f>IF($A503&lt;&gt;"",'Approved-In-Depth'!M503,"")</f>
        <v/>
      </c>
    </row>
    <row r="504" spans="1:13" x14ac:dyDescent="0.35">
      <c r="A504" s="4" t="str">
        <f>IF('Approved-In-Depth'!$A504&lt;&gt;"",'Approved-In-Depth'!A504,"")</f>
        <v/>
      </c>
      <c r="B504" t="str">
        <f>IF($O504&lt;&gt;"",$O504,IF($A504&lt;&gt;"",'Approved-In-Depth'!$B504+7,""))</f>
        <v/>
      </c>
      <c r="C504" t="str">
        <f>IF($A504&lt;&gt;"",'Approved-In-Depth'!C504,"")</f>
        <v/>
      </c>
      <c r="D504" t="str">
        <f>IF($A504&lt;&gt;"",'Approved-In-Depth'!D504,"")</f>
        <v/>
      </c>
      <c r="E504" t="str">
        <f>IF($A504&lt;&gt;"",'Approved-In-Depth'!E504,"")</f>
        <v/>
      </c>
      <c r="F504" t="str">
        <f>IF($A504&lt;&gt;"",'Approved-In-Depth'!F504,"")</f>
        <v/>
      </c>
      <c r="G504" t="str">
        <f>IF($A504&lt;&gt;"",'Approved-In-Depth'!G504,"")</f>
        <v/>
      </c>
      <c r="H504" s="4" t="str">
        <f>IF($A504&lt;&gt;"",'Approved-In-Depth'!H504,"")</f>
        <v/>
      </c>
      <c r="I504" t="str">
        <f>IF($A504&lt;&gt;"",'Approved-In-Depth'!I504,"")</f>
        <v/>
      </c>
      <c r="J504" t="str">
        <f>IF($A504&lt;&gt;"",'Approved-In-Depth'!J504,"")</f>
        <v/>
      </c>
      <c r="K504" t="str">
        <f>IF($A504&lt;&gt;"",'Approved-In-Depth'!K504,"")</f>
        <v/>
      </c>
      <c r="L504" s="4" t="str">
        <f>IF($A504&lt;&gt;"",'Approved-In-Depth'!L504,"")</f>
        <v/>
      </c>
      <c r="M504" t="str">
        <f>IF($A504&lt;&gt;"",'Approved-In-Depth'!M504,"")</f>
        <v/>
      </c>
    </row>
    <row r="505" spans="1:13" x14ac:dyDescent="0.35">
      <c r="A505" s="4" t="str">
        <f>IF('Approved-In-Depth'!$A505&lt;&gt;"",'Approved-In-Depth'!A505,"")</f>
        <v/>
      </c>
      <c r="B505" t="str">
        <f>IF($O505&lt;&gt;"",$O505,IF($A505&lt;&gt;"",'Approved-In-Depth'!$B505+7,""))</f>
        <v/>
      </c>
      <c r="C505" t="str">
        <f>IF($A505&lt;&gt;"",'Approved-In-Depth'!C505,"")</f>
        <v/>
      </c>
      <c r="D505" t="str">
        <f>IF($A505&lt;&gt;"",'Approved-In-Depth'!D505,"")</f>
        <v/>
      </c>
      <c r="E505" t="str">
        <f>IF($A505&lt;&gt;"",'Approved-In-Depth'!E505,"")</f>
        <v/>
      </c>
      <c r="F505" t="str">
        <f>IF($A505&lt;&gt;"",'Approved-In-Depth'!F505,"")</f>
        <v/>
      </c>
      <c r="G505" t="str">
        <f>IF($A505&lt;&gt;"",'Approved-In-Depth'!G505,"")</f>
        <v/>
      </c>
      <c r="H505" s="4" t="str">
        <f>IF($A505&lt;&gt;"",'Approved-In-Depth'!H505,"")</f>
        <v/>
      </c>
      <c r="I505" t="str">
        <f>IF($A505&lt;&gt;"",'Approved-In-Depth'!I505,"")</f>
        <v/>
      </c>
      <c r="J505" t="str">
        <f>IF($A505&lt;&gt;"",'Approved-In-Depth'!J505,"")</f>
        <v/>
      </c>
      <c r="K505" t="str">
        <f>IF($A505&lt;&gt;"",'Approved-In-Depth'!K505,"")</f>
        <v/>
      </c>
      <c r="L505" s="4" t="str">
        <f>IF($A505&lt;&gt;"",'Approved-In-Depth'!L505,"")</f>
        <v/>
      </c>
      <c r="M505" t="str">
        <f>IF($A505&lt;&gt;"",'Approved-In-Depth'!M505,"")</f>
        <v/>
      </c>
    </row>
    <row r="506" spans="1:13" x14ac:dyDescent="0.35">
      <c r="A506" s="4" t="str">
        <f>IF('Approved-In-Depth'!$A506&lt;&gt;"",'Approved-In-Depth'!A506,"")</f>
        <v/>
      </c>
      <c r="B506" t="str">
        <f>IF($O506&lt;&gt;"",$O506,IF($A506&lt;&gt;"",'Approved-In-Depth'!$B506+7,""))</f>
        <v/>
      </c>
      <c r="C506" t="str">
        <f>IF($A506&lt;&gt;"",'Approved-In-Depth'!C506,"")</f>
        <v/>
      </c>
      <c r="D506" t="str">
        <f>IF($A506&lt;&gt;"",'Approved-In-Depth'!D506,"")</f>
        <v/>
      </c>
      <c r="E506" t="str">
        <f>IF($A506&lt;&gt;"",'Approved-In-Depth'!E506,"")</f>
        <v/>
      </c>
      <c r="F506" t="str">
        <f>IF($A506&lt;&gt;"",'Approved-In-Depth'!F506,"")</f>
        <v/>
      </c>
      <c r="G506" t="str">
        <f>IF($A506&lt;&gt;"",'Approved-In-Depth'!G506,"")</f>
        <v/>
      </c>
      <c r="H506" s="4" t="str">
        <f>IF($A506&lt;&gt;"",'Approved-In-Depth'!H506,"")</f>
        <v/>
      </c>
      <c r="I506" t="str">
        <f>IF($A506&lt;&gt;"",'Approved-In-Depth'!I506,"")</f>
        <v/>
      </c>
      <c r="J506" t="str">
        <f>IF($A506&lt;&gt;"",'Approved-In-Depth'!J506,"")</f>
        <v/>
      </c>
      <c r="K506" t="str">
        <f>IF($A506&lt;&gt;"",'Approved-In-Depth'!K506,"")</f>
        <v/>
      </c>
      <c r="L506" s="4" t="str">
        <f>IF($A506&lt;&gt;"",'Approved-In-Depth'!L506,"")</f>
        <v/>
      </c>
      <c r="M506" t="str">
        <f>IF($A506&lt;&gt;"",'Approved-In-Depth'!M506,"")</f>
        <v/>
      </c>
    </row>
    <row r="507" spans="1:13" x14ac:dyDescent="0.35">
      <c r="A507" s="4" t="str">
        <f>IF('Approved-In-Depth'!$A507&lt;&gt;"",'Approved-In-Depth'!A507,"")</f>
        <v/>
      </c>
      <c r="B507" t="str">
        <f>IF($O507&lt;&gt;"",$O507,IF($A507&lt;&gt;"",'Approved-In-Depth'!$B507+7,""))</f>
        <v/>
      </c>
      <c r="C507" t="str">
        <f>IF($A507&lt;&gt;"",'Approved-In-Depth'!C507,"")</f>
        <v/>
      </c>
      <c r="D507" t="str">
        <f>IF($A507&lt;&gt;"",'Approved-In-Depth'!D507,"")</f>
        <v/>
      </c>
      <c r="E507" t="str">
        <f>IF($A507&lt;&gt;"",'Approved-In-Depth'!E507,"")</f>
        <v/>
      </c>
      <c r="F507" t="str">
        <f>IF($A507&lt;&gt;"",'Approved-In-Depth'!F507,"")</f>
        <v/>
      </c>
      <c r="G507" t="str">
        <f>IF($A507&lt;&gt;"",'Approved-In-Depth'!G507,"")</f>
        <v/>
      </c>
      <c r="H507" s="4" t="str">
        <f>IF($A507&lt;&gt;"",'Approved-In-Depth'!H507,"")</f>
        <v/>
      </c>
      <c r="I507" t="str">
        <f>IF($A507&lt;&gt;"",'Approved-In-Depth'!I507,"")</f>
        <v/>
      </c>
      <c r="J507" t="str">
        <f>IF($A507&lt;&gt;"",'Approved-In-Depth'!J507,"")</f>
        <v/>
      </c>
      <c r="K507" t="str">
        <f>IF($A507&lt;&gt;"",'Approved-In-Depth'!K507,"")</f>
        <v/>
      </c>
      <c r="L507" s="4" t="str">
        <f>IF($A507&lt;&gt;"",'Approved-In-Depth'!L507,"")</f>
        <v/>
      </c>
      <c r="M507" t="str">
        <f>IF($A507&lt;&gt;"",'Approved-In-Depth'!M507,"")</f>
        <v/>
      </c>
    </row>
    <row r="508" spans="1:13" x14ac:dyDescent="0.35">
      <c r="A508" s="4" t="str">
        <f>IF('Approved-In-Depth'!$A508&lt;&gt;"",'Approved-In-Depth'!A508,"")</f>
        <v/>
      </c>
      <c r="B508" t="str">
        <f>IF($O508&lt;&gt;"",$O508,IF($A508&lt;&gt;"",'Approved-In-Depth'!$B508+7,""))</f>
        <v/>
      </c>
      <c r="C508" t="str">
        <f>IF($A508&lt;&gt;"",'Approved-In-Depth'!C508,"")</f>
        <v/>
      </c>
      <c r="D508" t="str">
        <f>IF($A508&lt;&gt;"",'Approved-In-Depth'!D508,"")</f>
        <v/>
      </c>
      <c r="E508" t="str">
        <f>IF($A508&lt;&gt;"",'Approved-In-Depth'!E508,"")</f>
        <v/>
      </c>
      <c r="F508" t="str">
        <f>IF($A508&lt;&gt;"",'Approved-In-Depth'!F508,"")</f>
        <v/>
      </c>
      <c r="G508" t="str">
        <f>IF($A508&lt;&gt;"",'Approved-In-Depth'!G508,"")</f>
        <v/>
      </c>
      <c r="H508" s="4" t="str">
        <f>IF($A508&lt;&gt;"",'Approved-In-Depth'!H508,"")</f>
        <v/>
      </c>
      <c r="I508" t="str">
        <f>IF($A508&lt;&gt;"",'Approved-In-Depth'!I508,"")</f>
        <v/>
      </c>
      <c r="J508" t="str">
        <f>IF($A508&lt;&gt;"",'Approved-In-Depth'!J508,"")</f>
        <v/>
      </c>
      <c r="K508" t="str">
        <f>IF($A508&lt;&gt;"",'Approved-In-Depth'!K508,"")</f>
        <v/>
      </c>
      <c r="L508" s="4" t="str">
        <f>IF($A508&lt;&gt;"",'Approved-In-Depth'!L508,"")</f>
        <v/>
      </c>
      <c r="M508" t="str">
        <f>IF($A508&lt;&gt;"",'Approved-In-Depth'!M508,"")</f>
        <v/>
      </c>
    </row>
    <row r="509" spans="1:13" x14ac:dyDescent="0.35">
      <c r="A509" s="4" t="str">
        <f>IF('Approved-In-Depth'!$A509&lt;&gt;"",'Approved-In-Depth'!A509,"")</f>
        <v/>
      </c>
      <c r="B509" t="str">
        <f>IF($O509&lt;&gt;"",$O509,IF($A509&lt;&gt;"",'Approved-In-Depth'!$B509+7,""))</f>
        <v/>
      </c>
      <c r="C509" t="str">
        <f>IF($A509&lt;&gt;"",'Approved-In-Depth'!C509,"")</f>
        <v/>
      </c>
      <c r="D509" t="str">
        <f>IF($A509&lt;&gt;"",'Approved-In-Depth'!D509,"")</f>
        <v/>
      </c>
      <c r="E509" t="str">
        <f>IF($A509&lt;&gt;"",'Approved-In-Depth'!E509,"")</f>
        <v/>
      </c>
      <c r="F509" t="str">
        <f>IF($A509&lt;&gt;"",'Approved-In-Depth'!F509,"")</f>
        <v/>
      </c>
      <c r="G509" t="str">
        <f>IF($A509&lt;&gt;"",'Approved-In-Depth'!G509,"")</f>
        <v/>
      </c>
      <c r="H509" s="4" t="str">
        <f>IF($A509&lt;&gt;"",'Approved-In-Depth'!H509,"")</f>
        <v/>
      </c>
      <c r="I509" t="str">
        <f>IF($A509&lt;&gt;"",'Approved-In-Depth'!I509,"")</f>
        <v/>
      </c>
      <c r="J509" t="str">
        <f>IF($A509&lt;&gt;"",'Approved-In-Depth'!J509,"")</f>
        <v/>
      </c>
      <c r="K509" t="str">
        <f>IF($A509&lt;&gt;"",'Approved-In-Depth'!K509,"")</f>
        <v/>
      </c>
      <c r="L509" s="4" t="str">
        <f>IF($A509&lt;&gt;"",'Approved-In-Depth'!L509,"")</f>
        <v/>
      </c>
      <c r="M509" t="str">
        <f>IF($A509&lt;&gt;"",'Approved-In-Depth'!M509,"")</f>
        <v/>
      </c>
    </row>
    <row r="510" spans="1:13" x14ac:dyDescent="0.35">
      <c r="A510" s="4" t="str">
        <f>IF('Approved-In-Depth'!$A510&lt;&gt;"",'Approved-In-Depth'!A510,"")</f>
        <v/>
      </c>
      <c r="B510" t="str">
        <f>IF($O510&lt;&gt;"",$O510,IF($A510&lt;&gt;"",'Approved-In-Depth'!$B510+7,""))</f>
        <v/>
      </c>
      <c r="C510" t="str">
        <f>IF($A510&lt;&gt;"",'Approved-In-Depth'!C510,"")</f>
        <v/>
      </c>
      <c r="D510" t="str">
        <f>IF($A510&lt;&gt;"",'Approved-In-Depth'!D510,"")</f>
        <v/>
      </c>
      <c r="E510" t="str">
        <f>IF($A510&lt;&gt;"",'Approved-In-Depth'!E510,"")</f>
        <v/>
      </c>
      <c r="F510" t="str">
        <f>IF($A510&lt;&gt;"",'Approved-In-Depth'!F510,"")</f>
        <v/>
      </c>
      <c r="G510" t="str">
        <f>IF($A510&lt;&gt;"",'Approved-In-Depth'!G510,"")</f>
        <v/>
      </c>
      <c r="H510" s="4" t="str">
        <f>IF($A510&lt;&gt;"",'Approved-In-Depth'!H510,"")</f>
        <v/>
      </c>
      <c r="I510" t="str">
        <f>IF($A510&lt;&gt;"",'Approved-In-Depth'!I510,"")</f>
        <v/>
      </c>
      <c r="J510" t="str">
        <f>IF($A510&lt;&gt;"",'Approved-In-Depth'!J510,"")</f>
        <v/>
      </c>
      <c r="K510" t="str">
        <f>IF($A510&lt;&gt;"",'Approved-In-Depth'!K510,"")</f>
        <v/>
      </c>
      <c r="L510" s="4" t="str">
        <f>IF($A510&lt;&gt;"",'Approved-In-Depth'!L510,"")</f>
        <v/>
      </c>
      <c r="M510" t="str">
        <f>IF($A510&lt;&gt;"",'Approved-In-Depth'!M510,"")</f>
        <v/>
      </c>
    </row>
    <row r="511" spans="1:13" x14ac:dyDescent="0.35">
      <c r="A511" s="4" t="str">
        <f>IF('Approved-In-Depth'!$A511&lt;&gt;"",'Approved-In-Depth'!A511,"")</f>
        <v/>
      </c>
      <c r="B511" t="str">
        <f>IF($O511&lt;&gt;"",$O511,IF($A511&lt;&gt;"",'Approved-In-Depth'!$B511+7,""))</f>
        <v/>
      </c>
      <c r="C511" t="str">
        <f>IF($A511&lt;&gt;"",'Approved-In-Depth'!C511,"")</f>
        <v/>
      </c>
      <c r="D511" t="str">
        <f>IF($A511&lt;&gt;"",'Approved-In-Depth'!D511,"")</f>
        <v/>
      </c>
      <c r="E511" t="str">
        <f>IF($A511&lt;&gt;"",'Approved-In-Depth'!E511,"")</f>
        <v/>
      </c>
      <c r="F511" t="str">
        <f>IF($A511&lt;&gt;"",'Approved-In-Depth'!F511,"")</f>
        <v/>
      </c>
      <c r="G511" t="str">
        <f>IF($A511&lt;&gt;"",'Approved-In-Depth'!G511,"")</f>
        <v/>
      </c>
      <c r="H511" s="4" t="str">
        <f>IF($A511&lt;&gt;"",'Approved-In-Depth'!H511,"")</f>
        <v/>
      </c>
      <c r="I511" t="str">
        <f>IF($A511&lt;&gt;"",'Approved-In-Depth'!I511,"")</f>
        <v/>
      </c>
      <c r="J511" t="str">
        <f>IF($A511&lt;&gt;"",'Approved-In-Depth'!J511,"")</f>
        <v/>
      </c>
      <c r="K511" t="str">
        <f>IF($A511&lt;&gt;"",'Approved-In-Depth'!K511,"")</f>
        <v/>
      </c>
      <c r="L511" s="4" t="str">
        <f>IF($A511&lt;&gt;"",'Approved-In-Depth'!L511,"")</f>
        <v/>
      </c>
      <c r="M511" t="str">
        <f>IF($A511&lt;&gt;"",'Approved-In-Depth'!M511,"")</f>
        <v/>
      </c>
    </row>
    <row r="512" spans="1:13" x14ac:dyDescent="0.35">
      <c r="A512" s="4" t="str">
        <f>IF('Approved-In-Depth'!$A512&lt;&gt;"",'Approved-In-Depth'!A512,"")</f>
        <v/>
      </c>
      <c r="B512" t="str">
        <f>IF($O512&lt;&gt;"",$O512,IF($A512&lt;&gt;"",'Approved-In-Depth'!$B512+7,""))</f>
        <v/>
      </c>
      <c r="C512" t="str">
        <f>IF($A512&lt;&gt;"",'Approved-In-Depth'!C512,"")</f>
        <v/>
      </c>
      <c r="D512" t="str">
        <f>IF($A512&lt;&gt;"",'Approved-In-Depth'!D512,"")</f>
        <v/>
      </c>
      <c r="E512" t="str">
        <f>IF($A512&lt;&gt;"",'Approved-In-Depth'!E512,"")</f>
        <v/>
      </c>
      <c r="F512" t="str">
        <f>IF($A512&lt;&gt;"",'Approved-In-Depth'!F512,"")</f>
        <v/>
      </c>
      <c r="G512" t="str">
        <f>IF($A512&lt;&gt;"",'Approved-In-Depth'!G512,"")</f>
        <v/>
      </c>
      <c r="H512" s="4" t="str">
        <f>IF($A512&lt;&gt;"",'Approved-In-Depth'!H512,"")</f>
        <v/>
      </c>
      <c r="I512" t="str">
        <f>IF($A512&lt;&gt;"",'Approved-In-Depth'!I512,"")</f>
        <v/>
      </c>
      <c r="J512" t="str">
        <f>IF($A512&lt;&gt;"",'Approved-In-Depth'!J512,"")</f>
        <v/>
      </c>
      <c r="K512" t="str">
        <f>IF($A512&lt;&gt;"",'Approved-In-Depth'!K512,"")</f>
        <v/>
      </c>
      <c r="L512" s="4" t="str">
        <f>IF($A512&lt;&gt;"",'Approved-In-Depth'!L512,"")</f>
        <v/>
      </c>
      <c r="M512" t="str">
        <f>IF($A512&lt;&gt;"",'Approved-In-Depth'!M512,"")</f>
        <v/>
      </c>
    </row>
    <row r="513" spans="1:13" x14ac:dyDescent="0.35">
      <c r="A513" s="4" t="str">
        <f>IF('Approved-In-Depth'!$A513&lt;&gt;"",'Approved-In-Depth'!A513,"")</f>
        <v/>
      </c>
      <c r="B513" t="str">
        <f>IF($O513&lt;&gt;"",$O513,IF($A513&lt;&gt;"",'Approved-In-Depth'!$B513+7,""))</f>
        <v/>
      </c>
      <c r="C513" t="str">
        <f>IF($A513&lt;&gt;"",'Approved-In-Depth'!C513,"")</f>
        <v/>
      </c>
      <c r="D513" t="str">
        <f>IF($A513&lt;&gt;"",'Approved-In-Depth'!D513,"")</f>
        <v/>
      </c>
      <c r="E513" t="str">
        <f>IF($A513&lt;&gt;"",'Approved-In-Depth'!E513,"")</f>
        <v/>
      </c>
      <c r="F513" t="str">
        <f>IF($A513&lt;&gt;"",'Approved-In-Depth'!F513,"")</f>
        <v/>
      </c>
      <c r="G513" t="str">
        <f>IF($A513&lt;&gt;"",'Approved-In-Depth'!G513,"")</f>
        <v/>
      </c>
      <c r="H513" s="4" t="str">
        <f>IF($A513&lt;&gt;"",'Approved-In-Depth'!H513,"")</f>
        <v/>
      </c>
      <c r="I513" t="str">
        <f>IF($A513&lt;&gt;"",'Approved-In-Depth'!I513,"")</f>
        <v/>
      </c>
      <c r="J513" t="str">
        <f>IF($A513&lt;&gt;"",'Approved-In-Depth'!J513,"")</f>
        <v/>
      </c>
      <c r="K513" t="str">
        <f>IF($A513&lt;&gt;"",'Approved-In-Depth'!K513,"")</f>
        <v/>
      </c>
      <c r="L513" s="4" t="str">
        <f>IF($A513&lt;&gt;"",'Approved-In-Depth'!L513,"")</f>
        <v/>
      </c>
      <c r="M513" t="str">
        <f>IF($A513&lt;&gt;"",'Approved-In-Depth'!M513,"")</f>
        <v/>
      </c>
    </row>
    <row r="514" spans="1:13" x14ac:dyDescent="0.35">
      <c r="A514" s="4" t="str">
        <f>IF('Approved-In-Depth'!$A514&lt;&gt;"",'Approved-In-Depth'!A514,"")</f>
        <v/>
      </c>
      <c r="B514" t="str">
        <f>IF($O514&lt;&gt;"",$O514,IF($A514&lt;&gt;"",'Approved-In-Depth'!$B514+7,""))</f>
        <v/>
      </c>
      <c r="C514" t="str">
        <f>IF($A514&lt;&gt;"",'Approved-In-Depth'!C514,"")</f>
        <v/>
      </c>
      <c r="D514" t="str">
        <f>IF($A514&lt;&gt;"",'Approved-In-Depth'!D514,"")</f>
        <v/>
      </c>
      <c r="E514" t="str">
        <f>IF($A514&lt;&gt;"",'Approved-In-Depth'!E514,"")</f>
        <v/>
      </c>
      <c r="F514" t="str">
        <f>IF($A514&lt;&gt;"",'Approved-In-Depth'!F514,"")</f>
        <v/>
      </c>
      <c r="G514" t="str">
        <f>IF($A514&lt;&gt;"",'Approved-In-Depth'!G514,"")</f>
        <v/>
      </c>
      <c r="H514" s="4" t="str">
        <f>IF($A514&lt;&gt;"",'Approved-In-Depth'!H514,"")</f>
        <v/>
      </c>
      <c r="I514" t="str">
        <f>IF($A514&lt;&gt;"",'Approved-In-Depth'!I514,"")</f>
        <v/>
      </c>
      <c r="J514" t="str">
        <f>IF($A514&lt;&gt;"",'Approved-In-Depth'!J514,"")</f>
        <v/>
      </c>
      <c r="K514" t="str">
        <f>IF($A514&lt;&gt;"",'Approved-In-Depth'!K514,"")</f>
        <v/>
      </c>
      <c r="L514" s="4" t="str">
        <f>IF($A514&lt;&gt;"",'Approved-In-Depth'!L514,"")</f>
        <v/>
      </c>
      <c r="M514" t="str">
        <f>IF($A514&lt;&gt;"",'Approved-In-Depth'!M514,"")</f>
        <v/>
      </c>
    </row>
    <row r="515" spans="1:13" x14ac:dyDescent="0.35">
      <c r="A515" s="4" t="str">
        <f>IF('Approved-In-Depth'!$A515&lt;&gt;"",'Approved-In-Depth'!A515,"")</f>
        <v/>
      </c>
      <c r="B515" t="str">
        <f>IF($O515&lt;&gt;"",$O515,IF($A515&lt;&gt;"",'Approved-In-Depth'!$B515+7,""))</f>
        <v/>
      </c>
      <c r="C515" t="str">
        <f>IF($A515&lt;&gt;"",'Approved-In-Depth'!C515,"")</f>
        <v/>
      </c>
      <c r="D515" t="str">
        <f>IF($A515&lt;&gt;"",'Approved-In-Depth'!D515,"")</f>
        <v/>
      </c>
      <c r="E515" t="str">
        <f>IF($A515&lt;&gt;"",'Approved-In-Depth'!E515,"")</f>
        <v/>
      </c>
      <c r="F515" t="str">
        <f>IF($A515&lt;&gt;"",'Approved-In-Depth'!F515,"")</f>
        <v/>
      </c>
      <c r="G515" t="str">
        <f>IF($A515&lt;&gt;"",'Approved-In-Depth'!G515,"")</f>
        <v/>
      </c>
      <c r="H515" s="4" t="str">
        <f>IF($A515&lt;&gt;"",'Approved-In-Depth'!H515,"")</f>
        <v/>
      </c>
      <c r="I515" t="str">
        <f>IF($A515&lt;&gt;"",'Approved-In-Depth'!I515,"")</f>
        <v/>
      </c>
      <c r="J515" t="str">
        <f>IF($A515&lt;&gt;"",'Approved-In-Depth'!J515,"")</f>
        <v/>
      </c>
      <c r="K515" t="str">
        <f>IF($A515&lt;&gt;"",'Approved-In-Depth'!K515,"")</f>
        <v/>
      </c>
      <c r="L515" s="4" t="str">
        <f>IF($A515&lt;&gt;"",'Approved-In-Depth'!L515,"")</f>
        <v/>
      </c>
      <c r="M515" t="str">
        <f>IF($A515&lt;&gt;"",'Approved-In-Depth'!M515,"")</f>
        <v/>
      </c>
    </row>
    <row r="516" spans="1:13" x14ac:dyDescent="0.35">
      <c r="A516" s="4" t="str">
        <f>IF('Approved-In-Depth'!$A516&lt;&gt;"",'Approved-In-Depth'!A516,"")</f>
        <v/>
      </c>
      <c r="B516" t="str">
        <f>IF($O516&lt;&gt;"",$O516,IF($A516&lt;&gt;"",'Approved-In-Depth'!$B516+7,""))</f>
        <v/>
      </c>
      <c r="C516" t="str">
        <f>IF($A516&lt;&gt;"",'Approved-In-Depth'!C516,"")</f>
        <v/>
      </c>
      <c r="D516" t="str">
        <f>IF($A516&lt;&gt;"",'Approved-In-Depth'!D516,"")</f>
        <v/>
      </c>
      <c r="E516" t="str">
        <f>IF($A516&lt;&gt;"",'Approved-In-Depth'!E516,"")</f>
        <v/>
      </c>
      <c r="F516" t="str">
        <f>IF($A516&lt;&gt;"",'Approved-In-Depth'!F516,"")</f>
        <v/>
      </c>
      <c r="G516" t="str">
        <f>IF($A516&lt;&gt;"",'Approved-In-Depth'!G516,"")</f>
        <v/>
      </c>
      <c r="H516" s="4" t="str">
        <f>IF($A516&lt;&gt;"",'Approved-In-Depth'!H516,"")</f>
        <v/>
      </c>
      <c r="I516" t="str">
        <f>IF($A516&lt;&gt;"",'Approved-In-Depth'!I516,"")</f>
        <v/>
      </c>
      <c r="J516" t="str">
        <f>IF($A516&lt;&gt;"",'Approved-In-Depth'!J516,"")</f>
        <v/>
      </c>
      <c r="K516" t="str">
        <f>IF($A516&lt;&gt;"",'Approved-In-Depth'!K516,"")</f>
        <v/>
      </c>
      <c r="L516" s="4" t="str">
        <f>IF($A516&lt;&gt;"",'Approved-In-Depth'!L516,"")</f>
        <v/>
      </c>
      <c r="M516" t="str">
        <f>IF($A516&lt;&gt;"",'Approved-In-Depth'!M516,"")</f>
        <v/>
      </c>
    </row>
    <row r="517" spans="1:13" x14ac:dyDescent="0.35">
      <c r="A517" s="4" t="str">
        <f>IF('Approved-In-Depth'!$A517&lt;&gt;"",'Approved-In-Depth'!A517,"")</f>
        <v/>
      </c>
      <c r="B517" t="str">
        <f>IF($O517&lt;&gt;"",$O517,IF($A517&lt;&gt;"",'Approved-In-Depth'!$B517+7,""))</f>
        <v/>
      </c>
      <c r="C517" t="str">
        <f>IF($A517&lt;&gt;"",'Approved-In-Depth'!C517,"")</f>
        <v/>
      </c>
      <c r="D517" t="str">
        <f>IF($A517&lt;&gt;"",'Approved-In-Depth'!D517,"")</f>
        <v/>
      </c>
      <c r="E517" t="str">
        <f>IF($A517&lt;&gt;"",'Approved-In-Depth'!E517,"")</f>
        <v/>
      </c>
      <c r="F517" t="str">
        <f>IF($A517&lt;&gt;"",'Approved-In-Depth'!F517,"")</f>
        <v/>
      </c>
      <c r="G517" t="str">
        <f>IF($A517&lt;&gt;"",'Approved-In-Depth'!G517,"")</f>
        <v/>
      </c>
      <c r="H517" s="4" t="str">
        <f>IF($A517&lt;&gt;"",'Approved-In-Depth'!H517,"")</f>
        <v/>
      </c>
      <c r="I517" t="str">
        <f>IF($A517&lt;&gt;"",'Approved-In-Depth'!I517,"")</f>
        <v/>
      </c>
      <c r="J517" t="str">
        <f>IF($A517&lt;&gt;"",'Approved-In-Depth'!J517,"")</f>
        <v/>
      </c>
      <c r="K517" t="str">
        <f>IF($A517&lt;&gt;"",'Approved-In-Depth'!K517,"")</f>
        <v/>
      </c>
      <c r="L517" s="4" t="str">
        <f>IF($A517&lt;&gt;"",'Approved-In-Depth'!L517,"")</f>
        <v/>
      </c>
      <c r="M517" t="str">
        <f>IF($A517&lt;&gt;"",'Approved-In-Depth'!M517,"")</f>
        <v/>
      </c>
    </row>
    <row r="518" spans="1:13" x14ac:dyDescent="0.35">
      <c r="A518" s="4" t="str">
        <f>IF('Approved-In-Depth'!$A518&lt;&gt;"",'Approved-In-Depth'!A518,"")</f>
        <v/>
      </c>
      <c r="B518" t="str">
        <f>IF($O518&lt;&gt;"",$O518,IF($A518&lt;&gt;"",'Approved-In-Depth'!$B518+7,""))</f>
        <v/>
      </c>
      <c r="C518" t="str">
        <f>IF($A518&lt;&gt;"",'Approved-In-Depth'!C518,"")</f>
        <v/>
      </c>
      <c r="D518" t="str">
        <f>IF($A518&lt;&gt;"",'Approved-In-Depth'!D518,"")</f>
        <v/>
      </c>
      <c r="E518" t="str">
        <f>IF($A518&lt;&gt;"",'Approved-In-Depth'!E518,"")</f>
        <v/>
      </c>
      <c r="F518" t="str">
        <f>IF($A518&lt;&gt;"",'Approved-In-Depth'!F518,"")</f>
        <v/>
      </c>
      <c r="G518" t="str">
        <f>IF($A518&lt;&gt;"",'Approved-In-Depth'!G518,"")</f>
        <v/>
      </c>
      <c r="H518" s="4" t="str">
        <f>IF($A518&lt;&gt;"",'Approved-In-Depth'!H518,"")</f>
        <v/>
      </c>
      <c r="I518" t="str">
        <f>IF($A518&lt;&gt;"",'Approved-In-Depth'!I518,"")</f>
        <v/>
      </c>
      <c r="J518" t="str">
        <f>IF($A518&lt;&gt;"",'Approved-In-Depth'!J518,"")</f>
        <v/>
      </c>
      <c r="K518" t="str">
        <f>IF($A518&lt;&gt;"",'Approved-In-Depth'!K518,"")</f>
        <v/>
      </c>
      <c r="L518" s="4" t="str">
        <f>IF($A518&lt;&gt;"",'Approved-In-Depth'!L518,"")</f>
        <v/>
      </c>
      <c r="M518" t="str">
        <f>IF($A518&lt;&gt;"",'Approved-In-Depth'!M518,"")</f>
        <v/>
      </c>
    </row>
    <row r="519" spans="1:13" x14ac:dyDescent="0.35">
      <c r="A519" s="4" t="str">
        <f>IF('Approved-In-Depth'!$A519&lt;&gt;"",'Approved-In-Depth'!A519,"")</f>
        <v/>
      </c>
      <c r="B519" t="str">
        <f>IF($O519&lt;&gt;"",$O519,IF($A519&lt;&gt;"",'Approved-In-Depth'!$B519+7,""))</f>
        <v/>
      </c>
      <c r="C519" t="str">
        <f>IF($A519&lt;&gt;"",'Approved-In-Depth'!C519,"")</f>
        <v/>
      </c>
      <c r="D519" t="str">
        <f>IF($A519&lt;&gt;"",'Approved-In-Depth'!D519,"")</f>
        <v/>
      </c>
      <c r="E519" t="str">
        <f>IF($A519&lt;&gt;"",'Approved-In-Depth'!E519,"")</f>
        <v/>
      </c>
      <c r="F519" t="str">
        <f>IF($A519&lt;&gt;"",'Approved-In-Depth'!F519,"")</f>
        <v/>
      </c>
      <c r="G519" t="str">
        <f>IF($A519&lt;&gt;"",'Approved-In-Depth'!G519,"")</f>
        <v/>
      </c>
      <c r="H519" s="4" t="str">
        <f>IF($A519&lt;&gt;"",'Approved-In-Depth'!H519,"")</f>
        <v/>
      </c>
      <c r="I519" t="str">
        <f>IF($A519&lt;&gt;"",'Approved-In-Depth'!I519,"")</f>
        <v/>
      </c>
      <c r="J519" t="str">
        <f>IF($A519&lt;&gt;"",'Approved-In-Depth'!J519,"")</f>
        <v/>
      </c>
      <c r="K519" t="str">
        <f>IF($A519&lt;&gt;"",'Approved-In-Depth'!K519,"")</f>
        <v/>
      </c>
      <c r="L519" s="4" t="str">
        <f>IF($A519&lt;&gt;"",'Approved-In-Depth'!L519,"")</f>
        <v/>
      </c>
      <c r="M519" t="str">
        <f>IF($A519&lt;&gt;"",'Approved-In-Depth'!M519,"")</f>
        <v/>
      </c>
    </row>
    <row r="520" spans="1:13" x14ac:dyDescent="0.35">
      <c r="A520" s="4" t="str">
        <f>IF('Approved-In-Depth'!$A520&lt;&gt;"",'Approved-In-Depth'!A520,"")</f>
        <v/>
      </c>
      <c r="B520" t="str">
        <f>IF($O520&lt;&gt;"",$O520,IF($A520&lt;&gt;"",'Approved-In-Depth'!$B520+7,""))</f>
        <v/>
      </c>
      <c r="C520" t="str">
        <f>IF($A520&lt;&gt;"",'Approved-In-Depth'!C520,"")</f>
        <v/>
      </c>
      <c r="D520" t="str">
        <f>IF($A520&lt;&gt;"",'Approved-In-Depth'!D520,"")</f>
        <v/>
      </c>
      <c r="E520" t="str">
        <f>IF($A520&lt;&gt;"",'Approved-In-Depth'!E520,"")</f>
        <v/>
      </c>
      <c r="F520" t="str">
        <f>IF($A520&lt;&gt;"",'Approved-In-Depth'!F520,"")</f>
        <v/>
      </c>
      <c r="G520" t="str">
        <f>IF($A520&lt;&gt;"",'Approved-In-Depth'!G520,"")</f>
        <v/>
      </c>
      <c r="H520" s="4" t="str">
        <f>IF($A520&lt;&gt;"",'Approved-In-Depth'!H520,"")</f>
        <v/>
      </c>
      <c r="I520" t="str">
        <f>IF($A520&lt;&gt;"",'Approved-In-Depth'!I520,"")</f>
        <v/>
      </c>
      <c r="J520" t="str">
        <f>IF($A520&lt;&gt;"",'Approved-In-Depth'!J520,"")</f>
        <v/>
      </c>
      <c r="K520" t="str">
        <f>IF($A520&lt;&gt;"",'Approved-In-Depth'!K520,"")</f>
        <v/>
      </c>
      <c r="L520" s="4" t="str">
        <f>IF($A520&lt;&gt;"",'Approved-In-Depth'!L520,"")</f>
        <v/>
      </c>
      <c r="M520" t="str">
        <f>IF($A520&lt;&gt;"",'Approved-In-Depth'!M520,"")</f>
        <v/>
      </c>
    </row>
    <row r="521" spans="1:13" x14ac:dyDescent="0.35">
      <c r="A521" s="4" t="str">
        <f>IF('Approved-In-Depth'!$A521&lt;&gt;"",'Approved-In-Depth'!A521,"")</f>
        <v/>
      </c>
      <c r="B521" t="str">
        <f>IF($O521&lt;&gt;"",$O521,IF($A521&lt;&gt;"",'Approved-In-Depth'!$B521+7,""))</f>
        <v/>
      </c>
      <c r="C521" t="str">
        <f>IF($A521&lt;&gt;"",'Approved-In-Depth'!C521,"")</f>
        <v/>
      </c>
      <c r="D521" t="str">
        <f>IF($A521&lt;&gt;"",'Approved-In-Depth'!D521,"")</f>
        <v/>
      </c>
      <c r="E521" t="str">
        <f>IF($A521&lt;&gt;"",'Approved-In-Depth'!E521,"")</f>
        <v/>
      </c>
      <c r="F521" t="str">
        <f>IF($A521&lt;&gt;"",'Approved-In-Depth'!F521,"")</f>
        <v/>
      </c>
      <c r="G521" t="str">
        <f>IF($A521&lt;&gt;"",'Approved-In-Depth'!G521,"")</f>
        <v/>
      </c>
      <c r="H521" s="4" t="str">
        <f>IF($A521&lt;&gt;"",'Approved-In-Depth'!H521,"")</f>
        <v/>
      </c>
      <c r="I521" t="str">
        <f>IF($A521&lt;&gt;"",'Approved-In-Depth'!I521,"")</f>
        <v/>
      </c>
      <c r="J521" t="str">
        <f>IF($A521&lt;&gt;"",'Approved-In-Depth'!J521,"")</f>
        <v/>
      </c>
      <c r="K521" t="str">
        <f>IF($A521&lt;&gt;"",'Approved-In-Depth'!K521,"")</f>
        <v/>
      </c>
      <c r="L521" s="4" t="str">
        <f>IF($A521&lt;&gt;"",'Approved-In-Depth'!L521,"")</f>
        <v/>
      </c>
      <c r="M521" t="str">
        <f>IF($A521&lt;&gt;"",'Approved-In-Depth'!M521,"")</f>
        <v/>
      </c>
    </row>
    <row r="522" spans="1:13" x14ac:dyDescent="0.35">
      <c r="A522" s="4" t="str">
        <f>IF('Approved-In-Depth'!$A522&lt;&gt;"",'Approved-In-Depth'!A522,"")</f>
        <v/>
      </c>
      <c r="B522" t="str">
        <f>IF($O522&lt;&gt;"",$O522,IF($A522&lt;&gt;"",'Approved-In-Depth'!$B522+7,""))</f>
        <v/>
      </c>
      <c r="C522" t="str">
        <f>IF($A522&lt;&gt;"",'Approved-In-Depth'!C522,"")</f>
        <v/>
      </c>
      <c r="D522" t="str">
        <f>IF($A522&lt;&gt;"",'Approved-In-Depth'!D522,"")</f>
        <v/>
      </c>
      <c r="E522" t="str">
        <f>IF($A522&lt;&gt;"",'Approved-In-Depth'!E522,"")</f>
        <v/>
      </c>
      <c r="F522" t="str">
        <f>IF($A522&lt;&gt;"",'Approved-In-Depth'!F522,"")</f>
        <v/>
      </c>
      <c r="G522" t="str">
        <f>IF($A522&lt;&gt;"",'Approved-In-Depth'!G522,"")</f>
        <v/>
      </c>
      <c r="H522" s="4" t="str">
        <f>IF($A522&lt;&gt;"",'Approved-In-Depth'!H522,"")</f>
        <v/>
      </c>
      <c r="I522" t="str">
        <f>IF($A522&lt;&gt;"",'Approved-In-Depth'!I522,"")</f>
        <v/>
      </c>
      <c r="J522" t="str">
        <f>IF($A522&lt;&gt;"",'Approved-In-Depth'!J522,"")</f>
        <v/>
      </c>
      <c r="K522" t="str">
        <f>IF($A522&lt;&gt;"",'Approved-In-Depth'!K522,"")</f>
        <v/>
      </c>
      <c r="L522" s="4" t="str">
        <f>IF($A522&lt;&gt;"",'Approved-In-Depth'!L522,"")</f>
        <v/>
      </c>
      <c r="M522" t="str">
        <f>IF($A522&lt;&gt;"",'Approved-In-Depth'!M522,"")</f>
        <v/>
      </c>
    </row>
    <row r="523" spans="1:13" x14ac:dyDescent="0.35">
      <c r="A523" s="4" t="str">
        <f>IF('Approved-In-Depth'!$A523&lt;&gt;"",'Approved-In-Depth'!A523,"")</f>
        <v/>
      </c>
      <c r="B523" t="str">
        <f>IF($O523&lt;&gt;"",$O523,IF($A523&lt;&gt;"",'Approved-In-Depth'!$B523+7,""))</f>
        <v/>
      </c>
      <c r="C523" t="str">
        <f>IF($A523&lt;&gt;"",'Approved-In-Depth'!C523,"")</f>
        <v/>
      </c>
      <c r="D523" t="str">
        <f>IF($A523&lt;&gt;"",'Approved-In-Depth'!D523,"")</f>
        <v/>
      </c>
      <c r="E523" t="str">
        <f>IF($A523&lt;&gt;"",'Approved-In-Depth'!E523,"")</f>
        <v/>
      </c>
      <c r="F523" t="str">
        <f>IF($A523&lt;&gt;"",'Approved-In-Depth'!F523,"")</f>
        <v/>
      </c>
      <c r="G523" t="str">
        <f>IF($A523&lt;&gt;"",'Approved-In-Depth'!G523,"")</f>
        <v/>
      </c>
      <c r="H523" s="4" t="str">
        <f>IF($A523&lt;&gt;"",'Approved-In-Depth'!H523,"")</f>
        <v/>
      </c>
      <c r="I523" t="str">
        <f>IF($A523&lt;&gt;"",'Approved-In-Depth'!I523,"")</f>
        <v/>
      </c>
      <c r="J523" t="str">
        <f>IF($A523&lt;&gt;"",'Approved-In-Depth'!J523,"")</f>
        <v/>
      </c>
      <c r="K523" t="str">
        <f>IF($A523&lt;&gt;"",'Approved-In-Depth'!K523,"")</f>
        <v/>
      </c>
      <c r="L523" s="4" t="str">
        <f>IF($A523&lt;&gt;"",'Approved-In-Depth'!L523,"")</f>
        <v/>
      </c>
      <c r="M523" t="str">
        <f>IF($A523&lt;&gt;"",'Approved-In-Depth'!M523,"")</f>
        <v/>
      </c>
    </row>
    <row r="524" spans="1:13" x14ac:dyDescent="0.35">
      <c r="A524" s="4" t="str">
        <f>IF('Approved-In-Depth'!$A524&lt;&gt;"",'Approved-In-Depth'!A524,"")</f>
        <v/>
      </c>
      <c r="B524" t="str">
        <f>IF($O524&lt;&gt;"",$O524,IF($A524&lt;&gt;"",'Approved-In-Depth'!$B524+7,""))</f>
        <v/>
      </c>
      <c r="C524" t="str">
        <f>IF($A524&lt;&gt;"",'Approved-In-Depth'!C524,"")</f>
        <v/>
      </c>
      <c r="D524" t="str">
        <f>IF($A524&lt;&gt;"",'Approved-In-Depth'!D524,"")</f>
        <v/>
      </c>
      <c r="E524" t="str">
        <f>IF($A524&lt;&gt;"",'Approved-In-Depth'!E524,"")</f>
        <v/>
      </c>
      <c r="F524" t="str">
        <f>IF($A524&lt;&gt;"",'Approved-In-Depth'!F524,"")</f>
        <v/>
      </c>
      <c r="G524" t="str">
        <f>IF($A524&lt;&gt;"",'Approved-In-Depth'!G524,"")</f>
        <v/>
      </c>
      <c r="H524" s="4" t="str">
        <f>IF($A524&lt;&gt;"",'Approved-In-Depth'!H524,"")</f>
        <v/>
      </c>
      <c r="I524" t="str">
        <f>IF($A524&lt;&gt;"",'Approved-In-Depth'!I524,"")</f>
        <v/>
      </c>
      <c r="J524" t="str">
        <f>IF($A524&lt;&gt;"",'Approved-In-Depth'!J524,"")</f>
        <v/>
      </c>
      <c r="K524" t="str">
        <f>IF($A524&lt;&gt;"",'Approved-In-Depth'!K524,"")</f>
        <v/>
      </c>
      <c r="L524" s="4" t="str">
        <f>IF($A524&lt;&gt;"",'Approved-In-Depth'!L524,"")</f>
        <v/>
      </c>
      <c r="M524" t="str">
        <f>IF($A524&lt;&gt;"",'Approved-In-Depth'!M524,"")</f>
        <v/>
      </c>
    </row>
    <row r="525" spans="1:13" x14ac:dyDescent="0.35">
      <c r="A525" s="4" t="str">
        <f>IF('Approved-In-Depth'!$A525&lt;&gt;"",'Approved-In-Depth'!A525,"")</f>
        <v/>
      </c>
      <c r="B525" t="str">
        <f>IF($O525&lt;&gt;"",$O525,IF($A525&lt;&gt;"",'Approved-In-Depth'!$B525+7,""))</f>
        <v/>
      </c>
      <c r="C525" t="str">
        <f>IF($A525&lt;&gt;"",'Approved-In-Depth'!C525,"")</f>
        <v/>
      </c>
      <c r="D525" t="str">
        <f>IF($A525&lt;&gt;"",'Approved-In-Depth'!D525,"")</f>
        <v/>
      </c>
      <c r="E525" t="str">
        <f>IF($A525&lt;&gt;"",'Approved-In-Depth'!E525,"")</f>
        <v/>
      </c>
      <c r="F525" t="str">
        <f>IF($A525&lt;&gt;"",'Approved-In-Depth'!F525,"")</f>
        <v/>
      </c>
      <c r="G525" t="str">
        <f>IF($A525&lt;&gt;"",'Approved-In-Depth'!G525,"")</f>
        <v/>
      </c>
      <c r="H525" s="4" t="str">
        <f>IF($A525&lt;&gt;"",'Approved-In-Depth'!H525,"")</f>
        <v/>
      </c>
      <c r="I525" t="str">
        <f>IF($A525&lt;&gt;"",'Approved-In-Depth'!I525,"")</f>
        <v/>
      </c>
      <c r="J525" t="str">
        <f>IF($A525&lt;&gt;"",'Approved-In-Depth'!J525,"")</f>
        <v/>
      </c>
      <c r="K525" t="str">
        <f>IF($A525&lt;&gt;"",'Approved-In-Depth'!K525,"")</f>
        <v/>
      </c>
      <c r="L525" s="4" t="str">
        <f>IF($A525&lt;&gt;"",'Approved-In-Depth'!L525,"")</f>
        <v/>
      </c>
      <c r="M525" t="str">
        <f>IF($A525&lt;&gt;"",'Approved-In-Depth'!M525,"")</f>
        <v/>
      </c>
    </row>
    <row r="526" spans="1:13" x14ac:dyDescent="0.35">
      <c r="A526" s="4" t="str">
        <f>IF('Approved-In-Depth'!$A526&lt;&gt;"",'Approved-In-Depth'!A526,"")</f>
        <v/>
      </c>
      <c r="B526" t="str">
        <f>IF($O526&lt;&gt;"",$O526,IF($A526&lt;&gt;"",'Approved-In-Depth'!$B526+7,""))</f>
        <v/>
      </c>
      <c r="C526" t="str">
        <f>IF($A526&lt;&gt;"",'Approved-In-Depth'!C526,"")</f>
        <v/>
      </c>
      <c r="D526" t="str">
        <f>IF($A526&lt;&gt;"",'Approved-In-Depth'!D526,"")</f>
        <v/>
      </c>
      <c r="E526" t="str">
        <f>IF($A526&lt;&gt;"",'Approved-In-Depth'!E526,"")</f>
        <v/>
      </c>
      <c r="F526" t="str">
        <f>IF($A526&lt;&gt;"",'Approved-In-Depth'!F526,"")</f>
        <v/>
      </c>
      <c r="G526" t="str">
        <f>IF($A526&lt;&gt;"",'Approved-In-Depth'!G526,"")</f>
        <v/>
      </c>
      <c r="H526" s="4" t="str">
        <f>IF($A526&lt;&gt;"",'Approved-In-Depth'!H526,"")</f>
        <v/>
      </c>
      <c r="I526" t="str">
        <f>IF($A526&lt;&gt;"",'Approved-In-Depth'!I526,"")</f>
        <v/>
      </c>
      <c r="J526" t="str">
        <f>IF($A526&lt;&gt;"",'Approved-In-Depth'!J526,"")</f>
        <v/>
      </c>
      <c r="K526" t="str">
        <f>IF($A526&lt;&gt;"",'Approved-In-Depth'!K526,"")</f>
        <v/>
      </c>
      <c r="L526" s="4" t="str">
        <f>IF($A526&lt;&gt;"",'Approved-In-Depth'!L526,"")</f>
        <v/>
      </c>
      <c r="M526" t="str">
        <f>IF($A526&lt;&gt;"",'Approved-In-Depth'!M526,"")</f>
        <v/>
      </c>
    </row>
    <row r="527" spans="1:13" x14ac:dyDescent="0.35">
      <c r="A527" s="4" t="str">
        <f>IF('Approved-In-Depth'!$A527&lt;&gt;"",'Approved-In-Depth'!A527,"")</f>
        <v/>
      </c>
      <c r="B527" t="str">
        <f>IF($O527&lt;&gt;"",$O527,IF($A527&lt;&gt;"",'Approved-In-Depth'!$B527+7,""))</f>
        <v/>
      </c>
      <c r="C527" t="str">
        <f>IF($A527&lt;&gt;"",'Approved-In-Depth'!C527,"")</f>
        <v/>
      </c>
      <c r="D527" t="str">
        <f>IF($A527&lt;&gt;"",'Approved-In-Depth'!D527,"")</f>
        <v/>
      </c>
      <c r="E527" t="str">
        <f>IF($A527&lt;&gt;"",'Approved-In-Depth'!E527,"")</f>
        <v/>
      </c>
      <c r="F527" t="str">
        <f>IF($A527&lt;&gt;"",'Approved-In-Depth'!F527,"")</f>
        <v/>
      </c>
      <c r="G527" t="str">
        <f>IF($A527&lt;&gt;"",'Approved-In-Depth'!G527,"")</f>
        <v/>
      </c>
      <c r="H527" s="4" t="str">
        <f>IF($A527&lt;&gt;"",'Approved-In-Depth'!H527,"")</f>
        <v/>
      </c>
      <c r="I527" t="str">
        <f>IF($A527&lt;&gt;"",'Approved-In-Depth'!I527,"")</f>
        <v/>
      </c>
      <c r="J527" t="str">
        <f>IF($A527&lt;&gt;"",'Approved-In-Depth'!J527,"")</f>
        <v/>
      </c>
      <c r="K527" t="str">
        <f>IF($A527&lt;&gt;"",'Approved-In-Depth'!K527,"")</f>
        <v/>
      </c>
      <c r="L527" s="4" t="str">
        <f>IF($A527&lt;&gt;"",'Approved-In-Depth'!L527,"")</f>
        <v/>
      </c>
      <c r="M527" t="str">
        <f>IF($A527&lt;&gt;"",'Approved-In-Depth'!M527,"")</f>
        <v/>
      </c>
    </row>
    <row r="528" spans="1:13" x14ac:dyDescent="0.35">
      <c r="A528" s="4" t="str">
        <f>IF('Approved-In-Depth'!$A528&lt;&gt;"",'Approved-In-Depth'!A528,"")</f>
        <v/>
      </c>
      <c r="B528" t="str">
        <f>IF($O528&lt;&gt;"",$O528,IF($A528&lt;&gt;"",'Approved-In-Depth'!$B528+7,""))</f>
        <v/>
      </c>
      <c r="C528" t="str">
        <f>IF($A528&lt;&gt;"",'Approved-In-Depth'!C528,"")</f>
        <v/>
      </c>
      <c r="D528" t="str">
        <f>IF($A528&lt;&gt;"",'Approved-In-Depth'!D528,"")</f>
        <v/>
      </c>
      <c r="E528" t="str">
        <f>IF($A528&lt;&gt;"",'Approved-In-Depth'!E528,"")</f>
        <v/>
      </c>
      <c r="F528" t="str">
        <f>IF($A528&lt;&gt;"",'Approved-In-Depth'!F528,"")</f>
        <v/>
      </c>
      <c r="G528" t="str">
        <f>IF($A528&lt;&gt;"",'Approved-In-Depth'!G528,"")</f>
        <v/>
      </c>
      <c r="H528" s="4" t="str">
        <f>IF($A528&lt;&gt;"",'Approved-In-Depth'!H528,"")</f>
        <v/>
      </c>
      <c r="I528" t="str">
        <f>IF($A528&lt;&gt;"",'Approved-In-Depth'!I528,"")</f>
        <v/>
      </c>
      <c r="J528" t="str">
        <f>IF($A528&lt;&gt;"",'Approved-In-Depth'!J528,"")</f>
        <v/>
      </c>
      <c r="K528" t="str">
        <f>IF($A528&lt;&gt;"",'Approved-In-Depth'!K528,"")</f>
        <v/>
      </c>
      <c r="L528" s="4" t="str">
        <f>IF($A528&lt;&gt;"",'Approved-In-Depth'!L528,"")</f>
        <v/>
      </c>
      <c r="M528" t="str">
        <f>IF($A528&lt;&gt;"",'Approved-In-Depth'!M528,"")</f>
        <v/>
      </c>
    </row>
    <row r="529" spans="1:13" x14ac:dyDescent="0.35">
      <c r="A529" s="4" t="str">
        <f>IF('Approved-In-Depth'!$A529&lt;&gt;"",'Approved-In-Depth'!A529,"")</f>
        <v/>
      </c>
      <c r="B529" t="str">
        <f>IF($O529&lt;&gt;"",$O529,IF($A529&lt;&gt;"",'Approved-In-Depth'!$B529+7,""))</f>
        <v/>
      </c>
      <c r="C529" t="str">
        <f>IF($A529&lt;&gt;"",'Approved-In-Depth'!C529,"")</f>
        <v/>
      </c>
      <c r="D529" t="str">
        <f>IF($A529&lt;&gt;"",'Approved-In-Depth'!D529,"")</f>
        <v/>
      </c>
      <c r="E529" t="str">
        <f>IF($A529&lt;&gt;"",'Approved-In-Depth'!E529,"")</f>
        <v/>
      </c>
      <c r="F529" t="str">
        <f>IF($A529&lt;&gt;"",'Approved-In-Depth'!F529,"")</f>
        <v/>
      </c>
      <c r="G529" t="str">
        <f>IF($A529&lt;&gt;"",'Approved-In-Depth'!G529,"")</f>
        <v/>
      </c>
      <c r="H529" s="4" t="str">
        <f>IF($A529&lt;&gt;"",'Approved-In-Depth'!H529,"")</f>
        <v/>
      </c>
      <c r="I529" t="str">
        <f>IF($A529&lt;&gt;"",'Approved-In-Depth'!I529,"")</f>
        <v/>
      </c>
      <c r="J529" t="str">
        <f>IF($A529&lt;&gt;"",'Approved-In-Depth'!J529,"")</f>
        <v/>
      </c>
      <c r="K529" t="str">
        <f>IF($A529&lt;&gt;"",'Approved-In-Depth'!K529,"")</f>
        <v/>
      </c>
      <c r="L529" s="4" t="str">
        <f>IF($A529&lt;&gt;"",'Approved-In-Depth'!L529,"")</f>
        <v/>
      </c>
      <c r="M529" t="str">
        <f>IF($A529&lt;&gt;"",'Approved-In-Depth'!M529,"")</f>
        <v/>
      </c>
    </row>
    <row r="530" spans="1:13" x14ac:dyDescent="0.35">
      <c r="A530" s="4" t="str">
        <f>IF('Approved-In-Depth'!$A530&lt;&gt;"",'Approved-In-Depth'!A530,"")</f>
        <v/>
      </c>
      <c r="B530" t="str">
        <f>IF($O530&lt;&gt;"",$O530,IF($A530&lt;&gt;"",'Approved-In-Depth'!$B530+7,""))</f>
        <v/>
      </c>
      <c r="C530" t="str">
        <f>IF($A530&lt;&gt;"",'Approved-In-Depth'!C530,"")</f>
        <v/>
      </c>
      <c r="D530" t="str">
        <f>IF($A530&lt;&gt;"",'Approved-In-Depth'!D530,"")</f>
        <v/>
      </c>
      <c r="E530" t="str">
        <f>IF($A530&lt;&gt;"",'Approved-In-Depth'!E530,"")</f>
        <v/>
      </c>
      <c r="F530" t="str">
        <f>IF($A530&lt;&gt;"",'Approved-In-Depth'!F530,"")</f>
        <v/>
      </c>
      <c r="G530" t="str">
        <f>IF($A530&lt;&gt;"",'Approved-In-Depth'!G530,"")</f>
        <v/>
      </c>
      <c r="H530" s="4" t="str">
        <f>IF($A530&lt;&gt;"",'Approved-In-Depth'!H530,"")</f>
        <v/>
      </c>
      <c r="I530" t="str">
        <f>IF($A530&lt;&gt;"",'Approved-In-Depth'!I530,"")</f>
        <v/>
      </c>
      <c r="J530" t="str">
        <f>IF($A530&lt;&gt;"",'Approved-In-Depth'!J530,"")</f>
        <v/>
      </c>
      <c r="K530" t="str">
        <f>IF($A530&lt;&gt;"",'Approved-In-Depth'!K530,"")</f>
        <v/>
      </c>
      <c r="L530" s="4" t="str">
        <f>IF($A530&lt;&gt;"",'Approved-In-Depth'!L530,"")</f>
        <v/>
      </c>
      <c r="M530" t="str">
        <f>IF($A530&lt;&gt;"",'Approved-In-Depth'!M530,"")</f>
        <v/>
      </c>
    </row>
    <row r="531" spans="1:13" x14ac:dyDescent="0.35">
      <c r="A531" s="4" t="str">
        <f>IF('Approved-In-Depth'!$A531&lt;&gt;"",'Approved-In-Depth'!A531,"")</f>
        <v/>
      </c>
      <c r="B531" t="str">
        <f>IF($O531&lt;&gt;"",$O531,IF($A531&lt;&gt;"",'Approved-In-Depth'!$B531+7,""))</f>
        <v/>
      </c>
      <c r="C531" t="str">
        <f>IF($A531&lt;&gt;"",'Approved-In-Depth'!C531,"")</f>
        <v/>
      </c>
      <c r="D531" t="str">
        <f>IF($A531&lt;&gt;"",'Approved-In-Depth'!D531,"")</f>
        <v/>
      </c>
      <c r="E531" t="str">
        <f>IF($A531&lt;&gt;"",'Approved-In-Depth'!E531,"")</f>
        <v/>
      </c>
      <c r="F531" t="str">
        <f>IF($A531&lt;&gt;"",'Approved-In-Depth'!F531,"")</f>
        <v/>
      </c>
      <c r="G531" t="str">
        <f>IF($A531&lt;&gt;"",'Approved-In-Depth'!G531,"")</f>
        <v/>
      </c>
      <c r="H531" s="4" t="str">
        <f>IF($A531&lt;&gt;"",'Approved-In-Depth'!H531,"")</f>
        <v/>
      </c>
      <c r="I531" t="str">
        <f>IF($A531&lt;&gt;"",'Approved-In-Depth'!I531,"")</f>
        <v/>
      </c>
      <c r="J531" t="str">
        <f>IF($A531&lt;&gt;"",'Approved-In-Depth'!J531,"")</f>
        <v/>
      </c>
      <c r="K531" t="str">
        <f>IF($A531&lt;&gt;"",'Approved-In-Depth'!K531,"")</f>
        <v/>
      </c>
      <c r="L531" s="4" t="str">
        <f>IF($A531&lt;&gt;"",'Approved-In-Depth'!L531,"")</f>
        <v/>
      </c>
      <c r="M531" t="str">
        <f>IF($A531&lt;&gt;"",'Approved-In-Depth'!M531,"")</f>
        <v/>
      </c>
    </row>
    <row r="532" spans="1:13" x14ac:dyDescent="0.35">
      <c r="A532" s="4" t="str">
        <f>IF('Approved-In-Depth'!$A532&lt;&gt;"",'Approved-In-Depth'!A532,"")</f>
        <v/>
      </c>
      <c r="B532" t="str">
        <f>IF($O532&lt;&gt;"",$O532,IF($A532&lt;&gt;"",'Approved-In-Depth'!$B532+7,""))</f>
        <v/>
      </c>
      <c r="C532" t="str">
        <f>IF($A532&lt;&gt;"",'Approved-In-Depth'!C532,"")</f>
        <v/>
      </c>
      <c r="D532" t="str">
        <f>IF($A532&lt;&gt;"",'Approved-In-Depth'!D532,"")</f>
        <v/>
      </c>
      <c r="E532" t="str">
        <f>IF($A532&lt;&gt;"",'Approved-In-Depth'!E532,"")</f>
        <v/>
      </c>
      <c r="F532" t="str">
        <f>IF($A532&lt;&gt;"",'Approved-In-Depth'!F532,"")</f>
        <v/>
      </c>
      <c r="G532" t="str">
        <f>IF($A532&lt;&gt;"",'Approved-In-Depth'!G532,"")</f>
        <v/>
      </c>
      <c r="H532" s="4" t="str">
        <f>IF($A532&lt;&gt;"",'Approved-In-Depth'!H532,"")</f>
        <v/>
      </c>
      <c r="I532" t="str">
        <f>IF($A532&lt;&gt;"",'Approved-In-Depth'!I532,"")</f>
        <v/>
      </c>
      <c r="J532" t="str">
        <f>IF($A532&lt;&gt;"",'Approved-In-Depth'!J532,"")</f>
        <v/>
      </c>
      <c r="K532" t="str">
        <f>IF($A532&lt;&gt;"",'Approved-In-Depth'!K532,"")</f>
        <v/>
      </c>
      <c r="L532" s="4" t="str">
        <f>IF($A532&lt;&gt;"",'Approved-In-Depth'!L532,"")</f>
        <v/>
      </c>
      <c r="M532" t="str">
        <f>IF($A532&lt;&gt;"",'Approved-In-Depth'!M532,"")</f>
        <v/>
      </c>
    </row>
    <row r="533" spans="1:13" x14ac:dyDescent="0.35">
      <c r="A533" s="4" t="str">
        <f>IF('Approved-In-Depth'!$A533&lt;&gt;"",'Approved-In-Depth'!A533,"")</f>
        <v/>
      </c>
      <c r="B533" t="str">
        <f>IF($O533&lt;&gt;"",$O533,IF($A533&lt;&gt;"",'Approved-In-Depth'!$B533+7,""))</f>
        <v/>
      </c>
      <c r="C533" t="str">
        <f>IF($A533&lt;&gt;"",'Approved-In-Depth'!C533,"")</f>
        <v/>
      </c>
      <c r="D533" t="str">
        <f>IF($A533&lt;&gt;"",'Approved-In-Depth'!D533,"")</f>
        <v/>
      </c>
      <c r="E533" t="str">
        <f>IF($A533&lt;&gt;"",'Approved-In-Depth'!E533,"")</f>
        <v/>
      </c>
      <c r="F533" t="str">
        <f>IF($A533&lt;&gt;"",'Approved-In-Depth'!F533,"")</f>
        <v/>
      </c>
      <c r="G533" t="str">
        <f>IF($A533&lt;&gt;"",'Approved-In-Depth'!G533,"")</f>
        <v/>
      </c>
      <c r="H533" s="4" t="str">
        <f>IF($A533&lt;&gt;"",'Approved-In-Depth'!H533,"")</f>
        <v/>
      </c>
      <c r="I533" t="str">
        <f>IF($A533&lt;&gt;"",'Approved-In-Depth'!I533,"")</f>
        <v/>
      </c>
      <c r="J533" t="str">
        <f>IF($A533&lt;&gt;"",'Approved-In-Depth'!J533,"")</f>
        <v/>
      </c>
      <c r="K533" t="str">
        <f>IF($A533&lt;&gt;"",'Approved-In-Depth'!K533,"")</f>
        <v/>
      </c>
      <c r="L533" s="4" t="str">
        <f>IF($A533&lt;&gt;"",'Approved-In-Depth'!L533,"")</f>
        <v/>
      </c>
      <c r="M533" t="str">
        <f>IF($A533&lt;&gt;"",'Approved-In-Depth'!M533,"")</f>
        <v/>
      </c>
    </row>
    <row r="534" spans="1:13" x14ac:dyDescent="0.35">
      <c r="A534" s="4" t="str">
        <f>IF('Approved-In-Depth'!$A534&lt;&gt;"",'Approved-In-Depth'!A534,"")</f>
        <v/>
      </c>
      <c r="B534" t="str">
        <f>IF($O534&lt;&gt;"",$O534,IF($A534&lt;&gt;"",'Approved-In-Depth'!$B534+7,""))</f>
        <v/>
      </c>
      <c r="C534" t="str">
        <f>IF($A534&lt;&gt;"",'Approved-In-Depth'!C534,"")</f>
        <v/>
      </c>
      <c r="D534" t="str">
        <f>IF($A534&lt;&gt;"",'Approved-In-Depth'!D534,"")</f>
        <v/>
      </c>
      <c r="E534" t="str">
        <f>IF($A534&lt;&gt;"",'Approved-In-Depth'!E534,"")</f>
        <v/>
      </c>
      <c r="F534" t="str">
        <f>IF($A534&lt;&gt;"",'Approved-In-Depth'!F534,"")</f>
        <v/>
      </c>
      <c r="G534" t="str">
        <f>IF($A534&lt;&gt;"",'Approved-In-Depth'!G534,"")</f>
        <v/>
      </c>
      <c r="H534" s="4" t="str">
        <f>IF($A534&lt;&gt;"",'Approved-In-Depth'!H534,"")</f>
        <v/>
      </c>
      <c r="I534" t="str">
        <f>IF($A534&lt;&gt;"",'Approved-In-Depth'!I534,"")</f>
        <v/>
      </c>
      <c r="J534" t="str">
        <f>IF($A534&lt;&gt;"",'Approved-In-Depth'!J534,"")</f>
        <v/>
      </c>
      <c r="K534" t="str">
        <f>IF($A534&lt;&gt;"",'Approved-In-Depth'!K534,"")</f>
        <v/>
      </c>
      <c r="L534" s="4" t="str">
        <f>IF($A534&lt;&gt;"",'Approved-In-Depth'!L534,"")</f>
        <v/>
      </c>
      <c r="M534" t="str">
        <f>IF($A534&lt;&gt;"",'Approved-In-Depth'!M534,"")</f>
        <v/>
      </c>
    </row>
    <row r="535" spans="1:13" x14ac:dyDescent="0.35">
      <c r="A535" s="4" t="str">
        <f>IF('Approved-In-Depth'!$A535&lt;&gt;"",'Approved-In-Depth'!A535,"")</f>
        <v/>
      </c>
      <c r="B535" t="str">
        <f>IF($O535&lt;&gt;"",$O535,IF($A535&lt;&gt;"",'Approved-In-Depth'!$B535+7,""))</f>
        <v/>
      </c>
      <c r="C535" t="str">
        <f>IF($A535&lt;&gt;"",'Approved-In-Depth'!C535,"")</f>
        <v/>
      </c>
      <c r="D535" t="str">
        <f>IF($A535&lt;&gt;"",'Approved-In-Depth'!D535,"")</f>
        <v/>
      </c>
      <c r="E535" t="str">
        <f>IF($A535&lt;&gt;"",'Approved-In-Depth'!E535,"")</f>
        <v/>
      </c>
      <c r="F535" t="str">
        <f>IF($A535&lt;&gt;"",'Approved-In-Depth'!F535,"")</f>
        <v/>
      </c>
      <c r="G535" t="str">
        <f>IF($A535&lt;&gt;"",'Approved-In-Depth'!G535,"")</f>
        <v/>
      </c>
      <c r="H535" s="4" t="str">
        <f>IF($A535&lt;&gt;"",'Approved-In-Depth'!H535,"")</f>
        <v/>
      </c>
      <c r="I535" t="str">
        <f>IF($A535&lt;&gt;"",'Approved-In-Depth'!I535,"")</f>
        <v/>
      </c>
      <c r="J535" t="str">
        <f>IF($A535&lt;&gt;"",'Approved-In-Depth'!J535,"")</f>
        <v/>
      </c>
      <c r="K535" t="str">
        <f>IF($A535&lt;&gt;"",'Approved-In-Depth'!K535,"")</f>
        <v/>
      </c>
      <c r="L535" s="4" t="str">
        <f>IF($A535&lt;&gt;"",'Approved-In-Depth'!L535,"")</f>
        <v/>
      </c>
      <c r="M535" t="str">
        <f>IF($A535&lt;&gt;"",'Approved-In-Depth'!M535,"")</f>
        <v/>
      </c>
    </row>
    <row r="536" spans="1:13" x14ac:dyDescent="0.35">
      <c r="A536" s="4" t="str">
        <f>IF('Approved-In-Depth'!$A536&lt;&gt;"",'Approved-In-Depth'!A536,"")</f>
        <v/>
      </c>
      <c r="B536" t="str">
        <f>IF($O536&lt;&gt;"",$O536,IF($A536&lt;&gt;"",'Approved-In-Depth'!$B536+7,""))</f>
        <v/>
      </c>
      <c r="C536" t="str">
        <f>IF($A536&lt;&gt;"",'Approved-In-Depth'!C536,"")</f>
        <v/>
      </c>
      <c r="D536" t="str">
        <f>IF($A536&lt;&gt;"",'Approved-In-Depth'!D536,"")</f>
        <v/>
      </c>
      <c r="E536" t="str">
        <f>IF($A536&lt;&gt;"",'Approved-In-Depth'!E536,"")</f>
        <v/>
      </c>
      <c r="F536" t="str">
        <f>IF($A536&lt;&gt;"",'Approved-In-Depth'!F536,"")</f>
        <v/>
      </c>
      <c r="G536" t="str">
        <f>IF($A536&lt;&gt;"",'Approved-In-Depth'!G536,"")</f>
        <v/>
      </c>
      <c r="H536" s="4" t="str">
        <f>IF($A536&lt;&gt;"",'Approved-In-Depth'!H536,"")</f>
        <v/>
      </c>
      <c r="I536" t="str">
        <f>IF($A536&lt;&gt;"",'Approved-In-Depth'!I536,"")</f>
        <v/>
      </c>
      <c r="J536" t="str">
        <f>IF($A536&lt;&gt;"",'Approved-In-Depth'!J536,"")</f>
        <v/>
      </c>
      <c r="K536" t="str">
        <f>IF($A536&lt;&gt;"",'Approved-In-Depth'!K536,"")</f>
        <v/>
      </c>
      <c r="L536" s="4" t="str">
        <f>IF($A536&lt;&gt;"",'Approved-In-Depth'!L536,"")</f>
        <v/>
      </c>
      <c r="M536" t="str">
        <f>IF($A536&lt;&gt;"",'Approved-In-Depth'!M536,"")</f>
        <v/>
      </c>
    </row>
    <row r="537" spans="1:13" x14ac:dyDescent="0.35">
      <c r="A537" s="4" t="str">
        <f>IF('Approved-In-Depth'!$A537&lt;&gt;"",'Approved-In-Depth'!A537,"")</f>
        <v/>
      </c>
      <c r="B537" t="str">
        <f>IF($O537&lt;&gt;"",$O537,IF($A537&lt;&gt;"",'Approved-In-Depth'!$B537+7,""))</f>
        <v/>
      </c>
      <c r="C537" t="str">
        <f>IF($A537&lt;&gt;"",'Approved-In-Depth'!C537,"")</f>
        <v/>
      </c>
      <c r="D537" t="str">
        <f>IF($A537&lt;&gt;"",'Approved-In-Depth'!D537,"")</f>
        <v/>
      </c>
      <c r="E537" t="str">
        <f>IF($A537&lt;&gt;"",'Approved-In-Depth'!E537,"")</f>
        <v/>
      </c>
      <c r="F537" t="str">
        <f>IF($A537&lt;&gt;"",'Approved-In-Depth'!F537,"")</f>
        <v/>
      </c>
      <c r="G537" t="str">
        <f>IF($A537&lt;&gt;"",'Approved-In-Depth'!G537,"")</f>
        <v/>
      </c>
      <c r="H537" s="4" t="str">
        <f>IF($A537&lt;&gt;"",'Approved-In-Depth'!H537,"")</f>
        <v/>
      </c>
      <c r="I537" t="str">
        <f>IF($A537&lt;&gt;"",'Approved-In-Depth'!I537,"")</f>
        <v/>
      </c>
      <c r="J537" t="str">
        <f>IF($A537&lt;&gt;"",'Approved-In-Depth'!J537,"")</f>
        <v/>
      </c>
      <c r="K537" t="str">
        <f>IF($A537&lt;&gt;"",'Approved-In-Depth'!K537,"")</f>
        <v/>
      </c>
      <c r="L537" s="4" t="str">
        <f>IF($A537&lt;&gt;"",'Approved-In-Depth'!L537,"")</f>
        <v/>
      </c>
      <c r="M537" t="str">
        <f>IF($A537&lt;&gt;"",'Approved-In-Depth'!M537,"")</f>
        <v/>
      </c>
    </row>
    <row r="538" spans="1:13" x14ac:dyDescent="0.35">
      <c r="A538" s="4" t="str">
        <f>IF('Approved-In-Depth'!$A538&lt;&gt;"",'Approved-In-Depth'!A538,"")</f>
        <v/>
      </c>
      <c r="B538" t="str">
        <f>IF($O538&lt;&gt;"",$O538,IF($A538&lt;&gt;"",'Approved-In-Depth'!$B538+7,""))</f>
        <v/>
      </c>
      <c r="C538" t="str">
        <f>IF($A538&lt;&gt;"",'Approved-In-Depth'!C538,"")</f>
        <v/>
      </c>
      <c r="D538" t="str">
        <f>IF($A538&lt;&gt;"",'Approved-In-Depth'!D538,"")</f>
        <v/>
      </c>
      <c r="E538" t="str">
        <f>IF($A538&lt;&gt;"",'Approved-In-Depth'!E538,"")</f>
        <v/>
      </c>
      <c r="F538" t="str">
        <f>IF($A538&lt;&gt;"",'Approved-In-Depth'!F538,"")</f>
        <v/>
      </c>
      <c r="G538" t="str">
        <f>IF($A538&lt;&gt;"",'Approved-In-Depth'!G538,"")</f>
        <v/>
      </c>
      <c r="H538" s="4" t="str">
        <f>IF($A538&lt;&gt;"",'Approved-In-Depth'!H538,"")</f>
        <v/>
      </c>
      <c r="I538" t="str">
        <f>IF($A538&lt;&gt;"",'Approved-In-Depth'!I538,"")</f>
        <v/>
      </c>
      <c r="J538" t="str">
        <f>IF($A538&lt;&gt;"",'Approved-In-Depth'!J538,"")</f>
        <v/>
      </c>
      <c r="K538" t="str">
        <f>IF($A538&lt;&gt;"",'Approved-In-Depth'!K538,"")</f>
        <v/>
      </c>
      <c r="L538" s="4" t="str">
        <f>IF($A538&lt;&gt;"",'Approved-In-Depth'!L538,"")</f>
        <v/>
      </c>
      <c r="M538" t="str">
        <f>IF($A538&lt;&gt;"",'Approved-In-Depth'!M538,"")</f>
        <v/>
      </c>
    </row>
    <row r="539" spans="1:13" x14ac:dyDescent="0.35">
      <c r="A539" s="4" t="str">
        <f>IF('Approved-In-Depth'!$A539&lt;&gt;"",'Approved-In-Depth'!A539,"")</f>
        <v/>
      </c>
      <c r="B539" t="str">
        <f>IF($O539&lt;&gt;"",$O539,IF($A539&lt;&gt;"",'Approved-In-Depth'!$B539+7,""))</f>
        <v/>
      </c>
      <c r="C539" t="str">
        <f>IF($A539&lt;&gt;"",'Approved-In-Depth'!C539,"")</f>
        <v/>
      </c>
      <c r="D539" t="str">
        <f>IF($A539&lt;&gt;"",'Approved-In-Depth'!D539,"")</f>
        <v/>
      </c>
      <c r="E539" t="str">
        <f>IF($A539&lt;&gt;"",'Approved-In-Depth'!E539,"")</f>
        <v/>
      </c>
      <c r="F539" t="str">
        <f>IF($A539&lt;&gt;"",'Approved-In-Depth'!F539,"")</f>
        <v/>
      </c>
      <c r="G539" t="str">
        <f>IF($A539&lt;&gt;"",'Approved-In-Depth'!G539,"")</f>
        <v/>
      </c>
      <c r="H539" s="4" t="str">
        <f>IF($A539&lt;&gt;"",'Approved-In-Depth'!H539,"")</f>
        <v/>
      </c>
      <c r="I539" t="str">
        <f>IF($A539&lt;&gt;"",'Approved-In-Depth'!I539,"")</f>
        <v/>
      </c>
      <c r="J539" t="str">
        <f>IF($A539&lt;&gt;"",'Approved-In-Depth'!J539,"")</f>
        <v/>
      </c>
      <c r="K539" t="str">
        <f>IF($A539&lt;&gt;"",'Approved-In-Depth'!K539,"")</f>
        <v/>
      </c>
      <c r="L539" s="4" t="str">
        <f>IF($A539&lt;&gt;"",'Approved-In-Depth'!L539,"")</f>
        <v/>
      </c>
      <c r="M539" t="str">
        <f>IF($A539&lt;&gt;"",'Approved-In-Depth'!M539,"")</f>
        <v/>
      </c>
    </row>
    <row r="540" spans="1:13" x14ac:dyDescent="0.35">
      <c r="A540" s="4" t="str">
        <f>IF('Approved-In-Depth'!$A540&lt;&gt;"",'Approved-In-Depth'!A540,"")</f>
        <v/>
      </c>
      <c r="B540" t="str">
        <f>IF($O540&lt;&gt;"",$O540,IF($A540&lt;&gt;"",'Approved-In-Depth'!$B540+7,""))</f>
        <v/>
      </c>
      <c r="C540" t="str">
        <f>IF($A540&lt;&gt;"",'Approved-In-Depth'!C540,"")</f>
        <v/>
      </c>
      <c r="D540" t="str">
        <f>IF($A540&lt;&gt;"",'Approved-In-Depth'!D540,"")</f>
        <v/>
      </c>
      <c r="E540" t="str">
        <f>IF($A540&lt;&gt;"",'Approved-In-Depth'!E540,"")</f>
        <v/>
      </c>
      <c r="F540" t="str">
        <f>IF($A540&lt;&gt;"",'Approved-In-Depth'!F540,"")</f>
        <v/>
      </c>
      <c r="G540" t="str">
        <f>IF($A540&lt;&gt;"",'Approved-In-Depth'!G540,"")</f>
        <v/>
      </c>
      <c r="H540" s="4" t="str">
        <f>IF($A540&lt;&gt;"",'Approved-In-Depth'!H540,"")</f>
        <v/>
      </c>
      <c r="I540" t="str">
        <f>IF($A540&lt;&gt;"",'Approved-In-Depth'!I540,"")</f>
        <v/>
      </c>
      <c r="J540" t="str">
        <f>IF($A540&lt;&gt;"",'Approved-In-Depth'!J540,"")</f>
        <v/>
      </c>
      <c r="K540" t="str">
        <f>IF($A540&lt;&gt;"",'Approved-In-Depth'!K540,"")</f>
        <v/>
      </c>
      <c r="L540" s="4" t="str">
        <f>IF($A540&lt;&gt;"",'Approved-In-Depth'!L540,"")</f>
        <v/>
      </c>
      <c r="M540" t="str">
        <f>IF($A540&lt;&gt;"",'Approved-In-Depth'!M540,"")</f>
        <v/>
      </c>
    </row>
    <row r="541" spans="1:13" x14ac:dyDescent="0.35">
      <c r="A541" s="4" t="str">
        <f>IF('Approved-In-Depth'!$A541&lt;&gt;"",'Approved-In-Depth'!A541,"")</f>
        <v/>
      </c>
      <c r="B541" t="str">
        <f>IF($O541&lt;&gt;"",$O541,IF($A541&lt;&gt;"",'Approved-In-Depth'!$B541+7,""))</f>
        <v/>
      </c>
      <c r="C541" t="str">
        <f>IF($A541&lt;&gt;"",'Approved-In-Depth'!C541,"")</f>
        <v/>
      </c>
      <c r="D541" t="str">
        <f>IF($A541&lt;&gt;"",'Approved-In-Depth'!D541,"")</f>
        <v/>
      </c>
      <c r="E541" t="str">
        <f>IF($A541&lt;&gt;"",'Approved-In-Depth'!E541,"")</f>
        <v/>
      </c>
      <c r="F541" t="str">
        <f>IF($A541&lt;&gt;"",'Approved-In-Depth'!F541,"")</f>
        <v/>
      </c>
      <c r="G541" t="str">
        <f>IF($A541&lt;&gt;"",'Approved-In-Depth'!G541,"")</f>
        <v/>
      </c>
      <c r="H541" s="4" t="str">
        <f>IF($A541&lt;&gt;"",'Approved-In-Depth'!H541,"")</f>
        <v/>
      </c>
      <c r="I541" t="str">
        <f>IF($A541&lt;&gt;"",'Approved-In-Depth'!I541,"")</f>
        <v/>
      </c>
      <c r="J541" t="str">
        <f>IF($A541&lt;&gt;"",'Approved-In-Depth'!J541,"")</f>
        <v/>
      </c>
      <c r="K541" t="str">
        <f>IF($A541&lt;&gt;"",'Approved-In-Depth'!K541,"")</f>
        <v/>
      </c>
      <c r="L541" s="4" t="str">
        <f>IF($A541&lt;&gt;"",'Approved-In-Depth'!L541,"")</f>
        <v/>
      </c>
      <c r="M541" t="str">
        <f>IF($A541&lt;&gt;"",'Approved-In-Depth'!M541,"")</f>
        <v/>
      </c>
    </row>
    <row r="542" spans="1:13" x14ac:dyDescent="0.35">
      <c r="A542" s="4" t="str">
        <f>IF('Approved-In-Depth'!$A542&lt;&gt;"",'Approved-In-Depth'!A542,"")</f>
        <v/>
      </c>
      <c r="B542" t="str">
        <f>IF($O542&lt;&gt;"",$O542,IF($A542&lt;&gt;"",'Approved-In-Depth'!$B542+7,""))</f>
        <v/>
      </c>
      <c r="C542" t="str">
        <f>IF($A542&lt;&gt;"",'Approved-In-Depth'!C542,"")</f>
        <v/>
      </c>
      <c r="D542" t="str">
        <f>IF($A542&lt;&gt;"",'Approved-In-Depth'!D542,"")</f>
        <v/>
      </c>
      <c r="E542" t="str">
        <f>IF($A542&lt;&gt;"",'Approved-In-Depth'!E542,"")</f>
        <v/>
      </c>
      <c r="F542" t="str">
        <f>IF($A542&lt;&gt;"",'Approved-In-Depth'!F542,"")</f>
        <v/>
      </c>
      <c r="G542" t="str">
        <f>IF($A542&lt;&gt;"",'Approved-In-Depth'!G542,"")</f>
        <v/>
      </c>
      <c r="H542" s="4" t="str">
        <f>IF($A542&lt;&gt;"",'Approved-In-Depth'!H542,"")</f>
        <v/>
      </c>
      <c r="I542" t="str">
        <f>IF($A542&lt;&gt;"",'Approved-In-Depth'!I542,"")</f>
        <v/>
      </c>
      <c r="J542" t="str">
        <f>IF($A542&lt;&gt;"",'Approved-In-Depth'!J542,"")</f>
        <v/>
      </c>
      <c r="K542" t="str">
        <f>IF($A542&lt;&gt;"",'Approved-In-Depth'!K542,"")</f>
        <v/>
      </c>
      <c r="L542" s="4" t="str">
        <f>IF($A542&lt;&gt;"",'Approved-In-Depth'!L542,"")</f>
        <v/>
      </c>
      <c r="M542" t="str">
        <f>IF($A542&lt;&gt;"",'Approved-In-Depth'!M542,"")</f>
        <v/>
      </c>
    </row>
    <row r="543" spans="1:13" x14ac:dyDescent="0.35">
      <c r="A543" s="4" t="str">
        <f>IF('Approved-In-Depth'!$A543&lt;&gt;"",'Approved-In-Depth'!A543,"")</f>
        <v/>
      </c>
      <c r="B543" t="str">
        <f>IF($O543&lt;&gt;"",$O543,IF($A543&lt;&gt;"",'Approved-In-Depth'!$B543+7,""))</f>
        <v/>
      </c>
      <c r="C543" t="str">
        <f>IF($A543&lt;&gt;"",'Approved-In-Depth'!C543,"")</f>
        <v/>
      </c>
      <c r="D543" t="str">
        <f>IF($A543&lt;&gt;"",'Approved-In-Depth'!D543,"")</f>
        <v/>
      </c>
      <c r="E543" t="str">
        <f>IF($A543&lt;&gt;"",'Approved-In-Depth'!E543,"")</f>
        <v/>
      </c>
      <c r="F543" t="str">
        <f>IF($A543&lt;&gt;"",'Approved-In-Depth'!F543,"")</f>
        <v/>
      </c>
      <c r="G543" t="str">
        <f>IF($A543&lt;&gt;"",'Approved-In-Depth'!G543,"")</f>
        <v/>
      </c>
      <c r="H543" s="4" t="str">
        <f>IF($A543&lt;&gt;"",'Approved-In-Depth'!H543,"")</f>
        <v/>
      </c>
      <c r="I543" t="str">
        <f>IF($A543&lt;&gt;"",'Approved-In-Depth'!I543,"")</f>
        <v/>
      </c>
      <c r="J543" t="str">
        <f>IF($A543&lt;&gt;"",'Approved-In-Depth'!J543,"")</f>
        <v/>
      </c>
      <c r="K543" t="str">
        <f>IF($A543&lt;&gt;"",'Approved-In-Depth'!K543,"")</f>
        <v/>
      </c>
      <c r="L543" s="4" t="str">
        <f>IF($A543&lt;&gt;"",'Approved-In-Depth'!L543,"")</f>
        <v/>
      </c>
      <c r="M543" t="str">
        <f>IF($A543&lt;&gt;"",'Approved-In-Depth'!M543,"")</f>
        <v/>
      </c>
    </row>
    <row r="544" spans="1:13" x14ac:dyDescent="0.35">
      <c r="A544" s="4" t="str">
        <f>IF('Approved-In-Depth'!$A544&lt;&gt;"",'Approved-In-Depth'!A544,"")</f>
        <v/>
      </c>
      <c r="B544" t="str">
        <f>IF($O544&lt;&gt;"",$O544,IF($A544&lt;&gt;"",'Approved-In-Depth'!$B544+7,""))</f>
        <v/>
      </c>
      <c r="C544" t="str">
        <f>IF($A544&lt;&gt;"",'Approved-In-Depth'!C544,"")</f>
        <v/>
      </c>
      <c r="D544" t="str">
        <f>IF($A544&lt;&gt;"",'Approved-In-Depth'!D544,"")</f>
        <v/>
      </c>
      <c r="E544" t="str">
        <f>IF($A544&lt;&gt;"",'Approved-In-Depth'!E544,"")</f>
        <v/>
      </c>
      <c r="F544" t="str">
        <f>IF($A544&lt;&gt;"",'Approved-In-Depth'!F544,"")</f>
        <v/>
      </c>
      <c r="G544" t="str">
        <f>IF($A544&lt;&gt;"",'Approved-In-Depth'!G544,"")</f>
        <v/>
      </c>
      <c r="H544" s="4" t="str">
        <f>IF($A544&lt;&gt;"",'Approved-In-Depth'!H544,"")</f>
        <v/>
      </c>
      <c r="I544" t="str">
        <f>IF($A544&lt;&gt;"",'Approved-In-Depth'!I544,"")</f>
        <v/>
      </c>
      <c r="J544" t="str">
        <f>IF($A544&lt;&gt;"",'Approved-In-Depth'!J544,"")</f>
        <v/>
      </c>
      <c r="K544" t="str">
        <f>IF($A544&lt;&gt;"",'Approved-In-Depth'!K544,"")</f>
        <v/>
      </c>
      <c r="L544" s="4" t="str">
        <f>IF($A544&lt;&gt;"",'Approved-In-Depth'!L544,"")</f>
        <v/>
      </c>
      <c r="M544" t="str">
        <f>IF($A544&lt;&gt;"",'Approved-In-Depth'!M544,"")</f>
        <v/>
      </c>
    </row>
    <row r="545" spans="1:13" x14ac:dyDescent="0.35">
      <c r="A545" s="4" t="str">
        <f>IF('Approved-In-Depth'!$A545&lt;&gt;"",'Approved-In-Depth'!A545,"")</f>
        <v/>
      </c>
      <c r="B545" t="str">
        <f>IF($O545&lt;&gt;"",$O545,IF($A545&lt;&gt;"",'Approved-In-Depth'!$B545+7,""))</f>
        <v/>
      </c>
      <c r="C545" t="str">
        <f>IF($A545&lt;&gt;"",'Approved-In-Depth'!C545,"")</f>
        <v/>
      </c>
      <c r="D545" t="str">
        <f>IF($A545&lt;&gt;"",'Approved-In-Depth'!D545,"")</f>
        <v/>
      </c>
      <c r="E545" t="str">
        <f>IF($A545&lt;&gt;"",'Approved-In-Depth'!E545,"")</f>
        <v/>
      </c>
      <c r="F545" t="str">
        <f>IF($A545&lt;&gt;"",'Approved-In-Depth'!F545,"")</f>
        <v/>
      </c>
      <c r="G545" t="str">
        <f>IF($A545&lt;&gt;"",'Approved-In-Depth'!G545,"")</f>
        <v/>
      </c>
      <c r="H545" s="4" t="str">
        <f>IF($A545&lt;&gt;"",'Approved-In-Depth'!H545,"")</f>
        <v/>
      </c>
      <c r="I545" t="str">
        <f>IF($A545&lt;&gt;"",'Approved-In-Depth'!I545,"")</f>
        <v/>
      </c>
      <c r="J545" t="str">
        <f>IF($A545&lt;&gt;"",'Approved-In-Depth'!J545,"")</f>
        <v/>
      </c>
      <c r="K545" t="str">
        <f>IF($A545&lt;&gt;"",'Approved-In-Depth'!K545,"")</f>
        <v/>
      </c>
      <c r="L545" s="4" t="str">
        <f>IF($A545&lt;&gt;"",'Approved-In-Depth'!L545,"")</f>
        <v/>
      </c>
      <c r="M545" t="str">
        <f>IF($A545&lt;&gt;"",'Approved-In-Depth'!M545,"")</f>
        <v/>
      </c>
    </row>
    <row r="546" spans="1:13" x14ac:dyDescent="0.35">
      <c r="A546" s="4" t="str">
        <f>IF('Approved-In-Depth'!$A546&lt;&gt;"",'Approved-In-Depth'!A546,"")</f>
        <v/>
      </c>
      <c r="B546" t="str">
        <f>IF($O546&lt;&gt;"",$O546,IF($A546&lt;&gt;"",'Approved-In-Depth'!$B546+7,""))</f>
        <v/>
      </c>
      <c r="C546" t="str">
        <f>IF($A546&lt;&gt;"",'Approved-In-Depth'!C546,"")</f>
        <v/>
      </c>
      <c r="D546" t="str">
        <f>IF($A546&lt;&gt;"",'Approved-In-Depth'!D546,"")</f>
        <v/>
      </c>
      <c r="E546" t="str">
        <f>IF($A546&lt;&gt;"",'Approved-In-Depth'!E546,"")</f>
        <v/>
      </c>
      <c r="F546" t="str">
        <f>IF($A546&lt;&gt;"",'Approved-In-Depth'!F546,"")</f>
        <v/>
      </c>
      <c r="G546" t="str">
        <f>IF($A546&lt;&gt;"",'Approved-In-Depth'!G546,"")</f>
        <v/>
      </c>
      <c r="H546" s="4" t="str">
        <f>IF($A546&lt;&gt;"",'Approved-In-Depth'!H546,"")</f>
        <v/>
      </c>
      <c r="I546" t="str">
        <f>IF($A546&lt;&gt;"",'Approved-In-Depth'!I546,"")</f>
        <v/>
      </c>
      <c r="J546" t="str">
        <f>IF($A546&lt;&gt;"",'Approved-In-Depth'!J546,"")</f>
        <v/>
      </c>
      <c r="K546" t="str">
        <f>IF($A546&lt;&gt;"",'Approved-In-Depth'!K546,"")</f>
        <v/>
      </c>
      <c r="L546" s="4" t="str">
        <f>IF($A546&lt;&gt;"",'Approved-In-Depth'!L546,"")</f>
        <v/>
      </c>
      <c r="M546" t="str">
        <f>IF($A546&lt;&gt;"",'Approved-In-Depth'!M546,"")</f>
        <v/>
      </c>
    </row>
    <row r="547" spans="1:13" x14ac:dyDescent="0.35">
      <c r="A547" s="4" t="str">
        <f>IF('Approved-In-Depth'!$A547&lt;&gt;"",'Approved-In-Depth'!A547,"")</f>
        <v/>
      </c>
      <c r="B547" t="str">
        <f>IF($O547&lt;&gt;"",$O547,IF($A547&lt;&gt;"",'Approved-In-Depth'!$B547+7,""))</f>
        <v/>
      </c>
      <c r="C547" t="str">
        <f>IF($A547&lt;&gt;"",'Approved-In-Depth'!C547,"")</f>
        <v/>
      </c>
      <c r="D547" t="str">
        <f>IF($A547&lt;&gt;"",'Approved-In-Depth'!D547,"")</f>
        <v/>
      </c>
      <c r="E547" t="str">
        <f>IF($A547&lt;&gt;"",'Approved-In-Depth'!E547,"")</f>
        <v/>
      </c>
      <c r="F547" t="str">
        <f>IF($A547&lt;&gt;"",'Approved-In-Depth'!F547,"")</f>
        <v/>
      </c>
      <c r="G547" t="str">
        <f>IF($A547&lt;&gt;"",'Approved-In-Depth'!G547,"")</f>
        <v/>
      </c>
      <c r="H547" s="4" t="str">
        <f>IF($A547&lt;&gt;"",'Approved-In-Depth'!H547,"")</f>
        <v/>
      </c>
      <c r="I547" t="str">
        <f>IF($A547&lt;&gt;"",'Approved-In-Depth'!I547,"")</f>
        <v/>
      </c>
      <c r="J547" t="str">
        <f>IF($A547&lt;&gt;"",'Approved-In-Depth'!J547,"")</f>
        <v/>
      </c>
      <c r="K547" t="str">
        <f>IF($A547&lt;&gt;"",'Approved-In-Depth'!K547,"")</f>
        <v/>
      </c>
      <c r="L547" s="4" t="str">
        <f>IF($A547&lt;&gt;"",'Approved-In-Depth'!L547,"")</f>
        <v/>
      </c>
      <c r="M547" t="str">
        <f>IF($A547&lt;&gt;"",'Approved-In-Depth'!M547,"")</f>
        <v/>
      </c>
    </row>
    <row r="548" spans="1:13" x14ac:dyDescent="0.35">
      <c r="A548" s="4" t="str">
        <f>IF('Approved-In-Depth'!$A548&lt;&gt;"",'Approved-In-Depth'!A548,"")</f>
        <v/>
      </c>
      <c r="B548" t="str">
        <f>IF($O548&lt;&gt;"",$O548,IF($A548&lt;&gt;"",'Approved-In-Depth'!$B548+7,""))</f>
        <v/>
      </c>
      <c r="C548" t="str">
        <f>IF($A548&lt;&gt;"",'Approved-In-Depth'!C548,"")</f>
        <v/>
      </c>
      <c r="D548" t="str">
        <f>IF($A548&lt;&gt;"",'Approved-In-Depth'!D548,"")</f>
        <v/>
      </c>
      <c r="E548" t="str">
        <f>IF($A548&lt;&gt;"",'Approved-In-Depth'!E548,"")</f>
        <v/>
      </c>
      <c r="F548" t="str">
        <f>IF($A548&lt;&gt;"",'Approved-In-Depth'!F548,"")</f>
        <v/>
      </c>
      <c r="G548" t="str">
        <f>IF($A548&lt;&gt;"",'Approved-In-Depth'!G548,"")</f>
        <v/>
      </c>
      <c r="H548" s="4" t="str">
        <f>IF($A548&lt;&gt;"",'Approved-In-Depth'!H548,"")</f>
        <v/>
      </c>
      <c r="I548" t="str">
        <f>IF($A548&lt;&gt;"",'Approved-In-Depth'!I548,"")</f>
        <v/>
      </c>
      <c r="J548" t="str">
        <f>IF($A548&lt;&gt;"",'Approved-In-Depth'!J548,"")</f>
        <v/>
      </c>
      <c r="K548" t="str">
        <f>IF($A548&lt;&gt;"",'Approved-In-Depth'!K548,"")</f>
        <v/>
      </c>
      <c r="L548" s="4" t="str">
        <f>IF($A548&lt;&gt;"",'Approved-In-Depth'!L548,"")</f>
        <v/>
      </c>
      <c r="M548" t="str">
        <f>IF($A548&lt;&gt;"",'Approved-In-Depth'!M548,"")</f>
        <v/>
      </c>
    </row>
    <row r="549" spans="1:13" x14ac:dyDescent="0.35">
      <c r="A549" s="4" t="str">
        <f>IF('Approved-In-Depth'!$A549&lt;&gt;"",'Approved-In-Depth'!A549,"")</f>
        <v/>
      </c>
      <c r="B549" t="str">
        <f>IF($O549&lt;&gt;"",$O549,IF($A549&lt;&gt;"",'Approved-In-Depth'!$B549+7,""))</f>
        <v/>
      </c>
      <c r="C549" t="str">
        <f>IF($A549&lt;&gt;"",'Approved-In-Depth'!C549,"")</f>
        <v/>
      </c>
      <c r="D549" t="str">
        <f>IF($A549&lt;&gt;"",'Approved-In-Depth'!D549,"")</f>
        <v/>
      </c>
      <c r="E549" t="str">
        <f>IF($A549&lt;&gt;"",'Approved-In-Depth'!E549,"")</f>
        <v/>
      </c>
      <c r="F549" t="str">
        <f>IF($A549&lt;&gt;"",'Approved-In-Depth'!F549,"")</f>
        <v/>
      </c>
      <c r="G549" t="str">
        <f>IF($A549&lt;&gt;"",'Approved-In-Depth'!G549,"")</f>
        <v/>
      </c>
      <c r="H549" s="4" t="str">
        <f>IF($A549&lt;&gt;"",'Approved-In-Depth'!H549,"")</f>
        <v/>
      </c>
      <c r="I549" t="str">
        <f>IF($A549&lt;&gt;"",'Approved-In-Depth'!I549,"")</f>
        <v/>
      </c>
      <c r="J549" t="str">
        <f>IF($A549&lt;&gt;"",'Approved-In-Depth'!J549,"")</f>
        <v/>
      </c>
      <c r="K549" t="str">
        <f>IF($A549&lt;&gt;"",'Approved-In-Depth'!K549,"")</f>
        <v/>
      </c>
      <c r="L549" s="4" t="str">
        <f>IF($A549&lt;&gt;"",'Approved-In-Depth'!L549,"")</f>
        <v/>
      </c>
      <c r="M549" t="str">
        <f>IF($A549&lt;&gt;"",'Approved-In-Depth'!M549,"")</f>
        <v/>
      </c>
    </row>
    <row r="550" spans="1:13" x14ac:dyDescent="0.35">
      <c r="A550" s="4" t="str">
        <f>IF('Approved-In-Depth'!$A550&lt;&gt;"",'Approved-In-Depth'!A550,"")</f>
        <v/>
      </c>
      <c r="B550" t="str">
        <f>IF($O550&lt;&gt;"",$O550,IF($A550&lt;&gt;"",'Approved-In-Depth'!$B550+7,""))</f>
        <v/>
      </c>
      <c r="C550" t="str">
        <f>IF($A550&lt;&gt;"",'Approved-In-Depth'!C550,"")</f>
        <v/>
      </c>
      <c r="D550" t="str">
        <f>IF($A550&lt;&gt;"",'Approved-In-Depth'!D550,"")</f>
        <v/>
      </c>
      <c r="E550" t="str">
        <f>IF($A550&lt;&gt;"",'Approved-In-Depth'!E550,"")</f>
        <v/>
      </c>
      <c r="F550" t="str">
        <f>IF($A550&lt;&gt;"",'Approved-In-Depth'!F550,"")</f>
        <v/>
      </c>
      <c r="G550" t="str">
        <f>IF($A550&lt;&gt;"",'Approved-In-Depth'!G550,"")</f>
        <v/>
      </c>
      <c r="H550" s="4" t="str">
        <f>IF($A550&lt;&gt;"",'Approved-In-Depth'!H550,"")</f>
        <v/>
      </c>
      <c r="I550" t="str">
        <f>IF($A550&lt;&gt;"",'Approved-In-Depth'!I550,"")</f>
        <v/>
      </c>
      <c r="J550" t="str">
        <f>IF($A550&lt;&gt;"",'Approved-In-Depth'!J550,"")</f>
        <v/>
      </c>
      <c r="K550" t="str">
        <f>IF($A550&lt;&gt;"",'Approved-In-Depth'!K550,"")</f>
        <v/>
      </c>
      <c r="L550" s="4" t="str">
        <f>IF($A550&lt;&gt;"",'Approved-In-Depth'!L550,"")</f>
        <v/>
      </c>
      <c r="M550" t="str">
        <f>IF($A550&lt;&gt;"",'Approved-In-Depth'!M550,"")</f>
        <v/>
      </c>
    </row>
    <row r="551" spans="1:13" x14ac:dyDescent="0.35">
      <c r="A551" s="4" t="str">
        <f>IF('Approved-In-Depth'!$A551&lt;&gt;"",'Approved-In-Depth'!A551,"")</f>
        <v/>
      </c>
      <c r="B551" t="str">
        <f>IF($O551&lt;&gt;"",$O551,IF($A551&lt;&gt;"",'Approved-In-Depth'!$B551+7,""))</f>
        <v/>
      </c>
      <c r="C551" t="str">
        <f>IF($A551&lt;&gt;"",'Approved-In-Depth'!C551,"")</f>
        <v/>
      </c>
      <c r="D551" t="str">
        <f>IF($A551&lt;&gt;"",'Approved-In-Depth'!D551,"")</f>
        <v/>
      </c>
      <c r="E551" t="str">
        <f>IF($A551&lt;&gt;"",'Approved-In-Depth'!E551,"")</f>
        <v/>
      </c>
      <c r="F551" t="str">
        <f>IF($A551&lt;&gt;"",'Approved-In-Depth'!F551,"")</f>
        <v/>
      </c>
      <c r="G551" t="str">
        <f>IF($A551&lt;&gt;"",'Approved-In-Depth'!G551,"")</f>
        <v/>
      </c>
      <c r="H551" s="4" t="str">
        <f>IF($A551&lt;&gt;"",'Approved-In-Depth'!H551,"")</f>
        <v/>
      </c>
      <c r="I551" t="str">
        <f>IF($A551&lt;&gt;"",'Approved-In-Depth'!I551,"")</f>
        <v/>
      </c>
      <c r="J551" t="str">
        <f>IF($A551&lt;&gt;"",'Approved-In-Depth'!J551,"")</f>
        <v/>
      </c>
      <c r="K551" t="str">
        <f>IF($A551&lt;&gt;"",'Approved-In-Depth'!K551,"")</f>
        <v/>
      </c>
      <c r="L551" s="4" t="str">
        <f>IF($A551&lt;&gt;"",'Approved-In-Depth'!L551,"")</f>
        <v/>
      </c>
      <c r="M551" t="str">
        <f>IF($A551&lt;&gt;"",'Approved-In-Depth'!M551,"")</f>
        <v/>
      </c>
    </row>
    <row r="552" spans="1:13" x14ac:dyDescent="0.35">
      <c r="A552" s="4" t="str">
        <f>IF('Approved-In-Depth'!$A552&lt;&gt;"",'Approved-In-Depth'!A552,"")</f>
        <v/>
      </c>
      <c r="B552" t="str">
        <f>IF($O552&lt;&gt;"",$O552,IF($A552&lt;&gt;"",'Approved-In-Depth'!$B552+7,""))</f>
        <v/>
      </c>
      <c r="C552" t="str">
        <f>IF($A552&lt;&gt;"",'Approved-In-Depth'!C552,"")</f>
        <v/>
      </c>
      <c r="D552" t="str">
        <f>IF($A552&lt;&gt;"",'Approved-In-Depth'!D552,"")</f>
        <v/>
      </c>
      <c r="E552" t="str">
        <f>IF($A552&lt;&gt;"",'Approved-In-Depth'!E552,"")</f>
        <v/>
      </c>
      <c r="F552" t="str">
        <f>IF($A552&lt;&gt;"",'Approved-In-Depth'!F552,"")</f>
        <v/>
      </c>
      <c r="G552" t="str">
        <f>IF($A552&lt;&gt;"",'Approved-In-Depth'!G552,"")</f>
        <v/>
      </c>
      <c r="H552" s="4" t="str">
        <f>IF($A552&lt;&gt;"",'Approved-In-Depth'!H552,"")</f>
        <v/>
      </c>
      <c r="I552" t="str">
        <f>IF($A552&lt;&gt;"",'Approved-In-Depth'!I552,"")</f>
        <v/>
      </c>
      <c r="J552" t="str">
        <f>IF($A552&lt;&gt;"",'Approved-In-Depth'!J552,"")</f>
        <v/>
      </c>
      <c r="K552" t="str">
        <f>IF($A552&lt;&gt;"",'Approved-In-Depth'!K552,"")</f>
        <v/>
      </c>
      <c r="L552" s="4" t="str">
        <f>IF($A552&lt;&gt;"",'Approved-In-Depth'!L552,"")</f>
        <v/>
      </c>
      <c r="M552" t="str">
        <f>IF($A552&lt;&gt;"",'Approved-In-Depth'!M552,"")</f>
        <v/>
      </c>
    </row>
    <row r="553" spans="1:13" x14ac:dyDescent="0.35">
      <c r="A553" s="4" t="str">
        <f>IF('Approved-In-Depth'!$A553&lt;&gt;"",'Approved-In-Depth'!A553,"")</f>
        <v/>
      </c>
      <c r="B553" t="str">
        <f>IF($O553&lt;&gt;"",$O553,IF($A553&lt;&gt;"",'Approved-In-Depth'!$B553+7,""))</f>
        <v/>
      </c>
      <c r="C553" t="str">
        <f>IF($A553&lt;&gt;"",'Approved-In-Depth'!C553,"")</f>
        <v/>
      </c>
      <c r="D553" t="str">
        <f>IF($A553&lt;&gt;"",'Approved-In-Depth'!D553,"")</f>
        <v/>
      </c>
      <c r="E553" t="str">
        <f>IF($A553&lt;&gt;"",'Approved-In-Depth'!E553,"")</f>
        <v/>
      </c>
      <c r="F553" t="str">
        <f>IF($A553&lt;&gt;"",'Approved-In-Depth'!F553,"")</f>
        <v/>
      </c>
      <c r="G553" t="str">
        <f>IF($A553&lt;&gt;"",'Approved-In-Depth'!G553,"")</f>
        <v/>
      </c>
      <c r="H553" s="4" t="str">
        <f>IF($A553&lt;&gt;"",'Approved-In-Depth'!H553,"")</f>
        <v/>
      </c>
      <c r="I553" t="str">
        <f>IF($A553&lt;&gt;"",'Approved-In-Depth'!I553,"")</f>
        <v/>
      </c>
      <c r="J553" t="str">
        <f>IF($A553&lt;&gt;"",'Approved-In-Depth'!J553,"")</f>
        <v/>
      </c>
      <c r="K553" t="str">
        <f>IF($A553&lt;&gt;"",'Approved-In-Depth'!K553,"")</f>
        <v/>
      </c>
      <c r="L553" s="4" t="str">
        <f>IF($A553&lt;&gt;"",'Approved-In-Depth'!L553,"")</f>
        <v/>
      </c>
      <c r="M553" t="str">
        <f>IF($A553&lt;&gt;"",'Approved-In-Depth'!M553,"")</f>
        <v/>
      </c>
    </row>
    <row r="554" spans="1:13" x14ac:dyDescent="0.35">
      <c r="A554" s="4" t="str">
        <f>IF('Approved-In-Depth'!$A554&lt;&gt;"",'Approved-In-Depth'!A554,"")</f>
        <v/>
      </c>
      <c r="B554" t="str">
        <f>IF($O554&lt;&gt;"",$O554,IF($A554&lt;&gt;"",'Approved-In-Depth'!$B554+7,""))</f>
        <v/>
      </c>
      <c r="C554" t="str">
        <f>IF($A554&lt;&gt;"",'Approved-In-Depth'!C554,"")</f>
        <v/>
      </c>
      <c r="D554" t="str">
        <f>IF($A554&lt;&gt;"",'Approved-In-Depth'!D554,"")</f>
        <v/>
      </c>
      <c r="E554" t="str">
        <f>IF($A554&lt;&gt;"",'Approved-In-Depth'!E554,"")</f>
        <v/>
      </c>
      <c r="F554" t="str">
        <f>IF($A554&lt;&gt;"",'Approved-In-Depth'!F554,"")</f>
        <v/>
      </c>
      <c r="G554" t="str">
        <f>IF($A554&lt;&gt;"",'Approved-In-Depth'!G554,"")</f>
        <v/>
      </c>
      <c r="H554" s="4" t="str">
        <f>IF($A554&lt;&gt;"",'Approved-In-Depth'!H554,"")</f>
        <v/>
      </c>
      <c r="I554" t="str">
        <f>IF($A554&lt;&gt;"",'Approved-In-Depth'!I554,"")</f>
        <v/>
      </c>
      <c r="J554" t="str">
        <f>IF($A554&lt;&gt;"",'Approved-In-Depth'!J554,"")</f>
        <v/>
      </c>
      <c r="K554" t="str">
        <f>IF($A554&lt;&gt;"",'Approved-In-Depth'!K554,"")</f>
        <v/>
      </c>
      <c r="L554" s="4" t="str">
        <f>IF($A554&lt;&gt;"",'Approved-In-Depth'!L554,"")</f>
        <v/>
      </c>
      <c r="M554" t="str">
        <f>IF($A554&lt;&gt;"",'Approved-In-Depth'!M554,"")</f>
        <v/>
      </c>
    </row>
    <row r="555" spans="1:13" x14ac:dyDescent="0.35">
      <c r="A555" s="4" t="str">
        <f>IF('Approved-In-Depth'!$A555&lt;&gt;"",'Approved-In-Depth'!A555,"")</f>
        <v/>
      </c>
      <c r="B555" t="str">
        <f>IF($O555&lt;&gt;"",$O555,IF($A555&lt;&gt;"",'Approved-In-Depth'!$B555+7,""))</f>
        <v/>
      </c>
      <c r="C555" t="str">
        <f>IF($A555&lt;&gt;"",'Approved-In-Depth'!C555,"")</f>
        <v/>
      </c>
      <c r="D555" t="str">
        <f>IF($A555&lt;&gt;"",'Approved-In-Depth'!D555,"")</f>
        <v/>
      </c>
      <c r="E555" t="str">
        <f>IF($A555&lt;&gt;"",'Approved-In-Depth'!E555,"")</f>
        <v/>
      </c>
      <c r="F555" t="str">
        <f>IF($A555&lt;&gt;"",'Approved-In-Depth'!F555,"")</f>
        <v/>
      </c>
      <c r="G555" t="str">
        <f>IF($A555&lt;&gt;"",'Approved-In-Depth'!G555,"")</f>
        <v/>
      </c>
      <c r="H555" s="4" t="str">
        <f>IF($A555&lt;&gt;"",'Approved-In-Depth'!H555,"")</f>
        <v/>
      </c>
      <c r="I555" t="str">
        <f>IF($A555&lt;&gt;"",'Approved-In-Depth'!I555,"")</f>
        <v/>
      </c>
      <c r="J555" t="str">
        <f>IF($A555&lt;&gt;"",'Approved-In-Depth'!J555,"")</f>
        <v/>
      </c>
      <c r="K555" t="str">
        <f>IF($A555&lt;&gt;"",'Approved-In-Depth'!K555,"")</f>
        <v/>
      </c>
      <c r="L555" s="4" t="str">
        <f>IF($A555&lt;&gt;"",'Approved-In-Depth'!L555,"")</f>
        <v/>
      </c>
      <c r="M555" t="str">
        <f>IF($A555&lt;&gt;"",'Approved-In-Depth'!M555,"")</f>
        <v/>
      </c>
    </row>
    <row r="556" spans="1:13" x14ac:dyDescent="0.35">
      <c r="A556" s="4" t="str">
        <f>IF('Approved-In-Depth'!$A556&lt;&gt;"",'Approved-In-Depth'!A556,"")</f>
        <v/>
      </c>
      <c r="B556" t="str">
        <f>IF($O556&lt;&gt;"",$O556,IF($A556&lt;&gt;"",'Approved-In-Depth'!$B556+7,""))</f>
        <v/>
      </c>
      <c r="C556" t="str">
        <f>IF($A556&lt;&gt;"",'Approved-In-Depth'!C556,"")</f>
        <v/>
      </c>
      <c r="D556" t="str">
        <f>IF($A556&lt;&gt;"",'Approved-In-Depth'!D556,"")</f>
        <v/>
      </c>
      <c r="E556" t="str">
        <f>IF($A556&lt;&gt;"",'Approved-In-Depth'!E556,"")</f>
        <v/>
      </c>
      <c r="F556" t="str">
        <f>IF($A556&lt;&gt;"",'Approved-In-Depth'!F556,"")</f>
        <v/>
      </c>
      <c r="G556" t="str">
        <f>IF($A556&lt;&gt;"",'Approved-In-Depth'!G556,"")</f>
        <v/>
      </c>
      <c r="H556" s="4" t="str">
        <f>IF($A556&lt;&gt;"",'Approved-In-Depth'!H556,"")</f>
        <v/>
      </c>
      <c r="I556" t="str">
        <f>IF($A556&lt;&gt;"",'Approved-In-Depth'!I556,"")</f>
        <v/>
      </c>
      <c r="J556" t="str">
        <f>IF($A556&lt;&gt;"",'Approved-In-Depth'!J556,"")</f>
        <v/>
      </c>
      <c r="K556" t="str">
        <f>IF($A556&lt;&gt;"",'Approved-In-Depth'!K556,"")</f>
        <v/>
      </c>
      <c r="L556" s="4" t="str">
        <f>IF($A556&lt;&gt;"",'Approved-In-Depth'!L556,"")</f>
        <v/>
      </c>
      <c r="M556" t="str">
        <f>IF($A556&lt;&gt;"",'Approved-In-Depth'!M556,"")</f>
        <v/>
      </c>
    </row>
    <row r="557" spans="1:13" x14ac:dyDescent="0.35">
      <c r="A557" s="4" t="str">
        <f>IF('Approved-In-Depth'!$A557&lt;&gt;"",'Approved-In-Depth'!A557,"")</f>
        <v/>
      </c>
      <c r="B557" t="str">
        <f>IF($O557&lt;&gt;"",$O557,IF($A557&lt;&gt;"",'Approved-In-Depth'!$B557+7,""))</f>
        <v/>
      </c>
      <c r="C557" t="str">
        <f>IF($A557&lt;&gt;"",'Approved-In-Depth'!C557,"")</f>
        <v/>
      </c>
      <c r="D557" t="str">
        <f>IF($A557&lt;&gt;"",'Approved-In-Depth'!D557,"")</f>
        <v/>
      </c>
      <c r="E557" t="str">
        <f>IF($A557&lt;&gt;"",'Approved-In-Depth'!E557,"")</f>
        <v/>
      </c>
      <c r="F557" t="str">
        <f>IF($A557&lt;&gt;"",'Approved-In-Depth'!F557,"")</f>
        <v/>
      </c>
      <c r="G557" t="str">
        <f>IF($A557&lt;&gt;"",'Approved-In-Depth'!G557,"")</f>
        <v/>
      </c>
      <c r="H557" s="4" t="str">
        <f>IF($A557&lt;&gt;"",'Approved-In-Depth'!H557,"")</f>
        <v/>
      </c>
      <c r="I557" t="str">
        <f>IF($A557&lt;&gt;"",'Approved-In-Depth'!I557,"")</f>
        <v/>
      </c>
      <c r="J557" t="str">
        <f>IF($A557&lt;&gt;"",'Approved-In-Depth'!J557,"")</f>
        <v/>
      </c>
      <c r="K557" t="str">
        <f>IF($A557&lt;&gt;"",'Approved-In-Depth'!K557,"")</f>
        <v/>
      </c>
      <c r="L557" s="4" t="str">
        <f>IF($A557&lt;&gt;"",'Approved-In-Depth'!L557,"")</f>
        <v/>
      </c>
      <c r="M557" t="str">
        <f>IF($A557&lt;&gt;"",'Approved-In-Depth'!M557,"")</f>
        <v/>
      </c>
    </row>
    <row r="558" spans="1:13" x14ac:dyDescent="0.35">
      <c r="A558" s="4" t="str">
        <f>IF('Approved-In-Depth'!$A558&lt;&gt;"",'Approved-In-Depth'!A558,"")</f>
        <v/>
      </c>
      <c r="B558" t="str">
        <f>IF($O558&lt;&gt;"",$O558,IF($A558&lt;&gt;"",'Approved-In-Depth'!$B558+7,""))</f>
        <v/>
      </c>
      <c r="C558" t="str">
        <f>IF($A558&lt;&gt;"",'Approved-In-Depth'!C558,"")</f>
        <v/>
      </c>
      <c r="D558" t="str">
        <f>IF($A558&lt;&gt;"",'Approved-In-Depth'!D558,"")</f>
        <v/>
      </c>
      <c r="E558" t="str">
        <f>IF($A558&lt;&gt;"",'Approved-In-Depth'!E558,"")</f>
        <v/>
      </c>
      <c r="F558" t="str">
        <f>IF($A558&lt;&gt;"",'Approved-In-Depth'!F558,"")</f>
        <v/>
      </c>
      <c r="G558" t="str">
        <f>IF($A558&lt;&gt;"",'Approved-In-Depth'!G558,"")</f>
        <v/>
      </c>
      <c r="H558" s="4" t="str">
        <f>IF($A558&lt;&gt;"",'Approved-In-Depth'!H558,"")</f>
        <v/>
      </c>
      <c r="I558" t="str">
        <f>IF($A558&lt;&gt;"",'Approved-In-Depth'!I558,"")</f>
        <v/>
      </c>
      <c r="J558" t="str">
        <f>IF($A558&lt;&gt;"",'Approved-In-Depth'!J558,"")</f>
        <v/>
      </c>
      <c r="K558" t="str">
        <f>IF($A558&lt;&gt;"",'Approved-In-Depth'!K558,"")</f>
        <v/>
      </c>
      <c r="L558" s="4" t="str">
        <f>IF($A558&lt;&gt;"",'Approved-In-Depth'!L558,"")</f>
        <v/>
      </c>
      <c r="M558" t="str">
        <f>IF($A558&lt;&gt;"",'Approved-In-Depth'!M558,"")</f>
        <v/>
      </c>
    </row>
    <row r="559" spans="1:13" x14ac:dyDescent="0.35">
      <c r="A559" s="4" t="str">
        <f>IF('Approved-In-Depth'!$A559&lt;&gt;"",'Approved-In-Depth'!A559,"")</f>
        <v/>
      </c>
      <c r="B559" t="str">
        <f>IF($O559&lt;&gt;"",$O559,IF($A559&lt;&gt;"",'Approved-In-Depth'!$B559+7,""))</f>
        <v/>
      </c>
      <c r="C559" t="str">
        <f>IF($A559&lt;&gt;"",'Approved-In-Depth'!C559,"")</f>
        <v/>
      </c>
      <c r="D559" t="str">
        <f>IF($A559&lt;&gt;"",'Approved-In-Depth'!D559,"")</f>
        <v/>
      </c>
      <c r="E559" t="str">
        <f>IF($A559&lt;&gt;"",'Approved-In-Depth'!E559,"")</f>
        <v/>
      </c>
      <c r="F559" t="str">
        <f>IF($A559&lt;&gt;"",'Approved-In-Depth'!F559,"")</f>
        <v/>
      </c>
      <c r="G559" t="str">
        <f>IF($A559&lt;&gt;"",'Approved-In-Depth'!G559,"")</f>
        <v/>
      </c>
      <c r="H559" s="4" t="str">
        <f>IF($A559&lt;&gt;"",'Approved-In-Depth'!H559,"")</f>
        <v/>
      </c>
      <c r="I559" t="str">
        <f>IF($A559&lt;&gt;"",'Approved-In-Depth'!I559,"")</f>
        <v/>
      </c>
      <c r="J559" t="str">
        <f>IF($A559&lt;&gt;"",'Approved-In-Depth'!J559,"")</f>
        <v/>
      </c>
      <c r="K559" t="str">
        <f>IF($A559&lt;&gt;"",'Approved-In-Depth'!K559,"")</f>
        <v/>
      </c>
      <c r="L559" s="4" t="str">
        <f>IF($A559&lt;&gt;"",'Approved-In-Depth'!L559,"")</f>
        <v/>
      </c>
      <c r="M559" t="str">
        <f>IF($A559&lt;&gt;"",'Approved-In-Depth'!M559,"")</f>
        <v/>
      </c>
    </row>
    <row r="560" spans="1:13" x14ac:dyDescent="0.35">
      <c r="A560" s="4" t="str">
        <f>IF('Approved-In-Depth'!$A560&lt;&gt;"",'Approved-In-Depth'!A560,"")</f>
        <v/>
      </c>
      <c r="B560" t="str">
        <f>IF($O560&lt;&gt;"",$O560,IF($A560&lt;&gt;"",'Approved-In-Depth'!$B560+7,""))</f>
        <v/>
      </c>
      <c r="C560" t="str">
        <f>IF($A560&lt;&gt;"",'Approved-In-Depth'!C560,"")</f>
        <v/>
      </c>
      <c r="D560" t="str">
        <f>IF($A560&lt;&gt;"",'Approved-In-Depth'!D560,"")</f>
        <v/>
      </c>
      <c r="E560" t="str">
        <f>IF($A560&lt;&gt;"",'Approved-In-Depth'!E560,"")</f>
        <v/>
      </c>
      <c r="F560" t="str">
        <f>IF($A560&lt;&gt;"",'Approved-In-Depth'!F560,"")</f>
        <v/>
      </c>
      <c r="G560" t="str">
        <f>IF($A560&lt;&gt;"",'Approved-In-Depth'!G560,"")</f>
        <v/>
      </c>
      <c r="H560" s="4" t="str">
        <f>IF($A560&lt;&gt;"",'Approved-In-Depth'!H560,"")</f>
        <v/>
      </c>
      <c r="I560" t="str">
        <f>IF($A560&lt;&gt;"",'Approved-In-Depth'!I560,"")</f>
        <v/>
      </c>
      <c r="J560" t="str">
        <f>IF($A560&lt;&gt;"",'Approved-In-Depth'!J560,"")</f>
        <v/>
      </c>
      <c r="K560" t="str">
        <f>IF($A560&lt;&gt;"",'Approved-In-Depth'!K560,"")</f>
        <v/>
      </c>
      <c r="L560" s="4" t="str">
        <f>IF($A560&lt;&gt;"",'Approved-In-Depth'!L560,"")</f>
        <v/>
      </c>
      <c r="M560" t="str">
        <f>IF($A560&lt;&gt;"",'Approved-In-Depth'!M560,"")</f>
        <v/>
      </c>
    </row>
    <row r="561" spans="1:13" x14ac:dyDescent="0.35">
      <c r="A561" s="4" t="str">
        <f>IF('Approved-In-Depth'!$A561&lt;&gt;"",'Approved-In-Depth'!A561,"")</f>
        <v/>
      </c>
      <c r="B561" t="str">
        <f>IF($O561&lt;&gt;"",$O561,IF($A561&lt;&gt;"",'Approved-In-Depth'!$B561+7,""))</f>
        <v/>
      </c>
      <c r="C561" t="str">
        <f>IF($A561&lt;&gt;"",'Approved-In-Depth'!C561,"")</f>
        <v/>
      </c>
      <c r="D561" t="str">
        <f>IF($A561&lt;&gt;"",'Approved-In-Depth'!D561,"")</f>
        <v/>
      </c>
      <c r="E561" t="str">
        <f>IF($A561&lt;&gt;"",'Approved-In-Depth'!E561,"")</f>
        <v/>
      </c>
      <c r="F561" t="str">
        <f>IF($A561&lt;&gt;"",'Approved-In-Depth'!F561,"")</f>
        <v/>
      </c>
      <c r="G561" t="str">
        <f>IF($A561&lt;&gt;"",'Approved-In-Depth'!G561,"")</f>
        <v/>
      </c>
      <c r="H561" s="4" t="str">
        <f>IF($A561&lt;&gt;"",'Approved-In-Depth'!H561,"")</f>
        <v/>
      </c>
      <c r="I561" t="str">
        <f>IF($A561&lt;&gt;"",'Approved-In-Depth'!I561,"")</f>
        <v/>
      </c>
      <c r="J561" t="str">
        <f>IF($A561&lt;&gt;"",'Approved-In-Depth'!J561,"")</f>
        <v/>
      </c>
      <c r="K561" t="str">
        <f>IF($A561&lt;&gt;"",'Approved-In-Depth'!K561,"")</f>
        <v/>
      </c>
      <c r="L561" s="4" t="str">
        <f>IF($A561&lt;&gt;"",'Approved-In-Depth'!L561,"")</f>
        <v/>
      </c>
      <c r="M561" t="str">
        <f>IF($A561&lt;&gt;"",'Approved-In-Depth'!M561,"")</f>
        <v/>
      </c>
    </row>
    <row r="562" spans="1:13" x14ac:dyDescent="0.35">
      <c r="A562" s="4" t="str">
        <f>IF('Approved-In-Depth'!$A562&lt;&gt;"",'Approved-In-Depth'!A562,"")</f>
        <v/>
      </c>
      <c r="B562" t="str">
        <f>IF($O562&lt;&gt;"",$O562,IF($A562&lt;&gt;"",'Approved-In-Depth'!$B562+7,""))</f>
        <v/>
      </c>
      <c r="C562" t="str">
        <f>IF($A562&lt;&gt;"",'Approved-In-Depth'!C562,"")</f>
        <v/>
      </c>
      <c r="D562" t="str">
        <f>IF($A562&lt;&gt;"",'Approved-In-Depth'!D562,"")</f>
        <v/>
      </c>
      <c r="E562" t="str">
        <f>IF($A562&lt;&gt;"",'Approved-In-Depth'!E562,"")</f>
        <v/>
      </c>
      <c r="F562" t="str">
        <f>IF($A562&lt;&gt;"",'Approved-In-Depth'!F562,"")</f>
        <v/>
      </c>
      <c r="G562" t="str">
        <f>IF($A562&lt;&gt;"",'Approved-In-Depth'!G562,"")</f>
        <v/>
      </c>
      <c r="H562" s="4" t="str">
        <f>IF($A562&lt;&gt;"",'Approved-In-Depth'!H562,"")</f>
        <v/>
      </c>
      <c r="I562" t="str">
        <f>IF($A562&lt;&gt;"",'Approved-In-Depth'!I562,"")</f>
        <v/>
      </c>
      <c r="J562" t="str">
        <f>IF($A562&lt;&gt;"",'Approved-In-Depth'!J562,"")</f>
        <v/>
      </c>
      <c r="K562" t="str">
        <f>IF($A562&lt;&gt;"",'Approved-In-Depth'!K562,"")</f>
        <v/>
      </c>
      <c r="L562" s="4" t="str">
        <f>IF($A562&lt;&gt;"",'Approved-In-Depth'!L562,"")</f>
        <v/>
      </c>
      <c r="M562" t="str">
        <f>IF($A562&lt;&gt;"",'Approved-In-Depth'!M562,"")</f>
        <v/>
      </c>
    </row>
    <row r="563" spans="1:13" x14ac:dyDescent="0.35">
      <c r="A563" s="4" t="str">
        <f>IF('Approved-In-Depth'!$A563&lt;&gt;"",'Approved-In-Depth'!A563,"")</f>
        <v/>
      </c>
      <c r="B563" t="str">
        <f>IF($O563&lt;&gt;"",$O563,IF($A563&lt;&gt;"",'Approved-In-Depth'!$B563+7,""))</f>
        <v/>
      </c>
      <c r="C563" t="str">
        <f>IF($A563&lt;&gt;"",'Approved-In-Depth'!C563,"")</f>
        <v/>
      </c>
      <c r="D563" t="str">
        <f>IF($A563&lt;&gt;"",'Approved-In-Depth'!D563,"")</f>
        <v/>
      </c>
      <c r="E563" t="str">
        <f>IF($A563&lt;&gt;"",'Approved-In-Depth'!E563,"")</f>
        <v/>
      </c>
      <c r="F563" t="str">
        <f>IF($A563&lt;&gt;"",'Approved-In-Depth'!F563,"")</f>
        <v/>
      </c>
      <c r="G563" t="str">
        <f>IF($A563&lt;&gt;"",'Approved-In-Depth'!G563,"")</f>
        <v/>
      </c>
      <c r="H563" s="4" t="str">
        <f>IF($A563&lt;&gt;"",'Approved-In-Depth'!H563,"")</f>
        <v/>
      </c>
      <c r="I563" t="str">
        <f>IF($A563&lt;&gt;"",'Approved-In-Depth'!I563,"")</f>
        <v/>
      </c>
      <c r="J563" t="str">
        <f>IF($A563&lt;&gt;"",'Approved-In-Depth'!J563,"")</f>
        <v/>
      </c>
      <c r="K563" t="str">
        <f>IF($A563&lt;&gt;"",'Approved-In-Depth'!K563,"")</f>
        <v/>
      </c>
      <c r="L563" s="4" t="str">
        <f>IF($A563&lt;&gt;"",'Approved-In-Depth'!L563,"")</f>
        <v/>
      </c>
      <c r="M563" t="str">
        <f>IF($A563&lt;&gt;"",'Approved-In-Depth'!M563,"")</f>
        <v/>
      </c>
    </row>
    <row r="564" spans="1:13" x14ac:dyDescent="0.35">
      <c r="A564" s="4" t="str">
        <f>IF('Approved-In-Depth'!$A564&lt;&gt;"",'Approved-In-Depth'!A564,"")</f>
        <v/>
      </c>
      <c r="B564" t="str">
        <f>IF($O564&lt;&gt;"",$O564,IF($A564&lt;&gt;"",'Approved-In-Depth'!$B564+7,""))</f>
        <v/>
      </c>
      <c r="C564" t="str">
        <f>IF($A564&lt;&gt;"",'Approved-In-Depth'!C564,"")</f>
        <v/>
      </c>
      <c r="D564" t="str">
        <f>IF($A564&lt;&gt;"",'Approved-In-Depth'!D564,"")</f>
        <v/>
      </c>
      <c r="E564" t="str">
        <f>IF($A564&lt;&gt;"",'Approved-In-Depth'!E564,"")</f>
        <v/>
      </c>
      <c r="F564" t="str">
        <f>IF($A564&lt;&gt;"",'Approved-In-Depth'!F564,"")</f>
        <v/>
      </c>
      <c r="G564" t="str">
        <f>IF($A564&lt;&gt;"",'Approved-In-Depth'!G564,"")</f>
        <v/>
      </c>
      <c r="H564" s="4" t="str">
        <f>IF($A564&lt;&gt;"",'Approved-In-Depth'!H564,"")</f>
        <v/>
      </c>
      <c r="I564" t="str">
        <f>IF($A564&lt;&gt;"",'Approved-In-Depth'!I564,"")</f>
        <v/>
      </c>
      <c r="J564" t="str">
        <f>IF($A564&lt;&gt;"",'Approved-In-Depth'!J564,"")</f>
        <v/>
      </c>
      <c r="K564" t="str">
        <f>IF($A564&lt;&gt;"",'Approved-In-Depth'!K564,"")</f>
        <v/>
      </c>
      <c r="L564" s="4" t="str">
        <f>IF($A564&lt;&gt;"",'Approved-In-Depth'!L564,"")</f>
        <v/>
      </c>
      <c r="M564" t="str">
        <f>IF($A564&lt;&gt;"",'Approved-In-Depth'!M564,"")</f>
        <v/>
      </c>
    </row>
    <row r="565" spans="1:13" x14ac:dyDescent="0.35">
      <c r="A565" s="4" t="str">
        <f>IF('Approved-In-Depth'!$A565&lt;&gt;"",'Approved-In-Depth'!A565,"")</f>
        <v/>
      </c>
      <c r="B565" t="str">
        <f>IF($O565&lt;&gt;"",$O565,IF($A565&lt;&gt;"",'Approved-In-Depth'!$B565+7,""))</f>
        <v/>
      </c>
      <c r="C565" t="str">
        <f>IF($A565&lt;&gt;"",'Approved-In-Depth'!C565,"")</f>
        <v/>
      </c>
      <c r="D565" t="str">
        <f>IF($A565&lt;&gt;"",'Approved-In-Depth'!D565,"")</f>
        <v/>
      </c>
      <c r="E565" t="str">
        <f>IF($A565&lt;&gt;"",'Approved-In-Depth'!E565,"")</f>
        <v/>
      </c>
      <c r="F565" t="str">
        <f>IF($A565&lt;&gt;"",'Approved-In-Depth'!F565,"")</f>
        <v/>
      </c>
      <c r="G565" t="str">
        <f>IF($A565&lt;&gt;"",'Approved-In-Depth'!G565,"")</f>
        <v/>
      </c>
      <c r="H565" s="4" t="str">
        <f>IF($A565&lt;&gt;"",'Approved-In-Depth'!H565,"")</f>
        <v/>
      </c>
      <c r="I565" t="str">
        <f>IF($A565&lt;&gt;"",'Approved-In-Depth'!I565,"")</f>
        <v/>
      </c>
      <c r="J565" t="str">
        <f>IF($A565&lt;&gt;"",'Approved-In-Depth'!J565,"")</f>
        <v/>
      </c>
      <c r="K565" t="str">
        <f>IF($A565&lt;&gt;"",'Approved-In-Depth'!K565,"")</f>
        <v/>
      </c>
      <c r="L565" s="4" t="str">
        <f>IF($A565&lt;&gt;"",'Approved-In-Depth'!L565,"")</f>
        <v/>
      </c>
      <c r="M565" t="str">
        <f>IF($A565&lt;&gt;"",'Approved-In-Depth'!M565,"")</f>
        <v/>
      </c>
    </row>
    <row r="566" spans="1:13" x14ac:dyDescent="0.35">
      <c r="A566" s="4" t="str">
        <f>IF('Approved-In-Depth'!$A566&lt;&gt;"",'Approved-In-Depth'!A566,"")</f>
        <v/>
      </c>
      <c r="B566" t="str">
        <f>IF($O566&lt;&gt;"",$O566,IF($A566&lt;&gt;"",'Approved-In-Depth'!$B566+7,""))</f>
        <v/>
      </c>
      <c r="C566" t="str">
        <f>IF($A566&lt;&gt;"",'Approved-In-Depth'!C566,"")</f>
        <v/>
      </c>
      <c r="D566" t="str">
        <f>IF($A566&lt;&gt;"",'Approved-In-Depth'!D566,"")</f>
        <v/>
      </c>
      <c r="E566" t="str">
        <f>IF($A566&lt;&gt;"",'Approved-In-Depth'!E566,"")</f>
        <v/>
      </c>
      <c r="F566" t="str">
        <f>IF($A566&lt;&gt;"",'Approved-In-Depth'!F566,"")</f>
        <v/>
      </c>
      <c r="G566" t="str">
        <f>IF($A566&lt;&gt;"",'Approved-In-Depth'!G566,"")</f>
        <v/>
      </c>
      <c r="H566" s="4" t="str">
        <f>IF($A566&lt;&gt;"",'Approved-In-Depth'!H566,"")</f>
        <v/>
      </c>
      <c r="I566" t="str">
        <f>IF($A566&lt;&gt;"",'Approved-In-Depth'!I566,"")</f>
        <v/>
      </c>
      <c r="J566" t="str">
        <f>IF($A566&lt;&gt;"",'Approved-In-Depth'!J566,"")</f>
        <v/>
      </c>
      <c r="K566" t="str">
        <f>IF($A566&lt;&gt;"",'Approved-In-Depth'!K566,"")</f>
        <v/>
      </c>
      <c r="L566" s="4" t="str">
        <f>IF($A566&lt;&gt;"",'Approved-In-Depth'!L566,"")</f>
        <v/>
      </c>
      <c r="M566" t="str">
        <f>IF($A566&lt;&gt;"",'Approved-In-Depth'!M566,"")</f>
        <v/>
      </c>
    </row>
    <row r="567" spans="1:13" x14ac:dyDescent="0.35">
      <c r="A567" s="4" t="str">
        <f>IF('Approved-In-Depth'!$A567&lt;&gt;"",'Approved-In-Depth'!A567,"")</f>
        <v/>
      </c>
      <c r="B567" t="str">
        <f>IF($O567&lt;&gt;"",$O567,IF($A567&lt;&gt;"",'Approved-In-Depth'!$B567+7,""))</f>
        <v/>
      </c>
      <c r="C567" t="str">
        <f>IF($A567&lt;&gt;"",'Approved-In-Depth'!C567,"")</f>
        <v/>
      </c>
      <c r="D567" t="str">
        <f>IF($A567&lt;&gt;"",'Approved-In-Depth'!D567,"")</f>
        <v/>
      </c>
      <c r="E567" t="str">
        <f>IF($A567&lt;&gt;"",'Approved-In-Depth'!E567,"")</f>
        <v/>
      </c>
      <c r="F567" t="str">
        <f>IF($A567&lt;&gt;"",'Approved-In-Depth'!F567,"")</f>
        <v/>
      </c>
      <c r="G567" t="str">
        <f>IF($A567&lt;&gt;"",'Approved-In-Depth'!G567,"")</f>
        <v/>
      </c>
      <c r="H567" s="4" t="str">
        <f>IF($A567&lt;&gt;"",'Approved-In-Depth'!H567,"")</f>
        <v/>
      </c>
      <c r="I567" t="str">
        <f>IF($A567&lt;&gt;"",'Approved-In-Depth'!I567,"")</f>
        <v/>
      </c>
      <c r="J567" t="str">
        <f>IF($A567&lt;&gt;"",'Approved-In-Depth'!J567,"")</f>
        <v/>
      </c>
      <c r="K567" t="str">
        <f>IF($A567&lt;&gt;"",'Approved-In-Depth'!K567,"")</f>
        <v/>
      </c>
      <c r="L567" s="4" t="str">
        <f>IF($A567&lt;&gt;"",'Approved-In-Depth'!L567,"")</f>
        <v/>
      </c>
      <c r="M567" t="str">
        <f>IF($A567&lt;&gt;"",'Approved-In-Depth'!M567,"")</f>
        <v/>
      </c>
    </row>
    <row r="568" spans="1:13" x14ac:dyDescent="0.35">
      <c r="A568" s="4" t="str">
        <f>IF('Approved-In-Depth'!$A568&lt;&gt;"",'Approved-In-Depth'!A568,"")</f>
        <v/>
      </c>
      <c r="B568" t="str">
        <f>IF($O568&lt;&gt;"",$O568,IF($A568&lt;&gt;"",'Approved-In-Depth'!$B568+7,""))</f>
        <v/>
      </c>
      <c r="C568" t="str">
        <f>IF($A568&lt;&gt;"",'Approved-In-Depth'!C568,"")</f>
        <v/>
      </c>
      <c r="D568" t="str">
        <f>IF($A568&lt;&gt;"",'Approved-In-Depth'!D568,"")</f>
        <v/>
      </c>
      <c r="E568" t="str">
        <f>IF($A568&lt;&gt;"",'Approved-In-Depth'!E568,"")</f>
        <v/>
      </c>
      <c r="F568" t="str">
        <f>IF($A568&lt;&gt;"",'Approved-In-Depth'!F568,"")</f>
        <v/>
      </c>
      <c r="G568" t="str">
        <f>IF($A568&lt;&gt;"",'Approved-In-Depth'!G568,"")</f>
        <v/>
      </c>
      <c r="H568" s="4" t="str">
        <f>IF($A568&lt;&gt;"",'Approved-In-Depth'!H568,"")</f>
        <v/>
      </c>
      <c r="I568" t="str">
        <f>IF($A568&lt;&gt;"",'Approved-In-Depth'!I568,"")</f>
        <v/>
      </c>
      <c r="J568" t="str">
        <f>IF($A568&lt;&gt;"",'Approved-In-Depth'!J568,"")</f>
        <v/>
      </c>
      <c r="K568" t="str">
        <f>IF($A568&lt;&gt;"",'Approved-In-Depth'!K568,"")</f>
        <v/>
      </c>
      <c r="L568" s="4" t="str">
        <f>IF($A568&lt;&gt;"",'Approved-In-Depth'!L568,"")</f>
        <v/>
      </c>
      <c r="M568" t="str">
        <f>IF($A568&lt;&gt;"",'Approved-In-Depth'!M568,"")</f>
        <v/>
      </c>
    </row>
    <row r="569" spans="1:13" x14ac:dyDescent="0.35">
      <c r="A569" s="4" t="str">
        <f>IF('Approved-In-Depth'!$A569&lt;&gt;"",'Approved-In-Depth'!A569,"")</f>
        <v/>
      </c>
      <c r="B569" t="str">
        <f>IF($O569&lt;&gt;"",$O569,IF($A569&lt;&gt;"",'Approved-In-Depth'!$B569+7,""))</f>
        <v/>
      </c>
      <c r="C569" t="str">
        <f>IF($A569&lt;&gt;"",'Approved-In-Depth'!C569,"")</f>
        <v/>
      </c>
      <c r="D569" t="str">
        <f>IF($A569&lt;&gt;"",'Approved-In-Depth'!D569,"")</f>
        <v/>
      </c>
      <c r="E569" t="str">
        <f>IF($A569&lt;&gt;"",'Approved-In-Depth'!E569,"")</f>
        <v/>
      </c>
      <c r="F569" t="str">
        <f>IF($A569&lt;&gt;"",'Approved-In-Depth'!F569,"")</f>
        <v/>
      </c>
      <c r="G569" t="str">
        <f>IF($A569&lt;&gt;"",'Approved-In-Depth'!G569,"")</f>
        <v/>
      </c>
      <c r="H569" s="4" t="str">
        <f>IF($A569&lt;&gt;"",'Approved-In-Depth'!H569,"")</f>
        <v/>
      </c>
      <c r="I569" t="str">
        <f>IF($A569&lt;&gt;"",'Approved-In-Depth'!I569,"")</f>
        <v/>
      </c>
      <c r="J569" t="str">
        <f>IF($A569&lt;&gt;"",'Approved-In-Depth'!J569,"")</f>
        <v/>
      </c>
      <c r="K569" t="str">
        <f>IF($A569&lt;&gt;"",'Approved-In-Depth'!K569,"")</f>
        <v/>
      </c>
      <c r="L569" s="4" t="str">
        <f>IF($A569&lt;&gt;"",'Approved-In-Depth'!L569,"")</f>
        <v/>
      </c>
      <c r="M569" t="str">
        <f>IF($A569&lt;&gt;"",'Approved-In-Depth'!M569,"")</f>
        <v/>
      </c>
    </row>
    <row r="570" spans="1:13" x14ac:dyDescent="0.35">
      <c r="A570" s="4" t="str">
        <f>IF('Approved-In-Depth'!$A570&lt;&gt;"",'Approved-In-Depth'!A570,"")</f>
        <v/>
      </c>
      <c r="B570" t="str">
        <f>IF($O570&lt;&gt;"",$O570,IF($A570&lt;&gt;"",'Approved-In-Depth'!$B570+7,""))</f>
        <v/>
      </c>
      <c r="C570" t="str">
        <f>IF($A570&lt;&gt;"",'Approved-In-Depth'!C570,"")</f>
        <v/>
      </c>
      <c r="D570" t="str">
        <f>IF($A570&lt;&gt;"",'Approved-In-Depth'!D570,"")</f>
        <v/>
      </c>
      <c r="E570" t="str">
        <f>IF($A570&lt;&gt;"",'Approved-In-Depth'!E570,"")</f>
        <v/>
      </c>
      <c r="F570" t="str">
        <f>IF($A570&lt;&gt;"",'Approved-In-Depth'!F570,"")</f>
        <v/>
      </c>
      <c r="G570" t="str">
        <f>IF($A570&lt;&gt;"",'Approved-In-Depth'!G570,"")</f>
        <v/>
      </c>
      <c r="H570" s="4" t="str">
        <f>IF($A570&lt;&gt;"",'Approved-In-Depth'!H570,"")</f>
        <v/>
      </c>
      <c r="I570" t="str">
        <f>IF($A570&lt;&gt;"",'Approved-In-Depth'!I570,"")</f>
        <v/>
      </c>
      <c r="J570" t="str">
        <f>IF($A570&lt;&gt;"",'Approved-In-Depth'!J570,"")</f>
        <v/>
      </c>
      <c r="K570" t="str">
        <f>IF($A570&lt;&gt;"",'Approved-In-Depth'!K570,"")</f>
        <v/>
      </c>
      <c r="L570" s="4" t="str">
        <f>IF($A570&lt;&gt;"",'Approved-In-Depth'!L570,"")</f>
        <v/>
      </c>
      <c r="M570" t="str">
        <f>IF($A570&lt;&gt;"",'Approved-In-Depth'!M570,"")</f>
        <v/>
      </c>
    </row>
    <row r="571" spans="1:13" x14ac:dyDescent="0.35">
      <c r="A571" s="4" t="str">
        <f>IF('Approved-In-Depth'!$A571&lt;&gt;"",'Approved-In-Depth'!A571,"")</f>
        <v/>
      </c>
      <c r="B571" t="str">
        <f>IF($O571&lt;&gt;"",$O571,IF($A571&lt;&gt;"",'Approved-In-Depth'!$B571+7,""))</f>
        <v/>
      </c>
      <c r="C571" t="str">
        <f>IF($A571&lt;&gt;"",'Approved-In-Depth'!C571,"")</f>
        <v/>
      </c>
      <c r="D571" t="str">
        <f>IF($A571&lt;&gt;"",'Approved-In-Depth'!D571,"")</f>
        <v/>
      </c>
      <c r="E571" t="str">
        <f>IF($A571&lt;&gt;"",'Approved-In-Depth'!E571,"")</f>
        <v/>
      </c>
      <c r="F571" t="str">
        <f>IF($A571&lt;&gt;"",'Approved-In-Depth'!F571,"")</f>
        <v/>
      </c>
      <c r="G571" t="str">
        <f>IF($A571&lt;&gt;"",'Approved-In-Depth'!G571,"")</f>
        <v/>
      </c>
      <c r="H571" s="4" t="str">
        <f>IF($A571&lt;&gt;"",'Approved-In-Depth'!H571,"")</f>
        <v/>
      </c>
      <c r="I571" t="str">
        <f>IF($A571&lt;&gt;"",'Approved-In-Depth'!I571,"")</f>
        <v/>
      </c>
      <c r="J571" t="str">
        <f>IF($A571&lt;&gt;"",'Approved-In-Depth'!J571,"")</f>
        <v/>
      </c>
      <c r="K571" t="str">
        <f>IF($A571&lt;&gt;"",'Approved-In-Depth'!K571,"")</f>
        <v/>
      </c>
      <c r="L571" s="4" t="str">
        <f>IF($A571&lt;&gt;"",'Approved-In-Depth'!L571,"")</f>
        <v/>
      </c>
      <c r="M571" t="str">
        <f>IF($A571&lt;&gt;"",'Approved-In-Depth'!M571,"")</f>
        <v/>
      </c>
    </row>
    <row r="572" spans="1:13" x14ac:dyDescent="0.35">
      <c r="A572" s="4" t="str">
        <f>IF('Approved-In-Depth'!$A572&lt;&gt;"",'Approved-In-Depth'!A572,"")</f>
        <v/>
      </c>
      <c r="B572" t="str">
        <f>IF($O572&lt;&gt;"",$O572,IF($A572&lt;&gt;"",'Approved-In-Depth'!$B572+7,""))</f>
        <v/>
      </c>
      <c r="C572" t="str">
        <f>IF($A572&lt;&gt;"",'Approved-In-Depth'!C572,"")</f>
        <v/>
      </c>
      <c r="D572" t="str">
        <f>IF($A572&lt;&gt;"",'Approved-In-Depth'!D572,"")</f>
        <v/>
      </c>
      <c r="E572" t="str">
        <f>IF($A572&lt;&gt;"",'Approved-In-Depth'!E572,"")</f>
        <v/>
      </c>
      <c r="F572" t="str">
        <f>IF($A572&lt;&gt;"",'Approved-In-Depth'!F572,"")</f>
        <v/>
      </c>
      <c r="G572" t="str">
        <f>IF($A572&lt;&gt;"",'Approved-In-Depth'!G572,"")</f>
        <v/>
      </c>
      <c r="H572" s="4" t="str">
        <f>IF($A572&lt;&gt;"",'Approved-In-Depth'!H572,"")</f>
        <v/>
      </c>
      <c r="I572" t="str">
        <f>IF($A572&lt;&gt;"",'Approved-In-Depth'!I572,"")</f>
        <v/>
      </c>
      <c r="J572" t="str">
        <f>IF($A572&lt;&gt;"",'Approved-In-Depth'!J572,"")</f>
        <v/>
      </c>
      <c r="K572" t="str">
        <f>IF($A572&lt;&gt;"",'Approved-In-Depth'!K572,"")</f>
        <v/>
      </c>
      <c r="L572" s="4" t="str">
        <f>IF($A572&lt;&gt;"",'Approved-In-Depth'!L572,"")</f>
        <v/>
      </c>
      <c r="M572" t="str">
        <f>IF($A572&lt;&gt;"",'Approved-In-Depth'!M572,"")</f>
        <v/>
      </c>
    </row>
    <row r="573" spans="1:13" x14ac:dyDescent="0.35">
      <c r="A573" s="4" t="str">
        <f>IF('Approved-In-Depth'!$A573&lt;&gt;"",'Approved-In-Depth'!A573,"")</f>
        <v/>
      </c>
      <c r="B573" t="str">
        <f>IF($O573&lt;&gt;"",$O573,IF($A573&lt;&gt;"",'Approved-In-Depth'!$B573+7,""))</f>
        <v/>
      </c>
      <c r="C573" t="str">
        <f>IF($A573&lt;&gt;"",'Approved-In-Depth'!C573,"")</f>
        <v/>
      </c>
      <c r="D573" t="str">
        <f>IF($A573&lt;&gt;"",'Approved-In-Depth'!D573,"")</f>
        <v/>
      </c>
      <c r="E573" t="str">
        <f>IF($A573&lt;&gt;"",'Approved-In-Depth'!E573,"")</f>
        <v/>
      </c>
      <c r="F573" t="str">
        <f>IF($A573&lt;&gt;"",'Approved-In-Depth'!F573,"")</f>
        <v/>
      </c>
      <c r="G573" t="str">
        <f>IF($A573&lt;&gt;"",'Approved-In-Depth'!G573,"")</f>
        <v/>
      </c>
      <c r="H573" s="4" t="str">
        <f>IF($A573&lt;&gt;"",'Approved-In-Depth'!H573,"")</f>
        <v/>
      </c>
      <c r="I573" t="str">
        <f>IF($A573&lt;&gt;"",'Approved-In-Depth'!I573,"")</f>
        <v/>
      </c>
      <c r="J573" t="str">
        <f>IF($A573&lt;&gt;"",'Approved-In-Depth'!J573,"")</f>
        <v/>
      </c>
      <c r="K573" t="str">
        <f>IF($A573&lt;&gt;"",'Approved-In-Depth'!K573,"")</f>
        <v/>
      </c>
      <c r="L573" s="4" t="str">
        <f>IF($A573&lt;&gt;"",'Approved-In-Depth'!L573,"")</f>
        <v/>
      </c>
      <c r="M573" t="str">
        <f>IF($A573&lt;&gt;"",'Approved-In-Depth'!M573,"")</f>
        <v/>
      </c>
    </row>
    <row r="574" spans="1:13" x14ac:dyDescent="0.35">
      <c r="A574" s="4" t="str">
        <f>IF('Approved-In-Depth'!$A574&lt;&gt;"",'Approved-In-Depth'!A574,"")</f>
        <v/>
      </c>
      <c r="B574" t="str">
        <f>IF($O574&lt;&gt;"",$O574,IF($A574&lt;&gt;"",'Approved-In-Depth'!$B574+7,""))</f>
        <v/>
      </c>
      <c r="C574" t="str">
        <f>IF($A574&lt;&gt;"",'Approved-In-Depth'!C574,"")</f>
        <v/>
      </c>
      <c r="D574" t="str">
        <f>IF($A574&lt;&gt;"",'Approved-In-Depth'!D574,"")</f>
        <v/>
      </c>
      <c r="E574" t="str">
        <f>IF($A574&lt;&gt;"",'Approved-In-Depth'!E574,"")</f>
        <v/>
      </c>
      <c r="F574" t="str">
        <f>IF($A574&lt;&gt;"",'Approved-In-Depth'!F574,"")</f>
        <v/>
      </c>
      <c r="G574" t="str">
        <f>IF($A574&lt;&gt;"",'Approved-In-Depth'!G574,"")</f>
        <v/>
      </c>
      <c r="H574" s="4" t="str">
        <f>IF($A574&lt;&gt;"",'Approved-In-Depth'!H574,"")</f>
        <v/>
      </c>
      <c r="I574" t="str">
        <f>IF($A574&lt;&gt;"",'Approved-In-Depth'!I574,"")</f>
        <v/>
      </c>
      <c r="J574" t="str">
        <f>IF($A574&lt;&gt;"",'Approved-In-Depth'!J574,"")</f>
        <v/>
      </c>
      <c r="K574" t="str">
        <f>IF($A574&lt;&gt;"",'Approved-In-Depth'!K574,"")</f>
        <v/>
      </c>
      <c r="L574" s="4" t="str">
        <f>IF($A574&lt;&gt;"",'Approved-In-Depth'!L574,"")</f>
        <v/>
      </c>
      <c r="M574" t="str">
        <f>IF($A574&lt;&gt;"",'Approved-In-Depth'!M574,"")</f>
        <v/>
      </c>
    </row>
    <row r="575" spans="1:13" x14ac:dyDescent="0.35">
      <c r="A575" s="4" t="str">
        <f>IF('Approved-In-Depth'!$A575&lt;&gt;"",'Approved-In-Depth'!A575,"")</f>
        <v/>
      </c>
      <c r="B575" t="str">
        <f>IF($O575&lt;&gt;"",$O575,IF($A575&lt;&gt;"",'Approved-In-Depth'!$B575+7,""))</f>
        <v/>
      </c>
      <c r="C575" t="str">
        <f>IF($A575&lt;&gt;"",'Approved-In-Depth'!C575,"")</f>
        <v/>
      </c>
      <c r="D575" t="str">
        <f>IF($A575&lt;&gt;"",'Approved-In-Depth'!D575,"")</f>
        <v/>
      </c>
      <c r="E575" t="str">
        <f>IF($A575&lt;&gt;"",'Approved-In-Depth'!E575,"")</f>
        <v/>
      </c>
      <c r="F575" t="str">
        <f>IF($A575&lt;&gt;"",'Approved-In-Depth'!F575,"")</f>
        <v/>
      </c>
      <c r="G575" t="str">
        <f>IF($A575&lt;&gt;"",'Approved-In-Depth'!G575,"")</f>
        <v/>
      </c>
      <c r="H575" s="4" t="str">
        <f>IF($A575&lt;&gt;"",'Approved-In-Depth'!H575,"")</f>
        <v/>
      </c>
      <c r="I575" t="str">
        <f>IF($A575&lt;&gt;"",'Approved-In-Depth'!I575,"")</f>
        <v/>
      </c>
      <c r="J575" t="str">
        <f>IF($A575&lt;&gt;"",'Approved-In-Depth'!J575,"")</f>
        <v/>
      </c>
      <c r="K575" t="str">
        <f>IF($A575&lt;&gt;"",'Approved-In-Depth'!K575,"")</f>
        <v/>
      </c>
      <c r="L575" s="4" t="str">
        <f>IF($A575&lt;&gt;"",'Approved-In-Depth'!L575,"")</f>
        <v/>
      </c>
      <c r="M575" t="str">
        <f>IF($A575&lt;&gt;"",'Approved-In-Depth'!M575,"")</f>
        <v/>
      </c>
    </row>
    <row r="576" spans="1:13" x14ac:dyDescent="0.35">
      <c r="A576" s="4" t="str">
        <f>IF('Approved-In-Depth'!$A576&lt;&gt;"",'Approved-In-Depth'!A576,"")</f>
        <v/>
      </c>
      <c r="B576" t="str">
        <f>IF($O576&lt;&gt;"",$O576,IF($A576&lt;&gt;"",'Approved-In-Depth'!$B576+7,""))</f>
        <v/>
      </c>
      <c r="C576" t="str">
        <f>IF($A576&lt;&gt;"",'Approved-In-Depth'!C576,"")</f>
        <v/>
      </c>
      <c r="D576" t="str">
        <f>IF($A576&lt;&gt;"",'Approved-In-Depth'!D576,"")</f>
        <v/>
      </c>
      <c r="E576" t="str">
        <f>IF($A576&lt;&gt;"",'Approved-In-Depth'!E576,"")</f>
        <v/>
      </c>
      <c r="F576" t="str">
        <f>IF($A576&lt;&gt;"",'Approved-In-Depth'!F576,"")</f>
        <v/>
      </c>
      <c r="G576" t="str">
        <f>IF($A576&lt;&gt;"",'Approved-In-Depth'!G576,"")</f>
        <v/>
      </c>
      <c r="H576" s="4" t="str">
        <f>IF($A576&lt;&gt;"",'Approved-In-Depth'!H576,"")</f>
        <v/>
      </c>
      <c r="I576" t="str">
        <f>IF($A576&lt;&gt;"",'Approved-In-Depth'!I576,"")</f>
        <v/>
      </c>
      <c r="J576" t="str">
        <f>IF($A576&lt;&gt;"",'Approved-In-Depth'!J576,"")</f>
        <v/>
      </c>
      <c r="K576" t="str">
        <f>IF($A576&lt;&gt;"",'Approved-In-Depth'!K576,"")</f>
        <v/>
      </c>
      <c r="L576" s="4" t="str">
        <f>IF($A576&lt;&gt;"",'Approved-In-Depth'!L576,"")</f>
        <v/>
      </c>
      <c r="M576" t="str">
        <f>IF($A576&lt;&gt;"",'Approved-In-Depth'!M576,"")</f>
        <v/>
      </c>
    </row>
    <row r="577" spans="1:13" x14ac:dyDescent="0.35">
      <c r="A577" s="4" t="str">
        <f>IF('Approved-In-Depth'!$A577&lt;&gt;"",'Approved-In-Depth'!A577,"")</f>
        <v/>
      </c>
      <c r="B577" t="str">
        <f>IF($O577&lt;&gt;"",$O577,IF($A577&lt;&gt;"",'Approved-In-Depth'!$B577+7,""))</f>
        <v/>
      </c>
      <c r="C577" t="str">
        <f>IF($A577&lt;&gt;"",'Approved-In-Depth'!C577,"")</f>
        <v/>
      </c>
      <c r="D577" t="str">
        <f>IF($A577&lt;&gt;"",'Approved-In-Depth'!D577,"")</f>
        <v/>
      </c>
      <c r="E577" t="str">
        <f>IF($A577&lt;&gt;"",'Approved-In-Depth'!E577,"")</f>
        <v/>
      </c>
      <c r="F577" t="str">
        <f>IF($A577&lt;&gt;"",'Approved-In-Depth'!F577,"")</f>
        <v/>
      </c>
      <c r="G577" t="str">
        <f>IF($A577&lt;&gt;"",'Approved-In-Depth'!G577,"")</f>
        <v/>
      </c>
      <c r="H577" s="4" t="str">
        <f>IF($A577&lt;&gt;"",'Approved-In-Depth'!H577,"")</f>
        <v/>
      </c>
      <c r="I577" t="str">
        <f>IF($A577&lt;&gt;"",'Approved-In-Depth'!I577,"")</f>
        <v/>
      </c>
      <c r="J577" t="str">
        <f>IF($A577&lt;&gt;"",'Approved-In-Depth'!J577,"")</f>
        <v/>
      </c>
      <c r="K577" t="str">
        <f>IF($A577&lt;&gt;"",'Approved-In-Depth'!K577,"")</f>
        <v/>
      </c>
      <c r="L577" s="4" t="str">
        <f>IF($A577&lt;&gt;"",'Approved-In-Depth'!L577,"")</f>
        <v/>
      </c>
      <c r="M577" t="str">
        <f>IF($A577&lt;&gt;"",'Approved-In-Depth'!M577,"")</f>
        <v/>
      </c>
    </row>
    <row r="578" spans="1:13" x14ac:dyDescent="0.35">
      <c r="A578" s="4" t="str">
        <f>IF('Approved-In-Depth'!$A578&lt;&gt;"",'Approved-In-Depth'!A578,"")</f>
        <v/>
      </c>
      <c r="B578" t="str">
        <f>IF($O578&lt;&gt;"",$O578,IF($A578&lt;&gt;"",'Approved-In-Depth'!$B578+7,""))</f>
        <v/>
      </c>
      <c r="C578" t="str">
        <f>IF($A578&lt;&gt;"",'Approved-In-Depth'!C578,"")</f>
        <v/>
      </c>
      <c r="D578" t="str">
        <f>IF($A578&lt;&gt;"",'Approved-In-Depth'!D578,"")</f>
        <v/>
      </c>
      <c r="E578" t="str">
        <f>IF($A578&lt;&gt;"",'Approved-In-Depth'!E578,"")</f>
        <v/>
      </c>
      <c r="F578" t="str">
        <f>IF($A578&lt;&gt;"",'Approved-In-Depth'!F578,"")</f>
        <v/>
      </c>
      <c r="G578" t="str">
        <f>IF($A578&lt;&gt;"",'Approved-In-Depth'!G578,"")</f>
        <v/>
      </c>
      <c r="H578" s="4" t="str">
        <f>IF($A578&lt;&gt;"",'Approved-In-Depth'!H578,"")</f>
        <v/>
      </c>
      <c r="I578" t="str">
        <f>IF($A578&lt;&gt;"",'Approved-In-Depth'!I578,"")</f>
        <v/>
      </c>
      <c r="J578" t="str">
        <f>IF($A578&lt;&gt;"",'Approved-In-Depth'!J578,"")</f>
        <v/>
      </c>
      <c r="K578" t="str">
        <f>IF($A578&lt;&gt;"",'Approved-In-Depth'!K578,"")</f>
        <v/>
      </c>
      <c r="L578" s="4" t="str">
        <f>IF($A578&lt;&gt;"",'Approved-In-Depth'!L578,"")</f>
        <v/>
      </c>
      <c r="M578" t="str">
        <f>IF($A578&lt;&gt;"",'Approved-In-Depth'!M578,"")</f>
        <v/>
      </c>
    </row>
    <row r="579" spans="1:13" x14ac:dyDescent="0.35">
      <c r="A579" s="4" t="str">
        <f>IF('Approved-In-Depth'!$A579&lt;&gt;"",'Approved-In-Depth'!A579,"")</f>
        <v/>
      </c>
      <c r="B579" t="str">
        <f>IF($O579&lt;&gt;"",$O579,IF($A579&lt;&gt;"",'Approved-In-Depth'!$B579+7,""))</f>
        <v/>
      </c>
      <c r="C579" t="str">
        <f>IF($A579&lt;&gt;"",'Approved-In-Depth'!C579,"")</f>
        <v/>
      </c>
      <c r="D579" t="str">
        <f>IF($A579&lt;&gt;"",'Approved-In-Depth'!D579,"")</f>
        <v/>
      </c>
      <c r="E579" t="str">
        <f>IF($A579&lt;&gt;"",'Approved-In-Depth'!E579,"")</f>
        <v/>
      </c>
      <c r="F579" t="str">
        <f>IF($A579&lt;&gt;"",'Approved-In-Depth'!F579,"")</f>
        <v/>
      </c>
      <c r="G579" t="str">
        <f>IF($A579&lt;&gt;"",'Approved-In-Depth'!G579,"")</f>
        <v/>
      </c>
      <c r="H579" s="4" t="str">
        <f>IF($A579&lt;&gt;"",'Approved-In-Depth'!H579,"")</f>
        <v/>
      </c>
      <c r="I579" t="str">
        <f>IF($A579&lt;&gt;"",'Approved-In-Depth'!I579,"")</f>
        <v/>
      </c>
      <c r="J579" t="str">
        <f>IF($A579&lt;&gt;"",'Approved-In-Depth'!J579,"")</f>
        <v/>
      </c>
      <c r="K579" t="str">
        <f>IF($A579&lt;&gt;"",'Approved-In-Depth'!K579,"")</f>
        <v/>
      </c>
      <c r="L579" s="4" t="str">
        <f>IF($A579&lt;&gt;"",'Approved-In-Depth'!L579,"")</f>
        <v/>
      </c>
      <c r="M579" t="str">
        <f>IF($A579&lt;&gt;"",'Approved-In-Depth'!M579,"")</f>
        <v/>
      </c>
    </row>
    <row r="580" spans="1:13" x14ac:dyDescent="0.35">
      <c r="A580" s="4" t="str">
        <f>IF('Approved-In-Depth'!$A580&lt;&gt;"",'Approved-In-Depth'!A580,"")</f>
        <v/>
      </c>
      <c r="B580" t="str">
        <f>IF($O580&lt;&gt;"",$O580,IF($A580&lt;&gt;"",'Approved-In-Depth'!$B580+7,""))</f>
        <v/>
      </c>
      <c r="C580" t="str">
        <f>IF($A580&lt;&gt;"",'Approved-In-Depth'!C580,"")</f>
        <v/>
      </c>
      <c r="D580" t="str">
        <f>IF($A580&lt;&gt;"",'Approved-In-Depth'!D580,"")</f>
        <v/>
      </c>
      <c r="E580" t="str">
        <f>IF($A580&lt;&gt;"",'Approved-In-Depth'!E580,"")</f>
        <v/>
      </c>
      <c r="F580" t="str">
        <f>IF($A580&lt;&gt;"",'Approved-In-Depth'!F580,"")</f>
        <v/>
      </c>
      <c r="G580" t="str">
        <f>IF($A580&lt;&gt;"",'Approved-In-Depth'!G580,"")</f>
        <v/>
      </c>
      <c r="H580" s="4" t="str">
        <f>IF($A580&lt;&gt;"",'Approved-In-Depth'!H580,"")</f>
        <v/>
      </c>
      <c r="I580" t="str">
        <f>IF($A580&lt;&gt;"",'Approved-In-Depth'!I580,"")</f>
        <v/>
      </c>
      <c r="J580" t="str">
        <f>IF($A580&lt;&gt;"",'Approved-In-Depth'!J580,"")</f>
        <v/>
      </c>
      <c r="K580" t="str">
        <f>IF($A580&lt;&gt;"",'Approved-In-Depth'!K580,"")</f>
        <v/>
      </c>
      <c r="L580" s="4" t="str">
        <f>IF($A580&lt;&gt;"",'Approved-In-Depth'!L580,"")</f>
        <v/>
      </c>
      <c r="M580" t="str">
        <f>IF($A580&lt;&gt;"",'Approved-In-Depth'!M580,"")</f>
        <v/>
      </c>
    </row>
    <row r="581" spans="1:13" x14ac:dyDescent="0.35">
      <c r="A581" s="4" t="str">
        <f>IF('Approved-In-Depth'!$A581&lt;&gt;"",'Approved-In-Depth'!A581,"")</f>
        <v/>
      </c>
      <c r="B581" t="str">
        <f>IF($O581&lt;&gt;"",$O581,IF($A581&lt;&gt;"",'Approved-In-Depth'!$B581+7,""))</f>
        <v/>
      </c>
      <c r="C581" t="str">
        <f>IF($A581&lt;&gt;"",'Approved-In-Depth'!C581,"")</f>
        <v/>
      </c>
      <c r="D581" t="str">
        <f>IF($A581&lt;&gt;"",'Approved-In-Depth'!D581,"")</f>
        <v/>
      </c>
      <c r="E581" t="str">
        <f>IF($A581&lt;&gt;"",'Approved-In-Depth'!E581,"")</f>
        <v/>
      </c>
      <c r="F581" t="str">
        <f>IF($A581&lt;&gt;"",'Approved-In-Depth'!F581,"")</f>
        <v/>
      </c>
      <c r="G581" t="str">
        <f>IF($A581&lt;&gt;"",'Approved-In-Depth'!G581,"")</f>
        <v/>
      </c>
      <c r="H581" s="4" t="str">
        <f>IF($A581&lt;&gt;"",'Approved-In-Depth'!H581,"")</f>
        <v/>
      </c>
      <c r="I581" t="str">
        <f>IF($A581&lt;&gt;"",'Approved-In-Depth'!I581,"")</f>
        <v/>
      </c>
      <c r="J581" t="str">
        <f>IF($A581&lt;&gt;"",'Approved-In-Depth'!J581,"")</f>
        <v/>
      </c>
      <c r="K581" t="str">
        <f>IF($A581&lt;&gt;"",'Approved-In-Depth'!K581,"")</f>
        <v/>
      </c>
      <c r="L581" s="4" t="str">
        <f>IF($A581&lt;&gt;"",'Approved-In-Depth'!L581,"")</f>
        <v/>
      </c>
      <c r="M581" t="str">
        <f>IF($A581&lt;&gt;"",'Approved-In-Depth'!M581,"")</f>
        <v/>
      </c>
    </row>
    <row r="582" spans="1:13" x14ac:dyDescent="0.35">
      <c r="A582" s="4" t="str">
        <f>IF('Approved-In-Depth'!$A582&lt;&gt;"",'Approved-In-Depth'!A582,"")</f>
        <v/>
      </c>
      <c r="B582" t="str">
        <f>IF($O582&lt;&gt;"",$O582,IF($A582&lt;&gt;"",'Approved-In-Depth'!$B582+7,""))</f>
        <v/>
      </c>
      <c r="C582" t="str">
        <f>IF($A582&lt;&gt;"",'Approved-In-Depth'!C582,"")</f>
        <v/>
      </c>
      <c r="D582" t="str">
        <f>IF($A582&lt;&gt;"",'Approved-In-Depth'!D582,"")</f>
        <v/>
      </c>
      <c r="E582" t="str">
        <f>IF($A582&lt;&gt;"",'Approved-In-Depth'!E582,"")</f>
        <v/>
      </c>
      <c r="F582" t="str">
        <f>IF($A582&lt;&gt;"",'Approved-In-Depth'!F582,"")</f>
        <v/>
      </c>
      <c r="G582" t="str">
        <f>IF($A582&lt;&gt;"",'Approved-In-Depth'!G582,"")</f>
        <v/>
      </c>
      <c r="H582" s="4" t="str">
        <f>IF($A582&lt;&gt;"",'Approved-In-Depth'!H582,"")</f>
        <v/>
      </c>
      <c r="I582" t="str">
        <f>IF($A582&lt;&gt;"",'Approved-In-Depth'!I582,"")</f>
        <v/>
      </c>
      <c r="J582" t="str">
        <f>IF($A582&lt;&gt;"",'Approved-In-Depth'!J582,"")</f>
        <v/>
      </c>
      <c r="K582" t="str">
        <f>IF($A582&lt;&gt;"",'Approved-In-Depth'!K582,"")</f>
        <v/>
      </c>
      <c r="L582" s="4" t="str">
        <f>IF($A582&lt;&gt;"",'Approved-In-Depth'!L582,"")</f>
        <v/>
      </c>
      <c r="M582" t="str">
        <f>IF($A582&lt;&gt;"",'Approved-In-Depth'!M582,"")</f>
        <v/>
      </c>
    </row>
    <row r="583" spans="1:13" x14ac:dyDescent="0.35">
      <c r="A583" s="4" t="str">
        <f>IF('Approved-In-Depth'!$A583&lt;&gt;"",'Approved-In-Depth'!A583,"")</f>
        <v/>
      </c>
      <c r="B583" t="str">
        <f>IF($O583&lt;&gt;"",$O583,IF($A583&lt;&gt;"",'Approved-In-Depth'!$B583+7,""))</f>
        <v/>
      </c>
      <c r="C583" t="str">
        <f>IF($A583&lt;&gt;"",'Approved-In-Depth'!C583,"")</f>
        <v/>
      </c>
      <c r="D583" t="str">
        <f>IF($A583&lt;&gt;"",'Approved-In-Depth'!D583,"")</f>
        <v/>
      </c>
      <c r="E583" t="str">
        <f>IF($A583&lt;&gt;"",'Approved-In-Depth'!E583,"")</f>
        <v/>
      </c>
      <c r="F583" t="str">
        <f>IF($A583&lt;&gt;"",'Approved-In-Depth'!F583,"")</f>
        <v/>
      </c>
      <c r="G583" t="str">
        <f>IF($A583&lt;&gt;"",'Approved-In-Depth'!G583,"")</f>
        <v/>
      </c>
      <c r="H583" s="4" t="str">
        <f>IF($A583&lt;&gt;"",'Approved-In-Depth'!H583,"")</f>
        <v/>
      </c>
      <c r="I583" t="str">
        <f>IF($A583&lt;&gt;"",'Approved-In-Depth'!I583,"")</f>
        <v/>
      </c>
      <c r="J583" t="str">
        <f>IF($A583&lt;&gt;"",'Approved-In-Depth'!J583,"")</f>
        <v/>
      </c>
      <c r="K583" t="str">
        <f>IF($A583&lt;&gt;"",'Approved-In-Depth'!K583,"")</f>
        <v/>
      </c>
      <c r="L583" s="4" t="str">
        <f>IF($A583&lt;&gt;"",'Approved-In-Depth'!L583,"")</f>
        <v/>
      </c>
      <c r="M583" t="str">
        <f>IF($A583&lt;&gt;"",'Approved-In-Depth'!M583,"")</f>
        <v/>
      </c>
    </row>
    <row r="584" spans="1:13" x14ac:dyDescent="0.35">
      <c r="A584" s="4" t="str">
        <f>IF('Approved-In-Depth'!$A584&lt;&gt;"",'Approved-In-Depth'!A584,"")</f>
        <v/>
      </c>
      <c r="B584" t="str">
        <f>IF($O584&lt;&gt;"",$O584,IF($A584&lt;&gt;"",'Approved-In-Depth'!$B584+7,""))</f>
        <v/>
      </c>
      <c r="C584" t="str">
        <f>IF($A584&lt;&gt;"",'Approved-In-Depth'!C584,"")</f>
        <v/>
      </c>
      <c r="D584" t="str">
        <f>IF($A584&lt;&gt;"",'Approved-In-Depth'!D584,"")</f>
        <v/>
      </c>
      <c r="E584" t="str">
        <f>IF($A584&lt;&gt;"",'Approved-In-Depth'!E584,"")</f>
        <v/>
      </c>
      <c r="F584" t="str">
        <f>IF($A584&lt;&gt;"",'Approved-In-Depth'!F584,"")</f>
        <v/>
      </c>
      <c r="G584" t="str">
        <f>IF($A584&lt;&gt;"",'Approved-In-Depth'!G584,"")</f>
        <v/>
      </c>
      <c r="H584" s="4" t="str">
        <f>IF($A584&lt;&gt;"",'Approved-In-Depth'!H584,"")</f>
        <v/>
      </c>
      <c r="I584" t="str">
        <f>IF($A584&lt;&gt;"",'Approved-In-Depth'!I584,"")</f>
        <v/>
      </c>
      <c r="J584" t="str">
        <f>IF($A584&lt;&gt;"",'Approved-In-Depth'!J584,"")</f>
        <v/>
      </c>
      <c r="K584" t="str">
        <f>IF($A584&lt;&gt;"",'Approved-In-Depth'!K584,"")</f>
        <v/>
      </c>
      <c r="L584" s="4" t="str">
        <f>IF($A584&lt;&gt;"",'Approved-In-Depth'!L584,"")</f>
        <v/>
      </c>
      <c r="M584" t="str">
        <f>IF($A584&lt;&gt;"",'Approved-In-Depth'!M584,"")</f>
        <v/>
      </c>
    </row>
    <row r="585" spans="1:13" x14ac:dyDescent="0.35">
      <c r="A585" s="4" t="str">
        <f>IF('Approved-In-Depth'!$A585&lt;&gt;"",'Approved-In-Depth'!A585,"")</f>
        <v/>
      </c>
      <c r="B585" t="str">
        <f>IF($O585&lt;&gt;"",$O585,IF($A585&lt;&gt;"",'Approved-In-Depth'!$B585+7,""))</f>
        <v/>
      </c>
      <c r="C585" t="str">
        <f>IF($A585&lt;&gt;"",'Approved-In-Depth'!C585,"")</f>
        <v/>
      </c>
      <c r="D585" t="str">
        <f>IF($A585&lt;&gt;"",'Approved-In-Depth'!D585,"")</f>
        <v/>
      </c>
      <c r="E585" t="str">
        <f>IF($A585&lt;&gt;"",'Approved-In-Depth'!E585,"")</f>
        <v/>
      </c>
      <c r="F585" t="str">
        <f>IF($A585&lt;&gt;"",'Approved-In-Depth'!F585,"")</f>
        <v/>
      </c>
      <c r="G585" t="str">
        <f>IF($A585&lt;&gt;"",'Approved-In-Depth'!G585,"")</f>
        <v/>
      </c>
      <c r="H585" s="4" t="str">
        <f>IF($A585&lt;&gt;"",'Approved-In-Depth'!H585,"")</f>
        <v/>
      </c>
      <c r="I585" t="str">
        <f>IF($A585&lt;&gt;"",'Approved-In-Depth'!I585,"")</f>
        <v/>
      </c>
      <c r="J585" t="str">
        <f>IF($A585&lt;&gt;"",'Approved-In-Depth'!J585,"")</f>
        <v/>
      </c>
      <c r="K585" t="str">
        <f>IF($A585&lt;&gt;"",'Approved-In-Depth'!K585,"")</f>
        <v/>
      </c>
      <c r="L585" s="4" t="str">
        <f>IF($A585&lt;&gt;"",'Approved-In-Depth'!L585,"")</f>
        <v/>
      </c>
      <c r="M585" t="str">
        <f>IF($A585&lt;&gt;"",'Approved-In-Depth'!M585,"")</f>
        <v/>
      </c>
    </row>
    <row r="586" spans="1:13" x14ac:dyDescent="0.35">
      <c r="A586" s="4" t="str">
        <f>IF('Approved-In-Depth'!$A586&lt;&gt;"",'Approved-In-Depth'!A586,"")</f>
        <v/>
      </c>
      <c r="B586" t="str">
        <f>IF($O586&lt;&gt;"",$O586,IF($A586&lt;&gt;"",'Approved-In-Depth'!$B586+7,""))</f>
        <v/>
      </c>
      <c r="C586" t="str">
        <f>IF($A586&lt;&gt;"",'Approved-In-Depth'!C586,"")</f>
        <v/>
      </c>
      <c r="D586" t="str">
        <f>IF($A586&lt;&gt;"",'Approved-In-Depth'!D586,"")</f>
        <v/>
      </c>
      <c r="E586" t="str">
        <f>IF($A586&lt;&gt;"",'Approved-In-Depth'!E586,"")</f>
        <v/>
      </c>
      <c r="F586" t="str">
        <f>IF($A586&lt;&gt;"",'Approved-In-Depth'!F586,"")</f>
        <v/>
      </c>
      <c r="G586" t="str">
        <f>IF($A586&lt;&gt;"",'Approved-In-Depth'!G586,"")</f>
        <v/>
      </c>
      <c r="H586" s="4" t="str">
        <f>IF($A586&lt;&gt;"",'Approved-In-Depth'!H586,"")</f>
        <v/>
      </c>
      <c r="I586" t="str">
        <f>IF($A586&lt;&gt;"",'Approved-In-Depth'!I586,"")</f>
        <v/>
      </c>
      <c r="J586" t="str">
        <f>IF($A586&lt;&gt;"",'Approved-In-Depth'!J586,"")</f>
        <v/>
      </c>
      <c r="K586" t="str">
        <f>IF($A586&lt;&gt;"",'Approved-In-Depth'!K586,"")</f>
        <v/>
      </c>
      <c r="L586" s="4" t="str">
        <f>IF($A586&lt;&gt;"",'Approved-In-Depth'!L586,"")</f>
        <v/>
      </c>
      <c r="M586" t="str">
        <f>IF($A586&lt;&gt;"",'Approved-In-Depth'!M586,"")</f>
        <v/>
      </c>
    </row>
    <row r="587" spans="1:13" x14ac:dyDescent="0.35">
      <c r="A587" s="4" t="str">
        <f>IF('Approved-In-Depth'!$A587&lt;&gt;"",'Approved-In-Depth'!A587,"")</f>
        <v/>
      </c>
      <c r="B587" t="str">
        <f>IF($O587&lt;&gt;"",$O587,IF($A587&lt;&gt;"",'Approved-In-Depth'!$B587+7,""))</f>
        <v/>
      </c>
      <c r="C587" t="str">
        <f>IF($A587&lt;&gt;"",'Approved-In-Depth'!C587,"")</f>
        <v/>
      </c>
      <c r="D587" t="str">
        <f>IF($A587&lt;&gt;"",'Approved-In-Depth'!D587,"")</f>
        <v/>
      </c>
      <c r="E587" t="str">
        <f>IF($A587&lt;&gt;"",'Approved-In-Depth'!E587,"")</f>
        <v/>
      </c>
      <c r="F587" t="str">
        <f>IF($A587&lt;&gt;"",'Approved-In-Depth'!F587,"")</f>
        <v/>
      </c>
      <c r="G587" t="str">
        <f>IF($A587&lt;&gt;"",'Approved-In-Depth'!G587,"")</f>
        <v/>
      </c>
      <c r="H587" s="4" t="str">
        <f>IF($A587&lt;&gt;"",'Approved-In-Depth'!H587,"")</f>
        <v/>
      </c>
      <c r="I587" t="str">
        <f>IF($A587&lt;&gt;"",'Approved-In-Depth'!I587,"")</f>
        <v/>
      </c>
      <c r="J587" t="str">
        <f>IF($A587&lt;&gt;"",'Approved-In-Depth'!J587,"")</f>
        <v/>
      </c>
      <c r="K587" t="str">
        <f>IF($A587&lt;&gt;"",'Approved-In-Depth'!K587,"")</f>
        <v/>
      </c>
      <c r="L587" s="4" t="str">
        <f>IF($A587&lt;&gt;"",'Approved-In-Depth'!L587,"")</f>
        <v/>
      </c>
      <c r="M587" t="str">
        <f>IF($A587&lt;&gt;"",'Approved-In-Depth'!M587,"")</f>
        <v/>
      </c>
    </row>
    <row r="588" spans="1:13" x14ac:dyDescent="0.35">
      <c r="A588" s="4" t="str">
        <f>IF('Approved-In-Depth'!$A588&lt;&gt;"",'Approved-In-Depth'!A588,"")</f>
        <v/>
      </c>
      <c r="B588" t="str">
        <f>IF($O588&lt;&gt;"",$O588,IF($A588&lt;&gt;"",'Approved-In-Depth'!$B588+7,""))</f>
        <v/>
      </c>
      <c r="C588" t="str">
        <f>IF($A588&lt;&gt;"",'Approved-In-Depth'!C588,"")</f>
        <v/>
      </c>
      <c r="D588" t="str">
        <f>IF($A588&lt;&gt;"",'Approved-In-Depth'!D588,"")</f>
        <v/>
      </c>
      <c r="E588" t="str">
        <f>IF($A588&lt;&gt;"",'Approved-In-Depth'!E588,"")</f>
        <v/>
      </c>
      <c r="F588" t="str">
        <f>IF($A588&lt;&gt;"",'Approved-In-Depth'!F588,"")</f>
        <v/>
      </c>
      <c r="G588" t="str">
        <f>IF($A588&lt;&gt;"",'Approved-In-Depth'!G588,"")</f>
        <v/>
      </c>
      <c r="H588" s="4" t="str">
        <f>IF($A588&lt;&gt;"",'Approved-In-Depth'!H588,"")</f>
        <v/>
      </c>
      <c r="I588" t="str">
        <f>IF($A588&lt;&gt;"",'Approved-In-Depth'!I588,"")</f>
        <v/>
      </c>
      <c r="J588" t="str">
        <f>IF($A588&lt;&gt;"",'Approved-In-Depth'!J588,"")</f>
        <v/>
      </c>
      <c r="K588" t="str">
        <f>IF($A588&lt;&gt;"",'Approved-In-Depth'!K588,"")</f>
        <v/>
      </c>
      <c r="L588" s="4" t="str">
        <f>IF($A588&lt;&gt;"",'Approved-In-Depth'!L588,"")</f>
        <v/>
      </c>
      <c r="M588" t="str">
        <f>IF($A588&lt;&gt;"",'Approved-In-Depth'!M588,"")</f>
        <v/>
      </c>
    </row>
    <row r="589" spans="1:13" x14ac:dyDescent="0.35">
      <c r="A589" s="4" t="str">
        <f>IF('Approved-In-Depth'!$A589&lt;&gt;"",'Approved-In-Depth'!A589,"")</f>
        <v/>
      </c>
      <c r="B589" t="str">
        <f>IF($O589&lt;&gt;"",$O589,IF($A589&lt;&gt;"",'Approved-In-Depth'!$B589+7,""))</f>
        <v/>
      </c>
      <c r="C589" t="str">
        <f>IF($A589&lt;&gt;"",'Approved-In-Depth'!C589,"")</f>
        <v/>
      </c>
      <c r="D589" t="str">
        <f>IF($A589&lt;&gt;"",'Approved-In-Depth'!D589,"")</f>
        <v/>
      </c>
      <c r="E589" t="str">
        <f>IF($A589&lt;&gt;"",'Approved-In-Depth'!E589,"")</f>
        <v/>
      </c>
      <c r="F589" t="str">
        <f>IF($A589&lt;&gt;"",'Approved-In-Depth'!F589,"")</f>
        <v/>
      </c>
      <c r="G589" t="str">
        <f>IF($A589&lt;&gt;"",'Approved-In-Depth'!G589,"")</f>
        <v/>
      </c>
      <c r="H589" s="4" t="str">
        <f>IF($A589&lt;&gt;"",'Approved-In-Depth'!H589,"")</f>
        <v/>
      </c>
      <c r="I589" t="str">
        <f>IF($A589&lt;&gt;"",'Approved-In-Depth'!I589,"")</f>
        <v/>
      </c>
      <c r="J589" t="str">
        <f>IF($A589&lt;&gt;"",'Approved-In-Depth'!J589,"")</f>
        <v/>
      </c>
      <c r="K589" t="str">
        <f>IF($A589&lt;&gt;"",'Approved-In-Depth'!K589,"")</f>
        <v/>
      </c>
      <c r="L589" s="4" t="str">
        <f>IF($A589&lt;&gt;"",'Approved-In-Depth'!L589,"")</f>
        <v/>
      </c>
      <c r="M589" t="str">
        <f>IF($A589&lt;&gt;"",'Approved-In-Depth'!M589,"")</f>
        <v/>
      </c>
    </row>
    <row r="590" spans="1:13" x14ac:dyDescent="0.35">
      <c r="A590" s="4" t="str">
        <f>IF('Approved-In-Depth'!$A590&lt;&gt;"",'Approved-In-Depth'!A590,"")</f>
        <v/>
      </c>
      <c r="B590" t="str">
        <f>IF($O590&lt;&gt;"",$O590,IF($A590&lt;&gt;"",'Approved-In-Depth'!$B590+7,""))</f>
        <v/>
      </c>
      <c r="C590" t="str">
        <f>IF($A590&lt;&gt;"",'Approved-In-Depth'!C590,"")</f>
        <v/>
      </c>
      <c r="D590" t="str">
        <f>IF($A590&lt;&gt;"",'Approved-In-Depth'!D590,"")</f>
        <v/>
      </c>
      <c r="E590" t="str">
        <f>IF($A590&lt;&gt;"",'Approved-In-Depth'!E590,"")</f>
        <v/>
      </c>
      <c r="F590" t="str">
        <f>IF($A590&lt;&gt;"",'Approved-In-Depth'!F590,"")</f>
        <v/>
      </c>
      <c r="G590" t="str">
        <f>IF($A590&lt;&gt;"",'Approved-In-Depth'!G590,"")</f>
        <v/>
      </c>
      <c r="H590" s="4" t="str">
        <f>IF($A590&lt;&gt;"",'Approved-In-Depth'!H590,"")</f>
        <v/>
      </c>
      <c r="I590" t="str">
        <f>IF($A590&lt;&gt;"",'Approved-In-Depth'!I590,"")</f>
        <v/>
      </c>
      <c r="J590" t="str">
        <f>IF($A590&lt;&gt;"",'Approved-In-Depth'!J590,"")</f>
        <v/>
      </c>
      <c r="K590" t="str">
        <f>IF($A590&lt;&gt;"",'Approved-In-Depth'!K590,"")</f>
        <v/>
      </c>
      <c r="L590" s="4" t="str">
        <f>IF($A590&lt;&gt;"",'Approved-In-Depth'!L590,"")</f>
        <v/>
      </c>
      <c r="M590" t="str">
        <f>IF($A590&lt;&gt;"",'Approved-In-Depth'!M590,"")</f>
        <v/>
      </c>
    </row>
    <row r="591" spans="1:13" x14ac:dyDescent="0.35">
      <c r="A591" s="4" t="str">
        <f>IF('Approved-In-Depth'!$A591&lt;&gt;"",'Approved-In-Depth'!A591,"")</f>
        <v/>
      </c>
      <c r="B591" t="str">
        <f>IF($O591&lt;&gt;"",$O591,IF($A591&lt;&gt;"",'Approved-In-Depth'!$B591+7,""))</f>
        <v/>
      </c>
      <c r="C591" t="str">
        <f>IF($A591&lt;&gt;"",'Approved-In-Depth'!C591,"")</f>
        <v/>
      </c>
      <c r="D591" t="str">
        <f>IF($A591&lt;&gt;"",'Approved-In-Depth'!D591,"")</f>
        <v/>
      </c>
      <c r="E591" t="str">
        <f>IF($A591&lt;&gt;"",'Approved-In-Depth'!E591,"")</f>
        <v/>
      </c>
      <c r="F591" t="str">
        <f>IF($A591&lt;&gt;"",'Approved-In-Depth'!F591,"")</f>
        <v/>
      </c>
      <c r="G591" t="str">
        <f>IF($A591&lt;&gt;"",'Approved-In-Depth'!G591,"")</f>
        <v/>
      </c>
      <c r="H591" s="4" t="str">
        <f>IF($A591&lt;&gt;"",'Approved-In-Depth'!H591,"")</f>
        <v/>
      </c>
      <c r="I591" t="str">
        <f>IF($A591&lt;&gt;"",'Approved-In-Depth'!I591,"")</f>
        <v/>
      </c>
      <c r="J591" t="str">
        <f>IF($A591&lt;&gt;"",'Approved-In-Depth'!J591,"")</f>
        <v/>
      </c>
      <c r="K591" t="str">
        <f>IF($A591&lt;&gt;"",'Approved-In-Depth'!K591,"")</f>
        <v/>
      </c>
      <c r="L591" s="4" t="str">
        <f>IF($A591&lt;&gt;"",'Approved-In-Depth'!L591,"")</f>
        <v/>
      </c>
      <c r="M591" t="str">
        <f>IF($A591&lt;&gt;"",'Approved-In-Depth'!M591,"")</f>
        <v/>
      </c>
    </row>
    <row r="592" spans="1:13" x14ac:dyDescent="0.35">
      <c r="A592" s="4" t="str">
        <f>IF('Approved-In-Depth'!$A592&lt;&gt;"",'Approved-In-Depth'!A592,"")</f>
        <v/>
      </c>
      <c r="B592" t="str">
        <f>IF($O592&lt;&gt;"",$O592,IF($A592&lt;&gt;"",'Approved-In-Depth'!$B592+7,""))</f>
        <v/>
      </c>
      <c r="C592" t="str">
        <f>IF($A592&lt;&gt;"",'Approved-In-Depth'!C592,"")</f>
        <v/>
      </c>
      <c r="D592" t="str">
        <f>IF($A592&lt;&gt;"",'Approved-In-Depth'!D592,"")</f>
        <v/>
      </c>
      <c r="E592" t="str">
        <f>IF($A592&lt;&gt;"",'Approved-In-Depth'!E592,"")</f>
        <v/>
      </c>
      <c r="F592" t="str">
        <f>IF($A592&lt;&gt;"",'Approved-In-Depth'!F592,"")</f>
        <v/>
      </c>
      <c r="G592" t="str">
        <f>IF($A592&lt;&gt;"",'Approved-In-Depth'!G592,"")</f>
        <v/>
      </c>
      <c r="H592" s="4" t="str">
        <f>IF($A592&lt;&gt;"",'Approved-In-Depth'!H592,"")</f>
        <v/>
      </c>
      <c r="I592" t="str">
        <f>IF($A592&lt;&gt;"",'Approved-In-Depth'!I592,"")</f>
        <v/>
      </c>
      <c r="J592" t="str">
        <f>IF($A592&lt;&gt;"",'Approved-In-Depth'!J592,"")</f>
        <v/>
      </c>
      <c r="K592" t="str">
        <f>IF($A592&lt;&gt;"",'Approved-In-Depth'!K592,"")</f>
        <v/>
      </c>
      <c r="L592" s="4" t="str">
        <f>IF($A592&lt;&gt;"",'Approved-In-Depth'!L592,"")</f>
        <v/>
      </c>
      <c r="M592" t="str">
        <f>IF($A592&lt;&gt;"",'Approved-In-Depth'!M592,"")</f>
        <v/>
      </c>
    </row>
    <row r="593" spans="1:13" x14ac:dyDescent="0.35">
      <c r="A593" s="4" t="str">
        <f>IF('Approved-In-Depth'!$A593&lt;&gt;"",'Approved-In-Depth'!A593,"")</f>
        <v/>
      </c>
      <c r="B593" t="str">
        <f>IF($O593&lt;&gt;"",$O593,IF($A593&lt;&gt;"",'Approved-In-Depth'!$B593+7,""))</f>
        <v/>
      </c>
      <c r="C593" t="str">
        <f>IF($A593&lt;&gt;"",'Approved-In-Depth'!C593,"")</f>
        <v/>
      </c>
      <c r="D593" t="str">
        <f>IF($A593&lt;&gt;"",'Approved-In-Depth'!D593,"")</f>
        <v/>
      </c>
      <c r="E593" t="str">
        <f>IF($A593&lt;&gt;"",'Approved-In-Depth'!E593,"")</f>
        <v/>
      </c>
      <c r="F593" t="str">
        <f>IF($A593&lt;&gt;"",'Approved-In-Depth'!F593,"")</f>
        <v/>
      </c>
      <c r="G593" t="str">
        <f>IF($A593&lt;&gt;"",'Approved-In-Depth'!G593,"")</f>
        <v/>
      </c>
      <c r="H593" s="4" t="str">
        <f>IF($A593&lt;&gt;"",'Approved-In-Depth'!H593,"")</f>
        <v/>
      </c>
      <c r="I593" t="str">
        <f>IF($A593&lt;&gt;"",'Approved-In-Depth'!I593,"")</f>
        <v/>
      </c>
      <c r="J593" t="str">
        <f>IF($A593&lt;&gt;"",'Approved-In-Depth'!J593,"")</f>
        <v/>
      </c>
      <c r="K593" t="str">
        <f>IF($A593&lt;&gt;"",'Approved-In-Depth'!K593,"")</f>
        <v/>
      </c>
      <c r="L593" s="4" t="str">
        <f>IF($A593&lt;&gt;"",'Approved-In-Depth'!L593,"")</f>
        <v/>
      </c>
      <c r="M593" t="str">
        <f>IF($A593&lt;&gt;"",'Approved-In-Depth'!M593,"")</f>
        <v/>
      </c>
    </row>
    <row r="594" spans="1:13" x14ac:dyDescent="0.35">
      <c r="A594" s="4" t="str">
        <f>IF('Approved-In-Depth'!$A594&lt;&gt;"",'Approved-In-Depth'!A594,"")</f>
        <v/>
      </c>
      <c r="B594" t="str">
        <f>IF($O594&lt;&gt;"",$O594,IF($A594&lt;&gt;"",'Approved-In-Depth'!$B594+7,""))</f>
        <v/>
      </c>
      <c r="C594" t="str">
        <f>IF($A594&lt;&gt;"",'Approved-In-Depth'!C594,"")</f>
        <v/>
      </c>
      <c r="D594" t="str">
        <f>IF($A594&lt;&gt;"",'Approved-In-Depth'!D594,"")</f>
        <v/>
      </c>
      <c r="E594" t="str">
        <f>IF($A594&lt;&gt;"",'Approved-In-Depth'!E594,"")</f>
        <v/>
      </c>
      <c r="F594" t="str">
        <f>IF($A594&lt;&gt;"",'Approved-In-Depth'!F594,"")</f>
        <v/>
      </c>
      <c r="G594" t="str">
        <f>IF($A594&lt;&gt;"",'Approved-In-Depth'!G594,"")</f>
        <v/>
      </c>
      <c r="H594" s="4" t="str">
        <f>IF($A594&lt;&gt;"",'Approved-In-Depth'!H594,"")</f>
        <v/>
      </c>
      <c r="I594" t="str">
        <f>IF($A594&lt;&gt;"",'Approved-In-Depth'!I594,"")</f>
        <v/>
      </c>
      <c r="J594" t="str">
        <f>IF($A594&lt;&gt;"",'Approved-In-Depth'!J594,"")</f>
        <v/>
      </c>
      <c r="K594" t="str">
        <f>IF($A594&lt;&gt;"",'Approved-In-Depth'!K594,"")</f>
        <v/>
      </c>
      <c r="L594" s="4" t="str">
        <f>IF($A594&lt;&gt;"",'Approved-In-Depth'!L594,"")</f>
        <v/>
      </c>
      <c r="M594" t="str">
        <f>IF($A594&lt;&gt;"",'Approved-In-Depth'!M594,"")</f>
        <v/>
      </c>
    </row>
    <row r="595" spans="1:13" x14ac:dyDescent="0.35">
      <c r="A595" s="4" t="str">
        <f>IF('Approved-In-Depth'!$A595&lt;&gt;"",'Approved-In-Depth'!A595,"")</f>
        <v/>
      </c>
      <c r="B595" t="str">
        <f>IF($O595&lt;&gt;"",$O595,IF($A595&lt;&gt;"",'Approved-In-Depth'!$B595+7,""))</f>
        <v/>
      </c>
      <c r="C595" t="str">
        <f>IF($A595&lt;&gt;"",'Approved-In-Depth'!C595,"")</f>
        <v/>
      </c>
      <c r="D595" t="str">
        <f>IF($A595&lt;&gt;"",'Approved-In-Depth'!D595,"")</f>
        <v/>
      </c>
      <c r="E595" t="str">
        <f>IF($A595&lt;&gt;"",'Approved-In-Depth'!E595,"")</f>
        <v/>
      </c>
      <c r="F595" t="str">
        <f>IF($A595&lt;&gt;"",'Approved-In-Depth'!F595,"")</f>
        <v/>
      </c>
      <c r="G595" t="str">
        <f>IF($A595&lt;&gt;"",'Approved-In-Depth'!G595,"")</f>
        <v/>
      </c>
      <c r="H595" s="4" t="str">
        <f>IF($A595&lt;&gt;"",'Approved-In-Depth'!H595,"")</f>
        <v/>
      </c>
      <c r="I595" t="str">
        <f>IF($A595&lt;&gt;"",'Approved-In-Depth'!I595,"")</f>
        <v/>
      </c>
      <c r="J595" t="str">
        <f>IF($A595&lt;&gt;"",'Approved-In-Depth'!J595,"")</f>
        <v/>
      </c>
      <c r="K595" t="str">
        <f>IF($A595&lt;&gt;"",'Approved-In-Depth'!K595,"")</f>
        <v/>
      </c>
      <c r="L595" s="4" t="str">
        <f>IF($A595&lt;&gt;"",'Approved-In-Depth'!L595,"")</f>
        <v/>
      </c>
      <c r="M595" t="str">
        <f>IF($A595&lt;&gt;"",'Approved-In-Depth'!M595,"")</f>
        <v/>
      </c>
    </row>
    <row r="596" spans="1:13" x14ac:dyDescent="0.35">
      <c r="A596" s="4" t="str">
        <f>IF('Approved-In-Depth'!$A596&lt;&gt;"",'Approved-In-Depth'!A596,"")</f>
        <v/>
      </c>
      <c r="B596" t="str">
        <f>IF($O596&lt;&gt;"",$O596,IF($A596&lt;&gt;"",'Approved-In-Depth'!$B596+7,""))</f>
        <v/>
      </c>
      <c r="C596" t="str">
        <f>IF($A596&lt;&gt;"",'Approved-In-Depth'!C596,"")</f>
        <v/>
      </c>
      <c r="D596" t="str">
        <f>IF($A596&lt;&gt;"",'Approved-In-Depth'!D596,"")</f>
        <v/>
      </c>
      <c r="E596" t="str">
        <f>IF($A596&lt;&gt;"",'Approved-In-Depth'!E596,"")</f>
        <v/>
      </c>
      <c r="F596" t="str">
        <f>IF($A596&lt;&gt;"",'Approved-In-Depth'!F596,"")</f>
        <v/>
      </c>
      <c r="G596" t="str">
        <f>IF($A596&lt;&gt;"",'Approved-In-Depth'!G596,"")</f>
        <v/>
      </c>
      <c r="H596" s="4" t="str">
        <f>IF($A596&lt;&gt;"",'Approved-In-Depth'!H596,"")</f>
        <v/>
      </c>
      <c r="I596" t="str">
        <f>IF($A596&lt;&gt;"",'Approved-In-Depth'!I596,"")</f>
        <v/>
      </c>
      <c r="J596" t="str">
        <f>IF($A596&lt;&gt;"",'Approved-In-Depth'!J596,"")</f>
        <v/>
      </c>
      <c r="K596" t="str">
        <f>IF($A596&lt;&gt;"",'Approved-In-Depth'!K596,"")</f>
        <v/>
      </c>
      <c r="L596" s="4" t="str">
        <f>IF($A596&lt;&gt;"",'Approved-In-Depth'!L596,"")</f>
        <v/>
      </c>
      <c r="M596" t="str">
        <f>IF($A596&lt;&gt;"",'Approved-In-Depth'!M596,"")</f>
        <v/>
      </c>
    </row>
    <row r="597" spans="1:13" x14ac:dyDescent="0.35">
      <c r="A597" s="4" t="str">
        <f>IF('Approved-In-Depth'!$A597&lt;&gt;"",'Approved-In-Depth'!A597,"")</f>
        <v/>
      </c>
      <c r="B597" t="str">
        <f>IF($O597&lt;&gt;"",$O597,IF($A597&lt;&gt;"",'Approved-In-Depth'!$B597+7,""))</f>
        <v/>
      </c>
      <c r="C597" t="str">
        <f>IF($A597&lt;&gt;"",'Approved-In-Depth'!C597,"")</f>
        <v/>
      </c>
      <c r="D597" t="str">
        <f>IF($A597&lt;&gt;"",'Approved-In-Depth'!D597,"")</f>
        <v/>
      </c>
      <c r="E597" t="str">
        <f>IF($A597&lt;&gt;"",'Approved-In-Depth'!E597,"")</f>
        <v/>
      </c>
      <c r="F597" t="str">
        <f>IF($A597&lt;&gt;"",'Approved-In-Depth'!F597,"")</f>
        <v/>
      </c>
      <c r="G597" t="str">
        <f>IF($A597&lt;&gt;"",'Approved-In-Depth'!G597,"")</f>
        <v/>
      </c>
      <c r="H597" s="4" t="str">
        <f>IF($A597&lt;&gt;"",'Approved-In-Depth'!H597,"")</f>
        <v/>
      </c>
      <c r="I597" t="str">
        <f>IF($A597&lt;&gt;"",'Approved-In-Depth'!I597,"")</f>
        <v/>
      </c>
      <c r="J597" t="str">
        <f>IF($A597&lt;&gt;"",'Approved-In-Depth'!J597,"")</f>
        <v/>
      </c>
      <c r="K597" t="str">
        <f>IF($A597&lt;&gt;"",'Approved-In-Depth'!K597,"")</f>
        <v/>
      </c>
      <c r="L597" s="4" t="str">
        <f>IF($A597&lt;&gt;"",'Approved-In-Depth'!L597,"")</f>
        <v/>
      </c>
      <c r="M597" t="str">
        <f>IF($A597&lt;&gt;"",'Approved-In-Depth'!M597,"")</f>
        <v/>
      </c>
    </row>
    <row r="598" spans="1:13" x14ac:dyDescent="0.35">
      <c r="A598" s="4" t="str">
        <f>IF('Approved-In-Depth'!$A598&lt;&gt;"",'Approved-In-Depth'!A598,"")</f>
        <v/>
      </c>
      <c r="B598" t="str">
        <f>IF($O598&lt;&gt;"",$O598,IF($A598&lt;&gt;"",'Approved-In-Depth'!$B598+7,""))</f>
        <v/>
      </c>
      <c r="C598" t="str">
        <f>IF($A598&lt;&gt;"",'Approved-In-Depth'!C598,"")</f>
        <v/>
      </c>
      <c r="D598" t="str">
        <f>IF($A598&lt;&gt;"",'Approved-In-Depth'!D598,"")</f>
        <v/>
      </c>
      <c r="E598" t="str">
        <f>IF($A598&lt;&gt;"",'Approved-In-Depth'!E598,"")</f>
        <v/>
      </c>
      <c r="F598" t="str">
        <f>IF($A598&lt;&gt;"",'Approved-In-Depth'!F598,"")</f>
        <v/>
      </c>
      <c r="G598" t="str">
        <f>IF($A598&lt;&gt;"",'Approved-In-Depth'!G598,"")</f>
        <v/>
      </c>
      <c r="H598" s="4" t="str">
        <f>IF($A598&lt;&gt;"",'Approved-In-Depth'!H598,"")</f>
        <v/>
      </c>
      <c r="I598" t="str">
        <f>IF($A598&lt;&gt;"",'Approved-In-Depth'!I598,"")</f>
        <v/>
      </c>
      <c r="J598" t="str">
        <f>IF($A598&lt;&gt;"",'Approved-In-Depth'!J598,"")</f>
        <v/>
      </c>
      <c r="K598" t="str">
        <f>IF($A598&lt;&gt;"",'Approved-In-Depth'!K598,"")</f>
        <v/>
      </c>
      <c r="L598" s="4" t="str">
        <f>IF($A598&lt;&gt;"",'Approved-In-Depth'!L598,"")</f>
        <v/>
      </c>
      <c r="M598" t="str">
        <f>IF($A598&lt;&gt;"",'Approved-In-Depth'!M598,"")</f>
        <v/>
      </c>
    </row>
    <row r="599" spans="1:13" x14ac:dyDescent="0.35">
      <c r="A599" s="4" t="str">
        <f>IF('Approved-In-Depth'!$A599&lt;&gt;"",'Approved-In-Depth'!A599,"")</f>
        <v/>
      </c>
      <c r="B599" t="str">
        <f>IF($O599&lt;&gt;"",$O599,IF($A599&lt;&gt;"",'Approved-In-Depth'!$B599+7,""))</f>
        <v/>
      </c>
      <c r="C599" t="str">
        <f>IF($A599&lt;&gt;"",'Approved-In-Depth'!C599,"")</f>
        <v/>
      </c>
      <c r="D599" t="str">
        <f>IF($A599&lt;&gt;"",'Approved-In-Depth'!D599,"")</f>
        <v/>
      </c>
      <c r="E599" t="str">
        <f>IF($A599&lt;&gt;"",'Approved-In-Depth'!E599,"")</f>
        <v/>
      </c>
      <c r="F599" t="str">
        <f>IF($A599&lt;&gt;"",'Approved-In-Depth'!F599,"")</f>
        <v/>
      </c>
      <c r="G599" t="str">
        <f>IF($A599&lt;&gt;"",'Approved-In-Depth'!G599,"")</f>
        <v/>
      </c>
      <c r="H599" s="4" t="str">
        <f>IF($A599&lt;&gt;"",'Approved-In-Depth'!H599,"")</f>
        <v/>
      </c>
      <c r="I599" t="str">
        <f>IF($A599&lt;&gt;"",'Approved-In-Depth'!I599,"")</f>
        <v/>
      </c>
      <c r="J599" t="str">
        <f>IF($A599&lt;&gt;"",'Approved-In-Depth'!J599,"")</f>
        <v/>
      </c>
      <c r="K599" t="str">
        <f>IF($A599&lt;&gt;"",'Approved-In-Depth'!K599,"")</f>
        <v/>
      </c>
      <c r="L599" s="4" t="str">
        <f>IF($A599&lt;&gt;"",'Approved-In-Depth'!L599,"")</f>
        <v/>
      </c>
      <c r="M599" t="str">
        <f>IF($A599&lt;&gt;"",'Approved-In-Depth'!M599,"")</f>
        <v/>
      </c>
    </row>
    <row r="600" spans="1:13" x14ac:dyDescent="0.35">
      <c r="A600" s="4" t="str">
        <f>IF('Approved-In-Depth'!$A600&lt;&gt;"",'Approved-In-Depth'!A600,"")</f>
        <v/>
      </c>
      <c r="B600" t="str">
        <f>IF($O600&lt;&gt;"",$O600,IF($A600&lt;&gt;"",'Approved-In-Depth'!$B600+7,""))</f>
        <v/>
      </c>
      <c r="C600" t="str">
        <f>IF($A600&lt;&gt;"",'Approved-In-Depth'!C600,"")</f>
        <v/>
      </c>
      <c r="D600" t="str">
        <f>IF($A600&lt;&gt;"",'Approved-In-Depth'!D600,"")</f>
        <v/>
      </c>
      <c r="E600" t="str">
        <f>IF($A600&lt;&gt;"",'Approved-In-Depth'!E600,"")</f>
        <v/>
      </c>
      <c r="F600" t="str">
        <f>IF($A600&lt;&gt;"",'Approved-In-Depth'!F600,"")</f>
        <v/>
      </c>
      <c r="G600" t="str">
        <f>IF($A600&lt;&gt;"",'Approved-In-Depth'!G600,"")</f>
        <v/>
      </c>
      <c r="H600" s="4" t="str">
        <f>IF($A600&lt;&gt;"",'Approved-In-Depth'!H600,"")</f>
        <v/>
      </c>
      <c r="I600" t="str">
        <f>IF($A600&lt;&gt;"",'Approved-In-Depth'!I600,"")</f>
        <v/>
      </c>
      <c r="J600" t="str">
        <f>IF($A600&lt;&gt;"",'Approved-In-Depth'!J600,"")</f>
        <v/>
      </c>
      <c r="K600" t="str">
        <f>IF($A600&lt;&gt;"",'Approved-In-Depth'!K600,"")</f>
        <v/>
      </c>
      <c r="L600" s="4" t="str">
        <f>IF($A600&lt;&gt;"",'Approved-In-Depth'!L600,"")</f>
        <v/>
      </c>
      <c r="M600" t="str">
        <f>IF($A600&lt;&gt;"",'Approved-In-Depth'!M600,"")</f>
        <v/>
      </c>
    </row>
    <row r="601" spans="1:13" x14ac:dyDescent="0.35">
      <c r="A601" s="4" t="str">
        <f>IF('Approved-In-Depth'!$A601&lt;&gt;"",'Approved-In-Depth'!A601,"")</f>
        <v/>
      </c>
      <c r="B601" t="str">
        <f>IF($O601&lt;&gt;"",$O601,IF($A601&lt;&gt;"",'Approved-In-Depth'!$B601+7,""))</f>
        <v/>
      </c>
      <c r="C601" t="str">
        <f>IF($A601&lt;&gt;"",'Approved-In-Depth'!C601,"")</f>
        <v/>
      </c>
      <c r="D601" t="str">
        <f>IF($A601&lt;&gt;"",'Approved-In-Depth'!D601,"")</f>
        <v/>
      </c>
      <c r="E601" t="str">
        <f>IF($A601&lt;&gt;"",'Approved-In-Depth'!E601,"")</f>
        <v/>
      </c>
      <c r="F601" t="str">
        <f>IF($A601&lt;&gt;"",'Approved-In-Depth'!F601,"")</f>
        <v/>
      </c>
      <c r="G601" t="str">
        <f>IF($A601&lt;&gt;"",'Approved-In-Depth'!G601,"")</f>
        <v/>
      </c>
      <c r="H601" s="4" t="str">
        <f>IF($A601&lt;&gt;"",'Approved-In-Depth'!H601,"")</f>
        <v/>
      </c>
      <c r="I601" t="str">
        <f>IF($A601&lt;&gt;"",'Approved-In-Depth'!I601,"")</f>
        <v/>
      </c>
      <c r="J601" t="str">
        <f>IF($A601&lt;&gt;"",'Approved-In-Depth'!J601,"")</f>
        <v/>
      </c>
      <c r="K601" t="str">
        <f>IF($A601&lt;&gt;"",'Approved-In-Depth'!K601,"")</f>
        <v/>
      </c>
      <c r="L601" s="4" t="str">
        <f>IF($A601&lt;&gt;"",'Approved-In-Depth'!L601,"")</f>
        <v/>
      </c>
      <c r="M601" t="str">
        <f>IF($A601&lt;&gt;"",'Approved-In-Depth'!M601,"")</f>
        <v/>
      </c>
    </row>
    <row r="602" spans="1:13" x14ac:dyDescent="0.35">
      <c r="A602" s="4" t="str">
        <f>IF('Approved-In-Depth'!$A602&lt;&gt;"",'Approved-In-Depth'!A602,"")</f>
        <v/>
      </c>
      <c r="B602" t="str">
        <f>IF($O602&lt;&gt;"",$O602,IF($A602&lt;&gt;"",'Approved-In-Depth'!$B602+7,""))</f>
        <v/>
      </c>
      <c r="C602" t="str">
        <f>IF($A602&lt;&gt;"",'Approved-In-Depth'!C602,"")</f>
        <v/>
      </c>
      <c r="D602" t="str">
        <f>IF($A602&lt;&gt;"",'Approved-In-Depth'!D602,"")</f>
        <v/>
      </c>
      <c r="E602" t="str">
        <f>IF($A602&lt;&gt;"",'Approved-In-Depth'!E602,"")</f>
        <v/>
      </c>
      <c r="F602" t="str">
        <f>IF($A602&lt;&gt;"",'Approved-In-Depth'!F602,"")</f>
        <v/>
      </c>
      <c r="G602" t="str">
        <f>IF($A602&lt;&gt;"",'Approved-In-Depth'!G602,"")</f>
        <v/>
      </c>
      <c r="H602" s="4" t="str">
        <f>IF($A602&lt;&gt;"",'Approved-In-Depth'!H602,"")</f>
        <v/>
      </c>
      <c r="I602" t="str">
        <f>IF($A602&lt;&gt;"",'Approved-In-Depth'!I602,"")</f>
        <v/>
      </c>
      <c r="J602" t="str">
        <f>IF($A602&lt;&gt;"",'Approved-In-Depth'!J602,"")</f>
        <v/>
      </c>
      <c r="K602" t="str">
        <f>IF($A602&lt;&gt;"",'Approved-In-Depth'!K602,"")</f>
        <v/>
      </c>
      <c r="L602" s="4" t="str">
        <f>IF($A602&lt;&gt;"",'Approved-In-Depth'!L602,"")</f>
        <v/>
      </c>
      <c r="M602" t="str">
        <f>IF($A602&lt;&gt;"",'Approved-In-Depth'!M602,"")</f>
        <v/>
      </c>
    </row>
    <row r="603" spans="1:13" x14ac:dyDescent="0.35">
      <c r="A603" s="4" t="str">
        <f>IF('Approved-In-Depth'!$A603&lt;&gt;"",'Approved-In-Depth'!A603,"")</f>
        <v/>
      </c>
      <c r="B603" t="str">
        <f>IF($O603&lt;&gt;"",$O603,IF($A603&lt;&gt;"",'Approved-In-Depth'!$B603+7,""))</f>
        <v/>
      </c>
      <c r="C603" t="str">
        <f>IF($A603&lt;&gt;"",'Approved-In-Depth'!C603,"")</f>
        <v/>
      </c>
      <c r="D603" t="str">
        <f>IF($A603&lt;&gt;"",'Approved-In-Depth'!D603,"")</f>
        <v/>
      </c>
      <c r="E603" t="str">
        <f>IF($A603&lt;&gt;"",'Approved-In-Depth'!E603,"")</f>
        <v/>
      </c>
      <c r="F603" t="str">
        <f>IF($A603&lt;&gt;"",'Approved-In-Depth'!F603,"")</f>
        <v/>
      </c>
      <c r="G603" t="str">
        <f>IF($A603&lt;&gt;"",'Approved-In-Depth'!G603,"")</f>
        <v/>
      </c>
      <c r="H603" s="4" t="str">
        <f>IF($A603&lt;&gt;"",'Approved-In-Depth'!H603,"")</f>
        <v/>
      </c>
      <c r="I603" t="str">
        <f>IF($A603&lt;&gt;"",'Approved-In-Depth'!I603,"")</f>
        <v/>
      </c>
      <c r="J603" t="str">
        <f>IF($A603&lt;&gt;"",'Approved-In-Depth'!J603,"")</f>
        <v/>
      </c>
      <c r="K603" t="str">
        <f>IF($A603&lt;&gt;"",'Approved-In-Depth'!K603,"")</f>
        <v/>
      </c>
      <c r="L603" s="4" t="str">
        <f>IF($A603&lt;&gt;"",'Approved-In-Depth'!L603,"")</f>
        <v/>
      </c>
      <c r="M603" t="str">
        <f>IF($A603&lt;&gt;"",'Approved-In-Depth'!M603,"")</f>
        <v/>
      </c>
    </row>
    <row r="604" spans="1:13" x14ac:dyDescent="0.35">
      <c r="A604" s="4" t="str">
        <f>IF('Approved-In-Depth'!$A604&lt;&gt;"",'Approved-In-Depth'!A604,"")</f>
        <v/>
      </c>
      <c r="B604" t="str">
        <f>IF($O604&lt;&gt;"",$O604,IF($A604&lt;&gt;"",'Approved-In-Depth'!$B604+7,""))</f>
        <v/>
      </c>
      <c r="C604" t="str">
        <f>IF($A604&lt;&gt;"",'Approved-In-Depth'!C604,"")</f>
        <v/>
      </c>
      <c r="D604" t="str">
        <f>IF($A604&lt;&gt;"",'Approved-In-Depth'!D604,"")</f>
        <v/>
      </c>
      <c r="E604" t="str">
        <f>IF($A604&lt;&gt;"",'Approved-In-Depth'!E604,"")</f>
        <v/>
      </c>
      <c r="F604" t="str">
        <f>IF($A604&lt;&gt;"",'Approved-In-Depth'!F604,"")</f>
        <v/>
      </c>
      <c r="G604" t="str">
        <f>IF($A604&lt;&gt;"",'Approved-In-Depth'!G604,"")</f>
        <v/>
      </c>
      <c r="H604" s="4" t="str">
        <f>IF($A604&lt;&gt;"",'Approved-In-Depth'!H604,"")</f>
        <v/>
      </c>
      <c r="I604" t="str">
        <f>IF($A604&lt;&gt;"",'Approved-In-Depth'!I604,"")</f>
        <v/>
      </c>
      <c r="J604" t="str">
        <f>IF($A604&lt;&gt;"",'Approved-In-Depth'!J604,"")</f>
        <v/>
      </c>
      <c r="K604" t="str">
        <f>IF($A604&lt;&gt;"",'Approved-In-Depth'!K604,"")</f>
        <v/>
      </c>
      <c r="L604" s="4" t="str">
        <f>IF($A604&lt;&gt;"",'Approved-In-Depth'!L604,"")</f>
        <v/>
      </c>
      <c r="M604" t="str">
        <f>IF($A604&lt;&gt;"",'Approved-In-Depth'!M604,"")</f>
        <v/>
      </c>
    </row>
    <row r="605" spans="1:13" x14ac:dyDescent="0.35">
      <c r="A605" s="4" t="str">
        <f>IF('Approved-In-Depth'!$A605&lt;&gt;"",'Approved-In-Depth'!A605,"")</f>
        <v/>
      </c>
      <c r="B605" t="str">
        <f>IF($O605&lt;&gt;"",$O605,IF($A605&lt;&gt;"",'Approved-In-Depth'!$B605+7,""))</f>
        <v/>
      </c>
      <c r="C605" t="str">
        <f>IF($A605&lt;&gt;"",'Approved-In-Depth'!C605,"")</f>
        <v/>
      </c>
      <c r="D605" t="str">
        <f>IF($A605&lt;&gt;"",'Approved-In-Depth'!D605,"")</f>
        <v/>
      </c>
      <c r="E605" t="str">
        <f>IF($A605&lt;&gt;"",'Approved-In-Depth'!E605,"")</f>
        <v/>
      </c>
      <c r="F605" t="str">
        <f>IF($A605&lt;&gt;"",'Approved-In-Depth'!F605,"")</f>
        <v/>
      </c>
      <c r="G605" t="str">
        <f>IF($A605&lt;&gt;"",'Approved-In-Depth'!G605,"")</f>
        <v/>
      </c>
      <c r="H605" s="4" t="str">
        <f>IF($A605&lt;&gt;"",'Approved-In-Depth'!H605,"")</f>
        <v/>
      </c>
      <c r="I605" t="str">
        <f>IF($A605&lt;&gt;"",'Approved-In-Depth'!I605,"")</f>
        <v/>
      </c>
      <c r="J605" t="str">
        <f>IF($A605&lt;&gt;"",'Approved-In-Depth'!J605,"")</f>
        <v/>
      </c>
      <c r="K605" t="str">
        <f>IF($A605&lt;&gt;"",'Approved-In-Depth'!K605,"")</f>
        <v/>
      </c>
      <c r="L605" s="4" t="str">
        <f>IF($A605&lt;&gt;"",'Approved-In-Depth'!L605,"")</f>
        <v/>
      </c>
      <c r="M605" t="str">
        <f>IF($A605&lt;&gt;"",'Approved-In-Depth'!M605,"")</f>
        <v/>
      </c>
    </row>
    <row r="606" spans="1:13" x14ac:dyDescent="0.35">
      <c r="A606" s="4" t="str">
        <f>IF('Approved-In-Depth'!$A606&lt;&gt;"",'Approved-In-Depth'!A606,"")</f>
        <v/>
      </c>
      <c r="B606" t="str">
        <f>IF($O606&lt;&gt;"",$O606,IF($A606&lt;&gt;"",'Approved-In-Depth'!$B606+7,""))</f>
        <v/>
      </c>
      <c r="C606" t="str">
        <f>IF($A606&lt;&gt;"",'Approved-In-Depth'!C606,"")</f>
        <v/>
      </c>
      <c r="D606" t="str">
        <f>IF($A606&lt;&gt;"",'Approved-In-Depth'!D606,"")</f>
        <v/>
      </c>
      <c r="E606" t="str">
        <f>IF($A606&lt;&gt;"",'Approved-In-Depth'!E606,"")</f>
        <v/>
      </c>
      <c r="F606" t="str">
        <f>IF($A606&lt;&gt;"",'Approved-In-Depth'!F606,"")</f>
        <v/>
      </c>
      <c r="G606" t="str">
        <f>IF($A606&lt;&gt;"",'Approved-In-Depth'!G606,"")</f>
        <v/>
      </c>
      <c r="H606" s="4" t="str">
        <f>IF($A606&lt;&gt;"",'Approved-In-Depth'!H606,"")</f>
        <v/>
      </c>
      <c r="I606" t="str">
        <f>IF($A606&lt;&gt;"",'Approved-In-Depth'!I606,"")</f>
        <v/>
      </c>
      <c r="J606" t="str">
        <f>IF($A606&lt;&gt;"",'Approved-In-Depth'!J606,"")</f>
        <v/>
      </c>
      <c r="K606" t="str">
        <f>IF($A606&lt;&gt;"",'Approved-In-Depth'!K606,"")</f>
        <v/>
      </c>
      <c r="L606" s="4" t="str">
        <f>IF($A606&lt;&gt;"",'Approved-In-Depth'!L606,"")</f>
        <v/>
      </c>
      <c r="M606" t="str">
        <f>IF($A606&lt;&gt;"",'Approved-In-Depth'!M606,"")</f>
        <v/>
      </c>
    </row>
    <row r="607" spans="1:13" x14ac:dyDescent="0.35">
      <c r="A607" s="4" t="str">
        <f>IF('Approved-In-Depth'!$A607&lt;&gt;"",'Approved-In-Depth'!A607,"")</f>
        <v/>
      </c>
      <c r="B607" t="str">
        <f>IF($O607&lt;&gt;"",$O607,IF($A607&lt;&gt;"",'Approved-In-Depth'!$B607+7,""))</f>
        <v/>
      </c>
      <c r="C607" t="str">
        <f>IF($A607&lt;&gt;"",'Approved-In-Depth'!C607,"")</f>
        <v/>
      </c>
      <c r="D607" t="str">
        <f>IF($A607&lt;&gt;"",'Approved-In-Depth'!D607,"")</f>
        <v/>
      </c>
      <c r="E607" t="str">
        <f>IF($A607&lt;&gt;"",'Approved-In-Depth'!E607,"")</f>
        <v/>
      </c>
      <c r="F607" t="str">
        <f>IF($A607&lt;&gt;"",'Approved-In-Depth'!F607,"")</f>
        <v/>
      </c>
      <c r="G607" t="str">
        <f>IF($A607&lt;&gt;"",'Approved-In-Depth'!G607,"")</f>
        <v/>
      </c>
      <c r="H607" s="4" t="str">
        <f>IF($A607&lt;&gt;"",'Approved-In-Depth'!H607,"")</f>
        <v/>
      </c>
      <c r="I607" t="str">
        <f>IF($A607&lt;&gt;"",'Approved-In-Depth'!I607,"")</f>
        <v/>
      </c>
      <c r="J607" t="str">
        <f>IF($A607&lt;&gt;"",'Approved-In-Depth'!J607,"")</f>
        <v/>
      </c>
      <c r="K607" t="str">
        <f>IF($A607&lt;&gt;"",'Approved-In-Depth'!K607,"")</f>
        <v/>
      </c>
      <c r="L607" s="4" t="str">
        <f>IF($A607&lt;&gt;"",'Approved-In-Depth'!L607,"")</f>
        <v/>
      </c>
      <c r="M607" t="str">
        <f>IF($A607&lt;&gt;"",'Approved-In-Depth'!M607,"")</f>
        <v/>
      </c>
    </row>
    <row r="608" spans="1:13" x14ac:dyDescent="0.35">
      <c r="A608" s="4" t="str">
        <f>IF('Approved-In-Depth'!$A608&lt;&gt;"",'Approved-In-Depth'!A608,"")</f>
        <v/>
      </c>
      <c r="B608" t="str">
        <f>IF($O608&lt;&gt;"",$O608,IF($A608&lt;&gt;"",'Approved-In-Depth'!$B608+7,""))</f>
        <v/>
      </c>
      <c r="C608" t="str">
        <f>IF($A608&lt;&gt;"",'Approved-In-Depth'!C608,"")</f>
        <v/>
      </c>
      <c r="D608" t="str">
        <f>IF($A608&lt;&gt;"",'Approved-In-Depth'!D608,"")</f>
        <v/>
      </c>
      <c r="E608" t="str">
        <f>IF($A608&lt;&gt;"",'Approved-In-Depth'!E608,"")</f>
        <v/>
      </c>
      <c r="F608" t="str">
        <f>IF($A608&lt;&gt;"",'Approved-In-Depth'!F608,"")</f>
        <v/>
      </c>
      <c r="G608" t="str">
        <f>IF($A608&lt;&gt;"",'Approved-In-Depth'!G608,"")</f>
        <v/>
      </c>
      <c r="H608" s="4" t="str">
        <f>IF($A608&lt;&gt;"",'Approved-In-Depth'!H608,"")</f>
        <v/>
      </c>
      <c r="I608" t="str">
        <f>IF($A608&lt;&gt;"",'Approved-In-Depth'!I608,"")</f>
        <v/>
      </c>
      <c r="J608" t="str">
        <f>IF($A608&lt;&gt;"",'Approved-In-Depth'!J608,"")</f>
        <v/>
      </c>
      <c r="K608" t="str">
        <f>IF($A608&lt;&gt;"",'Approved-In-Depth'!K608,"")</f>
        <v/>
      </c>
      <c r="L608" s="4" t="str">
        <f>IF($A608&lt;&gt;"",'Approved-In-Depth'!L608,"")</f>
        <v/>
      </c>
      <c r="M608" t="str">
        <f>IF($A608&lt;&gt;"",'Approved-In-Depth'!M608,"")</f>
        <v/>
      </c>
    </row>
    <row r="609" spans="1:13" x14ac:dyDescent="0.35">
      <c r="A609" s="4" t="str">
        <f>IF('Approved-In-Depth'!$A609&lt;&gt;"",'Approved-In-Depth'!A609,"")</f>
        <v/>
      </c>
      <c r="B609" t="str">
        <f>IF($O609&lt;&gt;"",$O609,IF($A609&lt;&gt;"",'Approved-In-Depth'!$B609+7,""))</f>
        <v/>
      </c>
      <c r="C609" t="str">
        <f>IF($A609&lt;&gt;"",'Approved-In-Depth'!C609,"")</f>
        <v/>
      </c>
      <c r="D609" t="str">
        <f>IF($A609&lt;&gt;"",'Approved-In-Depth'!D609,"")</f>
        <v/>
      </c>
      <c r="E609" t="str">
        <f>IF($A609&lt;&gt;"",'Approved-In-Depth'!E609,"")</f>
        <v/>
      </c>
      <c r="F609" t="str">
        <f>IF($A609&lt;&gt;"",'Approved-In-Depth'!F609,"")</f>
        <v/>
      </c>
      <c r="G609" t="str">
        <f>IF($A609&lt;&gt;"",'Approved-In-Depth'!G609,"")</f>
        <v/>
      </c>
      <c r="H609" s="4" t="str">
        <f>IF($A609&lt;&gt;"",'Approved-In-Depth'!H609,"")</f>
        <v/>
      </c>
      <c r="I609" t="str">
        <f>IF($A609&lt;&gt;"",'Approved-In-Depth'!I609,"")</f>
        <v/>
      </c>
      <c r="J609" t="str">
        <f>IF($A609&lt;&gt;"",'Approved-In-Depth'!J609,"")</f>
        <v/>
      </c>
      <c r="K609" t="str">
        <f>IF($A609&lt;&gt;"",'Approved-In-Depth'!K609,"")</f>
        <v/>
      </c>
      <c r="L609" s="4" t="str">
        <f>IF($A609&lt;&gt;"",'Approved-In-Depth'!L609,"")</f>
        <v/>
      </c>
      <c r="M609" t="str">
        <f>IF($A609&lt;&gt;"",'Approved-In-Depth'!M609,"")</f>
        <v/>
      </c>
    </row>
    <row r="610" spans="1:13" x14ac:dyDescent="0.35">
      <c r="A610" s="4" t="str">
        <f>IF('Approved-In-Depth'!$A610&lt;&gt;"",'Approved-In-Depth'!A610,"")</f>
        <v/>
      </c>
      <c r="B610" t="str">
        <f>IF($O610&lt;&gt;"",$O610,IF($A610&lt;&gt;"",'Approved-In-Depth'!$B610+7,""))</f>
        <v/>
      </c>
      <c r="C610" t="str">
        <f>IF($A610&lt;&gt;"",'Approved-In-Depth'!C610,"")</f>
        <v/>
      </c>
      <c r="D610" t="str">
        <f>IF($A610&lt;&gt;"",'Approved-In-Depth'!D610,"")</f>
        <v/>
      </c>
      <c r="E610" t="str">
        <f>IF($A610&lt;&gt;"",'Approved-In-Depth'!E610,"")</f>
        <v/>
      </c>
      <c r="F610" t="str">
        <f>IF($A610&lt;&gt;"",'Approved-In-Depth'!F610,"")</f>
        <v/>
      </c>
      <c r="G610" t="str">
        <f>IF($A610&lt;&gt;"",'Approved-In-Depth'!G610,"")</f>
        <v/>
      </c>
      <c r="H610" s="4" t="str">
        <f>IF($A610&lt;&gt;"",'Approved-In-Depth'!H610,"")</f>
        <v/>
      </c>
      <c r="I610" t="str">
        <f>IF($A610&lt;&gt;"",'Approved-In-Depth'!I610,"")</f>
        <v/>
      </c>
      <c r="J610" t="str">
        <f>IF($A610&lt;&gt;"",'Approved-In-Depth'!J610,"")</f>
        <v/>
      </c>
      <c r="K610" t="str">
        <f>IF($A610&lt;&gt;"",'Approved-In-Depth'!K610,"")</f>
        <v/>
      </c>
      <c r="L610" s="4" t="str">
        <f>IF($A610&lt;&gt;"",'Approved-In-Depth'!L610,"")</f>
        <v/>
      </c>
      <c r="M610" t="str">
        <f>IF($A610&lt;&gt;"",'Approved-In-Depth'!M610,"")</f>
        <v/>
      </c>
    </row>
    <row r="611" spans="1:13" x14ac:dyDescent="0.35">
      <c r="A611" s="4" t="str">
        <f>IF('Approved-In-Depth'!$A611&lt;&gt;"",'Approved-In-Depth'!A611,"")</f>
        <v/>
      </c>
      <c r="B611" t="str">
        <f>IF($O611&lt;&gt;"",$O611,IF($A611&lt;&gt;"",'Approved-In-Depth'!$B611+7,""))</f>
        <v/>
      </c>
      <c r="C611" t="str">
        <f>IF($A611&lt;&gt;"",'Approved-In-Depth'!C611,"")</f>
        <v/>
      </c>
      <c r="D611" t="str">
        <f>IF($A611&lt;&gt;"",'Approved-In-Depth'!D611,"")</f>
        <v/>
      </c>
      <c r="E611" t="str">
        <f>IF($A611&lt;&gt;"",'Approved-In-Depth'!E611,"")</f>
        <v/>
      </c>
      <c r="F611" t="str">
        <f>IF($A611&lt;&gt;"",'Approved-In-Depth'!F611,"")</f>
        <v/>
      </c>
      <c r="G611" t="str">
        <f>IF($A611&lt;&gt;"",'Approved-In-Depth'!G611,"")</f>
        <v/>
      </c>
      <c r="H611" s="4" t="str">
        <f>IF($A611&lt;&gt;"",'Approved-In-Depth'!H611,"")</f>
        <v/>
      </c>
      <c r="I611" t="str">
        <f>IF($A611&lt;&gt;"",'Approved-In-Depth'!I611,"")</f>
        <v/>
      </c>
      <c r="J611" t="str">
        <f>IF($A611&lt;&gt;"",'Approved-In-Depth'!J611,"")</f>
        <v/>
      </c>
      <c r="K611" t="str">
        <f>IF($A611&lt;&gt;"",'Approved-In-Depth'!K611,"")</f>
        <v/>
      </c>
      <c r="L611" s="4" t="str">
        <f>IF($A611&lt;&gt;"",'Approved-In-Depth'!L611,"")</f>
        <v/>
      </c>
      <c r="M611" t="str">
        <f>IF($A611&lt;&gt;"",'Approved-In-Depth'!M611,"")</f>
        <v/>
      </c>
    </row>
    <row r="612" spans="1:13" x14ac:dyDescent="0.35">
      <c r="A612" s="4" t="str">
        <f>IF('Approved-In-Depth'!$A612&lt;&gt;"",'Approved-In-Depth'!A612,"")</f>
        <v/>
      </c>
      <c r="B612" t="str">
        <f>IF($O612&lt;&gt;"",$O612,IF($A612&lt;&gt;"",'Approved-In-Depth'!$B612+7,""))</f>
        <v/>
      </c>
      <c r="C612" t="str">
        <f>IF($A612&lt;&gt;"",'Approved-In-Depth'!C612,"")</f>
        <v/>
      </c>
      <c r="D612" t="str">
        <f>IF($A612&lt;&gt;"",'Approved-In-Depth'!D612,"")</f>
        <v/>
      </c>
      <c r="E612" t="str">
        <f>IF($A612&lt;&gt;"",'Approved-In-Depth'!E612,"")</f>
        <v/>
      </c>
      <c r="F612" t="str">
        <f>IF($A612&lt;&gt;"",'Approved-In-Depth'!F612,"")</f>
        <v/>
      </c>
      <c r="G612" t="str">
        <f>IF($A612&lt;&gt;"",'Approved-In-Depth'!G612,"")</f>
        <v/>
      </c>
      <c r="H612" s="4" t="str">
        <f>IF($A612&lt;&gt;"",'Approved-In-Depth'!H612,"")</f>
        <v/>
      </c>
      <c r="I612" t="str">
        <f>IF($A612&lt;&gt;"",'Approved-In-Depth'!I612,"")</f>
        <v/>
      </c>
      <c r="J612" t="str">
        <f>IF($A612&lt;&gt;"",'Approved-In-Depth'!J612,"")</f>
        <v/>
      </c>
      <c r="K612" t="str">
        <f>IF($A612&lt;&gt;"",'Approved-In-Depth'!K612,"")</f>
        <v/>
      </c>
      <c r="L612" s="4" t="str">
        <f>IF($A612&lt;&gt;"",'Approved-In-Depth'!L612,"")</f>
        <v/>
      </c>
      <c r="M612" t="str">
        <f>IF($A612&lt;&gt;"",'Approved-In-Depth'!M612,"")</f>
        <v/>
      </c>
    </row>
    <row r="613" spans="1:13" x14ac:dyDescent="0.35">
      <c r="A613" s="4" t="str">
        <f>IF('Approved-In-Depth'!$A613&lt;&gt;"",'Approved-In-Depth'!A613,"")</f>
        <v/>
      </c>
      <c r="B613" t="str">
        <f>IF($O613&lt;&gt;"",$O613,IF($A613&lt;&gt;"",'Approved-In-Depth'!$B613+7,""))</f>
        <v/>
      </c>
      <c r="C613" t="str">
        <f>IF($A613&lt;&gt;"",'Approved-In-Depth'!C613,"")</f>
        <v/>
      </c>
      <c r="D613" t="str">
        <f>IF($A613&lt;&gt;"",'Approved-In-Depth'!D613,"")</f>
        <v/>
      </c>
      <c r="E613" t="str">
        <f>IF($A613&lt;&gt;"",'Approved-In-Depth'!E613,"")</f>
        <v/>
      </c>
      <c r="F613" t="str">
        <f>IF($A613&lt;&gt;"",'Approved-In-Depth'!F613,"")</f>
        <v/>
      </c>
      <c r="G613" t="str">
        <f>IF($A613&lt;&gt;"",'Approved-In-Depth'!G613,"")</f>
        <v/>
      </c>
      <c r="H613" s="4" t="str">
        <f>IF($A613&lt;&gt;"",'Approved-In-Depth'!H613,"")</f>
        <v/>
      </c>
      <c r="I613" t="str">
        <f>IF($A613&lt;&gt;"",'Approved-In-Depth'!I613,"")</f>
        <v/>
      </c>
      <c r="J613" t="str">
        <f>IF($A613&lt;&gt;"",'Approved-In-Depth'!J613,"")</f>
        <v/>
      </c>
      <c r="K613" t="str">
        <f>IF($A613&lt;&gt;"",'Approved-In-Depth'!K613,"")</f>
        <v/>
      </c>
      <c r="L613" s="4" t="str">
        <f>IF($A613&lt;&gt;"",'Approved-In-Depth'!L613,"")</f>
        <v/>
      </c>
      <c r="M613" t="str">
        <f>IF($A613&lt;&gt;"",'Approved-In-Depth'!M613,"")</f>
        <v/>
      </c>
    </row>
    <row r="614" spans="1:13" x14ac:dyDescent="0.35">
      <c r="A614" s="4" t="str">
        <f>IF('Approved-In-Depth'!$A614&lt;&gt;"",'Approved-In-Depth'!A614,"")</f>
        <v/>
      </c>
      <c r="B614" t="str">
        <f>IF($O614&lt;&gt;"",$O614,IF($A614&lt;&gt;"",'Approved-In-Depth'!$B614+7,""))</f>
        <v/>
      </c>
      <c r="C614" t="str">
        <f>IF($A614&lt;&gt;"",'Approved-In-Depth'!C614,"")</f>
        <v/>
      </c>
      <c r="D614" t="str">
        <f>IF($A614&lt;&gt;"",'Approved-In-Depth'!D614,"")</f>
        <v/>
      </c>
      <c r="E614" t="str">
        <f>IF($A614&lt;&gt;"",'Approved-In-Depth'!E614,"")</f>
        <v/>
      </c>
      <c r="F614" t="str">
        <f>IF($A614&lt;&gt;"",'Approved-In-Depth'!F614,"")</f>
        <v/>
      </c>
      <c r="G614" t="str">
        <f>IF($A614&lt;&gt;"",'Approved-In-Depth'!G614,"")</f>
        <v/>
      </c>
      <c r="H614" s="4" t="str">
        <f>IF($A614&lt;&gt;"",'Approved-In-Depth'!H614,"")</f>
        <v/>
      </c>
      <c r="I614" t="str">
        <f>IF($A614&lt;&gt;"",'Approved-In-Depth'!I614,"")</f>
        <v/>
      </c>
      <c r="J614" t="str">
        <f>IF($A614&lt;&gt;"",'Approved-In-Depth'!J614,"")</f>
        <v/>
      </c>
      <c r="K614" t="str">
        <f>IF($A614&lt;&gt;"",'Approved-In-Depth'!K614,"")</f>
        <v/>
      </c>
      <c r="L614" s="4" t="str">
        <f>IF($A614&lt;&gt;"",'Approved-In-Depth'!L614,"")</f>
        <v/>
      </c>
      <c r="M614" t="str">
        <f>IF($A614&lt;&gt;"",'Approved-In-Depth'!M614,"")</f>
        <v/>
      </c>
    </row>
    <row r="615" spans="1:13" x14ac:dyDescent="0.35">
      <c r="A615" s="4" t="str">
        <f>IF('Approved-In-Depth'!$A615&lt;&gt;"",'Approved-In-Depth'!A615,"")</f>
        <v/>
      </c>
      <c r="B615" t="str">
        <f>IF($O615&lt;&gt;"",$O615,IF($A615&lt;&gt;"",'Approved-In-Depth'!$B615+7,""))</f>
        <v/>
      </c>
      <c r="C615" t="str">
        <f>IF($A615&lt;&gt;"",'Approved-In-Depth'!C615,"")</f>
        <v/>
      </c>
      <c r="D615" t="str">
        <f>IF($A615&lt;&gt;"",'Approved-In-Depth'!D615,"")</f>
        <v/>
      </c>
      <c r="E615" t="str">
        <f>IF($A615&lt;&gt;"",'Approved-In-Depth'!E615,"")</f>
        <v/>
      </c>
      <c r="F615" t="str">
        <f>IF($A615&lt;&gt;"",'Approved-In-Depth'!F615,"")</f>
        <v/>
      </c>
      <c r="G615" t="str">
        <f>IF($A615&lt;&gt;"",'Approved-In-Depth'!G615,"")</f>
        <v/>
      </c>
      <c r="H615" s="4" t="str">
        <f>IF($A615&lt;&gt;"",'Approved-In-Depth'!H615,"")</f>
        <v/>
      </c>
      <c r="I615" t="str">
        <f>IF($A615&lt;&gt;"",'Approved-In-Depth'!I615,"")</f>
        <v/>
      </c>
      <c r="J615" t="str">
        <f>IF($A615&lt;&gt;"",'Approved-In-Depth'!J615,"")</f>
        <v/>
      </c>
      <c r="K615" t="str">
        <f>IF($A615&lt;&gt;"",'Approved-In-Depth'!K615,"")</f>
        <v/>
      </c>
      <c r="L615" s="4" t="str">
        <f>IF($A615&lt;&gt;"",'Approved-In-Depth'!L615,"")</f>
        <v/>
      </c>
      <c r="M615" t="str">
        <f>IF($A615&lt;&gt;"",'Approved-In-Depth'!M615,"")</f>
        <v/>
      </c>
    </row>
    <row r="616" spans="1:13" x14ac:dyDescent="0.35">
      <c r="A616" s="4" t="str">
        <f>IF('Approved-In-Depth'!$A616&lt;&gt;"",'Approved-In-Depth'!A616,"")</f>
        <v/>
      </c>
      <c r="B616" t="str">
        <f>IF($O616&lt;&gt;"",$O616,IF($A616&lt;&gt;"",'Approved-In-Depth'!$B616+7,""))</f>
        <v/>
      </c>
      <c r="C616" t="str">
        <f>IF($A616&lt;&gt;"",'Approved-In-Depth'!C616,"")</f>
        <v/>
      </c>
      <c r="D616" t="str">
        <f>IF($A616&lt;&gt;"",'Approved-In-Depth'!D616,"")</f>
        <v/>
      </c>
      <c r="E616" t="str">
        <f>IF($A616&lt;&gt;"",'Approved-In-Depth'!E616,"")</f>
        <v/>
      </c>
      <c r="F616" t="str">
        <f>IF($A616&lt;&gt;"",'Approved-In-Depth'!F616,"")</f>
        <v/>
      </c>
      <c r="G616" t="str">
        <f>IF($A616&lt;&gt;"",'Approved-In-Depth'!G616,"")</f>
        <v/>
      </c>
      <c r="H616" s="4" t="str">
        <f>IF($A616&lt;&gt;"",'Approved-In-Depth'!H616,"")</f>
        <v/>
      </c>
      <c r="I616" t="str">
        <f>IF($A616&lt;&gt;"",'Approved-In-Depth'!I616,"")</f>
        <v/>
      </c>
      <c r="J616" t="str">
        <f>IF($A616&lt;&gt;"",'Approved-In-Depth'!J616,"")</f>
        <v/>
      </c>
      <c r="K616" t="str">
        <f>IF($A616&lt;&gt;"",'Approved-In-Depth'!K616,"")</f>
        <v/>
      </c>
      <c r="L616" s="4" t="str">
        <f>IF($A616&lt;&gt;"",'Approved-In-Depth'!L616,"")</f>
        <v/>
      </c>
      <c r="M616" t="str">
        <f>IF($A616&lt;&gt;"",'Approved-In-Depth'!M616,"")</f>
        <v/>
      </c>
    </row>
    <row r="617" spans="1:13" x14ac:dyDescent="0.35">
      <c r="A617" s="4" t="str">
        <f>IF('Approved-In-Depth'!$A617&lt;&gt;"",'Approved-In-Depth'!A617,"")</f>
        <v/>
      </c>
      <c r="B617" t="str">
        <f>IF($O617&lt;&gt;"",$O617,IF($A617&lt;&gt;"",'Approved-In-Depth'!$B617+7,""))</f>
        <v/>
      </c>
      <c r="C617" t="str">
        <f>IF($A617&lt;&gt;"",'Approved-In-Depth'!C617,"")</f>
        <v/>
      </c>
      <c r="D617" t="str">
        <f>IF($A617&lt;&gt;"",'Approved-In-Depth'!D617,"")</f>
        <v/>
      </c>
      <c r="E617" t="str">
        <f>IF($A617&lt;&gt;"",'Approved-In-Depth'!E617,"")</f>
        <v/>
      </c>
      <c r="F617" t="str">
        <f>IF($A617&lt;&gt;"",'Approved-In-Depth'!F617,"")</f>
        <v/>
      </c>
      <c r="G617" t="str">
        <f>IF($A617&lt;&gt;"",'Approved-In-Depth'!G617,"")</f>
        <v/>
      </c>
      <c r="H617" s="4" t="str">
        <f>IF($A617&lt;&gt;"",'Approved-In-Depth'!H617,"")</f>
        <v/>
      </c>
      <c r="I617" t="str">
        <f>IF($A617&lt;&gt;"",'Approved-In-Depth'!I617,"")</f>
        <v/>
      </c>
      <c r="J617" t="str">
        <f>IF($A617&lt;&gt;"",'Approved-In-Depth'!J617,"")</f>
        <v/>
      </c>
      <c r="K617" t="str">
        <f>IF($A617&lt;&gt;"",'Approved-In-Depth'!K617,"")</f>
        <v/>
      </c>
      <c r="L617" s="4" t="str">
        <f>IF($A617&lt;&gt;"",'Approved-In-Depth'!L617,"")</f>
        <v/>
      </c>
      <c r="M617" t="str">
        <f>IF($A617&lt;&gt;"",'Approved-In-Depth'!M617,"")</f>
        <v/>
      </c>
    </row>
    <row r="618" spans="1:13" x14ac:dyDescent="0.35">
      <c r="A618" s="4" t="str">
        <f>IF('Approved-In-Depth'!$A618&lt;&gt;"",'Approved-In-Depth'!A618,"")</f>
        <v/>
      </c>
      <c r="B618" t="str">
        <f>IF($O618&lt;&gt;"",$O618,IF($A618&lt;&gt;"",'Approved-In-Depth'!$B618+7,""))</f>
        <v/>
      </c>
      <c r="C618" t="str">
        <f>IF($A618&lt;&gt;"",'Approved-In-Depth'!C618,"")</f>
        <v/>
      </c>
      <c r="D618" t="str">
        <f>IF($A618&lt;&gt;"",'Approved-In-Depth'!D618,"")</f>
        <v/>
      </c>
      <c r="E618" t="str">
        <f>IF($A618&lt;&gt;"",'Approved-In-Depth'!E618,"")</f>
        <v/>
      </c>
      <c r="F618" t="str">
        <f>IF($A618&lt;&gt;"",'Approved-In-Depth'!F618,"")</f>
        <v/>
      </c>
      <c r="G618" t="str">
        <f>IF($A618&lt;&gt;"",'Approved-In-Depth'!G618,"")</f>
        <v/>
      </c>
      <c r="H618" s="4" t="str">
        <f>IF($A618&lt;&gt;"",'Approved-In-Depth'!H618,"")</f>
        <v/>
      </c>
      <c r="I618" t="str">
        <f>IF($A618&lt;&gt;"",'Approved-In-Depth'!I618,"")</f>
        <v/>
      </c>
      <c r="J618" t="str">
        <f>IF($A618&lt;&gt;"",'Approved-In-Depth'!J618,"")</f>
        <v/>
      </c>
      <c r="K618" t="str">
        <f>IF($A618&lt;&gt;"",'Approved-In-Depth'!K618,"")</f>
        <v/>
      </c>
      <c r="L618" s="4" t="str">
        <f>IF($A618&lt;&gt;"",'Approved-In-Depth'!L618,"")</f>
        <v/>
      </c>
      <c r="M618" t="str">
        <f>IF($A618&lt;&gt;"",'Approved-In-Depth'!M618,"")</f>
        <v/>
      </c>
    </row>
    <row r="619" spans="1:13" x14ac:dyDescent="0.35">
      <c r="A619" s="4" t="str">
        <f>IF('Approved-In-Depth'!$A619&lt;&gt;"",'Approved-In-Depth'!A619,"")</f>
        <v/>
      </c>
      <c r="B619" t="str">
        <f>IF($O619&lt;&gt;"",$O619,IF($A619&lt;&gt;"",'Approved-In-Depth'!$B619+7,""))</f>
        <v/>
      </c>
      <c r="C619" t="str">
        <f>IF($A619&lt;&gt;"",'Approved-In-Depth'!C619,"")</f>
        <v/>
      </c>
      <c r="D619" t="str">
        <f>IF($A619&lt;&gt;"",'Approved-In-Depth'!D619,"")</f>
        <v/>
      </c>
      <c r="E619" t="str">
        <f>IF($A619&lt;&gt;"",'Approved-In-Depth'!E619,"")</f>
        <v/>
      </c>
      <c r="F619" t="str">
        <f>IF($A619&lt;&gt;"",'Approved-In-Depth'!F619,"")</f>
        <v/>
      </c>
      <c r="G619" t="str">
        <f>IF($A619&lt;&gt;"",'Approved-In-Depth'!G619,"")</f>
        <v/>
      </c>
      <c r="H619" s="4" t="str">
        <f>IF($A619&lt;&gt;"",'Approved-In-Depth'!H619,"")</f>
        <v/>
      </c>
      <c r="I619" t="str">
        <f>IF($A619&lt;&gt;"",'Approved-In-Depth'!I619,"")</f>
        <v/>
      </c>
      <c r="J619" t="str">
        <f>IF($A619&lt;&gt;"",'Approved-In-Depth'!J619,"")</f>
        <v/>
      </c>
      <c r="K619" t="str">
        <f>IF($A619&lt;&gt;"",'Approved-In-Depth'!K619,"")</f>
        <v/>
      </c>
      <c r="L619" s="4" t="str">
        <f>IF($A619&lt;&gt;"",'Approved-In-Depth'!L619,"")</f>
        <v/>
      </c>
      <c r="M619" t="str">
        <f>IF($A619&lt;&gt;"",'Approved-In-Depth'!M619,"")</f>
        <v/>
      </c>
    </row>
    <row r="620" spans="1:13" x14ac:dyDescent="0.35">
      <c r="A620" s="4" t="str">
        <f>IF('Approved-In-Depth'!$A620&lt;&gt;"",'Approved-In-Depth'!A620,"")</f>
        <v/>
      </c>
      <c r="B620" t="str">
        <f>IF($O620&lt;&gt;"",$O620,IF($A620&lt;&gt;"",'Approved-In-Depth'!$B620+7,""))</f>
        <v/>
      </c>
      <c r="C620" t="str">
        <f>IF($A620&lt;&gt;"",'Approved-In-Depth'!C620,"")</f>
        <v/>
      </c>
      <c r="D620" t="str">
        <f>IF($A620&lt;&gt;"",'Approved-In-Depth'!D620,"")</f>
        <v/>
      </c>
      <c r="E620" t="str">
        <f>IF($A620&lt;&gt;"",'Approved-In-Depth'!E620,"")</f>
        <v/>
      </c>
      <c r="F620" t="str">
        <f>IF($A620&lt;&gt;"",'Approved-In-Depth'!F620,"")</f>
        <v/>
      </c>
      <c r="G620" t="str">
        <f>IF($A620&lt;&gt;"",'Approved-In-Depth'!G620,"")</f>
        <v/>
      </c>
      <c r="H620" s="4" t="str">
        <f>IF($A620&lt;&gt;"",'Approved-In-Depth'!H620,"")</f>
        <v/>
      </c>
      <c r="I620" t="str">
        <f>IF($A620&lt;&gt;"",'Approved-In-Depth'!I620,"")</f>
        <v/>
      </c>
      <c r="J620" t="str">
        <f>IF($A620&lt;&gt;"",'Approved-In-Depth'!J620,"")</f>
        <v/>
      </c>
      <c r="K620" t="str">
        <f>IF($A620&lt;&gt;"",'Approved-In-Depth'!K620,"")</f>
        <v/>
      </c>
      <c r="L620" s="4" t="str">
        <f>IF($A620&lt;&gt;"",'Approved-In-Depth'!L620,"")</f>
        <v/>
      </c>
      <c r="M620" t="str">
        <f>IF($A620&lt;&gt;"",'Approved-In-Depth'!M620,"")</f>
        <v/>
      </c>
    </row>
    <row r="621" spans="1:13" x14ac:dyDescent="0.35">
      <c r="A621" s="4" t="str">
        <f>IF('Approved-In-Depth'!$A621&lt;&gt;"",'Approved-In-Depth'!A621,"")</f>
        <v/>
      </c>
      <c r="B621" t="str">
        <f>IF($O621&lt;&gt;"",$O621,IF($A621&lt;&gt;"",'Approved-In-Depth'!$B621+7,""))</f>
        <v/>
      </c>
      <c r="C621" t="str">
        <f>IF($A621&lt;&gt;"",'Approved-In-Depth'!C621,"")</f>
        <v/>
      </c>
      <c r="D621" t="str">
        <f>IF($A621&lt;&gt;"",'Approved-In-Depth'!D621,"")</f>
        <v/>
      </c>
      <c r="E621" t="str">
        <f>IF($A621&lt;&gt;"",'Approved-In-Depth'!E621,"")</f>
        <v/>
      </c>
      <c r="F621" t="str">
        <f>IF($A621&lt;&gt;"",'Approved-In-Depth'!F621,"")</f>
        <v/>
      </c>
      <c r="G621" t="str">
        <f>IF($A621&lt;&gt;"",'Approved-In-Depth'!G621,"")</f>
        <v/>
      </c>
      <c r="H621" s="4" t="str">
        <f>IF($A621&lt;&gt;"",'Approved-In-Depth'!H621,"")</f>
        <v/>
      </c>
      <c r="I621" t="str">
        <f>IF($A621&lt;&gt;"",'Approved-In-Depth'!I621,"")</f>
        <v/>
      </c>
      <c r="J621" t="str">
        <f>IF($A621&lt;&gt;"",'Approved-In-Depth'!J621,"")</f>
        <v/>
      </c>
      <c r="K621" t="str">
        <f>IF($A621&lt;&gt;"",'Approved-In-Depth'!K621,"")</f>
        <v/>
      </c>
      <c r="L621" s="4" t="str">
        <f>IF($A621&lt;&gt;"",'Approved-In-Depth'!L621,"")</f>
        <v/>
      </c>
      <c r="M621" t="str">
        <f>IF($A621&lt;&gt;"",'Approved-In-Depth'!M621,"")</f>
        <v/>
      </c>
    </row>
    <row r="622" spans="1:13" x14ac:dyDescent="0.35">
      <c r="A622" s="4" t="str">
        <f>IF('Approved-In-Depth'!$A622&lt;&gt;"",'Approved-In-Depth'!A622,"")</f>
        <v/>
      </c>
      <c r="B622" t="str">
        <f>IF($O622&lt;&gt;"",$O622,IF($A622&lt;&gt;"",'Approved-In-Depth'!$B622+7,""))</f>
        <v/>
      </c>
      <c r="C622" t="str">
        <f>IF($A622&lt;&gt;"",'Approved-In-Depth'!C622,"")</f>
        <v/>
      </c>
      <c r="D622" t="str">
        <f>IF($A622&lt;&gt;"",'Approved-In-Depth'!D622,"")</f>
        <v/>
      </c>
      <c r="E622" t="str">
        <f>IF($A622&lt;&gt;"",'Approved-In-Depth'!E622,"")</f>
        <v/>
      </c>
      <c r="F622" t="str">
        <f>IF($A622&lt;&gt;"",'Approved-In-Depth'!F622,"")</f>
        <v/>
      </c>
      <c r="G622" t="str">
        <f>IF($A622&lt;&gt;"",'Approved-In-Depth'!G622,"")</f>
        <v/>
      </c>
      <c r="H622" s="4" t="str">
        <f>IF($A622&lt;&gt;"",'Approved-In-Depth'!H622,"")</f>
        <v/>
      </c>
      <c r="I622" t="str">
        <f>IF($A622&lt;&gt;"",'Approved-In-Depth'!I622,"")</f>
        <v/>
      </c>
      <c r="J622" t="str">
        <f>IF($A622&lt;&gt;"",'Approved-In-Depth'!J622,"")</f>
        <v/>
      </c>
      <c r="K622" t="str">
        <f>IF($A622&lt;&gt;"",'Approved-In-Depth'!K622,"")</f>
        <v/>
      </c>
      <c r="L622" s="4" t="str">
        <f>IF($A622&lt;&gt;"",'Approved-In-Depth'!L622,"")</f>
        <v/>
      </c>
      <c r="M622" t="str">
        <f>IF($A622&lt;&gt;"",'Approved-In-Depth'!M622,"")</f>
        <v/>
      </c>
    </row>
    <row r="623" spans="1:13" x14ac:dyDescent="0.35">
      <c r="A623" s="4" t="str">
        <f>IF('Approved-In-Depth'!$A623&lt;&gt;"",'Approved-In-Depth'!A623,"")</f>
        <v/>
      </c>
      <c r="B623" t="str">
        <f>IF($O623&lt;&gt;"",$O623,IF($A623&lt;&gt;"",'Approved-In-Depth'!$B623+7,""))</f>
        <v/>
      </c>
      <c r="C623" t="str">
        <f>IF($A623&lt;&gt;"",'Approved-In-Depth'!C623,"")</f>
        <v/>
      </c>
      <c r="D623" t="str">
        <f>IF($A623&lt;&gt;"",'Approved-In-Depth'!D623,"")</f>
        <v/>
      </c>
      <c r="E623" t="str">
        <f>IF($A623&lt;&gt;"",'Approved-In-Depth'!E623,"")</f>
        <v/>
      </c>
      <c r="F623" t="str">
        <f>IF($A623&lt;&gt;"",'Approved-In-Depth'!F623,"")</f>
        <v/>
      </c>
      <c r="G623" t="str">
        <f>IF($A623&lt;&gt;"",'Approved-In-Depth'!G623,"")</f>
        <v/>
      </c>
      <c r="H623" s="4" t="str">
        <f>IF($A623&lt;&gt;"",'Approved-In-Depth'!H623,"")</f>
        <v/>
      </c>
      <c r="I623" t="str">
        <f>IF($A623&lt;&gt;"",'Approved-In-Depth'!I623,"")</f>
        <v/>
      </c>
      <c r="J623" t="str">
        <f>IF($A623&lt;&gt;"",'Approved-In-Depth'!J623,"")</f>
        <v/>
      </c>
      <c r="K623" t="str">
        <f>IF($A623&lt;&gt;"",'Approved-In-Depth'!K623,"")</f>
        <v/>
      </c>
      <c r="L623" s="4" t="str">
        <f>IF($A623&lt;&gt;"",'Approved-In-Depth'!L623,"")</f>
        <v/>
      </c>
      <c r="M623" t="str">
        <f>IF($A623&lt;&gt;"",'Approved-In-Depth'!M623,"")</f>
        <v/>
      </c>
    </row>
    <row r="624" spans="1:13" x14ac:dyDescent="0.35">
      <c r="A624" s="4" t="str">
        <f>IF('Approved-In-Depth'!$A624&lt;&gt;"",'Approved-In-Depth'!A624,"")</f>
        <v/>
      </c>
      <c r="B624" t="str">
        <f>IF($O624&lt;&gt;"",$O624,IF($A624&lt;&gt;"",'Approved-In-Depth'!$B624+7,""))</f>
        <v/>
      </c>
      <c r="C624" t="str">
        <f>IF($A624&lt;&gt;"",'Approved-In-Depth'!C624,"")</f>
        <v/>
      </c>
      <c r="D624" t="str">
        <f>IF($A624&lt;&gt;"",'Approved-In-Depth'!D624,"")</f>
        <v/>
      </c>
      <c r="E624" t="str">
        <f>IF($A624&lt;&gt;"",'Approved-In-Depth'!E624,"")</f>
        <v/>
      </c>
      <c r="F624" t="str">
        <f>IF($A624&lt;&gt;"",'Approved-In-Depth'!F624,"")</f>
        <v/>
      </c>
      <c r="G624" t="str">
        <f>IF($A624&lt;&gt;"",'Approved-In-Depth'!G624,"")</f>
        <v/>
      </c>
      <c r="H624" s="4" t="str">
        <f>IF($A624&lt;&gt;"",'Approved-In-Depth'!H624,"")</f>
        <v/>
      </c>
      <c r="I624" t="str">
        <f>IF($A624&lt;&gt;"",'Approved-In-Depth'!I624,"")</f>
        <v/>
      </c>
      <c r="J624" t="str">
        <f>IF($A624&lt;&gt;"",'Approved-In-Depth'!J624,"")</f>
        <v/>
      </c>
      <c r="K624" t="str">
        <f>IF($A624&lt;&gt;"",'Approved-In-Depth'!K624,"")</f>
        <v/>
      </c>
      <c r="L624" s="4" t="str">
        <f>IF($A624&lt;&gt;"",'Approved-In-Depth'!L624,"")</f>
        <v/>
      </c>
      <c r="M624" t="str">
        <f>IF($A624&lt;&gt;"",'Approved-In-Depth'!M624,"")</f>
        <v/>
      </c>
    </row>
    <row r="625" spans="1:13" x14ac:dyDescent="0.35">
      <c r="A625" s="4" t="str">
        <f>IF('Approved-In-Depth'!$A625&lt;&gt;"",'Approved-In-Depth'!A625,"")</f>
        <v/>
      </c>
      <c r="B625" t="str">
        <f>IF($O625&lt;&gt;"",$O625,IF($A625&lt;&gt;"",'Approved-In-Depth'!$B625+7,""))</f>
        <v/>
      </c>
      <c r="C625" t="str">
        <f>IF($A625&lt;&gt;"",'Approved-In-Depth'!C625,"")</f>
        <v/>
      </c>
      <c r="D625" t="str">
        <f>IF($A625&lt;&gt;"",'Approved-In-Depth'!D625,"")</f>
        <v/>
      </c>
      <c r="E625" t="str">
        <f>IF($A625&lt;&gt;"",'Approved-In-Depth'!E625,"")</f>
        <v/>
      </c>
      <c r="F625" t="str">
        <f>IF($A625&lt;&gt;"",'Approved-In-Depth'!F625,"")</f>
        <v/>
      </c>
      <c r="G625" t="str">
        <f>IF($A625&lt;&gt;"",'Approved-In-Depth'!G625,"")</f>
        <v/>
      </c>
      <c r="H625" s="4" t="str">
        <f>IF($A625&lt;&gt;"",'Approved-In-Depth'!H625,"")</f>
        <v/>
      </c>
      <c r="I625" t="str">
        <f>IF($A625&lt;&gt;"",'Approved-In-Depth'!I625,"")</f>
        <v/>
      </c>
      <c r="J625" t="str">
        <f>IF($A625&lt;&gt;"",'Approved-In-Depth'!J625,"")</f>
        <v/>
      </c>
      <c r="K625" t="str">
        <f>IF($A625&lt;&gt;"",'Approved-In-Depth'!K625,"")</f>
        <v/>
      </c>
      <c r="L625" s="4" t="str">
        <f>IF($A625&lt;&gt;"",'Approved-In-Depth'!L625,"")</f>
        <v/>
      </c>
      <c r="M625" t="str">
        <f>IF($A625&lt;&gt;"",'Approved-In-Depth'!M625,"")</f>
        <v/>
      </c>
    </row>
    <row r="626" spans="1:13" x14ac:dyDescent="0.35">
      <c r="A626" s="4" t="str">
        <f>IF('Approved-In-Depth'!$A626&lt;&gt;"",'Approved-In-Depth'!A626,"")</f>
        <v/>
      </c>
      <c r="B626" t="str">
        <f>IF($O626&lt;&gt;"",$O626,IF($A626&lt;&gt;"",'Approved-In-Depth'!$B626+7,""))</f>
        <v/>
      </c>
      <c r="C626" t="str">
        <f>IF($A626&lt;&gt;"",'Approved-In-Depth'!C626,"")</f>
        <v/>
      </c>
      <c r="D626" t="str">
        <f>IF($A626&lt;&gt;"",'Approved-In-Depth'!D626,"")</f>
        <v/>
      </c>
      <c r="E626" t="str">
        <f>IF($A626&lt;&gt;"",'Approved-In-Depth'!E626,"")</f>
        <v/>
      </c>
      <c r="F626" t="str">
        <f>IF($A626&lt;&gt;"",'Approved-In-Depth'!F626,"")</f>
        <v/>
      </c>
      <c r="G626" t="str">
        <f>IF($A626&lt;&gt;"",'Approved-In-Depth'!G626,"")</f>
        <v/>
      </c>
      <c r="H626" s="4" t="str">
        <f>IF($A626&lt;&gt;"",'Approved-In-Depth'!H626,"")</f>
        <v/>
      </c>
      <c r="I626" t="str">
        <f>IF($A626&lt;&gt;"",'Approved-In-Depth'!I626,"")</f>
        <v/>
      </c>
      <c r="J626" t="str">
        <f>IF($A626&lt;&gt;"",'Approved-In-Depth'!J626,"")</f>
        <v/>
      </c>
      <c r="K626" t="str">
        <f>IF($A626&lt;&gt;"",'Approved-In-Depth'!K626,"")</f>
        <v/>
      </c>
      <c r="L626" s="4" t="str">
        <f>IF($A626&lt;&gt;"",'Approved-In-Depth'!L626,"")</f>
        <v/>
      </c>
      <c r="M626" t="str">
        <f>IF($A626&lt;&gt;"",'Approved-In-Depth'!M626,"")</f>
        <v/>
      </c>
    </row>
    <row r="627" spans="1:13" x14ac:dyDescent="0.35">
      <c r="A627" s="4" t="str">
        <f>IF('Approved-In-Depth'!$A627&lt;&gt;"",'Approved-In-Depth'!A627,"")</f>
        <v/>
      </c>
      <c r="B627" t="str">
        <f>IF($O627&lt;&gt;"",$O627,IF($A627&lt;&gt;"",'Approved-In-Depth'!$B627+7,""))</f>
        <v/>
      </c>
      <c r="C627" t="str">
        <f>IF($A627&lt;&gt;"",'Approved-In-Depth'!C627,"")</f>
        <v/>
      </c>
      <c r="D627" t="str">
        <f>IF($A627&lt;&gt;"",'Approved-In-Depth'!D627,"")</f>
        <v/>
      </c>
      <c r="E627" t="str">
        <f>IF($A627&lt;&gt;"",'Approved-In-Depth'!E627,"")</f>
        <v/>
      </c>
      <c r="F627" t="str">
        <f>IF($A627&lt;&gt;"",'Approved-In-Depth'!F627,"")</f>
        <v/>
      </c>
      <c r="G627" t="str">
        <f>IF($A627&lt;&gt;"",'Approved-In-Depth'!G627,"")</f>
        <v/>
      </c>
      <c r="H627" s="4" t="str">
        <f>IF($A627&lt;&gt;"",'Approved-In-Depth'!H627,"")</f>
        <v/>
      </c>
      <c r="I627" t="str">
        <f>IF($A627&lt;&gt;"",'Approved-In-Depth'!I627,"")</f>
        <v/>
      </c>
      <c r="J627" t="str">
        <f>IF($A627&lt;&gt;"",'Approved-In-Depth'!J627,"")</f>
        <v/>
      </c>
      <c r="K627" t="str">
        <f>IF($A627&lt;&gt;"",'Approved-In-Depth'!K627,"")</f>
        <v/>
      </c>
      <c r="L627" s="4" t="str">
        <f>IF($A627&lt;&gt;"",'Approved-In-Depth'!L627,"")</f>
        <v/>
      </c>
      <c r="M627" t="str">
        <f>IF($A627&lt;&gt;"",'Approved-In-Depth'!M627,"")</f>
        <v/>
      </c>
    </row>
    <row r="628" spans="1:13" x14ac:dyDescent="0.35">
      <c r="A628" s="4" t="str">
        <f>IF('Approved-In-Depth'!$A628&lt;&gt;"",'Approved-In-Depth'!A628,"")</f>
        <v/>
      </c>
      <c r="B628" t="str">
        <f>IF($O628&lt;&gt;"",$O628,IF($A628&lt;&gt;"",'Approved-In-Depth'!$B628+7,""))</f>
        <v/>
      </c>
      <c r="C628" t="str">
        <f>IF($A628&lt;&gt;"",'Approved-In-Depth'!C628,"")</f>
        <v/>
      </c>
      <c r="D628" t="str">
        <f>IF($A628&lt;&gt;"",'Approved-In-Depth'!D628,"")</f>
        <v/>
      </c>
      <c r="E628" t="str">
        <f>IF($A628&lt;&gt;"",'Approved-In-Depth'!E628,"")</f>
        <v/>
      </c>
      <c r="F628" t="str">
        <f>IF($A628&lt;&gt;"",'Approved-In-Depth'!F628,"")</f>
        <v/>
      </c>
      <c r="G628" t="str">
        <f>IF($A628&lt;&gt;"",'Approved-In-Depth'!G628,"")</f>
        <v/>
      </c>
      <c r="H628" s="4" t="str">
        <f>IF($A628&lt;&gt;"",'Approved-In-Depth'!H628,"")</f>
        <v/>
      </c>
      <c r="I628" t="str">
        <f>IF($A628&lt;&gt;"",'Approved-In-Depth'!I628,"")</f>
        <v/>
      </c>
      <c r="J628" t="str">
        <f>IF($A628&lt;&gt;"",'Approved-In-Depth'!J628,"")</f>
        <v/>
      </c>
      <c r="K628" t="str">
        <f>IF($A628&lt;&gt;"",'Approved-In-Depth'!K628,"")</f>
        <v/>
      </c>
      <c r="L628" s="4" t="str">
        <f>IF($A628&lt;&gt;"",'Approved-In-Depth'!L628,"")</f>
        <v/>
      </c>
      <c r="M628" t="str">
        <f>IF($A628&lt;&gt;"",'Approved-In-Depth'!M628,"")</f>
        <v/>
      </c>
    </row>
    <row r="629" spans="1:13" x14ac:dyDescent="0.35">
      <c r="A629" s="4" t="str">
        <f>IF('Approved-In-Depth'!$A629&lt;&gt;"",'Approved-In-Depth'!A629,"")</f>
        <v/>
      </c>
      <c r="B629" t="str">
        <f>IF($O629&lt;&gt;"",$O629,IF($A629&lt;&gt;"",'Approved-In-Depth'!$B629+7,""))</f>
        <v/>
      </c>
      <c r="C629" t="str">
        <f>IF($A629&lt;&gt;"",'Approved-In-Depth'!C629,"")</f>
        <v/>
      </c>
      <c r="D629" t="str">
        <f>IF($A629&lt;&gt;"",'Approved-In-Depth'!D629,"")</f>
        <v/>
      </c>
      <c r="E629" t="str">
        <f>IF($A629&lt;&gt;"",'Approved-In-Depth'!E629,"")</f>
        <v/>
      </c>
      <c r="F629" t="str">
        <f>IF($A629&lt;&gt;"",'Approved-In-Depth'!F629,"")</f>
        <v/>
      </c>
      <c r="G629" t="str">
        <f>IF($A629&lt;&gt;"",'Approved-In-Depth'!G629,"")</f>
        <v/>
      </c>
      <c r="H629" s="4" t="str">
        <f>IF($A629&lt;&gt;"",'Approved-In-Depth'!H629,"")</f>
        <v/>
      </c>
      <c r="I629" t="str">
        <f>IF($A629&lt;&gt;"",'Approved-In-Depth'!I629,"")</f>
        <v/>
      </c>
      <c r="J629" t="str">
        <f>IF($A629&lt;&gt;"",'Approved-In-Depth'!J629,"")</f>
        <v/>
      </c>
      <c r="K629" t="str">
        <f>IF($A629&lt;&gt;"",'Approved-In-Depth'!K629,"")</f>
        <v/>
      </c>
      <c r="L629" s="4" t="str">
        <f>IF($A629&lt;&gt;"",'Approved-In-Depth'!L629,"")</f>
        <v/>
      </c>
      <c r="M629" t="str">
        <f>IF($A629&lt;&gt;"",'Approved-In-Depth'!M629,"")</f>
        <v/>
      </c>
    </row>
    <row r="630" spans="1:13" x14ac:dyDescent="0.35">
      <c r="A630" s="4" t="str">
        <f>IF('Approved-In-Depth'!$A630&lt;&gt;"",'Approved-In-Depth'!A630,"")</f>
        <v/>
      </c>
      <c r="B630" t="str">
        <f>IF($O630&lt;&gt;"",$O630,IF($A630&lt;&gt;"",'Approved-In-Depth'!$B630+7,""))</f>
        <v/>
      </c>
      <c r="C630" t="str">
        <f>IF($A630&lt;&gt;"",'Approved-In-Depth'!C630,"")</f>
        <v/>
      </c>
      <c r="D630" t="str">
        <f>IF($A630&lt;&gt;"",'Approved-In-Depth'!D630,"")</f>
        <v/>
      </c>
      <c r="E630" t="str">
        <f>IF($A630&lt;&gt;"",'Approved-In-Depth'!E630,"")</f>
        <v/>
      </c>
      <c r="F630" t="str">
        <f>IF($A630&lt;&gt;"",'Approved-In-Depth'!F630,"")</f>
        <v/>
      </c>
      <c r="G630" t="str">
        <f>IF($A630&lt;&gt;"",'Approved-In-Depth'!G630,"")</f>
        <v/>
      </c>
      <c r="H630" s="4" t="str">
        <f>IF($A630&lt;&gt;"",'Approved-In-Depth'!H630,"")</f>
        <v/>
      </c>
      <c r="I630" t="str">
        <f>IF($A630&lt;&gt;"",'Approved-In-Depth'!I630,"")</f>
        <v/>
      </c>
      <c r="J630" t="str">
        <f>IF($A630&lt;&gt;"",'Approved-In-Depth'!J630,"")</f>
        <v/>
      </c>
      <c r="K630" t="str">
        <f>IF($A630&lt;&gt;"",'Approved-In-Depth'!K630,"")</f>
        <v/>
      </c>
      <c r="L630" s="4" t="str">
        <f>IF($A630&lt;&gt;"",'Approved-In-Depth'!L630,"")</f>
        <v/>
      </c>
      <c r="M630" t="str">
        <f>IF($A630&lt;&gt;"",'Approved-In-Depth'!M630,"")</f>
        <v/>
      </c>
    </row>
    <row r="631" spans="1:13" x14ac:dyDescent="0.35">
      <c r="A631" s="4" t="str">
        <f>IF('Approved-In-Depth'!$A631&lt;&gt;"",'Approved-In-Depth'!A631,"")</f>
        <v/>
      </c>
      <c r="B631" t="str">
        <f>IF($O631&lt;&gt;"",$O631,IF($A631&lt;&gt;"",'Approved-In-Depth'!$B631+7,""))</f>
        <v/>
      </c>
      <c r="C631" t="str">
        <f>IF($A631&lt;&gt;"",'Approved-In-Depth'!C631,"")</f>
        <v/>
      </c>
      <c r="D631" t="str">
        <f>IF($A631&lt;&gt;"",'Approved-In-Depth'!D631,"")</f>
        <v/>
      </c>
      <c r="E631" t="str">
        <f>IF($A631&lt;&gt;"",'Approved-In-Depth'!E631,"")</f>
        <v/>
      </c>
      <c r="F631" t="str">
        <f>IF($A631&lt;&gt;"",'Approved-In-Depth'!F631,"")</f>
        <v/>
      </c>
      <c r="G631" t="str">
        <f>IF($A631&lt;&gt;"",'Approved-In-Depth'!G631,"")</f>
        <v/>
      </c>
      <c r="H631" s="4" t="str">
        <f>IF($A631&lt;&gt;"",'Approved-In-Depth'!H631,"")</f>
        <v/>
      </c>
      <c r="I631" t="str">
        <f>IF($A631&lt;&gt;"",'Approved-In-Depth'!I631,"")</f>
        <v/>
      </c>
      <c r="J631" t="str">
        <f>IF($A631&lt;&gt;"",'Approved-In-Depth'!J631,"")</f>
        <v/>
      </c>
      <c r="K631" t="str">
        <f>IF($A631&lt;&gt;"",'Approved-In-Depth'!K631,"")</f>
        <v/>
      </c>
      <c r="L631" s="4" t="str">
        <f>IF($A631&lt;&gt;"",'Approved-In-Depth'!L631,"")</f>
        <v/>
      </c>
      <c r="M631" t="str">
        <f>IF($A631&lt;&gt;"",'Approved-In-Depth'!M631,"")</f>
        <v/>
      </c>
    </row>
    <row r="632" spans="1:13" x14ac:dyDescent="0.35">
      <c r="A632" s="4" t="str">
        <f>IF('Approved-In-Depth'!$A632&lt;&gt;"",'Approved-In-Depth'!A632,"")</f>
        <v/>
      </c>
      <c r="B632" t="str">
        <f>IF($O632&lt;&gt;"",$O632,IF($A632&lt;&gt;"",'Approved-In-Depth'!$B632+7,""))</f>
        <v/>
      </c>
      <c r="C632" t="str">
        <f>IF($A632&lt;&gt;"",'Approved-In-Depth'!C632,"")</f>
        <v/>
      </c>
      <c r="D632" t="str">
        <f>IF($A632&lt;&gt;"",'Approved-In-Depth'!D632,"")</f>
        <v/>
      </c>
      <c r="E632" t="str">
        <f>IF($A632&lt;&gt;"",'Approved-In-Depth'!E632,"")</f>
        <v/>
      </c>
      <c r="F632" t="str">
        <f>IF($A632&lt;&gt;"",'Approved-In-Depth'!F632,"")</f>
        <v/>
      </c>
      <c r="G632" t="str">
        <f>IF($A632&lt;&gt;"",'Approved-In-Depth'!G632,"")</f>
        <v/>
      </c>
      <c r="H632" s="4" t="str">
        <f>IF($A632&lt;&gt;"",'Approved-In-Depth'!H632,"")</f>
        <v/>
      </c>
      <c r="I632" t="str">
        <f>IF($A632&lt;&gt;"",'Approved-In-Depth'!I632,"")</f>
        <v/>
      </c>
      <c r="J632" t="str">
        <f>IF($A632&lt;&gt;"",'Approved-In-Depth'!J632,"")</f>
        <v/>
      </c>
      <c r="K632" t="str">
        <f>IF($A632&lt;&gt;"",'Approved-In-Depth'!K632,"")</f>
        <v/>
      </c>
      <c r="L632" s="4" t="str">
        <f>IF($A632&lt;&gt;"",'Approved-In-Depth'!L632,"")</f>
        <v/>
      </c>
      <c r="M632" t="str">
        <f>IF($A632&lt;&gt;"",'Approved-In-Depth'!M632,"")</f>
        <v/>
      </c>
    </row>
    <row r="633" spans="1:13" x14ac:dyDescent="0.35">
      <c r="A633" s="4" t="str">
        <f>IF('Approved-In-Depth'!$A633&lt;&gt;"",'Approved-In-Depth'!A633,"")</f>
        <v/>
      </c>
      <c r="B633" t="str">
        <f>IF($O633&lt;&gt;"",$O633,IF($A633&lt;&gt;"",'Approved-In-Depth'!$B633+7,""))</f>
        <v/>
      </c>
      <c r="C633" t="str">
        <f>IF($A633&lt;&gt;"",'Approved-In-Depth'!C633,"")</f>
        <v/>
      </c>
      <c r="D633" t="str">
        <f>IF($A633&lt;&gt;"",'Approved-In-Depth'!D633,"")</f>
        <v/>
      </c>
      <c r="E633" t="str">
        <f>IF($A633&lt;&gt;"",'Approved-In-Depth'!E633,"")</f>
        <v/>
      </c>
      <c r="F633" t="str">
        <f>IF($A633&lt;&gt;"",'Approved-In-Depth'!F633,"")</f>
        <v/>
      </c>
      <c r="G633" t="str">
        <f>IF($A633&lt;&gt;"",'Approved-In-Depth'!G633,"")</f>
        <v/>
      </c>
      <c r="H633" s="4" t="str">
        <f>IF($A633&lt;&gt;"",'Approved-In-Depth'!H633,"")</f>
        <v/>
      </c>
      <c r="I633" t="str">
        <f>IF($A633&lt;&gt;"",'Approved-In-Depth'!I633,"")</f>
        <v/>
      </c>
      <c r="J633" t="str">
        <f>IF($A633&lt;&gt;"",'Approved-In-Depth'!J633,"")</f>
        <v/>
      </c>
      <c r="K633" t="str">
        <f>IF($A633&lt;&gt;"",'Approved-In-Depth'!K633,"")</f>
        <v/>
      </c>
      <c r="L633" s="4" t="str">
        <f>IF($A633&lt;&gt;"",'Approved-In-Depth'!L633,"")</f>
        <v/>
      </c>
      <c r="M633" t="str">
        <f>IF($A633&lt;&gt;"",'Approved-In-Depth'!M633,"")</f>
        <v/>
      </c>
    </row>
    <row r="634" spans="1:13" x14ac:dyDescent="0.35">
      <c r="A634" s="4" t="str">
        <f>IF('Approved-In-Depth'!$A634&lt;&gt;"",'Approved-In-Depth'!A634,"")</f>
        <v/>
      </c>
      <c r="B634" t="str">
        <f>IF($O634&lt;&gt;"",$O634,IF($A634&lt;&gt;"",'Approved-In-Depth'!$B634+7,""))</f>
        <v/>
      </c>
      <c r="C634" t="str">
        <f>IF($A634&lt;&gt;"",'Approved-In-Depth'!C634,"")</f>
        <v/>
      </c>
      <c r="D634" t="str">
        <f>IF($A634&lt;&gt;"",'Approved-In-Depth'!D634,"")</f>
        <v/>
      </c>
      <c r="E634" t="str">
        <f>IF($A634&lt;&gt;"",'Approved-In-Depth'!E634,"")</f>
        <v/>
      </c>
      <c r="F634" t="str">
        <f>IF($A634&lt;&gt;"",'Approved-In-Depth'!F634,"")</f>
        <v/>
      </c>
      <c r="G634" t="str">
        <f>IF($A634&lt;&gt;"",'Approved-In-Depth'!G634,"")</f>
        <v/>
      </c>
      <c r="H634" s="4" t="str">
        <f>IF($A634&lt;&gt;"",'Approved-In-Depth'!H634,"")</f>
        <v/>
      </c>
      <c r="I634" t="str">
        <f>IF($A634&lt;&gt;"",'Approved-In-Depth'!I634,"")</f>
        <v/>
      </c>
      <c r="J634" t="str">
        <f>IF($A634&lt;&gt;"",'Approved-In-Depth'!J634,"")</f>
        <v/>
      </c>
      <c r="K634" t="str">
        <f>IF($A634&lt;&gt;"",'Approved-In-Depth'!K634,"")</f>
        <v/>
      </c>
      <c r="L634" s="4" t="str">
        <f>IF($A634&lt;&gt;"",'Approved-In-Depth'!L634,"")</f>
        <v/>
      </c>
      <c r="M634" t="str">
        <f>IF($A634&lt;&gt;"",'Approved-In-Depth'!M634,"")</f>
        <v/>
      </c>
    </row>
    <row r="635" spans="1:13" x14ac:dyDescent="0.35">
      <c r="A635" s="4" t="str">
        <f>IF('Approved-In-Depth'!$A635&lt;&gt;"",'Approved-In-Depth'!A635,"")</f>
        <v/>
      </c>
      <c r="B635" t="str">
        <f>IF($O635&lt;&gt;"",$O635,IF($A635&lt;&gt;"",'Approved-In-Depth'!$B635+7,""))</f>
        <v/>
      </c>
      <c r="C635" t="str">
        <f>IF($A635&lt;&gt;"",'Approved-In-Depth'!C635,"")</f>
        <v/>
      </c>
      <c r="D635" t="str">
        <f>IF($A635&lt;&gt;"",'Approved-In-Depth'!D635,"")</f>
        <v/>
      </c>
      <c r="E635" t="str">
        <f>IF($A635&lt;&gt;"",'Approved-In-Depth'!E635,"")</f>
        <v/>
      </c>
      <c r="F635" t="str">
        <f>IF($A635&lt;&gt;"",'Approved-In-Depth'!F635,"")</f>
        <v/>
      </c>
      <c r="G635" t="str">
        <f>IF($A635&lt;&gt;"",'Approved-In-Depth'!G635,"")</f>
        <v/>
      </c>
      <c r="H635" s="4" t="str">
        <f>IF($A635&lt;&gt;"",'Approved-In-Depth'!H635,"")</f>
        <v/>
      </c>
      <c r="I635" t="str">
        <f>IF($A635&lt;&gt;"",'Approved-In-Depth'!I635,"")</f>
        <v/>
      </c>
      <c r="J635" t="str">
        <f>IF($A635&lt;&gt;"",'Approved-In-Depth'!J635,"")</f>
        <v/>
      </c>
      <c r="K635" t="str">
        <f>IF($A635&lt;&gt;"",'Approved-In-Depth'!K635,"")</f>
        <v/>
      </c>
      <c r="L635" s="4" t="str">
        <f>IF($A635&lt;&gt;"",'Approved-In-Depth'!L635,"")</f>
        <v/>
      </c>
      <c r="M635" t="str">
        <f>IF($A635&lt;&gt;"",'Approved-In-Depth'!M635,"")</f>
        <v/>
      </c>
    </row>
    <row r="636" spans="1:13" x14ac:dyDescent="0.35">
      <c r="A636" s="4" t="str">
        <f>IF('Approved-In-Depth'!$A636&lt;&gt;"",'Approved-In-Depth'!A636,"")</f>
        <v/>
      </c>
      <c r="B636" t="str">
        <f>IF($O636&lt;&gt;"",$O636,IF($A636&lt;&gt;"",'Approved-In-Depth'!$B636+7,""))</f>
        <v/>
      </c>
      <c r="C636" t="str">
        <f>IF($A636&lt;&gt;"",'Approved-In-Depth'!C636,"")</f>
        <v/>
      </c>
      <c r="D636" t="str">
        <f>IF($A636&lt;&gt;"",'Approved-In-Depth'!D636,"")</f>
        <v/>
      </c>
      <c r="E636" t="str">
        <f>IF($A636&lt;&gt;"",'Approved-In-Depth'!E636,"")</f>
        <v/>
      </c>
      <c r="F636" t="str">
        <f>IF($A636&lt;&gt;"",'Approved-In-Depth'!F636,"")</f>
        <v/>
      </c>
      <c r="G636" t="str">
        <f>IF($A636&lt;&gt;"",'Approved-In-Depth'!G636,"")</f>
        <v/>
      </c>
      <c r="H636" s="4" t="str">
        <f>IF($A636&lt;&gt;"",'Approved-In-Depth'!H636,"")</f>
        <v/>
      </c>
      <c r="I636" t="str">
        <f>IF($A636&lt;&gt;"",'Approved-In-Depth'!I636,"")</f>
        <v/>
      </c>
      <c r="J636" t="str">
        <f>IF($A636&lt;&gt;"",'Approved-In-Depth'!J636,"")</f>
        <v/>
      </c>
      <c r="K636" t="str">
        <f>IF($A636&lt;&gt;"",'Approved-In-Depth'!K636,"")</f>
        <v/>
      </c>
      <c r="L636" s="4" t="str">
        <f>IF($A636&lt;&gt;"",'Approved-In-Depth'!L636,"")</f>
        <v/>
      </c>
      <c r="M636" t="str">
        <f>IF($A636&lt;&gt;"",'Approved-In-Depth'!M636,"")</f>
        <v/>
      </c>
    </row>
    <row r="637" spans="1:13" x14ac:dyDescent="0.35">
      <c r="A637" s="4" t="str">
        <f>IF('Approved-In-Depth'!$A637&lt;&gt;"",'Approved-In-Depth'!A637,"")</f>
        <v/>
      </c>
      <c r="B637" t="str">
        <f>IF($O637&lt;&gt;"",$O637,IF($A637&lt;&gt;"",'Approved-In-Depth'!$B637+7,""))</f>
        <v/>
      </c>
      <c r="C637" t="str">
        <f>IF($A637&lt;&gt;"",'Approved-In-Depth'!C637,"")</f>
        <v/>
      </c>
      <c r="D637" t="str">
        <f>IF($A637&lt;&gt;"",'Approved-In-Depth'!D637,"")</f>
        <v/>
      </c>
      <c r="E637" t="str">
        <f>IF($A637&lt;&gt;"",'Approved-In-Depth'!E637,"")</f>
        <v/>
      </c>
      <c r="F637" t="str">
        <f>IF($A637&lt;&gt;"",'Approved-In-Depth'!F637,"")</f>
        <v/>
      </c>
      <c r="G637" t="str">
        <f>IF($A637&lt;&gt;"",'Approved-In-Depth'!G637,"")</f>
        <v/>
      </c>
      <c r="H637" s="4" t="str">
        <f>IF($A637&lt;&gt;"",'Approved-In-Depth'!H637,"")</f>
        <v/>
      </c>
      <c r="I637" t="str">
        <f>IF($A637&lt;&gt;"",'Approved-In-Depth'!I637,"")</f>
        <v/>
      </c>
      <c r="J637" t="str">
        <f>IF($A637&lt;&gt;"",'Approved-In-Depth'!J637,"")</f>
        <v/>
      </c>
      <c r="K637" t="str">
        <f>IF($A637&lt;&gt;"",'Approved-In-Depth'!K637,"")</f>
        <v/>
      </c>
      <c r="L637" s="4" t="str">
        <f>IF($A637&lt;&gt;"",'Approved-In-Depth'!L637,"")</f>
        <v/>
      </c>
      <c r="M637" t="str">
        <f>IF($A637&lt;&gt;"",'Approved-In-Depth'!M637,"")</f>
        <v/>
      </c>
    </row>
    <row r="638" spans="1:13" x14ac:dyDescent="0.35">
      <c r="A638" s="4" t="str">
        <f>IF('Approved-In-Depth'!$A638&lt;&gt;"",'Approved-In-Depth'!A638,"")</f>
        <v/>
      </c>
      <c r="B638" t="str">
        <f>IF($O638&lt;&gt;"",$O638,IF($A638&lt;&gt;"",'Approved-In-Depth'!$B638+7,""))</f>
        <v/>
      </c>
      <c r="C638" t="str">
        <f>IF($A638&lt;&gt;"",'Approved-In-Depth'!C638,"")</f>
        <v/>
      </c>
      <c r="D638" t="str">
        <f>IF($A638&lt;&gt;"",'Approved-In-Depth'!D638,"")</f>
        <v/>
      </c>
      <c r="E638" t="str">
        <f>IF($A638&lt;&gt;"",'Approved-In-Depth'!E638,"")</f>
        <v/>
      </c>
      <c r="F638" t="str">
        <f>IF($A638&lt;&gt;"",'Approved-In-Depth'!F638,"")</f>
        <v/>
      </c>
      <c r="G638" t="str">
        <f>IF($A638&lt;&gt;"",'Approved-In-Depth'!G638,"")</f>
        <v/>
      </c>
      <c r="H638" s="4" t="str">
        <f>IF($A638&lt;&gt;"",'Approved-In-Depth'!H638,"")</f>
        <v/>
      </c>
      <c r="I638" t="str">
        <f>IF($A638&lt;&gt;"",'Approved-In-Depth'!I638,"")</f>
        <v/>
      </c>
      <c r="J638" t="str">
        <f>IF($A638&lt;&gt;"",'Approved-In-Depth'!J638,"")</f>
        <v/>
      </c>
      <c r="K638" t="str">
        <f>IF($A638&lt;&gt;"",'Approved-In-Depth'!K638,"")</f>
        <v/>
      </c>
      <c r="L638" s="4" t="str">
        <f>IF($A638&lt;&gt;"",'Approved-In-Depth'!L638,"")</f>
        <v/>
      </c>
      <c r="M638" t="str">
        <f>IF($A638&lt;&gt;"",'Approved-In-Depth'!M638,"")</f>
        <v/>
      </c>
    </row>
    <row r="639" spans="1:13" x14ac:dyDescent="0.35">
      <c r="A639" s="4" t="str">
        <f>IF('Approved-In-Depth'!$A639&lt;&gt;"",'Approved-In-Depth'!A639,"")</f>
        <v/>
      </c>
      <c r="B639" t="str">
        <f>IF($O639&lt;&gt;"",$O639,IF($A639&lt;&gt;"",'Approved-In-Depth'!$B639+7,""))</f>
        <v/>
      </c>
      <c r="C639" t="str">
        <f>IF($A639&lt;&gt;"",'Approved-In-Depth'!C639,"")</f>
        <v/>
      </c>
      <c r="D639" t="str">
        <f>IF($A639&lt;&gt;"",'Approved-In-Depth'!D639,"")</f>
        <v/>
      </c>
      <c r="E639" t="str">
        <f>IF($A639&lt;&gt;"",'Approved-In-Depth'!E639,"")</f>
        <v/>
      </c>
      <c r="F639" t="str">
        <f>IF($A639&lt;&gt;"",'Approved-In-Depth'!F639,"")</f>
        <v/>
      </c>
      <c r="G639" t="str">
        <f>IF($A639&lt;&gt;"",'Approved-In-Depth'!G639,"")</f>
        <v/>
      </c>
      <c r="H639" s="4" t="str">
        <f>IF($A639&lt;&gt;"",'Approved-In-Depth'!H639,"")</f>
        <v/>
      </c>
      <c r="I639" t="str">
        <f>IF($A639&lt;&gt;"",'Approved-In-Depth'!I639,"")</f>
        <v/>
      </c>
      <c r="J639" t="str">
        <f>IF($A639&lt;&gt;"",'Approved-In-Depth'!J639,"")</f>
        <v/>
      </c>
      <c r="K639" t="str">
        <f>IF($A639&lt;&gt;"",'Approved-In-Depth'!K639,"")</f>
        <v/>
      </c>
      <c r="L639" s="4" t="str">
        <f>IF($A639&lt;&gt;"",'Approved-In-Depth'!L639,"")</f>
        <v/>
      </c>
      <c r="M639" t="str">
        <f>IF($A639&lt;&gt;"",'Approved-In-Depth'!M639,"")</f>
        <v/>
      </c>
    </row>
    <row r="640" spans="1:13" x14ac:dyDescent="0.35">
      <c r="A640" s="4" t="str">
        <f>IF('Approved-In-Depth'!$A640&lt;&gt;"",'Approved-In-Depth'!A640,"")</f>
        <v/>
      </c>
      <c r="B640" t="str">
        <f>IF($O640&lt;&gt;"",$O640,IF($A640&lt;&gt;"",'Approved-In-Depth'!$B640+7,""))</f>
        <v/>
      </c>
      <c r="C640" t="str">
        <f>IF($A640&lt;&gt;"",'Approved-In-Depth'!C640,"")</f>
        <v/>
      </c>
      <c r="D640" t="str">
        <f>IF($A640&lt;&gt;"",'Approved-In-Depth'!D640,"")</f>
        <v/>
      </c>
      <c r="E640" t="str">
        <f>IF($A640&lt;&gt;"",'Approved-In-Depth'!E640,"")</f>
        <v/>
      </c>
      <c r="F640" t="str">
        <f>IF($A640&lt;&gt;"",'Approved-In-Depth'!F640,"")</f>
        <v/>
      </c>
      <c r="G640" t="str">
        <f>IF($A640&lt;&gt;"",'Approved-In-Depth'!G640,"")</f>
        <v/>
      </c>
      <c r="H640" s="4" t="str">
        <f>IF($A640&lt;&gt;"",'Approved-In-Depth'!H640,"")</f>
        <v/>
      </c>
      <c r="I640" t="str">
        <f>IF($A640&lt;&gt;"",'Approved-In-Depth'!I640,"")</f>
        <v/>
      </c>
      <c r="J640" t="str">
        <f>IF($A640&lt;&gt;"",'Approved-In-Depth'!J640,"")</f>
        <v/>
      </c>
      <c r="K640" t="str">
        <f>IF($A640&lt;&gt;"",'Approved-In-Depth'!K640,"")</f>
        <v/>
      </c>
      <c r="L640" s="4" t="str">
        <f>IF($A640&lt;&gt;"",'Approved-In-Depth'!L640,"")</f>
        <v/>
      </c>
      <c r="M640" t="str">
        <f>IF($A640&lt;&gt;"",'Approved-In-Depth'!M640,"")</f>
        <v/>
      </c>
    </row>
    <row r="641" spans="1:13" x14ac:dyDescent="0.35">
      <c r="A641" s="4" t="str">
        <f>IF('Approved-In-Depth'!$A641&lt;&gt;"",'Approved-In-Depth'!A641,"")</f>
        <v/>
      </c>
      <c r="B641" t="str">
        <f>IF($O641&lt;&gt;"",$O641,IF($A641&lt;&gt;"",'Approved-In-Depth'!$B641+7,""))</f>
        <v/>
      </c>
      <c r="C641" t="str">
        <f>IF($A641&lt;&gt;"",'Approved-In-Depth'!C641,"")</f>
        <v/>
      </c>
      <c r="D641" t="str">
        <f>IF($A641&lt;&gt;"",'Approved-In-Depth'!D641,"")</f>
        <v/>
      </c>
      <c r="E641" t="str">
        <f>IF($A641&lt;&gt;"",'Approved-In-Depth'!E641,"")</f>
        <v/>
      </c>
      <c r="F641" t="str">
        <f>IF($A641&lt;&gt;"",'Approved-In-Depth'!F641,"")</f>
        <v/>
      </c>
      <c r="G641" t="str">
        <f>IF($A641&lt;&gt;"",'Approved-In-Depth'!G641,"")</f>
        <v/>
      </c>
      <c r="H641" s="4" t="str">
        <f>IF($A641&lt;&gt;"",'Approved-In-Depth'!H641,"")</f>
        <v/>
      </c>
      <c r="I641" t="str">
        <f>IF($A641&lt;&gt;"",'Approved-In-Depth'!I641,"")</f>
        <v/>
      </c>
      <c r="J641" t="str">
        <f>IF($A641&lt;&gt;"",'Approved-In-Depth'!J641,"")</f>
        <v/>
      </c>
      <c r="K641" t="str">
        <f>IF($A641&lt;&gt;"",'Approved-In-Depth'!K641,"")</f>
        <v/>
      </c>
      <c r="L641" s="4" t="str">
        <f>IF($A641&lt;&gt;"",'Approved-In-Depth'!L641,"")</f>
        <v/>
      </c>
      <c r="M641" t="str">
        <f>IF($A641&lt;&gt;"",'Approved-In-Depth'!M641,"")</f>
        <v/>
      </c>
    </row>
    <row r="642" spans="1:13" x14ac:dyDescent="0.35">
      <c r="A642" s="4" t="str">
        <f>IF('Approved-In-Depth'!$A642&lt;&gt;"",'Approved-In-Depth'!A642,"")</f>
        <v/>
      </c>
      <c r="B642" t="str">
        <f>IF($O642&lt;&gt;"",$O642,IF($A642&lt;&gt;"",'Approved-In-Depth'!$B642+7,""))</f>
        <v/>
      </c>
      <c r="C642" t="str">
        <f>IF($A642&lt;&gt;"",'Approved-In-Depth'!C642,"")</f>
        <v/>
      </c>
      <c r="D642" t="str">
        <f>IF($A642&lt;&gt;"",'Approved-In-Depth'!D642,"")</f>
        <v/>
      </c>
      <c r="E642" t="str">
        <f>IF($A642&lt;&gt;"",'Approved-In-Depth'!E642,"")</f>
        <v/>
      </c>
      <c r="F642" t="str">
        <f>IF($A642&lt;&gt;"",'Approved-In-Depth'!F642,"")</f>
        <v/>
      </c>
      <c r="G642" t="str">
        <f>IF($A642&lt;&gt;"",'Approved-In-Depth'!G642,"")</f>
        <v/>
      </c>
      <c r="H642" s="4" t="str">
        <f>IF($A642&lt;&gt;"",'Approved-In-Depth'!H642,"")</f>
        <v/>
      </c>
      <c r="I642" t="str">
        <f>IF($A642&lt;&gt;"",'Approved-In-Depth'!I642,"")</f>
        <v/>
      </c>
      <c r="J642" t="str">
        <f>IF($A642&lt;&gt;"",'Approved-In-Depth'!J642,"")</f>
        <v/>
      </c>
      <c r="K642" t="str">
        <f>IF($A642&lt;&gt;"",'Approved-In-Depth'!K642,"")</f>
        <v/>
      </c>
      <c r="L642" s="4" t="str">
        <f>IF($A642&lt;&gt;"",'Approved-In-Depth'!L642,"")</f>
        <v/>
      </c>
      <c r="M642" t="str">
        <f>IF($A642&lt;&gt;"",'Approved-In-Depth'!M642,"")</f>
        <v/>
      </c>
    </row>
    <row r="643" spans="1:13" x14ac:dyDescent="0.35">
      <c r="A643" s="4" t="str">
        <f>IF('Approved-In-Depth'!$A643&lt;&gt;"",'Approved-In-Depth'!A643,"")</f>
        <v/>
      </c>
      <c r="B643" t="str">
        <f>IF($O643&lt;&gt;"",$O643,IF($A643&lt;&gt;"",'Approved-In-Depth'!$B643+7,""))</f>
        <v/>
      </c>
      <c r="C643" t="str">
        <f>IF($A643&lt;&gt;"",'Approved-In-Depth'!C643,"")</f>
        <v/>
      </c>
      <c r="D643" t="str">
        <f>IF($A643&lt;&gt;"",'Approved-In-Depth'!D643,"")</f>
        <v/>
      </c>
      <c r="E643" t="str">
        <f>IF($A643&lt;&gt;"",'Approved-In-Depth'!E643,"")</f>
        <v/>
      </c>
      <c r="F643" t="str">
        <f>IF($A643&lt;&gt;"",'Approved-In-Depth'!F643,"")</f>
        <v/>
      </c>
      <c r="G643" t="str">
        <f>IF($A643&lt;&gt;"",'Approved-In-Depth'!G643,"")</f>
        <v/>
      </c>
      <c r="H643" s="4" t="str">
        <f>IF($A643&lt;&gt;"",'Approved-In-Depth'!H643,"")</f>
        <v/>
      </c>
      <c r="I643" t="str">
        <f>IF($A643&lt;&gt;"",'Approved-In-Depth'!I643,"")</f>
        <v/>
      </c>
      <c r="J643" t="str">
        <f>IF($A643&lt;&gt;"",'Approved-In-Depth'!J643,"")</f>
        <v/>
      </c>
      <c r="K643" t="str">
        <f>IF($A643&lt;&gt;"",'Approved-In-Depth'!K643,"")</f>
        <v/>
      </c>
      <c r="L643" s="4" t="str">
        <f>IF($A643&lt;&gt;"",'Approved-In-Depth'!L643,"")</f>
        <v/>
      </c>
      <c r="M643" t="str">
        <f>IF($A643&lt;&gt;"",'Approved-In-Depth'!M643,"")</f>
        <v/>
      </c>
    </row>
    <row r="644" spans="1:13" x14ac:dyDescent="0.35">
      <c r="A644" s="4" t="str">
        <f>IF('Approved-In-Depth'!$A644&lt;&gt;"",'Approved-In-Depth'!A644,"")</f>
        <v/>
      </c>
      <c r="B644" t="str">
        <f>IF($O644&lt;&gt;"",$O644,IF($A644&lt;&gt;"",'Approved-In-Depth'!$B644+7,""))</f>
        <v/>
      </c>
      <c r="C644" t="str">
        <f>IF($A644&lt;&gt;"",'Approved-In-Depth'!C644,"")</f>
        <v/>
      </c>
      <c r="D644" t="str">
        <f>IF($A644&lt;&gt;"",'Approved-In-Depth'!D644,"")</f>
        <v/>
      </c>
      <c r="E644" t="str">
        <f>IF($A644&lt;&gt;"",'Approved-In-Depth'!E644,"")</f>
        <v/>
      </c>
      <c r="F644" t="str">
        <f>IF($A644&lt;&gt;"",'Approved-In-Depth'!F644,"")</f>
        <v/>
      </c>
      <c r="G644" t="str">
        <f>IF($A644&lt;&gt;"",'Approved-In-Depth'!G644,"")</f>
        <v/>
      </c>
      <c r="H644" s="4" t="str">
        <f>IF($A644&lt;&gt;"",'Approved-In-Depth'!H644,"")</f>
        <v/>
      </c>
      <c r="I644" t="str">
        <f>IF($A644&lt;&gt;"",'Approved-In-Depth'!I644,"")</f>
        <v/>
      </c>
      <c r="J644" t="str">
        <f>IF($A644&lt;&gt;"",'Approved-In-Depth'!J644,"")</f>
        <v/>
      </c>
      <c r="K644" t="str">
        <f>IF($A644&lt;&gt;"",'Approved-In-Depth'!K644,"")</f>
        <v/>
      </c>
      <c r="L644" s="4" t="str">
        <f>IF($A644&lt;&gt;"",'Approved-In-Depth'!L644,"")</f>
        <v/>
      </c>
      <c r="M644" t="str">
        <f>IF($A644&lt;&gt;"",'Approved-In-Depth'!M644,"")</f>
        <v/>
      </c>
    </row>
    <row r="645" spans="1:13" x14ac:dyDescent="0.35">
      <c r="A645" s="4" t="str">
        <f>IF('Approved-In-Depth'!$A645&lt;&gt;"",'Approved-In-Depth'!A645,"")</f>
        <v/>
      </c>
      <c r="B645" t="str">
        <f>IF($O645&lt;&gt;"",$O645,IF($A645&lt;&gt;"",'Approved-In-Depth'!$B645+7,""))</f>
        <v/>
      </c>
      <c r="C645" t="str">
        <f>IF($A645&lt;&gt;"",'Approved-In-Depth'!C645,"")</f>
        <v/>
      </c>
      <c r="D645" t="str">
        <f>IF($A645&lt;&gt;"",'Approved-In-Depth'!D645,"")</f>
        <v/>
      </c>
      <c r="E645" t="str">
        <f>IF($A645&lt;&gt;"",'Approved-In-Depth'!E645,"")</f>
        <v/>
      </c>
      <c r="F645" t="str">
        <f>IF($A645&lt;&gt;"",'Approved-In-Depth'!F645,"")</f>
        <v/>
      </c>
      <c r="G645" t="str">
        <f>IF($A645&lt;&gt;"",'Approved-In-Depth'!G645,"")</f>
        <v/>
      </c>
      <c r="H645" s="4" t="str">
        <f>IF($A645&lt;&gt;"",'Approved-In-Depth'!H645,"")</f>
        <v/>
      </c>
      <c r="I645" t="str">
        <f>IF($A645&lt;&gt;"",'Approved-In-Depth'!I645,"")</f>
        <v/>
      </c>
      <c r="J645" t="str">
        <f>IF($A645&lt;&gt;"",'Approved-In-Depth'!J645,"")</f>
        <v/>
      </c>
      <c r="K645" t="str">
        <f>IF($A645&lt;&gt;"",'Approved-In-Depth'!K645,"")</f>
        <v/>
      </c>
      <c r="L645" s="4" t="str">
        <f>IF($A645&lt;&gt;"",'Approved-In-Depth'!L645,"")</f>
        <v/>
      </c>
      <c r="M645" t="str">
        <f>IF($A645&lt;&gt;"",'Approved-In-Depth'!M645,"")</f>
        <v/>
      </c>
    </row>
    <row r="646" spans="1:13" x14ac:dyDescent="0.35">
      <c r="A646" s="4" t="str">
        <f>IF('Approved-In-Depth'!$A646&lt;&gt;"",'Approved-In-Depth'!A646,"")</f>
        <v/>
      </c>
      <c r="B646" t="str">
        <f>IF($O646&lt;&gt;"",$O646,IF($A646&lt;&gt;"",'Approved-In-Depth'!$B646+7,""))</f>
        <v/>
      </c>
      <c r="C646" t="str">
        <f>IF($A646&lt;&gt;"",'Approved-In-Depth'!C646,"")</f>
        <v/>
      </c>
      <c r="D646" t="str">
        <f>IF($A646&lt;&gt;"",'Approved-In-Depth'!D646,"")</f>
        <v/>
      </c>
      <c r="E646" t="str">
        <f>IF($A646&lt;&gt;"",'Approved-In-Depth'!E646,"")</f>
        <v/>
      </c>
      <c r="F646" t="str">
        <f>IF($A646&lt;&gt;"",'Approved-In-Depth'!F646,"")</f>
        <v/>
      </c>
      <c r="G646" t="str">
        <f>IF($A646&lt;&gt;"",'Approved-In-Depth'!G646,"")</f>
        <v/>
      </c>
      <c r="H646" s="4" t="str">
        <f>IF($A646&lt;&gt;"",'Approved-In-Depth'!H646,"")</f>
        <v/>
      </c>
      <c r="I646" t="str">
        <f>IF($A646&lt;&gt;"",'Approved-In-Depth'!I646,"")</f>
        <v/>
      </c>
      <c r="J646" t="str">
        <f>IF($A646&lt;&gt;"",'Approved-In-Depth'!J646,"")</f>
        <v/>
      </c>
      <c r="K646" t="str">
        <f>IF($A646&lt;&gt;"",'Approved-In-Depth'!K646,"")</f>
        <v/>
      </c>
      <c r="L646" s="4" t="str">
        <f>IF($A646&lt;&gt;"",'Approved-In-Depth'!L646,"")</f>
        <v/>
      </c>
      <c r="M646" t="str">
        <f>IF($A646&lt;&gt;"",'Approved-In-Depth'!M646,"")</f>
        <v/>
      </c>
    </row>
    <row r="647" spans="1:13" x14ac:dyDescent="0.35">
      <c r="A647" s="4" t="str">
        <f>IF('Approved-In-Depth'!$A647&lt;&gt;"",'Approved-In-Depth'!A647,"")</f>
        <v/>
      </c>
      <c r="B647" t="str">
        <f>IF($O647&lt;&gt;"",$O647,IF($A647&lt;&gt;"",'Approved-In-Depth'!$B647+7,""))</f>
        <v/>
      </c>
      <c r="C647" t="str">
        <f>IF($A647&lt;&gt;"",'Approved-In-Depth'!C647,"")</f>
        <v/>
      </c>
      <c r="D647" t="str">
        <f>IF($A647&lt;&gt;"",'Approved-In-Depth'!D647,"")</f>
        <v/>
      </c>
      <c r="E647" t="str">
        <f>IF($A647&lt;&gt;"",'Approved-In-Depth'!E647,"")</f>
        <v/>
      </c>
      <c r="F647" t="str">
        <f>IF($A647&lt;&gt;"",'Approved-In-Depth'!F647,"")</f>
        <v/>
      </c>
      <c r="G647" t="str">
        <f>IF($A647&lt;&gt;"",'Approved-In-Depth'!G647,"")</f>
        <v/>
      </c>
      <c r="H647" s="4" t="str">
        <f>IF($A647&lt;&gt;"",'Approved-In-Depth'!H647,"")</f>
        <v/>
      </c>
      <c r="I647" t="str">
        <f>IF($A647&lt;&gt;"",'Approved-In-Depth'!I647,"")</f>
        <v/>
      </c>
      <c r="J647" t="str">
        <f>IF($A647&lt;&gt;"",'Approved-In-Depth'!J647,"")</f>
        <v/>
      </c>
      <c r="K647" t="str">
        <f>IF($A647&lt;&gt;"",'Approved-In-Depth'!K647,"")</f>
        <v/>
      </c>
      <c r="L647" s="4" t="str">
        <f>IF($A647&lt;&gt;"",'Approved-In-Depth'!L647,"")</f>
        <v/>
      </c>
      <c r="M647" t="str">
        <f>IF($A647&lt;&gt;"",'Approved-In-Depth'!M647,"")</f>
        <v/>
      </c>
    </row>
    <row r="648" spans="1:13" x14ac:dyDescent="0.35">
      <c r="A648" s="4" t="str">
        <f>IF('Approved-In-Depth'!$A648&lt;&gt;"",'Approved-In-Depth'!A648,"")</f>
        <v/>
      </c>
      <c r="B648" t="str">
        <f>IF($O648&lt;&gt;"",$O648,IF($A648&lt;&gt;"",'Approved-In-Depth'!$B648+7,""))</f>
        <v/>
      </c>
      <c r="C648" t="str">
        <f>IF($A648&lt;&gt;"",'Approved-In-Depth'!C648,"")</f>
        <v/>
      </c>
      <c r="D648" t="str">
        <f>IF($A648&lt;&gt;"",'Approved-In-Depth'!D648,"")</f>
        <v/>
      </c>
      <c r="E648" t="str">
        <f>IF($A648&lt;&gt;"",'Approved-In-Depth'!E648,"")</f>
        <v/>
      </c>
      <c r="F648" t="str">
        <f>IF($A648&lt;&gt;"",'Approved-In-Depth'!F648,"")</f>
        <v/>
      </c>
      <c r="G648" t="str">
        <f>IF($A648&lt;&gt;"",'Approved-In-Depth'!G648,"")</f>
        <v/>
      </c>
      <c r="H648" s="4" t="str">
        <f>IF($A648&lt;&gt;"",'Approved-In-Depth'!H648,"")</f>
        <v/>
      </c>
      <c r="I648" t="str">
        <f>IF($A648&lt;&gt;"",'Approved-In-Depth'!I648,"")</f>
        <v/>
      </c>
      <c r="J648" t="str">
        <f>IF($A648&lt;&gt;"",'Approved-In-Depth'!J648,"")</f>
        <v/>
      </c>
      <c r="K648" t="str">
        <f>IF($A648&lt;&gt;"",'Approved-In-Depth'!K648,"")</f>
        <v/>
      </c>
      <c r="L648" s="4" t="str">
        <f>IF($A648&lt;&gt;"",'Approved-In-Depth'!L648,"")</f>
        <v/>
      </c>
      <c r="M648" t="str">
        <f>IF($A648&lt;&gt;"",'Approved-In-Depth'!M648,"")</f>
        <v/>
      </c>
    </row>
    <row r="649" spans="1:13" x14ac:dyDescent="0.35">
      <c r="A649" s="4" t="str">
        <f>IF('Approved-In-Depth'!$A649&lt;&gt;"",'Approved-In-Depth'!A649,"")</f>
        <v/>
      </c>
      <c r="B649" t="str">
        <f>IF($O649&lt;&gt;"",$O649,IF($A649&lt;&gt;"",'Approved-In-Depth'!$B649+7,""))</f>
        <v/>
      </c>
      <c r="C649" t="str">
        <f>IF($A649&lt;&gt;"",'Approved-In-Depth'!C649,"")</f>
        <v/>
      </c>
      <c r="D649" t="str">
        <f>IF($A649&lt;&gt;"",'Approved-In-Depth'!D649,"")</f>
        <v/>
      </c>
      <c r="E649" t="str">
        <f>IF($A649&lt;&gt;"",'Approved-In-Depth'!E649,"")</f>
        <v/>
      </c>
      <c r="F649" t="str">
        <f>IF($A649&lt;&gt;"",'Approved-In-Depth'!F649,"")</f>
        <v/>
      </c>
      <c r="G649" t="str">
        <f>IF($A649&lt;&gt;"",'Approved-In-Depth'!G649,"")</f>
        <v/>
      </c>
      <c r="H649" s="4" t="str">
        <f>IF($A649&lt;&gt;"",'Approved-In-Depth'!H649,"")</f>
        <v/>
      </c>
      <c r="I649" t="str">
        <f>IF($A649&lt;&gt;"",'Approved-In-Depth'!I649,"")</f>
        <v/>
      </c>
      <c r="J649" t="str">
        <f>IF($A649&lt;&gt;"",'Approved-In-Depth'!J649,"")</f>
        <v/>
      </c>
      <c r="K649" t="str">
        <f>IF($A649&lt;&gt;"",'Approved-In-Depth'!K649,"")</f>
        <v/>
      </c>
      <c r="L649" s="4" t="str">
        <f>IF($A649&lt;&gt;"",'Approved-In-Depth'!L649,"")</f>
        <v/>
      </c>
      <c r="M649" t="str">
        <f>IF($A649&lt;&gt;"",'Approved-In-Depth'!M649,"")</f>
        <v/>
      </c>
    </row>
    <row r="650" spans="1:13" x14ac:dyDescent="0.35">
      <c r="A650" s="4" t="str">
        <f>IF('Approved-In-Depth'!$A650&lt;&gt;"",'Approved-In-Depth'!A650,"")</f>
        <v/>
      </c>
      <c r="B650" t="str">
        <f>IF($O650&lt;&gt;"",$O650,IF($A650&lt;&gt;"",'Approved-In-Depth'!$B650+7,""))</f>
        <v/>
      </c>
      <c r="C650" t="str">
        <f>IF($A650&lt;&gt;"",'Approved-In-Depth'!C650,"")</f>
        <v/>
      </c>
      <c r="D650" t="str">
        <f>IF($A650&lt;&gt;"",'Approved-In-Depth'!D650,"")</f>
        <v/>
      </c>
      <c r="E650" t="str">
        <f>IF($A650&lt;&gt;"",'Approved-In-Depth'!E650,"")</f>
        <v/>
      </c>
      <c r="F650" t="str">
        <f>IF($A650&lt;&gt;"",'Approved-In-Depth'!F650,"")</f>
        <v/>
      </c>
      <c r="G650" t="str">
        <f>IF($A650&lt;&gt;"",'Approved-In-Depth'!G650,"")</f>
        <v/>
      </c>
      <c r="H650" s="4" t="str">
        <f>IF($A650&lt;&gt;"",'Approved-In-Depth'!H650,"")</f>
        <v/>
      </c>
      <c r="I650" t="str">
        <f>IF($A650&lt;&gt;"",'Approved-In-Depth'!I650,"")</f>
        <v/>
      </c>
      <c r="J650" t="str">
        <f>IF($A650&lt;&gt;"",'Approved-In-Depth'!J650,"")</f>
        <v/>
      </c>
      <c r="K650" t="str">
        <f>IF($A650&lt;&gt;"",'Approved-In-Depth'!K650,"")</f>
        <v/>
      </c>
      <c r="L650" s="4" t="str">
        <f>IF($A650&lt;&gt;"",'Approved-In-Depth'!L650,"")</f>
        <v/>
      </c>
      <c r="M650" t="str">
        <f>IF($A650&lt;&gt;"",'Approved-In-Depth'!M650,"")</f>
        <v/>
      </c>
    </row>
    <row r="651" spans="1:13" x14ac:dyDescent="0.35">
      <c r="A651" s="4" t="str">
        <f>IF('Approved-In-Depth'!$A651&lt;&gt;"",'Approved-In-Depth'!A651,"")</f>
        <v/>
      </c>
      <c r="B651" t="str">
        <f>IF($O651&lt;&gt;"",$O651,IF($A651&lt;&gt;"",'Approved-In-Depth'!$B651+7,""))</f>
        <v/>
      </c>
      <c r="C651" t="str">
        <f>IF($A651&lt;&gt;"",'Approved-In-Depth'!C651,"")</f>
        <v/>
      </c>
      <c r="D651" t="str">
        <f>IF($A651&lt;&gt;"",'Approved-In-Depth'!D651,"")</f>
        <v/>
      </c>
      <c r="E651" t="str">
        <f>IF($A651&lt;&gt;"",'Approved-In-Depth'!E651,"")</f>
        <v/>
      </c>
      <c r="F651" t="str">
        <f>IF($A651&lt;&gt;"",'Approved-In-Depth'!F651,"")</f>
        <v/>
      </c>
      <c r="G651" t="str">
        <f>IF($A651&lt;&gt;"",'Approved-In-Depth'!G651,"")</f>
        <v/>
      </c>
      <c r="H651" s="4" t="str">
        <f>IF($A651&lt;&gt;"",'Approved-In-Depth'!H651,"")</f>
        <v/>
      </c>
      <c r="I651" t="str">
        <f>IF($A651&lt;&gt;"",'Approved-In-Depth'!I651,"")</f>
        <v/>
      </c>
      <c r="J651" t="str">
        <f>IF($A651&lt;&gt;"",'Approved-In-Depth'!J651,"")</f>
        <v/>
      </c>
      <c r="K651" t="str">
        <f>IF($A651&lt;&gt;"",'Approved-In-Depth'!K651,"")</f>
        <v/>
      </c>
      <c r="L651" s="4" t="str">
        <f>IF($A651&lt;&gt;"",'Approved-In-Depth'!L651,"")</f>
        <v/>
      </c>
      <c r="M651" t="str">
        <f>IF($A651&lt;&gt;"",'Approved-In-Depth'!M651,"")</f>
        <v/>
      </c>
    </row>
    <row r="652" spans="1:13" x14ac:dyDescent="0.35">
      <c r="A652" s="4" t="str">
        <f>IF('Approved-In-Depth'!$A652&lt;&gt;"",'Approved-In-Depth'!A652,"")</f>
        <v/>
      </c>
      <c r="B652" t="str">
        <f>IF($O652&lt;&gt;"",$O652,IF($A652&lt;&gt;"",'Approved-In-Depth'!$B652+7,""))</f>
        <v/>
      </c>
      <c r="C652" t="str">
        <f>IF($A652&lt;&gt;"",'Approved-In-Depth'!C652,"")</f>
        <v/>
      </c>
      <c r="D652" t="str">
        <f>IF($A652&lt;&gt;"",'Approved-In-Depth'!D652,"")</f>
        <v/>
      </c>
      <c r="E652" t="str">
        <f>IF($A652&lt;&gt;"",'Approved-In-Depth'!E652,"")</f>
        <v/>
      </c>
      <c r="F652" t="str">
        <f>IF($A652&lt;&gt;"",'Approved-In-Depth'!F652,"")</f>
        <v/>
      </c>
      <c r="G652" t="str">
        <f>IF($A652&lt;&gt;"",'Approved-In-Depth'!G652,"")</f>
        <v/>
      </c>
      <c r="H652" s="4" t="str">
        <f>IF($A652&lt;&gt;"",'Approved-In-Depth'!H652,"")</f>
        <v/>
      </c>
      <c r="I652" t="str">
        <f>IF($A652&lt;&gt;"",'Approved-In-Depth'!I652,"")</f>
        <v/>
      </c>
      <c r="J652" t="str">
        <f>IF($A652&lt;&gt;"",'Approved-In-Depth'!J652,"")</f>
        <v/>
      </c>
      <c r="K652" t="str">
        <f>IF($A652&lt;&gt;"",'Approved-In-Depth'!K652,"")</f>
        <v/>
      </c>
      <c r="L652" s="4" t="str">
        <f>IF($A652&lt;&gt;"",'Approved-In-Depth'!L652,"")</f>
        <v/>
      </c>
      <c r="M652" t="str">
        <f>IF($A652&lt;&gt;"",'Approved-In-Depth'!M652,"")</f>
        <v/>
      </c>
    </row>
    <row r="653" spans="1:13" x14ac:dyDescent="0.35">
      <c r="A653" s="4" t="str">
        <f>IF('Approved-In-Depth'!$A653&lt;&gt;"",'Approved-In-Depth'!A653,"")</f>
        <v/>
      </c>
      <c r="B653" t="str">
        <f>IF($O653&lt;&gt;"",$O653,IF($A653&lt;&gt;"",'Approved-In-Depth'!$B653+7,""))</f>
        <v/>
      </c>
      <c r="C653" t="str">
        <f>IF($A653&lt;&gt;"",'Approved-In-Depth'!C653,"")</f>
        <v/>
      </c>
      <c r="D653" t="str">
        <f>IF($A653&lt;&gt;"",'Approved-In-Depth'!D653,"")</f>
        <v/>
      </c>
      <c r="E653" t="str">
        <f>IF($A653&lt;&gt;"",'Approved-In-Depth'!E653,"")</f>
        <v/>
      </c>
      <c r="F653" t="str">
        <f>IF($A653&lt;&gt;"",'Approved-In-Depth'!F653,"")</f>
        <v/>
      </c>
      <c r="G653" t="str">
        <f>IF($A653&lt;&gt;"",'Approved-In-Depth'!G653,"")</f>
        <v/>
      </c>
      <c r="H653" s="4" t="str">
        <f>IF($A653&lt;&gt;"",'Approved-In-Depth'!H653,"")</f>
        <v/>
      </c>
      <c r="I653" t="str">
        <f>IF($A653&lt;&gt;"",'Approved-In-Depth'!I653,"")</f>
        <v/>
      </c>
      <c r="J653" t="str">
        <f>IF($A653&lt;&gt;"",'Approved-In-Depth'!J653,"")</f>
        <v/>
      </c>
      <c r="K653" t="str">
        <f>IF($A653&lt;&gt;"",'Approved-In-Depth'!K653,"")</f>
        <v/>
      </c>
      <c r="L653" s="4" t="str">
        <f>IF($A653&lt;&gt;"",'Approved-In-Depth'!L653,"")</f>
        <v/>
      </c>
      <c r="M653" t="str">
        <f>IF($A653&lt;&gt;"",'Approved-In-Depth'!M653,"")</f>
        <v/>
      </c>
    </row>
    <row r="654" spans="1:13" x14ac:dyDescent="0.35">
      <c r="A654" s="4" t="str">
        <f>IF('Approved-In-Depth'!$A654&lt;&gt;"",'Approved-In-Depth'!A654,"")</f>
        <v/>
      </c>
      <c r="B654" t="str">
        <f>IF($O654&lt;&gt;"",$O654,IF($A654&lt;&gt;"",'Approved-In-Depth'!$B654+7,""))</f>
        <v/>
      </c>
      <c r="C654" t="str">
        <f>IF($A654&lt;&gt;"",'Approved-In-Depth'!C654,"")</f>
        <v/>
      </c>
      <c r="D654" t="str">
        <f>IF($A654&lt;&gt;"",'Approved-In-Depth'!D654,"")</f>
        <v/>
      </c>
      <c r="E654" t="str">
        <f>IF($A654&lt;&gt;"",'Approved-In-Depth'!E654,"")</f>
        <v/>
      </c>
      <c r="F654" t="str">
        <f>IF($A654&lt;&gt;"",'Approved-In-Depth'!F654,"")</f>
        <v/>
      </c>
      <c r="G654" t="str">
        <f>IF($A654&lt;&gt;"",'Approved-In-Depth'!G654,"")</f>
        <v/>
      </c>
      <c r="H654" s="4" t="str">
        <f>IF($A654&lt;&gt;"",'Approved-In-Depth'!H654,"")</f>
        <v/>
      </c>
      <c r="I654" t="str">
        <f>IF($A654&lt;&gt;"",'Approved-In-Depth'!I654,"")</f>
        <v/>
      </c>
      <c r="J654" t="str">
        <f>IF($A654&lt;&gt;"",'Approved-In-Depth'!J654,"")</f>
        <v/>
      </c>
      <c r="K654" t="str">
        <f>IF($A654&lt;&gt;"",'Approved-In-Depth'!K654,"")</f>
        <v/>
      </c>
      <c r="L654" s="4" t="str">
        <f>IF($A654&lt;&gt;"",'Approved-In-Depth'!L654,"")</f>
        <v/>
      </c>
      <c r="M654" t="str">
        <f>IF($A654&lt;&gt;"",'Approved-In-Depth'!M654,"")</f>
        <v/>
      </c>
    </row>
    <row r="655" spans="1:13" x14ac:dyDescent="0.35">
      <c r="A655" s="4" t="str">
        <f>IF('Approved-In-Depth'!$A655&lt;&gt;"",'Approved-In-Depth'!A655,"")</f>
        <v/>
      </c>
      <c r="B655" t="str">
        <f>IF($O655&lt;&gt;"",$O655,IF($A655&lt;&gt;"",'Approved-In-Depth'!$B655+7,""))</f>
        <v/>
      </c>
      <c r="C655" t="str">
        <f>IF($A655&lt;&gt;"",'Approved-In-Depth'!C655,"")</f>
        <v/>
      </c>
      <c r="D655" t="str">
        <f>IF($A655&lt;&gt;"",'Approved-In-Depth'!D655,"")</f>
        <v/>
      </c>
      <c r="E655" t="str">
        <f>IF($A655&lt;&gt;"",'Approved-In-Depth'!E655,"")</f>
        <v/>
      </c>
      <c r="F655" t="str">
        <f>IF($A655&lt;&gt;"",'Approved-In-Depth'!F655,"")</f>
        <v/>
      </c>
      <c r="G655" t="str">
        <f>IF($A655&lt;&gt;"",'Approved-In-Depth'!G655,"")</f>
        <v/>
      </c>
      <c r="H655" s="4" t="str">
        <f>IF($A655&lt;&gt;"",'Approved-In-Depth'!H655,"")</f>
        <v/>
      </c>
      <c r="I655" t="str">
        <f>IF($A655&lt;&gt;"",'Approved-In-Depth'!I655,"")</f>
        <v/>
      </c>
      <c r="J655" t="str">
        <f>IF($A655&lt;&gt;"",'Approved-In-Depth'!J655,"")</f>
        <v/>
      </c>
      <c r="K655" t="str">
        <f>IF($A655&lt;&gt;"",'Approved-In-Depth'!K655,"")</f>
        <v/>
      </c>
      <c r="L655" s="4" t="str">
        <f>IF($A655&lt;&gt;"",'Approved-In-Depth'!L655,"")</f>
        <v/>
      </c>
      <c r="M655" t="str">
        <f>IF($A655&lt;&gt;"",'Approved-In-Depth'!M655,"")</f>
        <v/>
      </c>
    </row>
    <row r="656" spans="1:13" x14ac:dyDescent="0.35">
      <c r="A656" s="4" t="str">
        <f>IF('Approved-In-Depth'!$A656&lt;&gt;"",'Approved-In-Depth'!A656,"")</f>
        <v/>
      </c>
      <c r="B656" t="str">
        <f>IF($O656&lt;&gt;"",$O656,IF($A656&lt;&gt;"",'Approved-In-Depth'!$B656+7,""))</f>
        <v/>
      </c>
      <c r="C656" t="str">
        <f>IF($A656&lt;&gt;"",'Approved-In-Depth'!C656,"")</f>
        <v/>
      </c>
      <c r="D656" t="str">
        <f>IF($A656&lt;&gt;"",'Approved-In-Depth'!D656,"")</f>
        <v/>
      </c>
      <c r="E656" t="str">
        <f>IF($A656&lt;&gt;"",'Approved-In-Depth'!E656,"")</f>
        <v/>
      </c>
      <c r="F656" t="str">
        <f>IF($A656&lt;&gt;"",'Approved-In-Depth'!F656,"")</f>
        <v/>
      </c>
      <c r="G656" t="str">
        <f>IF($A656&lt;&gt;"",'Approved-In-Depth'!G656,"")</f>
        <v/>
      </c>
      <c r="H656" s="4" t="str">
        <f>IF($A656&lt;&gt;"",'Approved-In-Depth'!H656,"")</f>
        <v/>
      </c>
      <c r="I656" t="str">
        <f>IF($A656&lt;&gt;"",'Approved-In-Depth'!I656,"")</f>
        <v/>
      </c>
      <c r="J656" t="str">
        <f>IF($A656&lt;&gt;"",'Approved-In-Depth'!J656,"")</f>
        <v/>
      </c>
      <c r="K656" t="str">
        <f>IF($A656&lt;&gt;"",'Approved-In-Depth'!K656,"")</f>
        <v/>
      </c>
      <c r="L656" s="4" t="str">
        <f>IF($A656&lt;&gt;"",'Approved-In-Depth'!L656,"")</f>
        <v/>
      </c>
      <c r="M656" t="str">
        <f>IF($A656&lt;&gt;"",'Approved-In-Depth'!M656,"")</f>
        <v/>
      </c>
    </row>
    <row r="657" spans="1:13" x14ac:dyDescent="0.35">
      <c r="A657" s="4" t="str">
        <f>IF('Approved-In-Depth'!$A657&lt;&gt;"",'Approved-In-Depth'!A657,"")</f>
        <v/>
      </c>
      <c r="B657" t="str">
        <f>IF($O657&lt;&gt;"",$O657,IF($A657&lt;&gt;"",'Approved-In-Depth'!$B657+7,""))</f>
        <v/>
      </c>
      <c r="C657" t="str">
        <f>IF($A657&lt;&gt;"",'Approved-In-Depth'!C657,"")</f>
        <v/>
      </c>
      <c r="D657" t="str">
        <f>IF($A657&lt;&gt;"",'Approved-In-Depth'!D657,"")</f>
        <v/>
      </c>
      <c r="E657" t="str">
        <f>IF($A657&lt;&gt;"",'Approved-In-Depth'!E657,"")</f>
        <v/>
      </c>
      <c r="F657" t="str">
        <f>IF($A657&lt;&gt;"",'Approved-In-Depth'!F657,"")</f>
        <v/>
      </c>
      <c r="G657" t="str">
        <f>IF($A657&lt;&gt;"",'Approved-In-Depth'!G657,"")</f>
        <v/>
      </c>
      <c r="H657" s="4" t="str">
        <f>IF($A657&lt;&gt;"",'Approved-In-Depth'!H657,"")</f>
        <v/>
      </c>
      <c r="I657" t="str">
        <f>IF($A657&lt;&gt;"",'Approved-In-Depth'!I657,"")</f>
        <v/>
      </c>
      <c r="J657" t="str">
        <f>IF($A657&lt;&gt;"",'Approved-In-Depth'!J657,"")</f>
        <v/>
      </c>
      <c r="K657" t="str">
        <f>IF($A657&lt;&gt;"",'Approved-In-Depth'!K657,"")</f>
        <v/>
      </c>
      <c r="L657" s="4" t="str">
        <f>IF($A657&lt;&gt;"",'Approved-In-Depth'!L657,"")</f>
        <v/>
      </c>
      <c r="M657" t="str">
        <f>IF($A657&lt;&gt;"",'Approved-In-Depth'!M657,"")</f>
        <v/>
      </c>
    </row>
    <row r="658" spans="1:13" x14ac:dyDescent="0.35">
      <c r="A658" s="4" t="str">
        <f>IF('Approved-In-Depth'!$A658&lt;&gt;"",'Approved-In-Depth'!A658,"")</f>
        <v/>
      </c>
      <c r="B658" t="str">
        <f>IF($O658&lt;&gt;"",$O658,IF($A658&lt;&gt;"",'Approved-In-Depth'!$B658+7,""))</f>
        <v/>
      </c>
      <c r="C658" t="str">
        <f>IF($A658&lt;&gt;"",'Approved-In-Depth'!C658,"")</f>
        <v/>
      </c>
      <c r="D658" t="str">
        <f>IF($A658&lt;&gt;"",'Approved-In-Depth'!D658,"")</f>
        <v/>
      </c>
      <c r="E658" t="str">
        <f>IF($A658&lt;&gt;"",'Approved-In-Depth'!E658,"")</f>
        <v/>
      </c>
      <c r="F658" t="str">
        <f>IF($A658&lt;&gt;"",'Approved-In-Depth'!F658,"")</f>
        <v/>
      </c>
      <c r="G658" t="str">
        <f>IF($A658&lt;&gt;"",'Approved-In-Depth'!G658,"")</f>
        <v/>
      </c>
      <c r="H658" s="4" t="str">
        <f>IF($A658&lt;&gt;"",'Approved-In-Depth'!H658,"")</f>
        <v/>
      </c>
      <c r="I658" t="str">
        <f>IF($A658&lt;&gt;"",'Approved-In-Depth'!I658,"")</f>
        <v/>
      </c>
      <c r="J658" t="str">
        <f>IF($A658&lt;&gt;"",'Approved-In-Depth'!J658,"")</f>
        <v/>
      </c>
      <c r="K658" t="str">
        <f>IF($A658&lt;&gt;"",'Approved-In-Depth'!K658,"")</f>
        <v/>
      </c>
      <c r="L658" s="4" t="str">
        <f>IF($A658&lt;&gt;"",'Approved-In-Depth'!L658,"")</f>
        <v/>
      </c>
      <c r="M658" t="str">
        <f>IF($A658&lt;&gt;"",'Approved-In-Depth'!M658,"")</f>
        <v/>
      </c>
    </row>
    <row r="659" spans="1:13" x14ac:dyDescent="0.35">
      <c r="A659" s="4" t="str">
        <f>IF('Approved-In-Depth'!$A659&lt;&gt;"",'Approved-In-Depth'!A659,"")</f>
        <v/>
      </c>
      <c r="B659" t="str">
        <f>IF($O659&lt;&gt;"",$O659,IF($A659&lt;&gt;"",'Approved-In-Depth'!$B659+7,""))</f>
        <v/>
      </c>
      <c r="C659" t="str">
        <f>IF($A659&lt;&gt;"",'Approved-In-Depth'!C659,"")</f>
        <v/>
      </c>
      <c r="D659" t="str">
        <f>IF($A659&lt;&gt;"",'Approved-In-Depth'!D659,"")</f>
        <v/>
      </c>
      <c r="E659" t="str">
        <f>IF($A659&lt;&gt;"",'Approved-In-Depth'!E659,"")</f>
        <v/>
      </c>
      <c r="F659" t="str">
        <f>IF($A659&lt;&gt;"",'Approved-In-Depth'!F659,"")</f>
        <v/>
      </c>
      <c r="G659" t="str">
        <f>IF($A659&lt;&gt;"",'Approved-In-Depth'!G659,"")</f>
        <v/>
      </c>
      <c r="H659" s="4" t="str">
        <f>IF($A659&lt;&gt;"",'Approved-In-Depth'!H659,"")</f>
        <v/>
      </c>
      <c r="I659" t="str">
        <f>IF($A659&lt;&gt;"",'Approved-In-Depth'!I659,"")</f>
        <v/>
      </c>
      <c r="J659" t="str">
        <f>IF($A659&lt;&gt;"",'Approved-In-Depth'!J659,"")</f>
        <v/>
      </c>
      <c r="K659" t="str">
        <f>IF($A659&lt;&gt;"",'Approved-In-Depth'!K659,"")</f>
        <v/>
      </c>
      <c r="L659" s="4" t="str">
        <f>IF($A659&lt;&gt;"",'Approved-In-Depth'!L659,"")</f>
        <v/>
      </c>
      <c r="M659" t="str">
        <f>IF($A659&lt;&gt;"",'Approved-In-Depth'!M659,"")</f>
        <v/>
      </c>
    </row>
    <row r="660" spans="1:13" x14ac:dyDescent="0.35">
      <c r="A660" s="4" t="str">
        <f>IF('Approved-In-Depth'!$A660&lt;&gt;"",'Approved-In-Depth'!A660,"")</f>
        <v/>
      </c>
      <c r="B660" t="str">
        <f>IF($O660&lt;&gt;"",$O660,IF($A660&lt;&gt;"",'Approved-In-Depth'!$B660+7,""))</f>
        <v/>
      </c>
      <c r="C660" t="str">
        <f>IF($A660&lt;&gt;"",'Approved-In-Depth'!C660,"")</f>
        <v/>
      </c>
      <c r="D660" t="str">
        <f>IF($A660&lt;&gt;"",'Approved-In-Depth'!D660,"")</f>
        <v/>
      </c>
      <c r="E660" t="str">
        <f>IF($A660&lt;&gt;"",'Approved-In-Depth'!E660,"")</f>
        <v/>
      </c>
      <c r="F660" t="str">
        <f>IF($A660&lt;&gt;"",'Approved-In-Depth'!F660,"")</f>
        <v/>
      </c>
      <c r="G660" t="str">
        <f>IF($A660&lt;&gt;"",'Approved-In-Depth'!G660,"")</f>
        <v/>
      </c>
      <c r="H660" s="4" t="str">
        <f>IF($A660&lt;&gt;"",'Approved-In-Depth'!H660,"")</f>
        <v/>
      </c>
      <c r="I660" t="str">
        <f>IF($A660&lt;&gt;"",'Approved-In-Depth'!I660,"")</f>
        <v/>
      </c>
      <c r="J660" t="str">
        <f>IF($A660&lt;&gt;"",'Approved-In-Depth'!J660,"")</f>
        <v/>
      </c>
      <c r="K660" t="str">
        <f>IF($A660&lt;&gt;"",'Approved-In-Depth'!K660,"")</f>
        <v/>
      </c>
      <c r="L660" s="4" t="str">
        <f>IF($A660&lt;&gt;"",'Approved-In-Depth'!L660,"")</f>
        <v/>
      </c>
      <c r="M660" t="str">
        <f>IF($A660&lt;&gt;"",'Approved-In-Depth'!M660,"")</f>
        <v/>
      </c>
    </row>
    <row r="661" spans="1:13" x14ac:dyDescent="0.35">
      <c r="A661" s="4" t="str">
        <f>IF('Approved-In-Depth'!$A661&lt;&gt;"",'Approved-In-Depth'!A661,"")</f>
        <v/>
      </c>
      <c r="B661" t="str">
        <f>IF($O661&lt;&gt;"",$O661,IF($A661&lt;&gt;"",'Approved-In-Depth'!$B661+7,""))</f>
        <v/>
      </c>
      <c r="C661" t="str">
        <f>IF($A661&lt;&gt;"",'Approved-In-Depth'!C661,"")</f>
        <v/>
      </c>
      <c r="D661" t="str">
        <f>IF($A661&lt;&gt;"",'Approved-In-Depth'!D661,"")</f>
        <v/>
      </c>
      <c r="E661" t="str">
        <f>IF($A661&lt;&gt;"",'Approved-In-Depth'!E661,"")</f>
        <v/>
      </c>
      <c r="F661" t="str">
        <f>IF($A661&lt;&gt;"",'Approved-In-Depth'!F661,"")</f>
        <v/>
      </c>
      <c r="G661" t="str">
        <f>IF($A661&lt;&gt;"",'Approved-In-Depth'!G661,"")</f>
        <v/>
      </c>
      <c r="H661" s="4" t="str">
        <f>IF($A661&lt;&gt;"",'Approved-In-Depth'!H661,"")</f>
        <v/>
      </c>
      <c r="I661" t="str">
        <f>IF($A661&lt;&gt;"",'Approved-In-Depth'!I661,"")</f>
        <v/>
      </c>
      <c r="J661" t="str">
        <f>IF($A661&lt;&gt;"",'Approved-In-Depth'!J661,"")</f>
        <v/>
      </c>
      <c r="K661" t="str">
        <f>IF($A661&lt;&gt;"",'Approved-In-Depth'!K661,"")</f>
        <v/>
      </c>
      <c r="L661" s="4" t="str">
        <f>IF($A661&lt;&gt;"",'Approved-In-Depth'!L661,"")</f>
        <v/>
      </c>
      <c r="M661" t="str">
        <f>IF($A661&lt;&gt;"",'Approved-In-Depth'!M661,"")</f>
        <v/>
      </c>
    </row>
    <row r="662" spans="1:13" x14ac:dyDescent="0.35">
      <c r="A662" s="4" t="str">
        <f>IF('Approved-In-Depth'!$A662&lt;&gt;"",'Approved-In-Depth'!A662,"")</f>
        <v/>
      </c>
      <c r="B662" t="str">
        <f>IF($O662&lt;&gt;"",$O662,IF($A662&lt;&gt;"",'Approved-In-Depth'!$B662+7,""))</f>
        <v/>
      </c>
      <c r="C662" t="str">
        <f>IF($A662&lt;&gt;"",'Approved-In-Depth'!C662,"")</f>
        <v/>
      </c>
      <c r="D662" t="str">
        <f>IF($A662&lt;&gt;"",'Approved-In-Depth'!D662,"")</f>
        <v/>
      </c>
      <c r="E662" t="str">
        <f>IF($A662&lt;&gt;"",'Approved-In-Depth'!E662,"")</f>
        <v/>
      </c>
      <c r="F662" t="str">
        <f>IF($A662&lt;&gt;"",'Approved-In-Depth'!F662,"")</f>
        <v/>
      </c>
      <c r="G662" t="str">
        <f>IF($A662&lt;&gt;"",'Approved-In-Depth'!G662,"")</f>
        <v/>
      </c>
      <c r="H662" s="4" t="str">
        <f>IF($A662&lt;&gt;"",'Approved-In-Depth'!H662,"")</f>
        <v/>
      </c>
      <c r="I662" t="str">
        <f>IF($A662&lt;&gt;"",'Approved-In-Depth'!I662,"")</f>
        <v/>
      </c>
      <c r="J662" t="str">
        <f>IF($A662&lt;&gt;"",'Approved-In-Depth'!J662,"")</f>
        <v/>
      </c>
      <c r="K662" t="str">
        <f>IF($A662&lt;&gt;"",'Approved-In-Depth'!K662,"")</f>
        <v/>
      </c>
      <c r="L662" s="4" t="str">
        <f>IF($A662&lt;&gt;"",'Approved-In-Depth'!L662,"")</f>
        <v/>
      </c>
      <c r="M662" t="str">
        <f>IF($A662&lt;&gt;"",'Approved-In-Depth'!M662,"")</f>
        <v/>
      </c>
    </row>
    <row r="663" spans="1:13" x14ac:dyDescent="0.35">
      <c r="A663" s="4" t="str">
        <f>IF('Approved-In-Depth'!$A663&lt;&gt;"",'Approved-In-Depth'!A663,"")</f>
        <v/>
      </c>
      <c r="B663" t="str">
        <f>IF($O663&lt;&gt;"",$O663,IF($A663&lt;&gt;"",'Approved-In-Depth'!$B663+7,""))</f>
        <v/>
      </c>
      <c r="C663" t="str">
        <f>IF($A663&lt;&gt;"",'Approved-In-Depth'!C663,"")</f>
        <v/>
      </c>
      <c r="D663" t="str">
        <f>IF($A663&lt;&gt;"",'Approved-In-Depth'!D663,"")</f>
        <v/>
      </c>
      <c r="E663" t="str">
        <f>IF($A663&lt;&gt;"",'Approved-In-Depth'!E663,"")</f>
        <v/>
      </c>
      <c r="F663" t="str">
        <f>IF($A663&lt;&gt;"",'Approved-In-Depth'!F663,"")</f>
        <v/>
      </c>
      <c r="G663" t="str">
        <f>IF($A663&lt;&gt;"",'Approved-In-Depth'!G663,"")</f>
        <v/>
      </c>
      <c r="H663" s="4" t="str">
        <f>IF($A663&lt;&gt;"",'Approved-In-Depth'!H663,"")</f>
        <v/>
      </c>
      <c r="I663" t="str">
        <f>IF($A663&lt;&gt;"",'Approved-In-Depth'!I663,"")</f>
        <v/>
      </c>
      <c r="J663" t="str">
        <f>IF($A663&lt;&gt;"",'Approved-In-Depth'!J663,"")</f>
        <v/>
      </c>
      <c r="K663" t="str">
        <f>IF($A663&lt;&gt;"",'Approved-In-Depth'!K663,"")</f>
        <v/>
      </c>
      <c r="L663" s="4" t="str">
        <f>IF($A663&lt;&gt;"",'Approved-In-Depth'!L663,"")</f>
        <v/>
      </c>
      <c r="M663" t="str">
        <f>IF($A663&lt;&gt;"",'Approved-In-Depth'!M663,"")</f>
        <v/>
      </c>
    </row>
    <row r="664" spans="1:13" x14ac:dyDescent="0.35">
      <c r="A664" s="4" t="str">
        <f>IF('Approved-In-Depth'!$A664&lt;&gt;"",'Approved-In-Depth'!A664,"")</f>
        <v/>
      </c>
      <c r="B664" t="str">
        <f>IF($O664&lt;&gt;"",$O664,IF($A664&lt;&gt;"",'Approved-In-Depth'!$B664+7,""))</f>
        <v/>
      </c>
      <c r="C664" t="str">
        <f>IF($A664&lt;&gt;"",'Approved-In-Depth'!C664,"")</f>
        <v/>
      </c>
      <c r="D664" t="str">
        <f>IF($A664&lt;&gt;"",'Approved-In-Depth'!D664,"")</f>
        <v/>
      </c>
      <c r="E664" t="str">
        <f>IF($A664&lt;&gt;"",'Approved-In-Depth'!E664,"")</f>
        <v/>
      </c>
      <c r="F664" t="str">
        <f>IF($A664&lt;&gt;"",'Approved-In-Depth'!F664,"")</f>
        <v/>
      </c>
      <c r="G664" t="str">
        <f>IF($A664&lt;&gt;"",'Approved-In-Depth'!G664,"")</f>
        <v/>
      </c>
      <c r="H664" s="4" t="str">
        <f>IF($A664&lt;&gt;"",'Approved-In-Depth'!H664,"")</f>
        <v/>
      </c>
      <c r="I664" t="str">
        <f>IF($A664&lt;&gt;"",'Approved-In-Depth'!I664,"")</f>
        <v/>
      </c>
      <c r="J664" t="str">
        <f>IF($A664&lt;&gt;"",'Approved-In-Depth'!J664,"")</f>
        <v/>
      </c>
      <c r="K664" t="str">
        <f>IF($A664&lt;&gt;"",'Approved-In-Depth'!K664,"")</f>
        <v/>
      </c>
      <c r="L664" s="4" t="str">
        <f>IF($A664&lt;&gt;"",'Approved-In-Depth'!L664,"")</f>
        <v/>
      </c>
      <c r="M664" t="str">
        <f>IF($A664&lt;&gt;"",'Approved-In-Depth'!M664,"")</f>
        <v/>
      </c>
    </row>
    <row r="665" spans="1:13" x14ac:dyDescent="0.35">
      <c r="A665" s="4" t="str">
        <f>IF('Approved-In-Depth'!$A665&lt;&gt;"",'Approved-In-Depth'!A665,"")</f>
        <v/>
      </c>
      <c r="B665" t="str">
        <f>IF($O665&lt;&gt;"",$O665,IF($A665&lt;&gt;"",'Approved-In-Depth'!$B665+7,""))</f>
        <v/>
      </c>
      <c r="C665" t="str">
        <f>IF($A665&lt;&gt;"",'Approved-In-Depth'!C665,"")</f>
        <v/>
      </c>
      <c r="D665" t="str">
        <f>IF($A665&lt;&gt;"",'Approved-In-Depth'!D665,"")</f>
        <v/>
      </c>
      <c r="E665" t="str">
        <f>IF($A665&lt;&gt;"",'Approved-In-Depth'!E665,"")</f>
        <v/>
      </c>
      <c r="F665" t="str">
        <f>IF($A665&lt;&gt;"",'Approved-In-Depth'!F665,"")</f>
        <v/>
      </c>
      <c r="G665" t="str">
        <f>IF($A665&lt;&gt;"",'Approved-In-Depth'!G665,"")</f>
        <v/>
      </c>
      <c r="H665" s="4" t="str">
        <f>IF($A665&lt;&gt;"",'Approved-In-Depth'!H665,"")</f>
        <v/>
      </c>
      <c r="I665" t="str">
        <f>IF($A665&lt;&gt;"",'Approved-In-Depth'!I665,"")</f>
        <v/>
      </c>
      <c r="J665" t="str">
        <f>IF($A665&lt;&gt;"",'Approved-In-Depth'!J665,"")</f>
        <v/>
      </c>
      <c r="K665" t="str">
        <f>IF($A665&lt;&gt;"",'Approved-In-Depth'!K665,"")</f>
        <v/>
      </c>
      <c r="L665" s="4" t="str">
        <f>IF($A665&lt;&gt;"",'Approved-In-Depth'!L665,"")</f>
        <v/>
      </c>
      <c r="M665" t="str">
        <f>IF($A665&lt;&gt;"",'Approved-In-Depth'!M665,"")</f>
        <v/>
      </c>
    </row>
    <row r="666" spans="1:13" x14ac:dyDescent="0.35">
      <c r="A666" s="4" t="str">
        <f>IF('Approved-In-Depth'!$A666&lt;&gt;"",'Approved-In-Depth'!A666,"")</f>
        <v/>
      </c>
      <c r="B666" t="str">
        <f>IF($O666&lt;&gt;"",$O666,IF($A666&lt;&gt;"",'Approved-In-Depth'!$B666+7,""))</f>
        <v/>
      </c>
      <c r="C666" t="str">
        <f>IF($A666&lt;&gt;"",'Approved-In-Depth'!C666,"")</f>
        <v/>
      </c>
      <c r="D666" t="str">
        <f>IF($A666&lt;&gt;"",'Approved-In-Depth'!D666,"")</f>
        <v/>
      </c>
      <c r="E666" t="str">
        <f>IF($A666&lt;&gt;"",'Approved-In-Depth'!E666,"")</f>
        <v/>
      </c>
      <c r="F666" t="str">
        <f>IF($A666&lt;&gt;"",'Approved-In-Depth'!F666,"")</f>
        <v/>
      </c>
      <c r="G666" t="str">
        <f>IF($A666&lt;&gt;"",'Approved-In-Depth'!G666,"")</f>
        <v/>
      </c>
      <c r="H666" s="4" t="str">
        <f>IF($A666&lt;&gt;"",'Approved-In-Depth'!H666,"")</f>
        <v/>
      </c>
      <c r="I666" t="str">
        <f>IF($A666&lt;&gt;"",'Approved-In-Depth'!I666,"")</f>
        <v/>
      </c>
      <c r="J666" t="str">
        <f>IF($A666&lt;&gt;"",'Approved-In-Depth'!J666,"")</f>
        <v/>
      </c>
      <c r="K666" t="str">
        <f>IF($A666&lt;&gt;"",'Approved-In-Depth'!K666,"")</f>
        <v/>
      </c>
      <c r="L666" s="4" t="str">
        <f>IF($A666&lt;&gt;"",'Approved-In-Depth'!L666,"")</f>
        <v/>
      </c>
      <c r="M666" t="str">
        <f>IF($A666&lt;&gt;"",'Approved-In-Depth'!M666,"")</f>
        <v/>
      </c>
    </row>
    <row r="667" spans="1:13" x14ac:dyDescent="0.35">
      <c r="A667" s="4" t="str">
        <f>IF('Approved-In-Depth'!$A667&lt;&gt;"",'Approved-In-Depth'!A667,"")</f>
        <v/>
      </c>
      <c r="B667" t="str">
        <f>IF($O667&lt;&gt;"",$O667,IF($A667&lt;&gt;"",'Approved-In-Depth'!$B667+7,""))</f>
        <v/>
      </c>
      <c r="C667" t="str">
        <f>IF($A667&lt;&gt;"",'Approved-In-Depth'!C667,"")</f>
        <v/>
      </c>
      <c r="D667" t="str">
        <f>IF($A667&lt;&gt;"",'Approved-In-Depth'!D667,"")</f>
        <v/>
      </c>
      <c r="E667" t="str">
        <f>IF($A667&lt;&gt;"",'Approved-In-Depth'!E667,"")</f>
        <v/>
      </c>
      <c r="F667" t="str">
        <f>IF($A667&lt;&gt;"",'Approved-In-Depth'!F667,"")</f>
        <v/>
      </c>
      <c r="G667" t="str">
        <f>IF($A667&lt;&gt;"",'Approved-In-Depth'!G667,"")</f>
        <v/>
      </c>
      <c r="H667" s="4" t="str">
        <f>IF($A667&lt;&gt;"",'Approved-In-Depth'!H667,"")</f>
        <v/>
      </c>
      <c r="I667" t="str">
        <f>IF($A667&lt;&gt;"",'Approved-In-Depth'!I667,"")</f>
        <v/>
      </c>
      <c r="J667" t="str">
        <f>IF($A667&lt;&gt;"",'Approved-In-Depth'!J667,"")</f>
        <v/>
      </c>
      <c r="K667" t="str">
        <f>IF($A667&lt;&gt;"",'Approved-In-Depth'!K667,"")</f>
        <v/>
      </c>
      <c r="L667" s="4" t="str">
        <f>IF($A667&lt;&gt;"",'Approved-In-Depth'!L667,"")</f>
        <v/>
      </c>
      <c r="M667" t="str">
        <f>IF($A667&lt;&gt;"",'Approved-In-Depth'!M667,"")</f>
        <v/>
      </c>
    </row>
    <row r="668" spans="1:13" x14ac:dyDescent="0.35">
      <c r="A668" s="4" t="str">
        <f>IF('Approved-In-Depth'!$A668&lt;&gt;"",'Approved-In-Depth'!A668,"")</f>
        <v/>
      </c>
      <c r="B668" t="str">
        <f>IF($O668&lt;&gt;"",$O668,IF($A668&lt;&gt;"",'Approved-In-Depth'!$B668+7,""))</f>
        <v/>
      </c>
      <c r="C668" t="str">
        <f>IF($A668&lt;&gt;"",'Approved-In-Depth'!C668,"")</f>
        <v/>
      </c>
      <c r="D668" t="str">
        <f>IF($A668&lt;&gt;"",'Approved-In-Depth'!D668,"")</f>
        <v/>
      </c>
      <c r="E668" t="str">
        <f>IF($A668&lt;&gt;"",'Approved-In-Depth'!E668,"")</f>
        <v/>
      </c>
      <c r="F668" t="str">
        <f>IF($A668&lt;&gt;"",'Approved-In-Depth'!F668,"")</f>
        <v/>
      </c>
      <c r="G668" t="str">
        <f>IF($A668&lt;&gt;"",'Approved-In-Depth'!G668,"")</f>
        <v/>
      </c>
      <c r="H668" s="4" t="str">
        <f>IF($A668&lt;&gt;"",'Approved-In-Depth'!H668,"")</f>
        <v/>
      </c>
      <c r="I668" t="str">
        <f>IF($A668&lt;&gt;"",'Approved-In-Depth'!I668,"")</f>
        <v/>
      </c>
      <c r="J668" t="str">
        <f>IF($A668&lt;&gt;"",'Approved-In-Depth'!J668,"")</f>
        <v/>
      </c>
      <c r="K668" t="str">
        <f>IF($A668&lt;&gt;"",'Approved-In-Depth'!K668,"")</f>
        <v/>
      </c>
      <c r="L668" s="4" t="str">
        <f>IF($A668&lt;&gt;"",'Approved-In-Depth'!L668,"")</f>
        <v/>
      </c>
      <c r="M668" t="str">
        <f>IF($A668&lt;&gt;"",'Approved-In-Depth'!M668,"")</f>
        <v/>
      </c>
    </row>
    <row r="669" spans="1:13" x14ac:dyDescent="0.35">
      <c r="A669" s="4" t="str">
        <f>IF('Approved-In-Depth'!$A669&lt;&gt;"",'Approved-In-Depth'!A669,"")</f>
        <v/>
      </c>
      <c r="B669" t="str">
        <f>IF($O669&lt;&gt;"",$O669,IF($A669&lt;&gt;"",'Approved-In-Depth'!$B669+7,""))</f>
        <v/>
      </c>
      <c r="C669" t="str">
        <f>IF($A669&lt;&gt;"",'Approved-In-Depth'!C669,"")</f>
        <v/>
      </c>
      <c r="D669" t="str">
        <f>IF($A669&lt;&gt;"",'Approved-In-Depth'!D669,"")</f>
        <v/>
      </c>
      <c r="E669" t="str">
        <f>IF($A669&lt;&gt;"",'Approved-In-Depth'!E669,"")</f>
        <v/>
      </c>
      <c r="F669" t="str">
        <f>IF($A669&lt;&gt;"",'Approved-In-Depth'!F669,"")</f>
        <v/>
      </c>
      <c r="G669" t="str">
        <f>IF($A669&lt;&gt;"",'Approved-In-Depth'!G669,"")</f>
        <v/>
      </c>
      <c r="H669" s="4" t="str">
        <f>IF($A669&lt;&gt;"",'Approved-In-Depth'!H669,"")</f>
        <v/>
      </c>
      <c r="I669" t="str">
        <f>IF($A669&lt;&gt;"",'Approved-In-Depth'!I669,"")</f>
        <v/>
      </c>
      <c r="J669" t="str">
        <f>IF($A669&lt;&gt;"",'Approved-In-Depth'!J669,"")</f>
        <v/>
      </c>
      <c r="K669" t="str">
        <f>IF($A669&lt;&gt;"",'Approved-In-Depth'!K669,"")</f>
        <v/>
      </c>
      <c r="L669" s="4" t="str">
        <f>IF($A669&lt;&gt;"",'Approved-In-Depth'!L669,"")</f>
        <v/>
      </c>
      <c r="M669" t="str">
        <f>IF($A669&lt;&gt;"",'Approved-In-Depth'!M669,"")</f>
        <v/>
      </c>
    </row>
    <row r="670" spans="1:13" x14ac:dyDescent="0.35">
      <c r="A670" s="4" t="str">
        <f>IF('Approved-In-Depth'!$A670&lt;&gt;"",'Approved-In-Depth'!A670,"")</f>
        <v/>
      </c>
      <c r="B670" t="str">
        <f>IF($O670&lt;&gt;"",$O670,IF($A670&lt;&gt;"",'Approved-In-Depth'!$B670+7,""))</f>
        <v/>
      </c>
      <c r="C670" t="str">
        <f>IF($A670&lt;&gt;"",'Approved-In-Depth'!C670,"")</f>
        <v/>
      </c>
      <c r="D670" t="str">
        <f>IF($A670&lt;&gt;"",'Approved-In-Depth'!D670,"")</f>
        <v/>
      </c>
      <c r="E670" t="str">
        <f>IF($A670&lt;&gt;"",'Approved-In-Depth'!E670,"")</f>
        <v/>
      </c>
      <c r="F670" t="str">
        <f>IF($A670&lt;&gt;"",'Approved-In-Depth'!F670,"")</f>
        <v/>
      </c>
      <c r="G670" t="str">
        <f>IF($A670&lt;&gt;"",'Approved-In-Depth'!G670,"")</f>
        <v/>
      </c>
      <c r="H670" s="4" t="str">
        <f>IF($A670&lt;&gt;"",'Approved-In-Depth'!H670,"")</f>
        <v/>
      </c>
      <c r="I670" t="str">
        <f>IF($A670&lt;&gt;"",'Approved-In-Depth'!I670,"")</f>
        <v/>
      </c>
      <c r="J670" t="str">
        <f>IF($A670&lt;&gt;"",'Approved-In-Depth'!J670,"")</f>
        <v/>
      </c>
      <c r="K670" t="str">
        <f>IF($A670&lt;&gt;"",'Approved-In-Depth'!K670,"")</f>
        <v/>
      </c>
      <c r="L670" s="4" t="str">
        <f>IF($A670&lt;&gt;"",'Approved-In-Depth'!L670,"")</f>
        <v/>
      </c>
      <c r="M670" t="str">
        <f>IF($A670&lt;&gt;"",'Approved-In-Depth'!M670,"")</f>
        <v/>
      </c>
    </row>
    <row r="671" spans="1:13" x14ac:dyDescent="0.35">
      <c r="A671" s="4" t="str">
        <f>IF('Approved-In-Depth'!$A671&lt;&gt;"",'Approved-In-Depth'!A671,"")</f>
        <v/>
      </c>
      <c r="B671" t="str">
        <f>IF($O671&lt;&gt;"",$O671,IF($A671&lt;&gt;"",'Approved-In-Depth'!$B671+7,""))</f>
        <v/>
      </c>
      <c r="C671" t="str">
        <f>IF($A671&lt;&gt;"",'Approved-In-Depth'!C671,"")</f>
        <v/>
      </c>
      <c r="D671" t="str">
        <f>IF($A671&lt;&gt;"",'Approved-In-Depth'!D671,"")</f>
        <v/>
      </c>
      <c r="E671" t="str">
        <f>IF($A671&lt;&gt;"",'Approved-In-Depth'!E671,"")</f>
        <v/>
      </c>
      <c r="F671" t="str">
        <f>IF($A671&lt;&gt;"",'Approved-In-Depth'!F671,"")</f>
        <v/>
      </c>
      <c r="G671" t="str">
        <f>IF($A671&lt;&gt;"",'Approved-In-Depth'!G671,"")</f>
        <v/>
      </c>
      <c r="H671" s="4" t="str">
        <f>IF($A671&lt;&gt;"",'Approved-In-Depth'!H671,"")</f>
        <v/>
      </c>
      <c r="I671" t="str">
        <f>IF($A671&lt;&gt;"",'Approved-In-Depth'!I671,"")</f>
        <v/>
      </c>
      <c r="J671" t="str">
        <f>IF($A671&lt;&gt;"",'Approved-In-Depth'!J671,"")</f>
        <v/>
      </c>
      <c r="K671" t="str">
        <f>IF($A671&lt;&gt;"",'Approved-In-Depth'!K671,"")</f>
        <v/>
      </c>
      <c r="L671" s="4" t="str">
        <f>IF($A671&lt;&gt;"",'Approved-In-Depth'!L671,"")</f>
        <v/>
      </c>
      <c r="M671" t="str">
        <f>IF($A671&lt;&gt;"",'Approved-In-Depth'!M671,"")</f>
        <v/>
      </c>
    </row>
    <row r="672" spans="1:13" x14ac:dyDescent="0.35">
      <c r="A672" s="4" t="str">
        <f>IF('Approved-In-Depth'!$A672&lt;&gt;"",'Approved-In-Depth'!A672,"")</f>
        <v/>
      </c>
      <c r="B672" t="str">
        <f>IF($O672&lt;&gt;"",$O672,IF($A672&lt;&gt;"",'Approved-In-Depth'!$B672+7,""))</f>
        <v/>
      </c>
      <c r="C672" t="str">
        <f>IF($A672&lt;&gt;"",'Approved-In-Depth'!C672,"")</f>
        <v/>
      </c>
      <c r="D672" t="str">
        <f>IF($A672&lt;&gt;"",'Approved-In-Depth'!D672,"")</f>
        <v/>
      </c>
      <c r="E672" t="str">
        <f>IF($A672&lt;&gt;"",'Approved-In-Depth'!E672,"")</f>
        <v/>
      </c>
      <c r="F672" t="str">
        <f>IF($A672&lt;&gt;"",'Approved-In-Depth'!F672,"")</f>
        <v/>
      </c>
      <c r="G672" t="str">
        <f>IF($A672&lt;&gt;"",'Approved-In-Depth'!G672,"")</f>
        <v/>
      </c>
      <c r="H672" s="4" t="str">
        <f>IF($A672&lt;&gt;"",'Approved-In-Depth'!H672,"")</f>
        <v/>
      </c>
      <c r="I672" t="str">
        <f>IF($A672&lt;&gt;"",'Approved-In-Depth'!I672,"")</f>
        <v/>
      </c>
      <c r="J672" t="str">
        <f>IF($A672&lt;&gt;"",'Approved-In-Depth'!J672,"")</f>
        <v/>
      </c>
      <c r="K672" t="str">
        <f>IF($A672&lt;&gt;"",'Approved-In-Depth'!K672,"")</f>
        <v/>
      </c>
      <c r="L672" s="4" t="str">
        <f>IF($A672&lt;&gt;"",'Approved-In-Depth'!L672,"")</f>
        <v/>
      </c>
      <c r="M672" t="str">
        <f>IF($A672&lt;&gt;"",'Approved-In-Depth'!M672,"")</f>
        <v/>
      </c>
    </row>
    <row r="673" spans="1:13" x14ac:dyDescent="0.35">
      <c r="A673" s="4" t="str">
        <f>IF('Approved-In-Depth'!$A673&lt;&gt;"",'Approved-In-Depth'!A673,"")</f>
        <v/>
      </c>
      <c r="B673" t="str">
        <f>IF($O673&lt;&gt;"",$O673,IF($A673&lt;&gt;"",'Approved-In-Depth'!$B673+7,""))</f>
        <v/>
      </c>
      <c r="C673" t="str">
        <f>IF($A673&lt;&gt;"",'Approved-In-Depth'!C673,"")</f>
        <v/>
      </c>
      <c r="D673" t="str">
        <f>IF($A673&lt;&gt;"",'Approved-In-Depth'!D673,"")</f>
        <v/>
      </c>
      <c r="E673" t="str">
        <f>IF($A673&lt;&gt;"",'Approved-In-Depth'!E673,"")</f>
        <v/>
      </c>
      <c r="F673" t="str">
        <f>IF($A673&lt;&gt;"",'Approved-In-Depth'!F673,"")</f>
        <v/>
      </c>
      <c r="G673" t="str">
        <f>IF($A673&lt;&gt;"",'Approved-In-Depth'!G673,"")</f>
        <v/>
      </c>
      <c r="H673" s="4" t="str">
        <f>IF($A673&lt;&gt;"",'Approved-In-Depth'!H673,"")</f>
        <v/>
      </c>
      <c r="I673" t="str">
        <f>IF($A673&lt;&gt;"",'Approved-In-Depth'!I673,"")</f>
        <v/>
      </c>
      <c r="J673" t="str">
        <f>IF($A673&lt;&gt;"",'Approved-In-Depth'!J673,"")</f>
        <v/>
      </c>
      <c r="K673" t="str">
        <f>IF($A673&lt;&gt;"",'Approved-In-Depth'!K673,"")</f>
        <v/>
      </c>
      <c r="L673" s="4" t="str">
        <f>IF($A673&lt;&gt;"",'Approved-In-Depth'!L673,"")</f>
        <v/>
      </c>
      <c r="M673" t="str">
        <f>IF($A673&lt;&gt;"",'Approved-In-Depth'!M673,"")</f>
        <v/>
      </c>
    </row>
    <row r="674" spans="1:13" x14ac:dyDescent="0.35">
      <c r="A674" s="4" t="str">
        <f>IF('Approved-In-Depth'!$A674&lt;&gt;"",'Approved-In-Depth'!A674,"")</f>
        <v/>
      </c>
      <c r="B674" t="str">
        <f>IF($O674&lt;&gt;"",$O674,IF($A674&lt;&gt;"",'Approved-In-Depth'!$B674+7,""))</f>
        <v/>
      </c>
      <c r="C674" t="str">
        <f>IF($A674&lt;&gt;"",'Approved-In-Depth'!C674,"")</f>
        <v/>
      </c>
      <c r="D674" t="str">
        <f>IF($A674&lt;&gt;"",'Approved-In-Depth'!D674,"")</f>
        <v/>
      </c>
      <c r="E674" t="str">
        <f>IF($A674&lt;&gt;"",'Approved-In-Depth'!E674,"")</f>
        <v/>
      </c>
      <c r="F674" t="str">
        <f>IF($A674&lt;&gt;"",'Approved-In-Depth'!F674,"")</f>
        <v/>
      </c>
      <c r="G674" t="str">
        <f>IF($A674&lt;&gt;"",'Approved-In-Depth'!G674,"")</f>
        <v/>
      </c>
      <c r="H674" s="4" t="str">
        <f>IF($A674&lt;&gt;"",'Approved-In-Depth'!H674,"")</f>
        <v/>
      </c>
      <c r="I674" t="str">
        <f>IF($A674&lt;&gt;"",'Approved-In-Depth'!I674,"")</f>
        <v/>
      </c>
      <c r="J674" t="str">
        <f>IF($A674&lt;&gt;"",'Approved-In-Depth'!J674,"")</f>
        <v/>
      </c>
      <c r="K674" t="str">
        <f>IF($A674&lt;&gt;"",'Approved-In-Depth'!K674,"")</f>
        <v/>
      </c>
      <c r="L674" s="4" t="str">
        <f>IF($A674&lt;&gt;"",'Approved-In-Depth'!L674,"")</f>
        <v/>
      </c>
      <c r="M674" t="str">
        <f>IF($A674&lt;&gt;"",'Approved-In-Depth'!M674,"")</f>
        <v/>
      </c>
    </row>
    <row r="675" spans="1:13" x14ac:dyDescent="0.35">
      <c r="A675" s="4" t="str">
        <f>IF('Approved-In-Depth'!$A675&lt;&gt;"",'Approved-In-Depth'!A675,"")</f>
        <v/>
      </c>
      <c r="B675" t="str">
        <f>IF($O675&lt;&gt;"",$O675,IF($A675&lt;&gt;"",'Approved-In-Depth'!$B675+7,""))</f>
        <v/>
      </c>
      <c r="C675" t="str">
        <f>IF($A675&lt;&gt;"",'Approved-In-Depth'!C675,"")</f>
        <v/>
      </c>
      <c r="D675" t="str">
        <f>IF($A675&lt;&gt;"",'Approved-In-Depth'!D675,"")</f>
        <v/>
      </c>
      <c r="E675" t="str">
        <f>IF($A675&lt;&gt;"",'Approved-In-Depth'!E675,"")</f>
        <v/>
      </c>
      <c r="F675" t="str">
        <f>IF($A675&lt;&gt;"",'Approved-In-Depth'!F675,"")</f>
        <v/>
      </c>
      <c r="G675" t="str">
        <f>IF($A675&lt;&gt;"",'Approved-In-Depth'!G675,"")</f>
        <v/>
      </c>
      <c r="H675" s="4" t="str">
        <f>IF($A675&lt;&gt;"",'Approved-In-Depth'!H675,"")</f>
        <v/>
      </c>
      <c r="I675" t="str">
        <f>IF($A675&lt;&gt;"",'Approved-In-Depth'!I675,"")</f>
        <v/>
      </c>
      <c r="J675" t="str">
        <f>IF($A675&lt;&gt;"",'Approved-In-Depth'!J675,"")</f>
        <v/>
      </c>
      <c r="K675" t="str">
        <f>IF($A675&lt;&gt;"",'Approved-In-Depth'!K675,"")</f>
        <v/>
      </c>
      <c r="L675" s="4" t="str">
        <f>IF($A675&lt;&gt;"",'Approved-In-Depth'!L675,"")</f>
        <v/>
      </c>
      <c r="M675" t="str">
        <f>IF($A675&lt;&gt;"",'Approved-In-Depth'!M675,"")</f>
        <v/>
      </c>
    </row>
    <row r="676" spans="1:13" x14ac:dyDescent="0.35">
      <c r="A676" s="4" t="str">
        <f>IF('Approved-In-Depth'!$A676&lt;&gt;"",'Approved-In-Depth'!A676,"")</f>
        <v/>
      </c>
      <c r="B676" t="str">
        <f>IF($O676&lt;&gt;"",$O676,IF($A676&lt;&gt;"",'Approved-In-Depth'!$B676+7,""))</f>
        <v/>
      </c>
      <c r="C676" t="str">
        <f>IF($A676&lt;&gt;"",'Approved-In-Depth'!C676,"")</f>
        <v/>
      </c>
      <c r="D676" t="str">
        <f>IF($A676&lt;&gt;"",'Approved-In-Depth'!D676,"")</f>
        <v/>
      </c>
      <c r="E676" t="str">
        <f>IF($A676&lt;&gt;"",'Approved-In-Depth'!E676,"")</f>
        <v/>
      </c>
      <c r="F676" t="str">
        <f>IF($A676&lt;&gt;"",'Approved-In-Depth'!F676,"")</f>
        <v/>
      </c>
      <c r="G676" t="str">
        <f>IF($A676&lt;&gt;"",'Approved-In-Depth'!G676,"")</f>
        <v/>
      </c>
      <c r="H676" s="4" t="str">
        <f>IF($A676&lt;&gt;"",'Approved-In-Depth'!H676,"")</f>
        <v/>
      </c>
      <c r="I676" t="str">
        <f>IF($A676&lt;&gt;"",'Approved-In-Depth'!I676,"")</f>
        <v/>
      </c>
      <c r="J676" t="str">
        <f>IF($A676&lt;&gt;"",'Approved-In-Depth'!J676,"")</f>
        <v/>
      </c>
      <c r="K676" t="str">
        <f>IF($A676&lt;&gt;"",'Approved-In-Depth'!K676,"")</f>
        <v/>
      </c>
      <c r="L676" s="4" t="str">
        <f>IF($A676&lt;&gt;"",'Approved-In-Depth'!L676,"")</f>
        <v/>
      </c>
      <c r="M676" t="str">
        <f>IF($A676&lt;&gt;"",'Approved-In-Depth'!M676,"")</f>
        <v/>
      </c>
    </row>
    <row r="677" spans="1:13" x14ac:dyDescent="0.35">
      <c r="A677" s="4" t="str">
        <f>IF('Approved-In-Depth'!$A677&lt;&gt;"",'Approved-In-Depth'!A677,"")</f>
        <v/>
      </c>
      <c r="B677" t="str">
        <f>IF($O677&lt;&gt;"",$O677,IF($A677&lt;&gt;"",'Approved-In-Depth'!$B677+7,""))</f>
        <v/>
      </c>
      <c r="C677" t="str">
        <f>IF($A677&lt;&gt;"",'Approved-In-Depth'!C677,"")</f>
        <v/>
      </c>
      <c r="D677" t="str">
        <f>IF($A677&lt;&gt;"",'Approved-In-Depth'!D677,"")</f>
        <v/>
      </c>
      <c r="E677" t="str">
        <f>IF($A677&lt;&gt;"",'Approved-In-Depth'!E677,"")</f>
        <v/>
      </c>
      <c r="F677" t="str">
        <f>IF($A677&lt;&gt;"",'Approved-In-Depth'!F677,"")</f>
        <v/>
      </c>
      <c r="G677" t="str">
        <f>IF($A677&lt;&gt;"",'Approved-In-Depth'!G677,"")</f>
        <v/>
      </c>
      <c r="H677" s="4" t="str">
        <f>IF($A677&lt;&gt;"",'Approved-In-Depth'!H677,"")</f>
        <v/>
      </c>
      <c r="I677" t="str">
        <f>IF($A677&lt;&gt;"",'Approved-In-Depth'!I677,"")</f>
        <v/>
      </c>
      <c r="J677" t="str">
        <f>IF($A677&lt;&gt;"",'Approved-In-Depth'!J677,"")</f>
        <v/>
      </c>
      <c r="K677" t="str">
        <f>IF($A677&lt;&gt;"",'Approved-In-Depth'!K677,"")</f>
        <v/>
      </c>
      <c r="L677" s="4" t="str">
        <f>IF($A677&lt;&gt;"",'Approved-In-Depth'!L677,"")</f>
        <v/>
      </c>
      <c r="M677" t="str">
        <f>IF($A677&lt;&gt;"",'Approved-In-Depth'!M677,"")</f>
        <v/>
      </c>
    </row>
    <row r="678" spans="1:13" x14ac:dyDescent="0.35">
      <c r="A678" s="4" t="str">
        <f>IF('Approved-In-Depth'!$A678&lt;&gt;"",'Approved-In-Depth'!A678,"")</f>
        <v/>
      </c>
      <c r="B678" t="str">
        <f>IF($O678&lt;&gt;"",$O678,IF($A678&lt;&gt;"",'Approved-In-Depth'!$B678+7,""))</f>
        <v/>
      </c>
      <c r="C678" t="str">
        <f>IF($A678&lt;&gt;"",'Approved-In-Depth'!C678,"")</f>
        <v/>
      </c>
      <c r="D678" t="str">
        <f>IF($A678&lt;&gt;"",'Approved-In-Depth'!D678,"")</f>
        <v/>
      </c>
      <c r="E678" t="str">
        <f>IF($A678&lt;&gt;"",'Approved-In-Depth'!E678,"")</f>
        <v/>
      </c>
      <c r="F678" t="str">
        <f>IF($A678&lt;&gt;"",'Approved-In-Depth'!F678,"")</f>
        <v/>
      </c>
      <c r="G678" t="str">
        <f>IF($A678&lt;&gt;"",'Approved-In-Depth'!G678,"")</f>
        <v/>
      </c>
      <c r="H678" s="4" t="str">
        <f>IF($A678&lt;&gt;"",'Approved-In-Depth'!H678,"")</f>
        <v/>
      </c>
      <c r="I678" t="str">
        <f>IF($A678&lt;&gt;"",'Approved-In-Depth'!I678,"")</f>
        <v/>
      </c>
      <c r="J678" t="str">
        <f>IF($A678&lt;&gt;"",'Approved-In-Depth'!J678,"")</f>
        <v/>
      </c>
      <c r="K678" t="str">
        <f>IF($A678&lt;&gt;"",'Approved-In-Depth'!K678,"")</f>
        <v/>
      </c>
      <c r="L678" s="4" t="str">
        <f>IF($A678&lt;&gt;"",'Approved-In-Depth'!L678,"")</f>
        <v/>
      </c>
      <c r="M678" t="str">
        <f>IF($A678&lt;&gt;"",'Approved-In-Depth'!M678,"")</f>
        <v/>
      </c>
    </row>
    <row r="679" spans="1:13" x14ac:dyDescent="0.35">
      <c r="A679" s="4" t="str">
        <f>IF('Approved-In-Depth'!$A679&lt;&gt;"",'Approved-In-Depth'!A679,"")</f>
        <v/>
      </c>
      <c r="B679" t="str">
        <f>IF($O679&lt;&gt;"",$O679,IF($A679&lt;&gt;"",'Approved-In-Depth'!$B679+7,""))</f>
        <v/>
      </c>
      <c r="C679" t="str">
        <f>IF($A679&lt;&gt;"",'Approved-In-Depth'!C679,"")</f>
        <v/>
      </c>
      <c r="D679" t="str">
        <f>IF($A679&lt;&gt;"",'Approved-In-Depth'!D679,"")</f>
        <v/>
      </c>
      <c r="E679" t="str">
        <f>IF($A679&lt;&gt;"",'Approved-In-Depth'!E679,"")</f>
        <v/>
      </c>
      <c r="F679" t="str">
        <f>IF($A679&lt;&gt;"",'Approved-In-Depth'!F679,"")</f>
        <v/>
      </c>
      <c r="G679" t="str">
        <f>IF($A679&lt;&gt;"",'Approved-In-Depth'!G679,"")</f>
        <v/>
      </c>
      <c r="H679" s="4" t="str">
        <f>IF($A679&lt;&gt;"",'Approved-In-Depth'!H679,"")</f>
        <v/>
      </c>
      <c r="I679" t="str">
        <f>IF($A679&lt;&gt;"",'Approved-In-Depth'!I679,"")</f>
        <v/>
      </c>
      <c r="J679" t="str">
        <f>IF($A679&lt;&gt;"",'Approved-In-Depth'!J679,"")</f>
        <v/>
      </c>
      <c r="K679" t="str">
        <f>IF($A679&lt;&gt;"",'Approved-In-Depth'!K679,"")</f>
        <v/>
      </c>
      <c r="L679" s="4" t="str">
        <f>IF($A679&lt;&gt;"",'Approved-In-Depth'!L679,"")</f>
        <v/>
      </c>
      <c r="M679" t="str">
        <f>IF($A679&lt;&gt;"",'Approved-In-Depth'!M679,"")</f>
        <v/>
      </c>
    </row>
    <row r="680" spans="1:13" x14ac:dyDescent="0.35">
      <c r="A680" s="4" t="str">
        <f>IF('Approved-In-Depth'!$A680&lt;&gt;"",'Approved-In-Depth'!A680,"")</f>
        <v/>
      </c>
      <c r="B680" t="str">
        <f>IF($O680&lt;&gt;"",$O680,IF($A680&lt;&gt;"",'Approved-In-Depth'!$B680+7,""))</f>
        <v/>
      </c>
      <c r="C680" t="str">
        <f>IF($A680&lt;&gt;"",'Approved-In-Depth'!C680,"")</f>
        <v/>
      </c>
      <c r="D680" t="str">
        <f>IF($A680&lt;&gt;"",'Approved-In-Depth'!D680,"")</f>
        <v/>
      </c>
      <c r="E680" t="str">
        <f>IF($A680&lt;&gt;"",'Approved-In-Depth'!E680,"")</f>
        <v/>
      </c>
      <c r="F680" t="str">
        <f>IF($A680&lt;&gt;"",'Approved-In-Depth'!F680,"")</f>
        <v/>
      </c>
      <c r="G680" t="str">
        <f>IF($A680&lt;&gt;"",'Approved-In-Depth'!G680,"")</f>
        <v/>
      </c>
      <c r="H680" s="4" t="str">
        <f>IF($A680&lt;&gt;"",'Approved-In-Depth'!H680,"")</f>
        <v/>
      </c>
      <c r="I680" t="str">
        <f>IF($A680&lt;&gt;"",'Approved-In-Depth'!I680,"")</f>
        <v/>
      </c>
      <c r="J680" t="str">
        <f>IF($A680&lt;&gt;"",'Approved-In-Depth'!J680,"")</f>
        <v/>
      </c>
      <c r="K680" t="str">
        <f>IF($A680&lt;&gt;"",'Approved-In-Depth'!K680,"")</f>
        <v/>
      </c>
      <c r="L680" s="4" t="str">
        <f>IF($A680&lt;&gt;"",'Approved-In-Depth'!L680,"")</f>
        <v/>
      </c>
      <c r="M680" t="str">
        <f>IF($A680&lt;&gt;"",'Approved-In-Depth'!M680,"")</f>
        <v/>
      </c>
    </row>
    <row r="681" spans="1:13" x14ac:dyDescent="0.35">
      <c r="A681" s="4" t="str">
        <f>IF('Approved-In-Depth'!$A681&lt;&gt;"",'Approved-In-Depth'!A681,"")</f>
        <v/>
      </c>
      <c r="B681" t="str">
        <f>IF($O681&lt;&gt;"",$O681,IF($A681&lt;&gt;"",'Approved-In-Depth'!$B681+7,""))</f>
        <v/>
      </c>
      <c r="C681" t="str">
        <f>IF($A681&lt;&gt;"",'Approved-In-Depth'!C681,"")</f>
        <v/>
      </c>
      <c r="D681" t="str">
        <f>IF($A681&lt;&gt;"",'Approved-In-Depth'!D681,"")</f>
        <v/>
      </c>
      <c r="E681" t="str">
        <f>IF($A681&lt;&gt;"",'Approved-In-Depth'!E681,"")</f>
        <v/>
      </c>
      <c r="F681" t="str">
        <f>IF($A681&lt;&gt;"",'Approved-In-Depth'!F681,"")</f>
        <v/>
      </c>
      <c r="G681" t="str">
        <f>IF($A681&lt;&gt;"",'Approved-In-Depth'!G681,"")</f>
        <v/>
      </c>
      <c r="H681" s="4" t="str">
        <f>IF($A681&lt;&gt;"",'Approved-In-Depth'!H681,"")</f>
        <v/>
      </c>
      <c r="I681" t="str">
        <f>IF($A681&lt;&gt;"",'Approved-In-Depth'!I681,"")</f>
        <v/>
      </c>
      <c r="J681" t="str">
        <f>IF($A681&lt;&gt;"",'Approved-In-Depth'!J681,"")</f>
        <v/>
      </c>
      <c r="K681" t="str">
        <f>IF($A681&lt;&gt;"",'Approved-In-Depth'!K681,"")</f>
        <v/>
      </c>
      <c r="L681" s="4" t="str">
        <f>IF($A681&lt;&gt;"",'Approved-In-Depth'!L681,"")</f>
        <v/>
      </c>
      <c r="M681" t="str">
        <f>IF($A681&lt;&gt;"",'Approved-In-Depth'!M681,"")</f>
        <v/>
      </c>
    </row>
    <row r="682" spans="1:13" x14ac:dyDescent="0.35">
      <c r="A682" s="4" t="str">
        <f>IF('Approved-In-Depth'!$A682&lt;&gt;"",'Approved-In-Depth'!A682,"")</f>
        <v/>
      </c>
      <c r="B682" t="str">
        <f>IF($O682&lt;&gt;"",$O682,IF($A682&lt;&gt;"",'Approved-In-Depth'!$B682+7,""))</f>
        <v/>
      </c>
      <c r="C682" t="str">
        <f>IF($A682&lt;&gt;"",'Approved-In-Depth'!C682,"")</f>
        <v/>
      </c>
      <c r="D682" t="str">
        <f>IF($A682&lt;&gt;"",'Approved-In-Depth'!D682,"")</f>
        <v/>
      </c>
      <c r="E682" t="str">
        <f>IF($A682&lt;&gt;"",'Approved-In-Depth'!E682,"")</f>
        <v/>
      </c>
      <c r="F682" t="str">
        <f>IF($A682&lt;&gt;"",'Approved-In-Depth'!F682,"")</f>
        <v/>
      </c>
      <c r="G682" t="str">
        <f>IF($A682&lt;&gt;"",'Approved-In-Depth'!G682,"")</f>
        <v/>
      </c>
      <c r="H682" s="4" t="str">
        <f>IF($A682&lt;&gt;"",'Approved-In-Depth'!H682,"")</f>
        <v/>
      </c>
      <c r="I682" t="str">
        <f>IF($A682&lt;&gt;"",'Approved-In-Depth'!I682,"")</f>
        <v/>
      </c>
      <c r="J682" t="str">
        <f>IF($A682&lt;&gt;"",'Approved-In-Depth'!J682,"")</f>
        <v/>
      </c>
      <c r="K682" t="str">
        <f>IF($A682&lt;&gt;"",'Approved-In-Depth'!K682,"")</f>
        <v/>
      </c>
      <c r="L682" s="4" t="str">
        <f>IF($A682&lt;&gt;"",'Approved-In-Depth'!L682,"")</f>
        <v/>
      </c>
      <c r="M682" t="str">
        <f>IF($A682&lt;&gt;"",'Approved-In-Depth'!M682,"")</f>
        <v/>
      </c>
    </row>
    <row r="683" spans="1:13" x14ac:dyDescent="0.35">
      <c r="A683" s="4" t="str">
        <f>IF('Approved-In-Depth'!$A683&lt;&gt;"",'Approved-In-Depth'!A683,"")</f>
        <v/>
      </c>
      <c r="B683" t="str">
        <f>IF($O683&lt;&gt;"",$O683,IF($A683&lt;&gt;"",'Approved-In-Depth'!$B683+7,""))</f>
        <v/>
      </c>
      <c r="C683" t="str">
        <f>IF($A683&lt;&gt;"",'Approved-In-Depth'!C683,"")</f>
        <v/>
      </c>
      <c r="D683" t="str">
        <f>IF($A683&lt;&gt;"",'Approved-In-Depth'!D683,"")</f>
        <v/>
      </c>
      <c r="E683" t="str">
        <f>IF($A683&lt;&gt;"",'Approved-In-Depth'!E683,"")</f>
        <v/>
      </c>
      <c r="F683" t="str">
        <f>IF($A683&lt;&gt;"",'Approved-In-Depth'!F683,"")</f>
        <v/>
      </c>
      <c r="G683" t="str">
        <f>IF($A683&lt;&gt;"",'Approved-In-Depth'!G683,"")</f>
        <v/>
      </c>
      <c r="H683" s="4" t="str">
        <f>IF($A683&lt;&gt;"",'Approved-In-Depth'!H683,"")</f>
        <v/>
      </c>
      <c r="I683" t="str">
        <f>IF($A683&lt;&gt;"",'Approved-In-Depth'!I683,"")</f>
        <v/>
      </c>
      <c r="J683" t="str">
        <f>IF($A683&lt;&gt;"",'Approved-In-Depth'!J683,"")</f>
        <v/>
      </c>
      <c r="K683" t="str">
        <f>IF($A683&lt;&gt;"",'Approved-In-Depth'!K683,"")</f>
        <v/>
      </c>
      <c r="L683" s="4" t="str">
        <f>IF($A683&lt;&gt;"",'Approved-In-Depth'!L683,"")</f>
        <v/>
      </c>
      <c r="M683" t="str">
        <f>IF($A683&lt;&gt;"",'Approved-In-Depth'!M683,"")</f>
        <v/>
      </c>
    </row>
    <row r="684" spans="1:13" x14ac:dyDescent="0.35">
      <c r="A684" s="4" t="str">
        <f>IF('Approved-In-Depth'!$A684&lt;&gt;"",'Approved-In-Depth'!A684,"")</f>
        <v/>
      </c>
      <c r="B684" t="str">
        <f>IF($O684&lt;&gt;"",$O684,IF($A684&lt;&gt;"",'Approved-In-Depth'!$B684+7,""))</f>
        <v/>
      </c>
      <c r="C684" t="str">
        <f>IF($A684&lt;&gt;"",'Approved-In-Depth'!C684,"")</f>
        <v/>
      </c>
      <c r="D684" t="str">
        <f>IF($A684&lt;&gt;"",'Approved-In-Depth'!D684,"")</f>
        <v/>
      </c>
      <c r="E684" t="str">
        <f>IF($A684&lt;&gt;"",'Approved-In-Depth'!E684,"")</f>
        <v/>
      </c>
      <c r="F684" t="str">
        <f>IF($A684&lt;&gt;"",'Approved-In-Depth'!F684,"")</f>
        <v/>
      </c>
      <c r="G684" t="str">
        <f>IF($A684&lt;&gt;"",'Approved-In-Depth'!G684,"")</f>
        <v/>
      </c>
      <c r="H684" s="4" t="str">
        <f>IF($A684&lt;&gt;"",'Approved-In-Depth'!H684,"")</f>
        <v/>
      </c>
      <c r="I684" t="str">
        <f>IF($A684&lt;&gt;"",'Approved-In-Depth'!I684,"")</f>
        <v/>
      </c>
      <c r="J684" t="str">
        <f>IF($A684&lt;&gt;"",'Approved-In-Depth'!J684,"")</f>
        <v/>
      </c>
      <c r="K684" t="str">
        <f>IF($A684&lt;&gt;"",'Approved-In-Depth'!K684,"")</f>
        <v/>
      </c>
      <c r="L684" s="4" t="str">
        <f>IF($A684&lt;&gt;"",'Approved-In-Depth'!L684,"")</f>
        <v/>
      </c>
      <c r="M684" t="str">
        <f>IF($A684&lt;&gt;"",'Approved-In-Depth'!M684,"")</f>
        <v/>
      </c>
    </row>
    <row r="685" spans="1:13" x14ac:dyDescent="0.35">
      <c r="A685" s="4" t="str">
        <f>IF('Approved-In-Depth'!$A685&lt;&gt;"",'Approved-In-Depth'!A685,"")</f>
        <v/>
      </c>
      <c r="B685" t="str">
        <f>IF($O685&lt;&gt;"",$O685,IF($A685&lt;&gt;"",'Approved-In-Depth'!$B685+7,""))</f>
        <v/>
      </c>
      <c r="C685" t="str">
        <f>IF($A685&lt;&gt;"",'Approved-In-Depth'!C685,"")</f>
        <v/>
      </c>
      <c r="D685" t="str">
        <f>IF($A685&lt;&gt;"",'Approved-In-Depth'!D685,"")</f>
        <v/>
      </c>
      <c r="E685" t="str">
        <f>IF($A685&lt;&gt;"",'Approved-In-Depth'!E685,"")</f>
        <v/>
      </c>
      <c r="F685" t="str">
        <f>IF($A685&lt;&gt;"",'Approved-In-Depth'!F685,"")</f>
        <v/>
      </c>
      <c r="G685" t="str">
        <f>IF($A685&lt;&gt;"",'Approved-In-Depth'!G685,"")</f>
        <v/>
      </c>
      <c r="H685" s="4" t="str">
        <f>IF($A685&lt;&gt;"",'Approved-In-Depth'!H685,"")</f>
        <v/>
      </c>
      <c r="I685" t="str">
        <f>IF($A685&lt;&gt;"",'Approved-In-Depth'!I685,"")</f>
        <v/>
      </c>
      <c r="J685" t="str">
        <f>IF($A685&lt;&gt;"",'Approved-In-Depth'!J685,"")</f>
        <v/>
      </c>
      <c r="K685" t="str">
        <f>IF($A685&lt;&gt;"",'Approved-In-Depth'!K685,"")</f>
        <v/>
      </c>
      <c r="L685" s="4" t="str">
        <f>IF($A685&lt;&gt;"",'Approved-In-Depth'!L685,"")</f>
        <v/>
      </c>
      <c r="M685" t="str">
        <f>IF($A685&lt;&gt;"",'Approved-In-Depth'!M685,"")</f>
        <v/>
      </c>
    </row>
    <row r="686" spans="1:13" x14ac:dyDescent="0.35">
      <c r="A686" s="4" t="str">
        <f>IF('Approved-In-Depth'!$A686&lt;&gt;"",'Approved-In-Depth'!A686,"")</f>
        <v/>
      </c>
      <c r="B686" t="str">
        <f>IF($O686&lt;&gt;"",$O686,IF($A686&lt;&gt;"",'Approved-In-Depth'!$B686+7,""))</f>
        <v/>
      </c>
      <c r="C686" t="str">
        <f>IF($A686&lt;&gt;"",'Approved-In-Depth'!C686,"")</f>
        <v/>
      </c>
      <c r="D686" t="str">
        <f>IF($A686&lt;&gt;"",'Approved-In-Depth'!D686,"")</f>
        <v/>
      </c>
      <c r="E686" t="str">
        <f>IF($A686&lt;&gt;"",'Approved-In-Depth'!E686,"")</f>
        <v/>
      </c>
      <c r="F686" t="str">
        <f>IF($A686&lt;&gt;"",'Approved-In-Depth'!F686,"")</f>
        <v/>
      </c>
      <c r="G686" t="str">
        <f>IF($A686&lt;&gt;"",'Approved-In-Depth'!G686,"")</f>
        <v/>
      </c>
      <c r="H686" s="4" t="str">
        <f>IF($A686&lt;&gt;"",'Approved-In-Depth'!H686,"")</f>
        <v/>
      </c>
      <c r="I686" t="str">
        <f>IF($A686&lt;&gt;"",'Approved-In-Depth'!I686,"")</f>
        <v/>
      </c>
      <c r="J686" t="str">
        <f>IF($A686&lt;&gt;"",'Approved-In-Depth'!J686,"")</f>
        <v/>
      </c>
      <c r="K686" t="str">
        <f>IF($A686&lt;&gt;"",'Approved-In-Depth'!K686,"")</f>
        <v/>
      </c>
      <c r="L686" s="4" t="str">
        <f>IF($A686&lt;&gt;"",'Approved-In-Depth'!L686,"")</f>
        <v/>
      </c>
      <c r="M686" t="str">
        <f>IF($A686&lt;&gt;"",'Approved-In-Depth'!M686,"")</f>
        <v/>
      </c>
    </row>
    <row r="687" spans="1:13" x14ac:dyDescent="0.35">
      <c r="A687" s="4" t="str">
        <f>IF('Approved-In-Depth'!$A687&lt;&gt;"",'Approved-In-Depth'!A687,"")</f>
        <v/>
      </c>
      <c r="B687" t="str">
        <f>IF($O687&lt;&gt;"",$O687,IF($A687&lt;&gt;"",'Approved-In-Depth'!$B687+7,""))</f>
        <v/>
      </c>
      <c r="C687" t="str">
        <f>IF($A687&lt;&gt;"",'Approved-In-Depth'!C687,"")</f>
        <v/>
      </c>
      <c r="D687" t="str">
        <f>IF($A687&lt;&gt;"",'Approved-In-Depth'!D687,"")</f>
        <v/>
      </c>
      <c r="E687" t="str">
        <f>IF($A687&lt;&gt;"",'Approved-In-Depth'!E687,"")</f>
        <v/>
      </c>
      <c r="F687" t="str">
        <f>IF($A687&lt;&gt;"",'Approved-In-Depth'!F687,"")</f>
        <v/>
      </c>
      <c r="G687" t="str">
        <f>IF($A687&lt;&gt;"",'Approved-In-Depth'!G687,"")</f>
        <v/>
      </c>
      <c r="H687" s="4" t="str">
        <f>IF($A687&lt;&gt;"",'Approved-In-Depth'!H687,"")</f>
        <v/>
      </c>
      <c r="I687" t="str">
        <f>IF($A687&lt;&gt;"",'Approved-In-Depth'!I687,"")</f>
        <v/>
      </c>
      <c r="J687" t="str">
        <f>IF($A687&lt;&gt;"",'Approved-In-Depth'!J687,"")</f>
        <v/>
      </c>
      <c r="K687" t="str">
        <f>IF($A687&lt;&gt;"",'Approved-In-Depth'!K687,"")</f>
        <v/>
      </c>
      <c r="L687" s="4" t="str">
        <f>IF($A687&lt;&gt;"",'Approved-In-Depth'!L687,"")</f>
        <v/>
      </c>
      <c r="M687" t="str">
        <f>IF($A687&lt;&gt;"",'Approved-In-Depth'!M687,"")</f>
        <v/>
      </c>
    </row>
    <row r="688" spans="1:13" x14ac:dyDescent="0.35">
      <c r="A688" s="4" t="str">
        <f>IF('Approved-In-Depth'!$A688&lt;&gt;"",'Approved-In-Depth'!A688,"")</f>
        <v/>
      </c>
      <c r="B688" t="str">
        <f>IF($O688&lt;&gt;"",$O688,IF($A688&lt;&gt;"",'Approved-In-Depth'!$B688+7,""))</f>
        <v/>
      </c>
      <c r="C688" t="str">
        <f>IF($A688&lt;&gt;"",'Approved-In-Depth'!C688,"")</f>
        <v/>
      </c>
      <c r="D688" t="str">
        <f>IF($A688&lt;&gt;"",'Approved-In-Depth'!D688,"")</f>
        <v/>
      </c>
      <c r="E688" t="str">
        <f>IF($A688&lt;&gt;"",'Approved-In-Depth'!E688,"")</f>
        <v/>
      </c>
      <c r="F688" t="str">
        <f>IF($A688&lt;&gt;"",'Approved-In-Depth'!F688,"")</f>
        <v/>
      </c>
      <c r="G688" t="str">
        <f>IF($A688&lt;&gt;"",'Approved-In-Depth'!G688,"")</f>
        <v/>
      </c>
      <c r="H688" s="4" t="str">
        <f>IF($A688&lt;&gt;"",'Approved-In-Depth'!H688,"")</f>
        <v/>
      </c>
      <c r="I688" t="str">
        <f>IF($A688&lt;&gt;"",'Approved-In-Depth'!I688,"")</f>
        <v/>
      </c>
      <c r="J688" t="str">
        <f>IF($A688&lt;&gt;"",'Approved-In-Depth'!J688,"")</f>
        <v/>
      </c>
      <c r="K688" t="str">
        <f>IF($A688&lt;&gt;"",'Approved-In-Depth'!K688,"")</f>
        <v/>
      </c>
      <c r="L688" s="4" t="str">
        <f>IF($A688&lt;&gt;"",'Approved-In-Depth'!L688,"")</f>
        <v/>
      </c>
      <c r="M688" t="str">
        <f>IF($A688&lt;&gt;"",'Approved-In-Depth'!M688,"")</f>
        <v/>
      </c>
    </row>
    <row r="689" spans="1:13" x14ac:dyDescent="0.35">
      <c r="A689" s="4" t="str">
        <f>IF('Approved-In-Depth'!$A689&lt;&gt;"",'Approved-In-Depth'!A689,"")</f>
        <v/>
      </c>
      <c r="B689" t="str">
        <f>IF($O689&lt;&gt;"",$O689,IF($A689&lt;&gt;"",'Approved-In-Depth'!$B689+7,""))</f>
        <v/>
      </c>
      <c r="C689" t="str">
        <f>IF($A689&lt;&gt;"",'Approved-In-Depth'!C689,"")</f>
        <v/>
      </c>
      <c r="D689" t="str">
        <f>IF($A689&lt;&gt;"",'Approved-In-Depth'!D689,"")</f>
        <v/>
      </c>
      <c r="E689" t="str">
        <f>IF($A689&lt;&gt;"",'Approved-In-Depth'!E689,"")</f>
        <v/>
      </c>
      <c r="F689" t="str">
        <f>IF($A689&lt;&gt;"",'Approved-In-Depth'!F689,"")</f>
        <v/>
      </c>
      <c r="G689" t="str">
        <f>IF($A689&lt;&gt;"",'Approved-In-Depth'!G689,"")</f>
        <v/>
      </c>
      <c r="H689" s="4" t="str">
        <f>IF($A689&lt;&gt;"",'Approved-In-Depth'!H689,"")</f>
        <v/>
      </c>
      <c r="I689" t="str">
        <f>IF($A689&lt;&gt;"",'Approved-In-Depth'!I689,"")</f>
        <v/>
      </c>
      <c r="J689" t="str">
        <f>IF($A689&lt;&gt;"",'Approved-In-Depth'!J689,"")</f>
        <v/>
      </c>
      <c r="K689" t="str">
        <f>IF($A689&lt;&gt;"",'Approved-In-Depth'!K689,"")</f>
        <v/>
      </c>
      <c r="L689" s="4" t="str">
        <f>IF($A689&lt;&gt;"",'Approved-In-Depth'!L689,"")</f>
        <v/>
      </c>
      <c r="M689" t="str">
        <f>IF($A689&lt;&gt;"",'Approved-In-Depth'!M689,"")</f>
        <v/>
      </c>
    </row>
    <row r="690" spans="1:13" x14ac:dyDescent="0.35">
      <c r="A690" s="4" t="str">
        <f>IF('Approved-In-Depth'!$A690&lt;&gt;"",'Approved-In-Depth'!A690,"")</f>
        <v/>
      </c>
      <c r="B690" t="str">
        <f>IF($O690&lt;&gt;"",$O690,IF($A690&lt;&gt;"",'Approved-In-Depth'!$B690+7,""))</f>
        <v/>
      </c>
      <c r="C690" t="str">
        <f>IF($A690&lt;&gt;"",'Approved-In-Depth'!C690,"")</f>
        <v/>
      </c>
      <c r="D690" t="str">
        <f>IF($A690&lt;&gt;"",'Approved-In-Depth'!D690,"")</f>
        <v/>
      </c>
      <c r="E690" t="str">
        <f>IF($A690&lt;&gt;"",'Approved-In-Depth'!E690,"")</f>
        <v/>
      </c>
      <c r="F690" t="str">
        <f>IF($A690&lt;&gt;"",'Approved-In-Depth'!F690,"")</f>
        <v/>
      </c>
      <c r="G690" t="str">
        <f>IF($A690&lt;&gt;"",'Approved-In-Depth'!G690,"")</f>
        <v/>
      </c>
      <c r="H690" s="4" t="str">
        <f>IF($A690&lt;&gt;"",'Approved-In-Depth'!H690,"")</f>
        <v/>
      </c>
      <c r="I690" t="str">
        <f>IF($A690&lt;&gt;"",'Approved-In-Depth'!I690,"")</f>
        <v/>
      </c>
      <c r="J690" t="str">
        <f>IF($A690&lt;&gt;"",'Approved-In-Depth'!J690,"")</f>
        <v/>
      </c>
      <c r="K690" t="str">
        <f>IF($A690&lt;&gt;"",'Approved-In-Depth'!K690,"")</f>
        <v/>
      </c>
      <c r="L690" s="4" t="str">
        <f>IF($A690&lt;&gt;"",'Approved-In-Depth'!L690,"")</f>
        <v/>
      </c>
      <c r="M690" t="str">
        <f>IF($A690&lt;&gt;"",'Approved-In-Depth'!M690,"")</f>
        <v/>
      </c>
    </row>
    <row r="691" spans="1:13" x14ac:dyDescent="0.35">
      <c r="A691" s="4" t="str">
        <f>IF('Approved-In-Depth'!$A691&lt;&gt;"",'Approved-In-Depth'!A691,"")</f>
        <v/>
      </c>
      <c r="B691" t="str">
        <f>IF($O691&lt;&gt;"",$O691,IF($A691&lt;&gt;"",'Approved-In-Depth'!$B691+7,""))</f>
        <v/>
      </c>
      <c r="C691" t="str">
        <f>IF($A691&lt;&gt;"",'Approved-In-Depth'!C691,"")</f>
        <v/>
      </c>
      <c r="D691" t="str">
        <f>IF($A691&lt;&gt;"",'Approved-In-Depth'!D691,"")</f>
        <v/>
      </c>
      <c r="E691" t="str">
        <f>IF($A691&lt;&gt;"",'Approved-In-Depth'!E691,"")</f>
        <v/>
      </c>
      <c r="F691" t="str">
        <f>IF($A691&lt;&gt;"",'Approved-In-Depth'!F691,"")</f>
        <v/>
      </c>
      <c r="G691" t="str">
        <f>IF($A691&lt;&gt;"",'Approved-In-Depth'!G691,"")</f>
        <v/>
      </c>
      <c r="H691" s="4" t="str">
        <f>IF($A691&lt;&gt;"",'Approved-In-Depth'!H691,"")</f>
        <v/>
      </c>
      <c r="I691" t="str">
        <f>IF($A691&lt;&gt;"",'Approved-In-Depth'!I691,"")</f>
        <v/>
      </c>
      <c r="J691" t="str">
        <f>IF($A691&lt;&gt;"",'Approved-In-Depth'!J691,"")</f>
        <v/>
      </c>
      <c r="K691" t="str">
        <f>IF($A691&lt;&gt;"",'Approved-In-Depth'!K691,"")</f>
        <v/>
      </c>
      <c r="L691" s="4" t="str">
        <f>IF($A691&lt;&gt;"",'Approved-In-Depth'!L691,"")</f>
        <v/>
      </c>
      <c r="M691" t="str">
        <f>IF($A691&lt;&gt;"",'Approved-In-Depth'!M691,"")</f>
        <v/>
      </c>
    </row>
    <row r="692" spans="1:13" x14ac:dyDescent="0.35">
      <c r="A692" s="4" t="str">
        <f>IF('Approved-In-Depth'!$A692&lt;&gt;"",'Approved-In-Depth'!A692,"")</f>
        <v/>
      </c>
      <c r="B692" t="str">
        <f>IF($O692&lt;&gt;"",$O692,IF($A692&lt;&gt;"",'Approved-In-Depth'!$B692+7,""))</f>
        <v/>
      </c>
      <c r="C692" t="str">
        <f>IF($A692&lt;&gt;"",'Approved-In-Depth'!C692,"")</f>
        <v/>
      </c>
      <c r="D692" t="str">
        <f>IF($A692&lt;&gt;"",'Approved-In-Depth'!D692,"")</f>
        <v/>
      </c>
      <c r="E692" t="str">
        <f>IF($A692&lt;&gt;"",'Approved-In-Depth'!E692,"")</f>
        <v/>
      </c>
      <c r="F692" t="str">
        <f>IF($A692&lt;&gt;"",'Approved-In-Depth'!F692,"")</f>
        <v/>
      </c>
      <c r="G692" t="str">
        <f>IF($A692&lt;&gt;"",'Approved-In-Depth'!G692,"")</f>
        <v/>
      </c>
      <c r="H692" s="4" t="str">
        <f>IF($A692&lt;&gt;"",'Approved-In-Depth'!H692,"")</f>
        <v/>
      </c>
      <c r="I692" t="str">
        <f>IF($A692&lt;&gt;"",'Approved-In-Depth'!I692,"")</f>
        <v/>
      </c>
      <c r="J692" t="str">
        <f>IF($A692&lt;&gt;"",'Approved-In-Depth'!J692,"")</f>
        <v/>
      </c>
      <c r="K692" t="str">
        <f>IF($A692&lt;&gt;"",'Approved-In-Depth'!K692,"")</f>
        <v/>
      </c>
      <c r="L692" s="4" t="str">
        <f>IF($A692&lt;&gt;"",'Approved-In-Depth'!L692,"")</f>
        <v/>
      </c>
      <c r="M692" t="str">
        <f>IF($A692&lt;&gt;"",'Approved-In-Depth'!M692,"")</f>
        <v/>
      </c>
    </row>
    <row r="693" spans="1:13" x14ac:dyDescent="0.35">
      <c r="A693" s="4" t="str">
        <f>IF('Approved-In-Depth'!$A693&lt;&gt;"",'Approved-In-Depth'!A693,"")</f>
        <v/>
      </c>
      <c r="B693" t="str">
        <f>IF($O693&lt;&gt;"",$O693,IF($A693&lt;&gt;"",'Approved-In-Depth'!$B693+7,""))</f>
        <v/>
      </c>
      <c r="C693" t="str">
        <f>IF($A693&lt;&gt;"",'Approved-In-Depth'!C693,"")</f>
        <v/>
      </c>
      <c r="D693" t="str">
        <f>IF($A693&lt;&gt;"",'Approved-In-Depth'!D693,"")</f>
        <v/>
      </c>
      <c r="E693" t="str">
        <f>IF($A693&lt;&gt;"",'Approved-In-Depth'!E693,"")</f>
        <v/>
      </c>
      <c r="F693" t="str">
        <f>IF($A693&lt;&gt;"",'Approved-In-Depth'!F693,"")</f>
        <v/>
      </c>
      <c r="G693" t="str">
        <f>IF($A693&lt;&gt;"",'Approved-In-Depth'!G693,"")</f>
        <v/>
      </c>
      <c r="H693" s="4" t="str">
        <f>IF($A693&lt;&gt;"",'Approved-In-Depth'!H693,"")</f>
        <v/>
      </c>
      <c r="I693" t="str">
        <f>IF($A693&lt;&gt;"",'Approved-In-Depth'!I693,"")</f>
        <v/>
      </c>
      <c r="J693" t="str">
        <f>IF($A693&lt;&gt;"",'Approved-In-Depth'!J693,"")</f>
        <v/>
      </c>
      <c r="K693" t="str">
        <f>IF($A693&lt;&gt;"",'Approved-In-Depth'!K693,"")</f>
        <v/>
      </c>
      <c r="L693" s="4" t="str">
        <f>IF($A693&lt;&gt;"",'Approved-In-Depth'!L693,"")</f>
        <v/>
      </c>
      <c r="M693" t="str">
        <f>IF($A693&lt;&gt;"",'Approved-In-Depth'!M693,"")</f>
        <v/>
      </c>
    </row>
    <row r="694" spans="1:13" x14ac:dyDescent="0.35">
      <c r="A694" s="4" t="str">
        <f>IF('Approved-In-Depth'!$A694&lt;&gt;"",'Approved-In-Depth'!A694,"")</f>
        <v/>
      </c>
      <c r="B694" t="str">
        <f>IF($O694&lt;&gt;"",$O694,IF($A694&lt;&gt;"",'Approved-In-Depth'!$B694+7,""))</f>
        <v/>
      </c>
      <c r="C694" t="str">
        <f>IF($A694&lt;&gt;"",'Approved-In-Depth'!C694,"")</f>
        <v/>
      </c>
      <c r="D694" t="str">
        <f>IF($A694&lt;&gt;"",'Approved-In-Depth'!D694,"")</f>
        <v/>
      </c>
      <c r="E694" t="str">
        <f>IF($A694&lt;&gt;"",'Approved-In-Depth'!E694,"")</f>
        <v/>
      </c>
      <c r="F694" t="str">
        <f>IF($A694&lt;&gt;"",'Approved-In-Depth'!F694,"")</f>
        <v/>
      </c>
      <c r="G694" t="str">
        <f>IF($A694&lt;&gt;"",'Approved-In-Depth'!G694,"")</f>
        <v/>
      </c>
      <c r="H694" s="4" t="str">
        <f>IF($A694&lt;&gt;"",'Approved-In-Depth'!H694,"")</f>
        <v/>
      </c>
      <c r="I694" t="str">
        <f>IF($A694&lt;&gt;"",'Approved-In-Depth'!I694,"")</f>
        <v/>
      </c>
      <c r="J694" t="str">
        <f>IF($A694&lt;&gt;"",'Approved-In-Depth'!J694,"")</f>
        <v/>
      </c>
      <c r="K694" t="str">
        <f>IF($A694&lt;&gt;"",'Approved-In-Depth'!K694,"")</f>
        <v/>
      </c>
      <c r="L694" s="4" t="str">
        <f>IF($A694&lt;&gt;"",'Approved-In-Depth'!L694,"")</f>
        <v/>
      </c>
      <c r="M694" t="str">
        <f>IF($A694&lt;&gt;"",'Approved-In-Depth'!M694,"")</f>
        <v/>
      </c>
    </row>
    <row r="695" spans="1:13" x14ac:dyDescent="0.35">
      <c r="A695" s="4" t="str">
        <f>IF('Approved-In-Depth'!$A695&lt;&gt;"",'Approved-In-Depth'!A695,"")</f>
        <v/>
      </c>
      <c r="B695" t="str">
        <f>IF($O695&lt;&gt;"",$O695,IF($A695&lt;&gt;"",'Approved-In-Depth'!$B695+7,""))</f>
        <v/>
      </c>
      <c r="C695" t="str">
        <f>IF($A695&lt;&gt;"",'Approved-In-Depth'!C695,"")</f>
        <v/>
      </c>
      <c r="D695" t="str">
        <f>IF($A695&lt;&gt;"",'Approved-In-Depth'!D695,"")</f>
        <v/>
      </c>
      <c r="E695" t="str">
        <f>IF($A695&lt;&gt;"",'Approved-In-Depth'!E695,"")</f>
        <v/>
      </c>
      <c r="F695" t="str">
        <f>IF($A695&lt;&gt;"",'Approved-In-Depth'!F695,"")</f>
        <v/>
      </c>
      <c r="G695" t="str">
        <f>IF($A695&lt;&gt;"",'Approved-In-Depth'!G695,"")</f>
        <v/>
      </c>
      <c r="H695" s="4" t="str">
        <f>IF($A695&lt;&gt;"",'Approved-In-Depth'!H695,"")</f>
        <v/>
      </c>
      <c r="I695" t="str">
        <f>IF($A695&lt;&gt;"",'Approved-In-Depth'!I695,"")</f>
        <v/>
      </c>
      <c r="J695" t="str">
        <f>IF($A695&lt;&gt;"",'Approved-In-Depth'!J695,"")</f>
        <v/>
      </c>
      <c r="K695" t="str">
        <f>IF($A695&lt;&gt;"",'Approved-In-Depth'!K695,"")</f>
        <v/>
      </c>
      <c r="L695" s="4" t="str">
        <f>IF($A695&lt;&gt;"",'Approved-In-Depth'!L695,"")</f>
        <v/>
      </c>
      <c r="M695" t="str">
        <f>IF($A695&lt;&gt;"",'Approved-In-Depth'!M695,"")</f>
        <v/>
      </c>
    </row>
    <row r="696" spans="1:13" x14ac:dyDescent="0.35">
      <c r="A696" s="4" t="str">
        <f>IF('Approved-In-Depth'!$A696&lt;&gt;"",'Approved-In-Depth'!A696,"")</f>
        <v/>
      </c>
      <c r="B696" t="str">
        <f>IF($O696&lt;&gt;"",$O696,IF($A696&lt;&gt;"",'Approved-In-Depth'!$B696+7,""))</f>
        <v/>
      </c>
      <c r="C696" t="str">
        <f>IF($A696&lt;&gt;"",'Approved-In-Depth'!C696,"")</f>
        <v/>
      </c>
      <c r="D696" t="str">
        <f>IF($A696&lt;&gt;"",'Approved-In-Depth'!D696,"")</f>
        <v/>
      </c>
      <c r="E696" t="str">
        <f>IF($A696&lt;&gt;"",'Approved-In-Depth'!E696,"")</f>
        <v/>
      </c>
      <c r="F696" t="str">
        <f>IF($A696&lt;&gt;"",'Approved-In-Depth'!F696,"")</f>
        <v/>
      </c>
      <c r="G696" t="str">
        <f>IF($A696&lt;&gt;"",'Approved-In-Depth'!G696,"")</f>
        <v/>
      </c>
      <c r="H696" s="4" t="str">
        <f>IF($A696&lt;&gt;"",'Approved-In-Depth'!H696,"")</f>
        <v/>
      </c>
      <c r="I696" t="str">
        <f>IF($A696&lt;&gt;"",'Approved-In-Depth'!I696,"")</f>
        <v/>
      </c>
      <c r="J696" t="str">
        <f>IF($A696&lt;&gt;"",'Approved-In-Depth'!J696,"")</f>
        <v/>
      </c>
      <c r="K696" t="str">
        <f>IF($A696&lt;&gt;"",'Approved-In-Depth'!K696,"")</f>
        <v/>
      </c>
      <c r="L696" s="4" t="str">
        <f>IF($A696&lt;&gt;"",'Approved-In-Depth'!L696,"")</f>
        <v/>
      </c>
      <c r="M696" t="str">
        <f>IF($A696&lt;&gt;"",'Approved-In-Depth'!M696,"")</f>
        <v/>
      </c>
    </row>
    <row r="697" spans="1:13" x14ac:dyDescent="0.35">
      <c r="A697" s="4" t="str">
        <f>IF('Approved-In-Depth'!$A697&lt;&gt;"",'Approved-In-Depth'!A697,"")</f>
        <v/>
      </c>
      <c r="B697" t="str">
        <f>IF($O697&lt;&gt;"",$O697,IF($A697&lt;&gt;"",'Approved-In-Depth'!$B697+7,""))</f>
        <v/>
      </c>
      <c r="C697" t="str">
        <f>IF($A697&lt;&gt;"",'Approved-In-Depth'!C697,"")</f>
        <v/>
      </c>
      <c r="D697" t="str">
        <f>IF($A697&lt;&gt;"",'Approved-In-Depth'!D697,"")</f>
        <v/>
      </c>
      <c r="E697" t="str">
        <f>IF($A697&lt;&gt;"",'Approved-In-Depth'!E697,"")</f>
        <v/>
      </c>
      <c r="F697" t="str">
        <f>IF($A697&lt;&gt;"",'Approved-In-Depth'!F697,"")</f>
        <v/>
      </c>
      <c r="G697" t="str">
        <f>IF($A697&lt;&gt;"",'Approved-In-Depth'!G697,"")</f>
        <v/>
      </c>
      <c r="H697" s="4" t="str">
        <f>IF($A697&lt;&gt;"",'Approved-In-Depth'!H697,"")</f>
        <v/>
      </c>
      <c r="I697" t="str">
        <f>IF($A697&lt;&gt;"",'Approved-In-Depth'!I697,"")</f>
        <v/>
      </c>
      <c r="J697" t="str">
        <f>IF($A697&lt;&gt;"",'Approved-In-Depth'!J697,"")</f>
        <v/>
      </c>
      <c r="K697" t="str">
        <f>IF($A697&lt;&gt;"",'Approved-In-Depth'!K697,"")</f>
        <v/>
      </c>
      <c r="L697" s="4" t="str">
        <f>IF($A697&lt;&gt;"",'Approved-In-Depth'!L697,"")</f>
        <v/>
      </c>
      <c r="M697" t="str">
        <f>IF($A697&lt;&gt;"",'Approved-In-Depth'!M697,"")</f>
        <v/>
      </c>
    </row>
    <row r="698" spans="1:13" x14ac:dyDescent="0.35">
      <c r="A698" s="4" t="str">
        <f>IF('Approved-In-Depth'!$A698&lt;&gt;"",'Approved-In-Depth'!A698,"")</f>
        <v/>
      </c>
      <c r="B698" t="str">
        <f>IF($O698&lt;&gt;"",$O698,IF($A698&lt;&gt;"",'Approved-In-Depth'!$B698+7,""))</f>
        <v/>
      </c>
      <c r="C698" t="str">
        <f>IF($A698&lt;&gt;"",'Approved-In-Depth'!C698,"")</f>
        <v/>
      </c>
      <c r="D698" t="str">
        <f>IF($A698&lt;&gt;"",'Approved-In-Depth'!D698,"")</f>
        <v/>
      </c>
      <c r="E698" t="str">
        <f>IF($A698&lt;&gt;"",'Approved-In-Depth'!E698,"")</f>
        <v/>
      </c>
      <c r="F698" t="str">
        <f>IF($A698&lt;&gt;"",'Approved-In-Depth'!F698,"")</f>
        <v/>
      </c>
      <c r="G698" t="str">
        <f>IF($A698&lt;&gt;"",'Approved-In-Depth'!G698,"")</f>
        <v/>
      </c>
      <c r="H698" s="4" t="str">
        <f>IF($A698&lt;&gt;"",'Approved-In-Depth'!H698,"")</f>
        <v/>
      </c>
      <c r="I698" t="str">
        <f>IF($A698&lt;&gt;"",'Approved-In-Depth'!I698,"")</f>
        <v/>
      </c>
      <c r="J698" t="str">
        <f>IF($A698&lt;&gt;"",'Approved-In-Depth'!J698,"")</f>
        <v/>
      </c>
      <c r="K698" t="str">
        <f>IF($A698&lt;&gt;"",'Approved-In-Depth'!K698,"")</f>
        <v/>
      </c>
      <c r="L698" s="4" t="str">
        <f>IF($A698&lt;&gt;"",'Approved-In-Depth'!L698,"")</f>
        <v/>
      </c>
      <c r="M698" t="str">
        <f>IF($A698&lt;&gt;"",'Approved-In-Depth'!M698,"")</f>
        <v/>
      </c>
    </row>
    <row r="699" spans="1:13" x14ac:dyDescent="0.35">
      <c r="A699" s="4" t="str">
        <f>IF('Approved-In-Depth'!$A699&lt;&gt;"",'Approved-In-Depth'!A699,"")</f>
        <v/>
      </c>
      <c r="B699" t="str">
        <f>IF($O699&lt;&gt;"",$O699,IF($A699&lt;&gt;"",'Approved-In-Depth'!$B699+7,""))</f>
        <v/>
      </c>
      <c r="C699" t="str">
        <f>IF($A699&lt;&gt;"",'Approved-In-Depth'!C699,"")</f>
        <v/>
      </c>
      <c r="D699" t="str">
        <f>IF($A699&lt;&gt;"",'Approved-In-Depth'!D699,"")</f>
        <v/>
      </c>
      <c r="E699" t="str">
        <f>IF($A699&lt;&gt;"",'Approved-In-Depth'!E699,"")</f>
        <v/>
      </c>
      <c r="F699" t="str">
        <f>IF($A699&lt;&gt;"",'Approved-In-Depth'!F699,"")</f>
        <v/>
      </c>
      <c r="G699" t="str">
        <f>IF($A699&lt;&gt;"",'Approved-In-Depth'!G699,"")</f>
        <v/>
      </c>
      <c r="H699" s="4" t="str">
        <f>IF($A699&lt;&gt;"",'Approved-In-Depth'!H699,"")</f>
        <v/>
      </c>
      <c r="I699" t="str">
        <f>IF($A699&lt;&gt;"",'Approved-In-Depth'!I699,"")</f>
        <v/>
      </c>
      <c r="J699" t="str">
        <f>IF($A699&lt;&gt;"",'Approved-In-Depth'!J699,"")</f>
        <v/>
      </c>
      <c r="K699" t="str">
        <f>IF($A699&lt;&gt;"",'Approved-In-Depth'!K699,"")</f>
        <v/>
      </c>
      <c r="L699" s="4" t="str">
        <f>IF($A699&lt;&gt;"",'Approved-In-Depth'!L699,"")</f>
        <v/>
      </c>
      <c r="M699" t="str">
        <f>IF($A699&lt;&gt;"",'Approved-In-Depth'!M699,"")</f>
        <v/>
      </c>
    </row>
    <row r="700" spans="1:13" x14ac:dyDescent="0.35">
      <c r="A700" s="4" t="str">
        <f>IF('Approved-In-Depth'!$A700&lt;&gt;"",'Approved-In-Depth'!A700,"")</f>
        <v/>
      </c>
      <c r="B700" t="str">
        <f>IF($O700&lt;&gt;"",$O700,IF($A700&lt;&gt;"",'Approved-In-Depth'!$B700+7,""))</f>
        <v/>
      </c>
      <c r="C700" t="str">
        <f>IF($A700&lt;&gt;"",'Approved-In-Depth'!C700,"")</f>
        <v/>
      </c>
      <c r="D700" t="str">
        <f>IF($A700&lt;&gt;"",'Approved-In-Depth'!D700,"")</f>
        <v/>
      </c>
      <c r="E700" t="str">
        <f>IF($A700&lt;&gt;"",'Approved-In-Depth'!E700,"")</f>
        <v/>
      </c>
      <c r="F700" t="str">
        <f>IF($A700&lt;&gt;"",'Approved-In-Depth'!F700,"")</f>
        <v/>
      </c>
      <c r="G700" t="str">
        <f>IF($A700&lt;&gt;"",'Approved-In-Depth'!G700,"")</f>
        <v/>
      </c>
      <c r="H700" s="4" t="str">
        <f>IF($A700&lt;&gt;"",'Approved-In-Depth'!H700,"")</f>
        <v/>
      </c>
      <c r="I700" t="str">
        <f>IF($A700&lt;&gt;"",'Approved-In-Depth'!I700,"")</f>
        <v/>
      </c>
      <c r="J700" t="str">
        <f>IF($A700&lt;&gt;"",'Approved-In-Depth'!J700,"")</f>
        <v/>
      </c>
      <c r="K700" t="str">
        <f>IF($A700&lt;&gt;"",'Approved-In-Depth'!K700,"")</f>
        <v/>
      </c>
      <c r="L700" s="4" t="str">
        <f>IF($A700&lt;&gt;"",'Approved-In-Depth'!L700,"")</f>
        <v/>
      </c>
      <c r="M700" t="str">
        <f>IF($A700&lt;&gt;"",'Approved-In-Depth'!M700,"")</f>
        <v/>
      </c>
    </row>
    <row r="701" spans="1:13" x14ac:dyDescent="0.35">
      <c r="A701" s="4" t="str">
        <f>IF('Approved-In-Depth'!$A701&lt;&gt;"",'Approved-In-Depth'!A701,"")</f>
        <v/>
      </c>
      <c r="B701" t="str">
        <f>IF($O701&lt;&gt;"",$O701,IF($A701&lt;&gt;"",'Approved-In-Depth'!$B701+7,""))</f>
        <v/>
      </c>
      <c r="C701" t="str">
        <f>IF($A701&lt;&gt;"",'Approved-In-Depth'!C701,"")</f>
        <v/>
      </c>
      <c r="D701" t="str">
        <f>IF($A701&lt;&gt;"",'Approved-In-Depth'!D701,"")</f>
        <v/>
      </c>
      <c r="E701" t="str">
        <f>IF($A701&lt;&gt;"",'Approved-In-Depth'!E701,"")</f>
        <v/>
      </c>
      <c r="F701" t="str">
        <f>IF($A701&lt;&gt;"",'Approved-In-Depth'!F701,"")</f>
        <v/>
      </c>
      <c r="G701" t="str">
        <f>IF($A701&lt;&gt;"",'Approved-In-Depth'!G701,"")</f>
        <v/>
      </c>
      <c r="H701" s="4" t="str">
        <f>IF($A701&lt;&gt;"",'Approved-In-Depth'!H701,"")</f>
        <v/>
      </c>
      <c r="I701" t="str">
        <f>IF($A701&lt;&gt;"",'Approved-In-Depth'!I701,"")</f>
        <v/>
      </c>
      <c r="J701" t="str">
        <f>IF($A701&lt;&gt;"",'Approved-In-Depth'!J701,"")</f>
        <v/>
      </c>
      <c r="K701" t="str">
        <f>IF($A701&lt;&gt;"",'Approved-In-Depth'!K701,"")</f>
        <v/>
      </c>
      <c r="L701" s="4" t="str">
        <f>IF($A701&lt;&gt;"",'Approved-In-Depth'!L701,"")</f>
        <v/>
      </c>
      <c r="M701" t="str">
        <f>IF($A701&lt;&gt;"",'Approved-In-Depth'!M701,"")</f>
        <v/>
      </c>
    </row>
    <row r="702" spans="1:13" x14ac:dyDescent="0.35">
      <c r="A702" s="4" t="str">
        <f>IF('Approved-In-Depth'!$A702&lt;&gt;"",'Approved-In-Depth'!A702,"")</f>
        <v/>
      </c>
      <c r="B702" t="str">
        <f>IF($O702&lt;&gt;"",$O702,IF($A702&lt;&gt;"",'Approved-In-Depth'!$B702+7,""))</f>
        <v/>
      </c>
      <c r="C702" t="str">
        <f>IF($A702&lt;&gt;"",'Approved-In-Depth'!C702,"")</f>
        <v/>
      </c>
      <c r="D702" t="str">
        <f>IF($A702&lt;&gt;"",'Approved-In-Depth'!D702,"")</f>
        <v/>
      </c>
      <c r="E702" t="str">
        <f>IF($A702&lt;&gt;"",'Approved-In-Depth'!E702,"")</f>
        <v/>
      </c>
      <c r="F702" t="str">
        <f>IF($A702&lt;&gt;"",'Approved-In-Depth'!F702,"")</f>
        <v/>
      </c>
      <c r="G702" t="str">
        <f>IF($A702&lt;&gt;"",'Approved-In-Depth'!G702,"")</f>
        <v/>
      </c>
      <c r="H702" s="4" t="str">
        <f>IF($A702&lt;&gt;"",'Approved-In-Depth'!H702,"")</f>
        <v/>
      </c>
      <c r="I702" t="str">
        <f>IF($A702&lt;&gt;"",'Approved-In-Depth'!I702,"")</f>
        <v/>
      </c>
      <c r="J702" t="str">
        <f>IF($A702&lt;&gt;"",'Approved-In-Depth'!J702,"")</f>
        <v/>
      </c>
      <c r="K702" t="str">
        <f>IF($A702&lt;&gt;"",'Approved-In-Depth'!K702,"")</f>
        <v/>
      </c>
      <c r="L702" s="4" t="str">
        <f>IF($A702&lt;&gt;"",'Approved-In-Depth'!L702,"")</f>
        <v/>
      </c>
      <c r="M702" t="str">
        <f>IF($A702&lt;&gt;"",'Approved-In-Depth'!M702,"")</f>
        <v/>
      </c>
    </row>
    <row r="703" spans="1:13" x14ac:dyDescent="0.35">
      <c r="A703" s="4" t="str">
        <f>IF('Approved-In-Depth'!$A703&lt;&gt;"",'Approved-In-Depth'!A703,"")</f>
        <v/>
      </c>
      <c r="B703" t="str">
        <f>IF($O703&lt;&gt;"",$O703,IF($A703&lt;&gt;"",'Approved-In-Depth'!$B703+7,""))</f>
        <v/>
      </c>
      <c r="C703" t="str">
        <f>IF($A703&lt;&gt;"",'Approved-In-Depth'!C703,"")</f>
        <v/>
      </c>
      <c r="D703" t="str">
        <f>IF($A703&lt;&gt;"",'Approved-In-Depth'!D703,"")</f>
        <v/>
      </c>
      <c r="E703" t="str">
        <f>IF($A703&lt;&gt;"",'Approved-In-Depth'!E703,"")</f>
        <v/>
      </c>
      <c r="F703" t="str">
        <f>IF($A703&lt;&gt;"",'Approved-In-Depth'!F703,"")</f>
        <v/>
      </c>
      <c r="G703" t="str">
        <f>IF($A703&lt;&gt;"",'Approved-In-Depth'!G703,"")</f>
        <v/>
      </c>
      <c r="H703" s="4" t="str">
        <f>IF($A703&lt;&gt;"",'Approved-In-Depth'!H703,"")</f>
        <v/>
      </c>
      <c r="I703" t="str">
        <f>IF($A703&lt;&gt;"",'Approved-In-Depth'!I703,"")</f>
        <v/>
      </c>
      <c r="J703" t="str">
        <f>IF($A703&lt;&gt;"",'Approved-In-Depth'!J703,"")</f>
        <v/>
      </c>
      <c r="K703" t="str">
        <f>IF($A703&lt;&gt;"",'Approved-In-Depth'!K703,"")</f>
        <v/>
      </c>
      <c r="L703" s="4" t="str">
        <f>IF($A703&lt;&gt;"",'Approved-In-Depth'!L703,"")</f>
        <v/>
      </c>
      <c r="M703" t="str">
        <f>IF($A703&lt;&gt;"",'Approved-In-Depth'!M703,"")</f>
        <v/>
      </c>
    </row>
    <row r="704" spans="1:13" x14ac:dyDescent="0.35">
      <c r="A704" s="4" t="str">
        <f>IF('Approved-In-Depth'!$A704&lt;&gt;"",'Approved-In-Depth'!A704,"")</f>
        <v/>
      </c>
      <c r="B704" t="str">
        <f>IF($O704&lt;&gt;"",$O704,IF($A704&lt;&gt;"",'Approved-In-Depth'!$B704+7,""))</f>
        <v/>
      </c>
      <c r="C704" t="str">
        <f>IF($A704&lt;&gt;"",'Approved-In-Depth'!C704,"")</f>
        <v/>
      </c>
      <c r="D704" t="str">
        <f>IF($A704&lt;&gt;"",'Approved-In-Depth'!D704,"")</f>
        <v/>
      </c>
      <c r="E704" t="str">
        <f>IF($A704&lt;&gt;"",'Approved-In-Depth'!E704,"")</f>
        <v/>
      </c>
      <c r="F704" t="str">
        <f>IF($A704&lt;&gt;"",'Approved-In-Depth'!F704,"")</f>
        <v/>
      </c>
      <c r="G704" t="str">
        <f>IF($A704&lt;&gt;"",'Approved-In-Depth'!G704,"")</f>
        <v/>
      </c>
      <c r="H704" s="4" t="str">
        <f>IF($A704&lt;&gt;"",'Approved-In-Depth'!H704,"")</f>
        <v/>
      </c>
      <c r="I704" t="str">
        <f>IF($A704&lt;&gt;"",'Approved-In-Depth'!I704,"")</f>
        <v/>
      </c>
      <c r="J704" t="str">
        <f>IF($A704&lt;&gt;"",'Approved-In-Depth'!J704,"")</f>
        <v/>
      </c>
      <c r="K704" t="str">
        <f>IF($A704&lt;&gt;"",'Approved-In-Depth'!K704,"")</f>
        <v/>
      </c>
      <c r="L704" s="4" t="str">
        <f>IF($A704&lt;&gt;"",'Approved-In-Depth'!L704,"")</f>
        <v/>
      </c>
      <c r="M704" t="str">
        <f>IF($A704&lt;&gt;"",'Approved-In-Depth'!M704,"")</f>
        <v/>
      </c>
    </row>
    <row r="705" spans="1:13" x14ac:dyDescent="0.35">
      <c r="A705" s="4" t="str">
        <f>IF('Approved-In-Depth'!$A705&lt;&gt;"",'Approved-In-Depth'!A705,"")</f>
        <v/>
      </c>
      <c r="B705" t="str">
        <f>IF($O705&lt;&gt;"",$O705,IF($A705&lt;&gt;"",'Approved-In-Depth'!$B705+7,""))</f>
        <v/>
      </c>
      <c r="C705" t="str">
        <f>IF($A705&lt;&gt;"",'Approved-In-Depth'!C705,"")</f>
        <v/>
      </c>
      <c r="D705" t="str">
        <f>IF($A705&lt;&gt;"",'Approved-In-Depth'!D705,"")</f>
        <v/>
      </c>
      <c r="E705" t="str">
        <f>IF($A705&lt;&gt;"",'Approved-In-Depth'!E705,"")</f>
        <v/>
      </c>
      <c r="F705" t="str">
        <f>IF($A705&lt;&gt;"",'Approved-In-Depth'!F705,"")</f>
        <v/>
      </c>
      <c r="G705" t="str">
        <f>IF($A705&lt;&gt;"",'Approved-In-Depth'!G705,"")</f>
        <v/>
      </c>
      <c r="H705" s="4" t="str">
        <f>IF($A705&lt;&gt;"",'Approved-In-Depth'!H705,"")</f>
        <v/>
      </c>
      <c r="I705" t="str">
        <f>IF($A705&lt;&gt;"",'Approved-In-Depth'!I705,"")</f>
        <v/>
      </c>
      <c r="J705" t="str">
        <f>IF($A705&lt;&gt;"",'Approved-In-Depth'!J705,"")</f>
        <v/>
      </c>
      <c r="K705" t="str">
        <f>IF($A705&lt;&gt;"",'Approved-In-Depth'!K705,"")</f>
        <v/>
      </c>
      <c r="L705" s="4" t="str">
        <f>IF($A705&lt;&gt;"",'Approved-In-Depth'!L705,"")</f>
        <v/>
      </c>
      <c r="M705" t="str">
        <f>IF($A705&lt;&gt;"",'Approved-In-Depth'!M705,"")</f>
        <v/>
      </c>
    </row>
    <row r="706" spans="1:13" x14ac:dyDescent="0.35">
      <c r="A706" s="4" t="str">
        <f>IF('Approved-In-Depth'!$A706&lt;&gt;"",'Approved-In-Depth'!A706,"")</f>
        <v/>
      </c>
      <c r="B706" t="str">
        <f>IF($O706&lt;&gt;"",$O706,IF($A706&lt;&gt;"",'Approved-In-Depth'!$B706+7,""))</f>
        <v/>
      </c>
      <c r="C706" t="str">
        <f>IF($A706&lt;&gt;"",'Approved-In-Depth'!C706,"")</f>
        <v/>
      </c>
      <c r="D706" t="str">
        <f>IF($A706&lt;&gt;"",'Approved-In-Depth'!D706,"")</f>
        <v/>
      </c>
      <c r="E706" t="str">
        <f>IF($A706&lt;&gt;"",'Approved-In-Depth'!E706,"")</f>
        <v/>
      </c>
      <c r="F706" t="str">
        <f>IF($A706&lt;&gt;"",'Approved-In-Depth'!F706,"")</f>
        <v/>
      </c>
      <c r="G706" t="str">
        <f>IF($A706&lt;&gt;"",'Approved-In-Depth'!G706,"")</f>
        <v/>
      </c>
      <c r="H706" s="4" t="str">
        <f>IF($A706&lt;&gt;"",'Approved-In-Depth'!H706,"")</f>
        <v/>
      </c>
      <c r="I706" t="str">
        <f>IF($A706&lt;&gt;"",'Approved-In-Depth'!I706,"")</f>
        <v/>
      </c>
      <c r="J706" t="str">
        <f>IF($A706&lt;&gt;"",'Approved-In-Depth'!J706,"")</f>
        <v/>
      </c>
      <c r="K706" t="str">
        <f>IF($A706&lt;&gt;"",'Approved-In-Depth'!K706,"")</f>
        <v/>
      </c>
      <c r="L706" s="4" t="str">
        <f>IF($A706&lt;&gt;"",'Approved-In-Depth'!L706,"")</f>
        <v/>
      </c>
      <c r="M706" t="str">
        <f>IF($A706&lt;&gt;"",'Approved-In-Depth'!M706,"")</f>
        <v/>
      </c>
    </row>
    <row r="707" spans="1:13" x14ac:dyDescent="0.35">
      <c r="A707" s="4" t="str">
        <f>IF('Approved-In-Depth'!$A707&lt;&gt;"",'Approved-In-Depth'!A707,"")</f>
        <v/>
      </c>
      <c r="B707" t="str">
        <f>IF($O707&lt;&gt;"",$O707,IF($A707&lt;&gt;"",'Approved-In-Depth'!$B707+7,""))</f>
        <v/>
      </c>
      <c r="C707" t="str">
        <f>IF($A707&lt;&gt;"",'Approved-In-Depth'!C707,"")</f>
        <v/>
      </c>
      <c r="D707" t="str">
        <f>IF($A707&lt;&gt;"",'Approved-In-Depth'!D707,"")</f>
        <v/>
      </c>
      <c r="E707" t="str">
        <f>IF($A707&lt;&gt;"",'Approved-In-Depth'!E707,"")</f>
        <v/>
      </c>
      <c r="F707" t="str">
        <f>IF($A707&lt;&gt;"",'Approved-In-Depth'!F707,"")</f>
        <v/>
      </c>
      <c r="G707" t="str">
        <f>IF($A707&lt;&gt;"",'Approved-In-Depth'!G707,"")</f>
        <v/>
      </c>
      <c r="H707" s="4" t="str">
        <f>IF($A707&lt;&gt;"",'Approved-In-Depth'!H707,"")</f>
        <v/>
      </c>
      <c r="I707" t="str">
        <f>IF($A707&lt;&gt;"",'Approved-In-Depth'!I707,"")</f>
        <v/>
      </c>
      <c r="J707" t="str">
        <f>IF($A707&lt;&gt;"",'Approved-In-Depth'!J707,"")</f>
        <v/>
      </c>
      <c r="K707" t="str">
        <f>IF($A707&lt;&gt;"",'Approved-In-Depth'!K707,"")</f>
        <v/>
      </c>
      <c r="L707" s="4" t="str">
        <f>IF($A707&lt;&gt;"",'Approved-In-Depth'!L707,"")</f>
        <v/>
      </c>
      <c r="M707" t="str">
        <f>IF($A707&lt;&gt;"",'Approved-In-Depth'!M707,"")</f>
        <v/>
      </c>
    </row>
    <row r="708" spans="1:13" x14ac:dyDescent="0.35">
      <c r="A708" s="4" t="str">
        <f>IF('Approved-In-Depth'!$A708&lt;&gt;"",'Approved-In-Depth'!A708,"")</f>
        <v/>
      </c>
      <c r="B708" t="str">
        <f>IF($O708&lt;&gt;"",$O708,IF($A708&lt;&gt;"",'Approved-In-Depth'!$B708+7,""))</f>
        <v/>
      </c>
      <c r="C708" t="str">
        <f>IF($A708&lt;&gt;"",'Approved-In-Depth'!C708,"")</f>
        <v/>
      </c>
      <c r="D708" t="str">
        <f>IF($A708&lt;&gt;"",'Approved-In-Depth'!D708,"")</f>
        <v/>
      </c>
      <c r="E708" t="str">
        <f>IF($A708&lt;&gt;"",'Approved-In-Depth'!E708,"")</f>
        <v/>
      </c>
      <c r="F708" t="str">
        <f>IF($A708&lt;&gt;"",'Approved-In-Depth'!F708,"")</f>
        <v/>
      </c>
      <c r="G708" t="str">
        <f>IF($A708&lt;&gt;"",'Approved-In-Depth'!G708,"")</f>
        <v/>
      </c>
      <c r="H708" s="4" t="str">
        <f>IF($A708&lt;&gt;"",'Approved-In-Depth'!H708,"")</f>
        <v/>
      </c>
      <c r="I708" t="str">
        <f>IF($A708&lt;&gt;"",'Approved-In-Depth'!I708,"")</f>
        <v/>
      </c>
      <c r="J708" t="str">
        <f>IF($A708&lt;&gt;"",'Approved-In-Depth'!J708,"")</f>
        <v/>
      </c>
      <c r="K708" t="str">
        <f>IF($A708&lt;&gt;"",'Approved-In-Depth'!K708,"")</f>
        <v/>
      </c>
      <c r="L708" s="4" t="str">
        <f>IF($A708&lt;&gt;"",'Approved-In-Depth'!L708,"")</f>
        <v/>
      </c>
      <c r="M708" t="str">
        <f>IF($A708&lt;&gt;"",'Approved-In-Depth'!M708,"")</f>
        <v/>
      </c>
    </row>
    <row r="709" spans="1:13" x14ac:dyDescent="0.35">
      <c r="A709" s="4" t="str">
        <f>IF('Approved-In-Depth'!$A709&lt;&gt;"",'Approved-In-Depth'!A709,"")</f>
        <v/>
      </c>
      <c r="B709" t="str">
        <f>IF($O709&lt;&gt;"",$O709,IF($A709&lt;&gt;"",'Approved-In-Depth'!$B709+7,""))</f>
        <v/>
      </c>
      <c r="C709" t="str">
        <f>IF($A709&lt;&gt;"",'Approved-In-Depth'!C709,"")</f>
        <v/>
      </c>
      <c r="D709" t="str">
        <f>IF($A709&lt;&gt;"",'Approved-In-Depth'!D709,"")</f>
        <v/>
      </c>
      <c r="E709" t="str">
        <f>IF($A709&lt;&gt;"",'Approved-In-Depth'!E709,"")</f>
        <v/>
      </c>
      <c r="F709" t="str">
        <f>IF($A709&lt;&gt;"",'Approved-In-Depth'!F709,"")</f>
        <v/>
      </c>
      <c r="G709" t="str">
        <f>IF($A709&lt;&gt;"",'Approved-In-Depth'!G709,"")</f>
        <v/>
      </c>
      <c r="H709" s="4" t="str">
        <f>IF($A709&lt;&gt;"",'Approved-In-Depth'!H709,"")</f>
        <v/>
      </c>
      <c r="I709" t="str">
        <f>IF($A709&lt;&gt;"",'Approved-In-Depth'!I709,"")</f>
        <v/>
      </c>
      <c r="J709" t="str">
        <f>IF($A709&lt;&gt;"",'Approved-In-Depth'!J709,"")</f>
        <v/>
      </c>
      <c r="K709" t="str">
        <f>IF($A709&lt;&gt;"",'Approved-In-Depth'!K709,"")</f>
        <v/>
      </c>
      <c r="L709" s="4" t="str">
        <f>IF($A709&lt;&gt;"",'Approved-In-Depth'!L709,"")</f>
        <v/>
      </c>
      <c r="M709" t="str">
        <f>IF($A709&lt;&gt;"",'Approved-In-Depth'!M709,"")</f>
        <v/>
      </c>
    </row>
    <row r="710" spans="1:13" x14ac:dyDescent="0.35">
      <c r="A710" s="4" t="str">
        <f>IF('Approved-In-Depth'!$A710&lt;&gt;"",'Approved-In-Depth'!A710,"")</f>
        <v/>
      </c>
      <c r="B710" t="str">
        <f>IF($O710&lt;&gt;"",$O710,IF($A710&lt;&gt;"",'Approved-In-Depth'!$B710+7,""))</f>
        <v/>
      </c>
      <c r="C710" t="str">
        <f>IF($A710&lt;&gt;"",'Approved-In-Depth'!C710,"")</f>
        <v/>
      </c>
      <c r="D710" t="str">
        <f>IF($A710&lt;&gt;"",'Approved-In-Depth'!D710,"")</f>
        <v/>
      </c>
      <c r="E710" t="str">
        <f>IF($A710&lt;&gt;"",'Approved-In-Depth'!E710,"")</f>
        <v/>
      </c>
      <c r="F710" t="str">
        <f>IF($A710&lt;&gt;"",'Approved-In-Depth'!F710,"")</f>
        <v/>
      </c>
      <c r="G710" t="str">
        <f>IF($A710&lt;&gt;"",'Approved-In-Depth'!G710,"")</f>
        <v/>
      </c>
      <c r="H710" s="4" t="str">
        <f>IF($A710&lt;&gt;"",'Approved-In-Depth'!H710,"")</f>
        <v/>
      </c>
      <c r="I710" t="str">
        <f>IF($A710&lt;&gt;"",'Approved-In-Depth'!I710,"")</f>
        <v/>
      </c>
      <c r="J710" t="str">
        <f>IF($A710&lt;&gt;"",'Approved-In-Depth'!J710,"")</f>
        <v/>
      </c>
      <c r="K710" t="str">
        <f>IF($A710&lt;&gt;"",'Approved-In-Depth'!K710,"")</f>
        <v/>
      </c>
      <c r="L710" s="4" t="str">
        <f>IF($A710&lt;&gt;"",'Approved-In-Depth'!L710,"")</f>
        <v/>
      </c>
      <c r="M710" t="str">
        <f>IF($A710&lt;&gt;"",'Approved-In-Depth'!M710,"")</f>
        <v/>
      </c>
    </row>
    <row r="711" spans="1:13" x14ac:dyDescent="0.35">
      <c r="A711" s="4" t="str">
        <f>IF('Approved-In-Depth'!$A711&lt;&gt;"",'Approved-In-Depth'!A711,"")</f>
        <v/>
      </c>
      <c r="B711" t="str">
        <f>IF($O711&lt;&gt;"",$O711,IF($A711&lt;&gt;"",'Approved-In-Depth'!$B711+7,""))</f>
        <v/>
      </c>
      <c r="C711" t="str">
        <f>IF($A711&lt;&gt;"",'Approved-In-Depth'!C711,"")</f>
        <v/>
      </c>
      <c r="D711" t="str">
        <f>IF($A711&lt;&gt;"",'Approved-In-Depth'!D711,"")</f>
        <v/>
      </c>
      <c r="E711" t="str">
        <f>IF($A711&lt;&gt;"",'Approved-In-Depth'!E711,"")</f>
        <v/>
      </c>
      <c r="F711" t="str">
        <f>IF($A711&lt;&gt;"",'Approved-In-Depth'!F711,"")</f>
        <v/>
      </c>
      <c r="G711" t="str">
        <f>IF($A711&lt;&gt;"",'Approved-In-Depth'!G711,"")</f>
        <v/>
      </c>
      <c r="H711" s="4" t="str">
        <f>IF($A711&lt;&gt;"",'Approved-In-Depth'!H711,"")</f>
        <v/>
      </c>
      <c r="I711" t="str">
        <f>IF($A711&lt;&gt;"",'Approved-In-Depth'!I711,"")</f>
        <v/>
      </c>
      <c r="J711" t="str">
        <f>IF($A711&lt;&gt;"",'Approved-In-Depth'!J711,"")</f>
        <v/>
      </c>
      <c r="K711" t="str">
        <f>IF($A711&lt;&gt;"",'Approved-In-Depth'!K711,"")</f>
        <v/>
      </c>
      <c r="L711" s="4" t="str">
        <f>IF($A711&lt;&gt;"",'Approved-In-Depth'!L711,"")</f>
        <v/>
      </c>
      <c r="M711" t="str">
        <f>IF($A711&lt;&gt;"",'Approved-In-Depth'!M711,"")</f>
        <v/>
      </c>
    </row>
    <row r="712" spans="1:13" x14ac:dyDescent="0.35">
      <c r="A712" s="4" t="str">
        <f>IF('Approved-In-Depth'!$A712&lt;&gt;"",'Approved-In-Depth'!A712,"")</f>
        <v/>
      </c>
      <c r="B712" t="str">
        <f>IF($O712&lt;&gt;"",$O712,IF($A712&lt;&gt;"",'Approved-In-Depth'!$B712+7,""))</f>
        <v/>
      </c>
      <c r="C712" t="str">
        <f>IF($A712&lt;&gt;"",'Approved-In-Depth'!C712,"")</f>
        <v/>
      </c>
      <c r="D712" t="str">
        <f>IF($A712&lt;&gt;"",'Approved-In-Depth'!D712,"")</f>
        <v/>
      </c>
      <c r="E712" t="str">
        <f>IF($A712&lt;&gt;"",'Approved-In-Depth'!E712,"")</f>
        <v/>
      </c>
      <c r="F712" t="str">
        <f>IF($A712&lt;&gt;"",'Approved-In-Depth'!F712,"")</f>
        <v/>
      </c>
      <c r="G712" t="str">
        <f>IF($A712&lt;&gt;"",'Approved-In-Depth'!G712,"")</f>
        <v/>
      </c>
      <c r="H712" s="4" t="str">
        <f>IF($A712&lt;&gt;"",'Approved-In-Depth'!H712,"")</f>
        <v/>
      </c>
      <c r="I712" t="str">
        <f>IF($A712&lt;&gt;"",'Approved-In-Depth'!I712,"")</f>
        <v/>
      </c>
      <c r="J712" t="str">
        <f>IF($A712&lt;&gt;"",'Approved-In-Depth'!J712,"")</f>
        <v/>
      </c>
      <c r="K712" t="str">
        <f>IF($A712&lt;&gt;"",'Approved-In-Depth'!K712,"")</f>
        <v/>
      </c>
      <c r="L712" s="4" t="str">
        <f>IF($A712&lt;&gt;"",'Approved-In-Depth'!L712,"")</f>
        <v/>
      </c>
      <c r="M712" t="str">
        <f>IF($A712&lt;&gt;"",'Approved-In-Depth'!M712,"")</f>
        <v/>
      </c>
    </row>
    <row r="713" spans="1:13" x14ac:dyDescent="0.35">
      <c r="A713" s="4" t="str">
        <f>IF('Approved-In-Depth'!$A713&lt;&gt;"",'Approved-In-Depth'!A713,"")</f>
        <v/>
      </c>
      <c r="B713" t="str">
        <f>IF($O713&lt;&gt;"",$O713,IF($A713&lt;&gt;"",'Approved-In-Depth'!$B713+7,""))</f>
        <v/>
      </c>
      <c r="C713" t="str">
        <f>IF($A713&lt;&gt;"",'Approved-In-Depth'!C713,"")</f>
        <v/>
      </c>
      <c r="D713" t="str">
        <f>IF($A713&lt;&gt;"",'Approved-In-Depth'!D713,"")</f>
        <v/>
      </c>
      <c r="E713" t="str">
        <f>IF($A713&lt;&gt;"",'Approved-In-Depth'!E713,"")</f>
        <v/>
      </c>
      <c r="F713" t="str">
        <f>IF($A713&lt;&gt;"",'Approved-In-Depth'!F713,"")</f>
        <v/>
      </c>
      <c r="G713" t="str">
        <f>IF($A713&lt;&gt;"",'Approved-In-Depth'!G713,"")</f>
        <v/>
      </c>
      <c r="H713" s="4" t="str">
        <f>IF($A713&lt;&gt;"",'Approved-In-Depth'!H713,"")</f>
        <v/>
      </c>
      <c r="I713" t="str">
        <f>IF($A713&lt;&gt;"",'Approved-In-Depth'!I713,"")</f>
        <v/>
      </c>
      <c r="J713" t="str">
        <f>IF($A713&lt;&gt;"",'Approved-In-Depth'!J713,"")</f>
        <v/>
      </c>
      <c r="K713" t="str">
        <f>IF($A713&lt;&gt;"",'Approved-In-Depth'!K713,"")</f>
        <v/>
      </c>
      <c r="L713" s="4" t="str">
        <f>IF($A713&lt;&gt;"",'Approved-In-Depth'!L713,"")</f>
        <v/>
      </c>
      <c r="M713" t="str">
        <f>IF($A713&lt;&gt;"",'Approved-In-Depth'!M713,"")</f>
        <v/>
      </c>
    </row>
    <row r="714" spans="1:13" x14ac:dyDescent="0.35">
      <c r="A714" s="4" t="str">
        <f>IF('Approved-In-Depth'!$A714&lt;&gt;"",'Approved-In-Depth'!A714,"")</f>
        <v/>
      </c>
      <c r="B714" t="str">
        <f>IF($O714&lt;&gt;"",$O714,IF($A714&lt;&gt;"",'Approved-In-Depth'!$B714+7,""))</f>
        <v/>
      </c>
      <c r="C714" t="str">
        <f>IF($A714&lt;&gt;"",'Approved-In-Depth'!C714,"")</f>
        <v/>
      </c>
      <c r="D714" t="str">
        <f>IF($A714&lt;&gt;"",'Approved-In-Depth'!D714,"")</f>
        <v/>
      </c>
      <c r="E714" t="str">
        <f>IF($A714&lt;&gt;"",'Approved-In-Depth'!E714,"")</f>
        <v/>
      </c>
      <c r="F714" t="str">
        <f>IF($A714&lt;&gt;"",'Approved-In-Depth'!F714,"")</f>
        <v/>
      </c>
      <c r="G714" t="str">
        <f>IF($A714&lt;&gt;"",'Approved-In-Depth'!G714,"")</f>
        <v/>
      </c>
      <c r="H714" s="4" t="str">
        <f>IF($A714&lt;&gt;"",'Approved-In-Depth'!H714,"")</f>
        <v/>
      </c>
      <c r="I714" t="str">
        <f>IF($A714&lt;&gt;"",'Approved-In-Depth'!I714,"")</f>
        <v/>
      </c>
      <c r="J714" t="str">
        <f>IF($A714&lt;&gt;"",'Approved-In-Depth'!J714,"")</f>
        <v/>
      </c>
      <c r="K714" t="str">
        <f>IF($A714&lt;&gt;"",'Approved-In-Depth'!K714,"")</f>
        <v/>
      </c>
      <c r="L714" s="4" t="str">
        <f>IF($A714&lt;&gt;"",'Approved-In-Depth'!L714,"")</f>
        <v/>
      </c>
      <c r="M714" t="str">
        <f>IF($A714&lt;&gt;"",'Approved-In-Depth'!M714,"")</f>
        <v/>
      </c>
    </row>
    <row r="715" spans="1:13" x14ac:dyDescent="0.35">
      <c r="A715" s="4" t="str">
        <f>IF('Approved-In-Depth'!$A715&lt;&gt;"",'Approved-In-Depth'!A715,"")</f>
        <v/>
      </c>
      <c r="B715" t="str">
        <f>IF($O715&lt;&gt;"",$O715,IF($A715&lt;&gt;"",'Approved-In-Depth'!$B715+7,""))</f>
        <v/>
      </c>
      <c r="C715" t="str">
        <f>IF($A715&lt;&gt;"",'Approved-In-Depth'!C715,"")</f>
        <v/>
      </c>
      <c r="D715" t="str">
        <f>IF($A715&lt;&gt;"",'Approved-In-Depth'!D715,"")</f>
        <v/>
      </c>
      <c r="E715" t="str">
        <f>IF($A715&lt;&gt;"",'Approved-In-Depth'!E715,"")</f>
        <v/>
      </c>
      <c r="F715" t="str">
        <f>IF($A715&lt;&gt;"",'Approved-In-Depth'!F715,"")</f>
        <v/>
      </c>
      <c r="G715" t="str">
        <f>IF($A715&lt;&gt;"",'Approved-In-Depth'!G715,"")</f>
        <v/>
      </c>
      <c r="H715" s="4" t="str">
        <f>IF($A715&lt;&gt;"",'Approved-In-Depth'!H715,"")</f>
        <v/>
      </c>
      <c r="I715" t="str">
        <f>IF($A715&lt;&gt;"",'Approved-In-Depth'!I715,"")</f>
        <v/>
      </c>
      <c r="J715" t="str">
        <f>IF($A715&lt;&gt;"",'Approved-In-Depth'!J715,"")</f>
        <v/>
      </c>
      <c r="K715" t="str">
        <f>IF($A715&lt;&gt;"",'Approved-In-Depth'!K715,"")</f>
        <v/>
      </c>
      <c r="L715" s="4" t="str">
        <f>IF($A715&lt;&gt;"",'Approved-In-Depth'!L715,"")</f>
        <v/>
      </c>
      <c r="M715" t="str">
        <f>IF($A715&lt;&gt;"",'Approved-In-Depth'!M715,"")</f>
        <v/>
      </c>
    </row>
    <row r="716" spans="1:13" x14ac:dyDescent="0.35">
      <c r="A716" s="4" t="str">
        <f>IF('Approved-In-Depth'!$A716&lt;&gt;"",'Approved-In-Depth'!A716,"")</f>
        <v/>
      </c>
      <c r="B716" t="str">
        <f>IF($O716&lt;&gt;"",$O716,IF($A716&lt;&gt;"",'Approved-In-Depth'!$B716+7,""))</f>
        <v/>
      </c>
      <c r="C716" t="str">
        <f>IF($A716&lt;&gt;"",'Approved-In-Depth'!C716,"")</f>
        <v/>
      </c>
      <c r="D716" t="str">
        <f>IF($A716&lt;&gt;"",'Approved-In-Depth'!D716,"")</f>
        <v/>
      </c>
      <c r="E716" t="str">
        <f>IF($A716&lt;&gt;"",'Approved-In-Depth'!E716,"")</f>
        <v/>
      </c>
      <c r="F716" t="str">
        <f>IF($A716&lt;&gt;"",'Approved-In-Depth'!F716,"")</f>
        <v/>
      </c>
      <c r="G716" t="str">
        <f>IF($A716&lt;&gt;"",'Approved-In-Depth'!G716,"")</f>
        <v/>
      </c>
      <c r="H716" s="4" t="str">
        <f>IF($A716&lt;&gt;"",'Approved-In-Depth'!H716,"")</f>
        <v/>
      </c>
      <c r="I716" t="str">
        <f>IF($A716&lt;&gt;"",'Approved-In-Depth'!I716,"")</f>
        <v/>
      </c>
      <c r="J716" t="str">
        <f>IF($A716&lt;&gt;"",'Approved-In-Depth'!J716,"")</f>
        <v/>
      </c>
      <c r="K716" t="str">
        <f>IF($A716&lt;&gt;"",'Approved-In-Depth'!K716,"")</f>
        <v/>
      </c>
      <c r="L716" s="4" t="str">
        <f>IF($A716&lt;&gt;"",'Approved-In-Depth'!L716,"")</f>
        <v/>
      </c>
      <c r="M716" t="str">
        <f>IF($A716&lt;&gt;"",'Approved-In-Depth'!M716,"")</f>
        <v/>
      </c>
    </row>
    <row r="717" spans="1:13" x14ac:dyDescent="0.35">
      <c r="A717" s="4" t="str">
        <f>IF('Approved-In-Depth'!$A717&lt;&gt;"",'Approved-In-Depth'!A717,"")</f>
        <v/>
      </c>
      <c r="B717" t="str">
        <f>IF($O717&lt;&gt;"",$O717,IF($A717&lt;&gt;"",'Approved-In-Depth'!$B717+7,""))</f>
        <v/>
      </c>
      <c r="C717" t="str">
        <f>IF($A717&lt;&gt;"",'Approved-In-Depth'!C717,"")</f>
        <v/>
      </c>
      <c r="D717" t="str">
        <f>IF($A717&lt;&gt;"",'Approved-In-Depth'!D717,"")</f>
        <v/>
      </c>
      <c r="E717" t="str">
        <f>IF($A717&lt;&gt;"",'Approved-In-Depth'!E717,"")</f>
        <v/>
      </c>
      <c r="F717" t="str">
        <f>IF($A717&lt;&gt;"",'Approved-In-Depth'!F717,"")</f>
        <v/>
      </c>
      <c r="G717" t="str">
        <f>IF($A717&lt;&gt;"",'Approved-In-Depth'!G717,"")</f>
        <v/>
      </c>
      <c r="H717" s="4" t="str">
        <f>IF($A717&lt;&gt;"",'Approved-In-Depth'!H717,"")</f>
        <v/>
      </c>
      <c r="I717" t="str">
        <f>IF($A717&lt;&gt;"",'Approved-In-Depth'!I717,"")</f>
        <v/>
      </c>
      <c r="J717" t="str">
        <f>IF($A717&lt;&gt;"",'Approved-In-Depth'!J717,"")</f>
        <v/>
      </c>
      <c r="K717" t="str">
        <f>IF($A717&lt;&gt;"",'Approved-In-Depth'!K717,"")</f>
        <v/>
      </c>
      <c r="L717" s="4" t="str">
        <f>IF($A717&lt;&gt;"",'Approved-In-Depth'!L717,"")</f>
        <v/>
      </c>
      <c r="M717" t="str">
        <f>IF($A717&lt;&gt;"",'Approved-In-Depth'!M717,"")</f>
        <v/>
      </c>
    </row>
    <row r="718" spans="1:13" x14ac:dyDescent="0.35">
      <c r="A718" s="4" t="str">
        <f>IF('Approved-In-Depth'!$A718&lt;&gt;"",'Approved-In-Depth'!A718,"")</f>
        <v/>
      </c>
      <c r="B718" t="str">
        <f>IF($O718&lt;&gt;"",$O718,IF($A718&lt;&gt;"",'Approved-In-Depth'!$B718+7,""))</f>
        <v/>
      </c>
      <c r="C718" t="str">
        <f>IF($A718&lt;&gt;"",'Approved-In-Depth'!C718,"")</f>
        <v/>
      </c>
      <c r="D718" t="str">
        <f>IF($A718&lt;&gt;"",'Approved-In-Depth'!D718,"")</f>
        <v/>
      </c>
      <c r="E718" t="str">
        <f>IF($A718&lt;&gt;"",'Approved-In-Depth'!E718,"")</f>
        <v/>
      </c>
      <c r="F718" t="str">
        <f>IF($A718&lt;&gt;"",'Approved-In-Depth'!F718,"")</f>
        <v/>
      </c>
      <c r="G718" t="str">
        <f>IF($A718&lt;&gt;"",'Approved-In-Depth'!G718,"")</f>
        <v/>
      </c>
      <c r="H718" s="4" t="str">
        <f>IF($A718&lt;&gt;"",'Approved-In-Depth'!H718,"")</f>
        <v/>
      </c>
      <c r="I718" t="str">
        <f>IF($A718&lt;&gt;"",'Approved-In-Depth'!I718,"")</f>
        <v/>
      </c>
      <c r="J718" t="str">
        <f>IF($A718&lt;&gt;"",'Approved-In-Depth'!J718,"")</f>
        <v/>
      </c>
      <c r="K718" t="str">
        <f>IF($A718&lt;&gt;"",'Approved-In-Depth'!K718,"")</f>
        <v/>
      </c>
      <c r="L718" s="4" t="str">
        <f>IF($A718&lt;&gt;"",'Approved-In-Depth'!L718,"")</f>
        <v/>
      </c>
      <c r="M718" t="str">
        <f>IF($A718&lt;&gt;"",'Approved-In-Depth'!M718,"")</f>
        <v/>
      </c>
    </row>
    <row r="719" spans="1:13" x14ac:dyDescent="0.35">
      <c r="A719" s="4" t="str">
        <f>IF('Approved-In-Depth'!$A719&lt;&gt;"",'Approved-In-Depth'!A719,"")</f>
        <v/>
      </c>
      <c r="B719" t="str">
        <f>IF($O719&lt;&gt;"",$O719,IF($A719&lt;&gt;"",'Approved-In-Depth'!$B719+7,""))</f>
        <v/>
      </c>
      <c r="C719" t="str">
        <f>IF($A719&lt;&gt;"",'Approved-In-Depth'!C719,"")</f>
        <v/>
      </c>
      <c r="D719" t="str">
        <f>IF($A719&lt;&gt;"",'Approved-In-Depth'!D719,"")</f>
        <v/>
      </c>
      <c r="E719" t="str">
        <f>IF($A719&lt;&gt;"",'Approved-In-Depth'!E719,"")</f>
        <v/>
      </c>
      <c r="F719" t="str">
        <f>IF($A719&lt;&gt;"",'Approved-In-Depth'!F719,"")</f>
        <v/>
      </c>
      <c r="G719" t="str">
        <f>IF($A719&lt;&gt;"",'Approved-In-Depth'!G719,"")</f>
        <v/>
      </c>
      <c r="H719" s="4" t="str">
        <f>IF($A719&lt;&gt;"",'Approved-In-Depth'!H719,"")</f>
        <v/>
      </c>
      <c r="I719" t="str">
        <f>IF($A719&lt;&gt;"",'Approved-In-Depth'!I719,"")</f>
        <v/>
      </c>
      <c r="J719" t="str">
        <f>IF($A719&lt;&gt;"",'Approved-In-Depth'!J719,"")</f>
        <v/>
      </c>
      <c r="K719" t="str">
        <f>IF($A719&lt;&gt;"",'Approved-In-Depth'!K719,"")</f>
        <v/>
      </c>
      <c r="L719" s="4" t="str">
        <f>IF($A719&lt;&gt;"",'Approved-In-Depth'!L719,"")</f>
        <v/>
      </c>
      <c r="M719" t="str">
        <f>IF($A719&lt;&gt;"",'Approved-In-Depth'!M719,"")</f>
        <v/>
      </c>
    </row>
    <row r="720" spans="1:13" x14ac:dyDescent="0.35">
      <c r="A720" s="4" t="str">
        <f>IF('Approved-In-Depth'!$A720&lt;&gt;"",'Approved-In-Depth'!A720,"")</f>
        <v/>
      </c>
      <c r="B720" t="str">
        <f>IF($O720&lt;&gt;"",$O720,IF($A720&lt;&gt;"",'Approved-In-Depth'!$B720+7,""))</f>
        <v/>
      </c>
      <c r="C720" t="str">
        <f>IF($A720&lt;&gt;"",'Approved-In-Depth'!C720,"")</f>
        <v/>
      </c>
      <c r="D720" t="str">
        <f>IF($A720&lt;&gt;"",'Approved-In-Depth'!D720,"")</f>
        <v/>
      </c>
      <c r="E720" t="str">
        <f>IF($A720&lt;&gt;"",'Approved-In-Depth'!E720,"")</f>
        <v/>
      </c>
      <c r="F720" t="str">
        <f>IF($A720&lt;&gt;"",'Approved-In-Depth'!F720,"")</f>
        <v/>
      </c>
      <c r="G720" t="str">
        <f>IF($A720&lt;&gt;"",'Approved-In-Depth'!G720,"")</f>
        <v/>
      </c>
      <c r="H720" s="4" t="str">
        <f>IF($A720&lt;&gt;"",'Approved-In-Depth'!H720,"")</f>
        <v/>
      </c>
      <c r="I720" t="str">
        <f>IF($A720&lt;&gt;"",'Approved-In-Depth'!I720,"")</f>
        <v/>
      </c>
      <c r="J720" t="str">
        <f>IF($A720&lt;&gt;"",'Approved-In-Depth'!J720,"")</f>
        <v/>
      </c>
      <c r="K720" t="str">
        <f>IF($A720&lt;&gt;"",'Approved-In-Depth'!K720,"")</f>
        <v/>
      </c>
      <c r="L720" s="4" t="str">
        <f>IF($A720&lt;&gt;"",'Approved-In-Depth'!L720,"")</f>
        <v/>
      </c>
      <c r="M720" t="str">
        <f>IF($A720&lt;&gt;"",'Approved-In-Depth'!M720,"")</f>
        <v/>
      </c>
    </row>
    <row r="721" spans="1:13" x14ac:dyDescent="0.35">
      <c r="A721" s="4" t="str">
        <f>IF('Approved-In-Depth'!$A721&lt;&gt;"",'Approved-In-Depth'!A721,"")</f>
        <v/>
      </c>
      <c r="B721" t="str">
        <f>IF($O721&lt;&gt;"",$O721,IF($A721&lt;&gt;"",'Approved-In-Depth'!$B721+7,""))</f>
        <v/>
      </c>
      <c r="C721" t="str">
        <f>IF($A721&lt;&gt;"",'Approved-In-Depth'!C721,"")</f>
        <v/>
      </c>
      <c r="D721" t="str">
        <f>IF($A721&lt;&gt;"",'Approved-In-Depth'!D721,"")</f>
        <v/>
      </c>
      <c r="E721" t="str">
        <f>IF($A721&lt;&gt;"",'Approved-In-Depth'!E721,"")</f>
        <v/>
      </c>
      <c r="F721" t="str">
        <f>IF($A721&lt;&gt;"",'Approved-In-Depth'!F721,"")</f>
        <v/>
      </c>
      <c r="G721" t="str">
        <f>IF($A721&lt;&gt;"",'Approved-In-Depth'!G721,"")</f>
        <v/>
      </c>
      <c r="H721" s="4" t="str">
        <f>IF($A721&lt;&gt;"",'Approved-In-Depth'!H721,"")</f>
        <v/>
      </c>
      <c r="I721" t="str">
        <f>IF($A721&lt;&gt;"",'Approved-In-Depth'!I721,"")</f>
        <v/>
      </c>
      <c r="J721" t="str">
        <f>IF($A721&lt;&gt;"",'Approved-In-Depth'!J721,"")</f>
        <v/>
      </c>
      <c r="K721" t="str">
        <f>IF($A721&lt;&gt;"",'Approved-In-Depth'!K721,"")</f>
        <v/>
      </c>
      <c r="L721" s="4" t="str">
        <f>IF($A721&lt;&gt;"",'Approved-In-Depth'!L721,"")</f>
        <v/>
      </c>
      <c r="M721" t="str">
        <f>IF($A721&lt;&gt;"",'Approved-In-Depth'!M721,"")</f>
        <v/>
      </c>
    </row>
    <row r="722" spans="1:13" x14ac:dyDescent="0.35">
      <c r="A722" s="4" t="str">
        <f>IF('Approved-In-Depth'!$A722&lt;&gt;"",'Approved-In-Depth'!A722,"")</f>
        <v/>
      </c>
      <c r="B722" t="str">
        <f>IF($O722&lt;&gt;"",$O722,IF($A722&lt;&gt;"",'Approved-In-Depth'!$B722+7,""))</f>
        <v/>
      </c>
      <c r="C722" t="str">
        <f>IF($A722&lt;&gt;"",'Approved-In-Depth'!C722,"")</f>
        <v/>
      </c>
      <c r="D722" t="str">
        <f>IF($A722&lt;&gt;"",'Approved-In-Depth'!D722,"")</f>
        <v/>
      </c>
      <c r="E722" t="str">
        <f>IF($A722&lt;&gt;"",'Approved-In-Depth'!E722,"")</f>
        <v/>
      </c>
      <c r="F722" t="str">
        <f>IF($A722&lt;&gt;"",'Approved-In-Depth'!F722,"")</f>
        <v/>
      </c>
      <c r="G722" t="str">
        <f>IF($A722&lt;&gt;"",'Approved-In-Depth'!G722,"")</f>
        <v/>
      </c>
      <c r="H722" s="4" t="str">
        <f>IF($A722&lt;&gt;"",'Approved-In-Depth'!H722,"")</f>
        <v/>
      </c>
      <c r="I722" t="str">
        <f>IF($A722&lt;&gt;"",'Approved-In-Depth'!I722,"")</f>
        <v/>
      </c>
      <c r="J722" t="str">
        <f>IF($A722&lt;&gt;"",'Approved-In-Depth'!J722,"")</f>
        <v/>
      </c>
      <c r="K722" t="str">
        <f>IF($A722&lt;&gt;"",'Approved-In-Depth'!K722,"")</f>
        <v/>
      </c>
      <c r="L722" s="4" t="str">
        <f>IF($A722&lt;&gt;"",'Approved-In-Depth'!L722,"")</f>
        <v/>
      </c>
      <c r="M722" t="str">
        <f>IF($A722&lt;&gt;"",'Approved-In-Depth'!M722,"")</f>
        <v/>
      </c>
    </row>
    <row r="723" spans="1:13" x14ac:dyDescent="0.35">
      <c r="A723" s="4" t="str">
        <f>IF('Approved-In-Depth'!$A723&lt;&gt;"",'Approved-In-Depth'!A723,"")</f>
        <v/>
      </c>
      <c r="B723" t="str">
        <f>IF($O723&lt;&gt;"",$O723,IF($A723&lt;&gt;"",'Approved-In-Depth'!$B723+7,""))</f>
        <v/>
      </c>
      <c r="C723" t="str">
        <f>IF($A723&lt;&gt;"",'Approved-In-Depth'!C723,"")</f>
        <v/>
      </c>
      <c r="D723" t="str">
        <f>IF($A723&lt;&gt;"",'Approved-In-Depth'!D723,"")</f>
        <v/>
      </c>
      <c r="E723" t="str">
        <f>IF($A723&lt;&gt;"",'Approved-In-Depth'!E723,"")</f>
        <v/>
      </c>
      <c r="F723" t="str">
        <f>IF($A723&lt;&gt;"",'Approved-In-Depth'!F723,"")</f>
        <v/>
      </c>
      <c r="G723" t="str">
        <f>IF($A723&lt;&gt;"",'Approved-In-Depth'!G723,"")</f>
        <v/>
      </c>
      <c r="H723" s="4" t="str">
        <f>IF($A723&lt;&gt;"",'Approved-In-Depth'!H723,"")</f>
        <v/>
      </c>
      <c r="I723" t="str">
        <f>IF($A723&lt;&gt;"",'Approved-In-Depth'!I723,"")</f>
        <v/>
      </c>
      <c r="J723" t="str">
        <f>IF($A723&lt;&gt;"",'Approved-In-Depth'!J723,"")</f>
        <v/>
      </c>
      <c r="K723" t="str">
        <f>IF($A723&lt;&gt;"",'Approved-In-Depth'!K723,"")</f>
        <v/>
      </c>
      <c r="L723" s="4" t="str">
        <f>IF($A723&lt;&gt;"",'Approved-In-Depth'!L723,"")</f>
        <v/>
      </c>
      <c r="M723" t="str">
        <f>IF($A723&lt;&gt;"",'Approved-In-Depth'!M723,"")</f>
        <v/>
      </c>
    </row>
    <row r="724" spans="1:13" x14ac:dyDescent="0.35">
      <c r="A724" s="4" t="str">
        <f>IF('Approved-In-Depth'!$A724&lt;&gt;"",'Approved-In-Depth'!A724,"")</f>
        <v/>
      </c>
      <c r="B724" t="str">
        <f>IF($O724&lt;&gt;"",$O724,IF($A724&lt;&gt;"",'Approved-In-Depth'!$B724+7,""))</f>
        <v/>
      </c>
      <c r="C724" t="str">
        <f>IF($A724&lt;&gt;"",'Approved-In-Depth'!C724,"")</f>
        <v/>
      </c>
      <c r="D724" t="str">
        <f>IF($A724&lt;&gt;"",'Approved-In-Depth'!D724,"")</f>
        <v/>
      </c>
      <c r="E724" t="str">
        <f>IF($A724&lt;&gt;"",'Approved-In-Depth'!E724,"")</f>
        <v/>
      </c>
      <c r="F724" t="str">
        <f>IF($A724&lt;&gt;"",'Approved-In-Depth'!F724,"")</f>
        <v/>
      </c>
      <c r="G724" t="str">
        <f>IF($A724&lt;&gt;"",'Approved-In-Depth'!G724,"")</f>
        <v/>
      </c>
      <c r="H724" s="4" t="str">
        <f>IF($A724&lt;&gt;"",'Approved-In-Depth'!H724,"")</f>
        <v/>
      </c>
      <c r="I724" t="str">
        <f>IF($A724&lt;&gt;"",'Approved-In-Depth'!I724,"")</f>
        <v/>
      </c>
      <c r="J724" t="str">
        <f>IF($A724&lt;&gt;"",'Approved-In-Depth'!J724,"")</f>
        <v/>
      </c>
      <c r="K724" t="str">
        <f>IF($A724&lt;&gt;"",'Approved-In-Depth'!K724,"")</f>
        <v/>
      </c>
      <c r="L724" s="4" t="str">
        <f>IF($A724&lt;&gt;"",'Approved-In-Depth'!L724,"")</f>
        <v/>
      </c>
      <c r="M724" t="str">
        <f>IF($A724&lt;&gt;"",'Approved-In-Depth'!M724,"")</f>
        <v/>
      </c>
    </row>
    <row r="725" spans="1:13" x14ac:dyDescent="0.35">
      <c r="A725" s="4" t="str">
        <f>IF('Approved-In-Depth'!$A725&lt;&gt;"",'Approved-In-Depth'!A725,"")</f>
        <v/>
      </c>
      <c r="B725" t="str">
        <f>IF($O725&lt;&gt;"",$O725,IF($A725&lt;&gt;"",'Approved-In-Depth'!$B725+7,""))</f>
        <v/>
      </c>
      <c r="C725" t="str">
        <f>IF($A725&lt;&gt;"",'Approved-In-Depth'!C725,"")</f>
        <v/>
      </c>
      <c r="D725" t="str">
        <f>IF($A725&lt;&gt;"",'Approved-In-Depth'!D725,"")</f>
        <v/>
      </c>
      <c r="E725" t="str">
        <f>IF($A725&lt;&gt;"",'Approved-In-Depth'!E725,"")</f>
        <v/>
      </c>
      <c r="F725" t="str">
        <f>IF($A725&lt;&gt;"",'Approved-In-Depth'!F725,"")</f>
        <v/>
      </c>
      <c r="G725" t="str">
        <f>IF($A725&lt;&gt;"",'Approved-In-Depth'!G725,"")</f>
        <v/>
      </c>
      <c r="H725" s="4" t="str">
        <f>IF($A725&lt;&gt;"",'Approved-In-Depth'!H725,"")</f>
        <v/>
      </c>
      <c r="I725" t="str">
        <f>IF($A725&lt;&gt;"",'Approved-In-Depth'!I725,"")</f>
        <v/>
      </c>
      <c r="J725" t="str">
        <f>IF($A725&lt;&gt;"",'Approved-In-Depth'!J725,"")</f>
        <v/>
      </c>
      <c r="K725" t="str">
        <f>IF($A725&lt;&gt;"",'Approved-In-Depth'!K725,"")</f>
        <v/>
      </c>
      <c r="L725" s="4" t="str">
        <f>IF($A725&lt;&gt;"",'Approved-In-Depth'!L725,"")</f>
        <v/>
      </c>
      <c r="M725" t="str">
        <f>IF($A725&lt;&gt;"",'Approved-In-Depth'!M725,"")</f>
        <v/>
      </c>
    </row>
    <row r="726" spans="1:13" x14ac:dyDescent="0.35">
      <c r="A726" s="4" t="str">
        <f>IF('Approved-In-Depth'!$A726&lt;&gt;"",'Approved-In-Depth'!A726,"")</f>
        <v/>
      </c>
      <c r="B726" t="str">
        <f>IF($O726&lt;&gt;"",$O726,IF($A726&lt;&gt;"",'Approved-In-Depth'!$B726+7,""))</f>
        <v/>
      </c>
      <c r="C726" t="str">
        <f>IF($A726&lt;&gt;"",'Approved-In-Depth'!C726,"")</f>
        <v/>
      </c>
      <c r="D726" t="str">
        <f>IF($A726&lt;&gt;"",'Approved-In-Depth'!D726,"")</f>
        <v/>
      </c>
      <c r="E726" t="str">
        <f>IF($A726&lt;&gt;"",'Approved-In-Depth'!E726,"")</f>
        <v/>
      </c>
      <c r="F726" t="str">
        <f>IF($A726&lt;&gt;"",'Approved-In-Depth'!F726,"")</f>
        <v/>
      </c>
      <c r="G726" t="str">
        <f>IF($A726&lt;&gt;"",'Approved-In-Depth'!G726,"")</f>
        <v/>
      </c>
      <c r="H726" s="4" t="str">
        <f>IF($A726&lt;&gt;"",'Approved-In-Depth'!H726,"")</f>
        <v/>
      </c>
      <c r="I726" t="str">
        <f>IF($A726&lt;&gt;"",'Approved-In-Depth'!I726,"")</f>
        <v/>
      </c>
      <c r="J726" t="str">
        <f>IF($A726&lt;&gt;"",'Approved-In-Depth'!J726,"")</f>
        <v/>
      </c>
      <c r="K726" t="str">
        <f>IF($A726&lt;&gt;"",'Approved-In-Depth'!K726,"")</f>
        <v/>
      </c>
      <c r="L726" s="4" t="str">
        <f>IF($A726&lt;&gt;"",'Approved-In-Depth'!L726,"")</f>
        <v/>
      </c>
      <c r="M726" t="str">
        <f>IF($A726&lt;&gt;"",'Approved-In-Depth'!M726,"")</f>
        <v/>
      </c>
    </row>
    <row r="727" spans="1:13" x14ac:dyDescent="0.35">
      <c r="A727" s="4" t="str">
        <f>IF('Approved-In-Depth'!$A727&lt;&gt;"",'Approved-In-Depth'!A727,"")</f>
        <v/>
      </c>
      <c r="B727" t="str">
        <f>IF($O727&lt;&gt;"",$O727,IF($A727&lt;&gt;"",'Approved-In-Depth'!$B727+7,""))</f>
        <v/>
      </c>
      <c r="C727" t="str">
        <f>IF($A727&lt;&gt;"",'Approved-In-Depth'!C727,"")</f>
        <v/>
      </c>
      <c r="D727" t="str">
        <f>IF($A727&lt;&gt;"",'Approved-In-Depth'!D727,"")</f>
        <v/>
      </c>
      <c r="E727" t="str">
        <f>IF($A727&lt;&gt;"",'Approved-In-Depth'!E727,"")</f>
        <v/>
      </c>
      <c r="F727" t="str">
        <f>IF($A727&lt;&gt;"",'Approved-In-Depth'!F727,"")</f>
        <v/>
      </c>
      <c r="G727" t="str">
        <f>IF($A727&lt;&gt;"",'Approved-In-Depth'!G727,"")</f>
        <v/>
      </c>
      <c r="H727" s="4" t="str">
        <f>IF($A727&lt;&gt;"",'Approved-In-Depth'!H727,"")</f>
        <v/>
      </c>
      <c r="I727" t="str">
        <f>IF($A727&lt;&gt;"",'Approved-In-Depth'!I727,"")</f>
        <v/>
      </c>
      <c r="J727" t="str">
        <f>IF($A727&lt;&gt;"",'Approved-In-Depth'!J727,"")</f>
        <v/>
      </c>
      <c r="K727" t="str">
        <f>IF($A727&lt;&gt;"",'Approved-In-Depth'!K727,"")</f>
        <v/>
      </c>
      <c r="L727" s="4" t="str">
        <f>IF($A727&lt;&gt;"",'Approved-In-Depth'!L727,"")</f>
        <v/>
      </c>
      <c r="M727" t="str">
        <f>IF($A727&lt;&gt;"",'Approved-In-Depth'!M727,"")</f>
        <v/>
      </c>
    </row>
    <row r="728" spans="1:13" x14ac:dyDescent="0.35">
      <c r="A728" s="4" t="str">
        <f>IF('Approved-In-Depth'!$A728&lt;&gt;"",'Approved-In-Depth'!A728,"")</f>
        <v/>
      </c>
      <c r="B728" t="str">
        <f>IF($O728&lt;&gt;"",$O728,IF($A728&lt;&gt;"",'Approved-In-Depth'!$B728+7,""))</f>
        <v/>
      </c>
      <c r="C728" t="str">
        <f>IF($A728&lt;&gt;"",'Approved-In-Depth'!C728,"")</f>
        <v/>
      </c>
      <c r="D728" t="str">
        <f>IF($A728&lt;&gt;"",'Approved-In-Depth'!D728,"")</f>
        <v/>
      </c>
      <c r="E728" t="str">
        <f>IF($A728&lt;&gt;"",'Approved-In-Depth'!E728,"")</f>
        <v/>
      </c>
      <c r="F728" t="str">
        <f>IF($A728&lt;&gt;"",'Approved-In-Depth'!F728,"")</f>
        <v/>
      </c>
      <c r="G728" t="str">
        <f>IF($A728&lt;&gt;"",'Approved-In-Depth'!G728,"")</f>
        <v/>
      </c>
      <c r="H728" s="4" t="str">
        <f>IF($A728&lt;&gt;"",'Approved-In-Depth'!H728,"")</f>
        <v/>
      </c>
      <c r="I728" t="str">
        <f>IF($A728&lt;&gt;"",'Approved-In-Depth'!I728,"")</f>
        <v/>
      </c>
      <c r="J728" t="str">
        <f>IF($A728&lt;&gt;"",'Approved-In-Depth'!J728,"")</f>
        <v/>
      </c>
      <c r="K728" t="str">
        <f>IF($A728&lt;&gt;"",'Approved-In-Depth'!K728,"")</f>
        <v/>
      </c>
      <c r="L728" s="4" t="str">
        <f>IF($A728&lt;&gt;"",'Approved-In-Depth'!L728,"")</f>
        <v/>
      </c>
      <c r="M728" t="str">
        <f>IF($A728&lt;&gt;"",'Approved-In-Depth'!M728,"")</f>
        <v/>
      </c>
    </row>
    <row r="729" spans="1:13" x14ac:dyDescent="0.35">
      <c r="A729" s="4" t="str">
        <f>IF('Approved-In-Depth'!$A729&lt;&gt;"",'Approved-In-Depth'!A729,"")</f>
        <v/>
      </c>
      <c r="B729" t="str">
        <f>IF($O729&lt;&gt;"",$O729,IF($A729&lt;&gt;"",'Approved-In-Depth'!$B729+7,""))</f>
        <v/>
      </c>
      <c r="C729" t="str">
        <f>IF($A729&lt;&gt;"",'Approved-In-Depth'!C729,"")</f>
        <v/>
      </c>
      <c r="D729" t="str">
        <f>IF($A729&lt;&gt;"",'Approved-In-Depth'!D729,"")</f>
        <v/>
      </c>
      <c r="E729" t="str">
        <f>IF($A729&lt;&gt;"",'Approved-In-Depth'!E729,"")</f>
        <v/>
      </c>
      <c r="F729" t="str">
        <f>IF($A729&lt;&gt;"",'Approved-In-Depth'!F729,"")</f>
        <v/>
      </c>
      <c r="G729" t="str">
        <f>IF($A729&lt;&gt;"",'Approved-In-Depth'!G729,"")</f>
        <v/>
      </c>
      <c r="H729" s="4" t="str">
        <f>IF($A729&lt;&gt;"",'Approved-In-Depth'!H729,"")</f>
        <v/>
      </c>
      <c r="I729" t="str">
        <f>IF($A729&lt;&gt;"",'Approved-In-Depth'!I729,"")</f>
        <v/>
      </c>
      <c r="J729" t="str">
        <f>IF($A729&lt;&gt;"",'Approved-In-Depth'!J729,"")</f>
        <v/>
      </c>
      <c r="K729" t="str">
        <f>IF($A729&lt;&gt;"",'Approved-In-Depth'!K729,"")</f>
        <v/>
      </c>
      <c r="L729" s="4" t="str">
        <f>IF($A729&lt;&gt;"",'Approved-In-Depth'!L729,"")</f>
        <v/>
      </c>
      <c r="M729" t="str">
        <f>IF($A729&lt;&gt;"",'Approved-In-Depth'!M729,"")</f>
        <v/>
      </c>
    </row>
    <row r="730" spans="1:13" x14ac:dyDescent="0.35">
      <c r="A730" s="4" t="str">
        <f>IF('Approved-In-Depth'!$A730&lt;&gt;"",'Approved-In-Depth'!A730,"")</f>
        <v/>
      </c>
      <c r="B730" t="str">
        <f>IF($O730&lt;&gt;"",$O730,IF($A730&lt;&gt;"",'Approved-In-Depth'!$B730+7,""))</f>
        <v/>
      </c>
      <c r="C730" t="str">
        <f>IF($A730&lt;&gt;"",'Approved-In-Depth'!C730,"")</f>
        <v/>
      </c>
      <c r="D730" t="str">
        <f>IF($A730&lt;&gt;"",'Approved-In-Depth'!D730,"")</f>
        <v/>
      </c>
      <c r="E730" t="str">
        <f>IF($A730&lt;&gt;"",'Approved-In-Depth'!E730,"")</f>
        <v/>
      </c>
      <c r="F730" t="str">
        <f>IF($A730&lt;&gt;"",'Approved-In-Depth'!F730,"")</f>
        <v/>
      </c>
      <c r="G730" t="str">
        <f>IF($A730&lt;&gt;"",'Approved-In-Depth'!G730,"")</f>
        <v/>
      </c>
      <c r="H730" s="4" t="str">
        <f>IF($A730&lt;&gt;"",'Approved-In-Depth'!H730,"")</f>
        <v/>
      </c>
      <c r="I730" t="str">
        <f>IF($A730&lt;&gt;"",'Approved-In-Depth'!I730,"")</f>
        <v/>
      </c>
      <c r="J730" t="str">
        <f>IF($A730&lt;&gt;"",'Approved-In-Depth'!J730,"")</f>
        <v/>
      </c>
      <c r="K730" t="str">
        <f>IF($A730&lt;&gt;"",'Approved-In-Depth'!K730,"")</f>
        <v/>
      </c>
      <c r="L730" s="4" t="str">
        <f>IF($A730&lt;&gt;"",'Approved-In-Depth'!L730,"")</f>
        <v/>
      </c>
      <c r="M730" t="str">
        <f>IF($A730&lt;&gt;"",'Approved-In-Depth'!M730,"")</f>
        <v/>
      </c>
    </row>
    <row r="731" spans="1:13" x14ac:dyDescent="0.35">
      <c r="A731" s="4" t="str">
        <f>IF('Approved-In-Depth'!$A731&lt;&gt;"",'Approved-In-Depth'!A731,"")</f>
        <v/>
      </c>
      <c r="B731" t="str">
        <f>IF($O731&lt;&gt;"",$O731,IF($A731&lt;&gt;"",'Approved-In-Depth'!$B731+7,""))</f>
        <v/>
      </c>
      <c r="C731" t="str">
        <f>IF($A731&lt;&gt;"",'Approved-In-Depth'!C731,"")</f>
        <v/>
      </c>
      <c r="D731" t="str">
        <f>IF($A731&lt;&gt;"",'Approved-In-Depth'!D731,"")</f>
        <v/>
      </c>
      <c r="E731" t="str">
        <f>IF($A731&lt;&gt;"",'Approved-In-Depth'!E731,"")</f>
        <v/>
      </c>
      <c r="F731" t="str">
        <f>IF($A731&lt;&gt;"",'Approved-In-Depth'!F731,"")</f>
        <v/>
      </c>
      <c r="G731" t="str">
        <f>IF($A731&lt;&gt;"",'Approved-In-Depth'!G731,"")</f>
        <v/>
      </c>
      <c r="H731" s="4" t="str">
        <f>IF($A731&lt;&gt;"",'Approved-In-Depth'!H731,"")</f>
        <v/>
      </c>
      <c r="I731" t="str">
        <f>IF($A731&lt;&gt;"",'Approved-In-Depth'!I731,"")</f>
        <v/>
      </c>
      <c r="J731" t="str">
        <f>IF($A731&lt;&gt;"",'Approved-In-Depth'!J731,"")</f>
        <v/>
      </c>
      <c r="K731" t="str">
        <f>IF($A731&lt;&gt;"",'Approved-In-Depth'!K731,"")</f>
        <v/>
      </c>
      <c r="L731" s="4" t="str">
        <f>IF($A731&lt;&gt;"",'Approved-In-Depth'!L731,"")</f>
        <v/>
      </c>
      <c r="M731" t="str">
        <f>IF($A731&lt;&gt;"",'Approved-In-Depth'!M731,"")</f>
        <v/>
      </c>
    </row>
    <row r="732" spans="1:13" x14ac:dyDescent="0.35">
      <c r="A732" s="4" t="str">
        <f>IF('Approved-In-Depth'!$A732&lt;&gt;"",'Approved-In-Depth'!A732,"")</f>
        <v/>
      </c>
      <c r="B732" t="str">
        <f>IF($O732&lt;&gt;"",$O732,IF($A732&lt;&gt;"",'Approved-In-Depth'!$B732+7,""))</f>
        <v/>
      </c>
      <c r="C732" t="str">
        <f>IF($A732&lt;&gt;"",'Approved-In-Depth'!C732,"")</f>
        <v/>
      </c>
      <c r="D732" t="str">
        <f>IF($A732&lt;&gt;"",'Approved-In-Depth'!D732,"")</f>
        <v/>
      </c>
      <c r="E732" t="str">
        <f>IF($A732&lt;&gt;"",'Approved-In-Depth'!E732,"")</f>
        <v/>
      </c>
      <c r="F732" t="str">
        <f>IF($A732&lt;&gt;"",'Approved-In-Depth'!F732,"")</f>
        <v/>
      </c>
      <c r="G732" t="str">
        <f>IF($A732&lt;&gt;"",'Approved-In-Depth'!G732,"")</f>
        <v/>
      </c>
      <c r="H732" s="4" t="str">
        <f>IF($A732&lt;&gt;"",'Approved-In-Depth'!H732,"")</f>
        <v/>
      </c>
      <c r="I732" t="str">
        <f>IF($A732&lt;&gt;"",'Approved-In-Depth'!I732,"")</f>
        <v/>
      </c>
      <c r="J732" t="str">
        <f>IF($A732&lt;&gt;"",'Approved-In-Depth'!J732,"")</f>
        <v/>
      </c>
      <c r="K732" t="str">
        <f>IF($A732&lt;&gt;"",'Approved-In-Depth'!K732,"")</f>
        <v/>
      </c>
      <c r="L732" s="4" t="str">
        <f>IF($A732&lt;&gt;"",'Approved-In-Depth'!L732,"")</f>
        <v/>
      </c>
      <c r="M732" t="str">
        <f>IF($A732&lt;&gt;"",'Approved-In-Depth'!M732,"")</f>
        <v/>
      </c>
    </row>
    <row r="733" spans="1:13" x14ac:dyDescent="0.35">
      <c r="A733" s="4" t="str">
        <f>IF('Approved-In-Depth'!$A733&lt;&gt;"",'Approved-In-Depth'!A733,"")</f>
        <v/>
      </c>
      <c r="B733" t="str">
        <f>IF($O733&lt;&gt;"",$O733,IF($A733&lt;&gt;"",'Approved-In-Depth'!$B733+7,""))</f>
        <v/>
      </c>
      <c r="C733" t="str">
        <f>IF($A733&lt;&gt;"",'Approved-In-Depth'!C733,"")</f>
        <v/>
      </c>
      <c r="D733" t="str">
        <f>IF($A733&lt;&gt;"",'Approved-In-Depth'!D733,"")</f>
        <v/>
      </c>
      <c r="E733" t="str">
        <f>IF($A733&lt;&gt;"",'Approved-In-Depth'!E733,"")</f>
        <v/>
      </c>
      <c r="F733" t="str">
        <f>IF($A733&lt;&gt;"",'Approved-In-Depth'!F733,"")</f>
        <v/>
      </c>
      <c r="G733" t="str">
        <f>IF($A733&lt;&gt;"",'Approved-In-Depth'!G733,"")</f>
        <v/>
      </c>
      <c r="H733" s="4" t="str">
        <f>IF($A733&lt;&gt;"",'Approved-In-Depth'!H733,"")</f>
        <v/>
      </c>
      <c r="I733" t="str">
        <f>IF($A733&lt;&gt;"",'Approved-In-Depth'!I733,"")</f>
        <v/>
      </c>
      <c r="J733" t="str">
        <f>IF($A733&lt;&gt;"",'Approved-In-Depth'!J733,"")</f>
        <v/>
      </c>
      <c r="K733" t="str">
        <f>IF($A733&lt;&gt;"",'Approved-In-Depth'!K733,"")</f>
        <v/>
      </c>
      <c r="L733" s="4" t="str">
        <f>IF($A733&lt;&gt;"",'Approved-In-Depth'!L733,"")</f>
        <v/>
      </c>
      <c r="M733" t="str">
        <f>IF($A733&lt;&gt;"",'Approved-In-Depth'!M733,"")</f>
        <v/>
      </c>
    </row>
    <row r="734" spans="1:13" x14ac:dyDescent="0.35">
      <c r="A734" s="4" t="str">
        <f>IF('Approved-In-Depth'!$A734&lt;&gt;"",'Approved-In-Depth'!A734,"")</f>
        <v/>
      </c>
      <c r="B734" t="str">
        <f>IF($O734&lt;&gt;"",$O734,IF($A734&lt;&gt;"",'Approved-In-Depth'!$B734+7,""))</f>
        <v/>
      </c>
      <c r="C734" t="str">
        <f>IF($A734&lt;&gt;"",'Approved-In-Depth'!C734,"")</f>
        <v/>
      </c>
      <c r="D734" t="str">
        <f>IF($A734&lt;&gt;"",'Approved-In-Depth'!D734,"")</f>
        <v/>
      </c>
      <c r="E734" t="str">
        <f>IF($A734&lt;&gt;"",'Approved-In-Depth'!E734,"")</f>
        <v/>
      </c>
      <c r="F734" t="str">
        <f>IF($A734&lt;&gt;"",'Approved-In-Depth'!F734,"")</f>
        <v/>
      </c>
      <c r="G734" t="str">
        <f>IF($A734&lt;&gt;"",'Approved-In-Depth'!G734,"")</f>
        <v/>
      </c>
      <c r="H734" s="4" t="str">
        <f>IF($A734&lt;&gt;"",'Approved-In-Depth'!H734,"")</f>
        <v/>
      </c>
      <c r="I734" t="str">
        <f>IF($A734&lt;&gt;"",'Approved-In-Depth'!I734,"")</f>
        <v/>
      </c>
      <c r="J734" t="str">
        <f>IF($A734&lt;&gt;"",'Approved-In-Depth'!J734,"")</f>
        <v/>
      </c>
      <c r="K734" t="str">
        <f>IF($A734&lt;&gt;"",'Approved-In-Depth'!K734,"")</f>
        <v/>
      </c>
      <c r="L734" s="4" t="str">
        <f>IF($A734&lt;&gt;"",'Approved-In-Depth'!L734,"")</f>
        <v/>
      </c>
      <c r="M734" t="str">
        <f>IF($A734&lt;&gt;"",'Approved-In-Depth'!M734,"")</f>
        <v/>
      </c>
    </row>
    <row r="735" spans="1:13" x14ac:dyDescent="0.35">
      <c r="A735" s="4" t="str">
        <f>IF('Approved-In-Depth'!$A735&lt;&gt;"",'Approved-In-Depth'!A735,"")</f>
        <v/>
      </c>
      <c r="B735" t="str">
        <f>IF($O735&lt;&gt;"",$O735,IF($A735&lt;&gt;"",'Approved-In-Depth'!$B735+7,""))</f>
        <v/>
      </c>
      <c r="C735" t="str">
        <f>IF($A735&lt;&gt;"",'Approved-In-Depth'!C735,"")</f>
        <v/>
      </c>
      <c r="D735" t="str">
        <f>IF($A735&lt;&gt;"",'Approved-In-Depth'!D735,"")</f>
        <v/>
      </c>
      <c r="E735" t="str">
        <f>IF($A735&lt;&gt;"",'Approved-In-Depth'!E735,"")</f>
        <v/>
      </c>
      <c r="F735" t="str">
        <f>IF($A735&lt;&gt;"",'Approved-In-Depth'!F735,"")</f>
        <v/>
      </c>
      <c r="G735" t="str">
        <f>IF($A735&lt;&gt;"",'Approved-In-Depth'!G735,"")</f>
        <v/>
      </c>
      <c r="H735" s="4" t="str">
        <f>IF($A735&lt;&gt;"",'Approved-In-Depth'!H735,"")</f>
        <v/>
      </c>
      <c r="I735" t="str">
        <f>IF($A735&lt;&gt;"",'Approved-In-Depth'!I735,"")</f>
        <v/>
      </c>
      <c r="J735" t="str">
        <f>IF($A735&lt;&gt;"",'Approved-In-Depth'!J735,"")</f>
        <v/>
      </c>
      <c r="K735" t="str">
        <f>IF($A735&lt;&gt;"",'Approved-In-Depth'!K735,"")</f>
        <v/>
      </c>
      <c r="L735" s="4" t="str">
        <f>IF($A735&lt;&gt;"",'Approved-In-Depth'!L735,"")</f>
        <v/>
      </c>
      <c r="M735" t="str">
        <f>IF($A735&lt;&gt;"",'Approved-In-Depth'!M735,"")</f>
        <v/>
      </c>
    </row>
    <row r="736" spans="1:13" x14ac:dyDescent="0.35">
      <c r="A736" s="4" t="str">
        <f>IF('Approved-In-Depth'!$A736&lt;&gt;"",'Approved-In-Depth'!A736,"")</f>
        <v/>
      </c>
      <c r="B736" t="str">
        <f>IF($O736&lt;&gt;"",$O736,IF($A736&lt;&gt;"",'Approved-In-Depth'!$B736+7,""))</f>
        <v/>
      </c>
      <c r="C736" t="str">
        <f>IF($A736&lt;&gt;"",'Approved-In-Depth'!C736,"")</f>
        <v/>
      </c>
      <c r="D736" t="str">
        <f>IF($A736&lt;&gt;"",'Approved-In-Depth'!D736,"")</f>
        <v/>
      </c>
      <c r="E736" t="str">
        <f>IF($A736&lt;&gt;"",'Approved-In-Depth'!E736,"")</f>
        <v/>
      </c>
      <c r="F736" t="str">
        <f>IF($A736&lt;&gt;"",'Approved-In-Depth'!F736,"")</f>
        <v/>
      </c>
      <c r="G736" t="str">
        <f>IF($A736&lt;&gt;"",'Approved-In-Depth'!G736,"")</f>
        <v/>
      </c>
      <c r="H736" s="4" t="str">
        <f>IF($A736&lt;&gt;"",'Approved-In-Depth'!H736,"")</f>
        <v/>
      </c>
      <c r="I736" t="str">
        <f>IF($A736&lt;&gt;"",'Approved-In-Depth'!I736,"")</f>
        <v/>
      </c>
      <c r="J736" t="str">
        <f>IF($A736&lt;&gt;"",'Approved-In-Depth'!J736,"")</f>
        <v/>
      </c>
      <c r="K736" t="str">
        <f>IF($A736&lt;&gt;"",'Approved-In-Depth'!K736,"")</f>
        <v/>
      </c>
      <c r="L736" s="4" t="str">
        <f>IF($A736&lt;&gt;"",'Approved-In-Depth'!L736,"")</f>
        <v/>
      </c>
      <c r="M736" t="str">
        <f>IF($A736&lt;&gt;"",'Approved-In-Depth'!M736,"")</f>
        <v/>
      </c>
    </row>
    <row r="737" spans="1:13" x14ac:dyDescent="0.35">
      <c r="A737" s="4" t="str">
        <f>IF('Approved-In-Depth'!$A737&lt;&gt;"",'Approved-In-Depth'!A737,"")</f>
        <v/>
      </c>
      <c r="B737" t="str">
        <f>IF($O737&lt;&gt;"",$O737,IF($A737&lt;&gt;"",'Approved-In-Depth'!$B737+7,""))</f>
        <v/>
      </c>
      <c r="C737" t="str">
        <f>IF($A737&lt;&gt;"",'Approved-In-Depth'!C737,"")</f>
        <v/>
      </c>
      <c r="D737" t="str">
        <f>IF($A737&lt;&gt;"",'Approved-In-Depth'!D737,"")</f>
        <v/>
      </c>
      <c r="E737" t="str">
        <f>IF($A737&lt;&gt;"",'Approved-In-Depth'!E737,"")</f>
        <v/>
      </c>
      <c r="F737" t="str">
        <f>IF($A737&lt;&gt;"",'Approved-In-Depth'!F737,"")</f>
        <v/>
      </c>
      <c r="G737" t="str">
        <f>IF($A737&lt;&gt;"",'Approved-In-Depth'!G737,"")</f>
        <v/>
      </c>
      <c r="H737" s="4" t="str">
        <f>IF($A737&lt;&gt;"",'Approved-In-Depth'!H737,"")</f>
        <v/>
      </c>
      <c r="I737" t="str">
        <f>IF($A737&lt;&gt;"",'Approved-In-Depth'!I737,"")</f>
        <v/>
      </c>
      <c r="J737" t="str">
        <f>IF($A737&lt;&gt;"",'Approved-In-Depth'!J737,"")</f>
        <v/>
      </c>
      <c r="K737" t="str">
        <f>IF($A737&lt;&gt;"",'Approved-In-Depth'!K737,"")</f>
        <v/>
      </c>
      <c r="L737" s="4" t="str">
        <f>IF($A737&lt;&gt;"",'Approved-In-Depth'!L737,"")</f>
        <v/>
      </c>
      <c r="M737" t="str">
        <f>IF($A737&lt;&gt;"",'Approved-In-Depth'!M737,"")</f>
        <v/>
      </c>
    </row>
    <row r="738" spans="1:13" x14ac:dyDescent="0.35">
      <c r="A738" s="4" t="str">
        <f>IF('Approved-In-Depth'!$A738&lt;&gt;"",'Approved-In-Depth'!A738,"")</f>
        <v/>
      </c>
      <c r="B738" t="str">
        <f>IF($O738&lt;&gt;"",$O738,IF($A738&lt;&gt;"",'Approved-In-Depth'!$B738+7,""))</f>
        <v/>
      </c>
      <c r="C738" t="str">
        <f>IF($A738&lt;&gt;"",'Approved-In-Depth'!C738,"")</f>
        <v/>
      </c>
      <c r="D738" t="str">
        <f>IF($A738&lt;&gt;"",'Approved-In-Depth'!D738,"")</f>
        <v/>
      </c>
      <c r="E738" t="str">
        <f>IF($A738&lt;&gt;"",'Approved-In-Depth'!E738,"")</f>
        <v/>
      </c>
      <c r="F738" t="str">
        <f>IF($A738&lt;&gt;"",'Approved-In-Depth'!F738,"")</f>
        <v/>
      </c>
      <c r="G738" t="str">
        <f>IF($A738&lt;&gt;"",'Approved-In-Depth'!G738,"")</f>
        <v/>
      </c>
      <c r="H738" s="4" t="str">
        <f>IF($A738&lt;&gt;"",'Approved-In-Depth'!H738,"")</f>
        <v/>
      </c>
      <c r="I738" t="str">
        <f>IF($A738&lt;&gt;"",'Approved-In-Depth'!I738,"")</f>
        <v/>
      </c>
      <c r="J738" t="str">
        <f>IF($A738&lt;&gt;"",'Approved-In-Depth'!J738,"")</f>
        <v/>
      </c>
      <c r="K738" t="str">
        <f>IF($A738&lt;&gt;"",'Approved-In-Depth'!K738,"")</f>
        <v/>
      </c>
      <c r="L738" s="4" t="str">
        <f>IF($A738&lt;&gt;"",'Approved-In-Depth'!L738,"")</f>
        <v/>
      </c>
      <c r="M738" t="str">
        <f>IF($A738&lt;&gt;"",'Approved-In-Depth'!M738,"")</f>
        <v/>
      </c>
    </row>
    <row r="739" spans="1:13" x14ac:dyDescent="0.35">
      <c r="A739" s="4" t="str">
        <f>IF('Approved-In-Depth'!$A739&lt;&gt;"",'Approved-In-Depth'!A739,"")</f>
        <v/>
      </c>
      <c r="B739" t="str">
        <f>IF($O739&lt;&gt;"",$O739,IF($A739&lt;&gt;"",'Approved-In-Depth'!$B739+7,""))</f>
        <v/>
      </c>
      <c r="C739" t="str">
        <f>IF($A739&lt;&gt;"",'Approved-In-Depth'!C739,"")</f>
        <v/>
      </c>
      <c r="D739" t="str">
        <f>IF($A739&lt;&gt;"",'Approved-In-Depth'!D739,"")</f>
        <v/>
      </c>
      <c r="E739" t="str">
        <f>IF($A739&lt;&gt;"",'Approved-In-Depth'!E739,"")</f>
        <v/>
      </c>
      <c r="F739" t="str">
        <f>IF($A739&lt;&gt;"",'Approved-In-Depth'!F739,"")</f>
        <v/>
      </c>
      <c r="G739" t="str">
        <f>IF($A739&lt;&gt;"",'Approved-In-Depth'!G739,"")</f>
        <v/>
      </c>
      <c r="H739" s="4" t="str">
        <f>IF($A739&lt;&gt;"",'Approved-In-Depth'!H739,"")</f>
        <v/>
      </c>
      <c r="I739" t="str">
        <f>IF($A739&lt;&gt;"",'Approved-In-Depth'!I739,"")</f>
        <v/>
      </c>
      <c r="J739" t="str">
        <f>IF($A739&lt;&gt;"",'Approved-In-Depth'!J739,"")</f>
        <v/>
      </c>
      <c r="K739" t="str">
        <f>IF($A739&lt;&gt;"",'Approved-In-Depth'!K739,"")</f>
        <v/>
      </c>
      <c r="L739" s="4" t="str">
        <f>IF($A739&lt;&gt;"",'Approved-In-Depth'!L739,"")</f>
        <v/>
      </c>
      <c r="M739" t="str">
        <f>IF($A739&lt;&gt;"",'Approved-In-Depth'!M739,"")</f>
        <v/>
      </c>
    </row>
    <row r="740" spans="1:13" x14ac:dyDescent="0.35">
      <c r="A740" s="4" t="str">
        <f>IF('Approved-In-Depth'!$A740&lt;&gt;"",'Approved-In-Depth'!A740,"")</f>
        <v/>
      </c>
      <c r="B740" t="str">
        <f>IF($O740&lt;&gt;"",$O740,IF($A740&lt;&gt;"",'Approved-In-Depth'!$B740+7,""))</f>
        <v/>
      </c>
      <c r="C740" t="str">
        <f>IF($A740&lt;&gt;"",'Approved-In-Depth'!C740,"")</f>
        <v/>
      </c>
      <c r="D740" t="str">
        <f>IF($A740&lt;&gt;"",'Approved-In-Depth'!D740,"")</f>
        <v/>
      </c>
      <c r="E740" t="str">
        <f>IF($A740&lt;&gt;"",'Approved-In-Depth'!E740,"")</f>
        <v/>
      </c>
      <c r="F740" t="str">
        <f>IF($A740&lt;&gt;"",'Approved-In-Depth'!F740,"")</f>
        <v/>
      </c>
      <c r="G740" t="str">
        <f>IF($A740&lt;&gt;"",'Approved-In-Depth'!G740,"")</f>
        <v/>
      </c>
      <c r="H740" s="4" t="str">
        <f>IF($A740&lt;&gt;"",'Approved-In-Depth'!H740,"")</f>
        <v/>
      </c>
      <c r="I740" t="str">
        <f>IF($A740&lt;&gt;"",'Approved-In-Depth'!I740,"")</f>
        <v/>
      </c>
      <c r="J740" t="str">
        <f>IF($A740&lt;&gt;"",'Approved-In-Depth'!J740,"")</f>
        <v/>
      </c>
      <c r="K740" t="str">
        <f>IF($A740&lt;&gt;"",'Approved-In-Depth'!K740,"")</f>
        <v/>
      </c>
      <c r="L740" s="4" t="str">
        <f>IF($A740&lt;&gt;"",'Approved-In-Depth'!L740,"")</f>
        <v/>
      </c>
      <c r="M740" t="str">
        <f>IF($A740&lt;&gt;"",'Approved-In-Depth'!M740,"")</f>
        <v/>
      </c>
    </row>
    <row r="741" spans="1:13" x14ac:dyDescent="0.35">
      <c r="A741" s="4" t="str">
        <f>IF('Approved-In-Depth'!$A741&lt;&gt;"",'Approved-In-Depth'!A741,"")</f>
        <v/>
      </c>
      <c r="B741" t="str">
        <f>IF($O741&lt;&gt;"",$O741,IF($A741&lt;&gt;"",'Approved-In-Depth'!$B741+7,""))</f>
        <v/>
      </c>
      <c r="C741" t="str">
        <f>IF($A741&lt;&gt;"",'Approved-In-Depth'!C741,"")</f>
        <v/>
      </c>
      <c r="D741" t="str">
        <f>IF($A741&lt;&gt;"",'Approved-In-Depth'!D741,"")</f>
        <v/>
      </c>
      <c r="E741" t="str">
        <f>IF($A741&lt;&gt;"",'Approved-In-Depth'!E741,"")</f>
        <v/>
      </c>
      <c r="F741" t="str">
        <f>IF($A741&lt;&gt;"",'Approved-In-Depth'!F741,"")</f>
        <v/>
      </c>
      <c r="G741" t="str">
        <f>IF($A741&lt;&gt;"",'Approved-In-Depth'!G741,"")</f>
        <v/>
      </c>
      <c r="H741" s="4" t="str">
        <f>IF($A741&lt;&gt;"",'Approved-In-Depth'!H741,"")</f>
        <v/>
      </c>
      <c r="I741" t="str">
        <f>IF($A741&lt;&gt;"",'Approved-In-Depth'!I741,"")</f>
        <v/>
      </c>
      <c r="J741" t="str">
        <f>IF($A741&lt;&gt;"",'Approved-In-Depth'!J741,"")</f>
        <v/>
      </c>
      <c r="K741" t="str">
        <f>IF($A741&lt;&gt;"",'Approved-In-Depth'!K741,"")</f>
        <v/>
      </c>
      <c r="L741" s="4" t="str">
        <f>IF($A741&lt;&gt;"",'Approved-In-Depth'!L741,"")</f>
        <v/>
      </c>
      <c r="M741" t="str">
        <f>IF($A741&lt;&gt;"",'Approved-In-Depth'!M741,"")</f>
        <v/>
      </c>
    </row>
    <row r="742" spans="1:13" x14ac:dyDescent="0.35">
      <c r="A742" s="4" t="str">
        <f>IF('Approved-In-Depth'!$A742&lt;&gt;"",'Approved-In-Depth'!A742,"")</f>
        <v/>
      </c>
      <c r="B742" t="str">
        <f>IF($O742&lt;&gt;"",$O742,IF($A742&lt;&gt;"",'Approved-In-Depth'!$B742+7,""))</f>
        <v/>
      </c>
      <c r="C742" t="str">
        <f>IF($A742&lt;&gt;"",'Approved-In-Depth'!C742,"")</f>
        <v/>
      </c>
      <c r="D742" t="str">
        <f>IF($A742&lt;&gt;"",'Approved-In-Depth'!D742,"")</f>
        <v/>
      </c>
      <c r="E742" t="str">
        <f>IF($A742&lt;&gt;"",'Approved-In-Depth'!E742,"")</f>
        <v/>
      </c>
      <c r="F742" t="str">
        <f>IF($A742&lt;&gt;"",'Approved-In-Depth'!F742,"")</f>
        <v/>
      </c>
      <c r="G742" t="str">
        <f>IF($A742&lt;&gt;"",'Approved-In-Depth'!G742,"")</f>
        <v/>
      </c>
      <c r="H742" s="4" t="str">
        <f>IF($A742&lt;&gt;"",'Approved-In-Depth'!H742,"")</f>
        <v/>
      </c>
      <c r="I742" t="str">
        <f>IF($A742&lt;&gt;"",'Approved-In-Depth'!I742,"")</f>
        <v/>
      </c>
      <c r="J742" t="str">
        <f>IF($A742&lt;&gt;"",'Approved-In-Depth'!J742,"")</f>
        <v/>
      </c>
      <c r="K742" t="str">
        <f>IF($A742&lt;&gt;"",'Approved-In-Depth'!K742,"")</f>
        <v/>
      </c>
      <c r="L742" s="4" t="str">
        <f>IF($A742&lt;&gt;"",'Approved-In-Depth'!L742,"")</f>
        <v/>
      </c>
      <c r="M742" t="str">
        <f>IF($A742&lt;&gt;"",'Approved-In-Depth'!M742,"")</f>
        <v/>
      </c>
    </row>
    <row r="743" spans="1:13" x14ac:dyDescent="0.35">
      <c r="A743" s="4" t="str">
        <f>IF('Approved-In-Depth'!$A743&lt;&gt;"",'Approved-In-Depth'!A743,"")</f>
        <v/>
      </c>
      <c r="B743" t="str">
        <f>IF($O743&lt;&gt;"",$O743,IF($A743&lt;&gt;"",'Approved-In-Depth'!$B743+7,""))</f>
        <v/>
      </c>
      <c r="C743" t="str">
        <f>IF($A743&lt;&gt;"",'Approved-In-Depth'!C743,"")</f>
        <v/>
      </c>
      <c r="D743" t="str">
        <f>IF($A743&lt;&gt;"",'Approved-In-Depth'!D743,"")</f>
        <v/>
      </c>
      <c r="E743" t="str">
        <f>IF($A743&lt;&gt;"",'Approved-In-Depth'!E743,"")</f>
        <v/>
      </c>
      <c r="F743" t="str">
        <f>IF($A743&lt;&gt;"",'Approved-In-Depth'!F743,"")</f>
        <v/>
      </c>
      <c r="G743" t="str">
        <f>IF($A743&lt;&gt;"",'Approved-In-Depth'!G743,"")</f>
        <v/>
      </c>
      <c r="H743" s="4" t="str">
        <f>IF($A743&lt;&gt;"",'Approved-In-Depth'!H743,"")</f>
        <v/>
      </c>
      <c r="I743" t="str">
        <f>IF($A743&lt;&gt;"",'Approved-In-Depth'!I743,"")</f>
        <v/>
      </c>
      <c r="J743" t="str">
        <f>IF($A743&lt;&gt;"",'Approved-In-Depth'!J743,"")</f>
        <v/>
      </c>
      <c r="K743" t="str">
        <f>IF($A743&lt;&gt;"",'Approved-In-Depth'!K743,"")</f>
        <v/>
      </c>
      <c r="L743" s="4" t="str">
        <f>IF($A743&lt;&gt;"",'Approved-In-Depth'!L743,"")</f>
        <v/>
      </c>
      <c r="M743" t="str">
        <f>IF($A743&lt;&gt;"",'Approved-In-Depth'!M743,"")</f>
        <v/>
      </c>
    </row>
    <row r="744" spans="1:13" x14ac:dyDescent="0.35">
      <c r="A744" s="4" t="str">
        <f>IF('Approved-In-Depth'!$A744&lt;&gt;"",'Approved-In-Depth'!A744,"")</f>
        <v/>
      </c>
      <c r="B744" t="str">
        <f>IF($O744&lt;&gt;"",$O744,IF($A744&lt;&gt;"",'Approved-In-Depth'!$B744+7,""))</f>
        <v/>
      </c>
      <c r="C744" t="str">
        <f>IF($A744&lt;&gt;"",'Approved-In-Depth'!C744,"")</f>
        <v/>
      </c>
      <c r="D744" t="str">
        <f>IF($A744&lt;&gt;"",'Approved-In-Depth'!D744,"")</f>
        <v/>
      </c>
      <c r="E744" t="str">
        <f>IF($A744&lt;&gt;"",'Approved-In-Depth'!E744,"")</f>
        <v/>
      </c>
      <c r="F744" t="str">
        <f>IF($A744&lt;&gt;"",'Approved-In-Depth'!F744,"")</f>
        <v/>
      </c>
      <c r="G744" t="str">
        <f>IF($A744&lt;&gt;"",'Approved-In-Depth'!G744,"")</f>
        <v/>
      </c>
      <c r="H744" s="4" t="str">
        <f>IF($A744&lt;&gt;"",'Approved-In-Depth'!H744,"")</f>
        <v/>
      </c>
      <c r="I744" t="str">
        <f>IF($A744&lt;&gt;"",'Approved-In-Depth'!I744,"")</f>
        <v/>
      </c>
      <c r="J744" t="str">
        <f>IF($A744&lt;&gt;"",'Approved-In-Depth'!J744,"")</f>
        <v/>
      </c>
      <c r="K744" t="str">
        <f>IF($A744&lt;&gt;"",'Approved-In-Depth'!K744,"")</f>
        <v/>
      </c>
      <c r="L744" s="4" t="str">
        <f>IF($A744&lt;&gt;"",'Approved-In-Depth'!L744,"")</f>
        <v/>
      </c>
      <c r="M744" t="str">
        <f>IF($A744&lt;&gt;"",'Approved-In-Depth'!M744,"")</f>
        <v/>
      </c>
    </row>
    <row r="745" spans="1:13" x14ac:dyDescent="0.35">
      <c r="A745" s="4" t="str">
        <f>IF('Approved-In-Depth'!$A745&lt;&gt;"",'Approved-In-Depth'!A745,"")</f>
        <v/>
      </c>
      <c r="B745" t="str">
        <f>IF($O745&lt;&gt;"",$O745,IF($A745&lt;&gt;"",'Approved-In-Depth'!$B745+7,""))</f>
        <v/>
      </c>
      <c r="C745" t="str">
        <f>IF($A745&lt;&gt;"",'Approved-In-Depth'!C745,"")</f>
        <v/>
      </c>
      <c r="D745" t="str">
        <f>IF($A745&lt;&gt;"",'Approved-In-Depth'!D745,"")</f>
        <v/>
      </c>
      <c r="E745" t="str">
        <f>IF($A745&lt;&gt;"",'Approved-In-Depth'!E745,"")</f>
        <v/>
      </c>
      <c r="F745" t="str">
        <f>IF($A745&lt;&gt;"",'Approved-In-Depth'!F745,"")</f>
        <v/>
      </c>
      <c r="G745" t="str">
        <f>IF($A745&lt;&gt;"",'Approved-In-Depth'!G745,"")</f>
        <v/>
      </c>
      <c r="H745" s="4" t="str">
        <f>IF($A745&lt;&gt;"",'Approved-In-Depth'!H745,"")</f>
        <v/>
      </c>
      <c r="I745" t="str">
        <f>IF($A745&lt;&gt;"",'Approved-In-Depth'!I745,"")</f>
        <v/>
      </c>
      <c r="J745" t="str">
        <f>IF($A745&lt;&gt;"",'Approved-In-Depth'!J745,"")</f>
        <v/>
      </c>
      <c r="K745" t="str">
        <f>IF($A745&lt;&gt;"",'Approved-In-Depth'!K745,"")</f>
        <v/>
      </c>
      <c r="L745" s="4" t="str">
        <f>IF($A745&lt;&gt;"",'Approved-In-Depth'!L745,"")</f>
        <v/>
      </c>
      <c r="M745" t="str">
        <f>IF($A745&lt;&gt;"",'Approved-In-Depth'!M745,"")</f>
        <v/>
      </c>
    </row>
    <row r="746" spans="1:13" x14ac:dyDescent="0.35">
      <c r="A746" s="4" t="str">
        <f>IF('Approved-In-Depth'!$A746&lt;&gt;"",'Approved-In-Depth'!A746,"")</f>
        <v/>
      </c>
      <c r="B746" t="str">
        <f>IF($O746&lt;&gt;"",$O746,IF($A746&lt;&gt;"",'Approved-In-Depth'!$B746+7,""))</f>
        <v/>
      </c>
      <c r="C746" t="str">
        <f>IF($A746&lt;&gt;"",'Approved-In-Depth'!C746,"")</f>
        <v/>
      </c>
      <c r="D746" t="str">
        <f>IF($A746&lt;&gt;"",'Approved-In-Depth'!D746,"")</f>
        <v/>
      </c>
      <c r="E746" t="str">
        <f>IF($A746&lt;&gt;"",'Approved-In-Depth'!E746,"")</f>
        <v/>
      </c>
      <c r="F746" t="str">
        <f>IF($A746&lt;&gt;"",'Approved-In-Depth'!F746,"")</f>
        <v/>
      </c>
      <c r="G746" t="str">
        <f>IF($A746&lt;&gt;"",'Approved-In-Depth'!G746,"")</f>
        <v/>
      </c>
      <c r="H746" s="4" t="str">
        <f>IF($A746&lt;&gt;"",'Approved-In-Depth'!H746,"")</f>
        <v/>
      </c>
      <c r="I746" t="str">
        <f>IF($A746&lt;&gt;"",'Approved-In-Depth'!I746,"")</f>
        <v/>
      </c>
      <c r="J746" t="str">
        <f>IF($A746&lt;&gt;"",'Approved-In-Depth'!J746,"")</f>
        <v/>
      </c>
      <c r="K746" t="str">
        <f>IF($A746&lt;&gt;"",'Approved-In-Depth'!K746,"")</f>
        <v/>
      </c>
      <c r="L746" s="4" t="str">
        <f>IF($A746&lt;&gt;"",'Approved-In-Depth'!L746,"")</f>
        <v/>
      </c>
      <c r="M746" t="str">
        <f>IF($A746&lt;&gt;"",'Approved-In-Depth'!M746,"")</f>
        <v/>
      </c>
    </row>
    <row r="747" spans="1:13" x14ac:dyDescent="0.35">
      <c r="A747" s="4" t="str">
        <f>IF('Approved-In-Depth'!$A747&lt;&gt;"",'Approved-In-Depth'!A747,"")</f>
        <v/>
      </c>
      <c r="B747" t="str">
        <f>IF($O747&lt;&gt;"",$O747,IF($A747&lt;&gt;"",'Approved-In-Depth'!$B747+7,""))</f>
        <v/>
      </c>
      <c r="C747" t="str">
        <f>IF($A747&lt;&gt;"",'Approved-In-Depth'!C747,"")</f>
        <v/>
      </c>
      <c r="D747" t="str">
        <f>IF($A747&lt;&gt;"",'Approved-In-Depth'!D747,"")</f>
        <v/>
      </c>
      <c r="E747" t="str">
        <f>IF($A747&lt;&gt;"",'Approved-In-Depth'!E747,"")</f>
        <v/>
      </c>
      <c r="F747" t="str">
        <f>IF($A747&lt;&gt;"",'Approved-In-Depth'!F747,"")</f>
        <v/>
      </c>
      <c r="G747" t="str">
        <f>IF($A747&lt;&gt;"",'Approved-In-Depth'!G747,"")</f>
        <v/>
      </c>
      <c r="H747" s="4" t="str">
        <f>IF($A747&lt;&gt;"",'Approved-In-Depth'!H747,"")</f>
        <v/>
      </c>
      <c r="I747" t="str">
        <f>IF($A747&lt;&gt;"",'Approved-In-Depth'!I747,"")</f>
        <v/>
      </c>
      <c r="J747" t="str">
        <f>IF($A747&lt;&gt;"",'Approved-In-Depth'!J747,"")</f>
        <v/>
      </c>
      <c r="K747" t="str">
        <f>IF($A747&lt;&gt;"",'Approved-In-Depth'!K747,"")</f>
        <v/>
      </c>
      <c r="L747" s="4" t="str">
        <f>IF($A747&lt;&gt;"",'Approved-In-Depth'!L747,"")</f>
        <v/>
      </c>
      <c r="M747" t="str">
        <f>IF($A747&lt;&gt;"",'Approved-In-Depth'!M747,"")</f>
        <v/>
      </c>
    </row>
    <row r="748" spans="1:13" x14ac:dyDescent="0.35">
      <c r="A748" s="4" t="str">
        <f>IF('Approved-In-Depth'!$A748&lt;&gt;"",'Approved-In-Depth'!A748,"")</f>
        <v/>
      </c>
      <c r="B748" t="str">
        <f>IF($O748&lt;&gt;"",$O748,IF($A748&lt;&gt;"",'Approved-In-Depth'!$B748+7,""))</f>
        <v/>
      </c>
      <c r="C748" t="str">
        <f>IF($A748&lt;&gt;"",'Approved-In-Depth'!C748,"")</f>
        <v/>
      </c>
      <c r="D748" t="str">
        <f>IF($A748&lt;&gt;"",'Approved-In-Depth'!D748,"")</f>
        <v/>
      </c>
      <c r="E748" t="str">
        <f>IF($A748&lt;&gt;"",'Approved-In-Depth'!E748,"")</f>
        <v/>
      </c>
      <c r="F748" t="str">
        <f>IF($A748&lt;&gt;"",'Approved-In-Depth'!F748,"")</f>
        <v/>
      </c>
      <c r="G748" t="str">
        <f>IF($A748&lt;&gt;"",'Approved-In-Depth'!G748,"")</f>
        <v/>
      </c>
      <c r="H748" s="4" t="str">
        <f>IF($A748&lt;&gt;"",'Approved-In-Depth'!H748,"")</f>
        <v/>
      </c>
      <c r="I748" t="str">
        <f>IF($A748&lt;&gt;"",'Approved-In-Depth'!I748,"")</f>
        <v/>
      </c>
      <c r="J748" t="str">
        <f>IF($A748&lt;&gt;"",'Approved-In-Depth'!J748,"")</f>
        <v/>
      </c>
      <c r="K748" t="str">
        <f>IF($A748&lt;&gt;"",'Approved-In-Depth'!K748,"")</f>
        <v/>
      </c>
      <c r="L748" s="4" t="str">
        <f>IF($A748&lt;&gt;"",'Approved-In-Depth'!L748,"")</f>
        <v/>
      </c>
      <c r="M748" t="str">
        <f>IF($A748&lt;&gt;"",'Approved-In-Depth'!M748,"")</f>
        <v/>
      </c>
    </row>
    <row r="749" spans="1:13" x14ac:dyDescent="0.35">
      <c r="A749" s="4" t="str">
        <f>IF('Approved-In-Depth'!$A749&lt;&gt;"",'Approved-In-Depth'!A749,"")</f>
        <v/>
      </c>
      <c r="B749" t="str">
        <f>IF($O749&lt;&gt;"",$O749,IF($A749&lt;&gt;"",'Approved-In-Depth'!$B749+7,""))</f>
        <v/>
      </c>
      <c r="C749" t="str">
        <f>IF($A749&lt;&gt;"",'Approved-In-Depth'!C749,"")</f>
        <v/>
      </c>
      <c r="D749" t="str">
        <f>IF($A749&lt;&gt;"",'Approved-In-Depth'!D749,"")</f>
        <v/>
      </c>
      <c r="E749" t="str">
        <f>IF($A749&lt;&gt;"",'Approved-In-Depth'!E749,"")</f>
        <v/>
      </c>
      <c r="F749" t="str">
        <f>IF($A749&lt;&gt;"",'Approved-In-Depth'!F749,"")</f>
        <v/>
      </c>
      <c r="G749" t="str">
        <f>IF($A749&lt;&gt;"",'Approved-In-Depth'!G749,"")</f>
        <v/>
      </c>
      <c r="H749" s="4" t="str">
        <f>IF($A749&lt;&gt;"",'Approved-In-Depth'!H749,"")</f>
        <v/>
      </c>
      <c r="I749" t="str">
        <f>IF($A749&lt;&gt;"",'Approved-In-Depth'!I749,"")</f>
        <v/>
      </c>
      <c r="J749" t="str">
        <f>IF($A749&lt;&gt;"",'Approved-In-Depth'!J749,"")</f>
        <v/>
      </c>
      <c r="K749" t="str">
        <f>IF($A749&lt;&gt;"",'Approved-In-Depth'!K749,"")</f>
        <v/>
      </c>
      <c r="L749" s="4" t="str">
        <f>IF($A749&lt;&gt;"",'Approved-In-Depth'!L749,"")</f>
        <v/>
      </c>
      <c r="M749" t="str">
        <f>IF($A749&lt;&gt;"",'Approved-In-Depth'!M749,"")</f>
        <v/>
      </c>
    </row>
    <row r="750" spans="1:13" x14ac:dyDescent="0.35">
      <c r="A750" s="4" t="str">
        <f>IF('Approved-In-Depth'!$A750&lt;&gt;"",'Approved-In-Depth'!A750,"")</f>
        <v/>
      </c>
      <c r="B750" t="str">
        <f>IF($O750&lt;&gt;"",$O750,IF($A750&lt;&gt;"",'Approved-In-Depth'!$B750+7,""))</f>
        <v/>
      </c>
      <c r="C750" t="str">
        <f>IF($A750&lt;&gt;"",'Approved-In-Depth'!C750,"")</f>
        <v/>
      </c>
      <c r="D750" t="str">
        <f>IF($A750&lt;&gt;"",'Approved-In-Depth'!D750,"")</f>
        <v/>
      </c>
      <c r="E750" t="str">
        <f>IF($A750&lt;&gt;"",'Approved-In-Depth'!E750,"")</f>
        <v/>
      </c>
      <c r="F750" t="str">
        <f>IF($A750&lt;&gt;"",'Approved-In-Depth'!F750,"")</f>
        <v/>
      </c>
      <c r="G750" t="str">
        <f>IF($A750&lt;&gt;"",'Approved-In-Depth'!G750,"")</f>
        <v/>
      </c>
      <c r="H750" s="4" t="str">
        <f>IF($A750&lt;&gt;"",'Approved-In-Depth'!H750,"")</f>
        <v/>
      </c>
      <c r="I750" t="str">
        <f>IF($A750&lt;&gt;"",'Approved-In-Depth'!I750,"")</f>
        <v/>
      </c>
      <c r="J750" t="str">
        <f>IF($A750&lt;&gt;"",'Approved-In-Depth'!J750,"")</f>
        <v/>
      </c>
      <c r="K750" t="str">
        <f>IF($A750&lt;&gt;"",'Approved-In-Depth'!K750,"")</f>
        <v/>
      </c>
      <c r="L750" s="4" t="str">
        <f>IF($A750&lt;&gt;"",'Approved-In-Depth'!L750,"")</f>
        <v/>
      </c>
      <c r="M750" t="str">
        <f>IF($A750&lt;&gt;"",'Approved-In-Depth'!M750,"")</f>
        <v/>
      </c>
    </row>
    <row r="751" spans="1:13" x14ac:dyDescent="0.35">
      <c r="A751" s="4" t="str">
        <f>IF('Approved-In-Depth'!$A751&lt;&gt;"",'Approved-In-Depth'!A751,"")</f>
        <v/>
      </c>
      <c r="B751" t="str">
        <f>IF($O751&lt;&gt;"",$O751,IF($A751&lt;&gt;"",'Approved-In-Depth'!$B751+7,""))</f>
        <v/>
      </c>
      <c r="C751" t="str">
        <f>IF($A751&lt;&gt;"",'Approved-In-Depth'!C751,"")</f>
        <v/>
      </c>
      <c r="D751" t="str">
        <f>IF($A751&lt;&gt;"",'Approved-In-Depth'!D751,"")</f>
        <v/>
      </c>
      <c r="E751" t="str">
        <f>IF($A751&lt;&gt;"",'Approved-In-Depth'!E751,"")</f>
        <v/>
      </c>
      <c r="F751" t="str">
        <f>IF($A751&lt;&gt;"",'Approved-In-Depth'!F751,"")</f>
        <v/>
      </c>
      <c r="G751" t="str">
        <f>IF($A751&lt;&gt;"",'Approved-In-Depth'!G751,"")</f>
        <v/>
      </c>
      <c r="H751" s="4" t="str">
        <f>IF($A751&lt;&gt;"",'Approved-In-Depth'!H751,"")</f>
        <v/>
      </c>
      <c r="I751" t="str">
        <f>IF($A751&lt;&gt;"",'Approved-In-Depth'!I751,"")</f>
        <v/>
      </c>
      <c r="J751" t="str">
        <f>IF($A751&lt;&gt;"",'Approved-In-Depth'!J751,"")</f>
        <v/>
      </c>
      <c r="K751" t="str">
        <f>IF($A751&lt;&gt;"",'Approved-In-Depth'!K751,"")</f>
        <v/>
      </c>
      <c r="L751" s="4" t="str">
        <f>IF($A751&lt;&gt;"",'Approved-In-Depth'!L751,"")</f>
        <v/>
      </c>
      <c r="M751" t="str">
        <f>IF($A751&lt;&gt;"",'Approved-In-Depth'!M751,"")</f>
        <v/>
      </c>
    </row>
    <row r="752" spans="1:13" x14ac:dyDescent="0.35">
      <c r="A752" s="4" t="str">
        <f>IF('Approved-In-Depth'!$A752&lt;&gt;"",'Approved-In-Depth'!A752,"")</f>
        <v/>
      </c>
      <c r="B752" t="str">
        <f>IF($O752&lt;&gt;"",$O752,IF($A752&lt;&gt;"",'Approved-In-Depth'!$B752+7,""))</f>
        <v/>
      </c>
      <c r="C752" t="str">
        <f>IF($A752&lt;&gt;"",'Approved-In-Depth'!C752,"")</f>
        <v/>
      </c>
      <c r="D752" t="str">
        <f>IF($A752&lt;&gt;"",'Approved-In-Depth'!D752,"")</f>
        <v/>
      </c>
      <c r="E752" t="str">
        <f>IF($A752&lt;&gt;"",'Approved-In-Depth'!E752,"")</f>
        <v/>
      </c>
      <c r="F752" t="str">
        <f>IF($A752&lt;&gt;"",'Approved-In-Depth'!F752,"")</f>
        <v/>
      </c>
      <c r="G752" t="str">
        <f>IF($A752&lt;&gt;"",'Approved-In-Depth'!G752,"")</f>
        <v/>
      </c>
      <c r="H752" s="4" t="str">
        <f>IF($A752&lt;&gt;"",'Approved-In-Depth'!H752,"")</f>
        <v/>
      </c>
      <c r="I752" t="str">
        <f>IF($A752&lt;&gt;"",'Approved-In-Depth'!I752,"")</f>
        <v/>
      </c>
      <c r="J752" t="str">
        <f>IF($A752&lt;&gt;"",'Approved-In-Depth'!J752,"")</f>
        <v/>
      </c>
      <c r="K752" t="str">
        <f>IF($A752&lt;&gt;"",'Approved-In-Depth'!K752,"")</f>
        <v/>
      </c>
      <c r="L752" s="4" t="str">
        <f>IF($A752&lt;&gt;"",'Approved-In-Depth'!L752,"")</f>
        <v/>
      </c>
      <c r="M752" t="str">
        <f>IF($A752&lt;&gt;"",'Approved-In-Depth'!M752,"")</f>
        <v/>
      </c>
    </row>
    <row r="753" spans="1:13" x14ac:dyDescent="0.35">
      <c r="A753" s="4" t="str">
        <f>IF('Approved-In-Depth'!$A753&lt;&gt;"",'Approved-In-Depth'!A753,"")</f>
        <v/>
      </c>
      <c r="B753" t="str">
        <f>IF($O753&lt;&gt;"",$O753,IF($A753&lt;&gt;"",'Approved-In-Depth'!$B753+7,""))</f>
        <v/>
      </c>
      <c r="C753" t="str">
        <f>IF($A753&lt;&gt;"",'Approved-In-Depth'!C753,"")</f>
        <v/>
      </c>
      <c r="D753" t="str">
        <f>IF($A753&lt;&gt;"",'Approved-In-Depth'!D753,"")</f>
        <v/>
      </c>
      <c r="E753" t="str">
        <f>IF($A753&lt;&gt;"",'Approved-In-Depth'!E753,"")</f>
        <v/>
      </c>
      <c r="F753" t="str">
        <f>IF($A753&lt;&gt;"",'Approved-In-Depth'!F753,"")</f>
        <v/>
      </c>
      <c r="G753" t="str">
        <f>IF($A753&lt;&gt;"",'Approved-In-Depth'!G753,"")</f>
        <v/>
      </c>
      <c r="H753" s="4" t="str">
        <f>IF($A753&lt;&gt;"",'Approved-In-Depth'!H753,"")</f>
        <v/>
      </c>
      <c r="I753" t="str">
        <f>IF($A753&lt;&gt;"",'Approved-In-Depth'!I753,"")</f>
        <v/>
      </c>
      <c r="J753" t="str">
        <f>IF($A753&lt;&gt;"",'Approved-In-Depth'!J753,"")</f>
        <v/>
      </c>
      <c r="K753" t="str">
        <f>IF($A753&lt;&gt;"",'Approved-In-Depth'!K753,"")</f>
        <v/>
      </c>
      <c r="L753" s="4" t="str">
        <f>IF($A753&lt;&gt;"",'Approved-In-Depth'!L753,"")</f>
        <v/>
      </c>
      <c r="M753" t="str">
        <f>IF($A753&lt;&gt;"",'Approved-In-Depth'!M753,"")</f>
        <v/>
      </c>
    </row>
    <row r="754" spans="1:13" x14ac:dyDescent="0.35">
      <c r="A754" s="4" t="str">
        <f>IF('Approved-In-Depth'!$A754&lt;&gt;"",'Approved-In-Depth'!A754,"")</f>
        <v/>
      </c>
      <c r="B754" t="str">
        <f>IF($O754&lt;&gt;"",$O754,IF($A754&lt;&gt;"",'Approved-In-Depth'!$B754+7,""))</f>
        <v/>
      </c>
      <c r="C754" t="str">
        <f>IF($A754&lt;&gt;"",'Approved-In-Depth'!C754,"")</f>
        <v/>
      </c>
      <c r="D754" t="str">
        <f>IF($A754&lt;&gt;"",'Approved-In-Depth'!D754,"")</f>
        <v/>
      </c>
      <c r="E754" t="str">
        <f>IF($A754&lt;&gt;"",'Approved-In-Depth'!E754,"")</f>
        <v/>
      </c>
      <c r="F754" t="str">
        <f>IF($A754&lt;&gt;"",'Approved-In-Depth'!F754,"")</f>
        <v/>
      </c>
      <c r="G754" t="str">
        <f>IF($A754&lt;&gt;"",'Approved-In-Depth'!G754,"")</f>
        <v/>
      </c>
      <c r="H754" s="4" t="str">
        <f>IF($A754&lt;&gt;"",'Approved-In-Depth'!H754,"")</f>
        <v/>
      </c>
      <c r="I754" t="str">
        <f>IF($A754&lt;&gt;"",'Approved-In-Depth'!I754,"")</f>
        <v/>
      </c>
      <c r="J754" t="str">
        <f>IF($A754&lt;&gt;"",'Approved-In-Depth'!J754,"")</f>
        <v/>
      </c>
      <c r="K754" t="str">
        <f>IF($A754&lt;&gt;"",'Approved-In-Depth'!K754,"")</f>
        <v/>
      </c>
      <c r="L754" s="4" t="str">
        <f>IF($A754&lt;&gt;"",'Approved-In-Depth'!L754,"")</f>
        <v/>
      </c>
      <c r="M754" t="str">
        <f>IF($A754&lt;&gt;"",'Approved-In-Depth'!M754,"")</f>
        <v/>
      </c>
    </row>
    <row r="755" spans="1:13" x14ac:dyDescent="0.35">
      <c r="A755" s="4" t="str">
        <f>IF('Approved-In-Depth'!$A755&lt;&gt;"",'Approved-In-Depth'!A755,"")</f>
        <v/>
      </c>
      <c r="B755" t="str">
        <f>IF($O755&lt;&gt;"",$O755,IF($A755&lt;&gt;"",'Approved-In-Depth'!$B755+7,""))</f>
        <v/>
      </c>
      <c r="C755" t="str">
        <f>IF($A755&lt;&gt;"",'Approved-In-Depth'!C755,"")</f>
        <v/>
      </c>
      <c r="D755" t="str">
        <f>IF($A755&lt;&gt;"",'Approved-In-Depth'!D755,"")</f>
        <v/>
      </c>
      <c r="E755" t="str">
        <f>IF($A755&lt;&gt;"",'Approved-In-Depth'!E755,"")</f>
        <v/>
      </c>
      <c r="F755" t="str">
        <f>IF($A755&lt;&gt;"",'Approved-In-Depth'!F755,"")</f>
        <v/>
      </c>
      <c r="G755" t="str">
        <f>IF($A755&lt;&gt;"",'Approved-In-Depth'!G755,"")</f>
        <v/>
      </c>
      <c r="H755" s="4" t="str">
        <f>IF($A755&lt;&gt;"",'Approved-In-Depth'!H755,"")</f>
        <v/>
      </c>
      <c r="I755" t="str">
        <f>IF($A755&lt;&gt;"",'Approved-In-Depth'!I755,"")</f>
        <v/>
      </c>
      <c r="J755" t="str">
        <f>IF($A755&lt;&gt;"",'Approved-In-Depth'!J755,"")</f>
        <v/>
      </c>
      <c r="K755" t="str">
        <f>IF($A755&lt;&gt;"",'Approved-In-Depth'!K755,"")</f>
        <v/>
      </c>
      <c r="L755" s="4" t="str">
        <f>IF($A755&lt;&gt;"",'Approved-In-Depth'!L755,"")</f>
        <v/>
      </c>
      <c r="M755" t="str">
        <f>IF($A755&lt;&gt;"",'Approved-In-Depth'!M755,"")</f>
        <v/>
      </c>
    </row>
    <row r="756" spans="1:13" x14ac:dyDescent="0.35">
      <c r="A756" s="4" t="str">
        <f>IF('Approved-In-Depth'!$A756&lt;&gt;"",'Approved-In-Depth'!A756,"")</f>
        <v/>
      </c>
      <c r="B756" t="str">
        <f>IF($O756&lt;&gt;"",$O756,IF($A756&lt;&gt;"",'Approved-In-Depth'!$B756+7,""))</f>
        <v/>
      </c>
      <c r="C756" t="str">
        <f>IF($A756&lt;&gt;"",'Approved-In-Depth'!C756,"")</f>
        <v/>
      </c>
      <c r="D756" t="str">
        <f>IF($A756&lt;&gt;"",'Approved-In-Depth'!D756,"")</f>
        <v/>
      </c>
      <c r="E756" t="str">
        <f>IF($A756&lt;&gt;"",'Approved-In-Depth'!E756,"")</f>
        <v/>
      </c>
      <c r="F756" t="str">
        <f>IF($A756&lt;&gt;"",'Approved-In-Depth'!F756,"")</f>
        <v/>
      </c>
      <c r="G756" t="str">
        <f>IF($A756&lt;&gt;"",'Approved-In-Depth'!G756,"")</f>
        <v/>
      </c>
      <c r="H756" s="4" t="str">
        <f>IF($A756&lt;&gt;"",'Approved-In-Depth'!H756,"")</f>
        <v/>
      </c>
      <c r="I756" t="str">
        <f>IF($A756&lt;&gt;"",'Approved-In-Depth'!I756,"")</f>
        <v/>
      </c>
      <c r="J756" t="str">
        <f>IF($A756&lt;&gt;"",'Approved-In-Depth'!J756,"")</f>
        <v/>
      </c>
      <c r="K756" t="str">
        <f>IF($A756&lt;&gt;"",'Approved-In-Depth'!K756,"")</f>
        <v/>
      </c>
      <c r="L756" s="4" t="str">
        <f>IF($A756&lt;&gt;"",'Approved-In-Depth'!L756,"")</f>
        <v/>
      </c>
      <c r="M756" t="str">
        <f>IF($A756&lt;&gt;"",'Approved-In-Depth'!M756,"")</f>
        <v/>
      </c>
    </row>
    <row r="757" spans="1:13" x14ac:dyDescent="0.35">
      <c r="A757" s="4" t="str">
        <f>IF('Approved-In-Depth'!$A757&lt;&gt;"",'Approved-In-Depth'!A757,"")</f>
        <v/>
      </c>
      <c r="B757" t="str">
        <f>IF($O757&lt;&gt;"",$O757,IF($A757&lt;&gt;"",'Approved-In-Depth'!$B757+7,""))</f>
        <v/>
      </c>
      <c r="C757" t="str">
        <f>IF($A757&lt;&gt;"",'Approved-In-Depth'!C757,"")</f>
        <v/>
      </c>
      <c r="D757" t="str">
        <f>IF($A757&lt;&gt;"",'Approved-In-Depth'!D757,"")</f>
        <v/>
      </c>
      <c r="E757" t="str">
        <f>IF($A757&lt;&gt;"",'Approved-In-Depth'!E757,"")</f>
        <v/>
      </c>
      <c r="F757" t="str">
        <f>IF($A757&lt;&gt;"",'Approved-In-Depth'!F757,"")</f>
        <v/>
      </c>
      <c r="G757" t="str">
        <f>IF($A757&lt;&gt;"",'Approved-In-Depth'!G757,"")</f>
        <v/>
      </c>
      <c r="H757" s="4" t="str">
        <f>IF($A757&lt;&gt;"",'Approved-In-Depth'!H757,"")</f>
        <v/>
      </c>
      <c r="I757" t="str">
        <f>IF($A757&lt;&gt;"",'Approved-In-Depth'!I757,"")</f>
        <v/>
      </c>
      <c r="J757" t="str">
        <f>IF($A757&lt;&gt;"",'Approved-In-Depth'!J757,"")</f>
        <v/>
      </c>
      <c r="K757" t="str">
        <f>IF($A757&lt;&gt;"",'Approved-In-Depth'!K757,"")</f>
        <v/>
      </c>
      <c r="L757" s="4" t="str">
        <f>IF($A757&lt;&gt;"",'Approved-In-Depth'!L757,"")</f>
        <v/>
      </c>
      <c r="M757" t="str">
        <f>IF($A757&lt;&gt;"",'Approved-In-Depth'!M757,"")</f>
        <v/>
      </c>
    </row>
    <row r="758" spans="1:13" x14ac:dyDescent="0.35">
      <c r="A758" s="4" t="str">
        <f>IF('Approved-In-Depth'!$A758&lt;&gt;"",'Approved-In-Depth'!A758,"")</f>
        <v/>
      </c>
      <c r="B758" t="str">
        <f>IF($O758&lt;&gt;"",$O758,IF($A758&lt;&gt;"",'Approved-In-Depth'!$B758+7,""))</f>
        <v/>
      </c>
      <c r="C758" t="str">
        <f>IF($A758&lt;&gt;"",'Approved-In-Depth'!C758,"")</f>
        <v/>
      </c>
      <c r="D758" t="str">
        <f>IF($A758&lt;&gt;"",'Approved-In-Depth'!D758,"")</f>
        <v/>
      </c>
      <c r="E758" t="str">
        <f>IF($A758&lt;&gt;"",'Approved-In-Depth'!E758,"")</f>
        <v/>
      </c>
      <c r="F758" t="str">
        <f>IF($A758&lt;&gt;"",'Approved-In-Depth'!F758,"")</f>
        <v/>
      </c>
      <c r="G758" t="str">
        <f>IF($A758&lt;&gt;"",'Approved-In-Depth'!G758,"")</f>
        <v/>
      </c>
      <c r="H758" s="4" t="str">
        <f>IF($A758&lt;&gt;"",'Approved-In-Depth'!H758,"")</f>
        <v/>
      </c>
      <c r="I758" t="str">
        <f>IF($A758&lt;&gt;"",'Approved-In-Depth'!I758,"")</f>
        <v/>
      </c>
      <c r="J758" t="str">
        <f>IF($A758&lt;&gt;"",'Approved-In-Depth'!J758,"")</f>
        <v/>
      </c>
      <c r="K758" t="str">
        <f>IF($A758&lt;&gt;"",'Approved-In-Depth'!K758,"")</f>
        <v/>
      </c>
      <c r="L758" s="4" t="str">
        <f>IF($A758&lt;&gt;"",'Approved-In-Depth'!L758,"")</f>
        <v/>
      </c>
      <c r="M758" t="str">
        <f>IF($A758&lt;&gt;"",'Approved-In-Depth'!M758,"")</f>
        <v/>
      </c>
    </row>
    <row r="759" spans="1:13" x14ac:dyDescent="0.35">
      <c r="A759" s="4" t="str">
        <f>IF('Approved-In-Depth'!$A759&lt;&gt;"",'Approved-In-Depth'!A759,"")</f>
        <v/>
      </c>
      <c r="B759" t="str">
        <f>IF($O759&lt;&gt;"",$O759,IF($A759&lt;&gt;"",'Approved-In-Depth'!$B759+7,""))</f>
        <v/>
      </c>
      <c r="C759" t="str">
        <f>IF($A759&lt;&gt;"",'Approved-In-Depth'!C759,"")</f>
        <v/>
      </c>
      <c r="D759" t="str">
        <f>IF($A759&lt;&gt;"",'Approved-In-Depth'!D759,"")</f>
        <v/>
      </c>
      <c r="E759" t="str">
        <f>IF($A759&lt;&gt;"",'Approved-In-Depth'!E759,"")</f>
        <v/>
      </c>
      <c r="F759" t="str">
        <f>IF($A759&lt;&gt;"",'Approved-In-Depth'!F759,"")</f>
        <v/>
      </c>
      <c r="G759" t="str">
        <f>IF($A759&lt;&gt;"",'Approved-In-Depth'!G759,"")</f>
        <v/>
      </c>
      <c r="H759" s="4" t="str">
        <f>IF($A759&lt;&gt;"",'Approved-In-Depth'!H759,"")</f>
        <v/>
      </c>
      <c r="I759" t="str">
        <f>IF($A759&lt;&gt;"",'Approved-In-Depth'!I759,"")</f>
        <v/>
      </c>
      <c r="J759" t="str">
        <f>IF($A759&lt;&gt;"",'Approved-In-Depth'!J759,"")</f>
        <v/>
      </c>
      <c r="K759" t="str">
        <f>IF($A759&lt;&gt;"",'Approved-In-Depth'!K759,"")</f>
        <v/>
      </c>
      <c r="L759" s="4" t="str">
        <f>IF($A759&lt;&gt;"",'Approved-In-Depth'!L759,"")</f>
        <v/>
      </c>
      <c r="M759" t="str">
        <f>IF($A759&lt;&gt;"",'Approved-In-Depth'!M759,"")</f>
        <v/>
      </c>
    </row>
    <row r="760" spans="1:13" x14ac:dyDescent="0.35">
      <c r="A760" s="4" t="str">
        <f>IF('Approved-In-Depth'!$A760&lt;&gt;"",'Approved-In-Depth'!A760,"")</f>
        <v/>
      </c>
      <c r="B760" t="str">
        <f>IF($O760&lt;&gt;"",$O760,IF($A760&lt;&gt;"",'Approved-In-Depth'!$B760+7,""))</f>
        <v/>
      </c>
      <c r="C760" t="str">
        <f>IF($A760&lt;&gt;"",'Approved-In-Depth'!C760,"")</f>
        <v/>
      </c>
      <c r="D760" t="str">
        <f>IF($A760&lt;&gt;"",'Approved-In-Depth'!D760,"")</f>
        <v/>
      </c>
      <c r="E760" t="str">
        <f>IF($A760&lt;&gt;"",'Approved-In-Depth'!E760,"")</f>
        <v/>
      </c>
      <c r="F760" t="str">
        <f>IF($A760&lt;&gt;"",'Approved-In-Depth'!F760,"")</f>
        <v/>
      </c>
      <c r="G760" t="str">
        <f>IF($A760&lt;&gt;"",'Approved-In-Depth'!G760,"")</f>
        <v/>
      </c>
      <c r="H760" s="4" t="str">
        <f>IF($A760&lt;&gt;"",'Approved-In-Depth'!H760,"")</f>
        <v/>
      </c>
      <c r="I760" t="str">
        <f>IF($A760&lt;&gt;"",'Approved-In-Depth'!I760,"")</f>
        <v/>
      </c>
      <c r="J760" t="str">
        <f>IF($A760&lt;&gt;"",'Approved-In-Depth'!J760,"")</f>
        <v/>
      </c>
      <c r="K760" t="str">
        <f>IF($A760&lt;&gt;"",'Approved-In-Depth'!K760,"")</f>
        <v/>
      </c>
      <c r="L760" s="4" t="str">
        <f>IF($A760&lt;&gt;"",'Approved-In-Depth'!L760,"")</f>
        <v/>
      </c>
      <c r="M760" t="str">
        <f>IF($A760&lt;&gt;"",'Approved-In-Depth'!M760,"")</f>
        <v/>
      </c>
    </row>
    <row r="761" spans="1:13" x14ac:dyDescent="0.35">
      <c r="A761" s="4" t="str">
        <f>IF('Approved-In-Depth'!$A761&lt;&gt;"",'Approved-In-Depth'!A761,"")</f>
        <v/>
      </c>
      <c r="B761" t="str">
        <f>IF($O761&lt;&gt;"",$O761,IF($A761&lt;&gt;"",'Approved-In-Depth'!$B761+7,""))</f>
        <v/>
      </c>
      <c r="C761" t="str">
        <f>IF($A761&lt;&gt;"",'Approved-In-Depth'!C761,"")</f>
        <v/>
      </c>
      <c r="D761" t="str">
        <f>IF($A761&lt;&gt;"",'Approved-In-Depth'!D761,"")</f>
        <v/>
      </c>
      <c r="E761" t="str">
        <f>IF($A761&lt;&gt;"",'Approved-In-Depth'!E761,"")</f>
        <v/>
      </c>
      <c r="F761" t="str">
        <f>IF($A761&lt;&gt;"",'Approved-In-Depth'!F761,"")</f>
        <v/>
      </c>
      <c r="G761" t="str">
        <f>IF($A761&lt;&gt;"",'Approved-In-Depth'!G761,"")</f>
        <v/>
      </c>
      <c r="H761" s="4" t="str">
        <f>IF($A761&lt;&gt;"",'Approved-In-Depth'!H761,"")</f>
        <v/>
      </c>
      <c r="I761" t="str">
        <f>IF($A761&lt;&gt;"",'Approved-In-Depth'!I761,"")</f>
        <v/>
      </c>
      <c r="J761" t="str">
        <f>IF($A761&lt;&gt;"",'Approved-In-Depth'!J761,"")</f>
        <v/>
      </c>
      <c r="K761" t="str">
        <f>IF($A761&lt;&gt;"",'Approved-In-Depth'!K761,"")</f>
        <v/>
      </c>
      <c r="L761" s="4" t="str">
        <f>IF($A761&lt;&gt;"",'Approved-In-Depth'!L761,"")</f>
        <v/>
      </c>
      <c r="M761" t="str">
        <f>IF($A761&lt;&gt;"",'Approved-In-Depth'!M761,"")</f>
        <v/>
      </c>
    </row>
    <row r="762" spans="1:13" x14ac:dyDescent="0.35">
      <c r="A762" s="4" t="str">
        <f>IF('Approved-In-Depth'!$A762&lt;&gt;"",'Approved-In-Depth'!A762,"")</f>
        <v/>
      </c>
      <c r="B762" t="str">
        <f>IF($O762&lt;&gt;"",$O762,IF($A762&lt;&gt;"",'Approved-In-Depth'!$B762+7,""))</f>
        <v/>
      </c>
      <c r="C762" t="str">
        <f>IF($A762&lt;&gt;"",'Approved-In-Depth'!C762,"")</f>
        <v/>
      </c>
      <c r="D762" t="str">
        <f>IF($A762&lt;&gt;"",'Approved-In-Depth'!D762,"")</f>
        <v/>
      </c>
      <c r="E762" t="str">
        <f>IF($A762&lt;&gt;"",'Approved-In-Depth'!E762,"")</f>
        <v/>
      </c>
      <c r="F762" t="str">
        <f>IF($A762&lt;&gt;"",'Approved-In-Depth'!F762,"")</f>
        <v/>
      </c>
      <c r="G762" t="str">
        <f>IF($A762&lt;&gt;"",'Approved-In-Depth'!G762,"")</f>
        <v/>
      </c>
      <c r="H762" s="4" t="str">
        <f>IF($A762&lt;&gt;"",'Approved-In-Depth'!H762,"")</f>
        <v/>
      </c>
      <c r="I762" t="str">
        <f>IF($A762&lt;&gt;"",'Approved-In-Depth'!I762,"")</f>
        <v/>
      </c>
      <c r="J762" t="str">
        <f>IF($A762&lt;&gt;"",'Approved-In-Depth'!J762,"")</f>
        <v/>
      </c>
      <c r="K762" t="str">
        <f>IF($A762&lt;&gt;"",'Approved-In-Depth'!K762,"")</f>
        <v/>
      </c>
      <c r="L762" s="4" t="str">
        <f>IF($A762&lt;&gt;"",'Approved-In-Depth'!L762,"")</f>
        <v/>
      </c>
      <c r="M762" t="str">
        <f>IF($A762&lt;&gt;"",'Approved-In-Depth'!M762,"")</f>
        <v/>
      </c>
    </row>
    <row r="763" spans="1:13" x14ac:dyDescent="0.35">
      <c r="A763" s="4" t="str">
        <f>IF('Approved-In-Depth'!$A763&lt;&gt;"",'Approved-In-Depth'!A763,"")</f>
        <v/>
      </c>
      <c r="B763" t="str">
        <f>IF($O763&lt;&gt;"",$O763,IF($A763&lt;&gt;"",'Approved-In-Depth'!$B763+7,""))</f>
        <v/>
      </c>
      <c r="C763" t="str">
        <f>IF($A763&lt;&gt;"",'Approved-In-Depth'!C763,"")</f>
        <v/>
      </c>
      <c r="D763" t="str">
        <f>IF($A763&lt;&gt;"",'Approved-In-Depth'!D763,"")</f>
        <v/>
      </c>
      <c r="E763" t="str">
        <f>IF($A763&lt;&gt;"",'Approved-In-Depth'!E763,"")</f>
        <v/>
      </c>
      <c r="F763" t="str">
        <f>IF($A763&lt;&gt;"",'Approved-In-Depth'!F763,"")</f>
        <v/>
      </c>
      <c r="G763" t="str">
        <f>IF($A763&lt;&gt;"",'Approved-In-Depth'!G763,"")</f>
        <v/>
      </c>
      <c r="H763" s="4" t="str">
        <f>IF($A763&lt;&gt;"",'Approved-In-Depth'!H763,"")</f>
        <v/>
      </c>
      <c r="I763" t="str">
        <f>IF($A763&lt;&gt;"",'Approved-In-Depth'!I763,"")</f>
        <v/>
      </c>
      <c r="J763" t="str">
        <f>IF($A763&lt;&gt;"",'Approved-In-Depth'!J763,"")</f>
        <v/>
      </c>
      <c r="K763" t="str">
        <f>IF($A763&lt;&gt;"",'Approved-In-Depth'!K763,"")</f>
        <v/>
      </c>
      <c r="L763" s="4" t="str">
        <f>IF($A763&lt;&gt;"",'Approved-In-Depth'!L763,"")</f>
        <v/>
      </c>
      <c r="M763" t="str">
        <f>IF($A763&lt;&gt;"",'Approved-In-Depth'!M763,"")</f>
        <v/>
      </c>
    </row>
    <row r="764" spans="1:13" x14ac:dyDescent="0.35">
      <c r="A764" s="4" t="str">
        <f>IF('Approved-In-Depth'!$A764&lt;&gt;"",'Approved-In-Depth'!A764,"")</f>
        <v/>
      </c>
      <c r="B764" t="str">
        <f>IF($O764&lt;&gt;"",$O764,IF($A764&lt;&gt;"",'Approved-In-Depth'!$B764+7,""))</f>
        <v/>
      </c>
      <c r="C764" t="str">
        <f>IF($A764&lt;&gt;"",'Approved-In-Depth'!C764,"")</f>
        <v/>
      </c>
      <c r="D764" t="str">
        <f>IF($A764&lt;&gt;"",'Approved-In-Depth'!D764,"")</f>
        <v/>
      </c>
      <c r="E764" t="str">
        <f>IF($A764&lt;&gt;"",'Approved-In-Depth'!E764,"")</f>
        <v/>
      </c>
      <c r="F764" t="str">
        <f>IF($A764&lt;&gt;"",'Approved-In-Depth'!F764,"")</f>
        <v/>
      </c>
      <c r="G764" t="str">
        <f>IF($A764&lt;&gt;"",'Approved-In-Depth'!G764,"")</f>
        <v/>
      </c>
      <c r="H764" s="4" t="str">
        <f>IF($A764&lt;&gt;"",'Approved-In-Depth'!H764,"")</f>
        <v/>
      </c>
      <c r="I764" t="str">
        <f>IF($A764&lt;&gt;"",'Approved-In-Depth'!I764,"")</f>
        <v/>
      </c>
      <c r="J764" t="str">
        <f>IF($A764&lt;&gt;"",'Approved-In-Depth'!J764,"")</f>
        <v/>
      </c>
      <c r="K764" t="str">
        <f>IF($A764&lt;&gt;"",'Approved-In-Depth'!K764,"")</f>
        <v/>
      </c>
      <c r="L764" s="4" t="str">
        <f>IF($A764&lt;&gt;"",'Approved-In-Depth'!L764,"")</f>
        <v/>
      </c>
      <c r="M764" t="str">
        <f>IF($A764&lt;&gt;"",'Approved-In-Depth'!M764,"")</f>
        <v/>
      </c>
    </row>
    <row r="765" spans="1:13" x14ac:dyDescent="0.35">
      <c r="A765" s="4" t="str">
        <f>IF('Approved-In-Depth'!$A765&lt;&gt;"",'Approved-In-Depth'!A765,"")</f>
        <v/>
      </c>
      <c r="B765" t="str">
        <f>IF($O765&lt;&gt;"",$O765,IF($A765&lt;&gt;"",'Approved-In-Depth'!$B765+7,""))</f>
        <v/>
      </c>
      <c r="C765" t="str">
        <f>IF($A765&lt;&gt;"",'Approved-In-Depth'!C765,"")</f>
        <v/>
      </c>
      <c r="D765" t="str">
        <f>IF($A765&lt;&gt;"",'Approved-In-Depth'!D765,"")</f>
        <v/>
      </c>
      <c r="E765" t="str">
        <f>IF($A765&lt;&gt;"",'Approved-In-Depth'!E765,"")</f>
        <v/>
      </c>
      <c r="F765" t="str">
        <f>IF($A765&lt;&gt;"",'Approved-In-Depth'!F765,"")</f>
        <v/>
      </c>
      <c r="G765" t="str">
        <f>IF($A765&lt;&gt;"",'Approved-In-Depth'!G765,"")</f>
        <v/>
      </c>
      <c r="H765" s="4" t="str">
        <f>IF($A765&lt;&gt;"",'Approved-In-Depth'!H765,"")</f>
        <v/>
      </c>
      <c r="I765" t="str">
        <f>IF($A765&lt;&gt;"",'Approved-In-Depth'!I765,"")</f>
        <v/>
      </c>
      <c r="J765" t="str">
        <f>IF($A765&lt;&gt;"",'Approved-In-Depth'!J765,"")</f>
        <v/>
      </c>
      <c r="K765" t="str">
        <f>IF($A765&lt;&gt;"",'Approved-In-Depth'!K765,"")</f>
        <v/>
      </c>
      <c r="L765" s="4" t="str">
        <f>IF($A765&lt;&gt;"",'Approved-In-Depth'!L765,"")</f>
        <v/>
      </c>
      <c r="M765" t="str">
        <f>IF($A765&lt;&gt;"",'Approved-In-Depth'!M765,"")</f>
        <v/>
      </c>
    </row>
    <row r="766" spans="1:13" x14ac:dyDescent="0.35">
      <c r="A766" s="4" t="str">
        <f>IF('Approved-In-Depth'!$A766&lt;&gt;"",'Approved-In-Depth'!A766,"")</f>
        <v/>
      </c>
      <c r="B766" t="str">
        <f>IF($O766&lt;&gt;"",$O766,IF($A766&lt;&gt;"",'Approved-In-Depth'!$B766+7,""))</f>
        <v/>
      </c>
      <c r="C766" t="str">
        <f>IF($A766&lt;&gt;"",'Approved-In-Depth'!C766,"")</f>
        <v/>
      </c>
      <c r="D766" t="str">
        <f>IF($A766&lt;&gt;"",'Approved-In-Depth'!D766,"")</f>
        <v/>
      </c>
      <c r="E766" t="str">
        <f>IF($A766&lt;&gt;"",'Approved-In-Depth'!E766,"")</f>
        <v/>
      </c>
      <c r="F766" t="str">
        <f>IF($A766&lt;&gt;"",'Approved-In-Depth'!F766,"")</f>
        <v/>
      </c>
      <c r="G766" t="str">
        <f>IF($A766&lt;&gt;"",'Approved-In-Depth'!G766,"")</f>
        <v/>
      </c>
      <c r="H766" s="4" t="str">
        <f>IF($A766&lt;&gt;"",'Approved-In-Depth'!H766,"")</f>
        <v/>
      </c>
      <c r="I766" t="str">
        <f>IF($A766&lt;&gt;"",'Approved-In-Depth'!I766,"")</f>
        <v/>
      </c>
      <c r="J766" t="str">
        <f>IF($A766&lt;&gt;"",'Approved-In-Depth'!J766,"")</f>
        <v/>
      </c>
      <c r="K766" t="str">
        <f>IF($A766&lt;&gt;"",'Approved-In-Depth'!K766,"")</f>
        <v/>
      </c>
      <c r="L766" s="4" t="str">
        <f>IF($A766&lt;&gt;"",'Approved-In-Depth'!L766,"")</f>
        <v/>
      </c>
      <c r="M766" t="str">
        <f>IF($A766&lt;&gt;"",'Approved-In-Depth'!M766,"")</f>
        <v/>
      </c>
    </row>
    <row r="767" spans="1:13" x14ac:dyDescent="0.35">
      <c r="A767" s="4" t="str">
        <f>IF('Approved-In-Depth'!$A767&lt;&gt;"",'Approved-In-Depth'!A767,"")</f>
        <v/>
      </c>
      <c r="B767" t="str">
        <f>IF($O767&lt;&gt;"",$O767,IF($A767&lt;&gt;"",'Approved-In-Depth'!$B767+7,""))</f>
        <v/>
      </c>
      <c r="C767" t="str">
        <f>IF($A767&lt;&gt;"",'Approved-In-Depth'!C767,"")</f>
        <v/>
      </c>
      <c r="D767" t="str">
        <f>IF($A767&lt;&gt;"",'Approved-In-Depth'!D767,"")</f>
        <v/>
      </c>
      <c r="E767" t="str">
        <f>IF($A767&lt;&gt;"",'Approved-In-Depth'!E767,"")</f>
        <v/>
      </c>
      <c r="F767" t="str">
        <f>IF($A767&lt;&gt;"",'Approved-In-Depth'!F767,"")</f>
        <v/>
      </c>
      <c r="G767" t="str">
        <f>IF($A767&lt;&gt;"",'Approved-In-Depth'!G767,"")</f>
        <v/>
      </c>
      <c r="H767" s="4" t="str">
        <f>IF($A767&lt;&gt;"",'Approved-In-Depth'!H767,"")</f>
        <v/>
      </c>
      <c r="I767" t="str">
        <f>IF($A767&lt;&gt;"",'Approved-In-Depth'!I767,"")</f>
        <v/>
      </c>
      <c r="J767" t="str">
        <f>IF($A767&lt;&gt;"",'Approved-In-Depth'!J767,"")</f>
        <v/>
      </c>
      <c r="K767" t="str">
        <f>IF($A767&lt;&gt;"",'Approved-In-Depth'!K767,"")</f>
        <v/>
      </c>
      <c r="L767" s="4" t="str">
        <f>IF($A767&lt;&gt;"",'Approved-In-Depth'!L767,"")</f>
        <v/>
      </c>
      <c r="M767" t="str">
        <f>IF($A767&lt;&gt;"",'Approved-In-Depth'!M767,"")</f>
        <v/>
      </c>
    </row>
    <row r="768" spans="1:13" x14ac:dyDescent="0.35">
      <c r="A768" s="4" t="str">
        <f>IF('Approved-In-Depth'!$A768&lt;&gt;"",'Approved-In-Depth'!A768,"")</f>
        <v/>
      </c>
      <c r="B768" t="str">
        <f>IF($O768&lt;&gt;"",$O768,IF($A768&lt;&gt;"",'Approved-In-Depth'!$B768+7,""))</f>
        <v/>
      </c>
      <c r="C768" t="str">
        <f>IF($A768&lt;&gt;"",'Approved-In-Depth'!C768,"")</f>
        <v/>
      </c>
      <c r="D768" t="str">
        <f>IF($A768&lt;&gt;"",'Approved-In-Depth'!D768,"")</f>
        <v/>
      </c>
      <c r="E768" t="str">
        <f>IF($A768&lt;&gt;"",'Approved-In-Depth'!E768,"")</f>
        <v/>
      </c>
      <c r="F768" t="str">
        <f>IF($A768&lt;&gt;"",'Approved-In-Depth'!F768,"")</f>
        <v/>
      </c>
      <c r="G768" t="str">
        <f>IF($A768&lt;&gt;"",'Approved-In-Depth'!G768,"")</f>
        <v/>
      </c>
      <c r="H768" s="4" t="str">
        <f>IF($A768&lt;&gt;"",'Approved-In-Depth'!H768,"")</f>
        <v/>
      </c>
      <c r="I768" t="str">
        <f>IF($A768&lt;&gt;"",'Approved-In-Depth'!I768,"")</f>
        <v/>
      </c>
      <c r="J768" t="str">
        <f>IF($A768&lt;&gt;"",'Approved-In-Depth'!J768,"")</f>
        <v/>
      </c>
      <c r="K768" t="str">
        <f>IF($A768&lt;&gt;"",'Approved-In-Depth'!K768,"")</f>
        <v/>
      </c>
      <c r="L768" s="4" t="str">
        <f>IF($A768&lt;&gt;"",'Approved-In-Depth'!L768,"")</f>
        <v/>
      </c>
      <c r="M768" t="str">
        <f>IF($A768&lt;&gt;"",'Approved-In-Depth'!M768,"")</f>
        <v/>
      </c>
    </row>
    <row r="769" spans="1:13" x14ac:dyDescent="0.35">
      <c r="A769" s="4" t="str">
        <f>IF('Approved-In-Depth'!$A769&lt;&gt;"",'Approved-In-Depth'!A769,"")</f>
        <v/>
      </c>
      <c r="B769" t="str">
        <f>IF($O769&lt;&gt;"",$O769,IF($A769&lt;&gt;"",'Approved-In-Depth'!$B769+7,""))</f>
        <v/>
      </c>
      <c r="C769" t="str">
        <f>IF($A769&lt;&gt;"",'Approved-In-Depth'!C769,"")</f>
        <v/>
      </c>
      <c r="D769" t="str">
        <f>IF($A769&lt;&gt;"",'Approved-In-Depth'!D769,"")</f>
        <v/>
      </c>
      <c r="E769" t="str">
        <f>IF($A769&lt;&gt;"",'Approved-In-Depth'!E769,"")</f>
        <v/>
      </c>
      <c r="F769" t="str">
        <f>IF($A769&lt;&gt;"",'Approved-In-Depth'!F769,"")</f>
        <v/>
      </c>
      <c r="G769" t="str">
        <f>IF($A769&lt;&gt;"",'Approved-In-Depth'!G769,"")</f>
        <v/>
      </c>
      <c r="H769" s="4" t="str">
        <f>IF($A769&lt;&gt;"",'Approved-In-Depth'!H769,"")</f>
        <v/>
      </c>
      <c r="I769" t="str">
        <f>IF($A769&lt;&gt;"",'Approved-In-Depth'!I769,"")</f>
        <v/>
      </c>
      <c r="J769" t="str">
        <f>IF($A769&lt;&gt;"",'Approved-In-Depth'!J769,"")</f>
        <v/>
      </c>
      <c r="K769" t="str">
        <f>IF($A769&lt;&gt;"",'Approved-In-Depth'!K769,"")</f>
        <v/>
      </c>
      <c r="L769" s="4" t="str">
        <f>IF($A769&lt;&gt;"",'Approved-In-Depth'!L769,"")</f>
        <v/>
      </c>
      <c r="M769" t="str">
        <f>IF($A769&lt;&gt;"",'Approved-In-Depth'!M769,"")</f>
        <v/>
      </c>
    </row>
    <row r="770" spans="1:13" x14ac:dyDescent="0.35">
      <c r="A770" s="4" t="str">
        <f>IF('Approved-In-Depth'!$A770&lt;&gt;"",'Approved-In-Depth'!A770,"")</f>
        <v/>
      </c>
      <c r="B770" t="str">
        <f>IF($O770&lt;&gt;"",$O770,IF($A770&lt;&gt;"",'Approved-In-Depth'!$B770+7,""))</f>
        <v/>
      </c>
      <c r="C770" t="str">
        <f>IF($A770&lt;&gt;"",'Approved-In-Depth'!C770,"")</f>
        <v/>
      </c>
      <c r="D770" t="str">
        <f>IF($A770&lt;&gt;"",'Approved-In-Depth'!D770,"")</f>
        <v/>
      </c>
      <c r="E770" t="str">
        <f>IF($A770&lt;&gt;"",'Approved-In-Depth'!E770,"")</f>
        <v/>
      </c>
      <c r="F770" t="str">
        <f>IF($A770&lt;&gt;"",'Approved-In-Depth'!F770,"")</f>
        <v/>
      </c>
      <c r="G770" t="str">
        <f>IF($A770&lt;&gt;"",'Approved-In-Depth'!G770,"")</f>
        <v/>
      </c>
      <c r="H770" s="4" t="str">
        <f>IF($A770&lt;&gt;"",'Approved-In-Depth'!H770,"")</f>
        <v/>
      </c>
      <c r="I770" t="str">
        <f>IF($A770&lt;&gt;"",'Approved-In-Depth'!I770,"")</f>
        <v/>
      </c>
      <c r="J770" t="str">
        <f>IF($A770&lt;&gt;"",'Approved-In-Depth'!J770,"")</f>
        <v/>
      </c>
      <c r="K770" t="str">
        <f>IF($A770&lt;&gt;"",'Approved-In-Depth'!K770,"")</f>
        <v/>
      </c>
      <c r="L770" s="4" t="str">
        <f>IF($A770&lt;&gt;"",'Approved-In-Depth'!L770,"")</f>
        <v/>
      </c>
      <c r="M770" t="str">
        <f>IF($A770&lt;&gt;"",'Approved-In-Depth'!M770,"")</f>
        <v/>
      </c>
    </row>
    <row r="771" spans="1:13" x14ac:dyDescent="0.35">
      <c r="A771" s="4" t="str">
        <f>IF('Approved-In-Depth'!$A771&lt;&gt;"",'Approved-In-Depth'!A771,"")</f>
        <v/>
      </c>
      <c r="B771" t="str">
        <f>IF($O771&lt;&gt;"",$O771,IF($A771&lt;&gt;"",'Approved-In-Depth'!$B771+7,""))</f>
        <v/>
      </c>
      <c r="C771" t="str">
        <f>IF($A771&lt;&gt;"",'Approved-In-Depth'!C771,"")</f>
        <v/>
      </c>
      <c r="D771" t="str">
        <f>IF($A771&lt;&gt;"",'Approved-In-Depth'!D771,"")</f>
        <v/>
      </c>
      <c r="E771" t="str">
        <f>IF($A771&lt;&gt;"",'Approved-In-Depth'!E771,"")</f>
        <v/>
      </c>
      <c r="F771" t="str">
        <f>IF($A771&lt;&gt;"",'Approved-In-Depth'!F771,"")</f>
        <v/>
      </c>
      <c r="G771" t="str">
        <f>IF($A771&lt;&gt;"",'Approved-In-Depth'!G771,"")</f>
        <v/>
      </c>
      <c r="H771" s="4" t="str">
        <f>IF($A771&lt;&gt;"",'Approved-In-Depth'!H771,"")</f>
        <v/>
      </c>
      <c r="I771" t="str">
        <f>IF($A771&lt;&gt;"",'Approved-In-Depth'!I771,"")</f>
        <v/>
      </c>
      <c r="J771" t="str">
        <f>IF($A771&lt;&gt;"",'Approved-In-Depth'!J771,"")</f>
        <v/>
      </c>
      <c r="K771" t="str">
        <f>IF($A771&lt;&gt;"",'Approved-In-Depth'!K771,"")</f>
        <v/>
      </c>
      <c r="L771" s="4" t="str">
        <f>IF($A771&lt;&gt;"",'Approved-In-Depth'!L771,"")</f>
        <v/>
      </c>
      <c r="M771" t="str">
        <f>IF($A771&lt;&gt;"",'Approved-In-Depth'!M771,"")</f>
        <v/>
      </c>
    </row>
    <row r="772" spans="1:13" x14ac:dyDescent="0.35">
      <c r="A772" s="4" t="str">
        <f>IF('Approved-In-Depth'!$A772&lt;&gt;"",'Approved-In-Depth'!A772,"")</f>
        <v/>
      </c>
      <c r="B772" t="str">
        <f>IF($O772&lt;&gt;"",$O772,IF($A772&lt;&gt;"",'Approved-In-Depth'!$B772+7,""))</f>
        <v/>
      </c>
      <c r="C772" t="str">
        <f>IF($A772&lt;&gt;"",'Approved-In-Depth'!C772,"")</f>
        <v/>
      </c>
      <c r="D772" t="str">
        <f>IF($A772&lt;&gt;"",'Approved-In-Depth'!D772,"")</f>
        <v/>
      </c>
      <c r="E772" t="str">
        <f>IF($A772&lt;&gt;"",'Approved-In-Depth'!E772,"")</f>
        <v/>
      </c>
      <c r="F772" t="str">
        <f>IF($A772&lt;&gt;"",'Approved-In-Depth'!F772,"")</f>
        <v/>
      </c>
      <c r="G772" t="str">
        <f>IF($A772&lt;&gt;"",'Approved-In-Depth'!G772,"")</f>
        <v/>
      </c>
      <c r="H772" s="4" t="str">
        <f>IF($A772&lt;&gt;"",'Approved-In-Depth'!H772,"")</f>
        <v/>
      </c>
      <c r="I772" t="str">
        <f>IF($A772&lt;&gt;"",'Approved-In-Depth'!I772,"")</f>
        <v/>
      </c>
      <c r="J772" t="str">
        <f>IF($A772&lt;&gt;"",'Approved-In-Depth'!J772,"")</f>
        <v/>
      </c>
      <c r="K772" t="str">
        <f>IF($A772&lt;&gt;"",'Approved-In-Depth'!K772,"")</f>
        <v/>
      </c>
      <c r="L772" s="4" t="str">
        <f>IF($A772&lt;&gt;"",'Approved-In-Depth'!L772,"")</f>
        <v/>
      </c>
      <c r="M772" t="str">
        <f>IF($A772&lt;&gt;"",'Approved-In-Depth'!M772,"")</f>
        <v/>
      </c>
    </row>
    <row r="773" spans="1:13" x14ac:dyDescent="0.35">
      <c r="A773" s="4" t="str">
        <f>IF('Approved-In-Depth'!$A773&lt;&gt;"",'Approved-In-Depth'!A773,"")</f>
        <v/>
      </c>
      <c r="B773" t="str">
        <f>IF($O773&lt;&gt;"",$O773,IF($A773&lt;&gt;"",'Approved-In-Depth'!$B773+7,""))</f>
        <v/>
      </c>
      <c r="C773" t="str">
        <f>IF($A773&lt;&gt;"",'Approved-In-Depth'!C773,"")</f>
        <v/>
      </c>
      <c r="D773" t="str">
        <f>IF($A773&lt;&gt;"",'Approved-In-Depth'!D773,"")</f>
        <v/>
      </c>
      <c r="E773" t="str">
        <f>IF($A773&lt;&gt;"",'Approved-In-Depth'!E773,"")</f>
        <v/>
      </c>
      <c r="F773" t="str">
        <f>IF($A773&lt;&gt;"",'Approved-In-Depth'!F773,"")</f>
        <v/>
      </c>
      <c r="G773" t="str">
        <f>IF($A773&lt;&gt;"",'Approved-In-Depth'!G773,"")</f>
        <v/>
      </c>
      <c r="H773" s="4" t="str">
        <f>IF($A773&lt;&gt;"",'Approved-In-Depth'!H773,"")</f>
        <v/>
      </c>
      <c r="I773" t="str">
        <f>IF($A773&lt;&gt;"",'Approved-In-Depth'!I773,"")</f>
        <v/>
      </c>
      <c r="J773" t="str">
        <f>IF($A773&lt;&gt;"",'Approved-In-Depth'!J773,"")</f>
        <v/>
      </c>
      <c r="K773" t="str">
        <f>IF($A773&lt;&gt;"",'Approved-In-Depth'!K773,"")</f>
        <v/>
      </c>
      <c r="L773" s="4" t="str">
        <f>IF($A773&lt;&gt;"",'Approved-In-Depth'!L773,"")</f>
        <v/>
      </c>
      <c r="M773" t="str">
        <f>IF($A773&lt;&gt;"",'Approved-In-Depth'!M773,"")</f>
        <v/>
      </c>
    </row>
    <row r="774" spans="1:13" x14ac:dyDescent="0.35">
      <c r="A774" s="4" t="str">
        <f>IF('Approved-In-Depth'!$A774&lt;&gt;"",'Approved-In-Depth'!A774,"")</f>
        <v/>
      </c>
      <c r="B774" t="str">
        <f>IF($O774&lt;&gt;"",$O774,IF($A774&lt;&gt;"",'Approved-In-Depth'!$B774+7,""))</f>
        <v/>
      </c>
      <c r="C774" t="str">
        <f>IF($A774&lt;&gt;"",'Approved-In-Depth'!C774,"")</f>
        <v/>
      </c>
      <c r="D774" t="str">
        <f>IF($A774&lt;&gt;"",'Approved-In-Depth'!D774,"")</f>
        <v/>
      </c>
      <c r="E774" t="str">
        <f>IF($A774&lt;&gt;"",'Approved-In-Depth'!E774,"")</f>
        <v/>
      </c>
      <c r="F774" t="str">
        <f>IF($A774&lt;&gt;"",'Approved-In-Depth'!F774,"")</f>
        <v/>
      </c>
      <c r="G774" t="str">
        <f>IF($A774&lt;&gt;"",'Approved-In-Depth'!G774,"")</f>
        <v/>
      </c>
      <c r="H774" s="4" t="str">
        <f>IF($A774&lt;&gt;"",'Approved-In-Depth'!H774,"")</f>
        <v/>
      </c>
      <c r="I774" t="str">
        <f>IF($A774&lt;&gt;"",'Approved-In-Depth'!I774,"")</f>
        <v/>
      </c>
      <c r="J774" t="str">
        <f>IF($A774&lt;&gt;"",'Approved-In-Depth'!J774,"")</f>
        <v/>
      </c>
      <c r="K774" t="str">
        <f>IF($A774&lt;&gt;"",'Approved-In-Depth'!K774,"")</f>
        <v/>
      </c>
      <c r="L774" s="4" t="str">
        <f>IF($A774&lt;&gt;"",'Approved-In-Depth'!L774,"")</f>
        <v/>
      </c>
      <c r="M774" t="str">
        <f>IF($A774&lt;&gt;"",'Approved-In-Depth'!M774,"")</f>
        <v/>
      </c>
    </row>
    <row r="775" spans="1:13" x14ac:dyDescent="0.35">
      <c r="A775" s="4" t="str">
        <f>IF('Approved-In-Depth'!$A775&lt;&gt;"",'Approved-In-Depth'!A775,"")</f>
        <v/>
      </c>
      <c r="B775" t="str">
        <f>IF($O775&lt;&gt;"",$O775,IF($A775&lt;&gt;"",'Approved-In-Depth'!$B775+7,""))</f>
        <v/>
      </c>
      <c r="C775" t="str">
        <f>IF($A775&lt;&gt;"",'Approved-In-Depth'!C775,"")</f>
        <v/>
      </c>
      <c r="D775" t="str">
        <f>IF($A775&lt;&gt;"",'Approved-In-Depth'!D775,"")</f>
        <v/>
      </c>
      <c r="E775" t="str">
        <f>IF($A775&lt;&gt;"",'Approved-In-Depth'!E775,"")</f>
        <v/>
      </c>
      <c r="F775" t="str">
        <f>IF($A775&lt;&gt;"",'Approved-In-Depth'!F775,"")</f>
        <v/>
      </c>
      <c r="G775" t="str">
        <f>IF($A775&lt;&gt;"",'Approved-In-Depth'!G775,"")</f>
        <v/>
      </c>
      <c r="H775" s="4" t="str">
        <f>IF($A775&lt;&gt;"",'Approved-In-Depth'!H775,"")</f>
        <v/>
      </c>
      <c r="I775" t="str">
        <f>IF($A775&lt;&gt;"",'Approved-In-Depth'!I775,"")</f>
        <v/>
      </c>
      <c r="J775" t="str">
        <f>IF($A775&lt;&gt;"",'Approved-In-Depth'!J775,"")</f>
        <v/>
      </c>
      <c r="K775" t="str">
        <f>IF($A775&lt;&gt;"",'Approved-In-Depth'!K775,"")</f>
        <v/>
      </c>
      <c r="L775" s="4" t="str">
        <f>IF($A775&lt;&gt;"",'Approved-In-Depth'!L775,"")</f>
        <v/>
      </c>
      <c r="M775" t="str">
        <f>IF($A775&lt;&gt;"",'Approved-In-Depth'!M775,"")</f>
        <v/>
      </c>
    </row>
    <row r="776" spans="1:13" x14ac:dyDescent="0.35">
      <c r="A776" s="4" t="str">
        <f>IF('Approved-In-Depth'!$A776&lt;&gt;"",'Approved-In-Depth'!A776,"")</f>
        <v/>
      </c>
      <c r="B776" t="str">
        <f>IF($O776&lt;&gt;"",$O776,IF($A776&lt;&gt;"",'Approved-In-Depth'!$B776+7,""))</f>
        <v/>
      </c>
      <c r="C776" t="str">
        <f>IF($A776&lt;&gt;"",'Approved-In-Depth'!C776,"")</f>
        <v/>
      </c>
      <c r="D776" t="str">
        <f>IF($A776&lt;&gt;"",'Approved-In-Depth'!D776,"")</f>
        <v/>
      </c>
      <c r="E776" t="str">
        <f>IF($A776&lt;&gt;"",'Approved-In-Depth'!E776,"")</f>
        <v/>
      </c>
      <c r="F776" t="str">
        <f>IF($A776&lt;&gt;"",'Approved-In-Depth'!F776,"")</f>
        <v/>
      </c>
      <c r="G776" t="str">
        <f>IF($A776&lt;&gt;"",'Approved-In-Depth'!G776,"")</f>
        <v/>
      </c>
      <c r="H776" s="4" t="str">
        <f>IF($A776&lt;&gt;"",'Approved-In-Depth'!H776,"")</f>
        <v/>
      </c>
      <c r="I776" t="str">
        <f>IF($A776&lt;&gt;"",'Approved-In-Depth'!I776,"")</f>
        <v/>
      </c>
      <c r="J776" t="str">
        <f>IF($A776&lt;&gt;"",'Approved-In-Depth'!J776,"")</f>
        <v/>
      </c>
      <c r="K776" t="str">
        <f>IF($A776&lt;&gt;"",'Approved-In-Depth'!K776,"")</f>
        <v/>
      </c>
      <c r="L776" s="4" t="str">
        <f>IF($A776&lt;&gt;"",'Approved-In-Depth'!L776,"")</f>
        <v/>
      </c>
      <c r="M776" t="str">
        <f>IF($A776&lt;&gt;"",'Approved-In-Depth'!M776,"")</f>
        <v/>
      </c>
    </row>
    <row r="777" spans="1:13" x14ac:dyDescent="0.35">
      <c r="A777" s="4" t="str">
        <f>IF('Approved-In-Depth'!$A777&lt;&gt;"",'Approved-In-Depth'!A777,"")</f>
        <v/>
      </c>
      <c r="B777" t="str">
        <f>IF($O777&lt;&gt;"",$O777,IF($A777&lt;&gt;"",'Approved-In-Depth'!$B777+7,""))</f>
        <v/>
      </c>
      <c r="C777" t="str">
        <f>IF($A777&lt;&gt;"",'Approved-In-Depth'!C777,"")</f>
        <v/>
      </c>
      <c r="D777" t="str">
        <f>IF($A777&lt;&gt;"",'Approved-In-Depth'!D777,"")</f>
        <v/>
      </c>
      <c r="E777" t="str">
        <f>IF($A777&lt;&gt;"",'Approved-In-Depth'!E777,"")</f>
        <v/>
      </c>
      <c r="F777" t="str">
        <f>IF($A777&lt;&gt;"",'Approved-In-Depth'!F777,"")</f>
        <v/>
      </c>
      <c r="G777" t="str">
        <f>IF($A777&lt;&gt;"",'Approved-In-Depth'!G777,"")</f>
        <v/>
      </c>
      <c r="H777" s="4" t="str">
        <f>IF($A777&lt;&gt;"",'Approved-In-Depth'!H777,"")</f>
        <v/>
      </c>
      <c r="I777" t="str">
        <f>IF($A777&lt;&gt;"",'Approved-In-Depth'!I777,"")</f>
        <v/>
      </c>
      <c r="J777" t="str">
        <f>IF($A777&lt;&gt;"",'Approved-In-Depth'!J777,"")</f>
        <v/>
      </c>
      <c r="K777" t="str">
        <f>IF($A777&lt;&gt;"",'Approved-In-Depth'!K777,"")</f>
        <v/>
      </c>
      <c r="L777" s="4" t="str">
        <f>IF($A777&lt;&gt;"",'Approved-In-Depth'!L777,"")</f>
        <v/>
      </c>
      <c r="M777" t="str">
        <f>IF($A777&lt;&gt;"",'Approved-In-Depth'!M777,"")</f>
        <v/>
      </c>
    </row>
    <row r="778" spans="1:13" x14ac:dyDescent="0.35">
      <c r="A778" s="4" t="str">
        <f>IF('Approved-In-Depth'!$A778&lt;&gt;"",'Approved-In-Depth'!A778,"")</f>
        <v/>
      </c>
      <c r="B778" t="str">
        <f>IF($O778&lt;&gt;"",$O778,IF($A778&lt;&gt;"",'Approved-In-Depth'!$B778+7,""))</f>
        <v/>
      </c>
      <c r="C778" t="str">
        <f>IF($A778&lt;&gt;"",'Approved-In-Depth'!C778,"")</f>
        <v/>
      </c>
      <c r="D778" t="str">
        <f>IF($A778&lt;&gt;"",'Approved-In-Depth'!D778,"")</f>
        <v/>
      </c>
      <c r="E778" t="str">
        <f>IF($A778&lt;&gt;"",'Approved-In-Depth'!E778,"")</f>
        <v/>
      </c>
      <c r="F778" t="str">
        <f>IF($A778&lt;&gt;"",'Approved-In-Depth'!F778,"")</f>
        <v/>
      </c>
      <c r="G778" t="str">
        <f>IF($A778&lt;&gt;"",'Approved-In-Depth'!G778,"")</f>
        <v/>
      </c>
      <c r="H778" s="4" t="str">
        <f>IF($A778&lt;&gt;"",'Approved-In-Depth'!H778,"")</f>
        <v/>
      </c>
      <c r="I778" t="str">
        <f>IF($A778&lt;&gt;"",'Approved-In-Depth'!I778,"")</f>
        <v/>
      </c>
      <c r="J778" t="str">
        <f>IF($A778&lt;&gt;"",'Approved-In-Depth'!J778,"")</f>
        <v/>
      </c>
      <c r="K778" t="str">
        <f>IF($A778&lt;&gt;"",'Approved-In-Depth'!K778,"")</f>
        <v/>
      </c>
      <c r="L778" s="4" t="str">
        <f>IF($A778&lt;&gt;"",'Approved-In-Depth'!L778,"")</f>
        <v/>
      </c>
      <c r="M778" t="str">
        <f>IF($A778&lt;&gt;"",'Approved-In-Depth'!M778,"")</f>
        <v/>
      </c>
    </row>
    <row r="779" spans="1:13" x14ac:dyDescent="0.35">
      <c r="A779" s="4" t="str">
        <f>IF('Approved-In-Depth'!$A779&lt;&gt;"",'Approved-In-Depth'!A779,"")</f>
        <v/>
      </c>
      <c r="B779" t="str">
        <f>IF($O779&lt;&gt;"",$O779,IF($A779&lt;&gt;"",'Approved-In-Depth'!$B779+7,""))</f>
        <v/>
      </c>
      <c r="C779" t="str">
        <f>IF($A779&lt;&gt;"",'Approved-In-Depth'!C779,"")</f>
        <v/>
      </c>
      <c r="D779" t="str">
        <f>IF($A779&lt;&gt;"",'Approved-In-Depth'!D779,"")</f>
        <v/>
      </c>
      <c r="E779" t="str">
        <f>IF($A779&lt;&gt;"",'Approved-In-Depth'!E779,"")</f>
        <v/>
      </c>
      <c r="F779" t="str">
        <f>IF($A779&lt;&gt;"",'Approved-In-Depth'!F779,"")</f>
        <v/>
      </c>
      <c r="G779" t="str">
        <f>IF($A779&lt;&gt;"",'Approved-In-Depth'!G779,"")</f>
        <v/>
      </c>
      <c r="H779" s="4" t="str">
        <f>IF($A779&lt;&gt;"",'Approved-In-Depth'!H779,"")</f>
        <v/>
      </c>
      <c r="I779" t="str">
        <f>IF($A779&lt;&gt;"",'Approved-In-Depth'!I779,"")</f>
        <v/>
      </c>
      <c r="J779" t="str">
        <f>IF($A779&lt;&gt;"",'Approved-In-Depth'!J779,"")</f>
        <v/>
      </c>
      <c r="K779" t="str">
        <f>IF($A779&lt;&gt;"",'Approved-In-Depth'!K779,"")</f>
        <v/>
      </c>
      <c r="L779" s="4" t="str">
        <f>IF($A779&lt;&gt;"",'Approved-In-Depth'!L779,"")</f>
        <v/>
      </c>
      <c r="M779" t="str">
        <f>IF($A779&lt;&gt;"",'Approved-In-Depth'!M779,"")</f>
        <v/>
      </c>
    </row>
    <row r="780" spans="1:13" x14ac:dyDescent="0.35">
      <c r="A780" s="4" t="str">
        <f>IF('Approved-In-Depth'!$A780&lt;&gt;"",'Approved-In-Depth'!A780,"")</f>
        <v/>
      </c>
      <c r="B780" t="str">
        <f>IF($O780&lt;&gt;"",$O780,IF($A780&lt;&gt;"",'Approved-In-Depth'!$B780+7,""))</f>
        <v/>
      </c>
      <c r="C780" t="str">
        <f>IF($A780&lt;&gt;"",'Approved-In-Depth'!C780,"")</f>
        <v/>
      </c>
      <c r="D780" t="str">
        <f>IF($A780&lt;&gt;"",'Approved-In-Depth'!D780,"")</f>
        <v/>
      </c>
      <c r="E780" t="str">
        <f>IF($A780&lt;&gt;"",'Approved-In-Depth'!E780,"")</f>
        <v/>
      </c>
      <c r="F780" t="str">
        <f>IF($A780&lt;&gt;"",'Approved-In-Depth'!F780,"")</f>
        <v/>
      </c>
      <c r="G780" t="str">
        <f>IF($A780&lt;&gt;"",'Approved-In-Depth'!G780,"")</f>
        <v/>
      </c>
      <c r="H780" s="4" t="str">
        <f>IF($A780&lt;&gt;"",'Approved-In-Depth'!H780,"")</f>
        <v/>
      </c>
      <c r="I780" t="str">
        <f>IF($A780&lt;&gt;"",'Approved-In-Depth'!I780,"")</f>
        <v/>
      </c>
      <c r="J780" t="str">
        <f>IF($A780&lt;&gt;"",'Approved-In-Depth'!J780,"")</f>
        <v/>
      </c>
      <c r="K780" t="str">
        <f>IF($A780&lt;&gt;"",'Approved-In-Depth'!K780,"")</f>
        <v/>
      </c>
      <c r="L780" s="4" t="str">
        <f>IF($A780&lt;&gt;"",'Approved-In-Depth'!L780,"")</f>
        <v/>
      </c>
      <c r="M780" t="str">
        <f>IF($A780&lt;&gt;"",'Approved-In-Depth'!M780,"")</f>
        <v/>
      </c>
    </row>
    <row r="781" spans="1:13" x14ac:dyDescent="0.35">
      <c r="A781" s="4" t="str">
        <f>IF('Approved-In-Depth'!$A781&lt;&gt;"",'Approved-In-Depth'!A781,"")</f>
        <v/>
      </c>
      <c r="B781" t="str">
        <f>IF($O781&lt;&gt;"",$O781,IF($A781&lt;&gt;"",'Approved-In-Depth'!$B781+7,""))</f>
        <v/>
      </c>
      <c r="C781" t="str">
        <f>IF($A781&lt;&gt;"",'Approved-In-Depth'!C781,"")</f>
        <v/>
      </c>
      <c r="D781" t="str">
        <f>IF($A781&lt;&gt;"",'Approved-In-Depth'!D781,"")</f>
        <v/>
      </c>
      <c r="E781" t="str">
        <f>IF($A781&lt;&gt;"",'Approved-In-Depth'!E781,"")</f>
        <v/>
      </c>
      <c r="F781" t="str">
        <f>IF($A781&lt;&gt;"",'Approved-In-Depth'!F781,"")</f>
        <v/>
      </c>
      <c r="G781" t="str">
        <f>IF($A781&lt;&gt;"",'Approved-In-Depth'!G781,"")</f>
        <v/>
      </c>
      <c r="H781" s="4" t="str">
        <f>IF($A781&lt;&gt;"",'Approved-In-Depth'!H781,"")</f>
        <v/>
      </c>
      <c r="I781" t="str">
        <f>IF($A781&lt;&gt;"",'Approved-In-Depth'!I781,"")</f>
        <v/>
      </c>
      <c r="J781" t="str">
        <f>IF($A781&lt;&gt;"",'Approved-In-Depth'!J781,"")</f>
        <v/>
      </c>
      <c r="K781" t="str">
        <f>IF($A781&lt;&gt;"",'Approved-In-Depth'!K781,"")</f>
        <v/>
      </c>
      <c r="L781" s="4" t="str">
        <f>IF($A781&lt;&gt;"",'Approved-In-Depth'!L781,"")</f>
        <v/>
      </c>
      <c r="M781" t="str">
        <f>IF($A781&lt;&gt;"",'Approved-In-Depth'!M781,"")</f>
        <v/>
      </c>
    </row>
    <row r="782" spans="1:13" x14ac:dyDescent="0.35">
      <c r="A782" s="4" t="str">
        <f>IF('Approved-In-Depth'!$A782&lt;&gt;"",'Approved-In-Depth'!A782,"")</f>
        <v/>
      </c>
      <c r="B782" t="str">
        <f>IF($O782&lt;&gt;"",$O782,IF($A782&lt;&gt;"",'Approved-In-Depth'!$B782+7,""))</f>
        <v/>
      </c>
      <c r="C782" t="str">
        <f>IF($A782&lt;&gt;"",'Approved-In-Depth'!C782,"")</f>
        <v/>
      </c>
      <c r="D782" t="str">
        <f>IF($A782&lt;&gt;"",'Approved-In-Depth'!D782,"")</f>
        <v/>
      </c>
      <c r="E782" t="str">
        <f>IF($A782&lt;&gt;"",'Approved-In-Depth'!E782,"")</f>
        <v/>
      </c>
      <c r="F782" t="str">
        <f>IF($A782&lt;&gt;"",'Approved-In-Depth'!F782,"")</f>
        <v/>
      </c>
      <c r="G782" t="str">
        <f>IF($A782&lt;&gt;"",'Approved-In-Depth'!G782,"")</f>
        <v/>
      </c>
      <c r="H782" s="4" t="str">
        <f>IF($A782&lt;&gt;"",'Approved-In-Depth'!H782,"")</f>
        <v/>
      </c>
      <c r="I782" t="str">
        <f>IF($A782&lt;&gt;"",'Approved-In-Depth'!I782,"")</f>
        <v/>
      </c>
      <c r="J782" t="str">
        <f>IF($A782&lt;&gt;"",'Approved-In-Depth'!J782,"")</f>
        <v/>
      </c>
      <c r="K782" t="str">
        <f>IF($A782&lt;&gt;"",'Approved-In-Depth'!K782,"")</f>
        <v/>
      </c>
      <c r="L782" s="4" t="str">
        <f>IF($A782&lt;&gt;"",'Approved-In-Depth'!L782,"")</f>
        <v/>
      </c>
      <c r="M782" t="str">
        <f>IF($A782&lt;&gt;"",'Approved-In-Depth'!M782,"")</f>
        <v/>
      </c>
    </row>
    <row r="783" spans="1:13" x14ac:dyDescent="0.35">
      <c r="A783" s="4" t="str">
        <f>IF('Approved-In-Depth'!$A783&lt;&gt;"",'Approved-In-Depth'!A783,"")</f>
        <v/>
      </c>
      <c r="B783" t="str">
        <f>IF($O783&lt;&gt;"",$O783,IF($A783&lt;&gt;"",'Approved-In-Depth'!$B783+7,""))</f>
        <v/>
      </c>
      <c r="C783" t="str">
        <f>IF($A783&lt;&gt;"",'Approved-In-Depth'!C783,"")</f>
        <v/>
      </c>
      <c r="D783" t="str">
        <f>IF($A783&lt;&gt;"",'Approved-In-Depth'!D783,"")</f>
        <v/>
      </c>
      <c r="E783" t="str">
        <f>IF($A783&lt;&gt;"",'Approved-In-Depth'!E783,"")</f>
        <v/>
      </c>
      <c r="F783" t="str">
        <f>IF($A783&lt;&gt;"",'Approved-In-Depth'!F783,"")</f>
        <v/>
      </c>
      <c r="G783" t="str">
        <f>IF($A783&lt;&gt;"",'Approved-In-Depth'!G783,"")</f>
        <v/>
      </c>
      <c r="H783" s="4" t="str">
        <f>IF($A783&lt;&gt;"",'Approved-In-Depth'!H783,"")</f>
        <v/>
      </c>
      <c r="I783" t="str">
        <f>IF($A783&lt;&gt;"",'Approved-In-Depth'!I783,"")</f>
        <v/>
      </c>
      <c r="J783" t="str">
        <f>IF($A783&lt;&gt;"",'Approved-In-Depth'!J783,"")</f>
        <v/>
      </c>
      <c r="K783" t="str">
        <f>IF($A783&lt;&gt;"",'Approved-In-Depth'!K783,"")</f>
        <v/>
      </c>
      <c r="L783" s="4" t="str">
        <f>IF($A783&lt;&gt;"",'Approved-In-Depth'!L783,"")</f>
        <v/>
      </c>
      <c r="M783" t="str">
        <f>IF($A783&lt;&gt;"",'Approved-In-Depth'!M783,"")</f>
        <v/>
      </c>
    </row>
    <row r="784" spans="1:13" x14ac:dyDescent="0.35">
      <c r="A784" s="4" t="str">
        <f>IF('Approved-In-Depth'!$A784&lt;&gt;"",'Approved-In-Depth'!A784,"")</f>
        <v/>
      </c>
      <c r="B784" t="str">
        <f>IF($O784&lt;&gt;"",$O784,IF($A784&lt;&gt;"",'Approved-In-Depth'!$B784+7,""))</f>
        <v/>
      </c>
      <c r="C784" t="str">
        <f>IF($A784&lt;&gt;"",'Approved-In-Depth'!C784,"")</f>
        <v/>
      </c>
      <c r="D784" t="str">
        <f>IF($A784&lt;&gt;"",'Approved-In-Depth'!D784,"")</f>
        <v/>
      </c>
      <c r="E784" t="str">
        <f>IF($A784&lt;&gt;"",'Approved-In-Depth'!E784,"")</f>
        <v/>
      </c>
      <c r="F784" t="str">
        <f>IF($A784&lt;&gt;"",'Approved-In-Depth'!F784,"")</f>
        <v/>
      </c>
      <c r="G784" t="str">
        <f>IF($A784&lt;&gt;"",'Approved-In-Depth'!G784,"")</f>
        <v/>
      </c>
      <c r="H784" s="4" t="str">
        <f>IF($A784&lt;&gt;"",'Approved-In-Depth'!H784,"")</f>
        <v/>
      </c>
      <c r="I784" t="str">
        <f>IF($A784&lt;&gt;"",'Approved-In-Depth'!I784,"")</f>
        <v/>
      </c>
      <c r="J784" t="str">
        <f>IF($A784&lt;&gt;"",'Approved-In-Depth'!J784,"")</f>
        <v/>
      </c>
      <c r="K784" t="str">
        <f>IF($A784&lt;&gt;"",'Approved-In-Depth'!K784,"")</f>
        <v/>
      </c>
      <c r="L784" s="4" t="str">
        <f>IF($A784&lt;&gt;"",'Approved-In-Depth'!L784,"")</f>
        <v/>
      </c>
      <c r="M784" t="str">
        <f>IF($A784&lt;&gt;"",'Approved-In-Depth'!M784,"")</f>
        <v/>
      </c>
    </row>
    <row r="785" spans="1:13" x14ac:dyDescent="0.35">
      <c r="A785" s="4" t="str">
        <f>IF('Approved-In-Depth'!$A785&lt;&gt;"",'Approved-In-Depth'!A785,"")</f>
        <v/>
      </c>
      <c r="B785" t="str">
        <f>IF($O785&lt;&gt;"",$O785,IF($A785&lt;&gt;"",'Approved-In-Depth'!$B785+7,""))</f>
        <v/>
      </c>
      <c r="C785" t="str">
        <f>IF($A785&lt;&gt;"",'Approved-In-Depth'!C785,"")</f>
        <v/>
      </c>
      <c r="D785" t="str">
        <f>IF($A785&lt;&gt;"",'Approved-In-Depth'!D785,"")</f>
        <v/>
      </c>
      <c r="E785" t="str">
        <f>IF($A785&lt;&gt;"",'Approved-In-Depth'!E785,"")</f>
        <v/>
      </c>
      <c r="F785" t="str">
        <f>IF($A785&lt;&gt;"",'Approved-In-Depth'!F785,"")</f>
        <v/>
      </c>
      <c r="G785" t="str">
        <f>IF($A785&lt;&gt;"",'Approved-In-Depth'!G785,"")</f>
        <v/>
      </c>
      <c r="H785" s="4" t="str">
        <f>IF($A785&lt;&gt;"",'Approved-In-Depth'!H785,"")</f>
        <v/>
      </c>
      <c r="I785" t="str">
        <f>IF($A785&lt;&gt;"",'Approved-In-Depth'!I785,"")</f>
        <v/>
      </c>
      <c r="J785" t="str">
        <f>IF($A785&lt;&gt;"",'Approved-In-Depth'!J785,"")</f>
        <v/>
      </c>
      <c r="K785" t="str">
        <f>IF($A785&lt;&gt;"",'Approved-In-Depth'!K785,"")</f>
        <v/>
      </c>
      <c r="L785" s="4" t="str">
        <f>IF($A785&lt;&gt;"",'Approved-In-Depth'!L785,"")</f>
        <v/>
      </c>
      <c r="M785" t="str">
        <f>IF($A785&lt;&gt;"",'Approved-In-Depth'!M785,"")</f>
        <v/>
      </c>
    </row>
    <row r="786" spans="1:13" x14ac:dyDescent="0.35">
      <c r="A786" s="4" t="str">
        <f>IF('Approved-In-Depth'!$A786&lt;&gt;"",'Approved-In-Depth'!A786,"")</f>
        <v/>
      </c>
      <c r="B786" t="str">
        <f>IF($O786&lt;&gt;"",$O786,IF($A786&lt;&gt;"",'Approved-In-Depth'!$B786+7,""))</f>
        <v/>
      </c>
      <c r="C786" t="str">
        <f>IF($A786&lt;&gt;"",'Approved-In-Depth'!C786,"")</f>
        <v/>
      </c>
      <c r="D786" t="str">
        <f>IF($A786&lt;&gt;"",'Approved-In-Depth'!D786,"")</f>
        <v/>
      </c>
      <c r="E786" t="str">
        <f>IF($A786&lt;&gt;"",'Approved-In-Depth'!E786,"")</f>
        <v/>
      </c>
      <c r="F786" t="str">
        <f>IF($A786&lt;&gt;"",'Approved-In-Depth'!F786,"")</f>
        <v/>
      </c>
      <c r="G786" t="str">
        <f>IF($A786&lt;&gt;"",'Approved-In-Depth'!G786,"")</f>
        <v/>
      </c>
      <c r="H786" s="4" t="str">
        <f>IF($A786&lt;&gt;"",'Approved-In-Depth'!H786,"")</f>
        <v/>
      </c>
      <c r="I786" t="str">
        <f>IF($A786&lt;&gt;"",'Approved-In-Depth'!I786,"")</f>
        <v/>
      </c>
      <c r="J786" t="str">
        <f>IF($A786&lt;&gt;"",'Approved-In-Depth'!J786,"")</f>
        <v/>
      </c>
      <c r="K786" t="str">
        <f>IF($A786&lt;&gt;"",'Approved-In-Depth'!K786,"")</f>
        <v/>
      </c>
      <c r="L786" s="4" t="str">
        <f>IF($A786&lt;&gt;"",'Approved-In-Depth'!L786,"")</f>
        <v/>
      </c>
      <c r="M786" t="str">
        <f>IF($A786&lt;&gt;"",'Approved-In-Depth'!M786,"")</f>
        <v/>
      </c>
    </row>
    <row r="787" spans="1:13" x14ac:dyDescent="0.35">
      <c r="A787" s="4" t="str">
        <f>IF('Approved-In-Depth'!$A787&lt;&gt;"",'Approved-In-Depth'!A787,"")</f>
        <v/>
      </c>
      <c r="B787" t="str">
        <f>IF($O787&lt;&gt;"",$O787,IF($A787&lt;&gt;"",'Approved-In-Depth'!$B787+7,""))</f>
        <v/>
      </c>
      <c r="C787" t="str">
        <f>IF($A787&lt;&gt;"",'Approved-In-Depth'!C787,"")</f>
        <v/>
      </c>
      <c r="D787" t="str">
        <f>IF($A787&lt;&gt;"",'Approved-In-Depth'!D787,"")</f>
        <v/>
      </c>
      <c r="E787" t="str">
        <f>IF($A787&lt;&gt;"",'Approved-In-Depth'!E787,"")</f>
        <v/>
      </c>
      <c r="F787" t="str">
        <f>IF($A787&lt;&gt;"",'Approved-In-Depth'!F787,"")</f>
        <v/>
      </c>
      <c r="G787" t="str">
        <f>IF($A787&lt;&gt;"",'Approved-In-Depth'!G787,"")</f>
        <v/>
      </c>
      <c r="H787" s="4" t="str">
        <f>IF($A787&lt;&gt;"",'Approved-In-Depth'!H787,"")</f>
        <v/>
      </c>
      <c r="I787" t="str">
        <f>IF($A787&lt;&gt;"",'Approved-In-Depth'!I787,"")</f>
        <v/>
      </c>
      <c r="J787" t="str">
        <f>IF($A787&lt;&gt;"",'Approved-In-Depth'!J787,"")</f>
        <v/>
      </c>
      <c r="K787" t="str">
        <f>IF($A787&lt;&gt;"",'Approved-In-Depth'!K787,"")</f>
        <v/>
      </c>
      <c r="L787" s="4" t="str">
        <f>IF($A787&lt;&gt;"",'Approved-In-Depth'!L787,"")</f>
        <v/>
      </c>
      <c r="M787" t="str">
        <f>IF($A787&lt;&gt;"",'Approved-In-Depth'!M787,"")</f>
        <v/>
      </c>
    </row>
    <row r="788" spans="1:13" x14ac:dyDescent="0.35">
      <c r="A788" s="4" t="str">
        <f>IF('Approved-In-Depth'!$A788&lt;&gt;"",'Approved-In-Depth'!A788,"")</f>
        <v/>
      </c>
      <c r="B788" t="str">
        <f>IF($O788&lt;&gt;"",$O788,IF($A788&lt;&gt;"",'Approved-In-Depth'!$B788+7,""))</f>
        <v/>
      </c>
      <c r="C788" t="str">
        <f>IF($A788&lt;&gt;"",'Approved-In-Depth'!C788,"")</f>
        <v/>
      </c>
      <c r="D788" t="str">
        <f>IF($A788&lt;&gt;"",'Approved-In-Depth'!D788,"")</f>
        <v/>
      </c>
      <c r="E788" t="str">
        <f>IF($A788&lt;&gt;"",'Approved-In-Depth'!E788,"")</f>
        <v/>
      </c>
      <c r="F788" t="str">
        <f>IF($A788&lt;&gt;"",'Approved-In-Depth'!F788,"")</f>
        <v/>
      </c>
      <c r="G788" t="str">
        <f>IF($A788&lt;&gt;"",'Approved-In-Depth'!G788,"")</f>
        <v/>
      </c>
      <c r="H788" s="4" t="str">
        <f>IF($A788&lt;&gt;"",'Approved-In-Depth'!H788,"")</f>
        <v/>
      </c>
      <c r="I788" t="str">
        <f>IF($A788&lt;&gt;"",'Approved-In-Depth'!I788,"")</f>
        <v/>
      </c>
      <c r="J788" t="str">
        <f>IF($A788&lt;&gt;"",'Approved-In-Depth'!J788,"")</f>
        <v/>
      </c>
      <c r="K788" t="str">
        <f>IF($A788&lt;&gt;"",'Approved-In-Depth'!K788,"")</f>
        <v/>
      </c>
      <c r="L788" s="4" t="str">
        <f>IF($A788&lt;&gt;"",'Approved-In-Depth'!L788,"")</f>
        <v/>
      </c>
      <c r="M788" t="str">
        <f>IF($A788&lt;&gt;"",'Approved-In-Depth'!M788,"")</f>
        <v/>
      </c>
    </row>
    <row r="789" spans="1:13" x14ac:dyDescent="0.35">
      <c r="A789" s="4" t="str">
        <f>IF('Approved-In-Depth'!$A789&lt;&gt;"",'Approved-In-Depth'!A789,"")</f>
        <v/>
      </c>
      <c r="B789" t="str">
        <f>IF($O789&lt;&gt;"",$O789,IF($A789&lt;&gt;"",'Approved-In-Depth'!$B789+7,""))</f>
        <v/>
      </c>
      <c r="C789" t="str">
        <f>IF($A789&lt;&gt;"",'Approved-In-Depth'!C789,"")</f>
        <v/>
      </c>
      <c r="D789" t="str">
        <f>IF($A789&lt;&gt;"",'Approved-In-Depth'!D789,"")</f>
        <v/>
      </c>
      <c r="E789" t="str">
        <f>IF($A789&lt;&gt;"",'Approved-In-Depth'!E789,"")</f>
        <v/>
      </c>
      <c r="F789" t="str">
        <f>IF($A789&lt;&gt;"",'Approved-In-Depth'!F789,"")</f>
        <v/>
      </c>
      <c r="G789" t="str">
        <f>IF($A789&lt;&gt;"",'Approved-In-Depth'!G789,"")</f>
        <v/>
      </c>
      <c r="H789" s="4" t="str">
        <f>IF($A789&lt;&gt;"",'Approved-In-Depth'!H789,"")</f>
        <v/>
      </c>
      <c r="I789" t="str">
        <f>IF($A789&lt;&gt;"",'Approved-In-Depth'!I789,"")</f>
        <v/>
      </c>
      <c r="J789" t="str">
        <f>IF($A789&lt;&gt;"",'Approved-In-Depth'!J789,"")</f>
        <v/>
      </c>
      <c r="K789" t="str">
        <f>IF($A789&lt;&gt;"",'Approved-In-Depth'!K789,"")</f>
        <v/>
      </c>
      <c r="L789" s="4" t="str">
        <f>IF($A789&lt;&gt;"",'Approved-In-Depth'!L789,"")</f>
        <v/>
      </c>
      <c r="M789" t="str">
        <f>IF($A789&lt;&gt;"",'Approved-In-Depth'!M789,"")</f>
        <v/>
      </c>
    </row>
    <row r="790" spans="1:13" x14ac:dyDescent="0.35">
      <c r="A790" s="4" t="str">
        <f>IF('Approved-In-Depth'!$A790&lt;&gt;"",'Approved-In-Depth'!A790,"")</f>
        <v/>
      </c>
      <c r="B790" t="str">
        <f>IF($O790&lt;&gt;"",$O790,IF($A790&lt;&gt;"",'Approved-In-Depth'!$B790+7,""))</f>
        <v/>
      </c>
      <c r="C790" t="str">
        <f>IF($A790&lt;&gt;"",'Approved-In-Depth'!C790,"")</f>
        <v/>
      </c>
      <c r="D790" t="str">
        <f>IF($A790&lt;&gt;"",'Approved-In-Depth'!D790,"")</f>
        <v/>
      </c>
      <c r="E790" t="str">
        <f>IF($A790&lt;&gt;"",'Approved-In-Depth'!E790,"")</f>
        <v/>
      </c>
      <c r="F790" t="str">
        <f>IF($A790&lt;&gt;"",'Approved-In-Depth'!F790,"")</f>
        <v/>
      </c>
      <c r="G790" t="str">
        <f>IF($A790&lt;&gt;"",'Approved-In-Depth'!G790,"")</f>
        <v/>
      </c>
      <c r="H790" s="4" t="str">
        <f>IF($A790&lt;&gt;"",'Approved-In-Depth'!H790,"")</f>
        <v/>
      </c>
      <c r="I790" t="str">
        <f>IF($A790&lt;&gt;"",'Approved-In-Depth'!I790,"")</f>
        <v/>
      </c>
      <c r="J790" t="str">
        <f>IF($A790&lt;&gt;"",'Approved-In-Depth'!J790,"")</f>
        <v/>
      </c>
      <c r="K790" t="str">
        <f>IF($A790&lt;&gt;"",'Approved-In-Depth'!K790,"")</f>
        <v/>
      </c>
      <c r="L790" s="4" t="str">
        <f>IF($A790&lt;&gt;"",'Approved-In-Depth'!L790,"")</f>
        <v/>
      </c>
      <c r="M790" t="str">
        <f>IF($A790&lt;&gt;"",'Approved-In-Depth'!M790,"")</f>
        <v/>
      </c>
    </row>
    <row r="791" spans="1:13" x14ac:dyDescent="0.35">
      <c r="A791" s="4" t="str">
        <f>IF('Approved-In-Depth'!$A791&lt;&gt;"",'Approved-In-Depth'!A791,"")</f>
        <v/>
      </c>
      <c r="B791" t="str">
        <f>IF($O791&lt;&gt;"",$O791,IF($A791&lt;&gt;"",'Approved-In-Depth'!$B791+7,""))</f>
        <v/>
      </c>
      <c r="C791" t="str">
        <f>IF($A791&lt;&gt;"",'Approved-In-Depth'!C791,"")</f>
        <v/>
      </c>
      <c r="D791" t="str">
        <f>IF($A791&lt;&gt;"",'Approved-In-Depth'!D791,"")</f>
        <v/>
      </c>
      <c r="E791" t="str">
        <f>IF($A791&lt;&gt;"",'Approved-In-Depth'!E791,"")</f>
        <v/>
      </c>
      <c r="F791" t="str">
        <f>IF($A791&lt;&gt;"",'Approved-In-Depth'!F791,"")</f>
        <v/>
      </c>
      <c r="G791" t="str">
        <f>IF($A791&lt;&gt;"",'Approved-In-Depth'!G791,"")</f>
        <v/>
      </c>
      <c r="H791" s="4" t="str">
        <f>IF($A791&lt;&gt;"",'Approved-In-Depth'!H791,"")</f>
        <v/>
      </c>
      <c r="I791" t="str">
        <f>IF($A791&lt;&gt;"",'Approved-In-Depth'!I791,"")</f>
        <v/>
      </c>
      <c r="J791" t="str">
        <f>IF($A791&lt;&gt;"",'Approved-In-Depth'!J791,"")</f>
        <v/>
      </c>
      <c r="K791" t="str">
        <f>IF($A791&lt;&gt;"",'Approved-In-Depth'!K791,"")</f>
        <v/>
      </c>
      <c r="L791" s="4" t="str">
        <f>IF($A791&lt;&gt;"",'Approved-In-Depth'!L791,"")</f>
        <v/>
      </c>
      <c r="M791" t="str">
        <f>IF($A791&lt;&gt;"",'Approved-In-Depth'!M791,"")</f>
        <v/>
      </c>
    </row>
    <row r="792" spans="1:13" x14ac:dyDescent="0.35">
      <c r="A792" s="4" t="str">
        <f>IF('Approved-In-Depth'!$A792&lt;&gt;"",'Approved-In-Depth'!A792,"")</f>
        <v/>
      </c>
      <c r="B792" t="str">
        <f>IF($O792&lt;&gt;"",$O792,IF($A792&lt;&gt;"",'Approved-In-Depth'!$B792+7,""))</f>
        <v/>
      </c>
      <c r="C792" t="str">
        <f>IF($A792&lt;&gt;"",'Approved-In-Depth'!C792,"")</f>
        <v/>
      </c>
      <c r="D792" t="str">
        <f>IF($A792&lt;&gt;"",'Approved-In-Depth'!D792,"")</f>
        <v/>
      </c>
      <c r="E792" t="str">
        <f>IF($A792&lt;&gt;"",'Approved-In-Depth'!E792,"")</f>
        <v/>
      </c>
      <c r="F792" t="str">
        <f>IF($A792&lt;&gt;"",'Approved-In-Depth'!F792,"")</f>
        <v/>
      </c>
      <c r="G792" t="str">
        <f>IF($A792&lt;&gt;"",'Approved-In-Depth'!G792,"")</f>
        <v/>
      </c>
      <c r="H792" s="4" t="str">
        <f>IF($A792&lt;&gt;"",'Approved-In-Depth'!H792,"")</f>
        <v/>
      </c>
      <c r="I792" t="str">
        <f>IF($A792&lt;&gt;"",'Approved-In-Depth'!I792,"")</f>
        <v/>
      </c>
      <c r="J792" t="str">
        <f>IF($A792&lt;&gt;"",'Approved-In-Depth'!J792,"")</f>
        <v/>
      </c>
      <c r="K792" t="str">
        <f>IF($A792&lt;&gt;"",'Approved-In-Depth'!K792,"")</f>
        <v/>
      </c>
      <c r="L792" s="4" t="str">
        <f>IF($A792&lt;&gt;"",'Approved-In-Depth'!L792,"")</f>
        <v/>
      </c>
      <c r="M792" t="str">
        <f>IF($A792&lt;&gt;"",'Approved-In-Depth'!M792,"")</f>
        <v/>
      </c>
    </row>
    <row r="793" spans="1:13" x14ac:dyDescent="0.35">
      <c r="A793" s="4" t="str">
        <f>IF('Approved-In-Depth'!$A793&lt;&gt;"",'Approved-In-Depth'!A793,"")</f>
        <v/>
      </c>
      <c r="B793" t="str">
        <f>IF($O793&lt;&gt;"",$O793,IF($A793&lt;&gt;"",'Approved-In-Depth'!$B793+7,""))</f>
        <v/>
      </c>
      <c r="C793" t="str">
        <f>IF($A793&lt;&gt;"",'Approved-In-Depth'!C793,"")</f>
        <v/>
      </c>
      <c r="D793" t="str">
        <f>IF($A793&lt;&gt;"",'Approved-In-Depth'!D793,"")</f>
        <v/>
      </c>
      <c r="E793" t="str">
        <f>IF($A793&lt;&gt;"",'Approved-In-Depth'!E793,"")</f>
        <v/>
      </c>
      <c r="F793" t="str">
        <f>IF($A793&lt;&gt;"",'Approved-In-Depth'!F793,"")</f>
        <v/>
      </c>
      <c r="G793" t="str">
        <f>IF($A793&lt;&gt;"",'Approved-In-Depth'!G793,"")</f>
        <v/>
      </c>
      <c r="H793" s="4" t="str">
        <f>IF($A793&lt;&gt;"",'Approved-In-Depth'!H793,"")</f>
        <v/>
      </c>
      <c r="I793" t="str">
        <f>IF($A793&lt;&gt;"",'Approved-In-Depth'!I793,"")</f>
        <v/>
      </c>
      <c r="J793" t="str">
        <f>IF($A793&lt;&gt;"",'Approved-In-Depth'!J793,"")</f>
        <v/>
      </c>
      <c r="K793" t="str">
        <f>IF($A793&lt;&gt;"",'Approved-In-Depth'!K793,"")</f>
        <v/>
      </c>
      <c r="L793" s="4" t="str">
        <f>IF($A793&lt;&gt;"",'Approved-In-Depth'!L793,"")</f>
        <v/>
      </c>
      <c r="M793" t="str">
        <f>IF($A793&lt;&gt;"",'Approved-In-Depth'!M793,"")</f>
        <v/>
      </c>
    </row>
    <row r="794" spans="1:13" x14ac:dyDescent="0.35">
      <c r="A794" s="4" t="str">
        <f>IF('Approved-In-Depth'!$A794&lt;&gt;"",'Approved-In-Depth'!A794,"")</f>
        <v/>
      </c>
      <c r="B794" t="str">
        <f>IF($O794&lt;&gt;"",$O794,IF($A794&lt;&gt;"",'Approved-In-Depth'!$B794+7,""))</f>
        <v/>
      </c>
      <c r="C794" t="str">
        <f>IF($A794&lt;&gt;"",'Approved-In-Depth'!C794,"")</f>
        <v/>
      </c>
      <c r="D794" t="str">
        <f>IF($A794&lt;&gt;"",'Approved-In-Depth'!D794,"")</f>
        <v/>
      </c>
      <c r="E794" t="str">
        <f>IF($A794&lt;&gt;"",'Approved-In-Depth'!E794,"")</f>
        <v/>
      </c>
      <c r="F794" t="str">
        <f>IF($A794&lt;&gt;"",'Approved-In-Depth'!F794,"")</f>
        <v/>
      </c>
      <c r="G794" t="str">
        <f>IF($A794&lt;&gt;"",'Approved-In-Depth'!G794,"")</f>
        <v/>
      </c>
      <c r="H794" s="4" t="str">
        <f>IF($A794&lt;&gt;"",'Approved-In-Depth'!H794,"")</f>
        <v/>
      </c>
      <c r="I794" t="str">
        <f>IF($A794&lt;&gt;"",'Approved-In-Depth'!I794,"")</f>
        <v/>
      </c>
      <c r="J794" t="str">
        <f>IF($A794&lt;&gt;"",'Approved-In-Depth'!J794,"")</f>
        <v/>
      </c>
      <c r="K794" t="str">
        <f>IF($A794&lt;&gt;"",'Approved-In-Depth'!K794,"")</f>
        <v/>
      </c>
      <c r="L794" s="4" t="str">
        <f>IF($A794&lt;&gt;"",'Approved-In-Depth'!L794,"")</f>
        <v/>
      </c>
      <c r="M794" t="str">
        <f>IF($A794&lt;&gt;"",'Approved-In-Depth'!M794,"")</f>
        <v/>
      </c>
    </row>
    <row r="795" spans="1:13" x14ac:dyDescent="0.35">
      <c r="A795" s="4" t="str">
        <f>IF('Approved-In-Depth'!$A795&lt;&gt;"",'Approved-In-Depth'!A795,"")</f>
        <v/>
      </c>
      <c r="B795" t="str">
        <f>IF($O795&lt;&gt;"",$O795,IF($A795&lt;&gt;"",'Approved-In-Depth'!$B795+7,""))</f>
        <v/>
      </c>
      <c r="C795" t="str">
        <f>IF($A795&lt;&gt;"",'Approved-In-Depth'!C795,"")</f>
        <v/>
      </c>
      <c r="D795" t="str">
        <f>IF($A795&lt;&gt;"",'Approved-In-Depth'!D795,"")</f>
        <v/>
      </c>
      <c r="E795" t="str">
        <f>IF($A795&lt;&gt;"",'Approved-In-Depth'!E795,"")</f>
        <v/>
      </c>
      <c r="F795" t="str">
        <f>IF($A795&lt;&gt;"",'Approved-In-Depth'!F795,"")</f>
        <v/>
      </c>
      <c r="G795" t="str">
        <f>IF($A795&lt;&gt;"",'Approved-In-Depth'!G795,"")</f>
        <v/>
      </c>
      <c r="H795" s="4" t="str">
        <f>IF($A795&lt;&gt;"",'Approved-In-Depth'!H795,"")</f>
        <v/>
      </c>
      <c r="I795" t="str">
        <f>IF($A795&lt;&gt;"",'Approved-In-Depth'!I795,"")</f>
        <v/>
      </c>
      <c r="J795" t="str">
        <f>IF($A795&lt;&gt;"",'Approved-In-Depth'!J795,"")</f>
        <v/>
      </c>
      <c r="K795" t="str">
        <f>IF($A795&lt;&gt;"",'Approved-In-Depth'!K795,"")</f>
        <v/>
      </c>
      <c r="L795" s="4" t="str">
        <f>IF($A795&lt;&gt;"",'Approved-In-Depth'!L795,"")</f>
        <v/>
      </c>
      <c r="M795" t="str">
        <f>IF($A795&lt;&gt;"",'Approved-In-Depth'!M795,"")</f>
        <v/>
      </c>
    </row>
    <row r="796" spans="1:13" x14ac:dyDescent="0.35">
      <c r="A796" s="4" t="str">
        <f>IF('Approved-In-Depth'!$A796&lt;&gt;"",'Approved-In-Depth'!A796,"")</f>
        <v/>
      </c>
      <c r="B796" t="str">
        <f>IF($O796&lt;&gt;"",$O796,IF($A796&lt;&gt;"",'Approved-In-Depth'!$B796+7,""))</f>
        <v/>
      </c>
      <c r="C796" t="str">
        <f>IF($A796&lt;&gt;"",'Approved-In-Depth'!C796,"")</f>
        <v/>
      </c>
      <c r="D796" t="str">
        <f>IF($A796&lt;&gt;"",'Approved-In-Depth'!D796,"")</f>
        <v/>
      </c>
      <c r="E796" t="str">
        <f>IF($A796&lt;&gt;"",'Approved-In-Depth'!E796,"")</f>
        <v/>
      </c>
      <c r="F796" t="str">
        <f>IF($A796&lt;&gt;"",'Approved-In-Depth'!F796,"")</f>
        <v/>
      </c>
      <c r="G796" t="str">
        <f>IF($A796&lt;&gt;"",'Approved-In-Depth'!G796,"")</f>
        <v/>
      </c>
      <c r="H796" s="4" t="str">
        <f>IF($A796&lt;&gt;"",'Approved-In-Depth'!H796,"")</f>
        <v/>
      </c>
      <c r="I796" t="str">
        <f>IF($A796&lt;&gt;"",'Approved-In-Depth'!I796,"")</f>
        <v/>
      </c>
      <c r="J796" t="str">
        <f>IF($A796&lt;&gt;"",'Approved-In-Depth'!J796,"")</f>
        <v/>
      </c>
      <c r="K796" t="str">
        <f>IF($A796&lt;&gt;"",'Approved-In-Depth'!K796,"")</f>
        <v/>
      </c>
      <c r="L796" s="4" t="str">
        <f>IF($A796&lt;&gt;"",'Approved-In-Depth'!L796,"")</f>
        <v/>
      </c>
      <c r="M796" t="str">
        <f>IF($A796&lt;&gt;"",'Approved-In-Depth'!M796,"")</f>
        <v/>
      </c>
    </row>
    <row r="797" spans="1:13" x14ac:dyDescent="0.35">
      <c r="A797" s="4" t="str">
        <f>IF('Approved-In-Depth'!$A797&lt;&gt;"",'Approved-In-Depth'!A797,"")</f>
        <v/>
      </c>
      <c r="B797" t="str">
        <f>IF($O797&lt;&gt;"",$O797,IF($A797&lt;&gt;"",'Approved-In-Depth'!$B797+7,""))</f>
        <v/>
      </c>
      <c r="C797" t="str">
        <f>IF($A797&lt;&gt;"",'Approved-In-Depth'!C797,"")</f>
        <v/>
      </c>
      <c r="D797" t="str">
        <f>IF($A797&lt;&gt;"",'Approved-In-Depth'!D797,"")</f>
        <v/>
      </c>
      <c r="E797" t="str">
        <f>IF($A797&lt;&gt;"",'Approved-In-Depth'!E797,"")</f>
        <v/>
      </c>
      <c r="F797" t="str">
        <f>IF($A797&lt;&gt;"",'Approved-In-Depth'!F797,"")</f>
        <v/>
      </c>
      <c r="G797" t="str">
        <f>IF($A797&lt;&gt;"",'Approved-In-Depth'!G797,"")</f>
        <v/>
      </c>
      <c r="H797" s="4" t="str">
        <f>IF($A797&lt;&gt;"",'Approved-In-Depth'!H797,"")</f>
        <v/>
      </c>
      <c r="I797" t="str">
        <f>IF($A797&lt;&gt;"",'Approved-In-Depth'!I797,"")</f>
        <v/>
      </c>
      <c r="J797" t="str">
        <f>IF($A797&lt;&gt;"",'Approved-In-Depth'!J797,"")</f>
        <v/>
      </c>
      <c r="K797" t="str">
        <f>IF($A797&lt;&gt;"",'Approved-In-Depth'!K797,"")</f>
        <v/>
      </c>
      <c r="L797" s="4" t="str">
        <f>IF($A797&lt;&gt;"",'Approved-In-Depth'!L797,"")</f>
        <v/>
      </c>
      <c r="M797" t="str">
        <f>IF($A797&lt;&gt;"",'Approved-In-Depth'!M797,"")</f>
        <v/>
      </c>
    </row>
    <row r="798" spans="1:13" x14ac:dyDescent="0.35">
      <c r="A798" s="4" t="str">
        <f>IF('Approved-In-Depth'!$A798&lt;&gt;"",'Approved-In-Depth'!A798,"")</f>
        <v/>
      </c>
      <c r="B798" t="str">
        <f>IF($O798&lt;&gt;"",$O798,IF($A798&lt;&gt;"",'Approved-In-Depth'!$B798+7,""))</f>
        <v/>
      </c>
      <c r="C798" t="str">
        <f>IF($A798&lt;&gt;"",'Approved-In-Depth'!C798,"")</f>
        <v/>
      </c>
      <c r="D798" t="str">
        <f>IF($A798&lt;&gt;"",'Approved-In-Depth'!D798,"")</f>
        <v/>
      </c>
      <c r="E798" t="str">
        <f>IF($A798&lt;&gt;"",'Approved-In-Depth'!E798,"")</f>
        <v/>
      </c>
      <c r="F798" t="str">
        <f>IF($A798&lt;&gt;"",'Approved-In-Depth'!F798,"")</f>
        <v/>
      </c>
      <c r="G798" t="str">
        <f>IF($A798&lt;&gt;"",'Approved-In-Depth'!G798,"")</f>
        <v/>
      </c>
      <c r="H798" s="4" t="str">
        <f>IF($A798&lt;&gt;"",'Approved-In-Depth'!H798,"")</f>
        <v/>
      </c>
      <c r="I798" t="str">
        <f>IF($A798&lt;&gt;"",'Approved-In-Depth'!I798,"")</f>
        <v/>
      </c>
      <c r="J798" t="str">
        <f>IF($A798&lt;&gt;"",'Approved-In-Depth'!J798,"")</f>
        <v/>
      </c>
      <c r="K798" t="str">
        <f>IF($A798&lt;&gt;"",'Approved-In-Depth'!K798,"")</f>
        <v/>
      </c>
      <c r="L798" s="4" t="str">
        <f>IF($A798&lt;&gt;"",'Approved-In-Depth'!L798,"")</f>
        <v/>
      </c>
      <c r="M798" t="str">
        <f>IF($A798&lt;&gt;"",'Approved-In-Depth'!M798,"")</f>
        <v/>
      </c>
    </row>
    <row r="799" spans="1:13" x14ac:dyDescent="0.35">
      <c r="A799" s="4" t="str">
        <f>IF('Approved-In-Depth'!$A799&lt;&gt;"",'Approved-In-Depth'!A799,"")</f>
        <v/>
      </c>
      <c r="B799" t="str">
        <f>IF($O799&lt;&gt;"",$O799,IF($A799&lt;&gt;"",'Approved-In-Depth'!$B799+7,""))</f>
        <v/>
      </c>
      <c r="C799" t="str">
        <f>IF($A799&lt;&gt;"",'Approved-In-Depth'!C799,"")</f>
        <v/>
      </c>
      <c r="D799" t="str">
        <f>IF($A799&lt;&gt;"",'Approved-In-Depth'!D799,"")</f>
        <v/>
      </c>
      <c r="E799" t="str">
        <f>IF($A799&lt;&gt;"",'Approved-In-Depth'!E799,"")</f>
        <v/>
      </c>
      <c r="F799" t="str">
        <f>IF($A799&lt;&gt;"",'Approved-In-Depth'!F799,"")</f>
        <v/>
      </c>
      <c r="G799" t="str">
        <f>IF($A799&lt;&gt;"",'Approved-In-Depth'!G799,"")</f>
        <v/>
      </c>
      <c r="H799" s="4" t="str">
        <f>IF($A799&lt;&gt;"",'Approved-In-Depth'!H799,"")</f>
        <v/>
      </c>
      <c r="I799" t="str">
        <f>IF($A799&lt;&gt;"",'Approved-In-Depth'!I799,"")</f>
        <v/>
      </c>
      <c r="J799" t="str">
        <f>IF($A799&lt;&gt;"",'Approved-In-Depth'!J799,"")</f>
        <v/>
      </c>
      <c r="K799" t="str">
        <f>IF($A799&lt;&gt;"",'Approved-In-Depth'!K799,"")</f>
        <v/>
      </c>
      <c r="L799" s="4" t="str">
        <f>IF($A799&lt;&gt;"",'Approved-In-Depth'!L799,"")</f>
        <v/>
      </c>
      <c r="M799" t="str">
        <f>IF($A799&lt;&gt;"",'Approved-In-Depth'!M799,"")</f>
        <v/>
      </c>
    </row>
    <row r="800" spans="1:13" x14ac:dyDescent="0.35">
      <c r="A800" s="4" t="str">
        <f>IF('Approved-In-Depth'!$A800&lt;&gt;"",'Approved-In-Depth'!A800,"")</f>
        <v/>
      </c>
      <c r="B800" t="str">
        <f>IF($O800&lt;&gt;"",$O800,IF($A800&lt;&gt;"",'Approved-In-Depth'!$B800+7,""))</f>
        <v/>
      </c>
      <c r="C800" t="str">
        <f>IF($A800&lt;&gt;"",'Approved-In-Depth'!C800,"")</f>
        <v/>
      </c>
      <c r="D800" t="str">
        <f>IF($A800&lt;&gt;"",'Approved-In-Depth'!D800,"")</f>
        <v/>
      </c>
      <c r="E800" t="str">
        <f>IF($A800&lt;&gt;"",'Approved-In-Depth'!E800,"")</f>
        <v/>
      </c>
      <c r="F800" t="str">
        <f>IF($A800&lt;&gt;"",'Approved-In-Depth'!F800,"")</f>
        <v/>
      </c>
      <c r="G800" t="str">
        <f>IF($A800&lt;&gt;"",'Approved-In-Depth'!G800,"")</f>
        <v/>
      </c>
      <c r="H800" s="4" t="str">
        <f>IF($A800&lt;&gt;"",'Approved-In-Depth'!H800,"")</f>
        <v/>
      </c>
      <c r="I800" t="str">
        <f>IF($A800&lt;&gt;"",'Approved-In-Depth'!I800,"")</f>
        <v/>
      </c>
      <c r="J800" t="str">
        <f>IF($A800&lt;&gt;"",'Approved-In-Depth'!J800,"")</f>
        <v/>
      </c>
      <c r="K800" t="str">
        <f>IF($A800&lt;&gt;"",'Approved-In-Depth'!K800,"")</f>
        <v/>
      </c>
      <c r="L800" s="4" t="str">
        <f>IF($A800&lt;&gt;"",'Approved-In-Depth'!L800,"")</f>
        <v/>
      </c>
      <c r="M800" t="str">
        <f>IF($A800&lt;&gt;"",'Approved-In-Depth'!M800,"")</f>
        <v/>
      </c>
    </row>
    <row r="801" spans="1:13" x14ac:dyDescent="0.35">
      <c r="A801" s="4" t="str">
        <f>IF('Approved-In-Depth'!$A801&lt;&gt;"",'Approved-In-Depth'!A801,"")</f>
        <v/>
      </c>
      <c r="B801" t="str">
        <f>IF($O801&lt;&gt;"",$O801,IF($A801&lt;&gt;"",'Approved-In-Depth'!$B801+7,""))</f>
        <v/>
      </c>
      <c r="C801" t="str">
        <f>IF($A801&lt;&gt;"",'Approved-In-Depth'!C801,"")</f>
        <v/>
      </c>
      <c r="D801" t="str">
        <f>IF($A801&lt;&gt;"",'Approved-In-Depth'!D801,"")</f>
        <v/>
      </c>
      <c r="E801" t="str">
        <f>IF($A801&lt;&gt;"",'Approved-In-Depth'!E801,"")</f>
        <v/>
      </c>
      <c r="F801" t="str">
        <f>IF($A801&lt;&gt;"",'Approved-In-Depth'!F801,"")</f>
        <v/>
      </c>
      <c r="G801" t="str">
        <f>IF($A801&lt;&gt;"",'Approved-In-Depth'!G801,"")</f>
        <v/>
      </c>
      <c r="H801" s="4" t="str">
        <f>IF($A801&lt;&gt;"",'Approved-In-Depth'!H801,"")</f>
        <v/>
      </c>
      <c r="I801" t="str">
        <f>IF($A801&lt;&gt;"",'Approved-In-Depth'!I801,"")</f>
        <v/>
      </c>
      <c r="J801" t="str">
        <f>IF($A801&lt;&gt;"",'Approved-In-Depth'!J801,"")</f>
        <v/>
      </c>
      <c r="K801" t="str">
        <f>IF($A801&lt;&gt;"",'Approved-In-Depth'!K801,"")</f>
        <v/>
      </c>
      <c r="L801" s="4" t="str">
        <f>IF($A801&lt;&gt;"",'Approved-In-Depth'!L801,"")</f>
        <v/>
      </c>
      <c r="M801" t="str">
        <f>IF($A801&lt;&gt;"",'Approved-In-Depth'!M801,"")</f>
        <v/>
      </c>
    </row>
    <row r="802" spans="1:13" x14ac:dyDescent="0.35">
      <c r="A802" s="4" t="str">
        <f>IF('Approved-In-Depth'!$A802&lt;&gt;"",'Approved-In-Depth'!A802,"")</f>
        <v/>
      </c>
      <c r="B802" t="str">
        <f>IF($O802&lt;&gt;"",$O802,IF($A802&lt;&gt;"",'Approved-In-Depth'!$B802+7,""))</f>
        <v/>
      </c>
      <c r="C802" t="str">
        <f>IF($A802&lt;&gt;"",'Approved-In-Depth'!C802,"")</f>
        <v/>
      </c>
      <c r="D802" t="str">
        <f>IF($A802&lt;&gt;"",'Approved-In-Depth'!D802,"")</f>
        <v/>
      </c>
      <c r="E802" t="str">
        <f>IF($A802&lt;&gt;"",'Approved-In-Depth'!E802,"")</f>
        <v/>
      </c>
      <c r="F802" t="str">
        <f>IF($A802&lt;&gt;"",'Approved-In-Depth'!F802,"")</f>
        <v/>
      </c>
      <c r="G802" t="str">
        <f>IF($A802&lt;&gt;"",'Approved-In-Depth'!G802,"")</f>
        <v/>
      </c>
      <c r="H802" s="4" t="str">
        <f>IF($A802&lt;&gt;"",'Approved-In-Depth'!H802,"")</f>
        <v/>
      </c>
      <c r="I802" t="str">
        <f>IF($A802&lt;&gt;"",'Approved-In-Depth'!I802,"")</f>
        <v/>
      </c>
      <c r="J802" t="str">
        <f>IF($A802&lt;&gt;"",'Approved-In-Depth'!J802,"")</f>
        <v/>
      </c>
      <c r="K802" t="str">
        <f>IF($A802&lt;&gt;"",'Approved-In-Depth'!K802,"")</f>
        <v/>
      </c>
      <c r="L802" s="4" t="str">
        <f>IF($A802&lt;&gt;"",'Approved-In-Depth'!L802,"")</f>
        <v/>
      </c>
      <c r="M802" t="str">
        <f>IF($A802&lt;&gt;"",'Approved-In-Depth'!M802,"")</f>
        <v/>
      </c>
    </row>
    <row r="803" spans="1:13" x14ac:dyDescent="0.35">
      <c r="A803" s="4" t="str">
        <f>IF('Approved-In-Depth'!$A803&lt;&gt;"",'Approved-In-Depth'!A803,"")</f>
        <v/>
      </c>
      <c r="B803" t="str">
        <f>IF($O803&lt;&gt;"",$O803,IF($A803&lt;&gt;"",'Approved-In-Depth'!$B803+7,""))</f>
        <v/>
      </c>
      <c r="C803" t="str">
        <f>IF($A803&lt;&gt;"",'Approved-In-Depth'!C803,"")</f>
        <v/>
      </c>
      <c r="D803" t="str">
        <f>IF($A803&lt;&gt;"",'Approved-In-Depth'!D803,"")</f>
        <v/>
      </c>
      <c r="E803" t="str">
        <f>IF($A803&lt;&gt;"",'Approved-In-Depth'!E803,"")</f>
        <v/>
      </c>
      <c r="F803" t="str">
        <f>IF($A803&lt;&gt;"",'Approved-In-Depth'!F803,"")</f>
        <v/>
      </c>
      <c r="G803" t="str">
        <f>IF($A803&lt;&gt;"",'Approved-In-Depth'!G803,"")</f>
        <v/>
      </c>
      <c r="H803" s="4" t="str">
        <f>IF($A803&lt;&gt;"",'Approved-In-Depth'!H803,"")</f>
        <v/>
      </c>
      <c r="I803" t="str">
        <f>IF($A803&lt;&gt;"",'Approved-In-Depth'!I803,"")</f>
        <v/>
      </c>
      <c r="J803" t="str">
        <f>IF($A803&lt;&gt;"",'Approved-In-Depth'!J803,"")</f>
        <v/>
      </c>
      <c r="K803" t="str">
        <f>IF($A803&lt;&gt;"",'Approved-In-Depth'!K803,"")</f>
        <v/>
      </c>
      <c r="L803" s="4" t="str">
        <f>IF($A803&lt;&gt;"",'Approved-In-Depth'!L803,"")</f>
        <v/>
      </c>
      <c r="M803" t="str">
        <f>IF($A803&lt;&gt;"",'Approved-In-Depth'!M803,"")</f>
        <v/>
      </c>
    </row>
    <row r="804" spans="1:13" x14ac:dyDescent="0.35">
      <c r="A804" s="4" t="str">
        <f>IF('Approved-In-Depth'!$A804&lt;&gt;"",'Approved-In-Depth'!A804,"")</f>
        <v/>
      </c>
      <c r="B804" t="str">
        <f>IF($O804&lt;&gt;"",$O804,IF($A804&lt;&gt;"",'Approved-In-Depth'!$B804+7,""))</f>
        <v/>
      </c>
      <c r="C804" t="str">
        <f>IF($A804&lt;&gt;"",'Approved-In-Depth'!C804,"")</f>
        <v/>
      </c>
      <c r="D804" t="str">
        <f>IF($A804&lt;&gt;"",'Approved-In-Depth'!D804,"")</f>
        <v/>
      </c>
      <c r="E804" t="str">
        <f>IF($A804&lt;&gt;"",'Approved-In-Depth'!E804,"")</f>
        <v/>
      </c>
      <c r="F804" t="str">
        <f>IF($A804&lt;&gt;"",'Approved-In-Depth'!F804,"")</f>
        <v/>
      </c>
      <c r="G804" t="str">
        <f>IF($A804&lt;&gt;"",'Approved-In-Depth'!G804,"")</f>
        <v/>
      </c>
      <c r="H804" s="4" t="str">
        <f>IF($A804&lt;&gt;"",'Approved-In-Depth'!H804,"")</f>
        <v/>
      </c>
      <c r="I804" t="str">
        <f>IF($A804&lt;&gt;"",'Approved-In-Depth'!I804,"")</f>
        <v/>
      </c>
      <c r="J804" t="str">
        <f>IF($A804&lt;&gt;"",'Approved-In-Depth'!J804,"")</f>
        <v/>
      </c>
      <c r="K804" t="str">
        <f>IF($A804&lt;&gt;"",'Approved-In-Depth'!K804,"")</f>
        <v/>
      </c>
      <c r="L804" s="4" t="str">
        <f>IF($A804&lt;&gt;"",'Approved-In-Depth'!L804,"")</f>
        <v/>
      </c>
      <c r="M804" t="str">
        <f>IF($A804&lt;&gt;"",'Approved-In-Depth'!M804,"")</f>
        <v/>
      </c>
    </row>
    <row r="805" spans="1:13" x14ac:dyDescent="0.35">
      <c r="A805" s="4" t="str">
        <f>IF('Approved-In-Depth'!$A805&lt;&gt;"",'Approved-In-Depth'!A805,"")</f>
        <v/>
      </c>
      <c r="B805" t="str">
        <f>IF($O805&lt;&gt;"",$O805,IF($A805&lt;&gt;"",'Approved-In-Depth'!$B805+7,""))</f>
        <v/>
      </c>
      <c r="C805" t="str">
        <f>IF($A805&lt;&gt;"",'Approved-In-Depth'!C805,"")</f>
        <v/>
      </c>
      <c r="D805" t="str">
        <f>IF($A805&lt;&gt;"",'Approved-In-Depth'!D805,"")</f>
        <v/>
      </c>
      <c r="E805" t="str">
        <f>IF($A805&lt;&gt;"",'Approved-In-Depth'!E805,"")</f>
        <v/>
      </c>
      <c r="F805" t="str">
        <f>IF($A805&lt;&gt;"",'Approved-In-Depth'!F805,"")</f>
        <v/>
      </c>
      <c r="G805" t="str">
        <f>IF($A805&lt;&gt;"",'Approved-In-Depth'!G805,"")</f>
        <v/>
      </c>
      <c r="H805" s="4" t="str">
        <f>IF($A805&lt;&gt;"",'Approved-In-Depth'!H805,"")</f>
        <v/>
      </c>
      <c r="I805" t="str">
        <f>IF($A805&lt;&gt;"",'Approved-In-Depth'!I805,"")</f>
        <v/>
      </c>
      <c r="J805" t="str">
        <f>IF($A805&lt;&gt;"",'Approved-In-Depth'!J805,"")</f>
        <v/>
      </c>
      <c r="K805" t="str">
        <f>IF($A805&lt;&gt;"",'Approved-In-Depth'!K805,"")</f>
        <v/>
      </c>
      <c r="L805" s="4" t="str">
        <f>IF($A805&lt;&gt;"",'Approved-In-Depth'!L805,"")</f>
        <v/>
      </c>
      <c r="M805" t="str">
        <f>IF($A805&lt;&gt;"",'Approved-In-Depth'!M805,"")</f>
        <v/>
      </c>
    </row>
    <row r="806" spans="1:13" x14ac:dyDescent="0.35">
      <c r="A806" s="4" t="str">
        <f>IF('Approved-In-Depth'!$A806&lt;&gt;"",'Approved-In-Depth'!A806,"")</f>
        <v/>
      </c>
      <c r="B806" t="str">
        <f>IF($O806&lt;&gt;"",$O806,IF($A806&lt;&gt;"",'Approved-In-Depth'!$B806+7,""))</f>
        <v/>
      </c>
      <c r="C806" t="str">
        <f>IF($A806&lt;&gt;"",'Approved-In-Depth'!C806,"")</f>
        <v/>
      </c>
      <c r="D806" t="str">
        <f>IF($A806&lt;&gt;"",'Approved-In-Depth'!D806,"")</f>
        <v/>
      </c>
      <c r="E806" t="str">
        <f>IF($A806&lt;&gt;"",'Approved-In-Depth'!E806,"")</f>
        <v/>
      </c>
      <c r="F806" t="str">
        <f>IF($A806&lt;&gt;"",'Approved-In-Depth'!F806,"")</f>
        <v/>
      </c>
      <c r="G806" t="str">
        <f>IF($A806&lt;&gt;"",'Approved-In-Depth'!G806,"")</f>
        <v/>
      </c>
      <c r="H806" s="4" t="str">
        <f>IF($A806&lt;&gt;"",'Approved-In-Depth'!H806,"")</f>
        <v/>
      </c>
      <c r="I806" t="str">
        <f>IF($A806&lt;&gt;"",'Approved-In-Depth'!I806,"")</f>
        <v/>
      </c>
      <c r="J806" t="str">
        <f>IF($A806&lt;&gt;"",'Approved-In-Depth'!J806,"")</f>
        <v/>
      </c>
      <c r="K806" t="str">
        <f>IF($A806&lt;&gt;"",'Approved-In-Depth'!K806,"")</f>
        <v/>
      </c>
      <c r="L806" s="4" t="str">
        <f>IF($A806&lt;&gt;"",'Approved-In-Depth'!L806,"")</f>
        <v/>
      </c>
      <c r="M806" t="str">
        <f>IF($A806&lt;&gt;"",'Approved-In-Depth'!M806,"")</f>
        <v/>
      </c>
    </row>
    <row r="807" spans="1:13" x14ac:dyDescent="0.35">
      <c r="A807" s="4" t="str">
        <f>IF('Approved-In-Depth'!$A807&lt;&gt;"",'Approved-In-Depth'!A807,"")</f>
        <v/>
      </c>
      <c r="B807" t="str">
        <f>IF($O807&lt;&gt;"",$O807,IF($A807&lt;&gt;"",'Approved-In-Depth'!$B807+7,""))</f>
        <v/>
      </c>
      <c r="C807" t="str">
        <f>IF($A807&lt;&gt;"",'Approved-In-Depth'!C807,"")</f>
        <v/>
      </c>
      <c r="D807" t="str">
        <f>IF($A807&lt;&gt;"",'Approved-In-Depth'!D807,"")</f>
        <v/>
      </c>
      <c r="E807" t="str">
        <f>IF($A807&lt;&gt;"",'Approved-In-Depth'!E807,"")</f>
        <v/>
      </c>
      <c r="F807" t="str">
        <f>IF($A807&lt;&gt;"",'Approved-In-Depth'!F807,"")</f>
        <v/>
      </c>
      <c r="G807" t="str">
        <f>IF($A807&lt;&gt;"",'Approved-In-Depth'!G807,"")</f>
        <v/>
      </c>
      <c r="H807" s="4" t="str">
        <f>IF($A807&lt;&gt;"",'Approved-In-Depth'!H807,"")</f>
        <v/>
      </c>
      <c r="I807" t="str">
        <f>IF($A807&lt;&gt;"",'Approved-In-Depth'!I807,"")</f>
        <v/>
      </c>
      <c r="J807" t="str">
        <f>IF($A807&lt;&gt;"",'Approved-In-Depth'!J807,"")</f>
        <v/>
      </c>
      <c r="K807" t="str">
        <f>IF($A807&lt;&gt;"",'Approved-In-Depth'!K807,"")</f>
        <v/>
      </c>
      <c r="L807" s="4" t="str">
        <f>IF($A807&lt;&gt;"",'Approved-In-Depth'!L807,"")</f>
        <v/>
      </c>
      <c r="M807" t="str">
        <f>IF($A807&lt;&gt;"",'Approved-In-Depth'!M807,"")</f>
        <v/>
      </c>
    </row>
    <row r="808" spans="1:13" x14ac:dyDescent="0.35">
      <c r="A808" s="4" t="str">
        <f>IF('Approved-In-Depth'!$A808&lt;&gt;"",'Approved-In-Depth'!A808,"")</f>
        <v/>
      </c>
      <c r="B808" t="str">
        <f>IF($O808&lt;&gt;"",$O808,IF($A808&lt;&gt;"",'Approved-In-Depth'!$B808+7,""))</f>
        <v/>
      </c>
      <c r="C808" t="str">
        <f>IF($A808&lt;&gt;"",'Approved-In-Depth'!C808,"")</f>
        <v/>
      </c>
      <c r="D808" t="str">
        <f>IF($A808&lt;&gt;"",'Approved-In-Depth'!D808,"")</f>
        <v/>
      </c>
      <c r="E808" t="str">
        <f>IF($A808&lt;&gt;"",'Approved-In-Depth'!E808,"")</f>
        <v/>
      </c>
      <c r="F808" t="str">
        <f>IF($A808&lt;&gt;"",'Approved-In-Depth'!F808,"")</f>
        <v/>
      </c>
      <c r="G808" t="str">
        <f>IF($A808&lt;&gt;"",'Approved-In-Depth'!G808,"")</f>
        <v/>
      </c>
      <c r="H808" s="4" t="str">
        <f>IF($A808&lt;&gt;"",'Approved-In-Depth'!H808,"")</f>
        <v/>
      </c>
      <c r="I808" t="str">
        <f>IF($A808&lt;&gt;"",'Approved-In-Depth'!I808,"")</f>
        <v/>
      </c>
      <c r="J808" t="str">
        <f>IF($A808&lt;&gt;"",'Approved-In-Depth'!J808,"")</f>
        <v/>
      </c>
      <c r="K808" t="str">
        <f>IF($A808&lt;&gt;"",'Approved-In-Depth'!K808,"")</f>
        <v/>
      </c>
      <c r="L808" s="4" t="str">
        <f>IF($A808&lt;&gt;"",'Approved-In-Depth'!L808,"")</f>
        <v/>
      </c>
      <c r="M808" t="str">
        <f>IF($A808&lt;&gt;"",'Approved-In-Depth'!M808,"")</f>
        <v/>
      </c>
    </row>
    <row r="809" spans="1:13" x14ac:dyDescent="0.35">
      <c r="A809" s="4" t="str">
        <f>IF('Approved-In-Depth'!$A809&lt;&gt;"",'Approved-In-Depth'!A809,"")</f>
        <v/>
      </c>
      <c r="B809" t="str">
        <f>IF($O809&lt;&gt;"",$O809,IF($A809&lt;&gt;"",'Approved-In-Depth'!$B809+7,""))</f>
        <v/>
      </c>
      <c r="C809" t="str">
        <f>IF($A809&lt;&gt;"",'Approved-In-Depth'!C809,"")</f>
        <v/>
      </c>
      <c r="D809" t="str">
        <f>IF($A809&lt;&gt;"",'Approved-In-Depth'!D809,"")</f>
        <v/>
      </c>
      <c r="E809" t="str">
        <f>IF($A809&lt;&gt;"",'Approved-In-Depth'!E809,"")</f>
        <v/>
      </c>
      <c r="F809" t="str">
        <f>IF($A809&lt;&gt;"",'Approved-In-Depth'!F809,"")</f>
        <v/>
      </c>
      <c r="G809" t="str">
        <f>IF($A809&lt;&gt;"",'Approved-In-Depth'!G809,"")</f>
        <v/>
      </c>
      <c r="H809" s="4" t="str">
        <f>IF($A809&lt;&gt;"",'Approved-In-Depth'!H809,"")</f>
        <v/>
      </c>
      <c r="I809" t="str">
        <f>IF($A809&lt;&gt;"",'Approved-In-Depth'!I809,"")</f>
        <v/>
      </c>
      <c r="J809" t="str">
        <f>IF($A809&lt;&gt;"",'Approved-In-Depth'!J809,"")</f>
        <v/>
      </c>
      <c r="K809" t="str">
        <f>IF($A809&lt;&gt;"",'Approved-In-Depth'!K809,"")</f>
        <v/>
      </c>
      <c r="L809" s="4" t="str">
        <f>IF($A809&lt;&gt;"",'Approved-In-Depth'!L809,"")</f>
        <v/>
      </c>
      <c r="M809" t="str">
        <f>IF($A809&lt;&gt;"",'Approved-In-Depth'!M809,"")</f>
        <v/>
      </c>
    </row>
    <row r="810" spans="1:13" x14ac:dyDescent="0.35">
      <c r="A810" s="4" t="str">
        <f>IF('Approved-In-Depth'!$A810&lt;&gt;"",'Approved-In-Depth'!A810,"")</f>
        <v/>
      </c>
      <c r="B810" t="str">
        <f>IF($O810&lt;&gt;"",$O810,IF($A810&lt;&gt;"",'Approved-In-Depth'!$B810+7,""))</f>
        <v/>
      </c>
      <c r="C810" t="str">
        <f>IF($A810&lt;&gt;"",'Approved-In-Depth'!C810,"")</f>
        <v/>
      </c>
      <c r="D810" t="str">
        <f>IF($A810&lt;&gt;"",'Approved-In-Depth'!D810,"")</f>
        <v/>
      </c>
      <c r="E810" t="str">
        <f>IF($A810&lt;&gt;"",'Approved-In-Depth'!E810,"")</f>
        <v/>
      </c>
      <c r="F810" t="str">
        <f>IF($A810&lt;&gt;"",'Approved-In-Depth'!F810,"")</f>
        <v/>
      </c>
      <c r="G810" t="str">
        <f>IF($A810&lt;&gt;"",'Approved-In-Depth'!G810,"")</f>
        <v/>
      </c>
      <c r="H810" s="4" t="str">
        <f>IF($A810&lt;&gt;"",'Approved-In-Depth'!H810,"")</f>
        <v/>
      </c>
      <c r="I810" t="str">
        <f>IF($A810&lt;&gt;"",'Approved-In-Depth'!I810,"")</f>
        <v/>
      </c>
      <c r="J810" t="str">
        <f>IF($A810&lt;&gt;"",'Approved-In-Depth'!J810,"")</f>
        <v/>
      </c>
      <c r="K810" t="str">
        <f>IF($A810&lt;&gt;"",'Approved-In-Depth'!K810,"")</f>
        <v/>
      </c>
      <c r="L810" s="4" t="str">
        <f>IF($A810&lt;&gt;"",'Approved-In-Depth'!L810,"")</f>
        <v/>
      </c>
      <c r="M810" t="str">
        <f>IF($A810&lt;&gt;"",'Approved-In-Depth'!M810,"")</f>
        <v/>
      </c>
    </row>
    <row r="811" spans="1:13" x14ac:dyDescent="0.35">
      <c r="A811" s="4" t="str">
        <f>IF('Approved-In-Depth'!$A811&lt;&gt;"",'Approved-In-Depth'!A811,"")</f>
        <v/>
      </c>
      <c r="B811" t="str">
        <f>IF($O811&lt;&gt;"",$O811,IF($A811&lt;&gt;"",'Approved-In-Depth'!$B811+7,""))</f>
        <v/>
      </c>
      <c r="C811" t="str">
        <f>IF($A811&lt;&gt;"",'Approved-In-Depth'!C811,"")</f>
        <v/>
      </c>
      <c r="D811" t="str">
        <f>IF($A811&lt;&gt;"",'Approved-In-Depth'!D811,"")</f>
        <v/>
      </c>
      <c r="E811" t="str">
        <f>IF($A811&lt;&gt;"",'Approved-In-Depth'!E811,"")</f>
        <v/>
      </c>
      <c r="F811" t="str">
        <f>IF($A811&lt;&gt;"",'Approved-In-Depth'!F811,"")</f>
        <v/>
      </c>
      <c r="G811" t="str">
        <f>IF($A811&lt;&gt;"",'Approved-In-Depth'!G811,"")</f>
        <v/>
      </c>
      <c r="H811" s="4" t="str">
        <f>IF($A811&lt;&gt;"",'Approved-In-Depth'!H811,"")</f>
        <v/>
      </c>
      <c r="I811" t="str">
        <f>IF($A811&lt;&gt;"",'Approved-In-Depth'!I811,"")</f>
        <v/>
      </c>
      <c r="J811" t="str">
        <f>IF($A811&lt;&gt;"",'Approved-In-Depth'!J811,"")</f>
        <v/>
      </c>
      <c r="K811" t="str">
        <f>IF($A811&lt;&gt;"",'Approved-In-Depth'!K811,"")</f>
        <v/>
      </c>
      <c r="L811" s="4" t="str">
        <f>IF($A811&lt;&gt;"",'Approved-In-Depth'!L811,"")</f>
        <v/>
      </c>
      <c r="M811" t="str">
        <f>IF($A811&lt;&gt;"",'Approved-In-Depth'!M811,"")</f>
        <v/>
      </c>
    </row>
    <row r="812" spans="1:13" x14ac:dyDescent="0.35">
      <c r="A812" s="4" t="str">
        <f>IF('Approved-In-Depth'!$A812&lt;&gt;"",'Approved-In-Depth'!A812,"")</f>
        <v/>
      </c>
      <c r="B812" t="str">
        <f>IF($O812&lt;&gt;"",$O812,IF($A812&lt;&gt;"",'Approved-In-Depth'!$B812+7,""))</f>
        <v/>
      </c>
      <c r="C812" t="str">
        <f>IF($A812&lt;&gt;"",'Approved-In-Depth'!C812,"")</f>
        <v/>
      </c>
      <c r="D812" t="str">
        <f>IF($A812&lt;&gt;"",'Approved-In-Depth'!D812,"")</f>
        <v/>
      </c>
      <c r="E812" t="str">
        <f>IF($A812&lt;&gt;"",'Approved-In-Depth'!E812,"")</f>
        <v/>
      </c>
      <c r="F812" t="str">
        <f>IF($A812&lt;&gt;"",'Approved-In-Depth'!F812,"")</f>
        <v/>
      </c>
      <c r="G812" t="str">
        <f>IF($A812&lt;&gt;"",'Approved-In-Depth'!G812,"")</f>
        <v/>
      </c>
      <c r="H812" s="4" t="str">
        <f>IF($A812&lt;&gt;"",'Approved-In-Depth'!H812,"")</f>
        <v/>
      </c>
      <c r="I812" t="str">
        <f>IF($A812&lt;&gt;"",'Approved-In-Depth'!I812,"")</f>
        <v/>
      </c>
      <c r="J812" t="str">
        <f>IF($A812&lt;&gt;"",'Approved-In-Depth'!J812,"")</f>
        <v/>
      </c>
      <c r="K812" t="str">
        <f>IF($A812&lt;&gt;"",'Approved-In-Depth'!K812,"")</f>
        <v/>
      </c>
      <c r="L812" s="4" t="str">
        <f>IF($A812&lt;&gt;"",'Approved-In-Depth'!L812,"")</f>
        <v/>
      </c>
      <c r="M812" t="str">
        <f>IF($A812&lt;&gt;"",'Approved-In-Depth'!M812,"")</f>
        <v/>
      </c>
    </row>
    <row r="813" spans="1:13" x14ac:dyDescent="0.35">
      <c r="A813" s="4" t="str">
        <f>IF('Approved-In-Depth'!$A813&lt;&gt;"",'Approved-In-Depth'!A813,"")</f>
        <v/>
      </c>
      <c r="B813" t="str">
        <f>IF($O813&lt;&gt;"",$O813,IF($A813&lt;&gt;"",'Approved-In-Depth'!$B813+7,""))</f>
        <v/>
      </c>
      <c r="C813" t="str">
        <f>IF($A813&lt;&gt;"",'Approved-In-Depth'!C813,"")</f>
        <v/>
      </c>
      <c r="D813" t="str">
        <f>IF($A813&lt;&gt;"",'Approved-In-Depth'!D813,"")</f>
        <v/>
      </c>
      <c r="E813" t="str">
        <f>IF($A813&lt;&gt;"",'Approved-In-Depth'!E813,"")</f>
        <v/>
      </c>
      <c r="F813" t="str">
        <f>IF($A813&lt;&gt;"",'Approved-In-Depth'!F813,"")</f>
        <v/>
      </c>
      <c r="G813" t="str">
        <f>IF($A813&lt;&gt;"",'Approved-In-Depth'!G813,"")</f>
        <v/>
      </c>
      <c r="H813" s="4" t="str">
        <f>IF($A813&lt;&gt;"",'Approved-In-Depth'!H813,"")</f>
        <v/>
      </c>
      <c r="I813" t="str">
        <f>IF($A813&lt;&gt;"",'Approved-In-Depth'!I813,"")</f>
        <v/>
      </c>
      <c r="J813" t="str">
        <f>IF($A813&lt;&gt;"",'Approved-In-Depth'!J813,"")</f>
        <v/>
      </c>
      <c r="K813" t="str">
        <f>IF($A813&lt;&gt;"",'Approved-In-Depth'!K813,"")</f>
        <v/>
      </c>
      <c r="L813" s="4" t="str">
        <f>IF($A813&lt;&gt;"",'Approved-In-Depth'!L813,"")</f>
        <v/>
      </c>
      <c r="M813" t="str">
        <f>IF($A813&lt;&gt;"",'Approved-In-Depth'!M813,"")</f>
        <v/>
      </c>
    </row>
    <row r="814" spans="1:13" x14ac:dyDescent="0.35">
      <c r="A814" s="4" t="str">
        <f>IF('Approved-In-Depth'!$A814&lt;&gt;"",'Approved-In-Depth'!A814,"")</f>
        <v/>
      </c>
      <c r="B814" t="str">
        <f>IF($O814&lt;&gt;"",$O814,IF($A814&lt;&gt;"",'Approved-In-Depth'!$B814+7,""))</f>
        <v/>
      </c>
      <c r="C814" t="str">
        <f>IF($A814&lt;&gt;"",'Approved-In-Depth'!C814,"")</f>
        <v/>
      </c>
      <c r="D814" t="str">
        <f>IF($A814&lt;&gt;"",'Approved-In-Depth'!D814,"")</f>
        <v/>
      </c>
      <c r="E814" t="str">
        <f>IF($A814&lt;&gt;"",'Approved-In-Depth'!E814,"")</f>
        <v/>
      </c>
      <c r="F814" t="str">
        <f>IF($A814&lt;&gt;"",'Approved-In-Depth'!F814,"")</f>
        <v/>
      </c>
      <c r="G814" t="str">
        <f>IF($A814&lt;&gt;"",'Approved-In-Depth'!G814,"")</f>
        <v/>
      </c>
      <c r="H814" s="4" t="str">
        <f>IF($A814&lt;&gt;"",'Approved-In-Depth'!H814,"")</f>
        <v/>
      </c>
      <c r="I814" t="str">
        <f>IF($A814&lt;&gt;"",'Approved-In-Depth'!I814,"")</f>
        <v/>
      </c>
      <c r="J814" t="str">
        <f>IF($A814&lt;&gt;"",'Approved-In-Depth'!J814,"")</f>
        <v/>
      </c>
      <c r="K814" t="str">
        <f>IF($A814&lt;&gt;"",'Approved-In-Depth'!K814,"")</f>
        <v/>
      </c>
      <c r="L814" s="4" t="str">
        <f>IF($A814&lt;&gt;"",'Approved-In-Depth'!L814,"")</f>
        <v/>
      </c>
      <c r="M814" t="str">
        <f>IF($A814&lt;&gt;"",'Approved-In-Depth'!M814,"")</f>
        <v/>
      </c>
    </row>
    <row r="815" spans="1:13" x14ac:dyDescent="0.35">
      <c r="A815" s="4" t="str">
        <f>IF('Approved-In-Depth'!$A815&lt;&gt;"",'Approved-In-Depth'!A815,"")</f>
        <v/>
      </c>
      <c r="B815" t="str">
        <f>IF($O815&lt;&gt;"",$O815,IF($A815&lt;&gt;"",'Approved-In-Depth'!$B815+7,""))</f>
        <v/>
      </c>
      <c r="C815" t="str">
        <f>IF($A815&lt;&gt;"",'Approved-In-Depth'!C815,"")</f>
        <v/>
      </c>
      <c r="D815" t="str">
        <f>IF($A815&lt;&gt;"",'Approved-In-Depth'!D815,"")</f>
        <v/>
      </c>
      <c r="E815" t="str">
        <f>IF($A815&lt;&gt;"",'Approved-In-Depth'!E815,"")</f>
        <v/>
      </c>
      <c r="F815" t="str">
        <f>IF($A815&lt;&gt;"",'Approved-In-Depth'!F815,"")</f>
        <v/>
      </c>
      <c r="G815" t="str">
        <f>IF($A815&lt;&gt;"",'Approved-In-Depth'!G815,"")</f>
        <v/>
      </c>
      <c r="H815" s="4" t="str">
        <f>IF($A815&lt;&gt;"",'Approved-In-Depth'!H815,"")</f>
        <v/>
      </c>
      <c r="I815" t="str">
        <f>IF($A815&lt;&gt;"",'Approved-In-Depth'!I815,"")</f>
        <v/>
      </c>
      <c r="J815" t="str">
        <f>IF($A815&lt;&gt;"",'Approved-In-Depth'!J815,"")</f>
        <v/>
      </c>
      <c r="K815" t="str">
        <f>IF($A815&lt;&gt;"",'Approved-In-Depth'!K815,"")</f>
        <v/>
      </c>
      <c r="L815" s="4" t="str">
        <f>IF($A815&lt;&gt;"",'Approved-In-Depth'!L815,"")</f>
        <v/>
      </c>
      <c r="M815" t="str">
        <f>IF($A815&lt;&gt;"",'Approved-In-Depth'!M815,"")</f>
        <v/>
      </c>
    </row>
    <row r="816" spans="1:13" x14ac:dyDescent="0.35">
      <c r="A816" s="4" t="str">
        <f>IF('Approved-In-Depth'!$A816&lt;&gt;"",'Approved-In-Depth'!A816,"")</f>
        <v/>
      </c>
      <c r="B816" t="str">
        <f>IF($O816&lt;&gt;"",$O816,IF($A816&lt;&gt;"",'Approved-In-Depth'!$B816+7,""))</f>
        <v/>
      </c>
      <c r="C816" t="str">
        <f>IF($A816&lt;&gt;"",'Approved-In-Depth'!C816,"")</f>
        <v/>
      </c>
      <c r="D816" t="str">
        <f>IF($A816&lt;&gt;"",'Approved-In-Depth'!D816,"")</f>
        <v/>
      </c>
      <c r="E816" t="str">
        <f>IF($A816&lt;&gt;"",'Approved-In-Depth'!E816,"")</f>
        <v/>
      </c>
      <c r="F816" t="str">
        <f>IF($A816&lt;&gt;"",'Approved-In-Depth'!F816,"")</f>
        <v/>
      </c>
      <c r="G816" t="str">
        <f>IF($A816&lt;&gt;"",'Approved-In-Depth'!G816,"")</f>
        <v/>
      </c>
      <c r="H816" s="4" t="str">
        <f>IF($A816&lt;&gt;"",'Approved-In-Depth'!H816,"")</f>
        <v/>
      </c>
      <c r="I816" t="str">
        <f>IF($A816&lt;&gt;"",'Approved-In-Depth'!I816,"")</f>
        <v/>
      </c>
      <c r="J816" t="str">
        <f>IF($A816&lt;&gt;"",'Approved-In-Depth'!J816,"")</f>
        <v/>
      </c>
      <c r="K816" t="str">
        <f>IF($A816&lt;&gt;"",'Approved-In-Depth'!K816,"")</f>
        <v/>
      </c>
      <c r="L816" s="4" t="str">
        <f>IF($A816&lt;&gt;"",'Approved-In-Depth'!L816,"")</f>
        <v/>
      </c>
      <c r="M816" t="str">
        <f>IF($A816&lt;&gt;"",'Approved-In-Depth'!M816,"")</f>
        <v/>
      </c>
    </row>
    <row r="817" spans="1:13" x14ac:dyDescent="0.35">
      <c r="A817" s="4" t="str">
        <f>IF('Approved-In-Depth'!$A817&lt;&gt;"",'Approved-In-Depth'!A817,"")</f>
        <v/>
      </c>
      <c r="B817" t="str">
        <f>IF($O817&lt;&gt;"",$O817,IF($A817&lt;&gt;"",'Approved-In-Depth'!$B817+7,""))</f>
        <v/>
      </c>
      <c r="C817" t="str">
        <f>IF($A817&lt;&gt;"",'Approved-In-Depth'!C817,"")</f>
        <v/>
      </c>
      <c r="D817" t="str">
        <f>IF($A817&lt;&gt;"",'Approved-In-Depth'!D817,"")</f>
        <v/>
      </c>
      <c r="E817" t="str">
        <f>IF($A817&lt;&gt;"",'Approved-In-Depth'!E817,"")</f>
        <v/>
      </c>
      <c r="F817" t="str">
        <f>IF($A817&lt;&gt;"",'Approved-In-Depth'!F817,"")</f>
        <v/>
      </c>
      <c r="G817" t="str">
        <f>IF($A817&lt;&gt;"",'Approved-In-Depth'!G817,"")</f>
        <v/>
      </c>
      <c r="H817" s="4" t="str">
        <f>IF($A817&lt;&gt;"",'Approved-In-Depth'!H817,"")</f>
        <v/>
      </c>
      <c r="I817" t="str">
        <f>IF($A817&lt;&gt;"",'Approved-In-Depth'!I817,"")</f>
        <v/>
      </c>
      <c r="J817" t="str">
        <f>IF($A817&lt;&gt;"",'Approved-In-Depth'!J817,"")</f>
        <v/>
      </c>
      <c r="K817" t="str">
        <f>IF($A817&lt;&gt;"",'Approved-In-Depth'!K817,"")</f>
        <v/>
      </c>
      <c r="L817" s="4" t="str">
        <f>IF($A817&lt;&gt;"",'Approved-In-Depth'!L817,"")</f>
        <v/>
      </c>
      <c r="M817" t="str">
        <f>IF($A817&lt;&gt;"",'Approved-In-Depth'!M817,"")</f>
        <v/>
      </c>
    </row>
    <row r="818" spans="1:13" x14ac:dyDescent="0.35">
      <c r="A818" s="4" t="str">
        <f>IF('Approved-In-Depth'!$A818&lt;&gt;"",'Approved-In-Depth'!A818,"")</f>
        <v/>
      </c>
      <c r="B818" t="str">
        <f>IF($O818&lt;&gt;"",$O818,IF($A818&lt;&gt;"",'Approved-In-Depth'!$B818+7,""))</f>
        <v/>
      </c>
      <c r="C818" t="str">
        <f>IF($A818&lt;&gt;"",'Approved-In-Depth'!C818,"")</f>
        <v/>
      </c>
      <c r="D818" t="str">
        <f>IF($A818&lt;&gt;"",'Approved-In-Depth'!D818,"")</f>
        <v/>
      </c>
      <c r="E818" t="str">
        <f>IF($A818&lt;&gt;"",'Approved-In-Depth'!E818,"")</f>
        <v/>
      </c>
      <c r="F818" t="str">
        <f>IF($A818&lt;&gt;"",'Approved-In-Depth'!F818,"")</f>
        <v/>
      </c>
      <c r="G818" t="str">
        <f>IF($A818&lt;&gt;"",'Approved-In-Depth'!G818,"")</f>
        <v/>
      </c>
      <c r="H818" s="4" t="str">
        <f>IF($A818&lt;&gt;"",'Approved-In-Depth'!H818,"")</f>
        <v/>
      </c>
      <c r="I818" t="str">
        <f>IF($A818&lt;&gt;"",'Approved-In-Depth'!I818,"")</f>
        <v/>
      </c>
      <c r="J818" t="str">
        <f>IF($A818&lt;&gt;"",'Approved-In-Depth'!J818,"")</f>
        <v/>
      </c>
      <c r="K818" t="str">
        <f>IF($A818&lt;&gt;"",'Approved-In-Depth'!K818,"")</f>
        <v/>
      </c>
      <c r="L818" s="4" t="str">
        <f>IF($A818&lt;&gt;"",'Approved-In-Depth'!L818,"")</f>
        <v/>
      </c>
      <c r="M818" t="str">
        <f>IF($A818&lt;&gt;"",'Approved-In-Depth'!M818,"")</f>
        <v/>
      </c>
    </row>
    <row r="819" spans="1:13" x14ac:dyDescent="0.35">
      <c r="A819" s="4" t="str">
        <f>IF('Approved-In-Depth'!$A819&lt;&gt;"",'Approved-In-Depth'!A819,"")</f>
        <v/>
      </c>
      <c r="B819" t="str">
        <f>IF($O819&lt;&gt;"",$O819,IF($A819&lt;&gt;"",'Approved-In-Depth'!$B819+7,""))</f>
        <v/>
      </c>
      <c r="C819" t="str">
        <f>IF($A819&lt;&gt;"",'Approved-In-Depth'!C819,"")</f>
        <v/>
      </c>
      <c r="D819" t="str">
        <f>IF($A819&lt;&gt;"",'Approved-In-Depth'!D819,"")</f>
        <v/>
      </c>
      <c r="E819" t="str">
        <f>IF($A819&lt;&gt;"",'Approved-In-Depth'!E819,"")</f>
        <v/>
      </c>
      <c r="F819" t="str">
        <f>IF($A819&lt;&gt;"",'Approved-In-Depth'!F819,"")</f>
        <v/>
      </c>
      <c r="G819" t="str">
        <f>IF($A819&lt;&gt;"",'Approved-In-Depth'!G819,"")</f>
        <v/>
      </c>
      <c r="H819" s="4" t="str">
        <f>IF($A819&lt;&gt;"",'Approved-In-Depth'!H819,"")</f>
        <v/>
      </c>
      <c r="I819" t="str">
        <f>IF($A819&lt;&gt;"",'Approved-In-Depth'!I819,"")</f>
        <v/>
      </c>
      <c r="J819" t="str">
        <f>IF($A819&lt;&gt;"",'Approved-In-Depth'!J819,"")</f>
        <v/>
      </c>
      <c r="K819" t="str">
        <f>IF($A819&lt;&gt;"",'Approved-In-Depth'!K819,"")</f>
        <v/>
      </c>
      <c r="L819" s="4" t="str">
        <f>IF($A819&lt;&gt;"",'Approved-In-Depth'!L819,"")</f>
        <v/>
      </c>
      <c r="M819" t="str">
        <f>IF($A819&lt;&gt;"",'Approved-In-Depth'!M819,"")</f>
        <v/>
      </c>
    </row>
    <row r="820" spans="1:13" x14ac:dyDescent="0.35">
      <c r="A820" s="4" t="str">
        <f>IF('Approved-In-Depth'!$A820&lt;&gt;"",'Approved-In-Depth'!A820,"")</f>
        <v/>
      </c>
      <c r="B820" t="str">
        <f>IF($O820&lt;&gt;"",$O820,IF($A820&lt;&gt;"",'Approved-In-Depth'!$B820+7,""))</f>
        <v/>
      </c>
      <c r="C820" t="str">
        <f>IF($A820&lt;&gt;"",'Approved-In-Depth'!C820,"")</f>
        <v/>
      </c>
      <c r="D820" t="str">
        <f>IF($A820&lt;&gt;"",'Approved-In-Depth'!D820,"")</f>
        <v/>
      </c>
      <c r="E820" t="str">
        <f>IF($A820&lt;&gt;"",'Approved-In-Depth'!E820,"")</f>
        <v/>
      </c>
      <c r="F820" t="str">
        <f>IF($A820&lt;&gt;"",'Approved-In-Depth'!F820,"")</f>
        <v/>
      </c>
      <c r="G820" t="str">
        <f>IF($A820&lt;&gt;"",'Approved-In-Depth'!G820,"")</f>
        <v/>
      </c>
      <c r="H820" s="4" t="str">
        <f>IF($A820&lt;&gt;"",'Approved-In-Depth'!H820,"")</f>
        <v/>
      </c>
      <c r="I820" t="str">
        <f>IF($A820&lt;&gt;"",'Approved-In-Depth'!I820,"")</f>
        <v/>
      </c>
      <c r="J820" t="str">
        <f>IF($A820&lt;&gt;"",'Approved-In-Depth'!J820,"")</f>
        <v/>
      </c>
      <c r="K820" t="str">
        <f>IF($A820&lt;&gt;"",'Approved-In-Depth'!K820,"")</f>
        <v/>
      </c>
      <c r="L820" s="4" t="str">
        <f>IF($A820&lt;&gt;"",'Approved-In-Depth'!L820,"")</f>
        <v/>
      </c>
      <c r="M820" t="str">
        <f>IF($A820&lt;&gt;"",'Approved-In-Depth'!M820,"")</f>
        <v/>
      </c>
    </row>
    <row r="821" spans="1:13" x14ac:dyDescent="0.35">
      <c r="A821" s="4" t="str">
        <f>IF('Approved-In-Depth'!$A821&lt;&gt;"",'Approved-In-Depth'!A821,"")</f>
        <v/>
      </c>
      <c r="B821" t="str">
        <f>IF($O821&lt;&gt;"",$O821,IF($A821&lt;&gt;"",'Approved-In-Depth'!$B821+7,""))</f>
        <v/>
      </c>
      <c r="C821" t="str">
        <f>IF($A821&lt;&gt;"",'Approved-In-Depth'!C821,"")</f>
        <v/>
      </c>
      <c r="D821" t="str">
        <f>IF($A821&lt;&gt;"",'Approved-In-Depth'!D821,"")</f>
        <v/>
      </c>
      <c r="E821" t="str">
        <f>IF($A821&lt;&gt;"",'Approved-In-Depth'!E821,"")</f>
        <v/>
      </c>
      <c r="F821" t="str">
        <f>IF($A821&lt;&gt;"",'Approved-In-Depth'!F821,"")</f>
        <v/>
      </c>
      <c r="G821" t="str">
        <f>IF($A821&lt;&gt;"",'Approved-In-Depth'!G821,"")</f>
        <v/>
      </c>
      <c r="H821" s="4" t="str">
        <f>IF($A821&lt;&gt;"",'Approved-In-Depth'!H821,"")</f>
        <v/>
      </c>
      <c r="I821" t="str">
        <f>IF($A821&lt;&gt;"",'Approved-In-Depth'!I821,"")</f>
        <v/>
      </c>
      <c r="J821" t="str">
        <f>IF($A821&lt;&gt;"",'Approved-In-Depth'!J821,"")</f>
        <v/>
      </c>
      <c r="K821" t="str">
        <f>IF($A821&lt;&gt;"",'Approved-In-Depth'!K821,"")</f>
        <v/>
      </c>
      <c r="L821" s="4" t="str">
        <f>IF($A821&lt;&gt;"",'Approved-In-Depth'!L821,"")</f>
        <v/>
      </c>
      <c r="M821" t="str">
        <f>IF($A821&lt;&gt;"",'Approved-In-Depth'!M821,"")</f>
        <v/>
      </c>
    </row>
    <row r="822" spans="1:13" x14ac:dyDescent="0.35">
      <c r="A822" s="4" t="str">
        <f>IF('Approved-In-Depth'!$A822&lt;&gt;"",'Approved-In-Depth'!A822,"")</f>
        <v/>
      </c>
      <c r="B822" t="str">
        <f>IF($O822&lt;&gt;"",$O822,IF($A822&lt;&gt;"",'Approved-In-Depth'!$B822+7,""))</f>
        <v/>
      </c>
      <c r="C822" t="str">
        <f>IF($A822&lt;&gt;"",'Approved-In-Depth'!C822,"")</f>
        <v/>
      </c>
      <c r="D822" t="str">
        <f>IF($A822&lt;&gt;"",'Approved-In-Depth'!D822,"")</f>
        <v/>
      </c>
      <c r="E822" t="str">
        <f>IF($A822&lt;&gt;"",'Approved-In-Depth'!E822,"")</f>
        <v/>
      </c>
      <c r="F822" t="str">
        <f>IF($A822&lt;&gt;"",'Approved-In-Depth'!F822,"")</f>
        <v/>
      </c>
      <c r="G822" t="str">
        <f>IF($A822&lt;&gt;"",'Approved-In-Depth'!G822,"")</f>
        <v/>
      </c>
      <c r="H822" s="4" t="str">
        <f>IF($A822&lt;&gt;"",'Approved-In-Depth'!H822,"")</f>
        <v/>
      </c>
      <c r="I822" t="str">
        <f>IF($A822&lt;&gt;"",'Approved-In-Depth'!I822,"")</f>
        <v/>
      </c>
      <c r="J822" t="str">
        <f>IF($A822&lt;&gt;"",'Approved-In-Depth'!J822,"")</f>
        <v/>
      </c>
      <c r="K822" t="str">
        <f>IF($A822&lt;&gt;"",'Approved-In-Depth'!K822,"")</f>
        <v/>
      </c>
      <c r="L822" s="4" t="str">
        <f>IF($A822&lt;&gt;"",'Approved-In-Depth'!L822,"")</f>
        <v/>
      </c>
      <c r="M822" t="str">
        <f>IF($A822&lt;&gt;"",'Approved-In-Depth'!M822,"")</f>
        <v/>
      </c>
    </row>
    <row r="823" spans="1:13" x14ac:dyDescent="0.35">
      <c r="A823" s="4" t="str">
        <f>IF('Approved-In-Depth'!$A823&lt;&gt;"",'Approved-In-Depth'!A823,"")</f>
        <v/>
      </c>
      <c r="B823" t="str">
        <f>IF($O823&lt;&gt;"",$O823,IF($A823&lt;&gt;"",'Approved-In-Depth'!$B823+7,""))</f>
        <v/>
      </c>
      <c r="C823" t="str">
        <f>IF($A823&lt;&gt;"",'Approved-In-Depth'!C823,"")</f>
        <v/>
      </c>
      <c r="D823" t="str">
        <f>IF($A823&lt;&gt;"",'Approved-In-Depth'!D823,"")</f>
        <v/>
      </c>
      <c r="E823" t="str">
        <f>IF($A823&lt;&gt;"",'Approved-In-Depth'!E823,"")</f>
        <v/>
      </c>
      <c r="F823" t="str">
        <f>IF($A823&lt;&gt;"",'Approved-In-Depth'!F823,"")</f>
        <v/>
      </c>
      <c r="G823" t="str">
        <f>IF($A823&lt;&gt;"",'Approved-In-Depth'!G823,"")</f>
        <v/>
      </c>
      <c r="H823" s="4" t="str">
        <f>IF($A823&lt;&gt;"",'Approved-In-Depth'!H823,"")</f>
        <v/>
      </c>
      <c r="I823" t="str">
        <f>IF($A823&lt;&gt;"",'Approved-In-Depth'!I823,"")</f>
        <v/>
      </c>
      <c r="J823" t="str">
        <f>IF($A823&lt;&gt;"",'Approved-In-Depth'!J823,"")</f>
        <v/>
      </c>
      <c r="K823" t="str">
        <f>IF($A823&lt;&gt;"",'Approved-In-Depth'!K823,"")</f>
        <v/>
      </c>
      <c r="L823" s="4" t="str">
        <f>IF($A823&lt;&gt;"",'Approved-In-Depth'!L823,"")</f>
        <v/>
      </c>
      <c r="M823" t="str">
        <f>IF($A823&lt;&gt;"",'Approved-In-Depth'!M823,"")</f>
        <v/>
      </c>
    </row>
    <row r="824" spans="1:13" x14ac:dyDescent="0.35">
      <c r="A824" s="4" t="str">
        <f>IF('Approved-In-Depth'!$A824&lt;&gt;"",'Approved-In-Depth'!A824,"")</f>
        <v/>
      </c>
      <c r="B824" t="str">
        <f>IF($O824&lt;&gt;"",$O824,IF($A824&lt;&gt;"",'Approved-In-Depth'!$B824+7,""))</f>
        <v/>
      </c>
      <c r="C824" t="str">
        <f>IF($A824&lt;&gt;"",'Approved-In-Depth'!C824,"")</f>
        <v/>
      </c>
      <c r="D824" t="str">
        <f>IF($A824&lt;&gt;"",'Approved-In-Depth'!D824,"")</f>
        <v/>
      </c>
      <c r="E824" t="str">
        <f>IF($A824&lt;&gt;"",'Approved-In-Depth'!E824,"")</f>
        <v/>
      </c>
      <c r="F824" t="str">
        <f>IF($A824&lt;&gt;"",'Approved-In-Depth'!F824,"")</f>
        <v/>
      </c>
      <c r="G824" t="str">
        <f>IF($A824&lt;&gt;"",'Approved-In-Depth'!G824,"")</f>
        <v/>
      </c>
      <c r="H824" s="4" t="str">
        <f>IF($A824&lt;&gt;"",'Approved-In-Depth'!H824,"")</f>
        <v/>
      </c>
      <c r="I824" t="str">
        <f>IF($A824&lt;&gt;"",'Approved-In-Depth'!I824,"")</f>
        <v/>
      </c>
      <c r="J824" t="str">
        <f>IF($A824&lt;&gt;"",'Approved-In-Depth'!J824,"")</f>
        <v/>
      </c>
      <c r="K824" t="str">
        <f>IF($A824&lt;&gt;"",'Approved-In-Depth'!K824,"")</f>
        <v/>
      </c>
      <c r="L824" s="4" t="str">
        <f>IF($A824&lt;&gt;"",'Approved-In-Depth'!L824,"")</f>
        <v/>
      </c>
      <c r="M824" t="str">
        <f>IF($A824&lt;&gt;"",'Approved-In-Depth'!M824,"")</f>
        <v/>
      </c>
    </row>
    <row r="825" spans="1:13" x14ac:dyDescent="0.35">
      <c r="A825" s="4" t="str">
        <f>IF('Approved-In-Depth'!$A825&lt;&gt;"",'Approved-In-Depth'!A825,"")</f>
        <v/>
      </c>
      <c r="B825" t="str">
        <f>IF($O825&lt;&gt;"",$O825,IF($A825&lt;&gt;"",'Approved-In-Depth'!$B825+7,""))</f>
        <v/>
      </c>
      <c r="C825" t="str">
        <f>IF($A825&lt;&gt;"",'Approved-In-Depth'!C825,"")</f>
        <v/>
      </c>
      <c r="D825" t="str">
        <f>IF($A825&lt;&gt;"",'Approved-In-Depth'!D825,"")</f>
        <v/>
      </c>
      <c r="E825" t="str">
        <f>IF($A825&lt;&gt;"",'Approved-In-Depth'!E825,"")</f>
        <v/>
      </c>
      <c r="F825" t="str">
        <f>IF($A825&lt;&gt;"",'Approved-In-Depth'!F825,"")</f>
        <v/>
      </c>
      <c r="G825" t="str">
        <f>IF($A825&lt;&gt;"",'Approved-In-Depth'!G825,"")</f>
        <v/>
      </c>
      <c r="H825" s="4" t="str">
        <f>IF($A825&lt;&gt;"",'Approved-In-Depth'!H825,"")</f>
        <v/>
      </c>
      <c r="I825" t="str">
        <f>IF($A825&lt;&gt;"",'Approved-In-Depth'!I825,"")</f>
        <v/>
      </c>
      <c r="J825" t="str">
        <f>IF($A825&lt;&gt;"",'Approved-In-Depth'!J825,"")</f>
        <v/>
      </c>
      <c r="K825" t="str">
        <f>IF($A825&lt;&gt;"",'Approved-In-Depth'!K825,"")</f>
        <v/>
      </c>
      <c r="L825" s="4" t="str">
        <f>IF($A825&lt;&gt;"",'Approved-In-Depth'!L825,"")</f>
        <v/>
      </c>
      <c r="M825" t="str">
        <f>IF($A825&lt;&gt;"",'Approved-In-Depth'!M825,"")</f>
        <v/>
      </c>
    </row>
    <row r="826" spans="1:13" x14ac:dyDescent="0.35">
      <c r="A826" s="4" t="str">
        <f>IF('Approved-In-Depth'!$A826&lt;&gt;"",'Approved-In-Depth'!A826,"")</f>
        <v/>
      </c>
      <c r="B826" t="str">
        <f>IF($O826&lt;&gt;"",$O826,IF($A826&lt;&gt;"",'Approved-In-Depth'!$B826+7,""))</f>
        <v/>
      </c>
      <c r="C826" t="str">
        <f>IF($A826&lt;&gt;"",'Approved-In-Depth'!C826,"")</f>
        <v/>
      </c>
      <c r="D826" t="str">
        <f>IF($A826&lt;&gt;"",'Approved-In-Depth'!D826,"")</f>
        <v/>
      </c>
      <c r="E826" t="str">
        <f>IF($A826&lt;&gt;"",'Approved-In-Depth'!E826,"")</f>
        <v/>
      </c>
      <c r="F826" t="str">
        <f>IF($A826&lt;&gt;"",'Approved-In-Depth'!F826,"")</f>
        <v/>
      </c>
      <c r="G826" t="str">
        <f>IF($A826&lt;&gt;"",'Approved-In-Depth'!G826,"")</f>
        <v/>
      </c>
      <c r="H826" s="4" t="str">
        <f>IF($A826&lt;&gt;"",'Approved-In-Depth'!H826,"")</f>
        <v/>
      </c>
      <c r="I826" t="str">
        <f>IF($A826&lt;&gt;"",'Approved-In-Depth'!I826,"")</f>
        <v/>
      </c>
      <c r="J826" t="str">
        <f>IF($A826&lt;&gt;"",'Approved-In-Depth'!J826,"")</f>
        <v/>
      </c>
      <c r="K826" t="str">
        <f>IF($A826&lt;&gt;"",'Approved-In-Depth'!K826,"")</f>
        <v/>
      </c>
      <c r="L826" s="4" t="str">
        <f>IF($A826&lt;&gt;"",'Approved-In-Depth'!L826,"")</f>
        <v/>
      </c>
      <c r="M826" t="str">
        <f>IF($A826&lt;&gt;"",'Approved-In-Depth'!M826,"")</f>
        <v/>
      </c>
    </row>
    <row r="827" spans="1:13" x14ac:dyDescent="0.35">
      <c r="A827" s="4" t="str">
        <f>IF('Approved-In-Depth'!$A827&lt;&gt;"",'Approved-In-Depth'!A827,"")</f>
        <v/>
      </c>
      <c r="B827" t="str">
        <f>IF($O827&lt;&gt;"",$O827,IF($A827&lt;&gt;"",'Approved-In-Depth'!$B827+7,""))</f>
        <v/>
      </c>
      <c r="C827" t="str">
        <f>IF($A827&lt;&gt;"",'Approved-In-Depth'!C827,"")</f>
        <v/>
      </c>
      <c r="D827" t="str">
        <f>IF($A827&lt;&gt;"",'Approved-In-Depth'!D827,"")</f>
        <v/>
      </c>
      <c r="E827" t="str">
        <f>IF($A827&lt;&gt;"",'Approved-In-Depth'!E827,"")</f>
        <v/>
      </c>
      <c r="F827" t="str">
        <f>IF($A827&lt;&gt;"",'Approved-In-Depth'!F827,"")</f>
        <v/>
      </c>
      <c r="G827" t="str">
        <f>IF($A827&lt;&gt;"",'Approved-In-Depth'!G827,"")</f>
        <v/>
      </c>
      <c r="H827" s="4" t="str">
        <f>IF($A827&lt;&gt;"",'Approved-In-Depth'!H827,"")</f>
        <v/>
      </c>
      <c r="I827" t="str">
        <f>IF($A827&lt;&gt;"",'Approved-In-Depth'!I827,"")</f>
        <v/>
      </c>
      <c r="J827" t="str">
        <f>IF($A827&lt;&gt;"",'Approved-In-Depth'!J827,"")</f>
        <v/>
      </c>
      <c r="K827" t="str">
        <f>IF($A827&lt;&gt;"",'Approved-In-Depth'!K827,"")</f>
        <v/>
      </c>
      <c r="L827" s="4" t="str">
        <f>IF($A827&lt;&gt;"",'Approved-In-Depth'!L827,"")</f>
        <v/>
      </c>
      <c r="M827" t="str">
        <f>IF($A827&lt;&gt;"",'Approved-In-Depth'!M827,"")</f>
        <v/>
      </c>
    </row>
    <row r="828" spans="1:13" x14ac:dyDescent="0.35">
      <c r="A828" s="4" t="str">
        <f>IF('Approved-In-Depth'!$A828&lt;&gt;"",'Approved-In-Depth'!A828,"")</f>
        <v/>
      </c>
      <c r="B828" t="str">
        <f>IF($O828&lt;&gt;"",$O828,IF($A828&lt;&gt;"",'Approved-In-Depth'!$B828+7,""))</f>
        <v/>
      </c>
      <c r="C828" t="str">
        <f>IF($A828&lt;&gt;"",'Approved-In-Depth'!C828,"")</f>
        <v/>
      </c>
      <c r="D828" t="str">
        <f>IF($A828&lt;&gt;"",'Approved-In-Depth'!D828,"")</f>
        <v/>
      </c>
      <c r="E828" t="str">
        <f>IF($A828&lt;&gt;"",'Approved-In-Depth'!E828,"")</f>
        <v/>
      </c>
      <c r="F828" t="str">
        <f>IF($A828&lt;&gt;"",'Approved-In-Depth'!F828,"")</f>
        <v/>
      </c>
      <c r="G828" t="str">
        <f>IF($A828&lt;&gt;"",'Approved-In-Depth'!G828,"")</f>
        <v/>
      </c>
      <c r="H828" s="4" t="str">
        <f>IF($A828&lt;&gt;"",'Approved-In-Depth'!H828,"")</f>
        <v/>
      </c>
      <c r="I828" t="str">
        <f>IF($A828&lt;&gt;"",'Approved-In-Depth'!I828,"")</f>
        <v/>
      </c>
      <c r="J828" t="str">
        <f>IF($A828&lt;&gt;"",'Approved-In-Depth'!J828,"")</f>
        <v/>
      </c>
      <c r="K828" t="str">
        <f>IF($A828&lt;&gt;"",'Approved-In-Depth'!K828,"")</f>
        <v/>
      </c>
      <c r="L828" s="4" t="str">
        <f>IF($A828&lt;&gt;"",'Approved-In-Depth'!L828,"")</f>
        <v/>
      </c>
      <c r="M828" t="str">
        <f>IF($A828&lt;&gt;"",'Approved-In-Depth'!M828,"")</f>
        <v/>
      </c>
    </row>
    <row r="829" spans="1:13" x14ac:dyDescent="0.35">
      <c r="A829" s="4" t="str">
        <f>IF('Approved-In-Depth'!$A829&lt;&gt;"",'Approved-In-Depth'!A829,"")</f>
        <v/>
      </c>
      <c r="B829" t="str">
        <f>IF($O829&lt;&gt;"",$O829,IF($A829&lt;&gt;"",'Approved-In-Depth'!$B829+7,""))</f>
        <v/>
      </c>
      <c r="C829" t="str">
        <f>IF($A829&lt;&gt;"",'Approved-In-Depth'!C829,"")</f>
        <v/>
      </c>
      <c r="D829" t="str">
        <f>IF($A829&lt;&gt;"",'Approved-In-Depth'!D829,"")</f>
        <v/>
      </c>
      <c r="E829" t="str">
        <f>IF($A829&lt;&gt;"",'Approved-In-Depth'!E829,"")</f>
        <v/>
      </c>
      <c r="F829" t="str">
        <f>IF($A829&lt;&gt;"",'Approved-In-Depth'!F829,"")</f>
        <v/>
      </c>
      <c r="G829" t="str">
        <f>IF($A829&lt;&gt;"",'Approved-In-Depth'!G829,"")</f>
        <v/>
      </c>
      <c r="H829" s="4" t="str">
        <f>IF($A829&lt;&gt;"",'Approved-In-Depth'!H829,"")</f>
        <v/>
      </c>
      <c r="I829" t="str">
        <f>IF($A829&lt;&gt;"",'Approved-In-Depth'!I829,"")</f>
        <v/>
      </c>
      <c r="J829" t="str">
        <f>IF($A829&lt;&gt;"",'Approved-In-Depth'!J829,"")</f>
        <v/>
      </c>
      <c r="K829" t="str">
        <f>IF($A829&lt;&gt;"",'Approved-In-Depth'!K829,"")</f>
        <v/>
      </c>
      <c r="L829" s="4" t="str">
        <f>IF($A829&lt;&gt;"",'Approved-In-Depth'!L829,"")</f>
        <v/>
      </c>
      <c r="M829" t="str">
        <f>IF($A829&lt;&gt;"",'Approved-In-Depth'!M829,"")</f>
        <v/>
      </c>
    </row>
    <row r="830" spans="1:13" x14ac:dyDescent="0.35">
      <c r="A830" s="4" t="str">
        <f>IF('Approved-In-Depth'!$A830&lt;&gt;"",'Approved-In-Depth'!A830,"")</f>
        <v/>
      </c>
      <c r="B830" t="str">
        <f>IF($O830&lt;&gt;"",$O830,IF($A830&lt;&gt;"",'Approved-In-Depth'!$B830+7,""))</f>
        <v/>
      </c>
      <c r="C830" t="str">
        <f>IF($A830&lt;&gt;"",'Approved-In-Depth'!C830,"")</f>
        <v/>
      </c>
      <c r="D830" t="str">
        <f>IF($A830&lt;&gt;"",'Approved-In-Depth'!D830,"")</f>
        <v/>
      </c>
      <c r="E830" t="str">
        <f>IF($A830&lt;&gt;"",'Approved-In-Depth'!E830,"")</f>
        <v/>
      </c>
      <c r="F830" t="str">
        <f>IF($A830&lt;&gt;"",'Approved-In-Depth'!F830,"")</f>
        <v/>
      </c>
      <c r="G830" t="str">
        <f>IF($A830&lt;&gt;"",'Approved-In-Depth'!G830,"")</f>
        <v/>
      </c>
      <c r="H830" s="4" t="str">
        <f>IF($A830&lt;&gt;"",'Approved-In-Depth'!H830,"")</f>
        <v/>
      </c>
      <c r="I830" t="str">
        <f>IF($A830&lt;&gt;"",'Approved-In-Depth'!I830,"")</f>
        <v/>
      </c>
      <c r="J830" t="str">
        <f>IF($A830&lt;&gt;"",'Approved-In-Depth'!J830,"")</f>
        <v/>
      </c>
      <c r="K830" t="str">
        <f>IF($A830&lt;&gt;"",'Approved-In-Depth'!K830,"")</f>
        <v/>
      </c>
      <c r="L830" s="4" t="str">
        <f>IF($A830&lt;&gt;"",'Approved-In-Depth'!L830,"")</f>
        <v/>
      </c>
      <c r="M830" t="str">
        <f>IF($A830&lt;&gt;"",'Approved-In-Depth'!M830,"")</f>
        <v/>
      </c>
    </row>
    <row r="831" spans="1:13" x14ac:dyDescent="0.35">
      <c r="A831" s="4" t="str">
        <f>IF('Approved-In-Depth'!$A831&lt;&gt;"",'Approved-In-Depth'!A831,"")</f>
        <v/>
      </c>
      <c r="B831" t="str">
        <f>IF($O831&lt;&gt;"",$O831,IF($A831&lt;&gt;"",'Approved-In-Depth'!$B831+7,""))</f>
        <v/>
      </c>
      <c r="C831" t="str">
        <f>IF($A831&lt;&gt;"",'Approved-In-Depth'!C831,"")</f>
        <v/>
      </c>
      <c r="D831" t="str">
        <f>IF($A831&lt;&gt;"",'Approved-In-Depth'!D831,"")</f>
        <v/>
      </c>
      <c r="E831" t="str">
        <f>IF($A831&lt;&gt;"",'Approved-In-Depth'!E831,"")</f>
        <v/>
      </c>
      <c r="F831" t="str">
        <f>IF($A831&lt;&gt;"",'Approved-In-Depth'!F831,"")</f>
        <v/>
      </c>
      <c r="G831" t="str">
        <f>IF($A831&lt;&gt;"",'Approved-In-Depth'!G831,"")</f>
        <v/>
      </c>
      <c r="H831" s="4" t="str">
        <f>IF($A831&lt;&gt;"",'Approved-In-Depth'!H831,"")</f>
        <v/>
      </c>
      <c r="I831" t="str">
        <f>IF($A831&lt;&gt;"",'Approved-In-Depth'!I831,"")</f>
        <v/>
      </c>
      <c r="J831" t="str">
        <f>IF($A831&lt;&gt;"",'Approved-In-Depth'!J831,"")</f>
        <v/>
      </c>
      <c r="K831" t="str">
        <f>IF($A831&lt;&gt;"",'Approved-In-Depth'!K831,"")</f>
        <v/>
      </c>
      <c r="L831" s="4" t="str">
        <f>IF($A831&lt;&gt;"",'Approved-In-Depth'!L831,"")</f>
        <v/>
      </c>
      <c r="M831" t="str">
        <f>IF($A831&lt;&gt;"",'Approved-In-Depth'!M831,"")</f>
        <v/>
      </c>
    </row>
    <row r="832" spans="1:13" x14ac:dyDescent="0.35">
      <c r="A832" s="4" t="str">
        <f>IF('Approved-In-Depth'!$A832&lt;&gt;"",'Approved-In-Depth'!A832,"")</f>
        <v/>
      </c>
      <c r="B832" t="str">
        <f>IF($O832&lt;&gt;"",$O832,IF($A832&lt;&gt;"",'Approved-In-Depth'!$B832+7,""))</f>
        <v/>
      </c>
      <c r="C832" t="str">
        <f>IF($A832&lt;&gt;"",'Approved-In-Depth'!C832,"")</f>
        <v/>
      </c>
      <c r="D832" t="str">
        <f>IF($A832&lt;&gt;"",'Approved-In-Depth'!D832,"")</f>
        <v/>
      </c>
      <c r="E832" t="str">
        <f>IF($A832&lt;&gt;"",'Approved-In-Depth'!E832,"")</f>
        <v/>
      </c>
      <c r="F832" t="str">
        <f>IF($A832&lt;&gt;"",'Approved-In-Depth'!F832,"")</f>
        <v/>
      </c>
      <c r="G832" t="str">
        <f>IF($A832&lt;&gt;"",'Approved-In-Depth'!G832,"")</f>
        <v/>
      </c>
      <c r="H832" s="4" t="str">
        <f>IF($A832&lt;&gt;"",'Approved-In-Depth'!H832,"")</f>
        <v/>
      </c>
      <c r="I832" t="str">
        <f>IF($A832&lt;&gt;"",'Approved-In-Depth'!I832,"")</f>
        <v/>
      </c>
      <c r="J832" t="str">
        <f>IF($A832&lt;&gt;"",'Approved-In-Depth'!J832,"")</f>
        <v/>
      </c>
      <c r="K832" t="str">
        <f>IF($A832&lt;&gt;"",'Approved-In-Depth'!K832,"")</f>
        <v/>
      </c>
      <c r="L832" s="4" t="str">
        <f>IF($A832&lt;&gt;"",'Approved-In-Depth'!L832,"")</f>
        <v/>
      </c>
      <c r="M832" t="str">
        <f>IF($A832&lt;&gt;"",'Approved-In-Depth'!M832,"")</f>
        <v/>
      </c>
    </row>
    <row r="833" spans="1:13" x14ac:dyDescent="0.35">
      <c r="A833" s="4" t="str">
        <f>IF('Approved-In-Depth'!$A833&lt;&gt;"",'Approved-In-Depth'!A833,"")</f>
        <v/>
      </c>
      <c r="B833" t="str">
        <f>IF($O833&lt;&gt;"",$O833,IF($A833&lt;&gt;"",'Approved-In-Depth'!$B833+7,""))</f>
        <v/>
      </c>
      <c r="C833" t="str">
        <f>IF($A833&lt;&gt;"",'Approved-In-Depth'!C833,"")</f>
        <v/>
      </c>
      <c r="D833" t="str">
        <f>IF($A833&lt;&gt;"",'Approved-In-Depth'!D833,"")</f>
        <v/>
      </c>
      <c r="E833" t="str">
        <f>IF($A833&lt;&gt;"",'Approved-In-Depth'!E833,"")</f>
        <v/>
      </c>
      <c r="F833" t="str">
        <f>IF($A833&lt;&gt;"",'Approved-In-Depth'!F833,"")</f>
        <v/>
      </c>
      <c r="G833" t="str">
        <f>IF($A833&lt;&gt;"",'Approved-In-Depth'!G833,"")</f>
        <v/>
      </c>
      <c r="H833" s="4" t="str">
        <f>IF($A833&lt;&gt;"",'Approved-In-Depth'!H833,"")</f>
        <v/>
      </c>
      <c r="I833" t="str">
        <f>IF($A833&lt;&gt;"",'Approved-In-Depth'!I833,"")</f>
        <v/>
      </c>
      <c r="J833" t="str">
        <f>IF($A833&lt;&gt;"",'Approved-In-Depth'!J833,"")</f>
        <v/>
      </c>
      <c r="K833" t="str">
        <f>IF($A833&lt;&gt;"",'Approved-In-Depth'!K833,"")</f>
        <v/>
      </c>
      <c r="L833" s="4" t="str">
        <f>IF($A833&lt;&gt;"",'Approved-In-Depth'!L833,"")</f>
        <v/>
      </c>
      <c r="M833" t="str">
        <f>IF($A833&lt;&gt;"",'Approved-In-Depth'!M833,"")</f>
        <v/>
      </c>
    </row>
    <row r="834" spans="1:13" x14ac:dyDescent="0.35">
      <c r="A834" s="4" t="str">
        <f>IF('Approved-In-Depth'!$A834&lt;&gt;"",'Approved-In-Depth'!A834,"")</f>
        <v/>
      </c>
      <c r="B834" t="str">
        <f>IF($O834&lt;&gt;"",$O834,IF($A834&lt;&gt;"",'Approved-In-Depth'!$B834+7,""))</f>
        <v/>
      </c>
      <c r="C834" t="str">
        <f>IF($A834&lt;&gt;"",'Approved-In-Depth'!C834,"")</f>
        <v/>
      </c>
      <c r="D834" t="str">
        <f>IF($A834&lt;&gt;"",'Approved-In-Depth'!D834,"")</f>
        <v/>
      </c>
      <c r="E834" t="str">
        <f>IF($A834&lt;&gt;"",'Approved-In-Depth'!E834,"")</f>
        <v/>
      </c>
      <c r="F834" t="str">
        <f>IF($A834&lt;&gt;"",'Approved-In-Depth'!F834,"")</f>
        <v/>
      </c>
      <c r="G834" t="str">
        <f>IF($A834&lt;&gt;"",'Approved-In-Depth'!G834,"")</f>
        <v/>
      </c>
      <c r="H834" s="4" t="str">
        <f>IF($A834&lt;&gt;"",'Approved-In-Depth'!H834,"")</f>
        <v/>
      </c>
      <c r="I834" t="str">
        <f>IF($A834&lt;&gt;"",'Approved-In-Depth'!I834,"")</f>
        <v/>
      </c>
      <c r="J834" t="str">
        <f>IF($A834&lt;&gt;"",'Approved-In-Depth'!J834,"")</f>
        <v/>
      </c>
      <c r="K834" t="str">
        <f>IF($A834&lt;&gt;"",'Approved-In-Depth'!K834,"")</f>
        <v/>
      </c>
      <c r="L834" s="4" t="str">
        <f>IF($A834&lt;&gt;"",'Approved-In-Depth'!L834,"")</f>
        <v/>
      </c>
      <c r="M834" t="str">
        <f>IF($A834&lt;&gt;"",'Approved-In-Depth'!M834,"")</f>
        <v/>
      </c>
    </row>
    <row r="835" spans="1:13" x14ac:dyDescent="0.35">
      <c r="A835" s="4" t="str">
        <f>IF('Approved-In-Depth'!$A835&lt;&gt;"",'Approved-In-Depth'!A835,"")</f>
        <v/>
      </c>
      <c r="B835" t="str">
        <f>IF($O835&lt;&gt;"",$O835,IF($A835&lt;&gt;"",'Approved-In-Depth'!$B835+7,""))</f>
        <v/>
      </c>
      <c r="C835" t="str">
        <f>IF($A835&lt;&gt;"",'Approved-In-Depth'!C835,"")</f>
        <v/>
      </c>
      <c r="D835" t="str">
        <f>IF($A835&lt;&gt;"",'Approved-In-Depth'!D835,"")</f>
        <v/>
      </c>
      <c r="E835" t="str">
        <f>IF($A835&lt;&gt;"",'Approved-In-Depth'!E835,"")</f>
        <v/>
      </c>
      <c r="F835" t="str">
        <f>IF($A835&lt;&gt;"",'Approved-In-Depth'!F835,"")</f>
        <v/>
      </c>
      <c r="G835" t="str">
        <f>IF($A835&lt;&gt;"",'Approved-In-Depth'!G835,"")</f>
        <v/>
      </c>
      <c r="H835" s="4" t="str">
        <f>IF($A835&lt;&gt;"",'Approved-In-Depth'!H835,"")</f>
        <v/>
      </c>
      <c r="I835" t="str">
        <f>IF($A835&lt;&gt;"",'Approved-In-Depth'!I835,"")</f>
        <v/>
      </c>
      <c r="J835" t="str">
        <f>IF($A835&lt;&gt;"",'Approved-In-Depth'!J835,"")</f>
        <v/>
      </c>
      <c r="K835" t="str">
        <f>IF($A835&lt;&gt;"",'Approved-In-Depth'!K835,"")</f>
        <v/>
      </c>
      <c r="L835" s="4" t="str">
        <f>IF($A835&lt;&gt;"",'Approved-In-Depth'!L835,"")</f>
        <v/>
      </c>
      <c r="M835" t="str">
        <f>IF($A835&lt;&gt;"",'Approved-In-Depth'!M835,"")</f>
        <v/>
      </c>
    </row>
    <row r="836" spans="1:13" x14ac:dyDescent="0.35">
      <c r="A836" s="4" t="str">
        <f>IF('Approved-In-Depth'!$A836&lt;&gt;"",'Approved-In-Depth'!A836,"")</f>
        <v/>
      </c>
      <c r="B836" t="str">
        <f>IF($O836&lt;&gt;"",$O836,IF($A836&lt;&gt;"",'Approved-In-Depth'!$B836+7,""))</f>
        <v/>
      </c>
      <c r="C836" t="str">
        <f>IF($A836&lt;&gt;"",'Approved-In-Depth'!C836,"")</f>
        <v/>
      </c>
      <c r="D836" t="str">
        <f>IF($A836&lt;&gt;"",'Approved-In-Depth'!D836,"")</f>
        <v/>
      </c>
      <c r="E836" t="str">
        <f>IF($A836&lt;&gt;"",'Approved-In-Depth'!E836,"")</f>
        <v/>
      </c>
      <c r="F836" t="str">
        <f>IF($A836&lt;&gt;"",'Approved-In-Depth'!F836,"")</f>
        <v/>
      </c>
      <c r="G836" t="str">
        <f>IF($A836&lt;&gt;"",'Approved-In-Depth'!G836,"")</f>
        <v/>
      </c>
      <c r="H836" s="4" t="str">
        <f>IF($A836&lt;&gt;"",'Approved-In-Depth'!H836,"")</f>
        <v/>
      </c>
      <c r="I836" t="str">
        <f>IF($A836&lt;&gt;"",'Approved-In-Depth'!I836,"")</f>
        <v/>
      </c>
      <c r="J836" t="str">
        <f>IF($A836&lt;&gt;"",'Approved-In-Depth'!J836,"")</f>
        <v/>
      </c>
      <c r="K836" t="str">
        <f>IF($A836&lt;&gt;"",'Approved-In-Depth'!K836,"")</f>
        <v/>
      </c>
      <c r="L836" s="4" t="str">
        <f>IF($A836&lt;&gt;"",'Approved-In-Depth'!L836,"")</f>
        <v/>
      </c>
      <c r="M836" t="str">
        <f>IF($A836&lt;&gt;"",'Approved-In-Depth'!M836,"")</f>
        <v/>
      </c>
    </row>
    <row r="837" spans="1:13" x14ac:dyDescent="0.35">
      <c r="A837" s="4" t="str">
        <f>IF('Approved-In-Depth'!$A837&lt;&gt;"",'Approved-In-Depth'!A837,"")</f>
        <v/>
      </c>
      <c r="B837" t="str">
        <f>IF($O837&lt;&gt;"",$O837,IF($A837&lt;&gt;"",'Approved-In-Depth'!$B837+7,""))</f>
        <v/>
      </c>
      <c r="C837" t="str">
        <f>IF($A837&lt;&gt;"",'Approved-In-Depth'!C837,"")</f>
        <v/>
      </c>
      <c r="D837" t="str">
        <f>IF($A837&lt;&gt;"",'Approved-In-Depth'!D837,"")</f>
        <v/>
      </c>
      <c r="E837" t="str">
        <f>IF($A837&lt;&gt;"",'Approved-In-Depth'!E837,"")</f>
        <v/>
      </c>
      <c r="F837" t="str">
        <f>IF($A837&lt;&gt;"",'Approved-In-Depth'!F837,"")</f>
        <v/>
      </c>
      <c r="G837" t="str">
        <f>IF($A837&lt;&gt;"",'Approved-In-Depth'!G837,"")</f>
        <v/>
      </c>
      <c r="H837" s="4" t="str">
        <f>IF($A837&lt;&gt;"",'Approved-In-Depth'!H837,"")</f>
        <v/>
      </c>
      <c r="I837" t="str">
        <f>IF($A837&lt;&gt;"",'Approved-In-Depth'!I837,"")</f>
        <v/>
      </c>
      <c r="J837" t="str">
        <f>IF($A837&lt;&gt;"",'Approved-In-Depth'!J837,"")</f>
        <v/>
      </c>
      <c r="K837" t="str">
        <f>IF($A837&lt;&gt;"",'Approved-In-Depth'!K837,"")</f>
        <v/>
      </c>
      <c r="L837" s="4" t="str">
        <f>IF($A837&lt;&gt;"",'Approved-In-Depth'!L837,"")</f>
        <v/>
      </c>
      <c r="M837" t="str">
        <f>IF($A837&lt;&gt;"",'Approved-In-Depth'!M837,"")</f>
        <v/>
      </c>
    </row>
    <row r="838" spans="1:13" x14ac:dyDescent="0.35">
      <c r="A838" s="4" t="str">
        <f>IF('Approved-In-Depth'!$A838&lt;&gt;"",'Approved-In-Depth'!A838,"")</f>
        <v/>
      </c>
      <c r="B838" t="str">
        <f>IF($O838&lt;&gt;"",$O838,IF($A838&lt;&gt;"",'Approved-In-Depth'!$B838+7,""))</f>
        <v/>
      </c>
      <c r="C838" t="str">
        <f>IF($A838&lt;&gt;"",'Approved-In-Depth'!C838,"")</f>
        <v/>
      </c>
      <c r="D838" t="str">
        <f>IF($A838&lt;&gt;"",'Approved-In-Depth'!D838,"")</f>
        <v/>
      </c>
      <c r="E838" t="str">
        <f>IF($A838&lt;&gt;"",'Approved-In-Depth'!E838,"")</f>
        <v/>
      </c>
      <c r="F838" t="str">
        <f>IF($A838&lt;&gt;"",'Approved-In-Depth'!F838,"")</f>
        <v/>
      </c>
      <c r="G838" t="str">
        <f>IF($A838&lt;&gt;"",'Approved-In-Depth'!G838,"")</f>
        <v/>
      </c>
      <c r="H838" s="4" t="str">
        <f>IF($A838&lt;&gt;"",'Approved-In-Depth'!H838,"")</f>
        <v/>
      </c>
      <c r="I838" t="str">
        <f>IF($A838&lt;&gt;"",'Approved-In-Depth'!I838,"")</f>
        <v/>
      </c>
      <c r="J838" t="str">
        <f>IF($A838&lt;&gt;"",'Approved-In-Depth'!J838,"")</f>
        <v/>
      </c>
      <c r="K838" t="str">
        <f>IF($A838&lt;&gt;"",'Approved-In-Depth'!K838,"")</f>
        <v/>
      </c>
      <c r="L838" s="4" t="str">
        <f>IF($A838&lt;&gt;"",'Approved-In-Depth'!L838,"")</f>
        <v/>
      </c>
      <c r="M838" t="str">
        <f>IF($A838&lt;&gt;"",'Approved-In-Depth'!M838,"")</f>
        <v/>
      </c>
    </row>
    <row r="839" spans="1:13" x14ac:dyDescent="0.35">
      <c r="A839" s="4" t="str">
        <f>IF('Approved-In-Depth'!$A839&lt;&gt;"",'Approved-In-Depth'!A839,"")</f>
        <v/>
      </c>
      <c r="B839" t="str">
        <f>IF($O839&lt;&gt;"",$O839,IF($A839&lt;&gt;"",'Approved-In-Depth'!$B839+7,""))</f>
        <v/>
      </c>
      <c r="C839" t="str">
        <f>IF($A839&lt;&gt;"",'Approved-In-Depth'!C839,"")</f>
        <v/>
      </c>
      <c r="D839" t="str">
        <f>IF($A839&lt;&gt;"",'Approved-In-Depth'!D839,"")</f>
        <v/>
      </c>
      <c r="E839" t="str">
        <f>IF($A839&lt;&gt;"",'Approved-In-Depth'!E839,"")</f>
        <v/>
      </c>
      <c r="F839" t="str">
        <f>IF($A839&lt;&gt;"",'Approved-In-Depth'!F839,"")</f>
        <v/>
      </c>
      <c r="G839" t="str">
        <f>IF($A839&lt;&gt;"",'Approved-In-Depth'!G839,"")</f>
        <v/>
      </c>
      <c r="H839" s="4" t="str">
        <f>IF($A839&lt;&gt;"",'Approved-In-Depth'!H839,"")</f>
        <v/>
      </c>
      <c r="I839" t="str">
        <f>IF($A839&lt;&gt;"",'Approved-In-Depth'!I839,"")</f>
        <v/>
      </c>
      <c r="J839" t="str">
        <f>IF($A839&lt;&gt;"",'Approved-In-Depth'!J839,"")</f>
        <v/>
      </c>
      <c r="K839" t="str">
        <f>IF($A839&lt;&gt;"",'Approved-In-Depth'!K839,"")</f>
        <v/>
      </c>
      <c r="L839" s="4" t="str">
        <f>IF($A839&lt;&gt;"",'Approved-In-Depth'!L839,"")</f>
        <v/>
      </c>
      <c r="M839" t="str">
        <f>IF($A839&lt;&gt;"",'Approved-In-Depth'!M839,"")</f>
        <v/>
      </c>
    </row>
    <row r="840" spans="1:13" x14ac:dyDescent="0.35">
      <c r="A840" s="4" t="str">
        <f>IF('Approved-In-Depth'!$A840&lt;&gt;"",'Approved-In-Depth'!A840,"")</f>
        <v/>
      </c>
      <c r="B840" t="str">
        <f>IF($O840&lt;&gt;"",$O840,IF($A840&lt;&gt;"",'Approved-In-Depth'!$B840+7,""))</f>
        <v/>
      </c>
      <c r="C840" t="str">
        <f>IF($A840&lt;&gt;"",'Approved-In-Depth'!C840,"")</f>
        <v/>
      </c>
      <c r="D840" t="str">
        <f>IF($A840&lt;&gt;"",'Approved-In-Depth'!D840,"")</f>
        <v/>
      </c>
      <c r="E840" t="str">
        <f>IF($A840&lt;&gt;"",'Approved-In-Depth'!E840,"")</f>
        <v/>
      </c>
      <c r="F840" t="str">
        <f>IF($A840&lt;&gt;"",'Approved-In-Depth'!F840,"")</f>
        <v/>
      </c>
      <c r="G840" t="str">
        <f>IF($A840&lt;&gt;"",'Approved-In-Depth'!G840,"")</f>
        <v/>
      </c>
      <c r="H840" s="4" t="str">
        <f>IF($A840&lt;&gt;"",'Approved-In-Depth'!H840,"")</f>
        <v/>
      </c>
      <c r="I840" t="str">
        <f>IF($A840&lt;&gt;"",'Approved-In-Depth'!I840,"")</f>
        <v/>
      </c>
      <c r="J840" t="str">
        <f>IF($A840&lt;&gt;"",'Approved-In-Depth'!J840,"")</f>
        <v/>
      </c>
      <c r="K840" t="str">
        <f>IF($A840&lt;&gt;"",'Approved-In-Depth'!K840,"")</f>
        <v/>
      </c>
      <c r="L840" s="4" t="str">
        <f>IF($A840&lt;&gt;"",'Approved-In-Depth'!L840,"")</f>
        <v/>
      </c>
      <c r="M840" t="str">
        <f>IF($A840&lt;&gt;"",'Approved-In-Depth'!M840,"")</f>
        <v/>
      </c>
    </row>
    <row r="841" spans="1:13" x14ac:dyDescent="0.35">
      <c r="A841" s="4" t="str">
        <f>IF('Approved-In-Depth'!$A841&lt;&gt;"",'Approved-In-Depth'!A841,"")</f>
        <v/>
      </c>
      <c r="B841" t="str">
        <f>IF($O841&lt;&gt;"",$O841,IF($A841&lt;&gt;"",'Approved-In-Depth'!$B841+7,""))</f>
        <v/>
      </c>
      <c r="C841" t="str">
        <f>IF($A841&lt;&gt;"",'Approved-In-Depth'!C841,"")</f>
        <v/>
      </c>
      <c r="D841" t="str">
        <f>IF($A841&lt;&gt;"",'Approved-In-Depth'!D841,"")</f>
        <v/>
      </c>
      <c r="E841" t="str">
        <f>IF($A841&lt;&gt;"",'Approved-In-Depth'!E841,"")</f>
        <v/>
      </c>
      <c r="F841" t="str">
        <f>IF($A841&lt;&gt;"",'Approved-In-Depth'!F841,"")</f>
        <v/>
      </c>
      <c r="G841" t="str">
        <f>IF($A841&lt;&gt;"",'Approved-In-Depth'!G841,"")</f>
        <v/>
      </c>
      <c r="H841" s="4" t="str">
        <f>IF($A841&lt;&gt;"",'Approved-In-Depth'!H841,"")</f>
        <v/>
      </c>
      <c r="I841" t="str">
        <f>IF($A841&lt;&gt;"",'Approved-In-Depth'!I841,"")</f>
        <v/>
      </c>
      <c r="J841" t="str">
        <f>IF($A841&lt;&gt;"",'Approved-In-Depth'!J841,"")</f>
        <v/>
      </c>
      <c r="K841" t="str">
        <f>IF($A841&lt;&gt;"",'Approved-In-Depth'!K841,"")</f>
        <v/>
      </c>
      <c r="L841" s="4" t="str">
        <f>IF($A841&lt;&gt;"",'Approved-In-Depth'!L841,"")</f>
        <v/>
      </c>
      <c r="M841" t="str">
        <f>IF($A841&lt;&gt;"",'Approved-In-Depth'!M841,"")</f>
        <v/>
      </c>
    </row>
    <row r="842" spans="1:13" x14ac:dyDescent="0.35">
      <c r="A842" s="4" t="str">
        <f>IF('Approved-In-Depth'!$A842&lt;&gt;"",'Approved-In-Depth'!A842,"")</f>
        <v/>
      </c>
      <c r="B842" t="str">
        <f>IF($O842&lt;&gt;"",$O842,IF($A842&lt;&gt;"",'Approved-In-Depth'!$B842+7,""))</f>
        <v/>
      </c>
      <c r="C842" t="str">
        <f>IF($A842&lt;&gt;"",'Approved-In-Depth'!C842,"")</f>
        <v/>
      </c>
      <c r="D842" t="str">
        <f>IF($A842&lt;&gt;"",'Approved-In-Depth'!D842,"")</f>
        <v/>
      </c>
      <c r="E842" t="str">
        <f>IF($A842&lt;&gt;"",'Approved-In-Depth'!E842,"")</f>
        <v/>
      </c>
      <c r="F842" t="str">
        <f>IF($A842&lt;&gt;"",'Approved-In-Depth'!F842,"")</f>
        <v/>
      </c>
      <c r="G842" t="str">
        <f>IF($A842&lt;&gt;"",'Approved-In-Depth'!G842,"")</f>
        <v/>
      </c>
      <c r="H842" s="4" t="str">
        <f>IF($A842&lt;&gt;"",'Approved-In-Depth'!H842,"")</f>
        <v/>
      </c>
      <c r="I842" t="str">
        <f>IF($A842&lt;&gt;"",'Approved-In-Depth'!I842,"")</f>
        <v/>
      </c>
      <c r="J842" t="str">
        <f>IF($A842&lt;&gt;"",'Approved-In-Depth'!J842,"")</f>
        <v/>
      </c>
      <c r="K842" t="str">
        <f>IF($A842&lt;&gt;"",'Approved-In-Depth'!K842,"")</f>
        <v/>
      </c>
      <c r="L842" s="4" t="str">
        <f>IF($A842&lt;&gt;"",'Approved-In-Depth'!L842,"")</f>
        <v/>
      </c>
      <c r="M842" t="str">
        <f>IF($A842&lt;&gt;"",'Approved-In-Depth'!M842,"")</f>
        <v/>
      </c>
    </row>
    <row r="843" spans="1:13" x14ac:dyDescent="0.35">
      <c r="A843" s="4" t="str">
        <f>IF('Approved-In-Depth'!$A843&lt;&gt;"",'Approved-In-Depth'!A843,"")</f>
        <v/>
      </c>
      <c r="B843" t="str">
        <f>IF($O843&lt;&gt;"",$O843,IF($A843&lt;&gt;"",'Approved-In-Depth'!$B843+7,""))</f>
        <v/>
      </c>
      <c r="C843" t="str">
        <f>IF($A843&lt;&gt;"",'Approved-In-Depth'!C843,"")</f>
        <v/>
      </c>
      <c r="D843" t="str">
        <f>IF($A843&lt;&gt;"",'Approved-In-Depth'!D843,"")</f>
        <v/>
      </c>
      <c r="E843" t="str">
        <f>IF($A843&lt;&gt;"",'Approved-In-Depth'!E843,"")</f>
        <v/>
      </c>
      <c r="F843" t="str">
        <f>IF($A843&lt;&gt;"",'Approved-In-Depth'!F843,"")</f>
        <v/>
      </c>
      <c r="G843" t="str">
        <f>IF($A843&lt;&gt;"",'Approved-In-Depth'!G843,"")</f>
        <v/>
      </c>
      <c r="H843" s="4" t="str">
        <f>IF($A843&lt;&gt;"",'Approved-In-Depth'!H843,"")</f>
        <v/>
      </c>
      <c r="I843" t="str">
        <f>IF($A843&lt;&gt;"",'Approved-In-Depth'!I843,"")</f>
        <v/>
      </c>
      <c r="J843" t="str">
        <f>IF($A843&lt;&gt;"",'Approved-In-Depth'!J843,"")</f>
        <v/>
      </c>
      <c r="K843" t="str">
        <f>IF($A843&lt;&gt;"",'Approved-In-Depth'!K843,"")</f>
        <v/>
      </c>
      <c r="L843" s="4" t="str">
        <f>IF($A843&lt;&gt;"",'Approved-In-Depth'!L843,"")</f>
        <v/>
      </c>
      <c r="M843" t="str">
        <f>IF($A843&lt;&gt;"",'Approved-In-Depth'!M843,"")</f>
        <v/>
      </c>
    </row>
    <row r="844" spans="1:13" x14ac:dyDescent="0.35">
      <c r="A844" s="4" t="str">
        <f>IF('Approved-In-Depth'!$A844&lt;&gt;"",'Approved-In-Depth'!A844,"")</f>
        <v/>
      </c>
      <c r="B844" t="str">
        <f>IF($O844&lt;&gt;"",$O844,IF($A844&lt;&gt;"",'Approved-In-Depth'!$B844+7,""))</f>
        <v/>
      </c>
      <c r="C844" t="str">
        <f>IF($A844&lt;&gt;"",'Approved-In-Depth'!C844,"")</f>
        <v/>
      </c>
      <c r="D844" t="str">
        <f>IF($A844&lt;&gt;"",'Approved-In-Depth'!D844,"")</f>
        <v/>
      </c>
      <c r="E844" t="str">
        <f>IF($A844&lt;&gt;"",'Approved-In-Depth'!E844,"")</f>
        <v/>
      </c>
      <c r="F844" t="str">
        <f>IF($A844&lt;&gt;"",'Approved-In-Depth'!F844,"")</f>
        <v/>
      </c>
      <c r="G844" t="str">
        <f>IF($A844&lt;&gt;"",'Approved-In-Depth'!G844,"")</f>
        <v/>
      </c>
      <c r="H844" s="4" t="str">
        <f>IF($A844&lt;&gt;"",'Approved-In-Depth'!H844,"")</f>
        <v/>
      </c>
      <c r="I844" t="str">
        <f>IF($A844&lt;&gt;"",'Approved-In-Depth'!I844,"")</f>
        <v/>
      </c>
      <c r="J844" t="str">
        <f>IF($A844&lt;&gt;"",'Approved-In-Depth'!J844,"")</f>
        <v/>
      </c>
      <c r="K844" t="str">
        <f>IF($A844&lt;&gt;"",'Approved-In-Depth'!K844,"")</f>
        <v/>
      </c>
      <c r="L844" s="4" t="str">
        <f>IF($A844&lt;&gt;"",'Approved-In-Depth'!L844,"")</f>
        <v/>
      </c>
      <c r="M844" t="str">
        <f>IF($A844&lt;&gt;"",'Approved-In-Depth'!M844,"")</f>
        <v/>
      </c>
    </row>
    <row r="845" spans="1:13" x14ac:dyDescent="0.35">
      <c r="A845" s="4" t="str">
        <f>IF('Approved-In-Depth'!$A845&lt;&gt;"",'Approved-In-Depth'!A845,"")</f>
        <v/>
      </c>
      <c r="B845" t="str">
        <f>IF($O845&lt;&gt;"",$O845,IF($A845&lt;&gt;"",'Approved-In-Depth'!$B845+7,""))</f>
        <v/>
      </c>
      <c r="C845" t="str">
        <f>IF($A845&lt;&gt;"",'Approved-In-Depth'!C845,"")</f>
        <v/>
      </c>
      <c r="D845" t="str">
        <f>IF($A845&lt;&gt;"",'Approved-In-Depth'!D845,"")</f>
        <v/>
      </c>
      <c r="E845" t="str">
        <f>IF($A845&lt;&gt;"",'Approved-In-Depth'!E845,"")</f>
        <v/>
      </c>
      <c r="F845" t="str">
        <f>IF($A845&lt;&gt;"",'Approved-In-Depth'!F845,"")</f>
        <v/>
      </c>
      <c r="G845" t="str">
        <f>IF($A845&lt;&gt;"",'Approved-In-Depth'!G845,"")</f>
        <v/>
      </c>
      <c r="H845" s="4" t="str">
        <f>IF($A845&lt;&gt;"",'Approved-In-Depth'!H845,"")</f>
        <v/>
      </c>
      <c r="I845" t="str">
        <f>IF($A845&lt;&gt;"",'Approved-In-Depth'!I845,"")</f>
        <v/>
      </c>
      <c r="J845" t="str">
        <f>IF($A845&lt;&gt;"",'Approved-In-Depth'!J845,"")</f>
        <v/>
      </c>
      <c r="K845" t="str">
        <f>IF($A845&lt;&gt;"",'Approved-In-Depth'!K845,"")</f>
        <v/>
      </c>
      <c r="L845" s="4" t="str">
        <f>IF($A845&lt;&gt;"",'Approved-In-Depth'!L845,"")</f>
        <v/>
      </c>
      <c r="M845" t="str">
        <f>IF($A845&lt;&gt;"",'Approved-In-Depth'!M845,"")</f>
        <v/>
      </c>
    </row>
    <row r="846" spans="1:13" x14ac:dyDescent="0.35">
      <c r="A846" s="4" t="str">
        <f>IF('Approved-In-Depth'!$A846&lt;&gt;"",'Approved-In-Depth'!A846,"")</f>
        <v/>
      </c>
      <c r="B846" t="str">
        <f>IF($O846&lt;&gt;"",$O846,IF($A846&lt;&gt;"",'Approved-In-Depth'!$B846+7,""))</f>
        <v/>
      </c>
      <c r="C846" t="str">
        <f>IF($A846&lt;&gt;"",'Approved-In-Depth'!C846,"")</f>
        <v/>
      </c>
      <c r="D846" t="str">
        <f>IF($A846&lt;&gt;"",'Approved-In-Depth'!D846,"")</f>
        <v/>
      </c>
      <c r="E846" t="str">
        <f>IF($A846&lt;&gt;"",'Approved-In-Depth'!E846,"")</f>
        <v/>
      </c>
      <c r="F846" t="str">
        <f>IF($A846&lt;&gt;"",'Approved-In-Depth'!F846,"")</f>
        <v/>
      </c>
      <c r="G846" t="str">
        <f>IF($A846&lt;&gt;"",'Approved-In-Depth'!G846,"")</f>
        <v/>
      </c>
      <c r="H846" s="4" t="str">
        <f>IF($A846&lt;&gt;"",'Approved-In-Depth'!H846,"")</f>
        <v/>
      </c>
      <c r="I846" t="str">
        <f>IF($A846&lt;&gt;"",'Approved-In-Depth'!I846,"")</f>
        <v/>
      </c>
      <c r="J846" t="str">
        <f>IF($A846&lt;&gt;"",'Approved-In-Depth'!J846,"")</f>
        <v/>
      </c>
      <c r="K846" t="str">
        <f>IF($A846&lt;&gt;"",'Approved-In-Depth'!K846,"")</f>
        <v/>
      </c>
      <c r="L846" s="4" t="str">
        <f>IF($A846&lt;&gt;"",'Approved-In-Depth'!L846,"")</f>
        <v/>
      </c>
      <c r="M846" t="str">
        <f>IF($A846&lt;&gt;"",'Approved-In-Depth'!M846,"")</f>
        <v/>
      </c>
    </row>
    <row r="847" spans="1:13" x14ac:dyDescent="0.35">
      <c r="A847" s="4" t="str">
        <f>IF('Approved-In-Depth'!$A847&lt;&gt;"",'Approved-In-Depth'!A847,"")</f>
        <v/>
      </c>
      <c r="B847" t="str">
        <f>IF($O847&lt;&gt;"",$O847,IF($A847&lt;&gt;"",'Approved-In-Depth'!$B847+7,""))</f>
        <v/>
      </c>
      <c r="C847" t="str">
        <f>IF($A847&lt;&gt;"",'Approved-In-Depth'!C847,"")</f>
        <v/>
      </c>
      <c r="D847" t="str">
        <f>IF($A847&lt;&gt;"",'Approved-In-Depth'!D847,"")</f>
        <v/>
      </c>
      <c r="E847" t="str">
        <f>IF($A847&lt;&gt;"",'Approved-In-Depth'!E847,"")</f>
        <v/>
      </c>
      <c r="F847" t="str">
        <f>IF($A847&lt;&gt;"",'Approved-In-Depth'!F847,"")</f>
        <v/>
      </c>
      <c r="G847" t="str">
        <f>IF($A847&lt;&gt;"",'Approved-In-Depth'!G847,"")</f>
        <v/>
      </c>
      <c r="H847" s="4" t="str">
        <f>IF($A847&lt;&gt;"",'Approved-In-Depth'!H847,"")</f>
        <v/>
      </c>
      <c r="I847" t="str">
        <f>IF($A847&lt;&gt;"",'Approved-In-Depth'!I847,"")</f>
        <v/>
      </c>
      <c r="J847" t="str">
        <f>IF($A847&lt;&gt;"",'Approved-In-Depth'!J847,"")</f>
        <v/>
      </c>
      <c r="K847" t="str">
        <f>IF($A847&lt;&gt;"",'Approved-In-Depth'!K847,"")</f>
        <v/>
      </c>
      <c r="L847" s="4" t="str">
        <f>IF($A847&lt;&gt;"",'Approved-In-Depth'!L847,"")</f>
        <v/>
      </c>
      <c r="M847" t="str">
        <f>IF($A847&lt;&gt;"",'Approved-In-Depth'!M847,"")</f>
        <v/>
      </c>
    </row>
    <row r="848" spans="1:13" x14ac:dyDescent="0.35">
      <c r="A848" s="4" t="str">
        <f>IF('Approved-In-Depth'!$A848&lt;&gt;"",'Approved-In-Depth'!A848,"")</f>
        <v/>
      </c>
      <c r="B848" t="str">
        <f>IF($O848&lt;&gt;"",$O848,IF($A848&lt;&gt;"",'Approved-In-Depth'!$B848+7,""))</f>
        <v/>
      </c>
      <c r="C848" t="str">
        <f>IF($A848&lt;&gt;"",'Approved-In-Depth'!C848,"")</f>
        <v/>
      </c>
      <c r="D848" t="str">
        <f>IF($A848&lt;&gt;"",'Approved-In-Depth'!D848,"")</f>
        <v/>
      </c>
      <c r="E848" t="str">
        <f>IF($A848&lt;&gt;"",'Approved-In-Depth'!E848,"")</f>
        <v/>
      </c>
      <c r="F848" t="str">
        <f>IF($A848&lt;&gt;"",'Approved-In-Depth'!F848,"")</f>
        <v/>
      </c>
      <c r="G848" t="str">
        <f>IF($A848&lt;&gt;"",'Approved-In-Depth'!G848,"")</f>
        <v/>
      </c>
      <c r="H848" s="4" t="str">
        <f>IF($A848&lt;&gt;"",'Approved-In-Depth'!H848,"")</f>
        <v/>
      </c>
      <c r="I848" t="str">
        <f>IF($A848&lt;&gt;"",'Approved-In-Depth'!I848,"")</f>
        <v/>
      </c>
      <c r="J848" t="str">
        <f>IF($A848&lt;&gt;"",'Approved-In-Depth'!J848,"")</f>
        <v/>
      </c>
      <c r="K848" t="str">
        <f>IF($A848&lt;&gt;"",'Approved-In-Depth'!K848,"")</f>
        <v/>
      </c>
      <c r="L848" s="4" t="str">
        <f>IF($A848&lt;&gt;"",'Approved-In-Depth'!L848,"")</f>
        <v/>
      </c>
      <c r="M848" t="str">
        <f>IF($A848&lt;&gt;"",'Approved-In-Depth'!M848,"")</f>
        <v/>
      </c>
    </row>
    <row r="849" spans="1:13" x14ac:dyDescent="0.35">
      <c r="A849" s="4" t="str">
        <f>IF('Approved-In-Depth'!$A849&lt;&gt;"",'Approved-In-Depth'!A849,"")</f>
        <v/>
      </c>
      <c r="B849" t="str">
        <f>IF($O849&lt;&gt;"",$O849,IF($A849&lt;&gt;"",'Approved-In-Depth'!$B849+7,""))</f>
        <v/>
      </c>
      <c r="C849" t="str">
        <f>IF($A849&lt;&gt;"",'Approved-In-Depth'!C849,"")</f>
        <v/>
      </c>
      <c r="D849" t="str">
        <f>IF($A849&lt;&gt;"",'Approved-In-Depth'!D849,"")</f>
        <v/>
      </c>
      <c r="E849" t="str">
        <f>IF($A849&lt;&gt;"",'Approved-In-Depth'!E849,"")</f>
        <v/>
      </c>
      <c r="F849" t="str">
        <f>IF($A849&lt;&gt;"",'Approved-In-Depth'!F849,"")</f>
        <v/>
      </c>
      <c r="G849" t="str">
        <f>IF($A849&lt;&gt;"",'Approved-In-Depth'!G849,"")</f>
        <v/>
      </c>
      <c r="H849" s="4" t="str">
        <f>IF($A849&lt;&gt;"",'Approved-In-Depth'!H849,"")</f>
        <v/>
      </c>
      <c r="I849" t="str">
        <f>IF($A849&lt;&gt;"",'Approved-In-Depth'!I849,"")</f>
        <v/>
      </c>
      <c r="J849" t="str">
        <f>IF($A849&lt;&gt;"",'Approved-In-Depth'!J849,"")</f>
        <v/>
      </c>
      <c r="K849" t="str">
        <f>IF($A849&lt;&gt;"",'Approved-In-Depth'!K849,"")</f>
        <v/>
      </c>
      <c r="L849" s="4" t="str">
        <f>IF($A849&lt;&gt;"",'Approved-In-Depth'!L849,"")</f>
        <v/>
      </c>
      <c r="M849" t="str">
        <f>IF($A849&lt;&gt;"",'Approved-In-Depth'!M849,"")</f>
        <v/>
      </c>
    </row>
    <row r="850" spans="1:13" x14ac:dyDescent="0.35">
      <c r="A850" s="4" t="str">
        <f>IF('Approved-In-Depth'!$A850&lt;&gt;"",'Approved-In-Depth'!A850,"")</f>
        <v/>
      </c>
      <c r="B850" t="str">
        <f>IF($O850&lt;&gt;"",$O850,IF($A850&lt;&gt;"",'Approved-In-Depth'!$B850+7,""))</f>
        <v/>
      </c>
      <c r="C850" t="str">
        <f>IF($A850&lt;&gt;"",'Approved-In-Depth'!C850,"")</f>
        <v/>
      </c>
      <c r="D850" t="str">
        <f>IF($A850&lt;&gt;"",'Approved-In-Depth'!D850,"")</f>
        <v/>
      </c>
      <c r="E850" t="str">
        <f>IF($A850&lt;&gt;"",'Approved-In-Depth'!E850,"")</f>
        <v/>
      </c>
      <c r="F850" t="str">
        <f>IF($A850&lt;&gt;"",'Approved-In-Depth'!F850,"")</f>
        <v/>
      </c>
      <c r="G850" t="str">
        <f>IF($A850&lt;&gt;"",'Approved-In-Depth'!G850,"")</f>
        <v/>
      </c>
      <c r="H850" s="4" t="str">
        <f>IF($A850&lt;&gt;"",'Approved-In-Depth'!H850,"")</f>
        <v/>
      </c>
      <c r="I850" t="str">
        <f>IF($A850&lt;&gt;"",'Approved-In-Depth'!I850,"")</f>
        <v/>
      </c>
      <c r="J850" t="str">
        <f>IF($A850&lt;&gt;"",'Approved-In-Depth'!J850,"")</f>
        <v/>
      </c>
      <c r="K850" t="str">
        <f>IF($A850&lt;&gt;"",'Approved-In-Depth'!K850,"")</f>
        <v/>
      </c>
      <c r="L850" s="4" t="str">
        <f>IF($A850&lt;&gt;"",'Approved-In-Depth'!L850,"")</f>
        <v/>
      </c>
      <c r="M850" t="str">
        <f>IF($A850&lt;&gt;"",'Approved-In-Depth'!M850,"")</f>
        <v/>
      </c>
    </row>
    <row r="851" spans="1:13" x14ac:dyDescent="0.35">
      <c r="A851" s="4" t="str">
        <f>IF('Approved-In-Depth'!$A851&lt;&gt;"",'Approved-In-Depth'!A851,"")</f>
        <v/>
      </c>
      <c r="B851" t="str">
        <f>IF($O851&lt;&gt;"",$O851,IF($A851&lt;&gt;"",'Approved-In-Depth'!$B851+7,""))</f>
        <v/>
      </c>
      <c r="C851" t="str">
        <f>IF($A851&lt;&gt;"",'Approved-In-Depth'!C851,"")</f>
        <v/>
      </c>
      <c r="D851" t="str">
        <f>IF($A851&lt;&gt;"",'Approved-In-Depth'!D851,"")</f>
        <v/>
      </c>
      <c r="E851" t="str">
        <f>IF($A851&lt;&gt;"",'Approved-In-Depth'!E851,"")</f>
        <v/>
      </c>
      <c r="F851" t="str">
        <f>IF($A851&lt;&gt;"",'Approved-In-Depth'!F851,"")</f>
        <v/>
      </c>
      <c r="G851" t="str">
        <f>IF($A851&lt;&gt;"",'Approved-In-Depth'!G851,"")</f>
        <v/>
      </c>
      <c r="H851" s="4" t="str">
        <f>IF($A851&lt;&gt;"",'Approved-In-Depth'!H851,"")</f>
        <v/>
      </c>
      <c r="I851" t="str">
        <f>IF($A851&lt;&gt;"",'Approved-In-Depth'!I851,"")</f>
        <v/>
      </c>
      <c r="J851" t="str">
        <f>IF($A851&lt;&gt;"",'Approved-In-Depth'!J851,"")</f>
        <v/>
      </c>
      <c r="K851" t="str">
        <f>IF($A851&lt;&gt;"",'Approved-In-Depth'!K851,"")</f>
        <v/>
      </c>
      <c r="L851" s="4" t="str">
        <f>IF($A851&lt;&gt;"",'Approved-In-Depth'!L851,"")</f>
        <v/>
      </c>
      <c r="M851" t="str">
        <f>IF($A851&lt;&gt;"",'Approved-In-Depth'!M851,"")</f>
        <v/>
      </c>
    </row>
    <row r="852" spans="1:13" x14ac:dyDescent="0.35">
      <c r="A852" s="4" t="str">
        <f>IF('Approved-In-Depth'!$A852&lt;&gt;"",'Approved-In-Depth'!A852,"")</f>
        <v/>
      </c>
      <c r="B852" t="str">
        <f>IF($O852&lt;&gt;"",$O852,IF($A852&lt;&gt;"",'Approved-In-Depth'!$B852+7,""))</f>
        <v/>
      </c>
      <c r="C852" t="str">
        <f>IF($A852&lt;&gt;"",'Approved-In-Depth'!C852,"")</f>
        <v/>
      </c>
      <c r="D852" t="str">
        <f>IF($A852&lt;&gt;"",'Approved-In-Depth'!D852,"")</f>
        <v/>
      </c>
      <c r="E852" t="str">
        <f>IF($A852&lt;&gt;"",'Approved-In-Depth'!E852,"")</f>
        <v/>
      </c>
      <c r="F852" t="str">
        <f>IF($A852&lt;&gt;"",'Approved-In-Depth'!F852,"")</f>
        <v/>
      </c>
      <c r="G852" t="str">
        <f>IF($A852&lt;&gt;"",'Approved-In-Depth'!G852,"")</f>
        <v/>
      </c>
      <c r="H852" s="4" t="str">
        <f>IF($A852&lt;&gt;"",'Approved-In-Depth'!H852,"")</f>
        <v/>
      </c>
      <c r="I852" t="str">
        <f>IF($A852&lt;&gt;"",'Approved-In-Depth'!I852,"")</f>
        <v/>
      </c>
      <c r="J852" t="str">
        <f>IF($A852&lt;&gt;"",'Approved-In-Depth'!J852,"")</f>
        <v/>
      </c>
      <c r="K852" t="str">
        <f>IF($A852&lt;&gt;"",'Approved-In-Depth'!K852,"")</f>
        <v/>
      </c>
      <c r="L852" s="4" t="str">
        <f>IF($A852&lt;&gt;"",'Approved-In-Depth'!L852,"")</f>
        <v/>
      </c>
      <c r="M852" t="str">
        <f>IF($A852&lt;&gt;"",'Approved-In-Depth'!M852,"")</f>
        <v/>
      </c>
    </row>
    <row r="853" spans="1:13" x14ac:dyDescent="0.35">
      <c r="A853" s="4" t="str">
        <f>IF('Approved-In-Depth'!$A853&lt;&gt;"",'Approved-In-Depth'!A853,"")</f>
        <v/>
      </c>
      <c r="B853" t="str">
        <f>IF($O853&lt;&gt;"",$O853,IF($A853&lt;&gt;"",'Approved-In-Depth'!$B853+7,""))</f>
        <v/>
      </c>
      <c r="C853" t="str">
        <f>IF($A853&lt;&gt;"",'Approved-In-Depth'!C853,"")</f>
        <v/>
      </c>
      <c r="D853" t="str">
        <f>IF($A853&lt;&gt;"",'Approved-In-Depth'!D853,"")</f>
        <v/>
      </c>
      <c r="E853" t="str">
        <f>IF($A853&lt;&gt;"",'Approved-In-Depth'!E853,"")</f>
        <v/>
      </c>
      <c r="F853" t="str">
        <f>IF($A853&lt;&gt;"",'Approved-In-Depth'!F853,"")</f>
        <v/>
      </c>
      <c r="G853" t="str">
        <f>IF($A853&lt;&gt;"",'Approved-In-Depth'!G853,"")</f>
        <v/>
      </c>
      <c r="H853" s="4" t="str">
        <f>IF($A853&lt;&gt;"",'Approved-In-Depth'!H853,"")</f>
        <v/>
      </c>
      <c r="I853" t="str">
        <f>IF($A853&lt;&gt;"",'Approved-In-Depth'!I853,"")</f>
        <v/>
      </c>
      <c r="J853" t="str">
        <f>IF($A853&lt;&gt;"",'Approved-In-Depth'!J853,"")</f>
        <v/>
      </c>
      <c r="K853" t="str">
        <f>IF($A853&lt;&gt;"",'Approved-In-Depth'!K853,"")</f>
        <v/>
      </c>
      <c r="L853" s="4" t="str">
        <f>IF($A853&lt;&gt;"",'Approved-In-Depth'!L853,"")</f>
        <v/>
      </c>
      <c r="M853" t="str">
        <f>IF($A853&lt;&gt;"",'Approved-In-Depth'!M853,"")</f>
        <v/>
      </c>
    </row>
    <row r="854" spans="1:13" x14ac:dyDescent="0.35">
      <c r="A854" s="4" t="str">
        <f>IF('Approved-In-Depth'!$A854&lt;&gt;"",'Approved-In-Depth'!A854,"")</f>
        <v/>
      </c>
      <c r="B854" t="str">
        <f>IF($O854&lt;&gt;"",$O854,IF($A854&lt;&gt;"",'Approved-In-Depth'!$B854+7,""))</f>
        <v/>
      </c>
      <c r="C854" t="str">
        <f>IF($A854&lt;&gt;"",'Approved-In-Depth'!C854,"")</f>
        <v/>
      </c>
      <c r="D854" t="str">
        <f>IF($A854&lt;&gt;"",'Approved-In-Depth'!D854,"")</f>
        <v/>
      </c>
      <c r="E854" t="str">
        <f>IF($A854&lt;&gt;"",'Approved-In-Depth'!E854,"")</f>
        <v/>
      </c>
      <c r="F854" t="str">
        <f>IF($A854&lt;&gt;"",'Approved-In-Depth'!F854,"")</f>
        <v/>
      </c>
      <c r="G854" t="str">
        <f>IF($A854&lt;&gt;"",'Approved-In-Depth'!G854,"")</f>
        <v/>
      </c>
      <c r="H854" s="4" t="str">
        <f>IF($A854&lt;&gt;"",'Approved-In-Depth'!H854,"")</f>
        <v/>
      </c>
      <c r="I854" t="str">
        <f>IF($A854&lt;&gt;"",'Approved-In-Depth'!I854,"")</f>
        <v/>
      </c>
      <c r="J854" t="str">
        <f>IF($A854&lt;&gt;"",'Approved-In-Depth'!J854,"")</f>
        <v/>
      </c>
      <c r="K854" t="str">
        <f>IF($A854&lt;&gt;"",'Approved-In-Depth'!K854,"")</f>
        <v/>
      </c>
      <c r="L854" s="4" t="str">
        <f>IF($A854&lt;&gt;"",'Approved-In-Depth'!L854,"")</f>
        <v/>
      </c>
      <c r="M854" t="str">
        <f>IF($A854&lt;&gt;"",'Approved-In-Depth'!M854,"")</f>
        <v/>
      </c>
    </row>
    <row r="855" spans="1:13" x14ac:dyDescent="0.35">
      <c r="A855" s="4" t="str">
        <f>IF('Approved-In-Depth'!$A855&lt;&gt;"",'Approved-In-Depth'!A855,"")</f>
        <v/>
      </c>
      <c r="B855" t="str">
        <f>IF($O855&lt;&gt;"",$O855,IF($A855&lt;&gt;"",'Approved-In-Depth'!$B855+7,""))</f>
        <v/>
      </c>
      <c r="C855" t="str">
        <f>IF($A855&lt;&gt;"",'Approved-In-Depth'!C855,"")</f>
        <v/>
      </c>
      <c r="D855" t="str">
        <f>IF($A855&lt;&gt;"",'Approved-In-Depth'!D855,"")</f>
        <v/>
      </c>
      <c r="E855" t="str">
        <f>IF($A855&lt;&gt;"",'Approved-In-Depth'!E855,"")</f>
        <v/>
      </c>
      <c r="F855" t="str">
        <f>IF($A855&lt;&gt;"",'Approved-In-Depth'!F855,"")</f>
        <v/>
      </c>
      <c r="G855" t="str">
        <f>IF($A855&lt;&gt;"",'Approved-In-Depth'!G855,"")</f>
        <v/>
      </c>
      <c r="H855" s="4" t="str">
        <f>IF($A855&lt;&gt;"",'Approved-In-Depth'!H855,"")</f>
        <v/>
      </c>
      <c r="I855" t="str">
        <f>IF($A855&lt;&gt;"",'Approved-In-Depth'!I855,"")</f>
        <v/>
      </c>
      <c r="J855" t="str">
        <f>IF($A855&lt;&gt;"",'Approved-In-Depth'!J855,"")</f>
        <v/>
      </c>
      <c r="K855" t="str">
        <f>IF($A855&lt;&gt;"",'Approved-In-Depth'!K855,"")</f>
        <v/>
      </c>
      <c r="L855" s="4" t="str">
        <f>IF($A855&lt;&gt;"",'Approved-In-Depth'!L855,"")</f>
        <v/>
      </c>
      <c r="M855" t="str">
        <f>IF($A855&lt;&gt;"",'Approved-In-Depth'!M855,"")</f>
        <v/>
      </c>
    </row>
    <row r="856" spans="1:13" x14ac:dyDescent="0.35">
      <c r="A856" s="4" t="str">
        <f>IF('Approved-In-Depth'!$A856&lt;&gt;"",'Approved-In-Depth'!A856,"")</f>
        <v/>
      </c>
      <c r="B856" t="str">
        <f>IF($O856&lt;&gt;"",$O856,IF($A856&lt;&gt;"",'Approved-In-Depth'!$B856+7,""))</f>
        <v/>
      </c>
      <c r="C856" t="str">
        <f>IF($A856&lt;&gt;"",'Approved-In-Depth'!C856,"")</f>
        <v/>
      </c>
      <c r="D856" t="str">
        <f>IF($A856&lt;&gt;"",'Approved-In-Depth'!D856,"")</f>
        <v/>
      </c>
      <c r="E856" t="str">
        <f>IF($A856&lt;&gt;"",'Approved-In-Depth'!E856,"")</f>
        <v/>
      </c>
      <c r="F856" t="str">
        <f>IF($A856&lt;&gt;"",'Approved-In-Depth'!F856,"")</f>
        <v/>
      </c>
      <c r="G856" t="str">
        <f>IF($A856&lt;&gt;"",'Approved-In-Depth'!G856,"")</f>
        <v/>
      </c>
      <c r="H856" s="4" t="str">
        <f>IF($A856&lt;&gt;"",'Approved-In-Depth'!H856,"")</f>
        <v/>
      </c>
      <c r="I856" t="str">
        <f>IF($A856&lt;&gt;"",'Approved-In-Depth'!I856,"")</f>
        <v/>
      </c>
      <c r="J856" t="str">
        <f>IF($A856&lt;&gt;"",'Approved-In-Depth'!J856,"")</f>
        <v/>
      </c>
      <c r="K856" t="str">
        <f>IF($A856&lt;&gt;"",'Approved-In-Depth'!K856,"")</f>
        <v/>
      </c>
      <c r="L856" s="4" t="str">
        <f>IF($A856&lt;&gt;"",'Approved-In-Depth'!L856,"")</f>
        <v/>
      </c>
      <c r="M856" t="str">
        <f>IF($A856&lt;&gt;"",'Approved-In-Depth'!M856,"")</f>
        <v/>
      </c>
    </row>
    <row r="857" spans="1:13" x14ac:dyDescent="0.35">
      <c r="A857" s="4" t="str">
        <f>IF('Approved-In-Depth'!$A857&lt;&gt;"",'Approved-In-Depth'!A857,"")</f>
        <v/>
      </c>
      <c r="B857" t="str">
        <f>IF($O857&lt;&gt;"",$O857,IF($A857&lt;&gt;"",'Approved-In-Depth'!$B857+7,""))</f>
        <v/>
      </c>
      <c r="C857" t="str">
        <f>IF($A857&lt;&gt;"",'Approved-In-Depth'!C857,"")</f>
        <v/>
      </c>
      <c r="D857" t="str">
        <f>IF($A857&lt;&gt;"",'Approved-In-Depth'!D857,"")</f>
        <v/>
      </c>
      <c r="E857" t="str">
        <f>IF($A857&lt;&gt;"",'Approved-In-Depth'!E857,"")</f>
        <v/>
      </c>
      <c r="F857" t="str">
        <f>IF($A857&lt;&gt;"",'Approved-In-Depth'!F857,"")</f>
        <v/>
      </c>
      <c r="G857" t="str">
        <f>IF($A857&lt;&gt;"",'Approved-In-Depth'!G857,"")</f>
        <v/>
      </c>
      <c r="H857" s="4" t="str">
        <f>IF($A857&lt;&gt;"",'Approved-In-Depth'!H857,"")</f>
        <v/>
      </c>
      <c r="I857" t="str">
        <f>IF($A857&lt;&gt;"",'Approved-In-Depth'!I857,"")</f>
        <v/>
      </c>
      <c r="J857" t="str">
        <f>IF($A857&lt;&gt;"",'Approved-In-Depth'!J857,"")</f>
        <v/>
      </c>
      <c r="K857" t="str">
        <f>IF($A857&lt;&gt;"",'Approved-In-Depth'!K857,"")</f>
        <v/>
      </c>
      <c r="L857" s="4" t="str">
        <f>IF($A857&lt;&gt;"",'Approved-In-Depth'!L857,"")</f>
        <v/>
      </c>
      <c r="M857" t="str">
        <f>IF($A857&lt;&gt;"",'Approved-In-Depth'!M857,"")</f>
        <v/>
      </c>
    </row>
    <row r="858" spans="1:13" x14ac:dyDescent="0.35">
      <c r="A858" s="4" t="str">
        <f>IF('Approved-In-Depth'!$A858&lt;&gt;"",'Approved-In-Depth'!A858,"")</f>
        <v/>
      </c>
      <c r="B858" t="str">
        <f>IF($O858&lt;&gt;"",$O858,IF($A858&lt;&gt;"",'Approved-In-Depth'!$B858+7,""))</f>
        <v/>
      </c>
      <c r="C858" t="str">
        <f>IF($A858&lt;&gt;"",'Approved-In-Depth'!C858,"")</f>
        <v/>
      </c>
      <c r="D858" t="str">
        <f>IF($A858&lt;&gt;"",'Approved-In-Depth'!D858,"")</f>
        <v/>
      </c>
      <c r="E858" t="str">
        <f>IF($A858&lt;&gt;"",'Approved-In-Depth'!E858,"")</f>
        <v/>
      </c>
      <c r="F858" t="str">
        <f>IF($A858&lt;&gt;"",'Approved-In-Depth'!F858,"")</f>
        <v/>
      </c>
      <c r="G858" t="str">
        <f>IF($A858&lt;&gt;"",'Approved-In-Depth'!G858,"")</f>
        <v/>
      </c>
      <c r="H858" s="4" t="str">
        <f>IF($A858&lt;&gt;"",'Approved-In-Depth'!H858,"")</f>
        <v/>
      </c>
      <c r="I858" t="str">
        <f>IF($A858&lt;&gt;"",'Approved-In-Depth'!I858,"")</f>
        <v/>
      </c>
      <c r="J858" t="str">
        <f>IF($A858&lt;&gt;"",'Approved-In-Depth'!J858,"")</f>
        <v/>
      </c>
      <c r="K858" t="str">
        <f>IF($A858&lt;&gt;"",'Approved-In-Depth'!K858,"")</f>
        <v/>
      </c>
      <c r="L858" s="4" t="str">
        <f>IF($A858&lt;&gt;"",'Approved-In-Depth'!L858,"")</f>
        <v/>
      </c>
      <c r="M858" t="str">
        <f>IF($A858&lt;&gt;"",'Approved-In-Depth'!M858,"")</f>
        <v/>
      </c>
    </row>
    <row r="859" spans="1:13" x14ac:dyDescent="0.35">
      <c r="A859" s="4" t="str">
        <f>IF('Approved-In-Depth'!$A859&lt;&gt;"",'Approved-In-Depth'!A859,"")</f>
        <v/>
      </c>
      <c r="B859" t="str">
        <f>IF($O859&lt;&gt;"",$O859,IF($A859&lt;&gt;"",'Approved-In-Depth'!$B859+7,""))</f>
        <v/>
      </c>
      <c r="C859" t="str">
        <f>IF($A859&lt;&gt;"",'Approved-In-Depth'!C859,"")</f>
        <v/>
      </c>
      <c r="D859" t="str">
        <f>IF($A859&lt;&gt;"",'Approved-In-Depth'!D859,"")</f>
        <v/>
      </c>
      <c r="E859" t="str">
        <f>IF($A859&lt;&gt;"",'Approved-In-Depth'!E859,"")</f>
        <v/>
      </c>
      <c r="F859" t="str">
        <f>IF($A859&lt;&gt;"",'Approved-In-Depth'!F859,"")</f>
        <v/>
      </c>
      <c r="G859" t="str">
        <f>IF($A859&lt;&gt;"",'Approved-In-Depth'!G859,"")</f>
        <v/>
      </c>
      <c r="H859" s="4" t="str">
        <f>IF($A859&lt;&gt;"",'Approved-In-Depth'!H859,"")</f>
        <v/>
      </c>
      <c r="I859" t="str">
        <f>IF($A859&lt;&gt;"",'Approved-In-Depth'!I859,"")</f>
        <v/>
      </c>
      <c r="J859" t="str">
        <f>IF($A859&lt;&gt;"",'Approved-In-Depth'!J859,"")</f>
        <v/>
      </c>
      <c r="K859" t="str">
        <f>IF($A859&lt;&gt;"",'Approved-In-Depth'!K859,"")</f>
        <v/>
      </c>
      <c r="L859" s="4" t="str">
        <f>IF($A859&lt;&gt;"",'Approved-In-Depth'!L859,"")</f>
        <v/>
      </c>
      <c r="M859" t="str">
        <f>IF($A859&lt;&gt;"",'Approved-In-Depth'!M859,"")</f>
        <v/>
      </c>
    </row>
    <row r="860" spans="1:13" x14ac:dyDescent="0.35">
      <c r="A860" s="4" t="str">
        <f>IF('Approved-In-Depth'!$A860&lt;&gt;"",'Approved-In-Depth'!A860,"")</f>
        <v/>
      </c>
      <c r="B860" t="str">
        <f>IF($O860&lt;&gt;"",$O860,IF($A860&lt;&gt;"",'Approved-In-Depth'!$B860+7,""))</f>
        <v/>
      </c>
      <c r="C860" t="str">
        <f>IF($A860&lt;&gt;"",'Approved-In-Depth'!C860,"")</f>
        <v/>
      </c>
      <c r="D860" t="str">
        <f>IF($A860&lt;&gt;"",'Approved-In-Depth'!D860,"")</f>
        <v/>
      </c>
      <c r="E860" t="str">
        <f>IF($A860&lt;&gt;"",'Approved-In-Depth'!E860,"")</f>
        <v/>
      </c>
      <c r="F860" t="str">
        <f>IF($A860&lt;&gt;"",'Approved-In-Depth'!F860,"")</f>
        <v/>
      </c>
      <c r="G860" t="str">
        <f>IF($A860&lt;&gt;"",'Approved-In-Depth'!G860,"")</f>
        <v/>
      </c>
      <c r="H860" s="4" t="str">
        <f>IF($A860&lt;&gt;"",'Approved-In-Depth'!H860,"")</f>
        <v/>
      </c>
      <c r="I860" t="str">
        <f>IF($A860&lt;&gt;"",'Approved-In-Depth'!I860,"")</f>
        <v/>
      </c>
      <c r="J860" t="str">
        <f>IF($A860&lt;&gt;"",'Approved-In-Depth'!J860,"")</f>
        <v/>
      </c>
      <c r="K860" t="str">
        <f>IF($A860&lt;&gt;"",'Approved-In-Depth'!K860,"")</f>
        <v/>
      </c>
      <c r="L860" s="4" t="str">
        <f>IF($A860&lt;&gt;"",'Approved-In-Depth'!L860,"")</f>
        <v/>
      </c>
      <c r="M860" t="str">
        <f>IF($A860&lt;&gt;"",'Approved-In-Depth'!M860,"")</f>
        <v/>
      </c>
    </row>
    <row r="861" spans="1:13" x14ac:dyDescent="0.35">
      <c r="A861" s="4" t="str">
        <f>IF('Approved-In-Depth'!$A861&lt;&gt;"",'Approved-In-Depth'!A861,"")</f>
        <v/>
      </c>
      <c r="B861" t="str">
        <f>IF($O861&lt;&gt;"",$O861,IF($A861&lt;&gt;"",'Approved-In-Depth'!$B861+7,""))</f>
        <v/>
      </c>
      <c r="C861" t="str">
        <f>IF($A861&lt;&gt;"",'Approved-In-Depth'!C861,"")</f>
        <v/>
      </c>
      <c r="D861" t="str">
        <f>IF($A861&lt;&gt;"",'Approved-In-Depth'!D861,"")</f>
        <v/>
      </c>
      <c r="E861" t="str">
        <f>IF($A861&lt;&gt;"",'Approved-In-Depth'!E861,"")</f>
        <v/>
      </c>
      <c r="F861" t="str">
        <f>IF($A861&lt;&gt;"",'Approved-In-Depth'!F861,"")</f>
        <v/>
      </c>
      <c r="G861" t="str">
        <f>IF($A861&lt;&gt;"",'Approved-In-Depth'!G861,"")</f>
        <v/>
      </c>
      <c r="H861" s="4" t="str">
        <f>IF($A861&lt;&gt;"",'Approved-In-Depth'!H861,"")</f>
        <v/>
      </c>
      <c r="I861" t="str">
        <f>IF($A861&lt;&gt;"",'Approved-In-Depth'!I861,"")</f>
        <v/>
      </c>
      <c r="J861" t="str">
        <f>IF($A861&lt;&gt;"",'Approved-In-Depth'!J861,"")</f>
        <v/>
      </c>
      <c r="K861" t="str">
        <f>IF($A861&lt;&gt;"",'Approved-In-Depth'!K861,"")</f>
        <v/>
      </c>
      <c r="L861" s="4" t="str">
        <f>IF($A861&lt;&gt;"",'Approved-In-Depth'!L861,"")</f>
        <v/>
      </c>
      <c r="M861" t="str">
        <f>IF($A861&lt;&gt;"",'Approved-In-Depth'!M861,"")</f>
        <v/>
      </c>
    </row>
    <row r="862" spans="1:13" x14ac:dyDescent="0.35">
      <c r="A862" s="4" t="str">
        <f>IF('Approved-In-Depth'!$A862&lt;&gt;"",'Approved-In-Depth'!A862,"")</f>
        <v/>
      </c>
      <c r="B862" t="str">
        <f>IF($O862&lt;&gt;"",$O862,IF($A862&lt;&gt;"",'Approved-In-Depth'!$B862+7,""))</f>
        <v/>
      </c>
      <c r="C862" t="str">
        <f>IF($A862&lt;&gt;"",'Approved-In-Depth'!C862,"")</f>
        <v/>
      </c>
      <c r="D862" t="str">
        <f>IF($A862&lt;&gt;"",'Approved-In-Depth'!D862,"")</f>
        <v/>
      </c>
      <c r="E862" t="str">
        <f>IF($A862&lt;&gt;"",'Approved-In-Depth'!E862,"")</f>
        <v/>
      </c>
      <c r="F862" t="str">
        <f>IF($A862&lt;&gt;"",'Approved-In-Depth'!F862,"")</f>
        <v/>
      </c>
      <c r="G862" t="str">
        <f>IF($A862&lt;&gt;"",'Approved-In-Depth'!G862,"")</f>
        <v/>
      </c>
      <c r="H862" s="4" t="str">
        <f>IF($A862&lt;&gt;"",'Approved-In-Depth'!H862,"")</f>
        <v/>
      </c>
      <c r="I862" t="str">
        <f>IF($A862&lt;&gt;"",'Approved-In-Depth'!I862,"")</f>
        <v/>
      </c>
      <c r="J862" t="str">
        <f>IF($A862&lt;&gt;"",'Approved-In-Depth'!J862,"")</f>
        <v/>
      </c>
      <c r="K862" t="str">
        <f>IF($A862&lt;&gt;"",'Approved-In-Depth'!K862,"")</f>
        <v/>
      </c>
      <c r="L862" s="4" t="str">
        <f>IF($A862&lt;&gt;"",'Approved-In-Depth'!L862,"")</f>
        <v/>
      </c>
      <c r="M862" t="str">
        <f>IF($A862&lt;&gt;"",'Approved-In-Depth'!M862,"")</f>
        <v/>
      </c>
    </row>
    <row r="863" spans="1:13" x14ac:dyDescent="0.35">
      <c r="A863" s="4" t="str">
        <f>IF('Approved-In-Depth'!$A863&lt;&gt;"",'Approved-In-Depth'!A863,"")</f>
        <v/>
      </c>
      <c r="B863" t="str">
        <f>IF($O863&lt;&gt;"",$O863,IF($A863&lt;&gt;"",'Approved-In-Depth'!$B863+7,""))</f>
        <v/>
      </c>
      <c r="C863" t="str">
        <f>IF($A863&lt;&gt;"",'Approved-In-Depth'!C863,"")</f>
        <v/>
      </c>
      <c r="D863" t="str">
        <f>IF($A863&lt;&gt;"",'Approved-In-Depth'!D863,"")</f>
        <v/>
      </c>
      <c r="E863" t="str">
        <f>IF($A863&lt;&gt;"",'Approved-In-Depth'!E863,"")</f>
        <v/>
      </c>
      <c r="F863" t="str">
        <f>IF($A863&lt;&gt;"",'Approved-In-Depth'!F863,"")</f>
        <v/>
      </c>
      <c r="G863" t="str">
        <f>IF($A863&lt;&gt;"",'Approved-In-Depth'!G863,"")</f>
        <v/>
      </c>
      <c r="H863" s="4" t="str">
        <f>IF($A863&lt;&gt;"",'Approved-In-Depth'!H863,"")</f>
        <v/>
      </c>
      <c r="I863" t="str">
        <f>IF($A863&lt;&gt;"",'Approved-In-Depth'!I863,"")</f>
        <v/>
      </c>
      <c r="J863" t="str">
        <f>IF($A863&lt;&gt;"",'Approved-In-Depth'!J863,"")</f>
        <v/>
      </c>
      <c r="K863" t="str">
        <f>IF($A863&lt;&gt;"",'Approved-In-Depth'!K863,"")</f>
        <v/>
      </c>
      <c r="L863" s="4" t="str">
        <f>IF($A863&lt;&gt;"",'Approved-In-Depth'!L863,"")</f>
        <v/>
      </c>
      <c r="M863" t="str">
        <f>IF($A863&lt;&gt;"",'Approved-In-Depth'!M863,"")</f>
        <v/>
      </c>
    </row>
    <row r="864" spans="1:13" x14ac:dyDescent="0.35">
      <c r="A864" s="4" t="str">
        <f>IF('Approved-In-Depth'!$A864&lt;&gt;"",'Approved-In-Depth'!A864,"")</f>
        <v/>
      </c>
      <c r="B864" t="str">
        <f>IF($O864&lt;&gt;"",$O864,IF($A864&lt;&gt;"",'Approved-In-Depth'!$B864+7,""))</f>
        <v/>
      </c>
      <c r="C864" t="str">
        <f>IF($A864&lt;&gt;"",'Approved-In-Depth'!C864,"")</f>
        <v/>
      </c>
      <c r="D864" t="str">
        <f>IF($A864&lt;&gt;"",'Approved-In-Depth'!D864,"")</f>
        <v/>
      </c>
      <c r="E864" t="str">
        <f>IF($A864&lt;&gt;"",'Approved-In-Depth'!E864,"")</f>
        <v/>
      </c>
      <c r="F864" t="str">
        <f>IF($A864&lt;&gt;"",'Approved-In-Depth'!F864,"")</f>
        <v/>
      </c>
      <c r="G864" t="str">
        <f>IF($A864&lt;&gt;"",'Approved-In-Depth'!G864,"")</f>
        <v/>
      </c>
      <c r="H864" s="4" t="str">
        <f>IF($A864&lt;&gt;"",'Approved-In-Depth'!H864,"")</f>
        <v/>
      </c>
      <c r="I864" t="str">
        <f>IF($A864&lt;&gt;"",'Approved-In-Depth'!I864,"")</f>
        <v/>
      </c>
      <c r="J864" t="str">
        <f>IF($A864&lt;&gt;"",'Approved-In-Depth'!J864,"")</f>
        <v/>
      </c>
      <c r="K864" t="str">
        <f>IF($A864&lt;&gt;"",'Approved-In-Depth'!K864,"")</f>
        <v/>
      </c>
      <c r="L864" s="4" t="str">
        <f>IF($A864&lt;&gt;"",'Approved-In-Depth'!L864,"")</f>
        <v/>
      </c>
      <c r="M864" t="str">
        <f>IF($A864&lt;&gt;"",'Approved-In-Depth'!M864,"")</f>
        <v/>
      </c>
    </row>
    <row r="865" spans="1:13" x14ac:dyDescent="0.35">
      <c r="A865" s="4" t="str">
        <f>IF('Approved-In-Depth'!$A865&lt;&gt;"",'Approved-In-Depth'!A865,"")</f>
        <v/>
      </c>
      <c r="B865" t="str">
        <f>IF($O865&lt;&gt;"",$O865,IF($A865&lt;&gt;"",'Approved-In-Depth'!$B865+7,""))</f>
        <v/>
      </c>
      <c r="C865" t="str">
        <f>IF($A865&lt;&gt;"",'Approved-In-Depth'!C865,"")</f>
        <v/>
      </c>
      <c r="D865" t="str">
        <f>IF($A865&lt;&gt;"",'Approved-In-Depth'!D865,"")</f>
        <v/>
      </c>
      <c r="E865" t="str">
        <f>IF($A865&lt;&gt;"",'Approved-In-Depth'!E865,"")</f>
        <v/>
      </c>
      <c r="F865" t="str">
        <f>IF($A865&lt;&gt;"",'Approved-In-Depth'!F865,"")</f>
        <v/>
      </c>
      <c r="G865" t="str">
        <f>IF($A865&lt;&gt;"",'Approved-In-Depth'!G865,"")</f>
        <v/>
      </c>
      <c r="H865" s="4" t="str">
        <f>IF($A865&lt;&gt;"",'Approved-In-Depth'!H865,"")</f>
        <v/>
      </c>
      <c r="I865" t="str">
        <f>IF($A865&lt;&gt;"",'Approved-In-Depth'!I865,"")</f>
        <v/>
      </c>
      <c r="J865" t="str">
        <f>IF($A865&lt;&gt;"",'Approved-In-Depth'!J865,"")</f>
        <v/>
      </c>
      <c r="K865" t="str">
        <f>IF($A865&lt;&gt;"",'Approved-In-Depth'!K865,"")</f>
        <v/>
      </c>
      <c r="L865" s="4" t="str">
        <f>IF($A865&lt;&gt;"",'Approved-In-Depth'!L865,"")</f>
        <v/>
      </c>
      <c r="M865" t="str">
        <f>IF($A865&lt;&gt;"",'Approved-In-Depth'!M865,"")</f>
        <v/>
      </c>
    </row>
    <row r="866" spans="1:13" x14ac:dyDescent="0.35">
      <c r="A866" s="4" t="str">
        <f>IF('Approved-In-Depth'!$A866&lt;&gt;"",'Approved-In-Depth'!A866,"")</f>
        <v/>
      </c>
      <c r="B866" t="str">
        <f>IF($O866&lt;&gt;"",$O866,IF($A866&lt;&gt;"",'Approved-In-Depth'!$B866+7,""))</f>
        <v/>
      </c>
      <c r="C866" t="str">
        <f>IF($A866&lt;&gt;"",'Approved-In-Depth'!C866,"")</f>
        <v/>
      </c>
      <c r="D866" t="str">
        <f>IF($A866&lt;&gt;"",'Approved-In-Depth'!D866,"")</f>
        <v/>
      </c>
      <c r="E866" t="str">
        <f>IF($A866&lt;&gt;"",'Approved-In-Depth'!E866,"")</f>
        <v/>
      </c>
      <c r="F866" t="str">
        <f>IF($A866&lt;&gt;"",'Approved-In-Depth'!F866,"")</f>
        <v/>
      </c>
      <c r="G866" t="str">
        <f>IF($A866&lt;&gt;"",'Approved-In-Depth'!G866,"")</f>
        <v/>
      </c>
      <c r="H866" s="4" t="str">
        <f>IF($A866&lt;&gt;"",'Approved-In-Depth'!H866,"")</f>
        <v/>
      </c>
      <c r="I866" t="str">
        <f>IF($A866&lt;&gt;"",'Approved-In-Depth'!I866,"")</f>
        <v/>
      </c>
      <c r="J866" t="str">
        <f>IF($A866&lt;&gt;"",'Approved-In-Depth'!J866,"")</f>
        <v/>
      </c>
      <c r="K866" t="str">
        <f>IF($A866&lt;&gt;"",'Approved-In-Depth'!K866,"")</f>
        <v/>
      </c>
      <c r="L866" s="4" t="str">
        <f>IF($A866&lt;&gt;"",'Approved-In-Depth'!L866,"")</f>
        <v/>
      </c>
      <c r="M866" t="str">
        <f>IF($A866&lt;&gt;"",'Approved-In-Depth'!M866,"")</f>
        <v/>
      </c>
    </row>
    <row r="867" spans="1:13" x14ac:dyDescent="0.35">
      <c r="A867" s="4" t="str">
        <f>IF('Approved-In-Depth'!$A867&lt;&gt;"",'Approved-In-Depth'!A867,"")</f>
        <v/>
      </c>
      <c r="B867" t="str">
        <f>IF($O867&lt;&gt;"",$O867,IF($A867&lt;&gt;"",'Approved-In-Depth'!$B867+7,""))</f>
        <v/>
      </c>
      <c r="C867" t="str">
        <f>IF($A867&lt;&gt;"",'Approved-In-Depth'!C867,"")</f>
        <v/>
      </c>
      <c r="D867" t="str">
        <f>IF($A867&lt;&gt;"",'Approved-In-Depth'!D867,"")</f>
        <v/>
      </c>
      <c r="E867" t="str">
        <f>IF($A867&lt;&gt;"",'Approved-In-Depth'!E867,"")</f>
        <v/>
      </c>
      <c r="F867" t="str">
        <f>IF($A867&lt;&gt;"",'Approved-In-Depth'!F867,"")</f>
        <v/>
      </c>
      <c r="G867" t="str">
        <f>IF($A867&lt;&gt;"",'Approved-In-Depth'!G867,"")</f>
        <v/>
      </c>
      <c r="H867" s="4" t="str">
        <f>IF($A867&lt;&gt;"",'Approved-In-Depth'!H867,"")</f>
        <v/>
      </c>
      <c r="I867" t="str">
        <f>IF($A867&lt;&gt;"",'Approved-In-Depth'!I867,"")</f>
        <v/>
      </c>
      <c r="J867" t="str">
        <f>IF($A867&lt;&gt;"",'Approved-In-Depth'!J867,"")</f>
        <v/>
      </c>
      <c r="K867" t="str">
        <f>IF($A867&lt;&gt;"",'Approved-In-Depth'!K867,"")</f>
        <v/>
      </c>
      <c r="L867" s="4" t="str">
        <f>IF($A867&lt;&gt;"",'Approved-In-Depth'!L867,"")</f>
        <v/>
      </c>
      <c r="M867" t="str">
        <f>IF($A867&lt;&gt;"",'Approved-In-Depth'!M867,"")</f>
        <v/>
      </c>
    </row>
    <row r="868" spans="1:13" x14ac:dyDescent="0.35">
      <c r="A868" s="4" t="str">
        <f>IF('Approved-In-Depth'!$A868&lt;&gt;"",'Approved-In-Depth'!A868,"")</f>
        <v/>
      </c>
      <c r="B868" t="str">
        <f>IF($O868&lt;&gt;"",$O868,IF($A868&lt;&gt;"",'Approved-In-Depth'!$B868+7,""))</f>
        <v/>
      </c>
      <c r="C868" t="str">
        <f>IF($A868&lt;&gt;"",'Approved-In-Depth'!C868,"")</f>
        <v/>
      </c>
      <c r="D868" t="str">
        <f>IF($A868&lt;&gt;"",'Approved-In-Depth'!D868,"")</f>
        <v/>
      </c>
      <c r="E868" t="str">
        <f>IF($A868&lt;&gt;"",'Approved-In-Depth'!E868,"")</f>
        <v/>
      </c>
      <c r="F868" t="str">
        <f>IF($A868&lt;&gt;"",'Approved-In-Depth'!F868,"")</f>
        <v/>
      </c>
      <c r="G868" t="str">
        <f>IF($A868&lt;&gt;"",'Approved-In-Depth'!G868,"")</f>
        <v/>
      </c>
      <c r="H868" s="4" t="str">
        <f>IF($A868&lt;&gt;"",'Approved-In-Depth'!H868,"")</f>
        <v/>
      </c>
      <c r="I868" t="str">
        <f>IF($A868&lt;&gt;"",'Approved-In-Depth'!I868,"")</f>
        <v/>
      </c>
      <c r="J868" t="str">
        <f>IF($A868&lt;&gt;"",'Approved-In-Depth'!J868,"")</f>
        <v/>
      </c>
      <c r="K868" t="str">
        <f>IF($A868&lt;&gt;"",'Approved-In-Depth'!K868,"")</f>
        <v/>
      </c>
      <c r="L868" s="4" t="str">
        <f>IF($A868&lt;&gt;"",'Approved-In-Depth'!L868,"")</f>
        <v/>
      </c>
      <c r="M868" t="str">
        <f>IF($A868&lt;&gt;"",'Approved-In-Depth'!M868,"")</f>
        <v/>
      </c>
    </row>
    <row r="869" spans="1:13" x14ac:dyDescent="0.35">
      <c r="A869" s="4" t="str">
        <f>IF('Approved-In-Depth'!$A869&lt;&gt;"",'Approved-In-Depth'!A869,"")</f>
        <v/>
      </c>
      <c r="B869" t="str">
        <f>IF($O869&lt;&gt;"",$O869,IF($A869&lt;&gt;"",'Approved-In-Depth'!$B869+7,""))</f>
        <v/>
      </c>
      <c r="C869" t="str">
        <f>IF($A869&lt;&gt;"",'Approved-In-Depth'!C869,"")</f>
        <v/>
      </c>
      <c r="D869" t="str">
        <f>IF($A869&lt;&gt;"",'Approved-In-Depth'!D869,"")</f>
        <v/>
      </c>
      <c r="E869" t="str">
        <f>IF($A869&lt;&gt;"",'Approved-In-Depth'!E869,"")</f>
        <v/>
      </c>
      <c r="F869" t="str">
        <f>IF($A869&lt;&gt;"",'Approved-In-Depth'!F869,"")</f>
        <v/>
      </c>
      <c r="G869" t="str">
        <f>IF($A869&lt;&gt;"",'Approved-In-Depth'!G869,"")</f>
        <v/>
      </c>
      <c r="H869" s="4" t="str">
        <f>IF($A869&lt;&gt;"",'Approved-In-Depth'!H869,"")</f>
        <v/>
      </c>
      <c r="I869" t="str">
        <f>IF($A869&lt;&gt;"",'Approved-In-Depth'!I869,"")</f>
        <v/>
      </c>
      <c r="J869" t="str">
        <f>IF($A869&lt;&gt;"",'Approved-In-Depth'!J869,"")</f>
        <v/>
      </c>
      <c r="K869" t="str">
        <f>IF($A869&lt;&gt;"",'Approved-In-Depth'!K869,"")</f>
        <v/>
      </c>
      <c r="L869" s="4" t="str">
        <f>IF($A869&lt;&gt;"",'Approved-In-Depth'!L869,"")</f>
        <v/>
      </c>
      <c r="M869" t="str">
        <f>IF($A869&lt;&gt;"",'Approved-In-Depth'!M869,"")</f>
        <v/>
      </c>
    </row>
    <row r="870" spans="1:13" x14ac:dyDescent="0.35">
      <c r="A870" s="4" t="str">
        <f>IF('Approved-In-Depth'!$A870&lt;&gt;"",'Approved-In-Depth'!A870,"")</f>
        <v/>
      </c>
      <c r="B870" t="str">
        <f>IF($O870&lt;&gt;"",$O870,IF($A870&lt;&gt;"",'Approved-In-Depth'!$B870+7,""))</f>
        <v/>
      </c>
      <c r="C870" t="str">
        <f>IF($A870&lt;&gt;"",'Approved-In-Depth'!C870,"")</f>
        <v/>
      </c>
      <c r="D870" t="str">
        <f>IF($A870&lt;&gt;"",'Approved-In-Depth'!D870,"")</f>
        <v/>
      </c>
      <c r="E870" t="str">
        <f>IF($A870&lt;&gt;"",'Approved-In-Depth'!E870,"")</f>
        <v/>
      </c>
      <c r="F870" t="str">
        <f>IF($A870&lt;&gt;"",'Approved-In-Depth'!F870,"")</f>
        <v/>
      </c>
      <c r="G870" t="str">
        <f>IF($A870&lt;&gt;"",'Approved-In-Depth'!G870,"")</f>
        <v/>
      </c>
      <c r="H870" s="4" t="str">
        <f>IF($A870&lt;&gt;"",'Approved-In-Depth'!H870,"")</f>
        <v/>
      </c>
      <c r="I870" t="str">
        <f>IF($A870&lt;&gt;"",'Approved-In-Depth'!I870,"")</f>
        <v/>
      </c>
      <c r="J870" t="str">
        <f>IF($A870&lt;&gt;"",'Approved-In-Depth'!J870,"")</f>
        <v/>
      </c>
      <c r="K870" t="str">
        <f>IF($A870&lt;&gt;"",'Approved-In-Depth'!K870,"")</f>
        <v/>
      </c>
      <c r="L870" s="4" t="str">
        <f>IF($A870&lt;&gt;"",'Approved-In-Depth'!L870,"")</f>
        <v/>
      </c>
      <c r="M870" t="str">
        <f>IF($A870&lt;&gt;"",'Approved-In-Depth'!M870,"")</f>
        <v/>
      </c>
    </row>
    <row r="871" spans="1:13" x14ac:dyDescent="0.35">
      <c r="A871" s="4" t="str">
        <f>IF('Approved-In-Depth'!$A871&lt;&gt;"",'Approved-In-Depth'!A871,"")</f>
        <v/>
      </c>
      <c r="B871" t="str">
        <f>IF($O871&lt;&gt;"",$O871,IF($A871&lt;&gt;"",'Approved-In-Depth'!$B871+7,""))</f>
        <v/>
      </c>
      <c r="C871" t="str">
        <f>IF($A871&lt;&gt;"",'Approved-In-Depth'!C871,"")</f>
        <v/>
      </c>
      <c r="D871" t="str">
        <f>IF($A871&lt;&gt;"",'Approved-In-Depth'!D871,"")</f>
        <v/>
      </c>
      <c r="E871" t="str">
        <f>IF($A871&lt;&gt;"",'Approved-In-Depth'!E871,"")</f>
        <v/>
      </c>
      <c r="F871" t="str">
        <f>IF($A871&lt;&gt;"",'Approved-In-Depth'!F871,"")</f>
        <v/>
      </c>
      <c r="G871" t="str">
        <f>IF($A871&lt;&gt;"",'Approved-In-Depth'!G871,"")</f>
        <v/>
      </c>
      <c r="H871" s="4" t="str">
        <f>IF($A871&lt;&gt;"",'Approved-In-Depth'!H871,"")</f>
        <v/>
      </c>
      <c r="I871" t="str">
        <f>IF($A871&lt;&gt;"",'Approved-In-Depth'!I871,"")</f>
        <v/>
      </c>
      <c r="J871" t="str">
        <f>IF($A871&lt;&gt;"",'Approved-In-Depth'!J871,"")</f>
        <v/>
      </c>
      <c r="K871" t="str">
        <f>IF($A871&lt;&gt;"",'Approved-In-Depth'!K871,"")</f>
        <v/>
      </c>
      <c r="L871" s="4" t="str">
        <f>IF($A871&lt;&gt;"",'Approved-In-Depth'!L871,"")</f>
        <v/>
      </c>
      <c r="M871" t="str">
        <f>IF($A871&lt;&gt;"",'Approved-In-Depth'!M871,"")</f>
        <v/>
      </c>
    </row>
    <row r="872" spans="1:13" x14ac:dyDescent="0.35">
      <c r="A872" s="4" t="str">
        <f>IF('Approved-In-Depth'!$A872&lt;&gt;"",'Approved-In-Depth'!A872,"")</f>
        <v/>
      </c>
      <c r="B872" t="str">
        <f>IF($O872&lt;&gt;"",$O872,IF($A872&lt;&gt;"",'Approved-In-Depth'!$B872+7,""))</f>
        <v/>
      </c>
      <c r="C872" t="str">
        <f>IF($A872&lt;&gt;"",'Approved-In-Depth'!C872,"")</f>
        <v/>
      </c>
      <c r="D872" t="str">
        <f>IF($A872&lt;&gt;"",'Approved-In-Depth'!D872,"")</f>
        <v/>
      </c>
      <c r="E872" t="str">
        <f>IF($A872&lt;&gt;"",'Approved-In-Depth'!E872,"")</f>
        <v/>
      </c>
      <c r="F872" t="str">
        <f>IF($A872&lt;&gt;"",'Approved-In-Depth'!F872,"")</f>
        <v/>
      </c>
      <c r="G872" t="str">
        <f>IF($A872&lt;&gt;"",'Approved-In-Depth'!G872,"")</f>
        <v/>
      </c>
      <c r="H872" s="4" t="str">
        <f>IF($A872&lt;&gt;"",'Approved-In-Depth'!H872,"")</f>
        <v/>
      </c>
      <c r="I872" t="str">
        <f>IF($A872&lt;&gt;"",'Approved-In-Depth'!I872,"")</f>
        <v/>
      </c>
      <c r="J872" t="str">
        <f>IF($A872&lt;&gt;"",'Approved-In-Depth'!J872,"")</f>
        <v/>
      </c>
      <c r="K872" t="str">
        <f>IF($A872&lt;&gt;"",'Approved-In-Depth'!K872,"")</f>
        <v/>
      </c>
      <c r="L872" s="4" t="str">
        <f>IF($A872&lt;&gt;"",'Approved-In-Depth'!L872,"")</f>
        <v/>
      </c>
      <c r="M872" t="str">
        <f>IF($A872&lt;&gt;"",'Approved-In-Depth'!M872,"")</f>
        <v/>
      </c>
    </row>
    <row r="873" spans="1:13" x14ac:dyDescent="0.35">
      <c r="A873" s="4" t="str">
        <f>IF('Approved-In-Depth'!$A873&lt;&gt;"",'Approved-In-Depth'!A873,"")</f>
        <v/>
      </c>
      <c r="B873" t="str">
        <f>IF($O873&lt;&gt;"",$O873,IF($A873&lt;&gt;"",'Approved-In-Depth'!$B873+7,""))</f>
        <v/>
      </c>
      <c r="C873" t="str">
        <f>IF($A873&lt;&gt;"",'Approved-In-Depth'!C873,"")</f>
        <v/>
      </c>
      <c r="D873" t="str">
        <f>IF($A873&lt;&gt;"",'Approved-In-Depth'!D873,"")</f>
        <v/>
      </c>
      <c r="E873" t="str">
        <f>IF($A873&lt;&gt;"",'Approved-In-Depth'!E873,"")</f>
        <v/>
      </c>
      <c r="F873" t="str">
        <f>IF($A873&lt;&gt;"",'Approved-In-Depth'!F873,"")</f>
        <v/>
      </c>
      <c r="G873" t="str">
        <f>IF($A873&lt;&gt;"",'Approved-In-Depth'!G873,"")</f>
        <v/>
      </c>
      <c r="H873" s="4" t="str">
        <f>IF($A873&lt;&gt;"",'Approved-In-Depth'!H873,"")</f>
        <v/>
      </c>
      <c r="I873" t="str">
        <f>IF($A873&lt;&gt;"",'Approved-In-Depth'!I873,"")</f>
        <v/>
      </c>
      <c r="J873" t="str">
        <f>IF($A873&lt;&gt;"",'Approved-In-Depth'!J873,"")</f>
        <v/>
      </c>
      <c r="K873" t="str">
        <f>IF($A873&lt;&gt;"",'Approved-In-Depth'!K873,"")</f>
        <v/>
      </c>
      <c r="L873" s="4" t="str">
        <f>IF($A873&lt;&gt;"",'Approved-In-Depth'!L873,"")</f>
        <v/>
      </c>
      <c r="M873" t="str">
        <f>IF($A873&lt;&gt;"",'Approved-In-Depth'!M873,"")</f>
        <v/>
      </c>
    </row>
    <row r="874" spans="1:13" x14ac:dyDescent="0.35">
      <c r="A874" s="4" t="str">
        <f>IF('Approved-In-Depth'!$A874&lt;&gt;"",'Approved-In-Depth'!A874,"")</f>
        <v/>
      </c>
      <c r="B874" t="str">
        <f>IF($O874&lt;&gt;"",$O874,IF($A874&lt;&gt;"",'Approved-In-Depth'!$B874+7,""))</f>
        <v/>
      </c>
      <c r="C874" t="str">
        <f>IF($A874&lt;&gt;"",'Approved-In-Depth'!C874,"")</f>
        <v/>
      </c>
      <c r="D874" t="str">
        <f>IF($A874&lt;&gt;"",'Approved-In-Depth'!D874,"")</f>
        <v/>
      </c>
      <c r="E874" t="str">
        <f>IF($A874&lt;&gt;"",'Approved-In-Depth'!E874,"")</f>
        <v/>
      </c>
      <c r="F874" t="str">
        <f>IF($A874&lt;&gt;"",'Approved-In-Depth'!F874,"")</f>
        <v/>
      </c>
      <c r="G874" t="str">
        <f>IF($A874&lt;&gt;"",'Approved-In-Depth'!G874,"")</f>
        <v/>
      </c>
      <c r="H874" s="4" t="str">
        <f>IF($A874&lt;&gt;"",'Approved-In-Depth'!H874,"")</f>
        <v/>
      </c>
      <c r="I874" t="str">
        <f>IF($A874&lt;&gt;"",'Approved-In-Depth'!I874,"")</f>
        <v/>
      </c>
      <c r="J874" t="str">
        <f>IF($A874&lt;&gt;"",'Approved-In-Depth'!J874,"")</f>
        <v/>
      </c>
      <c r="K874" t="str">
        <f>IF($A874&lt;&gt;"",'Approved-In-Depth'!K874,"")</f>
        <v/>
      </c>
      <c r="L874" s="4" t="str">
        <f>IF($A874&lt;&gt;"",'Approved-In-Depth'!L874,"")</f>
        <v/>
      </c>
      <c r="M874" t="str">
        <f>IF($A874&lt;&gt;"",'Approved-In-Depth'!M874,"")</f>
        <v/>
      </c>
    </row>
    <row r="875" spans="1:13" x14ac:dyDescent="0.35">
      <c r="A875" s="4" t="str">
        <f>IF('Approved-In-Depth'!$A875&lt;&gt;"",'Approved-In-Depth'!A875,"")</f>
        <v/>
      </c>
      <c r="B875" t="str">
        <f>IF($O875&lt;&gt;"",$O875,IF($A875&lt;&gt;"",'Approved-In-Depth'!$B875+7,""))</f>
        <v/>
      </c>
      <c r="C875" t="str">
        <f>IF($A875&lt;&gt;"",'Approved-In-Depth'!C875,"")</f>
        <v/>
      </c>
      <c r="D875" t="str">
        <f>IF($A875&lt;&gt;"",'Approved-In-Depth'!D875,"")</f>
        <v/>
      </c>
      <c r="E875" t="str">
        <f>IF($A875&lt;&gt;"",'Approved-In-Depth'!E875,"")</f>
        <v/>
      </c>
      <c r="F875" t="str">
        <f>IF($A875&lt;&gt;"",'Approved-In-Depth'!F875,"")</f>
        <v/>
      </c>
      <c r="G875" t="str">
        <f>IF($A875&lt;&gt;"",'Approved-In-Depth'!G875,"")</f>
        <v/>
      </c>
      <c r="H875" s="4" t="str">
        <f>IF($A875&lt;&gt;"",'Approved-In-Depth'!H875,"")</f>
        <v/>
      </c>
      <c r="I875" t="str">
        <f>IF($A875&lt;&gt;"",'Approved-In-Depth'!I875,"")</f>
        <v/>
      </c>
      <c r="J875" t="str">
        <f>IF($A875&lt;&gt;"",'Approved-In-Depth'!J875,"")</f>
        <v/>
      </c>
      <c r="K875" t="str">
        <f>IF($A875&lt;&gt;"",'Approved-In-Depth'!K875,"")</f>
        <v/>
      </c>
      <c r="L875" s="4" t="str">
        <f>IF($A875&lt;&gt;"",'Approved-In-Depth'!L875,"")</f>
        <v/>
      </c>
      <c r="M875" t="str">
        <f>IF($A875&lt;&gt;"",'Approved-In-Depth'!M875,"")</f>
        <v/>
      </c>
    </row>
    <row r="876" spans="1:13" x14ac:dyDescent="0.35">
      <c r="A876" s="4" t="str">
        <f>IF('Approved-In-Depth'!$A876&lt;&gt;"",'Approved-In-Depth'!A876,"")</f>
        <v/>
      </c>
      <c r="B876" t="str">
        <f>IF($O876&lt;&gt;"",$O876,IF($A876&lt;&gt;"",'Approved-In-Depth'!$B876+7,""))</f>
        <v/>
      </c>
      <c r="C876" t="str">
        <f>IF($A876&lt;&gt;"",'Approved-In-Depth'!C876,"")</f>
        <v/>
      </c>
      <c r="D876" t="str">
        <f>IF($A876&lt;&gt;"",'Approved-In-Depth'!D876,"")</f>
        <v/>
      </c>
      <c r="E876" t="str">
        <f>IF($A876&lt;&gt;"",'Approved-In-Depth'!E876,"")</f>
        <v/>
      </c>
      <c r="F876" t="str">
        <f>IF($A876&lt;&gt;"",'Approved-In-Depth'!F876,"")</f>
        <v/>
      </c>
      <c r="G876" t="str">
        <f>IF($A876&lt;&gt;"",'Approved-In-Depth'!G876,"")</f>
        <v/>
      </c>
      <c r="H876" s="4" t="str">
        <f>IF($A876&lt;&gt;"",'Approved-In-Depth'!H876,"")</f>
        <v/>
      </c>
      <c r="I876" t="str">
        <f>IF($A876&lt;&gt;"",'Approved-In-Depth'!I876,"")</f>
        <v/>
      </c>
      <c r="J876" t="str">
        <f>IF($A876&lt;&gt;"",'Approved-In-Depth'!J876,"")</f>
        <v/>
      </c>
      <c r="K876" t="str">
        <f>IF($A876&lt;&gt;"",'Approved-In-Depth'!K876,"")</f>
        <v/>
      </c>
      <c r="L876" s="4" t="str">
        <f>IF($A876&lt;&gt;"",'Approved-In-Depth'!L876,"")</f>
        <v/>
      </c>
      <c r="M876" t="str">
        <f>IF($A876&lt;&gt;"",'Approved-In-Depth'!M876,"")</f>
        <v/>
      </c>
    </row>
    <row r="877" spans="1:13" x14ac:dyDescent="0.35">
      <c r="A877" s="4" t="str">
        <f>IF('Approved-In-Depth'!$A877&lt;&gt;"",'Approved-In-Depth'!A877,"")</f>
        <v/>
      </c>
      <c r="B877" t="str">
        <f>IF($O877&lt;&gt;"",$O877,IF($A877&lt;&gt;"",'Approved-In-Depth'!$B877+7,""))</f>
        <v/>
      </c>
      <c r="C877" t="str">
        <f>IF($A877&lt;&gt;"",'Approved-In-Depth'!C877,"")</f>
        <v/>
      </c>
      <c r="D877" t="str">
        <f>IF($A877&lt;&gt;"",'Approved-In-Depth'!D877,"")</f>
        <v/>
      </c>
      <c r="E877" t="str">
        <f>IF($A877&lt;&gt;"",'Approved-In-Depth'!E877,"")</f>
        <v/>
      </c>
      <c r="F877" t="str">
        <f>IF($A877&lt;&gt;"",'Approved-In-Depth'!F877,"")</f>
        <v/>
      </c>
      <c r="G877" t="str">
        <f>IF($A877&lt;&gt;"",'Approved-In-Depth'!G877,"")</f>
        <v/>
      </c>
      <c r="H877" s="4" t="str">
        <f>IF($A877&lt;&gt;"",'Approved-In-Depth'!H877,"")</f>
        <v/>
      </c>
      <c r="I877" t="str">
        <f>IF($A877&lt;&gt;"",'Approved-In-Depth'!I877,"")</f>
        <v/>
      </c>
      <c r="J877" t="str">
        <f>IF($A877&lt;&gt;"",'Approved-In-Depth'!J877,"")</f>
        <v/>
      </c>
      <c r="K877" t="str">
        <f>IF($A877&lt;&gt;"",'Approved-In-Depth'!K877,"")</f>
        <v/>
      </c>
      <c r="L877" s="4" t="str">
        <f>IF($A877&lt;&gt;"",'Approved-In-Depth'!L877,"")</f>
        <v/>
      </c>
      <c r="M877" t="str">
        <f>IF($A877&lt;&gt;"",'Approved-In-Depth'!M877,"")</f>
        <v/>
      </c>
    </row>
    <row r="878" spans="1:13" x14ac:dyDescent="0.35">
      <c r="A878" s="4" t="str">
        <f>IF('Approved-In-Depth'!$A878&lt;&gt;"",'Approved-In-Depth'!A878,"")</f>
        <v/>
      </c>
      <c r="B878" t="str">
        <f>IF($O878&lt;&gt;"",$O878,IF($A878&lt;&gt;"",'Approved-In-Depth'!$B878+7,""))</f>
        <v/>
      </c>
      <c r="C878" t="str">
        <f>IF($A878&lt;&gt;"",'Approved-In-Depth'!C878,"")</f>
        <v/>
      </c>
      <c r="D878" t="str">
        <f>IF($A878&lt;&gt;"",'Approved-In-Depth'!D878,"")</f>
        <v/>
      </c>
      <c r="E878" t="str">
        <f>IF($A878&lt;&gt;"",'Approved-In-Depth'!E878,"")</f>
        <v/>
      </c>
      <c r="F878" t="str">
        <f>IF($A878&lt;&gt;"",'Approved-In-Depth'!F878,"")</f>
        <v/>
      </c>
      <c r="G878" t="str">
        <f>IF($A878&lt;&gt;"",'Approved-In-Depth'!G878,"")</f>
        <v/>
      </c>
      <c r="H878" s="4" t="str">
        <f>IF($A878&lt;&gt;"",'Approved-In-Depth'!H878,"")</f>
        <v/>
      </c>
      <c r="I878" t="str">
        <f>IF($A878&lt;&gt;"",'Approved-In-Depth'!I878,"")</f>
        <v/>
      </c>
      <c r="J878" t="str">
        <f>IF($A878&lt;&gt;"",'Approved-In-Depth'!J878,"")</f>
        <v/>
      </c>
      <c r="K878" t="str">
        <f>IF($A878&lt;&gt;"",'Approved-In-Depth'!K878,"")</f>
        <v/>
      </c>
      <c r="L878" s="4" t="str">
        <f>IF($A878&lt;&gt;"",'Approved-In-Depth'!L878,"")</f>
        <v/>
      </c>
      <c r="M878" t="str">
        <f>IF($A878&lt;&gt;"",'Approved-In-Depth'!M878,"")</f>
        <v/>
      </c>
    </row>
    <row r="879" spans="1:13" x14ac:dyDescent="0.35">
      <c r="A879" s="4" t="str">
        <f>IF('Approved-In-Depth'!$A879&lt;&gt;"",'Approved-In-Depth'!A879,"")</f>
        <v/>
      </c>
      <c r="B879" t="str">
        <f>IF($O879&lt;&gt;"",$O879,IF($A879&lt;&gt;"",'Approved-In-Depth'!$B879+7,""))</f>
        <v/>
      </c>
      <c r="C879" t="str">
        <f>IF($A879&lt;&gt;"",'Approved-In-Depth'!C879,"")</f>
        <v/>
      </c>
      <c r="D879" t="str">
        <f>IF($A879&lt;&gt;"",'Approved-In-Depth'!D879,"")</f>
        <v/>
      </c>
      <c r="E879" t="str">
        <f>IF($A879&lt;&gt;"",'Approved-In-Depth'!E879,"")</f>
        <v/>
      </c>
      <c r="F879" t="str">
        <f>IF($A879&lt;&gt;"",'Approved-In-Depth'!F879,"")</f>
        <v/>
      </c>
      <c r="G879" t="str">
        <f>IF($A879&lt;&gt;"",'Approved-In-Depth'!G879,"")</f>
        <v/>
      </c>
      <c r="H879" s="4" t="str">
        <f>IF($A879&lt;&gt;"",'Approved-In-Depth'!H879,"")</f>
        <v/>
      </c>
      <c r="I879" t="str">
        <f>IF($A879&lt;&gt;"",'Approved-In-Depth'!I879,"")</f>
        <v/>
      </c>
      <c r="J879" t="str">
        <f>IF($A879&lt;&gt;"",'Approved-In-Depth'!J879,"")</f>
        <v/>
      </c>
      <c r="K879" t="str">
        <f>IF($A879&lt;&gt;"",'Approved-In-Depth'!K879,"")</f>
        <v/>
      </c>
      <c r="L879" s="4" t="str">
        <f>IF($A879&lt;&gt;"",'Approved-In-Depth'!L879,"")</f>
        <v/>
      </c>
      <c r="M879" t="str">
        <f>IF($A879&lt;&gt;"",'Approved-In-Depth'!M879,"")</f>
        <v/>
      </c>
    </row>
    <row r="880" spans="1:13" x14ac:dyDescent="0.35">
      <c r="A880" s="4" t="str">
        <f>IF('Approved-In-Depth'!$A880&lt;&gt;"",'Approved-In-Depth'!A880,"")</f>
        <v/>
      </c>
      <c r="B880" t="str">
        <f>IF($O880&lt;&gt;"",$O880,IF($A880&lt;&gt;"",'Approved-In-Depth'!$B880+7,""))</f>
        <v/>
      </c>
      <c r="C880" t="str">
        <f>IF($A880&lt;&gt;"",'Approved-In-Depth'!C880,"")</f>
        <v/>
      </c>
      <c r="D880" t="str">
        <f>IF($A880&lt;&gt;"",'Approved-In-Depth'!D880,"")</f>
        <v/>
      </c>
      <c r="E880" t="str">
        <f>IF($A880&lt;&gt;"",'Approved-In-Depth'!E880,"")</f>
        <v/>
      </c>
      <c r="F880" t="str">
        <f>IF($A880&lt;&gt;"",'Approved-In-Depth'!F880,"")</f>
        <v/>
      </c>
      <c r="G880" t="str">
        <f>IF($A880&lt;&gt;"",'Approved-In-Depth'!G880,"")</f>
        <v/>
      </c>
      <c r="H880" s="4" t="str">
        <f>IF($A880&lt;&gt;"",'Approved-In-Depth'!H880,"")</f>
        <v/>
      </c>
      <c r="I880" t="str">
        <f>IF($A880&lt;&gt;"",'Approved-In-Depth'!I880,"")</f>
        <v/>
      </c>
      <c r="J880" t="str">
        <f>IF($A880&lt;&gt;"",'Approved-In-Depth'!J880,"")</f>
        <v/>
      </c>
      <c r="K880" t="str">
        <f>IF($A880&lt;&gt;"",'Approved-In-Depth'!K880,"")</f>
        <v/>
      </c>
      <c r="L880" s="4" t="str">
        <f>IF($A880&lt;&gt;"",'Approved-In-Depth'!L880,"")</f>
        <v/>
      </c>
      <c r="M880" t="str">
        <f>IF($A880&lt;&gt;"",'Approved-In-Depth'!M880,"")</f>
        <v/>
      </c>
    </row>
    <row r="881" spans="1:13" x14ac:dyDescent="0.35">
      <c r="A881" s="4" t="str">
        <f>IF('Approved-In-Depth'!$A881&lt;&gt;"",'Approved-In-Depth'!A881,"")</f>
        <v/>
      </c>
      <c r="B881" t="str">
        <f>IF($O881&lt;&gt;"",$O881,IF($A881&lt;&gt;"",'Approved-In-Depth'!$B881+7,""))</f>
        <v/>
      </c>
      <c r="C881" t="str">
        <f>IF($A881&lt;&gt;"",'Approved-In-Depth'!C881,"")</f>
        <v/>
      </c>
      <c r="D881" t="str">
        <f>IF($A881&lt;&gt;"",'Approved-In-Depth'!D881,"")</f>
        <v/>
      </c>
      <c r="E881" t="str">
        <f>IF($A881&lt;&gt;"",'Approved-In-Depth'!E881,"")</f>
        <v/>
      </c>
      <c r="F881" t="str">
        <f>IF($A881&lt;&gt;"",'Approved-In-Depth'!F881,"")</f>
        <v/>
      </c>
      <c r="G881" t="str">
        <f>IF($A881&lt;&gt;"",'Approved-In-Depth'!G881,"")</f>
        <v/>
      </c>
      <c r="H881" s="4" t="str">
        <f>IF($A881&lt;&gt;"",'Approved-In-Depth'!H881,"")</f>
        <v/>
      </c>
      <c r="I881" t="str">
        <f>IF($A881&lt;&gt;"",'Approved-In-Depth'!I881,"")</f>
        <v/>
      </c>
      <c r="J881" t="str">
        <f>IF($A881&lt;&gt;"",'Approved-In-Depth'!J881,"")</f>
        <v/>
      </c>
      <c r="K881" t="str">
        <f>IF($A881&lt;&gt;"",'Approved-In-Depth'!K881,"")</f>
        <v/>
      </c>
      <c r="L881" s="4" t="str">
        <f>IF($A881&lt;&gt;"",'Approved-In-Depth'!L881,"")</f>
        <v/>
      </c>
      <c r="M881" t="str">
        <f>IF($A881&lt;&gt;"",'Approved-In-Depth'!M881,"")</f>
        <v/>
      </c>
    </row>
    <row r="882" spans="1:13" x14ac:dyDescent="0.35">
      <c r="A882" s="4" t="str">
        <f>IF('Approved-In-Depth'!$A882&lt;&gt;"",'Approved-In-Depth'!A882,"")</f>
        <v/>
      </c>
      <c r="B882" t="str">
        <f>IF($O882&lt;&gt;"",$O882,IF($A882&lt;&gt;"",'Approved-In-Depth'!$B882+7,""))</f>
        <v/>
      </c>
      <c r="C882" t="str">
        <f>IF($A882&lt;&gt;"",'Approved-In-Depth'!C882,"")</f>
        <v/>
      </c>
      <c r="D882" t="str">
        <f>IF($A882&lt;&gt;"",'Approved-In-Depth'!D882,"")</f>
        <v/>
      </c>
      <c r="E882" t="str">
        <f>IF($A882&lt;&gt;"",'Approved-In-Depth'!E882,"")</f>
        <v/>
      </c>
      <c r="F882" t="str">
        <f>IF($A882&lt;&gt;"",'Approved-In-Depth'!F882,"")</f>
        <v/>
      </c>
      <c r="G882" t="str">
        <f>IF($A882&lt;&gt;"",'Approved-In-Depth'!G882,"")</f>
        <v/>
      </c>
      <c r="H882" s="4" t="str">
        <f>IF($A882&lt;&gt;"",'Approved-In-Depth'!H882,"")</f>
        <v/>
      </c>
      <c r="I882" t="str">
        <f>IF($A882&lt;&gt;"",'Approved-In-Depth'!I882,"")</f>
        <v/>
      </c>
      <c r="J882" t="str">
        <f>IF($A882&lt;&gt;"",'Approved-In-Depth'!J882,"")</f>
        <v/>
      </c>
      <c r="K882" t="str">
        <f>IF($A882&lt;&gt;"",'Approved-In-Depth'!K882,"")</f>
        <v/>
      </c>
      <c r="L882" s="4" t="str">
        <f>IF($A882&lt;&gt;"",'Approved-In-Depth'!L882,"")</f>
        <v/>
      </c>
      <c r="M882" t="str">
        <f>IF($A882&lt;&gt;"",'Approved-In-Depth'!M882,"")</f>
        <v/>
      </c>
    </row>
    <row r="883" spans="1:13" x14ac:dyDescent="0.35">
      <c r="A883" s="4" t="str">
        <f>IF('Approved-In-Depth'!$A883&lt;&gt;"",'Approved-In-Depth'!A883,"")</f>
        <v/>
      </c>
      <c r="B883" t="str">
        <f>IF($O883&lt;&gt;"",$O883,IF($A883&lt;&gt;"",'Approved-In-Depth'!$B883+7,""))</f>
        <v/>
      </c>
      <c r="C883" t="str">
        <f>IF($A883&lt;&gt;"",'Approved-In-Depth'!C883,"")</f>
        <v/>
      </c>
      <c r="D883" t="str">
        <f>IF($A883&lt;&gt;"",'Approved-In-Depth'!D883,"")</f>
        <v/>
      </c>
      <c r="E883" t="str">
        <f>IF($A883&lt;&gt;"",'Approved-In-Depth'!E883,"")</f>
        <v/>
      </c>
      <c r="F883" t="str">
        <f>IF($A883&lt;&gt;"",'Approved-In-Depth'!F883,"")</f>
        <v/>
      </c>
      <c r="G883" t="str">
        <f>IF($A883&lt;&gt;"",'Approved-In-Depth'!G883,"")</f>
        <v/>
      </c>
      <c r="H883" s="4" t="str">
        <f>IF($A883&lt;&gt;"",'Approved-In-Depth'!H883,"")</f>
        <v/>
      </c>
      <c r="I883" t="str">
        <f>IF($A883&lt;&gt;"",'Approved-In-Depth'!I883,"")</f>
        <v/>
      </c>
      <c r="J883" t="str">
        <f>IF($A883&lt;&gt;"",'Approved-In-Depth'!J883,"")</f>
        <v/>
      </c>
      <c r="K883" t="str">
        <f>IF($A883&lt;&gt;"",'Approved-In-Depth'!K883,"")</f>
        <v/>
      </c>
      <c r="L883" s="4" t="str">
        <f>IF($A883&lt;&gt;"",'Approved-In-Depth'!L883,"")</f>
        <v/>
      </c>
      <c r="M883" t="str">
        <f>IF($A883&lt;&gt;"",'Approved-In-Depth'!M883,"")</f>
        <v/>
      </c>
    </row>
    <row r="884" spans="1:13" x14ac:dyDescent="0.35">
      <c r="A884" s="4" t="str">
        <f>IF('Approved-In-Depth'!$A884&lt;&gt;"",'Approved-In-Depth'!A884,"")</f>
        <v/>
      </c>
      <c r="B884" t="str">
        <f>IF($O884&lt;&gt;"",$O884,IF($A884&lt;&gt;"",'Approved-In-Depth'!$B884+7,""))</f>
        <v/>
      </c>
      <c r="C884" t="str">
        <f>IF($A884&lt;&gt;"",'Approved-In-Depth'!C884,"")</f>
        <v/>
      </c>
      <c r="D884" t="str">
        <f>IF($A884&lt;&gt;"",'Approved-In-Depth'!D884,"")</f>
        <v/>
      </c>
      <c r="E884" t="str">
        <f>IF($A884&lt;&gt;"",'Approved-In-Depth'!E884,"")</f>
        <v/>
      </c>
      <c r="F884" t="str">
        <f>IF($A884&lt;&gt;"",'Approved-In-Depth'!F884,"")</f>
        <v/>
      </c>
      <c r="G884" t="str">
        <f>IF($A884&lt;&gt;"",'Approved-In-Depth'!G884,"")</f>
        <v/>
      </c>
      <c r="H884" s="4" t="str">
        <f>IF($A884&lt;&gt;"",'Approved-In-Depth'!H884,"")</f>
        <v/>
      </c>
      <c r="I884" t="str">
        <f>IF($A884&lt;&gt;"",'Approved-In-Depth'!I884,"")</f>
        <v/>
      </c>
      <c r="J884" t="str">
        <f>IF($A884&lt;&gt;"",'Approved-In-Depth'!J884,"")</f>
        <v/>
      </c>
      <c r="K884" t="str">
        <f>IF($A884&lt;&gt;"",'Approved-In-Depth'!K884,"")</f>
        <v/>
      </c>
      <c r="L884" s="4" t="str">
        <f>IF($A884&lt;&gt;"",'Approved-In-Depth'!L884,"")</f>
        <v/>
      </c>
      <c r="M884" t="str">
        <f>IF($A884&lt;&gt;"",'Approved-In-Depth'!M884,"")</f>
        <v/>
      </c>
    </row>
    <row r="885" spans="1:13" x14ac:dyDescent="0.35">
      <c r="A885" s="4" t="str">
        <f>IF('Approved-In-Depth'!$A885&lt;&gt;"",'Approved-In-Depth'!A885,"")</f>
        <v/>
      </c>
      <c r="B885" t="str">
        <f>IF($O885&lt;&gt;"",$O885,IF($A885&lt;&gt;"",'Approved-In-Depth'!$B885+7,""))</f>
        <v/>
      </c>
      <c r="C885" t="str">
        <f>IF($A885&lt;&gt;"",'Approved-In-Depth'!C885,"")</f>
        <v/>
      </c>
      <c r="D885" t="str">
        <f>IF($A885&lt;&gt;"",'Approved-In-Depth'!D885,"")</f>
        <v/>
      </c>
      <c r="E885" t="str">
        <f>IF($A885&lt;&gt;"",'Approved-In-Depth'!E885,"")</f>
        <v/>
      </c>
      <c r="F885" t="str">
        <f>IF($A885&lt;&gt;"",'Approved-In-Depth'!F885,"")</f>
        <v/>
      </c>
      <c r="G885" t="str">
        <f>IF($A885&lt;&gt;"",'Approved-In-Depth'!G885,"")</f>
        <v/>
      </c>
      <c r="H885" s="4" t="str">
        <f>IF($A885&lt;&gt;"",'Approved-In-Depth'!H885,"")</f>
        <v/>
      </c>
      <c r="I885" t="str">
        <f>IF($A885&lt;&gt;"",'Approved-In-Depth'!I885,"")</f>
        <v/>
      </c>
      <c r="J885" t="str">
        <f>IF($A885&lt;&gt;"",'Approved-In-Depth'!J885,"")</f>
        <v/>
      </c>
      <c r="K885" t="str">
        <f>IF($A885&lt;&gt;"",'Approved-In-Depth'!K885,"")</f>
        <v/>
      </c>
      <c r="L885" s="4" t="str">
        <f>IF($A885&lt;&gt;"",'Approved-In-Depth'!L885,"")</f>
        <v/>
      </c>
      <c r="M885" t="str">
        <f>IF($A885&lt;&gt;"",'Approved-In-Depth'!M885,"")</f>
        <v/>
      </c>
    </row>
    <row r="886" spans="1:13" x14ac:dyDescent="0.35">
      <c r="A886" s="4" t="str">
        <f>IF('Approved-In-Depth'!$A886&lt;&gt;"",'Approved-In-Depth'!A886,"")</f>
        <v/>
      </c>
      <c r="B886" t="str">
        <f>IF($O886&lt;&gt;"",$O886,IF($A886&lt;&gt;"",'Approved-In-Depth'!$B886+7,""))</f>
        <v/>
      </c>
      <c r="C886" t="str">
        <f>IF($A886&lt;&gt;"",'Approved-In-Depth'!C886,"")</f>
        <v/>
      </c>
      <c r="D886" t="str">
        <f>IF($A886&lt;&gt;"",'Approved-In-Depth'!D886,"")</f>
        <v/>
      </c>
      <c r="E886" t="str">
        <f>IF($A886&lt;&gt;"",'Approved-In-Depth'!E886,"")</f>
        <v/>
      </c>
      <c r="F886" t="str">
        <f>IF($A886&lt;&gt;"",'Approved-In-Depth'!F886,"")</f>
        <v/>
      </c>
      <c r="G886" t="str">
        <f>IF($A886&lt;&gt;"",'Approved-In-Depth'!G886,"")</f>
        <v/>
      </c>
      <c r="H886" s="4" t="str">
        <f>IF($A886&lt;&gt;"",'Approved-In-Depth'!H886,"")</f>
        <v/>
      </c>
      <c r="I886" t="str">
        <f>IF($A886&lt;&gt;"",'Approved-In-Depth'!I886,"")</f>
        <v/>
      </c>
      <c r="J886" t="str">
        <f>IF($A886&lt;&gt;"",'Approved-In-Depth'!J886,"")</f>
        <v/>
      </c>
      <c r="K886" t="str">
        <f>IF($A886&lt;&gt;"",'Approved-In-Depth'!K886,"")</f>
        <v/>
      </c>
      <c r="L886" s="4" t="str">
        <f>IF($A886&lt;&gt;"",'Approved-In-Depth'!L886,"")</f>
        <v/>
      </c>
      <c r="M886" t="str">
        <f>IF($A886&lt;&gt;"",'Approved-In-Depth'!M886,"")</f>
        <v/>
      </c>
    </row>
    <row r="887" spans="1:13" x14ac:dyDescent="0.35">
      <c r="A887" s="4" t="str">
        <f>IF('Approved-In-Depth'!$A887&lt;&gt;"",'Approved-In-Depth'!A887,"")</f>
        <v/>
      </c>
      <c r="B887" t="str">
        <f>IF($O887&lt;&gt;"",$O887,IF($A887&lt;&gt;"",'Approved-In-Depth'!$B887+7,""))</f>
        <v/>
      </c>
      <c r="C887" t="str">
        <f>IF($A887&lt;&gt;"",'Approved-In-Depth'!C887,"")</f>
        <v/>
      </c>
      <c r="D887" t="str">
        <f>IF($A887&lt;&gt;"",'Approved-In-Depth'!D887,"")</f>
        <v/>
      </c>
      <c r="E887" t="str">
        <f>IF($A887&lt;&gt;"",'Approved-In-Depth'!E887,"")</f>
        <v/>
      </c>
      <c r="F887" t="str">
        <f>IF($A887&lt;&gt;"",'Approved-In-Depth'!F887,"")</f>
        <v/>
      </c>
      <c r="G887" t="str">
        <f>IF($A887&lt;&gt;"",'Approved-In-Depth'!G887,"")</f>
        <v/>
      </c>
      <c r="H887" s="4" t="str">
        <f>IF($A887&lt;&gt;"",'Approved-In-Depth'!H887,"")</f>
        <v/>
      </c>
      <c r="I887" t="str">
        <f>IF($A887&lt;&gt;"",'Approved-In-Depth'!I887,"")</f>
        <v/>
      </c>
      <c r="J887" t="str">
        <f>IF($A887&lt;&gt;"",'Approved-In-Depth'!J887,"")</f>
        <v/>
      </c>
      <c r="K887" t="str">
        <f>IF($A887&lt;&gt;"",'Approved-In-Depth'!K887,"")</f>
        <v/>
      </c>
      <c r="L887" s="4" t="str">
        <f>IF($A887&lt;&gt;"",'Approved-In-Depth'!L887,"")</f>
        <v/>
      </c>
      <c r="M887" t="str">
        <f>IF($A887&lt;&gt;"",'Approved-In-Depth'!M887,"")</f>
        <v/>
      </c>
    </row>
    <row r="888" spans="1:13" x14ac:dyDescent="0.35">
      <c r="A888" s="4" t="str">
        <f>IF('Approved-In-Depth'!$A888&lt;&gt;"",'Approved-In-Depth'!A888,"")</f>
        <v/>
      </c>
      <c r="B888" t="str">
        <f>IF($O888&lt;&gt;"",$O888,IF($A888&lt;&gt;"",'Approved-In-Depth'!$B888+7,""))</f>
        <v/>
      </c>
      <c r="C888" t="str">
        <f>IF($A888&lt;&gt;"",'Approved-In-Depth'!C888,"")</f>
        <v/>
      </c>
      <c r="D888" t="str">
        <f>IF($A888&lt;&gt;"",'Approved-In-Depth'!D888,"")</f>
        <v/>
      </c>
      <c r="E888" t="str">
        <f>IF($A888&lt;&gt;"",'Approved-In-Depth'!E888,"")</f>
        <v/>
      </c>
      <c r="F888" t="str">
        <f>IF($A888&lt;&gt;"",'Approved-In-Depth'!F888,"")</f>
        <v/>
      </c>
      <c r="G888" t="str">
        <f>IF($A888&lt;&gt;"",'Approved-In-Depth'!G888,"")</f>
        <v/>
      </c>
      <c r="H888" s="4" t="str">
        <f>IF($A888&lt;&gt;"",'Approved-In-Depth'!H888,"")</f>
        <v/>
      </c>
      <c r="I888" t="str">
        <f>IF($A888&lt;&gt;"",'Approved-In-Depth'!I888,"")</f>
        <v/>
      </c>
      <c r="J888" t="str">
        <f>IF($A888&lt;&gt;"",'Approved-In-Depth'!J888,"")</f>
        <v/>
      </c>
      <c r="K888" t="str">
        <f>IF($A888&lt;&gt;"",'Approved-In-Depth'!K888,"")</f>
        <v/>
      </c>
      <c r="L888" s="4" t="str">
        <f>IF($A888&lt;&gt;"",'Approved-In-Depth'!L888,"")</f>
        <v/>
      </c>
      <c r="M888" t="str">
        <f>IF($A888&lt;&gt;"",'Approved-In-Depth'!M888,"")</f>
        <v/>
      </c>
    </row>
    <row r="889" spans="1:13" x14ac:dyDescent="0.35">
      <c r="A889" s="4" t="str">
        <f>IF('Approved-In-Depth'!$A889&lt;&gt;"",'Approved-In-Depth'!A889,"")</f>
        <v/>
      </c>
      <c r="B889" t="str">
        <f>IF($O889&lt;&gt;"",$O889,IF($A889&lt;&gt;"",'Approved-In-Depth'!$B889+7,""))</f>
        <v/>
      </c>
      <c r="C889" t="str">
        <f>IF($A889&lt;&gt;"",'Approved-In-Depth'!C889,"")</f>
        <v/>
      </c>
      <c r="D889" t="str">
        <f>IF($A889&lt;&gt;"",'Approved-In-Depth'!D889,"")</f>
        <v/>
      </c>
      <c r="E889" t="str">
        <f>IF($A889&lt;&gt;"",'Approved-In-Depth'!E889,"")</f>
        <v/>
      </c>
      <c r="F889" t="str">
        <f>IF($A889&lt;&gt;"",'Approved-In-Depth'!F889,"")</f>
        <v/>
      </c>
      <c r="G889" t="str">
        <f>IF($A889&lt;&gt;"",'Approved-In-Depth'!G889,"")</f>
        <v/>
      </c>
      <c r="H889" s="4" t="str">
        <f>IF($A889&lt;&gt;"",'Approved-In-Depth'!H889,"")</f>
        <v/>
      </c>
      <c r="I889" t="str">
        <f>IF($A889&lt;&gt;"",'Approved-In-Depth'!I889,"")</f>
        <v/>
      </c>
      <c r="J889" t="str">
        <f>IF($A889&lt;&gt;"",'Approved-In-Depth'!J889,"")</f>
        <v/>
      </c>
      <c r="K889" t="str">
        <f>IF($A889&lt;&gt;"",'Approved-In-Depth'!K889,"")</f>
        <v/>
      </c>
      <c r="L889" s="4" t="str">
        <f>IF($A889&lt;&gt;"",'Approved-In-Depth'!L889,"")</f>
        <v/>
      </c>
      <c r="M889" t="str">
        <f>IF($A889&lt;&gt;"",'Approved-In-Depth'!M889,"")</f>
        <v/>
      </c>
    </row>
    <row r="890" spans="1:13" x14ac:dyDescent="0.35">
      <c r="A890" s="4" t="str">
        <f>IF('Approved-In-Depth'!$A890&lt;&gt;"",'Approved-In-Depth'!A890,"")</f>
        <v/>
      </c>
      <c r="B890" t="str">
        <f>IF($O890&lt;&gt;"",$O890,IF($A890&lt;&gt;"",'Approved-In-Depth'!$B890+7,""))</f>
        <v/>
      </c>
      <c r="C890" t="str">
        <f>IF($A890&lt;&gt;"",'Approved-In-Depth'!C890,"")</f>
        <v/>
      </c>
      <c r="D890" t="str">
        <f>IF($A890&lt;&gt;"",'Approved-In-Depth'!D890,"")</f>
        <v/>
      </c>
      <c r="E890" t="str">
        <f>IF($A890&lt;&gt;"",'Approved-In-Depth'!E890,"")</f>
        <v/>
      </c>
      <c r="F890" t="str">
        <f>IF($A890&lt;&gt;"",'Approved-In-Depth'!F890,"")</f>
        <v/>
      </c>
      <c r="G890" t="str">
        <f>IF($A890&lt;&gt;"",'Approved-In-Depth'!G890,"")</f>
        <v/>
      </c>
      <c r="H890" s="4" t="str">
        <f>IF($A890&lt;&gt;"",'Approved-In-Depth'!H890,"")</f>
        <v/>
      </c>
      <c r="I890" t="str">
        <f>IF($A890&lt;&gt;"",'Approved-In-Depth'!I890,"")</f>
        <v/>
      </c>
      <c r="J890" t="str">
        <f>IF($A890&lt;&gt;"",'Approved-In-Depth'!J890,"")</f>
        <v/>
      </c>
      <c r="K890" t="str">
        <f>IF($A890&lt;&gt;"",'Approved-In-Depth'!K890,"")</f>
        <v/>
      </c>
      <c r="L890" s="4" t="str">
        <f>IF($A890&lt;&gt;"",'Approved-In-Depth'!L890,"")</f>
        <v/>
      </c>
      <c r="M890" t="str">
        <f>IF($A890&lt;&gt;"",'Approved-In-Depth'!M890,"")</f>
        <v/>
      </c>
    </row>
    <row r="891" spans="1:13" x14ac:dyDescent="0.35">
      <c r="A891" s="4" t="str">
        <f>IF('Approved-In-Depth'!$A891&lt;&gt;"",'Approved-In-Depth'!A891,"")</f>
        <v/>
      </c>
      <c r="B891" t="str">
        <f>IF($O891&lt;&gt;"",$O891,IF($A891&lt;&gt;"",'Approved-In-Depth'!$B891+7,""))</f>
        <v/>
      </c>
      <c r="C891" t="str">
        <f>IF($A891&lt;&gt;"",'Approved-In-Depth'!C891,"")</f>
        <v/>
      </c>
      <c r="D891" t="str">
        <f>IF($A891&lt;&gt;"",'Approved-In-Depth'!D891,"")</f>
        <v/>
      </c>
      <c r="E891" t="str">
        <f>IF($A891&lt;&gt;"",'Approved-In-Depth'!E891,"")</f>
        <v/>
      </c>
      <c r="F891" t="str">
        <f>IF($A891&lt;&gt;"",'Approved-In-Depth'!F891,"")</f>
        <v/>
      </c>
      <c r="G891" t="str">
        <f>IF($A891&lt;&gt;"",'Approved-In-Depth'!G891,"")</f>
        <v/>
      </c>
      <c r="H891" s="4" t="str">
        <f>IF($A891&lt;&gt;"",'Approved-In-Depth'!H891,"")</f>
        <v/>
      </c>
      <c r="I891" t="str">
        <f>IF($A891&lt;&gt;"",'Approved-In-Depth'!I891,"")</f>
        <v/>
      </c>
      <c r="J891" t="str">
        <f>IF($A891&lt;&gt;"",'Approved-In-Depth'!J891,"")</f>
        <v/>
      </c>
      <c r="K891" t="str">
        <f>IF($A891&lt;&gt;"",'Approved-In-Depth'!K891,"")</f>
        <v/>
      </c>
      <c r="L891" s="4" t="str">
        <f>IF($A891&lt;&gt;"",'Approved-In-Depth'!L891,"")</f>
        <v/>
      </c>
      <c r="M891" t="str">
        <f>IF($A891&lt;&gt;"",'Approved-In-Depth'!M891,"")</f>
        <v/>
      </c>
    </row>
    <row r="892" spans="1:13" x14ac:dyDescent="0.35">
      <c r="A892" s="4" t="str">
        <f>IF('Approved-In-Depth'!$A892&lt;&gt;"",'Approved-In-Depth'!A892,"")</f>
        <v/>
      </c>
      <c r="B892" t="str">
        <f>IF($O892&lt;&gt;"",$O892,IF($A892&lt;&gt;"",'Approved-In-Depth'!$B892+7,""))</f>
        <v/>
      </c>
      <c r="C892" t="str">
        <f>IF($A892&lt;&gt;"",'Approved-In-Depth'!C892,"")</f>
        <v/>
      </c>
      <c r="D892" t="str">
        <f>IF($A892&lt;&gt;"",'Approved-In-Depth'!D892,"")</f>
        <v/>
      </c>
      <c r="E892" t="str">
        <f>IF($A892&lt;&gt;"",'Approved-In-Depth'!E892,"")</f>
        <v/>
      </c>
      <c r="F892" t="str">
        <f>IF($A892&lt;&gt;"",'Approved-In-Depth'!F892,"")</f>
        <v/>
      </c>
      <c r="G892" t="str">
        <f>IF($A892&lt;&gt;"",'Approved-In-Depth'!G892,"")</f>
        <v/>
      </c>
      <c r="H892" s="4" t="str">
        <f>IF($A892&lt;&gt;"",'Approved-In-Depth'!H892,"")</f>
        <v/>
      </c>
      <c r="I892" t="str">
        <f>IF($A892&lt;&gt;"",'Approved-In-Depth'!I892,"")</f>
        <v/>
      </c>
      <c r="J892" t="str">
        <f>IF($A892&lt;&gt;"",'Approved-In-Depth'!J892,"")</f>
        <v/>
      </c>
      <c r="K892" t="str">
        <f>IF($A892&lt;&gt;"",'Approved-In-Depth'!K892,"")</f>
        <v/>
      </c>
      <c r="L892" s="4" t="str">
        <f>IF($A892&lt;&gt;"",'Approved-In-Depth'!L892,"")</f>
        <v/>
      </c>
      <c r="M892" t="str">
        <f>IF($A892&lt;&gt;"",'Approved-In-Depth'!M892,"")</f>
        <v/>
      </c>
    </row>
    <row r="893" spans="1:13" x14ac:dyDescent="0.35">
      <c r="A893" s="4" t="str">
        <f>IF('Approved-In-Depth'!$A893&lt;&gt;"",'Approved-In-Depth'!A893,"")</f>
        <v/>
      </c>
      <c r="B893" t="str">
        <f>IF($O893&lt;&gt;"",$O893,IF($A893&lt;&gt;"",'Approved-In-Depth'!$B893+7,""))</f>
        <v/>
      </c>
      <c r="C893" t="str">
        <f>IF($A893&lt;&gt;"",'Approved-In-Depth'!C893,"")</f>
        <v/>
      </c>
      <c r="D893" t="str">
        <f>IF($A893&lt;&gt;"",'Approved-In-Depth'!D893,"")</f>
        <v/>
      </c>
      <c r="E893" t="str">
        <f>IF($A893&lt;&gt;"",'Approved-In-Depth'!E893,"")</f>
        <v/>
      </c>
      <c r="F893" t="str">
        <f>IF($A893&lt;&gt;"",'Approved-In-Depth'!F893,"")</f>
        <v/>
      </c>
      <c r="G893" t="str">
        <f>IF($A893&lt;&gt;"",'Approved-In-Depth'!G893,"")</f>
        <v/>
      </c>
      <c r="H893" s="4" t="str">
        <f>IF($A893&lt;&gt;"",'Approved-In-Depth'!H893,"")</f>
        <v/>
      </c>
      <c r="I893" t="str">
        <f>IF($A893&lt;&gt;"",'Approved-In-Depth'!I893,"")</f>
        <v/>
      </c>
      <c r="J893" t="str">
        <f>IF($A893&lt;&gt;"",'Approved-In-Depth'!J893,"")</f>
        <v/>
      </c>
      <c r="K893" t="str">
        <f>IF($A893&lt;&gt;"",'Approved-In-Depth'!K893,"")</f>
        <v/>
      </c>
      <c r="L893" s="4" t="str">
        <f>IF($A893&lt;&gt;"",'Approved-In-Depth'!L893,"")</f>
        <v/>
      </c>
      <c r="M893" t="str">
        <f>IF($A893&lt;&gt;"",'Approved-In-Depth'!M893,"")</f>
        <v/>
      </c>
    </row>
    <row r="894" spans="1:13" x14ac:dyDescent="0.35">
      <c r="A894" s="4" t="str">
        <f>IF('Approved-In-Depth'!$A894&lt;&gt;"",'Approved-In-Depth'!A894,"")</f>
        <v/>
      </c>
      <c r="B894" t="str">
        <f>IF($O894&lt;&gt;"",$O894,IF($A894&lt;&gt;"",'Approved-In-Depth'!$B894+7,""))</f>
        <v/>
      </c>
      <c r="C894" t="str">
        <f>IF($A894&lt;&gt;"",'Approved-In-Depth'!C894,"")</f>
        <v/>
      </c>
      <c r="D894" t="str">
        <f>IF($A894&lt;&gt;"",'Approved-In-Depth'!D894,"")</f>
        <v/>
      </c>
      <c r="E894" t="str">
        <f>IF($A894&lt;&gt;"",'Approved-In-Depth'!E894,"")</f>
        <v/>
      </c>
      <c r="F894" t="str">
        <f>IF($A894&lt;&gt;"",'Approved-In-Depth'!F894,"")</f>
        <v/>
      </c>
      <c r="G894" t="str">
        <f>IF($A894&lt;&gt;"",'Approved-In-Depth'!G894,"")</f>
        <v/>
      </c>
      <c r="H894" s="4" t="str">
        <f>IF($A894&lt;&gt;"",'Approved-In-Depth'!H894,"")</f>
        <v/>
      </c>
      <c r="I894" t="str">
        <f>IF($A894&lt;&gt;"",'Approved-In-Depth'!I894,"")</f>
        <v/>
      </c>
      <c r="J894" t="str">
        <f>IF($A894&lt;&gt;"",'Approved-In-Depth'!J894,"")</f>
        <v/>
      </c>
      <c r="K894" t="str">
        <f>IF($A894&lt;&gt;"",'Approved-In-Depth'!K894,"")</f>
        <v/>
      </c>
      <c r="L894" s="4" t="str">
        <f>IF($A894&lt;&gt;"",'Approved-In-Depth'!L894,"")</f>
        <v/>
      </c>
      <c r="M894" t="str">
        <f>IF($A894&lt;&gt;"",'Approved-In-Depth'!M894,"")</f>
        <v/>
      </c>
    </row>
    <row r="895" spans="1:13" x14ac:dyDescent="0.35">
      <c r="A895" s="4" t="str">
        <f>IF('Approved-In-Depth'!$A895&lt;&gt;"",'Approved-In-Depth'!A895,"")</f>
        <v/>
      </c>
      <c r="B895" t="str">
        <f>IF($O895&lt;&gt;"",$O895,IF($A895&lt;&gt;"",'Approved-In-Depth'!$B895+7,""))</f>
        <v/>
      </c>
      <c r="C895" t="str">
        <f>IF($A895&lt;&gt;"",'Approved-In-Depth'!C895,"")</f>
        <v/>
      </c>
      <c r="D895" t="str">
        <f>IF($A895&lt;&gt;"",'Approved-In-Depth'!D895,"")</f>
        <v/>
      </c>
      <c r="E895" t="str">
        <f>IF($A895&lt;&gt;"",'Approved-In-Depth'!E895,"")</f>
        <v/>
      </c>
      <c r="F895" t="str">
        <f>IF($A895&lt;&gt;"",'Approved-In-Depth'!F895,"")</f>
        <v/>
      </c>
      <c r="G895" t="str">
        <f>IF($A895&lt;&gt;"",'Approved-In-Depth'!G895,"")</f>
        <v/>
      </c>
      <c r="H895" s="4" t="str">
        <f>IF($A895&lt;&gt;"",'Approved-In-Depth'!H895,"")</f>
        <v/>
      </c>
      <c r="I895" t="str">
        <f>IF($A895&lt;&gt;"",'Approved-In-Depth'!I895,"")</f>
        <v/>
      </c>
      <c r="J895" t="str">
        <f>IF($A895&lt;&gt;"",'Approved-In-Depth'!J895,"")</f>
        <v/>
      </c>
      <c r="K895" t="str">
        <f>IF($A895&lt;&gt;"",'Approved-In-Depth'!K895,"")</f>
        <v/>
      </c>
      <c r="L895" s="4" t="str">
        <f>IF($A895&lt;&gt;"",'Approved-In-Depth'!L895,"")</f>
        <v/>
      </c>
      <c r="M895" t="str">
        <f>IF($A895&lt;&gt;"",'Approved-In-Depth'!M895,"")</f>
        <v/>
      </c>
    </row>
    <row r="896" spans="1:13" x14ac:dyDescent="0.35">
      <c r="A896" s="4" t="str">
        <f>IF('Approved-In-Depth'!$A896&lt;&gt;"",'Approved-In-Depth'!A896,"")</f>
        <v/>
      </c>
      <c r="B896" t="str">
        <f>IF($O896&lt;&gt;"",$O896,IF($A896&lt;&gt;"",'Approved-In-Depth'!$B896+7,""))</f>
        <v/>
      </c>
      <c r="C896" t="str">
        <f>IF($A896&lt;&gt;"",'Approved-In-Depth'!C896,"")</f>
        <v/>
      </c>
      <c r="D896" t="str">
        <f>IF($A896&lt;&gt;"",'Approved-In-Depth'!D896,"")</f>
        <v/>
      </c>
      <c r="E896" t="str">
        <f>IF($A896&lt;&gt;"",'Approved-In-Depth'!E896,"")</f>
        <v/>
      </c>
      <c r="F896" t="str">
        <f>IF($A896&lt;&gt;"",'Approved-In-Depth'!F896,"")</f>
        <v/>
      </c>
      <c r="G896" t="str">
        <f>IF($A896&lt;&gt;"",'Approved-In-Depth'!G896,"")</f>
        <v/>
      </c>
      <c r="H896" s="4" t="str">
        <f>IF($A896&lt;&gt;"",'Approved-In-Depth'!H896,"")</f>
        <v/>
      </c>
      <c r="I896" t="str">
        <f>IF($A896&lt;&gt;"",'Approved-In-Depth'!I896,"")</f>
        <v/>
      </c>
      <c r="J896" t="str">
        <f>IF($A896&lt;&gt;"",'Approved-In-Depth'!J896,"")</f>
        <v/>
      </c>
      <c r="K896" t="str">
        <f>IF($A896&lt;&gt;"",'Approved-In-Depth'!K896,"")</f>
        <v/>
      </c>
      <c r="L896" s="4" t="str">
        <f>IF($A896&lt;&gt;"",'Approved-In-Depth'!L896,"")</f>
        <v/>
      </c>
      <c r="M896" t="str">
        <f>IF($A896&lt;&gt;"",'Approved-In-Depth'!M896,"")</f>
        <v/>
      </c>
    </row>
    <row r="897" spans="1:13" x14ac:dyDescent="0.35">
      <c r="A897" s="4" t="str">
        <f>IF('Approved-In-Depth'!$A897&lt;&gt;"",'Approved-In-Depth'!A897,"")</f>
        <v/>
      </c>
      <c r="B897" t="str">
        <f>IF($O897&lt;&gt;"",$O897,IF($A897&lt;&gt;"",'Approved-In-Depth'!$B897+7,""))</f>
        <v/>
      </c>
      <c r="C897" t="str">
        <f>IF($A897&lt;&gt;"",'Approved-In-Depth'!C897,"")</f>
        <v/>
      </c>
      <c r="D897" t="str">
        <f>IF($A897&lt;&gt;"",'Approved-In-Depth'!D897,"")</f>
        <v/>
      </c>
      <c r="E897" t="str">
        <f>IF($A897&lt;&gt;"",'Approved-In-Depth'!E897,"")</f>
        <v/>
      </c>
      <c r="F897" t="str">
        <f>IF($A897&lt;&gt;"",'Approved-In-Depth'!F897,"")</f>
        <v/>
      </c>
      <c r="G897" t="str">
        <f>IF($A897&lt;&gt;"",'Approved-In-Depth'!G897,"")</f>
        <v/>
      </c>
      <c r="H897" s="4" t="str">
        <f>IF($A897&lt;&gt;"",'Approved-In-Depth'!H897,"")</f>
        <v/>
      </c>
      <c r="I897" t="str">
        <f>IF($A897&lt;&gt;"",'Approved-In-Depth'!I897,"")</f>
        <v/>
      </c>
      <c r="J897" t="str">
        <f>IF($A897&lt;&gt;"",'Approved-In-Depth'!J897,"")</f>
        <v/>
      </c>
      <c r="K897" t="str">
        <f>IF($A897&lt;&gt;"",'Approved-In-Depth'!K897,"")</f>
        <v/>
      </c>
      <c r="L897" s="4" t="str">
        <f>IF($A897&lt;&gt;"",'Approved-In-Depth'!L897,"")</f>
        <v/>
      </c>
      <c r="M897" t="str">
        <f>IF($A897&lt;&gt;"",'Approved-In-Depth'!M897,"")</f>
        <v/>
      </c>
    </row>
    <row r="898" spans="1:13" x14ac:dyDescent="0.35">
      <c r="A898" s="4" t="str">
        <f>IF('Approved-In-Depth'!$A898&lt;&gt;"",'Approved-In-Depth'!A898,"")</f>
        <v/>
      </c>
      <c r="B898" t="str">
        <f>IF($O898&lt;&gt;"",$O898,IF($A898&lt;&gt;"",'Approved-In-Depth'!$B898+7,""))</f>
        <v/>
      </c>
      <c r="C898" t="str">
        <f>IF($A898&lt;&gt;"",'Approved-In-Depth'!C898,"")</f>
        <v/>
      </c>
      <c r="D898" t="str">
        <f>IF($A898&lt;&gt;"",'Approved-In-Depth'!D898,"")</f>
        <v/>
      </c>
      <c r="E898" t="str">
        <f>IF($A898&lt;&gt;"",'Approved-In-Depth'!E898,"")</f>
        <v/>
      </c>
      <c r="F898" t="str">
        <f>IF($A898&lt;&gt;"",'Approved-In-Depth'!F898,"")</f>
        <v/>
      </c>
      <c r="G898" t="str">
        <f>IF($A898&lt;&gt;"",'Approved-In-Depth'!G898,"")</f>
        <v/>
      </c>
      <c r="H898" s="4" t="str">
        <f>IF($A898&lt;&gt;"",'Approved-In-Depth'!H898,"")</f>
        <v/>
      </c>
      <c r="I898" t="str">
        <f>IF($A898&lt;&gt;"",'Approved-In-Depth'!I898,"")</f>
        <v/>
      </c>
      <c r="J898" t="str">
        <f>IF($A898&lt;&gt;"",'Approved-In-Depth'!J898,"")</f>
        <v/>
      </c>
      <c r="K898" t="str">
        <f>IF($A898&lt;&gt;"",'Approved-In-Depth'!K898,"")</f>
        <v/>
      </c>
      <c r="L898" s="4" t="str">
        <f>IF($A898&lt;&gt;"",'Approved-In-Depth'!L898,"")</f>
        <v/>
      </c>
      <c r="M898" t="str">
        <f>IF($A898&lt;&gt;"",'Approved-In-Depth'!M898,"")</f>
        <v/>
      </c>
    </row>
    <row r="899" spans="1:13" x14ac:dyDescent="0.35">
      <c r="A899" s="4" t="str">
        <f>IF('Approved-In-Depth'!$A899&lt;&gt;"",'Approved-In-Depth'!A899,"")</f>
        <v/>
      </c>
      <c r="B899" t="str">
        <f>IF($O899&lt;&gt;"",$O899,IF($A899&lt;&gt;"",'Approved-In-Depth'!$B899+7,""))</f>
        <v/>
      </c>
      <c r="C899" t="str">
        <f>IF($A899&lt;&gt;"",'Approved-In-Depth'!C899,"")</f>
        <v/>
      </c>
      <c r="D899" t="str">
        <f>IF($A899&lt;&gt;"",'Approved-In-Depth'!D899,"")</f>
        <v/>
      </c>
      <c r="E899" t="str">
        <f>IF($A899&lt;&gt;"",'Approved-In-Depth'!E899,"")</f>
        <v/>
      </c>
      <c r="F899" t="str">
        <f>IF($A899&lt;&gt;"",'Approved-In-Depth'!F899,"")</f>
        <v/>
      </c>
      <c r="G899" t="str">
        <f>IF($A899&lt;&gt;"",'Approved-In-Depth'!G899,"")</f>
        <v/>
      </c>
      <c r="H899" s="4" t="str">
        <f>IF($A899&lt;&gt;"",'Approved-In-Depth'!H899,"")</f>
        <v/>
      </c>
      <c r="I899" t="str">
        <f>IF($A899&lt;&gt;"",'Approved-In-Depth'!I899,"")</f>
        <v/>
      </c>
      <c r="J899" t="str">
        <f>IF($A899&lt;&gt;"",'Approved-In-Depth'!J899,"")</f>
        <v/>
      </c>
      <c r="K899" t="str">
        <f>IF($A899&lt;&gt;"",'Approved-In-Depth'!K899,"")</f>
        <v/>
      </c>
      <c r="L899" s="4" t="str">
        <f>IF($A899&lt;&gt;"",'Approved-In-Depth'!L899,"")</f>
        <v/>
      </c>
      <c r="M899" t="str">
        <f>IF($A899&lt;&gt;"",'Approved-In-Depth'!M899,"")</f>
        <v/>
      </c>
    </row>
    <row r="900" spans="1:13" x14ac:dyDescent="0.35">
      <c r="A900" s="4" t="str">
        <f>IF('Approved-In-Depth'!$A900&lt;&gt;"",'Approved-In-Depth'!A900,"")</f>
        <v/>
      </c>
      <c r="B900" t="str">
        <f>IF($O900&lt;&gt;"",$O900,IF($A900&lt;&gt;"",'Approved-In-Depth'!$B900+7,""))</f>
        <v/>
      </c>
      <c r="C900" t="str">
        <f>IF($A900&lt;&gt;"",'Approved-In-Depth'!C900,"")</f>
        <v/>
      </c>
      <c r="D900" t="str">
        <f>IF($A900&lt;&gt;"",'Approved-In-Depth'!D900,"")</f>
        <v/>
      </c>
      <c r="E900" t="str">
        <f>IF($A900&lt;&gt;"",'Approved-In-Depth'!E900,"")</f>
        <v/>
      </c>
      <c r="F900" t="str">
        <f>IF($A900&lt;&gt;"",'Approved-In-Depth'!F900,"")</f>
        <v/>
      </c>
      <c r="G900" t="str">
        <f>IF($A900&lt;&gt;"",'Approved-In-Depth'!G900,"")</f>
        <v/>
      </c>
      <c r="H900" s="4" t="str">
        <f>IF($A900&lt;&gt;"",'Approved-In-Depth'!H900,"")</f>
        <v/>
      </c>
      <c r="I900" t="str">
        <f>IF($A900&lt;&gt;"",'Approved-In-Depth'!I900,"")</f>
        <v/>
      </c>
      <c r="J900" t="str">
        <f>IF($A900&lt;&gt;"",'Approved-In-Depth'!J900,"")</f>
        <v/>
      </c>
      <c r="K900" t="str">
        <f>IF($A900&lt;&gt;"",'Approved-In-Depth'!K900,"")</f>
        <v/>
      </c>
      <c r="L900" s="4" t="str">
        <f>IF($A900&lt;&gt;"",'Approved-In-Depth'!L900,"")</f>
        <v/>
      </c>
      <c r="M900" t="str">
        <f>IF($A900&lt;&gt;"",'Approved-In-Depth'!M900,"")</f>
        <v/>
      </c>
    </row>
    <row r="901" spans="1:13" x14ac:dyDescent="0.35">
      <c r="A901" s="4" t="str">
        <f>IF('Approved-In-Depth'!$A901&lt;&gt;"",'Approved-In-Depth'!A901,"")</f>
        <v/>
      </c>
      <c r="B901" t="str">
        <f>IF($O901&lt;&gt;"",$O901,IF($A901&lt;&gt;"",'Approved-In-Depth'!$B901+7,""))</f>
        <v/>
      </c>
      <c r="C901" t="str">
        <f>IF($A901&lt;&gt;"",'Approved-In-Depth'!C901,"")</f>
        <v/>
      </c>
      <c r="D901" t="str">
        <f>IF($A901&lt;&gt;"",'Approved-In-Depth'!D901,"")</f>
        <v/>
      </c>
      <c r="E901" t="str">
        <f>IF($A901&lt;&gt;"",'Approved-In-Depth'!E901,"")</f>
        <v/>
      </c>
      <c r="F901" t="str">
        <f>IF($A901&lt;&gt;"",'Approved-In-Depth'!F901,"")</f>
        <v/>
      </c>
      <c r="G901" t="str">
        <f>IF($A901&lt;&gt;"",'Approved-In-Depth'!G901,"")</f>
        <v/>
      </c>
      <c r="H901" s="4" t="str">
        <f>IF($A901&lt;&gt;"",'Approved-In-Depth'!H901,"")</f>
        <v/>
      </c>
      <c r="I901" t="str">
        <f>IF($A901&lt;&gt;"",'Approved-In-Depth'!I901,"")</f>
        <v/>
      </c>
      <c r="J901" t="str">
        <f>IF($A901&lt;&gt;"",'Approved-In-Depth'!J901,"")</f>
        <v/>
      </c>
      <c r="K901" t="str">
        <f>IF($A901&lt;&gt;"",'Approved-In-Depth'!K901,"")</f>
        <v/>
      </c>
      <c r="L901" s="4" t="str">
        <f>IF($A901&lt;&gt;"",'Approved-In-Depth'!L901,"")</f>
        <v/>
      </c>
      <c r="M901" t="str">
        <f>IF($A901&lt;&gt;"",'Approved-In-Depth'!M901,"")</f>
        <v/>
      </c>
    </row>
    <row r="902" spans="1:13" x14ac:dyDescent="0.35">
      <c r="A902" s="4" t="str">
        <f>IF('Approved-In-Depth'!$A902&lt;&gt;"",'Approved-In-Depth'!A902,"")</f>
        <v/>
      </c>
      <c r="B902" t="str">
        <f>IF($O902&lt;&gt;"",$O902,IF($A902&lt;&gt;"",'Approved-In-Depth'!$B902+7,""))</f>
        <v/>
      </c>
      <c r="C902" t="str">
        <f>IF($A902&lt;&gt;"",'Approved-In-Depth'!C902,"")</f>
        <v/>
      </c>
      <c r="D902" t="str">
        <f>IF($A902&lt;&gt;"",'Approved-In-Depth'!D902,"")</f>
        <v/>
      </c>
      <c r="E902" t="str">
        <f>IF($A902&lt;&gt;"",'Approved-In-Depth'!E902,"")</f>
        <v/>
      </c>
      <c r="F902" t="str">
        <f>IF($A902&lt;&gt;"",'Approved-In-Depth'!F902,"")</f>
        <v/>
      </c>
      <c r="G902" t="str">
        <f>IF($A902&lt;&gt;"",'Approved-In-Depth'!G902,"")</f>
        <v/>
      </c>
      <c r="H902" s="4" t="str">
        <f>IF($A902&lt;&gt;"",'Approved-In-Depth'!H902,"")</f>
        <v/>
      </c>
      <c r="I902" t="str">
        <f>IF($A902&lt;&gt;"",'Approved-In-Depth'!I902,"")</f>
        <v/>
      </c>
      <c r="J902" t="str">
        <f>IF($A902&lt;&gt;"",'Approved-In-Depth'!J902,"")</f>
        <v/>
      </c>
      <c r="K902" t="str">
        <f>IF($A902&lt;&gt;"",'Approved-In-Depth'!K902,"")</f>
        <v/>
      </c>
      <c r="L902" s="4" t="str">
        <f>IF($A902&lt;&gt;"",'Approved-In-Depth'!L902,"")</f>
        <v/>
      </c>
      <c r="M902" t="str">
        <f>IF($A902&lt;&gt;"",'Approved-In-Depth'!M902,"")</f>
        <v/>
      </c>
    </row>
    <row r="903" spans="1:13" x14ac:dyDescent="0.35">
      <c r="A903" s="4" t="str">
        <f>IF('Approved-In-Depth'!$A903&lt;&gt;"",'Approved-In-Depth'!A903,"")</f>
        <v/>
      </c>
      <c r="B903" t="str">
        <f>IF($O903&lt;&gt;"",$O903,IF($A903&lt;&gt;"",'Approved-In-Depth'!$B903+7,""))</f>
        <v/>
      </c>
      <c r="C903" t="str">
        <f>IF($A903&lt;&gt;"",'Approved-In-Depth'!C903,"")</f>
        <v/>
      </c>
      <c r="D903" t="str">
        <f>IF($A903&lt;&gt;"",'Approved-In-Depth'!D903,"")</f>
        <v/>
      </c>
      <c r="E903" t="str">
        <f>IF($A903&lt;&gt;"",'Approved-In-Depth'!E903,"")</f>
        <v/>
      </c>
      <c r="F903" t="str">
        <f>IF($A903&lt;&gt;"",'Approved-In-Depth'!F903,"")</f>
        <v/>
      </c>
      <c r="G903" t="str">
        <f>IF($A903&lt;&gt;"",'Approved-In-Depth'!G903,"")</f>
        <v/>
      </c>
      <c r="H903" s="4" t="str">
        <f>IF($A903&lt;&gt;"",'Approved-In-Depth'!H903,"")</f>
        <v/>
      </c>
      <c r="I903" t="str">
        <f>IF($A903&lt;&gt;"",'Approved-In-Depth'!I903,"")</f>
        <v/>
      </c>
      <c r="J903" t="str">
        <f>IF($A903&lt;&gt;"",'Approved-In-Depth'!J903,"")</f>
        <v/>
      </c>
      <c r="K903" t="str">
        <f>IF($A903&lt;&gt;"",'Approved-In-Depth'!K903,"")</f>
        <v/>
      </c>
      <c r="L903" s="4" t="str">
        <f>IF($A903&lt;&gt;"",'Approved-In-Depth'!L903,"")</f>
        <v/>
      </c>
      <c r="M903" t="str">
        <f>IF($A903&lt;&gt;"",'Approved-In-Depth'!M903,"")</f>
        <v/>
      </c>
    </row>
    <row r="904" spans="1:13" x14ac:dyDescent="0.35">
      <c r="A904" s="4" t="str">
        <f>IF('Approved-In-Depth'!$A904&lt;&gt;"",'Approved-In-Depth'!A904,"")</f>
        <v/>
      </c>
      <c r="B904" t="str">
        <f>IF($O904&lt;&gt;"",$O904,IF($A904&lt;&gt;"",'Approved-In-Depth'!$B904+7,""))</f>
        <v/>
      </c>
      <c r="C904" t="str">
        <f>IF($A904&lt;&gt;"",'Approved-In-Depth'!C904,"")</f>
        <v/>
      </c>
      <c r="D904" t="str">
        <f>IF($A904&lt;&gt;"",'Approved-In-Depth'!D904,"")</f>
        <v/>
      </c>
      <c r="E904" t="str">
        <f>IF($A904&lt;&gt;"",'Approved-In-Depth'!E904,"")</f>
        <v/>
      </c>
      <c r="F904" t="str">
        <f>IF($A904&lt;&gt;"",'Approved-In-Depth'!F904,"")</f>
        <v/>
      </c>
      <c r="G904" t="str">
        <f>IF($A904&lt;&gt;"",'Approved-In-Depth'!G904,"")</f>
        <v/>
      </c>
      <c r="H904" s="4" t="str">
        <f>IF($A904&lt;&gt;"",'Approved-In-Depth'!H904,"")</f>
        <v/>
      </c>
      <c r="I904" t="str">
        <f>IF($A904&lt;&gt;"",'Approved-In-Depth'!I904,"")</f>
        <v/>
      </c>
      <c r="J904" t="str">
        <f>IF($A904&lt;&gt;"",'Approved-In-Depth'!J904,"")</f>
        <v/>
      </c>
      <c r="K904" t="str">
        <f>IF($A904&lt;&gt;"",'Approved-In-Depth'!K904,"")</f>
        <v/>
      </c>
      <c r="L904" s="4" t="str">
        <f>IF($A904&lt;&gt;"",'Approved-In-Depth'!L904,"")</f>
        <v/>
      </c>
      <c r="M904" t="str">
        <f>IF($A904&lt;&gt;"",'Approved-In-Depth'!M904,"")</f>
        <v/>
      </c>
    </row>
    <row r="905" spans="1:13" x14ac:dyDescent="0.35">
      <c r="A905" s="4" t="str">
        <f>IF('Approved-In-Depth'!$A905&lt;&gt;"",'Approved-In-Depth'!A905,"")</f>
        <v/>
      </c>
      <c r="B905" t="str">
        <f>IF($O905&lt;&gt;"",$O905,IF($A905&lt;&gt;"",'Approved-In-Depth'!$B905+7,""))</f>
        <v/>
      </c>
      <c r="C905" t="str">
        <f>IF($A905&lt;&gt;"",'Approved-In-Depth'!C905,"")</f>
        <v/>
      </c>
      <c r="D905" t="str">
        <f>IF($A905&lt;&gt;"",'Approved-In-Depth'!D905,"")</f>
        <v/>
      </c>
      <c r="E905" t="str">
        <f>IF($A905&lt;&gt;"",'Approved-In-Depth'!E905,"")</f>
        <v/>
      </c>
      <c r="F905" t="str">
        <f>IF($A905&lt;&gt;"",'Approved-In-Depth'!F905,"")</f>
        <v/>
      </c>
      <c r="G905" t="str">
        <f>IF($A905&lt;&gt;"",'Approved-In-Depth'!G905,"")</f>
        <v/>
      </c>
      <c r="H905" s="4" t="str">
        <f>IF($A905&lt;&gt;"",'Approved-In-Depth'!H905,"")</f>
        <v/>
      </c>
      <c r="I905" t="str">
        <f>IF($A905&lt;&gt;"",'Approved-In-Depth'!I905,"")</f>
        <v/>
      </c>
      <c r="J905" t="str">
        <f>IF($A905&lt;&gt;"",'Approved-In-Depth'!J905,"")</f>
        <v/>
      </c>
      <c r="K905" t="str">
        <f>IF($A905&lt;&gt;"",'Approved-In-Depth'!K905,"")</f>
        <v/>
      </c>
      <c r="L905" s="4" t="str">
        <f>IF($A905&lt;&gt;"",'Approved-In-Depth'!L905,"")</f>
        <v/>
      </c>
      <c r="M905" t="str">
        <f>IF($A905&lt;&gt;"",'Approved-In-Depth'!M905,"")</f>
        <v/>
      </c>
    </row>
    <row r="906" spans="1:13" x14ac:dyDescent="0.35">
      <c r="A906" s="4" t="str">
        <f>IF('Approved-In-Depth'!$A906&lt;&gt;"",'Approved-In-Depth'!A906,"")</f>
        <v/>
      </c>
      <c r="B906" t="str">
        <f>IF($O906&lt;&gt;"",$O906,IF($A906&lt;&gt;"",'Approved-In-Depth'!$B906+7,""))</f>
        <v/>
      </c>
      <c r="C906" t="str">
        <f>IF($A906&lt;&gt;"",'Approved-In-Depth'!C906,"")</f>
        <v/>
      </c>
      <c r="D906" t="str">
        <f>IF($A906&lt;&gt;"",'Approved-In-Depth'!D906,"")</f>
        <v/>
      </c>
      <c r="E906" t="str">
        <f>IF($A906&lt;&gt;"",'Approved-In-Depth'!E906,"")</f>
        <v/>
      </c>
      <c r="F906" t="str">
        <f>IF($A906&lt;&gt;"",'Approved-In-Depth'!F906,"")</f>
        <v/>
      </c>
      <c r="G906" t="str">
        <f>IF($A906&lt;&gt;"",'Approved-In-Depth'!G906,"")</f>
        <v/>
      </c>
      <c r="H906" s="4" t="str">
        <f>IF($A906&lt;&gt;"",'Approved-In-Depth'!H906,"")</f>
        <v/>
      </c>
      <c r="I906" t="str">
        <f>IF($A906&lt;&gt;"",'Approved-In-Depth'!I906,"")</f>
        <v/>
      </c>
      <c r="J906" t="str">
        <f>IF($A906&lt;&gt;"",'Approved-In-Depth'!J906,"")</f>
        <v/>
      </c>
      <c r="K906" t="str">
        <f>IF($A906&lt;&gt;"",'Approved-In-Depth'!K906,"")</f>
        <v/>
      </c>
      <c r="L906" s="4" t="str">
        <f>IF($A906&lt;&gt;"",'Approved-In-Depth'!L906,"")</f>
        <v/>
      </c>
      <c r="M906" t="str">
        <f>IF($A906&lt;&gt;"",'Approved-In-Depth'!M906,"")</f>
        <v/>
      </c>
    </row>
    <row r="907" spans="1:13" x14ac:dyDescent="0.35">
      <c r="A907" s="4" t="str">
        <f>IF('Approved-In-Depth'!$A907&lt;&gt;"",'Approved-In-Depth'!A907,"")</f>
        <v/>
      </c>
      <c r="B907" t="str">
        <f>IF($O907&lt;&gt;"",$O907,IF($A907&lt;&gt;"",'Approved-In-Depth'!$B907+7,""))</f>
        <v/>
      </c>
      <c r="C907" t="str">
        <f>IF($A907&lt;&gt;"",'Approved-In-Depth'!C907,"")</f>
        <v/>
      </c>
      <c r="D907" t="str">
        <f>IF($A907&lt;&gt;"",'Approved-In-Depth'!D907,"")</f>
        <v/>
      </c>
      <c r="E907" t="str">
        <f>IF($A907&lt;&gt;"",'Approved-In-Depth'!E907,"")</f>
        <v/>
      </c>
      <c r="F907" t="str">
        <f>IF($A907&lt;&gt;"",'Approved-In-Depth'!F907,"")</f>
        <v/>
      </c>
      <c r="G907" t="str">
        <f>IF($A907&lt;&gt;"",'Approved-In-Depth'!G907,"")</f>
        <v/>
      </c>
      <c r="H907" s="4" t="str">
        <f>IF($A907&lt;&gt;"",'Approved-In-Depth'!H907,"")</f>
        <v/>
      </c>
      <c r="I907" t="str">
        <f>IF($A907&lt;&gt;"",'Approved-In-Depth'!I907,"")</f>
        <v/>
      </c>
      <c r="J907" t="str">
        <f>IF($A907&lt;&gt;"",'Approved-In-Depth'!J907,"")</f>
        <v/>
      </c>
      <c r="K907" t="str">
        <f>IF($A907&lt;&gt;"",'Approved-In-Depth'!K907,"")</f>
        <v/>
      </c>
      <c r="L907" s="4" t="str">
        <f>IF($A907&lt;&gt;"",'Approved-In-Depth'!L907,"")</f>
        <v/>
      </c>
      <c r="M907" t="str">
        <f>IF($A907&lt;&gt;"",'Approved-In-Depth'!M907,"")</f>
        <v/>
      </c>
    </row>
    <row r="908" spans="1:13" x14ac:dyDescent="0.35">
      <c r="A908" s="4" t="str">
        <f>IF('Approved-In-Depth'!$A908&lt;&gt;"",'Approved-In-Depth'!A908,"")</f>
        <v/>
      </c>
      <c r="B908" t="str">
        <f>IF($O908&lt;&gt;"",$O908,IF($A908&lt;&gt;"",'Approved-In-Depth'!$B908+7,""))</f>
        <v/>
      </c>
      <c r="C908" t="str">
        <f>IF($A908&lt;&gt;"",'Approved-In-Depth'!C908,"")</f>
        <v/>
      </c>
      <c r="D908" t="str">
        <f>IF($A908&lt;&gt;"",'Approved-In-Depth'!D908,"")</f>
        <v/>
      </c>
      <c r="E908" t="str">
        <f>IF($A908&lt;&gt;"",'Approved-In-Depth'!E908,"")</f>
        <v/>
      </c>
      <c r="F908" t="str">
        <f>IF($A908&lt;&gt;"",'Approved-In-Depth'!F908,"")</f>
        <v/>
      </c>
      <c r="G908" t="str">
        <f>IF($A908&lt;&gt;"",'Approved-In-Depth'!G908,"")</f>
        <v/>
      </c>
      <c r="H908" s="4" t="str">
        <f>IF($A908&lt;&gt;"",'Approved-In-Depth'!H908,"")</f>
        <v/>
      </c>
      <c r="I908" t="str">
        <f>IF($A908&lt;&gt;"",'Approved-In-Depth'!I908,"")</f>
        <v/>
      </c>
      <c r="J908" t="str">
        <f>IF($A908&lt;&gt;"",'Approved-In-Depth'!J908,"")</f>
        <v/>
      </c>
      <c r="K908" t="str">
        <f>IF($A908&lt;&gt;"",'Approved-In-Depth'!K908,"")</f>
        <v/>
      </c>
      <c r="L908" s="4" t="str">
        <f>IF($A908&lt;&gt;"",'Approved-In-Depth'!L908,"")</f>
        <v/>
      </c>
      <c r="M908" t="str">
        <f>IF($A908&lt;&gt;"",'Approved-In-Depth'!M908,"")</f>
        <v/>
      </c>
    </row>
    <row r="909" spans="1:13" x14ac:dyDescent="0.35">
      <c r="A909" s="4" t="str">
        <f>IF('Approved-In-Depth'!$A909&lt;&gt;"",'Approved-In-Depth'!A909,"")</f>
        <v/>
      </c>
      <c r="B909" t="str">
        <f>IF($O909&lt;&gt;"",$O909,IF($A909&lt;&gt;"",'Approved-In-Depth'!$B909+7,""))</f>
        <v/>
      </c>
      <c r="C909" t="str">
        <f>IF($A909&lt;&gt;"",'Approved-In-Depth'!C909,"")</f>
        <v/>
      </c>
      <c r="D909" t="str">
        <f>IF($A909&lt;&gt;"",'Approved-In-Depth'!D909,"")</f>
        <v/>
      </c>
      <c r="E909" t="str">
        <f>IF($A909&lt;&gt;"",'Approved-In-Depth'!E909,"")</f>
        <v/>
      </c>
      <c r="F909" t="str">
        <f>IF($A909&lt;&gt;"",'Approved-In-Depth'!F909,"")</f>
        <v/>
      </c>
      <c r="G909" t="str">
        <f>IF($A909&lt;&gt;"",'Approved-In-Depth'!G909,"")</f>
        <v/>
      </c>
      <c r="H909" s="4" t="str">
        <f>IF($A909&lt;&gt;"",'Approved-In-Depth'!H909,"")</f>
        <v/>
      </c>
      <c r="I909" t="str">
        <f>IF($A909&lt;&gt;"",'Approved-In-Depth'!I909,"")</f>
        <v/>
      </c>
      <c r="J909" t="str">
        <f>IF($A909&lt;&gt;"",'Approved-In-Depth'!J909,"")</f>
        <v/>
      </c>
      <c r="K909" t="str">
        <f>IF($A909&lt;&gt;"",'Approved-In-Depth'!K909,"")</f>
        <v/>
      </c>
      <c r="L909" s="4" t="str">
        <f>IF($A909&lt;&gt;"",'Approved-In-Depth'!L909,"")</f>
        <v/>
      </c>
      <c r="M909" t="str">
        <f>IF($A909&lt;&gt;"",'Approved-In-Depth'!M909,"")</f>
        <v/>
      </c>
    </row>
    <row r="910" spans="1:13" x14ac:dyDescent="0.35">
      <c r="A910" s="4" t="str">
        <f>IF('Approved-In-Depth'!$A910&lt;&gt;"",'Approved-In-Depth'!A910,"")</f>
        <v/>
      </c>
      <c r="B910" t="str">
        <f>IF($O910&lt;&gt;"",$O910,IF($A910&lt;&gt;"",'Approved-In-Depth'!$B910+7,""))</f>
        <v/>
      </c>
      <c r="C910" t="str">
        <f>IF($A910&lt;&gt;"",'Approved-In-Depth'!C910,"")</f>
        <v/>
      </c>
      <c r="D910" t="str">
        <f>IF($A910&lt;&gt;"",'Approved-In-Depth'!D910,"")</f>
        <v/>
      </c>
      <c r="E910" t="str">
        <f>IF($A910&lt;&gt;"",'Approved-In-Depth'!E910,"")</f>
        <v/>
      </c>
      <c r="F910" t="str">
        <f>IF($A910&lt;&gt;"",'Approved-In-Depth'!F910,"")</f>
        <v/>
      </c>
      <c r="G910" t="str">
        <f>IF($A910&lt;&gt;"",'Approved-In-Depth'!G910,"")</f>
        <v/>
      </c>
      <c r="H910" s="4" t="str">
        <f>IF($A910&lt;&gt;"",'Approved-In-Depth'!H910,"")</f>
        <v/>
      </c>
      <c r="I910" t="str">
        <f>IF($A910&lt;&gt;"",'Approved-In-Depth'!I910,"")</f>
        <v/>
      </c>
      <c r="J910" t="str">
        <f>IF($A910&lt;&gt;"",'Approved-In-Depth'!J910,"")</f>
        <v/>
      </c>
      <c r="K910" t="str">
        <f>IF($A910&lt;&gt;"",'Approved-In-Depth'!K910,"")</f>
        <v/>
      </c>
      <c r="L910" s="4" t="str">
        <f>IF($A910&lt;&gt;"",'Approved-In-Depth'!L910,"")</f>
        <v/>
      </c>
      <c r="M910" t="str">
        <f>IF($A910&lt;&gt;"",'Approved-In-Depth'!M910,"")</f>
        <v/>
      </c>
    </row>
    <row r="911" spans="1:13" x14ac:dyDescent="0.35">
      <c r="A911" s="4" t="str">
        <f>IF('Approved-In-Depth'!$A911&lt;&gt;"",'Approved-In-Depth'!A911,"")</f>
        <v/>
      </c>
      <c r="B911" t="str">
        <f>IF($O911&lt;&gt;"",$O911,IF($A911&lt;&gt;"",'Approved-In-Depth'!$B911+7,""))</f>
        <v/>
      </c>
      <c r="C911" t="str">
        <f>IF($A911&lt;&gt;"",'Approved-In-Depth'!C911,"")</f>
        <v/>
      </c>
      <c r="D911" t="str">
        <f>IF($A911&lt;&gt;"",'Approved-In-Depth'!D911,"")</f>
        <v/>
      </c>
      <c r="E911" t="str">
        <f>IF($A911&lt;&gt;"",'Approved-In-Depth'!E911,"")</f>
        <v/>
      </c>
      <c r="F911" t="str">
        <f>IF($A911&lt;&gt;"",'Approved-In-Depth'!F911,"")</f>
        <v/>
      </c>
      <c r="G911" t="str">
        <f>IF($A911&lt;&gt;"",'Approved-In-Depth'!G911,"")</f>
        <v/>
      </c>
      <c r="H911" s="4" t="str">
        <f>IF($A911&lt;&gt;"",'Approved-In-Depth'!H911,"")</f>
        <v/>
      </c>
      <c r="I911" t="str">
        <f>IF($A911&lt;&gt;"",'Approved-In-Depth'!I911,"")</f>
        <v/>
      </c>
      <c r="J911" t="str">
        <f>IF($A911&lt;&gt;"",'Approved-In-Depth'!J911,"")</f>
        <v/>
      </c>
      <c r="K911" t="str">
        <f>IF($A911&lt;&gt;"",'Approved-In-Depth'!K911,"")</f>
        <v/>
      </c>
      <c r="L911" s="4" t="str">
        <f>IF($A911&lt;&gt;"",'Approved-In-Depth'!L911,"")</f>
        <v/>
      </c>
      <c r="M911" t="str">
        <f>IF($A911&lt;&gt;"",'Approved-In-Depth'!M911,"")</f>
        <v/>
      </c>
    </row>
    <row r="912" spans="1:13" x14ac:dyDescent="0.35">
      <c r="A912" s="4" t="str">
        <f>IF('Approved-In-Depth'!$A912&lt;&gt;"",'Approved-In-Depth'!A912,"")</f>
        <v/>
      </c>
      <c r="B912" t="str">
        <f>IF($O912&lt;&gt;"",$O912,IF($A912&lt;&gt;"",'Approved-In-Depth'!$B912+7,""))</f>
        <v/>
      </c>
      <c r="C912" t="str">
        <f>IF($A912&lt;&gt;"",'Approved-In-Depth'!C912,"")</f>
        <v/>
      </c>
      <c r="D912" t="str">
        <f>IF($A912&lt;&gt;"",'Approved-In-Depth'!D912,"")</f>
        <v/>
      </c>
      <c r="E912" t="str">
        <f>IF($A912&lt;&gt;"",'Approved-In-Depth'!E912,"")</f>
        <v/>
      </c>
      <c r="F912" t="str">
        <f>IF($A912&lt;&gt;"",'Approved-In-Depth'!F912,"")</f>
        <v/>
      </c>
      <c r="G912" t="str">
        <f>IF($A912&lt;&gt;"",'Approved-In-Depth'!G912,"")</f>
        <v/>
      </c>
      <c r="H912" s="4" t="str">
        <f>IF($A912&lt;&gt;"",'Approved-In-Depth'!H912,"")</f>
        <v/>
      </c>
      <c r="I912" t="str">
        <f>IF($A912&lt;&gt;"",'Approved-In-Depth'!I912,"")</f>
        <v/>
      </c>
      <c r="J912" t="str">
        <f>IF($A912&lt;&gt;"",'Approved-In-Depth'!J912,"")</f>
        <v/>
      </c>
      <c r="K912" t="str">
        <f>IF($A912&lt;&gt;"",'Approved-In-Depth'!K912,"")</f>
        <v/>
      </c>
      <c r="L912" s="4" t="str">
        <f>IF($A912&lt;&gt;"",'Approved-In-Depth'!L912,"")</f>
        <v/>
      </c>
      <c r="M912" t="str">
        <f>IF($A912&lt;&gt;"",'Approved-In-Depth'!M912,"")</f>
        <v/>
      </c>
    </row>
    <row r="913" spans="1:13" x14ac:dyDescent="0.35">
      <c r="A913" s="4" t="str">
        <f>IF('Approved-In-Depth'!$A913&lt;&gt;"",'Approved-In-Depth'!A913,"")</f>
        <v/>
      </c>
      <c r="B913" t="str">
        <f>IF($O913&lt;&gt;"",$O913,IF($A913&lt;&gt;"",'Approved-In-Depth'!$B913+7,""))</f>
        <v/>
      </c>
      <c r="C913" t="str">
        <f>IF($A913&lt;&gt;"",'Approved-In-Depth'!C913,"")</f>
        <v/>
      </c>
      <c r="D913" t="str">
        <f>IF($A913&lt;&gt;"",'Approved-In-Depth'!D913,"")</f>
        <v/>
      </c>
      <c r="E913" t="str">
        <f>IF($A913&lt;&gt;"",'Approved-In-Depth'!E913,"")</f>
        <v/>
      </c>
      <c r="F913" t="str">
        <f>IF($A913&lt;&gt;"",'Approved-In-Depth'!F913,"")</f>
        <v/>
      </c>
      <c r="G913" t="str">
        <f>IF($A913&lt;&gt;"",'Approved-In-Depth'!G913,"")</f>
        <v/>
      </c>
      <c r="H913" s="4" t="str">
        <f>IF($A913&lt;&gt;"",'Approved-In-Depth'!H913,"")</f>
        <v/>
      </c>
      <c r="I913" t="str">
        <f>IF($A913&lt;&gt;"",'Approved-In-Depth'!I913,"")</f>
        <v/>
      </c>
      <c r="J913" t="str">
        <f>IF($A913&lt;&gt;"",'Approved-In-Depth'!J913,"")</f>
        <v/>
      </c>
      <c r="K913" t="str">
        <f>IF($A913&lt;&gt;"",'Approved-In-Depth'!K913,"")</f>
        <v/>
      </c>
      <c r="L913" s="4" t="str">
        <f>IF($A913&lt;&gt;"",'Approved-In-Depth'!L913,"")</f>
        <v/>
      </c>
      <c r="M913" t="str">
        <f>IF($A913&lt;&gt;"",'Approved-In-Depth'!M913,"")</f>
        <v/>
      </c>
    </row>
    <row r="914" spans="1:13" x14ac:dyDescent="0.35">
      <c r="A914" s="4" t="str">
        <f>IF('Approved-In-Depth'!$A914&lt;&gt;"",'Approved-In-Depth'!A914,"")</f>
        <v/>
      </c>
      <c r="B914" t="str">
        <f>IF($O914&lt;&gt;"",$O914,IF($A914&lt;&gt;"",'Approved-In-Depth'!$B914+7,""))</f>
        <v/>
      </c>
      <c r="C914" t="str">
        <f>IF($A914&lt;&gt;"",'Approved-In-Depth'!C914,"")</f>
        <v/>
      </c>
      <c r="D914" t="str">
        <f>IF($A914&lt;&gt;"",'Approved-In-Depth'!D914,"")</f>
        <v/>
      </c>
      <c r="E914" t="str">
        <f>IF($A914&lt;&gt;"",'Approved-In-Depth'!E914,"")</f>
        <v/>
      </c>
      <c r="F914" t="str">
        <f>IF($A914&lt;&gt;"",'Approved-In-Depth'!F914,"")</f>
        <v/>
      </c>
      <c r="G914" t="str">
        <f>IF($A914&lt;&gt;"",'Approved-In-Depth'!G914,"")</f>
        <v/>
      </c>
      <c r="H914" s="4" t="str">
        <f>IF($A914&lt;&gt;"",'Approved-In-Depth'!H914,"")</f>
        <v/>
      </c>
      <c r="I914" t="str">
        <f>IF($A914&lt;&gt;"",'Approved-In-Depth'!I914,"")</f>
        <v/>
      </c>
      <c r="J914" t="str">
        <f>IF($A914&lt;&gt;"",'Approved-In-Depth'!J914,"")</f>
        <v/>
      </c>
      <c r="K914" t="str">
        <f>IF($A914&lt;&gt;"",'Approved-In-Depth'!K914,"")</f>
        <v/>
      </c>
      <c r="L914" s="4" t="str">
        <f>IF($A914&lt;&gt;"",'Approved-In-Depth'!L914,"")</f>
        <v/>
      </c>
      <c r="M914" t="str">
        <f>IF($A914&lt;&gt;"",'Approved-In-Depth'!M914,"")</f>
        <v/>
      </c>
    </row>
    <row r="915" spans="1:13" x14ac:dyDescent="0.35">
      <c r="A915" s="4" t="str">
        <f>IF('Approved-In-Depth'!$A915&lt;&gt;"",'Approved-In-Depth'!A915,"")</f>
        <v/>
      </c>
      <c r="B915" t="str">
        <f>IF($O915&lt;&gt;"",$O915,IF($A915&lt;&gt;"",'Approved-In-Depth'!$B915+7,""))</f>
        <v/>
      </c>
      <c r="C915" t="str">
        <f>IF($A915&lt;&gt;"",'Approved-In-Depth'!C915,"")</f>
        <v/>
      </c>
      <c r="D915" t="str">
        <f>IF($A915&lt;&gt;"",'Approved-In-Depth'!D915,"")</f>
        <v/>
      </c>
      <c r="E915" t="str">
        <f>IF($A915&lt;&gt;"",'Approved-In-Depth'!E915,"")</f>
        <v/>
      </c>
      <c r="F915" t="str">
        <f>IF($A915&lt;&gt;"",'Approved-In-Depth'!F915,"")</f>
        <v/>
      </c>
      <c r="G915" t="str">
        <f>IF($A915&lt;&gt;"",'Approved-In-Depth'!G915,"")</f>
        <v/>
      </c>
      <c r="H915" s="4" t="str">
        <f>IF($A915&lt;&gt;"",'Approved-In-Depth'!H915,"")</f>
        <v/>
      </c>
      <c r="I915" t="str">
        <f>IF($A915&lt;&gt;"",'Approved-In-Depth'!I915,"")</f>
        <v/>
      </c>
      <c r="J915" t="str">
        <f>IF($A915&lt;&gt;"",'Approved-In-Depth'!J915,"")</f>
        <v/>
      </c>
      <c r="K915" t="str">
        <f>IF($A915&lt;&gt;"",'Approved-In-Depth'!K915,"")</f>
        <v/>
      </c>
      <c r="L915" s="4" t="str">
        <f>IF($A915&lt;&gt;"",'Approved-In-Depth'!L915,"")</f>
        <v/>
      </c>
      <c r="M915" t="str">
        <f>IF($A915&lt;&gt;"",'Approved-In-Depth'!M915,"")</f>
        <v/>
      </c>
    </row>
    <row r="916" spans="1:13" x14ac:dyDescent="0.35">
      <c r="A916" s="4" t="str">
        <f>IF('Approved-In-Depth'!$A916&lt;&gt;"",'Approved-In-Depth'!A916,"")</f>
        <v/>
      </c>
      <c r="B916" t="str">
        <f>IF($O916&lt;&gt;"",$O916,IF($A916&lt;&gt;"",'Approved-In-Depth'!$B916+7,""))</f>
        <v/>
      </c>
      <c r="C916" t="str">
        <f>IF($A916&lt;&gt;"",'Approved-In-Depth'!C916,"")</f>
        <v/>
      </c>
      <c r="D916" t="str">
        <f>IF($A916&lt;&gt;"",'Approved-In-Depth'!D916,"")</f>
        <v/>
      </c>
      <c r="E916" t="str">
        <f>IF($A916&lt;&gt;"",'Approved-In-Depth'!E916,"")</f>
        <v/>
      </c>
      <c r="F916" t="str">
        <f>IF($A916&lt;&gt;"",'Approved-In-Depth'!F916,"")</f>
        <v/>
      </c>
      <c r="G916" t="str">
        <f>IF($A916&lt;&gt;"",'Approved-In-Depth'!G916,"")</f>
        <v/>
      </c>
      <c r="H916" s="4" t="str">
        <f>IF($A916&lt;&gt;"",'Approved-In-Depth'!H916,"")</f>
        <v/>
      </c>
      <c r="I916" t="str">
        <f>IF($A916&lt;&gt;"",'Approved-In-Depth'!I916,"")</f>
        <v/>
      </c>
      <c r="J916" t="str">
        <f>IF($A916&lt;&gt;"",'Approved-In-Depth'!J916,"")</f>
        <v/>
      </c>
      <c r="K916" t="str">
        <f>IF($A916&lt;&gt;"",'Approved-In-Depth'!K916,"")</f>
        <v/>
      </c>
      <c r="L916" s="4" t="str">
        <f>IF($A916&lt;&gt;"",'Approved-In-Depth'!L916,"")</f>
        <v/>
      </c>
      <c r="M916" t="str">
        <f>IF($A916&lt;&gt;"",'Approved-In-Depth'!M916,"")</f>
        <v/>
      </c>
    </row>
    <row r="917" spans="1:13" x14ac:dyDescent="0.35">
      <c r="A917" s="4" t="str">
        <f>IF('Approved-In-Depth'!$A917&lt;&gt;"",'Approved-In-Depth'!A917,"")</f>
        <v/>
      </c>
      <c r="B917" t="str">
        <f>IF($O917&lt;&gt;"",$O917,IF($A917&lt;&gt;"",'Approved-In-Depth'!$B917+7,""))</f>
        <v/>
      </c>
      <c r="C917" t="str">
        <f>IF($A917&lt;&gt;"",'Approved-In-Depth'!C917,"")</f>
        <v/>
      </c>
      <c r="D917" t="str">
        <f>IF($A917&lt;&gt;"",'Approved-In-Depth'!D917,"")</f>
        <v/>
      </c>
      <c r="E917" t="str">
        <f>IF($A917&lt;&gt;"",'Approved-In-Depth'!E917,"")</f>
        <v/>
      </c>
      <c r="F917" t="str">
        <f>IF($A917&lt;&gt;"",'Approved-In-Depth'!F917,"")</f>
        <v/>
      </c>
      <c r="G917" t="str">
        <f>IF($A917&lt;&gt;"",'Approved-In-Depth'!G917,"")</f>
        <v/>
      </c>
      <c r="H917" s="4" t="str">
        <f>IF($A917&lt;&gt;"",'Approved-In-Depth'!H917,"")</f>
        <v/>
      </c>
      <c r="I917" t="str">
        <f>IF($A917&lt;&gt;"",'Approved-In-Depth'!I917,"")</f>
        <v/>
      </c>
      <c r="J917" t="str">
        <f>IF($A917&lt;&gt;"",'Approved-In-Depth'!J917,"")</f>
        <v/>
      </c>
      <c r="K917" t="str">
        <f>IF($A917&lt;&gt;"",'Approved-In-Depth'!K917,"")</f>
        <v/>
      </c>
      <c r="L917" s="4" t="str">
        <f>IF($A917&lt;&gt;"",'Approved-In-Depth'!L917,"")</f>
        <v/>
      </c>
      <c r="M917" t="str">
        <f>IF($A917&lt;&gt;"",'Approved-In-Depth'!M917,"")</f>
        <v/>
      </c>
    </row>
    <row r="918" spans="1:13" x14ac:dyDescent="0.35">
      <c r="A918" s="4" t="str">
        <f>IF('Approved-In-Depth'!$A918&lt;&gt;"",'Approved-In-Depth'!A918,"")</f>
        <v/>
      </c>
      <c r="B918" t="str">
        <f>IF($O918&lt;&gt;"",$O918,IF($A918&lt;&gt;"",'Approved-In-Depth'!$B918+7,""))</f>
        <v/>
      </c>
      <c r="C918" t="str">
        <f>IF($A918&lt;&gt;"",'Approved-In-Depth'!C918,"")</f>
        <v/>
      </c>
      <c r="D918" t="str">
        <f>IF($A918&lt;&gt;"",'Approved-In-Depth'!D918,"")</f>
        <v/>
      </c>
      <c r="E918" t="str">
        <f>IF($A918&lt;&gt;"",'Approved-In-Depth'!E918,"")</f>
        <v/>
      </c>
      <c r="F918" t="str">
        <f>IF($A918&lt;&gt;"",'Approved-In-Depth'!F918,"")</f>
        <v/>
      </c>
      <c r="G918" t="str">
        <f>IF($A918&lt;&gt;"",'Approved-In-Depth'!G918,"")</f>
        <v/>
      </c>
      <c r="H918" s="4" t="str">
        <f>IF($A918&lt;&gt;"",'Approved-In-Depth'!H918,"")</f>
        <v/>
      </c>
      <c r="I918" t="str">
        <f>IF($A918&lt;&gt;"",'Approved-In-Depth'!I918,"")</f>
        <v/>
      </c>
      <c r="J918" t="str">
        <f>IF($A918&lt;&gt;"",'Approved-In-Depth'!J918,"")</f>
        <v/>
      </c>
      <c r="K918" t="str">
        <f>IF($A918&lt;&gt;"",'Approved-In-Depth'!K918,"")</f>
        <v/>
      </c>
      <c r="L918" s="4" t="str">
        <f>IF($A918&lt;&gt;"",'Approved-In-Depth'!L918,"")</f>
        <v/>
      </c>
      <c r="M918" t="str">
        <f>IF($A918&lt;&gt;"",'Approved-In-Depth'!M918,"")</f>
        <v/>
      </c>
    </row>
    <row r="919" spans="1:13" x14ac:dyDescent="0.35">
      <c r="A919" s="4" t="str">
        <f>IF('Approved-In-Depth'!$A919&lt;&gt;"",'Approved-In-Depth'!A919,"")</f>
        <v/>
      </c>
      <c r="B919" t="str">
        <f>IF($O919&lt;&gt;"",$O919,IF($A919&lt;&gt;"",'Approved-In-Depth'!$B919+7,""))</f>
        <v/>
      </c>
      <c r="C919" t="str">
        <f>IF($A919&lt;&gt;"",'Approved-In-Depth'!C919,"")</f>
        <v/>
      </c>
      <c r="D919" t="str">
        <f>IF($A919&lt;&gt;"",'Approved-In-Depth'!D919,"")</f>
        <v/>
      </c>
      <c r="E919" t="str">
        <f>IF($A919&lt;&gt;"",'Approved-In-Depth'!E919,"")</f>
        <v/>
      </c>
      <c r="F919" t="str">
        <f>IF($A919&lt;&gt;"",'Approved-In-Depth'!F919,"")</f>
        <v/>
      </c>
      <c r="G919" t="str">
        <f>IF($A919&lt;&gt;"",'Approved-In-Depth'!G919,"")</f>
        <v/>
      </c>
      <c r="H919" s="4" t="str">
        <f>IF($A919&lt;&gt;"",'Approved-In-Depth'!H919,"")</f>
        <v/>
      </c>
      <c r="I919" t="str">
        <f>IF($A919&lt;&gt;"",'Approved-In-Depth'!I919,"")</f>
        <v/>
      </c>
      <c r="J919" t="str">
        <f>IF($A919&lt;&gt;"",'Approved-In-Depth'!J919,"")</f>
        <v/>
      </c>
      <c r="K919" t="str">
        <f>IF($A919&lt;&gt;"",'Approved-In-Depth'!K919,"")</f>
        <v/>
      </c>
      <c r="L919" s="4" t="str">
        <f>IF($A919&lt;&gt;"",'Approved-In-Depth'!L919,"")</f>
        <v/>
      </c>
      <c r="M919" t="str">
        <f>IF($A919&lt;&gt;"",'Approved-In-Depth'!M919,"")</f>
        <v/>
      </c>
    </row>
    <row r="920" spans="1:13" x14ac:dyDescent="0.35">
      <c r="A920" s="4" t="str">
        <f>IF('Approved-In-Depth'!$A920&lt;&gt;"",'Approved-In-Depth'!A920,"")</f>
        <v/>
      </c>
      <c r="B920" t="str">
        <f>IF($O920&lt;&gt;"",$O920,IF($A920&lt;&gt;"",'Approved-In-Depth'!$B920+7,""))</f>
        <v/>
      </c>
      <c r="C920" t="str">
        <f>IF($A920&lt;&gt;"",'Approved-In-Depth'!C920,"")</f>
        <v/>
      </c>
      <c r="D920" t="str">
        <f>IF($A920&lt;&gt;"",'Approved-In-Depth'!D920,"")</f>
        <v/>
      </c>
      <c r="E920" t="str">
        <f>IF($A920&lt;&gt;"",'Approved-In-Depth'!E920,"")</f>
        <v/>
      </c>
      <c r="F920" t="str">
        <f>IF($A920&lt;&gt;"",'Approved-In-Depth'!F920,"")</f>
        <v/>
      </c>
      <c r="G920" t="str">
        <f>IF($A920&lt;&gt;"",'Approved-In-Depth'!G920,"")</f>
        <v/>
      </c>
      <c r="H920" s="4" t="str">
        <f>IF($A920&lt;&gt;"",'Approved-In-Depth'!H920,"")</f>
        <v/>
      </c>
      <c r="I920" t="str">
        <f>IF($A920&lt;&gt;"",'Approved-In-Depth'!I920,"")</f>
        <v/>
      </c>
      <c r="J920" t="str">
        <f>IF($A920&lt;&gt;"",'Approved-In-Depth'!J920,"")</f>
        <v/>
      </c>
      <c r="K920" t="str">
        <f>IF($A920&lt;&gt;"",'Approved-In-Depth'!K920,"")</f>
        <v/>
      </c>
      <c r="L920" s="4" t="str">
        <f>IF($A920&lt;&gt;"",'Approved-In-Depth'!L920,"")</f>
        <v/>
      </c>
      <c r="M920" t="str">
        <f>IF($A920&lt;&gt;"",'Approved-In-Depth'!M920,"")</f>
        <v/>
      </c>
    </row>
    <row r="921" spans="1:13" x14ac:dyDescent="0.35">
      <c r="A921" s="4" t="str">
        <f>IF('Approved-In-Depth'!$A921&lt;&gt;"",'Approved-In-Depth'!A921,"")</f>
        <v/>
      </c>
      <c r="B921" t="str">
        <f>IF($O921&lt;&gt;"",$O921,IF($A921&lt;&gt;"",'Approved-In-Depth'!$B921+7,""))</f>
        <v/>
      </c>
      <c r="C921" t="str">
        <f>IF($A921&lt;&gt;"",'Approved-In-Depth'!C921,"")</f>
        <v/>
      </c>
      <c r="D921" t="str">
        <f>IF($A921&lt;&gt;"",'Approved-In-Depth'!D921,"")</f>
        <v/>
      </c>
      <c r="E921" t="str">
        <f>IF($A921&lt;&gt;"",'Approved-In-Depth'!E921,"")</f>
        <v/>
      </c>
      <c r="F921" t="str">
        <f>IF($A921&lt;&gt;"",'Approved-In-Depth'!F921,"")</f>
        <v/>
      </c>
      <c r="G921" t="str">
        <f>IF($A921&lt;&gt;"",'Approved-In-Depth'!G921,"")</f>
        <v/>
      </c>
      <c r="H921" s="4" t="str">
        <f>IF($A921&lt;&gt;"",'Approved-In-Depth'!H921,"")</f>
        <v/>
      </c>
      <c r="I921" t="str">
        <f>IF($A921&lt;&gt;"",'Approved-In-Depth'!I921,"")</f>
        <v/>
      </c>
      <c r="J921" t="str">
        <f>IF($A921&lt;&gt;"",'Approved-In-Depth'!J921,"")</f>
        <v/>
      </c>
      <c r="K921" t="str">
        <f>IF($A921&lt;&gt;"",'Approved-In-Depth'!K921,"")</f>
        <v/>
      </c>
      <c r="L921" s="4" t="str">
        <f>IF($A921&lt;&gt;"",'Approved-In-Depth'!L921,"")</f>
        <v/>
      </c>
      <c r="M921" t="str">
        <f>IF($A921&lt;&gt;"",'Approved-In-Depth'!M921,"")</f>
        <v/>
      </c>
    </row>
    <row r="922" spans="1:13" x14ac:dyDescent="0.35">
      <c r="A922" s="4" t="str">
        <f>IF('Approved-In-Depth'!$A922&lt;&gt;"",'Approved-In-Depth'!A922,"")</f>
        <v/>
      </c>
      <c r="B922" t="str">
        <f>IF($O922&lt;&gt;"",$O922,IF($A922&lt;&gt;"",'Approved-In-Depth'!$B922+7,""))</f>
        <v/>
      </c>
      <c r="C922" t="str">
        <f>IF($A922&lt;&gt;"",'Approved-In-Depth'!C922,"")</f>
        <v/>
      </c>
      <c r="D922" t="str">
        <f>IF($A922&lt;&gt;"",'Approved-In-Depth'!D922,"")</f>
        <v/>
      </c>
      <c r="E922" t="str">
        <f>IF($A922&lt;&gt;"",'Approved-In-Depth'!E922,"")</f>
        <v/>
      </c>
      <c r="F922" t="str">
        <f>IF($A922&lt;&gt;"",'Approved-In-Depth'!F922,"")</f>
        <v/>
      </c>
      <c r="G922" t="str">
        <f>IF($A922&lt;&gt;"",'Approved-In-Depth'!G922,"")</f>
        <v/>
      </c>
      <c r="H922" s="4" t="str">
        <f>IF($A922&lt;&gt;"",'Approved-In-Depth'!H922,"")</f>
        <v/>
      </c>
      <c r="I922" t="str">
        <f>IF($A922&lt;&gt;"",'Approved-In-Depth'!I922,"")</f>
        <v/>
      </c>
      <c r="J922" t="str">
        <f>IF($A922&lt;&gt;"",'Approved-In-Depth'!J922,"")</f>
        <v/>
      </c>
      <c r="K922" t="str">
        <f>IF($A922&lt;&gt;"",'Approved-In-Depth'!K922,"")</f>
        <v/>
      </c>
      <c r="L922" s="4" t="str">
        <f>IF($A922&lt;&gt;"",'Approved-In-Depth'!L922,"")</f>
        <v/>
      </c>
      <c r="M922" t="str">
        <f>IF($A922&lt;&gt;"",'Approved-In-Depth'!M922,"")</f>
        <v/>
      </c>
    </row>
    <row r="923" spans="1:13" x14ac:dyDescent="0.35">
      <c r="A923" s="4" t="str">
        <f>IF('Approved-In-Depth'!$A923&lt;&gt;"",'Approved-In-Depth'!A923,"")</f>
        <v/>
      </c>
      <c r="B923" t="str">
        <f>IF($O923&lt;&gt;"",$O923,IF($A923&lt;&gt;"",'Approved-In-Depth'!$B923+7,""))</f>
        <v/>
      </c>
      <c r="C923" t="str">
        <f>IF($A923&lt;&gt;"",'Approved-In-Depth'!C923,"")</f>
        <v/>
      </c>
      <c r="D923" t="str">
        <f>IF($A923&lt;&gt;"",'Approved-In-Depth'!D923,"")</f>
        <v/>
      </c>
      <c r="E923" t="str">
        <f>IF($A923&lt;&gt;"",'Approved-In-Depth'!E923,"")</f>
        <v/>
      </c>
      <c r="F923" t="str">
        <f>IF($A923&lt;&gt;"",'Approved-In-Depth'!F923,"")</f>
        <v/>
      </c>
      <c r="G923" t="str">
        <f>IF($A923&lt;&gt;"",'Approved-In-Depth'!G923,"")</f>
        <v/>
      </c>
      <c r="H923" s="4" t="str">
        <f>IF($A923&lt;&gt;"",'Approved-In-Depth'!H923,"")</f>
        <v/>
      </c>
      <c r="I923" t="str">
        <f>IF($A923&lt;&gt;"",'Approved-In-Depth'!I923,"")</f>
        <v/>
      </c>
      <c r="J923" t="str">
        <f>IF($A923&lt;&gt;"",'Approved-In-Depth'!J923,"")</f>
        <v/>
      </c>
      <c r="K923" t="str">
        <f>IF($A923&lt;&gt;"",'Approved-In-Depth'!K923,"")</f>
        <v/>
      </c>
      <c r="L923" s="4" t="str">
        <f>IF($A923&lt;&gt;"",'Approved-In-Depth'!L923,"")</f>
        <v/>
      </c>
      <c r="M923" t="str">
        <f>IF($A923&lt;&gt;"",'Approved-In-Depth'!M923,"")</f>
        <v/>
      </c>
    </row>
    <row r="924" spans="1:13" x14ac:dyDescent="0.35">
      <c r="A924" s="4" t="str">
        <f>IF('Approved-In-Depth'!$A924&lt;&gt;"",'Approved-In-Depth'!A924,"")</f>
        <v/>
      </c>
      <c r="B924" t="str">
        <f>IF($O924&lt;&gt;"",$O924,IF($A924&lt;&gt;"",'Approved-In-Depth'!$B924+7,""))</f>
        <v/>
      </c>
      <c r="C924" t="str">
        <f>IF($A924&lt;&gt;"",'Approved-In-Depth'!C924,"")</f>
        <v/>
      </c>
      <c r="D924" t="str">
        <f>IF($A924&lt;&gt;"",'Approved-In-Depth'!D924,"")</f>
        <v/>
      </c>
      <c r="E924" t="str">
        <f>IF($A924&lt;&gt;"",'Approved-In-Depth'!E924,"")</f>
        <v/>
      </c>
      <c r="F924" t="str">
        <f>IF($A924&lt;&gt;"",'Approved-In-Depth'!F924,"")</f>
        <v/>
      </c>
      <c r="G924" t="str">
        <f>IF($A924&lt;&gt;"",'Approved-In-Depth'!G924,"")</f>
        <v/>
      </c>
      <c r="H924" s="4" t="str">
        <f>IF($A924&lt;&gt;"",'Approved-In-Depth'!H924,"")</f>
        <v/>
      </c>
      <c r="I924" t="str">
        <f>IF($A924&lt;&gt;"",'Approved-In-Depth'!I924,"")</f>
        <v/>
      </c>
      <c r="J924" t="str">
        <f>IF($A924&lt;&gt;"",'Approved-In-Depth'!J924,"")</f>
        <v/>
      </c>
      <c r="K924" t="str">
        <f>IF($A924&lt;&gt;"",'Approved-In-Depth'!K924,"")</f>
        <v/>
      </c>
      <c r="L924" s="4" t="str">
        <f>IF($A924&lt;&gt;"",'Approved-In-Depth'!L924,"")</f>
        <v/>
      </c>
      <c r="M924" t="str">
        <f>IF($A924&lt;&gt;"",'Approved-In-Depth'!M924,"")</f>
        <v/>
      </c>
    </row>
    <row r="925" spans="1:13" x14ac:dyDescent="0.35">
      <c r="A925" s="4" t="str">
        <f>IF('Approved-In-Depth'!$A925&lt;&gt;"",'Approved-In-Depth'!A925,"")</f>
        <v/>
      </c>
      <c r="B925" t="str">
        <f>IF($O925&lt;&gt;"",$O925,IF($A925&lt;&gt;"",'Approved-In-Depth'!$B925+7,""))</f>
        <v/>
      </c>
      <c r="C925" t="str">
        <f>IF($A925&lt;&gt;"",'Approved-In-Depth'!C925,"")</f>
        <v/>
      </c>
      <c r="D925" t="str">
        <f>IF($A925&lt;&gt;"",'Approved-In-Depth'!D925,"")</f>
        <v/>
      </c>
      <c r="E925" t="str">
        <f>IF($A925&lt;&gt;"",'Approved-In-Depth'!E925,"")</f>
        <v/>
      </c>
      <c r="F925" t="str">
        <f>IF($A925&lt;&gt;"",'Approved-In-Depth'!F925,"")</f>
        <v/>
      </c>
      <c r="G925" t="str">
        <f>IF($A925&lt;&gt;"",'Approved-In-Depth'!G925,"")</f>
        <v/>
      </c>
      <c r="H925" s="4" t="str">
        <f>IF($A925&lt;&gt;"",'Approved-In-Depth'!H925,"")</f>
        <v/>
      </c>
      <c r="I925" t="str">
        <f>IF($A925&lt;&gt;"",'Approved-In-Depth'!I925,"")</f>
        <v/>
      </c>
      <c r="J925" t="str">
        <f>IF($A925&lt;&gt;"",'Approved-In-Depth'!J925,"")</f>
        <v/>
      </c>
      <c r="K925" t="str">
        <f>IF($A925&lt;&gt;"",'Approved-In-Depth'!K925,"")</f>
        <v/>
      </c>
      <c r="L925" s="4" t="str">
        <f>IF($A925&lt;&gt;"",'Approved-In-Depth'!L925,"")</f>
        <v/>
      </c>
      <c r="M925" t="str">
        <f>IF($A925&lt;&gt;"",'Approved-In-Depth'!M925,"")</f>
        <v/>
      </c>
    </row>
    <row r="926" spans="1:13" x14ac:dyDescent="0.35">
      <c r="A926" s="4" t="str">
        <f>IF('Approved-In-Depth'!$A926&lt;&gt;"",'Approved-In-Depth'!A926,"")</f>
        <v/>
      </c>
      <c r="B926" t="str">
        <f>IF($O926&lt;&gt;"",$O926,IF($A926&lt;&gt;"",'Approved-In-Depth'!$B926+7,""))</f>
        <v/>
      </c>
      <c r="C926" t="str">
        <f>IF($A926&lt;&gt;"",'Approved-In-Depth'!C926,"")</f>
        <v/>
      </c>
      <c r="D926" t="str">
        <f>IF($A926&lt;&gt;"",'Approved-In-Depth'!D926,"")</f>
        <v/>
      </c>
      <c r="E926" t="str">
        <f>IF($A926&lt;&gt;"",'Approved-In-Depth'!E926,"")</f>
        <v/>
      </c>
      <c r="F926" t="str">
        <f>IF($A926&lt;&gt;"",'Approved-In-Depth'!F926,"")</f>
        <v/>
      </c>
      <c r="G926" t="str">
        <f>IF($A926&lt;&gt;"",'Approved-In-Depth'!G926,"")</f>
        <v/>
      </c>
      <c r="H926" s="4" t="str">
        <f>IF($A926&lt;&gt;"",'Approved-In-Depth'!H926,"")</f>
        <v/>
      </c>
      <c r="I926" t="str">
        <f>IF($A926&lt;&gt;"",'Approved-In-Depth'!I926,"")</f>
        <v/>
      </c>
      <c r="J926" t="str">
        <f>IF($A926&lt;&gt;"",'Approved-In-Depth'!J926,"")</f>
        <v/>
      </c>
      <c r="K926" t="str">
        <f>IF($A926&lt;&gt;"",'Approved-In-Depth'!K926,"")</f>
        <v/>
      </c>
      <c r="L926" s="4" t="str">
        <f>IF($A926&lt;&gt;"",'Approved-In-Depth'!L926,"")</f>
        <v/>
      </c>
      <c r="M926" t="str">
        <f>IF($A926&lt;&gt;"",'Approved-In-Depth'!M926,"")</f>
        <v/>
      </c>
    </row>
    <row r="927" spans="1:13" x14ac:dyDescent="0.35">
      <c r="A927" s="4" t="str">
        <f>IF('Approved-In-Depth'!$A927&lt;&gt;"",'Approved-In-Depth'!A927,"")</f>
        <v/>
      </c>
      <c r="B927" t="str">
        <f>IF($O927&lt;&gt;"",$O927,IF($A927&lt;&gt;"",'Approved-In-Depth'!$B927+7,""))</f>
        <v/>
      </c>
      <c r="C927" t="str">
        <f>IF($A927&lt;&gt;"",'Approved-In-Depth'!C927,"")</f>
        <v/>
      </c>
      <c r="D927" t="str">
        <f>IF($A927&lt;&gt;"",'Approved-In-Depth'!D927,"")</f>
        <v/>
      </c>
      <c r="E927" t="str">
        <f>IF($A927&lt;&gt;"",'Approved-In-Depth'!E927,"")</f>
        <v/>
      </c>
      <c r="F927" t="str">
        <f>IF($A927&lt;&gt;"",'Approved-In-Depth'!F927,"")</f>
        <v/>
      </c>
      <c r="G927" t="str">
        <f>IF($A927&lt;&gt;"",'Approved-In-Depth'!G927,"")</f>
        <v/>
      </c>
      <c r="H927" s="4" t="str">
        <f>IF($A927&lt;&gt;"",'Approved-In-Depth'!H927,"")</f>
        <v/>
      </c>
      <c r="I927" t="str">
        <f>IF($A927&lt;&gt;"",'Approved-In-Depth'!I927,"")</f>
        <v/>
      </c>
      <c r="J927" t="str">
        <f>IF($A927&lt;&gt;"",'Approved-In-Depth'!J927,"")</f>
        <v/>
      </c>
      <c r="K927" t="str">
        <f>IF($A927&lt;&gt;"",'Approved-In-Depth'!K927,"")</f>
        <v/>
      </c>
      <c r="L927" s="4" t="str">
        <f>IF($A927&lt;&gt;"",'Approved-In-Depth'!L927,"")</f>
        <v/>
      </c>
      <c r="M927" t="str">
        <f>IF($A927&lt;&gt;"",'Approved-In-Depth'!M927,"")</f>
        <v/>
      </c>
    </row>
    <row r="928" spans="1:13" x14ac:dyDescent="0.35">
      <c r="A928" s="4" t="str">
        <f>IF('Approved-In-Depth'!$A928&lt;&gt;"",'Approved-In-Depth'!A928,"")</f>
        <v/>
      </c>
      <c r="B928" t="str">
        <f>IF($O928&lt;&gt;"",$O928,IF($A928&lt;&gt;"",'Approved-In-Depth'!$B928+7,""))</f>
        <v/>
      </c>
      <c r="C928" t="str">
        <f>IF($A928&lt;&gt;"",'Approved-In-Depth'!C928,"")</f>
        <v/>
      </c>
      <c r="D928" t="str">
        <f>IF($A928&lt;&gt;"",'Approved-In-Depth'!D928,"")</f>
        <v/>
      </c>
      <c r="E928" t="str">
        <f>IF($A928&lt;&gt;"",'Approved-In-Depth'!E928,"")</f>
        <v/>
      </c>
      <c r="F928" t="str">
        <f>IF($A928&lt;&gt;"",'Approved-In-Depth'!F928,"")</f>
        <v/>
      </c>
      <c r="G928" t="str">
        <f>IF($A928&lt;&gt;"",'Approved-In-Depth'!G928,"")</f>
        <v/>
      </c>
      <c r="H928" s="4" t="str">
        <f>IF($A928&lt;&gt;"",'Approved-In-Depth'!H928,"")</f>
        <v/>
      </c>
      <c r="I928" t="str">
        <f>IF($A928&lt;&gt;"",'Approved-In-Depth'!I928,"")</f>
        <v/>
      </c>
      <c r="J928" t="str">
        <f>IF($A928&lt;&gt;"",'Approved-In-Depth'!J928,"")</f>
        <v/>
      </c>
      <c r="K928" t="str">
        <f>IF($A928&lt;&gt;"",'Approved-In-Depth'!K928,"")</f>
        <v/>
      </c>
      <c r="L928" s="4" t="str">
        <f>IF($A928&lt;&gt;"",'Approved-In-Depth'!L928,"")</f>
        <v/>
      </c>
      <c r="M928" t="str">
        <f>IF($A928&lt;&gt;"",'Approved-In-Depth'!M928,"")</f>
        <v/>
      </c>
    </row>
    <row r="929" spans="1:13" x14ac:dyDescent="0.35">
      <c r="A929" s="4" t="str">
        <f>IF('Approved-In-Depth'!$A929&lt;&gt;"",'Approved-In-Depth'!A929,"")</f>
        <v/>
      </c>
      <c r="B929" t="str">
        <f>IF($O929&lt;&gt;"",$O929,IF($A929&lt;&gt;"",'Approved-In-Depth'!$B929+7,""))</f>
        <v/>
      </c>
      <c r="C929" t="str">
        <f>IF($A929&lt;&gt;"",'Approved-In-Depth'!C929,"")</f>
        <v/>
      </c>
      <c r="D929" t="str">
        <f>IF($A929&lt;&gt;"",'Approved-In-Depth'!D929,"")</f>
        <v/>
      </c>
      <c r="E929" t="str">
        <f>IF($A929&lt;&gt;"",'Approved-In-Depth'!E929,"")</f>
        <v/>
      </c>
      <c r="F929" t="str">
        <f>IF($A929&lt;&gt;"",'Approved-In-Depth'!F929,"")</f>
        <v/>
      </c>
      <c r="G929" t="str">
        <f>IF($A929&lt;&gt;"",'Approved-In-Depth'!G929,"")</f>
        <v/>
      </c>
      <c r="H929" s="4" t="str">
        <f>IF($A929&lt;&gt;"",'Approved-In-Depth'!H929,"")</f>
        <v/>
      </c>
      <c r="I929" t="str">
        <f>IF($A929&lt;&gt;"",'Approved-In-Depth'!I929,"")</f>
        <v/>
      </c>
      <c r="J929" t="str">
        <f>IF($A929&lt;&gt;"",'Approved-In-Depth'!J929,"")</f>
        <v/>
      </c>
      <c r="K929" t="str">
        <f>IF($A929&lt;&gt;"",'Approved-In-Depth'!K929,"")</f>
        <v/>
      </c>
      <c r="L929" s="4" t="str">
        <f>IF($A929&lt;&gt;"",'Approved-In-Depth'!L929,"")</f>
        <v/>
      </c>
      <c r="M929" t="str">
        <f>IF($A929&lt;&gt;"",'Approved-In-Depth'!M929,"")</f>
        <v/>
      </c>
    </row>
    <row r="930" spans="1:13" x14ac:dyDescent="0.35">
      <c r="A930" s="4" t="str">
        <f>IF('Approved-In-Depth'!$A930&lt;&gt;"",'Approved-In-Depth'!A930,"")</f>
        <v/>
      </c>
      <c r="B930" t="str">
        <f>IF($O930&lt;&gt;"",$O930,IF($A930&lt;&gt;"",'Approved-In-Depth'!$B930+7,""))</f>
        <v/>
      </c>
      <c r="C930" t="str">
        <f>IF($A930&lt;&gt;"",'Approved-In-Depth'!C930,"")</f>
        <v/>
      </c>
      <c r="D930" t="str">
        <f>IF($A930&lt;&gt;"",'Approved-In-Depth'!D930,"")</f>
        <v/>
      </c>
      <c r="E930" t="str">
        <f>IF($A930&lt;&gt;"",'Approved-In-Depth'!E930,"")</f>
        <v/>
      </c>
      <c r="F930" t="str">
        <f>IF($A930&lt;&gt;"",'Approved-In-Depth'!F930,"")</f>
        <v/>
      </c>
      <c r="G930" t="str">
        <f>IF($A930&lt;&gt;"",'Approved-In-Depth'!G930,"")</f>
        <v/>
      </c>
      <c r="H930" s="4" t="str">
        <f>IF($A930&lt;&gt;"",'Approved-In-Depth'!H930,"")</f>
        <v/>
      </c>
      <c r="I930" t="str">
        <f>IF($A930&lt;&gt;"",'Approved-In-Depth'!I930,"")</f>
        <v/>
      </c>
      <c r="J930" t="str">
        <f>IF($A930&lt;&gt;"",'Approved-In-Depth'!J930,"")</f>
        <v/>
      </c>
      <c r="K930" t="str">
        <f>IF($A930&lt;&gt;"",'Approved-In-Depth'!K930,"")</f>
        <v/>
      </c>
      <c r="L930" s="4" t="str">
        <f>IF($A930&lt;&gt;"",'Approved-In-Depth'!L930,"")</f>
        <v/>
      </c>
      <c r="M930" t="str">
        <f>IF($A930&lt;&gt;"",'Approved-In-Depth'!M930,"")</f>
        <v/>
      </c>
    </row>
    <row r="931" spans="1:13" x14ac:dyDescent="0.35">
      <c r="A931" s="4" t="str">
        <f>IF('Approved-In-Depth'!$A931&lt;&gt;"",'Approved-In-Depth'!A931,"")</f>
        <v/>
      </c>
      <c r="B931" t="str">
        <f>IF($O931&lt;&gt;"",$O931,IF($A931&lt;&gt;"",'Approved-In-Depth'!$B931+7,""))</f>
        <v/>
      </c>
      <c r="C931" t="str">
        <f>IF($A931&lt;&gt;"",'Approved-In-Depth'!C931,"")</f>
        <v/>
      </c>
      <c r="D931" t="str">
        <f>IF($A931&lt;&gt;"",'Approved-In-Depth'!D931,"")</f>
        <v/>
      </c>
      <c r="E931" t="str">
        <f>IF($A931&lt;&gt;"",'Approved-In-Depth'!E931,"")</f>
        <v/>
      </c>
      <c r="F931" t="str">
        <f>IF($A931&lt;&gt;"",'Approved-In-Depth'!F931,"")</f>
        <v/>
      </c>
      <c r="G931" t="str">
        <f>IF($A931&lt;&gt;"",'Approved-In-Depth'!G931,"")</f>
        <v/>
      </c>
      <c r="H931" s="4" t="str">
        <f>IF($A931&lt;&gt;"",'Approved-In-Depth'!H931,"")</f>
        <v/>
      </c>
      <c r="I931" t="str">
        <f>IF($A931&lt;&gt;"",'Approved-In-Depth'!I931,"")</f>
        <v/>
      </c>
      <c r="J931" t="str">
        <f>IF($A931&lt;&gt;"",'Approved-In-Depth'!J931,"")</f>
        <v/>
      </c>
      <c r="K931" t="str">
        <f>IF($A931&lt;&gt;"",'Approved-In-Depth'!K931,"")</f>
        <v/>
      </c>
      <c r="L931" s="4" t="str">
        <f>IF($A931&lt;&gt;"",'Approved-In-Depth'!L931,"")</f>
        <v/>
      </c>
      <c r="M931" t="str">
        <f>IF($A931&lt;&gt;"",'Approved-In-Depth'!M931,"")</f>
        <v/>
      </c>
    </row>
    <row r="932" spans="1:13" x14ac:dyDescent="0.35">
      <c r="A932" s="4" t="str">
        <f>IF('Approved-In-Depth'!$A932&lt;&gt;"",'Approved-In-Depth'!A932,"")</f>
        <v/>
      </c>
      <c r="B932" t="str">
        <f>IF($O932&lt;&gt;"",$O932,IF($A932&lt;&gt;"",'Approved-In-Depth'!$B932+7,""))</f>
        <v/>
      </c>
      <c r="C932" t="str">
        <f>IF($A932&lt;&gt;"",'Approved-In-Depth'!C932,"")</f>
        <v/>
      </c>
      <c r="D932" t="str">
        <f>IF($A932&lt;&gt;"",'Approved-In-Depth'!D932,"")</f>
        <v/>
      </c>
      <c r="E932" t="str">
        <f>IF($A932&lt;&gt;"",'Approved-In-Depth'!E932,"")</f>
        <v/>
      </c>
      <c r="F932" t="str">
        <f>IF($A932&lt;&gt;"",'Approved-In-Depth'!F932,"")</f>
        <v/>
      </c>
      <c r="G932" t="str">
        <f>IF($A932&lt;&gt;"",'Approved-In-Depth'!G932,"")</f>
        <v/>
      </c>
      <c r="H932" s="4" t="str">
        <f>IF($A932&lt;&gt;"",'Approved-In-Depth'!H932,"")</f>
        <v/>
      </c>
      <c r="I932" t="str">
        <f>IF($A932&lt;&gt;"",'Approved-In-Depth'!I932,"")</f>
        <v/>
      </c>
      <c r="J932" t="str">
        <f>IF($A932&lt;&gt;"",'Approved-In-Depth'!J932,"")</f>
        <v/>
      </c>
      <c r="K932" t="str">
        <f>IF($A932&lt;&gt;"",'Approved-In-Depth'!K932,"")</f>
        <v/>
      </c>
      <c r="L932" s="4" t="str">
        <f>IF($A932&lt;&gt;"",'Approved-In-Depth'!L932,"")</f>
        <v/>
      </c>
      <c r="M932" t="str">
        <f>IF($A932&lt;&gt;"",'Approved-In-Depth'!M932,"")</f>
        <v/>
      </c>
    </row>
    <row r="933" spans="1:13" x14ac:dyDescent="0.35">
      <c r="A933" s="4" t="str">
        <f>IF('Approved-In-Depth'!$A933&lt;&gt;"",'Approved-In-Depth'!A933,"")</f>
        <v/>
      </c>
      <c r="B933" t="str">
        <f>IF($O933&lt;&gt;"",$O933,IF($A933&lt;&gt;"",'Approved-In-Depth'!$B933+7,""))</f>
        <v/>
      </c>
      <c r="C933" t="str">
        <f>IF($A933&lt;&gt;"",'Approved-In-Depth'!C933,"")</f>
        <v/>
      </c>
      <c r="D933" t="str">
        <f>IF($A933&lt;&gt;"",'Approved-In-Depth'!D933,"")</f>
        <v/>
      </c>
      <c r="E933" t="str">
        <f>IF($A933&lt;&gt;"",'Approved-In-Depth'!E933,"")</f>
        <v/>
      </c>
      <c r="F933" t="str">
        <f>IF($A933&lt;&gt;"",'Approved-In-Depth'!F933,"")</f>
        <v/>
      </c>
      <c r="G933" t="str">
        <f>IF($A933&lt;&gt;"",'Approved-In-Depth'!G933,"")</f>
        <v/>
      </c>
      <c r="H933" s="4" t="str">
        <f>IF($A933&lt;&gt;"",'Approved-In-Depth'!H933,"")</f>
        <v/>
      </c>
      <c r="I933" t="str">
        <f>IF($A933&lt;&gt;"",'Approved-In-Depth'!I933,"")</f>
        <v/>
      </c>
      <c r="J933" t="str">
        <f>IF($A933&lt;&gt;"",'Approved-In-Depth'!J933,"")</f>
        <v/>
      </c>
      <c r="K933" t="str">
        <f>IF($A933&lt;&gt;"",'Approved-In-Depth'!K933,"")</f>
        <v/>
      </c>
      <c r="L933" s="4" t="str">
        <f>IF($A933&lt;&gt;"",'Approved-In-Depth'!L933,"")</f>
        <v/>
      </c>
      <c r="M933" t="str">
        <f>IF($A933&lt;&gt;"",'Approved-In-Depth'!M933,"")</f>
        <v/>
      </c>
    </row>
    <row r="934" spans="1:13" x14ac:dyDescent="0.35">
      <c r="A934" s="4" t="str">
        <f>IF('Approved-In-Depth'!$A934&lt;&gt;"",'Approved-In-Depth'!A934,"")</f>
        <v/>
      </c>
      <c r="B934" t="str">
        <f>IF($O934&lt;&gt;"",$O934,IF($A934&lt;&gt;"",'Approved-In-Depth'!$B934+7,""))</f>
        <v/>
      </c>
      <c r="C934" t="str">
        <f>IF($A934&lt;&gt;"",'Approved-In-Depth'!C934,"")</f>
        <v/>
      </c>
      <c r="D934" t="str">
        <f>IF($A934&lt;&gt;"",'Approved-In-Depth'!D934,"")</f>
        <v/>
      </c>
      <c r="E934" t="str">
        <f>IF($A934&lt;&gt;"",'Approved-In-Depth'!E934,"")</f>
        <v/>
      </c>
      <c r="F934" t="str">
        <f>IF($A934&lt;&gt;"",'Approved-In-Depth'!F934,"")</f>
        <v/>
      </c>
      <c r="G934" t="str">
        <f>IF($A934&lt;&gt;"",'Approved-In-Depth'!G934,"")</f>
        <v/>
      </c>
      <c r="H934" s="4" t="str">
        <f>IF($A934&lt;&gt;"",'Approved-In-Depth'!H934,"")</f>
        <v/>
      </c>
      <c r="I934" t="str">
        <f>IF($A934&lt;&gt;"",'Approved-In-Depth'!I934,"")</f>
        <v/>
      </c>
      <c r="J934" t="str">
        <f>IF($A934&lt;&gt;"",'Approved-In-Depth'!J934,"")</f>
        <v/>
      </c>
      <c r="K934" t="str">
        <f>IF($A934&lt;&gt;"",'Approved-In-Depth'!K934,"")</f>
        <v/>
      </c>
      <c r="L934" s="4" t="str">
        <f>IF($A934&lt;&gt;"",'Approved-In-Depth'!L934,"")</f>
        <v/>
      </c>
      <c r="M934" t="str">
        <f>IF($A934&lt;&gt;"",'Approved-In-Depth'!M934,"")</f>
        <v/>
      </c>
    </row>
    <row r="935" spans="1:13" x14ac:dyDescent="0.35">
      <c r="A935" s="4" t="str">
        <f>IF('Approved-In-Depth'!$A935&lt;&gt;"",'Approved-In-Depth'!A935,"")</f>
        <v/>
      </c>
      <c r="B935" t="str">
        <f>IF($O935&lt;&gt;"",$O935,IF($A935&lt;&gt;"",'Approved-In-Depth'!$B935+7,""))</f>
        <v/>
      </c>
      <c r="C935" t="str">
        <f>IF($A935&lt;&gt;"",'Approved-In-Depth'!C935,"")</f>
        <v/>
      </c>
      <c r="D935" t="str">
        <f>IF($A935&lt;&gt;"",'Approved-In-Depth'!D935,"")</f>
        <v/>
      </c>
      <c r="E935" t="str">
        <f>IF($A935&lt;&gt;"",'Approved-In-Depth'!E935,"")</f>
        <v/>
      </c>
      <c r="F935" t="str">
        <f>IF($A935&lt;&gt;"",'Approved-In-Depth'!F935,"")</f>
        <v/>
      </c>
      <c r="G935" t="str">
        <f>IF($A935&lt;&gt;"",'Approved-In-Depth'!G935,"")</f>
        <v/>
      </c>
      <c r="H935" s="4" t="str">
        <f>IF($A935&lt;&gt;"",'Approved-In-Depth'!H935,"")</f>
        <v/>
      </c>
      <c r="I935" t="str">
        <f>IF($A935&lt;&gt;"",'Approved-In-Depth'!I935,"")</f>
        <v/>
      </c>
      <c r="J935" t="str">
        <f>IF($A935&lt;&gt;"",'Approved-In-Depth'!J935,"")</f>
        <v/>
      </c>
      <c r="K935" t="str">
        <f>IF($A935&lt;&gt;"",'Approved-In-Depth'!K935,"")</f>
        <v/>
      </c>
      <c r="L935" s="4" t="str">
        <f>IF($A935&lt;&gt;"",'Approved-In-Depth'!L935,"")</f>
        <v/>
      </c>
      <c r="M935" t="str">
        <f>IF($A935&lt;&gt;"",'Approved-In-Depth'!M935,"")</f>
        <v/>
      </c>
    </row>
    <row r="936" spans="1:13" x14ac:dyDescent="0.35">
      <c r="A936" s="4" t="str">
        <f>IF('Approved-In-Depth'!$A936&lt;&gt;"",'Approved-In-Depth'!A936,"")</f>
        <v/>
      </c>
      <c r="B936" t="str">
        <f>IF($O936&lt;&gt;"",$O936,IF($A936&lt;&gt;"",'Approved-In-Depth'!$B936+7,""))</f>
        <v/>
      </c>
      <c r="C936" t="str">
        <f>IF($A936&lt;&gt;"",'Approved-In-Depth'!C936,"")</f>
        <v/>
      </c>
      <c r="D936" t="str">
        <f>IF($A936&lt;&gt;"",'Approved-In-Depth'!D936,"")</f>
        <v/>
      </c>
      <c r="E936" t="str">
        <f>IF($A936&lt;&gt;"",'Approved-In-Depth'!E936,"")</f>
        <v/>
      </c>
      <c r="F936" t="str">
        <f>IF($A936&lt;&gt;"",'Approved-In-Depth'!F936,"")</f>
        <v/>
      </c>
      <c r="G936" t="str">
        <f>IF($A936&lt;&gt;"",'Approved-In-Depth'!G936,"")</f>
        <v/>
      </c>
      <c r="H936" s="4" t="str">
        <f>IF($A936&lt;&gt;"",'Approved-In-Depth'!H936,"")</f>
        <v/>
      </c>
      <c r="I936" t="str">
        <f>IF($A936&lt;&gt;"",'Approved-In-Depth'!I936,"")</f>
        <v/>
      </c>
      <c r="J936" t="str">
        <f>IF($A936&lt;&gt;"",'Approved-In-Depth'!J936,"")</f>
        <v/>
      </c>
      <c r="K936" t="str">
        <f>IF($A936&lt;&gt;"",'Approved-In-Depth'!K936,"")</f>
        <v/>
      </c>
      <c r="L936" s="4" t="str">
        <f>IF($A936&lt;&gt;"",'Approved-In-Depth'!L936,"")</f>
        <v/>
      </c>
      <c r="M936" t="str">
        <f>IF($A936&lt;&gt;"",'Approved-In-Depth'!M936,"")</f>
        <v/>
      </c>
    </row>
    <row r="937" spans="1:13" x14ac:dyDescent="0.35">
      <c r="A937" s="4" t="str">
        <f>IF('Approved-In-Depth'!$A937&lt;&gt;"",'Approved-In-Depth'!A937,"")</f>
        <v/>
      </c>
      <c r="B937" t="str">
        <f>IF($O937&lt;&gt;"",$O937,IF($A937&lt;&gt;"",'Approved-In-Depth'!$B937+7,""))</f>
        <v/>
      </c>
      <c r="C937" t="str">
        <f>IF($A937&lt;&gt;"",'Approved-In-Depth'!C937,"")</f>
        <v/>
      </c>
      <c r="D937" t="str">
        <f>IF($A937&lt;&gt;"",'Approved-In-Depth'!D937,"")</f>
        <v/>
      </c>
      <c r="E937" t="str">
        <f>IF($A937&lt;&gt;"",'Approved-In-Depth'!E937,"")</f>
        <v/>
      </c>
      <c r="F937" t="str">
        <f>IF($A937&lt;&gt;"",'Approved-In-Depth'!F937,"")</f>
        <v/>
      </c>
      <c r="G937" t="str">
        <f>IF($A937&lt;&gt;"",'Approved-In-Depth'!G937,"")</f>
        <v/>
      </c>
      <c r="H937" s="4" t="str">
        <f>IF($A937&lt;&gt;"",'Approved-In-Depth'!H937,"")</f>
        <v/>
      </c>
      <c r="I937" t="str">
        <f>IF($A937&lt;&gt;"",'Approved-In-Depth'!I937,"")</f>
        <v/>
      </c>
      <c r="J937" t="str">
        <f>IF($A937&lt;&gt;"",'Approved-In-Depth'!J937,"")</f>
        <v/>
      </c>
      <c r="K937" t="str">
        <f>IF($A937&lt;&gt;"",'Approved-In-Depth'!K937,"")</f>
        <v/>
      </c>
      <c r="L937" s="4" t="str">
        <f>IF($A937&lt;&gt;"",'Approved-In-Depth'!L937,"")</f>
        <v/>
      </c>
      <c r="M937" t="str">
        <f>IF($A937&lt;&gt;"",'Approved-In-Depth'!M937,"")</f>
        <v/>
      </c>
    </row>
    <row r="938" spans="1:13" x14ac:dyDescent="0.35">
      <c r="A938" s="4" t="str">
        <f>IF('Approved-In-Depth'!$A938&lt;&gt;"",'Approved-In-Depth'!A938,"")</f>
        <v/>
      </c>
      <c r="B938" t="str">
        <f>IF($O938&lt;&gt;"",$O938,IF($A938&lt;&gt;"",'Approved-In-Depth'!$B938+7,""))</f>
        <v/>
      </c>
      <c r="C938" t="str">
        <f>IF($A938&lt;&gt;"",'Approved-In-Depth'!C938,"")</f>
        <v/>
      </c>
      <c r="D938" t="str">
        <f>IF($A938&lt;&gt;"",'Approved-In-Depth'!D938,"")</f>
        <v/>
      </c>
      <c r="E938" t="str">
        <f>IF($A938&lt;&gt;"",'Approved-In-Depth'!E938,"")</f>
        <v/>
      </c>
      <c r="F938" t="str">
        <f>IF($A938&lt;&gt;"",'Approved-In-Depth'!F938,"")</f>
        <v/>
      </c>
      <c r="G938" t="str">
        <f>IF($A938&lt;&gt;"",'Approved-In-Depth'!G938,"")</f>
        <v/>
      </c>
      <c r="H938" s="4" t="str">
        <f>IF($A938&lt;&gt;"",'Approved-In-Depth'!H938,"")</f>
        <v/>
      </c>
      <c r="I938" t="str">
        <f>IF($A938&lt;&gt;"",'Approved-In-Depth'!I938,"")</f>
        <v/>
      </c>
      <c r="J938" t="str">
        <f>IF($A938&lt;&gt;"",'Approved-In-Depth'!J938,"")</f>
        <v/>
      </c>
      <c r="K938" t="str">
        <f>IF($A938&lt;&gt;"",'Approved-In-Depth'!K938,"")</f>
        <v/>
      </c>
      <c r="L938" s="4" t="str">
        <f>IF($A938&lt;&gt;"",'Approved-In-Depth'!L938,"")</f>
        <v/>
      </c>
      <c r="M938" t="str">
        <f>IF($A938&lt;&gt;"",'Approved-In-Depth'!M938,"")</f>
        <v/>
      </c>
    </row>
    <row r="939" spans="1:13" x14ac:dyDescent="0.35">
      <c r="A939" s="4" t="str">
        <f>IF('Approved-In-Depth'!$A939&lt;&gt;"",'Approved-In-Depth'!A939,"")</f>
        <v/>
      </c>
      <c r="B939" t="str">
        <f>IF($O939&lt;&gt;"",$O939,IF($A939&lt;&gt;"",'Approved-In-Depth'!$B939+7,""))</f>
        <v/>
      </c>
      <c r="C939" t="str">
        <f>IF($A939&lt;&gt;"",'Approved-In-Depth'!C939,"")</f>
        <v/>
      </c>
      <c r="D939" t="str">
        <f>IF($A939&lt;&gt;"",'Approved-In-Depth'!D939,"")</f>
        <v/>
      </c>
      <c r="E939" t="str">
        <f>IF($A939&lt;&gt;"",'Approved-In-Depth'!E939,"")</f>
        <v/>
      </c>
      <c r="F939" t="str">
        <f>IF($A939&lt;&gt;"",'Approved-In-Depth'!F939,"")</f>
        <v/>
      </c>
      <c r="G939" t="str">
        <f>IF($A939&lt;&gt;"",'Approved-In-Depth'!G939,"")</f>
        <v/>
      </c>
      <c r="H939" s="4" t="str">
        <f>IF($A939&lt;&gt;"",'Approved-In-Depth'!H939,"")</f>
        <v/>
      </c>
      <c r="I939" t="str">
        <f>IF($A939&lt;&gt;"",'Approved-In-Depth'!I939,"")</f>
        <v/>
      </c>
      <c r="J939" t="str">
        <f>IF($A939&lt;&gt;"",'Approved-In-Depth'!J939,"")</f>
        <v/>
      </c>
      <c r="K939" t="str">
        <f>IF($A939&lt;&gt;"",'Approved-In-Depth'!K939,"")</f>
        <v/>
      </c>
      <c r="L939" s="4" t="str">
        <f>IF($A939&lt;&gt;"",'Approved-In-Depth'!L939,"")</f>
        <v/>
      </c>
      <c r="M939" t="str">
        <f>IF($A939&lt;&gt;"",'Approved-In-Depth'!M939,"")</f>
        <v/>
      </c>
    </row>
    <row r="940" spans="1:13" x14ac:dyDescent="0.35">
      <c r="A940" s="4" t="str">
        <f>IF('Approved-In-Depth'!$A940&lt;&gt;"",'Approved-In-Depth'!A940,"")</f>
        <v/>
      </c>
      <c r="B940" t="str">
        <f>IF($O940&lt;&gt;"",$O940,IF($A940&lt;&gt;"",'Approved-In-Depth'!$B940+7,""))</f>
        <v/>
      </c>
      <c r="C940" t="str">
        <f>IF($A940&lt;&gt;"",'Approved-In-Depth'!C940,"")</f>
        <v/>
      </c>
      <c r="D940" t="str">
        <f>IF($A940&lt;&gt;"",'Approved-In-Depth'!D940,"")</f>
        <v/>
      </c>
      <c r="E940" t="str">
        <f>IF($A940&lt;&gt;"",'Approved-In-Depth'!E940,"")</f>
        <v/>
      </c>
      <c r="F940" t="str">
        <f>IF($A940&lt;&gt;"",'Approved-In-Depth'!F940,"")</f>
        <v/>
      </c>
      <c r="G940" t="str">
        <f>IF($A940&lt;&gt;"",'Approved-In-Depth'!G940,"")</f>
        <v/>
      </c>
      <c r="H940" s="4" t="str">
        <f>IF($A940&lt;&gt;"",'Approved-In-Depth'!H940,"")</f>
        <v/>
      </c>
      <c r="I940" t="str">
        <f>IF($A940&lt;&gt;"",'Approved-In-Depth'!I940,"")</f>
        <v/>
      </c>
      <c r="J940" t="str">
        <f>IF($A940&lt;&gt;"",'Approved-In-Depth'!J940,"")</f>
        <v/>
      </c>
      <c r="K940" t="str">
        <f>IF($A940&lt;&gt;"",'Approved-In-Depth'!K940,"")</f>
        <v/>
      </c>
      <c r="L940" s="4" t="str">
        <f>IF($A940&lt;&gt;"",'Approved-In-Depth'!L940,"")</f>
        <v/>
      </c>
      <c r="M940" t="str">
        <f>IF($A940&lt;&gt;"",'Approved-In-Depth'!M940,"")</f>
        <v/>
      </c>
    </row>
    <row r="941" spans="1:13" x14ac:dyDescent="0.35">
      <c r="A941" s="4" t="str">
        <f>IF('Approved-In-Depth'!$A941&lt;&gt;"",'Approved-In-Depth'!A941,"")</f>
        <v/>
      </c>
      <c r="B941" t="str">
        <f>IF($O941&lt;&gt;"",$O941,IF($A941&lt;&gt;"",'Approved-In-Depth'!$B941+7,""))</f>
        <v/>
      </c>
      <c r="C941" t="str">
        <f>IF($A941&lt;&gt;"",'Approved-In-Depth'!C941,"")</f>
        <v/>
      </c>
      <c r="D941" t="str">
        <f>IF($A941&lt;&gt;"",'Approved-In-Depth'!D941,"")</f>
        <v/>
      </c>
      <c r="E941" t="str">
        <f>IF($A941&lt;&gt;"",'Approved-In-Depth'!E941,"")</f>
        <v/>
      </c>
      <c r="F941" t="str">
        <f>IF($A941&lt;&gt;"",'Approved-In-Depth'!F941,"")</f>
        <v/>
      </c>
      <c r="G941" t="str">
        <f>IF($A941&lt;&gt;"",'Approved-In-Depth'!G941,"")</f>
        <v/>
      </c>
      <c r="H941" s="4" t="str">
        <f>IF($A941&lt;&gt;"",'Approved-In-Depth'!H941,"")</f>
        <v/>
      </c>
      <c r="I941" t="str">
        <f>IF($A941&lt;&gt;"",'Approved-In-Depth'!I941,"")</f>
        <v/>
      </c>
      <c r="J941" t="str">
        <f>IF($A941&lt;&gt;"",'Approved-In-Depth'!J941,"")</f>
        <v/>
      </c>
      <c r="K941" t="str">
        <f>IF($A941&lt;&gt;"",'Approved-In-Depth'!K941,"")</f>
        <v/>
      </c>
      <c r="L941" s="4" t="str">
        <f>IF($A941&lt;&gt;"",'Approved-In-Depth'!L941,"")</f>
        <v/>
      </c>
      <c r="M941" t="str">
        <f>IF($A941&lt;&gt;"",'Approved-In-Depth'!M941,"")</f>
        <v/>
      </c>
    </row>
    <row r="942" spans="1:13" x14ac:dyDescent="0.35">
      <c r="A942" s="4" t="str">
        <f>IF('Approved-In-Depth'!$A942&lt;&gt;"",'Approved-In-Depth'!A942,"")</f>
        <v/>
      </c>
      <c r="B942" t="str">
        <f>IF($O942&lt;&gt;"",$O942,IF($A942&lt;&gt;"",'Approved-In-Depth'!$B942+7,""))</f>
        <v/>
      </c>
      <c r="C942" t="str">
        <f>IF($A942&lt;&gt;"",'Approved-In-Depth'!C942,"")</f>
        <v/>
      </c>
      <c r="D942" t="str">
        <f>IF($A942&lt;&gt;"",'Approved-In-Depth'!D942,"")</f>
        <v/>
      </c>
      <c r="E942" t="str">
        <f>IF($A942&lt;&gt;"",'Approved-In-Depth'!E942,"")</f>
        <v/>
      </c>
      <c r="F942" t="str">
        <f>IF($A942&lt;&gt;"",'Approved-In-Depth'!F942,"")</f>
        <v/>
      </c>
      <c r="G942" t="str">
        <f>IF($A942&lt;&gt;"",'Approved-In-Depth'!G942,"")</f>
        <v/>
      </c>
      <c r="H942" s="4" t="str">
        <f>IF($A942&lt;&gt;"",'Approved-In-Depth'!H942,"")</f>
        <v/>
      </c>
      <c r="I942" t="str">
        <f>IF($A942&lt;&gt;"",'Approved-In-Depth'!I942,"")</f>
        <v/>
      </c>
      <c r="J942" t="str">
        <f>IF($A942&lt;&gt;"",'Approved-In-Depth'!J942,"")</f>
        <v/>
      </c>
      <c r="K942" t="str">
        <f>IF($A942&lt;&gt;"",'Approved-In-Depth'!K942,"")</f>
        <v/>
      </c>
      <c r="L942" s="4" t="str">
        <f>IF($A942&lt;&gt;"",'Approved-In-Depth'!L942,"")</f>
        <v/>
      </c>
      <c r="M942" t="str">
        <f>IF($A942&lt;&gt;"",'Approved-In-Depth'!M942,"")</f>
        <v/>
      </c>
    </row>
    <row r="943" spans="1:13" x14ac:dyDescent="0.35">
      <c r="A943" s="4" t="str">
        <f>IF('Approved-In-Depth'!$A943&lt;&gt;"",'Approved-In-Depth'!A943,"")</f>
        <v/>
      </c>
      <c r="B943" t="str">
        <f>IF($O943&lt;&gt;"",$O943,IF($A943&lt;&gt;"",'Approved-In-Depth'!$B943+7,""))</f>
        <v/>
      </c>
      <c r="C943" t="str">
        <f>IF($A943&lt;&gt;"",'Approved-In-Depth'!C943,"")</f>
        <v/>
      </c>
      <c r="D943" t="str">
        <f>IF($A943&lt;&gt;"",'Approved-In-Depth'!D943,"")</f>
        <v/>
      </c>
      <c r="E943" t="str">
        <f>IF($A943&lt;&gt;"",'Approved-In-Depth'!E943,"")</f>
        <v/>
      </c>
      <c r="F943" t="str">
        <f>IF($A943&lt;&gt;"",'Approved-In-Depth'!F943,"")</f>
        <v/>
      </c>
      <c r="G943" t="str">
        <f>IF($A943&lt;&gt;"",'Approved-In-Depth'!G943,"")</f>
        <v/>
      </c>
      <c r="H943" s="4" t="str">
        <f>IF($A943&lt;&gt;"",'Approved-In-Depth'!H943,"")</f>
        <v/>
      </c>
      <c r="I943" t="str">
        <f>IF($A943&lt;&gt;"",'Approved-In-Depth'!I943,"")</f>
        <v/>
      </c>
      <c r="J943" t="str">
        <f>IF($A943&lt;&gt;"",'Approved-In-Depth'!J943,"")</f>
        <v/>
      </c>
      <c r="K943" t="str">
        <f>IF($A943&lt;&gt;"",'Approved-In-Depth'!K943,"")</f>
        <v/>
      </c>
      <c r="L943" s="4" t="str">
        <f>IF($A943&lt;&gt;"",'Approved-In-Depth'!L943,"")</f>
        <v/>
      </c>
      <c r="M943" t="str">
        <f>IF($A943&lt;&gt;"",'Approved-In-Depth'!M943,"")</f>
        <v/>
      </c>
    </row>
    <row r="944" spans="1:13" x14ac:dyDescent="0.35">
      <c r="A944" s="4" t="str">
        <f>IF('Approved-In-Depth'!$A944&lt;&gt;"",'Approved-In-Depth'!A944,"")</f>
        <v/>
      </c>
      <c r="B944" t="str">
        <f>IF($O944&lt;&gt;"",$O944,IF($A944&lt;&gt;"",'Approved-In-Depth'!$B944+7,""))</f>
        <v/>
      </c>
      <c r="C944" t="str">
        <f>IF($A944&lt;&gt;"",'Approved-In-Depth'!C944,"")</f>
        <v/>
      </c>
      <c r="D944" t="str">
        <f>IF($A944&lt;&gt;"",'Approved-In-Depth'!D944,"")</f>
        <v/>
      </c>
      <c r="E944" t="str">
        <f>IF($A944&lt;&gt;"",'Approved-In-Depth'!E944,"")</f>
        <v/>
      </c>
      <c r="F944" t="str">
        <f>IF($A944&lt;&gt;"",'Approved-In-Depth'!F944,"")</f>
        <v/>
      </c>
      <c r="G944" t="str">
        <f>IF($A944&lt;&gt;"",'Approved-In-Depth'!G944,"")</f>
        <v/>
      </c>
      <c r="H944" s="4" t="str">
        <f>IF($A944&lt;&gt;"",'Approved-In-Depth'!H944,"")</f>
        <v/>
      </c>
      <c r="I944" t="str">
        <f>IF($A944&lt;&gt;"",'Approved-In-Depth'!I944,"")</f>
        <v/>
      </c>
      <c r="J944" t="str">
        <f>IF($A944&lt;&gt;"",'Approved-In-Depth'!J944,"")</f>
        <v/>
      </c>
      <c r="K944" t="str">
        <f>IF($A944&lt;&gt;"",'Approved-In-Depth'!K944,"")</f>
        <v/>
      </c>
      <c r="L944" s="4" t="str">
        <f>IF($A944&lt;&gt;"",'Approved-In-Depth'!L944,"")</f>
        <v/>
      </c>
      <c r="M944" t="str">
        <f>IF($A944&lt;&gt;"",'Approved-In-Depth'!M944,"")</f>
        <v/>
      </c>
    </row>
    <row r="945" spans="1:13" x14ac:dyDescent="0.35">
      <c r="A945" s="4" t="str">
        <f>IF('Approved-In-Depth'!$A945&lt;&gt;"",'Approved-In-Depth'!A945,"")</f>
        <v/>
      </c>
      <c r="B945" t="str">
        <f>IF($O945&lt;&gt;"",$O945,IF($A945&lt;&gt;"",'Approved-In-Depth'!$B945+7,""))</f>
        <v/>
      </c>
      <c r="C945" t="str">
        <f>IF($A945&lt;&gt;"",'Approved-In-Depth'!C945,"")</f>
        <v/>
      </c>
      <c r="D945" t="str">
        <f>IF($A945&lt;&gt;"",'Approved-In-Depth'!D945,"")</f>
        <v/>
      </c>
      <c r="E945" t="str">
        <f>IF($A945&lt;&gt;"",'Approved-In-Depth'!E945,"")</f>
        <v/>
      </c>
      <c r="F945" t="str">
        <f>IF($A945&lt;&gt;"",'Approved-In-Depth'!F945,"")</f>
        <v/>
      </c>
      <c r="G945" t="str">
        <f>IF($A945&lt;&gt;"",'Approved-In-Depth'!G945,"")</f>
        <v/>
      </c>
      <c r="H945" s="4" t="str">
        <f>IF($A945&lt;&gt;"",'Approved-In-Depth'!H945,"")</f>
        <v/>
      </c>
      <c r="I945" t="str">
        <f>IF($A945&lt;&gt;"",'Approved-In-Depth'!I945,"")</f>
        <v/>
      </c>
      <c r="J945" t="str">
        <f>IF($A945&lt;&gt;"",'Approved-In-Depth'!J945,"")</f>
        <v/>
      </c>
      <c r="K945" t="str">
        <f>IF($A945&lt;&gt;"",'Approved-In-Depth'!K945,"")</f>
        <v/>
      </c>
      <c r="L945" s="4" t="str">
        <f>IF($A945&lt;&gt;"",'Approved-In-Depth'!L945,"")</f>
        <v/>
      </c>
      <c r="M945" t="str">
        <f>IF($A945&lt;&gt;"",'Approved-In-Depth'!M945,"")</f>
        <v/>
      </c>
    </row>
    <row r="946" spans="1:13" x14ac:dyDescent="0.35">
      <c r="A946" s="4" t="str">
        <f>IF('Approved-In-Depth'!$A946&lt;&gt;"",'Approved-In-Depth'!A946,"")</f>
        <v/>
      </c>
      <c r="B946" t="str">
        <f>IF($O946&lt;&gt;"",$O946,IF($A946&lt;&gt;"",'Approved-In-Depth'!$B946+7,""))</f>
        <v/>
      </c>
      <c r="C946" t="str">
        <f>IF($A946&lt;&gt;"",'Approved-In-Depth'!C946,"")</f>
        <v/>
      </c>
      <c r="D946" t="str">
        <f>IF($A946&lt;&gt;"",'Approved-In-Depth'!D946,"")</f>
        <v/>
      </c>
      <c r="E946" t="str">
        <f>IF($A946&lt;&gt;"",'Approved-In-Depth'!E946,"")</f>
        <v/>
      </c>
      <c r="F946" t="str">
        <f>IF($A946&lt;&gt;"",'Approved-In-Depth'!F946,"")</f>
        <v/>
      </c>
      <c r="G946" t="str">
        <f>IF($A946&lt;&gt;"",'Approved-In-Depth'!G946,"")</f>
        <v/>
      </c>
      <c r="H946" s="4" t="str">
        <f>IF($A946&lt;&gt;"",'Approved-In-Depth'!H946,"")</f>
        <v/>
      </c>
      <c r="I946" t="str">
        <f>IF($A946&lt;&gt;"",'Approved-In-Depth'!I946,"")</f>
        <v/>
      </c>
      <c r="J946" t="str">
        <f>IF($A946&lt;&gt;"",'Approved-In-Depth'!J946,"")</f>
        <v/>
      </c>
      <c r="K946" t="str">
        <f>IF($A946&lt;&gt;"",'Approved-In-Depth'!K946,"")</f>
        <v/>
      </c>
      <c r="L946" s="4" t="str">
        <f>IF($A946&lt;&gt;"",'Approved-In-Depth'!L946,"")</f>
        <v/>
      </c>
      <c r="M946" t="str">
        <f>IF($A946&lt;&gt;"",'Approved-In-Depth'!M946,"")</f>
        <v/>
      </c>
    </row>
    <row r="947" spans="1:13" x14ac:dyDescent="0.35">
      <c r="A947" s="4" t="str">
        <f>IF('Approved-In-Depth'!$A947&lt;&gt;"",'Approved-In-Depth'!A947,"")</f>
        <v/>
      </c>
      <c r="B947" t="str">
        <f>IF($O947&lt;&gt;"",$O947,IF($A947&lt;&gt;"",'Approved-In-Depth'!$B947+7,""))</f>
        <v/>
      </c>
      <c r="C947" t="str">
        <f>IF($A947&lt;&gt;"",'Approved-In-Depth'!C947,"")</f>
        <v/>
      </c>
      <c r="D947" t="str">
        <f>IF($A947&lt;&gt;"",'Approved-In-Depth'!D947,"")</f>
        <v/>
      </c>
      <c r="E947" t="str">
        <f>IF($A947&lt;&gt;"",'Approved-In-Depth'!E947,"")</f>
        <v/>
      </c>
      <c r="F947" t="str">
        <f>IF($A947&lt;&gt;"",'Approved-In-Depth'!F947,"")</f>
        <v/>
      </c>
      <c r="G947" t="str">
        <f>IF($A947&lt;&gt;"",'Approved-In-Depth'!G947,"")</f>
        <v/>
      </c>
      <c r="H947" s="4" t="str">
        <f>IF($A947&lt;&gt;"",'Approved-In-Depth'!H947,"")</f>
        <v/>
      </c>
      <c r="I947" t="str">
        <f>IF($A947&lt;&gt;"",'Approved-In-Depth'!I947,"")</f>
        <v/>
      </c>
      <c r="J947" t="str">
        <f>IF($A947&lt;&gt;"",'Approved-In-Depth'!J947,"")</f>
        <v/>
      </c>
      <c r="K947" t="str">
        <f>IF($A947&lt;&gt;"",'Approved-In-Depth'!K947,"")</f>
        <v/>
      </c>
      <c r="L947" s="4" t="str">
        <f>IF($A947&lt;&gt;"",'Approved-In-Depth'!L947,"")</f>
        <v/>
      </c>
      <c r="M947" t="str">
        <f>IF($A947&lt;&gt;"",'Approved-In-Depth'!M947,"")</f>
        <v/>
      </c>
    </row>
    <row r="948" spans="1:13" x14ac:dyDescent="0.35">
      <c r="A948" s="4" t="str">
        <f>IF('Approved-In-Depth'!$A948&lt;&gt;"",'Approved-In-Depth'!A948,"")</f>
        <v/>
      </c>
      <c r="B948" t="str">
        <f>IF($O948&lt;&gt;"",$O948,IF($A948&lt;&gt;"",'Approved-In-Depth'!$B948+7,""))</f>
        <v/>
      </c>
      <c r="C948" t="str">
        <f>IF($A948&lt;&gt;"",'Approved-In-Depth'!C948,"")</f>
        <v/>
      </c>
      <c r="D948" t="str">
        <f>IF($A948&lt;&gt;"",'Approved-In-Depth'!D948,"")</f>
        <v/>
      </c>
      <c r="E948" t="str">
        <f>IF($A948&lt;&gt;"",'Approved-In-Depth'!E948,"")</f>
        <v/>
      </c>
      <c r="F948" t="str">
        <f>IF($A948&lt;&gt;"",'Approved-In-Depth'!F948,"")</f>
        <v/>
      </c>
      <c r="G948" t="str">
        <f>IF($A948&lt;&gt;"",'Approved-In-Depth'!G948,"")</f>
        <v/>
      </c>
      <c r="H948" s="4" t="str">
        <f>IF($A948&lt;&gt;"",'Approved-In-Depth'!H948,"")</f>
        <v/>
      </c>
      <c r="I948" t="str">
        <f>IF($A948&lt;&gt;"",'Approved-In-Depth'!I948,"")</f>
        <v/>
      </c>
      <c r="J948" t="str">
        <f>IF($A948&lt;&gt;"",'Approved-In-Depth'!J948,"")</f>
        <v/>
      </c>
      <c r="K948" t="str">
        <f>IF($A948&lt;&gt;"",'Approved-In-Depth'!K948,"")</f>
        <v/>
      </c>
      <c r="L948" s="4" t="str">
        <f>IF($A948&lt;&gt;"",'Approved-In-Depth'!L948,"")</f>
        <v/>
      </c>
      <c r="M948" t="str">
        <f>IF($A948&lt;&gt;"",'Approved-In-Depth'!M948,"")</f>
        <v/>
      </c>
    </row>
    <row r="949" spans="1:13" x14ac:dyDescent="0.35">
      <c r="A949" s="4" t="str">
        <f>IF('Approved-In-Depth'!$A949&lt;&gt;"",'Approved-In-Depth'!A949,"")</f>
        <v/>
      </c>
      <c r="B949" t="str">
        <f>IF($O949&lt;&gt;"",$O949,IF($A949&lt;&gt;"",'Approved-In-Depth'!$B949+7,""))</f>
        <v/>
      </c>
      <c r="C949" t="str">
        <f>IF($A949&lt;&gt;"",'Approved-In-Depth'!C949,"")</f>
        <v/>
      </c>
      <c r="D949" t="str">
        <f>IF($A949&lt;&gt;"",'Approved-In-Depth'!D949,"")</f>
        <v/>
      </c>
      <c r="E949" t="str">
        <f>IF($A949&lt;&gt;"",'Approved-In-Depth'!E949,"")</f>
        <v/>
      </c>
      <c r="F949" t="str">
        <f>IF($A949&lt;&gt;"",'Approved-In-Depth'!F949,"")</f>
        <v/>
      </c>
      <c r="G949" t="str">
        <f>IF($A949&lt;&gt;"",'Approved-In-Depth'!G949,"")</f>
        <v/>
      </c>
      <c r="H949" s="4" t="str">
        <f>IF($A949&lt;&gt;"",'Approved-In-Depth'!H949,"")</f>
        <v/>
      </c>
      <c r="I949" t="str">
        <f>IF($A949&lt;&gt;"",'Approved-In-Depth'!I949,"")</f>
        <v/>
      </c>
      <c r="J949" t="str">
        <f>IF($A949&lt;&gt;"",'Approved-In-Depth'!J949,"")</f>
        <v/>
      </c>
      <c r="K949" t="str">
        <f>IF($A949&lt;&gt;"",'Approved-In-Depth'!K949,"")</f>
        <v/>
      </c>
      <c r="L949" s="4" t="str">
        <f>IF($A949&lt;&gt;"",'Approved-In-Depth'!L949,"")</f>
        <v/>
      </c>
      <c r="M949" t="str">
        <f>IF($A949&lt;&gt;"",'Approved-In-Depth'!M949,"")</f>
        <v/>
      </c>
    </row>
    <row r="950" spans="1:13" x14ac:dyDescent="0.35">
      <c r="A950" s="4" t="str">
        <f>IF('Approved-In-Depth'!$A950&lt;&gt;"",'Approved-In-Depth'!A950,"")</f>
        <v/>
      </c>
      <c r="B950" t="str">
        <f>IF($O950&lt;&gt;"",$O950,IF($A950&lt;&gt;"",'Approved-In-Depth'!$B950+7,""))</f>
        <v/>
      </c>
      <c r="C950" t="str">
        <f>IF($A950&lt;&gt;"",'Approved-In-Depth'!C950,"")</f>
        <v/>
      </c>
      <c r="D950" t="str">
        <f>IF($A950&lt;&gt;"",'Approved-In-Depth'!D950,"")</f>
        <v/>
      </c>
      <c r="E950" t="str">
        <f>IF($A950&lt;&gt;"",'Approved-In-Depth'!E950,"")</f>
        <v/>
      </c>
      <c r="F950" t="str">
        <f>IF($A950&lt;&gt;"",'Approved-In-Depth'!F950,"")</f>
        <v/>
      </c>
      <c r="G950" t="str">
        <f>IF($A950&lt;&gt;"",'Approved-In-Depth'!G950,"")</f>
        <v/>
      </c>
      <c r="H950" s="4" t="str">
        <f>IF($A950&lt;&gt;"",'Approved-In-Depth'!H950,"")</f>
        <v/>
      </c>
      <c r="I950" t="str">
        <f>IF($A950&lt;&gt;"",'Approved-In-Depth'!I950,"")</f>
        <v/>
      </c>
      <c r="J950" t="str">
        <f>IF($A950&lt;&gt;"",'Approved-In-Depth'!J950,"")</f>
        <v/>
      </c>
      <c r="K950" t="str">
        <f>IF($A950&lt;&gt;"",'Approved-In-Depth'!K950,"")</f>
        <v/>
      </c>
      <c r="L950" s="4" t="str">
        <f>IF($A950&lt;&gt;"",'Approved-In-Depth'!L950,"")</f>
        <v/>
      </c>
      <c r="M950" t="str">
        <f>IF($A950&lt;&gt;"",'Approved-In-Depth'!M950,"")</f>
        <v/>
      </c>
    </row>
    <row r="951" spans="1:13" x14ac:dyDescent="0.35">
      <c r="A951" s="4" t="str">
        <f>IF('Approved-In-Depth'!$A951&lt;&gt;"",'Approved-In-Depth'!A951,"")</f>
        <v/>
      </c>
      <c r="B951" t="str">
        <f>IF($O951&lt;&gt;"",$O951,IF($A951&lt;&gt;"",'Approved-In-Depth'!$B951+7,""))</f>
        <v/>
      </c>
      <c r="C951" t="str">
        <f>IF($A951&lt;&gt;"",'Approved-In-Depth'!C951,"")</f>
        <v/>
      </c>
      <c r="D951" t="str">
        <f>IF($A951&lt;&gt;"",'Approved-In-Depth'!D951,"")</f>
        <v/>
      </c>
      <c r="E951" t="str">
        <f>IF($A951&lt;&gt;"",'Approved-In-Depth'!E951,"")</f>
        <v/>
      </c>
      <c r="F951" t="str">
        <f>IF($A951&lt;&gt;"",'Approved-In-Depth'!F951,"")</f>
        <v/>
      </c>
      <c r="G951" t="str">
        <f>IF($A951&lt;&gt;"",'Approved-In-Depth'!G951,"")</f>
        <v/>
      </c>
      <c r="H951" s="4" t="str">
        <f>IF($A951&lt;&gt;"",'Approved-In-Depth'!H951,"")</f>
        <v/>
      </c>
      <c r="I951" t="str">
        <f>IF($A951&lt;&gt;"",'Approved-In-Depth'!I951,"")</f>
        <v/>
      </c>
      <c r="J951" t="str">
        <f>IF($A951&lt;&gt;"",'Approved-In-Depth'!J951,"")</f>
        <v/>
      </c>
      <c r="K951" t="str">
        <f>IF($A951&lt;&gt;"",'Approved-In-Depth'!K951,"")</f>
        <v/>
      </c>
      <c r="L951" s="4" t="str">
        <f>IF($A951&lt;&gt;"",'Approved-In-Depth'!L951,"")</f>
        <v/>
      </c>
      <c r="M951" t="str">
        <f>IF($A951&lt;&gt;"",'Approved-In-Depth'!M951,"")</f>
        <v/>
      </c>
    </row>
    <row r="952" spans="1:13" x14ac:dyDescent="0.35">
      <c r="A952" s="4" t="str">
        <f>IF('Approved-In-Depth'!$A952&lt;&gt;"",'Approved-In-Depth'!A952,"")</f>
        <v/>
      </c>
      <c r="B952" t="str">
        <f>IF($O952&lt;&gt;"",$O952,IF($A952&lt;&gt;"",'Approved-In-Depth'!$B952+7,""))</f>
        <v/>
      </c>
      <c r="C952" t="str">
        <f>IF($A952&lt;&gt;"",'Approved-In-Depth'!C952,"")</f>
        <v/>
      </c>
      <c r="D952" t="str">
        <f>IF($A952&lt;&gt;"",'Approved-In-Depth'!D952,"")</f>
        <v/>
      </c>
      <c r="E952" t="str">
        <f>IF($A952&lt;&gt;"",'Approved-In-Depth'!E952,"")</f>
        <v/>
      </c>
      <c r="F952" t="str">
        <f>IF($A952&lt;&gt;"",'Approved-In-Depth'!F952,"")</f>
        <v/>
      </c>
      <c r="G952" t="str">
        <f>IF($A952&lt;&gt;"",'Approved-In-Depth'!G952,"")</f>
        <v/>
      </c>
      <c r="H952" s="4" t="str">
        <f>IF($A952&lt;&gt;"",'Approved-In-Depth'!H952,"")</f>
        <v/>
      </c>
      <c r="I952" t="str">
        <f>IF($A952&lt;&gt;"",'Approved-In-Depth'!I952,"")</f>
        <v/>
      </c>
      <c r="J952" t="str">
        <f>IF($A952&lt;&gt;"",'Approved-In-Depth'!J952,"")</f>
        <v/>
      </c>
      <c r="K952" t="str">
        <f>IF($A952&lt;&gt;"",'Approved-In-Depth'!K952,"")</f>
        <v/>
      </c>
      <c r="L952" s="4" t="str">
        <f>IF($A952&lt;&gt;"",'Approved-In-Depth'!L952,"")</f>
        <v/>
      </c>
      <c r="M952" t="str">
        <f>IF($A952&lt;&gt;"",'Approved-In-Depth'!M952,"")</f>
        <v/>
      </c>
    </row>
    <row r="953" spans="1:13" x14ac:dyDescent="0.35">
      <c r="A953" s="4" t="str">
        <f>IF('Approved-In-Depth'!$A953&lt;&gt;"",'Approved-In-Depth'!A953,"")</f>
        <v/>
      </c>
      <c r="B953" t="str">
        <f>IF($O953&lt;&gt;"",$O953,IF($A953&lt;&gt;"",'Approved-In-Depth'!$B953+7,""))</f>
        <v/>
      </c>
      <c r="C953" t="str">
        <f>IF($A953&lt;&gt;"",'Approved-In-Depth'!C953,"")</f>
        <v/>
      </c>
      <c r="D953" t="str">
        <f>IF($A953&lt;&gt;"",'Approved-In-Depth'!D953,"")</f>
        <v/>
      </c>
      <c r="E953" t="str">
        <f>IF($A953&lt;&gt;"",'Approved-In-Depth'!E953,"")</f>
        <v/>
      </c>
      <c r="F953" t="str">
        <f>IF($A953&lt;&gt;"",'Approved-In-Depth'!F953,"")</f>
        <v/>
      </c>
      <c r="G953" t="str">
        <f>IF($A953&lt;&gt;"",'Approved-In-Depth'!G953,"")</f>
        <v/>
      </c>
      <c r="H953" s="4" t="str">
        <f>IF($A953&lt;&gt;"",'Approved-In-Depth'!H953,"")</f>
        <v/>
      </c>
      <c r="I953" t="str">
        <f>IF($A953&lt;&gt;"",'Approved-In-Depth'!I953,"")</f>
        <v/>
      </c>
      <c r="J953" t="str">
        <f>IF($A953&lt;&gt;"",'Approved-In-Depth'!J953,"")</f>
        <v/>
      </c>
      <c r="K953" t="str">
        <f>IF($A953&lt;&gt;"",'Approved-In-Depth'!K953,"")</f>
        <v/>
      </c>
      <c r="L953" s="4" t="str">
        <f>IF($A953&lt;&gt;"",'Approved-In-Depth'!L953,"")</f>
        <v/>
      </c>
      <c r="M953" t="str">
        <f>IF($A953&lt;&gt;"",'Approved-In-Depth'!M953,"")</f>
        <v/>
      </c>
    </row>
    <row r="954" spans="1:13" x14ac:dyDescent="0.35">
      <c r="A954" s="4" t="str">
        <f>IF('Approved-In-Depth'!$A954&lt;&gt;"",'Approved-In-Depth'!A954,"")</f>
        <v/>
      </c>
      <c r="B954" t="str">
        <f>IF($O954&lt;&gt;"",$O954,IF($A954&lt;&gt;"",'Approved-In-Depth'!$B954+7,""))</f>
        <v/>
      </c>
      <c r="C954" t="str">
        <f>IF($A954&lt;&gt;"",'Approved-In-Depth'!C954,"")</f>
        <v/>
      </c>
      <c r="D954" t="str">
        <f>IF($A954&lt;&gt;"",'Approved-In-Depth'!D954,"")</f>
        <v/>
      </c>
      <c r="E954" t="str">
        <f>IF($A954&lt;&gt;"",'Approved-In-Depth'!E954,"")</f>
        <v/>
      </c>
      <c r="F954" t="str">
        <f>IF($A954&lt;&gt;"",'Approved-In-Depth'!F954,"")</f>
        <v/>
      </c>
      <c r="G954" t="str">
        <f>IF($A954&lt;&gt;"",'Approved-In-Depth'!G954,"")</f>
        <v/>
      </c>
      <c r="H954" s="4" t="str">
        <f>IF($A954&lt;&gt;"",'Approved-In-Depth'!H954,"")</f>
        <v/>
      </c>
      <c r="I954" t="str">
        <f>IF($A954&lt;&gt;"",'Approved-In-Depth'!I954,"")</f>
        <v/>
      </c>
      <c r="J954" t="str">
        <f>IF($A954&lt;&gt;"",'Approved-In-Depth'!J954,"")</f>
        <v/>
      </c>
      <c r="K954" t="str">
        <f>IF($A954&lt;&gt;"",'Approved-In-Depth'!K954,"")</f>
        <v/>
      </c>
      <c r="L954" s="4" t="str">
        <f>IF($A954&lt;&gt;"",'Approved-In-Depth'!L954,"")</f>
        <v/>
      </c>
      <c r="M954" t="str">
        <f>IF($A954&lt;&gt;"",'Approved-In-Depth'!M954,"")</f>
        <v/>
      </c>
    </row>
    <row r="955" spans="1:13" x14ac:dyDescent="0.35">
      <c r="A955" s="4" t="str">
        <f>IF('Approved-In-Depth'!$A955&lt;&gt;"",'Approved-In-Depth'!A955,"")</f>
        <v/>
      </c>
      <c r="B955" t="str">
        <f>IF($O955&lt;&gt;"",$O955,IF($A955&lt;&gt;"",'Approved-In-Depth'!$B955+7,""))</f>
        <v/>
      </c>
      <c r="C955" t="str">
        <f>IF($A955&lt;&gt;"",'Approved-In-Depth'!C955,"")</f>
        <v/>
      </c>
      <c r="D955" t="str">
        <f>IF($A955&lt;&gt;"",'Approved-In-Depth'!D955,"")</f>
        <v/>
      </c>
      <c r="E955" t="str">
        <f>IF($A955&lt;&gt;"",'Approved-In-Depth'!E955,"")</f>
        <v/>
      </c>
      <c r="F955" t="str">
        <f>IF($A955&lt;&gt;"",'Approved-In-Depth'!F955,"")</f>
        <v/>
      </c>
      <c r="G955" t="str">
        <f>IF($A955&lt;&gt;"",'Approved-In-Depth'!G955,"")</f>
        <v/>
      </c>
      <c r="H955" s="4" t="str">
        <f>IF($A955&lt;&gt;"",'Approved-In-Depth'!H955,"")</f>
        <v/>
      </c>
      <c r="I955" t="str">
        <f>IF($A955&lt;&gt;"",'Approved-In-Depth'!I955,"")</f>
        <v/>
      </c>
      <c r="J955" t="str">
        <f>IF($A955&lt;&gt;"",'Approved-In-Depth'!J955,"")</f>
        <v/>
      </c>
      <c r="K955" t="str">
        <f>IF($A955&lt;&gt;"",'Approved-In-Depth'!K955,"")</f>
        <v/>
      </c>
      <c r="L955" s="4" t="str">
        <f>IF($A955&lt;&gt;"",'Approved-In-Depth'!L955,"")</f>
        <v/>
      </c>
      <c r="M955" t="str">
        <f>IF($A955&lt;&gt;"",'Approved-In-Depth'!M955,"")</f>
        <v/>
      </c>
    </row>
    <row r="956" spans="1:13" x14ac:dyDescent="0.35">
      <c r="A956" s="4" t="str">
        <f>IF('Approved-In-Depth'!$A956&lt;&gt;"",'Approved-In-Depth'!A956,"")</f>
        <v/>
      </c>
      <c r="B956" t="str">
        <f>IF($O956&lt;&gt;"",$O956,IF($A956&lt;&gt;"",'Approved-In-Depth'!$B956+7,""))</f>
        <v/>
      </c>
      <c r="C956" t="str">
        <f>IF($A956&lt;&gt;"",'Approved-In-Depth'!C956,"")</f>
        <v/>
      </c>
      <c r="D956" t="str">
        <f>IF($A956&lt;&gt;"",'Approved-In-Depth'!D956,"")</f>
        <v/>
      </c>
      <c r="E956" t="str">
        <f>IF($A956&lt;&gt;"",'Approved-In-Depth'!E956,"")</f>
        <v/>
      </c>
      <c r="F956" t="str">
        <f>IF($A956&lt;&gt;"",'Approved-In-Depth'!F956,"")</f>
        <v/>
      </c>
      <c r="G956" t="str">
        <f>IF($A956&lt;&gt;"",'Approved-In-Depth'!G956,"")</f>
        <v/>
      </c>
      <c r="H956" s="4" t="str">
        <f>IF($A956&lt;&gt;"",'Approved-In-Depth'!H956,"")</f>
        <v/>
      </c>
      <c r="I956" t="str">
        <f>IF($A956&lt;&gt;"",'Approved-In-Depth'!I956,"")</f>
        <v/>
      </c>
      <c r="J956" t="str">
        <f>IF($A956&lt;&gt;"",'Approved-In-Depth'!J956,"")</f>
        <v/>
      </c>
      <c r="K956" t="str">
        <f>IF($A956&lt;&gt;"",'Approved-In-Depth'!K956,"")</f>
        <v/>
      </c>
      <c r="L956" s="4" t="str">
        <f>IF($A956&lt;&gt;"",'Approved-In-Depth'!L956,"")</f>
        <v/>
      </c>
      <c r="M956" t="str">
        <f>IF($A956&lt;&gt;"",'Approved-In-Depth'!M956,"")</f>
        <v/>
      </c>
    </row>
    <row r="957" spans="1:13" x14ac:dyDescent="0.35">
      <c r="A957" s="4" t="str">
        <f>IF('Approved-In-Depth'!$A957&lt;&gt;"",'Approved-In-Depth'!A957,"")</f>
        <v/>
      </c>
      <c r="B957" t="str">
        <f>IF($O957&lt;&gt;"",$O957,IF($A957&lt;&gt;"",'Approved-In-Depth'!$B957+7,""))</f>
        <v/>
      </c>
      <c r="C957" t="str">
        <f>IF($A957&lt;&gt;"",'Approved-In-Depth'!C957,"")</f>
        <v/>
      </c>
      <c r="D957" t="str">
        <f>IF($A957&lt;&gt;"",'Approved-In-Depth'!D957,"")</f>
        <v/>
      </c>
      <c r="E957" t="str">
        <f>IF($A957&lt;&gt;"",'Approved-In-Depth'!E957,"")</f>
        <v/>
      </c>
      <c r="F957" t="str">
        <f>IF($A957&lt;&gt;"",'Approved-In-Depth'!F957,"")</f>
        <v/>
      </c>
      <c r="G957" t="str">
        <f>IF($A957&lt;&gt;"",'Approved-In-Depth'!G957,"")</f>
        <v/>
      </c>
      <c r="H957" s="4" t="str">
        <f>IF($A957&lt;&gt;"",'Approved-In-Depth'!H957,"")</f>
        <v/>
      </c>
      <c r="I957" t="str">
        <f>IF($A957&lt;&gt;"",'Approved-In-Depth'!I957,"")</f>
        <v/>
      </c>
      <c r="J957" t="str">
        <f>IF($A957&lt;&gt;"",'Approved-In-Depth'!J957,"")</f>
        <v/>
      </c>
      <c r="K957" t="str">
        <f>IF($A957&lt;&gt;"",'Approved-In-Depth'!K957,"")</f>
        <v/>
      </c>
      <c r="L957" s="4" t="str">
        <f>IF($A957&lt;&gt;"",'Approved-In-Depth'!L957,"")</f>
        <v/>
      </c>
      <c r="M957" t="str">
        <f>IF($A957&lt;&gt;"",'Approved-In-Depth'!M957,"")</f>
        <v/>
      </c>
    </row>
    <row r="958" spans="1:13" x14ac:dyDescent="0.35">
      <c r="A958" s="4" t="str">
        <f>IF('Approved-In-Depth'!$A958&lt;&gt;"",'Approved-In-Depth'!A958,"")</f>
        <v/>
      </c>
      <c r="B958" t="str">
        <f>IF($O958&lt;&gt;"",$O958,IF($A958&lt;&gt;"",'Approved-In-Depth'!$B958+7,""))</f>
        <v/>
      </c>
      <c r="C958" t="str">
        <f>IF($A958&lt;&gt;"",'Approved-In-Depth'!C958,"")</f>
        <v/>
      </c>
      <c r="D958" t="str">
        <f>IF($A958&lt;&gt;"",'Approved-In-Depth'!D958,"")</f>
        <v/>
      </c>
      <c r="E958" t="str">
        <f>IF($A958&lt;&gt;"",'Approved-In-Depth'!E958,"")</f>
        <v/>
      </c>
      <c r="F958" t="str">
        <f>IF($A958&lt;&gt;"",'Approved-In-Depth'!F958,"")</f>
        <v/>
      </c>
      <c r="G958" t="str">
        <f>IF($A958&lt;&gt;"",'Approved-In-Depth'!G958,"")</f>
        <v/>
      </c>
      <c r="H958" s="4" t="str">
        <f>IF($A958&lt;&gt;"",'Approved-In-Depth'!H958,"")</f>
        <v/>
      </c>
      <c r="I958" t="str">
        <f>IF($A958&lt;&gt;"",'Approved-In-Depth'!I958,"")</f>
        <v/>
      </c>
      <c r="J958" t="str">
        <f>IF($A958&lt;&gt;"",'Approved-In-Depth'!J958,"")</f>
        <v/>
      </c>
      <c r="K958" t="str">
        <f>IF($A958&lt;&gt;"",'Approved-In-Depth'!K958,"")</f>
        <v/>
      </c>
      <c r="L958" s="4" t="str">
        <f>IF($A958&lt;&gt;"",'Approved-In-Depth'!L958,"")</f>
        <v/>
      </c>
      <c r="M958" t="str">
        <f>IF($A958&lt;&gt;"",'Approved-In-Depth'!M958,"")</f>
        <v/>
      </c>
    </row>
    <row r="959" spans="1:13" x14ac:dyDescent="0.35">
      <c r="A959" s="4" t="str">
        <f>IF('Approved-In-Depth'!$A959&lt;&gt;"",'Approved-In-Depth'!A959,"")</f>
        <v/>
      </c>
      <c r="B959" t="str">
        <f>IF($O959&lt;&gt;"",$O959,IF($A959&lt;&gt;"",'Approved-In-Depth'!$B959+7,""))</f>
        <v/>
      </c>
      <c r="C959" t="str">
        <f>IF($A959&lt;&gt;"",'Approved-In-Depth'!C959,"")</f>
        <v/>
      </c>
      <c r="D959" t="str">
        <f>IF($A959&lt;&gt;"",'Approved-In-Depth'!D959,"")</f>
        <v/>
      </c>
      <c r="E959" t="str">
        <f>IF($A959&lt;&gt;"",'Approved-In-Depth'!E959,"")</f>
        <v/>
      </c>
      <c r="F959" t="str">
        <f>IF($A959&lt;&gt;"",'Approved-In-Depth'!F959,"")</f>
        <v/>
      </c>
      <c r="G959" t="str">
        <f>IF($A959&lt;&gt;"",'Approved-In-Depth'!G959,"")</f>
        <v/>
      </c>
      <c r="H959" s="4" t="str">
        <f>IF($A959&lt;&gt;"",'Approved-In-Depth'!H959,"")</f>
        <v/>
      </c>
      <c r="I959" t="str">
        <f>IF($A959&lt;&gt;"",'Approved-In-Depth'!I959,"")</f>
        <v/>
      </c>
      <c r="J959" t="str">
        <f>IF($A959&lt;&gt;"",'Approved-In-Depth'!J959,"")</f>
        <v/>
      </c>
      <c r="K959" t="str">
        <f>IF($A959&lt;&gt;"",'Approved-In-Depth'!K959,"")</f>
        <v/>
      </c>
      <c r="L959" s="4" t="str">
        <f>IF($A959&lt;&gt;"",'Approved-In-Depth'!L959,"")</f>
        <v/>
      </c>
      <c r="M959" t="str">
        <f>IF($A959&lt;&gt;"",'Approved-In-Depth'!M959,"")</f>
        <v/>
      </c>
    </row>
    <row r="960" spans="1:13" x14ac:dyDescent="0.35">
      <c r="A960" s="4" t="str">
        <f>IF('Approved-In-Depth'!$A960&lt;&gt;"",'Approved-In-Depth'!A960,"")</f>
        <v/>
      </c>
      <c r="B960" t="str">
        <f>IF($O960&lt;&gt;"",$O960,IF($A960&lt;&gt;"",'Approved-In-Depth'!$B960+7,""))</f>
        <v/>
      </c>
      <c r="C960" t="str">
        <f>IF($A960&lt;&gt;"",'Approved-In-Depth'!C960,"")</f>
        <v/>
      </c>
      <c r="D960" t="str">
        <f>IF($A960&lt;&gt;"",'Approved-In-Depth'!D960,"")</f>
        <v/>
      </c>
      <c r="E960" t="str">
        <f>IF($A960&lt;&gt;"",'Approved-In-Depth'!E960,"")</f>
        <v/>
      </c>
      <c r="F960" t="str">
        <f>IF($A960&lt;&gt;"",'Approved-In-Depth'!F960,"")</f>
        <v/>
      </c>
      <c r="G960" t="str">
        <f>IF($A960&lt;&gt;"",'Approved-In-Depth'!G960,"")</f>
        <v/>
      </c>
      <c r="H960" s="4" t="str">
        <f>IF($A960&lt;&gt;"",'Approved-In-Depth'!H960,"")</f>
        <v/>
      </c>
      <c r="I960" t="str">
        <f>IF($A960&lt;&gt;"",'Approved-In-Depth'!I960,"")</f>
        <v/>
      </c>
      <c r="J960" t="str">
        <f>IF($A960&lt;&gt;"",'Approved-In-Depth'!J960,"")</f>
        <v/>
      </c>
      <c r="K960" t="str">
        <f>IF($A960&lt;&gt;"",'Approved-In-Depth'!K960,"")</f>
        <v/>
      </c>
      <c r="L960" s="4" t="str">
        <f>IF($A960&lt;&gt;"",'Approved-In-Depth'!L960,"")</f>
        <v/>
      </c>
      <c r="M960" t="str">
        <f>IF($A960&lt;&gt;"",'Approved-In-Depth'!M960,"")</f>
        <v/>
      </c>
    </row>
    <row r="961" spans="1:13" x14ac:dyDescent="0.35">
      <c r="A961" s="4" t="str">
        <f>IF('Approved-In-Depth'!$A961&lt;&gt;"",'Approved-In-Depth'!A961,"")</f>
        <v/>
      </c>
      <c r="B961" t="str">
        <f>IF($O961&lt;&gt;"",$O961,IF($A961&lt;&gt;"",'Approved-In-Depth'!$B961+7,""))</f>
        <v/>
      </c>
      <c r="C961" t="str">
        <f>IF($A961&lt;&gt;"",'Approved-In-Depth'!C961,"")</f>
        <v/>
      </c>
      <c r="D961" t="str">
        <f>IF($A961&lt;&gt;"",'Approved-In-Depth'!D961,"")</f>
        <v/>
      </c>
      <c r="E961" t="str">
        <f>IF($A961&lt;&gt;"",'Approved-In-Depth'!E961,"")</f>
        <v/>
      </c>
      <c r="F961" t="str">
        <f>IF($A961&lt;&gt;"",'Approved-In-Depth'!F961,"")</f>
        <v/>
      </c>
      <c r="G961" t="str">
        <f>IF($A961&lt;&gt;"",'Approved-In-Depth'!G961,"")</f>
        <v/>
      </c>
      <c r="H961" s="4" t="str">
        <f>IF($A961&lt;&gt;"",'Approved-In-Depth'!H961,"")</f>
        <v/>
      </c>
      <c r="I961" t="str">
        <f>IF($A961&lt;&gt;"",'Approved-In-Depth'!I961,"")</f>
        <v/>
      </c>
      <c r="J961" t="str">
        <f>IF($A961&lt;&gt;"",'Approved-In-Depth'!J961,"")</f>
        <v/>
      </c>
      <c r="K961" t="str">
        <f>IF($A961&lt;&gt;"",'Approved-In-Depth'!K961,"")</f>
        <v/>
      </c>
      <c r="L961" s="4" t="str">
        <f>IF($A961&lt;&gt;"",'Approved-In-Depth'!L961,"")</f>
        <v/>
      </c>
      <c r="M961" t="str">
        <f>IF($A961&lt;&gt;"",'Approved-In-Depth'!M961,"")</f>
        <v/>
      </c>
    </row>
    <row r="962" spans="1:13" x14ac:dyDescent="0.35">
      <c r="A962" s="4" t="str">
        <f>IF('Approved-In-Depth'!$A962&lt;&gt;"",'Approved-In-Depth'!A962,"")</f>
        <v/>
      </c>
      <c r="B962" t="str">
        <f>IF($O962&lt;&gt;"",$O962,IF($A962&lt;&gt;"",'Approved-In-Depth'!$B962+7,""))</f>
        <v/>
      </c>
      <c r="C962" t="str">
        <f>IF($A962&lt;&gt;"",'Approved-In-Depth'!C962,"")</f>
        <v/>
      </c>
      <c r="D962" t="str">
        <f>IF($A962&lt;&gt;"",'Approved-In-Depth'!D962,"")</f>
        <v/>
      </c>
      <c r="E962" t="str">
        <f>IF($A962&lt;&gt;"",'Approved-In-Depth'!E962,"")</f>
        <v/>
      </c>
      <c r="F962" t="str">
        <f>IF($A962&lt;&gt;"",'Approved-In-Depth'!F962,"")</f>
        <v/>
      </c>
      <c r="G962" t="str">
        <f>IF($A962&lt;&gt;"",'Approved-In-Depth'!G962,"")</f>
        <v/>
      </c>
      <c r="H962" s="4" t="str">
        <f>IF($A962&lt;&gt;"",'Approved-In-Depth'!H962,"")</f>
        <v/>
      </c>
      <c r="I962" t="str">
        <f>IF($A962&lt;&gt;"",'Approved-In-Depth'!I962,"")</f>
        <v/>
      </c>
      <c r="J962" t="str">
        <f>IF($A962&lt;&gt;"",'Approved-In-Depth'!J962,"")</f>
        <v/>
      </c>
      <c r="K962" t="str">
        <f>IF($A962&lt;&gt;"",'Approved-In-Depth'!K962,"")</f>
        <v/>
      </c>
      <c r="L962" s="4" t="str">
        <f>IF($A962&lt;&gt;"",'Approved-In-Depth'!L962,"")</f>
        <v/>
      </c>
      <c r="M962" t="str">
        <f>IF($A962&lt;&gt;"",'Approved-In-Depth'!M962,"")</f>
        <v/>
      </c>
    </row>
    <row r="963" spans="1:13" x14ac:dyDescent="0.35">
      <c r="A963" s="4" t="str">
        <f>IF('Approved-In-Depth'!$A963&lt;&gt;"",'Approved-In-Depth'!A963,"")</f>
        <v/>
      </c>
      <c r="B963" t="str">
        <f>IF($O963&lt;&gt;"",$O963,IF($A963&lt;&gt;"",'Approved-In-Depth'!$B963+7,""))</f>
        <v/>
      </c>
      <c r="C963" t="str">
        <f>IF($A963&lt;&gt;"",'Approved-In-Depth'!C963,"")</f>
        <v/>
      </c>
      <c r="D963" t="str">
        <f>IF($A963&lt;&gt;"",'Approved-In-Depth'!D963,"")</f>
        <v/>
      </c>
      <c r="E963" t="str">
        <f>IF($A963&lt;&gt;"",'Approved-In-Depth'!E963,"")</f>
        <v/>
      </c>
      <c r="F963" t="str">
        <f>IF($A963&lt;&gt;"",'Approved-In-Depth'!F963,"")</f>
        <v/>
      </c>
      <c r="G963" t="str">
        <f>IF($A963&lt;&gt;"",'Approved-In-Depth'!G963,"")</f>
        <v/>
      </c>
      <c r="H963" s="4" t="str">
        <f>IF($A963&lt;&gt;"",'Approved-In-Depth'!H963,"")</f>
        <v/>
      </c>
      <c r="I963" t="str">
        <f>IF($A963&lt;&gt;"",'Approved-In-Depth'!I963,"")</f>
        <v/>
      </c>
      <c r="J963" t="str">
        <f>IF($A963&lt;&gt;"",'Approved-In-Depth'!J963,"")</f>
        <v/>
      </c>
      <c r="K963" t="str">
        <f>IF($A963&lt;&gt;"",'Approved-In-Depth'!K963,"")</f>
        <v/>
      </c>
      <c r="L963" s="4" t="str">
        <f>IF($A963&lt;&gt;"",'Approved-In-Depth'!L963,"")</f>
        <v/>
      </c>
      <c r="M963" t="str">
        <f>IF($A963&lt;&gt;"",'Approved-In-Depth'!M963,"")</f>
        <v/>
      </c>
    </row>
    <row r="964" spans="1:13" x14ac:dyDescent="0.35">
      <c r="A964" s="4" t="str">
        <f>IF('Approved-In-Depth'!$A964&lt;&gt;"",'Approved-In-Depth'!A964,"")</f>
        <v/>
      </c>
      <c r="B964" t="str">
        <f>IF($O964&lt;&gt;"",$O964,IF($A964&lt;&gt;"",'Approved-In-Depth'!$B964+7,""))</f>
        <v/>
      </c>
      <c r="C964" t="str">
        <f>IF($A964&lt;&gt;"",'Approved-In-Depth'!C964,"")</f>
        <v/>
      </c>
      <c r="D964" t="str">
        <f>IF($A964&lt;&gt;"",'Approved-In-Depth'!D964,"")</f>
        <v/>
      </c>
      <c r="E964" t="str">
        <f>IF($A964&lt;&gt;"",'Approved-In-Depth'!E964,"")</f>
        <v/>
      </c>
      <c r="F964" t="str">
        <f>IF($A964&lt;&gt;"",'Approved-In-Depth'!F964,"")</f>
        <v/>
      </c>
      <c r="G964" t="str">
        <f>IF($A964&lt;&gt;"",'Approved-In-Depth'!G964,"")</f>
        <v/>
      </c>
      <c r="H964" s="4" t="str">
        <f>IF($A964&lt;&gt;"",'Approved-In-Depth'!H964,"")</f>
        <v/>
      </c>
      <c r="I964" t="str">
        <f>IF($A964&lt;&gt;"",'Approved-In-Depth'!I964,"")</f>
        <v/>
      </c>
      <c r="J964" t="str">
        <f>IF($A964&lt;&gt;"",'Approved-In-Depth'!J964,"")</f>
        <v/>
      </c>
      <c r="K964" t="str">
        <f>IF($A964&lt;&gt;"",'Approved-In-Depth'!K964,"")</f>
        <v/>
      </c>
      <c r="L964" s="4" t="str">
        <f>IF($A964&lt;&gt;"",'Approved-In-Depth'!L964,"")</f>
        <v/>
      </c>
      <c r="M964" t="str">
        <f>IF($A964&lt;&gt;"",'Approved-In-Depth'!M964,"")</f>
        <v/>
      </c>
    </row>
    <row r="965" spans="1:13" x14ac:dyDescent="0.35">
      <c r="A965" s="4" t="str">
        <f>IF('Approved-In-Depth'!$A965&lt;&gt;"",'Approved-In-Depth'!A965,"")</f>
        <v/>
      </c>
      <c r="B965" t="str">
        <f>IF($O965&lt;&gt;"",$O965,IF($A965&lt;&gt;"",'Approved-In-Depth'!$B965+7,""))</f>
        <v/>
      </c>
      <c r="C965" t="str">
        <f>IF($A965&lt;&gt;"",'Approved-In-Depth'!C965,"")</f>
        <v/>
      </c>
      <c r="D965" t="str">
        <f>IF($A965&lt;&gt;"",'Approved-In-Depth'!D965,"")</f>
        <v/>
      </c>
      <c r="E965" t="str">
        <f>IF($A965&lt;&gt;"",'Approved-In-Depth'!E965,"")</f>
        <v/>
      </c>
      <c r="F965" t="str">
        <f>IF($A965&lt;&gt;"",'Approved-In-Depth'!F965,"")</f>
        <v/>
      </c>
      <c r="G965" t="str">
        <f>IF($A965&lt;&gt;"",'Approved-In-Depth'!G965,"")</f>
        <v/>
      </c>
      <c r="H965" s="4" t="str">
        <f>IF($A965&lt;&gt;"",'Approved-In-Depth'!H965,"")</f>
        <v/>
      </c>
      <c r="I965" t="str">
        <f>IF($A965&lt;&gt;"",'Approved-In-Depth'!I965,"")</f>
        <v/>
      </c>
      <c r="J965" t="str">
        <f>IF($A965&lt;&gt;"",'Approved-In-Depth'!J965,"")</f>
        <v/>
      </c>
      <c r="K965" t="str">
        <f>IF($A965&lt;&gt;"",'Approved-In-Depth'!K965,"")</f>
        <v/>
      </c>
      <c r="L965" s="4" t="str">
        <f>IF($A965&lt;&gt;"",'Approved-In-Depth'!L965,"")</f>
        <v/>
      </c>
      <c r="M965" t="str">
        <f>IF($A965&lt;&gt;"",'Approved-In-Depth'!M965,"")</f>
        <v/>
      </c>
    </row>
    <row r="966" spans="1:13" x14ac:dyDescent="0.35">
      <c r="A966" s="4" t="str">
        <f>IF('Approved-In-Depth'!$A966&lt;&gt;"",'Approved-In-Depth'!A966,"")</f>
        <v/>
      </c>
      <c r="B966" t="str">
        <f>IF($O966&lt;&gt;"",$O966,IF($A966&lt;&gt;"",'Approved-In-Depth'!$B966+7,""))</f>
        <v/>
      </c>
      <c r="C966" t="str">
        <f>IF($A966&lt;&gt;"",'Approved-In-Depth'!C966,"")</f>
        <v/>
      </c>
      <c r="D966" t="str">
        <f>IF($A966&lt;&gt;"",'Approved-In-Depth'!D966,"")</f>
        <v/>
      </c>
      <c r="E966" t="str">
        <f>IF($A966&lt;&gt;"",'Approved-In-Depth'!E966,"")</f>
        <v/>
      </c>
      <c r="F966" t="str">
        <f>IF($A966&lt;&gt;"",'Approved-In-Depth'!F966,"")</f>
        <v/>
      </c>
      <c r="G966" t="str">
        <f>IF($A966&lt;&gt;"",'Approved-In-Depth'!G966,"")</f>
        <v/>
      </c>
      <c r="H966" s="4" t="str">
        <f>IF($A966&lt;&gt;"",'Approved-In-Depth'!H966,"")</f>
        <v/>
      </c>
      <c r="I966" t="str">
        <f>IF($A966&lt;&gt;"",'Approved-In-Depth'!I966,"")</f>
        <v/>
      </c>
      <c r="J966" t="str">
        <f>IF($A966&lt;&gt;"",'Approved-In-Depth'!J966,"")</f>
        <v/>
      </c>
      <c r="K966" t="str">
        <f>IF($A966&lt;&gt;"",'Approved-In-Depth'!K966,"")</f>
        <v/>
      </c>
      <c r="L966" s="4" t="str">
        <f>IF($A966&lt;&gt;"",'Approved-In-Depth'!L966,"")</f>
        <v/>
      </c>
      <c r="M966" t="str">
        <f>IF($A966&lt;&gt;"",'Approved-In-Depth'!M966,"")</f>
        <v/>
      </c>
    </row>
    <row r="967" spans="1:13" x14ac:dyDescent="0.35">
      <c r="A967" s="4" t="str">
        <f>IF('Approved-In-Depth'!$A967&lt;&gt;"",'Approved-In-Depth'!A967,"")</f>
        <v/>
      </c>
      <c r="B967" t="str">
        <f>IF($O967&lt;&gt;"",$O967,IF($A967&lt;&gt;"",'Approved-In-Depth'!$B967+7,""))</f>
        <v/>
      </c>
      <c r="C967" t="str">
        <f>IF($A967&lt;&gt;"",'Approved-In-Depth'!C967,"")</f>
        <v/>
      </c>
      <c r="D967" t="str">
        <f>IF($A967&lt;&gt;"",'Approved-In-Depth'!D967,"")</f>
        <v/>
      </c>
      <c r="E967" t="str">
        <f>IF($A967&lt;&gt;"",'Approved-In-Depth'!E967,"")</f>
        <v/>
      </c>
      <c r="F967" t="str">
        <f>IF($A967&lt;&gt;"",'Approved-In-Depth'!F967,"")</f>
        <v/>
      </c>
      <c r="G967" t="str">
        <f>IF($A967&lt;&gt;"",'Approved-In-Depth'!G967,"")</f>
        <v/>
      </c>
      <c r="H967" s="4" t="str">
        <f>IF($A967&lt;&gt;"",'Approved-In-Depth'!H967,"")</f>
        <v/>
      </c>
      <c r="I967" t="str">
        <f>IF($A967&lt;&gt;"",'Approved-In-Depth'!I967,"")</f>
        <v/>
      </c>
      <c r="J967" t="str">
        <f>IF($A967&lt;&gt;"",'Approved-In-Depth'!J967,"")</f>
        <v/>
      </c>
      <c r="K967" t="str">
        <f>IF($A967&lt;&gt;"",'Approved-In-Depth'!K967,"")</f>
        <v/>
      </c>
      <c r="L967" s="4" t="str">
        <f>IF($A967&lt;&gt;"",'Approved-In-Depth'!L967,"")</f>
        <v/>
      </c>
      <c r="M967" t="str">
        <f>IF($A967&lt;&gt;"",'Approved-In-Depth'!M967,"")</f>
        <v/>
      </c>
    </row>
    <row r="968" spans="1:13" x14ac:dyDescent="0.35">
      <c r="A968" s="4" t="str">
        <f>IF('Approved-In-Depth'!$A968&lt;&gt;"",'Approved-In-Depth'!A968,"")</f>
        <v/>
      </c>
      <c r="B968" t="str">
        <f>IF($O968&lt;&gt;"",$O968,IF($A968&lt;&gt;"",'Approved-In-Depth'!$B968+7,""))</f>
        <v/>
      </c>
      <c r="C968" t="str">
        <f>IF($A968&lt;&gt;"",'Approved-In-Depth'!C968,"")</f>
        <v/>
      </c>
      <c r="D968" t="str">
        <f>IF($A968&lt;&gt;"",'Approved-In-Depth'!D968,"")</f>
        <v/>
      </c>
      <c r="E968" t="str">
        <f>IF($A968&lt;&gt;"",'Approved-In-Depth'!E968,"")</f>
        <v/>
      </c>
      <c r="F968" t="str">
        <f>IF($A968&lt;&gt;"",'Approved-In-Depth'!F968,"")</f>
        <v/>
      </c>
      <c r="G968" t="str">
        <f>IF($A968&lt;&gt;"",'Approved-In-Depth'!G968,"")</f>
        <v/>
      </c>
      <c r="H968" s="4" t="str">
        <f>IF($A968&lt;&gt;"",'Approved-In-Depth'!H968,"")</f>
        <v/>
      </c>
      <c r="I968" t="str">
        <f>IF($A968&lt;&gt;"",'Approved-In-Depth'!I968,"")</f>
        <v/>
      </c>
      <c r="J968" t="str">
        <f>IF($A968&lt;&gt;"",'Approved-In-Depth'!J968,"")</f>
        <v/>
      </c>
      <c r="K968" t="str">
        <f>IF($A968&lt;&gt;"",'Approved-In-Depth'!K968,"")</f>
        <v/>
      </c>
      <c r="L968" s="4" t="str">
        <f>IF($A968&lt;&gt;"",'Approved-In-Depth'!L968,"")</f>
        <v/>
      </c>
      <c r="M968" t="str">
        <f>IF($A968&lt;&gt;"",'Approved-In-Depth'!M968,"")</f>
        <v/>
      </c>
    </row>
    <row r="969" spans="1:13" x14ac:dyDescent="0.35">
      <c r="A969" s="4" t="str">
        <f>IF('Approved-In-Depth'!$A969&lt;&gt;"",'Approved-In-Depth'!A969,"")</f>
        <v/>
      </c>
      <c r="B969" t="str">
        <f>IF($O969&lt;&gt;"",$O969,IF($A969&lt;&gt;"",'Approved-In-Depth'!$B969+7,""))</f>
        <v/>
      </c>
      <c r="C969" t="str">
        <f>IF($A969&lt;&gt;"",'Approved-In-Depth'!C969,"")</f>
        <v/>
      </c>
      <c r="D969" t="str">
        <f>IF($A969&lt;&gt;"",'Approved-In-Depth'!D969,"")</f>
        <v/>
      </c>
      <c r="E969" t="str">
        <f>IF($A969&lt;&gt;"",'Approved-In-Depth'!E969,"")</f>
        <v/>
      </c>
      <c r="F969" t="str">
        <f>IF($A969&lt;&gt;"",'Approved-In-Depth'!F969,"")</f>
        <v/>
      </c>
      <c r="G969" t="str">
        <f>IF($A969&lt;&gt;"",'Approved-In-Depth'!G969,"")</f>
        <v/>
      </c>
      <c r="H969" s="4" t="str">
        <f>IF($A969&lt;&gt;"",'Approved-In-Depth'!H969,"")</f>
        <v/>
      </c>
      <c r="I969" t="str">
        <f>IF($A969&lt;&gt;"",'Approved-In-Depth'!I969,"")</f>
        <v/>
      </c>
      <c r="J969" t="str">
        <f>IF($A969&lt;&gt;"",'Approved-In-Depth'!J969,"")</f>
        <v/>
      </c>
      <c r="K969" t="str">
        <f>IF($A969&lt;&gt;"",'Approved-In-Depth'!K969,"")</f>
        <v/>
      </c>
      <c r="L969" s="4" t="str">
        <f>IF($A969&lt;&gt;"",'Approved-In-Depth'!L969,"")</f>
        <v/>
      </c>
      <c r="M969" t="str">
        <f>IF($A969&lt;&gt;"",'Approved-In-Depth'!M969,"")</f>
        <v/>
      </c>
    </row>
    <row r="970" spans="1:13" x14ac:dyDescent="0.35">
      <c r="A970" s="4" t="str">
        <f>IF('Approved-In-Depth'!$A970&lt;&gt;"",'Approved-In-Depth'!A970,"")</f>
        <v/>
      </c>
      <c r="B970" t="str">
        <f>IF($O970&lt;&gt;"",$O970,IF($A970&lt;&gt;"",'Approved-In-Depth'!$B970+7,""))</f>
        <v/>
      </c>
      <c r="C970" t="str">
        <f>IF($A970&lt;&gt;"",'Approved-In-Depth'!C970,"")</f>
        <v/>
      </c>
      <c r="D970" t="str">
        <f>IF($A970&lt;&gt;"",'Approved-In-Depth'!D970,"")</f>
        <v/>
      </c>
      <c r="E970" t="str">
        <f>IF($A970&lt;&gt;"",'Approved-In-Depth'!E970,"")</f>
        <v/>
      </c>
      <c r="F970" t="str">
        <f>IF($A970&lt;&gt;"",'Approved-In-Depth'!F970,"")</f>
        <v/>
      </c>
      <c r="G970" t="str">
        <f>IF($A970&lt;&gt;"",'Approved-In-Depth'!G970,"")</f>
        <v/>
      </c>
      <c r="H970" s="4" t="str">
        <f>IF($A970&lt;&gt;"",'Approved-In-Depth'!H970,"")</f>
        <v/>
      </c>
      <c r="I970" t="str">
        <f>IF($A970&lt;&gt;"",'Approved-In-Depth'!I970,"")</f>
        <v/>
      </c>
      <c r="J970" t="str">
        <f>IF($A970&lt;&gt;"",'Approved-In-Depth'!J970,"")</f>
        <v/>
      </c>
      <c r="K970" t="str">
        <f>IF($A970&lt;&gt;"",'Approved-In-Depth'!K970,"")</f>
        <v/>
      </c>
      <c r="L970" s="4" t="str">
        <f>IF($A970&lt;&gt;"",'Approved-In-Depth'!L970,"")</f>
        <v/>
      </c>
      <c r="M970" t="str">
        <f>IF($A970&lt;&gt;"",'Approved-In-Depth'!M970,"")</f>
        <v/>
      </c>
    </row>
    <row r="971" spans="1:13" x14ac:dyDescent="0.35">
      <c r="A971" s="4" t="str">
        <f>IF('Approved-In-Depth'!$A971&lt;&gt;"",'Approved-In-Depth'!A971,"")</f>
        <v/>
      </c>
      <c r="B971" t="str">
        <f>IF($O971&lt;&gt;"",$O971,IF($A971&lt;&gt;"",'Approved-In-Depth'!$B971+7,""))</f>
        <v/>
      </c>
      <c r="C971" t="str">
        <f>IF($A971&lt;&gt;"",'Approved-In-Depth'!C971,"")</f>
        <v/>
      </c>
      <c r="D971" t="str">
        <f>IF($A971&lt;&gt;"",'Approved-In-Depth'!D971,"")</f>
        <v/>
      </c>
      <c r="E971" t="str">
        <f>IF($A971&lt;&gt;"",'Approved-In-Depth'!E971,"")</f>
        <v/>
      </c>
      <c r="F971" t="str">
        <f>IF($A971&lt;&gt;"",'Approved-In-Depth'!F971,"")</f>
        <v/>
      </c>
      <c r="G971" t="str">
        <f>IF($A971&lt;&gt;"",'Approved-In-Depth'!G971,"")</f>
        <v/>
      </c>
      <c r="H971" s="4" t="str">
        <f>IF($A971&lt;&gt;"",'Approved-In-Depth'!H971,"")</f>
        <v/>
      </c>
      <c r="I971" t="str">
        <f>IF($A971&lt;&gt;"",'Approved-In-Depth'!I971,"")</f>
        <v/>
      </c>
      <c r="J971" t="str">
        <f>IF($A971&lt;&gt;"",'Approved-In-Depth'!J971,"")</f>
        <v/>
      </c>
      <c r="K971" t="str">
        <f>IF($A971&lt;&gt;"",'Approved-In-Depth'!K971,"")</f>
        <v/>
      </c>
      <c r="L971" s="4" t="str">
        <f>IF($A971&lt;&gt;"",'Approved-In-Depth'!L971,"")</f>
        <v/>
      </c>
      <c r="M971" t="str">
        <f>IF($A971&lt;&gt;"",'Approved-In-Depth'!M971,"")</f>
        <v/>
      </c>
    </row>
    <row r="972" spans="1:13" x14ac:dyDescent="0.35">
      <c r="A972" s="4" t="str">
        <f>IF('Approved-In-Depth'!$A972&lt;&gt;"",'Approved-In-Depth'!A972,"")</f>
        <v/>
      </c>
      <c r="B972" t="str">
        <f>IF($O972&lt;&gt;"",$O972,IF($A972&lt;&gt;"",'Approved-In-Depth'!$B972+7,""))</f>
        <v/>
      </c>
      <c r="C972" t="str">
        <f>IF($A972&lt;&gt;"",'Approved-In-Depth'!C972,"")</f>
        <v/>
      </c>
      <c r="D972" t="str">
        <f>IF($A972&lt;&gt;"",'Approved-In-Depth'!D972,"")</f>
        <v/>
      </c>
      <c r="E972" t="str">
        <f>IF($A972&lt;&gt;"",'Approved-In-Depth'!E972,"")</f>
        <v/>
      </c>
      <c r="F972" t="str">
        <f>IF($A972&lt;&gt;"",'Approved-In-Depth'!F972,"")</f>
        <v/>
      </c>
      <c r="G972" t="str">
        <f>IF($A972&lt;&gt;"",'Approved-In-Depth'!G972,"")</f>
        <v/>
      </c>
      <c r="H972" s="4" t="str">
        <f>IF($A972&lt;&gt;"",'Approved-In-Depth'!H972,"")</f>
        <v/>
      </c>
      <c r="I972" t="str">
        <f>IF($A972&lt;&gt;"",'Approved-In-Depth'!I972,"")</f>
        <v/>
      </c>
      <c r="J972" t="str">
        <f>IF($A972&lt;&gt;"",'Approved-In-Depth'!J972,"")</f>
        <v/>
      </c>
      <c r="K972" t="str">
        <f>IF($A972&lt;&gt;"",'Approved-In-Depth'!K972,"")</f>
        <v/>
      </c>
      <c r="L972" s="4" t="str">
        <f>IF($A972&lt;&gt;"",'Approved-In-Depth'!L972,"")</f>
        <v/>
      </c>
      <c r="M972" t="str">
        <f>IF($A972&lt;&gt;"",'Approved-In-Depth'!M972,"")</f>
        <v/>
      </c>
    </row>
    <row r="973" spans="1:13" x14ac:dyDescent="0.35">
      <c r="A973" s="4" t="str">
        <f>IF('Approved-In-Depth'!$A973&lt;&gt;"",'Approved-In-Depth'!A973,"")</f>
        <v/>
      </c>
      <c r="B973" t="str">
        <f>IF($O973&lt;&gt;"",$O973,IF($A973&lt;&gt;"",'Approved-In-Depth'!$B973+7,""))</f>
        <v/>
      </c>
      <c r="C973" t="str">
        <f>IF($A973&lt;&gt;"",'Approved-In-Depth'!C973,"")</f>
        <v/>
      </c>
      <c r="D973" t="str">
        <f>IF($A973&lt;&gt;"",'Approved-In-Depth'!D973,"")</f>
        <v/>
      </c>
      <c r="E973" t="str">
        <f>IF($A973&lt;&gt;"",'Approved-In-Depth'!E973,"")</f>
        <v/>
      </c>
      <c r="F973" t="str">
        <f>IF($A973&lt;&gt;"",'Approved-In-Depth'!F973,"")</f>
        <v/>
      </c>
      <c r="G973" t="str">
        <f>IF($A973&lt;&gt;"",'Approved-In-Depth'!G973,"")</f>
        <v/>
      </c>
      <c r="H973" s="4" t="str">
        <f>IF($A973&lt;&gt;"",'Approved-In-Depth'!H973,"")</f>
        <v/>
      </c>
      <c r="I973" t="str">
        <f>IF($A973&lt;&gt;"",'Approved-In-Depth'!I973,"")</f>
        <v/>
      </c>
      <c r="J973" t="str">
        <f>IF($A973&lt;&gt;"",'Approved-In-Depth'!J973,"")</f>
        <v/>
      </c>
      <c r="K973" t="str">
        <f>IF($A973&lt;&gt;"",'Approved-In-Depth'!K973,"")</f>
        <v/>
      </c>
      <c r="L973" s="4" t="str">
        <f>IF($A973&lt;&gt;"",'Approved-In-Depth'!L973,"")</f>
        <v/>
      </c>
      <c r="M973" t="str">
        <f>IF($A973&lt;&gt;"",'Approved-In-Depth'!M973,"")</f>
        <v/>
      </c>
    </row>
    <row r="974" spans="1:13" x14ac:dyDescent="0.35">
      <c r="A974" s="4" t="str">
        <f>IF('Approved-In-Depth'!$A974&lt;&gt;"",'Approved-In-Depth'!A974,"")</f>
        <v/>
      </c>
      <c r="B974" t="str">
        <f>IF($O974&lt;&gt;"",$O974,IF($A974&lt;&gt;"",'Approved-In-Depth'!$B974+7,""))</f>
        <v/>
      </c>
      <c r="C974" t="str">
        <f>IF($A974&lt;&gt;"",'Approved-In-Depth'!C974,"")</f>
        <v/>
      </c>
      <c r="D974" t="str">
        <f>IF($A974&lt;&gt;"",'Approved-In-Depth'!D974,"")</f>
        <v/>
      </c>
      <c r="E974" t="str">
        <f>IF($A974&lt;&gt;"",'Approved-In-Depth'!E974,"")</f>
        <v/>
      </c>
      <c r="F974" t="str">
        <f>IF($A974&lt;&gt;"",'Approved-In-Depth'!F974,"")</f>
        <v/>
      </c>
      <c r="G974" t="str">
        <f>IF($A974&lt;&gt;"",'Approved-In-Depth'!G974,"")</f>
        <v/>
      </c>
      <c r="H974" s="4" t="str">
        <f>IF($A974&lt;&gt;"",'Approved-In-Depth'!H974,"")</f>
        <v/>
      </c>
      <c r="I974" t="str">
        <f>IF($A974&lt;&gt;"",'Approved-In-Depth'!I974,"")</f>
        <v/>
      </c>
      <c r="J974" t="str">
        <f>IF($A974&lt;&gt;"",'Approved-In-Depth'!J974,"")</f>
        <v/>
      </c>
      <c r="K974" t="str">
        <f>IF($A974&lt;&gt;"",'Approved-In-Depth'!K974,"")</f>
        <v/>
      </c>
      <c r="L974" s="4" t="str">
        <f>IF($A974&lt;&gt;"",'Approved-In-Depth'!L974,"")</f>
        <v/>
      </c>
      <c r="M974" t="str">
        <f>IF($A974&lt;&gt;"",'Approved-In-Depth'!M974,"")</f>
        <v/>
      </c>
    </row>
    <row r="975" spans="1:13" x14ac:dyDescent="0.35">
      <c r="A975" s="4" t="str">
        <f>IF('Approved-In-Depth'!$A975&lt;&gt;"",'Approved-In-Depth'!A975,"")</f>
        <v/>
      </c>
      <c r="B975" t="str">
        <f>IF($O975&lt;&gt;"",$O975,IF($A975&lt;&gt;"",'Approved-In-Depth'!$B975+7,""))</f>
        <v/>
      </c>
      <c r="C975" t="str">
        <f>IF($A975&lt;&gt;"",'Approved-In-Depth'!C975,"")</f>
        <v/>
      </c>
      <c r="D975" t="str">
        <f>IF($A975&lt;&gt;"",'Approved-In-Depth'!D975,"")</f>
        <v/>
      </c>
      <c r="E975" t="str">
        <f>IF($A975&lt;&gt;"",'Approved-In-Depth'!E975,"")</f>
        <v/>
      </c>
      <c r="F975" t="str">
        <f>IF($A975&lt;&gt;"",'Approved-In-Depth'!F975,"")</f>
        <v/>
      </c>
      <c r="G975" t="str">
        <f>IF($A975&lt;&gt;"",'Approved-In-Depth'!G975,"")</f>
        <v/>
      </c>
      <c r="H975" s="4" t="str">
        <f>IF($A975&lt;&gt;"",'Approved-In-Depth'!H975,"")</f>
        <v/>
      </c>
      <c r="I975" t="str">
        <f>IF($A975&lt;&gt;"",'Approved-In-Depth'!I975,"")</f>
        <v/>
      </c>
      <c r="J975" t="str">
        <f>IF($A975&lt;&gt;"",'Approved-In-Depth'!J975,"")</f>
        <v/>
      </c>
      <c r="K975" t="str">
        <f>IF($A975&lt;&gt;"",'Approved-In-Depth'!K975,"")</f>
        <v/>
      </c>
      <c r="L975" s="4" t="str">
        <f>IF($A975&lt;&gt;"",'Approved-In-Depth'!L975,"")</f>
        <v/>
      </c>
      <c r="M975" t="str">
        <f>IF($A975&lt;&gt;"",'Approved-In-Depth'!M975,"")</f>
        <v/>
      </c>
    </row>
    <row r="976" spans="1:13" x14ac:dyDescent="0.35">
      <c r="A976" s="4" t="str">
        <f>IF('Approved-In-Depth'!$A976&lt;&gt;"",'Approved-In-Depth'!A976,"")</f>
        <v/>
      </c>
      <c r="B976" t="str">
        <f>IF($O976&lt;&gt;"",$O976,IF($A976&lt;&gt;"",'Approved-In-Depth'!$B976+7,""))</f>
        <v/>
      </c>
      <c r="C976" t="str">
        <f>IF($A976&lt;&gt;"",'Approved-In-Depth'!C976,"")</f>
        <v/>
      </c>
      <c r="D976" t="str">
        <f>IF($A976&lt;&gt;"",'Approved-In-Depth'!D976,"")</f>
        <v/>
      </c>
      <c r="E976" t="str">
        <f>IF($A976&lt;&gt;"",'Approved-In-Depth'!E976,"")</f>
        <v/>
      </c>
      <c r="F976" t="str">
        <f>IF($A976&lt;&gt;"",'Approved-In-Depth'!F976,"")</f>
        <v/>
      </c>
      <c r="G976" t="str">
        <f>IF($A976&lt;&gt;"",'Approved-In-Depth'!G976,"")</f>
        <v/>
      </c>
      <c r="H976" s="4" t="str">
        <f>IF($A976&lt;&gt;"",'Approved-In-Depth'!H976,"")</f>
        <v/>
      </c>
      <c r="I976" t="str">
        <f>IF($A976&lt;&gt;"",'Approved-In-Depth'!I976,"")</f>
        <v/>
      </c>
      <c r="J976" t="str">
        <f>IF($A976&lt;&gt;"",'Approved-In-Depth'!J976,"")</f>
        <v/>
      </c>
      <c r="K976" t="str">
        <f>IF($A976&lt;&gt;"",'Approved-In-Depth'!K976,"")</f>
        <v/>
      </c>
      <c r="L976" s="4" t="str">
        <f>IF($A976&lt;&gt;"",'Approved-In-Depth'!L976,"")</f>
        <v/>
      </c>
      <c r="M976" t="str">
        <f>IF($A976&lt;&gt;"",'Approved-In-Depth'!M976,"")</f>
        <v/>
      </c>
    </row>
    <row r="977" spans="1:13" x14ac:dyDescent="0.35">
      <c r="A977" s="4" t="str">
        <f>IF('Approved-In-Depth'!$A977&lt;&gt;"",'Approved-In-Depth'!A977,"")</f>
        <v/>
      </c>
      <c r="B977" t="str">
        <f>IF($O977&lt;&gt;"",$O977,IF($A977&lt;&gt;"",'Approved-In-Depth'!$B977+7,""))</f>
        <v/>
      </c>
      <c r="C977" t="str">
        <f>IF($A977&lt;&gt;"",'Approved-In-Depth'!C977,"")</f>
        <v/>
      </c>
      <c r="D977" t="str">
        <f>IF($A977&lt;&gt;"",'Approved-In-Depth'!D977,"")</f>
        <v/>
      </c>
      <c r="E977" t="str">
        <f>IF($A977&lt;&gt;"",'Approved-In-Depth'!E977,"")</f>
        <v/>
      </c>
      <c r="F977" t="str">
        <f>IF($A977&lt;&gt;"",'Approved-In-Depth'!F977,"")</f>
        <v/>
      </c>
      <c r="G977" t="str">
        <f>IF($A977&lt;&gt;"",'Approved-In-Depth'!G977,"")</f>
        <v/>
      </c>
      <c r="H977" s="4" t="str">
        <f>IF($A977&lt;&gt;"",'Approved-In-Depth'!H977,"")</f>
        <v/>
      </c>
      <c r="I977" t="str">
        <f>IF($A977&lt;&gt;"",'Approved-In-Depth'!I977,"")</f>
        <v/>
      </c>
      <c r="J977" t="str">
        <f>IF($A977&lt;&gt;"",'Approved-In-Depth'!J977,"")</f>
        <v/>
      </c>
      <c r="K977" t="str">
        <f>IF($A977&lt;&gt;"",'Approved-In-Depth'!K977,"")</f>
        <v/>
      </c>
      <c r="L977" s="4" t="str">
        <f>IF($A977&lt;&gt;"",'Approved-In-Depth'!L977,"")</f>
        <v/>
      </c>
      <c r="M977" t="str">
        <f>IF($A977&lt;&gt;"",'Approved-In-Depth'!M977,"")</f>
        <v/>
      </c>
    </row>
    <row r="978" spans="1:13" x14ac:dyDescent="0.35">
      <c r="A978" s="4" t="str">
        <f>IF('Approved-In-Depth'!$A978&lt;&gt;"",'Approved-In-Depth'!A978,"")</f>
        <v/>
      </c>
      <c r="B978" t="str">
        <f>IF($O978&lt;&gt;"",$O978,IF($A978&lt;&gt;"",'Approved-In-Depth'!$B978+7,""))</f>
        <v/>
      </c>
      <c r="C978" t="str">
        <f>IF($A978&lt;&gt;"",'Approved-In-Depth'!C978,"")</f>
        <v/>
      </c>
      <c r="D978" t="str">
        <f>IF($A978&lt;&gt;"",'Approved-In-Depth'!D978,"")</f>
        <v/>
      </c>
      <c r="E978" t="str">
        <f>IF($A978&lt;&gt;"",'Approved-In-Depth'!E978,"")</f>
        <v/>
      </c>
      <c r="F978" t="str">
        <f>IF($A978&lt;&gt;"",'Approved-In-Depth'!F978,"")</f>
        <v/>
      </c>
      <c r="G978" t="str">
        <f>IF($A978&lt;&gt;"",'Approved-In-Depth'!G978,"")</f>
        <v/>
      </c>
      <c r="H978" s="4" t="str">
        <f>IF($A978&lt;&gt;"",'Approved-In-Depth'!H978,"")</f>
        <v/>
      </c>
      <c r="I978" t="str">
        <f>IF($A978&lt;&gt;"",'Approved-In-Depth'!I978,"")</f>
        <v/>
      </c>
      <c r="J978" t="str">
        <f>IF($A978&lt;&gt;"",'Approved-In-Depth'!J978,"")</f>
        <v/>
      </c>
      <c r="K978" t="str">
        <f>IF($A978&lt;&gt;"",'Approved-In-Depth'!K978,"")</f>
        <v/>
      </c>
      <c r="L978" s="4" t="str">
        <f>IF($A978&lt;&gt;"",'Approved-In-Depth'!L978,"")</f>
        <v/>
      </c>
      <c r="M978" t="str">
        <f>IF($A978&lt;&gt;"",'Approved-In-Depth'!M978,"")</f>
        <v/>
      </c>
    </row>
    <row r="979" spans="1:13" x14ac:dyDescent="0.35">
      <c r="A979" s="4" t="str">
        <f>IF('Approved-In-Depth'!$A979&lt;&gt;"",'Approved-In-Depth'!A979,"")</f>
        <v/>
      </c>
      <c r="B979" t="str">
        <f>IF($O979&lt;&gt;"",$O979,IF($A979&lt;&gt;"",'Approved-In-Depth'!$B979+7,""))</f>
        <v/>
      </c>
      <c r="C979" t="str">
        <f>IF($A979&lt;&gt;"",'Approved-In-Depth'!C979,"")</f>
        <v/>
      </c>
      <c r="D979" t="str">
        <f>IF($A979&lt;&gt;"",'Approved-In-Depth'!D979,"")</f>
        <v/>
      </c>
      <c r="E979" t="str">
        <f>IF($A979&lt;&gt;"",'Approved-In-Depth'!E979,"")</f>
        <v/>
      </c>
      <c r="F979" t="str">
        <f>IF($A979&lt;&gt;"",'Approved-In-Depth'!F979,"")</f>
        <v/>
      </c>
      <c r="G979" t="str">
        <f>IF($A979&lt;&gt;"",'Approved-In-Depth'!G979,"")</f>
        <v/>
      </c>
      <c r="H979" s="4" t="str">
        <f>IF($A979&lt;&gt;"",'Approved-In-Depth'!H979,"")</f>
        <v/>
      </c>
      <c r="I979" t="str">
        <f>IF($A979&lt;&gt;"",'Approved-In-Depth'!I979,"")</f>
        <v/>
      </c>
      <c r="J979" t="str">
        <f>IF($A979&lt;&gt;"",'Approved-In-Depth'!J979,"")</f>
        <v/>
      </c>
      <c r="K979" t="str">
        <f>IF($A979&lt;&gt;"",'Approved-In-Depth'!K979,"")</f>
        <v/>
      </c>
      <c r="L979" s="4" t="str">
        <f>IF($A979&lt;&gt;"",'Approved-In-Depth'!L979,"")</f>
        <v/>
      </c>
      <c r="M979" t="str">
        <f>IF($A979&lt;&gt;"",'Approved-In-Depth'!M979,"")</f>
        <v/>
      </c>
    </row>
    <row r="980" spans="1:13" x14ac:dyDescent="0.35">
      <c r="A980" s="4" t="str">
        <f>IF('Approved-In-Depth'!$A980&lt;&gt;"",'Approved-In-Depth'!A980,"")</f>
        <v/>
      </c>
      <c r="B980" t="str">
        <f>IF($O980&lt;&gt;"",$O980,IF($A980&lt;&gt;"",'Approved-In-Depth'!$B980+7,""))</f>
        <v/>
      </c>
      <c r="C980" t="str">
        <f>IF($A980&lt;&gt;"",'Approved-In-Depth'!C980,"")</f>
        <v/>
      </c>
      <c r="D980" t="str">
        <f>IF($A980&lt;&gt;"",'Approved-In-Depth'!D980,"")</f>
        <v/>
      </c>
      <c r="E980" t="str">
        <f>IF($A980&lt;&gt;"",'Approved-In-Depth'!E980,"")</f>
        <v/>
      </c>
      <c r="F980" t="str">
        <f>IF($A980&lt;&gt;"",'Approved-In-Depth'!F980,"")</f>
        <v/>
      </c>
      <c r="G980" t="str">
        <f>IF($A980&lt;&gt;"",'Approved-In-Depth'!G980,"")</f>
        <v/>
      </c>
      <c r="H980" s="4" t="str">
        <f>IF($A980&lt;&gt;"",'Approved-In-Depth'!H980,"")</f>
        <v/>
      </c>
      <c r="I980" t="str">
        <f>IF($A980&lt;&gt;"",'Approved-In-Depth'!I980,"")</f>
        <v/>
      </c>
      <c r="J980" t="str">
        <f>IF($A980&lt;&gt;"",'Approved-In-Depth'!J980,"")</f>
        <v/>
      </c>
      <c r="K980" t="str">
        <f>IF($A980&lt;&gt;"",'Approved-In-Depth'!K980,"")</f>
        <v/>
      </c>
      <c r="L980" s="4" t="str">
        <f>IF($A980&lt;&gt;"",'Approved-In-Depth'!L980,"")</f>
        <v/>
      </c>
      <c r="M980" t="str">
        <f>IF($A980&lt;&gt;"",'Approved-In-Depth'!M980,"")</f>
        <v/>
      </c>
    </row>
    <row r="981" spans="1:13" x14ac:dyDescent="0.35">
      <c r="A981" s="4" t="str">
        <f>IF('Approved-In-Depth'!$A981&lt;&gt;"",'Approved-In-Depth'!A981,"")</f>
        <v/>
      </c>
      <c r="B981" t="str">
        <f>IF($O981&lt;&gt;"",$O981,IF($A981&lt;&gt;"",'Approved-In-Depth'!$B981+7,""))</f>
        <v/>
      </c>
      <c r="C981" t="str">
        <f>IF($A981&lt;&gt;"",'Approved-In-Depth'!C981,"")</f>
        <v/>
      </c>
      <c r="D981" t="str">
        <f>IF($A981&lt;&gt;"",'Approved-In-Depth'!D981,"")</f>
        <v/>
      </c>
      <c r="E981" t="str">
        <f>IF($A981&lt;&gt;"",'Approved-In-Depth'!E981,"")</f>
        <v/>
      </c>
      <c r="F981" t="str">
        <f>IF($A981&lt;&gt;"",'Approved-In-Depth'!F981,"")</f>
        <v/>
      </c>
      <c r="G981" t="str">
        <f>IF($A981&lt;&gt;"",'Approved-In-Depth'!G981,"")</f>
        <v/>
      </c>
      <c r="H981" s="4" t="str">
        <f>IF($A981&lt;&gt;"",'Approved-In-Depth'!H981,"")</f>
        <v/>
      </c>
      <c r="I981" t="str">
        <f>IF($A981&lt;&gt;"",'Approved-In-Depth'!I981,"")</f>
        <v/>
      </c>
      <c r="J981" t="str">
        <f>IF($A981&lt;&gt;"",'Approved-In-Depth'!J981,"")</f>
        <v/>
      </c>
      <c r="K981" t="str">
        <f>IF($A981&lt;&gt;"",'Approved-In-Depth'!K981,"")</f>
        <v/>
      </c>
      <c r="L981" s="4" t="str">
        <f>IF($A981&lt;&gt;"",'Approved-In-Depth'!L981,"")</f>
        <v/>
      </c>
      <c r="M981" t="str">
        <f>IF($A981&lt;&gt;"",'Approved-In-Depth'!M981,"")</f>
        <v/>
      </c>
    </row>
    <row r="982" spans="1:13" x14ac:dyDescent="0.35">
      <c r="A982" s="4" t="str">
        <f>IF('Approved-In-Depth'!$A982&lt;&gt;"",'Approved-In-Depth'!A982,"")</f>
        <v/>
      </c>
      <c r="B982" t="str">
        <f>IF($O982&lt;&gt;"",$O982,IF($A982&lt;&gt;"",'Approved-In-Depth'!$B982+7,""))</f>
        <v/>
      </c>
      <c r="C982" t="str">
        <f>IF($A982&lt;&gt;"",'Approved-In-Depth'!C982,"")</f>
        <v/>
      </c>
      <c r="D982" t="str">
        <f>IF($A982&lt;&gt;"",'Approved-In-Depth'!D982,"")</f>
        <v/>
      </c>
      <c r="E982" t="str">
        <f>IF($A982&lt;&gt;"",'Approved-In-Depth'!E982,"")</f>
        <v/>
      </c>
      <c r="F982" t="str">
        <f>IF($A982&lt;&gt;"",'Approved-In-Depth'!F982,"")</f>
        <v/>
      </c>
      <c r="G982" t="str">
        <f>IF($A982&lt;&gt;"",'Approved-In-Depth'!G982,"")</f>
        <v/>
      </c>
      <c r="H982" s="4" t="str">
        <f>IF($A982&lt;&gt;"",'Approved-In-Depth'!H982,"")</f>
        <v/>
      </c>
      <c r="I982" t="str">
        <f>IF($A982&lt;&gt;"",'Approved-In-Depth'!I982,"")</f>
        <v/>
      </c>
      <c r="J982" t="str">
        <f>IF($A982&lt;&gt;"",'Approved-In-Depth'!J982,"")</f>
        <v/>
      </c>
      <c r="K982" t="str">
        <f>IF($A982&lt;&gt;"",'Approved-In-Depth'!K982,"")</f>
        <v/>
      </c>
      <c r="L982" s="4" t="str">
        <f>IF($A982&lt;&gt;"",'Approved-In-Depth'!L982,"")</f>
        <v/>
      </c>
      <c r="M982" t="str">
        <f>IF($A982&lt;&gt;"",'Approved-In-Depth'!M982,"")</f>
        <v/>
      </c>
    </row>
    <row r="983" spans="1:13" x14ac:dyDescent="0.35">
      <c r="A983" s="4" t="str">
        <f>IF('Approved-In-Depth'!$A983&lt;&gt;"",'Approved-In-Depth'!A983,"")</f>
        <v/>
      </c>
      <c r="B983" t="str">
        <f>IF($O983&lt;&gt;"",$O983,IF($A983&lt;&gt;"",'Approved-In-Depth'!$B983+7,""))</f>
        <v/>
      </c>
      <c r="C983" t="str">
        <f>IF($A983&lt;&gt;"",'Approved-In-Depth'!C983,"")</f>
        <v/>
      </c>
      <c r="D983" t="str">
        <f>IF($A983&lt;&gt;"",'Approved-In-Depth'!D983,"")</f>
        <v/>
      </c>
      <c r="E983" t="str">
        <f>IF($A983&lt;&gt;"",'Approved-In-Depth'!E983,"")</f>
        <v/>
      </c>
      <c r="F983" t="str">
        <f>IF($A983&lt;&gt;"",'Approved-In-Depth'!F983,"")</f>
        <v/>
      </c>
      <c r="G983" t="str">
        <f>IF($A983&lt;&gt;"",'Approved-In-Depth'!G983,"")</f>
        <v/>
      </c>
      <c r="H983" s="4" t="str">
        <f>IF($A983&lt;&gt;"",'Approved-In-Depth'!H983,"")</f>
        <v/>
      </c>
      <c r="I983" t="str">
        <f>IF($A983&lt;&gt;"",'Approved-In-Depth'!I983,"")</f>
        <v/>
      </c>
      <c r="J983" t="str">
        <f>IF($A983&lt;&gt;"",'Approved-In-Depth'!J983,"")</f>
        <v/>
      </c>
      <c r="K983" t="str">
        <f>IF($A983&lt;&gt;"",'Approved-In-Depth'!K983,"")</f>
        <v/>
      </c>
      <c r="L983" s="4" t="str">
        <f>IF($A983&lt;&gt;"",'Approved-In-Depth'!L983,"")</f>
        <v/>
      </c>
      <c r="M983" t="str">
        <f>IF($A983&lt;&gt;"",'Approved-In-Depth'!M983,"")</f>
        <v/>
      </c>
    </row>
    <row r="984" spans="1:13" x14ac:dyDescent="0.35">
      <c r="A984" s="4" t="str">
        <f>IF('Approved-In-Depth'!$A984&lt;&gt;"",'Approved-In-Depth'!A984,"")</f>
        <v/>
      </c>
      <c r="B984" t="str">
        <f>IF($O984&lt;&gt;"",$O984,IF($A984&lt;&gt;"",'Approved-In-Depth'!$B984+7,""))</f>
        <v/>
      </c>
      <c r="C984" t="str">
        <f>IF($A984&lt;&gt;"",'Approved-In-Depth'!C984,"")</f>
        <v/>
      </c>
      <c r="D984" t="str">
        <f>IF($A984&lt;&gt;"",'Approved-In-Depth'!D984,"")</f>
        <v/>
      </c>
      <c r="E984" t="str">
        <f>IF($A984&lt;&gt;"",'Approved-In-Depth'!E984,"")</f>
        <v/>
      </c>
      <c r="F984" t="str">
        <f>IF($A984&lt;&gt;"",'Approved-In-Depth'!F984,"")</f>
        <v/>
      </c>
      <c r="G984" t="str">
        <f>IF($A984&lt;&gt;"",'Approved-In-Depth'!G984,"")</f>
        <v/>
      </c>
      <c r="H984" s="4" t="str">
        <f>IF($A984&lt;&gt;"",'Approved-In-Depth'!H984,"")</f>
        <v/>
      </c>
      <c r="I984" t="str">
        <f>IF($A984&lt;&gt;"",'Approved-In-Depth'!I984,"")</f>
        <v/>
      </c>
      <c r="J984" t="str">
        <f>IF($A984&lt;&gt;"",'Approved-In-Depth'!J984,"")</f>
        <v/>
      </c>
      <c r="K984" t="str">
        <f>IF($A984&lt;&gt;"",'Approved-In-Depth'!K984,"")</f>
        <v/>
      </c>
      <c r="L984" s="4" t="str">
        <f>IF($A984&lt;&gt;"",'Approved-In-Depth'!L984,"")</f>
        <v/>
      </c>
      <c r="M984" t="str">
        <f>IF($A984&lt;&gt;"",'Approved-In-Depth'!M984,"")</f>
        <v/>
      </c>
    </row>
    <row r="985" spans="1:13" x14ac:dyDescent="0.35">
      <c r="A985" s="4" t="str">
        <f>IF('Approved-In-Depth'!$A985&lt;&gt;"",'Approved-In-Depth'!A985,"")</f>
        <v/>
      </c>
      <c r="B985" t="str">
        <f>IF($O985&lt;&gt;"",$O985,IF($A985&lt;&gt;"",'Approved-In-Depth'!$B985+7,""))</f>
        <v/>
      </c>
      <c r="C985" t="str">
        <f>IF($A985&lt;&gt;"",'Approved-In-Depth'!C985,"")</f>
        <v/>
      </c>
      <c r="D985" t="str">
        <f>IF($A985&lt;&gt;"",'Approved-In-Depth'!D985,"")</f>
        <v/>
      </c>
      <c r="E985" t="str">
        <f>IF($A985&lt;&gt;"",'Approved-In-Depth'!E985,"")</f>
        <v/>
      </c>
      <c r="F985" t="str">
        <f>IF($A985&lt;&gt;"",'Approved-In-Depth'!F985,"")</f>
        <v/>
      </c>
      <c r="G985" t="str">
        <f>IF($A985&lt;&gt;"",'Approved-In-Depth'!G985,"")</f>
        <v/>
      </c>
      <c r="H985" s="4" t="str">
        <f>IF($A985&lt;&gt;"",'Approved-In-Depth'!H985,"")</f>
        <v/>
      </c>
      <c r="I985" t="str">
        <f>IF($A985&lt;&gt;"",'Approved-In-Depth'!I985,"")</f>
        <v/>
      </c>
      <c r="J985" t="str">
        <f>IF($A985&lt;&gt;"",'Approved-In-Depth'!J985,"")</f>
        <v/>
      </c>
      <c r="K985" t="str">
        <f>IF($A985&lt;&gt;"",'Approved-In-Depth'!K985,"")</f>
        <v/>
      </c>
      <c r="L985" s="4" t="str">
        <f>IF($A985&lt;&gt;"",'Approved-In-Depth'!L985,"")</f>
        <v/>
      </c>
      <c r="M985" t="str">
        <f>IF($A985&lt;&gt;"",'Approved-In-Depth'!M985,"")</f>
        <v/>
      </c>
    </row>
    <row r="986" spans="1:13" x14ac:dyDescent="0.35">
      <c r="A986" s="4" t="str">
        <f>IF('Approved-In-Depth'!$A986&lt;&gt;"",'Approved-In-Depth'!A986,"")</f>
        <v/>
      </c>
      <c r="B986" t="str">
        <f>IF($O986&lt;&gt;"",$O986,IF($A986&lt;&gt;"",'Approved-In-Depth'!$B986+7,""))</f>
        <v/>
      </c>
      <c r="C986" t="str">
        <f>IF($A986&lt;&gt;"",'Approved-In-Depth'!C986,"")</f>
        <v/>
      </c>
      <c r="D986" t="str">
        <f>IF($A986&lt;&gt;"",'Approved-In-Depth'!D986,"")</f>
        <v/>
      </c>
      <c r="E986" t="str">
        <f>IF($A986&lt;&gt;"",'Approved-In-Depth'!E986,"")</f>
        <v/>
      </c>
      <c r="F986" t="str">
        <f>IF($A986&lt;&gt;"",'Approved-In-Depth'!F986,"")</f>
        <v/>
      </c>
      <c r="G986" t="str">
        <f>IF($A986&lt;&gt;"",'Approved-In-Depth'!G986,"")</f>
        <v/>
      </c>
      <c r="H986" s="4" t="str">
        <f>IF($A986&lt;&gt;"",'Approved-In-Depth'!H986,"")</f>
        <v/>
      </c>
      <c r="I986" t="str">
        <f>IF($A986&lt;&gt;"",'Approved-In-Depth'!I986,"")</f>
        <v/>
      </c>
      <c r="J986" t="str">
        <f>IF($A986&lt;&gt;"",'Approved-In-Depth'!J986,"")</f>
        <v/>
      </c>
      <c r="K986" t="str">
        <f>IF($A986&lt;&gt;"",'Approved-In-Depth'!K986,"")</f>
        <v/>
      </c>
      <c r="L986" s="4" t="str">
        <f>IF($A986&lt;&gt;"",'Approved-In-Depth'!L986,"")</f>
        <v/>
      </c>
      <c r="M986" t="str">
        <f>IF($A986&lt;&gt;"",'Approved-In-Depth'!M986,"")</f>
        <v/>
      </c>
    </row>
    <row r="987" spans="1:13" x14ac:dyDescent="0.35">
      <c r="A987" s="4" t="str">
        <f>IF('Approved-In-Depth'!$A987&lt;&gt;"",'Approved-In-Depth'!A987,"")</f>
        <v/>
      </c>
      <c r="B987" t="str">
        <f>IF($O987&lt;&gt;"",$O987,IF($A987&lt;&gt;"",'Approved-In-Depth'!$B987+7,""))</f>
        <v/>
      </c>
      <c r="C987" t="str">
        <f>IF($A987&lt;&gt;"",'Approved-In-Depth'!C987,"")</f>
        <v/>
      </c>
      <c r="D987" t="str">
        <f>IF($A987&lt;&gt;"",'Approved-In-Depth'!D987,"")</f>
        <v/>
      </c>
      <c r="E987" t="str">
        <f>IF($A987&lt;&gt;"",'Approved-In-Depth'!E987,"")</f>
        <v/>
      </c>
      <c r="F987" t="str">
        <f>IF($A987&lt;&gt;"",'Approved-In-Depth'!F987,"")</f>
        <v/>
      </c>
      <c r="G987" t="str">
        <f>IF($A987&lt;&gt;"",'Approved-In-Depth'!G987,"")</f>
        <v/>
      </c>
      <c r="H987" s="4" t="str">
        <f>IF($A987&lt;&gt;"",'Approved-In-Depth'!H987,"")</f>
        <v/>
      </c>
      <c r="I987" t="str">
        <f>IF($A987&lt;&gt;"",'Approved-In-Depth'!I987,"")</f>
        <v/>
      </c>
      <c r="J987" t="str">
        <f>IF($A987&lt;&gt;"",'Approved-In-Depth'!J987,"")</f>
        <v/>
      </c>
      <c r="K987" t="str">
        <f>IF($A987&lt;&gt;"",'Approved-In-Depth'!K987,"")</f>
        <v/>
      </c>
      <c r="L987" s="4" t="str">
        <f>IF($A987&lt;&gt;"",'Approved-In-Depth'!L987,"")</f>
        <v/>
      </c>
      <c r="M987" t="str">
        <f>IF($A987&lt;&gt;"",'Approved-In-Depth'!M987,"")</f>
        <v/>
      </c>
    </row>
    <row r="988" spans="1:13" x14ac:dyDescent="0.35">
      <c r="A988" s="4" t="str">
        <f>IF('Approved-In-Depth'!$A988&lt;&gt;"",'Approved-In-Depth'!A988,"")</f>
        <v/>
      </c>
      <c r="B988" t="str">
        <f>IF($O988&lt;&gt;"",$O988,IF($A988&lt;&gt;"",'Approved-In-Depth'!$B988+7,""))</f>
        <v/>
      </c>
      <c r="C988" t="str">
        <f>IF($A988&lt;&gt;"",'Approved-In-Depth'!C988,"")</f>
        <v/>
      </c>
      <c r="D988" t="str">
        <f>IF($A988&lt;&gt;"",'Approved-In-Depth'!D988,"")</f>
        <v/>
      </c>
      <c r="E988" t="str">
        <f>IF($A988&lt;&gt;"",'Approved-In-Depth'!E988,"")</f>
        <v/>
      </c>
      <c r="F988" t="str">
        <f>IF($A988&lt;&gt;"",'Approved-In-Depth'!F988,"")</f>
        <v/>
      </c>
      <c r="G988" t="str">
        <f>IF($A988&lt;&gt;"",'Approved-In-Depth'!G988,"")</f>
        <v/>
      </c>
      <c r="H988" s="4" t="str">
        <f>IF($A988&lt;&gt;"",'Approved-In-Depth'!H988,"")</f>
        <v/>
      </c>
      <c r="I988" t="str">
        <f>IF($A988&lt;&gt;"",'Approved-In-Depth'!I988,"")</f>
        <v/>
      </c>
      <c r="J988" t="str">
        <f>IF($A988&lt;&gt;"",'Approved-In-Depth'!J988,"")</f>
        <v/>
      </c>
      <c r="K988" t="str">
        <f>IF($A988&lt;&gt;"",'Approved-In-Depth'!K988,"")</f>
        <v/>
      </c>
      <c r="L988" s="4" t="str">
        <f>IF($A988&lt;&gt;"",'Approved-In-Depth'!L988,"")</f>
        <v/>
      </c>
      <c r="M988" t="str">
        <f>IF($A988&lt;&gt;"",'Approved-In-Depth'!M988,"")</f>
        <v/>
      </c>
    </row>
    <row r="989" spans="1:13" x14ac:dyDescent="0.35">
      <c r="A989" s="4" t="str">
        <f>IF('Approved-In-Depth'!$A989&lt;&gt;"",'Approved-In-Depth'!A989,"")</f>
        <v/>
      </c>
      <c r="B989" t="str">
        <f>IF($O989&lt;&gt;"",$O989,IF($A989&lt;&gt;"",'Approved-In-Depth'!$B989+7,""))</f>
        <v/>
      </c>
      <c r="C989" t="str">
        <f>IF($A989&lt;&gt;"",'Approved-In-Depth'!C989,"")</f>
        <v/>
      </c>
      <c r="D989" t="str">
        <f>IF($A989&lt;&gt;"",'Approved-In-Depth'!D989,"")</f>
        <v/>
      </c>
      <c r="E989" t="str">
        <f>IF($A989&lt;&gt;"",'Approved-In-Depth'!E989,"")</f>
        <v/>
      </c>
      <c r="F989" t="str">
        <f>IF($A989&lt;&gt;"",'Approved-In-Depth'!F989,"")</f>
        <v/>
      </c>
      <c r="G989" t="str">
        <f>IF($A989&lt;&gt;"",'Approved-In-Depth'!G989,"")</f>
        <v/>
      </c>
      <c r="H989" s="4" t="str">
        <f>IF($A989&lt;&gt;"",'Approved-In-Depth'!H989,"")</f>
        <v/>
      </c>
      <c r="I989" t="str">
        <f>IF($A989&lt;&gt;"",'Approved-In-Depth'!I989,"")</f>
        <v/>
      </c>
      <c r="J989" t="str">
        <f>IF($A989&lt;&gt;"",'Approved-In-Depth'!J989,"")</f>
        <v/>
      </c>
      <c r="K989" t="str">
        <f>IF($A989&lt;&gt;"",'Approved-In-Depth'!K989,"")</f>
        <v/>
      </c>
      <c r="L989" s="4" t="str">
        <f>IF($A989&lt;&gt;"",'Approved-In-Depth'!L989,"")</f>
        <v/>
      </c>
      <c r="M989" t="str">
        <f>IF($A989&lt;&gt;"",'Approved-In-Depth'!M989,"")</f>
        <v/>
      </c>
    </row>
    <row r="990" spans="1:13" x14ac:dyDescent="0.35">
      <c r="A990" s="4" t="str">
        <f>IF('Approved-In-Depth'!$A990&lt;&gt;"",'Approved-In-Depth'!A990,"")</f>
        <v/>
      </c>
      <c r="B990" t="str">
        <f>IF($O990&lt;&gt;"",$O990,IF($A990&lt;&gt;"",'Approved-In-Depth'!$B990+7,""))</f>
        <v/>
      </c>
      <c r="C990" t="str">
        <f>IF($A990&lt;&gt;"",'Approved-In-Depth'!C990,"")</f>
        <v/>
      </c>
      <c r="D990" t="str">
        <f>IF($A990&lt;&gt;"",'Approved-In-Depth'!D990,"")</f>
        <v/>
      </c>
      <c r="E990" t="str">
        <f>IF($A990&lt;&gt;"",'Approved-In-Depth'!E990,"")</f>
        <v/>
      </c>
      <c r="F990" t="str">
        <f>IF($A990&lt;&gt;"",'Approved-In-Depth'!F990,"")</f>
        <v/>
      </c>
      <c r="G990" t="str">
        <f>IF($A990&lt;&gt;"",'Approved-In-Depth'!G990,"")</f>
        <v/>
      </c>
      <c r="H990" s="4" t="str">
        <f>IF($A990&lt;&gt;"",'Approved-In-Depth'!H990,"")</f>
        <v/>
      </c>
      <c r="I990" t="str">
        <f>IF($A990&lt;&gt;"",'Approved-In-Depth'!I990,"")</f>
        <v/>
      </c>
      <c r="J990" t="str">
        <f>IF($A990&lt;&gt;"",'Approved-In-Depth'!J990,"")</f>
        <v/>
      </c>
      <c r="K990" t="str">
        <f>IF($A990&lt;&gt;"",'Approved-In-Depth'!K990,"")</f>
        <v/>
      </c>
      <c r="L990" s="4" t="str">
        <f>IF($A990&lt;&gt;"",'Approved-In-Depth'!L990,"")</f>
        <v/>
      </c>
      <c r="M990" t="str">
        <f>IF($A990&lt;&gt;"",'Approved-In-Depth'!M990,"")</f>
        <v/>
      </c>
    </row>
    <row r="991" spans="1:13" x14ac:dyDescent="0.35">
      <c r="A991" s="4" t="str">
        <f>IF('Approved-In-Depth'!$A991&lt;&gt;"",'Approved-In-Depth'!A991,"")</f>
        <v/>
      </c>
      <c r="B991" t="str">
        <f>IF($O991&lt;&gt;"",$O991,IF($A991&lt;&gt;"",'Approved-In-Depth'!$B991+7,""))</f>
        <v/>
      </c>
      <c r="C991" t="str">
        <f>IF($A991&lt;&gt;"",'Approved-In-Depth'!C991,"")</f>
        <v/>
      </c>
      <c r="D991" t="str">
        <f>IF($A991&lt;&gt;"",'Approved-In-Depth'!D991,"")</f>
        <v/>
      </c>
      <c r="E991" t="str">
        <f>IF($A991&lt;&gt;"",'Approved-In-Depth'!E991,"")</f>
        <v/>
      </c>
      <c r="F991" t="str">
        <f>IF($A991&lt;&gt;"",'Approved-In-Depth'!F991,"")</f>
        <v/>
      </c>
      <c r="G991" t="str">
        <f>IF($A991&lt;&gt;"",'Approved-In-Depth'!G991,"")</f>
        <v/>
      </c>
      <c r="H991" s="4" t="str">
        <f>IF($A991&lt;&gt;"",'Approved-In-Depth'!H991,"")</f>
        <v/>
      </c>
      <c r="I991" t="str">
        <f>IF($A991&lt;&gt;"",'Approved-In-Depth'!I991,"")</f>
        <v/>
      </c>
      <c r="J991" t="str">
        <f>IF($A991&lt;&gt;"",'Approved-In-Depth'!J991,"")</f>
        <v/>
      </c>
      <c r="K991" t="str">
        <f>IF($A991&lt;&gt;"",'Approved-In-Depth'!K991,"")</f>
        <v/>
      </c>
      <c r="L991" s="4" t="str">
        <f>IF($A991&lt;&gt;"",'Approved-In-Depth'!L991,"")</f>
        <v/>
      </c>
      <c r="M991" t="str">
        <f>IF($A991&lt;&gt;"",'Approved-In-Depth'!M991,"")</f>
        <v/>
      </c>
    </row>
    <row r="992" spans="1:13" x14ac:dyDescent="0.35">
      <c r="A992" s="4" t="str">
        <f>IF('Approved-In-Depth'!$A992&lt;&gt;"",'Approved-In-Depth'!A992,"")</f>
        <v/>
      </c>
      <c r="B992" t="str">
        <f>IF($O992&lt;&gt;"",$O992,IF($A992&lt;&gt;"",'Approved-In-Depth'!$B992+7,""))</f>
        <v/>
      </c>
      <c r="C992" t="str">
        <f>IF($A992&lt;&gt;"",'Approved-In-Depth'!C992,"")</f>
        <v/>
      </c>
      <c r="D992" t="str">
        <f>IF($A992&lt;&gt;"",'Approved-In-Depth'!D992,"")</f>
        <v/>
      </c>
      <c r="E992" t="str">
        <f>IF($A992&lt;&gt;"",'Approved-In-Depth'!E992,"")</f>
        <v/>
      </c>
      <c r="F992" t="str">
        <f>IF($A992&lt;&gt;"",'Approved-In-Depth'!F992,"")</f>
        <v/>
      </c>
      <c r="G992" t="str">
        <f>IF($A992&lt;&gt;"",'Approved-In-Depth'!G992,"")</f>
        <v/>
      </c>
      <c r="H992" s="4" t="str">
        <f>IF($A992&lt;&gt;"",'Approved-In-Depth'!H992,"")</f>
        <v/>
      </c>
      <c r="I992" t="str">
        <f>IF($A992&lt;&gt;"",'Approved-In-Depth'!I992,"")</f>
        <v/>
      </c>
      <c r="J992" t="str">
        <f>IF($A992&lt;&gt;"",'Approved-In-Depth'!J992,"")</f>
        <v/>
      </c>
      <c r="K992" t="str">
        <f>IF($A992&lt;&gt;"",'Approved-In-Depth'!K992,"")</f>
        <v/>
      </c>
      <c r="L992" s="4" t="str">
        <f>IF($A992&lt;&gt;"",'Approved-In-Depth'!L992,"")</f>
        <v/>
      </c>
      <c r="M992" t="str">
        <f>IF($A992&lt;&gt;"",'Approved-In-Depth'!M992,"")</f>
        <v/>
      </c>
    </row>
    <row r="993" spans="1:13" x14ac:dyDescent="0.35">
      <c r="A993" s="4" t="str">
        <f>IF('Approved-In-Depth'!$A993&lt;&gt;"",'Approved-In-Depth'!A993,"")</f>
        <v/>
      </c>
      <c r="B993" t="str">
        <f>IF($O993&lt;&gt;"",$O993,IF($A993&lt;&gt;"",'Approved-In-Depth'!$B993+7,""))</f>
        <v/>
      </c>
      <c r="C993" t="str">
        <f>IF($A993&lt;&gt;"",'Approved-In-Depth'!C993,"")</f>
        <v/>
      </c>
      <c r="D993" t="str">
        <f>IF($A993&lt;&gt;"",'Approved-In-Depth'!D993,"")</f>
        <v/>
      </c>
      <c r="E993" t="str">
        <f>IF($A993&lt;&gt;"",'Approved-In-Depth'!E993,"")</f>
        <v/>
      </c>
      <c r="F993" t="str">
        <f>IF($A993&lt;&gt;"",'Approved-In-Depth'!F993,"")</f>
        <v/>
      </c>
      <c r="G993" t="str">
        <f>IF($A993&lt;&gt;"",'Approved-In-Depth'!G993,"")</f>
        <v/>
      </c>
      <c r="H993" s="4" t="str">
        <f>IF($A993&lt;&gt;"",'Approved-In-Depth'!H993,"")</f>
        <v/>
      </c>
      <c r="I993" t="str">
        <f>IF($A993&lt;&gt;"",'Approved-In-Depth'!I993,"")</f>
        <v/>
      </c>
      <c r="J993" t="str">
        <f>IF($A993&lt;&gt;"",'Approved-In-Depth'!J993,"")</f>
        <v/>
      </c>
      <c r="K993" t="str">
        <f>IF($A993&lt;&gt;"",'Approved-In-Depth'!K993,"")</f>
        <v/>
      </c>
      <c r="L993" s="4" t="str">
        <f>IF($A993&lt;&gt;"",'Approved-In-Depth'!L993,"")</f>
        <v/>
      </c>
      <c r="M993" t="str">
        <f>IF($A993&lt;&gt;"",'Approved-In-Depth'!M993,"")</f>
        <v/>
      </c>
    </row>
    <row r="994" spans="1:13" x14ac:dyDescent="0.35">
      <c r="A994" s="4" t="str">
        <f>IF('Approved-In-Depth'!$A994&lt;&gt;"",'Approved-In-Depth'!A994,"")</f>
        <v/>
      </c>
      <c r="B994" t="str">
        <f>IF($O994&lt;&gt;"",$O994,IF($A994&lt;&gt;"",'Approved-In-Depth'!$B994+7,""))</f>
        <v/>
      </c>
      <c r="C994" t="str">
        <f>IF($A994&lt;&gt;"",'Approved-In-Depth'!C994,"")</f>
        <v/>
      </c>
      <c r="D994" t="str">
        <f>IF($A994&lt;&gt;"",'Approved-In-Depth'!D994,"")</f>
        <v/>
      </c>
      <c r="E994" t="str">
        <f>IF($A994&lt;&gt;"",'Approved-In-Depth'!E994,"")</f>
        <v/>
      </c>
      <c r="F994" t="str">
        <f>IF($A994&lt;&gt;"",'Approved-In-Depth'!F994,"")</f>
        <v/>
      </c>
      <c r="G994" t="str">
        <f>IF($A994&lt;&gt;"",'Approved-In-Depth'!G994,"")</f>
        <v/>
      </c>
      <c r="H994" s="4" t="str">
        <f>IF($A994&lt;&gt;"",'Approved-In-Depth'!H994,"")</f>
        <v/>
      </c>
      <c r="I994" t="str">
        <f>IF($A994&lt;&gt;"",'Approved-In-Depth'!I994,"")</f>
        <v/>
      </c>
      <c r="J994" t="str">
        <f>IF($A994&lt;&gt;"",'Approved-In-Depth'!J994,"")</f>
        <v/>
      </c>
      <c r="K994" t="str">
        <f>IF($A994&lt;&gt;"",'Approved-In-Depth'!K994,"")</f>
        <v/>
      </c>
      <c r="L994" s="4" t="str">
        <f>IF($A994&lt;&gt;"",'Approved-In-Depth'!L994,"")</f>
        <v/>
      </c>
      <c r="M994" t="str">
        <f>IF($A994&lt;&gt;"",'Approved-In-Depth'!M994,"")</f>
        <v/>
      </c>
    </row>
    <row r="995" spans="1:13" x14ac:dyDescent="0.35">
      <c r="A995" s="4" t="str">
        <f>IF('Approved-In-Depth'!$A995&lt;&gt;"",'Approved-In-Depth'!A995,"")</f>
        <v/>
      </c>
      <c r="B995" t="str">
        <f>IF($O995&lt;&gt;"",$O995,IF($A995&lt;&gt;"",'Approved-In-Depth'!$B995+7,""))</f>
        <v/>
      </c>
      <c r="C995" t="str">
        <f>IF($A995&lt;&gt;"",'Approved-In-Depth'!C995,"")</f>
        <v/>
      </c>
      <c r="D995" t="str">
        <f>IF($A995&lt;&gt;"",'Approved-In-Depth'!D995,"")</f>
        <v/>
      </c>
      <c r="E995" t="str">
        <f>IF($A995&lt;&gt;"",'Approved-In-Depth'!E995,"")</f>
        <v/>
      </c>
      <c r="F995" t="str">
        <f>IF($A995&lt;&gt;"",'Approved-In-Depth'!F995,"")</f>
        <v/>
      </c>
      <c r="G995" t="str">
        <f>IF($A995&lt;&gt;"",'Approved-In-Depth'!G995,"")</f>
        <v/>
      </c>
      <c r="H995" s="4" t="str">
        <f>IF($A995&lt;&gt;"",'Approved-In-Depth'!H995,"")</f>
        <v/>
      </c>
      <c r="I995" t="str">
        <f>IF($A995&lt;&gt;"",'Approved-In-Depth'!I995,"")</f>
        <v/>
      </c>
      <c r="J995" t="str">
        <f>IF($A995&lt;&gt;"",'Approved-In-Depth'!J995,"")</f>
        <v/>
      </c>
      <c r="K995" t="str">
        <f>IF($A995&lt;&gt;"",'Approved-In-Depth'!K995,"")</f>
        <v/>
      </c>
      <c r="L995" s="4" t="str">
        <f>IF($A995&lt;&gt;"",'Approved-In-Depth'!L995,"")</f>
        <v/>
      </c>
      <c r="M995" t="str">
        <f>IF($A995&lt;&gt;"",'Approved-In-Depth'!M995,"")</f>
        <v/>
      </c>
    </row>
    <row r="996" spans="1:13" x14ac:dyDescent="0.35">
      <c r="A996" s="4" t="str">
        <f>IF('Approved-In-Depth'!$A996&lt;&gt;"",'Approved-In-Depth'!A996,"")</f>
        <v/>
      </c>
      <c r="B996" t="str">
        <f>IF($O996&lt;&gt;"",$O996,IF($A996&lt;&gt;"",'Approved-In-Depth'!$B996+7,""))</f>
        <v/>
      </c>
      <c r="C996" t="str">
        <f>IF($A996&lt;&gt;"",'Approved-In-Depth'!C996,"")</f>
        <v/>
      </c>
      <c r="D996" t="str">
        <f>IF($A996&lt;&gt;"",'Approved-In-Depth'!D996,"")</f>
        <v/>
      </c>
      <c r="E996" t="str">
        <f>IF($A996&lt;&gt;"",'Approved-In-Depth'!E996,"")</f>
        <v/>
      </c>
      <c r="F996" t="str">
        <f>IF($A996&lt;&gt;"",'Approved-In-Depth'!F996,"")</f>
        <v/>
      </c>
      <c r="G996" t="str">
        <f>IF($A996&lt;&gt;"",'Approved-In-Depth'!G996,"")</f>
        <v/>
      </c>
      <c r="H996" s="4" t="str">
        <f>IF($A996&lt;&gt;"",'Approved-In-Depth'!H996,"")</f>
        <v/>
      </c>
      <c r="I996" t="str">
        <f>IF($A996&lt;&gt;"",'Approved-In-Depth'!I996,"")</f>
        <v/>
      </c>
      <c r="J996" t="str">
        <f>IF($A996&lt;&gt;"",'Approved-In-Depth'!J996,"")</f>
        <v/>
      </c>
      <c r="K996" t="str">
        <f>IF($A996&lt;&gt;"",'Approved-In-Depth'!K996,"")</f>
        <v/>
      </c>
      <c r="L996" s="4" t="str">
        <f>IF($A996&lt;&gt;"",'Approved-In-Depth'!L996,"")</f>
        <v/>
      </c>
      <c r="M996" t="str">
        <f>IF($A996&lt;&gt;"",'Approved-In-Depth'!M996,"")</f>
        <v/>
      </c>
    </row>
    <row r="997" spans="1:13" x14ac:dyDescent="0.35">
      <c r="A997" s="4" t="str">
        <f>IF('Approved-In-Depth'!$A997&lt;&gt;"",'Approved-In-Depth'!A997,"")</f>
        <v/>
      </c>
      <c r="B997" t="str">
        <f>IF($O997&lt;&gt;"",$O997,IF($A997&lt;&gt;"",'Approved-In-Depth'!$B997+7,""))</f>
        <v/>
      </c>
      <c r="C997" t="str">
        <f>IF($A997&lt;&gt;"",'Approved-In-Depth'!C997,"")</f>
        <v/>
      </c>
      <c r="D997" t="str">
        <f>IF($A997&lt;&gt;"",'Approved-In-Depth'!D997,"")</f>
        <v/>
      </c>
      <c r="E997" t="str">
        <f>IF($A997&lt;&gt;"",'Approved-In-Depth'!E997,"")</f>
        <v/>
      </c>
      <c r="F997" t="str">
        <f>IF($A997&lt;&gt;"",'Approved-In-Depth'!F997,"")</f>
        <v/>
      </c>
      <c r="G997" t="str">
        <f>IF($A997&lt;&gt;"",'Approved-In-Depth'!G997,"")</f>
        <v/>
      </c>
      <c r="H997" s="4" t="str">
        <f>IF($A997&lt;&gt;"",'Approved-In-Depth'!H997,"")</f>
        <v/>
      </c>
      <c r="I997" t="str">
        <f>IF($A997&lt;&gt;"",'Approved-In-Depth'!I997,"")</f>
        <v/>
      </c>
      <c r="J997" t="str">
        <f>IF($A997&lt;&gt;"",'Approved-In-Depth'!J997,"")</f>
        <v/>
      </c>
      <c r="K997" t="str">
        <f>IF($A997&lt;&gt;"",'Approved-In-Depth'!K997,"")</f>
        <v/>
      </c>
      <c r="L997" s="4" t="str">
        <f>IF($A997&lt;&gt;"",'Approved-In-Depth'!L997,"")</f>
        <v/>
      </c>
      <c r="M997" t="str">
        <f>IF($A997&lt;&gt;"",'Approved-In-Depth'!M997,"")</f>
        <v/>
      </c>
    </row>
    <row r="998" spans="1:13" x14ac:dyDescent="0.35">
      <c r="A998" s="4" t="str">
        <f>IF('Approved-In-Depth'!$A998&lt;&gt;"",'Approved-In-Depth'!A998,"")</f>
        <v/>
      </c>
      <c r="B998" t="str">
        <f>IF($O998&lt;&gt;"",$O998,IF($A998&lt;&gt;"",'Approved-In-Depth'!$B998+7,""))</f>
        <v/>
      </c>
      <c r="C998" t="str">
        <f>IF($A998&lt;&gt;"",'Approved-In-Depth'!C998,"")</f>
        <v/>
      </c>
      <c r="D998" t="str">
        <f>IF($A998&lt;&gt;"",'Approved-In-Depth'!D998,"")</f>
        <v/>
      </c>
      <c r="E998" t="str">
        <f>IF($A998&lt;&gt;"",'Approved-In-Depth'!E998,"")</f>
        <v/>
      </c>
      <c r="F998" t="str">
        <f>IF($A998&lt;&gt;"",'Approved-In-Depth'!F998,"")</f>
        <v/>
      </c>
      <c r="G998" t="str">
        <f>IF($A998&lt;&gt;"",'Approved-In-Depth'!G998,"")</f>
        <v/>
      </c>
      <c r="H998" s="4" t="str">
        <f>IF($A998&lt;&gt;"",'Approved-In-Depth'!H998,"")</f>
        <v/>
      </c>
      <c r="I998" t="str">
        <f>IF($A998&lt;&gt;"",'Approved-In-Depth'!I998,"")</f>
        <v/>
      </c>
      <c r="J998" t="str">
        <f>IF($A998&lt;&gt;"",'Approved-In-Depth'!J998,"")</f>
        <v/>
      </c>
      <c r="K998" t="str">
        <f>IF($A998&lt;&gt;"",'Approved-In-Depth'!K998,"")</f>
        <v/>
      </c>
      <c r="L998" s="4" t="str">
        <f>IF($A998&lt;&gt;"",'Approved-In-Depth'!L998,"")</f>
        <v/>
      </c>
      <c r="M998" t="str">
        <f>IF($A998&lt;&gt;"",'Approved-In-Depth'!M998,"")</f>
        <v/>
      </c>
    </row>
    <row r="999" spans="1:13" x14ac:dyDescent="0.35">
      <c r="A999" s="4" t="str">
        <f>IF('Approved-In-Depth'!$A999&lt;&gt;"",'Approved-In-Depth'!A999,"")</f>
        <v/>
      </c>
      <c r="B999" t="str">
        <f>IF($O999&lt;&gt;"",$O999,IF($A999&lt;&gt;"",'Approved-In-Depth'!$B999+7,""))</f>
        <v/>
      </c>
      <c r="C999" t="str">
        <f>IF($A999&lt;&gt;"",'Approved-In-Depth'!C999,"")</f>
        <v/>
      </c>
      <c r="D999" t="str">
        <f>IF($A999&lt;&gt;"",'Approved-In-Depth'!D999,"")</f>
        <v/>
      </c>
      <c r="E999" t="str">
        <f>IF($A999&lt;&gt;"",'Approved-In-Depth'!E999,"")</f>
        <v/>
      </c>
      <c r="F999" t="str">
        <f>IF($A999&lt;&gt;"",'Approved-In-Depth'!F999,"")</f>
        <v/>
      </c>
      <c r="G999" t="str">
        <f>IF($A999&lt;&gt;"",'Approved-In-Depth'!G999,"")</f>
        <v/>
      </c>
      <c r="H999" s="4" t="str">
        <f>IF($A999&lt;&gt;"",'Approved-In-Depth'!H999,"")</f>
        <v/>
      </c>
      <c r="I999" t="str">
        <f>IF($A999&lt;&gt;"",'Approved-In-Depth'!I999,"")</f>
        <v/>
      </c>
      <c r="J999" t="str">
        <f>IF($A999&lt;&gt;"",'Approved-In-Depth'!J999,"")</f>
        <v/>
      </c>
      <c r="K999" t="str">
        <f>IF($A999&lt;&gt;"",'Approved-In-Depth'!K999,"")</f>
        <v/>
      </c>
      <c r="L999" s="4" t="str">
        <f>IF($A999&lt;&gt;"",'Approved-In-Depth'!L999,"")</f>
        <v/>
      </c>
      <c r="M999" t="str">
        <f>IF($A999&lt;&gt;"",'Approved-In-Depth'!M999,"")</f>
        <v/>
      </c>
    </row>
    <row r="1000" spans="1:13" x14ac:dyDescent="0.35">
      <c r="A1000" s="4" t="str">
        <f>IF('Approved-In-Depth'!$A1000&lt;&gt;"",'Approved-In-Depth'!A1000,"")</f>
        <v/>
      </c>
      <c r="B1000" t="str">
        <f>IF($O1000&lt;&gt;"",$O1000,IF($A1000&lt;&gt;"",'Approved-In-Depth'!$B1000+7,""))</f>
        <v/>
      </c>
      <c r="C1000" t="str">
        <f>IF($A1000&lt;&gt;"",'Approved-In-Depth'!C1000,"")</f>
        <v/>
      </c>
      <c r="D1000" t="str">
        <f>IF($A1000&lt;&gt;"",'Approved-In-Depth'!D1000,"")</f>
        <v/>
      </c>
      <c r="E1000" t="str">
        <f>IF($A1000&lt;&gt;"",'Approved-In-Depth'!E1000,"")</f>
        <v/>
      </c>
      <c r="F1000" t="str">
        <f>IF($A1000&lt;&gt;"",'Approved-In-Depth'!F1000,"")</f>
        <v/>
      </c>
      <c r="G1000" t="str">
        <f>IF($A1000&lt;&gt;"",'Approved-In-Depth'!G1000,"")</f>
        <v/>
      </c>
      <c r="H1000" s="4" t="str">
        <f>IF($A1000&lt;&gt;"",'Approved-In-Depth'!H1000,"")</f>
        <v/>
      </c>
      <c r="I1000" t="str">
        <f>IF($A1000&lt;&gt;"",'Approved-In-Depth'!I1000,"")</f>
        <v/>
      </c>
      <c r="J1000" t="str">
        <f>IF($A1000&lt;&gt;"",'Approved-In-Depth'!J1000,"")</f>
        <v/>
      </c>
      <c r="K1000" t="str">
        <f>IF($A1000&lt;&gt;"",'Approved-In-Depth'!K1000,"")</f>
        <v/>
      </c>
      <c r="L1000" s="4" t="str">
        <f>IF($A1000&lt;&gt;"",'Approved-In-Depth'!L1000,"")</f>
        <v/>
      </c>
      <c r="M1000" t="str">
        <f>IF($A1000&lt;&gt;"",'Approved-In-Depth'!M1000,"")</f>
        <v/>
      </c>
    </row>
  </sheetData>
  <conditionalFormatting sqref="B2:B1000">
    <cfRule type="expression" dxfId="3" priority="1">
      <formula>AND($A2&lt;&gt;"",$B2&lt;TODAY())</formula>
    </cfRule>
    <cfRule type="expression" dxfId="2" priority="2">
      <formula>AND($A2&lt;&gt;"",$B2&gt;=TODAY(),$B2&lt;=TODAY()+3)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000"/>
  <sheetViews>
    <sheetView workbookViewId="0">
      <pane ySplit="1" topLeftCell="A2" activePane="bottomLeft" state="frozen"/>
      <selection pane="bottomLeft" activeCell="A2" sqref="A2:P22"/>
    </sheetView>
  </sheetViews>
  <sheetFormatPr defaultRowHeight="14.5" x14ac:dyDescent="0.35"/>
  <cols>
    <col min="1" max="1" width="5.90625" style="4" customWidth="1"/>
    <col min="2" max="2" width="8.6328125" customWidth="1"/>
    <col min="3" max="3" width="17" hidden="1" customWidth="1"/>
    <col min="4" max="4" width="13.453125" customWidth="1"/>
    <col min="5" max="5" width="11.1796875" customWidth="1"/>
    <col min="6" max="6" width="47.1796875" customWidth="1"/>
    <col min="7" max="7" width="16" customWidth="1"/>
    <col min="8" max="9" width="10" customWidth="1"/>
    <col min="10" max="10" width="14.81640625" customWidth="1"/>
    <col min="11" max="11" width="12" customWidth="1"/>
    <col min="12" max="12" width="14" customWidth="1"/>
    <col min="13" max="13" width="22" customWidth="1"/>
    <col min="14" max="14" width="19" customWidth="1"/>
    <col min="15" max="15" width="15" customWidth="1"/>
    <col min="16" max="16" width="18" customWidth="1"/>
    <col min="17" max="17" width="10" customWidth="1"/>
    <col min="18" max="18" width="19" hidden="1" customWidth="1"/>
  </cols>
  <sheetData>
    <row r="1" spans="1:19" ht="28" customHeight="1" x14ac:dyDescent="0.35">
      <c r="A1" s="29" t="s">
        <v>0</v>
      </c>
      <c r="B1" s="29" t="s">
        <v>17</v>
      </c>
      <c r="C1" s="29" t="s">
        <v>18</v>
      </c>
      <c r="D1" s="29" t="s">
        <v>13</v>
      </c>
      <c r="E1" s="29" t="s">
        <v>1</v>
      </c>
      <c r="F1" s="29" t="s">
        <v>2</v>
      </c>
      <c r="G1" s="29" t="s">
        <v>3</v>
      </c>
      <c r="H1" s="29" t="s">
        <v>4</v>
      </c>
      <c r="I1" s="29" t="s">
        <v>5</v>
      </c>
      <c r="J1" s="29" t="s">
        <v>6</v>
      </c>
      <c r="K1" s="29" t="s">
        <v>7</v>
      </c>
      <c r="L1" s="29" t="s">
        <v>8</v>
      </c>
      <c r="M1" s="29" t="s">
        <v>9</v>
      </c>
      <c r="N1" s="29" t="s">
        <v>19</v>
      </c>
      <c r="O1" s="29" t="s">
        <v>20</v>
      </c>
      <c r="P1" s="29" t="s">
        <v>21</v>
      </c>
      <c r="Q1" s="29" t="s">
        <v>12</v>
      </c>
      <c r="R1" s="1" t="s">
        <v>15</v>
      </c>
      <c r="S1" s="1"/>
    </row>
    <row r="2" spans="1:19" ht="20" customHeight="1" x14ac:dyDescent="0.35">
      <c r="A2" s="21">
        <f>IF('Approved-Enforcement'!$A2&lt;&gt;"",'Approved-Enforcement'!A2,"")</f>
        <v>1</v>
      </c>
      <c r="B2" s="35">
        <f t="shared" ref="B2:B65" si="0">IF($A2&lt;&gt;"",IF($C2&lt;&gt;"",$C2,1500),"")</f>
        <v>1500</v>
      </c>
      <c r="C2" s="23"/>
      <c r="D2" s="36">
        <f>IF($A2&lt;&gt;"",IF($R2&lt;&gt;"",$R2,'Approved-Enforcement'!$B2+7),"")</f>
        <v>46024</v>
      </c>
      <c r="E2" s="37" t="str">
        <f>IF($A2&lt;&gt;"",'Approved-Enforcement'!D2,"")</f>
        <v>Shop</v>
      </c>
      <c r="F2" s="23" t="str">
        <f>IF($A2&lt;&gt;"",'Approved-Enforcement'!E2,"")</f>
        <v>Godown No. S-19 West Warf, New Lipton Gali ,Karachi</v>
      </c>
      <c r="G2" s="23" t="str">
        <f>IF($A2&lt;&gt;"",'Approved-Enforcement'!F2,"")</f>
        <v>Karachi</v>
      </c>
      <c r="H2" s="23" t="str">
        <f>IF($A2&lt;&gt;"",'Approved-Enforcement'!G2,"")</f>
        <v>Sindh</v>
      </c>
      <c r="I2" s="23" t="str">
        <f>IF($A2&lt;&gt;"",'Approved-Enforcement'!H2,"")</f>
        <v>OneWorld</v>
      </c>
      <c r="J2" s="23" t="str">
        <f>IF($A2&lt;&gt;"",'Approved-Enforcement'!I2,"")</f>
        <v>Wd-40</v>
      </c>
      <c r="K2" s="23" t="str">
        <f>IF($A2&lt;&gt;"",'Approved-Enforcement'!J2,"")</f>
        <v>Fluid</v>
      </c>
      <c r="L2" s="23">
        <f>IF($A2&lt;&gt;"",'Approved-Enforcement'!K2,"")</f>
        <v>45966</v>
      </c>
      <c r="M2" s="23" t="str">
        <f>IF($A2&lt;&gt;"",'Approved-Enforcement'!L2,"")</f>
        <v>Approved</v>
      </c>
      <c r="N2" s="27">
        <f>IF($A2&lt;&gt;"",'Approved-Enforcement'!M2,"")</f>
        <v>46003</v>
      </c>
      <c r="O2" s="27">
        <f>IF($A2&lt;&gt;"",'Approved-Enforcement'!N2,"")</f>
        <v>0</v>
      </c>
      <c r="P2" s="27">
        <f>IF($A2&lt;&gt;"",'Approved-Enforcement'!O2,"")</f>
        <v>0</v>
      </c>
    </row>
    <row r="3" spans="1:19" ht="20" customHeight="1" x14ac:dyDescent="0.35">
      <c r="A3" s="21">
        <f>IF('Approved-Enforcement'!$A3&lt;&gt;"",'Approved-Enforcement'!A3,"")</f>
        <v>2</v>
      </c>
      <c r="B3" s="35">
        <f t="shared" si="0"/>
        <v>1500</v>
      </c>
      <c r="C3" s="23"/>
      <c r="D3" s="36">
        <f>IF($A3&lt;&gt;"",IF($R3&lt;&gt;"",$R3,'Approved-Enforcement'!$B3+7),"")</f>
        <v>46056</v>
      </c>
      <c r="E3" s="37" t="str">
        <f>IF($A3&lt;&gt;"",'Approved-Enforcement'!D3,"")</f>
        <v>Factory</v>
      </c>
      <c r="F3" s="23" t="str">
        <f>IF($A3&lt;&gt;"",'Approved-Enforcement'!E3,"")</f>
        <v>Plot No.L-27 Sector 12B Industrial Area ,New Karachi</v>
      </c>
      <c r="G3" s="23" t="str">
        <f>IF($A3&lt;&gt;"",'Approved-Enforcement'!F3,"")</f>
        <v>Karachi</v>
      </c>
      <c r="H3" s="23" t="str">
        <f>IF($A3&lt;&gt;"",'Approved-Enforcement'!G3,"")</f>
        <v>Sindh</v>
      </c>
      <c r="I3" s="23" t="str">
        <f>IF($A3&lt;&gt;"",'Approved-Enforcement'!H3,"")</f>
        <v>SafeMark</v>
      </c>
      <c r="J3" s="23" t="str">
        <f>IF($A3&lt;&gt;"",'Approved-Enforcement'!I3,"")</f>
        <v>Reebok</v>
      </c>
      <c r="K3" s="23" t="str">
        <f>IF($A3&lt;&gt;"",'Approved-Enforcement'!J3,"")</f>
        <v>Garments</v>
      </c>
      <c r="L3" s="23">
        <f>IF($A3&lt;&gt;"",'Approved-Enforcement'!K3,"")</f>
        <v>46031</v>
      </c>
      <c r="M3" s="23" t="str">
        <f>IF($A3&lt;&gt;"",'Approved-Enforcement'!L3,"")</f>
        <v>Approved</v>
      </c>
      <c r="N3" s="27">
        <f>IF($A3&lt;&gt;"",'Approved-Enforcement'!M3,"")</f>
        <v>46035</v>
      </c>
      <c r="O3" s="27">
        <f>IF($A3&lt;&gt;"",'Approved-Enforcement'!N3,"")</f>
        <v>0</v>
      </c>
      <c r="P3" s="27">
        <f>IF($A3&lt;&gt;"",'Approved-Enforcement'!O3,"")</f>
        <v>0</v>
      </c>
    </row>
    <row r="4" spans="1:19" ht="20" customHeight="1" x14ac:dyDescent="0.35">
      <c r="A4" s="21">
        <f>IF('Approved-Enforcement'!$A4&lt;&gt;"",'Approved-Enforcement'!A4,"")</f>
        <v>3</v>
      </c>
      <c r="B4" s="35">
        <f t="shared" si="0"/>
        <v>1500</v>
      </c>
      <c r="C4" s="23"/>
      <c r="D4" s="36">
        <f>IF($A4&lt;&gt;"",IF($R4&lt;&gt;"",$R4,'Approved-Enforcement'!$B4+7),"")</f>
        <v>46056</v>
      </c>
      <c r="E4" s="37" t="str">
        <f>IF($A4&lt;&gt;"",'Approved-Enforcement'!D4,"")</f>
        <v>Factory</v>
      </c>
      <c r="F4" s="23" t="str">
        <f>IF($A4&lt;&gt;"",'Approved-Enforcement'!E4,"")</f>
        <v>Plot No.L-27 Sector 12B Industrial Area ,New Karachi</v>
      </c>
      <c r="G4" s="23" t="str">
        <f>IF($A4&lt;&gt;"",'Approved-Enforcement'!F4,"")</f>
        <v>Karachi</v>
      </c>
      <c r="H4" s="23" t="str">
        <f>IF($A4&lt;&gt;"",'Approved-Enforcement'!G4,"")</f>
        <v>Sindh</v>
      </c>
      <c r="I4" s="23" t="str">
        <f>IF($A4&lt;&gt;"",'Approved-Enforcement'!H4,"")</f>
        <v>SafeMark</v>
      </c>
      <c r="J4" s="23" t="str">
        <f>IF($A4&lt;&gt;"",'Approved-Enforcement'!I4,"")</f>
        <v>Champion</v>
      </c>
      <c r="K4" s="23" t="str">
        <f>IF($A4&lt;&gt;"",'Approved-Enforcement'!J4,"")</f>
        <v>Garments</v>
      </c>
      <c r="L4" s="23">
        <f>IF($A4&lt;&gt;"",'Approved-Enforcement'!K4,"")</f>
        <v>46031</v>
      </c>
      <c r="M4" s="23" t="str">
        <f>IF($A4&lt;&gt;"",'Approved-Enforcement'!L4,"")</f>
        <v>Approved</v>
      </c>
      <c r="N4" s="27">
        <f>IF($A4&lt;&gt;"",'Approved-Enforcement'!M4,"")</f>
        <v>46035</v>
      </c>
      <c r="O4" s="27">
        <f>IF($A4&lt;&gt;"",'Approved-Enforcement'!N4,"")</f>
        <v>0</v>
      </c>
      <c r="P4" s="27">
        <f>IF($A4&lt;&gt;"",'Approved-Enforcement'!O4,"")</f>
        <v>0</v>
      </c>
    </row>
    <row r="5" spans="1:19" ht="20" customHeight="1" x14ac:dyDescent="0.35">
      <c r="A5" s="21">
        <f>IF('Approved-Enforcement'!$A5&lt;&gt;"",'Approved-Enforcement'!A5,"")</f>
        <v>4</v>
      </c>
      <c r="B5" s="35">
        <f t="shared" si="0"/>
        <v>1500</v>
      </c>
      <c r="C5" s="23"/>
      <c r="D5" s="36">
        <f>IF($A5&lt;&gt;"",IF($R5&lt;&gt;"",$R5,'Approved-Enforcement'!$B5+7),"")</f>
        <v>46056</v>
      </c>
      <c r="E5" s="37" t="str">
        <f>IF($A5&lt;&gt;"",'Approved-Enforcement'!D5,"")</f>
        <v>Factory</v>
      </c>
      <c r="F5" s="23" t="str">
        <f>IF($A5&lt;&gt;"",'Approved-Enforcement'!E5,"")</f>
        <v>Plot No.L-27 Sector 12B Industrial Area ,New Karachi</v>
      </c>
      <c r="G5" s="23" t="str">
        <f>IF($A5&lt;&gt;"",'Approved-Enforcement'!F5,"")</f>
        <v>Karachi</v>
      </c>
      <c r="H5" s="23" t="str">
        <f>IF($A5&lt;&gt;"",'Approved-Enforcement'!G5,"")</f>
        <v>Sindh</v>
      </c>
      <c r="I5" s="23" t="str">
        <f>IF($A5&lt;&gt;"",'Approved-Enforcement'!H5,"")</f>
        <v>SafeMark</v>
      </c>
      <c r="J5" s="23" t="str">
        <f>IF($A5&lt;&gt;"",'Approved-Enforcement'!I5,"")</f>
        <v>Hugo Boss</v>
      </c>
      <c r="K5" s="23" t="str">
        <f>IF($A5&lt;&gt;"",'Approved-Enforcement'!J5,"")</f>
        <v>Garments</v>
      </c>
      <c r="L5" s="23">
        <f>IF($A5&lt;&gt;"",'Approved-Enforcement'!K5,"")</f>
        <v>46031</v>
      </c>
      <c r="M5" s="23" t="str">
        <f>IF($A5&lt;&gt;"",'Approved-Enforcement'!L5,"")</f>
        <v>Approved</v>
      </c>
      <c r="N5" s="27">
        <f>IF($A5&lt;&gt;"",'Approved-Enforcement'!M5,"")</f>
        <v>46035</v>
      </c>
      <c r="O5" s="27">
        <f>IF($A5&lt;&gt;"",'Approved-Enforcement'!N5,"")</f>
        <v>0</v>
      </c>
      <c r="P5" s="27">
        <f>IF($A5&lt;&gt;"",'Approved-Enforcement'!O5,"")</f>
        <v>0</v>
      </c>
    </row>
    <row r="6" spans="1:19" ht="20" customHeight="1" x14ac:dyDescent="0.35">
      <c r="A6" s="21">
        <f>IF('Approved-Enforcement'!$A6&lt;&gt;"",'Approved-Enforcement'!A6,"")</f>
        <v>5</v>
      </c>
      <c r="B6" s="35">
        <f t="shared" si="0"/>
        <v>1500</v>
      </c>
      <c r="C6" s="23"/>
      <c r="D6" s="36">
        <f>IF($A6&lt;&gt;"",IF($R6&lt;&gt;"",$R6,'Approved-Enforcement'!$B6+7),"")</f>
        <v>46060</v>
      </c>
      <c r="E6" s="37" t="str">
        <f>IF($A6&lt;&gt;"",'Approved-Enforcement'!D6,"")</f>
        <v>Factory</v>
      </c>
      <c r="F6" s="23" t="str">
        <f>IF($A6&lt;&gt;"",'Approved-Enforcement'!E6,"")</f>
        <v>Plot No.C-62 Taksali Androne Lahore</v>
      </c>
      <c r="G6" s="23" t="str">
        <f>IF($A6&lt;&gt;"",'Approved-Enforcement'!F6,"")</f>
        <v>Lahore</v>
      </c>
      <c r="H6" s="23" t="str">
        <f>IF($A6&lt;&gt;"",'Approved-Enforcement'!G6,"")</f>
        <v>Punjab</v>
      </c>
      <c r="I6" s="23" t="str">
        <f>IF($A6&lt;&gt;"",'Approved-Enforcement'!H6,"")</f>
        <v>SafeMark</v>
      </c>
      <c r="J6" s="23" t="str">
        <f>IF($A6&lt;&gt;"",'Approved-Enforcement'!I6,"")</f>
        <v>Tommy Hilfiger</v>
      </c>
      <c r="K6" s="23" t="str">
        <f>IF($A6&lt;&gt;"",'Approved-Enforcement'!J6,"")</f>
        <v>Shoes</v>
      </c>
      <c r="L6" s="23">
        <f>IF($A6&lt;&gt;"",'Approved-Enforcement'!K6,"")</f>
        <v>46031</v>
      </c>
      <c r="M6" s="23" t="str">
        <f>IF($A6&lt;&gt;"",'Approved-Enforcement'!L6,"")</f>
        <v>Approved</v>
      </c>
      <c r="N6" s="27">
        <f>IF($A6&lt;&gt;"",'Approved-Enforcement'!M6,"")</f>
        <v>46039</v>
      </c>
      <c r="O6" s="27">
        <f>IF($A6&lt;&gt;"",'Approved-Enforcement'!N6,"")</f>
        <v>0</v>
      </c>
      <c r="P6" s="27">
        <f>IF($A6&lt;&gt;"",'Approved-Enforcement'!O6,"")</f>
        <v>0</v>
      </c>
    </row>
    <row r="7" spans="1:19" ht="20" customHeight="1" x14ac:dyDescent="0.35">
      <c r="A7" s="21">
        <f>IF('Approved-Enforcement'!$A7&lt;&gt;"",'Approved-Enforcement'!A7,"")</f>
        <v>6</v>
      </c>
      <c r="B7" s="35">
        <f t="shared" si="0"/>
        <v>1500</v>
      </c>
      <c r="C7" s="23"/>
      <c r="D7" s="36">
        <f>IF($A7&lt;&gt;"",IF($R7&lt;&gt;"",$R7,'Approved-Enforcement'!$B7+7),"")</f>
        <v>46061</v>
      </c>
      <c r="E7" s="37" t="str">
        <f>IF($A7&lt;&gt;"",'Approved-Enforcement'!D7,"")</f>
        <v>Factory</v>
      </c>
      <c r="F7" s="23" t="str">
        <f>IF($A7&lt;&gt;"",'Approved-Enforcement'!E7,"")</f>
        <v>Plot No.C-62 Taksali Androne Lahore</v>
      </c>
      <c r="G7" s="23" t="str">
        <f>IF($A7&lt;&gt;"",'Approved-Enforcement'!F7,"")</f>
        <v>Lahore</v>
      </c>
      <c r="H7" s="23" t="str">
        <f>IF($A7&lt;&gt;"",'Approved-Enforcement'!G7,"")</f>
        <v>Punjab</v>
      </c>
      <c r="I7" s="23" t="str">
        <f>IF($A7&lt;&gt;"",'Approved-Enforcement'!H7,"")</f>
        <v>SafeMark</v>
      </c>
      <c r="J7" s="23" t="str">
        <f>IF($A7&lt;&gt;"",'Approved-Enforcement'!I7,"")</f>
        <v>Calvin Klein</v>
      </c>
      <c r="K7" s="23" t="str">
        <f>IF($A7&lt;&gt;"",'Approved-Enforcement'!J7,"")</f>
        <v>Shoes</v>
      </c>
      <c r="L7" s="23">
        <f>IF($A7&lt;&gt;"",'Approved-Enforcement'!K7,"")</f>
        <v>46031</v>
      </c>
      <c r="M7" s="23" t="str">
        <f>IF($A7&lt;&gt;"",'Approved-Enforcement'!L7,"")</f>
        <v>Approved</v>
      </c>
      <c r="N7" s="27">
        <f>IF($A7&lt;&gt;"",'Approved-Enforcement'!M7,"")</f>
        <v>46040</v>
      </c>
      <c r="O7" s="27">
        <f>IF($A7&lt;&gt;"",'Approved-Enforcement'!N7,"")</f>
        <v>0</v>
      </c>
      <c r="P7" s="27">
        <f>IF($A7&lt;&gt;"",'Approved-Enforcement'!O7,"")</f>
        <v>0</v>
      </c>
    </row>
    <row r="8" spans="1:19" ht="20" customHeight="1" x14ac:dyDescent="0.35">
      <c r="A8" s="21">
        <f>IF('Approved-Enforcement'!$A8&lt;&gt;"",'Approved-Enforcement'!A8,"")</f>
        <v>7</v>
      </c>
      <c r="B8" s="35">
        <f t="shared" si="0"/>
        <v>1500</v>
      </c>
      <c r="C8" s="23"/>
      <c r="D8" s="36">
        <f>IF($A8&lt;&gt;"",IF($R8&lt;&gt;"",$R8,'Approved-Enforcement'!$B8+7),"")</f>
        <v>46050</v>
      </c>
      <c r="E8" s="37" t="str">
        <f>IF($A8&lt;&gt;"",'Approved-Enforcement'!D8,"")</f>
        <v>Factory</v>
      </c>
      <c r="F8" s="23" t="str">
        <f>IF($A8&lt;&gt;"",'Approved-Enforcement'!E8,"")</f>
        <v>Plot No.C-62 Taksali Androne Lahore</v>
      </c>
      <c r="G8" s="23" t="str">
        <f>IF($A8&lt;&gt;"",'Approved-Enforcement'!F8,"")</f>
        <v>Lahore</v>
      </c>
      <c r="H8" s="23" t="str">
        <f>IF($A8&lt;&gt;"",'Approved-Enforcement'!G8,"")</f>
        <v>Punjab</v>
      </c>
      <c r="I8" s="23" t="str">
        <f>IF($A8&lt;&gt;"",'Approved-Enforcement'!H8,"")</f>
        <v>SafeMark</v>
      </c>
      <c r="J8" s="23" t="str">
        <f>IF($A8&lt;&gt;"",'Approved-Enforcement'!I8,"")</f>
        <v>Reebok</v>
      </c>
      <c r="K8" s="23" t="str">
        <f>IF($A8&lt;&gt;"",'Approved-Enforcement'!J8,"")</f>
        <v>Shoes</v>
      </c>
      <c r="L8" s="23">
        <f>IF($A8&lt;&gt;"",'Approved-Enforcement'!K8,"")</f>
        <v>46027</v>
      </c>
      <c r="M8" s="23" t="str">
        <f>IF($A8&lt;&gt;"",'Approved-Enforcement'!L8,"")</f>
        <v>Approved</v>
      </c>
      <c r="N8" s="27">
        <f>IF($A8&lt;&gt;"",'Approved-Enforcement'!M8,"")</f>
        <v>46029</v>
      </c>
      <c r="O8" s="27">
        <f>IF($A8&lt;&gt;"",'Approved-Enforcement'!N8,"")</f>
        <v>0</v>
      </c>
      <c r="P8" s="27">
        <f>IF($A8&lt;&gt;"",'Approved-Enforcement'!O8,"")</f>
        <v>0</v>
      </c>
    </row>
    <row r="9" spans="1:19" ht="20" customHeight="1" x14ac:dyDescent="0.35">
      <c r="A9" s="21">
        <f>IF('Approved-Enforcement'!$A9&lt;&gt;"",'Approved-Enforcement'!A9,"")</f>
        <v>8</v>
      </c>
      <c r="B9" s="35">
        <f t="shared" si="0"/>
        <v>1500</v>
      </c>
      <c r="C9" s="23"/>
      <c r="D9" s="36">
        <f>IF($A9&lt;&gt;"",IF($R9&lt;&gt;"",$R9,'Approved-Enforcement'!$B9+7),"")</f>
        <v>46062</v>
      </c>
      <c r="E9" s="37" t="str">
        <f>IF($A9&lt;&gt;"",'Approved-Enforcement'!D9,"")</f>
        <v>Factory</v>
      </c>
      <c r="F9" s="23" t="str">
        <f>IF($A9&lt;&gt;"",'Approved-Enforcement'!E9,"")</f>
        <v>Plot No.C-62 Taksali Androne Lahore</v>
      </c>
      <c r="G9" s="23" t="str">
        <f>IF($A9&lt;&gt;"",'Approved-Enforcement'!F9,"")</f>
        <v>Lahore</v>
      </c>
      <c r="H9" s="23" t="str">
        <f>IF($A9&lt;&gt;"",'Approved-Enforcement'!G9,"")</f>
        <v>Punjab</v>
      </c>
      <c r="I9" s="23" t="str">
        <f>IF($A9&lt;&gt;"",'Approved-Enforcement'!H9,"")</f>
        <v>AA</v>
      </c>
      <c r="J9" s="23" t="str">
        <f>IF($A9&lt;&gt;"",'Approved-Enforcement'!I9,"")</f>
        <v>Gucci</v>
      </c>
      <c r="K9" s="23" t="str">
        <f>IF($A9&lt;&gt;"",'Approved-Enforcement'!J9,"")</f>
        <v>Shoes</v>
      </c>
      <c r="L9" s="23">
        <f>IF($A9&lt;&gt;"",'Approved-Enforcement'!K9,"")</f>
        <v>46029</v>
      </c>
      <c r="M9" s="23" t="str">
        <f>IF($A9&lt;&gt;"",'Approved-Enforcement'!L9,"")</f>
        <v>Approved</v>
      </c>
      <c r="N9" s="27">
        <f>IF($A9&lt;&gt;"",'Approved-Enforcement'!M9,"")</f>
        <v>46041</v>
      </c>
      <c r="O9" s="27">
        <f>IF($A9&lt;&gt;"",'Approved-Enforcement'!N9,"")</f>
        <v>0</v>
      </c>
      <c r="P9" s="27">
        <f>IF($A9&lt;&gt;"",'Approved-Enforcement'!O9,"")</f>
        <v>0</v>
      </c>
    </row>
    <row r="10" spans="1:19" ht="20" customHeight="1" x14ac:dyDescent="0.35">
      <c r="A10" s="21">
        <f>IF('Approved-Enforcement'!$A10&lt;&gt;"",'Approved-Enforcement'!A10,"")</f>
        <v>9</v>
      </c>
      <c r="B10" s="35">
        <f t="shared" si="0"/>
        <v>1500</v>
      </c>
      <c r="C10" s="23"/>
      <c r="D10" s="36">
        <f>IF($A10&lt;&gt;"",IF($R10&lt;&gt;"",$R10,'Approved-Enforcement'!$B10+7),"")</f>
        <v>46050</v>
      </c>
      <c r="E10" s="37" t="str">
        <f>IF($A10&lt;&gt;"",'Approved-Enforcement'!D10,"")</f>
        <v>Factory</v>
      </c>
      <c r="F10" s="23" t="str">
        <f>IF($A10&lt;&gt;"",'Approved-Enforcement'!E10,"")</f>
        <v>Plot No.C-62 Taksali Androne Lahore</v>
      </c>
      <c r="G10" s="23" t="str">
        <f>IF($A10&lt;&gt;"",'Approved-Enforcement'!F10,"")</f>
        <v>Lahore</v>
      </c>
      <c r="H10" s="23" t="str">
        <f>IF($A10&lt;&gt;"",'Approved-Enforcement'!G10,"")</f>
        <v>Punjab</v>
      </c>
      <c r="I10" s="23" t="str">
        <f>IF($A10&lt;&gt;"",'Approved-Enforcement'!H10,"")</f>
        <v>SafeMark</v>
      </c>
      <c r="J10" s="23" t="str">
        <f>IF($A10&lt;&gt;"",'Approved-Enforcement'!I10,"")</f>
        <v>New Balance</v>
      </c>
      <c r="K10" s="23" t="str">
        <f>IF($A10&lt;&gt;"",'Approved-Enforcement'!J10,"")</f>
        <v>Shoes</v>
      </c>
      <c r="L10" s="23">
        <f>IF($A10&lt;&gt;"",'Approved-Enforcement'!K10,"")</f>
        <v>46027</v>
      </c>
      <c r="M10" s="23" t="str">
        <f>IF($A10&lt;&gt;"",'Approved-Enforcement'!L10,"")</f>
        <v>Approved</v>
      </c>
      <c r="N10" s="27">
        <f>IF($A10&lt;&gt;"",'Approved-Enforcement'!M10,"")</f>
        <v>46029</v>
      </c>
      <c r="O10" s="27">
        <f>IF($A10&lt;&gt;"",'Approved-Enforcement'!N10,"")</f>
        <v>0</v>
      </c>
      <c r="P10" s="27">
        <f>IF($A10&lt;&gt;"",'Approved-Enforcement'!O10,"")</f>
        <v>0</v>
      </c>
    </row>
    <row r="11" spans="1:19" ht="20" customHeight="1" x14ac:dyDescent="0.35">
      <c r="A11" s="21">
        <f>IF('Approved-Enforcement'!$A11&lt;&gt;"",'Approved-Enforcement'!A11,"")</f>
        <v>10</v>
      </c>
      <c r="B11" s="35">
        <f t="shared" si="0"/>
        <v>1500</v>
      </c>
      <c r="C11" s="23"/>
      <c r="D11" s="36">
        <f>IF($A11&lt;&gt;"",IF($R11&lt;&gt;"",$R11,'Approved-Enforcement'!$B11+7),"")</f>
        <v>46050</v>
      </c>
      <c r="E11" s="37" t="str">
        <f>IF($A11&lt;&gt;"",'Approved-Enforcement'!D11,"")</f>
        <v>Factory</v>
      </c>
      <c r="F11" s="23" t="str">
        <f>IF($A11&lt;&gt;"",'Approved-Enforcement'!E11,"")</f>
        <v>Plot No.C-62 Taksali Androne Lahore</v>
      </c>
      <c r="G11" s="23" t="str">
        <f>IF($A11&lt;&gt;"",'Approved-Enforcement'!F11,"")</f>
        <v>Lahore</v>
      </c>
      <c r="H11" s="23" t="str">
        <f>IF($A11&lt;&gt;"",'Approved-Enforcement'!G11,"")</f>
        <v>Punjab</v>
      </c>
      <c r="I11" s="23" t="str">
        <f>IF($A11&lt;&gt;"",'Approved-Enforcement'!H11,"")</f>
        <v>SafeMark</v>
      </c>
      <c r="J11" s="23" t="str">
        <f>IF($A11&lt;&gt;"",'Approved-Enforcement'!I11,"")</f>
        <v>Hugo Boss</v>
      </c>
      <c r="K11" s="23" t="str">
        <f>IF($A11&lt;&gt;"",'Approved-Enforcement'!J11,"")</f>
        <v>Shoes</v>
      </c>
      <c r="L11" s="23">
        <f>IF($A11&lt;&gt;"",'Approved-Enforcement'!K11,"")</f>
        <v>46027</v>
      </c>
      <c r="M11" s="23" t="str">
        <f>IF($A11&lt;&gt;"",'Approved-Enforcement'!L11,"")</f>
        <v>Approved</v>
      </c>
      <c r="N11" s="27">
        <f>IF($A11&lt;&gt;"",'Approved-Enforcement'!M11,"")</f>
        <v>46029</v>
      </c>
      <c r="O11" s="27">
        <f>IF($A11&lt;&gt;"",'Approved-Enforcement'!N11,"")</f>
        <v>0</v>
      </c>
      <c r="P11" s="27">
        <f>IF($A11&lt;&gt;"",'Approved-Enforcement'!O11,"")</f>
        <v>0</v>
      </c>
    </row>
    <row r="12" spans="1:19" ht="20" customHeight="1" x14ac:dyDescent="0.35">
      <c r="A12" s="21">
        <f>IF('Approved-Enforcement'!$A12&lt;&gt;"",'Approved-Enforcement'!A12,"")</f>
        <v>11</v>
      </c>
      <c r="B12" s="23">
        <f t="shared" si="0"/>
        <v>1500</v>
      </c>
      <c r="C12" s="23"/>
      <c r="D12" s="38">
        <f>IF($A12&lt;&gt;"",IF($R12&lt;&gt;"",$R12,'Approved-Enforcement'!$B12+7),"")</f>
        <v>46066</v>
      </c>
      <c r="E12" s="24" t="str">
        <f>IF($A12&lt;&gt;"",'Approved-Enforcement'!D12,"")</f>
        <v>WholeSale</v>
      </c>
      <c r="F12" s="23" t="str">
        <f>IF($A12&lt;&gt;"",'Approved-Enforcement'!E12,"")</f>
        <v>Shop No.79, Al karim Market , New Anarkali ,Lahore</v>
      </c>
      <c r="G12" s="23" t="str">
        <f>IF($A12&lt;&gt;"",'Approved-Enforcement'!F12,"")</f>
        <v>Lahore</v>
      </c>
      <c r="H12" s="23" t="str">
        <f>IF($A12&lt;&gt;"",'Approved-Enforcement'!G12,"")</f>
        <v>Punjab</v>
      </c>
      <c r="I12" s="23" t="str">
        <f>IF($A12&lt;&gt;"",'Approved-Enforcement'!H12,"")</f>
        <v>SafeMark</v>
      </c>
      <c r="J12" s="23" t="str">
        <f>IF($A12&lt;&gt;"",'Approved-Enforcement'!I12,"")</f>
        <v>Tommy Hilfiger</v>
      </c>
      <c r="K12" s="23" t="str">
        <f>IF($A12&lt;&gt;"",'Approved-Enforcement'!J12,"")</f>
        <v>Jeans</v>
      </c>
      <c r="L12" s="23">
        <f>IF($A12&lt;&gt;"",'Approved-Enforcement'!K12,"")</f>
        <v>46031</v>
      </c>
      <c r="M12" s="23" t="str">
        <f>IF($A12&lt;&gt;"",'Approved-Enforcement'!L12,"")</f>
        <v>Approved</v>
      </c>
      <c r="N12" s="27">
        <f>IF($A12&lt;&gt;"",'Approved-Enforcement'!M12,"")</f>
        <v>46045</v>
      </c>
      <c r="O12" s="27">
        <f>IF($A12&lt;&gt;"",'Approved-Enforcement'!N12,"")</f>
        <v>0</v>
      </c>
      <c r="P12" s="27">
        <f>IF($A12&lt;&gt;"",'Approved-Enforcement'!O12,"")</f>
        <v>0</v>
      </c>
    </row>
    <row r="13" spans="1:19" ht="20" customHeight="1" x14ac:dyDescent="0.35">
      <c r="A13" s="21">
        <f>IF('Approved-Enforcement'!$A13&lt;&gt;"",'Approved-Enforcement'!A13,"")</f>
        <v>12</v>
      </c>
      <c r="B13" s="23">
        <f t="shared" si="0"/>
        <v>1500</v>
      </c>
      <c r="C13" s="23"/>
      <c r="D13" s="23">
        <f>IF($A13&lt;&gt;"",IF($R13&lt;&gt;"",$R13,'Approved-Enforcement'!$B13+7),"")</f>
        <v>46059</v>
      </c>
      <c r="E13" s="23" t="str">
        <f>IF($A13&lt;&gt;"",'Approved-Enforcement'!D13,"")</f>
        <v>WholeSale</v>
      </c>
      <c r="F13" s="23" t="str">
        <f>IF($A13&lt;&gt;"",'Approved-Enforcement'!E13,"")</f>
        <v>Shop No.79, Al karim Market , New Anarkali ,Lahore</v>
      </c>
      <c r="G13" s="23" t="str">
        <f>IF($A13&lt;&gt;"",'Approved-Enforcement'!F13,"")</f>
        <v>Lahore</v>
      </c>
      <c r="H13" s="23" t="str">
        <f>IF($A13&lt;&gt;"",'Approved-Enforcement'!G13,"")</f>
        <v>Punjab</v>
      </c>
      <c r="I13" s="23" t="str">
        <f>IF($A13&lt;&gt;"",'Approved-Enforcement'!H13,"")</f>
        <v>SafeMark</v>
      </c>
      <c r="J13" s="23" t="str">
        <f>IF($A13&lt;&gt;"",'Approved-Enforcement'!I13,"")</f>
        <v>Levis</v>
      </c>
      <c r="K13" s="23" t="str">
        <f>IF($A13&lt;&gt;"",'Approved-Enforcement'!J13,"")</f>
        <v>Jeans</v>
      </c>
      <c r="L13" s="23">
        <f>IF($A13&lt;&gt;"",'Approved-Enforcement'!K13,"")</f>
        <v>46031</v>
      </c>
      <c r="M13" s="23" t="str">
        <f>IF($A13&lt;&gt;"",'Approved-Enforcement'!L13,"")</f>
        <v>Approved</v>
      </c>
      <c r="N13" s="27">
        <f>IF($A13&lt;&gt;"",'Approved-Enforcement'!M13,"")</f>
        <v>46038</v>
      </c>
      <c r="O13" s="27">
        <f>IF($A13&lt;&gt;"",'Approved-Enforcement'!N13,"")</f>
        <v>0</v>
      </c>
      <c r="P13" s="27">
        <f>IF($A13&lt;&gt;"",'Approved-Enforcement'!O13,"")</f>
        <v>0</v>
      </c>
    </row>
    <row r="14" spans="1:19" ht="20" customHeight="1" x14ac:dyDescent="0.35">
      <c r="A14" s="21" t="str">
        <f>IF('Approved-Enforcement'!$A14&lt;&gt;"",'Approved-Enforcement'!A14,"")</f>
        <v/>
      </c>
      <c r="B14" s="23" t="str">
        <f t="shared" si="0"/>
        <v/>
      </c>
      <c r="C14" s="23"/>
      <c r="D14" s="23" t="str">
        <f>IF($A14&lt;&gt;"",IF($R14&lt;&gt;"",$R14,'Approved-Enforcement'!$B14+7),"")</f>
        <v/>
      </c>
      <c r="E14" s="23" t="str">
        <f>IF($A14&lt;&gt;"",'Approved-Enforcement'!D14,"")</f>
        <v/>
      </c>
      <c r="F14" s="23" t="str">
        <f>IF($A14&lt;&gt;"",'Approved-Enforcement'!E14,"")</f>
        <v/>
      </c>
      <c r="G14" s="23" t="str">
        <f>IF($A14&lt;&gt;"",'Approved-Enforcement'!F14,"")</f>
        <v/>
      </c>
      <c r="H14" s="23" t="str">
        <f>IF($A14&lt;&gt;"",'Approved-Enforcement'!G14,"")</f>
        <v/>
      </c>
      <c r="I14" s="23" t="str">
        <f>IF($A14&lt;&gt;"",'Approved-Enforcement'!H14,"")</f>
        <v/>
      </c>
      <c r="J14" s="23" t="str">
        <f>IF($A14&lt;&gt;"",'Approved-Enforcement'!I14,"")</f>
        <v/>
      </c>
      <c r="K14" s="23" t="str">
        <f>IF($A14&lt;&gt;"",'Approved-Enforcement'!J14,"")</f>
        <v/>
      </c>
      <c r="L14" s="23" t="str">
        <f>IF($A14&lt;&gt;"",'Approved-Enforcement'!K14,"")</f>
        <v/>
      </c>
      <c r="M14" s="23" t="str">
        <f>IF($A14&lt;&gt;"",'Approved-Enforcement'!L14,"")</f>
        <v/>
      </c>
      <c r="N14" s="27" t="str">
        <f>IF($A14&lt;&gt;"",'Approved-Enforcement'!M14,"")</f>
        <v/>
      </c>
      <c r="O14" s="27" t="str">
        <f>IF($A14&lt;&gt;"",'Approved-Enforcement'!N14,"")</f>
        <v/>
      </c>
      <c r="P14" s="27" t="str">
        <f>IF($A14&lt;&gt;"",'Approved-Enforcement'!O14,"")</f>
        <v/>
      </c>
    </row>
    <row r="15" spans="1:19" ht="20" customHeight="1" x14ac:dyDescent="0.35">
      <c r="A15" s="21">
        <f>IF('Approved-Enforcement'!$A15&lt;&gt;"",'Approved-Enforcement'!A15,"")</f>
        <v>14</v>
      </c>
      <c r="B15" s="23">
        <f t="shared" si="0"/>
        <v>1500</v>
      </c>
      <c r="C15" s="23"/>
      <c r="D15" s="23">
        <f>IF($A15&lt;&gt;"",IF($R15&lt;&gt;"",$R15,'Approved-Enforcement'!$B15+7),"")</f>
        <v>46056</v>
      </c>
      <c r="E15" s="23" t="str">
        <f>IF($A15&lt;&gt;"",'Approved-Enforcement'!D15,"")</f>
        <v>Customs</v>
      </c>
      <c r="F15" s="23" t="str">
        <f>IF($A15&lt;&gt;"",'Approved-Enforcement'!E15,"")</f>
        <v>Mugal Pura dry port Lahore</v>
      </c>
      <c r="G15" s="23" t="str">
        <f>IF($A15&lt;&gt;"",'Approved-Enforcement'!F15,"")</f>
        <v>Lahore</v>
      </c>
      <c r="H15" s="23" t="str">
        <f>IF($A15&lt;&gt;"",'Approved-Enforcement'!G15,"")</f>
        <v>Punjab</v>
      </c>
      <c r="I15" s="23" t="str">
        <f>IF($A15&lt;&gt;"",'Approved-Enforcement'!H15,"")</f>
        <v>AA</v>
      </c>
      <c r="J15" s="23" t="str">
        <f>IF($A15&lt;&gt;"",'Approved-Enforcement'!I15,"")</f>
        <v>Gucci</v>
      </c>
      <c r="K15" s="23" t="str">
        <f>IF($A15&lt;&gt;"",'Approved-Enforcement'!J15,"")</f>
        <v>scarf</v>
      </c>
      <c r="L15" s="23">
        <f>IF($A15&lt;&gt;"",'Approved-Enforcement'!K15,"")</f>
        <v>45975</v>
      </c>
      <c r="M15" s="23" t="str">
        <f>IF($A15&lt;&gt;"",'Approved-Enforcement'!L15,"")</f>
        <v>Approved</v>
      </c>
      <c r="N15" s="27">
        <f>IF($A15&lt;&gt;"",'Approved-Enforcement'!M15,"")</f>
        <v>46035</v>
      </c>
      <c r="O15" s="27">
        <f>IF($A15&lt;&gt;"",'Approved-Enforcement'!N15,"")</f>
        <v>0</v>
      </c>
      <c r="P15" s="27">
        <f>IF($A15&lt;&gt;"",'Approved-Enforcement'!O15,"")</f>
        <v>0</v>
      </c>
    </row>
    <row r="16" spans="1:19" ht="20" customHeight="1" x14ac:dyDescent="0.35">
      <c r="A16" s="21">
        <f>IF('Approved-Enforcement'!$A16&lt;&gt;"",'Approved-Enforcement'!A16,"")</f>
        <v>15</v>
      </c>
      <c r="B16" s="23">
        <f t="shared" si="0"/>
        <v>1500</v>
      </c>
      <c r="C16" s="23"/>
      <c r="D16" s="23">
        <f>IF($A16&lt;&gt;"",IF($R16&lt;&gt;"",$R16,'Approved-Enforcement'!$B16+7),"")</f>
        <v>46214</v>
      </c>
      <c r="E16" s="23" t="str">
        <f>IF($A16&lt;&gt;"",'Approved-Enforcement'!D16,"")</f>
        <v>Distributor</v>
      </c>
      <c r="F16" s="23" t="str">
        <f>IF($A16&lt;&gt;"",'Approved-Enforcement'!E16,"")</f>
        <v>Plot No.D-43 Androne lahore</v>
      </c>
      <c r="G16" s="23" t="str">
        <f>IF($A16&lt;&gt;"",'Approved-Enforcement'!F16,"")</f>
        <v>Lahore</v>
      </c>
      <c r="H16" s="23" t="str">
        <f>IF($A16&lt;&gt;"",'Approved-Enforcement'!G16,"")</f>
        <v>Punjab</v>
      </c>
      <c r="I16" s="23" t="str">
        <f>IF($A16&lt;&gt;"",'Approved-Enforcement'!H16,"")</f>
        <v>OneWorld</v>
      </c>
      <c r="J16" s="23" t="str">
        <f>IF($A16&lt;&gt;"",'Approved-Enforcement'!I16,"")</f>
        <v>Wd-40</v>
      </c>
      <c r="K16" s="23" t="str">
        <f>IF($A16&lt;&gt;"",'Approved-Enforcement'!J16,"")</f>
        <v>Fluid</v>
      </c>
      <c r="L16" s="23">
        <f>IF($A16&lt;&gt;"",'Approved-Enforcement'!K16,"")</f>
        <v>45824</v>
      </c>
      <c r="M16" s="23" t="str">
        <f>IF($A16&lt;&gt;"",'Approved-Enforcement'!L16,"")</f>
        <v>Approved</v>
      </c>
      <c r="N16" s="27">
        <f>IF($A16&lt;&gt;"",'Approved-Enforcement'!M16,"")</f>
        <v>46193</v>
      </c>
      <c r="O16" s="27">
        <f>IF($A16&lt;&gt;"",'Approved-Enforcement'!N16,"")</f>
        <v>0</v>
      </c>
      <c r="P16" s="27">
        <f>IF($A16&lt;&gt;"",'Approved-Enforcement'!O16,"")</f>
        <v>0</v>
      </c>
    </row>
    <row r="17" spans="1:16" ht="20" customHeight="1" x14ac:dyDescent="0.35">
      <c r="A17" s="21" t="str">
        <f>IF('Approved-Enforcement'!$A17&lt;&gt;"",'Approved-Enforcement'!A17,"")</f>
        <v/>
      </c>
      <c r="B17" s="23" t="str">
        <f t="shared" si="0"/>
        <v/>
      </c>
      <c r="C17" s="23"/>
      <c r="D17" s="23" t="str">
        <f>IF($A17&lt;&gt;"",IF($R17&lt;&gt;"",$R17,'Approved-Enforcement'!$B17+7),"")</f>
        <v/>
      </c>
      <c r="E17" s="23" t="str">
        <f>IF($A17&lt;&gt;"",'Approved-Enforcement'!D17,"")</f>
        <v/>
      </c>
      <c r="F17" s="23" t="str">
        <f>IF($A17&lt;&gt;"",'Approved-Enforcement'!E17,"")</f>
        <v/>
      </c>
      <c r="G17" s="23" t="str">
        <f>IF($A17&lt;&gt;"",'Approved-Enforcement'!F17,"")</f>
        <v/>
      </c>
      <c r="H17" s="23" t="str">
        <f>IF($A17&lt;&gt;"",'Approved-Enforcement'!G17,"")</f>
        <v/>
      </c>
      <c r="I17" s="23" t="str">
        <f>IF($A17&lt;&gt;"",'Approved-Enforcement'!H17,"")</f>
        <v/>
      </c>
      <c r="J17" s="23" t="str">
        <f>IF($A17&lt;&gt;"",'Approved-Enforcement'!I17,"")</f>
        <v/>
      </c>
      <c r="K17" s="23" t="str">
        <f>IF($A17&lt;&gt;"",'Approved-Enforcement'!J17,"")</f>
        <v/>
      </c>
      <c r="L17" s="23" t="str">
        <f>IF($A17&lt;&gt;"",'Approved-Enforcement'!K17,"")</f>
        <v/>
      </c>
      <c r="M17" s="23" t="str">
        <f>IF($A17&lt;&gt;"",'Approved-Enforcement'!L17,"")</f>
        <v/>
      </c>
      <c r="N17" s="27" t="str">
        <f>IF($A17&lt;&gt;"",'Approved-Enforcement'!M17,"")</f>
        <v/>
      </c>
      <c r="O17" s="27" t="str">
        <f>IF($A17&lt;&gt;"",'Approved-Enforcement'!N17,"")</f>
        <v/>
      </c>
      <c r="P17" s="27" t="str">
        <f>IF($A17&lt;&gt;"",'Approved-Enforcement'!O17,"")</f>
        <v/>
      </c>
    </row>
    <row r="18" spans="1:16" ht="20" customHeight="1" x14ac:dyDescent="0.35">
      <c r="A18" s="21" t="str">
        <f>IF('Approved-Enforcement'!$A18&lt;&gt;"",'Approved-Enforcement'!A18,"")</f>
        <v/>
      </c>
      <c r="B18" s="23" t="str">
        <f t="shared" si="0"/>
        <v/>
      </c>
      <c r="C18" s="23"/>
      <c r="D18" s="23" t="str">
        <f>IF($A18&lt;&gt;"",IF($R18&lt;&gt;"",$R18,'Approved-Enforcement'!$B18+7),"")</f>
        <v/>
      </c>
      <c r="E18" s="23" t="str">
        <f>IF($A18&lt;&gt;"",'Approved-Enforcement'!D18,"")</f>
        <v/>
      </c>
      <c r="F18" s="23" t="str">
        <f>IF($A18&lt;&gt;"",'Approved-Enforcement'!E18,"")</f>
        <v/>
      </c>
      <c r="G18" s="23" t="str">
        <f>IF($A18&lt;&gt;"",'Approved-Enforcement'!F18,"")</f>
        <v/>
      </c>
      <c r="H18" s="23" t="str">
        <f>IF($A18&lt;&gt;"",'Approved-Enforcement'!G18,"")</f>
        <v/>
      </c>
      <c r="I18" s="23" t="str">
        <f>IF($A18&lt;&gt;"",'Approved-Enforcement'!H18,"")</f>
        <v/>
      </c>
      <c r="J18" s="23" t="str">
        <f>IF($A18&lt;&gt;"",'Approved-Enforcement'!I18,"")</f>
        <v/>
      </c>
      <c r="K18" s="23" t="str">
        <f>IF($A18&lt;&gt;"",'Approved-Enforcement'!J18,"")</f>
        <v/>
      </c>
      <c r="L18" s="23" t="str">
        <f>IF($A18&lt;&gt;"",'Approved-Enforcement'!K18,"")</f>
        <v/>
      </c>
      <c r="M18" s="23" t="str">
        <f>IF($A18&lt;&gt;"",'Approved-Enforcement'!L18,"")</f>
        <v/>
      </c>
      <c r="N18" s="27" t="str">
        <f>IF($A18&lt;&gt;"",'Approved-Enforcement'!M18,"")</f>
        <v/>
      </c>
      <c r="O18" s="27" t="str">
        <f>IF($A18&lt;&gt;"",'Approved-Enforcement'!N18,"")</f>
        <v/>
      </c>
      <c r="P18" s="27" t="str">
        <f>IF($A18&lt;&gt;"",'Approved-Enforcement'!O18,"")</f>
        <v/>
      </c>
    </row>
    <row r="19" spans="1:16" ht="20" customHeight="1" x14ac:dyDescent="0.35">
      <c r="A19" s="21" t="str">
        <f>IF('Approved-Enforcement'!$A19&lt;&gt;"",'Approved-Enforcement'!A19,"")</f>
        <v/>
      </c>
      <c r="B19" s="23" t="str">
        <f t="shared" si="0"/>
        <v/>
      </c>
      <c r="C19" s="23"/>
      <c r="D19" s="23" t="str">
        <f>IF($A19&lt;&gt;"",IF($R19&lt;&gt;"",$R19,'Approved-Enforcement'!$B19+7),"")</f>
        <v/>
      </c>
      <c r="E19" s="23" t="str">
        <f>IF($A19&lt;&gt;"",'Approved-Enforcement'!D19,"")</f>
        <v/>
      </c>
      <c r="F19" s="23" t="str">
        <f>IF($A19&lt;&gt;"",'Approved-Enforcement'!E19,"")</f>
        <v/>
      </c>
      <c r="G19" s="23" t="str">
        <f>IF($A19&lt;&gt;"",'Approved-Enforcement'!F19,"")</f>
        <v/>
      </c>
      <c r="H19" s="23" t="str">
        <f>IF($A19&lt;&gt;"",'Approved-Enforcement'!G19,"")</f>
        <v/>
      </c>
      <c r="I19" s="23" t="str">
        <f>IF($A19&lt;&gt;"",'Approved-Enforcement'!H19,"")</f>
        <v/>
      </c>
      <c r="J19" s="23" t="str">
        <f>IF($A19&lt;&gt;"",'Approved-Enforcement'!I19,"")</f>
        <v/>
      </c>
      <c r="K19" s="23" t="str">
        <f>IF($A19&lt;&gt;"",'Approved-Enforcement'!J19,"")</f>
        <v/>
      </c>
      <c r="L19" s="23" t="str">
        <f>IF($A19&lt;&gt;"",'Approved-Enforcement'!K19,"")</f>
        <v/>
      </c>
      <c r="M19" s="23" t="str">
        <f>IF($A19&lt;&gt;"",'Approved-Enforcement'!L19,"")</f>
        <v/>
      </c>
      <c r="N19" s="27" t="str">
        <f>IF($A19&lt;&gt;"",'Approved-Enforcement'!M19,"")</f>
        <v/>
      </c>
      <c r="O19" s="27" t="str">
        <f>IF($A19&lt;&gt;"",'Approved-Enforcement'!N19,"")</f>
        <v/>
      </c>
      <c r="P19" s="27" t="str">
        <f>IF($A19&lt;&gt;"",'Approved-Enforcement'!O19,"")</f>
        <v/>
      </c>
    </row>
    <row r="20" spans="1:16" ht="20" customHeight="1" x14ac:dyDescent="0.35">
      <c r="A20" s="21" t="str">
        <f>IF('Approved-Enforcement'!$A20&lt;&gt;"",'Approved-Enforcement'!A20,"")</f>
        <v/>
      </c>
      <c r="B20" s="23" t="str">
        <f t="shared" si="0"/>
        <v/>
      </c>
      <c r="C20" s="23"/>
      <c r="D20" s="23" t="str">
        <f>IF($A20&lt;&gt;"",IF($R20&lt;&gt;"",$R20,'Approved-Enforcement'!$B20+7),"")</f>
        <v/>
      </c>
      <c r="E20" s="23" t="str">
        <f>IF($A20&lt;&gt;"",'Approved-Enforcement'!D20,"")</f>
        <v/>
      </c>
      <c r="F20" s="23" t="str">
        <f>IF($A20&lt;&gt;"",'Approved-Enforcement'!E20,"")</f>
        <v/>
      </c>
      <c r="G20" s="23" t="str">
        <f>IF($A20&lt;&gt;"",'Approved-Enforcement'!F20,"")</f>
        <v/>
      </c>
      <c r="H20" s="23" t="str">
        <f>IF($A20&lt;&gt;"",'Approved-Enforcement'!G20,"")</f>
        <v/>
      </c>
      <c r="I20" s="23" t="str">
        <f>IF($A20&lt;&gt;"",'Approved-Enforcement'!H20,"")</f>
        <v/>
      </c>
      <c r="J20" s="23" t="str">
        <f>IF($A20&lt;&gt;"",'Approved-Enforcement'!I20,"")</f>
        <v/>
      </c>
      <c r="K20" s="23" t="str">
        <f>IF($A20&lt;&gt;"",'Approved-Enforcement'!J20,"")</f>
        <v/>
      </c>
      <c r="L20" s="23" t="str">
        <f>IF($A20&lt;&gt;"",'Approved-Enforcement'!K20,"")</f>
        <v/>
      </c>
      <c r="M20" s="23" t="str">
        <f>IF($A20&lt;&gt;"",'Approved-Enforcement'!L20,"")</f>
        <v/>
      </c>
      <c r="N20" s="27" t="str">
        <f>IF($A20&lt;&gt;"",'Approved-Enforcement'!M20,"")</f>
        <v/>
      </c>
      <c r="O20" s="27" t="str">
        <f>IF($A20&lt;&gt;"",'Approved-Enforcement'!N20,"")</f>
        <v/>
      </c>
      <c r="P20" s="27" t="str">
        <f>IF($A20&lt;&gt;"",'Approved-Enforcement'!O20,"")</f>
        <v/>
      </c>
    </row>
    <row r="21" spans="1:16" ht="20" customHeight="1" x14ac:dyDescent="0.35">
      <c r="A21" s="21" t="str">
        <f>IF('Approved-Enforcement'!$A21&lt;&gt;"",'Approved-Enforcement'!A21,"")</f>
        <v/>
      </c>
      <c r="B21" s="23" t="str">
        <f t="shared" si="0"/>
        <v/>
      </c>
      <c r="C21" s="23"/>
      <c r="D21" s="23" t="str">
        <f>IF($A21&lt;&gt;"",IF($R21&lt;&gt;"",$R21,'Approved-Enforcement'!$B21+7),"")</f>
        <v/>
      </c>
      <c r="E21" s="23" t="str">
        <f>IF($A21&lt;&gt;"",'Approved-Enforcement'!D21,"")</f>
        <v/>
      </c>
      <c r="F21" s="23" t="str">
        <f>IF($A21&lt;&gt;"",'Approved-Enforcement'!E21,"")</f>
        <v/>
      </c>
      <c r="G21" s="23" t="str">
        <f>IF($A21&lt;&gt;"",'Approved-Enforcement'!F21,"")</f>
        <v/>
      </c>
      <c r="H21" s="23" t="str">
        <f>IF($A21&lt;&gt;"",'Approved-Enforcement'!G21,"")</f>
        <v/>
      </c>
      <c r="I21" s="23" t="str">
        <f>IF($A21&lt;&gt;"",'Approved-Enforcement'!H21,"")</f>
        <v/>
      </c>
      <c r="J21" s="23" t="str">
        <f>IF($A21&lt;&gt;"",'Approved-Enforcement'!I21,"")</f>
        <v/>
      </c>
      <c r="K21" s="23" t="str">
        <f>IF($A21&lt;&gt;"",'Approved-Enforcement'!J21,"")</f>
        <v/>
      </c>
      <c r="L21" s="23" t="str">
        <f>IF($A21&lt;&gt;"",'Approved-Enforcement'!K21,"")</f>
        <v/>
      </c>
      <c r="M21" s="23" t="str">
        <f>IF($A21&lt;&gt;"",'Approved-Enforcement'!L21,"")</f>
        <v/>
      </c>
      <c r="N21" s="27" t="str">
        <f>IF($A21&lt;&gt;"",'Approved-Enforcement'!M21,"")</f>
        <v/>
      </c>
      <c r="O21" s="27" t="str">
        <f>IF($A21&lt;&gt;"",'Approved-Enforcement'!N21,"")</f>
        <v/>
      </c>
      <c r="P21" s="27" t="str">
        <f>IF($A21&lt;&gt;"",'Approved-Enforcement'!O21,"")</f>
        <v/>
      </c>
    </row>
    <row r="22" spans="1:16" ht="20" customHeight="1" x14ac:dyDescent="0.35">
      <c r="A22" s="21" t="str">
        <f>IF('Approved-Enforcement'!$A22&lt;&gt;"",'Approved-Enforcement'!A22,"")</f>
        <v/>
      </c>
      <c r="B22" s="23" t="str">
        <f t="shared" si="0"/>
        <v/>
      </c>
      <c r="C22" s="23"/>
      <c r="D22" s="23" t="str">
        <f>IF($A22&lt;&gt;"",IF($R22&lt;&gt;"",$R22,'Approved-Enforcement'!$B22+7),"")</f>
        <v/>
      </c>
      <c r="E22" s="23" t="str">
        <f>IF($A22&lt;&gt;"",'Approved-Enforcement'!D22,"")</f>
        <v/>
      </c>
      <c r="F22" s="23" t="str">
        <f>IF($A22&lt;&gt;"",'Approved-Enforcement'!E22,"")</f>
        <v/>
      </c>
      <c r="G22" s="23" t="str">
        <f>IF($A22&lt;&gt;"",'Approved-Enforcement'!F22,"")</f>
        <v/>
      </c>
      <c r="H22" s="23" t="str">
        <f>IF($A22&lt;&gt;"",'Approved-Enforcement'!G22,"")</f>
        <v/>
      </c>
      <c r="I22" s="23" t="str">
        <f>IF($A22&lt;&gt;"",'Approved-Enforcement'!H22,"")</f>
        <v/>
      </c>
      <c r="J22" s="23" t="str">
        <f>IF($A22&lt;&gt;"",'Approved-Enforcement'!I22,"")</f>
        <v/>
      </c>
      <c r="K22" s="23" t="str">
        <f>IF($A22&lt;&gt;"",'Approved-Enforcement'!J22,"")</f>
        <v/>
      </c>
      <c r="L22" s="23" t="str">
        <f>IF($A22&lt;&gt;"",'Approved-Enforcement'!K22,"")</f>
        <v/>
      </c>
      <c r="M22" s="23" t="str">
        <f>IF($A22&lt;&gt;"",'Approved-Enforcement'!L22,"")</f>
        <v/>
      </c>
      <c r="N22" s="27" t="str">
        <f>IF($A22&lt;&gt;"",'Approved-Enforcement'!M22,"")</f>
        <v/>
      </c>
      <c r="O22" s="27" t="str">
        <f>IF($A22&lt;&gt;"",'Approved-Enforcement'!N22,"")</f>
        <v/>
      </c>
      <c r="P22" s="27" t="str">
        <f>IF($A22&lt;&gt;"",'Approved-Enforcement'!O22,"")</f>
        <v/>
      </c>
    </row>
    <row r="23" spans="1:16" ht="20" customHeight="1" x14ac:dyDescent="0.35">
      <c r="A23" s="4" t="str">
        <f>IF('Approved-Enforcement'!$A23&lt;&gt;"",'Approved-Enforcement'!A23,"")</f>
        <v/>
      </c>
      <c r="B23" t="str">
        <f t="shared" si="0"/>
        <v/>
      </c>
      <c r="D23" t="str">
        <f>IF($A23&lt;&gt;"",IF($R23&lt;&gt;"",$R23,'Approved-Enforcement'!$B23+7),"")</f>
        <v/>
      </c>
      <c r="E23" t="str">
        <f>IF($A23&lt;&gt;"",'Approved-Enforcement'!D23,"")</f>
        <v/>
      </c>
      <c r="F23" t="str">
        <f>IF($A23&lt;&gt;"",'Approved-Enforcement'!E23,"")</f>
        <v/>
      </c>
      <c r="G23" t="str">
        <f>IF($A23&lt;&gt;"",'Approved-Enforcement'!F23,"")</f>
        <v/>
      </c>
      <c r="H23" t="str">
        <f>IF($A23&lt;&gt;"",'Approved-Enforcement'!G23,"")</f>
        <v/>
      </c>
      <c r="I23" t="str">
        <f>IF($A23&lt;&gt;"",'Approved-Enforcement'!H23,"")</f>
        <v/>
      </c>
      <c r="J23" t="str">
        <f>IF($A23&lt;&gt;"",'Approved-Enforcement'!I23,"")</f>
        <v/>
      </c>
      <c r="K23" t="str">
        <f>IF($A23&lt;&gt;"",'Approved-Enforcement'!J23,"")</f>
        <v/>
      </c>
      <c r="L23" t="str">
        <f>IF($A23&lt;&gt;"",'Approved-Enforcement'!K23,"")</f>
        <v/>
      </c>
      <c r="M23" t="str">
        <f>IF($A23&lt;&gt;"",'Approved-Enforcement'!L23,"")</f>
        <v/>
      </c>
      <c r="N23" s="16" t="str">
        <f>IF($A23&lt;&gt;"",'Approved-Enforcement'!M23,"")</f>
        <v/>
      </c>
      <c r="O23" s="16" t="str">
        <f>IF($A23&lt;&gt;"",'Approved-Enforcement'!N23,"")</f>
        <v/>
      </c>
      <c r="P23" s="16" t="str">
        <f>IF($A23&lt;&gt;"",'Approved-Enforcement'!O23,"")</f>
        <v/>
      </c>
    </row>
    <row r="24" spans="1:16" ht="20" customHeight="1" x14ac:dyDescent="0.35">
      <c r="A24" s="4" t="str">
        <f>IF('Approved-Enforcement'!$A24&lt;&gt;"",'Approved-Enforcement'!A24,"")</f>
        <v/>
      </c>
      <c r="B24" t="str">
        <f t="shared" si="0"/>
        <v/>
      </c>
      <c r="D24" t="str">
        <f>IF($A24&lt;&gt;"",IF($R24&lt;&gt;"",$R24,'Approved-Enforcement'!$B24+7),"")</f>
        <v/>
      </c>
      <c r="E24" t="str">
        <f>IF($A24&lt;&gt;"",'Approved-Enforcement'!D24,"")</f>
        <v/>
      </c>
      <c r="F24" t="str">
        <f>IF($A24&lt;&gt;"",'Approved-Enforcement'!E24,"")</f>
        <v/>
      </c>
      <c r="G24" t="str">
        <f>IF($A24&lt;&gt;"",'Approved-Enforcement'!F24,"")</f>
        <v/>
      </c>
      <c r="H24" t="str">
        <f>IF($A24&lt;&gt;"",'Approved-Enforcement'!G24,"")</f>
        <v/>
      </c>
      <c r="I24" t="str">
        <f>IF($A24&lt;&gt;"",'Approved-Enforcement'!H24,"")</f>
        <v/>
      </c>
      <c r="J24" t="str">
        <f>IF($A24&lt;&gt;"",'Approved-Enforcement'!I24,"")</f>
        <v/>
      </c>
      <c r="K24" t="str">
        <f>IF($A24&lt;&gt;"",'Approved-Enforcement'!J24,"")</f>
        <v/>
      </c>
      <c r="L24" t="str">
        <f>IF($A24&lt;&gt;"",'Approved-Enforcement'!K24,"")</f>
        <v/>
      </c>
      <c r="M24" t="str">
        <f>IF($A24&lt;&gt;"",'Approved-Enforcement'!L24,"")</f>
        <v/>
      </c>
      <c r="N24" s="16" t="str">
        <f>IF($A24&lt;&gt;"",'Approved-Enforcement'!M24,"")</f>
        <v/>
      </c>
      <c r="O24" s="16" t="str">
        <f>IF($A24&lt;&gt;"",'Approved-Enforcement'!N24,"")</f>
        <v/>
      </c>
      <c r="P24" s="16" t="str">
        <f>IF($A24&lt;&gt;"",'Approved-Enforcement'!O24,"")</f>
        <v/>
      </c>
    </row>
    <row r="25" spans="1:16" ht="20" customHeight="1" x14ac:dyDescent="0.35">
      <c r="A25" s="4" t="str">
        <f>IF('Approved-Enforcement'!$A25&lt;&gt;"",'Approved-Enforcement'!A25,"")</f>
        <v/>
      </c>
      <c r="B25" t="str">
        <f t="shared" si="0"/>
        <v/>
      </c>
      <c r="D25" t="str">
        <f>IF($A25&lt;&gt;"",IF($R25&lt;&gt;"",$R25,'Approved-Enforcement'!$B25+7),"")</f>
        <v/>
      </c>
      <c r="E25" t="str">
        <f>IF($A25&lt;&gt;"",'Approved-Enforcement'!D25,"")</f>
        <v/>
      </c>
      <c r="F25" t="str">
        <f>IF($A25&lt;&gt;"",'Approved-Enforcement'!E25,"")</f>
        <v/>
      </c>
      <c r="G25" t="str">
        <f>IF($A25&lt;&gt;"",'Approved-Enforcement'!F25,"")</f>
        <v/>
      </c>
      <c r="H25" t="str">
        <f>IF($A25&lt;&gt;"",'Approved-Enforcement'!G25,"")</f>
        <v/>
      </c>
      <c r="I25" t="str">
        <f>IF($A25&lt;&gt;"",'Approved-Enforcement'!H25,"")</f>
        <v/>
      </c>
      <c r="J25" t="str">
        <f>IF($A25&lt;&gt;"",'Approved-Enforcement'!I25,"")</f>
        <v/>
      </c>
      <c r="K25" t="str">
        <f>IF($A25&lt;&gt;"",'Approved-Enforcement'!J25,"")</f>
        <v/>
      </c>
      <c r="L25" t="str">
        <f>IF($A25&lt;&gt;"",'Approved-Enforcement'!K25,"")</f>
        <v/>
      </c>
      <c r="M25" t="str">
        <f>IF($A25&lt;&gt;"",'Approved-Enforcement'!L25,"")</f>
        <v/>
      </c>
      <c r="N25" s="16" t="str">
        <f>IF($A25&lt;&gt;"",'Approved-Enforcement'!M25,"")</f>
        <v/>
      </c>
      <c r="O25" s="16" t="str">
        <f>IF($A25&lt;&gt;"",'Approved-Enforcement'!N25,"")</f>
        <v/>
      </c>
      <c r="P25" s="16" t="str">
        <f>IF($A25&lt;&gt;"",'Approved-Enforcement'!O25,"")</f>
        <v/>
      </c>
    </row>
    <row r="26" spans="1:16" ht="20" customHeight="1" x14ac:dyDescent="0.35">
      <c r="A26" s="4" t="str">
        <f>IF('Approved-Enforcement'!$A26&lt;&gt;"",'Approved-Enforcement'!A26,"")</f>
        <v/>
      </c>
      <c r="B26" t="str">
        <f t="shared" si="0"/>
        <v/>
      </c>
      <c r="D26" t="str">
        <f>IF($A26&lt;&gt;"",IF($R26&lt;&gt;"",$R26,'Approved-Enforcement'!$B26+7),"")</f>
        <v/>
      </c>
      <c r="E26" t="str">
        <f>IF($A26&lt;&gt;"",'Approved-Enforcement'!D26,"")</f>
        <v/>
      </c>
      <c r="F26" t="str">
        <f>IF($A26&lt;&gt;"",'Approved-Enforcement'!E26,"")</f>
        <v/>
      </c>
      <c r="G26" t="str">
        <f>IF($A26&lt;&gt;"",'Approved-Enforcement'!F26,"")</f>
        <v/>
      </c>
      <c r="H26" t="str">
        <f>IF($A26&lt;&gt;"",'Approved-Enforcement'!G26,"")</f>
        <v/>
      </c>
      <c r="I26" t="str">
        <f>IF($A26&lt;&gt;"",'Approved-Enforcement'!H26,"")</f>
        <v/>
      </c>
      <c r="J26" t="str">
        <f>IF($A26&lt;&gt;"",'Approved-Enforcement'!I26,"")</f>
        <v/>
      </c>
      <c r="K26" t="str">
        <f>IF($A26&lt;&gt;"",'Approved-Enforcement'!J26,"")</f>
        <v/>
      </c>
      <c r="L26" t="str">
        <f>IF($A26&lt;&gt;"",'Approved-Enforcement'!K26,"")</f>
        <v/>
      </c>
      <c r="M26" t="str">
        <f>IF($A26&lt;&gt;"",'Approved-Enforcement'!L26,"")</f>
        <v/>
      </c>
      <c r="N26" s="16" t="str">
        <f>IF($A26&lt;&gt;"",'Approved-Enforcement'!M26,"")</f>
        <v/>
      </c>
      <c r="O26" s="16" t="str">
        <f>IF($A26&lt;&gt;"",'Approved-Enforcement'!N26,"")</f>
        <v/>
      </c>
      <c r="P26" s="16" t="str">
        <f>IF($A26&lt;&gt;"",'Approved-Enforcement'!O26,"")</f>
        <v/>
      </c>
    </row>
    <row r="27" spans="1:16" ht="20" customHeight="1" x14ac:dyDescent="0.35">
      <c r="A27" s="4" t="str">
        <f>IF('Approved-Enforcement'!$A27&lt;&gt;"",'Approved-Enforcement'!A27,"")</f>
        <v/>
      </c>
      <c r="B27" t="str">
        <f t="shared" si="0"/>
        <v/>
      </c>
      <c r="D27" t="str">
        <f>IF($A27&lt;&gt;"",IF($R27&lt;&gt;"",$R27,'Approved-Enforcement'!$B27+7),"")</f>
        <v/>
      </c>
      <c r="E27" t="str">
        <f>IF($A27&lt;&gt;"",'Approved-Enforcement'!D27,"")</f>
        <v/>
      </c>
      <c r="F27" t="str">
        <f>IF($A27&lt;&gt;"",'Approved-Enforcement'!E27,"")</f>
        <v/>
      </c>
      <c r="G27" t="str">
        <f>IF($A27&lt;&gt;"",'Approved-Enforcement'!F27,"")</f>
        <v/>
      </c>
      <c r="H27" t="str">
        <f>IF($A27&lt;&gt;"",'Approved-Enforcement'!G27,"")</f>
        <v/>
      </c>
      <c r="I27" t="str">
        <f>IF($A27&lt;&gt;"",'Approved-Enforcement'!H27,"")</f>
        <v/>
      </c>
      <c r="J27" t="str">
        <f>IF($A27&lt;&gt;"",'Approved-Enforcement'!I27,"")</f>
        <v/>
      </c>
      <c r="K27" t="str">
        <f>IF($A27&lt;&gt;"",'Approved-Enforcement'!J27,"")</f>
        <v/>
      </c>
      <c r="L27" t="str">
        <f>IF($A27&lt;&gt;"",'Approved-Enforcement'!K27,"")</f>
        <v/>
      </c>
      <c r="M27" t="str">
        <f>IF($A27&lt;&gt;"",'Approved-Enforcement'!L27,"")</f>
        <v/>
      </c>
      <c r="N27" s="16" t="str">
        <f>IF($A27&lt;&gt;"",'Approved-Enforcement'!M27,"")</f>
        <v/>
      </c>
      <c r="O27" s="16" t="str">
        <f>IF($A27&lt;&gt;"",'Approved-Enforcement'!N27,"")</f>
        <v/>
      </c>
      <c r="P27" s="16" t="str">
        <f>IF($A27&lt;&gt;"",'Approved-Enforcement'!O27,"")</f>
        <v/>
      </c>
    </row>
    <row r="28" spans="1:16" ht="20" customHeight="1" x14ac:dyDescent="0.35">
      <c r="A28" s="4" t="str">
        <f>IF('Approved-Enforcement'!$A28&lt;&gt;"",'Approved-Enforcement'!A28,"")</f>
        <v/>
      </c>
      <c r="B28" t="str">
        <f t="shared" si="0"/>
        <v/>
      </c>
      <c r="D28" t="str">
        <f>IF($A28&lt;&gt;"",IF($R28&lt;&gt;"",$R28,'Approved-Enforcement'!$B28+7),"")</f>
        <v/>
      </c>
      <c r="E28" t="str">
        <f>IF($A28&lt;&gt;"",'Approved-Enforcement'!D28,"")</f>
        <v/>
      </c>
      <c r="F28" t="str">
        <f>IF($A28&lt;&gt;"",'Approved-Enforcement'!E28,"")</f>
        <v/>
      </c>
      <c r="G28" t="str">
        <f>IF($A28&lt;&gt;"",'Approved-Enforcement'!F28,"")</f>
        <v/>
      </c>
      <c r="H28" t="str">
        <f>IF($A28&lt;&gt;"",'Approved-Enforcement'!G28,"")</f>
        <v/>
      </c>
      <c r="I28" t="str">
        <f>IF($A28&lt;&gt;"",'Approved-Enforcement'!H28,"")</f>
        <v/>
      </c>
      <c r="J28" t="str">
        <f>IF($A28&lt;&gt;"",'Approved-Enforcement'!I28,"")</f>
        <v/>
      </c>
      <c r="K28" t="str">
        <f>IF($A28&lt;&gt;"",'Approved-Enforcement'!J28,"")</f>
        <v/>
      </c>
      <c r="L28" t="str">
        <f>IF($A28&lt;&gt;"",'Approved-Enforcement'!K28,"")</f>
        <v/>
      </c>
      <c r="M28" t="str">
        <f>IF($A28&lt;&gt;"",'Approved-Enforcement'!L28,"")</f>
        <v/>
      </c>
      <c r="N28" s="16" t="str">
        <f>IF($A28&lt;&gt;"",'Approved-Enforcement'!M28,"")</f>
        <v/>
      </c>
      <c r="O28" s="16" t="str">
        <f>IF($A28&lt;&gt;"",'Approved-Enforcement'!N28,"")</f>
        <v/>
      </c>
      <c r="P28" s="16" t="str">
        <f>IF($A28&lt;&gt;"",'Approved-Enforcement'!O28,"")</f>
        <v/>
      </c>
    </row>
    <row r="29" spans="1:16" ht="20" customHeight="1" x14ac:dyDescent="0.35">
      <c r="A29" s="4" t="str">
        <f>IF('Approved-Enforcement'!$A29&lt;&gt;"",'Approved-Enforcement'!A29,"")</f>
        <v/>
      </c>
      <c r="B29" t="str">
        <f t="shared" si="0"/>
        <v/>
      </c>
      <c r="D29" t="str">
        <f>IF($A29&lt;&gt;"",IF($R29&lt;&gt;"",$R29,'Approved-Enforcement'!$B29+7),"")</f>
        <v/>
      </c>
      <c r="E29" t="str">
        <f>IF($A29&lt;&gt;"",'Approved-Enforcement'!D29,"")</f>
        <v/>
      </c>
      <c r="F29" t="str">
        <f>IF($A29&lt;&gt;"",'Approved-Enforcement'!E29,"")</f>
        <v/>
      </c>
      <c r="G29" t="str">
        <f>IF($A29&lt;&gt;"",'Approved-Enforcement'!F29,"")</f>
        <v/>
      </c>
      <c r="H29" t="str">
        <f>IF($A29&lt;&gt;"",'Approved-Enforcement'!G29,"")</f>
        <v/>
      </c>
      <c r="I29" t="str">
        <f>IF($A29&lt;&gt;"",'Approved-Enforcement'!H29,"")</f>
        <v/>
      </c>
      <c r="J29" t="str">
        <f>IF($A29&lt;&gt;"",'Approved-Enforcement'!I29,"")</f>
        <v/>
      </c>
      <c r="K29" t="str">
        <f>IF($A29&lt;&gt;"",'Approved-Enforcement'!J29,"")</f>
        <v/>
      </c>
      <c r="L29" t="str">
        <f>IF($A29&lt;&gt;"",'Approved-Enforcement'!K29,"")</f>
        <v/>
      </c>
      <c r="M29" t="str">
        <f>IF($A29&lt;&gt;"",'Approved-Enforcement'!L29,"")</f>
        <v/>
      </c>
      <c r="N29" s="16" t="str">
        <f>IF($A29&lt;&gt;"",'Approved-Enforcement'!M29,"")</f>
        <v/>
      </c>
      <c r="O29" s="16" t="str">
        <f>IF($A29&lt;&gt;"",'Approved-Enforcement'!N29,"")</f>
        <v/>
      </c>
      <c r="P29" s="16" t="str">
        <f>IF($A29&lt;&gt;"",'Approved-Enforcement'!O29,"")</f>
        <v/>
      </c>
    </row>
    <row r="30" spans="1:16" ht="20" customHeight="1" x14ac:dyDescent="0.35">
      <c r="A30" s="4" t="str">
        <f>IF('Approved-Enforcement'!$A30&lt;&gt;"",'Approved-Enforcement'!A30,"")</f>
        <v/>
      </c>
      <c r="B30" t="str">
        <f t="shared" si="0"/>
        <v/>
      </c>
      <c r="D30" t="str">
        <f>IF($A30&lt;&gt;"",IF($R30&lt;&gt;"",$R30,'Approved-Enforcement'!$B30+7),"")</f>
        <v/>
      </c>
      <c r="E30" t="str">
        <f>IF($A30&lt;&gt;"",'Approved-Enforcement'!D30,"")</f>
        <v/>
      </c>
      <c r="F30" t="str">
        <f>IF($A30&lt;&gt;"",'Approved-Enforcement'!E30,"")</f>
        <v/>
      </c>
      <c r="G30" t="str">
        <f>IF($A30&lt;&gt;"",'Approved-Enforcement'!F30,"")</f>
        <v/>
      </c>
      <c r="H30" t="str">
        <f>IF($A30&lt;&gt;"",'Approved-Enforcement'!G30,"")</f>
        <v/>
      </c>
      <c r="I30" t="str">
        <f>IF($A30&lt;&gt;"",'Approved-Enforcement'!H30,"")</f>
        <v/>
      </c>
      <c r="J30" t="str">
        <f>IF($A30&lt;&gt;"",'Approved-Enforcement'!I30,"")</f>
        <v/>
      </c>
      <c r="K30" t="str">
        <f>IF($A30&lt;&gt;"",'Approved-Enforcement'!J30,"")</f>
        <v/>
      </c>
      <c r="L30" t="str">
        <f>IF($A30&lt;&gt;"",'Approved-Enforcement'!K30,"")</f>
        <v/>
      </c>
      <c r="M30" t="str">
        <f>IF($A30&lt;&gt;"",'Approved-Enforcement'!L30,"")</f>
        <v/>
      </c>
      <c r="N30" s="16" t="str">
        <f>IF($A30&lt;&gt;"",'Approved-Enforcement'!M30,"")</f>
        <v/>
      </c>
      <c r="O30" s="16" t="str">
        <f>IF($A30&lt;&gt;"",'Approved-Enforcement'!N30,"")</f>
        <v/>
      </c>
      <c r="P30" s="16" t="str">
        <f>IF($A30&lt;&gt;"",'Approved-Enforcement'!O30,"")</f>
        <v/>
      </c>
    </row>
    <row r="31" spans="1:16" x14ac:dyDescent="0.35">
      <c r="A31" s="4" t="str">
        <f>IF('Approved-Enforcement'!$A31&lt;&gt;"",'Approved-Enforcement'!A31,"")</f>
        <v/>
      </c>
      <c r="B31" t="str">
        <f t="shared" si="0"/>
        <v/>
      </c>
      <c r="D31" t="str">
        <f>IF($A31&lt;&gt;"",IF($R31&lt;&gt;"",$R31,'Approved-Enforcement'!$B31+7),"")</f>
        <v/>
      </c>
      <c r="E31" t="str">
        <f>IF($A31&lt;&gt;"",'Approved-Enforcement'!D31,"")</f>
        <v/>
      </c>
      <c r="F31" t="str">
        <f>IF($A31&lt;&gt;"",'Approved-Enforcement'!E31,"")</f>
        <v/>
      </c>
      <c r="G31" t="str">
        <f>IF($A31&lt;&gt;"",'Approved-Enforcement'!F31,"")</f>
        <v/>
      </c>
      <c r="H31" t="str">
        <f>IF($A31&lt;&gt;"",'Approved-Enforcement'!G31,"")</f>
        <v/>
      </c>
      <c r="I31" t="str">
        <f>IF($A31&lt;&gt;"",'Approved-Enforcement'!H31,"")</f>
        <v/>
      </c>
      <c r="J31" t="str">
        <f>IF($A31&lt;&gt;"",'Approved-Enforcement'!I31,"")</f>
        <v/>
      </c>
      <c r="K31" t="str">
        <f>IF($A31&lt;&gt;"",'Approved-Enforcement'!J31,"")</f>
        <v/>
      </c>
      <c r="L31" t="str">
        <f>IF($A31&lt;&gt;"",'Approved-Enforcement'!K31,"")</f>
        <v/>
      </c>
      <c r="M31" t="str">
        <f>IF($A31&lt;&gt;"",'Approved-Enforcement'!L31,"")</f>
        <v/>
      </c>
      <c r="N31" s="16" t="str">
        <f>IF($A31&lt;&gt;"",'Approved-Enforcement'!M31,"")</f>
        <v/>
      </c>
      <c r="O31" s="16" t="str">
        <f>IF($A31&lt;&gt;"",'Approved-Enforcement'!N31,"")</f>
        <v/>
      </c>
      <c r="P31" s="16" t="str">
        <f>IF($A31&lt;&gt;"",'Approved-Enforcement'!O31,"")</f>
        <v/>
      </c>
    </row>
    <row r="32" spans="1:16" x14ac:dyDescent="0.35">
      <c r="A32" s="4" t="str">
        <f>IF('Approved-Enforcement'!$A32&lt;&gt;"",'Approved-Enforcement'!A32,"")</f>
        <v/>
      </c>
      <c r="B32" t="str">
        <f t="shared" si="0"/>
        <v/>
      </c>
      <c r="D32" t="str">
        <f>IF($A32&lt;&gt;"",IF($R32&lt;&gt;"",$R32,'Approved-Enforcement'!$B32+7),"")</f>
        <v/>
      </c>
      <c r="E32" t="str">
        <f>IF($A32&lt;&gt;"",'Approved-Enforcement'!D32,"")</f>
        <v/>
      </c>
      <c r="F32" t="str">
        <f>IF($A32&lt;&gt;"",'Approved-Enforcement'!E32,"")</f>
        <v/>
      </c>
      <c r="G32" t="str">
        <f>IF($A32&lt;&gt;"",'Approved-Enforcement'!F32,"")</f>
        <v/>
      </c>
      <c r="H32" t="str">
        <f>IF($A32&lt;&gt;"",'Approved-Enforcement'!G32,"")</f>
        <v/>
      </c>
      <c r="I32" t="str">
        <f>IF($A32&lt;&gt;"",'Approved-Enforcement'!H32,"")</f>
        <v/>
      </c>
      <c r="J32" t="str">
        <f>IF($A32&lt;&gt;"",'Approved-Enforcement'!I32,"")</f>
        <v/>
      </c>
      <c r="K32" t="str">
        <f>IF($A32&lt;&gt;"",'Approved-Enforcement'!J32,"")</f>
        <v/>
      </c>
      <c r="L32" t="str">
        <f>IF($A32&lt;&gt;"",'Approved-Enforcement'!K32,"")</f>
        <v/>
      </c>
      <c r="M32" t="str">
        <f>IF($A32&lt;&gt;"",'Approved-Enforcement'!L32,"")</f>
        <v/>
      </c>
      <c r="N32" s="16" t="str">
        <f>IF($A32&lt;&gt;"",'Approved-Enforcement'!M32,"")</f>
        <v/>
      </c>
      <c r="O32" s="16" t="str">
        <f>IF($A32&lt;&gt;"",'Approved-Enforcement'!N32,"")</f>
        <v/>
      </c>
      <c r="P32" s="16" t="str">
        <f>IF($A32&lt;&gt;"",'Approved-Enforcement'!O32,"")</f>
        <v/>
      </c>
    </row>
    <row r="33" spans="1:16" x14ac:dyDescent="0.35">
      <c r="A33" s="4" t="str">
        <f>IF('Approved-Enforcement'!$A33&lt;&gt;"",'Approved-Enforcement'!A33,"")</f>
        <v/>
      </c>
      <c r="B33" t="str">
        <f t="shared" si="0"/>
        <v/>
      </c>
      <c r="D33" t="str">
        <f>IF($A33&lt;&gt;"",IF($R33&lt;&gt;"",$R33,'Approved-Enforcement'!$B33+7),"")</f>
        <v/>
      </c>
      <c r="E33" t="str">
        <f>IF($A33&lt;&gt;"",'Approved-Enforcement'!D33,"")</f>
        <v/>
      </c>
      <c r="F33" t="str">
        <f>IF($A33&lt;&gt;"",'Approved-Enforcement'!E33,"")</f>
        <v/>
      </c>
      <c r="G33" t="str">
        <f>IF($A33&lt;&gt;"",'Approved-Enforcement'!F33,"")</f>
        <v/>
      </c>
      <c r="H33" t="str">
        <f>IF($A33&lt;&gt;"",'Approved-Enforcement'!G33,"")</f>
        <v/>
      </c>
      <c r="I33" t="str">
        <f>IF($A33&lt;&gt;"",'Approved-Enforcement'!H33,"")</f>
        <v/>
      </c>
      <c r="J33" t="str">
        <f>IF($A33&lt;&gt;"",'Approved-Enforcement'!I33,"")</f>
        <v/>
      </c>
      <c r="K33" t="str">
        <f>IF($A33&lt;&gt;"",'Approved-Enforcement'!J33,"")</f>
        <v/>
      </c>
      <c r="L33" t="str">
        <f>IF($A33&lt;&gt;"",'Approved-Enforcement'!K33,"")</f>
        <v/>
      </c>
      <c r="M33" t="str">
        <f>IF($A33&lt;&gt;"",'Approved-Enforcement'!L33,"")</f>
        <v/>
      </c>
      <c r="N33" s="16" t="str">
        <f>IF($A33&lt;&gt;"",'Approved-Enforcement'!M33,"")</f>
        <v/>
      </c>
      <c r="O33" s="16" t="str">
        <f>IF($A33&lt;&gt;"",'Approved-Enforcement'!N33,"")</f>
        <v/>
      </c>
      <c r="P33" s="16" t="str">
        <f>IF($A33&lt;&gt;"",'Approved-Enforcement'!O33,"")</f>
        <v/>
      </c>
    </row>
    <row r="34" spans="1:16" x14ac:dyDescent="0.35">
      <c r="A34" s="4" t="str">
        <f>IF('Approved-Enforcement'!$A34&lt;&gt;"",'Approved-Enforcement'!A34,"")</f>
        <v/>
      </c>
      <c r="B34" t="str">
        <f t="shared" si="0"/>
        <v/>
      </c>
      <c r="D34" t="str">
        <f>IF($A34&lt;&gt;"",IF($R34&lt;&gt;"",$R34,'Approved-Enforcement'!$B34+7),"")</f>
        <v/>
      </c>
      <c r="E34" t="str">
        <f>IF($A34&lt;&gt;"",'Approved-Enforcement'!D34,"")</f>
        <v/>
      </c>
      <c r="F34" t="str">
        <f>IF($A34&lt;&gt;"",'Approved-Enforcement'!E34,"")</f>
        <v/>
      </c>
      <c r="G34" t="str">
        <f>IF($A34&lt;&gt;"",'Approved-Enforcement'!F34,"")</f>
        <v/>
      </c>
      <c r="H34" t="str">
        <f>IF($A34&lt;&gt;"",'Approved-Enforcement'!G34,"")</f>
        <v/>
      </c>
      <c r="I34" t="str">
        <f>IF($A34&lt;&gt;"",'Approved-Enforcement'!H34,"")</f>
        <v/>
      </c>
      <c r="J34" t="str">
        <f>IF($A34&lt;&gt;"",'Approved-Enforcement'!I34,"")</f>
        <v/>
      </c>
      <c r="K34" t="str">
        <f>IF($A34&lt;&gt;"",'Approved-Enforcement'!J34,"")</f>
        <v/>
      </c>
      <c r="L34" t="str">
        <f>IF($A34&lt;&gt;"",'Approved-Enforcement'!K34,"")</f>
        <v/>
      </c>
      <c r="M34" t="str">
        <f>IF($A34&lt;&gt;"",'Approved-Enforcement'!L34,"")</f>
        <v/>
      </c>
      <c r="N34" s="16" t="str">
        <f>IF($A34&lt;&gt;"",'Approved-Enforcement'!M34,"")</f>
        <v/>
      </c>
      <c r="O34" s="16" t="str">
        <f>IF($A34&lt;&gt;"",'Approved-Enforcement'!N34,"")</f>
        <v/>
      </c>
      <c r="P34" s="16" t="str">
        <f>IF($A34&lt;&gt;"",'Approved-Enforcement'!O34,"")</f>
        <v/>
      </c>
    </row>
    <row r="35" spans="1:16" x14ac:dyDescent="0.35">
      <c r="A35" s="4" t="str">
        <f>IF('Approved-Enforcement'!$A35&lt;&gt;"",'Approved-Enforcement'!A35,"")</f>
        <v/>
      </c>
      <c r="B35" t="str">
        <f t="shared" si="0"/>
        <v/>
      </c>
      <c r="D35" t="str">
        <f>IF($A35&lt;&gt;"",IF($R35&lt;&gt;"",$R35,'Approved-Enforcement'!$B35+7),"")</f>
        <v/>
      </c>
      <c r="E35" t="str">
        <f>IF($A35&lt;&gt;"",'Approved-Enforcement'!D35,"")</f>
        <v/>
      </c>
      <c r="F35" t="str">
        <f>IF($A35&lt;&gt;"",'Approved-Enforcement'!E35,"")</f>
        <v/>
      </c>
      <c r="G35" t="str">
        <f>IF($A35&lt;&gt;"",'Approved-Enforcement'!F35,"")</f>
        <v/>
      </c>
      <c r="H35" t="str">
        <f>IF($A35&lt;&gt;"",'Approved-Enforcement'!G35,"")</f>
        <v/>
      </c>
      <c r="I35" t="str">
        <f>IF($A35&lt;&gt;"",'Approved-Enforcement'!H35,"")</f>
        <v/>
      </c>
      <c r="J35" t="str">
        <f>IF($A35&lt;&gt;"",'Approved-Enforcement'!I35,"")</f>
        <v/>
      </c>
      <c r="K35" t="str">
        <f>IF($A35&lt;&gt;"",'Approved-Enforcement'!J35,"")</f>
        <v/>
      </c>
      <c r="L35" t="str">
        <f>IF($A35&lt;&gt;"",'Approved-Enforcement'!K35,"")</f>
        <v/>
      </c>
      <c r="M35" t="str">
        <f>IF($A35&lt;&gt;"",'Approved-Enforcement'!L35,"")</f>
        <v/>
      </c>
      <c r="N35" s="16" t="str">
        <f>IF($A35&lt;&gt;"",'Approved-Enforcement'!M35,"")</f>
        <v/>
      </c>
      <c r="O35" s="16" t="str">
        <f>IF($A35&lt;&gt;"",'Approved-Enforcement'!N35,"")</f>
        <v/>
      </c>
      <c r="P35" s="16" t="str">
        <f>IF($A35&lt;&gt;"",'Approved-Enforcement'!O35,"")</f>
        <v/>
      </c>
    </row>
    <row r="36" spans="1:16" x14ac:dyDescent="0.35">
      <c r="A36" s="4" t="str">
        <f>IF('Approved-Enforcement'!$A36&lt;&gt;"",'Approved-Enforcement'!A36,"")</f>
        <v/>
      </c>
      <c r="B36" t="str">
        <f t="shared" si="0"/>
        <v/>
      </c>
      <c r="D36" t="str">
        <f>IF($A36&lt;&gt;"",IF($R36&lt;&gt;"",$R36,'Approved-Enforcement'!$B36+7),"")</f>
        <v/>
      </c>
      <c r="E36" t="str">
        <f>IF($A36&lt;&gt;"",'Approved-Enforcement'!D36,"")</f>
        <v/>
      </c>
      <c r="F36" t="str">
        <f>IF($A36&lt;&gt;"",'Approved-Enforcement'!E36,"")</f>
        <v/>
      </c>
      <c r="G36" t="str">
        <f>IF($A36&lt;&gt;"",'Approved-Enforcement'!F36,"")</f>
        <v/>
      </c>
      <c r="H36" t="str">
        <f>IF($A36&lt;&gt;"",'Approved-Enforcement'!G36,"")</f>
        <v/>
      </c>
      <c r="I36" t="str">
        <f>IF($A36&lt;&gt;"",'Approved-Enforcement'!H36,"")</f>
        <v/>
      </c>
      <c r="J36" t="str">
        <f>IF($A36&lt;&gt;"",'Approved-Enforcement'!I36,"")</f>
        <v/>
      </c>
      <c r="K36" t="str">
        <f>IF($A36&lt;&gt;"",'Approved-Enforcement'!J36,"")</f>
        <v/>
      </c>
      <c r="L36" t="str">
        <f>IF($A36&lt;&gt;"",'Approved-Enforcement'!K36,"")</f>
        <v/>
      </c>
      <c r="M36" t="str">
        <f>IF($A36&lt;&gt;"",'Approved-Enforcement'!L36,"")</f>
        <v/>
      </c>
      <c r="N36" t="str">
        <f>IF($A36&lt;&gt;"",'Approved-Enforcement'!M36,"")</f>
        <v/>
      </c>
      <c r="O36" t="str">
        <f>IF($A36&lt;&gt;"",'Approved-Enforcement'!N36,"")</f>
        <v/>
      </c>
      <c r="P36" t="str">
        <f>IF($A36&lt;&gt;"",'Approved-Enforcement'!O36,"")</f>
        <v/>
      </c>
    </row>
    <row r="37" spans="1:16" x14ac:dyDescent="0.35">
      <c r="A37" s="4" t="str">
        <f>IF('Approved-Enforcement'!$A37&lt;&gt;"",'Approved-Enforcement'!A37,"")</f>
        <v/>
      </c>
      <c r="B37" t="str">
        <f t="shared" si="0"/>
        <v/>
      </c>
      <c r="D37" t="str">
        <f>IF($A37&lt;&gt;"",IF($R37&lt;&gt;"",$R37,'Approved-Enforcement'!$B37+7),"")</f>
        <v/>
      </c>
      <c r="E37" t="str">
        <f>IF($A37&lt;&gt;"",'Approved-Enforcement'!D37,"")</f>
        <v/>
      </c>
      <c r="F37" t="str">
        <f>IF($A37&lt;&gt;"",'Approved-Enforcement'!E37,"")</f>
        <v/>
      </c>
      <c r="G37" t="str">
        <f>IF($A37&lt;&gt;"",'Approved-Enforcement'!F37,"")</f>
        <v/>
      </c>
      <c r="H37" t="str">
        <f>IF($A37&lt;&gt;"",'Approved-Enforcement'!G37,"")</f>
        <v/>
      </c>
      <c r="I37" t="str">
        <f>IF($A37&lt;&gt;"",'Approved-Enforcement'!H37,"")</f>
        <v/>
      </c>
      <c r="J37" t="str">
        <f>IF($A37&lt;&gt;"",'Approved-Enforcement'!I37,"")</f>
        <v/>
      </c>
      <c r="K37" t="str">
        <f>IF($A37&lt;&gt;"",'Approved-Enforcement'!J37,"")</f>
        <v/>
      </c>
      <c r="L37" t="str">
        <f>IF($A37&lt;&gt;"",'Approved-Enforcement'!K37,"")</f>
        <v/>
      </c>
      <c r="M37" t="str">
        <f>IF($A37&lt;&gt;"",'Approved-Enforcement'!L37,"")</f>
        <v/>
      </c>
      <c r="N37" t="str">
        <f>IF($A37&lt;&gt;"",'Approved-Enforcement'!M37,"")</f>
        <v/>
      </c>
      <c r="O37" t="str">
        <f>IF($A37&lt;&gt;"",'Approved-Enforcement'!N37,"")</f>
        <v/>
      </c>
      <c r="P37" t="str">
        <f>IF($A37&lt;&gt;"",'Approved-Enforcement'!O37,"")</f>
        <v/>
      </c>
    </row>
    <row r="38" spans="1:16" x14ac:dyDescent="0.35">
      <c r="A38" s="4" t="str">
        <f>IF('Approved-Enforcement'!$A38&lt;&gt;"",'Approved-Enforcement'!A38,"")</f>
        <v/>
      </c>
      <c r="B38" t="str">
        <f t="shared" si="0"/>
        <v/>
      </c>
      <c r="D38" t="str">
        <f>IF($A38&lt;&gt;"",IF($R38&lt;&gt;"",$R38,'Approved-Enforcement'!$B38+7),"")</f>
        <v/>
      </c>
      <c r="E38" t="str">
        <f>IF($A38&lt;&gt;"",'Approved-Enforcement'!D38,"")</f>
        <v/>
      </c>
      <c r="F38" t="str">
        <f>IF($A38&lt;&gt;"",'Approved-Enforcement'!E38,"")</f>
        <v/>
      </c>
      <c r="G38" t="str">
        <f>IF($A38&lt;&gt;"",'Approved-Enforcement'!F38,"")</f>
        <v/>
      </c>
      <c r="H38" t="str">
        <f>IF($A38&lt;&gt;"",'Approved-Enforcement'!G38,"")</f>
        <v/>
      </c>
      <c r="I38" t="str">
        <f>IF($A38&lt;&gt;"",'Approved-Enforcement'!H38,"")</f>
        <v/>
      </c>
      <c r="J38" t="str">
        <f>IF($A38&lt;&gt;"",'Approved-Enforcement'!I38,"")</f>
        <v/>
      </c>
      <c r="K38" t="str">
        <f>IF($A38&lt;&gt;"",'Approved-Enforcement'!J38,"")</f>
        <v/>
      </c>
      <c r="L38" t="str">
        <f>IF($A38&lt;&gt;"",'Approved-Enforcement'!K38,"")</f>
        <v/>
      </c>
      <c r="M38" t="str">
        <f>IF($A38&lt;&gt;"",'Approved-Enforcement'!L38,"")</f>
        <v/>
      </c>
      <c r="N38" t="str">
        <f>IF($A38&lt;&gt;"",'Approved-Enforcement'!M38,"")</f>
        <v/>
      </c>
      <c r="O38" t="str">
        <f>IF($A38&lt;&gt;"",'Approved-Enforcement'!N38,"")</f>
        <v/>
      </c>
      <c r="P38" t="str">
        <f>IF($A38&lt;&gt;"",'Approved-Enforcement'!O38,"")</f>
        <v/>
      </c>
    </row>
    <row r="39" spans="1:16" x14ac:dyDescent="0.35">
      <c r="A39" s="4" t="str">
        <f>IF('Approved-Enforcement'!$A39&lt;&gt;"",'Approved-Enforcement'!A39,"")</f>
        <v/>
      </c>
      <c r="B39" t="str">
        <f t="shared" si="0"/>
        <v/>
      </c>
      <c r="D39" t="str">
        <f>IF($A39&lt;&gt;"",IF($R39&lt;&gt;"",$R39,'Approved-Enforcement'!$B39+7),"")</f>
        <v/>
      </c>
      <c r="E39" t="str">
        <f>IF($A39&lt;&gt;"",'Approved-Enforcement'!D39,"")</f>
        <v/>
      </c>
      <c r="F39" t="str">
        <f>IF($A39&lt;&gt;"",'Approved-Enforcement'!E39,"")</f>
        <v/>
      </c>
      <c r="G39" t="str">
        <f>IF($A39&lt;&gt;"",'Approved-Enforcement'!F39,"")</f>
        <v/>
      </c>
      <c r="H39" t="str">
        <f>IF($A39&lt;&gt;"",'Approved-Enforcement'!G39,"")</f>
        <v/>
      </c>
      <c r="I39" t="str">
        <f>IF($A39&lt;&gt;"",'Approved-Enforcement'!H39,"")</f>
        <v/>
      </c>
      <c r="J39" t="str">
        <f>IF($A39&lt;&gt;"",'Approved-Enforcement'!I39,"")</f>
        <v/>
      </c>
      <c r="K39" t="str">
        <f>IF($A39&lt;&gt;"",'Approved-Enforcement'!J39,"")</f>
        <v/>
      </c>
      <c r="L39" t="str">
        <f>IF($A39&lt;&gt;"",'Approved-Enforcement'!K39,"")</f>
        <v/>
      </c>
      <c r="M39" t="str">
        <f>IF($A39&lt;&gt;"",'Approved-Enforcement'!L39,"")</f>
        <v/>
      </c>
      <c r="N39" t="str">
        <f>IF($A39&lt;&gt;"",'Approved-Enforcement'!M39,"")</f>
        <v/>
      </c>
      <c r="O39" t="str">
        <f>IF($A39&lt;&gt;"",'Approved-Enforcement'!N39,"")</f>
        <v/>
      </c>
      <c r="P39" t="str">
        <f>IF($A39&lt;&gt;"",'Approved-Enforcement'!O39,"")</f>
        <v/>
      </c>
    </row>
    <row r="40" spans="1:16" x14ac:dyDescent="0.35">
      <c r="A40" s="4" t="str">
        <f>IF('Approved-Enforcement'!$A40&lt;&gt;"",'Approved-Enforcement'!A40,"")</f>
        <v/>
      </c>
      <c r="B40" t="str">
        <f t="shared" si="0"/>
        <v/>
      </c>
      <c r="D40" t="str">
        <f>IF($A40&lt;&gt;"",IF($R40&lt;&gt;"",$R40,'Approved-Enforcement'!$B40+7),"")</f>
        <v/>
      </c>
      <c r="E40" t="str">
        <f>IF($A40&lt;&gt;"",'Approved-Enforcement'!D40,"")</f>
        <v/>
      </c>
      <c r="F40" t="str">
        <f>IF($A40&lt;&gt;"",'Approved-Enforcement'!E40,"")</f>
        <v/>
      </c>
      <c r="G40" t="str">
        <f>IF($A40&lt;&gt;"",'Approved-Enforcement'!F40,"")</f>
        <v/>
      </c>
      <c r="H40" t="str">
        <f>IF($A40&lt;&gt;"",'Approved-Enforcement'!G40,"")</f>
        <v/>
      </c>
      <c r="I40" t="str">
        <f>IF($A40&lt;&gt;"",'Approved-Enforcement'!H40,"")</f>
        <v/>
      </c>
      <c r="J40" t="str">
        <f>IF($A40&lt;&gt;"",'Approved-Enforcement'!I40,"")</f>
        <v/>
      </c>
      <c r="K40" t="str">
        <f>IF($A40&lt;&gt;"",'Approved-Enforcement'!J40,"")</f>
        <v/>
      </c>
      <c r="L40" t="str">
        <f>IF($A40&lt;&gt;"",'Approved-Enforcement'!K40,"")</f>
        <v/>
      </c>
      <c r="M40" t="str">
        <f>IF($A40&lt;&gt;"",'Approved-Enforcement'!L40,"")</f>
        <v/>
      </c>
      <c r="N40" t="str">
        <f>IF($A40&lt;&gt;"",'Approved-Enforcement'!M40,"")</f>
        <v/>
      </c>
      <c r="O40" t="str">
        <f>IF($A40&lt;&gt;"",'Approved-Enforcement'!N40,"")</f>
        <v/>
      </c>
      <c r="P40" t="str">
        <f>IF($A40&lt;&gt;"",'Approved-Enforcement'!O40,"")</f>
        <v/>
      </c>
    </row>
    <row r="41" spans="1:16" x14ac:dyDescent="0.35">
      <c r="A41" s="4" t="str">
        <f>IF('Approved-Enforcement'!$A41&lt;&gt;"",'Approved-Enforcement'!A41,"")</f>
        <v/>
      </c>
      <c r="B41" t="str">
        <f t="shared" si="0"/>
        <v/>
      </c>
      <c r="D41" t="str">
        <f>IF($A41&lt;&gt;"",IF($R41&lt;&gt;"",$R41,'Approved-Enforcement'!$B41+7),"")</f>
        <v/>
      </c>
      <c r="E41" t="str">
        <f>IF($A41&lt;&gt;"",'Approved-Enforcement'!D41,"")</f>
        <v/>
      </c>
      <c r="F41" t="str">
        <f>IF($A41&lt;&gt;"",'Approved-Enforcement'!E41,"")</f>
        <v/>
      </c>
      <c r="G41" t="str">
        <f>IF($A41&lt;&gt;"",'Approved-Enforcement'!F41,"")</f>
        <v/>
      </c>
      <c r="H41" t="str">
        <f>IF($A41&lt;&gt;"",'Approved-Enforcement'!G41,"")</f>
        <v/>
      </c>
      <c r="I41" t="str">
        <f>IF($A41&lt;&gt;"",'Approved-Enforcement'!H41,"")</f>
        <v/>
      </c>
      <c r="J41" t="str">
        <f>IF($A41&lt;&gt;"",'Approved-Enforcement'!I41,"")</f>
        <v/>
      </c>
      <c r="K41" t="str">
        <f>IF($A41&lt;&gt;"",'Approved-Enforcement'!J41,"")</f>
        <v/>
      </c>
      <c r="L41" t="str">
        <f>IF($A41&lt;&gt;"",'Approved-Enforcement'!K41,"")</f>
        <v/>
      </c>
      <c r="M41" t="str">
        <f>IF($A41&lt;&gt;"",'Approved-Enforcement'!L41,"")</f>
        <v/>
      </c>
      <c r="N41" t="str">
        <f>IF($A41&lt;&gt;"",'Approved-Enforcement'!M41,"")</f>
        <v/>
      </c>
      <c r="O41" t="str">
        <f>IF($A41&lt;&gt;"",'Approved-Enforcement'!N41,"")</f>
        <v/>
      </c>
      <c r="P41" t="str">
        <f>IF($A41&lt;&gt;"",'Approved-Enforcement'!O41,"")</f>
        <v/>
      </c>
    </row>
    <row r="42" spans="1:16" x14ac:dyDescent="0.35">
      <c r="A42" s="4" t="str">
        <f>IF('Approved-Enforcement'!$A42&lt;&gt;"",'Approved-Enforcement'!A42,"")</f>
        <v/>
      </c>
      <c r="B42" t="str">
        <f t="shared" si="0"/>
        <v/>
      </c>
      <c r="D42" t="str">
        <f>IF($A42&lt;&gt;"",IF($R42&lt;&gt;"",$R42,'Approved-Enforcement'!$B42+7),"")</f>
        <v/>
      </c>
      <c r="E42" t="str">
        <f>IF($A42&lt;&gt;"",'Approved-Enforcement'!D42,"")</f>
        <v/>
      </c>
      <c r="F42" t="str">
        <f>IF($A42&lt;&gt;"",'Approved-Enforcement'!E42,"")</f>
        <v/>
      </c>
      <c r="G42" t="str">
        <f>IF($A42&lt;&gt;"",'Approved-Enforcement'!F42,"")</f>
        <v/>
      </c>
      <c r="H42" t="str">
        <f>IF($A42&lt;&gt;"",'Approved-Enforcement'!G42,"")</f>
        <v/>
      </c>
      <c r="I42" t="str">
        <f>IF($A42&lt;&gt;"",'Approved-Enforcement'!H42,"")</f>
        <v/>
      </c>
      <c r="J42" t="str">
        <f>IF($A42&lt;&gt;"",'Approved-Enforcement'!I42,"")</f>
        <v/>
      </c>
      <c r="K42" t="str">
        <f>IF($A42&lt;&gt;"",'Approved-Enforcement'!J42,"")</f>
        <v/>
      </c>
      <c r="L42" t="str">
        <f>IF($A42&lt;&gt;"",'Approved-Enforcement'!K42,"")</f>
        <v/>
      </c>
      <c r="M42" t="str">
        <f>IF($A42&lt;&gt;"",'Approved-Enforcement'!L42,"")</f>
        <v/>
      </c>
      <c r="N42" t="str">
        <f>IF($A42&lt;&gt;"",'Approved-Enforcement'!M42,"")</f>
        <v/>
      </c>
      <c r="O42" t="str">
        <f>IF($A42&lt;&gt;"",'Approved-Enforcement'!N42,"")</f>
        <v/>
      </c>
      <c r="P42" t="str">
        <f>IF($A42&lt;&gt;"",'Approved-Enforcement'!O42,"")</f>
        <v/>
      </c>
    </row>
    <row r="43" spans="1:16" x14ac:dyDescent="0.35">
      <c r="A43" s="4" t="str">
        <f>IF('Approved-Enforcement'!$A43&lt;&gt;"",'Approved-Enforcement'!A43,"")</f>
        <v/>
      </c>
      <c r="B43" t="str">
        <f t="shared" si="0"/>
        <v/>
      </c>
      <c r="D43" t="str">
        <f>IF($A43&lt;&gt;"",IF($R43&lt;&gt;"",$R43,'Approved-Enforcement'!$B43+7),"")</f>
        <v/>
      </c>
      <c r="E43" t="str">
        <f>IF($A43&lt;&gt;"",'Approved-Enforcement'!D43,"")</f>
        <v/>
      </c>
      <c r="F43" t="str">
        <f>IF($A43&lt;&gt;"",'Approved-Enforcement'!E43,"")</f>
        <v/>
      </c>
      <c r="G43" t="str">
        <f>IF($A43&lt;&gt;"",'Approved-Enforcement'!F43,"")</f>
        <v/>
      </c>
      <c r="H43" t="str">
        <f>IF($A43&lt;&gt;"",'Approved-Enforcement'!G43,"")</f>
        <v/>
      </c>
      <c r="I43" t="str">
        <f>IF($A43&lt;&gt;"",'Approved-Enforcement'!H43,"")</f>
        <v/>
      </c>
      <c r="J43" t="str">
        <f>IF($A43&lt;&gt;"",'Approved-Enforcement'!I43,"")</f>
        <v/>
      </c>
      <c r="K43" t="str">
        <f>IF($A43&lt;&gt;"",'Approved-Enforcement'!J43,"")</f>
        <v/>
      </c>
      <c r="L43" t="str">
        <f>IF($A43&lt;&gt;"",'Approved-Enforcement'!K43,"")</f>
        <v/>
      </c>
      <c r="M43" t="str">
        <f>IF($A43&lt;&gt;"",'Approved-Enforcement'!L43,"")</f>
        <v/>
      </c>
      <c r="N43" t="str">
        <f>IF($A43&lt;&gt;"",'Approved-Enforcement'!M43,"")</f>
        <v/>
      </c>
      <c r="O43" t="str">
        <f>IF($A43&lt;&gt;"",'Approved-Enforcement'!N43,"")</f>
        <v/>
      </c>
      <c r="P43" t="str">
        <f>IF($A43&lt;&gt;"",'Approved-Enforcement'!O43,"")</f>
        <v/>
      </c>
    </row>
    <row r="44" spans="1:16" x14ac:dyDescent="0.35">
      <c r="A44" s="4" t="str">
        <f>IF('Approved-Enforcement'!$A44&lt;&gt;"",'Approved-Enforcement'!A44,"")</f>
        <v/>
      </c>
      <c r="B44" t="str">
        <f t="shared" si="0"/>
        <v/>
      </c>
      <c r="D44" t="str">
        <f>IF($A44&lt;&gt;"",IF($R44&lt;&gt;"",$R44,'Approved-Enforcement'!$B44+7),"")</f>
        <v/>
      </c>
      <c r="E44" t="str">
        <f>IF($A44&lt;&gt;"",'Approved-Enforcement'!D44,"")</f>
        <v/>
      </c>
      <c r="F44" t="str">
        <f>IF($A44&lt;&gt;"",'Approved-Enforcement'!E44,"")</f>
        <v/>
      </c>
      <c r="G44" t="str">
        <f>IF($A44&lt;&gt;"",'Approved-Enforcement'!F44,"")</f>
        <v/>
      </c>
      <c r="H44" t="str">
        <f>IF($A44&lt;&gt;"",'Approved-Enforcement'!G44,"")</f>
        <v/>
      </c>
      <c r="I44" t="str">
        <f>IF($A44&lt;&gt;"",'Approved-Enforcement'!H44,"")</f>
        <v/>
      </c>
      <c r="J44" t="str">
        <f>IF($A44&lt;&gt;"",'Approved-Enforcement'!I44,"")</f>
        <v/>
      </c>
      <c r="K44" t="str">
        <f>IF($A44&lt;&gt;"",'Approved-Enforcement'!J44,"")</f>
        <v/>
      </c>
      <c r="L44" t="str">
        <f>IF($A44&lt;&gt;"",'Approved-Enforcement'!K44,"")</f>
        <v/>
      </c>
      <c r="M44" t="str">
        <f>IF($A44&lt;&gt;"",'Approved-Enforcement'!L44,"")</f>
        <v/>
      </c>
      <c r="N44" t="str">
        <f>IF($A44&lt;&gt;"",'Approved-Enforcement'!M44,"")</f>
        <v/>
      </c>
      <c r="O44" t="str">
        <f>IF($A44&lt;&gt;"",'Approved-Enforcement'!N44,"")</f>
        <v/>
      </c>
      <c r="P44" t="str">
        <f>IF($A44&lt;&gt;"",'Approved-Enforcement'!O44,"")</f>
        <v/>
      </c>
    </row>
    <row r="45" spans="1:16" x14ac:dyDescent="0.35">
      <c r="A45" s="4" t="str">
        <f>IF('Approved-Enforcement'!$A45&lt;&gt;"",'Approved-Enforcement'!A45,"")</f>
        <v/>
      </c>
      <c r="B45" t="str">
        <f t="shared" si="0"/>
        <v/>
      </c>
      <c r="D45" t="str">
        <f>IF($A45&lt;&gt;"",IF($R45&lt;&gt;"",$R45,'Approved-Enforcement'!$B45+7),"")</f>
        <v/>
      </c>
      <c r="E45" t="str">
        <f>IF($A45&lt;&gt;"",'Approved-Enforcement'!D45,"")</f>
        <v/>
      </c>
      <c r="F45" t="str">
        <f>IF($A45&lt;&gt;"",'Approved-Enforcement'!E45,"")</f>
        <v/>
      </c>
      <c r="G45" t="str">
        <f>IF($A45&lt;&gt;"",'Approved-Enforcement'!F45,"")</f>
        <v/>
      </c>
      <c r="H45" t="str">
        <f>IF($A45&lt;&gt;"",'Approved-Enforcement'!G45,"")</f>
        <v/>
      </c>
      <c r="I45" t="str">
        <f>IF($A45&lt;&gt;"",'Approved-Enforcement'!H45,"")</f>
        <v/>
      </c>
      <c r="J45" t="str">
        <f>IF($A45&lt;&gt;"",'Approved-Enforcement'!I45,"")</f>
        <v/>
      </c>
      <c r="K45" t="str">
        <f>IF($A45&lt;&gt;"",'Approved-Enforcement'!J45,"")</f>
        <v/>
      </c>
      <c r="L45" t="str">
        <f>IF($A45&lt;&gt;"",'Approved-Enforcement'!K45,"")</f>
        <v/>
      </c>
      <c r="M45" t="str">
        <f>IF($A45&lt;&gt;"",'Approved-Enforcement'!L45,"")</f>
        <v/>
      </c>
      <c r="N45" t="str">
        <f>IF($A45&lt;&gt;"",'Approved-Enforcement'!M45,"")</f>
        <v/>
      </c>
      <c r="O45" t="str">
        <f>IF($A45&lt;&gt;"",'Approved-Enforcement'!N45,"")</f>
        <v/>
      </c>
      <c r="P45" t="str">
        <f>IF($A45&lt;&gt;"",'Approved-Enforcement'!O45,"")</f>
        <v/>
      </c>
    </row>
    <row r="46" spans="1:16" x14ac:dyDescent="0.35">
      <c r="A46" s="4" t="str">
        <f>IF('Approved-Enforcement'!$A46&lt;&gt;"",'Approved-Enforcement'!A46,"")</f>
        <v/>
      </c>
      <c r="B46" t="str">
        <f t="shared" si="0"/>
        <v/>
      </c>
      <c r="D46" t="str">
        <f>IF($A46&lt;&gt;"",IF($R46&lt;&gt;"",$R46,'Approved-Enforcement'!$B46+7),"")</f>
        <v/>
      </c>
      <c r="E46" t="str">
        <f>IF($A46&lt;&gt;"",'Approved-Enforcement'!D46,"")</f>
        <v/>
      </c>
      <c r="F46" t="str">
        <f>IF($A46&lt;&gt;"",'Approved-Enforcement'!E46,"")</f>
        <v/>
      </c>
      <c r="G46" t="str">
        <f>IF($A46&lt;&gt;"",'Approved-Enforcement'!F46,"")</f>
        <v/>
      </c>
      <c r="H46" t="str">
        <f>IF($A46&lt;&gt;"",'Approved-Enforcement'!G46,"")</f>
        <v/>
      </c>
      <c r="I46" t="str">
        <f>IF($A46&lt;&gt;"",'Approved-Enforcement'!H46,"")</f>
        <v/>
      </c>
      <c r="J46" t="str">
        <f>IF($A46&lt;&gt;"",'Approved-Enforcement'!I46,"")</f>
        <v/>
      </c>
      <c r="K46" t="str">
        <f>IF($A46&lt;&gt;"",'Approved-Enforcement'!J46,"")</f>
        <v/>
      </c>
      <c r="L46" t="str">
        <f>IF($A46&lt;&gt;"",'Approved-Enforcement'!K46,"")</f>
        <v/>
      </c>
      <c r="M46" t="str">
        <f>IF($A46&lt;&gt;"",'Approved-Enforcement'!L46,"")</f>
        <v/>
      </c>
      <c r="N46" t="str">
        <f>IF($A46&lt;&gt;"",'Approved-Enforcement'!M46,"")</f>
        <v/>
      </c>
      <c r="O46" t="str">
        <f>IF($A46&lt;&gt;"",'Approved-Enforcement'!N46,"")</f>
        <v/>
      </c>
      <c r="P46" t="str">
        <f>IF($A46&lt;&gt;"",'Approved-Enforcement'!O46,"")</f>
        <v/>
      </c>
    </row>
    <row r="47" spans="1:16" x14ac:dyDescent="0.35">
      <c r="A47" s="4" t="str">
        <f>IF('Approved-Enforcement'!$A47&lt;&gt;"",'Approved-Enforcement'!A47,"")</f>
        <v/>
      </c>
      <c r="B47" t="str">
        <f t="shared" si="0"/>
        <v/>
      </c>
      <c r="D47" t="str">
        <f>IF($A47&lt;&gt;"",IF($R47&lt;&gt;"",$R47,'Approved-Enforcement'!$B47+7),"")</f>
        <v/>
      </c>
      <c r="E47" t="str">
        <f>IF($A47&lt;&gt;"",'Approved-Enforcement'!D47,"")</f>
        <v/>
      </c>
      <c r="F47" t="str">
        <f>IF($A47&lt;&gt;"",'Approved-Enforcement'!E47,"")</f>
        <v/>
      </c>
      <c r="G47" t="str">
        <f>IF($A47&lt;&gt;"",'Approved-Enforcement'!F47,"")</f>
        <v/>
      </c>
      <c r="H47" t="str">
        <f>IF($A47&lt;&gt;"",'Approved-Enforcement'!G47,"")</f>
        <v/>
      </c>
      <c r="I47" t="str">
        <f>IF($A47&lt;&gt;"",'Approved-Enforcement'!H47,"")</f>
        <v/>
      </c>
      <c r="J47" t="str">
        <f>IF($A47&lt;&gt;"",'Approved-Enforcement'!I47,"")</f>
        <v/>
      </c>
      <c r="K47" t="str">
        <f>IF($A47&lt;&gt;"",'Approved-Enforcement'!J47,"")</f>
        <v/>
      </c>
      <c r="L47" t="str">
        <f>IF($A47&lt;&gt;"",'Approved-Enforcement'!K47,"")</f>
        <v/>
      </c>
      <c r="M47" t="str">
        <f>IF($A47&lt;&gt;"",'Approved-Enforcement'!L47,"")</f>
        <v/>
      </c>
      <c r="N47" t="str">
        <f>IF($A47&lt;&gt;"",'Approved-Enforcement'!M47,"")</f>
        <v/>
      </c>
      <c r="O47" t="str">
        <f>IF($A47&lt;&gt;"",'Approved-Enforcement'!N47,"")</f>
        <v/>
      </c>
      <c r="P47" t="str">
        <f>IF($A47&lt;&gt;"",'Approved-Enforcement'!O47,"")</f>
        <v/>
      </c>
    </row>
    <row r="48" spans="1:16" x14ac:dyDescent="0.35">
      <c r="A48" s="4" t="str">
        <f>IF('Approved-Enforcement'!$A48&lt;&gt;"",'Approved-Enforcement'!A48,"")</f>
        <v/>
      </c>
      <c r="B48" t="str">
        <f t="shared" si="0"/>
        <v/>
      </c>
      <c r="D48" t="str">
        <f>IF($A48&lt;&gt;"",IF($R48&lt;&gt;"",$R48,'Approved-Enforcement'!$B48+7),"")</f>
        <v/>
      </c>
      <c r="E48" t="str">
        <f>IF($A48&lt;&gt;"",'Approved-Enforcement'!D48,"")</f>
        <v/>
      </c>
      <c r="F48" t="str">
        <f>IF($A48&lt;&gt;"",'Approved-Enforcement'!E48,"")</f>
        <v/>
      </c>
      <c r="G48" t="str">
        <f>IF($A48&lt;&gt;"",'Approved-Enforcement'!F48,"")</f>
        <v/>
      </c>
      <c r="H48" t="str">
        <f>IF($A48&lt;&gt;"",'Approved-Enforcement'!G48,"")</f>
        <v/>
      </c>
      <c r="I48" t="str">
        <f>IF($A48&lt;&gt;"",'Approved-Enforcement'!H48,"")</f>
        <v/>
      </c>
      <c r="J48" t="str">
        <f>IF($A48&lt;&gt;"",'Approved-Enforcement'!I48,"")</f>
        <v/>
      </c>
      <c r="K48" t="str">
        <f>IF($A48&lt;&gt;"",'Approved-Enforcement'!J48,"")</f>
        <v/>
      </c>
      <c r="L48" t="str">
        <f>IF($A48&lt;&gt;"",'Approved-Enforcement'!K48,"")</f>
        <v/>
      </c>
      <c r="M48" t="str">
        <f>IF($A48&lt;&gt;"",'Approved-Enforcement'!L48,"")</f>
        <v/>
      </c>
      <c r="N48" t="str">
        <f>IF($A48&lt;&gt;"",'Approved-Enforcement'!M48,"")</f>
        <v/>
      </c>
      <c r="O48" t="str">
        <f>IF($A48&lt;&gt;"",'Approved-Enforcement'!N48,"")</f>
        <v/>
      </c>
      <c r="P48" t="str">
        <f>IF($A48&lt;&gt;"",'Approved-Enforcement'!O48,"")</f>
        <v/>
      </c>
    </row>
    <row r="49" spans="1:16" x14ac:dyDescent="0.35">
      <c r="A49" s="4" t="str">
        <f>IF('Approved-Enforcement'!$A49&lt;&gt;"",'Approved-Enforcement'!A49,"")</f>
        <v/>
      </c>
      <c r="B49" t="str">
        <f t="shared" si="0"/>
        <v/>
      </c>
      <c r="D49" t="str">
        <f>IF($A49&lt;&gt;"",IF($R49&lt;&gt;"",$R49,'Approved-Enforcement'!$B49+7),"")</f>
        <v/>
      </c>
      <c r="E49" t="str">
        <f>IF($A49&lt;&gt;"",'Approved-Enforcement'!D49,"")</f>
        <v/>
      </c>
      <c r="F49" t="str">
        <f>IF($A49&lt;&gt;"",'Approved-Enforcement'!E49,"")</f>
        <v/>
      </c>
      <c r="G49" t="str">
        <f>IF($A49&lt;&gt;"",'Approved-Enforcement'!F49,"")</f>
        <v/>
      </c>
      <c r="H49" t="str">
        <f>IF($A49&lt;&gt;"",'Approved-Enforcement'!G49,"")</f>
        <v/>
      </c>
      <c r="I49" t="str">
        <f>IF($A49&lt;&gt;"",'Approved-Enforcement'!H49,"")</f>
        <v/>
      </c>
      <c r="J49" t="str">
        <f>IF($A49&lt;&gt;"",'Approved-Enforcement'!I49,"")</f>
        <v/>
      </c>
      <c r="K49" t="str">
        <f>IF($A49&lt;&gt;"",'Approved-Enforcement'!J49,"")</f>
        <v/>
      </c>
      <c r="L49" t="str">
        <f>IF($A49&lt;&gt;"",'Approved-Enforcement'!K49,"")</f>
        <v/>
      </c>
      <c r="M49" t="str">
        <f>IF($A49&lt;&gt;"",'Approved-Enforcement'!L49,"")</f>
        <v/>
      </c>
      <c r="N49" t="str">
        <f>IF($A49&lt;&gt;"",'Approved-Enforcement'!M49,"")</f>
        <v/>
      </c>
      <c r="O49" t="str">
        <f>IF($A49&lt;&gt;"",'Approved-Enforcement'!N49,"")</f>
        <v/>
      </c>
      <c r="P49" t="str">
        <f>IF($A49&lt;&gt;"",'Approved-Enforcement'!O49,"")</f>
        <v/>
      </c>
    </row>
    <row r="50" spans="1:16" x14ac:dyDescent="0.35">
      <c r="A50" s="4" t="str">
        <f>IF('Approved-Enforcement'!$A50&lt;&gt;"",'Approved-Enforcement'!A50,"")</f>
        <v/>
      </c>
      <c r="B50" t="str">
        <f t="shared" si="0"/>
        <v/>
      </c>
      <c r="D50" t="str">
        <f>IF($A50&lt;&gt;"",IF($R50&lt;&gt;"",$R50,'Approved-Enforcement'!$B50+7),"")</f>
        <v/>
      </c>
      <c r="E50" t="str">
        <f>IF($A50&lt;&gt;"",'Approved-Enforcement'!D50,"")</f>
        <v/>
      </c>
      <c r="F50" t="str">
        <f>IF($A50&lt;&gt;"",'Approved-Enforcement'!E50,"")</f>
        <v/>
      </c>
      <c r="G50" t="str">
        <f>IF($A50&lt;&gt;"",'Approved-Enforcement'!F50,"")</f>
        <v/>
      </c>
      <c r="H50" t="str">
        <f>IF($A50&lt;&gt;"",'Approved-Enforcement'!G50,"")</f>
        <v/>
      </c>
      <c r="I50" t="str">
        <f>IF($A50&lt;&gt;"",'Approved-Enforcement'!H50,"")</f>
        <v/>
      </c>
      <c r="J50" t="str">
        <f>IF($A50&lt;&gt;"",'Approved-Enforcement'!I50,"")</f>
        <v/>
      </c>
      <c r="K50" t="str">
        <f>IF($A50&lt;&gt;"",'Approved-Enforcement'!J50,"")</f>
        <v/>
      </c>
      <c r="L50" t="str">
        <f>IF($A50&lt;&gt;"",'Approved-Enforcement'!K50,"")</f>
        <v/>
      </c>
      <c r="M50" t="str">
        <f>IF($A50&lt;&gt;"",'Approved-Enforcement'!L50,"")</f>
        <v/>
      </c>
      <c r="N50" t="str">
        <f>IF($A50&lt;&gt;"",'Approved-Enforcement'!M50,"")</f>
        <v/>
      </c>
      <c r="O50" t="str">
        <f>IF($A50&lt;&gt;"",'Approved-Enforcement'!N50,"")</f>
        <v/>
      </c>
      <c r="P50" t="str">
        <f>IF($A50&lt;&gt;"",'Approved-Enforcement'!O50,"")</f>
        <v/>
      </c>
    </row>
    <row r="51" spans="1:16" x14ac:dyDescent="0.35">
      <c r="A51" s="4" t="str">
        <f>IF('Approved-Enforcement'!$A51&lt;&gt;"",'Approved-Enforcement'!A51,"")</f>
        <v/>
      </c>
      <c r="B51" t="str">
        <f t="shared" si="0"/>
        <v/>
      </c>
      <c r="D51" t="str">
        <f>IF($A51&lt;&gt;"",IF($R51&lt;&gt;"",$R51,'Approved-Enforcement'!$B51+7),"")</f>
        <v/>
      </c>
      <c r="E51" t="str">
        <f>IF($A51&lt;&gt;"",'Approved-Enforcement'!D51,"")</f>
        <v/>
      </c>
      <c r="F51" t="str">
        <f>IF($A51&lt;&gt;"",'Approved-Enforcement'!E51,"")</f>
        <v/>
      </c>
      <c r="G51" t="str">
        <f>IF($A51&lt;&gt;"",'Approved-Enforcement'!F51,"")</f>
        <v/>
      </c>
      <c r="H51" t="str">
        <f>IF($A51&lt;&gt;"",'Approved-Enforcement'!G51,"")</f>
        <v/>
      </c>
      <c r="I51" t="str">
        <f>IF($A51&lt;&gt;"",'Approved-Enforcement'!H51,"")</f>
        <v/>
      </c>
      <c r="J51" t="str">
        <f>IF($A51&lt;&gt;"",'Approved-Enforcement'!I51,"")</f>
        <v/>
      </c>
      <c r="K51" t="str">
        <f>IF($A51&lt;&gt;"",'Approved-Enforcement'!J51,"")</f>
        <v/>
      </c>
      <c r="L51" t="str">
        <f>IF($A51&lt;&gt;"",'Approved-Enforcement'!K51,"")</f>
        <v/>
      </c>
      <c r="M51" t="str">
        <f>IF($A51&lt;&gt;"",'Approved-Enforcement'!L51,"")</f>
        <v/>
      </c>
      <c r="N51" t="str">
        <f>IF($A51&lt;&gt;"",'Approved-Enforcement'!M51,"")</f>
        <v/>
      </c>
      <c r="O51" t="str">
        <f>IF($A51&lt;&gt;"",'Approved-Enforcement'!N51,"")</f>
        <v/>
      </c>
      <c r="P51" t="str">
        <f>IF($A51&lt;&gt;"",'Approved-Enforcement'!O51,"")</f>
        <v/>
      </c>
    </row>
    <row r="52" spans="1:16" x14ac:dyDescent="0.35">
      <c r="A52" s="4" t="str">
        <f>IF('Approved-Enforcement'!$A52&lt;&gt;"",'Approved-Enforcement'!A52,"")</f>
        <v/>
      </c>
      <c r="B52" t="str">
        <f t="shared" si="0"/>
        <v/>
      </c>
      <c r="D52" t="str">
        <f>IF($A52&lt;&gt;"",IF($R52&lt;&gt;"",$R52,'Approved-Enforcement'!$B52+7),"")</f>
        <v/>
      </c>
      <c r="E52" t="str">
        <f>IF($A52&lt;&gt;"",'Approved-Enforcement'!D52,"")</f>
        <v/>
      </c>
      <c r="F52" t="str">
        <f>IF($A52&lt;&gt;"",'Approved-Enforcement'!E52,"")</f>
        <v/>
      </c>
      <c r="G52" t="str">
        <f>IF($A52&lt;&gt;"",'Approved-Enforcement'!F52,"")</f>
        <v/>
      </c>
      <c r="H52" t="str">
        <f>IF($A52&lt;&gt;"",'Approved-Enforcement'!G52,"")</f>
        <v/>
      </c>
      <c r="I52" t="str">
        <f>IF($A52&lt;&gt;"",'Approved-Enforcement'!H52,"")</f>
        <v/>
      </c>
      <c r="J52" t="str">
        <f>IF($A52&lt;&gt;"",'Approved-Enforcement'!I52,"")</f>
        <v/>
      </c>
      <c r="K52" t="str">
        <f>IF($A52&lt;&gt;"",'Approved-Enforcement'!J52,"")</f>
        <v/>
      </c>
      <c r="L52" t="str">
        <f>IF($A52&lt;&gt;"",'Approved-Enforcement'!K52,"")</f>
        <v/>
      </c>
      <c r="M52" t="str">
        <f>IF($A52&lt;&gt;"",'Approved-Enforcement'!L52,"")</f>
        <v/>
      </c>
      <c r="N52" t="str">
        <f>IF($A52&lt;&gt;"",'Approved-Enforcement'!M52,"")</f>
        <v/>
      </c>
      <c r="O52" t="str">
        <f>IF($A52&lt;&gt;"",'Approved-Enforcement'!N52,"")</f>
        <v/>
      </c>
      <c r="P52" t="str">
        <f>IF($A52&lt;&gt;"",'Approved-Enforcement'!O52,"")</f>
        <v/>
      </c>
    </row>
    <row r="53" spans="1:16" x14ac:dyDescent="0.35">
      <c r="A53" s="4" t="str">
        <f>IF('Approved-Enforcement'!$A53&lt;&gt;"",'Approved-Enforcement'!A53,"")</f>
        <v/>
      </c>
      <c r="B53" t="str">
        <f t="shared" si="0"/>
        <v/>
      </c>
      <c r="D53" t="str">
        <f>IF($A53&lt;&gt;"",IF($R53&lt;&gt;"",$R53,'Approved-Enforcement'!$B53+7),"")</f>
        <v/>
      </c>
      <c r="E53" t="str">
        <f>IF($A53&lt;&gt;"",'Approved-Enforcement'!D53,"")</f>
        <v/>
      </c>
      <c r="F53" t="str">
        <f>IF($A53&lt;&gt;"",'Approved-Enforcement'!E53,"")</f>
        <v/>
      </c>
      <c r="G53" t="str">
        <f>IF($A53&lt;&gt;"",'Approved-Enforcement'!F53,"")</f>
        <v/>
      </c>
      <c r="H53" t="str">
        <f>IF($A53&lt;&gt;"",'Approved-Enforcement'!G53,"")</f>
        <v/>
      </c>
      <c r="I53" t="str">
        <f>IF($A53&lt;&gt;"",'Approved-Enforcement'!H53,"")</f>
        <v/>
      </c>
      <c r="J53" t="str">
        <f>IF($A53&lt;&gt;"",'Approved-Enforcement'!I53,"")</f>
        <v/>
      </c>
      <c r="K53" t="str">
        <f>IF($A53&lt;&gt;"",'Approved-Enforcement'!J53,"")</f>
        <v/>
      </c>
      <c r="L53" t="str">
        <f>IF($A53&lt;&gt;"",'Approved-Enforcement'!K53,"")</f>
        <v/>
      </c>
      <c r="M53" t="str">
        <f>IF($A53&lt;&gt;"",'Approved-Enforcement'!L53,"")</f>
        <v/>
      </c>
      <c r="N53" t="str">
        <f>IF($A53&lt;&gt;"",'Approved-Enforcement'!M53,"")</f>
        <v/>
      </c>
      <c r="O53" t="str">
        <f>IF($A53&lt;&gt;"",'Approved-Enforcement'!N53,"")</f>
        <v/>
      </c>
      <c r="P53" t="str">
        <f>IF($A53&lt;&gt;"",'Approved-Enforcement'!O53,"")</f>
        <v/>
      </c>
    </row>
    <row r="54" spans="1:16" x14ac:dyDescent="0.35">
      <c r="A54" s="4" t="str">
        <f>IF('Approved-Enforcement'!$A54&lt;&gt;"",'Approved-Enforcement'!A54,"")</f>
        <v/>
      </c>
      <c r="B54" t="str">
        <f t="shared" si="0"/>
        <v/>
      </c>
      <c r="D54" t="str">
        <f>IF($A54&lt;&gt;"",IF($R54&lt;&gt;"",$R54,'Approved-Enforcement'!$B54+7),"")</f>
        <v/>
      </c>
      <c r="E54" t="str">
        <f>IF($A54&lt;&gt;"",'Approved-Enforcement'!D54,"")</f>
        <v/>
      </c>
      <c r="F54" t="str">
        <f>IF($A54&lt;&gt;"",'Approved-Enforcement'!E54,"")</f>
        <v/>
      </c>
      <c r="G54" t="str">
        <f>IF($A54&lt;&gt;"",'Approved-Enforcement'!F54,"")</f>
        <v/>
      </c>
      <c r="H54" t="str">
        <f>IF($A54&lt;&gt;"",'Approved-Enforcement'!G54,"")</f>
        <v/>
      </c>
      <c r="I54" t="str">
        <f>IF($A54&lt;&gt;"",'Approved-Enforcement'!H54,"")</f>
        <v/>
      </c>
      <c r="J54" t="str">
        <f>IF($A54&lt;&gt;"",'Approved-Enforcement'!I54,"")</f>
        <v/>
      </c>
      <c r="K54" t="str">
        <f>IF($A54&lt;&gt;"",'Approved-Enforcement'!J54,"")</f>
        <v/>
      </c>
      <c r="L54" t="str">
        <f>IF($A54&lt;&gt;"",'Approved-Enforcement'!K54,"")</f>
        <v/>
      </c>
      <c r="M54" t="str">
        <f>IF($A54&lt;&gt;"",'Approved-Enforcement'!L54,"")</f>
        <v/>
      </c>
      <c r="N54" t="str">
        <f>IF($A54&lt;&gt;"",'Approved-Enforcement'!M54,"")</f>
        <v/>
      </c>
      <c r="O54" t="str">
        <f>IF($A54&lt;&gt;"",'Approved-Enforcement'!N54,"")</f>
        <v/>
      </c>
      <c r="P54" t="str">
        <f>IF($A54&lt;&gt;"",'Approved-Enforcement'!O54,"")</f>
        <v/>
      </c>
    </row>
    <row r="55" spans="1:16" x14ac:dyDescent="0.35">
      <c r="A55" s="4" t="str">
        <f>IF('Approved-Enforcement'!$A55&lt;&gt;"",'Approved-Enforcement'!A55,"")</f>
        <v/>
      </c>
      <c r="B55" t="str">
        <f t="shared" si="0"/>
        <v/>
      </c>
      <c r="D55" t="str">
        <f>IF($A55&lt;&gt;"",IF($R55&lt;&gt;"",$R55,'Approved-Enforcement'!$B55+7),"")</f>
        <v/>
      </c>
      <c r="E55" t="str">
        <f>IF($A55&lt;&gt;"",'Approved-Enforcement'!D55,"")</f>
        <v/>
      </c>
      <c r="F55" t="str">
        <f>IF($A55&lt;&gt;"",'Approved-Enforcement'!E55,"")</f>
        <v/>
      </c>
      <c r="G55" t="str">
        <f>IF($A55&lt;&gt;"",'Approved-Enforcement'!F55,"")</f>
        <v/>
      </c>
      <c r="H55" t="str">
        <f>IF($A55&lt;&gt;"",'Approved-Enforcement'!G55,"")</f>
        <v/>
      </c>
      <c r="I55" t="str">
        <f>IF($A55&lt;&gt;"",'Approved-Enforcement'!H55,"")</f>
        <v/>
      </c>
      <c r="J55" t="str">
        <f>IF($A55&lt;&gt;"",'Approved-Enforcement'!I55,"")</f>
        <v/>
      </c>
      <c r="K55" t="str">
        <f>IF($A55&lt;&gt;"",'Approved-Enforcement'!J55,"")</f>
        <v/>
      </c>
      <c r="L55" t="str">
        <f>IF($A55&lt;&gt;"",'Approved-Enforcement'!K55,"")</f>
        <v/>
      </c>
      <c r="M55" t="str">
        <f>IF($A55&lt;&gt;"",'Approved-Enforcement'!L55,"")</f>
        <v/>
      </c>
      <c r="N55" t="str">
        <f>IF($A55&lt;&gt;"",'Approved-Enforcement'!M55,"")</f>
        <v/>
      </c>
      <c r="O55" t="str">
        <f>IF($A55&lt;&gt;"",'Approved-Enforcement'!N55,"")</f>
        <v/>
      </c>
      <c r="P55" t="str">
        <f>IF($A55&lt;&gt;"",'Approved-Enforcement'!O55,"")</f>
        <v/>
      </c>
    </row>
    <row r="56" spans="1:16" x14ac:dyDescent="0.35">
      <c r="A56" s="4" t="str">
        <f>IF('Approved-Enforcement'!$A56&lt;&gt;"",'Approved-Enforcement'!A56,"")</f>
        <v/>
      </c>
      <c r="B56" t="str">
        <f t="shared" si="0"/>
        <v/>
      </c>
      <c r="D56" t="str">
        <f>IF($A56&lt;&gt;"",IF($R56&lt;&gt;"",$R56,'Approved-Enforcement'!$B56+7),"")</f>
        <v/>
      </c>
      <c r="E56" t="str">
        <f>IF($A56&lt;&gt;"",'Approved-Enforcement'!D56,"")</f>
        <v/>
      </c>
      <c r="F56" t="str">
        <f>IF($A56&lt;&gt;"",'Approved-Enforcement'!E56,"")</f>
        <v/>
      </c>
      <c r="G56" t="str">
        <f>IF($A56&lt;&gt;"",'Approved-Enforcement'!F56,"")</f>
        <v/>
      </c>
      <c r="H56" t="str">
        <f>IF($A56&lt;&gt;"",'Approved-Enforcement'!G56,"")</f>
        <v/>
      </c>
      <c r="I56" t="str">
        <f>IF($A56&lt;&gt;"",'Approved-Enforcement'!H56,"")</f>
        <v/>
      </c>
      <c r="J56" t="str">
        <f>IF($A56&lt;&gt;"",'Approved-Enforcement'!I56,"")</f>
        <v/>
      </c>
      <c r="K56" t="str">
        <f>IF($A56&lt;&gt;"",'Approved-Enforcement'!J56,"")</f>
        <v/>
      </c>
      <c r="L56" t="str">
        <f>IF($A56&lt;&gt;"",'Approved-Enforcement'!K56,"")</f>
        <v/>
      </c>
      <c r="M56" t="str">
        <f>IF($A56&lt;&gt;"",'Approved-Enforcement'!L56,"")</f>
        <v/>
      </c>
      <c r="N56" t="str">
        <f>IF($A56&lt;&gt;"",'Approved-Enforcement'!M56,"")</f>
        <v/>
      </c>
      <c r="O56" t="str">
        <f>IF($A56&lt;&gt;"",'Approved-Enforcement'!N56,"")</f>
        <v/>
      </c>
      <c r="P56" t="str">
        <f>IF($A56&lt;&gt;"",'Approved-Enforcement'!O56,"")</f>
        <v/>
      </c>
    </row>
    <row r="57" spans="1:16" x14ac:dyDescent="0.35">
      <c r="A57" s="4" t="str">
        <f>IF('Approved-Enforcement'!$A57&lt;&gt;"",'Approved-Enforcement'!A57,"")</f>
        <v/>
      </c>
      <c r="B57" t="str">
        <f t="shared" si="0"/>
        <v/>
      </c>
      <c r="D57" t="str">
        <f>IF($A57&lt;&gt;"",IF($R57&lt;&gt;"",$R57,'Approved-Enforcement'!$B57+7),"")</f>
        <v/>
      </c>
      <c r="E57" t="str">
        <f>IF($A57&lt;&gt;"",'Approved-Enforcement'!D57,"")</f>
        <v/>
      </c>
      <c r="F57" t="str">
        <f>IF($A57&lt;&gt;"",'Approved-Enforcement'!E57,"")</f>
        <v/>
      </c>
      <c r="G57" t="str">
        <f>IF($A57&lt;&gt;"",'Approved-Enforcement'!F57,"")</f>
        <v/>
      </c>
      <c r="H57" t="str">
        <f>IF($A57&lt;&gt;"",'Approved-Enforcement'!G57,"")</f>
        <v/>
      </c>
      <c r="I57" t="str">
        <f>IF($A57&lt;&gt;"",'Approved-Enforcement'!H57,"")</f>
        <v/>
      </c>
      <c r="J57" t="str">
        <f>IF($A57&lt;&gt;"",'Approved-Enforcement'!I57,"")</f>
        <v/>
      </c>
      <c r="K57" t="str">
        <f>IF($A57&lt;&gt;"",'Approved-Enforcement'!J57,"")</f>
        <v/>
      </c>
      <c r="L57" t="str">
        <f>IF($A57&lt;&gt;"",'Approved-Enforcement'!K57,"")</f>
        <v/>
      </c>
      <c r="M57" t="str">
        <f>IF($A57&lt;&gt;"",'Approved-Enforcement'!L57,"")</f>
        <v/>
      </c>
      <c r="N57" t="str">
        <f>IF($A57&lt;&gt;"",'Approved-Enforcement'!M57,"")</f>
        <v/>
      </c>
      <c r="O57" t="str">
        <f>IF($A57&lt;&gt;"",'Approved-Enforcement'!N57,"")</f>
        <v/>
      </c>
      <c r="P57" t="str">
        <f>IF($A57&lt;&gt;"",'Approved-Enforcement'!O57,"")</f>
        <v/>
      </c>
    </row>
    <row r="58" spans="1:16" x14ac:dyDescent="0.35">
      <c r="A58" s="4" t="str">
        <f>IF('Approved-Enforcement'!$A58&lt;&gt;"",'Approved-Enforcement'!A58,"")</f>
        <v/>
      </c>
      <c r="B58" t="str">
        <f t="shared" si="0"/>
        <v/>
      </c>
      <c r="D58" t="str">
        <f>IF($A58&lt;&gt;"",IF($R58&lt;&gt;"",$R58,'Approved-Enforcement'!$B58+7),"")</f>
        <v/>
      </c>
      <c r="E58" t="str">
        <f>IF($A58&lt;&gt;"",'Approved-Enforcement'!D58,"")</f>
        <v/>
      </c>
      <c r="F58" t="str">
        <f>IF($A58&lt;&gt;"",'Approved-Enforcement'!E58,"")</f>
        <v/>
      </c>
      <c r="G58" t="str">
        <f>IF($A58&lt;&gt;"",'Approved-Enforcement'!F58,"")</f>
        <v/>
      </c>
      <c r="H58" t="str">
        <f>IF($A58&lt;&gt;"",'Approved-Enforcement'!G58,"")</f>
        <v/>
      </c>
      <c r="I58" t="str">
        <f>IF($A58&lt;&gt;"",'Approved-Enforcement'!H58,"")</f>
        <v/>
      </c>
      <c r="J58" t="str">
        <f>IF($A58&lt;&gt;"",'Approved-Enforcement'!I58,"")</f>
        <v/>
      </c>
      <c r="K58" t="str">
        <f>IF($A58&lt;&gt;"",'Approved-Enforcement'!J58,"")</f>
        <v/>
      </c>
      <c r="L58" t="str">
        <f>IF($A58&lt;&gt;"",'Approved-Enforcement'!K58,"")</f>
        <v/>
      </c>
      <c r="M58" t="str">
        <f>IF($A58&lt;&gt;"",'Approved-Enforcement'!L58,"")</f>
        <v/>
      </c>
      <c r="N58" t="str">
        <f>IF($A58&lt;&gt;"",'Approved-Enforcement'!M58,"")</f>
        <v/>
      </c>
      <c r="O58" t="str">
        <f>IF($A58&lt;&gt;"",'Approved-Enforcement'!N58,"")</f>
        <v/>
      </c>
      <c r="P58" t="str">
        <f>IF($A58&lt;&gt;"",'Approved-Enforcement'!O58,"")</f>
        <v/>
      </c>
    </row>
    <row r="59" spans="1:16" x14ac:dyDescent="0.35">
      <c r="A59" s="4" t="str">
        <f>IF('Approved-Enforcement'!$A59&lt;&gt;"",'Approved-Enforcement'!A59,"")</f>
        <v/>
      </c>
      <c r="B59" t="str">
        <f t="shared" si="0"/>
        <v/>
      </c>
      <c r="D59" t="str">
        <f>IF($A59&lt;&gt;"",IF($R59&lt;&gt;"",$R59,'Approved-Enforcement'!$B59+7),"")</f>
        <v/>
      </c>
      <c r="E59" t="str">
        <f>IF($A59&lt;&gt;"",'Approved-Enforcement'!D59,"")</f>
        <v/>
      </c>
      <c r="F59" t="str">
        <f>IF($A59&lt;&gt;"",'Approved-Enforcement'!E59,"")</f>
        <v/>
      </c>
      <c r="G59" t="str">
        <f>IF($A59&lt;&gt;"",'Approved-Enforcement'!F59,"")</f>
        <v/>
      </c>
      <c r="H59" t="str">
        <f>IF($A59&lt;&gt;"",'Approved-Enforcement'!G59,"")</f>
        <v/>
      </c>
      <c r="I59" t="str">
        <f>IF($A59&lt;&gt;"",'Approved-Enforcement'!H59,"")</f>
        <v/>
      </c>
      <c r="J59" t="str">
        <f>IF($A59&lt;&gt;"",'Approved-Enforcement'!I59,"")</f>
        <v/>
      </c>
      <c r="K59" t="str">
        <f>IF($A59&lt;&gt;"",'Approved-Enforcement'!J59,"")</f>
        <v/>
      </c>
      <c r="L59" t="str">
        <f>IF($A59&lt;&gt;"",'Approved-Enforcement'!K59,"")</f>
        <v/>
      </c>
      <c r="M59" t="str">
        <f>IF($A59&lt;&gt;"",'Approved-Enforcement'!L59,"")</f>
        <v/>
      </c>
      <c r="N59" t="str">
        <f>IF($A59&lt;&gt;"",'Approved-Enforcement'!M59,"")</f>
        <v/>
      </c>
      <c r="O59" t="str">
        <f>IF($A59&lt;&gt;"",'Approved-Enforcement'!N59,"")</f>
        <v/>
      </c>
      <c r="P59" t="str">
        <f>IF($A59&lt;&gt;"",'Approved-Enforcement'!O59,"")</f>
        <v/>
      </c>
    </row>
    <row r="60" spans="1:16" x14ac:dyDescent="0.35">
      <c r="A60" s="4" t="str">
        <f>IF('Approved-Enforcement'!$A60&lt;&gt;"",'Approved-Enforcement'!A60,"")</f>
        <v/>
      </c>
      <c r="B60" t="str">
        <f t="shared" si="0"/>
        <v/>
      </c>
      <c r="D60" t="str">
        <f>IF($A60&lt;&gt;"",IF($R60&lt;&gt;"",$R60,'Approved-Enforcement'!$B60+7),"")</f>
        <v/>
      </c>
      <c r="E60" t="str">
        <f>IF($A60&lt;&gt;"",'Approved-Enforcement'!D60,"")</f>
        <v/>
      </c>
      <c r="F60" t="str">
        <f>IF($A60&lt;&gt;"",'Approved-Enforcement'!E60,"")</f>
        <v/>
      </c>
      <c r="G60" t="str">
        <f>IF($A60&lt;&gt;"",'Approved-Enforcement'!F60,"")</f>
        <v/>
      </c>
      <c r="H60" t="str">
        <f>IF($A60&lt;&gt;"",'Approved-Enforcement'!G60,"")</f>
        <v/>
      </c>
      <c r="I60" t="str">
        <f>IF($A60&lt;&gt;"",'Approved-Enforcement'!H60,"")</f>
        <v/>
      </c>
      <c r="J60" t="str">
        <f>IF($A60&lt;&gt;"",'Approved-Enforcement'!I60,"")</f>
        <v/>
      </c>
      <c r="K60" t="str">
        <f>IF($A60&lt;&gt;"",'Approved-Enforcement'!J60,"")</f>
        <v/>
      </c>
      <c r="L60" t="str">
        <f>IF($A60&lt;&gt;"",'Approved-Enforcement'!K60,"")</f>
        <v/>
      </c>
      <c r="M60" t="str">
        <f>IF($A60&lt;&gt;"",'Approved-Enforcement'!L60,"")</f>
        <v/>
      </c>
      <c r="N60" t="str">
        <f>IF($A60&lt;&gt;"",'Approved-Enforcement'!M60,"")</f>
        <v/>
      </c>
      <c r="O60" t="str">
        <f>IF($A60&lt;&gt;"",'Approved-Enforcement'!N60,"")</f>
        <v/>
      </c>
      <c r="P60" t="str">
        <f>IF($A60&lt;&gt;"",'Approved-Enforcement'!O60,"")</f>
        <v/>
      </c>
    </row>
    <row r="61" spans="1:16" x14ac:dyDescent="0.35">
      <c r="A61" s="4" t="str">
        <f>IF('Approved-Enforcement'!$A61&lt;&gt;"",'Approved-Enforcement'!A61,"")</f>
        <v/>
      </c>
      <c r="B61" t="str">
        <f t="shared" si="0"/>
        <v/>
      </c>
      <c r="D61" t="str">
        <f>IF($A61&lt;&gt;"",IF($R61&lt;&gt;"",$R61,'Approved-Enforcement'!$B61+7),"")</f>
        <v/>
      </c>
      <c r="E61" t="str">
        <f>IF($A61&lt;&gt;"",'Approved-Enforcement'!D61,"")</f>
        <v/>
      </c>
      <c r="F61" t="str">
        <f>IF($A61&lt;&gt;"",'Approved-Enforcement'!E61,"")</f>
        <v/>
      </c>
      <c r="G61" t="str">
        <f>IF($A61&lt;&gt;"",'Approved-Enforcement'!F61,"")</f>
        <v/>
      </c>
      <c r="H61" t="str">
        <f>IF($A61&lt;&gt;"",'Approved-Enforcement'!G61,"")</f>
        <v/>
      </c>
      <c r="I61" t="str">
        <f>IF($A61&lt;&gt;"",'Approved-Enforcement'!H61,"")</f>
        <v/>
      </c>
      <c r="J61" t="str">
        <f>IF($A61&lt;&gt;"",'Approved-Enforcement'!I61,"")</f>
        <v/>
      </c>
      <c r="K61" t="str">
        <f>IF($A61&lt;&gt;"",'Approved-Enforcement'!J61,"")</f>
        <v/>
      </c>
      <c r="L61" t="str">
        <f>IF($A61&lt;&gt;"",'Approved-Enforcement'!K61,"")</f>
        <v/>
      </c>
      <c r="M61" t="str">
        <f>IF($A61&lt;&gt;"",'Approved-Enforcement'!L61,"")</f>
        <v/>
      </c>
      <c r="N61" t="str">
        <f>IF($A61&lt;&gt;"",'Approved-Enforcement'!M61,"")</f>
        <v/>
      </c>
      <c r="O61" t="str">
        <f>IF($A61&lt;&gt;"",'Approved-Enforcement'!N61,"")</f>
        <v/>
      </c>
      <c r="P61" t="str">
        <f>IF($A61&lt;&gt;"",'Approved-Enforcement'!O61,"")</f>
        <v/>
      </c>
    </row>
    <row r="62" spans="1:16" x14ac:dyDescent="0.35">
      <c r="A62" s="4" t="str">
        <f>IF('Approved-Enforcement'!$A62&lt;&gt;"",'Approved-Enforcement'!A62,"")</f>
        <v/>
      </c>
      <c r="B62" t="str">
        <f t="shared" si="0"/>
        <v/>
      </c>
      <c r="D62" t="str">
        <f>IF($A62&lt;&gt;"",IF($R62&lt;&gt;"",$R62,'Approved-Enforcement'!$B62+7),"")</f>
        <v/>
      </c>
      <c r="E62" t="str">
        <f>IF($A62&lt;&gt;"",'Approved-Enforcement'!D62,"")</f>
        <v/>
      </c>
      <c r="F62" t="str">
        <f>IF($A62&lt;&gt;"",'Approved-Enforcement'!E62,"")</f>
        <v/>
      </c>
      <c r="G62" t="str">
        <f>IF($A62&lt;&gt;"",'Approved-Enforcement'!F62,"")</f>
        <v/>
      </c>
      <c r="H62" t="str">
        <f>IF($A62&lt;&gt;"",'Approved-Enforcement'!G62,"")</f>
        <v/>
      </c>
      <c r="I62" t="str">
        <f>IF($A62&lt;&gt;"",'Approved-Enforcement'!H62,"")</f>
        <v/>
      </c>
      <c r="J62" t="str">
        <f>IF($A62&lt;&gt;"",'Approved-Enforcement'!I62,"")</f>
        <v/>
      </c>
      <c r="K62" t="str">
        <f>IF($A62&lt;&gt;"",'Approved-Enforcement'!J62,"")</f>
        <v/>
      </c>
      <c r="L62" t="str">
        <f>IF($A62&lt;&gt;"",'Approved-Enforcement'!K62,"")</f>
        <v/>
      </c>
      <c r="M62" t="str">
        <f>IF($A62&lt;&gt;"",'Approved-Enforcement'!L62,"")</f>
        <v/>
      </c>
      <c r="N62" t="str">
        <f>IF($A62&lt;&gt;"",'Approved-Enforcement'!M62,"")</f>
        <v/>
      </c>
      <c r="O62" t="str">
        <f>IF($A62&lt;&gt;"",'Approved-Enforcement'!N62,"")</f>
        <v/>
      </c>
      <c r="P62" t="str">
        <f>IF($A62&lt;&gt;"",'Approved-Enforcement'!O62,"")</f>
        <v/>
      </c>
    </row>
    <row r="63" spans="1:16" x14ac:dyDescent="0.35">
      <c r="A63" s="4" t="str">
        <f>IF('Approved-Enforcement'!$A63&lt;&gt;"",'Approved-Enforcement'!A63,"")</f>
        <v/>
      </c>
      <c r="B63" t="str">
        <f t="shared" si="0"/>
        <v/>
      </c>
      <c r="D63" t="str">
        <f>IF($A63&lt;&gt;"",IF($R63&lt;&gt;"",$R63,'Approved-Enforcement'!$B63+7),"")</f>
        <v/>
      </c>
      <c r="E63" t="str">
        <f>IF($A63&lt;&gt;"",'Approved-Enforcement'!D63,"")</f>
        <v/>
      </c>
      <c r="F63" t="str">
        <f>IF($A63&lt;&gt;"",'Approved-Enforcement'!E63,"")</f>
        <v/>
      </c>
      <c r="G63" t="str">
        <f>IF($A63&lt;&gt;"",'Approved-Enforcement'!F63,"")</f>
        <v/>
      </c>
      <c r="H63" t="str">
        <f>IF($A63&lt;&gt;"",'Approved-Enforcement'!G63,"")</f>
        <v/>
      </c>
      <c r="I63" t="str">
        <f>IF($A63&lt;&gt;"",'Approved-Enforcement'!H63,"")</f>
        <v/>
      </c>
      <c r="J63" t="str">
        <f>IF($A63&lt;&gt;"",'Approved-Enforcement'!I63,"")</f>
        <v/>
      </c>
      <c r="K63" t="str">
        <f>IF($A63&lt;&gt;"",'Approved-Enforcement'!J63,"")</f>
        <v/>
      </c>
      <c r="L63" t="str">
        <f>IF($A63&lt;&gt;"",'Approved-Enforcement'!K63,"")</f>
        <v/>
      </c>
      <c r="M63" t="str">
        <f>IF($A63&lt;&gt;"",'Approved-Enforcement'!L63,"")</f>
        <v/>
      </c>
      <c r="N63" t="str">
        <f>IF($A63&lt;&gt;"",'Approved-Enforcement'!M63,"")</f>
        <v/>
      </c>
      <c r="O63" t="str">
        <f>IF($A63&lt;&gt;"",'Approved-Enforcement'!N63,"")</f>
        <v/>
      </c>
      <c r="P63" t="str">
        <f>IF($A63&lt;&gt;"",'Approved-Enforcement'!O63,"")</f>
        <v/>
      </c>
    </row>
    <row r="64" spans="1:16" x14ac:dyDescent="0.35">
      <c r="A64" s="4" t="str">
        <f>IF('Approved-Enforcement'!$A64&lt;&gt;"",'Approved-Enforcement'!A64,"")</f>
        <v/>
      </c>
      <c r="B64" t="str">
        <f t="shared" si="0"/>
        <v/>
      </c>
      <c r="D64" t="str">
        <f>IF($A64&lt;&gt;"",IF($R64&lt;&gt;"",$R64,'Approved-Enforcement'!$B64+7),"")</f>
        <v/>
      </c>
      <c r="E64" t="str">
        <f>IF($A64&lt;&gt;"",'Approved-Enforcement'!D64,"")</f>
        <v/>
      </c>
      <c r="F64" t="str">
        <f>IF($A64&lt;&gt;"",'Approved-Enforcement'!E64,"")</f>
        <v/>
      </c>
      <c r="G64" t="str">
        <f>IF($A64&lt;&gt;"",'Approved-Enforcement'!F64,"")</f>
        <v/>
      </c>
      <c r="H64" t="str">
        <f>IF($A64&lt;&gt;"",'Approved-Enforcement'!G64,"")</f>
        <v/>
      </c>
      <c r="I64" t="str">
        <f>IF($A64&lt;&gt;"",'Approved-Enforcement'!H64,"")</f>
        <v/>
      </c>
      <c r="J64" t="str">
        <f>IF($A64&lt;&gt;"",'Approved-Enforcement'!I64,"")</f>
        <v/>
      </c>
      <c r="K64" t="str">
        <f>IF($A64&lt;&gt;"",'Approved-Enforcement'!J64,"")</f>
        <v/>
      </c>
      <c r="L64" t="str">
        <f>IF($A64&lt;&gt;"",'Approved-Enforcement'!K64,"")</f>
        <v/>
      </c>
      <c r="M64" t="str">
        <f>IF($A64&lt;&gt;"",'Approved-Enforcement'!L64,"")</f>
        <v/>
      </c>
      <c r="N64" t="str">
        <f>IF($A64&lt;&gt;"",'Approved-Enforcement'!M64,"")</f>
        <v/>
      </c>
      <c r="O64" t="str">
        <f>IF($A64&lt;&gt;"",'Approved-Enforcement'!N64,"")</f>
        <v/>
      </c>
      <c r="P64" t="str">
        <f>IF($A64&lt;&gt;"",'Approved-Enforcement'!O64,"")</f>
        <v/>
      </c>
    </row>
    <row r="65" spans="1:16" x14ac:dyDescent="0.35">
      <c r="A65" s="4" t="str">
        <f>IF('Approved-Enforcement'!$A65&lt;&gt;"",'Approved-Enforcement'!A65,"")</f>
        <v/>
      </c>
      <c r="B65" t="str">
        <f t="shared" si="0"/>
        <v/>
      </c>
      <c r="D65" t="str">
        <f>IF($A65&lt;&gt;"",IF($R65&lt;&gt;"",$R65,'Approved-Enforcement'!$B65+7),"")</f>
        <v/>
      </c>
      <c r="E65" t="str">
        <f>IF($A65&lt;&gt;"",'Approved-Enforcement'!D65,"")</f>
        <v/>
      </c>
      <c r="F65" t="str">
        <f>IF($A65&lt;&gt;"",'Approved-Enforcement'!E65,"")</f>
        <v/>
      </c>
      <c r="G65" t="str">
        <f>IF($A65&lt;&gt;"",'Approved-Enforcement'!F65,"")</f>
        <v/>
      </c>
      <c r="H65" t="str">
        <f>IF($A65&lt;&gt;"",'Approved-Enforcement'!G65,"")</f>
        <v/>
      </c>
      <c r="I65" t="str">
        <f>IF($A65&lt;&gt;"",'Approved-Enforcement'!H65,"")</f>
        <v/>
      </c>
      <c r="J65" t="str">
        <f>IF($A65&lt;&gt;"",'Approved-Enforcement'!I65,"")</f>
        <v/>
      </c>
      <c r="K65" t="str">
        <f>IF($A65&lt;&gt;"",'Approved-Enforcement'!J65,"")</f>
        <v/>
      </c>
      <c r="L65" t="str">
        <f>IF($A65&lt;&gt;"",'Approved-Enforcement'!K65,"")</f>
        <v/>
      </c>
      <c r="M65" t="str">
        <f>IF($A65&lt;&gt;"",'Approved-Enforcement'!L65,"")</f>
        <v/>
      </c>
      <c r="N65" t="str">
        <f>IF($A65&lt;&gt;"",'Approved-Enforcement'!M65,"")</f>
        <v/>
      </c>
      <c r="O65" t="str">
        <f>IF($A65&lt;&gt;"",'Approved-Enforcement'!N65,"")</f>
        <v/>
      </c>
      <c r="P65" t="str">
        <f>IF($A65&lt;&gt;"",'Approved-Enforcement'!O65,"")</f>
        <v/>
      </c>
    </row>
    <row r="66" spans="1:16" x14ac:dyDescent="0.35">
      <c r="A66" s="4" t="str">
        <f>IF('Approved-Enforcement'!$A66&lt;&gt;"",'Approved-Enforcement'!A66,"")</f>
        <v/>
      </c>
      <c r="B66" t="str">
        <f t="shared" ref="B66:B129" si="1">IF($A66&lt;&gt;"",IF($C66&lt;&gt;"",$C66,1500),"")</f>
        <v/>
      </c>
      <c r="D66" t="str">
        <f>IF($A66&lt;&gt;"",IF($R66&lt;&gt;"",$R66,'Approved-Enforcement'!$B66+7),"")</f>
        <v/>
      </c>
      <c r="E66" t="str">
        <f>IF($A66&lt;&gt;"",'Approved-Enforcement'!D66,"")</f>
        <v/>
      </c>
      <c r="F66" t="str">
        <f>IF($A66&lt;&gt;"",'Approved-Enforcement'!E66,"")</f>
        <v/>
      </c>
      <c r="G66" t="str">
        <f>IF($A66&lt;&gt;"",'Approved-Enforcement'!F66,"")</f>
        <v/>
      </c>
      <c r="H66" t="str">
        <f>IF($A66&lt;&gt;"",'Approved-Enforcement'!G66,"")</f>
        <v/>
      </c>
      <c r="I66" t="str">
        <f>IF($A66&lt;&gt;"",'Approved-Enforcement'!H66,"")</f>
        <v/>
      </c>
      <c r="J66" t="str">
        <f>IF($A66&lt;&gt;"",'Approved-Enforcement'!I66,"")</f>
        <v/>
      </c>
      <c r="K66" t="str">
        <f>IF($A66&lt;&gt;"",'Approved-Enforcement'!J66,"")</f>
        <v/>
      </c>
      <c r="L66" t="str">
        <f>IF($A66&lt;&gt;"",'Approved-Enforcement'!K66,"")</f>
        <v/>
      </c>
      <c r="M66" t="str">
        <f>IF($A66&lt;&gt;"",'Approved-Enforcement'!L66,"")</f>
        <v/>
      </c>
      <c r="N66" t="str">
        <f>IF($A66&lt;&gt;"",'Approved-Enforcement'!M66,"")</f>
        <v/>
      </c>
      <c r="O66" t="str">
        <f>IF($A66&lt;&gt;"",'Approved-Enforcement'!N66,"")</f>
        <v/>
      </c>
      <c r="P66" t="str">
        <f>IF($A66&lt;&gt;"",'Approved-Enforcement'!O66,"")</f>
        <v/>
      </c>
    </row>
    <row r="67" spans="1:16" x14ac:dyDescent="0.35">
      <c r="A67" s="4" t="str">
        <f>IF('Approved-Enforcement'!$A67&lt;&gt;"",'Approved-Enforcement'!A67,"")</f>
        <v/>
      </c>
      <c r="B67" t="str">
        <f t="shared" si="1"/>
        <v/>
      </c>
      <c r="D67" t="str">
        <f>IF($A67&lt;&gt;"",IF($R67&lt;&gt;"",$R67,'Approved-Enforcement'!$B67+7),"")</f>
        <v/>
      </c>
      <c r="E67" t="str">
        <f>IF($A67&lt;&gt;"",'Approved-Enforcement'!D67,"")</f>
        <v/>
      </c>
      <c r="F67" t="str">
        <f>IF($A67&lt;&gt;"",'Approved-Enforcement'!E67,"")</f>
        <v/>
      </c>
      <c r="G67" t="str">
        <f>IF($A67&lt;&gt;"",'Approved-Enforcement'!F67,"")</f>
        <v/>
      </c>
      <c r="H67" t="str">
        <f>IF($A67&lt;&gt;"",'Approved-Enforcement'!G67,"")</f>
        <v/>
      </c>
      <c r="I67" t="str">
        <f>IF($A67&lt;&gt;"",'Approved-Enforcement'!H67,"")</f>
        <v/>
      </c>
      <c r="J67" t="str">
        <f>IF($A67&lt;&gt;"",'Approved-Enforcement'!I67,"")</f>
        <v/>
      </c>
      <c r="K67" t="str">
        <f>IF($A67&lt;&gt;"",'Approved-Enforcement'!J67,"")</f>
        <v/>
      </c>
      <c r="L67" t="str">
        <f>IF($A67&lt;&gt;"",'Approved-Enforcement'!K67,"")</f>
        <v/>
      </c>
      <c r="M67" t="str">
        <f>IF($A67&lt;&gt;"",'Approved-Enforcement'!L67,"")</f>
        <v/>
      </c>
      <c r="N67" t="str">
        <f>IF($A67&lt;&gt;"",'Approved-Enforcement'!M67,"")</f>
        <v/>
      </c>
      <c r="O67" t="str">
        <f>IF($A67&lt;&gt;"",'Approved-Enforcement'!N67,"")</f>
        <v/>
      </c>
      <c r="P67" t="str">
        <f>IF($A67&lt;&gt;"",'Approved-Enforcement'!O67,"")</f>
        <v/>
      </c>
    </row>
    <row r="68" spans="1:16" x14ac:dyDescent="0.35">
      <c r="A68" s="4" t="str">
        <f>IF('Approved-Enforcement'!$A68&lt;&gt;"",'Approved-Enforcement'!A68,"")</f>
        <v/>
      </c>
      <c r="B68" t="str">
        <f t="shared" si="1"/>
        <v/>
      </c>
      <c r="D68" t="str">
        <f>IF($A68&lt;&gt;"",IF($R68&lt;&gt;"",$R68,'Approved-Enforcement'!$B68+7),"")</f>
        <v/>
      </c>
      <c r="E68" t="str">
        <f>IF($A68&lt;&gt;"",'Approved-Enforcement'!D68,"")</f>
        <v/>
      </c>
      <c r="F68" t="str">
        <f>IF($A68&lt;&gt;"",'Approved-Enforcement'!E68,"")</f>
        <v/>
      </c>
      <c r="G68" t="str">
        <f>IF($A68&lt;&gt;"",'Approved-Enforcement'!F68,"")</f>
        <v/>
      </c>
      <c r="H68" t="str">
        <f>IF($A68&lt;&gt;"",'Approved-Enforcement'!G68,"")</f>
        <v/>
      </c>
      <c r="I68" t="str">
        <f>IF($A68&lt;&gt;"",'Approved-Enforcement'!H68,"")</f>
        <v/>
      </c>
      <c r="J68" t="str">
        <f>IF($A68&lt;&gt;"",'Approved-Enforcement'!I68,"")</f>
        <v/>
      </c>
      <c r="K68" t="str">
        <f>IF($A68&lt;&gt;"",'Approved-Enforcement'!J68,"")</f>
        <v/>
      </c>
      <c r="L68" t="str">
        <f>IF($A68&lt;&gt;"",'Approved-Enforcement'!K68,"")</f>
        <v/>
      </c>
      <c r="M68" t="str">
        <f>IF($A68&lt;&gt;"",'Approved-Enforcement'!L68,"")</f>
        <v/>
      </c>
      <c r="N68" t="str">
        <f>IF($A68&lt;&gt;"",'Approved-Enforcement'!M68,"")</f>
        <v/>
      </c>
      <c r="O68" t="str">
        <f>IF($A68&lt;&gt;"",'Approved-Enforcement'!N68,"")</f>
        <v/>
      </c>
      <c r="P68" t="str">
        <f>IF($A68&lt;&gt;"",'Approved-Enforcement'!O68,"")</f>
        <v/>
      </c>
    </row>
    <row r="69" spans="1:16" x14ac:dyDescent="0.35">
      <c r="A69" s="4" t="str">
        <f>IF('Approved-Enforcement'!$A69&lt;&gt;"",'Approved-Enforcement'!A69,"")</f>
        <v/>
      </c>
      <c r="B69" t="str">
        <f t="shared" si="1"/>
        <v/>
      </c>
      <c r="D69" t="str">
        <f>IF($A69&lt;&gt;"",IF($R69&lt;&gt;"",$R69,'Approved-Enforcement'!$B69+7),"")</f>
        <v/>
      </c>
      <c r="E69" t="str">
        <f>IF($A69&lt;&gt;"",'Approved-Enforcement'!D69,"")</f>
        <v/>
      </c>
      <c r="F69" t="str">
        <f>IF($A69&lt;&gt;"",'Approved-Enforcement'!E69,"")</f>
        <v/>
      </c>
      <c r="G69" t="str">
        <f>IF($A69&lt;&gt;"",'Approved-Enforcement'!F69,"")</f>
        <v/>
      </c>
      <c r="H69" t="str">
        <f>IF($A69&lt;&gt;"",'Approved-Enforcement'!G69,"")</f>
        <v/>
      </c>
      <c r="I69" t="str">
        <f>IF($A69&lt;&gt;"",'Approved-Enforcement'!H69,"")</f>
        <v/>
      </c>
      <c r="J69" t="str">
        <f>IF($A69&lt;&gt;"",'Approved-Enforcement'!I69,"")</f>
        <v/>
      </c>
      <c r="K69" t="str">
        <f>IF($A69&lt;&gt;"",'Approved-Enforcement'!J69,"")</f>
        <v/>
      </c>
      <c r="L69" t="str">
        <f>IF($A69&lt;&gt;"",'Approved-Enforcement'!K69,"")</f>
        <v/>
      </c>
      <c r="M69" t="str">
        <f>IF($A69&lt;&gt;"",'Approved-Enforcement'!L69,"")</f>
        <v/>
      </c>
      <c r="N69" t="str">
        <f>IF($A69&lt;&gt;"",'Approved-Enforcement'!M69,"")</f>
        <v/>
      </c>
      <c r="O69" t="str">
        <f>IF($A69&lt;&gt;"",'Approved-Enforcement'!N69,"")</f>
        <v/>
      </c>
      <c r="P69" t="str">
        <f>IF($A69&lt;&gt;"",'Approved-Enforcement'!O69,"")</f>
        <v/>
      </c>
    </row>
    <row r="70" spans="1:16" x14ac:dyDescent="0.35">
      <c r="A70" s="4" t="str">
        <f>IF('Approved-Enforcement'!$A70&lt;&gt;"",'Approved-Enforcement'!A70,"")</f>
        <v/>
      </c>
      <c r="B70" t="str">
        <f t="shared" si="1"/>
        <v/>
      </c>
      <c r="D70" t="str">
        <f>IF($A70&lt;&gt;"",IF($R70&lt;&gt;"",$R70,'Approved-Enforcement'!$B70+7),"")</f>
        <v/>
      </c>
      <c r="E70" t="str">
        <f>IF($A70&lt;&gt;"",'Approved-Enforcement'!D70,"")</f>
        <v/>
      </c>
      <c r="F70" t="str">
        <f>IF($A70&lt;&gt;"",'Approved-Enforcement'!E70,"")</f>
        <v/>
      </c>
      <c r="G70" t="str">
        <f>IF($A70&lt;&gt;"",'Approved-Enforcement'!F70,"")</f>
        <v/>
      </c>
      <c r="H70" t="str">
        <f>IF($A70&lt;&gt;"",'Approved-Enforcement'!G70,"")</f>
        <v/>
      </c>
      <c r="I70" t="str">
        <f>IF($A70&lt;&gt;"",'Approved-Enforcement'!H70,"")</f>
        <v/>
      </c>
      <c r="J70" t="str">
        <f>IF($A70&lt;&gt;"",'Approved-Enforcement'!I70,"")</f>
        <v/>
      </c>
      <c r="K70" t="str">
        <f>IF($A70&lt;&gt;"",'Approved-Enforcement'!J70,"")</f>
        <v/>
      </c>
      <c r="L70" t="str">
        <f>IF($A70&lt;&gt;"",'Approved-Enforcement'!K70,"")</f>
        <v/>
      </c>
      <c r="M70" t="str">
        <f>IF($A70&lt;&gt;"",'Approved-Enforcement'!L70,"")</f>
        <v/>
      </c>
      <c r="N70" t="str">
        <f>IF($A70&lt;&gt;"",'Approved-Enforcement'!M70,"")</f>
        <v/>
      </c>
      <c r="O70" t="str">
        <f>IF($A70&lt;&gt;"",'Approved-Enforcement'!N70,"")</f>
        <v/>
      </c>
      <c r="P70" t="str">
        <f>IF($A70&lt;&gt;"",'Approved-Enforcement'!O70,"")</f>
        <v/>
      </c>
    </row>
    <row r="71" spans="1:16" x14ac:dyDescent="0.35">
      <c r="A71" s="4" t="str">
        <f>IF('Approved-Enforcement'!$A71&lt;&gt;"",'Approved-Enforcement'!A71,"")</f>
        <v/>
      </c>
      <c r="B71" t="str">
        <f t="shared" si="1"/>
        <v/>
      </c>
      <c r="D71" t="str">
        <f>IF($A71&lt;&gt;"",IF($R71&lt;&gt;"",$R71,'Approved-Enforcement'!$B71+7),"")</f>
        <v/>
      </c>
      <c r="E71" t="str">
        <f>IF($A71&lt;&gt;"",'Approved-Enforcement'!D71,"")</f>
        <v/>
      </c>
      <c r="F71" t="str">
        <f>IF($A71&lt;&gt;"",'Approved-Enforcement'!E71,"")</f>
        <v/>
      </c>
      <c r="G71" t="str">
        <f>IF($A71&lt;&gt;"",'Approved-Enforcement'!F71,"")</f>
        <v/>
      </c>
      <c r="H71" t="str">
        <f>IF($A71&lt;&gt;"",'Approved-Enforcement'!G71,"")</f>
        <v/>
      </c>
      <c r="I71" t="str">
        <f>IF($A71&lt;&gt;"",'Approved-Enforcement'!H71,"")</f>
        <v/>
      </c>
      <c r="J71" t="str">
        <f>IF($A71&lt;&gt;"",'Approved-Enforcement'!I71,"")</f>
        <v/>
      </c>
      <c r="K71" t="str">
        <f>IF($A71&lt;&gt;"",'Approved-Enforcement'!J71,"")</f>
        <v/>
      </c>
      <c r="L71" t="str">
        <f>IF($A71&lt;&gt;"",'Approved-Enforcement'!K71,"")</f>
        <v/>
      </c>
      <c r="M71" t="str">
        <f>IF($A71&lt;&gt;"",'Approved-Enforcement'!L71,"")</f>
        <v/>
      </c>
      <c r="N71" t="str">
        <f>IF($A71&lt;&gt;"",'Approved-Enforcement'!M71,"")</f>
        <v/>
      </c>
      <c r="O71" t="str">
        <f>IF($A71&lt;&gt;"",'Approved-Enforcement'!N71,"")</f>
        <v/>
      </c>
      <c r="P71" t="str">
        <f>IF($A71&lt;&gt;"",'Approved-Enforcement'!O71,"")</f>
        <v/>
      </c>
    </row>
    <row r="72" spans="1:16" x14ac:dyDescent="0.35">
      <c r="A72" s="4" t="str">
        <f>IF('Approved-Enforcement'!$A72&lt;&gt;"",'Approved-Enforcement'!A72,"")</f>
        <v/>
      </c>
      <c r="B72" t="str">
        <f t="shared" si="1"/>
        <v/>
      </c>
      <c r="D72" t="str">
        <f>IF($A72&lt;&gt;"",IF($R72&lt;&gt;"",$R72,'Approved-Enforcement'!$B72+7),"")</f>
        <v/>
      </c>
      <c r="E72" t="str">
        <f>IF($A72&lt;&gt;"",'Approved-Enforcement'!D72,"")</f>
        <v/>
      </c>
      <c r="F72" t="str">
        <f>IF($A72&lt;&gt;"",'Approved-Enforcement'!E72,"")</f>
        <v/>
      </c>
      <c r="G72" t="str">
        <f>IF($A72&lt;&gt;"",'Approved-Enforcement'!F72,"")</f>
        <v/>
      </c>
      <c r="H72" t="str">
        <f>IF($A72&lt;&gt;"",'Approved-Enforcement'!G72,"")</f>
        <v/>
      </c>
      <c r="I72" t="str">
        <f>IF($A72&lt;&gt;"",'Approved-Enforcement'!H72,"")</f>
        <v/>
      </c>
      <c r="J72" t="str">
        <f>IF($A72&lt;&gt;"",'Approved-Enforcement'!I72,"")</f>
        <v/>
      </c>
      <c r="K72" t="str">
        <f>IF($A72&lt;&gt;"",'Approved-Enforcement'!J72,"")</f>
        <v/>
      </c>
      <c r="L72" t="str">
        <f>IF($A72&lt;&gt;"",'Approved-Enforcement'!K72,"")</f>
        <v/>
      </c>
      <c r="M72" t="str">
        <f>IF($A72&lt;&gt;"",'Approved-Enforcement'!L72,"")</f>
        <v/>
      </c>
      <c r="N72" t="str">
        <f>IF($A72&lt;&gt;"",'Approved-Enforcement'!M72,"")</f>
        <v/>
      </c>
      <c r="O72" t="str">
        <f>IF($A72&lt;&gt;"",'Approved-Enforcement'!N72,"")</f>
        <v/>
      </c>
      <c r="P72" t="str">
        <f>IF($A72&lt;&gt;"",'Approved-Enforcement'!O72,"")</f>
        <v/>
      </c>
    </row>
    <row r="73" spans="1:16" x14ac:dyDescent="0.35">
      <c r="A73" s="4" t="str">
        <f>IF('Approved-Enforcement'!$A73&lt;&gt;"",'Approved-Enforcement'!A73,"")</f>
        <v/>
      </c>
      <c r="B73" t="str">
        <f t="shared" si="1"/>
        <v/>
      </c>
      <c r="D73" t="str">
        <f>IF($A73&lt;&gt;"",IF($R73&lt;&gt;"",$R73,'Approved-Enforcement'!$B73+7),"")</f>
        <v/>
      </c>
      <c r="E73" t="str">
        <f>IF($A73&lt;&gt;"",'Approved-Enforcement'!D73,"")</f>
        <v/>
      </c>
      <c r="F73" t="str">
        <f>IF($A73&lt;&gt;"",'Approved-Enforcement'!E73,"")</f>
        <v/>
      </c>
      <c r="G73" t="str">
        <f>IF($A73&lt;&gt;"",'Approved-Enforcement'!F73,"")</f>
        <v/>
      </c>
      <c r="H73" t="str">
        <f>IF($A73&lt;&gt;"",'Approved-Enforcement'!G73,"")</f>
        <v/>
      </c>
      <c r="I73" t="str">
        <f>IF($A73&lt;&gt;"",'Approved-Enforcement'!H73,"")</f>
        <v/>
      </c>
      <c r="J73" t="str">
        <f>IF($A73&lt;&gt;"",'Approved-Enforcement'!I73,"")</f>
        <v/>
      </c>
      <c r="K73" t="str">
        <f>IF($A73&lt;&gt;"",'Approved-Enforcement'!J73,"")</f>
        <v/>
      </c>
      <c r="L73" t="str">
        <f>IF($A73&lt;&gt;"",'Approved-Enforcement'!K73,"")</f>
        <v/>
      </c>
      <c r="M73" t="str">
        <f>IF($A73&lt;&gt;"",'Approved-Enforcement'!L73,"")</f>
        <v/>
      </c>
      <c r="N73" t="str">
        <f>IF($A73&lt;&gt;"",'Approved-Enforcement'!M73,"")</f>
        <v/>
      </c>
      <c r="O73" t="str">
        <f>IF($A73&lt;&gt;"",'Approved-Enforcement'!N73,"")</f>
        <v/>
      </c>
      <c r="P73" t="str">
        <f>IF($A73&lt;&gt;"",'Approved-Enforcement'!O73,"")</f>
        <v/>
      </c>
    </row>
    <row r="74" spans="1:16" x14ac:dyDescent="0.35">
      <c r="A74" s="4" t="str">
        <f>IF('Approved-Enforcement'!$A74&lt;&gt;"",'Approved-Enforcement'!A74,"")</f>
        <v/>
      </c>
      <c r="B74" t="str">
        <f t="shared" si="1"/>
        <v/>
      </c>
      <c r="D74" t="str">
        <f>IF($A74&lt;&gt;"",IF($R74&lt;&gt;"",$R74,'Approved-Enforcement'!$B74+7),"")</f>
        <v/>
      </c>
      <c r="E74" t="str">
        <f>IF($A74&lt;&gt;"",'Approved-Enforcement'!D74,"")</f>
        <v/>
      </c>
      <c r="F74" t="str">
        <f>IF($A74&lt;&gt;"",'Approved-Enforcement'!E74,"")</f>
        <v/>
      </c>
      <c r="G74" t="str">
        <f>IF($A74&lt;&gt;"",'Approved-Enforcement'!F74,"")</f>
        <v/>
      </c>
      <c r="H74" t="str">
        <f>IF($A74&lt;&gt;"",'Approved-Enforcement'!G74,"")</f>
        <v/>
      </c>
      <c r="I74" t="str">
        <f>IF($A74&lt;&gt;"",'Approved-Enforcement'!H74,"")</f>
        <v/>
      </c>
      <c r="J74" t="str">
        <f>IF($A74&lt;&gt;"",'Approved-Enforcement'!I74,"")</f>
        <v/>
      </c>
      <c r="K74" t="str">
        <f>IF($A74&lt;&gt;"",'Approved-Enforcement'!J74,"")</f>
        <v/>
      </c>
      <c r="L74" t="str">
        <f>IF($A74&lt;&gt;"",'Approved-Enforcement'!K74,"")</f>
        <v/>
      </c>
      <c r="M74" t="str">
        <f>IF($A74&lt;&gt;"",'Approved-Enforcement'!L74,"")</f>
        <v/>
      </c>
      <c r="N74" t="str">
        <f>IF($A74&lt;&gt;"",'Approved-Enforcement'!M74,"")</f>
        <v/>
      </c>
      <c r="O74" t="str">
        <f>IF($A74&lt;&gt;"",'Approved-Enforcement'!N74,"")</f>
        <v/>
      </c>
      <c r="P74" t="str">
        <f>IF($A74&lt;&gt;"",'Approved-Enforcement'!O74,"")</f>
        <v/>
      </c>
    </row>
    <row r="75" spans="1:16" x14ac:dyDescent="0.35">
      <c r="A75" s="4" t="str">
        <f>IF('Approved-Enforcement'!$A75&lt;&gt;"",'Approved-Enforcement'!A75,"")</f>
        <v/>
      </c>
      <c r="B75" t="str">
        <f t="shared" si="1"/>
        <v/>
      </c>
      <c r="D75" t="str">
        <f>IF($A75&lt;&gt;"",IF($R75&lt;&gt;"",$R75,'Approved-Enforcement'!$B75+7),"")</f>
        <v/>
      </c>
      <c r="E75" t="str">
        <f>IF($A75&lt;&gt;"",'Approved-Enforcement'!D75,"")</f>
        <v/>
      </c>
      <c r="F75" t="str">
        <f>IF($A75&lt;&gt;"",'Approved-Enforcement'!E75,"")</f>
        <v/>
      </c>
      <c r="G75" t="str">
        <f>IF($A75&lt;&gt;"",'Approved-Enforcement'!F75,"")</f>
        <v/>
      </c>
      <c r="H75" t="str">
        <f>IF($A75&lt;&gt;"",'Approved-Enforcement'!G75,"")</f>
        <v/>
      </c>
      <c r="I75" t="str">
        <f>IF($A75&lt;&gt;"",'Approved-Enforcement'!H75,"")</f>
        <v/>
      </c>
      <c r="J75" t="str">
        <f>IF($A75&lt;&gt;"",'Approved-Enforcement'!I75,"")</f>
        <v/>
      </c>
      <c r="K75" t="str">
        <f>IF($A75&lt;&gt;"",'Approved-Enforcement'!J75,"")</f>
        <v/>
      </c>
      <c r="L75" t="str">
        <f>IF($A75&lt;&gt;"",'Approved-Enforcement'!K75,"")</f>
        <v/>
      </c>
      <c r="M75" t="str">
        <f>IF($A75&lt;&gt;"",'Approved-Enforcement'!L75,"")</f>
        <v/>
      </c>
      <c r="N75" t="str">
        <f>IF($A75&lt;&gt;"",'Approved-Enforcement'!M75,"")</f>
        <v/>
      </c>
      <c r="O75" t="str">
        <f>IF($A75&lt;&gt;"",'Approved-Enforcement'!N75,"")</f>
        <v/>
      </c>
      <c r="P75" t="str">
        <f>IF($A75&lt;&gt;"",'Approved-Enforcement'!O75,"")</f>
        <v/>
      </c>
    </row>
    <row r="76" spans="1:16" x14ac:dyDescent="0.35">
      <c r="A76" s="4" t="str">
        <f>IF('Approved-Enforcement'!$A76&lt;&gt;"",'Approved-Enforcement'!A76,"")</f>
        <v/>
      </c>
      <c r="B76" t="str">
        <f t="shared" si="1"/>
        <v/>
      </c>
      <c r="D76" t="str">
        <f>IF($A76&lt;&gt;"",IF($R76&lt;&gt;"",$R76,'Approved-Enforcement'!$B76+7),"")</f>
        <v/>
      </c>
      <c r="E76" t="str">
        <f>IF($A76&lt;&gt;"",'Approved-Enforcement'!D76,"")</f>
        <v/>
      </c>
      <c r="F76" t="str">
        <f>IF($A76&lt;&gt;"",'Approved-Enforcement'!E76,"")</f>
        <v/>
      </c>
      <c r="G76" t="str">
        <f>IF($A76&lt;&gt;"",'Approved-Enforcement'!F76,"")</f>
        <v/>
      </c>
      <c r="H76" t="str">
        <f>IF($A76&lt;&gt;"",'Approved-Enforcement'!G76,"")</f>
        <v/>
      </c>
      <c r="I76" t="str">
        <f>IF($A76&lt;&gt;"",'Approved-Enforcement'!H76,"")</f>
        <v/>
      </c>
      <c r="J76" t="str">
        <f>IF($A76&lt;&gt;"",'Approved-Enforcement'!I76,"")</f>
        <v/>
      </c>
      <c r="K76" t="str">
        <f>IF($A76&lt;&gt;"",'Approved-Enforcement'!J76,"")</f>
        <v/>
      </c>
      <c r="L76" t="str">
        <f>IF($A76&lt;&gt;"",'Approved-Enforcement'!K76,"")</f>
        <v/>
      </c>
      <c r="M76" t="str">
        <f>IF($A76&lt;&gt;"",'Approved-Enforcement'!L76,"")</f>
        <v/>
      </c>
      <c r="N76" t="str">
        <f>IF($A76&lt;&gt;"",'Approved-Enforcement'!M76,"")</f>
        <v/>
      </c>
      <c r="O76" t="str">
        <f>IF($A76&lt;&gt;"",'Approved-Enforcement'!N76,"")</f>
        <v/>
      </c>
      <c r="P76" t="str">
        <f>IF($A76&lt;&gt;"",'Approved-Enforcement'!O76,"")</f>
        <v/>
      </c>
    </row>
    <row r="77" spans="1:16" x14ac:dyDescent="0.35">
      <c r="A77" s="4" t="str">
        <f>IF('Approved-Enforcement'!$A77&lt;&gt;"",'Approved-Enforcement'!A77,"")</f>
        <v/>
      </c>
      <c r="B77" t="str">
        <f t="shared" si="1"/>
        <v/>
      </c>
      <c r="D77" t="str">
        <f>IF($A77&lt;&gt;"",IF($R77&lt;&gt;"",$R77,'Approved-Enforcement'!$B77+7),"")</f>
        <v/>
      </c>
      <c r="E77" t="str">
        <f>IF($A77&lt;&gt;"",'Approved-Enforcement'!D77,"")</f>
        <v/>
      </c>
      <c r="F77" t="str">
        <f>IF($A77&lt;&gt;"",'Approved-Enforcement'!E77,"")</f>
        <v/>
      </c>
      <c r="G77" t="str">
        <f>IF($A77&lt;&gt;"",'Approved-Enforcement'!F77,"")</f>
        <v/>
      </c>
      <c r="H77" t="str">
        <f>IF($A77&lt;&gt;"",'Approved-Enforcement'!G77,"")</f>
        <v/>
      </c>
      <c r="I77" t="str">
        <f>IF($A77&lt;&gt;"",'Approved-Enforcement'!H77,"")</f>
        <v/>
      </c>
      <c r="J77" t="str">
        <f>IF($A77&lt;&gt;"",'Approved-Enforcement'!I77,"")</f>
        <v/>
      </c>
      <c r="K77" t="str">
        <f>IF($A77&lt;&gt;"",'Approved-Enforcement'!J77,"")</f>
        <v/>
      </c>
      <c r="L77" t="str">
        <f>IF($A77&lt;&gt;"",'Approved-Enforcement'!K77,"")</f>
        <v/>
      </c>
      <c r="M77" t="str">
        <f>IF($A77&lt;&gt;"",'Approved-Enforcement'!L77,"")</f>
        <v/>
      </c>
      <c r="N77" t="str">
        <f>IF($A77&lt;&gt;"",'Approved-Enforcement'!M77,"")</f>
        <v/>
      </c>
      <c r="O77" t="str">
        <f>IF($A77&lt;&gt;"",'Approved-Enforcement'!N77,"")</f>
        <v/>
      </c>
      <c r="P77" t="str">
        <f>IF($A77&lt;&gt;"",'Approved-Enforcement'!O77,"")</f>
        <v/>
      </c>
    </row>
    <row r="78" spans="1:16" x14ac:dyDescent="0.35">
      <c r="A78" s="4" t="str">
        <f>IF('Approved-Enforcement'!$A78&lt;&gt;"",'Approved-Enforcement'!A78,"")</f>
        <v/>
      </c>
      <c r="B78" t="str">
        <f t="shared" si="1"/>
        <v/>
      </c>
      <c r="D78" t="str">
        <f>IF($A78&lt;&gt;"",IF($R78&lt;&gt;"",$R78,'Approved-Enforcement'!$B78+7),"")</f>
        <v/>
      </c>
      <c r="E78" t="str">
        <f>IF($A78&lt;&gt;"",'Approved-Enforcement'!D78,"")</f>
        <v/>
      </c>
      <c r="F78" t="str">
        <f>IF($A78&lt;&gt;"",'Approved-Enforcement'!E78,"")</f>
        <v/>
      </c>
      <c r="G78" t="str">
        <f>IF($A78&lt;&gt;"",'Approved-Enforcement'!F78,"")</f>
        <v/>
      </c>
      <c r="H78" t="str">
        <f>IF($A78&lt;&gt;"",'Approved-Enforcement'!G78,"")</f>
        <v/>
      </c>
      <c r="I78" t="str">
        <f>IF($A78&lt;&gt;"",'Approved-Enforcement'!H78,"")</f>
        <v/>
      </c>
      <c r="J78" t="str">
        <f>IF($A78&lt;&gt;"",'Approved-Enforcement'!I78,"")</f>
        <v/>
      </c>
      <c r="K78" t="str">
        <f>IF($A78&lt;&gt;"",'Approved-Enforcement'!J78,"")</f>
        <v/>
      </c>
      <c r="L78" t="str">
        <f>IF($A78&lt;&gt;"",'Approved-Enforcement'!K78,"")</f>
        <v/>
      </c>
      <c r="M78" t="str">
        <f>IF($A78&lt;&gt;"",'Approved-Enforcement'!L78,"")</f>
        <v/>
      </c>
      <c r="N78" t="str">
        <f>IF($A78&lt;&gt;"",'Approved-Enforcement'!M78,"")</f>
        <v/>
      </c>
      <c r="O78" t="str">
        <f>IF($A78&lt;&gt;"",'Approved-Enforcement'!N78,"")</f>
        <v/>
      </c>
      <c r="P78" t="str">
        <f>IF($A78&lt;&gt;"",'Approved-Enforcement'!O78,"")</f>
        <v/>
      </c>
    </row>
    <row r="79" spans="1:16" x14ac:dyDescent="0.35">
      <c r="A79" s="4" t="str">
        <f>IF('Approved-Enforcement'!$A79&lt;&gt;"",'Approved-Enforcement'!A79,"")</f>
        <v/>
      </c>
      <c r="B79" t="str">
        <f t="shared" si="1"/>
        <v/>
      </c>
      <c r="D79" t="str">
        <f>IF($A79&lt;&gt;"",IF($R79&lt;&gt;"",$R79,'Approved-Enforcement'!$B79+7),"")</f>
        <v/>
      </c>
      <c r="E79" t="str">
        <f>IF($A79&lt;&gt;"",'Approved-Enforcement'!D79,"")</f>
        <v/>
      </c>
      <c r="F79" t="str">
        <f>IF($A79&lt;&gt;"",'Approved-Enforcement'!E79,"")</f>
        <v/>
      </c>
      <c r="G79" t="str">
        <f>IF($A79&lt;&gt;"",'Approved-Enforcement'!F79,"")</f>
        <v/>
      </c>
      <c r="H79" t="str">
        <f>IF($A79&lt;&gt;"",'Approved-Enforcement'!G79,"")</f>
        <v/>
      </c>
      <c r="I79" t="str">
        <f>IF($A79&lt;&gt;"",'Approved-Enforcement'!H79,"")</f>
        <v/>
      </c>
      <c r="J79" t="str">
        <f>IF($A79&lt;&gt;"",'Approved-Enforcement'!I79,"")</f>
        <v/>
      </c>
      <c r="K79" t="str">
        <f>IF($A79&lt;&gt;"",'Approved-Enforcement'!J79,"")</f>
        <v/>
      </c>
      <c r="L79" t="str">
        <f>IF($A79&lt;&gt;"",'Approved-Enforcement'!K79,"")</f>
        <v/>
      </c>
      <c r="M79" t="str">
        <f>IF($A79&lt;&gt;"",'Approved-Enforcement'!L79,"")</f>
        <v/>
      </c>
      <c r="N79" t="str">
        <f>IF($A79&lt;&gt;"",'Approved-Enforcement'!M79,"")</f>
        <v/>
      </c>
      <c r="O79" t="str">
        <f>IF($A79&lt;&gt;"",'Approved-Enforcement'!N79,"")</f>
        <v/>
      </c>
      <c r="P79" t="str">
        <f>IF($A79&lt;&gt;"",'Approved-Enforcement'!O79,"")</f>
        <v/>
      </c>
    </row>
    <row r="80" spans="1:16" x14ac:dyDescent="0.35">
      <c r="A80" s="4" t="str">
        <f>IF('Approved-Enforcement'!$A80&lt;&gt;"",'Approved-Enforcement'!A80,"")</f>
        <v/>
      </c>
      <c r="B80" t="str">
        <f t="shared" si="1"/>
        <v/>
      </c>
      <c r="D80" t="str">
        <f>IF($A80&lt;&gt;"",IF($R80&lt;&gt;"",$R80,'Approved-Enforcement'!$B80+7),"")</f>
        <v/>
      </c>
      <c r="E80" t="str">
        <f>IF($A80&lt;&gt;"",'Approved-Enforcement'!D80,"")</f>
        <v/>
      </c>
      <c r="F80" t="str">
        <f>IF($A80&lt;&gt;"",'Approved-Enforcement'!E80,"")</f>
        <v/>
      </c>
      <c r="G80" t="str">
        <f>IF($A80&lt;&gt;"",'Approved-Enforcement'!F80,"")</f>
        <v/>
      </c>
      <c r="H80" t="str">
        <f>IF($A80&lt;&gt;"",'Approved-Enforcement'!G80,"")</f>
        <v/>
      </c>
      <c r="I80" t="str">
        <f>IF($A80&lt;&gt;"",'Approved-Enforcement'!H80,"")</f>
        <v/>
      </c>
      <c r="J80" t="str">
        <f>IF($A80&lt;&gt;"",'Approved-Enforcement'!I80,"")</f>
        <v/>
      </c>
      <c r="K80" t="str">
        <f>IF($A80&lt;&gt;"",'Approved-Enforcement'!J80,"")</f>
        <v/>
      </c>
      <c r="L80" t="str">
        <f>IF($A80&lt;&gt;"",'Approved-Enforcement'!K80,"")</f>
        <v/>
      </c>
      <c r="M80" t="str">
        <f>IF($A80&lt;&gt;"",'Approved-Enforcement'!L80,"")</f>
        <v/>
      </c>
      <c r="N80" t="str">
        <f>IF($A80&lt;&gt;"",'Approved-Enforcement'!M80,"")</f>
        <v/>
      </c>
      <c r="O80" t="str">
        <f>IF($A80&lt;&gt;"",'Approved-Enforcement'!N80,"")</f>
        <v/>
      </c>
      <c r="P80" t="str">
        <f>IF($A80&lt;&gt;"",'Approved-Enforcement'!O80,"")</f>
        <v/>
      </c>
    </row>
    <row r="81" spans="1:16" x14ac:dyDescent="0.35">
      <c r="A81" s="4" t="str">
        <f>IF('Approved-Enforcement'!$A81&lt;&gt;"",'Approved-Enforcement'!A81,"")</f>
        <v/>
      </c>
      <c r="B81" t="str">
        <f t="shared" si="1"/>
        <v/>
      </c>
      <c r="D81" t="str">
        <f>IF($A81&lt;&gt;"",IF($R81&lt;&gt;"",$R81,'Approved-Enforcement'!$B81+7),"")</f>
        <v/>
      </c>
      <c r="E81" t="str">
        <f>IF($A81&lt;&gt;"",'Approved-Enforcement'!D81,"")</f>
        <v/>
      </c>
      <c r="F81" t="str">
        <f>IF($A81&lt;&gt;"",'Approved-Enforcement'!E81,"")</f>
        <v/>
      </c>
      <c r="G81" t="str">
        <f>IF($A81&lt;&gt;"",'Approved-Enforcement'!F81,"")</f>
        <v/>
      </c>
      <c r="H81" t="str">
        <f>IF($A81&lt;&gt;"",'Approved-Enforcement'!G81,"")</f>
        <v/>
      </c>
      <c r="I81" t="str">
        <f>IF($A81&lt;&gt;"",'Approved-Enforcement'!H81,"")</f>
        <v/>
      </c>
      <c r="J81" t="str">
        <f>IF($A81&lt;&gt;"",'Approved-Enforcement'!I81,"")</f>
        <v/>
      </c>
      <c r="K81" t="str">
        <f>IF($A81&lt;&gt;"",'Approved-Enforcement'!J81,"")</f>
        <v/>
      </c>
      <c r="L81" t="str">
        <f>IF($A81&lt;&gt;"",'Approved-Enforcement'!K81,"")</f>
        <v/>
      </c>
      <c r="M81" t="str">
        <f>IF($A81&lt;&gt;"",'Approved-Enforcement'!L81,"")</f>
        <v/>
      </c>
      <c r="N81" t="str">
        <f>IF($A81&lt;&gt;"",'Approved-Enforcement'!M81,"")</f>
        <v/>
      </c>
      <c r="O81" t="str">
        <f>IF($A81&lt;&gt;"",'Approved-Enforcement'!N81,"")</f>
        <v/>
      </c>
      <c r="P81" t="str">
        <f>IF($A81&lt;&gt;"",'Approved-Enforcement'!O81,"")</f>
        <v/>
      </c>
    </row>
    <row r="82" spans="1:16" x14ac:dyDescent="0.35">
      <c r="A82" s="4" t="str">
        <f>IF('Approved-Enforcement'!$A82&lt;&gt;"",'Approved-Enforcement'!A82,"")</f>
        <v/>
      </c>
      <c r="B82" t="str">
        <f t="shared" si="1"/>
        <v/>
      </c>
      <c r="D82" t="str">
        <f>IF($A82&lt;&gt;"",IF($R82&lt;&gt;"",$R82,'Approved-Enforcement'!$B82+7),"")</f>
        <v/>
      </c>
      <c r="E82" t="str">
        <f>IF($A82&lt;&gt;"",'Approved-Enforcement'!D82,"")</f>
        <v/>
      </c>
      <c r="F82" t="str">
        <f>IF($A82&lt;&gt;"",'Approved-Enforcement'!E82,"")</f>
        <v/>
      </c>
      <c r="G82" t="str">
        <f>IF($A82&lt;&gt;"",'Approved-Enforcement'!F82,"")</f>
        <v/>
      </c>
      <c r="H82" t="str">
        <f>IF($A82&lt;&gt;"",'Approved-Enforcement'!G82,"")</f>
        <v/>
      </c>
      <c r="I82" t="str">
        <f>IF($A82&lt;&gt;"",'Approved-Enforcement'!H82,"")</f>
        <v/>
      </c>
      <c r="J82" t="str">
        <f>IF($A82&lt;&gt;"",'Approved-Enforcement'!I82,"")</f>
        <v/>
      </c>
      <c r="K82" t="str">
        <f>IF($A82&lt;&gt;"",'Approved-Enforcement'!J82,"")</f>
        <v/>
      </c>
      <c r="L82" t="str">
        <f>IF($A82&lt;&gt;"",'Approved-Enforcement'!K82,"")</f>
        <v/>
      </c>
      <c r="M82" t="str">
        <f>IF($A82&lt;&gt;"",'Approved-Enforcement'!L82,"")</f>
        <v/>
      </c>
      <c r="N82" t="str">
        <f>IF($A82&lt;&gt;"",'Approved-Enforcement'!M82,"")</f>
        <v/>
      </c>
      <c r="O82" t="str">
        <f>IF($A82&lt;&gt;"",'Approved-Enforcement'!N82,"")</f>
        <v/>
      </c>
      <c r="P82" t="str">
        <f>IF($A82&lt;&gt;"",'Approved-Enforcement'!O82,"")</f>
        <v/>
      </c>
    </row>
    <row r="83" spans="1:16" x14ac:dyDescent="0.35">
      <c r="A83" s="4" t="str">
        <f>IF('Approved-Enforcement'!$A83&lt;&gt;"",'Approved-Enforcement'!A83,"")</f>
        <v/>
      </c>
      <c r="B83" t="str">
        <f t="shared" si="1"/>
        <v/>
      </c>
      <c r="D83" t="str">
        <f>IF($A83&lt;&gt;"",IF($R83&lt;&gt;"",$R83,'Approved-Enforcement'!$B83+7),"")</f>
        <v/>
      </c>
      <c r="E83" t="str">
        <f>IF($A83&lt;&gt;"",'Approved-Enforcement'!D83,"")</f>
        <v/>
      </c>
      <c r="F83" t="str">
        <f>IF($A83&lt;&gt;"",'Approved-Enforcement'!E83,"")</f>
        <v/>
      </c>
      <c r="G83" t="str">
        <f>IF($A83&lt;&gt;"",'Approved-Enforcement'!F83,"")</f>
        <v/>
      </c>
      <c r="H83" t="str">
        <f>IF($A83&lt;&gt;"",'Approved-Enforcement'!G83,"")</f>
        <v/>
      </c>
      <c r="I83" t="str">
        <f>IF($A83&lt;&gt;"",'Approved-Enforcement'!H83,"")</f>
        <v/>
      </c>
      <c r="J83" t="str">
        <f>IF($A83&lt;&gt;"",'Approved-Enforcement'!I83,"")</f>
        <v/>
      </c>
      <c r="K83" t="str">
        <f>IF($A83&lt;&gt;"",'Approved-Enforcement'!J83,"")</f>
        <v/>
      </c>
      <c r="L83" t="str">
        <f>IF($A83&lt;&gt;"",'Approved-Enforcement'!K83,"")</f>
        <v/>
      </c>
      <c r="M83" t="str">
        <f>IF($A83&lt;&gt;"",'Approved-Enforcement'!L83,"")</f>
        <v/>
      </c>
      <c r="N83" t="str">
        <f>IF($A83&lt;&gt;"",'Approved-Enforcement'!M83,"")</f>
        <v/>
      </c>
      <c r="O83" t="str">
        <f>IF($A83&lt;&gt;"",'Approved-Enforcement'!N83,"")</f>
        <v/>
      </c>
      <c r="P83" t="str">
        <f>IF($A83&lt;&gt;"",'Approved-Enforcement'!O83,"")</f>
        <v/>
      </c>
    </row>
    <row r="84" spans="1:16" x14ac:dyDescent="0.35">
      <c r="A84" s="4" t="str">
        <f>IF('Approved-Enforcement'!$A84&lt;&gt;"",'Approved-Enforcement'!A84,"")</f>
        <v/>
      </c>
      <c r="B84" t="str">
        <f t="shared" si="1"/>
        <v/>
      </c>
      <c r="D84" t="str">
        <f>IF($A84&lt;&gt;"",IF($R84&lt;&gt;"",$R84,'Approved-Enforcement'!$B84+7),"")</f>
        <v/>
      </c>
      <c r="E84" t="str">
        <f>IF($A84&lt;&gt;"",'Approved-Enforcement'!D84,"")</f>
        <v/>
      </c>
      <c r="F84" t="str">
        <f>IF($A84&lt;&gt;"",'Approved-Enforcement'!E84,"")</f>
        <v/>
      </c>
      <c r="G84" t="str">
        <f>IF($A84&lt;&gt;"",'Approved-Enforcement'!F84,"")</f>
        <v/>
      </c>
      <c r="H84" t="str">
        <f>IF($A84&lt;&gt;"",'Approved-Enforcement'!G84,"")</f>
        <v/>
      </c>
      <c r="I84" t="str">
        <f>IF($A84&lt;&gt;"",'Approved-Enforcement'!H84,"")</f>
        <v/>
      </c>
      <c r="J84" t="str">
        <f>IF($A84&lt;&gt;"",'Approved-Enforcement'!I84,"")</f>
        <v/>
      </c>
      <c r="K84" t="str">
        <f>IF($A84&lt;&gt;"",'Approved-Enforcement'!J84,"")</f>
        <v/>
      </c>
      <c r="L84" t="str">
        <f>IF($A84&lt;&gt;"",'Approved-Enforcement'!K84,"")</f>
        <v/>
      </c>
      <c r="M84" t="str">
        <f>IF($A84&lt;&gt;"",'Approved-Enforcement'!L84,"")</f>
        <v/>
      </c>
      <c r="N84" t="str">
        <f>IF($A84&lt;&gt;"",'Approved-Enforcement'!M84,"")</f>
        <v/>
      </c>
      <c r="O84" t="str">
        <f>IF($A84&lt;&gt;"",'Approved-Enforcement'!N84,"")</f>
        <v/>
      </c>
      <c r="P84" t="str">
        <f>IF($A84&lt;&gt;"",'Approved-Enforcement'!O84,"")</f>
        <v/>
      </c>
    </row>
    <row r="85" spans="1:16" x14ac:dyDescent="0.35">
      <c r="A85" s="4" t="str">
        <f>IF('Approved-Enforcement'!$A85&lt;&gt;"",'Approved-Enforcement'!A85,"")</f>
        <v/>
      </c>
      <c r="B85" t="str">
        <f t="shared" si="1"/>
        <v/>
      </c>
      <c r="D85" t="str">
        <f>IF($A85&lt;&gt;"",IF($R85&lt;&gt;"",$R85,'Approved-Enforcement'!$B85+7),"")</f>
        <v/>
      </c>
      <c r="E85" t="str">
        <f>IF($A85&lt;&gt;"",'Approved-Enforcement'!D85,"")</f>
        <v/>
      </c>
      <c r="F85" t="str">
        <f>IF($A85&lt;&gt;"",'Approved-Enforcement'!E85,"")</f>
        <v/>
      </c>
      <c r="G85" t="str">
        <f>IF($A85&lt;&gt;"",'Approved-Enforcement'!F85,"")</f>
        <v/>
      </c>
      <c r="H85" t="str">
        <f>IF($A85&lt;&gt;"",'Approved-Enforcement'!G85,"")</f>
        <v/>
      </c>
      <c r="I85" t="str">
        <f>IF($A85&lt;&gt;"",'Approved-Enforcement'!H85,"")</f>
        <v/>
      </c>
      <c r="J85" t="str">
        <f>IF($A85&lt;&gt;"",'Approved-Enforcement'!I85,"")</f>
        <v/>
      </c>
      <c r="K85" t="str">
        <f>IF($A85&lt;&gt;"",'Approved-Enforcement'!J85,"")</f>
        <v/>
      </c>
      <c r="L85" t="str">
        <f>IF($A85&lt;&gt;"",'Approved-Enforcement'!K85,"")</f>
        <v/>
      </c>
      <c r="M85" t="str">
        <f>IF($A85&lt;&gt;"",'Approved-Enforcement'!L85,"")</f>
        <v/>
      </c>
      <c r="N85" t="str">
        <f>IF($A85&lt;&gt;"",'Approved-Enforcement'!M85,"")</f>
        <v/>
      </c>
      <c r="O85" t="str">
        <f>IF($A85&lt;&gt;"",'Approved-Enforcement'!N85,"")</f>
        <v/>
      </c>
      <c r="P85" t="str">
        <f>IF($A85&lt;&gt;"",'Approved-Enforcement'!O85,"")</f>
        <v/>
      </c>
    </row>
    <row r="86" spans="1:16" x14ac:dyDescent="0.35">
      <c r="A86" s="4" t="str">
        <f>IF('Approved-Enforcement'!$A86&lt;&gt;"",'Approved-Enforcement'!A86,"")</f>
        <v/>
      </c>
      <c r="B86" t="str">
        <f t="shared" si="1"/>
        <v/>
      </c>
      <c r="D86" t="str">
        <f>IF($A86&lt;&gt;"",IF($R86&lt;&gt;"",$R86,'Approved-Enforcement'!$B86+7),"")</f>
        <v/>
      </c>
      <c r="E86" t="str">
        <f>IF($A86&lt;&gt;"",'Approved-Enforcement'!D86,"")</f>
        <v/>
      </c>
      <c r="F86" t="str">
        <f>IF($A86&lt;&gt;"",'Approved-Enforcement'!E86,"")</f>
        <v/>
      </c>
      <c r="G86" t="str">
        <f>IF($A86&lt;&gt;"",'Approved-Enforcement'!F86,"")</f>
        <v/>
      </c>
      <c r="H86" t="str">
        <f>IF($A86&lt;&gt;"",'Approved-Enforcement'!G86,"")</f>
        <v/>
      </c>
      <c r="I86" t="str">
        <f>IF($A86&lt;&gt;"",'Approved-Enforcement'!H86,"")</f>
        <v/>
      </c>
      <c r="J86" t="str">
        <f>IF($A86&lt;&gt;"",'Approved-Enforcement'!I86,"")</f>
        <v/>
      </c>
      <c r="K86" t="str">
        <f>IF($A86&lt;&gt;"",'Approved-Enforcement'!J86,"")</f>
        <v/>
      </c>
      <c r="L86" t="str">
        <f>IF($A86&lt;&gt;"",'Approved-Enforcement'!K86,"")</f>
        <v/>
      </c>
      <c r="M86" t="str">
        <f>IF($A86&lt;&gt;"",'Approved-Enforcement'!L86,"")</f>
        <v/>
      </c>
      <c r="N86" t="str">
        <f>IF($A86&lt;&gt;"",'Approved-Enforcement'!M86,"")</f>
        <v/>
      </c>
      <c r="O86" t="str">
        <f>IF($A86&lt;&gt;"",'Approved-Enforcement'!N86,"")</f>
        <v/>
      </c>
      <c r="P86" t="str">
        <f>IF($A86&lt;&gt;"",'Approved-Enforcement'!O86,"")</f>
        <v/>
      </c>
    </row>
    <row r="87" spans="1:16" x14ac:dyDescent="0.35">
      <c r="A87" s="4" t="str">
        <f>IF('Approved-Enforcement'!$A87&lt;&gt;"",'Approved-Enforcement'!A87,"")</f>
        <v/>
      </c>
      <c r="B87" t="str">
        <f t="shared" si="1"/>
        <v/>
      </c>
      <c r="D87" t="str">
        <f>IF($A87&lt;&gt;"",IF($R87&lt;&gt;"",$R87,'Approved-Enforcement'!$B87+7),"")</f>
        <v/>
      </c>
      <c r="E87" t="str">
        <f>IF($A87&lt;&gt;"",'Approved-Enforcement'!D87,"")</f>
        <v/>
      </c>
      <c r="F87" t="str">
        <f>IF($A87&lt;&gt;"",'Approved-Enforcement'!E87,"")</f>
        <v/>
      </c>
      <c r="G87" t="str">
        <f>IF($A87&lt;&gt;"",'Approved-Enforcement'!F87,"")</f>
        <v/>
      </c>
      <c r="H87" t="str">
        <f>IF($A87&lt;&gt;"",'Approved-Enforcement'!G87,"")</f>
        <v/>
      </c>
      <c r="I87" t="str">
        <f>IF($A87&lt;&gt;"",'Approved-Enforcement'!H87,"")</f>
        <v/>
      </c>
      <c r="J87" t="str">
        <f>IF($A87&lt;&gt;"",'Approved-Enforcement'!I87,"")</f>
        <v/>
      </c>
      <c r="K87" t="str">
        <f>IF($A87&lt;&gt;"",'Approved-Enforcement'!J87,"")</f>
        <v/>
      </c>
      <c r="L87" t="str">
        <f>IF($A87&lt;&gt;"",'Approved-Enforcement'!K87,"")</f>
        <v/>
      </c>
      <c r="M87" t="str">
        <f>IF($A87&lt;&gt;"",'Approved-Enforcement'!L87,"")</f>
        <v/>
      </c>
      <c r="N87" t="str">
        <f>IF($A87&lt;&gt;"",'Approved-Enforcement'!M87,"")</f>
        <v/>
      </c>
      <c r="O87" t="str">
        <f>IF($A87&lt;&gt;"",'Approved-Enforcement'!N87,"")</f>
        <v/>
      </c>
      <c r="P87" t="str">
        <f>IF($A87&lt;&gt;"",'Approved-Enforcement'!O87,"")</f>
        <v/>
      </c>
    </row>
    <row r="88" spans="1:16" x14ac:dyDescent="0.35">
      <c r="A88" s="4" t="str">
        <f>IF('Approved-Enforcement'!$A88&lt;&gt;"",'Approved-Enforcement'!A88,"")</f>
        <v/>
      </c>
      <c r="B88" t="str">
        <f t="shared" si="1"/>
        <v/>
      </c>
      <c r="D88" t="str">
        <f>IF($A88&lt;&gt;"",IF($R88&lt;&gt;"",$R88,'Approved-Enforcement'!$B88+7),"")</f>
        <v/>
      </c>
      <c r="E88" t="str">
        <f>IF($A88&lt;&gt;"",'Approved-Enforcement'!D88,"")</f>
        <v/>
      </c>
      <c r="F88" t="str">
        <f>IF($A88&lt;&gt;"",'Approved-Enforcement'!E88,"")</f>
        <v/>
      </c>
      <c r="G88" t="str">
        <f>IF($A88&lt;&gt;"",'Approved-Enforcement'!F88,"")</f>
        <v/>
      </c>
      <c r="H88" t="str">
        <f>IF($A88&lt;&gt;"",'Approved-Enforcement'!G88,"")</f>
        <v/>
      </c>
      <c r="I88" t="str">
        <f>IF($A88&lt;&gt;"",'Approved-Enforcement'!H88,"")</f>
        <v/>
      </c>
      <c r="J88" t="str">
        <f>IF($A88&lt;&gt;"",'Approved-Enforcement'!I88,"")</f>
        <v/>
      </c>
      <c r="K88" t="str">
        <f>IF($A88&lt;&gt;"",'Approved-Enforcement'!J88,"")</f>
        <v/>
      </c>
      <c r="L88" t="str">
        <f>IF($A88&lt;&gt;"",'Approved-Enforcement'!K88,"")</f>
        <v/>
      </c>
      <c r="M88" t="str">
        <f>IF($A88&lt;&gt;"",'Approved-Enforcement'!L88,"")</f>
        <v/>
      </c>
      <c r="N88" t="str">
        <f>IF($A88&lt;&gt;"",'Approved-Enforcement'!M88,"")</f>
        <v/>
      </c>
      <c r="O88" t="str">
        <f>IF($A88&lt;&gt;"",'Approved-Enforcement'!N88,"")</f>
        <v/>
      </c>
      <c r="P88" t="str">
        <f>IF($A88&lt;&gt;"",'Approved-Enforcement'!O88,"")</f>
        <v/>
      </c>
    </row>
    <row r="89" spans="1:16" x14ac:dyDescent="0.35">
      <c r="A89" s="4" t="str">
        <f>IF('Approved-Enforcement'!$A89&lt;&gt;"",'Approved-Enforcement'!A89,"")</f>
        <v/>
      </c>
      <c r="B89" t="str">
        <f t="shared" si="1"/>
        <v/>
      </c>
      <c r="D89" t="str">
        <f>IF($A89&lt;&gt;"",IF($R89&lt;&gt;"",$R89,'Approved-Enforcement'!$B89+7),"")</f>
        <v/>
      </c>
      <c r="E89" t="str">
        <f>IF($A89&lt;&gt;"",'Approved-Enforcement'!D89,"")</f>
        <v/>
      </c>
      <c r="F89" t="str">
        <f>IF($A89&lt;&gt;"",'Approved-Enforcement'!E89,"")</f>
        <v/>
      </c>
      <c r="G89" t="str">
        <f>IF($A89&lt;&gt;"",'Approved-Enforcement'!F89,"")</f>
        <v/>
      </c>
      <c r="H89" t="str">
        <f>IF($A89&lt;&gt;"",'Approved-Enforcement'!G89,"")</f>
        <v/>
      </c>
      <c r="I89" t="str">
        <f>IF($A89&lt;&gt;"",'Approved-Enforcement'!H89,"")</f>
        <v/>
      </c>
      <c r="J89" t="str">
        <f>IF($A89&lt;&gt;"",'Approved-Enforcement'!I89,"")</f>
        <v/>
      </c>
      <c r="K89" t="str">
        <f>IF($A89&lt;&gt;"",'Approved-Enforcement'!J89,"")</f>
        <v/>
      </c>
      <c r="L89" t="str">
        <f>IF($A89&lt;&gt;"",'Approved-Enforcement'!K89,"")</f>
        <v/>
      </c>
      <c r="M89" t="str">
        <f>IF($A89&lt;&gt;"",'Approved-Enforcement'!L89,"")</f>
        <v/>
      </c>
      <c r="N89" t="str">
        <f>IF($A89&lt;&gt;"",'Approved-Enforcement'!M89,"")</f>
        <v/>
      </c>
      <c r="O89" t="str">
        <f>IF($A89&lt;&gt;"",'Approved-Enforcement'!N89,"")</f>
        <v/>
      </c>
      <c r="P89" t="str">
        <f>IF($A89&lt;&gt;"",'Approved-Enforcement'!O89,"")</f>
        <v/>
      </c>
    </row>
    <row r="90" spans="1:16" x14ac:dyDescent="0.35">
      <c r="A90" s="4" t="str">
        <f>IF('Approved-Enforcement'!$A90&lt;&gt;"",'Approved-Enforcement'!A90,"")</f>
        <v/>
      </c>
      <c r="B90" t="str">
        <f t="shared" si="1"/>
        <v/>
      </c>
      <c r="D90" t="str">
        <f>IF($A90&lt;&gt;"",IF($R90&lt;&gt;"",$R90,'Approved-Enforcement'!$B90+7),"")</f>
        <v/>
      </c>
      <c r="E90" t="str">
        <f>IF($A90&lt;&gt;"",'Approved-Enforcement'!D90,"")</f>
        <v/>
      </c>
      <c r="F90" t="str">
        <f>IF($A90&lt;&gt;"",'Approved-Enforcement'!E90,"")</f>
        <v/>
      </c>
      <c r="G90" t="str">
        <f>IF($A90&lt;&gt;"",'Approved-Enforcement'!F90,"")</f>
        <v/>
      </c>
      <c r="H90" t="str">
        <f>IF($A90&lt;&gt;"",'Approved-Enforcement'!G90,"")</f>
        <v/>
      </c>
      <c r="I90" t="str">
        <f>IF($A90&lt;&gt;"",'Approved-Enforcement'!H90,"")</f>
        <v/>
      </c>
      <c r="J90" t="str">
        <f>IF($A90&lt;&gt;"",'Approved-Enforcement'!I90,"")</f>
        <v/>
      </c>
      <c r="K90" t="str">
        <f>IF($A90&lt;&gt;"",'Approved-Enforcement'!J90,"")</f>
        <v/>
      </c>
      <c r="L90" t="str">
        <f>IF($A90&lt;&gt;"",'Approved-Enforcement'!K90,"")</f>
        <v/>
      </c>
      <c r="M90" t="str">
        <f>IF($A90&lt;&gt;"",'Approved-Enforcement'!L90,"")</f>
        <v/>
      </c>
      <c r="N90" t="str">
        <f>IF($A90&lt;&gt;"",'Approved-Enforcement'!M90,"")</f>
        <v/>
      </c>
      <c r="O90" t="str">
        <f>IF($A90&lt;&gt;"",'Approved-Enforcement'!N90,"")</f>
        <v/>
      </c>
      <c r="P90" t="str">
        <f>IF($A90&lt;&gt;"",'Approved-Enforcement'!O90,"")</f>
        <v/>
      </c>
    </row>
    <row r="91" spans="1:16" x14ac:dyDescent="0.35">
      <c r="A91" s="4" t="str">
        <f>IF('Approved-Enforcement'!$A91&lt;&gt;"",'Approved-Enforcement'!A91,"")</f>
        <v/>
      </c>
      <c r="B91" t="str">
        <f t="shared" si="1"/>
        <v/>
      </c>
      <c r="D91" t="str">
        <f>IF($A91&lt;&gt;"",IF($R91&lt;&gt;"",$R91,'Approved-Enforcement'!$B91+7),"")</f>
        <v/>
      </c>
      <c r="E91" t="str">
        <f>IF($A91&lt;&gt;"",'Approved-Enforcement'!D91,"")</f>
        <v/>
      </c>
      <c r="F91" t="str">
        <f>IF($A91&lt;&gt;"",'Approved-Enforcement'!E91,"")</f>
        <v/>
      </c>
      <c r="G91" t="str">
        <f>IF($A91&lt;&gt;"",'Approved-Enforcement'!F91,"")</f>
        <v/>
      </c>
      <c r="H91" t="str">
        <f>IF($A91&lt;&gt;"",'Approved-Enforcement'!G91,"")</f>
        <v/>
      </c>
      <c r="I91" t="str">
        <f>IF($A91&lt;&gt;"",'Approved-Enforcement'!H91,"")</f>
        <v/>
      </c>
      <c r="J91" t="str">
        <f>IF($A91&lt;&gt;"",'Approved-Enforcement'!I91,"")</f>
        <v/>
      </c>
      <c r="K91" t="str">
        <f>IF($A91&lt;&gt;"",'Approved-Enforcement'!J91,"")</f>
        <v/>
      </c>
      <c r="L91" t="str">
        <f>IF($A91&lt;&gt;"",'Approved-Enforcement'!K91,"")</f>
        <v/>
      </c>
      <c r="M91" t="str">
        <f>IF($A91&lt;&gt;"",'Approved-Enforcement'!L91,"")</f>
        <v/>
      </c>
      <c r="N91" t="str">
        <f>IF($A91&lt;&gt;"",'Approved-Enforcement'!M91,"")</f>
        <v/>
      </c>
      <c r="O91" t="str">
        <f>IF($A91&lt;&gt;"",'Approved-Enforcement'!N91,"")</f>
        <v/>
      </c>
      <c r="P91" t="str">
        <f>IF($A91&lt;&gt;"",'Approved-Enforcement'!O91,"")</f>
        <v/>
      </c>
    </row>
    <row r="92" spans="1:16" x14ac:dyDescent="0.35">
      <c r="A92" s="4" t="str">
        <f>IF('Approved-Enforcement'!$A92&lt;&gt;"",'Approved-Enforcement'!A92,"")</f>
        <v/>
      </c>
      <c r="B92" t="str">
        <f t="shared" si="1"/>
        <v/>
      </c>
      <c r="D92" t="str">
        <f>IF($A92&lt;&gt;"",IF($R92&lt;&gt;"",$R92,'Approved-Enforcement'!$B92+7),"")</f>
        <v/>
      </c>
      <c r="E92" t="str">
        <f>IF($A92&lt;&gt;"",'Approved-Enforcement'!D92,"")</f>
        <v/>
      </c>
      <c r="F92" t="str">
        <f>IF($A92&lt;&gt;"",'Approved-Enforcement'!E92,"")</f>
        <v/>
      </c>
      <c r="G92" t="str">
        <f>IF($A92&lt;&gt;"",'Approved-Enforcement'!F92,"")</f>
        <v/>
      </c>
      <c r="H92" t="str">
        <f>IF($A92&lt;&gt;"",'Approved-Enforcement'!G92,"")</f>
        <v/>
      </c>
      <c r="I92" t="str">
        <f>IF($A92&lt;&gt;"",'Approved-Enforcement'!H92,"")</f>
        <v/>
      </c>
      <c r="J92" t="str">
        <f>IF($A92&lt;&gt;"",'Approved-Enforcement'!I92,"")</f>
        <v/>
      </c>
      <c r="K92" t="str">
        <f>IF($A92&lt;&gt;"",'Approved-Enforcement'!J92,"")</f>
        <v/>
      </c>
      <c r="L92" t="str">
        <f>IF($A92&lt;&gt;"",'Approved-Enforcement'!K92,"")</f>
        <v/>
      </c>
      <c r="M92" t="str">
        <f>IF($A92&lt;&gt;"",'Approved-Enforcement'!L92,"")</f>
        <v/>
      </c>
      <c r="N92" t="str">
        <f>IF($A92&lt;&gt;"",'Approved-Enforcement'!M92,"")</f>
        <v/>
      </c>
      <c r="O92" t="str">
        <f>IF($A92&lt;&gt;"",'Approved-Enforcement'!N92,"")</f>
        <v/>
      </c>
      <c r="P92" t="str">
        <f>IF($A92&lt;&gt;"",'Approved-Enforcement'!O92,"")</f>
        <v/>
      </c>
    </row>
    <row r="93" spans="1:16" x14ac:dyDescent="0.35">
      <c r="A93" s="4" t="str">
        <f>IF('Approved-Enforcement'!$A93&lt;&gt;"",'Approved-Enforcement'!A93,"")</f>
        <v/>
      </c>
      <c r="B93" t="str">
        <f t="shared" si="1"/>
        <v/>
      </c>
      <c r="D93" t="str">
        <f>IF($A93&lt;&gt;"",IF($R93&lt;&gt;"",$R93,'Approved-Enforcement'!$B93+7),"")</f>
        <v/>
      </c>
      <c r="E93" t="str">
        <f>IF($A93&lt;&gt;"",'Approved-Enforcement'!D93,"")</f>
        <v/>
      </c>
      <c r="F93" t="str">
        <f>IF($A93&lt;&gt;"",'Approved-Enforcement'!E93,"")</f>
        <v/>
      </c>
      <c r="G93" t="str">
        <f>IF($A93&lt;&gt;"",'Approved-Enforcement'!F93,"")</f>
        <v/>
      </c>
      <c r="H93" t="str">
        <f>IF($A93&lt;&gt;"",'Approved-Enforcement'!G93,"")</f>
        <v/>
      </c>
      <c r="I93" t="str">
        <f>IF($A93&lt;&gt;"",'Approved-Enforcement'!H93,"")</f>
        <v/>
      </c>
      <c r="J93" t="str">
        <f>IF($A93&lt;&gt;"",'Approved-Enforcement'!I93,"")</f>
        <v/>
      </c>
      <c r="K93" t="str">
        <f>IF($A93&lt;&gt;"",'Approved-Enforcement'!J93,"")</f>
        <v/>
      </c>
      <c r="L93" t="str">
        <f>IF($A93&lt;&gt;"",'Approved-Enforcement'!K93,"")</f>
        <v/>
      </c>
      <c r="M93" t="str">
        <f>IF($A93&lt;&gt;"",'Approved-Enforcement'!L93,"")</f>
        <v/>
      </c>
      <c r="N93" t="str">
        <f>IF($A93&lt;&gt;"",'Approved-Enforcement'!M93,"")</f>
        <v/>
      </c>
      <c r="O93" t="str">
        <f>IF($A93&lt;&gt;"",'Approved-Enforcement'!N93,"")</f>
        <v/>
      </c>
      <c r="P93" t="str">
        <f>IF($A93&lt;&gt;"",'Approved-Enforcement'!O93,"")</f>
        <v/>
      </c>
    </row>
    <row r="94" spans="1:16" x14ac:dyDescent="0.35">
      <c r="A94" s="4" t="str">
        <f>IF('Approved-Enforcement'!$A94&lt;&gt;"",'Approved-Enforcement'!A94,"")</f>
        <v/>
      </c>
      <c r="B94" t="str">
        <f t="shared" si="1"/>
        <v/>
      </c>
      <c r="D94" t="str">
        <f>IF($A94&lt;&gt;"",IF($R94&lt;&gt;"",$R94,'Approved-Enforcement'!$B94+7),"")</f>
        <v/>
      </c>
      <c r="E94" t="str">
        <f>IF($A94&lt;&gt;"",'Approved-Enforcement'!D94,"")</f>
        <v/>
      </c>
      <c r="F94" t="str">
        <f>IF($A94&lt;&gt;"",'Approved-Enforcement'!E94,"")</f>
        <v/>
      </c>
      <c r="G94" t="str">
        <f>IF($A94&lt;&gt;"",'Approved-Enforcement'!F94,"")</f>
        <v/>
      </c>
      <c r="H94" t="str">
        <f>IF($A94&lt;&gt;"",'Approved-Enforcement'!G94,"")</f>
        <v/>
      </c>
      <c r="I94" t="str">
        <f>IF($A94&lt;&gt;"",'Approved-Enforcement'!H94,"")</f>
        <v/>
      </c>
      <c r="J94" t="str">
        <f>IF($A94&lt;&gt;"",'Approved-Enforcement'!I94,"")</f>
        <v/>
      </c>
      <c r="K94" t="str">
        <f>IF($A94&lt;&gt;"",'Approved-Enforcement'!J94,"")</f>
        <v/>
      </c>
      <c r="L94" t="str">
        <f>IF($A94&lt;&gt;"",'Approved-Enforcement'!K94,"")</f>
        <v/>
      </c>
      <c r="M94" t="str">
        <f>IF($A94&lt;&gt;"",'Approved-Enforcement'!L94,"")</f>
        <v/>
      </c>
      <c r="N94" t="str">
        <f>IF($A94&lt;&gt;"",'Approved-Enforcement'!M94,"")</f>
        <v/>
      </c>
      <c r="O94" t="str">
        <f>IF($A94&lt;&gt;"",'Approved-Enforcement'!N94,"")</f>
        <v/>
      </c>
      <c r="P94" t="str">
        <f>IF($A94&lt;&gt;"",'Approved-Enforcement'!O94,"")</f>
        <v/>
      </c>
    </row>
    <row r="95" spans="1:16" x14ac:dyDescent="0.35">
      <c r="A95" s="4" t="str">
        <f>IF('Approved-Enforcement'!$A95&lt;&gt;"",'Approved-Enforcement'!A95,"")</f>
        <v/>
      </c>
      <c r="B95" t="str">
        <f t="shared" si="1"/>
        <v/>
      </c>
      <c r="D95" t="str">
        <f>IF($A95&lt;&gt;"",IF($R95&lt;&gt;"",$R95,'Approved-Enforcement'!$B95+7),"")</f>
        <v/>
      </c>
      <c r="E95" t="str">
        <f>IF($A95&lt;&gt;"",'Approved-Enforcement'!D95,"")</f>
        <v/>
      </c>
      <c r="F95" t="str">
        <f>IF($A95&lt;&gt;"",'Approved-Enforcement'!E95,"")</f>
        <v/>
      </c>
      <c r="G95" t="str">
        <f>IF($A95&lt;&gt;"",'Approved-Enforcement'!F95,"")</f>
        <v/>
      </c>
      <c r="H95" t="str">
        <f>IF($A95&lt;&gt;"",'Approved-Enforcement'!G95,"")</f>
        <v/>
      </c>
      <c r="I95" t="str">
        <f>IF($A95&lt;&gt;"",'Approved-Enforcement'!H95,"")</f>
        <v/>
      </c>
      <c r="J95" t="str">
        <f>IF($A95&lt;&gt;"",'Approved-Enforcement'!I95,"")</f>
        <v/>
      </c>
      <c r="K95" t="str">
        <f>IF($A95&lt;&gt;"",'Approved-Enforcement'!J95,"")</f>
        <v/>
      </c>
      <c r="L95" t="str">
        <f>IF($A95&lt;&gt;"",'Approved-Enforcement'!K95,"")</f>
        <v/>
      </c>
      <c r="M95" t="str">
        <f>IF($A95&lt;&gt;"",'Approved-Enforcement'!L95,"")</f>
        <v/>
      </c>
      <c r="N95" t="str">
        <f>IF($A95&lt;&gt;"",'Approved-Enforcement'!M95,"")</f>
        <v/>
      </c>
      <c r="O95" t="str">
        <f>IF($A95&lt;&gt;"",'Approved-Enforcement'!N95,"")</f>
        <v/>
      </c>
      <c r="P95" t="str">
        <f>IF($A95&lt;&gt;"",'Approved-Enforcement'!O95,"")</f>
        <v/>
      </c>
    </row>
    <row r="96" spans="1:16" x14ac:dyDescent="0.35">
      <c r="A96" s="4" t="str">
        <f>IF('Approved-Enforcement'!$A96&lt;&gt;"",'Approved-Enforcement'!A96,"")</f>
        <v/>
      </c>
      <c r="B96" t="str">
        <f t="shared" si="1"/>
        <v/>
      </c>
      <c r="D96" t="str">
        <f>IF($A96&lt;&gt;"",IF($R96&lt;&gt;"",$R96,'Approved-Enforcement'!$B96+7),"")</f>
        <v/>
      </c>
      <c r="E96" t="str">
        <f>IF($A96&lt;&gt;"",'Approved-Enforcement'!D96,"")</f>
        <v/>
      </c>
      <c r="F96" t="str">
        <f>IF($A96&lt;&gt;"",'Approved-Enforcement'!E96,"")</f>
        <v/>
      </c>
      <c r="G96" t="str">
        <f>IF($A96&lt;&gt;"",'Approved-Enforcement'!F96,"")</f>
        <v/>
      </c>
      <c r="H96" t="str">
        <f>IF($A96&lt;&gt;"",'Approved-Enforcement'!G96,"")</f>
        <v/>
      </c>
      <c r="I96" t="str">
        <f>IF($A96&lt;&gt;"",'Approved-Enforcement'!H96,"")</f>
        <v/>
      </c>
      <c r="J96" t="str">
        <f>IF($A96&lt;&gt;"",'Approved-Enforcement'!I96,"")</f>
        <v/>
      </c>
      <c r="K96" t="str">
        <f>IF($A96&lt;&gt;"",'Approved-Enforcement'!J96,"")</f>
        <v/>
      </c>
      <c r="L96" t="str">
        <f>IF($A96&lt;&gt;"",'Approved-Enforcement'!K96,"")</f>
        <v/>
      </c>
      <c r="M96" t="str">
        <f>IF($A96&lt;&gt;"",'Approved-Enforcement'!L96,"")</f>
        <v/>
      </c>
      <c r="N96" t="str">
        <f>IF($A96&lt;&gt;"",'Approved-Enforcement'!M96,"")</f>
        <v/>
      </c>
      <c r="O96" t="str">
        <f>IF($A96&lt;&gt;"",'Approved-Enforcement'!N96,"")</f>
        <v/>
      </c>
      <c r="P96" t="str">
        <f>IF($A96&lt;&gt;"",'Approved-Enforcement'!O96,"")</f>
        <v/>
      </c>
    </row>
    <row r="97" spans="1:16" x14ac:dyDescent="0.35">
      <c r="A97" s="4" t="str">
        <f>IF('Approved-Enforcement'!$A97&lt;&gt;"",'Approved-Enforcement'!A97,"")</f>
        <v/>
      </c>
      <c r="B97" t="str">
        <f t="shared" si="1"/>
        <v/>
      </c>
      <c r="D97" t="str">
        <f>IF($A97&lt;&gt;"",IF($R97&lt;&gt;"",$R97,'Approved-Enforcement'!$B97+7),"")</f>
        <v/>
      </c>
      <c r="E97" t="str">
        <f>IF($A97&lt;&gt;"",'Approved-Enforcement'!D97,"")</f>
        <v/>
      </c>
      <c r="F97" t="str">
        <f>IF($A97&lt;&gt;"",'Approved-Enforcement'!E97,"")</f>
        <v/>
      </c>
      <c r="G97" t="str">
        <f>IF($A97&lt;&gt;"",'Approved-Enforcement'!F97,"")</f>
        <v/>
      </c>
      <c r="H97" t="str">
        <f>IF($A97&lt;&gt;"",'Approved-Enforcement'!G97,"")</f>
        <v/>
      </c>
      <c r="I97" t="str">
        <f>IF($A97&lt;&gt;"",'Approved-Enforcement'!H97,"")</f>
        <v/>
      </c>
      <c r="J97" t="str">
        <f>IF($A97&lt;&gt;"",'Approved-Enforcement'!I97,"")</f>
        <v/>
      </c>
      <c r="K97" t="str">
        <f>IF($A97&lt;&gt;"",'Approved-Enforcement'!J97,"")</f>
        <v/>
      </c>
      <c r="L97" t="str">
        <f>IF($A97&lt;&gt;"",'Approved-Enforcement'!K97,"")</f>
        <v/>
      </c>
      <c r="M97" t="str">
        <f>IF($A97&lt;&gt;"",'Approved-Enforcement'!L97,"")</f>
        <v/>
      </c>
      <c r="N97" t="str">
        <f>IF($A97&lt;&gt;"",'Approved-Enforcement'!M97,"")</f>
        <v/>
      </c>
      <c r="O97" t="str">
        <f>IF($A97&lt;&gt;"",'Approved-Enforcement'!N97,"")</f>
        <v/>
      </c>
      <c r="P97" t="str">
        <f>IF($A97&lt;&gt;"",'Approved-Enforcement'!O97,"")</f>
        <v/>
      </c>
    </row>
    <row r="98" spans="1:16" x14ac:dyDescent="0.35">
      <c r="A98" s="4" t="str">
        <f>IF('Approved-Enforcement'!$A98&lt;&gt;"",'Approved-Enforcement'!A98,"")</f>
        <v/>
      </c>
      <c r="B98" t="str">
        <f t="shared" si="1"/>
        <v/>
      </c>
      <c r="D98" t="str">
        <f>IF($A98&lt;&gt;"",IF($R98&lt;&gt;"",$R98,'Approved-Enforcement'!$B98+7),"")</f>
        <v/>
      </c>
      <c r="E98" t="str">
        <f>IF($A98&lt;&gt;"",'Approved-Enforcement'!D98,"")</f>
        <v/>
      </c>
      <c r="F98" t="str">
        <f>IF($A98&lt;&gt;"",'Approved-Enforcement'!E98,"")</f>
        <v/>
      </c>
      <c r="G98" t="str">
        <f>IF($A98&lt;&gt;"",'Approved-Enforcement'!F98,"")</f>
        <v/>
      </c>
      <c r="H98" t="str">
        <f>IF($A98&lt;&gt;"",'Approved-Enforcement'!G98,"")</f>
        <v/>
      </c>
      <c r="I98" t="str">
        <f>IF($A98&lt;&gt;"",'Approved-Enforcement'!H98,"")</f>
        <v/>
      </c>
      <c r="J98" t="str">
        <f>IF($A98&lt;&gt;"",'Approved-Enforcement'!I98,"")</f>
        <v/>
      </c>
      <c r="K98" t="str">
        <f>IF($A98&lt;&gt;"",'Approved-Enforcement'!J98,"")</f>
        <v/>
      </c>
      <c r="L98" t="str">
        <f>IF($A98&lt;&gt;"",'Approved-Enforcement'!K98,"")</f>
        <v/>
      </c>
      <c r="M98" t="str">
        <f>IF($A98&lt;&gt;"",'Approved-Enforcement'!L98,"")</f>
        <v/>
      </c>
      <c r="N98" t="str">
        <f>IF($A98&lt;&gt;"",'Approved-Enforcement'!M98,"")</f>
        <v/>
      </c>
      <c r="O98" t="str">
        <f>IF($A98&lt;&gt;"",'Approved-Enforcement'!N98,"")</f>
        <v/>
      </c>
      <c r="P98" t="str">
        <f>IF($A98&lt;&gt;"",'Approved-Enforcement'!O98,"")</f>
        <v/>
      </c>
    </row>
    <row r="99" spans="1:16" x14ac:dyDescent="0.35">
      <c r="A99" s="4" t="str">
        <f>IF('Approved-Enforcement'!$A99&lt;&gt;"",'Approved-Enforcement'!A99,"")</f>
        <v/>
      </c>
      <c r="B99" t="str">
        <f t="shared" si="1"/>
        <v/>
      </c>
      <c r="D99" t="str">
        <f>IF($A99&lt;&gt;"",IF($R99&lt;&gt;"",$R99,'Approved-Enforcement'!$B99+7),"")</f>
        <v/>
      </c>
      <c r="E99" t="str">
        <f>IF($A99&lt;&gt;"",'Approved-Enforcement'!D99,"")</f>
        <v/>
      </c>
      <c r="F99" t="str">
        <f>IF($A99&lt;&gt;"",'Approved-Enforcement'!E99,"")</f>
        <v/>
      </c>
      <c r="G99" t="str">
        <f>IF($A99&lt;&gt;"",'Approved-Enforcement'!F99,"")</f>
        <v/>
      </c>
      <c r="H99" t="str">
        <f>IF($A99&lt;&gt;"",'Approved-Enforcement'!G99,"")</f>
        <v/>
      </c>
      <c r="I99" t="str">
        <f>IF($A99&lt;&gt;"",'Approved-Enforcement'!H99,"")</f>
        <v/>
      </c>
      <c r="J99" t="str">
        <f>IF($A99&lt;&gt;"",'Approved-Enforcement'!I99,"")</f>
        <v/>
      </c>
      <c r="K99" t="str">
        <f>IF($A99&lt;&gt;"",'Approved-Enforcement'!J99,"")</f>
        <v/>
      </c>
      <c r="L99" t="str">
        <f>IF($A99&lt;&gt;"",'Approved-Enforcement'!K99,"")</f>
        <v/>
      </c>
      <c r="M99" t="str">
        <f>IF($A99&lt;&gt;"",'Approved-Enforcement'!L99,"")</f>
        <v/>
      </c>
      <c r="N99" t="str">
        <f>IF($A99&lt;&gt;"",'Approved-Enforcement'!M99,"")</f>
        <v/>
      </c>
      <c r="O99" t="str">
        <f>IF($A99&lt;&gt;"",'Approved-Enforcement'!N99,"")</f>
        <v/>
      </c>
      <c r="P99" t="str">
        <f>IF($A99&lt;&gt;"",'Approved-Enforcement'!O99,"")</f>
        <v/>
      </c>
    </row>
    <row r="100" spans="1:16" x14ac:dyDescent="0.35">
      <c r="A100" s="4" t="str">
        <f>IF('Approved-Enforcement'!$A100&lt;&gt;"",'Approved-Enforcement'!A100,"")</f>
        <v/>
      </c>
      <c r="B100" t="str">
        <f t="shared" si="1"/>
        <v/>
      </c>
      <c r="D100" t="str">
        <f>IF($A100&lt;&gt;"",IF($R100&lt;&gt;"",$R100,'Approved-Enforcement'!$B100+7),"")</f>
        <v/>
      </c>
      <c r="E100" t="str">
        <f>IF($A100&lt;&gt;"",'Approved-Enforcement'!D100,"")</f>
        <v/>
      </c>
      <c r="F100" t="str">
        <f>IF($A100&lt;&gt;"",'Approved-Enforcement'!E100,"")</f>
        <v/>
      </c>
      <c r="G100" t="str">
        <f>IF($A100&lt;&gt;"",'Approved-Enforcement'!F100,"")</f>
        <v/>
      </c>
      <c r="H100" t="str">
        <f>IF($A100&lt;&gt;"",'Approved-Enforcement'!G100,"")</f>
        <v/>
      </c>
      <c r="I100" t="str">
        <f>IF($A100&lt;&gt;"",'Approved-Enforcement'!H100,"")</f>
        <v/>
      </c>
      <c r="J100" t="str">
        <f>IF($A100&lt;&gt;"",'Approved-Enforcement'!I100,"")</f>
        <v/>
      </c>
      <c r="K100" t="str">
        <f>IF($A100&lt;&gt;"",'Approved-Enforcement'!J100,"")</f>
        <v/>
      </c>
      <c r="L100" t="str">
        <f>IF($A100&lt;&gt;"",'Approved-Enforcement'!K100,"")</f>
        <v/>
      </c>
      <c r="M100" t="str">
        <f>IF($A100&lt;&gt;"",'Approved-Enforcement'!L100,"")</f>
        <v/>
      </c>
      <c r="N100" t="str">
        <f>IF($A100&lt;&gt;"",'Approved-Enforcement'!M100,"")</f>
        <v/>
      </c>
      <c r="O100" t="str">
        <f>IF($A100&lt;&gt;"",'Approved-Enforcement'!N100,"")</f>
        <v/>
      </c>
      <c r="P100" t="str">
        <f>IF($A100&lt;&gt;"",'Approved-Enforcement'!O100,"")</f>
        <v/>
      </c>
    </row>
    <row r="101" spans="1:16" x14ac:dyDescent="0.35">
      <c r="A101" s="4" t="str">
        <f>IF('Approved-Enforcement'!$A101&lt;&gt;"",'Approved-Enforcement'!A101,"")</f>
        <v/>
      </c>
      <c r="B101" t="str">
        <f t="shared" si="1"/>
        <v/>
      </c>
      <c r="D101" t="str">
        <f>IF($A101&lt;&gt;"",IF($R101&lt;&gt;"",$R101,'Approved-Enforcement'!$B101+7),"")</f>
        <v/>
      </c>
      <c r="E101" t="str">
        <f>IF($A101&lt;&gt;"",'Approved-Enforcement'!D101,"")</f>
        <v/>
      </c>
      <c r="F101" t="str">
        <f>IF($A101&lt;&gt;"",'Approved-Enforcement'!E101,"")</f>
        <v/>
      </c>
      <c r="G101" t="str">
        <f>IF($A101&lt;&gt;"",'Approved-Enforcement'!F101,"")</f>
        <v/>
      </c>
      <c r="H101" t="str">
        <f>IF($A101&lt;&gt;"",'Approved-Enforcement'!G101,"")</f>
        <v/>
      </c>
      <c r="I101" t="str">
        <f>IF($A101&lt;&gt;"",'Approved-Enforcement'!H101,"")</f>
        <v/>
      </c>
      <c r="J101" t="str">
        <f>IF($A101&lt;&gt;"",'Approved-Enforcement'!I101,"")</f>
        <v/>
      </c>
      <c r="K101" t="str">
        <f>IF($A101&lt;&gt;"",'Approved-Enforcement'!J101,"")</f>
        <v/>
      </c>
      <c r="L101" t="str">
        <f>IF($A101&lt;&gt;"",'Approved-Enforcement'!K101,"")</f>
        <v/>
      </c>
      <c r="M101" t="str">
        <f>IF($A101&lt;&gt;"",'Approved-Enforcement'!L101,"")</f>
        <v/>
      </c>
      <c r="N101" t="str">
        <f>IF($A101&lt;&gt;"",'Approved-Enforcement'!M101,"")</f>
        <v/>
      </c>
      <c r="O101" t="str">
        <f>IF($A101&lt;&gt;"",'Approved-Enforcement'!N101,"")</f>
        <v/>
      </c>
      <c r="P101" t="str">
        <f>IF($A101&lt;&gt;"",'Approved-Enforcement'!O101,"")</f>
        <v/>
      </c>
    </row>
    <row r="102" spans="1:16" x14ac:dyDescent="0.35">
      <c r="A102" s="4" t="str">
        <f>IF('Approved-Enforcement'!$A102&lt;&gt;"",'Approved-Enforcement'!A102,"")</f>
        <v/>
      </c>
      <c r="B102" t="str">
        <f t="shared" si="1"/>
        <v/>
      </c>
      <c r="D102" t="str">
        <f>IF($A102&lt;&gt;"",IF($R102&lt;&gt;"",$R102,'Approved-Enforcement'!$B102+7),"")</f>
        <v/>
      </c>
      <c r="E102" t="str">
        <f>IF($A102&lt;&gt;"",'Approved-Enforcement'!D102,"")</f>
        <v/>
      </c>
      <c r="F102" t="str">
        <f>IF($A102&lt;&gt;"",'Approved-Enforcement'!E102,"")</f>
        <v/>
      </c>
      <c r="G102" t="str">
        <f>IF($A102&lt;&gt;"",'Approved-Enforcement'!F102,"")</f>
        <v/>
      </c>
      <c r="H102" t="str">
        <f>IF($A102&lt;&gt;"",'Approved-Enforcement'!G102,"")</f>
        <v/>
      </c>
      <c r="I102" t="str">
        <f>IF($A102&lt;&gt;"",'Approved-Enforcement'!H102,"")</f>
        <v/>
      </c>
      <c r="J102" t="str">
        <f>IF($A102&lt;&gt;"",'Approved-Enforcement'!I102,"")</f>
        <v/>
      </c>
      <c r="K102" t="str">
        <f>IF($A102&lt;&gt;"",'Approved-Enforcement'!J102,"")</f>
        <v/>
      </c>
      <c r="L102" t="str">
        <f>IF($A102&lt;&gt;"",'Approved-Enforcement'!K102,"")</f>
        <v/>
      </c>
      <c r="M102" t="str">
        <f>IF($A102&lt;&gt;"",'Approved-Enforcement'!L102,"")</f>
        <v/>
      </c>
      <c r="N102" t="str">
        <f>IF($A102&lt;&gt;"",'Approved-Enforcement'!M102,"")</f>
        <v/>
      </c>
      <c r="O102" t="str">
        <f>IF($A102&lt;&gt;"",'Approved-Enforcement'!N102,"")</f>
        <v/>
      </c>
      <c r="P102" t="str">
        <f>IF($A102&lt;&gt;"",'Approved-Enforcement'!O102,"")</f>
        <v/>
      </c>
    </row>
    <row r="103" spans="1:16" x14ac:dyDescent="0.35">
      <c r="A103" s="4" t="str">
        <f>IF('Approved-Enforcement'!$A103&lt;&gt;"",'Approved-Enforcement'!A103,"")</f>
        <v/>
      </c>
      <c r="B103" t="str">
        <f t="shared" si="1"/>
        <v/>
      </c>
      <c r="D103" t="str">
        <f>IF($A103&lt;&gt;"",IF($R103&lt;&gt;"",$R103,'Approved-Enforcement'!$B103+7),"")</f>
        <v/>
      </c>
      <c r="E103" t="str">
        <f>IF($A103&lt;&gt;"",'Approved-Enforcement'!D103,"")</f>
        <v/>
      </c>
      <c r="F103" t="str">
        <f>IF($A103&lt;&gt;"",'Approved-Enforcement'!E103,"")</f>
        <v/>
      </c>
      <c r="G103" t="str">
        <f>IF($A103&lt;&gt;"",'Approved-Enforcement'!F103,"")</f>
        <v/>
      </c>
      <c r="H103" t="str">
        <f>IF($A103&lt;&gt;"",'Approved-Enforcement'!G103,"")</f>
        <v/>
      </c>
      <c r="I103" t="str">
        <f>IF($A103&lt;&gt;"",'Approved-Enforcement'!H103,"")</f>
        <v/>
      </c>
      <c r="J103" t="str">
        <f>IF($A103&lt;&gt;"",'Approved-Enforcement'!I103,"")</f>
        <v/>
      </c>
      <c r="K103" t="str">
        <f>IF($A103&lt;&gt;"",'Approved-Enforcement'!J103,"")</f>
        <v/>
      </c>
      <c r="L103" t="str">
        <f>IF($A103&lt;&gt;"",'Approved-Enforcement'!K103,"")</f>
        <v/>
      </c>
      <c r="M103" t="str">
        <f>IF($A103&lt;&gt;"",'Approved-Enforcement'!L103,"")</f>
        <v/>
      </c>
      <c r="N103" t="str">
        <f>IF($A103&lt;&gt;"",'Approved-Enforcement'!M103,"")</f>
        <v/>
      </c>
      <c r="O103" t="str">
        <f>IF($A103&lt;&gt;"",'Approved-Enforcement'!N103,"")</f>
        <v/>
      </c>
      <c r="P103" t="str">
        <f>IF($A103&lt;&gt;"",'Approved-Enforcement'!O103,"")</f>
        <v/>
      </c>
    </row>
    <row r="104" spans="1:16" x14ac:dyDescent="0.35">
      <c r="A104" s="4" t="str">
        <f>IF('Approved-Enforcement'!$A104&lt;&gt;"",'Approved-Enforcement'!A104,"")</f>
        <v/>
      </c>
      <c r="B104" t="str">
        <f t="shared" si="1"/>
        <v/>
      </c>
      <c r="D104" t="str">
        <f>IF($A104&lt;&gt;"",IF($R104&lt;&gt;"",$R104,'Approved-Enforcement'!$B104+7),"")</f>
        <v/>
      </c>
      <c r="E104" t="str">
        <f>IF($A104&lt;&gt;"",'Approved-Enforcement'!D104,"")</f>
        <v/>
      </c>
      <c r="F104" t="str">
        <f>IF($A104&lt;&gt;"",'Approved-Enforcement'!E104,"")</f>
        <v/>
      </c>
      <c r="G104" t="str">
        <f>IF($A104&lt;&gt;"",'Approved-Enforcement'!F104,"")</f>
        <v/>
      </c>
      <c r="H104" t="str">
        <f>IF($A104&lt;&gt;"",'Approved-Enforcement'!G104,"")</f>
        <v/>
      </c>
      <c r="I104" t="str">
        <f>IF($A104&lt;&gt;"",'Approved-Enforcement'!H104,"")</f>
        <v/>
      </c>
      <c r="J104" t="str">
        <f>IF($A104&lt;&gt;"",'Approved-Enforcement'!I104,"")</f>
        <v/>
      </c>
      <c r="K104" t="str">
        <f>IF($A104&lt;&gt;"",'Approved-Enforcement'!J104,"")</f>
        <v/>
      </c>
      <c r="L104" t="str">
        <f>IF($A104&lt;&gt;"",'Approved-Enforcement'!K104,"")</f>
        <v/>
      </c>
      <c r="M104" t="str">
        <f>IF($A104&lt;&gt;"",'Approved-Enforcement'!L104,"")</f>
        <v/>
      </c>
      <c r="N104" t="str">
        <f>IF($A104&lt;&gt;"",'Approved-Enforcement'!M104,"")</f>
        <v/>
      </c>
      <c r="O104" t="str">
        <f>IF($A104&lt;&gt;"",'Approved-Enforcement'!N104,"")</f>
        <v/>
      </c>
      <c r="P104" t="str">
        <f>IF($A104&lt;&gt;"",'Approved-Enforcement'!O104,"")</f>
        <v/>
      </c>
    </row>
    <row r="105" spans="1:16" x14ac:dyDescent="0.35">
      <c r="A105" s="4" t="str">
        <f>IF('Approved-Enforcement'!$A105&lt;&gt;"",'Approved-Enforcement'!A105,"")</f>
        <v/>
      </c>
      <c r="B105" t="str">
        <f t="shared" si="1"/>
        <v/>
      </c>
      <c r="D105" t="str">
        <f>IF($A105&lt;&gt;"",IF($R105&lt;&gt;"",$R105,'Approved-Enforcement'!$B105+7),"")</f>
        <v/>
      </c>
      <c r="E105" t="str">
        <f>IF($A105&lt;&gt;"",'Approved-Enforcement'!D105,"")</f>
        <v/>
      </c>
      <c r="F105" t="str">
        <f>IF($A105&lt;&gt;"",'Approved-Enforcement'!E105,"")</f>
        <v/>
      </c>
      <c r="G105" t="str">
        <f>IF($A105&lt;&gt;"",'Approved-Enforcement'!F105,"")</f>
        <v/>
      </c>
      <c r="H105" t="str">
        <f>IF($A105&lt;&gt;"",'Approved-Enforcement'!G105,"")</f>
        <v/>
      </c>
      <c r="I105" t="str">
        <f>IF($A105&lt;&gt;"",'Approved-Enforcement'!H105,"")</f>
        <v/>
      </c>
      <c r="J105" t="str">
        <f>IF($A105&lt;&gt;"",'Approved-Enforcement'!I105,"")</f>
        <v/>
      </c>
      <c r="K105" t="str">
        <f>IF($A105&lt;&gt;"",'Approved-Enforcement'!J105,"")</f>
        <v/>
      </c>
      <c r="L105" t="str">
        <f>IF($A105&lt;&gt;"",'Approved-Enforcement'!K105,"")</f>
        <v/>
      </c>
      <c r="M105" t="str">
        <f>IF($A105&lt;&gt;"",'Approved-Enforcement'!L105,"")</f>
        <v/>
      </c>
      <c r="N105" t="str">
        <f>IF($A105&lt;&gt;"",'Approved-Enforcement'!M105,"")</f>
        <v/>
      </c>
      <c r="O105" t="str">
        <f>IF($A105&lt;&gt;"",'Approved-Enforcement'!N105,"")</f>
        <v/>
      </c>
      <c r="P105" t="str">
        <f>IF($A105&lt;&gt;"",'Approved-Enforcement'!O105,"")</f>
        <v/>
      </c>
    </row>
    <row r="106" spans="1:16" x14ac:dyDescent="0.35">
      <c r="A106" s="4" t="str">
        <f>IF('Approved-Enforcement'!$A106&lt;&gt;"",'Approved-Enforcement'!A106,"")</f>
        <v/>
      </c>
      <c r="B106" t="str">
        <f t="shared" si="1"/>
        <v/>
      </c>
      <c r="D106" t="str">
        <f>IF($A106&lt;&gt;"",IF($R106&lt;&gt;"",$R106,'Approved-Enforcement'!$B106+7),"")</f>
        <v/>
      </c>
      <c r="E106" t="str">
        <f>IF($A106&lt;&gt;"",'Approved-Enforcement'!D106,"")</f>
        <v/>
      </c>
      <c r="F106" t="str">
        <f>IF($A106&lt;&gt;"",'Approved-Enforcement'!E106,"")</f>
        <v/>
      </c>
      <c r="G106" t="str">
        <f>IF($A106&lt;&gt;"",'Approved-Enforcement'!F106,"")</f>
        <v/>
      </c>
      <c r="H106" t="str">
        <f>IF($A106&lt;&gt;"",'Approved-Enforcement'!G106,"")</f>
        <v/>
      </c>
      <c r="I106" t="str">
        <f>IF($A106&lt;&gt;"",'Approved-Enforcement'!H106,"")</f>
        <v/>
      </c>
      <c r="J106" t="str">
        <f>IF($A106&lt;&gt;"",'Approved-Enforcement'!I106,"")</f>
        <v/>
      </c>
      <c r="K106" t="str">
        <f>IF($A106&lt;&gt;"",'Approved-Enforcement'!J106,"")</f>
        <v/>
      </c>
      <c r="L106" t="str">
        <f>IF($A106&lt;&gt;"",'Approved-Enforcement'!K106,"")</f>
        <v/>
      </c>
      <c r="M106" t="str">
        <f>IF($A106&lt;&gt;"",'Approved-Enforcement'!L106,"")</f>
        <v/>
      </c>
      <c r="N106" t="str">
        <f>IF($A106&lt;&gt;"",'Approved-Enforcement'!M106,"")</f>
        <v/>
      </c>
      <c r="O106" t="str">
        <f>IF($A106&lt;&gt;"",'Approved-Enforcement'!N106,"")</f>
        <v/>
      </c>
      <c r="P106" t="str">
        <f>IF($A106&lt;&gt;"",'Approved-Enforcement'!O106,"")</f>
        <v/>
      </c>
    </row>
    <row r="107" spans="1:16" x14ac:dyDescent="0.35">
      <c r="A107" s="4" t="str">
        <f>IF('Approved-Enforcement'!$A107&lt;&gt;"",'Approved-Enforcement'!A107,"")</f>
        <v/>
      </c>
      <c r="B107" t="str">
        <f t="shared" si="1"/>
        <v/>
      </c>
      <c r="D107" t="str">
        <f>IF($A107&lt;&gt;"",IF($R107&lt;&gt;"",$R107,'Approved-Enforcement'!$B107+7),"")</f>
        <v/>
      </c>
      <c r="E107" t="str">
        <f>IF($A107&lt;&gt;"",'Approved-Enforcement'!D107,"")</f>
        <v/>
      </c>
      <c r="F107" t="str">
        <f>IF($A107&lt;&gt;"",'Approved-Enforcement'!E107,"")</f>
        <v/>
      </c>
      <c r="G107" t="str">
        <f>IF($A107&lt;&gt;"",'Approved-Enforcement'!F107,"")</f>
        <v/>
      </c>
      <c r="H107" t="str">
        <f>IF($A107&lt;&gt;"",'Approved-Enforcement'!G107,"")</f>
        <v/>
      </c>
      <c r="I107" t="str">
        <f>IF($A107&lt;&gt;"",'Approved-Enforcement'!H107,"")</f>
        <v/>
      </c>
      <c r="J107" t="str">
        <f>IF($A107&lt;&gt;"",'Approved-Enforcement'!I107,"")</f>
        <v/>
      </c>
      <c r="K107" t="str">
        <f>IF($A107&lt;&gt;"",'Approved-Enforcement'!J107,"")</f>
        <v/>
      </c>
      <c r="L107" t="str">
        <f>IF($A107&lt;&gt;"",'Approved-Enforcement'!K107,"")</f>
        <v/>
      </c>
      <c r="M107" t="str">
        <f>IF($A107&lt;&gt;"",'Approved-Enforcement'!L107,"")</f>
        <v/>
      </c>
      <c r="N107" t="str">
        <f>IF($A107&lt;&gt;"",'Approved-Enforcement'!M107,"")</f>
        <v/>
      </c>
      <c r="O107" t="str">
        <f>IF($A107&lt;&gt;"",'Approved-Enforcement'!N107,"")</f>
        <v/>
      </c>
      <c r="P107" t="str">
        <f>IF($A107&lt;&gt;"",'Approved-Enforcement'!O107,"")</f>
        <v/>
      </c>
    </row>
    <row r="108" spans="1:16" x14ac:dyDescent="0.35">
      <c r="A108" s="4" t="str">
        <f>IF('Approved-Enforcement'!$A108&lt;&gt;"",'Approved-Enforcement'!A108,"")</f>
        <v/>
      </c>
      <c r="B108" t="str">
        <f t="shared" si="1"/>
        <v/>
      </c>
      <c r="D108" t="str">
        <f>IF($A108&lt;&gt;"",IF($R108&lt;&gt;"",$R108,'Approved-Enforcement'!$B108+7),"")</f>
        <v/>
      </c>
      <c r="E108" t="str">
        <f>IF($A108&lt;&gt;"",'Approved-Enforcement'!D108,"")</f>
        <v/>
      </c>
      <c r="F108" t="str">
        <f>IF($A108&lt;&gt;"",'Approved-Enforcement'!E108,"")</f>
        <v/>
      </c>
      <c r="G108" t="str">
        <f>IF($A108&lt;&gt;"",'Approved-Enforcement'!F108,"")</f>
        <v/>
      </c>
      <c r="H108" t="str">
        <f>IF($A108&lt;&gt;"",'Approved-Enforcement'!G108,"")</f>
        <v/>
      </c>
      <c r="I108" t="str">
        <f>IF($A108&lt;&gt;"",'Approved-Enforcement'!H108,"")</f>
        <v/>
      </c>
      <c r="J108" t="str">
        <f>IF($A108&lt;&gt;"",'Approved-Enforcement'!I108,"")</f>
        <v/>
      </c>
      <c r="K108" t="str">
        <f>IF($A108&lt;&gt;"",'Approved-Enforcement'!J108,"")</f>
        <v/>
      </c>
      <c r="L108" t="str">
        <f>IF($A108&lt;&gt;"",'Approved-Enforcement'!K108,"")</f>
        <v/>
      </c>
      <c r="M108" t="str">
        <f>IF($A108&lt;&gt;"",'Approved-Enforcement'!L108,"")</f>
        <v/>
      </c>
      <c r="N108" t="str">
        <f>IF($A108&lt;&gt;"",'Approved-Enforcement'!M108,"")</f>
        <v/>
      </c>
      <c r="O108" t="str">
        <f>IF($A108&lt;&gt;"",'Approved-Enforcement'!N108,"")</f>
        <v/>
      </c>
      <c r="P108" t="str">
        <f>IF($A108&lt;&gt;"",'Approved-Enforcement'!O108,"")</f>
        <v/>
      </c>
    </row>
    <row r="109" spans="1:16" x14ac:dyDescent="0.35">
      <c r="A109" s="4" t="str">
        <f>IF('Approved-Enforcement'!$A109&lt;&gt;"",'Approved-Enforcement'!A109,"")</f>
        <v/>
      </c>
      <c r="B109" t="str">
        <f t="shared" si="1"/>
        <v/>
      </c>
      <c r="D109" t="str">
        <f>IF($A109&lt;&gt;"",IF($R109&lt;&gt;"",$R109,'Approved-Enforcement'!$B109+7),"")</f>
        <v/>
      </c>
      <c r="E109" t="str">
        <f>IF($A109&lt;&gt;"",'Approved-Enforcement'!D109,"")</f>
        <v/>
      </c>
      <c r="F109" t="str">
        <f>IF($A109&lt;&gt;"",'Approved-Enforcement'!E109,"")</f>
        <v/>
      </c>
      <c r="G109" t="str">
        <f>IF($A109&lt;&gt;"",'Approved-Enforcement'!F109,"")</f>
        <v/>
      </c>
      <c r="H109" t="str">
        <f>IF($A109&lt;&gt;"",'Approved-Enforcement'!G109,"")</f>
        <v/>
      </c>
      <c r="I109" t="str">
        <f>IF($A109&lt;&gt;"",'Approved-Enforcement'!H109,"")</f>
        <v/>
      </c>
      <c r="J109" t="str">
        <f>IF($A109&lt;&gt;"",'Approved-Enforcement'!I109,"")</f>
        <v/>
      </c>
      <c r="K109" t="str">
        <f>IF($A109&lt;&gt;"",'Approved-Enforcement'!J109,"")</f>
        <v/>
      </c>
      <c r="L109" t="str">
        <f>IF($A109&lt;&gt;"",'Approved-Enforcement'!K109,"")</f>
        <v/>
      </c>
      <c r="M109" t="str">
        <f>IF($A109&lt;&gt;"",'Approved-Enforcement'!L109,"")</f>
        <v/>
      </c>
      <c r="N109" t="str">
        <f>IF($A109&lt;&gt;"",'Approved-Enforcement'!M109,"")</f>
        <v/>
      </c>
      <c r="O109" t="str">
        <f>IF($A109&lt;&gt;"",'Approved-Enforcement'!N109,"")</f>
        <v/>
      </c>
      <c r="P109" t="str">
        <f>IF($A109&lt;&gt;"",'Approved-Enforcement'!O109,"")</f>
        <v/>
      </c>
    </row>
    <row r="110" spans="1:16" x14ac:dyDescent="0.35">
      <c r="A110" s="4" t="str">
        <f>IF('Approved-Enforcement'!$A110&lt;&gt;"",'Approved-Enforcement'!A110,"")</f>
        <v/>
      </c>
      <c r="B110" t="str">
        <f t="shared" si="1"/>
        <v/>
      </c>
      <c r="D110" t="str">
        <f>IF($A110&lt;&gt;"",IF($R110&lt;&gt;"",$R110,'Approved-Enforcement'!$B110+7),"")</f>
        <v/>
      </c>
      <c r="E110" t="str">
        <f>IF($A110&lt;&gt;"",'Approved-Enforcement'!D110,"")</f>
        <v/>
      </c>
      <c r="F110" t="str">
        <f>IF($A110&lt;&gt;"",'Approved-Enforcement'!E110,"")</f>
        <v/>
      </c>
      <c r="G110" t="str">
        <f>IF($A110&lt;&gt;"",'Approved-Enforcement'!F110,"")</f>
        <v/>
      </c>
      <c r="H110" t="str">
        <f>IF($A110&lt;&gt;"",'Approved-Enforcement'!G110,"")</f>
        <v/>
      </c>
      <c r="I110" t="str">
        <f>IF($A110&lt;&gt;"",'Approved-Enforcement'!H110,"")</f>
        <v/>
      </c>
      <c r="J110" t="str">
        <f>IF($A110&lt;&gt;"",'Approved-Enforcement'!I110,"")</f>
        <v/>
      </c>
      <c r="K110" t="str">
        <f>IF($A110&lt;&gt;"",'Approved-Enforcement'!J110,"")</f>
        <v/>
      </c>
      <c r="L110" t="str">
        <f>IF($A110&lt;&gt;"",'Approved-Enforcement'!K110,"")</f>
        <v/>
      </c>
      <c r="M110" t="str">
        <f>IF($A110&lt;&gt;"",'Approved-Enforcement'!L110,"")</f>
        <v/>
      </c>
      <c r="N110" t="str">
        <f>IF($A110&lt;&gt;"",'Approved-Enforcement'!M110,"")</f>
        <v/>
      </c>
      <c r="O110" t="str">
        <f>IF($A110&lt;&gt;"",'Approved-Enforcement'!N110,"")</f>
        <v/>
      </c>
      <c r="P110" t="str">
        <f>IF($A110&lt;&gt;"",'Approved-Enforcement'!O110,"")</f>
        <v/>
      </c>
    </row>
    <row r="111" spans="1:16" x14ac:dyDescent="0.35">
      <c r="A111" s="4" t="str">
        <f>IF('Approved-Enforcement'!$A111&lt;&gt;"",'Approved-Enforcement'!A111,"")</f>
        <v/>
      </c>
      <c r="B111" t="str">
        <f t="shared" si="1"/>
        <v/>
      </c>
      <c r="D111" t="str">
        <f>IF($A111&lt;&gt;"",IF($R111&lt;&gt;"",$R111,'Approved-Enforcement'!$B111+7),"")</f>
        <v/>
      </c>
      <c r="E111" t="str">
        <f>IF($A111&lt;&gt;"",'Approved-Enforcement'!D111,"")</f>
        <v/>
      </c>
      <c r="F111" t="str">
        <f>IF($A111&lt;&gt;"",'Approved-Enforcement'!E111,"")</f>
        <v/>
      </c>
      <c r="G111" t="str">
        <f>IF($A111&lt;&gt;"",'Approved-Enforcement'!F111,"")</f>
        <v/>
      </c>
      <c r="H111" t="str">
        <f>IF($A111&lt;&gt;"",'Approved-Enforcement'!G111,"")</f>
        <v/>
      </c>
      <c r="I111" t="str">
        <f>IF($A111&lt;&gt;"",'Approved-Enforcement'!H111,"")</f>
        <v/>
      </c>
      <c r="J111" t="str">
        <f>IF($A111&lt;&gt;"",'Approved-Enforcement'!I111,"")</f>
        <v/>
      </c>
      <c r="K111" t="str">
        <f>IF($A111&lt;&gt;"",'Approved-Enforcement'!J111,"")</f>
        <v/>
      </c>
      <c r="L111" t="str">
        <f>IF($A111&lt;&gt;"",'Approved-Enforcement'!K111,"")</f>
        <v/>
      </c>
      <c r="M111" t="str">
        <f>IF($A111&lt;&gt;"",'Approved-Enforcement'!L111,"")</f>
        <v/>
      </c>
      <c r="N111" t="str">
        <f>IF($A111&lt;&gt;"",'Approved-Enforcement'!M111,"")</f>
        <v/>
      </c>
      <c r="O111" t="str">
        <f>IF($A111&lt;&gt;"",'Approved-Enforcement'!N111,"")</f>
        <v/>
      </c>
      <c r="P111" t="str">
        <f>IF($A111&lt;&gt;"",'Approved-Enforcement'!O111,"")</f>
        <v/>
      </c>
    </row>
    <row r="112" spans="1:16" x14ac:dyDescent="0.35">
      <c r="A112" s="4" t="str">
        <f>IF('Approved-Enforcement'!$A112&lt;&gt;"",'Approved-Enforcement'!A112,"")</f>
        <v/>
      </c>
      <c r="B112" t="str">
        <f t="shared" si="1"/>
        <v/>
      </c>
      <c r="D112" t="str">
        <f>IF($A112&lt;&gt;"",IF($R112&lt;&gt;"",$R112,'Approved-Enforcement'!$B112+7),"")</f>
        <v/>
      </c>
      <c r="E112" t="str">
        <f>IF($A112&lt;&gt;"",'Approved-Enforcement'!D112,"")</f>
        <v/>
      </c>
      <c r="F112" t="str">
        <f>IF($A112&lt;&gt;"",'Approved-Enforcement'!E112,"")</f>
        <v/>
      </c>
      <c r="G112" t="str">
        <f>IF($A112&lt;&gt;"",'Approved-Enforcement'!F112,"")</f>
        <v/>
      </c>
      <c r="H112" t="str">
        <f>IF($A112&lt;&gt;"",'Approved-Enforcement'!G112,"")</f>
        <v/>
      </c>
      <c r="I112" t="str">
        <f>IF($A112&lt;&gt;"",'Approved-Enforcement'!H112,"")</f>
        <v/>
      </c>
      <c r="J112" t="str">
        <f>IF($A112&lt;&gt;"",'Approved-Enforcement'!I112,"")</f>
        <v/>
      </c>
      <c r="K112" t="str">
        <f>IF($A112&lt;&gt;"",'Approved-Enforcement'!J112,"")</f>
        <v/>
      </c>
      <c r="L112" t="str">
        <f>IF($A112&lt;&gt;"",'Approved-Enforcement'!K112,"")</f>
        <v/>
      </c>
      <c r="M112" t="str">
        <f>IF($A112&lt;&gt;"",'Approved-Enforcement'!L112,"")</f>
        <v/>
      </c>
      <c r="N112" t="str">
        <f>IF($A112&lt;&gt;"",'Approved-Enforcement'!M112,"")</f>
        <v/>
      </c>
      <c r="O112" t="str">
        <f>IF($A112&lt;&gt;"",'Approved-Enforcement'!N112,"")</f>
        <v/>
      </c>
      <c r="P112" t="str">
        <f>IF($A112&lt;&gt;"",'Approved-Enforcement'!O112,"")</f>
        <v/>
      </c>
    </row>
    <row r="113" spans="1:16" x14ac:dyDescent="0.35">
      <c r="A113" s="4" t="str">
        <f>IF('Approved-Enforcement'!$A113&lt;&gt;"",'Approved-Enforcement'!A113,"")</f>
        <v/>
      </c>
      <c r="B113" t="str">
        <f t="shared" si="1"/>
        <v/>
      </c>
      <c r="D113" t="str">
        <f>IF($A113&lt;&gt;"",IF($R113&lt;&gt;"",$R113,'Approved-Enforcement'!$B113+7),"")</f>
        <v/>
      </c>
      <c r="E113" t="str">
        <f>IF($A113&lt;&gt;"",'Approved-Enforcement'!D113,"")</f>
        <v/>
      </c>
      <c r="F113" t="str">
        <f>IF($A113&lt;&gt;"",'Approved-Enforcement'!E113,"")</f>
        <v/>
      </c>
      <c r="G113" t="str">
        <f>IF($A113&lt;&gt;"",'Approved-Enforcement'!F113,"")</f>
        <v/>
      </c>
      <c r="H113" t="str">
        <f>IF($A113&lt;&gt;"",'Approved-Enforcement'!G113,"")</f>
        <v/>
      </c>
      <c r="I113" t="str">
        <f>IF($A113&lt;&gt;"",'Approved-Enforcement'!H113,"")</f>
        <v/>
      </c>
      <c r="J113" t="str">
        <f>IF($A113&lt;&gt;"",'Approved-Enforcement'!I113,"")</f>
        <v/>
      </c>
      <c r="K113" t="str">
        <f>IF($A113&lt;&gt;"",'Approved-Enforcement'!J113,"")</f>
        <v/>
      </c>
      <c r="L113" t="str">
        <f>IF($A113&lt;&gt;"",'Approved-Enforcement'!K113,"")</f>
        <v/>
      </c>
      <c r="M113" t="str">
        <f>IF($A113&lt;&gt;"",'Approved-Enforcement'!L113,"")</f>
        <v/>
      </c>
      <c r="N113" t="str">
        <f>IF($A113&lt;&gt;"",'Approved-Enforcement'!M113,"")</f>
        <v/>
      </c>
      <c r="O113" t="str">
        <f>IF($A113&lt;&gt;"",'Approved-Enforcement'!N113,"")</f>
        <v/>
      </c>
      <c r="P113" t="str">
        <f>IF($A113&lt;&gt;"",'Approved-Enforcement'!O113,"")</f>
        <v/>
      </c>
    </row>
    <row r="114" spans="1:16" x14ac:dyDescent="0.35">
      <c r="A114" s="4" t="str">
        <f>IF('Approved-Enforcement'!$A114&lt;&gt;"",'Approved-Enforcement'!A114,"")</f>
        <v/>
      </c>
      <c r="B114" t="str">
        <f t="shared" si="1"/>
        <v/>
      </c>
      <c r="D114" t="str">
        <f>IF($A114&lt;&gt;"",IF($R114&lt;&gt;"",$R114,'Approved-Enforcement'!$B114+7),"")</f>
        <v/>
      </c>
      <c r="E114" t="str">
        <f>IF($A114&lt;&gt;"",'Approved-Enforcement'!D114,"")</f>
        <v/>
      </c>
      <c r="F114" t="str">
        <f>IF($A114&lt;&gt;"",'Approved-Enforcement'!E114,"")</f>
        <v/>
      </c>
      <c r="G114" t="str">
        <f>IF($A114&lt;&gt;"",'Approved-Enforcement'!F114,"")</f>
        <v/>
      </c>
      <c r="H114" t="str">
        <f>IF($A114&lt;&gt;"",'Approved-Enforcement'!G114,"")</f>
        <v/>
      </c>
      <c r="I114" t="str">
        <f>IF($A114&lt;&gt;"",'Approved-Enforcement'!H114,"")</f>
        <v/>
      </c>
      <c r="J114" t="str">
        <f>IF($A114&lt;&gt;"",'Approved-Enforcement'!I114,"")</f>
        <v/>
      </c>
      <c r="K114" t="str">
        <f>IF($A114&lt;&gt;"",'Approved-Enforcement'!J114,"")</f>
        <v/>
      </c>
      <c r="L114" t="str">
        <f>IF($A114&lt;&gt;"",'Approved-Enforcement'!K114,"")</f>
        <v/>
      </c>
      <c r="M114" t="str">
        <f>IF($A114&lt;&gt;"",'Approved-Enforcement'!L114,"")</f>
        <v/>
      </c>
      <c r="N114" t="str">
        <f>IF($A114&lt;&gt;"",'Approved-Enforcement'!M114,"")</f>
        <v/>
      </c>
      <c r="O114" t="str">
        <f>IF($A114&lt;&gt;"",'Approved-Enforcement'!N114,"")</f>
        <v/>
      </c>
      <c r="P114" t="str">
        <f>IF($A114&lt;&gt;"",'Approved-Enforcement'!O114,"")</f>
        <v/>
      </c>
    </row>
    <row r="115" spans="1:16" x14ac:dyDescent="0.35">
      <c r="A115" s="4" t="str">
        <f>IF('Approved-Enforcement'!$A115&lt;&gt;"",'Approved-Enforcement'!A115,"")</f>
        <v/>
      </c>
      <c r="B115" t="str">
        <f t="shared" si="1"/>
        <v/>
      </c>
      <c r="D115" t="str">
        <f>IF($A115&lt;&gt;"",IF($R115&lt;&gt;"",$R115,'Approved-Enforcement'!$B115+7),"")</f>
        <v/>
      </c>
      <c r="E115" t="str">
        <f>IF($A115&lt;&gt;"",'Approved-Enforcement'!D115,"")</f>
        <v/>
      </c>
      <c r="F115" t="str">
        <f>IF($A115&lt;&gt;"",'Approved-Enforcement'!E115,"")</f>
        <v/>
      </c>
      <c r="G115" t="str">
        <f>IF($A115&lt;&gt;"",'Approved-Enforcement'!F115,"")</f>
        <v/>
      </c>
      <c r="H115" t="str">
        <f>IF($A115&lt;&gt;"",'Approved-Enforcement'!G115,"")</f>
        <v/>
      </c>
      <c r="I115" t="str">
        <f>IF($A115&lt;&gt;"",'Approved-Enforcement'!H115,"")</f>
        <v/>
      </c>
      <c r="J115" t="str">
        <f>IF($A115&lt;&gt;"",'Approved-Enforcement'!I115,"")</f>
        <v/>
      </c>
      <c r="K115" t="str">
        <f>IF($A115&lt;&gt;"",'Approved-Enforcement'!J115,"")</f>
        <v/>
      </c>
      <c r="L115" t="str">
        <f>IF($A115&lt;&gt;"",'Approved-Enforcement'!K115,"")</f>
        <v/>
      </c>
      <c r="M115" t="str">
        <f>IF($A115&lt;&gt;"",'Approved-Enforcement'!L115,"")</f>
        <v/>
      </c>
      <c r="N115" t="str">
        <f>IF($A115&lt;&gt;"",'Approved-Enforcement'!M115,"")</f>
        <v/>
      </c>
      <c r="O115" t="str">
        <f>IF($A115&lt;&gt;"",'Approved-Enforcement'!N115,"")</f>
        <v/>
      </c>
      <c r="P115" t="str">
        <f>IF($A115&lt;&gt;"",'Approved-Enforcement'!O115,"")</f>
        <v/>
      </c>
    </row>
    <row r="116" spans="1:16" x14ac:dyDescent="0.35">
      <c r="A116" s="4" t="str">
        <f>IF('Approved-Enforcement'!$A116&lt;&gt;"",'Approved-Enforcement'!A116,"")</f>
        <v/>
      </c>
      <c r="B116" t="str">
        <f t="shared" si="1"/>
        <v/>
      </c>
      <c r="D116" t="str">
        <f>IF($A116&lt;&gt;"",IF($R116&lt;&gt;"",$R116,'Approved-Enforcement'!$B116+7),"")</f>
        <v/>
      </c>
      <c r="E116" t="str">
        <f>IF($A116&lt;&gt;"",'Approved-Enforcement'!D116,"")</f>
        <v/>
      </c>
      <c r="F116" t="str">
        <f>IF($A116&lt;&gt;"",'Approved-Enforcement'!E116,"")</f>
        <v/>
      </c>
      <c r="G116" t="str">
        <f>IF($A116&lt;&gt;"",'Approved-Enforcement'!F116,"")</f>
        <v/>
      </c>
      <c r="H116" t="str">
        <f>IF($A116&lt;&gt;"",'Approved-Enforcement'!G116,"")</f>
        <v/>
      </c>
      <c r="I116" t="str">
        <f>IF($A116&lt;&gt;"",'Approved-Enforcement'!H116,"")</f>
        <v/>
      </c>
      <c r="J116" t="str">
        <f>IF($A116&lt;&gt;"",'Approved-Enforcement'!I116,"")</f>
        <v/>
      </c>
      <c r="K116" t="str">
        <f>IF($A116&lt;&gt;"",'Approved-Enforcement'!J116,"")</f>
        <v/>
      </c>
      <c r="L116" t="str">
        <f>IF($A116&lt;&gt;"",'Approved-Enforcement'!K116,"")</f>
        <v/>
      </c>
      <c r="M116" t="str">
        <f>IF($A116&lt;&gt;"",'Approved-Enforcement'!L116,"")</f>
        <v/>
      </c>
      <c r="N116" t="str">
        <f>IF($A116&lt;&gt;"",'Approved-Enforcement'!M116,"")</f>
        <v/>
      </c>
      <c r="O116" t="str">
        <f>IF($A116&lt;&gt;"",'Approved-Enforcement'!N116,"")</f>
        <v/>
      </c>
      <c r="P116" t="str">
        <f>IF($A116&lt;&gt;"",'Approved-Enforcement'!O116,"")</f>
        <v/>
      </c>
    </row>
    <row r="117" spans="1:16" x14ac:dyDescent="0.35">
      <c r="A117" s="4" t="str">
        <f>IF('Approved-Enforcement'!$A117&lt;&gt;"",'Approved-Enforcement'!A117,"")</f>
        <v/>
      </c>
      <c r="B117" t="str">
        <f t="shared" si="1"/>
        <v/>
      </c>
      <c r="D117" t="str">
        <f>IF($A117&lt;&gt;"",IF($R117&lt;&gt;"",$R117,'Approved-Enforcement'!$B117+7),"")</f>
        <v/>
      </c>
      <c r="E117" t="str">
        <f>IF($A117&lt;&gt;"",'Approved-Enforcement'!D117,"")</f>
        <v/>
      </c>
      <c r="F117" t="str">
        <f>IF($A117&lt;&gt;"",'Approved-Enforcement'!E117,"")</f>
        <v/>
      </c>
      <c r="G117" t="str">
        <f>IF($A117&lt;&gt;"",'Approved-Enforcement'!F117,"")</f>
        <v/>
      </c>
      <c r="H117" t="str">
        <f>IF($A117&lt;&gt;"",'Approved-Enforcement'!G117,"")</f>
        <v/>
      </c>
      <c r="I117" t="str">
        <f>IF($A117&lt;&gt;"",'Approved-Enforcement'!H117,"")</f>
        <v/>
      </c>
      <c r="J117" t="str">
        <f>IF($A117&lt;&gt;"",'Approved-Enforcement'!I117,"")</f>
        <v/>
      </c>
      <c r="K117" t="str">
        <f>IF($A117&lt;&gt;"",'Approved-Enforcement'!J117,"")</f>
        <v/>
      </c>
      <c r="L117" t="str">
        <f>IF($A117&lt;&gt;"",'Approved-Enforcement'!K117,"")</f>
        <v/>
      </c>
      <c r="M117" t="str">
        <f>IF($A117&lt;&gt;"",'Approved-Enforcement'!L117,"")</f>
        <v/>
      </c>
      <c r="N117" t="str">
        <f>IF($A117&lt;&gt;"",'Approved-Enforcement'!M117,"")</f>
        <v/>
      </c>
      <c r="O117" t="str">
        <f>IF($A117&lt;&gt;"",'Approved-Enforcement'!N117,"")</f>
        <v/>
      </c>
      <c r="P117" t="str">
        <f>IF($A117&lt;&gt;"",'Approved-Enforcement'!O117,"")</f>
        <v/>
      </c>
    </row>
    <row r="118" spans="1:16" x14ac:dyDescent="0.35">
      <c r="A118" s="4" t="str">
        <f>IF('Approved-Enforcement'!$A118&lt;&gt;"",'Approved-Enforcement'!A118,"")</f>
        <v/>
      </c>
      <c r="B118" t="str">
        <f t="shared" si="1"/>
        <v/>
      </c>
      <c r="D118" t="str">
        <f>IF($A118&lt;&gt;"",IF($R118&lt;&gt;"",$R118,'Approved-Enforcement'!$B118+7),"")</f>
        <v/>
      </c>
      <c r="E118" t="str">
        <f>IF($A118&lt;&gt;"",'Approved-Enforcement'!D118,"")</f>
        <v/>
      </c>
      <c r="F118" t="str">
        <f>IF($A118&lt;&gt;"",'Approved-Enforcement'!E118,"")</f>
        <v/>
      </c>
      <c r="G118" t="str">
        <f>IF($A118&lt;&gt;"",'Approved-Enforcement'!F118,"")</f>
        <v/>
      </c>
      <c r="H118" t="str">
        <f>IF($A118&lt;&gt;"",'Approved-Enforcement'!G118,"")</f>
        <v/>
      </c>
      <c r="I118" t="str">
        <f>IF($A118&lt;&gt;"",'Approved-Enforcement'!H118,"")</f>
        <v/>
      </c>
      <c r="J118" t="str">
        <f>IF($A118&lt;&gt;"",'Approved-Enforcement'!I118,"")</f>
        <v/>
      </c>
      <c r="K118" t="str">
        <f>IF($A118&lt;&gt;"",'Approved-Enforcement'!J118,"")</f>
        <v/>
      </c>
      <c r="L118" t="str">
        <f>IF($A118&lt;&gt;"",'Approved-Enforcement'!K118,"")</f>
        <v/>
      </c>
      <c r="M118" t="str">
        <f>IF($A118&lt;&gt;"",'Approved-Enforcement'!L118,"")</f>
        <v/>
      </c>
      <c r="N118" t="str">
        <f>IF($A118&lt;&gt;"",'Approved-Enforcement'!M118,"")</f>
        <v/>
      </c>
      <c r="O118" t="str">
        <f>IF($A118&lt;&gt;"",'Approved-Enforcement'!N118,"")</f>
        <v/>
      </c>
      <c r="P118" t="str">
        <f>IF($A118&lt;&gt;"",'Approved-Enforcement'!O118,"")</f>
        <v/>
      </c>
    </row>
    <row r="119" spans="1:16" x14ac:dyDescent="0.35">
      <c r="A119" s="4" t="str">
        <f>IF('Approved-Enforcement'!$A119&lt;&gt;"",'Approved-Enforcement'!A119,"")</f>
        <v/>
      </c>
      <c r="B119" t="str">
        <f t="shared" si="1"/>
        <v/>
      </c>
      <c r="D119" t="str">
        <f>IF($A119&lt;&gt;"",IF($R119&lt;&gt;"",$R119,'Approved-Enforcement'!$B119+7),"")</f>
        <v/>
      </c>
      <c r="E119" t="str">
        <f>IF($A119&lt;&gt;"",'Approved-Enforcement'!D119,"")</f>
        <v/>
      </c>
      <c r="F119" t="str">
        <f>IF($A119&lt;&gt;"",'Approved-Enforcement'!E119,"")</f>
        <v/>
      </c>
      <c r="G119" t="str">
        <f>IF($A119&lt;&gt;"",'Approved-Enforcement'!F119,"")</f>
        <v/>
      </c>
      <c r="H119" t="str">
        <f>IF($A119&lt;&gt;"",'Approved-Enforcement'!G119,"")</f>
        <v/>
      </c>
      <c r="I119" t="str">
        <f>IF($A119&lt;&gt;"",'Approved-Enforcement'!H119,"")</f>
        <v/>
      </c>
      <c r="J119" t="str">
        <f>IF($A119&lt;&gt;"",'Approved-Enforcement'!I119,"")</f>
        <v/>
      </c>
      <c r="K119" t="str">
        <f>IF($A119&lt;&gt;"",'Approved-Enforcement'!J119,"")</f>
        <v/>
      </c>
      <c r="L119" t="str">
        <f>IF($A119&lt;&gt;"",'Approved-Enforcement'!K119,"")</f>
        <v/>
      </c>
      <c r="M119" t="str">
        <f>IF($A119&lt;&gt;"",'Approved-Enforcement'!L119,"")</f>
        <v/>
      </c>
      <c r="N119" t="str">
        <f>IF($A119&lt;&gt;"",'Approved-Enforcement'!M119,"")</f>
        <v/>
      </c>
      <c r="O119" t="str">
        <f>IF($A119&lt;&gt;"",'Approved-Enforcement'!N119,"")</f>
        <v/>
      </c>
      <c r="P119" t="str">
        <f>IF($A119&lt;&gt;"",'Approved-Enforcement'!O119,"")</f>
        <v/>
      </c>
    </row>
    <row r="120" spans="1:16" x14ac:dyDescent="0.35">
      <c r="A120" s="4" t="str">
        <f>IF('Approved-Enforcement'!$A120&lt;&gt;"",'Approved-Enforcement'!A120,"")</f>
        <v/>
      </c>
      <c r="B120" t="str">
        <f t="shared" si="1"/>
        <v/>
      </c>
      <c r="D120" t="str">
        <f>IF($A120&lt;&gt;"",IF($R120&lt;&gt;"",$R120,'Approved-Enforcement'!$B120+7),"")</f>
        <v/>
      </c>
      <c r="E120" t="str">
        <f>IF($A120&lt;&gt;"",'Approved-Enforcement'!D120,"")</f>
        <v/>
      </c>
      <c r="F120" t="str">
        <f>IF($A120&lt;&gt;"",'Approved-Enforcement'!E120,"")</f>
        <v/>
      </c>
      <c r="G120" t="str">
        <f>IF($A120&lt;&gt;"",'Approved-Enforcement'!F120,"")</f>
        <v/>
      </c>
      <c r="H120" t="str">
        <f>IF($A120&lt;&gt;"",'Approved-Enforcement'!G120,"")</f>
        <v/>
      </c>
      <c r="I120" t="str">
        <f>IF($A120&lt;&gt;"",'Approved-Enforcement'!H120,"")</f>
        <v/>
      </c>
      <c r="J120" t="str">
        <f>IF($A120&lt;&gt;"",'Approved-Enforcement'!I120,"")</f>
        <v/>
      </c>
      <c r="K120" t="str">
        <f>IF($A120&lt;&gt;"",'Approved-Enforcement'!J120,"")</f>
        <v/>
      </c>
      <c r="L120" t="str">
        <f>IF($A120&lt;&gt;"",'Approved-Enforcement'!K120,"")</f>
        <v/>
      </c>
      <c r="M120" t="str">
        <f>IF($A120&lt;&gt;"",'Approved-Enforcement'!L120,"")</f>
        <v/>
      </c>
      <c r="N120" t="str">
        <f>IF($A120&lt;&gt;"",'Approved-Enforcement'!M120,"")</f>
        <v/>
      </c>
      <c r="O120" t="str">
        <f>IF($A120&lt;&gt;"",'Approved-Enforcement'!N120,"")</f>
        <v/>
      </c>
      <c r="P120" t="str">
        <f>IF($A120&lt;&gt;"",'Approved-Enforcement'!O120,"")</f>
        <v/>
      </c>
    </row>
    <row r="121" spans="1:16" x14ac:dyDescent="0.35">
      <c r="A121" s="4" t="str">
        <f>IF('Approved-Enforcement'!$A121&lt;&gt;"",'Approved-Enforcement'!A121,"")</f>
        <v/>
      </c>
      <c r="B121" t="str">
        <f t="shared" si="1"/>
        <v/>
      </c>
      <c r="D121" t="str">
        <f>IF($A121&lt;&gt;"",IF($R121&lt;&gt;"",$R121,'Approved-Enforcement'!$B121+7),"")</f>
        <v/>
      </c>
      <c r="E121" t="str">
        <f>IF($A121&lt;&gt;"",'Approved-Enforcement'!D121,"")</f>
        <v/>
      </c>
      <c r="F121" t="str">
        <f>IF($A121&lt;&gt;"",'Approved-Enforcement'!E121,"")</f>
        <v/>
      </c>
      <c r="G121" t="str">
        <f>IF($A121&lt;&gt;"",'Approved-Enforcement'!F121,"")</f>
        <v/>
      </c>
      <c r="H121" t="str">
        <f>IF($A121&lt;&gt;"",'Approved-Enforcement'!G121,"")</f>
        <v/>
      </c>
      <c r="I121" t="str">
        <f>IF($A121&lt;&gt;"",'Approved-Enforcement'!H121,"")</f>
        <v/>
      </c>
      <c r="J121" t="str">
        <f>IF($A121&lt;&gt;"",'Approved-Enforcement'!I121,"")</f>
        <v/>
      </c>
      <c r="K121" t="str">
        <f>IF($A121&lt;&gt;"",'Approved-Enforcement'!J121,"")</f>
        <v/>
      </c>
      <c r="L121" t="str">
        <f>IF($A121&lt;&gt;"",'Approved-Enforcement'!K121,"")</f>
        <v/>
      </c>
      <c r="M121" t="str">
        <f>IF($A121&lt;&gt;"",'Approved-Enforcement'!L121,"")</f>
        <v/>
      </c>
      <c r="N121" t="str">
        <f>IF($A121&lt;&gt;"",'Approved-Enforcement'!M121,"")</f>
        <v/>
      </c>
      <c r="O121" t="str">
        <f>IF($A121&lt;&gt;"",'Approved-Enforcement'!N121,"")</f>
        <v/>
      </c>
      <c r="P121" t="str">
        <f>IF($A121&lt;&gt;"",'Approved-Enforcement'!O121,"")</f>
        <v/>
      </c>
    </row>
    <row r="122" spans="1:16" x14ac:dyDescent="0.35">
      <c r="A122" s="4" t="str">
        <f>IF('Approved-Enforcement'!$A122&lt;&gt;"",'Approved-Enforcement'!A122,"")</f>
        <v/>
      </c>
      <c r="B122" t="str">
        <f t="shared" si="1"/>
        <v/>
      </c>
      <c r="D122" t="str">
        <f>IF($A122&lt;&gt;"",IF($R122&lt;&gt;"",$R122,'Approved-Enforcement'!$B122+7),"")</f>
        <v/>
      </c>
      <c r="E122" t="str">
        <f>IF($A122&lt;&gt;"",'Approved-Enforcement'!D122,"")</f>
        <v/>
      </c>
      <c r="F122" t="str">
        <f>IF($A122&lt;&gt;"",'Approved-Enforcement'!E122,"")</f>
        <v/>
      </c>
      <c r="G122" t="str">
        <f>IF($A122&lt;&gt;"",'Approved-Enforcement'!F122,"")</f>
        <v/>
      </c>
      <c r="H122" t="str">
        <f>IF($A122&lt;&gt;"",'Approved-Enforcement'!G122,"")</f>
        <v/>
      </c>
      <c r="I122" t="str">
        <f>IF($A122&lt;&gt;"",'Approved-Enforcement'!H122,"")</f>
        <v/>
      </c>
      <c r="J122" t="str">
        <f>IF($A122&lt;&gt;"",'Approved-Enforcement'!I122,"")</f>
        <v/>
      </c>
      <c r="K122" t="str">
        <f>IF($A122&lt;&gt;"",'Approved-Enforcement'!J122,"")</f>
        <v/>
      </c>
      <c r="L122" t="str">
        <f>IF($A122&lt;&gt;"",'Approved-Enforcement'!K122,"")</f>
        <v/>
      </c>
      <c r="M122" t="str">
        <f>IF($A122&lt;&gt;"",'Approved-Enforcement'!L122,"")</f>
        <v/>
      </c>
      <c r="N122" t="str">
        <f>IF($A122&lt;&gt;"",'Approved-Enforcement'!M122,"")</f>
        <v/>
      </c>
      <c r="O122" t="str">
        <f>IF($A122&lt;&gt;"",'Approved-Enforcement'!N122,"")</f>
        <v/>
      </c>
      <c r="P122" t="str">
        <f>IF($A122&lt;&gt;"",'Approved-Enforcement'!O122,"")</f>
        <v/>
      </c>
    </row>
    <row r="123" spans="1:16" x14ac:dyDescent="0.35">
      <c r="A123" s="4" t="str">
        <f>IF('Approved-Enforcement'!$A123&lt;&gt;"",'Approved-Enforcement'!A123,"")</f>
        <v/>
      </c>
      <c r="B123" t="str">
        <f t="shared" si="1"/>
        <v/>
      </c>
      <c r="D123" t="str">
        <f>IF($A123&lt;&gt;"",IF($R123&lt;&gt;"",$R123,'Approved-Enforcement'!$B123+7),"")</f>
        <v/>
      </c>
      <c r="E123" t="str">
        <f>IF($A123&lt;&gt;"",'Approved-Enforcement'!D123,"")</f>
        <v/>
      </c>
      <c r="F123" t="str">
        <f>IF($A123&lt;&gt;"",'Approved-Enforcement'!E123,"")</f>
        <v/>
      </c>
      <c r="G123" t="str">
        <f>IF($A123&lt;&gt;"",'Approved-Enforcement'!F123,"")</f>
        <v/>
      </c>
      <c r="H123" t="str">
        <f>IF($A123&lt;&gt;"",'Approved-Enforcement'!G123,"")</f>
        <v/>
      </c>
      <c r="I123" t="str">
        <f>IF($A123&lt;&gt;"",'Approved-Enforcement'!H123,"")</f>
        <v/>
      </c>
      <c r="J123" t="str">
        <f>IF($A123&lt;&gt;"",'Approved-Enforcement'!I123,"")</f>
        <v/>
      </c>
      <c r="K123" t="str">
        <f>IF($A123&lt;&gt;"",'Approved-Enforcement'!J123,"")</f>
        <v/>
      </c>
      <c r="L123" t="str">
        <f>IF($A123&lt;&gt;"",'Approved-Enforcement'!K123,"")</f>
        <v/>
      </c>
      <c r="M123" t="str">
        <f>IF($A123&lt;&gt;"",'Approved-Enforcement'!L123,"")</f>
        <v/>
      </c>
      <c r="N123" t="str">
        <f>IF($A123&lt;&gt;"",'Approved-Enforcement'!M123,"")</f>
        <v/>
      </c>
      <c r="O123" t="str">
        <f>IF($A123&lt;&gt;"",'Approved-Enforcement'!N123,"")</f>
        <v/>
      </c>
      <c r="P123" t="str">
        <f>IF($A123&lt;&gt;"",'Approved-Enforcement'!O123,"")</f>
        <v/>
      </c>
    </row>
    <row r="124" spans="1:16" x14ac:dyDescent="0.35">
      <c r="A124" s="4" t="str">
        <f>IF('Approved-Enforcement'!$A124&lt;&gt;"",'Approved-Enforcement'!A124,"")</f>
        <v/>
      </c>
      <c r="B124" t="str">
        <f t="shared" si="1"/>
        <v/>
      </c>
      <c r="D124" t="str">
        <f>IF($A124&lt;&gt;"",IF($R124&lt;&gt;"",$R124,'Approved-Enforcement'!$B124+7),"")</f>
        <v/>
      </c>
      <c r="E124" t="str">
        <f>IF($A124&lt;&gt;"",'Approved-Enforcement'!D124,"")</f>
        <v/>
      </c>
      <c r="F124" t="str">
        <f>IF($A124&lt;&gt;"",'Approved-Enforcement'!E124,"")</f>
        <v/>
      </c>
      <c r="G124" t="str">
        <f>IF($A124&lt;&gt;"",'Approved-Enforcement'!F124,"")</f>
        <v/>
      </c>
      <c r="H124" t="str">
        <f>IF($A124&lt;&gt;"",'Approved-Enforcement'!G124,"")</f>
        <v/>
      </c>
      <c r="I124" t="str">
        <f>IF($A124&lt;&gt;"",'Approved-Enforcement'!H124,"")</f>
        <v/>
      </c>
      <c r="J124" t="str">
        <f>IF($A124&lt;&gt;"",'Approved-Enforcement'!I124,"")</f>
        <v/>
      </c>
      <c r="K124" t="str">
        <f>IF($A124&lt;&gt;"",'Approved-Enforcement'!J124,"")</f>
        <v/>
      </c>
      <c r="L124" t="str">
        <f>IF($A124&lt;&gt;"",'Approved-Enforcement'!K124,"")</f>
        <v/>
      </c>
      <c r="M124" t="str">
        <f>IF($A124&lt;&gt;"",'Approved-Enforcement'!L124,"")</f>
        <v/>
      </c>
      <c r="N124" t="str">
        <f>IF($A124&lt;&gt;"",'Approved-Enforcement'!M124,"")</f>
        <v/>
      </c>
      <c r="O124" t="str">
        <f>IF($A124&lt;&gt;"",'Approved-Enforcement'!N124,"")</f>
        <v/>
      </c>
      <c r="P124" t="str">
        <f>IF($A124&lt;&gt;"",'Approved-Enforcement'!O124,"")</f>
        <v/>
      </c>
    </row>
    <row r="125" spans="1:16" x14ac:dyDescent="0.35">
      <c r="A125" s="4" t="str">
        <f>IF('Approved-Enforcement'!$A125&lt;&gt;"",'Approved-Enforcement'!A125,"")</f>
        <v/>
      </c>
      <c r="B125" t="str">
        <f t="shared" si="1"/>
        <v/>
      </c>
      <c r="D125" t="str">
        <f>IF($A125&lt;&gt;"",IF($R125&lt;&gt;"",$R125,'Approved-Enforcement'!$B125+7),"")</f>
        <v/>
      </c>
      <c r="E125" t="str">
        <f>IF($A125&lt;&gt;"",'Approved-Enforcement'!D125,"")</f>
        <v/>
      </c>
      <c r="F125" t="str">
        <f>IF($A125&lt;&gt;"",'Approved-Enforcement'!E125,"")</f>
        <v/>
      </c>
      <c r="G125" t="str">
        <f>IF($A125&lt;&gt;"",'Approved-Enforcement'!F125,"")</f>
        <v/>
      </c>
      <c r="H125" t="str">
        <f>IF($A125&lt;&gt;"",'Approved-Enforcement'!G125,"")</f>
        <v/>
      </c>
      <c r="I125" t="str">
        <f>IF($A125&lt;&gt;"",'Approved-Enforcement'!H125,"")</f>
        <v/>
      </c>
      <c r="J125" t="str">
        <f>IF($A125&lt;&gt;"",'Approved-Enforcement'!I125,"")</f>
        <v/>
      </c>
      <c r="K125" t="str">
        <f>IF($A125&lt;&gt;"",'Approved-Enforcement'!J125,"")</f>
        <v/>
      </c>
      <c r="L125" t="str">
        <f>IF($A125&lt;&gt;"",'Approved-Enforcement'!K125,"")</f>
        <v/>
      </c>
      <c r="M125" t="str">
        <f>IF($A125&lt;&gt;"",'Approved-Enforcement'!L125,"")</f>
        <v/>
      </c>
      <c r="N125" t="str">
        <f>IF($A125&lt;&gt;"",'Approved-Enforcement'!M125,"")</f>
        <v/>
      </c>
      <c r="O125" t="str">
        <f>IF($A125&lt;&gt;"",'Approved-Enforcement'!N125,"")</f>
        <v/>
      </c>
      <c r="P125" t="str">
        <f>IF($A125&lt;&gt;"",'Approved-Enforcement'!O125,"")</f>
        <v/>
      </c>
    </row>
    <row r="126" spans="1:16" x14ac:dyDescent="0.35">
      <c r="A126" s="4" t="str">
        <f>IF('Approved-Enforcement'!$A126&lt;&gt;"",'Approved-Enforcement'!A126,"")</f>
        <v/>
      </c>
      <c r="B126" t="str">
        <f t="shared" si="1"/>
        <v/>
      </c>
      <c r="D126" t="str">
        <f>IF($A126&lt;&gt;"",IF($R126&lt;&gt;"",$R126,'Approved-Enforcement'!$B126+7),"")</f>
        <v/>
      </c>
      <c r="E126" t="str">
        <f>IF($A126&lt;&gt;"",'Approved-Enforcement'!D126,"")</f>
        <v/>
      </c>
      <c r="F126" t="str">
        <f>IF($A126&lt;&gt;"",'Approved-Enforcement'!E126,"")</f>
        <v/>
      </c>
      <c r="G126" t="str">
        <f>IF($A126&lt;&gt;"",'Approved-Enforcement'!F126,"")</f>
        <v/>
      </c>
      <c r="H126" t="str">
        <f>IF($A126&lt;&gt;"",'Approved-Enforcement'!G126,"")</f>
        <v/>
      </c>
      <c r="I126" t="str">
        <f>IF($A126&lt;&gt;"",'Approved-Enforcement'!H126,"")</f>
        <v/>
      </c>
      <c r="J126" t="str">
        <f>IF($A126&lt;&gt;"",'Approved-Enforcement'!I126,"")</f>
        <v/>
      </c>
      <c r="K126" t="str">
        <f>IF($A126&lt;&gt;"",'Approved-Enforcement'!J126,"")</f>
        <v/>
      </c>
      <c r="L126" t="str">
        <f>IF($A126&lt;&gt;"",'Approved-Enforcement'!K126,"")</f>
        <v/>
      </c>
      <c r="M126" t="str">
        <f>IF($A126&lt;&gt;"",'Approved-Enforcement'!L126,"")</f>
        <v/>
      </c>
      <c r="N126" t="str">
        <f>IF($A126&lt;&gt;"",'Approved-Enforcement'!M126,"")</f>
        <v/>
      </c>
      <c r="O126" t="str">
        <f>IF($A126&lt;&gt;"",'Approved-Enforcement'!N126,"")</f>
        <v/>
      </c>
      <c r="P126" t="str">
        <f>IF($A126&lt;&gt;"",'Approved-Enforcement'!O126,"")</f>
        <v/>
      </c>
    </row>
    <row r="127" spans="1:16" x14ac:dyDescent="0.35">
      <c r="A127" s="4" t="str">
        <f>IF('Approved-Enforcement'!$A127&lt;&gt;"",'Approved-Enforcement'!A127,"")</f>
        <v/>
      </c>
      <c r="B127" t="str">
        <f t="shared" si="1"/>
        <v/>
      </c>
      <c r="D127" t="str">
        <f>IF($A127&lt;&gt;"",IF($R127&lt;&gt;"",$R127,'Approved-Enforcement'!$B127+7),"")</f>
        <v/>
      </c>
      <c r="E127" t="str">
        <f>IF($A127&lt;&gt;"",'Approved-Enforcement'!D127,"")</f>
        <v/>
      </c>
      <c r="F127" t="str">
        <f>IF($A127&lt;&gt;"",'Approved-Enforcement'!E127,"")</f>
        <v/>
      </c>
      <c r="G127" t="str">
        <f>IF($A127&lt;&gt;"",'Approved-Enforcement'!F127,"")</f>
        <v/>
      </c>
      <c r="H127" t="str">
        <f>IF($A127&lt;&gt;"",'Approved-Enforcement'!G127,"")</f>
        <v/>
      </c>
      <c r="I127" t="str">
        <f>IF($A127&lt;&gt;"",'Approved-Enforcement'!H127,"")</f>
        <v/>
      </c>
      <c r="J127" t="str">
        <f>IF($A127&lt;&gt;"",'Approved-Enforcement'!I127,"")</f>
        <v/>
      </c>
      <c r="K127" t="str">
        <f>IF($A127&lt;&gt;"",'Approved-Enforcement'!J127,"")</f>
        <v/>
      </c>
      <c r="L127" t="str">
        <f>IF($A127&lt;&gt;"",'Approved-Enforcement'!K127,"")</f>
        <v/>
      </c>
      <c r="M127" t="str">
        <f>IF($A127&lt;&gt;"",'Approved-Enforcement'!L127,"")</f>
        <v/>
      </c>
      <c r="N127" t="str">
        <f>IF($A127&lt;&gt;"",'Approved-Enforcement'!M127,"")</f>
        <v/>
      </c>
      <c r="O127" t="str">
        <f>IF($A127&lt;&gt;"",'Approved-Enforcement'!N127,"")</f>
        <v/>
      </c>
      <c r="P127" t="str">
        <f>IF($A127&lt;&gt;"",'Approved-Enforcement'!O127,"")</f>
        <v/>
      </c>
    </row>
    <row r="128" spans="1:16" x14ac:dyDescent="0.35">
      <c r="A128" s="4" t="str">
        <f>IF('Approved-Enforcement'!$A128&lt;&gt;"",'Approved-Enforcement'!A128,"")</f>
        <v/>
      </c>
      <c r="B128" t="str">
        <f t="shared" si="1"/>
        <v/>
      </c>
      <c r="D128" t="str">
        <f>IF($A128&lt;&gt;"",IF($R128&lt;&gt;"",$R128,'Approved-Enforcement'!$B128+7),"")</f>
        <v/>
      </c>
      <c r="E128" t="str">
        <f>IF($A128&lt;&gt;"",'Approved-Enforcement'!D128,"")</f>
        <v/>
      </c>
      <c r="F128" t="str">
        <f>IF($A128&lt;&gt;"",'Approved-Enforcement'!E128,"")</f>
        <v/>
      </c>
      <c r="G128" t="str">
        <f>IF($A128&lt;&gt;"",'Approved-Enforcement'!F128,"")</f>
        <v/>
      </c>
      <c r="H128" t="str">
        <f>IF($A128&lt;&gt;"",'Approved-Enforcement'!G128,"")</f>
        <v/>
      </c>
      <c r="I128" t="str">
        <f>IF($A128&lt;&gt;"",'Approved-Enforcement'!H128,"")</f>
        <v/>
      </c>
      <c r="J128" t="str">
        <f>IF($A128&lt;&gt;"",'Approved-Enforcement'!I128,"")</f>
        <v/>
      </c>
      <c r="K128" t="str">
        <f>IF($A128&lt;&gt;"",'Approved-Enforcement'!J128,"")</f>
        <v/>
      </c>
      <c r="L128" t="str">
        <f>IF($A128&lt;&gt;"",'Approved-Enforcement'!K128,"")</f>
        <v/>
      </c>
      <c r="M128" t="str">
        <f>IF($A128&lt;&gt;"",'Approved-Enforcement'!L128,"")</f>
        <v/>
      </c>
      <c r="N128" t="str">
        <f>IF($A128&lt;&gt;"",'Approved-Enforcement'!M128,"")</f>
        <v/>
      </c>
      <c r="O128" t="str">
        <f>IF($A128&lt;&gt;"",'Approved-Enforcement'!N128,"")</f>
        <v/>
      </c>
      <c r="P128" t="str">
        <f>IF($A128&lt;&gt;"",'Approved-Enforcement'!O128,"")</f>
        <v/>
      </c>
    </row>
    <row r="129" spans="1:16" x14ac:dyDescent="0.35">
      <c r="A129" s="4" t="str">
        <f>IF('Approved-Enforcement'!$A129&lt;&gt;"",'Approved-Enforcement'!A129,"")</f>
        <v/>
      </c>
      <c r="B129" t="str">
        <f t="shared" si="1"/>
        <v/>
      </c>
      <c r="D129" t="str">
        <f>IF($A129&lt;&gt;"",IF($R129&lt;&gt;"",$R129,'Approved-Enforcement'!$B129+7),"")</f>
        <v/>
      </c>
      <c r="E129" t="str">
        <f>IF($A129&lt;&gt;"",'Approved-Enforcement'!D129,"")</f>
        <v/>
      </c>
      <c r="F129" t="str">
        <f>IF($A129&lt;&gt;"",'Approved-Enforcement'!E129,"")</f>
        <v/>
      </c>
      <c r="G129" t="str">
        <f>IF($A129&lt;&gt;"",'Approved-Enforcement'!F129,"")</f>
        <v/>
      </c>
      <c r="H129" t="str">
        <f>IF($A129&lt;&gt;"",'Approved-Enforcement'!G129,"")</f>
        <v/>
      </c>
      <c r="I129" t="str">
        <f>IF($A129&lt;&gt;"",'Approved-Enforcement'!H129,"")</f>
        <v/>
      </c>
      <c r="J129" t="str">
        <f>IF($A129&lt;&gt;"",'Approved-Enforcement'!I129,"")</f>
        <v/>
      </c>
      <c r="K129" t="str">
        <f>IF($A129&lt;&gt;"",'Approved-Enforcement'!J129,"")</f>
        <v/>
      </c>
      <c r="L129" t="str">
        <f>IF($A129&lt;&gt;"",'Approved-Enforcement'!K129,"")</f>
        <v/>
      </c>
      <c r="M129" t="str">
        <f>IF($A129&lt;&gt;"",'Approved-Enforcement'!L129,"")</f>
        <v/>
      </c>
      <c r="N129" t="str">
        <f>IF($A129&lt;&gt;"",'Approved-Enforcement'!M129,"")</f>
        <v/>
      </c>
      <c r="O129" t="str">
        <f>IF($A129&lt;&gt;"",'Approved-Enforcement'!N129,"")</f>
        <v/>
      </c>
      <c r="P129" t="str">
        <f>IF($A129&lt;&gt;"",'Approved-Enforcement'!O129,"")</f>
        <v/>
      </c>
    </row>
    <row r="130" spans="1:16" x14ac:dyDescent="0.35">
      <c r="A130" s="4" t="str">
        <f>IF('Approved-Enforcement'!$A130&lt;&gt;"",'Approved-Enforcement'!A130,"")</f>
        <v/>
      </c>
      <c r="B130" t="str">
        <f t="shared" ref="B130:B193" si="2">IF($A130&lt;&gt;"",IF($C130&lt;&gt;"",$C130,1500),"")</f>
        <v/>
      </c>
      <c r="D130" t="str">
        <f>IF($A130&lt;&gt;"",IF($R130&lt;&gt;"",$R130,'Approved-Enforcement'!$B130+7),"")</f>
        <v/>
      </c>
      <c r="E130" t="str">
        <f>IF($A130&lt;&gt;"",'Approved-Enforcement'!D130,"")</f>
        <v/>
      </c>
      <c r="F130" t="str">
        <f>IF($A130&lt;&gt;"",'Approved-Enforcement'!E130,"")</f>
        <v/>
      </c>
      <c r="G130" t="str">
        <f>IF($A130&lt;&gt;"",'Approved-Enforcement'!F130,"")</f>
        <v/>
      </c>
      <c r="H130" t="str">
        <f>IF($A130&lt;&gt;"",'Approved-Enforcement'!G130,"")</f>
        <v/>
      </c>
      <c r="I130" t="str">
        <f>IF($A130&lt;&gt;"",'Approved-Enforcement'!H130,"")</f>
        <v/>
      </c>
      <c r="J130" t="str">
        <f>IF($A130&lt;&gt;"",'Approved-Enforcement'!I130,"")</f>
        <v/>
      </c>
      <c r="K130" t="str">
        <f>IF($A130&lt;&gt;"",'Approved-Enforcement'!J130,"")</f>
        <v/>
      </c>
      <c r="L130" t="str">
        <f>IF($A130&lt;&gt;"",'Approved-Enforcement'!K130,"")</f>
        <v/>
      </c>
      <c r="M130" t="str">
        <f>IF($A130&lt;&gt;"",'Approved-Enforcement'!L130,"")</f>
        <v/>
      </c>
      <c r="N130" t="str">
        <f>IF($A130&lt;&gt;"",'Approved-Enforcement'!M130,"")</f>
        <v/>
      </c>
      <c r="O130" t="str">
        <f>IF($A130&lt;&gt;"",'Approved-Enforcement'!N130,"")</f>
        <v/>
      </c>
      <c r="P130" t="str">
        <f>IF($A130&lt;&gt;"",'Approved-Enforcement'!O130,"")</f>
        <v/>
      </c>
    </row>
    <row r="131" spans="1:16" x14ac:dyDescent="0.35">
      <c r="A131" s="4" t="str">
        <f>IF('Approved-Enforcement'!$A131&lt;&gt;"",'Approved-Enforcement'!A131,"")</f>
        <v/>
      </c>
      <c r="B131" t="str">
        <f t="shared" si="2"/>
        <v/>
      </c>
      <c r="D131" t="str">
        <f>IF($A131&lt;&gt;"",IF($R131&lt;&gt;"",$R131,'Approved-Enforcement'!$B131+7),"")</f>
        <v/>
      </c>
      <c r="E131" t="str">
        <f>IF($A131&lt;&gt;"",'Approved-Enforcement'!D131,"")</f>
        <v/>
      </c>
      <c r="F131" t="str">
        <f>IF($A131&lt;&gt;"",'Approved-Enforcement'!E131,"")</f>
        <v/>
      </c>
      <c r="G131" t="str">
        <f>IF($A131&lt;&gt;"",'Approved-Enforcement'!F131,"")</f>
        <v/>
      </c>
      <c r="H131" t="str">
        <f>IF($A131&lt;&gt;"",'Approved-Enforcement'!G131,"")</f>
        <v/>
      </c>
      <c r="I131" t="str">
        <f>IF($A131&lt;&gt;"",'Approved-Enforcement'!H131,"")</f>
        <v/>
      </c>
      <c r="J131" t="str">
        <f>IF($A131&lt;&gt;"",'Approved-Enforcement'!I131,"")</f>
        <v/>
      </c>
      <c r="K131" t="str">
        <f>IF($A131&lt;&gt;"",'Approved-Enforcement'!J131,"")</f>
        <v/>
      </c>
      <c r="L131" t="str">
        <f>IF($A131&lt;&gt;"",'Approved-Enforcement'!K131,"")</f>
        <v/>
      </c>
      <c r="M131" t="str">
        <f>IF($A131&lt;&gt;"",'Approved-Enforcement'!L131,"")</f>
        <v/>
      </c>
      <c r="N131" t="str">
        <f>IF($A131&lt;&gt;"",'Approved-Enforcement'!M131,"")</f>
        <v/>
      </c>
      <c r="O131" t="str">
        <f>IF($A131&lt;&gt;"",'Approved-Enforcement'!N131,"")</f>
        <v/>
      </c>
      <c r="P131" t="str">
        <f>IF($A131&lt;&gt;"",'Approved-Enforcement'!O131,"")</f>
        <v/>
      </c>
    </row>
    <row r="132" spans="1:16" x14ac:dyDescent="0.35">
      <c r="A132" s="4" t="str">
        <f>IF('Approved-Enforcement'!$A132&lt;&gt;"",'Approved-Enforcement'!A132,"")</f>
        <v/>
      </c>
      <c r="B132" t="str">
        <f t="shared" si="2"/>
        <v/>
      </c>
      <c r="D132" t="str">
        <f>IF($A132&lt;&gt;"",IF($R132&lt;&gt;"",$R132,'Approved-Enforcement'!$B132+7),"")</f>
        <v/>
      </c>
      <c r="E132" t="str">
        <f>IF($A132&lt;&gt;"",'Approved-Enforcement'!D132,"")</f>
        <v/>
      </c>
      <c r="F132" t="str">
        <f>IF($A132&lt;&gt;"",'Approved-Enforcement'!E132,"")</f>
        <v/>
      </c>
      <c r="G132" t="str">
        <f>IF($A132&lt;&gt;"",'Approved-Enforcement'!F132,"")</f>
        <v/>
      </c>
      <c r="H132" t="str">
        <f>IF($A132&lt;&gt;"",'Approved-Enforcement'!G132,"")</f>
        <v/>
      </c>
      <c r="I132" t="str">
        <f>IF($A132&lt;&gt;"",'Approved-Enforcement'!H132,"")</f>
        <v/>
      </c>
      <c r="J132" t="str">
        <f>IF($A132&lt;&gt;"",'Approved-Enforcement'!I132,"")</f>
        <v/>
      </c>
      <c r="K132" t="str">
        <f>IF($A132&lt;&gt;"",'Approved-Enforcement'!J132,"")</f>
        <v/>
      </c>
      <c r="L132" t="str">
        <f>IF($A132&lt;&gt;"",'Approved-Enforcement'!K132,"")</f>
        <v/>
      </c>
      <c r="M132" t="str">
        <f>IF($A132&lt;&gt;"",'Approved-Enforcement'!L132,"")</f>
        <v/>
      </c>
      <c r="N132" t="str">
        <f>IF($A132&lt;&gt;"",'Approved-Enforcement'!M132,"")</f>
        <v/>
      </c>
      <c r="O132" t="str">
        <f>IF($A132&lt;&gt;"",'Approved-Enforcement'!N132,"")</f>
        <v/>
      </c>
      <c r="P132" t="str">
        <f>IF($A132&lt;&gt;"",'Approved-Enforcement'!O132,"")</f>
        <v/>
      </c>
    </row>
    <row r="133" spans="1:16" x14ac:dyDescent="0.35">
      <c r="A133" s="4" t="str">
        <f>IF('Approved-Enforcement'!$A133&lt;&gt;"",'Approved-Enforcement'!A133,"")</f>
        <v/>
      </c>
      <c r="B133" t="str">
        <f t="shared" si="2"/>
        <v/>
      </c>
      <c r="D133" t="str">
        <f>IF($A133&lt;&gt;"",IF($R133&lt;&gt;"",$R133,'Approved-Enforcement'!$B133+7),"")</f>
        <v/>
      </c>
      <c r="E133" t="str">
        <f>IF($A133&lt;&gt;"",'Approved-Enforcement'!D133,"")</f>
        <v/>
      </c>
      <c r="F133" t="str">
        <f>IF($A133&lt;&gt;"",'Approved-Enforcement'!E133,"")</f>
        <v/>
      </c>
      <c r="G133" t="str">
        <f>IF($A133&lt;&gt;"",'Approved-Enforcement'!F133,"")</f>
        <v/>
      </c>
      <c r="H133" t="str">
        <f>IF($A133&lt;&gt;"",'Approved-Enforcement'!G133,"")</f>
        <v/>
      </c>
      <c r="I133" t="str">
        <f>IF($A133&lt;&gt;"",'Approved-Enforcement'!H133,"")</f>
        <v/>
      </c>
      <c r="J133" t="str">
        <f>IF($A133&lt;&gt;"",'Approved-Enforcement'!I133,"")</f>
        <v/>
      </c>
      <c r="K133" t="str">
        <f>IF($A133&lt;&gt;"",'Approved-Enforcement'!J133,"")</f>
        <v/>
      </c>
      <c r="L133" t="str">
        <f>IF($A133&lt;&gt;"",'Approved-Enforcement'!K133,"")</f>
        <v/>
      </c>
      <c r="M133" t="str">
        <f>IF($A133&lt;&gt;"",'Approved-Enforcement'!L133,"")</f>
        <v/>
      </c>
      <c r="N133" t="str">
        <f>IF($A133&lt;&gt;"",'Approved-Enforcement'!M133,"")</f>
        <v/>
      </c>
      <c r="O133" t="str">
        <f>IF($A133&lt;&gt;"",'Approved-Enforcement'!N133,"")</f>
        <v/>
      </c>
      <c r="P133" t="str">
        <f>IF($A133&lt;&gt;"",'Approved-Enforcement'!O133,"")</f>
        <v/>
      </c>
    </row>
    <row r="134" spans="1:16" x14ac:dyDescent="0.35">
      <c r="A134" s="4" t="str">
        <f>IF('Approved-Enforcement'!$A134&lt;&gt;"",'Approved-Enforcement'!A134,"")</f>
        <v/>
      </c>
      <c r="B134" t="str">
        <f t="shared" si="2"/>
        <v/>
      </c>
      <c r="D134" t="str">
        <f>IF($A134&lt;&gt;"",IF($R134&lt;&gt;"",$R134,'Approved-Enforcement'!$B134+7),"")</f>
        <v/>
      </c>
      <c r="E134" t="str">
        <f>IF($A134&lt;&gt;"",'Approved-Enforcement'!D134,"")</f>
        <v/>
      </c>
      <c r="F134" t="str">
        <f>IF($A134&lt;&gt;"",'Approved-Enforcement'!E134,"")</f>
        <v/>
      </c>
      <c r="G134" t="str">
        <f>IF($A134&lt;&gt;"",'Approved-Enforcement'!F134,"")</f>
        <v/>
      </c>
      <c r="H134" t="str">
        <f>IF($A134&lt;&gt;"",'Approved-Enforcement'!G134,"")</f>
        <v/>
      </c>
      <c r="I134" t="str">
        <f>IF($A134&lt;&gt;"",'Approved-Enforcement'!H134,"")</f>
        <v/>
      </c>
      <c r="J134" t="str">
        <f>IF($A134&lt;&gt;"",'Approved-Enforcement'!I134,"")</f>
        <v/>
      </c>
      <c r="K134" t="str">
        <f>IF($A134&lt;&gt;"",'Approved-Enforcement'!J134,"")</f>
        <v/>
      </c>
      <c r="L134" t="str">
        <f>IF($A134&lt;&gt;"",'Approved-Enforcement'!K134,"")</f>
        <v/>
      </c>
      <c r="M134" t="str">
        <f>IF($A134&lt;&gt;"",'Approved-Enforcement'!L134,"")</f>
        <v/>
      </c>
      <c r="N134" t="str">
        <f>IF($A134&lt;&gt;"",'Approved-Enforcement'!M134,"")</f>
        <v/>
      </c>
      <c r="O134" t="str">
        <f>IF($A134&lt;&gt;"",'Approved-Enforcement'!N134,"")</f>
        <v/>
      </c>
      <c r="P134" t="str">
        <f>IF($A134&lt;&gt;"",'Approved-Enforcement'!O134,"")</f>
        <v/>
      </c>
    </row>
    <row r="135" spans="1:16" x14ac:dyDescent="0.35">
      <c r="A135" s="4" t="str">
        <f>IF('Approved-Enforcement'!$A135&lt;&gt;"",'Approved-Enforcement'!A135,"")</f>
        <v/>
      </c>
      <c r="B135" t="str">
        <f t="shared" si="2"/>
        <v/>
      </c>
      <c r="D135" t="str">
        <f>IF($A135&lt;&gt;"",IF($R135&lt;&gt;"",$R135,'Approved-Enforcement'!$B135+7),"")</f>
        <v/>
      </c>
      <c r="E135" t="str">
        <f>IF($A135&lt;&gt;"",'Approved-Enforcement'!D135,"")</f>
        <v/>
      </c>
      <c r="F135" t="str">
        <f>IF($A135&lt;&gt;"",'Approved-Enforcement'!E135,"")</f>
        <v/>
      </c>
      <c r="G135" t="str">
        <f>IF($A135&lt;&gt;"",'Approved-Enforcement'!F135,"")</f>
        <v/>
      </c>
      <c r="H135" t="str">
        <f>IF($A135&lt;&gt;"",'Approved-Enforcement'!G135,"")</f>
        <v/>
      </c>
      <c r="I135" t="str">
        <f>IF($A135&lt;&gt;"",'Approved-Enforcement'!H135,"")</f>
        <v/>
      </c>
      <c r="J135" t="str">
        <f>IF($A135&lt;&gt;"",'Approved-Enforcement'!I135,"")</f>
        <v/>
      </c>
      <c r="K135" t="str">
        <f>IF($A135&lt;&gt;"",'Approved-Enforcement'!J135,"")</f>
        <v/>
      </c>
      <c r="L135" t="str">
        <f>IF($A135&lt;&gt;"",'Approved-Enforcement'!K135,"")</f>
        <v/>
      </c>
      <c r="M135" t="str">
        <f>IF($A135&lt;&gt;"",'Approved-Enforcement'!L135,"")</f>
        <v/>
      </c>
      <c r="N135" t="str">
        <f>IF($A135&lt;&gt;"",'Approved-Enforcement'!M135,"")</f>
        <v/>
      </c>
      <c r="O135" t="str">
        <f>IF($A135&lt;&gt;"",'Approved-Enforcement'!N135,"")</f>
        <v/>
      </c>
      <c r="P135" t="str">
        <f>IF($A135&lt;&gt;"",'Approved-Enforcement'!O135,"")</f>
        <v/>
      </c>
    </row>
    <row r="136" spans="1:16" x14ac:dyDescent="0.35">
      <c r="A136" s="4" t="str">
        <f>IF('Approved-Enforcement'!$A136&lt;&gt;"",'Approved-Enforcement'!A136,"")</f>
        <v/>
      </c>
      <c r="B136" t="str">
        <f t="shared" si="2"/>
        <v/>
      </c>
      <c r="D136" t="str">
        <f>IF($A136&lt;&gt;"",IF($R136&lt;&gt;"",$R136,'Approved-Enforcement'!$B136+7),"")</f>
        <v/>
      </c>
      <c r="E136" t="str">
        <f>IF($A136&lt;&gt;"",'Approved-Enforcement'!D136,"")</f>
        <v/>
      </c>
      <c r="F136" t="str">
        <f>IF($A136&lt;&gt;"",'Approved-Enforcement'!E136,"")</f>
        <v/>
      </c>
      <c r="G136" t="str">
        <f>IF($A136&lt;&gt;"",'Approved-Enforcement'!F136,"")</f>
        <v/>
      </c>
      <c r="H136" t="str">
        <f>IF($A136&lt;&gt;"",'Approved-Enforcement'!G136,"")</f>
        <v/>
      </c>
      <c r="I136" t="str">
        <f>IF($A136&lt;&gt;"",'Approved-Enforcement'!H136,"")</f>
        <v/>
      </c>
      <c r="J136" t="str">
        <f>IF($A136&lt;&gt;"",'Approved-Enforcement'!I136,"")</f>
        <v/>
      </c>
      <c r="K136" t="str">
        <f>IF($A136&lt;&gt;"",'Approved-Enforcement'!J136,"")</f>
        <v/>
      </c>
      <c r="L136" t="str">
        <f>IF($A136&lt;&gt;"",'Approved-Enforcement'!K136,"")</f>
        <v/>
      </c>
      <c r="M136" t="str">
        <f>IF($A136&lt;&gt;"",'Approved-Enforcement'!L136,"")</f>
        <v/>
      </c>
      <c r="N136" t="str">
        <f>IF($A136&lt;&gt;"",'Approved-Enforcement'!M136,"")</f>
        <v/>
      </c>
      <c r="O136" t="str">
        <f>IF($A136&lt;&gt;"",'Approved-Enforcement'!N136,"")</f>
        <v/>
      </c>
      <c r="P136" t="str">
        <f>IF($A136&lt;&gt;"",'Approved-Enforcement'!O136,"")</f>
        <v/>
      </c>
    </row>
    <row r="137" spans="1:16" x14ac:dyDescent="0.35">
      <c r="A137" s="4" t="str">
        <f>IF('Approved-Enforcement'!$A137&lt;&gt;"",'Approved-Enforcement'!A137,"")</f>
        <v/>
      </c>
      <c r="B137" t="str">
        <f t="shared" si="2"/>
        <v/>
      </c>
      <c r="D137" t="str">
        <f>IF($A137&lt;&gt;"",IF($R137&lt;&gt;"",$R137,'Approved-Enforcement'!$B137+7),"")</f>
        <v/>
      </c>
      <c r="E137" t="str">
        <f>IF($A137&lt;&gt;"",'Approved-Enforcement'!D137,"")</f>
        <v/>
      </c>
      <c r="F137" t="str">
        <f>IF($A137&lt;&gt;"",'Approved-Enforcement'!E137,"")</f>
        <v/>
      </c>
      <c r="G137" t="str">
        <f>IF($A137&lt;&gt;"",'Approved-Enforcement'!F137,"")</f>
        <v/>
      </c>
      <c r="H137" t="str">
        <f>IF($A137&lt;&gt;"",'Approved-Enforcement'!G137,"")</f>
        <v/>
      </c>
      <c r="I137" t="str">
        <f>IF($A137&lt;&gt;"",'Approved-Enforcement'!H137,"")</f>
        <v/>
      </c>
      <c r="J137" t="str">
        <f>IF($A137&lt;&gt;"",'Approved-Enforcement'!I137,"")</f>
        <v/>
      </c>
      <c r="K137" t="str">
        <f>IF($A137&lt;&gt;"",'Approved-Enforcement'!J137,"")</f>
        <v/>
      </c>
      <c r="L137" t="str">
        <f>IF($A137&lt;&gt;"",'Approved-Enforcement'!K137,"")</f>
        <v/>
      </c>
      <c r="M137" t="str">
        <f>IF($A137&lt;&gt;"",'Approved-Enforcement'!L137,"")</f>
        <v/>
      </c>
      <c r="N137" t="str">
        <f>IF($A137&lt;&gt;"",'Approved-Enforcement'!M137,"")</f>
        <v/>
      </c>
      <c r="O137" t="str">
        <f>IF($A137&lt;&gt;"",'Approved-Enforcement'!N137,"")</f>
        <v/>
      </c>
      <c r="P137" t="str">
        <f>IF($A137&lt;&gt;"",'Approved-Enforcement'!O137,"")</f>
        <v/>
      </c>
    </row>
    <row r="138" spans="1:16" x14ac:dyDescent="0.35">
      <c r="A138" s="4" t="str">
        <f>IF('Approved-Enforcement'!$A138&lt;&gt;"",'Approved-Enforcement'!A138,"")</f>
        <v/>
      </c>
      <c r="B138" t="str">
        <f t="shared" si="2"/>
        <v/>
      </c>
      <c r="D138" t="str">
        <f>IF($A138&lt;&gt;"",IF($R138&lt;&gt;"",$R138,'Approved-Enforcement'!$B138+7),"")</f>
        <v/>
      </c>
      <c r="E138" t="str">
        <f>IF($A138&lt;&gt;"",'Approved-Enforcement'!D138,"")</f>
        <v/>
      </c>
      <c r="F138" t="str">
        <f>IF($A138&lt;&gt;"",'Approved-Enforcement'!E138,"")</f>
        <v/>
      </c>
      <c r="G138" t="str">
        <f>IF($A138&lt;&gt;"",'Approved-Enforcement'!F138,"")</f>
        <v/>
      </c>
      <c r="H138" t="str">
        <f>IF($A138&lt;&gt;"",'Approved-Enforcement'!G138,"")</f>
        <v/>
      </c>
      <c r="I138" t="str">
        <f>IF($A138&lt;&gt;"",'Approved-Enforcement'!H138,"")</f>
        <v/>
      </c>
      <c r="J138" t="str">
        <f>IF($A138&lt;&gt;"",'Approved-Enforcement'!I138,"")</f>
        <v/>
      </c>
      <c r="K138" t="str">
        <f>IF($A138&lt;&gt;"",'Approved-Enforcement'!J138,"")</f>
        <v/>
      </c>
      <c r="L138" t="str">
        <f>IF($A138&lt;&gt;"",'Approved-Enforcement'!K138,"")</f>
        <v/>
      </c>
      <c r="M138" t="str">
        <f>IF($A138&lt;&gt;"",'Approved-Enforcement'!L138,"")</f>
        <v/>
      </c>
      <c r="N138" t="str">
        <f>IF($A138&lt;&gt;"",'Approved-Enforcement'!M138,"")</f>
        <v/>
      </c>
      <c r="O138" t="str">
        <f>IF($A138&lt;&gt;"",'Approved-Enforcement'!N138,"")</f>
        <v/>
      </c>
      <c r="P138" t="str">
        <f>IF($A138&lt;&gt;"",'Approved-Enforcement'!O138,"")</f>
        <v/>
      </c>
    </row>
    <row r="139" spans="1:16" x14ac:dyDescent="0.35">
      <c r="A139" s="4" t="str">
        <f>IF('Approved-Enforcement'!$A139&lt;&gt;"",'Approved-Enforcement'!A139,"")</f>
        <v/>
      </c>
      <c r="B139" t="str">
        <f t="shared" si="2"/>
        <v/>
      </c>
      <c r="D139" t="str">
        <f>IF($A139&lt;&gt;"",IF($R139&lt;&gt;"",$R139,'Approved-Enforcement'!$B139+7),"")</f>
        <v/>
      </c>
      <c r="E139" t="str">
        <f>IF($A139&lt;&gt;"",'Approved-Enforcement'!D139,"")</f>
        <v/>
      </c>
      <c r="F139" t="str">
        <f>IF($A139&lt;&gt;"",'Approved-Enforcement'!E139,"")</f>
        <v/>
      </c>
      <c r="G139" t="str">
        <f>IF($A139&lt;&gt;"",'Approved-Enforcement'!F139,"")</f>
        <v/>
      </c>
      <c r="H139" t="str">
        <f>IF($A139&lt;&gt;"",'Approved-Enforcement'!G139,"")</f>
        <v/>
      </c>
      <c r="I139" t="str">
        <f>IF($A139&lt;&gt;"",'Approved-Enforcement'!H139,"")</f>
        <v/>
      </c>
      <c r="J139" t="str">
        <f>IF($A139&lt;&gt;"",'Approved-Enforcement'!I139,"")</f>
        <v/>
      </c>
      <c r="K139" t="str">
        <f>IF($A139&lt;&gt;"",'Approved-Enforcement'!J139,"")</f>
        <v/>
      </c>
      <c r="L139" t="str">
        <f>IF($A139&lt;&gt;"",'Approved-Enforcement'!K139,"")</f>
        <v/>
      </c>
      <c r="M139" t="str">
        <f>IF($A139&lt;&gt;"",'Approved-Enforcement'!L139,"")</f>
        <v/>
      </c>
      <c r="N139" t="str">
        <f>IF($A139&lt;&gt;"",'Approved-Enforcement'!M139,"")</f>
        <v/>
      </c>
      <c r="O139" t="str">
        <f>IF($A139&lt;&gt;"",'Approved-Enforcement'!N139,"")</f>
        <v/>
      </c>
      <c r="P139" t="str">
        <f>IF($A139&lt;&gt;"",'Approved-Enforcement'!O139,"")</f>
        <v/>
      </c>
    </row>
    <row r="140" spans="1:16" x14ac:dyDescent="0.35">
      <c r="A140" s="4" t="str">
        <f>IF('Approved-Enforcement'!$A140&lt;&gt;"",'Approved-Enforcement'!A140,"")</f>
        <v/>
      </c>
      <c r="B140" t="str">
        <f t="shared" si="2"/>
        <v/>
      </c>
      <c r="D140" t="str">
        <f>IF($A140&lt;&gt;"",IF($R140&lt;&gt;"",$R140,'Approved-Enforcement'!$B140+7),"")</f>
        <v/>
      </c>
      <c r="E140" t="str">
        <f>IF($A140&lt;&gt;"",'Approved-Enforcement'!D140,"")</f>
        <v/>
      </c>
      <c r="F140" t="str">
        <f>IF($A140&lt;&gt;"",'Approved-Enforcement'!E140,"")</f>
        <v/>
      </c>
      <c r="G140" t="str">
        <f>IF($A140&lt;&gt;"",'Approved-Enforcement'!F140,"")</f>
        <v/>
      </c>
      <c r="H140" t="str">
        <f>IF($A140&lt;&gt;"",'Approved-Enforcement'!G140,"")</f>
        <v/>
      </c>
      <c r="I140" t="str">
        <f>IF($A140&lt;&gt;"",'Approved-Enforcement'!H140,"")</f>
        <v/>
      </c>
      <c r="J140" t="str">
        <f>IF($A140&lt;&gt;"",'Approved-Enforcement'!I140,"")</f>
        <v/>
      </c>
      <c r="K140" t="str">
        <f>IF($A140&lt;&gt;"",'Approved-Enforcement'!J140,"")</f>
        <v/>
      </c>
      <c r="L140" t="str">
        <f>IF($A140&lt;&gt;"",'Approved-Enforcement'!K140,"")</f>
        <v/>
      </c>
      <c r="M140" t="str">
        <f>IF($A140&lt;&gt;"",'Approved-Enforcement'!L140,"")</f>
        <v/>
      </c>
      <c r="N140" t="str">
        <f>IF($A140&lt;&gt;"",'Approved-Enforcement'!M140,"")</f>
        <v/>
      </c>
      <c r="O140" t="str">
        <f>IF($A140&lt;&gt;"",'Approved-Enforcement'!N140,"")</f>
        <v/>
      </c>
      <c r="P140" t="str">
        <f>IF($A140&lt;&gt;"",'Approved-Enforcement'!O140,"")</f>
        <v/>
      </c>
    </row>
    <row r="141" spans="1:16" x14ac:dyDescent="0.35">
      <c r="A141" s="4" t="str">
        <f>IF('Approved-Enforcement'!$A141&lt;&gt;"",'Approved-Enforcement'!A141,"")</f>
        <v/>
      </c>
      <c r="B141" t="str">
        <f t="shared" si="2"/>
        <v/>
      </c>
      <c r="D141" t="str">
        <f>IF($A141&lt;&gt;"",IF($R141&lt;&gt;"",$R141,'Approved-Enforcement'!$B141+7),"")</f>
        <v/>
      </c>
      <c r="E141" t="str">
        <f>IF($A141&lt;&gt;"",'Approved-Enforcement'!D141,"")</f>
        <v/>
      </c>
      <c r="F141" t="str">
        <f>IF($A141&lt;&gt;"",'Approved-Enforcement'!E141,"")</f>
        <v/>
      </c>
      <c r="G141" t="str">
        <f>IF($A141&lt;&gt;"",'Approved-Enforcement'!F141,"")</f>
        <v/>
      </c>
      <c r="H141" t="str">
        <f>IF($A141&lt;&gt;"",'Approved-Enforcement'!G141,"")</f>
        <v/>
      </c>
      <c r="I141" t="str">
        <f>IF($A141&lt;&gt;"",'Approved-Enforcement'!H141,"")</f>
        <v/>
      </c>
      <c r="J141" t="str">
        <f>IF($A141&lt;&gt;"",'Approved-Enforcement'!I141,"")</f>
        <v/>
      </c>
      <c r="K141" t="str">
        <f>IF($A141&lt;&gt;"",'Approved-Enforcement'!J141,"")</f>
        <v/>
      </c>
      <c r="L141" t="str">
        <f>IF($A141&lt;&gt;"",'Approved-Enforcement'!K141,"")</f>
        <v/>
      </c>
      <c r="M141" t="str">
        <f>IF($A141&lt;&gt;"",'Approved-Enforcement'!L141,"")</f>
        <v/>
      </c>
      <c r="N141" t="str">
        <f>IF($A141&lt;&gt;"",'Approved-Enforcement'!M141,"")</f>
        <v/>
      </c>
      <c r="O141" t="str">
        <f>IF($A141&lt;&gt;"",'Approved-Enforcement'!N141,"")</f>
        <v/>
      </c>
      <c r="P141" t="str">
        <f>IF($A141&lt;&gt;"",'Approved-Enforcement'!O141,"")</f>
        <v/>
      </c>
    </row>
    <row r="142" spans="1:16" x14ac:dyDescent="0.35">
      <c r="A142" s="4" t="str">
        <f>IF('Approved-Enforcement'!$A142&lt;&gt;"",'Approved-Enforcement'!A142,"")</f>
        <v/>
      </c>
      <c r="B142" t="str">
        <f t="shared" si="2"/>
        <v/>
      </c>
      <c r="D142" t="str">
        <f>IF($A142&lt;&gt;"",IF($R142&lt;&gt;"",$R142,'Approved-Enforcement'!$B142+7),"")</f>
        <v/>
      </c>
      <c r="E142" t="str">
        <f>IF($A142&lt;&gt;"",'Approved-Enforcement'!D142,"")</f>
        <v/>
      </c>
      <c r="F142" t="str">
        <f>IF($A142&lt;&gt;"",'Approved-Enforcement'!E142,"")</f>
        <v/>
      </c>
      <c r="G142" t="str">
        <f>IF($A142&lt;&gt;"",'Approved-Enforcement'!F142,"")</f>
        <v/>
      </c>
      <c r="H142" t="str">
        <f>IF($A142&lt;&gt;"",'Approved-Enforcement'!G142,"")</f>
        <v/>
      </c>
      <c r="I142" t="str">
        <f>IF($A142&lt;&gt;"",'Approved-Enforcement'!H142,"")</f>
        <v/>
      </c>
      <c r="J142" t="str">
        <f>IF($A142&lt;&gt;"",'Approved-Enforcement'!I142,"")</f>
        <v/>
      </c>
      <c r="K142" t="str">
        <f>IF($A142&lt;&gt;"",'Approved-Enforcement'!J142,"")</f>
        <v/>
      </c>
      <c r="L142" t="str">
        <f>IF($A142&lt;&gt;"",'Approved-Enforcement'!K142,"")</f>
        <v/>
      </c>
      <c r="M142" t="str">
        <f>IF($A142&lt;&gt;"",'Approved-Enforcement'!L142,"")</f>
        <v/>
      </c>
      <c r="N142" t="str">
        <f>IF($A142&lt;&gt;"",'Approved-Enforcement'!M142,"")</f>
        <v/>
      </c>
      <c r="O142" t="str">
        <f>IF($A142&lt;&gt;"",'Approved-Enforcement'!N142,"")</f>
        <v/>
      </c>
      <c r="P142" t="str">
        <f>IF($A142&lt;&gt;"",'Approved-Enforcement'!O142,"")</f>
        <v/>
      </c>
    </row>
    <row r="143" spans="1:16" x14ac:dyDescent="0.35">
      <c r="A143" s="4" t="str">
        <f>IF('Approved-Enforcement'!$A143&lt;&gt;"",'Approved-Enforcement'!A143,"")</f>
        <v/>
      </c>
      <c r="B143" t="str">
        <f t="shared" si="2"/>
        <v/>
      </c>
      <c r="D143" t="str">
        <f>IF($A143&lt;&gt;"",IF($R143&lt;&gt;"",$R143,'Approved-Enforcement'!$B143+7),"")</f>
        <v/>
      </c>
      <c r="E143" t="str">
        <f>IF($A143&lt;&gt;"",'Approved-Enforcement'!D143,"")</f>
        <v/>
      </c>
      <c r="F143" t="str">
        <f>IF($A143&lt;&gt;"",'Approved-Enforcement'!E143,"")</f>
        <v/>
      </c>
      <c r="G143" t="str">
        <f>IF($A143&lt;&gt;"",'Approved-Enforcement'!F143,"")</f>
        <v/>
      </c>
      <c r="H143" t="str">
        <f>IF($A143&lt;&gt;"",'Approved-Enforcement'!G143,"")</f>
        <v/>
      </c>
      <c r="I143" t="str">
        <f>IF($A143&lt;&gt;"",'Approved-Enforcement'!H143,"")</f>
        <v/>
      </c>
      <c r="J143" t="str">
        <f>IF($A143&lt;&gt;"",'Approved-Enforcement'!I143,"")</f>
        <v/>
      </c>
      <c r="K143" t="str">
        <f>IF($A143&lt;&gt;"",'Approved-Enforcement'!J143,"")</f>
        <v/>
      </c>
      <c r="L143" t="str">
        <f>IF($A143&lt;&gt;"",'Approved-Enforcement'!K143,"")</f>
        <v/>
      </c>
      <c r="M143" t="str">
        <f>IF($A143&lt;&gt;"",'Approved-Enforcement'!L143,"")</f>
        <v/>
      </c>
      <c r="N143" t="str">
        <f>IF($A143&lt;&gt;"",'Approved-Enforcement'!M143,"")</f>
        <v/>
      </c>
      <c r="O143" t="str">
        <f>IF($A143&lt;&gt;"",'Approved-Enforcement'!N143,"")</f>
        <v/>
      </c>
      <c r="P143" t="str">
        <f>IF($A143&lt;&gt;"",'Approved-Enforcement'!O143,"")</f>
        <v/>
      </c>
    </row>
    <row r="144" spans="1:16" x14ac:dyDescent="0.35">
      <c r="A144" s="4" t="str">
        <f>IF('Approved-Enforcement'!$A144&lt;&gt;"",'Approved-Enforcement'!A144,"")</f>
        <v/>
      </c>
      <c r="B144" t="str">
        <f t="shared" si="2"/>
        <v/>
      </c>
      <c r="D144" t="str">
        <f>IF($A144&lt;&gt;"",IF($R144&lt;&gt;"",$R144,'Approved-Enforcement'!$B144+7),"")</f>
        <v/>
      </c>
      <c r="E144" t="str">
        <f>IF($A144&lt;&gt;"",'Approved-Enforcement'!D144,"")</f>
        <v/>
      </c>
      <c r="F144" t="str">
        <f>IF($A144&lt;&gt;"",'Approved-Enforcement'!E144,"")</f>
        <v/>
      </c>
      <c r="G144" t="str">
        <f>IF($A144&lt;&gt;"",'Approved-Enforcement'!F144,"")</f>
        <v/>
      </c>
      <c r="H144" t="str">
        <f>IF($A144&lt;&gt;"",'Approved-Enforcement'!G144,"")</f>
        <v/>
      </c>
      <c r="I144" t="str">
        <f>IF($A144&lt;&gt;"",'Approved-Enforcement'!H144,"")</f>
        <v/>
      </c>
      <c r="J144" t="str">
        <f>IF($A144&lt;&gt;"",'Approved-Enforcement'!I144,"")</f>
        <v/>
      </c>
      <c r="K144" t="str">
        <f>IF($A144&lt;&gt;"",'Approved-Enforcement'!J144,"")</f>
        <v/>
      </c>
      <c r="L144" t="str">
        <f>IF($A144&lt;&gt;"",'Approved-Enforcement'!K144,"")</f>
        <v/>
      </c>
      <c r="M144" t="str">
        <f>IF($A144&lt;&gt;"",'Approved-Enforcement'!L144,"")</f>
        <v/>
      </c>
      <c r="N144" t="str">
        <f>IF($A144&lt;&gt;"",'Approved-Enforcement'!M144,"")</f>
        <v/>
      </c>
      <c r="O144" t="str">
        <f>IF($A144&lt;&gt;"",'Approved-Enforcement'!N144,"")</f>
        <v/>
      </c>
      <c r="P144" t="str">
        <f>IF($A144&lt;&gt;"",'Approved-Enforcement'!O144,"")</f>
        <v/>
      </c>
    </row>
    <row r="145" spans="1:16" x14ac:dyDescent="0.35">
      <c r="A145" s="4" t="str">
        <f>IF('Approved-Enforcement'!$A145&lt;&gt;"",'Approved-Enforcement'!A145,"")</f>
        <v/>
      </c>
      <c r="B145" t="str">
        <f t="shared" si="2"/>
        <v/>
      </c>
      <c r="D145" t="str">
        <f>IF($A145&lt;&gt;"",IF($R145&lt;&gt;"",$R145,'Approved-Enforcement'!$B145+7),"")</f>
        <v/>
      </c>
      <c r="E145" t="str">
        <f>IF($A145&lt;&gt;"",'Approved-Enforcement'!D145,"")</f>
        <v/>
      </c>
      <c r="F145" t="str">
        <f>IF($A145&lt;&gt;"",'Approved-Enforcement'!E145,"")</f>
        <v/>
      </c>
      <c r="G145" t="str">
        <f>IF($A145&lt;&gt;"",'Approved-Enforcement'!F145,"")</f>
        <v/>
      </c>
      <c r="H145" t="str">
        <f>IF($A145&lt;&gt;"",'Approved-Enforcement'!G145,"")</f>
        <v/>
      </c>
      <c r="I145" t="str">
        <f>IF($A145&lt;&gt;"",'Approved-Enforcement'!H145,"")</f>
        <v/>
      </c>
      <c r="J145" t="str">
        <f>IF($A145&lt;&gt;"",'Approved-Enforcement'!I145,"")</f>
        <v/>
      </c>
      <c r="K145" t="str">
        <f>IF($A145&lt;&gt;"",'Approved-Enforcement'!J145,"")</f>
        <v/>
      </c>
      <c r="L145" t="str">
        <f>IF($A145&lt;&gt;"",'Approved-Enforcement'!K145,"")</f>
        <v/>
      </c>
      <c r="M145" t="str">
        <f>IF($A145&lt;&gt;"",'Approved-Enforcement'!L145,"")</f>
        <v/>
      </c>
      <c r="N145" t="str">
        <f>IF($A145&lt;&gt;"",'Approved-Enforcement'!M145,"")</f>
        <v/>
      </c>
      <c r="O145" t="str">
        <f>IF($A145&lt;&gt;"",'Approved-Enforcement'!N145,"")</f>
        <v/>
      </c>
      <c r="P145" t="str">
        <f>IF($A145&lt;&gt;"",'Approved-Enforcement'!O145,"")</f>
        <v/>
      </c>
    </row>
    <row r="146" spans="1:16" x14ac:dyDescent="0.35">
      <c r="A146" s="4" t="str">
        <f>IF('Approved-Enforcement'!$A146&lt;&gt;"",'Approved-Enforcement'!A146,"")</f>
        <v/>
      </c>
      <c r="B146" t="str">
        <f t="shared" si="2"/>
        <v/>
      </c>
      <c r="D146" t="str">
        <f>IF($A146&lt;&gt;"",IF($R146&lt;&gt;"",$R146,'Approved-Enforcement'!$B146+7),"")</f>
        <v/>
      </c>
      <c r="E146" t="str">
        <f>IF($A146&lt;&gt;"",'Approved-Enforcement'!D146,"")</f>
        <v/>
      </c>
      <c r="F146" t="str">
        <f>IF($A146&lt;&gt;"",'Approved-Enforcement'!E146,"")</f>
        <v/>
      </c>
      <c r="G146" t="str">
        <f>IF($A146&lt;&gt;"",'Approved-Enforcement'!F146,"")</f>
        <v/>
      </c>
      <c r="H146" t="str">
        <f>IF($A146&lt;&gt;"",'Approved-Enforcement'!G146,"")</f>
        <v/>
      </c>
      <c r="I146" t="str">
        <f>IF($A146&lt;&gt;"",'Approved-Enforcement'!H146,"")</f>
        <v/>
      </c>
      <c r="J146" t="str">
        <f>IF($A146&lt;&gt;"",'Approved-Enforcement'!I146,"")</f>
        <v/>
      </c>
      <c r="K146" t="str">
        <f>IF($A146&lt;&gt;"",'Approved-Enforcement'!J146,"")</f>
        <v/>
      </c>
      <c r="L146" t="str">
        <f>IF($A146&lt;&gt;"",'Approved-Enforcement'!K146,"")</f>
        <v/>
      </c>
      <c r="M146" t="str">
        <f>IF($A146&lt;&gt;"",'Approved-Enforcement'!L146,"")</f>
        <v/>
      </c>
      <c r="N146" t="str">
        <f>IF($A146&lt;&gt;"",'Approved-Enforcement'!M146,"")</f>
        <v/>
      </c>
      <c r="O146" t="str">
        <f>IF($A146&lt;&gt;"",'Approved-Enforcement'!N146,"")</f>
        <v/>
      </c>
      <c r="P146" t="str">
        <f>IF($A146&lt;&gt;"",'Approved-Enforcement'!O146,"")</f>
        <v/>
      </c>
    </row>
    <row r="147" spans="1:16" x14ac:dyDescent="0.35">
      <c r="A147" s="4" t="str">
        <f>IF('Approved-Enforcement'!$A147&lt;&gt;"",'Approved-Enforcement'!A147,"")</f>
        <v/>
      </c>
      <c r="B147" t="str">
        <f t="shared" si="2"/>
        <v/>
      </c>
      <c r="D147" t="str">
        <f>IF($A147&lt;&gt;"",IF($R147&lt;&gt;"",$R147,'Approved-Enforcement'!$B147+7),"")</f>
        <v/>
      </c>
      <c r="E147" t="str">
        <f>IF($A147&lt;&gt;"",'Approved-Enforcement'!D147,"")</f>
        <v/>
      </c>
      <c r="F147" t="str">
        <f>IF($A147&lt;&gt;"",'Approved-Enforcement'!E147,"")</f>
        <v/>
      </c>
      <c r="G147" t="str">
        <f>IF($A147&lt;&gt;"",'Approved-Enforcement'!F147,"")</f>
        <v/>
      </c>
      <c r="H147" t="str">
        <f>IF($A147&lt;&gt;"",'Approved-Enforcement'!G147,"")</f>
        <v/>
      </c>
      <c r="I147" t="str">
        <f>IF($A147&lt;&gt;"",'Approved-Enforcement'!H147,"")</f>
        <v/>
      </c>
      <c r="J147" t="str">
        <f>IF($A147&lt;&gt;"",'Approved-Enforcement'!I147,"")</f>
        <v/>
      </c>
      <c r="K147" t="str">
        <f>IF($A147&lt;&gt;"",'Approved-Enforcement'!J147,"")</f>
        <v/>
      </c>
      <c r="L147" t="str">
        <f>IF($A147&lt;&gt;"",'Approved-Enforcement'!K147,"")</f>
        <v/>
      </c>
      <c r="M147" t="str">
        <f>IF($A147&lt;&gt;"",'Approved-Enforcement'!L147,"")</f>
        <v/>
      </c>
      <c r="N147" t="str">
        <f>IF($A147&lt;&gt;"",'Approved-Enforcement'!M147,"")</f>
        <v/>
      </c>
      <c r="O147" t="str">
        <f>IF($A147&lt;&gt;"",'Approved-Enforcement'!N147,"")</f>
        <v/>
      </c>
      <c r="P147" t="str">
        <f>IF($A147&lt;&gt;"",'Approved-Enforcement'!O147,"")</f>
        <v/>
      </c>
    </row>
    <row r="148" spans="1:16" x14ac:dyDescent="0.35">
      <c r="A148" s="4" t="str">
        <f>IF('Approved-Enforcement'!$A148&lt;&gt;"",'Approved-Enforcement'!A148,"")</f>
        <v/>
      </c>
      <c r="B148" t="str">
        <f t="shared" si="2"/>
        <v/>
      </c>
      <c r="D148" t="str">
        <f>IF($A148&lt;&gt;"",IF($R148&lt;&gt;"",$R148,'Approved-Enforcement'!$B148+7),"")</f>
        <v/>
      </c>
      <c r="E148" t="str">
        <f>IF($A148&lt;&gt;"",'Approved-Enforcement'!D148,"")</f>
        <v/>
      </c>
      <c r="F148" t="str">
        <f>IF($A148&lt;&gt;"",'Approved-Enforcement'!E148,"")</f>
        <v/>
      </c>
      <c r="G148" t="str">
        <f>IF($A148&lt;&gt;"",'Approved-Enforcement'!F148,"")</f>
        <v/>
      </c>
      <c r="H148" t="str">
        <f>IF($A148&lt;&gt;"",'Approved-Enforcement'!G148,"")</f>
        <v/>
      </c>
      <c r="I148" t="str">
        <f>IF($A148&lt;&gt;"",'Approved-Enforcement'!H148,"")</f>
        <v/>
      </c>
      <c r="J148" t="str">
        <f>IF($A148&lt;&gt;"",'Approved-Enforcement'!I148,"")</f>
        <v/>
      </c>
      <c r="K148" t="str">
        <f>IF($A148&lt;&gt;"",'Approved-Enforcement'!J148,"")</f>
        <v/>
      </c>
      <c r="L148" t="str">
        <f>IF($A148&lt;&gt;"",'Approved-Enforcement'!K148,"")</f>
        <v/>
      </c>
      <c r="M148" t="str">
        <f>IF($A148&lt;&gt;"",'Approved-Enforcement'!L148,"")</f>
        <v/>
      </c>
      <c r="N148" t="str">
        <f>IF($A148&lt;&gt;"",'Approved-Enforcement'!M148,"")</f>
        <v/>
      </c>
      <c r="O148" t="str">
        <f>IF($A148&lt;&gt;"",'Approved-Enforcement'!N148,"")</f>
        <v/>
      </c>
      <c r="P148" t="str">
        <f>IF($A148&lt;&gt;"",'Approved-Enforcement'!O148,"")</f>
        <v/>
      </c>
    </row>
    <row r="149" spans="1:16" x14ac:dyDescent="0.35">
      <c r="A149" s="4" t="str">
        <f>IF('Approved-Enforcement'!$A149&lt;&gt;"",'Approved-Enforcement'!A149,"")</f>
        <v/>
      </c>
      <c r="B149" t="str">
        <f t="shared" si="2"/>
        <v/>
      </c>
      <c r="D149" t="str">
        <f>IF($A149&lt;&gt;"",IF($R149&lt;&gt;"",$R149,'Approved-Enforcement'!$B149+7),"")</f>
        <v/>
      </c>
      <c r="E149" t="str">
        <f>IF($A149&lt;&gt;"",'Approved-Enforcement'!D149,"")</f>
        <v/>
      </c>
      <c r="F149" t="str">
        <f>IF($A149&lt;&gt;"",'Approved-Enforcement'!E149,"")</f>
        <v/>
      </c>
      <c r="G149" t="str">
        <f>IF($A149&lt;&gt;"",'Approved-Enforcement'!F149,"")</f>
        <v/>
      </c>
      <c r="H149" t="str">
        <f>IF($A149&lt;&gt;"",'Approved-Enforcement'!G149,"")</f>
        <v/>
      </c>
      <c r="I149" t="str">
        <f>IF($A149&lt;&gt;"",'Approved-Enforcement'!H149,"")</f>
        <v/>
      </c>
      <c r="J149" t="str">
        <f>IF($A149&lt;&gt;"",'Approved-Enforcement'!I149,"")</f>
        <v/>
      </c>
      <c r="K149" t="str">
        <f>IF($A149&lt;&gt;"",'Approved-Enforcement'!J149,"")</f>
        <v/>
      </c>
      <c r="L149" t="str">
        <f>IF($A149&lt;&gt;"",'Approved-Enforcement'!K149,"")</f>
        <v/>
      </c>
      <c r="M149" t="str">
        <f>IF($A149&lt;&gt;"",'Approved-Enforcement'!L149,"")</f>
        <v/>
      </c>
      <c r="N149" t="str">
        <f>IF($A149&lt;&gt;"",'Approved-Enforcement'!M149,"")</f>
        <v/>
      </c>
      <c r="O149" t="str">
        <f>IF($A149&lt;&gt;"",'Approved-Enforcement'!N149,"")</f>
        <v/>
      </c>
      <c r="P149" t="str">
        <f>IF($A149&lt;&gt;"",'Approved-Enforcement'!O149,"")</f>
        <v/>
      </c>
    </row>
    <row r="150" spans="1:16" x14ac:dyDescent="0.35">
      <c r="A150" s="4" t="str">
        <f>IF('Approved-Enforcement'!$A150&lt;&gt;"",'Approved-Enforcement'!A150,"")</f>
        <v/>
      </c>
      <c r="B150" t="str">
        <f t="shared" si="2"/>
        <v/>
      </c>
      <c r="D150" t="str">
        <f>IF($A150&lt;&gt;"",IF($R150&lt;&gt;"",$R150,'Approved-Enforcement'!$B150+7),"")</f>
        <v/>
      </c>
      <c r="E150" t="str">
        <f>IF($A150&lt;&gt;"",'Approved-Enforcement'!D150,"")</f>
        <v/>
      </c>
      <c r="F150" t="str">
        <f>IF($A150&lt;&gt;"",'Approved-Enforcement'!E150,"")</f>
        <v/>
      </c>
      <c r="G150" t="str">
        <f>IF($A150&lt;&gt;"",'Approved-Enforcement'!F150,"")</f>
        <v/>
      </c>
      <c r="H150" t="str">
        <f>IF($A150&lt;&gt;"",'Approved-Enforcement'!G150,"")</f>
        <v/>
      </c>
      <c r="I150" t="str">
        <f>IF($A150&lt;&gt;"",'Approved-Enforcement'!H150,"")</f>
        <v/>
      </c>
      <c r="J150" t="str">
        <f>IF($A150&lt;&gt;"",'Approved-Enforcement'!I150,"")</f>
        <v/>
      </c>
      <c r="K150" t="str">
        <f>IF($A150&lt;&gt;"",'Approved-Enforcement'!J150,"")</f>
        <v/>
      </c>
      <c r="L150" t="str">
        <f>IF($A150&lt;&gt;"",'Approved-Enforcement'!K150,"")</f>
        <v/>
      </c>
      <c r="M150" t="str">
        <f>IF($A150&lt;&gt;"",'Approved-Enforcement'!L150,"")</f>
        <v/>
      </c>
      <c r="N150" t="str">
        <f>IF($A150&lt;&gt;"",'Approved-Enforcement'!M150,"")</f>
        <v/>
      </c>
      <c r="O150" t="str">
        <f>IF($A150&lt;&gt;"",'Approved-Enforcement'!N150,"")</f>
        <v/>
      </c>
      <c r="P150" t="str">
        <f>IF($A150&lt;&gt;"",'Approved-Enforcement'!O150,"")</f>
        <v/>
      </c>
    </row>
    <row r="151" spans="1:16" x14ac:dyDescent="0.35">
      <c r="A151" s="4" t="str">
        <f>IF('Approved-Enforcement'!$A151&lt;&gt;"",'Approved-Enforcement'!A151,"")</f>
        <v/>
      </c>
      <c r="B151" t="str">
        <f t="shared" si="2"/>
        <v/>
      </c>
      <c r="D151" t="str">
        <f>IF($A151&lt;&gt;"",IF($R151&lt;&gt;"",$R151,'Approved-Enforcement'!$B151+7),"")</f>
        <v/>
      </c>
      <c r="E151" t="str">
        <f>IF($A151&lt;&gt;"",'Approved-Enforcement'!D151,"")</f>
        <v/>
      </c>
      <c r="F151" t="str">
        <f>IF($A151&lt;&gt;"",'Approved-Enforcement'!E151,"")</f>
        <v/>
      </c>
      <c r="G151" t="str">
        <f>IF($A151&lt;&gt;"",'Approved-Enforcement'!F151,"")</f>
        <v/>
      </c>
      <c r="H151" t="str">
        <f>IF($A151&lt;&gt;"",'Approved-Enforcement'!G151,"")</f>
        <v/>
      </c>
      <c r="I151" t="str">
        <f>IF($A151&lt;&gt;"",'Approved-Enforcement'!H151,"")</f>
        <v/>
      </c>
      <c r="J151" t="str">
        <f>IF($A151&lt;&gt;"",'Approved-Enforcement'!I151,"")</f>
        <v/>
      </c>
      <c r="K151" t="str">
        <f>IF($A151&lt;&gt;"",'Approved-Enforcement'!J151,"")</f>
        <v/>
      </c>
      <c r="L151" t="str">
        <f>IF($A151&lt;&gt;"",'Approved-Enforcement'!K151,"")</f>
        <v/>
      </c>
      <c r="M151" t="str">
        <f>IF($A151&lt;&gt;"",'Approved-Enforcement'!L151,"")</f>
        <v/>
      </c>
      <c r="N151" t="str">
        <f>IF($A151&lt;&gt;"",'Approved-Enforcement'!M151,"")</f>
        <v/>
      </c>
      <c r="O151" t="str">
        <f>IF($A151&lt;&gt;"",'Approved-Enforcement'!N151,"")</f>
        <v/>
      </c>
      <c r="P151" t="str">
        <f>IF($A151&lt;&gt;"",'Approved-Enforcement'!O151,"")</f>
        <v/>
      </c>
    </row>
    <row r="152" spans="1:16" x14ac:dyDescent="0.35">
      <c r="A152" s="4" t="str">
        <f>IF('Approved-Enforcement'!$A152&lt;&gt;"",'Approved-Enforcement'!A152,"")</f>
        <v/>
      </c>
      <c r="B152" t="str">
        <f t="shared" si="2"/>
        <v/>
      </c>
      <c r="D152" t="str">
        <f>IF($A152&lt;&gt;"",IF($R152&lt;&gt;"",$R152,'Approved-Enforcement'!$B152+7),"")</f>
        <v/>
      </c>
      <c r="E152" t="str">
        <f>IF($A152&lt;&gt;"",'Approved-Enforcement'!D152,"")</f>
        <v/>
      </c>
      <c r="F152" t="str">
        <f>IF($A152&lt;&gt;"",'Approved-Enforcement'!E152,"")</f>
        <v/>
      </c>
      <c r="G152" t="str">
        <f>IF($A152&lt;&gt;"",'Approved-Enforcement'!F152,"")</f>
        <v/>
      </c>
      <c r="H152" t="str">
        <f>IF($A152&lt;&gt;"",'Approved-Enforcement'!G152,"")</f>
        <v/>
      </c>
      <c r="I152" t="str">
        <f>IF($A152&lt;&gt;"",'Approved-Enforcement'!H152,"")</f>
        <v/>
      </c>
      <c r="J152" t="str">
        <f>IF($A152&lt;&gt;"",'Approved-Enforcement'!I152,"")</f>
        <v/>
      </c>
      <c r="K152" t="str">
        <f>IF($A152&lt;&gt;"",'Approved-Enforcement'!J152,"")</f>
        <v/>
      </c>
      <c r="L152" t="str">
        <f>IF($A152&lt;&gt;"",'Approved-Enforcement'!K152,"")</f>
        <v/>
      </c>
      <c r="M152" t="str">
        <f>IF($A152&lt;&gt;"",'Approved-Enforcement'!L152,"")</f>
        <v/>
      </c>
      <c r="N152" t="str">
        <f>IF($A152&lt;&gt;"",'Approved-Enforcement'!M152,"")</f>
        <v/>
      </c>
      <c r="O152" t="str">
        <f>IF($A152&lt;&gt;"",'Approved-Enforcement'!N152,"")</f>
        <v/>
      </c>
      <c r="P152" t="str">
        <f>IF($A152&lt;&gt;"",'Approved-Enforcement'!O152,"")</f>
        <v/>
      </c>
    </row>
    <row r="153" spans="1:16" x14ac:dyDescent="0.35">
      <c r="A153" s="4" t="str">
        <f>IF('Approved-Enforcement'!$A153&lt;&gt;"",'Approved-Enforcement'!A153,"")</f>
        <v/>
      </c>
      <c r="B153" t="str">
        <f t="shared" si="2"/>
        <v/>
      </c>
      <c r="D153" t="str">
        <f>IF($A153&lt;&gt;"",IF($R153&lt;&gt;"",$R153,'Approved-Enforcement'!$B153+7),"")</f>
        <v/>
      </c>
      <c r="E153" t="str">
        <f>IF($A153&lt;&gt;"",'Approved-Enforcement'!D153,"")</f>
        <v/>
      </c>
      <c r="F153" t="str">
        <f>IF($A153&lt;&gt;"",'Approved-Enforcement'!E153,"")</f>
        <v/>
      </c>
      <c r="G153" t="str">
        <f>IF($A153&lt;&gt;"",'Approved-Enforcement'!F153,"")</f>
        <v/>
      </c>
      <c r="H153" t="str">
        <f>IF($A153&lt;&gt;"",'Approved-Enforcement'!G153,"")</f>
        <v/>
      </c>
      <c r="I153" t="str">
        <f>IF($A153&lt;&gt;"",'Approved-Enforcement'!H153,"")</f>
        <v/>
      </c>
      <c r="J153" t="str">
        <f>IF($A153&lt;&gt;"",'Approved-Enforcement'!I153,"")</f>
        <v/>
      </c>
      <c r="K153" t="str">
        <f>IF($A153&lt;&gt;"",'Approved-Enforcement'!J153,"")</f>
        <v/>
      </c>
      <c r="L153" t="str">
        <f>IF($A153&lt;&gt;"",'Approved-Enforcement'!K153,"")</f>
        <v/>
      </c>
      <c r="M153" t="str">
        <f>IF($A153&lt;&gt;"",'Approved-Enforcement'!L153,"")</f>
        <v/>
      </c>
      <c r="N153" t="str">
        <f>IF($A153&lt;&gt;"",'Approved-Enforcement'!M153,"")</f>
        <v/>
      </c>
      <c r="O153" t="str">
        <f>IF($A153&lt;&gt;"",'Approved-Enforcement'!N153,"")</f>
        <v/>
      </c>
      <c r="P153" t="str">
        <f>IF($A153&lt;&gt;"",'Approved-Enforcement'!O153,"")</f>
        <v/>
      </c>
    </row>
    <row r="154" spans="1:16" x14ac:dyDescent="0.35">
      <c r="A154" s="4" t="str">
        <f>IF('Approved-Enforcement'!$A154&lt;&gt;"",'Approved-Enforcement'!A154,"")</f>
        <v/>
      </c>
      <c r="B154" t="str">
        <f t="shared" si="2"/>
        <v/>
      </c>
      <c r="D154" t="str">
        <f>IF($A154&lt;&gt;"",IF($R154&lt;&gt;"",$R154,'Approved-Enforcement'!$B154+7),"")</f>
        <v/>
      </c>
      <c r="E154" t="str">
        <f>IF($A154&lt;&gt;"",'Approved-Enforcement'!D154,"")</f>
        <v/>
      </c>
      <c r="F154" t="str">
        <f>IF($A154&lt;&gt;"",'Approved-Enforcement'!E154,"")</f>
        <v/>
      </c>
      <c r="G154" t="str">
        <f>IF($A154&lt;&gt;"",'Approved-Enforcement'!F154,"")</f>
        <v/>
      </c>
      <c r="H154" t="str">
        <f>IF($A154&lt;&gt;"",'Approved-Enforcement'!G154,"")</f>
        <v/>
      </c>
      <c r="I154" t="str">
        <f>IF($A154&lt;&gt;"",'Approved-Enforcement'!H154,"")</f>
        <v/>
      </c>
      <c r="J154" t="str">
        <f>IF($A154&lt;&gt;"",'Approved-Enforcement'!I154,"")</f>
        <v/>
      </c>
      <c r="K154" t="str">
        <f>IF($A154&lt;&gt;"",'Approved-Enforcement'!J154,"")</f>
        <v/>
      </c>
      <c r="L154" t="str">
        <f>IF($A154&lt;&gt;"",'Approved-Enforcement'!K154,"")</f>
        <v/>
      </c>
      <c r="M154" t="str">
        <f>IF($A154&lt;&gt;"",'Approved-Enforcement'!L154,"")</f>
        <v/>
      </c>
      <c r="N154" t="str">
        <f>IF($A154&lt;&gt;"",'Approved-Enforcement'!M154,"")</f>
        <v/>
      </c>
      <c r="O154" t="str">
        <f>IF($A154&lt;&gt;"",'Approved-Enforcement'!N154,"")</f>
        <v/>
      </c>
      <c r="P154" t="str">
        <f>IF($A154&lt;&gt;"",'Approved-Enforcement'!O154,"")</f>
        <v/>
      </c>
    </row>
    <row r="155" spans="1:16" x14ac:dyDescent="0.35">
      <c r="A155" s="4" t="str">
        <f>IF('Approved-Enforcement'!$A155&lt;&gt;"",'Approved-Enforcement'!A155,"")</f>
        <v/>
      </c>
      <c r="B155" t="str">
        <f t="shared" si="2"/>
        <v/>
      </c>
      <c r="D155" t="str">
        <f>IF($A155&lt;&gt;"",IF($R155&lt;&gt;"",$R155,'Approved-Enforcement'!$B155+7),"")</f>
        <v/>
      </c>
      <c r="E155" t="str">
        <f>IF($A155&lt;&gt;"",'Approved-Enforcement'!D155,"")</f>
        <v/>
      </c>
      <c r="F155" t="str">
        <f>IF($A155&lt;&gt;"",'Approved-Enforcement'!E155,"")</f>
        <v/>
      </c>
      <c r="G155" t="str">
        <f>IF($A155&lt;&gt;"",'Approved-Enforcement'!F155,"")</f>
        <v/>
      </c>
      <c r="H155" t="str">
        <f>IF($A155&lt;&gt;"",'Approved-Enforcement'!G155,"")</f>
        <v/>
      </c>
      <c r="I155" t="str">
        <f>IF($A155&lt;&gt;"",'Approved-Enforcement'!H155,"")</f>
        <v/>
      </c>
      <c r="J155" t="str">
        <f>IF($A155&lt;&gt;"",'Approved-Enforcement'!I155,"")</f>
        <v/>
      </c>
      <c r="K155" t="str">
        <f>IF($A155&lt;&gt;"",'Approved-Enforcement'!J155,"")</f>
        <v/>
      </c>
      <c r="L155" t="str">
        <f>IF($A155&lt;&gt;"",'Approved-Enforcement'!K155,"")</f>
        <v/>
      </c>
      <c r="M155" t="str">
        <f>IF($A155&lt;&gt;"",'Approved-Enforcement'!L155,"")</f>
        <v/>
      </c>
      <c r="N155" t="str">
        <f>IF($A155&lt;&gt;"",'Approved-Enforcement'!M155,"")</f>
        <v/>
      </c>
      <c r="O155" t="str">
        <f>IF($A155&lt;&gt;"",'Approved-Enforcement'!N155,"")</f>
        <v/>
      </c>
      <c r="P155" t="str">
        <f>IF($A155&lt;&gt;"",'Approved-Enforcement'!O155,"")</f>
        <v/>
      </c>
    </row>
    <row r="156" spans="1:16" x14ac:dyDescent="0.35">
      <c r="A156" s="4" t="str">
        <f>IF('Approved-Enforcement'!$A156&lt;&gt;"",'Approved-Enforcement'!A156,"")</f>
        <v/>
      </c>
      <c r="B156" t="str">
        <f t="shared" si="2"/>
        <v/>
      </c>
      <c r="D156" t="str">
        <f>IF($A156&lt;&gt;"",IF($R156&lt;&gt;"",$R156,'Approved-Enforcement'!$B156+7),"")</f>
        <v/>
      </c>
      <c r="E156" t="str">
        <f>IF($A156&lt;&gt;"",'Approved-Enforcement'!D156,"")</f>
        <v/>
      </c>
      <c r="F156" t="str">
        <f>IF($A156&lt;&gt;"",'Approved-Enforcement'!E156,"")</f>
        <v/>
      </c>
      <c r="G156" t="str">
        <f>IF($A156&lt;&gt;"",'Approved-Enforcement'!F156,"")</f>
        <v/>
      </c>
      <c r="H156" t="str">
        <f>IF($A156&lt;&gt;"",'Approved-Enforcement'!G156,"")</f>
        <v/>
      </c>
      <c r="I156" t="str">
        <f>IF($A156&lt;&gt;"",'Approved-Enforcement'!H156,"")</f>
        <v/>
      </c>
      <c r="J156" t="str">
        <f>IF($A156&lt;&gt;"",'Approved-Enforcement'!I156,"")</f>
        <v/>
      </c>
      <c r="K156" t="str">
        <f>IF($A156&lt;&gt;"",'Approved-Enforcement'!J156,"")</f>
        <v/>
      </c>
      <c r="L156" t="str">
        <f>IF($A156&lt;&gt;"",'Approved-Enforcement'!K156,"")</f>
        <v/>
      </c>
      <c r="M156" t="str">
        <f>IF($A156&lt;&gt;"",'Approved-Enforcement'!L156,"")</f>
        <v/>
      </c>
      <c r="N156" t="str">
        <f>IF($A156&lt;&gt;"",'Approved-Enforcement'!M156,"")</f>
        <v/>
      </c>
      <c r="O156" t="str">
        <f>IF($A156&lt;&gt;"",'Approved-Enforcement'!N156,"")</f>
        <v/>
      </c>
      <c r="P156" t="str">
        <f>IF($A156&lt;&gt;"",'Approved-Enforcement'!O156,"")</f>
        <v/>
      </c>
    </row>
    <row r="157" spans="1:16" x14ac:dyDescent="0.35">
      <c r="A157" s="4" t="str">
        <f>IF('Approved-Enforcement'!$A157&lt;&gt;"",'Approved-Enforcement'!A157,"")</f>
        <v/>
      </c>
      <c r="B157" t="str">
        <f t="shared" si="2"/>
        <v/>
      </c>
      <c r="D157" t="str">
        <f>IF($A157&lt;&gt;"",IF($R157&lt;&gt;"",$R157,'Approved-Enforcement'!$B157+7),"")</f>
        <v/>
      </c>
      <c r="E157" t="str">
        <f>IF($A157&lt;&gt;"",'Approved-Enforcement'!D157,"")</f>
        <v/>
      </c>
      <c r="F157" t="str">
        <f>IF($A157&lt;&gt;"",'Approved-Enforcement'!E157,"")</f>
        <v/>
      </c>
      <c r="G157" t="str">
        <f>IF($A157&lt;&gt;"",'Approved-Enforcement'!F157,"")</f>
        <v/>
      </c>
      <c r="H157" t="str">
        <f>IF($A157&lt;&gt;"",'Approved-Enforcement'!G157,"")</f>
        <v/>
      </c>
      <c r="I157" t="str">
        <f>IF($A157&lt;&gt;"",'Approved-Enforcement'!H157,"")</f>
        <v/>
      </c>
      <c r="J157" t="str">
        <f>IF($A157&lt;&gt;"",'Approved-Enforcement'!I157,"")</f>
        <v/>
      </c>
      <c r="K157" t="str">
        <f>IF($A157&lt;&gt;"",'Approved-Enforcement'!J157,"")</f>
        <v/>
      </c>
      <c r="L157" t="str">
        <f>IF($A157&lt;&gt;"",'Approved-Enforcement'!K157,"")</f>
        <v/>
      </c>
      <c r="M157" t="str">
        <f>IF($A157&lt;&gt;"",'Approved-Enforcement'!L157,"")</f>
        <v/>
      </c>
      <c r="N157" t="str">
        <f>IF($A157&lt;&gt;"",'Approved-Enforcement'!M157,"")</f>
        <v/>
      </c>
      <c r="O157" t="str">
        <f>IF($A157&lt;&gt;"",'Approved-Enforcement'!N157,"")</f>
        <v/>
      </c>
      <c r="P157" t="str">
        <f>IF($A157&lt;&gt;"",'Approved-Enforcement'!O157,"")</f>
        <v/>
      </c>
    </row>
    <row r="158" spans="1:16" x14ac:dyDescent="0.35">
      <c r="A158" s="4" t="str">
        <f>IF('Approved-Enforcement'!$A158&lt;&gt;"",'Approved-Enforcement'!A158,"")</f>
        <v/>
      </c>
      <c r="B158" t="str">
        <f t="shared" si="2"/>
        <v/>
      </c>
      <c r="D158" t="str">
        <f>IF($A158&lt;&gt;"",IF($R158&lt;&gt;"",$R158,'Approved-Enforcement'!$B158+7),"")</f>
        <v/>
      </c>
      <c r="E158" t="str">
        <f>IF($A158&lt;&gt;"",'Approved-Enforcement'!D158,"")</f>
        <v/>
      </c>
      <c r="F158" t="str">
        <f>IF($A158&lt;&gt;"",'Approved-Enforcement'!E158,"")</f>
        <v/>
      </c>
      <c r="G158" t="str">
        <f>IF($A158&lt;&gt;"",'Approved-Enforcement'!F158,"")</f>
        <v/>
      </c>
      <c r="H158" t="str">
        <f>IF($A158&lt;&gt;"",'Approved-Enforcement'!G158,"")</f>
        <v/>
      </c>
      <c r="I158" t="str">
        <f>IF($A158&lt;&gt;"",'Approved-Enforcement'!H158,"")</f>
        <v/>
      </c>
      <c r="J158" t="str">
        <f>IF($A158&lt;&gt;"",'Approved-Enforcement'!I158,"")</f>
        <v/>
      </c>
      <c r="K158" t="str">
        <f>IF($A158&lt;&gt;"",'Approved-Enforcement'!J158,"")</f>
        <v/>
      </c>
      <c r="L158" t="str">
        <f>IF($A158&lt;&gt;"",'Approved-Enforcement'!K158,"")</f>
        <v/>
      </c>
      <c r="M158" t="str">
        <f>IF($A158&lt;&gt;"",'Approved-Enforcement'!L158,"")</f>
        <v/>
      </c>
      <c r="N158" t="str">
        <f>IF($A158&lt;&gt;"",'Approved-Enforcement'!M158,"")</f>
        <v/>
      </c>
      <c r="O158" t="str">
        <f>IF($A158&lt;&gt;"",'Approved-Enforcement'!N158,"")</f>
        <v/>
      </c>
      <c r="P158" t="str">
        <f>IF($A158&lt;&gt;"",'Approved-Enforcement'!O158,"")</f>
        <v/>
      </c>
    </row>
    <row r="159" spans="1:16" x14ac:dyDescent="0.35">
      <c r="A159" s="4" t="str">
        <f>IF('Approved-Enforcement'!$A159&lt;&gt;"",'Approved-Enforcement'!A159,"")</f>
        <v/>
      </c>
      <c r="B159" t="str">
        <f t="shared" si="2"/>
        <v/>
      </c>
      <c r="D159" t="str">
        <f>IF($A159&lt;&gt;"",IF($R159&lt;&gt;"",$R159,'Approved-Enforcement'!$B159+7),"")</f>
        <v/>
      </c>
      <c r="E159" t="str">
        <f>IF($A159&lt;&gt;"",'Approved-Enforcement'!D159,"")</f>
        <v/>
      </c>
      <c r="F159" t="str">
        <f>IF($A159&lt;&gt;"",'Approved-Enforcement'!E159,"")</f>
        <v/>
      </c>
      <c r="G159" t="str">
        <f>IF($A159&lt;&gt;"",'Approved-Enforcement'!F159,"")</f>
        <v/>
      </c>
      <c r="H159" t="str">
        <f>IF($A159&lt;&gt;"",'Approved-Enforcement'!G159,"")</f>
        <v/>
      </c>
      <c r="I159" t="str">
        <f>IF($A159&lt;&gt;"",'Approved-Enforcement'!H159,"")</f>
        <v/>
      </c>
      <c r="J159" t="str">
        <f>IF($A159&lt;&gt;"",'Approved-Enforcement'!I159,"")</f>
        <v/>
      </c>
      <c r="K159" t="str">
        <f>IF($A159&lt;&gt;"",'Approved-Enforcement'!J159,"")</f>
        <v/>
      </c>
      <c r="L159" t="str">
        <f>IF($A159&lt;&gt;"",'Approved-Enforcement'!K159,"")</f>
        <v/>
      </c>
      <c r="M159" t="str">
        <f>IF($A159&lt;&gt;"",'Approved-Enforcement'!L159,"")</f>
        <v/>
      </c>
      <c r="N159" t="str">
        <f>IF($A159&lt;&gt;"",'Approved-Enforcement'!M159,"")</f>
        <v/>
      </c>
      <c r="O159" t="str">
        <f>IF($A159&lt;&gt;"",'Approved-Enforcement'!N159,"")</f>
        <v/>
      </c>
      <c r="P159" t="str">
        <f>IF($A159&lt;&gt;"",'Approved-Enforcement'!O159,"")</f>
        <v/>
      </c>
    </row>
    <row r="160" spans="1:16" x14ac:dyDescent="0.35">
      <c r="A160" s="4" t="str">
        <f>IF('Approved-Enforcement'!$A160&lt;&gt;"",'Approved-Enforcement'!A160,"")</f>
        <v/>
      </c>
      <c r="B160" t="str">
        <f t="shared" si="2"/>
        <v/>
      </c>
      <c r="D160" t="str">
        <f>IF($A160&lt;&gt;"",IF($R160&lt;&gt;"",$R160,'Approved-Enforcement'!$B160+7),"")</f>
        <v/>
      </c>
      <c r="E160" t="str">
        <f>IF($A160&lt;&gt;"",'Approved-Enforcement'!D160,"")</f>
        <v/>
      </c>
      <c r="F160" t="str">
        <f>IF($A160&lt;&gt;"",'Approved-Enforcement'!E160,"")</f>
        <v/>
      </c>
      <c r="G160" t="str">
        <f>IF($A160&lt;&gt;"",'Approved-Enforcement'!F160,"")</f>
        <v/>
      </c>
      <c r="H160" t="str">
        <f>IF($A160&lt;&gt;"",'Approved-Enforcement'!G160,"")</f>
        <v/>
      </c>
      <c r="I160" t="str">
        <f>IF($A160&lt;&gt;"",'Approved-Enforcement'!H160,"")</f>
        <v/>
      </c>
      <c r="J160" t="str">
        <f>IF($A160&lt;&gt;"",'Approved-Enforcement'!I160,"")</f>
        <v/>
      </c>
      <c r="K160" t="str">
        <f>IF($A160&lt;&gt;"",'Approved-Enforcement'!J160,"")</f>
        <v/>
      </c>
      <c r="L160" t="str">
        <f>IF($A160&lt;&gt;"",'Approved-Enforcement'!K160,"")</f>
        <v/>
      </c>
      <c r="M160" t="str">
        <f>IF($A160&lt;&gt;"",'Approved-Enforcement'!L160,"")</f>
        <v/>
      </c>
      <c r="N160" t="str">
        <f>IF($A160&lt;&gt;"",'Approved-Enforcement'!M160,"")</f>
        <v/>
      </c>
      <c r="O160" t="str">
        <f>IF($A160&lt;&gt;"",'Approved-Enforcement'!N160,"")</f>
        <v/>
      </c>
      <c r="P160" t="str">
        <f>IF($A160&lt;&gt;"",'Approved-Enforcement'!O160,"")</f>
        <v/>
      </c>
    </row>
    <row r="161" spans="1:16" x14ac:dyDescent="0.35">
      <c r="A161" s="4" t="str">
        <f>IF('Approved-Enforcement'!$A161&lt;&gt;"",'Approved-Enforcement'!A161,"")</f>
        <v/>
      </c>
      <c r="B161" t="str">
        <f t="shared" si="2"/>
        <v/>
      </c>
      <c r="D161" t="str">
        <f>IF($A161&lt;&gt;"",IF($R161&lt;&gt;"",$R161,'Approved-Enforcement'!$B161+7),"")</f>
        <v/>
      </c>
      <c r="E161" t="str">
        <f>IF($A161&lt;&gt;"",'Approved-Enforcement'!D161,"")</f>
        <v/>
      </c>
      <c r="F161" t="str">
        <f>IF($A161&lt;&gt;"",'Approved-Enforcement'!E161,"")</f>
        <v/>
      </c>
      <c r="G161" t="str">
        <f>IF($A161&lt;&gt;"",'Approved-Enforcement'!F161,"")</f>
        <v/>
      </c>
      <c r="H161" t="str">
        <f>IF($A161&lt;&gt;"",'Approved-Enforcement'!G161,"")</f>
        <v/>
      </c>
      <c r="I161" t="str">
        <f>IF($A161&lt;&gt;"",'Approved-Enforcement'!H161,"")</f>
        <v/>
      </c>
      <c r="J161" t="str">
        <f>IF($A161&lt;&gt;"",'Approved-Enforcement'!I161,"")</f>
        <v/>
      </c>
      <c r="K161" t="str">
        <f>IF($A161&lt;&gt;"",'Approved-Enforcement'!J161,"")</f>
        <v/>
      </c>
      <c r="L161" t="str">
        <f>IF($A161&lt;&gt;"",'Approved-Enforcement'!K161,"")</f>
        <v/>
      </c>
      <c r="M161" t="str">
        <f>IF($A161&lt;&gt;"",'Approved-Enforcement'!L161,"")</f>
        <v/>
      </c>
      <c r="N161" t="str">
        <f>IF($A161&lt;&gt;"",'Approved-Enforcement'!M161,"")</f>
        <v/>
      </c>
      <c r="O161" t="str">
        <f>IF($A161&lt;&gt;"",'Approved-Enforcement'!N161,"")</f>
        <v/>
      </c>
      <c r="P161" t="str">
        <f>IF($A161&lt;&gt;"",'Approved-Enforcement'!O161,"")</f>
        <v/>
      </c>
    </row>
    <row r="162" spans="1:16" x14ac:dyDescent="0.35">
      <c r="A162" s="4" t="str">
        <f>IF('Approved-Enforcement'!$A162&lt;&gt;"",'Approved-Enforcement'!A162,"")</f>
        <v/>
      </c>
      <c r="B162" t="str">
        <f t="shared" si="2"/>
        <v/>
      </c>
      <c r="D162" t="str">
        <f>IF($A162&lt;&gt;"",IF($R162&lt;&gt;"",$R162,'Approved-Enforcement'!$B162+7),"")</f>
        <v/>
      </c>
      <c r="E162" t="str">
        <f>IF($A162&lt;&gt;"",'Approved-Enforcement'!D162,"")</f>
        <v/>
      </c>
      <c r="F162" t="str">
        <f>IF($A162&lt;&gt;"",'Approved-Enforcement'!E162,"")</f>
        <v/>
      </c>
      <c r="G162" t="str">
        <f>IF($A162&lt;&gt;"",'Approved-Enforcement'!F162,"")</f>
        <v/>
      </c>
      <c r="H162" t="str">
        <f>IF($A162&lt;&gt;"",'Approved-Enforcement'!G162,"")</f>
        <v/>
      </c>
      <c r="I162" t="str">
        <f>IF($A162&lt;&gt;"",'Approved-Enforcement'!H162,"")</f>
        <v/>
      </c>
      <c r="J162" t="str">
        <f>IF($A162&lt;&gt;"",'Approved-Enforcement'!I162,"")</f>
        <v/>
      </c>
      <c r="K162" t="str">
        <f>IF($A162&lt;&gt;"",'Approved-Enforcement'!J162,"")</f>
        <v/>
      </c>
      <c r="L162" t="str">
        <f>IF($A162&lt;&gt;"",'Approved-Enforcement'!K162,"")</f>
        <v/>
      </c>
      <c r="M162" t="str">
        <f>IF($A162&lt;&gt;"",'Approved-Enforcement'!L162,"")</f>
        <v/>
      </c>
      <c r="N162" t="str">
        <f>IF($A162&lt;&gt;"",'Approved-Enforcement'!M162,"")</f>
        <v/>
      </c>
      <c r="O162" t="str">
        <f>IF($A162&lt;&gt;"",'Approved-Enforcement'!N162,"")</f>
        <v/>
      </c>
      <c r="P162" t="str">
        <f>IF($A162&lt;&gt;"",'Approved-Enforcement'!O162,"")</f>
        <v/>
      </c>
    </row>
    <row r="163" spans="1:16" x14ac:dyDescent="0.35">
      <c r="A163" s="4" t="str">
        <f>IF('Approved-Enforcement'!$A163&lt;&gt;"",'Approved-Enforcement'!A163,"")</f>
        <v/>
      </c>
      <c r="B163" t="str">
        <f t="shared" si="2"/>
        <v/>
      </c>
      <c r="D163" t="str">
        <f>IF($A163&lt;&gt;"",IF($R163&lt;&gt;"",$R163,'Approved-Enforcement'!$B163+7),"")</f>
        <v/>
      </c>
      <c r="E163" t="str">
        <f>IF($A163&lt;&gt;"",'Approved-Enforcement'!D163,"")</f>
        <v/>
      </c>
      <c r="F163" t="str">
        <f>IF($A163&lt;&gt;"",'Approved-Enforcement'!E163,"")</f>
        <v/>
      </c>
      <c r="G163" t="str">
        <f>IF($A163&lt;&gt;"",'Approved-Enforcement'!F163,"")</f>
        <v/>
      </c>
      <c r="H163" t="str">
        <f>IF($A163&lt;&gt;"",'Approved-Enforcement'!G163,"")</f>
        <v/>
      </c>
      <c r="I163" t="str">
        <f>IF($A163&lt;&gt;"",'Approved-Enforcement'!H163,"")</f>
        <v/>
      </c>
      <c r="J163" t="str">
        <f>IF($A163&lt;&gt;"",'Approved-Enforcement'!I163,"")</f>
        <v/>
      </c>
      <c r="K163" t="str">
        <f>IF($A163&lt;&gt;"",'Approved-Enforcement'!J163,"")</f>
        <v/>
      </c>
      <c r="L163" t="str">
        <f>IF($A163&lt;&gt;"",'Approved-Enforcement'!K163,"")</f>
        <v/>
      </c>
      <c r="M163" t="str">
        <f>IF($A163&lt;&gt;"",'Approved-Enforcement'!L163,"")</f>
        <v/>
      </c>
      <c r="N163" t="str">
        <f>IF($A163&lt;&gt;"",'Approved-Enforcement'!M163,"")</f>
        <v/>
      </c>
      <c r="O163" t="str">
        <f>IF($A163&lt;&gt;"",'Approved-Enforcement'!N163,"")</f>
        <v/>
      </c>
      <c r="P163" t="str">
        <f>IF($A163&lt;&gt;"",'Approved-Enforcement'!O163,"")</f>
        <v/>
      </c>
    </row>
    <row r="164" spans="1:16" x14ac:dyDescent="0.35">
      <c r="A164" s="4" t="str">
        <f>IF('Approved-Enforcement'!$A164&lt;&gt;"",'Approved-Enforcement'!A164,"")</f>
        <v/>
      </c>
      <c r="B164" t="str">
        <f t="shared" si="2"/>
        <v/>
      </c>
      <c r="D164" t="str">
        <f>IF($A164&lt;&gt;"",IF($R164&lt;&gt;"",$R164,'Approved-Enforcement'!$B164+7),"")</f>
        <v/>
      </c>
      <c r="E164" t="str">
        <f>IF($A164&lt;&gt;"",'Approved-Enforcement'!D164,"")</f>
        <v/>
      </c>
      <c r="F164" t="str">
        <f>IF($A164&lt;&gt;"",'Approved-Enforcement'!E164,"")</f>
        <v/>
      </c>
      <c r="G164" t="str">
        <f>IF($A164&lt;&gt;"",'Approved-Enforcement'!F164,"")</f>
        <v/>
      </c>
      <c r="H164" t="str">
        <f>IF($A164&lt;&gt;"",'Approved-Enforcement'!G164,"")</f>
        <v/>
      </c>
      <c r="I164" t="str">
        <f>IF($A164&lt;&gt;"",'Approved-Enforcement'!H164,"")</f>
        <v/>
      </c>
      <c r="J164" t="str">
        <f>IF($A164&lt;&gt;"",'Approved-Enforcement'!I164,"")</f>
        <v/>
      </c>
      <c r="K164" t="str">
        <f>IF($A164&lt;&gt;"",'Approved-Enforcement'!J164,"")</f>
        <v/>
      </c>
      <c r="L164" t="str">
        <f>IF($A164&lt;&gt;"",'Approved-Enforcement'!K164,"")</f>
        <v/>
      </c>
      <c r="M164" t="str">
        <f>IF($A164&lt;&gt;"",'Approved-Enforcement'!L164,"")</f>
        <v/>
      </c>
      <c r="N164" t="str">
        <f>IF($A164&lt;&gt;"",'Approved-Enforcement'!M164,"")</f>
        <v/>
      </c>
      <c r="O164" t="str">
        <f>IF($A164&lt;&gt;"",'Approved-Enforcement'!N164,"")</f>
        <v/>
      </c>
      <c r="P164" t="str">
        <f>IF($A164&lt;&gt;"",'Approved-Enforcement'!O164,"")</f>
        <v/>
      </c>
    </row>
    <row r="165" spans="1:16" x14ac:dyDescent="0.35">
      <c r="A165" s="4" t="str">
        <f>IF('Approved-Enforcement'!$A165&lt;&gt;"",'Approved-Enforcement'!A165,"")</f>
        <v/>
      </c>
      <c r="B165" t="str">
        <f t="shared" si="2"/>
        <v/>
      </c>
      <c r="D165" t="str">
        <f>IF($A165&lt;&gt;"",IF($R165&lt;&gt;"",$R165,'Approved-Enforcement'!$B165+7),"")</f>
        <v/>
      </c>
      <c r="E165" t="str">
        <f>IF($A165&lt;&gt;"",'Approved-Enforcement'!D165,"")</f>
        <v/>
      </c>
      <c r="F165" t="str">
        <f>IF($A165&lt;&gt;"",'Approved-Enforcement'!E165,"")</f>
        <v/>
      </c>
      <c r="G165" t="str">
        <f>IF($A165&lt;&gt;"",'Approved-Enforcement'!F165,"")</f>
        <v/>
      </c>
      <c r="H165" t="str">
        <f>IF($A165&lt;&gt;"",'Approved-Enforcement'!G165,"")</f>
        <v/>
      </c>
      <c r="I165" t="str">
        <f>IF($A165&lt;&gt;"",'Approved-Enforcement'!H165,"")</f>
        <v/>
      </c>
      <c r="J165" t="str">
        <f>IF($A165&lt;&gt;"",'Approved-Enforcement'!I165,"")</f>
        <v/>
      </c>
      <c r="K165" t="str">
        <f>IF($A165&lt;&gt;"",'Approved-Enforcement'!J165,"")</f>
        <v/>
      </c>
      <c r="L165" t="str">
        <f>IF($A165&lt;&gt;"",'Approved-Enforcement'!K165,"")</f>
        <v/>
      </c>
      <c r="M165" t="str">
        <f>IF($A165&lt;&gt;"",'Approved-Enforcement'!L165,"")</f>
        <v/>
      </c>
      <c r="N165" t="str">
        <f>IF($A165&lt;&gt;"",'Approved-Enforcement'!M165,"")</f>
        <v/>
      </c>
      <c r="O165" t="str">
        <f>IF($A165&lt;&gt;"",'Approved-Enforcement'!N165,"")</f>
        <v/>
      </c>
      <c r="P165" t="str">
        <f>IF($A165&lt;&gt;"",'Approved-Enforcement'!O165,"")</f>
        <v/>
      </c>
    </row>
    <row r="166" spans="1:16" x14ac:dyDescent="0.35">
      <c r="A166" s="4" t="str">
        <f>IF('Approved-Enforcement'!$A166&lt;&gt;"",'Approved-Enforcement'!A166,"")</f>
        <v/>
      </c>
      <c r="B166" t="str">
        <f t="shared" si="2"/>
        <v/>
      </c>
      <c r="D166" t="str">
        <f>IF($A166&lt;&gt;"",IF($R166&lt;&gt;"",$R166,'Approved-Enforcement'!$B166+7),"")</f>
        <v/>
      </c>
      <c r="E166" t="str">
        <f>IF($A166&lt;&gt;"",'Approved-Enforcement'!D166,"")</f>
        <v/>
      </c>
      <c r="F166" t="str">
        <f>IF($A166&lt;&gt;"",'Approved-Enforcement'!E166,"")</f>
        <v/>
      </c>
      <c r="G166" t="str">
        <f>IF($A166&lt;&gt;"",'Approved-Enforcement'!F166,"")</f>
        <v/>
      </c>
      <c r="H166" t="str">
        <f>IF($A166&lt;&gt;"",'Approved-Enforcement'!G166,"")</f>
        <v/>
      </c>
      <c r="I166" t="str">
        <f>IF($A166&lt;&gt;"",'Approved-Enforcement'!H166,"")</f>
        <v/>
      </c>
      <c r="J166" t="str">
        <f>IF($A166&lt;&gt;"",'Approved-Enforcement'!I166,"")</f>
        <v/>
      </c>
      <c r="K166" t="str">
        <f>IF($A166&lt;&gt;"",'Approved-Enforcement'!J166,"")</f>
        <v/>
      </c>
      <c r="L166" t="str">
        <f>IF($A166&lt;&gt;"",'Approved-Enforcement'!K166,"")</f>
        <v/>
      </c>
      <c r="M166" t="str">
        <f>IF($A166&lt;&gt;"",'Approved-Enforcement'!L166,"")</f>
        <v/>
      </c>
      <c r="N166" t="str">
        <f>IF($A166&lt;&gt;"",'Approved-Enforcement'!M166,"")</f>
        <v/>
      </c>
      <c r="O166" t="str">
        <f>IF($A166&lt;&gt;"",'Approved-Enforcement'!N166,"")</f>
        <v/>
      </c>
      <c r="P166" t="str">
        <f>IF($A166&lt;&gt;"",'Approved-Enforcement'!O166,"")</f>
        <v/>
      </c>
    </row>
    <row r="167" spans="1:16" x14ac:dyDescent="0.35">
      <c r="A167" s="4" t="str">
        <f>IF('Approved-Enforcement'!$A167&lt;&gt;"",'Approved-Enforcement'!A167,"")</f>
        <v/>
      </c>
      <c r="B167" t="str">
        <f t="shared" si="2"/>
        <v/>
      </c>
      <c r="D167" t="str">
        <f>IF($A167&lt;&gt;"",IF($R167&lt;&gt;"",$R167,'Approved-Enforcement'!$B167+7),"")</f>
        <v/>
      </c>
      <c r="E167" t="str">
        <f>IF($A167&lt;&gt;"",'Approved-Enforcement'!D167,"")</f>
        <v/>
      </c>
      <c r="F167" t="str">
        <f>IF($A167&lt;&gt;"",'Approved-Enforcement'!E167,"")</f>
        <v/>
      </c>
      <c r="G167" t="str">
        <f>IF($A167&lt;&gt;"",'Approved-Enforcement'!F167,"")</f>
        <v/>
      </c>
      <c r="H167" t="str">
        <f>IF($A167&lt;&gt;"",'Approved-Enforcement'!G167,"")</f>
        <v/>
      </c>
      <c r="I167" t="str">
        <f>IF($A167&lt;&gt;"",'Approved-Enforcement'!H167,"")</f>
        <v/>
      </c>
      <c r="J167" t="str">
        <f>IF($A167&lt;&gt;"",'Approved-Enforcement'!I167,"")</f>
        <v/>
      </c>
      <c r="K167" t="str">
        <f>IF($A167&lt;&gt;"",'Approved-Enforcement'!J167,"")</f>
        <v/>
      </c>
      <c r="L167" t="str">
        <f>IF($A167&lt;&gt;"",'Approved-Enforcement'!K167,"")</f>
        <v/>
      </c>
      <c r="M167" t="str">
        <f>IF($A167&lt;&gt;"",'Approved-Enforcement'!L167,"")</f>
        <v/>
      </c>
      <c r="N167" t="str">
        <f>IF($A167&lt;&gt;"",'Approved-Enforcement'!M167,"")</f>
        <v/>
      </c>
      <c r="O167" t="str">
        <f>IF($A167&lt;&gt;"",'Approved-Enforcement'!N167,"")</f>
        <v/>
      </c>
      <c r="P167" t="str">
        <f>IF($A167&lt;&gt;"",'Approved-Enforcement'!O167,"")</f>
        <v/>
      </c>
    </row>
    <row r="168" spans="1:16" x14ac:dyDescent="0.35">
      <c r="A168" s="4" t="str">
        <f>IF('Approved-Enforcement'!$A168&lt;&gt;"",'Approved-Enforcement'!A168,"")</f>
        <v/>
      </c>
      <c r="B168" t="str">
        <f t="shared" si="2"/>
        <v/>
      </c>
      <c r="D168" t="str">
        <f>IF($A168&lt;&gt;"",IF($R168&lt;&gt;"",$R168,'Approved-Enforcement'!$B168+7),"")</f>
        <v/>
      </c>
      <c r="E168" t="str">
        <f>IF($A168&lt;&gt;"",'Approved-Enforcement'!D168,"")</f>
        <v/>
      </c>
      <c r="F168" t="str">
        <f>IF($A168&lt;&gt;"",'Approved-Enforcement'!E168,"")</f>
        <v/>
      </c>
      <c r="G168" t="str">
        <f>IF($A168&lt;&gt;"",'Approved-Enforcement'!F168,"")</f>
        <v/>
      </c>
      <c r="H168" t="str">
        <f>IF($A168&lt;&gt;"",'Approved-Enforcement'!G168,"")</f>
        <v/>
      </c>
      <c r="I168" t="str">
        <f>IF($A168&lt;&gt;"",'Approved-Enforcement'!H168,"")</f>
        <v/>
      </c>
      <c r="J168" t="str">
        <f>IF($A168&lt;&gt;"",'Approved-Enforcement'!I168,"")</f>
        <v/>
      </c>
      <c r="K168" t="str">
        <f>IF($A168&lt;&gt;"",'Approved-Enforcement'!J168,"")</f>
        <v/>
      </c>
      <c r="L168" t="str">
        <f>IF($A168&lt;&gt;"",'Approved-Enforcement'!K168,"")</f>
        <v/>
      </c>
      <c r="M168" t="str">
        <f>IF($A168&lt;&gt;"",'Approved-Enforcement'!L168,"")</f>
        <v/>
      </c>
      <c r="N168" t="str">
        <f>IF($A168&lt;&gt;"",'Approved-Enforcement'!M168,"")</f>
        <v/>
      </c>
      <c r="O168" t="str">
        <f>IF($A168&lt;&gt;"",'Approved-Enforcement'!N168,"")</f>
        <v/>
      </c>
      <c r="P168" t="str">
        <f>IF($A168&lt;&gt;"",'Approved-Enforcement'!O168,"")</f>
        <v/>
      </c>
    </row>
    <row r="169" spans="1:16" x14ac:dyDescent="0.35">
      <c r="A169" s="4" t="str">
        <f>IF('Approved-Enforcement'!$A169&lt;&gt;"",'Approved-Enforcement'!A169,"")</f>
        <v/>
      </c>
      <c r="B169" t="str">
        <f t="shared" si="2"/>
        <v/>
      </c>
      <c r="D169" t="str">
        <f>IF($A169&lt;&gt;"",IF($R169&lt;&gt;"",$R169,'Approved-Enforcement'!$B169+7),"")</f>
        <v/>
      </c>
      <c r="E169" t="str">
        <f>IF($A169&lt;&gt;"",'Approved-Enforcement'!D169,"")</f>
        <v/>
      </c>
      <c r="F169" t="str">
        <f>IF($A169&lt;&gt;"",'Approved-Enforcement'!E169,"")</f>
        <v/>
      </c>
      <c r="G169" t="str">
        <f>IF($A169&lt;&gt;"",'Approved-Enforcement'!F169,"")</f>
        <v/>
      </c>
      <c r="H169" t="str">
        <f>IF($A169&lt;&gt;"",'Approved-Enforcement'!G169,"")</f>
        <v/>
      </c>
      <c r="I169" t="str">
        <f>IF($A169&lt;&gt;"",'Approved-Enforcement'!H169,"")</f>
        <v/>
      </c>
      <c r="J169" t="str">
        <f>IF($A169&lt;&gt;"",'Approved-Enforcement'!I169,"")</f>
        <v/>
      </c>
      <c r="K169" t="str">
        <f>IF($A169&lt;&gt;"",'Approved-Enforcement'!J169,"")</f>
        <v/>
      </c>
      <c r="L169" t="str">
        <f>IF($A169&lt;&gt;"",'Approved-Enforcement'!K169,"")</f>
        <v/>
      </c>
      <c r="M169" t="str">
        <f>IF($A169&lt;&gt;"",'Approved-Enforcement'!L169,"")</f>
        <v/>
      </c>
      <c r="N169" t="str">
        <f>IF($A169&lt;&gt;"",'Approved-Enforcement'!M169,"")</f>
        <v/>
      </c>
      <c r="O169" t="str">
        <f>IF($A169&lt;&gt;"",'Approved-Enforcement'!N169,"")</f>
        <v/>
      </c>
      <c r="P169" t="str">
        <f>IF($A169&lt;&gt;"",'Approved-Enforcement'!O169,"")</f>
        <v/>
      </c>
    </row>
    <row r="170" spans="1:16" x14ac:dyDescent="0.35">
      <c r="A170" s="4" t="str">
        <f>IF('Approved-Enforcement'!$A170&lt;&gt;"",'Approved-Enforcement'!A170,"")</f>
        <v/>
      </c>
      <c r="B170" t="str">
        <f t="shared" si="2"/>
        <v/>
      </c>
      <c r="D170" t="str">
        <f>IF($A170&lt;&gt;"",IF($R170&lt;&gt;"",$R170,'Approved-Enforcement'!$B170+7),"")</f>
        <v/>
      </c>
      <c r="E170" t="str">
        <f>IF($A170&lt;&gt;"",'Approved-Enforcement'!D170,"")</f>
        <v/>
      </c>
      <c r="F170" t="str">
        <f>IF($A170&lt;&gt;"",'Approved-Enforcement'!E170,"")</f>
        <v/>
      </c>
      <c r="G170" t="str">
        <f>IF($A170&lt;&gt;"",'Approved-Enforcement'!F170,"")</f>
        <v/>
      </c>
      <c r="H170" t="str">
        <f>IF($A170&lt;&gt;"",'Approved-Enforcement'!G170,"")</f>
        <v/>
      </c>
      <c r="I170" t="str">
        <f>IF($A170&lt;&gt;"",'Approved-Enforcement'!H170,"")</f>
        <v/>
      </c>
      <c r="J170" t="str">
        <f>IF($A170&lt;&gt;"",'Approved-Enforcement'!I170,"")</f>
        <v/>
      </c>
      <c r="K170" t="str">
        <f>IF($A170&lt;&gt;"",'Approved-Enforcement'!J170,"")</f>
        <v/>
      </c>
      <c r="L170" t="str">
        <f>IF($A170&lt;&gt;"",'Approved-Enforcement'!K170,"")</f>
        <v/>
      </c>
      <c r="M170" t="str">
        <f>IF($A170&lt;&gt;"",'Approved-Enforcement'!L170,"")</f>
        <v/>
      </c>
      <c r="N170" t="str">
        <f>IF($A170&lt;&gt;"",'Approved-Enforcement'!M170,"")</f>
        <v/>
      </c>
      <c r="O170" t="str">
        <f>IF($A170&lt;&gt;"",'Approved-Enforcement'!N170,"")</f>
        <v/>
      </c>
      <c r="P170" t="str">
        <f>IF($A170&lt;&gt;"",'Approved-Enforcement'!O170,"")</f>
        <v/>
      </c>
    </row>
    <row r="171" spans="1:16" x14ac:dyDescent="0.35">
      <c r="A171" s="4" t="str">
        <f>IF('Approved-Enforcement'!$A171&lt;&gt;"",'Approved-Enforcement'!A171,"")</f>
        <v/>
      </c>
      <c r="B171" t="str">
        <f t="shared" si="2"/>
        <v/>
      </c>
      <c r="D171" t="str">
        <f>IF($A171&lt;&gt;"",IF($R171&lt;&gt;"",$R171,'Approved-Enforcement'!$B171+7),"")</f>
        <v/>
      </c>
      <c r="E171" t="str">
        <f>IF($A171&lt;&gt;"",'Approved-Enforcement'!D171,"")</f>
        <v/>
      </c>
      <c r="F171" t="str">
        <f>IF($A171&lt;&gt;"",'Approved-Enforcement'!E171,"")</f>
        <v/>
      </c>
      <c r="G171" t="str">
        <f>IF($A171&lt;&gt;"",'Approved-Enforcement'!F171,"")</f>
        <v/>
      </c>
      <c r="H171" t="str">
        <f>IF($A171&lt;&gt;"",'Approved-Enforcement'!G171,"")</f>
        <v/>
      </c>
      <c r="I171" t="str">
        <f>IF($A171&lt;&gt;"",'Approved-Enforcement'!H171,"")</f>
        <v/>
      </c>
      <c r="J171" t="str">
        <f>IF($A171&lt;&gt;"",'Approved-Enforcement'!I171,"")</f>
        <v/>
      </c>
      <c r="K171" t="str">
        <f>IF($A171&lt;&gt;"",'Approved-Enforcement'!J171,"")</f>
        <v/>
      </c>
      <c r="L171" t="str">
        <f>IF($A171&lt;&gt;"",'Approved-Enforcement'!K171,"")</f>
        <v/>
      </c>
      <c r="M171" t="str">
        <f>IF($A171&lt;&gt;"",'Approved-Enforcement'!L171,"")</f>
        <v/>
      </c>
      <c r="N171" t="str">
        <f>IF($A171&lt;&gt;"",'Approved-Enforcement'!M171,"")</f>
        <v/>
      </c>
      <c r="O171" t="str">
        <f>IF($A171&lt;&gt;"",'Approved-Enforcement'!N171,"")</f>
        <v/>
      </c>
      <c r="P171" t="str">
        <f>IF($A171&lt;&gt;"",'Approved-Enforcement'!O171,"")</f>
        <v/>
      </c>
    </row>
    <row r="172" spans="1:16" x14ac:dyDescent="0.35">
      <c r="A172" s="4" t="str">
        <f>IF('Approved-Enforcement'!$A172&lt;&gt;"",'Approved-Enforcement'!A172,"")</f>
        <v/>
      </c>
      <c r="B172" t="str">
        <f t="shared" si="2"/>
        <v/>
      </c>
      <c r="D172" t="str">
        <f>IF($A172&lt;&gt;"",IF($R172&lt;&gt;"",$R172,'Approved-Enforcement'!$B172+7),"")</f>
        <v/>
      </c>
      <c r="E172" t="str">
        <f>IF($A172&lt;&gt;"",'Approved-Enforcement'!D172,"")</f>
        <v/>
      </c>
      <c r="F172" t="str">
        <f>IF($A172&lt;&gt;"",'Approved-Enforcement'!E172,"")</f>
        <v/>
      </c>
      <c r="G172" t="str">
        <f>IF($A172&lt;&gt;"",'Approved-Enforcement'!F172,"")</f>
        <v/>
      </c>
      <c r="H172" t="str">
        <f>IF($A172&lt;&gt;"",'Approved-Enforcement'!G172,"")</f>
        <v/>
      </c>
      <c r="I172" t="str">
        <f>IF($A172&lt;&gt;"",'Approved-Enforcement'!H172,"")</f>
        <v/>
      </c>
      <c r="J172" t="str">
        <f>IF($A172&lt;&gt;"",'Approved-Enforcement'!I172,"")</f>
        <v/>
      </c>
      <c r="K172" t="str">
        <f>IF($A172&lt;&gt;"",'Approved-Enforcement'!J172,"")</f>
        <v/>
      </c>
      <c r="L172" t="str">
        <f>IF($A172&lt;&gt;"",'Approved-Enforcement'!K172,"")</f>
        <v/>
      </c>
      <c r="M172" t="str">
        <f>IF($A172&lt;&gt;"",'Approved-Enforcement'!L172,"")</f>
        <v/>
      </c>
      <c r="N172" t="str">
        <f>IF($A172&lt;&gt;"",'Approved-Enforcement'!M172,"")</f>
        <v/>
      </c>
      <c r="O172" t="str">
        <f>IF($A172&lt;&gt;"",'Approved-Enforcement'!N172,"")</f>
        <v/>
      </c>
      <c r="P172" t="str">
        <f>IF($A172&lt;&gt;"",'Approved-Enforcement'!O172,"")</f>
        <v/>
      </c>
    </row>
    <row r="173" spans="1:16" x14ac:dyDescent="0.35">
      <c r="A173" s="4" t="str">
        <f>IF('Approved-Enforcement'!$A173&lt;&gt;"",'Approved-Enforcement'!A173,"")</f>
        <v/>
      </c>
      <c r="B173" t="str">
        <f t="shared" si="2"/>
        <v/>
      </c>
      <c r="D173" t="str">
        <f>IF($A173&lt;&gt;"",IF($R173&lt;&gt;"",$R173,'Approved-Enforcement'!$B173+7),"")</f>
        <v/>
      </c>
      <c r="E173" t="str">
        <f>IF($A173&lt;&gt;"",'Approved-Enforcement'!D173,"")</f>
        <v/>
      </c>
      <c r="F173" t="str">
        <f>IF($A173&lt;&gt;"",'Approved-Enforcement'!E173,"")</f>
        <v/>
      </c>
      <c r="G173" t="str">
        <f>IF($A173&lt;&gt;"",'Approved-Enforcement'!F173,"")</f>
        <v/>
      </c>
      <c r="H173" t="str">
        <f>IF($A173&lt;&gt;"",'Approved-Enforcement'!G173,"")</f>
        <v/>
      </c>
      <c r="I173" t="str">
        <f>IF($A173&lt;&gt;"",'Approved-Enforcement'!H173,"")</f>
        <v/>
      </c>
      <c r="J173" t="str">
        <f>IF($A173&lt;&gt;"",'Approved-Enforcement'!I173,"")</f>
        <v/>
      </c>
      <c r="K173" t="str">
        <f>IF($A173&lt;&gt;"",'Approved-Enforcement'!J173,"")</f>
        <v/>
      </c>
      <c r="L173" t="str">
        <f>IF($A173&lt;&gt;"",'Approved-Enforcement'!K173,"")</f>
        <v/>
      </c>
      <c r="M173" t="str">
        <f>IF($A173&lt;&gt;"",'Approved-Enforcement'!L173,"")</f>
        <v/>
      </c>
      <c r="N173" t="str">
        <f>IF($A173&lt;&gt;"",'Approved-Enforcement'!M173,"")</f>
        <v/>
      </c>
      <c r="O173" t="str">
        <f>IF($A173&lt;&gt;"",'Approved-Enforcement'!N173,"")</f>
        <v/>
      </c>
      <c r="P173" t="str">
        <f>IF($A173&lt;&gt;"",'Approved-Enforcement'!O173,"")</f>
        <v/>
      </c>
    </row>
    <row r="174" spans="1:16" x14ac:dyDescent="0.35">
      <c r="A174" s="4" t="str">
        <f>IF('Approved-Enforcement'!$A174&lt;&gt;"",'Approved-Enforcement'!A174,"")</f>
        <v/>
      </c>
      <c r="B174" t="str">
        <f t="shared" si="2"/>
        <v/>
      </c>
      <c r="D174" t="str">
        <f>IF($A174&lt;&gt;"",IF($R174&lt;&gt;"",$R174,'Approved-Enforcement'!$B174+7),"")</f>
        <v/>
      </c>
      <c r="E174" t="str">
        <f>IF($A174&lt;&gt;"",'Approved-Enforcement'!D174,"")</f>
        <v/>
      </c>
      <c r="F174" t="str">
        <f>IF($A174&lt;&gt;"",'Approved-Enforcement'!E174,"")</f>
        <v/>
      </c>
      <c r="G174" t="str">
        <f>IF($A174&lt;&gt;"",'Approved-Enforcement'!F174,"")</f>
        <v/>
      </c>
      <c r="H174" t="str">
        <f>IF($A174&lt;&gt;"",'Approved-Enforcement'!G174,"")</f>
        <v/>
      </c>
      <c r="I174" t="str">
        <f>IF($A174&lt;&gt;"",'Approved-Enforcement'!H174,"")</f>
        <v/>
      </c>
      <c r="J174" t="str">
        <f>IF($A174&lt;&gt;"",'Approved-Enforcement'!I174,"")</f>
        <v/>
      </c>
      <c r="K174" t="str">
        <f>IF($A174&lt;&gt;"",'Approved-Enforcement'!J174,"")</f>
        <v/>
      </c>
      <c r="L174" t="str">
        <f>IF($A174&lt;&gt;"",'Approved-Enforcement'!K174,"")</f>
        <v/>
      </c>
      <c r="M174" t="str">
        <f>IF($A174&lt;&gt;"",'Approved-Enforcement'!L174,"")</f>
        <v/>
      </c>
      <c r="N174" t="str">
        <f>IF($A174&lt;&gt;"",'Approved-Enforcement'!M174,"")</f>
        <v/>
      </c>
      <c r="O174" t="str">
        <f>IF($A174&lt;&gt;"",'Approved-Enforcement'!N174,"")</f>
        <v/>
      </c>
      <c r="P174" t="str">
        <f>IF($A174&lt;&gt;"",'Approved-Enforcement'!O174,"")</f>
        <v/>
      </c>
    </row>
    <row r="175" spans="1:16" x14ac:dyDescent="0.35">
      <c r="A175" s="4" t="str">
        <f>IF('Approved-Enforcement'!$A175&lt;&gt;"",'Approved-Enforcement'!A175,"")</f>
        <v/>
      </c>
      <c r="B175" t="str">
        <f t="shared" si="2"/>
        <v/>
      </c>
      <c r="D175" t="str">
        <f>IF($A175&lt;&gt;"",IF($R175&lt;&gt;"",$R175,'Approved-Enforcement'!$B175+7),"")</f>
        <v/>
      </c>
      <c r="E175" t="str">
        <f>IF($A175&lt;&gt;"",'Approved-Enforcement'!D175,"")</f>
        <v/>
      </c>
      <c r="F175" t="str">
        <f>IF($A175&lt;&gt;"",'Approved-Enforcement'!E175,"")</f>
        <v/>
      </c>
      <c r="G175" t="str">
        <f>IF($A175&lt;&gt;"",'Approved-Enforcement'!F175,"")</f>
        <v/>
      </c>
      <c r="H175" t="str">
        <f>IF($A175&lt;&gt;"",'Approved-Enforcement'!G175,"")</f>
        <v/>
      </c>
      <c r="I175" t="str">
        <f>IF($A175&lt;&gt;"",'Approved-Enforcement'!H175,"")</f>
        <v/>
      </c>
      <c r="J175" t="str">
        <f>IF($A175&lt;&gt;"",'Approved-Enforcement'!I175,"")</f>
        <v/>
      </c>
      <c r="K175" t="str">
        <f>IF($A175&lt;&gt;"",'Approved-Enforcement'!J175,"")</f>
        <v/>
      </c>
      <c r="L175" t="str">
        <f>IF($A175&lt;&gt;"",'Approved-Enforcement'!K175,"")</f>
        <v/>
      </c>
      <c r="M175" t="str">
        <f>IF($A175&lt;&gt;"",'Approved-Enforcement'!L175,"")</f>
        <v/>
      </c>
      <c r="N175" t="str">
        <f>IF($A175&lt;&gt;"",'Approved-Enforcement'!M175,"")</f>
        <v/>
      </c>
      <c r="O175" t="str">
        <f>IF($A175&lt;&gt;"",'Approved-Enforcement'!N175,"")</f>
        <v/>
      </c>
      <c r="P175" t="str">
        <f>IF($A175&lt;&gt;"",'Approved-Enforcement'!O175,"")</f>
        <v/>
      </c>
    </row>
    <row r="176" spans="1:16" x14ac:dyDescent="0.35">
      <c r="A176" s="4" t="str">
        <f>IF('Approved-Enforcement'!$A176&lt;&gt;"",'Approved-Enforcement'!A176,"")</f>
        <v/>
      </c>
      <c r="B176" t="str">
        <f t="shared" si="2"/>
        <v/>
      </c>
      <c r="D176" t="str">
        <f>IF($A176&lt;&gt;"",IF($R176&lt;&gt;"",$R176,'Approved-Enforcement'!$B176+7),"")</f>
        <v/>
      </c>
      <c r="E176" t="str">
        <f>IF($A176&lt;&gt;"",'Approved-Enforcement'!D176,"")</f>
        <v/>
      </c>
      <c r="F176" t="str">
        <f>IF($A176&lt;&gt;"",'Approved-Enforcement'!E176,"")</f>
        <v/>
      </c>
      <c r="G176" t="str">
        <f>IF($A176&lt;&gt;"",'Approved-Enforcement'!F176,"")</f>
        <v/>
      </c>
      <c r="H176" t="str">
        <f>IF($A176&lt;&gt;"",'Approved-Enforcement'!G176,"")</f>
        <v/>
      </c>
      <c r="I176" t="str">
        <f>IF($A176&lt;&gt;"",'Approved-Enforcement'!H176,"")</f>
        <v/>
      </c>
      <c r="J176" t="str">
        <f>IF($A176&lt;&gt;"",'Approved-Enforcement'!I176,"")</f>
        <v/>
      </c>
      <c r="K176" t="str">
        <f>IF($A176&lt;&gt;"",'Approved-Enforcement'!J176,"")</f>
        <v/>
      </c>
      <c r="L176" t="str">
        <f>IF($A176&lt;&gt;"",'Approved-Enforcement'!K176,"")</f>
        <v/>
      </c>
      <c r="M176" t="str">
        <f>IF($A176&lt;&gt;"",'Approved-Enforcement'!L176,"")</f>
        <v/>
      </c>
      <c r="N176" t="str">
        <f>IF($A176&lt;&gt;"",'Approved-Enforcement'!M176,"")</f>
        <v/>
      </c>
      <c r="O176" t="str">
        <f>IF($A176&lt;&gt;"",'Approved-Enforcement'!N176,"")</f>
        <v/>
      </c>
      <c r="P176" t="str">
        <f>IF($A176&lt;&gt;"",'Approved-Enforcement'!O176,"")</f>
        <v/>
      </c>
    </row>
    <row r="177" spans="1:16" x14ac:dyDescent="0.35">
      <c r="A177" s="4" t="str">
        <f>IF('Approved-Enforcement'!$A177&lt;&gt;"",'Approved-Enforcement'!A177,"")</f>
        <v/>
      </c>
      <c r="B177" t="str">
        <f t="shared" si="2"/>
        <v/>
      </c>
      <c r="D177" t="str">
        <f>IF($A177&lt;&gt;"",IF($R177&lt;&gt;"",$R177,'Approved-Enforcement'!$B177+7),"")</f>
        <v/>
      </c>
      <c r="E177" t="str">
        <f>IF($A177&lt;&gt;"",'Approved-Enforcement'!D177,"")</f>
        <v/>
      </c>
      <c r="F177" t="str">
        <f>IF($A177&lt;&gt;"",'Approved-Enforcement'!E177,"")</f>
        <v/>
      </c>
      <c r="G177" t="str">
        <f>IF($A177&lt;&gt;"",'Approved-Enforcement'!F177,"")</f>
        <v/>
      </c>
      <c r="H177" t="str">
        <f>IF($A177&lt;&gt;"",'Approved-Enforcement'!G177,"")</f>
        <v/>
      </c>
      <c r="I177" t="str">
        <f>IF($A177&lt;&gt;"",'Approved-Enforcement'!H177,"")</f>
        <v/>
      </c>
      <c r="J177" t="str">
        <f>IF($A177&lt;&gt;"",'Approved-Enforcement'!I177,"")</f>
        <v/>
      </c>
      <c r="K177" t="str">
        <f>IF($A177&lt;&gt;"",'Approved-Enforcement'!J177,"")</f>
        <v/>
      </c>
      <c r="L177" t="str">
        <f>IF($A177&lt;&gt;"",'Approved-Enforcement'!K177,"")</f>
        <v/>
      </c>
      <c r="M177" t="str">
        <f>IF($A177&lt;&gt;"",'Approved-Enforcement'!L177,"")</f>
        <v/>
      </c>
      <c r="N177" t="str">
        <f>IF($A177&lt;&gt;"",'Approved-Enforcement'!M177,"")</f>
        <v/>
      </c>
      <c r="O177" t="str">
        <f>IF($A177&lt;&gt;"",'Approved-Enforcement'!N177,"")</f>
        <v/>
      </c>
      <c r="P177" t="str">
        <f>IF($A177&lt;&gt;"",'Approved-Enforcement'!O177,"")</f>
        <v/>
      </c>
    </row>
    <row r="178" spans="1:16" x14ac:dyDescent="0.35">
      <c r="A178" s="4" t="str">
        <f>IF('Approved-Enforcement'!$A178&lt;&gt;"",'Approved-Enforcement'!A178,"")</f>
        <v/>
      </c>
      <c r="B178" t="str">
        <f t="shared" si="2"/>
        <v/>
      </c>
      <c r="D178" t="str">
        <f>IF($A178&lt;&gt;"",IF($R178&lt;&gt;"",$R178,'Approved-Enforcement'!$B178+7),"")</f>
        <v/>
      </c>
      <c r="E178" t="str">
        <f>IF($A178&lt;&gt;"",'Approved-Enforcement'!D178,"")</f>
        <v/>
      </c>
      <c r="F178" t="str">
        <f>IF($A178&lt;&gt;"",'Approved-Enforcement'!E178,"")</f>
        <v/>
      </c>
      <c r="G178" t="str">
        <f>IF($A178&lt;&gt;"",'Approved-Enforcement'!F178,"")</f>
        <v/>
      </c>
      <c r="H178" t="str">
        <f>IF($A178&lt;&gt;"",'Approved-Enforcement'!G178,"")</f>
        <v/>
      </c>
      <c r="I178" t="str">
        <f>IF($A178&lt;&gt;"",'Approved-Enforcement'!H178,"")</f>
        <v/>
      </c>
      <c r="J178" t="str">
        <f>IF($A178&lt;&gt;"",'Approved-Enforcement'!I178,"")</f>
        <v/>
      </c>
      <c r="K178" t="str">
        <f>IF($A178&lt;&gt;"",'Approved-Enforcement'!J178,"")</f>
        <v/>
      </c>
      <c r="L178" t="str">
        <f>IF($A178&lt;&gt;"",'Approved-Enforcement'!K178,"")</f>
        <v/>
      </c>
      <c r="M178" t="str">
        <f>IF($A178&lt;&gt;"",'Approved-Enforcement'!L178,"")</f>
        <v/>
      </c>
      <c r="N178" t="str">
        <f>IF($A178&lt;&gt;"",'Approved-Enforcement'!M178,"")</f>
        <v/>
      </c>
      <c r="O178" t="str">
        <f>IF($A178&lt;&gt;"",'Approved-Enforcement'!N178,"")</f>
        <v/>
      </c>
      <c r="P178" t="str">
        <f>IF($A178&lt;&gt;"",'Approved-Enforcement'!O178,"")</f>
        <v/>
      </c>
    </row>
    <row r="179" spans="1:16" x14ac:dyDescent="0.35">
      <c r="A179" s="4" t="str">
        <f>IF('Approved-Enforcement'!$A179&lt;&gt;"",'Approved-Enforcement'!A179,"")</f>
        <v/>
      </c>
      <c r="B179" t="str">
        <f t="shared" si="2"/>
        <v/>
      </c>
      <c r="D179" t="str">
        <f>IF($A179&lt;&gt;"",IF($R179&lt;&gt;"",$R179,'Approved-Enforcement'!$B179+7),"")</f>
        <v/>
      </c>
      <c r="E179" t="str">
        <f>IF($A179&lt;&gt;"",'Approved-Enforcement'!D179,"")</f>
        <v/>
      </c>
      <c r="F179" t="str">
        <f>IF($A179&lt;&gt;"",'Approved-Enforcement'!E179,"")</f>
        <v/>
      </c>
      <c r="G179" t="str">
        <f>IF($A179&lt;&gt;"",'Approved-Enforcement'!F179,"")</f>
        <v/>
      </c>
      <c r="H179" t="str">
        <f>IF($A179&lt;&gt;"",'Approved-Enforcement'!G179,"")</f>
        <v/>
      </c>
      <c r="I179" t="str">
        <f>IF($A179&lt;&gt;"",'Approved-Enforcement'!H179,"")</f>
        <v/>
      </c>
      <c r="J179" t="str">
        <f>IF($A179&lt;&gt;"",'Approved-Enforcement'!I179,"")</f>
        <v/>
      </c>
      <c r="K179" t="str">
        <f>IF($A179&lt;&gt;"",'Approved-Enforcement'!J179,"")</f>
        <v/>
      </c>
      <c r="L179" t="str">
        <f>IF($A179&lt;&gt;"",'Approved-Enforcement'!K179,"")</f>
        <v/>
      </c>
      <c r="M179" t="str">
        <f>IF($A179&lt;&gt;"",'Approved-Enforcement'!L179,"")</f>
        <v/>
      </c>
      <c r="N179" t="str">
        <f>IF($A179&lt;&gt;"",'Approved-Enforcement'!M179,"")</f>
        <v/>
      </c>
      <c r="O179" t="str">
        <f>IF($A179&lt;&gt;"",'Approved-Enforcement'!N179,"")</f>
        <v/>
      </c>
      <c r="P179" t="str">
        <f>IF($A179&lt;&gt;"",'Approved-Enforcement'!O179,"")</f>
        <v/>
      </c>
    </row>
    <row r="180" spans="1:16" x14ac:dyDescent="0.35">
      <c r="A180" s="4" t="str">
        <f>IF('Approved-Enforcement'!$A180&lt;&gt;"",'Approved-Enforcement'!A180,"")</f>
        <v/>
      </c>
      <c r="B180" t="str">
        <f t="shared" si="2"/>
        <v/>
      </c>
      <c r="D180" t="str">
        <f>IF($A180&lt;&gt;"",IF($R180&lt;&gt;"",$R180,'Approved-Enforcement'!$B180+7),"")</f>
        <v/>
      </c>
      <c r="E180" t="str">
        <f>IF($A180&lt;&gt;"",'Approved-Enforcement'!D180,"")</f>
        <v/>
      </c>
      <c r="F180" t="str">
        <f>IF($A180&lt;&gt;"",'Approved-Enforcement'!E180,"")</f>
        <v/>
      </c>
      <c r="G180" t="str">
        <f>IF($A180&lt;&gt;"",'Approved-Enforcement'!F180,"")</f>
        <v/>
      </c>
      <c r="H180" t="str">
        <f>IF($A180&lt;&gt;"",'Approved-Enforcement'!G180,"")</f>
        <v/>
      </c>
      <c r="I180" t="str">
        <f>IF($A180&lt;&gt;"",'Approved-Enforcement'!H180,"")</f>
        <v/>
      </c>
      <c r="J180" t="str">
        <f>IF($A180&lt;&gt;"",'Approved-Enforcement'!I180,"")</f>
        <v/>
      </c>
      <c r="K180" t="str">
        <f>IF($A180&lt;&gt;"",'Approved-Enforcement'!J180,"")</f>
        <v/>
      </c>
      <c r="L180" t="str">
        <f>IF($A180&lt;&gt;"",'Approved-Enforcement'!K180,"")</f>
        <v/>
      </c>
      <c r="M180" t="str">
        <f>IF($A180&lt;&gt;"",'Approved-Enforcement'!L180,"")</f>
        <v/>
      </c>
      <c r="N180" t="str">
        <f>IF($A180&lt;&gt;"",'Approved-Enforcement'!M180,"")</f>
        <v/>
      </c>
      <c r="O180" t="str">
        <f>IF($A180&lt;&gt;"",'Approved-Enforcement'!N180,"")</f>
        <v/>
      </c>
      <c r="P180" t="str">
        <f>IF($A180&lt;&gt;"",'Approved-Enforcement'!O180,"")</f>
        <v/>
      </c>
    </row>
    <row r="181" spans="1:16" x14ac:dyDescent="0.35">
      <c r="A181" s="4" t="str">
        <f>IF('Approved-Enforcement'!$A181&lt;&gt;"",'Approved-Enforcement'!A181,"")</f>
        <v/>
      </c>
      <c r="B181" t="str">
        <f t="shared" si="2"/>
        <v/>
      </c>
      <c r="D181" t="str">
        <f>IF($A181&lt;&gt;"",IF($R181&lt;&gt;"",$R181,'Approved-Enforcement'!$B181+7),"")</f>
        <v/>
      </c>
      <c r="E181" t="str">
        <f>IF($A181&lt;&gt;"",'Approved-Enforcement'!D181,"")</f>
        <v/>
      </c>
      <c r="F181" t="str">
        <f>IF($A181&lt;&gt;"",'Approved-Enforcement'!E181,"")</f>
        <v/>
      </c>
      <c r="G181" t="str">
        <f>IF($A181&lt;&gt;"",'Approved-Enforcement'!F181,"")</f>
        <v/>
      </c>
      <c r="H181" t="str">
        <f>IF($A181&lt;&gt;"",'Approved-Enforcement'!G181,"")</f>
        <v/>
      </c>
      <c r="I181" t="str">
        <f>IF($A181&lt;&gt;"",'Approved-Enforcement'!H181,"")</f>
        <v/>
      </c>
      <c r="J181" t="str">
        <f>IF($A181&lt;&gt;"",'Approved-Enforcement'!I181,"")</f>
        <v/>
      </c>
      <c r="K181" t="str">
        <f>IF($A181&lt;&gt;"",'Approved-Enforcement'!J181,"")</f>
        <v/>
      </c>
      <c r="L181" t="str">
        <f>IF($A181&lt;&gt;"",'Approved-Enforcement'!K181,"")</f>
        <v/>
      </c>
      <c r="M181" t="str">
        <f>IF($A181&lt;&gt;"",'Approved-Enforcement'!L181,"")</f>
        <v/>
      </c>
      <c r="N181" t="str">
        <f>IF($A181&lt;&gt;"",'Approved-Enforcement'!M181,"")</f>
        <v/>
      </c>
      <c r="O181" t="str">
        <f>IF($A181&lt;&gt;"",'Approved-Enforcement'!N181,"")</f>
        <v/>
      </c>
      <c r="P181" t="str">
        <f>IF($A181&lt;&gt;"",'Approved-Enforcement'!O181,"")</f>
        <v/>
      </c>
    </row>
    <row r="182" spans="1:16" x14ac:dyDescent="0.35">
      <c r="A182" s="4" t="str">
        <f>IF('Approved-Enforcement'!$A182&lt;&gt;"",'Approved-Enforcement'!A182,"")</f>
        <v/>
      </c>
      <c r="B182" t="str">
        <f t="shared" si="2"/>
        <v/>
      </c>
      <c r="D182" t="str">
        <f>IF($A182&lt;&gt;"",IF($R182&lt;&gt;"",$R182,'Approved-Enforcement'!$B182+7),"")</f>
        <v/>
      </c>
      <c r="E182" t="str">
        <f>IF($A182&lt;&gt;"",'Approved-Enforcement'!D182,"")</f>
        <v/>
      </c>
      <c r="F182" t="str">
        <f>IF($A182&lt;&gt;"",'Approved-Enforcement'!E182,"")</f>
        <v/>
      </c>
      <c r="G182" t="str">
        <f>IF($A182&lt;&gt;"",'Approved-Enforcement'!F182,"")</f>
        <v/>
      </c>
      <c r="H182" t="str">
        <f>IF($A182&lt;&gt;"",'Approved-Enforcement'!G182,"")</f>
        <v/>
      </c>
      <c r="I182" t="str">
        <f>IF($A182&lt;&gt;"",'Approved-Enforcement'!H182,"")</f>
        <v/>
      </c>
      <c r="J182" t="str">
        <f>IF($A182&lt;&gt;"",'Approved-Enforcement'!I182,"")</f>
        <v/>
      </c>
      <c r="K182" t="str">
        <f>IF($A182&lt;&gt;"",'Approved-Enforcement'!J182,"")</f>
        <v/>
      </c>
      <c r="L182" t="str">
        <f>IF($A182&lt;&gt;"",'Approved-Enforcement'!K182,"")</f>
        <v/>
      </c>
      <c r="M182" t="str">
        <f>IF($A182&lt;&gt;"",'Approved-Enforcement'!L182,"")</f>
        <v/>
      </c>
      <c r="N182" t="str">
        <f>IF($A182&lt;&gt;"",'Approved-Enforcement'!M182,"")</f>
        <v/>
      </c>
      <c r="O182" t="str">
        <f>IF($A182&lt;&gt;"",'Approved-Enforcement'!N182,"")</f>
        <v/>
      </c>
      <c r="P182" t="str">
        <f>IF($A182&lt;&gt;"",'Approved-Enforcement'!O182,"")</f>
        <v/>
      </c>
    </row>
    <row r="183" spans="1:16" x14ac:dyDescent="0.35">
      <c r="A183" s="4" t="str">
        <f>IF('Approved-Enforcement'!$A183&lt;&gt;"",'Approved-Enforcement'!A183,"")</f>
        <v/>
      </c>
      <c r="B183" t="str">
        <f t="shared" si="2"/>
        <v/>
      </c>
      <c r="D183" t="str">
        <f>IF($A183&lt;&gt;"",IF($R183&lt;&gt;"",$R183,'Approved-Enforcement'!$B183+7),"")</f>
        <v/>
      </c>
      <c r="E183" t="str">
        <f>IF($A183&lt;&gt;"",'Approved-Enforcement'!D183,"")</f>
        <v/>
      </c>
      <c r="F183" t="str">
        <f>IF($A183&lt;&gt;"",'Approved-Enforcement'!E183,"")</f>
        <v/>
      </c>
      <c r="G183" t="str">
        <f>IF($A183&lt;&gt;"",'Approved-Enforcement'!F183,"")</f>
        <v/>
      </c>
      <c r="H183" t="str">
        <f>IF($A183&lt;&gt;"",'Approved-Enforcement'!G183,"")</f>
        <v/>
      </c>
      <c r="I183" t="str">
        <f>IF($A183&lt;&gt;"",'Approved-Enforcement'!H183,"")</f>
        <v/>
      </c>
      <c r="J183" t="str">
        <f>IF($A183&lt;&gt;"",'Approved-Enforcement'!I183,"")</f>
        <v/>
      </c>
      <c r="K183" t="str">
        <f>IF($A183&lt;&gt;"",'Approved-Enforcement'!J183,"")</f>
        <v/>
      </c>
      <c r="L183" t="str">
        <f>IF($A183&lt;&gt;"",'Approved-Enforcement'!K183,"")</f>
        <v/>
      </c>
      <c r="M183" t="str">
        <f>IF($A183&lt;&gt;"",'Approved-Enforcement'!L183,"")</f>
        <v/>
      </c>
      <c r="N183" t="str">
        <f>IF($A183&lt;&gt;"",'Approved-Enforcement'!M183,"")</f>
        <v/>
      </c>
      <c r="O183" t="str">
        <f>IF($A183&lt;&gt;"",'Approved-Enforcement'!N183,"")</f>
        <v/>
      </c>
      <c r="P183" t="str">
        <f>IF($A183&lt;&gt;"",'Approved-Enforcement'!O183,"")</f>
        <v/>
      </c>
    </row>
    <row r="184" spans="1:16" x14ac:dyDescent="0.35">
      <c r="A184" s="4" t="str">
        <f>IF('Approved-Enforcement'!$A184&lt;&gt;"",'Approved-Enforcement'!A184,"")</f>
        <v/>
      </c>
      <c r="B184" t="str">
        <f t="shared" si="2"/>
        <v/>
      </c>
      <c r="D184" t="str">
        <f>IF($A184&lt;&gt;"",IF($R184&lt;&gt;"",$R184,'Approved-Enforcement'!$B184+7),"")</f>
        <v/>
      </c>
      <c r="E184" t="str">
        <f>IF($A184&lt;&gt;"",'Approved-Enforcement'!D184,"")</f>
        <v/>
      </c>
      <c r="F184" t="str">
        <f>IF($A184&lt;&gt;"",'Approved-Enforcement'!E184,"")</f>
        <v/>
      </c>
      <c r="G184" t="str">
        <f>IF($A184&lt;&gt;"",'Approved-Enforcement'!F184,"")</f>
        <v/>
      </c>
      <c r="H184" t="str">
        <f>IF($A184&lt;&gt;"",'Approved-Enforcement'!G184,"")</f>
        <v/>
      </c>
      <c r="I184" t="str">
        <f>IF($A184&lt;&gt;"",'Approved-Enforcement'!H184,"")</f>
        <v/>
      </c>
      <c r="J184" t="str">
        <f>IF($A184&lt;&gt;"",'Approved-Enforcement'!I184,"")</f>
        <v/>
      </c>
      <c r="K184" t="str">
        <f>IF($A184&lt;&gt;"",'Approved-Enforcement'!J184,"")</f>
        <v/>
      </c>
      <c r="L184" t="str">
        <f>IF($A184&lt;&gt;"",'Approved-Enforcement'!K184,"")</f>
        <v/>
      </c>
      <c r="M184" t="str">
        <f>IF($A184&lt;&gt;"",'Approved-Enforcement'!L184,"")</f>
        <v/>
      </c>
      <c r="N184" t="str">
        <f>IF($A184&lt;&gt;"",'Approved-Enforcement'!M184,"")</f>
        <v/>
      </c>
      <c r="O184" t="str">
        <f>IF($A184&lt;&gt;"",'Approved-Enforcement'!N184,"")</f>
        <v/>
      </c>
      <c r="P184" t="str">
        <f>IF($A184&lt;&gt;"",'Approved-Enforcement'!O184,"")</f>
        <v/>
      </c>
    </row>
    <row r="185" spans="1:16" x14ac:dyDescent="0.35">
      <c r="A185" s="4" t="str">
        <f>IF('Approved-Enforcement'!$A185&lt;&gt;"",'Approved-Enforcement'!A185,"")</f>
        <v/>
      </c>
      <c r="B185" t="str">
        <f t="shared" si="2"/>
        <v/>
      </c>
      <c r="D185" t="str">
        <f>IF($A185&lt;&gt;"",IF($R185&lt;&gt;"",$R185,'Approved-Enforcement'!$B185+7),"")</f>
        <v/>
      </c>
      <c r="E185" t="str">
        <f>IF($A185&lt;&gt;"",'Approved-Enforcement'!D185,"")</f>
        <v/>
      </c>
      <c r="F185" t="str">
        <f>IF($A185&lt;&gt;"",'Approved-Enforcement'!E185,"")</f>
        <v/>
      </c>
      <c r="G185" t="str">
        <f>IF($A185&lt;&gt;"",'Approved-Enforcement'!F185,"")</f>
        <v/>
      </c>
      <c r="H185" t="str">
        <f>IF($A185&lt;&gt;"",'Approved-Enforcement'!G185,"")</f>
        <v/>
      </c>
      <c r="I185" t="str">
        <f>IF($A185&lt;&gt;"",'Approved-Enforcement'!H185,"")</f>
        <v/>
      </c>
      <c r="J185" t="str">
        <f>IF($A185&lt;&gt;"",'Approved-Enforcement'!I185,"")</f>
        <v/>
      </c>
      <c r="K185" t="str">
        <f>IF($A185&lt;&gt;"",'Approved-Enforcement'!J185,"")</f>
        <v/>
      </c>
      <c r="L185" t="str">
        <f>IF($A185&lt;&gt;"",'Approved-Enforcement'!K185,"")</f>
        <v/>
      </c>
      <c r="M185" t="str">
        <f>IF($A185&lt;&gt;"",'Approved-Enforcement'!L185,"")</f>
        <v/>
      </c>
      <c r="N185" t="str">
        <f>IF($A185&lt;&gt;"",'Approved-Enforcement'!M185,"")</f>
        <v/>
      </c>
      <c r="O185" t="str">
        <f>IF($A185&lt;&gt;"",'Approved-Enforcement'!N185,"")</f>
        <v/>
      </c>
      <c r="P185" t="str">
        <f>IF($A185&lt;&gt;"",'Approved-Enforcement'!O185,"")</f>
        <v/>
      </c>
    </row>
    <row r="186" spans="1:16" x14ac:dyDescent="0.35">
      <c r="A186" s="4" t="str">
        <f>IF('Approved-Enforcement'!$A186&lt;&gt;"",'Approved-Enforcement'!A186,"")</f>
        <v/>
      </c>
      <c r="B186" t="str">
        <f t="shared" si="2"/>
        <v/>
      </c>
      <c r="D186" t="str">
        <f>IF($A186&lt;&gt;"",IF($R186&lt;&gt;"",$R186,'Approved-Enforcement'!$B186+7),"")</f>
        <v/>
      </c>
      <c r="E186" t="str">
        <f>IF($A186&lt;&gt;"",'Approved-Enforcement'!D186,"")</f>
        <v/>
      </c>
      <c r="F186" t="str">
        <f>IF($A186&lt;&gt;"",'Approved-Enforcement'!E186,"")</f>
        <v/>
      </c>
      <c r="G186" t="str">
        <f>IF($A186&lt;&gt;"",'Approved-Enforcement'!F186,"")</f>
        <v/>
      </c>
      <c r="H186" t="str">
        <f>IF($A186&lt;&gt;"",'Approved-Enforcement'!G186,"")</f>
        <v/>
      </c>
      <c r="I186" t="str">
        <f>IF($A186&lt;&gt;"",'Approved-Enforcement'!H186,"")</f>
        <v/>
      </c>
      <c r="J186" t="str">
        <f>IF($A186&lt;&gt;"",'Approved-Enforcement'!I186,"")</f>
        <v/>
      </c>
      <c r="K186" t="str">
        <f>IF($A186&lt;&gt;"",'Approved-Enforcement'!J186,"")</f>
        <v/>
      </c>
      <c r="L186" t="str">
        <f>IF($A186&lt;&gt;"",'Approved-Enforcement'!K186,"")</f>
        <v/>
      </c>
      <c r="M186" t="str">
        <f>IF($A186&lt;&gt;"",'Approved-Enforcement'!L186,"")</f>
        <v/>
      </c>
      <c r="N186" t="str">
        <f>IF($A186&lt;&gt;"",'Approved-Enforcement'!M186,"")</f>
        <v/>
      </c>
      <c r="O186" t="str">
        <f>IF($A186&lt;&gt;"",'Approved-Enforcement'!N186,"")</f>
        <v/>
      </c>
      <c r="P186" t="str">
        <f>IF($A186&lt;&gt;"",'Approved-Enforcement'!O186,"")</f>
        <v/>
      </c>
    </row>
    <row r="187" spans="1:16" x14ac:dyDescent="0.35">
      <c r="A187" s="4" t="str">
        <f>IF('Approved-Enforcement'!$A187&lt;&gt;"",'Approved-Enforcement'!A187,"")</f>
        <v/>
      </c>
      <c r="B187" t="str">
        <f t="shared" si="2"/>
        <v/>
      </c>
      <c r="D187" t="str">
        <f>IF($A187&lt;&gt;"",IF($R187&lt;&gt;"",$R187,'Approved-Enforcement'!$B187+7),"")</f>
        <v/>
      </c>
      <c r="E187" t="str">
        <f>IF($A187&lt;&gt;"",'Approved-Enforcement'!D187,"")</f>
        <v/>
      </c>
      <c r="F187" t="str">
        <f>IF($A187&lt;&gt;"",'Approved-Enforcement'!E187,"")</f>
        <v/>
      </c>
      <c r="G187" t="str">
        <f>IF($A187&lt;&gt;"",'Approved-Enforcement'!F187,"")</f>
        <v/>
      </c>
      <c r="H187" t="str">
        <f>IF($A187&lt;&gt;"",'Approved-Enforcement'!G187,"")</f>
        <v/>
      </c>
      <c r="I187" t="str">
        <f>IF($A187&lt;&gt;"",'Approved-Enforcement'!H187,"")</f>
        <v/>
      </c>
      <c r="J187" t="str">
        <f>IF($A187&lt;&gt;"",'Approved-Enforcement'!I187,"")</f>
        <v/>
      </c>
      <c r="K187" t="str">
        <f>IF($A187&lt;&gt;"",'Approved-Enforcement'!J187,"")</f>
        <v/>
      </c>
      <c r="L187" t="str">
        <f>IF($A187&lt;&gt;"",'Approved-Enforcement'!K187,"")</f>
        <v/>
      </c>
      <c r="M187" t="str">
        <f>IF($A187&lt;&gt;"",'Approved-Enforcement'!L187,"")</f>
        <v/>
      </c>
      <c r="N187" t="str">
        <f>IF($A187&lt;&gt;"",'Approved-Enforcement'!M187,"")</f>
        <v/>
      </c>
      <c r="O187" t="str">
        <f>IF($A187&lt;&gt;"",'Approved-Enforcement'!N187,"")</f>
        <v/>
      </c>
      <c r="P187" t="str">
        <f>IF($A187&lt;&gt;"",'Approved-Enforcement'!O187,"")</f>
        <v/>
      </c>
    </row>
    <row r="188" spans="1:16" x14ac:dyDescent="0.35">
      <c r="A188" s="4" t="str">
        <f>IF('Approved-Enforcement'!$A188&lt;&gt;"",'Approved-Enforcement'!A188,"")</f>
        <v/>
      </c>
      <c r="B188" t="str">
        <f t="shared" si="2"/>
        <v/>
      </c>
      <c r="D188" t="str">
        <f>IF($A188&lt;&gt;"",IF($R188&lt;&gt;"",$R188,'Approved-Enforcement'!$B188+7),"")</f>
        <v/>
      </c>
      <c r="E188" t="str">
        <f>IF($A188&lt;&gt;"",'Approved-Enforcement'!D188,"")</f>
        <v/>
      </c>
      <c r="F188" t="str">
        <f>IF($A188&lt;&gt;"",'Approved-Enforcement'!E188,"")</f>
        <v/>
      </c>
      <c r="G188" t="str">
        <f>IF($A188&lt;&gt;"",'Approved-Enforcement'!F188,"")</f>
        <v/>
      </c>
      <c r="H188" t="str">
        <f>IF($A188&lt;&gt;"",'Approved-Enforcement'!G188,"")</f>
        <v/>
      </c>
      <c r="I188" t="str">
        <f>IF($A188&lt;&gt;"",'Approved-Enforcement'!H188,"")</f>
        <v/>
      </c>
      <c r="J188" t="str">
        <f>IF($A188&lt;&gt;"",'Approved-Enforcement'!I188,"")</f>
        <v/>
      </c>
      <c r="K188" t="str">
        <f>IF($A188&lt;&gt;"",'Approved-Enforcement'!J188,"")</f>
        <v/>
      </c>
      <c r="L188" t="str">
        <f>IF($A188&lt;&gt;"",'Approved-Enforcement'!K188,"")</f>
        <v/>
      </c>
      <c r="M188" t="str">
        <f>IF($A188&lt;&gt;"",'Approved-Enforcement'!L188,"")</f>
        <v/>
      </c>
      <c r="N188" t="str">
        <f>IF($A188&lt;&gt;"",'Approved-Enforcement'!M188,"")</f>
        <v/>
      </c>
      <c r="O188" t="str">
        <f>IF($A188&lt;&gt;"",'Approved-Enforcement'!N188,"")</f>
        <v/>
      </c>
      <c r="P188" t="str">
        <f>IF($A188&lt;&gt;"",'Approved-Enforcement'!O188,"")</f>
        <v/>
      </c>
    </row>
    <row r="189" spans="1:16" x14ac:dyDescent="0.35">
      <c r="A189" s="4" t="str">
        <f>IF('Approved-Enforcement'!$A189&lt;&gt;"",'Approved-Enforcement'!A189,"")</f>
        <v/>
      </c>
      <c r="B189" t="str">
        <f t="shared" si="2"/>
        <v/>
      </c>
      <c r="D189" t="str">
        <f>IF($A189&lt;&gt;"",IF($R189&lt;&gt;"",$R189,'Approved-Enforcement'!$B189+7),"")</f>
        <v/>
      </c>
      <c r="E189" t="str">
        <f>IF($A189&lt;&gt;"",'Approved-Enforcement'!D189,"")</f>
        <v/>
      </c>
      <c r="F189" t="str">
        <f>IF($A189&lt;&gt;"",'Approved-Enforcement'!E189,"")</f>
        <v/>
      </c>
      <c r="G189" t="str">
        <f>IF($A189&lt;&gt;"",'Approved-Enforcement'!F189,"")</f>
        <v/>
      </c>
      <c r="H189" t="str">
        <f>IF($A189&lt;&gt;"",'Approved-Enforcement'!G189,"")</f>
        <v/>
      </c>
      <c r="I189" t="str">
        <f>IF($A189&lt;&gt;"",'Approved-Enforcement'!H189,"")</f>
        <v/>
      </c>
      <c r="J189" t="str">
        <f>IF($A189&lt;&gt;"",'Approved-Enforcement'!I189,"")</f>
        <v/>
      </c>
      <c r="K189" t="str">
        <f>IF($A189&lt;&gt;"",'Approved-Enforcement'!J189,"")</f>
        <v/>
      </c>
      <c r="L189" t="str">
        <f>IF($A189&lt;&gt;"",'Approved-Enforcement'!K189,"")</f>
        <v/>
      </c>
      <c r="M189" t="str">
        <f>IF($A189&lt;&gt;"",'Approved-Enforcement'!L189,"")</f>
        <v/>
      </c>
      <c r="N189" t="str">
        <f>IF($A189&lt;&gt;"",'Approved-Enforcement'!M189,"")</f>
        <v/>
      </c>
      <c r="O189" t="str">
        <f>IF($A189&lt;&gt;"",'Approved-Enforcement'!N189,"")</f>
        <v/>
      </c>
      <c r="P189" t="str">
        <f>IF($A189&lt;&gt;"",'Approved-Enforcement'!O189,"")</f>
        <v/>
      </c>
    </row>
    <row r="190" spans="1:16" x14ac:dyDescent="0.35">
      <c r="A190" s="4" t="str">
        <f>IF('Approved-Enforcement'!$A190&lt;&gt;"",'Approved-Enforcement'!A190,"")</f>
        <v/>
      </c>
      <c r="B190" t="str">
        <f t="shared" si="2"/>
        <v/>
      </c>
      <c r="D190" t="str">
        <f>IF($A190&lt;&gt;"",IF($R190&lt;&gt;"",$R190,'Approved-Enforcement'!$B190+7),"")</f>
        <v/>
      </c>
      <c r="E190" t="str">
        <f>IF($A190&lt;&gt;"",'Approved-Enforcement'!D190,"")</f>
        <v/>
      </c>
      <c r="F190" t="str">
        <f>IF($A190&lt;&gt;"",'Approved-Enforcement'!E190,"")</f>
        <v/>
      </c>
      <c r="G190" t="str">
        <f>IF($A190&lt;&gt;"",'Approved-Enforcement'!F190,"")</f>
        <v/>
      </c>
      <c r="H190" t="str">
        <f>IF($A190&lt;&gt;"",'Approved-Enforcement'!G190,"")</f>
        <v/>
      </c>
      <c r="I190" t="str">
        <f>IF($A190&lt;&gt;"",'Approved-Enforcement'!H190,"")</f>
        <v/>
      </c>
      <c r="J190" t="str">
        <f>IF($A190&lt;&gt;"",'Approved-Enforcement'!I190,"")</f>
        <v/>
      </c>
      <c r="K190" t="str">
        <f>IF($A190&lt;&gt;"",'Approved-Enforcement'!J190,"")</f>
        <v/>
      </c>
      <c r="L190" t="str">
        <f>IF($A190&lt;&gt;"",'Approved-Enforcement'!K190,"")</f>
        <v/>
      </c>
      <c r="M190" t="str">
        <f>IF($A190&lt;&gt;"",'Approved-Enforcement'!L190,"")</f>
        <v/>
      </c>
      <c r="N190" t="str">
        <f>IF($A190&lt;&gt;"",'Approved-Enforcement'!M190,"")</f>
        <v/>
      </c>
      <c r="O190" t="str">
        <f>IF($A190&lt;&gt;"",'Approved-Enforcement'!N190,"")</f>
        <v/>
      </c>
      <c r="P190" t="str">
        <f>IF($A190&lt;&gt;"",'Approved-Enforcement'!O190,"")</f>
        <v/>
      </c>
    </row>
    <row r="191" spans="1:16" x14ac:dyDescent="0.35">
      <c r="A191" s="4" t="str">
        <f>IF('Approved-Enforcement'!$A191&lt;&gt;"",'Approved-Enforcement'!A191,"")</f>
        <v/>
      </c>
      <c r="B191" t="str">
        <f t="shared" si="2"/>
        <v/>
      </c>
      <c r="D191" t="str">
        <f>IF($A191&lt;&gt;"",IF($R191&lt;&gt;"",$R191,'Approved-Enforcement'!$B191+7),"")</f>
        <v/>
      </c>
      <c r="E191" t="str">
        <f>IF($A191&lt;&gt;"",'Approved-Enforcement'!D191,"")</f>
        <v/>
      </c>
      <c r="F191" t="str">
        <f>IF($A191&lt;&gt;"",'Approved-Enforcement'!E191,"")</f>
        <v/>
      </c>
      <c r="G191" t="str">
        <f>IF($A191&lt;&gt;"",'Approved-Enforcement'!F191,"")</f>
        <v/>
      </c>
      <c r="H191" t="str">
        <f>IF($A191&lt;&gt;"",'Approved-Enforcement'!G191,"")</f>
        <v/>
      </c>
      <c r="I191" t="str">
        <f>IF($A191&lt;&gt;"",'Approved-Enforcement'!H191,"")</f>
        <v/>
      </c>
      <c r="J191" t="str">
        <f>IF($A191&lt;&gt;"",'Approved-Enforcement'!I191,"")</f>
        <v/>
      </c>
      <c r="K191" t="str">
        <f>IF($A191&lt;&gt;"",'Approved-Enforcement'!J191,"")</f>
        <v/>
      </c>
      <c r="L191" t="str">
        <f>IF($A191&lt;&gt;"",'Approved-Enforcement'!K191,"")</f>
        <v/>
      </c>
      <c r="M191" t="str">
        <f>IF($A191&lt;&gt;"",'Approved-Enforcement'!L191,"")</f>
        <v/>
      </c>
      <c r="N191" t="str">
        <f>IF($A191&lt;&gt;"",'Approved-Enforcement'!M191,"")</f>
        <v/>
      </c>
      <c r="O191" t="str">
        <f>IF($A191&lt;&gt;"",'Approved-Enforcement'!N191,"")</f>
        <v/>
      </c>
      <c r="P191" t="str">
        <f>IF($A191&lt;&gt;"",'Approved-Enforcement'!O191,"")</f>
        <v/>
      </c>
    </row>
    <row r="192" spans="1:16" x14ac:dyDescent="0.35">
      <c r="A192" s="4" t="str">
        <f>IF('Approved-Enforcement'!$A192&lt;&gt;"",'Approved-Enforcement'!A192,"")</f>
        <v/>
      </c>
      <c r="B192" t="str">
        <f t="shared" si="2"/>
        <v/>
      </c>
      <c r="D192" t="str">
        <f>IF($A192&lt;&gt;"",IF($R192&lt;&gt;"",$R192,'Approved-Enforcement'!$B192+7),"")</f>
        <v/>
      </c>
      <c r="E192" t="str">
        <f>IF($A192&lt;&gt;"",'Approved-Enforcement'!D192,"")</f>
        <v/>
      </c>
      <c r="F192" t="str">
        <f>IF($A192&lt;&gt;"",'Approved-Enforcement'!E192,"")</f>
        <v/>
      </c>
      <c r="G192" t="str">
        <f>IF($A192&lt;&gt;"",'Approved-Enforcement'!F192,"")</f>
        <v/>
      </c>
      <c r="H192" t="str">
        <f>IF($A192&lt;&gt;"",'Approved-Enforcement'!G192,"")</f>
        <v/>
      </c>
      <c r="I192" t="str">
        <f>IF($A192&lt;&gt;"",'Approved-Enforcement'!H192,"")</f>
        <v/>
      </c>
      <c r="J192" t="str">
        <f>IF($A192&lt;&gt;"",'Approved-Enforcement'!I192,"")</f>
        <v/>
      </c>
      <c r="K192" t="str">
        <f>IF($A192&lt;&gt;"",'Approved-Enforcement'!J192,"")</f>
        <v/>
      </c>
      <c r="L192" t="str">
        <f>IF($A192&lt;&gt;"",'Approved-Enforcement'!K192,"")</f>
        <v/>
      </c>
      <c r="M192" t="str">
        <f>IF($A192&lt;&gt;"",'Approved-Enforcement'!L192,"")</f>
        <v/>
      </c>
      <c r="N192" t="str">
        <f>IF($A192&lt;&gt;"",'Approved-Enforcement'!M192,"")</f>
        <v/>
      </c>
      <c r="O192" t="str">
        <f>IF($A192&lt;&gt;"",'Approved-Enforcement'!N192,"")</f>
        <v/>
      </c>
      <c r="P192" t="str">
        <f>IF($A192&lt;&gt;"",'Approved-Enforcement'!O192,"")</f>
        <v/>
      </c>
    </row>
    <row r="193" spans="1:16" x14ac:dyDescent="0.35">
      <c r="A193" s="4" t="str">
        <f>IF('Approved-Enforcement'!$A193&lt;&gt;"",'Approved-Enforcement'!A193,"")</f>
        <v/>
      </c>
      <c r="B193" t="str">
        <f t="shared" si="2"/>
        <v/>
      </c>
      <c r="D193" t="str">
        <f>IF($A193&lt;&gt;"",IF($R193&lt;&gt;"",$R193,'Approved-Enforcement'!$B193+7),"")</f>
        <v/>
      </c>
      <c r="E193" t="str">
        <f>IF($A193&lt;&gt;"",'Approved-Enforcement'!D193,"")</f>
        <v/>
      </c>
      <c r="F193" t="str">
        <f>IF($A193&lt;&gt;"",'Approved-Enforcement'!E193,"")</f>
        <v/>
      </c>
      <c r="G193" t="str">
        <f>IF($A193&lt;&gt;"",'Approved-Enforcement'!F193,"")</f>
        <v/>
      </c>
      <c r="H193" t="str">
        <f>IF($A193&lt;&gt;"",'Approved-Enforcement'!G193,"")</f>
        <v/>
      </c>
      <c r="I193" t="str">
        <f>IF($A193&lt;&gt;"",'Approved-Enforcement'!H193,"")</f>
        <v/>
      </c>
      <c r="J193" t="str">
        <f>IF($A193&lt;&gt;"",'Approved-Enforcement'!I193,"")</f>
        <v/>
      </c>
      <c r="K193" t="str">
        <f>IF($A193&lt;&gt;"",'Approved-Enforcement'!J193,"")</f>
        <v/>
      </c>
      <c r="L193" t="str">
        <f>IF($A193&lt;&gt;"",'Approved-Enforcement'!K193,"")</f>
        <v/>
      </c>
      <c r="M193" t="str">
        <f>IF($A193&lt;&gt;"",'Approved-Enforcement'!L193,"")</f>
        <v/>
      </c>
      <c r="N193" t="str">
        <f>IF($A193&lt;&gt;"",'Approved-Enforcement'!M193,"")</f>
        <v/>
      </c>
      <c r="O193" t="str">
        <f>IF($A193&lt;&gt;"",'Approved-Enforcement'!N193,"")</f>
        <v/>
      </c>
      <c r="P193" t="str">
        <f>IF($A193&lt;&gt;"",'Approved-Enforcement'!O193,"")</f>
        <v/>
      </c>
    </row>
    <row r="194" spans="1:16" x14ac:dyDescent="0.35">
      <c r="A194" s="4" t="str">
        <f>IF('Approved-Enforcement'!$A194&lt;&gt;"",'Approved-Enforcement'!A194,"")</f>
        <v/>
      </c>
      <c r="B194" t="str">
        <f t="shared" ref="B194:B257" si="3">IF($A194&lt;&gt;"",IF($C194&lt;&gt;"",$C194,1500),"")</f>
        <v/>
      </c>
      <c r="D194" t="str">
        <f>IF($A194&lt;&gt;"",IF($R194&lt;&gt;"",$R194,'Approved-Enforcement'!$B194+7),"")</f>
        <v/>
      </c>
      <c r="E194" t="str">
        <f>IF($A194&lt;&gt;"",'Approved-Enforcement'!D194,"")</f>
        <v/>
      </c>
      <c r="F194" t="str">
        <f>IF($A194&lt;&gt;"",'Approved-Enforcement'!E194,"")</f>
        <v/>
      </c>
      <c r="G194" t="str">
        <f>IF($A194&lt;&gt;"",'Approved-Enforcement'!F194,"")</f>
        <v/>
      </c>
      <c r="H194" t="str">
        <f>IF($A194&lt;&gt;"",'Approved-Enforcement'!G194,"")</f>
        <v/>
      </c>
      <c r="I194" t="str">
        <f>IF($A194&lt;&gt;"",'Approved-Enforcement'!H194,"")</f>
        <v/>
      </c>
      <c r="J194" t="str">
        <f>IF($A194&lt;&gt;"",'Approved-Enforcement'!I194,"")</f>
        <v/>
      </c>
      <c r="K194" t="str">
        <f>IF($A194&lt;&gt;"",'Approved-Enforcement'!J194,"")</f>
        <v/>
      </c>
      <c r="L194" t="str">
        <f>IF($A194&lt;&gt;"",'Approved-Enforcement'!K194,"")</f>
        <v/>
      </c>
      <c r="M194" t="str">
        <f>IF($A194&lt;&gt;"",'Approved-Enforcement'!L194,"")</f>
        <v/>
      </c>
      <c r="N194" t="str">
        <f>IF($A194&lt;&gt;"",'Approved-Enforcement'!M194,"")</f>
        <v/>
      </c>
      <c r="O194" t="str">
        <f>IF($A194&lt;&gt;"",'Approved-Enforcement'!N194,"")</f>
        <v/>
      </c>
      <c r="P194" t="str">
        <f>IF($A194&lt;&gt;"",'Approved-Enforcement'!O194,"")</f>
        <v/>
      </c>
    </row>
    <row r="195" spans="1:16" x14ac:dyDescent="0.35">
      <c r="A195" s="4" t="str">
        <f>IF('Approved-Enforcement'!$A195&lt;&gt;"",'Approved-Enforcement'!A195,"")</f>
        <v/>
      </c>
      <c r="B195" t="str">
        <f t="shared" si="3"/>
        <v/>
      </c>
      <c r="D195" t="str">
        <f>IF($A195&lt;&gt;"",IF($R195&lt;&gt;"",$R195,'Approved-Enforcement'!$B195+7),"")</f>
        <v/>
      </c>
      <c r="E195" t="str">
        <f>IF($A195&lt;&gt;"",'Approved-Enforcement'!D195,"")</f>
        <v/>
      </c>
      <c r="F195" t="str">
        <f>IF($A195&lt;&gt;"",'Approved-Enforcement'!E195,"")</f>
        <v/>
      </c>
      <c r="G195" t="str">
        <f>IF($A195&lt;&gt;"",'Approved-Enforcement'!F195,"")</f>
        <v/>
      </c>
      <c r="H195" t="str">
        <f>IF($A195&lt;&gt;"",'Approved-Enforcement'!G195,"")</f>
        <v/>
      </c>
      <c r="I195" t="str">
        <f>IF($A195&lt;&gt;"",'Approved-Enforcement'!H195,"")</f>
        <v/>
      </c>
      <c r="J195" t="str">
        <f>IF($A195&lt;&gt;"",'Approved-Enforcement'!I195,"")</f>
        <v/>
      </c>
      <c r="K195" t="str">
        <f>IF($A195&lt;&gt;"",'Approved-Enforcement'!J195,"")</f>
        <v/>
      </c>
      <c r="L195" t="str">
        <f>IF($A195&lt;&gt;"",'Approved-Enforcement'!K195,"")</f>
        <v/>
      </c>
      <c r="M195" t="str">
        <f>IF($A195&lt;&gt;"",'Approved-Enforcement'!L195,"")</f>
        <v/>
      </c>
      <c r="N195" t="str">
        <f>IF($A195&lt;&gt;"",'Approved-Enforcement'!M195,"")</f>
        <v/>
      </c>
      <c r="O195" t="str">
        <f>IF($A195&lt;&gt;"",'Approved-Enforcement'!N195,"")</f>
        <v/>
      </c>
      <c r="P195" t="str">
        <f>IF($A195&lt;&gt;"",'Approved-Enforcement'!O195,"")</f>
        <v/>
      </c>
    </row>
    <row r="196" spans="1:16" x14ac:dyDescent="0.35">
      <c r="A196" s="4" t="str">
        <f>IF('Approved-Enforcement'!$A196&lt;&gt;"",'Approved-Enforcement'!A196,"")</f>
        <v/>
      </c>
      <c r="B196" t="str">
        <f t="shared" si="3"/>
        <v/>
      </c>
      <c r="D196" t="str">
        <f>IF($A196&lt;&gt;"",IF($R196&lt;&gt;"",$R196,'Approved-Enforcement'!$B196+7),"")</f>
        <v/>
      </c>
      <c r="E196" t="str">
        <f>IF($A196&lt;&gt;"",'Approved-Enforcement'!D196,"")</f>
        <v/>
      </c>
      <c r="F196" t="str">
        <f>IF($A196&lt;&gt;"",'Approved-Enforcement'!E196,"")</f>
        <v/>
      </c>
      <c r="G196" t="str">
        <f>IF($A196&lt;&gt;"",'Approved-Enforcement'!F196,"")</f>
        <v/>
      </c>
      <c r="H196" t="str">
        <f>IF($A196&lt;&gt;"",'Approved-Enforcement'!G196,"")</f>
        <v/>
      </c>
      <c r="I196" t="str">
        <f>IF($A196&lt;&gt;"",'Approved-Enforcement'!H196,"")</f>
        <v/>
      </c>
      <c r="J196" t="str">
        <f>IF($A196&lt;&gt;"",'Approved-Enforcement'!I196,"")</f>
        <v/>
      </c>
      <c r="K196" t="str">
        <f>IF($A196&lt;&gt;"",'Approved-Enforcement'!J196,"")</f>
        <v/>
      </c>
      <c r="L196" t="str">
        <f>IF($A196&lt;&gt;"",'Approved-Enforcement'!K196,"")</f>
        <v/>
      </c>
      <c r="M196" t="str">
        <f>IF($A196&lt;&gt;"",'Approved-Enforcement'!L196,"")</f>
        <v/>
      </c>
      <c r="N196" t="str">
        <f>IF($A196&lt;&gt;"",'Approved-Enforcement'!M196,"")</f>
        <v/>
      </c>
      <c r="O196" t="str">
        <f>IF($A196&lt;&gt;"",'Approved-Enforcement'!N196,"")</f>
        <v/>
      </c>
      <c r="P196" t="str">
        <f>IF($A196&lt;&gt;"",'Approved-Enforcement'!O196,"")</f>
        <v/>
      </c>
    </row>
    <row r="197" spans="1:16" x14ac:dyDescent="0.35">
      <c r="A197" s="4" t="str">
        <f>IF('Approved-Enforcement'!$A197&lt;&gt;"",'Approved-Enforcement'!A197,"")</f>
        <v/>
      </c>
      <c r="B197" t="str">
        <f t="shared" si="3"/>
        <v/>
      </c>
      <c r="D197" t="str">
        <f>IF($A197&lt;&gt;"",IF($R197&lt;&gt;"",$R197,'Approved-Enforcement'!$B197+7),"")</f>
        <v/>
      </c>
      <c r="E197" t="str">
        <f>IF($A197&lt;&gt;"",'Approved-Enforcement'!D197,"")</f>
        <v/>
      </c>
      <c r="F197" t="str">
        <f>IF($A197&lt;&gt;"",'Approved-Enforcement'!E197,"")</f>
        <v/>
      </c>
      <c r="G197" t="str">
        <f>IF($A197&lt;&gt;"",'Approved-Enforcement'!F197,"")</f>
        <v/>
      </c>
      <c r="H197" t="str">
        <f>IF($A197&lt;&gt;"",'Approved-Enforcement'!G197,"")</f>
        <v/>
      </c>
      <c r="I197" t="str">
        <f>IF($A197&lt;&gt;"",'Approved-Enforcement'!H197,"")</f>
        <v/>
      </c>
      <c r="J197" t="str">
        <f>IF($A197&lt;&gt;"",'Approved-Enforcement'!I197,"")</f>
        <v/>
      </c>
      <c r="K197" t="str">
        <f>IF($A197&lt;&gt;"",'Approved-Enforcement'!J197,"")</f>
        <v/>
      </c>
      <c r="L197" t="str">
        <f>IF($A197&lt;&gt;"",'Approved-Enforcement'!K197,"")</f>
        <v/>
      </c>
      <c r="M197" t="str">
        <f>IF($A197&lt;&gt;"",'Approved-Enforcement'!L197,"")</f>
        <v/>
      </c>
      <c r="N197" t="str">
        <f>IF($A197&lt;&gt;"",'Approved-Enforcement'!M197,"")</f>
        <v/>
      </c>
      <c r="O197" t="str">
        <f>IF($A197&lt;&gt;"",'Approved-Enforcement'!N197,"")</f>
        <v/>
      </c>
      <c r="P197" t="str">
        <f>IF($A197&lt;&gt;"",'Approved-Enforcement'!O197,"")</f>
        <v/>
      </c>
    </row>
    <row r="198" spans="1:16" x14ac:dyDescent="0.35">
      <c r="A198" s="4" t="str">
        <f>IF('Approved-Enforcement'!$A198&lt;&gt;"",'Approved-Enforcement'!A198,"")</f>
        <v/>
      </c>
      <c r="B198" t="str">
        <f t="shared" si="3"/>
        <v/>
      </c>
      <c r="D198" t="str">
        <f>IF($A198&lt;&gt;"",IF($R198&lt;&gt;"",$R198,'Approved-Enforcement'!$B198+7),"")</f>
        <v/>
      </c>
      <c r="E198" t="str">
        <f>IF($A198&lt;&gt;"",'Approved-Enforcement'!D198,"")</f>
        <v/>
      </c>
      <c r="F198" t="str">
        <f>IF($A198&lt;&gt;"",'Approved-Enforcement'!E198,"")</f>
        <v/>
      </c>
      <c r="G198" t="str">
        <f>IF($A198&lt;&gt;"",'Approved-Enforcement'!F198,"")</f>
        <v/>
      </c>
      <c r="H198" t="str">
        <f>IF($A198&lt;&gt;"",'Approved-Enforcement'!G198,"")</f>
        <v/>
      </c>
      <c r="I198" t="str">
        <f>IF($A198&lt;&gt;"",'Approved-Enforcement'!H198,"")</f>
        <v/>
      </c>
      <c r="J198" t="str">
        <f>IF($A198&lt;&gt;"",'Approved-Enforcement'!I198,"")</f>
        <v/>
      </c>
      <c r="K198" t="str">
        <f>IF($A198&lt;&gt;"",'Approved-Enforcement'!J198,"")</f>
        <v/>
      </c>
      <c r="L198" t="str">
        <f>IF($A198&lt;&gt;"",'Approved-Enforcement'!K198,"")</f>
        <v/>
      </c>
      <c r="M198" t="str">
        <f>IF($A198&lt;&gt;"",'Approved-Enforcement'!L198,"")</f>
        <v/>
      </c>
      <c r="N198" t="str">
        <f>IF($A198&lt;&gt;"",'Approved-Enforcement'!M198,"")</f>
        <v/>
      </c>
      <c r="O198" t="str">
        <f>IF($A198&lt;&gt;"",'Approved-Enforcement'!N198,"")</f>
        <v/>
      </c>
      <c r="P198" t="str">
        <f>IF($A198&lt;&gt;"",'Approved-Enforcement'!O198,"")</f>
        <v/>
      </c>
    </row>
    <row r="199" spans="1:16" x14ac:dyDescent="0.35">
      <c r="A199" s="4" t="str">
        <f>IF('Approved-Enforcement'!$A199&lt;&gt;"",'Approved-Enforcement'!A199,"")</f>
        <v/>
      </c>
      <c r="B199" t="str">
        <f t="shared" si="3"/>
        <v/>
      </c>
      <c r="D199" t="str">
        <f>IF($A199&lt;&gt;"",IF($R199&lt;&gt;"",$R199,'Approved-Enforcement'!$B199+7),"")</f>
        <v/>
      </c>
      <c r="E199" t="str">
        <f>IF($A199&lt;&gt;"",'Approved-Enforcement'!D199,"")</f>
        <v/>
      </c>
      <c r="F199" t="str">
        <f>IF($A199&lt;&gt;"",'Approved-Enforcement'!E199,"")</f>
        <v/>
      </c>
      <c r="G199" t="str">
        <f>IF($A199&lt;&gt;"",'Approved-Enforcement'!F199,"")</f>
        <v/>
      </c>
      <c r="H199" t="str">
        <f>IF($A199&lt;&gt;"",'Approved-Enforcement'!G199,"")</f>
        <v/>
      </c>
      <c r="I199" t="str">
        <f>IF($A199&lt;&gt;"",'Approved-Enforcement'!H199,"")</f>
        <v/>
      </c>
      <c r="J199" t="str">
        <f>IF($A199&lt;&gt;"",'Approved-Enforcement'!I199,"")</f>
        <v/>
      </c>
      <c r="K199" t="str">
        <f>IF($A199&lt;&gt;"",'Approved-Enforcement'!J199,"")</f>
        <v/>
      </c>
      <c r="L199" t="str">
        <f>IF($A199&lt;&gt;"",'Approved-Enforcement'!K199,"")</f>
        <v/>
      </c>
      <c r="M199" t="str">
        <f>IF($A199&lt;&gt;"",'Approved-Enforcement'!L199,"")</f>
        <v/>
      </c>
      <c r="N199" t="str">
        <f>IF($A199&lt;&gt;"",'Approved-Enforcement'!M199,"")</f>
        <v/>
      </c>
      <c r="O199" t="str">
        <f>IF($A199&lt;&gt;"",'Approved-Enforcement'!N199,"")</f>
        <v/>
      </c>
      <c r="P199" t="str">
        <f>IF($A199&lt;&gt;"",'Approved-Enforcement'!O199,"")</f>
        <v/>
      </c>
    </row>
    <row r="200" spans="1:16" x14ac:dyDescent="0.35">
      <c r="A200" s="4" t="str">
        <f>IF('Approved-Enforcement'!$A200&lt;&gt;"",'Approved-Enforcement'!A200,"")</f>
        <v/>
      </c>
      <c r="B200" t="str">
        <f t="shared" si="3"/>
        <v/>
      </c>
      <c r="D200" t="str">
        <f>IF($A200&lt;&gt;"",IF($R200&lt;&gt;"",$R200,'Approved-Enforcement'!$B200+7),"")</f>
        <v/>
      </c>
      <c r="E200" t="str">
        <f>IF($A200&lt;&gt;"",'Approved-Enforcement'!D200,"")</f>
        <v/>
      </c>
      <c r="F200" t="str">
        <f>IF($A200&lt;&gt;"",'Approved-Enforcement'!E200,"")</f>
        <v/>
      </c>
      <c r="G200" t="str">
        <f>IF($A200&lt;&gt;"",'Approved-Enforcement'!F200,"")</f>
        <v/>
      </c>
      <c r="H200" t="str">
        <f>IF($A200&lt;&gt;"",'Approved-Enforcement'!G200,"")</f>
        <v/>
      </c>
      <c r="I200" t="str">
        <f>IF($A200&lt;&gt;"",'Approved-Enforcement'!H200,"")</f>
        <v/>
      </c>
      <c r="J200" t="str">
        <f>IF($A200&lt;&gt;"",'Approved-Enforcement'!I200,"")</f>
        <v/>
      </c>
      <c r="K200" t="str">
        <f>IF($A200&lt;&gt;"",'Approved-Enforcement'!J200,"")</f>
        <v/>
      </c>
      <c r="L200" t="str">
        <f>IF($A200&lt;&gt;"",'Approved-Enforcement'!K200,"")</f>
        <v/>
      </c>
      <c r="M200" t="str">
        <f>IF($A200&lt;&gt;"",'Approved-Enforcement'!L200,"")</f>
        <v/>
      </c>
      <c r="N200" t="str">
        <f>IF($A200&lt;&gt;"",'Approved-Enforcement'!M200,"")</f>
        <v/>
      </c>
      <c r="O200" t="str">
        <f>IF($A200&lt;&gt;"",'Approved-Enforcement'!N200,"")</f>
        <v/>
      </c>
      <c r="P200" t="str">
        <f>IF($A200&lt;&gt;"",'Approved-Enforcement'!O200,"")</f>
        <v/>
      </c>
    </row>
    <row r="201" spans="1:16" x14ac:dyDescent="0.35">
      <c r="A201" s="4" t="str">
        <f>IF('Approved-Enforcement'!$A201&lt;&gt;"",'Approved-Enforcement'!A201,"")</f>
        <v/>
      </c>
      <c r="B201" t="str">
        <f t="shared" si="3"/>
        <v/>
      </c>
      <c r="D201" t="str">
        <f>IF($A201&lt;&gt;"",IF($R201&lt;&gt;"",$R201,'Approved-Enforcement'!$B201+7),"")</f>
        <v/>
      </c>
      <c r="E201" t="str">
        <f>IF($A201&lt;&gt;"",'Approved-Enforcement'!D201,"")</f>
        <v/>
      </c>
      <c r="F201" t="str">
        <f>IF($A201&lt;&gt;"",'Approved-Enforcement'!E201,"")</f>
        <v/>
      </c>
      <c r="G201" t="str">
        <f>IF($A201&lt;&gt;"",'Approved-Enforcement'!F201,"")</f>
        <v/>
      </c>
      <c r="H201" t="str">
        <f>IF($A201&lt;&gt;"",'Approved-Enforcement'!G201,"")</f>
        <v/>
      </c>
      <c r="I201" t="str">
        <f>IF($A201&lt;&gt;"",'Approved-Enforcement'!H201,"")</f>
        <v/>
      </c>
      <c r="J201" t="str">
        <f>IF($A201&lt;&gt;"",'Approved-Enforcement'!I201,"")</f>
        <v/>
      </c>
      <c r="K201" t="str">
        <f>IF($A201&lt;&gt;"",'Approved-Enforcement'!J201,"")</f>
        <v/>
      </c>
      <c r="L201" t="str">
        <f>IF($A201&lt;&gt;"",'Approved-Enforcement'!K201,"")</f>
        <v/>
      </c>
      <c r="M201" t="str">
        <f>IF($A201&lt;&gt;"",'Approved-Enforcement'!L201,"")</f>
        <v/>
      </c>
      <c r="N201" t="str">
        <f>IF($A201&lt;&gt;"",'Approved-Enforcement'!M201,"")</f>
        <v/>
      </c>
      <c r="O201" t="str">
        <f>IF($A201&lt;&gt;"",'Approved-Enforcement'!N201,"")</f>
        <v/>
      </c>
      <c r="P201" t="str">
        <f>IF($A201&lt;&gt;"",'Approved-Enforcement'!O201,"")</f>
        <v/>
      </c>
    </row>
    <row r="202" spans="1:16" x14ac:dyDescent="0.35">
      <c r="A202" s="4" t="str">
        <f>IF('Approved-Enforcement'!$A202&lt;&gt;"",'Approved-Enforcement'!A202,"")</f>
        <v/>
      </c>
      <c r="B202" t="str">
        <f t="shared" si="3"/>
        <v/>
      </c>
      <c r="D202" t="str">
        <f>IF($A202&lt;&gt;"",IF($R202&lt;&gt;"",$R202,'Approved-Enforcement'!$B202+7),"")</f>
        <v/>
      </c>
      <c r="E202" t="str">
        <f>IF($A202&lt;&gt;"",'Approved-Enforcement'!D202,"")</f>
        <v/>
      </c>
      <c r="F202" t="str">
        <f>IF($A202&lt;&gt;"",'Approved-Enforcement'!E202,"")</f>
        <v/>
      </c>
      <c r="G202" t="str">
        <f>IF($A202&lt;&gt;"",'Approved-Enforcement'!F202,"")</f>
        <v/>
      </c>
      <c r="H202" t="str">
        <f>IF($A202&lt;&gt;"",'Approved-Enforcement'!G202,"")</f>
        <v/>
      </c>
      <c r="I202" t="str">
        <f>IF($A202&lt;&gt;"",'Approved-Enforcement'!H202,"")</f>
        <v/>
      </c>
      <c r="J202" t="str">
        <f>IF($A202&lt;&gt;"",'Approved-Enforcement'!I202,"")</f>
        <v/>
      </c>
      <c r="K202" t="str">
        <f>IF($A202&lt;&gt;"",'Approved-Enforcement'!J202,"")</f>
        <v/>
      </c>
      <c r="L202" t="str">
        <f>IF($A202&lt;&gt;"",'Approved-Enforcement'!K202,"")</f>
        <v/>
      </c>
      <c r="M202" t="str">
        <f>IF($A202&lt;&gt;"",'Approved-Enforcement'!L202,"")</f>
        <v/>
      </c>
      <c r="N202" t="str">
        <f>IF($A202&lt;&gt;"",'Approved-Enforcement'!M202,"")</f>
        <v/>
      </c>
      <c r="O202" t="str">
        <f>IF($A202&lt;&gt;"",'Approved-Enforcement'!N202,"")</f>
        <v/>
      </c>
      <c r="P202" t="str">
        <f>IF($A202&lt;&gt;"",'Approved-Enforcement'!O202,"")</f>
        <v/>
      </c>
    </row>
    <row r="203" spans="1:16" x14ac:dyDescent="0.35">
      <c r="A203" s="4" t="str">
        <f>IF('Approved-Enforcement'!$A203&lt;&gt;"",'Approved-Enforcement'!A203,"")</f>
        <v/>
      </c>
      <c r="B203" t="str">
        <f t="shared" si="3"/>
        <v/>
      </c>
      <c r="D203" t="str">
        <f>IF($A203&lt;&gt;"",IF($R203&lt;&gt;"",$R203,'Approved-Enforcement'!$B203+7),"")</f>
        <v/>
      </c>
      <c r="E203" t="str">
        <f>IF($A203&lt;&gt;"",'Approved-Enforcement'!D203,"")</f>
        <v/>
      </c>
      <c r="F203" t="str">
        <f>IF($A203&lt;&gt;"",'Approved-Enforcement'!E203,"")</f>
        <v/>
      </c>
      <c r="G203" t="str">
        <f>IF($A203&lt;&gt;"",'Approved-Enforcement'!F203,"")</f>
        <v/>
      </c>
      <c r="H203" t="str">
        <f>IF($A203&lt;&gt;"",'Approved-Enforcement'!G203,"")</f>
        <v/>
      </c>
      <c r="I203" t="str">
        <f>IF($A203&lt;&gt;"",'Approved-Enforcement'!H203,"")</f>
        <v/>
      </c>
      <c r="J203" t="str">
        <f>IF($A203&lt;&gt;"",'Approved-Enforcement'!I203,"")</f>
        <v/>
      </c>
      <c r="K203" t="str">
        <f>IF($A203&lt;&gt;"",'Approved-Enforcement'!J203,"")</f>
        <v/>
      </c>
      <c r="L203" t="str">
        <f>IF($A203&lt;&gt;"",'Approved-Enforcement'!K203,"")</f>
        <v/>
      </c>
      <c r="M203" t="str">
        <f>IF($A203&lt;&gt;"",'Approved-Enforcement'!L203,"")</f>
        <v/>
      </c>
      <c r="N203" t="str">
        <f>IF($A203&lt;&gt;"",'Approved-Enforcement'!M203,"")</f>
        <v/>
      </c>
      <c r="O203" t="str">
        <f>IF($A203&lt;&gt;"",'Approved-Enforcement'!N203,"")</f>
        <v/>
      </c>
      <c r="P203" t="str">
        <f>IF($A203&lt;&gt;"",'Approved-Enforcement'!O203,"")</f>
        <v/>
      </c>
    </row>
    <row r="204" spans="1:16" x14ac:dyDescent="0.35">
      <c r="A204" s="4" t="str">
        <f>IF('Approved-Enforcement'!$A204&lt;&gt;"",'Approved-Enforcement'!A204,"")</f>
        <v/>
      </c>
      <c r="B204" t="str">
        <f t="shared" si="3"/>
        <v/>
      </c>
      <c r="D204" t="str">
        <f>IF($A204&lt;&gt;"",IF($R204&lt;&gt;"",$R204,'Approved-Enforcement'!$B204+7),"")</f>
        <v/>
      </c>
      <c r="E204" t="str">
        <f>IF($A204&lt;&gt;"",'Approved-Enforcement'!D204,"")</f>
        <v/>
      </c>
      <c r="F204" t="str">
        <f>IF($A204&lt;&gt;"",'Approved-Enforcement'!E204,"")</f>
        <v/>
      </c>
      <c r="G204" t="str">
        <f>IF($A204&lt;&gt;"",'Approved-Enforcement'!F204,"")</f>
        <v/>
      </c>
      <c r="H204" t="str">
        <f>IF($A204&lt;&gt;"",'Approved-Enforcement'!G204,"")</f>
        <v/>
      </c>
      <c r="I204" t="str">
        <f>IF($A204&lt;&gt;"",'Approved-Enforcement'!H204,"")</f>
        <v/>
      </c>
      <c r="J204" t="str">
        <f>IF($A204&lt;&gt;"",'Approved-Enforcement'!I204,"")</f>
        <v/>
      </c>
      <c r="K204" t="str">
        <f>IF($A204&lt;&gt;"",'Approved-Enforcement'!J204,"")</f>
        <v/>
      </c>
      <c r="L204" t="str">
        <f>IF($A204&lt;&gt;"",'Approved-Enforcement'!K204,"")</f>
        <v/>
      </c>
      <c r="M204" t="str">
        <f>IF($A204&lt;&gt;"",'Approved-Enforcement'!L204,"")</f>
        <v/>
      </c>
      <c r="N204" t="str">
        <f>IF($A204&lt;&gt;"",'Approved-Enforcement'!M204,"")</f>
        <v/>
      </c>
      <c r="O204" t="str">
        <f>IF($A204&lt;&gt;"",'Approved-Enforcement'!N204,"")</f>
        <v/>
      </c>
      <c r="P204" t="str">
        <f>IF($A204&lt;&gt;"",'Approved-Enforcement'!O204,"")</f>
        <v/>
      </c>
    </row>
    <row r="205" spans="1:16" x14ac:dyDescent="0.35">
      <c r="A205" s="4" t="str">
        <f>IF('Approved-Enforcement'!$A205&lt;&gt;"",'Approved-Enforcement'!A205,"")</f>
        <v/>
      </c>
      <c r="B205" t="str">
        <f t="shared" si="3"/>
        <v/>
      </c>
      <c r="D205" t="str">
        <f>IF($A205&lt;&gt;"",IF($R205&lt;&gt;"",$R205,'Approved-Enforcement'!$B205+7),"")</f>
        <v/>
      </c>
      <c r="E205" t="str">
        <f>IF($A205&lt;&gt;"",'Approved-Enforcement'!D205,"")</f>
        <v/>
      </c>
      <c r="F205" t="str">
        <f>IF($A205&lt;&gt;"",'Approved-Enforcement'!E205,"")</f>
        <v/>
      </c>
      <c r="G205" t="str">
        <f>IF($A205&lt;&gt;"",'Approved-Enforcement'!F205,"")</f>
        <v/>
      </c>
      <c r="H205" t="str">
        <f>IF($A205&lt;&gt;"",'Approved-Enforcement'!G205,"")</f>
        <v/>
      </c>
      <c r="I205" t="str">
        <f>IF($A205&lt;&gt;"",'Approved-Enforcement'!H205,"")</f>
        <v/>
      </c>
      <c r="J205" t="str">
        <f>IF($A205&lt;&gt;"",'Approved-Enforcement'!I205,"")</f>
        <v/>
      </c>
      <c r="K205" t="str">
        <f>IF($A205&lt;&gt;"",'Approved-Enforcement'!J205,"")</f>
        <v/>
      </c>
      <c r="L205" t="str">
        <f>IF($A205&lt;&gt;"",'Approved-Enforcement'!K205,"")</f>
        <v/>
      </c>
      <c r="M205" t="str">
        <f>IF($A205&lt;&gt;"",'Approved-Enforcement'!L205,"")</f>
        <v/>
      </c>
      <c r="N205" t="str">
        <f>IF($A205&lt;&gt;"",'Approved-Enforcement'!M205,"")</f>
        <v/>
      </c>
      <c r="O205" t="str">
        <f>IF($A205&lt;&gt;"",'Approved-Enforcement'!N205,"")</f>
        <v/>
      </c>
      <c r="P205" t="str">
        <f>IF($A205&lt;&gt;"",'Approved-Enforcement'!O205,"")</f>
        <v/>
      </c>
    </row>
    <row r="206" spans="1:16" x14ac:dyDescent="0.35">
      <c r="A206" s="4" t="str">
        <f>IF('Approved-Enforcement'!$A206&lt;&gt;"",'Approved-Enforcement'!A206,"")</f>
        <v/>
      </c>
      <c r="B206" t="str">
        <f t="shared" si="3"/>
        <v/>
      </c>
      <c r="D206" t="str">
        <f>IF($A206&lt;&gt;"",IF($R206&lt;&gt;"",$R206,'Approved-Enforcement'!$B206+7),"")</f>
        <v/>
      </c>
      <c r="E206" t="str">
        <f>IF($A206&lt;&gt;"",'Approved-Enforcement'!D206,"")</f>
        <v/>
      </c>
      <c r="F206" t="str">
        <f>IF($A206&lt;&gt;"",'Approved-Enforcement'!E206,"")</f>
        <v/>
      </c>
      <c r="G206" t="str">
        <f>IF($A206&lt;&gt;"",'Approved-Enforcement'!F206,"")</f>
        <v/>
      </c>
      <c r="H206" t="str">
        <f>IF($A206&lt;&gt;"",'Approved-Enforcement'!G206,"")</f>
        <v/>
      </c>
      <c r="I206" t="str">
        <f>IF($A206&lt;&gt;"",'Approved-Enforcement'!H206,"")</f>
        <v/>
      </c>
      <c r="J206" t="str">
        <f>IF($A206&lt;&gt;"",'Approved-Enforcement'!I206,"")</f>
        <v/>
      </c>
      <c r="K206" t="str">
        <f>IF($A206&lt;&gt;"",'Approved-Enforcement'!J206,"")</f>
        <v/>
      </c>
      <c r="L206" t="str">
        <f>IF($A206&lt;&gt;"",'Approved-Enforcement'!K206,"")</f>
        <v/>
      </c>
      <c r="M206" t="str">
        <f>IF($A206&lt;&gt;"",'Approved-Enforcement'!L206,"")</f>
        <v/>
      </c>
      <c r="N206" t="str">
        <f>IF($A206&lt;&gt;"",'Approved-Enforcement'!M206,"")</f>
        <v/>
      </c>
      <c r="O206" t="str">
        <f>IF($A206&lt;&gt;"",'Approved-Enforcement'!N206,"")</f>
        <v/>
      </c>
      <c r="P206" t="str">
        <f>IF($A206&lt;&gt;"",'Approved-Enforcement'!O206,"")</f>
        <v/>
      </c>
    </row>
    <row r="207" spans="1:16" x14ac:dyDescent="0.35">
      <c r="A207" s="4" t="str">
        <f>IF('Approved-Enforcement'!$A207&lt;&gt;"",'Approved-Enforcement'!A207,"")</f>
        <v/>
      </c>
      <c r="B207" t="str">
        <f t="shared" si="3"/>
        <v/>
      </c>
      <c r="D207" t="str">
        <f>IF($A207&lt;&gt;"",IF($R207&lt;&gt;"",$R207,'Approved-Enforcement'!$B207+7),"")</f>
        <v/>
      </c>
      <c r="E207" t="str">
        <f>IF($A207&lt;&gt;"",'Approved-Enforcement'!D207,"")</f>
        <v/>
      </c>
      <c r="F207" t="str">
        <f>IF($A207&lt;&gt;"",'Approved-Enforcement'!E207,"")</f>
        <v/>
      </c>
      <c r="G207" t="str">
        <f>IF($A207&lt;&gt;"",'Approved-Enforcement'!F207,"")</f>
        <v/>
      </c>
      <c r="H207" t="str">
        <f>IF($A207&lt;&gt;"",'Approved-Enforcement'!G207,"")</f>
        <v/>
      </c>
      <c r="I207" t="str">
        <f>IF($A207&lt;&gt;"",'Approved-Enforcement'!H207,"")</f>
        <v/>
      </c>
      <c r="J207" t="str">
        <f>IF($A207&lt;&gt;"",'Approved-Enforcement'!I207,"")</f>
        <v/>
      </c>
      <c r="K207" t="str">
        <f>IF($A207&lt;&gt;"",'Approved-Enforcement'!J207,"")</f>
        <v/>
      </c>
      <c r="L207" t="str">
        <f>IF($A207&lt;&gt;"",'Approved-Enforcement'!K207,"")</f>
        <v/>
      </c>
      <c r="M207" t="str">
        <f>IF($A207&lt;&gt;"",'Approved-Enforcement'!L207,"")</f>
        <v/>
      </c>
      <c r="N207" t="str">
        <f>IF($A207&lt;&gt;"",'Approved-Enforcement'!M207,"")</f>
        <v/>
      </c>
      <c r="O207" t="str">
        <f>IF($A207&lt;&gt;"",'Approved-Enforcement'!N207,"")</f>
        <v/>
      </c>
      <c r="P207" t="str">
        <f>IF($A207&lt;&gt;"",'Approved-Enforcement'!O207,"")</f>
        <v/>
      </c>
    </row>
    <row r="208" spans="1:16" x14ac:dyDescent="0.35">
      <c r="A208" s="4" t="str">
        <f>IF('Approved-Enforcement'!$A208&lt;&gt;"",'Approved-Enforcement'!A208,"")</f>
        <v/>
      </c>
      <c r="B208" t="str">
        <f t="shared" si="3"/>
        <v/>
      </c>
      <c r="D208" t="str">
        <f>IF($A208&lt;&gt;"",IF($R208&lt;&gt;"",$R208,'Approved-Enforcement'!$B208+7),"")</f>
        <v/>
      </c>
      <c r="E208" t="str">
        <f>IF($A208&lt;&gt;"",'Approved-Enforcement'!D208,"")</f>
        <v/>
      </c>
      <c r="F208" t="str">
        <f>IF($A208&lt;&gt;"",'Approved-Enforcement'!E208,"")</f>
        <v/>
      </c>
      <c r="G208" t="str">
        <f>IF($A208&lt;&gt;"",'Approved-Enforcement'!F208,"")</f>
        <v/>
      </c>
      <c r="H208" t="str">
        <f>IF($A208&lt;&gt;"",'Approved-Enforcement'!G208,"")</f>
        <v/>
      </c>
      <c r="I208" t="str">
        <f>IF($A208&lt;&gt;"",'Approved-Enforcement'!H208,"")</f>
        <v/>
      </c>
      <c r="J208" t="str">
        <f>IF($A208&lt;&gt;"",'Approved-Enforcement'!I208,"")</f>
        <v/>
      </c>
      <c r="K208" t="str">
        <f>IF($A208&lt;&gt;"",'Approved-Enforcement'!J208,"")</f>
        <v/>
      </c>
      <c r="L208" t="str">
        <f>IF($A208&lt;&gt;"",'Approved-Enforcement'!K208,"")</f>
        <v/>
      </c>
      <c r="M208" t="str">
        <f>IF($A208&lt;&gt;"",'Approved-Enforcement'!L208,"")</f>
        <v/>
      </c>
      <c r="N208" t="str">
        <f>IF($A208&lt;&gt;"",'Approved-Enforcement'!M208,"")</f>
        <v/>
      </c>
      <c r="O208" t="str">
        <f>IF($A208&lt;&gt;"",'Approved-Enforcement'!N208,"")</f>
        <v/>
      </c>
      <c r="P208" t="str">
        <f>IF($A208&lt;&gt;"",'Approved-Enforcement'!O208,"")</f>
        <v/>
      </c>
    </row>
    <row r="209" spans="1:16" x14ac:dyDescent="0.35">
      <c r="A209" s="4" t="str">
        <f>IF('Approved-Enforcement'!$A209&lt;&gt;"",'Approved-Enforcement'!A209,"")</f>
        <v/>
      </c>
      <c r="B209" t="str">
        <f t="shared" si="3"/>
        <v/>
      </c>
      <c r="D209" t="str">
        <f>IF($A209&lt;&gt;"",IF($R209&lt;&gt;"",$R209,'Approved-Enforcement'!$B209+7),"")</f>
        <v/>
      </c>
      <c r="E209" t="str">
        <f>IF($A209&lt;&gt;"",'Approved-Enforcement'!D209,"")</f>
        <v/>
      </c>
      <c r="F209" t="str">
        <f>IF($A209&lt;&gt;"",'Approved-Enforcement'!E209,"")</f>
        <v/>
      </c>
      <c r="G209" t="str">
        <f>IF($A209&lt;&gt;"",'Approved-Enforcement'!F209,"")</f>
        <v/>
      </c>
      <c r="H209" t="str">
        <f>IF($A209&lt;&gt;"",'Approved-Enforcement'!G209,"")</f>
        <v/>
      </c>
      <c r="I209" t="str">
        <f>IF($A209&lt;&gt;"",'Approved-Enforcement'!H209,"")</f>
        <v/>
      </c>
      <c r="J209" t="str">
        <f>IF($A209&lt;&gt;"",'Approved-Enforcement'!I209,"")</f>
        <v/>
      </c>
      <c r="K209" t="str">
        <f>IF($A209&lt;&gt;"",'Approved-Enforcement'!J209,"")</f>
        <v/>
      </c>
      <c r="L209" t="str">
        <f>IF($A209&lt;&gt;"",'Approved-Enforcement'!K209,"")</f>
        <v/>
      </c>
      <c r="M209" t="str">
        <f>IF($A209&lt;&gt;"",'Approved-Enforcement'!L209,"")</f>
        <v/>
      </c>
      <c r="N209" t="str">
        <f>IF($A209&lt;&gt;"",'Approved-Enforcement'!M209,"")</f>
        <v/>
      </c>
      <c r="O209" t="str">
        <f>IF($A209&lt;&gt;"",'Approved-Enforcement'!N209,"")</f>
        <v/>
      </c>
      <c r="P209" t="str">
        <f>IF($A209&lt;&gt;"",'Approved-Enforcement'!O209,"")</f>
        <v/>
      </c>
    </row>
    <row r="210" spans="1:16" x14ac:dyDescent="0.35">
      <c r="A210" s="4" t="str">
        <f>IF('Approved-Enforcement'!$A210&lt;&gt;"",'Approved-Enforcement'!A210,"")</f>
        <v/>
      </c>
      <c r="B210" t="str">
        <f t="shared" si="3"/>
        <v/>
      </c>
      <c r="D210" t="str">
        <f>IF($A210&lt;&gt;"",IF($R210&lt;&gt;"",$R210,'Approved-Enforcement'!$B210+7),"")</f>
        <v/>
      </c>
      <c r="E210" t="str">
        <f>IF($A210&lt;&gt;"",'Approved-Enforcement'!D210,"")</f>
        <v/>
      </c>
      <c r="F210" t="str">
        <f>IF($A210&lt;&gt;"",'Approved-Enforcement'!E210,"")</f>
        <v/>
      </c>
      <c r="G210" t="str">
        <f>IF($A210&lt;&gt;"",'Approved-Enforcement'!F210,"")</f>
        <v/>
      </c>
      <c r="H210" t="str">
        <f>IF($A210&lt;&gt;"",'Approved-Enforcement'!G210,"")</f>
        <v/>
      </c>
      <c r="I210" t="str">
        <f>IF($A210&lt;&gt;"",'Approved-Enforcement'!H210,"")</f>
        <v/>
      </c>
      <c r="J210" t="str">
        <f>IF($A210&lt;&gt;"",'Approved-Enforcement'!I210,"")</f>
        <v/>
      </c>
      <c r="K210" t="str">
        <f>IF($A210&lt;&gt;"",'Approved-Enforcement'!J210,"")</f>
        <v/>
      </c>
      <c r="L210" t="str">
        <f>IF($A210&lt;&gt;"",'Approved-Enforcement'!K210,"")</f>
        <v/>
      </c>
      <c r="M210" t="str">
        <f>IF($A210&lt;&gt;"",'Approved-Enforcement'!L210,"")</f>
        <v/>
      </c>
      <c r="N210" t="str">
        <f>IF($A210&lt;&gt;"",'Approved-Enforcement'!M210,"")</f>
        <v/>
      </c>
      <c r="O210" t="str">
        <f>IF($A210&lt;&gt;"",'Approved-Enforcement'!N210,"")</f>
        <v/>
      </c>
      <c r="P210" t="str">
        <f>IF($A210&lt;&gt;"",'Approved-Enforcement'!O210,"")</f>
        <v/>
      </c>
    </row>
    <row r="211" spans="1:16" x14ac:dyDescent="0.35">
      <c r="A211" s="4" t="str">
        <f>IF('Approved-Enforcement'!$A211&lt;&gt;"",'Approved-Enforcement'!A211,"")</f>
        <v/>
      </c>
      <c r="B211" t="str">
        <f t="shared" si="3"/>
        <v/>
      </c>
      <c r="D211" t="str">
        <f>IF($A211&lt;&gt;"",IF($R211&lt;&gt;"",$R211,'Approved-Enforcement'!$B211+7),"")</f>
        <v/>
      </c>
      <c r="E211" t="str">
        <f>IF($A211&lt;&gt;"",'Approved-Enforcement'!D211,"")</f>
        <v/>
      </c>
      <c r="F211" t="str">
        <f>IF($A211&lt;&gt;"",'Approved-Enforcement'!E211,"")</f>
        <v/>
      </c>
      <c r="G211" t="str">
        <f>IF($A211&lt;&gt;"",'Approved-Enforcement'!F211,"")</f>
        <v/>
      </c>
      <c r="H211" t="str">
        <f>IF($A211&lt;&gt;"",'Approved-Enforcement'!G211,"")</f>
        <v/>
      </c>
      <c r="I211" t="str">
        <f>IF($A211&lt;&gt;"",'Approved-Enforcement'!H211,"")</f>
        <v/>
      </c>
      <c r="J211" t="str">
        <f>IF($A211&lt;&gt;"",'Approved-Enforcement'!I211,"")</f>
        <v/>
      </c>
      <c r="K211" t="str">
        <f>IF($A211&lt;&gt;"",'Approved-Enforcement'!J211,"")</f>
        <v/>
      </c>
      <c r="L211" t="str">
        <f>IF($A211&lt;&gt;"",'Approved-Enforcement'!K211,"")</f>
        <v/>
      </c>
      <c r="M211" t="str">
        <f>IF($A211&lt;&gt;"",'Approved-Enforcement'!L211,"")</f>
        <v/>
      </c>
      <c r="N211" t="str">
        <f>IF($A211&lt;&gt;"",'Approved-Enforcement'!M211,"")</f>
        <v/>
      </c>
      <c r="O211" t="str">
        <f>IF($A211&lt;&gt;"",'Approved-Enforcement'!N211,"")</f>
        <v/>
      </c>
      <c r="P211" t="str">
        <f>IF($A211&lt;&gt;"",'Approved-Enforcement'!O211,"")</f>
        <v/>
      </c>
    </row>
    <row r="212" spans="1:16" x14ac:dyDescent="0.35">
      <c r="A212" s="4" t="str">
        <f>IF('Approved-Enforcement'!$A212&lt;&gt;"",'Approved-Enforcement'!A212,"")</f>
        <v/>
      </c>
      <c r="B212" t="str">
        <f t="shared" si="3"/>
        <v/>
      </c>
      <c r="D212" t="str">
        <f>IF($A212&lt;&gt;"",IF($R212&lt;&gt;"",$R212,'Approved-Enforcement'!$B212+7),"")</f>
        <v/>
      </c>
      <c r="E212" t="str">
        <f>IF($A212&lt;&gt;"",'Approved-Enforcement'!D212,"")</f>
        <v/>
      </c>
      <c r="F212" t="str">
        <f>IF($A212&lt;&gt;"",'Approved-Enforcement'!E212,"")</f>
        <v/>
      </c>
      <c r="G212" t="str">
        <f>IF($A212&lt;&gt;"",'Approved-Enforcement'!F212,"")</f>
        <v/>
      </c>
      <c r="H212" t="str">
        <f>IF($A212&lt;&gt;"",'Approved-Enforcement'!G212,"")</f>
        <v/>
      </c>
      <c r="I212" t="str">
        <f>IF($A212&lt;&gt;"",'Approved-Enforcement'!H212,"")</f>
        <v/>
      </c>
      <c r="J212" t="str">
        <f>IF($A212&lt;&gt;"",'Approved-Enforcement'!I212,"")</f>
        <v/>
      </c>
      <c r="K212" t="str">
        <f>IF($A212&lt;&gt;"",'Approved-Enforcement'!J212,"")</f>
        <v/>
      </c>
      <c r="L212" t="str">
        <f>IF($A212&lt;&gt;"",'Approved-Enforcement'!K212,"")</f>
        <v/>
      </c>
      <c r="M212" t="str">
        <f>IF($A212&lt;&gt;"",'Approved-Enforcement'!L212,"")</f>
        <v/>
      </c>
      <c r="N212" t="str">
        <f>IF($A212&lt;&gt;"",'Approved-Enforcement'!M212,"")</f>
        <v/>
      </c>
      <c r="O212" t="str">
        <f>IF($A212&lt;&gt;"",'Approved-Enforcement'!N212,"")</f>
        <v/>
      </c>
      <c r="P212" t="str">
        <f>IF($A212&lt;&gt;"",'Approved-Enforcement'!O212,"")</f>
        <v/>
      </c>
    </row>
    <row r="213" spans="1:16" x14ac:dyDescent="0.35">
      <c r="A213" s="4" t="str">
        <f>IF('Approved-Enforcement'!$A213&lt;&gt;"",'Approved-Enforcement'!A213,"")</f>
        <v/>
      </c>
      <c r="B213" t="str">
        <f t="shared" si="3"/>
        <v/>
      </c>
      <c r="D213" t="str">
        <f>IF($A213&lt;&gt;"",IF($R213&lt;&gt;"",$R213,'Approved-Enforcement'!$B213+7),"")</f>
        <v/>
      </c>
      <c r="E213" t="str">
        <f>IF($A213&lt;&gt;"",'Approved-Enforcement'!D213,"")</f>
        <v/>
      </c>
      <c r="F213" t="str">
        <f>IF($A213&lt;&gt;"",'Approved-Enforcement'!E213,"")</f>
        <v/>
      </c>
      <c r="G213" t="str">
        <f>IF($A213&lt;&gt;"",'Approved-Enforcement'!F213,"")</f>
        <v/>
      </c>
      <c r="H213" t="str">
        <f>IF($A213&lt;&gt;"",'Approved-Enforcement'!G213,"")</f>
        <v/>
      </c>
      <c r="I213" t="str">
        <f>IF($A213&lt;&gt;"",'Approved-Enforcement'!H213,"")</f>
        <v/>
      </c>
      <c r="J213" t="str">
        <f>IF($A213&lt;&gt;"",'Approved-Enforcement'!I213,"")</f>
        <v/>
      </c>
      <c r="K213" t="str">
        <f>IF($A213&lt;&gt;"",'Approved-Enforcement'!J213,"")</f>
        <v/>
      </c>
      <c r="L213" t="str">
        <f>IF($A213&lt;&gt;"",'Approved-Enforcement'!K213,"")</f>
        <v/>
      </c>
      <c r="M213" t="str">
        <f>IF($A213&lt;&gt;"",'Approved-Enforcement'!L213,"")</f>
        <v/>
      </c>
      <c r="N213" t="str">
        <f>IF($A213&lt;&gt;"",'Approved-Enforcement'!M213,"")</f>
        <v/>
      </c>
      <c r="O213" t="str">
        <f>IF($A213&lt;&gt;"",'Approved-Enforcement'!N213,"")</f>
        <v/>
      </c>
      <c r="P213" t="str">
        <f>IF($A213&lt;&gt;"",'Approved-Enforcement'!O213,"")</f>
        <v/>
      </c>
    </row>
    <row r="214" spans="1:16" x14ac:dyDescent="0.35">
      <c r="A214" s="4" t="str">
        <f>IF('Approved-Enforcement'!$A214&lt;&gt;"",'Approved-Enforcement'!A214,"")</f>
        <v/>
      </c>
      <c r="B214" t="str">
        <f t="shared" si="3"/>
        <v/>
      </c>
      <c r="D214" t="str">
        <f>IF($A214&lt;&gt;"",IF($R214&lt;&gt;"",$R214,'Approved-Enforcement'!$B214+7),"")</f>
        <v/>
      </c>
      <c r="E214" t="str">
        <f>IF($A214&lt;&gt;"",'Approved-Enforcement'!D214,"")</f>
        <v/>
      </c>
      <c r="F214" t="str">
        <f>IF($A214&lt;&gt;"",'Approved-Enforcement'!E214,"")</f>
        <v/>
      </c>
      <c r="G214" t="str">
        <f>IF($A214&lt;&gt;"",'Approved-Enforcement'!F214,"")</f>
        <v/>
      </c>
      <c r="H214" t="str">
        <f>IF($A214&lt;&gt;"",'Approved-Enforcement'!G214,"")</f>
        <v/>
      </c>
      <c r="I214" t="str">
        <f>IF($A214&lt;&gt;"",'Approved-Enforcement'!H214,"")</f>
        <v/>
      </c>
      <c r="J214" t="str">
        <f>IF($A214&lt;&gt;"",'Approved-Enforcement'!I214,"")</f>
        <v/>
      </c>
      <c r="K214" t="str">
        <f>IF($A214&lt;&gt;"",'Approved-Enforcement'!J214,"")</f>
        <v/>
      </c>
      <c r="L214" t="str">
        <f>IF($A214&lt;&gt;"",'Approved-Enforcement'!K214,"")</f>
        <v/>
      </c>
      <c r="M214" t="str">
        <f>IF($A214&lt;&gt;"",'Approved-Enforcement'!L214,"")</f>
        <v/>
      </c>
      <c r="N214" t="str">
        <f>IF($A214&lt;&gt;"",'Approved-Enforcement'!M214,"")</f>
        <v/>
      </c>
      <c r="O214" t="str">
        <f>IF($A214&lt;&gt;"",'Approved-Enforcement'!N214,"")</f>
        <v/>
      </c>
      <c r="P214" t="str">
        <f>IF($A214&lt;&gt;"",'Approved-Enforcement'!O214,"")</f>
        <v/>
      </c>
    </row>
    <row r="215" spans="1:16" x14ac:dyDescent="0.35">
      <c r="A215" s="4" t="str">
        <f>IF('Approved-Enforcement'!$A215&lt;&gt;"",'Approved-Enforcement'!A215,"")</f>
        <v/>
      </c>
      <c r="B215" t="str">
        <f t="shared" si="3"/>
        <v/>
      </c>
      <c r="D215" t="str">
        <f>IF($A215&lt;&gt;"",IF($R215&lt;&gt;"",$R215,'Approved-Enforcement'!$B215+7),"")</f>
        <v/>
      </c>
      <c r="E215" t="str">
        <f>IF($A215&lt;&gt;"",'Approved-Enforcement'!D215,"")</f>
        <v/>
      </c>
      <c r="F215" t="str">
        <f>IF($A215&lt;&gt;"",'Approved-Enforcement'!E215,"")</f>
        <v/>
      </c>
      <c r="G215" t="str">
        <f>IF($A215&lt;&gt;"",'Approved-Enforcement'!F215,"")</f>
        <v/>
      </c>
      <c r="H215" t="str">
        <f>IF($A215&lt;&gt;"",'Approved-Enforcement'!G215,"")</f>
        <v/>
      </c>
      <c r="I215" t="str">
        <f>IF($A215&lt;&gt;"",'Approved-Enforcement'!H215,"")</f>
        <v/>
      </c>
      <c r="J215" t="str">
        <f>IF($A215&lt;&gt;"",'Approved-Enforcement'!I215,"")</f>
        <v/>
      </c>
      <c r="K215" t="str">
        <f>IF($A215&lt;&gt;"",'Approved-Enforcement'!J215,"")</f>
        <v/>
      </c>
      <c r="L215" t="str">
        <f>IF($A215&lt;&gt;"",'Approved-Enforcement'!K215,"")</f>
        <v/>
      </c>
      <c r="M215" t="str">
        <f>IF($A215&lt;&gt;"",'Approved-Enforcement'!L215,"")</f>
        <v/>
      </c>
      <c r="N215" t="str">
        <f>IF($A215&lt;&gt;"",'Approved-Enforcement'!M215,"")</f>
        <v/>
      </c>
      <c r="O215" t="str">
        <f>IF($A215&lt;&gt;"",'Approved-Enforcement'!N215,"")</f>
        <v/>
      </c>
      <c r="P215" t="str">
        <f>IF($A215&lt;&gt;"",'Approved-Enforcement'!O215,"")</f>
        <v/>
      </c>
    </row>
    <row r="216" spans="1:16" x14ac:dyDescent="0.35">
      <c r="A216" s="4" t="str">
        <f>IF('Approved-Enforcement'!$A216&lt;&gt;"",'Approved-Enforcement'!A216,"")</f>
        <v/>
      </c>
      <c r="B216" t="str">
        <f t="shared" si="3"/>
        <v/>
      </c>
      <c r="D216" t="str">
        <f>IF($A216&lt;&gt;"",IF($R216&lt;&gt;"",$R216,'Approved-Enforcement'!$B216+7),"")</f>
        <v/>
      </c>
      <c r="E216" t="str">
        <f>IF($A216&lt;&gt;"",'Approved-Enforcement'!D216,"")</f>
        <v/>
      </c>
      <c r="F216" t="str">
        <f>IF($A216&lt;&gt;"",'Approved-Enforcement'!E216,"")</f>
        <v/>
      </c>
      <c r="G216" t="str">
        <f>IF($A216&lt;&gt;"",'Approved-Enforcement'!F216,"")</f>
        <v/>
      </c>
      <c r="H216" t="str">
        <f>IF($A216&lt;&gt;"",'Approved-Enforcement'!G216,"")</f>
        <v/>
      </c>
      <c r="I216" t="str">
        <f>IF($A216&lt;&gt;"",'Approved-Enforcement'!H216,"")</f>
        <v/>
      </c>
      <c r="J216" t="str">
        <f>IF($A216&lt;&gt;"",'Approved-Enforcement'!I216,"")</f>
        <v/>
      </c>
      <c r="K216" t="str">
        <f>IF($A216&lt;&gt;"",'Approved-Enforcement'!J216,"")</f>
        <v/>
      </c>
      <c r="L216" t="str">
        <f>IF($A216&lt;&gt;"",'Approved-Enforcement'!K216,"")</f>
        <v/>
      </c>
      <c r="M216" t="str">
        <f>IF($A216&lt;&gt;"",'Approved-Enforcement'!L216,"")</f>
        <v/>
      </c>
      <c r="N216" t="str">
        <f>IF($A216&lt;&gt;"",'Approved-Enforcement'!M216,"")</f>
        <v/>
      </c>
      <c r="O216" t="str">
        <f>IF($A216&lt;&gt;"",'Approved-Enforcement'!N216,"")</f>
        <v/>
      </c>
      <c r="P216" t="str">
        <f>IF($A216&lt;&gt;"",'Approved-Enforcement'!O216,"")</f>
        <v/>
      </c>
    </row>
    <row r="217" spans="1:16" x14ac:dyDescent="0.35">
      <c r="A217" s="4" t="str">
        <f>IF('Approved-Enforcement'!$A217&lt;&gt;"",'Approved-Enforcement'!A217,"")</f>
        <v/>
      </c>
      <c r="B217" t="str">
        <f t="shared" si="3"/>
        <v/>
      </c>
      <c r="D217" t="str">
        <f>IF($A217&lt;&gt;"",IF($R217&lt;&gt;"",$R217,'Approved-Enforcement'!$B217+7),"")</f>
        <v/>
      </c>
      <c r="E217" t="str">
        <f>IF($A217&lt;&gt;"",'Approved-Enforcement'!D217,"")</f>
        <v/>
      </c>
      <c r="F217" t="str">
        <f>IF($A217&lt;&gt;"",'Approved-Enforcement'!E217,"")</f>
        <v/>
      </c>
      <c r="G217" t="str">
        <f>IF($A217&lt;&gt;"",'Approved-Enforcement'!F217,"")</f>
        <v/>
      </c>
      <c r="H217" t="str">
        <f>IF($A217&lt;&gt;"",'Approved-Enforcement'!G217,"")</f>
        <v/>
      </c>
      <c r="I217" t="str">
        <f>IF($A217&lt;&gt;"",'Approved-Enforcement'!H217,"")</f>
        <v/>
      </c>
      <c r="J217" t="str">
        <f>IF($A217&lt;&gt;"",'Approved-Enforcement'!I217,"")</f>
        <v/>
      </c>
      <c r="K217" t="str">
        <f>IF($A217&lt;&gt;"",'Approved-Enforcement'!J217,"")</f>
        <v/>
      </c>
      <c r="L217" t="str">
        <f>IF($A217&lt;&gt;"",'Approved-Enforcement'!K217,"")</f>
        <v/>
      </c>
      <c r="M217" t="str">
        <f>IF($A217&lt;&gt;"",'Approved-Enforcement'!L217,"")</f>
        <v/>
      </c>
      <c r="N217" t="str">
        <f>IF($A217&lt;&gt;"",'Approved-Enforcement'!M217,"")</f>
        <v/>
      </c>
      <c r="O217" t="str">
        <f>IF($A217&lt;&gt;"",'Approved-Enforcement'!N217,"")</f>
        <v/>
      </c>
      <c r="P217" t="str">
        <f>IF($A217&lt;&gt;"",'Approved-Enforcement'!O217,"")</f>
        <v/>
      </c>
    </row>
    <row r="218" spans="1:16" x14ac:dyDescent="0.35">
      <c r="A218" s="4" t="str">
        <f>IF('Approved-Enforcement'!$A218&lt;&gt;"",'Approved-Enforcement'!A218,"")</f>
        <v/>
      </c>
      <c r="B218" t="str">
        <f t="shared" si="3"/>
        <v/>
      </c>
      <c r="D218" t="str">
        <f>IF($A218&lt;&gt;"",IF($R218&lt;&gt;"",$R218,'Approved-Enforcement'!$B218+7),"")</f>
        <v/>
      </c>
      <c r="E218" t="str">
        <f>IF($A218&lt;&gt;"",'Approved-Enforcement'!D218,"")</f>
        <v/>
      </c>
      <c r="F218" t="str">
        <f>IF($A218&lt;&gt;"",'Approved-Enforcement'!E218,"")</f>
        <v/>
      </c>
      <c r="G218" t="str">
        <f>IF($A218&lt;&gt;"",'Approved-Enforcement'!F218,"")</f>
        <v/>
      </c>
      <c r="H218" t="str">
        <f>IF($A218&lt;&gt;"",'Approved-Enforcement'!G218,"")</f>
        <v/>
      </c>
      <c r="I218" t="str">
        <f>IF($A218&lt;&gt;"",'Approved-Enforcement'!H218,"")</f>
        <v/>
      </c>
      <c r="J218" t="str">
        <f>IF($A218&lt;&gt;"",'Approved-Enforcement'!I218,"")</f>
        <v/>
      </c>
      <c r="K218" t="str">
        <f>IF($A218&lt;&gt;"",'Approved-Enforcement'!J218,"")</f>
        <v/>
      </c>
      <c r="L218" t="str">
        <f>IF($A218&lt;&gt;"",'Approved-Enforcement'!K218,"")</f>
        <v/>
      </c>
      <c r="M218" t="str">
        <f>IF($A218&lt;&gt;"",'Approved-Enforcement'!L218,"")</f>
        <v/>
      </c>
      <c r="N218" t="str">
        <f>IF($A218&lt;&gt;"",'Approved-Enforcement'!M218,"")</f>
        <v/>
      </c>
      <c r="O218" t="str">
        <f>IF($A218&lt;&gt;"",'Approved-Enforcement'!N218,"")</f>
        <v/>
      </c>
      <c r="P218" t="str">
        <f>IF($A218&lt;&gt;"",'Approved-Enforcement'!O218,"")</f>
        <v/>
      </c>
    </row>
    <row r="219" spans="1:16" x14ac:dyDescent="0.35">
      <c r="A219" s="4" t="str">
        <f>IF('Approved-Enforcement'!$A219&lt;&gt;"",'Approved-Enforcement'!A219,"")</f>
        <v/>
      </c>
      <c r="B219" t="str">
        <f t="shared" si="3"/>
        <v/>
      </c>
      <c r="D219" t="str">
        <f>IF($A219&lt;&gt;"",IF($R219&lt;&gt;"",$R219,'Approved-Enforcement'!$B219+7),"")</f>
        <v/>
      </c>
      <c r="E219" t="str">
        <f>IF($A219&lt;&gt;"",'Approved-Enforcement'!D219,"")</f>
        <v/>
      </c>
      <c r="F219" t="str">
        <f>IF($A219&lt;&gt;"",'Approved-Enforcement'!E219,"")</f>
        <v/>
      </c>
      <c r="G219" t="str">
        <f>IF($A219&lt;&gt;"",'Approved-Enforcement'!F219,"")</f>
        <v/>
      </c>
      <c r="H219" t="str">
        <f>IF($A219&lt;&gt;"",'Approved-Enforcement'!G219,"")</f>
        <v/>
      </c>
      <c r="I219" t="str">
        <f>IF($A219&lt;&gt;"",'Approved-Enforcement'!H219,"")</f>
        <v/>
      </c>
      <c r="J219" t="str">
        <f>IF($A219&lt;&gt;"",'Approved-Enforcement'!I219,"")</f>
        <v/>
      </c>
      <c r="K219" t="str">
        <f>IF($A219&lt;&gt;"",'Approved-Enforcement'!J219,"")</f>
        <v/>
      </c>
      <c r="L219" t="str">
        <f>IF($A219&lt;&gt;"",'Approved-Enforcement'!K219,"")</f>
        <v/>
      </c>
      <c r="M219" t="str">
        <f>IF($A219&lt;&gt;"",'Approved-Enforcement'!L219,"")</f>
        <v/>
      </c>
      <c r="N219" t="str">
        <f>IF($A219&lt;&gt;"",'Approved-Enforcement'!M219,"")</f>
        <v/>
      </c>
      <c r="O219" t="str">
        <f>IF($A219&lt;&gt;"",'Approved-Enforcement'!N219,"")</f>
        <v/>
      </c>
      <c r="P219" t="str">
        <f>IF($A219&lt;&gt;"",'Approved-Enforcement'!O219,"")</f>
        <v/>
      </c>
    </row>
    <row r="220" spans="1:16" x14ac:dyDescent="0.35">
      <c r="A220" s="4" t="str">
        <f>IF('Approved-Enforcement'!$A220&lt;&gt;"",'Approved-Enforcement'!A220,"")</f>
        <v/>
      </c>
      <c r="B220" t="str">
        <f t="shared" si="3"/>
        <v/>
      </c>
      <c r="D220" t="str">
        <f>IF($A220&lt;&gt;"",IF($R220&lt;&gt;"",$R220,'Approved-Enforcement'!$B220+7),"")</f>
        <v/>
      </c>
      <c r="E220" t="str">
        <f>IF($A220&lt;&gt;"",'Approved-Enforcement'!D220,"")</f>
        <v/>
      </c>
      <c r="F220" t="str">
        <f>IF($A220&lt;&gt;"",'Approved-Enforcement'!E220,"")</f>
        <v/>
      </c>
      <c r="G220" t="str">
        <f>IF($A220&lt;&gt;"",'Approved-Enforcement'!F220,"")</f>
        <v/>
      </c>
      <c r="H220" t="str">
        <f>IF($A220&lt;&gt;"",'Approved-Enforcement'!G220,"")</f>
        <v/>
      </c>
      <c r="I220" t="str">
        <f>IF($A220&lt;&gt;"",'Approved-Enforcement'!H220,"")</f>
        <v/>
      </c>
      <c r="J220" t="str">
        <f>IF($A220&lt;&gt;"",'Approved-Enforcement'!I220,"")</f>
        <v/>
      </c>
      <c r="K220" t="str">
        <f>IF($A220&lt;&gt;"",'Approved-Enforcement'!J220,"")</f>
        <v/>
      </c>
      <c r="L220" t="str">
        <f>IF($A220&lt;&gt;"",'Approved-Enforcement'!K220,"")</f>
        <v/>
      </c>
      <c r="M220" t="str">
        <f>IF($A220&lt;&gt;"",'Approved-Enforcement'!L220,"")</f>
        <v/>
      </c>
      <c r="N220" t="str">
        <f>IF($A220&lt;&gt;"",'Approved-Enforcement'!M220,"")</f>
        <v/>
      </c>
      <c r="O220" t="str">
        <f>IF($A220&lt;&gt;"",'Approved-Enforcement'!N220,"")</f>
        <v/>
      </c>
      <c r="P220" t="str">
        <f>IF($A220&lt;&gt;"",'Approved-Enforcement'!O220,"")</f>
        <v/>
      </c>
    </row>
    <row r="221" spans="1:16" x14ac:dyDescent="0.35">
      <c r="A221" s="4" t="str">
        <f>IF('Approved-Enforcement'!$A221&lt;&gt;"",'Approved-Enforcement'!A221,"")</f>
        <v/>
      </c>
      <c r="B221" t="str">
        <f t="shared" si="3"/>
        <v/>
      </c>
      <c r="D221" t="str">
        <f>IF($A221&lt;&gt;"",IF($R221&lt;&gt;"",$R221,'Approved-Enforcement'!$B221+7),"")</f>
        <v/>
      </c>
      <c r="E221" t="str">
        <f>IF($A221&lt;&gt;"",'Approved-Enforcement'!D221,"")</f>
        <v/>
      </c>
      <c r="F221" t="str">
        <f>IF($A221&lt;&gt;"",'Approved-Enforcement'!E221,"")</f>
        <v/>
      </c>
      <c r="G221" t="str">
        <f>IF($A221&lt;&gt;"",'Approved-Enforcement'!F221,"")</f>
        <v/>
      </c>
      <c r="H221" t="str">
        <f>IF($A221&lt;&gt;"",'Approved-Enforcement'!G221,"")</f>
        <v/>
      </c>
      <c r="I221" t="str">
        <f>IF($A221&lt;&gt;"",'Approved-Enforcement'!H221,"")</f>
        <v/>
      </c>
      <c r="J221" t="str">
        <f>IF($A221&lt;&gt;"",'Approved-Enforcement'!I221,"")</f>
        <v/>
      </c>
      <c r="K221" t="str">
        <f>IF($A221&lt;&gt;"",'Approved-Enforcement'!J221,"")</f>
        <v/>
      </c>
      <c r="L221" t="str">
        <f>IF($A221&lt;&gt;"",'Approved-Enforcement'!K221,"")</f>
        <v/>
      </c>
      <c r="M221" t="str">
        <f>IF($A221&lt;&gt;"",'Approved-Enforcement'!L221,"")</f>
        <v/>
      </c>
      <c r="N221" t="str">
        <f>IF($A221&lt;&gt;"",'Approved-Enforcement'!M221,"")</f>
        <v/>
      </c>
      <c r="O221" t="str">
        <f>IF($A221&lt;&gt;"",'Approved-Enforcement'!N221,"")</f>
        <v/>
      </c>
      <c r="P221" t="str">
        <f>IF($A221&lt;&gt;"",'Approved-Enforcement'!O221,"")</f>
        <v/>
      </c>
    </row>
    <row r="222" spans="1:16" x14ac:dyDescent="0.35">
      <c r="A222" s="4" t="str">
        <f>IF('Approved-Enforcement'!$A222&lt;&gt;"",'Approved-Enforcement'!A222,"")</f>
        <v/>
      </c>
      <c r="B222" t="str">
        <f t="shared" si="3"/>
        <v/>
      </c>
      <c r="D222" t="str">
        <f>IF($A222&lt;&gt;"",IF($R222&lt;&gt;"",$R222,'Approved-Enforcement'!$B222+7),"")</f>
        <v/>
      </c>
      <c r="E222" t="str">
        <f>IF($A222&lt;&gt;"",'Approved-Enforcement'!D222,"")</f>
        <v/>
      </c>
      <c r="F222" t="str">
        <f>IF($A222&lt;&gt;"",'Approved-Enforcement'!E222,"")</f>
        <v/>
      </c>
      <c r="G222" t="str">
        <f>IF($A222&lt;&gt;"",'Approved-Enforcement'!F222,"")</f>
        <v/>
      </c>
      <c r="H222" t="str">
        <f>IF($A222&lt;&gt;"",'Approved-Enforcement'!G222,"")</f>
        <v/>
      </c>
      <c r="I222" t="str">
        <f>IF($A222&lt;&gt;"",'Approved-Enforcement'!H222,"")</f>
        <v/>
      </c>
      <c r="J222" t="str">
        <f>IF($A222&lt;&gt;"",'Approved-Enforcement'!I222,"")</f>
        <v/>
      </c>
      <c r="K222" t="str">
        <f>IF($A222&lt;&gt;"",'Approved-Enforcement'!J222,"")</f>
        <v/>
      </c>
      <c r="L222" t="str">
        <f>IF($A222&lt;&gt;"",'Approved-Enforcement'!K222,"")</f>
        <v/>
      </c>
      <c r="M222" t="str">
        <f>IF($A222&lt;&gt;"",'Approved-Enforcement'!L222,"")</f>
        <v/>
      </c>
      <c r="N222" t="str">
        <f>IF($A222&lt;&gt;"",'Approved-Enforcement'!M222,"")</f>
        <v/>
      </c>
      <c r="O222" t="str">
        <f>IF($A222&lt;&gt;"",'Approved-Enforcement'!N222,"")</f>
        <v/>
      </c>
      <c r="P222" t="str">
        <f>IF($A222&lt;&gt;"",'Approved-Enforcement'!O222,"")</f>
        <v/>
      </c>
    </row>
    <row r="223" spans="1:16" x14ac:dyDescent="0.35">
      <c r="A223" s="4" t="str">
        <f>IF('Approved-Enforcement'!$A223&lt;&gt;"",'Approved-Enforcement'!A223,"")</f>
        <v/>
      </c>
      <c r="B223" t="str">
        <f t="shared" si="3"/>
        <v/>
      </c>
      <c r="D223" t="str">
        <f>IF($A223&lt;&gt;"",IF($R223&lt;&gt;"",$R223,'Approved-Enforcement'!$B223+7),"")</f>
        <v/>
      </c>
      <c r="E223" t="str">
        <f>IF($A223&lt;&gt;"",'Approved-Enforcement'!D223,"")</f>
        <v/>
      </c>
      <c r="F223" t="str">
        <f>IF($A223&lt;&gt;"",'Approved-Enforcement'!E223,"")</f>
        <v/>
      </c>
      <c r="G223" t="str">
        <f>IF($A223&lt;&gt;"",'Approved-Enforcement'!F223,"")</f>
        <v/>
      </c>
      <c r="H223" t="str">
        <f>IF($A223&lt;&gt;"",'Approved-Enforcement'!G223,"")</f>
        <v/>
      </c>
      <c r="I223" t="str">
        <f>IF($A223&lt;&gt;"",'Approved-Enforcement'!H223,"")</f>
        <v/>
      </c>
      <c r="J223" t="str">
        <f>IF($A223&lt;&gt;"",'Approved-Enforcement'!I223,"")</f>
        <v/>
      </c>
      <c r="K223" t="str">
        <f>IF($A223&lt;&gt;"",'Approved-Enforcement'!J223,"")</f>
        <v/>
      </c>
      <c r="L223" t="str">
        <f>IF($A223&lt;&gt;"",'Approved-Enforcement'!K223,"")</f>
        <v/>
      </c>
      <c r="M223" t="str">
        <f>IF($A223&lt;&gt;"",'Approved-Enforcement'!L223,"")</f>
        <v/>
      </c>
      <c r="N223" t="str">
        <f>IF($A223&lt;&gt;"",'Approved-Enforcement'!M223,"")</f>
        <v/>
      </c>
      <c r="O223" t="str">
        <f>IF($A223&lt;&gt;"",'Approved-Enforcement'!N223,"")</f>
        <v/>
      </c>
      <c r="P223" t="str">
        <f>IF($A223&lt;&gt;"",'Approved-Enforcement'!O223,"")</f>
        <v/>
      </c>
    </row>
    <row r="224" spans="1:16" x14ac:dyDescent="0.35">
      <c r="A224" s="4" t="str">
        <f>IF('Approved-Enforcement'!$A224&lt;&gt;"",'Approved-Enforcement'!A224,"")</f>
        <v/>
      </c>
      <c r="B224" t="str">
        <f t="shared" si="3"/>
        <v/>
      </c>
      <c r="D224" t="str">
        <f>IF($A224&lt;&gt;"",IF($R224&lt;&gt;"",$R224,'Approved-Enforcement'!$B224+7),"")</f>
        <v/>
      </c>
      <c r="E224" t="str">
        <f>IF($A224&lt;&gt;"",'Approved-Enforcement'!D224,"")</f>
        <v/>
      </c>
      <c r="F224" t="str">
        <f>IF($A224&lt;&gt;"",'Approved-Enforcement'!E224,"")</f>
        <v/>
      </c>
      <c r="G224" t="str">
        <f>IF($A224&lt;&gt;"",'Approved-Enforcement'!F224,"")</f>
        <v/>
      </c>
      <c r="H224" t="str">
        <f>IF($A224&lt;&gt;"",'Approved-Enforcement'!G224,"")</f>
        <v/>
      </c>
      <c r="I224" t="str">
        <f>IF($A224&lt;&gt;"",'Approved-Enforcement'!H224,"")</f>
        <v/>
      </c>
      <c r="J224" t="str">
        <f>IF($A224&lt;&gt;"",'Approved-Enforcement'!I224,"")</f>
        <v/>
      </c>
      <c r="K224" t="str">
        <f>IF($A224&lt;&gt;"",'Approved-Enforcement'!J224,"")</f>
        <v/>
      </c>
      <c r="L224" t="str">
        <f>IF($A224&lt;&gt;"",'Approved-Enforcement'!K224,"")</f>
        <v/>
      </c>
      <c r="M224" t="str">
        <f>IF($A224&lt;&gt;"",'Approved-Enforcement'!L224,"")</f>
        <v/>
      </c>
      <c r="N224" t="str">
        <f>IF($A224&lt;&gt;"",'Approved-Enforcement'!M224,"")</f>
        <v/>
      </c>
      <c r="O224" t="str">
        <f>IF($A224&lt;&gt;"",'Approved-Enforcement'!N224,"")</f>
        <v/>
      </c>
      <c r="P224" t="str">
        <f>IF($A224&lt;&gt;"",'Approved-Enforcement'!O224,"")</f>
        <v/>
      </c>
    </row>
    <row r="225" spans="1:16" x14ac:dyDescent="0.35">
      <c r="A225" s="4" t="str">
        <f>IF('Approved-Enforcement'!$A225&lt;&gt;"",'Approved-Enforcement'!A225,"")</f>
        <v/>
      </c>
      <c r="B225" t="str">
        <f t="shared" si="3"/>
        <v/>
      </c>
      <c r="D225" t="str">
        <f>IF($A225&lt;&gt;"",IF($R225&lt;&gt;"",$R225,'Approved-Enforcement'!$B225+7),"")</f>
        <v/>
      </c>
      <c r="E225" t="str">
        <f>IF($A225&lt;&gt;"",'Approved-Enforcement'!D225,"")</f>
        <v/>
      </c>
      <c r="F225" t="str">
        <f>IF($A225&lt;&gt;"",'Approved-Enforcement'!E225,"")</f>
        <v/>
      </c>
      <c r="G225" t="str">
        <f>IF($A225&lt;&gt;"",'Approved-Enforcement'!F225,"")</f>
        <v/>
      </c>
      <c r="H225" t="str">
        <f>IF($A225&lt;&gt;"",'Approved-Enforcement'!G225,"")</f>
        <v/>
      </c>
      <c r="I225" t="str">
        <f>IF($A225&lt;&gt;"",'Approved-Enforcement'!H225,"")</f>
        <v/>
      </c>
      <c r="J225" t="str">
        <f>IF($A225&lt;&gt;"",'Approved-Enforcement'!I225,"")</f>
        <v/>
      </c>
      <c r="K225" t="str">
        <f>IF($A225&lt;&gt;"",'Approved-Enforcement'!J225,"")</f>
        <v/>
      </c>
      <c r="L225" t="str">
        <f>IF($A225&lt;&gt;"",'Approved-Enforcement'!K225,"")</f>
        <v/>
      </c>
      <c r="M225" t="str">
        <f>IF($A225&lt;&gt;"",'Approved-Enforcement'!L225,"")</f>
        <v/>
      </c>
      <c r="N225" t="str">
        <f>IF($A225&lt;&gt;"",'Approved-Enforcement'!M225,"")</f>
        <v/>
      </c>
      <c r="O225" t="str">
        <f>IF($A225&lt;&gt;"",'Approved-Enforcement'!N225,"")</f>
        <v/>
      </c>
      <c r="P225" t="str">
        <f>IF($A225&lt;&gt;"",'Approved-Enforcement'!O225,"")</f>
        <v/>
      </c>
    </row>
    <row r="226" spans="1:16" x14ac:dyDescent="0.35">
      <c r="A226" s="4" t="str">
        <f>IF('Approved-Enforcement'!$A226&lt;&gt;"",'Approved-Enforcement'!A226,"")</f>
        <v/>
      </c>
      <c r="B226" t="str">
        <f t="shared" si="3"/>
        <v/>
      </c>
      <c r="D226" t="str">
        <f>IF($A226&lt;&gt;"",IF($R226&lt;&gt;"",$R226,'Approved-Enforcement'!$B226+7),"")</f>
        <v/>
      </c>
      <c r="E226" t="str">
        <f>IF($A226&lt;&gt;"",'Approved-Enforcement'!D226,"")</f>
        <v/>
      </c>
      <c r="F226" t="str">
        <f>IF($A226&lt;&gt;"",'Approved-Enforcement'!E226,"")</f>
        <v/>
      </c>
      <c r="G226" t="str">
        <f>IF($A226&lt;&gt;"",'Approved-Enforcement'!F226,"")</f>
        <v/>
      </c>
      <c r="H226" t="str">
        <f>IF($A226&lt;&gt;"",'Approved-Enforcement'!G226,"")</f>
        <v/>
      </c>
      <c r="I226" t="str">
        <f>IF($A226&lt;&gt;"",'Approved-Enforcement'!H226,"")</f>
        <v/>
      </c>
      <c r="J226" t="str">
        <f>IF($A226&lt;&gt;"",'Approved-Enforcement'!I226,"")</f>
        <v/>
      </c>
      <c r="K226" t="str">
        <f>IF($A226&lt;&gt;"",'Approved-Enforcement'!J226,"")</f>
        <v/>
      </c>
      <c r="L226" t="str">
        <f>IF($A226&lt;&gt;"",'Approved-Enforcement'!K226,"")</f>
        <v/>
      </c>
      <c r="M226" t="str">
        <f>IF($A226&lt;&gt;"",'Approved-Enforcement'!L226,"")</f>
        <v/>
      </c>
      <c r="N226" t="str">
        <f>IF($A226&lt;&gt;"",'Approved-Enforcement'!M226,"")</f>
        <v/>
      </c>
      <c r="O226" t="str">
        <f>IF($A226&lt;&gt;"",'Approved-Enforcement'!N226,"")</f>
        <v/>
      </c>
      <c r="P226" t="str">
        <f>IF($A226&lt;&gt;"",'Approved-Enforcement'!O226,"")</f>
        <v/>
      </c>
    </row>
    <row r="227" spans="1:16" x14ac:dyDescent="0.35">
      <c r="A227" s="4" t="str">
        <f>IF('Approved-Enforcement'!$A227&lt;&gt;"",'Approved-Enforcement'!A227,"")</f>
        <v/>
      </c>
      <c r="B227" t="str">
        <f t="shared" si="3"/>
        <v/>
      </c>
      <c r="D227" t="str">
        <f>IF($A227&lt;&gt;"",IF($R227&lt;&gt;"",$R227,'Approved-Enforcement'!$B227+7),"")</f>
        <v/>
      </c>
      <c r="E227" t="str">
        <f>IF($A227&lt;&gt;"",'Approved-Enforcement'!D227,"")</f>
        <v/>
      </c>
      <c r="F227" t="str">
        <f>IF($A227&lt;&gt;"",'Approved-Enforcement'!E227,"")</f>
        <v/>
      </c>
      <c r="G227" t="str">
        <f>IF($A227&lt;&gt;"",'Approved-Enforcement'!F227,"")</f>
        <v/>
      </c>
      <c r="H227" t="str">
        <f>IF($A227&lt;&gt;"",'Approved-Enforcement'!G227,"")</f>
        <v/>
      </c>
      <c r="I227" t="str">
        <f>IF($A227&lt;&gt;"",'Approved-Enforcement'!H227,"")</f>
        <v/>
      </c>
      <c r="J227" t="str">
        <f>IF($A227&lt;&gt;"",'Approved-Enforcement'!I227,"")</f>
        <v/>
      </c>
      <c r="K227" t="str">
        <f>IF($A227&lt;&gt;"",'Approved-Enforcement'!J227,"")</f>
        <v/>
      </c>
      <c r="L227" t="str">
        <f>IF($A227&lt;&gt;"",'Approved-Enforcement'!K227,"")</f>
        <v/>
      </c>
      <c r="M227" t="str">
        <f>IF($A227&lt;&gt;"",'Approved-Enforcement'!L227,"")</f>
        <v/>
      </c>
      <c r="N227" t="str">
        <f>IF($A227&lt;&gt;"",'Approved-Enforcement'!M227,"")</f>
        <v/>
      </c>
      <c r="O227" t="str">
        <f>IF($A227&lt;&gt;"",'Approved-Enforcement'!N227,"")</f>
        <v/>
      </c>
      <c r="P227" t="str">
        <f>IF($A227&lt;&gt;"",'Approved-Enforcement'!O227,"")</f>
        <v/>
      </c>
    </row>
    <row r="228" spans="1:16" x14ac:dyDescent="0.35">
      <c r="A228" s="4" t="str">
        <f>IF('Approved-Enforcement'!$A228&lt;&gt;"",'Approved-Enforcement'!A228,"")</f>
        <v/>
      </c>
      <c r="B228" t="str">
        <f t="shared" si="3"/>
        <v/>
      </c>
      <c r="D228" t="str">
        <f>IF($A228&lt;&gt;"",IF($R228&lt;&gt;"",$R228,'Approved-Enforcement'!$B228+7),"")</f>
        <v/>
      </c>
      <c r="E228" t="str">
        <f>IF($A228&lt;&gt;"",'Approved-Enforcement'!D228,"")</f>
        <v/>
      </c>
      <c r="F228" t="str">
        <f>IF($A228&lt;&gt;"",'Approved-Enforcement'!E228,"")</f>
        <v/>
      </c>
      <c r="G228" t="str">
        <f>IF($A228&lt;&gt;"",'Approved-Enforcement'!F228,"")</f>
        <v/>
      </c>
      <c r="H228" t="str">
        <f>IF($A228&lt;&gt;"",'Approved-Enforcement'!G228,"")</f>
        <v/>
      </c>
      <c r="I228" t="str">
        <f>IF($A228&lt;&gt;"",'Approved-Enforcement'!H228,"")</f>
        <v/>
      </c>
      <c r="J228" t="str">
        <f>IF($A228&lt;&gt;"",'Approved-Enforcement'!I228,"")</f>
        <v/>
      </c>
      <c r="K228" t="str">
        <f>IF($A228&lt;&gt;"",'Approved-Enforcement'!J228,"")</f>
        <v/>
      </c>
      <c r="L228" t="str">
        <f>IF($A228&lt;&gt;"",'Approved-Enforcement'!K228,"")</f>
        <v/>
      </c>
      <c r="M228" t="str">
        <f>IF($A228&lt;&gt;"",'Approved-Enforcement'!L228,"")</f>
        <v/>
      </c>
      <c r="N228" t="str">
        <f>IF($A228&lt;&gt;"",'Approved-Enforcement'!M228,"")</f>
        <v/>
      </c>
      <c r="O228" t="str">
        <f>IF($A228&lt;&gt;"",'Approved-Enforcement'!N228,"")</f>
        <v/>
      </c>
      <c r="P228" t="str">
        <f>IF($A228&lt;&gt;"",'Approved-Enforcement'!O228,"")</f>
        <v/>
      </c>
    </row>
    <row r="229" spans="1:16" x14ac:dyDescent="0.35">
      <c r="A229" s="4" t="str">
        <f>IF('Approved-Enforcement'!$A229&lt;&gt;"",'Approved-Enforcement'!A229,"")</f>
        <v/>
      </c>
      <c r="B229" t="str">
        <f t="shared" si="3"/>
        <v/>
      </c>
      <c r="D229" t="str">
        <f>IF($A229&lt;&gt;"",IF($R229&lt;&gt;"",$R229,'Approved-Enforcement'!$B229+7),"")</f>
        <v/>
      </c>
      <c r="E229" t="str">
        <f>IF($A229&lt;&gt;"",'Approved-Enforcement'!D229,"")</f>
        <v/>
      </c>
      <c r="F229" t="str">
        <f>IF($A229&lt;&gt;"",'Approved-Enforcement'!E229,"")</f>
        <v/>
      </c>
      <c r="G229" t="str">
        <f>IF($A229&lt;&gt;"",'Approved-Enforcement'!F229,"")</f>
        <v/>
      </c>
      <c r="H229" t="str">
        <f>IF($A229&lt;&gt;"",'Approved-Enforcement'!G229,"")</f>
        <v/>
      </c>
      <c r="I229" t="str">
        <f>IF($A229&lt;&gt;"",'Approved-Enforcement'!H229,"")</f>
        <v/>
      </c>
      <c r="J229" t="str">
        <f>IF($A229&lt;&gt;"",'Approved-Enforcement'!I229,"")</f>
        <v/>
      </c>
      <c r="K229" t="str">
        <f>IF($A229&lt;&gt;"",'Approved-Enforcement'!J229,"")</f>
        <v/>
      </c>
      <c r="L229" t="str">
        <f>IF($A229&lt;&gt;"",'Approved-Enforcement'!K229,"")</f>
        <v/>
      </c>
      <c r="M229" t="str">
        <f>IF($A229&lt;&gt;"",'Approved-Enforcement'!L229,"")</f>
        <v/>
      </c>
      <c r="N229" t="str">
        <f>IF($A229&lt;&gt;"",'Approved-Enforcement'!M229,"")</f>
        <v/>
      </c>
      <c r="O229" t="str">
        <f>IF($A229&lt;&gt;"",'Approved-Enforcement'!N229,"")</f>
        <v/>
      </c>
      <c r="P229" t="str">
        <f>IF($A229&lt;&gt;"",'Approved-Enforcement'!O229,"")</f>
        <v/>
      </c>
    </row>
    <row r="230" spans="1:16" x14ac:dyDescent="0.35">
      <c r="A230" s="4" t="str">
        <f>IF('Approved-Enforcement'!$A230&lt;&gt;"",'Approved-Enforcement'!A230,"")</f>
        <v/>
      </c>
      <c r="B230" t="str">
        <f t="shared" si="3"/>
        <v/>
      </c>
      <c r="D230" t="str">
        <f>IF($A230&lt;&gt;"",IF($R230&lt;&gt;"",$R230,'Approved-Enforcement'!$B230+7),"")</f>
        <v/>
      </c>
      <c r="E230" t="str">
        <f>IF($A230&lt;&gt;"",'Approved-Enforcement'!D230,"")</f>
        <v/>
      </c>
      <c r="F230" t="str">
        <f>IF($A230&lt;&gt;"",'Approved-Enforcement'!E230,"")</f>
        <v/>
      </c>
      <c r="G230" t="str">
        <f>IF($A230&lt;&gt;"",'Approved-Enforcement'!F230,"")</f>
        <v/>
      </c>
      <c r="H230" t="str">
        <f>IF($A230&lt;&gt;"",'Approved-Enforcement'!G230,"")</f>
        <v/>
      </c>
      <c r="I230" t="str">
        <f>IF($A230&lt;&gt;"",'Approved-Enforcement'!H230,"")</f>
        <v/>
      </c>
      <c r="J230" t="str">
        <f>IF($A230&lt;&gt;"",'Approved-Enforcement'!I230,"")</f>
        <v/>
      </c>
      <c r="K230" t="str">
        <f>IF($A230&lt;&gt;"",'Approved-Enforcement'!J230,"")</f>
        <v/>
      </c>
      <c r="L230" t="str">
        <f>IF($A230&lt;&gt;"",'Approved-Enforcement'!K230,"")</f>
        <v/>
      </c>
      <c r="M230" t="str">
        <f>IF($A230&lt;&gt;"",'Approved-Enforcement'!L230,"")</f>
        <v/>
      </c>
      <c r="N230" t="str">
        <f>IF($A230&lt;&gt;"",'Approved-Enforcement'!M230,"")</f>
        <v/>
      </c>
      <c r="O230" t="str">
        <f>IF($A230&lt;&gt;"",'Approved-Enforcement'!N230,"")</f>
        <v/>
      </c>
      <c r="P230" t="str">
        <f>IF($A230&lt;&gt;"",'Approved-Enforcement'!O230,"")</f>
        <v/>
      </c>
    </row>
    <row r="231" spans="1:16" x14ac:dyDescent="0.35">
      <c r="A231" s="4" t="str">
        <f>IF('Approved-Enforcement'!$A231&lt;&gt;"",'Approved-Enforcement'!A231,"")</f>
        <v/>
      </c>
      <c r="B231" t="str">
        <f t="shared" si="3"/>
        <v/>
      </c>
      <c r="D231" t="str">
        <f>IF($A231&lt;&gt;"",IF($R231&lt;&gt;"",$R231,'Approved-Enforcement'!$B231+7),"")</f>
        <v/>
      </c>
      <c r="E231" t="str">
        <f>IF($A231&lt;&gt;"",'Approved-Enforcement'!D231,"")</f>
        <v/>
      </c>
      <c r="F231" t="str">
        <f>IF($A231&lt;&gt;"",'Approved-Enforcement'!E231,"")</f>
        <v/>
      </c>
      <c r="G231" t="str">
        <f>IF($A231&lt;&gt;"",'Approved-Enforcement'!F231,"")</f>
        <v/>
      </c>
      <c r="H231" t="str">
        <f>IF($A231&lt;&gt;"",'Approved-Enforcement'!G231,"")</f>
        <v/>
      </c>
      <c r="I231" t="str">
        <f>IF($A231&lt;&gt;"",'Approved-Enforcement'!H231,"")</f>
        <v/>
      </c>
      <c r="J231" t="str">
        <f>IF($A231&lt;&gt;"",'Approved-Enforcement'!I231,"")</f>
        <v/>
      </c>
      <c r="K231" t="str">
        <f>IF($A231&lt;&gt;"",'Approved-Enforcement'!J231,"")</f>
        <v/>
      </c>
      <c r="L231" t="str">
        <f>IF($A231&lt;&gt;"",'Approved-Enforcement'!K231,"")</f>
        <v/>
      </c>
      <c r="M231" t="str">
        <f>IF($A231&lt;&gt;"",'Approved-Enforcement'!L231,"")</f>
        <v/>
      </c>
      <c r="N231" t="str">
        <f>IF($A231&lt;&gt;"",'Approved-Enforcement'!M231,"")</f>
        <v/>
      </c>
      <c r="O231" t="str">
        <f>IF($A231&lt;&gt;"",'Approved-Enforcement'!N231,"")</f>
        <v/>
      </c>
      <c r="P231" t="str">
        <f>IF($A231&lt;&gt;"",'Approved-Enforcement'!O231,"")</f>
        <v/>
      </c>
    </row>
    <row r="232" spans="1:16" x14ac:dyDescent="0.35">
      <c r="A232" s="4" t="str">
        <f>IF('Approved-Enforcement'!$A232&lt;&gt;"",'Approved-Enforcement'!A232,"")</f>
        <v/>
      </c>
      <c r="B232" t="str">
        <f t="shared" si="3"/>
        <v/>
      </c>
      <c r="D232" t="str">
        <f>IF($A232&lt;&gt;"",IF($R232&lt;&gt;"",$R232,'Approved-Enforcement'!$B232+7),"")</f>
        <v/>
      </c>
      <c r="E232" t="str">
        <f>IF($A232&lt;&gt;"",'Approved-Enforcement'!D232,"")</f>
        <v/>
      </c>
      <c r="F232" t="str">
        <f>IF($A232&lt;&gt;"",'Approved-Enforcement'!E232,"")</f>
        <v/>
      </c>
      <c r="G232" t="str">
        <f>IF($A232&lt;&gt;"",'Approved-Enforcement'!F232,"")</f>
        <v/>
      </c>
      <c r="H232" t="str">
        <f>IF($A232&lt;&gt;"",'Approved-Enforcement'!G232,"")</f>
        <v/>
      </c>
      <c r="I232" t="str">
        <f>IF($A232&lt;&gt;"",'Approved-Enforcement'!H232,"")</f>
        <v/>
      </c>
      <c r="J232" t="str">
        <f>IF($A232&lt;&gt;"",'Approved-Enforcement'!I232,"")</f>
        <v/>
      </c>
      <c r="K232" t="str">
        <f>IF($A232&lt;&gt;"",'Approved-Enforcement'!J232,"")</f>
        <v/>
      </c>
      <c r="L232" t="str">
        <f>IF($A232&lt;&gt;"",'Approved-Enforcement'!K232,"")</f>
        <v/>
      </c>
      <c r="M232" t="str">
        <f>IF($A232&lt;&gt;"",'Approved-Enforcement'!L232,"")</f>
        <v/>
      </c>
      <c r="N232" t="str">
        <f>IF($A232&lt;&gt;"",'Approved-Enforcement'!M232,"")</f>
        <v/>
      </c>
      <c r="O232" t="str">
        <f>IF($A232&lt;&gt;"",'Approved-Enforcement'!N232,"")</f>
        <v/>
      </c>
      <c r="P232" t="str">
        <f>IF($A232&lt;&gt;"",'Approved-Enforcement'!O232,"")</f>
        <v/>
      </c>
    </row>
    <row r="233" spans="1:16" x14ac:dyDescent="0.35">
      <c r="A233" s="4" t="str">
        <f>IF('Approved-Enforcement'!$A233&lt;&gt;"",'Approved-Enforcement'!A233,"")</f>
        <v/>
      </c>
      <c r="B233" t="str">
        <f t="shared" si="3"/>
        <v/>
      </c>
      <c r="D233" t="str">
        <f>IF($A233&lt;&gt;"",IF($R233&lt;&gt;"",$R233,'Approved-Enforcement'!$B233+7),"")</f>
        <v/>
      </c>
      <c r="E233" t="str">
        <f>IF($A233&lt;&gt;"",'Approved-Enforcement'!D233,"")</f>
        <v/>
      </c>
      <c r="F233" t="str">
        <f>IF($A233&lt;&gt;"",'Approved-Enforcement'!E233,"")</f>
        <v/>
      </c>
      <c r="G233" t="str">
        <f>IF($A233&lt;&gt;"",'Approved-Enforcement'!F233,"")</f>
        <v/>
      </c>
      <c r="H233" t="str">
        <f>IF($A233&lt;&gt;"",'Approved-Enforcement'!G233,"")</f>
        <v/>
      </c>
      <c r="I233" t="str">
        <f>IF($A233&lt;&gt;"",'Approved-Enforcement'!H233,"")</f>
        <v/>
      </c>
      <c r="J233" t="str">
        <f>IF($A233&lt;&gt;"",'Approved-Enforcement'!I233,"")</f>
        <v/>
      </c>
      <c r="K233" t="str">
        <f>IF($A233&lt;&gt;"",'Approved-Enforcement'!J233,"")</f>
        <v/>
      </c>
      <c r="L233" t="str">
        <f>IF($A233&lt;&gt;"",'Approved-Enforcement'!K233,"")</f>
        <v/>
      </c>
      <c r="M233" t="str">
        <f>IF($A233&lt;&gt;"",'Approved-Enforcement'!L233,"")</f>
        <v/>
      </c>
      <c r="N233" t="str">
        <f>IF($A233&lt;&gt;"",'Approved-Enforcement'!M233,"")</f>
        <v/>
      </c>
      <c r="O233" t="str">
        <f>IF($A233&lt;&gt;"",'Approved-Enforcement'!N233,"")</f>
        <v/>
      </c>
      <c r="P233" t="str">
        <f>IF($A233&lt;&gt;"",'Approved-Enforcement'!O233,"")</f>
        <v/>
      </c>
    </row>
    <row r="234" spans="1:16" x14ac:dyDescent="0.35">
      <c r="A234" s="4" t="str">
        <f>IF('Approved-Enforcement'!$A234&lt;&gt;"",'Approved-Enforcement'!A234,"")</f>
        <v/>
      </c>
      <c r="B234" t="str">
        <f t="shared" si="3"/>
        <v/>
      </c>
      <c r="D234" t="str">
        <f>IF($A234&lt;&gt;"",IF($R234&lt;&gt;"",$R234,'Approved-Enforcement'!$B234+7),"")</f>
        <v/>
      </c>
      <c r="E234" t="str">
        <f>IF($A234&lt;&gt;"",'Approved-Enforcement'!D234,"")</f>
        <v/>
      </c>
      <c r="F234" t="str">
        <f>IF($A234&lt;&gt;"",'Approved-Enforcement'!E234,"")</f>
        <v/>
      </c>
      <c r="G234" t="str">
        <f>IF($A234&lt;&gt;"",'Approved-Enforcement'!F234,"")</f>
        <v/>
      </c>
      <c r="H234" t="str">
        <f>IF($A234&lt;&gt;"",'Approved-Enforcement'!G234,"")</f>
        <v/>
      </c>
      <c r="I234" t="str">
        <f>IF($A234&lt;&gt;"",'Approved-Enforcement'!H234,"")</f>
        <v/>
      </c>
      <c r="J234" t="str">
        <f>IF($A234&lt;&gt;"",'Approved-Enforcement'!I234,"")</f>
        <v/>
      </c>
      <c r="K234" t="str">
        <f>IF($A234&lt;&gt;"",'Approved-Enforcement'!J234,"")</f>
        <v/>
      </c>
      <c r="L234" t="str">
        <f>IF($A234&lt;&gt;"",'Approved-Enforcement'!K234,"")</f>
        <v/>
      </c>
      <c r="M234" t="str">
        <f>IF($A234&lt;&gt;"",'Approved-Enforcement'!L234,"")</f>
        <v/>
      </c>
      <c r="N234" t="str">
        <f>IF($A234&lt;&gt;"",'Approved-Enforcement'!M234,"")</f>
        <v/>
      </c>
      <c r="O234" t="str">
        <f>IF($A234&lt;&gt;"",'Approved-Enforcement'!N234,"")</f>
        <v/>
      </c>
      <c r="P234" t="str">
        <f>IF($A234&lt;&gt;"",'Approved-Enforcement'!O234,"")</f>
        <v/>
      </c>
    </row>
    <row r="235" spans="1:16" x14ac:dyDescent="0.35">
      <c r="A235" s="4" t="str">
        <f>IF('Approved-Enforcement'!$A235&lt;&gt;"",'Approved-Enforcement'!A235,"")</f>
        <v/>
      </c>
      <c r="B235" t="str">
        <f t="shared" si="3"/>
        <v/>
      </c>
      <c r="D235" t="str">
        <f>IF($A235&lt;&gt;"",IF($R235&lt;&gt;"",$R235,'Approved-Enforcement'!$B235+7),"")</f>
        <v/>
      </c>
      <c r="E235" t="str">
        <f>IF($A235&lt;&gt;"",'Approved-Enforcement'!D235,"")</f>
        <v/>
      </c>
      <c r="F235" t="str">
        <f>IF($A235&lt;&gt;"",'Approved-Enforcement'!E235,"")</f>
        <v/>
      </c>
      <c r="G235" t="str">
        <f>IF($A235&lt;&gt;"",'Approved-Enforcement'!F235,"")</f>
        <v/>
      </c>
      <c r="H235" t="str">
        <f>IF($A235&lt;&gt;"",'Approved-Enforcement'!G235,"")</f>
        <v/>
      </c>
      <c r="I235" t="str">
        <f>IF($A235&lt;&gt;"",'Approved-Enforcement'!H235,"")</f>
        <v/>
      </c>
      <c r="J235" t="str">
        <f>IF($A235&lt;&gt;"",'Approved-Enforcement'!I235,"")</f>
        <v/>
      </c>
      <c r="K235" t="str">
        <f>IF($A235&lt;&gt;"",'Approved-Enforcement'!J235,"")</f>
        <v/>
      </c>
      <c r="L235" t="str">
        <f>IF($A235&lt;&gt;"",'Approved-Enforcement'!K235,"")</f>
        <v/>
      </c>
      <c r="M235" t="str">
        <f>IF($A235&lt;&gt;"",'Approved-Enforcement'!L235,"")</f>
        <v/>
      </c>
      <c r="N235" t="str">
        <f>IF($A235&lt;&gt;"",'Approved-Enforcement'!M235,"")</f>
        <v/>
      </c>
      <c r="O235" t="str">
        <f>IF($A235&lt;&gt;"",'Approved-Enforcement'!N235,"")</f>
        <v/>
      </c>
      <c r="P235" t="str">
        <f>IF($A235&lt;&gt;"",'Approved-Enforcement'!O235,"")</f>
        <v/>
      </c>
    </row>
    <row r="236" spans="1:16" x14ac:dyDescent="0.35">
      <c r="A236" s="4" t="str">
        <f>IF('Approved-Enforcement'!$A236&lt;&gt;"",'Approved-Enforcement'!A236,"")</f>
        <v/>
      </c>
      <c r="B236" t="str">
        <f t="shared" si="3"/>
        <v/>
      </c>
      <c r="D236" t="str">
        <f>IF($A236&lt;&gt;"",IF($R236&lt;&gt;"",$R236,'Approved-Enforcement'!$B236+7),"")</f>
        <v/>
      </c>
      <c r="E236" t="str">
        <f>IF($A236&lt;&gt;"",'Approved-Enforcement'!D236,"")</f>
        <v/>
      </c>
      <c r="F236" t="str">
        <f>IF($A236&lt;&gt;"",'Approved-Enforcement'!E236,"")</f>
        <v/>
      </c>
      <c r="G236" t="str">
        <f>IF($A236&lt;&gt;"",'Approved-Enforcement'!F236,"")</f>
        <v/>
      </c>
      <c r="H236" t="str">
        <f>IF($A236&lt;&gt;"",'Approved-Enforcement'!G236,"")</f>
        <v/>
      </c>
      <c r="I236" t="str">
        <f>IF($A236&lt;&gt;"",'Approved-Enforcement'!H236,"")</f>
        <v/>
      </c>
      <c r="J236" t="str">
        <f>IF($A236&lt;&gt;"",'Approved-Enforcement'!I236,"")</f>
        <v/>
      </c>
      <c r="K236" t="str">
        <f>IF($A236&lt;&gt;"",'Approved-Enforcement'!J236,"")</f>
        <v/>
      </c>
      <c r="L236" t="str">
        <f>IF($A236&lt;&gt;"",'Approved-Enforcement'!K236,"")</f>
        <v/>
      </c>
      <c r="M236" t="str">
        <f>IF($A236&lt;&gt;"",'Approved-Enforcement'!L236,"")</f>
        <v/>
      </c>
      <c r="N236" t="str">
        <f>IF($A236&lt;&gt;"",'Approved-Enforcement'!M236,"")</f>
        <v/>
      </c>
      <c r="O236" t="str">
        <f>IF($A236&lt;&gt;"",'Approved-Enforcement'!N236,"")</f>
        <v/>
      </c>
      <c r="P236" t="str">
        <f>IF($A236&lt;&gt;"",'Approved-Enforcement'!O236,"")</f>
        <v/>
      </c>
    </row>
    <row r="237" spans="1:16" x14ac:dyDescent="0.35">
      <c r="A237" s="4" t="str">
        <f>IF('Approved-Enforcement'!$A237&lt;&gt;"",'Approved-Enforcement'!A237,"")</f>
        <v/>
      </c>
      <c r="B237" t="str">
        <f t="shared" si="3"/>
        <v/>
      </c>
      <c r="D237" t="str">
        <f>IF($A237&lt;&gt;"",IF($R237&lt;&gt;"",$R237,'Approved-Enforcement'!$B237+7),"")</f>
        <v/>
      </c>
      <c r="E237" t="str">
        <f>IF($A237&lt;&gt;"",'Approved-Enforcement'!D237,"")</f>
        <v/>
      </c>
      <c r="F237" t="str">
        <f>IF($A237&lt;&gt;"",'Approved-Enforcement'!E237,"")</f>
        <v/>
      </c>
      <c r="G237" t="str">
        <f>IF($A237&lt;&gt;"",'Approved-Enforcement'!F237,"")</f>
        <v/>
      </c>
      <c r="H237" t="str">
        <f>IF($A237&lt;&gt;"",'Approved-Enforcement'!G237,"")</f>
        <v/>
      </c>
      <c r="I237" t="str">
        <f>IF($A237&lt;&gt;"",'Approved-Enforcement'!H237,"")</f>
        <v/>
      </c>
      <c r="J237" t="str">
        <f>IF($A237&lt;&gt;"",'Approved-Enforcement'!I237,"")</f>
        <v/>
      </c>
      <c r="K237" t="str">
        <f>IF($A237&lt;&gt;"",'Approved-Enforcement'!J237,"")</f>
        <v/>
      </c>
      <c r="L237" t="str">
        <f>IF($A237&lt;&gt;"",'Approved-Enforcement'!K237,"")</f>
        <v/>
      </c>
      <c r="M237" t="str">
        <f>IF($A237&lt;&gt;"",'Approved-Enforcement'!L237,"")</f>
        <v/>
      </c>
      <c r="N237" t="str">
        <f>IF($A237&lt;&gt;"",'Approved-Enforcement'!M237,"")</f>
        <v/>
      </c>
      <c r="O237" t="str">
        <f>IF($A237&lt;&gt;"",'Approved-Enforcement'!N237,"")</f>
        <v/>
      </c>
      <c r="P237" t="str">
        <f>IF($A237&lt;&gt;"",'Approved-Enforcement'!O237,"")</f>
        <v/>
      </c>
    </row>
    <row r="238" spans="1:16" x14ac:dyDescent="0.35">
      <c r="A238" s="4" t="str">
        <f>IF('Approved-Enforcement'!$A238&lt;&gt;"",'Approved-Enforcement'!A238,"")</f>
        <v/>
      </c>
      <c r="B238" t="str">
        <f t="shared" si="3"/>
        <v/>
      </c>
      <c r="D238" t="str">
        <f>IF($A238&lt;&gt;"",IF($R238&lt;&gt;"",$R238,'Approved-Enforcement'!$B238+7),"")</f>
        <v/>
      </c>
      <c r="E238" t="str">
        <f>IF($A238&lt;&gt;"",'Approved-Enforcement'!D238,"")</f>
        <v/>
      </c>
      <c r="F238" t="str">
        <f>IF($A238&lt;&gt;"",'Approved-Enforcement'!E238,"")</f>
        <v/>
      </c>
      <c r="G238" t="str">
        <f>IF($A238&lt;&gt;"",'Approved-Enforcement'!F238,"")</f>
        <v/>
      </c>
      <c r="H238" t="str">
        <f>IF($A238&lt;&gt;"",'Approved-Enforcement'!G238,"")</f>
        <v/>
      </c>
      <c r="I238" t="str">
        <f>IF($A238&lt;&gt;"",'Approved-Enforcement'!H238,"")</f>
        <v/>
      </c>
      <c r="J238" t="str">
        <f>IF($A238&lt;&gt;"",'Approved-Enforcement'!I238,"")</f>
        <v/>
      </c>
      <c r="K238" t="str">
        <f>IF($A238&lt;&gt;"",'Approved-Enforcement'!J238,"")</f>
        <v/>
      </c>
      <c r="L238" t="str">
        <f>IF($A238&lt;&gt;"",'Approved-Enforcement'!K238,"")</f>
        <v/>
      </c>
      <c r="M238" t="str">
        <f>IF($A238&lt;&gt;"",'Approved-Enforcement'!L238,"")</f>
        <v/>
      </c>
      <c r="N238" t="str">
        <f>IF($A238&lt;&gt;"",'Approved-Enforcement'!M238,"")</f>
        <v/>
      </c>
      <c r="O238" t="str">
        <f>IF($A238&lt;&gt;"",'Approved-Enforcement'!N238,"")</f>
        <v/>
      </c>
      <c r="P238" t="str">
        <f>IF($A238&lt;&gt;"",'Approved-Enforcement'!O238,"")</f>
        <v/>
      </c>
    </row>
    <row r="239" spans="1:16" x14ac:dyDescent="0.35">
      <c r="A239" s="4" t="str">
        <f>IF('Approved-Enforcement'!$A239&lt;&gt;"",'Approved-Enforcement'!A239,"")</f>
        <v/>
      </c>
      <c r="B239" t="str">
        <f t="shared" si="3"/>
        <v/>
      </c>
      <c r="D239" t="str">
        <f>IF($A239&lt;&gt;"",IF($R239&lt;&gt;"",$R239,'Approved-Enforcement'!$B239+7),"")</f>
        <v/>
      </c>
      <c r="E239" t="str">
        <f>IF($A239&lt;&gt;"",'Approved-Enforcement'!D239,"")</f>
        <v/>
      </c>
      <c r="F239" t="str">
        <f>IF($A239&lt;&gt;"",'Approved-Enforcement'!E239,"")</f>
        <v/>
      </c>
      <c r="G239" t="str">
        <f>IF($A239&lt;&gt;"",'Approved-Enforcement'!F239,"")</f>
        <v/>
      </c>
      <c r="H239" t="str">
        <f>IF($A239&lt;&gt;"",'Approved-Enforcement'!G239,"")</f>
        <v/>
      </c>
      <c r="I239" t="str">
        <f>IF($A239&lt;&gt;"",'Approved-Enforcement'!H239,"")</f>
        <v/>
      </c>
      <c r="J239" t="str">
        <f>IF($A239&lt;&gt;"",'Approved-Enforcement'!I239,"")</f>
        <v/>
      </c>
      <c r="K239" t="str">
        <f>IF($A239&lt;&gt;"",'Approved-Enforcement'!J239,"")</f>
        <v/>
      </c>
      <c r="L239" t="str">
        <f>IF($A239&lt;&gt;"",'Approved-Enforcement'!K239,"")</f>
        <v/>
      </c>
      <c r="M239" t="str">
        <f>IF($A239&lt;&gt;"",'Approved-Enforcement'!L239,"")</f>
        <v/>
      </c>
      <c r="N239" t="str">
        <f>IF($A239&lt;&gt;"",'Approved-Enforcement'!M239,"")</f>
        <v/>
      </c>
      <c r="O239" t="str">
        <f>IF($A239&lt;&gt;"",'Approved-Enforcement'!N239,"")</f>
        <v/>
      </c>
      <c r="P239" t="str">
        <f>IF($A239&lt;&gt;"",'Approved-Enforcement'!O239,"")</f>
        <v/>
      </c>
    </row>
    <row r="240" spans="1:16" x14ac:dyDescent="0.35">
      <c r="A240" s="4" t="str">
        <f>IF('Approved-Enforcement'!$A240&lt;&gt;"",'Approved-Enforcement'!A240,"")</f>
        <v/>
      </c>
      <c r="B240" t="str">
        <f t="shared" si="3"/>
        <v/>
      </c>
      <c r="D240" t="str">
        <f>IF($A240&lt;&gt;"",IF($R240&lt;&gt;"",$R240,'Approved-Enforcement'!$B240+7),"")</f>
        <v/>
      </c>
      <c r="E240" t="str">
        <f>IF($A240&lt;&gt;"",'Approved-Enforcement'!D240,"")</f>
        <v/>
      </c>
      <c r="F240" t="str">
        <f>IF($A240&lt;&gt;"",'Approved-Enforcement'!E240,"")</f>
        <v/>
      </c>
      <c r="G240" t="str">
        <f>IF($A240&lt;&gt;"",'Approved-Enforcement'!F240,"")</f>
        <v/>
      </c>
      <c r="H240" t="str">
        <f>IF($A240&lt;&gt;"",'Approved-Enforcement'!G240,"")</f>
        <v/>
      </c>
      <c r="I240" t="str">
        <f>IF($A240&lt;&gt;"",'Approved-Enforcement'!H240,"")</f>
        <v/>
      </c>
      <c r="J240" t="str">
        <f>IF($A240&lt;&gt;"",'Approved-Enforcement'!I240,"")</f>
        <v/>
      </c>
      <c r="K240" t="str">
        <f>IF($A240&lt;&gt;"",'Approved-Enforcement'!J240,"")</f>
        <v/>
      </c>
      <c r="L240" t="str">
        <f>IF($A240&lt;&gt;"",'Approved-Enforcement'!K240,"")</f>
        <v/>
      </c>
      <c r="M240" t="str">
        <f>IF($A240&lt;&gt;"",'Approved-Enforcement'!L240,"")</f>
        <v/>
      </c>
      <c r="N240" t="str">
        <f>IF($A240&lt;&gt;"",'Approved-Enforcement'!M240,"")</f>
        <v/>
      </c>
      <c r="O240" t="str">
        <f>IF($A240&lt;&gt;"",'Approved-Enforcement'!N240,"")</f>
        <v/>
      </c>
      <c r="P240" t="str">
        <f>IF($A240&lt;&gt;"",'Approved-Enforcement'!O240,"")</f>
        <v/>
      </c>
    </row>
    <row r="241" spans="1:16" x14ac:dyDescent="0.35">
      <c r="A241" s="4" t="str">
        <f>IF('Approved-Enforcement'!$A241&lt;&gt;"",'Approved-Enforcement'!A241,"")</f>
        <v/>
      </c>
      <c r="B241" t="str">
        <f t="shared" si="3"/>
        <v/>
      </c>
      <c r="D241" t="str">
        <f>IF($A241&lt;&gt;"",IF($R241&lt;&gt;"",$R241,'Approved-Enforcement'!$B241+7),"")</f>
        <v/>
      </c>
      <c r="E241" t="str">
        <f>IF($A241&lt;&gt;"",'Approved-Enforcement'!D241,"")</f>
        <v/>
      </c>
      <c r="F241" t="str">
        <f>IF($A241&lt;&gt;"",'Approved-Enforcement'!E241,"")</f>
        <v/>
      </c>
      <c r="G241" t="str">
        <f>IF($A241&lt;&gt;"",'Approved-Enforcement'!F241,"")</f>
        <v/>
      </c>
      <c r="H241" t="str">
        <f>IF($A241&lt;&gt;"",'Approved-Enforcement'!G241,"")</f>
        <v/>
      </c>
      <c r="I241" t="str">
        <f>IF($A241&lt;&gt;"",'Approved-Enforcement'!H241,"")</f>
        <v/>
      </c>
      <c r="J241" t="str">
        <f>IF($A241&lt;&gt;"",'Approved-Enforcement'!I241,"")</f>
        <v/>
      </c>
      <c r="K241" t="str">
        <f>IF($A241&lt;&gt;"",'Approved-Enforcement'!J241,"")</f>
        <v/>
      </c>
      <c r="L241" t="str">
        <f>IF($A241&lt;&gt;"",'Approved-Enforcement'!K241,"")</f>
        <v/>
      </c>
      <c r="M241" t="str">
        <f>IF($A241&lt;&gt;"",'Approved-Enforcement'!L241,"")</f>
        <v/>
      </c>
      <c r="N241" t="str">
        <f>IF($A241&lt;&gt;"",'Approved-Enforcement'!M241,"")</f>
        <v/>
      </c>
      <c r="O241" t="str">
        <f>IF($A241&lt;&gt;"",'Approved-Enforcement'!N241,"")</f>
        <v/>
      </c>
      <c r="P241" t="str">
        <f>IF($A241&lt;&gt;"",'Approved-Enforcement'!O241,"")</f>
        <v/>
      </c>
    </row>
    <row r="242" spans="1:16" x14ac:dyDescent="0.35">
      <c r="A242" s="4" t="str">
        <f>IF('Approved-Enforcement'!$A242&lt;&gt;"",'Approved-Enforcement'!A242,"")</f>
        <v/>
      </c>
      <c r="B242" t="str">
        <f t="shared" si="3"/>
        <v/>
      </c>
      <c r="D242" t="str">
        <f>IF($A242&lt;&gt;"",IF($R242&lt;&gt;"",$R242,'Approved-Enforcement'!$B242+7),"")</f>
        <v/>
      </c>
      <c r="E242" t="str">
        <f>IF($A242&lt;&gt;"",'Approved-Enforcement'!D242,"")</f>
        <v/>
      </c>
      <c r="F242" t="str">
        <f>IF($A242&lt;&gt;"",'Approved-Enforcement'!E242,"")</f>
        <v/>
      </c>
      <c r="G242" t="str">
        <f>IF($A242&lt;&gt;"",'Approved-Enforcement'!F242,"")</f>
        <v/>
      </c>
      <c r="H242" t="str">
        <f>IF($A242&lt;&gt;"",'Approved-Enforcement'!G242,"")</f>
        <v/>
      </c>
      <c r="I242" t="str">
        <f>IF($A242&lt;&gt;"",'Approved-Enforcement'!H242,"")</f>
        <v/>
      </c>
      <c r="J242" t="str">
        <f>IF($A242&lt;&gt;"",'Approved-Enforcement'!I242,"")</f>
        <v/>
      </c>
      <c r="K242" t="str">
        <f>IF($A242&lt;&gt;"",'Approved-Enforcement'!J242,"")</f>
        <v/>
      </c>
      <c r="L242" t="str">
        <f>IF($A242&lt;&gt;"",'Approved-Enforcement'!K242,"")</f>
        <v/>
      </c>
      <c r="M242" t="str">
        <f>IF($A242&lt;&gt;"",'Approved-Enforcement'!L242,"")</f>
        <v/>
      </c>
      <c r="N242" t="str">
        <f>IF($A242&lt;&gt;"",'Approved-Enforcement'!M242,"")</f>
        <v/>
      </c>
      <c r="O242" t="str">
        <f>IF($A242&lt;&gt;"",'Approved-Enforcement'!N242,"")</f>
        <v/>
      </c>
      <c r="P242" t="str">
        <f>IF($A242&lt;&gt;"",'Approved-Enforcement'!O242,"")</f>
        <v/>
      </c>
    </row>
    <row r="243" spans="1:16" x14ac:dyDescent="0.35">
      <c r="A243" s="4" t="str">
        <f>IF('Approved-Enforcement'!$A243&lt;&gt;"",'Approved-Enforcement'!A243,"")</f>
        <v/>
      </c>
      <c r="B243" t="str">
        <f t="shared" si="3"/>
        <v/>
      </c>
      <c r="D243" t="str">
        <f>IF($A243&lt;&gt;"",IF($R243&lt;&gt;"",$R243,'Approved-Enforcement'!$B243+7),"")</f>
        <v/>
      </c>
      <c r="E243" t="str">
        <f>IF($A243&lt;&gt;"",'Approved-Enforcement'!D243,"")</f>
        <v/>
      </c>
      <c r="F243" t="str">
        <f>IF($A243&lt;&gt;"",'Approved-Enforcement'!E243,"")</f>
        <v/>
      </c>
      <c r="G243" t="str">
        <f>IF($A243&lt;&gt;"",'Approved-Enforcement'!F243,"")</f>
        <v/>
      </c>
      <c r="H243" t="str">
        <f>IF($A243&lt;&gt;"",'Approved-Enforcement'!G243,"")</f>
        <v/>
      </c>
      <c r="I243" t="str">
        <f>IF($A243&lt;&gt;"",'Approved-Enforcement'!H243,"")</f>
        <v/>
      </c>
      <c r="J243" t="str">
        <f>IF($A243&lt;&gt;"",'Approved-Enforcement'!I243,"")</f>
        <v/>
      </c>
      <c r="K243" t="str">
        <f>IF($A243&lt;&gt;"",'Approved-Enforcement'!J243,"")</f>
        <v/>
      </c>
      <c r="L243" t="str">
        <f>IF($A243&lt;&gt;"",'Approved-Enforcement'!K243,"")</f>
        <v/>
      </c>
      <c r="M243" t="str">
        <f>IF($A243&lt;&gt;"",'Approved-Enforcement'!L243,"")</f>
        <v/>
      </c>
      <c r="N243" t="str">
        <f>IF($A243&lt;&gt;"",'Approved-Enforcement'!M243,"")</f>
        <v/>
      </c>
      <c r="O243" t="str">
        <f>IF($A243&lt;&gt;"",'Approved-Enforcement'!N243,"")</f>
        <v/>
      </c>
      <c r="P243" t="str">
        <f>IF($A243&lt;&gt;"",'Approved-Enforcement'!O243,"")</f>
        <v/>
      </c>
    </row>
    <row r="244" spans="1:16" x14ac:dyDescent="0.35">
      <c r="A244" s="4" t="str">
        <f>IF('Approved-Enforcement'!$A244&lt;&gt;"",'Approved-Enforcement'!A244,"")</f>
        <v/>
      </c>
      <c r="B244" t="str">
        <f t="shared" si="3"/>
        <v/>
      </c>
      <c r="D244" t="str">
        <f>IF($A244&lt;&gt;"",IF($R244&lt;&gt;"",$R244,'Approved-Enforcement'!$B244+7),"")</f>
        <v/>
      </c>
      <c r="E244" t="str">
        <f>IF($A244&lt;&gt;"",'Approved-Enforcement'!D244,"")</f>
        <v/>
      </c>
      <c r="F244" t="str">
        <f>IF($A244&lt;&gt;"",'Approved-Enforcement'!E244,"")</f>
        <v/>
      </c>
      <c r="G244" t="str">
        <f>IF($A244&lt;&gt;"",'Approved-Enforcement'!F244,"")</f>
        <v/>
      </c>
      <c r="H244" t="str">
        <f>IF($A244&lt;&gt;"",'Approved-Enforcement'!G244,"")</f>
        <v/>
      </c>
      <c r="I244" t="str">
        <f>IF($A244&lt;&gt;"",'Approved-Enforcement'!H244,"")</f>
        <v/>
      </c>
      <c r="J244" t="str">
        <f>IF($A244&lt;&gt;"",'Approved-Enforcement'!I244,"")</f>
        <v/>
      </c>
      <c r="K244" t="str">
        <f>IF($A244&lt;&gt;"",'Approved-Enforcement'!J244,"")</f>
        <v/>
      </c>
      <c r="L244" t="str">
        <f>IF($A244&lt;&gt;"",'Approved-Enforcement'!K244,"")</f>
        <v/>
      </c>
      <c r="M244" t="str">
        <f>IF($A244&lt;&gt;"",'Approved-Enforcement'!L244,"")</f>
        <v/>
      </c>
      <c r="N244" t="str">
        <f>IF($A244&lt;&gt;"",'Approved-Enforcement'!M244,"")</f>
        <v/>
      </c>
      <c r="O244" t="str">
        <f>IF($A244&lt;&gt;"",'Approved-Enforcement'!N244,"")</f>
        <v/>
      </c>
      <c r="P244" t="str">
        <f>IF($A244&lt;&gt;"",'Approved-Enforcement'!O244,"")</f>
        <v/>
      </c>
    </row>
    <row r="245" spans="1:16" x14ac:dyDescent="0.35">
      <c r="A245" s="4" t="str">
        <f>IF('Approved-Enforcement'!$A245&lt;&gt;"",'Approved-Enforcement'!A245,"")</f>
        <v/>
      </c>
      <c r="B245" t="str">
        <f t="shared" si="3"/>
        <v/>
      </c>
      <c r="D245" t="str">
        <f>IF($A245&lt;&gt;"",IF($R245&lt;&gt;"",$R245,'Approved-Enforcement'!$B245+7),"")</f>
        <v/>
      </c>
      <c r="E245" t="str">
        <f>IF($A245&lt;&gt;"",'Approved-Enforcement'!D245,"")</f>
        <v/>
      </c>
      <c r="F245" t="str">
        <f>IF($A245&lt;&gt;"",'Approved-Enforcement'!E245,"")</f>
        <v/>
      </c>
      <c r="G245" t="str">
        <f>IF($A245&lt;&gt;"",'Approved-Enforcement'!F245,"")</f>
        <v/>
      </c>
      <c r="H245" t="str">
        <f>IF($A245&lt;&gt;"",'Approved-Enforcement'!G245,"")</f>
        <v/>
      </c>
      <c r="I245" t="str">
        <f>IF($A245&lt;&gt;"",'Approved-Enforcement'!H245,"")</f>
        <v/>
      </c>
      <c r="J245" t="str">
        <f>IF($A245&lt;&gt;"",'Approved-Enforcement'!I245,"")</f>
        <v/>
      </c>
      <c r="K245" t="str">
        <f>IF($A245&lt;&gt;"",'Approved-Enforcement'!J245,"")</f>
        <v/>
      </c>
      <c r="L245" t="str">
        <f>IF($A245&lt;&gt;"",'Approved-Enforcement'!K245,"")</f>
        <v/>
      </c>
      <c r="M245" t="str">
        <f>IF($A245&lt;&gt;"",'Approved-Enforcement'!L245,"")</f>
        <v/>
      </c>
      <c r="N245" t="str">
        <f>IF($A245&lt;&gt;"",'Approved-Enforcement'!M245,"")</f>
        <v/>
      </c>
      <c r="O245" t="str">
        <f>IF($A245&lt;&gt;"",'Approved-Enforcement'!N245,"")</f>
        <v/>
      </c>
      <c r="P245" t="str">
        <f>IF($A245&lt;&gt;"",'Approved-Enforcement'!O245,"")</f>
        <v/>
      </c>
    </row>
    <row r="246" spans="1:16" x14ac:dyDescent="0.35">
      <c r="A246" s="4" t="str">
        <f>IF('Approved-Enforcement'!$A246&lt;&gt;"",'Approved-Enforcement'!A246,"")</f>
        <v/>
      </c>
      <c r="B246" t="str">
        <f t="shared" si="3"/>
        <v/>
      </c>
      <c r="D246" t="str">
        <f>IF($A246&lt;&gt;"",IF($R246&lt;&gt;"",$R246,'Approved-Enforcement'!$B246+7),"")</f>
        <v/>
      </c>
      <c r="E246" t="str">
        <f>IF($A246&lt;&gt;"",'Approved-Enforcement'!D246,"")</f>
        <v/>
      </c>
      <c r="F246" t="str">
        <f>IF($A246&lt;&gt;"",'Approved-Enforcement'!E246,"")</f>
        <v/>
      </c>
      <c r="G246" t="str">
        <f>IF($A246&lt;&gt;"",'Approved-Enforcement'!F246,"")</f>
        <v/>
      </c>
      <c r="H246" t="str">
        <f>IF($A246&lt;&gt;"",'Approved-Enforcement'!G246,"")</f>
        <v/>
      </c>
      <c r="I246" t="str">
        <f>IF($A246&lt;&gt;"",'Approved-Enforcement'!H246,"")</f>
        <v/>
      </c>
      <c r="J246" t="str">
        <f>IF($A246&lt;&gt;"",'Approved-Enforcement'!I246,"")</f>
        <v/>
      </c>
      <c r="K246" t="str">
        <f>IF($A246&lt;&gt;"",'Approved-Enforcement'!J246,"")</f>
        <v/>
      </c>
      <c r="L246" t="str">
        <f>IF($A246&lt;&gt;"",'Approved-Enforcement'!K246,"")</f>
        <v/>
      </c>
      <c r="M246" t="str">
        <f>IF($A246&lt;&gt;"",'Approved-Enforcement'!L246,"")</f>
        <v/>
      </c>
      <c r="N246" t="str">
        <f>IF($A246&lt;&gt;"",'Approved-Enforcement'!M246,"")</f>
        <v/>
      </c>
      <c r="O246" t="str">
        <f>IF($A246&lt;&gt;"",'Approved-Enforcement'!N246,"")</f>
        <v/>
      </c>
      <c r="P246" t="str">
        <f>IF($A246&lt;&gt;"",'Approved-Enforcement'!O246,"")</f>
        <v/>
      </c>
    </row>
    <row r="247" spans="1:16" x14ac:dyDescent="0.35">
      <c r="A247" s="4" t="str">
        <f>IF('Approved-Enforcement'!$A247&lt;&gt;"",'Approved-Enforcement'!A247,"")</f>
        <v/>
      </c>
      <c r="B247" t="str">
        <f t="shared" si="3"/>
        <v/>
      </c>
      <c r="D247" t="str">
        <f>IF($A247&lt;&gt;"",IF($R247&lt;&gt;"",$R247,'Approved-Enforcement'!$B247+7),"")</f>
        <v/>
      </c>
      <c r="E247" t="str">
        <f>IF($A247&lt;&gt;"",'Approved-Enforcement'!D247,"")</f>
        <v/>
      </c>
      <c r="F247" t="str">
        <f>IF($A247&lt;&gt;"",'Approved-Enforcement'!E247,"")</f>
        <v/>
      </c>
      <c r="G247" t="str">
        <f>IF($A247&lt;&gt;"",'Approved-Enforcement'!F247,"")</f>
        <v/>
      </c>
      <c r="H247" t="str">
        <f>IF($A247&lt;&gt;"",'Approved-Enforcement'!G247,"")</f>
        <v/>
      </c>
      <c r="I247" t="str">
        <f>IF($A247&lt;&gt;"",'Approved-Enforcement'!H247,"")</f>
        <v/>
      </c>
      <c r="J247" t="str">
        <f>IF($A247&lt;&gt;"",'Approved-Enforcement'!I247,"")</f>
        <v/>
      </c>
      <c r="K247" t="str">
        <f>IF($A247&lt;&gt;"",'Approved-Enforcement'!J247,"")</f>
        <v/>
      </c>
      <c r="L247" t="str">
        <f>IF($A247&lt;&gt;"",'Approved-Enforcement'!K247,"")</f>
        <v/>
      </c>
      <c r="M247" t="str">
        <f>IF($A247&lt;&gt;"",'Approved-Enforcement'!L247,"")</f>
        <v/>
      </c>
      <c r="N247" t="str">
        <f>IF($A247&lt;&gt;"",'Approved-Enforcement'!M247,"")</f>
        <v/>
      </c>
      <c r="O247" t="str">
        <f>IF($A247&lt;&gt;"",'Approved-Enforcement'!N247,"")</f>
        <v/>
      </c>
      <c r="P247" t="str">
        <f>IF($A247&lt;&gt;"",'Approved-Enforcement'!O247,"")</f>
        <v/>
      </c>
    </row>
    <row r="248" spans="1:16" x14ac:dyDescent="0.35">
      <c r="A248" s="4" t="str">
        <f>IF('Approved-Enforcement'!$A248&lt;&gt;"",'Approved-Enforcement'!A248,"")</f>
        <v/>
      </c>
      <c r="B248" t="str">
        <f t="shared" si="3"/>
        <v/>
      </c>
      <c r="D248" t="str">
        <f>IF($A248&lt;&gt;"",IF($R248&lt;&gt;"",$R248,'Approved-Enforcement'!$B248+7),"")</f>
        <v/>
      </c>
      <c r="E248" t="str">
        <f>IF($A248&lt;&gt;"",'Approved-Enforcement'!D248,"")</f>
        <v/>
      </c>
      <c r="F248" t="str">
        <f>IF($A248&lt;&gt;"",'Approved-Enforcement'!E248,"")</f>
        <v/>
      </c>
      <c r="G248" t="str">
        <f>IF($A248&lt;&gt;"",'Approved-Enforcement'!F248,"")</f>
        <v/>
      </c>
      <c r="H248" t="str">
        <f>IF($A248&lt;&gt;"",'Approved-Enforcement'!G248,"")</f>
        <v/>
      </c>
      <c r="I248" t="str">
        <f>IF($A248&lt;&gt;"",'Approved-Enforcement'!H248,"")</f>
        <v/>
      </c>
      <c r="J248" t="str">
        <f>IF($A248&lt;&gt;"",'Approved-Enforcement'!I248,"")</f>
        <v/>
      </c>
      <c r="K248" t="str">
        <f>IF($A248&lt;&gt;"",'Approved-Enforcement'!J248,"")</f>
        <v/>
      </c>
      <c r="L248" t="str">
        <f>IF($A248&lt;&gt;"",'Approved-Enforcement'!K248,"")</f>
        <v/>
      </c>
      <c r="M248" t="str">
        <f>IF($A248&lt;&gt;"",'Approved-Enforcement'!L248,"")</f>
        <v/>
      </c>
      <c r="N248" t="str">
        <f>IF($A248&lt;&gt;"",'Approved-Enforcement'!M248,"")</f>
        <v/>
      </c>
      <c r="O248" t="str">
        <f>IF($A248&lt;&gt;"",'Approved-Enforcement'!N248,"")</f>
        <v/>
      </c>
      <c r="P248" t="str">
        <f>IF($A248&lt;&gt;"",'Approved-Enforcement'!O248,"")</f>
        <v/>
      </c>
    </row>
    <row r="249" spans="1:16" x14ac:dyDescent="0.35">
      <c r="A249" s="4" t="str">
        <f>IF('Approved-Enforcement'!$A249&lt;&gt;"",'Approved-Enforcement'!A249,"")</f>
        <v/>
      </c>
      <c r="B249" t="str">
        <f t="shared" si="3"/>
        <v/>
      </c>
      <c r="D249" t="str">
        <f>IF($A249&lt;&gt;"",IF($R249&lt;&gt;"",$R249,'Approved-Enforcement'!$B249+7),"")</f>
        <v/>
      </c>
      <c r="E249" t="str">
        <f>IF($A249&lt;&gt;"",'Approved-Enforcement'!D249,"")</f>
        <v/>
      </c>
      <c r="F249" t="str">
        <f>IF($A249&lt;&gt;"",'Approved-Enforcement'!E249,"")</f>
        <v/>
      </c>
      <c r="G249" t="str">
        <f>IF($A249&lt;&gt;"",'Approved-Enforcement'!F249,"")</f>
        <v/>
      </c>
      <c r="H249" t="str">
        <f>IF($A249&lt;&gt;"",'Approved-Enforcement'!G249,"")</f>
        <v/>
      </c>
      <c r="I249" t="str">
        <f>IF($A249&lt;&gt;"",'Approved-Enforcement'!H249,"")</f>
        <v/>
      </c>
      <c r="J249" t="str">
        <f>IF($A249&lt;&gt;"",'Approved-Enforcement'!I249,"")</f>
        <v/>
      </c>
      <c r="K249" t="str">
        <f>IF($A249&lt;&gt;"",'Approved-Enforcement'!J249,"")</f>
        <v/>
      </c>
      <c r="L249" t="str">
        <f>IF($A249&lt;&gt;"",'Approved-Enforcement'!K249,"")</f>
        <v/>
      </c>
      <c r="M249" t="str">
        <f>IF($A249&lt;&gt;"",'Approved-Enforcement'!L249,"")</f>
        <v/>
      </c>
      <c r="N249" t="str">
        <f>IF($A249&lt;&gt;"",'Approved-Enforcement'!M249,"")</f>
        <v/>
      </c>
      <c r="O249" t="str">
        <f>IF($A249&lt;&gt;"",'Approved-Enforcement'!N249,"")</f>
        <v/>
      </c>
      <c r="P249" t="str">
        <f>IF($A249&lt;&gt;"",'Approved-Enforcement'!O249,"")</f>
        <v/>
      </c>
    </row>
    <row r="250" spans="1:16" x14ac:dyDescent="0.35">
      <c r="A250" s="4" t="str">
        <f>IF('Approved-Enforcement'!$A250&lt;&gt;"",'Approved-Enforcement'!A250,"")</f>
        <v/>
      </c>
      <c r="B250" t="str">
        <f t="shared" si="3"/>
        <v/>
      </c>
      <c r="D250" t="str">
        <f>IF($A250&lt;&gt;"",IF($R250&lt;&gt;"",$R250,'Approved-Enforcement'!$B250+7),"")</f>
        <v/>
      </c>
      <c r="E250" t="str">
        <f>IF($A250&lt;&gt;"",'Approved-Enforcement'!D250,"")</f>
        <v/>
      </c>
      <c r="F250" t="str">
        <f>IF($A250&lt;&gt;"",'Approved-Enforcement'!E250,"")</f>
        <v/>
      </c>
      <c r="G250" t="str">
        <f>IF($A250&lt;&gt;"",'Approved-Enforcement'!F250,"")</f>
        <v/>
      </c>
      <c r="H250" t="str">
        <f>IF($A250&lt;&gt;"",'Approved-Enforcement'!G250,"")</f>
        <v/>
      </c>
      <c r="I250" t="str">
        <f>IF($A250&lt;&gt;"",'Approved-Enforcement'!H250,"")</f>
        <v/>
      </c>
      <c r="J250" t="str">
        <f>IF($A250&lt;&gt;"",'Approved-Enforcement'!I250,"")</f>
        <v/>
      </c>
      <c r="K250" t="str">
        <f>IF($A250&lt;&gt;"",'Approved-Enforcement'!J250,"")</f>
        <v/>
      </c>
      <c r="L250" t="str">
        <f>IF($A250&lt;&gt;"",'Approved-Enforcement'!K250,"")</f>
        <v/>
      </c>
      <c r="M250" t="str">
        <f>IF($A250&lt;&gt;"",'Approved-Enforcement'!L250,"")</f>
        <v/>
      </c>
      <c r="N250" t="str">
        <f>IF($A250&lt;&gt;"",'Approved-Enforcement'!M250,"")</f>
        <v/>
      </c>
      <c r="O250" t="str">
        <f>IF($A250&lt;&gt;"",'Approved-Enforcement'!N250,"")</f>
        <v/>
      </c>
      <c r="P250" t="str">
        <f>IF($A250&lt;&gt;"",'Approved-Enforcement'!O250,"")</f>
        <v/>
      </c>
    </row>
    <row r="251" spans="1:16" x14ac:dyDescent="0.35">
      <c r="A251" s="4" t="str">
        <f>IF('Approved-Enforcement'!$A251&lt;&gt;"",'Approved-Enforcement'!A251,"")</f>
        <v/>
      </c>
      <c r="B251" t="str">
        <f t="shared" si="3"/>
        <v/>
      </c>
      <c r="D251" t="str">
        <f>IF($A251&lt;&gt;"",IF($R251&lt;&gt;"",$R251,'Approved-Enforcement'!$B251+7),"")</f>
        <v/>
      </c>
      <c r="E251" t="str">
        <f>IF($A251&lt;&gt;"",'Approved-Enforcement'!D251,"")</f>
        <v/>
      </c>
      <c r="F251" t="str">
        <f>IF($A251&lt;&gt;"",'Approved-Enforcement'!E251,"")</f>
        <v/>
      </c>
      <c r="G251" t="str">
        <f>IF($A251&lt;&gt;"",'Approved-Enforcement'!F251,"")</f>
        <v/>
      </c>
      <c r="H251" t="str">
        <f>IF($A251&lt;&gt;"",'Approved-Enforcement'!G251,"")</f>
        <v/>
      </c>
      <c r="I251" t="str">
        <f>IF($A251&lt;&gt;"",'Approved-Enforcement'!H251,"")</f>
        <v/>
      </c>
      <c r="J251" t="str">
        <f>IF($A251&lt;&gt;"",'Approved-Enforcement'!I251,"")</f>
        <v/>
      </c>
      <c r="K251" t="str">
        <f>IF($A251&lt;&gt;"",'Approved-Enforcement'!J251,"")</f>
        <v/>
      </c>
      <c r="L251" t="str">
        <f>IF($A251&lt;&gt;"",'Approved-Enforcement'!K251,"")</f>
        <v/>
      </c>
      <c r="M251" t="str">
        <f>IF($A251&lt;&gt;"",'Approved-Enforcement'!L251,"")</f>
        <v/>
      </c>
      <c r="N251" t="str">
        <f>IF($A251&lt;&gt;"",'Approved-Enforcement'!M251,"")</f>
        <v/>
      </c>
      <c r="O251" t="str">
        <f>IF($A251&lt;&gt;"",'Approved-Enforcement'!N251,"")</f>
        <v/>
      </c>
      <c r="P251" t="str">
        <f>IF($A251&lt;&gt;"",'Approved-Enforcement'!O251,"")</f>
        <v/>
      </c>
    </row>
    <row r="252" spans="1:16" x14ac:dyDescent="0.35">
      <c r="A252" s="4" t="str">
        <f>IF('Approved-Enforcement'!$A252&lt;&gt;"",'Approved-Enforcement'!A252,"")</f>
        <v/>
      </c>
      <c r="B252" t="str">
        <f t="shared" si="3"/>
        <v/>
      </c>
      <c r="D252" t="str">
        <f>IF($A252&lt;&gt;"",IF($R252&lt;&gt;"",$R252,'Approved-Enforcement'!$B252+7),"")</f>
        <v/>
      </c>
      <c r="E252" t="str">
        <f>IF($A252&lt;&gt;"",'Approved-Enforcement'!D252,"")</f>
        <v/>
      </c>
      <c r="F252" t="str">
        <f>IF($A252&lt;&gt;"",'Approved-Enforcement'!E252,"")</f>
        <v/>
      </c>
      <c r="G252" t="str">
        <f>IF($A252&lt;&gt;"",'Approved-Enforcement'!F252,"")</f>
        <v/>
      </c>
      <c r="H252" t="str">
        <f>IF($A252&lt;&gt;"",'Approved-Enforcement'!G252,"")</f>
        <v/>
      </c>
      <c r="I252" t="str">
        <f>IF($A252&lt;&gt;"",'Approved-Enforcement'!H252,"")</f>
        <v/>
      </c>
      <c r="J252" t="str">
        <f>IF($A252&lt;&gt;"",'Approved-Enforcement'!I252,"")</f>
        <v/>
      </c>
      <c r="K252" t="str">
        <f>IF($A252&lt;&gt;"",'Approved-Enforcement'!J252,"")</f>
        <v/>
      </c>
      <c r="L252" t="str">
        <f>IF($A252&lt;&gt;"",'Approved-Enforcement'!K252,"")</f>
        <v/>
      </c>
      <c r="M252" t="str">
        <f>IF($A252&lt;&gt;"",'Approved-Enforcement'!L252,"")</f>
        <v/>
      </c>
      <c r="N252" t="str">
        <f>IF($A252&lt;&gt;"",'Approved-Enforcement'!M252,"")</f>
        <v/>
      </c>
      <c r="O252" t="str">
        <f>IF($A252&lt;&gt;"",'Approved-Enforcement'!N252,"")</f>
        <v/>
      </c>
      <c r="P252" t="str">
        <f>IF($A252&lt;&gt;"",'Approved-Enforcement'!O252,"")</f>
        <v/>
      </c>
    </row>
    <row r="253" spans="1:16" x14ac:dyDescent="0.35">
      <c r="A253" s="4" t="str">
        <f>IF('Approved-Enforcement'!$A253&lt;&gt;"",'Approved-Enforcement'!A253,"")</f>
        <v/>
      </c>
      <c r="B253" t="str">
        <f t="shared" si="3"/>
        <v/>
      </c>
      <c r="D253" t="str">
        <f>IF($A253&lt;&gt;"",IF($R253&lt;&gt;"",$R253,'Approved-Enforcement'!$B253+7),"")</f>
        <v/>
      </c>
      <c r="E253" t="str">
        <f>IF($A253&lt;&gt;"",'Approved-Enforcement'!D253,"")</f>
        <v/>
      </c>
      <c r="F253" t="str">
        <f>IF($A253&lt;&gt;"",'Approved-Enforcement'!E253,"")</f>
        <v/>
      </c>
      <c r="G253" t="str">
        <f>IF($A253&lt;&gt;"",'Approved-Enforcement'!F253,"")</f>
        <v/>
      </c>
      <c r="H253" t="str">
        <f>IF($A253&lt;&gt;"",'Approved-Enforcement'!G253,"")</f>
        <v/>
      </c>
      <c r="I253" t="str">
        <f>IF($A253&lt;&gt;"",'Approved-Enforcement'!H253,"")</f>
        <v/>
      </c>
      <c r="J253" t="str">
        <f>IF($A253&lt;&gt;"",'Approved-Enforcement'!I253,"")</f>
        <v/>
      </c>
      <c r="K253" t="str">
        <f>IF($A253&lt;&gt;"",'Approved-Enforcement'!J253,"")</f>
        <v/>
      </c>
      <c r="L253" t="str">
        <f>IF($A253&lt;&gt;"",'Approved-Enforcement'!K253,"")</f>
        <v/>
      </c>
      <c r="M253" t="str">
        <f>IF($A253&lt;&gt;"",'Approved-Enforcement'!L253,"")</f>
        <v/>
      </c>
      <c r="N253" t="str">
        <f>IF($A253&lt;&gt;"",'Approved-Enforcement'!M253,"")</f>
        <v/>
      </c>
      <c r="O253" t="str">
        <f>IF($A253&lt;&gt;"",'Approved-Enforcement'!N253,"")</f>
        <v/>
      </c>
      <c r="P253" t="str">
        <f>IF($A253&lt;&gt;"",'Approved-Enforcement'!O253,"")</f>
        <v/>
      </c>
    </row>
    <row r="254" spans="1:16" x14ac:dyDescent="0.35">
      <c r="A254" s="4" t="str">
        <f>IF('Approved-Enforcement'!$A254&lt;&gt;"",'Approved-Enforcement'!A254,"")</f>
        <v/>
      </c>
      <c r="B254" t="str">
        <f t="shared" si="3"/>
        <v/>
      </c>
      <c r="D254" t="str">
        <f>IF($A254&lt;&gt;"",IF($R254&lt;&gt;"",$R254,'Approved-Enforcement'!$B254+7),"")</f>
        <v/>
      </c>
      <c r="E254" t="str">
        <f>IF($A254&lt;&gt;"",'Approved-Enforcement'!D254,"")</f>
        <v/>
      </c>
      <c r="F254" t="str">
        <f>IF($A254&lt;&gt;"",'Approved-Enforcement'!E254,"")</f>
        <v/>
      </c>
      <c r="G254" t="str">
        <f>IF($A254&lt;&gt;"",'Approved-Enforcement'!F254,"")</f>
        <v/>
      </c>
      <c r="H254" t="str">
        <f>IF($A254&lt;&gt;"",'Approved-Enforcement'!G254,"")</f>
        <v/>
      </c>
      <c r="I254" t="str">
        <f>IF($A254&lt;&gt;"",'Approved-Enforcement'!H254,"")</f>
        <v/>
      </c>
      <c r="J254" t="str">
        <f>IF($A254&lt;&gt;"",'Approved-Enforcement'!I254,"")</f>
        <v/>
      </c>
      <c r="K254" t="str">
        <f>IF($A254&lt;&gt;"",'Approved-Enforcement'!J254,"")</f>
        <v/>
      </c>
      <c r="L254" t="str">
        <f>IF($A254&lt;&gt;"",'Approved-Enforcement'!K254,"")</f>
        <v/>
      </c>
      <c r="M254" t="str">
        <f>IF($A254&lt;&gt;"",'Approved-Enforcement'!L254,"")</f>
        <v/>
      </c>
      <c r="N254" t="str">
        <f>IF($A254&lt;&gt;"",'Approved-Enforcement'!M254,"")</f>
        <v/>
      </c>
      <c r="O254" t="str">
        <f>IF($A254&lt;&gt;"",'Approved-Enforcement'!N254,"")</f>
        <v/>
      </c>
      <c r="P254" t="str">
        <f>IF($A254&lt;&gt;"",'Approved-Enforcement'!O254,"")</f>
        <v/>
      </c>
    </row>
    <row r="255" spans="1:16" x14ac:dyDescent="0.35">
      <c r="A255" s="4" t="str">
        <f>IF('Approved-Enforcement'!$A255&lt;&gt;"",'Approved-Enforcement'!A255,"")</f>
        <v/>
      </c>
      <c r="B255" t="str">
        <f t="shared" si="3"/>
        <v/>
      </c>
      <c r="D255" t="str">
        <f>IF($A255&lt;&gt;"",IF($R255&lt;&gt;"",$R255,'Approved-Enforcement'!$B255+7),"")</f>
        <v/>
      </c>
      <c r="E255" t="str">
        <f>IF($A255&lt;&gt;"",'Approved-Enforcement'!D255,"")</f>
        <v/>
      </c>
      <c r="F255" t="str">
        <f>IF($A255&lt;&gt;"",'Approved-Enforcement'!E255,"")</f>
        <v/>
      </c>
      <c r="G255" t="str">
        <f>IF($A255&lt;&gt;"",'Approved-Enforcement'!F255,"")</f>
        <v/>
      </c>
      <c r="H255" t="str">
        <f>IF($A255&lt;&gt;"",'Approved-Enforcement'!G255,"")</f>
        <v/>
      </c>
      <c r="I255" t="str">
        <f>IF($A255&lt;&gt;"",'Approved-Enforcement'!H255,"")</f>
        <v/>
      </c>
      <c r="J255" t="str">
        <f>IF($A255&lt;&gt;"",'Approved-Enforcement'!I255,"")</f>
        <v/>
      </c>
      <c r="K255" t="str">
        <f>IF($A255&lt;&gt;"",'Approved-Enforcement'!J255,"")</f>
        <v/>
      </c>
      <c r="L255" t="str">
        <f>IF($A255&lt;&gt;"",'Approved-Enforcement'!K255,"")</f>
        <v/>
      </c>
      <c r="M255" t="str">
        <f>IF($A255&lt;&gt;"",'Approved-Enforcement'!L255,"")</f>
        <v/>
      </c>
      <c r="N255" t="str">
        <f>IF($A255&lt;&gt;"",'Approved-Enforcement'!M255,"")</f>
        <v/>
      </c>
      <c r="O255" t="str">
        <f>IF($A255&lt;&gt;"",'Approved-Enforcement'!N255,"")</f>
        <v/>
      </c>
      <c r="P255" t="str">
        <f>IF($A255&lt;&gt;"",'Approved-Enforcement'!O255,"")</f>
        <v/>
      </c>
    </row>
    <row r="256" spans="1:16" x14ac:dyDescent="0.35">
      <c r="A256" s="4" t="str">
        <f>IF('Approved-Enforcement'!$A256&lt;&gt;"",'Approved-Enforcement'!A256,"")</f>
        <v/>
      </c>
      <c r="B256" t="str">
        <f t="shared" si="3"/>
        <v/>
      </c>
      <c r="D256" t="str">
        <f>IF($A256&lt;&gt;"",IF($R256&lt;&gt;"",$R256,'Approved-Enforcement'!$B256+7),"")</f>
        <v/>
      </c>
      <c r="E256" t="str">
        <f>IF($A256&lt;&gt;"",'Approved-Enforcement'!D256,"")</f>
        <v/>
      </c>
      <c r="F256" t="str">
        <f>IF($A256&lt;&gt;"",'Approved-Enforcement'!E256,"")</f>
        <v/>
      </c>
      <c r="G256" t="str">
        <f>IF($A256&lt;&gt;"",'Approved-Enforcement'!F256,"")</f>
        <v/>
      </c>
      <c r="H256" t="str">
        <f>IF($A256&lt;&gt;"",'Approved-Enforcement'!G256,"")</f>
        <v/>
      </c>
      <c r="I256" t="str">
        <f>IF($A256&lt;&gt;"",'Approved-Enforcement'!H256,"")</f>
        <v/>
      </c>
      <c r="J256" t="str">
        <f>IF($A256&lt;&gt;"",'Approved-Enforcement'!I256,"")</f>
        <v/>
      </c>
      <c r="K256" t="str">
        <f>IF($A256&lt;&gt;"",'Approved-Enforcement'!J256,"")</f>
        <v/>
      </c>
      <c r="L256" t="str">
        <f>IF($A256&lt;&gt;"",'Approved-Enforcement'!K256,"")</f>
        <v/>
      </c>
      <c r="M256" t="str">
        <f>IF($A256&lt;&gt;"",'Approved-Enforcement'!L256,"")</f>
        <v/>
      </c>
      <c r="N256" t="str">
        <f>IF($A256&lt;&gt;"",'Approved-Enforcement'!M256,"")</f>
        <v/>
      </c>
      <c r="O256" t="str">
        <f>IF($A256&lt;&gt;"",'Approved-Enforcement'!N256,"")</f>
        <v/>
      </c>
      <c r="P256" t="str">
        <f>IF($A256&lt;&gt;"",'Approved-Enforcement'!O256,"")</f>
        <v/>
      </c>
    </row>
    <row r="257" spans="1:16" x14ac:dyDescent="0.35">
      <c r="A257" s="4" t="str">
        <f>IF('Approved-Enforcement'!$A257&lt;&gt;"",'Approved-Enforcement'!A257,"")</f>
        <v/>
      </c>
      <c r="B257" t="str">
        <f t="shared" si="3"/>
        <v/>
      </c>
      <c r="D257" t="str">
        <f>IF($A257&lt;&gt;"",IF($R257&lt;&gt;"",$R257,'Approved-Enforcement'!$B257+7),"")</f>
        <v/>
      </c>
      <c r="E257" t="str">
        <f>IF($A257&lt;&gt;"",'Approved-Enforcement'!D257,"")</f>
        <v/>
      </c>
      <c r="F257" t="str">
        <f>IF($A257&lt;&gt;"",'Approved-Enforcement'!E257,"")</f>
        <v/>
      </c>
      <c r="G257" t="str">
        <f>IF($A257&lt;&gt;"",'Approved-Enforcement'!F257,"")</f>
        <v/>
      </c>
      <c r="H257" t="str">
        <f>IF($A257&lt;&gt;"",'Approved-Enforcement'!G257,"")</f>
        <v/>
      </c>
      <c r="I257" t="str">
        <f>IF($A257&lt;&gt;"",'Approved-Enforcement'!H257,"")</f>
        <v/>
      </c>
      <c r="J257" t="str">
        <f>IF($A257&lt;&gt;"",'Approved-Enforcement'!I257,"")</f>
        <v/>
      </c>
      <c r="K257" t="str">
        <f>IF($A257&lt;&gt;"",'Approved-Enforcement'!J257,"")</f>
        <v/>
      </c>
      <c r="L257" t="str">
        <f>IF($A257&lt;&gt;"",'Approved-Enforcement'!K257,"")</f>
        <v/>
      </c>
      <c r="M257" t="str">
        <f>IF($A257&lt;&gt;"",'Approved-Enforcement'!L257,"")</f>
        <v/>
      </c>
      <c r="N257" t="str">
        <f>IF($A257&lt;&gt;"",'Approved-Enforcement'!M257,"")</f>
        <v/>
      </c>
      <c r="O257" t="str">
        <f>IF($A257&lt;&gt;"",'Approved-Enforcement'!N257,"")</f>
        <v/>
      </c>
      <c r="P257" t="str">
        <f>IF($A257&lt;&gt;"",'Approved-Enforcement'!O257,"")</f>
        <v/>
      </c>
    </row>
    <row r="258" spans="1:16" x14ac:dyDescent="0.35">
      <c r="A258" s="4" t="str">
        <f>IF('Approved-Enforcement'!$A258&lt;&gt;"",'Approved-Enforcement'!A258,"")</f>
        <v/>
      </c>
      <c r="B258" t="str">
        <f t="shared" ref="B258:B321" si="4">IF($A258&lt;&gt;"",IF($C258&lt;&gt;"",$C258,1500),"")</f>
        <v/>
      </c>
      <c r="D258" t="str">
        <f>IF($A258&lt;&gt;"",IF($R258&lt;&gt;"",$R258,'Approved-Enforcement'!$B258+7),"")</f>
        <v/>
      </c>
      <c r="E258" t="str">
        <f>IF($A258&lt;&gt;"",'Approved-Enforcement'!D258,"")</f>
        <v/>
      </c>
      <c r="F258" t="str">
        <f>IF($A258&lt;&gt;"",'Approved-Enforcement'!E258,"")</f>
        <v/>
      </c>
      <c r="G258" t="str">
        <f>IF($A258&lt;&gt;"",'Approved-Enforcement'!F258,"")</f>
        <v/>
      </c>
      <c r="H258" t="str">
        <f>IF($A258&lt;&gt;"",'Approved-Enforcement'!G258,"")</f>
        <v/>
      </c>
      <c r="I258" t="str">
        <f>IF($A258&lt;&gt;"",'Approved-Enforcement'!H258,"")</f>
        <v/>
      </c>
      <c r="J258" t="str">
        <f>IF($A258&lt;&gt;"",'Approved-Enforcement'!I258,"")</f>
        <v/>
      </c>
      <c r="K258" t="str">
        <f>IF($A258&lt;&gt;"",'Approved-Enforcement'!J258,"")</f>
        <v/>
      </c>
      <c r="L258" t="str">
        <f>IF($A258&lt;&gt;"",'Approved-Enforcement'!K258,"")</f>
        <v/>
      </c>
      <c r="M258" t="str">
        <f>IF($A258&lt;&gt;"",'Approved-Enforcement'!L258,"")</f>
        <v/>
      </c>
      <c r="N258" t="str">
        <f>IF($A258&lt;&gt;"",'Approved-Enforcement'!M258,"")</f>
        <v/>
      </c>
      <c r="O258" t="str">
        <f>IF($A258&lt;&gt;"",'Approved-Enforcement'!N258,"")</f>
        <v/>
      </c>
      <c r="P258" t="str">
        <f>IF($A258&lt;&gt;"",'Approved-Enforcement'!O258,"")</f>
        <v/>
      </c>
    </row>
    <row r="259" spans="1:16" x14ac:dyDescent="0.35">
      <c r="A259" s="4" t="str">
        <f>IF('Approved-Enforcement'!$A259&lt;&gt;"",'Approved-Enforcement'!A259,"")</f>
        <v/>
      </c>
      <c r="B259" t="str">
        <f t="shared" si="4"/>
        <v/>
      </c>
      <c r="D259" t="str">
        <f>IF($A259&lt;&gt;"",IF($R259&lt;&gt;"",$R259,'Approved-Enforcement'!$B259+7),"")</f>
        <v/>
      </c>
      <c r="E259" t="str">
        <f>IF($A259&lt;&gt;"",'Approved-Enforcement'!D259,"")</f>
        <v/>
      </c>
      <c r="F259" t="str">
        <f>IF($A259&lt;&gt;"",'Approved-Enforcement'!E259,"")</f>
        <v/>
      </c>
      <c r="G259" t="str">
        <f>IF($A259&lt;&gt;"",'Approved-Enforcement'!F259,"")</f>
        <v/>
      </c>
      <c r="H259" t="str">
        <f>IF($A259&lt;&gt;"",'Approved-Enforcement'!G259,"")</f>
        <v/>
      </c>
      <c r="I259" t="str">
        <f>IF($A259&lt;&gt;"",'Approved-Enforcement'!H259,"")</f>
        <v/>
      </c>
      <c r="J259" t="str">
        <f>IF($A259&lt;&gt;"",'Approved-Enforcement'!I259,"")</f>
        <v/>
      </c>
      <c r="K259" t="str">
        <f>IF($A259&lt;&gt;"",'Approved-Enforcement'!J259,"")</f>
        <v/>
      </c>
      <c r="L259" t="str">
        <f>IF($A259&lt;&gt;"",'Approved-Enforcement'!K259,"")</f>
        <v/>
      </c>
      <c r="M259" t="str">
        <f>IF($A259&lt;&gt;"",'Approved-Enforcement'!L259,"")</f>
        <v/>
      </c>
      <c r="N259" t="str">
        <f>IF($A259&lt;&gt;"",'Approved-Enforcement'!M259,"")</f>
        <v/>
      </c>
      <c r="O259" t="str">
        <f>IF($A259&lt;&gt;"",'Approved-Enforcement'!N259,"")</f>
        <v/>
      </c>
      <c r="P259" t="str">
        <f>IF($A259&lt;&gt;"",'Approved-Enforcement'!O259,"")</f>
        <v/>
      </c>
    </row>
    <row r="260" spans="1:16" x14ac:dyDescent="0.35">
      <c r="A260" s="4" t="str">
        <f>IF('Approved-Enforcement'!$A260&lt;&gt;"",'Approved-Enforcement'!A260,"")</f>
        <v/>
      </c>
      <c r="B260" t="str">
        <f t="shared" si="4"/>
        <v/>
      </c>
      <c r="D260" t="str">
        <f>IF($A260&lt;&gt;"",IF($R260&lt;&gt;"",$R260,'Approved-Enforcement'!$B260+7),"")</f>
        <v/>
      </c>
      <c r="E260" t="str">
        <f>IF($A260&lt;&gt;"",'Approved-Enforcement'!D260,"")</f>
        <v/>
      </c>
      <c r="F260" t="str">
        <f>IF($A260&lt;&gt;"",'Approved-Enforcement'!E260,"")</f>
        <v/>
      </c>
      <c r="G260" t="str">
        <f>IF($A260&lt;&gt;"",'Approved-Enforcement'!F260,"")</f>
        <v/>
      </c>
      <c r="H260" t="str">
        <f>IF($A260&lt;&gt;"",'Approved-Enforcement'!G260,"")</f>
        <v/>
      </c>
      <c r="I260" t="str">
        <f>IF($A260&lt;&gt;"",'Approved-Enforcement'!H260,"")</f>
        <v/>
      </c>
      <c r="J260" t="str">
        <f>IF($A260&lt;&gt;"",'Approved-Enforcement'!I260,"")</f>
        <v/>
      </c>
      <c r="K260" t="str">
        <f>IF($A260&lt;&gt;"",'Approved-Enforcement'!J260,"")</f>
        <v/>
      </c>
      <c r="L260" t="str">
        <f>IF($A260&lt;&gt;"",'Approved-Enforcement'!K260,"")</f>
        <v/>
      </c>
      <c r="M260" t="str">
        <f>IF($A260&lt;&gt;"",'Approved-Enforcement'!L260,"")</f>
        <v/>
      </c>
      <c r="N260" t="str">
        <f>IF($A260&lt;&gt;"",'Approved-Enforcement'!M260,"")</f>
        <v/>
      </c>
      <c r="O260" t="str">
        <f>IF($A260&lt;&gt;"",'Approved-Enforcement'!N260,"")</f>
        <v/>
      </c>
      <c r="P260" t="str">
        <f>IF($A260&lt;&gt;"",'Approved-Enforcement'!O260,"")</f>
        <v/>
      </c>
    </row>
    <row r="261" spans="1:16" x14ac:dyDescent="0.35">
      <c r="A261" s="4" t="str">
        <f>IF('Approved-Enforcement'!$A261&lt;&gt;"",'Approved-Enforcement'!A261,"")</f>
        <v/>
      </c>
      <c r="B261" t="str">
        <f t="shared" si="4"/>
        <v/>
      </c>
      <c r="D261" t="str">
        <f>IF($A261&lt;&gt;"",IF($R261&lt;&gt;"",$R261,'Approved-Enforcement'!$B261+7),"")</f>
        <v/>
      </c>
      <c r="E261" t="str">
        <f>IF($A261&lt;&gt;"",'Approved-Enforcement'!D261,"")</f>
        <v/>
      </c>
      <c r="F261" t="str">
        <f>IF($A261&lt;&gt;"",'Approved-Enforcement'!E261,"")</f>
        <v/>
      </c>
      <c r="G261" t="str">
        <f>IF($A261&lt;&gt;"",'Approved-Enforcement'!F261,"")</f>
        <v/>
      </c>
      <c r="H261" t="str">
        <f>IF($A261&lt;&gt;"",'Approved-Enforcement'!G261,"")</f>
        <v/>
      </c>
      <c r="I261" t="str">
        <f>IF($A261&lt;&gt;"",'Approved-Enforcement'!H261,"")</f>
        <v/>
      </c>
      <c r="J261" t="str">
        <f>IF($A261&lt;&gt;"",'Approved-Enforcement'!I261,"")</f>
        <v/>
      </c>
      <c r="K261" t="str">
        <f>IF($A261&lt;&gt;"",'Approved-Enforcement'!J261,"")</f>
        <v/>
      </c>
      <c r="L261" t="str">
        <f>IF($A261&lt;&gt;"",'Approved-Enforcement'!K261,"")</f>
        <v/>
      </c>
      <c r="M261" t="str">
        <f>IF($A261&lt;&gt;"",'Approved-Enforcement'!L261,"")</f>
        <v/>
      </c>
      <c r="N261" t="str">
        <f>IF($A261&lt;&gt;"",'Approved-Enforcement'!M261,"")</f>
        <v/>
      </c>
      <c r="O261" t="str">
        <f>IF($A261&lt;&gt;"",'Approved-Enforcement'!N261,"")</f>
        <v/>
      </c>
      <c r="P261" t="str">
        <f>IF($A261&lt;&gt;"",'Approved-Enforcement'!O261,"")</f>
        <v/>
      </c>
    </row>
    <row r="262" spans="1:16" x14ac:dyDescent="0.35">
      <c r="A262" s="4" t="str">
        <f>IF('Approved-Enforcement'!$A262&lt;&gt;"",'Approved-Enforcement'!A262,"")</f>
        <v/>
      </c>
      <c r="B262" t="str">
        <f t="shared" si="4"/>
        <v/>
      </c>
      <c r="D262" t="str">
        <f>IF($A262&lt;&gt;"",IF($R262&lt;&gt;"",$R262,'Approved-Enforcement'!$B262+7),"")</f>
        <v/>
      </c>
      <c r="E262" t="str">
        <f>IF($A262&lt;&gt;"",'Approved-Enforcement'!D262,"")</f>
        <v/>
      </c>
      <c r="F262" t="str">
        <f>IF($A262&lt;&gt;"",'Approved-Enforcement'!E262,"")</f>
        <v/>
      </c>
      <c r="G262" t="str">
        <f>IF($A262&lt;&gt;"",'Approved-Enforcement'!F262,"")</f>
        <v/>
      </c>
      <c r="H262" t="str">
        <f>IF($A262&lt;&gt;"",'Approved-Enforcement'!G262,"")</f>
        <v/>
      </c>
      <c r="I262" t="str">
        <f>IF($A262&lt;&gt;"",'Approved-Enforcement'!H262,"")</f>
        <v/>
      </c>
      <c r="J262" t="str">
        <f>IF($A262&lt;&gt;"",'Approved-Enforcement'!I262,"")</f>
        <v/>
      </c>
      <c r="K262" t="str">
        <f>IF($A262&lt;&gt;"",'Approved-Enforcement'!J262,"")</f>
        <v/>
      </c>
      <c r="L262" t="str">
        <f>IF($A262&lt;&gt;"",'Approved-Enforcement'!K262,"")</f>
        <v/>
      </c>
      <c r="M262" t="str">
        <f>IF($A262&lt;&gt;"",'Approved-Enforcement'!L262,"")</f>
        <v/>
      </c>
      <c r="N262" t="str">
        <f>IF($A262&lt;&gt;"",'Approved-Enforcement'!M262,"")</f>
        <v/>
      </c>
      <c r="O262" t="str">
        <f>IF($A262&lt;&gt;"",'Approved-Enforcement'!N262,"")</f>
        <v/>
      </c>
      <c r="P262" t="str">
        <f>IF($A262&lt;&gt;"",'Approved-Enforcement'!O262,"")</f>
        <v/>
      </c>
    </row>
    <row r="263" spans="1:16" x14ac:dyDescent="0.35">
      <c r="A263" s="4" t="str">
        <f>IF('Approved-Enforcement'!$A263&lt;&gt;"",'Approved-Enforcement'!A263,"")</f>
        <v/>
      </c>
      <c r="B263" t="str">
        <f t="shared" si="4"/>
        <v/>
      </c>
      <c r="D263" t="str">
        <f>IF($A263&lt;&gt;"",IF($R263&lt;&gt;"",$R263,'Approved-Enforcement'!$B263+7),"")</f>
        <v/>
      </c>
      <c r="E263" t="str">
        <f>IF($A263&lt;&gt;"",'Approved-Enforcement'!D263,"")</f>
        <v/>
      </c>
      <c r="F263" t="str">
        <f>IF($A263&lt;&gt;"",'Approved-Enforcement'!E263,"")</f>
        <v/>
      </c>
      <c r="G263" t="str">
        <f>IF($A263&lt;&gt;"",'Approved-Enforcement'!F263,"")</f>
        <v/>
      </c>
      <c r="H263" t="str">
        <f>IF($A263&lt;&gt;"",'Approved-Enforcement'!G263,"")</f>
        <v/>
      </c>
      <c r="I263" t="str">
        <f>IF($A263&lt;&gt;"",'Approved-Enforcement'!H263,"")</f>
        <v/>
      </c>
      <c r="J263" t="str">
        <f>IF($A263&lt;&gt;"",'Approved-Enforcement'!I263,"")</f>
        <v/>
      </c>
      <c r="K263" t="str">
        <f>IF($A263&lt;&gt;"",'Approved-Enforcement'!J263,"")</f>
        <v/>
      </c>
      <c r="L263" t="str">
        <f>IF($A263&lt;&gt;"",'Approved-Enforcement'!K263,"")</f>
        <v/>
      </c>
      <c r="M263" t="str">
        <f>IF($A263&lt;&gt;"",'Approved-Enforcement'!L263,"")</f>
        <v/>
      </c>
      <c r="N263" t="str">
        <f>IF($A263&lt;&gt;"",'Approved-Enforcement'!M263,"")</f>
        <v/>
      </c>
      <c r="O263" t="str">
        <f>IF($A263&lt;&gt;"",'Approved-Enforcement'!N263,"")</f>
        <v/>
      </c>
      <c r="P263" t="str">
        <f>IF($A263&lt;&gt;"",'Approved-Enforcement'!O263,"")</f>
        <v/>
      </c>
    </row>
    <row r="264" spans="1:16" x14ac:dyDescent="0.35">
      <c r="A264" s="4" t="str">
        <f>IF('Approved-Enforcement'!$A264&lt;&gt;"",'Approved-Enforcement'!A264,"")</f>
        <v/>
      </c>
      <c r="B264" t="str">
        <f t="shared" si="4"/>
        <v/>
      </c>
      <c r="D264" t="str">
        <f>IF($A264&lt;&gt;"",IF($R264&lt;&gt;"",$R264,'Approved-Enforcement'!$B264+7),"")</f>
        <v/>
      </c>
      <c r="E264" t="str">
        <f>IF($A264&lt;&gt;"",'Approved-Enforcement'!D264,"")</f>
        <v/>
      </c>
      <c r="F264" t="str">
        <f>IF($A264&lt;&gt;"",'Approved-Enforcement'!E264,"")</f>
        <v/>
      </c>
      <c r="G264" t="str">
        <f>IF($A264&lt;&gt;"",'Approved-Enforcement'!F264,"")</f>
        <v/>
      </c>
      <c r="H264" t="str">
        <f>IF($A264&lt;&gt;"",'Approved-Enforcement'!G264,"")</f>
        <v/>
      </c>
      <c r="I264" t="str">
        <f>IF($A264&lt;&gt;"",'Approved-Enforcement'!H264,"")</f>
        <v/>
      </c>
      <c r="J264" t="str">
        <f>IF($A264&lt;&gt;"",'Approved-Enforcement'!I264,"")</f>
        <v/>
      </c>
      <c r="K264" t="str">
        <f>IF($A264&lt;&gt;"",'Approved-Enforcement'!J264,"")</f>
        <v/>
      </c>
      <c r="L264" t="str">
        <f>IF($A264&lt;&gt;"",'Approved-Enforcement'!K264,"")</f>
        <v/>
      </c>
      <c r="M264" t="str">
        <f>IF($A264&lt;&gt;"",'Approved-Enforcement'!L264,"")</f>
        <v/>
      </c>
      <c r="N264" t="str">
        <f>IF($A264&lt;&gt;"",'Approved-Enforcement'!M264,"")</f>
        <v/>
      </c>
      <c r="O264" t="str">
        <f>IF($A264&lt;&gt;"",'Approved-Enforcement'!N264,"")</f>
        <v/>
      </c>
      <c r="P264" t="str">
        <f>IF($A264&lt;&gt;"",'Approved-Enforcement'!O264,"")</f>
        <v/>
      </c>
    </row>
    <row r="265" spans="1:16" x14ac:dyDescent="0.35">
      <c r="A265" s="4" t="str">
        <f>IF('Approved-Enforcement'!$A265&lt;&gt;"",'Approved-Enforcement'!A265,"")</f>
        <v/>
      </c>
      <c r="B265" t="str">
        <f t="shared" si="4"/>
        <v/>
      </c>
      <c r="D265" t="str">
        <f>IF($A265&lt;&gt;"",IF($R265&lt;&gt;"",$R265,'Approved-Enforcement'!$B265+7),"")</f>
        <v/>
      </c>
      <c r="E265" t="str">
        <f>IF($A265&lt;&gt;"",'Approved-Enforcement'!D265,"")</f>
        <v/>
      </c>
      <c r="F265" t="str">
        <f>IF($A265&lt;&gt;"",'Approved-Enforcement'!E265,"")</f>
        <v/>
      </c>
      <c r="G265" t="str">
        <f>IF($A265&lt;&gt;"",'Approved-Enforcement'!F265,"")</f>
        <v/>
      </c>
      <c r="H265" t="str">
        <f>IF($A265&lt;&gt;"",'Approved-Enforcement'!G265,"")</f>
        <v/>
      </c>
      <c r="I265" t="str">
        <f>IF($A265&lt;&gt;"",'Approved-Enforcement'!H265,"")</f>
        <v/>
      </c>
      <c r="J265" t="str">
        <f>IF($A265&lt;&gt;"",'Approved-Enforcement'!I265,"")</f>
        <v/>
      </c>
      <c r="K265" t="str">
        <f>IF($A265&lt;&gt;"",'Approved-Enforcement'!J265,"")</f>
        <v/>
      </c>
      <c r="L265" t="str">
        <f>IF($A265&lt;&gt;"",'Approved-Enforcement'!K265,"")</f>
        <v/>
      </c>
      <c r="M265" t="str">
        <f>IF($A265&lt;&gt;"",'Approved-Enforcement'!L265,"")</f>
        <v/>
      </c>
      <c r="N265" t="str">
        <f>IF($A265&lt;&gt;"",'Approved-Enforcement'!M265,"")</f>
        <v/>
      </c>
      <c r="O265" t="str">
        <f>IF($A265&lt;&gt;"",'Approved-Enforcement'!N265,"")</f>
        <v/>
      </c>
      <c r="P265" t="str">
        <f>IF($A265&lt;&gt;"",'Approved-Enforcement'!O265,"")</f>
        <v/>
      </c>
    </row>
    <row r="266" spans="1:16" x14ac:dyDescent="0.35">
      <c r="A266" s="4" t="str">
        <f>IF('Approved-Enforcement'!$A266&lt;&gt;"",'Approved-Enforcement'!A266,"")</f>
        <v/>
      </c>
      <c r="B266" t="str">
        <f t="shared" si="4"/>
        <v/>
      </c>
      <c r="D266" t="str">
        <f>IF($A266&lt;&gt;"",IF($R266&lt;&gt;"",$R266,'Approved-Enforcement'!$B266+7),"")</f>
        <v/>
      </c>
      <c r="E266" t="str">
        <f>IF($A266&lt;&gt;"",'Approved-Enforcement'!D266,"")</f>
        <v/>
      </c>
      <c r="F266" t="str">
        <f>IF($A266&lt;&gt;"",'Approved-Enforcement'!E266,"")</f>
        <v/>
      </c>
      <c r="G266" t="str">
        <f>IF($A266&lt;&gt;"",'Approved-Enforcement'!F266,"")</f>
        <v/>
      </c>
      <c r="H266" t="str">
        <f>IF($A266&lt;&gt;"",'Approved-Enforcement'!G266,"")</f>
        <v/>
      </c>
      <c r="I266" t="str">
        <f>IF($A266&lt;&gt;"",'Approved-Enforcement'!H266,"")</f>
        <v/>
      </c>
      <c r="J266" t="str">
        <f>IF($A266&lt;&gt;"",'Approved-Enforcement'!I266,"")</f>
        <v/>
      </c>
      <c r="K266" t="str">
        <f>IF($A266&lt;&gt;"",'Approved-Enforcement'!J266,"")</f>
        <v/>
      </c>
      <c r="L266" t="str">
        <f>IF($A266&lt;&gt;"",'Approved-Enforcement'!K266,"")</f>
        <v/>
      </c>
      <c r="M266" t="str">
        <f>IF($A266&lt;&gt;"",'Approved-Enforcement'!L266,"")</f>
        <v/>
      </c>
      <c r="N266" t="str">
        <f>IF($A266&lt;&gt;"",'Approved-Enforcement'!M266,"")</f>
        <v/>
      </c>
      <c r="O266" t="str">
        <f>IF($A266&lt;&gt;"",'Approved-Enforcement'!N266,"")</f>
        <v/>
      </c>
      <c r="P266" t="str">
        <f>IF($A266&lt;&gt;"",'Approved-Enforcement'!O266,"")</f>
        <v/>
      </c>
    </row>
    <row r="267" spans="1:16" x14ac:dyDescent="0.35">
      <c r="A267" s="4" t="str">
        <f>IF('Approved-Enforcement'!$A267&lt;&gt;"",'Approved-Enforcement'!A267,"")</f>
        <v/>
      </c>
      <c r="B267" t="str">
        <f t="shared" si="4"/>
        <v/>
      </c>
      <c r="D267" t="str">
        <f>IF($A267&lt;&gt;"",IF($R267&lt;&gt;"",$R267,'Approved-Enforcement'!$B267+7),"")</f>
        <v/>
      </c>
      <c r="E267" t="str">
        <f>IF($A267&lt;&gt;"",'Approved-Enforcement'!D267,"")</f>
        <v/>
      </c>
      <c r="F267" t="str">
        <f>IF($A267&lt;&gt;"",'Approved-Enforcement'!E267,"")</f>
        <v/>
      </c>
      <c r="G267" t="str">
        <f>IF($A267&lt;&gt;"",'Approved-Enforcement'!F267,"")</f>
        <v/>
      </c>
      <c r="H267" t="str">
        <f>IF($A267&lt;&gt;"",'Approved-Enforcement'!G267,"")</f>
        <v/>
      </c>
      <c r="I267" t="str">
        <f>IF($A267&lt;&gt;"",'Approved-Enforcement'!H267,"")</f>
        <v/>
      </c>
      <c r="J267" t="str">
        <f>IF($A267&lt;&gt;"",'Approved-Enforcement'!I267,"")</f>
        <v/>
      </c>
      <c r="K267" t="str">
        <f>IF($A267&lt;&gt;"",'Approved-Enforcement'!J267,"")</f>
        <v/>
      </c>
      <c r="L267" t="str">
        <f>IF($A267&lt;&gt;"",'Approved-Enforcement'!K267,"")</f>
        <v/>
      </c>
      <c r="M267" t="str">
        <f>IF($A267&lt;&gt;"",'Approved-Enforcement'!L267,"")</f>
        <v/>
      </c>
      <c r="N267" t="str">
        <f>IF($A267&lt;&gt;"",'Approved-Enforcement'!M267,"")</f>
        <v/>
      </c>
      <c r="O267" t="str">
        <f>IF($A267&lt;&gt;"",'Approved-Enforcement'!N267,"")</f>
        <v/>
      </c>
      <c r="P267" t="str">
        <f>IF($A267&lt;&gt;"",'Approved-Enforcement'!O267,"")</f>
        <v/>
      </c>
    </row>
    <row r="268" spans="1:16" x14ac:dyDescent="0.35">
      <c r="A268" s="4" t="str">
        <f>IF('Approved-Enforcement'!$A268&lt;&gt;"",'Approved-Enforcement'!A268,"")</f>
        <v/>
      </c>
      <c r="B268" t="str">
        <f t="shared" si="4"/>
        <v/>
      </c>
      <c r="D268" t="str">
        <f>IF($A268&lt;&gt;"",IF($R268&lt;&gt;"",$R268,'Approved-Enforcement'!$B268+7),"")</f>
        <v/>
      </c>
      <c r="E268" t="str">
        <f>IF($A268&lt;&gt;"",'Approved-Enforcement'!D268,"")</f>
        <v/>
      </c>
      <c r="F268" t="str">
        <f>IF($A268&lt;&gt;"",'Approved-Enforcement'!E268,"")</f>
        <v/>
      </c>
      <c r="G268" t="str">
        <f>IF($A268&lt;&gt;"",'Approved-Enforcement'!F268,"")</f>
        <v/>
      </c>
      <c r="H268" t="str">
        <f>IF($A268&lt;&gt;"",'Approved-Enforcement'!G268,"")</f>
        <v/>
      </c>
      <c r="I268" t="str">
        <f>IF($A268&lt;&gt;"",'Approved-Enforcement'!H268,"")</f>
        <v/>
      </c>
      <c r="J268" t="str">
        <f>IF($A268&lt;&gt;"",'Approved-Enforcement'!I268,"")</f>
        <v/>
      </c>
      <c r="K268" t="str">
        <f>IF($A268&lt;&gt;"",'Approved-Enforcement'!J268,"")</f>
        <v/>
      </c>
      <c r="L268" t="str">
        <f>IF($A268&lt;&gt;"",'Approved-Enforcement'!K268,"")</f>
        <v/>
      </c>
      <c r="M268" t="str">
        <f>IF($A268&lt;&gt;"",'Approved-Enforcement'!L268,"")</f>
        <v/>
      </c>
      <c r="N268" t="str">
        <f>IF($A268&lt;&gt;"",'Approved-Enforcement'!M268,"")</f>
        <v/>
      </c>
      <c r="O268" t="str">
        <f>IF($A268&lt;&gt;"",'Approved-Enforcement'!N268,"")</f>
        <v/>
      </c>
      <c r="P268" t="str">
        <f>IF($A268&lt;&gt;"",'Approved-Enforcement'!O268,"")</f>
        <v/>
      </c>
    </row>
    <row r="269" spans="1:16" x14ac:dyDescent="0.35">
      <c r="A269" s="4" t="str">
        <f>IF('Approved-Enforcement'!$A269&lt;&gt;"",'Approved-Enforcement'!A269,"")</f>
        <v/>
      </c>
      <c r="B269" t="str">
        <f t="shared" si="4"/>
        <v/>
      </c>
      <c r="D269" t="str">
        <f>IF($A269&lt;&gt;"",IF($R269&lt;&gt;"",$R269,'Approved-Enforcement'!$B269+7),"")</f>
        <v/>
      </c>
      <c r="E269" t="str">
        <f>IF($A269&lt;&gt;"",'Approved-Enforcement'!D269,"")</f>
        <v/>
      </c>
      <c r="F269" t="str">
        <f>IF($A269&lt;&gt;"",'Approved-Enforcement'!E269,"")</f>
        <v/>
      </c>
      <c r="G269" t="str">
        <f>IF($A269&lt;&gt;"",'Approved-Enforcement'!F269,"")</f>
        <v/>
      </c>
      <c r="H269" t="str">
        <f>IF($A269&lt;&gt;"",'Approved-Enforcement'!G269,"")</f>
        <v/>
      </c>
      <c r="I269" t="str">
        <f>IF($A269&lt;&gt;"",'Approved-Enforcement'!H269,"")</f>
        <v/>
      </c>
      <c r="J269" t="str">
        <f>IF($A269&lt;&gt;"",'Approved-Enforcement'!I269,"")</f>
        <v/>
      </c>
      <c r="K269" t="str">
        <f>IF($A269&lt;&gt;"",'Approved-Enforcement'!J269,"")</f>
        <v/>
      </c>
      <c r="L269" t="str">
        <f>IF($A269&lt;&gt;"",'Approved-Enforcement'!K269,"")</f>
        <v/>
      </c>
      <c r="M269" t="str">
        <f>IF($A269&lt;&gt;"",'Approved-Enforcement'!L269,"")</f>
        <v/>
      </c>
      <c r="N269" t="str">
        <f>IF($A269&lt;&gt;"",'Approved-Enforcement'!M269,"")</f>
        <v/>
      </c>
      <c r="O269" t="str">
        <f>IF($A269&lt;&gt;"",'Approved-Enforcement'!N269,"")</f>
        <v/>
      </c>
      <c r="P269" t="str">
        <f>IF($A269&lt;&gt;"",'Approved-Enforcement'!O269,"")</f>
        <v/>
      </c>
    </row>
    <row r="270" spans="1:16" x14ac:dyDescent="0.35">
      <c r="A270" s="4" t="str">
        <f>IF('Approved-Enforcement'!$A270&lt;&gt;"",'Approved-Enforcement'!A270,"")</f>
        <v/>
      </c>
      <c r="B270" t="str">
        <f t="shared" si="4"/>
        <v/>
      </c>
      <c r="D270" t="str">
        <f>IF($A270&lt;&gt;"",IF($R270&lt;&gt;"",$R270,'Approved-Enforcement'!$B270+7),"")</f>
        <v/>
      </c>
      <c r="E270" t="str">
        <f>IF($A270&lt;&gt;"",'Approved-Enforcement'!D270,"")</f>
        <v/>
      </c>
      <c r="F270" t="str">
        <f>IF($A270&lt;&gt;"",'Approved-Enforcement'!E270,"")</f>
        <v/>
      </c>
      <c r="G270" t="str">
        <f>IF($A270&lt;&gt;"",'Approved-Enforcement'!F270,"")</f>
        <v/>
      </c>
      <c r="H270" t="str">
        <f>IF($A270&lt;&gt;"",'Approved-Enforcement'!G270,"")</f>
        <v/>
      </c>
      <c r="I270" t="str">
        <f>IF($A270&lt;&gt;"",'Approved-Enforcement'!H270,"")</f>
        <v/>
      </c>
      <c r="J270" t="str">
        <f>IF($A270&lt;&gt;"",'Approved-Enforcement'!I270,"")</f>
        <v/>
      </c>
      <c r="K270" t="str">
        <f>IF($A270&lt;&gt;"",'Approved-Enforcement'!J270,"")</f>
        <v/>
      </c>
      <c r="L270" t="str">
        <f>IF($A270&lt;&gt;"",'Approved-Enforcement'!K270,"")</f>
        <v/>
      </c>
      <c r="M270" t="str">
        <f>IF($A270&lt;&gt;"",'Approved-Enforcement'!L270,"")</f>
        <v/>
      </c>
      <c r="N270" t="str">
        <f>IF($A270&lt;&gt;"",'Approved-Enforcement'!M270,"")</f>
        <v/>
      </c>
      <c r="O270" t="str">
        <f>IF($A270&lt;&gt;"",'Approved-Enforcement'!N270,"")</f>
        <v/>
      </c>
      <c r="P270" t="str">
        <f>IF($A270&lt;&gt;"",'Approved-Enforcement'!O270,"")</f>
        <v/>
      </c>
    </row>
    <row r="271" spans="1:16" x14ac:dyDescent="0.35">
      <c r="A271" s="4" t="str">
        <f>IF('Approved-Enforcement'!$A271&lt;&gt;"",'Approved-Enforcement'!A271,"")</f>
        <v/>
      </c>
      <c r="B271" t="str">
        <f t="shared" si="4"/>
        <v/>
      </c>
      <c r="D271" t="str">
        <f>IF($A271&lt;&gt;"",IF($R271&lt;&gt;"",$R271,'Approved-Enforcement'!$B271+7),"")</f>
        <v/>
      </c>
      <c r="E271" t="str">
        <f>IF($A271&lt;&gt;"",'Approved-Enforcement'!D271,"")</f>
        <v/>
      </c>
      <c r="F271" t="str">
        <f>IF($A271&lt;&gt;"",'Approved-Enforcement'!E271,"")</f>
        <v/>
      </c>
      <c r="G271" t="str">
        <f>IF($A271&lt;&gt;"",'Approved-Enforcement'!F271,"")</f>
        <v/>
      </c>
      <c r="H271" t="str">
        <f>IF($A271&lt;&gt;"",'Approved-Enforcement'!G271,"")</f>
        <v/>
      </c>
      <c r="I271" t="str">
        <f>IF($A271&lt;&gt;"",'Approved-Enforcement'!H271,"")</f>
        <v/>
      </c>
      <c r="J271" t="str">
        <f>IF($A271&lt;&gt;"",'Approved-Enforcement'!I271,"")</f>
        <v/>
      </c>
      <c r="K271" t="str">
        <f>IF($A271&lt;&gt;"",'Approved-Enforcement'!J271,"")</f>
        <v/>
      </c>
      <c r="L271" t="str">
        <f>IF($A271&lt;&gt;"",'Approved-Enforcement'!K271,"")</f>
        <v/>
      </c>
      <c r="M271" t="str">
        <f>IF($A271&lt;&gt;"",'Approved-Enforcement'!L271,"")</f>
        <v/>
      </c>
      <c r="N271" t="str">
        <f>IF($A271&lt;&gt;"",'Approved-Enforcement'!M271,"")</f>
        <v/>
      </c>
      <c r="O271" t="str">
        <f>IF($A271&lt;&gt;"",'Approved-Enforcement'!N271,"")</f>
        <v/>
      </c>
      <c r="P271" t="str">
        <f>IF($A271&lt;&gt;"",'Approved-Enforcement'!O271,"")</f>
        <v/>
      </c>
    </row>
    <row r="272" spans="1:16" x14ac:dyDescent="0.35">
      <c r="A272" s="4" t="str">
        <f>IF('Approved-Enforcement'!$A272&lt;&gt;"",'Approved-Enforcement'!A272,"")</f>
        <v/>
      </c>
      <c r="B272" t="str">
        <f t="shared" si="4"/>
        <v/>
      </c>
      <c r="D272" t="str">
        <f>IF($A272&lt;&gt;"",IF($R272&lt;&gt;"",$R272,'Approved-Enforcement'!$B272+7),"")</f>
        <v/>
      </c>
      <c r="E272" t="str">
        <f>IF($A272&lt;&gt;"",'Approved-Enforcement'!D272,"")</f>
        <v/>
      </c>
      <c r="F272" t="str">
        <f>IF($A272&lt;&gt;"",'Approved-Enforcement'!E272,"")</f>
        <v/>
      </c>
      <c r="G272" t="str">
        <f>IF($A272&lt;&gt;"",'Approved-Enforcement'!F272,"")</f>
        <v/>
      </c>
      <c r="H272" t="str">
        <f>IF($A272&lt;&gt;"",'Approved-Enforcement'!G272,"")</f>
        <v/>
      </c>
      <c r="I272" t="str">
        <f>IF($A272&lt;&gt;"",'Approved-Enforcement'!H272,"")</f>
        <v/>
      </c>
      <c r="J272" t="str">
        <f>IF($A272&lt;&gt;"",'Approved-Enforcement'!I272,"")</f>
        <v/>
      </c>
      <c r="K272" t="str">
        <f>IF($A272&lt;&gt;"",'Approved-Enforcement'!J272,"")</f>
        <v/>
      </c>
      <c r="L272" t="str">
        <f>IF($A272&lt;&gt;"",'Approved-Enforcement'!K272,"")</f>
        <v/>
      </c>
      <c r="M272" t="str">
        <f>IF($A272&lt;&gt;"",'Approved-Enforcement'!L272,"")</f>
        <v/>
      </c>
      <c r="N272" t="str">
        <f>IF($A272&lt;&gt;"",'Approved-Enforcement'!M272,"")</f>
        <v/>
      </c>
      <c r="O272" t="str">
        <f>IF($A272&lt;&gt;"",'Approved-Enforcement'!N272,"")</f>
        <v/>
      </c>
      <c r="P272" t="str">
        <f>IF($A272&lt;&gt;"",'Approved-Enforcement'!O272,"")</f>
        <v/>
      </c>
    </row>
    <row r="273" spans="1:16" x14ac:dyDescent="0.35">
      <c r="A273" s="4" t="str">
        <f>IF('Approved-Enforcement'!$A273&lt;&gt;"",'Approved-Enforcement'!A273,"")</f>
        <v/>
      </c>
      <c r="B273" t="str">
        <f t="shared" si="4"/>
        <v/>
      </c>
      <c r="D273" t="str">
        <f>IF($A273&lt;&gt;"",IF($R273&lt;&gt;"",$R273,'Approved-Enforcement'!$B273+7),"")</f>
        <v/>
      </c>
      <c r="E273" t="str">
        <f>IF($A273&lt;&gt;"",'Approved-Enforcement'!D273,"")</f>
        <v/>
      </c>
      <c r="F273" t="str">
        <f>IF($A273&lt;&gt;"",'Approved-Enforcement'!E273,"")</f>
        <v/>
      </c>
      <c r="G273" t="str">
        <f>IF($A273&lt;&gt;"",'Approved-Enforcement'!F273,"")</f>
        <v/>
      </c>
      <c r="H273" t="str">
        <f>IF($A273&lt;&gt;"",'Approved-Enforcement'!G273,"")</f>
        <v/>
      </c>
      <c r="I273" t="str">
        <f>IF($A273&lt;&gt;"",'Approved-Enforcement'!H273,"")</f>
        <v/>
      </c>
      <c r="J273" t="str">
        <f>IF($A273&lt;&gt;"",'Approved-Enforcement'!I273,"")</f>
        <v/>
      </c>
      <c r="K273" t="str">
        <f>IF($A273&lt;&gt;"",'Approved-Enforcement'!J273,"")</f>
        <v/>
      </c>
      <c r="L273" t="str">
        <f>IF($A273&lt;&gt;"",'Approved-Enforcement'!K273,"")</f>
        <v/>
      </c>
      <c r="M273" t="str">
        <f>IF($A273&lt;&gt;"",'Approved-Enforcement'!L273,"")</f>
        <v/>
      </c>
      <c r="N273" t="str">
        <f>IF($A273&lt;&gt;"",'Approved-Enforcement'!M273,"")</f>
        <v/>
      </c>
      <c r="O273" t="str">
        <f>IF($A273&lt;&gt;"",'Approved-Enforcement'!N273,"")</f>
        <v/>
      </c>
      <c r="P273" t="str">
        <f>IF($A273&lt;&gt;"",'Approved-Enforcement'!O273,"")</f>
        <v/>
      </c>
    </row>
    <row r="274" spans="1:16" x14ac:dyDescent="0.35">
      <c r="A274" s="4" t="str">
        <f>IF('Approved-Enforcement'!$A274&lt;&gt;"",'Approved-Enforcement'!A274,"")</f>
        <v/>
      </c>
      <c r="B274" t="str">
        <f t="shared" si="4"/>
        <v/>
      </c>
      <c r="D274" t="str">
        <f>IF($A274&lt;&gt;"",IF($R274&lt;&gt;"",$R274,'Approved-Enforcement'!$B274+7),"")</f>
        <v/>
      </c>
      <c r="E274" t="str">
        <f>IF($A274&lt;&gt;"",'Approved-Enforcement'!D274,"")</f>
        <v/>
      </c>
      <c r="F274" t="str">
        <f>IF($A274&lt;&gt;"",'Approved-Enforcement'!E274,"")</f>
        <v/>
      </c>
      <c r="G274" t="str">
        <f>IF($A274&lt;&gt;"",'Approved-Enforcement'!F274,"")</f>
        <v/>
      </c>
      <c r="H274" t="str">
        <f>IF($A274&lt;&gt;"",'Approved-Enforcement'!G274,"")</f>
        <v/>
      </c>
      <c r="I274" t="str">
        <f>IF($A274&lt;&gt;"",'Approved-Enforcement'!H274,"")</f>
        <v/>
      </c>
      <c r="J274" t="str">
        <f>IF($A274&lt;&gt;"",'Approved-Enforcement'!I274,"")</f>
        <v/>
      </c>
      <c r="K274" t="str">
        <f>IF($A274&lt;&gt;"",'Approved-Enforcement'!J274,"")</f>
        <v/>
      </c>
      <c r="L274" t="str">
        <f>IF($A274&lt;&gt;"",'Approved-Enforcement'!K274,"")</f>
        <v/>
      </c>
      <c r="M274" t="str">
        <f>IF($A274&lt;&gt;"",'Approved-Enforcement'!L274,"")</f>
        <v/>
      </c>
      <c r="N274" t="str">
        <f>IF($A274&lt;&gt;"",'Approved-Enforcement'!M274,"")</f>
        <v/>
      </c>
      <c r="O274" t="str">
        <f>IF($A274&lt;&gt;"",'Approved-Enforcement'!N274,"")</f>
        <v/>
      </c>
      <c r="P274" t="str">
        <f>IF($A274&lt;&gt;"",'Approved-Enforcement'!O274,"")</f>
        <v/>
      </c>
    </row>
    <row r="275" spans="1:16" x14ac:dyDescent="0.35">
      <c r="A275" s="4" t="str">
        <f>IF('Approved-Enforcement'!$A275&lt;&gt;"",'Approved-Enforcement'!A275,"")</f>
        <v/>
      </c>
      <c r="B275" t="str">
        <f t="shared" si="4"/>
        <v/>
      </c>
      <c r="D275" t="str">
        <f>IF($A275&lt;&gt;"",IF($R275&lt;&gt;"",$R275,'Approved-Enforcement'!$B275+7),"")</f>
        <v/>
      </c>
      <c r="E275" t="str">
        <f>IF($A275&lt;&gt;"",'Approved-Enforcement'!D275,"")</f>
        <v/>
      </c>
      <c r="F275" t="str">
        <f>IF($A275&lt;&gt;"",'Approved-Enforcement'!E275,"")</f>
        <v/>
      </c>
      <c r="G275" t="str">
        <f>IF($A275&lt;&gt;"",'Approved-Enforcement'!F275,"")</f>
        <v/>
      </c>
      <c r="H275" t="str">
        <f>IF($A275&lt;&gt;"",'Approved-Enforcement'!G275,"")</f>
        <v/>
      </c>
      <c r="I275" t="str">
        <f>IF($A275&lt;&gt;"",'Approved-Enforcement'!H275,"")</f>
        <v/>
      </c>
      <c r="J275" t="str">
        <f>IF($A275&lt;&gt;"",'Approved-Enforcement'!I275,"")</f>
        <v/>
      </c>
      <c r="K275" t="str">
        <f>IF($A275&lt;&gt;"",'Approved-Enforcement'!J275,"")</f>
        <v/>
      </c>
      <c r="L275" t="str">
        <f>IF($A275&lt;&gt;"",'Approved-Enforcement'!K275,"")</f>
        <v/>
      </c>
      <c r="M275" t="str">
        <f>IF($A275&lt;&gt;"",'Approved-Enforcement'!L275,"")</f>
        <v/>
      </c>
      <c r="N275" t="str">
        <f>IF($A275&lt;&gt;"",'Approved-Enforcement'!M275,"")</f>
        <v/>
      </c>
      <c r="O275" t="str">
        <f>IF($A275&lt;&gt;"",'Approved-Enforcement'!N275,"")</f>
        <v/>
      </c>
      <c r="P275" t="str">
        <f>IF($A275&lt;&gt;"",'Approved-Enforcement'!O275,"")</f>
        <v/>
      </c>
    </row>
    <row r="276" spans="1:16" x14ac:dyDescent="0.35">
      <c r="A276" s="4" t="str">
        <f>IF('Approved-Enforcement'!$A276&lt;&gt;"",'Approved-Enforcement'!A276,"")</f>
        <v/>
      </c>
      <c r="B276" t="str">
        <f t="shared" si="4"/>
        <v/>
      </c>
      <c r="D276" t="str">
        <f>IF($A276&lt;&gt;"",IF($R276&lt;&gt;"",$R276,'Approved-Enforcement'!$B276+7),"")</f>
        <v/>
      </c>
      <c r="E276" t="str">
        <f>IF($A276&lt;&gt;"",'Approved-Enforcement'!D276,"")</f>
        <v/>
      </c>
      <c r="F276" t="str">
        <f>IF($A276&lt;&gt;"",'Approved-Enforcement'!E276,"")</f>
        <v/>
      </c>
      <c r="G276" t="str">
        <f>IF($A276&lt;&gt;"",'Approved-Enforcement'!F276,"")</f>
        <v/>
      </c>
      <c r="H276" t="str">
        <f>IF($A276&lt;&gt;"",'Approved-Enforcement'!G276,"")</f>
        <v/>
      </c>
      <c r="I276" t="str">
        <f>IF($A276&lt;&gt;"",'Approved-Enforcement'!H276,"")</f>
        <v/>
      </c>
      <c r="J276" t="str">
        <f>IF($A276&lt;&gt;"",'Approved-Enforcement'!I276,"")</f>
        <v/>
      </c>
      <c r="K276" t="str">
        <f>IF($A276&lt;&gt;"",'Approved-Enforcement'!J276,"")</f>
        <v/>
      </c>
      <c r="L276" t="str">
        <f>IF($A276&lt;&gt;"",'Approved-Enforcement'!K276,"")</f>
        <v/>
      </c>
      <c r="M276" t="str">
        <f>IF($A276&lt;&gt;"",'Approved-Enforcement'!L276,"")</f>
        <v/>
      </c>
      <c r="N276" t="str">
        <f>IF($A276&lt;&gt;"",'Approved-Enforcement'!M276,"")</f>
        <v/>
      </c>
      <c r="O276" t="str">
        <f>IF($A276&lt;&gt;"",'Approved-Enforcement'!N276,"")</f>
        <v/>
      </c>
      <c r="P276" t="str">
        <f>IF($A276&lt;&gt;"",'Approved-Enforcement'!O276,"")</f>
        <v/>
      </c>
    </row>
    <row r="277" spans="1:16" x14ac:dyDescent="0.35">
      <c r="A277" s="4" t="str">
        <f>IF('Approved-Enforcement'!$A277&lt;&gt;"",'Approved-Enforcement'!A277,"")</f>
        <v/>
      </c>
      <c r="B277" t="str">
        <f t="shared" si="4"/>
        <v/>
      </c>
      <c r="D277" t="str">
        <f>IF($A277&lt;&gt;"",IF($R277&lt;&gt;"",$R277,'Approved-Enforcement'!$B277+7),"")</f>
        <v/>
      </c>
      <c r="E277" t="str">
        <f>IF($A277&lt;&gt;"",'Approved-Enforcement'!D277,"")</f>
        <v/>
      </c>
      <c r="F277" t="str">
        <f>IF($A277&lt;&gt;"",'Approved-Enforcement'!E277,"")</f>
        <v/>
      </c>
      <c r="G277" t="str">
        <f>IF($A277&lt;&gt;"",'Approved-Enforcement'!F277,"")</f>
        <v/>
      </c>
      <c r="H277" t="str">
        <f>IF($A277&lt;&gt;"",'Approved-Enforcement'!G277,"")</f>
        <v/>
      </c>
      <c r="I277" t="str">
        <f>IF($A277&lt;&gt;"",'Approved-Enforcement'!H277,"")</f>
        <v/>
      </c>
      <c r="J277" t="str">
        <f>IF($A277&lt;&gt;"",'Approved-Enforcement'!I277,"")</f>
        <v/>
      </c>
      <c r="K277" t="str">
        <f>IF($A277&lt;&gt;"",'Approved-Enforcement'!J277,"")</f>
        <v/>
      </c>
      <c r="L277" t="str">
        <f>IF($A277&lt;&gt;"",'Approved-Enforcement'!K277,"")</f>
        <v/>
      </c>
      <c r="M277" t="str">
        <f>IF($A277&lt;&gt;"",'Approved-Enforcement'!L277,"")</f>
        <v/>
      </c>
      <c r="N277" t="str">
        <f>IF($A277&lt;&gt;"",'Approved-Enforcement'!M277,"")</f>
        <v/>
      </c>
      <c r="O277" t="str">
        <f>IF($A277&lt;&gt;"",'Approved-Enforcement'!N277,"")</f>
        <v/>
      </c>
      <c r="P277" t="str">
        <f>IF($A277&lt;&gt;"",'Approved-Enforcement'!O277,"")</f>
        <v/>
      </c>
    </row>
    <row r="278" spans="1:16" x14ac:dyDescent="0.35">
      <c r="A278" s="4" t="str">
        <f>IF('Approved-Enforcement'!$A278&lt;&gt;"",'Approved-Enforcement'!A278,"")</f>
        <v/>
      </c>
      <c r="B278" t="str">
        <f t="shared" si="4"/>
        <v/>
      </c>
      <c r="D278" t="str">
        <f>IF($A278&lt;&gt;"",IF($R278&lt;&gt;"",$R278,'Approved-Enforcement'!$B278+7),"")</f>
        <v/>
      </c>
      <c r="E278" t="str">
        <f>IF($A278&lt;&gt;"",'Approved-Enforcement'!D278,"")</f>
        <v/>
      </c>
      <c r="F278" t="str">
        <f>IF($A278&lt;&gt;"",'Approved-Enforcement'!E278,"")</f>
        <v/>
      </c>
      <c r="G278" t="str">
        <f>IF($A278&lt;&gt;"",'Approved-Enforcement'!F278,"")</f>
        <v/>
      </c>
      <c r="H278" t="str">
        <f>IF($A278&lt;&gt;"",'Approved-Enforcement'!G278,"")</f>
        <v/>
      </c>
      <c r="I278" t="str">
        <f>IF($A278&lt;&gt;"",'Approved-Enforcement'!H278,"")</f>
        <v/>
      </c>
      <c r="J278" t="str">
        <f>IF($A278&lt;&gt;"",'Approved-Enforcement'!I278,"")</f>
        <v/>
      </c>
      <c r="K278" t="str">
        <f>IF($A278&lt;&gt;"",'Approved-Enforcement'!J278,"")</f>
        <v/>
      </c>
      <c r="L278" t="str">
        <f>IF($A278&lt;&gt;"",'Approved-Enforcement'!K278,"")</f>
        <v/>
      </c>
      <c r="M278" t="str">
        <f>IF($A278&lt;&gt;"",'Approved-Enforcement'!L278,"")</f>
        <v/>
      </c>
      <c r="N278" t="str">
        <f>IF($A278&lt;&gt;"",'Approved-Enforcement'!M278,"")</f>
        <v/>
      </c>
      <c r="O278" t="str">
        <f>IF($A278&lt;&gt;"",'Approved-Enforcement'!N278,"")</f>
        <v/>
      </c>
      <c r="P278" t="str">
        <f>IF($A278&lt;&gt;"",'Approved-Enforcement'!O278,"")</f>
        <v/>
      </c>
    </row>
    <row r="279" spans="1:16" x14ac:dyDescent="0.35">
      <c r="A279" s="4" t="str">
        <f>IF('Approved-Enforcement'!$A279&lt;&gt;"",'Approved-Enforcement'!A279,"")</f>
        <v/>
      </c>
      <c r="B279" t="str">
        <f t="shared" si="4"/>
        <v/>
      </c>
      <c r="D279" t="str">
        <f>IF($A279&lt;&gt;"",IF($R279&lt;&gt;"",$R279,'Approved-Enforcement'!$B279+7),"")</f>
        <v/>
      </c>
      <c r="E279" t="str">
        <f>IF($A279&lt;&gt;"",'Approved-Enforcement'!D279,"")</f>
        <v/>
      </c>
      <c r="F279" t="str">
        <f>IF($A279&lt;&gt;"",'Approved-Enforcement'!E279,"")</f>
        <v/>
      </c>
      <c r="G279" t="str">
        <f>IF($A279&lt;&gt;"",'Approved-Enforcement'!F279,"")</f>
        <v/>
      </c>
      <c r="H279" t="str">
        <f>IF($A279&lt;&gt;"",'Approved-Enforcement'!G279,"")</f>
        <v/>
      </c>
      <c r="I279" t="str">
        <f>IF($A279&lt;&gt;"",'Approved-Enforcement'!H279,"")</f>
        <v/>
      </c>
      <c r="J279" t="str">
        <f>IF($A279&lt;&gt;"",'Approved-Enforcement'!I279,"")</f>
        <v/>
      </c>
      <c r="K279" t="str">
        <f>IF($A279&lt;&gt;"",'Approved-Enforcement'!J279,"")</f>
        <v/>
      </c>
      <c r="L279" t="str">
        <f>IF($A279&lt;&gt;"",'Approved-Enforcement'!K279,"")</f>
        <v/>
      </c>
      <c r="M279" t="str">
        <f>IF($A279&lt;&gt;"",'Approved-Enforcement'!L279,"")</f>
        <v/>
      </c>
      <c r="N279" t="str">
        <f>IF($A279&lt;&gt;"",'Approved-Enforcement'!M279,"")</f>
        <v/>
      </c>
      <c r="O279" t="str">
        <f>IF($A279&lt;&gt;"",'Approved-Enforcement'!N279,"")</f>
        <v/>
      </c>
      <c r="P279" t="str">
        <f>IF($A279&lt;&gt;"",'Approved-Enforcement'!O279,"")</f>
        <v/>
      </c>
    </row>
    <row r="280" spans="1:16" x14ac:dyDescent="0.35">
      <c r="A280" s="4" t="str">
        <f>IF('Approved-Enforcement'!$A280&lt;&gt;"",'Approved-Enforcement'!A280,"")</f>
        <v/>
      </c>
      <c r="B280" t="str">
        <f t="shared" si="4"/>
        <v/>
      </c>
      <c r="D280" t="str">
        <f>IF($A280&lt;&gt;"",IF($R280&lt;&gt;"",$R280,'Approved-Enforcement'!$B280+7),"")</f>
        <v/>
      </c>
      <c r="E280" t="str">
        <f>IF($A280&lt;&gt;"",'Approved-Enforcement'!D280,"")</f>
        <v/>
      </c>
      <c r="F280" t="str">
        <f>IF($A280&lt;&gt;"",'Approved-Enforcement'!E280,"")</f>
        <v/>
      </c>
      <c r="G280" t="str">
        <f>IF($A280&lt;&gt;"",'Approved-Enforcement'!F280,"")</f>
        <v/>
      </c>
      <c r="H280" t="str">
        <f>IF($A280&lt;&gt;"",'Approved-Enforcement'!G280,"")</f>
        <v/>
      </c>
      <c r="I280" t="str">
        <f>IF($A280&lt;&gt;"",'Approved-Enforcement'!H280,"")</f>
        <v/>
      </c>
      <c r="J280" t="str">
        <f>IF($A280&lt;&gt;"",'Approved-Enforcement'!I280,"")</f>
        <v/>
      </c>
      <c r="K280" t="str">
        <f>IF($A280&lt;&gt;"",'Approved-Enforcement'!J280,"")</f>
        <v/>
      </c>
      <c r="L280" t="str">
        <f>IF($A280&lt;&gt;"",'Approved-Enforcement'!K280,"")</f>
        <v/>
      </c>
      <c r="M280" t="str">
        <f>IF($A280&lt;&gt;"",'Approved-Enforcement'!L280,"")</f>
        <v/>
      </c>
      <c r="N280" t="str">
        <f>IF($A280&lt;&gt;"",'Approved-Enforcement'!M280,"")</f>
        <v/>
      </c>
      <c r="O280" t="str">
        <f>IF($A280&lt;&gt;"",'Approved-Enforcement'!N280,"")</f>
        <v/>
      </c>
      <c r="P280" t="str">
        <f>IF($A280&lt;&gt;"",'Approved-Enforcement'!O280,"")</f>
        <v/>
      </c>
    </row>
    <row r="281" spans="1:16" x14ac:dyDescent="0.35">
      <c r="A281" s="4" t="str">
        <f>IF('Approved-Enforcement'!$A281&lt;&gt;"",'Approved-Enforcement'!A281,"")</f>
        <v/>
      </c>
      <c r="B281" t="str">
        <f t="shared" si="4"/>
        <v/>
      </c>
      <c r="D281" t="str">
        <f>IF($A281&lt;&gt;"",IF($R281&lt;&gt;"",$R281,'Approved-Enforcement'!$B281+7),"")</f>
        <v/>
      </c>
      <c r="E281" t="str">
        <f>IF($A281&lt;&gt;"",'Approved-Enforcement'!D281,"")</f>
        <v/>
      </c>
      <c r="F281" t="str">
        <f>IF($A281&lt;&gt;"",'Approved-Enforcement'!E281,"")</f>
        <v/>
      </c>
      <c r="G281" t="str">
        <f>IF($A281&lt;&gt;"",'Approved-Enforcement'!F281,"")</f>
        <v/>
      </c>
      <c r="H281" t="str">
        <f>IF($A281&lt;&gt;"",'Approved-Enforcement'!G281,"")</f>
        <v/>
      </c>
      <c r="I281" t="str">
        <f>IF($A281&lt;&gt;"",'Approved-Enforcement'!H281,"")</f>
        <v/>
      </c>
      <c r="J281" t="str">
        <f>IF($A281&lt;&gt;"",'Approved-Enforcement'!I281,"")</f>
        <v/>
      </c>
      <c r="K281" t="str">
        <f>IF($A281&lt;&gt;"",'Approved-Enforcement'!J281,"")</f>
        <v/>
      </c>
      <c r="L281" t="str">
        <f>IF($A281&lt;&gt;"",'Approved-Enforcement'!K281,"")</f>
        <v/>
      </c>
      <c r="M281" t="str">
        <f>IF($A281&lt;&gt;"",'Approved-Enforcement'!L281,"")</f>
        <v/>
      </c>
      <c r="N281" t="str">
        <f>IF($A281&lt;&gt;"",'Approved-Enforcement'!M281,"")</f>
        <v/>
      </c>
      <c r="O281" t="str">
        <f>IF($A281&lt;&gt;"",'Approved-Enforcement'!N281,"")</f>
        <v/>
      </c>
      <c r="P281" t="str">
        <f>IF($A281&lt;&gt;"",'Approved-Enforcement'!O281,"")</f>
        <v/>
      </c>
    </row>
    <row r="282" spans="1:16" x14ac:dyDescent="0.35">
      <c r="A282" s="4" t="str">
        <f>IF('Approved-Enforcement'!$A282&lt;&gt;"",'Approved-Enforcement'!A282,"")</f>
        <v/>
      </c>
      <c r="B282" t="str">
        <f t="shared" si="4"/>
        <v/>
      </c>
      <c r="D282" t="str">
        <f>IF($A282&lt;&gt;"",IF($R282&lt;&gt;"",$R282,'Approved-Enforcement'!$B282+7),"")</f>
        <v/>
      </c>
      <c r="E282" t="str">
        <f>IF($A282&lt;&gt;"",'Approved-Enforcement'!D282,"")</f>
        <v/>
      </c>
      <c r="F282" t="str">
        <f>IF($A282&lt;&gt;"",'Approved-Enforcement'!E282,"")</f>
        <v/>
      </c>
      <c r="G282" t="str">
        <f>IF($A282&lt;&gt;"",'Approved-Enforcement'!F282,"")</f>
        <v/>
      </c>
      <c r="H282" t="str">
        <f>IF($A282&lt;&gt;"",'Approved-Enforcement'!G282,"")</f>
        <v/>
      </c>
      <c r="I282" t="str">
        <f>IF($A282&lt;&gt;"",'Approved-Enforcement'!H282,"")</f>
        <v/>
      </c>
      <c r="J282" t="str">
        <f>IF($A282&lt;&gt;"",'Approved-Enforcement'!I282,"")</f>
        <v/>
      </c>
      <c r="K282" t="str">
        <f>IF($A282&lt;&gt;"",'Approved-Enforcement'!J282,"")</f>
        <v/>
      </c>
      <c r="L282" t="str">
        <f>IF($A282&lt;&gt;"",'Approved-Enforcement'!K282,"")</f>
        <v/>
      </c>
      <c r="M282" t="str">
        <f>IF($A282&lt;&gt;"",'Approved-Enforcement'!L282,"")</f>
        <v/>
      </c>
      <c r="N282" t="str">
        <f>IF($A282&lt;&gt;"",'Approved-Enforcement'!M282,"")</f>
        <v/>
      </c>
      <c r="O282" t="str">
        <f>IF($A282&lt;&gt;"",'Approved-Enforcement'!N282,"")</f>
        <v/>
      </c>
      <c r="P282" t="str">
        <f>IF($A282&lt;&gt;"",'Approved-Enforcement'!O282,"")</f>
        <v/>
      </c>
    </row>
    <row r="283" spans="1:16" x14ac:dyDescent="0.35">
      <c r="A283" s="4" t="str">
        <f>IF('Approved-Enforcement'!$A283&lt;&gt;"",'Approved-Enforcement'!A283,"")</f>
        <v/>
      </c>
      <c r="B283" t="str">
        <f t="shared" si="4"/>
        <v/>
      </c>
      <c r="D283" t="str">
        <f>IF($A283&lt;&gt;"",IF($R283&lt;&gt;"",$R283,'Approved-Enforcement'!$B283+7),"")</f>
        <v/>
      </c>
      <c r="E283" t="str">
        <f>IF($A283&lt;&gt;"",'Approved-Enforcement'!D283,"")</f>
        <v/>
      </c>
      <c r="F283" t="str">
        <f>IF($A283&lt;&gt;"",'Approved-Enforcement'!E283,"")</f>
        <v/>
      </c>
      <c r="G283" t="str">
        <f>IF($A283&lt;&gt;"",'Approved-Enforcement'!F283,"")</f>
        <v/>
      </c>
      <c r="H283" t="str">
        <f>IF($A283&lt;&gt;"",'Approved-Enforcement'!G283,"")</f>
        <v/>
      </c>
      <c r="I283" t="str">
        <f>IF($A283&lt;&gt;"",'Approved-Enforcement'!H283,"")</f>
        <v/>
      </c>
      <c r="J283" t="str">
        <f>IF($A283&lt;&gt;"",'Approved-Enforcement'!I283,"")</f>
        <v/>
      </c>
      <c r="K283" t="str">
        <f>IF($A283&lt;&gt;"",'Approved-Enforcement'!J283,"")</f>
        <v/>
      </c>
      <c r="L283" t="str">
        <f>IF($A283&lt;&gt;"",'Approved-Enforcement'!K283,"")</f>
        <v/>
      </c>
      <c r="M283" t="str">
        <f>IF($A283&lt;&gt;"",'Approved-Enforcement'!L283,"")</f>
        <v/>
      </c>
      <c r="N283" t="str">
        <f>IF($A283&lt;&gt;"",'Approved-Enforcement'!M283,"")</f>
        <v/>
      </c>
      <c r="O283" t="str">
        <f>IF($A283&lt;&gt;"",'Approved-Enforcement'!N283,"")</f>
        <v/>
      </c>
      <c r="P283" t="str">
        <f>IF($A283&lt;&gt;"",'Approved-Enforcement'!O283,"")</f>
        <v/>
      </c>
    </row>
    <row r="284" spans="1:16" x14ac:dyDescent="0.35">
      <c r="A284" s="4" t="str">
        <f>IF('Approved-Enforcement'!$A284&lt;&gt;"",'Approved-Enforcement'!A284,"")</f>
        <v/>
      </c>
      <c r="B284" t="str">
        <f t="shared" si="4"/>
        <v/>
      </c>
      <c r="D284" t="str">
        <f>IF($A284&lt;&gt;"",IF($R284&lt;&gt;"",$R284,'Approved-Enforcement'!$B284+7),"")</f>
        <v/>
      </c>
      <c r="E284" t="str">
        <f>IF($A284&lt;&gt;"",'Approved-Enforcement'!D284,"")</f>
        <v/>
      </c>
      <c r="F284" t="str">
        <f>IF($A284&lt;&gt;"",'Approved-Enforcement'!E284,"")</f>
        <v/>
      </c>
      <c r="G284" t="str">
        <f>IF($A284&lt;&gt;"",'Approved-Enforcement'!F284,"")</f>
        <v/>
      </c>
      <c r="H284" t="str">
        <f>IF($A284&lt;&gt;"",'Approved-Enforcement'!G284,"")</f>
        <v/>
      </c>
      <c r="I284" t="str">
        <f>IF($A284&lt;&gt;"",'Approved-Enforcement'!H284,"")</f>
        <v/>
      </c>
      <c r="J284" t="str">
        <f>IF($A284&lt;&gt;"",'Approved-Enforcement'!I284,"")</f>
        <v/>
      </c>
      <c r="K284" t="str">
        <f>IF($A284&lt;&gt;"",'Approved-Enforcement'!J284,"")</f>
        <v/>
      </c>
      <c r="L284" t="str">
        <f>IF($A284&lt;&gt;"",'Approved-Enforcement'!K284,"")</f>
        <v/>
      </c>
      <c r="M284" t="str">
        <f>IF($A284&lt;&gt;"",'Approved-Enforcement'!L284,"")</f>
        <v/>
      </c>
      <c r="N284" t="str">
        <f>IF($A284&lt;&gt;"",'Approved-Enforcement'!M284,"")</f>
        <v/>
      </c>
      <c r="O284" t="str">
        <f>IF($A284&lt;&gt;"",'Approved-Enforcement'!N284,"")</f>
        <v/>
      </c>
      <c r="P284" t="str">
        <f>IF($A284&lt;&gt;"",'Approved-Enforcement'!O284,"")</f>
        <v/>
      </c>
    </row>
    <row r="285" spans="1:16" x14ac:dyDescent="0.35">
      <c r="A285" s="4" t="str">
        <f>IF('Approved-Enforcement'!$A285&lt;&gt;"",'Approved-Enforcement'!A285,"")</f>
        <v/>
      </c>
      <c r="B285" t="str">
        <f t="shared" si="4"/>
        <v/>
      </c>
      <c r="D285" t="str">
        <f>IF($A285&lt;&gt;"",IF($R285&lt;&gt;"",$R285,'Approved-Enforcement'!$B285+7),"")</f>
        <v/>
      </c>
      <c r="E285" t="str">
        <f>IF($A285&lt;&gt;"",'Approved-Enforcement'!D285,"")</f>
        <v/>
      </c>
      <c r="F285" t="str">
        <f>IF($A285&lt;&gt;"",'Approved-Enforcement'!E285,"")</f>
        <v/>
      </c>
      <c r="G285" t="str">
        <f>IF($A285&lt;&gt;"",'Approved-Enforcement'!F285,"")</f>
        <v/>
      </c>
      <c r="H285" t="str">
        <f>IF($A285&lt;&gt;"",'Approved-Enforcement'!G285,"")</f>
        <v/>
      </c>
      <c r="I285" t="str">
        <f>IF($A285&lt;&gt;"",'Approved-Enforcement'!H285,"")</f>
        <v/>
      </c>
      <c r="J285" t="str">
        <f>IF($A285&lt;&gt;"",'Approved-Enforcement'!I285,"")</f>
        <v/>
      </c>
      <c r="K285" t="str">
        <f>IF($A285&lt;&gt;"",'Approved-Enforcement'!J285,"")</f>
        <v/>
      </c>
      <c r="L285" t="str">
        <f>IF($A285&lt;&gt;"",'Approved-Enforcement'!K285,"")</f>
        <v/>
      </c>
      <c r="M285" t="str">
        <f>IF($A285&lt;&gt;"",'Approved-Enforcement'!L285,"")</f>
        <v/>
      </c>
      <c r="N285" t="str">
        <f>IF($A285&lt;&gt;"",'Approved-Enforcement'!M285,"")</f>
        <v/>
      </c>
      <c r="O285" t="str">
        <f>IF($A285&lt;&gt;"",'Approved-Enforcement'!N285,"")</f>
        <v/>
      </c>
      <c r="P285" t="str">
        <f>IF($A285&lt;&gt;"",'Approved-Enforcement'!O285,"")</f>
        <v/>
      </c>
    </row>
    <row r="286" spans="1:16" x14ac:dyDescent="0.35">
      <c r="A286" s="4" t="str">
        <f>IF('Approved-Enforcement'!$A286&lt;&gt;"",'Approved-Enforcement'!A286,"")</f>
        <v/>
      </c>
      <c r="B286" t="str">
        <f t="shared" si="4"/>
        <v/>
      </c>
      <c r="D286" t="str">
        <f>IF($A286&lt;&gt;"",IF($R286&lt;&gt;"",$R286,'Approved-Enforcement'!$B286+7),"")</f>
        <v/>
      </c>
      <c r="E286" t="str">
        <f>IF($A286&lt;&gt;"",'Approved-Enforcement'!D286,"")</f>
        <v/>
      </c>
      <c r="F286" t="str">
        <f>IF($A286&lt;&gt;"",'Approved-Enforcement'!E286,"")</f>
        <v/>
      </c>
      <c r="G286" t="str">
        <f>IF($A286&lt;&gt;"",'Approved-Enforcement'!F286,"")</f>
        <v/>
      </c>
      <c r="H286" t="str">
        <f>IF($A286&lt;&gt;"",'Approved-Enforcement'!G286,"")</f>
        <v/>
      </c>
      <c r="I286" t="str">
        <f>IF($A286&lt;&gt;"",'Approved-Enforcement'!H286,"")</f>
        <v/>
      </c>
      <c r="J286" t="str">
        <f>IF($A286&lt;&gt;"",'Approved-Enforcement'!I286,"")</f>
        <v/>
      </c>
      <c r="K286" t="str">
        <f>IF($A286&lt;&gt;"",'Approved-Enforcement'!J286,"")</f>
        <v/>
      </c>
      <c r="L286" t="str">
        <f>IF($A286&lt;&gt;"",'Approved-Enforcement'!K286,"")</f>
        <v/>
      </c>
      <c r="M286" t="str">
        <f>IF($A286&lt;&gt;"",'Approved-Enforcement'!L286,"")</f>
        <v/>
      </c>
      <c r="N286" t="str">
        <f>IF($A286&lt;&gt;"",'Approved-Enforcement'!M286,"")</f>
        <v/>
      </c>
      <c r="O286" t="str">
        <f>IF($A286&lt;&gt;"",'Approved-Enforcement'!N286,"")</f>
        <v/>
      </c>
      <c r="P286" t="str">
        <f>IF($A286&lt;&gt;"",'Approved-Enforcement'!O286,"")</f>
        <v/>
      </c>
    </row>
    <row r="287" spans="1:16" x14ac:dyDescent="0.35">
      <c r="A287" s="4" t="str">
        <f>IF('Approved-Enforcement'!$A287&lt;&gt;"",'Approved-Enforcement'!A287,"")</f>
        <v/>
      </c>
      <c r="B287" t="str">
        <f t="shared" si="4"/>
        <v/>
      </c>
      <c r="D287" t="str">
        <f>IF($A287&lt;&gt;"",IF($R287&lt;&gt;"",$R287,'Approved-Enforcement'!$B287+7),"")</f>
        <v/>
      </c>
      <c r="E287" t="str">
        <f>IF($A287&lt;&gt;"",'Approved-Enforcement'!D287,"")</f>
        <v/>
      </c>
      <c r="F287" t="str">
        <f>IF($A287&lt;&gt;"",'Approved-Enforcement'!E287,"")</f>
        <v/>
      </c>
      <c r="G287" t="str">
        <f>IF($A287&lt;&gt;"",'Approved-Enforcement'!F287,"")</f>
        <v/>
      </c>
      <c r="H287" t="str">
        <f>IF($A287&lt;&gt;"",'Approved-Enforcement'!G287,"")</f>
        <v/>
      </c>
      <c r="I287" t="str">
        <f>IF($A287&lt;&gt;"",'Approved-Enforcement'!H287,"")</f>
        <v/>
      </c>
      <c r="J287" t="str">
        <f>IF($A287&lt;&gt;"",'Approved-Enforcement'!I287,"")</f>
        <v/>
      </c>
      <c r="K287" t="str">
        <f>IF($A287&lt;&gt;"",'Approved-Enforcement'!J287,"")</f>
        <v/>
      </c>
      <c r="L287" t="str">
        <f>IF($A287&lt;&gt;"",'Approved-Enforcement'!K287,"")</f>
        <v/>
      </c>
      <c r="M287" t="str">
        <f>IF($A287&lt;&gt;"",'Approved-Enforcement'!L287,"")</f>
        <v/>
      </c>
      <c r="N287" t="str">
        <f>IF($A287&lt;&gt;"",'Approved-Enforcement'!M287,"")</f>
        <v/>
      </c>
      <c r="O287" t="str">
        <f>IF($A287&lt;&gt;"",'Approved-Enforcement'!N287,"")</f>
        <v/>
      </c>
      <c r="P287" t="str">
        <f>IF($A287&lt;&gt;"",'Approved-Enforcement'!O287,"")</f>
        <v/>
      </c>
    </row>
    <row r="288" spans="1:16" x14ac:dyDescent="0.35">
      <c r="A288" s="4" t="str">
        <f>IF('Approved-Enforcement'!$A288&lt;&gt;"",'Approved-Enforcement'!A288,"")</f>
        <v/>
      </c>
      <c r="B288" t="str">
        <f t="shared" si="4"/>
        <v/>
      </c>
      <c r="D288" t="str">
        <f>IF($A288&lt;&gt;"",IF($R288&lt;&gt;"",$R288,'Approved-Enforcement'!$B288+7),"")</f>
        <v/>
      </c>
      <c r="E288" t="str">
        <f>IF($A288&lt;&gt;"",'Approved-Enforcement'!D288,"")</f>
        <v/>
      </c>
      <c r="F288" t="str">
        <f>IF($A288&lt;&gt;"",'Approved-Enforcement'!E288,"")</f>
        <v/>
      </c>
      <c r="G288" t="str">
        <f>IF($A288&lt;&gt;"",'Approved-Enforcement'!F288,"")</f>
        <v/>
      </c>
      <c r="H288" t="str">
        <f>IF($A288&lt;&gt;"",'Approved-Enforcement'!G288,"")</f>
        <v/>
      </c>
      <c r="I288" t="str">
        <f>IF($A288&lt;&gt;"",'Approved-Enforcement'!H288,"")</f>
        <v/>
      </c>
      <c r="J288" t="str">
        <f>IF($A288&lt;&gt;"",'Approved-Enforcement'!I288,"")</f>
        <v/>
      </c>
      <c r="K288" t="str">
        <f>IF($A288&lt;&gt;"",'Approved-Enforcement'!J288,"")</f>
        <v/>
      </c>
      <c r="L288" t="str">
        <f>IF($A288&lt;&gt;"",'Approved-Enforcement'!K288,"")</f>
        <v/>
      </c>
      <c r="M288" t="str">
        <f>IF($A288&lt;&gt;"",'Approved-Enforcement'!L288,"")</f>
        <v/>
      </c>
      <c r="N288" t="str">
        <f>IF($A288&lt;&gt;"",'Approved-Enforcement'!M288,"")</f>
        <v/>
      </c>
      <c r="O288" t="str">
        <f>IF($A288&lt;&gt;"",'Approved-Enforcement'!N288,"")</f>
        <v/>
      </c>
      <c r="P288" t="str">
        <f>IF($A288&lt;&gt;"",'Approved-Enforcement'!O288,"")</f>
        <v/>
      </c>
    </row>
    <row r="289" spans="1:16" x14ac:dyDescent="0.35">
      <c r="A289" s="4" t="str">
        <f>IF('Approved-Enforcement'!$A289&lt;&gt;"",'Approved-Enforcement'!A289,"")</f>
        <v/>
      </c>
      <c r="B289" t="str">
        <f t="shared" si="4"/>
        <v/>
      </c>
      <c r="D289" t="str">
        <f>IF($A289&lt;&gt;"",IF($R289&lt;&gt;"",$R289,'Approved-Enforcement'!$B289+7),"")</f>
        <v/>
      </c>
      <c r="E289" t="str">
        <f>IF($A289&lt;&gt;"",'Approved-Enforcement'!D289,"")</f>
        <v/>
      </c>
      <c r="F289" t="str">
        <f>IF($A289&lt;&gt;"",'Approved-Enforcement'!E289,"")</f>
        <v/>
      </c>
      <c r="G289" t="str">
        <f>IF($A289&lt;&gt;"",'Approved-Enforcement'!F289,"")</f>
        <v/>
      </c>
      <c r="H289" t="str">
        <f>IF($A289&lt;&gt;"",'Approved-Enforcement'!G289,"")</f>
        <v/>
      </c>
      <c r="I289" t="str">
        <f>IF($A289&lt;&gt;"",'Approved-Enforcement'!H289,"")</f>
        <v/>
      </c>
      <c r="J289" t="str">
        <f>IF($A289&lt;&gt;"",'Approved-Enforcement'!I289,"")</f>
        <v/>
      </c>
      <c r="K289" t="str">
        <f>IF($A289&lt;&gt;"",'Approved-Enforcement'!J289,"")</f>
        <v/>
      </c>
      <c r="L289" t="str">
        <f>IF($A289&lt;&gt;"",'Approved-Enforcement'!K289,"")</f>
        <v/>
      </c>
      <c r="M289" t="str">
        <f>IF($A289&lt;&gt;"",'Approved-Enforcement'!L289,"")</f>
        <v/>
      </c>
      <c r="N289" t="str">
        <f>IF($A289&lt;&gt;"",'Approved-Enforcement'!M289,"")</f>
        <v/>
      </c>
      <c r="O289" t="str">
        <f>IF($A289&lt;&gt;"",'Approved-Enforcement'!N289,"")</f>
        <v/>
      </c>
      <c r="P289" t="str">
        <f>IF($A289&lt;&gt;"",'Approved-Enforcement'!O289,"")</f>
        <v/>
      </c>
    </row>
    <row r="290" spans="1:16" x14ac:dyDescent="0.35">
      <c r="A290" s="4" t="str">
        <f>IF('Approved-Enforcement'!$A290&lt;&gt;"",'Approved-Enforcement'!A290,"")</f>
        <v/>
      </c>
      <c r="B290" t="str">
        <f t="shared" si="4"/>
        <v/>
      </c>
      <c r="D290" t="str">
        <f>IF($A290&lt;&gt;"",IF($R290&lt;&gt;"",$R290,'Approved-Enforcement'!$B290+7),"")</f>
        <v/>
      </c>
      <c r="E290" t="str">
        <f>IF($A290&lt;&gt;"",'Approved-Enforcement'!D290,"")</f>
        <v/>
      </c>
      <c r="F290" t="str">
        <f>IF($A290&lt;&gt;"",'Approved-Enforcement'!E290,"")</f>
        <v/>
      </c>
      <c r="G290" t="str">
        <f>IF($A290&lt;&gt;"",'Approved-Enforcement'!F290,"")</f>
        <v/>
      </c>
      <c r="H290" t="str">
        <f>IF($A290&lt;&gt;"",'Approved-Enforcement'!G290,"")</f>
        <v/>
      </c>
      <c r="I290" t="str">
        <f>IF($A290&lt;&gt;"",'Approved-Enforcement'!H290,"")</f>
        <v/>
      </c>
      <c r="J290" t="str">
        <f>IF($A290&lt;&gt;"",'Approved-Enforcement'!I290,"")</f>
        <v/>
      </c>
      <c r="K290" t="str">
        <f>IF($A290&lt;&gt;"",'Approved-Enforcement'!J290,"")</f>
        <v/>
      </c>
      <c r="L290" t="str">
        <f>IF($A290&lt;&gt;"",'Approved-Enforcement'!K290,"")</f>
        <v/>
      </c>
      <c r="M290" t="str">
        <f>IF($A290&lt;&gt;"",'Approved-Enforcement'!L290,"")</f>
        <v/>
      </c>
      <c r="N290" t="str">
        <f>IF($A290&lt;&gt;"",'Approved-Enforcement'!M290,"")</f>
        <v/>
      </c>
      <c r="O290" t="str">
        <f>IF($A290&lt;&gt;"",'Approved-Enforcement'!N290,"")</f>
        <v/>
      </c>
      <c r="P290" t="str">
        <f>IF($A290&lt;&gt;"",'Approved-Enforcement'!O290,"")</f>
        <v/>
      </c>
    </row>
    <row r="291" spans="1:16" x14ac:dyDescent="0.35">
      <c r="A291" s="4" t="str">
        <f>IF('Approved-Enforcement'!$A291&lt;&gt;"",'Approved-Enforcement'!A291,"")</f>
        <v/>
      </c>
      <c r="B291" t="str">
        <f t="shared" si="4"/>
        <v/>
      </c>
      <c r="D291" t="str">
        <f>IF($A291&lt;&gt;"",IF($R291&lt;&gt;"",$R291,'Approved-Enforcement'!$B291+7),"")</f>
        <v/>
      </c>
      <c r="E291" t="str">
        <f>IF($A291&lt;&gt;"",'Approved-Enforcement'!D291,"")</f>
        <v/>
      </c>
      <c r="F291" t="str">
        <f>IF($A291&lt;&gt;"",'Approved-Enforcement'!E291,"")</f>
        <v/>
      </c>
      <c r="G291" t="str">
        <f>IF($A291&lt;&gt;"",'Approved-Enforcement'!F291,"")</f>
        <v/>
      </c>
      <c r="H291" t="str">
        <f>IF($A291&lt;&gt;"",'Approved-Enforcement'!G291,"")</f>
        <v/>
      </c>
      <c r="I291" t="str">
        <f>IF($A291&lt;&gt;"",'Approved-Enforcement'!H291,"")</f>
        <v/>
      </c>
      <c r="J291" t="str">
        <f>IF($A291&lt;&gt;"",'Approved-Enforcement'!I291,"")</f>
        <v/>
      </c>
      <c r="K291" t="str">
        <f>IF($A291&lt;&gt;"",'Approved-Enforcement'!J291,"")</f>
        <v/>
      </c>
      <c r="L291" t="str">
        <f>IF($A291&lt;&gt;"",'Approved-Enforcement'!K291,"")</f>
        <v/>
      </c>
      <c r="M291" t="str">
        <f>IF($A291&lt;&gt;"",'Approved-Enforcement'!L291,"")</f>
        <v/>
      </c>
      <c r="N291" t="str">
        <f>IF($A291&lt;&gt;"",'Approved-Enforcement'!M291,"")</f>
        <v/>
      </c>
      <c r="O291" t="str">
        <f>IF($A291&lt;&gt;"",'Approved-Enforcement'!N291,"")</f>
        <v/>
      </c>
      <c r="P291" t="str">
        <f>IF($A291&lt;&gt;"",'Approved-Enforcement'!O291,"")</f>
        <v/>
      </c>
    </row>
    <row r="292" spans="1:16" x14ac:dyDescent="0.35">
      <c r="A292" s="4" t="str">
        <f>IF('Approved-Enforcement'!$A292&lt;&gt;"",'Approved-Enforcement'!A292,"")</f>
        <v/>
      </c>
      <c r="B292" t="str">
        <f t="shared" si="4"/>
        <v/>
      </c>
      <c r="D292" t="str">
        <f>IF($A292&lt;&gt;"",IF($R292&lt;&gt;"",$R292,'Approved-Enforcement'!$B292+7),"")</f>
        <v/>
      </c>
      <c r="E292" t="str">
        <f>IF($A292&lt;&gt;"",'Approved-Enforcement'!D292,"")</f>
        <v/>
      </c>
      <c r="F292" t="str">
        <f>IF($A292&lt;&gt;"",'Approved-Enforcement'!E292,"")</f>
        <v/>
      </c>
      <c r="G292" t="str">
        <f>IF($A292&lt;&gt;"",'Approved-Enforcement'!F292,"")</f>
        <v/>
      </c>
      <c r="H292" t="str">
        <f>IF($A292&lt;&gt;"",'Approved-Enforcement'!G292,"")</f>
        <v/>
      </c>
      <c r="I292" t="str">
        <f>IF($A292&lt;&gt;"",'Approved-Enforcement'!H292,"")</f>
        <v/>
      </c>
      <c r="J292" t="str">
        <f>IF($A292&lt;&gt;"",'Approved-Enforcement'!I292,"")</f>
        <v/>
      </c>
      <c r="K292" t="str">
        <f>IF($A292&lt;&gt;"",'Approved-Enforcement'!J292,"")</f>
        <v/>
      </c>
      <c r="L292" t="str">
        <f>IF($A292&lt;&gt;"",'Approved-Enforcement'!K292,"")</f>
        <v/>
      </c>
      <c r="M292" t="str">
        <f>IF($A292&lt;&gt;"",'Approved-Enforcement'!L292,"")</f>
        <v/>
      </c>
      <c r="N292" t="str">
        <f>IF($A292&lt;&gt;"",'Approved-Enforcement'!M292,"")</f>
        <v/>
      </c>
      <c r="O292" t="str">
        <f>IF($A292&lt;&gt;"",'Approved-Enforcement'!N292,"")</f>
        <v/>
      </c>
      <c r="P292" t="str">
        <f>IF($A292&lt;&gt;"",'Approved-Enforcement'!O292,"")</f>
        <v/>
      </c>
    </row>
    <row r="293" spans="1:16" x14ac:dyDescent="0.35">
      <c r="A293" s="4" t="str">
        <f>IF('Approved-Enforcement'!$A293&lt;&gt;"",'Approved-Enforcement'!A293,"")</f>
        <v/>
      </c>
      <c r="B293" t="str">
        <f t="shared" si="4"/>
        <v/>
      </c>
      <c r="D293" t="str">
        <f>IF($A293&lt;&gt;"",IF($R293&lt;&gt;"",$R293,'Approved-Enforcement'!$B293+7),"")</f>
        <v/>
      </c>
      <c r="E293" t="str">
        <f>IF($A293&lt;&gt;"",'Approved-Enforcement'!D293,"")</f>
        <v/>
      </c>
      <c r="F293" t="str">
        <f>IF($A293&lt;&gt;"",'Approved-Enforcement'!E293,"")</f>
        <v/>
      </c>
      <c r="G293" t="str">
        <f>IF($A293&lt;&gt;"",'Approved-Enforcement'!F293,"")</f>
        <v/>
      </c>
      <c r="H293" t="str">
        <f>IF($A293&lt;&gt;"",'Approved-Enforcement'!G293,"")</f>
        <v/>
      </c>
      <c r="I293" t="str">
        <f>IF($A293&lt;&gt;"",'Approved-Enforcement'!H293,"")</f>
        <v/>
      </c>
      <c r="J293" t="str">
        <f>IF($A293&lt;&gt;"",'Approved-Enforcement'!I293,"")</f>
        <v/>
      </c>
      <c r="K293" t="str">
        <f>IF($A293&lt;&gt;"",'Approved-Enforcement'!J293,"")</f>
        <v/>
      </c>
      <c r="L293" t="str">
        <f>IF($A293&lt;&gt;"",'Approved-Enforcement'!K293,"")</f>
        <v/>
      </c>
      <c r="M293" t="str">
        <f>IF($A293&lt;&gt;"",'Approved-Enforcement'!L293,"")</f>
        <v/>
      </c>
      <c r="N293" t="str">
        <f>IF($A293&lt;&gt;"",'Approved-Enforcement'!M293,"")</f>
        <v/>
      </c>
      <c r="O293" t="str">
        <f>IF($A293&lt;&gt;"",'Approved-Enforcement'!N293,"")</f>
        <v/>
      </c>
      <c r="P293" t="str">
        <f>IF($A293&lt;&gt;"",'Approved-Enforcement'!O293,"")</f>
        <v/>
      </c>
    </row>
    <row r="294" spans="1:16" x14ac:dyDescent="0.35">
      <c r="A294" s="4" t="str">
        <f>IF('Approved-Enforcement'!$A294&lt;&gt;"",'Approved-Enforcement'!A294,"")</f>
        <v/>
      </c>
      <c r="B294" t="str">
        <f t="shared" si="4"/>
        <v/>
      </c>
      <c r="D294" t="str">
        <f>IF($A294&lt;&gt;"",IF($R294&lt;&gt;"",$R294,'Approved-Enforcement'!$B294+7),"")</f>
        <v/>
      </c>
      <c r="E294" t="str">
        <f>IF($A294&lt;&gt;"",'Approved-Enforcement'!D294,"")</f>
        <v/>
      </c>
      <c r="F294" t="str">
        <f>IF($A294&lt;&gt;"",'Approved-Enforcement'!E294,"")</f>
        <v/>
      </c>
      <c r="G294" t="str">
        <f>IF($A294&lt;&gt;"",'Approved-Enforcement'!F294,"")</f>
        <v/>
      </c>
      <c r="H294" t="str">
        <f>IF($A294&lt;&gt;"",'Approved-Enforcement'!G294,"")</f>
        <v/>
      </c>
      <c r="I294" t="str">
        <f>IF($A294&lt;&gt;"",'Approved-Enforcement'!H294,"")</f>
        <v/>
      </c>
      <c r="J294" t="str">
        <f>IF($A294&lt;&gt;"",'Approved-Enforcement'!I294,"")</f>
        <v/>
      </c>
      <c r="K294" t="str">
        <f>IF($A294&lt;&gt;"",'Approved-Enforcement'!J294,"")</f>
        <v/>
      </c>
      <c r="L294" t="str">
        <f>IF($A294&lt;&gt;"",'Approved-Enforcement'!K294,"")</f>
        <v/>
      </c>
      <c r="M294" t="str">
        <f>IF($A294&lt;&gt;"",'Approved-Enforcement'!L294,"")</f>
        <v/>
      </c>
      <c r="N294" t="str">
        <f>IF($A294&lt;&gt;"",'Approved-Enforcement'!M294,"")</f>
        <v/>
      </c>
      <c r="O294" t="str">
        <f>IF($A294&lt;&gt;"",'Approved-Enforcement'!N294,"")</f>
        <v/>
      </c>
      <c r="P294" t="str">
        <f>IF($A294&lt;&gt;"",'Approved-Enforcement'!O294,"")</f>
        <v/>
      </c>
    </row>
    <row r="295" spans="1:16" x14ac:dyDescent="0.35">
      <c r="A295" s="4" t="str">
        <f>IF('Approved-Enforcement'!$A295&lt;&gt;"",'Approved-Enforcement'!A295,"")</f>
        <v/>
      </c>
      <c r="B295" t="str">
        <f t="shared" si="4"/>
        <v/>
      </c>
      <c r="D295" t="str">
        <f>IF($A295&lt;&gt;"",IF($R295&lt;&gt;"",$R295,'Approved-Enforcement'!$B295+7),"")</f>
        <v/>
      </c>
      <c r="E295" t="str">
        <f>IF($A295&lt;&gt;"",'Approved-Enforcement'!D295,"")</f>
        <v/>
      </c>
      <c r="F295" t="str">
        <f>IF($A295&lt;&gt;"",'Approved-Enforcement'!E295,"")</f>
        <v/>
      </c>
      <c r="G295" t="str">
        <f>IF($A295&lt;&gt;"",'Approved-Enforcement'!F295,"")</f>
        <v/>
      </c>
      <c r="H295" t="str">
        <f>IF($A295&lt;&gt;"",'Approved-Enforcement'!G295,"")</f>
        <v/>
      </c>
      <c r="I295" t="str">
        <f>IF($A295&lt;&gt;"",'Approved-Enforcement'!H295,"")</f>
        <v/>
      </c>
      <c r="J295" t="str">
        <f>IF($A295&lt;&gt;"",'Approved-Enforcement'!I295,"")</f>
        <v/>
      </c>
      <c r="K295" t="str">
        <f>IF($A295&lt;&gt;"",'Approved-Enforcement'!J295,"")</f>
        <v/>
      </c>
      <c r="L295" t="str">
        <f>IF($A295&lt;&gt;"",'Approved-Enforcement'!K295,"")</f>
        <v/>
      </c>
      <c r="M295" t="str">
        <f>IF($A295&lt;&gt;"",'Approved-Enforcement'!L295,"")</f>
        <v/>
      </c>
      <c r="N295" t="str">
        <f>IF($A295&lt;&gt;"",'Approved-Enforcement'!M295,"")</f>
        <v/>
      </c>
      <c r="O295" t="str">
        <f>IF($A295&lt;&gt;"",'Approved-Enforcement'!N295,"")</f>
        <v/>
      </c>
      <c r="P295" t="str">
        <f>IF($A295&lt;&gt;"",'Approved-Enforcement'!O295,"")</f>
        <v/>
      </c>
    </row>
    <row r="296" spans="1:16" x14ac:dyDescent="0.35">
      <c r="A296" s="4" t="str">
        <f>IF('Approved-Enforcement'!$A296&lt;&gt;"",'Approved-Enforcement'!A296,"")</f>
        <v/>
      </c>
      <c r="B296" t="str">
        <f t="shared" si="4"/>
        <v/>
      </c>
      <c r="D296" t="str">
        <f>IF($A296&lt;&gt;"",IF($R296&lt;&gt;"",$R296,'Approved-Enforcement'!$B296+7),"")</f>
        <v/>
      </c>
      <c r="E296" t="str">
        <f>IF($A296&lt;&gt;"",'Approved-Enforcement'!D296,"")</f>
        <v/>
      </c>
      <c r="F296" t="str">
        <f>IF($A296&lt;&gt;"",'Approved-Enforcement'!E296,"")</f>
        <v/>
      </c>
      <c r="G296" t="str">
        <f>IF($A296&lt;&gt;"",'Approved-Enforcement'!F296,"")</f>
        <v/>
      </c>
      <c r="H296" t="str">
        <f>IF($A296&lt;&gt;"",'Approved-Enforcement'!G296,"")</f>
        <v/>
      </c>
      <c r="I296" t="str">
        <f>IF($A296&lt;&gt;"",'Approved-Enforcement'!H296,"")</f>
        <v/>
      </c>
      <c r="J296" t="str">
        <f>IF($A296&lt;&gt;"",'Approved-Enforcement'!I296,"")</f>
        <v/>
      </c>
      <c r="K296" t="str">
        <f>IF($A296&lt;&gt;"",'Approved-Enforcement'!J296,"")</f>
        <v/>
      </c>
      <c r="L296" t="str">
        <f>IF($A296&lt;&gt;"",'Approved-Enforcement'!K296,"")</f>
        <v/>
      </c>
      <c r="M296" t="str">
        <f>IF($A296&lt;&gt;"",'Approved-Enforcement'!L296,"")</f>
        <v/>
      </c>
      <c r="N296" t="str">
        <f>IF($A296&lt;&gt;"",'Approved-Enforcement'!M296,"")</f>
        <v/>
      </c>
      <c r="O296" t="str">
        <f>IF($A296&lt;&gt;"",'Approved-Enforcement'!N296,"")</f>
        <v/>
      </c>
      <c r="P296" t="str">
        <f>IF($A296&lt;&gt;"",'Approved-Enforcement'!O296,"")</f>
        <v/>
      </c>
    </row>
    <row r="297" spans="1:16" x14ac:dyDescent="0.35">
      <c r="A297" s="4" t="str">
        <f>IF('Approved-Enforcement'!$A297&lt;&gt;"",'Approved-Enforcement'!A297,"")</f>
        <v/>
      </c>
      <c r="B297" t="str">
        <f t="shared" si="4"/>
        <v/>
      </c>
      <c r="D297" t="str">
        <f>IF($A297&lt;&gt;"",IF($R297&lt;&gt;"",$R297,'Approved-Enforcement'!$B297+7),"")</f>
        <v/>
      </c>
      <c r="E297" t="str">
        <f>IF($A297&lt;&gt;"",'Approved-Enforcement'!D297,"")</f>
        <v/>
      </c>
      <c r="F297" t="str">
        <f>IF($A297&lt;&gt;"",'Approved-Enforcement'!E297,"")</f>
        <v/>
      </c>
      <c r="G297" t="str">
        <f>IF($A297&lt;&gt;"",'Approved-Enforcement'!F297,"")</f>
        <v/>
      </c>
      <c r="H297" t="str">
        <f>IF($A297&lt;&gt;"",'Approved-Enforcement'!G297,"")</f>
        <v/>
      </c>
      <c r="I297" t="str">
        <f>IF($A297&lt;&gt;"",'Approved-Enforcement'!H297,"")</f>
        <v/>
      </c>
      <c r="J297" t="str">
        <f>IF($A297&lt;&gt;"",'Approved-Enforcement'!I297,"")</f>
        <v/>
      </c>
      <c r="K297" t="str">
        <f>IF($A297&lt;&gt;"",'Approved-Enforcement'!J297,"")</f>
        <v/>
      </c>
      <c r="L297" t="str">
        <f>IF($A297&lt;&gt;"",'Approved-Enforcement'!K297,"")</f>
        <v/>
      </c>
      <c r="M297" t="str">
        <f>IF($A297&lt;&gt;"",'Approved-Enforcement'!L297,"")</f>
        <v/>
      </c>
      <c r="N297" t="str">
        <f>IF($A297&lt;&gt;"",'Approved-Enforcement'!M297,"")</f>
        <v/>
      </c>
      <c r="O297" t="str">
        <f>IF($A297&lt;&gt;"",'Approved-Enforcement'!N297,"")</f>
        <v/>
      </c>
      <c r="P297" t="str">
        <f>IF($A297&lt;&gt;"",'Approved-Enforcement'!O297,"")</f>
        <v/>
      </c>
    </row>
    <row r="298" spans="1:16" x14ac:dyDescent="0.35">
      <c r="A298" s="4" t="str">
        <f>IF('Approved-Enforcement'!$A298&lt;&gt;"",'Approved-Enforcement'!A298,"")</f>
        <v/>
      </c>
      <c r="B298" t="str">
        <f t="shared" si="4"/>
        <v/>
      </c>
      <c r="D298" t="str">
        <f>IF($A298&lt;&gt;"",IF($R298&lt;&gt;"",$R298,'Approved-Enforcement'!$B298+7),"")</f>
        <v/>
      </c>
      <c r="E298" t="str">
        <f>IF($A298&lt;&gt;"",'Approved-Enforcement'!D298,"")</f>
        <v/>
      </c>
      <c r="F298" t="str">
        <f>IF($A298&lt;&gt;"",'Approved-Enforcement'!E298,"")</f>
        <v/>
      </c>
      <c r="G298" t="str">
        <f>IF($A298&lt;&gt;"",'Approved-Enforcement'!F298,"")</f>
        <v/>
      </c>
      <c r="H298" t="str">
        <f>IF($A298&lt;&gt;"",'Approved-Enforcement'!G298,"")</f>
        <v/>
      </c>
      <c r="I298" t="str">
        <f>IF($A298&lt;&gt;"",'Approved-Enforcement'!H298,"")</f>
        <v/>
      </c>
      <c r="J298" t="str">
        <f>IF($A298&lt;&gt;"",'Approved-Enforcement'!I298,"")</f>
        <v/>
      </c>
      <c r="K298" t="str">
        <f>IF($A298&lt;&gt;"",'Approved-Enforcement'!J298,"")</f>
        <v/>
      </c>
      <c r="L298" t="str">
        <f>IF($A298&lt;&gt;"",'Approved-Enforcement'!K298,"")</f>
        <v/>
      </c>
      <c r="M298" t="str">
        <f>IF($A298&lt;&gt;"",'Approved-Enforcement'!L298,"")</f>
        <v/>
      </c>
      <c r="N298" t="str">
        <f>IF($A298&lt;&gt;"",'Approved-Enforcement'!M298,"")</f>
        <v/>
      </c>
      <c r="O298" t="str">
        <f>IF($A298&lt;&gt;"",'Approved-Enforcement'!N298,"")</f>
        <v/>
      </c>
      <c r="P298" t="str">
        <f>IF($A298&lt;&gt;"",'Approved-Enforcement'!O298,"")</f>
        <v/>
      </c>
    </row>
    <row r="299" spans="1:16" x14ac:dyDescent="0.35">
      <c r="A299" s="4" t="str">
        <f>IF('Approved-Enforcement'!$A299&lt;&gt;"",'Approved-Enforcement'!A299,"")</f>
        <v/>
      </c>
      <c r="B299" t="str">
        <f t="shared" si="4"/>
        <v/>
      </c>
      <c r="D299" t="str">
        <f>IF($A299&lt;&gt;"",IF($R299&lt;&gt;"",$R299,'Approved-Enforcement'!$B299+7),"")</f>
        <v/>
      </c>
      <c r="E299" t="str">
        <f>IF($A299&lt;&gt;"",'Approved-Enforcement'!D299,"")</f>
        <v/>
      </c>
      <c r="F299" t="str">
        <f>IF($A299&lt;&gt;"",'Approved-Enforcement'!E299,"")</f>
        <v/>
      </c>
      <c r="G299" t="str">
        <f>IF($A299&lt;&gt;"",'Approved-Enforcement'!F299,"")</f>
        <v/>
      </c>
      <c r="H299" t="str">
        <f>IF($A299&lt;&gt;"",'Approved-Enforcement'!G299,"")</f>
        <v/>
      </c>
      <c r="I299" t="str">
        <f>IF($A299&lt;&gt;"",'Approved-Enforcement'!H299,"")</f>
        <v/>
      </c>
      <c r="J299" t="str">
        <f>IF($A299&lt;&gt;"",'Approved-Enforcement'!I299,"")</f>
        <v/>
      </c>
      <c r="K299" t="str">
        <f>IF($A299&lt;&gt;"",'Approved-Enforcement'!J299,"")</f>
        <v/>
      </c>
      <c r="L299" t="str">
        <f>IF($A299&lt;&gt;"",'Approved-Enforcement'!K299,"")</f>
        <v/>
      </c>
      <c r="M299" t="str">
        <f>IF($A299&lt;&gt;"",'Approved-Enforcement'!L299,"")</f>
        <v/>
      </c>
      <c r="N299" t="str">
        <f>IF($A299&lt;&gt;"",'Approved-Enforcement'!M299,"")</f>
        <v/>
      </c>
      <c r="O299" t="str">
        <f>IF($A299&lt;&gt;"",'Approved-Enforcement'!N299,"")</f>
        <v/>
      </c>
      <c r="P299" t="str">
        <f>IF($A299&lt;&gt;"",'Approved-Enforcement'!O299,"")</f>
        <v/>
      </c>
    </row>
    <row r="300" spans="1:16" x14ac:dyDescent="0.35">
      <c r="A300" s="4" t="str">
        <f>IF('Approved-Enforcement'!$A300&lt;&gt;"",'Approved-Enforcement'!A300,"")</f>
        <v/>
      </c>
      <c r="B300" t="str">
        <f t="shared" si="4"/>
        <v/>
      </c>
      <c r="D300" t="str">
        <f>IF($A300&lt;&gt;"",IF($R300&lt;&gt;"",$R300,'Approved-Enforcement'!$B300+7),"")</f>
        <v/>
      </c>
      <c r="E300" t="str">
        <f>IF($A300&lt;&gt;"",'Approved-Enforcement'!D300,"")</f>
        <v/>
      </c>
      <c r="F300" t="str">
        <f>IF($A300&lt;&gt;"",'Approved-Enforcement'!E300,"")</f>
        <v/>
      </c>
      <c r="G300" t="str">
        <f>IF($A300&lt;&gt;"",'Approved-Enforcement'!F300,"")</f>
        <v/>
      </c>
      <c r="H300" t="str">
        <f>IF($A300&lt;&gt;"",'Approved-Enforcement'!G300,"")</f>
        <v/>
      </c>
      <c r="I300" t="str">
        <f>IF($A300&lt;&gt;"",'Approved-Enforcement'!H300,"")</f>
        <v/>
      </c>
      <c r="J300" t="str">
        <f>IF($A300&lt;&gt;"",'Approved-Enforcement'!I300,"")</f>
        <v/>
      </c>
      <c r="K300" t="str">
        <f>IF($A300&lt;&gt;"",'Approved-Enforcement'!J300,"")</f>
        <v/>
      </c>
      <c r="L300" t="str">
        <f>IF($A300&lt;&gt;"",'Approved-Enforcement'!K300,"")</f>
        <v/>
      </c>
      <c r="M300" t="str">
        <f>IF($A300&lt;&gt;"",'Approved-Enforcement'!L300,"")</f>
        <v/>
      </c>
      <c r="N300" t="str">
        <f>IF($A300&lt;&gt;"",'Approved-Enforcement'!M300,"")</f>
        <v/>
      </c>
      <c r="O300" t="str">
        <f>IF($A300&lt;&gt;"",'Approved-Enforcement'!N300,"")</f>
        <v/>
      </c>
      <c r="P300" t="str">
        <f>IF($A300&lt;&gt;"",'Approved-Enforcement'!O300,"")</f>
        <v/>
      </c>
    </row>
    <row r="301" spans="1:16" x14ac:dyDescent="0.35">
      <c r="A301" s="4" t="str">
        <f>IF('Approved-Enforcement'!$A301&lt;&gt;"",'Approved-Enforcement'!A301,"")</f>
        <v/>
      </c>
      <c r="B301" t="str">
        <f t="shared" si="4"/>
        <v/>
      </c>
      <c r="D301" t="str">
        <f>IF($A301&lt;&gt;"",IF($R301&lt;&gt;"",$R301,'Approved-Enforcement'!$B301+7),"")</f>
        <v/>
      </c>
      <c r="E301" t="str">
        <f>IF($A301&lt;&gt;"",'Approved-Enforcement'!D301,"")</f>
        <v/>
      </c>
      <c r="F301" t="str">
        <f>IF($A301&lt;&gt;"",'Approved-Enforcement'!E301,"")</f>
        <v/>
      </c>
      <c r="G301" t="str">
        <f>IF($A301&lt;&gt;"",'Approved-Enforcement'!F301,"")</f>
        <v/>
      </c>
      <c r="H301" t="str">
        <f>IF($A301&lt;&gt;"",'Approved-Enforcement'!G301,"")</f>
        <v/>
      </c>
      <c r="I301" t="str">
        <f>IF($A301&lt;&gt;"",'Approved-Enforcement'!H301,"")</f>
        <v/>
      </c>
      <c r="J301" t="str">
        <f>IF($A301&lt;&gt;"",'Approved-Enforcement'!I301,"")</f>
        <v/>
      </c>
      <c r="K301" t="str">
        <f>IF($A301&lt;&gt;"",'Approved-Enforcement'!J301,"")</f>
        <v/>
      </c>
      <c r="L301" t="str">
        <f>IF($A301&lt;&gt;"",'Approved-Enforcement'!K301,"")</f>
        <v/>
      </c>
      <c r="M301" t="str">
        <f>IF($A301&lt;&gt;"",'Approved-Enforcement'!L301,"")</f>
        <v/>
      </c>
      <c r="N301" t="str">
        <f>IF($A301&lt;&gt;"",'Approved-Enforcement'!M301,"")</f>
        <v/>
      </c>
      <c r="O301" t="str">
        <f>IF($A301&lt;&gt;"",'Approved-Enforcement'!N301,"")</f>
        <v/>
      </c>
      <c r="P301" t="str">
        <f>IF($A301&lt;&gt;"",'Approved-Enforcement'!O301,"")</f>
        <v/>
      </c>
    </row>
    <row r="302" spans="1:16" x14ac:dyDescent="0.35">
      <c r="A302" s="4" t="str">
        <f>IF('Approved-Enforcement'!$A302&lt;&gt;"",'Approved-Enforcement'!A302,"")</f>
        <v/>
      </c>
      <c r="B302" t="str">
        <f t="shared" si="4"/>
        <v/>
      </c>
      <c r="D302" t="str">
        <f>IF($A302&lt;&gt;"",IF($R302&lt;&gt;"",$R302,'Approved-Enforcement'!$B302+7),"")</f>
        <v/>
      </c>
      <c r="E302" t="str">
        <f>IF($A302&lt;&gt;"",'Approved-Enforcement'!D302,"")</f>
        <v/>
      </c>
      <c r="F302" t="str">
        <f>IF($A302&lt;&gt;"",'Approved-Enforcement'!E302,"")</f>
        <v/>
      </c>
      <c r="G302" t="str">
        <f>IF($A302&lt;&gt;"",'Approved-Enforcement'!F302,"")</f>
        <v/>
      </c>
      <c r="H302" t="str">
        <f>IF($A302&lt;&gt;"",'Approved-Enforcement'!G302,"")</f>
        <v/>
      </c>
      <c r="I302" t="str">
        <f>IF($A302&lt;&gt;"",'Approved-Enforcement'!H302,"")</f>
        <v/>
      </c>
      <c r="J302" t="str">
        <f>IF($A302&lt;&gt;"",'Approved-Enforcement'!I302,"")</f>
        <v/>
      </c>
      <c r="K302" t="str">
        <f>IF($A302&lt;&gt;"",'Approved-Enforcement'!J302,"")</f>
        <v/>
      </c>
      <c r="L302" t="str">
        <f>IF($A302&lt;&gt;"",'Approved-Enforcement'!K302,"")</f>
        <v/>
      </c>
      <c r="M302" t="str">
        <f>IF($A302&lt;&gt;"",'Approved-Enforcement'!L302,"")</f>
        <v/>
      </c>
      <c r="N302" t="str">
        <f>IF($A302&lt;&gt;"",'Approved-Enforcement'!M302,"")</f>
        <v/>
      </c>
      <c r="O302" t="str">
        <f>IF($A302&lt;&gt;"",'Approved-Enforcement'!N302,"")</f>
        <v/>
      </c>
      <c r="P302" t="str">
        <f>IF($A302&lt;&gt;"",'Approved-Enforcement'!O302,"")</f>
        <v/>
      </c>
    </row>
    <row r="303" spans="1:16" x14ac:dyDescent="0.35">
      <c r="A303" s="4" t="str">
        <f>IF('Approved-Enforcement'!$A303&lt;&gt;"",'Approved-Enforcement'!A303,"")</f>
        <v/>
      </c>
      <c r="B303" t="str">
        <f t="shared" si="4"/>
        <v/>
      </c>
      <c r="D303" t="str">
        <f>IF($A303&lt;&gt;"",IF($R303&lt;&gt;"",$R303,'Approved-Enforcement'!$B303+7),"")</f>
        <v/>
      </c>
      <c r="E303" t="str">
        <f>IF($A303&lt;&gt;"",'Approved-Enforcement'!D303,"")</f>
        <v/>
      </c>
      <c r="F303" t="str">
        <f>IF($A303&lt;&gt;"",'Approved-Enforcement'!E303,"")</f>
        <v/>
      </c>
      <c r="G303" t="str">
        <f>IF($A303&lt;&gt;"",'Approved-Enforcement'!F303,"")</f>
        <v/>
      </c>
      <c r="H303" t="str">
        <f>IF($A303&lt;&gt;"",'Approved-Enforcement'!G303,"")</f>
        <v/>
      </c>
      <c r="I303" t="str">
        <f>IF($A303&lt;&gt;"",'Approved-Enforcement'!H303,"")</f>
        <v/>
      </c>
      <c r="J303" t="str">
        <f>IF($A303&lt;&gt;"",'Approved-Enforcement'!I303,"")</f>
        <v/>
      </c>
      <c r="K303" t="str">
        <f>IF($A303&lt;&gt;"",'Approved-Enforcement'!J303,"")</f>
        <v/>
      </c>
      <c r="L303" t="str">
        <f>IF($A303&lt;&gt;"",'Approved-Enforcement'!K303,"")</f>
        <v/>
      </c>
      <c r="M303" t="str">
        <f>IF($A303&lt;&gt;"",'Approved-Enforcement'!L303,"")</f>
        <v/>
      </c>
      <c r="N303" t="str">
        <f>IF($A303&lt;&gt;"",'Approved-Enforcement'!M303,"")</f>
        <v/>
      </c>
      <c r="O303" t="str">
        <f>IF($A303&lt;&gt;"",'Approved-Enforcement'!N303,"")</f>
        <v/>
      </c>
      <c r="P303" t="str">
        <f>IF($A303&lt;&gt;"",'Approved-Enforcement'!O303,"")</f>
        <v/>
      </c>
    </row>
    <row r="304" spans="1:16" x14ac:dyDescent="0.35">
      <c r="A304" s="4" t="str">
        <f>IF('Approved-Enforcement'!$A304&lt;&gt;"",'Approved-Enforcement'!A304,"")</f>
        <v/>
      </c>
      <c r="B304" t="str">
        <f t="shared" si="4"/>
        <v/>
      </c>
      <c r="D304" t="str">
        <f>IF($A304&lt;&gt;"",IF($R304&lt;&gt;"",$R304,'Approved-Enforcement'!$B304+7),"")</f>
        <v/>
      </c>
      <c r="E304" t="str">
        <f>IF($A304&lt;&gt;"",'Approved-Enforcement'!D304,"")</f>
        <v/>
      </c>
      <c r="F304" t="str">
        <f>IF($A304&lt;&gt;"",'Approved-Enforcement'!E304,"")</f>
        <v/>
      </c>
      <c r="G304" t="str">
        <f>IF($A304&lt;&gt;"",'Approved-Enforcement'!F304,"")</f>
        <v/>
      </c>
      <c r="H304" t="str">
        <f>IF($A304&lt;&gt;"",'Approved-Enforcement'!G304,"")</f>
        <v/>
      </c>
      <c r="I304" t="str">
        <f>IF($A304&lt;&gt;"",'Approved-Enforcement'!H304,"")</f>
        <v/>
      </c>
      <c r="J304" t="str">
        <f>IF($A304&lt;&gt;"",'Approved-Enforcement'!I304,"")</f>
        <v/>
      </c>
      <c r="K304" t="str">
        <f>IF($A304&lt;&gt;"",'Approved-Enforcement'!J304,"")</f>
        <v/>
      </c>
      <c r="L304" t="str">
        <f>IF($A304&lt;&gt;"",'Approved-Enforcement'!K304,"")</f>
        <v/>
      </c>
      <c r="M304" t="str">
        <f>IF($A304&lt;&gt;"",'Approved-Enforcement'!L304,"")</f>
        <v/>
      </c>
      <c r="N304" t="str">
        <f>IF($A304&lt;&gt;"",'Approved-Enforcement'!M304,"")</f>
        <v/>
      </c>
      <c r="O304" t="str">
        <f>IF($A304&lt;&gt;"",'Approved-Enforcement'!N304,"")</f>
        <v/>
      </c>
      <c r="P304" t="str">
        <f>IF($A304&lt;&gt;"",'Approved-Enforcement'!O304,"")</f>
        <v/>
      </c>
    </row>
    <row r="305" spans="1:16" x14ac:dyDescent="0.35">
      <c r="A305" s="4" t="str">
        <f>IF('Approved-Enforcement'!$A305&lt;&gt;"",'Approved-Enforcement'!A305,"")</f>
        <v/>
      </c>
      <c r="B305" t="str">
        <f t="shared" si="4"/>
        <v/>
      </c>
      <c r="D305" t="str">
        <f>IF($A305&lt;&gt;"",IF($R305&lt;&gt;"",$R305,'Approved-Enforcement'!$B305+7),"")</f>
        <v/>
      </c>
      <c r="E305" t="str">
        <f>IF($A305&lt;&gt;"",'Approved-Enforcement'!D305,"")</f>
        <v/>
      </c>
      <c r="F305" t="str">
        <f>IF($A305&lt;&gt;"",'Approved-Enforcement'!E305,"")</f>
        <v/>
      </c>
      <c r="G305" t="str">
        <f>IF($A305&lt;&gt;"",'Approved-Enforcement'!F305,"")</f>
        <v/>
      </c>
      <c r="H305" t="str">
        <f>IF($A305&lt;&gt;"",'Approved-Enforcement'!G305,"")</f>
        <v/>
      </c>
      <c r="I305" t="str">
        <f>IF($A305&lt;&gt;"",'Approved-Enforcement'!H305,"")</f>
        <v/>
      </c>
      <c r="J305" t="str">
        <f>IF($A305&lt;&gt;"",'Approved-Enforcement'!I305,"")</f>
        <v/>
      </c>
      <c r="K305" t="str">
        <f>IF($A305&lt;&gt;"",'Approved-Enforcement'!J305,"")</f>
        <v/>
      </c>
      <c r="L305" t="str">
        <f>IF($A305&lt;&gt;"",'Approved-Enforcement'!K305,"")</f>
        <v/>
      </c>
      <c r="M305" t="str">
        <f>IF($A305&lt;&gt;"",'Approved-Enforcement'!L305,"")</f>
        <v/>
      </c>
      <c r="N305" t="str">
        <f>IF($A305&lt;&gt;"",'Approved-Enforcement'!M305,"")</f>
        <v/>
      </c>
      <c r="O305" t="str">
        <f>IF($A305&lt;&gt;"",'Approved-Enforcement'!N305,"")</f>
        <v/>
      </c>
      <c r="P305" t="str">
        <f>IF($A305&lt;&gt;"",'Approved-Enforcement'!O305,"")</f>
        <v/>
      </c>
    </row>
    <row r="306" spans="1:16" x14ac:dyDescent="0.35">
      <c r="A306" s="4" t="str">
        <f>IF('Approved-Enforcement'!$A306&lt;&gt;"",'Approved-Enforcement'!A306,"")</f>
        <v/>
      </c>
      <c r="B306" t="str">
        <f t="shared" si="4"/>
        <v/>
      </c>
      <c r="D306" t="str">
        <f>IF($A306&lt;&gt;"",IF($R306&lt;&gt;"",$R306,'Approved-Enforcement'!$B306+7),"")</f>
        <v/>
      </c>
      <c r="E306" t="str">
        <f>IF($A306&lt;&gt;"",'Approved-Enforcement'!D306,"")</f>
        <v/>
      </c>
      <c r="F306" t="str">
        <f>IF($A306&lt;&gt;"",'Approved-Enforcement'!E306,"")</f>
        <v/>
      </c>
      <c r="G306" t="str">
        <f>IF($A306&lt;&gt;"",'Approved-Enforcement'!F306,"")</f>
        <v/>
      </c>
      <c r="H306" t="str">
        <f>IF($A306&lt;&gt;"",'Approved-Enforcement'!G306,"")</f>
        <v/>
      </c>
      <c r="I306" t="str">
        <f>IF($A306&lt;&gt;"",'Approved-Enforcement'!H306,"")</f>
        <v/>
      </c>
      <c r="J306" t="str">
        <f>IF($A306&lt;&gt;"",'Approved-Enforcement'!I306,"")</f>
        <v/>
      </c>
      <c r="K306" t="str">
        <f>IF($A306&lt;&gt;"",'Approved-Enforcement'!J306,"")</f>
        <v/>
      </c>
      <c r="L306" t="str">
        <f>IF($A306&lt;&gt;"",'Approved-Enforcement'!K306,"")</f>
        <v/>
      </c>
      <c r="M306" t="str">
        <f>IF($A306&lt;&gt;"",'Approved-Enforcement'!L306,"")</f>
        <v/>
      </c>
      <c r="N306" t="str">
        <f>IF($A306&lt;&gt;"",'Approved-Enforcement'!M306,"")</f>
        <v/>
      </c>
      <c r="O306" t="str">
        <f>IF($A306&lt;&gt;"",'Approved-Enforcement'!N306,"")</f>
        <v/>
      </c>
      <c r="P306" t="str">
        <f>IF($A306&lt;&gt;"",'Approved-Enforcement'!O306,"")</f>
        <v/>
      </c>
    </row>
    <row r="307" spans="1:16" x14ac:dyDescent="0.35">
      <c r="A307" s="4" t="str">
        <f>IF('Approved-Enforcement'!$A307&lt;&gt;"",'Approved-Enforcement'!A307,"")</f>
        <v/>
      </c>
      <c r="B307" t="str">
        <f t="shared" si="4"/>
        <v/>
      </c>
      <c r="D307" t="str">
        <f>IF($A307&lt;&gt;"",IF($R307&lt;&gt;"",$R307,'Approved-Enforcement'!$B307+7),"")</f>
        <v/>
      </c>
      <c r="E307" t="str">
        <f>IF($A307&lt;&gt;"",'Approved-Enforcement'!D307,"")</f>
        <v/>
      </c>
      <c r="F307" t="str">
        <f>IF($A307&lt;&gt;"",'Approved-Enforcement'!E307,"")</f>
        <v/>
      </c>
      <c r="G307" t="str">
        <f>IF($A307&lt;&gt;"",'Approved-Enforcement'!F307,"")</f>
        <v/>
      </c>
      <c r="H307" t="str">
        <f>IF($A307&lt;&gt;"",'Approved-Enforcement'!G307,"")</f>
        <v/>
      </c>
      <c r="I307" t="str">
        <f>IF($A307&lt;&gt;"",'Approved-Enforcement'!H307,"")</f>
        <v/>
      </c>
      <c r="J307" t="str">
        <f>IF($A307&lt;&gt;"",'Approved-Enforcement'!I307,"")</f>
        <v/>
      </c>
      <c r="K307" t="str">
        <f>IF($A307&lt;&gt;"",'Approved-Enforcement'!J307,"")</f>
        <v/>
      </c>
      <c r="L307" t="str">
        <f>IF($A307&lt;&gt;"",'Approved-Enforcement'!K307,"")</f>
        <v/>
      </c>
      <c r="M307" t="str">
        <f>IF($A307&lt;&gt;"",'Approved-Enforcement'!L307,"")</f>
        <v/>
      </c>
      <c r="N307" t="str">
        <f>IF($A307&lt;&gt;"",'Approved-Enforcement'!M307,"")</f>
        <v/>
      </c>
      <c r="O307" t="str">
        <f>IF($A307&lt;&gt;"",'Approved-Enforcement'!N307,"")</f>
        <v/>
      </c>
      <c r="P307" t="str">
        <f>IF($A307&lt;&gt;"",'Approved-Enforcement'!O307,"")</f>
        <v/>
      </c>
    </row>
    <row r="308" spans="1:16" x14ac:dyDescent="0.35">
      <c r="A308" s="4" t="str">
        <f>IF('Approved-Enforcement'!$A308&lt;&gt;"",'Approved-Enforcement'!A308,"")</f>
        <v/>
      </c>
      <c r="B308" t="str">
        <f t="shared" si="4"/>
        <v/>
      </c>
      <c r="D308" t="str">
        <f>IF($A308&lt;&gt;"",IF($R308&lt;&gt;"",$R308,'Approved-Enforcement'!$B308+7),"")</f>
        <v/>
      </c>
      <c r="E308" t="str">
        <f>IF($A308&lt;&gt;"",'Approved-Enforcement'!D308,"")</f>
        <v/>
      </c>
      <c r="F308" t="str">
        <f>IF($A308&lt;&gt;"",'Approved-Enforcement'!E308,"")</f>
        <v/>
      </c>
      <c r="G308" t="str">
        <f>IF($A308&lt;&gt;"",'Approved-Enforcement'!F308,"")</f>
        <v/>
      </c>
      <c r="H308" t="str">
        <f>IF($A308&lt;&gt;"",'Approved-Enforcement'!G308,"")</f>
        <v/>
      </c>
      <c r="I308" t="str">
        <f>IF($A308&lt;&gt;"",'Approved-Enforcement'!H308,"")</f>
        <v/>
      </c>
      <c r="J308" t="str">
        <f>IF($A308&lt;&gt;"",'Approved-Enforcement'!I308,"")</f>
        <v/>
      </c>
      <c r="K308" t="str">
        <f>IF($A308&lt;&gt;"",'Approved-Enforcement'!J308,"")</f>
        <v/>
      </c>
      <c r="L308" t="str">
        <f>IF($A308&lt;&gt;"",'Approved-Enforcement'!K308,"")</f>
        <v/>
      </c>
      <c r="M308" t="str">
        <f>IF($A308&lt;&gt;"",'Approved-Enforcement'!L308,"")</f>
        <v/>
      </c>
      <c r="N308" t="str">
        <f>IF($A308&lt;&gt;"",'Approved-Enforcement'!M308,"")</f>
        <v/>
      </c>
      <c r="O308" t="str">
        <f>IF($A308&lt;&gt;"",'Approved-Enforcement'!N308,"")</f>
        <v/>
      </c>
      <c r="P308" t="str">
        <f>IF($A308&lt;&gt;"",'Approved-Enforcement'!O308,"")</f>
        <v/>
      </c>
    </row>
    <row r="309" spans="1:16" x14ac:dyDescent="0.35">
      <c r="A309" s="4" t="str">
        <f>IF('Approved-Enforcement'!$A309&lt;&gt;"",'Approved-Enforcement'!A309,"")</f>
        <v/>
      </c>
      <c r="B309" t="str">
        <f t="shared" si="4"/>
        <v/>
      </c>
      <c r="D309" t="str">
        <f>IF($A309&lt;&gt;"",IF($R309&lt;&gt;"",$R309,'Approved-Enforcement'!$B309+7),"")</f>
        <v/>
      </c>
      <c r="E309" t="str">
        <f>IF($A309&lt;&gt;"",'Approved-Enforcement'!D309,"")</f>
        <v/>
      </c>
      <c r="F309" t="str">
        <f>IF($A309&lt;&gt;"",'Approved-Enforcement'!E309,"")</f>
        <v/>
      </c>
      <c r="G309" t="str">
        <f>IF($A309&lt;&gt;"",'Approved-Enforcement'!F309,"")</f>
        <v/>
      </c>
      <c r="H309" t="str">
        <f>IF($A309&lt;&gt;"",'Approved-Enforcement'!G309,"")</f>
        <v/>
      </c>
      <c r="I309" t="str">
        <f>IF($A309&lt;&gt;"",'Approved-Enforcement'!H309,"")</f>
        <v/>
      </c>
      <c r="J309" t="str">
        <f>IF($A309&lt;&gt;"",'Approved-Enforcement'!I309,"")</f>
        <v/>
      </c>
      <c r="K309" t="str">
        <f>IF($A309&lt;&gt;"",'Approved-Enforcement'!J309,"")</f>
        <v/>
      </c>
      <c r="L309" t="str">
        <f>IF($A309&lt;&gt;"",'Approved-Enforcement'!K309,"")</f>
        <v/>
      </c>
      <c r="M309" t="str">
        <f>IF($A309&lt;&gt;"",'Approved-Enforcement'!L309,"")</f>
        <v/>
      </c>
      <c r="N309" t="str">
        <f>IF($A309&lt;&gt;"",'Approved-Enforcement'!M309,"")</f>
        <v/>
      </c>
      <c r="O309" t="str">
        <f>IF($A309&lt;&gt;"",'Approved-Enforcement'!N309,"")</f>
        <v/>
      </c>
      <c r="P309" t="str">
        <f>IF($A309&lt;&gt;"",'Approved-Enforcement'!O309,"")</f>
        <v/>
      </c>
    </row>
    <row r="310" spans="1:16" x14ac:dyDescent="0.35">
      <c r="A310" s="4" t="str">
        <f>IF('Approved-Enforcement'!$A310&lt;&gt;"",'Approved-Enforcement'!A310,"")</f>
        <v/>
      </c>
      <c r="B310" t="str">
        <f t="shared" si="4"/>
        <v/>
      </c>
      <c r="D310" t="str">
        <f>IF($A310&lt;&gt;"",IF($R310&lt;&gt;"",$R310,'Approved-Enforcement'!$B310+7),"")</f>
        <v/>
      </c>
      <c r="E310" t="str">
        <f>IF($A310&lt;&gt;"",'Approved-Enforcement'!D310,"")</f>
        <v/>
      </c>
      <c r="F310" t="str">
        <f>IF($A310&lt;&gt;"",'Approved-Enforcement'!E310,"")</f>
        <v/>
      </c>
      <c r="G310" t="str">
        <f>IF($A310&lt;&gt;"",'Approved-Enforcement'!F310,"")</f>
        <v/>
      </c>
      <c r="H310" t="str">
        <f>IF($A310&lt;&gt;"",'Approved-Enforcement'!G310,"")</f>
        <v/>
      </c>
      <c r="I310" t="str">
        <f>IF($A310&lt;&gt;"",'Approved-Enforcement'!H310,"")</f>
        <v/>
      </c>
      <c r="J310" t="str">
        <f>IF($A310&lt;&gt;"",'Approved-Enforcement'!I310,"")</f>
        <v/>
      </c>
      <c r="K310" t="str">
        <f>IF($A310&lt;&gt;"",'Approved-Enforcement'!J310,"")</f>
        <v/>
      </c>
      <c r="L310" t="str">
        <f>IF($A310&lt;&gt;"",'Approved-Enforcement'!K310,"")</f>
        <v/>
      </c>
      <c r="M310" t="str">
        <f>IF($A310&lt;&gt;"",'Approved-Enforcement'!L310,"")</f>
        <v/>
      </c>
      <c r="N310" t="str">
        <f>IF($A310&lt;&gt;"",'Approved-Enforcement'!M310,"")</f>
        <v/>
      </c>
      <c r="O310" t="str">
        <f>IF($A310&lt;&gt;"",'Approved-Enforcement'!N310,"")</f>
        <v/>
      </c>
      <c r="P310" t="str">
        <f>IF($A310&lt;&gt;"",'Approved-Enforcement'!O310,"")</f>
        <v/>
      </c>
    </row>
    <row r="311" spans="1:16" x14ac:dyDescent="0.35">
      <c r="A311" s="4" t="str">
        <f>IF('Approved-Enforcement'!$A311&lt;&gt;"",'Approved-Enforcement'!A311,"")</f>
        <v/>
      </c>
      <c r="B311" t="str">
        <f t="shared" si="4"/>
        <v/>
      </c>
      <c r="D311" t="str">
        <f>IF($A311&lt;&gt;"",IF($R311&lt;&gt;"",$R311,'Approved-Enforcement'!$B311+7),"")</f>
        <v/>
      </c>
      <c r="E311" t="str">
        <f>IF($A311&lt;&gt;"",'Approved-Enforcement'!D311,"")</f>
        <v/>
      </c>
      <c r="F311" t="str">
        <f>IF($A311&lt;&gt;"",'Approved-Enforcement'!E311,"")</f>
        <v/>
      </c>
      <c r="G311" t="str">
        <f>IF($A311&lt;&gt;"",'Approved-Enforcement'!F311,"")</f>
        <v/>
      </c>
      <c r="H311" t="str">
        <f>IF($A311&lt;&gt;"",'Approved-Enforcement'!G311,"")</f>
        <v/>
      </c>
      <c r="I311" t="str">
        <f>IF($A311&lt;&gt;"",'Approved-Enforcement'!H311,"")</f>
        <v/>
      </c>
      <c r="J311" t="str">
        <f>IF($A311&lt;&gt;"",'Approved-Enforcement'!I311,"")</f>
        <v/>
      </c>
      <c r="K311" t="str">
        <f>IF($A311&lt;&gt;"",'Approved-Enforcement'!J311,"")</f>
        <v/>
      </c>
      <c r="L311" t="str">
        <f>IF($A311&lt;&gt;"",'Approved-Enforcement'!K311,"")</f>
        <v/>
      </c>
      <c r="M311" t="str">
        <f>IF($A311&lt;&gt;"",'Approved-Enforcement'!L311,"")</f>
        <v/>
      </c>
      <c r="N311" t="str">
        <f>IF($A311&lt;&gt;"",'Approved-Enforcement'!M311,"")</f>
        <v/>
      </c>
      <c r="O311" t="str">
        <f>IF($A311&lt;&gt;"",'Approved-Enforcement'!N311,"")</f>
        <v/>
      </c>
      <c r="P311" t="str">
        <f>IF($A311&lt;&gt;"",'Approved-Enforcement'!O311,"")</f>
        <v/>
      </c>
    </row>
    <row r="312" spans="1:16" x14ac:dyDescent="0.35">
      <c r="A312" s="4" t="str">
        <f>IF('Approved-Enforcement'!$A312&lt;&gt;"",'Approved-Enforcement'!A312,"")</f>
        <v/>
      </c>
      <c r="B312" t="str">
        <f t="shared" si="4"/>
        <v/>
      </c>
      <c r="D312" t="str">
        <f>IF($A312&lt;&gt;"",IF($R312&lt;&gt;"",$R312,'Approved-Enforcement'!$B312+7),"")</f>
        <v/>
      </c>
      <c r="E312" t="str">
        <f>IF($A312&lt;&gt;"",'Approved-Enforcement'!D312,"")</f>
        <v/>
      </c>
      <c r="F312" t="str">
        <f>IF($A312&lt;&gt;"",'Approved-Enforcement'!E312,"")</f>
        <v/>
      </c>
      <c r="G312" t="str">
        <f>IF($A312&lt;&gt;"",'Approved-Enforcement'!F312,"")</f>
        <v/>
      </c>
      <c r="H312" t="str">
        <f>IF($A312&lt;&gt;"",'Approved-Enforcement'!G312,"")</f>
        <v/>
      </c>
      <c r="I312" t="str">
        <f>IF($A312&lt;&gt;"",'Approved-Enforcement'!H312,"")</f>
        <v/>
      </c>
      <c r="J312" t="str">
        <f>IF($A312&lt;&gt;"",'Approved-Enforcement'!I312,"")</f>
        <v/>
      </c>
      <c r="K312" t="str">
        <f>IF($A312&lt;&gt;"",'Approved-Enforcement'!J312,"")</f>
        <v/>
      </c>
      <c r="L312" t="str">
        <f>IF($A312&lt;&gt;"",'Approved-Enforcement'!K312,"")</f>
        <v/>
      </c>
      <c r="M312" t="str">
        <f>IF($A312&lt;&gt;"",'Approved-Enforcement'!L312,"")</f>
        <v/>
      </c>
      <c r="N312" t="str">
        <f>IF($A312&lt;&gt;"",'Approved-Enforcement'!M312,"")</f>
        <v/>
      </c>
      <c r="O312" t="str">
        <f>IF($A312&lt;&gt;"",'Approved-Enforcement'!N312,"")</f>
        <v/>
      </c>
      <c r="P312" t="str">
        <f>IF($A312&lt;&gt;"",'Approved-Enforcement'!O312,"")</f>
        <v/>
      </c>
    </row>
    <row r="313" spans="1:16" x14ac:dyDescent="0.35">
      <c r="A313" s="4" t="str">
        <f>IF('Approved-Enforcement'!$A313&lt;&gt;"",'Approved-Enforcement'!A313,"")</f>
        <v/>
      </c>
      <c r="B313" t="str">
        <f t="shared" si="4"/>
        <v/>
      </c>
      <c r="D313" t="str">
        <f>IF($A313&lt;&gt;"",IF($R313&lt;&gt;"",$R313,'Approved-Enforcement'!$B313+7),"")</f>
        <v/>
      </c>
      <c r="E313" t="str">
        <f>IF($A313&lt;&gt;"",'Approved-Enforcement'!D313,"")</f>
        <v/>
      </c>
      <c r="F313" t="str">
        <f>IF($A313&lt;&gt;"",'Approved-Enforcement'!E313,"")</f>
        <v/>
      </c>
      <c r="G313" t="str">
        <f>IF($A313&lt;&gt;"",'Approved-Enforcement'!F313,"")</f>
        <v/>
      </c>
      <c r="H313" t="str">
        <f>IF($A313&lt;&gt;"",'Approved-Enforcement'!G313,"")</f>
        <v/>
      </c>
      <c r="I313" t="str">
        <f>IF($A313&lt;&gt;"",'Approved-Enforcement'!H313,"")</f>
        <v/>
      </c>
      <c r="J313" t="str">
        <f>IF($A313&lt;&gt;"",'Approved-Enforcement'!I313,"")</f>
        <v/>
      </c>
      <c r="K313" t="str">
        <f>IF($A313&lt;&gt;"",'Approved-Enforcement'!J313,"")</f>
        <v/>
      </c>
      <c r="L313" t="str">
        <f>IF($A313&lt;&gt;"",'Approved-Enforcement'!K313,"")</f>
        <v/>
      </c>
      <c r="M313" t="str">
        <f>IF($A313&lt;&gt;"",'Approved-Enforcement'!L313,"")</f>
        <v/>
      </c>
      <c r="N313" t="str">
        <f>IF($A313&lt;&gt;"",'Approved-Enforcement'!M313,"")</f>
        <v/>
      </c>
      <c r="O313" t="str">
        <f>IF($A313&lt;&gt;"",'Approved-Enforcement'!N313,"")</f>
        <v/>
      </c>
      <c r="P313" t="str">
        <f>IF($A313&lt;&gt;"",'Approved-Enforcement'!O313,"")</f>
        <v/>
      </c>
    </row>
    <row r="314" spans="1:16" x14ac:dyDescent="0.35">
      <c r="A314" s="4" t="str">
        <f>IF('Approved-Enforcement'!$A314&lt;&gt;"",'Approved-Enforcement'!A314,"")</f>
        <v/>
      </c>
      <c r="B314" t="str">
        <f t="shared" si="4"/>
        <v/>
      </c>
      <c r="D314" t="str">
        <f>IF($A314&lt;&gt;"",IF($R314&lt;&gt;"",$R314,'Approved-Enforcement'!$B314+7),"")</f>
        <v/>
      </c>
      <c r="E314" t="str">
        <f>IF($A314&lt;&gt;"",'Approved-Enforcement'!D314,"")</f>
        <v/>
      </c>
      <c r="F314" t="str">
        <f>IF($A314&lt;&gt;"",'Approved-Enforcement'!E314,"")</f>
        <v/>
      </c>
      <c r="G314" t="str">
        <f>IF($A314&lt;&gt;"",'Approved-Enforcement'!F314,"")</f>
        <v/>
      </c>
      <c r="H314" t="str">
        <f>IF($A314&lt;&gt;"",'Approved-Enforcement'!G314,"")</f>
        <v/>
      </c>
      <c r="I314" t="str">
        <f>IF($A314&lt;&gt;"",'Approved-Enforcement'!H314,"")</f>
        <v/>
      </c>
      <c r="J314" t="str">
        <f>IF($A314&lt;&gt;"",'Approved-Enforcement'!I314,"")</f>
        <v/>
      </c>
      <c r="K314" t="str">
        <f>IF($A314&lt;&gt;"",'Approved-Enforcement'!J314,"")</f>
        <v/>
      </c>
      <c r="L314" t="str">
        <f>IF($A314&lt;&gt;"",'Approved-Enforcement'!K314,"")</f>
        <v/>
      </c>
      <c r="M314" t="str">
        <f>IF($A314&lt;&gt;"",'Approved-Enforcement'!L314,"")</f>
        <v/>
      </c>
      <c r="N314" t="str">
        <f>IF($A314&lt;&gt;"",'Approved-Enforcement'!M314,"")</f>
        <v/>
      </c>
      <c r="O314" t="str">
        <f>IF($A314&lt;&gt;"",'Approved-Enforcement'!N314,"")</f>
        <v/>
      </c>
      <c r="P314" t="str">
        <f>IF($A314&lt;&gt;"",'Approved-Enforcement'!O314,"")</f>
        <v/>
      </c>
    </row>
    <row r="315" spans="1:16" x14ac:dyDescent="0.35">
      <c r="A315" s="4" t="str">
        <f>IF('Approved-Enforcement'!$A315&lt;&gt;"",'Approved-Enforcement'!A315,"")</f>
        <v/>
      </c>
      <c r="B315" t="str">
        <f t="shared" si="4"/>
        <v/>
      </c>
      <c r="D315" t="str">
        <f>IF($A315&lt;&gt;"",IF($R315&lt;&gt;"",$R315,'Approved-Enforcement'!$B315+7),"")</f>
        <v/>
      </c>
      <c r="E315" t="str">
        <f>IF($A315&lt;&gt;"",'Approved-Enforcement'!D315,"")</f>
        <v/>
      </c>
      <c r="F315" t="str">
        <f>IF($A315&lt;&gt;"",'Approved-Enforcement'!E315,"")</f>
        <v/>
      </c>
      <c r="G315" t="str">
        <f>IF($A315&lt;&gt;"",'Approved-Enforcement'!F315,"")</f>
        <v/>
      </c>
      <c r="H315" t="str">
        <f>IF($A315&lt;&gt;"",'Approved-Enforcement'!G315,"")</f>
        <v/>
      </c>
      <c r="I315" t="str">
        <f>IF($A315&lt;&gt;"",'Approved-Enforcement'!H315,"")</f>
        <v/>
      </c>
      <c r="J315" t="str">
        <f>IF($A315&lt;&gt;"",'Approved-Enforcement'!I315,"")</f>
        <v/>
      </c>
      <c r="K315" t="str">
        <f>IF($A315&lt;&gt;"",'Approved-Enforcement'!J315,"")</f>
        <v/>
      </c>
      <c r="L315" t="str">
        <f>IF($A315&lt;&gt;"",'Approved-Enforcement'!K315,"")</f>
        <v/>
      </c>
      <c r="M315" t="str">
        <f>IF($A315&lt;&gt;"",'Approved-Enforcement'!L315,"")</f>
        <v/>
      </c>
      <c r="N315" t="str">
        <f>IF($A315&lt;&gt;"",'Approved-Enforcement'!M315,"")</f>
        <v/>
      </c>
      <c r="O315" t="str">
        <f>IF($A315&lt;&gt;"",'Approved-Enforcement'!N315,"")</f>
        <v/>
      </c>
      <c r="P315" t="str">
        <f>IF($A315&lt;&gt;"",'Approved-Enforcement'!O315,"")</f>
        <v/>
      </c>
    </row>
    <row r="316" spans="1:16" x14ac:dyDescent="0.35">
      <c r="A316" s="4" t="str">
        <f>IF('Approved-Enforcement'!$A316&lt;&gt;"",'Approved-Enforcement'!A316,"")</f>
        <v/>
      </c>
      <c r="B316" t="str">
        <f t="shared" si="4"/>
        <v/>
      </c>
      <c r="D316" t="str">
        <f>IF($A316&lt;&gt;"",IF($R316&lt;&gt;"",$R316,'Approved-Enforcement'!$B316+7),"")</f>
        <v/>
      </c>
      <c r="E316" t="str">
        <f>IF($A316&lt;&gt;"",'Approved-Enforcement'!D316,"")</f>
        <v/>
      </c>
      <c r="F316" t="str">
        <f>IF($A316&lt;&gt;"",'Approved-Enforcement'!E316,"")</f>
        <v/>
      </c>
      <c r="G316" t="str">
        <f>IF($A316&lt;&gt;"",'Approved-Enforcement'!F316,"")</f>
        <v/>
      </c>
      <c r="H316" t="str">
        <f>IF($A316&lt;&gt;"",'Approved-Enforcement'!G316,"")</f>
        <v/>
      </c>
      <c r="I316" t="str">
        <f>IF($A316&lt;&gt;"",'Approved-Enforcement'!H316,"")</f>
        <v/>
      </c>
      <c r="J316" t="str">
        <f>IF($A316&lt;&gt;"",'Approved-Enforcement'!I316,"")</f>
        <v/>
      </c>
      <c r="K316" t="str">
        <f>IF($A316&lt;&gt;"",'Approved-Enforcement'!J316,"")</f>
        <v/>
      </c>
      <c r="L316" t="str">
        <f>IF($A316&lt;&gt;"",'Approved-Enforcement'!K316,"")</f>
        <v/>
      </c>
      <c r="M316" t="str">
        <f>IF($A316&lt;&gt;"",'Approved-Enforcement'!L316,"")</f>
        <v/>
      </c>
      <c r="N316" t="str">
        <f>IF($A316&lt;&gt;"",'Approved-Enforcement'!M316,"")</f>
        <v/>
      </c>
      <c r="O316" t="str">
        <f>IF($A316&lt;&gt;"",'Approved-Enforcement'!N316,"")</f>
        <v/>
      </c>
      <c r="P316" t="str">
        <f>IF($A316&lt;&gt;"",'Approved-Enforcement'!O316,"")</f>
        <v/>
      </c>
    </row>
    <row r="317" spans="1:16" x14ac:dyDescent="0.35">
      <c r="A317" s="4" t="str">
        <f>IF('Approved-Enforcement'!$A317&lt;&gt;"",'Approved-Enforcement'!A317,"")</f>
        <v/>
      </c>
      <c r="B317" t="str">
        <f t="shared" si="4"/>
        <v/>
      </c>
      <c r="D317" t="str">
        <f>IF($A317&lt;&gt;"",IF($R317&lt;&gt;"",$R317,'Approved-Enforcement'!$B317+7),"")</f>
        <v/>
      </c>
      <c r="E317" t="str">
        <f>IF($A317&lt;&gt;"",'Approved-Enforcement'!D317,"")</f>
        <v/>
      </c>
      <c r="F317" t="str">
        <f>IF($A317&lt;&gt;"",'Approved-Enforcement'!E317,"")</f>
        <v/>
      </c>
      <c r="G317" t="str">
        <f>IF($A317&lt;&gt;"",'Approved-Enforcement'!F317,"")</f>
        <v/>
      </c>
      <c r="H317" t="str">
        <f>IF($A317&lt;&gt;"",'Approved-Enforcement'!G317,"")</f>
        <v/>
      </c>
      <c r="I317" t="str">
        <f>IF($A317&lt;&gt;"",'Approved-Enforcement'!H317,"")</f>
        <v/>
      </c>
      <c r="J317" t="str">
        <f>IF($A317&lt;&gt;"",'Approved-Enforcement'!I317,"")</f>
        <v/>
      </c>
      <c r="K317" t="str">
        <f>IF($A317&lt;&gt;"",'Approved-Enforcement'!J317,"")</f>
        <v/>
      </c>
      <c r="L317" t="str">
        <f>IF($A317&lt;&gt;"",'Approved-Enforcement'!K317,"")</f>
        <v/>
      </c>
      <c r="M317" t="str">
        <f>IF($A317&lt;&gt;"",'Approved-Enforcement'!L317,"")</f>
        <v/>
      </c>
      <c r="N317" t="str">
        <f>IF($A317&lt;&gt;"",'Approved-Enforcement'!M317,"")</f>
        <v/>
      </c>
      <c r="O317" t="str">
        <f>IF($A317&lt;&gt;"",'Approved-Enforcement'!N317,"")</f>
        <v/>
      </c>
      <c r="P317" t="str">
        <f>IF($A317&lt;&gt;"",'Approved-Enforcement'!O317,"")</f>
        <v/>
      </c>
    </row>
    <row r="318" spans="1:16" x14ac:dyDescent="0.35">
      <c r="A318" s="4" t="str">
        <f>IF('Approved-Enforcement'!$A318&lt;&gt;"",'Approved-Enforcement'!A318,"")</f>
        <v/>
      </c>
      <c r="B318" t="str">
        <f t="shared" si="4"/>
        <v/>
      </c>
      <c r="D318" t="str">
        <f>IF($A318&lt;&gt;"",IF($R318&lt;&gt;"",$R318,'Approved-Enforcement'!$B318+7),"")</f>
        <v/>
      </c>
      <c r="E318" t="str">
        <f>IF($A318&lt;&gt;"",'Approved-Enforcement'!D318,"")</f>
        <v/>
      </c>
      <c r="F318" t="str">
        <f>IF($A318&lt;&gt;"",'Approved-Enforcement'!E318,"")</f>
        <v/>
      </c>
      <c r="G318" t="str">
        <f>IF($A318&lt;&gt;"",'Approved-Enforcement'!F318,"")</f>
        <v/>
      </c>
      <c r="H318" t="str">
        <f>IF($A318&lt;&gt;"",'Approved-Enforcement'!G318,"")</f>
        <v/>
      </c>
      <c r="I318" t="str">
        <f>IF($A318&lt;&gt;"",'Approved-Enforcement'!H318,"")</f>
        <v/>
      </c>
      <c r="J318" t="str">
        <f>IF($A318&lt;&gt;"",'Approved-Enforcement'!I318,"")</f>
        <v/>
      </c>
      <c r="K318" t="str">
        <f>IF($A318&lt;&gt;"",'Approved-Enforcement'!J318,"")</f>
        <v/>
      </c>
      <c r="L318" t="str">
        <f>IF($A318&lt;&gt;"",'Approved-Enforcement'!K318,"")</f>
        <v/>
      </c>
      <c r="M318" t="str">
        <f>IF($A318&lt;&gt;"",'Approved-Enforcement'!L318,"")</f>
        <v/>
      </c>
      <c r="N318" t="str">
        <f>IF($A318&lt;&gt;"",'Approved-Enforcement'!M318,"")</f>
        <v/>
      </c>
      <c r="O318" t="str">
        <f>IF($A318&lt;&gt;"",'Approved-Enforcement'!N318,"")</f>
        <v/>
      </c>
      <c r="P318" t="str">
        <f>IF($A318&lt;&gt;"",'Approved-Enforcement'!O318,"")</f>
        <v/>
      </c>
    </row>
    <row r="319" spans="1:16" x14ac:dyDescent="0.35">
      <c r="A319" s="4" t="str">
        <f>IF('Approved-Enforcement'!$A319&lt;&gt;"",'Approved-Enforcement'!A319,"")</f>
        <v/>
      </c>
      <c r="B319" t="str">
        <f t="shared" si="4"/>
        <v/>
      </c>
      <c r="D319" t="str">
        <f>IF($A319&lt;&gt;"",IF($R319&lt;&gt;"",$R319,'Approved-Enforcement'!$B319+7),"")</f>
        <v/>
      </c>
      <c r="E319" t="str">
        <f>IF($A319&lt;&gt;"",'Approved-Enforcement'!D319,"")</f>
        <v/>
      </c>
      <c r="F319" t="str">
        <f>IF($A319&lt;&gt;"",'Approved-Enforcement'!E319,"")</f>
        <v/>
      </c>
      <c r="G319" t="str">
        <f>IF($A319&lt;&gt;"",'Approved-Enforcement'!F319,"")</f>
        <v/>
      </c>
      <c r="H319" t="str">
        <f>IF($A319&lt;&gt;"",'Approved-Enforcement'!G319,"")</f>
        <v/>
      </c>
      <c r="I319" t="str">
        <f>IF($A319&lt;&gt;"",'Approved-Enforcement'!H319,"")</f>
        <v/>
      </c>
      <c r="J319" t="str">
        <f>IF($A319&lt;&gt;"",'Approved-Enforcement'!I319,"")</f>
        <v/>
      </c>
      <c r="K319" t="str">
        <f>IF($A319&lt;&gt;"",'Approved-Enforcement'!J319,"")</f>
        <v/>
      </c>
      <c r="L319" t="str">
        <f>IF($A319&lt;&gt;"",'Approved-Enforcement'!K319,"")</f>
        <v/>
      </c>
      <c r="M319" t="str">
        <f>IF($A319&lt;&gt;"",'Approved-Enforcement'!L319,"")</f>
        <v/>
      </c>
      <c r="N319" t="str">
        <f>IF($A319&lt;&gt;"",'Approved-Enforcement'!M319,"")</f>
        <v/>
      </c>
      <c r="O319" t="str">
        <f>IF($A319&lt;&gt;"",'Approved-Enforcement'!N319,"")</f>
        <v/>
      </c>
      <c r="P319" t="str">
        <f>IF($A319&lt;&gt;"",'Approved-Enforcement'!O319,"")</f>
        <v/>
      </c>
    </row>
    <row r="320" spans="1:16" x14ac:dyDescent="0.35">
      <c r="A320" s="4" t="str">
        <f>IF('Approved-Enforcement'!$A320&lt;&gt;"",'Approved-Enforcement'!A320,"")</f>
        <v/>
      </c>
      <c r="B320" t="str">
        <f t="shared" si="4"/>
        <v/>
      </c>
      <c r="D320" t="str">
        <f>IF($A320&lt;&gt;"",IF($R320&lt;&gt;"",$R320,'Approved-Enforcement'!$B320+7),"")</f>
        <v/>
      </c>
      <c r="E320" t="str">
        <f>IF($A320&lt;&gt;"",'Approved-Enforcement'!D320,"")</f>
        <v/>
      </c>
      <c r="F320" t="str">
        <f>IF($A320&lt;&gt;"",'Approved-Enforcement'!E320,"")</f>
        <v/>
      </c>
      <c r="G320" t="str">
        <f>IF($A320&lt;&gt;"",'Approved-Enforcement'!F320,"")</f>
        <v/>
      </c>
      <c r="H320" t="str">
        <f>IF($A320&lt;&gt;"",'Approved-Enforcement'!G320,"")</f>
        <v/>
      </c>
      <c r="I320" t="str">
        <f>IF($A320&lt;&gt;"",'Approved-Enforcement'!H320,"")</f>
        <v/>
      </c>
      <c r="J320" t="str">
        <f>IF($A320&lt;&gt;"",'Approved-Enforcement'!I320,"")</f>
        <v/>
      </c>
      <c r="K320" t="str">
        <f>IF($A320&lt;&gt;"",'Approved-Enforcement'!J320,"")</f>
        <v/>
      </c>
      <c r="L320" t="str">
        <f>IF($A320&lt;&gt;"",'Approved-Enforcement'!K320,"")</f>
        <v/>
      </c>
      <c r="M320" t="str">
        <f>IF($A320&lt;&gt;"",'Approved-Enforcement'!L320,"")</f>
        <v/>
      </c>
      <c r="N320" t="str">
        <f>IF($A320&lt;&gt;"",'Approved-Enforcement'!M320,"")</f>
        <v/>
      </c>
      <c r="O320" t="str">
        <f>IF($A320&lt;&gt;"",'Approved-Enforcement'!N320,"")</f>
        <v/>
      </c>
      <c r="P320" t="str">
        <f>IF($A320&lt;&gt;"",'Approved-Enforcement'!O320,"")</f>
        <v/>
      </c>
    </row>
    <row r="321" spans="1:16" x14ac:dyDescent="0.35">
      <c r="A321" s="4" t="str">
        <f>IF('Approved-Enforcement'!$A321&lt;&gt;"",'Approved-Enforcement'!A321,"")</f>
        <v/>
      </c>
      <c r="B321" t="str">
        <f t="shared" si="4"/>
        <v/>
      </c>
      <c r="D321" t="str">
        <f>IF($A321&lt;&gt;"",IF($R321&lt;&gt;"",$R321,'Approved-Enforcement'!$B321+7),"")</f>
        <v/>
      </c>
      <c r="E321" t="str">
        <f>IF($A321&lt;&gt;"",'Approved-Enforcement'!D321,"")</f>
        <v/>
      </c>
      <c r="F321" t="str">
        <f>IF($A321&lt;&gt;"",'Approved-Enforcement'!E321,"")</f>
        <v/>
      </c>
      <c r="G321" t="str">
        <f>IF($A321&lt;&gt;"",'Approved-Enforcement'!F321,"")</f>
        <v/>
      </c>
      <c r="H321" t="str">
        <f>IF($A321&lt;&gt;"",'Approved-Enforcement'!G321,"")</f>
        <v/>
      </c>
      <c r="I321" t="str">
        <f>IF($A321&lt;&gt;"",'Approved-Enforcement'!H321,"")</f>
        <v/>
      </c>
      <c r="J321" t="str">
        <f>IF($A321&lt;&gt;"",'Approved-Enforcement'!I321,"")</f>
        <v/>
      </c>
      <c r="K321" t="str">
        <f>IF($A321&lt;&gt;"",'Approved-Enforcement'!J321,"")</f>
        <v/>
      </c>
      <c r="L321" t="str">
        <f>IF($A321&lt;&gt;"",'Approved-Enforcement'!K321,"")</f>
        <v/>
      </c>
      <c r="M321" t="str">
        <f>IF($A321&lt;&gt;"",'Approved-Enforcement'!L321,"")</f>
        <v/>
      </c>
      <c r="N321" t="str">
        <f>IF($A321&lt;&gt;"",'Approved-Enforcement'!M321,"")</f>
        <v/>
      </c>
      <c r="O321" t="str">
        <f>IF($A321&lt;&gt;"",'Approved-Enforcement'!N321,"")</f>
        <v/>
      </c>
      <c r="P321" t="str">
        <f>IF($A321&lt;&gt;"",'Approved-Enforcement'!O321,"")</f>
        <v/>
      </c>
    </row>
    <row r="322" spans="1:16" x14ac:dyDescent="0.35">
      <c r="A322" s="4" t="str">
        <f>IF('Approved-Enforcement'!$A322&lt;&gt;"",'Approved-Enforcement'!A322,"")</f>
        <v/>
      </c>
      <c r="B322" t="str">
        <f t="shared" ref="B322:B385" si="5">IF($A322&lt;&gt;"",IF($C322&lt;&gt;"",$C322,1500),"")</f>
        <v/>
      </c>
      <c r="D322" t="str">
        <f>IF($A322&lt;&gt;"",IF($R322&lt;&gt;"",$R322,'Approved-Enforcement'!$B322+7),"")</f>
        <v/>
      </c>
      <c r="E322" t="str">
        <f>IF($A322&lt;&gt;"",'Approved-Enforcement'!D322,"")</f>
        <v/>
      </c>
      <c r="F322" t="str">
        <f>IF($A322&lt;&gt;"",'Approved-Enforcement'!E322,"")</f>
        <v/>
      </c>
      <c r="G322" t="str">
        <f>IF($A322&lt;&gt;"",'Approved-Enforcement'!F322,"")</f>
        <v/>
      </c>
      <c r="H322" t="str">
        <f>IF($A322&lt;&gt;"",'Approved-Enforcement'!G322,"")</f>
        <v/>
      </c>
      <c r="I322" t="str">
        <f>IF($A322&lt;&gt;"",'Approved-Enforcement'!H322,"")</f>
        <v/>
      </c>
      <c r="J322" t="str">
        <f>IF($A322&lt;&gt;"",'Approved-Enforcement'!I322,"")</f>
        <v/>
      </c>
      <c r="K322" t="str">
        <f>IF($A322&lt;&gt;"",'Approved-Enforcement'!J322,"")</f>
        <v/>
      </c>
      <c r="L322" t="str">
        <f>IF($A322&lt;&gt;"",'Approved-Enforcement'!K322,"")</f>
        <v/>
      </c>
      <c r="M322" t="str">
        <f>IF($A322&lt;&gt;"",'Approved-Enforcement'!L322,"")</f>
        <v/>
      </c>
      <c r="N322" t="str">
        <f>IF($A322&lt;&gt;"",'Approved-Enforcement'!M322,"")</f>
        <v/>
      </c>
      <c r="O322" t="str">
        <f>IF($A322&lt;&gt;"",'Approved-Enforcement'!N322,"")</f>
        <v/>
      </c>
      <c r="P322" t="str">
        <f>IF($A322&lt;&gt;"",'Approved-Enforcement'!O322,"")</f>
        <v/>
      </c>
    </row>
    <row r="323" spans="1:16" x14ac:dyDescent="0.35">
      <c r="A323" s="4" t="str">
        <f>IF('Approved-Enforcement'!$A323&lt;&gt;"",'Approved-Enforcement'!A323,"")</f>
        <v/>
      </c>
      <c r="B323" t="str">
        <f t="shared" si="5"/>
        <v/>
      </c>
      <c r="D323" t="str">
        <f>IF($A323&lt;&gt;"",IF($R323&lt;&gt;"",$R323,'Approved-Enforcement'!$B323+7),"")</f>
        <v/>
      </c>
      <c r="E323" t="str">
        <f>IF($A323&lt;&gt;"",'Approved-Enforcement'!D323,"")</f>
        <v/>
      </c>
      <c r="F323" t="str">
        <f>IF($A323&lt;&gt;"",'Approved-Enforcement'!E323,"")</f>
        <v/>
      </c>
      <c r="G323" t="str">
        <f>IF($A323&lt;&gt;"",'Approved-Enforcement'!F323,"")</f>
        <v/>
      </c>
      <c r="H323" t="str">
        <f>IF($A323&lt;&gt;"",'Approved-Enforcement'!G323,"")</f>
        <v/>
      </c>
      <c r="I323" t="str">
        <f>IF($A323&lt;&gt;"",'Approved-Enforcement'!H323,"")</f>
        <v/>
      </c>
      <c r="J323" t="str">
        <f>IF($A323&lt;&gt;"",'Approved-Enforcement'!I323,"")</f>
        <v/>
      </c>
      <c r="K323" t="str">
        <f>IF($A323&lt;&gt;"",'Approved-Enforcement'!J323,"")</f>
        <v/>
      </c>
      <c r="L323" t="str">
        <f>IF($A323&lt;&gt;"",'Approved-Enforcement'!K323,"")</f>
        <v/>
      </c>
      <c r="M323" t="str">
        <f>IF($A323&lt;&gt;"",'Approved-Enforcement'!L323,"")</f>
        <v/>
      </c>
      <c r="N323" t="str">
        <f>IF($A323&lt;&gt;"",'Approved-Enforcement'!M323,"")</f>
        <v/>
      </c>
      <c r="O323" t="str">
        <f>IF($A323&lt;&gt;"",'Approved-Enforcement'!N323,"")</f>
        <v/>
      </c>
      <c r="P323" t="str">
        <f>IF($A323&lt;&gt;"",'Approved-Enforcement'!O323,"")</f>
        <v/>
      </c>
    </row>
    <row r="324" spans="1:16" x14ac:dyDescent="0.35">
      <c r="A324" s="4" t="str">
        <f>IF('Approved-Enforcement'!$A324&lt;&gt;"",'Approved-Enforcement'!A324,"")</f>
        <v/>
      </c>
      <c r="B324" t="str">
        <f t="shared" si="5"/>
        <v/>
      </c>
      <c r="D324" t="str">
        <f>IF($A324&lt;&gt;"",IF($R324&lt;&gt;"",$R324,'Approved-Enforcement'!$B324+7),"")</f>
        <v/>
      </c>
      <c r="E324" t="str">
        <f>IF($A324&lt;&gt;"",'Approved-Enforcement'!D324,"")</f>
        <v/>
      </c>
      <c r="F324" t="str">
        <f>IF($A324&lt;&gt;"",'Approved-Enforcement'!E324,"")</f>
        <v/>
      </c>
      <c r="G324" t="str">
        <f>IF($A324&lt;&gt;"",'Approved-Enforcement'!F324,"")</f>
        <v/>
      </c>
      <c r="H324" t="str">
        <f>IF($A324&lt;&gt;"",'Approved-Enforcement'!G324,"")</f>
        <v/>
      </c>
      <c r="I324" t="str">
        <f>IF($A324&lt;&gt;"",'Approved-Enforcement'!H324,"")</f>
        <v/>
      </c>
      <c r="J324" t="str">
        <f>IF($A324&lt;&gt;"",'Approved-Enforcement'!I324,"")</f>
        <v/>
      </c>
      <c r="K324" t="str">
        <f>IF($A324&lt;&gt;"",'Approved-Enforcement'!J324,"")</f>
        <v/>
      </c>
      <c r="L324" t="str">
        <f>IF($A324&lt;&gt;"",'Approved-Enforcement'!K324,"")</f>
        <v/>
      </c>
      <c r="M324" t="str">
        <f>IF($A324&lt;&gt;"",'Approved-Enforcement'!L324,"")</f>
        <v/>
      </c>
      <c r="N324" t="str">
        <f>IF($A324&lt;&gt;"",'Approved-Enforcement'!M324,"")</f>
        <v/>
      </c>
      <c r="O324" t="str">
        <f>IF($A324&lt;&gt;"",'Approved-Enforcement'!N324,"")</f>
        <v/>
      </c>
      <c r="P324" t="str">
        <f>IF($A324&lt;&gt;"",'Approved-Enforcement'!O324,"")</f>
        <v/>
      </c>
    </row>
    <row r="325" spans="1:16" x14ac:dyDescent="0.35">
      <c r="A325" s="4" t="str">
        <f>IF('Approved-Enforcement'!$A325&lt;&gt;"",'Approved-Enforcement'!A325,"")</f>
        <v/>
      </c>
      <c r="B325" t="str">
        <f t="shared" si="5"/>
        <v/>
      </c>
      <c r="D325" t="str">
        <f>IF($A325&lt;&gt;"",IF($R325&lt;&gt;"",$R325,'Approved-Enforcement'!$B325+7),"")</f>
        <v/>
      </c>
      <c r="E325" t="str">
        <f>IF($A325&lt;&gt;"",'Approved-Enforcement'!D325,"")</f>
        <v/>
      </c>
      <c r="F325" t="str">
        <f>IF($A325&lt;&gt;"",'Approved-Enforcement'!E325,"")</f>
        <v/>
      </c>
      <c r="G325" t="str">
        <f>IF($A325&lt;&gt;"",'Approved-Enforcement'!F325,"")</f>
        <v/>
      </c>
      <c r="H325" t="str">
        <f>IF($A325&lt;&gt;"",'Approved-Enforcement'!G325,"")</f>
        <v/>
      </c>
      <c r="I325" t="str">
        <f>IF($A325&lt;&gt;"",'Approved-Enforcement'!H325,"")</f>
        <v/>
      </c>
      <c r="J325" t="str">
        <f>IF($A325&lt;&gt;"",'Approved-Enforcement'!I325,"")</f>
        <v/>
      </c>
      <c r="K325" t="str">
        <f>IF($A325&lt;&gt;"",'Approved-Enforcement'!J325,"")</f>
        <v/>
      </c>
      <c r="L325" t="str">
        <f>IF($A325&lt;&gt;"",'Approved-Enforcement'!K325,"")</f>
        <v/>
      </c>
      <c r="M325" t="str">
        <f>IF($A325&lt;&gt;"",'Approved-Enforcement'!L325,"")</f>
        <v/>
      </c>
      <c r="N325" t="str">
        <f>IF($A325&lt;&gt;"",'Approved-Enforcement'!M325,"")</f>
        <v/>
      </c>
      <c r="O325" t="str">
        <f>IF($A325&lt;&gt;"",'Approved-Enforcement'!N325,"")</f>
        <v/>
      </c>
      <c r="P325" t="str">
        <f>IF($A325&lt;&gt;"",'Approved-Enforcement'!O325,"")</f>
        <v/>
      </c>
    </row>
    <row r="326" spans="1:16" x14ac:dyDescent="0.35">
      <c r="A326" s="4" t="str">
        <f>IF('Approved-Enforcement'!$A326&lt;&gt;"",'Approved-Enforcement'!A326,"")</f>
        <v/>
      </c>
      <c r="B326" t="str">
        <f t="shared" si="5"/>
        <v/>
      </c>
      <c r="D326" t="str">
        <f>IF($A326&lt;&gt;"",IF($R326&lt;&gt;"",$R326,'Approved-Enforcement'!$B326+7),"")</f>
        <v/>
      </c>
      <c r="E326" t="str">
        <f>IF($A326&lt;&gt;"",'Approved-Enforcement'!D326,"")</f>
        <v/>
      </c>
      <c r="F326" t="str">
        <f>IF($A326&lt;&gt;"",'Approved-Enforcement'!E326,"")</f>
        <v/>
      </c>
      <c r="G326" t="str">
        <f>IF($A326&lt;&gt;"",'Approved-Enforcement'!F326,"")</f>
        <v/>
      </c>
      <c r="H326" t="str">
        <f>IF($A326&lt;&gt;"",'Approved-Enforcement'!G326,"")</f>
        <v/>
      </c>
      <c r="I326" t="str">
        <f>IF($A326&lt;&gt;"",'Approved-Enforcement'!H326,"")</f>
        <v/>
      </c>
      <c r="J326" t="str">
        <f>IF($A326&lt;&gt;"",'Approved-Enforcement'!I326,"")</f>
        <v/>
      </c>
      <c r="K326" t="str">
        <f>IF($A326&lt;&gt;"",'Approved-Enforcement'!J326,"")</f>
        <v/>
      </c>
      <c r="L326" t="str">
        <f>IF($A326&lt;&gt;"",'Approved-Enforcement'!K326,"")</f>
        <v/>
      </c>
      <c r="M326" t="str">
        <f>IF($A326&lt;&gt;"",'Approved-Enforcement'!L326,"")</f>
        <v/>
      </c>
      <c r="N326" t="str">
        <f>IF($A326&lt;&gt;"",'Approved-Enforcement'!M326,"")</f>
        <v/>
      </c>
      <c r="O326" t="str">
        <f>IF($A326&lt;&gt;"",'Approved-Enforcement'!N326,"")</f>
        <v/>
      </c>
      <c r="P326" t="str">
        <f>IF($A326&lt;&gt;"",'Approved-Enforcement'!O326,"")</f>
        <v/>
      </c>
    </row>
    <row r="327" spans="1:16" x14ac:dyDescent="0.35">
      <c r="A327" s="4" t="str">
        <f>IF('Approved-Enforcement'!$A327&lt;&gt;"",'Approved-Enforcement'!A327,"")</f>
        <v/>
      </c>
      <c r="B327" t="str">
        <f t="shared" si="5"/>
        <v/>
      </c>
      <c r="D327" t="str">
        <f>IF($A327&lt;&gt;"",IF($R327&lt;&gt;"",$R327,'Approved-Enforcement'!$B327+7),"")</f>
        <v/>
      </c>
      <c r="E327" t="str">
        <f>IF($A327&lt;&gt;"",'Approved-Enforcement'!D327,"")</f>
        <v/>
      </c>
      <c r="F327" t="str">
        <f>IF($A327&lt;&gt;"",'Approved-Enforcement'!E327,"")</f>
        <v/>
      </c>
      <c r="G327" t="str">
        <f>IF($A327&lt;&gt;"",'Approved-Enforcement'!F327,"")</f>
        <v/>
      </c>
      <c r="H327" t="str">
        <f>IF($A327&lt;&gt;"",'Approved-Enforcement'!G327,"")</f>
        <v/>
      </c>
      <c r="I327" t="str">
        <f>IF($A327&lt;&gt;"",'Approved-Enforcement'!H327,"")</f>
        <v/>
      </c>
      <c r="J327" t="str">
        <f>IF($A327&lt;&gt;"",'Approved-Enforcement'!I327,"")</f>
        <v/>
      </c>
      <c r="K327" t="str">
        <f>IF($A327&lt;&gt;"",'Approved-Enforcement'!J327,"")</f>
        <v/>
      </c>
      <c r="L327" t="str">
        <f>IF($A327&lt;&gt;"",'Approved-Enforcement'!K327,"")</f>
        <v/>
      </c>
      <c r="M327" t="str">
        <f>IF($A327&lt;&gt;"",'Approved-Enforcement'!L327,"")</f>
        <v/>
      </c>
      <c r="N327" t="str">
        <f>IF($A327&lt;&gt;"",'Approved-Enforcement'!M327,"")</f>
        <v/>
      </c>
      <c r="O327" t="str">
        <f>IF($A327&lt;&gt;"",'Approved-Enforcement'!N327,"")</f>
        <v/>
      </c>
      <c r="P327" t="str">
        <f>IF($A327&lt;&gt;"",'Approved-Enforcement'!O327,"")</f>
        <v/>
      </c>
    </row>
    <row r="328" spans="1:16" x14ac:dyDescent="0.35">
      <c r="A328" s="4" t="str">
        <f>IF('Approved-Enforcement'!$A328&lt;&gt;"",'Approved-Enforcement'!A328,"")</f>
        <v/>
      </c>
      <c r="B328" t="str">
        <f t="shared" si="5"/>
        <v/>
      </c>
      <c r="D328" t="str">
        <f>IF($A328&lt;&gt;"",IF($R328&lt;&gt;"",$R328,'Approved-Enforcement'!$B328+7),"")</f>
        <v/>
      </c>
      <c r="E328" t="str">
        <f>IF($A328&lt;&gt;"",'Approved-Enforcement'!D328,"")</f>
        <v/>
      </c>
      <c r="F328" t="str">
        <f>IF($A328&lt;&gt;"",'Approved-Enforcement'!E328,"")</f>
        <v/>
      </c>
      <c r="G328" t="str">
        <f>IF($A328&lt;&gt;"",'Approved-Enforcement'!F328,"")</f>
        <v/>
      </c>
      <c r="H328" t="str">
        <f>IF($A328&lt;&gt;"",'Approved-Enforcement'!G328,"")</f>
        <v/>
      </c>
      <c r="I328" t="str">
        <f>IF($A328&lt;&gt;"",'Approved-Enforcement'!H328,"")</f>
        <v/>
      </c>
      <c r="J328" t="str">
        <f>IF($A328&lt;&gt;"",'Approved-Enforcement'!I328,"")</f>
        <v/>
      </c>
      <c r="K328" t="str">
        <f>IF($A328&lt;&gt;"",'Approved-Enforcement'!J328,"")</f>
        <v/>
      </c>
      <c r="L328" t="str">
        <f>IF($A328&lt;&gt;"",'Approved-Enforcement'!K328,"")</f>
        <v/>
      </c>
      <c r="M328" t="str">
        <f>IF($A328&lt;&gt;"",'Approved-Enforcement'!L328,"")</f>
        <v/>
      </c>
      <c r="N328" t="str">
        <f>IF($A328&lt;&gt;"",'Approved-Enforcement'!M328,"")</f>
        <v/>
      </c>
      <c r="O328" t="str">
        <f>IF($A328&lt;&gt;"",'Approved-Enforcement'!N328,"")</f>
        <v/>
      </c>
      <c r="P328" t="str">
        <f>IF($A328&lt;&gt;"",'Approved-Enforcement'!O328,"")</f>
        <v/>
      </c>
    </row>
    <row r="329" spans="1:16" x14ac:dyDescent="0.35">
      <c r="A329" s="4" t="str">
        <f>IF('Approved-Enforcement'!$A329&lt;&gt;"",'Approved-Enforcement'!A329,"")</f>
        <v/>
      </c>
      <c r="B329" t="str">
        <f t="shared" si="5"/>
        <v/>
      </c>
      <c r="D329" t="str">
        <f>IF($A329&lt;&gt;"",IF($R329&lt;&gt;"",$R329,'Approved-Enforcement'!$B329+7),"")</f>
        <v/>
      </c>
      <c r="E329" t="str">
        <f>IF($A329&lt;&gt;"",'Approved-Enforcement'!D329,"")</f>
        <v/>
      </c>
      <c r="F329" t="str">
        <f>IF($A329&lt;&gt;"",'Approved-Enforcement'!E329,"")</f>
        <v/>
      </c>
      <c r="G329" t="str">
        <f>IF($A329&lt;&gt;"",'Approved-Enforcement'!F329,"")</f>
        <v/>
      </c>
      <c r="H329" t="str">
        <f>IF($A329&lt;&gt;"",'Approved-Enforcement'!G329,"")</f>
        <v/>
      </c>
      <c r="I329" t="str">
        <f>IF($A329&lt;&gt;"",'Approved-Enforcement'!H329,"")</f>
        <v/>
      </c>
      <c r="J329" t="str">
        <f>IF($A329&lt;&gt;"",'Approved-Enforcement'!I329,"")</f>
        <v/>
      </c>
      <c r="K329" t="str">
        <f>IF($A329&lt;&gt;"",'Approved-Enforcement'!J329,"")</f>
        <v/>
      </c>
      <c r="L329" t="str">
        <f>IF($A329&lt;&gt;"",'Approved-Enforcement'!K329,"")</f>
        <v/>
      </c>
      <c r="M329" t="str">
        <f>IF($A329&lt;&gt;"",'Approved-Enforcement'!L329,"")</f>
        <v/>
      </c>
      <c r="N329" t="str">
        <f>IF($A329&lt;&gt;"",'Approved-Enforcement'!M329,"")</f>
        <v/>
      </c>
      <c r="O329" t="str">
        <f>IF($A329&lt;&gt;"",'Approved-Enforcement'!N329,"")</f>
        <v/>
      </c>
      <c r="P329" t="str">
        <f>IF($A329&lt;&gt;"",'Approved-Enforcement'!O329,"")</f>
        <v/>
      </c>
    </row>
    <row r="330" spans="1:16" x14ac:dyDescent="0.35">
      <c r="A330" s="4" t="str">
        <f>IF('Approved-Enforcement'!$A330&lt;&gt;"",'Approved-Enforcement'!A330,"")</f>
        <v/>
      </c>
      <c r="B330" t="str">
        <f t="shared" si="5"/>
        <v/>
      </c>
      <c r="D330" t="str">
        <f>IF($A330&lt;&gt;"",IF($R330&lt;&gt;"",$R330,'Approved-Enforcement'!$B330+7),"")</f>
        <v/>
      </c>
      <c r="E330" t="str">
        <f>IF($A330&lt;&gt;"",'Approved-Enforcement'!D330,"")</f>
        <v/>
      </c>
      <c r="F330" t="str">
        <f>IF($A330&lt;&gt;"",'Approved-Enforcement'!E330,"")</f>
        <v/>
      </c>
      <c r="G330" t="str">
        <f>IF($A330&lt;&gt;"",'Approved-Enforcement'!F330,"")</f>
        <v/>
      </c>
      <c r="H330" t="str">
        <f>IF($A330&lt;&gt;"",'Approved-Enforcement'!G330,"")</f>
        <v/>
      </c>
      <c r="I330" t="str">
        <f>IF($A330&lt;&gt;"",'Approved-Enforcement'!H330,"")</f>
        <v/>
      </c>
      <c r="J330" t="str">
        <f>IF($A330&lt;&gt;"",'Approved-Enforcement'!I330,"")</f>
        <v/>
      </c>
      <c r="K330" t="str">
        <f>IF($A330&lt;&gt;"",'Approved-Enforcement'!J330,"")</f>
        <v/>
      </c>
      <c r="L330" t="str">
        <f>IF($A330&lt;&gt;"",'Approved-Enforcement'!K330,"")</f>
        <v/>
      </c>
      <c r="M330" t="str">
        <f>IF($A330&lt;&gt;"",'Approved-Enforcement'!L330,"")</f>
        <v/>
      </c>
      <c r="N330" t="str">
        <f>IF($A330&lt;&gt;"",'Approved-Enforcement'!M330,"")</f>
        <v/>
      </c>
      <c r="O330" t="str">
        <f>IF($A330&lt;&gt;"",'Approved-Enforcement'!N330,"")</f>
        <v/>
      </c>
      <c r="P330" t="str">
        <f>IF($A330&lt;&gt;"",'Approved-Enforcement'!O330,"")</f>
        <v/>
      </c>
    </row>
    <row r="331" spans="1:16" x14ac:dyDescent="0.35">
      <c r="A331" s="4" t="str">
        <f>IF('Approved-Enforcement'!$A331&lt;&gt;"",'Approved-Enforcement'!A331,"")</f>
        <v/>
      </c>
      <c r="B331" t="str">
        <f t="shared" si="5"/>
        <v/>
      </c>
      <c r="D331" t="str">
        <f>IF($A331&lt;&gt;"",IF($R331&lt;&gt;"",$R331,'Approved-Enforcement'!$B331+7),"")</f>
        <v/>
      </c>
      <c r="E331" t="str">
        <f>IF($A331&lt;&gt;"",'Approved-Enforcement'!D331,"")</f>
        <v/>
      </c>
      <c r="F331" t="str">
        <f>IF($A331&lt;&gt;"",'Approved-Enforcement'!E331,"")</f>
        <v/>
      </c>
      <c r="G331" t="str">
        <f>IF($A331&lt;&gt;"",'Approved-Enforcement'!F331,"")</f>
        <v/>
      </c>
      <c r="H331" t="str">
        <f>IF($A331&lt;&gt;"",'Approved-Enforcement'!G331,"")</f>
        <v/>
      </c>
      <c r="I331" t="str">
        <f>IF($A331&lt;&gt;"",'Approved-Enforcement'!H331,"")</f>
        <v/>
      </c>
      <c r="J331" t="str">
        <f>IF($A331&lt;&gt;"",'Approved-Enforcement'!I331,"")</f>
        <v/>
      </c>
      <c r="K331" t="str">
        <f>IF($A331&lt;&gt;"",'Approved-Enforcement'!J331,"")</f>
        <v/>
      </c>
      <c r="L331" t="str">
        <f>IF($A331&lt;&gt;"",'Approved-Enforcement'!K331,"")</f>
        <v/>
      </c>
      <c r="M331" t="str">
        <f>IF($A331&lt;&gt;"",'Approved-Enforcement'!L331,"")</f>
        <v/>
      </c>
      <c r="N331" t="str">
        <f>IF($A331&lt;&gt;"",'Approved-Enforcement'!M331,"")</f>
        <v/>
      </c>
      <c r="O331" t="str">
        <f>IF($A331&lt;&gt;"",'Approved-Enforcement'!N331,"")</f>
        <v/>
      </c>
      <c r="P331" t="str">
        <f>IF($A331&lt;&gt;"",'Approved-Enforcement'!O331,"")</f>
        <v/>
      </c>
    </row>
    <row r="332" spans="1:16" x14ac:dyDescent="0.35">
      <c r="A332" s="4" t="str">
        <f>IF('Approved-Enforcement'!$A332&lt;&gt;"",'Approved-Enforcement'!A332,"")</f>
        <v/>
      </c>
      <c r="B332" t="str">
        <f t="shared" si="5"/>
        <v/>
      </c>
      <c r="D332" t="str">
        <f>IF($A332&lt;&gt;"",IF($R332&lt;&gt;"",$R332,'Approved-Enforcement'!$B332+7),"")</f>
        <v/>
      </c>
      <c r="E332" t="str">
        <f>IF($A332&lt;&gt;"",'Approved-Enforcement'!D332,"")</f>
        <v/>
      </c>
      <c r="F332" t="str">
        <f>IF($A332&lt;&gt;"",'Approved-Enforcement'!E332,"")</f>
        <v/>
      </c>
      <c r="G332" t="str">
        <f>IF($A332&lt;&gt;"",'Approved-Enforcement'!F332,"")</f>
        <v/>
      </c>
      <c r="H332" t="str">
        <f>IF($A332&lt;&gt;"",'Approved-Enforcement'!G332,"")</f>
        <v/>
      </c>
      <c r="I332" t="str">
        <f>IF($A332&lt;&gt;"",'Approved-Enforcement'!H332,"")</f>
        <v/>
      </c>
      <c r="J332" t="str">
        <f>IF($A332&lt;&gt;"",'Approved-Enforcement'!I332,"")</f>
        <v/>
      </c>
      <c r="K332" t="str">
        <f>IF($A332&lt;&gt;"",'Approved-Enforcement'!J332,"")</f>
        <v/>
      </c>
      <c r="L332" t="str">
        <f>IF($A332&lt;&gt;"",'Approved-Enforcement'!K332,"")</f>
        <v/>
      </c>
      <c r="M332" t="str">
        <f>IF($A332&lt;&gt;"",'Approved-Enforcement'!L332,"")</f>
        <v/>
      </c>
      <c r="N332" t="str">
        <f>IF($A332&lt;&gt;"",'Approved-Enforcement'!M332,"")</f>
        <v/>
      </c>
      <c r="O332" t="str">
        <f>IF($A332&lt;&gt;"",'Approved-Enforcement'!N332,"")</f>
        <v/>
      </c>
      <c r="P332" t="str">
        <f>IF($A332&lt;&gt;"",'Approved-Enforcement'!O332,"")</f>
        <v/>
      </c>
    </row>
    <row r="333" spans="1:16" x14ac:dyDescent="0.35">
      <c r="A333" s="4" t="str">
        <f>IF('Approved-Enforcement'!$A333&lt;&gt;"",'Approved-Enforcement'!A333,"")</f>
        <v/>
      </c>
      <c r="B333" t="str">
        <f t="shared" si="5"/>
        <v/>
      </c>
      <c r="D333" t="str">
        <f>IF($A333&lt;&gt;"",IF($R333&lt;&gt;"",$R333,'Approved-Enforcement'!$B333+7),"")</f>
        <v/>
      </c>
      <c r="E333" t="str">
        <f>IF($A333&lt;&gt;"",'Approved-Enforcement'!D333,"")</f>
        <v/>
      </c>
      <c r="F333" t="str">
        <f>IF($A333&lt;&gt;"",'Approved-Enforcement'!E333,"")</f>
        <v/>
      </c>
      <c r="G333" t="str">
        <f>IF($A333&lt;&gt;"",'Approved-Enforcement'!F333,"")</f>
        <v/>
      </c>
      <c r="H333" t="str">
        <f>IF($A333&lt;&gt;"",'Approved-Enforcement'!G333,"")</f>
        <v/>
      </c>
      <c r="I333" t="str">
        <f>IF($A333&lt;&gt;"",'Approved-Enforcement'!H333,"")</f>
        <v/>
      </c>
      <c r="J333" t="str">
        <f>IF($A333&lt;&gt;"",'Approved-Enforcement'!I333,"")</f>
        <v/>
      </c>
      <c r="K333" t="str">
        <f>IF($A333&lt;&gt;"",'Approved-Enforcement'!J333,"")</f>
        <v/>
      </c>
      <c r="L333" t="str">
        <f>IF($A333&lt;&gt;"",'Approved-Enforcement'!K333,"")</f>
        <v/>
      </c>
      <c r="M333" t="str">
        <f>IF($A333&lt;&gt;"",'Approved-Enforcement'!L333,"")</f>
        <v/>
      </c>
      <c r="N333" t="str">
        <f>IF($A333&lt;&gt;"",'Approved-Enforcement'!M333,"")</f>
        <v/>
      </c>
      <c r="O333" t="str">
        <f>IF($A333&lt;&gt;"",'Approved-Enforcement'!N333,"")</f>
        <v/>
      </c>
      <c r="P333" t="str">
        <f>IF($A333&lt;&gt;"",'Approved-Enforcement'!O333,"")</f>
        <v/>
      </c>
    </row>
    <row r="334" spans="1:16" x14ac:dyDescent="0.35">
      <c r="A334" s="4" t="str">
        <f>IF('Approved-Enforcement'!$A334&lt;&gt;"",'Approved-Enforcement'!A334,"")</f>
        <v/>
      </c>
      <c r="B334" t="str">
        <f t="shared" si="5"/>
        <v/>
      </c>
      <c r="D334" t="str">
        <f>IF($A334&lt;&gt;"",IF($R334&lt;&gt;"",$R334,'Approved-Enforcement'!$B334+7),"")</f>
        <v/>
      </c>
      <c r="E334" t="str">
        <f>IF($A334&lt;&gt;"",'Approved-Enforcement'!D334,"")</f>
        <v/>
      </c>
      <c r="F334" t="str">
        <f>IF($A334&lt;&gt;"",'Approved-Enforcement'!E334,"")</f>
        <v/>
      </c>
      <c r="G334" t="str">
        <f>IF($A334&lt;&gt;"",'Approved-Enforcement'!F334,"")</f>
        <v/>
      </c>
      <c r="H334" t="str">
        <f>IF($A334&lt;&gt;"",'Approved-Enforcement'!G334,"")</f>
        <v/>
      </c>
      <c r="I334" t="str">
        <f>IF($A334&lt;&gt;"",'Approved-Enforcement'!H334,"")</f>
        <v/>
      </c>
      <c r="J334" t="str">
        <f>IF($A334&lt;&gt;"",'Approved-Enforcement'!I334,"")</f>
        <v/>
      </c>
      <c r="K334" t="str">
        <f>IF($A334&lt;&gt;"",'Approved-Enforcement'!J334,"")</f>
        <v/>
      </c>
      <c r="L334" t="str">
        <f>IF($A334&lt;&gt;"",'Approved-Enforcement'!K334,"")</f>
        <v/>
      </c>
      <c r="M334" t="str">
        <f>IF($A334&lt;&gt;"",'Approved-Enforcement'!L334,"")</f>
        <v/>
      </c>
      <c r="N334" t="str">
        <f>IF($A334&lt;&gt;"",'Approved-Enforcement'!M334,"")</f>
        <v/>
      </c>
      <c r="O334" t="str">
        <f>IF($A334&lt;&gt;"",'Approved-Enforcement'!N334,"")</f>
        <v/>
      </c>
      <c r="P334" t="str">
        <f>IF($A334&lt;&gt;"",'Approved-Enforcement'!O334,"")</f>
        <v/>
      </c>
    </row>
    <row r="335" spans="1:16" x14ac:dyDescent="0.35">
      <c r="A335" s="4" t="str">
        <f>IF('Approved-Enforcement'!$A335&lt;&gt;"",'Approved-Enforcement'!A335,"")</f>
        <v/>
      </c>
      <c r="B335" t="str">
        <f t="shared" si="5"/>
        <v/>
      </c>
      <c r="D335" t="str">
        <f>IF($A335&lt;&gt;"",IF($R335&lt;&gt;"",$R335,'Approved-Enforcement'!$B335+7),"")</f>
        <v/>
      </c>
      <c r="E335" t="str">
        <f>IF($A335&lt;&gt;"",'Approved-Enforcement'!D335,"")</f>
        <v/>
      </c>
      <c r="F335" t="str">
        <f>IF($A335&lt;&gt;"",'Approved-Enforcement'!E335,"")</f>
        <v/>
      </c>
      <c r="G335" t="str">
        <f>IF($A335&lt;&gt;"",'Approved-Enforcement'!F335,"")</f>
        <v/>
      </c>
      <c r="H335" t="str">
        <f>IF($A335&lt;&gt;"",'Approved-Enforcement'!G335,"")</f>
        <v/>
      </c>
      <c r="I335" t="str">
        <f>IF($A335&lt;&gt;"",'Approved-Enforcement'!H335,"")</f>
        <v/>
      </c>
      <c r="J335" t="str">
        <f>IF($A335&lt;&gt;"",'Approved-Enforcement'!I335,"")</f>
        <v/>
      </c>
      <c r="K335" t="str">
        <f>IF($A335&lt;&gt;"",'Approved-Enforcement'!J335,"")</f>
        <v/>
      </c>
      <c r="L335" t="str">
        <f>IF($A335&lt;&gt;"",'Approved-Enforcement'!K335,"")</f>
        <v/>
      </c>
      <c r="M335" t="str">
        <f>IF($A335&lt;&gt;"",'Approved-Enforcement'!L335,"")</f>
        <v/>
      </c>
      <c r="N335" t="str">
        <f>IF($A335&lt;&gt;"",'Approved-Enforcement'!M335,"")</f>
        <v/>
      </c>
      <c r="O335" t="str">
        <f>IF($A335&lt;&gt;"",'Approved-Enforcement'!N335,"")</f>
        <v/>
      </c>
      <c r="P335" t="str">
        <f>IF($A335&lt;&gt;"",'Approved-Enforcement'!O335,"")</f>
        <v/>
      </c>
    </row>
    <row r="336" spans="1:16" x14ac:dyDescent="0.35">
      <c r="A336" s="4" t="str">
        <f>IF('Approved-Enforcement'!$A336&lt;&gt;"",'Approved-Enforcement'!A336,"")</f>
        <v/>
      </c>
      <c r="B336" t="str">
        <f t="shared" si="5"/>
        <v/>
      </c>
      <c r="D336" t="str">
        <f>IF($A336&lt;&gt;"",IF($R336&lt;&gt;"",$R336,'Approved-Enforcement'!$B336+7),"")</f>
        <v/>
      </c>
      <c r="E336" t="str">
        <f>IF($A336&lt;&gt;"",'Approved-Enforcement'!D336,"")</f>
        <v/>
      </c>
      <c r="F336" t="str">
        <f>IF($A336&lt;&gt;"",'Approved-Enforcement'!E336,"")</f>
        <v/>
      </c>
      <c r="G336" t="str">
        <f>IF($A336&lt;&gt;"",'Approved-Enforcement'!F336,"")</f>
        <v/>
      </c>
      <c r="H336" t="str">
        <f>IF($A336&lt;&gt;"",'Approved-Enforcement'!G336,"")</f>
        <v/>
      </c>
      <c r="I336" t="str">
        <f>IF($A336&lt;&gt;"",'Approved-Enforcement'!H336,"")</f>
        <v/>
      </c>
      <c r="J336" t="str">
        <f>IF($A336&lt;&gt;"",'Approved-Enforcement'!I336,"")</f>
        <v/>
      </c>
      <c r="K336" t="str">
        <f>IF($A336&lt;&gt;"",'Approved-Enforcement'!J336,"")</f>
        <v/>
      </c>
      <c r="L336" t="str">
        <f>IF($A336&lt;&gt;"",'Approved-Enforcement'!K336,"")</f>
        <v/>
      </c>
      <c r="M336" t="str">
        <f>IF($A336&lt;&gt;"",'Approved-Enforcement'!L336,"")</f>
        <v/>
      </c>
      <c r="N336" t="str">
        <f>IF($A336&lt;&gt;"",'Approved-Enforcement'!M336,"")</f>
        <v/>
      </c>
      <c r="O336" t="str">
        <f>IF($A336&lt;&gt;"",'Approved-Enforcement'!N336,"")</f>
        <v/>
      </c>
      <c r="P336" t="str">
        <f>IF($A336&lt;&gt;"",'Approved-Enforcement'!O336,"")</f>
        <v/>
      </c>
    </row>
    <row r="337" spans="1:16" x14ac:dyDescent="0.35">
      <c r="A337" s="4" t="str">
        <f>IF('Approved-Enforcement'!$A337&lt;&gt;"",'Approved-Enforcement'!A337,"")</f>
        <v/>
      </c>
      <c r="B337" t="str">
        <f t="shared" si="5"/>
        <v/>
      </c>
      <c r="D337" t="str">
        <f>IF($A337&lt;&gt;"",IF($R337&lt;&gt;"",$R337,'Approved-Enforcement'!$B337+7),"")</f>
        <v/>
      </c>
      <c r="E337" t="str">
        <f>IF($A337&lt;&gt;"",'Approved-Enforcement'!D337,"")</f>
        <v/>
      </c>
      <c r="F337" t="str">
        <f>IF($A337&lt;&gt;"",'Approved-Enforcement'!E337,"")</f>
        <v/>
      </c>
      <c r="G337" t="str">
        <f>IF($A337&lt;&gt;"",'Approved-Enforcement'!F337,"")</f>
        <v/>
      </c>
      <c r="H337" t="str">
        <f>IF($A337&lt;&gt;"",'Approved-Enforcement'!G337,"")</f>
        <v/>
      </c>
      <c r="I337" t="str">
        <f>IF($A337&lt;&gt;"",'Approved-Enforcement'!H337,"")</f>
        <v/>
      </c>
      <c r="J337" t="str">
        <f>IF($A337&lt;&gt;"",'Approved-Enforcement'!I337,"")</f>
        <v/>
      </c>
      <c r="K337" t="str">
        <f>IF($A337&lt;&gt;"",'Approved-Enforcement'!J337,"")</f>
        <v/>
      </c>
      <c r="L337" t="str">
        <f>IF($A337&lt;&gt;"",'Approved-Enforcement'!K337,"")</f>
        <v/>
      </c>
      <c r="M337" t="str">
        <f>IF($A337&lt;&gt;"",'Approved-Enforcement'!L337,"")</f>
        <v/>
      </c>
      <c r="N337" t="str">
        <f>IF($A337&lt;&gt;"",'Approved-Enforcement'!M337,"")</f>
        <v/>
      </c>
      <c r="O337" t="str">
        <f>IF($A337&lt;&gt;"",'Approved-Enforcement'!N337,"")</f>
        <v/>
      </c>
      <c r="P337" t="str">
        <f>IF($A337&lt;&gt;"",'Approved-Enforcement'!O337,"")</f>
        <v/>
      </c>
    </row>
    <row r="338" spans="1:16" x14ac:dyDescent="0.35">
      <c r="A338" s="4" t="str">
        <f>IF('Approved-Enforcement'!$A338&lt;&gt;"",'Approved-Enforcement'!A338,"")</f>
        <v/>
      </c>
      <c r="B338" t="str">
        <f t="shared" si="5"/>
        <v/>
      </c>
      <c r="D338" t="str">
        <f>IF($A338&lt;&gt;"",IF($R338&lt;&gt;"",$R338,'Approved-Enforcement'!$B338+7),"")</f>
        <v/>
      </c>
      <c r="E338" t="str">
        <f>IF($A338&lt;&gt;"",'Approved-Enforcement'!D338,"")</f>
        <v/>
      </c>
      <c r="F338" t="str">
        <f>IF($A338&lt;&gt;"",'Approved-Enforcement'!E338,"")</f>
        <v/>
      </c>
      <c r="G338" t="str">
        <f>IF($A338&lt;&gt;"",'Approved-Enforcement'!F338,"")</f>
        <v/>
      </c>
      <c r="H338" t="str">
        <f>IF($A338&lt;&gt;"",'Approved-Enforcement'!G338,"")</f>
        <v/>
      </c>
      <c r="I338" t="str">
        <f>IF($A338&lt;&gt;"",'Approved-Enforcement'!H338,"")</f>
        <v/>
      </c>
      <c r="J338" t="str">
        <f>IF($A338&lt;&gt;"",'Approved-Enforcement'!I338,"")</f>
        <v/>
      </c>
      <c r="K338" t="str">
        <f>IF($A338&lt;&gt;"",'Approved-Enforcement'!J338,"")</f>
        <v/>
      </c>
      <c r="L338" t="str">
        <f>IF($A338&lt;&gt;"",'Approved-Enforcement'!K338,"")</f>
        <v/>
      </c>
      <c r="M338" t="str">
        <f>IF($A338&lt;&gt;"",'Approved-Enforcement'!L338,"")</f>
        <v/>
      </c>
      <c r="N338" t="str">
        <f>IF($A338&lt;&gt;"",'Approved-Enforcement'!M338,"")</f>
        <v/>
      </c>
      <c r="O338" t="str">
        <f>IF($A338&lt;&gt;"",'Approved-Enforcement'!N338,"")</f>
        <v/>
      </c>
      <c r="P338" t="str">
        <f>IF($A338&lt;&gt;"",'Approved-Enforcement'!O338,"")</f>
        <v/>
      </c>
    </row>
    <row r="339" spans="1:16" x14ac:dyDescent="0.35">
      <c r="A339" s="4" t="str">
        <f>IF('Approved-Enforcement'!$A339&lt;&gt;"",'Approved-Enforcement'!A339,"")</f>
        <v/>
      </c>
      <c r="B339" t="str">
        <f t="shared" si="5"/>
        <v/>
      </c>
      <c r="D339" t="str">
        <f>IF($A339&lt;&gt;"",IF($R339&lt;&gt;"",$R339,'Approved-Enforcement'!$B339+7),"")</f>
        <v/>
      </c>
      <c r="E339" t="str">
        <f>IF($A339&lt;&gt;"",'Approved-Enforcement'!D339,"")</f>
        <v/>
      </c>
      <c r="F339" t="str">
        <f>IF($A339&lt;&gt;"",'Approved-Enforcement'!E339,"")</f>
        <v/>
      </c>
      <c r="G339" t="str">
        <f>IF($A339&lt;&gt;"",'Approved-Enforcement'!F339,"")</f>
        <v/>
      </c>
      <c r="H339" t="str">
        <f>IF($A339&lt;&gt;"",'Approved-Enforcement'!G339,"")</f>
        <v/>
      </c>
      <c r="I339" t="str">
        <f>IF($A339&lt;&gt;"",'Approved-Enforcement'!H339,"")</f>
        <v/>
      </c>
      <c r="J339" t="str">
        <f>IF($A339&lt;&gt;"",'Approved-Enforcement'!I339,"")</f>
        <v/>
      </c>
      <c r="K339" t="str">
        <f>IF($A339&lt;&gt;"",'Approved-Enforcement'!J339,"")</f>
        <v/>
      </c>
      <c r="L339" t="str">
        <f>IF($A339&lt;&gt;"",'Approved-Enforcement'!K339,"")</f>
        <v/>
      </c>
      <c r="M339" t="str">
        <f>IF($A339&lt;&gt;"",'Approved-Enforcement'!L339,"")</f>
        <v/>
      </c>
      <c r="N339" t="str">
        <f>IF($A339&lt;&gt;"",'Approved-Enforcement'!M339,"")</f>
        <v/>
      </c>
      <c r="O339" t="str">
        <f>IF($A339&lt;&gt;"",'Approved-Enforcement'!N339,"")</f>
        <v/>
      </c>
      <c r="P339" t="str">
        <f>IF($A339&lt;&gt;"",'Approved-Enforcement'!O339,"")</f>
        <v/>
      </c>
    </row>
    <row r="340" spans="1:16" x14ac:dyDescent="0.35">
      <c r="A340" s="4" t="str">
        <f>IF('Approved-Enforcement'!$A340&lt;&gt;"",'Approved-Enforcement'!A340,"")</f>
        <v/>
      </c>
      <c r="B340" t="str">
        <f t="shared" si="5"/>
        <v/>
      </c>
      <c r="D340" t="str">
        <f>IF($A340&lt;&gt;"",IF($R340&lt;&gt;"",$R340,'Approved-Enforcement'!$B340+7),"")</f>
        <v/>
      </c>
      <c r="E340" t="str">
        <f>IF($A340&lt;&gt;"",'Approved-Enforcement'!D340,"")</f>
        <v/>
      </c>
      <c r="F340" t="str">
        <f>IF($A340&lt;&gt;"",'Approved-Enforcement'!E340,"")</f>
        <v/>
      </c>
      <c r="G340" t="str">
        <f>IF($A340&lt;&gt;"",'Approved-Enforcement'!F340,"")</f>
        <v/>
      </c>
      <c r="H340" t="str">
        <f>IF($A340&lt;&gt;"",'Approved-Enforcement'!G340,"")</f>
        <v/>
      </c>
      <c r="I340" t="str">
        <f>IF($A340&lt;&gt;"",'Approved-Enforcement'!H340,"")</f>
        <v/>
      </c>
      <c r="J340" t="str">
        <f>IF($A340&lt;&gt;"",'Approved-Enforcement'!I340,"")</f>
        <v/>
      </c>
      <c r="K340" t="str">
        <f>IF($A340&lt;&gt;"",'Approved-Enforcement'!J340,"")</f>
        <v/>
      </c>
      <c r="L340" t="str">
        <f>IF($A340&lt;&gt;"",'Approved-Enforcement'!K340,"")</f>
        <v/>
      </c>
      <c r="M340" t="str">
        <f>IF($A340&lt;&gt;"",'Approved-Enforcement'!L340,"")</f>
        <v/>
      </c>
      <c r="N340" t="str">
        <f>IF($A340&lt;&gt;"",'Approved-Enforcement'!M340,"")</f>
        <v/>
      </c>
      <c r="O340" t="str">
        <f>IF($A340&lt;&gt;"",'Approved-Enforcement'!N340,"")</f>
        <v/>
      </c>
      <c r="P340" t="str">
        <f>IF($A340&lt;&gt;"",'Approved-Enforcement'!O340,"")</f>
        <v/>
      </c>
    </row>
    <row r="341" spans="1:16" x14ac:dyDescent="0.35">
      <c r="A341" s="4" t="str">
        <f>IF('Approved-Enforcement'!$A341&lt;&gt;"",'Approved-Enforcement'!A341,"")</f>
        <v/>
      </c>
      <c r="B341" t="str">
        <f t="shared" si="5"/>
        <v/>
      </c>
      <c r="D341" t="str">
        <f>IF($A341&lt;&gt;"",IF($R341&lt;&gt;"",$R341,'Approved-Enforcement'!$B341+7),"")</f>
        <v/>
      </c>
      <c r="E341" t="str">
        <f>IF($A341&lt;&gt;"",'Approved-Enforcement'!D341,"")</f>
        <v/>
      </c>
      <c r="F341" t="str">
        <f>IF($A341&lt;&gt;"",'Approved-Enforcement'!E341,"")</f>
        <v/>
      </c>
      <c r="G341" t="str">
        <f>IF($A341&lt;&gt;"",'Approved-Enforcement'!F341,"")</f>
        <v/>
      </c>
      <c r="H341" t="str">
        <f>IF($A341&lt;&gt;"",'Approved-Enforcement'!G341,"")</f>
        <v/>
      </c>
      <c r="I341" t="str">
        <f>IF($A341&lt;&gt;"",'Approved-Enforcement'!H341,"")</f>
        <v/>
      </c>
      <c r="J341" t="str">
        <f>IF($A341&lt;&gt;"",'Approved-Enforcement'!I341,"")</f>
        <v/>
      </c>
      <c r="K341" t="str">
        <f>IF($A341&lt;&gt;"",'Approved-Enforcement'!J341,"")</f>
        <v/>
      </c>
      <c r="L341" t="str">
        <f>IF($A341&lt;&gt;"",'Approved-Enforcement'!K341,"")</f>
        <v/>
      </c>
      <c r="M341" t="str">
        <f>IF($A341&lt;&gt;"",'Approved-Enforcement'!L341,"")</f>
        <v/>
      </c>
      <c r="N341" t="str">
        <f>IF($A341&lt;&gt;"",'Approved-Enforcement'!M341,"")</f>
        <v/>
      </c>
      <c r="O341" t="str">
        <f>IF($A341&lt;&gt;"",'Approved-Enforcement'!N341,"")</f>
        <v/>
      </c>
      <c r="P341" t="str">
        <f>IF($A341&lt;&gt;"",'Approved-Enforcement'!O341,"")</f>
        <v/>
      </c>
    </row>
    <row r="342" spans="1:16" x14ac:dyDescent="0.35">
      <c r="A342" s="4" t="str">
        <f>IF('Approved-Enforcement'!$A342&lt;&gt;"",'Approved-Enforcement'!A342,"")</f>
        <v/>
      </c>
      <c r="B342" t="str">
        <f t="shared" si="5"/>
        <v/>
      </c>
      <c r="D342" t="str">
        <f>IF($A342&lt;&gt;"",IF($R342&lt;&gt;"",$R342,'Approved-Enforcement'!$B342+7),"")</f>
        <v/>
      </c>
      <c r="E342" t="str">
        <f>IF($A342&lt;&gt;"",'Approved-Enforcement'!D342,"")</f>
        <v/>
      </c>
      <c r="F342" t="str">
        <f>IF($A342&lt;&gt;"",'Approved-Enforcement'!E342,"")</f>
        <v/>
      </c>
      <c r="G342" t="str">
        <f>IF($A342&lt;&gt;"",'Approved-Enforcement'!F342,"")</f>
        <v/>
      </c>
      <c r="H342" t="str">
        <f>IF($A342&lt;&gt;"",'Approved-Enforcement'!G342,"")</f>
        <v/>
      </c>
      <c r="I342" t="str">
        <f>IF($A342&lt;&gt;"",'Approved-Enforcement'!H342,"")</f>
        <v/>
      </c>
      <c r="J342" t="str">
        <f>IF($A342&lt;&gt;"",'Approved-Enforcement'!I342,"")</f>
        <v/>
      </c>
      <c r="K342" t="str">
        <f>IF($A342&lt;&gt;"",'Approved-Enforcement'!J342,"")</f>
        <v/>
      </c>
      <c r="L342" t="str">
        <f>IF($A342&lt;&gt;"",'Approved-Enforcement'!K342,"")</f>
        <v/>
      </c>
      <c r="M342" t="str">
        <f>IF($A342&lt;&gt;"",'Approved-Enforcement'!L342,"")</f>
        <v/>
      </c>
      <c r="N342" t="str">
        <f>IF($A342&lt;&gt;"",'Approved-Enforcement'!M342,"")</f>
        <v/>
      </c>
      <c r="O342" t="str">
        <f>IF($A342&lt;&gt;"",'Approved-Enforcement'!N342,"")</f>
        <v/>
      </c>
      <c r="P342" t="str">
        <f>IF($A342&lt;&gt;"",'Approved-Enforcement'!O342,"")</f>
        <v/>
      </c>
    </row>
    <row r="343" spans="1:16" x14ac:dyDescent="0.35">
      <c r="A343" s="4" t="str">
        <f>IF('Approved-Enforcement'!$A343&lt;&gt;"",'Approved-Enforcement'!A343,"")</f>
        <v/>
      </c>
      <c r="B343" t="str">
        <f t="shared" si="5"/>
        <v/>
      </c>
      <c r="D343" t="str">
        <f>IF($A343&lt;&gt;"",IF($R343&lt;&gt;"",$R343,'Approved-Enforcement'!$B343+7),"")</f>
        <v/>
      </c>
      <c r="E343" t="str">
        <f>IF($A343&lt;&gt;"",'Approved-Enforcement'!D343,"")</f>
        <v/>
      </c>
      <c r="F343" t="str">
        <f>IF($A343&lt;&gt;"",'Approved-Enforcement'!E343,"")</f>
        <v/>
      </c>
      <c r="G343" t="str">
        <f>IF($A343&lt;&gt;"",'Approved-Enforcement'!F343,"")</f>
        <v/>
      </c>
      <c r="H343" t="str">
        <f>IF($A343&lt;&gt;"",'Approved-Enforcement'!G343,"")</f>
        <v/>
      </c>
      <c r="I343" t="str">
        <f>IF($A343&lt;&gt;"",'Approved-Enforcement'!H343,"")</f>
        <v/>
      </c>
      <c r="J343" t="str">
        <f>IF($A343&lt;&gt;"",'Approved-Enforcement'!I343,"")</f>
        <v/>
      </c>
      <c r="K343" t="str">
        <f>IF($A343&lt;&gt;"",'Approved-Enforcement'!J343,"")</f>
        <v/>
      </c>
      <c r="L343" t="str">
        <f>IF($A343&lt;&gt;"",'Approved-Enforcement'!K343,"")</f>
        <v/>
      </c>
      <c r="M343" t="str">
        <f>IF($A343&lt;&gt;"",'Approved-Enforcement'!L343,"")</f>
        <v/>
      </c>
      <c r="N343" t="str">
        <f>IF($A343&lt;&gt;"",'Approved-Enforcement'!M343,"")</f>
        <v/>
      </c>
      <c r="O343" t="str">
        <f>IF($A343&lt;&gt;"",'Approved-Enforcement'!N343,"")</f>
        <v/>
      </c>
      <c r="P343" t="str">
        <f>IF($A343&lt;&gt;"",'Approved-Enforcement'!O343,"")</f>
        <v/>
      </c>
    </row>
    <row r="344" spans="1:16" x14ac:dyDescent="0.35">
      <c r="A344" s="4" t="str">
        <f>IF('Approved-Enforcement'!$A344&lt;&gt;"",'Approved-Enforcement'!A344,"")</f>
        <v/>
      </c>
      <c r="B344" t="str">
        <f t="shared" si="5"/>
        <v/>
      </c>
      <c r="D344" t="str">
        <f>IF($A344&lt;&gt;"",IF($R344&lt;&gt;"",$R344,'Approved-Enforcement'!$B344+7),"")</f>
        <v/>
      </c>
      <c r="E344" t="str">
        <f>IF($A344&lt;&gt;"",'Approved-Enforcement'!D344,"")</f>
        <v/>
      </c>
      <c r="F344" t="str">
        <f>IF($A344&lt;&gt;"",'Approved-Enforcement'!E344,"")</f>
        <v/>
      </c>
      <c r="G344" t="str">
        <f>IF($A344&lt;&gt;"",'Approved-Enforcement'!F344,"")</f>
        <v/>
      </c>
      <c r="H344" t="str">
        <f>IF($A344&lt;&gt;"",'Approved-Enforcement'!G344,"")</f>
        <v/>
      </c>
      <c r="I344" t="str">
        <f>IF($A344&lt;&gt;"",'Approved-Enforcement'!H344,"")</f>
        <v/>
      </c>
      <c r="J344" t="str">
        <f>IF($A344&lt;&gt;"",'Approved-Enforcement'!I344,"")</f>
        <v/>
      </c>
      <c r="K344" t="str">
        <f>IF($A344&lt;&gt;"",'Approved-Enforcement'!J344,"")</f>
        <v/>
      </c>
      <c r="L344" t="str">
        <f>IF($A344&lt;&gt;"",'Approved-Enforcement'!K344,"")</f>
        <v/>
      </c>
      <c r="M344" t="str">
        <f>IF($A344&lt;&gt;"",'Approved-Enforcement'!L344,"")</f>
        <v/>
      </c>
      <c r="N344" t="str">
        <f>IF($A344&lt;&gt;"",'Approved-Enforcement'!M344,"")</f>
        <v/>
      </c>
      <c r="O344" t="str">
        <f>IF($A344&lt;&gt;"",'Approved-Enforcement'!N344,"")</f>
        <v/>
      </c>
      <c r="P344" t="str">
        <f>IF($A344&lt;&gt;"",'Approved-Enforcement'!O344,"")</f>
        <v/>
      </c>
    </row>
    <row r="345" spans="1:16" x14ac:dyDescent="0.35">
      <c r="A345" s="4" t="str">
        <f>IF('Approved-Enforcement'!$A345&lt;&gt;"",'Approved-Enforcement'!A345,"")</f>
        <v/>
      </c>
      <c r="B345" t="str">
        <f t="shared" si="5"/>
        <v/>
      </c>
      <c r="D345" t="str">
        <f>IF($A345&lt;&gt;"",IF($R345&lt;&gt;"",$R345,'Approved-Enforcement'!$B345+7),"")</f>
        <v/>
      </c>
      <c r="E345" t="str">
        <f>IF($A345&lt;&gt;"",'Approved-Enforcement'!D345,"")</f>
        <v/>
      </c>
      <c r="F345" t="str">
        <f>IF($A345&lt;&gt;"",'Approved-Enforcement'!E345,"")</f>
        <v/>
      </c>
      <c r="G345" t="str">
        <f>IF($A345&lt;&gt;"",'Approved-Enforcement'!F345,"")</f>
        <v/>
      </c>
      <c r="H345" t="str">
        <f>IF($A345&lt;&gt;"",'Approved-Enforcement'!G345,"")</f>
        <v/>
      </c>
      <c r="I345" t="str">
        <f>IF($A345&lt;&gt;"",'Approved-Enforcement'!H345,"")</f>
        <v/>
      </c>
      <c r="J345" t="str">
        <f>IF($A345&lt;&gt;"",'Approved-Enforcement'!I345,"")</f>
        <v/>
      </c>
      <c r="K345" t="str">
        <f>IF($A345&lt;&gt;"",'Approved-Enforcement'!J345,"")</f>
        <v/>
      </c>
      <c r="L345" t="str">
        <f>IF($A345&lt;&gt;"",'Approved-Enforcement'!K345,"")</f>
        <v/>
      </c>
      <c r="M345" t="str">
        <f>IF($A345&lt;&gt;"",'Approved-Enforcement'!L345,"")</f>
        <v/>
      </c>
      <c r="N345" t="str">
        <f>IF($A345&lt;&gt;"",'Approved-Enforcement'!M345,"")</f>
        <v/>
      </c>
      <c r="O345" t="str">
        <f>IF($A345&lt;&gt;"",'Approved-Enforcement'!N345,"")</f>
        <v/>
      </c>
      <c r="P345" t="str">
        <f>IF($A345&lt;&gt;"",'Approved-Enforcement'!O345,"")</f>
        <v/>
      </c>
    </row>
    <row r="346" spans="1:16" x14ac:dyDescent="0.35">
      <c r="A346" s="4" t="str">
        <f>IF('Approved-Enforcement'!$A346&lt;&gt;"",'Approved-Enforcement'!A346,"")</f>
        <v/>
      </c>
      <c r="B346" t="str">
        <f t="shared" si="5"/>
        <v/>
      </c>
      <c r="D346" t="str">
        <f>IF($A346&lt;&gt;"",IF($R346&lt;&gt;"",$R346,'Approved-Enforcement'!$B346+7),"")</f>
        <v/>
      </c>
      <c r="E346" t="str">
        <f>IF($A346&lt;&gt;"",'Approved-Enforcement'!D346,"")</f>
        <v/>
      </c>
      <c r="F346" t="str">
        <f>IF($A346&lt;&gt;"",'Approved-Enforcement'!E346,"")</f>
        <v/>
      </c>
      <c r="G346" t="str">
        <f>IF($A346&lt;&gt;"",'Approved-Enforcement'!F346,"")</f>
        <v/>
      </c>
      <c r="H346" t="str">
        <f>IF($A346&lt;&gt;"",'Approved-Enforcement'!G346,"")</f>
        <v/>
      </c>
      <c r="I346" t="str">
        <f>IF($A346&lt;&gt;"",'Approved-Enforcement'!H346,"")</f>
        <v/>
      </c>
      <c r="J346" t="str">
        <f>IF($A346&lt;&gt;"",'Approved-Enforcement'!I346,"")</f>
        <v/>
      </c>
      <c r="K346" t="str">
        <f>IF($A346&lt;&gt;"",'Approved-Enforcement'!J346,"")</f>
        <v/>
      </c>
      <c r="L346" t="str">
        <f>IF($A346&lt;&gt;"",'Approved-Enforcement'!K346,"")</f>
        <v/>
      </c>
      <c r="M346" t="str">
        <f>IF($A346&lt;&gt;"",'Approved-Enforcement'!L346,"")</f>
        <v/>
      </c>
      <c r="N346" t="str">
        <f>IF($A346&lt;&gt;"",'Approved-Enforcement'!M346,"")</f>
        <v/>
      </c>
      <c r="O346" t="str">
        <f>IF($A346&lt;&gt;"",'Approved-Enforcement'!N346,"")</f>
        <v/>
      </c>
      <c r="P346" t="str">
        <f>IF($A346&lt;&gt;"",'Approved-Enforcement'!O346,"")</f>
        <v/>
      </c>
    </row>
    <row r="347" spans="1:16" x14ac:dyDescent="0.35">
      <c r="A347" s="4" t="str">
        <f>IF('Approved-Enforcement'!$A347&lt;&gt;"",'Approved-Enforcement'!A347,"")</f>
        <v/>
      </c>
      <c r="B347" t="str">
        <f t="shared" si="5"/>
        <v/>
      </c>
      <c r="D347" t="str">
        <f>IF($A347&lt;&gt;"",IF($R347&lt;&gt;"",$R347,'Approved-Enforcement'!$B347+7),"")</f>
        <v/>
      </c>
      <c r="E347" t="str">
        <f>IF($A347&lt;&gt;"",'Approved-Enforcement'!D347,"")</f>
        <v/>
      </c>
      <c r="F347" t="str">
        <f>IF($A347&lt;&gt;"",'Approved-Enforcement'!E347,"")</f>
        <v/>
      </c>
      <c r="G347" t="str">
        <f>IF($A347&lt;&gt;"",'Approved-Enforcement'!F347,"")</f>
        <v/>
      </c>
      <c r="H347" t="str">
        <f>IF($A347&lt;&gt;"",'Approved-Enforcement'!G347,"")</f>
        <v/>
      </c>
      <c r="I347" t="str">
        <f>IF($A347&lt;&gt;"",'Approved-Enforcement'!H347,"")</f>
        <v/>
      </c>
      <c r="J347" t="str">
        <f>IF($A347&lt;&gt;"",'Approved-Enforcement'!I347,"")</f>
        <v/>
      </c>
      <c r="K347" t="str">
        <f>IF($A347&lt;&gt;"",'Approved-Enforcement'!J347,"")</f>
        <v/>
      </c>
      <c r="L347" t="str">
        <f>IF($A347&lt;&gt;"",'Approved-Enforcement'!K347,"")</f>
        <v/>
      </c>
      <c r="M347" t="str">
        <f>IF($A347&lt;&gt;"",'Approved-Enforcement'!L347,"")</f>
        <v/>
      </c>
      <c r="N347" t="str">
        <f>IF($A347&lt;&gt;"",'Approved-Enforcement'!M347,"")</f>
        <v/>
      </c>
      <c r="O347" t="str">
        <f>IF($A347&lt;&gt;"",'Approved-Enforcement'!N347,"")</f>
        <v/>
      </c>
      <c r="P347" t="str">
        <f>IF($A347&lt;&gt;"",'Approved-Enforcement'!O347,"")</f>
        <v/>
      </c>
    </row>
    <row r="348" spans="1:16" x14ac:dyDescent="0.35">
      <c r="A348" s="4" t="str">
        <f>IF('Approved-Enforcement'!$A348&lt;&gt;"",'Approved-Enforcement'!A348,"")</f>
        <v/>
      </c>
      <c r="B348" t="str">
        <f t="shared" si="5"/>
        <v/>
      </c>
      <c r="D348" t="str">
        <f>IF($A348&lt;&gt;"",IF($R348&lt;&gt;"",$R348,'Approved-Enforcement'!$B348+7),"")</f>
        <v/>
      </c>
      <c r="E348" t="str">
        <f>IF($A348&lt;&gt;"",'Approved-Enforcement'!D348,"")</f>
        <v/>
      </c>
      <c r="F348" t="str">
        <f>IF($A348&lt;&gt;"",'Approved-Enforcement'!E348,"")</f>
        <v/>
      </c>
      <c r="G348" t="str">
        <f>IF($A348&lt;&gt;"",'Approved-Enforcement'!F348,"")</f>
        <v/>
      </c>
      <c r="H348" t="str">
        <f>IF($A348&lt;&gt;"",'Approved-Enforcement'!G348,"")</f>
        <v/>
      </c>
      <c r="I348" t="str">
        <f>IF($A348&lt;&gt;"",'Approved-Enforcement'!H348,"")</f>
        <v/>
      </c>
      <c r="J348" t="str">
        <f>IF($A348&lt;&gt;"",'Approved-Enforcement'!I348,"")</f>
        <v/>
      </c>
      <c r="K348" t="str">
        <f>IF($A348&lt;&gt;"",'Approved-Enforcement'!J348,"")</f>
        <v/>
      </c>
      <c r="L348" t="str">
        <f>IF($A348&lt;&gt;"",'Approved-Enforcement'!K348,"")</f>
        <v/>
      </c>
      <c r="M348" t="str">
        <f>IF($A348&lt;&gt;"",'Approved-Enforcement'!L348,"")</f>
        <v/>
      </c>
      <c r="N348" t="str">
        <f>IF($A348&lt;&gt;"",'Approved-Enforcement'!M348,"")</f>
        <v/>
      </c>
      <c r="O348" t="str">
        <f>IF($A348&lt;&gt;"",'Approved-Enforcement'!N348,"")</f>
        <v/>
      </c>
      <c r="P348" t="str">
        <f>IF($A348&lt;&gt;"",'Approved-Enforcement'!O348,"")</f>
        <v/>
      </c>
    </row>
    <row r="349" spans="1:16" x14ac:dyDescent="0.35">
      <c r="A349" s="4" t="str">
        <f>IF('Approved-Enforcement'!$A349&lt;&gt;"",'Approved-Enforcement'!A349,"")</f>
        <v/>
      </c>
      <c r="B349" t="str">
        <f t="shared" si="5"/>
        <v/>
      </c>
      <c r="D349" t="str">
        <f>IF($A349&lt;&gt;"",IF($R349&lt;&gt;"",$R349,'Approved-Enforcement'!$B349+7),"")</f>
        <v/>
      </c>
      <c r="E349" t="str">
        <f>IF($A349&lt;&gt;"",'Approved-Enforcement'!D349,"")</f>
        <v/>
      </c>
      <c r="F349" t="str">
        <f>IF($A349&lt;&gt;"",'Approved-Enforcement'!E349,"")</f>
        <v/>
      </c>
      <c r="G349" t="str">
        <f>IF($A349&lt;&gt;"",'Approved-Enforcement'!F349,"")</f>
        <v/>
      </c>
      <c r="H349" t="str">
        <f>IF($A349&lt;&gt;"",'Approved-Enforcement'!G349,"")</f>
        <v/>
      </c>
      <c r="I349" t="str">
        <f>IF($A349&lt;&gt;"",'Approved-Enforcement'!H349,"")</f>
        <v/>
      </c>
      <c r="J349" t="str">
        <f>IF($A349&lt;&gt;"",'Approved-Enforcement'!I349,"")</f>
        <v/>
      </c>
      <c r="K349" t="str">
        <f>IF($A349&lt;&gt;"",'Approved-Enforcement'!J349,"")</f>
        <v/>
      </c>
      <c r="L349" t="str">
        <f>IF($A349&lt;&gt;"",'Approved-Enforcement'!K349,"")</f>
        <v/>
      </c>
      <c r="M349" t="str">
        <f>IF($A349&lt;&gt;"",'Approved-Enforcement'!L349,"")</f>
        <v/>
      </c>
      <c r="N349" t="str">
        <f>IF($A349&lt;&gt;"",'Approved-Enforcement'!M349,"")</f>
        <v/>
      </c>
      <c r="O349" t="str">
        <f>IF($A349&lt;&gt;"",'Approved-Enforcement'!N349,"")</f>
        <v/>
      </c>
      <c r="P349" t="str">
        <f>IF($A349&lt;&gt;"",'Approved-Enforcement'!O349,"")</f>
        <v/>
      </c>
    </row>
    <row r="350" spans="1:16" x14ac:dyDescent="0.35">
      <c r="A350" s="4" t="str">
        <f>IF('Approved-Enforcement'!$A350&lt;&gt;"",'Approved-Enforcement'!A350,"")</f>
        <v/>
      </c>
      <c r="B350" t="str">
        <f t="shared" si="5"/>
        <v/>
      </c>
      <c r="D350" t="str">
        <f>IF($A350&lt;&gt;"",IF($R350&lt;&gt;"",$R350,'Approved-Enforcement'!$B350+7),"")</f>
        <v/>
      </c>
      <c r="E350" t="str">
        <f>IF($A350&lt;&gt;"",'Approved-Enforcement'!D350,"")</f>
        <v/>
      </c>
      <c r="F350" t="str">
        <f>IF($A350&lt;&gt;"",'Approved-Enforcement'!E350,"")</f>
        <v/>
      </c>
      <c r="G350" t="str">
        <f>IF($A350&lt;&gt;"",'Approved-Enforcement'!F350,"")</f>
        <v/>
      </c>
      <c r="H350" t="str">
        <f>IF($A350&lt;&gt;"",'Approved-Enforcement'!G350,"")</f>
        <v/>
      </c>
      <c r="I350" t="str">
        <f>IF($A350&lt;&gt;"",'Approved-Enforcement'!H350,"")</f>
        <v/>
      </c>
      <c r="J350" t="str">
        <f>IF($A350&lt;&gt;"",'Approved-Enforcement'!I350,"")</f>
        <v/>
      </c>
      <c r="K350" t="str">
        <f>IF($A350&lt;&gt;"",'Approved-Enforcement'!J350,"")</f>
        <v/>
      </c>
      <c r="L350" t="str">
        <f>IF($A350&lt;&gt;"",'Approved-Enforcement'!K350,"")</f>
        <v/>
      </c>
      <c r="M350" t="str">
        <f>IF($A350&lt;&gt;"",'Approved-Enforcement'!L350,"")</f>
        <v/>
      </c>
      <c r="N350" t="str">
        <f>IF($A350&lt;&gt;"",'Approved-Enforcement'!M350,"")</f>
        <v/>
      </c>
      <c r="O350" t="str">
        <f>IF($A350&lt;&gt;"",'Approved-Enforcement'!N350,"")</f>
        <v/>
      </c>
      <c r="P350" t="str">
        <f>IF($A350&lt;&gt;"",'Approved-Enforcement'!O350,"")</f>
        <v/>
      </c>
    </row>
    <row r="351" spans="1:16" x14ac:dyDescent="0.35">
      <c r="A351" s="4" t="str">
        <f>IF('Approved-Enforcement'!$A351&lt;&gt;"",'Approved-Enforcement'!A351,"")</f>
        <v/>
      </c>
      <c r="B351" t="str">
        <f t="shared" si="5"/>
        <v/>
      </c>
      <c r="D351" t="str">
        <f>IF($A351&lt;&gt;"",IF($R351&lt;&gt;"",$R351,'Approved-Enforcement'!$B351+7),"")</f>
        <v/>
      </c>
      <c r="E351" t="str">
        <f>IF($A351&lt;&gt;"",'Approved-Enforcement'!D351,"")</f>
        <v/>
      </c>
      <c r="F351" t="str">
        <f>IF($A351&lt;&gt;"",'Approved-Enforcement'!E351,"")</f>
        <v/>
      </c>
      <c r="G351" t="str">
        <f>IF($A351&lt;&gt;"",'Approved-Enforcement'!F351,"")</f>
        <v/>
      </c>
      <c r="H351" t="str">
        <f>IF($A351&lt;&gt;"",'Approved-Enforcement'!G351,"")</f>
        <v/>
      </c>
      <c r="I351" t="str">
        <f>IF($A351&lt;&gt;"",'Approved-Enforcement'!H351,"")</f>
        <v/>
      </c>
      <c r="J351" t="str">
        <f>IF($A351&lt;&gt;"",'Approved-Enforcement'!I351,"")</f>
        <v/>
      </c>
      <c r="K351" t="str">
        <f>IF($A351&lt;&gt;"",'Approved-Enforcement'!J351,"")</f>
        <v/>
      </c>
      <c r="L351" t="str">
        <f>IF($A351&lt;&gt;"",'Approved-Enforcement'!K351,"")</f>
        <v/>
      </c>
      <c r="M351" t="str">
        <f>IF($A351&lt;&gt;"",'Approved-Enforcement'!L351,"")</f>
        <v/>
      </c>
      <c r="N351" t="str">
        <f>IF($A351&lt;&gt;"",'Approved-Enforcement'!M351,"")</f>
        <v/>
      </c>
      <c r="O351" t="str">
        <f>IF($A351&lt;&gt;"",'Approved-Enforcement'!N351,"")</f>
        <v/>
      </c>
      <c r="P351" t="str">
        <f>IF($A351&lt;&gt;"",'Approved-Enforcement'!O351,"")</f>
        <v/>
      </c>
    </row>
    <row r="352" spans="1:16" x14ac:dyDescent="0.35">
      <c r="A352" s="4" t="str">
        <f>IF('Approved-Enforcement'!$A352&lt;&gt;"",'Approved-Enforcement'!A352,"")</f>
        <v/>
      </c>
      <c r="B352" t="str">
        <f t="shared" si="5"/>
        <v/>
      </c>
      <c r="D352" t="str">
        <f>IF($A352&lt;&gt;"",IF($R352&lt;&gt;"",$R352,'Approved-Enforcement'!$B352+7),"")</f>
        <v/>
      </c>
      <c r="E352" t="str">
        <f>IF($A352&lt;&gt;"",'Approved-Enforcement'!D352,"")</f>
        <v/>
      </c>
      <c r="F352" t="str">
        <f>IF($A352&lt;&gt;"",'Approved-Enforcement'!E352,"")</f>
        <v/>
      </c>
      <c r="G352" t="str">
        <f>IF($A352&lt;&gt;"",'Approved-Enforcement'!F352,"")</f>
        <v/>
      </c>
      <c r="H352" t="str">
        <f>IF($A352&lt;&gt;"",'Approved-Enforcement'!G352,"")</f>
        <v/>
      </c>
      <c r="I352" t="str">
        <f>IF($A352&lt;&gt;"",'Approved-Enforcement'!H352,"")</f>
        <v/>
      </c>
      <c r="J352" t="str">
        <f>IF($A352&lt;&gt;"",'Approved-Enforcement'!I352,"")</f>
        <v/>
      </c>
      <c r="K352" t="str">
        <f>IF($A352&lt;&gt;"",'Approved-Enforcement'!J352,"")</f>
        <v/>
      </c>
      <c r="L352" t="str">
        <f>IF($A352&lt;&gt;"",'Approved-Enforcement'!K352,"")</f>
        <v/>
      </c>
      <c r="M352" t="str">
        <f>IF($A352&lt;&gt;"",'Approved-Enforcement'!L352,"")</f>
        <v/>
      </c>
      <c r="N352" t="str">
        <f>IF($A352&lt;&gt;"",'Approved-Enforcement'!M352,"")</f>
        <v/>
      </c>
      <c r="O352" t="str">
        <f>IF($A352&lt;&gt;"",'Approved-Enforcement'!N352,"")</f>
        <v/>
      </c>
      <c r="P352" t="str">
        <f>IF($A352&lt;&gt;"",'Approved-Enforcement'!O352,"")</f>
        <v/>
      </c>
    </row>
    <row r="353" spans="1:16" x14ac:dyDescent="0.35">
      <c r="A353" s="4" t="str">
        <f>IF('Approved-Enforcement'!$A353&lt;&gt;"",'Approved-Enforcement'!A353,"")</f>
        <v/>
      </c>
      <c r="B353" t="str">
        <f t="shared" si="5"/>
        <v/>
      </c>
      <c r="D353" t="str">
        <f>IF($A353&lt;&gt;"",IF($R353&lt;&gt;"",$R353,'Approved-Enforcement'!$B353+7),"")</f>
        <v/>
      </c>
      <c r="E353" t="str">
        <f>IF($A353&lt;&gt;"",'Approved-Enforcement'!D353,"")</f>
        <v/>
      </c>
      <c r="F353" t="str">
        <f>IF($A353&lt;&gt;"",'Approved-Enforcement'!E353,"")</f>
        <v/>
      </c>
      <c r="G353" t="str">
        <f>IF($A353&lt;&gt;"",'Approved-Enforcement'!F353,"")</f>
        <v/>
      </c>
      <c r="H353" t="str">
        <f>IF($A353&lt;&gt;"",'Approved-Enforcement'!G353,"")</f>
        <v/>
      </c>
      <c r="I353" t="str">
        <f>IF($A353&lt;&gt;"",'Approved-Enforcement'!H353,"")</f>
        <v/>
      </c>
      <c r="J353" t="str">
        <f>IF($A353&lt;&gt;"",'Approved-Enforcement'!I353,"")</f>
        <v/>
      </c>
      <c r="K353" t="str">
        <f>IF($A353&lt;&gt;"",'Approved-Enforcement'!J353,"")</f>
        <v/>
      </c>
      <c r="L353" t="str">
        <f>IF($A353&lt;&gt;"",'Approved-Enforcement'!K353,"")</f>
        <v/>
      </c>
      <c r="M353" t="str">
        <f>IF($A353&lt;&gt;"",'Approved-Enforcement'!L353,"")</f>
        <v/>
      </c>
      <c r="N353" t="str">
        <f>IF($A353&lt;&gt;"",'Approved-Enforcement'!M353,"")</f>
        <v/>
      </c>
      <c r="O353" t="str">
        <f>IF($A353&lt;&gt;"",'Approved-Enforcement'!N353,"")</f>
        <v/>
      </c>
      <c r="P353" t="str">
        <f>IF($A353&lt;&gt;"",'Approved-Enforcement'!O353,"")</f>
        <v/>
      </c>
    </row>
    <row r="354" spans="1:16" x14ac:dyDescent="0.35">
      <c r="A354" s="4" t="str">
        <f>IF('Approved-Enforcement'!$A354&lt;&gt;"",'Approved-Enforcement'!A354,"")</f>
        <v/>
      </c>
      <c r="B354" t="str">
        <f t="shared" si="5"/>
        <v/>
      </c>
      <c r="D354" t="str">
        <f>IF($A354&lt;&gt;"",IF($R354&lt;&gt;"",$R354,'Approved-Enforcement'!$B354+7),"")</f>
        <v/>
      </c>
      <c r="E354" t="str">
        <f>IF($A354&lt;&gt;"",'Approved-Enforcement'!D354,"")</f>
        <v/>
      </c>
      <c r="F354" t="str">
        <f>IF($A354&lt;&gt;"",'Approved-Enforcement'!E354,"")</f>
        <v/>
      </c>
      <c r="G354" t="str">
        <f>IF($A354&lt;&gt;"",'Approved-Enforcement'!F354,"")</f>
        <v/>
      </c>
      <c r="H354" t="str">
        <f>IF($A354&lt;&gt;"",'Approved-Enforcement'!G354,"")</f>
        <v/>
      </c>
      <c r="I354" t="str">
        <f>IF($A354&lt;&gt;"",'Approved-Enforcement'!H354,"")</f>
        <v/>
      </c>
      <c r="J354" t="str">
        <f>IF($A354&lt;&gt;"",'Approved-Enforcement'!I354,"")</f>
        <v/>
      </c>
      <c r="K354" t="str">
        <f>IF($A354&lt;&gt;"",'Approved-Enforcement'!J354,"")</f>
        <v/>
      </c>
      <c r="L354" t="str">
        <f>IF($A354&lt;&gt;"",'Approved-Enforcement'!K354,"")</f>
        <v/>
      </c>
      <c r="M354" t="str">
        <f>IF($A354&lt;&gt;"",'Approved-Enforcement'!L354,"")</f>
        <v/>
      </c>
      <c r="N354" t="str">
        <f>IF($A354&lt;&gt;"",'Approved-Enforcement'!M354,"")</f>
        <v/>
      </c>
      <c r="O354" t="str">
        <f>IF($A354&lt;&gt;"",'Approved-Enforcement'!N354,"")</f>
        <v/>
      </c>
      <c r="P354" t="str">
        <f>IF($A354&lt;&gt;"",'Approved-Enforcement'!O354,"")</f>
        <v/>
      </c>
    </row>
    <row r="355" spans="1:16" x14ac:dyDescent="0.35">
      <c r="A355" s="4" t="str">
        <f>IF('Approved-Enforcement'!$A355&lt;&gt;"",'Approved-Enforcement'!A355,"")</f>
        <v/>
      </c>
      <c r="B355" t="str">
        <f t="shared" si="5"/>
        <v/>
      </c>
      <c r="D355" t="str">
        <f>IF($A355&lt;&gt;"",IF($R355&lt;&gt;"",$R355,'Approved-Enforcement'!$B355+7),"")</f>
        <v/>
      </c>
      <c r="E355" t="str">
        <f>IF($A355&lt;&gt;"",'Approved-Enforcement'!D355,"")</f>
        <v/>
      </c>
      <c r="F355" t="str">
        <f>IF($A355&lt;&gt;"",'Approved-Enforcement'!E355,"")</f>
        <v/>
      </c>
      <c r="G355" t="str">
        <f>IF($A355&lt;&gt;"",'Approved-Enforcement'!F355,"")</f>
        <v/>
      </c>
      <c r="H355" t="str">
        <f>IF($A355&lt;&gt;"",'Approved-Enforcement'!G355,"")</f>
        <v/>
      </c>
      <c r="I355" t="str">
        <f>IF($A355&lt;&gt;"",'Approved-Enforcement'!H355,"")</f>
        <v/>
      </c>
      <c r="J355" t="str">
        <f>IF($A355&lt;&gt;"",'Approved-Enforcement'!I355,"")</f>
        <v/>
      </c>
      <c r="K355" t="str">
        <f>IF($A355&lt;&gt;"",'Approved-Enforcement'!J355,"")</f>
        <v/>
      </c>
      <c r="L355" t="str">
        <f>IF($A355&lt;&gt;"",'Approved-Enforcement'!K355,"")</f>
        <v/>
      </c>
      <c r="M355" t="str">
        <f>IF($A355&lt;&gt;"",'Approved-Enforcement'!L355,"")</f>
        <v/>
      </c>
      <c r="N355" t="str">
        <f>IF($A355&lt;&gt;"",'Approved-Enforcement'!M355,"")</f>
        <v/>
      </c>
      <c r="O355" t="str">
        <f>IF($A355&lt;&gt;"",'Approved-Enforcement'!N355,"")</f>
        <v/>
      </c>
      <c r="P355" t="str">
        <f>IF($A355&lt;&gt;"",'Approved-Enforcement'!O355,"")</f>
        <v/>
      </c>
    </row>
    <row r="356" spans="1:16" x14ac:dyDescent="0.35">
      <c r="A356" s="4" t="str">
        <f>IF('Approved-Enforcement'!$A356&lt;&gt;"",'Approved-Enforcement'!A356,"")</f>
        <v/>
      </c>
      <c r="B356" t="str">
        <f t="shared" si="5"/>
        <v/>
      </c>
      <c r="D356" t="str">
        <f>IF($A356&lt;&gt;"",IF($R356&lt;&gt;"",$R356,'Approved-Enforcement'!$B356+7),"")</f>
        <v/>
      </c>
      <c r="E356" t="str">
        <f>IF($A356&lt;&gt;"",'Approved-Enforcement'!D356,"")</f>
        <v/>
      </c>
      <c r="F356" t="str">
        <f>IF($A356&lt;&gt;"",'Approved-Enforcement'!E356,"")</f>
        <v/>
      </c>
      <c r="G356" t="str">
        <f>IF($A356&lt;&gt;"",'Approved-Enforcement'!F356,"")</f>
        <v/>
      </c>
      <c r="H356" t="str">
        <f>IF($A356&lt;&gt;"",'Approved-Enforcement'!G356,"")</f>
        <v/>
      </c>
      <c r="I356" t="str">
        <f>IF($A356&lt;&gt;"",'Approved-Enforcement'!H356,"")</f>
        <v/>
      </c>
      <c r="J356" t="str">
        <f>IF($A356&lt;&gt;"",'Approved-Enforcement'!I356,"")</f>
        <v/>
      </c>
      <c r="K356" t="str">
        <f>IF($A356&lt;&gt;"",'Approved-Enforcement'!J356,"")</f>
        <v/>
      </c>
      <c r="L356" t="str">
        <f>IF($A356&lt;&gt;"",'Approved-Enforcement'!K356,"")</f>
        <v/>
      </c>
      <c r="M356" t="str">
        <f>IF($A356&lt;&gt;"",'Approved-Enforcement'!L356,"")</f>
        <v/>
      </c>
      <c r="N356" t="str">
        <f>IF($A356&lt;&gt;"",'Approved-Enforcement'!M356,"")</f>
        <v/>
      </c>
      <c r="O356" t="str">
        <f>IF($A356&lt;&gt;"",'Approved-Enforcement'!N356,"")</f>
        <v/>
      </c>
      <c r="P356" t="str">
        <f>IF($A356&lt;&gt;"",'Approved-Enforcement'!O356,"")</f>
        <v/>
      </c>
    </row>
    <row r="357" spans="1:16" x14ac:dyDescent="0.35">
      <c r="A357" s="4" t="str">
        <f>IF('Approved-Enforcement'!$A357&lt;&gt;"",'Approved-Enforcement'!A357,"")</f>
        <v/>
      </c>
      <c r="B357" t="str">
        <f t="shared" si="5"/>
        <v/>
      </c>
      <c r="D357" t="str">
        <f>IF($A357&lt;&gt;"",IF($R357&lt;&gt;"",$R357,'Approved-Enforcement'!$B357+7),"")</f>
        <v/>
      </c>
      <c r="E357" t="str">
        <f>IF($A357&lt;&gt;"",'Approved-Enforcement'!D357,"")</f>
        <v/>
      </c>
      <c r="F357" t="str">
        <f>IF($A357&lt;&gt;"",'Approved-Enforcement'!E357,"")</f>
        <v/>
      </c>
      <c r="G357" t="str">
        <f>IF($A357&lt;&gt;"",'Approved-Enforcement'!F357,"")</f>
        <v/>
      </c>
      <c r="H357" t="str">
        <f>IF($A357&lt;&gt;"",'Approved-Enforcement'!G357,"")</f>
        <v/>
      </c>
      <c r="I357" t="str">
        <f>IF($A357&lt;&gt;"",'Approved-Enforcement'!H357,"")</f>
        <v/>
      </c>
      <c r="J357" t="str">
        <f>IF($A357&lt;&gt;"",'Approved-Enforcement'!I357,"")</f>
        <v/>
      </c>
      <c r="K357" t="str">
        <f>IF($A357&lt;&gt;"",'Approved-Enforcement'!J357,"")</f>
        <v/>
      </c>
      <c r="L357" t="str">
        <f>IF($A357&lt;&gt;"",'Approved-Enforcement'!K357,"")</f>
        <v/>
      </c>
      <c r="M357" t="str">
        <f>IF($A357&lt;&gt;"",'Approved-Enforcement'!L357,"")</f>
        <v/>
      </c>
      <c r="N357" t="str">
        <f>IF($A357&lt;&gt;"",'Approved-Enforcement'!M357,"")</f>
        <v/>
      </c>
      <c r="O357" t="str">
        <f>IF($A357&lt;&gt;"",'Approved-Enforcement'!N357,"")</f>
        <v/>
      </c>
      <c r="P357" t="str">
        <f>IF($A357&lt;&gt;"",'Approved-Enforcement'!O357,"")</f>
        <v/>
      </c>
    </row>
    <row r="358" spans="1:16" x14ac:dyDescent="0.35">
      <c r="A358" s="4" t="str">
        <f>IF('Approved-Enforcement'!$A358&lt;&gt;"",'Approved-Enforcement'!A358,"")</f>
        <v/>
      </c>
      <c r="B358" t="str">
        <f t="shared" si="5"/>
        <v/>
      </c>
      <c r="D358" t="str">
        <f>IF($A358&lt;&gt;"",IF($R358&lt;&gt;"",$R358,'Approved-Enforcement'!$B358+7),"")</f>
        <v/>
      </c>
      <c r="E358" t="str">
        <f>IF($A358&lt;&gt;"",'Approved-Enforcement'!D358,"")</f>
        <v/>
      </c>
      <c r="F358" t="str">
        <f>IF($A358&lt;&gt;"",'Approved-Enforcement'!E358,"")</f>
        <v/>
      </c>
      <c r="G358" t="str">
        <f>IF($A358&lt;&gt;"",'Approved-Enforcement'!F358,"")</f>
        <v/>
      </c>
      <c r="H358" t="str">
        <f>IF($A358&lt;&gt;"",'Approved-Enforcement'!G358,"")</f>
        <v/>
      </c>
      <c r="I358" t="str">
        <f>IF($A358&lt;&gt;"",'Approved-Enforcement'!H358,"")</f>
        <v/>
      </c>
      <c r="J358" t="str">
        <f>IF($A358&lt;&gt;"",'Approved-Enforcement'!I358,"")</f>
        <v/>
      </c>
      <c r="K358" t="str">
        <f>IF($A358&lt;&gt;"",'Approved-Enforcement'!J358,"")</f>
        <v/>
      </c>
      <c r="L358" t="str">
        <f>IF($A358&lt;&gt;"",'Approved-Enforcement'!K358,"")</f>
        <v/>
      </c>
      <c r="M358" t="str">
        <f>IF($A358&lt;&gt;"",'Approved-Enforcement'!L358,"")</f>
        <v/>
      </c>
      <c r="N358" t="str">
        <f>IF($A358&lt;&gt;"",'Approved-Enforcement'!M358,"")</f>
        <v/>
      </c>
      <c r="O358" t="str">
        <f>IF($A358&lt;&gt;"",'Approved-Enforcement'!N358,"")</f>
        <v/>
      </c>
      <c r="P358" t="str">
        <f>IF($A358&lt;&gt;"",'Approved-Enforcement'!O358,"")</f>
        <v/>
      </c>
    </row>
    <row r="359" spans="1:16" x14ac:dyDescent="0.35">
      <c r="A359" s="4" t="str">
        <f>IF('Approved-Enforcement'!$A359&lt;&gt;"",'Approved-Enforcement'!A359,"")</f>
        <v/>
      </c>
      <c r="B359" t="str">
        <f t="shared" si="5"/>
        <v/>
      </c>
      <c r="D359" t="str">
        <f>IF($A359&lt;&gt;"",IF($R359&lt;&gt;"",$R359,'Approved-Enforcement'!$B359+7),"")</f>
        <v/>
      </c>
      <c r="E359" t="str">
        <f>IF($A359&lt;&gt;"",'Approved-Enforcement'!D359,"")</f>
        <v/>
      </c>
      <c r="F359" t="str">
        <f>IF($A359&lt;&gt;"",'Approved-Enforcement'!E359,"")</f>
        <v/>
      </c>
      <c r="G359" t="str">
        <f>IF($A359&lt;&gt;"",'Approved-Enforcement'!F359,"")</f>
        <v/>
      </c>
      <c r="H359" t="str">
        <f>IF($A359&lt;&gt;"",'Approved-Enforcement'!G359,"")</f>
        <v/>
      </c>
      <c r="I359" t="str">
        <f>IF($A359&lt;&gt;"",'Approved-Enforcement'!H359,"")</f>
        <v/>
      </c>
      <c r="J359" t="str">
        <f>IF($A359&lt;&gt;"",'Approved-Enforcement'!I359,"")</f>
        <v/>
      </c>
      <c r="K359" t="str">
        <f>IF($A359&lt;&gt;"",'Approved-Enforcement'!J359,"")</f>
        <v/>
      </c>
      <c r="L359" t="str">
        <f>IF($A359&lt;&gt;"",'Approved-Enforcement'!K359,"")</f>
        <v/>
      </c>
      <c r="M359" t="str">
        <f>IF($A359&lt;&gt;"",'Approved-Enforcement'!L359,"")</f>
        <v/>
      </c>
      <c r="N359" t="str">
        <f>IF($A359&lt;&gt;"",'Approved-Enforcement'!M359,"")</f>
        <v/>
      </c>
      <c r="O359" t="str">
        <f>IF($A359&lt;&gt;"",'Approved-Enforcement'!N359,"")</f>
        <v/>
      </c>
      <c r="P359" t="str">
        <f>IF($A359&lt;&gt;"",'Approved-Enforcement'!O359,"")</f>
        <v/>
      </c>
    </row>
    <row r="360" spans="1:16" x14ac:dyDescent="0.35">
      <c r="A360" s="4" t="str">
        <f>IF('Approved-Enforcement'!$A360&lt;&gt;"",'Approved-Enforcement'!A360,"")</f>
        <v/>
      </c>
      <c r="B360" t="str">
        <f t="shared" si="5"/>
        <v/>
      </c>
      <c r="D360" t="str">
        <f>IF($A360&lt;&gt;"",IF($R360&lt;&gt;"",$R360,'Approved-Enforcement'!$B360+7),"")</f>
        <v/>
      </c>
      <c r="E360" t="str">
        <f>IF($A360&lt;&gt;"",'Approved-Enforcement'!D360,"")</f>
        <v/>
      </c>
      <c r="F360" t="str">
        <f>IF($A360&lt;&gt;"",'Approved-Enforcement'!E360,"")</f>
        <v/>
      </c>
      <c r="G360" t="str">
        <f>IF($A360&lt;&gt;"",'Approved-Enforcement'!F360,"")</f>
        <v/>
      </c>
      <c r="H360" t="str">
        <f>IF($A360&lt;&gt;"",'Approved-Enforcement'!G360,"")</f>
        <v/>
      </c>
      <c r="I360" t="str">
        <f>IF($A360&lt;&gt;"",'Approved-Enforcement'!H360,"")</f>
        <v/>
      </c>
      <c r="J360" t="str">
        <f>IF($A360&lt;&gt;"",'Approved-Enforcement'!I360,"")</f>
        <v/>
      </c>
      <c r="K360" t="str">
        <f>IF($A360&lt;&gt;"",'Approved-Enforcement'!J360,"")</f>
        <v/>
      </c>
      <c r="L360" t="str">
        <f>IF($A360&lt;&gt;"",'Approved-Enforcement'!K360,"")</f>
        <v/>
      </c>
      <c r="M360" t="str">
        <f>IF($A360&lt;&gt;"",'Approved-Enforcement'!L360,"")</f>
        <v/>
      </c>
      <c r="N360" t="str">
        <f>IF($A360&lt;&gt;"",'Approved-Enforcement'!M360,"")</f>
        <v/>
      </c>
      <c r="O360" t="str">
        <f>IF($A360&lt;&gt;"",'Approved-Enforcement'!N360,"")</f>
        <v/>
      </c>
      <c r="P360" t="str">
        <f>IF($A360&lt;&gt;"",'Approved-Enforcement'!O360,"")</f>
        <v/>
      </c>
    </row>
    <row r="361" spans="1:16" x14ac:dyDescent="0.35">
      <c r="A361" s="4" t="str">
        <f>IF('Approved-Enforcement'!$A361&lt;&gt;"",'Approved-Enforcement'!A361,"")</f>
        <v/>
      </c>
      <c r="B361" t="str">
        <f t="shared" si="5"/>
        <v/>
      </c>
      <c r="D361" t="str">
        <f>IF($A361&lt;&gt;"",IF($R361&lt;&gt;"",$R361,'Approved-Enforcement'!$B361+7),"")</f>
        <v/>
      </c>
      <c r="E361" t="str">
        <f>IF($A361&lt;&gt;"",'Approved-Enforcement'!D361,"")</f>
        <v/>
      </c>
      <c r="F361" t="str">
        <f>IF($A361&lt;&gt;"",'Approved-Enforcement'!E361,"")</f>
        <v/>
      </c>
      <c r="G361" t="str">
        <f>IF($A361&lt;&gt;"",'Approved-Enforcement'!F361,"")</f>
        <v/>
      </c>
      <c r="H361" t="str">
        <f>IF($A361&lt;&gt;"",'Approved-Enforcement'!G361,"")</f>
        <v/>
      </c>
      <c r="I361" t="str">
        <f>IF($A361&lt;&gt;"",'Approved-Enforcement'!H361,"")</f>
        <v/>
      </c>
      <c r="J361" t="str">
        <f>IF($A361&lt;&gt;"",'Approved-Enforcement'!I361,"")</f>
        <v/>
      </c>
      <c r="K361" t="str">
        <f>IF($A361&lt;&gt;"",'Approved-Enforcement'!J361,"")</f>
        <v/>
      </c>
      <c r="L361" t="str">
        <f>IF($A361&lt;&gt;"",'Approved-Enforcement'!K361,"")</f>
        <v/>
      </c>
      <c r="M361" t="str">
        <f>IF($A361&lt;&gt;"",'Approved-Enforcement'!L361,"")</f>
        <v/>
      </c>
      <c r="N361" t="str">
        <f>IF($A361&lt;&gt;"",'Approved-Enforcement'!M361,"")</f>
        <v/>
      </c>
      <c r="O361" t="str">
        <f>IF($A361&lt;&gt;"",'Approved-Enforcement'!N361,"")</f>
        <v/>
      </c>
      <c r="P361" t="str">
        <f>IF($A361&lt;&gt;"",'Approved-Enforcement'!O361,"")</f>
        <v/>
      </c>
    </row>
    <row r="362" spans="1:16" x14ac:dyDescent="0.35">
      <c r="A362" s="4" t="str">
        <f>IF('Approved-Enforcement'!$A362&lt;&gt;"",'Approved-Enforcement'!A362,"")</f>
        <v/>
      </c>
      <c r="B362" t="str">
        <f t="shared" si="5"/>
        <v/>
      </c>
      <c r="D362" t="str">
        <f>IF($A362&lt;&gt;"",IF($R362&lt;&gt;"",$R362,'Approved-Enforcement'!$B362+7),"")</f>
        <v/>
      </c>
      <c r="E362" t="str">
        <f>IF($A362&lt;&gt;"",'Approved-Enforcement'!D362,"")</f>
        <v/>
      </c>
      <c r="F362" t="str">
        <f>IF($A362&lt;&gt;"",'Approved-Enforcement'!E362,"")</f>
        <v/>
      </c>
      <c r="G362" t="str">
        <f>IF($A362&lt;&gt;"",'Approved-Enforcement'!F362,"")</f>
        <v/>
      </c>
      <c r="H362" t="str">
        <f>IF($A362&lt;&gt;"",'Approved-Enforcement'!G362,"")</f>
        <v/>
      </c>
      <c r="I362" t="str">
        <f>IF($A362&lt;&gt;"",'Approved-Enforcement'!H362,"")</f>
        <v/>
      </c>
      <c r="J362" t="str">
        <f>IF($A362&lt;&gt;"",'Approved-Enforcement'!I362,"")</f>
        <v/>
      </c>
      <c r="K362" t="str">
        <f>IF($A362&lt;&gt;"",'Approved-Enforcement'!J362,"")</f>
        <v/>
      </c>
      <c r="L362" t="str">
        <f>IF($A362&lt;&gt;"",'Approved-Enforcement'!K362,"")</f>
        <v/>
      </c>
      <c r="M362" t="str">
        <f>IF($A362&lt;&gt;"",'Approved-Enforcement'!L362,"")</f>
        <v/>
      </c>
      <c r="N362" t="str">
        <f>IF($A362&lt;&gt;"",'Approved-Enforcement'!M362,"")</f>
        <v/>
      </c>
      <c r="O362" t="str">
        <f>IF($A362&lt;&gt;"",'Approved-Enforcement'!N362,"")</f>
        <v/>
      </c>
      <c r="P362" t="str">
        <f>IF($A362&lt;&gt;"",'Approved-Enforcement'!O362,"")</f>
        <v/>
      </c>
    </row>
    <row r="363" spans="1:16" x14ac:dyDescent="0.35">
      <c r="A363" s="4" t="str">
        <f>IF('Approved-Enforcement'!$A363&lt;&gt;"",'Approved-Enforcement'!A363,"")</f>
        <v/>
      </c>
      <c r="B363" t="str">
        <f t="shared" si="5"/>
        <v/>
      </c>
      <c r="D363" t="str">
        <f>IF($A363&lt;&gt;"",IF($R363&lt;&gt;"",$R363,'Approved-Enforcement'!$B363+7),"")</f>
        <v/>
      </c>
      <c r="E363" t="str">
        <f>IF($A363&lt;&gt;"",'Approved-Enforcement'!D363,"")</f>
        <v/>
      </c>
      <c r="F363" t="str">
        <f>IF($A363&lt;&gt;"",'Approved-Enforcement'!E363,"")</f>
        <v/>
      </c>
      <c r="G363" t="str">
        <f>IF($A363&lt;&gt;"",'Approved-Enforcement'!F363,"")</f>
        <v/>
      </c>
      <c r="H363" t="str">
        <f>IF($A363&lt;&gt;"",'Approved-Enforcement'!G363,"")</f>
        <v/>
      </c>
      <c r="I363" t="str">
        <f>IF($A363&lt;&gt;"",'Approved-Enforcement'!H363,"")</f>
        <v/>
      </c>
      <c r="J363" t="str">
        <f>IF($A363&lt;&gt;"",'Approved-Enforcement'!I363,"")</f>
        <v/>
      </c>
      <c r="K363" t="str">
        <f>IF($A363&lt;&gt;"",'Approved-Enforcement'!J363,"")</f>
        <v/>
      </c>
      <c r="L363" t="str">
        <f>IF($A363&lt;&gt;"",'Approved-Enforcement'!K363,"")</f>
        <v/>
      </c>
      <c r="M363" t="str">
        <f>IF($A363&lt;&gt;"",'Approved-Enforcement'!L363,"")</f>
        <v/>
      </c>
      <c r="N363" t="str">
        <f>IF($A363&lt;&gt;"",'Approved-Enforcement'!M363,"")</f>
        <v/>
      </c>
      <c r="O363" t="str">
        <f>IF($A363&lt;&gt;"",'Approved-Enforcement'!N363,"")</f>
        <v/>
      </c>
      <c r="P363" t="str">
        <f>IF($A363&lt;&gt;"",'Approved-Enforcement'!O363,"")</f>
        <v/>
      </c>
    </row>
    <row r="364" spans="1:16" x14ac:dyDescent="0.35">
      <c r="A364" s="4" t="str">
        <f>IF('Approved-Enforcement'!$A364&lt;&gt;"",'Approved-Enforcement'!A364,"")</f>
        <v/>
      </c>
      <c r="B364" t="str">
        <f t="shared" si="5"/>
        <v/>
      </c>
      <c r="D364" t="str">
        <f>IF($A364&lt;&gt;"",IF($R364&lt;&gt;"",$R364,'Approved-Enforcement'!$B364+7),"")</f>
        <v/>
      </c>
      <c r="E364" t="str">
        <f>IF($A364&lt;&gt;"",'Approved-Enforcement'!D364,"")</f>
        <v/>
      </c>
      <c r="F364" t="str">
        <f>IF($A364&lt;&gt;"",'Approved-Enforcement'!E364,"")</f>
        <v/>
      </c>
      <c r="G364" t="str">
        <f>IF($A364&lt;&gt;"",'Approved-Enforcement'!F364,"")</f>
        <v/>
      </c>
      <c r="H364" t="str">
        <f>IF($A364&lt;&gt;"",'Approved-Enforcement'!G364,"")</f>
        <v/>
      </c>
      <c r="I364" t="str">
        <f>IF($A364&lt;&gt;"",'Approved-Enforcement'!H364,"")</f>
        <v/>
      </c>
      <c r="J364" t="str">
        <f>IF($A364&lt;&gt;"",'Approved-Enforcement'!I364,"")</f>
        <v/>
      </c>
      <c r="K364" t="str">
        <f>IF($A364&lt;&gt;"",'Approved-Enforcement'!J364,"")</f>
        <v/>
      </c>
      <c r="L364" t="str">
        <f>IF($A364&lt;&gt;"",'Approved-Enforcement'!K364,"")</f>
        <v/>
      </c>
      <c r="M364" t="str">
        <f>IF($A364&lt;&gt;"",'Approved-Enforcement'!L364,"")</f>
        <v/>
      </c>
      <c r="N364" t="str">
        <f>IF($A364&lt;&gt;"",'Approved-Enforcement'!M364,"")</f>
        <v/>
      </c>
      <c r="O364" t="str">
        <f>IF($A364&lt;&gt;"",'Approved-Enforcement'!N364,"")</f>
        <v/>
      </c>
      <c r="P364" t="str">
        <f>IF($A364&lt;&gt;"",'Approved-Enforcement'!O364,"")</f>
        <v/>
      </c>
    </row>
    <row r="365" spans="1:16" x14ac:dyDescent="0.35">
      <c r="A365" s="4" t="str">
        <f>IF('Approved-Enforcement'!$A365&lt;&gt;"",'Approved-Enforcement'!A365,"")</f>
        <v/>
      </c>
      <c r="B365" t="str">
        <f t="shared" si="5"/>
        <v/>
      </c>
      <c r="D365" t="str">
        <f>IF($A365&lt;&gt;"",IF($R365&lt;&gt;"",$R365,'Approved-Enforcement'!$B365+7),"")</f>
        <v/>
      </c>
      <c r="E365" t="str">
        <f>IF($A365&lt;&gt;"",'Approved-Enforcement'!D365,"")</f>
        <v/>
      </c>
      <c r="F365" t="str">
        <f>IF($A365&lt;&gt;"",'Approved-Enforcement'!E365,"")</f>
        <v/>
      </c>
      <c r="G365" t="str">
        <f>IF($A365&lt;&gt;"",'Approved-Enforcement'!F365,"")</f>
        <v/>
      </c>
      <c r="H365" t="str">
        <f>IF($A365&lt;&gt;"",'Approved-Enforcement'!G365,"")</f>
        <v/>
      </c>
      <c r="I365" t="str">
        <f>IF($A365&lt;&gt;"",'Approved-Enforcement'!H365,"")</f>
        <v/>
      </c>
      <c r="J365" t="str">
        <f>IF($A365&lt;&gt;"",'Approved-Enforcement'!I365,"")</f>
        <v/>
      </c>
      <c r="K365" t="str">
        <f>IF($A365&lt;&gt;"",'Approved-Enforcement'!J365,"")</f>
        <v/>
      </c>
      <c r="L365" t="str">
        <f>IF($A365&lt;&gt;"",'Approved-Enforcement'!K365,"")</f>
        <v/>
      </c>
      <c r="M365" t="str">
        <f>IF($A365&lt;&gt;"",'Approved-Enforcement'!L365,"")</f>
        <v/>
      </c>
      <c r="N365" t="str">
        <f>IF($A365&lt;&gt;"",'Approved-Enforcement'!M365,"")</f>
        <v/>
      </c>
      <c r="O365" t="str">
        <f>IF($A365&lt;&gt;"",'Approved-Enforcement'!N365,"")</f>
        <v/>
      </c>
      <c r="P365" t="str">
        <f>IF($A365&lt;&gt;"",'Approved-Enforcement'!O365,"")</f>
        <v/>
      </c>
    </row>
    <row r="366" spans="1:16" x14ac:dyDescent="0.35">
      <c r="A366" s="4" t="str">
        <f>IF('Approved-Enforcement'!$A366&lt;&gt;"",'Approved-Enforcement'!A366,"")</f>
        <v/>
      </c>
      <c r="B366" t="str">
        <f t="shared" si="5"/>
        <v/>
      </c>
      <c r="D366" t="str">
        <f>IF($A366&lt;&gt;"",IF($R366&lt;&gt;"",$R366,'Approved-Enforcement'!$B366+7),"")</f>
        <v/>
      </c>
      <c r="E366" t="str">
        <f>IF($A366&lt;&gt;"",'Approved-Enforcement'!D366,"")</f>
        <v/>
      </c>
      <c r="F366" t="str">
        <f>IF($A366&lt;&gt;"",'Approved-Enforcement'!E366,"")</f>
        <v/>
      </c>
      <c r="G366" t="str">
        <f>IF($A366&lt;&gt;"",'Approved-Enforcement'!F366,"")</f>
        <v/>
      </c>
      <c r="H366" t="str">
        <f>IF($A366&lt;&gt;"",'Approved-Enforcement'!G366,"")</f>
        <v/>
      </c>
      <c r="I366" t="str">
        <f>IF($A366&lt;&gt;"",'Approved-Enforcement'!H366,"")</f>
        <v/>
      </c>
      <c r="J366" t="str">
        <f>IF($A366&lt;&gt;"",'Approved-Enforcement'!I366,"")</f>
        <v/>
      </c>
      <c r="K366" t="str">
        <f>IF($A366&lt;&gt;"",'Approved-Enforcement'!J366,"")</f>
        <v/>
      </c>
      <c r="L366" t="str">
        <f>IF($A366&lt;&gt;"",'Approved-Enforcement'!K366,"")</f>
        <v/>
      </c>
      <c r="M366" t="str">
        <f>IF($A366&lt;&gt;"",'Approved-Enforcement'!L366,"")</f>
        <v/>
      </c>
      <c r="N366" t="str">
        <f>IF($A366&lt;&gt;"",'Approved-Enforcement'!M366,"")</f>
        <v/>
      </c>
      <c r="O366" t="str">
        <f>IF($A366&lt;&gt;"",'Approved-Enforcement'!N366,"")</f>
        <v/>
      </c>
      <c r="P366" t="str">
        <f>IF($A366&lt;&gt;"",'Approved-Enforcement'!O366,"")</f>
        <v/>
      </c>
    </row>
    <row r="367" spans="1:16" x14ac:dyDescent="0.35">
      <c r="A367" s="4" t="str">
        <f>IF('Approved-Enforcement'!$A367&lt;&gt;"",'Approved-Enforcement'!A367,"")</f>
        <v/>
      </c>
      <c r="B367" t="str">
        <f t="shared" si="5"/>
        <v/>
      </c>
      <c r="D367" t="str">
        <f>IF($A367&lt;&gt;"",IF($R367&lt;&gt;"",$R367,'Approved-Enforcement'!$B367+7),"")</f>
        <v/>
      </c>
      <c r="E367" t="str">
        <f>IF($A367&lt;&gt;"",'Approved-Enforcement'!D367,"")</f>
        <v/>
      </c>
      <c r="F367" t="str">
        <f>IF($A367&lt;&gt;"",'Approved-Enforcement'!E367,"")</f>
        <v/>
      </c>
      <c r="G367" t="str">
        <f>IF($A367&lt;&gt;"",'Approved-Enforcement'!F367,"")</f>
        <v/>
      </c>
      <c r="H367" t="str">
        <f>IF($A367&lt;&gt;"",'Approved-Enforcement'!G367,"")</f>
        <v/>
      </c>
      <c r="I367" t="str">
        <f>IF($A367&lt;&gt;"",'Approved-Enforcement'!H367,"")</f>
        <v/>
      </c>
      <c r="J367" t="str">
        <f>IF($A367&lt;&gt;"",'Approved-Enforcement'!I367,"")</f>
        <v/>
      </c>
      <c r="K367" t="str">
        <f>IF($A367&lt;&gt;"",'Approved-Enforcement'!J367,"")</f>
        <v/>
      </c>
      <c r="L367" t="str">
        <f>IF($A367&lt;&gt;"",'Approved-Enforcement'!K367,"")</f>
        <v/>
      </c>
      <c r="M367" t="str">
        <f>IF($A367&lt;&gt;"",'Approved-Enforcement'!L367,"")</f>
        <v/>
      </c>
      <c r="N367" t="str">
        <f>IF($A367&lt;&gt;"",'Approved-Enforcement'!M367,"")</f>
        <v/>
      </c>
      <c r="O367" t="str">
        <f>IF($A367&lt;&gt;"",'Approved-Enforcement'!N367,"")</f>
        <v/>
      </c>
      <c r="P367" t="str">
        <f>IF($A367&lt;&gt;"",'Approved-Enforcement'!O367,"")</f>
        <v/>
      </c>
    </row>
    <row r="368" spans="1:16" x14ac:dyDescent="0.35">
      <c r="A368" s="4" t="str">
        <f>IF('Approved-Enforcement'!$A368&lt;&gt;"",'Approved-Enforcement'!A368,"")</f>
        <v/>
      </c>
      <c r="B368" t="str">
        <f t="shared" si="5"/>
        <v/>
      </c>
      <c r="D368" t="str">
        <f>IF($A368&lt;&gt;"",IF($R368&lt;&gt;"",$R368,'Approved-Enforcement'!$B368+7),"")</f>
        <v/>
      </c>
      <c r="E368" t="str">
        <f>IF($A368&lt;&gt;"",'Approved-Enforcement'!D368,"")</f>
        <v/>
      </c>
      <c r="F368" t="str">
        <f>IF($A368&lt;&gt;"",'Approved-Enforcement'!E368,"")</f>
        <v/>
      </c>
      <c r="G368" t="str">
        <f>IF($A368&lt;&gt;"",'Approved-Enforcement'!F368,"")</f>
        <v/>
      </c>
      <c r="H368" t="str">
        <f>IF($A368&lt;&gt;"",'Approved-Enforcement'!G368,"")</f>
        <v/>
      </c>
      <c r="I368" t="str">
        <f>IF($A368&lt;&gt;"",'Approved-Enforcement'!H368,"")</f>
        <v/>
      </c>
      <c r="J368" t="str">
        <f>IF($A368&lt;&gt;"",'Approved-Enforcement'!I368,"")</f>
        <v/>
      </c>
      <c r="K368" t="str">
        <f>IF($A368&lt;&gt;"",'Approved-Enforcement'!J368,"")</f>
        <v/>
      </c>
      <c r="L368" t="str">
        <f>IF($A368&lt;&gt;"",'Approved-Enforcement'!K368,"")</f>
        <v/>
      </c>
      <c r="M368" t="str">
        <f>IF($A368&lt;&gt;"",'Approved-Enforcement'!L368,"")</f>
        <v/>
      </c>
      <c r="N368" t="str">
        <f>IF($A368&lt;&gt;"",'Approved-Enforcement'!M368,"")</f>
        <v/>
      </c>
      <c r="O368" t="str">
        <f>IF($A368&lt;&gt;"",'Approved-Enforcement'!N368,"")</f>
        <v/>
      </c>
      <c r="P368" t="str">
        <f>IF($A368&lt;&gt;"",'Approved-Enforcement'!O368,"")</f>
        <v/>
      </c>
    </row>
    <row r="369" spans="1:16" x14ac:dyDescent="0.35">
      <c r="A369" s="4" t="str">
        <f>IF('Approved-Enforcement'!$A369&lt;&gt;"",'Approved-Enforcement'!A369,"")</f>
        <v/>
      </c>
      <c r="B369" t="str">
        <f t="shared" si="5"/>
        <v/>
      </c>
      <c r="D369" t="str">
        <f>IF($A369&lt;&gt;"",IF($R369&lt;&gt;"",$R369,'Approved-Enforcement'!$B369+7),"")</f>
        <v/>
      </c>
      <c r="E369" t="str">
        <f>IF($A369&lt;&gt;"",'Approved-Enforcement'!D369,"")</f>
        <v/>
      </c>
      <c r="F369" t="str">
        <f>IF($A369&lt;&gt;"",'Approved-Enforcement'!E369,"")</f>
        <v/>
      </c>
      <c r="G369" t="str">
        <f>IF($A369&lt;&gt;"",'Approved-Enforcement'!F369,"")</f>
        <v/>
      </c>
      <c r="H369" t="str">
        <f>IF($A369&lt;&gt;"",'Approved-Enforcement'!G369,"")</f>
        <v/>
      </c>
      <c r="I369" t="str">
        <f>IF($A369&lt;&gt;"",'Approved-Enforcement'!H369,"")</f>
        <v/>
      </c>
      <c r="J369" t="str">
        <f>IF($A369&lt;&gt;"",'Approved-Enforcement'!I369,"")</f>
        <v/>
      </c>
      <c r="K369" t="str">
        <f>IF($A369&lt;&gt;"",'Approved-Enforcement'!J369,"")</f>
        <v/>
      </c>
      <c r="L369" t="str">
        <f>IF($A369&lt;&gt;"",'Approved-Enforcement'!K369,"")</f>
        <v/>
      </c>
      <c r="M369" t="str">
        <f>IF($A369&lt;&gt;"",'Approved-Enforcement'!L369,"")</f>
        <v/>
      </c>
      <c r="N369" t="str">
        <f>IF($A369&lt;&gt;"",'Approved-Enforcement'!M369,"")</f>
        <v/>
      </c>
      <c r="O369" t="str">
        <f>IF($A369&lt;&gt;"",'Approved-Enforcement'!N369,"")</f>
        <v/>
      </c>
      <c r="P369" t="str">
        <f>IF($A369&lt;&gt;"",'Approved-Enforcement'!O369,"")</f>
        <v/>
      </c>
    </row>
    <row r="370" spans="1:16" x14ac:dyDescent="0.35">
      <c r="A370" s="4" t="str">
        <f>IF('Approved-Enforcement'!$A370&lt;&gt;"",'Approved-Enforcement'!A370,"")</f>
        <v/>
      </c>
      <c r="B370" t="str">
        <f t="shared" si="5"/>
        <v/>
      </c>
      <c r="D370" t="str">
        <f>IF($A370&lt;&gt;"",IF($R370&lt;&gt;"",$R370,'Approved-Enforcement'!$B370+7),"")</f>
        <v/>
      </c>
      <c r="E370" t="str">
        <f>IF($A370&lt;&gt;"",'Approved-Enforcement'!D370,"")</f>
        <v/>
      </c>
      <c r="F370" t="str">
        <f>IF($A370&lt;&gt;"",'Approved-Enforcement'!E370,"")</f>
        <v/>
      </c>
      <c r="G370" t="str">
        <f>IF($A370&lt;&gt;"",'Approved-Enforcement'!F370,"")</f>
        <v/>
      </c>
      <c r="H370" t="str">
        <f>IF($A370&lt;&gt;"",'Approved-Enforcement'!G370,"")</f>
        <v/>
      </c>
      <c r="I370" t="str">
        <f>IF($A370&lt;&gt;"",'Approved-Enforcement'!H370,"")</f>
        <v/>
      </c>
      <c r="J370" t="str">
        <f>IF($A370&lt;&gt;"",'Approved-Enforcement'!I370,"")</f>
        <v/>
      </c>
      <c r="K370" t="str">
        <f>IF($A370&lt;&gt;"",'Approved-Enforcement'!J370,"")</f>
        <v/>
      </c>
      <c r="L370" t="str">
        <f>IF($A370&lt;&gt;"",'Approved-Enforcement'!K370,"")</f>
        <v/>
      </c>
      <c r="M370" t="str">
        <f>IF($A370&lt;&gt;"",'Approved-Enforcement'!L370,"")</f>
        <v/>
      </c>
      <c r="N370" t="str">
        <f>IF($A370&lt;&gt;"",'Approved-Enforcement'!M370,"")</f>
        <v/>
      </c>
      <c r="O370" t="str">
        <f>IF($A370&lt;&gt;"",'Approved-Enforcement'!N370,"")</f>
        <v/>
      </c>
      <c r="P370" t="str">
        <f>IF($A370&lt;&gt;"",'Approved-Enforcement'!O370,"")</f>
        <v/>
      </c>
    </row>
    <row r="371" spans="1:16" x14ac:dyDescent="0.35">
      <c r="A371" s="4" t="str">
        <f>IF('Approved-Enforcement'!$A371&lt;&gt;"",'Approved-Enforcement'!A371,"")</f>
        <v/>
      </c>
      <c r="B371" t="str">
        <f t="shared" si="5"/>
        <v/>
      </c>
      <c r="D371" t="str">
        <f>IF($A371&lt;&gt;"",IF($R371&lt;&gt;"",$R371,'Approved-Enforcement'!$B371+7),"")</f>
        <v/>
      </c>
      <c r="E371" t="str">
        <f>IF($A371&lt;&gt;"",'Approved-Enforcement'!D371,"")</f>
        <v/>
      </c>
      <c r="F371" t="str">
        <f>IF($A371&lt;&gt;"",'Approved-Enforcement'!E371,"")</f>
        <v/>
      </c>
      <c r="G371" t="str">
        <f>IF($A371&lt;&gt;"",'Approved-Enforcement'!F371,"")</f>
        <v/>
      </c>
      <c r="H371" t="str">
        <f>IF($A371&lt;&gt;"",'Approved-Enforcement'!G371,"")</f>
        <v/>
      </c>
      <c r="I371" t="str">
        <f>IF($A371&lt;&gt;"",'Approved-Enforcement'!H371,"")</f>
        <v/>
      </c>
      <c r="J371" t="str">
        <f>IF($A371&lt;&gt;"",'Approved-Enforcement'!I371,"")</f>
        <v/>
      </c>
      <c r="K371" t="str">
        <f>IF($A371&lt;&gt;"",'Approved-Enforcement'!J371,"")</f>
        <v/>
      </c>
      <c r="L371" t="str">
        <f>IF($A371&lt;&gt;"",'Approved-Enforcement'!K371,"")</f>
        <v/>
      </c>
      <c r="M371" t="str">
        <f>IF($A371&lt;&gt;"",'Approved-Enforcement'!L371,"")</f>
        <v/>
      </c>
      <c r="N371" t="str">
        <f>IF($A371&lt;&gt;"",'Approved-Enforcement'!M371,"")</f>
        <v/>
      </c>
      <c r="O371" t="str">
        <f>IF($A371&lt;&gt;"",'Approved-Enforcement'!N371,"")</f>
        <v/>
      </c>
      <c r="P371" t="str">
        <f>IF($A371&lt;&gt;"",'Approved-Enforcement'!O371,"")</f>
        <v/>
      </c>
    </row>
    <row r="372" spans="1:16" x14ac:dyDescent="0.35">
      <c r="A372" s="4" t="str">
        <f>IF('Approved-Enforcement'!$A372&lt;&gt;"",'Approved-Enforcement'!A372,"")</f>
        <v/>
      </c>
      <c r="B372" t="str">
        <f t="shared" si="5"/>
        <v/>
      </c>
      <c r="D372" t="str">
        <f>IF($A372&lt;&gt;"",IF($R372&lt;&gt;"",$R372,'Approved-Enforcement'!$B372+7),"")</f>
        <v/>
      </c>
      <c r="E372" t="str">
        <f>IF($A372&lt;&gt;"",'Approved-Enforcement'!D372,"")</f>
        <v/>
      </c>
      <c r="F372" t="str">
        <f>IF($A372&lt;&gt;"",'Approved-Enforcement'!E372,"")</f>
        <v/>
      </c>
      <c r="G372" t="str">
        <f>IF($A372&lt;&gt;"",'Approved-Enforcement'!F372,"")</f>
        <v/>
      </c>
      <c r="H372" t="str">
        <f>IF($A372&lt;&gt;"",'Approved-Enforcement'!G372,"")</f>
        <v/>
      </c>
      <c r="I372" t="str">
        <f>IF($A372&lt;&gt;"",'Approved-Enforcement'!H372,"")</f>
        <v/>
      </c>
      <c r="J372" t="str">
        <f>IF($A372&lt;&gt;"",'Approved-Enforcement'!I372,"")</f>
        <v/>
      </c>
      <c r="K372" t="str">
        <f>IF($A372&lt;&gt;"",'Approved-Enforcement'!J372,"")</f>
        <v/>
      </c>
      <c r="L372" t="str">
        <f>IF($A372&lt;&gt;"",'Approved-Enforcement'!K372,"")</f>
        <v/>
      </c>
      <c r="M372" t="str">
        <f>IF($A372&lt;&gt;"",'Approved-Enforcement'!L372,"")</f>
        <v/>
      </c>
      <c r="N372" t="str">
        <f>IF($A372&lt;&gt;"",'Approved-Enforcement'!M372,"")</f>
        <v/>
      </c>
      <c r="O372" t="str">
        <f>IF($A372&lt;&gt;"",'Approved-Enforcement'!N372,"")</f>
        <v/>
      </c>
      <c r="P372" t="str">
        <f>IF($A372&lt;&gt;"",'Approved-Enforcement'!O372,"")</f>
        <v/>
      </c>
    </row>
    <row r="373" spans="1:16" x14ac:dyDescent="0.35">
      <c r="A373" s="4" t="str">
        <f>IF('Approved-Enforcement'!$A373&lt;&gt;"",'Approved-Enforcement'!A373,"")</f>
        <v/>
      </c>
      <c r="B373" t="str">
        <f t="shared" si="5"/>
        <v/>
      </c>
      <c r="D373" t="str">
        <f>IF($A373&lt;&gt;"",IF($R373&lt;&gt;"",$R373,'Approved-Enforcement'!$B373+7),"")</f>
        <v/>
      </c>
      <c r="E373" t="str">
        <f>IF($A373&lt;&gt;"",'Approved-Enforcement'!D373,"")</f>
        <v/>
      </c>
      <c r="F373" t="str">
        <f>IF($A373&lt;&gt;"",'Approved-Enforcement'!E373,"")</f>
        <v/>
      </c>
      <c r="G373" t="str">
        <f>IF($A373&lt;&gt;"",'Approved-Enforcement'!F373,"")</f>
        <v/>
      </c>
      <c r="H373" t="str">
        <f>IF($A373&lt;&gt;"",'Approved-Enforcement'!G373,"")</f>
        <v/>
      </c>
      <c r="I373" t="str">
        <f>IF($A373&lt;&gt;"",'Approved-Enforcement'!H373,"")</f>
        <v/>
      </c>
      <c r="J373" t="str">
        <f>IF($A373&lt;&gt;"",'Approved-Enforcement'!I373,"")</f>
        <v/>
      </c>
      <c r="K373" t="str">
        <f>IF($A373&lt;&gt;"",'Approved-Enforcement'!J373,"")</f>
        <v/>
      </c>
      <c r="L373" t="str">
        <f>IF($A373&lt;&gt;"",'Approved-Enforcement'!K373,"")</f>
        <v/>
      </c>
      <c r="M373" t="str">
        <f>IF($A373&lt;&gt;"",'Approved-Enforcement'!L373,"")</f>
        <v/>
      </c>
      <c r="N373" t="str">
        <f>IF($A373&lt;&gt;"",'Approved-Enforcement'!M373,"")</f>
        <v/>
      </c>
      <c r="O373" t="str">
        <f>IF($A373&lt;&gt;"",'Approved-Enforcement'!N373,"")</f>
        <v/>
      </c>
      <c r="P373" t="str">
        <f>IF($A373&lt;&gt;"",'Approved-Enforcement'!O373,"")</f>
        <v/>
      </c>
    </row>
    <row r="374" spans="1:16" x14ac:dyDescent="0.35">
      <c r="A374" s="4" t="str">
        <f>IF('Approved-Enforcement'!$A374&lt;&gt;"",'Approved-Enforcement'!A374,"")</f>
        <v/>
      </c>
      <c r="B374" t="str">
        <f t="shared" si="5"/>
        <v/>
      </c>
      <c r="D374" t="str">
        <f>IF($A374&lt;&gt;"",IF($R374&lt;&gt;"",$R374,'Approved-Enforcement'!$B374+7),"")</f>
        <v/>
      </c>
      <c r="E374" t="str">
        <f>IF($A374&lt;&gt;"",'Approved-Enforcement'!D374,"")</f>
        <v/>
      </c>
      <c r="F374" t="str">
        <f>IF($A374&lt;&gt;"",'Approved-Enforcement'!E374,"")</f>
        <v/>
      </c>
      <c r="G374" t="str">
        <f>IF($A374&lt;&gt;"",'Approved-Enforcement'!F374,"")</f>
        <v/>
      </c>
      <c r="H374" t="str">
        <f>IF($A374&lt;&gt;"",'Approved-Enforcement'!G374,"")</f>
        <v/>
      </c>
      <c r="I374" t="str">
        <f>IF($A374&lt;&gt;"",'Approved-Enforcement'!H374,"")</f>
        <v/>
      </c>
      <c r="J374" t="str">
        <f>IF($A374&lt;&gt;"",'Approved-Enforcement'!I374,"")</f>
        <v/>
      </c>
      <c r="K374" t="str">
        <f>IF($A374&lt;&gt;"",'Approved-Enforcement'!J374,"")</f>
        <v/>
      </c>
      <c r="L374" t="str">
        <f>IF($A374&lt;&gt;"",'Approved-Enforcement'!K374,"")</f>
        <v/>
      </c>
      <c r="M374" t="str">
        <f>IF($A374&lt;&gt;"",'Approved-Enforcement'!L374,"")</f>
        <v/>
      </c>
      <c r="N374" t="str">
        <f>IF($A374&lt;&gt;"",'Approved-Enforcement'!M374,"")</f>
        <v/>
      </c>
      <c r="O374" t="str">
        <f>IF($A374&lt;&gt;"",'Approved-Enforcement'!N374,"")</f>
        <v/>
      </c>
      <c r="P374" t="str">
        <f>IF($A374&lt;&gt;"",'Approved-Enforcement'!O374,"")</f>
        <v/>
      </c>
    </row>
    <row r="375" spans="1:16" x14ac:dyDescent="0.35">
      <c r="A375" s="4" t="str">
        <f>IF('Approved-Enforcement'!$A375&lt;&gt;"",'Approved-Enforcement'!A375,"")</f>
        <v/>
      </c>
      <c r="B375" t="str">
        <f t="shared" si="5"/>
        <v/>
      </c>
      <c r="D375" t="str">
        <f>IF($A375&lt;&gt;"",IF($R375&lt;&gt;"",$R375,'Approved-Enforcement'!$B375+7),"")</f>
        <v/>
      </c>
      <c r="E375" t="str">
        <f>IF($A375&lt;&gt;"",'Approved-Enforcement'!D375,"")</f>
        <v/>
      </c>
      <c r="F375" t="str">
        <f>IF($A375&lt;&gt;"",'Approved-Enforcement'!E375,"")</f>
        <v/>
      </c>
      <c r="G375" t="str">
        <f>IF($A375&lt;&gt;"",'Approved-Enforcement'!F375,"")</f>
        <v/>
      </c>
      <c r="H375" t="str">
        <f>IF($A375&lt;&gt;"",'Approved-Enforcement'!G375,"")</f>
        <v/>
      </c>
      <c r="I375" t="str">
        <f>IF($A375&lt;&gt;"",'Approved-Enforcement'!H375,"")</f>
        <v/>
      </c>
      <c r="J375" t="str">
        <f>IF($A375&lt;&gt;"",'Approved-Enforcement'!I375,"")</f>
        <v/>
      </c>
      <c r="K375" t="str">
        <f>IF($A375&lt;&gt;"",'Approved-Enforcement'!J375,"")</f>
        <v/>
      </c>
      <c r="L375" t="str">
        <f>IF($A375&lt;&gt;"",'Approved-Enforcement'!K375,"")</f>
        <v/>
      </c>
      <c r="M375" t="str">
        <f>IF($A375&lt;&gt;"",'Approved-Enforcement'!L375,"")</f>
        <v/>
      </c>
      <c r="N375" t="str">
        <f>IF($A375&lt;&gt;"",'Approved-Enforcement'!M375,"")</f>
        <v/>
      </c>
      <c r="O375" t="str">
        <f>IF($A375&lt;&gt;"",'Approved-Enforcement'!N375,"")</f>
        <v/>
      </c>
      <c r="P375" t="str">
        <f>IF($A375&lt;&gt;"",'Approved-Enforcement'!O375,"")</f>
        <v/>
      </c>
    </row>
    <row r="376" spans="1:16" x14ac:dyDescent="0.35">
      <c r="A376" s="4" t="str">
        <f>IF('Approved-Enforcement'!$A376&lt;&gt;"",'Approved-Enforcement'!A376,"")</f>
        <v/>
      </c>
      <c r="B376" t="str">
        <f t="shared" si="5"/>
        <v/>
      </c>
      <c r="D376" t="str">
        <f>IF($A376&lt;&gt;"",IF($R376&lt;&gt;"",$R376,'Approved-Enforcement'!$B376+7),"")</f>
        <v/>
      </c>
      <c r="E376" t="str">
        <f>IF($A376&lt;&gt;"",'Approved-Enforcement'!D376,"")</f>
        <v/>
      </c>
      <c r="F376" t="str">
        <f>IF($A376&lt;&gt;"",'Approved-Enforcement'!E376,"")</f>
        <v/>
      </c>
      <c r="G376" t="str">
        <f>IF($A376&lt;&gt;"",'Approved-Enforcement'!F376,"")</f>
        <v/>
      </c>
      <c r="H376" t="str">
        <f>IF($A376&lt;&gt;"",'Approved-Enforcement'!G376,"")</f>
        <v/>
      </c>
      <c r="I376" t="str">
        <f>IF($A376&lt;&gt;"",'Approved-Enforcement'!H376,"")</f>
        <v/>
      </c>
      <c r="J376" t="str">
        <f>IF($A376&lt;&gt;"",'Approved-Enforcement'!I376,"")</f>
        <v/>
      </c>
      <c r="K376" t="str">
        <f>IF($A376&lt;&gt;"",'Approved-Enforcement'!J376,"")</f>
        <v/>
      </c>
      <c r="L376" t="str">
        <f>IF($A376&lt;&gt;"",'Approved-Enforcement'!K376,"")</f>
        <v/>
      </c>
      <c r="M376" t="str">
        <f>IF($A376&lt;&gt;"",'Approved-Enforcement'!L376,"")</f>
        <v/>
      </c>
      <c r="N376" t="str">
        <f>IF($A376&lt;&gt;"",'Approved-Enforcement'!M376,"")</f>
        <v/>
      </c>
      <c r="O376" t="str">
        <f>IF($A376&lt;&gt;"",'Approved-Enforcement'!N376,"")</f>
        <v/>
      </c>
      <c r="P376" t="str">
        <f>IF($A376&lt;&gt;"",'Approved-Enforcement'!O376,"")</f>
        <v/>
      </c>
    </row>
    <row r="377" spans="1:16" x14ac:dyDescent="0.35">
      <c r="A377" s="4" t="str">
        <f>IF('Approved-Enforcement'!$A377&lt;&gt;"",'Approved-Enforcement'!A377,"")</f>
        <v/>
      </c>
      <c r="B377" t="str">
        <f t="shared" si="5"/>
        <v/>
      </c>
      <c r="D377" t="str">
        <f>IF($A377&lt;&gt;"",IF($R377&lt;&gt;"",$R377,'Approved-Enforcement'!$B377+7),"")</f>
        <v/>
      </c>
      <c r="E377" t="str">
        <f>IF($A377&lt;&gt;"",'Approved-Enforcement'!D377,"")</f>
        <v/>
      </c>
      <c r="F377" t="str">
        <f>IF($A377&lt;&gt;"",'Approved-Enforcement'!E377,"")</f>
        <v/>
      </c>
      <c r="G377" t="str">
        <f>IF($A377&lt;&gt;"",'Approved-Enforcement'!F377,"")</f>
        <v/>
      </c>
      <c r="H377" t="str">
        <f>IF($A377&lt;&gt;"",'Approved-Enforcement'!G377,"")</f>
        <v/>
      </c>
      <c r="I377" t="str">
        <f>IF($A377&lt;&gt;"",'Approved-Enforcement'!H377,"")</f>
        <v/>
      </c>
      <c r="J377" t="str">
        <f>IF($A377&lt;&gt;"",'Approved-Enforcement'!I377,"")</f>
        <v/>
      </c>
      <c r="K377" t="str">
        <f>IF($A377&lt;&gt;"",'Approved-Enforcement'!J377,"")</f>
        <v/>
      </c>
      <c r="L377" t="str">
        <f>IF($A377&lt;&gt;"",'Approved-Enforcement'!K377,"")</f>
        <v/>
      </c>
      <c r="M377" t="str">
        <f>IF($A377&lt;&gt;"",'Approved-Enforcement'!L377,"")</f>
        <v/>
      </c>
      <c r="N377" t="str">
        <f>IF($A377&lt;&gt;"",'Approved-Enforcement'!M377,"")</f>
        <v/>
      </c>
      <c r="O377" t="str">
        <f>IF($A377&lt;&gt;"",'Approved-Enforcement'!N377,"")</f>
        <v/>
      </c>
      <c r="P377" t="str">
        <f>IF($A377&lt;&gt;"",'Approved-Enforcement'!O377,"")</f>
        <v/>
      </c>
    </row>
    <row r="378" spans="1:16" x14ac:dyDescent="0.35">
      <c r="A378" s="4" t="str">
        <f>IF('Approved-Enforcement'!$A378&lt;&gt;"",'Approved-Enforcement'!A378,"")</f>
        <v/>
      </c>
      <c r="B378" t="str">
        <f t="shared" si="5"/>
        <v/>
      </c>
      <c r="D378" t="str">
        <f>IF($A378&lt;&gt;"",IF($R378&lt;&gt;"",$R378,'Approved-Enforcement'!$B378+7),"")</f>
        <v/>
      </c>
      <c r="E378" t="str">
        <f>IF($A378&lt;&gt;"",'Approved-Enforcement'!D378,"")</f>
        <v/>
      </c>
      <c r="F378" t="str">
        <f>IF($A378&lt;&gt;"",'Approved-Enforcement'!E378,"")</f>
        <v/>
      </c>
      <c r="G378" t="str">
        <f>IF($A378&lt;&gt;"",'Approved-Enforcement'!F378,"")</f>
        <v/>
      </c>
      <c r="H378" t="str">
        <f>IF($A378&lt;&gt;"",'Approved-Enforcement'!G378,"")</f>
        <v/>
      </c>
      <c r="I378" t="str">
        <f>IF($A378&lt;&gt;"",'Approved-Enforcement'!H378,"")</f>
        <v/>
      </c>
      <c r="J378" t="str">
        <f>IF($A378&lt;&gt;"",'Approved-Enforcement'!I378,"")</f>
        <v/>
      </c>
      <c r="K378" t="str">
        <f>IF($A378&lt;&gt;"",'Approved-Enforcement'!J378,"")</f>
        <v/>
      </c>
      <c r="L378" t="str">
        <f>IF($A378&lt;&gt;"",'Approved-Enforcement'!K378,"")</f>
        <v/>
      </c>
      <c r="M378" t="str">
        <f>IF($A378&lt;&gt;"",'Approved-Enforcement'!L378,"")</f>
        <v/>
      </c>
      <c r="N378" t="str">
        <f>IF($A378&lt;&gt;"",'Approved-Enforcement'!M378,"")</f>
        <v/>
      </c>
      <c r="O378" t="str">
        <f>IF($A378&lt;&gt;"",'Approved-Enforcement'!N378,"")</f>
        <v/>
      </c>
      <c r="P378" t="str">
        <f>IF($A378&lt;&gt;"",'Approved-Enforcement'!O378,"")</f>
        <v/>
      </c>
    </row>
    <row r="379" spans="1:16" x14ac:dyDescent="0.35">
      <c r="A379" s="4" t="str">
        <f>IF('Approved-Enforcement'!$A379&lt;&gt;"",'Approved-Enforcement'!A379,"")</f>
        <v/>
      </c>
      <c r="B379" t="str">
        <f t="shared" si="5"/>
        <v/>
      </c>
      <c r="D379" t="str">
        <f>IF($A379&lt;&gt;"",IF($R379&lt;&gt;"",$R379,'Approved-Enforcement'!$B379+7),"")</f>
        <v/>
      </c>
      <c r="E379" t="str">
        <f>IF($A379&lt;&gt;"",'Approved-Enforcement'!D379,"")</f>
        <v/>
      </c>
      <c r="F379" t="str">
        <f>IF($A379&lt;&gt;"",'Approved-Enforcement'!E379,"")</f>
        <v/>
      </c>
      <c r="G379" t="str">
        <f>IF($A379&lt;&gt;"",'Approved-Enforcement'!F379,"")</f>
        <v/>
      </c>
      <c r="H379" t="str">
        <f>IF($A379&lt;&gt;"",'Approved-Enforcement'!G379,"")</f>
        <v/>
      </c>
      <c r="I379" t="str">
        <f>IF($A379&lt;&gt;"",'Approved-Enforcement'!H379,"")</f>
        <v/>
      </c>
      <c r="J379" t="str">
        <f>IF($A379&lt;&gt;"",'Approved-Enforcement'!I379,"")</f>
        <v/>
      </c>
      <c r="K379" t="str">
        <f>IF($A379&lt;&gt;"",'Approved-Enforcement'!J379,"")</f>
        <v/>
      </c>
      <c r="L379" t="str">
        <f>IF($A379&lt;&gt;"",'Approved-Enforcement'!K379,"")</f>
        <v/>
      </c>
      <c r="M379" t="str">
        <f>IF($A379&lt;&gt;"",'Approved-Enforcement'!L379,"")</f>
        <v/>
      </c>
      <c r="N379" t="str">
        <f>IF($A379&lt;&gt;"",'Approved-Enforcement'!M379,"")</f>
        <v/>
      </c>
      <c r="O379" t="str">
        <f>IF($A379&lt;&gt;"",'Approved-Enforcement'!N379,"")</f>
        <v/>
      </c>
      <c r="P379" t="str">
        <f>IF($A379&lt;&gt;"",'Approved-Enforcement'!O379,"")</f>
        <v/>
      </c>
    </row>
    <row r="380" spans="1:16" x14ac:dyDescent="0.35">
      <c r="A380" s="4" t="str">
        <f>IF('Approved-Enforcement'!$A380&lt;&gt;"",'Approved-Enforcement'!A380,"")</f>
        <v/>
      </c>
      <c r="B380" t="str">
        <f t="shared" si="5"/>
        <v/>
      </c>
      <c r="D380" t="str">
        <f>IF($A380&lt;&gt;"",IF($R380&lt;&gt;"",$R380,'Approved-Enforcement'!$B380+7),"")</f>
        <v/>
      </c>
      <c r="E380" t="str">
        <f>IF($A380&lt;&gt;"",'Approved-Enforcement'!D380,"")</f>
        <v/>
      </c>
      <c r="F380" t="str">
        <f>IF($A380&lt;&gt;"",'Approved-Enforcement'!E380,"")</f>
        <v/>
      </c>
      <c r="G380" t="str">
        <f>IF($A380&lt;&gt;"",'Approved-Enforcement'!F380,"")</f>
        <v/>
      </c>
      <c r="H380" t="str">
        <f>IF($A380&lt;&gt;"",'Approved-Enforcement'!G380,"")</f>
        <v/>
      </c>
      <c r="I380" t="str">
        <f>IF($A380&lt;&gt;"",'Approved-Enforcement'!H380,"")</f>
        <v/>
      </c>
      <c r="J380" t="str">
        <f>IF($A380&lt;&gt;"",'Approved-Enforcement'!I380,"")</f>
        <v/>
      </c>
      <c r="K380" t="str">
        <f>IF($A380&lt;&gt;"",'Approved-Enforcement'!J380,"")</f>
        <v/>
      </c>
      <c r="L380" t="str">
        <f>IF($A380&lt;&gt;"",'Approved-Enforcement'!K380,"")</f>
        <v/>
      </c>
      <c r="M380" t="str">
        <f>IF($A380&lt;&gt;"",'Approved-Enforcement'!L380,"")</f>
        <v/>
      </c>
      <c r="N380" t="str">
        <f>IF($A380&lt;&gt;"",'Approved-Enforcement'!M380,"")</f>
        <v/>
      </c>
      <c r="O380" t="str">
        <f>IF($A380&lt;&gt;"",'Approved-Enforcement'!N380,"")</f>
        <v/>
      </c>
      <c r="P380" t="str">
        <f>IF($A380&lt;&gt;"",'Approved-Enforcement'!O380,"")</f>
        <v/>
      </c>
    </row>
    <row r="381" spans="1:16" x14ac:dyDescent="0.35">
      <c r="A381" s="4" t="str">
        <f>IF('Approved-Enforcement'!$A381&lt;&gt;"",'Approved-Enforcement'!A381,"")</f>
        <v/>
      </c>
      <c r="B381" t="str">
        <f t="shared" si="5"/>
        <v/>
      </c>
      <c r="D381" t="str">
        <f>IF($A381&lt;&gt;"",IF($R381&lt;&gt;"",$R381,'Approved-Enforcement'!$B381+7),"")</f>
        <v/>
      </c>
      <c r="E381" t="str">
        <f>IF($A381&lt;&gt;"",'Approved-Enforcement'!D381,"")</f>
        <v/>
      </c>
      <c r="F381" t="str">
        <f>IF($A381&lt;&gt;"",'Approved-Enforcement'!E381,"")</f>
        <v/>
      </c>
      <c r="G381" t="str">
        <f>IF($A381&lt;&gt;"",'Approved-Enforcement'!F381,"")</f>
        <v/>
      </c>
      <c r="H381" t="str">
        <f>IF($A381&lt;&gt;"",'Approved-Enforcement'!G381,"")</f>
        <v/>
      </c>
      <c r="I381" t="str">
        <f>IF($A381&lt;&gt;"",'Approved-Enforcement'!H381,"")</f>
        <v/>
      </c>
      <c r="J381" t="str">
        <f>IF($A381&lt;&gt;"",'Approved-Enforcement'!I381,"")</f>
        <v/>
      </c>
      <c r="K381" t="str">
        <f>IF($A381&lt;&gt;"",'Approved-Enforcement'!J381,"")</f>
        <v/>
      </c>
      <c r="L381" t="str">
        <f>IF($A381&lt;&gt;"",'Approved-Enforcement'!K381,"")</f>
        <v/>
      </c>
      <c r="M381" t="str">
        <f>IF($A381&lt;&gt;"",'Approved-Enforcement'!L381,"")</f>
        <v/>
      </c>
      <c r="N381" t="str">
        <f>IF($A381&lt;&gt;"",'Approved-Enforcement'!M381,"")</f>
        <v/>
      </c>
      <c r="O381" t="str">
        <f>IF($A381&lt;&gt;"",'Approved-Enforcement'!N381,"")</f>
        <v/>
      </c>
      <c r="P381" t="str">
        <f>IF($A381&lt;&gt;"",'Approved-Enforcement'!O381,"")</f>
        <v/>
      </c>
    </row>
    <row r="382" spans="1:16" x14ac:dyDescent="0.35">
      <c r="A382" s="4" t="str">
        <f>IF('Approved-Enforcement'!$A382&lt;&gt;"",'Approved-Enforcement'!A382,"")</f>
        <v/>
      </c>
      <c r="B382" t="str">
        <f t="shared" si="5"/>
        <v/>
      </c>
      <c r="D382" t="str">
        <f>IF($A382&lt;&gt;"",IF($R382&lt;&gt;"",$R382,'Approved-Enforcement'!$B382+7),"")</f>
        <v/>
      </c>
      <c r="E382" t="str">
        <f>IF($A382&lt;&gt;"",'Approved-Enforcement'!D382,"")</f>
        <v/>
      </c>
      <c r="F382" t="str">
        <f>IF($A382&lt;&gt;"",'Approved-Enforcement'!E382,"")</f>
        <v/>
      </c>
      <c r="G382" t="str">
        <f>IF($A382&lt;&gt;"",'Approved-Enforcement'!F382,"")</f>
        <v/>
      </c>
      <c r="H382" t="str">
        <f>IF($A382&lt;&gt;"",'Approved-Enforcement'!G382,"")</f>
        <v/>
      </c>
      <c r="I382" t="str">
        <f>IF($A382&lt;&gt;"",'Approved-Enforcement'!H382,"")</f>
        <v/>
      </c>
      <c r="J382" t="str">
        <f>IF($A382&lt;&gt;"",'Approved-Enforcement'!I382,"")</f>
        <v/>
      </c>
      <c r="K382" t="str">
        <f>IF($A382&lt;&gt;"",'Approved-Enforcement'!J382,"")</f>
        <v/>
      </c>
      <c r="L382" t="str">
        <f>IF($A382&lt;&gt;"",'Approved-Enforcement'!K382,"")</f>
        <v/>
      </c>
      <c r="M382" t="str">
        <f>IF($A382&lt;&gt;"",'Approved-Enforcement'!L382,"")</f>
        <v/>
      </c>
      <c r="N382" t="str">
        <f>IF($A382&lt;&gt;"",'Approved-Enforcement'!M382,"")</f>
        <v/>
      </c>
      <c r="O382" t="str">
        <f>IF($A382&lt;&gt;"",'Approved-Enforcement'!N382,"")</f>
        <v/>
      </c>
      <c r="P382" t="str">
        <f>IF($A382&lt;&gt;"",'Approved-Enforcement'!O382,"")</f>
        <v/>
      </c>
    </row>
    <row r="383" spans="1:16" x14ac:dyDescent="0.35">
      <c r="A383" s="4" t="str">
        <f>IF('Approved-Enforcement'!$A383&lt;&gt;"",'Approved-Enforcement'!A383,"")</f>
        <v/>
      </c>
      <c r="B383" t="str">
        <f t="shared" si="5"/>
        <v/>
      </c>
      <c r="D383" t="str">
        <f>IF($A383&lt;&gt;"",IF($R383&lt;&gt;"",$R383,'Approved-Enforcement'!$B383+7),"")</f>
        <v/>
      </c>
      <c r="E383" t="str">
        <f>IF($A383&lt;&gt;"",'Approved-Enforcement'!D383,"")</f>
        <v/>
      </c>
      <c r="F383" t="str">
        <f>IF($A383&lt;&gt;"",'Approved-Enforcement'!E383,"")</f>
        <v/>
      </c>
      <c r="G383" t="str">
        <f>IF($A383&lt;&gt;"",'Approved-Enforcement'!F383,"")</f>
        <v/>
      </c>
      <c r="H383" t="str">
        <f>IF($A383&lt;&gt;"",'Approved-Enforcement'!G383,"")</f>
        <v/>
      </c>
      <c r="I383" t="str">
        <f>IF($A383&lt;&gt;"",'Approved-Enforcement'!H383,"")</f>
        <v/>
      </c>
      <c r="J383" t="str">
        <f>IF($A383&lt;&gt;"",'Approved-Enforcement'!I383,"")</f>
        <v/>
      </c>
      <c r="K383" t="str">
        <f>IF($A383&lt;&gt;"",'Approved-Enforcement'!J383,"")</f>
        <v/>
      </c>
      <c r="L383" t="str">
        <f>IF($A383&lt;&gt;"",'Approved-Enforcement'!K383,"")</f>
        <v/>
      </c>
      <c r="M383" t="str">
        <f>IF($A383&lt;&gt;"",'Approved-Enforcement'!L383,"")</f>
        <v/>
      </c>
      <c r="N383" t="str">
        <f>IF($A383&lt;&gt;"",'Approved-Enforcement'!M383,"")</f>
        <v/>
      </c>
      <c r="O383" t="str">
        <f>IF($A383&lt;&gt;"",'Approved-Enforcement'!N383,"")</f>
        <v/>
      </c>
      <c r="P383" t="str">
        <f>IF($A383&lt;&gt;"",'Approved-Enforcement'!O383,"")</f>
        <v/>
      </c>
    </row>
    <row r="384" spans="1:16" x14ac:dyDescent="0.35">
      <c r="A384" s="4" t="str">
        <f>IF('Approved-Enforcement'!$A384&lt;&gt;"",'Approved-Enforcement'!A384,"")</f>
        <v/>
      </c>
      <c r="B384" t="str">
        <f t="shared" si="5"/>
        <v/>
      </c>
      <c r="D384" t="str">
        <f>IF($A384&lt;&gt;"",IF($R384&lt;&gt;"",$R384,'Approved-Enforcement'!$B384+7),"")</f>
        <v/>
      </c>
      <c r="E384" t="str">
        <f>IF($A384&lt;&gt;"",'Approved-Enforcement'!D384,"")</f>
        <v/>
      </c>
      <c r="F384" t="str">
        <f>IF($A384&lt;&gt;"",'Approved-Enforcement'!E384,"")</f>
        <v/>
      </c>
      <c r="G384" t="str">
        <f>IF($A384&lt;&gt;"",'Approved-Enforcement'!F384,"")</f>
        <v/>
      </c>
      <c r="H384" t="str">
        <f>IF($A384&lt;&gt;"",'Approved-Enforcement'!G384,"")</f>
        <v/>
      </c>
      <c r="I384" t="str">
        <f>IF($A384&lt;&gt;"",'Approved-Enforcement'!H384,"")</f>
        <v/>
      </c>
      <c r="J384" t="str">
        <f>IF($A384&lt;&gt;"",'Approved-Enforcement'!I384,"")</f>
        <v/>
      </c>
      <c r="K384" t="str">
        <f>IF($A384&lt;&gt;"",'Approved-Enforcement'!J384,"")</f>
        <v/>
      </c>
      <c r="L384" t="str">
        <f>IF($A384&lt;&gt;"",'Approved-Enforcement'!K384,"")</f>
        <v/>
      </c>
      <c r="M384" t="str">
        <f>IF($A384&lt;&gt;"",'Approved-Enforcement'!L384,"")</f>
        <v/>
      </c>
      <c r="N384" t="str">
        <f>IF($A384&lt;&gt;"",'Approved-Enforcement'!M384,"")</f>
        <v/>
      </c>
      <c r="O384" t="str">
        <f>IF($A384&lt;&gt;"",'Approved-Enforcement'!N384,"")</f>
        <v/>
      </c>
      <c r="P384" t="str">
        <f>IF($A384&lt;&gt;"",'Approved-Enforcement'!O384,"")</f>
        <v/>
      </c>
    </row>
    <row r="385" spans="1:16" x14ac:dyDescent="0.35">
      <c r="A385" s="4" t="str">
        <f>IF('Approved-Enforcement'!$A385&lt;&gt;"",'Approved-Enforcement'!A385,"")</f>
        <v/>
      </c>
      <c r="B385" t="str">
        <f t="shared" si="5"/>
        <v/>
      </c>
      <c r="D385" t="str">
        <f>IF($A385&lt;&gt;"",IF($R385&lt;&gt;"",$R385,'Approved-Enforcement'!$B385+7),"")</f>
        <v/>
      </c>
      <c r="E385" t="str">
        <f>IF($A385&lt;&gt;"",'Approved-Enforcement'!D385,"")</f>
        <v/>
      </c>
      <c r="F385" t="str">
        <f>IF($A385&lt;&gt;"",'Approved-Enforcement'!E385,"")</f>
        <v/>
      </c>
      <c r="G385" t="str">
        <f>IF($A385&lt;&gt;"",'Approved-Enforcement'!F385,"")</f>
        <v/>
      </c>
      <c r="H385" t="str">
        <f>IF($A385&lt;&gt;"",'Approved-Enforcement'!G385,"")</f>
        <v/>
      </c>
      <c r="I385" t="str">
        <f>IF($A385&lt;&gt;"",'Approved-Enforcement'!H385,"")</f>
        <v/>
      </c>
      <c r="J385" t="str">
        <f>IF($A385&lt;&gt;"",'Approved-Enforcement'!I385,"")</f>
        <v/>
      </c>
      <c r="K385" t="str">
        <f>IF($A385&lt;&gt;"",'Approved-Enforcement'!J385,"")</f>
        <v/>
      </c>
      <c r="L385" t="str">
        <f>IF($A385&lt;&gt;"",'Approved-Enforcement'!K385,"")</f>
        <v/>
      </c>
      <c r="M385" t="str">
        <f>IF($A385&lt;&gt;"",'Approved-Enforcement'!L385,"")</f>
        <v/>
      </c>
      <c r="N385" t="str">
        <f>IF($A385&lt;&gt;"",'Approved-Enforcement'!M385,"")</f>
        <v/>
      </c>
      <c r="O385" t="str">
        <f>IF($A385&lt;&gt;"",'Approved-Enforcement'!N385,"")</f>
        <v/>
      </c>
      <c r="P385" t="str">
        <f>IF($A385&lt;&gt;"",'Approved-Enforcement'!O385,"")</f>
        <v/>
      </c>
    </row>
    <row r="386" spans="1:16" x14ac:dyDescent="0.35">
      <c r="A386" s="4" t="str">
        <f>IF('Approved-Enforcement'!$A386&lt;&gt;"",'Approved-Enforcement'!A386,"")</f>
        <v/>
      </c>
      <c r="B386" t="str">
        <f t="shared" ref="B386:B449" si="6">IF($A386&lt;&gt;"",IF($C386&lt;&gt;"",$C386,1500),"")</f>
        <v/>
      </c>
      <c r="D386" t="str">
        <f>IF($A386&lt;&gt;"",IF($R386&lt;&gt;"",$R386,'Approved-Enforcement'!$B386+7),"")</f>
        <v/>
      </c>
      <c r="E386" t="str">
        <f>IF($A386&lt;&gt;"",'Approved-Enforcement'!D386,"")</f>
        <v/>
      </c>
      <c r="F386" t="str">
        <f>IF($A386&lt;&gt;"",'Approved-Enforcement'!E386,"")</f>
        <v/>
      </c>
      <c r="G386" t="str">
        <f>IF($A386&lt;&gt;"",'Approved-Enforcement'!F386,"")</f>
        <v/>
      </c>
      <c r="H386" t="str">
        <f>IF($A386&lt;&gt;"",'Approved-Enforcement'!G386,"")</f>
        <v/>
      </c>
      <c r="I386" t="str">
        <f>IF($A386&lt;&gt;"",'Approved-Enforcement'!H386,"")</f>
        <v/>
      </c>
      <c r="J386" t="str">
        <f>IF($A386&lt;&gt;"",'Approved-Enforcement'!I386,"")</f>
        <v/>
      </c>
      <c r="K386" t="str">
        <f>IF($A386&lt;&gt;"",'Approved-Enforcement'!J386,"")</f>
        <v/>
      </c>
      <c r="L386" t="str">
        <f>IF($A386&lt;&gt;"",'Approved-Enforcement'!K386,"")</f>
        <v/>
      </c>
      <c r="M386" t="str">
        <f>IF($A386&lt;&gt;"",'Approved-Enforcement'!L386,"")</f>
        <v/>
      </c>
      <c r="N386" t="str">
        <f>IF($A386&lt;&gt;"",'Approved-Enforcement'!M386,"")</f>
        <v/>
      </c>
      <c r="O386" t="str">
        <f>IF($A386&lt;&gt;"",'Approved-Enforcement'!N386,"")</f>
        <v/>
      </c>
      <c r="P386" t="str">
        <f>IF($A386&lt;&gt;"",'Approved-Enforcement'!O386,"")</f>
        <v/>
      </c>
    </row>
    <row r="387" spans="1:16" x14ac:dyDescent="0.35">
      <c r="A387" s="4" t="str">
        <f>IF('Approved-Enforcement'!$A387&lt;&gt;"",'Approved-Enforcement'!A387,"")</f>
        <v/>
      </c>
      <c r="B387" t="str">
        <f t="shared" si="6"/>
        <v/>
      </c>
      <c r="D387" t="str">
        <f>IF($A387&lt;&gt;"",IF($R387&lt;&gt;"",$R387,'Approved-Enforcement'!$B387+7),"")</f>
        <v/>
      </c>
      <c r="E387" t="str">
        <f>IF($A387&lt;&gt;"",'Approved-Enforcement'!D387,"")</f>
        <v/>
      </c>
      <c r="F387" t="str">
        <f>IF($A387&lt;&gt;"",'Approved-Enforcement'!E387,"")</f>
        <v/>
      </c>
      <c r="G387" t="str">
        <f>IF($A387&lt;&gt;"",'Approved-Enforcement'!F387,"")</f>
        <v/>
      </c>
      <c r="H387" t="str">
        <f>IF($A387&lt;&gt;"",'Approved-Enforcement'!G387,"")</f>
        <v/>
      </c>
      <c r="I387" t="str">
        <f>IF($A387&lt;&gt;"",'Approved-Enforcement'!H387,"")</f>
        <v/>
      </c>
      <c r="J387" t="str">
        <f>IF($A387&lt;&gt;"",'Approved-Enforcement'!I387,"")</f>
        <v/>
      </c>
      <c r="K387" t="str">
        <f>IF($A387&lt;&gt;"",'Approved-Enforcement'!J387,"")</f>
        <v/>
      </c>
      <c r="L387" t="str">
        <f>IF($A387&lt;&gt;"",'Approved-Enforcement'!K387,"")</f>
        <v/>
      </c>
      <c r="M387" t="str">
        <f>IF($A387&lt;&gt;"",'Approved-Enforcement'!L387,"")</f>
        <v/>
      </c>
      <c r="N387" t="str">
        <f>IF($A387&lt;&gt;"",'Approved-Enforcement'!M387,"")</f>
        <v/>
      </c>
      <c r="O387" t="str">
        <f>IF($A387&lt;&gt;"",'Approved-Enforcement'!N387,"")</f>
        <v/>
      </c>
      <c r="P387" t="str">
        <f>IF($A387&lt;&gt;"",'Approved-Enforcement'!O387,"")</f>
        <v/>
      </c>
    </row>
    <row r="388" spans="1:16" x14ac:dyDescent="0.35">
      <c r="A388" s="4" t="str">
        <f>IF('Approved-Enforcement'!$A388&lt;&gt;"",'Approved-Enforcement'!A388,"")</f>
        <v/>
      </c>
      <c r="B388" t="str">
        <f t="shared" si="6"/>
        <v/>
      </c>
      <c r="D388" t="str">
        <f>IF($A388&lt;&gt;"",IF($R388&lt;&gt;"",$R388,'Approved-Enforcement'!$B388+7),"")</f>
        <v/>
      </c>
      <c r="E388" t="str">
        <f>IF($A388&lt;&gt;"",'Approved-Enforcement'!D388,"")</f>
        <v/>
      </c>
      <c r="F388" t="str">
        <f>IF($A388&lt;&gt;"",'Approved-Enforcement'!E388,"")</f>
        <v/>
      </c>
      <c r="G388" t="str">
        <f>IF($A388&lt;&gt;"",'Approved-Enforcement'!F388,"")</f>
        <v/>
      </c>
      <c r="H388" t="str">
        <f>IF($A388&lt;&gt;"",'Approved-Enforcement'!G388,"")</f>
        <v/>
      </c>
      <c r="I388" t="str">
        <f>IF($A388&lt;&gt;"",'Approved-Enforcement'!H388,"")</f>
        <v/>
      </c>
      <c r="J388" t="str">
        <f>IF($A388&lt;&gt;"",'Approved-Enforcement'!I388,"")</f>
        <v/>
      </c>
      <c r="K388" t="str">
        <f>IF($A388&lt;&gt;"",'Approved-Enforcement'!J388,"")</f>
        <v/>
      </c>
      <c r="L388" t="str">
        <f>IF($A388&lt;&gt;"",'Approved-Enforcement'!K388,"")</f>
        <v/>
      </c>
      <c r="M388" t="str">
        <f>IF($A388&lt;&gt;"",'Approved-Enforcement'!L388,"")</f>
        <v/>
      </c>
      <c r="N388" t="str">
        <f>IF($A388&lt;&gt;"",'Approved-Enforcement'!M388,"")</f>
        <v/>
      </c>
      <c r="O388" t="str">
        <f>IF($A388&lt;&gt;"",'Approved-Enforcement'!N388,"")</f>
        <v/>
      </c>
      <c r="P388" t="str">
        <f>IF($A388&lt;&gt;"",'Approved-Enforcement'!O388,"")</f>
        <v/>
      </c>
    </row>
    <row r="389" spans="1:16" x14ac:dyDescent="0.35">
      <c r="A389" s="4" t="str">
        <f>IF('Approved-Enforcement'!$A389&lt;&gt;"",'Approved-Enforcement'!A389,"")</f>
        <v/>
      </c>
      <c r="B389" t="str">
        <f t="shared" si="6"/>
        <v/>
      </c>
      <c r="D389" t="str">
        <f>IF($A389&lt;&gt;"",IF($R389&lt;&gt;"",$R389,'Approved-Enforcement'!$B389+7),"")</f>
        <v/>
      </c>
      <c r="E389" t="str">
        <f>IF($A389&lt;&gt;"",'Approved-Enforcement'!D389,"")</f>
        <v/>
      </c>
      <c r="F389" t="str">
        <f>IF($A389&lt;&gt;"",'Approved-Enforcement'!E389,"")</f>
        <v/>
      </c>
      <c r="G389" t="str">
        <f>IF($A389&lt;&gt;"",'Approved-Enforcement'!F389,"")</f>
        <v/>
      </c>
      <c r="H389" t="str">
        <f>IF($A389&lt;&gt;"",'Approved-Enforcement'!G389,"")</f>
        <v/>
      </c>
      <c r="I389" t="str">
        <f>IF($A389&lt;&gt;"",'Approved-Enforcement'!H389,"")</f>
        <v/>
      </c>
      <c r="J389" t="str">
        <f>IF($A389&lt;&gt;"",'Approved-Enforcement'!I389,"")</f>
        <v/>
      </c>
      <c r="K389" t="str">
        <f>IF($A389&lt;&gt;"",'Approved-Enforcement'!J389,"")</f>
        <v/>
      </c>
      <c r="L389" t="str">
        <f>IF($A389&lt;&gt;"",'Approved-Enforcement'!K389,"")</f>
        <v/>
      </c>
      <c r="M389" t="str">
        <f>IF($A389&lt;&gt;"",'Approved-Enforcement'!L389,"")</f>
        <v/>
      </c>
      <c r="N389" t="str">
        <f>IF($A389&lt;&gt;"",'Approved-Enforcement'!M389,"")</f>
        <v/>
      </c>
      <c r="O389" t="str">
        <f>IF($A389&lt;&gt;"",'Approved-Enforcement'!N389,"")</f>
        <v/>
      </c>
      <c r="P389" t="str">
        <f>IF($A389&lt;&gt;"",'Approved-Enforcement'!O389,"")</f>
        <v/>
      </c>
    </row>
    <row r="390" spans="1:16" x14ac:dyDescent="0.35">
      <c r="A390" s="4" t="str">
        <f>IF('Approved-Enforcement'!$A390&lt;&gt;"",'Approved-Enforcement'!A390,"")</f>
        <v/>
      </c>
      <c r="B390" t="str">
        <f t="shared" si="6"/>
        <v/>
      </c>
      <c r="D390" t="str">
        <f>IF($A390&lt;&gt;"",IF($R390&lt;&gt;"",$R390,'Approved-Enforcement'!$B390+7),"")</f>
        <v/>
      </c>
      <c r="E390" t="str">
        <f>IF($A390&lt;&gt;"",'Approved-Enforcement'!D390,"")</f>
        <v/>
      </c>
      <c r="F390" t="str">
        <f>IF($A390&lt;&gt;"",'Approved-Enforcement'!E390,"")</f>
        <v/>
      </c>
      <c r="G390" t="str">
        <f>IF($A390&lt;&gt;"",'Approved-Enforcement'!F390,"")</f>
        <v/>
      </c>
      <c r="H390" t="str">
        <f>IF($A390&lt;&gt;"",'Approved-Enforcement'!G390,"")</f>
        <v/>
      </c>
      <c r="I390" t="str">
        <f>IF($A390&lt;&gt;"",'Approved-Enforcement'!H390,"")</f>
        <v/>
      </c>
      <c r="J390" t="str">
        <f>IF($A390&lt;&gt;"",'Approved-Enforcement'!I390,"")</f>
        <v/>
      </c>
      <c r="K390" t="str">
        <f>IF($A390&lt;&gt;"",'Approved-Enforcement'!J390,"")</f>
        <v/>
      </c>
      <c r="L390" t="str">
        <f>IF($A390&lt;&gt;"",'Approved-Enforcement'!K390,"")</f>
        <v/>
      </c>
      <c r="M390" t="str">
        <f>IF($A390&lt;&gt;"",'Approved-Enforcement'!L390,"")</f>
        <v/>
      </c>
      <c r="N390" t="str">
        <f>IF($A390&lt;&gt;"",'Approved-Enforcement'!M390,"")</f>
        <v/>
      </c>
      <c r="O390" t="str">
        <f>IF($A390&lt;&gt;"",'Approved-Enforcement'!N390,"")</f>
        <v/>
      </c>
      <c r="P390" t="str">
        <f>IF($A390&lt;&gt;"",'Approved-Enforcement'!O390,"")</f>
        <v/>
      </c>
    </row>
    <row r="391" spans="1:16" x14ac:dyDescent="0.35">
      <c r="A391" s="4" t="str">
        <f>IF('Approved-Enforcement'!$A391&lt;&gt;"",'Approved-Enforcement'!A391,"")</f>
        <v/>
      </c>
      <c r="B391" t="str">
        <f t="shared" si="6"/>
        <v/>
      </c>
      <c r="D391" t="str">
        <f>IF($A391&lt;&gt;"",IF($R391&lt;&gt;"",$R391,'Approved-Enforcement'!$B391+7),"")</f>
        <v/>
      </c>
      <c r="E391" t="str">
        <f>IF($A391&lt;&gt;"",'Approved-Enforcement'!D391,"")</f>
        <v/>
      </c>
      <c r="F391" t="str">
        <f>IF($A391&lt;&gt;"",'Approved-Enforcement'!E391,"")</f>
        <v/>
      </c>
      <c r="G391" t="str">
        <f>IF($A391&lt;&gt;"",'Approved-Enforcement'!F391,"")</f>
        <v/>
      </c>
      <c r="H391" t="str">
        <f>IF($A391&lt;&gt;"",'Approved-Enforcement'!G391,"")</f>
        <v/>
      </c>
      <c r="I391" t="str">
        <f>IF($A391&lt;&gt;"",'Approved-Enforcement'!H391,"")</f>
        <v/>
      </c>
      <c r="J391" t="str">
        <f>IF($A391&lt;&gt;"",'Approved-Enforcement'!I391,"")</f>
        <v/>
      </c>
      <c r="K391" t="str">
        <f>IF($A391&lt;&gt;"",'Approved-Enforcement'!J391,"")</f>
        <v/>
      </c>
      <c r="L391" t="str">
        <f>IF($A391&lt;&gt;"",'Approved-Enforcement'!K391,"")</f>
        <v/>
      </c>
      <c r="M391" t="str">
        <f>IF($A391&lt;&gt;"",'Approved-Enforcement'!L391,"")</f>
        <v/>
      </c>
      <c r="N391" t="str">
        <f>IF($A391&lt;&gt;"",'Approved-Enforcement'!M391,"")</f>
        <v/>
      </c>
      <c r="O391" t="str">
        <f>IF($A391&lt;&gt;"",'Approved-Enforcement'!N391,"")</f>
        <v/>
      </c>
      <c r="P391" t="str">
        <f>IF($A391&lt;&gt;"",'Approved-Enforcement'!O391,"")</f>
        <v/>
      </c>
    </row>
    <row r="392" spans="1:16" x14ac:dyDescent="0.35">
      <c r="A392" s="4" t="str">
        <f>IF('Approved-Enforcement'!$A392&lt;&gt;"",'Approved-Enforcement'!A392,"")</f>
        <v/>
      </c>
      <c r="B392" t="str">
        <f t="shared" si="6"/>
        <v/>
      </c>
      <c r="D392" t="str">
        <f>IF($A392&lt;&gt;"",IF($R392&lt;&gt;"",$R392,'Approved-Enforcement'!$B392+7),"")</f>
        <v/>
      </c>
      <c r="E392" t="str">
        <f>IF($A392&lt;&gt;"",'Approved-Enforcement'!D392,"")</f>
        <v/>
      </c>
      <c r="F392" t="str">
        <f>IF($A392&lt;&gt;"",'Approved-Enforcement'!E392,"")</f>
        <v/>
      </c>
      <c r="G392" t="str">
        <f>IF($A392&lt;&gt;"",'Approved-Enforcement'!F392,"")</f>
        <v/>
      </c>
      <c r="H392" t="str">
        <f>IF($A392&lt;&gt;"",'Approved-Enforcement'!G392,"")</f>
        <v/>
      </c>
      <c r="I392" t="str">
        <f>IF($A392&lt;&gt;"",'Approved-Enforcement'!H392,"")</f>
        <v/>
      </c>
      <c r="J392" t="str">
        <f>IF($A392&lt;&gt;"",'Approved-Enforcement'!I392,"")</f>
        <v/>
      </c>
      <c r="K392" t="str">
        <f>IF($A392&lt;&gt;"",'Approved-Enforcement'!J392,"")</f>
        <v/>
      </c>
      <c r="L392" t="str">
        <f>IF($A392&lt;&gt;"",'Approved-Enforcement'!K392,"")</f>
        <v/>
      </c>
      <c r="M392" t="str">
        <f>IF($A392&lt;&gt;"",'Approved-Enforcement'!L392,"")</f>
        <v/>
      </c>
      <c r="N392" t="str">
        <f>IF($A392&lt;&gt;"",'Approved-Enforcement'!M392,"")</f>
        <v/>
      </c>
      <c r="O392" t="str">
        <f>IF($A392&lt;&gt;"",'Approved-Enforcement'!N392,"")</f>
        <v/>
      </c>
      <c r="P392" t="str">
        <f>IF($A392&lt;&gt;"",'Approved-Enforcement'!O392,"")</f>
        <v/>
      </c>
    </row>
    <row r="393" spans="1:16" x14ac:dyDescent="0.35">
      <c r="A393" s="4" t="str">
        <f>IF('Approved-Enforcement'!$A393&lt;&gt;"",'Approved-Enforcement'!A393,"")</f>
        <v/>
      </c>
      <c r="B393" t="str">
        <f t="shared" si="6"/>
        <v/>
      </c>
      <c r="D393" t="str">
        <f>IF($A393&lt;&gt;"",IF($R393&lt;&gt;"",$R393,'Approved-Enforcement'!$B393+7),"")</f>
        <v/>
      </c>
      <c r="E393" t="str">
        <f>IF($A393&lt;&gt;"",'Approved-Enforcement'!D393,"")</f>
        <v/>
      </c>
      <c r="F393" t="str">
        <f>IF($A393&lt;&gt;"",'Approved-Enforcement'!E393,"")</f>
        <v/>
      </c>
      <c r="G393" t="str">
        <f>IF($A393&lt;&gt;"",'Approved-Enforcement'!F393,"")</f>
        <v/>
      </c>
      <c r="H393" t="str">
        <f>IF($A393&lt;&gt;"",'Approved-Enforcement'!G393,"")</f>
        <v/>
      </c>
      <c r="I393" t="str">
        <f>IF($A393&lt;&gt;"",'Approved-Enforcement'!H393,"")</f>
        <v/>
      </c>
      <c r="J393" t="str">
        <f>IF($A393&lt;&gt;"",'Approved-Enforcement'!I393,"")</f>
        <v/>
      </c>
      <c r="K393" t="str">
        <f>IF($A393&lt;&gt;"",'Approved-Enforcement'!J393,"")</f>
        <v/>
      </c>
      <c r="L393" t="str">
        <f>IF($A393&lt;&gt;"",'Approved-Enforcement'!K393,"")</f>
        <v/>
      </c>
      <c r="M393" t="str">
        <f>IF($A393&lt;&gt;"",'Approved-Enforcement'!L393,"")</f>
        <v/>
      </c>
      <c r="N393" t="str">
        <f>IF($A393&lt;&gt;"",'Approved-Enforcement'!M393,"")</f>
        <v/>
      </c>
      <c r="O393" t="str">
        <f>IF($A393&lt;&gt;"",'Approved-Enforcement'!N393,"")</f>
        <v/>
      </c>
      <c r="P393" t="str">
        <f>IF($A393&lt;&gt;"",'Approved-Enforcement'!O393,"")</f>
        <v/>
      </c>
    </row>
    <row r="394" spans="1:16" x14ac:dyDescent="0.35">
      <c r="A394" s="4" t="str">
        <f>IF('Approved-Enforcement'!$A394&lt;&gt;"",'Approved-Enforcement'!A394,"")</f>
        <v/>
      </c>
      <c r="B394" t="str">
        <f t="shared" si="6"/>
        <v/>
      </c>
      <c r="D394" t="str">
        <f>IF($A394&lt;&gt;"",IF($R394&lt;&gt;"",$R394,'Approved-Enforcement'!$B394+7),"")</f>
        <v/>
      </c>
      <c r="E394" t="str">
        <f>IF($A394&lt;&gt;"",'Approved-Enforcement'!D394,"")</f>
        <v/>
      </c>
      <c r="F394" t="str">
        <f>IF($A394&lt;&gt;"",'Approved-Enforcement'!E394,"")</f>
        <v/>
      </c>
      <c r="G394" t="str">
        <f>IF($A394&lt;&gt;"",'Approved-Enforcement'!F394,"")</f>
        <v/>
      </c>
      <c r="H394" t="str">
        <f>IF($A394&lt;&gt;"",'Approved-Enforcement'!G394,"")</f>
        <v/>
      </c>
      <c r="I394" t="str">
        <f>IF($A394&lt;&gt;"",'Approved-Enforcement'!H394,"")</f>
        <v/>
      </c>
      <c r="J394" t="str">
        <f>IF($A394&lt;&gt;"",'Approved-Enforcement'!I394,"")</f>
        <v/>
      </c>
      <c r="K394" t="str">
        <f>IF($A394&lt;&gt;"",'Approved-Enforcement'!J394,"")</f>
        <v/>
      </c>
      <c r="L394" t="str">
        <f>IF($A394&lt;&gt;"",'Approved-Enforcement'!K394,"")</f>
        <v/>
      </c>
      <c r="M394" t="str">
        <f>IF($A394&lt;&gt;"",'Approved-Enforcement'!L394,"")</f>
        <v/>
      </c>
      <c r="N394" t="str">
        <f>IF($A394&lt;&gt;"",'Approved-Enforcement'!M394,"")</f>
        <v/>
      </c>
      <c r="O394" t="str">
        <f>IF($A394&lt;&gt;"",'Approved-Enforcement'!N394,"")</f>
        <v/>
      </c>
      <c r="P394" t="str">
        <f>IF($A394&lt;&gt;"",'Approved-Enforcement'!O394,"")</f>
        <v/>
      </c>
    </row>
    <row r="395" spans="1:16" x14ac:dyDescent="0.35">
      <c r="A395" s="4" t="str">
        <f>IF('Approved-Enforcement'!$A395&lt;&gt;"",'Approved-Enforcement'!A395,"")</f>
        <v/>
      </c>
      <c r="B395" t="str">
        <f t="shared" si="6"/>
        <v/>
      </c>
      <c r="D395" t="str">
        <f>IF($A395&lt;&gt;"",IF($R395&lt;&gt;"",$R395,'Approved-Enforcement'!$B395+7),"")</f>
        <v/>
      </c>
      <c r="E395" t="str">
        <f>IF($A395&lt;&gt;"",'Approved-Enforcement'!D395,"")</f>
        <v/>
      </c>
      <c r="F395" t="str">
        <f>IF($A395&lt;&gt;"",'Approved-Enforcement'!E395,"")</f>
        <v/>
      </c>
      <c r="G395" t="str">
        <f>IF($A395&lt;&gt;"",'Approved-Enforcement'!F395,"")</f>
        <v/>
      </c>
      <c r="H395" t="str">
        <f>IF($A395&lt;&gt;"",'Approved-Enforcement'!G395,"")</f>
        <v/>
      </c>
      <c r="I395" t="str">
        <f>IF($A395&lt;&gt;"",'Approved-Enforcement'!H395,"")</f>
        <v/>
      </c>
      <c r="J395" t="str">
        <f>IF($A395&lt;&gt;"",'Approved-Enforcement'!I395,"")</f>
        <v/>
      </c>
      <c r="K395" t="str">
        <f>IF($A395&lt;&gt;"",'Approved-Enforcement'!J395,"")</f>
        <v/>
      </c>
      <c r="L395" t="str">
        <f>IF($A395&lt;&gt;"",'Approved-Enforcement'!K395,"")</f>
        <v/>
      </c>
      <c r="M395" t="str">
        <f>IF($A395&lt;&gt;"",'Approved-Enforcement'!L395,"")</f>
        <v/>
      </c>
      <c r="N395" t="str">
        <f>IF($A395&lt;&gt;"",'Approved-Enforcement'!M395,"")</f>
        <v/>
      </c>
      <c r="O395" t="str">
        <f>IF($A395&lt;&gt;"",'Approved-Enforcement'!N395,"")</f>
        <v/>
      </c>
      <c r="P395" t="str">
        <f>IF($A395&lt;&gt;"",'Approved-Enforcement'!O395,"")</f>
        <v/>
      </c>
    </row>
    <row r="396" spans="1:16" x14ac:dyDescent="0.35">
      <c r="A396" s="4" t="str">
        <f>IF('Approved-Enforcement'!$A396&lt;&gt;"",'Approved-Enforcement'!A396,"")</f>
        <v/>
      </c>
      <c r="B396" t="str">
        <f t="shared" si="6"/>
        <v/>
      </c>
      <c r="D396" t="str">
        <f>IF($A396&lt;&gt;"",IF($R396&lt;&gt;"",$R396,'Approved-Enforcement'!$B396+7),"")</f>
        <v/>
      </c>
      <c r="E396" t="str">
        <f>IF($A396&lt;&gt;"",'Approved-Enforcement'!D396,"")</f>
        <v/>
      </c>
      <c r="F396" t="str">
        <f>IF($A396&lt;&gt;"",'Approved-Enforcement'!E396,"")</f>
        <v/>
      </c>
      <c r="G396" t="str">
        <f>IF($A396&lt;&gt;"",'Approved-Enforcement'!F396,"")</f>
        <v/>
      </c>
      <c r="H396" t="str">
        <f>IF($A396&lt;&gt;"",'Approved-Enforcement'!G396,"")</f>
        <v/>
      </c>
      <c r="I396" t="str">
        <f>IF($A396&lt;&gt;"",'Approved-Enforcement'!H396,"")</f>
        <v/>
      </c>
      <c r="J396" t="str">
        <f>IF($A396&lt;&gt;"",'Approved-Enforcement'!I396,"")</f>
        <v/>
      </c>
      <c r="K396" t="str">
        <f>IF($A396&lt;&gt;"",'Approved-Enforcement'!J396,"")</f>
        <v/>
      </c>
      <c r="L396" t="str">
        <f>IF($A396&lt;&gt;"",'Approved-Enforcement'!K396,"")</f>
        <v/>
      </c>
      <c r="M396" t="str">
        <f>IF($A396&lt;&gt;"",'Approved-Enforcement'!L396,"")</f>
        <v/>
      </c>
      <c r="N396" t="str">
        <f>IF($A396&lt;&gt;"",'Approved-Enforcement'!M396,"")</f>
        <v/>
      </c>
      <c r="O396" t="str">
        <f>IF($A396&lt;&gt;"",'Approved-Enforcement'!N396,"")</f>
        <v/>
      </c>
      <c r="P396" t="str">
        <f>IF($A396&lt;&gt;"",'Approved-Enforcement'!O396,"")</f>
        <v/>
      </c>
    </row>
    <row r="397" spans="1:16" x14ac:dyDescent="0.35">
      <c r="A397" s="4" t="str">
        <f>IF('Approved-Enforcement'!$A397&lt;&gt;"",'Approved-Enforcement'!A397,"")</f>
        <v/>
      </c>
      <c r="B397" t="str">
        <f t="shared" si="6"/>
        <v/>
      </c>
      <c r="D397" t="str">
        <f>IF($A397&lt;&gt;"",IF($R397&lt;&gt;"",$R397,'Approved-Enforcement'!$B397+7),"")</f>
        <v/>
      </c>
      <c r="E397" t="str">
        <f>IF($A397&lt;&gt;"",'Approved-Enforcement'!D397,"")</f>
        <v/>
      </c>
      <c r="F397" t="str">
        <f>IF($A397&lt;&gt;"",'Approved-Enforcement'!E397,"")</f>
        <v/>
      </c>
      <c r="G397" t="str">
        <f>IF($A397&lt;&gt;"",'Approved-Enforcement'!F397,"")</f>
        <v/>
      </c>
      <c r="H397" t="str">
        <f>IF($A397&lt;&gt;"",'Approved-Enforcement'!G397,"")</f>
        <v/>
      </c>
      <c r="I397" t="str">
        <f>IF($A397&lt;&gt;"",'Approved-Enforcement'!H397,"")</f>
        <v/>
      </c>
      <c r="J397" t="str">
        <f>IF($A397&lt;&gt;"",'Approved-Enforcement'!I397,"")</f>
        <v/>
      </c>
      <c r="K397" t="str">
        <f>IF($A397&lt;&gt;"",'Approved-Enforcement'!J397,"")</f>
        <v/>
      </c>
      <c r="L397" t="str">
        <f>IF($A397&lt;&gt;"",'Approved-Enforcement'!K397,"")</f>
        <v/>
      </c>
      <c r="M397" t="str">
        <f>IF($A397&lt;&gt;"",'Approved-Enforcement'!L397,"")</f>
        <v/>
      </c>
      <c r="N397" t="str">
        <f>IF($A397&lt;&gt;"",'Approved-Enforcement'!M397,"")</f>
        <v/>
      </c>
      <c r="O397" t="str">
        <f>IF($A397&lt;&gt;"",'Approved-Enforcement'!N397,"")</f>
        <v/>
      </c>
      <c r="P397" t="str">
        <f>IF($A397&lt;&gt;"",'Approved-Enforcement'!O397,"")</f>
        <v/>
      </c>
    </row>
    <row r="398" spans="1:16" x14ac:dyDescent="0.35">
      <c r="A398" s="4" t="str">
        <f>IF('Approved-Enforcement'!$A398&lt;&gt;"",'Approved-Enforcement'!A398,"")</f>
        <v/>
      </c>
      <c r="B398" t="str">
        <f t="shared" si="6"/>
        <v/>
      </c>
      <c r="D398" t="str">
        <f>IF($A398&lt;&gt;"",IF($R398&lt;&gt;"",$R398,'Approved-Enforcement'!$B398+7),"")</f>
        <v/>
      </c>
      <c r="E398" t="str">
        <f>IF($A398&lt;&gt;"",'Approved-Enforcement'!D398,"")</f>
        <v/>
      </c>
      <c r="F398" t="str">
        <f>IF($A398&lt;&gt;"",'Approved-Enforcement'!E398,"")</f>
        <v/>
      </c>
      <c r="G398" t="str">
        <f>IF($A398&lt;&gt;"",'Approved-Enforcement'!F398,"")</f>
        <v/>
      </c>
      <c r="H398" t="str">
        <f>IF($A398&lt;&gt;"",'Approved-Enforcement'!G398,"")</f>
        <v/>
      </c>
      <c r="I398" t="str">
        <f>IF($A398&lt;&gt;"",'Approved-Enforcement'!H398,"")</f>
        <v/>
      </c>
      <c r="J398" t="str">
        <f>IF($A398&lt;&gt;"",'Approved-Enforcement'!I398,"")</f>
        <v/>
      </c>
      <c r="K398" t="str">
        <f>IF($A398&lt;&gt;"",'Approved-Enforcement'!J398,"")</f>
        <v/>
      </c>
      <c r="L398" t="str">
        <f>IF($A398&lt;&gt;"",'Approved-Enforcement'!K398,"")</f>
        <v/>
      </c>
      <c r="M398" t="str">
        <f>IF($A398&lt;&gt;"",'Approved-Enforcement'!L398,"")</f>
        <v/>
      </c>
      <c r="N398" t="str">
        <f>IF($A398&lt;&gt;"",'Approved-Enforcement'!M398,"")</f>
        <v/>
      </c>
      <c r="O398" t="str">
        <f>IF($A398&lt;&gt;"",'Approved-Enforcement'!N398,"")</f>
        <v/>
      </c>
      <c r="P398" t="str">
        <f>IF($A398&lt;&gt;"",'Approved-Enforcement'!O398,"")</f>
        <v/>
      </c>
    </row>
    <row r="399" spans="1:16" x14ac:dyDescent="0.35">
      <c r="A399" s="4" t="str">
        <f>IF('Approved-Enforcement'!$A399&lt;&gt;"",'Approved-Enforcement'!A399,"")</f>
        <v/>
      </c>
      <c r="B399" t="str">
        <f t="shared" si="6"/>
        <v/>
      </c>
      <c r="D399" t="str">
        <f>IF($A399&lt;&gt;"",IF($R399&lt;&gt;"",$R399,'Approved-Enforcement'!$B399+7),"")</f>
        <v/>
      </c>
      <c r="E399" t="str">
        <f>IF($A399&lt;&gt;"",'Approved-Enforcement'!D399,"")</f>
        <v/>
      </c>
      <c r="F399" t="str">
        <f>IF($A399&lt;&gt;"",'Approved-Enforcement'!E399,"")</f>
        <v/>
      </c>
      <c r="G399" t="str">
        <f>IF($A399&lt;&gt;"",'Approved-Enforcement'!F399,"")</f>
        <v/>
      </c>
      <c r="H399" t="str">
        <f>IF($A399&lt;&gt;"",'Approved-Enforcement'!G399,"")</f>
        <v/>
      </c>
      <c r="I399" t="str">
        <f>IF($A399&lt;&gt;"",'Approved-Enforcement'!H399,"")</f>
        <v/>
      </c>
      <c r="J399" t="str">
        <f>IF($A399&lt;&gt;"",'Approved-Enforcement'!I399,"")</f>
        <v/>
      </c>
      <c r="K399" t="str">
        <f>IF($A399&lt;&gt;"",'Approved-Enforcement'!J399,"")</f>
        <v/>
      </c>
      <c r="L399" t="str">
        <f>IF($A399&lt;&gt;"",'Approved-Enforcement'!K399,"")</f>
        <v/>
      </c>
      <c r="M399" t="str">
        <f>IF($A399&lt;&gt;"",'Approved-Enforcement'!L399,"")</f>
        <v/>
      </c>
      <c r="N399" t="str">
        <f>IF($A399&lt;&gt;"",'Approved-Enforcement'!M399,"")</f>
        <v/>
      </c>
      <c r="O399" t="str">
        <f>IF($A399&lt;&gt;"",'Approved-Enforcement'!N399,"")</f>
        <v/>
      </c>
      <c r="P399" t="str">
        <f>IF($A399&lt;&gt;"",'Approved-Enforcement'!O399,"")</f>
        <v/>
      </c>
    </row>
    <row r="400" spans="1:16" x14ac:dyDescent="0.35">
      <c r="A400" s="4" t="str">
        <f>IF('Approved-Enforcement'!$A400&lt;&gt;"",'Approved-Enforcement'!A400,"")</f>
        <v/>
      </c>
      <c r="B400" t="str">
        <f t="shared" si="6"/>
        <v/>
      </c>
      <c r="D400" t="str">
        <f>IF($A400&lt;&gt;"",IF($R400&lt;&gt;"",$R400,'Approved-Enforcement'!$B400+7),"")</f>
        <v/>
      </c>
      <c r="E400" t="str">
        <f>IF($A400&lt;&gt;"",'Approved-Enforcement'!D400,"")</f>
        <v/>
      </c>
      <c r="F400" t="str">
        <f>IF($A400&lt;&gt;"",'Approved-Enforcement'!E400,"")</f>
        <v/>
      </c>
      <c r="G400" t="str">
        <f>IF($A400&lt;&gt;"",'Approved-Enforcement'!F400,"")</f>
        <v/>
      </c>
      <c r="H400" t="str">
        <f>IF($A400&lt;&gt;"",'Approved-Enforcement'!G400,"")</f>
        <v/>
      </c>
      <c r="I400" t="str">
        <f>IF($A400&lt;&gt;"",'Approved-Enforcement'!H400,"")</f>
        <v/>
      </c>
      <c r="J400" t="str">
        <f>IF($A400&lt;&gt;"",'Approved-Enforcement'!I400,"")</f>
        <v/>
      </c>
      <c r="K400" t="str">
        <f>IF($A400&lt;&gt;"",'Approved-Enforcement'!J400,"")</f>
        <v/>
      </c>
      <c r="L400" t="str">
        <f>IF($A400&lt;&gt;"",'Approved-Enforcement'!K400,"")</f>
        <v/>
      </c>
      <c r="M400" t="str">
        <f>IF($A400&lt;&gt;"",'Approved-Enforcement'!L400,"")</f>
        <v/>
      </c>
      <c r="N400" t="str">
        <f>IF($A400&lt;&gt;"",'Approved-Enforcement'!M400,"")</f>
        <v/>
      </c>
      <c r="O400" t="str">
        <f>IF($A400&lt;&gt;"",'Approved-Enforcement'!N400,"")</f>
        <v/>
      </c>
      <c r="P400" t="str">
        <f>IF($A400&lt;&gt;"",'Approved-Enforcement'!O400,"")</f>
        <v/>
      </c>
    </row>
    <row r="401" spans="1:16" x14ac:dyDescent="0.35">
      <c r="A401" s="4" t="str">
        <f>IF('Approved-Enforcement'!$A401&lt;&gt;"",'Approved-Enforcement'!A401,"")</f>
        <v/>
      </c>
      <c r="B401" t="str">
        <f t="shared" si="6"/>
        <v/>
      </c>
      <c r="D401" t="str">
        <f>IF($A401&lt;&gt;"",IF($R401&lt;&gt;"",$R401,'Approved-Enforcement'!$B401+7),"")</f>
        <v/>
      </c>
      <c r="E401" t="str">
        <f>IF($A401&lt;&gt;"",'Approved-Enforcement'!D401,"")</f>
        <v/>
      </c>
      <c r="F401" t="str">
        <f>IF($A401&lt;&gt;"",'Approved-Enforcement'!E401,"")</f>
        <v/>
      </c>
      <c r="G401" t="str">
        <f>IF($A401&lt;&gt;"",'Approved-Enforcement'!F401,"")</f>
        <v/>
      </c>
      <c r="H401" t="str">
        <f>IF($A401&lt;&gt;"",'Approved-Enforcement'!G401,"")</f>
        <v/>
      </c>
      <c r="I401" t="str">
        <f>IF($A401&lt;&gt;"",'Approved-Enforcement'!H401,"")</f>
        <v/>
      </c>
      <c r="J401" t="str">
        <f>IF($A401&lt;&gt;"",'Approved-Enforcement'!I401,"")</f>
        <v/>
      </c>
      <c r="K401" t="str">
        <f>IF($A401&lt;&gt;"",'Approved-Enforcement'!J401,"")</f>
        <v/>
      </c>
      <c r="L401" t="str">
        <f>IF($A401&lt;&gt;"",'Approved-Enforcement'!K401,"")</f>
        <v/>
      </c>
      <c r="M401" t="str">
        <f>IF($A401&lt;&gt;"",'Approved-Enforcement'!L401,"")</f>
        <v/>
      </c>
      <c r="N401" t="str">
        <f>IF($A401&lt;&gt;"",'Approved-Enforcement'!M401,"")</f>
        <v/>
      </c>
      <c r="O401" t="str">
        <f>IF($A401&lt;&gt;"",'Approved-Enforcement'!N401,"")</f>
        <v/>
      </c>
      <c r="P401" t="str">
        <f>IF($A401&lt;&gt;"",'Approved-Enforcement'!O401,"")</f>
        <v/>
      </c>
    </row>
    <row r="402" spans="1:16" x14ac:dyDescent="0.35">
      <c r="A402" s="4" t="str">
        <f>IF('Approved-Enforcement'!$A402&lt;&gt;"",'Approved-Enforcement'!A402,"")</f>
        <v/>
      </c>
      <c r="B402" t="str">
        <f t="shared" si="6"/>
        <v/>
      </c>
      <c r="D402" t="str">
        <f>IF($A402&lt;&gt;"",IF($R402&lt;&gt;"",$R402,'Approved-Enforcement'!$B402+7),"")</f>
        <v/>
      </c>
      <c r="E402" t="str">
        <f>IF($A402&lt;&gt;"",'Approved-Enforcement'!D402,"")</f>
        <v/>
      </c>
      <c r="F402" t="str">
        <f>IF($A402&lt;&gt;"",'Approved-Enforcement'!E402,"")</f>
        <v/>
      </c>
      <c r="G402" t="str">
        <f>IF($A402&lt;&gt;"",'Approved-Enforcement'!F402,"")</f>
        <v/>
      </c>
      <c r="H402" t="str">
        <f>IF($A402&lt;&gt;"",'Approved-Enforcement'!G402,"")</f>
        <v/>
      </c>
      <c r="I402" t="str">
        <f>IF($A402&lt;&gt;"",'Approved-Enforcement'!H402,"")</f>
        <v/>
      </c>
      <c r="J402" t="str">
        <f>IF($A402&lt;&gt;"",'Approved-Enforcement'!I402,"")</f>
        <v/>
      </c>
      <c r="K402" t="str">
        <f>IF($A402&lt;&gt;"",'Approved-Enforcement'!J402,"")</f>
        <v/>
      </c>
      <c r="L402" t="str">
        <f>IF($A402&lt;&gt;"",'Approved-Enforcement'!K402,"")</f>
        <v/>
      </c>
      <c r="M402" t="str">
        <f>IF($A402&lt;&gt;"",'Approved-Enforcement'!L402,"")</f>
        <v/>
      </c>
      <c r="N402" t="str">
        <f>IF($A402&lt;&gt;"",'Approved-Enforcement'!M402,"")</f>
        <v/>
      </c>
      <c r="O402" t="str">
        <f>IF($A402&lt;&gt;"",'Approved-Enforcement'!N402,"")</f>
        <v/>
      </c>
      <c r="P402" t="str">
        <f>IF($A402&lt;&gt;"",'Approved-Enforcement'!O402,"")</f>
        <v/>
      </c>
    </row>
    <row r="403" spans="1:16" x14ac:dyDescent="0.35">
      <c r="A403" s="4" t="str">
        <f>IF('Approved-Enforcement'!$A403&lt;&gt;"",'Approved-Enforcement'!A403,"")</f>
        <v/>
      </c>
      <c r="B403" t="str">
        <f t="shared" si="6"/>
        <v/>
      </c>
      <c r="D403" t="str">
        <f>IF($A403&lt;&gt;"",IF($R403&lt;&gt;"",$R403,'Approved-Enforcement'!$B403+7),"")</f>
        <v/>
      </c>
      <c r="E403" t="str">
        <f>IF($A403&lt;&gt;"",'Approved-Enforcement'!D403,"")</f>
        <v/>
      </c>
      <c r="F403" t="str">
        <f>IF($A403&lt;&gt;"",'Approved-Enforcement'!E403,"")</f>
        <v/>
      </c>
      <c r="G403" t="str">
        <f>IF($A403&lt;&gt;"",'Approved-Enforcement'!F403,"")</f>
        <v/>
      </c>
      <c r="H403" t="str">
        <f>IF($A403&lt;&gt;"",'Approved-Enforcement'!G403,"")</f>
        <v/>
      </c>
      <c r="I403" t="str">
        <f>IF($A403&lt;&gt;"",'Approved-Enforcement'!H403,"")</f>
        <v/>
      </c>
      <c r="J403" t="str">
        <f>IF($A403&lt;&gt;"",'Approved-Enforcement'!I403,"")</f>
        <v/>
      </c>
      <c r="K403" t="str">
        <f>IF($A403&lt;&gt;"",'Approved-Enforcement'!J403,"")</f>
        <v/>
      </c>
      <c r="L403" t="str">
        <f>IF($A403&lt;&gt;"",'Approved-Enforcement'!K403,"")</f>
        <v/>
      </c>
      <c r="M403" t="str">
        <f>IF($A403&lt;&gt;"",'Approved-Enforcement'!L403,"")</f>
        <v/>
      </c>
      <c r="N403" t="str">
        <f>IF($A403&lt;&gt;"",'Approved-Enforcement'!M403,"")</f>
        <v/>
      </c>
      <c r="O403" t="str">
        <f>IF($A403&lt;&gt;"",'Approved-Enforcement'!N403,"")</f>
        <v/>
      </c>
      <c r="P403" t="str">
        <f>IF($A403&lt;&gt;"",'Approved-Enforcement'!O403,"")</f>
        <v/>
      </c>
    </row>
    <row r="404" spans="1:16" x14ac:dyDescent="0.35">
      <c r="A404" s="4" t="str">
        <f>IF('Approved-Enforcement'!$A404&lt;&gt;"",'Approved-Enforcement'!A404,"")</f>
        <v/>
      </c>
      <c r="B404" t="str">
        <f t="shared" si="6"/>
        <v/>
      </c>
      <c r="D404" t="str">
        <f>IF($A404&lt;&gt;"",IF($R404&lt;&gt;"",$R404,'Approved-Enforcement'!$B404+7),"")</f>
        <v/>
      </c>
      <c r="E404" t="str">
        <f>IF($A404&lt;&gt;"",'Approved-Enforcement'!D404,"")</f>
        <v/>
      </c>
      <c r="F404" t="str">
        <f>IF($A404&lt;&gt;"",'Approved-Enforcement'!E404,"")</f>
        <v/>
      </c>
      <c r="G404" t="str">
        <f>IF($A404&lt;&gt;"",'Approved-Enforcement'!F404,"")</f>
        <v/>
      </c>
      <c r="H404" t="str">
        <f>IF($A404&lt;&gt;"",'Approved-Enforcement'!G404,"")</f>
        <v/>
      </c>
      <c r="I404" t="str">
        <f>IF($A404&lt;&gt;"",'Approved-Enforcement'!H404,"")</f>
        <v/>
      </c>
      <c r="J404" t="str">
        <f>IF($A404&lt;&gt;"",'Approved-Enforcement'!I404,"")</f>
        <v/>
      </c>
      <c r="K404" t="str">
        <f>IF($A404&lt;&gt;"",'Approved-Enforcement'!J404,"")</f>
        <v/>
      </c>
      <c r="L404" t="str">
        <f>IF($A404&lt;&gt;"",'Approved-Enforcement'!K404,"")</f>
        <v/>
      </c>
      <c r="M404" t="str">
        <f>IF($A404&lt;&gt;"",'Approved-Enforcement'!L404,"")</f>
        <v/>
      </c>
      <c r="N404" t="str">
        <f>IF($A404&lt;&gt;"",'Approved-Enforcement'!M404,"")</f>
        <v/>
      </c>
      <c r="O404" t="str">
        <f>IF($A404&lt;&gt;"",'Approved-Enforcement'!N404,"")</f>
        <v/>
      </c>
      <c r="P404" t="str">
        <f>IF($A404&lt;&gt;"",'Approved-Enforcement'!O404,"")</f>
        <v/>
      </c>
    </row>
    <row r="405" spans="1:16" x14ac:dyDescent="0.35">
      <c r="A405" s="4" t="str">
        <f>IF('Approved-Enforcement'!$A405&lt;&gt;"",'Approved-Enforcement'!A405,"")</f>
        <v/>
      </c>
      <c r="B405" t="str">
        <f t="shared" si="6"/>
        <v/>
      </c>
      <c r="D405" t="str">
        <f>IF($A405&lt;&gt;"",IF($R405&lt;&gt;"",$R405,'Approved-Enforcement'!$B405+7),"")</f>
        <v/>
      </c>
      <c r="E405" t="str">
        <f>IF($A405&lt;&gt;"",'Approved-Enforcement'!D405,"")</f>
        <v/>
      </c>
      <c r="F405" t="str">
        <f>IF($A405&lt;&gt;"",'Approved-Enforcement'!E405,"")</f>
        <v/>
      </c>
      <c r="G405" t="str">
        <f>IF($A405&lt;&gt;"",'Approved-Enforcement'!F405,"")</f>
        <v/>
      </c>
      <c r="H405" t="str">
        <f>IF($A405&lt;&gt;"",'Approved-Enforcement'!G405,"")</f>
        <v/>
      </c>
      <c r="I405" t="str">
        <f>IF($A405&lt;&gt;"",'Approved-Enforcement'!H405,"")</f>
        <v/>
      </c>
      <c r="J405" t="str">
        <f>IF($A405&lt;&gt;"",'Approved-Enforcement'!I405,"")</f>
        <v/>
      </c>
      <c r="K405" t="str">
        <f>IF($A405&lt;&gt;"",'Approved-Enforcement'!J405,"")</f>
        <v/>
      </c>
      <c r="L405" t="str">
        <f>IF($A405&lt;&gt;"",'Approved-Enforcement'!K405,"")</f>
        <v/>
      </c>
      <c r="M405" t="str">
        <f>IF($A405&lt;&gt;"",'Approved-Enforcement'!L405,"")</f>
        <v/>
      </c>
      <c r="N405" t="str">
        <f>IF($A405&lt;&gt;"",'Approved-Enforcement'!M405,"")</f>
        <v/>
      </c>
      <c r="O405" t="str">
        <f>IF($A405&lt;&gt;"",'Approved-Enforcement'!N405,"")</f>
        <v/>
      </c>
      <c r="P405" t="str">
        <f>IF($A405&lt;&gt;"",'Approved-Enforcement'!O405,"")</f>
        <v/>
      </c>
    </row>
    <row r="406" spans="1:16" x14ac:dyDescent="0.35">
      <c r="A406" s="4" t="str">
        <f>IF('Approved-Enforcement'!$A406&lt;&gt;"",'Approved-Enforcement'!A406,"")</f>
        <v/>
      </c>
      <c r="B406" t="str">
        <f t="shared" si="6"/>
        <v/>
      </c>
      <c r="D406" t="str">
        <f>IF($A406&lt;&gt;"",IF($R406&lt;&gt;"",$R406,'Approved-Enforcement'!$B406+7),"")</f>
        <v/>
      </c>
      <c r="E406" t="str">
        <f>IF($A406&lt;&gt;"",'Approved-Enforcement'!D406,"")</f>
        <v/>
      </c>
      <c r="F406" t="str">
        <f>IF($A406&lt;&gt;"",'Approved-Enforcement'!E406,"")</f>
        <v/>
      </c>
      <c r="G406" t="str">
        <f>IF($A406&lt;&gt;"",'Approved-Enforcement'!F406,"")</f>
        <v/>
      </c>
      <c r="H406" t="str">
        <f>IF($A406&lt;&gt;"",'Approved-Enforcement'!G406,"")</f>
        <v/>
      </c>
      <c r="I406" t="str">
        <f>IF($A406&lt;&gt;"",'Approved-Enforcement'!H406,"")</f>
        <v/>
      </c>
      <c r="J406" t="str">
        <f>IF($A406&lt;&gt;"",'Approved-Enforcement'!I406,"")</f>
        <v/>
      </c>
      <c r="K406" t="str">
        <f>IF($A406&lt;&gt;"",'Approved-Enforcement'!J406,"")</f>
        <v/>
      </c>
      <c r="L406" t="str">
        <f>IF($A406&lt;&gt;"",'Approved-Enforcement'!K406,"")</f>
        <v/>
      </c>
      <c r="M406" t="str">
        <f>IF($A406&lt;&gt;"",'Approved-Enforcement'!L406,"")</f>
        <v/>
      </c>
      <c r="N406" t="str">
        <f>IF($A406&lt;&gt;"",'Approved-Enforcement'!M406,"")</f>
        <v/>
      </c>
      <c r="O406" t="str">
        <f>IF($A406&lt;&gt;"",'Approved-Enforcement'!N406,"")</f>
        <v/>
      </c>
      <c r="P406" t="str">
        <f>IF($A406&lt;&gt;"",'Approved-Enforcement'!O406,"")</f>
        <v/>
      </c>
    </row>
    <row r="407" spans="1:16" x14ac:dyDescent="0.35">
      <c r="A407" s="4" t="str">
        <f>IF('Approved-Enforcement'!$A407&lt;&gt;"",'Approved-Enforcement'!A407,"")</f>
        <v/>
      </c>
      <c r="B407" t="str">
        <f t="shared" si="6"/>
        <v/>
      </c>
      <c r="D407" t="str">
        <f>IF($A407&lt;&gt;"",IF($R407&lt;&gt;"",$R407,'Approved-Enforcement'!$B407+7),"")</f>
        <v/>
      </c>
      <c r="E407" t="str">
        <f>IF($A407&lt;&gt;"",'Approved-Enforcement'!D407,"")</f>
        <v/>
      </c>
      <c r="F407" t="str">
        <f>IF($A407&lt;&gt;"",'Approved-Enforcement'!E407,"")</f>
        <v/>
      </c>
      <c r="G407" t="str">
        <f>IF($A407&lt;&gt;"",'Approved-Enforcement'!F407,"")</f>
        <v/>
      </c>
      <c r="H407" t="str">
        <f>IF($A407&lt;&gt;"",'Approved-Enforcement'!G407,"")</f>
        <v/>
      </c>
      <c r="I407" t="str">
        <f>IF($A407&lt;&gt;"",'Approved-Enforcement'!H407,"")</f>
        <v/>
      </c>
      <c r="J407" t="str">
        <f>IF($A407&lt;&gt;"",'Approved-Enforcement'!I407,"")</f>
        <v/>
      </c>
      <c r="K407" t="str">
        <f>IF($A407&lt;&gt;"",'Approved-Enforcement'!J407,"")</f>
        <v/>
      </c>
      <c r="L407" t="str">
        <f>IF($A407&lt;&gt;"",'Approved-Enforcement'!K407,"")</f>
        <v/>
      </c>
      <c r="M407" t="str">
        <f>IF($A407&lt;&gt;"",'Approved-Enforcement'!L407,"")</f>
        <v/>
      </c>
      <c r="N407" t="str">
        <f>IF($A407&lt;&gt;"",'Approved-Enforcement'!M407,"")</f>
        <v/>
      </c>
      <c r="O407" t="str">
        <f>IF($A407&lt;&gt;"",'Approved-Enforcement'!N407,"")</f>
        <v/>
      </c>
      <c r="P407" t="str">
        <f>IF($A407&lt;&gt;"",'Approved-Enforcement'!O407,"")</f>
        <v/>
      </c>
    </row>
    <row r="408" spans="1:16" x14ac:dyDescent="0.35">
      <c r="A408" s="4" t="str">
        <f>IF('Approved-Enforcement'!$A408&lt;&gt;"",'Approved-Enforcement'!A408,"")</f>
        <v/>
      </c>
      <c r="B408" t="str">
        <f t="shared" si="6"/>
        <v/>
      </c>
      <c r="D408" t="str">
        <f>IF($A408&lt;&gt;"",IF($R408&lt;&gt;"",$R408,'Approved-Enforcement'!$B408+7),"")</f>
        <v/>
      </c>
      <c r="E408" t="str">
        <f>IF($A408&lt;&gt;"",'Approved-Enforcement'!D408,"")</f>
        <v/>
      </c>
      <c r="F408" t="str">
        <f>IF($A408&lt;&gt;"",'Approved-Enforcement'!E408,"")</f>
        <v/>
      </c>
      <c r="G408" t="str">
        <f>IF($A408&lt;&gt;"",'Approved-Enforcement'!F408,"")</f>
        <v/>
      </c>
      <c r="H408" t="str">
        <f>IF($A408&lt;&gt;"",'Approved-Enforcement'!G408,"")</f>
        <v/>
      </c>
      <c r="I408" t="str">
        <f>IF($A408&lt;&gt;"",'Approved-Enforcement'!H408,"")</f>
        <v/>
      </c>
      <c r="J408" t="str">
        <f>IF($A408&lt;&gt;"",'Approved-Enforcement'!I408,"")</f>
        <v/>
      </c>
      <c r="K408" t="str">
        <f>IF($A408&lt;&gt;"",'Approved-Enforcement'!J408,"")</f>
        <v/>
      </c>
      <c r="L408" t="str">
        <f>IF($A408&lt;&gt;"",'Approved-Enforcement'!K408,"")</f>
        <v/>
      </c>
      <c r="M408" t="str">
        <f>IF($A408&lt;&gt;"",'Approved-Enforcement'!L408,"")</f>
        <v/>
      </c>
      <c r="N408" t="str">
        <f>IF($A408&lt;&gt;"",'Approved-Enforcement'!M408,"")</f>
        <v/>
      </c>
      <c r="O408" t="str">
        <f>IF($A408&lt;&gt;"",'Approved-Enforcement'!N408,"")</f>
        <v/>
      </c>
      <c r="P408" t="str">
        <f>IF($A408&lt;&gt;"",'Approved-Enforcement'!O408,"")</f>
        <v/>
      </c>
    </row>
    <row r="409" spans="1:16" x14ac:dyDescent="0.35">
      <c r="A409" s="4" t="str">
        <f>IF('Approved-Enforcement'!$A409&lt;&gt;"",'Approved-Enforcement'!A409,"")</f>
        <v/>
      </c>
      <c r="B409" t="str">
        <f t="shared" si="6"/>
        <v/>
      </c>
      <c r="D409" t="str">
        <f>IF($A409&lt;&gt;"",IF($R409&lt;&gt;"",$R409,'Approved-Enforcement'!$B409+7),"")</f>
        <v/>
      </c>
      <c r="E409" t="str">
        <f>IF($A409&lt;&gt;"",'Approved-Enforcement'!D409,"")</f>
        <v/>
      </c>
      <c r="F409" t="str">
        <f>IF($A409&lt;&gt;"",'Approved-Enforcement'!E409,"")</f>
        <v/>
      </c>
      <c r="G409" t="str">
        <f>IF($A409&lt;&gt;"",'Approved-Enforcement'!F409,"")</f>
        <v/>
      </c>
      <c r="H409" t="str">
        <f>IF($A409&lt;&gt;"",'Approved-Enforcement'!G409,"")</f>
        <v/>
      </c>
      <c r="I409" t="str">
        <f>IF($A409&lt;&gt;"",'Approved-Enforcement'!H409,"")</f>
        <v/>
      </c>
      <c r="J409" t="str">
        <f>IF($A409&lt;&gt;"",'Approved-Enforcement'!I409,"")</f>
        <v/>
      </c>
      <c r="K409" t="str">
        <f>IF($A409&lt;&gt;"",'Approved-Enforcement'!J409,"")</f>
        <v/>
      </c>
      <c r="L409" t="str">
        <f>IF($A409&lt;&gt;"",'Approved-Enforcement'!K409,"")</f>
        <v/>
      </c>
      <c r="M409" t="str">
        <f>IF($A409&lt;&gt;"",'Approved-Enforcement'!L409,"")</f>
        <v/>
      </c>
      <c r="N409" t="str">
        <f>IF($A409&lt;&gt;"",'Approved-Enforcement'!M409,"")</f>
        <v/>
      </c>
      <c r="O409" t="str">
        <f>IF($A409&lt;&gt;"",'Approved-Enforcement'!N409,"")</f>
        <v/>
      </c>
      <c r="P409" t="str">
        <f>IF($A409&lt;&gt;"",'Approved-Enforcement'!O409,"")</f>
        <v/>
      </c>
    </row>
    <row r="410" spans="1:16" x14ac:dyDescent="0.35">
      <c r="A410" s="4" t="str">
        <f>IF('Approved-Enforcement'!$A410&lt;&gt;"",'Approved-Enforcement'!A410,"")</f>
        <v/>
      </c>
      <c r="B410" t="str">
        <f t="shared" si="6"/>
        <v/>
      </c>
      <c r="D410" t="str">
        <f>IF($A410&lt;&gt;"",IF($R410&lt;&gt;"",$R410,'Approved-Enforcement'!$B410+7),"")</f>
        <v/>
      </c>
      <c r="E410" t="str">
        <f>IF($A410&lt;&gt;"",'Approved-Enforcement'!D410,"")</f>
        <v/>
      </c>
      <c r="F410" t="str">
        <f>IF($A410&lt;&gt;"",'Approved-Enforcement'!E410,"")</f>
        <v/>
      </c>
      <c r="G410" t="str">
        <f>IF($A410&lt;&gt;"",'Approved-Enforcement'!F410,"")</f>
        <v/>
      </c>
      <c r="H410" t="str">
        <f>IF($A410&lt;&gt;"",'Approved-Enforcement'!G410,"")</f>
        <v/>
      </c>
      <c r="I410" t="str">
        <f>IF($A410&lt;&gt;"",'Approved-Enforcement'!H410,"")</f>
        <v/>
      </c>
      <c r="J410" t="str">
        <f>IF($A410&lt;&gt;"",'Approved-Enforcement'!I410,"")</f>
        <v/>
      </c>
      <c r="K410" t="str">
        <f>IF($A410&lt;&gt;"",'Approved-Enforcement'!J410,"")</f>
        <v/>
      </c>
      <c r="L410" t="str">
        <f>IF($A410&lt;&gt;"",'Approved-Enforcement'!K410,"")</f>
        <v/>
      </c>
      <c r="M410" t="str">
        <f>IF($A410&lt;&gt;"",'Approved-Enforcement'!L410,"")</f>
        <v/>
      </c>
      <c r="N410" t="str">
        <f>IF($A410&lt;&gt;"",'Approved-Enforcement'!M410,"")</f>
        <v/>
      </c>
      <c r="O410" t="str">
        <f>IF($A410&lt;&gt;"",'Approved-Enforcement'!N410,"")</f>
        <v/>
      </c>
      <c r="P410" t="str">
        <f>IF($A410&lt;&gt;"",'Approved-Enforcement'!O410,"")</f>
        <v/>
      </c>
    </row>
    <row r="411" spans="1:16" x14ac:dyDescent="0.35">
      <c r="A411" s="4" t="str">
        <f>IF('Approved-Enforcement'!$A411&lt;&gt;"",'Approved-Enforcement'!A411,"")</f>
        <v/>
      </c>
      <c r="B411" t="str">
        <f t="shared" si="6"/>
        <v/>
      </c>
      <c r="D411" t="str">
        <f>IF($A411&lt;&gt;"",IF($R411&lt;&gt;"",$R411,'Approved-Enforcement'!$B411+7),"")</f>
        <v/>
      </c>
      <c r="E411" t="str">
        <f>IF($A411&lt;&gt;"",'Approved-Enforcement'!D411,"")</f>
        <v/>
      </c>
      <c r="F411" t="str">
        <f>IF($A411&lt;&gt;"",'Approved-Enforcement'!E411,"")</f>
        <v/>
      </c>
      <c r="G411" t="str">
        <f>IF($A411&lt;&gt;"",'Approved-Enforcement'!F411,"")</f>
        <v/>
      </c>
      <c r="H411" t="str">
        <f>IF($A411&lt;&gt;"",'Approved-Enforcement'!G411,"")</f>
        <v/>
      </c>
      <c r="I411" t="str">
        <f>IF($A411&lt;&gt;"",'Approved-Enforcement'!H411,"")</f>
        <v/>
      </c>
      <c r="J411" t="str">
        <f>IF($A411&lt;&gt;"",'Approved-Enforcement'!I411,"")</f>
        <v/>
      </c>
      <c r="K411" t="str">
        <f>IF($A411&lt;&gt;"",'Approved-Enforcement'!J411,"")</f>
        <v/>
      </c>
      <c r="L411" t="str">
        <f>IF($A411&lt;&gt;"",'Approved-Enforcement'!K411,"")</f>
        <v/>
      </c>
      <c r="M411" t="str">
        <f>IF($A411&lt;&gt;"",'Approved-Enforcement'!L411,"")</f>
        <v/>
      </c>
      <c r="N411" t="str">
        <f>IF($A411&lt;&gt;"",'Approved-Enforcement'!M411,"")</f>
        <v/>
      </c>
      <c r="O411" t="str">
        <f>IF($A411&lt;&gt;"",'Approved-Enforcement'!N411,"")</f>
        <v/>
      </c>
      <c r="P411" t="str">
        <f>IF($A411&lt;&gt;"",'Approved-Enforcement'!O411,"")</f>
        <v/>
      </c>
    </row>
    <row r="412" spans="1:16" x14ac:dyDescent="0.35">
      <c r="A412" s="4" t="str">
        <f>IF('Approved-Enforcement'!$A412&lt;&gt;"",'Approved-Enforcement'!A412,"")</f>
        <v/>
      </c>
      <c r="B412" t="str">
        <f t="shared" si="6"/>
        <v/>
      </c>
      <c r="D412" t="str">
        <f>IF($A412&lt;&gt;"",IF($R412&lt;&gt;"",$R412,'Approved-Enforcement'!$B412+7),"")</f>
        <v/>
      </c>
      <c r="E412" t="str">
        <f>IF($A412&lt;&gt;"",'Approved-Enforcement'!D412,"")</f>
        <v/>
      </c>
      <c r="F412" t="str">
        <f>IF($A412&lt;&gt;"",'Approved-Enforcement'!E412,"")</f>
        <v/>
      </c>
      <c r="G412" t="str">
        <f>IF($A412&lt;&gt;"",'Approved-Enforcement'!F412,"")</f>
        <v/>
      </c>
      <c r="H412" t="str">
        <f>IF($A412&lt;&gt;"",'Approved-Enforcement'!G412,"")</f>
        <v/>
      </c>
      <c r="I412" t="str">
        <f>IF($A412&lt;&gt;"",'Approved-Enforcement'!H412,"")</f>
        <v/>
      </c>
      <c r="J412" t="str">
        <f>IF($A412&lt;&gt;"",'Approved-Enforcement'!I412,"")</f>
        <v/>
      </c>
      <c r="K412" t="str">
        <f>IF($A412&lt;&gt;"",'Approved-Enforcement'!J412,"")</f>
        <v/>
      </c>
      <c r="L412" t="str">
        <f>IF($A412&lt;&gt;"",'Approved-Enforcement'!K412,"")</f>
        <v/>
      </c>
      <c r="M412" t="str">
        <f>IF($A412&lt;&gt;"",'Approved-Enforcement'!L412,"")</f>
        <v/>
      </c>
      <c r="N412" t="str">
        <f>IF($A412&lt;&gt;"",'Approved-Enforcement'!M412,"")</f>
        <v/>
      </c>
      <c r="O412" t="str">
        <f>IF($A412&lt;&gt;"",'Approved-Enforcement'!N412,"")</f>
        <v/>
      </c>
      <c r="P412" t="str">
        <f>IF($A412&lt;&gt;"",'Approved-Enforcement'!O412,"")</f>
        <v/>
      </c>
    </row>
    <row r="413" spans="1:16" x14ac:dyDescent="0.35">
      <c r="A413" s="4" t="str">
        <f>IF('Approved-Enforcement'!$A413&lt;&gt;"",'Approved-Enforcement'!A413,"")</f>
        <v/>
      </c>
      <c r="B413" t="str">
        <f t="shared" si="6"/>
        <v/>
      </c>
      <c r="D413" t="str">
        <f>IF($A413&lt;&gt;"",IF($R413&lt;&gt;"",$R413,'Approved-Enforcement'!$B413+7),"")</f>
        <v/>
      </c>
      <c r="E413" t="str">
        <f>IF($A413&lt;&gt;"",'Approved-Enforcement'!D413,"")</f>
        <v/>
      </c>
      <c r="F413" t="str">
        <f>IF($A413&lt;&gt;"",'Approved-Enforcement'!E413,"")</f>
        <v/>
      </c>
      <c r="G413" t="str">
        <f>IF($A413&lt;&gt;"",'Approved-Enforcement'!F413,"")</f>
        <v/>
      </c>
      <c r="H413" t="str">
        <f>IF($A413&lt;&gt;"",'Approved-Enforcement'!G413,"")</f>
        <v/>
      </c>
      <c r="I413" t="str">
        <f>IF($A413&lt;&gt;"",'Approved-Enforcement'!H413,"")</f>
        <v/>
      </c>
      <c r="J413" t="str">
        <f>IF($A413&lt;&gt;"",'Approved-Enforcement'!I413,"")</f>
        <v/>
      </c>
      <c r="K413" t="str">
        <f>IF($A413&lt;&gt;"",'Approved-Enforcement'!J413,"")</f>
        <v/>
      </c>
      <c r="L413" t="str">
        <f>IF($A413&lt;&gt;"",'Approved-Enforcement'!K413,"")</f>
        <v/>
      </c>
      <c r="M413" t="str">
        <f>IF($A413&lt;&gt;"",'Approved-Enforcement'!L413,"")</f>
        <v/>
      </c>
      <c r="N413" t="str">
        <f>IF($A413&lt;&gt;"",'Approved-Enforcement'!M413,"")</f>
        <v/>
      </c>
      <c r="O413" t="str">
        <f>IF($A413&lt;&gt;"",'Approved-Enforcement'!N413,"")</f>
        <v/>
      </c>
      <c r="P413" t="str">
        <f>IF($A413&lt;&gt;"",'Approved-Enforcement'!O413,"")</f>
        <v/>
      </c>
    </row>
    <row r="414" spans="1:16" x14ac:dyDescent="0.35">
      <c r="A414" s="4" t="str">
        <f>IF('Approved-Enforcement'!$A414&lt;&gt;"",'Approved-Enforcement'!A414,"")</f>
        <v/>
      </c>
      <c r="B414" t="str">
        <f t="shared" si="6"/>
        <v/>
      </c>
      <c r="D414" t="str">
        <f>IF($A414&lt;&gt;"",IF($R414&lt;&gt;"",$R414,'Approved-Enforcement'!$B414+7),"")</f>
        <v/>
      </c>
      <c r="E414" t="str">
        <f>IF($A414&lt;&gt;"",'Approved-Enforcement'!D414,"")</f>
        <v/>
      </c>
      <c r="F414" t="str">
        <f>IF($A414&lt;&gt;"",'Approved-Enforcement'!E414,"")</f>
        <v/>
      </c>
      <c r="G414" t="str">
        <f>IF($A414&lt;&gt;"",'Approved-Enforcement'!F414,"")</f>
        <v/>
      </c>
      <c r="H414" t="str">
        <f>IF($A414&lt;&gt;"",'Approved-Enforcement'!G414,"")</f>
        <v/>
      </c>
      <c r="I414" t="str">
        <f>IF($A414&lt;&gt;"",'Approved-Enforcement'!H414,"")</f>
        <v/>
      </c>
      <c r="J414" t="str">
        <f>IF($A414&lt;&gt;"",'Approved-Enforcement'!I414,"")</f>
        <v/>
      </c>
      <c r="K414" t="str">
        <f>IF($A414&lt;&gt;"",'Approved-Enforcement'!J414,"")</f>
        <v/>
      </c>
      <c r="L414" t="str">
        <f>IF($A414&lt;&gt;"",'Approved-Enforcement'!K414,"")</f>
        <v/>
      </c>
      <c r="M414" t="str">
        <f>IF($A414&lt;&gt;"",'Approved-Enforcement'!L414,"")</f>
        <v/>
      </c>
      <c r="N414" t="str">
        <f>IF($A414&lt;&gt;"",'Approved-Enforcement'!M414,"")</f>
        <v/>
      </c>
      <c r="O414" t="str">
        <f>IF($A414&lt;&gt;"",'Approved-Enforcement'!N414,"")</f>
        <v/>
      </c>
      <c r="P414" t="str">
        <f>IF($A414&lt;&gt;"",'Approved-Enforcement'!O414,"")</f>
        <v/>
      </c>
    </row>
    <row r="415" spans="1:16" x14ac:dyDescent="0.35">
      <c r="A415" s="4" t="str">
        <f>IF('Approved-Enforcement'!$A415&lt;&gt;"",'Approved-Enforcement'!A415,"")</f>
        <v/>
      </c>
      <c r="B415" t="str">
        <f t="shared" si="6"/>
        <v/>
      </c>
      <c r="D415" t="str">
        <f>IF($A415&lt;&gt;"",IF($R415&lt;&gt;"",$R415,'Approved-Enforcement'!$B415+7),"")</f>
        <v/>
      </c>
      <c r="E415" t="str">
        <f>IF($A415&lt;&gt;"",'Approved-Enforcement'!D415,"")</f>
        <v/>
      </c>
      <c r="F415" t="str">
        <f>IF($A415&lt;&gt;"",'Approved-Enforcement'!E415,"")</f>
        <v/>
      </c>
      <c r="G415" t="str">
        <f>IF($A415&lt;&gt;"",'Approved-Enforcement'!F415,"")</f>
        <v/>
      </c>
      <c r="H415" t="str">
        <f>IF($A415&lt;&gt;"",'Approved-Enforcement'!G415,"")</f>
        <v/>
      </c>
      <c r="I415" t="str">
        <f>IF($A415&lt;&gt;"",'Approved-Enforcement'!H415,"")</f>
        <v/>
      </c>
      <c r="J415" t="str">
        <f>IF($A415&lt;&gt;"",'Approved-Enforcement'!I415,"")</f>
        <v/>
      </c>
      <c r="K415" t="str">
        <f>IF($A415&lt;&gt;"",'Approved-Enforcement'!J415,"")</f>
        <v/>
      </c>
      <c r="L415" t="str">
        <f>IF($A415&lt;&gt;"",'Approved-Enforcement'!K415,"")</f>
        <v/>
      </c>
      <c r="M415" t="str">
        <f>IF($A415&lt;&gt;"",'Approved-Enforcement'!L415,"")</f>
        <v/>
      </c>
      <c r="N415" t="str">
        <f>IF($A415&lt;&gt;"",'Approved-Enforcement'!M415,"")</f>
        <v/>
      </c>
      <c r="O415" t="str">
        <f>IF($A415&lt;&gt;"",'Approved-Enforcement'!N415,"")</f>
        <v/>
      </c>
      <c r="P415" t="str">
        <f>IF($A415&lt;&gt;"",'Approved-Enforcement'!O415,"")</f>
        <v/>
      </c>
    </row>
    <row r="416" spans="1:16" x14ac:dyDescent="0.35">
      <c r="A416" s="4" t="str">
        <f>IF('Approved-Enforcement'!$A416&lt;&gt;"",'Approved-Enforcement'!A416,"")</f>
        <v/>
      </c>
      <c r="B416" t="str">
        <f t="shared" si="6"/>
        <v/>
      </c>
      <c r="D416" t="str">
        <f>IF($A416&lt;&gt;"",IF($R416&lt;&gt;"",$R416,'Approved-Enforcement'!$B416+7),"")</f>
        <v/>
      </c>
      <c r="E416" t="str">
        <f>IF($A416&lt;&gt;"",'Approved-Enforcement'!D416,"")</f>
        <v/>
      </c>
      <c r="F416" t="str">
        <f>IF($A416&lt;&gt;"",'Approved-Enforcement'!E416,"")</f>
        <v/>
      </c>
      <c r="G416" t="str">
        <f>IF($A416&lt;&gt;"",'Approved-Enforcement'!F416,"")</f>
        <v/>
      </c>
      <c r="H416" t="str">
        <f>IF($A416&lt;&gt;"",'Approved-Enforcement'!G416,"")</f>
        <v/>
      </c>
      <c r="I416" t="str">
        <f>IF($A416&lt;&gt;"",'Approved-Enforcement'!H416,"")</f>
        <v/>
      </c>
      <c r="J416" t="str">
        <f>IF($A416&lt;&gt;"",'Approved-Enforcement'!I416,"")</f>
        <v/>
      </c>
      <c r="K416" t="str">
        <f>IF($A416&lt;&gt;"",'Approved-Enforcement'!J416,"")</f>
        <v/>
      </c>
      <c r="L416" t="str">
        <f>IF($A416&lt;&gt;"",'Approved-Enforcement'!K416,"")</f>
        <v/>
      </c>
      <c r="M416" t="str">
        <f>IF($A416&lt;&gt;"",'Approved-Enforcement'!L416,"")</f>
        <v/>
      </c>
      <c r="N416" t="str">
        <f>IF($A416&lt;&gt;"",'Approved-Enforcement'!M416,"")</f>
        <v/>
      </c>
      <c r="O416" t="str">
        <f>IF($A416&lt;&gt;"",'Approved-Enforcement'!N416,"")</f>
        <v/>
      </c>
      <c r="P416" t="str">
        <f>IF($A416&lt;&gt;"",'Approved-Enforcement'!O416,"")</f>
        <v/>
      </c>
    </row>
    <row r="417" spans="1:16" x14ac:dyDescent="0.35">
      <c r="A417" s="4" t="str">
        <f>IF('Approved-Enforcement'!$A417&lt;&gt;"",'Approved-Enforcement'!A417,"")</f>
        <v/>
      </c>
      <c r="B417" t="str">
        <f t="shared" si="6"/>
        <v/>
      </c>
      <c r="D417" t="str">
        <f>IF($A417&lt;&gt;"",IF($R417&lt;&gt;"",$R417,'Approved-Enforcement'!$B417+7),"")</f>
        <v/>
      </c>
      <c r="E417" t="str">
        <f>IF($A417&lt;&gt;"",'Approved-Enforcement'!D417,"")</f>
        <v/>
      </c>
      <c r="F417" t="str">
        <f>IF($A417&lt;&gt;"",'Approved-Enforcement'!E417,"")</f>
        <v/>
      </c>
      <c r="G417" t="str">
        <f>IF($A417&lt;&gt;"",'Approved-Enforcement'!F417,"")</f>
        <v/>
      </c>
      <c r="H417" t="str">
        <f>IF($A417&lt;&gt;"",'Approved-Enforcement'!G417,"")</f>
        <v/>
      </c>
      <c r="I417" t="str">
        <f>IF($A417&lt;&gt;"",'Approved-Enforcement'!H417,"")</f>
        <v/>
      </c>
      <c r="J417" t="str">
        <f>IF($A417&lt;&gt;"",'Approved-Enforcement'!I417,"")</f>
        <v/>
      </c>
      <c r="K417" t="str">
        <f>IF($A417&lt;&gt;"",'Approved-Enforcement'!J417,"")</f>
        <v/>
      </c>
      <c r="L417" t="str">
        <f>IF($A417&lt;&gt;"",'Approved-Enforcement'!K417,"")</f>
        <v/>
      </c>
      <c r="M417" t="str">
        <f>IF($A417&lt;&gt;"",'Approved-Enforcement'!L417,"")</f>
        <v/>
      </c>
      <c r="N417" t="str">
        <f>IF($A417&lt;&gt;"",'Approved-Enforcement'!M417,"")</f>
        <v/>
      </c>
      <c r="O417" t="str">
        <f>IF($A417&lt;&gt;"",'Approved-Enforcement'!N417,"")</f>
        <v/>
      </c>
      <c r="P417" t="str">
        <f>IF($A417&lt;&gt;"",'Approved-Enforcement'!O417,"")</f>
        <v/>
      </c>
    </row>
    <row r="418" spans="1:16" x14ac:dyDescent="0.35">
      <c r="A418" s="4" t="str">
        <f>IF('Approved-Enforcement'!$A418&lt;&gt;"",'Approved-Enforcement'!A418,"")</f>
        <v/>
      </c>
      <c r="B418" t="str">
        <f t="shared" si="6"/>
        <v/>
      </c>
      <c r="D418" t="str">
        <f>IF($A418&lt;&gt;"",IF($R418&lt;&gt;"",$R418,'Approved-Enforcement'!$B418+7),"")</f>
        <v/>
      </c>
      <c r="E418" t="str">
        <f>IF($A418&lt;&gt;"",'Approved-Enforcement'!D418,"")</f>
        <v/>
      </c>
      <c r="F418" t="str">
        <f>IF($A418&lt;&gt;"",'Approved-Enforcement'!E418,"")</f>
        <v/>
      </c>
      <c r="G418" t="str">
        <f>IF($A418&lt;&gt;"",'Approved-Enforcement'!F418,"")</f>
        <v/>
      </c>
      <c r="H418" t="str">
        <f>IF($A418&lt;&gt;"",'Approved-Enforcement'!G418,"")</f>
        <v/>
      </c>
      <c r="I418" t="str">
        <f>IF($A418&lt;&gt;"",'Approved-Enforcement'!H418,"")</f>
        <v/>
      </c>
      <c r="J418" t="str">
        <f>IF($A418&lt;&gt;"",'Approved-Enforcement'!I418,"")</f>
        <v/>
      </c>
      <c r="K418" t="str">
        <f>IF($A418&lt;&gt;"",'Approved-Enforcement'!J418,"")</f>
        <v/>
      </c>
      <c r="L418" t="str">
        <f>IF($A418&lt;&gt;"",'Approved-Enforcement'!K418,"")</f>
        <v/>
      </c>
      <c r="M418" t="str">
        <f>IF($A418&lt;&gt;"",'Approved-Enforcement'!L418,"")</f>
        <v/>
      </c>
      <c r="N418" t="str">
        <f>IF($A418&lt;&gt;"",'Approved-Enforcement'!M418,"")</f>
        <v/>
      </c>
      <c r="O418" t="str">
        <f>IF($A418&lt;&gt;"",'Approved-Enforcement'!N418,"")</f>
        <v/>
      </c>
      <c r="P418" t="str">
        <f>IF($A418&lt;&gt;"",'Approved-Enforcement'!O418,"")</f>
        <v/>
      </c>
    </row>
    <row r="419" spans="1:16" x14ac:dyDescent="0.35">
      <c r="A419" s="4" t="str">
        <f>IF('Approved-Enforcement'!$A419&lt;&gt;"",'Approved-Enforcement'!A419,"")</f>
        <v/>
      </c>
      <c r="B419" t="str">
        <f t="shared" si="6"/>
        <v/>
      </c>
      <c r="D419" t="str">
        <f>IF($A419&lt;&gt;"",IF($R419&lt;&gt;"",$R419,'Approved-Enforcement'!$B419+7),"")</f>
        <v/>
      </c>
      <c r="E419" t="str">
        <f>IF($A419&lt;&gt;"",'Approved-Enforcement'!D419,"")</f>
        <v/>
      </c>
      <c r="F419" t="str">
        <f>IF($A419&lt;&gt;"",'Approved-Enforcement'!E419,"")</f>
        <v/>
      </c>
      <c r="G419" t="str">
        <f>IF($A419&lt;&gt;"",'Approved-Enforcement'!F419,"")</f>
        <v/>
      </c>
      <c r="H419" t="str">
        <f>IF($A419&lt;&gt;"",'Approved-Enforcement'!G419,"")</f>
        <v/>
      </c>
      <c r="I419" t="str">
        <f>IF($A419&lt;&gt;"",'Approved-Enforcement'!H419,"")</f>
        <v/>
      </c>
      <c r="J419" t="str">
        <f>IF($A419&lt;&gt;"",'Approved-Enforcement'!I419,"")</f>
        <v/>
      </c>
      <c r="K419" t="str">
        <f>IF($A419&lt;&gt;"",'Approved-Enforcement'!J419,"")</f>
        <v/>
      </c>
      <c r="L419" t="str">
        <f>IF($A419&lt;&gt;"",'Approved-Enforcement'!K419,"")</f>
        <v/>
      </c>
      <c r="M419" t="str">
        <f>IF($A419&lt;&gt;"",'Approved-Enforcement'!L419,"")</f>
        <v/>
      </c>
      <c r="N419" t="str">
        <f>IF($A419&lt;&gt;"",'Approved-Enforcement'!M419,"")</f>
        <v/>
      </c>
      <c r="O419" t="str">
        <f>IF($A419&lt;&gt;"",'Approved-Enforcement'!N419,"")</f>
        <v/>
      </c>
      <c r="P419" t="str">
        <f>IF($A419&lt;&gt;"",'Approved-Enforcement'!O419,"")</f>
        <v/>
      </c>
    </row>
    <row r="420" spans="1:16" x14ac:dyDescent="0.35">
      <c r="A420" s="4" t="str">
        <f>IF('Approved-Enforcement'!$A420&lt;&gt;"",'Approved-Enforcement'!A420,"")</f>
        <v/>
      </c>
      <c r="B420" t="str">
        <f t="shared" si="6"/>
        <v/>
      </c>
      <c r="D420" t="str">
        <f>IF($A420&lt;&gt;"",IF($R420&lt;&gt;"",$R420,'Approved-Enforcement'!$B420+7),"")</f>
        <v/>
      </c>
      <c r="E420" t="str">
        <f>IF($A420&lt;&gt;"",'Approved-Enforcement'!D420,"")</f>
        <v/>
      </c>
      <c r="F420" t="str">
        <f>IF($A420&lt;&gt;"",'Approved-Enforcement'!E420,"")</f>
        <v/>
      </c>
      <c r="G420" t="str">
        <f>IF($A420&lt;&gt;"",'Approved-Enforcement'!F420,"")</f>
        <v/>
      </c>
      <c r="H420" t="str">
        <f>IF($A420&lt;&gt;"",'Approved-Enforcement'!G420,"")</f>
        <v/>
      </c>
      <c r="I420" t="str">
        <f>IF($A420&lt;&gt;"",'Approved-Enforcement'!H420,"")</f>
        <v/>
      </c>
      <c r="J420" t="str">
        <f>IF($A420&lt;&gt;"",'Approved-Enforcement'!I420,"")</f>
        <v/>
      </c>
      <c r="K420" t="str">
        <f>IF($A420&lt;&gt;"",'Approved-Enforcement'!J420,"")</f>
        <v/>
      </c>
      <c r="L420" t="str">
        <f>IF($A420&lt;&gt;"",'Approved-Enforcement'!K420,"")</f>
        <v/>
      </c>
      <c r="M420" t="str">
        <f>IF($A420&lt;&gt;"",'Approved-Enforcement'!L420,"")</f>
        <v/>
      </c>
      <c r="N420" t="str">
        <f>IF($A420&lt;&gt;"",'Approved-Enforcement'!M420,"")</f>
        <v/>
      </c>
      <c r="O420" t="str">
        <f>IF($A420&lt;&gt;"",'Approved-Enforcement'!N420,"")</f>
        <v/>
      </c>
      <c r="P420" t="str">
        <f>IF($A420&lt;&gt;"",'Approved-Enforcement'!O420,"")</f>
        <v/>
      </c>
    </row>
    <row r="421" spans="1:16" x14ac:dyDescent="0.35">
      <c r="A421" s="4" t="str">
        <f>IF('Approved-Enforcement'!$A421&lt;&gt;"",'Approved-Enforcement'!A421,"")</f>
        <v/>
      </c>
      <c r="B421" t="str">
        <f t="shared" si="6"/>
        <v/>
      </c>
      <c r="D421" t="str">
        <f>IF($A421&lt;&gt;"",IF($R421&lt;&gt;"",$R421,'Approved-Enforcement'!$B421+7),"")</f>
        <v/>
      </c>
      <c r="E421" t="str">
        <f>IF($A421&lt;&gt;"",'Approved-Enforcement'!D421,"")</f>
        <v/>
      </c>
      <c r="F421" t="str">
        <f>IF($A421&lt;&gt;"",'Approved-Enforcement'!E421,"")</f>
        <v/>
      </c>
      <c r="G421" t="str">
        <f>IF($A421&lt;&gt;"",'Approved-Enforcement'!F421,"")</f>
        <v/>
      </c>
      <c r="H421" t="str">
        <f>IF($A421&lt;&gt;"",'Approved-Enforcement'!G421,"")</f>
        <v/>
      </c>
      <c r="I421" t="str">
        <f>IF($A421&lt;&gt;"",'Approved-Enforcement'!H421,"")</f>
        <v/>
      </c>
      <c r="J421" t="str">
        <f>IF($A421&lt;&gt;"",'Approved-Enforcement'!I421,"")</f>
        <v/>
      </c>
      <c r="K421" t="str">
        <f>IF($A421&lt;&gt;"",'Approved-Enforcement'!J421,"")</f>
        <v/>
      </c>
      <c r="L421" t="str">
        <f>IF($A421&lt;&gt;"",'Approved-Enforcement'!K421,"")</f>
        <v/>
      </c>
      <c r="M421" t="str">
        <f>IF($A421&lt;&gt;"",'Approved-Enforcement'!L421,"")</f>
        <v/>
      </c>
      <c r="N421" t="str">
        <f>IF($A421&lt;&gt;"",'Approved-Enforcement'!M421,"")</f>
        <v/>
      </c>
      <c r="O421" t="str">
        <f>IF($A421&lt;&gt;"",'Approved-Enforcement'!N421,"")</f>
        <v/>
      </c>
      <c r="P421" t="str">
        <f>IF($A421&lt;&gt;"",'Approved-Enforcement'!O421,"")</f>
        <v/>
      </c>
    </row>
    <row r="422" spans="1:16" x14ac:dyDescent="0.35">
      <c r="A422" s="4" t="str">
        <f>IF('Approved-Enforcement'!$A422&lt;&gt;"",'Approved-Enforcement'!A422,"")</f>
        <v/>
      </c>
      <c r="B422" t="str">
        <f t="shared" si="6"/>
        <v/>
      </c>
      <c r="D422" t="str">
        <f>IF($A422&lt;&gt;"",IF($R422&lt;&gt;"",$R422,'Approved-Enforcement'!$B422+7),"")</f>
        <v/>
      </c>
      <c r="E422" t="str">
        <f>IF($A422&lt;&gt;"",'Approved-Enforcement'!D422,"")</f>
        <v/>
      </c>
      <c r="F422" t="str">
        <f>IF($A422&lt;&gt;"",'Approved-Enforcement'!E422,"")</f>
        <v/>
      </c>
      <c r="G422" t="str">
        <f>IF($A422&lt;&gt;"",'Approved-Enforcement'!F422,"")</f>
        <v/>
      </c>
      <c r="H422" t="str">
        <f>IF($A422&lt;&gt;"",'Approved-Enforcement'!G422,"")</f>
        <v/>
      </c>
      <c r="I422" t="str">
        <f>IF($A422&lt;&gt;"",'Approved-Enforcement'!H422,"")</f>
        <v/>
      </c>
      <c r="J422" t="str">
        <f>IF($A422&lt;&gt;"",'Approved-Enforcement'!I422,"")</f>
        <v/>
      </c>
      <c r="K422" t="str">
        <f>IF($A422&lt;&gt;"",'Approved-Enforcement'!J422,"")</f>
        <v/>
      </c>
      <c r="L422" t="str">
        <f>IF($A422&lt;&gt;"",'Approved-Enforcement'!K422,"")</f>
        <v/>
      </c>
      <c r="M422" t="str">
        <f>IF($A422&lt;&gt;"",'Approved-Enforcement'!L422,"")</f>
        <v/>
      </c>
      <c r="N422" t="str">
        <f>IF($A422&lt;&gt;"",'Approved-Enforcement'!M422,"")</f>
        <v/>
      </c>
      <c r="O422" t="str">
        <f>IF($A422&lt;&gt;"",'Approved-Enforcement'!N422,"")</f>
        <v/>
      </c>
      <c r="P422" t="str">
        <f>IF($A422&lt;&gt;"",'Approved-Enforcement'!O422,"")</f>
        <v/>
      </c>
    </row>
    <row r="423" spans="1:16" x14ac:dyDescent="0.35">
      <c r="A423" s="4" t="str">
        <f>IF('Approved-Enforcement'!$A423&lt;&gt;"",'Approved-Enforcement'!A423,"")</f>
        <v/>
      </c>
      <c r="B423" t="str">
        <f t="shared" si="6"/>
        <v/>
      </c>
      <c r="D423" t="str">
        <f>IF($A423&lt;&gt;"",IF($R423&lt;&gt;"",$R423,'Approved-Enforcement'!$B423+7),"")</f>
        <v/>
      </c>
      <c r="E423" t="str">
        <f>IF($A423&lt;&gt;"",'Approved-Enforcement'!D423,"")</f>
        <v/>
      </c>
      <c r="F423" t="str">
        <f>IF($A423&lt;&gt;"",'Approved-Enforcement'!E423,"")</f>
        <v/>
      </c>
      <c r="G423" t="str">
        <f>IF($A423&lt;&gt;"",'Approved-Enforcement'!F423,"")</f>
        <v/>
      </c>
      <c r="H423" t="str">
        <f>IF($A423&lt;&gt;"",'Approved-Enforcement'!G423,"")</f>
        <v/>
      </c>
      <c r="I423" t="str">
        <f>IF($A423&lt;&gt;"",'Approved-Enforcement'!H423,"")</f>
        <v/>
      </c>
      <c r="J423" t="str">
        <f>IF($A423&lt;&gt;"",'Approved-Enforcement'!I423,"")</f>
        <v/>
      </c>
      <c r="K423" t="str">
        <f>IF($A423&lt;&gt;"",'Approved-Enforcement'!J423,"")</f>
        <v/>
      </c>
      <c r="L423" t="str">
        <f>IF($A423&lt;&gt;"",'Approved-Enforcement'!K423,"")</f>
        <v/>
      </c>
      <c r="M423" t="str">
        <f>IF($A423&lt;&gt;"",'Approved-Enforcement'!L423,"")</f>
        <v/>
      </c>
      <c r="N423" t="str">
        <f>IF($A423&lt;&gt;"",'Approved-Enforcement'!M423,"")</f>
        <v/>
      </c>
      <c r="O423" t="str">
        <f>IF($A423&lt;&gt;"",'Approved-Enforcement'!N423,"")</f>
        <v/>
      </c>
      <c r="P423" t="str">
        <f>IF($A423&lt;&gt;"",'Approved-Enforcement'!O423,"")</f>
        <v/>
      </c>
    </row>
    <row r="424" spans="1:16" x14ac:dyDescent="0.35">
      <c r="A424" s="4" t="str">
        <f>IF('Approved-Enforcement'!$A424&lt;&gt;"",'Approved-Enforcement'!A424,"")</f>
        <v/>
      </c>
      <c r="B424" t="str">
        <f t="shared" si="6"/>
        <v/>
      </c>
      <c r="D424" t="str">
        <f>IF($A424&lt;&gt;"",IF($R424&lt;&gt;"",$R424,'Approved-Enforcement'!$B424+7),"")</f>
        <v/>
      </c>
      <c r="E424" t="str">
        <f>IF($A424&lt;&gt;"",'Approved-Enforcement'!D424,"")</f>
        <v/>
      </c>
      <c r="F424" t="str">
        <f>IF($A424&lt;&gt;"",'Approved-Enforcement'!E424,"")</f>
        <v/>
      </c>
      <c r="G424" t="str">
        <f>IF($A424&lt;&gt;"",'Approved-Enforcement'!F424,"")</f>
        <v/>
      </c>
      <c r="H424" t="str">
        <f>IF($A424&lt;&gt;"",'Approved-Enforcement'!G424,"")</f>
        <v/>
      </c>
      <c r="I424" t="str">
        <f>IF($A424&lt;&gt;"",'Approved-Enforcement'!H424,"")</f>
        <v/>
      </c>
      <c r="J424" t="str">
        <f>IF($A424&lt;&gt;"",'Approved-Enforcement'!I424,"")</f>
        <v/>
      </c>
      <c r="K424" t="str">
        <f>IF($A424&lt;&gt;"",'Approved-Enforcement'!J424,"")</f>
        <v/>
      </c>
      <c r="L424" t="str">
        <f>IF($A424&lt;&gt;"",'Approved-Enforcement'!K424,"")</f>
        <v/>
      </c>
      <c r="M424" t="str">
        <f>IF($A424&lt;&gt;"",'Approved-Enforcement'!L424,"")</f>
        <v/>
      </c>
      <c r="N424" t="str">
        <f>IF($A424&lt;&gt;"",'Approved-Enforcement'!M424,"")</f>
        <v/>
      </c>
      <c r="O424" t="str">
        <f>IF($A424&lt;&gt;"",'Approved-Enforcement'!N424,"")</f>
        <v/>
      </c>
      <c r="P424" t="str">
        <f>IF($A424&lt;&gt;"",'Approved-Enforcement'!O424,"")</f>
        <v/>
      </c>
    </row>
    <row r="425" spans="1:16" x14ac:dyDescent="0.35">
      <c r="A425" s="4" t="str">
        <f>IF('Approved-Enforcement'!$A425&lt;&gt;"",'Approved-Enforcement'!A425,"")</f>
        <v/>
      </c>
      <c r="B425" t="str">
        <f t="shared" si="6"/>
        <v/>
      </c>
      <c r="D425" t="str">
        <f>IF($A425&lt;&gt;"",IF($R425&lt;&gt;"",$R425,'Approved-Enforcement'!$B425+7),"")</f>
        <v/>
      </c>
      <c r="E425" t="str">
        <f>IF($A425&lt;&gt;"",'Approved-Enforcement'!D425,"")</f>
        <v/>
      </c>
      <c r="F425" t="str">
        <f>IF($A425&lt;&gt;"",'Approved-Enforcement'!E425,"")</f>
        <v/>
      </c>
      <c r="G425" t="str">
        <f>IF($A425&lt;&gt;"",'Approved-Enforcement'!F425,"")</f>
        <v/>
      </c>
      <c r="H425" t="str">
        <f>IF($A425&lt;&gt;"",'Approved-Enforcement'!G425,"")</f>
        <v/>
      </c>
      <c r="I425" t="str">
        <f>IF($A425&lt;&gt;"",'Approved-Enforcement'!H425,"")</f>
        <v/>
      </c>
      <c r="J425" t="str">
        <f>IF($A425&lt;&gt;"",'Approved-Enforcement'!I425,"")</f>
        <v/>
      </c>
      <c r="K425" t="str">
        <f>IF($A425&lt;&gt;"",'Approved-Enforcement'!J425,"")</f>
        <v/>
      </c>
      <c r="L425" t="str">
        <f>IF($A425&lt;&gt;"",'Approved-Enforcement'!K425,"")</f>
        <v/>
      </c>
      <c r="M425" t="str">
        <f>IF($A425&lt;&gt;"",'Approved-Enforcement'!L425,"")</f>
        <v/>
      </c>
      <c r="N425" t="str">
        <f>IF($A425&lt;&gt;"",'Approved-Enforcement'!M425,"")</f>
        <v/>
      </c>
      <c r="O425" t="str">
        <f>IF($A425&lt;&gt;"",'Approved-Enforcement'!N425,"")</f>
        <v/>
      </c>
      <c r="P425" t="str">
        <f>IF($A425&lt;&gt;"",'Approved-Enforcement'!O425,"")</f>
        <v/>
      </c>
    </row>
    <row r="426" spans="1:16" x14ac:dyDescent="0.35">
      <c r="A426" s="4" t="str">
        <f>IF('Approved-Enforcement'!$A426&lt;&gt;"",'Approved-Enforcement'!A426,"")</f>
        <v/>
      </c>
      <c r="B426" t="str">
        <f t="shared" si="6"/>
        <v/>
      </c>
      <c r="D426" t="str">
        <f>IF($A426&lt;&gt;"",IF($R426&lt;&gt;"",$R426,'Approved-Enforcement'!$B426+7),"")</f>
        <v/>
      </c>
      <c r="E426" t="str">
        <f>IF($A426&lt;&gt;"",'Approved-Enforcement'!D426,"")</f>
        <v/>
      </c>
      <c r="F426" t="str">
        <f>IF($A426&lt;&gt;"",'Approved-Enforcement'!E426,"")</f>
        <v/>
      </c>
      <c r="G426" t="str">
        <f>IF($A426&lt;&gt;"",'Approved-Enforcement'!F426,"")</f>
        <v/>
      </c>
      <c r="H426" t="str">
        <f>IF($A426&lt;&gt;"",'Approved-Enforcement'!G426,"")</f>
        <v/>
      </c>
      <c r="I426" t="str">
        <f>IF($A426&lt;&gt;"",'Approved-Enforcement'!H426,"")</f>
        <v/>
      </c>
      <c r="J426" t="str">
        <f>IF($A426&lt;&gt;"",'Approved-Enforcement'!I426,"")</f>
        <v/>
      </c>
      <c r="K426" t="str">
        <f>IF($A426&lt;&gt;"",'Approved-Enforcement'!J426,"")</f>
        <v/>
      </c>
      <c r="L426" t="str">
        <f>IF($A426&lt;&gt;"",'Approved-Enforcement'!K426,"")</f>
        <v/>
      </c>
      <c r="M426" t="str">
        <f>IF($A426&lt;&gt;"",'Approved-Enforcement'!L426,"")</f>
        <v/>
      </c>
      <c r="N426" t="str">
        <f>IF($A426&lt;&gt;"",'Approved-Enforcement'!M426,"")</f>
        <v/>
      </c>
      <c r="O426" t="str">
        <f>IF($A426&lt;&gt;"",'Approved-Enforcement'!N426,"")</f>
        <v/>
      </c>
      <c r="P426" t="str">
        <f>IF($A426&lt;&gt;"",'Approved-Enforcement'!O426,"")</f>
        <v/>
      </c>
    </row>
    <row r="427" spans="1:16" x14ac:dyDescent="0.35">
      <c r="A427" s="4" t="str">
        <f>IF('Approved-Enforcement'!$A427&lt;&gt;"",'Approved-Enforcement'!A427,"")</f>
        <v/>
      </c>
      <c r="B427" t="str">
        <f t="shared" si="6"/>
        <v/>
      </c>
      <c r="D427" t="str">
        <f>IF($A427&lt;&gt;"",IF($R427&lt;&gt;"",$R427,'Approved-Enforcement'!$B427+7),"")</f>
        <v/>
      </c>
      <c r="E427" t="str">
        <f>IF($A427&lt;&gt;"",'Approved-Enforcement'!D427,"")</f>
        <v/>
      </c>
      <c r="F427" t="str">
        <f>IF($A427&lt;&gt;"",'Approved-Enforcement'!E427,"")</f>
        <v/>
      </c>
      <c r="G427" t="str">
        <f>IF($A427&lt;&gt;"",'Approved-Enforcement'!F427,"")</f>
        <v/>
      </c>
      <c r="H427" t="str">
        <f>IF($A427&lt;&gt;"",'Approved-Enforcement'!G427,"")</f>
        <v/>
      </c>
      <c r="I427" t="str">
        <f>IF($A427&lt;&gt;"",'Approved-Enforcement'!H427,"")</f>
        <v/>
      </c>
      <c r="J427" t="str">
        <f>IF($A427&lt;&gt;"",'Approved-Enforcement'!I427,"")</f>
        <v/>
      </c>
      <c r="K427" t="str">
        <f>IF($A427&lt;&gt;"",'Approved-Enforcement'!J427,"")</f>
        <v/>
      </c>
      <c r="L427" t="str">
        <f>IF($A427&lt;&gt;"",'Approved-Enforcement'!K427,"")</f>
        <v/>
      </c>
      <c r="M427" t="str">
        <f>IF($A427&lt;&gt;"",'Approved-Enforcement'!L427,"")</f>
        <v/>
      </c>
      <c r="N427" t="str">
        <f>IF($A427&lt;&gt;"",'Approved-Enforcement'!M427,"")</f>
        <v/>
      </c>
      <c r="O427" t="str">
        <f>IF($A427&lt;&gt;"",'Approved-Enforcement'!N427,"")</f>
        <v/>
      </c>
      <c r="P427" t="str">
        <f>IF($A427&lt;&gt;"",'Approved-Enforcement'!O427,"")</f>
        <v/>
      </c>
    </row>
    <row r="428" spans="1:16" x14ac:dyDescent="0.35">
      <c r="A428" s="4" t="str">
        <f>IF('Approved-Enforcement'!$A428&lt;&gt;"",'Approved-Enforcement'!A428,"")</f>
        <v/>
      </c>
      <c r="B428" t="str">
        <f t="shared" si="6"/>
        <v/>
      </c>
      <c r="D428" t="str">
        <f>IF($A428&lt;&gt;"",IF($R428&lt;&gt;"",$R428,'Approved-Enforcement'!$B428+7),"")</f>
        <v/>
      </c>
      <c r="E428" t="str">
        <f>IF($A428&lt;&gt;"",'Approved-Enforcement'!D428,"")</f>
        <v/>
      </c>
      <c r="F428" t="str">
        <f>IF($A428&lt;&gt;"",'Approved-Enforcement'!E428,"")</f>
        <v/>
      </c>
      <c r="G428" t="str">
        <f>IF($A428&lt;&gt;"",'Approved-Enforcement'!F428,"")</f>
        <v/>
      </c>
      <c r="H428" t="str">
        <f>IF($A428&lt;&gt;"",'Approved-Enforcement'!G428,"")</f>
        <v/>
      </c>
      <c r="I428" t="str">
        <f>IF($A428&lt;&gt;"",'Approved-Enforcement'!H428,"")</f>
        <v/>
      </c>
      <c r="J428" t="str">
        <f>IF($A428&lt;&gt;"",'Approved-Enforcement'!I428,"")</f>
        <v/>
      </c>
      <c r="K428" t="str">
        <f>IF($A428&lt;&gt;"",'Approved-Enforcement'!J428,"")</f>
        <v/>
      </c>
      <c r="L428" t="str">
        <f>IF($A428&lt;&gt;"",'Approved-Enforcement'!K428,"")</f>
        <v/>
      </c>
      <c r="M428" t="str">
        <f>IF($A428&lt;&gt;"",'Approved-Enforcement'!L428,"")</f>
        <v/>
      </c>
      <c r="N428" t="str">
        <f>IF($A428&lt;&gt;"",'Approved-Enforcement'!M428,"")</f>
        <v/>
      </c>
      <c r="O428" t="str">
        <f>IF($A428&lt;&gt;"",'Approved-Enforcement'!N428,"")</f>
        <v/>
      </c>
      <c r="P428" t="str">
        <f>IF($A428&lt;&gt;"",'Approved-Enforcement'!O428,"")</f>
        <v/>
      </c>
    </row>
    <row r="429" spans="1:16" x14ac:dyDescent="0.35">
      <c r="A429" s="4" t="str">
        <f>IF('Approved-Enforcement'!$A429&lt;&gt;"",'Approved-Enforcement'!A429,"")</f>
        <v/>
      </c>
      <c r="B429" t="str">
        <f t="shared" si="6"/>
        <v/>
      </c>
      <c r="D429" t="str">
        <f>IF($A429&lt;&gt;"",IF($R429&lt;&gt;"",$R429,'Approved-Enforcement'!$B429+7),"")</f>
        <v/>
      </c>
      <c r="E429" t="str">
        <f>IF($A429&lt;&gt;"",'Approved-Enforcement'!D429,"")</f>
        <v/>
      </c>
      <c r="F429" t="str">
        <f>IF($A429&lt;&gt;"",'Approved-Enforcement'!E429,"")</f>
        <v/>
      </c>
      <c r="G429" t="str">
        <f>IF($A429&lt;&gt;"",'Approved-Enforcement'!F429,"")</f>
        <v/>
      </c>
      <c r="H429" t="str">
        <f>IF($A429&lt;&gt;"",'Approved-Enforcement'!G429,"")</f>
        <v/>
      </c>
      <c r="I429" t="str">
        <f>IF($A429&lt;&gt;"",'Approved-Enforcement'!H429,"")</f>
        <v/>
      </c>
      <c r="J429" t="str">
        <f>IF($A429&lt;&gt;"",'Approved-Enforcement'!I429,"")</f>
        <v/>
      </c>
      <c r="K429" t="str">
        <f>IF($A429&lt;&gt;"",'Approved-Enforcement'!J429,"")</f>
        <v/>
      </c>
      <c r="L429" t="str">
        <f>IF($A429&lt;&gt;"",'Approved-Enforcement'!K429,"")</f>
        <v/>
      </c>
      <c r="M429" t="str">
        <f>IF($A429&lt;&gt;"",'Approved-Enforcement'!L429,"")</f>
        <v/>
      </c>
      <c r="N429" t="str">
        <f>IF($A429&lt;&gt;"",'Approved-Enforcement'!M429,"")</f>
        <v/>
      </c>
      <c r="O429" t="str">
        <f>IF($A429&lt;&gt;"",'Approved-Enforcement'!N429,"")</f>
        <v/>
      </c>
      <c r="P429" t="str">
        <f>IF($A429&lt;&gt;"",'Approved-Enforcement'!O429,"")</f>
        <v/>
      </c>
    </row>
    <row r="430" spans="1:16" x14ac:dyDescent="0.35">
      <c r="A430" s="4" t="str">
        <f>IF('Approved-Enforcement'!$A430&lt;&gt;"",'Approved-Enforcement'!A430,"")</f>
        <v/>
      </c>
      <c r="B430" t="str">
        <f t="shared" si="6"/>
        <v/>
      </c>
      <c r="D430" t="str">
        <f>IF($A430&lt;&gt;"",IF($R430&lt;&gt;"",$R430,'Approved-Enforcement'!$B430+7),"")</f>
        <v/>
      </c>
      <c r="E430" t="str">
        <f>IF($A430&lt;&gt;"",'Approved-Enforcement'!D430,"")</f>
        <v/>
      </c>
      <c r="F430" t="str">
        <f>IF($A430&lt;&gt;"",'Approved-Enforcement'!E430,"")</f>
        <v/>
      </c>
      <c r="G430" t="str">
        <f>IF($A430&lt;&gt;"",'Approved-Enforcement'!F430,"")</f>
        <v/>
      </c>
      <c r="H430" t="str">
        <f>IF($A430&lt;&gt;"",'Approved-Enforcement'!G430,"")</f>
        <v/>
      </c>
      <c r="I430" t="str">
        <f>IF($A430&lt;&gt;"",'Approved-Enforcement'!H430,"")</f>
        <v/>
      </c>
      <c r="J430" t="str">
        <f>IF($A430&lt;&gt;"",'Approved-Enforcement'!I430,"")</f>
        <v/>
      </c>
      <c r="K430" t="str">
        <f>IF($A430&lt;&gt;"",'Approved-Enforcement'!J430,"")</f>
        <v/>
      </c>
      <c r="L430" t="str">
        <f>IF($A430&lt;&gt;"",'Approved-Enforcement'!K430,"")</f>
        <v/>
      </c>
      <c r="M430" t="str">
        <f>IF($A430&lt;&gt;"",'Approved-Enforcement'!L430,"")</f>
        <v/>
      </c>
      <c r="N430" t="str">
        <f>IF($A430&lt;&gt;"",'Approved-Enforcement'!M430,"")</f>
        <v/>
      </c>
      <c r="O430" t="str">
        <f>IF($A430&lt;&gt;"",'Approved-Enforcement'!N430,"")</f>
        <v/>
      </c>
      <c r="P430" t="str">
        <f>IF($A430&lt;&gt;"",'Approved-Enforcement'!O430,"")</f>
        <v/>
      </c>
    </row>
    <row r="431" spans="1:16" x14ac:dyDescent="0.35">
      <c r="A431" s="4" t="str">
        <f>IF('Approved-Enforcement'!$A431&lt;&gt;"",'Approved-Enforcement'!A431,"")</f>
        <v/>
      </c>
      <c r="B431" t="str">
        <f t="shared" si="6"/>
        <v/>
      </c>
      <c r="D431" t="str">
        <f>IF($A431&lt;&gt;"",IF($R431&lt;&gt;"",$R431,'Approved-Enforcement'!$B431+7),"")</f>
        <v/>
      </c>
      <c r="E431" t="str">
        <f>IF($A431&lt;&gt;"",'Approved-Enforcement'!D431,"")</f>
        <v/>
      </c>
      <c r="F431" t="str">
        <f>IF($A431&lt;&gt;"",'Approved-Enforcement'!E431,"")</f>
        <v/>
      </c>
      <c r="G431" t="str">
        <f>IF($A431&lt;&gt;"",'Approved-Enforcement'!F431,"")</f>
        <v/>
      </c>
      <c r="H431" t="str">
        <f>IF($A431&lt;&gt;"",'Approved-Enforcement'!G431,"")</f>
        <v/>
      </c>
      <c r="I431" t="str">
        <f>IF($A431&lt;&gt;"",'Approved-Enforcement'!H431,"")</f>
        <v/>
      </c>
      <c r="J431" t="str">
        <f>IF($A431&lt;&gt;"",'Approved-Enforcement'!I431,"")</f>
        <v/>
      </c>
      <c r="K431" t="str">
        <f>IF($A431&lt;&gt;"",'Approved-Enforcement'!J431,"")</f>
        <v/>
      </c>
      <c r="L431" t="str">
        <f>IF($A431&lt;&gt;"",'Approved-Enforcement'!K431,"")</f>
        <v/>
      </c>
      <c r="M431" t="str">
        <f>IF($A431&lt;&gt;"",'Approved-Enforcement'!L431,"")</f>
        <v/>
      </c>
      <c r="N431" t="str">
        <f>IF($A431&lt;&gt;"",'Approved-Enforcement'!M431,"")</f>
        <v/>
      </c>
      <c r="O431" t="str">
        <f>IF($A431&lt;&gt;"",'Approved-Enforcement'!N431,"")</f>
        <v/>
      </c>
      <c r="P431" t="str">
        <f>IF($A431&lt;&gt;"",'Approved-Enforcement'!O431,"")</f>
        <v/>
      </c>
    </row>
    <row r="432" spans="1:16" x14ac:dyDescent="0.35">
      <c r="A432" s="4" t="str">
        <f>IF('Approved-Enforcement'!$A432&lt;&gt;"",'Approved-Enforcement'!A432,"")</f>
        <v/>
      </c>
      <c r="B432" t="str">
        <f t="shared" si="6"/>
        <v/>
      </c>
      <c r="D432" t="str">
        <f>IF($A432&lt;&gt;"",IF($R432&lt;&gt;"",$R432,'Approved-Enforcement'!$B432+7),"")</f>
        <v/>
      </c>
      <c r="E432" t="str">
        <f>IF($A432&lt;&gt;"",'Approved-Enforcement'!D432,"")</f>
        <v/>
      </c>
      <c r="F432" t="str">
        <f>IF($A432&lt;&gt;"",'Approved-Enforcement'!E432,"")</f>
        <v/>
      </c>
      <c r="G432" t="str">
        <f>IF($A432&lt;&gt;"",'Approved-Enforcement'!F432,"")</f>
        <v/>
      </c>
      <c r="H432" t="str">
        <f>IF($A432&lt;&gt;"",'Approved-Enforcement'!G432,"")</f>
        <v/>
      </c>
      <c r="I432" t="str">
        <f>IF($A432&lt;&gt;"",'Approved-Enforcement'!H432,"")</f>
        <v/>
      </c>
      <c r="J432" t="str">
        <f>IF($A432&lt;&gt;"",'Approved-Enforcement'!I432,"")</f>
        <v/>
      </c>
      <c r="K432" t="str">
        <f>IF($A432&lt;&gt;"",'Approved-Enforcement'!J432,"")</f>
        <v/>
      </c>
      <c r="L432" t="str">
        <f>IF($A432&lt;&gt;"",'Approved-Enforcement'!K432,"")</f>
        <v/>
      </c>
      <c r="M432" t="str">
        <f>IF($A432&lt;&gt;"",'Approved-Enforcement'!L432,"")</f>
        <v/>
      </c>
      <c r="N432" t="str">
        <f>IF($A432&lt;&gt;"",'Approved-Enforcement'!M432,"")</f>
        <v/>
      </c>
      <c r="O432" t="str">
        <f>IF($A432&lt;&gt;"",'Approved-Enforcement'!N432,"")</f>
        <v/>
      </c>
      <c r="P432" t="str">
        <f>IF($A432&lt;&gt;"",'Approved-Enforcement'!O432,"")</f>
        <v/>
      </c>
    </row>
    <row r="433" spans="1:16" x14ac:dyDescent="0.35">
      <c r="A433" s="4" t="str">
        <f>IF('Approved-Enforcement'!$A433&lt;&gt;"",'Approved-Enforcement'!A433,"")</f>
        <v/>
      </c>
      <c r="B433" t="str">
        <f t="shared" si="6"/>
        <v/>
      </c>
      <c r="D433" t="str">
        <f>IF($A433&lt;&gt;"",IF($R433&lt;&gt;"",$R433,'Approved-Enforcement'!$B433+7),"")</f>
        <v/>
      </c>
      <c r="E433" t="str">
        <f>IF($A433&lt;&gt;"",'Approved-Enforcement'!D433,"")</f>
        <v/>
      </c>
      <c r="F433" t="str">
        <f>IF($A433&lt;&gt;"",'Approved-Enforcement'!E433,"")</f>
        <v/>
      </c>
      <c r="G433" t="str">
        <f>IF($A433&lt;&gt;"",'Approved-Enforcement'!F433,"")</f>
        <v/>
      </c>
      <c r="H433" t="str">
        <f>IF($A433&lt;&gt;"",'Approved-Enforcement'!G433,"")</f>
        <v/>
      </c>
      <c r="I433" t="str">
        <f>IF($A433&lt;&gt;"",'Approved-Enforcement'!H433,"")</f>
        <v/>
      </c>
      <c r="J433" t="str">
        <f>IF($A433&lt;&gt;"",'Approved-Enforcement'!I433,"")</f>
        <v/>
      </c>
      <c r="K433" t="str">
        <f>IF($A433&lt;&gt;"",'Approved-Enforcement'!J433,"")</f>
        <v/>
      </c>
      <c r="L433" t="str">
        <f>IF($A433&lt;&gt;"",'Approved-Enforcement'!K433,"")</f>
        <v/>
      </c>
      <c r="M433" t="str">
        <f>IF($A433&lt;&gt;"",'Approved-Enforcement'!L433,"")</f>
        <v/>
      </c>
      <c r="N433" t="str">
        <f>IF($A433&lt;&gt;"",'Approved-Enforcement'!M433,"")</f>
        <v/>
      </c>
      <c r="O433" t="str">
        <f>IF($A433&lt;&gt;"",'Approved-Enforcement'!N433,"")</f>
        <v/>
      </c>
      <c r="P433" t="str">
        <f>IF($A433&lt;&gt;"",'Approved-Enforcement'!O433,"")</f>
        <v/>
      </c>
    </row>
    <row r="434" spans="1:16" x14ac:dyDescent="0.35">
      <c r="A434" s="4" t="str">
        <f>IF('Approved-Enforcement'!$A434&lt;&gt;"",'Approved-Enforcement'!A434,"")</f>
        <v/>
      </c>
      <c r="B434" t="str">
        <f t="shared" si="6"/>
        <v/>
      </c>
      <c r="D434" t="str">
        <f>IF($A434&lt;&gt;"",IF($R434&lt;&gt;"",$R434,'Approved-Enforcement'!$B434+7),"")</f>
        <v/>
      </c>
      <c r="E434" t="str">
        <f>IF($A434&lt;&gt;"",'Approved-Enforcement'!D434,"")</f>
        <v/>
      </c>
      <c r="F434" t="str">
        <f>IF($A434&lt;&gt;"",'Approved-Enforcement'!E434,"")</f>
        <v/>
      </c>
      <c r="G434" t="str">
        <f>IF($A434&lt;&gt;"",'Approved-Enforcement'!F434,"")</f>
        <v/>
      </c>
      <c r="H434" t="str">
        <f>IF($A434&lt;&gt;"",'Approved-Enforcement'!G434,"")</f>
        <v/>
      </c>
      <c r="I434" t="str">
        <f>IF($A434&lt;&gt;"",'Approved-Enforcement'!H434,"")</f>
        <v/>
      </c>
      <c r="J434" t="str">
        <f>IF($A434&lt;&gt;"",'Approved-Enforcement'!I434,"")</f>
        <v/>
      </c>
      <c r="K434" t="str">
        <f>IF($A434&lt;&gt;"",'Approved-Enforcement'!J434,"")</f>
        <v/>
      </c>
      <c r="L434" t="str">
        <f>IF($A434&lt;&gt;"",'Approved-Enforcement'!K434,"")</f>
        <v/>
      </c>
      <c r="M434" t="str">
        <f>IF($A434&lt;&gt;"",'Approved-Enforcement'!L434,"")</f>
        <v/>
      </c>
      <c r="N434" t="str">
        <f>IF($A434&lt;&gt;"",'Approved-Enforcement'!M434,"")</f>
        <v/>
      </c>
      <c r="O434" t="str">
        <f>IF($A434&lt;&gt;"",'Approved-Enforcement'!N434,"")</f>
        <v/>
      </c>
      <c r="P434" t="str">
        <f>IF($A434&lt;&gt;"",'Approved-Enforcement'!O434,"")</f>
        <v/>
      </c>
    </row>
    <row r="435" spans="1:16" x14ac:dyDescent="0.35">
      <c r="A435" s="4" t="str">
        <f>IF('Approved-Enforcement'!$A435&lt;&gt;"",'Approved-Enforcement'!A435,"")</f>
        <v/>
      </c>
      <c r="B435" t="str">
        <f t="shared" si="6"/>
        <v/>
      </c>
      <c r="D435" t="str">
        <f>IF($A435&lt;&gt;"",IF($R435&lt;&gt;"",$R435,'Approved-Enforcement'!$B435+7),"")</f>
        <v/>
      </c>
      <c r="E435" t="str">
        <f>IF($A435&lt;&gt;"",'Approved-Enforcement'!D435,"")</f>
        <v/>
      </c>
      <c r="F435" t="str">
        <f>IF($A435&lt;&gt;"",'Approved-Enforcement'!E435,"")</f>
        <v/>
      </c>
      <c r="G435" t="str">
        <f>IF($A435&lt;&gt;"",'Approved-Enforcement'!F435,"")</f>
        <v/>
      </c>
      <c r="H435" t="str">
        <f>IF($A435&lt;&gt;"",'Approved-Enforcement'!G435,"")</f>
        <v/>
      </c>
      <c r="I435" t="str">
        <f>IF($A435&lt;&gt;"",'Approved-Enforcement'!H435,"")</f>
        <v/>
      </c>
      <c r="J435" t="str">
        <f>IF($A435&lt;&gt;"",'Approved-Enforcement'!I435,"")</f>
        <v/>
      </c>
      <c r="K435" t="str">
        <f>IF($A435&lt;&gt;"",'Approved-Enforcement'!J435,"")</f>
        <v/>
      </c>
      <c r="L435" t="str">
        <f>IF($A435&lt;&gt;"",'Approved-Enforcement'!K435,"")</f>
        <v/>
      </c>
      <c r="M435" t="str">
        <f>IF($A435&lt;&gt;"",'Approved-Enforcement'!L435,"")</f>
        <v/>
      </c>
      <c r="N435" t="str">
        <f>IF($A435&lt;&gt;"",'Approved-Enforcement'!M435,"")</f>
        <v/>
      </c>
      <c r="O435" t="str">
        <f>IF($A435&lt;&gt;"",'Approved-Enforcement'!N435,"")</f>
        <v/>
      </c>
      <c r="P435" t="str">
        <f>IF($A435&lt;&gt;"",'Approved-Enforcement'!O435,"")</f>
        <v/>
      </c>
    </row>
    <row r="436" spans="1:16" x14ac:dyDescent="0.35">
      <c r="A436" s="4" t="str">
        <f>IF('Approved-Enforcement'!$A436&lt;&gt;"",'Approved-Enforcement'!A436,"")</f>
        <v/>
      </c>
      <c r="B436" t="str">
        <f t="shared" si="6"/>
        <v/>
      </c>
      <c r="D436" t="str">
        <f>IF($A436&lt;&gt;"",IF($R436&lt;&gt;"",$R436,'Approved-Enforcement'!$B436+7),"")</f>
        <v/>
      </c>
      <c r="E436" t="str">
        <f>IF($A436&lt;&gt;"",'Approved-Enforcement'!D436,"")</f>
        <v/>
      </c>
      <c r="F436" t="str">
        <f>IF($A436&lt;&gt;"",'Approved-Enforcement'!E436,"")</f>
        <v/>
      </c>
      <c r="G436" t="str">
        <f>IF($A436&lt;&gt;"",'Approved-Enforcement'!F436,"")</f>
        <v/>
      </c>
      <c r="H436" t="str">
        <f>IF($A436&lt;&gt;"",'Approved-Enforcement'!G436,"")</f>
        <v/>
      </c>
      <c r="I436" t="str">
        <f>IF($A436&lt;&gt;"",'Approved-Enforcement'!H436,"")</f>
        <v/>
      </c>
      <c r="J436" t="str">
        <f>IF($A436&lt;&gt;"",'Approved-Enforcement'!I436,"")</f>
        <v/>
      </c>
      <c r="K436" t="str">
        <f>IF($A436&lt;&gt;"",'Approved-Enforcement'!J436,"")</f>
        <v/>
      </c>
      <c r="L436" t="str">
        <f>IF($A436&lt;&gt;"",'Approved-Enforcement'!K436,"")</f>
        <v/>
      </c>
      <c r="M436" t="str">
        <f>IF($A436&lt;&gt;"",'Approved-Enforcement'!L436,"")</f>
        <v/>
      </c>
      <c r="N436" t="str">
        <f>IF($A436&lt;&gt;"",'Approved-Enforcement'!M436,"")</f>
        <v/>
      </c>
      <c r="O436" t="str">
        <f>IF($A436&lt;&gt;"",'Approved-Enforcement'!N436,"")</f>
        <v/>
      </c>
      <c r="P436" t="str">
        <f>IF($A436&lt;&gt;"",'Approved-Enforcement'!O436,"")</f>
        <v/>
      </c>
    </row>
    <row r="437" spans="1:16" x14ac:dyDescent="0.35">
      <c r="A437" s="4" t="str">
        <f>IF('Approved-Enforcement'!$A437&lt;&gt;"",'Approved-Enforcement'!A437,"")</f>
        <v/>
      </c>
      <c r="B437" t="str">
        <f t="shared" si="6"/>
        <v/>
      </c>
      <c r="D437" t="str">
        <f>IF($A437&lt;&gt;"",IF($R437&lt;&gt;"",$R437,'Approved-Enforcement'!$B437+7),"")</f>
        <v/>
      </c>
      <c r="E437" t="str">
        <f>IF($A437&lt;&gt;"",'Approved-Enforcement'!D437,"")</f>
        <v/>
      </c>
      <c r="F437" t="str">
        <f>IF($A437&lt;&gt;"",'Approved-Enforcement'!E437,"")</f>
        <v/>
      </c>
      <c r="G437" t="str">
        <f>IF($A437&lt;&gt;"",'Approved-Enforcement'!F437,"")</f>
        <v/>
      </c>
      <c r="H437" t="str">
        <f>IF($A437&lt;&gt;"",'Approved-Enforcement'!G437,"")</f>
        <v/>
      </c>
      <c r="I437" t="str">
        <f>IF($A437&lt;&gt;"",'Approved-Enforcement'!H437,"")</f>
        <v/>
      </c>
      <c r="J437" t="str">
        <f>IF($A437&lt;&gt;"",'Approved-Enforcement'!I437,"")</f>
        <v/>
      </c>
      <c r="K437" t="str">
        <f>IF($A437&lt;&gt;"",'Approved-Enforcement'!J437,"")</f>
        <v/>
      </c>
      <c r="L437" t="str">
        <f>IF($A437&lt;&gt;"",'Approved-Enforcement'!K437,"")</f>
        <v/>
      </c>
      <c r="M437" t="str">
        <f>IF($A437&lt;&gt;"",'Approved-Enforcement'!L437,"")</f>
        <v/>
      </c>
      <c r="N437" t="str">
        <f>IF($A437&lt;&gt;"",'Approved-Enforcement'!M437,"")</f>
        <v/>
      </c>
      <c r="O437" t="str">
        <f>IF($A437&lt;&gt;"",'Approved-Enforcement'!N437,"")</f>
        <v/>
      </c>
      <c r="P437" t="str">
        <f>IF($A437&lt;&gt;"",'Approved-Enforcement'!O437,"")</f>
        <v/>
      </c>
    </row>
    <row r="438" spans="1:16" x14ac:dyDescent="0.35">
      <c r="A438" s="4" t="str">
        <f>IF('Approved-Enforcement'!$A438&lt;&gt;"",'Approved-Enforcement'!A438,"")</f>
        <v/>
      </c>
      <c r="B438" t="str">
        <f t="shared" si="6"/>
        <v/>
      </c>
      <c r="D438" t="str">
        <f>IF($A438&lt;&gt;"",IF($R438&lt;&gt;"",$R438,'Approved-Enforcement'!$B438+7),"")</f>
        <v/>
      </c>
      <c r="E438" t="str">
        <f>IF($A438&lt;&gt;"",'Approved-Enforcement'!D438,"")</f>
        <v/>
      </c>
      <c r="F438" t="str">
        <f>IF($A438&lt;&gt;"",'Approved-Enforcement'!E438,"")</f>
        <v/>
      </c>
      <c r="G438" t="str">
        <f>IF($A438&lt;&gt;"",'Approved-Enforcement'!F438,"")</f>
        <v/>
      </c>
      <c r="H438" t="str">
        <f>IF($A438&lt;&gt;"",'Approved-Enforcement'!G438,"")</f>
        <v/>
      </c>
      <c r="I438" t="str">
        <f>IF($A438&lt;&gt;"",'Approved-Enforcement'!H438,"")</f>
        <v/>
      </c>
      <c r="J438" t="str">
        <f>IF($A438&lt;&gt;"",'Approved-Enforcement'!I438,"")</f>
        <v/>
      </c>
      <c r="K438" t="str">
        <f>IF($A438&lt;&gt;"",'Approved-Enforcement'!J438,"")</f>
        <v/>
      </c>
      <c r="L438" t="str">
        <f>IF($A438&lt;&gt;"",'Approved-Enforcement'!K438,"")</f>
        <v/>
      </c>
      <c r="M438" t="str">
        <f>IF($A438&lt;&gt;"",'Approved-Enforcement'!L438,"")</f>
        <v/>
      </c>
      <c r="N438" t="str">
        <f>IF($A438&lt;&gt;"",'Approved-Enforcement'!M438,"")</f>
        <v/>
      </c>
      <c r="O438" t="str">
        <f>IF($A438&lt;&gt;"",'Approved-Enforcement'!N438,"")</f>
        <v/>
      </c>
      <c r="P438" t="str">
        <f>IF($A438&lt;&gt;"",'Approved-Enforcement'!O438,"")</f>
        <v/>
      </c>
    </row>
    <row r="439" spans="1:16" x14ac:dyDescent="0.35">
      <c r="A439" s="4" t="str">
        <f>IF('Approved-Enforcement'!$A439&lt;&gt;"",'Approved-Enforcement'!A439,"")</f>
        <v/>
      </c>
      <c r="B439" t="str">
        <f t="shared" si="6"/>
        <v/>
      </c>
      <c r="D439" t="str">
        <f>IF($A439&lt;&gt;"",IF($R439&lt;&gt;"",$R439,'Approved-Enforcement'!$B439+7),"")</f>
        <v/>
      </c>
      <c r="E439" t="str">
        <f>IF($A439&lt;&gt;"",'Approved-Enforcement'!D439,"")</f>
        <v/>
      </c>
      <c r="F439" t="str">
        <f>IF($A439&lt;&gt;"",'Approved-Enforcement'!E439,"")</f>
        <v/>
      </c>
      <c r="G439" t="str">
        <f>IF($A439&lt;&gt;"",'Approved-Enforcement'!F439,"")</f>
        <v/>
      </c>
      <c r="H439" t="str">
        <f>IF($A439&lt;&gt;"",'Approved-Enforcement'!G439,"")</f>
        <v/>
      </c>
      <c r="I439" t="str">
        <f>IF($A439&lt;&gt;"",'Approved-Enforcement'!H439,"")</f>
        <v/>
      </c>
      <c r="J439" t="str">
        <f>IF($A439&lt;&gt;"",'Approved-Enforcement'!I439,"")</f>
        <v/>
      </c>
      <c r="K439" t="str">
        <f>IF($A439&lt;&gt;"",'Approved-Enforcement'!J439,"")</f>
        <v/>
      </c>
      <c r="L439" t="str">
        <f>IF($A439&lt;&gt;"",'Approved-Enforcement'!K439,"")</f>
        <v/>
      </c>
      <c r="M439" t="str">
        <f>IF($A439&lt;&gt;"",'Approved-Enforcement'!L439,"")</f>
        <v/>
      </c>
      <c r="N439" t="str">
        <f>IF($A439&lt;&gt;"",'Approved-Enforcement'!M439,"")</f>
        <v/>
      </c>
      <c r="O439" t="str">
        <f>IF($A439&lt;&gt;"",'Approved-Enforcement'!N439,"")</f>
        <v/>
      </c>
      <c r="P439" t="str">
        <f>IF($A439&lt;&gt;"",'Approved-Enforcement'!O439,"")</f>
        <v/>
      </c>
    </row>
    <row r="440" spans="1:16" x14ac:dyDescent="0.35">
      <c r="A440" s="4" t="str">
        <f>IF('Approved-Enforcement'!$A440&lt;&gt;"",'Approved-Enforcement'!A440,"")</f>
        <v/>
      </c>
      <c r="B440" t="str">
        <f t="shared" si="6"/>
        <v/>
      </c>
      <c r="D440" t="str">
        <f>IF($A440&lt;&gt;"",IF($R440&lt;&gt;"",$R440,'Approved-Enforcement'!$B440+7),"")</f>
        <v/>
      </c>
      <c r="E440" t="str">
        <f>IF($A440&lt;&gt;"",'Approved-Enforcement'!D440,"")</f>
        <v/>
      </c>
      <c r="F440" t="str">
        <f>IF($A440&lt;&gt;"",'Approved-Enforcement'!E440,"")</f>
        <v/>
      </c>
      <c r="G440" t="str">
        <f>IF($A440&lt;&gt;"",'Approved-Enforcement'!F440,"")</f>
        <v/>
      </c>
      <c r="H440" t="str">
        <f>IF($A440&lt;&gt;"",'Approved-Enforcement'!G440,"")</f>
        <v/>
      </c>
      <c r="I440" t="str">
        <f>IF($A440&lt;&gt;"",'Approved-Enforcement'!H440,"")</f>
        <v/>
      </c>
      <c r="J440" t="str">
        <f>IF($A440&lt;&gt;"",'Approved-Enforcement'!I440,"")</f>
        <v/>
      </c>
      <c r="K440" t="str">
        <f>IF($A440&lt;&gt;"",'Approved-Enforcement'!J440,"")</f>
        <v/>
      </c>
      <c r="L440" t="str">
        <f>IF($A440&lt;&gt;"",'Approved-Enforcement'!K440,"")</f>
        <v/>
      </c>
      <c r="M440" t="str">
        <f>IF($A440&lt;&gt;"",'Approved-Enforcement'!L440,"")</f>
        <v/>
      </c>
      <c r="N440" t="str">
        <f>IF($A440&lt;&gt;"",'Approved-Enforcement'!M440,"")</f>
        <v/>
      </c>
      <c r="O440" t="str">
        <f>IF($A440&lt;&gt;"",'Approved-Enforcement'!N440,"")</f>
        <v/>
      </c>
      <c r="P440" t="str">
        <f>IF($A440&lt;&gt;"",'Approved-Enforcement'!O440,"")</f>
        <v/>
      </c>
    </row>
    <row r="441" spans="1:16" x14ac:dyDescent="0.35">
      <c r="A441" s="4" t="str">
        <f>IF('Approved-Enforcement'!$A441&lt;&gt;"",'Approved-Enforcement'!A441,"")</f>
        <v/>
      </c>
      <c r="B441" t="str">
        <f t="shared" si="6"/>
        <v/>
      </c>
      <c r="D441" t="str">
        <f>IF($A441&lt;&gt;"",IF($R441&lt;&gt;"",$R441,'Approved-Enforcement'!$B441+7),"")</f>
        <v/>
      </c>
      <c r="E441" t="str">
        <f>IF($A441&lt;&gt;"",'Approved-Enforcement'!D441,"")</f>
        <v/>
      </c>
      <c r="F441" t="str">
        <f>IF($A441&lt;&gt;"",'Approved-Enforcement'!E441,"")</f>
        <v/>
      </c>
      <c r="G441" t="str">
        <f>IF($A441&lt;&gt;"",'Approved-Enforcement'!F441,"")</f>
        <v/>
      </c>
      <c r="H441" t="str">
        <f>IF($A441&lt;&gt;"",'Approved-Enforcement'!G441,"")</f>
        <v/>
      </c>
      <c r="I441" t="str">
        <f>IF($A441&lt;&gt;"",'Approved-Enforcement'!H441,"")</f>
        <v/>
      </c>
      <c r="J441" t="str">
        <f>IF($A441&lt;&gt;"",'Approved-Enforcement'!I441,"")</f>
        <v/>
      </c>
      <c r="K441" t="str">
        <f>IF($A441&lt;&gt;"",'Approved-Enforcement'!J441,"")</f>
        <v/>
      </c>
      <c r="L441" t="str">
        <f>IF($A441&lt;&gt;"",'Approved-Enforcement'!K441,"")</f>
        <v/>
      </c>
      <c r="M441" t="str">
        <f>IF($A441&lt;&gt;"",'Approved-Enforcement'!L441,"")</f>
        <v/>
      </c>
      <c r="N441" t="str">
        <f>IF($A441&lt;&gt;"",'Approved-Enforcement'!M441,"")</f>
        <v/>
      </c>
      <c r="O441" t="str">
        <f>IF($A441&lt;&gt;"",'Approved-Enforcement'!N441,"")</f>
        <v/>
      </c>
      <c r="P441" t="str">
        <f>IF($A441&lt;&gt;"",'Approved-Enforcement'!O441,"")</f>
        <v/>
      </c>
    </row>
    <row r="442" spans="1:16" x14ac:dyDescent="0.35">
      <c r="A442" s="4" t="str">
        <f>IF('Approved-Enforcement'!$A442&lt;&gt;"",'Approved-Enforcement'!A442,"")</f>
        <v/>
      </c>
      <c r="B442" t="str">
        <f t="shared" si="6"/>
        <v/>
      </c>
      <c r="D442" t="str">
        <f>IF($A442&lt;&gt;"",IF($R442&lt;&gt;"",$R442,'Approved-Enforcement'!$B442+7),"")</f>
        <v/>
      </c>
      <c r="E442" t="str">
        <f>IF($A442&lt;&gt;"",'Approved-Enforcement'!D442,"")</f>
        <v/>
      </c>
      <c r="F442" t="str">
        <f>IF($A442&lt;&gt;"",'Approved-Enforcement'!E442,"")</f>
        <v/>
      </c>
      <c r="G442" t="str">
        <f>IF($A442&lt;&gt;"",'Approved-Enforcement'!F442,"")</f>
        <v/>
      </c>
      <c r="H442" t="str">
        <f>IF($A442&lt;&gt;"",'Approved-Enforcement'!G442,"")</f>
        <v/>
      </c>
      <c r="I442" t="str">
        <f>IF($A442&lt;&gt;"",'Approved-Enforcement'!H442,"")</f>
        <v/>
      </c>
      <c r="J442" t="str">
        <f>IF($A442&lt;&gt;"",'Approved-Enforcement'!I442,"")</f>
        <v/>
      </c>
      <c r="K442" t="str">
        <f>IF($A442&lt;&gt;"",'Approved-Enforcement'!J442,"")</f>
        <v/>
      </c>
      <c r="L442" t="str">
        <f>IF($A442&lt;&gt;"",'Approved-Enforcement'!K442,"")</f>
        <v/>
      </c>
      <c r="M442" t="str">
        <f>IF($A442&lt;&gt;"",'Approved-Enforcement'!L442,"")</f>
        <v/>
      </c>
      <c r="N442" t="str">
        <f>IF($A442&lt;&gt;"",'Approved-Enforcement'!M442,"")</f>
        <v/>
      </c>
      <c r="O442" t="str">
        <f>IF($A442&lt;&gt;"",'Approved-Enforcement'!N442,"")</f>
        <v/>
      </c>
      <c r="P442" t="str">
        <f>IF($A442&lt;&gt;"",'Approved-Enforcement'!O442,"")</f>
        <v/>
      </c>
    </row>
    <row r="443" spans="1:16" x14ac:dyDescent="0.35">
      <c r="A443" s="4" t="str">
        <f>IF('Approved-Enforcement'!$A443&lt;&gt;"",'Approved-Enforcement'!A443,"")</f>
        <v/>
      </c>
      <c r="B443" t="str">
        <f t="shared" si="6"/>
        <v/>
      </c>
      <c r="D443" t="str">
        <f>IF($A443&lt;&gt;"",IF($R443&lt;&gt;"",$R443,'Approved-Enforcement'!$B443+7),"")</f>
        <v/>
      </c>
      <c r="E443" t="str">
        <f>IF($A443&lt;&gt;"",'Approved-Enforcement'!D443,"")</f>
        <v/>
      </c>
      <c r="F443" t="str">
        <f>IF($A443&lt;&gt;"",'Approved-Enforcement'!E443,"")</f>
        <v/>
      </c>
      <c r="G443" t="str">
        <f>IF($A443&lt;&gt;"",'Approved-Enforcement'!F443,"")</f>
        <v/>
      </c>
      <c r="H443" t="str">
        <f>IF($A443&lt;&gt;"",'Approved-Enforcement'!G443,"")</f>
        <v/>
      </c>
      <c r="I443" t="str">
        <f>IF($A443&lt;&gt;"",'Approved-Enforcement'!H443,"")</f>
        <v/>
      </c>
      <c r="J443" t="str">
        <f>IF($A443&lt;&gt;"",'Approved-Enforcement'!I443,"")</f>
        <v/>
      </c>
      <c r="K443" t="str">
        <f>IF($A443&lt;&gt;"",'Approved-Enforcement'!J443,"")</f>
        <v/>
      </c>
      <c r="L443" t="str">
        <f>IF($A443&lt;&gt;"",'Approved-Enforcement'!K443,"")</f>
        <v/>
      </c>
      <c r="M443" t="str">
        <f>IF($A443&lt;&gt;"",'Approved-Enforcement'!L443,"")</f>
        <v/>
      </c>
      <c r="N443" t="str">
        <f>IF($A443&lt;&gt;"",'Approved-Enforcement'!M443,"")</f>
        <v/>
      </c>
      <c r="O443" t="str">
        <f>IF($A443&lt;&gt;"",'Approved-Enforcement'!N443,"")</f>
        <v/>
      </c>
      <c r="P443" t="str">
        <f>IF($A443&lt;&gt;"",'Approved-Enforcement'!O443,"")</f>
        <v/>
      </c>
    </row>
    <row r="444" spans="1:16" x14ac:dyDescent="0.35">
      <c r="A444" s="4" t="str">
        <f>IF('Approved-Enforcement'!$A444&lt;&gt;"",'Approved-Enforcement'!A444,"")</f>
        <v/>
      </c>
      <c r="B444" t="str">
        <f t="shared" si="6"/>
        <v/>
      </c>
      <c r="D444" t="str">
        <f>IF($A444&lt;&gt;"",IF($R444&lt;&gt;"",$R444,'Approved-Enforcement'!$B444+7),"")</f>
        <v/>
      </c>
      <c r="E444" t="str">
        <f>IF($A444&lt;&gt;"",'Approved-Enforcement'!D444,"")</f>
        <v/>
      </c>
      <c r="F444" t="str">
        <f>IF($A444&lt;&gt;"",'Approved-Enforcement'!E444,"")</f>
        <v/>
      </c>
      <c r="G444" t="str">
        <f>IF($A444&lt;&gt;"",'Approved-Enforcement'!F444,"")</f>
        <v/>
      </c>
      <c r="H444" t="str">
        <f>IF($A444&lt;&gt;"",'Approved-Enforcement'!G444,"")</f>
        <v/>
      </c>
      <c r="I444" t="str">
        <f>IF($A444&lt;&gt;"",'Approved-Enforcement'!H444,"")</f>
        <v/>
      </c>
      <c r="J444" t="str">
        <f>IF($A444&lt;&gt;"",'Approved-Enforcement'!I444,"")</f>
        <v/>
      </c>
      <c r="K444" t="str">
        <f>IF($A444&lt;&gt;"",'Approved-Enforcement'!J444,"")</f>
        <v/>
      </c>
      <c r="L444" t="str">
        <f>IF($A444&lt;&gt;"",'Approved-Enforcement'!K444,"")</f>
        <v/>
      </c>
      <c r="M444" t="str">
        <f>IF($A444&lt;&gt;"",'Approved-Enforcement'!L444,"")</f>
        <v/>
      </c>
      <c r="N444" t="str">
        <f>IF($A444&lt;&gt;"",'Approved-Enforcement'!M444,"")</f>
        <v/>
      </c>
      <c r="O444" t="str">
        <f>IF($A444&lt;&gt;"",'Approved-Enforcement'!N444,"")</f>
        <v/>
      </c>
      <c r="P444" t="str">
        <f>IF($A444&lt;&gt;"",'Approved-Enforcement'!O444,"")</f>
        <v/>
      </c>
    </row>
    <row r="445" spans="1:16" x14ac:dyDescent="0.35">
      <c r="A445" s="4" t="str">
        <f>IF('Approved-Enforcement'!$A445&lt;&gt;"",'Approved-Enforcement'!A445,"")</f>
        <v/>
      </c>
      <c r="B445" t="str">
        <f t="shared" si="6"/>
        <v/>
      </c>
      <c r="D445" t="str">
        <f>IF($A445&lt;&gt;"",IF($R445&lt;&gt;"",$R445,'Approved-Enforcement'!$B445+7),"")</f>
        <v/>
      </c>
      <c r="E445" t="str">
        <f>IF($A445&lt;&gt;"",'Approved-Enforcement'!D445,"")</f>
        <v/>
      </c>
      <c r="F445" t="str">
        <f>IF($A445&lt;&gt;"",'Approved-Enforcement'!E445,"")</f>
        <v/>
      </c>
      <c r="G445" t="str">
        <f>IF($A445&lt;&gt;"",'Approved-Enforcement'!F445,"")</f>
        <v/>
      </c>
      <c r="H445" t="str">
        <f>IF($A445&lt;&gt;"",'Approved-Enforcement'!G445,"")</f>
        <v/>
      </c>
      <c r="I445" t="str">
        <f>IF($A445&lt;&gt;"",'Approved-Enforcement'!H445,"")</f>
        <v/>
      </c>
      <c r="J445" t="str">
        <f>IF($A445&lt;&gt;"",'Approved-Enforcement'!I445,"")</f>
        <v/>
      </c>
      <c r="K445" t="str">
        <f>IF($A445&lt;&gt;"",'Approved-Enforcement'!J445,"")</f>
        <v/>
      </c>
      <c r="L445" t="str">
        <f>IF($A445&lt;&gt;"",'Approved-Enforcement'!K445,"")</f>
        <v/>
      </c>
      <c r="M445" t="str">
        <f>IF($A445&lt;&gt;"",'Approved-Enforcement'!L445,"")</f>
        <v/>
      </c>
      <c r="N445" t="str">
        <f>IF($A445&lt;&gt;"",'Approved-Enforcement'!M445,"")</f>
        <v/>
      </c>
      <c r="O445" t="str">
        <f>IF($A445&lt;&gt;"",'Approved-Enforcement'!N445,"")</f>
        <v/>
      </c>
      <c r="P445" t="str">
        <f>IF($A445&lt;&gt;"",'Approved-Enforcement'!O445,"")</f>
        <v/>
      </c>
    </row>
    <row r="446" spans="1:16" x14ac:dyDescent="0.35">
      <c r="A446" s="4" t="str">
        <f>IF('Approved-Enforcement'!$A446&lt;&gt;"",'Approved-Enforcement'!A446,"")</f>
        <v/>
      </c>
      <c r="B446" t="str">
        <f t="shared" si="6"/>
        <v/>
      </c>
      <c r="D446" t="str">
        <f>IF($A446&lt;&gt;"",IF($R446&lt;&gt;"",$R446,'Approved-Enforcement'!$B446+7),"")</f>
        <v/>
      </c>
      <c r="E446" t="str">
        <f>IF($A446&lt;&gt;"",'Approved-Enforcement'!D446,"")</f>
        <v/>
      </c>
      <c r="F446" t="str">
        <f>IF($A446&lt;&gt;"",'Approved-Enforcement'!E446,"")</f>
        <v/>
      </c>
      <c r="G446" t="str">
        <f>IF($A446&lt;&gt;"",'Approved-Enforcement'!F446,"")</f>
        <v/>
      </c>
      <c r="H446" t="str">
        <f>IF($A446&lt;&gt;"",'Approved-Enforcement'!G446,"")</f>
        <v/>
      </c>
      <c r="I446" t="str">
        <f>IF($A446&lt;&gt;"",'Approved-Enforcement'!H446,"")</f>
        <v/>
      </c>
      <c r="J446" t="str">
        <f>IF($A446&lt;&gt;"",'Approved-Enforcement'!I446,"")</f>
        <v/>
      </c>
      <c r="K446" t="str">
        <f>IF($A446&lt;&gt;"",'Approved-Enforcement'!J446,"")</f>
        <v/>
      </c>
      <c r="L446" t="str">
        <f>IF($A446&lt;&gt;"",'Approved-Enforcement'!K446,"")</f>
        <v/>
      </c>
      <c r="M446" t="str">
        <f>IF($A446&lt;&gt;"",'Approved-Enforcement'!L446,"")</f>
        <v/>
      </c>
      <c r="N446" t="str">
        <f>IF($A446&lt;&gt;"",'Approved-Enforcement'!M446,"")</f>
        <v/>
      </c>
      <c r="O446" t="str">
        <f>IF($A446&lt;&gt;"",'Approved-Enforcement'!N446,"")</f>
        <v/>
      </c>
      <c r="P446" t="str">
        <f>IF($A446&lt;&gt;"",'Approved-Enforcement'!O446,"")</f>
        <v/>
      </c>
    </row>
    <row r="447" spans="1:16" x14ac:dyDescent="0.35">
      <c r="A447" s="4" t="str">
        <f>IF('Approved-Enforcement'!$A447&lt;&gt;"",'Approved-Enforcement'!A447,"")</f>
        <v/>
      </c>
      <c r="B447" t="str">
        <f t="shared" si="6"/>
        <v/>
      </c>
      <c r="D447" t="str">
        <f>IF($A447&lt;&gt;"",IF($R447&lt;&gt;"",$R447,'Approved-Enforcement'!$B447+7),"")</f>
        <v/>
      </c>
      <c r="E447" t="str">
        <f>IF($A447&lt;&gt;"",'Approved-Enforcement'!D447,"")</f>
        <v/>
      </c>
      <c r="F447" t="str">
        <f>IF($A447&lt;&gt;"",'Approved-Enforcement'!E447,"")</f>
        <v/>
      </c>
      <c r="G447" t="str">
        <f>IF($A447&lt;&gt;"",'Approved-Enforcement'!F447,"")</f>
        <v/>
      </c>
      <c r="H447" t="str">
        <f>IF($A447&lt;&gt;"",'Approved-Enforcement'!G447,"")</f>
        <v/>
      </c>
      <c r="I447" t="str">
        <f>IF($A447&lt;&gt;"",'Approved-Enforcement'!H447,"")</f>
        <v/>
      </c>
      <c r="J447" t="str">
        <f>IF($A447&lt;&gt;"",'Approved-Enforcement'!I447,"")</f>
        <v/>
      </c>
      <c r="K447" t="str">
        <f>IF($A447&lt;&gt;"",'Approved-Enforcement'!J447,"")</f>
        <v/>
      </c>
      <c r="L447" t="str">
        <f>IF($A447&lt;&gt;"",'Approved-Enforcement'!K447,"")</f>
        <v/>
      </c>
      <c r="M447" t="str">
        <f>IF($A447&lt;&gt;"",'Approved-Enforcement'!L447,"")</f>
        <v/>
      </c>
      <c r="N447" t="str">
        <f>IF($A447&lt;&gt;"",'Approved-Enforcement'!M447,"")</f>
        <v/>
      </c>
      <c r="O447" t="str">
        <f>IF($A447&lt;&gt;"",'Approved-Enforcement'!N447,"")</f>
        <v/>
      </c>
      <c r="P447" t="str">
        <f>IF($A447&lt;&gt;"",'Approved-Enforcement'!O447,"")</f>
        <v/>
      </c>
    </row>
    <row r="448" spans="1:16" x14ac:dyDescent="0.35">
      <c r="A448" s="4" t="str">
        <f>IF('Approved-Enforcement'!$A448&lt;&gt;"",'Approved-Enforcement'!A448,"")</f>
        <v/>
      </c>
      <c r="B448" t="str">
        <f t="shared" si="6"/>
        <v/>
      </c>
      <c r="D448" t="str">
        <f>IF($A448&lt;&gt;"",IF($R448&lt;&gt;"",$R448,'Approved-Enforcement'!$B448+7),"")</f>
        <v/>
      </c>
      <c r="E448" t="str">
        <f>IF($A448&lt;&gt;"",'Approved-Enforcement'!D448,"")</f>
        <v/>
      </c>
      <c r="F448" t="str">
        <f>IF($A448&lt;&gt;"",'Approved-Enforcement'!E448,"")</f>
        <v/>
      </c>
      <c r="G448" t="str">
        <f>IF($A448&lt;&gt;"",'Approved-Enforcement'!F448,"")</f>
        <v/>
      </c>
      <c r="H448" t="str">
        <f>IF($A448&lt;&gt;"",'Approved-Enforcement'!G448,"")</f>
        <v/>
      </c>
      <c r="I448" t="str">
        <f>IF($A448&lt;&gt;"",'Approved-Enforcement'!H448,"")</f>
        <v/>
      </c>
      <c r="J448" t="str">
        <f>IF($A448&lt;&gt;"",'Approved-Enforcement'!I448,"")</f>
        <v/>
      </c>
      <c r="K448" t="str">
        <f>IF($A448&lt;&gt;"",'Approved-Enforcement'!J448,"")</f>
        <v/>
      </c>
      <c r="L448" t="str">
        <f>IF($A448&lt;&gt;"",'Approved-Enforcement'!K448,"")</f>
        <v/>
      </c>
      <c r="M448" t="str">
        <f>IF($A448&lt;&gt;"",'Approved-Enforcement'!L448,"")</f>
        <v/>
      </c>
      <c r="N448" t="str">
        <f>IF($A448&lt;&gt;"",'Approved-Enforcement'!M448,"")</f>
        <v/>
      </c>
      <c r="O448" t="str">
        <f>IF($A448&lt;&gt;"",'Approved-Enforcement'!N448,"")</f>
        <v/>
      </c>
      <c r="P448" t="str">
        <f>IF($A448&lt;&gt;"",'Approved-Enforcement'!O448,"")</f>
        <v/>
      </c>
    </row>
    <row r="449" spans="1:16" x14ac:dyDescent="0.35">
      <c r="A449" s="4" t="str">
        <f>IF('Approved-Enforcement'!$A449&lt;&gt;"",'Approved-Enforcement'!A449,"")</f>
        <v/>
      </c>
      <c r="B449" t="str">
        <f t="shared" si="6"/>
        <v/>
      </c>
      <c r="D449" t="str">
        <f>IF($A449&lt;&gt;"",IF($R449&lt;&gt;"",$R449,'Approved-Enforcement'!$B449+7),"")</f>
        <v/>
      </c>
      <c r="E449" t="str">
        <f>IF($A449&lt;&gt;"",'Approved-Enforcement'!D449,"")</f>
        <v/>
      </c>
      <c r="F449" t="str">
        <f>IF($A449&lt;&gt;"",'Approved-Enforcement'!E449,"")</f>
        <v/>
      </c>
      <c r="G449" t="str">
        <f>IF($A449&lt;&gt;"",'Approved-Enforcement'!F449,"")</f>
        <v/>
      </c>
      <c r="H449" t="str">
        <f>IF($A449&lt;&gt;"",'Approved-Enforcement'!G449,"")</f>
        <v/>
      </c>
      <c r="I449" t="str">
        <f>IF($A449&lt;&gt;"",'Approved-Enforcement'!H449,"")</f>
        <v/>
      </c>
      <c r="J449" t="str">
        <f>IF($A449&lt;&gt;"",'Approved-Enforcement'!I449,"")</f>
        <v/>
      </c>
      <c r="K449" t="str">
        <f>IF($A449&lt;&gt;"",'Approved-Enforcement'!J449,"")</f>
        <v/>
      </c>
      <c r="L449" t="str">
        <f>IF($A449&lt;&gt;"",'Approved-Enforcement'!K449,"")</f>
        <v/>
      </c>
      <c r="M449" t="str">
        <f>IF($A449&lt;&gt;"",'Approved-Enforcement'!L449,"")</f>
        <v/>
      </c>
      <c r="N449" t="str">
        <f>IF($A449&lt;&gt;"",'Approved-Enforcement'!M449,"")</f>
        <v/>
      </c>
      <c r="O449" t="str">
        <f>IF($A449&lt;&gt;"",'Approved-Enforcement'!N449,"")</f>
        <v/>
      </c>
      <c r="P449" t="str">
        <f>IF($A449&lt;&gt;"",'Approved-Enforcement'!O449,"")</f>
        <v/>
      </c>
    </row>
    <row r="450" spans="1:16" x14ac:dyDescent="0.35">
      <c r="A450" s="4" t="str">
        <f>IF('Approved-Enforcement'!$A450&lt;&gt;"",'Approved-Enforcement'!A450,"")</f>
        <v/>
      </c>
      <c r="B450" t="str">
        <f t="shared" ref="B450:B513" si="7">IF($A450&lt;&gt;"",IF($C450&lt;&gt;"",$C450,1500),"")</f>
        <v/>
      </c>
      <c r="D450" t="str">
        <f>IF($A450&lt;&gt;"",IF($R450&lt;&gt;"",$R450,'Approved-Enforcement'!$B450+7),"")</f>
        <v/>
      </c>
      <c r="E450" t="str">
        <f>IF($A450&lt;&gt;"",'Approved-Enforcement'!D450,"")</f>
        <v/>
      </c>
      <c r="F450" t="str">
        <f>IF($A450&lt;&gt;"",'Approved-Enforcement'!E450,"")</f>
        <v/>
      </c>
      <c r="G450" t="str">
        <f>IF($A450&lt;&gt;"",'Approved-Enforcement'!F450,"")</f>
        <v/>
      </c>
      <c r="H450" t="str">
        <f>IF($A450&lt;&gt;"",'Approved-Enforcement'!G450,"")</f>
        <v/>
      </c>
      <c r="I450" t="str">
        <f>IF($A450&lt;&gt;"",'Approved-Enforcement'!H450,"")</f>
        <v/>
      </c>
      <c r="J450" t="str">
        <f>IF($A450&lt;&gt;"",'Approved-Enforcement'!I450,"")</f>
        <v/>
      </c>
      <c r="K450" t="str">
        <f>IF($A450&lt;&gt;"",'Approved-Enforcement'!J450,"")</f>
        <v/>
      </c>
      <c r="L450" t="str">
        <f>IF($A450&lt;&gt;"",'Approved-Enforcement'!K450,"")</f>
        <v/>
      </c>
      <c r="M450" t="str">
        <f>IF($A450&lt;&gt;"",'Approved-Enforcement'!L450,"")</f>
        <v/>
      </c>
      <c r="N450" t="str">
        <f>IF($A450&lt;&gt;"",'Approved-Enforcement'!M450,"")</f>
        <v/>
      </c>
      <c r="O450" t="str">
        <f>IF($A450&lt;&gt;"",'Approved-Enforcement'!N450,"")</f>
        <v/>
      </c>
      <c r="P450" t="str">
        <f>IF($A450&lt;&gt;"",'Approved-Enforcement'!O450,"")</f>
        <v/>
      </c>
    </row>
    <row r="451" spans="1:16" x14ac:dyDescent="0.35">
      <c r="A451" s="4" t="str">
        <f>IF('Approved-Enforcement'!$A451&lt;&gt;"",'Approved-Enforcement'!A451,"")</f>
        <v/>
      </c>
      <c r="B451" t="str">
        <f t="shared" si="7"/>
        <v/>
      </c>
      <c r="D451" t="str">
        <f>IF($A451&lt;&gt;"",IF($R451&lt;&gt;"",$R451,'Approved-Enforcement'!$B451+7),"")</f>
        <v/>
      </c>
      <c r="E451" t="str">
        <f>IF($A451&lt;&gt;"",'Approved-Enforcement'!D451,"")</f>
        <v/>
      </c>
      <c r="F451" t="str">
        <f>IF($A451&lt;&gt;"",'Approved-Enforcement'!E451,"")</f>
        <v/>
      </c>
      <c r="G451" t="str">
        <f>IF($A451&lt;&gt;"",'Approved-Enforcement'!F451,"")</f>
        <v/>
      </c>
      <c r="H451" t="str">
        <f>IF($A451&lt;&gt;"",'Approved-Enforcement'!G451,"")</f>
        <v/>
      </c>
      <c r="I451" t="str">
        <f>IF($A451&lt;&gt;"",'Approved-Enforcement'!H451,"")</f>
        <v/>
      </c>
      <c r="J451" t="str">
        <f>IF($A451&lt;&gt;"",'Approved-Enforcement'!I451,"")</f>
        <v/>
      </c>
      <c r="K451" t="str">
        <f>IF($A451&lt;&gt;"",'Approved-Enforcement'!J451,"")</f>
        <v/>
      </c>
      <c r="L451" t="str">
        <f>IF($A451&lt;&gt;"",'Approved-Enforcement'!K451,"")</f>
        <v/>
      </c>
      <c r="M451" t="str">
        <f>IF($A451&lt;&gt;"",'Approved-Enforcement'!L451,"")</f>
        <v/>
      </c>
      <c r="N451" t="str">
        <f>IF($A451&lt;&gt;"",'Approved-Enforcement'!M451,"")</f>
        <v/>
      </c>
      <c r="O451" t="str">
        <f>IF($A451&lt;&gt;"",'Approved-Enforcement'!N451,"")</f>
        <v/>
      </c>
      <c r="P451" t="str">
        <f>IF($A451&lt;&gt;"",'Approved-Enforcement'!O451,"")</f>
        <v/>
      </c>
    </row>
    <row r="452" spans="1:16" x14ac:dyDescent="0.35">
      <c r="A452" s="4" t="str">
        <f>IF('Approved-Enforcement'!$A452&lt;&gt;"",'Approved-Enforcement'!A452,"")</f>
        <v/>
      </c>
      <c r="B452" t="str">
        <f t="shared" si="7"/>
        <v/>
      </c>
      <c r="D452" t="str">
        <f>IF($A452&lt;&gt;"",IF($R452&lt;&gt;"",$R452,'Approved-Enforcement'!$B452+7),"")</f>
        <v/>
      </c>
      <c r="E452" t="str">
        <f>IF($A452&lt;&gt;"",'Approved-Enforcement'!D452,"")</f>
        <v/>
      </c>
      <c r="F452" t="str">
        <f>IF($A452&lt;&gt;"",'Approved-Enforcement'!E452,"")</f>
        <v/>
      </c>
      <c r="G452" t="str">
        <f>IF($A452&lt;&gt;"",'Approved-Enforcement'!F452,"")</f>
        <v/>
      </c>
      <c r="H452" t="str">
        <f>IF($A452&lt;&gt;"",'Approved-Enforcement'!G452,"")</f>
        <v/>
      </c>
      <c r="I452" t="str">
        <f>IF($A452&lt;&gt;"",'Approved-Enforcement'!H452,"")</f>
        <v/>
      </c>
      <c r="J452" t="str">
        <f>IF($A452&lt;&gt;"",'Approved-Enforcement'!I452,"")</f>
        <v/>
      </c>
      <c r="K452" t="str">
        <f>IF($A452&lt;&gt;"",'Approved-Enforcement'!J452,"")</f>
        <v/>
      </c>
      <c r="L452" t="str">
        <f>IF($A452&lt;&gt;"",'Approved-Enforcement'!K452,"")</f>
        <v/>
      </c>
      <c r="M452" t="str">
        <f>IF($A452&lt;&gt;"",'Approved-Enforcement'!L452,"")</f>
        <v/>
      </c>
      <c r="N452" t="str">
        <f>IF($A452&lt;&gt;"",'Approved-Enforcement'!M452,"")</f>
        <v/>
      </c>
      <c r="O452" t="str">
        <f>IF($A452&lt;&gt;"",'Approved-Enforcement'!N452,"")</f>
        <v/>
      </c>
      <c r="P452" t="str">
        <f>IF($A452&lt;&gt;"",'Approved-Enforcement'!O452,"")</f>
        <v/>
      </c>
    </row>
    <row r="453" spans="1:16" x14ac:dyDescent="0.35">
      <c r="A453" s="4" t="str">
        <f>IF('Approved-Enforcement'!$A453&lt;&gt;"",'Approved-Enforcement'!A453,"")</f>
        <v/>
      </c>
      <c r="B453" t="str">
        <f t="shared" si="7"/>
        <v/>
      </c>
      <c r="D453" t="str">
        <f>IF($A453&lt;&gt;"",IF($R453&lt;&gt;"",$R453,'Approved-Enforcement'!$B453+7),"")</f>
        <v/>
      </c>
      <c r="E453" t="str">
        <f>IF($A453&lt;&gt;"",'Approved-Enforcement'!D453,"")</f>
        <v/>
      </c>
      <c r="F453" t="str">
        <f>IF($A453&lt;&gt;"",'Approved-Enforcement'!E453,"")</f>
        <v/>
      </c>
      <c r="G453" t="str">
        <f>IF($A453&lt;&gt;"",'Approved-Enforcement'!F453,"")</f>
        <v/>
      </c>
      <c r="H453" t="str">
        <f>IF($A453&lt;&gt;"",'Approved-Enforcement'!G453,"")</f>
        <v/>
      </c>
      <c r="I453" t="str">
        <f>IF($A453&lt;&gt;"",'Approved-Enforcement'!H453,"")</f>
        <v/>
      </c>
      <c r="J453" t="str">
        <f>IF($A453&lt;&gt;"",'Approved-Enforcement'!I453,"")</f>
        <v/>
      </c>
      <c r="K453" t="str">
        <f>IF($A453&lt;&gt;"",'Approved-Enforcement'!J453,"")</f>
        <v/>
      </c>
      <c r="L453" t="str">
        <f>IF($A453&lt;&gt;"",'Approved-Enforcement'!K453,"")</f>
        <v/>
      </c>
      <c r="M453" t="str">
        <f>IF($A453&lt;&gt;"",'Approved-Enforcement'!L453,"")</f>
        <v/>
      </c>
      <c r="N453" t="str">
        <f>IF($A453&lt;&gt;"",'Approved-Enforcement'!M453,"")</f>
        <v/>
      </c>
      <c r="O453" t="str">
        <f>IF($A453&lt;&gt;"",'Approved-Enforcement'!N453,"")</f>
        <v/>
      </c>
      <c r="P453" t="str">
        <f>IF($A453&lt;&gt;"",'Approved-Enforcement'!O453,"")</f>
        <v/>
      </c>
    </row>
    <row r="454" spans="1:16" x14ac:dyDescent="0.35">
      <c r="A454" s="4" t="str">
        <f>IF('Approved-Enforcement'!$A454&lt;&gt;"",'Approved-Enforcement'!A454,"")</f>
        <v/>
      </c>
      <c r="B454" t="str">
        <f t="shared" si="7"/>
        <v/>
      </c>
      <c r="D454" t="str">
        <f>IF($A454&lt;&gt;"",IF($R454&lt;&gt;"",$R454,'Approved-Enforcement'!$B454+7),"")</f>
        <v/>
      </c>
      <c r="E454" t="str">
        <f>IF($A454&lt;&gt;"",'Approved-Enforcement'!D454,"")</f>
        <v/>
      </c>
      <c r="F454" t="str">
        <f>IF($A454&lt;&gt;"",'Approved-Enforcement'!E454,"")</f>
        <v/>
      </c>
      <c r="G454" t="str">
        <f>IF($A454&lt;&gt;"",'Approved-Enforcement'!F454,"")</f>
        <v/>
      </c>
      <c r="H454" t="str">
        <f>IF($A454&lt;&gt;"",'Approved-Enforcement'!G454,"")</f>
        <v/>
      </c>
      <c r="I454" t="str">
        <f>IF($A454&lt;&gt;"",'Approved-Enforcement'!H454,"")</f>
        <v/>
      </c>
      <c r="J454" t="str">
        <f>IF($A454&lt;&gt;"",'Approved-Enforcement'!I454,"")</f>
        <v/>
      </c>
      <c r="K454" t="str">
        <f>IF($A454&lt;&gt;"",'Approved-Enforcement'!J454,"")</f>
        <v/>
      </c>
      <c r="L454" t="str">
        <f>IF($A454&lt;&gt;"",'Approved-Enforcement'!K454,"")</f>
        <v/>
      </c>
      <c r="M454" t="str">
        <f>IF($A454&lt;&gt;"",'Approved-Enforcement'!L454,"")</f>
        <v/>
      </c>
      <c r="N454" t="str">
        <f>IF($A454&lt;&gt;"",'Approved-Enforcement'!M454,"")</f>
        <v/>
      </c>
      <c r="O454" t="str">
        <f>IF($A454&lt;&gt;"",'Approved-Enforcement'!N454,"")</f>
        <v/>
      </c>
      <c r="P454" t="str">
        <f>IF($A454&lt;&gt;"",'Approved-Enforcement'!O454,"")</f>
        <v/>
      </c>
    </row>
    <row r="455" spans="1:16" x14ac:dyDescent="0.35">
      <c r="A455" s="4" t="str">
        <f>IF('Approved-Enforcement'!$A455&lt;&gt;"",'Approved-Enforcement'!A455,"")</f>
        <v/>
      </c>
      <c r="B455" t="str">
        <f t="shared" si="7"/>
        <v/>
      </c>
      <c r="D455" t="str">
        <f>IF($A455&lt;&gt;"",IF($R455&lt;&gt;"",$R455,'Approved-Enforcement'!$B455+7),"")</f>
        <v/>
      </c>
      <c r="E455" t="str">
        <f>IF($A455&lt;&gt;"",'Approved-Enforcement'!D455,"")</f>
        <v/>
      </c>
      <c r="F455" t="str">
        <f>IF($A455&lt;&gt;"",'Approved-Enforcement'!E455,"")</f>
        <v/>
      </c>
      <c r="G455" t="str">
        <f>IF($A455&lt;&gt;"",'Approved-Enforcement'!F455,"")</f>
        <v/>
      </c>
      <c r="H455" t="str">
        <f>IF($A455&lt;&gt;"",'Approved-Enforcement'!G455,"")</f>
        <v/>
      </c>
      <c r="I455" t="str">
        <f>IF($A455&lt;&gt;"",'Approved-Enforcement'!H455,"")</f>
        <v/>
      </c>
      <c r="J455" t="str">
        <f>IF($A455&lt;&gt;"",'Approved-Enforcement'!I455,"")</f>
        <v/>
      </c>
      <c r="K455" t="str">
        <f>IF($A455&lt;&gt;"",'Approved-Enforcement'!J455,"")</f>
        <v/>
      </c>
      <c r="L455" t="str">
        <f>IF($A455&lt;&gt;"",'Approved-Enforcement'!K455,"")</f>
        <v/>
      </c>
      <c r="M455" t="str">
        <f>IF($A455&lt;&gt;"",'Approved-Enforcement'!L455,"")</f>
        <v/>
      </c>
      <c r="N455" t="str">
        <f>IF($A455&lt;&gt;"",'Approved-Enforcement'!M455,"")</f>
        <v/>
      </c>
      <c r="O455" t="str">
        <f>IF($A455&lt;&gt;"",'Approved-Enforcement'!N455,"")</f>
        <v/>
      </c>
      <c r="P455" t="str">
        <f>IF($A455&lt;&gt;"",'Approved-Enforcement'!O455,"")</f>
        <v/>
      </c>
    </row>
    <row r="456" spans="1:16" x14ac:dyDescent="0.35">
      <c r="A456" s="4" t="str">
        <f>IF('Approved-Enforcement'!$A456&lt;&gt;"",'Approved-Enforcement'!A456,"")</f>
        <v/>
      </c>
      <c r="B456" t="str">
        <f t="shared" si="7"/>
        <v/>
      </c>
      <c r="D456" t="str">
        <f>IF($A456&lt;&gt;"",IF($R456&lt;&gt;"",$R456,'Approved-Enforcement'!$B456+7),"")</f>
        <v/>
      </c>
      <c r="E456" t="str">
        <f>IF($A456&lt;&gt;"",'Approved-Enforcement'!D456,"")</f>
        <v/>
      </c>
      <c r="F456" t="str">
        <f>IF($A456&lt;&gt;"",'Approved-Enforcement'!E456,"")</f>
        <v/>
      </c>
      <c r="G456" t="str">
        <f>IF($A456&lt;&gt;"",'Approved-Enforcement'!F456,"")</f>
        <v/>
      </c>
      <c r="H456" t="str">
        <f>IF($A456&lt;&gt;"",'Approved-Enforcement'!G456,"")</f>
        <v/>
      </c>
      <c r="I456" t="str">
        <f>IF($A456&lt;&gt;"",'Approved-Enforcement'!H456,"")</f>
        <v/>
      </c>
      <c r="J456" t="str">
        <f>IF($A456&lt;&gt;"",'Approved-Enforcement'!I456,"")</f>
        <v/>
      </c>
      <c r="K456" t="str">
        <f>IF($A456&lt;&gt;"",'Approved-Enforcement'!J456,"")</f>
        <v/>
      </c>
      <c r="L456" t="str">
        <f>IF($A456&lt;&gt;"",'Approved-Enforcement'!K456,"")</f>
        <v/>
      </c>
      <c r="M456" t="str">
        <f>IF($A456&lt;&gt;"",'Approved-Enforcement'!L456,"")</f>
        <v/>
      </c>
      <c r="N456" t="str">
        <f>IF($A456&lt;&gt;"",'Approved-Enforcement'!M456,"")</f>
        <v/>
      </c>
      <c r="O456" t="str">
        <f>IF($A456&lt;&gt;"",'Approved-Enforcement'!N456,"")</f>
        <v/>
      </c>
      <c r="P456" t="str">
        <f>IF($A456&lt;&gt;"",'Approved-Enforcement'!O456,"")</f>
        <v/>
      </c>
    </row>
    <row r="457" spans="1:16" x14ac:dyDescent="0.35">
      <c r="A457" s="4" t="str">
        <f>IF('Approved-Enforcement'!$A457&lt;&gt;"",'Approved-Enforcement'!A457,"")</f>
        <v/>
      </c>
      <c r="B457" t="str">
        <f t="shared" si="7"/>
        <v/>
      </c>
      <c r="D457" t="str">
        <f>IF($A457&lt;&gt;"",IF($R457&lt;&gt;"",$R457,'Approved-Enforcement'!$B457+7),"")</f>
        <v/>
      </c>
      <c r="E457" t="str">
        <f>IF($A457&lt;&gt;"",'Approved-Enforcement'!D457,"")</f>
        <v/>
      </c>
      <c r="F457" t="str">
        <f>IF($A457&lt;&gt;"",'Approved-Enforcement'!E457,"")</f>
        <v/>
      </c>
      <c r="G457" t="str">
        <f>IF($A457&lt;&gt;"",'Approved-Enforcement'!F457,"")</f>
        <v/>
      </c>
      <c r="H457" t="str">
        <f>IF($A457&lt;&gt;"",'Approved-Enforcement'!G457,"")</f>
        <v/>
      </c>
      <c r="I457" t="str">
        <f>IF($A457&lt;&gt;"",'Approved-Enforcement'!H457,"")</f>
        <v/>
      </c>
      <c r="J457" t="str">
        <f>IF($A457&lt;&gt;"",'Approved-Enforcement'!I457,"")</f>
        <v/>
      </c>
      <c r="K457" t="str">
        <f>IF($A457&lt;&gt;"",'Approved-Enforcement'!J457,"")</f>
        <v/>
      </c>
      <c r="L457" t="str">
        <f>IF($A457&lt;&gt;"",'Approved-Enforcement'!K457,"")</f>
        <v/>
      </c>
      <c r="M457" t="str">
        <f>IF($A457&lt;&gt;"",'Approved-Enforcement'!L457,"")</f>
        <v/>
      </c>
      <c r="N457" t="str">
        <f>IF($A457&lt;&gt;"",'Approved-Enforcement'!M457,"")</f>
        <v/>
      </c>
      <c r="O457" t="str">
        <f>IF($A457&lt;&gt;"",'Approved-Enforcement'!N457,"")</f>
        <v/>
      </c>
      <c r="P457" t="str">
        <f>IF($A457&lt;&gt;"",'Approved-Enforcement'!O457,"")</f>
        <v/>
      </c>
    </row>
    <row r="458" spans="1:16" x14ac:dyDescent="0.35">
      <c r="A458" s="4" t="str">
        <f>IF('Approved-Enforcement'!$A458&lt;&gt;"",'Approved-Enforcement'!A458,"")</f>
        <v/>
      </c>
      <c r="B458" t="str">
        <f t="shared" si="7"/>
        <v/>
      </c>
      <c r="D458" t="str">
        <f>IF($A458&lt;&gt;"",IF($R458&lt;&gt;"",$R458,'Approved-Enforcement'!$B458+7),"")</f>
        <v/>
      </c>
      <c r="E458" t="str">
        <f>IF($A458&lt;&gt;"",'Approved-Enforcement'!D458,"")</f>
        <v/>
      </c>
      <c r="F458" t="str">
        <f>IF($A458&lt;&gt;"",'Approved-Enforcement'!E458,"")</f>
        <v/>
      </c>
      <c r="G458" t="str">
        <f>IF($A458&lt;&gt;"",'Approved-Enforcement'!F458,"")</f>
        <v/>
      </c>
      <c r="H458" t="str">
        <f>IF($A458&lt;&gt;"",'Approved-Enforcement'!G458,"")</f>
        <v/>
      </c>
      <c r="I458" t="str">
        <f>IF($A458&lt;&gt;"",'Approved-Enforcement'!H458,"")</f>
        <v/>
      </c>
      <c r="J458" t="str">
        <f>IF($A458&lt;&gt;"",'Approved-Enforcement'!I458,"")</f>
        <v/>
      </c>
      <c r="K458" t="str">
        <f>IF($A458&lt;&gt;"",'Approved-Enforcement'!J458,"")</f>
        <v/>
      </c>
      <c r="L458" t="str">
        <f>IF($A458&lt;&gt;"",'Approved-Enforcement'!K458,"")</f>
        <v/>
      </c>
      <c r="M458" t="str">
        <f>IF($A458&lt;&gt;"",'Approved-Enforcement'!L458,"")</f>
        <v/>
      </c>
      <c r="N458" t="str">
        <f>IF($A458&lt;&gt;"",'Approved-Enforcement'!M458,"")</f>
        <v/>
      </c>
      <c r="O458" t="str">
        <f>IF($A458&lt;&gt;"",'Approved-Enforcement'!N458,"")</f>
        <v/>
      </c>
      <c r="P458" t="str">
        <f>IF($A458&lt;&gt;"",'Approved-Enforcement'!O458,"")</f>
        <v/>
      </c>
    </row>
    <row r="459" spans="1:16" x14ac:dyDescent="0.35">
      <c r="A459" s="4" t="str">
        <f>IF('Approved-Enforcement'!$A459&lt;&gt;"",'Approved-Enforcement'!A459,"")</f>
        <v/>
      </c>
      <c r="B459" t="str">
        <f t="shared" si="7"/>
        <v/>
      </c>
      <c r="D459" t="str">
        <f>IF($A459&lt;&gt;"",IF($R459&lt;&gt;"",$R459,'Approved-Enforcement'!$B459+7),"")</f>
        <v/>
      </c>
      <c r="E459" t="str">
        <f>IF($A459&lt;&gt;"",'Approved-Enforcement'!D459,"")</f>
        <v/>
      </c>
      <c r="F459" t="str">
        <f>IF($A459&lt;&gt;"",'Approved-Enforcement'!E459,"")</f>
        <v/>
      </c>
      <c r="G459" t="str">
        <f>IF($A459&lt;&gt;"",'Approved-Enforcement'!F459,"")</f>
        <v/>
      </c>
      <c r="H459" t="str">
        <f>IF($A459&lt;&gt;"",'Approved-Enforcement'!G459,"")</f>
        <v/>
      </c>
      <c r="I459" t="str">
        <f>IF($A459&lt;&gt;"",'Approved-Enforcement'!H459,"")</f>
        <v/>
      </c>
      <c r="J459" t="str">
        <f>IF($A459&lt;&gt;"",'Approved-Enforcement'!I459,"")</f>
        <v/>
      </c>
      <c r="K459" t="str">
        <f>IF($A459&lt;&gt;"",'Approved-Enforcement'!J459,"")</f>
        <v/>
      </c>
      <c r="L459" t="str">
        <f>IF($A459&lt;&gt;"",'Approved-Enforcement'!K459,"")</f>
        <v/>
      </c>
      <c r="M459" t="str">
        <f>IF($A459&lt;&gt;"",'Approved-Enforcement'!L459,"")</f>
        <v/>
      </c>
      <c r="N459" t="str">
        <f>IF($A459&lt;&gt;"",'Approved-Enforcement'!M459,"")</f>
        <v/>
      </c>
      <c r="O459" t="str">
        <f>IF($A459&lt;&gt;"",'Approved-Enforcement'!N459,"")</f>
        <v/>
      </c>
      <c r="P459" t="str">
        <f>IF($A459&lt;&gt;"",'Approved-Enforcement'!O459,"")</f>
        <v/>
      </c>
    </row>
    <row r="460" spans="1:16" x14ac:dyDescent="0.35">
      <c r="A460" s="4" t="str">
        <f>IF('Approved-Enforcement'!$A460&lt;&gt;"",'Approved-Enforcement'!A460,"")</f>
        <v/>
      </c>
      <c r="B460" t="str">
        <f t="shared" si="7"/>
        <v/>
      </c>
      <c r="D460" t="str">
        <f>IF($A460&lt;&gt;"",IF($R460&lt;&gt;"",$R460,'Approved-Enforcement'!$B460+7),"")</f>
        <v/>
      </c>
      <c r="E460" t="str">
        <f>IF($A460&lt;&gt;"",'Approved-Enforcement'!D460,"")</f>
        <v/>
      </c>
      <c r="F460" t="str">
        <f>IF($A460&lt;&gt;"",'Approved-Enforcement'!E460,"")</f>
        <v/>
      </c>
      <c r="G460" t="str">
        <f>IF($A460&lt;&gt;"",'Approved-Enforcement'!F460,"")</f>
        <v/>
      </c>
      <c r="H460" t="str">
        <f>IF($A460&lt;&gt;"",'Approved-Enforcement'!G460,"")</f>
        <v/>
      </c>
      <c r="I460" t="str">
        <f>IF($A460&lt;&gt;"",'Approved-Enforcement'!H460,"")</f>
        <v/>
      </c>
      <c r="J460" t="str">
        <f>IF($A460&lt;&gt;"",'Approved-Enforcement'!I460,"")</f>
        <v/>
      </c>
      <c r="K460" t="str">
        <f>IF($A460&lt;&gt;"",'Approved-Enforcement'!J460,"")</f>
        <v/>
      </c>
      <c r="L460" t="str">
        <f>IF($A460&lt;&gt;"",'Approved-Enforcement'!K460,"")</f>
        <v/>
      </c>
      <c r="M460" t="str">
        <f>IF($A460&lt;&gt;"",'Approved-Enforcement'!L460,"")</f>
        <v/>
      </c>
      <c r="N460" t="str">
        <f>IF($A460&lt;&gt;"",'Approved-Enforcement'!M460,"")</f>
        <v/>
      </c>
      <c r="O460" t="str">
        <f>IF($A460&lt;&gt;"",'Approved-Enforcement'!N460,"")</f>
        <v/>
      </c>
      <c r="P460" t="str">
        <f>IF($A460&lt;&gt;"",'Approved-Enforcement'!O460,"")</f>
        <v/>
      </c>
    </row>
    <row r="461" spans="1:16" x14ac:dyDescent="0.35">
      <c r="A461" s="4" t="str">
        <f>IF('Approved-Enforcement'!$A461&lt;&gt;"",'Approved-Enforcement'!A461,"")</f>
        <v/>
      </c>
      <c r="B461" t="str">
        <f t="shared" si="7"/>
        <v/>
      </c>
      <c r="D461" t="str">
        <f>IF($A461&lt;&gt;"",IF($R461&lt;&gt;"",$R461,'Approved-Enforcement'!$B461+7),"")</f>
        <v/>
      </c>
      <c r="E461" t="str">
        <f>IF($A461&lt;&gt;"",'Approved-Enforcement'!D461,"")</f>
        <v/>
      </c>
      <c r="F461" t="str">
        <f>IF($A461&lt;&gt;"",'Approved-Enforcement'!E461,"")</f>
        <v/>
      </c>
      <c r="G461" t="str">
        <f>IF($A461&lt;&gt;"",'Approved-Enforcement'!F461,"")</f>
        <v/>
      </c>
      <c r="H461" t="str">
        <f>IF($A461&lt;&gt;"",'Approved-Enforcement'!G461,"")</f>
        <v/>
      </c>
      <c r="I461" t="str">
        <f>IF($A461&lt;&gt;"",'Approved-Enforcement'!H461,"")</f>
        <v/>
      </c>
      <c r="J461" t="str">
        <f>IF($A461&lt;&gt;"",'Approved-Enforcement'!I461,"")</f>
        <v/>
      </c>
      <c r="K461" t="str">
        <f>IF($A461&lt;&gt;"",'Approved-Enforcement'!J461,"")</f>
        <v/>
      </c>
      <c r="L461" t="str">
        <f>IF($A461&lt;&gt;"",'Approved-Enforcement'!K461,"")</f>
        <v/>
      </c>
      <c r="M461" t="str">
        <f>IF($A461&lt;&gt;"",'Approved-Enforcement'!L461,"")</f>
        <v/>
      </c>
      <c r="N461" t="str">
        <f>IF($A461&lt;&gt;"",'Approved-Enforcement'!M461,"")</f>
        <v/>
      </c>
      <c r="O461" t="str">
        <f>IF($A461&lt;&gt;"",'Approved-Enforcement'!N461,"")</f>
        <v/>
      </c>
      <c r="P461" t="str">
        <f>IF($A461&lt;&gt;"",'Approved-Enforcement'!O461,"")</f>
        <v/>
      </c>
    </row>
    <row r="462" spans="1:16" x14ac:dyDescent="0.35">
      <c r="A462" s="4" t="str">
        <f>IF('Approved-Enforcement'!$A462&lt;&gt;"",'Approved-Enforcement'!A462,"")</f>
        <v/>
      </c>
      <c r="B462" t="str">
        <f t="shared" si="7"/>
        <v/>
      </c>
      <c r="D462" t="str">
        <f>IF($A462&lt;&gt;"",IF($R462&lt;&gt;"",$R462,'Approved-Enforcement'!$B462+7),"")</f>
        <v/>
      </c>
      <c r="E462" t="str">
        <f>IF($A462&lt;&gt;"",'Approved-Enforcement'!D462,"")</f>
        <v/>
      </c>
      <c r="F462" t="str">
        <f>IF($A462&lt;&gt;"",'Approved-Enforcement'!E462,"")</f>
        <v/>
      </c>
      <c r="G462" t="str">
        <f>IF($A462&lt;&gt;"",'Approved-Enforcement'!F462,"")</f>
        <v/>
      </c>
      <c r="H462" t="str">
        <f>IF($A462&lt;&gt;"",'Approved-Enforcement'!G462,"")</f>
        <v/>
      </c>
      <c r="I462" t="str">
        <f>IF($A462&lt;&gt;"",'Approved-Enforcement'!H462,"")</f>
        <v/>
      </c>
      <c r="J462" t="str">
        <f>IF($A462&lt;&gt;"",'Approved-Enforcement'!I462,"")</f>
        <v/>
      </c>
      <c r="K462" t="str">
        <f>IF($A462&lt;&gt;"",'Approved-Enforcement'!J462,"")</f>
        <v/>
      </c>
      <c r="L462" t="str">
        <f>IF($A462&lt;&gt;"",'Approved-Enforcement'!K462,"")</f>
        <v/>
      </c>
      <c r="M462" t="str">
        <f>IF($A462&lt;&gt;"",'Approved-Enforcement'!L462,"")</f>
        <v/>
      </c>
      <c r="N462" t="str">
        <f>IF($A462&lt;&gt;"",'Approved-Enforcement'!M462,"")</f>
        <v/>
      </c>
      <c r="O462" t="str">
        <f>IF($A462&lt;&gt;"",'Approved-Enforcement'!N462,"")</f>
        <v/>
      </c>
      <c r="P462" t="str">
        <f>IF($A462&lt;&gt;"",'Approved-Enforcement'!O462,"")</f>
        <v/>
      </c>
    </row>
    <row r="463" spans="1:16" x14ac:dyDescent="0.35">
      <c r="A463" s="4" t="str">
        <f>IF('Approved-Enforcement'!$A463&lt;&gt;"",'Approved-Enforcement'!A463,"")</f>
        <v/>
      </c>
      <c r="B463" t="str">
        <f t="shared" si="7"/>
        <v/>
      </c>
      <c r="D463" t="str">
        <f>IF($A463&lt;&gt;"",IF($R463&lt;&gt;"",$R463,'Approved-Enforcement'!$B463+7),"")</f>
        <v/>
      </c>
      <c r="E463" t="str">
        <f>IF($A463&lt;&gt;"",'Approved-Enforcement'!D463,"")</f>
        <v/>
      </c>
      <c r="F463" t="str">
        <f>IF($A463&lt;&gt;"",'Approved-Enforcement'!E463,"")</f>
        <v/>
      </c>
      <c r="G463" t="str">
        <f>IF($A463&lt;&gt;"",'Approved-Enforcement'!F463,"")</f>
        <v/>
      </c>
      <c r="H463" t="str">
        <f>IF($A463&lt;&gt;"",'Approved-Enforcement'!G463,"")</f>
        <v/>
      </c>
      <c r="I463" t="str">
        <f>IF($A463&lt;&gt;"",'Approved-Enforcement'!H463,"")</f>
        <v/>
      </c>
      <c r="J463" t="str">
        <f>IF($A463&lt;&gt;"",'Approved-Enforcement'!I463,"")</f>
        <v/>
      </c>
      <c r="K463" t="str">
        <f>IF($A463&lt;&gt;"",'Approved-Enforcement'!J463,"")</f>
        <v/>
      </c>
      <c r="L463" t="str">
        <f>IF($A463&lt;&gt;"",'Approved-Enforcement'!K463,"")</f>
        <v/>
      </c>
      <c r="M463" t="str">
        <f>IF($A463&lt;&gt;"",'Approved-Enforcement'!L463,"")</f>
        <v/>
      </c>
      <c r="N463" t="str">
        <f>IF($A463&lt;&gt;"",'Approved-Enforcement'!M463,"")</f>
        <v/>
      </c>
      <c r="O463" t="str">
        <f>IF($A463&lt;&gt;"",'Approved-Enforcement'!N463,"")</f>
        <v/>
      </c>
      <c r="P463" t="str">
        <f>IF($A463&lt;&gt;"",'Approved-Enforcement'!O463,"")</f>
        <v/>
      </c>
    </row>
    <row r="464" spans="1:16" x14ac:dyDescent="0.35">
      <c r="A464" s="4" t="str">
        <f>IF('Approved-Enforcement'!$A464&lt;&gt;"",'Approved-Enforcement'!A464,"")</f>
        <v/>
      </c>
      <c r="B464" t="str">
        <f t="shared" si="7"/>
        <v/>
      </c>
      <c r="D464" t="str">
        <f>IF($A464&lt;&gt;"",IF($R464&lt;&gt;"",$R464,'Approved-Enforcement'!$B464+7),"")</f>
        <v/>
      </c>
      <c r="E464" t="str">
        <f>IF($A464&lt;&gt;"",'Approved-Enforcement'!D464,"")</f>
        <v/>
      </c>
      <c r="F464" t="str">
        <f>IF($A464&lt;&gt;"",'Approved-Enforcement'!E464,"")</f>
        <v/>
      </c>
      <c r="G464" t="str">
        <f>IF($A464&lt;&gt;"",'Approved-Enforcement'!F464,"")</f>
        <v/>
      </c>
      <c r="H464" t="str">
        <f>IF($A464&lt;&gt;"",'Approved-Enforcement'!G464,"")</f>
        <v/>
      </c>
      <c r="I464" t="str">
        <f>IF($A464&lt;&gt;"",'Approved-Enforcement'!H464,"")</f>
        <v/>
      </c>
      <c r="J464" t="str">
        <f>IF($A464&lt;&gt;"",'Approved-Enforcement'!I464,"")</f>
        <v/>
      </c>
      <c r="K464" t="str">
        <f>IF($A464&lt;&gt;"",'Approved-Enforcement'!J464,"")</f>
        <v/>
      </c>
      <c r="L464" t="str">
        <f>IF($A464&lt;&gt;"",'Approved-Enforcement'!K464,"")</f>
        <v/>
      </c>
      <c r="M464" t="str">
        <f>IF($A464&lt;&gt;"",'Approved-Enforcement'!L464,"")</f>
        <v/>
      </c>
      <c r="N464" t="str">
        <f>IF($A464&lt;&gt;"",'Approved-Enforcement'!M464,"")</f>
        <v/>
      </c>
      <c r="O464" t="str">
        <f>IF($A464&lt;&gt;"",'Approved-Enforcement'!N464,"")</f>
        <v/>
      </c>
      <c r="P464" t="str">
        <f>IF($A464&lt;&gt;"",'Approved-Enforcement'!O464,"")</f>
        <v/>
      </c>
    </row>
    <row r="465" spans="1:16" x14ac:dyDescent="0.35">
      <c r="A465" s="4" t="str">
        <f>IF('Approved-Enforcement'!$A465&lt;&gt;"",'Approved-Enforcement'!A465,"")</f>
        <v/>
      </c>
      <c r="B465" t="str">
        <f t="shared" si="7"/>
        <v/>
      </c>
      <c r="D465" t="str">
        <f>IF($A465&lt;&gt;"",IF($R465&lt;&gt;"",$R465,'Approved-Enforcement'!$B465+7),"")</f>
        <v/>
      </c>
      <c r="E465" t="str">
        <f>IF($A465&lt;&gt;"",'Approved-Enforcement'!D465,"")</f>
        <v/>
      </c>
      <c r="F465" t="str">
        <f>IF($A465&lt;&gt;"",'Approved-Enforcement'!E465,"")</f>
        <v/>
      </c>
      <c r="G465" t="str">
        <f>IF($A465&lt;&gt;"",'Approved-Enforcement'!F465,"")</f>
        <v/>
      </c>
      <c r="H465" t="str">
        <f>IF($A465&lt;&gt;"",'Approved-Enforcement'!G465,"")</f>
        <v/>
      </c>
      <c r="I465" t="str">
        <f>IF($A465&lt;&gt;"",'Approved-Enforcement'!H465,"")</f>
        <v/>
      </c>
      <c r="J465" t="str">
        <f>IF($A465&lt;&gt;"",'Approved-Enforcement'!I465,"")</f>
        <v/>
      </c>
      <c r="K465" t="str">
        <f>IF($A465&lt;&gt;"",'Approved-Enforcement'!J465,"")</f>
        <v/>
      </c>
      <c r="L465" t="str">
        <f>IF($A465&lt;&gt;"",'Approved-Enforcement'!K465,"")</f>
        <v/>
      </c>
      <c r="M465" t="str">
        <f>IF($A465&lt;&gt;"",'Approved-Enforcement'!L465,"")</f>
        <v/>
      </c>
      <c r="N465" t="str">
        <f>IF($A465&lt;&gt;"",'Approved-Enforcement'!M465,"")</f>
        <v/>
      </c>
      <c r="O465" t="str">
        <f>IF($A465&lt;&gt;"",'Approved-Enforcement'!N465,"")</f>
        <v/>
      </c>
      <c r="P465" t="str">
        <f>IF($A465&lt;&gt;"",'Approved-Enforcement'!O465,"")</f>
        <v/>
      </c>
    </row>
    <row r="466" spans="1:16" x14ac:dyDescent="0.35">
      <c r="A466" s="4" t="str">
        <f>IF('Approved-Enforcement'!$A466&lt;&gt;"",'Approved-Enforcement'!A466,"")</f>
        <v/>
      </c>
      <c r="B466" t="str">
        <f t="shared" si="7"/>
        <v/>
      </c>
      <c r="D466" t="str">
        <f>IF($A466&lt;&gt;"",IF($R466&lt;&gt;"",$R466,'Approved-Enforcement'!$B466+7),"")</f>
        <v/>
      </c>
      <c r="E466" t="str">
        <f>IF($A466&lt;&gt;"",'Approved-Enforcement'!D466,"")</f>
        <v/>
      </c>
      <c r="F466" t="str">
        <f>IF($A466&lt;&gt;"",'Approved-Enforcement'!E466,"")</f>
        <v/>
      </c>
      <c r="G466" t="str">
        <f>IF($A466&lt;&gt;"",'Approved-Enforcement'!F466,"")</f>
        <v/>
      </c>
      <c r="H466" t="str">
        <f>IF($A466&lt;&gt;"",'Approved-Enforcement'!G466,"")</f>
        <v/>
      </c>
      <c r="I466" t="str">
        <f>IF($A466&lt;&gt;"",'Approved-Enforcement'!H466,"")</f>
        <v/>
      </c>
      <c r="J466" t="str">
        <f>IF($A466&lt;&gt;"",'Approved-Enforcement'!I466,"")</f>
        <v/>
      </c>
      <c r="K466" t="str">
        <f>IF($A466&lt;&gt;"",'Approved-Enforcement'!J466,"")</f>
        <v/>
      </c>
      <c r="L466" t="str">
        <f>IF($A466&lt;&gt;"",'Approved-Enforcement'!K466,"")</f>
        <v/>
      </c>
      <c r="M466" t="str">
        <f>IF($A466&lt;&gt;"",'Approved-Enforcement'!L466,"")</f>
        <v/>
      </c>
      <c r="N466" t="str">
        <f>IF($A466&lt;&gt;"",'Approved-Enforcement'!M466,"")</f>
        <v/>
      </c>
      <c r="O466" t="str">
        <f>IF($A466&lt;&gt;"",'Approved-Enforcement'!N466,"")</f>
        <v/>
      </c>
      <c r="P466" t="str">
        <f>IF($A466&lt;&gt;"",'Approved-Enforcement'!O466,"")</f>
        <v/>
      </c>
    </row>
    <row r="467" spans="1:16" x14ac:dyDescent="0.35">
      <c r="A467" s="4" t="str">
        <f>IF('Approved-Enforcement'!$A467&lt;&gt;"",'Approved-Enforcement'!A467,"")</f>
        <v/>
      </c>
      <c r="B467" t="str">
        <f t="shared" si="7"/>
        <v/>
      </c>
      <c r="D467" t="str">
        <f>IF($A467&lt;&gt;"",IF($R467&lt;&gt;"",$R467,'Approved-Enforcement'!$B467+7),"")</f>
        <v/>
      </c>
      <c r="E467" t="str">
        <f>IF($A467&lt;&gt;"",'Approved-Enforcement'!D467,"")</f>
        <v/>
      </c>
      <c r="F467" t="str">
        <f>IF($A467&lt;&gt;"",'Approved-Enforcement'!E467,"")</f>
        <v/>
      </c>
      <c r="G467" t="str">
        <f>IF($A467&lt;&gt;"",'Approved-Enforcement'!F467,"")</f>
        <v/>
      </c>
      <c r="H467" t="str">
        <f>IF($A467&lt;&gt;"",'Approved-Enforcement'!G467,"")</f>
        <v/>
      </c>
      <c r="I467" t="str">
        <f>IF($A467&lt;&gt;"",'Approved-Enforcement'!H467,"")</f>
        <v/>
      </c>
      <c r="J467" t="str">
        <f>IF($A467&lt;&gt;"",'Approved-Enforcement'!I467,"")</f>
        <v/>
      </c>
      <c r="K467" t="str">
        <f>IF($A467&lt;&gt;"",'Approved-Enforcement'!J467,"")</f>
        <v/>
      </c>
      <c r="L467" t="str">
        <f>IF($A467&lt;&gt;"",'Approved-Enforcement'!K467,"")</f>
        <v/>
      </c>
      <c r="M467" t="str">
        <f>IF($A467&lt;&gt;"",'Approved-Enforcement'!L467,"")</f>
        <v/>
      </c>
      <c r="N467" t="str">
        <f>IF($A467&lt;&gt;"",'Approved-Enforcement'!M467,"")</f>
        <v/>
      </c>
      <c r="O467" t="str">
        <f>IF($A467&lt;&gt;"",'Approved-Enforcement'!N467,"")</f>
        <v/>
      </c>
      <c r="P467" t="str">
        <f>IF($A467&lt;&gt;"",'Approved-Enforcement'!O467,"")</f>
        <v/>
      </c>
    </row>
    <row r="468" spans="1:16" x14ac:dyDescent="0.35">
      <c r="A468" s="4" t="str">
        <f>IF('Approved-Enforcement'!$A468&lt;&gt;"",'Approved-Enforcement'!A468,"")</f>
        <v/>
      </c>
      <c r="B468" t="str">
        <f t="shared" si="7"/>
        <v/>
      </c>
      <c r="D468" t="str">
        <f>IF($A468&lt;&gt;"",IF($R468&lt;&gt;"",$R468,'Approved-Enforcement'!$B468+7),"")</f>
        <v/>
      </c>
      <c r="E468" t="str">
        <f>IF($A468&lt;&gt;"",'Approved-Enforcement'!D468,"")</f>
        <v/>
      </c>
      <c r="F468" t="str">
        <f>IF($A468&lt;&gt;"",'Approved-Enforcement'!E468,"")</f>
        <v/>
      </c>
      <c r="G468" t="str">
        <f>IF($A468&lt;&gt;"",'Approved-Enforcement'!F468,"")</f>
        <v/>
      </c>
      <c r="H468" t="str">
        <f>IF($A468&lt;&gt;"",'Approved-Enforcement'!G468,"")</f>
        <v/>
      </c>
      <c r="I468" t="str">
        <f>IF($A468&lt;&gt;"",'Approved-Enforcement'!H468,"")</f>
        <v/>
      </c>
      <c r="J468" t="str">
        <f>IF($A468&lt;&gt;"",'Approved-Enforcement'!I468,"")</f>
        <v/>
      </c>
      <c r="K468" t="str">
        <f>IF($A468&lt;&gt;"",'Approved-Enforcement'!J468,"")</f>
        <v/>
      </c>
      <c r="L468" t="str">
        <f>IF($A468&lt;&gt;"",'Approved-Enforcement'!K468,"")</f>
        <v/>
      </c>
      <c r="M468" t="str">
        <f>IF($A468&lt;&gt;"",'Approved-Enforcement'!L468,"")</f>
        <v/>
      </c>
      <c r="N468" t="str">
        <f>IF($A468&lt;&gt;"",'Approved-Enforcement'!M468,"")</f>
        <v/>
      </c>
      <c r="O468" t="str">
        <f>IF($A468&lt;&gt;"",'Approved-Enforcement'!N468,"")</f>
        <v/>
      </c>
      <c r="P468" t="str">
        <f>IF($A468&lt;&gt;"",'Approved-Enforcement'!O468,"")</f>
        <v/>
      </c>
    </row>
    <row r="469" spans="1:16" x14ac:dyDescent="0.35">
      <c r="A469" s="4" t="str">
        <f>IF('Approved-Enforcement'!$A469&lt;&gt;"",'Approved-Enforcement'!A469,"")</f>
        <v/>
      </c>
      <c r="B469" t="str">
        <f t="shared" si="7"/>
        <v/>
      </c>
      <c r="D469" t="str">
        <f>IF($A469&lt;&gt;"",IF($R469&lt;&gt;"",$R469,'Approved-Enforcement'!$B469+7),"")</f>
        <v/>
      </c>
      <c r="E469" t="str">
        <f>IF($A469&lt;&gt;"",'Approved-Enforcement'!D469,"")</f>
        <v/>
      </c>
      <c r="F469" t="str">
        <f>IF($A469&lt;&gt;"",'Approved-Enforcement'!E469,"")</f>
        <v/>
      </c>
      <c r="G469" t="str">
        <f>IF($A469&lt;&gt;"",'Approved-Enforcement'!F469,"")</f>
        <v/>
      </c>
      <c r="H469" t="str">
        <f>IF($A469&lt;&gt;"",'Approved-Enforcement'!G469,"")</f>
        <v/>
      </c>
      <c r="I469" t="str">
        <f>IF($A469&lt;&gt;"",'Approved-Enforcement'!H469,"")</f>
        <v/>
      </c>
      <c r="J469" t="str">
        <f>IF($A469&lt;&gt;"",'Approved-Enforcement'!I469,"")</f>
        <v/>
      </c>
      <c r="K469" t="str">
        <f>IF($A469&lt;&gt;"",'Approved-Enforcement'!J469,"")</f>
        <v/>
      </c>
      <c r="L469" t="str">
        <f>IF($A469&lt;&gt;"",'Approved-Enforcement'!K469,"")</f>
        <v/>
      </c>
      <c r="M469" t="str">
        <f>IF($A469&lt;&gt;"",'Approved-Enforcement'!L469,"")</f>
        <v/>
      </c>
      <c r="N469" t="str">
        <f>IF($A469&lt;&gt;"",'Approved-Enforcement'!M469,"")</f>
        <v/>
      </c>
      <c r="O469" t="str">
        <f>IF($A469&lt;&gt;"",'Approved-Enforcement'!N469,"")</f>
        <v/>
      </c>
      <c r="P469" t="str">
        <f>IF($A469&lt;&gt;"",'Approved-Enforcement'!O469,"")</f>
        <v/>
      </c>
    </row>
    <row r="470" spans="1:16" x14ac:dyDescent="0.35">
      <c r="A470" s="4" t="str">
        <f>IF('Approved-Enforcement'!$A470&lt;&gt;"",'Approved-Enforcement'!A470,"")</f>
        <v/>
      </c>
      <c r="B470" t="str">
        <f t="shared" si="7"/>
        <v/>
      </c>
      <c r="D470" t="str">
        <f>IF($A470&lt;&gt;"",IF($R470&lt;&gt;"",$R470,'Approved-Enforcement'!$B470+7),"")</f>
        <v/>
      </c>
      <c r="E470" t="str">
        <f>IF($A470&lt;&gt;"",'Approved-Enforcement'!D470,"")</f>
        <v/>
      </c>
      <c r="F470" t="str">
        <f>IF($A470&lt;&gt;"",'Approved-Enforcement'!E470,"")</f>
        <v/>
      </c>
      <c r="G470" t="str">
        <f>IF($A470&lt;&gt;"",'Approved-Enforcement'!F470,"")</f>
        <v/>
      </c>
      <c r="H470" t="str">
        <f>IF($A470&lt;&gt;"",'Approved-Enforcement'!G470,"")</f>
        <v/>
      </c>
      <c r="I470" t="str">
        <f>IF($A470&lt;&gt;"",'Approved-Enforcement'!H470,"")</f>
        <v/>
      </c>
      <c r="J470" t="str">
        <f>IF($A470&lt;&gt;"",'Approved-Enforcement'!I470,"")</f>
        <v/>
      </c>
      <c r="K470" t="str">
        <f>IF($A470&lt;&gt;"",'Approved-Enforcement'!J470,"")</f>
        <v/>
      </c>
      <c r="L470" t="str">
        <f>IF($A470&lt;&gt;"",'Approved-Enforcement'!K470,"")</f>
        <v/>
      </c>
      <c r="M470" t="str">
        <f>IF($A470&lt;&gt;"",'Approved-Enforcement'!L470,"")</f>
        <v/>
      </c>
      <c r="N470" t="str">
        <f>IF($A470&lt;&gt;"",'Approved-Enforcement'!M470,"")</f>
        <v/>
      </c>
      <c r="O470" t="str">
        <f>IF($A470&lt;&gt;"",'Approved-Enforcement'!N470,"")</f>
        <v/>
      </c>
      <c r="P470" t="str">
        <f>IF($A470&lt;&gt;"",'Approved-Enforcement'!O470,"")</f>
        <v/>
      </c>
    </row>
    <row r="471" spans="1:16" x14ac:dyDescent="0.35">
      <c r="A471" s="4" t="str">
        <f>IF('Approved-Enforcement'!$A471&lt;&gt;"",'Approved-Enforcement'!A471,"")</f>
        <v/>
      </c>
      <c r="B471" t="str">
        <f t="shared" si="7"/>
        <v/>
      </c>
      <c r="D471" t="str">
        <f>IF($A471&lt;&gt;"",IF($R471&lt;&gt;"",$R471,'Approved-Enforcement'!$B471+7),"")</f>
        <v/>
      </c>
      <c r="E471" t="str">
        <f>IF($A471&lt;&gt;"",'Approved-Enforcement'!D471,"")</f>
        <v/>
      </c>
      <c r="F471" t="str">
        <f>IF($A471&lt;&gt;"",'Approved-Enforcement'!E471,"")</f>
        <v/>
      </c>
      <c r="G471" t="str">
        <f>IF($A471&lt;&gt;"",'Approved-Enforcement'!F471,"")</f>
        <v/>
      </c>
      <c r="H471" t="str">
        <f>IF($A471&lt;&gt;"",'Approved-Enforcement'!G471,"")</f>
        <v/>
      </c>
      <c r="I471" t="str">
        <f>IF($A471&lt;&gt;"",'Approved-Enforcement'!H471,"")</f>
        <v/>
      </c>
      <c r="J471" t="str">
        <f>IF($A471&lt;&gt;"",'Approved-Enforcement'!I471,"")</f>
        <v/>
      </c>
      <c r="K471" t="str">
        <f>IF($A471&lt;&gt;"",'Approved-Enforcement'!J471,"")</f>
        <v/>
      </c>
      <c r="L471" t="str">
        <f>IF($A471&lt;&gt;"",'Approved-Enforcement'!K471,"")</f>
        <v/>
      </c>
      <c r="M471" t="str">
        <f>IF($A471&lt;&gt;"",'Approved-Enforcement'!L471,"")</f>
        <v/>
      </c>
      <c r="N471" t="str">
        <f>IF($A471&lt;&gt;"",'Approved-Enforcement'!M471,"")</f>
        <v/>
      </c>
      <c r="O471" t="str">
        <f>IF($A471&lt;&gt;"",'Approved-Enforcement'!N471,"")</f>
        <v/>
      </c>
      <c r="P471" t="str">
        <f>IF($A471&lt;&gt;"",'Approved-Enforcement'!O471,"")</f>
        <v/>
      </c>
    </row>
    <row r="472" spans="1:16" x14ac:dyDescent="0.35">
      <c r="A472" s="4" t="str">
        <f>IF('Approved-Enforcement'!$A472&lt;&gt;"",'Approved-Enforcement'!A472,"")</f>
        <v/>
      </c>
      <c r="B472" t="str">
        <f t="shared" si="7"/>
        <v/>
      </c>
      <c r="D472" t="str">
        <f>IF($A472&lt;&gt;"",IF($R472&lt;&gt;"",$R472,'Approved-Enforcement'!$B472+7),"")</f>
        <v/>
      </c>
      <c r="E472" t="str">
        <f>IF($A472&lt;&gt;"",'Approved-Enforcement'!D472,"")</f>
        <v/>
      </c>
      <c r="F472" t="str">
        <f>IF($A472&lt;&gt;"",'Approved-Enforcement'!E472,"")</f>
        <v/>
      </c>
      <c r="G472" t="str">
        <f>IF($A472&lt;&gt;"",'Approved-Enforcement'!F472,"")</f>
        <v/>
      </c>
      <c r="H472" t="str">
        <f>IF($A472&lt;&gt;"",'Approved-Enforcement'!G472,"")</f>
        <v/>
      </c>
      <c r="I472" t="str">
        <f>IF($A472&lt;&gt;"",'Approved-Enforcement'!H472,"")</f>
        <v/>
      </c>
      <c r="J472" t="str">
        <f>IF($A472&lt;&gt;"",'Approved-Enforcement'!I472,"")</f>
        <v/>
      </c>
      <c r="K472" t="str">
        <f>IF($A472&lt;&gt;"",'Approved-Enforcement'!J472,"")</f>
        <v/>
      </c>
      <c r="L472" t="str">
        <f>IF($A472&lt;&gt;"",'Approved-Enforcement'!K472,"")</f>
        <v/>
      </c>
      <c r="M472" t="str">
        <f>IF($A472&lt;&gt;"",'Approved-Enforcement'!L472,"")</f>
        <v/>
      </c>
      <c r="N472" t="str">
        <f>IF($A472&lt;&gt;"",'Approved-Enforcement'!M472,"")</f>
        <v/>
      </c>
      <c r="O472" t="str">
        <f>IF($A472&lt;&gt;"",'Approved-Enforcement'!N472,"")</f>
        <v/>
      </c>
      <c r="P472" t="str">
        <f>IF($A472&lt;&gt;"",'Approved-Enforcement'!O472,"")</f>
        <v/>
      </c>
    </row>
    <row r="473" spans="1:16" x14ac:dyDescent="0.35">
      <c r="A473" s="4" t="str">
        <f>IF('Approved-Enforcement'!$A473&lt;&gt;"",'Approved-Enforcement'!A473,"")</f>
        <v/>
      </c>
      <c r="B473" t="str">
        <f t="shared" si="7"/>
        <v/>
      </c>
      <c r="D473" t="str">
        <f>IF($A473&lt;&gt;"",IF($R473&lt;&gt;"",$R473,'Approved-Enforcement'!$B473+7),"")</f>
        <v/>
      </c>
      <c r="E473" t="str">
        <f>IF($A473&lt;&gt;"",'Approved-Enforcement'!D473,"")</f>
        <v/>
      </c>
      <c r="F473" t="str">
        <f>IF($A473&lt;&gt;"",'Approved-Enforcement'!E473,"")</f>
        <v/>
      </c>
      <c r="G473" t="str">
        <f>IF($A473&lt;&gt;"",'Approved-Enforcement'!F473,"")</f>
        <v/>
      </c>
      <c r="H473" t="str">
        <f>IF($A473&lt;&gt;"",'Approved-Enforcement'!G473,"")</f>
        <v/>
      </c>
      <c r="I473" t="str">
        <f>IF($A473&lt;&gt;"",'Approved-Enforcement'!H473,"")</f>
        <v/>
      </c>
      <c r="J473" t="str">
        <f>IF($A473&lt;&gt;"",'Approved-Enforcement'!I473,"")</f>
        <v/>
      </c>
      <c r="K473" t="str">
        <f>IF($A473&lt;&gt;"",'Approved-Enforcement'!J473,"")</f>
        <v/>
      </c>
      <c r="L473" t="str">
        <f>IF($A473&lt;&gt;"",'Approved-Enforcement'!K473,"")</f>
        <v/>
      </c>
      <c r="M473" t="str">
        <f>IF($A473&lt;&gt;"",'Approved-Enforcement'!L473,"")</f>
        <v/>
      </c>
      <c r="N473" t="str">
        <f>IF($A473&lt;&gt;"",'Approved-Enforcement'!M473,"")</f>
        <v/>
      </c>
      <c r="O473" t="str">
        <f>IF($A473&lt;&gt;"",'Approved-Enforcement'!N473,"")</f>
        <v/>
      </c>
      <c r="P473" t="str">
        <f>IF($A473&lt;&gt;"",'Approved-Enforcement'!O473,"")</f>
        <v/>
      </c>
    </row>
    <row r="474" spans="1:16" x14ac:dyDescent="0.35">
      <c r="A474" s="4" t="str">
        <f>IF('Approved-Enforcement'!$A474&lt;&gt;"",'Approved-Enforcement'!A474,"")</f>
        <v/>
      </c>
      <c r="B474" t="str">
        <f t="shared" si="7"/>
        <v/>
      </c>
      <c r="D474" t="str">
        <f>IF($A474&lt;&gt;"",IF($R474&lt;&gt;"",$R474,'Approved-Enforcement'!$B474+7),"")</f>
        <v/>
      </c>
      <c r="E474" t="str">
        <f>IF($A474&lt;&gt;"",'Approved-Enforcement'!D474,"")</f>
        <v/>
      </c>
      <c r="F474" t="str">
        <f>IF($A474&lt;&gt;"",'Approved-Enforcement'!E474,"")</f>
        <v/>
      </c>
      <c r="G474" t="str">
        <f>IF($A474&lt;&gt;"",'Approved-Enforcement'!F474,"")</f>
        <v/>
      </c>
      <c r="H474" t="str">
        <f>IF($A474&lt;&gt;"",'Approved-Enforcement'!G474,"")</f>
        <v/>
      </c>
      <c r="I474" t="str">
        <f>IF($A474&lt;&gt;"",'Approved-Enforcement'!H474,"")</f>
        <v/>
      </c>
      <c r="J474" t="str">
        <f>IF($A474&lt;&gt;"",'Approved-Enforcement'!I474,"")</f>
        <v/>
      </c>
      <c r="K474" t="str">
        <f>IF($A474&lt;&gt;"",'Approved-Enforcement'!J474,"")</f>
        <v/>
      </c>
      <c r="L474" t="str">
        <f>IF($A474&lt;&gt;"",'Approved-Enforcement'!K474,"")</f>
        <v/>
      </c>
      <c r="M474" t="str">
        <f>IF($A474&lt;&gt;"",'Approved-Enforcement'!L474,"")</f>
        <v/>
      </c>
      <c r="N474" t="str">
        <f>IF($A474&lt;&gt;"",'Approved-Enforcement'!M474,"")</f>
        <v/>
      </c>
      <c r="O474" t="str">
        <f>IF($A474&lt;&gt;"",'Approved-Enforcement'!N474,"")</f>
        <v/>
      </c>
      <c r="P474" t="str">
        <f>IF($A474&lt;&gt;"",'Approved-Enforcement'!O474,"")</f>
        <v/>
      </c>
    </row>
    <row r="475" spans="1:16" x14ac:dyDescent="0.35">
      <c r="A475" s="4" t="str">
        <f>IF('Approved-Enforcement'!$A475&lt;&gt;"",'Approved-Enforcement'!A475,"")</f>
        <v/>
      </c>
      <c r="B475" t="str">
        <f t="shared" si="7"/>
        <v/>
      </c>
      <c r="D475" t="str">
        <f>IF($A475&lt;&gt;"",IF($R475&lt;&gt;"",$R475,'Approved-Enforcement'!$B475+7),"")</f>
        <v/>
      </c>
      <c r="E475" t="str">
        <f>IF($A475&lt;&gt;"",'Approved-Enforcement'!D475,"")</f>
        <v/>
      </c>
      <c r="F475" t="str">
        <f>IF($A475&lt;&gt;"",'Approved-Enforcement'!E475,"")</f>
        <v/>
      </c>
      <c r="G475" t="str">
        <f>IF($A475&lt;&gt;"",'Approved-Enforcement'!F475,"")</f>
        <v/>
      </c>
      <c r="H475" t="str">
        <f>IF($A475&lt;&gt;"",'Approved-Enforcement'!G475,"")</f>
        <v/>
      </c>
      <c r="I475" t="str">
        <f>IF($A475&lt;&gt;"",'Approved-Enforcement'!H475,"")</f>
        <v/>
      </c>
      <c r="J475" t="str">
        <f>IF($A475&lt;&gt;"",'Approved-Enforcement'!I475,"")</f>
        <v/>
      </c>
      <c r="K475" t="str">
        <f>IF($A475&lt;&gt;"",'Approved-Enforcement'!J475,"")</f>
        <v/>
      </c>
      <c r="L475" t="str">
        <f>IF($A475&lt;&gt;"",'Approved-Enforcement'!K475,"")</f>
        <v/>
      </c>
      <c r="M475" t="str">
        <f>IF($A475&lt;&gt;"",'Approved-Enforcement'!L475,"")</f>
        <v/>
      </c>
      <c r="N475" t="str">
        <f>IF($A475&lt;&gt;"",'Approved-Enforcement'!M475,"")</f>
        <v/>
      </c>
      <c r="O475" t="str">
        <f>IF($A475&lt;&gt;"",'Approved-Enforcement'!N475,"")</f>
        <v/>
      </c>
      <c r="P475" t="str">
        <f>IF($A475&lt;&gt;"",'Approved-Enforcement'!O475,"")</f>
        <v/>
      </c>
    </row>
    <row r="476" spans="1:16" x14ac:dyDescent="0.35">
      <c r="A476" s="4" t="str">
        <f>IF('Approved-Enforcement'!$A476&lt;&gt;"",'Approved-Enforcement'!A476,"")</f>
        <v/>
      </c>
      <c r="B476" t="str">
        <f t="shared" si="7"/>
        <v/>
      </c>
      <c r="D476" t="str">
        <f>IF($A476&lt;&gt;"",IF($R476&lt;&gt;"",$R476,'Approved-Enforcement'!$B476+7),"")</f>
        <v/>
      </c>
      <c r="E476" t="str">
        <f>IF($A476&lt;&gt;"",'Approved-Enforcement'!D476,"")</f>
        <v/>
      </c>
      <c r="F476" t="str">
        <f>IF($A476&lt;&gt;"",'Approved-Enforcement'!E476,"")</f>
        <v/>
      </c>
      <c r="G476" t="str">
        <f>IF($A476&lt;&gt;"",'Approved-Enforcement'!F476,"")</f>
        <v/>
      </c>
      <c r="H476" t="str">
        <f>IF($A476&lt;&gt;"",'Approved-Enforcement'!G476,"")</f>
        <v/>
      </c>
      <c r="I476" t="str">
        <f>IF($A476&lt;&gt;"",'Approved-Enforcement'!H476,"")</f>
        <v/>
      </c>
      <c r="J476" t="str">
        <f>IF($A476&lt;&gt;"",'Approved-Enforcement'!I476,"")</f>
        <v/>
      </c>
      <c r="K476" t="str">
        <f>IF($A476&lt;&gt;"",'Approved-Enforcement'!J476,"")</f>
        <v/>
      </c>
      <c r="L476" t="str">
        <f>IF($A476&lt;&gt;"",'Approved-Enforcement'!K476,"")</f>
        <v/>
      </c>
      <c r="M476" t="str">
        <f>IF($A476&lt;&gt;"",'Approved-Enforcement'!L476,"")</f>
        <v/>
      </c>
      <c r="N476" t="str">
        <f>IF($A476&lt;&gt;"",'Approved-Enforcement'!M476,"")</f>
        <v/>
      </c>
      <c r="O476" t="str">
        <f>IF($A476&lt;&gt;"",'Approved-Enforcement'!N476,"")</f>
        <v/>
      </c>
      <c r="P476" t="str">
        <f>IF($A476&lt;&gt;"",'Approved-Enforcement'!O476,"")</f>
        <v/>
      </c>
    </row>
    <row r="477" spans="1:16" x14ac:dyDescent="0.35">
      <c r="A477" s="4" t="str">
        <f>IF('Approved-Enforcement'!$A477&lt;&gt;"",'Approved-Enforcement'!A477,"")</f>
        <v/>
      </c>
      <c r="B477" t="str">
        <f t="shared" si="7"/>
        <v/>
      </c>
      <c r="D477" t="str">
        <f>IF($A477&lt;&gt;"",IF($R477&lt;&gt;"",$R477,'Approved-Enforcement'!$B477+7),"")</f>
        <v/>
      </c>
      <c r="E477" t="str">
        <f>IF($A477&lt;&gt;"",'Approved-Enforcement'!D477,"")</f>
        <v/>
      </c>
      <c r="F477" t="str">
        <f>IF($A477&lt;&gt;"",'Approved-Enforcement'!E477,"")</f>
        <v/>
      </c>
      <c r="G477" t="str">
        <f>IF($A477&lt;&gt;"",'Approved-Enforcement'!F477,"")</f>
        <v/>
      </c>
      <c r="H477" t="str">
        <f>IF($A477&lt;&gt;"",'Approved-Enforcement'!G477,"")</f>
        <v/>
      </c>
      <c r="I477" t="str">
        <f>IF($A477&lt;&gt;"",'Approved-Enforcement'!H477,"")</f>
        <v/>
      </c>
      <c r="J477" t="str">
        <f>IF($A477&lt;&gt;"",'Approved-Enforcement'!I477,"")</f>
        <v/>
      </c>
      <c r="K477" t="str">
        <f>IF($A477&lt;&gt;"",'Approved-Enforcement'!J477,"")</f>
        <v/>
      </c>
      <c r="L477" t="str">
        <f>IF($A477&lt;&gt;"",'Approved-Enforcement'!K477,"")</f>
        <v/>
      </c>
      <c r="M477" t="str">
        <f>IF($A477&lt;&gt;"",'Approved-Enforcement'!L477,"")</f>
        <v/>
      </c>
      <c r="N477" t="str">
        <f>IF($A477&lt;&gt;"",'Approved-Enforcement'!M477,"")</f>
        <v/>
      </c>
      <c r="O477" t="str">
        <f>IF($A477&lt;&gt;"",'Approved-Enforcement'!N477,"")</f>
        <v/>
      </c>
      <c r="P477" t="str">
        <f>IF($A477&lt;&gt;"",'Approved-Enforcement'!O477,"")</f>
        <v/>
      </c>
    </row>
    <row r="478" spans="1:16" x14ac:dyDescent="0.35">
      <c r="A478" s="4" t="str">
        <f>IF('Approved-Enforcement'!$A478&lt;&gt;"",'Approved-Enforcement'!A478,"")</f>
        <v/>
      </c>
      <c r="B478" t="str">
        <f t="shared" si="7"/>
        <v/>
      </c>
      <c r="D478" t="str">
        <f>IF($A478&lt;&gt;"",IF($R478&lt;&gt;"",$R478,'Approved-Enforcement'!$B478+7),"")</f>
        <v/>
      </c>
      <c r="E478" t="str">
        <f>IF($A478&lt;&gt;"",'Approved-Enforcement'!D478,"")</f>
        <v/>
      </c>
      <c r="F478" t="str">
        <f>IF($A478&lt;&gt;"",'Approved-Enforcement'!E478,"")</f>
        <v/>
      </c>
      <c r="G478" t="str">
        <f>IF($A478&lt;&gt;"",'Approved-Enforcement'!F478,"")</f>
        <v/>
      </c>
      <c r="H478" t="str">
        <f>IF($A478&lt;&gt;"",'Approved-Enforcement'!G478,"")</f>
        <v/>
      </c>
      <c r="I478" t="str">
        <f>IF($A478&lt;&gt;"",'Approved-Enforcement'!H478,"")</f>
        <v/>
      </c>
      <c r="J478" t="str">
        <f>IF($A478&lt;&gt;"",'Approved-Enforcement'!I478,"")</f>
        <v/>
      </c>
      <c r="K478" t="str">
        <f>IF($A478&lt;&gt;"",'Approved-Enforcement'!J478,"")</f>
        <v/>
      </c>
      <c r="L478" t="str">
        <f>IF($A478&lt;&gt;"",'Approved-Enforcement'!K478,"")</f>
        <v/>
      </c>
      <c r="M478" t="str">
        <f>IF($A478&lt;&gt;"",'Approved-Enforcement'!L478,"")</f>
        <v/>
      </c>
      <c r="N478" t="str">
        <f>IF($A478&lt;&gt;"",'Approved-Enforcement'!M478,"")</f>
        <v/>
      </c>
      <c r="O478" t="str">
        <f>IF($A478&lt;&gt;"",'Approved-Enforcement'!N478,"")</f>
        <v/>
      </c>
      <c r="P478" t="str">
        <f>IF($A478&lt;&gt;"",'Approved-Enforcement'!O478,"")</f>
        <v/>
      </c>
    </row>
    <row r="479" spans="1:16" x14ac:dyDescent="0.35">
      <c r="A479" s="4" t="str">
        <f>IF('Approved-Enforcement'!$A479&lt;&gt;"",'Approved-Enforcement'!A479,"")</f>
        <v/>
      </c>
      <c r="B479" t="str">
        <f t="shared" si="7"/>
        <v/>
      </c>
      <c r="D479" t="str">
        <f>IF($A479&lt;&gt;"",IF($R479&lt;&gt;"",$R479,'Approved-Enforcement'!$B479+7),"")</f>
        <v/>
      </c>
      <c r="E479" t="str">
        <f>IF($A479&lt;&gt;"",'Approved-Enforcement'!D479,"")</f>
        <v/>
      </c>
      <c r="F479" t="str">
        <f>IF($A479&lt;&gt;"",'Approved-Enforcement'!E479,"")</f>
        <v/>
      </c>
      <c r="G479" t="str">
        <f>IF($A479&lt;&gt;"",'Approved-Enforcement'!F479,"")</f>
        <v/>
      </c>
      <c r="H479" t="str">
        <f>IF($A479&lt;&gt;"",'Approved-Enforcement'!G479,"")</f>
        <v/>
      </c>
      <c r="I479" t="str">
        <f>IF($A479&lt;&gt;"",'Approved-Enforcement'!H479,"")</f>
        <v/>
      </c>
      <c r="J479" t="str">
        <f>IF($A479&lt;&gt;"",'Approved-Enforcement'!I479,"")</f>
        <v/>
      </c>
      <c r="K479" t="str">
        <f>IF($A479&lt;&gt;"",'Approved-Enforcement'!J479,"")</f>
        <v/>
      </c>
      <c r="L479" t="str">
        <f>IF($A479&lt;&gt;"",'Approved-Enforcement'!K479,"")</f>
        <v/>
      </c>
      <c r="M479" t="str">
        <f>IF($A479&lt;&gt;"",'Approved-Enforcement'!L479,"")</f>
        <v/>
      </c>
      <c r="N479" t="str">
        <f>IF($A479&lt;&gt;"",'Approved-Enforcement'!M479,"")</f>
        <v/>
      </c>
      <c r="O479" t="str">
        <f>IF($A479&lt;&gt;"",'Approved-Enforcement'!N479,"")</f>
        <v/>
      </c>
      <c r="P479" t="str">
        <f>IF($A479&lt;&gt;"",'Approved-Enforcement'!O479,"")</f>
        <v/>
      </c>
    </row>
    <row r="480" spans="1:16" x14ac:dyDescent="0.35">
      <c r="A480" s="4" t="str">
        <f>IF('Approved-Enforcement'!$A480&lt;&gt;"",'Approved-Enforcement'!A480,"")</f>
        <v/>
      </c>
      <c r="B480" t="str">
        <f t="shared" si="7"/>
        <v/>
      </c>
      <c r="D480" t="str">
        <f>IF($A480&lt;&gt;"",IF($R480&lt;&gt;"",$R480,'Approved-Enforcement'!$B480+7),"")</f>
        <v/>
      </c>
      <c r="E480" t="str">
        <f>IF($A480&lt;&gt;"",'Approved-Enforcement'!D480,"")</f>
        <v/>
      </c>
      <c r="F480" t="str">
        <f>IF($A480&lt;&gt;"",'Approved-Enforcement'!E480,"")</f>
        <v/>
      </c>
      <c r="G480" t="str">
        <f>IF($A480&lt;&gt;"",'Approved-Enforcement'!F480,"")</f>
        <v/>
      </c>
      <c r="H480" t="str">
        <f>IF($A480&lt;&gt;"",'Approved-Enforcement'!G480,"")</f>
        <v/>
      </c>
      <c r="I480" t="str">
        <f>IF($A480&lt;&gt;"",'Approved-Enforcement'!H480,"")</f>
        <v/>
      </c>
      <c r="J480" t="str">
        <f>IF($A480&lt;&gt;"",'Approved-Enforcement'!I480,"")</f>
        <v/>
      </c>
      <c r="K480" t="str">
        <f>IF($A480&lt;&gt;"",'Approved-Enforcement'!J480,"")</f>
        <v/>
      </c>
      <c r="L480" t="str">
        <f>IF($A480&lt;&gt;"",'Approved-Enforcement'!K480,"")</f>
        <v/>
      </c>
      <c r="M480" t="str">
        <f>IF($A480&lt;&gt;"",'Approved-Enforcement'!L480,"")</f>
        <v/>
      </c>
      <c r="N480" t="str">
        <f>IF($A480&lt;&gt;"",'Approved-Enforcement'!M480,"")</f>
        <v/>
      </c>
      <c r="O480" t="str">
        <f>IF($A480&lt;&gt;"",'Approved-Enforcement'!N480,"")</f>
        <v/>
      </c>
      <c r="P480" t="str">
        <f>IF($A480&lt;&gt;"",'Approved-Enforcement'!O480,"")</f>
        <v/>
      </c>
    </row>
    <row r="481" spans="1:16" x14ac:dyDescent="0.35">
      <c r="A481" s="4" t="str">
        <f>IF('Approved-Enforcement'!$A481&lt;&gt;"",'Approved-Enforcement'!A481,"")</f>
        <v/>
      </c>
      <c r="B481" t="str">
        <f t="shared" si="7"/>
        <v/>
      </c>
      <c r="D481" t="str">
        <f>IF($A481&lt;&gt;"",IF($R481&lt;&gt;"",$R481,'Approved-Enforcement'!$B481+7),"")</f>
        <v/>
      </c>
      <c r="E481" t="str">
        <f>IF($A481&lt;&gt;"",'Approved-Enforcement'!D481,"")</f>
        <v/>
      </c>
      <c r="F481" t="str">
        <f>IF($A481&lt;&gt;"",'Approved-Enforcement'!E481,"")</f>
        <v/>
      </c>
      <c r="G481" t="str">
        <f>IF($A481&lt;&gt;"",'Approved-Enforcement'!F481,"")</f>
        <v/>
      </c>
      <c r="H481" t="str">
        <f>IF($A481&lt;&gt;"",'Approved-Enforcement'!G481,"")</f>
        <v/>
      </c>
      <c r="I481" t="str">
        <f>IF($A481&lt;&gt;"",'Approved-Enforcement'!H481,"")</f>
        <v/>
      </c>
      <c r="J481" t="str">
        <f>IF($A481&lt;&gt;"",'Approved-Enforcement'!I481,"")</f>
        <v/>
      </c>
      <c r="K481" t="str">
        <f>IF($A481&lt;&gt;"",'Approved-Enforcement'!J481,"")</f>
        <v/>
      </c>
      <c r="L481" t="str">
        <f>IF($A481&lt;&gt;"",'Approved-Enforcement'!K481,"")</f>
        <v/>
      </c>
      <c r="M481" t="str">
        <f>IF($A481&lt;&gt;"",'Approved-Enforcement'!L481,"")</f>
        <v/>
      </c>
      <c r="N481" t="str">
        <f>IF($A481&lt;&gt;"",'Approved-Enforcement'!M481,"")</f>
        <v/>
      </c>
      <c r="O481" t="str">
        <f>IF($A481&lt;&gt;"",'Approved-Enforcement'!N481,"")</f>
        <v/>
      </c>
      <c r="P481" t="str">
        <f>IF($A481&lt;&gt;"",'Approved-Enforcement'!O481,"")</f>
        <v/>
      </c>
    </row>
    <row r="482" spans="1:16" x14ac:dyDescent="0.35">
      <c r="A482" s="4" t="str">
        <f>IF('Approved-Enforcement'!$A482&lt;&gt;"",'Approved-Enforcement'!A482,"")</f>
        <v/>
      </c>
      <c r="B482" t="str">
        <f t="shared" si="7"/>
        <v/>
      </c>
      <c r="D482" t="str">
        <f>IF($A482&lt;&gt;"",IF($R482&lt;&gt;"",$R482,'Approved-Enforcement'!$B482+7),"")</f>
        <v/>
      </c>
      <c r="E482" t="str">
        <f>IF($A482&lt;&gt;"",'Approved-Enforcement'!D482,"")</f>
        <v/>
      </c>
      <c r="F482" t="str">
        <f>IF($A482&lt;&gt;"",'Approved-Enforcement'!E482,"")</f>
        <v/>
      </c>
      <c r="G482" t="str">
        <f>IF($A482&lt;&gt;"",'Approved-Enforcement'!F482,"")</f>
        <v/>
      </c>
      <c r="H482" t="str">
        <f>IF($A482&lt;&gt;"",'Approved-Enforcement'!G482,"")</f>
        <v/>
      </c>
      <c r="I482" t="str">
        <f>IF($A482&lt;&gt;"",'Approved-Enforcement'!H482,"")</f>
        <v/>
      </c>
      <c r="J482" t="str">
        <f>IF($A482&lt;&gt;"",'Approved-Enforcement'!I482,"")</f>
        <v/>
      </c>
      <c r="K482" t="str">
        <f>IF($A482&lt;&gt;"",'Approved-Enforcement'!J482,"")</f>
        <v/>
      </c>
      <c r="L482" t="str">
        <f>IF($A482&lt;&gt;"",'Approved-Enforcement'!K482,"")</f>
        <v/>
      </c>
      <c r="M482" t="str">
        <f>IF($A482&lt;&gt;"",'Approved-Enforcement'!L482,"")</f>
        <v/>
      </c>
      <c r="N482" t="str">
        <f>IF($A482&lt;&gt;"",'Approved-Enforcement'!M482,"")</f>
        <v/>
      </c>
      <c r="O482" t="str">
        <f>IF($A482&lt;&gt;"",'Approved-Enforcement'!N482,"")</f>
        <v/>
      </c>
      <c r="P482" t="str">
        <f>IF($A482&lt;&gt;"",'Approved-Enforcement'!O482,"")</f>
        <v/>
      </c>
    </row>
    <row r="483" spans="1:16" x14ac:dyDescent="0.35">
      <c r="A483" s="4" t="str">
        <f>IF('Approved-Enforcement'!$A483&lt;&gt;"",'Approved-Enforcement'!A483,"")</f>
        <v/>
      </c>
      <c r="B483" t="str">
        <f t="shared" si="7"/>
        <v/>
      </c>
      <c r="D483" t="str">
        <f>IF($A483&lt;&gt;"",IF($R483&lt;&gt;"",$R483,'Approved-Enforcement'!$B483+7),"")</f>
        <v/>
      </c>
      <c r="E483" t="str">
        <f>IF($A483&lt;&gt;"",'Approved-Enforcement'!D483,"")</f>
        <v/>
      </c>
      <c r="F483" t="str">
        <f>IF($A483&lt;&gt;"",'Approved-Enforcement'!E483,"")</f>
        <v/>
      </c>
      <c r="G483" t="str">
        <f>IF($A483&lt;&gt;"",'Approved-Enforcement'!F483,"")</f>
        <v/>
      </c>
      <c r="H483" t="str">
        <f>IF($A483&lt;&gt;"",'Approved-Enforcement'!G483,"")</f>
        <v/>
      </c>
      <c r="I483" t="str">
        <f>IF($A483&lt;&gt;"",'Approved-Enforcement'!H483,"")</f>
        <v/>
      </c>
      <c r="J483" t="str">
        <f>IF($A483&lt;&gt;"",'Approved-Enforcement'!I483,"")</f>
        <v/>
      </c>
      <c r="K483" t="str">
        <f>IF($A483&lt;&gt;"",'Approved-Enforcement'!J483,"")</f>
        <v/>
      </c>
      <c r="L483" t="str">
        <f>IF($A483&lt;&gt;"",'Approved-Enforcement'!K483,"")</f>
        <v/>
      </c>
      <c r="M483" t="str">
        <f>IF($A483&lt;&gt;"",'Approved-Enforcement'!L483,"")</f>
        <v/>
      </c>
      <c r="N483" t="str">
        <f>IF($A483&lt;&gt;"",'Approved-Enforcement'!M483,"")</f>
        <v/>
      </c>
      <c r="O483" t="str">
        <f>IF($A483&lt;&gt;"",'Approved-Enforcement'!N483,"")</f>
        <v/>
      </c>
      <c r="P483" t="str">
        <f>IF($A483&lt;&gt;"",'Approved-Enforcement'!O483,"")</f>
        <v/>
      </c>
    </row>
    <row r="484" spans="1:16" x14ac:dyDescent="0.35">
      <c r="A484" s="4" t="str">
        <f>IF('Approved-Enforcement'!$A484&lt;&gt;"",'Approved-Enforcement'!A484,"")</f>
        <v/>
      </c>
      <c r="B484" t="str">
        <f t="shared" si="7"/>
        <v/>
      </c>
      <c r="D484" t="str">
        <f>IF($A484&lt;&gt;"",IF($R484&lt;&gt;"",$R484,'Approved-Enforcement'!$B484+7),"")</f>
        <v/>
      </c>
      <c r="E484" t="str">
        <f>IF($A484&lt;&gt;"",'Approved-Enforcement'!D484,"")</f>
        <v/>
      </c>
      <c r="F484" t="str">
        <f>IF($A484&lt;&gt;"",'Approved-Enforcement'!E484,"")</f>
        <v/>
      </c>
      <c r="G484" t="str">
        <f>IF($A484&lt;&gt;"",'Approved-Enforcement'!F484,"")</f>
        <v/>
      </c>
      <c r="H484" t="str">
        <f>IF($A484&lt;&gt;"",'Approved-Enforcement'!G484,"")</f>
        <v/>
      </c>
      <c r="I484" t="str">
        <f>IF($A484&lt;&gt;"",'Approved-Enforcement'!H484,"")</f>
        <v/>
      </c>
      <c r="J484" t="str">
        <f>IF($A484&lt;&gt;"",'Approved-Enforcement'!I484,"")</f>
        <v/>
      </c>
      <c r="K484" t="str">
        <f>IF($A484&lt;&gt;"",'Approved-Enforcement'!J484,"")</f>
        <v/>
      </c>
      <c r="L484" t="str">
        <f>IF($A484&lt;&gt;"",'Approved-Enforcement'!K484,"")</f>
        <v/>
      </c>
      <c r="M484" t="str">
        <f>IF($A484&lt;&gt;"",'Approved-Enforcement'!L484,"")</f>
        <v/>
      </c>
      <c r="N484" t="str">
        <f>IF($A484&lt;&gt;"",'Approved-Enforcement'!M484,"")</f>
        <v/>
      </c>
      <c r="O484" t="str">
        <f>IF($A484&lt;&gt;"",'Approved-Enforcement'!N484,"")</f>
        <v/>
      </c>
      <c r="P484" t="str">
        <f>IF($A484&lt;&gt;"",'Approved-Enforcement'!O484,"")</f>
        <v/>
      </c>
    </row>
    <row r="485" spans="1:16" x14ac:dyDescent="0.35">
      <c r="A485" s="4" t="str">
        <f>IF('Approved-Enforcement'!$A485&lt;&gt;"",'Approved-Enforcement'!A485,"")</f>
        <v/>
      </c>
      <c r="B485" t="str">
        <f t="shared" si="7"/>
        <v/>
      </c>
      <c r="D485" t="str">
        <f>IF($A485&lt;&gt;"",IF($R485&lt;&gt;"",$R485,'Approved-Enforcement'!$B485+7),"")</f>
        <v/>
      </c>
      <c r="E485" t="str">
        <f>IF($A485&lt;&gt;"",'Approved-Enforcement'!D485,"")</f>
        <v/>
      </c>
      <c r="F485" t="str">
        <f>IF($A485&lt;&gt;"",'Approved-Enforcement'!E485,"")</f>
        <v/>
      </c>
      <c r="G485" t="str">
        <f>IF($A485&lt;&gt;"",'Approved-Enforcement'!F485,"")</f>
        <v/>
      </c>
      <c r="H485" t="str">
        <f>IF($A485&lt;&gt;"",'Approved-Enforcement'!G485,"")</f>
        <v/>
      </c>
      <c r="I485" t="str">
        <f>IF($A485&lt;&gt;"",'Approved-Enforcement'!H485,"")</f>
        <v/>
      </c>
      <c r="J485" t="str">
        <f>IF($A485&lt;&gt;"",'Approved-Enforcement'!I485,"")</f>
        <v/>
      </c>
      <c r="K485" t="str">
        <f>IF($A485&lt;&gt;"",'Approved-Enforcement'!J485,"")</f>
        <v/>
      </c>
      <c r="L485" t="str">
        <f>IF($A485&lt;&gt;"",'Approved-Enforcement'!K485,"")</f>
        <v/>
      </c>
      <c r="M485" t="str">
        <f>IF($A485&lt;&gt;"",'Approved-Enforcement'!L485,"")</f>
        <v/>
      </c>
      <c r="N485" t="str">
        <f>IF($A485&lt;&gt;"",'Approved-Enforcement'!M485,"")</f>
        <v/>
      </c>
      <c r="O485" t="str">
        <f>IF($A485&lt;&gt;"",'Approved-Enforcement'!N485,"")</f>
        <v/>
      </c>
      <c r="P485" t="str">
        <f>IF($A485&lt;&gt;"",'Approved-Enforcement'!O485,"")</f>
        <v/>
      </c>
    </row>
    <row r="486" spans="1:16" x14ac:dyDescent="0.35">
      <c r="A486" s="4" t="str">
        <f>IF('Approved-Enforcement'!$A486&lt;&gt;"",'Approved-Enforcement'!A486,"")</f>
        <v/>
      </c>
      <c r="B486" t="str">
        <f t="shared" si="7"/>
        <v/>
      </c>
      <c r="D486" t="str">
        <f>IF($A486&lt;&gt;"",IF($R486&lt;&gt;"",$R486,'Approved-Enforcement'!$B486+7),"")</f>
        <v/>
      </c>
      <c r="E486" t="str">
        <f>IF($A486&lt;&gt;"",'Approved-Enforcement'!D486,"")</f>
        <v/>
      </c>
      <c r="F486" t="str">
        <f>IF($A486&lt;&gt;"",'Approved-Enforcement'!E486,"")</f>
        <v/>
      </c>
      <c r="G486" t="str">
        <f>IF($A486&lt;&gt;"",'Approved-Enforcement'!F486,"")</f>
        <v/>
      </c>
      <c r="H486" t="str">
        <f>IF($A486&lt;&gt;"",'Approved-Enforcement'!G486,"")</f>
        <v/>
      </c>
      <c r="I486" t="str">
        <f>IF($A486&lt;&gt;"",'Approved-Enforcement'!H486,"")</f>
        <v/>
      </c>
      <c r="J486" t="str">
        <f>IF($A486&lt;&gt;"",'Approved-Enforcement'!I486,"")</f>
        <v/>
      </c>
      <c r="K486" t="str">
        <f>IF($A486&lt;&gt;"",'Approved-Enforcement'!J486,"")</f>
        <v/>
      </c>
      <c r="L486" t="str">
        <f>IF($A486&lt;&gt;"",'Approved-Enforcement'!K486,"")</f>
        <v/>
      </c>
      <c r="M486" t="str">
        <f>IF($A486&lt;&gt;"",'Approved-Enforcement'!L486,"")</f>
        <v/>
      </c>
      <c r="N486" t="str">
        <f>IF($A486&lt;&gt;"",'Approved-Enforcement'!M486,"")</f>
        <v/>
      </c>
      <c r="O486" t="str">
        <f>IF($A486&lt;&gt;"",'Approved-Enforcement'!N486,"")</f>
        <v/>
      </c>
      <c r="P486" t="str">
        <f>IF($A486&lt;&gt;"",'Approved-Enforcement'!O486,"")</f>
        <v/>
      </c>
    </row>
    <row r="487" spans="1:16" x14ac:dyDescent="0.35">
      <c r="A487" s="4" t="str">
        <f>IF('Approved-Enforcement'!$A487&lt;&gt;"",'Approved-Enforcement'!A487,"")</f>
        <v/>
      </c>
      <c r="B487" t="str">
        <f t="shared" si="7"/>
        <v/>
      </c>
      <c r="D487" t="str">
        <f>IF($A487&lt;&gt;"",IF($R487&lt;&gt;"",$R487,'Approved-Enforcement'!$B487+7),"")</f>
        <v/>
      </c>
      <c r="E487" t="str">
        <f>IF($A487&lt;&gt;"",'Approved-Enforcement'!D487,"")</f>
        <v/>
      </c>
      <c r="F487" t="str">
        <f>IF($A487&lt;&gt;"",'Approved-Enforcement'!E487,"")</f>
        <v/>
      </c>
      <c r="G487" t="str">
        <f>IF($A487&lt;&gt;"",'Approved-Enforcement'!F487,"")</f>
        <v/>
      </c>
      <c r="H487" t="str">
        <f>IF($A487&lt;&gt;"",'Approved-Enforcement'!G487,"")</f>
        <v/>
      </c>
      <c r="I487" t="str">
        <f>IF($A487&lt;&gt;"",'Approved-Enforcement'!H487,"")</f>
        <v/>
      </c>
      <c r="J487" t="str">
        <f>IF($A487&lt;&gt;"",'Approved-Enforcement'!I487,"")</f>
        <v/>
      </c>
      <c r="K487" t="str">
        <f>IF($A487&lt;&gt;"",'Approved-Enforcement'!J487,"")</f>
        <v/>
      </c>
      <c r="L487" t="str">
        <f>IF($A487&lt;&gt;"",'Approved-Enforcement'!K487,"")</f>
        <v/>
      </c>
      <c r="M487" t="str">
        <f>IF($A487&lt;&gt;"",'Approved-Enforcement'!L487,"")</f>
        <v/>
      </c>
      <c r="N487" t="str">
        <f>IF($A487&lt;&gt;"",'Approved-Enforcement'!M487,"")</f>
        <v/>
      </c>
      <c r="O487" t="str">
        <f>IF($A487&lt;&gt;"",'Approved-Enforcement'!N487,"")</f>
        <v/>
      </c>
      <c r="P487" t="str">
        <f>IF($A487&lt;&gt;"",'Approved-Enforcement'!O487,"")</f>
        <v/>
      </c>
    </row>
    <row r="488" spans="1:16" x14ac:dyDescent="0.35">
      <c r="A488" s="4" t="str">
        <f>IF('Approved-Enforcement'!$A488&lt;&gt;"",'Approved-Enforcement'!A488,"")</f>
        <v/>
      </c>
      <c r="B488" t="str">
        <f t="shared" si="7"/>
        <v/>
      </c>
      <c r="D488" t="str">
        <f>IF($A488&lt;&gt;"",IF($R488&lt;&gt;"",$R488,'Approved-Enforcement'!$B488+7),"")</f>
        <v/>
      </c>
      <c r="E488" t="str">
        <f>IF($A488&lt;&gt;"",'Approved-Enforcement'!D488,"")</f>
        <v/>
      </c>
      <c r="F488" t="str">
        <f>IF($A488&lt;&gt;"",'Approved-Enforcement'!E488,"")</f>
        <v/>
      </c>
      <c r="G488" t="str">
        <f>IF($A488&lt;&gt;"",'Approved-Enforcement'!F488,"")</f>
        <v/>
      </c>
      <c r="H488" t="str">
        <f>IF($A488&lt;&gt;"",'Approved-Enforcement'!G488,"")</f>
        <v/>
      </c>
      <c r="I488" t="str">
        <f>IF($A488&lt;&gt;"",'Approved-Enforcement'!H488,"")</f>
        <v/>
      </c>
      <c r="J488" t="str">
        <f>IF($A488&lt;&gt;"",'Approved-Enforcement'!I488,"")</f>
        <v/>
      </c>
      <c r="K488" t="str">
        <f>IF($A488&lt;&gt;"",'Approved-Enforcement'!J488,"")</f>
        <v/>
      </c>
      <c r="L488" t="str">
        <f>IF($A488&lt;&gt;"",'Approved-Enforcement'!K488,"")</f>
        <v/>
      </c>
      <c r="M488" t="str">
        <f>IF($A488&lt;&gt;"",'Approved-Enforcement'!L488,"")</f>
        <v/>
      </c>
      <c r="N488" t="str">
        <f>IF($A488&lt;&gt;"",'Approved-Enforcement'!M488,"")</f>
        <v/>
      </c>
      <c r="O488" t="str">
        <f>IF($A488&lt;&gt;"",'Approved-Enforcement'!N488,"")</f>
        <v/>
      </c>
      <c r="P488" t="str">
        <f>IF($A488&lt;&gt;"",'Approved-Enforcement'!O488,"")</f>
        <v/>
      </c>
    </row>
    <row r="489" spans="1:16" x14ac:dyDescent="0.35">
      <c r="A489" s="4" t="str">
        <f>IF('Approved-Enforcement'!$A489&lt;&gt;"",'Approved-Enforcement'!A489,"")</f>
        <v/>
      </c>
      <c r="B489" t="str">
        <f t="shared" si="7"/>
        <v/>
      </c>
      <c r="D489" t="str">
        <f>IF($A489&lt;&gt;"",IF($R489&lt;&gt;"",$R489,'Approved-Enforcement'!$B489+7),"")</f>
        <v/>
      </c>
      <c r="E489" t="str">
        <f>IF($A489&lt;&gt;"",'Approved-Enforcement'!D489,"")</f>
        <v/>
      </c>
      <c r="F489" t="str">
        <f>IF($A489&lt;&gt;"",'Approved-Enforcement'!E489,"")</f>
        <v/>
      </c>
      <c r="G489" t="str">
        <f>IF($A489&lt;&gt;"",'Approved-Enforcement'!F489,"")</f>
        <v/>
      </c>
      <c r="H489" t="str">
        <f>IF($A489&lt;&gt;"",'Approved-Enforcement'!G489,"")</f>
        <v/>
      </c>
      <c r="I489" t="str">
        <f>IF($A489&lt;&gt;"",'Approved-Enforcement'!H489,"")</f>
        <v/>
      </c>
      <c r="J489" t="str">
        <f>IF($A489&lt;&gt;"",'Approved-Enforcement'!I489,"")</f>
        <v/>
      </c>
      <c r="K489" t="str">
        <f>IF($A489&lt;&gt;"",'Approved-Enforcement'!J489,"")</f>
        <v/>
      </c>
      <c r="L489" t="str">
        <f>IF($A489&lt;&gt;"",'Approved-Enforcement'!K489,"")</f>
        <v/>
      </c>
      <c r="M489" t="str">
        <f>IF($A489&lt;&gt;"",'Approved-Enforcement'!L489,"")</f>
        <v/>
      </c>
      <c r="N489" t="str">
        <f>IF($A489&lt;&gt;"",'Approved-Enforcement'!M489,"")</f>
        <v/>
      </c>
      <c r="O489" t="str">
        <f>IF($A489&lt;&gt;"",'Approved-Enforcement'!N489,"")</f>
        <v/>
      </c>
      <c r="P489" t="str">
        <f>IF($A489&lt;&gt;"",'Approved-Enforcement'!O489,"")</f>
        <v/>
      </c>
    </row>
    <row r="490" spans="1:16" x14ac:dyDescent="0.35">
      <c r="A490" s="4" t="str">
        <f>IF('Approved-Enforcement'!$A490&lt;&gt;"",'Approved-Enforcement'!A490,"")</f>
        <v/>
      </c>
      <c r="B490" t="str">
        <f t="shared" si="7"/>
        <v/>
      </c>
      <c r="D490" t="str">
        <f>IF($A490&lt;&gt;"",IF($R490&lt;&gt;"",$R490,'Approved-Enforcement'!$B490+7),"")</f>
        <v/>
      </c>
      <c r="E490" t="str">
        <f>IF($A490&lt;&gt;"",'Approved-Enforcement'!D490,"")</f>
        <v/>
      </c>
      <c r="F490" t="str">
        <f>IF($A490&lt;&gt;"",'Approved-Enforcement'!E490,"")</f>
        <v/>
      </c>
      <c r="G490" t="str">
        <f>IF($A490&lt;&gt;"",'Approved-Enforcement'!F490,"")</f>
        <v/>
      </c>
      <c r="H490" t="str">
        <f>IF($A490&lt;&gt;"",'Approved-Enforcement'!G490,"")</f>
        <v/>
      </c>
      <c r="I490" t="str">
        <f>IF($A490&lt;&gt;"",'Approved-Enforcement'!H490,"")</f>
        <v/>
      </c>
      <c r="J490" t="str">
        <f>IF($A490&lt;&gt;"",'Approved-Enforcement'!I490,"")</f>
        <v/>
      </c>
      <c r="K490" t="str">
        <f>IF($A490&lt;&gt;"",'Approved-Enforcement'!J490,"")</f>
        <v/>
      </c>
      <c r="L490" t="str">
        <f>IF($A490&lt;&gt;"",'Approved-Enforcement'!K490,"")</f>
        <v/>
      </c>
      <c r="M490" t="str">
        <f>IF($A490&lt;&gt;"",'Approved-Enforcement'!L490,"")</f>
        <v/>
      </c>
      <c r="N490" t="str">
        <f>IF($A490&lt;&gt;"",'Approved-Enforcement'!M490,"")</f>
        <v/>
      </c>
      <c r="O490" t="str">
        <f>IF($A490&lt;&gt;"",'Approved-Enforcement'!N490,"")</f>
        <v/>
      </c>
      <c r="P490" t="str">
        <f>IF($A490&lt;&gt;"",'Approved-Enforcement'!O490,"")</f>
        <v/>
      </c>
    </row>
    <row r="491" spans="1:16" x14ac:dyDescent="0.35">
      <c r="A491" s="4" t="str">
        <f>IF('Approved-Enforcement'!$A491&lt;&gt;"",'Approved-Enforcement'!A491,"")</f>
        <v/>
      </c>
      <c r="B491" t="str">
        <f t="shared" si="7"/>
        <v/>
      </c>
      <c r="D491" t="str">
        <f>IF($A491&lt;&gt;"",IF($R491&lt;&gt;"",$R491,'Approved-Enforcement'!$B491+7),"")</f>
        <v/>
      </c>
      <c r="E491" t="str">
        <f>IF($A491&lt;&gt;"",'Approved-Enforcement'!D491,"")</f>
        <v/>
      </c>
      <c r="F491" t="str">
        <f>IF($A491&lt;&gt;"",'Approved-Enforcement'!E491,"")</f>
        <v/>
      </c>
      <c r="G491" t="str">
        <f>IF($A491&lt;&gt;"",'Approved-Enforcement'!F491,"")</f>
        <v/>
      </c>
      <c r="H491" t="str">
        <f>IF($A491&lt;&gt;"",'Approved-Enforcement'!G491,"")</f>
        <v/>
      </c>
      <c r="I491" t="str">
        <f>IF($A491&lt;&gt;"",'Approved-Enforcement'!H491,"")</f>
        <v/>
      </c>
      <c r="J491" t="str">
        <f>IF($A491&lt;&gt;"",'Approved-Enforcement'!I491,"")</f>
        <v/>
      </c>
      <c r="K491" t="str">
        <f>IF($A491&lt;&gt;"",'Approved-Enforcement'!J491,"")</f>
        <v/>
      </c>
      <c r="L491" t="str">
        <f>IF($A491&lt;&gt;"",'Approved-Enforcement'!K491,"")</f>
        <v/>
      </c>
      <c r="M491" t="str">
        <f>IF($A491&lt;&gt;"",'Approved-Enforcement'!L491,"")</f>
        <v/>
      </c>
      <c r="N491" t="str">
        <f>IF($A491&lt;&gt;"",'Approved-Enforcement'!M491,"")</f>
        <v/>
      </c>
      <c r="O491" t="str">
        <f>IF($A491&lt;&gt;"",'Approved-Enforcement'!N491,"")</f>
        <v/>
      </c>
      <c r="P491" t="str">
        <f>IF($A491&lt;&gt;"",'Approved-Enforcement'!O491,"")</f>
        <v/>
      </c>
    </row>
    <row r="492" spans="1:16" x14ac:dyDescent="0.35">
      <c r="A492" s="4" t="str">
        <f>IF('Approved-Enforcement'!$A492&lt;&gt;"",'Approved-Enforcement'!A492,"")</f>
        <v/>
      </c>
      <c r="B492" t="str">
        <f t="shared" si="7"/>
        <v/>
      </c>
      <c r="D492" t="str">
        <f>IF($A492&lt;&gt;"",IF($R492&lt;&gt;"",$R492,'Approved-Enforcement'!$B492+7),"")</f>
        <v/>
      </c>
      <c r="E492" t="str">
        <f>IF($A492&lt;&gt;"",'Approved-Enforcement'!D492,"")</f>
        <v/>
      </c>
      <c r="F492" t="str">
        <f>IF($A492&lt;&gt;"",'Approved-Enforcement'!E492,"")</f>
        <v/>
      </c>
      <c r="G492" t="str">
        <f>IF($A492&lt;&gt;"",'Approved-Enforcement'!F492,"")</f>
        <v/>
      </c>
      <c r="H492" t="str">
        <f>IF($A492&lt;&gt;"",'Approved-Enforcement'!G492,"")</f>
        <v/>
      </c>
      <c r="I492" t="str">
        <f>IF($A492&lt;&gt;"",'Approved-Enforcement'!H492,"")</f>
        <v/>
      </c>
      <c r="J492" t="str">
        <f>IF($A492&lt;&gt;"",'Approved-Enforcement'!I492,"")</f>
        <v/>
      </c>
      <c r="K492" t="str">
        <f>IF($A492&lt;&gt;"",'Approved-Enforcement'!J492,"")</f>
        <v/>
      </c>
      <c r="L492" t="str">
        <f>IF($A492&lt;&gt;"",'Approved-Enforcement'!K492,"")</f>
        <v/>
      </c>
      <c r="M492" t="str">
        <f>IF($A492&lt;&gt;"",'Approved-Enforcement'!L492,"")</f>
        <v/>
      </c>
      <c r="N492" t="str">
        <f>IF($A492&lt;&gt;"",'Approved-Enforcement'!M492,"")</f>
        <v/>
      </c>
      <c r="O492" t="str">
        <f>IF($A492&lt;&gt;"",'Approved-Enforcement'!N492,"")</f>
        <v/>
      </c>
      <c r="P492" t="str">
        <f>IF($A492&lt;&gt;"",'Approved-Enforcement'!O492,"")</f>
        <v/>
      </c>
    </row>
    <row r="493" spans="1:16" x14ac:dyDescent="0.35">
      <c r="A493" s="4" t="str">
        <f>IF('Approved-Enforcement'!$A493&lt;&gt;"",'Approved-Enforcement'!A493,"")</f>
        <v/>
      </c>
      <c r="B493" t="str">
        <f t="shared" si="7"/>
        <v/>
      </c>
      <c r="D493" t="str">
        <f>IF($A493&lt;&gt;"",IF($R493&lt;&gt;"",$R493,'Approved-Enforcement'!$B493+7),"")</f>
        <v/>
      </c>
      <c r="E493" t="str">
        <f>IF($A493&lt;&gt;"",'Approved-Enforcement'!D493,"")</f>
        <v/>
      </c>
      <c r="F493" t="str">
        <f>IF($A493&lt;&gt;"",'Approved-Enforcement'!E493,"")</f>
        <v/>
      </c>
      <c r="G493" t="str">
        <f>IF($A493&lt;&gt;"",'Approved-Enforcement'!F493,"")</f>
        <v/>
      </c>
      <c r="H493" t="str">
        <f>IF($A493&lt;&gt;"",'Approved-Enforcement'!G493,"")</f>
        <v/>
      </c>
      <c r="I493" t="str">
        <f>IF($A493&lt;&gt;"",'Approved-Enforcement'!H493,"")</f>
        <v/>
      </c>
      <c r="J493" t="str">
        <f>IF($A493&lt;&gt;"",'Approved-Enforcement'!I493,"")</f>
        <v/>
      </c>
      <c r="K493" t="str">
        <f>IF($A493&lt;&gt;"",'Approved-Enforcement'!J493,"")</f>
        <v/>
      </c>
      <c r="L493" t="str">
        <f>IF($A493&lt;&gt;"",'Approved-Enforcement'!K493,"")</f>
        <v/>
      </c>
      <c r="M493" t="str">
        <f>IF($A493&lt;&gt;"",'Approved-Enforcement'!L493,"")</f>
        <v/>
      </c>
      <c r="N493" t="str">
        <f>IF($A493&lt;&gt;"",'Approved-Enforcement'!M493,"")</f>
        <v/>
      </c>
      <c r="O493" t="str">
        <f>IF($A493&lt;&gt;"",'Approved-Enforcement'!N493,"")</f>
        <v/>
      </c>
      <c r="P493" t="str">
        <f>IF($A493&lt;&gt;"",'Approved-Enforcement'!O493,"")</f>
        <v/>
      </c>
    </row>
    <row r="494" spans="1:16" x14ac:dyDescent="0.35">
      <c r="A494" s="4" t="str">
        <f>IF('Approved-Enforcement'!$A494&lt;&gt;"",'Approved-Enforcement'!A494,"")</f>
        <v/>
      </c>
      <c r="B494" t="str">
        <f t="shared" si="7"/>
        <v/>
      </c>
      <c r="D494" t="str">
        <f>IF($A494&lt;&gt;"",IF($R494&lt;&gt;"",$R494,'Approved-Enforcement'!$B494+7),"")</f>
        <v/>
      </c>
      <c r="E494" t="str">
        <f>IF($A494&lt;&gt;"",'Approved-Enforcement'!D494,"")</f>
        <v/>
      </c>
      <c r="F494" t="str">
        <f>IF($A494&lt;&gt;"",'Approved-Enforcement'!E494,"")</f>
        <v/>
      </c>
      <c r="G494" t="str">
        <f>IF($A494&lt;&gt;"",'Approved-Enforcement'!F494,"")</f>
        <v/>
      </c>
      <c r="H494" t="str">
        <f>IF($A494&lt;&gt;"",'Approved-Enforcement'!G494,"")</f>
        <v/>
      </c>
      <c r="I494" t="str">
        <f>IF($A494&lt;&gt;"",'Approved-Enforcement'!H494,"")</f>
        <v/>
      </c>
      <c r="J494" t="str">
        <f>IF($A494&lt;&gt;"",'Approved-Enforcement'!I494,"")</f>
        <v/>
      </c>
      <c r="K494" t="str">
        <f>IF($A494&lt;&gt;"",'Approved-Enforcement'!J494,"")</f>
        <v/>
      </c>
      <c r="L494" t="str">
        <f>IF($A494&lt;&gt;"",'Approved-Enforcement'!K494,"")</f>
        <v/>
      </c>
      <c r="M494" t="str">
        <f>IF($A494&lt;&gt;"",'Approved-Enforcement'!L494,"")</f>
        <v/>
      </c>
      <c r="N494" t="str">
        <f>IF($A494&lt;&gt;"",'Approved-Enforcement'!M494,"")</f>
        <v/>
      </c>
      <c r="O494" t="str">
        <f>IF($A494&lt;&gt;"",'Approved-Enforcement'!N494,"")</f>
        <v/>
      </c>
      <c r="P494" t="str">
        <f>IF($A494&lt;&gt;"",'Approved-Enforcement'!O494,"")</f>
        <v/>
      </c>
    </row>
    <row r="495" spans="1:16" x14ac:dyDescent="0.35">
      <c r="A495" s="4" t="str">
        <f>IF('Approved-Enforcement'!$A495&lt;&gt;"",'Approved-Enforcement'!A495,"")</f>
        <v/>
      </c>
      <c r="B495" t="str">
        <f t="shared" si="7"/>
        <v/>
      </c>
      <c r="D495" t="str">
        <f>IF($A495&lt;&gt;"",IF($R495&lt;&gt;"",$R495,'Approved-Enforcement'!$B495+7),"")</f>
        <v/>
      </c>
      <c r="E495" t="str">
        <f>IF($A495&lt;&gt;"",'Approved-Enforcement'!D495,"")</f>
        <v/>
      </c>
      <c r="F495" t="str">
        <f>IF($A495&lt;&gt;"",'Approved-Enforcement'!E495,"")</f>
        <v/>
      </c>
      <c r="G495" t="str">
        <f>IF($A495&lt;&gt;"",'Approved-Enforcement'!F495,"")</f>
        <v/>
      </c>
      <c r="H495" t="str">
        <f>IF($A495&lt;&gt;"",'Approved-Enforcement'!G495,"")</f>
        <v/>
      </c>
      <c r="I495" t="str">
        <f>IF($A495&lt;&gt;"",'Approved-Enforcement'!H495,"")</f>
        <v/>
      </c>
      <c r="J495" t="str">
        <f>IF($A495&lt;&gt;"",'Approved-Enforcement'!I495,"")</f>
        <v/>
      </c>
      <c r="K495" t="str">
        <f>IF($A495&lt;&gt;"",'Approved-Enforcement'!J495,"")</f>
        <v/>
      </c>
      <c r="L495" t="str">
        <f>IF($A495&lt;&gt;"",'Approved-Enforcement'!K495,"")</f>
        <v/>
      </c>
      <c r="M495" t="str">
        <f>IF($A495&lt;&gt;"",'Approved-Enforcement'!L495,"")</f>
        <v/>
      </c>
      <c r="N495" t="str">
        <f>IF($A495&lt;&gt;"",'Approved-Enforcement'!M495,"")</f>
        <v/>
      </c>
      <c r="O495" t="str">
        <f>IF($A495&lt;&gt;"",'Approved-Enforcement'!N495,"")</f>
        <v/>
      </c>
      <c r="P495" t="str">
        <f>IF($A495&lt;&gt;"",'Approved-Enforcement'!O495,"")</f>
        <v/>
      </c>
    </row>
    <row r="496" spans="1:16" x14ac:dyDescent="0.35">
      <c r="A496" s="4" t="str">
        <f>IF('Approved-Enforcement'!$A496&lt;&gt;"",'Approved-Enforcement'!A496,"")</f>
        <v/>
      </c>
      <c r="B496" t="str">
        <f t="shared" si="7"/>
        <v/>
      </c>
      <c r="D496" t="str">
        <f>IF($A496&lt;&gt;"",IF($R496&lt;&gt;"",$R496,'Approved-Enforcement'!$B496+7),"")</f>
        <v/>
      </c>
      <c r="E496" t="str">
        <f>IF($A496&lt;&gt;"",'Approved-Enforcement'!D496,"")</f>
        <v/>
      </c>
      <c r="F496" t="str">
        <f>IF($A496&lt;&gt;"",'Approved-Enforcement'!E496,"")</f>
        <v/>
      </c>
      <c r="G496" t="str">
        <f>IF($A496&lt;&gt;"",'Approved-Enforcement'!F496,"")</f>
        <v/>
      </c>
      <c r="H496" t="str">
        <f>IF($A496&lt;&gt;"",'Approved-Enforcement'!G496,"")</f>
        <v/>
      </c>
      <c r="I496" t="str">
        <f>IF($A496&lt;&gt;"",'Approved-Enforcement'!H496,"")</f>
        <v/>
      </c>
      <c r="J496" t="str">
        <f>IF($A496&lt;&gt;"",'Approved-Enforcement'!I496,"")</f>
        <v/>
      </c>
      <c r="K496" t="str">
        <f>IF($A496&lt;&gt;"",'Approved-Enforcement'!J496,"")</f>
        <v/>
      </c>
      <c r="L496" t="str">
        <f>IF($A496&lt;&gt;"",'Approved-Enforcement'!K496,"")</f>
        <v/>
      </c>
      <c r="M496" t="str">
        <f>IF($A496&lt;&gt;"",'Approved-Enforcement'!L496,"")</f>
        <v/>
      </c>
      <c r="N496" t="str">
        <f>IF($A496&lt;&gt;"",'Approved-Enforcement'!M496,"")</f>
        <v/>
      </c>
      <c r="O496" t="str">
        <f>IF($A496&lt;&gt;"",'Approved-Enforcement'!N496,"")</f>
        <v/>
      </c>
      <c r="P496" t="str">
        <f>IF($A496&lt;&gt;"",'Approved-Enforcement'!O496,"")</f>
        <v/>
      </c>
    </row>
    <row r="497" spans="1:16" x14ac:dyDescent="0.35">
      <c r="A497" s="4" t="str">
        <f>IF('Approved-Enforcement'!$A497&lt;&gt;"",'Approved-Enforcement'!A497,"")</f>
        <v/>
      </c>
      <c r="B497" t="str">
        <f t="shared" si="7"/>
        <v/>
      </c>
      <c r="D497" t="str">
        <f>IF($A497&lt;&gt;"",IF($R497&lt;&gt;"",$R497,'Approved-Enforcement'!$B497+7),"")</f>
        <v/>
      </c>
      <c r="E497" t="str">
        <f>IF($A497&lt;&gt;"",'Approved-Enforcement'!D497,"")</f>
        <v/>
      </c>
      <c r="F497" t="str">
        <f>IF($A497&lt;&gt;"",'Approved-Enforcement'!E497,"")</f>
        <v/>
      </c>
      <c r="G497" t="str">
        <f>IF($A497&lt;&gt;"",'Approved-Enforcement'!F497,"")</f>
        <v/>
      </c>
      <c r="H497" t="str">
        <f>IF($A497&lt;&gt;"",'Approved-Enforcement'!G497,"")</f>
        <v/>
      </c>
      <c r="I497" t="str">
        <f>IF($A497&lt;&gt;"",'Approved-Enforcement'!H497,"")</f>
        <v/>
      </c>
      <c r="J497" t="str">
        <f>IF($A497&lt;&gt;"",'Approved-Enforcement'!I497,"")</f>
        <v/>
      </c>
      <c r="K497" t="str">
        <f>IF($A497&lt;&gt;"",'Approved-Enforcement'!J497,"")</f>
        <v/>
      </c>
      <c r="L497" t="str">
        <f>IF($A497&lt;&gt;"",'Approved-Enforcement'!K497,"")</f>
        <v/>
      </c>
      <c r="M497" t="str">
        <f>IF($A497&lt;&gt;"",'Approved-Enforcement'!L497,"")</f>
        <v/>
      </c>
      <c r="N497" t="str">
        <f>IF($A497&lt;&gt;"",'Approved-Enforcement'!M497,"")</f>
        <v/>
      </c>
      <c r="O497" t="str">
        <f>IF($A497&lt;&gt;"",'Approved-Enforcement'!N497,"")</f>
        <v/>
      </c>
      <c r="P497" t="str">
        <f>IF($A497&lt;&gt;"",'Approved-Enforcement'!O497,"")</f>
        <v/>
      </c>
    </row>
    <row r="498" spans="1:16" x14ac:dyDescent="0.35">
      <c r="A498" s="4" t="str">
        <f>IF('Approved-Enforcement'!$A498&lt;&gt;"",'Approved-Enforcement'!A498,"")</f>
        <v/>
      </c>
      <c r="B498" t="str">
        <f t="shared" si="7"/>
        <v/>
      </c>
      <c r="D498" t="str">
        <f>IF($A498&lt;&gt;"",IF($R498&lt;&gt;"",$R498,'Approved-Enforcement'!$B498+7),"")</f>
        <v/>
      </c>
      <c r="E498" t="str">
        <f>IF($A498&lt;&gt;"",'Approved-Enforcement'!D498,"")</f>
        <v/>
      </c>
      <c r="F498" t="str">
        <f>IF($A498&lt;&gt;"",'Approved-Enforcement'!E498,"")</f>
        <v/>
      </c>
      <c r="G498" t="str">
        <f>IF($A498&lt;&gt;"",'Approved-Enforcement'!F498,"")</f>
        <v/>
      </c>
      <c r="H498" t="str">
        <f>IF($A498&lt;&gt;"",'Approved-Enforcement'!G498,"")</f>
        <v/>
      </c>
      <c r="I498" t="str">
        <f>IF($A498&lt;&gt;"",'Approved-Enforcement'!H498,"")</f>
        <v/>
      </c>
      <c r="J498" t="str">
        <f>IF($A498&lt;&gt;"",'Approved-Enforcement'!I498,"")</f>
        <v/>
      </c>
      <c r="K498" t="str">
        <f>IF($A498&lt;&gt;"",'Approved-Enforcement'!J498,"")</f>
        <v/>
      </c>
      <c r="L498" t="str">
        <f>IF($A498&lt;&gt;"",'Approved-Enforcement'!K498,"")</f>
        <v/>
      </c>
      <c r="M498" t="str">
        <f>IF($A498&lt;&gt;"",'Approved-Enforcement'!L498,"")</f>
        <v/>
      </c>
      <c r="N498" t="str">
        <f>IF($A498&lt;&gt;"",'Approved-Enforcement'!M498,"")</f>
        <v/>
      </c>
      <c r="O498" t="str">
        <f>IF($A498&lt;&gt;"",'Approved-Enforcement'!N498,"")</f>
        <v/>
      </c>
      <c r="P498" t="str">
        <f>IF($A498&lt;&gt;"",'Approved-Enforcement'!O498,"")</f>
        <v/>
      </c>
    </row>
    <row r="499" spans="1:16" x14ac:dyDescent="0.35">
      <c r="A499" s="4" t="str">
        <f>IF('Approved-Enforcement'!$A499&lt;&gt;"",'Approved-Enforcement'!A499,"")</f>
        <v/>
      </c>
      <c r="B499" t="str">
        <f t="shared" si="7"/>
        <v/>
      </c>
      <c r="D499" t="str">
        <f>IF($A499&lt;&gt;"",IF($R499&lt;&gt;"",$R499,'Approved-Enforcement'!$B499+7),"")</f>
        <v/>
      </c>
      <c r="E499" t="str">
        <f>IF($A499&lt;&gt;"",'Approved-Enforcement'!D499,"")</f>
        <v/>
      </c>
      <c r="F499" t="str">
        <f>IF($A499&lt;&gt;"",'Approved-Enforcement'!E499,"")</f>
        <v/>
      </c>
      <c r="G499" t="str">
        <f>IF($A499&lt;&gt;"",'Approved-Enforcement'!F499,"")</f>
        <v/>
      </c>
      <c r="H499" t="str">
        <f>IF($A499&lt;&gt;"",'Approved-Enforcement'!G499,"")</f>
        <v/>
      </c>
      <c r="I499" t="str">
        <f>IF($A499&lt;&gt;"",'Approved-Enforcement'!H499,"")</f>
        <v/>
      </c>
      <c r="J499" t="str">
        <f>IF($A499&lt;&gt;"",'Approved-Enforcement'!I499,"")</f>
        <v/>
      </c>
      <c r="K499" t="str">
        <f>IF($A499&lt;&gt;"",'Approved-Enforcement'!J499,"")</f>
        <v/>
      </c>
      <c r="L499" t="str">
        <f>IF($A499&lt;&gt;"",'Approved-Enforcement'!K499,"")</f>
        <v/>
      </c>
      <c r="M499" t="str">
        <f>IF($A499&lt;&gt;"",'Approved-Enforcement'!L499,"")</f>
        <v/>
      </c>
      <c r="N499" t="str">
        <f>IF($A499&lt;&gt;"",'Approved-Enforcement'!M499,"")</f>
        <v/>
      </c>
      <c r="O499" t="str">
        <f>IF($A499&lt;&gt;"",'Approved-Enforcement'!N499,"")</f>
        <v/>
      </c>
      <c r="P499" t="str">
        <f>IF($A499&lt;&gt;"",'Approved-Enforcement'!O499,"")</f>
        <v/>
      </c>
    </row>
    <row r="500" spans="1:16" x14ac:dyDescent="0.35">
      <c r="A500" s="4" t="str">
        <f>IF('Approved-Enforcement'!$A500&lt;&gt;"",'Approved-Enforcement'!A500,"")</f>
        <v/>
      </c>
      <c r="B500" t="str">
        <f t="shared" si="7"/>
        <v/>
      </c>
      <c r="D500" t="str">
        <f>IF($A500&lt;&gt;"",IF($R500&lt;&gt;"",$R500,'Approved-Enforcement'!$B500+7),"")</f>
        <v/>
      </c>
      <c r="E500" t="str">
        <f>IF($A500&lt;&gt;"",'Approved-Enforcement'!D500,"")</f>
        <v/>
      </c>
      <c r="F500" t="str">
        <f>IF($A500&lt;&gt;"",'Approved-Enforcement'!E500,"")</f>
        <v/>
      </c>
      <c r="G500" t="str">
        <f>IF($A500&lt;&gt;"",'Approved-Enforcement'!F500,"")</f>
        <v/>
      </c>
      <c r="H500" t="str">
        <f>IF($A500&lt;&gt;"",'Approved-Enforcement'!G500,"")</f>
        <v/>
      </c>
      <c r="I500" t="str">
        <f>IF($A500&lt;&gt;"",'Approved-Enforcement'!H500,"")</f>
        <v/>
      </c>
      <c r="J500" t="str">
        <f>IF($A500&lt;&gt;"",'Approved-Enforcement'!I500,"")</f>
        <v/>
      </c>
      <c r="K500" t="str">
        <f>IF($A500&lt;&gt;"",'Approved-Enforcement'!J500,"")</f>
        <v/>
      </c>
      <c r="L500" t="str">
        <f>IF($A500&lt;&gt;"",'Approved-Enforcement'!K500,"")</f>
        <v/>
      </c>
      <c r="M500" t="str">
        <f>IF($A500&lt;&gt;"",'Approved-Enforcement'!L500,"")</f>
        <v/>
      </c>
      <c r="N500" t="str">
        <f>IF($A500&lt;&gt;"",'Approved-Enforcement'!M500,"")</f>
        <v/>
      </c>
      <c r="O500" t="str">
        <f>IF($A500&lt;&gt;"",'Approved-Enforcement'!N500,"")</f>
        <v/>
      </c>
      <c r="P500" t="str">
        <f>IF($A500&lt;&gt;"",'Approved-Enforcement'!O500,"")</f>
        <v/>
      </c>
    </row>
    <row r="501" spans="1:16" x14ac:dyDescent="0.35">
      <c r="A501" s="4" t="str">
        <f>IF('Approved-Enforcement'!$A501&lt;&gt;"",'Approved-Enforcement'!A501,"")</f>
        <v/>
      </c>
      <c r="B501" t="str">
        <f t="shared" si="7"/>
        <v/>
      </c>
      <c r="D501" t="str">
        <f>IF($A501&lt;&gt;"",IF($R501&lt;&gt;"",$R501,'Approved-Enforcement'!$B501+7),"")</f>
        <v/>
      </c>
      <c r="E501" t="str">
        <f>IF($A501&lt;&gt;"",'Approved-Enforcement'!D501,"")</f>
        <v/>
      </c>
      <c r="F501" t="str">
        <f>IF($A501&lt;&gt;"",'Approved-Enforcement'!E501,"")</f>
        <v/>
      </c>
      <c r="G501" t="str">
        <f>IF($A501&lt;&gt;"",'Approved-Enforcement'!F501,"")</f>
        <v/>
      </c>
      <c r="H501" t="str">
        <f>IF($A501&lt;&gt;"",'Approved-Enforcement'!G501,"")</f>
        <v/>
      </c>
      <c r="I501" t="str">
        <f>IF($A501&lt;&gt;"",'Approved-Enforcement'!H501,"")</f>
        <v/>
      </c>
      <c r="J501" t="str">
        <f>IF($A501&lt;&gt;"",'Approved-Enforcement'!I501,"")</f>
        <v/>
      </c>
      <c r="K501" t="str">
        <f>IF($A501&lt;&gt;"",'Approved-Enforcement'!J501,"")</f>
        <v/>
      </c>
      <c r="L501" t="str">
        <f>IF($A501&lt;&gt;"",'Approved-Enforcement'!K501,"")</f>
        <v/>
      </c>
      <c r="M501" t="str">
        <f>IF($A501&lt;&gt;"",'Approved-Enforcement'!L501,"")</f>
        <v/>
      </c>
      <c r="N501" t="str">
        <f>IF($A501&lt;&gt;"",'Approved-Enforcement'!M501,"")</f>
        <v/>
      </c>
      <c r="O501" t="str">
        <f>IF($A501&lt;&gt;"",'Approved-Enforcement'!N501,"")</f>
        <v/>
      </c>
      <c r="P501" t="str">
        <f>IF($A501&lt;&gt;"",'Approved-Enforcement'!O501,"")</f>
        <v/>
      </c>
    </row>
    <row r="502" spans="1:16" x14ac:dyDescent="0.35">
      <c r="A502" s="4" t="str">
        <f>IF('Approved-Enforcement'!$A502&lt;&gt;"",'Approved-Enforcement'!A502,"")</f>
        <v/>
      </c>
      <c r="B502" t="str">
        <f t="shared" si="7"/>
        <v/>
      </c>
      <c r="D502" t="str">
        <f>IF($A502&lt;&gt;"",IF($R502&lt;&gt;"",$R502,'Approved-Enforcement'!$B502+7),"")</f>
        <v/>
      </c>
      <c r="E502" t="str">
        <f>IF($A502&lt;&gt;"",'Approved-Enforcement'!D502,"")</f>
        <v/>
      </c>
      <c r="F502" t="str">
        <f>IF($A502&lt;&gt;"",'Approved-Enforcement'!E502,"")</f>
        <v/>
      </c>
      <c r="G502" t="str">
        <f>IF($A502&lt;&gt;"",'Approved-Enforcement'!F502,"")</f>
        <v/>
      </c>
      <c r="H502" t="str">
        <f>IF($A502&lt;&gt;"",'Approved-Enforcement'!G502,"")</f>
        <v/>
      </c>
      <c r="I502" t="str">
        <f>IF($A502&lt;&gt;"",'Approved-Enforcement'!H502,"")</f>
        <v/>
      </c>
      <c r="J502" t="str">
        <f>IF($A502&lt;&gt;"",'Approved-Enforcement'!I502,"")</f>
        <v/>
      </c>
      <c r="K502" t="str">
        <f>IF($A502&lt;&gt;"",'Approved-Enforcement'!J502,"")</f>
        <v/>
      </c>
      <c r="L502" t="str">
        <f>IF($A502&lt;&gt;"",'Approved-Enforcement'!K502,"")</f>
        <v/>
      </c>
      <c r="M502" t="str">
        <f>IF($A502&lt;&gt;"",'Approved-Enforcement'!L502,"")</f>
        <v/>
      </c>
      <c r="N502" t="str">
        <f>IF($A502&lt;&gt;"",'Approved-Enforcement'!M502,"")</f>
        <v/>
      </c>
      <c r="O502" t="str">
        <f>IF($A502&lt;&gt;"",'Approved-Enforcement'!N502,"")</f>
        <v/>
      </c>
      <c r="P502" t="str">
        <f>IF($A502&lt;&gt;"",'Approved-Enforcement'!O502,"")</f>
        <v/>
      </c>
    </row>
    <row r="503" spans="1:16" x14ac:dyDescent="0.35">
      <c r="A503" s="4" t="str">
        <f>IF('Approved-Enforcement'!$A503&lt;&gt;"",'Approved-Enforcement'!A503,"")</f>
        <v/>
      </c>
      <c r="B503" t="str">
        <f t="shared" si="7"/>
        <v/>
      </c>
      <c r="D503" t="str">
        <f>IF($A503&lt;&gt;"",IF($R503&lt;&gt;"",$R503,'Approved-Enforcement'!$B503+7),"")</f>
        <v/>
      </c>
      <c r="E503" t="str">
        <f>IF($A503&lt;&gt;"",'Approved-Enforcement'!D503,"")</f>
        <v/>
      </c>
      <c r="F503" t="str">
        <f>IF($A503&lt;&gt;"",'Approved-Enforcement'!E503,"")</f>
        <v/>
      </c>
      <c r="G503" t="str">
        <f>IF($A503&lt;&gt;"",'Approved-Enforcement'!F503,"")</f>
        <v/>
      </c>
      <c r="H503" t="str">
        <f>IF($A503&lt;&gt;"",'Approved-Enforcement'!G503,"")</f>
        <v/>
      </c>
      <c r="I503" t="str">
        <f>IF($A503&lt;&gt;"",'Approved-Enforcement'!H503,"")</f>
        <v/>
      </c>
      <c r="J503" t="str">
        <f>IF($A503&lt;&gt;"",'Approved-Enforcement'!I503,"")</f>
        <v/>
      </c>
      <c r="K503" t="str">
        <f>IF($A503&lt;&gt;"",'Approved-Enforcement'!J503,"")</f>
        <v/>
      </c>
      <c r="L503" t="str">
        <f>IF($A503&lt;&gt;"",'Approved-Enforcement'!K503,"")</f>
        <v/>
      </c>
      <c r="M503" t="str">
        <f>IF($A503&lt;&gt;"",'Approved-Enforcement'!L503,"")</f>
        <v/>
      </c>
      <c r="N503" t="str">
        <f>IF($A503&lt;&gt;"",'Approved-Enforcement'!M503,"")</f>
        <v/>
      </c>
      <c r="O503" t="str">
        <f>IF($A503&lt;&gt;"",'Approved-Enforcement'!N503,"")</f>
        <v/>
      </c>
      <c r="P503" t="str">
        <f>IF($A503&lt;&gt;"",'Approved-Enforcement'!O503,"")</f>
        <v/>
      </c>
    </row>
    <row r="504" spans="1:16" x14ac:dyDescent="0.35">
      <c r="A504" s="4" t="str">
        <f>IF('Approved-Enforcement'!$A504&lt;&gt;"",'Approved-Enforcement'!A504,"")</f>
        <v/>
      </c>
      <c r="B504" t="str">
        <f t="shared" si="7"/>
        <v/>
      </c>
      <c r="D504" t="str">
        <f>IF($A504&lt;&gt;"",IF($R504&lt;&gt;"",$R504,'Approved-Enforcement'!$B504+7),"")</f>
        <v/>
      </c>
      <c r="E504" t="str">
        <f>IF($A504&lt;&gt;"",'Approved-Enforcement'!D504,"")</f>
        <v/>
      </c>
      <c r="F504" t="str">
        <f>IF($A504&lt;&gt;"",'Approved-Enforcement'!E504,"")</f>
        <v/>
      </c>
      <c r="G504" t="str">
        <f>IF($A504&lt;&gt;"",'Approved-Enforcement'!F504,"")</f>
        <v/>
      </c>
      <c r="H504" t="str">
        <f>IF($A504&lt;&gt;"",'Approved-Enforcement'!G504,"")</f>
        <v/>
      </c>
      <c r="I504" t="str">
        <f>IF($A504&lt;&gt;"",'Approved-Enforcement'!H504,"")</f>
        <v/>
      </c>
      <c r="J504" t="str">
        <f>IF($A504&lt;&gt;"",'Approved-Enforcement'!I504,"")</f>
        <v/>
      </c>
      <c r="K504" t="str">
        <f>IF($A504&lt;&gt;"",'Approved-Enforcement'!J504,"")</f>
        <v/>
      </c>
      <c r="L504" t="str">
        <f>IF($A504&lt;&gt;"",'Approved-Enforcement'!K504,"")</f>
        <v/>
      </c>
      <c r="M504" t="str">
        <f>IF($A504&lt;&gt;"",'Approved-Enforcement'!L504,"")</f>
        <v/>
      </c>
      <c r="N504" t="str">
        <f>IF($A504&lt;&gt;"",'Approved-Enforcement'!M504,"")</f>
        <v/>
      </c>
      <c r="O504" t="str">
        <f>IF($A504&lt;&gt;"",'Approved-Enforcement'!N504,"")</f>
        <v/>
      </c>
      <c r="P504" t="str">
        <f>IF($A504&lt;&gt;"",'Approved-Enforcement'!O504,"")</f>
        <v/>
      </c>
    </row>
    <row r="505" spans="1:16" x14ac:dyDescent="0.35">
      <c r="A505" s="4" t="str">
        <f>IF('Approved-Enforcement'!$A505&lt;&gt;"",'Approved-Enforcement'!A505,"")</f>
        <v/>
      </c>
      <c r="B505" t="str">
        <f t="shared" si="7"/>
        <v/>
      </c>
      <c r="D505" t="str">
        <f>IF($A505&lt;&gt;"",IF($R505&lt;&gt;"",$R505,'Approved-Enforcement'!$B505+7),"")</f>
        <v/>
      </c>
      <c r="E505" t="str">
        <f>IF($A505&lt;&gt;"",'Approved-Enforcement'!D505,"")</f>
        <v/>
      </c>
      <c r="F505" t="str">
        <f>IF($A505&lt;&gt;"",'Approved-Enforcement'!E505,"")</f>
        <v/>
      </c>
      <c r="G505" t="str">
        <f>IF($A505&lt;&gt;"",'Approved-Enforcement'!F505,"")</f>
        <v/>
      </c>
      <c r="H505" t="str">
        <f>IF($A505&lt;&gt;"",'Approved-Enforcement'!G505,"")</f>
        <v/>
      </c>
      <c r="I505" t="str">
        <f>IF($A505&lt;&gt;"",'Approved-Enforcement'!H505,"")</f>
        <v/>
      </c>
      <c r="J505" t="str">
        <f>IF($A505&lt;&gt;"",'Approved-Enforcement'!I505,"")</f>
        <v/>
      </c>
      <c r="K505" t="str">
        <f>IF($A505&lt;&gt;"",'Approved-Enforcement'!J505,"")</f>
        <v/>
      </c>
      <c r="L505" t="str">
        <f>IF($A505&lt;&gt;"",'Approved-Enforcement'!K505,"")</f>
        <v/>
      </c>
      <c r="M505" t="str">
        <f>IF($A505&lt;&gt;"",'Approved-Enforcement'!L505,"")</f>
        <v/>
      </c>
      <c r="N505" t="str">
        <f>IF($A505&lt;&gt;"",'Approved-Enforcement'!M505,"")</f>
        <v/>
      </c>
      <c r="O505" t="str">
        <f>IF($A505&lt;&gt;"",'Approved-Enforcement'!N505,"")</f>
        <v/>
      </c>
      <c r="P505" t="str">
        <f>IF($A505&lt;&gt;"",'Approved-Enforcement'!O505,"")</f>
        <v/>
      </c>
    </row>
    <row r="506" spans="1:16" x14ac:dyDescent="0.35">
      <c r="A506" s="4" t="str">
        <f>IF('Approved-Enforcement'!$A506&lt;&gt;"",'Approved-Enforcement'!A506,"")</f>
        <v/>
      </c>
      <c r="B506" t="str">
        <f t="shared" si="7"/>
        <v/>
      </c>
      <c r="D506" t="str">
        <f>IF($A506&lt;&gt;"",IF($R506&lt;&gt;"",$R506,'Approved-Enforcement'!$B506+7),"")</f>
        <v/>
      </c>
      <c r="E506" t="str">
        <f>IF($A506&lt;&gt;"",'Approved-Enforcement'!D506,"")</f>
        <v/>
      </c>
      <c r="F506" t="str">
        <f>IF($A506&lt;&gt;"",'Approved-Enforcement'!E506,"")</f>
        <v/>
      </c>
      <c r="G506" t="str">
        <f>IF($A506&lt;&gt;"",'Approved-Enforcement'!F506,"")</f>
        <v/>
      </c>
      <c r="H506" t="str">
        <f>IF($A506&lt;&gt;"",'Approved-Enforcement'!G506,"")</f>
        <v/>
      </c>
      <c r="I506" t="str">
        <f>IF($A506&lt;&gt;"",'Approved-Enforcement'!H506,"")</f>
        <v/>
      </c>
      <c r="J506" t="str">
        <f>IF($A506&lt;&gt;"",'Approved-Enforcement'!I506,"")</f>
        <v/>
      </c>
      <c r="K506" t="str">
        <f>IF($A506&lt;&gt;"",'Approved-Enforcement'!J506,"")</f>
        <v/>
      </c>
      <c r="L506" t="str">
        <f>IF($A506&lt;&gt;"",'Approved-Enforcement'!K506,"")</f>
        <v/>
      </c>
      <c r="M506" t="str">
        <f>IF($A506&lt;&gt;"",'Approved-Enforcement'!L506,"")</f>
        <v/>
      </c>
      <c r="N506" t="str">
        <f>IF($A506&lt;&gt;"",'Approved-Enforcement'!M506,"")</f>
        <v/>
      </c>
      <c r="O506" t="str">
        <f>IF($A506&lt;&gt;"",'Approved-Enforcement'!N506,"")</f>
        <v/>
      </c>
      <c r="P506" t="str">
        <f>IF($A506&lt;&gt;"",'Approved-Enforcement'!O506,"")</f>
        <v/>
      </c>
    </row>
    <row r="507" spans="1:16" x14ac:dyDescent="0.35">
      <c r="A507" s="4" t="str">
        <f>IF('Approved-Enforcement'!$A507&lt;&gt;"",'Approved-Enforcement'!A507,"")</f>
        <v/>
      </c>
      <c r="B507" t="str">
        <f t="shared" si="7"/>
        <v/>
      </c>
      <c r="D507" t="str">
        <f>IF($A507&lt;&gt;"",IF($R507&lt;&gt;"",$R507,'Approved-Enforcement'!$B507+7),"")</f>
        <v/>
      </c>
      <c r="E507" t="str">
        <f>IF($A507&lt;&gt;"",'Approved-Enforcement'!D507,"")</f>
        <v/>
      </c>
      <c r="F507" t="str">
        <f>IF($A507&lt;&gt;"",'Approved-Enforcement'!E507,"")</f>
        <v/>
      </c>
      <c r="G507" t="str">
        <f>IF($A507&lt;&gt;"",'Approved-Enforcement'!F507,"")</f>
        <v/>
      </c>
      <c r="H507" t="str">
        <f>IF($A507&lt;&gt;"",'Approved-Enforcement'!G507,"")</f>
        <v/>
      </c>
      <c r="I507" t="str">
        <f>IF($A507&lt;&gt;"",'Approved-Enforcement'!H507,"")</f>
        <v/>
      </c>
      <c r="J507" t="str">
        <f>IF($A507&lt;&gt;"",'Approved-Enforcement'!I507,"")</f>
        <v/>
      </c>
      <c r="K507" t="str">
        <f>IF($A507&lt;&gt;"",'Approved-Enforcement'!J507,"")</f>
        <v/>
      </c>
      <c r="L507" t="str">
        <f>IF($A507&lt;&gt;"",'Approved-Enforcement'!K507,"")</f>
        <v/>
      </c>
      <c r="M507" t="str">
        <f>IF($A507&lt;&gt;"",'Approved-Enforcement'!L507,"")</f>
        <v/>
      </c>
      <c r="N507" t="str">
        <f>IF($A507&lt;&gt;"",'Approved-Enforcement'!M507,"")</f>
        <v/>
      </c>
      <c r="O507" t="str">
        <f>IF($A507&lt;&gt;"",'Approved-Enforcement'!N507,"")</f>
        <v/>
      </c>
      <c r="P507" t="str">
        <f>IF($A507&lt;&gt;"",'Approved-Enforcement'!O507,"")</f>
        <v/>
      </c>
    </row>
    <row r="508" spans="1:16" x14ac:dyDescent="0.35">
      <c r="A508" s="4" t="str">
        <f>IF('Approved-Enforcement'!$A508&lt;&gt;"",'Approved-Enforcement'!A508,"")</f>
        <v/>
      </c>
      <c r="B508" t="str">
        <f t="shared" si="7"/>
        <v/>
      </c>
      <c r="D508" t="str">
        <f>IF($A508&lt;&gt;"",IF($R508&lt;&gt;"",$R508,'Approved-Enforcement'!$B508+7),"")</f>
        <v/>
      </c>
      <c r="E508" t="str">
        <f>IF($A508&lt;&gt;"",'Approved-Enforcement'!D508,"")</f>
        <v/>
      </c>
      <c r="F508" t="str">
        <f>IF($A508&lt;&gt;"",'Approved-Enforcement'!E508,"")</f>
        <v/>
      </c>
      <c r="G508" t="str">
        <f>IF($A508&lt;&gt;"",'Approved-Enforcement'!F508,"")</f>
        <v/>
      </c>
      <c r="H508" t="str">
        <f>IF($A508&lt;&gt;"",'Approved-Enforcement'!G508,"")</f>
        <v/>
      </c>
      <c r="I508" t="str">
        <f>IF($A508&lt;&gt;"",'Approved-Enforcement'!H508,"")</f>
        <v/>
      </c>
      <c r="J508" t="str">
        <f>IF($A508&lt;&gt;"",'Approved-Enforcement'!I508,"")</f>
        <v/>
      </c>
      <c r="K508" t="str">
        <f>IF($A508&lt;&gt;"",'Approved-Enforcement'!J508,"")</f>
        <v/>
      </c>
      <c r="L508" t="str">
        <f>IF($A508&lt;&gt;"",'Approved-Enforcement'!K508,"")</f>
        <v/>
      </c>
      <c r="M508" t="str">
        <f>IF($A508&lt;&gt;"",'Approved-Enforcement'!L508,"")</f>
        <v/>
      </c>
      <c r="N508" t="str">
        <f>IF($A508&lt;&gt;"",'Approved-Enforcement'!M508,"")</f>
        <v/>
      </c>
      <c r="O508" t="str">
        <f>IF($A508&lt;&gt;"",'Approved-Enforcement'!N508,"")</f>
        <v/>
      </c>
      <c r="P508" t="str">
        <f>IF($A508&lt;&gt;"",'Approved-Enforcement'!O508,"")</f>
        <v/>
      </c>
    </row>
    <row r="509" spans="1:16" x14ac:dyDescent="0.35">
      <c r="A509" s="4" t="str">
        <f>IF('Approved-Enforcement'!$A509&lt;&gt;"",'Approved-Enforcement'!A509,"")</f>
        <v/>
      </c>
      <c r="B509" t="str">
        <f t="shared" si="7"/>
        <v/>
      </c>
      <c r="D509" t="str">
        <f>IF($A509&lt;&gt;"",IF($R509&lt;&gt;"",$R509,'Approved-Enforcement'!$B509+7),"")</f>
        <v/>
      </c>
      <c r="E509" t="str">
        <f>IF($A509&lt;&gt;"",'Approved-Enforcement'!D509,"")</f>
        <v/>
      </c>
      <c r="F509" t="str">
        <f>IF($A509&lt;&gt;"",'Approved-Enforcement'!E509,"")</f>
        <v/>
      </c>
      <c r="G509" t="str">
        <f>IF($A509&lt;&gt;"",'Approved-Enforcement'!F509,"")</f>
        <v/>
      </c>
      <c r="H509" t="str">
        <f>IF($A509&lt;&gt;"",'Approved-Enforcement'!G509,"")</f>
        <v/>
      </c>
      <c r="I509" t="str">
        <f>IF($A509&lt;&gt;"",'Approved-Enforcement'!H509,"")</f>
        <v/>
      </c>
      <c r="J509" t="str">
        <f>IF($A509&lt;&gt;"",'Approved-Enforcement'!I509,"")</f>
        <v/>
      </c>
      <c r="K509" t="str">
        <f>IF($A509&lt;&gt;"",'Approved-Enforcement'!J509,"")</f>
        <v/>
      </c>
      <c r="L509" t="str">
        <f>IF($A509&lt;&gt;"",'Approved-Enforcement'!K509,"")</f>
        <v/>
      </c>
      <c r="M509" t="str">
        <f>IF($A509&lt;&gt;"",'Approved-Enforcement'!L509,"")</f>
        <v/>
      </c>
      <c r="N509" t="str">
        <f>IF($A509&lt;&gt;"",'Approved-Enforcement'!M509,"")</f>
        <v/>
      </c>
      <c r="O509" t="str">
        <f>IF($A509&lt;&gt;"",'Approved-Enforcement'!N509,"")</f>
        <v/>
      </c>
      <c r="P509" t="str">
        <f>IF($A509&lt;&gt;"",'Approved-Enforcement'!O509,"")</f>
        <v/>
      </c>
    </row>
    <row r="510" spans="1:16" x14ac:dyDescent="0.35">
      <c r="A510" s="4" t="str">
        <f>IF('Approved-Enforcement'!$A510&lt;&gt;"",'Approved-Enforcement'!A510,"")</f>
        <v/>
      </c>
      <c r="B510" t="str">
        <f t="shared" si="7"/>
        <v/>
      </c>
      <c r="D510" t="str">
        <f>IF($A510&lt;&gt;"",IF($R510&lt;&gt;"",$R510,'Approved-Enforcement'!$B510+7),"")</f>
        <v/>
      </c>
      <c r="E510" t="str">
        <f>IF($A510&lt;&gt;"",'Approved-Enforcement'!D510,"")</f>
        <v/>
      </c>
      <c r="F510" t="str">
        <f>IF($A510&lt;&gt;"",'Approved-Enforcement'!E510,"")</f>
        <v/>
      </c>
      <c r="G510" t="str">
        <f>IF($A510&lt;&gt;"",'Approved-Enforcement'!F510,"")</f>
        <v/>
      </c>
      <c r="H510" t="str">
        <f>IF($A510&lt;&gt;"",'Approved-Enforcement'!G510,"")</f>
        <v/>
      </c>
      <c r="I510" t="str">
        <f>IF($A510&lt;&gt;"",'Approved-Enforcement'!H510,"")</f>
        <v/>
      </c>
      <c r="J510" t="str">
        <f>IF($A510&lt;&gt;"",'Approved-Enforcement'!I510,"")</f>
        <v/>
      </c>
      <c r="K510" t="str">
        <f>IF($A510&lt;&gt;"",'Approved-Enforcement'!J510,"")</f>
        <v/>
      </c>
      <c r="L510" t="str">
        <f>IF($A510&lt;&gt;"",'Approved-Enforcement'!K510,"")</f>
        <v/>
      </c>
      <c r="M510" t="str">
        <f>IF($A510&lt;&gt;"",'Approved-Enforcement'!L510,"")</f>
        <v/>
      </c>
      <c r="N510" t="str">
        <f>IF($A510&lt;&gt;"",'Approved-Enforcement'!M510,"")</f>
        <v/>
      </c>
      <c r="O510" t="str">
        <f>IF($A510&lt;&gt;"",'Approved-Enforcement'!N510,"")</f>
        <v/>
      </c>
      <c r="P510" t="str">
        <f>IF($A510&lt;&gt;"",'Approved-Enforcement'!O510,"")</f>
        <v/>
      </c>
    </row>
    <row r="511" spans="1:16" x14ac:dyDescent="0.35">
      <c r="A511" s="4" t="str">
        <f>IF('Approved-Enforcement'!$A511&lt;&gt;"",'Approved-Enforcement'!A511,"")</f>
        <v/>
      </c>
      <c r="B511" t="str">
        <f t="shared" si="7"/>
        <v/>
      </c>
      <c r="D511" t="str">
        <f>IF($A511&lt;&gt;"",IF($R511&lt;&gt;"",$R511,'Approved-Enforcement'!$B511+7),"")</f>
        <v/>
      </c>
      <c r="E511" t="str">
        <f>IF($A511&lt;&gt;"",'Approved-Enforcement'!D511,"")</f>
        <v/>
      </c>
      <c r="F511" t="str">
        <f>IF($A511&lt;&gt;"",'Approved-Enforcement'!E511,"")</f>
        <v/>
      </c>
      <c r="G511" t="str">
        <f>IF($A511&lt;&gt;"",'Approved-Enforcement'!F511,"")</f>
        <v/>
      </c>
      <c r="H511" t="str">
        <f>IF($A511&lt;&gt;"",'Approved-Enforcement'!G511,"")</f>
        <v/>
      </c>
      <c r="I511" t="str">
        <f>IF($A511&lt;&gt;"",'Approved-Enforcement'!H511,"")</f>
        <v/>
      </c>
      <c r="J511" t="str">
        <f>IF($A511&lt;&gt;"",'Approved-Enforcement'!I511,"")</f>
        <v/>
      </c>
      <c r="K511" t="str">
        <f>IF($A511&lt;&gt;"",'Approved-Enforcement'!J511,"")</f>
        <v/>
      </c>
      <c r="L511" t="str">
        <f>IF($A511&lt;&gt;"",'Approved-Enforcement'!K511,"")</f>
        <v/>
      </c>
      <c r="M511" t="str">
        <f>IF($A511&lt;&gt;"",'Approved-Enforcement'!L511,"")</f>
        <v/>
      </c>
      <c r="N511" t="str">
        <f>IF($A511&lt;&gt;"",'Approved-Enforcement'!M511,"")</f>
        <v/>
      </c>
      <c r="O511" t="str">
        <f>IF($A511&lt;&gt;"",'Approved-Enforcement'!N511,"")</f>
        <v/>
      </c>
      <c r="P511" t="str">
        <f>IF($A511&lt;&gt;"",'Approved-Enforcement'!O511,"")</f>
        <v/>
      </c>
    </row>
    <row r="512" spans="1:16" x14ac:dyDescent="0.35">
      <c r="A512" s="4" t="str">
        <f>IF('Approved-Enforcement'!$A512&lt;&gt;"",'Approved-Enforcement'!A512,"")</f>
        <v/>
      </c>
      <c r="B512" t="str">
        <f t="shared" si="7"/>
        <v/>
      </c>
      <c r="D512" t="str">
        <f>IF($A512&lt;&gt;"",IF($R512&lt;&gt;"",$R512,'Approved-Enforcement'!$B512+7),"")</f>
        <v/>
      </c>
      <c r="E512" t="str">
        <f>IF($A512&lt;&gt;"",'Approved-Enforcement'!D512,"")</f>
        <v/>
      </c>
      <c r="F512" t="str">
        <f>IF($A512&lt;&gt;"",'Approved-Enforcement'!E512,"")</f>
        <v/>
      </c>
      <c r="G512" t="str">
        <f>IF($A512&lt;&gt;"",'Approved-Enforcement'!F512,"")</f>
        <v/>
      </c>
      <c r="H512" t="str">
        <f>IF($A512&lt;&gt;"",'Approved-Enforcement'!G512,"")</f>
        <v/>
      </c>
      <c r="I512" t="str">
        <f>IF($A512&lt;&gt;"",'Approved-Enforcement'!H512,"")</f>
        <v/>
      </c>
      <c r="J512" t="str">
        <f>IF($A512&lt;&gt;"",'Approved-Enforcement'!I512,"")</f>
        <v/>
      </c>
      <c r="K512" t="str">
        <f>IF($A512&lt;&gt;"",'Approved-Enforcement'!J512,"")</f>
        <v/>
      </c>
      <c r="L512" t="str">
        <f>IF($A512&lt;&gt;"",'Approved-Enforcement'!K512,"")</f>
        <v/>
      </c>
      <c r="M512" t="str">
        <f>IF($A512&lt;&gt;"",'Approved-Enforcement'!L512,"")</f>
        <v/>
      </c>
      <c r="N512" t="str">
        <f>IF($A512&lt;&gt;"",'Approved-Enforcement'!M512,"")</f>
        <v/>
      </c>
      <c r="O512" t="str">
        <f>IF($A512&lt;&gt;"",'Approved-Enforcement'!N512,"")</f>
        <v/>
      </c>
      <c r="P512" t="str">
        <f>IF($A512&lt;&gt;"",'Approved-Enforcement'!O512,"")</f>
        <v/>
      </c>
    </row>
    <row r="513" spans="1:16" x14ac:dyDescent="0.35">
      <c r="A513" s="4" t="str">
        <f>IF('Approved-Enforcement'!$A513&lt;&gt;"",'Approved-Enforcement'!A513,"")</f>
        <v/>
      </c>
      <c r="B513" t="str">
        <f t="shared" si="7"/>
        <v/>
      </c>
      <c r="D513" t="str">
        <f>IF($A513&lt;&gt;"",IF($R513&lt;&gt;"",$R513,'Approved-Enforcement'!$B513+7),"")</f>
        <v/>
      </c>
      <c r="E513" t="str">
        <f>IF($A513&lt;&gt;"",'Approved-Enforcement'!D513,"")</f>
        <v/>
      </c>
      <c r="F513" t="str">
        <f>IF($A513&lt;&gt;"",'Approved-Enforcement'!E513,"")</f>
        <v/>
      </c>
      <c r="G513" t="str">
        <f>IF($A513&lt;&gt;"",'Approved-Enforcement'!F513,"")</f>
        <v/>
      </c>
      <c r="H513" t="str">
        <f>IF($A513&lt;&gt;"",'Approved-Enforcement'!G513,"")</f>
        <v/>
      </c>
      <c r="I513" t="str">
        <f>IF($A513&lt;&gt;"",'Approved-Enforcement'!H513,"")</f>
        <v/>
      </c>
      <c r="J513" t="str">
        <f>IF($A513&lt;&gt;"",'Approved-Enforcement'!I513,"")</f>
        <v/>
      </c>
      <c r="K513" t="str">
        <f>IF($A513&lt;&gt;"",'Approved-Enforcement'!J513,"")</f>
        <v/>
      </c>
      <c r="L513" t="str">
        <f>IF($A513&lt;&gt;"",'Approved-Enforcement'!K513,"")</f>
        <v/>
      </c>
      <c r="M513" t="str">
        <f>IF($A513&lt;&gt;"",'Approved-Enforcement'!L513,"")</f>
        <v/>
      </c>
      <c r="N513" t="str">
        <f>IF($A513&lt;&gt;"",'Approved-Enforcement'!M513,"")</f>
        <v/>
      </c>
      <c r="O513" t="str">
        <f>IF($A513&lt;&gt;"",'Approved-Enforcement'!N513,"")</f>
        <v/>
      </c>
      <c r="P513" t="str">
        <f>IF($A513&lt;&gt;"",'Approved-Enforcement'!O513,"")</f>
        <v/>
      </c>
    </row>
    <row r="514" spans="1:16" x14ac:dyDescent="0.35">
      <c r="A514" s="4" t="str">
        <f>IF('Approved-Enforcement'!$A514&lt;&gt;"",'Approved-Enforcement'!A514,"")</f>
        <v/>
      </c>
      <c r="B514" t="str">
        <f t="shared" ref="B514:B577" si="8">IF($A514&lt;&gt;"",IF($C514&lt;&gt;"",$C514,1500),"")</f>
        <v/>
      </c>
      <c r="D514" t="str">
        <f>IF($A514&lt;&gt;"",IF($R514&lt;&gt;"",$R514,'Approved-Enforcement'!$B514+7),"")</f>
        <v/>
      </c>
      <c r="E514" t="str">
        <f>IF($A514&lt;&gt;"",'Approved-Enforcement'!D514,"")</f>
        <v/>
      </c>
      <c r="F514" t="str">
        <f>IF($A514&lt;&gt;"",'Approved-Enforcement'!E514,"")</f>
        <v/>
      </c>
      <c r="G514" t="str">
        <f>IF($A514&lt;&gt;"",'Approved-Enforcement'!F514,"")</f>
        <v/>
      </c>
      <c r="H514" t="str">
        <f>IF($A514&lt;&gt;"",'Approved-Enforcement'!G514,"")</f>
        <v/>
      </c>
      <c r="I514" t="str">
        <f>IF($A514&lt;&gt;"",'Approved-Enforcement'!H514,"")</f>
        <v/>
      </c>
      <c r="J514" t="str">
        <f>IF($A514&lt;&gt;"",'Approved-Enforcement'!I514,"")</f>
        <v/>
      </c>
      <c r="K514" t="str">
        <f>IF($A514&lt;&gt;"",'Approved-Enforcement'!J514,"")</f>
        <v/>
      </c>
      <c r="L514" t="str">
        <f>IF($A514&lt;&gt;"",'Approved-Enforcement'!K514,"")</f>
        <v/>
      </c>
      <c r="M514" t="str">
        <f>IF($A514&lt;&gt;"",'Approved-Enforcement'!L514,"")</f>
        <v/>
      </c>
      <c r="N514" t="str">
        <f>IF($A514&lt;&gt;"",'Approved-Enforcement'!M514,"")</f>
        <v/>
      </c>
      <c r="O514" t="str">
        <f>IF($A514&lt;&gt;"",'Approved-Enforcement'!N514,"")</f>
        <v/>
      </c>
      <c r="P514" t="str">
        <f>IF($A514&lt;&gt;"",'Approved-Enforcement'!O514,"")</f>
        <v/>
      </c>
    </row>
    <row r="515" spans="1:16" x14ac:dyDescent="0.35">
      <c r="A515" s="4" t="str">
        <f>IF('Approved-Enforcement'!$A515&lt;&gt;"",'Approved-Enforcement'!A515,"")</f>
        <v/>
      </c>
      <c r="B515" t="str">
        <f t="shared" si="8"/>
        <v/>
      </c>
      <c r="D515" t="str">
        <f>IF($A515&lt;&gt;"",IF($R515&lt;&gt;"",$R515,'Approved-Enforcement'!$B515+7),"")</f>
        <v/>
      </c>
      <c r="E515" t="str">
        <f>IF($A515&lt;&gt;"",'Approved-Enforcement'!D515,"")</f>
        <v/>
      </c>
      <c r="F515" t="str">
        <f>IF($A515&lt;&gt;"",'Approved-Enforcement'!E515,"")</f>
        <v/>
      </c>
      <c r="G515" t="str">
        <f>IF($A515&lt;&gt;"",'Approved-Enforcement'!F515,"")</f>
        <v/>
      </c>
      <c r="H515" t="str">
        <f>IF($A515&lt;&gt;"",'Approved-Enforcement'!G515,"")</f>
        <v/>
      </c>
      <c r="I515" t="str">
        <f>IF($A515&lt;&gt;"",'Approved-Enforcement'!H515,"")</f>
        <v/>
      </c>
      <c r="J515" t="str">
        <f>IF($A515&lt;&gt;"",'Approved-Enforcement'!I515,"")</f>
        <v/>
      </c>
      <c r="K515" t="str">
        <f>IF($A515&lt;&gt;"",'Approved-Enforcement'!J515,"")</f>
        <v/>
      </c>
      <c r="L515" t="str">
        <f>IF($A515&lt;&gt;"",'Approved-Enforcement'!K515,"")</f>
        <v/>
      </c>
      <c r="M515" t="str">
        <f>IF($A515&lt;&gt;"",'Approved-Enforcement'!L515,"")</f>
        <v/>
      </c>
      <c r="N515" t="str">
        <f>IF($A515&lt;&gt;"",'Approved-Enforcement'!M515,"")</f>
        <v/>
      </c>
      <c r="O515" t="str">
        <f>IF($A515&lt;&gt;"",'Approved-Enforcement'!N515,"")</f>
        <v/>
      </c>
      <c r="P515" t="str">
        <f>IF($A515&lt;&gt;"",'Approved-Enforcement'!O515,"")</f>
        <v/>
      </c>
    </row>
    <row r="516" spans="1:16" x14ac:dyDescent="0.35">
      <c r="A516" s="4" t="str">
        <f>IF('Approved-Enforcement'!$A516&lt;&gt;"",'Approved-Enforcement'!A516,"")</f>
        <v/>
      </c>
      <c r="B516" t="str">
        <f t="shared" si="8"/>
        <v/>
      </c>
      <c r="D516" t="str">
        <f>IF($A516&lt;&gt;"",IF($R516&lt;&gt;"",$R516,'Approved-Enforcement'!$B516+7),"")</f>
        <v/>
      </c>
      <c r="E516" t="str">
        <f>IF($A516&lt;&gt;"",'Approved-Enforcement'!D516,"")</f>
        <v/>
      </c>
      <c r="F516" t="str">
        <f>IF($A516&lt;&gt;"",'Approved-Enforcement'!E516,"")</f>
        <v/>
      </c>
      <c r="G516" t="str">
        <f>IF($A516&lt;&gt;"",'Approved-Enforcement'!F516,"")</f>
        <v/>
      </c>
      <c r="H516" t="str">
        <f>IF($A516&lt;&gt;"",'Approved-Enforcement'!G516,"")</f>
        <v/>
      </c>
      <c r="I516" t="str">
        <f>IF($A516&lt;&gt;"",'Approved-Enforcement'!H516,"")</f>
        <v/>
      </c>
      <c r="J516" t="str">
        <f>IF($A516&lt;&gt;"",'Approved-Enforcement'!I516,"")</f>
        <v/>
      </c>
      <c r="K516" t="str">
        <f>IF($A516&lt;&gt;"",'Approved-Enforcement'!J516,"")</f>
        <v/>
      </c>
      <c r="L516" t="str">
        <f>IF($A516&lt;&gt;"",'Approved-Enforcement'!K516,"")</f>
        <v/>
      </c>
      <c r="M516" t="str">
        <f>IF($A516&lt;&gt;"",'Approved-Enforcement'!L516,"")</f>
        <v/>
      </c>
      <c r="N516" t="str">
        <f>IF($A516&lt;&gt;"",'Approved-Enforcement'!M516,"")</f>
        <v/>
      </c>
      <c r="O516" t="str">
        <f>IF($A516&lt;&gt;"",'Approved-Enforcement'!N516,"")</f>
        <v/>
      </c>
      <c r="P516" t="str">
        <f>IF($A516&lt;&gt;"",'Approved-Enforcement'!O516,"")</f>
        <v/>
      </c>
    </row>
    <row r="517" spans="1:16" x14ac:dyDescent="0.35">
      <c r="A517" s="4" t="str">
        <f>IF('Approved-Enforcement'!$A517&lt;&gt;"",'Approved-Enforcement'!A517,"")</f>
        <v/>
      </c>
      <c r="B517" t="str">
        <f t="shared" si="8"/>
        <v/>
      </c>
      <c r="D517" t="str">
        <f>IF($A517&lt;&gt;"",IF($R517&lt;&gt;"",$R517,'Approved-Enforcement'!$B517+7),"")</f>
        <v/>
      </c>
      <c r="E517" t="str">
        <f>IF($A517&lt;&gt;"",'Approved-Enforcement'!D517,"")</f>
        <v/>
      </c>
      <c r="F517" t="str">
        <f>IF($A517&lt;&gt;"",'Approved-Enforcement'!E517,"")</f>
        <v/>
      </c>
      <c r="G517" t="str">
        <f>IF($A517&lt;&gt;"",'Approved-Enforcement'!F517,"")</f>
        <v/>
      </c>
      <c r="H517" t="str">
        <f>IF($A517&lt;&gt;"",'Approved-Enforcement'!G517,"")</f>
        <v/>
      </c>
      <c r="I517" t="str">
        <f>IF($A517&lt;&gt;"",'Approved-Enforcement'!H517,"")</f>
        <v/>
      </c>
      <c r="J517" t="str">
        <f>IF($A517&lt;&gt;"",'Approved-Enforcement'!I517,"")</f>
        <v/>
      </c>
      <c r="K517" t="str">
        <f>IF($A517&lt;&gt;"",'Approved-Enforcement'!J517,"")</f>
        <v/>
      </c>
      <c r="L517" t="str">
        <f>IF($A517&lt;&gt;"",'Approved-Enforcement'!K517,"")</f>
        <v/>
      </c>
      <c r="M517" t="str">
        <f>IF($A517&lt;&gt;"",'Approved-Enforcement'!L517,"")</f>
        <v/>
      </c>
      <c r="N517" t="str">
        <f>IF($A517&lt;&gt;"",'Approved-Enforcement'!M517,"")</f>
        <v/>
      </c>
      <c r="O517" t="str">
        <f>IF($A517&lt;&gt;"",'Approved-Enforcement'!N517,"")</f>
        <v/>
      </c>
      <c r="P517" t="str">
        <f>IF($A517&lt;&gt;"",'Approved-Enforcement'!O517,"")</f>
        <v/>
      </c>
    </row>
    <row r="518" spans="1:16" x14ac:dyDescent="0.35">
      <c r="A518" s="4" t="str">
        <f>IF('Approved-Enforcement'!$A518&lt;&gt;"",'Approved-Enforcement'!A518,"")</f>
        <v/>
      </c>
      <c r="B518" t="str">
        <f t="shared" si="8"/>
        <v/>
      </c>
      <c r="D518" t="str">
        <f>IF($A518&lt;&gt;"",IF($R518&lt;&gt;"",$R518,'Approved-Enforcement'!$B518+7),"")</f>
        <v/>
      </c>
      <c r="E518" t="str">
        <f>IF($A518&lt;&gt;"",'Approved-Enforcement'!D518,"")</f>
        <v/>
      </c>
      <c r="F518" t="str">
        <f>IF($A518&lt;&gt;"",'Approved-Enforcement'!E518,"")</f>
        <v/>
      </c>
      <c r="G518" t="str">
        <f>IF($A518&lt;&gt;"",'Approved-Enforcement'!F518,"")</f>
        <v/>
      </c>
      <c r="H518" t="str">
        <f>IF($A518&lt;&gt;"",'Approved-Enforcement'!G518,"")</f>
        <v/>
      </c>
      <c r="I518" t="str">
        <f>IF($A518&lt;&gt;"",'Approved-Enforcement'!H518,"")</f>
        <v/>
      </c>
      <c r="J518" t="str">
        <f>IF($A518&lt;&gt;"",'Approved-Enforcement'!I518,"")</f>
        <v/>
      </c>
      <c r="K518" t="str">
        <f>IF($A518&lt;&gt;"",'Approved-Enforcement'!J518,"")</f>
        <v/>
      </c>
      <c r="L518" t="str">
        <f>IF($A518&lt;&gt;"",'Approved-Enforcement'!K518,"")</f>
        <v/>
      </c>
      <c r="M518" t="str">
        <f>IF($A518&lt;&gt;"",'Approved-Enforcement'!L518,"")</f>
        <v/>
      </c>
      <c r="N518" t="str">
        <f>IF($A518&lt;&gt;"",'Approved-Enforcement'!M518,"")</f>
        <v/>
      </c>
      <c r="O518" t="str">
        <f>IF($A518&lt;&gt;"",'Approved-Enforcement'!N518,"")</f>
        <v/>
      </c>
      <c r="P518" t="str">
        <f>IF($A518&lt;&gt;"",'Approved-Enforcement'!O518,"")</f>
        <v/>
      </c>
    </row>
    <row r="519" spans="1:16" x14ac:dyDescent="0.35">
      <c r="A519" s="4" t="str">
        <f>IF('Approved-Enforcement'!$A519&lt;&gt;"",'Approved-Enforcement'!A519,"")</f>
        <v/>
      </c>
      <c r="B519" t="str">
        <f t="shared" si="8"/>
        <v/>
      </c>
      <c r="D519" t="str">
        <f>IF($A519&lt;&gt;"",IF($R519&lt;&gt;"",$R519,'Approved-Enforcement'!$B519+7),"")</f>
        <v/>
      </c>
      <c r="E519" t="str">
        <f>IF($A519&lt;&gt;"",'Approved-Enforcement'!D519,"")</f>
        <v/>
      </c>
      <c r="F519" t="str">
        <f>IF($A519&lt;&gt;"",'Approved-Enforcement'!E519,"")</f>
        <v/>
      </c>
      <c r="G519" t="str">
        <f>IF($A519&lt;&gt;"",'Approved-Enforcement'!F519,"")</f>
        <v/>
      </c>
      <c r="H519" t="str">
        <f>IF($A519&lt;&gt;"",'Approved-Enforcement'!G519,"")</f>
        <v/>
      </c>
      <c r="I519" t="str">
        <f>IF($A519&lt;&gt;"",'Approved-Enforcement'!H519,"")</f>
        <v/>
      </c>
      <c r="J519" t="str">
        <f>IF($A519&lt;&gt;"",'Approved-Enforcement'!I519,"")</f>
        <v/>
      </c>
      <c r="K519" t="str">
        <f>IF($A519&lt;&gt;"",'Approved-Enforcement'!J519,"")</f>
        <v/>
      </c>
      <c r="L519" t="str">
        <f>IF($A519&lt;&gt;"",'Approved-Enforcement'!K519,"")</f>
        <v/>
      </c>
      <c r="M519" t="str">
        <f>IF($A519&lt;&gt;"",'Approved-Enforcement'!L519,"")</f>
        <v/>
      </c>
      <c r="N519" t="str">
        <f>IF($A519&lt;&gt;"",'Approved-Enforcement'!M519,"")</f>
        <v/>
      </c>
      <c r="O519" t="str">
        <f>IF($A519&lt;&gt;"",'Approved-Enforcement'!N519,"")</f>
        <v/>
      </c>
      <c r="P519" t="str">
        <f>IF($A519&lt;&gt;"",'Approved-Enforcement'!O519,"")</f>
        <v/>
      </c>
    </row>
    <row r="520" spans="1:16" x14ac:dyDescent="0.35">
      <c r="A520" s="4" t="str">
        <f>IF('Approved-Enforcement'!$A520&lt;&gt;"",'Approved-Enforcement'!A520,"")</f>
        <v/>
      </c>
      <c r="B520" t="str">
        <f t="shared" si="8"/>
        <v/>
      </c>
      <c r="D520" t="str">
        <f>IF($A520&lt;&gt;"",IF($R520&lt;&gt;"",$R520,'Approved-Enforcement'!$B520+7),"")</f>
        <v/>
      </c>
      <c r="E520" t="str">
        <f>IF($A520&lt;&gt;"",'Approved-Enforcement'!D520,"")</f>
        <v/>
      </c>
      <c r="F520" t="str">
        <f>IF($A520&lt;&gt;"",'Approved-Enforcement'!E520,"")</f>
        <v/>
      </c>
      <c r="G520" t="str">
        <f>IF($A520&lt;&gt;"",'Approved-Enforcement'!F520,"")</f>
        <v/>
      </c>
      <c r="H520" t="str">
        <f>IF($A520&lt;&gt;"",'Approved-Enforcement'!G520,"")</f>
        <v/>
      </c>
      <c r="I520" t="str">
        <f>IF($A520&lt;&gt;"",'Approved-Enforcement'!H520,"")</f>
        <v/>
      </c>
      <c r="J520" t="str">
        <f>IF($A520&lt;&gt;"",'Approved-Enforcement'!I520,"")</f>
        <v/>
      </c>
      <c r="K520" t="str">
        <f>IF($A520&lt;&gt;"",'Approved-Enforcement'!J520,"")</f>
        <v/>
      </c>
      <c r="L520" t="str">
        <f>IF($A520&lt;&gt;"",'Approved-Enforcement'!K520,"")</f>
        <v/>
      </c>
      <c r="M520" t="str">
        <f>IF($A520&lt;&gt;"",'Approved-Enforcement'!L520,"")</f>
        <v/>
      </c>
      <c r="N520" t="str">
        <f>IF($A520&lt;&gt;"",'Approved-Enforcement'!M520,"")</f>
        <v/>
      </c>
      <c r="O520" t="str">
        <f>IF($A520&lt;&gt;"",'Approved-Enforcement'!N520,"")</f>
        <v/>
      </c>
      <c r="P520" t="str">
        <f>IF($A520&lt;&gt;"",'Approved-Enforcement'!O520,"")</f>
        <v/>
      </c>
    </row>
    <row r="521" spans="1:16" x14ac:dyDescent="0.35">
      <c r="A521" s="4" t="str">
        <f>IF('Approved-Enforcement'!$A521&lt;&gt;"",'Approved-Enforcement'!A521,"")</f>
        <v/>
      </c>
      <c r="B521" t="str">
        <f t="shared" si="8"/>
        <v/>
      </c>
      <c r="D521" t="str">
        <f>IF($A521&lt;&gt;"",IF($R521&lt;&gt;"",$R521,'Approved-Enforcement'!$B521+7),"")</f>
        <v/>
      </c>
      <c r="E521" t="str">
        <f>IF($A521&lt;&gt;"",'Approved-Enforcement'!D521,"")</f>
        <v/>
      </c>
      <c r="F521" t="str">
        <f>IF($A521&lt;&gt;"",'Approved-Enforcement'!E521,"")</f>
        <v/>
      </c>
      <c r="G521" t="str">
        <f>IF($A521&lt;&gt;"",'Approved-Enforcement'!F521,"")</f>
        <v/>
      </c>
      <c r="H521" t="str">
        <f>IF($A521&lt;&gt;"",'Approved-Enforcement'!G521,"")</f>
        <v/>
      </c>
      <c r="I521" t="str">
        <f>IF($A521&lt;&gt;"",'Approved-Enforcement'!H521,"")</f>
        <v/>
      </c>
      <c r="J521" t="str">
        <f>IF($A521&lt;&gt;"",'Approved-Enforcement'!I521,"")</f>
        <v/>
      </c>
      <c r="K521" t="str">
        <f>IF($A521&lt;&gt;"",'Approved-Enforcement'!J521,"")</f>
        <v/>
      </c>
      <c r="L521" t="str">
        <f>IF($A521&lt;&gt;"",'Approved-Enforcement'!K521,"")</f>
        <v/>
      </c>
      <c r="M521" t="str">
        <f>IF($A521&lt;&gt;"",'Approved-Enforcement'!L521,"")</f>
        <v/>
      </c>
      <c r="N521" t="str">
        <f>IF($A521&lt;&gt;"",'Approved-Enforcement'!M521,"")</f>
        <v/>
      </c>
      <c r="O521" t="str">
        <f>IF($A521&lt;&gt;"",'Approved-Enforcement'!N521,"")</f>
        <v/>
      </c>
      <c r="P521" t="str">
        <f>IF($A521&lt;&gt;"",'Approved-Enforcement'!O521,"")</f>
        <v/>
      </c>
    </row>
    <row r="522" spans="1:16" x14ac:dyDescent="0.35">
      <c r="A522" s="4" t="str">
        <f>IF('Approved-Enforcement'!$A522&lt;&gt;"",'Approved-Enforcement'!A522,"")</f>
        <v/>
      </c>
      <c r="B522" t="str">
        <f t="shared" si="8"/>
        <v/>
      </c>
      <c r="D522" t="str">
        <f>IF($A522&lt;&gt;"",IF($R522&lt;&gt;"",$R522,'Approved-Enforcement'!$B522+7),"")</f>
        <v/>
      </c>
      <c r="E522" t="str">
        <f>IF($A522&lt;&gt;"",'Approved-Enforcement'!D522,"")</f>
        <v/>
      </c>
      <c r="F522" t="str">
        <f>IF($A522&lt;&gt;"",'Approved-Enforcement'!E522,"")</f>
        <v/>
      </c>
      <c r="G522" t="str">
        <f>IF($A522&lt;&gt;"",'Approved-Enforcement'!F522,"")</f>
        <v/>
      </c>
      <c r="H522" t="str">
        <f>IF($A522&lt;&gt;"",'Approved-Enforcement'!G522,"")</f>
        <v/>
      </c>
      <c r="I522" t="str">
        <f>IF($A522&lt;&gt;"",'Approved-Enforcement'!H522,"")</f>
        <v/>
      </c>
      <c r="J522" t="str">
        <f>IF($A522&lt;&gt;"",'Approved-Enforcement'!I522,"")</f>
        <v/>
      </c>
      <c r="K522" t="str">
        <f>IF($A522&lt;&gt;"",'Approved-Enforcement'!J522,"")</f>
        <v/>
      </c>
      <c r="L522" t="str">
        <f>IF($A522&lt;&gt;"",'Approved-Enforcement'!K522,"")</f>
        <v/>
      </c>
      <c r="M522" t="str">
        <f>IF($A522&lt;&gt;"",'Approved-Enforcement'!L522,"")</f>
        <v/>
      </c>
      <c r="N522" t="str">
        <f>IF($A522&lt;&gt;"",'Approved-Enforcement'!M522,"")</f>
        <v/>
      </c>
      <c r="O522" t="str">
        <f>IF($A522&lt;&gt;"",'Approved-Enforcement'!N522,"")</f>
        <v/>
      </c>
      <c r="P522" t="str">
        <f>IF($A522&lt;&gt;"",'Approved-Enforcement'!O522,"")</f>
        <v/>
      </c>
    </row>
    <row r="523" spans="1:16" x14ac:dyDescent="0.35">
      <c r="A523" s="4" t="str">
        <f>IF('Approved-Enforcement'!$A523&lt;&gt;"",'Approved-Enforcement'!A523,"")</f>
        <v/>
      </c>
      <c r="B523" t="str">
        <f t="shared" si="8"/>
        <v/>
      </c>
      <c r="D523" t="str">
        <f>IF($A523&lt;&gt;"",IF($R523&lt;&gt;"",$R523,'Approved-Enforcement'!$B523+7),"")</f>
        <v/>
      </c>
      <c r="E523" t="str">
        <f>IF($A523&lt;&gt;"",'Approved-Enforcement'!D523,"")</f>
        <v/>
      </c>
      <c r="F523" t="str">
        <f>IF($A523&lt;&gt;"",'Approved-Enforcement'!E523,"")</f>
        <v/>
      </c>
      <c r="G523" t="str">
        <f>IF($A523&lt;&gt;"",'Approved-Enforcement'!F523,"")</f>
        <v/>
      </c>
      <c r="H523" t="str">
        <f>IF($A523&lt;&gt;"",'Approved-Enforcement'!G523,"")</f>
        <v/>
      </c>
      <c r="I523" t="str">
        <f>IF($A523&lt;&gt;"",'Approved-Enforcement'!H523,"")</f>
        <v/>
      </c>
      <c r="J523" t="str">
        <f>IF($A523&lt;&gt;"",'Approved-Enforcement'!I523,"")</f>
        <v/>
      </c>
      <c r="K523" t="str">
        <f>IF($A523&lt;&gt;"",'Approved-Enforcement'!J523,"")</f>
        <v/>
      </c>
      <c r="L523" t="str">
        <f>IF($A523&lt;&gt;"",'Approved-Enforcement'!K523,"")</f>
        <v/>
      </c>
      <c r="M523" t="str">
        <f>IF($A523&lt;&gt;"",'Approved-Enforcement'!L523,"")</f>
        <v/>
      </c>
      <c r="N523" t="str">
        <f>IF($A523&lt;&gt;"",'Approved-Enforcement'!M523,"")</f>
        <v/>
      </c>
      <c r="O523" t="str">
        <f>IF($A523&lt;&gt;"",'Approved-Enforcement'!N523,"")</f>
        <v/>
      </c>
      <c r="P523" t="str">
        <f>IF($A523&lt;&gt;"",'Approved-Enforcement'!O523,"")</f>
        <v/>
      </c>
    </row>
    <row r="524" spans="1:16" x14ac:dyDescent="0.35">
      <c r="A524" s="4" t="str">
        <f>IF('Approved-Enforcement'!$A524&lt;&gt;"",'Approved-Enforcement'!A524,"")</f>
        <v/>
      </c>
      <c r="B524" t="str">
        <f t="shared" si="8"/>
        <v/>
      </c>
      <c r="D524" t="str">
        <f>IF($A524&lt;&gt;"",IF($R524&lt;&gt;"",$R524,'Approved-Enforcement'!$B524+7),"")</f>
        <v/>
      </c>
      <c r="E524" t="str">
        <f>IF($A524&lt;&gt;"",'Approved-Enforcement'!D524,"")</f>
        <v/>
      </c>
      <c r="F524" t="str">
        <f>IF($A524&lt;&gt;"",'Approved-Enforcement'!E524,"")</f>
        <v/>
      </c>
      <c r="G524" t="str">
        <f>IF($A524&lt;&gt;"",'Approved-Enforcement'!F524,"")</f>
        <v/>
      </c>
      <c r="H524" t="str">
        <f>IF($A524&lt;&gt;"",'Approved-Enforcement'!G524,"")</f>
        <v/>
      </c>
      <c r="I524" t="str">
        <f>IF($A524&lt;&gt;"",'Approved-Enforcement'!H524,"")</f>
        <v/>
      </c>
      <c r="J524" t="str">
        <f>IF($A524&lt;&gt;"",'Approved-Enforcement'!I524,"")</f>
        <v/>
      </c>
      <c r="K524" t="str">
        <f>IF($A524&lt;&gt;"",'Approved-Enforcement'!J524,"")</f>
        <v/>
      </c>
      <c r="L524" t="str">
        <f>IF($A524&lt;&gt;"",'Approved-Enforcement'!K524,"")</f>
        <v/>
      </c>
      <c r="M524" t="str">
        <f>IF($A524&lt;&gt;"",'Approved-Enforcement'!L524,"")</f>
        <v/>
      </c>
      <c r="N524" t="str">
        <f>IF($A524&lt;&gt;"",'Approved-Enforcement'!M524,"")</f>
        <v/>
      </c>
      <c r="O524" t="str">
        <f>IF($A524&lt;&gt;"",'Approved-Enforcement'!N524,"")</f>
        <v/>
      </c>
      <c r="P524" t="str">
        <f>IF($A524&lt;&gt;"",'Approved-Enforcement'!O524,"")</f>
        <v/>
      </c>
    </row>
    <row r="525" spans="1:16" x14ac:dyDescent="0.35">
      <c r="A525" s="4" t="str">
        <f>IF('Approved-Enforcement'!$A525&lt;&gt;"",'Approved-Enforcement'!A525,"")</f>
        <v/>
      </c>
      <c r="B525" t="str">
        <f t="shared" si="8"/>
        <v/>
      </c>
      <c r="D525" t="str">
        <f>IF($A525&lt;&gt;"",IF($R525&lt;&gt;"",$R525,'Approved-Enforcement'!$B525+7),"")</f>
        <v/>
      </c>
      <c r="E525" t="str">
        <f>IF($A525&lt;&gt;"",'Approved-Enforcement'!D525,"")</f>
        <v/>
      </c>
      <c r="F525" t="str">
        <f>IF($A525&lt;&gt;"",'Approved-Enforcement'!E525,"")</f>
        <v/>
      </c>
      <c r="G525" t="str">
        <f>IF($A525&lt;&gt;"",'Approved-Enforcement'!F525,"")</f>
        <v/>
      </c>
      <c r="H525" t="str">
        <f>IF($A525&lt;&gt;"",'Approved-Enforcement'!G525,"")</f>
        <v/>
      </c>
      <c r="I525" t="str">
        <f>IF($A525&lt;&gt;"",'Approved-Enforcement'!H525,"")</f>
        <v/>
      </c>
      <c r="J525" t="str">
        <f>IF($A525&lt;&gt;"",'Approved-Enforcement'!I525,"")</f>
        <v/>
      </c>
      <c r="K525" t="str">
        <f>IF($A525&lt;&gt;"",'Approved-Enforcement'!J525,"")</f>
        <v/>
      </c>
      <c r="L525" t="str">
        <f>IF($A525&lt;&gt;"",'Approved-Enforcement'!K525,"")</f>
        <v/>
      </c>
      <c r="M525" t="str">
        <f>IF($A525&lt;&gt;"",'Approved-Enforcement'!L525,"")</f>
        <v/>
      </c>
      <c r="N525" t="str">
        <f>IF($A525&lt;&gt;"",'Approved-Enforcement'!M525,"")</f>
        <v/>
      </c>
      <c r="O525" t="str">
        <f>IF($A525&lt;&gt;"",'Approved-Enforcement'!N525,"")</f>
        <v/>
      </c>
      <c r="P525" t="str">
        <f>IF($A525&lt;&gt;"",'Approved-Enforcement'!O525,"")</f>
        <v/>
      </c>
    </row>
    <row r="526" spans="1:16" x14ac:dyDescent="0.35">
      <c r="A526" s="4" t="str">
        <f>IF('Approved-Enforcement'!$A526&lt;&gt;"",'Approved-Enforcement'!A526,"")</f>
        <v/>
      </c>
      <c r="B526" t="str">
        <f t="shared" si="8"/>
        <v/>
      </c>
      <c r="D526" t="str">
        <f>IF($A526&lt;&gt;"",IF($R526&lt;&gt;"",$R526,'Approved-Enforcement'!$B526+7),"")</f>
        <v/>
      </c>
      <c r="E526" t="str">
        <f>IF($A526&lt;&gt;"",'Approved-Enforcement'!D526,"")</f>
        <v/>
      </c>
      <c r="F526" t="str">
        <f>IF($A526&lt;&gt;"",'Approved-Enforcement'!E526,"")</f>
        <v/>
      </c>
      <c r="G526" t="str">
        <f>IF($A526&lt;&gt;"",'Approved-Enforcement'!F526,"")</f>
        <v/>
      </c>
      <c r="H526" t="str">
        <f>IF($A526&lt;&gt;"",'Approved-Enforcement'!G526,"")</f>
        <v/>
      </c>
      <c r="I526" t="str">
        <f>IF($A526&lt;&gt;"",'Approved-Enforcement'!H526,"")</f>
        <v/>
      </c>
      <c r="J526" t="str">
        <f>IF($A526&lt;&gt;"",'Approved-Enforcement'!I526,"")</f>
        <v/>
      </c>
      <c r="K526" t="str">
        <f>IF($A526&lt;&gt;"",'Approved-Enforcement'!J526,"")</f>
        <v/>
      </c>
      <c r="L526" t="str">
        <f>IF($A526&lt;&gt;"",'Approved-Enforcement'!K526,"")</f>
        <v/>
      </c>
      <c r="M526" t="str">
        <f>IF($A526&lt;&gt;"",'Approved-Enforcement'!L526,"")</f>
        <v/>
      </c>
      <c r="N526" t="str">
        <f>IF($A526&lt;&gt;"",'Approved-Enforcement'!M526,"")</f>
        <v/>
      </c>
      <c r="O526" t="str">
        <f>IF($A526&lt;&gt;"",'Approved-Enforcement'!N526,"")</f>
        <v/>
      </c>
      <c r="P526" t="str">
        <f>IF($A526&lt;&gt;"",'Approved-Enforcement'!O526,"")</f>
        <v/>
      </c>
    </row>
    <row r="527" spans="1:16" x14ac:dyDescent="0.35">
      <c r="A527" s="4" t="str">
        <f>IF('Approved-Enforcement'!$A527&lt;&gt;"",'Approved-Enforcement'!A527,"")</f>
        <v/>
      </c>
      <c r="B527" t="str">
        <f t="shared" si="8"/>
        <v/>
      </c>
      <c r="D527" t="str">
        <f>IF($A527&lt;&gt;"",IF($R527&lt;&gt;"",$R527,'Approved-Enforcement'!$B527+7),"")</f>
        <v/>
      </c>
      <c r="E527" t="str">
        <f>IF($A527&lt;&gt;"",'Approved-Enforcement'!D527,"")</f>
        <v/>
      </c>
      <c r="F527" t="str">
        <f>IF($A527&lt;&gt;"",'Approved-Enforcement'!E527,"")</f>
        <v/>
      </c>
      <c r="G527" t="str">
        <f>IF($A527&lt;&gt;"",'Approved-Enforcement'!F527,"")</f>
        <v/>
      </c>
      <c r="H527" t="str">
        <f>IF($A527&lt;&gt;"",'Approved-Enforcement'!G527,"")</f>
        <v/>
      </c>
      <c r="I527" t="str">
        <f>IF($A527&lt;&gt;"",'Approved-Enforcement'!H527,"")</f>
        <v/>
      </c>
      <c r="J527" t="str">
        <f>IF($A527&lt;&gt;"",'Approved-Enforcement'!I527,"")</f>
        <v/>
      </c>
      <c r="K527" t="str">
        <f>IF($A527&lt;&gt;"",'Approved-Enforcement'!J527,"")</f>
        <v/>
      </c>
      <c r="L527" t="str">
        <f>IF($A527&lt;&gt;"",'Approved-Enforcement'!K527,"")</f>
        <v/>
      </c>
      <c r="M527" t="str">
        <f>IF($A527&lt;&gt;"",'Approved-Enforcement'!L527,"")</f>
        <v/>
      </c>
      <c r="N527" t="str">
        <f>IF($A527&lt;&gt;"",'Approved-Enforcement'!M527,"")</f>
        <v/>
      </c>
      <c r="O527" t="str">
        <f>IF($A527&lt;&gt;"",'Approved-Enforcement'!N527,"")</f>
        <v/>
      </c>
      <c r="P527" t="str">
        <f>IF($A527&lt;&gt;"",'Approved-Enforcement'!O527,"")</f>
        <v/>
      </c>
    </row>
    <row r="528" spans="1:16" x14ac:dyDescent="0.35">
      <c r="A528" s="4" t="str">
        <f>IF('Approved-Enforcement'!$A528&lt;&gt;"",'Approved-Enforcement'!A528,"")</f>
        <v/>
      </c>
      <c r="B528" t="str">
        <f t="shared" si="8"/>
        <v/>
      </c>
      <c r="D528" t="str">
        <f>IF($A528&lt;&gt;"",IF($R528&lt;&gt;"",$R528,'Approved-Enforcement'!$B528+7),"")</f>
        <v/>
      </c>
      <c r="E528" t="str">
        <f>IF($A528&lt;&gt;"",'Approved-Enforcement'!D528,"")</f>
        <v/>
      </c>
      <c r="F528" t="str">
        <f>IF($A528&lt;&gt;"",'Approved-Enforcement'!E528,"")</f>
        <v/>
      </c>
      <c r="G528" t="str">
        <f>IF($A528&lt;&gt;"",'Approved-Enforcement'!F528,"")</f>
        <v/>
      </c>
      <c r="H528" t="str">
        <f>IF($A528&lt;&gt;"",'Approved-Enforcement'!G528,"")</f>
        <v/>
      </c>
      <c r="I528" t="str">
        <f>IF($A528&lt;&gt;"",'Approved-Enforcement'!H528,"")</f>
        <v/>
      </c>
      <c r="J528" t="str">
        <f>IF($A528&lt;&gt;"",'Approved-Enforcement'!I528,"")</f>
        <v/>
      </c>
      <c r="K528" t="str">
        <f>IF($A528&lt;&gt;"",'Approved-Enforcement'!J528,"")</f>
        <v/>
      </c>
      <c r="L528" t="str">
        <f>IF($A528&lt;&gt;"",'Approved-Enforcement'!K528,"")</f>
        <v/>
      </c>
      <c r="M528" t="str">
        <f>IF($A528&lt;&gt;"",'Approved-Enforcement'!L528,"")</f>
        <v/>
      </c>
      <c r="N528" t="str">
        <f>IF($A528&lt;&gt;"",'Approved-Enforcement'!M528,"")</f>
        <v/>
      </c>
      <c r="O528" t="str">
        <f>IF($A528&lt;&gt;"",'Approved-Enforcement'!N528,"")</f>
        <v/>
      </c>
      <c r="P528" t="str">
        <f>IF($A528&lt;&gt;"",'Approved-Enforcement'!O528,"")</f>
        <v/>
      </c>
    </row>
    <row r="529" spans="1:16" x14ac:dyDescent="0.35">
      <c r="A529" s="4" t="str">
        <f>IF('Approved-Enforcement'!$A529&lt;&gt;"",'Approved-Enforcement'!A529,"")</f>
        <v/>
      </c>
      <c r="B529" t="str">
        <f t="shared" si="8"/>
        <v/>
      </c>
      <c r="D529" t="str">
        <f>IF($A529&lt;&gt;"",IF($R529&lt;&gt;"",$R529,'Approved-Enforcement'!$B529+7),"")</f>
        <v/>
      </c>
      <c r="E529" t="str">
        <f>IF($A529&lt;&gt;"",'Approved-Enforcement'!D529,"")</f>
        <v/>
      </c>
      <c r="F529" t="str">
        <f>IF($A529&lt;&gt;"",'Approved-Enforcement'!E529,"")</f>
        <v/>
      </c>
      <c r="G529" t="str">
        <f>IF($A529&lt;&gt;"",'Approved-Enforcement'!F529,"")</f>
        <v/>
      </c>
      <c r="H529" t="str">
        <f>IF($A529&lt;&gt;"",'Approved-Enforcement'!G529,"")</f>
        <v/>
      </c>
      <c r="I529" t="str">
        <f>IF($A529&lt;&gt;"",'Approved-Enforcement'!H529,"")</f>
        <v/>
      </c>
      <c r="J529" t="str">
        <f>IF($A529&lt;&gt;"",'Approved-Enforcement'!I529,"")</f>
        <v/>
      </c>
      <c r="K529" t="str">
        <f>IF($A529&lt;&gt;"",'Approved-Enforcement'!J529,"")</f>
        <v/>
      </c>
      <c r="L529" t="str">
        <f>IF($A529&lt;&gt;"",'Approved-Enforcement'!K529,"")</f>
        <v/>
      </c>
      <c r="M529" t="str">
        <f>IF($A529&lt;&gt;"",'Approved-Enforcement'!L529,"")</f>
        <v/>
      </c>
      <c r="N529" t="str">
        <f>IF($A529&lt;&gt;"",'Approved-Enforcement'!M529,"")</f>
        <v/>
      </c>
      <c r="O529" t="str">
        <f>IF($A529&lt;&gt;"",'Approved-Enforcement'!N529,"")</f>
        <v/>
      </c>
      <c r="P529" t="str">
        <f>IF($A529&lt;&gt;"",'Approved-Enforcement'!O529,"")</f>
        <v/>
      </c>
    </row>
    <row r="530" spans="1:16" x14ac:dyDescent="0.35">
      <c r="A530" s="4" t="str">
        <f>IF('Approved-Enforcement'!$A530&lt;&gt;"",'Approved-Enforcement'!A530,"")</f>
        <v/>
      </c>
      <c r="B530" t="str">
        <f t="shared" si="8"/>
        <v/>
      </c>
      <c r="D530" t="str">
        <f>IF($A530&lt;&gt;"",IF($R530&lt;&gt;"",$R530,'Approved-Enforcement'!$B530+7),"")</f>
        <v/>
      </c>
      <c r="E530" t="str">
        <f>IF($A530&lt;&gt;"",'Approved-Enforcement'!D530,"")</f>
        <v/>
      </c>
      <c r="F530" t="str">
        <f>IF($A530&lt;&gt;"",'Approved-Enforcement'!E530,"")</f>
        <v/>
      </c>
      <c r="G530" t="str">
        <f>IF($A530&lt;&gt;"",'Approved-Enforcement'!F530,"")</f>
        <v/>
      </c>
      <c r="H530" t="str">
        <f>IF($A530&lt;&gt;"",'Approved-Enforcement'!G530,"")</f>
        <v/>
      </c>
      <c r="I530" t="str">
        <f>IF($A530&lt;&gt;"",'Approved-Enforcement'!H530,"")</f>
        <v/>
      </c>
      <c r="J530" t="str">
        <f>IF($A530&lt;&gt;"",'Approved-Enforcement'!I530,"")</f>
        <v/>
      </c>
      <c r="K530" t="str">
        <f>IF($A530&lt;&gt;"",'Approved-Enforcement'!J530,"")</f>
        <v/>
      </c>
      <c r="L530" t="str">
        <f>IF($A530&lt;&gt;"",'Approved-Enforcement'!K530,"")</f>
        <v/>
      </c>
      <c r="M530" t="str">
        <f>IF($A530&lt;&gt;"",'Approved-Enforcement'!L530,"")</f>
        <v/>
      </c>
      <c r="N530" t="str">
        <f>IF($A530&lt;&gt;"",'Approved-Enforcement'!M530,"")</f>
        <v/>
      </c>
      <c r="O530" t="str">
        <f>IF($A530&lt;&gt;"",'Approved-Enforcement'!N530,"")</f>
        <v/>
      </c>
      <c r="P530" t="str">
        <f>IF($A530&lt;&gt;"",'Approved-Enforcement'!O530,"")</f>
        <v/>
      </c>
    </row>
    <row r="531" spans="1:16" x14ac:dyDescent="0.35">
      <c r="A531" s="4" t="str">
        <f>IF('Approved-Enforcement'!$A531&lt;&gt;"",'Approved-Enforcement'!A531,"")</f>
        <v/>
      </c>
      <c r="B531" t="str">
        <f t="shared" si="8"/>
        <v/>
      </c>
      <c r="D531" t="str">
        <f>IF($A531&lt;&gt;"",IF($R531&lt;&gt;"",$R531,'Approved-Enforcement'!$B531+7),"")</f>
        <v/>
      </c>
      <c r="E531" t="str">
        <f>IF($A531&lt;&gt;"",'Approved-Enforcement'!D531,"")</f>
        <v/>
      </c>
      <c r="F531" t="str">
        <f>IF($A531&lt;&gt;"",'Approved-Enforcement'!E531,"")</f>
        <v/>
      </c>
      <c r="G531" t="str">
        <f>IF($A531&lt;&gt;"",'Approved-Enforcement'!F531,"")</f>
        <v/>
      </c>
      <c r="H531" t="str">
        <f>IF($A531&lt;&gt;"",'Approved-Enforcement'!G531,"")</f>
        <v/>
      </c>
      <c r="I531" t="str">
        <f>IF($A531&lt;&gt;"",'Approved-Enforcement'!H531,"")</f>
        <v/>
      </c>
      <c r="J531" t="str">
        <f>IF($A531&lt;&gt;"",'Approved-Enforcement'!I531,"")</f>
        <v/>
      </c>
      <c r="K531" t="str">
        <f>IF($A531&lt;&gt;"",'Approved-Enforcement'!J531,"")</f>
        <v/>
      </c>
      <c r="L531" t="str">
        <f>IF($A531&lt;&gt;"",'Approved-Enforcement'!K531,"")</f>
        <v/>
      </c>
      <c r="M531" t="str">
        <f>IF($A531&lt;&gt;"",'Approved-Enforcement'!L531,"")</f>
        <v/>
      </c>
      <c r="N531" t="str">
        <f>IF($A531&lt;&gt;"",'Approved-Enforcement'!M531,"")</f>
        <v/>
      </c>
      <c r="O531" t="str">
        <f>IF($A531&lt;&gt;"",'Approved-Enforcement'!N531,"")</f>
        <v/>
      </c>
      <c r="P531" t="str">
        <f>IF($A531&lt;&gt;"",'Approved-Enforcement'!O531,"")</f>
        <v/>
      </c>
    </row>
    <row r="532" spans="1:16" x14ac:dyDescent="0.35">
      <c r="A532" s="4" t="str">
        <f>IF('Approved-Enforcement'!$A532&lt;&gt;"",'Approved-Enforcement'!A532,"")</f>
        <v/>
      </c>
      <c r="B532" t="str">
        <f t="shared" si="8"/>
        <v/>
      </c>
      <c r="D532" t="str">
        <f>IF($A532&lt;&gt;"",IF($R532&lt;&gt;"",$R532,'Approved-Enforcement'!$B532+7),"")</f>
        <v/>
      </c>
      <c r="E532" t="str">
        <f>IF($A532&lt;&gt;"",'Approved-Enforcement'!D532,"")</f>
        <v/>
      </c>
      <c r="F532" t="str">
        <f>IF($A532&lt;&gt;"",'Approved-Enforcement'!E532,"")</f>
        <v/>
      </c>
      <c r="G532" t="str">
        <f>IF($A532&lt;&gt;"",'Approved-Enforcement'!F532,"")</f>
        <v/>
      </c>
      <c r="H532" t="str">
        <f>IF($A532&lt;&gt;"",'Approved-Enforcement'!G532,"")</f>
        <v/>
      </c>
      <c r="I532" t="str">
        <f>IF($A532&lt;&gt;"",'Approved-Enforcement'!H532,"")</f>
        <v/>
      </c>
      <c r="J532" t="str">
        <f>IF($A532&lt;&gt;"",'Approved-Enforcement'!I532,"")</f>
        <v/>
      </c>
      <c r="K532" t="str">
        <f>IF($A532&lt;&gt;"",'Approved-Enforcement'!J532,"")</f>
        <v/>
      </c>
      <c r="L532" t="str">
        <f>IF($A532&lt;&gt;"",'Approved-Enforcement'!K532,"")</f>
        <v/>
      </c>
      <c r="M532" t="str">
        <f>IF($A532&lt;&gt;"",'Approved-Enforcement'!L532,"")</f>
        <v/>
      </c>
      <c r="N532" t="str">
        <f>IF($A532&lt;&gt;"",'Approved-Enforcement'!M532,"")</f>
        <v/>
      </c>
      <c r="O532" t="str">
        <f>IF($A532&lt;&gt;"",'Approved-Enforcement'!N532,"")</f>
        <v/>
      </c>
      <c r="P532" t="str">
        <f>IF($A532&lt;&gt;"",'Approved-Enforcement'!O532,"")</f>
        <v/>
      </c>
    </row>
    <row r="533" spans="1:16" x14ac:dyDescent="0.35">
      <c r="A533" s="4" t="str">
        <f>IF('Approved-Enforcement'!$A533&lt;&gt;"",'Approved-Enforcement'!A533,"")</f>
        <v/>
      </c>
      <c r="B533" t="str">
        <f t="shared" si="8"/>
        <v/>
      </c>
      <c r="D533" t="str">
        <f>IF($A533&lt;&gt;"",IF($R533&lt;&gt;"",$R533,'Approved-Enforcement'!$B533+7),"")</f>
        <v/>
      </c>
      <c r="E533" t="str">
        <f>IF($A533&lt;&gt;"",'Approved-Enforcement'!D533,"")</f>
        <v/>
      </c>
      <c r="F533" t="str">
        <f>IF($A533&lt;&gt;"",'Approved-Enforcement'!E533,"")</f>
        <v/>
      </c>
      <c r="G533" t="str">
        <f>IF($A533&lt;&gt;"",'Approved-Enforcement'!F533,"")</f>
        <v/>
      </c>
      <c r="H533" t="str">
        <f>IF($A533&lt;&gt;"",'Approved-Enforcement'!G533,"")</f>
        <v/>
      </c>
      <c r="I533" t="str">
        <f>IF($A533&lt;&gt;"",'Approved-Enforcement'!H533,"")</f>
        <v/>
      </c>
      <c r="J533" t="str">
        <f>IF($A533&lt;&gt;"",'Approved-Enforcement'!I533,"")</f>
        <v/>
      </c>
      <c r="K533" t="str">
        <f>IF($A533&lt;&gt;"",'Approved-Enforcement'!J533,"")</f>
        <v/>
      </c>
      <c r="L533" t="str">
        <f>IF($A533&lt;&gt;"",'Approved-Enforcement'!K533,"")</f>
        <v/>
      </c>
      <c r="M533" t="str">
        <f>IF($A533&lt;&gt;"",'Approved-Enforcement'!L533,"")</f>
        <v/>
      </c>
      <c r="N533" t="str">
        <f>IF($A533&lt;&gt;"",'Approved-Enforcement'!M533,"")</f>
        <v/>
      </c>
      <c r="O533" t="str">
        <f>IF($A533&lt;&gt;"",'Approved-Enforcement'!N533,"")</f>
        <v/>
      </c>
      <c r="P533" t="str">
        <f>IF($A533&lt;&gt;"",'Approved-Enforcement'!O533,"")</f>
        <v/>
      </c>
    </row>
    <row r="534" spans="1:16" x14ac:dyDescent="0.35">
      <c r="A534" s="4" t="str">
        <f>IF('Approved-Enforcement'!$A534&lt;&gt;"",'Approved-Enforcement'!A534,"")</f>
        <v/>
      </c>
      <c r="B534" t="str">
        <f t="shared" si="8"/>
        <v/>
      </c>
      <c r="D534" t="str">
        <f>IF($A534&lt;&gt;"",IF($R534&lt;&gt;"",$R534,'Approved-Enforcement'!$B534+7),"")</f>
        <v/>
      </c>
      <c r="E534" t="str">
        <f>IF($A534&lt;&gt;"",'Approved-Enforcement'!D534,"")</f>
        <v/>
      </c>
      <c r="F534" t="str">
        <f>IF($A534&lt;&gt;"",'Approved-Enforcement'!E534,"")</f>
        <v/>
      </c>
      <c r="G534" t="str">
        <f>IF($A534&lt;&gt;"",'Approved-Enforcement'!F534,"")</f>
        <v/>
      </c>
      <c r="H534" t="str">
        <f>IF($A534&lt;&gt;"",'Approved-Enforcement'!G534,"")</f>
        <v/>
      </c>
      <c r="I534" t="str">
        <f>IF($A534&lt;&gt;"",'Approved-Enforcement'!H534,"")</f>
        <v/>
      </c>
      <c r="J534" t="str">
        <f>IF($A534&lt;&gt;"",'Approved-Enforcement'!I534,"")</f>
        <v/>
      </c>
      <c r="K534" t="str">
        <f>IF($A534&lt;&gt;"",'Approved-Enforcement'!J534,"")</f>
        <v/>
      </c>
      <c r="L534" t="str">
        <f>IF($A534&lt;&gt;"",'Approved-Enforcement'!K534,"")</f>
        <v/>
      </c>
      <c r="M534" t="str">
        <f>IF($A534&lt;&gt;"",'Approved-Enforcement'!L534,"")</f>
        <v/>
      </c>
      <c r="N534" t="str">
        <f>IF($A534&lt;&gt;"",'Approved-Enforcement'!M534,"")</f>
        <v/>
      </c>
      <c r="O534" t="str">
        <f>IF($A534&lt;&gt;"",'Approved-Enforcement'!N534,"")</f>
        <v/>
      </c>
      <c r="P534" t="str">
        <f>IF($A534&lt;&gt;"",'Approved-Enforcement'!O534,"")</f>
        <v/>
      </c>
    </row>
    <row r="535" spans="1:16" x14ac:dyDescent="0.35">
      <c r="A535" s="4" t="str">
        <f>IF('Approved-Enforcement'!$A535&lt;&gt;"",'Approved-Enforcement'!A535,"")</f>
        <v/>
      </c>
      <c r="B535" t="str">
        <f t="shared" si="8"/>
        <v/>
      </c>
      <c r="D535" t="str">
        <f>IF($A535&lt;&gt;"",IF($R535&lt;&gt;"",$R535,'Approved-Enforcement'!$B535+7),"")</f>
        <v/>
      </c>
      <c r="E535" t="str">
        <f>IF($A535&lt;&gt;"",'Approved-Enforcement'!D535,"")</f>
        <v/>
      </c>
      <c r="F535" t="str">
        <f>IF($A535&lt;&gt;"",'Approved-Enforcement'!E535,"")</f>
        <v/>
      </c>
      <c r="G535" t="str">
        <f>IF($A535&lt;&gt;"",'Approved-Enforcement'!F535,"")</f>
        <v/>
      </c>
      <c r="H535" t="str">
        <f>IF($A535&lt;&gt;"",'Approved-Enforcement'!G535,"")</f>
        <v/>
      </c>
      <c r="I535" t="str">
        <f>IF($A535&lt;&gt;"",'Approved-Enforcement'!H535,"")</f>
        <v/>
      </c>
      <c r="J535" t="str">
        <f>IF($A535&lt;&gt;"",'Approved-Enforcement'!I535,"")</f>
        <v/>
      </c>
      <c r="K535" t="str">
        <f>IF($A535&lt;&gt;"",'Approved-Enforcement'!J535,"")</f>
        <v/>
      </c>
      <c r="L535" t="str">
        <f>IF($A535&lt;&gt;"",'Approved-Enforcement'!K535,"")</f>
        <v/>
      </c>
      <c r="M535" t="str">
        <f>IF($A535&lt;&gt;"",'Approved-Enforcement'!L535,"")</f>
        <v/>
      </c>
      <c r="N535" t="str">
        <f>IF($A535&lt;&gt;"",'Approved-Enforcement'!M535,"")</f>
        <v/>
      </c>
      <c r="O535" t="str">
        <f>IF($A535&lt;&gt;"",'Approved-Enforcement'!N535,"")</f>
        <v/>
      </c>
      <c r="P535" t="str">
        <f>IF($A535&lt;&gt;"",'Approved-Enforcement'!O535,"")</f>
        <v/>
      </c>
    </row>
    <row r="536" spans="1:16" x14ac:dyDescent="0.35">
      <c r="A536" s="4" t="str">
        <f>IF('Approved-Enforcement'!$A536&lt;&gt;"",'Approved-Enforcement'!A536,"")</f>
        <v/>
      </c>
      <c r="B536" t="str">
        <f t="shared" si="8"/>
        <v/>
      </c>
      <c r="D536" t="str">
        <f>IF($A536&lt;&gt;"",IF($R536&lt;&gt;"",$R536,'Approved-Enforcement'!$B536+7),"")</f>
        <v/>
      </c>
      <c r="E536" t="str">
        <f>IF($A536&lt;&gt;"",'Approved-Enforcement'!D536,"")</f>
        <v/>
      </c>
      <c r="F536" t="str">
        <f>IF($A536&lt;&gt;"",'Approved-Enforcement'!E536,"")</f>
        <v/>
      </c>
      <c r="G536" t="str">
        <f>IF($A536&lt;&gt;"",'Approved-Enforcement'!F536,"")</f>
        <v/>
      </c>
      <c r="H536" t="str">
        <f>IF($A536&lt;&gt;"",'Approved-Enforcement'!G536,"")</f>
        <v/>
      </c>
      <c r="I536" t="str">
        <f>IF($A536&lt;&gt;"",'Approved-Enforcement'!H536,"")</f>
        <v/>
      </c>
      <c r="J536" t="str">
        <f>IF($A536&lt;&gt;"",'Approved-Enforcement'!I536,"")</f>
        <v/>
      </c>
      <c r="K536" t="str">
        <f>IF($A536&lt;&gt;"",'Approved-Enforcement'!J536,"")</f>
        <v/>
      </c>
      <c r="L536" t="str">
        <f>IF($A536&lt;&gt;"",'Approved-Enforcement'!K536,"")</f>
        <v/>
      </c>
      <c r="M536" t="str">
        <f>IF($A536&lt;&gt;"",'Approved-Enforcement'!L536,"")</f>
        <v/>
      </c>
      <c r="N536" t="str">
        <f>IF($A536&lt;&gt;"",'Approved-Enforcement'!M536,"")</f>
        <v/>
      </c>
      <c r="O536" t="str">
        <f>IF($A536&lt;&gt;"",'Approved-Enforcement'!N536,"")</f>
        <v/>
      </c>
      <c r="P536" t="str">
        <f>IF($A536&lt;&gt;"",'Approved-Enforcement'!O536,"")</f>
        <v/>
      </c>
    </row>
    <row r="537" spans="1:16" x14ac:dyDescent="0.35">
      <c r="A537" s="4" t="str">
        <f>IF('Approved-Enforcement'!$A537&lt;&gt;"",'Approved-Enforcement'!A537,"")</f>
        <v/>
      </c>
      <c r="B537" t="str">
        <f t="shared" si="8"/>
        <v/>
      </c>
      <c r="D537" t="str">
        <f>IF($A537&lt;&gt;"",IF($R537&lt;&gt;"",$R537,'Approved-Enforcement'!$B537+7),"")</f>
        <v/>
      </c>
      <c r="E537" t="str">
        <f>IF($A537&lt;&gt;"",'Approved-Enforcement'!D537,"")</f>
        <v/>
      </c>
      <c r="F537" t="str">
        <f>IF($A537&lt;&gt;"",'Approved-Enforcement'!E537,"")</f>
        <v/>
      </c>
      <c r="G537" t="str">
        <f>IF($A537&lt;&gt;"",'Approved-Enforcement'!F537,"")</f>
        <v/>
      </c>
      <c r="H537" t="str">
        <f>IF($A537&lt;&gt;"",'Approved-Enforcement'!G537,"")</f>
        <v/>
      </c>
      <c r="I537" t="str">
        <f>IF($A537&lt;&gt;"",'Approved-Enforcement'!H537,"")</f>
        <v/>
      </c>
      <c r="J537" t="str">
        <f>IF($A537&lt;&gt;"",'Approved-Enforcement'!I537,"")</f>
        <v/>
      </c>
      <c r="K537" t="str">
        <f>IF($A537&lt;&gt;"",'Approved-Enforcement'!J537,"")</f>
        <v/>
      </c>
      <c r="L537" t="str">
        <f>IF($A537&lt;&gt;"",'Approved-Enforcement'!K537,"")</f>
        <v/>
      </c>
      <c r="M537" t="str">
        <f>IF($A537&lt;&gt;"",'Approved-Enforcement'!L537,"")</f>
        <v/>
      </c>
      <c r="N537" t="str">
        <f>IF($A537&lt;&gt;"",'Approved-Enforcement'!M537,"")</f>
        <v/>
      </c>
      <c r="O537" t="str">
        <f>IF($A537&lt;&gt;"",'Approved-Enforcement'!N537,"")</f>
        <v/>
      </c>
      <c r="P537" t="str">
        <f>IF($A537&lt;&gt;"",'Approved-Enforcement'!O537,"")</f>
        <v/>
      </c>
    </row>
    <row r="538" spans="1:16" x14ac:dyDescent="0.35">
      <c r="A538" s="4" t="str">
        <f>IF('Approved-Enforcement'!$A538&lt;&gt;"",'Approved-Enforcement'!A538,"")</f>
        <v/>
      </c>
      <c r="B538" t="str">
        <f t="shared" si="8"/>
        <v/>
      </c>
      <c r="D538" t="str">
        <f>IF($A538&lt;&gt;"",IF($R538&lt;&gt;"",$R538,'Approved-Enforcement'!$B538+7),"")</f>
        <v/>
      </c>
      <c r="E538" t="str">
        <f>IF($A538&lt;&gt;"",'Approved-Enforcement'!D538,"")</f>
        <v/>
      </c>
      <c r="F538" t="str">
        <f>IF($A538&lt;&gt;"",'Approved-Enforcement'!E538,"")</f>
        <v/>
      </c>
      <c r="G538" t="str">
        <f>IF($A538&lt;&gt;"",'Approved-Enforcement'!F538,"")</f>
        <v/>
      </c>
      <c r="H538" t="str">
        <f>IF($A538&lt;&gt;"",'Approved-Enforcement'!G538,"")</f>
        <v/>
      </c>
      <c r="I538" t="str">
        <f>IF($A538&lt;&gt;"",'Approved-Enforcement'!H538,"")</f>
        <v/>
      </c>
      <c r="J538" t="str">
        <f>IF($A538&lt;&gt;"",'Approved-Enforcement'!I538,"")</f>
        <v/>
      </c>
      <c r="K538" t="str">
        <f>IF($A538&lt;&gt;"",'Approved-Enforcement'!J538,"")</f>
        <v/>
      </c>
      <c r="L538" t="str">
        <f>IF($A538&lt;&gt;"",'Approved-Enforcement'!K538,"")</f>
        <v/>
      </c>
      <c r="M538" t="str">
        <f>IF($A538&lt;&gt;"",'Approved-Enforcement'!L538,"")</f>
        <v/>
      </c>
      <c r="N538" t="str">
        <f>IF($A538&lt;&gt;"",'Approved-Enforcement'!M538,"")</f>
        <v/>
      </c>
      <c r="O538" t="str">
        <f>IF($A538&lt;&gt;"",'Approved-Enforcement'!N538,"")</f>
        <v/>
      </c>
      <c r="P538" t="str">
        <f>IF($A538&lt;&gt;"",'Approved-Enforcement'!O538,"")</f>
        <v/>
      </c>
    </row>
    <row r="539" spans="1:16" x14ac:dyDescent="0.35">
      <c r="A539" s="4" t="str">
        <f>IF('Approved-Enforcement'!$A539&lt;&gt;"",'Approved-Enforcement'!A539,"")</f>
        <v/>
      </c>
      <c r="B539" t="str">
        <f t="shared" si="8"/>
        <v/>
      </c>
      <c r="D539" t="str">
        <f>IF($A539&lt;&gt;"",IF($R539&lt;&gt;"",$R539,'Approved-Enforcement'!$B539+7),"")</f>
        <v/>
      </c>
      <c r="E539" t="str">
        <f>IF($A539&lt;&gt;"",'Approved-Enforcement'!D539,"")</f>
        <v/>
      </c>
      <c r="F539" t="str">
        <f>IF($A539&lt;&gt;"",'Approved-Enforcement'!E539,"")</f>
        <v/>
      </c>
      <c r="G539" t="str">
        <f>IF($A539&lt;&gt;"",'Approved-Enforcement'!F539,"")</f>
        <v/>
      </c>
      <c r="H539" t="str">
        <f>IF($A539&lt;&gt;"",'Approved-Enforcement'!G539,"")</f>
        <v/>
      </c>
      <c r="I539" t="str">
        <f>IF($A539&lt;&gt;"",'Approved-Enforcement'!H539,"")</f>
        <v/>
      </c>
      <c r="J539" t="str">
        <f>IF($A539&lt;&gt;"",'Approved-Enforcement'!I539,"")</f>
        <v/>
      </c>
      <c r="K539" t="str">
        <f>IF($A539&lt;&gt;"",'Approved-Enforcement'!J539,"")</f>
        <v/>
      </c>
      <c r="L539" t="str">
        <f>IF($A539&lt;&gt;"",'Approved-Enforcement'!K539,"")</f>
        <v/>
      </c>
      <c r="M539" t="str">
        <f>IF($A539&lt;&gt;"",'Approved-Enforcement'!L539,"")</f>
        <v/>
      </c>
      <c r="N539" t="str">
        <f>IF($A539&lt;&gt;"",'Approved-Enforcement'!M539,"")</f>
        <v/>
      </c>
      <c r="O539" t="str">
        <f>IF($A539&lt;&gt;"",'Approved-Enforcement'!N539,"")</f>
        <v/>
      </c>
      <c r="P539" t="str">
        <f>IF($A539&lt;&gt;"",'Approved-Enforcement'!O539,"")</f>
        <v/>
      </c>
    </row>
    <row r="540" spans="1:16" x14ac:dyDescent="0.35">
      <c r="A540" s="4" t="str">
        <f>IF('Approved-Enforcement'!$A540&lt;&gt;"",'Approved-Enforcement'!A540,"")</f>
        <v/>
      </c>
      <c r="B540" t="str">
        <f t="shared" si="8"/>
        <v/>
      </c>
      <c r="D540" t="str">
        <f>IF($A540&lt;&gt;"",IF($R540&lt;&gt;"",$R540,'Approved-Enforcement'!$B540+7),"")</f>
        <v/>
      </c>
      <c r="E540" t="str">
        <f>IF($A540&lt;&gt;"",'Approved-Enforcement'!D540,"")</f>
        <v/>
      </c>
      <c r="F540" t="str">
        <f>IF($A540&lt;&gt;"",'Approved-Enforcement'!E540,"")</f>
        <v/>
      </c>
      <c r="G540" t="str">
        <f>IF($A540&lt;&gt;"",'Approved-Enforcement'!F540,"")</f>
        <v/>
      </c>
      <c r="H540" t="str">
        <f>IF($A540&lt;&gt;"",'Approved-Enforcement'!G540,"")</f>
        <v/>
      </c>
      <c r="I540" t="str">
        <f>IF($A540&lt;&gt;"",'Approved-Enforcement'!H540,"")</f>
        <v/>
      </c>
      <c r="J540" t="str">
        <f>IF($A540&lt;&gt;"",'Approved-Enforcement'!I540,"")</f>
        <v/>
      </c>
      <c r="K540" t="str">
        <f>IF($A540&lt;&gt;"",'Approved-Enforcement'!J540,"")</f>
        <v/>
      </c>
      <c r="L540" t="str">
        <f>IF($A540&lt;&gt;"",'Approved-Enforcement'!K540,"")</f>
        <v/>
      </c>
      <c r="M540" t="str">
        <f>IF($A540&lt;&gt;"",'Approved-Enforcement'!L540,"")</f>
        <v/>
      </c>
      <c r="N540" t="str">
        <f>IF($A540&lt;&gt;"",'Approved-Enforcement'!M540,"")</f>
        <v/>
      </c>
      <c r="O540" t="str">
        <f>IF($A540&lt;&gt;"",'Approved-Enforcement'!N540,"")</f>
        <v/>
      </c>
      <c r="P540" t="str">
        <f>IF($A540&lt;&gt;"",'Approved-Enforcement'!O540,"")</f>
        <v/>
      </c>
    </row>
    <row r="541" spans="1:16" x14ac:dyDescent="0.35">
      <c r="A541" s="4" t="str">
        <f>IF('Approved-Enforcement'!$A541&lt;&gt;"",'Approved-Enforcement'!A541,"")</f>
        <v/>
      </c>
      <c r="B541" t="str">
        <f t="shared" si="8"/>
        <v/>
      </c>
      <c r="D541" t="str">
        <f>IF($A541&lt;&gt;"",IF($R541&lt;&gt;"",$R541,'Approved-Enforcement'!$B541+7),"")</f>
        <v/>
      </c>
      <c r="E541" t="str">
        <f>IF($A541&lt;&gt;"",'Approved-Enforcement'!D541,"")</f>
        <v/>
      </c>
      <c r="F541" t="str">
        <f>IF($A541&lt;&gt;"",'Approved-Enforcement'!E541,"")</f>
        <v/>
      </c>
      <c r="G541" t="str">
        <f>IF($A541&lt;&gt;"",'Approved-Enforcement'!F541,"")</f>
        <v/>
      </c>
      <c r="H541" t="str">
        <f>IF($A541&lt;&gt;"",'Approved-Enforcement'!G541,"")</f>
        <v/>
      </c>
      <c r="I541" t="str">
        <f>IF($A541&lt;&gt;"",'Approved-Enforcement'!H541,"")</f>
        <v/>
      </c>
      <c r="J541" t="str">
        <f>IF($A541&lt;&gt;"",'Approved-Enforcement'!I541,"")</f>
        <v/>
      </c>
      <c r="K541" t="str">
        <f>IF($A541&lt;&gt;"",'Approved-Enforcement'!J541,"")</f>
        <v/>
      </c>
      <c r="L541" t="str">
        <f>IF($A541&lt;&gt;"",'Approved-Enforcement'!K541,"")</f>
        <v/>
      </c>
      <c r="M541" t="str">
        <f>IF($A541&lt;&gt;"",'Approved-Enforcement'!L541,"")</f>
        <v/>
      </c>
      <c r="N541" t="str">
        <f>IF($A541&lt;&gt;"",'Approved-Enforcement'!M541,"")</f>
        <v/>
      </c>
      <c r="O541" t="str">
        <f>IF($A541&lt;&gt;"",'Approved-Enforcement'!N541,"")</f>
        <v/>
      </c>
      <c r="P541" t="str">
        <f>IF($A541&lt;&gt;"",'Approved-Enforcement'!O541,"")</f>
        <v/>
      </c>
    </row>
    <row r="542" spans="1:16" x14ac:dyDescent="0.35">
      <c r="A542" s="4" t="str">
        <f>IF('Approved-Enforcement'!$A542&lt;&gt;"",'Approved-Enforcement'!A542,"")</f>
        <v/>
      </c>
      <c r="B542" t="str">
        <f t="shared" si="8"/>
        <v/>
      </c>
      <c r="D542" t="str">
        <f>IF($A542&lt;&gt;"",IF($R542&lt;&gt;"",$R542,'Approved-Enforcement'!$B542+7),"")</f>
        <v/>
      </c>
      <c r="E542" t="str">
        <f>IF($A542&lt;&gt;"",'Approved-Enforcement'!D542,"")</f>
        <v/>
      </c>
      <c r="F542" t="str">
        <f>IF($A542&lt;&gt;"",'Approved-Enforcement'!E542,"")</f>
        <v/>
      </c>
      <c r="G542" t="str">
        <f>IF($A542&lt;&gt;"",'Approved-Enforcement'!F542,"")</f>
        <v/>
      </c>
      <c r="H542" t="str">
        <f>IF($A542&lt;&gt;"",'Approved-Enforcement'!G542,"")</f>
        <v/>
      </c>
      <c r="I542" t="str">
        <f>IF($A542&lt;&gt;"",'Approved-Enforcement'!H542,"")</f>
        <v/>
      </c>
      <c r="J542" t="str">
        <f>IF($A542&lt;&gt;"",'Approved-Enforcement'!I542,"")</f>
        <v/>
      </c>
      <c r="K542" t="str">
        <f>IF($A542&lt;&gt;"",'Approved-Enforcement'!J542,"")</f>
        <v/>
      </c>
      <c r="L542" t="str">
        <f>IF($A542&lt;&gt;"",'Approved-Enforcement'!K542,"")</f>
        <v/>
      </c>
      <c r="M542" t="str">
        <f>IF($A542&lt;&gt;"",'Approved-Enforcement'!L542,"")</f>
        <v/>
      </c>
      <c r="N542" t="str">
        <f>IF($A542&lt;&gt;"",'Approved-Enforcement'!M542,"")</f>
        <v/>
      </c>
      <c r="O542" t="str">
        <f>IF($A542&lt;&gt;"",'Approved-Enforcement'!N542,"")</f>
        <v/>
      </c>
      <c r="P542" t="str">
        <f>IF($A542&lt;&gt;"",'Approved-Enforcement'!O542,"")</f>
        <v/>
      </c>
    </row>
    <row r="543" spans="1:16" x14ac:dyDescent="0.35">
      <c r="A543" s="4" t="str">
        <f>IF('Approved-Enforcement'!$A543&lt;&gt;"",'Approved-Enforcement'!A543,"")</f>
        <v/>
      </c>
      <c r="B543" t="str">
        <f t="shared" si="8"/>
        <v/>
      </c>
      <c r="D543" t="str">
        <f>IF($A543&lt;&gt;"",IF($R543&lt;&gt;"",$R543,'Approved-Enforcement'!$B543+7),"")</f>
        <v/>
      </c>
      <c r="E543" t="str">
        <f>IF($A543&lt;&gt;"",'Approved-Enforcement'!D543,"")</f>
        <v/>
      </c>
      <c r="F543" t="str">
        <f>IF($A543&lt;&gt;"",'Approved-Enforcement'!E543,"")</f>
        <v/>
      </c>
      <c r="G543" t="str">
        <f>IF($A543&lt;&gt;"",'Approved-Enforcement'!F543,"")</f>
        <v/>
      </c>
      <c r="H543" t="str">
        <f>IF($A543&lt;&gt;"",'Approved-Enforcement'!G543,"")</f>
        <v/>
      </c>
      <c r="I543" t="str">
        <f>IF($A543&lt;&gt;"",'Approved-Enforcement'!H543,"")</f>
        <v/>
      </c>
      <c r="J543" t="str">
        <f>IF($A543&lt;&gt;"",'Approved-Enforcement'!I543,"")</f>
        <v/>
      </c>
      <c r="K543" t="str">
        <f>IF($A543&lt;&gt;"",'Approved-Enforcement'!J543,"")</f>
        <v/>
      </c>
      <c r="L543" t="str">
        <f>IF($A543&lt;&gt;"",'Approved-Enforcement'!K543,"")</f>
        <v/>
      </c>
      <c r="M543" t="str">
        <f>IF($A543&lt;&gt;"",'Approved-Enforcement'!L543,"")</f>
        <v/>
      </c>
      <c r="N543" t="str">
        <f>IF($A543&lt;&gt;"",'Approved-Enforcement'!M543,"")</f>
        <v/>
      </c>
      <c r="O543" t="str">
        <f>IF($A543&lt;&gt;"",'Approved-Enforcement'!N543,"")</f>
        <v/>
      </c>
      <c r="P543" t="str">
        <f>IF($A543&lt;&gt;"",'Approved-Enforcement'!O543,"")</f>
        <v/>
      </c>
    </row>
    <row r="544" spans="1:16" x14ac:dyDescent="0.35">
      <c r="A544" s="4" t="str">
        <f>IF('Approved-Enforcement'!$A544&lt;&gt;"",'Approved-Enforcement'!A544,"")</f>
        <v/>
      </c>
      <c r="B544" t="str">
        <f t="shared" si="8"/>
        <v/>
      </c>
      <c r="D544" t="str">
        <f>IF($A544&lt;&gt;"",IF($R544&lt;&gt;"",$R544,'Approved-Enforcement'!$B544+7),"")</f>
        <v/>
      </c>
      <c r="E544" t="str">
        <f>IF($A544&lt;&gt;"",'Approved-Enforcement'!D544,"")</f>
        <v/>
      </c>
      <c r="F544" t="str">
        <f>IF($A544&lt;&gt;"",'Approved-Enforcement'!E544,"")</f>
        <v/>
      </c>
      <c r="G544" t="str">
        <f>IF($A544&lt;&gt;"",'Approved-Enforcement'!F544,"")</f>
        <v/>
      </c>
      <c r="H544" t="str">
        <f>IF($A544&lt;&gt;"",'Approved-Enforcement'!G544,"")</f>
        <v/>
      </c>
      <c r="I544" t="str">
        <f>IF($A544&lt;&gt;"",'Approved-Enforcement'!H544,"")</f>
        <v/>
      </c>
      <c r="J544" t="str">
        <f>IF($A544&lt;&gt;"",'Approved-Enforcement'!I544,"")</f>
        <v/>
      </c>
      <c r="K544" t="str">
        <f>IF($A544&lt;&gt;"",'Approved-Enforcement'!J544,"")</f>
        <v/>
      </c>
      <c r="L544" t="str">
        <f>IF($A544&lt;&gt;"",'Approved-Enforcement'!K544,"")</f>
        <v/>
      </c>
      <c r="M544" t="str">
        <f>IF($A544&lt;&gt;"",'Approved-Enforcement'!L544,"")</f>
        <v/>
      </c>
      <c r="N544" t="str">
        <f>IF($A544&lt;&gt;"",'Approved-Enforcement'!M544,"")</f>
        <v/>
      </c>
      <c r="O544" t="str">
        <f>IF($A544&lt;&gt;"",'Approved-Enforcement'!N544,"")</f>
        <v/>
      </c>
      <c r="P544" t="str">
        <f>IF($A544&lt;&gt;"",'Approved-Enforcement'!O544,"")</f>
        <v/>
      </c>
    </row>
    <row r="545" spans="1:16" x14ac:dyDescent="0.35">
      <c r="A545" s="4" t="str">
        <f>IF('Approved-Enforcement'!$A545&lt;&gt;"",'Approved-Enforcement'!A545,"")</f>
        <v/>
      </c>
      <c r="B545" t="str">
        <f t="shared" si="8"/>
        <v/>
      </c>
      <c r="D545" t="str">
        <f>IF($A545&lt;&gt;"",IF($R545&lt;&gt;"",$R545,'Approved-Enforcement'!$B545+7),"")</f>
        <v/>
      </c>
      <c r="E545" t="str">
        <f>IF($A545&lt;&gt;"",'Approved-Enforcement'!D545,"")</f>
        <v/>
      </c>
      <c r="F545" t="str">
        <f>IF($A545&lt;&gt;"",'Approved-Enforcement'!E545,"")</f>
        <v/>
      </c>
      <c r="G545" t="str">
        <f>IF($A545&lt;&gt;"",'Approved-Enforcement'!F545,"")</f>
        <v/>
      </c>
      <c r="H545" t="str">
        <f>IF($A545&lt;&gt;"",'Approved-Enforcement'!G545,"")</f>
        <v/>
      </c>
      <c r="I545" t="str">
        <f>IF($A545&lt;&gt;"",'Approved-Enforcement'!H545,"")</f>
        <v/>
      </c>
      <c r="J545" t="str">
        <f>IF($A545&lt;&gt;"",'Approved-Enforcement'!I545,"")</f>
        <v/>
      </c>
      <c r="K545" t="str">
        <f>IF($A545&lt;&gt;"",'Approved-Enforcement'!J545,"")</f>
        <v/>
      </c>
      <c r="L545" t="str">
        <f>IF($A545&lt;&gt;"",'Approved-Enforcement'!K545,"")</f>
        <v/>
      </c>
      <c r="M545" t="str">
        <f>IF($A545&lt;&gt;"",'Approved-Enforcement'!L545,"")</f>
        <v/>
      </c>
      <c r="N545" t="str">
        <f>IF($A545&lt;&gt;"",'Approved-Enforcement'!M545,"")</f>
        <v/>
      </c>
      <c r="O545" t="str">
        <f>IF($A545&lt;&gt;"",'Approved-Enforcement'!N545,"")</f>
        <v/>
      </c>
      <c r="P545" t="str">
        <f>IF($A545&lt;&gt;"",'Approved-Enforcement'!O545,"")</f>
        <v/>
      </c>
    </row>
    <row r="546" spans="1:16" x14ac:dyDescent="0.35">
      <c r="A546" s="4" t="str">
        <f>IF('Approved-Enforcement'!$A546&lt;&gt;"",'Approved-Enforcement'!A546,"")</f>
        <v/>
      </c>
      <c r="B546" t="str">
        <f t="shared" si="8"/>
        <v/>
      </c>
      <c r="D546" t="str">
        <f>IF($A546&lt;&gt;"",IF($R546&lt;&gt;"",$R546,'Approved-Enforcement'!$B546+7),"")</f>
        <v/>
      </c>
      <c r="E546" t="str">
        <f>IF($A546&lt;&gt;"",'Approved-Enforcement'!D546,"")</f>
        <v/>
      </c>
      <c r="F546" t="str">
        <f>IF($A546&lt;&gt;"",'Approved-Enforcement'!E546,"")</f>
        <v/>
      </c>
      <c r="G546" t="str">
        <f>IF($A546&lt;&gt;"",'Approved-Enforcement'!F546,"")</f>
        <v/>
      </c>
      <c r="H546" t="str">
        <f>IF($A546&lt;&gt;"",'Approved-Enforcement'!G546,"")</f>
        <v/>
      </c>
      <c r="I546" t="str">
        <f>IF($A546&lt;&gt;"",'Approved-Enforcement'!H546,"")</f>
        <v/>
      </c>
      <c r="J546" t="str">
        <f>IF($A546&lt;&gt;"",'Approved-Enforcement'!I546,"")</f>
        <v/>
      </c>
      <c r="K546" t="str">
        <f>IF($A546&lt;&gt;"",'Approved-Enforcement'!J546,"")</f>
        <v/>
      </c>
      <c r="L546" t="str">
        <f>IF($A546&lt;&gt;"",'Approved-Enforcement'!K546,"")</f>
        <v/>
      </c>
      <c r="M546" t="str">
        <f>IF($A546&lt;&gt;"",'Approved-Enforcement'!L546,"")</f>
        <v/>
      </c>
      <c r="N546" t="str">
        <f>IF($A546&lt;&gt;"",'Approved-Enforcement'!M546,"")</f>
        <v/>
      </c>
      <c r="O546" t="str">
        <f>IF($A546&lt;&gt;"",'Approved-Enforcement'!N546,"")</f>
        <v/>
      </c>
      <c r="P546" t="str">
        <f>IF($A546&lt;&gt;"",'Approved-Enforcement'!O546,"")</f>
        <v/>
      </c>
    </row>
    <row r="547" spans="1:16" x14ac:dyDescent="0.35">
      <c r="A547" s="4" t="str">
        <f>IF('Approved-Enforcement'!$A547&lt;&gt;"",'Approved-Enforcement'!A547,"")</f>
        <v/>
      </c>
      <c r="B547" t="str">
        <f t="shared" si="8"/>
        <v/>
      </c>
      <c r="D547" t="str">
        <f>IF($A547&lt;&gt;"",IF($R547&lt;&gt;"",$R547,'Approved-Enforcement'!$B547+7),"")</f>
        <v/>
      </c>
      <c r="E547" t="str">
        <f>IF($A547&lt;&gt;"",'Approved-Enforcement'!D547,"")</f>
        <v/>
      </c>
      <c r="F547" t="str">
        <f>IF($A547&lt;&gt;"",'Approved-Enforcement'!E547,"")</f>
        <v/>
      </c>
      <c r="G547" t="str">
        <f>IF($A547&lt;&gt;"",'Approved-Enforcement'!F547,"")</f>
        <v/>
      </c>
      <c r="H547" t="str">
        <f>IF($A547&lt;&gt;"",'Approved-Enforcement'!G547,"")</f>
        <v/>
      </c>
      <c r="I547" t="str">
        <f>IF($A547&lt;&gt;"",'Approved-Enforcement'!H547,"")</f>
        <v/>
      </c>
      <c r="J547" t="str">
        <f>IF($A547&lt;&gt;"",'Approved-Enforcement'!I547,"")</f>
        <v/>
      </c>
      <c r="K547" t="str">
        <f>IF($A547&lt;&gt;"",'Approved-Enforcement'!J547,"")</f>
        <v/>
      </c>
      <c r="L547" t="str">
        <f>IF($A547&lt;&gt;"",'Approved-Enforcement'!K547,"")</f>
        <v/>
      </c>
      <c r="M547" t="str">
        <f>IF($A547&lt;&gt;"",'Approved-Enforcement'!L547,"")</f>
        <v/>
      </c>
      <c r="N547" t="str">
        <f>IF($A547&lt;&gt;"",'Approved-Enforcement'!M547,"")</f>
        <v/>
      </c>
      <c r="O547" t="str">
        <f>IF($A547&lt;&gt;"",'Approved-Enforcement'!N547,"")</f>
        <v/>
      </c>
      <c r="P547" t="str">
        <f>IF($A547&lt;&gt;"",'Approved-Enforcement'!O547,"")</f>
        <v/>
      </c>
    </row>
    <row r="548" spans="1:16" x14ac:dyDescent="0.35">
      <c r="A548" s="4" t="str">
        <f>IF('Approved-Enforcement'!$A548&lt;&gt;"",'Approved-Enforcement'!A548,"")</f>
        <v/>
      </c>
      <c r="B548" t="str">
        <f t="shared" si="8"/>
        <v/>
      </c>
      <c r="D548" t="str">
        <f>IF($A548&lt;&gt;"",IF($R548&lt;&gt;"",$R548,'Approved-Enforcement'!$B548+7),"")</f>
        <v/>
      </c>
      <c r="E548" t="str">
        <f>IF($A548&lt;&gt;"",'Approved-Enforcement'!D548,"")</f>
        <v/>
      </c>
      <c r="F548" t="str">
        <f>IF($A548&lt;&gt;"",'Approved-Enforcement'!E548,"")</f>
        <v/>
      </c>
      <c r="G548" t="str">
        <f>IF($A548&lt;&gt;"",'Approved-Enforcement'!F548,"")</f>
        <v/>
      </c>
      <c r="H548" t="str">
        <f>IF($A548&lt;&gt;"",'Approved-Enforcement'!G548,"")</f>
        <v/>
      </c>
      <c r="I548" t="str">
        <f>IF($A548&lt;&gt;"",'Approved-Enforcement'!H548,"")</f>
        <v/>
      </c>
      <c r="J548" t="str">
        <f>IF($A548&lt;&gt;"",'Approved-Enforcement'!I548,"")</f>
        <v/>
      </c>
      <c r="K548" t="str">
        <f>IF($A548&lt;&gt;"",'Approved-Enforcement'!J548,"")</f>
        <v/>
      </c>
      <c r="L548" t="str">
        <f>IF($A548&lt;&gt;"",'Approved-Enforcement'!K548,"")</f>
        <v/>
      </c>
      <c r="M548" t="str">
        <f>IF($A548&lt;&gt;"",'Approved-Enforcement'!L548,"")</f>
        <v/>
      </c>
      <c r="N548" t="str">
        <f>IF($A548&lt;&gt;"",'Approved-Enforcement'!M548,"")</f>
        <v/>
      </c>
      <c r="O548" t="str">
        <f>IF($A548&lt;&gt;"",'Approved-Enforcement'!N548,"")</f>
        <v/>
      </c>
      <c r="P548" t="str">
        <f>IF($A548&lt;&gt;"",'Approved-Enforcement'!O548,"")</f>
        <v/>
      </c>
    </row>
    <row r="549" spans="1:16" x14ac:dyDescent="0.35">
      <c r="A549" s="4" t="str">
        <f>IF('Approved-Enforcement'!$A549&lt;&gt;"",'Approved-Enforcement'!A549,"")</f>
        <v/>
      </c>
      <c r="B549" t="str">
        <f t="shared" si="8"/>
        <v/>
      </c>
      <c r="D549" t="str">
        <f>IF($A549&lt;&gt;"",IF($R549&lt;&gt;"",$R549,'Approved-Enforcement'!$B549+7),"")</f>
        <v/>
      </c>
      <c r="E549" t="str">
        <f>IF($A549&lt;&gt;"",'Approved-Enforcement'!D549,"")</f>
        <v/>
      </c>
      <c r="F549" t="str">
        <f>IF($A549&lt;&gt;"",'Approved-Enforcement'!E549,"")</f>
        <v/>
      </c>
      <c r="G549" t="str">
        <f>IF($A549&lt;&gt;"",'Approved-Enforcement'!F549,"")</f>
        <v/>
      </c>
      <c r="H549" t="str">
        <f>IF($A549&lt;&gt;"",'Approved-Enforcement'!G549,"")</f>
        <v/>
      </c>
      <c r="I549" t="str">
        <f>IF($A549&lt;&gt;"",'Approved-Enforcement'!H549,"")</f>
        <v/>
      </c>
      <c r="J549" t="str">
        <f>IF($A549&lt;&gt;"",'Approved-Enforcement'!I549,"")</f>
        <v/>
      </c>
      <c r="K549" t="str">
        <f>IF($A549&lt;&gt;"",'Approved-Enforcement'!J549,"")</f>
        <v/>
      </c>
      <c r="L549" t="str">
        <f>IF($A549&lt;&gt;"",'Approved-Enforcement'!K549,"")</f>
        <v/>
      </c>
      <c r="M549" t="str">
        <f>IF($A549&lt;&gt;"",'Approved-Enforcement'!L549,"")</f>
        <v/>
      </c>
      <c r="N549" t="str">
        <f>IF($A549&lt;&gt;"",'Approved-Enforcement'!M549,"")</f>
        <v/>
      </c>
      <c r="O549" t="str">
        <f>IF($A549&lt;&gt;"",'Approved-Enforcement'!N549,"")</f>
        <v/>
      </c>
      <c r="P549" t="str">
        <f>IF($A549&lt;&gt;"",'Approved-Enforcement'!O549,"")</f>
        <v/>
      </c>
    </row>
    <row r="550" spans="1:16" x14ac:dyDescent="0.35">
      <c r="A550" s="4" t="str">
        <f>IF('Approved-Enforcement'!$A550&lt;&gt;"",'Approved-Enforcement'!A550,"")</f>
        <v/>
      </c>
      <c r="B550" t="str">
        <f t="shared" si="8"/>
        <v/>
      </c>
      <c r="D550" t="str">
        <f>IF($A550&lt;&gt;"",IF($R550&lt;&gt;"",$R550,'Approved-Enforcement'!$B550+7),"")</f>
        <v/>
      </c>
      <c r="E550" t="str">
        <f>IF($A550&lt;&gt;"",'Approved-Enforcement'!D550,"")</f>
        <v/>
      </c>
      <c r="F550" t="str">
        <f>IF($A550&lt;&gt;"",'Approved-Enforcement'!E550,"")</f>
        <v/>
      </c>
      <c r="G550" t="str">
        <f>IF($A550&lt;&gt;"",'Approved-Enforcement'!F550,"")</f>
        <v/>
      </c>
      <c r="H550" t="str">
        <f>IF($A550&lt;&gt;"",'Approved-Enforcement'!G550,"")</f>
        <v/>
      </c>
      <c r="I550" t="str">
        <f>IF($A550&lt;&gt;"",'Approved-Enforcement'!H550,"")</f>
        <v/>
      </c>
      <c r="J550" t="str">
        <f>IF($A550&lt;&gt;"",'Approved-Enforcement'!I550,"")</f>
        <v/>
      </c>
      <c r="K550" t="str">
        <f>IF($A550&lt;&gt;"",'Approved-Enforcement'!J550,"")</f>
        <v/>
      </c>
      <c r="L550" t="str">
        <f>IF($A550&lt;&gt;"",'Approved-Enforcement'!K550,"")</f>
        <v/>
      </c>
      <c r="M550" t="str">
        <f>IF($A550&lt;&gt;"",'Approved-Enforcement'!L550,"")</f>
        <v/>
      </c>
      <c r="N550" t="str">
        <f>IF($A550&lt;&gt;"",'Approved-Enforcement'!M550,"")</f>
        <v/>
      </c>
      <c r="O550" t="str">
        <f>IF($A550&lt;&gt;"",'Approved-Enforcement'!N550,"")</f>
        <v/>
      </c>
      <c r="P550" t="str">
        <f>IF($A550&lt;&gt;"",'Approved-Enforcement'!O550,"")</f>
        <v/>
      </c>
    </row>
    <row r="551" spans="1:16" x14ac:dyDescent="0.35">
      <c r="A551" s="4" t="str">
        <f>IF('Approved-Enforcement'!$A551&lt;&gt;"",'Approved-Enforcement'!A551,"")</f>
        <v/>
      </c>
      <c r="B551" t="str">
        <f t="shared" si="8"/>
        <v/>
      </c>
      <c r="D551" t="str">
        <f>IF($A551&lt;&gt;"",IF($R551&lt;&gt;"",$R551,'Approved-Enforcement'!$B551+7),"")</f>
        <v/>
      </c>
      <c r="E551" t="str">
        <f>IF($A551&lt;&gt;"",'Approved-Enforcement'!D551,"")</f>
        <v/>
      </c>
      <c r="F551" t="str">
        <f>IF($A551&lt;&gt;"",'Approved-Enforcement'!E551,"")</f>
        <v/>
      </c>
      <c r="G551" t="str">
        <f>IF($A551&lt;&gt;"",'Approved-Enforcement'!F551,"")</f>
        <v/>
      </c>
      <c r="H551" t="str">
        <f>IF($A551&lt;&gt;"",'Approved-Enforcement'!G551,"")</f>
        <v/>
      </c>
      <c r="I551" t="str">
        <f>IF($A551&lt;&gt;"",'Approved-Enforcement'!H551,"")</f>
        <v/>
      </c>
      <c r="J551" t="str">
        <f>IF($A551&lt;&gt;"",'Approved-Enforcement'!I551,"")</f>
        <v/>
      </c>
      <c r="K551" t="str">
        <f>IF($A551&lt;&gt;"",'Approved-Enforcement'!J551,"")</f>
        <v/>
      </c>
      <c r="L551" t="str">
        <f>IF($A551&lt;&gt;"",'Approved-Enforcement'!K551,"")</f>
        <v/>
      </c>
      <c r="M551" t="str">
        <f>IF($A551&lt;&gt;"",'Approved-Enforcement'!L551,"")</f>
        <v/>
      </c>
      <c r="N551" t="str">
        <f>IF($A551&lt;&gt;"",'Approved-Enforcement'!M551,"")</f>
        <v/>
      </c>
      <c r="O551" t="str">
        <f>IF($A551&lt;&gt;"",'Approved-Enforcement'!N551,"")</f>
        <v/>
      </c>
      <c r="P551" t="str">
        <f>IF($A551&lt;&gt;"",'Approved-Enforcement'!O551,"")</f>
        <v/>
      </c>
    </row>
    <row r="552" spans="1:16" x14ac:dyDescent="0.35">
      <c r="A552" s="4" t="str">
        <f>IF('Approved-Enforcement'!$A552&lt;&gt;"",'Approved-Enforcement'!A552,"")</f>
        <v/>
      </c>
      <c r="B552" t="str">
        <f t="shared" si="8"/>
        <v/>
      </c>
      <c r="D552" t="str">
        <f>IF($A552&lt;&gt;"",IF($R552&lt;&gt;"",$R552,'Approved-Enforcement'!$B552+7),"")</f>
        <v/>
      </c>
      <c r="E552" t="str">
        <f>IF($A552&lt;&gt;"",'Approved-Enforcement'!D552,"")</f>
        <v/>
      </c>
      <c r="F552" t="str">
        <f>IF($A552&lt;&gt;"",'Approved-Enforcement'!E552,"")</f>
        <v/>
      </c>
      <c r="G552" t="str">
        <f>IF($A552&lt;&gt;"",'Approved-Enforcement'!F552,"")</f>
        <v/>
      </c>
      <c r="H552" t="str">
        <f>IF($A552&lt;&gt;"",'Approved-Enforcement'!G552,"")</f>
        <v/>
      </c>
      <c r="I552" t="str">
        <f>IF($A552&lt;&gt;"",'Approved-Enforcement'!H552,"")</f>
        <v/>
      </c>
      <c r="J552" t="str">
        <f>IF($A552&lt;&gt;"",'Approved-Enforcement'!I552,"")</f>
        <v/>
      </c>
      <c r="K552" t="str">
        <f>IF($A552&lt;&gt;"",'Approved-Enforcement'!J552,"")</f>
        <v/>
      </c>
      <c r="L552" t="str">
        <f>IF($A552&lt;&gt;"",'Approved-Enforcement'!K552,"")</f>
        <v/>
      </c>
      <c r="M552" t="str">
        <f>IF($A552&lt;&gt;"",'Approved-Enforcement'!L552,"")</f>
        <v/>
      </c>
      <c r="N552" t="str">
        <f>IF($A552&lt;&gt;"",'Approved-Enforcement'!M552,"")</f>
        <v/>
      </c>
      <c r="O552" t="str">
        <f>IF($A552&lt;&gt;"",'Approved-Enforcement'!N552,"")</f>
        <v/>
      </c>
      <c r="P552" t="str">
        <f>IF($A552&lt;&gt;"",'Approved-Enforcement'!O552,"")</f>
        <v/>
      </c>
    </row>
    <row r="553" spans="1:16" x14ac:dyDescent="0.35">
      <c r="A553" s="4" t="str">
        <f>IF('Approved-Enforcement'!$A553&lt;&gt;"",'Approved-Enforcement'!A553,"")</f>
        <v/>
      </c>
      <c r="B553" t="str">
        <f t="shared" si="8"/>
        <v/>
      </c>
      <c r="D553" t="str">
        <f>IF($A553&lt;&gt;"",IF($R553&lt;&gt;"",$R553,'Approved-Enforcement'!$B553+7),"")</f>
        <v/>
      </c>
      <c r="E553" t="str">
        <f>IF($A553&lt;&gt;"",'Approved-Enforcement'!D553,"")</f>
        <v/>
      </c>
      <c r="F553" t="str">
        <f>IF($A553&lt;&gt;"",'Approved-Enforcement'!E553,"")</f>
        <v/>
      </c>
      <c r="G553" t="str">
        <f>IF($A553&lt;&gt;"",'Approved-Enforcement'!F553,"")</f>
        <v/>
      </c>
      <c r="H553" t="str">
        <f>IF($A553&lt;&gt;"",'Approved-Enforcement'!G553,"")</f>
        <v/>
      </c>
      <c r="I553" t="str">
        <f>IF($A553&lt;&gt;"",'Approved-Enforcement'!H553,"")</f>
        <v/>
      </c>
      <c r="J553" t="str">
        <f>IF($A553&lt;&gt;"",'Approved-Enforcement'!I553,"")</f>
        <v/>
      </c>
      <c r="K553" t="str">
        <f>IF($A553&lt;&gt;"",'Approved-Enforcement'!J553,"")</f>
        <v/>
      </c>
      <c r="L553" t="str">
        <f>IF($A553&lt;&gt;"",'Approved-Enforcement'!K553,"")</f>
        <v/>
      </c>
      <c r="M553" t="str">
        <f>IF($A553&lt;&gt;"",'Approved-Enforcement'!L553,"")</f>
        <v/>
      </c>
      <c r="N553" t="str">
        <f>IF($A553&lt;&gt;"",'Approved-Enforcement'!M553,"")</f>
        <v/>
      </c>
      <c r="O553" t="str">
        <f>IF($A553&lt;&gt;"",'Approved-Enforcement'!N553,"")</f>
        <v/>
      </c>
      <c r="P553" t="str">
        <f>IF($A553&lt;&gt;"",'Approved-Enforcement'!O553,"")</f>
        <v/>
      </c>
    </row>
    <row r="554" spans="1:16" x14ac:dyDescent="0.35">
      <c r="A554" s="4" t="str">
        <f>IF('Approved-Enforcement'!$A554&lt;&gt;"",'Approved-Enforcement'!A554,"")</f>
        <v/>
      </c>
      <c r="B554" t="str">
        <f t="shared" si="8"/>
        <v/>
      </c>
      <c r="D554" t="str">
        <f>IF($A554&lt;&gt;"",IF($R554&lt;&gt;"",$R554,'Approved-Enforcement'!$B554+7),"")</f>
        <v/>
      </c>
      <c r="E554" t="str">
        <f>IF($A554&lt;&gt;"",'Approved-Enforcement'!D554,"")</f>
        <v/>
      </c>
      <c r="F554" t="str">
        <f>IF($A554&lt;&gt;"",'Approved-Enforcement'!E554,"")</f>
        <v/>
      </c>
      <c r="G554" t="str">
        <f>IF($A554&lt;&gt;"",'Approved-Enforcement'!F554,"")</f>
        <v/>
      </c>
      <c r="H554" t="str">
        <f>IF($A554&lt;&gt;"",'Approved-Enforcement'!G554,"")</f>
        <v/>
      </c>
      <c r="I554" t="str">
        <f>IF($A554&lt;&gt;"",'Approved-Enforcement'!H554,"")</f>
        <v/>
      </c>
      <c r="J554" t="str">
        <f>IF($A554&lt;&gt;"",'Approved-Enforcement'!I554,"")</f>
        <v/>
      </c>
      <c r="K554" t="str">
        <f>IF($A554&lt;&gt;"",'Approved-Enforcement'!J554,"")</f>
        <v/>
      </c>
      <c r="L554" t="str">
        <f>IF($A554&lt;&gt;"",'Approved-Enforcement'!K554,"")</f>
        <v/>
      </c>
      <c r="M554" t="str">
        <f>IF($A554&lt;&gt;"",'Approved-Enforcement'!L554,"")</f>
        <v/>
      </c>
      <c r="N554" t="str">
        <f>IF($A554&lt;&gt;"",'Approved-Enforcement'!M554,"")</f>
        <v/>
      </c>
      <c r="O554" t="str">
        <f>IF($A554&lt;&gt;"",'Approved-Enforcement'!N554,"")</f>
        <v/>
      </c>
      <c r="P554" t="str">
        <f>IF($A554&lt;&gt;"",'Approved-Enforcement'!O554,"")</f>
        <v/>
      </c>
    </row>
    <row r="555" spans="1:16" x14ac:dyDescent="0.35">
      <c r="A555" s="4" t="str">
        <f>IF('Approved-Enforcement'!$A555&lt;&gt;"",'Approved-Enforcement'!A555,"")</f>
        <v/>
      </c>
      <c r="B555" t="str">
        <f t="shared" si="8"/>
        <v/>
      </c>
      <c r="D555" t="str">
        <f>IF($A555&lt;&gt;"",IF($R555&lt;&gt;"",$R555,'Approved-Enforcement'!$B555+7),"")</f>
        <v/>
      </c>
      <c r="E555" t="str">
        <f>IF($A555&lt;&gt;"",'Approved-Enforcement'!D555,"")</f>
        <v/>
      </c>
      <c r="F555" t="str">
        <f>IF($A555&lt;&gt;"",'Approved-Enforcement'!E555,"")</f>
        <v/>
      </c>
      <c r="G555" t="str">
        <f>IF($A555&lt;&gt;"",'Approved-Enforcement'!F555,"")</f>
        <v/>
      </c>
      <c r="H555" t="str">
        <f>IF($A555&lt;&gt;"",'Approved-Enforcement'!G555,"")</f>
        <v/>
      </c>
      <c r="I555" t="str">
        <f>IF($A555&lt;&gt;"",'Approved-Enforcement'!H555,"")</f>
        <v/>
      </c>
      <c r="J555" t="str">
        <f>IF($A555&lt;&gt;"",'Approved-Enforcement'!I555,"")</f>
        <v/>
      </c>
      <c r="K555" t="str">
        <f>IF($A555&lt;&gt;"",'Approved-Enforcement'!J555,"")</f>
        <v/>
      </c>
      <c r="L555" t="str">
        <f>IF($A555&lt;&gt;"",'Approved-Enforcement'!K555,"")</f>
        <v/>
      </c>
      <c r="M555" t="str">
        <f>IF($A555&lt;&gt;"",'Approved-Enforcement'!L555,"")</f>
        <v/>
      </c>
      <c r="N555" t="str">
        <f>IF($A555&lt;&gt;"",'Approved-Enforcement'!M555,"")</f>
        <v/>
      </c>
      <c r="O555" t="str">
        <f>IF($A555&lt;&gt;"",'Approved-Enforcement'!N555,"")</f>
        <v/>
      </c>
      <c r="P555" t="str">
        <f>IF($A555&lt;&gt;"",'Approved-Enforcement'!O555,"")</f>
        <v/>
      </c>
    </row>
    <row r="556" spans="1:16" x14ac:dyDescent="0.35">
      <c r="A556" s="4" t="str">
        <f>IF('Approved-Enforcement'!$A556&lt;&gt;"",'Approved-Enforcement'!A556,"")</f>
        <v/>
      </c>
      <c r="B556" t="str">
        <f t="shared" si="8"/>
        <v/>
      </c>
      <c r="D556" t="str">
        <f>IF($A556&lt;&gt;"",IF($R556&lt;&gt;"",$R556,'Approved-Enforcement'!$B556+7),"")</f>
        <v/>
      </c>
      <c r="E556" t="str">
        <f>IF($A556&lt;&gt;"",'Approved-Enforcement'!D556,"")</f>
        <v/>
      </c>
      <c r="F556" t="str">
        <f>IF($A556&lt;&gt;"",'Approved-Enforcement'!E556,"")</f>
        <v/>
      </c>
      <c r="G556" t="str">
        <f>IF($A556&lt;&gt;"",'Approved-Enforcement'!F556,"")</f>
        <v/>
      </c>
      <c r="H556" t="str">
        <f>IF($A556&lt;&gt;"",'Approved-Enforcement'!G556,"")</f>
        <v/>
      </c>
      <c r="I556" t="str">
        <f>IF($A556&lt;&gt;"",'Approved-Enforcement'!H556,"")</f>
        <v/>
      </c>
      <c r="J556" t="str">
        <f>IF($A556&lt;&gt;"",'Approved-Enforcement'!I556,"")</f>
        <v/>
      </c>
      <c r="K556" t="str">
        <f>IF($A556&lt;&gt;"",'Approved-Enforcement'!J556,"")</f>
        <v/>
      </c>
      <c r="L556" t="str">
        <f>IF($A556&lt;&gt;"",'Approved-Enforcement'!K556,"")</f>
        <v/>
      </c>
      <c r="M556" t="str">
        <f>IF($A556&lt;&gt;"",'Approved-Enforcement'!L556,"")</f>
        <v/>
      </c>
      <c r="N556" t="str">
        <f>IF($A556&lt;&gt;"",'Approved-Enforcement'!M556,"")</f>
        <v/>
      </c>
      <c r="O556" t="str">
        <f>IF($A556&lt;&gt;"",'Approved-Enforcement'!N556,"")</f>
        <v/>
      </c>
      <c r="P556" t="str">
        <f>IF($A556&lt;&gt;"",'Approved-Enforcement'!O556,"")</f>
        <v/>
      </c>
    </row>
    <row r="557" spans="1:16" x14ac:dyDescent="0.35">
      <c r="A557" s="4" t="str">
        <f>IF('Approved-Enforcement'!$A557&lt;&gt;"",'Approved-Enforcement'!A557,"")</f>
        <v/>
      </c>
      <c r="B557" t="str">
        <f t="shared" si="8"/>
        <v/>
      </c>
      <c r="D557" t="str">
        <f>IF($A557&lt;&gt;"",IF($R557&lt;&gt;"",$R557,'Approved-Enforcement'!$B557+7),"")</f>
        <v/>
      </c>
      <c r="E557" t="str">
        <f>IF($A557&lt;&gt;"",'Approved-Enforcement'!D557,"")</f>
        <v/>
      </c>
      <c r="F557" t="str">
        <f>IF($A557&lt;&gt;"",'Approved-Enforcement'!E557,"")</f>
        <v/>
      </c>
      <c r="G557" t="str">
        <f>IF($A557&lt;&gt;"",'Approved-Enforcement'!F557,"")</f>
        <v/>
      </c>
      <c r="H557" t="str">
        <f>IF($A557&lt;&gt;"",'Approved-Enforcement'!G557,"")</f>
        <v/>
      </c>
      <c r="I557" t="str">
        <f>IF($A557&lt;&gt;"",'Approved-Enforcement'!H557,"")</f>
        <v/>
      </c>
      <c r="J557" t="str">
        <f>IF($A557&lt;&gt;"",'Approved-Enforcement'!I557,"")</f>
        <v/>
      </c>
      <c r="K557" t="str">
        <f>IF($A557&lt;&gt;"",'Approved-Enforcement'!J557,"")</f>
        <v/>
      </c>
      <c r="L557" t="str">
        <f>IF($A557&lt;&gt;"",'Approved-Enforcement'!K557,"")</f>
        <v/>
      </c>
      <c r="M557" t="str">
        <f>IF($A557&lt;&gt;"",'Approved-Enforcement'!L557,"")</f>
        <v/>
      </c>
      <c r="N557" t="str">
        <f>IF($A557&lt;&gt;"",'Approved-Enforcement'!M557,"")</f>
        <v/>
      </c>
      <c r="O557" t="str">
        <f>IF($A557&lt;&gt;"",'Approved-Enforcement'!N557,"")</f>
        <v/>
      </c>
      <c r="P557" t="str">
        <f>IF($A557&lt;&gt;"",'Approved-Enforcement'!O557,"")</f>
        <v/>
      </c>
    </row>
    <row r="558" spans="1:16" x14ac:dyDescent="0.35">
      <c r="A558" s="4" t="str">
        <f>IF('Approved-Enforcement'!$A558&lt;&gt;"",'Approved-Enforcement'!A558,"")</f>
        <v/>
      </c>
      <c r="B558" t="str">
        <f t="shared" si="8"/>
        <v/>
      </c>
      <c r="D558" t="str">
        <f>IF($A558&lt;&gt;"",IF($R558&lt;&gt;"",$R558,'Approved-Enforcement'!$B558+7),"")</f>
        <v/>
      </c>
      <c r="E558" t="str">
        <f>IF($A558&lt;&gt;"",'Approved-Enforcement'!D558,"")</f>
        <v/>
      </c>
      <c r="F558" t="str">
        <f>IF($A558&lt;&gt;"",'Approved-Enforcement'!E558,"")</f>
        <v/>
      </c>
      <c r="G558" t="str">
        <f>IF($A558&lt;&gt;"",'Approved-Enforcement'!F558,"")</f>
        <v/>
      </c>
      <c r="H558" t="str">
        <f>IF($A558&lt;&gt;"",'Approved-Enforcement'!G558,"")</f>
        <v/>
      </c>
      <c r="I558" t="str">
        <f>IF($A558&lt;&gt;"",'Approved-Enforcement'!H558,"")</f>
        <v/>
      </c>
      <c r="J558" t="str">
        <f>IF($A558&lt;&gt;"",'Approved-Enforcement'!I558,"")</f>
        <v/>
      </c>
      <c r="K558" t="str">
        <f>IF($A558&lt;&gt;"",'Approved-Enforcement'!J558,"")</f>
        <v/>
      </c>
      <c r="L558" t="str">
        <f>IF($A558&lt;&gt;"",'Approved-Enforcement'!K558,"")</f>
        <v/>
      </c>
      <c r="M558" t="str">
        <f>IF($A558&lt;&gt;"",'Approved-Enforcement'!L558,"")</f>
        <v/>
      </c>
      <c r="N558" t="str">
        <f>IF($A558&lt;&gt;"",'Approved-Enforcement'!M558,"")</f>
        <v/>
      </c>
      <c r="O558" t="str">
        <f>IF($A558&lt;&gt;"",'Approved-Enforcement'!N558,"")</f>
        <v/>
      </c>
      <c r="P558" t="str">
        <f>IF($A558&lt;&gt;"",'Approved-Enforcement'!O558,"")</f>
        <v/>
      </c>
    </row>
    <row r="559" spans="1:16" x14ac:dyDescent="0.35">
      <c r="A559" s="4" t="str">
        <f>IF('Approved-Enforcement'!$A559&lt;&gt;"",'Approved-Enforcement'!A559,"")</f>
        <v/>
      </c>
      <c r="B559" t="str">
        <f t="shared" si="8"/>
        <v/>
      </c>
      <c r="D559" t="str">
        <f>IF($A559&lt;&gt;"",IF($R559&lt;&gt;"",$R559,'Approved-Enforcement'!$B559+7),"")</f>
        <v/>
      </c>
      <c r="E559" t="str">
        <f>IF($A559&lt;&gt;"",'Approved-Enforcement'!D559,"")</f>
        <v/>
      </c>
      <c r="F559" t="str">
        <f>IF($A559&lt;&gt;"",'Approved-Enforcement'!E559,"")</f>
        <v/>
      </c>
      <c r="G559" t="str">
        <f>IF($A559&lt;&gt;"",'Approved-Enforcement'!F559,"")</f>
        <v/>
      </c>
      <c r="H559" t="str">
        <f>IF($A559&lt;&gt;"",'Approved-Enforcement'!G559,"")</f>
        <v/>
      </c>
      <c r="I559" t="str">
        <f>IF($A559&lt;&gt;"",'Approved-Enforcement'!H559,"")</f>
        <v/>
      </c>
      <c r="J559" t="str">
        <f>IF($A559&lt;&gt;"",'Approved-Enforcement'!I559,"")</f>
        <v/>
      </c>
      <c r="K559" t="str">
        <f>IF($A559&lt;&gt;"",'Approved-Enforcement'!J559,"")</f>
        <v/>
      </c>
      <c r="L559" t="str">
        <f>IF($A559&lt;&gt;"",'Approved-Enforcement'!K559,"")</f>
        <v/>
      </c>
      <c r="M559" t="str">
        <f>IF($A559&lt;&gt;"",'Approved-Enforcement'!L559,"")</f>
        <v/>
      </c>
      <c r="N559" t="str">
        <f>IF($A559&lt;&gt;"",'Approved-Enforcement'!M559,"")</f>
        <v/>
      </c>
      <c r="O559" t="str">
        <f>IF($A559&lt;&gt;"",'Approved-Enforcement'!N559,"")</f>
        <v/>
      </c>
      <c r="P559" t="str">
        <f>IF($A559&lt;&gt;"",'Approved-Enforcement'!O559,"")</f>
        <v/>
      </c>
    </row>
    <row r="560" spans="1:16" x14ac:dyDescent="0.35">
      <c r="A560" s="4" t="str">
        <f>IF('Approved-Enforcement'!$A560&lt;&gt;"",'Approved-Enforcement'!A560,"")</f>
        <v/>
      </c>
      <c r="B560" t="str">
        <f t="shared" si="8"/>
        <v/>
      </c>
      <c r="D560" t="str">
        <f>IF($A560&lt;&gt;"",IF($R560&lt;&gt;"",$R560,'Approved-Enforcement'!$B560+7),"")</f>
        <v/>
      </c>
      <c r="E560" t="str">
        <f>IF($A560&lt;&gt;"",'Approved-Enforcement'!D560,"")</f>
        <v/>
      </c>
      <c r="F560" t="str">
        <f>IF($A560&lt;&gt;"",'Approved-Enforcement'!E560,"")</f>
        <v/>
      </c>
      <c r="G560" t="str">
        <f>IF($A560&lt;&gt;"",'Approved-Enforcement'!F560,"")</f>
        <v/>
      </c>
      <c r="H560" t="str">
        <f>IF($A560&lt;&gt;"",'Approved-Enforcement'!G560,"")</f>
        <v/>
      </c>
      <c r="I560" t="str">
        <f>IF($A560&lt;&gt;"",'Approved-Enforcement'!H560,"")</f>
        <v/>
      </c>
      <c r="J560" t="str">
        <f>IF($A560&lt;&gt;"",'Approved-Enforcement'!I560,"")</f>
        <v/>
      </c>
      <c r="K560" t="str">
        <f>IF($A560&lt;&gt;"",'Approved-Enforcement'!J560,"")</f>
        <v/>
      </c>
      <c r="L560" t="str">
        <f>IF($A560&lt;&gt;"",'Approved-Enforcement'!K560,"")</f>
        <v/>
      </c>
      <c r="M560" t="str">
        <f>IF($A560&lt;&gt;"",'Approved-Enforcement'!L560,"")</f>
        <v/>
      </c>
      <c r="N560" t="str">
        <f>IF($A560&lt;&gt;"",'Approved-Enforcement'!M560,"")</f>
        <v/>
      </c>
      <c r="O560" t="str">
        <f>IF($A560&lt;&gt;"",'Approved-Enforcement'!N560,"")</f>
        <v/>
      </c>
      <c r="P560" t="str">
        <f>IF($A560&lt;&gt;"",'Approved-Enforcement'!O560,"")</f>
        <v/>
      </c>
    </row>
    <row r="561" spans="1:16" x14ac:dyDescent="0.35">
      <c r="A561" s="4" t="str">
        <f>IF('Approved-Enforcement'!$A561&lt;&gt;"",'Approved-Enforcement'!A561,"")</f>
        <v/>
      </c>
      <c r="B561" t="str">
        <f t="shared" si="8"/>
        <v/>
      </c>
      <c r="D561" t="str">
        <f>IF($A561&lt;&gt;"",IF($R561&lt;&gt;"",$R561,'Approved-Enforcement'!$B561+7),"")</f>
        <v/>
      </c>
      <c r="E561" t="str">
        <f>IF($A561&lt;&gt;"",'Approved-Enforcement'!D561,"")</f>
        <v/>
      </c>
      <c r="F561" t="str">
        <f>IF($A561&lt;&gt;"",'Approved-Enforcement'!E561,"")</f>
        <v/>
      </c>
      <c r="G561" t="str">
        <f>IF($A561&lt;&gt;"",'Approved-Enforcement'!F561,"")</f>
        <v/>
      </c>
      <c r="H561" t="str">
        <f>IF($A561&lt;&gt;"",'Approved-Enforcement'!G561,"")</f>
        <v/>
      </c>
      <c r="I561" t="str">
        <f>IF($A561&lt;&gt;"",'Approved-Enforcement'!H561,"")</f>
        <v/>
      </c>
      <c r="J561" t="str">
        <f>IF($A561&lt;&gt;"",'Approved-Enforcement'!I561,"")</f>
        <v/>
      </c>
      <c r="K561" t="str">
        <f>IF($A561&lt;&gt;"",'Approved-Enforcement'!J561,"")</f>
        <v/>
      </c>
      <c r="L561" t="str">
        <f>IF($A561&lt;&gt;"",'Approved-Enforcement'!K561,"")</f>
        <v/>
      </c>
      <c r="M561" t="str">
        <f>IF($A561&lt;&gt;"",'Approved-Enforcement'!L561,"")</f>
        <v/>
      </c>
      <c r="N561" t="str">
        <f>IF($A561&lt;&gt;"",'Approved-Enforcement'!M561,"")</f>
        <v/>
      </c>
      <c r="O561" t="str">
        <f>IF($A561&lt;&gt;"",'Approved-Enforcement'!N561,"")</f>
        <v/>
      </c>
      <c r="P561" t="str">
        <f>IF($A561&lt;&gt;"",'Approved-Enforcement'!O561,"")</f>
        <v/>
      </c>
    </row>
    <row r="562" spans="1:16" x14ac:dyDescent="0.35">
      <c r="A562" s="4" t="str">
        <f>IF('Approved-Enforcement'!$A562&lt;&gt;"",'Approved-Enforcement'!A562,"")</f>
        <v/>
      </c>
      <c r="B562" t="str">
        <f t="shared" si="8"/>
        <v/>
      </c>
      <c r="D562" t="str">
        <f>IF($A562&lt;&gt;"",IF($R562&lt;&gt;"",$R562,'Approved-Enforcement'!$B562+7),"")</f>
        <v/>
      </c>
      <c r="E562" t="str">
        <f>IF($A562&lt;&gt;"",'Approved-Enforcement'!D562,"")</f>
        <v/>
      </c>
      <c r="F562" t="str">
        <f>IF($A562&lt;&gt;"",'Approved-Enforcement'!E562,"")</f>
        <v/>
      </c>
      <c r="G562" t="str">
        <f>IF($A562&lt;&gt;"",'Approved-Enforcement'!F562,"")</f>
        <v/>
      </c>
      <c r="H562" t="str">
        <f>IF($A562&lt;&gt;"",'Approved-Enforcement'!G562,"")</f>
        <v/>
      </c>
      <c r="I562" t="str">
        <f>IF($A562&lt;&gt;"",'Approved-Enforcement'!H562,"")</f>
        <v/>
      </c>
      <c r="J562" t="str">
        <f>IF($A562&lt;&gt;"",'Approved-Enforcement'!I562,"")</f>
        <v/>
      </c>
      <c r="K562" t="str">
        <f>IF($A562&lt;&gt;"",'Approved-Enforcement'!J562,"")</f>
        <v/>
      </c>
      <c r="L562" t="str">
        <f>IF($A562&lt;&gt;"",'Approved-Enforcement'!K562,"")</f>
        <v/>
      </c>
      <c r="M562" t="str">
        <f>IF($A562&lt;&gt;"",'Approved-Enforcement'!L562,"")</f>
        <v/>
      </c>
      <c r="N562" t="str">
        <f>IF($A562&lt;&gt;"",'Approved-Enforcement'!M562,"")</f>
        <v/>
      </c>
      <c r="O562" t="str">
        <f>IF($A562&lt;&gt;"",'Approved-Enforcement'!N562,"")</f>
        <v/>
      </c>
      <c r="P562" t="str">
        <f>IF($A562&lt;&gt;"",'Approved-Enforcement'!O562,"")</f>
        <v/>
      </c>
    </row>
    <row r="563" spans="1:16" x14ac:dyDescent="0.35">
      <c r="A563" s="4" t="str">
        <f>IF('Approved-Enforcement'!$A563&lt;&gt;"",'Approved-Enforcement'!A563,"")</f>
        <v/>
      </c>
      <c r="B563" t="str">
        <f t="shared" si="8"/>
        <v/>
      </c>
      <c r="D563" t="str">
        <f>IF($A563&lt;&gt;"",IF($R563&lt;&gt;"",$R563,'Approved-Enforcement'!$B563+7),"")</f>
        <v/>
      </c>
      <c r="E563" t="str">
        <f>IF($A563&lt;&gt;"",'Approved-Enforcement'!D563,"")</f>
        <v/>
      </c>
      <c r="F563" t="str">
        <f>IF($A563&lt;&gt;"",'Approved-Enforcement'!E563,"")</f>
        <v/>
      </c>
      <c r="G563" t="str">
        <f>IF($A563&lt;&gt;"",'Approved-Enforcement'!F563,"")</f>
        <v/>
      </c>
      <c r="H563" t="str">
        <f>IF($A563&lt;&gt;"",'Approved-Enforcement'!G563,"")</f>
        <v/>
      </c>
      <c r="I563" t="str">
        <f>IF($A563&lt;&gt;"",'Approved-Enforcement'!H563,"")</f>
        <v/>
      </c>
      <c r="J563" t="str">
        <f>IF($A563&lt;&gt;"",'Approved-Enforcement'!I563,"")</f>
        <v/>
      </c>
      <c r="K563" t="str">
        <f>IF($A563&lt;&gt;"",'Approved-Enforcement'!J563,"")</f>
        <v/>
      </c>
      <c r="L563" t="str">
        <f>IF($A563&lt;&gt;"",'Approved-Enforcement'!K563,"")</f>
        <v/>
      </c>
      <c r="M563" t="str">
        <f>IF($A563&lt;&gt;"",'Approved-Enforcement'!L563,"")</f>
        <v/>
      </c>
      <c r="N563" t="str">
        <f>IF($A563&lt;&gt;"",'Approved-Enforcement'!M563,"")</f>
        <v/>
      </c>
      <c r="O563" t="str">
        <f>IF($A563&lt;&gt;"",'Approved-Enforcement'!N563,"")</f>
        <v/>
      </c>
      <c r="P563" t="str">
        <f>IF($A563&lt;&gt;"",'Approved-Enforcement'!O563,"")</f>
        <v/>
      </c>
    </row>
    <row r="564" spans="1:16" x14ac:dyDescent="0.35">
      <c r="A564" s="4" t="str">
        <f>IF('Approved-Enforcement'!$A564&lt;&gt;"",'Approved-Enforcement'!A564,"")</f>
        <v/>
      </c>
      <c r="B564" t="str">
        <f t="shared" si="8"/>
        <v/>
      </c>
      <c r="D564" t="str">
        <f>IF($A564&lt;&gt;"",IF($R564&lt;&gt;"",$R564,'Approved-Enforcement'!$B564+7),"")</f>
        <v/>
      </c>
      <c r="E564" t="str">
        <f>IF($A564&lt;&gt;"",'Approved-Enforcement'!D564,"")</f>
        <v/>
      </c>
      <c r="F564" t="str">
        <f>IF($A564&lt;&gt;"",'Approved-Enforcement'!E564,"")</f>
        <v/>
      </c>
      <c r="G564" t="str">
        <f>IF($A564&lt;&gt;"",'Approved-Enforcement'!F564,"")</f>
        <v/>
      </c>
      <c r="H564" t="str">
        <f>IF($A564&lt;&gt;"",'Approved-Enforcement'!G564,"")</f>
        <v/>
      </c>
      <c r="I564" t="str">
        <f>IF($A564&lt;&gt;"",'Approved-Enforcement'!H564,"")</f>
        <v/>
      </c>
      <c r="J564" t="str">
        <f>IF($A564&lt;&gt;"",'Approved-Enforcement'!I564,"")</f>
        <v/>
      </c>
      <c r="K564" t="str">
        <f>IF($A564&lt;&gt;"",'Approved-Enforcement'!J564,"")</f>
        <v/>
      </c>
      <c r="L564" t="str">
        <f>IF($A564&lt;&gt;"",'Approved-Enforcement'!K564,"")</f>
        <v/>
      </c>
      <c r="M564" t="str">
        <f>IF($A564&lt;&gt;"",'Approved-Enforcement'!L564,"")</f>
        <v/>
      </c>
      <c r="N564" t="str">
        <f>IF($A564&lt;&gt;"",'Approved-Enforcement'!M564,"")</f>
        <v/>
      </c>
      <c r="O564" t="str">
        <f>IF($A564&lt;&gt;"",'Approved-Enforcement'!N564,"")</f>
        <v/>
      </c>
      <c r="P564" t="str">
        <f>IF($A564&lt;&gt;"",'Approved-Enforcement'!O564,"")</f>
        <v/>
      </c>
    </row>
    <row r="565" spans="1:16" x14ac:dyDescent="0.35">
      <c r="A565" s="4" t="str">
        <f>IF('Approved-Enforcement'!$A565&lt;&gt;"",'Approved-Enforcement'!A565,"")</f>
        <v/>
      </c>
      <c r="B565" t="str">
        <f t="shared" si="8"/>
        <v/>
      </c>
      <c r="D565" t="str">
        <f>IF($A565&lt;&gt;"",IF($R565&lt;&gt;"",$R565,'Approved-Enforcement'!$B565+7),"")</f>
        <v/>
      </c>
      <c r="E565" t="str">
        <f>IF($A565&lt;&gt;"",'Approved-Enforcement'!D565,"")</f>
        <v/>
      </c>
      <c r="F565" t="str">
        <f>IF($A565&lt;&gt;"",'Approved-Enforcement'!E565,"")</f>
        <v/>
      </c>
      <c r="G565" t="str">
        <f>IF($A565&lt;&gt;"",'Approved-Enforcement'!F565,"")</f>
        <v/>
      </c>
      <c r="H565" t="str">
        <f>IF($A565&lt;&gt;"",'Approved-Enforcement'!G565,"")</f>
        <v/>
      </c>
      <c r="I565" t="str">
        <f>IF($A565&lt;&gt;"",'Approved-Enforcement'!H565,"")</f>
        <v/>
      </c>
      <c r="J565" t="str">
        <f>IF($A565&lt;&gt;"",'Approved-Enforcement'!I565,"")</f>
        <v/>
      </c>
      <c r="K565" t="str">
        <f>IF($A565&lt;&gt;"",'Approved-Enforcement'!J565,"")</f>
        <v/>
      </c>
      <c r="L565" t="str">
        <f>IF($A565&lt;&gt;"",'Approved-Enforcement'!K565,"")</f>
        <v/>
      </c>
      <c r="M565" t="str">
        <f>IF($A565&lt;&gt;"",'Approved-Enforcement'!L565,"")</f>
        <v/>
      </c>
      <c r="N565" t="str">
        <f>IF($A565&lt;&gt;"",'Approved-Enforcement'!M565,"")</f>
        <v/>
      </c>
      <c r="O565" t="str">
        <f>IF($A565&lt;&gt;"",'Approved-Enforcement'!N565,"")</f>
        <v/>
      </c>
      <c r="P565" t="str">
        <f>IF($A565&lt;&gt;"",'Approved-Enforcement'!O565,"")</f>
        <v/>
      </c>
    </row>
    <row r="566" spans="1:16" x14ac:dyDescent="0.35">
      <c r="A566" s="4" t="str">
        <f>IF('Approved-Enforcement'!$A566&lt;&gt;"",'Approved-Enforcement'!A566,"")</f>
        <v/>
      </c>
      <c r="B566" t="str">
        <f t="shared" si="8"/>
        <v/>
      </c>
      <c r="D566" t="str">
        <f>IF($A566&lt;&gt;"",IF($R566&lt;&gt;"",$R566,'Approved-Enforcement'!$B566+7),"")</f>
        <v/>
      </c>
      <c r="E566" t="str">
        <f>IF($A566&lt;&gt;"",'Approved-Enforcement'!D566,"")</f>
        <v/>
      </c>
      <c r="F566" t="str">
        <f>IF($A566&lt;&gt;"",'Approved-Enforcement'!E566,"")</f>
        <v/>
      </c>
      <c r="G566" t="str">
        <f>IF($A566&lt;&gt;"",'Approved-Enforcement'!F566,"")</f>
        <v/>
      </c>
      <c r="H566" t="str">
        <f>IF($A566&lt;&gt;"",'Approved-Enforcement'!G566,"")</f>
        <v/>
      </c>
      <c r="I566" t="str">
        <f>IF($A566&lt;&gt;"",'Approved-Enforcement'!H566,"")</f>
        <v/>
      </c>
      <c r="J566" t="str">
        <f>IF($A566&lt;&gt;"",'Approved-Enforcement'!I566,"")</f>
        <v/>
      </c>
      <c r="K566" t="str">
        <f>IF($A566&lt;&gt;"",'Approved-Enforcement'!J566,"")</f>
        <v/>
      </c>
      <c r="L566" t="str">
        <f>IF($A566&lt;&gt;"",'Approved-Enforcement'!K566,"")</f>
        <v/>
      </c>
      <c r="M566" t="str">
        <f>IF($A566&lt;&gt;"",'Approved-Enforcement'!L566,"")</f>
        <v/>
      </c>
      <c r="N566" t="str">
        <f>IF($A566&lt;&gt;"",'Approved-Enforcement'!M566,"")</f>
        <v/>
      </c>
      <c r="O566" t="str">
        <f>IF($A566&lt;&gt;"",'Approved-Enforcement'!N566,"")</f>
        <v/>
      </c>
      <c r="P566" t="str">
        <f>IF($A566&lt;&gt;"",'Approved-Enforcement'!O566,"")</f>
        <v/>
      </c>
    </row>
    <row r="567" spans="1:16" x14ac:dyDescent="0.35">
      <c r="A567" s="4" t="str">
        <f>IF('Approved-Enforcement'!$A567&lt;&gt;"",'Approved-Enforcement'!A567,"")</f>
        <v/>
      </c>
      <c r="B567" t="str">
        <f t="shared" si="8"/>
        <v/>
      </c>
      <c r="D567" t="str">
        <f>IF($A567&lt;&gt;"",IF($R567&lt;&gt;"",$R567,'Approved-Enforcement'!$B567+7),"")</f>
        <v/>
      </c>
      <c r="E567" t="str">
        <f>IF($A567&lt;&gt;"",'Approved-Enforcement'!D567,"")</f>
        <v/>
      </c>
      <c r="F567" t="str">
        <f>IF($A567&lt;&gt;"",'Approved-Enforcement'!E567,"")</f>
        <v/>
      </c>
      <c r="G567" t="str">
        <f>IF($A567&lt;&gt;"",'Approved-Enforcement'!F567,"")</f>
        <v/>
      </c>
      <c r="H567" t="str">
        <f>IF($A567&lt;&gt;"",'Approved-Enforcement'!G567,"")</f>
        <v/>
      </c>
      <c r="I567" t="str">
        <f>IF($A567&lt;&gt;"",'Approved-Enforcement'!H567,"")</f>
        <v/>
      </c>
      <c r="J567" t="str">
        <f>IF($A567&lt;&gt;"",'Approved-Enforcement'!I567,"")</f>
        <v/>
      </c>
      <c r="K567" t="str">
        <f>IF($A567&lt;&gt;"",'Approved-Enforcement'!J567,"")</f>
        <v/>
      </c>
      <c r="L567" t="str">
        <f>IF($A567&lt;&gt;"",'Approved-Enforcement'!K567,"")</f>
        <v/>
      </c>
      <c r="M567" t="str">
        <f>IF($A567&lt;&gt;"",'Approved-Enforcement'!L567,"")</f>
        <v/>
      </c>
      <c r="N567" t="str">
        <f>IF($A567&lt;&gt;"",'Approved-Enforcement'!M567,"")</f>
        <v/>
      </c>
      <c r="O567" t="str">
        <f>IF($A567&lt;&gt;"",'Approved-Enforcement'!N567,"")</f>
        <v/>
      </c>
      <c r="P567" t="str">
        <f>IF($A567&lt;&gt;"",'Approved-Enforcement'!O567,"")</f>
        <v/>
      </c>
    </row>
    <row r="568" spans="1:16" x14ac:dyDescent="0.35">
      <c r="A568" s="4" t="str">
        <f>IF('Approved-Enforcement'!$A568&lt;&gt;"",'Approved-Enforcement'!A568,"")</f>
        <v/>
      </c>
      <c r="B568" t="str">
        <f t="shared" si="8"/>
        <v/>
      </c>
      <c r="D568" t="str">
        <f>IF($A568&lt;&gt;"",IF($R568&lt;&gt;"",$R568,'Approved-Enforcement'!$B568+7),"")</f>
        <v/>
      </c>
      <c r="E568" t="str">
        <f>IF($A568&lt;&gt;"",'Approved-Enforcement'!D568,"")</f>
        <v/>
      </c>
      <c r="F568" t="str">
        <f>IF($A568&lt;&gt;"",'Approved-Enforcement'!E568,"")</f>
        <v/>
      </c>
      <c r="G568" t="str">
        <f>IF($A568&lt;&gt;"",'Approved-Enforcement'!F568,"")</f>
        <v/>
      </c>
      <c r="H568" t="str">
        <f>IF($A568&lt;&gt;"",'Approved-Enforcement'!G568,"")</f>
        <v/>
      </c>
      <c r="I568" t="str">
        <f>IF($A568&lt;&gt;"",'Approved-Enforcement'!H568,"")</f>
        <v/>
      </c>
      <c r="J568" t="str">
        <f>IF($A568&lt;&gt;"",'Approved-Enforcement'!I568,"")</f>
        <v/>
      </c>
      <c r="K568" t="str">
        <f>IF($A568&lt;&gt;"",'Approved-Enforcement'!J568,"")</f>
        <v/>
      </c>
      <c r="L568" t="str">
        <f>IF($A568&lt;&gt;"",'Approved-Enforcement'!K568,"")</f>
        <v/>
      </c>
      <c r="M568" t="str">
        <f>IF($A568&lt;&gt;"",'Approved-Enforcement'!L568,"")</f>
        <v/>
      </c>
      <c r="N568" t="str">
        <f>IF($A568&lt;&gt;"",'Approved-Enforcement'!M568,"")</f>
        <v/>
      </c>
      <c r="O568" t="str">
        <f>IF($A568&lt;&gt;"",'Approved-Enforcement'!N568,"")</f>
        <v/>
      </c>
      <c r="P568" t="str">
        <f>IF($A568&lt;&gt;"",'Approved-Enforcement'!O568,"")</f>
        <v/>
      </c>
    </row>
    <row r="569" spans="1:16" x14ac:dyDescent="0.35">
      <c r="A569" s="4" t="str">
        <f>IF('Approved-Enforcement'!$A569&lt;&gt;"",'Approved-Enforcement'!A569,"")</f>
        <v/>
      </c>
      <c r="B569" t="str">
        <f t="shared" si="8"/>
        <v/>
      </c>
      <c r="D569" t="str">
        <f>IF($A569&lt;&gt;"",IF($R569&lt;&gt;"",$R569,'Approved-Enforcement'!$B569+7),"")</f>
        <v/>
      </c>
      <c r="E569" t="str">
        <f>IF($A569&lt;&gt;"",'Approved-Enforcement'!D569,"")</f>
        <v/>
      </c>
      <c r="F569" t="str">
        <f>IF($A569&lt;&gt;"",'Approved-Enforcement'!E569,"")</f>
        <v/>
      </c>
      <c r="G569" t="str">
        <f>IF($A569&lt;&gt;"",'Approved-Enforcement'!F569,"")</f>
        <v/>
      </c>
      <c r="H569" t="str">
        <f>IF($A569&lt;&gt;"",'Approved-Enforcement'!G569,"")</f>
        <v/>
      </c>
      <c r="I569" t="str">
        <f>IF($A569&lt;&gt;"",'Approved-Enforcement'!H569,"")</f>
        <v/>
      </c>
      <c r="J569" t="str">
        <f>IF($A569&lt;&gt;"",'Approved-Enforcement'!I569,"")</f>
        <v/>
      </c>
      <c r="K569" t="str">
        <f>IF($A569&lt;&gt;"",'Approved-Enforcement'!J569,"")</f>
        <v/>
      </c>
      <c r="L569" t="str">
        <f>IF($A569&lt;&gt;"",'Approved-Enforcement'!K569,"")</f>
        <v/>
      </c>
      <c r="M569" t="str">
        <f>IF($A569&lt;&gt;"",'Approved-Enforcement'!L569,"")</f>
        <v/>
      </c>
      <c r="N569" t="str">
        <f>IF($A569&lt;&gt;"",'Approved-Enforcement'!M569,"")</f>
        <v/>
      </c>
      <c r="O569" t="str">
        <f>IF($A569&lt;&gt;"",'Approved-Enforcement'!N569,"")</f>
        <v/>
      </c>
      <c r="P569" t="str">
        <f>IF($A569&lt;&gt;"",'Approved-Enforcement'!O569,"")</f>
        <v/>
      </c>
    </row>
    <row r="570" spans="1:16" x14ac:dyDescent="0.35">
      <c r="A570" s="4" t="str">
        <f>IF('Approved-Enforcement'!$A570&lt;&gt;"",'Approved-Enforcement'!A570,"")</f>
        <v/>
      </c>
      <c r="B570" t="str">
        <f t="shared" si="8"/>
        <v/>
      </c>
      <c r="D570" t="str">
        <f>IF($A570&lt;&gt;"",IF($R570&lt;&gt;"",$R570,'Approved-Enforcement'!$B570+7),"")</f>
        <v/>
      </c>
      <c r="E570" t="str">
        <f>IF($A570&lt;&gt;"",'Approved-Enforcement'!D570,"")</f>
        <v/>
      </c>
      <c r="F570" t="str">
        <f>IF($A570&lt;&gt;"",'Approved-Enforcement'!E570,"")</f>
        <v/>
      </c>
      <c r="G570" t="str">
        <f>IF($A570&lt;&gt;"",'Approved-Enforcement'!F570,"")</f>
        <v/>
      </c>
      <c r="H570" t="str">
        <f>IF($A570&lt;&gt;"",'Approved-Enforcement'!G570,"")</f>
        <v/>
      </c>
      <c r="I570" t="str">
        <f>IF($A570&lt;&gt;"",'Approved-Enforcement'!H570,"")</f>
        <v/>
      </c>
      <c r="J570" t="str">
        <f>IF($A570&lt;&gt;"",'Approved-Enforcement'!I570,"")</f>
        <v/>
      </c>
      <c r="K570" t="str">
        <f>IF($A570&lt;&gt;"",'Approved-Enforcement'!J570,"")</f>
        <v/>
      </c>
      <c r="L570" t="str">
        <f>IF($A570&lt;&gt;"",'Approved-Enforcement'!K570,"")</f>
        <v/>
      </c>
      <c r="M570" t="str">
        <f>IF($A570&lt;&gt;"",'Approved-Enforcement'!L570,"")</f>
        <v/>
      </c>
      <c r="N570" t="str">
        <f>IF($A570&lt;&gt;"",'Approved-Enforcement'!M570,"")</f>
        <v/>
      </c>
      <c r="O570" t="str">
        <f>IF($A570&lt;&gt;"",'Approved-Enforcement'!N570,"")</f>
        <v/>
      </c>
      <c r="P570" t="str">
        <f>IF($A570&lt;&gt;"",'Approved-Enforcement'!O570,"")</f>
        <v/>
      </c>
    </row>
    <row r="571" spans="1:16" x14ac:dyDescent="0.35">
      <c r="A571" s="4" t="str">
        <f>IF('Approved-Enforcement'!$A571&lt;&gt;"",'Approved-Enforcement'!A571,"")</f>
        <v/>
      </c>
      <c r="B571" t="str">
        <f t="shared" si="8"/>
        <v/>
      </c>
      <c r="D571" t="str">
        <f>IF($A571&lt;&gt;"",IF($R571&lt;&gt;"",$R571,'Approved-Enforcement'!$B571+7),"")</f>
        <v/>
      </c>
      <c r="E571" t="str">
        <f>IF($A571&lt;&gt;"",'Approved-Enforcement'!D571,"")</f>
        <v/>
      </c>
      <c r="F571" t="str">
        <f>IF($A571&lt;&gt;"",'Approved-Enforcement'!E571,"")</f>
        <v/>
      </c>
      <c r="G571" t="str">
        <f>IF($A571&lt;&gt;"",'Approved-Enforcement'!F571,"")</f>
        <v/>
      </c>
      <c r="H571" t="str">
        <f>IF($A571&lt;&gt;"",'Approved-Enforcement'!G571,"")</f>
        <v/>
      </c>
      <c r="I571" t="str">
        <f>IF($A571&lt;&gt;"",'Approved-Enforcement'!H571,"")</f>
        <v/>
      </c>
      <c r="J571" t="str">
        <f>IF($A571&lt;&gt;"",'Approved-Enforcement'!I571,"")</f>
        <v/>
      </c>
      <c r="K571" t="str">
        <f>IF($A571&lt;&gt;"",'Approved-Enforcement'!J571,"")</f>
        <v/>
      </c>
      <c r="L571" t="str">
        <f>IF($A571&lt;&gt;"",'Approved-Enforcement'!K571,"")</f>
        <v/>
      </c>
      <c r="M571" t="str">
        <f>IF($A571&lt;&gt;"",'Approved-Enforcement'!L571,"")</f>
        <v/>
      </c>
      <c r="N571" t="str">
        <f>IF($A571&lt;&gt;"",'Approved-Enforcement'!M571,"")</f>
        <v/>
      </c>
      <c r="O571" t="str">
        <f>IF($A571&lt;&gt;"",'Approved-Enforcement'!N571,"")</f>
        <v/>
      </c>
      <c r="P571" t="str">
        <f>IF($A571&lt;&gt;"",'Approved-Enforcement'!O571,"")</f>
        <v/>
      </c>
    </row>
    <row r="572" spans="1:16" x14ac:dyDescent="0.35">
      <c r="A572" s="4" t="str">
        <f>IF('Approved-Enforcement'!$A572&lt;&gt;"",'Approved-Enforcement'!A572,"")</f>
        <v/>
      </c>
      <c r="B572" t="str">
        <f t="shared" si="8"/>
        <v/>
      </c>
      <c r="D572" t="str">
        <f>IF($A572&lt;&gt;"",IF($R572&lt;&gt;"",$R572,'Approved-Enforcement'!$B572+7),"")</f>
        <v/>
      </c>
      <c r="E572" t="str">
        <f>IF($A572&lt;&gt;"",'Approved-Enforcement'!D572,"")</f>
        <v/>
      </c>
      <c r="F572" t="str">
        <f>IF($A572&lt;&gt;"",'Approved-Enforcement'!E572,"")</f>
        <v/>
      </c>
      <c r="G572" t="str">
        <f>IF($A572&lt;&gt;"",'Approved-Enforcement'!F572,"")</f>
        <v/>
      </c>
      <c r="H572" t="str">
        <f>IF($A572&lt;&gt;"",'Approved-Enforcement'!G572,"")</f>
        <v/>
      </c>
      <c r="I572" t="str">
        <f>IF($A572&lt;&gt;"",'Approved-Enforcement'!H572,"")</f>
        <v/>
      </c>
      <c r="J572" t="str">
        <f>IF($A572&lt;&gt;"",'Approved-Enforcement'!I572,"")</f>
        <v/>
      </c>
      <c r="K572" t="str">
        <f>IF($A572&lt;&gt;"",'Approved-Enforcement'!J572,"")</f>
        <v/>
      </c>
      <c r="L572" t="str">
        <f>IF($A572&lt;&gt;"",'Approved-Enforcement'!K572,"")</f>
        <v/>
      </c>
      <c r="M572" t="str">
        <f>IF($A572&lt;&gt;"",'Approved-Enforcement'!L572,"")</f>
        <v/>
      </c>
      <c r="N572" t="str">
        <f>IF($A572&lt;&gt;"",'Approved-Enforcement'!M572,"")</f>
        <v/>
      </c>
      <c r="O572" t="str">
        <f>IF($A572&lt;&gt;"",'Approved-Enforcement'!N572,"")</f>
        <v/>
      </c>
      <c r="P572" t="str">
        <f>IF($A572&lt;&gt;"",'Approved-Enforcement'!O572,"")</f>
        <v/>
      </c>
    </row>
    <row r="573" spans="1:16" x14ac:dyDescent="0.35">
      <c r="A573" s="4" t="str">
        <f>IF('Approved-Enforcement'!$A573&lt;&gt;"",'Approved-Enforcement'!A573,"")</f>
        <v/>
      </c>
      <c r="B573" t="str">
        <f t="shared" si="8"/>
        <v/>
      </c>
      <c r="D573" t="str">
        <f>IF($A573&lt;&gt;"",IF($R573&lt;&gt;"",$R573,'Approved-Enforcement'!$B573+7),"")</f>
        <v/>
      </c>
      <c r="E573" t="str">
        <f>IF($A573&lt;&gt;"",'Approved-Enforcement'!D573,"")</f>
        <v/>
      </c>
      <c r="F573" t="str">
        <f>IF($A573&lt;&gt;"",'Approved-Enforcement'!E573,"")</f>
        <v/>
      </c>
      <c r="G573" t="str">
        <f>IF($A573&lt;&gt;"",'Approved-Enforcement'!F573,"")</f>
        <v/>
      </c>
      <c r="H573" t="str">
        <f>IF($A573&lt;&gt;"",'Approved-Enforcement'!G573,"")</f>
        <v/>
      </c>
      <c r="I573" t="str">
        <f>IF($A573&lt;&gt;"",'Approved-Enforcement'!H573,"")</f>
        <v/>
      </c>
      <c r="J573" t="str">
        <f>IF($A573&lt;&gt;"",'Approved-Enforcement'!I573,"")</f>
        <v/>
      </c>
      <c r="K573" t="str">
        <f>IF($A573&lt;&gt;"",'Approved-Enforcement'!J573,"")</f>
        <v/>
      </c>
      <c r="L573" t="str">
        <f>IF($A573&lt;&gt;"",'Approved-Enforcement'!K573,"")</f>
        <v/>
      </c>
      <c r="M573" t="str">
        <f>IF($A573&lt;&gt;"",'Approved-Enforcement'!L573,"")</f>
        <v/>
      </c>
      <c r="N573" t="str">
        <f>IF($A573&lt;&gt;"",'Approved-Enforcement'!M573,"")</f>
        <v/>
      </c>
      <c r="O573" t="str">
        <f>IF($A573&lt;&gt;"",'Approved-Enforcement'!N573,"")</f>
        <v/>
      </c>
      <c r="P573" t="str">
        <f>IF($A573&lt;&gt;"",'Approved-Enforcement'!O573,"")</f>
        <v/>
      </c>
    </row>
    <row r="574" spans="1:16" x14ac:dyDescent="0.35">
      <c r="A574" s="4" t="str">
        <f>IF('Approved-Enforcement'!$A574&lt;&gt;"",'Approved-Enforcement'!A574,"")</f>
        <v/>
      </c>
      <c r="B574" t="str">
        <f t="shared" si="8"/>
        <v/>
      </c>
      <c r="D574" t="str">
        <f>IF($A574&lt;&gt;"",IF($R574&lt;&gt;"",$R574,'Approved-Enforcement'!$B574+7),"")</f>
        <v/>
      </c>
      <c r="E574" t="str">
        <f>IF($A574&lt;&gt;"",'Approved-Enforcement'!D574,"")</f>
        <v/>
      </c>
      <c r="F574" t="str">
        <f>IF($A574&lt;&gt;"",'Approved-Enforcement'!E574,"")</f>
        <v/>
      </c>
      <c r="G574" t="str">
        <f>IF($A574&lt;&gt;"",'Approved-Enforcement'!F574,"")</f>
        <v/>
      </c>
      <c r="H574" t="str">
        <f>IF($A574&lt;&gt;"",'Approved-Enforcement'!G574,"")</f>
        <v/>
      </c>
      <c r="I574" t="str">
        <f>IF($A574&lt;&gt;"",'Approved-Enforcement'!H574,"")</f>
        <v/>
      </c>
      <c r="J574" t="str">
        <f>IF($A574&lt;&gt;"",'Approved-Enforcement'!I574,"")</f>
        <v/>
      </c>
      <c r="K574" t="str">
        <f>IF($A574&lt;&gt;"",'Approved-Enforcement'!J574,"")</f>
        <v/>
      </c>
      <c r="L574" t="str">
        <f>IF($A574&lt;&gt;"",'Approved-Enforcement'!K574,"")</f>
        <v/>
      </c>
      <c r="M574" t="str">
        <f>IF($A574&lt;&gt;"",'Approved-Enforcement'!L574,"")</f>
        <v/>
      </c>
      <c r="N574" t="str">
        <f>IF($A574&lt;&gt;"",'Approved-Enforcement'!M574,"")</f>
        <v/>
      </c>
      <c r="O574" t="str">
        <f>IF($A574&lt;&gt;"",'Approved-Enforcement'!N574,"")</f>
        <v/>
      </c>
      <c r="P574" t="str">
        <f>IF($A574&lt;&gt;"",'Approved-Enforcement'!O574,"")</f>
        <v/>
      </c>
    </row>
    <row r="575" spans="1:16" x14ac:dyDescent="0.35">
      <c r="A575" s="4" t="str">
        <f>IF('Approved-Enforcement'!$A575&lt;&gt;"",'Approved-Enforcement'!A575,"")</f>
        <v/>
      </c>
      <c r="B575" t="str">
        <f t="shared" si="8"/>
        <v/>
      </c>
      <c r="D575" t="str">
        <f>IF($A575&lt;&gt;"",IF($R575&lt;&gt;"",$R575,'Approved-Enforcement'!$B575+7),"")</f>
        <v/>
      </c>
      <c r="E575" t="str">
        <f>IF($A575&lt;&gt;"",'Approved-Enforcement'!D575,"")</f>
        <v/>
      </c>
      <c r="F575" t="str">
        <f>IF($A575&lt;&gt;"",'Approved-Enforcement'!E575,"")</f>
        <v/>
      </c>
      <c r="G575" t="str">
        <f>IF($A575&lt;&gt;"",'Approved-Enforcement'!F575,"")</f>
        <v/>
      </c>
      <c r="H575" t="str">
        <f>IF($A575&lt;&gt;"",'Approved-Enforcement'!G575,"")</f>
        <v/>
      </c>
      <c r="I575" t="str">
        <f>IF($A575&lt;&gt;"",'Approved-Enforcement'!H575,"")</f>
        <v/>
      </c>
      <c r="J575" t="str">
        <f>IF($A575&lt;&gt;"",'Approved-Enforcement'!I575,"")</f>
        <v/>
      </c>
      <c r="K575" t="str">
        <f>IF($A575&lt;&gt;"",'Approved-Enforcement'!J575,"")</f>
        <v/>
      </c>
      <c r="L575" t="str">
        <f>IF($A575&lt;&gt;"",'Approved-Enforcement'!K575,"")</f>
        <v/>
      </c>
      <c r="M575" t="str">
        <f>IF($A575&lt;&gt;"",'Approved-Enforcement'!L575,"")</f>
        <v/>
      </c>
      <c r="N575" t="str">
        <f>IF($A575&lt;&gt;"",'Approved-Enforcement'!M575,"")</f>
        <v/>
      </c>
      <c r="O575" t="str">
        <f>IF($A575&lt;&gt;"",'Approved-Enforcement'!N575,"")</f>
        <v/>
      </c>
      <c r="P575" t="str">
        <f>IF($A575&lt;&gt;"",'Approved-Enforcement'!O575,"")</f>
        <v/>
      </c>
    </row>
    <row r="576" spans="1:16" x14ac:dyDescent="0.35">
      <c r="A576" s="4" t="str">
        <f>IF('Approved-Enforcement'!$A576&lt;&gt;"",'Approved-Enforcement'!A576,"")</f>
        <v/>
      </c>
      <c r="B576" t="str">
        <f t="shared" si="8"/>
        <v/>
      </c>
      <c r="D576" t="str">
        <f>IF($A576&lt;&gt;"",IF($R576&lt;&gt;"",$R576,'Approved-Enforcement'!$B576+7),"")</f>
        <v/>
      </c>
      <c r="E576" t="str">
        <f>IF($A576&lt;&gt;"",'Approved-Enforcement'!D576,"")</f>
        <v/>
      </c>
      <c r="F576" t="str">
        <f>IF($A576&lt;&gt;"",'Approved-Enforcement'!E576,"")</f>
        <v/>
      </c>
      <c r="G576" t="str">
        <f>IF($A576&lt;&gt;"",'Approved-Enforcement'!F576,"")</f>
        <v/>
      </c>
      <c r="H576" t="str">
        <f>IF($A576&lt;&gt;"",'Approved-Enforcement'!G576,"")</f>
        <v/>
      </c>
      <c r="I576" t="str">
        <f>IF($A576&lt;&gt;"",'Approved-Enforcement'!H576,"")</f>
        <v/>
      </c>
      <c r="J576" t="str">
        <f>IF($A576&lt;&gt;"",'Approved-Enforcement'!I576,"")</f>
        <v/>
      </c>
      <c r="K576" t="str">
        <f>IF($A576&lt;&gt;"",'Approved-Enforcement'!J576,"")</f>
        <v/>
      </c>
      <c r="L576" t="str">
        <f>IF($A576&lt;&gt;"",'Approved-Enforcement'!K576,"")</f>
        <v/>
      </c>
      <c r="M576" t="str">
        <f>IF($A576&lt;&gt;"",'Approved-Enforcement'!L576,"")</f>
        <v/>
      </c>
      <c r="N576" t="str">
        <f>IF($A576&lt;&gt;"",'Approved-Enforcement'!M576,"")</f>
        <v/>
      </c>
      <c r="O576" t="str">
        <f>IF($A576&lt;&gt;"",'Approved-Enforcement'!N576,"")</f>
        <v/>
      </c>
      <c r="P576" t="str">
        <f>IF($A576&lt;&gt;"",'Approved-Enforcement'!O576,"")</f>
        <v/>
      </c>
    </row>
    <row r="577" spans="1:16" x14ac:dyDescent="0.35">
      <c r="A577" s="4" t="str">
        <f>IF('Approved-Enforcement'!$A577&lt;&gt;"",'Approved-Enforcement'!A577,"")</f>
        <v/>
      </c>
      <c r="B577" t="str">
        <f t="shared" si="8"/>
        <v/>
      </c>
      <c r="D577" t="str">
        <f>IF($A577&lt;&gt;"",IF($R577&lt;&gt;"",$R577,'Approved-Enforcement'!$B577+7),"")</f>
        <v/>
      </c>
      <c r="E577" t="str">
        <f>IF($A577&lt;&gt;"",'Approved-Enforcement'!D577,"")</f>
        <v/>
      </c>
      <c r="F577" t="str">
        <f>IF($A577&lt;&gt;"",'Approved-Enforcement'!E577,"")</f>
        <v/>
      </c>
      <c r="G577" t="str">
        <f>IF($A577&lt;&gt;"",'Approved-Enforcement'!F577,"")</f>
        <v/>
      </c>
      <c r="H577" t="str">
        <f>IF($A577&lt;&gt;"",'Approved-Enforcement'!G577,"")</f>
        <v/>
      </c>
      <c r="I577" t="str">
        <f>IF($A577&lt;&gt;"",'Approved-Enforcement'!H577,"")</f>
        <v/>
      </c>
      <c r="J577" t="str">
        <f>IF($A577&lt;&gt;"",'Approved-Enforcement'!I577,"")</f>
        <v/>
      </c>
      <c r="K577" t="str">
        <f>IF($A577&lt;&gt;"",'Approved-Enforcement'!J577,"")</f>
        <v/>
      </c>
      <c r="L577" t="str">
        <f>IF($A577&lt;&gt;"",'Approved-Enforcement'!K577,"")</f>
        <v/>
      </c>
      <c r="M577" t="str">
        <f>IF($A577&lt;&gt;"",'Approved-Enforcement'!L577,"")</f>
        <v/>
      </c>
      <c r="N577" t="str">
        <f>IF($A577&lt;&gt;"",'Approved-Enforcement'!M577,"")</f>
        <v/>
      </c>
      <c r="O577" t="str">
        <f>IF($A577&lt;&gt;"",'Approved-Enforcement'!N577,"")</f>
        <v/>
      </c>
      <c r="P577" t="str">
        <f>IF($A577&lt;&gt;"",'Approved-Enforcement'!O577,"")</f>
        <v/>
      </c>
    </row>
    <row r="578" spans="1:16" x14ac:dyDescent="0.35">
      <c r="A578" s="4" t="str">
        <f>IF('Approved-Enforcement'!$A578&lt;&gt;"",'Approved-Enforcement'!A578,"")</f>
        <v/>
      </c>
      <c r="B578" t="str">
        <f t="shared" ref="B578:B641" si="9">IF($A578&lt;&gt;"",IF($C578&lt;&gt;"",$C578,1500),"")</f>
        <v/>
      </c>
      <c r="D578" t="str">
        <f>IF($A578&lt;&gt;"",IF($R578&lt;&gt;"",$R578,'Approved-Enforcement'!$B578+7),"")</f>
        <v/>
      </c>
      <c r="E578" t="str">
        <f>IF($A578&lt;&gt;"",'Approved-Enforcement'!D578,"")</f>
        <v/>
      </c>
      <c r="F578" t="str">
        <f>IF($A578&lt;&gt;"",'Approved-Enforcement'!E578,"")</f>
        <v/>
      </c>
      <c r="G578" t="str">
        <f>IF($A578&lt;&gt;"",'Approved-Enforcement'!F578,"")</f>
        <v/>
      </c>
      <c r="H578" t="str">
        <f>IF($A578&lt;&gt;"",'Approved-Enforcement'!G578,"")</f>
        <v/>
      </c>
      <c r="I578" t="str">
        <f>IF($A578&lt;&gt;"",'Approved-Enforcement'!H578,"")</f>
        <v/>
      </c>
      <c r="J578" t="str">
        <f>IF($A578&lt;&gt;"",'Approved-Enforcement'!I578,"")</f>
        <v/>
      </c>
      <c r="K578" t="str">
        <f>IF($A578&lt;&gt;"",'Approved-Enforcement'!J578,"")</f>
        <v/>
      </c>
      <c r="L578" t="str">
        <f>IF($A578&lt;&gt;"",'Approved-Enforcement'!K578,"")</f>
        <v/>
      </c>
      <c r="M578" t="str">
        <f>IF($A578&lt;&gt;"",'Approved-Enforcement'!L578,"")</f>
        <v/>
      </c>
      <c r="N578" t="str">
        <f>IF($A578&lt;&gt;"",'Approved-Enforcement'!M578,"")</f>
        <v/>
      </c>
      <c r="O578" t="str">
        <f>IF($A578&lt;&gt;"",'Approved-Enforcement'!N578,"")</f>
        <v/>
      </c>
      <c r="P578" t="str">
        <f>IF($A578&lt;&gt;"",'Approved-Enforcement'!O578,"")</f>
        <v/>
      </c>
    </row>
    <row r="579" spans="1:16" x14ac:dyDescent="0.35">
      <c r="A579" s="4" t="str">
        <f>IF('Approved-Enforcement'!$A579&lt;&gt;"",'Approved-Enforcement'!A579,"")</f>
        <v/>
      </c>
      <c r="B579" t="str">
        <f t="shared" si="9"/>
        <v/>
      </c>
      <c r="D579" t="str">
        <f>IF($A579&lt;&gt;"",IF($R579&lt;&gt;"",$R579,'Approved-Enforcement'!$B579+7),"")</f>
        <v/>
      </c>
      <c r="E579" t="str">
        <f>IF($A579&lt;&gt;"",'Approved-Enforcement'!D579,"")</f>
        <v/>
      </c>
      <c r="F579" t="str">
        <f>IF($A579&lt;&gt;"",'Approved-Enforcement'!E579,"")</f>
        <v/>
      </c>
      <c r="G579" t="str">
        <f>IF($A579&lt;&gt;"",'Approved-Enforcement'!F579,"")</f>
        <v/>
      </c>
      <c r="H579" t="str">
        <f>IF($A579&lt;&gt;"",'Approved-Enforcement'!G579,"")</f>
        <v/>
      </c>
      <c r="I579" t="str">
        <f>IF($A579&lt;&gt;"",'Approved-Enforcement'!H579,"")</f>
        <v/>
      </c>
      <c r="J579" t="str">
        <f>IF($A579&lt;&gt;"",'Approved-Enforcement'!I579,"")</f>
        <v/>
      </c>
      <c r="K579" t="str">
        <f>IF($A579&lt;&gt;"",'Approved-Enforcement'!J579,"")</f>
        <v/>
      </c>
      <c r="L579" t="str">
        <f>IF($A579&lt;&gt;"",'Approved-Enforcement'!K579,"")</f>
        <v/>
      </c>
      <c r="M579" t="str">
        <f>IF($A579&lt;&gt;"",'Approved-Enforcement'!L579,"")</f>
        <v/>
      </c>
      <c r="N579" t="str">
        <f>IF($A579&lt;&gt;"",'Approved-Enforcement'!M579,"")</f>
        <v/>
      </c>
      <c r="O579" t="str">
        <f>IF($A579&lt;&gt;"",'Approved-Enforcement'!N579,"")</f>
        <v/>
      </c>
      <c r="P579" t="str">
        <f>IF($A579&lt;&gt;"",'Approved-Enforcement'!O579,"")</f>
        <v/>
      </c>
    </row>
    <row r="580" spans="1:16" x14ac:dyDescent="0.35">
      <c r="A580" s="4" t="str">
        <f>IF('Approved-Enforcement'!$A580&lt;&gt;"",'Approved-Enforcement'!A580,"")</f>
        <v/>
      </c>
      <c r="B580" t="str">
        <f t="shared" si="9"/>
        <v/>
      </c>
      <c r="D580" t="str">
        <f>IF($A580&lt;&gt;"",IF($R580&lt;&gt;"",$R580,'Approved-Enforcement'!$B580+7),"")</f>
        <v/>
      </c>
      <c r="E580" t="str">
        <f>IF($A580&lt;&gt;"",'Approved-Enforcement'!D580,"")</f>
        <v/>
      </c>
      <c r="F580" t="str">
        <f>IF($A580&lt;&gt;"",'Approved-Enforcement'!E580,"")</f>
        <v/>
      </c>
      <c r="G580" t="str">
        <f>IF($A580&lt;&gt;"",'Approved-Enforcement'!F580,"")</f>
        <v/>
      </c>
      <c r="H580" t="str">
        <f>IF($A580&lt;&gt;"",'Approved-Enforcement'!G580,"")</f>
        <v/>
      </c>
      <c r="I580" t="str">
        <f>IF($A580&lt;&gt;"",'Approved-Enforcement'!H580,"")</f>
        <v/>
      </c>
      <c r="J580" t="str">
        <f>IF($A580&lt;&gt;"",'Approved-Enforcement'!I580,"")</f>
        <v/>
      </c>
      <c r="K580" t="str">
        <f>IF($A580&lt;&gt;"",'Approved-Enforcement'!J580,"")</f>
        <v/>
      </c>
      <c r="L580" t="str">
        <f>IF($A580&lt;&gt;"",'Approved-Enforcement'!K580,"")</f>
        <v/>
      </c>
      <c r="M580" t="str">
        <f>IF($A580&lt;&gt;"",'Approved-Enforcement'!L580,"")</f>
        <v/>
      </c>
      <c r="N580" t="str">
        <f>IF($A580&lt;&gt;"",'Approved-Enforcement'!M580,"")</f>
        <v/>
      </c>
      <c r="O580" t="str">
        <f>IF($A580&lt;&gt;"",'Approved-Enforcement'!N580,"")</f>
        <v/>
      </c>
      <c r="P580" t="str">
        <f>IF($A580&lt;&gt;"",'Approved-Enforcement'!O580,"")</f>
        <v/>
      </c>
    </row>
    <row r="581" spans="1:16" x14ac:dyDescent="0.35">
      <c r="A581" s="4" t="str">
        <f>IF('Approved-Enforcement'!$A581&lt;&gt;"",'Approved-Enforcement'!A581,"")</f>
        <v/>
      </c>
      <c r="B581" t="str">
        <f t="shared" si="9"/>
        <v/>
      </c>
      <c r="D581" t="str">
        <f>IF($A581&lt;&gt;"",IF($R581&lt;&gt;"",$R581,'Approved-Enforcement'!$B581+7),"")</f>
        <v/>
      </c>
      <c r="E581" t="str">
        <f>IF($A581&lt;&gt;"",'Approved-Enforcement'!D581,"")</f>
        <v/>
      </c>
      <c r="F581" t="str">
        <f>IF($A581&lt;&gt;"",'Approved-Enforcement'!E581,"")</f>
        <v/>
      </c>
      <c r="G581" t="str">
        <f>IF($A581&lt;&gt;"",'Approved-Enforcement'!F581,"")</f>
        <v/>
      </c>
      <c r="H581" t="str">
        <f>IF($A581&lt;&gt;"",'Approved-Enforcement'!G581,"")</f>
        <v/>
      </c>
      <c r="I581" t="str">
        <f>IF($A581&lt;&gt;"",'Approved-Enforcement'!H581,"")</f>
        <v/>
      </c>
      <c r="J581" t="str">
        <f>IF($A581&lt;&gt;"",'Approved-Enforcement'!I581,"")</f>
        <v/>
      </c>
      <c r="K581" t="str">
        <f>IF($A581&lt;&gt;"",'Approved-Enforcement'!J581,"")</f>
        <v/>
      </c>
      <c r="L581" t="str">
        <f>IF($A581&lt;&gt;"",'Approved-Enforcement'!K581,"")</f>
        <v/>
      </c>
      <c r="M581" t="str">
        <f>IF($A581&lt;&gt;"",'Approved-Enforcement'!L581,"")</f>
        <v/>
      </c>
      <c r="N581" t="str">
        <f>IF($A581&lt;&gt;"",'Approved-Enforcement'!M581,"")</f>
        <v/>
      </c>
      <c r="O581" t="str">
        <f>IF($A581&lt;&gt;"",'Approved-Enforcement'!N581,"")</f>
        <v/>
      </c>
      <c r="P581" t="str">
        <f>IF($A581&lt;&gt;"",'Approved-Enforcement'!O581,"")</f>
        <v/>
      </c>
    </row>
    <row r="582" spans="1:16" x14ac:dyDescent="0.35">
      <c r="A582" s="4" t="str">
        <f>IF('Approved-Enforcement'!$A582&lt;&gt;"",'Approved-Enforcement'!A582,"")</f>
        <v/>
      </c>
      <c r="B582" t="str">
        <f t="shared" si="9"/>
        <v/>
      </c>
      <c r="D582" t="str">
        <f>IF($A582&lt;&gt;"",IF($R582&lt;&gt;"",$R582,'Approved-Enforcement'!$B582+7),"")</f>
        <v/>
      </c>
      <c r="E582" t="str">
        <f>IF($A582&lt;&gt;"",'Approved-Enforcement'!D582,"")</f>
        <v/>
      </c>
      <c r="F582" t="str">
        <f>IF($A582&lt;&gt;"",'Approved-Enforcement'!E582,"")</f>
        <v/>
      </c>
      <c r="G582" t="str">
        <f>IF($A582&lt;&gt;"",'Approved-Enforcement'!F582,"")</f>
        <v/>
      </c>
      <c r="H582" t="str">
        <f>IF($A582&lt;&gt;"",'Approved-Enforcement'!G582,"")</f>
        <v/>
      </c>
      <c r="I582" t="str">
        <f>IF($A582&lt;&gt;"",'Approved-Enforcement'!H582,"")</f>
        <v/>
      </c>
      <c r="J582" t="str">
        <f>IF($A582&lt;&gt;"",'Approved-Enforcement'!I582,"")</f>
        <v/>
      </c>
      <c r="K582" t="str">
        <f>IF($A582&lt;&gt;"",'Approved-Enforcement'!J582,"")</f>
        <v/>
      </c>
      <c r="L582" t="str">
        <f>IF($A582&lt;&gt;"",'Approved-Enforcement'!K582,"")</f>
        <v/>
      </c>
      <c r="M582" t="str">
        <f>IF($A582&lt;&gt;"",'Approved-Enforcement'!L582,"")</f>
        <v/>
      </c>
      <c r="N582" t="str">
        <f>IF($A582&lt;&gt;"",'Approved-Enforcement'!M582,"")</f>
        <v/>
      </c>
      <c r="O582" t="str">
        <f>IF($A582&lt;&gt;"",'Approved-Enforcement'!N582,"")</f>
        <v/>
      </c>
      <c r="P582" t="str">
        <f>IF($A582&lt;&gt;"",'Approved-Enforcement'!O582,"")</f>
        <v/>
      </c>
    </row>
    <row r="583" spans="1:16" x14ac:dyDescent="0.35">
      <c r="A583" s="4" t="str">
        <f>IF('Approved-Enforcement'!$A583&lt;&gt;"",'Approved-Enforcement'!A583,"")</f>
        <v/>
      </c>
      <c r="B583" t="str">
        <f t="shared" si="9"/>
        <v/>
      </c>
      <c r="D583" t="str">
        <f>IF($A583&lt;&gt;"",IF($R583&lt;&gt;"",$R583,'Approved-Enforcement'!$B583+7),"")</f>
        <v/>
      </c>
      <c r="E583" t="str">
        <f>IF($A583&lt;&gt;"",'Approved-Enforcement'!D583,"")</f>
        <v/>
      </c>
      <c r="F583" t="str">
        <f>IF($A583&lt;&gt;"",'Approved-Enforcement'!E583,"")</f>
        <v/>
      </c>
      <c r="G583" t="str">
        <f>IF($A583&lt;&gt;"",'Approved-Enforcement'!F583,"")</f>
        <v/>
      </c>
      <c r="H583" t="str">
        <f>IF($A583&lt;&gt;"",'Approved-Enforcement'!G583,"")</f>
        <v/>
      </c>
      <c r="I583" t="str">
        <f>IF($A583&lt;&gt;"",'Approved-Enforcement'!H583,"")</f>
        <v/>
      </c>
      <c r="J583" t="str">
        <f>IF($A583&lt;&gt;"",'Approved-Enforcement'!I583,"")</f>
        <v/>
      </c>
      <c r="K583" t="str">
        <f>IF($A583&lt;&gt;"",'Approved-Enforcement'!J583,"")</f>
        <v/>
      </c>
      <c r="L583" t="str">
        <f>IF($A583&lt;&gt;"",'Approved-Enforcement'!K583,"")</f>
        <v/>
      </c>
      <c r="M583" t="str">
        <f>IF($A583&lt;&gt;"",'Approved-Enforcement'!L583,"")</f>
        <v/>
      </c>
      <c r="N583" t="str">
        <f>IF($A583&lt;&gt;"",'Approved-Enforcement'!M583,"")</f>
        <v/>
      </c>
      <c r="O583" t="str">
        <f>IF($A583&lt;&gt;"",'Approved-Enforcement'!N583,"")</f>
        <v/>
      </c>
      <c r="P583" t="str">
        <f>IF($A583&lt;&gt;"",'Approved-Enforcement'!O583,"")</f>
        <v/>
      </c>
    </row>
    <row r="584" spans="1:16" x14ac:dyDescent="0.35">
      <c r="A584" s="4" t="str">
        <f>IF('Approved-Enforcement'!$A584&lt;&gt;"",'Approved-Enforcement'!A584,"")</f>
        <v/>
      </c>
      <c r="B584" t="str">
        <f t="shared" si="9"/>
        <v/>
      </c>
      <c r="D584" t="str">
        <f>IF($A584&lt;&gt;"",IF($R584&lt;&gt;"",$R584,'Approved-Enforcement'!$B584+7),"")</f>
        <v/>
      </c>
      <c r="E584" t="str">
        <f>IF($A584&lt;&gt;"",'Approved-Enforcement'!D584,"")</f>
        <v/>
      </c>
      <c r="F584" t="str">
        <f>IF($A584&lt;&gt;"",'Approved-Enforcement'!E584,"")</f>
        <v/>
      </c>
      <c r="G584" t="str">
        <f>IF($A584&lt;&gt;"",'Approved-Enforcement'!F584,"")</f>
        <v/>
      </c>
      <c r="H584" t="str">
        <f>IF($A584&lt;&gt;"",'Approved-Enforcement'!G584,"")</f>
        <v/>
      </c>
      <c r="I584" t="str">
        <f>IF($A584&lt;&gt;"",'Approved-Enforcement'!H584,"")</f>
        <v/>
      </c>
      <c r="J584" t="str">
        <f>IF($A584&lt;&gt;"",'Approved-Enforcement'!I584,"")</f>
        <v/>
      </c>
      <c r="K584" t="str">
        <f>IF($A584&lt;&gt;"",'Approved-Enforcement'!J584,"")</f>
        <v/>
      </c>
      <c r="L584" t="str">
        <f>IF($A584&lt;&gt;"",'Approved-Enforcement'!K584,"")</f>
        <v/>
      </c>
      <c r="M584" t="str">
        <f>IF($A584&lt;&gt;"",'Approved-Enforcement'!L584,"")</f>
        <v/>
      </c>
      <c r="N584" t="str">
        <f>IF($A584&lt;&gt;"",'Approved-Enforcement'!M584,"")</f>
        <v/>
      </c>
      <c r="O584" t="str">
        <f>IF($A584&lt;&gt;"",'Approved-Enforcement'!N584,"")</f>
        <v/>
      </c>
      <c r="P584" t="str">
        <f>IF($A584&lt;&gt;"",'Approved-Enforcement'!O584,"")</f>
        <v/>
      </c>
    </row>
    <row r="585" spans="1:16" x14ac:dyDescent="0.35">
      <c r="A585" s="4" t="str">
        <f>IF('Approved-Enforcement'!$A585&lt;&gt;"",'Approved-Enforcement'!A585,"")</f>
        <v/>
      </c>
      <c r="B585" t="str">
        <f t="shared" si="9"/>
        <v/>
      </c>
      <c r="D585" t="str">
        <f>IF($A585&lt;&gt;"",IF($R585&lt;&gt;"",$R585,'Approved-Enforcement'!$B585+7),"")</f>
        <v/>
      </c>
      <c r="E585" t="str">
        <f>IF($A585&lt;&gt;"",'Approved-Enforcement'!D585,"")</f>
        <v/>
      </c>
      <c r="F585" t="str">
        <f>IF($A585&lt;&gt;"",'Approved-Enforcement'!E585,"")</f>
        <v/>
      </c>
      <c r="G585" t="str">
        <f>IF($A585&lt;&gt;"",'Approved-Enforcement'!F585,"")</f>
        <v/>
      </c>
      <c r="H585" t="str">
        <f>IF($A585&lt;&gt;"",'Approved-Enforcement'!G585,"")</f>
        <v/>
      </c>
      <c r="I585" t="str">
        <f>IF($A585&lt;&gt;"",'Approved-Enforcement'!H585,"")</f>
        <v/>
      </c>
      <c r="J585" t="str">
        <f>IF($A585&lt;&gt;"",'Approved-Enforcement'!I585,"")</f>
        <v/>
      </c>
      <c r="K585" t="str">
        <f>IF($A585&lt;&gt;"",'Approved-Enforcement'!J585,"")</f>
        <v/>
      </c>
      <c r="L585" t="str">
        <f>IF($A585&lt;&gt;"",'Approved-Enforcement'!K585,"")</f>
        <v/>
      </c>
      <c r="M585" t="str">
        <f>IF($A585&lt;&gt;"",'Approved-Enforcement'!L585,"")</f>
        <v/>
      </c>
      <c r="N585" t="str">
        <f>IF($A585&lt;&gt;"",'Approved-Enforcement'!M585,"")</f>
        <v/>
      </c>
      <c r="O585" t="str">
        <f>IF($A585&lt;&gt;"",'Approved-Enforcement'!N585,"")</f>
        <v/>
      </c>
      <c r="P585" t="str">
        <f>IF($A585&lt;&gt;"",'Approved-Enforcement'!O585,"")</f>
        <v/>
      </c>
    </row>
    <row r="586" spans="1:16" x14ac:dyDescent="0.35">
      <c r="A586" s="4" t="str">
        <f>IF('Approved-Enforcement'!$A586&lt;&gt;"",'Approved-Enforcement'!A586,"")</f>
        <v/>
      </c>
      <c r="B586" t="str">
        <f t="shared" si="9"/>
        <v/>
      </c>
      <c r="D586" t="str">
        <f>IF($A586&lt;&gt;"",IF($R586&lt;&gt;"",$R586,'Approved-Enforcement'!$B586+7),"")</f>
        <v/>
      </c>
      <c r="E586" t="str">
        <f>IF($A586&lt;&gt;"",'Approved-Enforcement'!D586,"")</f>
        <v/>
      </c>
      <c r="F586" t="str">
        <f>IF($A586&lt;&gt;"",'Approved-Enforcement'!E586,"")</f>
        <v/>
      </c>
      <c r="G586" t="str">
        <f>IF($A586&lt;&gt;"",'Approved-Enforcement'!F586,"")</f>
        <v/>
      </c>
      <c r="H586" t="str">
        <f>IF($A586&lt;&gt;"",'Approved-Enforcement'!G586,"")</f>
        <v/>
      </c>
      <c r="I586" t="str">
        <f>IF($A586&lt;&gt;"",'Approved-Enforcement'!H586,"")</f>
        <v/>
      </c>
      <c r="J586" t="str">
        <f>IF($A586&lt;&gt;"",'Approved-Enforcement'!I586,"")</f>
        <v/>
      </c>
      <c r="K586" t="str">
        <f>IF($A586&lt;&gt;"",'Approved-Enforcement'!J586,"")</f>
        <v/>
      </c>
      <c r="L586" t="str">
        <f>IF($A586&lt;&gt;"",'Approved-Enforcement'!K586,"")</f>
        <v/>
      </c>
      <c r="M586" t="str">
        <f>IF($A586&lt;&gt;"",'Approved-Enforcement'!L586,"")</f>
        <v/>
      </c>
      <c r="N586" t="str">
        <f>IF($A586&lt;&gt;"",'Approved-Enforcement'!M586,"")</f>
        <v/>
      </c>
      <c r="O586" t="str">
        <f>IF($A586&lt;&gt;"",'Approved-Enforcement'!N586,"")</f>
        <v/>
      </c>
      <c r="P586" t="str">
        <f>IF($A586&lt;&gt;"",'Approved-Enforcement'!O586,"")</f>
        <v/>
      </c>
    </row>
    <row r="587" spans="1:16" x14ac:dyDescent="0.35">
      <c r="A587" s="4" t="str">
        <f>IF('Approved-Enforcement'!$A587&lt;&gt;"",'Approved-Enforcement'!A587,"")</f>
        <v/>
      </c>
      <c r="B587" t="str">
        <f t="shared" si="9"/>
        <v/>
      </c>
      <c r="D587" t="str">
        <f>IF($A587&lt;&gt;"",IF($R587&lt;&gt;"",$R587,'Approved-Enforcement'!$B587+7),"")</f>
        <v/>
      </c>
      <c r="E587" t="str">
        <f>IF($A587&lt;&gt;"",'Approved-Enforcement'!D587,"")</f>
        <v/>
      </c>
      <c r="F587" t="str">
        <f>IF($A587&lt;&gt;"",'Approved-Enforcement'!E587,"")</f>
        <v/>
      </c>
      <c r="G587" t="str">
        <f>IF($A587&lt;&gt;"",'Approved-Enforcement'!F587,"")</f>
        <v/>
      </c>
      <c r="H587" t="str">
        <f>IF($A587&lt;&gt;"",'Approved-Enforcement'!G587,"")</f>
        <v/>
      </c>
      <c r="I587" t="str">
        <f>IF($A587&lt;&gt;"",'Approved-Enforcement'!H587,"")</f>
        <v/>
      </c>
      <c r="J587" t="str">
        <f>IF($A587&lt;&gt;"",'Approved-Enforcement'!I587,"")</f>
        <v/>
      </c>
      <c r="K587" t="str">
        <f>IF($A587&lt;&gt;"",'Approved-Enforcement'!J587,"")</f>
        <v/>
      </c>
      <c r="L587" t="str">
        <f>IF($A587&lt;&gt;"",'Approved-Enforcement'!K587,"")</f>
        <v/>
      </c>
      <c r="M587" t="str">
        <f>IF($A587&lt;&gt;"",'Approved-Enforcement'!L587,"")</f>
        <v/>
      </c>
      <c r="N587" t="str">
        <f>IF($A587&lt;&gt;"",'Approved-Enforcement'!M587,"")</f>
        <v/>
      </c>
      <c r="O587" t="str">
        <f>IF($A587&lt;&gt;"",'Approved-Enforcement'!N587,"")</f>
        <v/>
      </c>
      <c r="P587" t="str">
        <f>IF($A587&lt;&gt;"",'Approved-Enforcement'!O587,"")</f>
        <v/>
      </c>
    </row>
    <row r="588" spans="1:16" x14ac:dyDescent="0.35">
      <c r="A588" s="4" t="str">
        <f>IF('Approved-Enforcement'!$A588&lt;&gt;"",'Approved-Enforcement'!A588,"")</f>
        <v/>
      </c>
      <c r="B588" t="str">
        <f t="shared" si="9"/>
        <v/>
      </c>
      <c r="D588" t="str">
        <f>IF($A588&lt;&gt;"",IF($R588&lt;&gt;"",$R588,'Approved-Enforcement'!$B588+7),"")</f>
        <v/>
      </c>
      <c r="E588" t="str">
        <f>IF($A588&lt;&gt;"",'Approved-Enforcement'!D588,"")</f>
        <v/>
      </c>
      <c r="F588" t="str">
        <f>IF($A588&lt;&gt;"",'Approved-Enforcement'!E588,"")</f>
        <v/>
      </c>
      <c r="G588" t="str">
        <f>IF($A588&lt;&gt;"",'Approved-Enforcement'!F588,"")</f>
        <v/>
      </c>
      <c r="H588" t="str">
        <f>IF($A588&lt;&gt;"",'Approved-Enforcement'!G588,"")</f>
        <v/>
      </c>
      <c r="I588" t="str">
        <f>IF($A588&lt;&gt;"",'Approved-Enforcement'!H588,"")</f>
        <v/>
      </c>
      <c r="J588" t="str">
        <f>IF($A588&lt;&gt;"",'Approved-Enforcement'!I588,"")</f>
        <v/>
      </c>
      <c r="K588" t="str">
        <f>IF($A588&lt;&gt;"",'Approved-Enforcement'!J588,"")</f>
        <v/>
      </c>
      <c r="L588" t="str">
        <f>IF($A588&lt;&gt;"",'Approved-Enforcement'!K588,"")</f>
        <v/>
      </c>
      <c r="M588" t="str">
        <f>IF($A588&lt;&gt;"",'Approved-Enforcement'!L588,"")</f>
        <v/>
      </c>
      <c r="N588" t="str">
        <f>IF($A588&lt;&gt;"",'Approved-Enforcement'!M588,"")</f>
        <v/>
      </c>
      <c r="O588" t="str">
        <f>IF($A588&lt;&gt;"",'Approved-Enforcement'!N588,"")</f>
        <v/>
      </c>
      <c r="P588" t="str">
        <f>IF($A588&lt;&gt;"",'Approved-Enforcement'!O588,"")</f>
        <v/>
      </c>
    </row>
    <row r="589" spans="1:16" x14ac:dyDescent="0.35">
      <c r="A589" s="4" t="str">
        <f>IF('Approved-Enforcement'!$A589&lt;&gt;"",'Approved-Enforcement'!A589,"")</f>
        <v/>
      </c>
      <c r="B589" t="str">
        <f t="shared" si="9"/>
        <v/>
      </c>
      <c r="D589" t="str">
        <f>IF($A589&lt;&gt;"",IF($R589&lt;&gt;"",$R589,'Approved-Enforcement'!$B589+7),"")</f>
        <v/>
      </c>
      <c r="E589" t="str">
        <f>IF($A589&lt;&gt;"",'Approved-Enforcement'!D589,"")</f>
        <v/>
      </c>
      <c r="F589" t="str">
        <f>IF($A589&lt;&gt;"",'Approved-Enforcement'!E589,"")</f>
        <v/>
      </c>
      <c r="G589" t="str">
        <f>IF($A589&lt;&gt;"",'Approved-Enforcement'!F589,"")</f>
        <v/>
      </c>
      <c r="H589" t="str">
        <f>IF($A589&lt;&gt;"",'Approved-Enforcement'!G589,"")</f>
        <v/>
      </c>
      <c r="I589" t="str">
        <f>IF($A589&lt;&gt;"",'Approved-Enforcement'!H589,"")</f>
        <v/>
      </c>
      <c r="J589" t="str">
        <f>IF($A589&lt;&gt;"",'Approved-Enforcement'!I589,"")</f>
        <v/>
      </c>
      <c r="K589" t="str">
        <f>IF($A589&lt;&gt;"",'Approved-Enforcement'!J589,"")</f>
        <v/>
      </c>
      <c r="L589" t="str">
        <f>IF($A589&lt;&gt;"",'Approved-Enforcement'!K589,"")</f>
        <v/>
      </c>
      <c r="M589" t="str">
        <f>IF($A589&lt;&gt;"",'Approved-Enforcement'!L589,"")</f>
        <v/>
      </c>
      <c r="N589" t="str">
        <f>IF($A589&lt;&gt;"",'Approved-Enforcement'!M589,"")</f>
        <v/>
      </c>
      <c r="O589" t="str">
        <f>IF($A589&lt;&gt;"",'Approved-Enforcement'!N589,"")</f>
        <v/>
      </c>
      <c r="P589" t="str">
        <f>IF($A589&lt;&gt;"",'Approved-Enforcement'!O589,"")</f>
        <v/>
      </c>
    </row>
    <row r="590" spans="1:16" x14ac:dyDescent="0.35">
      <c r="A590" s="4" t="str">
        <f>IF('Approved-Enforcement'!$A590&lt;&gt;"",'Approved-Enforcement'!A590,"")</f>
        <v/>
      </c>
      <c r="B590" t="str">
        <f t="shared" si="9"/>
        <v/>
      </c>
      <c r="D590" t="str">
        <f>IF($A590&lt;&gt;"",IF($R590&lt;&gt;"",$R590,'Approved-Enforcement'!$B590+7),"")</f>
        <v/>
      </c>
      <c r="E590" t="str">
        <f>IF($A590&lt;&gt;"",'Approved-Enforcement'!D590,"")</f>
        <v/>
      </c>
      <c r="F590" t="str">
        <f>IF($A590&lt;&gt;"",'Approved-Enforcement'!E590,"")</f>
        <v/>
      </c>
      <c r="G590" t="str">
        <f>IF($A590&lt;&gt;"",'Approved-Enforcement'!F590,"")</f>
        <v/>
      </c>
      <c r="H590" t="str">
        <f>IF($A590&lt;&gt;"",'Approved-Enforcement'!G590,"")</f>
        <v/>
      </c>
      <c r="I590" t="str">
        <f>IF($A590&lt;&gt;"",'Approved-Enforcement'!H590,"")</f>
        <v/>
      </c>
      <c r="J590" t="str">
        <f>IF($A590&lt;&gt;"",'Approved-Enforcement'!I590,"")</f>
        <v/>
      </c>
      <c r="K590" t="str">
        <f>IF($A590&lt;&gt;"",'Approved-Enforcement'!J590,"")</f>
        <v/>
      </c>
      <c r="L590" t="str">
        <f>IF($A590&lt;&gt;"",'Approved-Enforcement'!K590,"")</f>
        <v/>
      </c>
      <c r="M590" t="str">
        <f>IF($A590&lt;&gt;"",'Approved-Enforcement'!L590,"")</f>
        <v/>
      </c>
      <c r="N590" t="str">
        <f>IF($A590&lt;&gt;"",'Approved-Enforcement'!M590,"")</f>
        <v/>
      </c>
      <c r="O590" t="str">
        <f>IF($A590&lt;&gt;"",'Approved-Enforcement'!N590,"")</f>
        <v/>
      </c>
      <c r="P590" t="str">
        <f>IF($A590&lt;&gt;"",'Approved-Enforcement'!O590,"")</f>
        <v/>
      </c>
    </row>
    <row r="591" spans="1:16" x14ac:dyDescent="0.35">
      <c r="A591" s="4" t="str">
        <f>IF('Approved-Enforcement'!$A591&lt;&gt;"",'Approved-Enforcement'!A591,"")</f>
        <v/>
      </c>
      <c r="B591" t="str">
        <f t="shared" si="9"/>
        <v/>
      </c>
      <c r="D591" t="str">
        <f>IF($A591&lt;&gt;"",IF($R591&lt;&gt;"",$R591,'Approved-Enforcement'!$B591+7),"")</f>
        <v/>
      </c>
      <c r="E591" t="str">
        <f>IF($A591&lt;&gt;"",'Approved-Enforcement'!D591,"")</f>
        <v/>
      </c>
      <c r="F591" t="str">
        <f>IF($A591&lt;&gt;"",'Approved-Enforcement'!E591,"")</f>
        <v/>
      </c>
      <c r="G591" t="str">
        <f>IF($A591&lt;&gt;"",'Approved-Enforcement'!F591,"")</f>
        <v/>
      </c>
      <c r="H591" t="str">
        <f>IF($A591&lt;&gt;"",'Approved-Enforcement'!G591,"")</f>
        <v/>
      </c>
      <c r="I591" t="str">
        <f>IF($A591&lt;&gt;"",'Approved-Enforcement'!H591,"")</f>
        <v/>
      </c>
      <c r="J591" t="str">
        <f>IF($A591&lt;&gt;"",'Approved-Enforcement'!I591,"")</f>
        <v/>
      </c>
      <c r="K591" t="str">
        <f>IF($A591&lt;&gt;"",'Approved-Enforcement'!J591,"")</f>
        <v/>
      </c>
      <c r="L591" t="str">
        <f>IF($A591&lt;&gt;"",'Approved-Enforcement'!K591,"")</f>
        <v/>
      </c>
      <c r="M591" t="str">
        <f>IF($A591&lt;&gt;"",'Approved-Enforcement'!L591,"")</f>
        <v/>
      </c>
      <c r="N591" t="str">
        <f>IF($A591&lt;&gt;"",'Approved-Enforcement'!M591,"")</f>
        <v/>
      </c>
      <c r="O591" t="str">
        <f>IF($A591&lt;&gt;"",'Approved-Enforcement'!N591,"")</f>
        <v/>
      </c>
      <c r="P591" t="str">
        <f>IF($A591&lt;&gt;"",'Approved-Enforcement'!O591,"")</f>
        <v/>
      </c>
    </row>
    <row r="592" spans="1:16" x14ac:dyDescent="0.35">
      <c r="A592" s="4" t="str">
        <f>IF('Approved-Enforcement'!$A592&lt;&gt;"",'Approved-Enforcement'!A592,"")</f>
        <v/>
      </c>
      <c r="B592" t="str">
        <f t="shared" si="9"/>
        <v/>
      </c>
      <c r="D592" t="str">
        <f>IF($A592&lt;&gt;"",IF($R592&lt;&gt;"",$R592,'Approved-Enforcement'!$B592+7),"")</f>
        <v/>
      </c>
      <c r="E592" t="str">
        <f>IF($A592&lt;&gt;"",'Approved-Enforcement'!D592,"")</f>
        <v/>
      </c>
      <c r="F592" t="str">
        <f>IF($A592&lt;&gt;"",'Approved-Enforcement'!E592,"")</f>
        <v/>
      </c>
      <c r="G592" t="str">
        <f>IF($A592&lt;&gt;"",'Approved-Enforcement'!F592,"")</f>
        <v/>
      </c>
      <c r="H592" t="str">
        <f>IF($A592&lt;&gt;"",'Approved-Enforcement'!G592,"")</f>
        <v/>
      </c>
      <c r="I592" t="str">
        <f>IF($A592&lt;&gt;"",'Approved-Enforcement'!H592,"")</f>
        <v/>
      </c>
      <c r="J592" t="str">
        <f>IF($A592&lt;&gt;"",'Approved-Enforcement'!I592,"")</f>
        <v/>
      </c>
      <c r="K592" t="str">
        <f>IF($A592&lt;&gt;"",'Approved-Enforcement'!J592,"")</f>
        <v/>
      </c>
      <c r="L592" t="str">
        <f>IF($A592&lt;&gt;"",'Approved-Enforcement'!K592,"")</f>
        <v/>
      </c>
      <c r="M592" t="str">
        <f>IF($A592&lt;&gt;"",'Approved-Enforcement'!L592,"")</f>
        <v/>
      </c>
      <c r="N592" t="str">
        <f>IF($A592&lt;&gt;"",'Approved-Enforcement'!M592,"")</f>
        <v/>
      </c>
      <c r="O592" t="str">
        <f>IF($A592&lt;&gt;"",'Approved-Enforcement'!N592,"")</f>
        <v/>
      </c>
      <c r="P592" t="str">
        <f>IF($A592&lt;&gt;"",'Approved-Enforcement'!O592,"")</f>
        <v/>
      </c>
    </row>
    <row r="593" spans="1:16" x14ac:dyDescent="0.35">
      <c r="A593" s="4" t="str">
        <f>IF('Approved-Enforcement'!$A593&lt;&gt;"",'Approved-Enforcement'!A593,"")</f>
        <v/>
      </c>
      <c r="B593" t="str">
        <f t="shared" si="9"/>
        <v/>
      </c>
      <c r="D593" t="str">
        <f>IF($A593&lt;&gt;"",IF($R593&lt;&gt;"",$R593,'Approved-Enforcement'!$B593+7),"")</f>
        <v/>
      </c>
      <c r="E593" t="str">
        <f>IF($A593&lt;&gt;"",'Approved-Enforcement'!D593,"")</f>
        <v/>
      </c>
      <c r="F593" t="str">
        <f>IF($A593&lt;&gt;"",'Approved-Enforcement'!E593,"")</f>
        <v/>
      </c>
      <c r="G593" t="str">
        <f>IF($A593&lt;&gt;"",'Approved-Enforcement'!F593,"")</f>
        <v/>
      </c>
      <c r="H593" t="str">
        <f>IF($A593&lt;&gt;"",'Approved-Enforcement'!G593,"")</f>
        <v/>
      </c>
      <c r="I593" t="str">
        <f>IF($A593&lt;&gt;"",'Approved-Enforcement'!H593,"")</f>
        <v/>
      </c>
      <c r="J593" t="str">
        <f>IF($A593&lt;&gt;"",'Approved-Enforcement'!I593,"")</f>
        <v/>
      </c>
      <c r="K593" t="str">
        <f>IF($A593&lt;&gt;"",'Approved-Enforcement'!J593,"")</f>
        <v/>
      </c>
      <c r="L593" t="str">
        <f>IF($A593&lt;&gt;"",'Approved-Enforcement'!K593,"")</f>
        <v/>
      </c>
      <c r="M593" t="str">
        <f>IF($A593&lt;&gt;"",'Approved-Enforcement'!L593,"")</f>
        <v/>
      </c>
      <c r="N593" t="str">
        <f>IF($A593&lt;&gt;"",'Approved-Enforcement'!M593,"")</f>
        <v/>
      </c>
      <c r="O593" t="str">
        <f>IF($A593&lt;&gt;"",'Approved-Enforcement'!N593,"")</f>
        <v/>
      </c>
      <c r="P593" t="str">
        <f>IF($A593&lt;&gt;"",'Approved-Enforcement'!O593,"")</f>
        <v/>
      </c>
    </row>
    <row r="594" spans="1:16" x14ac:dyDescent="0.35">
      <c r="A594" s="4" t="str">
        <f>IF('Approved-Enforcement'!$A594&lt;&gt;"",'Approved-Enforcement'!A594,"")</f>
        <v/>
      </c>
      <c r="B594" t="str">
        <f t="shared" si="9"/>
        <v/>
      </c>
      <c r="D594" t="str">
        <f>IF($A594&lt;&gt;"",IF($R594&lt;&gt;"",$R594,'Approved-Enforcement'!$B594+7),"")</f>
        <v/>
      </c>
      <c r="E594" t="str">
        <f>IF($A594&lt;&gt;"",'Approved-Enforcement'!D594,"")</f>
        <v/>
      </c>
      <c r="F594" t="str">
        <f>IF($A594&lt;&gt;"",'Approved-Enforcement'!E594,"")</f>
        <v/>
      </c>
      <c r="G594" t="str">
        <f>IF($A594&lt;&gt;"",'Approved-Enforcement'!F594,"")</f>
        <v/>
      </c>
      <c r="H594" t="str">
        <f>IF($A594&lt;&gt;"",'Approved-Enforcement'!G594,"")</f>
        <v/>
      </c>
      <c r="I594" t="str">
        <f>IF($A594&lt;&gt;"",'Approved-Enforcement'!H594,"")</f>
        <v/>
      </c>
      <c r="J594" t="str">
        <f>IF($A594&lt;&gt;"",'Approved-Enforcement'!I594,"")</f>
        <v/>
      </c>
      <c r="K594" t="str">
        <f>IF($A594&lt;&gt;"",'Approved-Enforcement'!J594,"")</f>
        <v/>
      </c>
      <c r="L594" t="str">
        <f>IF($A594&lt;&gt;"",'Approved-Enforcement'!K594,"")</f>
        <v/>
      </c>
      <c r="M594" t="str">
        <f>IF($A594&lt;&gt;"",'Approved-Enforcement'!L594,"")</f>
        <v/>
      </c>
      <c r="N594" t="str">
        <f>IF($A594&lt;&gt;"",'Approved-Enforcement'!M594,"")</f>
        <v/>
      </c>
      <c r="O594" t="str">
        <f>IF($A594&lt;&gt;"",'Approved-Enforcement'!N594,"")</f>
        <v/>
      </c>
      <c r="P594" t="str">
        <f>IF($A594&lt;&gt;"",'Approved-Enforcement'!O594,"")</f>
        <v/>
      </c>
    </row>
    <row r="595" spans="1:16" x14ac:dyDescent="0.35">
      <c r="A595" s="4" t="str">
        <f>IF('Approved-Enforcement'!$A595&lt;&gt;"",'Approved-Enforcement'!A595,"")</f>
        <v/>
      </c>
      <c r="B595" t="str">
        <f t="shared" si="9"/>
        <v/>
      </c>
      <c r="D595" t="str">
        <f>IF($A595&lt;&gt;"",IF($R595&lt;&gt;"",$R595,'Approved-Enforcement'!$B595+7),"")</f>
        <v/>
      </c>
      <c r="E595" t="str">
        <f>IF($A595&lt;&gt;"",'Approved-Enforcement'!D595,"")</f>
        <v/>
      </c>
      <c r="F595" t="str">
        <f>IF($A595&lt;&gt;"",'Approved-Enforcement'!E595,"")</f>
        <v/>
      </c>
      <c r="G595" t="str">
        <f>IF($A595&lt;&gt;"",'Approved-Enforcement'!F595,"")</f>
        <v/>
      </c>
      <c r="H595" t="str">
        <f>IF($A595&lt;&gt;"",'Approved-Enforcement'!G595,"")</f>
        <v/>
      </c>
      <c r="I595" t="str">
        <f>IF($A595&lt;&gt;"",'Approved-Enforcement'!H595,"")</f>
        <v/>
      </c>
      <c r="J595" t="str">
        <f>IF($A595&lt;&gt;"",'Approved-Enforcement'!I595,"")</f>
        <v/>
      </c>
      <c r="K595" t="str">
        <f>IF($A595&lt;&gt;"",'Approved-Enforcement'!J595,"")</f>
        <v/>
      </c>
      <c r="L595" t="str">
        <f>IF($A595&lt;&gt;"",'Approved-Enforcement'!K595,"")</f>
        <v/>
      </c>
      <c r="M595" t="str">
        <f>IF($A595&lt;&gt;"",'Approved-Enforcement'!L595,"")</f>
        <v/>
      </c>
      <c r="N595" t="str">
        <f>IF($A595&lt;&gt;"",'Approved-Enforcement'!M595,"")</f>
        <v/>
      </c>
      <c r="O595" t="str">
        <f>IF($A595&lt;&gt;"",'Approved-Enforcement'!N595,"")</f>
        <v/>
      </c>
      <c r="P595" t="str">
        <f>IF($A595&lt;&gt;"",'Approved-Enforcement'!O595,"")</f>
        <v/>
      </c>
    </row>
    <row r="596" spans="1:16" x14ac:dyDescent="0.35">
      <c r="A596" s="4" t="str">
        <f>IF('Approved-Enforcement'!$A596&lt;&gt;"",'Approved-Enforcement'!A596,"")</f>
        <v/>
      </c>
      <c r="B596" t="str">
        <f t="shared" si="9"/>
        <v/>
      </c>
      <c r="D596" t="str">
        <f>IF($A596&lt;&gt;"",IF($R596&lt;&gt;"",$R596,'Approved-Enforcement'!$B596+7),"")</f>
        <v/>
      </c>
      <c r="E596" t="str">
        <f>IF($A596&lt;&gt;"",'Approved-Enforcement'!D596,"")</f>
        <v/>
      </c>
      <c r="F596" t="str">
        <f>IF($A596&lt;&gt;"",'Approved-Enforcement'!E596,"")</f>
        <v/>
      </c>
      <c r="G596" t="str">
        <f>IF($A596&lt;&gt;"",'Approved-Enforcement'!F596,"")</f>
        <v/>
      </c>
      <c r="H596" t="str">
        <f>IF($A596&lt;&gt;"",'Approved-Enforcement'!G596,"")</f>
        <v/>
      </c>
      <c r="I596" t="str">
        <f>IF($A596&lt;&gt;"",'Approved-Enforcement'!H596,"")</f>
        <v/>
      </c>
      <c r="J596" t="str">
        <f>IF($A596&lt;&gt;"",'Approved-Enforcement'!I596,"")</f>
        <v/>
      </c>
      <c r="K596" t="str">
        <f>IF($A596&lt;&gt;"",'Approved-Enforcement'!J596,"")</f>
        <v/>
      </c>
      <c r="L596" t="str">
        <f>IF($A596&lt;&gt;"",'Approved-Enforcement'!K596,"")</f>
        <v/>
      </c>
      <c r="M596" t="str">
        <f>IF($A596&lt;&gt;"",'Approved-Enforcement'!L596,"")</f>
        <v/>
      </c>
      <c r="N596" t="str">
        <f>IF($A596&lt;&gt;"",'Approved-Enforcement'!M596,"")</f>
        <v/>
      </c>
      <c r="O596" t="str">
        <f>IF($A596&lt;&gt;"",'Approved-Enforcement'!N596,"")</f>
        <v/>
      </c>
      <c r="P596" t="str">
        <f>IF($A596&lt;&gt;"",'Approved-Enforcement'!O596,"")</f>
        <v/>
      </c>
    </row>
    <row r="597" spans="1:16" x14ac:dyDescent="0.35">
      <c r="A597" s="4" t="str">
        <f>IF('Approved-Enforcement'!$A597&lt;&gt;"",'Approved-Enforcement'!A597,"")</f>
        <v/>
      </c>
      <c r="B597" t="str">
        <f t="shared" si="9"/>
        <v/>
      </c>
      <c r="D597" t="str">
        <f>IF($A597&lt;&gt;"",IF($R597&lt;&gt;"",$R597,'Approved-Enforcement'!$B597+7),"")</f>
        <v/>
      </c>
      <c r="E597" t="str">
        <f>IF($A597&lt;&gt;"",'Approved-Enforcement'!D597,"")</f>
        <v/>
      </c>
      <c r="F597" t="str">
        <f>IF($A597&lt;&gt;"",'Approved-Enforcement'!E597,"")</f>
        <v/>
      </c>
      <c r="G597" t="str">
        <f>IF($A597&lt;&gt;"",'Approved-Enforcement'!F597,"")</f>
        <v/>
      </c>
      <c r="H597" t="str">
        <f>IF($A597&lt;&gt;"",'Approved-Enforcement'!G597,"")</f>
        <v/>
      </c>
      <c r="I597" t="str">
        <f>IF($A597&lt;&gt;"",'Approved-Enforcement'!H597,"")</f>
        <v/>
      </c>
      <c r="J597" t="str">
        <f>IF($A597&lt;&gt;"",'Approved-Enforcement'!I597,"")</f>
        <v/>
      </c>
      <c r="K597" t="str">
        <f>IF($A597&lt;&gt;"",'Approved-Enforcement'!J597,"")</f>
        <v/>
      </c>
      <c r="L597" t="str">
        <f>IF($A597&lt;&gt;"",'Approved-Enforcement'!K597,"")</f>
        <v/>
      </c>
      <c r="M597" t="str">
        <f>IF($A597&lt;&gt;"",'Approved-Enforcement'!L597,"")</f>
        <v/>
      </c>
      <c r="N597" t="str">
        <f>IF($A597&lt;&gt;"",'Approved-Enforcement'!M597,"")</f>
        <v/>
      </c>
      <c r="O597" t="str">
        <f>IF($A597&lt;&gt;"",'Approved-Enforcement'!N597,"")</f>
        <v/>
      </c>
      <c r="P597" t="str">
        <f>IF($A597&lt;&gt;"",'Approved-Enforcement'!O597,"")</f>
        <v/>
      </c>
    </row>
    <row r="598" spans="1:16" x14ac:dyDescent="0.35">
      <c r="A598" s="4" t="str">
        <f>IF('Approved-Enforcement'!$A598&lt;&gt;"",'Approved-Enforcement'!A598,"")</f>
        <v/>
      </c>
      <c r="B598" t="str">
        <f t="shared" si="9"/>
        <v/>
      </c>
      <c r="D598" t="str">
        <f>IF($A598&lt;&gt;"",IF($R598&lt;&gt;"",$R598,'Approved-Enforcement'!$B598+7),"")</f>
        <v/>
      </c>
      <c r="E598" t="str">
        <f>IF($A598&lt;&gt;"",'Approved-Enforcement'!D598,"")</f>
        <v/>
      </c>
      <c r="F598" t="str">
        <f>IF($A598&lt;&gt;"",'Approved-Enforcement'!E598,"")</f>
        <v/>
      </c>
      <c r="G598" t="str">
        <f>IF($A598&lt;&gt;"",'Approved-Enforcement'!F598,"")</f>
        <v/>
      </c>
      <c r="H598" t="str">
        <f>IF($A598&lt;&gt;"",'Approved-Enforcement'!G598,"")</f>
        <v/>
      </c>
      <c r="I598" t="str">
        <f>IF($A598&lt;&gt;"",'Approved-Enforcement'!H598,"")</f>
        <v/>
      </c>
      <c r="J598" t="str">
        <f>IF($A598&lt;&gt;"",'Approved-Enforcement'!I598,"")</f>
        <v/>
      </c>
      <c r="K598" t="str">
        <f>IF($A598&lt;&gt;"",'Approved-Enforcement'!J598,"")</f>
        <v/>
      </c>
      <c r="L598" t="str">
        <f>IF($A598&lt;&gt;"",'Approved-Enforcement'!K598,"")</f>
        <v/>
      </c>
      <c r="M598" t="str">
        <f>IF($A598&lt;&gt;"",'Approved-Enforcement'!L598,"")</f>
        <v/>
      </c>
      <c r="N598" t="str">
        <f>IF($A598&lt;&gt;"",'Approved-Enforcement'!M598,"")</f>
        <v/>
      </c>
      <c r="O598" t="str">
        <f>IF($A598&lt;&gt;"",'Approved-Enforcement'!N598,"")</f>
        <v/>
      </c>
      <c r="P598" t="str">
        <f>IF($A598&lt;&gt;"",'Approved-Enforcement'!O598,"")</f>
        <v/>
      </c>
    </row>
    <row r="599" spans="1:16" x14ac:dyDescent="0.35">
      <c r="A599" s="4" t="str">
        <f>IF('Approved-Enforcement'!$A599&lt;&gt;"",'Approved-Enforcement'!A599,"")</f>
        <v/>
      </c>
      <c r="B599" t="str">
        <f t="shared" si="9"/>
        <v/>
      </c>
      <c r="D599" t="str">
        <f>IF($A599&lt;&gt;"",IF($R599&lt;&gt;"",$R599,'Approved-Enforcement'!$B599+7),"")</f>
        <v/>
      </c>
      <c r="E599" t="str">
        <f>IF($A599&lt;&gt;"",'Approved-Enforcement'!D599,"")</f>
        <v/>
      </c>
      <c r="F599" t="str">
        <f>IF($A599&lt;&gt;"",'Approved-Enforcement'!E599,"")</f>
        <v/>
      </c>
      <c r="G599" t="str">
        <f>IF($A599&lt;&gt;"",'Approved-Enforcement'!F599,"")</f>
        <v/>
      </c>
      <c r="H599" t="str">
        <f>IF($A599&lt;&gt;"",'Approved-Enforcement'!G599,"")</f>
        <v/>
      </c>
      <c r="I599" t="str">
        <f>IF($A599&lt;&gt;"",'Approved-Enforcement'!H599,"")</f>
        <v/>
      </c>
      <c r="J599" t="str">
        <f>IF($A599&lt;&gt;"",'Approved-Enforcement'!I599,"")</f>
        <v/>
      </c>
      <c r="K599" t="str">
        <f>IF($A599&lt;&gt;"",'Approved-Enforcement'!J599,"")</f>
        <v/>
      </c>
      <c r="L599" t="str">
        <f>IF($A599&lt;&gt;"",'Approved-Enforcement'!K599,"")</f>
        <v/>
      </c>
      <c r="M599" t="str">
        <f>IF($A599&lt;&gt;"",'Approved-Enforcement'!L599,"")</f>
        <v/>
      </c>
      <c r="N599" t="str">
        <f>IF($A599&lt;&gt;"",'Approved-Enforcement'!M599,"")</f>
        <v/>
      </c>
      <c r="O599" t="str">
        <f>IF($A599&lt;&gt;"",'Approved-Enforcement'!N599,"")</f>
        <v/>
      </c>
      <c r="P599" t="str">
        <f>IF($A599&lt;&gt;"",'Approved-Enforcement'!O599,"")</f>
        <v/>
      </c>
    </row>
    <row r="600" spans="1:16" x14ac:dyDescent="0.35">
      <c r="A600" s="4" t="str">
        <f>IF('Approved-Enforcement'!$A600&lt;&gt;"",'Approved-Enforcement'!A600,"")</f>
        <v/>
      </c>
      <c r="B600" t="str">
        <f t="shared" si="9"/>
        <v/>
      </c>
      <c r="D600" t="str">
        <f>IF($A600&lt;&gt;"",IF($R600&lt;&gt;"",$R600,'Approved-Enforcement'!$B600+7),"")</f>
        <v/>
      </c>
      <c r="E600" t="str">
        <f>IF($A600&lt;&gt;"",'Approved-Enforcement'!D600,"")</f>
        <v/>
      </c>
      <c r="F600" t="str">
        <f>IF($A600&lt;&gt;"",'Approved-Enforcement'!E600,"")</f>
        <v/>
      </c>
      <c r="G600" t="str">
        <f>IF($A600&lt;&gt;"",'Approved-Enforcement'!F600,"")</f>
        <v/>
      </c>
      <c r="H600" t="str">
        <f>IF($A600&lt;&gt;"",'Approved-Enforcement'!G600,"")</f>
        <v/>
      </c>
      <c r="I600" t="str">
        <f>IF($A600&lt;&gt;"",'Approved-Enforcement'!H600,"")</f>
        <v/>
      </c>
      <c r="J600" t="str">
        <f>IF($A600&lt;&gt;"",'Approved-Enforcement'!I600,"")</f>
        <v/>
      </c>
      <c r="K600" t="str">
        <f>IF($A600&lt;&gt;"",'Approved-Enforcement'!J600,"")</f>
        <v/>
      </c>
      <c r="L600" t="str">
        <f>IF($A600&lt;&gt;"",'Approved-Enforcement'!K600,"")</f>
        <v/>
      </c>
      <c r="M600" t="str">
        <f>IF($A600&lt;&gt;"",'Approved-Enforcement'!L600,"")</f>
        <v/>
      </c>
      <c r="N600" t="str">
        <f>IF($A600&lt;&gt;"",'Approved-Enforcement'!M600,"")</f>
        <v/>
      </c>
      <c r="O600" t="str">
        <f>IF($A600&lt;&gt;"",'Approved-Enforcement'!N600,"")</f>
        <v/>
      </c>
      <c r="P600" t="str">
        <f>IF($A600&lt;&gt;"",'Approved-Enforcement'!O600,"")</f>
        <v/>
      </c>
    </row>
    <row r="601" spans="1:16" x14ac:dyDescent="0.35">
      <c r="A601" s="4" t="str">
        <f>IF('Approved-Enforcement'!$A601&lt;&gt;"",'Approved-Enforcement'!A601,"")</f>
        <v/>
      </c>
      <c r="B601" t="str">
        <f t="shared" si="9"/>
        <v/>
      </c>
      <c r="D601" t="str">
        <f>IF($A601&lt;&gt;"",IF($R601&lt;&gt;"",$R601,'Approved-Enforcement'!$B601+7),"")</f>
        <v/>
      </c>
      <c r="E601" t="str">
        <f>IF($A601&lt;&gt;"",'Approved-Enforcement'!D601,"")</f>
        <v/>
      </c>
      <c r="F601" t="str">
        <f>IF($A601&lt;&gt;"",'Approved-Enforcement'!E601,"")</f>
        <v/>
      </c>
      <c r="G601" t="str">
        <f>IF($A601&lt;&gt;"",'Approved-Enforcement'!F601,"")</f>
        <v/>
      </c>
      <c r="H601" t="str">
        <f>IF($A601&lt;&gt;"",'Approved-Enforcement'!G601,"")</f>
        <v/>
      </c>
      <c r="I601" t="str">
        <f>IF($A601&lt;&gt;"",'Approved-Enforcement'!H601,"")</f>
        <v/>
      </c>
      <c r="J601" t="str">
        <f>IF($A601&lt;&gt;"",'Approved-Enforcement'!I601,"")</f>
        <v/>
      </c>
      <c r="K601" t="str">
        <f>IF($A601&lt;&gt;"",'Approved-Enforcement'!J601,"")</f>
        <v/>
      </c>
      <c r="L601" t="str">
        <f>IF($A601&lt;&gt;"",'Approved-Enforcement'!K601,"")</f>
        <v/>
      </c>
      <c r="M601" t="str">
        <f>IF($A601&lt;&gt;"",'Approved-Enforcement'!L601,"")</f>
        <v/>
      </c>
      <c r="N601" t="str">
        <f>IF($A601&lt;&gt;"",'Approved-Enforcement'!M601,"")</f>
        <v/>
      </c>
      <c r="O601" t="str">
        <f>IF($A601&lt;&gt;"",'Approved-Enforcement'!N601,"")</f>
        <v/>
      </c>
      <c r="P601" t="str">
        <f>IF($A601&lt;&gt;"",'Approved-Enforcement'!O601,"")</f>
        <v/>
      </c>
    </row>
    <row r="602" spans="1:16" x14ac:dyDescent="0.35">
      <c r="A602" s="4" t="str">
        <f>IF('Approved-Enforcement'!$A602&lt;&gt;"",'Approved-Enforcement'!A602,"")</f>
        <v/>
      </c>
      <c r="B602" t="str">
        <f t="shared" si="9"/>
        <v/>
      </c>
      <c r="D602" t="str">
        <f>IF($A602&lt;&gt;"",IF($R602&lt;&gt;"",$R602,'Approved-Enforcement'!$B602+7),"")</f>
        <v/>
      </c>
      <c r="E602" t="str">
        <f>IF($A602&lt;&gt;"",'Approved-Enforcement'!D602,"")</f>
        <v/>
      </c>
      <c r="F602" t="str">
        <f>IF($A602&lt;&gt;"",'Approved-Enforcement'!E602,"")</f>
        <v/>
      </c>
      <c r="G602" t="str">
        <f>IF($A602&lt;&gt;"",'Approved-Enforcement'!F602,"")</f>
        <v/>
      </c>
      <c r="H602" t="str">
        <f>IF($A602&lt;&gt;"",'Approved-Enforcement'!G602,"")</f>
        <v/>
      </c>
      <c r="I602" t="str">
        <f>IF($A602&lt;&gt;"",'Approved-Enforcement'!H602,"")</f>
        <v/>
      </c>
      <c r="J602" t="str">
        <f>IF($A602&lt;&gt;"",'Approved-Enforcement'!I602,"")</f>
        <v/>
      </c>
      <c r="K602" t="str">
        <f>IF($A602&lt;&gt;"",'Approved-Enforcement'!J602,"")</f>
        <v/>
      </c>
      <c r="L602" t="str">
        <f>IF($A602&lt;&gt;"",'Approved-Enforcement'!K602,"")</f>
        <v/>
      </c>
      <c r="M602" t="str">
        <f>IF($A602&lt;&gt;"",'Approved-Enforcement'!L602,"")</f>
        <v/>
      </c>
      <c r="N602" t="str">
        <f>IF($A602&lt;&gt;"",'Approved-Enforcement'!M602,"")</f>
        <v/>
      </c>
      <c r="O602" t="str">
        <f>IF($A602&lt;&gt;"",'Approved-Enforcement'!N602,"")</f>
        <v/>
      </c>
      <c r="P602" t="str">
        <f>IF($A602&lt;&gt;"",'Approved-Enforcement'!O602,"")</f>
        <v/>
      </c>
    </row>
    <row r="603" spans="1:16" x14ac:dyDescent="0.35">
      <c r="A603" s="4" t="str">
        <f>IF('Approved-Enforcement'!$A603&lt;&gt;"",'Approved-Enforcement'!A603,"")</f>
        <v/>
      </c>
      <c r="B603" t="str">
        <f t="shared" si="9"/>
        <v/>
      </c>
      <c r="D603" t="str">
        <f>IF($A603&lt;&gt;"",IF($R603&lt;&gt;"",$R603,'Approved-Enforcement'!$B603+7),"")</f>
        <v/>
      </c>
      <c r="E603" t="str">
        <f>IF($A603&lt;&gt;"",'Approved-Enforcement'!D603,"")</f>
        <v/>
      </c>
      <c r="F603" t="str">
        <f>IF($A603&lt;&gt;"",'Approved-Enforcement'!E603,"")</f>
        <v/>
      </c>
      <c r="G603" t="str">
        <f>IF($A603&lt;&gt;"",'Approved-Enforcement'!F603,"")</f>
        <v/>
      </c>
      <c r="H603" t="str">
        <f>IF($A603&lt;&gt;"",'Approved-Enforcement'!G603,"")</f>
        <v/>
      </c>
      <c r="I603" t="str">
        <f>IF($A603&lt;&gt;"",'Approved-Enforcement'!H603,"")</f>
        <v/>
      </c>
      <c r="J603" t="str">
        <f>IF($A603&lt;&gt;"",'Approved-Enforcement'!I603,"")</f>
        <v/>
      </c>
      <c r="K603" t="str">
        <f>IF($A603&lt;&gt;"",'Approved-Enforcement'!J603,"")</f>
        <v/>
      </c>
      <c r="L603" t="str">
        <f>IF($A603&lt;&gt;"",'Approved-Enforcement'!K603,"")</f>
        <v/>
      </c>
      <c r="M603" t="str">
        <f>IF($A603&lt;&gt;"",'Approved-Enforcement'!L603,"")</f>
        <v/>
      </c>
      <c r="N603" t="str">
        <f>IF($A603&lt;&gt;"",'Approved-Enforcement'!M603,"")</f>
        <v/>
      </c>
      <c r="O603" t="str">
        <f>IF($A603&lt;&gt;"",'Approved-Enforcement'!N603,"")</f>
        <v/>
      </c>
      <c r="P603" t="str">
        <f>IF($A603&lt;&gt;"",'Approved-Enforcement'!O603,"")</f>
        <v/>
      </c>
    </row>
    <row r="604" spans="1:16" x14ac:dyDescent="0.35">
      <c r="A604" s="4" t="str">
        <f>IF('Approved-Enforcement'!$A604&lt;&gt;"",'Approved-Enforcement'!A604,"")</f>
        <v/>
      </c>
      <c r="B604" t="str">
        <f t="shared" si="9"/>
        <v/>
      </c>
      <c r="D604" t="str">
        <f>IF($A604&lt;&gt;"",IF($R604&lt;&gt;"",$R604,'Approved-Enforcement'!$B604+7),"")</f>
        <v/>
      </c>
      <c r="E604" t="str">
        <f>IF($A604&lt;&gt;"",'Approved-Enforcement'!D604,"")</f>
        <v/>
      </c>
      <c r="F604" t="str">
        <f>IF($A604&lt;&gt;"",'Approved-Enforcement'!E604,"")</f>
        <v/>
      </c>
      <c r="G604" t="str">
        <f>IF($A604&lt;&gt;"",'Approved-Enforcement'!F604,"")</f>
        <v/>
      </c>
      <c r="H604" t="str">
        <f>IF($A604&lt;&gt;"",'Approved-Enforcement'!G604,"")</f>
        <v/>
      </c>
      <c r="I604" t="str">
        <f>IF($A604&lt;&gt;"",'Approved-Enforcement'!H604,"")</f>
        <v/>
      </c>
      <c r="J604" t="str">
        <f>IF($A604&lt;&gt;"",'Approved-Enforcement'!I604,"")</f>
        <v/>
      </c>
      <c r="K604" t="str">
        <f>IF($A604&lt;&gt;"",'Approved-Enforcement'!J604,"")</f>
        <v/>
      </c>
      <c r="L604" t="str">
        <f>IF($A604&lt;&gt;"",'Approved-Enforcement'!K604,"")</f>
        <v/>
      </c>
      <c r="M604" t="str">
        <f>IF($A604&lt;&gt;"",'Approved-Enforcement'!L604,"")</f>
        <v/>
      </c>
      <c r="N604" t="str">
        <f>IF($A604&lt;&gt;"",'Approved-Enforcement'!M604,"")</f>
        <v/>
      </c>
      <c r="O604" t="str">
        <f>IF($A604&lt;&gt;"",'Approved-Enforcement'!N604,"")</f>
        <v/>
      </c>
      <c r="P604" t="str">
        <f>IF($A604&lt;&gt;"",'Approved-Enforcement'!O604,"")</f>
        <v/>
      </c>
    </row>
    <row r="605" spans="1:16" x14ac:dyDescent="0.35">
      <c r="A605" s="4" t="str">
        <f>IF('Approved-Enforcement'!$A605&lt;&gt;"",'Approved-Enforcement'!A605,"")</f>
        <v/>
      </c>
      <c r="B605" t="str">
        <f t="shared" si="9"/>
        <v/>
      </c>
      <c r="D605" t="str">
        <f>IF($A605&lt;&gt;"",IF($R605&lt;&gt;"",$R605,'Approved-Enforcement'!$B605+7),"")</f>
        <v/>
      </c>
      <c r="E605" t="str">
        <f>IF($A605&lt;&gt;"",'Approved-Enforcement'!D605,"")</f>
        <v/>
      </c>
      <c r="F605" t="str">
        <f>IF($A605&lt;&gt;"",'Approved-Enforcement'!E605,"")</f>
        <v/>
      </c>
      <c r="G605" t="str">
        <f>IF($A605&lt;&gt;"",'Approved-Enforcement'!F605,"")</f>
        <v/>
      </c>
      <c r="H605" t="str">
        <f>IF($A605&lt;&gt;"",'Approved-Enforcement'!G605,"")</f>
        <v/>
      </c>
      <c r="I605" t="str">
        <f>IF($A605&lt;&gt;"",'Approved-Enforcement'!H605,"")</f>
        <v/>
      </c>
      <c r="J605" t="str">
        <f>IF($A605&lt;&gt;"",'Approved-Enforcement'!I605,"")</f>
        <v/>
      </c>
      <c r="K605" t="str">
        <f>IF($A605&lt;&gt;"",'Approved-Enforcement'!J605,"")</f>
        <v/>
      </c>
      <c r="L605" t="str">
        <f>IF($A605&lt;&gt;"",'Approved-Enforcement'!K605,"")</f>
        <v/>
      </c>
      <c r="M605" t="str">
        <f>IF($A605&lt;&gt;"",'Approved-Enforcement'!L605,"")</f>
        <v/>
      </c>
      <c r="N605" t="str">
        <f>IF($A605&lt;&gt;"",'Approved-Enforcement'!M605,"")</f>
        <v/>
      </c>
      <c r="O605" t="str">
        <f>IF($A605&lt;&gt;"",'Approved-Enforcement'!N605,"")</f>
        <v/>
      </c>
      <c r="P605" t="str">
        <f>IF($A605&lt;&gt;"",'Approved-Enforcement'!O605,"")</f>
        <v/>
      </c>
    </row>
    <row r="606" spans="1:16" x14ac:dyDescent="0.35">
      <c r="A606" s="4" t="str">
        <f>IF('Approved-Enforcement'!$A606&lt;&gt;"",'Approved-Enforcement'!A606,"")</f>
        <v/>
      </c>
      <c r="B606" t="str">
        <f t="shared" si="9"/>
        <v/>
      </c>
      <c r="D606" t="str">
        <f>IF($A606&lt;&gt;"",IF($R606&lt;&gt;"",$R606,'Approved-Enforcement'!$B606+7),"")</f>
        <v/>
      </c>
      <c r="E606" t="str">
        <f>IF($A606&lt;&gt;"",'Approved-Enforcement'!D606,"")</f>
        <v/>
      </c>
      <c r="F606" t="str">
        <f>IF($A606&lt;&gt;"",'Approved-Enforcement'!E606,"")</f>
        <v/>
      </c>
      <c r="G606" t="str">
        <f>IF($A606&lt;&gt;"",'Approved-Enforcement'!F606,"")</f>
        <v/>
      </c>
      <c r="H606" t="str">
        <f>IF($A606&lt;&gt;"",'Approved-Enforcement'!G606,"")</f>
        <v/>
      </c>
      <c r="I606" t="str">
        <f>IF($A606&lt;&gt;"",'Approved-Enforcement'!H606,"")</f>
        <v/>
      </c>
      <c r="J606" t="str">
        <f>IF($A606&lt;&gt;"",'Approved-Enforcement'!I606,"")</f>
        <v/>
      </c>
      <c r="K606" t="str">
        <f>IF($A606&lt;&gt;"",'Approved-Enforcement'!J606,"")</f>
        <v/>
      </c>
      <c r="L606" t="str">
        <f>IF($A606&lt;&gt;"",'Approved-Enforcement'!K606,"")</f>
        <v/>
      </c>
      <c r="M606" t="str">
        <f>IF($A606&lt;&gt;"",'Approved-Enforcement'!L606,"")</f>
        <v/>
      </c>
      <c r="N606" t="str">
        <f>IF($A606&lt;&gt;"",'Approved-Enforcement'!M606,"")</f>
        <v/>
      </c>
      <c r="O606" t="str">
        <f>IF($A606&lt;&gt;"",'Approved-Enforcement'!N606,"")</f>
        <v/>
      </c>
      <c r="P606" t="str">
        <f>IF($A606&lt;&gt;"",'Approved-Enforcement'!O606,"")</f>
        <v/>
      </c>
    </row>
    <row r="607" spans="1:16" x14ac:dyDescent="0.35">
      <c r="A607" s="4" t="str">
        <f>IF('Approved-Enforcement'!$A607&lt;&gt;"",'Approved-Enforcement'!A607,"")</f>
        <v/>
      </c>
      <c r="B607" t="str">
        <f t="shared" si="9"/>
        <v/>
      </c>
      <c r="D607" t="str">
        <f>IF($A607&lt;&gt;"",IF($R607&lt;&gt;"",$R607,'Approved-Enforcement'!$B607+7),"")</f>
        <v/>
      </c>
      <c r="E607" t="str">
        <f>IF($A607&lt;&gt;"",'Approved-Enforcement'!D607,"")</f>
        <v/>
      </c>
      <c r="F607" t="str">
        <f>IF($A607&lt;&gt;"",'Approved-Enforcement'!E607,"")</f>
        <v/>
      </c>
      <c r="G607" t="str">
        <f>IF($A607&lt;&gt;"",'Approved-Enforcement'!F607,"")</f>
        <v/>
      </c>
      <c r="H607" t="str">
        <f>IF($A607&lt;&gt;"",'Approved-Enforcement'!G607,"")</f>
        <v/>
      </c>
      <c r="I607" t="str">
        <f>IF($A607&lt;&gt;"",'Approved-Enforcement'!H607,"")</f>
        <v/>
      </c>
      <c r="J607" t="str">
        <f>IF($A607&lt;&gt;"",'Approved-Enforcement'!I607,"")</f>
        <v/>
      </c>
      <c r="K607" t="str">
        <f>IF($A607&lt;&gt;"",'Approved-Enforcement'!J607,"")</f>
        <v/>
      </c>
      <c r="L607" t="str">
        <f>IF($A607&lt;&gt;"",'Approved-Enforcement'!K607,"")</f>
        <v/>
      </c>
      <c r="M607" t="str">
        <f>IF($A607&lt;&gt;"",'Approved-Enforcement'!L607,"")</f>
        <v/>
      </c>
      <c r="N607" t="str">
        <f>IF($A607&lt;&gt;"",'Approved-Enforcement'!M607,"")</f>
        <v/>
      </c>
      <c r="O607" t="str">
        <f>IF($A607&lt;&gt;"",'Approved-Enforcement'!N607,"")</f>
        <v/>
      </c>
      <c r="P607" t="str">
        <f>IF($A607&lt;&gt;"",'Approved-Enforcement'!O607,"")</f>
        <v/>
      </c>
    </row>
    <row r="608" spans="1:16" x14ac:dyDescent="0.35">
      <c r="A608" s="4" t="str">
        <f>IF('Approved-Enforcement'!$A608&lt;&gt;"",'Approved-Enforcement'!A608,"")</f>
        <v/>
      </c>
      <c r="B608" t="str">
        <f t="shared" si="9"/>
        <v/>
      </c>
      <c r="D608" t="str">
        <f>IF($A608&lt;&gt;"",IF($R608&lt;&gt;"",$R608,'Approved-Enforcement'!$B608+7),"")</f>
        <v/>
      </c>
      <c r="E608" t="str">
        <f>IF($A608&lt;&gt;"",'Approved-Enforcement'!D608,"")</f>
        <v/>
      </c>
      <c r="F608" t="str">
        <f>IF($A608&lt;&gt;"",'Approved-Enforcement'!E608,"")</f>
        <v/>
      </c>
      <c r="G608" t="str">
        <f>IF($A608&lt;&gt;"",'Approved-Enforcement'!F608,"")</f>
        <v/>
      </c>
      <c r="H608" t="str">
        <f>IF($A608&lt;&gt;"",'Approved-Enforcement'!G608,"")</f>
        <v/>
      </c>
      <c r="I608" t="str">
        <f>IF($A608&lt;&gt;"",'Approved-Enforcement'!H608,"")</f>
        <v/>
      </c>
      <c r="J608" t="str">
        <f>IF($A608&lt;&gt;"",'Approved-Enforcement'!I608,"")</f>
        <v/>
      </c>
      <c r="K608" t="str">
        <f>IF($A608&lt;&gt;"",'Approved-Enforcement'!J608,"")</f>
        <v/>
      </c>
      <c r="L608" t="str">
        <f>IF($A608&lt;&gt;"",'Approved-Enforcement'!K608,"")</f>
        <v/>
      </c>
      <c r="M608" t="str">
        <f>IF($A608&lt;&gt;"",'Approved-Enforcement'!L608,"")</f>
        <v/>
      </c>
      <c r="N608" t="str">
        <f>IF($A608&lt;&gt;"",'Approved-Enforcement'!M608,"")</f>
        <v/>
      </c>
      <c r="O608" t="str">
        <f>IF($A608&lt;&gt;"",'Approved-Enforcement'!N608,"")</f>
        <v/>
      </c>
      <c r="P608" t="str">
        <f>IF($A608&lt;&gt;"",'Approved-Enforcement'!O608,"")</f>
        <v/>
      </c>
    </row>
    <row r="609" spans="1:16" x14ac:dyDescent="0.35">
      <c r="A609" s="4" t="str">
        <f>IF('Approved-Enforcement'!$A609&lt;&gt;"",'Approved-Enforcement'!A609,"")</f>
        <v/>
      </c>
      <c r="B609" t="str">
        <f t="shared" si="9"/>
        <v/>
      </c>
      <c r="D609" t="str">
        <f>IF($A609&lt;&gt;"",IF($R609&lt;&gt;"",$R609,'Approved-Enforcement'!$B609+7),"")</f>
        <v/>
      </c>
      <c r="E609" t="str">
        <f>IF($A609&lt;&gt;"",'Approved-Enforcement'!D609,"")</f>
        <v/>
      </c>
      <c r="F609" t="str">
        <f>IF($A609&lt;&gt;"",'Approved-Enforcement'!E609,"")</f>
        <v/>
      </c>
      <c r="G609" t="str">
        <f>IF($A609&lt;&gt;"",'Approved-Enforcement'!F609,"")</f>
        <v/>
      </c>
      <c r="H609" t="str">
        <f>IF($A609&lt;&gt;"",'Approved-Enforcement'!G609,"")</f>
        <v/>
      </c>
      <c r="I609" t="str">
        <f>IF($A609&lt;&gt;"",'Approved-Enforcement'!H609,"")</f>
        <v/>
      </c>
      <c r="J609" t="str">
        <f>IF($A609&lt;&gt;"",'Approved-Enforcement'!I609,"")</f>
        <v/>
      </c>
      <c r="K609" t="str">
        <f>IF($A609&lt;&gt;"",'Approved-Enforcement'!J609,"")</f>
        <v/>
      </c>
      <c r="L609" t="str">
        <f>IF($A609&lt;&gt;"",'Approved-Enforcement'!K609,"")</f>
        <v/>
      </c>
      <c r="M609" t="str">
        <f>IF($A609&lt;&gt;"",'Approved-Enforcement'!L609,"")</f>
        <v/>
      </c>
      <c r="N609" t="str">
        <f>IF($A609&lt;&gt;"",'Approved-Enforcement'!M609,"")</f>
        <v/>
      </c>
      <c r="O609" t="str">
        <f>IF($A609&lt;&gt;"",'Approved-Enforcement'!N609,"")</f>
        <v/>
      </c>
      <c r="P609" t="str">
        <f>IF($A609&lt;&gt;"",'Approved-Enforcement'!O609,"")</f>
        <v/>
      </c>
    </row>
    <row r="610" spans="1:16" x14ac:dyDescent="0.35">
      <c r="A610" s="4" t="str">
        <f>IF('Approved-Enforcement'!$A610&lt;&gt;"",'Approved-Enforcement'!A610,"")</f>
        <v/>
      </c>
      <c r="B610" t="str">
        <f t="shared" si="9"/>
        <v/>
      </c>
      <c r="D610" t="str">
        <f>IF($A610&lt;&gt;"",IF($R610&lt;&gt;"",$R610,'Approved-Enforcement'!$B610+7),"")</f>
        <v/>
      </c>
      <c r="E610" t="str">
        <f>IF($A610&lt;&gt;"",'Approved-Enforcement'!D610,"")</f>
        <v/>
      </c>
      <c r="F610" t="str">
        <f>IF($A610&lt;&gt;"",'Approved-Enforcement'!E610,"")</f>
        <v/>
      </c>
      <c r="G610" t="str">
        <f>IF($A610&lt;&gt;"",'Approved-Enforcement'!F610,"")</f>
        <v/>
      </c>
      <c r="H610" t="str">
        <f>IF($A610&lt;&gt;"",'Approved-Enforcement'!G610,"")</f>
        <v/>
      </c>
      <c r="I610" t="str">
        <f>IF($A610&lt;&gt;"",'Approved-Enforcement'!H610,"")</f>
        <v/>
      </c>
      <c r="J610" t="str">
        <f>IF($A610&lt;&gt;"",'Approved-Enforcement'!I610,"")</f>
        <v/>
      </c>
      <c r="K610" t="str">
        <f>IF($A610&lt;&gt;"",'Approved-Enforcement'!J610,"")</f>
        <v/>
      </c>
      <c r="L610" t="str">
        <f>IF($A610&lt;&gt;"",'Approved-Enforcement'!K610,"")</f>
        <v/>
      </c>
      <c r="M610" t="str">
        <f>IF($A610&lt;&gt;"",'Approved-Enforcement'!L610,"")</f>
        <v/>
      </c>
      <c r="N610" t="str">
        <f>IF($A610&lt;&gt;"",'Approved-Enforcement'!M610,"")</f>
        <v/>
      </c>
      <c r="O610" t="str">
        <f>IF($A610&lt;&gt;"",'Approved-Enforcement'!N610,"")</f>
        <v/>
      </c>
      <c r="P610" t="str">
        <f>IF($A610&lt;&gt;"",'Approved-Enforcement'!O610,"")</f>
        <v/>
      </c>
    </row>
    <row r="611" spans="1:16" x14ac:dyDescent="0.35">
      <c r="A611" s="4" t="str">
        <f>IF('Approved-Enforcement'!$A611&lt;&gt;"",'Approved-Enforcement'!A611,"")</f>
        <v/>
      </c>
      <c r="B611" t="str">
        <f t="shared" si="9"/>
        <v/>
      </c>
      <c r="D611" t="str">
        <f>IF($A611&lt;&gt;"",IF($R611&lt;&gt;"",$R611,'Approved-Enforcement'!$B611+7),"")</f>
        <v/>
      </c>
      <c r="E611" t="str">
        <f>IF($A611&lt;&gt;"",'Approved-Enforcement'!D611,"")</f>
        <v/>
      </c>
      <c r="F611" t="str">
        <f>IF($A611&lt;&gt;"",'Approved-Enforcement'!E611,"")</f>
        <v/>
      </c>
      <c r="G611" t="str">
        <f>IF($A611&lt;&gt;"",'Approved-Enforcement'!F611,"")</f>
        <v/>
      </c>
      <c r="H611" t="str">
        <f>IF($A611&lt;&gt;"",'Approved-Enforcement'!G611,"")</f>
        <v/>
      </c>
      <c r="I611" t="str">
        <f>IF($A611&lt;&gt;"",'Approved-Enforcement'!H611,"")</f>
        <v/>
      </c>
      <c r="J611" t="str">
        <f>IF($A611&lt;&gt;"",'Approved-Enforcement'!I611,"")</f>
        <v/>
      </c>
      <c r="K611" t="str">
        <f>IF($A611&lt;&gt;"",'Approved-Enforcement'!J611,"")</f>
        <v/>
      </c>
      <c r="L611" t="str">
        <f>IF($A611&lt;&gt;"",'Approved-Enforcement'!K611,"")</f>
        <v/>
      </c>
      <c r="M611" t="str">
        <f>IF($A611&lt;&gt;"",'Approved-Enforcement'!L611,"")</f>
        <v/>
      </c>
      <c r="N611" t="str">
        <f>IF($A611&lt;&gt;"",'Approved-Enforcement'!M611,"")</f>
        <v/>
      </c>
      <c r="O611" t="str">
        <f>IF($A611&lt;&gt;"",'Approved-Enforcement'!N611,"")</f>
        <v/>
      </c>
      <c r="P611" t="str">
        <f>IF($A611&lt;&gt;"",'Approved-Enforcement'!O611,"")</f>
        <v/>
      </c>
    </row>
    <row r="612" spans="1:16" x14ac:dyDescent="0.35">
      <c r="A612" s="4" t="str">
        <f>IF('Approved-Enforcement'!$A612&lt;&gt;"",'Approved-Enforcement'!A612,"")</f>
        <v/>
      </c>
      <c r="B612" t="str">
        <f t="shared" si="9"/>
        <v/>
      </c>
      <c r="D612" t="str">
        <f>IF($A612&lt;&gt;"",IF($R612&lt;&gt;"",$R612,'Approved-Enforcement'!$B612+7),"")</f>
        <v/>
      </c>
      <c r="E612" t="str">
        <f>IF($A612&lt;&gt;"",'Approved-Enforcement'!D612,"")</f>
        <v/>
      </c>
      <c r="F612" t="str">
        <f>IF($A612&lt;&gt;"",'Approved-Enforcement'!E612,"")</f>
        <v/>
      </c>
      <c r="G612" t="str">
        <f>IF($A612&lt;&gt;"",'Approved-Enforcement'!F612,"")</f>
        <v/>
      </c>
      <c r="H612" t="str">
        <f>IF($A612&lt;&gt;"",'Approved-Enforcement'!G612,"")</f>
        <v/>
      </c>
      <c r="I612" t="str">
        <f>IF($A612&lt;&gt;"",'Approved-Enforcement'!H612,"")</f>
        <v/>
      </c>
      <c r="J612" t="str">
        <f>IF($A612&lt;&gt;"",'Approved-Enforcement'!I612,"")</f>
        <v/>
      </c>
      <c r="K612" t="str">
        <f>IF($A612&lt;&gt;"",'Approved-Enforcement'!J612,"")</f>
        <v/>
      </c>
      <c r="L612" t="str">
        <f>IF($A612&lt;&gt;"",'Approved-Enforcement'!K612,"")</f>
        <v/>
      </c>
      <c r="M612" t="str">
        <f>IF($A612&lt;&gt;"",'Approved-Enforcement'!L612,"")</f>
        <v/>
      </c>
      <c r="N612" t="str">
        <f>IF($A612&lt;&gt;"",'Approved-Enforcement'!M612,"")</f>
        <v/>
      </c>
      <c r="O612" t="str">
        <f>IF($A612&lt;&gt;"",'Approved-Enforcement'!N612,"")</f>
        <v/>
      </c>
      <c r="P612" t="str">
        <f>IF($A612&lt;&gt;"",'Approved-Enforcement'!O612,"")</f>
        <v/>
      </c>
    </row>
    <row r="613" spans="1:16" x14ac:dyDescent="0.35">
      <c r="A613" s="4" t="str">
        <f>IF('Approved-Enforcement'!$A613&lt;&gt;"",'Approved-Enforcement'!A613,"")</f>
        <v/>
      </c>
      <c r="B613" t="str">
        <f t="shared" si="9"/>
        <v/>
      </c>
      <c r="D613" t="str">
        <f>IF($A613&lt;&gt;"",IF($R613&lt;&gt;"",$R613,'Approved-Enforcement'!$B613+7),"")</f>
        <v/>
      </c>
      <c r="E613" t="str">
        <f>IF($A613&lt;&gt;"",'Approved-Enforcement'!D613,"")</f>
        <v/>
      </c>
      <c r="F613" t="str">
        <f>IF($A613&lt;&gt;"",'Approved-Enforcement'!E613,"")</f>
        <v/>
      </c>
      <c r="G613" t="str">
        <f>IF($A613&lt;&gt;"",'Approved-Enforcement'!F613,"")</f>
        <v/>
      </c>
      <c r="H613" t="str">
        <f>IF($A613&lt;&gt;"",'Approved-Enforcement'!G613,"")</f>
        <v/>
      </c>
      <c r="I613" t="str">
        <f>IF($A613&lt;&gt;"",'Approved-Enforcement'!H613,"")</f>
        <v/>
      </c>
      <c r="J613" t="str">
        <f>IF($A613&lt;&gt;"",'Approved-Enforcement'!I613,"")</f>
        <v/>
      </c>
      <c r="K613" t="str">
        <f>IF($A613&lt;&gt;"",'Approved-Enforcement'!J613,"")</f>
        <v/>
      </c>
      <c r="L613" t="str">
        <f>IF($A613&lt;&gt;"",'Approved-Enforcement'!K613,"")</f>
        <v/>
      </c>
      <c r="M613" t="str">
        <f>IF($A613&lt;&gt;"",'Approved-Enforcement'!L613,"")</f>
        <v/>
      </c>
      <c r="N613" t="str">
        <f>IF($A613&lt;&gt;"",'Approved-Enforcement'!M613,"")</f>
        <v/>
      </c>
      <c r="O613" t="str">
        <f>IF($A613&lt;&gt;"",'Approved-Enforcement'!N613,"")</f>
        <v/>
      </c>
      <c r="P613" t="str">
        <f>IF($A613&lt;&gt;"",'Approved-Enforcement'!O613,"")</f>
        <v/>
      </c>
    </row>
    <row r="614" spans="1:16" x14ac:dyDescent="0.35">
      <c r="A614" s="4" t="str">
        <f>IF('Approved-Enforcement'!$A614&lt;&gt;"",'Approved-Enforcement'!A614,"")</f>
        <v/>
      </c>
      <c r="B614" t="str">
        <f t="shared" si="9"/>
        <v/>
      </c>
      <c r="D614" t="str">
        <f>IF($A614&lt;&gt;"",IF($R614&lt;&gt;"",$R614,'Approved-Enforcement'!$B614+7),"")</f>
        <v/>
      </c>
      <c r="E614" t="str">
        <f>IF($A614&lt;&gt;"",'Approved-Enforcement'!D614,"")</f>
        <v/>
      </c>
      <c r="F614" t="str">
        <f>IF($A614&lt;&gt;"",'Approved-Enforcement'!E614,"")</f>
        <v/>
      </c>
      <c r="G614" t="str">
        <f>IF($A614&lt;&gt;"",'Approved-Enforcement'!F614,"")</f>
        <v/>
      </c>
      <c r="H614" t="str">
        <f>IF($A614&lt;&gt;"",'Approved-Enforcement'!G614,"")</f>
        <v/>
      </c>
      <c r="I614" t="str">
        <f>IF($A614&lt;&gt;"",'Approved-Enforcement'!H614,"")</f>
        <v/>
      </c>
      <c r="J614" t="str">
        <f>IF($A614&lt;&gt;"",'Approved-Enforcement'!I614,"")</f>
        <v/>
      </c>
      <c r="K614" t="str">
        <f>IF($A614&lt;&gt;"",'Approved-Enforcement'!J614,"")</f>
        <v/>
      </c>
      <c r="L614" t="str">
        <f>IF($A614&lt;&gt;"",'Approved-Enforcement'!K614,"")</f>
        <v/>
      </c>
      <c r="M614" t="str">
        <f>IF($A614&lt;&gt;"",'Approved-Enforcement'!L614,"")</f>
        <v/>
      </c>
      <c r="N614" t="str">
        <f>IF($A614&lt;&gt;"",'Approved-Enforcement'!M614,"")</f>
        <v/>
      </c>
      <c r="O614" t="str">
        <f>IF($A614&lt;&gt;"",'Approved-Enforcement'!N614,"")</f>
        <v/>
      </c>
      <c r="P614" t="str">
        <f>IF($A614&lt;&gt;"",'Approved-Enforcement'!O614,"")</f>
        <v/>
      </c>
    </row>
    <row r="615" spans="1:16" x14ac:dyDescent="0.35">
      <c r="A615" s="4" t="str">
        <f>IF('Approved-Enforcement'!$A615&lt;&gt;"",'Approved-Enforcement'!A615,"")</f>
        <v/>
      </c>
      <c r="B615" t="str">
        <f t="shared" si="9"/>
        <v/>
      </c>
      <c r="D615" t="str">
        <f>IF($A615&lt;&gt;"",IF($R615&lt;&gt;"",$R615,'Approved-Enforcement'!$B615+7),"")</f>
        <v/>
      </c>
      <c r="E615" t="str">
        <f>IF($A615&lt;&gt;"",'Approved-Enforcement'!D615,"")</f>
        <v/>
      </c>
      <c r="F615" t="str">
        <f>IF($A615&lt;&gt;"",'Approved-Enforcement'!E615,"")</f>
        <v/>
      </c>
      <c r="G615" t="str">
        <f>IF($A615&lt;&gt;"",'Approved-Enforcement'!F615,"")</f>
        <v/>
      </c>
      <c r="H615" t="str">
        <f>IF($A615&lt;&gt;"",'Approved-Enforcement'!G615,"")</f>
        <v/>
      </c>
      <c r="I615" t="str">
        <f>IF($A615&lt;&gt;"",'Approved-Enforcement'!H615,"")</f>
        <v/>
      </c>
      <c r="J615" t="str">
        <f>IF($A615&lt;&gt;"",'Approved-Enforcement'!I615,"")</f>
        <v/>
      </c>
      <c r="K615" t="str">
        <f>IF($A615&lt;&gt;"",'Approved-Enforcement'!J615,"")</f>
        <v/>
      </c>
      <c r="L615" t="str">
        <f>IF($A615&lt;&gt;"",'Approved-Enforcement'!K615,"")</f>
        <v/>
      </c>
      <c r="M615" t="str">
        <f>IF($A615&lt;&gt;"",'Approved-Enforcement'!L615,"")</f>
        <v/>
      </c>
      <c r="N615" t="str">
        <f>IF($A615&lt;&gt;"",'Approved-Enforcement'!M615,"")</f>
        <v/>
      </c>
      <c r="O615" t="str">
        <f>IF($A615&lt;&gt;"",'Approved-Enforcement'!N615,"")</f>
        <v/>
      </c>
      <c r="P615" t="str">
        <f>IF($A615&lt;&gt;"",'Approved-Enforcement'!O615,"")</f>
        <v/>
      </c>
    </row>
    <row r="616" spans="1:16" x14ac:dyDescent="0.35">
      <c r="A616" s="4" t="str">
        <f>IF('Approved-Enforcement'!$A616&lt;&gt;"",'Approved-Enforcement'!A616,"")</f>
        <v/>
      </c>
      <c r="B616" t="str">
        <f t="shared" si="9"/>
        <v/>
      </c>
      <c r="D616" t="str">
        <f>IF($A616&lt;&gt;"",IF($R616&lt;&gt;"",$R616,'Approved-Enforcement'!$B616+7),"")</f>
        <v/>
      </c>
      <c r="E616" t="str">
        <f>IF($A616&lt;&gt;"",'Approved-Enforcement'!D616,"")</f>
        <v/>
      </c>
      <c r="F616" t="str">
        <f>IF($A616&lt;&gt;"",'Approved-Enforcement'!E616,"")</f>
        <v/>
      </c>
      <c r="G616" t="str">
        <f>IF($A616&lt;&gt;"",'Approved-Enforcement'!F616,"")</f>
        <v/>
      </c>
      <c r="H616" t="str">
        <f>IF($A616&lt;&gt;"",'Approved-Enforcement'!G616,"")</f>
        <v/>
      </c>
      <c r="I616" t="str">
        <f>IF($A616&lt;&gt;"",'Approved-Enforcement'!H616,"")</f>
        <v/>
      </c>
      <c r="J616" t="str">
        <f>IF($A616&lt;&gt;"",'Approved-Enforcement'!I616,"")</f>
        <v/>
      </c>
      <c r="K616" t="str">
        <f>IF($A616&lt;&gt;"",'Approved-Enforcement'!J616,"")</f>
        <v/>
      </c>
      <c r="L616" t="str">
        <f>IF($A616&lt;&gt;"",'Approved-Enforcement'!K616,"")</f>
        <v/>
      </c>
      <c r="M616" t="str">
        <f>IF($A616&lt;&gt;"",'Approved-Enforcement'!L616,"")</f>
        <v/>
      </c>
      <c r="N616" t="str">
        <f>IF($A616&lt;&gt;"",'Approved-Enforcement'!M616,"")</f>
        <v/>
      </c>
      <c r="O616" t="str">
        <f>IF($A616&lt;&gt;"",'Approved-Enforcement'!N616,"")</f>
        <v/>
      </c>
      <c r="P616" t="str">
        <f>IF($A616&lt;&gt;"",'Approved-Enforcement'!O616,"")</f>
        <v/>
      </c>
    </row>
    <row r="617" spans="1:16" x14ac:dyDescent="0.35">
      <c r="A617" s="4" t="str">
        <f>IF('Approved-Enforcement'!$A617&lt;&gt;"",'Approved-Enforcement'!A617,"")</f>
        <v/>
      </c>
      <c r="B617" t="str">
        <f t="shared" si="9"/>
        <v/>
      </c>
      <c r="D617" t="str">
        <f>IF($A617&lt;&gt;"",IF($R617&lt;&gt;"",$R617,'Approved-Enforcement'!$B617+7),"")</f>
        <v/>
      </c>
      <c r="E617" t="str">
        <f>IF($A617&lt;&gt;"",'Approved-Enforcement'!D617,"")</f>
        <v/>
      </c>
      <c r="F617" t="str">
        <f>IF($A617&lt;&gt;"",'Approved-Enforcement'!E617,"")</f>
        <v/>
      </c>
      <c r="G617" t="str">
        <f>IF($A617&lt;&gt;"",'Approved-Enforcement'!F617,"")</f>
        <v/>
      </c>
      <c r="H617" t="str">
        <f>IF($A617&lt;&gt;"",'Approved-Enforcement'!G617,"")</f>
        <v/>
      </c>
      <c r="I617" t="str">
        <f>IF($A617&lt;&gt;"",'Approved-Enforcement'!H617,"")</f>
        <v/>
      </c>
      <c r="J617" t="str">
        <f>IF($A617&lt;&gt;"",'Approved-Enforcement'!I617,"")</f>
        <v/>
      </c>
      <c r="K617" t="str">
        <f>IF($A617&lt;&gt;"",'Approved-Enforcement'!J617,"")</f>
        <v/>
      </c>
      <c r="L617" t="str">
        <f>IF($A617&lt;&gt;"",'Approved-Enforcement'!K617,"")</f>
        <v/>
      </c>
      <c r="M617" t="str">
        <f>IF($A617&lt;&gt;"",'Approved-Enforcement'!L617,"")</f>
        <v/>
      </c>
      <c r="N617" t="str">
        <f>IF($A617&lt;&gt;"",'Approved-Enforcement'!M617,"")</f>
        <v/>
      </c>
      <c r="O617" t="str">
        <f>IF($A617&lt;&gt;"",'Approved-Enforcement'!N617,"")</f>
        <v/>
      </c>
      <c r="P617" t="str">
        <f>IF($A617&lt;&gt;"",'Approved-Enforcement'!O617,"")</f>
        <v/>
      </c>
    </row>
    <row r="618" spans="1:16" x14ac:dyDescent="0.35">
      <c r="A618" s="4" t="str">
        <f>IF('Approved-Enforcement'!$A618&lt;&gt;"",'Approved-Enforcement'!A618,"")</f>
        <v/>
      </c>
      <c r="B618" t="str">
        <f t="shared" si="9"/>
        <v/>
      </c>
      <c r="D618" t="str">
        <f>IF($A618&lt;&gt;"",IF($R618&lt;&gt;"",$R618,'Approved-Enforcement'!$B618+7),"")</f>
        <v/>
      </c>
      <c r="E618" t="str">
        <f>IF($A618&lt;&gt;"",'Approved-Enforcement'!D618,"")</f>
        <v/>
      </c>
      <c r="F618" t="str">
        <f>IF($A618&lt;&gt;"",'Approved-Enforcement'!E618,"")</f>
        <v/>
      </c>
      <c r="G618" t="str">
        <f>IF($A618&lt;&gt;"",'Approved-Enforcement'!F618,"")</f>
        <v/>
      </c>
      <c r="H618" t="str">
        <f>IF($A618&lt;&gt;"",'Approved-Enforcement'!G618,"")</f>
        <v/>
      </c>
      <c r="I618" t="str">
        <f>IF($A618&lt;&gt;"",'Approved-Enforcement'!H618,"")</f>
        <v/>
      </c>
      <c r="J618" t="str">
        <f>IF($A618&lt;&gt;"",'Approved-Enforcement'!I618,"")</f>
        <v/>
      </c>
      <c r="K618" t="str">
        <f>IF($A618&lt;&gt;"",'Approved-Enforcement'!J618,"")</f>
        <v/>
      </c>
      <c r="L618" t="str">
        <f>IF($A618&lt;&gt;"",'Approved-Enforcement'!K618,"")</f>
        <v/>
      </c>
      <c r="M618" t="str">
        <f>IF($A618&lt;&gt;"",'Approved-Enforcement'!L618,"")</f>
        <v/>
      </c>
      <c r="N618" t="str">
        <f>IF($A618&lt;&gt;"",'Approved-Enforcement'!M618,"")</f>
        <v/>
      </c>
      <c r="O618" t="str">
        <f>IF($A618&lt;&gt;"",'Approved-Enforcement'!N618,"")</f>
        <v/>
      </c>
      <c r="P618" t="str">
        <f>IF($A618&lt;&gt;"",'Approved-Enforcement'!O618,"")</f>
        <v/>
      </c>
    </row>
    <row r="619" spans="1:16" x14ac:dyDescent="0.35">
      <c r="A619" s="4" t="str">
        <f>IF('Approved-Enforcement'!$A619&lt;&gt;"",'Approved-Enforcement'!A619,"")</f>
        <v/>
      </c>
      <c r="B619" t="str">
        <f t="shared" si="9"/>
        <v/>
      </c>
      <c r="D619" t="str">
        <f>IF($A619&lt;&gt;"",IF($R619&lt;&gt;"",$R619,'Approved-Enforcement'!$B619+7),"")</f>
        <v/>
      </c>
      <c r="E619" t="str">
        <f>IF($A619&lt;&gt;"",'Approved-Enforcement'!D619,"")</f>
        <v/>
      </c>
      <c r="F619" t="str">
        <f>IF($A619&lt;&gt;"",'Approved-Enforcement'!E619,"")</f>
        <v/>
      </c>
      <c r="G619" t="str">
        <f>IF($A619&lt;&gt;"",'Approved-Enforcement'!F619,"")</f>
        <v/>
      </c>
      <c r="H619" t="str">
        <f>IF($A619&lt;&gt;"",'Approved-Enforcement'!G619,"")</f>
        <v/>
      </c>
      <c r="I619" t="str">
        <f>IF($A619&lt;&gt;"",'Approved-Enforcement'!H619,"")</f>
        <v/>
      </c>
      <c r="J619" t="str">
        <f>IF($A619&lt;&gt;"",'Approved-Enforcement'!I619,"")</f>
        <v/>
      </c>
      <c r="K619" t="str">
        <f>IF($A619&lt;&gt;"",'Approved-Enforcement'!J619,"")</f>
        <v/>
      </c>
      <c r="L619" t="str">
        <f>IF($A619&lt;&gt;"",'Approved-Enforcement'!K619,"")</f>
        <v/>
      </c>
      <c r="M619" t="str">
        <f>IF($A619&lt;&gt;"",'Approved-Enforcement'!L619,"")</f>
        <v/>
      </c>
      <c r="N619" t="str">
        <f>IF($A619&lt;&gt;"",'Approved-Enforcement'!M619,"")</f>
        <v/>
      </c>
      <c r="O619" t="str">
        <f>IF($A619&lt;&gt;"",'Approved-Enforcement'!N619,"")</f>
        <v/>
      </c>
      <c r="P619" t="str">
        <f>IF($A619&lt;&gt;"",'Approved-Enforcement'!O619,"")</f>
        <v/>
      </c>
    </row>
    <row r="620" spans="1:16" x14ac:dyDescent="0.35">
      <c r="A620" s="4" t="str">
        <f>IF('Approved-Enforcement'!$A620&lt;&gt;"",'Approved-Enforcement'!A620,"")</f>
        <v/>
      </c>
      <c r="B620" t="str">
        <f t="shared" si="9"/>
        <v/>
      </c>
      <c r="D620" t="str">
        <f>IF($A620&lt;&gt;"",IF($R620&lt;&gt;"",$R620,'Approved-Enforcement'!$B620+7),"")</f>
        <v/>
      </c>
      <c r="E620" t="str">
        <f>IF($A620&lt;&gt;"",'Approved-Enforcement'!D620,"")</f>
        <v/>
      </c>
      <c r="F620" t="str">
        <f>IF($A620&lt;&gt;"",'Approved-Enforcement'!E620,"")</f>
        <v/>
      </c>
      <c r="G620" t="str">
        <f>IF($A620&lt;&gt;"",'Approved-Enforcement'!F620,"")</f>
        <v/>
      </c>
      <c r="H620" t="str">
        <f>IF($A620&lt;&gt;"",'Approved-Enforcement'!G620,"")</f>
        <v/>
      </c>
      <c r="I620" t="str">
        <f>IF($A620&lt;&gt;"",'Approved-Enforcement'!H620,"")</f>
        <v/>
      </c>
      <c r="J620" t="str">
        <f>IF($A620&lt;&gt;"",'Approved-Enforcement'!I620,"")</f>
        <v/>
      </c>
      <c r="K620" t="str">
        <f>IF($A620&lt;&gt;"",'Approved-Enforcement'!J620,"")</f>
        <v/>
      </c>
      <c r="L620" t="str">
        <f>IF($A620&lt;&gt;"",'Approved-Enforcement'!K620,"")</f>
        <v/>
      </c>
      <c r="M620" t="str">
        <f>IF($A620&lt;&gt;"",'Approved-Enforcement'!L620,"")</f>
        <v/>
      </c>
      <c r="N620" t="str">
        <f>IF($A620&lt;&gt;"",'Approved-Enforcement'!M620,"")</f>
        <v/>
      </c>
      <c r="O620" t="str">
        <f>IF($A620&lt;&gt;"",'Approved-Enforcement'!N620,"")</f>
        <v/>
      </c>
      <c r="P620" t="str">
        <f>IF($A620&lt;&gt;"",'Approved-Enforcement'!O620,"")</f>
        <v/>
      </c>
    </row>
    <row r="621" spans="1:16" x14ac:dyDescent="0.35">
      <c r="A621" s="4" t="str">
        <f>IF('Approved-Enforcement'!$A621&lt;&gt;"",'Approved-Enforcement'!A621,"")</f>
        <v/>
      </c>
      <c r="B621" t="str">
        <f t="shared" si="9"/>
        <v/>
      </c>
      <c r="D621" t="str">
        <f>IF($A621&lt;&gt;"",IF($R621&lt;&gt;"",$R621,'Approved-Enforcement'!$B621+7),"")</f>
        <v/>
      </c>
      <c r="E621" t="str">
        <f>IF($A621&lt;&gt;"",'Approved-Enforcement'!D621,"")</f>
        <v/>
      </c>
      <c r="F621" t="str">
        <f>IF($A621&lt;&gt;"",'Approved-Enforcement'!E621,"")</f>
        <v/>
      </c>
      <c r="G621" t="str">
        <f>IF($A621&lt;&gt;"",'Approved-Enforcement'!F621,"")</f>
        <v/>
      </c>
      <c r="H621" t="str">
        <f>IF($A621&lt;&gt;"",'Approved-Enforcement'!G621,"")</f>
        <v/>
      </c>
      <c r="I621" t="str">
        <f>IF($A621&lt;&gt;"",'Approved-Enforcement'!H621,"")</f>
        <v/>
      </c>
      <c r="J621" t="str">
        <f>IF($A621&lt;&gt;"",'Approved-Enforcement'!I621,"")</f>
        <v/>
      </c>
      <c r="K621" t="str">
        <f>IF($A621&lt;&gt;"",'Approved-Enforcement'!J621,"")</f>
        <v/>
      </c>
      <c r="L621" t="str">
        <f>IF($A621&lt;&gt;"",'Approved-Enforcement'!K621,"")</f>
        <v/>
      </c>
      <c r="M621" t="str">
        <f>IF($A621&lt;&gt;"",'Approved-Enforcement'!L621,"")</f>
        <v/>
      </c>
      <c r="N621" t="str">
        <f>IF($A621&lt;&gt;"",'Approved-Enforcement'!M621,"")</f>
        <v/>
      </c>
      <c r="O621" t="str">
        <f>IF($A621&lt;&gt;"",'Approved-Enforcement'!N621,"")</f>
        <v/>
      </c>
      <c r="P621" t="str">
        <f>IF($A621&lt;&gt;"",'Approved-Enforcement'!O621,"")</f>
        <v/>
      </c>
    </row>
    <row r="622" spans="1:16" x14ac:dyDescent="0.35">
      <c r="A622" s="4" t="str">
        <f>IF('Approved-Enforcement'!$A622&lt;&gt;"",'Approved-Enforcement'!A622,"")</f>
        <v/>
      </c>
      <c r="B622" t="str">
        <f t="shared" si="9"/>
        <v/>
      </c>
      <c r="D622" t="str">
        <f>IF($A622&lt;&gt;"",IF($R622&lt;&gt;"",$R622,'Approved-Enforcement'!$B622+7),"")</f>
        <v/>
      </c>
      <c r="E622" t="str">
        <f>IF($A622&lt;&gt;"",'Approved-Enforcement'!D622,"")</f>
        <v/>
      </c>
      <c r="F622" t="str">
        <f>IF($A622&lt;&gt;"",'Approved-Enforcement'!E622,"")</f>
        <v/>
      </c>
      <c r="G622" t="str">
        <f>IF($A622&lt;&gt;"",'Approved-Enforcement'!F622,"")</f>
        <v/>
      </c>
      <c r="H622" t="str">
        <f>IF($A622&lt;&gt;"",'Approved-Enforcement'!G622,"")</f>
        <v/>
      </c>
      <c r="I622" t="str">
        <f>IF($A622&lt;&gt;"",'Approved-Enforcement'!H622,"")</f>
        <v/>
      </c>
      <c r="J622" t="str">
        <f>IF($A622&lt;&gt;"",'Approved-Enforcement'!I622,"")</f>
        <v/>
      </c>
      <c r="K622" t="str">
        <f>IF($A622&lt;&gt;"",'Approved-Enforcement'!J622,"")</f>
        <v/>
      </c>
      <c r="L622" t="str">
        <f>IF($A622&lt;&gt;"",'Approved-Enforcement'!K622,"")</f>
        <v/>
      </c>
      <c r="M622" t="str">
        <f>IF($A622&lt;&gt;"",'Approved-Enforcement'!L622,"")</f>
        <v/>
      </c>
      <c r="N622" t="str">
        <f>IF($A622&lt;&gt;"",'Approved-Enforcement'!M622,"")</f>
        <v/>
      </c>
      <c r="O622" t="str">
        <f>IF($A622&lt;&gt;"",'Approved-Enforcement'!N622,"")</f>
        <v/>
      </c>
      <c r="P622" t="str">
        <f>IF($A622&lt;&gt;"",'Approved-Enforcement'!O622,"")</f>
        <v/>
      </c>
    </row>
    <row r="623" spans="1:16" x14ac:dyDescent="0.35">
      <c r="A623" s="4" t="str">
        <f>IF('Approved-Enforcement'!$A623&lt;&gt;"",'Approved-Enforcement'!A623,"")</f>
        <v/>
      </c>
      <c r="B623" t="str">
        <f t="shared" si="9"/>
        <v/>
      </c>
      <c r="D623" t="str">
        <f>IF($A623&lt;&gt;"",IF($R623&lt;&gt;"",$R623,'Approved-Enforcement'!$B623+7),"")</f>
        <v/>
      </c>
      <c r="E623" t="str">
        <f>IF($A623&lt;&gt;"",'Approved-Enforcement'!D623,"")</f>
        <v/>
      </c>
      <c r="F623" t="str">
        <f>IF($A623&lt;&gt;"",'Approved-Enforcement'!E623,"")</f>
        <v/>
      </c>
      <c r="G623" t="str">
        <f>IF($A623&lt;&gt;"",'Approved-Enforcement'!F623,"")</f>
        <v/>
      </c>
      <c r="H623" t="str">
        <f>IF($A623&lt;&gt;"",'Approved-Enforcement'!G623,"")</f>
        <v/>
      </c>
      <c r="I623" t="str">
        <f>IF($A623&lt;&gt;"",'Approved-Enforcement'!H623,"")</f>
        <v/>
      </c>
      <c r="J623" t="str">
        <f>IF($A623&lt;&gt;"",'Approved-Enforcement'!I623,"")</f>
        <v/>
      </c>
      <c r="K623" t="str">
        <f>IF($A623&lt;&gt;"",'Approved-Enforcement'!J623,"")</f>
        <v/>
      </c>
      <c r="L623" t="str">
        <f>IF($A623&lt;&gt;"",'Approved-Enforcement'!K623,"")</f>
        <v/>
      </c>
      <c r="M623" t="str">
        <f>IF($A623&lt;&gt;"",'Approved-Enforcement'!L623,"")</f>
        <v/>
      </c>
      <c r="N623" t="str">
        <f>IF($A623&lt;&gt;"",'Approved-Enforcement'!M623,"")</f>
        <v/>
      </c>
      <c r="O623" t="str">
        <f>IF($A623&lt;&gt;"",'Approved-Enforcement'!N623,"")</f>
        <v/>
      </c>
      <c r="P623" t="str">
        <f>IF($A623&lt;&gt;"",'Approved-Enforcement'!O623,"")</f>
        <v/>
      </c>
    </row>
    <row r="624" spans="1:16" x14ac:dyDescent="0.35">
      <c r="A624" s="4" t="str">
        <f>IF('Approved-Enforcement'!$A624&lt;&gt;"",'Approved-Enforcement'!A624,"")</f>
        <v/>
      </c>
      <c r="B624" t="str">
        <f t="shared" si="9"/>
        <v/>
      </c>
      <c r="D624" t="str">
        <f>IF($A624&lt;&gt;"",IF($R624&lt;&gt;"",$R624,'Approved-Enforcement'!$B624+7),"")</f>
        <v/>
      </c>
      <c r="E624" t="str">
        <f>IF($A624&lt;&gt;"",'Approved-Enforcement'!D624,"")</f>
        <v/>
      </c>
      <c r="F624" t="str">
        <f>IF($A624&lt;&gt;"",'Approved-Enforcement'!E624,"")</f>
        <v/>
      </c>
      <c r="G624" t="str">
        <f>IF($A624&lt;&gt;"",'Approved-Enforcement'!F624,"")</f>
        <v/>
      </c>
      <c r="H624" t="str">
        <f>IF($A624&lt;&gt;"",'Approved-Enforcement'!G624,"")</f>
        <v/>
      </c>
      <c r="I624" t="str">
        <f>IF($A624&lt;&gt;"",'Approved-Enforcement'!H624,"")</f>
        <v/>
      </c>
      <c r="J624" t="str">
        <f>IF($A624&lt;&gt;"",'Approved-Enforcement'!I624,"")</f>
        <v/>
      </c>
      <c r="K624" t="str">
        <f>IF($A624&lt;&gt;"",'Approved-Enforcement'!J624,"")</f>
        <v/>
      </c>
      <c r="L624" t="str">
        <f>IF($A624&lt;&gt;"",'Approved-Enforcement'!K624,"")</f>
        <v/>
      </c>
      <c r="M624" t="str">
        <f>IF($A624&lt;&gt;"",'Approved-Enforcement'!L624,"")</f>
        <v/>
      </c>
      <c r="N624" t="str">
        <f>IF($A624&lt;&gt;"",'Approved-Enforcement'!M624,"")</f>
        <v/>
      </c>
      <c r="O624" t="str">
        <f>IF($A624&lt;&gt;"",'Approved-Enforcement'!N624,"")</f>
        <v/>
      </c>
      <c r="P624" t="str">
        <f>IF($A624&lt;&gt;"",'Approved-Enforcement'!O624,"")</f>
        <v/>
      </c>
    </row>
    <row r="625" spans="1:16" x14ac:dyDescent="0.35">
      <c r="A625" s="4" t="str">
        <f>IF('Approved-Enforcement'!$A625&lt;&gt;"",'Approved-Enforcement'!A625,"")</f>
        <v/>
      </c>
      <c r="B625" t="str">
        <f t="shared" si="9"/>
        <v/>
      </c>
      <c r="D625" t="str">
        <f>IF($A625&lt;&gt;"",IF($R625&lt;&gt;"",$R625,'Approved-Enforcement'!$B625+7),"")</f>
        <v/>
      </c>
      <c r="E625" t="str">
        <f>IF($A625&lt;&gt;"",'Approved-Enforcement'!D625,"")</f>
        <v/>
      </c>
      <c r="F625" t="str">
        <f>IF($A625&lt;&gt;"",'Approved-Enforcement'!E625,"")</f>
        <v/>
      </c>
      <c r="G625" t="str">
        <f>IF($A625&lt;&gt;"",'Approved-Enforcement'!F625,"")</f>
        <v/>
      </c>
      <c r="H625" t="str">
        <f>IF($A625&lt;&gt;"",'Approved-Enforcement'!G625,"")</f>
        <v/>
      </c>
      <c r="I625" t="str">
        <f>IF($A625&lt;&gt;"",'Approved-Enforcement'!H625,"")</f>
        <v/>
      </c>
      <c r="J625" t="str">
        <f>IF($A625&lt;&gt;"",'Approved-Enforcement'!I625,"")</f>
        <v/>
      </c>
      <c r="K625" t="str">
        <f>IF($A625&lt;&gt;"",'Approved-Enforcement'!J625,"")</f>
        <v/>
      </c>
      <c r="L625" t="str">
        <f>IF($A625&lt;&gt;"",'Approved-Enforcement'!K625,"")</f>
        <v/>
      </c>
      <c r="M625" t="str">
        <f>IF($A625&lt;&gt;"",'Approved-Enforcement'!L625,"")</f>
        <v/>
      </c>
      <c r="N625" t="str">
        <f>IF($A625&lt;&gt;"",'Approved-Enforcement'!M625,"")</f>
        <v/>
      </c>
      <c r="O625" t="str">
        <f>IF($A625&lt;&gt;"",'Approved-Enforcement'!N625,"")</f>
        <v/>
      </c>
      <c r="P625" t="str">
        <f>IF($A625&lt;&gt;"",'Approved-Enforcement'!O625,"")</f>
        <v/>
      </c>
    </row>
    <row r="626" spans="1:16" x14ac:dyDescent="0.35">
      <c r="A626" s="4" t="str">
        <f>IF('Approved-Enforcement'!$A626&lt;&gt;"",'Approved-Enforcement'!A626,"")</f>
        <v/>
      </c>
      <c r="B626" t="str">
        <f t="shared" si="9"/>
        <v/>
      </c>
      <c r="D626" t="str">
        <f>IF($A626&lt;&gt;"",IF($R626&lt;&gt;"",$R626,'Approved-Enforcement'!$B626+7),"")</f>
        <v/>
      </c>
      <c r="E626" t="str">
        <f>IF($A626&lt;&gt;"",'Approved-Enforcement'!D626,"")</f>
        <v/>
      </c>
      <c r="F626" t="str">
        <f>IF($A626&lt;&gt;"",'Approved-Enforcement'!E626,"")</f>
        <v/>
      </c>
      <c r="G626" t="str">
        <f>IF($A626&lt;&gt;"",'Approved-Enforcement'!F626,"")</f>
        <v/>
      </c>
      <c r="H626" t="str">
        <f>IF($A626&lt;&gt;"",'Approved-Enforcement'!G626,"")</f>
        <v/>
      </c>
      <c r="I626" t="str">
        <f>IF($A626&lt;&gt;"",'Approved-Enforcement'!H626,"")</f>
        <v/>
      </c>
      <c r="J626" t="str">
        <f>IF($A626&lt;&gt;"",'Approved-Enforcement'!I626,"")</f>
        <v/>
      </c>
      <c r="K626" t="str">
        <f>IF($A626&lt;&gt;"",'Approved-Enforcement'!J626,"")</f>
        <v/>
      </c>
      <c r="L626" t="str">
        <f>IF($A626&lt;&gt;"",'Approved-Enforcement'!K626,"")</f>
        <v/>
      </c>
      <c r="M626" t="str">
        <f>IF($A626&lt;&gt;"",'Approved-Enforcement'!L626,"")</f>
        <v/>
      </c>
      <c r="N626" t="str">
        <f>IF($A626&lt;&gt;"",'Approved-Enforcement'!M626,"")</f>
        <v/>
      </c>
      <c r="O626" t="str">
        <f>IF($A626&lt;&gt;"",'Approved-Enforcement'!N626,"")</f>
        <v/>
      </c>
      <c r="P626" t="str">
        <f>IF($A626&lt;&gt;"",'Approved-Enforcement'!O626,"")</f>
        <v/>
      </c>
    </row>
    <row r="627" spans="1:16" x14ac:dyDescent="0.35">
      <c r="A627" s="4" t="str">
        <f>IF('Approved-Enforcement'!$A627&lt;&gt;"",'Approved-Enforcement'!A627,"")</f>
        <v/>
      </c>
      <c r="B627" t="str">
        <f t="shared" si="9"/>
        <v/>
      </c>
      <c r="D627" t="str">
        <f>IF($A627&lt;&gt;"",IF($R627&lt;&gt;"",$R627,'Approved-Enforcement'!$B627+7),"")</f>
        <v/>
      </c>
      <c r="E627" t="str">
        <f>IF($A627&lt;&gt;"",'Approved-Enforcement'!D627,"")</f>
        <v/>
      </c>
      <c r="F627" t="str">
        <f>IF($A627&lt;&gt;"",'Approved-Enforcement'!E627,"")</f>
        <v/>
      </c>
      <c r="G627" t="str">
        <f>IF($A627&lt;&gt;"",'Approved-Enforcement'!F627,"")</f>
        <v/>
      </c>
      <c r="H627" t="str">
        <f>IF($A627&lt;&gt;"",'Approved-Enforcement'!G627,"")</f>
        <v/>
      </c>
      <c r="I627" t="str">
        <f>IF($A627&lt;&gt;"",'Approved-Enforcement'!H627,"")</f>
        <v/>
      </c>
      <c r="J627" t="str">
        <f>IF($A627&lt;&gt;"",'Approved-Enforcement'!I627,"")</f>
        <v/>
      </c>
      <c r="K627" t="str">
        <f>IF($A627&lt;&gt;"",'Approved-Enforcement'!J627,"")</f>
        <v/>
      </c>
      <c r="L627" t="str">
        <f>IF($A627&lt;&gt;"",'Approved-Enforcement'!K627,"")</f>
        <v/>
      </c>
      <c r="M627" t="str">
        <f>IF($A627&lt;&gt;"",'Approved-Enforcement'!L627,"")</f>
        <v/>
      </c>
      <c r="N627" t="str">
        <f>IF($A627&lt;&gt;"",'Approved-Enforcement'!M627,"")</f>
        <v/>
      </c>
      <c r="O627" t="str">
        <f>IF($A627&lt;&gt;"",'Approved-Enforcement'!N627,"")</f>
        <v/>
      </c>
      <c r="P627" t="str">
        <f>IF($A627&lt;&gt;"",'Approved-Enforcement'!O627,"")</f>
        <v/>
      </c>
    </row>
    <row r="628" spans="1:16" x14ac:dyDescent="0.35">
      <c r="A628" s="4" t="str">
        <f>IF('Approved-Enforcement'!$A628&lt;&gt;"",'Approved-Enforcement'!A628,"")</f>
        <v/>
      </c>
      <c r="B628" t="str">
        <f t="shared" si="9"/>
        <v/>
      </c>
      <c r="D628" t="str">
        <f>IF($A628&lt;&gt;"",IF($R628&lt;&gt;"",$R628,'Approved-Enforcement'!$B628+7),"")</f>
        <v/>
      </c>
      <c r="E628" t="str">
        <f>IF($A628&lt;&gt;"",'Approved-Enforcement'!D628,"")</f>
        <v/>
      </c>
      <c r="F628" t="str">
        <f>IF($A628&lt;&gt;"",'Approved-Enforcement'!E628,"")</f>
        <v/>
      </c>
      <c r="G628" t="str">
        <f>IF($A628&lt;&gt;"",'Approved-Enforcement'!F628,"")</f>
        <v/>
      </c>
      <c r="H628" t="str">
        <f>IF($A628&lt;&gt;"",'Approved-Enforcement'!G628,"")</f>
        <v/>
      </c>
      <c r="I628" t="str">
        <f>IF($A628&lt;&gt;"",'Approved-Enforcement'!H628,"")</f>
        <v/>
      </c>
      <c r="J628" t="str">
        <f>IF($A628&lt;&gt;"",'Approved-Enforcement'!I628,"")</f>
        <v/>
      </c>
      <c r="K628" t="str">
        <f>IF($A628&lt;&gt;"",'Approved-Enforcement'!J628,"")</f>
        <v/>
      </c>
      <c r="L628" t="str">
        <f>IF($A628&lt;&gt;"",'Approved-Enforcement'!K628,"")</f>
        <v/>
      </c>
      <c r="M628" t="str">
        <f>IF($A628&lt;&gt;"",'Approved-Enforcement'!L628,"")</f>
        <v/>
      </c>
      <c r="N628" t="str">
        <f>IF($A628&lt;&gt;"",'Approved-Enforcement'!M628,"")</f>
        <v/>
      </c>
      <c r="O628" t="str">
        <f>IF($A628&lt;&gt;"",'Approved-Enforcement'!N628,"")</f>
        <v/>
      </c>
      <c r="P628" t="str">
        <f>IF($A628&lt;&gt;"",'Approved-Enforcement'!O628,"")</f>
        <v/>
      </c>
    </row>
    <row r="629" spans="1:16" x14ac:dyDescent="0.35">
      <c r="A629" s="4" t="str">
        <f>IF('Approved-Enforcement'!$A629&lt;&gt;"",'Approved-Enforcement'!A629,"")</f>
        <v/>
      </c>
      <c r="B629" t="str">
        <f t="shared" si="9"/>
        <v/>
      </c>
      <c r="D629" t="str">
        <f>IF($A629&lt;&gt;"",IF($R629&lt;&gt;"",$R629,'Approved-Enforcement'!$B629+7),"")</f>
        <v/>
      </c>
      <c r="E629" t="str">
        <f>IF($A629&lt;&gt;"",'Approved-Enforcement'!D629,"")</f>
        <v/>
      </c>
      <c r="F629" t="str">
        <f>IF($A629&lt;&gt;"",'Approved-Enforcement'!E629,"")</f>
        <v/>
      </c>
      <c r="G629" t="str">
        <f>IF($A629&lt;&gt;"",'Approved-Enforcement'!F629,"")</f>
        <v/>
      </c>
      <c r="H629" t="str">
        <f>IF($A629&lt;&gt;"",'Approved-Enforcement'!G629,"")</f>
        <v/>
      </c>
      <c r="I629" t="str">
        <f>IF($A629&lt;&gt;"",'Approved-Enforcement'!H629,"")</f>
        <v/>
      </c>
      <c r="J629" t="str">
        <f>IF($A629&lt;&gt;"",'Approved-Enforcement'!I629,"")</f>
        <v/>
      </c>
      <c r="K629" t="str">
        <f>IF($A629&lt;&gt;"",'Approved-Enforcement'!J629,"")</f>
        <v/>
      </c>
      <c r="L629" t="str">
        <f>IF($A629&lt;&gt;"",'Approved-Enforcement'!K629,"")</f>
        <v/>
      </c>
      <c r="M629" t="str">
        <f>IF($A629&lt;&gt;"",'Approved-Enforcement'!L629,"")</f>
        <v/>
      </c>
      <c r="N629" t="str">
        <f>IF($A629&lt;&gt;"",'Approved-Enforcement'!M629,"")</f>
        <v/>
      </c>
      <c r="O629" t="str">
        <f>IF($A629&lt;&gt;"",'Approved-Enforcement'!N629,"")</f>
        <v/>
      </c>
      <c r="P629" t="str">
        <f>IF($A629&lt;&gt;"",'Approved-Enforcement'!O629,"")</f>
        <v/>
      </c>
    </row>
    <row r="630" spans="1:16" x14ac:dyDescent="0.35">
      <c r="A630" s="4" t="str">
        <f>IF('Approved-Enforcement'!$A630&lt;&gt;"",'Approved-Enforcement'!A630,"")</f>
        <v/>
      </c>
      <c r="B630" t="str">
        <f t="shared" si="9"/>
        <v/>
      </c>
      <c r="D630" t="str">
        <f>IF($A630&lt;&gt;"",IF($R630&lt;&gt;"",$R630,'Approved-Enforcement'!$B630+7),"")</f>
        <v/>
      </c>
      <c r="E630" t="str">
        <f>IF($A630&lt;&gt;"",'Approved-Enforcement'!D630,"")</f>
        <v/>
      </c>
      <c r="F630" t="str">
        <f>IF($A630&lt;&gt;"",'Approved-Enforcement'!E630,"")</f>
        <v/>
      </c>
      <c r="G630" t="str">
        <f>IF($A630&lt;&gt;"",'Approved-Enforcement'!F630,"")</f>
        <v/>
      </c>
      <c r="H630" t="str">
        <f>IF($A630&lt;&gt;"",'Approved-Enforcement'!G630,"")</f>
        <v/>
      </c>
      <c r="I630" t="str">
        <f>IF($A630&lt;&gt;"",'Approved-Enforcement'!H630,"")</f>
        <v/>
      </c>
      <c r="J630" t="str">
        <f>IF($A630&lt;&gt;"",'Approved-Enforcement'!I630,"")</f>
        <v/>
      </c>
      <c r="K630" t="str">
        <f>IF($A630&lt;&gt;"",'Approved-Enforcement'!J630,"")</f>
        <v/>
      </c>
      <c r="L630" t="str">
        <f>IF($A630&lt;&gt;"",'Approved-Enforcement'!K630,"")</f>
        <v/>
      </c>
      <c r="M630" t="str">
        <f>IF($A630&lt;&gt;"",'Approved-Enforcement'!L630,"")</f>
        <v/>
      </c>
      <c r="N630" t="str">
        <f>IF($A630&lt;&gt;"",'Approved-Enforcement'!M630,"")</f>
        <v/>
      </c>
      <c r="O630" t="str">
        <f>IF($A630&lt;&gt;"",'Approved-Enforcement'!N630,"")</f>
        <v/>
      </c>
      <c r="P630" t="str">
        <f>IF($A630&lt;&gt;"",'Approved-Enforcement'!O630,"")</f>
        <v/>
      </c>
    </row>
    <row r="631" spans="1:16" x14ac:dyDescent="0.35">
      <c r="A631" s="4" t="str">
        <f>IF('Approved-Enforcement'!$A631&lt;&gt;"",'Approved-Enforcement'!A631,"")</f>
        <v/>
      </c>
      <c r="B631" t="str">
        <f t="shared" si="9"/>
        <v/>
      </c>
      <c r="D631" t="str">
        <f>IF($A631&lt;&gt;"",IF($R631&lt;&gt;"",$R631,'Approved-Enforcement'!$B631+7),"")</f>
        <v/>
      </c>
      <c r="E631" t="str">
        <f>IF($A631&lt;&gt;"",'Approved-Enforcement'!D631,"")</f>
        <v/>
      </c>
      <c r="F631" t="str">
        <f>IF($A631&lt;&gt;"",'Approved-Enforcement'!E631,"")</f>
        <v/>
      </c>
      <c r="G631" t="str">
        <f>IF($A631&lt;&gt;"",'Approved-Enforcement'!F631,"")</f>
        <v/>
      </c>
      <c r="H631" t="str">
        <f>IF($A631&lt;&gt;"",'Approved-Enforcement'!G631,"")</f>
        <v/>
      </c>
      <c r="I631" t="str">
        <f>IF($A631&lt;&gt;"",'Approved-Enforcement'!H631,"")</f>
        <v/>
      </c>
      <c r="J631" t="str">
        <f>IF($A631&lt;&gt;"",'Approved-Enforcement'!I631,"")</f>
        <v/>
      </c>
      <c r="K631" t="str">
        <f>IF($A631&lt;&gt;"",'Approved-Enforcement'!J631,"")</f>
        <v/>
      </c>
      <c r="L631" t="str">
        <f>IF($A631&lt;&gt;"",'Approved-Enforcement'!K631,"")</f>
        <v/>
      </c>
      <c r="M631" t="str">
        <f>IF($A631&lt;&gt;"",'Approved-Enforcement'!L631,"")</f>
        <v/>
      </c>
      <c r="N631" t="str">
        <f>IF($A631&lt;&gt;"",'Approved-Enforcement'!M631,"")</f>
        <v/>
      </c>
      <c r="O631" t="str">
        <f>IF($A631&lt;&gt;"",'Approved-Enforcement'!N631,"")</f>
        <v/>
      </c>
      <c r="P631" t="str">
        <f>IF($A631&lt;&gt;"",'Approved-Enforcement'!O631,"")</f>
        <v/>
      </c>
    </row>
    <row r="632" spans="1:16" x14ac:dyDescent="0.35">
      <c r="A632" s="4" t="str">
        <f>IF('Approved-Enforcement'!$A632&lt;&gt;"",'Approved-Enforcement'!A632,"")</f>
        <v/>
      </c>
      <c r="B632" t="str">
        <f t="shared" si="9"/>
        <v/>
      </c>
      <c r="D632" t="str">
        <f>IF($A632&lt;&gt;"",IF($R632&lt;&gt;"",$R632,'Approved-Enforcement'!$B632+7),"")</f>
        <v/>
      </c>
      <c r="E632" t="str">
        <f>IF($A632&lt;&gt;"",'Approved-Enforcement'!D632,"")</f>
        <v/>
      </c>
      <c r="F632" t="str">
        <f>IF($A632&lt;&gt;"",'Approved-Enforcement'!E632,"")</f>
        <v/>
      </c>
      <c r="G632" t="str">
        <f>IF($A632&lt;&gt;"",'Approved-Enforcement'!F632,"")</f>
        <v/>
      </c>
      <c r="H632" t="str">
        <f>IF($A632&lt;&gt;"",'Approved-Enforcement'!G632,"")</f>
        <v/>
      </c>
      <c r="I632" t="str">
        <f>IF($A632&lt;&gt;"",'Approved-Enforcement'!H632,"")</f>
        <v/>
      </c>
      <c r="J632" t="str">
        <f>IF($A632&lt;&gt;"",'Approved-Enforcement'!I632,"")</f>
        <v/>
      </c>
      <c r="K632" t="str">
        <f>IF($A632&lt;&gt;"",'Approved-Enforcement'!J632,"")</f>
        <v/>
      </c>
      <c r="L632" t="str">
        <f>IF($A632&lt;&gt;"",'Approved-Enforcement'!K632,"")</f>
        <v/>
      </c>
      <c r="M632" t="str">
        <f>IF($A632&lt;&gt;"",'Approved-Enforcement'!L632,"")</f>
        <v/>
      </c>
      <c r="N632" t="str">
        <f>IF($A632&lt;&gt;"",'Approved-Enforcement'!M632,"")</f>
        <v/>
      </c>
      <c r="O632" t="str">
        <f>IF($A632&lt;&gt;"",'Approved-Enforcement'!N632,"")</f>
        <v/>
      </c>
      <c r="P632" t="str">
        <f>IF($A632&lt;&gt;"",'Approved-Enforcement'!O632,"")</f>
        <v/>
      </c>
    </row>
    <row r="633" spans="1:16" x14ac:dyDescent="0.35">
      <c r="A633" s="4" t="str">
        <f>IF('Approved-Enforcement'!$A633&lt;&gt;"",'Approved-Enforcement'!A633,"")</f>
        <v/>
      </c>
      <c r="B633" t="str">
        <f t="shared" si="9"/>
        <v/>
      </c>
      <c r="D633" t="str">
        <f>IF($A633&lt;&gt;"",IF($R633&lt;&gt;"",$R633,'Approved-Enforcement'!$B633+7),"")</f>
        <v/>
      </c>
      <c r="E633" t="str">
        <f>IF($A633&lt;&gt;"",'Approved-Enforcement'!D633,"")</f>
        <v/>
      </c>
      <c r="F633" t="str">
        <f>IF($A633&lt;&gt;"",'Approved-Enforcement'!E633,"")</f>
        <v/>
      </c>
      <c r="G633" t="str">
        <f>IF($A633&lt;&gt;"",'Approved-Enforcement'!F633,"")</f>
        <v/>
      </c>
      <c r="H633" t="str">
        <f>IF($A633&lt;&gt;"",'Approved-Enforcement'!G633,"")</f>
        <v/>
      </c>
      <c r="I633" t="str">
        <f>IF($A633&lt;&gt;"",'Approved-Enforcement'!H633,"")</f>
        <v/>
      </c>
      <c r="J633" t="str">
        <f>IF($A633&lt;&gt;"",'Approved-Enforcement'!I633,"")</f>
        <v/>
      </c>
      <c r="K633" t="str">
        <f>IF($A633&lt;&gt;"",'Approved-Enforcement'!J633,"")</f>
        <v/>
      </c>
      <c r="L633" t="str">
        <f>IF($A633&lt;&gt;"",'Approved-Enforcement'!K633,"")</f>
        <v/>
      </c>
      <c r="M633" t="str">
        <f>IF($A633&lt;&gt;"",'Approved-Enforcement'!L633,"")</f>
        <v/>
      </c>
      <c r="N633" t="str">
        <f>IF($A633&lt;&gt;"",'Approved-Enforcement'!M633,"")</f>
        <v/>
      </c>
      <c r="O633" t="str">
        <f>IF($A633&lt;&gt;"",'Approved-Enforcement'!N633,"")</f>
        <v/>
      </c>
      <c r="P633" t="str">
        <f>IF($A633&lt;&gt;"",'Approved-Enforcement'!O633,"")</f>
        <v/>
      </c>
    </row>
    <row r="634" spans="1:16" x14ac:dyDescent="0.35">
      <c r="A634" s="4" t="str">
        <f>IF('Approved-Enforcement'!$A634&lt;&gt;"",'Approved-Enforcement'!A634,"")</f>
        <v/>
      </c>
      <c r="B634" t="str">
        <f t="shared" si="9"/>
        <v/>
      </c>
      <c r="D634" t="str">
        <f>IF($A634&lt;&gt;"",IF($R634&lt;&gt;"",$R634,'Approved-Enforcement'!$B634+7),"")</f>
        <v/>
      </c>
      <c r="E634" t="str">
        <f>IF($A634&lt;&gt;"",'Approved-Enforcement'!D634,"")</f>
        <v/>
      </c>
      <c r="F634" t="str">
        <f>IF($A634&lt;&gt;"",'Approved-Enforcement'!E634,"")</f>
        <v/>
      </c>
      <c r="G634" t="str">
        <f>IF($A634&lt;&gt;"",'Approved-Enforcement'!F634,"")</f>
        <v/>
      </c>
      <c r="H634" t="str">
        <f>IF($A634&lt;&gt;"",'Approved-Enforcement'!G634,"")</f>
        <v/>
      </c>
      <c r="I634" t="str">
        <f>IF($A634&lt;&gt;"",'Approved-Enforcement'!H634,"")</f>
        <v/>
      </c>
      <c r="J634" t="str">
        <f>IF($A634&lt;&gt;"",'Approved-Enforcement'!I634,"")</f>
        <v/>
      </c>
      <c r="K634" t="str">
        <f>IF($A634&lt;&gt;"",'Approved-Enforcement'!J634,"")</f>
        <v/>
      </c>
      <c r="L634" t="str">
        <f>IF($A634&lt;&gt;"",'Approved-Enforcement'!K634,"")</f>
        <v/>
      </c>
      <c r="M634" t="str">
        <f>IF($A634&lt;&gt;"",'Approved-Enforcement'!L634,"")</f>
        <v/>
      </c>
      <c r="N634" t="str">
        <f>IF($A634&lt;&gt;"",'Approved-Enforcement'!M634,"")</f>
        <v/>
      </c>
      <c r="O634" t="str">
        <f>IF($A634&lt;&gt;"",'Approved-Enforcement'!N634,"")</f>
        <v/>
      </c>
      <c r="P634" t="str">
        <f>IF($A634&lt;&gt;"",'Approved-Enforcement'!O634,"")</f>
        <v/>
      </c>
    </row>
    <row r="635" spans="1:16" x14ac:dyDescent="0.35">
      <c r="A635" s="4" t="str">
        <f>IF('Approved-Enforcement'!$A635&lt;&gt;"",'Approved-Enforcement'!A635,"")</f>
        <v/>
      </c>
      <c r="B635" t="str">
        <f t="shared" si="9"/>
        <v/>
      </c>
      <c r="D635" t="str">
        <f>IF($A635&lt;&gt;"",IF($R635&lt;&gt;"",$R635,'Approved-Enforcement'!$B635+7),"")</f>
        <v/>
      </c>
      <c r="E635" t="str">
        <f>IF($A635&lt;&gt;"",'Approved-Enforcement'!D635,"")</f>
        <v/>
      </c>
      <c r="F635" t="str">
        <f>IF($A635&lt;&gt;"",'Approved-Enforcement'!E635,"")</f>
        <v/>
      </c>
      <c r="G635" t="str">
        <f>IF($A635&lt;&gt;"",'Approved-Enforcement'!F635,"")</f>
        <v/>
      </c>
      <c r="H635" t="str">
        <f>IF($A635&lt;&gt;"",'Approved-Enforcement'!G635,"")</f>
        <v/>
      </c>
      <c r="I635" t="str">
        <f>IF($A635&lt;&gt;"",'Approved-Enforcement'!H635,"")</f>
        <v/>
      </c>
      <c r="J635" t="str">
        <f>IF($A635&lt;&gt;"",'Approved-Enforcement'!I635,"")</f>
        <v/>
      </c>
      <c r="K635" t="str">
        <f>IF($A635&lt;&gt;"",'Approved-Enforcement'!J635,"")</f>
        <v/>
      </c>
      <c r="L635" t="str">
        <f>IF($A635&lt;&gt;"",'Approved-Enforcement'!K635,"")</f>
        <v/>
      </c>
      <c r="M635" t="str">
        <f>IF($A635&lt;&gt;"",'Approved-Enforcement'!L635,"")</f>
        <v/>
      </c>
      <c r="N635" t="str">
        <f>IF($A635&lt;&gt;"",'Approved-Enforcement'!M635,"")</f>
        <v/>
      </c>
      <c r="O635" t="str">
        <f>IF($A635&lt;&gt;"",'Approved-Enforcement'!N635,"")</f>
        <v/>
      </c>
      <c r="P635" t="str">
        <f>IF($A635&lt;&gt;"",'Approved-Enforcement'!O635,"")</f>
        <v/>
      </c>
    </row>
    <row r="636" spans="1:16" x14ac:dyDescent="0.35">
      <c r="A636" s="4" t="str">
        <f>IF('Approved-Enforcement'!$A636&lt;&gt;"",'Approved-Enforcement'!A636,"")</f>
        <v/>
      </c>
      <c r="B636" t="str">
        <f t="shared" si="9"/>
        <v/>
      </c>
      <c r="D636" t="str">
        <f>IF($A636&lt;&gt;"",IF($R636&lt;&gt;"",$R636,'Approved-Enforcement'!$B636+7),"")</f>
        <v/>
      </c>
      <c r="E636" t="str">
        <f>IF($A636&lt;&gt;"",'Approved-Enforcement'!D636,"")</f>
        <v/>
      </c>
      <c r="F636" t="str">
        <f>IF($A636&lt;&gt;"",'Approved-Enforcement'!E636,"")</f>
        <v/>
      </c>
      <c r="G636" t="str">
        <f>IF($A636&lt;&gt;"",'Approved-Enforcement'!F636,"")</f>
        <v/>
      </c>
      <c r="H636" t="str">
        <f>IF($A636&lt;&gt;"",'Approved-Enforcement'!G636,"")</f>
        <v/>
      </c>
      <c r="I636" t="str">
        <f>IF($A636&lt;&gt;"",'Approved-Enforcement'!H636,"")</f>
        <v/>
      </c>
      <c r="J636" t="str">
        <f>IF($A636&lt;&gt;"",'Approved-Enforcement'!I636,"")</f>
        <v/>
      </c>
      <c r="K636" t="str">
        <f>IF($A636&lt;&gt;"",'Approved-Enforcement'!J636,"")</f>
        <v/>
      </c>
      <c r="L636" t="str">
        <f>IF($A636&lt;&gt;"",'Approved-Enforcement'!K636,"")</f>
        <v/>
      </c>
      <c r="M636" t="str">
        <f>IF($A636&lt;&gt;"",'Approved-Enforcement'!L636,"")</f>
        <v/>
      </c>
      <c r="N636" t="str">
        <f>IF($A636&lt;&gt;"",'Approved-Enforcement'!M636,"")</f>
        <v/>
      </c>
      <c r="O636" t="str">
        <f>IF($A636&lt;&gt;"",'Approved-Enforcement'!N636,"")</f>
        <v/>
      </c>
      <c r="P636" t="str">
        <f>IF($A636&lt;&gt;"",'Approved-Enforcement'!O636,"")</f>
        <v/>
      </c>
    </row>
    <row r="637" spans="1:16" x14ac:dyDescent="0.35">
      <c r="A637" s="4" t="str">
        <f>IF('Approved-Enforcement'!$A637&lt;&gt;"",'Approved-Enforcement'!A637,"")</f>
        <v/>
      </c>
      <c r="B637" t="str">
        <f t="shared" si="9"/>
        <v/>
      </c>
      <c r="D637" t="str">
        <f>IF($A637&lt;&gt;"",IF($R637&lt;&gt;"",$R637,'Approved-Enforcement'!$B637+7),"")</f>
        <v/>
      </c>
      <c r="E637" t="str">
        <f>IF($A637&lt;&gt;"",'Approved-Enforcement'!D637,"")</f>
        <v/>
      </c>
      <c r="F637" t="str">
        <f>IF($A637&lt;&gt;"",'Approved-Enforcement'!E637,"")</f>
        <v/>
      </c>
      <c r="G637" t="str">
        <f>IF($A637&lt;&gt;"",'Approved-Enforcement'!F637,"")</f>
        <v/>
      </c>
      <c r="H637" t="str">
        <f>IF($A637&lt;&gt;"",'Approved-Enforcement'!G637,"")</f>
        <v/>
      </c>
      <c r="I637" t="str">
        <f>IF($A637&lt;&gt;"",'Approved-Enforcement'!H637,"")</f>
        <v/>
      </c>
      <c r="J637" t="str">
        <f>IF($A637&lt;&gt;"",'Approved-Enforcement'!I637,"")</f>
        <v/>
      </c>
      <c r="K637" t="str">
        <f>IF($A637&lt;&gt;"",'Approved-Enforcement'!J637,"")</f>
        <v/>
      </c>
      <c r="L637" t="str">
        <f>IF($A637&lt;&gt;"",'Approved-Enforcement'!K637,"")</f>
        <v/>
      </c>
      <c r="M637" t="str">
        <f>IF($A637&lt;&gt;"",'Approved-Enforcement'!L637,"")</f>
        <v/>
      </c>
      <c r="N637" t="str">
        <f>IF($A637&lt;&gt;"",'Approved-Enforcement'!M637,"")</f>
        <v/>
      </c>
      <c r="O637" t="str">
        <f>IF($A637&lt;&gt;"",'Approved-Enforcement'!N637,"")</f>
        <v/>
      </c>
      <c r="P637" t="str">
        <f>IF($A637&lt;&gt;"",'Approved-Enforcement'!O637,"")</f>
        <v/>
      </c>
    </row>
    <row r="638" spans="1:16" x14ac:dyDescent="0.35">
      <c r="A638" s="4" t="str">
        <f>IF('Approved-Enforcement'!$A638&lt;&gt;"",'Approved-Enforcement'!A638,"")</f>
        <v/>
      </c>
      <c r="B638" t="str">
        <f t="shared" si="9"/>
        <v/>
      </c>
      <c r="D638" t="str">
        <f>IF($A638&lt;&gt;"",IF($R638&lt;&gt;"",$R638,'Approved-Enforcement'!$B638+7),"")</f>
        <v/>
      </c>
      <c r="E638" t="str">
        <f>IF($A638&lt;&gt;"",'Approved-Enforcement'!D638,"")</f>
        <v/>
      </c>
      <c r="F638" t="str">
        <f>IF($A638&lt;&gt;"",'Approved-Enforcement'!E638,"")</f>
        <v/>
      </c>
      <c r="G638" t="str">
        <f>IF($A638&lt;&gt;"",'Approved-Enforcement'!F638,"")</f>
        <v/>
      </c>
      <c r="H638" t="str">
        <f>IF($A638&lt;&gt;"",'Approved-Enforcement'!G638,"")</f>
        <v/>
      </c>
      <c r="I638" t="str">
        <f>IF($A638&lt;&gt;"",'Approved-Enforcement'!H638,"")</f>
        <v/>
      </c>
      <c r="J638" t="str">
        <f>IF($A638&lt;&gt;"",'Approved-Enforcement'!I638,"")</f>
        <v/>
      </c>
      <c r="K638" t="str">
        <f>IF($A638&lt;&gt;"",'Approved-Enforcement'!J638,"")</f>
        <v/>
      </c>
      <c r="L638" t="str">
        <f>IF($A638&lt;&gt;"",'Approved-Enforcement'!K638,"")</f>
        <v/>
      </c>
      <c r="M638" t="str">
        <f>IF($A638&lt;&gt;"",'Approved-Enforcement'!L638,"")</f>
        <v/>
      </c>
      <c r="N638" t="str">
        <f>IF($A638&lt;&gt;"",'Approved-Enforcement'!M638,"")</f>
        <v/>
      </c>
      <c r="O638" t="str">
        <f>IF($A638&lt;&gt;"",'Approved-Enforcement'!N638,"")</f>
        <v/>
      </c>
      <c r="P638" t="str">
        <f>IF($A638&lt;&gt;"",'Approved-Enforcement'!O638,"")</f>
        <v/>
      </c>
    </row>
    <row r="639" spans="1:16" x14ac:dyDescent="0.35">
      <c r="A639" s="4" t="str">
        <f>IF('Approved-Enforcement'!$A639&lt;&gt;"",'Approved-Enforcement'!A639,"")</f>
        <v/>
      </c>
      <c r="B639" t="str">
        <f t="shared" si="9"/>
        <v/>
      </c>
      <c r="D639" t="str">
        <f>IF($A639&lt;&gt;"",IF($R639&lt;&gt;"",$R639,'Approved-Enforcement'!$B639+7),"")</f>
        <v/>
      </c>
      <c r="E639" t="str">
        <f>IF($A639&lt;&gt;"",'Approved-Enforcement'!D639,"")</f>
        <v/>
      </c>
      <c r="F639" t="str">
        <f>IF($A639&lt;&gt;"",'Approved-Enforcement'!E639,"")</f>
        <v/>
      </c>
      <c r="G639" t="str">
        <f>IF($A639&lt;&gt;"",'Approved-Enforcement'!F639,"")</f>
        <v/>
      </c>
      <c r="H639" t="str">
        <f>IF($A639&lt;&gt;"",'Approved-Enforcement'!G639,"")</f>
        <v/>
      </c>
      <c r="I639" t="str">
        <f>IF($A639&lt;&gt;"",'Approved-Enforcement'!H639,"")</f>
        <v/>
      </c>
      <c r="J639" t="str">
        <f>IF($A639&lt;&gt;"",'Approved-Enforcement'!I639,"")</f>
        <v/>
      </c>
      <c r="K639" t="str">
        <f>IF($A639&lt;&gt;"",'Approved-Enforcement'!J639,"")</f>
        <v/>
      </c>
      <c r="L639" t="str">
        <f>IF($A639&lt;&gt;"",'Approved-Enforcement'!K639,"")</f>
        <v/>
      </c>
      <c r="M639" t="str">
        <f>IF($A639&lt;&gt;"",'Approved-Enforcement'!L639,"")</f>
        <v/>
      </c>
      <c r="N639" t="str">
        <f>IF($A639&lt;&gt;"",'Approved-Enforcement'!M639,"")</f>
        <v/>
      </c>
      <c r="O639" t="str">
        <f>IF($A639&lt;&gt;"",'Approved-Enforcement'!N639,"")</f>
        <v/>
      </c>
      <c r="P639" t="str">
        <f>IF($A639&lt;&gt;"",'Approved-Enforcement'!O639,"")</f>
        <v/>
      </c>
    </row>
    <row r="640" spans="1:16" x14ac:dyDescent="0.35">
      <c r="A640" s="4" t="str">
        <f>IF('Approved-Enforcement'!$A640&lt;&gt;"",'Approved-Enforcement'!A640,"")</f>
        <v/>
      </c>
      <c r="B640" t="str">
        <f t="shared" si="9"/>
        <v/>
      </c>
      <c r="D640" t="str">
        <f>IF($A640&lt;&gt;"",IF($R640&lt;&gt;"",$R640,'Approved-Enforcement'!$B640+7),"")</f>
        <v/>
      </c>
      <c r="E640" t="str">
        <f>IF($A640&lt;&gt;"",'Approved-Enforcement'!D640,"")</f>
        <v/>
      </c>
      <c r="F640" t="str">
        <f>IF($A640&lt;&gt;"",'Approved-Enforcement'!E640,"")</f>
        <v/>
      </c>
      <c r="G640" t="str">
        <f>IF($A640&lt;&gt;"",'Approved-Enforcement'!F640,"")</f>
        <v/>
      </c>
      <c r="H640" t="str">
        <f>IF($A640&lt;&gt;"",'Approved-Enforcement'!G640,"")</f>
        <v/>
      </c>
      <c r="I640" t="str">
        <f>IF($A640&lt;&gt;"",'Approved-Enforcement'!H640,"")</f>
        <v/>
      </c>
      <c r="J640" t="str">
        <f>IF($A640&lt;&gt;"",'Approved-Enforcement'!I640,"")</f>
        <v/>
      </c>
      <c r="K640" t="str">
        <f>IF($A640&lt;&gt;"",'Approved-Enforcement'!J640,"")</f>
        <v/>
      </c>
      <c r="L640" t="str">
        <f>IF($A640&lt;&gt;"",'Approved-Enforcement'!K640,"")</f>
        <v/>
      </c>
      <c r="M640" t="str">
        <f>IF($A640&lt;&gt;"",'Approved-Enforcement'!L640,"")</f>
        <v/>
      </c>
      <c r="N640" t="str">
        <f>IF($A640&lt;&gt;"",'Approved-Enforcement'!M640,"")</f>
        <v/>
      </c>
      <c r="O640" t="str">
        <f>IF($A640&lt;&gt;"",'Approved-Enforcement'!N640,"")</f>
        <v/>
      </c>
      <c r="P640" t="str">
        <f>IF($A640&lt;&gt;"",'Approved-Enforcement'!O640,"")</f>
        <v/>
      </c>
    </row>
    <row r="641" spans="1:16" x14ac:dyDescent="0.35">
      <c r="A641" s="4" t="str">
        <f>IF('Approved-Enforcement'!$A641&lt;&gt;"",'Approved-Enforcement'!A641,"")</f>
        <v/>
      </c>
      <c r="B641" t="str">
        <f t="shared" si="9"/>
        <v/>
      </c>
      <c r="D641" t="str">
        <f>IF($A641&lt;&gt;"",IF($R641&lt;&gt;"",$R641,'Approved-Enforcement'!$B641+7),"")</f>
        <v/>
      </c>
      <c r="E641" t="str">
        <f>IF($A641&lt;&gt;"",'Approved-Enforcement'!D641,"")</f>
        <v/>
      </c>
      <c r="F641" t="str">
        <f>IF($A641&lt;&gt;"",'Approved-Enforcement'!E641,"")</f>
        <v/>
      </c>
      <c r="G641" t="str">
        <f>IF($A641&lt;&gt;"",'Approved-Enforcement'!F641,"")</f>
        <v/>
      </c>
      <c r="H641" t="str">
        <f>IF($A641&lt;&gt;"",'Approved-Enforcement'!G641,"")</f>
        <v/>
      </c>
      <c r="I641" t="str">
        <f>IF($A641&lt;&gt;"",'Approved-Enforcement'!H641,"")</f>
        <v/>
      </c>
      <c r="J641" t="str">
        <f>IF($A641&lt;&gt;"",'Approved-Enforcement'!I641,"")</f>
        <v/>
      </c>
      <c r="K641" t="str">
        <f>IF($A641&lt;&gt;"",'Approved-Enforcement'!J641,"")</f>
        <v/>
      </c>
      <c r="L641" t="str">
        <f>IF($A641&lt;&gt;"",'Approved-Enforcement'!K641,"")</f>
        <v/>
      </c>
      <c r="M641" t="str">
        <f>IF($A641&lt;&gt;"",'Approved-Enforcement'!L641,"")</f>
        <v/>
      </c>
      <c r="N641" t="str">
        <f>IF($A641&lt;&gt;"",'Approved-Enforcement'!M641,"")</f>
        <v/>
      </c>
      <c r="O641" t="str">
        <f>IF($A641&lt;&gt;"",'Approved-Enforcement'!N641,"")</f>
        <v/>
      </c>
      <c r="P641" t="str">
        <f>IF($A641&lt;&gt;"",'Approved-Enforcement'!O641,"")</f>
        <v/>
      </c>
    </row>
    <row r="642" spans="1:16" x14ac:dyDescent="0.35">
      <c r="A642" s="4" t="str">
        <f>IF('Approved-Enforcement'!$A642&lt;&gt;"",'Approved-Enforcement'!A642,"")</f>
        <v/>
      </c>
      <c r="B642" t="str">
        <f t="shared" ref="B642:B705" si="10">IF($A642&lt;&gt;"",IF($C642&lt;&gt;"",$C642,1500),"")</f>
        <v/>
      </c>
      <c r="D642" t="str">
        <f>IF($A642&lt;&gt;"",IF($R642&lt;&gt;"",$R642,'Approved-Enforcement'!$B642+7),"")</f>
        <v/>
      </c>
      <c r="E642" t="str">
        <f>IF($A642&lt;&gt;"",'Approved-Enforcement'!D642,"")</f>
        <v/>
      </c>
      <c r="F642" t="str">
        <f>IF($A642&lt;&gt;"",'Approved-Enforcement'!E642,"")</f>
        <v/>
      </c>
      <c r="G642" t="str">
        <f>IF($A642&lt;&gt;"",'Approved-Enforcement'!F642,"")</f>
        <v/>
      </c>
      <c r="H642" t="str">
        <f>IF($A642&lt;&gt;"",'Approved-Enforcement'!G642,"")</f>
        <v/>
      </c>
      <c r="I642" t="str">
        <f>IF($A642&lt;&gt;"",'Approved-Enforcement'!H642,"")</f>
        <v/>
      </c>
      <c r="J642" t="str">
        <f>IF($A642&lt;&gt;"",'Approved-Enforcement'!I642,"")</f>
        <v/>
      </c>
      <c r="K642" t="str">
        <f>IF($A642&lt;&gt;"",'Approved-Enforcement'!J642,"")</f>
        <v/>
      </c>
      <c r="L642" t="str">
        <f>IF($A642&lt;&gt;"",'Approved-Enforcement'!K642,"")</f>
        <v/>
      </c>
      <c r="M642" t="str">
        <f>IF($A642&lt;&gt;"",'Approved-Enforcement'!L642,"")</f>
        <v/>
      </c>
      <c r="N642" t="str">
        <f>IF($A642&lt;&gt;"",'Approved-Enforcement'!M642,"")</f>
        <v/>
      </c>
      <c r="O642" t="str">
        <f>IF($A642&lt;&gt;"",'Approved-Enforcement'!N642,"")</f>
        <v/>
      </c>
      <c r="P642" t="str">
        <f>IF($A642&lt;&gt;"",'Approved-Enforcement'!O642,"")</f>
        <v/>
      </c>
    </row>
    <row r="643" spans="1:16" x14ac:dyDescent="0.35">
      <c r="A643" s="4" t="str">
        <f>IF('Approved-Enforcement'!$A643&lt;&gt;"",'Approved-Enforcement'!A643,"")</f>
        <v/>
      </c>
      <c r="B643" t="str">
        <f t="shared" si="10"/>
        <v/>
      </c>
      <c r="D643" t="str">
        <f>IF($A643&lt;&gt;"",IF($R643&lt;&gt;"",$R643,'Approved-Enforcement'!$B643+7),"")</f>
        <v/>
      </c>
      <c r="E643" t="str">
        <f>IF($A643&lt;&gt;"",'Approved-Enforcement'!D643,"")</f>
        <v/>
      </c>
      <c r="F643" t="str">
        <f>IF($A643&lt;&gt;"",'Approved-Enforcement'!E643,"")</f>
        <v/>
      </c>
      <c r="G643" t="str">
        <f>IF($A643&lt;&gt;"",'Approved-Enforcement'!F643,"")</f>
        <v/>
      </c>
      <c r="H643" t="str">
        <f>IF($A643&lt;&gt;"",'Approved-Enforcement'!G643,"")</f>
        <v/>
      </c>
      <c r="I643" t="str">
        <f>IF($A643&lt;&gt;"",'Approved-Enforcement'!H643,"")</f>
        <v/>
      </c>
      <c r="J643" t="str">
        <f>IF($A643&lt;&gt;"",'Approved-Enforcement'!I643,"")</f>
        <v/>
      </c>
      <c r="K643" t="str">
        <f>IF($A643&lt;&gt;"",'Approved-Enforcement'!J643,"")</f>
        <v/>
      </c>
      <c r="L643" t="str">
        <f>IF($A643&lt;&gt;"",'Approved-Enforcement'!K643,"")</f>
        <v/>
      </c>
      <c r="M643" t="str">
        <f>IF($A643&lt;&gt;"",'Approved-Enforcement'!L643,"")</f>
        <v/>
      </c>
      <c r="N643" t="str">
        <f>IF($A643&lt;&gt;"",'Approved-Enforcement'!M643,"")</f>
        <v/>
      </c>
      <c r="O643" t="str">
        <f>IF($A643&lt;&gt;"",'Approved-Enforcement'!N643,"")</f>
        <v/>
      </c>
      <c r="P643" t="str">
        <f>IF($A643&lt;&gt;"",'Approved-Enforcement'!O643,"")</f>
        <v/>
      </c>
    </row>
    <row r="644" spans="1:16" x14ac:dyDescent="0.35">
      <c r="A644" s="4" t="str">
        <f>IF('Approved-Enforcement'!$A644&lt;&gt;"",'Approved-Enforcement'!A644,"")</f>
        <v/>
      </c>
      <c r="B644" t="str">
        <f t="shared" si="10"/>
        <v/>
      </c>
      <c r="D644" t="str">
        <f>IF($A644&lt;&gt;"",IF($R644&lt;&gt;"",$R644,'Approved-Enforcement'!$B644+7),"")</f>
        <v/>
      </c>
      <c r="E644" t="str">
        <f>IF($A644&lt;&gt;"",'Approved-Enforcement'!D644,"")</f>
        <v/>
      </c>
      <c r="F644" t="str">
        <f>IF($A644&lt;&gt;"",'Approved-Enforcement'!E644,"")</f>
        <v/>
      </c>
      <c r="G644" t="str">
        <f>IF($A644&lt;&gt;"",'Approved-Enforcement'!F644,"")</f>
        <v/>
      </c>
      <c r="H644" t="str">
        <f>IF($A644&lt;&gt;"",'Approved-Enforcement'!G644,"")</f>
        <v/>
      </c>
      <c r="I644" t="str">
        <f>IF($A644&lt;&gt;"",'Approved-Enforcement'!H644,"")</f>
        <v/>
      </c>
      <c r="J644" t="str">
        <f>IF($A644&lt;&gt;"",'Approved-Enforcement'!I644,"")</f>
        <v/>
      </c>
      <c r="K644" t="str">
        <f>IF($A644&lt;&gt;"",'Approved-Enforcement'!J644,"")</f>
        <v/>
      </c>
      <c r="L644" t="str">
        <f>IF($A644&lt;&gt;"",'Approved-Enforcement'!K644,"")</f>
        <v/>
      </c>
      <c r="M644" t="str">
        <f>IF($A644&lt;&gt;"",'Approved-Enforcement'!L644,"")</f>
        <v/>
      </c>
      <c r="N644" t="str">
        <f>IF($A644&lt;&gt;"",'Approved-Enforcement'!M644,"")</f>
        <v/>
      </c>
      <c r="O644" t="str">
        <f>IF($A644&lt;&gt;"",'Approved-Enforcement'!N644,"")</f>
        <v/>
      </c>
      <c r="P644" t="str">
        <f>IF($A644&lt;&gt;"",'Approved-Enforcement'!O644,"")</f>
        <v/>
      </c>
    </row>
    <row r="645" spans="1:16" x14ac:dyDescent="0.35">
      <c r="A645" s="4" t="str">
        <f>IF('Approved-Enforcement'!$A645&lt;&gt;"",'Approved-Enforcement'!A645,"")</f>
        <v/>
      </c>
      <c r="B645" t="str">
        <f t="shared" si="10"/>
        <v/>
      </c>
      <c r="D645" t="str">
        <f>IF($A645&lt;&gt;"",IF($R645&lt;&gt;"",$R645,'Approved-Enforcement'!$B645+7),"")</f>
        <v/>
      </c>
      <c r="E645" t="str">
        <f>IF($A645&lt;&gt;"",'Approved-Enforcement'!D645,"")</f>
        <v/>
      </c>
      <c r="F645" t="str">
        <f>IF($A645&lt;&gt;"",'Approved-Enforcement'!E645,"")</f>
        <v/>
      </c>
      <c r="G645" t="str">
        <f>IF($A645&lt;&gt;"",'Approved-Enforcement'!F645,"")</f>
        <v/>
      </c>
      <c r="H645" t="str">
        <f>IF($A645&lt;&gt;"",'Approved-Enforcement'!G645,"")</f>
        <v/>
      </c>
      <c r="I645" t="str">
        <f>IF($A645&lt;&gt;"",'Approved-Enforcement'!H645,"")</f>
        <v/>
      </c>
      <c r="J645" t="str">
        <f>IF($A645&lt;&gt;"",'Approved-Enforcement'!I645,"")</f>
        <v/>
      </c>
      <c r="K645" t="str">
        <f>IF($A645&lt;&gt;"",'Approved-Enforcement'!J645,"")</f>
        <v/>
      </c>
      <c r="L645" t="str">
        <f>IF($A645&lt;&gt;"",'Approved-Enforcement'!K645,"")</f>
        <v/>
      </c>
      <c r="M645" t="str">
        <f>IF($A645&lt;&gt;"",'Approved-Enforcement'!L645,"")</f>
        <v/>
      </c>
      <c r="N645" t="str">
        <f>IF($A645&lt;&gt;"",'Approved-Enforcement'!M645,"")</f>
        <v/>
      </c>
      <c r="O645" t="str">
        <f>IF($A645&lt;&gt;"",'Approved-Enforcement'!N645,"")</f>
        <v/>
      </c>
      <c r="P645" t="str">
        <f>IF($A645&lt;&gt;"",'Approved-Enforcement'!O645,"")</f>
        <v/>
      </c>
    </row>
    <row r="646" spans="1:16" x14ac:dyDescent="0.35">
      <c r="A646" s="4" t="str">
        <f>IF('Approved-Enforcement'!$A646&lt;&gt;"",'Approved-Enforcement'!A646,"")</f>
        <v/>
      </c>
      <c r="B646" t="str">
        <f t="shared" si="10"/>
        <v/>
      </c>
      <c r="D646" t="str">
        <f>IF($A646&lt;&gt;"",IF($R646&lt;&gt;"",$R646,'Approved-Enforcement'!$B646+7),"")</f>
        <v/>
      </c>
      <c r="E646" t="str">
        <f>IF($A646&lt;&gt;"",'Approved-Enforcement'!D646,"")</f>
        <v/>
      </c>
      <c r="F646" t="str">
        <f>IF($A646&lt;&gt;"",'Approved-Enforcement'!E646,"")</f>
        <v/>
      </c>
      <c r="G646" t="str">
        <f>IF($A646&lt;&gt;"",'Approved-Enforcement'!F646,"")</f>
        <v/>
      </c>
      <c r="H646" t="str">
        <f>IF($A646&lt;&gt;"",'Approved-Enforcement'!G646,"")</f>
        <v/>
      </c>
      <c r="I646" t="str">
        <f>IF($A646&lt;&gt;"",'Approved-Enforcement'!H646,"")</f>
        <v/>
      </c>
      <c r="J646" t="str">
        <f>IF($A646&lt;&gt;"",'Approved-Enforcement'!I646,"")</f>
        <v/>
      </c>
      <c r="K646" t="str">
        <f>IF($A646&lt;&gt;"",'Approved-Enforcement'!J646,"")</f>
        <v/>
      </c>
      <c r="L646" t="str">
        <f>IF($A646&lt;&gt;"",'Approved-Enforcement'!K646,"")</f>
        <v/>
      </c>
      <c r="M646" t="str">
        <f>IF($A646&lt;&gt;"",'Approved-Enforcement'!L646,"")</f>
        <v/>
      </c>
      <c r="N646" t="str">
        <f>IF($A646&lt;&gt;"",'Approved-Enforcement'!M646,"")</f>
        <v/>
      </c>
      <c r="O646" t="str">
        <f>IF($A646&lt;&gt;"",'Approved-Enforcement'!N646,"")</f>
        <v/>
      </c>
      <c r="P646" t="str">
        <f>IF($A646&lt;&gt;"",'Approved-Enforcement'!O646,"")</f>
        <v/>
      </c>
    </row>
    <row r="647" spans="1:16" x14ac:dyDescent="0.35">
      <c r="A647" s="4" t="str">
        <f>IF('Approved-Enforcement'!$A647&lt;&gt;"",'Approved-Enforcement'!A647,"")</f>
        <v/>
      </c>
      <c r="B647" t="str">
        <f t="shared" si="10"/>
        <v/>
      </c>
      <c r="D647" t="str">
        <f>IF($A647&lt;&gt;"",IF($R647&lt;&gt;"",$R647,'Approved-Enforcement'!$B647+7),"")</f>
        <v/>
      </c>
      <c r="E647" t="str">
        <f>IF($A647&lt;&gt;"",'Approved-Enforcement'!D647,"")</f>
        <v/>
      </c>
      <c r="F647" t="str">
        <f>IF($A647&lt;&gt;"",'Approved-Enforcement'!E647,"")</f>
        <v/>
      </c>
      <c r="G647" t="str">
        <f>IF($A647&lt;&gt;"",'Approved-Enforcement'!F647,"")</f>
        <v/>
      </c>
      <c r="H647" t="str">
        <f>IF($A647&lt;&gt;"",'Approved-Enforcement'!G647,"")</f>
        <v/>
      </c>
      <c r="I647" t="str">
        <f>IF($A647&lt;&gt;"",'Approved-Enforcement'!H647,"")</f>
        <v/>
      </c>
      <c r="J647" t="str">
        <f>IF($A647&lt;&gt;"",'Approved-Enforcement'!I647,"")</f>
        <v/>
      </c>
      <c r="K647" t="str">
        <f>IF($A647&lt;&gt;"",'Approved-Enforcement'!J647,"")</f>
        <v/>
      </c>
      <c r="L647" t="str">
        <f>IF($A647&lt;&gt;"",'Approved-Enforcement'!K647,"")</f>
        <v/>
      </c>
      <c r="M647" t="str">
        <f>IF($A647&lt;&gt;"",'Approved-Enforcement'!L647,"")</f>
        <v/>
      </c>
      <c r="N647" t="str">
        <f>IF($A647&lt;&gt;"",'Approved-Enforcement'!M647,"")</f>
        <v/>
      </c>
      <c r="O647" t="str">
        <f>IF($A647&lt;&gt;"",'Approved-Enforcement'!N647,"")</f>
        <v/>
      </c>
      <c r="P647" t="str">
        <f>IF($A647&lt;&gt;"",'Approved-Enforcement'!O647,"")</f>
        <v/>
      </c>
    </row>
    <row r="648" spans="1:16" x14ac:dyDescent="0.35">
      <c r="A648" s="4" t="str">
        <f>IF('Approved-Enforcement'!$A648&lt;&gt;"",'Approved-Enforcement'!A648,"")</f>
        <v/>
      </c>
      <c r="B648" t="str">
        <f t="shared" si="10"/>
        <v/>
      </c>
      <c r="D648" t="str">
        <f>IF($A648&lt;&gt;"",IF($R648&lt;&gt;"",$R648,'Approved-Enforcement'!$B648+7),"")</f>
        <v/>
      </c>
      <c r="E648" t="str">
        <f>IF($A648&lt;&gt;"",'Approved-Enforcement'!D648,"")</f>
        <v/>
      </c>
      <c r="F648" t="str">
        <f>IF($A648&lt;&gt;"",'Approved-Enforcement'!E648,"")</f>
        <v/>
      </c>
      <c r="G648" t="str">
        <f>IF($A648&lt;&gt;"",'Approved-Enforcement'!F648,"")</f>
        <v/>
      </c>
      <c r="H648" t="str">
        <f>IF($A648&lt;&gt;"",'Approved-Enforcement'!G648,"")</f>
        <v/>
      </c>
      <c r="I648" t="str">
        <f>IF($A648&lt;&gt;"",'Approved-Enforcement'!H648,"")</f>
        <v/>
      </c>
      <c r="J648" t="str">
        <f>IF($A648&lt;&gt;"",'Approved-Enforcement'!I648,"")</f>
        <v/>
      </c>
      <c r="K648" t="str">
        <f>IF($A648&lt;&gt;"",'Approved-Enforcement'!J648,"")</f>
        <v/>
      </c>
      <c r="L648" t="str">
        <f>IF($A648&lt;&gt;"",'Approved-Enforcement'!K648,"")</f>
        <v/>
      </c>
      <c r="M648" t="str">
        <f>IF($A648&lt;&gt;"",'Approved-Enforcement'!L648,"")</f>
        <v/>
      </c>
      <c r="N648" t="str">
        <f>IF($A648&lt;&gt;"",'Approved-Enforcement'!M648,"")</f>
        <v/>
      </c>
      <c r="O648" t="str">
        <f>IF($A648&lt;&gt;"",'Approved-Enforcement'!N648,"")</f>
        <v/>
      </c>
      <c r="P648" t="str">
        <f>IF($A648&lt;&gt;"",'Approved-Enforcement'!O648,"")</f>
        <v/>
      </c>
    </row>
    <row r="649" spans="1:16" x14ac:dyDescent="0.35">
      <c r="A649" s="4" t="str">
        <f>IF('Approved-Enforcement'!$A649&lt;&gt;"",'Approved-Enforcement'!A649,"")</f>
        <v/>
      </c>
      <c r="B649" t="str">
        <f t="shared" si="10"/>
        <v/>
      </c>
      <c r="D649" t="str">
        <f>IF($A649&lt;&gt;"",IF($R649&lt;&gt;"",$R649,'Approved-Enforcement'!$B649+7),"")</f>
        <v/>
      </c>
      <c r="E649" t="str">
        <f>IF($A649&lt;&gt;"",'Approved-Enforcement'!D649,"")</f>
        <v/>
      </c>
      <c r="F649" t="str">
        <f>IF($A649&lt;&gt;"",'Approved-Enforcement'!E649,"")</f>
        <v/>
      </c>
      <c r="G649" t="str">
        <f>IF($A649&lt;&gt;"",'Approved-Enforcement'!F649,"")</f>
        <v/>
      </c>
      <c r="H649" t="str">
        <f>IF($A649&lt;&gt;"",'Approved-Enforcement'!G649,"")</f>
        <v/>
      </c>
      <c r="I649" t="str">
        <f>IF($A649&lt;&gt;"",'Approved-Enforcement'!H649,"")</f>
        <v/>
      </c>
      <c r="J649" t="str">
        <f>IF($A649&lt;&gt;"",'Approved-Enforcement'!I649,"")</f>
        <v/>
      </c>
      <c r="K649" t="str">
        <f>IF($A649&lt;&gt;"",'Approved-Enforcement'!J649,"")</f>
        <v/>
      </c>
      <c r="L649" t="str">
        <f>IF($A649&lt;&gt;"",'Approved-Enforcement'!K649,"")</f>
        <v/>
      </c>
      <c r="M649" t="str">
        <f>IF($A649&lt;&gt;"",'Approved-Enforcement'!L649,"")</f>
        <v/>
      </c>
      <c r="N649" t="str">
        <f>IF($A649&lt;&gt;"",'Approved-Enforcement'!M649,"")</f>
        <v/>
      </c>
      <c r="O649" t="str">
        <f>IF($A649&lt;&gt;"",'Approved-Enforcement'!N649,"")</f>
        <v/>
      </c>
      <c r="P649" t="str">
        <f>IF($A649&lt;&gt;"",'Approved-Enforcement'!O649,"")</f>
        <v/>
      </c>
    </row>
    <row r="650" spans="1:16" x14ac:dyDescent="0.35">
      <c r="A650" s="4" t="str">
        <f>IF('Approved-Enforcement'!$A650&lt;&gt;"",'Approved-Enforcement'!A650,"")</f>
        <v/>
      </c>
      <c r="B650" t="str">
        <f t="shared" si="10"/>
        <v/>
      </c>
      <c r="D650" t="str">
        <f>IF($A650&lt;&gt;"",IF($R650&lt;&gt;"",$R650,'Approved-Enforcement'!$B650+7),"")</f>
        <v/>
      </c>
      <c r="E650" t="str">
        <f>IF($A650&lt;&gt;"",'Approved-Enforcement'!D650,"")</f>
        <v/>
      </c>
      <c r="F650" t="str">
        <f>IF($A650&lt;&gt;"",'Approved-Enforcement'!E650,"")</f>
        <v/>
      </c>
      <c r="G650" t="str">
        <f>IF($A650&lt;&gt;"",'Approved-Enforcement'!F650,"")</f>
        <v/>
      </c>
      <c r="H650" t="str">
        <f>IF($A650&lt;&gt;"",'Approved-Enforcement'!G650,"")</f>
        <v/>
      </c>
      <c r="I650" t="str">
        <f>IF($A650&lt;&gt;"",'Approved-Enforcement'!H650,"")</f>
        <v/>
      </c>
      <c r="J650" t="str">
        <f>IF($A650&lt;&gt;"",'Approved-Enforcement'!I650,"")</f>
        <v/>
      </c>
      <c r="K650" t="str">
        <f>IF($A650&lt;&gt;"",'Approved-Enforcement'!J650,"")</f>
        <v/>
      </c>
      <c r="L650" t="str">
        <f>IF($A650&lt;&gt;"",'Approved-Enforcement'!K650,"")</f>
        <v/>
      </c>
      <c r="M650" t="str">
        <f>IF($A650&lt;&gt;"",'Approved-Enforcement'!L650,"")</f>
        <v/>
      </c>
      <c r="N650" t="str">
        <f>IF($A650&lt;&gt;"",'Approved-Enforcement'!M650,"")</f>
        <v/>
      </c>
      <c r="O650" t="str">
        <f>IF($A650&lt;&gt;"",'Approved-Enforcement'!N650,"")</f>
        <v/>
      </c>
      <c r="P650" t="str">
        <f>IF($A650&lt;&gt;"",'Approved-Enforcement'!O650,"")</f>
        <v/>
      </c>
    </row>
    <row r="651" spans="1:16" x14ac:dyDescent="0.35">
      <c r="A651" s="4" t="str">
        <f>IF('Approved-Enforcement'!$A651&lt;&gt;"",'Approved-Enforcement'!A651,"")</f>
        <v/>
      </c>
      <c r="B651" t="str">
        <f t="shared" si="10"/>
        <v/>
      </c>
      <c r="D651" t="str">
        <f>IF($A651&lt;&gt;"",IF($R651&lt;&gt;"",$R651,'Approved-Enforcement'!$B651+7),"")</f>
        <v/>
      </c>
      <c r="E651" t="str">
        <f>IF($A651&lt;&gt;"",'Approved-Enforcement'!D651,"")</f>
        <v/>
      </c>
      <c r="F651" t="str">
        <f>IF($A651&lt;&gt;"",'Approved-Enforcement'!E651,"")</f>
        <v/>
      </c>
      <c r="G651" t="str">
        <f>IF($A651&lt;&gt;"",'Approved-Enforcement'!F651,"")</f>
        <v/>
      </c>
      <c r="H651" t="str">
        <f>IF($A651&lt;&gt;"",'Approved-Enforcement'!G651,"")</f>
        <v/>
      </c>
      <c r="I651" t="str">
        <f>IF($A651&lt;&gt;"",'Approved-Enforcement'!H651,"")</f>
        <v/>
      </c>
      <c r="J651" t="str">
        <f>IF($A651&lt;&gt;"",'Approved-Enforcement'!I651,"")</f>
        <v/>
      </c>
      <c r="K651" t="str">
        <f>IF($A651&lt;&gt;"",'Approved-Enforcement'!J651,"")</f>
        <v/>
      </c>
      <c r="L651" t="str">
        <f>IF($A651&lt;&gt;"",'Approved-Enforcement'!K651,"")</f>
        <v/>
      </c>
      <c r="M651" t="str">
        <f>IF($A651&lt;&gt;"",'Approved-Enforcement'!L651,"")</f>
        <v/>
      </c>
      <c r="N651" t="str">
        <f>IF($A651&lt;&gt;"",'Approved-Enforcement'!M651,"")</f>
        <v/>
      </c>
      <c r="O651" t="str">
        <f>IF($A651&lt;&gt;"",'Approved-Enforcement'!N651,"")</f>
        <v/>
      </c>
      <c r="P651" t="str">
        <f>IF($A651&lt;&gt;"",'Approved-Enforcement'!O651,"")</f>
        <v/>
      </c>
    </row>
    <row r="652" spans="1:16" x14ac:dyDescent="0.35">
      <c r="A652" s="4" t="str">
        <f>IF('Approved-Enforcement'!$A652&lt;&gt;"",'Approved-Enforcement'!A652,"")</f>
        <v/>
      </c>
      <c r="B652" t="str">
        <f t="shared" si="10"/>
        <v/>
      </c>
      <c r="D652" t="str">
        <f>IF($A652&lt;&gt;"",IF($R652&lt;&gt;"",$R652,'Approved-Enforcement'!$B652+7),"")</f>
        <v/>
      </c>
      <c r="E652" t="str">
        <f>IF($A652&lt;&gt;"",'Approved-Enforcement'!D652,"")</f>
        <v/>
      </c>
      <c r="F652" t="str">
        <f>IF($A652&lt;&gt;"",'Approved-Enforcement'!E652,"")</f>
        <v/>
      </c>
      <c r="G652" t="str">
        <f>IF($A652&lt;&gt;"",'Approved-Enforcement'!F652,"")</f>
        <v/>
      </c>
      <c r="H652" t="str">
        <f>IF($A652&lt;&gt;"",'Approved-Enforcement'!G652,"")</f>
        <v/>
      </c>
      <c r="I652" t="str">
        <f>IF($A652&lt;&gt;"",'Approved-Enforcement'!H652,"")</f>
        <v/>
      </c>
      <c r="J652" t="str">
        <f>IF($A652&lt;&gt;"",'Approved-Enforcement'!I652,"")</f>
        <v/>
      </c>
      <c r="K652" t="str">
        <f>IF($A652&lt;&gt;"",'Approved-Enforcement'!J652,"")</f>
        <v/>
      </c>
      <c r="L652" t="str">
        <f>IF($A652&lt;&gt;"",'Approved-Enforcement'!K652,"")</f>
        <v/>
      </c>
      <c r="M652" t="str">
        <f>IF($A652&lt;&gt;"",'Approved-Enforcement'!L652,"")</f>
        <v/>
      </c>
      <c r="N652" t="str">
        <f>IF($A652&lt;&gt;"",'Approved-Enforcement'!M652,"")</f>
        <v/>
      </c>
      <c r="O652" t="str">
        <f>IF($A652&lt;&gt;"",'Approved-Enforcement'!N652,"")</f>
        <v/>
      </c>
      <c r="P652" t="str">
        <f>IF($A652&lt;&gt;"",'Approved-Enforcement'!O652,"")</f>
        <v/>
      </c>
    </row>
    <row r="653" spans="1:16" x14ac:dyDescent="0.35">
      <c r="A653" s="4" t="str">
        <f>IF('Approved-Enforcement'!$A653&lt;&gt;"",'Approved-Enforcement'!A653,"")</f>
        <v/>
      </c>
      <c r="B653" t="str">
        <f t="shared" si="10"/>
        <v/>
      </c>
      <c r="D653" t="str">
        <f>IF($A653&lt;&gt;"",IF($R653&lt;&gt;"",$R653,'Approved-Enforcement'!$B653+7),"")</f>
        <v/>
      </c>
      <c r="E653" t="str">
        <f>IF($A653&lt;&gt;"",'Approved-Enforcement'!D653,"")</f>
        <v/>
      </c>
      <c r="F653" t="str">
        <f>IF($A653&lt;&gt;"",'Approved-Enforcement'!E653,"")</f>
        <v/>
      </c>
      <c r="G653" t="str">
        <f>IF($A653&lt;&gt;"",'Approved-Enforcement'!F653,"")</f>
        <v/>
      </c>
      <c r="H653" t="str">
        <f>IF($A653&lt;&gt;"",'Approved-Enforcement'!G653,"")</f>
        <v/>
      </c>
      <c r="I653" t="str">
        <f>IF($A653&lt;&gt;"",'Approved-Enforcement'!H653,"")</f>
        <v/>
      </c>
      <c r="J653" t="str">
        <f>IF($A653&lt;&gt;"",'Approved-Enforcement'!I653,"")</f>
        <v/>
      </c>
      <c r="K653" t="str">
        <f>IF($A653&lt;&gt;"",'Approved-Enforcement'!J653,"")</f>
        <v/>
      </c>
      <c r="L653" t="str">
        <f>IF($A653&lt;&gt;"",'Approved-Enforcement'!K653,"")</f>
        <v/>
      </c>
      <c r="M653" t="str">
        <f>IF($A653&lt;&gt;"",'Approved-Enforcement'!L653,"")</f>
        <v/>
      </c>
      <c r="N653" t="str">
        <f>IF($A653&lt;&gt;"",'Approved-Enforcement'!M653,"")</f>
        <v/>
      </c>
      <c r="O653" t="str">
        <f>IF($A653&lt;&gt;"",'Approved-Enforcement'!N653,"")</f>
        <v/>
      </c>
      <c r="P653" t="str">
        <f>IF($A653&lt;&gt;"",'Approved-Enforcement'!O653,"")</f>
        <v/>
      </c>
    </row>
    <row r="654" spans="1:16" x14ac:dyDescent="0.35">
      <c r="A654" s="4" t="str">
        <f>IF('Approved-Enforcement'!$A654&lt;&gt;"",'Approved-Enforcement'!A654,"")</f>
        <v/>
      </c>
      <c r="B654" t="str">
        <f t="shared" si="10"/>
        <v/>
      </c>
      <c r="D654" t="str">
        <f>IF($A654&lt;&gt;"",IF($R654&lt;&gt;"",$R654,'Approved-Enforcement'!$B654+7),"")</f>
        <v/>
      </c>
      <c r="E654" t="str">
        <f>IF($A654&lt;&gt;"",'Approved-Enforcement'!D654,"")</f>
        <v/>
      </c>
      <c r="F654" t="str">
        <f>IF($A654&lt;&gt;"",'Approved-Enforcement'!E654,"")</f>
        <v/>
      </c>
      <c r="G654" t="str">
        <f>IF($A654&lt;&gt;"",'Approved-Enforcement'!F654,"")</f>
        <v/>
      </c>
      <c r="H654" t="str">
        <f>IF($A654&lt;&gt;"",'Approved-Enforcement'!G654,"")</f>
        <v/>
      </c>
      <c r="I654" t="str">
        <f>IF($A654&lt;&gt;"",'Approved-Enforcement'!H654,"")</f>
        <v/>
      </c>
      <c r="J654" t="str">
        <f>IF($A654&lt;&gt;"",'Approved-Enforcement'!I654,"")</f>
        <v/>
      </c>
      <c r="K654" t="str">
        <f>IF($A654&lt;&gt;"",'Approved-Enforcement'!J654,"")</f>
        <v/>
      </c>
      <c r="L654" t="str">
        <f>IF($A654&lt;&gt;"",'Approved-Enforcement'!K654,"")</f>
        <v/>
      </c>
      <c r="M654" t="str">
        <f>IF($A654&lt;&gt;"",'Approved-Enforcement'!L654,"")</f>
        <v/>
      </c>
      <c r="N654" t="str">
        <f>IF($A654&lt;&gt;"",'Approved-Enforcement'!M654,"")</f>
        <v/>
      </c>
      <c r="O654" t="str">
        <f>IF($A654&lt;&gt;"",'Approved-Enforcement'!N654,"")</f>
        <v/>
      </c>
      <c r="P654" t="str">
        <f>IF($A654&lt;&gt;"",'Approved-Enforcement'!O654,"")</f>
        <v/>
      </c>
    </row>
    <row r="655" spans="1:16" x14ac:dyDescent="0.35">
      <c r="A655" s="4" t="str">
        <f>IF('Approved-Enforcement'!$A655&lt;&gt;"",'Approved-Enforcement'!A655,"")</f>
        <v/>
      </c>
      <c r="B655" t="str">
        <f t="shared" si="10"/>
        <v/>
      </c>
      <c r="D655" t="str">
        <f>IF($A655&lt;&gt;"",IF($R655&lt;&gt;"",$R655,'Approved-Enforcement'!$B655+7),"")</f>
        <v/>
      </c>
      <c r="E655" t="str">
        <f>IF($A655&lt;&gt;"",'Approved-Enforcement'!D655,"")</f>
        <v/>
      </c>
      <c r="F655" t="str">
        <f>IF($A655&lt;&gt;"",'Approved-Enforcement'!E655,"")</f>
        <v/>
      </c>
      <c r="G655" t="str">
        <f>IF($A655&lt;&gt;"",'Approved-Enforcement'!F655,"")</f>
        <v/>
      </c>
      <c r="H655" t="str">
        <f>IF($A655&lt;&gt;"",'Approved-Enforcement'!G655,"")</f>
        <v/>
      </c>
      <c r="I655" t="str">
        <f>IF($A655&lt;&gt;"",'Approved-Enforcement'!H655,"")</f>
        <v/>
      </c>
      <c r="J655" t="str">
        <f>IF($A655&lt;&gt;"",'Approved-Enforcement'!I655,"")</f>
        <v/>
      </c>
      <c r="K655" t="str">
        <f>IF($A655&lt;&gt;"",'Approved-Enforcement'!J655,"")</f>
        <v/>
      </c>
      <c r="L655" t="str">
        <f>IF($A655&lt;&gt;"",'Approved-Enforcement'!K655,"")</f>
        <v/>
      </c>
      <c r="M655" t="str">
        <f>IF($A655&lt;&gt;"",'Approved-Enforcement'!L655,"")</f>
        <v/>
      </c>
      <c r="N655" t="str">
        <f>IF($A655&lt;&gt;"",'Approved-Enforcement'!M655,"")</f>
        <v/>
      </c>
      <c r="O655" t="str">
        <f>IF($A655&lt;&gt;"",'Approved-Enforcement'!N655,"")</f>
        <v/>
      </c>
      <c r="P655" t="str">
        <f>IF($A655&lt;&gt;"",'Approved-Enforcement'!O655,"")</f>
        <v/>
      </c>
    </row>
    <row r="656" spans="1:16" x14ac:dyDescent="0.35">
      <c r="A656" s="4" t="str">
        <f>IF('Approved-Enforcement'!$A656&lt;&gt;"",'Approved-Enforcement'!A656,"")</f>
        <v/>
      </c>
      <c r="B656" t="str">
        <f t="shared" si="10"/>
        <v/>
      </c>
      <c r="D656" t="str">
        <f>IF($A656&lt;&gt;"",IF($R656&lt;&gt;"",$R656,'Approved-Enforcement'!$B656+7),"")</f>
        <v/>
      </c>
      <c r="E656" t="str">
        <f>IF($A656&lt;&gt;"",'Approved-Enforcement'!D656,"")</f>
        <v/>
      </c>
      <c r="F656" t="str">
        <f>IF($A656&lt;&gt;"",'Approved-Enforcement'!E656,"")</f>
        <v/>
      </c>
      <c r="G656" t="str">
        <f>IF($A656&lt;&gt;"",'Approved-Enforcement'!F656,"")</f>
        <v/>
      </c>
      <c r="H656" t="str">
        <f>IF($A656&lt;&gt;"",'Approved-Enforcement'!G656,"")</f>
        <v/>
      </c>
      <c r="I656" t="str">
        <f>IF($A656&lt;&gt;"",'Approved-Enforcement'!H656,"")</f>
        <v/>
      </c>
      <c r="J656" t="str">
        <f>IF($A656&lt;&gt;"",'Approved-Enforcement'!I656,"")</f>
        <v/>
      </c>
      <c r="K656" t="str">
        <f>IF($A656&lt;&gt;"",'Approved-Enforcement'!J656,"")</f>
        <v/>
      </c>
      <c r="L656" t="str">
        <f>IF($A656&lt;&gt;"",'Approved-Enforcement'!K656,"")</f>
        <v/>
      </c>
      <c r="M656" t="str">
        <f>IF($A656&lt;&gt;"",'Approved-Enforcement'!L656,"")</f>
        <v/>
      </c>
      <c r="N656" t="str">
        <f>IF($A656&lt;&gt;"",'Approved-Enforcement'!M656,"")</f>
        <v/>
      </c>
      <c r="O656" t="str">
        <f>IF($A656&lt;&gt;"",'Approved-Enforcement'!N656,"")</f>
        <v/>
      </c>
      <c r="P656" t="str">
        <f>IF($A656&lt;&gt;"",'Approved-Enforcement'!O656,"")</f>
        <v/>
      </c>
    </row>
    <row r="657" spans="1:16" x14ac:dyDescent="0.35">
      <c r="A657" s="4" t="str">
        <f>IF('Approved-Enforcement'!$A657&lt;&gt;"",'Approved-Enforcement'!A657,"")</f>
        <v/>
      </c>
      <c r="B657" t="str">
        <f t="shared" si="10"/>
        <v/>
      </c>
      <c r="D657" t="str">
        <f>IF($A657&lt;&gt;"",IF($R657&lt;&gt;"",$R657,'Approved-Enforcement'!$B657+7),"")</f>
        <v/>
      </c>
      <c r="E657" t="str">
        <f>IF($A657&lt;&gt;"",'Approved-Enforcement'!D657,"")</f>
        <v/>
      </c>
      <c r="F657" t="str">
        <f>IF($A657&lt;&gt;"",'Approved-Enforcement'!E657,"")</f>
        <v/>
      </c>
      <c r="G657" t="str">
        <f>IF($A657&lt;&gt;"",'Approved-Enforcement'!F657,"")</f>
        <v/>
      </c>
      <c r="H657" t="str">
        <f>IF($A657&lt;&gt;"",'Approved-Enforcement'!G657,"")</f>
        <v/>
      </c>
      <c r="I657" t="str">
        <f>IF($A657&lt;&gt;"",'Approved-Enforcement'!H657,"")</f>
        <v/>
      </c>
      <c r="J657" t="str">
        <f>IF($A657&lt;&gt;"",'Approved-Enforcement'!I657,"")</f>
        <v/>
      </c>
      <c r="K657" t="str">
        <f>IF($A657&lt;&gt;"",'Approved-Enforcement'!J657,"")</f>
        <v/>
      </c>
      <c r="L657" t="str">
        <f>IF($A657&lt;&gt;"",'Approved-Enforcement'!K657,"")</f>
        <v/>
      </c>
      <c r="M657" t="str">
        <f>IF($A657&lt;&gt;"",'Approved-Enforcement'!L657,"")</f>
        <v/>
      </c>
      <c r="N657" t="str">
        <f>IF($A657&lt;&gt;"",'Approved-Enforcement'!M657,"")</f>
        <v/>
      </c>
      <c r="O657" t="str">
        <f>IF($A657&lt;&gt;"",'Approved-Enforcement'!N657,"")</f>
        <v/>
      </c>
      <c r="P657" t="str">
        <f>IF($A657&lt;&gt;"",'Approved-Enforcement'!O657,"")</f>
        <v/>
      </c>
    </row>
    <row r="658" spans="1:16" x14ac:dyDescent="0.35">
      <c r="A658" s="4" t="str">
        <f>IF('Approved-Enforcement'!$A658&lt;&gt;"",'Approved-Enforcement'!A658,"")</f>
        <v/>
      </c>
      <c r="B658" t="str">
        <f t="shared" si="10"/>
        <v/>
      </c>
      <c r="D658" t="str">
        <f>IF($A658&lt;&gt;"",IF($R658&lt;&gt;"",$R658,'Approved-Enforcement'!$B658+7),"")</f>
        <v/>
      </c>
      <c r="E658" t="str">
        <f>IF($A658&lt;&gt;"",'Approved-Enforcement'!D658,"")</f>
        <v/>
      </c>
      <c r="F658" t="str">
        <f>IF($A658&lt;&gt;"",'Approved-Enforcement'!E658,"")</f>
        <v/>
      </c>
      <c r="G658" t="str">
        <f>IF($A658&lt;&gt;"",'Approved-Enforcement'!F658,"")</f>
        <v/>
      </c>
      <c r="H658" t="str">
        <f>IF($A658&lt;&gt;"",'Approved-Enforcement'!G658,"")</f>
        <v/>
      </c>
      <c r="I658" t="str">
        <f>IF($A658&lt;&gt;"",'Approved-Enforcement'!H658,"")</f>
        <v/>
      </c>
      <c r="J658" t="str">
        <f>IF($A658&lt;&gt;"",'Approved-Enforcement'!I658,"")</f>
        <v/>
      </c>
      <c r="K658" t="str">
        <f>IF($A658&lt;&gt;"",'Approved-Enforcement'!J658,"")</f>
        <v/>
      </c>
      <c r="L658" t="str">
        <f>IF($A658&lt;&gt;"",'Approved-Enforcement'!K658,"")</f>
        <v/>
      </c>
      <c r="M658" t="str">
        <f>IF($A658&lt;&gt;"",'Approved-Enforcement'!L658,"")</f>
        <v/>
      </c>
      <c r="N658" t="str">
        <f>IF($A658&lt;&gt;"",'Approved-Enforcement'!M658,"")</f>
        <v/>
      </c>
      <c r="O658" t="str">
        <f>IF($A658&lt;&gt;"",'Approved-Enforcement'!N658,"")</f>
        <v/>
      </c>
      <c r="P658" t="str">
        <f>IF($A658&lt;&gt;"",'Approved-Enforcement'!O658,"")</f>
        <v/>
      </c>
    </row>
    <row r="659" spans="1:16" x14ac:dyDescent="0.35">
      <c r="A659" s="4" t="str">
        <f>IF('Approved-Enforcement'!$A659&lt;&gt;"",'Approved-Enforcement'!A659,"")</f>
        <v/>
      </c>
      <c r="B659" t="str">
        <f t="shared" si="10"/>
        <v/>
      </c>
      <c r="D659" t="str">
        <f>IF($A659&lt;&gt;"",IF($R659&lt;&gt;"",$R659,'Approved-Enforcement'!$B659+7),"")</f>
        <v/>
      </c>
      <c r="E659" t="str">
        <f>IF($A659&lt;&gt;"",'Approved-Enforcement'!D659,"")</f>
        <v/>
      </c>
      <c r="F659" t="str">
        <f>IF($A659&lt;&gt;"",'Approved-Enforcement'!E659,"")</f>
        <v/>
      </c>
      <c r="G659" t="str">
        <f>IF($A659&lt;&gt;"",'Approved-Enforcement'!F659,"")</f>
        <v/>
      </c>
      <c r="H659" t="str">
        <f>IF($A659&lt;&gt;"",'Approved-Enforcement'!G659,"")</f>
        <v/>
      </c>
      <c r="I659" t="str">
        <f>IF($A659&lt;&gt;"",'Approved-Enforcement'!H659,"")</f>
        <v/>
      </c>
      <c r="J659" t="str">
        <f>IF($A659&lt;&gt;"",'Approved-Enforcement'!I659,"")</f>
        <v/>
      </c>
      <c r="K659" t="str">
        <f>IF($A659&lt;&gt;"",'Approved-Enforcement'!J659,"")</f>
        <v/>
      </c>
      <c r="L659" t="str">
        <f>IF($A659&lt;&gt;"",'Approved-Enforcement'!K659,"")</f>
        <v/>
      </c>
      <c r="M659" t="str">
        <f>IF($A659&lt;&gt;"",'Approved-Enforcement'!L659,"")</f>
        <v/>
      </c>
      <c r="N659" t="str">
        <f>IF($A659&lt;&gt;"",'Approved-Enforcement'!M659,"")</f>
        <v/>
      </c>
      <c r="O659" t="str">
        <f>IF($A659&lt;&gt;"",'Approved-Enforcement'!N659,"")</f>
        <v/>
      </c>
      <c r="P659" t="str">
        <f>IF($A659&lt;&gt;"",'Approved-Enforcement'!O659,"")</f>
        <v/>
      </c>
    </row>
    <row r="660" spans="1:16" x14ac:dyDescent="0.35">
      <c r="A660" s="4" t="str">
        <f>IF('Approved-Enforcement'!$A660&lt;&gt;"",'Approved-Enforcement'!A660,"")</f>
        <v/>
      </c>
      <c r="B660" t="str">
        <f t="shared" si="10"/>
        <v/>
      </c>
      <c r="D660" t="str">
        <f>IF($A660&lt;&gt;"",IF($R660&lt;&gt;"",$R660,'Approved-Enforcement'!$B660+7),"")</f>
        <v/>
      </c>
      <c r="E660" t="str">
        <f>IF($A660&lt;&gt;"",'Approved-Enforcement'!D660,"")</f>
        <v/>
      </c>
      <c r="F660" t="str">
        <f>IF($A660&lt;&gt;"",'Approved-Enforcement'!E660,"")</f>
        <v/>
      </c>
      <c r="G660" t="str">
        <f>IF($A660&lt;&gt;"",'Approved-Enforcement'!F660,"")</f>
        <v/>
      </c>
      <c r="H660" t="str">
        <f>IF($A660&lt;&gt;"",'Approved-Enforcement'!G660,"")</f>
        <v/>
      </c>
      <c r="I660" t="str">
        <f>IF($A660&lt;&gt;"",'Approved-Enforcement'!H660,"")</f>
        <v/>
      </c>
      <c r="J660" t="str">
        <f>IF($A660&lt;&gt;"",'Approved-Enforcement'!I660,"")</f>
        <v/>
      </c>
      <c r="K660" t="str">
        <f>IF($A660&lt;&gt;"",'Approved-Enforcement'!J660,"")</f>
        <v/>
      </c>
      <c r="L660" t="str">
        <f>IF($A660&lt;&gt;"",'Approved-Enforcement'!K660,"")</f>
        <v/>
      </c>
      <c r="M660" t="str">
        <f>IF($A660&lt;&gt;"",'Approved-Enforcement'!L660,"")</f>
        <v/>
      </c>
      <c r="N660" t="str">
        <f>IF($A660&lt;&gt;"",'Approved-Enforcement'!M660,"")</f>
        <v/>
      </c>
      <c r="O660" t="str">
        <f>IF($A660&lt;&gt;"",'Approved-Enforcement'!N660,"")</f>
        <v/>
      </c>
      <c r="P660" t="str">
        <f>IF($A660&lt;&gt;"",'Approved-Enforcement'!O660,"")</f>
        <v/>
      </c>
    </row>
    <row r="661" spans="1:16" x14ac:dyDescent="0.35">
      <c r="A661" s="4" t="str">
        <f>IF('Approved-Enforcement'!$A661&lt;&gt;"",'Approved-Enforcement'!A661,"")</f>
        <v/>
      </c>
      <c r="B661" t="str">
        <f t="shared" si="10"/>
        <v/>
      </c>
      <c r="D661" t="str">
        <f>IF($A661&lt;&gt;"",IF($R661&lt;&gt;"",$R661,'Approved-Enforcement'!$B661+7),"")</f>
        <v/>
      </c>
      <c r="E661" t="str">
        <f>IF($A661&lt;&gt;"",'Approved-Enforcement'!D661,"")</f>
        <v/>
      </c>
      <c r="F661" t="str">
        <f>IF($A661&lt;&gt;"",'Approved-Enforcement'!E661,"")</f>
        <v/>
      </c>
      <c r="G661" t="str">
        <f>IF($A661&lt;&gt;"",'Approved-Enforcement'!F661,"")</f>
        <v/>
      </c>
      <c r="H661" t="str">
        <f>IF($A661&lt;&gt;"",'Approved-Enforcement'!G661,"")</f>
        <v/>
      </c>
      <c r="I661" t="str">
        <f>IF($A661&lt;&gt;"",'Approved-Enforcement'!H661,"")</f>
        <v/>
      </c>
      <c r="J661" t="str">
        <f>IF($A661&lt;&gt;"",'Approved-Enforcement'!I661,"")</f>
        <v/>
      </c>
      <c r="K661" t="str">
        <f>IF($A661&lt;&gt;"",'Approved-Enforcement'!J661,"")</f>
        <v/>
      </c>
      <c r="L661" t="str">
        <f>IF($A661&lt;&gt;"",'Approved-Enforcement'!K661,"")</f>
        <v/>
      </c>
      <c r="M661" t="str">
        <f>IF($A661&lt;&gt;"",'Approved-Enforcement'!L661,"")</f>
        <v/>
      </c>
      <c r="N661" t="str">
        <f>IF($A661&lt;&gt;"",'Approved-Enforcement'!M661,"")</f>
        <v/>
      </c>
      <c r="O661" t="str">
        <f>IF($A661&lt;&gt;"",'Approved-Enforcement'!N661,"")</f>
        <v/>
      </c>
      <c r="P661" t="str">
        <f>IF($A661&lt;&gt;"",'Approved-Enforcement'!O661,"")</f>
        <v/>
      </c>
    </row>
    <row r="662" spans="1:16" x14ac:dyDescent="0.35">
      <c r="A662" s="4" t="str">
        <f>IF('Approved-Enforcement'!$A662&lt;&gt;"",'Approved-Enforcement'!A662,"")</f>
        <v/>
      </c>
      <c r="B662" t="str">
        <f t="shared" si="10"/>
        <v/>
      </c>
      <c r="D662" t="str">
        <f>IF($A662&lt;&gt;"",IF($R662&lt;&gt;"",$R662,'Approved-Enforcement'!$B662+7),"")</f>
        <v/>
      </c>
      <c r="E662" t="str">
        <f>IF($A662&lt;&gt;"",'Approved-Enforcement'!D662,"")</f>
        <v/>
      </c>
      <c r="F662" t="str">
        <f>IF($A662&lt;&gt;"",'Approved-Enforcement'!E662,"")</f>
        <v/>
      </c>
      <c r="G662" t="str">
        <f>IF($A662&lt;&gt;"",'Approved-Enforcement'!F662,"")</f>
        <v/>
      </c>
      <c r="H662" t="str">
        <f>IF($A662&lt;&gt;"",'Approved-Enforcement'!G662,"")</f>
        <v/>
      </c>
      <c r="I662" t="str">
        <f>IF($A662&lt;&gt;"",'Approved-Enforcement'!H662,"")</f>
        <v/>
      </c>
      <c r="J662" t="str">
        <f>IF($A662&lt;&gt;"",'Approved-Enforcement'!I662,"")</f>
        <v/>
      </c>
      <c r="K662" t="str">
        <f>IF($A662&lt;&gt;"",'Approved-Enforcement'!J662,"")</f>
        <v/>
      </c>
      <c r="L662" t="str">
        <f>IF($A662&lt;&gt;"",'Approved-Enforcement'!K662,"")</f>
        <v/>
      </c>
      <c r="M662" t="str">
        <f>IF($A662&lt;&gt;"",'Approved-Enforcement'!L662,"")</f>
        <v/>
      </c>
      <c r="N662" t="str">
        <f>IF($A662&lt;&gt;"",'Approved-Enforcement'!M662,"")</f>
        <v/>
      </c>
      <c r="O662" t="str">
        <f>IF($A662&lt;&gt;"",'Approved-Enforcement'!N662,"")</f>
        <v/>
      </c>
      <c r="P662" t="str">
        <f>IF($A662&lt;&gt;"",'Approved-Enforcement'!O662,"")</f>
        <v/>
      </c>
    </row>
    <row r="663" spans="1:16" x14ac:dyDescent="0.35">
      <c r="A663" s="4" t="str">
        <f>IF('Approved-Enforcement'!$A663&lt;&gt;"",'Approved-Enforcement'!A663,"")</f>
        <v/>
      </c>
      <c r="B663" t="str">
        <f t="shared" si="10"/>
        <v/>
      </c>
      <c r="D663" t="str">
        <f>IF($A663&lt;&gt;"",IF($R663&lt;&gt;"",$R663,'Approved-Enforcement'!$B663+7),"")</f>
        <v/>
      </c>
      <c r="E663" t="str">
        <f>IF($A663&lt;&gt;"",'Approved-Enforcement'!D663,"")</f>
        <v/>
      </c>
      <c r="F663" t="str">
        <f>IF($A663&lt;&gt;"",'Approved-Enforcement'!E663,"")</f>
        <v/>
      </c>
      <c r="G663" t="str">
        <f>IF($A663&lt;&gt;"",'Approved-Enforcement'!F663,"")</f>
        <v/>
      </c>
      <c r="H663" t="str">
        <f>IF($A663&lt;&gt;"",'Approved-Enforcement'!G663,"")</f>
        <v/>
      </c>
      <c r="I663" t="str">
        <f>IF($A663&lt;&gt;"",'Approved-Enforcement'!H663,"")</f>
        <v/>
      </c>
      <c r="J663" t="str">
        <f>IF($A663&lt;&gt;"",'Approved-Enforcement'!I663,"")</f>
        <v/>
      </c>
      <c r="K663" t="str">
        <f>IF($A663&lt;&gt;"",'Approved-Enforcement'!J663,"")</f>
        <v/>
      </c>
      <c r="L663" t="str">
        <f>IF($A663&lt;&gt;"",'Approved-Enforcement'!K663,"")</f>
        <v/>
      </c>
      <c r="M663" t="str">
        <f>IF($A663&lt;&gt;"",'Approved-Enforcement'!L663,"")</f>
        <v/>
      </c>
      <c r="N663" t="str">
        <f>IF($A663&lt;&gt;"",'Approved-Enforcement'!M663,"")</f>
        <v/>
      </c>
      <c r="O663" t="str">
        <f>IF($A663&lt;&gt;"",'Approved-Enforcement'!N663,"")</f>
        <v/>
      </c>
      <c r="P663" t="str">
        <f>IF($A663&lt;&gt;"",'Approved-Enforcement'!O663,"")</f>
        <v/>
      </c>
    </row>
    <row r="664" spans="1:16" x14ac:dyDescent="0.35">
      <c r="A664" s="4" t="str">
        <f>IF('Approved-Enforcement'!$A664&lt;&gt;"",'Approved-Enforcement'!A664,"")</f>
        <v/>
      </c>
      <c r="B664" t="str">
        <f t="shared" si="10"/>
        <v/>
      </c>
      <c r="D664" t="str">
        <f>IF($A664&lt;&gt;"",IF($R664&lt;&gt;"",$R664,'Approved-Enforcement'!$B664+7),"")</f>
        <v/>
      </c>
      <c r="E664" t="str">
        <f>IF($A664&lt;&gt;"",'Approved-Enforcement'!D664,"")</f>
        <v/>
      </c>
      <c r="F664" t="str">
        <f>IF($A664&lt;&gt;"",'Approved-Enforcement'!E664,"")</f>
        <v/>
      </c>
      <c r="G664" t="str">
        <f>IF($A664&lt;&gt;"",'Approved-Enforcement'!F664,"")</f>
        <v/>
      </c>
      <c r="H664" t="str">
        <f>IF($A664&lt;&gt;"",'Approved-Enforcement'!G664,"")</f>
        <v/>
      </c>
      <c r="I664" t="str">
        <f>IF($A664&lt;&gt;"",'Approved-Enforcement'!H664,"")</f>
        <v/>
      </c>
      <c r="J664" t="str">
        <f>IF($A664&lt;&gt;"",'Approved-Enforcement'!I664,"")</f>
        <v/>
      </c>
      <c r="K664" t="str">
        <f>IF($A664&lt;&gt;"",'Approved-Enforcement'!J664,"")</f>
        <v/>
      </c>
      <c r="L664" t="str">
        <f>IF($A664&lt;&gt;"",'Approved-Enforcement'!K664,"")</f>
        <v/>
      </c>
      <c r="M664" t="str">
        <f>IF($A664&lt;&gt;"",'Approved-Enforcement'!L664,"")</f>
        <v/>
      </c>
      <c r="N664" t="str">
        <f>IF($A664&lt;&gt;"",'Approved-Enforcement'!M664,"")</f>
        <v/>
      </c>
      <c r="O664" t="str">
        <f>IF($A664&lt;&gt;"",'Approved-Enforcement'!N664,"")</f>
        <v/>
      </c>
      <c r="P664" t="str">
        <f>IF($A664&lt;&gt;"",'Approved-Enforcement'!O664,"")</f>
        <v/>
      </c>
    </row>
    <row r="665" spans="1:16" x14ac:dyDescent="0.35">
      <c r="A665" s="4" t="str">
        <f>IF('Approved-Enforcement'!$A665&lt;&gt;"",'Approved-Enforcement'!A665,"")</f>
        <v/>
      </c>
      <c r="B665" t="str">
        <f t="shared" si="10"/>
        <v/>
      </c>
      <c r="D665" t="str">
        <f>IF($A665&lt;&gt;"",IF($R665&lt;&gt;"",$R665,'Approved-Enforcement'!$B665+7),"")</f>
        <v/>
      </c>
      <c r="E665" t="str">
        <f>IF($A665&lt;&gt;"",'Approved-Enforcement'!D665,"")</f>
        <v/>
      </c>
      <c r="F665" t="str">
        <f>IF($A665&lt;&gt;"",'Approved-Enforcement'!E665,"")</f>
        <v/>
      </c>
      <c r="G665" t="str">
        <f>IF($A665&lt;&gt;"",'Approved-Enforcement'!F665,"")</f>
        <v/>
      </c>
      <c r="H665" t="str">
        <f>IF($A665&lt;&gt;"",'Approved-Enforcement'!G665,"")</f>
        <v/>
      </c>
      <c r="I665" t="str">
        <f>IF($A665&lt;&gt;"",'Approved-Enforcement'!H665,"")</f>
        <v/>
      </c>
      <c r="J665" t="str">
        <f>IF($A665&lt;&gt;"",'Approved-Enforcement'!I665,"")</f>
        <v/>
      </c>
      <c r="K665" t="str">
        <f>IF($A665&lt;&gt;"",'Approved-Enforcement'!J665,"")</f>
        <v/>
      </c>
      <c r="L665" t="str">
        <f>IF($A665&lt;&gt;"",'Approved-Enforcement'!K665,"")</f>
        <v/>
      </c>
      <c r="M665" t="str">
        <f>IF($A665&lt;&gt;"",'Approved-Enforcement'!L665,"")</f>
        <v/>
      </c>
      <c r="N665" t="str">
        <f>IF($A665&lt;&gt;"",'Approved-Enforcement'!M665,"")</f>
        <v/>
      </c>
      <c r="O665" t="str">
        <f>IF($A665&lt;&gt;"",'Approved-Enforcement'!N665,"")</f>
        <v/>
      </c>
      <c r="P665" t="str">
        <f>IF($A665&lt;&gt;"",'Approved-Enforcement'!O665,"")</f>
        <v/>
      </c>
    </row>
    <row r="666" spans="1:16" x14ac:dyDescent="0.35">
      <c r="A666" s="4" t="str">
        <f>IF('Approved-Enforcement'!$A666&lt;&gt;"",'Approved-Enforcement'!A666,"")</f>
        <v/>
      </c>
      <c r="B666" t="str">
        <f t="shared" si="10"/>
        <v/>
      </c>
      <c r="D666" t="str">
        <f>IF($A666&lt;&gt;"",IF($R666&lt;&gt;"",$R666,'Approved-Enforcement'!$B666+7),"")</f>
        <v/>
      </c>
      <c r="E666" t="str">
        <f>IF($A666&lt;&gt;"",'Approved-Enforcement'!D666,"")</f>
        <v/>
      </c>
      <c r="F666" t="str">
        <f>IF($A666&lt;&gt;"",'Approved-Enforcement'!E666,"")</f>
        <v/>
      </c>
      <c r="G666" t="str">
        <f>IF($A666&lt;&gt;"",'Approved-Enforcement'!F666,"")</f>
        <v/>
      </c>
      <c r="H666" t="str">
        <f>IF($A666&lt;&gt;"",'Approved-Enforcement'!G666,"")</f>
        <v/>
      </c>
      <c r="I666" t="str">
        <f>IF($A666&lt;&gt;"",'Approved-Enforcement'!H666,"")</f>
        <v/>
      </c>
      <c r="J666" t="str">
        <f>IF($A666&lt;&gt;"",'Approved-Enforcement'!I666,"")</f>
        <v/>
      </c>
      <c r="K666" t="str">
        <f>IF($A666&lt;&gt;"",'Approved-Enforcement'!J666,"")</f>
        <v/>
      </c>
      <c r="L666" t="str">
        <f>IF($A666&lt;&gt;"",'Approved-Enforcement'!K666,"")</f>
        <v/>
      </c>
      <c r="M666" t="str">
        <f>IF($A666&lt;&gt;"",'Approved-Enforcement'!L666,"")</f>
        <v/>
      </c>
      <c r="N666" t="str">
        <f>IF($A666&lt;&gt;"",'Approved-Enforcement'!M666,"")</f>
        <v/>
      </c>
      <c r="O666" t="str">
        <f>IF($A666&lt;&gt;"",'Approved-Enforcement'!N666,"")</f>
        <v/>
      </c>
      <c r="P666" t="str">
        <f>IF($A666&lt;&gt;"",'Approved-Enforcement'!O666,"")</f>
        <v/>
      </c>
    </row>
    <row r="667" spans="1:16" x14ac:dyDescent="0.35">
      <c r="A667" s="4" t="str">
        <f>IF('Approved-Enforcement'!$A667&lt;&gt;"",'Approved-Enforcement'!A667,"")</f>
        <v/>
      </c>
      <c r="B667" t="str">
        <f t="shared" si="10"/>
        <v/>
      </c>
      <c r="D667" t="str">
        <f>IF($A667&lt;&gt;"",IF($R667&lt;&gt;"",$R667,'Approved-Enforcement'!$B667+7),"")</f>
        <v/>
      </c>
      <c r="E667" t="str">
        <f>IF($A667&lt;&gt;"",'Approved-Enforcement'!D667,"")</f>
        <v/>
      </c>
      <c r="F667" t="str">
        <f>IF($A667&lt;&gt;"",'Approved-Enforcement'!E667,"")</f>
        <v/>
      </c>
      <c r="G667" t="str">
        <f>IF($A667&lt;&gt;"",'Approved-Enforcement'!F667,"")</f>
        <v/>
      </c>
      <c r="H667" t="str">
        <f>IF($A667&lt;&gt;"",'Approved-Enforcement'!G667,"")</f>
        <v/>
      </c>
      <c r="I667" t="str">
        <f>IF($A667&lt;&gt;"",'Approved-Enforcement'!H667,"")</f>
        <v/>
      </c>
      <c r="J667" t="str">
        <f>IF($A667&lt;&gt;"",'Approved-Enforcement'!I667,"")</f>
        <v/>
      </c>
      <c r="K667" t="str">
        <f>IF($A667&lt;&gt;"",'Approved-Enforcement'!J667,"")</f>
        <v/>
      </c>
      <c r="L667" t="str">
        <f>IF($A667&lt;&gt;"",'Approved-Enforcement'!K667,"")</f>
        <v/>
      </c>
      <c r="M667" t="str">
        <f>IF($A667&lt;&gt;"",'Approved-Enforcement'!L667,"")</f>
        <v/>
      </c>
      <c r="N667" t="str">
        <f>IF($A667&lt;&gt;"",'Approved-Enforcement'!M667,"")</f>
        <v/>
      </c>
      <c r="O667" t="str">
        <f>IF($A667&lt;&gt;"",'Approved-Enforcement'!N667,"")</f>
        <v/>
      </c>
      <c r="P667" t="str">
        <f>IF($A667&lt;&gt;"",'Approved-Enforcement'!O667,"")</f>
        <v/>
      </c>
    </row>
    <row r="668" spans="1:16" x14ac:dyDescent="0.35">
      <c r="A668" s="4" t="str">
        <f>IF('Approved-Enforcement'!$A668&lt;&gt;"",'Approved-Enforcement'!A668,"")</f>
        <v/>
      </c>
      <c r="B668" t="str">
        <f t="shared" si="10"/>
        <v/>
      </c>
      <c r="D668" t="str">
        <f>IF($A668&lt;&gt;"",IF($R668&lt;&gt;"",$R668,'Approved-Enforcement'!$B668+7),"")</f>
        <v/>
      </c>
      <c r="E668" t="str">
        <f>IF($A668&lt;&gt;"",'Approved-Enforcement'!D668,"")</f>
        <v/>
      </c>
      <c r="F668" t="str">
        <f>IF($A668&lt;&gt;"",'Approved-Enforcement'!E668,"")</f>
        <v/>
      </c>
      <c r="G668" t="str">
        <f>IF($A668&lt;&gt;"",'Approved-Enforcement'!F668,"")</f>
        <v/>
      </c>
      <c r="H668" t="str">
        <f>IF($A668&lt;&gt;"",'Approved-Enforcement'!G668,"")</f>
        <v/>
      </c>
      <c r="I668" t="str">
        <f>IF($A668&lt;&gt;"",'Approved-Enforcement'!H668,"")</f>
        <v/>
      </c>
      <c r="J668" t="str">
        <f>IF($A668&lt;&gt;"",'Approved-Enforcement'!I668,"")</f>
        <v/>
      </c>
      <c r="K668" t="str">
        <f>IF($A668&lt;&gt;"",'Approved-Enforcement'!J668,"")</f>
        <v/>
      </c>
      <c r="L668" t="str">
        <f>IF($A668&lt;&gt;"",'Approved-Enforcement'!K668,"")</f>
        <v/>
      </c>
      <c r="M668" t="str">
        <f>IF($A668&lt;&gt;"",'Approved-Enforcement'!L668,"")</f>
        <v/>
      </c>
      <c r="N668" t="str">
        <f>IF($A668&lt;&gt;"",'Approved-Enforcement'!M668,"")</f>
        <v/>
      </c>
      <c r="O668" t="str">
        <f>IF($A668&lt;&gt;"",'Approved-Enforcement'!N668,"")</f>
        <v/>
      </c>
      <c r="P668" t="str">
        <f>IF($A668&lt;&gt;"",'Approved-Enforcement'!O668,"")</f>
        <v/>
      </c>
    </row>
    <row r="669" spans="1:16" x14ac:dyDescent="0.35">
      <c r="A669" s="4" t="str">
        <f>IF('Approved-Enforcement'!$A669&lt;&gt;"",'Approved-Enforcement'!A669,"")</f>
        <v/>
      </c>
      <c r="B669" t="str">
        <f t="shared" si="10"/>
        <v/>
      </c>
      <c r="D669" t="str">
        <f>IF($A669&lt;&gt;"",IF($R669&lt;&gt;"",$R669,'Approved-Enforcement'!$B669+7),"")</f>
        <v/>
      </c>
      <c r="E669" t="str">
        <f>IF($A669&lt;&gt;"",'Approved-Enforcement'!D669,"")</f>
        <v/>
      </c>
      <c r="F669" t="str">
        <f>IF($A669&lt;&gt;"",'Approved-Enforcement'!E669,"")</f>
        <v/>
      </c>
      <c r="G669" t="str">
        <f>IF($A669&lt;&gt;"",'Approved-Enforcement'!F669,"")</f>
        <v/>
      </c>
      <c r="H669" t="str">
        <f>IF($A669&lt;&gt;"",'Approved-Enforcement'!G669,"")</f>
        <v/>
      </c>
      <c r="I669" t="str">
        <f>IF($A669&lt;&gt;"",'Approved-Enforcement'!H669,"")</f>
        <v/>
      </c>
      <c r="J669" t="str">
        <f>IF($A669&lt;&gt;"",'Approved-Enforcement'!I669,"")</f>
        <v/>
      </c>
      <c r="K669" t="str">
        <f>IF($A669&lt;&gt;"",'Approved-Enforcement'!J669,"")</f>
        <v/>
      </c>
      <c r="L669" t="str">
        <f>IF($A669&lt;&gt;"",'Approved-Enforcement'!K669,"")</f>
        <v/>
      </c>
      <c r="M669" t="str">
        <f>IF($A669&lt;&gt;"",'Approved-Enforcement'!L669,"")</f>
        <v/>
      </c>
      <c r="N669" t="str">
        <f>IF($A669&lt;&gt;"",'Approved-Enforcement'!M669,"")</f>
        <v/>
      </c>
      <c r="O669" t="str">
        <f>IF($A669&lt;&gt;"",'Approved-Enforcement'!N669,"")</f>
        <v/>
      </c>
      <c r="P669" t="str">
        <f>IF($A669&lt;&gt;"",'Approved-Enforcement'!O669,"")</f>
        <v/>
      </c>
    </row>
    <row r="670" spans="1:16" x14ac:dyDescent="0.35">
      <c r="A670" s="4" t="str">
        <f>IF('Approved-Enforcement'!$A670&lt;&gt;"",'Approved-Enforcement'!A670,"")</f>
        <v/>
      </c>
      <c r="B670" t="str">
        <f t="shared" si="10"/>
        <v/>
      </c>
      <c r="D670" t="str">
        <f>IF($A670&lt;&gt;"",IF($R670&lt;&gt;"",$R670,'Approved-Enforcement'!$B670+7),"")</f>
        <v/>
      </c>
      <c r="E670" t="str">
        <f>IF($A670&lt;&gt;"",'Approved-Enforcement'!D670,"")</f>
        <v/>
      </c>
      <c r="F670" t="str">
        <f>IF($A670&lt;&gt;"",'Approved-Enforcement'!E670,"")</f>
        <v/>
      </c>
      <c r="G670" t="str">
        <f>IF($A670&lt;&gt;"",'Approved-Enforcement'!F670,"")</f>
        <v/>
      </c>
      <c r="H670" t="str">
        <f>IF($A670&lt;&gt;"",'Approved-Enforcement'!G670,"")</f>
        <v/>
      </c>
      <c r="I670" t="str">
        <f>IF($A670&lt;&gt;"",'Approved-Enforcement'!H670,"")</f>
        <v/>
      </c>
      <c r="J670" t="str">
        <f>IF($A670&lt;&gt;"",'Approved-Enforcement'!I670,"")</f>
        <v/>
      </c>
      <c r="K670" t="str">
        <f>IF($A670&lt;&gt;"",'Approved-Enforcement'!J670,"")</f>
        <v/>
      </c>
      <c r="L670" t="str">
        <f>IF($A670&lt;&gt;"",'Approved-Enforcement'!K670,"")</f>
        <v/>
      </c>
      <c r="M670" t="str">
        <f>IF($A670&lt;&gt;"",'Approved-Enforcement'!L670,"")</f>
        <v/>
      </c>
      <c r="N670" t="str">
        <f>IF($A670&lt;&gt;"",'Approved-Enforcement'!M670,"")</f>
        <v/>
      </c>
      <c r="O670" t="str">
        <f>IF($A670&lt;&gt;"",'Approved-Enforcement'!N670,"")</f>
        <v/>
      </c>
      <c r="P670" t="str">
        <f>IF($A670&lt;&gt;"",'Approved-Enforcement'!O670,"")</f>
        <v/>
      </c>
    </row>
    <row r="671" spans="1:16" x14ac:dyDescent="0.35">
      <c r="A671" s="4" t="str">
        <f>IF('Approved-Enforcement'!$A671&lt;&gt;"",'Approved-Enforcement'!A671,"")</f>
        <v/>
      </c>
      <c r="B671" t="str">
        <f t="shared" si="10"/>
        <v/>
      </c>
      <c r="D671" t="str">
        <f>IF($A671&lt;&gt;"",IF($R671&lt;&gt;"",$R671,'Approved-Enforcement'!$B671+7),"")</f>
        <v/>
      </c>
      <c r="E671" t="str">
        <f>IF($A671&lt;&gt;"",'Approved-Enforcement'!D671,"")</f>
        <v/>
      </c>
      <c r="F671" t="str">
        <f>IF($A671&lt;&gt;"",'Approved-Enforcement'!E671,"")</f>
        <v/>
      </c>
      <c r="G671" t="str">
        <f>IF($A671&lt;&gt;"",'Approved-Enforcement'!F671,"")</f>
        <v/>
      </c>
      <c r="H671" t="str">
        <f>IF($A671&lt;&gt;"",'Approved-Enforcement'!G671,"")</f>
        <v/>
      </c>
      <c r="I671" t="str">
        <f>IF($A671&lt;&gt;"",'Approved-Enforcement'!H671,"")</f>
        <v/>
      </c>
      <c r="J671" t="str">
        <f>IF($A671&lt;&gt;"",'Approved-Enforcement'!I671,"")</f>
        <v/>
      </c>
      <c r="K671" t="str">
        <f>IF($A671&lt;&gt;"",'Approved-Enforcement'!J671,"")</f>
        <v/>
      </c>
      <c r="L671" t="str">
        <f>IF($A671&lt;&gt;"",'Approved-Enforcement'!K671,"")</f>
        <v/>
      </c>
      <c r="M671" t="str">
        <f>IF($A671&lt;&gt;"",'Approved-Enforcement'!L671,"")</f>
        <v/>
      </c>
      <c r="N671" t="str">
        <f>IF($A671&lt;&gt;"",'Approved-Enforcement'!M671,"")</f>
        <v/>
      </c>
      <c r="O671" t="str">
        <f>IF($A671&lt;&gt;"",'Approved-Enforcement'!N671,"")</f>
        <v/>
      </c>
      <c r="P671" t="str">
        <f>IF($A671&lt;&gt;"",'Approved-Enforcement'!O671,"")</f>
        <v/>
      </c>
    </row>
    <row r="672" spans="1:16" x14ac:dyDescent="0.35">
      <c r="A672" s="4" t="str">
        <f>IF('Approved-Enforcement'!$A672&lt;&gt;"",'Approved-Enforcement'!A672,"")</f>
        <v/>
      </c>
      <c r="B672" t="str">
        <f t="shared" si="10"/>
        <v/>
      </c>
      <c r="D672" t="str">
        <f>IF($A672&lt;&gt;"",IF($R672&lt;&gt;"",$R672,'Approved-Enforcement'!$B672+7),"")</f>
        <v/>
      </c>
      <c r="E672" t="str">
        <f>IF($A672&lt;&gt;"",'Approved-Enforcement'!D672,"")</f>
        <v/>
      </c>
      <c r="F672" t="str">
        <f>IF($A672&lt;&gt;"",'Approved-Enforcement'!E672,"")</f>
        <v/>
      </c>
      <c r="G672" t="str">
        <f>IF($A672&lt;&gt;"",'Approved-Enforcement'!F672,"")</f>
        <v/>
      </c>
      <c r="H672" t="str">
        <f>IF($A672&lt;&gt;"",'Approved-Enforcement'!G672,"")</f>
        <v/>
      </c>
      <c r="I672" t="str">
        <f>IF($A672&lt;&gt;"",'Approved-Enforcement'!H672,"")</f>
        <v/>
      </c>
      <c r="J672" t="str">
        <f>IF($A672&lt;&gt;"",'Approved-Enforcement'!I672,"")</f>
        <v/>
      </c>
      <c r="K672" t="str">
        <f>IF($A672&lt;&gt;"",'Approved-Enforcement'!J672,"")</f>
        <v/>
      </c>
      <c r="L672" t="str">
        <f>IF($A672&lt;&gt;"",'Approved-Enforcement'!K672,"")</f>
        <v/>
      </c>
      <c r="M672" t="str">
        <f>IF($A672&lt;&gt;"",'Approved-Enforcement'!L672,"")</f>
        <v/>
      </c>
      <c r="N672" t="str">
        <f>IF($A672&lt;&gt;"",'Approved-Enforcement'!M672,"")</f>
        <v/>
      </c>
      <c r="O672" t="str">
        <f>IF($A672&lt;&gt;"",'Approved-Enforcement'!N672,"")</f>
        <v/>
      </c>
      <c r="P672" t="str">
        <f>IF($A672&lt;&gt;"",'Approved-Enforcement'!O672,"")</f>
        <v/>
      </c>
    </row>
    <row r="673" spans="1:16" x14ac:dyDescent="0.35">
      <c r="A673" s="4" t="str">
        <f>IF('Approved-Enforcement'!$A673&lt;&gt;"",'Approved-Enforcement'!A673,"")</f>
        <v/>
      </c>
      <c r="B673" t="str">
        <f t="shared" si="10"/>
        <v/>
      </c>
      <c r="D673" t="str">
        <f>IF($A673&lt;&gt;"",IF($R673&lt;&gt;"",$R673,'Approved-Enforcement'!$B673+7),"")</f>
        <v/>
      </c>
      <c r="E673" t="str">
        <f>IF($A673&lt;&gt;"",'Approved-Enforcement'!D673,"")</f>
        <v/>
      </c>
      <c r="F673" t="str">
        <f>IF($A673&lt;&gt;"",'Approved-Enforcement'!E673,"")</f>
        <v/>
      </c>
      <c r="G673" t="str">
        <f>IF($A673&lt;&gt;"",'Approved-Enforcement'!F673,"")</f>
        <v/>
      </c>
      <c r="H673" t="str">
        <f>IF($A673&lt;&gt;"",'Approved-Enforcement'!G673,"")</f>
        <v/>
      </c>
      <c r="I673" t="str">
        <f>IF($A673&lt;&gt;"",'Approved-Enforcement'!H673,"")</f>
        <v/>
      </c>
      <c r="J673" t="str">
        <f>IF($A673&lt;&gt;"",'Approved-Enforcement'!I673,"")</f>
        <v/>
      </c>
      <c r="K673" t="str">
        <f>IF($A673&lt;&gt;"",'Approved-Enforcement'!J673,"")</f>
        <v/>
      </c>
      <c r="L673" t="str">
        <f>IF($A673&lt;&gt;"",'Approved-Enforcement'!K673,"")</f>
        <v/>
      </c>
      <c r="M673" t="str">
        <f>IF($A673&lt;&gt;"",'Approved-Enforcement'!L673,"")</f>
        <v/>
      </c>
      <c r="N673" t="str">
        <f>IF($A673&lt;&gt;"",'Approved-Enforcement'!M673,"")</f>
        <v/>
      </c>
      <c r="O673" t="str">
        <f>IF($A673&lt;&gt;"",'Approved-Enforcement'!N673,"")</f>
        <v/>
      </c>
      <c r="P673" t="str">
        <f>IF($A673&lt;&gt;"",'Approved-Enforcement'!O673,"")</f>
        <v/>
      </c>
    </row>
    <row r="674" spans="1:16" x14ac:dyDescent="0.35">
      <c r="A674" s="4" t="str">
        <f>IF('Approved-Enforcement'!$A674&lt;&gt;"",'Approved-Enforcement'!A674,"")</f>
        <v/>
      </c>
      <c r="B674" t="str">
        <f t="shared" si="10"/>
        <v/>
      </c>
      <c r="D674" t="str">
        <f>IF($A674&lt;&gt;"",IF($R674&lt;&gt;"",$R674,'Approved-Enforcement'!$B674+7),"")</f>
        <v/>
      </c>
      <c r="E674" t="str">
        <f>IF($A674&lt;&gt;"",'Approved-Enforcement'!D674,"")</f>
        <v/>
      </c>
      <c r="F674" t="str">
        <f>IF($A674&lt;&gt;"",'Approved-Enforcement'!E674,"")</f>
        <v/>
      </c>
      <c r="G674" t="str">
        <f>IF($A674&lt;&gt;"",'Approved-Enforcement'!F674,"")</f>
        <v/>
      </c>
      <c r="H674" t="str">
        <f>IF($A674&lt;&gt;"",'Approved-Enforcement'!G674,"")</f>
        <v/>
      </c>
      <c r="I674" t="str">
        <f>IF($A674&lt;&gt;"",'Approved-Enforcement'!H674,"")</f>
        <v/>
      </c>
      <c r="J674" t="str">
        <f>IF($A674&lt;&gt;"",'Approved-Enforcement'!I674,"")</f>
        <v/>
      </c>
      <c r="K674" t="str">
        <f>IF($A674&lt;&gt;"",'Approved-Enforcement'!J674,"")</f>
        <v/>
      </c>
      <c r="L674" t="str">
        <f>IF($A674&lt;&gt;"",'Approved-Enforcement'!K674,"")</f>
        <v/>
      </c>
      <c r="M674" t="str">
        <f>IF($A674&lt;&gt;"",'Approved-Enforcement'!L674,"")</f>
        <v/>
      </c>
      <c r="N674" t="str">
        <f>IF($A674&lt;&gt;"",'Approved-Enforcement'!M674,"")</f>
        <v/>
      </c>
      <c r="O674" t="str">
        <f>IF($A674&lt;&gt;"",'Approved-Enforcement'!N674,"")</f>
        <v/>
      </c>
      <c r="P674" t="str">
        <f>IF($A674&lt;&gt;"",'Approved-Enforcement'!O674,"")</f>
        <v/>
      </c>
    </row>
    <row r="675" spans="1:16" x14ac:dyDescent="0.35">
      <c r="A675" s="4" t="str">
        <f>IF('Approved-Enforcement'!$A675&lt;&gt;"",'Approved-Enforcement'!A675,"")</f>
        <v/>
      </c>
      <c r="B675" t="str">
        <f t="shared" si="10"/>
        <v/>
      </c>
      <c r="D675" t="str">
        <f>IF($A675&lt;&gt;"",IF($R675&lt;&gt;"",$R675,'Approved-Enforcement'!$B675+7),"")</f>
        <v/>
      </c>
      <c r="E675" t="str">
        <f>IF($A675&lt;&gt;"",'Approved-Enforcement'!D675,"")</f>
        <v/>
      </c>
      <c r="F675" t="str">
        <f>IF($A675&lt;&gt;"",'Approved-Enforcement'!E675,"")</f>
        <v/>
      </c>
      <c r="G675" t="str">
        <f>IF($A675&lt;&gt;"",'Approved-Enforcement'!F675,"")</f>
        <v/>
      </c>
      <c r="H675" t="str">
        <f>IF($A675&lt;&gt;"",'Approved-Enforcement'!G675,"")</f>
        <v/>
      </c>
      <c r="I675" t="str">
        <f>IF($A675&lt;&gt;"",'Approved-Enforcement'!H675,"")</f>
        <v/>
      </c>
      <c r="J675" t="str">
        <f>IF($A675&lt;&gt;"",'Approved-Enforcement'!I675,"")</f>
        <v/>
      </c>
      <c r="K675" t="str">
        <f>IF($A675&lt;&gt;"",'Approved-Enforcement'!J675,"")</f>
        <v/>
      </c>
      <c r="L675" t="str">
        <f>IF($A675&lt;&gt;"",'Approved-Enforcement'!K675,"")</f>
        <v/>
      </c>
      <c r="M675" t="str">
        <f>IF($A675&lt;&gt;"",'Approved-Enforcement'!L675,"")</f>
        <v/>
      </c>
      <c r="N675" t="str">
        <f>IF($A675&lt;&gt;"",'Approved-Enforcement'!M675,"")</f>
        <v/>
      </c>
      <c r="O675" t="str">
        <f>IF($A675&lt;&gt;"",'Approved-Enforcement'!N675,"")</f>
        <v/>
      </c>
      <c r="P675" t="str">
        <f>IF($A675&lt;&gt;"",'Approved-Enforcement'!O675,"")</f>
        <v/>
      </c>
    </row>
    <row r="676" spans="1:16" x14ac:dyDescent="0.35">
      <c r="A676" s="4" t="str">
        <f>IF('Approved-Enforcement'!$A676&lt;&gt;"",'Approved-Enforcement'!A676,"")</f>
        <v/>
      </c>
      <c r="B676" t="str">
        <f t="shared" si="10"/>
        <v/>
      </c>
      <c r="D676" t="str">
        <f>IF($A676&lt;&gt;"",IF($R676&lt;&gt;"",$R676,'Approved-Enforcement'!$B676+7),"")</f>
        <v/>
      </c>
      <c r="E676" t="str">
        <f>IF($A676&lt;&gt;"",'Approved-Enforcement'!D676,"")</f>
        <v/>
      </c>
      <c r="F676" t="str">
        <f>IF($A676&lt;&gt;"",'Approved-Enforcement'!E676,"")</f>
        <v/>
      </c>
      <c r="G676" t="str">
        <f>IF($A676&lt;&gt;"",'Approved-Enforcement'!F676,"")</f>
        <v/>
      </c>
      <c r="H676" t="str">
        <f>IF($A676&lt;&gt;"",'Approved-Enforcement'!G676,"")</f>
        <v/>
      </c>
      <c r="I676" t="str">
        <f>IF($A676&lt;&gt;"",'Approved-Enforcement'!H676,"")</f>
        <v/>
      </c>
      <c r="J676" t="str">
        <f>IF($A676&lt;&gt;"",'Approved-Enforcement'!I676,"")</f>
        <v/>
      </c>
      <c r="K676" t="str">
        <f>IF($A676&lt;&gt;"",'Approved-Enforcement'!J676,"")</f>
        <v/>
      </c>
      <c r="L676" t="str">
        <f>IF($A676&lt;&gt;"",'Approved-Enforcement'!K676,"")</f>
        <v/>
      </c>
      <c r="M676" t="str">
        <f>IF($A676&lt;&gt;"",'Approved-Enforcement'!L676,"")</f>
        <v/>
      </c>
      <c r="N676" t="str">
        <f>IF($A676&lt;&gt;"",'Approved-Enforcement'!M676,"")</f>
        <v/>
      </c>
      <c r="O676" t="str">
        <f>IF($A676&lt;&gt;"",'Approved-Enforcement'!N676,"")</f>
        <v/>
      </c>
      <c r="P676" t="str">
        <f>IF($A676&lt;&gt;"",'Approved-Enforcement'!O676,"")</f>
        <v/>
      </c>
    </row>
    <row r="677" spans="1:16" x14ac:dyDescent="0.35">
      <c r="A677" s="4" t="str">
        <f>IF('Approved-Enforcement'!$A677&lt;&gt;"",'Approved-Enforcement'!A677,"")</f>
        <v/>
      </c>
      <c r="B677" t="str">
        <f t="shared" si="10"/>
        <v/>
      </c>
      <c r="D677" t="str">
        <f>IF($A677&lt;&gt;"",IF($R677&lt;&gt;"",$R677,'Approved-Enforcement'!$B677+7),"")</f>
        <v/>
      </c>
      <c r="E677" t="str">
        <f>IF($A677&lt;&gt;"",'Approved-Enforcement'!D677,"")</f>
        <v/>
      </c>
      <c r="F677" t="str">
        <f>IF($A677&lt;&gt;"",'Approved-Enforcement'!E677,"")</f>
        <v/>
      </c>
      <c r="G677" t="str">
        <f>IF($A677&lt;&gt;"",'Approved-Enforcement'!F677,"")</f>
        <v/>
      </c>
      <c r="H677" t="str">
        <f>IF($A677&lt;&gt;"",'Approved-Enforcement'!G677,"")</f>
        <v/>
      </c>
      <c r="I677" t="str">
        <f>IF($A677&lt;&gt;"",'Approved-Enforcement'!H677,"")</f>
        <v/>
      </c>
      <c r="J677" t="str">
        <f>IF($A677&lt;&gt;"",'Approved-Enforcement'!I677,"")</f>
        <v/>
      </c>
      <c r="K677" t="str">
        <f>IF($A677&lt;&gt;"",'Approved-Enforcement'!J677,"")</f>
        <v/>
      </c>
      <c r="L677" t="str">
        <f>IF($A677&lt;&gt;"",'Approved-Enforcement'!K677,"")</f>
        <v/>
      </c>
      <c r="M677" t="str">
        <f>IF($A677&lt;&gt;"",'Approved-Enforcement'!L677,"")</f>
        <v/>
      </c>
      <c r="N677" t="str">
        <f>IF($A677&lt;&gt;"",'Approved-Enforcement'!M677,"")</f>
        <v/>
      </c>
      <c r="O677" t="str">
        <f>IF($A677&lt;&gt;"",'Approved-Enforcement'!N677,"")</f>
        <v/>
      </c>
      <c r="P677" t="str">
        <f>IF($A677&lt;&gt;"",'Approved-Enforcement'!O677,"")</f>
        <v/>
      </c>
    </row>
    <row r="678" spans="1:16" x14ac:dyDescent="0.35">
      <c r="A678" s="4" t="str">
        <f>IF('Approved-Enforcement'!$A678&lt;&gt;"",'Approved-Enforcement'!A678,"")</f>
        <v/>
      </c>
      <c r="B678" t="str">
        <f t="shared" si="10"/>
        <v/>
      </c>
      <c r="D678" t="str">
        <f>IF($A678&lt;&gt;"",IF($R678&lt;&gt;"",$R678,'Approved-Enforcement'!$B678+7),"")</f>
        <v/>
      </c>
      <c r="E678" t="str">
        <f>IF($A678&lt;&gt;"",'Approved-Enforcement'!D678,"")</f>
        <v/>
      </c>
      <c r="F678" t="str">
        <f>IF($A678&lt;&gt;"",'Approved-Enforcement'!E678,"")</f>
        <v/>
      </c>
      <c r="G678" t="str">
        <f>IF($A678&lt;&gt;"",'Approved-Enforcement'!F678,"")</f>
        <v/>
      </c>
      <c r="H678" t="str">
        <f>IF($A678&lt;&gt;"",'Approved-Enforcement'!G678,"")</f>
        <v/>
      </c>
      <c r="I678" t="str">
        <f>IF($A678&lt;&gt;"",'Approved-Enforcement'!H678,"")</f>
        <v/>
      </c>
      <c r="J678" t="str">
        <f>IF($A678&lt;&gt;"",'Approved-Enforcement'!I678,"")</f>
        <v/>
      </c>
      <c r="K678" t="str">
        <f>IF($A678&lt;&gt;"",'Approved-Enforcement'!J678,"")</f>
        <v/>
      </c>
      <c r="L678" t="str">
        <f>IF($A678&lt;&gt;"",'Approved-Enforcement'!K678,"")</f>
        <v/>
      </c>
      <c r="M678" t="str">
        <f>IF($A678&lt;&gt;"",'Approved-Enforcement'!L678,"")</f>
        <v/>
      </c>
      <c r="N678" t="str">
        <f>IF($A678&lt;&gt;"",'Approved-Enforcement'!M678,"")</f>
        <v/>
      </c>
      <c r="O678" t="str">
        <f>IF($A678&lt;&gt;"",'Approved-Enforcement'!N678,"")</f>
        <v/>
      </c>
      <c r="P678" t="str">
        <f>IF($A678&lt;&gt;"",'Approved-Enforcement'!O678,"")</f>
        <v/>
      </c>
    </row>
    <row r="679" spans="1:16" x14ac:dyDescent="0.35">
      <c r="A679" s="4" t="str">
        <f>IF('Approved-Enforcement'!$A679&lt;&gt;"",'Approved-Enforcement'!A679,"")</f>
        <v/>
      </c>
      <c r="B679" t="str">
        <f t="shared" si="10"/>
        <v/>
      </c>
      <c r="D679" t="str">
        <f>IF($A679&lt;&gt;"",IF($R679&lt;&gt;"",$R679,'Approved-Enforcement'!$B679+7),"")</f>
        <v/>
      </c>
      <c r="E679" t="str">
        <f>IF($A679&lt;&gt;"",'Approved-Enforcement'!D679,"")</f>
        <v/>
      </c>
      <c r="F679" t="str">
        <f>IF($A679&lt;&gt;"",'Approved-Enforcement'!E679,"")</f>
        <v/>
      </c>
      <c r="G679" t="str">
        <f>IF($A679&lt;&gt;"",'Approved-Enforcement'!F679,"")</f>
        <v/>
      </c>
      <c r="H679" t="str">
        <f>IF($A679&lt;&gt;"",'Approved-Enforcement'!G679,"")</f>
        <v/>
      </c>
      <c r="I679" t="str">
        <f>IF($A679&lt;&gt;"",'Approved-Enforcement'!H679,"")</f>
        <v/>
      </c>
      <c r="J679" t="str">
        <f>IF($A679&lt;&gt;"",'Approved-Enforcement'!I679,"")</f>
        <v/>
      </c>
      <c r="K679" t="str">
        <f>IF($A679&lt;&gt;"",'Approved-Enforcement'!J679,"")</f>
        <v/>
      </c>
      <c r="L679" t="str">
        <f>IF($A679&lt;&gt;"",'Approved-Enforcement'!K679,"")</f>
        <v/>
      </c>
      <c r="M679" t="str">
        <f>IF($A679&lt;&gt;"",'Approved-Enforcement'!L679,"")</f>
        <v/>
      </c>
      <c r="N679" t="str">
        <f>IF($A679&lt;&gt;"",'Approved-Enforcement'!M679,"")</f>
        <v/>
      </c>
      <c r="O679" t="str">
        <f>IF($A679&lt;&gt;"",'Approved-Enforcement'!N679,"")</f>
        <v/>
      </c>
      <c r="P679" t="str">
        <f>IF($A679&lt;&gt;"",'Approved-Enforcement'!O679,"")</f>
        <v/>
      </c>
    </row>
    <row r="680" spans="1:16" x14ac:dyDescent="0.35">
      <c r="A680" s="4" t="str">
        <f>IF('Approved-Enforcement'!$A680&lt;&gt;"",'Approved-Enforcement'!A680,"")</f>
        <v/>
      </c>
      <c r="B680" t="str">
        <f t="shared" si="10"/>
        <v/>
      </c>
      <c r="D680" t="str">
        <f>IF($A680&lt;&gt;"",IF($R680&lt;&gt;"",$R680,'Approved-Enforcement'!$B680+7),"")</f>
        <v/>
      </c>
      <c r="E680" t="str">
        <f>IF($A680&lt;&gt;"",'Approved-Enforcement'!D680,"")</f>
        <v/>
      </c>
      <c r="F680" t="str">
        <f>IF($A680&lt;&gt;"",'Approved-Enforcement'!E680,"")</f>
        <v/>
      </c>
      <c r="G680" t="str">
        <f>IF($A680&lt;&gt;"",'Approved-Enforcement'!F680,"")</f>
        <v/>
      </c>
      <c r="H680" t="str">
        <f>IF($A680&lt;&gt;"",'Approved-Enforcement'!G680,"")</f>
        <v/>
      </c>
      <c r="I680" t="str">
        <f>IF($A680&lt;&gt;"",'Approved-Enforcement'!H680,"")</f>
        <v/>
      </c>
      <c r="J680" t="str">
        <f>IF($A680&lt;&gt;"",'Approved-Enforcement'!I680,"")</f>
        <v/>
      </c>
      <c r="K680" t="str">
        <f>IF($A680&lt;&gt;"",'Approved-Enforcement'!J680,"")</f>
        <v/>
      </c>
      <c r="L680" t="str">
        <f>IF($A680&lt;&gt;"",'Approved-Enforcement'!K680,"")</f>
        <v/>
      </c>
      <c r="M680" t="str">
        <f>IF($A680&lt;&gt;"",'Approved-Enforcement'!L680,"")</f>
        <v/>
      </c>
      <c r="N680" t="str">
        <f>IF($A680&lt;&gt;"",'Approved-Enforcement'!M680,"")</f>
        <v/>
      </c>
      <c r="O680" t="str">
        <f>IF($A680&lt;&gt;"",'Approved-Enforcement'!N680,"")</f>
        <v/>
      </c>
      <c r="P680" t="str">
        <f>IF($A680&lt;&gt;"",'Approved-Enforcement'!O680,"")</f>
        <v/>
      </c>
    </row>
    <row r="681" spans="1:16" x14ac:dyDescent="0.35">
      <c r="A681" s="4" t="str">
        <f>IF('Approved-Enforcement'!$A681&lt;&gt;"",'Approved-Enforcement'!A681,"")</f>
        <v/>
      </c>
      <c r="B681" t="str">
        <f t="shared" si="10"/>
        <v/>
      </c>
      <c r="D681" t="str">
        <f>IF($A681&lt;&gt;"",IF($R681&lt;&gt;"",$R681,'Approved-Enforcement'!$B681+7),"")</f>
        <v/>
      </c>
      <c r="E681" t="str">
        <f>IF($A681&lt;&gt;"",'Approved-Enforcement'!D681,"")</f>
        <v/>
      </c>
      <c r="F681" t="str">
        <f>IF($A681&lt;&gt;"",'Approved-Enforcement'!E681,"")</f>
        <v/>
      </c>
      <c r="G681" t="str">
        <f>IF($A681&lt;&gt;"",'Approved-Enforcement'!F681,"")</f>
        <v/>
      </c>
      <c r="H681" t="str">
        <f>IF($A681&lt;&gt;"",'Approved-Enforcement'!G681,"")</f>
        <v/>
      </c>
      <c r="I681" t="str">
        <f>IF($A681&lt;&gt;"",'Approved-Enforcement'!H681,"")</f>
        <v/>
      </c>
      <c r="J681" t="str">
        <f>IF($A681&lt;&gt;"",'Approved-Enforcement'!I681,"")</f>
        <v/>
      </c>
      <c r="K681" t="str">
        <f>IF($A681&lt;&gt;"",'Approved-Enforcement'!J681,"")</f>
        <v/>
      </c>
      <c r="L681" t="str">
        <f>IF($A681&lt;&gt;"",'Approved-Enforcement'!K681,"")</f>
        <v/>
      </c>
      <c r="M681" t="str">
        <f>IF($A681&lt;&gt;"",'Approved-Enforcement'!L681,"")</f>
        <v/>
      </c>
      <c r="N681" t="str">
        <f>IF($A681&lt;&gt;"",'Approved-Enforcement'!M681,"")</f>
        <v/>
      </c>
      <c r="O681" t="str">
        <f>IF($A681&lt;&gt;"",'Approved-Enforcement'!N681,"")</f>
        <v/>
      </c>
      <c r="P681" t="str">
        <f>IF($A681&lt;&gt;"",'Approved-Enforcement'!O681,"")</f>
        <v/>
      </c>
    </row>
    <row r="682" spans="1:16" x14ac:dyDescent="0.35">
      <c r="A682" s="4" t="str">
        <f>IF('Approved-Enforcement'!$A682&lt;&gt;"",'Approved-Enforcement'!A682,"")</f>
        <v/>
      </c>
      <c r="B682" t="str">
        <f t="shared" si="10"/>
        <v/>
      </c>
      <c r="D682" t="str">
        <f>IF($A682&lt;&gt;"",IF($R682&lt;&gt;"",$R682,'Approved-Enforcement'!$B682+7),"")</f>
        <v/>
      </c>
      <c r="E682" t="str">
        <f>IF($A682&lt;&gt;"",'Approved-Enforcement'!D682,"")</f>
        <v/>
      </c>
      <c r="F682" t="str">
        <f>IF($A682&lt;&gt;"",'Approved-Enforcement'!E682,"")</f>
        <v/>
      </c>
      <c r="G682" t="str">
        <f>IF($A682&lt;&gt;"",'Approved-Enforcement'!F682,"")</f>
        <v/>
      </c>
      <c r="H682" t="str">
        <f>IF($A682&lt;&gt;"",'Approved-Enforcement'!G682,"")</f>
        <v/>
      </c>
      <c r="I682" t="str">
        <f>IF($A682&lt;&gt;"",'Approved-Enforcement'!H682,"")</f>
        <v/>
      </c>
      <c r="J682" t="str">
        <f>IF($A682&lt;&gt;"",'Approved-Enforcement'!I682,"")</f>
        <v/>
      </c>
      <c r="K682" t="str">
        <f>IF($A682&lt;&gt;"",'Approved-Enforcement'!J682,"")</f>
        <v/>
      </c>
      <c r="L682" t="str">
        <f>IF($A682&lt;&gt;"",'Approved-Enforcement'!K682,"")</f>
        <v/>
      </c>
      <c r="M682" t="str">
        <f>IF($A682&lt;&gt;"",'Approved-Enforcement'!L682,"")</f>
        <v/>
      </c>
      <c r="N682" t="str">
        <f>IF($A682&lt;&gt;"",'Approved-Enforcement'!M682,"")</f>
        <v/>
      </c>
      <c r="O682" t="str">
        <f>IF($A682&lt;&gt;"",'Approved-Enforcement'!N682,"")</f>
        <v/>
      </c>
      <c r="P682" t="str">
        <f>IF($A682&lt;&gt;"",'Approved-Enforcement'!O682,"")</f>
        <v/>
      </c>
    </row>
    <row r="683" spans="1:16" x14ac:dyDescent="0.35">
      <c r="A683" s="4" t="str">
        <f>IF('Approved-Enforcement'!$A683&lt;&gt;"",'Approved-Enforcement'!A683,"")</f>
        <v/>
      </c>
      <c r="B683" t="str">
        <f t="shared" si="10"/>
        <v/>
      </c>
      <c r="D683" t="str">
        <f>IF($A683&lt;&gt;"",IF($R683&lt;&gt;"",$R683,'Approved-Enforcement'!$B683+7),"")</f>
        <v/>
      </c>
      <c r="E683" t="str">
        <f>IF($A683&lt;&gt;"",'Approved-Enforcement'!D683,"")</f>
        <v/>
      </c>
      <c r="F683" t="str">
        <f>IF($A683&lt;&gt;"",'Approved-Enforcement'!E683,"")</f>
        <v/>
      </c>
      <c r="G683" t="str">
        <f>IF($A683&lt;&gt;"",'Approved-Enforcement'!F683,"")</f>
        <v/>
      </c>
      <c r="H683" t="str">
        <f>IF($A683&lt;&gt;"",'Approved-Enforcement'!G683,"")</f>
        <v/>
      </c>
      <c r="I683" t="str">
        <f>IF($A683&lt;&gt;"",'Approved-Enforcement'!H683,"")</f>
        <v/>
      </c>
      <c r="J683" t="str">
        <f>IF($A683&lt;&gt;"",'Approved-Enforcement'!I683,"")</f>
        <v/>
      </c>
      <c r="K683" t="str">
        <f>IF($A683&lt;&gt;"",'Approved-Enforcement'!J683,"")</f>
        <v/>
      </c>
      <c r="L683" t="str">
        <f>IF($A683&lt;&gt;"",'Approved-Enforcement'!K683,"")</f>
        <v/>
      </c>
      <c r="M683" t="str">
        <f>IF($A683&lt;&gt;"",'Approved-Enforcement'!L683,"")</f>
        <v/>
      </c>
      <c r="N683" t="str">
        <f>IF($A683&lt;&gt;"",'Approved-Enforcement'!M683,"")</f>
        <v/>
      </c>
      <c r="O683" t="str">
        <f>IF($A683&lt;&gt;"",'Approved-Enforcement'!N683,"")</f>
        <v/>
      </c>
      <c r="P683" t="str">
        <f>IF($A683&lt;&gt;"",'Approved-Enforcement'!O683,"")</f>
        <v/>
      </c>
    </row>
    <row r="684" spans="1:16" x14ac:dyDescent="0.35">
      <c r="A684" s="4" t="str">
        <f>IF('Approved-Enforcement'!$A684&lt;&gt;"",'Approved-Enforcement'!A684,"")</f>
        <v/>
      </c>
      <c r="B684" t="str">
        <f t="shared" si="10"/>
        <v/>
      </c>
      <c r="D684" t="str">
        <f>IF($A684&lt;&gt;"",IF($R684&lt;&gt;"",$R684,'Approved-Enforcement'!$B684+7),"")</f>
        <v/>
      </c>
      <c r="E684" t="str">
        <f>IF($A684&lt;&gt;"",'Approved-Enforcement'!D684,"")</f>
        <v/>
      </c>
      <c r="F684" t="str">
        <f>IF($A684&lt;&gt;"",'Approved-Enforcement'!E684,"")</f>
        <v/>
      </c>
      <c r="G684" t="str">
        <f>IF($A684&lt;&gt;"",'Approved-Enforcement'!F684,"")</f>
        <v/>
      </c>
      <c r="H684" t="str">
        <f>IF($A684&lt;&gt;"",'Approved-Enforcement'!G684,"")</f>
        <v/>
      </c>
      <c r="I684" t="str">
        <f>IF($A684&lt;&gt;"",'Approved-Enforcement'!H684,"")</f>
        <v/>
      </c>
      <c r="J684" t="str">
        <f>IF($A684&lt;&gt;"",'Approved-Enforcement'!I684,"")</f>
        <v/>
      </c>
      <c r="K684" t="str">
        <f>IF($A684&lt;&gt;"",'Approved-Enforcement'!J684,"")</f>
        <v/>
      </c>
      <c r="L684" t="str">
        <f>IF($A684&lt;&gt;"",'Approved-Enforcement'!K684,"")</f>
        <v/>
      </c>
      <c r="M684" t="str">
        <f>IF($A684&lt;&gt;"",'Approved-Enforcement'!L684,"")</f>
        <v/>
      </c>
      <c r="N684" t="str">
        <f>IF($A684&lt;&gt;"",'Approved-Enforcement'!M684,"")</f>
        <v/>
      </c>
      <c r="O684" t="str">
        <f>IF($A684&lt;&gt;"",'Approved-Enforcement'!N684,"")</f>
        <v/>
      </c>
      <c r="P684" t="str">
        <f>IF($A684&lt;&gt;"",'Approved-Enforcement'!O684,"")</f>
        <v/>
      </c>
    </row>
    <row r="685" spans="1:16" x14ac:dyDescent="0.35">
      <c r="A685" s="4" t="str">
        <f>IF('Approved-Enforcement'!$A685&lt;&gt;"",'Approved-Enforcement'!A685,"")</f>
        <v/>
      </c>
      <c r="B685" t="str">
        <f t="shared" si="10"/>
        <v/>
      </c>
      <c r="D685" t="str">
        <f>IF($A685&lt;&gt;"",IF($R685&lt;&gt;"",$R685,'Approved-Enforcement'!$B685+7),"")</f>
        <v/>
      </c>
      <c r="E685" t="str">
        <f>IF($A685&lt;&gt;"",'Approved-Enforcement'!D685,"")</f>
        <v/>
      </c>
      <c r="F685" t="str">
        <f>IF($A685&lt;&gt;"",'Approved-Enforcement'!E685,"")</f>
        <v/>
      </c>
      <c r="G685" t="str">
        <f>IF($A685&lt;&gt;"",'Approved-Enforcement'!F685,"")</f>
        <v/>
      </c>
      <c r="H685" t="str">
        <f>IF($A685&lt;&gt;"",'Approved-Enforcement'!G685,"")</f>
        <v/>
      </c>
      <c r="I685" t="str">
        <f>IF($A685&lt;&gt;"",'Approved-Enforcement'!H685,"")</f>
        <v/>
      </c>
      <c r="J685" t="str">
        <f>IF($A685&lt;&gt;"",'Approved-Enforcement'!I685,"")</f>
        <v/>
      </c>
      <c r="K685" t="str">
        <f>IF($A685&lt;&gt;"",'Approved-Enforcement'!J685,"")</f>
        <v/>
      </c>
      <c r="L685" t="str">
        <f>IF($A685&lt;&gt;"",'Approved-Enforcement'!K685,"")</f>
        <v/>
      </c>
      <c r="M685" t="str">
        <f>IF($A685&lt;&gt;"",'Approved-Enforcement'!L685,"")</f>
        <v/>
      </c>
      <c r="N685" t="str">
        <f>IF($A685&lt;&gt;"",'Approved-Enforcement'!M685,"")</f>
        <v/>
      </c>
      <c r="O685" t="str">
        <f>IF($A685&lt;&gt;"",'Approved-Enforcement'!N685,"")</f>
        <v/>
      </c>
      <c r="P685" t="str">
        <f>IF($A685&lt;&gt;"",'Approved-Enforcement'!O685,"")</f>
        <v/>
      </c>
    </row>
    <row r="686" spans="1:16" x14ac:dyDescent="0.35">
      <c r="A686" s="4" t="str">
        <f>IF('Approved-Enforcement'!$A686&lt;&gt;"",'Approved-Enforcement'!A686,"")</f>
        <v/>
      </c>
      <c r="B686" t="str">
        <f t="shared" si="10"/>
        <v/>
      </c>
      <c r="D686" t="str">
        <f>IF($A686&lt;&gt;"",IF($R686&lt;&gt;"",$R686,'Approved-Enforcement'!$B686+7),"")</f>
        <v/>
      </c>
      <c r="E686" t="str">
        <f>IF($A686&lt;&gt;"",'Approved-Enforcement'!D686,"")</f>
        <v/>
      </c>
      <c r="F686" t="str">
        <f>IF($A686&lt;&gt;"",'Approved-Enforcement'!E686,"")</f>
        <v/>
      </c>
      <c r="G686" t="str">
        <f>IF($A686&lt;&gt;"",'Approved-Enforcement'!F686,"")</f>
        <v/>
      </c>
      <c r="H686" t="str">
        <f>IF($A686&lt;&gt;"",'Approved-Enforcement'!G686,"")</f>
        <v/>
      </c>
      <c r="I686" t="str">
        <f>IF($A686&lt;&gt;"",'Approved-Enforcement'!H686,"")</f>
        <v/>
      </c>
      <c r="J686" t="str">
        <f>IF($A686&lt;&gt;"",'Approved-Enforcement'!I686,"")</f>
        <v/>
      </c>
      <c r="K686" t="str">
        <f>IF($A686&lt;&gt;"",'Approved-Enforcement'!J686,"")</f>
        <v/>
      </c>
      <c r="L686" t="str">
        <f>IF($A686&lt;&gt;"",'Approved-Enforcement'!K686,"")</f>
        <v/>
      </c>
      <c r="M686" t="str">
        <f>IF($A686&lt;&gt;"",'Approved-Enforcement'!L686,"")</f>
        <v/>
      </c>
      <c r="N686" t="str">
        <f>IF($A686&lt;&gt;"",'Approved-Enforcement'!M686,"")</f>
        <v/>
      </c>
      <c r="O686" t="str">
        <f>IF($A686&lt;&gt;"",'Approved-Enforcement'!N686,"")</f>
        <v/>
      </c>
      <c r="P686" t="str">
        <f>IF($A686&lt;&gt;"",'Approved-Enforcement'!O686,"")</f>
        <v/>
      </c>
    </row>
    <row r="687" spans="1:16" x14ac:dyDescent="0.35">
      <c r="A687" s="4" t="str">
        <f>IF('Approved-Enforcement'!$A687&lt;&gt;"",'Approved-Enforcement'!A687,"")</f>
        <v/>
      </c>
      <c r="B687" t="str">
        <f t="shared" si="10"/>
        <v/>
      </c>
      <c r="D687" t="str">
        <f>IF($A687&lt;&gt;"",IF($R687&lt;&gt;"",$R687,'Approved-Enforcement'!$B687+7),"")</f>
        <v/>
      </c>
      <c r="E687" t="str">
        <f>IF($A687&lt;&gt;"",'Approved-Enforcement'!D687,"")</f>
        <v/>
      </c>
      <c r="F687" t="str">
        <f>IF($A687&lt;&gt;"",'Approved-Enforcement'!E687,"")</f>
        <v/>
      </c>
      <c r="G687" t="str">
        <f>IF($A687&lt;&gt;"",'Approved-Enforcement'!F687,"")</f>
        <v/>
      </c>
      <c r="H687" t="str">
        <f>IF($A687&lt;&gt;"",'Approved-Enforcement'!G687,"")</f>
        <v/>
      </c>
      <c r="I687" t="str">
        <f>IF($A687&lt;&gt;"",'Approved-Enforcement'!H687,"")</f>
        <v/>
      </c>
      <c r="J687" t="str">
        <f>IF($A687&lt;&gt;"",'Approved-Enforcement'!I687,"")</f>
        <v/>
      </c>
      <c r="K687" t="str">
        <f>IF($A687&lt;&gt;"",'Approved-Enforcement'!J687,"")</f>
        <v/>
      </c>
      <c r="L687" t="str">
        <f>IF($A687&lt;&gt;"",'Approved-Enforcement'!K687,"")</f>
        <v/>
      </c>
      <c r="M687" t="str">
        <f>IF($A687&lt;&gt;"",'Approved-Enforcement'!L687,"")</f>
        <v/>
      </c>
      <c r="N687" t="str">
        <f>IF($A687&lt;&gt;"",'Approved-Enforcement'!M687,"")</f>
        <v/>
      </c>
      <c r="O687" t="str">
        <f>IF($A687&lt;&gt;"",'Approved-Enforcement'!N687,"")</f>
        <v/>
      </c>
      <c r="P687" t="str">
        <f>IF($A687&lt;&gt;"",'Approved-Enforcement'!O687,"")</f>
        <v/>
      </c>
    </row>
    <row r="688" spans="1:16" x14ac:dyDescent="0.35">
      <c r="A688" s="4" t="str">
        <f>IF('Approved-Enforcement'!$A688&lt;&gt;"",'Approved-Enforcement'!A688,"")</f>
        <v/>
      </c>
      <c r="B688" t="str">
        <f t="shared" si="10"/>
        <v/>
      </c>
      <c r="D688" t="str">
        <f>IF($A688&lt;&gt;"",IF($R688&lt;&gt;"",$R688,'Approved-Enforcement'!$B688+7),"")</f>
        <v/>
      </c>
      <c r="E688" t="str">
        <f>IF($A688&lt;&gt;"",'Approved-Enforcement'!D688,"")</f>
        <v/>
      </c>
      <c r="F688" t="str">
        <f>IF($A688&lt;&gt;"",'Approved-Enforcement'!E688,"")</f>
        <v/>
      </c>
      <c r="G688" t="str">
        <f>IF($A688&lt;&gt;"",'Approved-Enforcement'!F688,"")</f>
        <v/>
      </c>
      <c r="H688" t="str">
        <f>IF($A688&lt;&gt;"",'Approved-Enforcement'!G688,"")</f>
        <v/>
      </c>
      <c r="I688" t="str">
        <f>IF($A688&lt;&gt;"",'Approved-Enforcement'!H688,"")</f>
        <v/>
      </c>
      <c r="J688" t="str">
        <f>IF($A688&lt;&gt;"",'Approved-Enforcement'!I688,"")</f>
        <v/>
      </c>
      <c r="K688" t="str">
        <f>IF($A688&lt;&gt;"",'Approved-Enforcement'!J688,"")</f>
        <v/>
      </c>
      <c r="L688" t="str">
        <f>IF($A688&lt;&gt;"",'Approved-Enforcement'!K688,"")</f>
        <v/>
      </c>
      <c r="M688" t="str">
        <f>IF($A688&lt;&gt;"",'Approved-Enforcement'!L688,"")</f>
        <v/>
      </c>
      <c r="N688" t="str">
        <f>IF($A688&lt;&gt;"",'Approved-Enforcement'!M688,"")</f>
        <v/>
      </c>
      <c r="O688" t="str">
        <f>IF($A688&lt;&gt;"",'Approved-Enforcement'!N688,"")</f>
        <v/>
      </c>
      <c r="P688" t="str">
        <f>IF($A688&lt;&gt;"",'Approved-Enforcement'!O688,"")</f>
        <v/>
      </c>
    </row>
    <row r="689" spans="1:16" x14ac:dyDescent="0.35">
      <c r="A689" s="4" t="str">
        <f>IF('Approved-Enforcement'!$A689&lt;&gt;"",'Approved-Enforcement'!A689,"")</f>
        <v/>
      </c>
      <c r="B689" t="str">
        <f t="shared" si="10"/>
        <v/>
      </c>
      <c r="D689" t="str">
        <f>IF($A689&lt;&gt;"",IF($R689&lt;&gt;"",$R689,'Approved-Enforcement'!$B689+7),"")</f>
        <v/>
      </c>
      <c r="E689" t="str">
        <f>IF($A689&lt;&gt;"",'Approved-Enforcement'!D689,"")</f>
        <v/>
      </c>
      <c r="F689" t="str">
        <f>IF($A689&lt;&gt;"",'Approved-Enforcement'!E689,"")</f>
        <v/>
      </c>
      <c r="G689" t="str">
        <f>IF($A689&lt;&gt;"",'Approved-Enforcement'!F689,"")</f>
        <v/>
      </c>
      <c r="H689" t="str">
        <f>IF($A689&lt;&gt;"",'Approved-Enforcement'!G689,"")</f>
        <v/>
      </c>
      <c r="I689" t="str">
        <f>IF($A689&lt;&gt;"",'Approved-Enforcement'!H689,"")</f>
        <v/>
      </c>
      <c r="J689" t="str">
        <f>IF($A689&lt;&gt;"",'Approved-Enforcement'!I689,"")</f>
        <v/>
      </c>
      <c r="K689" t="str">
        <f>IF($A689&lt;&gt;"",'Approved-Enforcement'!J689,"")</f>
        <v/>
      </c>
      <c r="L689" t="str">
        <f>IF($A689&lt;&gt;"",'Approved-Enforcement'!K689,"")</f>
        <v/>
      </c>
      <c r="M689" t="str">
        <f>IF($A689&lt;&gt;"",'Approved-Enforcement'!L689,"")</f>
        <v/>
      </c>
      <c r="N689" t="str">
        <f>IF($A689&lt;&gt;"",'Approved-Enforcement'!M689,"")</f>
        <v/>
      </c>
      <c r="O689" t="str">
        <f>IF($A689&lt;&gt;"",'Approved-Enforcement'!N689,"")</f>
        <v/>
      </c>
      <c r="P689" t="str">
        <f>IF($A689&lt;&gt;"",'Approved-Enforcement'!O689,"")</f>
        <v/>
      </c>
    </row>
    <row r="690" spans="1:16" x14ac:dyDescent="0.35">
      <c r="A690" s="4" t="str">
        <f>IF('Approved-Enforcement'!$A690&lt;&gt;"",'Approved-Enforcement'!A690,"")</f>
        <v/>
      </c>
      <c r="B690" t="str">
        <f t="shared" si="10"/>
        <v/>
      </c>
      <c r="D690" t="str">
        <f>IF($A690&lt;&gt;"",IF($R690&lt;&gt;"",$R690,'Approved-Enforcement'!$B690+7),"")</f>
        <v/>
      </c>
      <c r="E690" t="str">
        <f>IF($A690&lt;&gt;"",'Approved-Enforcement'!D690,"")</f>
        <v/>
      </c>
      <c r="F690" t="str">
        <f>IF($A690&lt;&gt;"",'Approved-Enforcement'!E690,"")</f>
        <v/>
      </c>
      <c r="G690" t="str">
        <f>IF($A690&lt;&gt;"",'Approved-Enforcement'!F690,"")</f>
        <v/>
      </c>
      <c r="H690" t="str">
        <f>IF($A690&lt;&gt;"",'Approved-Enforcement'!G690,"")</f>
        <v/>
      </c>
      <c r="I690" t="str">
        <f>IF($A690&lt;&gt;"",'Approved-Enforcement'!H690,"")</f>
        <v/>
      </c>
      <c r="J690" t="str">
        <f>IF($A690&lt;&gt;"",'Approved-Enforcement'!I690,"")</f>
        <v/>
      </c>
      <c r="K690" t="str">
        <f>IF($A690&lt;&gt;"",'Approved-Enforcement'!J690,"")</f>
        <v/>
      </c>
      <c r="L690" t="str">
        <f>IF($A690&lt;&gt;"",'Approved-Enforcement'!K690,"")</f>
        <v/>
      </c>
      <c r="M690" t="str">
        <f>IF($A690&lt;&gt;"",'Approved-Enforcement'!L690,"")</f>
        <v/>
      </c>
      <c r="N690" t="str">
        <f>IF($A690&lt;&gt;"",'Approved-Enforcement'!M690,"")</f>
        <v/>
      </c>
      <c r="O690" t="str">
        <f>IF($A690&lt;&gt;"",'Approved-Enforcement'!N690,"")</f>
        <v/>
      </c>
      <c r="P690" t="str">
        <f>IF($A690&lt;&gt;"",'Approved-Enforcement'!O690,"")</f>
        <v/>
      </c>
    </row>
    <row r="691" spans="1:16" x14ac:dyDescent="0.35">
      <c r="A691" s="4" t="str">
        <f>IF('Approved-Enforcement'!$A691&lt;&gt;"",'Approved-Enforcement'!A691,"")</f>
        <v/>
      </c>
      <c r="B691" t="str">
        <f t="shared" si="10"/>
        <v/>
      </c>
      <c r="D691" t="str">
        <f>IF($A691&lt;&gt;"",IF($R691&lt;&gt;"",$R691,'Approved-Enforcement'!$B691+7),"")</f>
        <v/>
      </c>
      <c r="E691" t="str">
        <f>IF($A691&lt;&gt;"",'Approved-Enforcement'!D691,"")</f>
        <v/>
      </c>
      <c r="F691" t="str">
        <f>IF($A691&lt;&gt;"",'Approved-Enforcement'!E691,"")</f>
        <v/>
      </c>
      <c r="G691" t="str">
        <f>IF($A691&lt;&gt;"",'Approved-Enforcement'!F691,"")</f>
        <v/>
      </c>
      <c r="H691" t="str">
        <f>IF($A691&lt;&gt;"",'Approved-Enforcement'!G691,"")</f>
        <v/>
      </c>
      <c r="I691" t="str">
        <f>IF($A691&lt;&gt;"",'Approved-Enforcement'!H691,"")</f>
        <v/>
      </c>
      <c r="J691" t="str">
        <f>IF($A691&lt;&gt;"",'Approved-Enforcement'!I691,"")</f>
        <v/>
      </c>
      <c r="K691" t="str">
        <f>IF($A691&lt;&gt;"",'Approved-Enforcement'!J691,"")</f>
        <v/>
      </c>
      <c r="L691" t="str">
        <f>IF($A691&lt;&gt;"",'Approved-Enforcement'!K691,"")</f>
        <v/>
      </c>
      <c r="M691" t="str">
        <f>IF($A691&lt;&gt;"",'Approved-Enforcement'!L691,"")</f>
        <v/>
      </c>
      <c r="N691" t="str">
        <f>IF($A691&lt;&gt;"",'Approved-Enforcement'!M691,"")</f>
        <v/>
      </c>
      <c r="O691" t="str">
        <f>IF($A691&lt;&gt;"",'Approved-Enforcement'!N691,"")</f>
        <v/>
      </c>
      <c r="P691" t="str">
        <f>IF($A691&lt;&gt;"",'Approved-Enforcement'!O691,"")</f>
        <v/>
      </c>
    </row>
    <row r="692" spans="1:16" x14ac:dyDescent="0.35">
      <c r="A692" s="4" t="str">
        <f>IF('Approved-Enforcement'!$A692&lt;&gt;"",'Approved-Enforcement'!A692,"")</f>
        <v/>
      </c>
      <c r="B692" t="str">
        <f t="shared" si="10"/>
        <v/>
      </c>
      <c r="D692" t="str">
        <f>IF($A692&lt;&gt;"",IF($R692&lt;&gt;"",$R692,'Approved-Enforcement'!$B692+7),"")</f>
        <v/>
      </c>
      <c r="E692" t="str">
        <f>IF($A692&lt;&gt;"",'Approved-Enforcement'!D692,"")</f>
        <v/>
      </c>
      <c r="F692" t="str">
        <f>IF($A692&lt;&gt;"",'Approved-Enforcement'!E692,"")</f>
        <v/>
      </c>
      <c r="G692" t="str">
        <f>IF($A692&lt;&gt;"",'Approved-Enforcement'!F692,"")</f>
        <v/>
      </c>
      <c r="H692" t="str">
        <f>IF($A692&lt;&gt;"",'Approved-Enforcement'!G692,"")</f>
        <v/>
      </c>
      <c r="I692" t="str">
        <f>IF($A692&lt;&gt;"",'Approved-Enforcement'!H692,"")</f>
        <v/>
      </c>
      <c r="J692" t="str">
        <f>IF($A692&lt;&gt;"",'Approved-Enforcement'!I692,"")</f>
        <v/>
      </c>
      <c r="K692" t="str">
        <f>IF($A692&lt;&gt;"",'Approved-Enforcement'!J692,"")</f>
        <v/>
      </c>
      <c r="L692" t="str">
        <f>IF($A692&lt;&gt;"",'Approved-Enforcement'!K692,"")</f>
        <v/>
      </c>
      <c r="M692" t="str">
        <f>IF($A692&lt;&gt;"",'Approved-Enforcement'!L692,"")</f>
        <v/>
      </c>
      <c r="N692" t="str">
        <f>IF($A692&lt;&gt;"",'Approved-Enforcement'!M692,"")</f>
        <v/>
      </c>
      <c r="O692" t="str">
        <f>IF($A692&lt;&gt;"",'Approved-Enforcement'!N692,"")</f>
        <v/>
      </c>
      <c r="P692" t="str">
        <f>IF($A692&lt;&gt;"",'Approved-Enforcement'!O692,"")</f>
        <v/>
      </c>
    </row>
    <row r="693" spans="1:16" x14ac:dyDescent="0.35">
      <c r="A693" s="4" t="str">
        <f>IF('Approved-Enforcement'!$A693&lt;&gt;"",'Approved-Enforcement'!A693,"")</f>
        <v/>
      </c>
      <c r="B693" t="str">
        <f t="shared" si="10"/>
        <v/>
      </c>
      <c r="D693" t="str">
        <f>IF($A693&lt;&gt;"",IF($R693&lt;&gt;"",$R693,'Approved-Enforcement'!$B693+7),"")</f>
        <v/>
      </c>
      <c r="E693" t="str">
        <f>IF($A693&lt;&gt;"",'Approved-Enforcement'!D693,"")</f>
        <v/>
      </c>
      <c r="F693" t="str">
        <f>IF($A693&lt;&gt;"",'Approved-Enforcement'!E693,"")</f>
        <v/>
      </c>
      <c r="G693" t="str">
        <f>IF($A693&lt;&gt;"",'Approved-Enforcement'!F693,"")</f>
        <v/>
      </c>
      <c r="H693" t="str">
        <f>IF($A693&lt;&gt;"",'Approved-Enforcement'!G693,"")</f>
        <v/>
      </c>
      <c r="I693" t="str">
        <f>IF($A693&lt;&gt;"",'Approved-Enforcement'!H693,"")</f>
        <v/>
      </c>
      <c r="J693" t="str">
        <f>IF($A693&lt;&gt;"",'Approved-Enforcement'!I693,"")</f>
        <v/>
      </c>
      <c r="K693" t="str">
        <f>IF($A693&lt;&gt;"",'Approved-Enforcement'!J693,"")</f>
        <v/>
      </c>
      <c r="L693" t="str">
        <f>IF($A693&lt;&gt;"",'Approved-Enforcement'!K693,"")</f>
        <v/>
      </c>
      <c r="M693" t="str">
        <f>IF($A693&lt;&gt;"",'Approved-Enforcement'!L693,"")</f>
        <v/>
      </c>
      <c r="N693" t="str">
        <f>IF($A693&lt;&gt;"",'Approved-Enforcement'!M693,"")</f>
        <v/>
      </c>
      <c r="O693" t="str">
        <f>IF($A693&lt;&gt;"",'Approved-Enforcement'!N693,"")</f>
        <v/>
      </c>
      <c r="P693" t="str">
        <f>IF($A693&lt;&gt;"",'Approved-Enforcement'!O693,"")</f>
        <v/>
      </c>
    </row>
    <row r="694" spans="1:16" x14ac:dyDescent="0.35">
      <c r="A694" s="4" t="str">
        <f>IF('Approved-Enforcement'!$A694&lt;&gt;"",'Approved-Enforcement'!A694,"")</f>
        <v/>
      </c>
      <c r="B694" t="str">
        <f t="shared" si="10"/>
        <v/>
      </c>
      <c r="D694" t="str">
        <f>IF($A694&lt;&gt;"",IF($R694&lt;&gt;"",$R694,'Approved-Enforcement'!$B694+7),"")</f>
        <v/>
      </c>
      <c r="E694" t="str">
        <f>IF($A694&lt;&gt;"",'Approved-Enforcement'!D694,"")</f>
        <v/>
      </c>
      <c r="F694" t="str">
        <f>IF($A694&lt;&gt;"",'Approved-Enforcement'!E694,"")</f>
        <v/>
      </c>
      <c r="G694" t="str">
        <f>IF($A694&lt;&gt;"",'Approved-Enforcement'!F694,"")</f>
        <v/>
      </c>
      <c r="H694" t="str">
        <f>IF($A694&lt;&gt;"",'Approved-Enforcement'!G694,"")</f>
        <v/>
      </c>
      <c r="I694" t="str">
        <f>IF($A694&lt;&gt;"",'Approved-Enforcement'!H694,"")</f>
        <v/>
      </c>
      <c r="J694" t="str">
        <f>IF($A694&lt;&gt;"",'Approved-Enforcement'!I694,"")</f>
        <v/>
      </c>
      <c r="K694" t="str">
        <f>IF($A694&lt;&gt;"",'Approved-Enforcement'!J694,"")</f>
        <v/>
      </c>
      <c r="L694" t="str">
        <f>IF($A694&lt;&gt;"",'Approved-Enforcement'!K694,"")</f>
        <v/>
      </c>
      <c r="M694" t="str">
        <f>IF($A694&lt;&gt;"",'Approved-Enforcement'!L694,"")</f>
        <v/>
      </c>
      <c r="N694" t="str">
        <f>IF($A694&lt;&gt;"",'Approved-Enforcement'!M694,"")</f>
        <v/>
      </c>
      <c r="O694" t="str">
        <f>IF($A694&lt;&gt;"",'Approved-Enforcement'!N694,"")</f>
        <v/>
      </c>
      <c r="P694" t="str">
        <f>IF($A694&lt;&gt;"",'Approved-Enforcement'!O694,"")</f>
        <v/>
      </c>
    </row>
    <row r="695" spans="1:16" x14ac:dyDescent="0.35">
      <c r="A695" s="4" t="str">
        <f>IF('Approved-Enforcement'!$A695&lt;&gt;"",'Approved-Enforcement'!A695,"")</f>
        <v/>
      </c>
      <c r="B695" t="str">
        <f t="shared" si="10"/>
        <v/>
      </c>
      <c r="D695" t="str">
        <f>IF($A695&lt;&gt;"",IF($R695&lt;&gt;"",$R695,'Approved-Enforcement'!$B695+7),"")</f>
        <v/>
      </c>
      <c r="E695" t="str">
        <f>IF($A695&lt;&gt;"",'Approved-Enforcement'!D695,"")</f>
        <v/>
      </c>
      <c r="F695" t="str">
        <f>IF($A695&lt;&gt;"",'Approved-Enforcement'!E695,"")</f>
        <v/>
      </c>
      <c r="G695" t="str">
        <f>IF($A695&lt;&gt;"",'Approved-Enforcement'!F695,"")</f>
        <v/>
      </c>
      <c r="H695" t="str">
        <f>IF($A695&lt;&gt;"",'Approved-Enforcement'!G695,"")</f>
        <v/>
      </c>
      <c r="I695" t="str">
        <f>IF($A695&lt;&gt;"",'Approved-Enforcement'!H695,"")</f>
        <v/>
      </c>
      <c r="J695" t="str">
        <f>IF($A695&lt;&gt;"",'Approved-Enforcement'!I695,"")</f>
        <v/>
      </c>
      <c r="K695" t="str">
        <f>IF($A695&lt;&gt;"",'Approved-Enforcement'!J695,"")</f>
        <v/>
      </c>
      <c r="L695" t="str">
        <f>IF($A695&lt;&gt;"",'Approved-Enforcement'!K695,"")</f>
        <v/>
      </c>
      <c r="M695" t="str">
        <f>IF($A695&lt;&gt;"",'Approved-Enforcement'!L695,"")</f>
        <v/>
      </c>
      <c r="N695" t="str">
        <f>IF($A695&lt;&gt;"",'Approved-Enforcement'!M695,"")</f>
        <v/>
      </c>
      <c r="O695" t="str">
        <f>IF($A695&lt;&gt;"",'Approved-Enforcement'!N695,"")</f>
        <v/>
      </c>
      <c r="P695" t="str">
        <f>IF($A695&lt;&gt;"",'Approved-Enforcement'!O695,"")</f>
        <v/>
      </c>
    </row>
    <row r="696" spans="1:16" x14ac:dyDescent="0.35">
      <c r="A696" s="4" t="str">
        <f>IF('Approved-Enforcement'!$A696&lt;&gt;"",'Approved-Enforcement'!A696,"")</f>
        <v/>
      </c>
      <c r="B696" t="str">
        <f t="shared" si="10"/>
        <v/>
      </c>
      <c r="D696" t="str">
        <f>IF($A696&lt;&gt;"",IF($R696&lt;&gt;"",$R696,'Approved-Enforcement'!$B696+7),"")</f>
        <v/>
      </c>
      <c r="E696" t="str">
        <f>IF($A696&lt;&gt;"",'Approved-Enforcement'!D696,"")</f>
        <v/>
      </c>
      <c r="F696" t="str">
        <f>IF($A696&lt;&gt;"",'Approved-Enforcement'!E696,"")</f>
        <v/>
      </c>
      <c r="G696" t="str">
        <f>IF($A696&lt;&gt;"",'Approved-Enforcement'!F696,"")</f>
        <v/>
      </c>
      <c r="H696" t="str">
        <f>IF($A696&lt;&gt;"",'Approved-Enforcement'!G696,"")</f>
        <v/>
      </c>
      <c r="I696" t="str">
        <f>IF($A696&lt;&gt;"",'Approved-Enforcement'!H696,"")</f>
        <v/>
      </c>
      <c r="J696" t="str">
        <f>IF($A696&lt;&gt;"",'Approved-Enforcement'!I696,"")</f>
        <v/>
      </c>
      <c r="K696" t="str">
        <f>IF($A696&lt;&gt;"",'Approved-Enforcement'!J696,"")</f>
        <v/>
      </c>
      <c r="L696" t="str">
        <f>IF($A696&lt;&gt;"",'Approved-Enforcement'!K696,"")</f>
        <v/>
      </c>
      <c r="M696" t="str">
        <f>IF($A696&lt;&gt;"",'Approved-Enforcement'!L696,"")</f>
        <v/>
      </c>
      <c r="N696" t="str">
        <f>IF($A696&lt;&gt;"",'Approved-Enforcement'!M696,"")</f>
        <v/>
      </c>
      <c r="O696" t="str">
        <f>IF($A696&lt;&gt;"",'Approved-Enforcement'!N696,"")</f>
        <v/>
      </c>
      <c r="P696" t="str">
        <f>IF($A696&lt;&gt;"",'Approved-Enforcement'!O696,"")</f>
        <v/>
      </c>
    </row>
    <row r="697" spans="1:16" x14ac:dyDescent="0.35">
      <c r="A697" s="4" t="str">
        <f>IF('Approved-Enforcement'!$A697&lt;&gt;"",'Approved-Enforcement'!A697,"")</f>
        <v/>
      </c>
      <c r="B697" t="str">
        <f t="shared" si="10"/>
        <v/>
      </c>
      <c r="D697" t="str">
        <f>IF($A697&lt;&gt;"",IF($R697&lt;&gt;"",$R697,'Approved-Enforcement'!$B697+7),"")</f>
        <v/>
      </c>
      <c r="E697" t="str">
        <f>IF($A697&lt;&gt;"",'Approved-Enforcement'!D697,"")</f>
        <v/>
      </c>
      <c r="F697" t="str">
        <f>IF($A697&lt;&gt;"",'Approved-Enforcement'!E697,"")</f>
        <v/>
      </c>
      <c r="G697" t="str">
        <f>IF($A697&lt;&gt;"",'Approved-Enforcement'!F697,"")</f>
        <v/>
      </c>
      <c r="H697" t="str">
        <f>IF($A697&lt;&gt;"",'Approved-Enforcement'!G697,"")</f>
        <v/>
      </c>
      <c r="I697" t="str">
        <f>IF($A697&lt;&gt;"",'Approved-Enforcement'!H697,"")</f>
        <v/>
      </c>
      <c r="J697" t="str">
        <f>IF($A697&lt;&gt;"",'Approved-Enforcement'!I697,"")</f>
        <v/>
      </c>
      <c r="K697" t="str">
        <f>IF($A697&lt;&gt;"",'Approved-Enforcement'!J697,"")</f>
        <v/>
      </c>
      <c r="L697" t="str">
        <f>IF($A697&lt;&gt;"",'Approved-Enforcement'!K697,"")</f>
        <v/>
      </c>
      <c r="M697" t="str">
        <f>IF($A697&lt;&gt;"",'Approved-Enforcement'!L697,"")</f>
        <v/>
      </c>
      <c r="N697" t="str">
        <f>IF($A697&lt;&gt;"",'Approved-Enforcement'!M697,"")</f>
        <v/>
      </c>
      <c r="O697" t="str">
        <f>IF($A697&lt;&gt;"",'Approved-Enforcement'!N697,"")</f>
        <v/>
      </c>
      <c r="P697" t="str">
        <f>IF($A697&lt;&gt;"",'Approved-Enforcement'!O697,"")</f>
        <v/>
      </c>
    </row>
    <row r="698" spans="1:16" x14ac:dyDescent="0.35">
      <c r="A698" s="4" t="str">
        <f>IF('Approved-Enforcement'!$A698&lt;&gt;"",'Approved-Enforcement'!A698,"")</f>
        <v/>
      </c>
      <c r="B698" t="str">
        <f t="shared" si="10"/>
        <v/>
      </c>
      <c r="D698" t="str">
        <f>IF($A698&lt;&gt;"",IF($R698&lt;&gt;"",$R698,'Approved-Enforcement'!$B698+7),"")</f>
        <v/>
      </c>
      <c r="E698" t="str">
        <f>IF($A698&lt;&gt;"",'Approved-Enforcement'!D698,"")</f>
        <v/>
      </c>
      <c r="F698" t="str">
        <f>IF($A698&lt;&gt;"",'Approved-Enforcement'!E698,"")</f>
        <v/>
      </c>
      <c r="G698" t="str">
        <f>IF($A698&lt;&gt;"",'Approved-Enforcement'!F698,"")</f>
        <v/>
      </c>
      <c r="H698" t="str">
        <f>IF($A698&lt;&gt;"",'Approved-Enforcement'!G698,"")</f>
        <v/>
      </c>
      <c r="I698" t="str">
        <f>IF($A698&lt;&gt;"",'Approved-Enforcement'!H698,"")</f>
        <v/>
      </c>
      <c r="J698" t="str">
        <f>IF($A698&lt;&gt;"",'Approved-Enforcement'!I698,"")</f>
        <v/>
      </c>
      <c r="K698" t="str">
        <f>IF($A698&lt;&gt;"",'Approved-Enforcement'!J698,"")</f>
        <v/>
      </c>
      <c r="L698" t="str">
        <f>IF($A698&lt;&gt;"",'Approved-Enforcement'!K698,"")</f>
        <v/>
      </c>
      <c r="M698" t="str">
        <f>IF($A698&lt;&gt;"",'Approved-Enforcement'!L698,"")</f>
        <v/>
      </c>
      <c r="N698" t="str">
        <f>IF($A698&lt;&gt;"",'Approved-Enforcement'!M698,"")</f>
        <v/>
      </c>
      <c r="O698" t="str">
        <f>IF($A698&lt;&gt;"",'Approved-Enforcement'!N698,"")</f>
        <v/>
      </c>
      <c r="P698" t="str">
        <f>IF($A698&lt;&gt;"",'Approved-Enforcement'!O698,"")</f>
        <v/>
      </c>
    </row>
    <row r="699" spans="1:16" x14ac:dyDescent="0.35">
      <c r="A699" s="4" t="str">
        <f>IF('Approved-Enforcement'!$A699&lt;&gt;"",'Approved-Enforcement'!A699,"")</f>
        <v/>
      </c>
      <c r="B699" t="str">
        <f t="shared" si="10"/>
        <v/>
      </c>
      <c r="D699" t="str">
        <f>IF($A699&lt;&gt;"",IF($R699&lt;&gt;"",$R699,'Approved-Enforcement'!$B699+7),"")</f>
        <v/>
      </c>
      <c r="E699" t="str">
        <f>IF($A699&lt;&gt;"",'Approved-Enforcement'!D699,"")</f>
        <v/>
      </c>
      <c r="F699" t="str">
        <f>IF($A699&lt;&gt;"",'Approved-Enforcement'!E699,"")</f>
        <v/>
      </c>
      <c r="G699" t="str">
        <f>IF($A699&lt;&gt;"",'Approved-Enforcement'!F699,"")</f>
        <v/>
      </c>
      <c r="H699" t="str">
        <f>IF($A699&lt;&gt;"",'Approved-Enforcement'!G699,"")</f>
        <v/>
      </c>
      <c r="I699" t="str">
        <f>IF($A699&lt;&gt;"",'Approved-Enforcement'!H699,"")</f>
        <v/>
      </c>
      <c r="J699" t="str">
        <f>IF($A699&lt;&gt;"",'Approved-Enforcement'!I699,"")</f>
        <v/>
      </c>
      <c r="K699" t="str">
        <f>IF($A699&lt;&gt;"",'Approved-Enforcement'!J699,"")</f>
        <v/>
      </c>
      <c r="L699" t="str">
        <f>IF($A699&lt;&gt;"",'Approved-Enforcement'!K699,"")</f>
        <v/>
      </c>
      <c r="M699" t="str">
        <f>IF($A699&lt;&gt;"",'Approved-Enforcement'!L699,"")</f>
        <v/>
      </c>
      <c r="N699" t="str">
        <f>IF($A699&lt;&gt;"",'Approved-Enforcement'!M699,"")</f>
        <v/>
      </c>
      <c r="O699" t="str">
        <f>IF($A699&lt;&gt;"",'Approved-Enforcement'!N699,"")</f>
        <v/>
      </c>
      <c r="P699" t="str">
        <f>IF($A699&lt;&gt;"",'Approved-Enforcement'!O699,"")</f>
        <v/>
      </c>
    </row>
    <row r="700" spans="1:16" x14ac:dyDescent="0.35">
      <c r="A700" s="4" t="str">
        <f>IF('Approved-Enforcement'!$A700&lt;&gt;"",'Approved-Enforcement'!A700,"")</f>
        <v/>
      </c>
      <c r="B700" t="str">
        <f t="shared" si="10"/>
        <v/>
      </c>
      <c r="D700" t="str">
        <f>IF($A700&lt;&gt;"",IF($R700&lt;&gt;"",$R700,'Approved-Enforcement'!$B700+7),"")</f>
        <v/>
      </c>
      <c r="E700" t="str">
        <f>IF($A700&lt;&gt;"",'Approved-Enforcement'!D700,"")</f>
        <v/>
      </c>
      <c r="F700" t="str">
        <f>IF($A700&lt;&gt;"",'Approved-Enforcement'!E700,"")</f>
        <v/>
      </c>
      <c r="G700" t="str">
        <f>IF($A700&lt;&gt;"",'Approved-Enforcement'!F700,"")</f>
        <v/>
      </c>
      <c r="H700" t="str">
        <f>IF($A700&lt;&gt;"",'Approved-Enforcement'!G700,"")</f>
        <v/>
      </c>
      <c r="I700" t="str">
        <f>IF($A700&lt;&gt;"",'Approved-Enforcement'!H700,"")</f>
        <v/>
      </c>
      <c r="J700" t="str">
        <f>IF($A700&lt;&gt;"",'Approved-Enforcement'!I700,"")</f>
        <v/>
      </c>
      <c r="K700" t="str">
        <f>IF($A700&lt;&gt;"",'Approved-Enforcement'!J700,"")</f>
        <v/>
      </c>
      <c r="L700" t="str">
        <f>IF($A700&lt;&gt;"",'Approved-Enforcement'!K700,"")</f>
        <v/>
      </c>
      <c r="M700" t="str">
        <f>IF($A700&lt;&gt;"",'Approved-Enforcement'!L700,"")</f>
        <v/>
      </c>
      <c r="N700" t="str">
        <f>IF($A700&lt;&gt;"",'Approved-Enforcement'!M700,"")</f>
        <v/>
      </c>
      <c r="O700" t="str">
        <f>IF($A700&lt;&gt;"",'Approved-Enforcement'!N700,"")</f>
        <v/>
      </c>
      <c r="P700" t="str">
        <f>IF($A700&lt;&gt;"",'Approved-Enforcement'!O700,"")</f>
        <v/>
      </c>
    </row>
    <row r="701" spans="1:16" x14ac:dyDescent="0.35">
      <c r="A701" s="4" t="str">
        <f>IF('Approved-Enforcement'!$A701&lt;&gt;"",'Approved-Enforcement'!A701,"")</f>
        <v/>
      </c>
      <c r="B701" t="str">
        <f t="shared" si="10"/>
        <v/>
      </c>
      <c r="D701" t="str">
        <f>IF($A701&lt;&gt;"",IF($R701&lt;&gt;"",$R701,'Approved-Enforcement'!$B701+7),"")</f>
        <v/>
      </c>
      <c r="E701" t="str">
        <f>IF($A701&lt;&gt;"",'Approved-Enforcement'!D701,"")</f>
        <v/>
      </c>
      <c r="F701" t="str">
        <f>IF($A701&lt;&gt;"",'Approved-Enforcement'!E701,"")</f>
        <v/>
      </c>
      <c r="G701" t="str">
        <f>IF($A701&lt;&gt;"",'Approved-Enforcement'!F701,"")</f>
        <v/>
      </c>
      <c r="H701" t="str">
        <f>IF($A701&lt;&gt;"",'Approved-Enforcement'!G701,"")</f>
        <v/>
      </c>
      <c r="I701" t="str">
        <f>IF($A701&lt;&gt;"",'Approved-Enforcement'!H701,"")</f>
        <v/>
      </c>
      <c r="J701" t="str">
        <f>IF($A701&lt;&gt;"",'Approved-Enforcement'!I701,"")</f>
        <v/>
      </c>
      <c r="K701" t="str">
        <f>IF($A701&lt;&gt;"",'Approved-Enforcement'!J701,"")</f>
        <v/>
      </c>
      <c r="L701" t="str">
        <f>IF($A701&lt;&gt;"",'Approved-Enforcement'!K701,"")</f>
        <v/>
      </c>
      <c r="M701" t="str">
        <f>IF($A701&lt;&gt;"",'Approved-Enforcement'!L701,"")</f>
        <v/>
      </c>
      <c r="N701" t="str">
        <f>IF($A701&lt;&gt;"",'Approved-Enforcement'!M701,"")</f>
        <v/>
      </c>
      <c r="O701" t="str">
        <f>IF($A701&lt;&gt;"",'Approved-Enforcement'!N701,"")</f>
        <v/>
      </c>
      <c r="P701" t="str">
        <f>IF($A701&lt;&gt;"",'Approved-Enforcement'!O701,"")</f>
        <v/>
      </c>
    </row>
    <row r="702" spans="1:16" x14ac:dyDescent="0.35">
      <c r="A702" s="4" t="str">
        <f>IF('Approved-Enforcement'!$A702&lt;&gt;"",'Approved-Enforcement'!A702,"")</f>
        <v/>
      </c>
      <c r="B702" t="str">
        <f t="shared" si="10"/>
        <v/>
      </c>
      <c r="D702" t="str">
        <f>IF($A702&lt;&gt;"",IF($R702&lt;&gt;"",$R702,'Approved-Enforcement'!$B702+7),"")</f>
        <v/>
      </c>
      <c r="E702" t="str">
        <f>IF($A702&lt;&gt;"",'Approved-Enforcement'!D702,"")</f>
        <v/>
      </c>
      <c r="F702" t="str">
        <f>IF($A702&lt;&gt;"",'Approved-Enforcement'!E702,"")</f>
        <v/>
      </c>
      <c r="G702" t="str">
        <f>IF($A702&lt;&gt;"",'Approved-Enforcement'!F702,"")</f>
        <v/>
      </c>
      <c r="H702" t="str">
        <f>IF($A702&lt;&gt;"",'Approved-Enforcement'!G702,"")</f>
        <v/>
      </c>
      <c r="I702" t="str">
        <f>IF($A702&lt;&gt;"",'Approved-Enforcement'!H702,"")</f>
        <v/>
      </c>
      <c r="J702" t="str">
        <f>IF($A702&lt;&gt;"",'Approved-Enforcement'!I702,"")</f>
        <v/>
      </c>
      <c r="K702" t="str">
        <f>IF($A702&lt;&gt;"",'Approved-Enforcement'!J702,"")</f>
        <v/>
      </c>
      <c r="L702" t="str">
        <f>IF($A702&lt;&gt;"",'Approved-Enforcement'!K702,"")</f>
        <v/>
      </c>
      <c r="M702" t="str">
        <f>IF($A702&lt;&gt;"",'Approved-Enforcement'!L702,"")</f>
        <v/>
      </c>
      <c r="N702" t="str">
        <f>IF($A702&lt;&gt;"",'Approved-Enforcement'!M702,"")</f>
        <v/>
      </c>
      <c r="O702" t="str">
        <f>IF($A702&lt;&gt;"",'Approved-Enforcement'!N702,"")</f>
        <v/>
      </c>
      <c r="P702" t="str">
        <f>IF($A702&lt;&gt;"",'Approved-Enforcement'!O702,"")</f>
        <v/>
      </c>
    </row>
    <row r="703" spans="1:16" x14ac:dyDescent="0.35">
      <c r="A703" s="4" t="str">
        <f>IF('Approved-Enforcement'!$A703&lt;&gt;"",'Approved-Enforcement'!A703,"")</f>
        <v/>
      </c>
      <c r="B703" t="str">
        <f t="shared" si="10"/>
        <v/>
      </c>
      <c r="D703" t="str">
        <f>IF($A703&lt;&gt;"",IF($R703&lt;&gt;"",$R703,'Approved-Enforcement'!$B703+7),"")</f>
        <v/>
      </c>
      <c r="E703" t="str">
        <f>IF($A703&lt;&gt;"",'Approved-Enforcement'!D703,"")</f>
        <v/>
      </c>
      <c r="F703" t="str">
        <f>IF($A703&lt;&gt;"",'Approved-Enforcement'!E703,"")</f>
        <v/>
      </c>
      <c r="G703" t="str">
        <f>IF($A703&lt;&gt;"",'Approved-Enforcement'!F703,"")</f>
        <v/>
      </c>
      <c r="H703" t="str">
        <f>IF($A703&lt;&gt;"",'Approved-Enforcement'!G703,"")</f>
        <v/>
      </c>
      <c r="I703" t="str">
        <f>IF($A703&lt;&gt;"",'Approved-Enforcement'!H703,"")</f>
        <v/>
      </c>
      <c r="J703" t="str">
        <f>IF($A703&lt;&gt;"",'Approved-Enforcement'!I703,"")</f>
        <v/>
      </c>
      <c r="K703" t="str">
        <f>IF($A703&lt;&gt;"",'Approved-Enforcement'!J703,"")</f>
        <v/>
      </c>
      <c r="L703" t="str">
        <f>IF($A703&lt;&gt;"",'Approved-Enforcement'!K703,"")</f>
        <v/>
      </c>
      <c r="M703" t="str">
        <f>IF($A703&lt;&gt;"",'Approved-Enforcement'!L703,"")</f>
        <v/>
      </c>
      <c r="N703" t="str">
        <f>IF($A703&lt;&gt;"",'Approved-Enforcement'!M703,"")</f>
        <v/>
      </c>
      <c r="O703" t="str">
        <f>IF($A703&lt;&gt;"",'Approved-Enforcement'!N703,"")</f>
        <v/>
      </c>
      <c r="P703" t="str">
        <f>IF($A703&lt;&gt;"",'Approved-Enforcement'!O703,"")</f>
        <v/>
      </c>
    </row>
    <row r="704" spans="1:16" x14ac:dyDescent="0.35">
      <c r="A704" s="4" t="str">
        <f>IF('Approved-Enforcement'!$A704&lt;&gt;"",'Approved-Enforcement'!A704,"")</f>
        <v/>
      </c>
      <c r="B704" t="str">
        <f t="shared" si="10"/>
        <v/>
      </c>
      <c r="D704" t="str">
        <f>IF($A704&lt;&gt;"",IF($R704&lt;&gt;"",$R704,'Approved-Enforcement'!$B704+7),"")</f>
        <v/>
      </c>
      <c r="E704" t="str">
        <f>IF($A704&lt;&gt;"",'Approved-Enforcement'!D704,"")</f>
        <v/>
      </c>
      <c r="F704" t="str">
        <f>IF($A704&lt;&gt;"",'Approved-Enforcement'!E704,"")</f>
        <v/>
      </c>
      <c r="G704" t="str">
        <f>IF($A704&lt;&gt;"",'Approved-Enforcement'!F704,"")</f>
        <v/>
      </c>
      <c r="H704" t="str">
        <f>IF($A704&lt;&gt;"",'Approved-Enforcement'!G704,"")</f>
        <v/>
      </c>
      <c r="I704" t="str">
        <f>IF($A704&lt;&gt;"",'Approved-Enforcement'!H704,"")</f>
        <v/>
      </c>
      <c r="J704" t="str">
        <f>IF($A704&lt;&gt;"",'Approved-Enforcement'!I704,"")</f>
        <v/>
      </c>
      <c r="K704" t="str">
        <f>IF($A704&lt;&gt;"",'Approved-Enforcement'!J704,"")</f>
        <v/>
      </c>
      <c r="L704" t="str">
        <f>IF($A704&lt;&gt;"",'Approved-Enforcement'!K704,"")</f>
        <v/>
      </c>
      <c r="M704" t="str">
        <f>IF($A704&lt;&gt;"",'Approved-Enforcement'!L704,"")</f>
        <v/>
      </c>
      <c r="N704" t="str">
        <f>IF($A704&lt;&gt;"",'Approved-Enforcement'!M704,"")</f>
        <v/>
      </c>
      <c r="O704" t="str">
        <f>IF($A704&lt;&gt;"",'Approved-Enforcement'!N704,"")</f>
        <v/>
      </c>
      <c r="P704" t="str">
        <f>IF($A704&lt;&gt;"",'Approved-Enforcement'!O704,"")</f>
        <v/>
      </c>
    </row>
    <row r="705" spans="1:16" x14ac:dyDescent="0.35">
      <c r="A705" s="4" t="str">
        <f>IF('Approved-Enforcement'!$A705&lt;&gt;"",'Approved-Enforcement'!A705,"")</f>
        <v/>
      </c>
      <c r="B705" t="str">
        <f t="shared" si="10"/>
        <v/>
      </c>
      <c r="D705" t="str">
        <f>IF($A705&lt;&gt;"",IF($R705&lt;&gt;"",$R705,'Approved-Enforcement'!$B705+7),"")</f>
        <v/>
      </c>
      <c r="E705" t="str">
        <f>IF($A705&lt;&gt;"",'Approved-Enforcement'!D705,"")</f>
        <v/>
      </c>
      <c r="F705" t="str">
        <f>IF($A705&lt;&gt;"",'Approved-Enforcement'!E705,"")</f>
        <v/>
      </c>
      <c r="G705" t="str">
        <f>IF($A705&lt;&gt;"",'Approved-Enforcement'!F705,"")</f>
        <v/>
      </c>
      <c r="H705" t="str">
        <f>IF($A705&lt;&gt;"",'Approved-Enforcement'!G705,"")</f>
        <v/>
      </c>
      <c r="I705" t="str">
        <f>IF($A705&lt;&gt;"",'Approved-Enforcement'!H705,"")</f>
        <v/>
      </c>
      <c r="J705" t="str">
        <f>IF($A705&lt;&gt;"",'Approved-Enforcement'!I705,"")</f>
        <v/>
      </c>
      <c r="K705" t="str">
        <f>IF($A705&lt;&gt;"",'Approved-Enforcement'!J705,"")</f>
        <v/>
      </c>
      <c r="L705" t="str">
        <f>IF($A705&lt;&gt;"",'Approved-Enforcement'!K705,"")</f>
        <v/>
      </c>
      <c r="M705" t="str">
        <f>IF($A705&lt;&gt;"",'Approved-Enforcement'!L705,"")</f>
        <v/>
      </c>
      <c r="N705" t="str">
        <f>IF($A705&lt;&gt;"",'Approved-Enforcement'!M705,"")</f>
        <v/>
      </c>
      <c r="O705" t="str">
        <f>IF($A705&lt;&gt;"",'Approved-Enforcement'!N705,"")</f>
        <v/>
      </c>
      <c r="P705" t="str">
        <f>IF($A705&lt;&gt;"",'Approved-Enforcement'!O705,"")</f>
        <v/>
      </c>
    </row>
    <row r="706" spans="1:16" x14ac:dyDescent="0.35">
      <c r="A706" s="4" t="str">
        <f>IF('Approved-Enforcement'!$A706&lt;&gt;"",'Approved-Enforcement'!A706,"")</f>
        <v/>
      </c>
      <c r="B706" t="str">
        <f t="shared" ref="B706:B769" si="11">IF($A706&lt;&gt;"",IF($C706&lt;&gt;"",$C706,1500),"")</f>
        <v/>
      </c>
      <c r="D706" t="str">
        <f>IF($A706&lt;&gt;"",IF($R706&lt;&gt;"",$R706,'Approved-Enforcement'!$B706+7),"")</f>
        <v/>
      </c>
      <c r="E706" t="str">
        <f>IF($A706&lt;&gt;"",'Approved-Enforcement'!D706,"")</f>
        <v/>
      </c>
      <c r="F706" t="str">
        <f>IF($A706&lt;&gt;"",'Approved-Enforcement'!E706,"")</f>
        <v/>
      </c>
      <c r="G706" t="str">
        <f>IF($A706&lt;&gt;"",'Approved-Enforcement'!F706,"")</f>
        <v/>
      </c>
      <c r="H706" t="str">
        <f>IF($A706&lt;&gt;"",'Approved-Enforcement'!G706,"")</f>
        <v/>
      </c>
      <c r="I706" t="str">
        <f>IF($A706&lt;&gt;"",'Approved-Enforcement'!H706,"")</f>
        <v/>
      </c>
      <c r="J706" t="str">
        <f>IF($A706&lt;&gt;"",'Approved-Enforcement'!I706,"")</f>
        <v/>
      </c>
      <c r="K706" t="str">
        <f>IF($A706&lt;&gt;"",'Approved-Enforcement'!J706,"")</f>
        <v/>
      </c>
      <c r="L706" t="str">
        <f>IF($A706&lt;&gt;"",'Approved-Enforcement'!K706,"")</f>
        <v/>
      </c>
      <c r="M706" t="str">
        <f>IF($A706&lt;&gt;"",'Approved-Enforcement'!L706,"")</f>
        <v/>
      </c>
      <c r="N706" t="str">
        <f>IF($A706&lt;&gt;"",'Approved-Enforcement'!M706,"")</f>
        <v/>
      </c>
      <c r="O706" t="str">
        <f>IF($A706&lt;&gt;"",'Approved-Enforcement'!N706,"")</f>
        <v/>
      </c>
      <c r="P706" t="str">
        <f>IF($A706&lt;&gt;"",'Approved-Enforcement'!O706,"")</f>
        <v/>
      </c>
    </row>
    <row r="707" spans="1:16" x14ac:dyDescent="0.35">
      <c r="A707" s="4" t="str">
        <f>IF('Approved-Enforcement'!$A707&lt;&gt;"",'Approved-Enforcement'!A707,"")</f>
        <v/>
      </c>
      <c r="B707" t="str">
        <f t="shared" si="11"/>
        <v/>
      </c>
      <c r="D707" t="str">
        <f>IF($A707&lt;&gt;"",IF($R707&lt;&gt;"",$R707,'Approved-Enforcement'!$B707+7),"")</f>
        <v/>
      </c>
      <c r="E707" t="str">
        <f>IF($A707&lt;&gt;"",'Approved-Enforcement'!D707,"")</f>
        <v/>
      </c>
      <c r="F707" t="str">
        <f>IF($A707&lt;&gt;"",'Approved-Enforcement'!E707,"")</f>
        <v/>
      </c>
      <c r="G707" t="str">
        <f>IF($A707&lt;&gt;"",'Approved-Enforcement'!F707,"")</f>
        <v/>
      </c>
      <c r="H707" t="str">
        <f>IF($A707&lt;&gt;"",'Approved-Enforcement'!G707,"")</f>
        <v/>
      </c>
      <c r="I707" t="str">
        <f>IF($A707&lt;&gt;"",'Approved-Enforcement'!H707,"")</f>
        <v/>
      </c>
      <c r="J707" t="str">
        <f>IF($A707&lt;&gt;"",'Approved-Enforcement'!I707,"")</f>
        <v/>
      </c>
      <c r="K707" t="str">
        <f>IF($A707&lt;&gt;"",'Approved-Enforcement'!J707,"")</f>
        <v/>
      </c>
      <c r="L707" t="str">
        <f>IF($A707&lt;&gt;"",'Approved-Enforcement'!K707,"")</f>
        <v/>
      </c>
      <c r="M707" t="str">
        <f>IF($A707&lt;&gt;"",'Approved-Enforcement'!L707,"")</f>
        <v/>
      </c>
      <c r="N707" t="str">
        <f>IF($A707&lt;&gt;"",'Approved-Enforcement'!M707,"")</f>
        <v/>
      </c>
      <c r="O707" t="str">
        <f>IF($A707&lt;&gt;"",'Approved-Enforcement'!N707,"")</f>
        <v/>
      </c>
      <c r="P707" t="str">
        <f>IF($A707&lt;&gt;"",'Approved-Enforcement'!O707,"")</f>
        <v/>
      </c>
    </row>
    <row r="708" spans="1:16" x14ac:dyDescent="0.35">
      <c r="A708" s="4" t="str">
        <f>IF('Approved-Enforcement'!$A708&lt;&gt;"",'Approved-Enforcement'!A708,"")</f>
        <v/>
      </c>
      <c r="B708" t="str">
        <f t="shared" si="11"/>
        <v/>
      </c>
      <c r="D708" t="str">
        <f>IF($A708&lt;&gt;"",IF($R708&lt;&gt;"",$R708,'Approved-Enforcement'!$B708+7),"")</f>
        <v/>
      </c>
      <c r="E708" t="str">
        <f>IF($A708&lt;&gt;"",'Approved-Enforcement'!D708,"")</f>
        <v/>
      </c>
      <c r="F708" t="str">
        <f>IF($A708&lt;&gt;"",'Approved-Enforcement'!E708,"")</f>
        <v/>
      </c>
      <c r="G708" t="str">
        <f>IF($A708&lt;&gt;"",'Approved-Enforcement'!F708,"")</f>
        <v/>
      </c>
      <c r="H708" t="str">
        <f>IF($A708&lt;&gt;"",'Approved-Enforcement'!G708,"")</f>
        <v/>
      </c>
      <c r="I708" t="str">
        <f>IF($A708&lt;&gt;"",'Approved-Enforcement'!H708,"")</f>
        <v/>
      </c>
      <c r="J708" t="str">
        <f>IF($A708&lt;&gt;"",'Approved-Enforcement'!I708,"")</f>
        <v/>
      </c>
      <c r="K708" t="str">
        <f>IF($A708&lt;&gt;"",'Approved-Enforcement'!J708,"")</f>
        <v/>
      </c>
      <c r="L708" t="str">
        <f>IF($A708&lt;&gt;"",'Approved-Enforcement'!K708,"")</f>
        <v/>
      </c>
      <c r="M708" t="str">
        <f>IF($A708&lt;&gt;"",'Approved-Enforcement'!L708,"")</f>
        <v/>
      </c>
      <c r="N708" t="str">
        <f>IF($A708&lt;&gt;"",'Approved-Enforcement'!M708,"")</f>
        <v/>
      </c>
      <c r="O708" t="str">
        <f>IF($A708&lt;&gt;"",'Approved-Enforcement'!N708,"")</f>
        <v/>
      </c>
      <c r="P708" t="str">
        <f>IF($A708&lt;&gt;"",'Approved-Enforcement'!O708,"")</f>
        <v/>
      </c>
    </row>
    <row r="709" spans="1:16" x14ac:dyDescent="0.35">
      <c r="A709" s="4" t="str">
        <f>IF('Approved-Enforcement'!$A709&lt;&gt;"",'Approved-Enforcement'!A709,"")</f>
        <v/>
      </c>
      <c r="B709" t="str">
        <f t="shared" si="11"/>
        <v/>
      </c>
      <c r="D709" t="str">
        <f>IF($A709&lt;&gt;"",IF($R709&lt;&gt;"",$R709,'Approved-Enforcement'!$B709+7),"")</f>
        <v/>
      </c>
      <c r="E709" t="str">
        <f>IF($A709&lt;&gt;"",'Approved-Enforcement'!D709,"")</f>
        <v/>
      </c>
      <c r="F709" t="str">
        <f>IF($A709&lt;&gt;"",'Approved-Enforcement'!E709,"")</f>
        <v/>
      </c>
      <c r="G709" t="str">
        <f>IF($A709&lt;&gt;"",'Approved-Enforcement'!F709,"")</f>
        <v/>
      </c>
      <c r="H709" t="str">
        <f>IF($A709&lt;&gt;"",'Approved-Enforcement'!G709,"")</f>
        <v/>
      </c>
      <c r="I709" t="str">
        <f>IF($A709&lt;&gt;"",'Approved-Enforcement'!H709,"")</f>
        <v/>
      </c>
      <c r="J709" t="str">
        <f>IF($A709&lt;&gt;"",'Approved-Enforcement'!I709,"")</f>
        <v/>
      </c>
      <c r="K709" t="str">
        <f>IF($A709&lt;&gt;"",'Approved-Enforcement'!J709,"")</f>
        <v/>
      </c>
      <c r="L709" t="str">
        <f>IF($A709&lt;&gt;"",'Approved-Enforcement'!K709,"")</f>
        <v/>
      </c>
      <c r="M709" t="str">
        <f>IF($A709&lt;&gt;"",'Approved-Enforcement'!L709,"")</f>
        <v/>
      </c>
      <c r="N709" t="str">
        <f>IF($A709&lt;&gt;"",'Approved-Enforcement'!M709,"")</f>
        <v/>
      </c>
      <c r="O709" t="str">
        <f>IF($A709&lt;&gt;"",'Approved-Enforcement'!N709,"")</f>
        <v/>
      </c>
      <c r="P709" t="str">
        <f>IF($A709&lt;&gt;"",'Approved-Enforcement'!O709,"")</f>
        <v/>
      </c>
    </row>
    <row r="710" spans="1:16" x14ac:dyDescent="0.35">
      <c r="A710" s="4" t="str">
        <f>IF('Approved-Enforcement'!$A710&lt;&gt;"",'Approved-Enforcement'!A710,"")</f>
        <v/>
      </c>
      <c r="B710" t="str">
        <f t="shared" si="11"/>
        <v/>
      </c>
      <c r="D710" t="str">
        <f>IF($A710&lt;&gt;"",IF($R710&lt;&gt;"",$R710,'Approved-Enforcement'!$B710+7),"")</f>
        <v/>
      </c>
      <c r="E710" t="str">
        <f>IF($A710&lt;&gt;"",'Approved-Enforcement'!D710,"")</f>
        <v/>
      </c>
      <c r="F710" t="str">
        <f>IF($A710&lt;&gt;"",'Approved-Enforcement'!E710,"")</f>
        <v/>
      </c>
      <c r="G710" t="str">
        <f>IF($A710&lt;&gt;"",'Approved-Enforcement'!F710,"")</f>
        <v/>
      </c>
      <c r="H710" t="str">
        <f>IF($A710&lt;&gt;"",'Approved-Enforcement'!G710,"")</f>
        <v/>
      </c>
      <c r="I710" t="str">
        <f>IF($A710&lt;&gt;"",'Approved-Enforcement'!H710,"")</f>
        <v/>
      </c>
      <c r="J710" t="str">
        <f>IF($A710&lt;&gt;"",'Approved-Enforcement'!I710,"")</f>
        <v/>
      </c>
      <c r="K710" t="str">
        <f>IF($A710&lt;&gt;"",'Approved-Enforcement'!J710,"")</f>
        <v/>
      </c>
      <c r="L710" t="str">
        <f>IF($A710&lt;&gt;"",'Approved-Enforcement'!K710,"")</f>
        <v/>
      </c>
      <c r="M710" t="str">
        <f>IF($A710&lt;&gt;"",'Approved-Enforcement'!L710,"")</f>
        <v/>
      </c>
      <c r="N710" t="str">
        <f>IF($A710&lt;&gt;"",'Approved-Enforcement'!M710,"")</f>
        <v/>
      </c>
      <c r="O710" t="str">
        <f>IF($A710&lt;&gt;"",'Approved-Enforcement'!N710,"")</f>
        <v/>
      </c>
      <c r="P710" t="str">
        <f>IF($A710&lt;&gt;"",'Approved-Enforcement'!O710,"")</f>
        <v/>
      </c>
    </row>
    <row r="711" spans="1:16" x14ac:dyDescent="0.35">
      <c r="A711" s="4" t="str">
        <f>IF('Approved-Enforcement'!$A711&lt;&gt;"",'Approved-Enforcement'!A711,"")</f>
        <v/>
      </c>
      <c r="B711" t="str">
        <f t="shared" si="11"/>
        <v/>
      </c>
      <c r="D711" t="str">
        <f>IF($A711&lt;&gt;"",IF($R711&lt;&gt;"",$R711,'Approved-Enforcement'!$B711+7),"")</f>
        <v/>
      </c>
      <c r="E711" t="str">
        <f>IF($A711&lt;&gt;"",'Approved-Enforcement'!D711,"")</f>
        <v/>
      </c>
      <c r="F711" t="str">
        <f>IF($A711&lt;&gt;"",'Approved-Enforcement'!E711,"")</f>
        <v/>
      </c>
      <c r="G711" t="str">
        <f>IF($A711&lt;&gt;"",'Approved-Enforcement'!F711,"")</f>
        <v/>
      </c>
      <c r="H711" t="str">
        <f>IF($A711&lt;&gt;"",'Approved-Enforcement'!G711,"")</f>
        <v/>
      </c>
      <c r="I711" t="str">
        <f>IF($A711&lt;&gt;"",'Approved-Enforcement'!H711,"")</f>
        <v/>
      </c>
      <c r="J711" t="str">
        <f>IF($A711&lt;&gt;"",'Approved-Enforcement'!I711,"")</f>
        <v/>
      </c>
      <c r="K711" t="str">
        <f>IF($A711&lt;&gt;"",'Approved-Enforcement'!J711,"")</f>
        <v/>
      </c>
      <c r="L711" t="str">
        <f>IF($A711&lt;&gt;"",'Approved-Enforcement'!K711,"")</f>
        <v/>
      </c>
      <c r="M711" t="str">
        <f>IF($A711&lt;&gt;"",'Approved-Enforcement'!L711,"")</f>
        <v/>
      </c>
      <c r="N711" t="str">
        <f>IF($A711&lt;&gt;"",'Approved-Enforcement'!M711,"")</f>
        <v/>
      </c>
      <c r="O711" t="str">
        <f>IF($A711&lt;&gt;"",'Approved-Enforcement'!N711,"")</f>
        <v/>
      </c>
      <c r="P711" t="str">
        <f>IF($A711&lt;&gt;"",'Approved-Enforcement'!O711,"")</f>
        <v/>
      </c>
    </row>
    <row r="712" spans="1:16" x14ac:dyDescent="0.35">
      <c r="A712" s="4" t="str">
        <f>IF('Approved-Enforcement'!$A712&lt;&gt;"",'Approved-Enforcement'!A712,"")</f>
        <v/>
      </c>
      <c r="B712" t="str">
        <f t="shared" si="11"/>
        <v/>
      </c>
      <c r="D712" t="str">
        <f>IF($A712&lt;&gt;"",IF($R712&lt;&gt;"",$R712,'Approved-Enforcement'!$B712+7),"")</f>
        <v/>
      </c>
      <c r="E712" t="str">
        <f>IF($A712&lt;&gt;"",'Approved-Enforcement'!D712,"")</f>
        <v/>
      </c>
      <c r="F712" t="str">
        <f>IF($A712&lt;&gt;"",'Approved-Enforcement'!E712,"")</f>
        <v/>
      </c>
      <c r="G712" t="str">
        <f>IF($A712&lt;&gt;"",'Approved-Enforcement'!F712,"")</f>
        <v/>
      </c>
      <c r="H712" t="str">
        <f>IF($A712&lt;&gt;"",'Approved-Enforcement'!G712,"")</f>
        <v/>
      </c>
      <c r="I712" t="str">
        <f>IF($A712&lt;&gt;"",'Approved-Enforcement'!H712,"")</f>
        <v/>
      </c>
      <c r="J712" t="str">
        <f>IF($A712&lt;&gt;"",'Approved-Enforcement'!I712,"")</f>
        <v/>
      </c>
      <c r="K712" t="str">
        <f>IF($A712&lt;&gt;"",'Approved-Enforcement'!J712,"")</f>
        <v/>
      </c>
      <c r="L712" t="str">
        <f>IF($A712&lt;&gt;"",'Approved-Enforcement'!K712,"")</f>
        <v/>
      </c>
      <c r="M712" t="str">
        <f>IF($A712&lt;&gt;"",'Approved-Enforcement'!L712,"")</f>
        <v/>
      </c>
      <c r="N712" t="str">
        <f>IF($A712&lt;&gt;"",'Approved-Enforcement'!M712,"")</f>
        <v/>
      </c>
      <c r="O712" t="str">
        <f>IF($A712&lt;&gt;"",'Approved-Enforcement'!N712,"")</f>
        <v/>
      </c>
      <c r="P712" t="str">
        <f>IF($A712&lt;&gt;"",'Approved-Enforcement'!O712,"")</f>
        <v/>
      </c>
    </row>
    <row r="713" spans="1:16" x14ac:dyDescent="0.35">
      <c r="A713" s="4" t="str">
        <f>IF('Approved-Enforcement'!$A713&lt;&gt;"",'Approved-Enforcement'!A713,"")</f>
        <v/>
      </c>
      <c r="B713" t="str">
        <f t="shared" si="11"/>
        <v/>
      </c>
      <c r="D713" t="str">
        <f>IF($A713&lt;&gt;"",IF($R713&lt;&gt;"",$R713,'Approved-Enforcement'!$B713+7),"")</f>
        <v/>
      </c>
      <c r="E713" t="str">
        <f>IF($A713&lt;&gt;"",'Approved-Enforcement'!D713,"")</f>
        <v/>
      </c>
      <c r="F713" t="str">
        <f>IF($A713&lt;&gt;"",'Approved-Enforcement'!E713,"")</f>
        <v/>
      </c>
      <c r="G713" t="str">
        <f>IF($A713&lt;&gt;"",'Approved-Enforcement'!F713,"")</f>
        <v/>
      </c>
      <c r="H713" t="str">
        <f>IF($A713&lt;&gt;"",'Approved-Enforcement'!G713,"")</f>
        <v/>
      </c>
      <c r="I713" t="str">
        <f>IF($A713&lt;&gt;"",'Approved-Enforcement'!H713,"")</f>
        <v/>
      </c>
      <c r="J713" t="str">
        <f>IF($A713&lt;&gt;"",'Approved-Enforcement'!I713,"")</f>
        <v/>
      </c>
      <c r="K713" t="str">
        <f>IF($A713&lt;&gt;"",'Approved-Enforcement'!J713,"")</f>
        <v/>
      </c>
      <c r="L713" t="str">
        <f>IF($A713&lt;&gt;"",'Approved-Enforcement'!K713,"")</f>
        <v/>
      </c>
      <c r="M713" t="str">
        <f>IF($A713&lt;&gt;"",'Approved-Enforcement'!L713,"")</f>
        <v/>
      </c>
      <c r="N713" t="str">
        <f>IF($A713&lt;&gt;"",'Approved-Enforcement'!M713,"")</f>
        <v/>
      </c>
      <c r="O713" t="str">
        <f>IF($A713&lt;&gt;"",'Approved-Enforcement'!N713,"")</f>
        <v/>
      </c>
      <c r="P713" t="str">
        <f>IF($A713&lt;&gt;"",'Approved-Enforcement'!O713,"")</f>
        <v/>
      </c>
    </row>
    <row r="714" spans="1:16" x14ac:dyDescent="0.35">
      <c r="A714" s="4" t="str">
        <f>IF('Approved-Enforcement'!$A714&lt;&gt;"",'Approved-Enforcement'!A714,"")</f>
        <v/>
      </c>
      <c r="B714" t="str">
        <f t="shared" si="11"/>
        <v/>
      </c>
      <c r="D714" t="str">
        <f>IF($A714&lt;&gt;"",IF($R714&lt;&gt;"",$R714,'Approved-Enforcement'!$B714+7),"")</f>
        <v/>
      </c>
      <c r="E714" t="str">
        <f>IF($A714&lt;&gt;"",'Approved-Enforcement'!D714,"")</f>
        <v/>
      </c>
      <c r="F714" t="str">
        <f>IF($A714&lt;&gt;"",'Approved-Enforcement'!E714,"")</f>
        <v/>
      </c>
      <c r="G714" t="str">
        <f>IF($A714&lt;&gt;"",'Approved-Enforcement'!F714,"")</f>
        <v/>
      </c>
      <c r="H714" t="str">
        <f>IF($A714&lt;&gt;"",'Approved-Enforcement'!G714,"")</f>
        <v/>
      </c>
      <c r="I714" t="str">
        <f>IF($A714&lt;&gt;"",'Approved-Enforcement'!H714,"")</f>
        <v/>
      </c>
      <c r="J714" t="str">
        <f>IF($A714&lt;&gt;"",'Approved-Enforcement'!I714,"")</f>
        <v/>
      </c>
      <c r="K714" t="str">
        <f>IF($A714&lt;&gt;"",'Approved-Enforcement'!J714,"")</f>
        <v/>
      </c>
      <c r="L714" t="str">
        <f>IF($A714&lt;&gt;"",'Approved-Enforcement'!K714,"")</f>
        <v/>
      </c>
      <c r="M714" t="str">
        <f>IF($A714&lt;&gt;"",'Approved-Enforcement'!L714,"")</f>
        <v/>
      </c>
      <c r="N714" t="str">
        <f>IF($A714&lt;&gt;"",'Approved-Enforcement'!M714,"")</f>
        <v/>
      </c>
      <c r="O714" t="str">
        <f>IF($A714&lt;&gt;"",'Approved-Enforcement'!N714,"")</f>
        <v/>
      </c>
      <c r="P714" t="str">
        <f>IF($A714&lt;&gt;"",'Approved-Enforcement'!O714,"")</f>
        <v/>
      </c>
    </row>
    <row r="715" spans="1:16" x14ac:dyDescent="0.35">
      <c r="A715" s="4" t="str">
        <f>IF('Approved-Enforcement'!$A715&lt;&gt;"",'Approved-Enforcement'!A715,"")</f>
        <v/>
      </c>
      <c r="B715" t="str">
        <f t="shared" si="11"/>
        <v/>
      </c>
      <c r="D715" t="str">
        <f>IF($A715&lt;&gt;"",IF($R715&lt;&gt;"",$R715,'Approved-Enforcement'!$B715+7),"")</f>
        <v/>
      </c>
      <c r="E715" t="str">
        <f>IF($A715&lt;&gt;"",'Approved-Enforcement'!D715,"")</f>
        <v/>
      </c>
      <c r="F715" t="str">
        <f>IF($A715&lt;&gt;"",'Approved-Enforcement'!E715,"")</f>
        <v/>
      </c>
      <c r="G715" t="str">
        <f>IF($A715&lt;&gt;"",'Approved-Enforcement'!F715,"")</f>
        <v/>
      </c>
      <c r="H715" t="str">
        <f>IF($A715&lt;&gt;"",'Approved-Enforcement'!G715,"")</f>
        <v/>
      </c>
      <c r="I715" t="str">
        <f>IF($A715&lt;&gt;"",'Approved-Enforcement'!H715,"")</f>
        <v/>
      </c>
      <c r="J715" t="str">
        <f>IF($A715&lt;&gt;"",'Approved-Enforcement'!I715,"")</f>
        <v/>
      </c>
      <c r="K715" t="str">
        <f>IF($A715&lt;&gt;"",'Approved-Enforcement'!J715,"")</f>
        <v/>
      </c>
      <c r="L715" t="str">
        <f>IF($A715&lt;&gt;"",'Approved-Enforcement'!K715,"")</f>
        <v/>
      </c>
      <c r="M715" t="str">
        <f>IF($A715&lt;&gt;"",'Approved-Enforcement'!L715,"")</f>
        <v/>
      </c>
      <c r="N715" t="str">
        <f>IF($A715&lt;&gt;"",'Approved-Enforcement'!M715,"")</f>
        <v/>
      </c>
      <c r="O715" t="str">
        <f>IF($A715&lt;&gt;"",'Approved-Enforcement'!N715,"")</f>
        <v/>
      </c>
      <c r="P715" t="str">
        <f>IF($A715&lt;&gt;"",'Approved-Enforcement'!O715,"")</f>
        <v/>
      </c>
    </row>
    <row r="716" spans="1:16" x14ac:dyDescent="0.35">
      <c r="A716" s="4" t="str">
        <f>IF('Approved-Enforcement'!$A716&lt;&gt;"",'Approved-Enforcement'!A716,"")</f>
        <v/>
      </c>
      <c r="B716" t="str">
        <f t="shared" si="11"/>
        <v/>
      </c>
      <c r="D716" t="str">
        <f>IF($A716&lt;&gt;"",IF($R716&lt;&gt;"",$R716,'Approved-Enforcement'!$B716+7),"")</f>
        <v/>
      </c>
      <c r="E716" t="str">
        <f>IF($A716&lt;&gt;"",'Approved-Enforcement'!D716,"")</f>
        <v/>
      </c>
      <c r="F716" t="str">
        <f>IF($A716&lt;&gt;"",'Approved-Enforcement'!E716,"")</f>
        <v/>
      </c>
      <c r="G716" t="str">
        <f>IF($A716&lt;&gt;"",'Approved-Enforcement'!F716,"")</f>
        <v/>
      </c>
      <c r="H716" t="str">
        <f>IF($A716&lt;&gt;"",'Approved-Enforcement'!G716,"")</f>
        <v/>
      </c>
      <c r="I716" t="str">
        <f>IF($A716&lt;&gt;"",'Approved-Enforcement'!H716,"")</f>
        <v/>
      </c>
      <c r="J716" t="str">
        <f>IF($A716&lt;&gt;"",'Approved-Enforcement'!I716,"")</f>
        <v/>
      </c>
      <c r="K716" t="str">
        <f>IF($A716&lt;&gt;"",'Approved-Enforcement'!J716,"")</f>
        <v/>
      </c>
      <c r="L716" t="str">
        <f>IF($A716&lt;&gt;"",'Approved-Enforcement'!K716,"")</f>
        <v/>
      </c>
      <c r="M716" t="str">
        <f>IF($A716&lt;&gt;"",'Approved-Enforcement'!L716,"")</f>
        <v/>
      </c>
      <c r="N716" t="str">
        <f>IF($A716&lt;&gt;"",'Approved-Enforcement'!M716,"")</f>
        <v/>
      </c>
      <c r="O716" t="str">
        <f>IF($A716&lt;&gt;"",'Approved-Enforcement'!N716,"")</f>
        <v/>
      </c>
      <c r="P716" t="str">
        <f>IF($A716&lt;&gt;"",'Approved-Enforcement'!O716,"")</f>
        <v/>
      </c>
    </row>
    <row r="717" spans="1:16" x14ac:dyDescent="0.35">
      <c r="A717" s="4" t="str">
        <f>IF('Approved-Enforcement'!$A717&lt;&gt;"",'Approved-Enforcement'!A717,"")</f>
        <v/>
      </c>
      <c r="B717" t="str">
        <f t="shared" si="11"/>
        <v/>
      </c>
      <c r="D717" t="str">
        <f>IF($A717&lt;&gt;"",IF($R717&lt;&gt;"",$R717,'Approved-Enforcement'!$B717+7),"")</f>
        <v/>
      </c>
      <c r="E717" t="str">
        <f>IF($A717&lt;&gt;"",'Approved-Enforcement'!D717,"")</f>
        <v/>
      </c>
      <c r="F717" t="str">
        <f>IF($A717&lt;&gt;"",'Approved-Enforcement'!E717,"")</f>
        <v/>
      </c>
      <c r="G717" t="str">
        <f>IF($A717&lt;&gt;"",'Approved-Enforcement'!F717,"")</f>
        <v/>
      </c>
      <c r="H717" t="str">
        <f>IF($A717&lt;&gt;"",'Approved-Enforcement'!G717,"")</f>
        <v/>
      </c>
      <c r="I717" t="str">
        <f>IF($A717&lt;&gt;"",'Approved-Enforcement'!H717,"")</f>
        <v/>
      </c>
      <c r="J717" t="str">
        <f>IF($A717&lt;&gt;"",'Approved-Enforcement'!I717,"")</f>
        <v/>
      </c>
      <c r="K717" t="str">
        <f>IF($A717&lt;&gt;"",'Approved-Enforcement'!J717,"")</f>
        <v/>
      </c>
      <c r="L717" t="str">
        <f>IF($A717&lt;&gt;"",'Approved-Enforcement'!K717,"")</f>
        <v/>
      </c>
      <c r="M717" t="str">
        <f>IF($A717&lt;&gt;"",'Approved-Enforcement'!L717,"")</f>
        <v/>
      </c>
      <c r="N717" t="str">
        <f>IF($A717&lt;&gt;"",'Approved-Enforcement'!M717,"")</f>
        <v/>
      </c>
      <c r="O717" t="str">
        <f>IF($A717&lt;&gt;"",'Approved-Enforcement'!N717,"")</f>
        <v/>
      </c>
      <c r="P717" t="str">
        <f>IF($A717&lt;&gt;"",'Approved-Enforcement'!O717,"")</f>
        <v/>
      </c>
    </row>
    <row r="718" spans="1:16" x14ac:dyDescent="0.35">
      <c r="A718" s="4" t="str">
        <f>IF('Approved-Enforcement'!$A718&lt;&gt;"",'Approved-Enforcement'!A718,"")</f>
        <v/>
      </c>
      <c r="B718" t="str">
        <f t="shared" si="11"/>
        <v/>
      </c>
      <c r="D718" t="str">
        <f>IF($A718&lt;&gt;"",IF($R718&lt;&gt;"",$R718,'Approved-Enforcement'!$B718+7),"")</f>
        <v/>
      </c>
      <c r="E718" t="str">
        <f>IF($A718&lt;&gt;"",'Approved-Enforcement'!D718,"")</f>
        <v/>
      </c>
      <c r="F718" t="str">
        <f>IF($A718&lt;&gt;"",'Approved-Enforcement'!E718,"")</f>
        <v/>
      </c>
      <c r="G718" t="str">
        <f>IF($A718&lt;&gt;"",'Approved-Enforcement'!F718,"")</f>
        <v/>
      </c>
      <c r="H718" t="str">
        <f>IF($A718&lt;&gt;"",'Approved-Enforcement'!G718,"")</f>
        <v/>
      </c>
      <c r="I718" t="str">
        <f>IF($A718&lt;&gt;"",'Approved-Enforcement'!H718,"")</f>
        <v/>
      </c>
      <c r="J718" t="str">
        <f>IF($A718&lt;&gt;"",'Approved-Enforcement'!I718,"")</f>
        <v/>
      </c>
      <c r="K718" t="str">
        <f>IF($A718&lt;&gt;"",'Approved-Enforcement'!J718,"")</f>
        <v/>
      </c>
      <c r="L718" t="str">
        <f>IF($A718&lt;&gt;"",'Approved-Enforcement'!K718,"")</f>
        <v/>
      </c>
      <c r="M718" t="str">
        <f>IF($A718&lt;&gt;"",'Approved-Enforcement'!L718,"")</f>
        <v/>
      </c>
      <c r="N718" t="str">
        <f>IF($A718&lt;&gt;"",'Approved-Enforcement'!M718,"")</f>
        <v/>
      </c>
      <c r="O718" t="str">
        <f>IF($A718&lt;&gt;"",'Approved-Enforcement'!N718,"")</f>
        <v/>
      </c>
      <c r="P718" t="str">
        <f>IF($A718&lt;&gt;"",'Approved-Enforcement'!O718,"")</f>
        <v/>
      </c>
    </row>
    <row r="719" spans="1:16" x14ac:dyDescent="0.35">
      <c r="A719" s="4" t="str">
        <f>IF('Approved-Enforcement'!$A719&lt;&gt;"",'Approved-Enforcement'!A719,"")</f>
        <v/>
      </c>
      <c r="B719" t="str">
        <f t="shared" si="11"/>
        <v/>
      </c>
      <c r="D719" t="str">
        <f>IF($A719&lt;&gt;"",IF($R719&lt;&gt;"",$R719,'Approved-Enforcement'!$B719+7),"")</f>
        <v/>
      </c>
      <c r="E719" t="str">
        <f>IF($A719&lt;&gt;"",'Approved-Enforcement'!D719,"")</f>
        <v/>
      </c>
      <c r="F719" t="str">
        <f>IF($A719&lt;&gt;"",'Approved-Enforcement'!E719,"")</f>
        <v/>
      </c>
      <c r="G719" t="str">
        <f>IF($A719&lt;&gt;"",'Approved-Enforcement'!F719,"")</f>
        <v/>
      </c>
      <c r="H719" t="str">
        <f>IF($A719&lt;&gt;"",'Approved-Enforcement'!G719,"")</f>
        <v/>
      </c>
      <c r="I719" t="str">
        <f>IF($A719&lt;&gt;"",'Approved-Enforcement'!H719,"")</f>
        <v/>
      </c>
      <c r="J719" t="str">
        <f>IF($A719&lt;&gt;"",'Approved-Enforcement'!I719,"")</f>
        <v/>
      </c>
      <c r="K719" t="str">
        <f>IF($A719&lt;&gt;"",'Approved-Enforcement'!J719,"")</f>
        <v/>
      </c>
      <c r="L719" t="str">
        <f>IF($A719&lt;&gt;"",'Approved-Enforcement'!K719,"")</f>
        <v/>
      </c>
      <c r="M719" t="str">
        <f>IF($A719&lt;&gt;"",'Approved-Enforcement'!L719,"")</f>
        <v/>
      </c>
      <c r="N719" t="str">
        <f>IF($A719&lt;&gt;"",'Approved-Enforcement'!M719,"")</f>
        <v/>
      </c>
      <c r="O719" t="str">
        <f>IF($A719&lt;&gt;"",'Approved-Enforcement'!N719,"")</f>
        <v/>
      </c>
      <c r="P719" t="str">
        <f>IF($A719&lt;&gt;"",'Approved-Enforcement'!O719,"")</f>
        <v/>
      </c>
    </row>
    <row r="720" spans="1:16" x14ac:dyDescent="0.35">
      <c r="A720" s="4" t="str">
        <f>IF('Approved-Enforcement'!$A720&lt;&gt;"",'Approved-Enforcement'!A720,"")</f>
        <v/>
      </c>
      <c r="B720" t="str">
        <f t="shared" si="11"/>
        <v/>
      </c>
      <c r="D720" t="str">
        <f>IF($A720&lt;&gt;"",IF($R720&lt;&gt;"",$R720,'Approved-Enforcement'!$B720+7),"")</f>
        <v/>
      </c>
      <c r="E720" t="str">
        <f>IF($A720&lt;&gt;"",'Approved-Enforcement'!D720,"")</f>
        <v/>
      </c>
      <c r="F720" t="str">
        <f>IF($A720&lt;&gt;"",'Approved-Enforcement'!E720,"")</f>
        <v/>
      </c>
      <c r="G720" t="str">
        <f>IF($A720&lt;&gt;"",'Approved-Enforcement'!F720,"")</f>
        <v/>
      </c>
      <c r="H720" t="str">
        <f>IF($A720&lt;&gt;"",'Approved-Enforcement'!G720,"")</f>
        <v/>
      </c>
      <c r="I720" t="str">
        <f>IF($A720&lt;&gt;"",'Approved-Enforcement'!H720,"")</f>
        <v/>
      </c>
      <c r="J720" t="str">
        <f>IF($A720&lt;&gt;"",'Approved-Enforcement'!I720,"")</f>
        <v/>
      </c>
      <c r="K720" t="str">
        <f>IF($A720&lt;&gt;"",'Approved-Enforcement'!J720,"")</f>
        <v/>
      </c>
      <c r="L720" t="str">
        <f>IF($A720&lt;&gt;"",'Approved-Enforcement'!K720,"")</f>
        <v/>
      </c>
      <c r="M720" t="str">
        <f>IF($A720&lt;&gt;"",'Approved-Enforcement'!L720,"")</f>
        <v/>
      </c>
      <c r="N720" t="str">
        <f>IF($A720&lt;&gt;"",'Approved-Enforcement'!M720,"")</f>
        <v/>
      </c>
      <c r="O720" t="str">
        <f>IF($A720&lt;&gt;"",'Approved-Enforcement'!N720,"")</f>
        <v/>
      </c>
      <c r="P720" t="str">
        <f>IF($A720&lt;&gt;"",'Approved-Enforcement'!O720,"")</f>
        <v/>
      </c>
    </row>
    <row r="721" spans="1:16" x14ac:dyDescent="0.35">
      <c r="A721" s="4" t="str">
        <f>IF('Approved-Enforcement'!$A721&lt;&gt;"",'Approved-Enforcement'!A721,"")</f>
        <v/>
      </c>
      <c r="B721" t="str">
        <f t="shared" si="11"/>
        <v/>
      </c>
      <c r="D721" t="str">
        <f>IF($A721&lt;&gt;"",IF($R721&lt;&gt;"",$R721,'Approved-Enforcement'!$B721+7),"")</f>
        <v/>
      </c>
      <c r="E721" t="str">
        <f>IF($A721&lt;&gt;"",'Approved-Enforcement'!D721,"")</f>
        <v/>
      </c>
      <c r="F721" t="str">
        <f>IF($A721&lt;&gt;"",'Approved-Enforcement'!E721,"")</f>
        <v/>
      </c>
      <c r="G721" t="str">
        <f>IF($A721&lt;&gt;"",'Approved-Enforcement'!F721,"")</f>
        <v/>
      </c>
      <c r="H721" t="str">
        <f>IF($A721&lt;&gt;"",'Approved-Enforcement'!G721,"")</f>
        <v/>
      </c>
      <c r="I721" t="str">
        <f>IF($A721&lt;&gt;"",'Approved-Enforcement'!H721,"")</f>
        <v/>
      </c>
      <c r="J721" t="str">
        <f>IF($A721&lt;&gt;"",'Approved-Enforcement'!I721,"")</f>
        <v/>
      </c>
      <c r="K721" t="str">
        <f>IF($A721&lt;&gt;"",'Approved-Enforcement'!J721,"")</f>
        <v/>
      </c>
      <c r="L721" t="str">
        <f>IF($A721&lt;&gt;"",'Approved-Enforcement'!K721,"")</f>
        <v/>
      </c>
      <c r="M721" t="str">
        <f>IF($A721&lt;&gt;"",'Approved-Enforcement'!L721,"")</f>
        <v/>
      </c>
      <c r="N721" t="str">
        <f>IF($A721&lt;&gt;"",'Approved-Enforcement'!M721,"")</f>
        <v/>
      </c>
      <c r="O721" t="str">
        <f>IF($A721&lt;&gt;"",'Approved-Enforcement'!N721,"")</f>
        <v/>
      </c>
      <c r="P721" t="str">
        <f>IF($A721&lt;&gt;"",'Approved-Enforcement'!O721,"")</f>
        <v/>
      </c>
    </row>
    <row r="722" spans="1:16" x14ac:dyDescent="0.35">
      <c r="A722" s="4" t="str">
        <f>IF('Approved-Enforcement'!$A722&lt;&gt;"",'Approved-Enforcement'!A722,"")</f>
        <v/>
      </c>
      <c r="B722" t="str">
        <f t="shared" si="11"/>
        <v/>
      </c>
      <c r="D722" t="str">
        <f>IF($A722&lt;&gt;"",IF($R722&lt;&gt;"",$R722,'Approved-Enforcement'!$B722+7),"")</f>
        <v/>
      </c>
      <c r="E722" t="str">
        <f>IF($A722&lt;&gt;"",'Approved-Enforcement'!D722,"")</f>
        <v/>
      </c>
      <c r="F722" t="str">
        <f>IF($A722&lt;&gt;"",'Approved-Enforcement'!E722,"")</f>
        <v/>
      </c>
      <c r="G722" t="str">
        <f>IF($A722&lt;&gt;"",'Approved-Enforcement'!F722,"")</f>
        <v/>
      </c>
      <c r="H722" t="str">
        <f>IF($A722&lt;&gt;"",'Approved-Enforcement'!G722,"")</f>
        <v/>
      </c>
      <c r="I722" t="str">
        <f>IF($A722&lt;&gt;"",'Approved-Enforcement'!H722,"")</f>
        <v/>
      </c>
      <c r="J722" t="str">
        <f>IF($A722&lt;&gt;"",'Approved-Enforcement'!I722,"")</f>
        <v/>
      </c>
      <c r="K722" t="str">
        <f>IF($A722&lt;&gt;"",'Approved-Enforcement'!J722,"")</f>
        <v/>
      </c>
      <c r="L722" t="str">
        <f>IF($A722&lt;&gt;"",'Approved-Enforcement'!K722,"")</f>
        <v/>
      </c>
      <c r="M722" t="str">
        <f>IF($A722&lt;&gt;"",'Approved-Enforcement'!L722,"")</f>
        <v/>
      </c>
      <c r="N722" t="str">
        <f>IF($A722&lt;&gt;"",'Approved-Enforcement'!M722,"")</f>
        <v/>
      </c>
      <c r="O722" t="str">
        <f>IF($A722&lt;&gt;"",'Approved-Enforcement'!N722,"")</f>
        <v/>
      </c>
      <c r="P722" t="str">
        <f>IF($A722&lt;&gt;"",'Approved-Enforcement'!O722,"")</f>
        <v/>
      </c>
    </row>
    <row r="723" spans="1:16" x14ac:dyDescent="0.35">
      <c r="A723" s="4" t="str">
        <f>IF('Approved-Enforcement'!$A723&lt;&gt;"",'Approved-Enforcement'!A723,"")</f>
        <v/>
      </c>
      <c r="B723" t="str">
        <f t="shared" si="11"/>
        <v/>
      </c>
      <c r="D723" t="str">
        <f>IF($A723&lt;&gt;"",IF($R723&lt;&gt;"",$R723,'Approved-Enforcement'!$B723+7),"")</f>
        <v/>
      </c>
      <c r="E723" t="str">
        <f>IF($A723&lt;&gt;"",'Approved-Enforcement'!D723,"")</f>
        <v/>
      </c>
      <c r="F723" t="str">
        <f>IF($A723&lt;&gt;"",'Approved-Enforcement'!E723,"")</f>
        <v/>
      </c>
      <c r="G723" t="str">
        <f>IF($A723&lt;&gt;"",'Approved-Enforcement'!F723,"")</f>
        <v/>
      </c>
      <c r="H723" t="str">
        <f>IF($A723&lt;&gt;"",'Approved-Enforcement'!G723,"")</f>
        <v/>
      </c>
      <c r="I723" t="str">
        <f>IF($A723&lt;&gt;"",'Approved-Enforcement'!H723,"")</f>
        <v/>
      </c>
      <c r="J723" t="str">
        <f>IF($A723&lt;&gt;"",'Approved-Enforcement'!I723,"")</f>
        <v/>
      </c>
      <c r="K723" t="str">
        <f>IF($A723&lt;&gt;"",'Approved-Enforcement'!J723,"")</f>
        <v/>
      </c>
      <c r="L723" t="str">
        <f>IF($A723&lt;&gt;"",'Approved-Enforcement'!K723,"")</f>
        <v/>
      </c>
      <c r="M723" t="str">
        <f>IF($A723&lt;&gt;"",'Approved-Enforcement'!L723,"")</f>
        <v/>
      </c>
      <c r="N723" t="str">
        <f>IF($A723&lt;&gt;"",'Approved-Enforcement'!M723,"")</f>
        <v/>
      </c>
      <c r="O723" t="str">
        <f>IF($A723&lt;&gt;"",'Approved-Enforcement'!N723,"")</f>
        <v/>
      </c>
      <c r="P723" t="str">
        <f>IF($A723&lt;&gt;"",'Approved-Enforcement'!O723,"")</f>
        <v/>
      </c>
    </row>
    <row r="724" spans="1:16" x14ac:dyDescent="0.35">
      <c r="A724" s="4" t="str">
        <f>IF('Approved-Enforcement'!$A724&lt;&gt;"",'Approved-Enforcement'!A724,"")</f>
        <v/>
      </c>
      <c r="B724" t="str">
        <f t="shared" si="11"/>
        <v/>
      </c>
      <c r="D724" t="str">
        <f>IF($A724&lt;&gt;"",IF($R724&lt;&gt;"",$R724,'Approved-Enforcement'!$B724+7),"")</f>
        <v/>
      </c>
      <c r="E724" t="str">
        <f>IF($A724&lt;&gt;"",'Approved-Enforcement'!D724,"")</f>
        <v/>
      </c>
      <c r="F724" t="str">
        <f>IF($A724&lt;&gt;"",'Approved-Enforcement'!E724,"")</f>
        <v/>
      </c>
      <c r="G724" t="str">
        <f>IF($A724&lt;&gt;"",'Approved-Enforcement'!F724,"")</f>
        <v/>
      </c>
      <c r="H724" t="str">
        <f>IF($A724&lt;&gt;"",'Approved-Enforcement'!G724,"")</f>
        <v/>
      </c>
      <c r="I724" t="str">
        <f>IF($A724&lt;&gt;"",'Approved-Enforcement'!H724,"")</f>
        <v/>
      </c>
      <c r="J724" t="str">
        <f>IF($A724&lt;&gt;"",'Approved-Enforcement'!I724,"")</f>
        <v/>
      </c>
      <c r="K724" t="str">
        <f>IF($A724&lt;&gt;"",'Approved-Enforcement'!J724,"")</f>
        <v/>
      </c>
      <c r="L724" t="str">
        <f>IF($A724&lt;&gt;"",'Approved-Enforcement'!K724,"")</f>
        <v/>
      </c>
      <c r="M724" t="str">
        <f>IF($A724&lt;&gt;"",'Approved-Enforcement'!L724,"")</f>
        <v/>
      </c>
      <c r="N724" t="str">
        <f>IF($A724&lt;&gt;"",'Approved-Enforcement'!M724,"")</f>
        <v/>
      </c>
      <c r="O724" t="str">
        <f>IF($A724&lt;&gt;"",'Approved-Enforcement'!N724,"")</f>
        <v/>
      </c>
      <c r="P724" t="str">
        <f>IF($A724&lt;&gt;"",'Approved-Enforcement'!O724,"")</f>
        <v/>
      </c>
    </row>
    <row r="725" spans="1:16" x14ac:dyDescent="0.35">
      <c r="A725" s="4" t="str">
        <f>IF('Approved-Enforcement'!$A725&lt;&gt;"",'Approved-Enforcement'!A725,"")</f>
        <v/>
      </c>
      <c r="B725" t="str">
        <f t="shared" si="11"/>
        <v/>
      </c>
      <c r="D725" t="str">
        <f>IF($A725&lt;&gt;"",IF($R725&lt;&gt;"",$R725,'Approved-Enforcement'!$B725+7),"")</f>
        <v/>
      </c>
      <c r="E725" t="str">
        <f>IF($A725&lt;&gt;"",'Approved-Enforcement'!D725,"")</f>
        <v/>
      </c>
      <c r="F725" t="str">
        <f>IF($A725&lt;&gt;"",'Approved-Enforcement'!E725,"")</f>
        <v/>
      </c>
      <c r="G725" t="str">
        <f>IF($A725&lt;&gt;"",'Approved-Enforcement'!F725,"")</f>
        <v/>
      </c>
      <c r="H725" t="str">
        <f>IF($A725&lt;&gt;"",'Approved-Enforcement'!G725,"")</f>
        <v/>
      </c>
      <c r="I725" t="str">
        <f>IF($A725&lt;&gt;"",'Approved-Enforcement'!H725,"")</f>
        <v/>
      </c>
      <c r="J725" t="str">
        <f>IF($A725&lt;&gt;"",'Approved-Enforcement'!I725,"")</f>
        <v/>
      </c>
      <c r="K725" t="str">
        <f>IF($A725&lt;&gt;"",'Approved-Enforcement'!J725,"")</f>
        <v/>
      </c>
      <c r="L725" t="str">
        <f>IF($A725&lt;&gt;"",'Approved-Enforcement'!K725,"")</f>
        <v/>
      </c>
      <c r="M725" t="str">
        <f>IF($A725&lt;&gt;"",'Approved-Enforcement'!L725,"")</f>
        <v/>
      </c>
      <c r="N725" t="str">
        <f>IF($A725&lt;&gt;"",'Approved-Enforcement'!M725,"")</f>
        <v/>
      </c>
      <c r="O725" t="str">
        <f>IF($A725&lt;&gt;"",'Approved-Enforcement'!N725,"")</f>
        <v/>
      </c>
      <c r="P725" t="str">
        <f>IF($A725&lt;&gt;"",'Approved-Enforcement'!O725,"")</f>
        <v/>
      </c>
    </row>
    <row r="726" spans="1:16" x14ac:dyDescent="0.35">
      <c r="A726" s="4" t="str">
        <f>IF('Approved-Enforcement'!$A726&lt;&gt;"",'Approved-Enforcement'!A726,"")</f>
        <v/>
      </c>
      <c r="B726" t="str">
        <f t="shared" si="11"/>
        <v/>
      </c>
      <c r="D726" t="str">
        <f>IF($A726&lt;&gt;"",IF($R726&lt;&gt;"",$R726,'Approved-Enforcement'!$B726+7),"")</f>
        <v/>
      </c>
      <c r="E726" t="str">
        <f>IF($A726&lt;&gt;"",'Approved-Enforcement'!D726,"")</f>
        <v/>
      </c>
      <c r="F726" t="str">
        <f>IF($A726&lt;&gt;"",'Approved-Enforcement'!E726,"")</f>
        <v/>
      </c>
      <c r="G726" t="str">
        <f>IF($A726&lt;&gt;"",'Approved-Enforcement'!F726,"")</f>
        <v/>
      </c>
      <c r="H726" t="str">
        <f>IF($A726&lt;&gt;"",'Approved-Enforcement'!G726,"")</f>
        <v/>
      </c>
      <c r="I726" t="str">
        <f>IF($A726&lt;&gt;"",'Approved-Enforcement'!H726,"")</f>
        <v/>
      </c>
      <c r="J726" t="str">
        <f>IF($A726&lt;&gt;"",'Approved-Enforcement'!I726,"")</f>
        <v/>
      </c>
      <c r="K726" t="str">
        <f>IF($A726&lt;&gt;"",'Approved-Enforcement'!J726,"")</f>
        <v/>
      </c>
      <c r="L726" t="str">
        <f>IF($A726&lt;&gt;"",'Approved-Enforcement'!K726,"")</f>
        <v/>
      </c>
      <c r="M726" t="str">
        <f>IF($A726&lt;&gt;"",'Approved-Enforcement'!L726,"")</f>
        <v/>
      </c>
      <c r="N726" t="str">
        <f>IF($A726&lt;&gt;"",'Approved-Enforcement'!M726,"")</f>
        <v/>
      </c>
      <c r="O726" t="str">
        <f>IF($A726&lt;&gt;"",'Approved-Enforcement'!N726,"")</f>
        <v/>
      </c>
      <c r="P726" t="str">
        <f>IF($A726&lt;&gt;"",'Approved-Enforcement'!O726,"")</f>
        <v/>
      </c>
    </row>
    <row r="727" spans="1:16" x14ac:dyDescent="0.35">
      <c r="A727" s="4" t="str">
        <f>IF('Approved-Enforcement'!$A727&lt;&gt;"",'Approved-Enforcement'!A727,"")</f>
        <v/>
      </c>
      <c r="B727" t="str">
        <f t="shared" si="11"/>
        <v/>
      </c>
      <c r="D727" t="str">
        <f>IF($A727&lt;&gt;"",IF($R727&lt;&gt;"",$R727,'Approved-Enforcement'!$B727+7),"")</f>
        <v/>
      </c>
      <c r="E727" t="str">
        <f>IF($A727&lt;&gt;"",'Approved-Enforcement'!D727,"")</f>
        <v/>
      </c>
      <c r="F727" t="str">
        <f>IF($A727&lt;&gt;"",'Approved-Enforcement'!E727,"")</f>
        <v/>
      </c>
      <c r="G727" t="str">
        <f>IF($A727&lt;&gt;"",'Approved-Enforcement'!F727,"")</f>
        <v/>
      </c>
      <c r="H727" t="str">
        <f>IF($A727&lt;&gt;"",'Approved-Enforcement'!G727,"")</f>
        <v/>
      </c>
      <c r="I727" t="str">
        <f>IF($A727&lt;&gt;"",'Approved-Enforcement'!H727,"")</f>
        <v/>
      </c>
      <c r="J727" t="str">
        <f>IF($A727&lt;&gt;"",'Approved-Enforcement'!I727,"")</f>
        <v/>
      </c>
      <c r="K727" t="str">
        <f>IF($A727&lt;&gt;"",'Approved-Enforcement'!J727,"")</f>
        <v/>
      </c>
      <c r="L727" t="str">
        <f>IF($A727&lt;&gt;"",'Approved-Enforcement'!K727,"")</f>
        <v/>
      </c>
      <c r="M727" t="str">
        <f>IF($A727&lt;&gt;"",'Approved-Enforcement'!L727,"")</f>
        <v/>
      </c>
      <c r="N727" t="str">
        <f>IF($A727&lt;&gt;"",'Approved-Enforcement'!M727,"")</f>
        <v/>
      </c>
      <c r="O727" t="str">
        <f>IF($A727&lt;&gt;"",'Approved-Enforcement'!N727,"")</f>
        <v/>
      </c>
      <c r="P727" t="str">
        <f>IF($A727&lt;&gt;"",'Approved-Enforcement'!O727,"")</f>
        <v/>
      </c>
    </row>
    <row r="728" spans="1:16" x14ac:dyDescent="0.35">
      <c r="A728" s="4" t="str">
        <f>IF('Approved-Enforcement'!$A728&lt;&gt;"",'Approved-Enforcement'!A728,"")</f>
        <v/>
      </c>
      <c r="B728" t="str">
        <f t="shared" si="11"/>
        <v/>
      </c>
      <c r="D728" t="str">
        <f>IF($A728&lt;&gt;"",IF($R728&lt;&gt;"",$R728,'Approved-Enforcement'!$B728+7),"")</f>
        <v/>
      </c>
      <c r="E728" t="str">
        <f>IF($A728&lt;&gt;"",'Approved-Enforcement'!D728,"")</f>
        <v/>
      </c>
      <c r="F728" t="str">
        <f>IF($A728&lt;&gt;"",'Approved-Enforcement'!E728,"")</f>
        <v/>
      </c>
      <c r="G728" t="str">
        <f>IF($A728&lt;&gt;"",'Approved-Enforcement'!F728,"")</f>
        <v/>
      </c>
      <c r="H728" t="str">
        <f>IF($A728&lt;&gt;"",'Approved-Enforcement'!G728,"")</f>
        <v/>
      </c>
      <c r="I728" t="str">
        <f>IF($A728&lt;&gt;"",'Approved-Enforcement'!H728,"")</f>
        <v/>
      </c>
      <c r="J728" t="str">
        <f>IF($A728&lt;&gt;"",'Approved-Enforcement'!I728,"")</f>
        <v/>
      </c>
      <c r="K728" t="str">
        <f>IF($A728&lt;&gt;"",'Approved-Enforcement'!J728,"")</f>
        <v/>
      </c>
      <c r="L728" t="str">
        <f>IF($A728&lt;&gt;"",'Approved-Enforcement'!K728,"")</f>
        <v/>
      </c>
      <c r="M728" t="str">
        <f>IF($A728&lt;&gt;"",'Approved-Enforcement'!L728,"")</f>
        <v/>
      </c>
      <c r="N728" t="str">
        <f>IF($A728&lt;&gt;"",'Approved-Enforcement'!M728,"")</f>
        <v/>
      </c>
      <c r="O728" t="str">
        <f>IF($A728&lt;&gt;"",'Approved-Enforcement'!N728,"")</f>
        <v/>
      </c>
      <c r="P728" t="str">
        <f>IF($A728&lt;&gt;"",'Approved-Enforcement'!O728,"")</f>
        <v/>
      </c>
    </row>
    <row r="729" spans="1:16" x14ac:dyDescent="0.35">
      <c r="A729" s="4" t="str">
        <f>IF('Approved-Enforcement'!$A729&lt;&gt;"",'Approved-Enforcement'!A729,"")</f>
        <v/>
      </c>
      <c r="B729" t="str">
        <f t="shared" si="11"/>
        <v/>
      </c>
      <c r="D729" t="str">
        <f>IF($A729&lt;&gt;"",IF($R729&lt;&gt;"",$R729,'Approved-Enforcement'!$B729+7),"")</f>
        <v/>
      </c>
      <c r="E729" t="str">
        <f>IF($A729&lt;&gt;"",'Approved-Enforcement'!D729,"")</f>
        <v/>
      </c>
      <c r="F729" t="str">
        <f>IF($A729&lt;&gt;"",'Approved-Enforcement'!E729,"")</f>
        <v/>
      </c>
      <c r="G729" t="str">
        <f>IF($A729&lt;&gt;"",'Approved-Enforcement'!F729,"")</f>
        <v/>
      </c>
      <c r="H729" t="str">
        <f>IF($A729&lt;&gt;"",'Approved-Enforcement'!G729,"")</f>
        <v/>
      </c>
      <c r="I729" t="str">
        <f>IF($A729&lt;&gt;"",'Approved-Enforcement'!H729,"")</f>
        <v/>
      </c>
      <c r="J729" t="str">
        <f>IF($A729&lt;&gt;"",'Approved-Enforcement'!I729,"")</f>
        <v/>
      </c>
      <c r="K729" t="str">
        <f>IF($A729&lt;&gt;"",'Approved-Enforcement'!J729,"")</f>
        <v/>
      </c>
      <c r="L729" t="str">
        <f>IF($A729&lt;&gt;"",'Approved-Enforcement'!K729,"")</f>
        <v/>
      </c>
      <c r="M729" t="str">
        <f>IF($A729&lt;&gt;"",'Approved-Enforcement'!L729,"")</f>
        <v/>
      </c>
      <c r="N729" t="str">
        <f>IF($A729&lt;&gt;"",'Approved-Enforcement'!M729,"")</f>
        <v/>
      </c>
      <c r="O729" t="str">
        <f>IF($A729&lt;&gt;"",'Approved-Enforcement'!N729,"")</f>
        <v/>
      </c>
      <c r="P729" t="str">
        <f>IF($A729&lt;&gt;"",'Approved-Enforcement'!O729,"")</f>
        <v/>
      </c>
    </row>
    <row r="730" spans="1:16" x14ac:dyDescent="0.35">
      <c r="A730" s="4" t="str">
        <f>IF('Approved-Enforcement'!$A730&lt;&gt;"",'Approved-Enforcement'!A730,"")</f>
        <v/>
      </c>
      <c r="B730" t="str">
        <f t="shared" si="11"/>
        <v/>
      </c>
      <c r="D730" t="str">
        <f>IF($A730&lt;&gt;"",IF($R730&lt;&gt;"",$R730,'Approved-Enforcement'!$B730+7),"")</f>
        <v/>
      </c>
      <c r="E730" t="str">
        <f>IF($A730&lt;&gt;"",'Approved-Enforcement'!D730,"")</f>
        <v/>
      </c>
      <c r="F730" t="str">
        <f>IF($A730&lt;&gt;"",'Approved-Enforcement'!E730,"")</f>
        <v/>
      </c>
      <c r="G730" t="str">
        <f>IF($A730&lt;&gt;"",'Approved-Enforcement'!F730,"")</f>
        <v/>
      </c>
      <c r="H730" t="str">
        <f>IF($A730&lt;&gt;"",'Approved-Enforcement'!G730,"")</f>
        <v/>
      </c>
      <c r="I730" t="str">
        <f>IF($A730&lt;&gt;"",'Approved-Enforcement'!H730,"")</f>
        <v/>
      </c>
      <c r="J730" t="str">
        <f>IF($A730&lt;&gt;"",'Approved-Enforcement'!I730,"")</f>
        <v/>
      </c>
      <c r="K730" t="str">
        <f>IF($A730&lt;&gt;"",'Approved-Enforcement'!J730,"")</f>
        <v/>
      </c>
      <c r="L730" t="str">
        <f>IF($A730&lt;&gt;"",'Approved-Enforcement'!K730,"")</f>
        <v/>
      </c>
      <c r="M730" t="str">
        <f>IF($A730&lt;&gt;"",'Approved-Enforcement'!L730,"")</f>
        <v/>
      </c>
      <c r="N730" t="str">
        <f>IF($A730&lt;&gt;"",'Approved-Enforcement'!M730,"")</f>
        <v/>
      </c>
      <c r="O730" t="str">
        <f>IF($A730&lt;&gt;"",'Approved-Enforcement'!N730,"")</f>
        <v/>
      </c>
      <c r="P730" t="str">
        <f>IF($A730&lt;&gt;"",'Approved-Enforcement'!O730,"")</f>
        <v/>
      </c>
    </row>
    <row r="731" spans="1:16" x14ac:dyDescent="0.35">
      <c r="A731" s="4" t="str">
        <f>IF('Approved-Enforcement'!$A731&lt;&gt;"",'Approved-Enforcement'!A731,"")</f>
        <v/>
      </c>
      <c r="B731" t="str">
        <f t="shared" si="11"/>
        <v/>
      </c>
      <c r="D731" t="str">
        <f>IF($A731&lt;&gt;"",IF($R731&lt;&gt;"",$R731,'Approved-Enforcement'!$B731+7),"")</f>
        <v/>
      </c>
      <c r="E731" t="str">
        <f>IF($A731&lt;&gt;"",'Approved-Enforcement'!D731,"")</f>
        <v/>
      </c>
      <c r="F731" t="str">
        <f>IF($A731&lt;&gt;"",'Approved-Enforcement'!E731,"")</f>
        <v/>
      </c>
      <c r="G731" t="str">
        <f>IF($A731&lt;&gt;"",'Approved-Enforcement'!F731,"")</f>
        <v/>
      </c>
      <c r="H731" t="str">
        <f>IF($A731&lt;&gt;"",'Approved-Enforcement'!G731,"")</f>
        <v/>
      </c>
      <c r="I731" t="str">
        <f>IF($A731&lt;&gt;"",'Approved-Enforcement'!H731,"")</f>
        <v/>
      </c>
      <c r="J731" t="str">
        <f>IF($A731&lt;&gt;"",'Approved-Enforcement'!I731,"")</f>
        <v/>
      </c>
      <c r="K731" t="str">
        <f>IF($A731&lt;&gt;"",'Approved-Enforcement'!J731,"")</f>
        <v/>
      </c>
      <c r="L731" t="str">
        <f>IF($A731&lt;&gt;"",'Approved-Enforcement'!K731,"")</f>
        <v/>
      </c>
      <c r="M731" t="str">
        <f>IF($A731&lt;&gt;"",'Approved-Enforcement'!L731,"")</f>
        <v/>
      </c>
      <c r="N731" t="str">
        <f>IF($A731&lt;&gt;"",'Approved-Enforcement'!M731,"")</f>
        <v/>
      </c>
      <c r="O731" t="str">
        <f>IF($A731&lt;&gt;"",'Approved-Enforcement'!N731,"")</f>
        <v/>
      </c>
      <c r="P731" t="str">
        <f>IF($A731&lt;&gt;"",'Approved-Enforcement'!O731,"")</f>
        <v/>
      </c>
    </row>
    <row r="732" spans="1:16" x14ac:dyDescent="0.35">
      <c r="A732" s="4" t="str">
        <f>IF('Approved-Enforcement'!$A732&lt;&gt;"",'Approved-Enforcement'!A732,"")</f>
        <v/>
      </c>
      <c r="B732" t="str">
        <f t="shared" si="11"/>
        <v/>
      </c>
      <c r="D732" t="str">
        <f>IF($A732&lt;&gt;"",IF($R732&lt;&gt;"",$R732,'Approved-Enforcement'!$B732+7),"")</f>
        <v/>
      </c>
      <c r="E732" t="str">
        <f>IF($A732&lt;&gt;"",'Approved-Enforcement'!D732,"")</f>
        <v/>
      </c>
      <c r="F732" t="str">
        <f>IF($A732&lt;&gt;"",'Approved-Enforcement'!E732,"")</f>
        <v/>
      </c>
      <c r="G732" t="str">
        <f>IF($A732&lt;&gt;"",'Approved-Enforcement'!F732,"")</f>
        <v/>
      </c>
      <c r="H732" t="str">
        <f>IF($A732&lt;&gt;"",'Approved-Enforcement'!G732,"")</f>
        <v/>
      </c>
      <c r="I732" t="str">
        <f>IF($A732&lt;&gt;"",'Approved-Enforcement'!H732,"")</f>
        <v/>
      </c>
      <c r="J732" t="str">
        <f>IF($A732&lt;&gt;"",'Approved-Enforcement'!I732,"")</f>
        <v/>
      </c>
      <c r="K732" t="str">
        <f>IF($A732&lt;&gt;"",'Approved-Enforcement'!J732,"")</f>
        <v/>
      </c>
      <c r="L732" t="str">
        <f>IF($A732&lt;&gt;"",'Approved-Enforcement'!K732,"")</f>
        <v/>
      </c>
      <c r="M732" t="str">
        <f>IF($A732&lt;&gt;"",'Approved-Enforcement'!L732,"")</f>
        <v/>
      </c>
      <c r="N732" t="str">
        <f>IF($A732&lt;&gt;"",'Approved-Enforcement'!M732,"")</f>
        <v/>
      </c>
      <c r="O732" t="str">
        <f>IF($A732&lt;&gt;"",'Approved-Enforcement'!N732,"")</f>
        <v/>
      </c>
      <c r="P732" t="str">
        <f>IF($A732&lt;&gt;"",'Approved-Enforcement'!O732,"")</f>
        <v/>
      </c>
    </row>
    <row r="733" spans="1:16" x14ac:dyDescent="0.35">
      <c r="A733" s="4" t="str">
        <f>IF('Approved-Enforcement'!$A733&lt;&gt;"",'Approved-Enforcement'!A733,"")</f>
        <v/>
      </c>
      <c r="B733" t="str">
        <f t="shared" si="11"/>
        <v/>
      </c>
      <c r="D733" t="str">
        <f>IF($A733&lt;&gt;"",IF($R733&lt;&gt;"",$R733,'Approved-Enforcement'!$B733+7),"")</f>
        <v/>
      </c>
      <c r="E733" t="str">
        <f>IF($A733&lt;&gt;"",'Approved-Enforcement'!D733,"")</f>
        <v/>
      </c>
      <c r="F733" t="str">
        <f>IF($A733&lt;&gt;"",'Approved-Enforcement'!E733,"")</f>
        <v/>
      </c>
      <c r="G733" t="str">
        <f>IF($A733&lt;&gt;"",'Approved-Enforcement'!F733,"")</f>
        <v/>
      </c>
      <c r="H733" t="str">
        <f>IF($A733&lt;&gt;"",'Approved-Enforcement'!G733,"")</f>
        <v/>
      </c>
      <c r="I733" t="str">
        <f>IF($A733&lt;&gt;"",'Approved-Enforcement'!H733,"")</f>
        <v/>
      </c>
      <c r="J733" t="str">
        <f>IF($A733&lt;&gt;"",'Approved-Enforcement'!I733,"")</f>
        <v/>
      </c>
      <c r="K733" t="str">
        <f>IF($A733&lt;&gt;"",'Approved-Enforcement'!J733,"")</f>
        <v/>
      </c>
      <c r="L733" t="str">
        <f>IF($A733&lt;&gt;"",'Approved-Enforcement'!K733,"")</f>
        <v/>
      </c>
      <c r="M733" t="str">
        <f>IF($A733&lt;&gt;"",'Approved-Enforcement'!L733,"")</f>
        <v/>
      </c>
      <c r="N733" t="str">
        <f>IF($A733&lt;&gt;"",'Approved-Enforcement'!M733,"")</f>
        <v/>
      </c>
      <c r="O733" t="str">
        <f>IF($A733&lt;&gt;"",'Approved-Enforcement'!N733,"")</f>
        <v/>
      </c>
      <c r="P733" t="str">
        <f>IF($A733&lt;&gt;"",'Approved-Enforcement'!O733,"")</f>
        <v/>
      </c>
    </row>
    <row r="734" spans="1:16" x14ac:dyDescent="0.35">
      <c r="A734" s="4" t="str">
        <f>IF('Approved-Enforcement'!$A734&lt;&gt;"",'Approved-Enforcement'!A734,"")</f>
        <v/>
      </c>
      <c r="B734" t="str">
        <f t="shared" si="11"/>
        <v/>
      </c>
      <c r="D734" t="str">
        <f>IF($A734&lt;&gt;"",IF($R734&lt;&gt;"",$R734,'Approved-Enforcement'!$B734+7),"")</f>
        <v/>
      </c>
      <c r="E734" t="str">
        <f>IF($A734&lt;&gt;"",'Approved-Enforcement'!D734,"")</f>
        <v/>
      </c>
      <c r="F734" t="str">
        <f>IF($A734&lt;&gt;"",'Approved-Enforcement'!E734,"")</f>
        <v/>
      </c>
      <c r="G734" t="str">
        <f>IF($A734&lt;&gt;"",'Approved-Enforcement'!F734,"")</f>
        <v/>
      </c>
      <c r="H734" t="str">
        <f>IF($A734&lt;&gt;"",'Approved-Enforcement'!G734,"")</f>
        <v/>
      </c>
      <c r="I734" t="str">
        <f>IF($A734&lt;&gt;"",'Approved-Enforcement'!H734,"")</f>
        <v/>
      </c>
      <c r="J734" t="str">
        <f>IF($A734&lt;&gt;"",'Approved-Enforcement'!I734,"")</f>
        <v/>
      </c>
      <c r="K734" t="str">
        <f>IF($A734&lt;&gt;"",'Approved-Enforcement'!J734,"")</f>
        <v/>
      </c>
      <c r="L734" t="str">
        <f>IF($A734&lt;&gt;"",'Approved-Enforcement'!K734,"")</f>
        <v/>
      </c>
      <c r="M734" t="str">
        <f>IF($A734&lt;&gt;"",'Approved-Enforcement'!L734,"")</f>
        <v/>
      </c>
      <c r="N734" t="str">
        <f>IF($A734&lt;&gt;"",'Approved-Enforcement'!M734,"")</f>
        <v/>
      </c>
      <c r="O734" t="str">
        <f>IF($A734&lt;&gt;"",'Approved-Enforcement'!N734,"")</f>
        <v/>
      </c>
      <c r="P734" t="str">
        <f>IF($A734&lt;&gt;"",'Approved-Enforcement'!O734,"")</f>
        <v/>
      </c>
    </row>
    <row r="735" spans="1:16" x14ac:dyDescent="0.35">
      <c r="A735" s="4" t="str">
        <f>IF('Approved-Enforcement'!$A735&lt;&gt;"",'Approved-Enforcement'!A735,"")</f>
        <v/>
      </c>
      <c r="B735" t="str">
        <f t="shared" si="11"/>
        <v/>
      </c>
      <c r="D735" t="str">
        <f>IF($A735&lt;&gt;"",IF($R735&lt;&gt;"",$R735,'Approved-Enforcement'!$B735+7),"")</f>
        <v/>
      </c>
      <c r="E735" t="str">
        <f>IF($A735&lt;&gt;"",'Approved-Enforcement'!D735,"")</f>
        <v/>
      </c>
      <c r="F735" t="str">
        <f>IF($A735&lt;&gt;"",'Approved-Enforcement'!E735,"")</f>
        <v/>
      </c>
      <c r="G735" t="str">
        <f>IF($A735&lt;&gt;"",'Approved-Enforcement'!F735,"")</f>
        <v/>
      </c>
      <c r="H735" t="str">
        <f>IF($A735&lt;&gt;"",'Approved-Enforcement'!G735,"")</f>
        <v/>
      </c>
      <c r="I735" t="str">
        <f>IF($A735&lt;&gt;"",'Approved-Enforcement'!H735,"")</f>
        <v/>
      </c>
      <c r="J735" t="str">
        <f>IF($A735&lt;&gt;"",'Approved-Enforcement'!I735,"")</f>
        <v/>
      </c>
      <c r="K735" t="str">
        <f>IF($A735&lt;&gt;"",'Approved-Enforcement'!J735,"")</f>
        <v/>
      </c>
      <c r="L735" t="str">
        <f>IF($A735&lt;&gt;"",'Approved-Enforcement'!K735,"")</f>
        <v/>
      </c>
      <c r="M735" t="str">
        <f>IF($A735&lt;&gt;"",'Approved-Enforcement'!L735,"")</f>
        <v/>
      </c>
      <c r="N735" t="str">
        <f>IF($A735&lt;&gt;"",'Approved-Enforcement'!M735,"")</f>
        <v/>
      </c>
      <c r="O735" t="str">
        <f>IF($A735&lt;&gt;"",'Approved-Enforcement'!N735,"")</f>
        <v/>
      </c>
      <c r="P735" t="str">
        <f>IF($A735&lt;&gt;"",'Approved-Enforcement'!O735,"")</f>
        <v/>
      </c>
    </row>
    <row r="736" spans="1:16" x14ac:dyDescent="0.35">
      <c r="A736" s="4" t="str">
        <f>IF('Approved-Enforcement'!$A736&lt;&gt;"",'Approved-Enforcement'!A736,"")</f>
        <v/>
      </c>
      <c r="B736" t="str">
        <f t="shared" si="11"/>
        <v/>
      </c>
      <c r="D736" t="str">
        <f>IF($A736&lt;&gt;"",IF($R736&lt;&gt;"",$R736,'Approved-Enforcement'!$B736+7),"")</f>
        <v/>
      </c>
      <c r="E736" t="str">
        <f>IF($A736&lt;&gt;"",'Approved-Enforcement'!D736,"")</f>
        <v/>
      </c>
      <c r="F736" t="str">
        <f>IF($A736&lt;&gt;"",'Approved-Enforcement'!E736,"")</f>
        <v/>
      </c>
      <c r="G736" t="str">
        <f>IF($A736&lt;&gt;"",'Approved-Enforcement'!F736,"")</f>
        <v/>
      </c>
      <c r="H736" t="str">
        <f>IF($A736&lt;&gt;"",'Approved-Enforcement'!G736,"")</f>
        <v/>
      </c>
      <c r="I736" t="str">
        <f>IF($A736&lt;&gt;"",'Approved-Enforcement'!H736,"")</f>
        <v/>
      </c>
      <c r="J736" t="str">
        <f>IF($A736&lt;&gt;"",'Approved-Enforcement'!I736,"")</f>
        <v/>
      </c>
      <c r="K736" t="str">
        <f>IF($A736&lt;&gt;"",'Approved-Enforcement'!J736,"")</f>
        <v/>
      </c>
      <c r="L736" t="str">
        <f>IF($A736&lt;&gt;"",'Approved-Enforcement'!K736,"")</f>
        <v/>
      </c>
      <c r="M736" t="str">
        <f>IF($A736&lt;&gt;"",'Approved-Enforcement'!L736,"")</f>
        <v/>
      </c>
      <c r="N736" t="str">
        <f>IF($A736&lt;&gt;"",'Approved-Enforcement'!M736,"")</f>
        <v/>
      </c>
      <c r="O736" t="str">
        <f>IF($A736&lt;&gt;"",'Approved-Enforcement'!N736,"")</f>
        <v/>
      </c>
      <c r="P736" t="str">
        <f>IF($A736&lt;&gt;"",'Approved-Enforcement'!O736,"")</f>
        <v/>
      </c>
    </row>
    <row r="737" spans="1:16" x14ac:dyDescent="0.35">
      <c r="A737" s="4" t="str">
        <f>IF('Approved-Enforcement'!$A737&lt;&gt;"",'Approved-Enforcement'!A737,"")</f>
        <v/>
      </c>
      <c r="B737" t="str">
        <f t="shared" si="11"/>
        <v/>
      </c>
      <c r="D737" t="str">
        <f>IF($A737&lt;&gt;"",IF($R737&lt;&gt;"",$R737,'Approved-Enforcement'!$B737+7),"")</f>
        <v/>
      </c>
      <c r="E737" t="str">
        <f>IF($A737&lt;&gt;"",'Approved-Enforcement'!D737,"")</f>
        <v/>
      </c>
      <c r="F737" t="str">
        <f>IF($A737&lt;&gt;"",'Approved-Enforcement'!E737,"")</f>
        <v/>
      </c>
      <c r="G737" t="str">
        <f>IF($A737&lt;&gt;"",'Approved-Enforcement'!F737,"")</f>
        <v/>
      </c>
      <c r="H737" t="str">
        <f>IF($A737&lt;&gt;"",'Approved-Enforcement'!G737,"")</f>
        <v/>
      </c>
      <c r="I737" t="str">
        <f>IF($A737&lt;&gt;"",'Approved-Enforcement'!H737,"")</f>
        <v/>
      </c>
      <c r="J737" t="str">
        <f>IF($A737&lt;&gt;"",'Approved-Enforcement'!I737,"")</f>
        <v/>
      </c>
      <c r="K737" t="str">
        <f>IF($A737&lt;&gt;"",'Approved-Enforcement'!J737,"")</f>
        <v/>
      </c>
      <c r="L737" t="str">
        <f>IF($A737&lt;&gt;"",'Approved-Enforcement'!K737,"")</f>
        <v/>
      </c>
      <c r="M737" t="str">
        <f>IF($A737&lt;&gt;"",'Approved-Enforcement'!L737,"")</f>
        <v/>
      </c>
      <c r="N737" t="str">
        <f>IF($A737&lt;&gt;"",'Approved-Enforcement'!M737,"")</f>
        <v/>
      </c>
      <c r="O737" t="str">
        <f>IF($A737&lt;&gt;"",'Approved-Enforcement'!N737,"")</f>
        <v/>
      </c>
      <c r="P737" t="str">
        <f>IF($A737&lt;&gt;"",'Approved-Enforcement'!O737,"")</f>
        <v/>
      </c>
    </row>
    <row r="738" spans="1:16" x14ac:dyDescent="0.35">
      <c r="A738" s="4" t="str">
        <f>IF('Approved-Enforcement'!$A738&lt;&gt;"",'Approved-Enforcement'!A738,"")</f>
        <v/>
      </c>
      <c r="B738" t="str">
        <f t="shared" si="11"/>
        <v/>
      </c>
      <c r="D738" t="str">
        <f>IF($A738&lt;&gt;"",IF($R738&lt;&gt;"",$R738,'Approved-Enforcement'!$B738+7),"")</f>
        <v/>
      </c>
      <c r="E738" t="str">
        <f>IF($A738&lt;&gt;"",'Approved-Enforcement'!D738,"")</f>
        <v/>
      </c>
      <c r="F738" t="str">
        <f>IF($A738&lt;&gt;"",'Approved-Enforcement'!E738,"")</f>
        <v/>
      </c>
      <c r="G738" t="str">
        <f>IF($A738&lt;&gt;"",'Approved-Enforcement'!F738,"")</f>
        <v/>
      </c>
      <c r="H738" t="str">
        <f>IF($A738&lt;&gt;"",'Approved-Enforcement'!G738,"")</f>
        <v/>
      </c>
      <c r="I738" t="str">
        <f>IF($A738&lt;&gt;"",'Approved-Enforcement'!H738,"")</f>
        <v/>
      </c>
      <c r="J738" t="str">
        <f>IF($A738&lt;&gt;"",'Approved-Enforcement'!I738,"")</f>
        <v/>
      </c>
      <c r="K738" t="str">
        <f>IF($A738&lt;&gt;"",'Approved-Enforcement'!J738,"")</f>
        <v/>
      </c>
      <c r="L738" t="str">
        <f>IF($A738&lt;&gt;"",'Approved-Enforcement'!K738,"")</f>
        <v/>
      </c>
      <c r="M738" t="str">
        <f>IF($A738&lt;&gt;"",'Approved-Enforcement'!L738,"")</f>
        <v/>
      </c>
      <c r="N738" t="str">
        <f>IF($A738&lt;&gt;"",'Approved-Enforcement'!M738,"")</f>
        <v/>
      </c>
      <c r="O738" t="str">
        <f>IF($A738&lt;&gt;"",'Approved-Enforcement'!N738,"")</f>
        <v/>
      </c>
      <c r="P738" t="str">
        <f>IF($A738&lt;&gt;"",'Approved-Enforcement'!O738,"")</f>
        <v/>
      </c>
    </row>
    <row r="739" spans="1:16" x14ac:dyDescent="0.35">
      <c r="A739" s="4" t="str">
        <f>IF('Approved-Enforcement'!$A739&lt;&gt;"",'Approved-Enforcement'!A739,"")</f>
        <v/>
      </c>
      <c r="B739" t="str">
        <f t="shared" si="11"/>
        <v/>
      </c>
      <c r="D739" t="str">
        <f>IF($A739&lt;&gt;"",IF($R739&lt;&gt;"",$R739,'Approved-Enforcement'!$B739+7),"")</f>
        <v/>
      </c>
      <c r="E739" t="str">
        <f>IF($A739&lt;&gt;"",'Approved-Enforcement'!D739,"")</f>
        <v/>
      </c>
      <c r="F739" t="str">
        <f>IF($A739&lt;&gt;"",'Approved-Enforcement'!E739,"")</f>
        <v/>
      </c>
      <c r="G739" t="str">
        <f>IF($A739&lt;&gt;"",'Approved-Enforcement'!F739,"")</f>
        <v/>
      </c>
      <c r="H739" t="str">
        <f>IF($A739&lt;&gt;"",'Approved-Enforcement'!G739,"")</f>
        <v/>
      </c>
      <c r="I739" t="str">
        <f>IF($A739&lt;&gt;"",'Approved-Enforcement'!H739,"")</f>
        <v/>
      </c>
      <c r="J739" t="str">
        <f>IF($A739&lt;&gt;"",'Approved-Enforcement'!I739,"")</f>
        <v/>
      </c>
      <c r="K739" t="str">
        <f>IF($A739&lt;&gt;"",'Approved-Enforcement'!J739,"")</f>
        <v/>
      </c>
      <c r="L739" t="str">
        <f>IF($A739&lt;&gt;"",'Approved-Enforcement'!K739,"")</f>
        <v/>
      </c>
      <c r="M739" t="str">
        <f>IF($A739&lt;&gt;"",'Approved-Enforcement'!L739,"")</f>
        <v/>
      </c>
      <c r="N739" t="str">
        <f>IF($A739&lt;&gt;"",'Approved-Enforcement'!M739,"")</f>
        <v/>
      </c>
      <c r="O739" t="str">
        <f>IF($A739&lt;&gt;"",'Approved-Enforcement'!N739,"")</f>
        <v/>
      </c>
      <c r="P739" t="str">
        <f>IF($A739&lt;&gt;"",'Approved-Enforcement'!O739,"")</f>
        <v/>
      </c>
    </row>
    <row r="740" spans="1:16" x14ac:dyDescent="0.35">
      <c r="A740" s="4" t="str">
        <f>IF('Approved-Enforcement'!$A740&lt;&gt;"",'Approved-Enforcement'!A740,"")</f>
        <v/>
      </c>
      <c r="B740" t="str">
        <f t="shared" si="11"/>
        <v/>
      </c>
      <c r="D740" t="str">
        <f>IF($A740&lt;&gt;"",IF($R740&lt;&gt;"",$R740,'Approved-Enforcement'!$B740+7),"")</f>
        <v/>
      </c>
      <c r="E740" t="str">
        <f>IF($A740&lt;&gt;"",'Approved-Enforcement'!D740,"")</f>
        <v/>
      </c>
      <c r="F740" t="str">
        <f>IF($A740&lt;&gt;"",'Approved-Enforcement'!E740,"")</f>
        <v/>
      </c>
      <c r="G740" t="str">
        <f>IF($A740&lt;&gt;"",'Approved-Enforcement'!F740,"")</f>
        <v/>
      </c>
      <c r="H740" t="str">
        <f>IF($A740&lt;&gt;"",'Approved-Enforcement'!G740,"")</f>
        <v/>
      </c>
      <c r="I740" t="str">
        <f>IF($A740&lt;&gt;"",'Approved-Enforcement'!H740,"")</f>
        <v/>
      </c>
      <c r="J740" t="str">
        <f>IF($A740&lt;&gt;"",'Approved-Enforcement'!I740,"")</f>
        <v/>
      </c>
      <c r="K740" t="str">
        <f>IF($A740&lt;&gt;"",'Approved-Enforcement'!J740,"")</f>
        <v/>
      </c>
      <c r="L740" t="str">
        <f>IF($A740&lt;&gt;"",'Approved-Enforcement'!K740,"")</f>
        <v/>
      </c>
      <c r="M740" t="str">
        <f>IF($A740&lt;&gt;"",'Approved-Enforcement'!L740,"")</f>
        <v/>
      </c>
      <c r="N740" t="str">
        <f>IF($A740&lt;&gt;"",'Approved-Enforcement'!M740,"")</f>
        <v/>
      </c>
      <c r="O740" t="str">
        <f>IF($A740&lt;&gt;"",'Approved-Enforcement'!N740,"")</f>
        <v/>
      </c>
      <c r="P740" t="str">
        <f>IF($A740&lt;&gt;"",'Approved-Enforcement'!O740,"")</f>
        <v/>
      </c>
    </row>
    <row r="741" spans="1:16" x14ac:dyDescent="0.35">
      <c r="A741" s="4" t="str">
        <f>IF('Approved-Enforcement'!$A741&lt;&gt;"",'Approved-Enforcement'!A741,"")</f>
        <v/>
      </c>
      <c r="B741" t="str">
        <f t="shared" si="11"/>
        <v/>
      </c>
      <c r="D741" t="str">
        <f>IF($A741&lt;&gt;"",IF($R741&lt;&gt;"",$R741,'Approved-Enforcement'!$B741+7),"")</f>
        <v/>
      </c>
      <c r="E741" t="str">
        <f>IF($A741&lt;&gt;"",'Approved-Enforcement'!D741,"")</f>
        <v/>
      </c>
      <c r="F741" t="str">
        <f>IF($A741&lt;&gt;"",'Approved-Enforcement'!E741,"")</f>
        <v/>
      </c>
      <c r="G741" t="str">
        <f>IF($A741&lt;&gt;"",'Approved-Enforcement'!F741,"")</f>
        <v/>
      </c>
      <c r="H741" t="str">
        <f>IF($A741&lt;&gt;"",'Approved-Enforcement'!G741,"")</f>
        <v/>
      </c>
      <c r="I741" t="str">
        <f>IF($A741&lt;&gt;"",'Approved-Enforcement'!H741,"")</f>
        <v/>
      </c>
      <c r="J741" t="str">
        <f>IF($A741&lt;&gt;"",'Approved-Enforcement'!I741,"")</f>
        <v/>
      </c>
      <c r="K741" t="str">
        <f>IF($A741&lt;&gt;"",'Approved-Enforcement'!J741,"")</f>
        <v/>
      </c>
      <c r="L741" t="str">
        <f>IF($A741&lt;&gt;"",'Approved-Enforcement'!K741,"")</f>
        <v/>
      </c>
      <c r="M741" t="str">
        <f>IF($A741&lt;&gt;"",'Approved-Enforcement'!L741,"")</f>
        <v/>
      </c>
      <c r="N741" t="str">
        <f>IF($A741&lt;&gt;"",'Approved-Enforcement'!M741,"")</f>
        <v/>
      </c>
      <c r="O741" t="str">
        <f>IF($A741&lt;&gt;"",'Approved-Enforcement'!N741,"")</f>
        <v/>
      </c>
      <c r="P741" t="str">
        <f>IF($A741&lt;&gt;"",'Approved-Enforcement'!O741,"")</f>
        <v/>
      </c>
    </row>
    <row r="742" spans="1:16" x14ac:dyDescent="0.35">
      <c r="A742" s="4" t="str">
        <f>IF('Approved-Enforcement'!$A742&lt;&gt;"",'Approved-Enforcement'!A742,"")</f>
        <v/>
      </c>
      <c r="B742" t="str">
        <f t="shared" si="11"/>
        <v/>
      </c>
      <c r="D742" t="str">
        <f>IF($A742&lt;&gt;"",IF($R742&lt;&gt;"",$R742,'Approved-Enforcement'!$B742+7),"")</f>
        <v/>
      </c>
      <c r="E742" t="str">
        <f>IF($A742&lt;&gt;"",'Approved-Enforcement'!D742,"")</f>
        <v/>
      </c>
      <c r="F742" t="str">
        <f>IF($A742&lt;&gt;"",'Approved-Enforcement'!E742,"")</f>
        <v/>
      </c>
      <c r="G742" t="str">
        <f>IF($A742&lt;&gt;"",'Approved-Enforcement'!F742,"")</f>
        <v/>
      </c>
      <c r="H742" t="str">
        <f>IF($A742&lt;&gt;"",'Approved-Enforcement'!G742,"")</f>
        <v/>
      </c>
      <c r="I742" t="str">
        <f>IF($A742&lt;&gt;"",'Approved-Enforcement'!H742,"")</f>
        <v/>
      </c>
      <c r="J742" t="str">
        <f>IF($A742&lt;&gt;"",'Approved-Enforcement'!I742,"")</f>
        <v/>
      </c>
      <c r="K742" t="str">
        <f>IF($A742&lt;&gt;"",'Approved-Enforcement'!J742,"")</f>
        <v/>
      </c>
      <c r="L742" t="str">
        <f>IF($A742&lt;&gt;"",'Approved-Enforcement'!K742,"")</f>
        <v/>
      </c>
      <c r="M742" t="str">
        <f>IF($A742&lt;&gt;"",'Approved-Enforcement'!L742,"")</f>
        <v/>
      </c>
      <c r="N742" t="str">
        <f>IF($A742&lt;&gt;"",'Approved-Enforcement'!M742,"")</f>
        <v/>
      </c>
      <c r="O742" t="str">
        <f>IF($A742&lt;&gt;"",'Approved-Enforcement'!N742,"")</f>
        <v/>
      </c>
      <c r="P742" t="str">
        <f>IF($A742&lt;&gt;"",'Approved-Enforcement'!O742,"")</f>
        <v/>
      </c>
    </row>
    <row r="743" spans="1:16" x14ac:dyDescent="0.35">
      <c r="A743" s="4" t="str">
        <f>IF('Approved-Enforcement'!$A743&lt;&gt;"",'Approved-Enforcement'!A743,"")</f>
        <v/>
      </c>
      <c r="B743" t="str">
        <f t="shared" si="11"/>
        <v/>
      </c>
      <c r="D743" t="str">
        <f>IF($A743&lt;&gt;"",IF($R743&lt;&gt;"",$R743,'Approved-Enforcement'!$B743+7),"")</f>
        <v/>
      </c>
      <c r="E743" t="str">
        <f>IF($A743&lt;&gt;"",'Approved-Enforcement'!D743,"")</f>
        <v/>
      </c>
      <c r="F743" t="str">
        <f>IF($A743&lt;&gt;"",'Approved-Enforcement'!E743,"")</f>
        <v/>
      </c>
      <c r="G743" t="str">
        <f>IF($A743&lt;&gt;"",'Approved-Enforcement'!F743,"")</f>
        <v/>
      </c>
      <c r="H743" t="str">
        <f>IF($A743&lt;&gt;"",'Approved-Enforcement'!G743,"")</f>
        <v/>
      </c>
      <c r="I743" t="str">
        <f>IF($A743&lt;&gt;"",'Approved-Enforcement'!H743,"")</f>
        <v/>
      </c>
      <c r="J743" t="str">
        <f>IF($A743&lt;&gt;"",'Approved-Enforcement'!I743,"")</f>
        <v/>
      </c>
      <c r="K743" t="str">
        <f>IF($A743&lt;&gt;"",'Approved-Enforcement'!J743,"")</f>
        <v/>
      </c>
      <c r="L743" t="str">
        <f>IF($A743&lt;&gt;"",'Approved-Enforcement'!K743,"")</f>
        <v/>
      </c>
      <c r="M743" t="str">
        <f>IF($A743&lt;&gt;"",'Approved-Enforcement'!L743,"")</f>
        <v/>
      </c>
      <c r="N743" t="str">
        <f>IF($A743&lt;&gt;"",'Approved-Enforcement'!M743,"")</f>
        <v/>
      </c>
      <c r="O743" t="str">
        <f>IF($A743&lt;&gt;"",'Approved-Enforcement'!N743,"")</f>
        <v/>
      </c>
      <c r="P743" t="str">
        <f>IF($A743&lt;&gt;"",'Approved-Enforcement'!O743,"")</f>
        <v/>
      </c>
    </row>
    <row r="744" spans="1:16" x14ac:dyDescent="0.35">
      <c r="A744" s="4" t="str">
        <f>IF('Approved-Enforcement'!$A744&lt;&gt;"",'Approved-Enforcement'!A744,"")</f>
        <v/>
      </c>
      <c r="B744" t="str">
        <f t="shared" si="11"/>
        <v/>
      </c>
      <c r="D744" t="str">
        <f>IF($A744&lt;&gt;"",IF($R744&lt;&gt;"",$R744,'Approved-Enforcement'!$B744+7),"")</f>
        <v/>
      </c>
      <c r="E744" t="str">
        <f>IF($A744&lt;&gt;"",'Approved-Enforcement'!D744,"")</f>
        <v/>
      </c>
      <c r="F744" t="str">
        <f>IF($A744&lt;&gt;"",'Approved-Enforcement'!E744,"")</f>
        <v/>
      </c>
      <c r="G744" t="str">
        <f>IF($A744&lt;&gt;"",'Approved-Enforcement'!F744,"")</f>
        <v/>
      </c>
      <c r="H744" t="str">
        <f>IF($A744&lt;&gt;"",'Approved-Enforcement'!G744,"")</f>
        <v/>
      </c>
      <c r="I744" t="str">
        <f>IF($A744&lt;&gt;"",'Approved-Enforcement'!H744,"")</f>
        <v/>
      </c>
      <c r="J744" t="str">
        <f>IF($A744&lt;&gt;"",'Approved-Enforcement'!I744,"")</f>
        <v/>
      </c>
      <c r="K744" t="str">
        <f>IF($A744&lt;&gt;"",'Approved-Enforcement'!J744,"")</f>
        <v/>
      </c>
      <c r="L744" t="str">
        <f>IF($A744&lt;&gt;"",'Approved-Enforcement'!K744,"")</f>
        <v/>
      </c>
      <c r="M744" t="str">
        <f>IF($A744&lt;&gt;"",'Approved-Enforcement'!L744,"")</f>
        <v/>
      </c>
      <c r="N744" t="str">
        <f>IF($A744&lt;&gt;"",'Approved-Enforcement'!M744,"")</f>
        <v/>
      </c>
      <c r="O744" t="str">
        <f>IF($A744&lt;&gt;"",'Approved-Enforcement'!N744,"")</f>
        <v/>
      </c>
      <c r="P744" t="str">
        <f>IF($A744&lt;&gt;"",'Approved-Enforcement'!O744,"")</f>
        <v/>
      </c>
    </row>
    <row r="745" spans="1:16" x14ac:dyDescent="0.35">
      <c r="A745" s="4" t="str">
        <f>IF('Approved-Enforcement'!$A745&lt;&gt;"",'Approved-Enforcement'!A745,"")</f>
        <v/>
      </c>
      <c r="B745" t="str">
        <f t="shared" si="11"/>
        <v/>
      </c>
      <c r="D745" t="str">
        <f>IF($A745&lt;&gt;"",IF($R745&lt;&gt;"",$R745,'Approved-Enforcement'!$B745+7),"")</f>
        <v/>
      </c>
      <c r="E745" t="str">
        <f>IF($A745&lt;&gt;"",'Approved-Enforcement'!D745,"")</f>
        <v/>
      </c>
      <c r="F745" t="str">
        <f>IF($A745&lt;&gt;"",'Approved-Enforcement'!E745,"")</f>
        <v/>
      </c>
      <c r="G745" t="str">
        <f>IF($A745&lt;&gt;"",'Approved-Enforcement'!F745,"")</f>
        <v/>
      </c>
      <c r="H745" t="str">
        <f>IF($A745&lt;&gt;"",'Approved-Enforcement'!G745,"")</f>
        <v/>
      </c>
      <c r="I745" t="str">
        <f>IF($A745&lt;&gt;"",'Approved-Enforcement'!H745,"")</f>
        <v/>
      </c>
      <c r="J745" t="str">
        <f>IF($A745&lt;&gt;"",'Approved-Enforcement'!I745,"")</f>
        <v/>
      </c>
      <c r="K745" t="str">
        <f>IF($A745&lt;&gt;"",'Approved-Enforcement'!J745,"")</f>
        <v/>
      </c>
      <c r="L745" t="str">
        <f>IF($A745&lt;&gt;"",'Approved-Enforcement'!K745,"")</f>
        <v/>
      </c>
      <c r="M745" t="str">
        <f>IF($A745&lt;&gt;"",'Approved-Enforcement'!L745,"")</f>
        <v/>
      </c>
      <c r="N745" t="str">
        <f>IF($A745&lt;&gt;"",'Approved-Enforcement'!M745,"")</f>
        <v/>
      </c>
      <c r="O745" t="str">
        <f>IF($A745&lt;&gt;"",'Approved-Enforcement'!N745,"")</f>
        <v/>
      </c>
      <c r="P745" t="str">
        <f>IF($A745&lt;&gt;"",'Approved-Enforcement'!O745,"")</f>
        <v/>
      </c>
    </row>
    <row r="746" spans="1:16" x14ac:dyDescent="0.35">
      <c r="A746" s="4" t="str">
        <f>IF('Approved-Enforcement'!$A746&lt;&gt;"",'Approved-Enforcement'!A746,"")</f>
        <v/>
      </c>
      <c r="B746" t="str">
        <f t="shared" si="11"/>
        <v/>
      </c>
      <c r="D746" t="str">
        <f>IF($A746&lt;&gt;"",IF($R746&lt;&gt;"",$R746,'Approved-Enforcement'!$B746+7),"")</f>
        <v/>
      </c>
      <c r="E746" t="str">
        <f>IF($A746&lt;&gt;"",'Approved-Enforcement'!D746,"")</f>
        <v/>
      </c>
      <c r="F746" t="str">
        <f>IF($A746&lt;&gt;"",'Approved-Enforcement'!E746,"")</f>
        <v/>
      </c>
      <c r="G746" t="str">
        <f>IF($A746&lt;&gt;"",'Approved-Enforcement'!F746,"")</f>
        <v/>
      </c>
      <c r="H746" t="str">
        <f>IF($A746&lt;&gt;"",'Approved-Enforcement'!G746,"")</f>
        <v/>
      </c>
      <c r="I746" t="str">
        <f>IF($A746&lt;&gt;"",'Approved-Enforcement'!H746,"")</f>
        <v/>
      </c>
      <c r="J746" t="str">
        <f>IF($A746&lt;&gt;"",'Approved-Enforcement'!I746,"")</f>
        <v/>
      </c>
      <c r="K746" t="str">
        <f>IF($A746&lt;&gt;"",'Approved-Enforcement'!J746,"")</f>
        <v/>
      </c>
      <c r="L746" t="str">
        <f>IF($A746&lt;&gt;"",'Approved-Enforcement'!K746,"")</f>
        <v/>
      </c>
      <c r="M746" t="str">
        <f>IF($A746&lt;&gt;"",'Approved-Enforcement'!L746,"")</f>
        <v/>
      </c>
      <c r="N746" t="str">
        <f>IF($A746&lt;&gt;"",'Approved-Enforcement'!M746,"")</f>
        <v/>
      </c>
      <c r="O746" t="str">
        <f>IF($A746&lt;&gt;"",'Approved-Enforcement'!N746,"")</f>
        <v/>
      </c>
      <c r="P746" t="str">
        <f>IF($A746&lt;&gt;"",'Approved-Enforcement'!O746,"")</f>
        <v/>
      </c>
    </row>
    <row r="747" spans="1:16" x14ac:dyDescent="0.35">
      <c r="A747" s="4" t="str">
        <f>IF('Approved-Enforcement'!$A747&lt;&gt;"",'Approved-Enforcement'!A747,"")</f>
        <v/>
      </c>
      <c r="B747" t="str">
        <f t="shared" si="11"/>
        <v/>
      </c>
      <c r="D747" t="str">
        <f>IF($A747&lt;&gt;"",IF($R747&lt;&gt;"",$R747,'Approved-Enforcement'!$B747+7),"")</f>
        <v/>
      </c>
      <c r="E747" t="str">
        <f>IF($A747&lt;&gt;"",'Approved-Enforcement'!D747,"")</f>
        <v/>
      </c>
      <c r="F747" t="str">
        <f>IF($A747&lt;&gt;"",'Approved-Enforcement'!E747,"")</f>
        <v/>
      </c>
      <c r="G747" t="str">
        <f>IF($A747&lt;&gt;"",'Approved-Enforcement'!F747,"")</f>
        <v/>
      </c>
      <c r="H747" t="str">
        <f>IF($A747&lt;&gt;"",'Approved-Enforcement'!G747,"")</f>
        <v/>
      </c>
      <c r="I747" t="str">
        <f>IF($A747&lt;&gt;"",'Approved-Enforcement'!H747,"")</f>
        <v/>
      </c>
      <c r="J747" t="str">
        <f>IF($A747&lt;&gt;"",'Approved-Enforcement'!I747,"")</f>
        <v/>
      </c>
      <c r="K747" t="str">
        <f>IF($A747&lt;&gt;"",'Approved-Enforcement'!J747,"")</f>
        <v/>
      </c>
      <c r="L747" t="str">
        <f>IF($A747&lt;&gt;"",'Approved-Enforcement'!K747,"")</f>
        <v/>
      </c>
      <c r="M747" t="str">
        <f>IF($A747&lt;&gt;"",'Approved-Enforcement'!L747,"")</f>
        <v/>
      </c>
      <c r="N747" t="str">
        <f>IF($A747&lt;&gt;"",'Approved-Enforcement'!M747,"")</f>
        <v/>
      </c>
      <c r="O747" t="str">
        <f>IF($A747&lt;&gt;"",'Approved-Enforcement'!N747,"")</f>
        <v/>
      </c>
      <c r="P747" t="str">
        <f>IF($A747&lt;&gt;"",'Approved-Enforcement'!O747,"")</f>
        <v/>
      </c>
    </row>
    <row r="748" spans="1:16" x14ac:dyDescent="0.35">
      <c r="A748" s="4" t="str">
        <f>IF('Approved-Enforcement'!$A748&lt;&gt;"",'Approved-Enforcement'!A748,"")</f>
        <v/>
      </c>
      <c r="B748" t="str">
        <f t="shared" si="11"/>
        <v/>
      </c>
      <c r="D748" t="str">
        <f>IF($A748&lt;&gt;"",IF($R748&lt;&gt;"",$R748,'Approved-Enforcement'!$B748+7),"")</f>
        <v/>
      </c>
      <c r="E748" t="str">
        <f>IF($A748&lt;&gt;"",'Approved-Enforcement'!D748,"")</f>
        <v/>
      </c>
      <c r="F748" t="str">
        <f>IF($A748&lt;&gt;"",'Approved-Enforcement'!E748,"")</f>
        <v/>
      </c>
      <c r="G748" t="str">
        <f>IF($A748&lt;&gt;"",'Approved-Enforcement'!F748,"")</f>
        <v/>
      </c>
      <c r="H748" t="str">
        <f>IF($A748&lt;&gt;"",'Approved-Enforcement'!G748,"")</f>
        <v/>
      </c>
      <c r="I748" t="str">
        <f>IF($A748&lt;&gt;"",'Approved-Enforcement'!H748,"")</f>
        <v/>
      </c>
      <c r="J748" t="str">
        <f>IF($A748&lt;&gt;"",'Approved-Enforcement'!I748,"")</f>
        <v/>
      </c>
      <c r="K748" t="str">
        <f>IF($A748&lt;&gt;"",'Approved-Enforcement'!J748,"")</f>
        <v/>
      </c>
      <c r="L748" t="str">
        <f>IF($A748&lt;&gt;"",'Approved-Enforcement'!K748,"")</f>
        <v/>
      </c>
      <c r="M748" t="str">
        <f>IF($A748&lt;&gt;"",'Approved-Enforcement'!L748,"")</f>
        <v/>
      </c>
      <c r="N748" t="str">
        <f>IF($A748&lt;&gt;"",'Approved-Enforcement'!M748,"")</f>
        <v/>
      </c>
      <c r="O748" t="str">
        <f>IF($A748&lt;&gt;"",'Approved-Enforcement'!N748,"")</f>
        <v/>
      </c>
      <c r="P748" t="str">
        <f>IF($A748&lt;&gt;"",'Approved-Enforcement'!O748,"")</f>
        <v/>
      </c>
    </row>
    <row r="749" spans="1:16" x14ac:dyDescent="0.35">
      <c r="A749" s="4" t="str">
        <f>IF('Approved-Enforcement'!$A749&lt;&gt;"",'Approved-Enforcement'!A749,"")</f>
        <v/>
      </c>
      <c r="B749" t="str">
        <f t="shared" si="11"/>
        <v/>
      </c>
      <c r="D749" t="str">
        <f>IF($A749&lt;&gt;"",IF($R749&lt;&gt;"",$R749,'Approved-Enforcement'!$B749+7),"")</f>
        <v/>
      </c>
      <c r="E749" t="str">
        <f>IF($A749&lt;&gt;"",'Approved-Enforcement'!D749,"")</f>
        <v/>
      </c>
      <c r="F749" t="str">
        <f>IF($A749&lt;&gt;"",'Approved-Enforcement'!E749,"")</f>
        <v/>
      </c>
      <c r="G749" t="str">
        <f>IF($A749&lt;&gt;"",'Approved-Enforcement'!F749,"")</f>
        <v/>
      </c>
      <c r="H749" t="str">
        <f>IF($A749&lt;&gt;"",'Approved-Enforcement'!G749,"")</f>
        <v/>
      </c>
      <c r="I749" t="str">
        <f>IF($A749&lt;&gt;"",'Approved-Enforcement'!H749,"")</f>
        <v/>
      </c>
      <c r="J749" t="str">
        <f>IF($A749&lt;&gt;"",'Approved-Enforcement'!I749,"")</f>
        <v/>
      </c>
      <c r="K749" t="str">
        <f>IF($A749&lt;&gt;"",'Approved-Enforcement'!J749,"")</f>
        <v/>
      </c>
      <c r="L749" t="str">
        <f>IF($A749&lt;&gt;"",'Approved-Enforcement'!K749,"")</f>
        <v/>
      </c>
      <c r="M749" t="str">
        <f>IF($A749&lt;&gt;"",'Approved-Enforcement'!L749,"")</f>
        <v/>
      </c>
      <c r="N749" t="str">
        <f>IF($A749&lt;&gt;"",'Approved-Enforcement'!M749,"")</f>
        <v/>
      </c>
      <c r="O749" t="str">
        <f>IF($A749&lt;&gt;"",'Approved-Enforcement'!N749,"")</f>
        <v/>
      </c>
      <c r="P749" t="str">
        <f>IF($A749&lt;&gt;"",'Approved-Enforcement'!O749,"")</f>
        <v/>
      </c>
    </row>
    <row r="750" spans="1:16" x14ac:dyDescent="0.35">
      <c r="A750" s="4" t="str">
        <f>IF('Approved-Enforcement'!$A750&lt;&gt;"",'Approved-Enforcement'!A750,"")</f>
        <v/>
      </c>
      <c r="B750" t="str">
        <f t="shared" si="11"/>
        <v/>
      </c>
      <c r="D750" t="str">
        <f>IF($A750&lt;&gt;"",IF($R750&lt;&gt;"",$R750,'Approved-Enforcement'!$B750+7),"")</f>
        <v/>
      </c>
      <c r="E750" t="str">
        <f>IF($A750&lt;&gt;"",'Approved-Enforcement'!D750,"")</f>
        <v/>
      </c>
      <c r="F750" t="str">
        <f>IF($A750&lt;&gt;"",'Approved-Enforcement'!E750,"")</f>
        <v/>
      </c>
      <c r="G750" t="str">
        <f>IF($A750&lt;&gt;"",'Approved-Enforcement'!F750,"")</f>
        <v/>
      </c>
      <c r="H750" t="str">
        <f>IF($A750&lt;&gt;"",'Approved-Enforcement'!G750,"")</f>
        <v/>
      </c>
      <c r="I750" t="str">
        <f>IF($A750&lt;&gt;"",'Approved-Enforcement'!H750,"")</f>
        <v/>
      </c>
      <c r="J750" t="str">
        <f>IF($A750&lt;&gt;"",'Approved-Enforcement'!I750,"")</f>
        <v/>
      </c>
      <c r="K750" t="str">
        <f>IF($A750&lt;&gt;"",'Approved-Enforcement'!J750,"")</f>
        <v/>
      </c>
      <c r="L750" t="str">
        <f>IF($A750&lt;&gt;"",'Approved-Enforcement'!K750,"")</f>
        <v/>
      </c>
      <c r="M750" t="str">
        <f>IF($A750&lt;&gt;"",'Approved-Enforcement'!L750,"")</f>
        <v/>
      </c>
      <c r="N750" t="str">
        <f>IF($A750&lt;&gt;"",'Approved-Enforcement'!M750,"")</f>
        <v/>
      </c>
      <c r="O750" t="str">
        <f>IF($A750&lt;&gt;"",'Approved-Enforcement'!N750,"")</f>
        <v/>
      </c>
      <c r="P750" t="str">
        <f>IF($A750&lt;&gt;"",'Approved-Enforcement'!O750,"")</f>
        <v/>
      </c>
    </row>
    <row r="751" spans="1:16" x14ac:dyDescent="0.35">
      <c r="A751" s="4" t="str">
        <f>IF('Approved-Enforcement'!$A751&lt;&gt;"",'Approved-Enforcement'!A751,"")</f>
        <v/>
      </c>
      <c r="B751" t="str">
        <f t="shared" si="11"/>
        <v/>
      </c>
      <c r="D751" t="str">
        <f>IF($A751&lt;&gt;"",IF($R751&lt;&gt;"",$R751,'Approved-Enforcement'!$B751+7),"")</f>
        <v/>
      </c>
      <c r="E751" t="str">
        <f>IF($A751&lt;&gt;"",'Approved-Enforcement'!D751,"")</f>
        <v/>
      </c>
      <c r="F751" t="str">
        <f>IF($A751&lt;&gt;"",'Approved-Enforcement'!E751,"")</f>
        <v/>
      </c>
      <c r="G751" t="str">
        <f>IF($A751&lt;&gt;"",'Approved-Enforcement'!F751,"")</f>
        <v/>
      </c>
      <c r="H751" t="str">
        <f>IF($A751&lt;&gt;"",'Approved-Enforcement'!G751,"")</f>
        <v/>
      </c>
      <c r="I751" t="str">
        <f>IF($A751&lt;&gt;"",'Approved-Enforcement'!H751,"")</f>
        <v/>
      </c>
      <c r="J751" t="str">
        <f>IF($A751&lt;&gt;"",'Approved-Enforcement'!I751,"")</f>
        <v/>
      </c>
      <c r="K751" t="str">
        <f>IF($A751&lt;&gt;"",'Approved-Enforcement'!J751,"")</f>
        <v/>
      </c>
      <c r="L751" t="str">
        <f>IF($A751&lt;&gt;"",'Approved-Enforcement'!K751,"")</f>
        <v/>
      </c>
      <c r="M751" t="str">
        <f>IF($A751&lt;&gt;"",'Approved-Enforcement'!L751,"")</f>
        <v/>
      </c>
      <c r="N751" t="str">
        <f>IF($A751&lt;&gt;"",'Approved-Enforcement'!M751,"")</f>
        <v/>
      </c>
      <c r="O751" t="str">
        <f>IF($A751&lt;&gt;"",'Approved-Enforcement'!N751,"")</f>
        <v/>
      </c>
      <c r="P751" t="str">
        <f>IF($A751&lt;&gt;"",'Approved-Enforcement'!O751,"")</f>
        <v/>
      </c>
    </row>
    <row r="752" spans="1:16" x14ac:dyDescent="0.35">
      <c r="A752" s="4" t="str">
        <f>IF('Approved-Enforcement'!$A752&lt;&gt;"",'Approved-Enforcement'!A752,"")</f>
        <v/>
      </c>
      <c r="B752" t="str">
        <f t="shared" si="11"/>
        <v/>
      </c>
      <c r="D752" t="str">
        <f>IF($A752&lt;&gt;"",IF($R752&lt;&gt;"",$R752,'Approved-Enforcement'!$B752+7),"")</f>
        <v/>
      </c>
      <c r="E752" t="str">
        <f>IF($A752&lt;&gt;"",'Approved-Enforcement'!D752,"")</f>
        <v/>
      </c>
      <c r="F752" t="str">
        <f>IF($A752&lt;&gt;"",'Approved-Enforcement'!E752,"")</f>
        <v/>
      </c>
      <c r="G752" t="str">
        <f>IF($A752&lt;&gt;"",'Approved-Enforcement'!F752,"")</f>
        <v/>
      </c>
      <c r="H752" t="str">
        <f>IF($A752&lt;&gt;"",'Approved-Enforcement'!G752,"")</f>
        <v/>
      </c>
      <c r="I752" t="str">
        <f>IF($A752&lt;&gt;"",'Approved-Enforcement'!H752,"")</f>
        <v/>
      </c>
      <c r="J752" t="str">
        <f>IF($A752&lt;&gt;"",'Approved-Enforcement'!I752,"")</f>
        <v/>
      </c>
      <c r="K752" t="str">
        <f>IF($A752&lt;&gt;"",'Approved-Enforcement'!J752,"")</f>
        <v/>
      </c>
      <c r="L752" t="str">
        <f>IF($A752&lt;&gt;"",'Approved-Enforcement'!K752,"")</f>
        <v/>
      </c>
      <c r="M752" t="str">
        <f>IF($A752&lt;&gt;"",'Approved-Enforcement'!L752,"")</f>
        <v/>
      </c>
      <c r="N752" t="str">
        <f>IF($A752&lt;&gt;"",'Approved-Enforcement'!M752,"")</f>
        <v/>
      </c>
      <c r="O752" t="str">
        <f>IF($A752&lt;&gt;"",'Approved-Enforcement'!N752,"")</f>
        <v/>
      </c>
      <c r="P752" t="str">
        <f>IF($A752&lt;&gt;"",'Approved-Enforcement'!O752,"")</f>
        <v/>
      </c>
    </row>
    <row r="753" spans="1:16" x14ac:dyDescent="0.35">
      <c r="A753" s="4" t="str">
        <f>IF('Approved-Enforcement'!$A753&lt;&gt;"",'Approved-Enforcement'!A753,"")</f>
        <v/>
      </c>
      <c r="B753" t="str">
        <f t="shared" si="11"/>
        <v/>
      </c>
      <c r="D753" t="str">
        <f>IF($A753&lt;&gt;"",IF($R753&lt;&gt;"",$R753,'Approved-Enforcement'!$B753+7),"")</f>
        <v/>
      </c>
      <c r="E753" t="str">
        <f>IF($A753&lt;&gt;"",'Approved-Enforcement'!D753,"")</f>
        <v/>
      </c>
      <c r="F753" t="str">
        <f>IF($A753&lt;&gt;"",'Approved-Enforcement'!E753,"")</f>
        <v/>
      </c>
      <c r="G753" t="str">
        <f>IF($A753&lt;&gt;"",'Approved-Enforcement'!F753,"")</f>
        <v/>
      </c>
      <c r="H753" t="str">
        <f>IF($A753&lt;&gt;"",'Approved-Enforcement'!G753,"")</f>
        <v/>
      </c>
      <c r="I753" t="str">
        <f>IF($A753&lt;&gt;"",'Approved-Enforcement'!H753,"")</f>
        <v/>
      </c>
      <c r="J753" t="str">
        <f>IF($A753&lt;&gt;"",'Approved-Enforcement'!I753,"")</f>
        <v/>
      </c>
      <c r="K753" t="str">
        <f>IF($A753&lt;&gt;"",'Approved-Enforcement'!J753,"")</f>
        <v/>
      </c>
      <c r="L753" t="str">
        <f>IF($A753&lt;&gt;"",'Approved-Enforcement'!K753,"")</f>
        <v/>
      </c>
      <c r="M753" t="str">
        <f>IF($A753&lt;&gt;"",'Approved-Enforcement'!L753,"")</f>
        <v/>
      </c>
      <c r="N753" t="str">
        <f>IF($A753&lt;&gt;"",'Approved-Enforcement'!M753,"")</f>
        <v/>
      </c>
      <c r="O753" t="str">
        <f>IF($A753&lt;&gt;"",'Approved-Enforcement'!N753,"")</f>
        <v/>
      </c>
      <c r="P753" t="str">
        <f>IF($A753&lt;&gt;"",'Approved-Enforcement'!O753,"")</f>
        <v/>
      </c>
    </row>
    <row r="754" spans="1:16" x14ac:dyDescent="0.35">
      <c r="A754" s="4" t="str">
        <f>IF('Approved-Enforcement'!$A754&lt;&gt;"",'Approved-Enforcement'!A754,"")</f>
        <v/>
      </c>
      <c r="B754" t="str">
        <f t="shared" si="11"/>
        <v/>
      </c>
      <c r="D754" t="str">
        <f>IF($A754&lt;&gt;"",IF($R754&lt;&gt;"",$R754,'Approved-Enforcement'!$B754+7),"")</f>
        <v/>
      </c>
      <c r="E754" t="str">
        <f>IF($A754&lt;&gt;"",'Approved-Enforcement'!D754,"")</f>
        <v/>
      </c>
      <c r="F754" t="str">
        <f>IF($A754&lt;&gt;"",'Approved-Enforcement'!E754,"")</f>
        <v/>
      </c>
      <c r="G754" t="str">
        <f>IF($A754&lt;&gt;"",'Approved-Enforcement'!F754,"")</f>
        <v/>
      </c>
      <c r="H754" t="str">
        <f>IF($A754&lt;&gt;"",'Approved-Enforcement'!G754,"")</f>
        <v/>
      </c>
      <c r="I754" t="str">
        <f>IF($A754&lt;&gt;"",'Approved-Enforcement'!H754,"")</f>
        <v/>
      </c>
      <c r="J754" t="str">
        <f>IF($A754&lt;&gt;"",'Approved-Enforcement'!I754,"")</f>
        <v/>
      </c>
      <c r="K754" t="str">
        <f>IF($A754&lt;&gt;"",'Approved-Enforcement'!J754,"")</f>
        <v/>
      </c>
      <c r="L754" t="str">
        <f>IF($A754&lt;&gt;"",'Approved-Enforcement'!K754,"")</f>
        <v/>
      </c>
      <c r="M754" t="str">
        <f>IF($A754&lt;&gt;"",'Approved-Enforcement'!L754,"")</f>
        <v/>
      </c>
      <c r="N754" t="str">
        <f>IF($A754&lt;&gt;"",'Approved-Enforcement'!M754,"")</f>
        <v/>
      </c>
      <c r="O754" t="str">
        <f>IF($A754&lt;&gt;"",'Approved-Enforcement'!N754,"")</f>
        <v/>
      </c>
      <c r="P754" t="str">
        <f>IF($A754&lt;&gt;"",'Approved-Enforcement'!O754,"")</f>
        <v/>
      </c>
    </row>
    <row r="755" spans="1:16" x14ac:dyDescent="0.35">
      <c r="A755" s="4" t="str">
        <f>IF('Approved-Enforcement'!$A755&lt;&gt;"",'Approved-Enforcement'!A755,"")</f>
        <v/>
      </c>
      <c r="B755" t="str">
        <f t="shared" si="11"/>
        <v/>
      </c>
      <c r="D755" t="str">
        <f>IF($A755&lt;&gt;"",IF($R755&lt;&gt;"",$R755,'Approved-Enforcement'!$B755+7),"")</f>
        <v/>
      </c>
      <c r="E755" t="str">
        <f>IF($A755&lt;&gt;"",'Approved-Enforcement'!D755,"")</f>
        <v/>
      </c>
      <c r="F755" t="str">
        <f>IF($A755&lt;&gt;"",'Approved-Enforcement'!E755,"")</f>
        <v/>
      </c>
      <c r="G755" t="str">
        <f>IF($A755&lt;&gt;"",'Approved-Enforcement'!F755,"")</f>
        <v/>
      </c>
      <c r="H755" t="str">
        <f>IF($A755&lt;&gt;"",'Approved-Enforcement'!G755,"")</f>
        <v/>
      </c>
      <c r="I755" t="str">
        <f>IF($A755&lt;&gt;"",'Approved-Enforcement'!H755,"")</f>
        <v/>
      </c>
      <c r="J755" t="str">
        <f>IF($A755&lt;&gt;"",'Approved-Enforcement'!I755,"")</f>
        <v/>
      </c>
      <c r="K755" t="str">
        <f>IF($A755&lt;&gt;"",'Approved-Enforcement'!J755,"")</f>
        <v/>
      </c>
      <c r="L755" t="str">
        <f>IF($A755&lt;&gt;"",'Approved-Enforcement'!K755,"")</f>
        <v/>
      </c>
      <c r="M755" t="str">
        <f>IF($A755&lt;&gt;"",'Approved-Enforcement'!L755,"")</f>
        <v/>
      </c>
      <c r="N755" t="str">
        <f>IF($A755&lt;&gt;"",'Approved-Enforcement'!M755,"")</f>
        <v/>
      </c>
      <c r="O755" t="str">
        <f>IF($A755&lt;&gt;"",'Approved-Enforcement'!N755,"")</f>
        <v/>
      </c>
      <c r="P755" t="str">
        <f>IF($A755&lt;&gt;"",'Approved-Enforcement'!O755,"")</f>
        <v/>
      </c>
    </row>
    <row r="756" spans="1:16" x14ac:dyDescent="0.35">
      <c r="A756" s="4" t="str">
        <f>IF('Approved-Enforcement'!$A756&lt;&gt;"",'Approved-Enforcement'!A756,"")</f>
        <v/>
      </c>
      <c r="B756" t="str">
        <f t="shared" si="11"/>
        <v/>
      </c>
      <c r="D756" t="str">
        <f>IF($A756&lt;&gt;"",IF($R756&lt;&gt;"",$R756,'Approved-Enforcement'!$B756+7),"")</f>
        <v/>
      </c>
      <c r="E756" t="str">
        <f>IF($A756&lt;&gt;"",'Approved-Enforcement'!D756,"")</f>
        <v/>
      </c>
      <c r="F756" t="str">
        <f>IF($A756&lt;&gt;"",'Approved-Enforcement'!E756,"")</f>
        <v/>
      </c>
      <c r="G756" t="str">
        <f>IF($A756&lt;&gt;"",'Approved-Enforcement'!F756,"")</f>
        <v/>
      </c>
      <c r="H756" t="str">
        <f>IF($A756&lt;&gt;"",'Approved-Enforcement'!G756,"")</f>
        <v/>
      </c>
      <c r="I756" t="str">
        <f>IF($A756&lt;&gt;"",'Approved-Enforcement'!H756,"")</f>
        <v/>
      </c>
      <c r="J756" t="str">
        <f>IF($A756&lt;&gt;"",'Approved-Enforcement'!I756,"")</f>
        <v/>
      </c>
      <c r="K756" t="str">
        <f>IF($A756&lt;&gt;"",'Approved-Enforcement'!J756,"")</f>
        <v/>
      </c>
      <c r="L756" t="str">
        <f>IF($A756&lt;&gt;"",'Approved-Enforcement'!K756,"")</f>
        <v/>
      </c>
      <c r="M756" t="str">
        <f>IF($A756&lt;&gt;"",'Approved-Enforcement'!L756,"")</f>
        <v/>
      </c>
      <c r="N756" t="str">
        <f>IF($A756&lt;&gt;"",'Approved-Enforcement'!M756,"")</f>
        <v/>
      </c>
      <c r="O756" t="str">
        <f>IF($A756&lt;&gt;"",'Approved-Enforcement'!N756,"")</f>
        <v/>
      </c>
      <c r="P756" t="str">
        <f>IF($A756&lt;&gt;"",'Approved-Enforcement'!O756,"")</f>
        <v/>
      </c>
    </row>
    <row r="757" spans="1:16" x14ac:dyDescent="0.35">
      <c r="A757" s="4" t="str">
        <f>IF('Approved-Enforcement'!$A757&lt;&gt;"",'Approved-Enforcement'!A757,"")</f>
        <v/>
      </c>
      <c r="B757" t="str">
        <f t="shared" si="11"/>
        <v/>
      </c>
      <c r="D757" t="str">
        <f>IF($A757&lt;&gt;"",IF($R757&lt;&gt;"",$R757,'Approved-Enforcement'!$B757+7),"")</f>
        <v/>
      </c>
      <c r="E757" t="str">
        <f>IF($A757&lt;&gt;"",'Approved-Enforcement'!D757,"")</f>
        <v/>
      </c>
      <c r="F757" t="str">
        <f>IF($A757&lt;&gt;"",'Approved-Enforcement'!E757,"")</f>
        <v/>
      </c>
      <c r="G757" t="str">
        <f>IF($A757&lt;&gt;"",'Approved-Enforcement'!F757,"")</f>
        <v/>
      </c>
      <c r="H757" t="str">
        <f>IF($A757&lt;&gt;"",'Approved-Enforcement'!G757,"")</f>
        <v/>
      </c>
      <c r="I757" t="str">
        <f>IF($A757&lt;&gt;"",'Approved-Enforcement'!H757,"")</f>
        <v/>
      </c>
      <c r="J757" t="str">
        <f>IF($A757&lt;&gt;"",'Approved-Enforcement'!I757,"")</f>
        <v/>
      </c>
      <c r="K757" t="str">
        <f>IF($A757&lt;&gt;"",'Approved-Enforcement'!J757,"")</f>
        <v/>
      </c>
      <c r="L757" t="str">
        <f>IF($A757&lt;&gt;"",'Approved-Enforcement'!K757,"")</f>
        <v/>
      </c>
      <c r="M757" t="str">
        <f>IF($A757&lt;&gt;"",'Approved-Enforcement'!L757,"")</f>
        <v/>
      </c>
      <c r="N757" t="str">
        <f>IF($A757&lt;&gt;"",'Approved-Enforcement'!M757,"")</f>
        <v/>
      </c>
      <c r="O757" t="str">
        <f>IF($A757&lt;&gt;"",'Approved-Enforcement'!N757,"")</f>
        <v/>
      </c>
      <c r="P757" t="str">
        <f>IF($A757&lt;&gt;"",'Approved-Enforcement'!O757,"")</f>
        <v/>
      </c>
    </row>
    <row r="758" spans="1:16" x14ac:dyDescent="0.35">
      <c r="A758" s="4" t="str">
        <f>IF('Approved-Enforcement'!$A758&lt;&gt;"",'Approved-Enforcement'!A758,"")</f>
        <v/>
      </c>
      <c r="B758" t="str">
        <f t="shared" si="11"/>
        <v/>
      </c>
      <c r="D758" t="str">
        <f>IF($A758&lt;&gt;"",IF($R758&lt;&gt;"",$R758,'Approved-Enforcement'!$B758+7),"")</f>
        <v/>
      </c>
      <c r="E758" t="str">
        <f>IF($A758&lt;&gt;"",'Approved-Enforcement'!D758,"")</f>
        <v/>
      </c>
      <c r="F758" t="str">
        <f>IF($A758&lt;&gt;"",'Approved-Enforcement'!E758,"")</f>
        <v/>
      </c>
      <c r="G758" t="str">
        <f>IF($A758&lt;&gt;"",'Approved-Enforcement'!F758,"")</f>
        <v/>
      </c>
      <c r="H758" t="str">
        <f>IF($A758&lt;&gt;"",'Approved-Enforcement'!G758,"")</f>
        <v/>
      </c>
      <c r="I758" t="str">
        <f>IF($A758&lt;&gt;"",'Approved-Enforcement'!H758,"")</f>
        <v/>
      </c>
      <c r="J758" t="str">
        <f>IF($A758&lt;&gt;"",'Approved-Enforcement'!I758,"")</f>
        <v/>
      </c>
      <c r="K758" t="str">
        <f>IF($A758&lt;&gt;"",'Approved-Enforcement'!J758,"")</f>
        <v/>
      </c>
      <c r="L758" t="str">
        <f>IF($A758&lt;&gt;"",'Approved-Enforcement'!K758,"")</f>
        <v/>
      </c>
      <c r="M758" t="str">
        <f>IF($A758&lt;&gt;"",'Approved-Enforcement'!L758,"")</f>
        <v/>
      </c>
      <c r="N758" t="str">
        <f>IF($A758&lt;&gt;"",'Approved-Enforcement'!M758,"")</f>
        <v/>
      </c>
      <c r="O758" t="str">
        <f>IF($A758&lt;&gt;"",'Approved-Enforcement'!N758,"")</f>
        <v/>
      </c>
      <c r="P758" t="str">
        <f>IF($A758&lt;&gt;"",'Approved-Enforcement'!O758,"")</f>
        <v/>
      </c>
    </row>
    <row r="759" spans="1:16" x14ac:dyDescent="0.35">
      <c r="A759" s="4" t="str">
        <f>IF('Approved-Enforcement'!$A759&lt;&gt;"",'Approved-Enforcement'!A759,"")</f>
        <v/>
      </c>
      <c r="B759" t="str">
        <f t="shared" si="11"/>
        <v/>
      </c>
      <c r="D759" t="str">
        <f>IF($A759&lt;&gt;"",IF($R759&lt;&gt;"",$R759,'Approved-Enforcement'!$B759+7),"")</f>
        <v/>
      </c>
      <c r="E759" t="str">
        <f>IF($A759&lt;&gt;"",'Approved-Enforcement'!D759,"")</f>
        <v/>
      </c>
      <c r="F759" t="str">
        <f>IF($A759&lt;&gt;"",'Approved-Enforcement'!E759,"")</f>
        <v/>
      </c>
      <c r="G759" t="str">
        <f>IF($A759&lt;&gt;"",'Approved-Enforcement'!F759,"")</f>
        <v/>
      </c>
      <c r="H759" t="str">
        <f>IF($A759&lt;&gt;"",'Approved-Enforcement'!G759,"")</f>
        <v/>
      </c>
      <c r="I759" t="str">
        <f>IF($A759&lt;&gt;"",'Approved-Enforcement'!H759,"")</f>
        <v/>
      </c>
      <c r="J759" t="str">
        <f>IF($A759&lt;&gt;"",'Approved-Enforcement'!I759,"")</f>
        <v/>
      </c>
      <c r="K759" t="str">
        <f>IF($A759&lt;&gt;"",'Approved-Enforcement'!J759,"")</f>
        <v/>
      </c>
      <c r="L759" t="str">
        <f>IF($A759&lt;&gt;"",'Approved-Enforcement'!K759,"")</f>
        <v/>
      </c>
      <c r="M759" t="str">
        <f>IF($A759&lt;&gt;"",'Approved-Enforcement'!L759,"")</f>
        <v/>
      </c>
      <c r="N759" t="str">
        <f>IF($A759&lt;&gt;"",'Approved-Enforcement'!M759,"")</f>
        <v/>
      </c>
      <c r="O759" t="str">
        <f>IF($A759&lt;&gt;"",'Approved-Enforcement'!N759,"")</f>
        <v/>
      </c>
      <c r="P759" t="str">
        <f>IF($A759&lt;&gt;"",'Approved-Enforcement'!O759,"")</f>
        <v/>
      </c>
    </row>
    <row r="760" spans="1:16" x14ac:dyDescent="0.35">
      <c r="A760" s="4" t="str">
        <f>IF('Approved-Enforcement'!$A760&lt;&gt;"",'Approved-Enforcement'!A760,"")</f>
        <v/>
      </c>
      <c r="B760" t="str">
        <f t="shared" si="11"/>
        <v/>
      </c>
      <c r="D760" t="str">
        <f>IF($A760&lt;&gt;"",IF($R760&lt;&gt;"",$R760,'Approved-Enforcement'!$B760+7),"")</f>
        <v/>
      </c>
      <c r="E760" t="str">
        <f>IF($A760&lt;&gt;"",'Approved-Enforcement'!D760,"")</f>
        <v/>
      </c>
      <c r="F760" t="str">
        <f>IF($A760&lt;&gt;"",'Approved-Enforcement'!E760,"")</f>
        <v/>
      </c>
      <c r="G760" t="str">
        <f>IF($A760&lt;&gt;"",'Approved-Enforcement'!F760,"")</f>
        <v/>
      </c>
      <c r="H760" t="str">
        <f>IF($A760&lt;&gt;"",'Approved-Enforcement'!G760,"")</f>
        <v/>
      </c>
      <c r="I760" t="str">
        <f>IF($A760&lt;&gt;"",'Approved-Enforcement'!H760,"")</f>
        <v/>
      </c>
      <c r="J760" t="str">
        <f>IF($A760&lt;&gt;"",'Approved-Enforcement'!I760,"")</f>
        <v/>
      </c>
      <c r="K760" t="str">
        <f>IF($A760&lt;&gt;"",'Approved-Enforcement'!J760,"")</f>
        <v/>
      </c>
      <c r="L760" t="str">
        <f>IF($A760&lt;&gt;"",'Approved-Enforcement'!K760,"")</f>
        <v/>
      </c>
      <c r="M760" t="str">
        <f>IF($A760&lt;&gt;"",'Approved-Enforcement'!L760,"")</f>
        <v/>
      </c>
      <c r="N760" t="str">
        <f>IF($A760&lt;&gt;"",'Approved-Enforcement'!M760,"")</f>
        <v/>
      </c>
      <c r="O760" t="str">
        <f>IF($A760&lt;&gt;"",'Approved-Enforcement'!N760,"")</f>
        <v/>
      </c>
      <c r="P760" t="str">
        <f>IF($A760&lt;&gt;"",'Approved-Enforcement'!O760,"")</f>
        <v/>
      </c>
    </row>
    <row r="761" spans="1:16" x14ac:dyDescent="0.35">
      <c r="A761" s="4" t="str">
        <f>IF('Approved-Enforcement'!$A761&lt;&gt;"",'Approved-Enforcement'!A761,"")</f>
        <v/>
      </c>
      <c r="B761" t="str">
        <f t="shared" si="11"/>
        <v/>
      </c>
      <c r="D761" t="str">
        <f>IF($A761&lt;&gt;"",IF($R761&lt;&gt;"",$R761,'Approved-Enforcement'!$B761+7),"")</f>
        <v/>
      </c>
      <c r="E761" t="str">
        <f>IF($A761&lt;&gt;"",'Approved-Enforcement'!D761,"")</f>
        <v/>
      </c>
      <c r="F761" t="str">
        <f>IF($A761&lt;&gt;"",'Approved-Enforcement'!E761,"")</f>
        <v/>
      </c>
      <c r="G761" t="str">
        <f>IF($A761&lt;&gt;"",'Approved-Enforcement'!F761,"")</f>
        <v/>
      </c>
      <c r="H761" t="str">
        <f>IF($A761&lt;&gt;"",'Approved-Enforcement'!G761,"")</f>
        <v/>
      </c>
      <c r="I761" t="str">
        <f>IF($A761&lt;&gt;"",'Approved-Enforcement'!H761,"")</f>
        <v/>
      </c>
      <c r="J761" t="str">
        <f>IF($A761&lt;&gt;"",'Approved-Enforcement'!I761,"")</f>
        <v/>
      </c>
      <c r="K761" t="str">
        <f>IF($A761&lt;&gt;"",'Approved-Enforcement'!J761,"")</f>
        <v/>
      </c>
      <c r="L761" t="str">
        <f>IF($A761&lt;&gt;"",'Approved-Enforcement'!K761,"")</f>
        <v/>
      </c>
      <c r="M761" t="str">
        <f>IF($A761&lt;&gt;"",'Approved-Enforcement'!L761,"")</f>
        <v/>
      </c>
      <c r="N761" t="str">
        <f>IF($A761&lt;&gt;"",'Approved-Enforcement'!M761,"")</f>
        <v/>
      </c>
      <c r="O761" t="str">
        <f>IF($A761&lt;&gt;"",'Approved-Enforcement'!N761,"")</f>
        <v/>
      </c>
      <c r="P761" t="str">
        <f>IF($A761&lt;&gt;"",'Approved-Enforcement'!O761,"")</f>
        <v/>
      </c>
    </row>
    <row r="762" spans="1:16" x14ac:dyDescent="0.35">
      <c r="A762" s="4" t="str">
        <f>IF('Approved-Enforcement'!$A762&lt;&gt;"",'Approved-Enforcement'!A762,"")</f>
        <v/>
      </c>
      <c r="B762" t="str">
        <f t="shared" si="11"/>
        <v/>
      </c>
      <c r="D762" t="str">
        <f>IF($A762&lt;&gt;"",IF($R762&lt;&gt;"",$R762,'Approved-Enforcement'!$B762+7),"")</f>
        <v/>
      </c>
      <c r="E762" t="str">
        <f>IF($A762&lt;&gt;"",'Approved-Enforcement'!D762,"")</f>
        <v/>
      </c>
      <c r="F762" t="str">
        <f>IF($A762&lt;&gt;"",'Approved-Enforcement'!E762,"")</f>
        <v/>
      </c>
      <c r="G762" t="str">
        <f>IF($A762&lt;&gt;"",'Approved-Enforcement'!F762,"")</f>
        <v/>
      </c>
      <c r="H762" t="str">
        <f>IF($A762&lt;&gt;"",'Approved-Enforcement'!G762,"")</f>
        <v/>
      </c>
      <c r="I762" t="str">
        <f>IF($A762&lt;&gt;"",'Approved-Enforcement'!H762,"")</f>
        <v/>
      </c>
      <c r="J762" t="str">
        <f>IF($A762&lt;&gt;"",'Approved-Enforcement'!I762,"")</f>
        <v/>
      </c>
      <c r="K762" t="str">
        <f>IF($A762&lt;&gt;"",'Approved-Enforcement'!J762,"")</f>
        <v/>
      </c>
      <c r="L762" t="str">
        <f>IF($A762&lt;&gt;"",'Approved-Enforcement'!K762,"")</f>
        <v/>
      </c>
      <c r="M762" t="str">
        <f>IF($A762&lt;&gt;"",'Approved-Enforcement'!L762,"")</f>
        <v/>
      </c>
      <c r="N762" t="str">
        <f>IF($A762&lt;&gt;"",'Approved-Enforcement'!M762,"")</f>
        <v/>
      </c>
      <c r="O762" t="str">
        <f>IF($A762&lt;&gt;"",'Approved-Enforcement'!N762,"")</f>
        <v/>
      </c>
      <c r="P762" t="str">
        <f>IF($A762&lt;&gt;"",'Approved-Enforcement'!O762,"")</f>
        <v/>
      </c>
    </row>
    <row r="763" spans="1:16" x14ac:dyDescent="0.35">
      <c r="A763" s="4" t="str">
        <f>IF('Approved-Enforcement'!$A763&lt;&gt;"",'Approved-Enforcement'!A763,"")</f>
        <v/>
      </c>
      <c r="B763" t="str">
        <f t="shared" si="11"/>
        <v/>
      </c>
      <c r="D763" t="str">
        <f>IF($A763&lt;&gt;"",IF($R763&lt;&gt;"",$R763,'Approved-Enforcement'!$B763+7),"")</f>
        <v/>
      </c>
      <c r="E763" t="str">
        <f>IF($A763&lt;&gt;"",'Approved-Enforcement'!D763,"")</f>
        <v/>
      </c>
      <c r="F763" t="str">
        <f>IF($A763&lt;&gt;"",'Approved-Enforcement'!E763,"")</f>
        <v/>
      </c>
      <c r="G763" t="str">
        <f>IF($A763&lt;&gt;"",'Approved-Enforcement'!F763,"")</f>
        <v/>
      </c>
      <c r="H763" t="str">
        <f>IF($A763&lt;&gt;"",'Approved-Enforcement'!G763,"")</f>
        <v/>
      </c>
      <c r="I763" t="str">
        <f>IF($A763&lt;&gt;"",'Approved-Enforcement'!H763,"")</f>
        <v/>
      </c>
      <c r="J763" t="str">
        <f>IF($A763&lt;&gt;"",'Approved-Enforcement'!I763,"")</f>
        <v/>
      </c>
      <c r="K763" t="str">
        <f>IF($A763&lt;&gt;"",'Approved-Enforcement'!J763,"")</f>
        <v/>
      </c>
      <c r="L763" t="str">
        <f>IF($A763&lt;&gt;"",'Approved-Enforcement'!K763,"")</f>
        <v/>
      </c>
      <c r="M763" t="str">
        <f>IF($A763&lt;&gt;"",'Approved-Enforcement'!L763,"")</f>
        <v/>
      </c>
      <c r="N763" t="str">
        <f>IF($A763&lt;&gt;"",'Approved-Enforcement'!M763,"")</f>
        <v/>
      </c>
      <c r="O763" t="str">
        <f>IF($A763&lt;&gt;"",'Approved-Enforcement'!N763,"")</f>
        <v/>
      </c>
      <c r="P763" t="str">
        <f>IF($A763&lt;&gt;"",'Approved-Enforcement'!O763,"")</f>
        <v/>
      </c>
    </row>
    <row r="764" spans="1:16" x14ac:dyDescent="0.35">
      <c r="A764" s="4" t="str">
        <f>IF('Approved-Enforcement'!$A764&lt;&gt;"",'Approved-Enforcement'!A764,"")</f>
        <v/>
      </c>
      <c r="B764" t="str">
        <f t="shared" si="11"/>
        <v/>
      </c>
      <c r="D764" t="str">
        <f>IF($A764&lt;&gt;"",IF($R764&lt;&gt;"",$R764,'Approved-Enforcement'!$B764+7),"")</f>
        <v/>
      </c>
      <c r="E764" t="str">
        <f>IF($A764&lt;&gt;"",'Approved-Enforcement'!D764,"")</f>
        <v/>
      </c>
      <c r="F764" t="str">
        <f>IF($A764&lt;&gt;"",'Approved-Enforcement'!E764,"")</f>
        <v/>
      </c>
      <c r="G764" t="str">
        <f>IF($A764&lt;&gt;"",'Approved-Enforcement'!F764,"")</f>
        <v/>
      </c>
      <c r="H764" t="str">
        <f>IF($A764&lt;&gt;"",'Approved-Enforcement'!G764,"")</f>
        <v/>
      </c>
      <c r="I764" t="str">
        <f>IF($A764&lt;&gt;"",'Approved-Enforcement'!H764,"")</f>
        <v/>
      </c>
      <c r="J764" t="str">
        <f>IF($A764&lt;&gt;"",'Approved-Enforcement'!I764,"")</f>
        <v/>
      </c>
      <c r="K764" t="str">
        <f>IF($A764&lt;&gt;"",'Approved-Enforcement'!J764,"")</f>
        <v/>
      </c>
      <c r="L764" t="str">
        <f>IF($A764&lt;&gt;"",'Approved-Enforcement'!K764,"")</f>
        <v/>
      </c>
      <c r="M764" t="str">
        <f>IF($A764&lt;&gt;"",'Approved-Enforcement'!L764,"")</f>
        <v/>
      </c>
      <c r="N764" t="str">
        <f>IF($A764&lt;&gt;"",'Approved-Enforcement'!M764,"")</f>
        <v/>
      </c>
      <c r="O764" t="str">
        <f>IF($A764&lt;&gt;"",'Approved-Enforcement'!N764,"")</f>
        <v/>
      </c>
      <c r="P764" t="str">
        <f>IF($A764&lt;&gt;"",'Approved-Enforcement'!O764,"")</f>
        <v/>
      </c>
    </row>
    <row r="765" spans="1:16" x14ac:dyDescent="0.35">
      <c r="A765" s="4" t="str">
        <f>IF('Approved-Enforcement'!$A765&lt;&gt;"",'Approved-Enforcement'!A765,"")</f>
        <v/>
      </c>
      <c r="B765" t="str">
        <f t="shared" si="11"/>
        <v/>
      </c>
      <c r="D765" t="str">
        <f>IF($A765&lt;&gt;"",IF($R765&lt;&gt;"",$R765,'Approved-Enforcement'!$B765+7),"")</f>
        <v/>
      </c>
      <c r="E765" t="str">
        <f>IF($A765&lt;&gt;"",'Approved-Enforcement'!D765,"")</f>
        <v/>
      </c>
      <c r="F765" t="str">
        <f>IF($A765&lt;&gt;"",'Approved-Enforcement'!E765,"")</f>
        <v/>
      </c>
      <c r="G765" t="str">
        <f>IF($A765&lt;&gt;"",'Approved-Enforcement'!F765,"")</f>
        <v/>
      </c>
      <c r="H765" t="str">
        <f>IF($A765&lt;&gt;"",'Approved-Enforcement'!G765,"")</f>
        <v/>
      </c>
      <c r="I765" t="str">
        <f>IF($A765&lt;&gt;"",'Approved-Enforcement'!H765,"")</f>
        <v/>
      </c>
      <c r="J765" t="str">
        <f>IF($A765&lt;&gt;"",'Approved-Enforcement'!I765,"")</f>
        <v/>
      </c>
      <c r="K765" t="str">
        <f>IF($A765&lt;&gt;"",'Approved-Enforcement'!J765,"")</f>
        <v/>
      </c>
      <c r="L765" t="str">
        <f>IF($A765&lt;&gt;"",'Approved-Enforcement'!K765,"")</f>
        <v/>
      </c>
      <c r="M765" t="str">
        <f>IF($A765&lt;&gt;"",'Approved-Enforcement'!L765,"")</f>
        <v/>
      </c>
      <c r="N765" t="str">
        <f>IF($A765&lt;&gt;"",'Approved-Enforcement'!M765,"")</f>
        <v/>
      </c>
      <c r="O765" t="str">
        <f>IF($A765&lt;&gt;"",'Approved-Enforcement'!N765,"")</f>
        <v/>
      </c>
      <c r="P765" t="str">
        <f>IF($A765&lt;&gt;"",'Approved-Enforcement'!O765,"")</f>
        <v/>
      </c>
    </row>
    <row r="766" spans="1:16" x14ac:dyDescent="0.35">
      <c r="A766" s="4" t="str">
        <f>IF('Approved-Enforcement'!$A766&lt;&gt;"",'Approved-Enforcement'!A766,"")</f>
        <v/>
      </c>
      <c r="B766" t="str">
        <f t="shared" si="11"/>
        <v/>
      </c>
      <c r="D766" t="str">
        <f>IF($A766&lt;&gt;"",IF($R766&lt;&gt;"",$R766,'Approved-Enforcement'!$B766+7),"")</f>
        <v/>
      </c>
      <c r="E766" t="str">
        <f>IF($A766&lt;&gt;"",'Approved-Enforcement'!D766,"")</f>
        <v/>
      </c>
      <c r="F766" t="str">
        <f>IF($A766&lt;&gt;"",'Approved-Enforcement'!E766,"")</f>
        <v/>
      </c>
      <c r="G766" t="str">
        <f>IF($A766&lt;&gt;"",'Approved-Enforcement'!F766,"")</f>
        <v/>
      </c>
      <c r="H766" t="str">
        <f>IF($A766&lt;&gt;"",'Approved-Enforcement'!G766,"")</f>
        <v/>
      </c>
      <c r="I766" t="str">
        <f>IF($A766&lt;&gt;"",'Approved-Enforcement'!H766,"")</f>
        <v/>
      </c>
      <c r="J766" t="str">
        <f>IF($A766&lt;&gt;"",'Approved-Enforcement'!I766,"")</f>
        <v/>
      </c>
      <c r="K766" t="str">
        <f>IF($A766&lt;&gt;"",'Approved-Enforcement'!J766,"")</f>
        <v/>
      </c>
      <c r="L766" t="str">
        <f>IF($A766&lt;&gt;"",'Approved-Enforcement'!K766,"")</f>
        <v/>
      </c>
      <c r="M766" t="str">
        <f>IF($A766&lt;&gt;"",'Approved-Enforcement'!L766,"")</f>
        <v/>
      </c>
      <c r="N766" t="str">
        <f>IF($A766&lt;&gt;"",'Approved-Enforcement'!M766,"")</f>
        <v/>
      </c>
      <c r="O766" t="str">
        <f>IF($A766&lt;&gt;"",'Approved-Enforcement'!N766,"")</f>
        <v/>
      </c>
      <c r="P766" t="str">
        <f>IF($A766&lt;&gt;"",'Approved-Enforcement'!O766,"")</f>
        <v/>
      </c>
    </row>
    <row r="767" spans="1:16" x14ac:dyDescent="0.35">
      <c r="A767" s="4" t="str">
        <f>IF('Approved-Enforcement'!$A767&lt;&gt;"",'Approved-Enforcement'!A767,"")</f>
        <v/>
      </c>
      <c r="B767" t="str">
        <f t="shared" si="11"/>
        <v/>
      </c>
      <c r="D767" t="str">
        <f>IF($A767&lt;&gt;"",IF($R767&lt;&gt;"",$R767,'Approved-Enforcement'!$B767+7),"")</f>
        <v/>
      </c>
      <c r="E767" t="str">
        <f>IF($A767&lt;&gt;"",'Approved-Enforcement'!D767,"")</f>
        <v/>
      </c>
      <c r="F767" t="str">
        <f>IF($A767&lt;&gt;"",'Approved-Enforcement'!E767,"")</f>
        <v/>
      </c>
      <c r="G767" t="str">
        <f>IF($A767&lt;&gt;"",'Approved-Enforcement'!F767,"")</f>
        <v/>
      </c>
      <c r="H767" t="str">
        <f>IF($A767&lt;&gt;"",'Approved-Enforcement'!G767,"")</f>
        <v/>
      </c>
      <c r="I767" t="str">
        <f>IF($A767&lt;&gt;"",'Approved-Enforcement'!H767,"")</f>
        <v/>
      </c>
      <c r="J767" t="str">
        <f>IF($A767&lt;&gt;"",'Approved-Enforcement'!I767,"")</f>
        <v/>
      </c>
      <c r="K767" t="str">
        <f>IF($A767&lt;&gt;"",'Approved-Enforcement'!J767,"")</f>
        <v/>
      </c>
      <c r="L767" t="str">
        <f>IF($A767&lt;&gt;"",'Approved-Enforcement'!K767,"")</f>
        <v/>
      </c>
      <c r="M767" t="str">
        <f>IF($A767&lt;&gt;"",'Approved-Enforcement'!L767,"")</f>
        <v/>
      </c>
      <c r="N767" t="str">
        <f>IF($A767&lt;&gt;"",'Approved-Enforcement'!M767,"")</f>
        <v/>
      </c>
      <c r="O767" t="str">
        <f>IF($A767&lt;&gt;"",'Approved-Enforcement'!N767,"")</f>
        <v/>
      </c>
      <c r="P767" t="str">
        <f>IF($A767&lt;&gt;"",'Approved-Enforcement'!O767,"")</f>
        <v/>
      </c>
    </row>
    <row r="768" spans="1:16" x14ac:dyDescent="0.35">
      <c r="A768" s="4" t="str">
        <f>IF('Approved-Enforcement'!$A768&lt;&gt;"",'Approved-Enforcement'!A768,"")</f>
        <v/>
      </c>
      <c r="B768" t="str">
        <f t="shared" si="11"/>
        <v/>
      </c>
      <c r="D768" t="str">
        <f>IF($A768&lt;&gt;"",IF($R768&lt;&gt;"",$R768,'Approved-Enforcement'!$B768+7),"")</f>
        <v/>
      </c>
      <c r="E768" t="str">
        <f>IF($A768&lt;&gt;"",'Approved-Enforcement'!D768,"")</f>
        <v/>
      </c>
      <c r="F768" t="str">
        <f>IF($A768&lt;&gt;"",'Approved-Enforcement'!E768,"")</f>
        <v/>
      </c>
      <c r="G768" t="str">
        <f>IF($A768&lt;&gt;"",'Approved-Enforcement'!F768,"")</f>
        <v/>
      </c>
      <c r="H768" t="str">
        <f>IF($A768&lt;&gt;"",'Approved-Enforcement'!G768,"")</f>
        <v/>
      </c>
      <c r="I768" t="str">
        <f>IF($A768&lt;&gt;"",'Approved-Enforcement'!H768,"")</f>
        <v/>
      </c>
      <c r="J768" t="str">
        <f>IF($A768&lt;&gt;"",'Approved-Enforcement'!I768,"")</f>
        <v/>
      </c>
      <c r="K768" t="str">
        <f>IF($A768&lt;&gt;"",'Approved-Enforcement'!J768,"")</f>
        <v/>
      </c>
      <c r="L768" t="str">
        <f>IF($A768&lt;&gt;"",'Approved-Enforcement'!K768,"")</f>
        <v/>
      </c>
      <c r="M768" t="str">
        <f>IF($A768&lt;&gt;"",'Approved-Enforcement'!L768,"")</f>
        <v/>
      </c>
      <c r="N768" t="str">
        <f>IF($A768&lt;&gt;"",'Approved-Enforcement'!M768,"")</f>
        <v/>
      </c>
      <c r="O768" t="str">
        <f>IF($A768&lt;&gt;"",'Approved-Enforcement'!N768,"")</f>
        <v/>
      </c>
      <c r="P768" t="str">
        <f>IF($A768&lt;&gt;"",'Approved-Enforcement'!O768,"")</f>
        <v/>
      </c>
    </row>
    <row r="769" spans="1:16" x14ac:dyDescent="0.35">
      <c r="A769" s="4" t="str">
        <f>IF('Approved-Enforcement'!$A769&lt;&gt;"",'Approved-Enforcement'!A769,"")</f>
        <v/>
      </c>
      <c r="B769" t="str">
        <f t="shared" si="11"/>
        <v/>
      </c>
      <c r="D769" t="str">
        <f>IF($A769&lt;&gt;"",IF($R769&lt;&gt;"",$R769,'Approved-Enforcement'!$B769+7),"")</f>
        <v/>
      </c>
      <c r="E769" t="str">
        <f>IF($A769&lt;&gt;"",'Approved-Enforcement'!D769,"")</f>
        <v/>
      </c>
      <c r="F769" t="str">
        <f>IF($A769&lt;&gt;"",'Approved-Enforcement'!E769,"")</f>
        <v/>
      </c>
      <c r="G769" t="str">
        <f>IF($A769&lt;&gt;"",'Approved-Enforcement'!F769,"")</f>
        <v/>
      </c>
      <c r="H769" t="str">
        <f>IF($A769&lt;&gt;"",'Approved-Enforcement'!G769,"")</f>
        <v/>
      </c>
      <c r="I769" t="str">
        <f>IF($A769&lt;&gt;"",'Approved-Enforcement'!H769,"")</f>
        <v/>
      </c>
      <c r="J769" t="str">
        <f>IF($A769&lt;&gt;"",'Approved-Enforcement'!I769,"")</f>
        <v/>
      </c>
      <c r="K769" t="str">
        <f>IF($A769&lt;&gt;"",'Approved-Enforcement'!J769,"")</f>
        <v/>
      </c>
      <c r="L769" t="str">
        <f>IF($A769&lt;&gt;"",'Approved-Enforcement'!K769,"")</f>
        <v/>
      </c>
      <c r="M769" t="str">
        <f>IF($A769&lt;&gt;"",'Approved-Enforcement'!L769,"")</f>
        <v/>
      </c>
      <c r="N769" t="str">
        <f>IF($A769&lt;&gt;"",'Approved-Enforcement'!M769,"")</f>
        <v/>
      </c>
      <c r="O769" t="str">
        <f>IF($A769&lt;&gt;"",'Approved-Enforcement'!N769,"")</f>
        <v/>
      </c>
      <c r="P769" t="str">
        <f>IF($A769&lt;&gt;"",'Approved-Enforcement'!O769,"")</f>
        <v/>
      </c>
    </row>
    <row r="770" spans="1:16" x14ac:dyDescent="0.35">
      <c r="A770" s="4" t="str">
        <f>IF('Approved-Enforcement'!$A770&lt;&gt;"",'Approved-Enforcement'!A770,"")</f>
        <v/>
      </c>
      <c r="B770" t="str">
        <f t="shared" ref="B770:B833" si="12">IF($A770&lt;&gt;"",IF($C770&lt;&gt;"",$C770,1500),"")</f>
        <v/>
      </c>
      <c r="D770" t="str">
        <f>IF($A770&lt;&gt;"",IF($R770&lt;&gt;"",$R770,'Approved-Enforcement'!$B770+7),"")</f>
        <v/>
      </c>
      <c r="E770" t="str">
        <f>IF($A770&lt;&gt;"",'Approved-Enforcement'!D770,"")</f>
        <v/>
      </c>
      <c r="F770" t="str">
        <f>IF($A770&lt;&gt;"",'Approved-Enforcement'!E770,"")</f>
        <v/>
      </c>
      <c r="G770" t="str">
        <f>IF($A770&lt;&gt;"",'Approved-Enforcement'!F770,"")</f>
        <v/>
      </c>
      <c r="H770" t="str">
        <f>IF($A770&lt;&gt;"",'Approved-Enforcement'!G770,"")</f>
        <v/>
      </c>
      <c r="I770" t="str">
        <f>IF($A770&lt;&gt;"",'Approved-Enforcement'!H770,"")</f>
        <v/>
      </c>
      <c r="J770" t="str">
        <f>IF($A770&lt;&gt;"",'Approved-Enforcement'!I770,"")</f>
        <v/>
      </c>
      <c r="K770" t="str">
        <f>IF($A770&lt;&gt;"",'Approved-Enforcement'!J770,"")</f>
        <v/>
      </c>
      <c r="L770" t="str">
        <f>IF($A770&lt;&gt;"",'Approved-Enforcement'!K770,"")</f>
        <v/>
      </c>
      <c r="M770" t="str">
        <f>IF($A770&lt;&gt;"",'Approved-Enforcement'!L770,"")</f>
        <v/>
      </c>
      <c r="N770" t="str">
        <f>IF($A770&lt;&gt;"",'Approved-Enforcement'!M770,"")</f>
        <v/>
      </c>
      <c r="O770" t="str">
        <f>IF($A770&lt;&gt;"",'Approved-Enforcement'!N770,"")</f>
        <v/>
      </c>
      <c r="P770" t="str">
        <f>IF($A770&lt;&gt;"",'Approved-Enforcement'!O770,"")</f>
        <v/>
      </c>
    </row>
    <row r="771" spans="1:16" x14ac:dyDescent="0.35">
      <c r="A771" s="4" t="str">
        <f>IF('Approved-Enforcement'!$A771&lt;&gt;"",'Approved-Enforcement'!A771,"")</f>
        <v/>
      </c>
      <c r="B771" t="str">
        <f t="shared" si="12"/>
        <v/>
      </c>
      <c r="D771" t="str">
        <f>IF($A771&lt;&gt;"",IF($R771&lt;&gt;"",$R771,'Approved-Enforcement'!$B771+7),"")</f>
        <v/>
      </c>
      <c r="E771" t="str">
        <f>IF($A771&lt;&gt;"",'Approved-Enforcement'!D771,"")</f>
        <v/>
      </c>
      <c r="F771" t="str">
        <f>IF($A771&lt;&gt;"",'Approved-Enforcement'!E771,"")</f>
        <v/>
      </c>
      <c r="G771" t="str">
        <f>IF($A771&lt;&gt;"",'Approved-Enforcement'!F771,"")</f>
        <v/>
      </c>
      <c r="H771" t="str">
        <f>IF($A771&lt;&gt;"",'Approved-Enforcement'!G771,"")</f>
        <v/>
      </c>
      <c r="I771" t="str">
        <f>IF($A771&lt;&gt;"",'Approved-Enforcement'!H771,"")</f>
        <v/>
      </c>
      <c r="J771" t="str">
        <f>IF($A771&lt;&gt;"",'Approved-Enforcement'!I771,"")</f>
        <v/>
      </c>
      <c r="K771" t="str">
        <f>IF($A771&lt;&gt;"",'Approved-Enforcement'!J771,"")</f>
        <v/>
      </c>
      <c r="L771" t="str">
        <f>IF($A771&lt;&gt;"",'Approved-Enforcement'!K771,"")</f>
        <v/>
      </c>
      <c r="M771" t="str">
        <f>IF($A771&lt;&gt;"",'Approved-Enforcement'!L771,"")</f>
        <v/>
      </c>
      <c r="N771" t="str">
        <f>IF($A771&lt;&gt;"",'Approved-Enforcement'!M771,"")</f>
        <v/>
      </c>
      <c r="O771" t="str">
        <f>IF($A771&lt;&gt;"",'Approved-Enforcement'!N771,"")</f>
        <v/>
      </c>
      <c r="P771" t="str">
        <f>IF($A771&lt;&gt;"",'Approved-Enforcement'!O771,"")</f>
        <v/>
      </c>
    </row>
    <row r="772" spans="1:16" x14ac:dyDescent="0.35">
      <c r="A772" s="4" t="str">
        <f>IF('Approved-Enforcement'!$A772&lt;&gt;"",'Approved-Enforcement'!A772,"")</f>
        <v/>
      </c>
      <c r="B772" t="str">
        <f t="shared" si="12"/>
        <v/>
      </c>
      <c r="D772" t="str">
        <f>IF($A772&lt;&gt;"",IF($R772&lt;&gt;"",$R772,'Approved-Enforcement'!$B772+7),"")</f>
        <v/>
      </c>
      <c r="E772" t="str">
        <f>IF($A772&lt;&gt;"",'Approved-Enforcement'!D772,"")</f>
        <v/>
      </c>
      <c r="F772" t="str">
        <f>IF($A772&lt;&gt;"",'Approved-Enforcement'!E772,"")</f>
        <v/>
      </c>
      <c r="G772" t="str">
        <f>IF($A772&lt;&gt;"",'Approved-Enforcement'!F772,"")</f>
        <v/>
      </c>
      <c r="H772" t="str">
        <f>IF($A772&lt;&gt;"",'Approved-Enforcement'!G772,"")</f>
        <v/>
      </c>
      <c r="I772" t="str">
        <f>IF($A772&lt;&gt;"",'Approved-Enforcement'!H772,"")</f>
        <v/>
      </c>
      <c r="J772" t="str">
        <f>IF($A772&lt;&gt;"",'Approved-Enforcement'!I772,"")</f>
        <v/>
      </c>
      <c r="K772" t="str">
        <f>IF($A772&lt;&gt;"",'Approved-Enforcement'!J772,"")</f>
        <v/>
      </c>
      <c r="L772" t="str">
        <f>IF($A772&lt;&gt;"",'Approved-Enforcement'!K772,"")</f>
        <v/>
      </c>
      <c r="M772" t="str">
        <f>IF($A772&lt;&gt;"",'Approved-Enforcement'!L772,"")</f>
        <v/>
      </c>
      <c r="N772" t="str">
        <f>IF($A772&lt;&gt;"",'Approved-Enforcement'!M772,"")</f>
        <v/>
      </c>
      <c r="O772" t="str">
        <f>IF($A772&lt;&gt;"",'Approved-Enforcement'!N772,"")</f>
        <v/>
      </c>
      <c r="P772" t="str">
        <f>IF($A772&lt;&gt;"",'Approved-Enforcement'!O772,"")</f>
        <v/>
      </c>
    </row>
    <row r="773" spans="1:16" x14ac:dyDescent="0.35">
      <c r="A773" s="4" t="str">
        <f>IF('Approved-Enforcement'!$A773&lt;&gt;"",'Approved-Enforcement'!A773,"")</f>
        <v/>
      </c>
      <c r="B773" t="str">
        <f t="shared" si="12"/>
        <v/>
      </c>
      <c r="D773" t="str">
        <f>IF($A773&lt;&gt;"",IF($R773&lt;&gt;"",$R773,'Approved-Enforcement'!$B773+7),"")</f>
        <v/>
      </c>
      <c r="E773" t="str">
        <f>IF($A773&lt;&gt;"",'Approved-Enforcement'!D773,"")</f>
        <v/>
      </c>
      <c r="F773" t="str">
        <f>IF($A773&lt;&gt;"",'Approved-Enforcement'!E773,"")</f>
        <v/>
      </c>
      <c r="G773" t="str">
        <f>IF($A773&lt;&gt;"",'Approved-Enforcement'!F773,"")</f>
        <v/>
      </c>
      <c r="H773" t="str">
        <f>IF($A773&lt;&gt;"",'Approved-Enforcement'!G773,"")</f>
        <v/>
      </c>
      <c r="I773" t="str">
        <f>IF($A773&lt;&gt;"",'Approved-Enforcement'!H773,"")</f>
        <v/>
      </c>
      <c r="J773" t="str">
        <f>IF($A773&lt;&gt;"",'Approved-Enforcement'!I773,"")</f>
        <v/>
      </c>
      <c r="K773" t="str">
        <f>IF($A773&lt;&gt;"",'Approved-Enforcement'!J773,"")</f>
        <v/>
      </c>
      <c r="L773" t="str">
        <f>IF($A773&lt;&gt;"",'Approved-Enforcement'!K773,"")</f>
        <v/>
      </c>
      <c r="M773" t="str">
        <f>IF($A773&lt;&gt;"",'Approved-Enforcement'!L773,"")</f>
        <v/>
      </c>
      <c r="N773" t="str">
        <f>IF($A773&lt;&gt;"",'Approved-Enforcement'!M773,"")</f>
        <v/>
      </c>
      <c r="O773" t="str">
        <f>IF($A773&lt;&gt;"",'Approved-Enforcement'!N773,"")</f>
        <v/>
      </c>
      <c r="P773" t="str">
        <f>IF($A773&lt;&gt;"",'Approved-Enforcement'!O773,"")</f>
        <v/>
      </c>
    </row>
    <row r="774" spans="1:16" x14ac:dyDescent="0.35">
      <c r="A774" s="4" t="str">
        <f>IF('Approved-Enforcement'!$A774&lt;&gt;"",'Approved-Enforcement'!A774,"")</f>
        <v/>
      </c>
      <c r="B774" t="str">
        <f t="shared" si="12"/>
        <v/>
      </c>
      <c r="D774" t="str">
        <f>IF($A774&lt;&gt;"",IF($R774&lt;&gt;"",$R774,'Approved-Enforcement'!$B774+7),"")</f>
        <v/>
      </c>
      <c r="E774" t="str">
        <f>IF($A774&lt;&gt;"",'Approved-Enforcement'!D774,"")</f>
        <v/>
      </c>
      <c r="F774" t="str">
        <f>IF($A774&lt;&gt;"",'Approved-Enforcement'!E774,"")</f>
        <v/>
      </c>
      <c r="G774" t="str">
        <f>IF($A774&lt;&gt;"",'Approved-Enforcement'!F774,"")</f>
        <v/>
      </c>
      <c r="H774" t="str">
        <f>IF($A774&lt;&gt;"",'Approved-Enforcement'!G774,"")</f>
        <v/>
      </c>
      <c r="I774" t="str">
        <f>IF($A774&lt;&gt;"",'Approved-Enforcement'!H774,"")</f>
        <v/>
      </c>
      <c r="J774" t="str">
        <f>IF($A774&lt;&gt;"",'Approved-Enforcement'!I774,"")</f>
        <v/>
      </c>
      <c r="K774" t="str">
        <f>IF($A774&lt;&gt;"",'Approved-Enforcement'!J774,"")</f>
        <v/>
      </c>
      <c r="L774" t="str">
        <f>IF($A774&lt;&gt;"",'Approved-Enforcement'!K774,"")</f>
        <v/>
      </c>
      <c r="M774" t="str">
        <f>IF($A774&lt;&gt;"",'Approved-Enforcement'!L774,"")</f>
        <v/>
      </c>
      <c r="N774" t="str">
        <f>IF($A774&lt;&gt;"",'Approved-Enforcement'!M774,"")</f>
        <v/>
      </c>
      <c r="O774" t="str">
        <f>IF($A774&lt;&gt;"",'Approved-Enforcement'!N774,"")</f>
        <v/>
      </c>
      <c r="P774" t="str">
        <f>IF($A774&lt;&gt;"",'Approved-Enforcement'!O774,"")</f>
        <v/>
      </c>
    </row>
    <row r="775" spans="1:16" x14ac:dyDescent="0.35">
      <c r="A775" s="4" t="str">
        <f>IF('Approved-Enforcement'!$A775&lt;&gt;"",'Approved-Enforcement'!A775,"")</f>
        <v/>
      </c>
      <c r="B775" t="str">
        <f t="shared" si="12"/>
        <v/>
      </c>
      <c r="D775" t="str">
        <f>IF($A775&lt;&gt;"",IF($R775&lt;&gt;"",$R775,'Approved-Enforcement'!$B775+7),"")</f>
        <v/>
      </c>
      <c r="E775" t="str">
        <f>IF($A775&lt;&gt;"",'Approved-Enforcement'!D775,"")</f>
        <v/>
      </c>
      <c r="F775" t="str">
        <f>IF($A775&lt;&gt;"",'Approved-Enforcement'!E775,"")</f>
        <v/>
      </c>
      <c r="G775" t="str">
        <f>IF($A775&lt;&gt;"",'Approved-Enforcement'!F775,"")</f>
        <v/>
      </c>
      <c r="H775" t="str">
        <f>IF($A775&lt;&gt;"",'Approved-Enforcement'!G775,"")</f>
        <v/>
      </c>
      <c r="I775" t="str">
        <f>IF($A775&lt;&gt;"",'Approved-Enforcement'!H775,"")</f>
        <v/>
      </c>
      <c r="J775" t="str">
        <f>IF($A775&lt;&gt;"",'Approved-Enforcement'!I775,"")</f>
        <v/>
      </c>
      <c r="K775" t="str">
        <f>IF($A775&lt;&gt;"",'Approved-Enforcement'!J775,"")</f>
        <v/>
      </c>
      <c r="L775" t="str">
        <f>IF($A775&lt;&gt;"",'Approved-Enforcement'!K775,"")</f>
        <v/>
      </c>
      <c r="M775" t="str">
        <f>IF($A775&lt;&gt;"",'Approved-Enforcement'!L775,"")</f>
        <v/>
      </c>
      <c r="N775" t="str">
        <f>IF($A775&lt;&gt;"",'Approved-Enforcement'!M775,"")</f>
        <v/>
      </c>
      <c r="O775" t="str">
        <f>IF($A775&lt;&gt;"",'Approved-Enforcement'!N775,"")</f>
        <v/>
      </c>
      <c r="P775" t="str">
        <f>IF($A775&lt;&gt;"",'Approved-Enforcement'!O775,"")</f>
        <v/>
      </c>
    </row>
    <row r="776" spans="1:16" x14ac:dyDescent="0.35">
      <c r="A776" s="4" t="str">
        <f>IF('Approved-Enforcement'!$A776&lt;&gt;"",'Approved-Enforcement'!A776,"")</f>
        <v/>
      </c>
      <c r="B776" t="str">
        <f t="shared" si="12"/>
        <v/>
      </c>
      <c r="D776" t="str">
        <f>IF($A776&lt;&gt;"",IF($R776&lt;&gt;"",$R776,'Approved-Enforcement'!$B776+7),"")</f>
        <v/>
      </c>
      <c r="E776" t="str">
        <f>IF($A776&lt;&gt;"",'Approved-Enforcement'!D776,"")</f>
        <v/>
      </c>
      <c r="F776" t="str">
        <f>IF($A776&lt;&gt;"",'Approved-Enforcement'!E776,"")</f>
        <v/>
      </c>
      <c r="G776" t="str">
        <f>IF($A776&lt;&gt;"",'Approved-Enforcement'!F776,"")</f>
        <v/>
      </c>
      <c r="H776" t="str">
        <f>IF($A776&lt;&gt;"",'Approved-Enforcement'!G776,"")</f>
        <v/>
      </c>
      <c r="I776" t="str">
        <f>IF($A776&lt;&gt;"",'Approved-Enforcement'!H776,"")</f>
        <v/>
      </c>
      <c r="J776" t="str">
        <f>IF($A776&lt;&gt;"",'Approved-Enforcement'!I776,"")</f>
        <v/>
      </c>
      <c r="K776" t="str">
        <f>IF($A776&lt;&gt;"",'Approved-Enforcement'!J776,"")</f>
        <v/>
      </c>
      <c r="L776" t="str">
        <f>IF($A776&lt;&gt;"",'Approved-Enforcement'!K776,"")</f>
        <v/>
      </c>
      <c r="M776" t="str">
        <f>IF($A776&lt;&gt;"",'Approved-Enforcement'!L776,"")</f>
        <v/>
      </c>
      <c r="N776" t="str">
        <f>IF($A776&lt;&gt;"",'Approved-Enforcement'!M776,"")</f>
        <v/>
      </c>
      <c r="O776" t="str">
        <f>IF($A776&lt;&gt;"",'Approved-Enforcement'!N776,"")</f>
        <v/>
      </c>
      <c r="P776" t="str">
        <f>IF($A776&lt;&gt;"",'Approved-Enforcement'!O776,"")</f>
        <v/>
      </c>
    </row>
    <row r="777" spans="1:16" x14ac:dyDescent="0.35">
      <c r="A777" s="4" t="str">
        <f>IF('Approved-Enforcement'!$A777&lt;&gt;"",'Approved-Enforcement'!A777,"")</f>
        <v/>
      </c>
      <c r="B777" t="str">
        <f t="shared" si="12"/>
        <v/>
      </c>
      <c r="D777" t="str">
        <f>IF($A777&lt;&gt;"",IF($R777&lt;&gt;"",$R777,'Approved-Enforcement'!$B777+7),"")</f>
        <v/>
      </c>
      <c r="E777" t="str">
        <f>IF($A777&lt;&gt;"",'Approved-Enforcement'!D777,"")</f>
        <v/>
      </c>
      <c r="F777" t="str">
        <f>IF($A777&lt;&gt;"",'Approved-Enforcement'!E777,"")</f>
        <v/>
      </c>
      <c r="G777" t="str">
        <f>IF($A777&lt;&gt;"",'Approved-Enforcement'!F777,"")</f>
        <v/>
      </c>
      <c r="H777" t="str">
        <f>IF($A777&lt;&gt;"",'Approved-Enforcement'!G777,"")</f>
        <v/>
      </c>
      <c r="I777" t="str">
        <f>IF($A777&lt;&gt;"",'Approved-Enforcement'!H777,"")</f>
        <v/>
      </c>
      <c r="J777" t="str">
        <f>IF($A777&lt;&gt;"",'Approved-Enforcement'!I777,"")</f>
        <v/>
      </c>
      <c r="K777" t="str">
        <f>IF($A777&lt;&gt;"",'Approved-Enforcement'!J777,"")</f>
        <v/>
      </c>
      <c r="L777" t="str">
        <f>IF($A777&lt;&gt;"",'Approved-Enforcement'!K777,"")</f>
        <v/>
      </c>
      <c r="M777" t="str">
        <f>IF($A777&lt;&gt;"",'Approved-Enforcement'!L777,"")</f>
        <v/>
      </c>
      <c r="N777" t="str">
        <f>IF($A777&lt;&gt;"",'Approved-Enforcement'!M777,"")</f>
        <v/>
      </c>
      <c r="O777" t="str">
        <f>IF($A777&lt;&gt;"",'Approved-Enforcement'!N777,"")</f>
        <v/>
      </c>
      <c r="P777" t="str">
        <f>IF($A777&lt;&gt;"",'Approved-Enforcement'!O777,"")</f>
        <v/>
      </c>
    </row>
    <row r="778" spans="1:16" x14ac:dyDescent="0.35">
      <c r="A778" s="4" t="str">
        <f>IF('Approved-Enforcement'!$A778&lt;&gt;"",'Approved-Enforcement'!A778,"")</f>
        <v/>
      </c>
      <c r="B778" t="str">
        <f t="shared" si="12"/>
        <v/>
      </c>
      <c r="D778" t="str">
        <f>IF($A778&lt;&gt;"",IF($R778&lt;&gt;"",$R778,'Approved-Enforcement'!$B778+7),"")</f>
        <v/>
      </c>
      <c r="E778" t="str">
        <f>IF($A778&lt;&gt;"",'Approved-Enforcement'!D778,"")</f>
        <v/>
      </c>
      <c r="F778" t="str">
        <f>IF($A778&lt;&gt;"",'Approved-Enforcement'!E778,"")</f>
        <v/>
      </c>
      <c r="G778" t="str">
        <f>IF($A778&lt;&gt;"",'Approved-Enforcement'!F778,"")</f>
        <v/>
      </c>
      <c r="H778" t="str">
        <f>IF($A778&lt;&gt;"",'Approved-Enforcement'!G778,"")</f>
        <v/>
      </c>
      <c r="I778" t="str">
        <f>IF($A778&lt;&gt;"",'Approved-Enforcement'!H778,"")</f>
        <v/>
      </c>
      <c r="J778" t="str">
        <f>IF($A778&lt;&gt;"",'Approved-Enforcement'!I778,"")</f>
        <v/>
      </c>
      <c r="K778" t="str">
        <f>IF($A778&lt;&gt;"",'Approved-Enforcement'!J778,"")</f>
        <v/>
      </c>
      <c r="L778" t="str">
        <f>IF($A778&lt;&gt;"",'Approved-Enforcement'!K778,"")</f>
        <v/>
      </c>
      <c r="M778" t="str">
        <f>IF($A778&lt;&gt;"",'Approved-Enforcement'!L778,"")</f>
        <v/>
      </c>
      <c r="N778" t="str">
        <f>IF($A778&lt;&gt;"",'Approved-Enforcement'!M778,"")</f>
        <v/>
      </c>
      <c r="O778" t="str">
        <f>IF($A778&lt;&gt;"",'Approved-Enforcement'!N778,"")</f>
        <v/>
      </c>
      <c r="P778" t="str">
        <f>IF($A778&lt;&gt;"",'Approved-Enforcement'!O778,"")</f>
        <v/>
      </c>
    </row>
    <row r="779" spans="1:16" x14ac:dyDescent="0.35">
      <c r="A779" s="4" t="str">
        <f>IF('Approved-Enforcement'!$A779&lt;&gt;"",'Approved-Enforcement'!A779,"")</f>
        <v/>
      </c>
      <c r="B779" t="str">
        <f t="shared" si="12"/>
        <v/>
      </c>
      <c r="D779" t="str">
        <f>IF($A779&lt;&gt;"",IF($R779&lt;&gt;"",$R779,'Approved-Enforcement'!$B779+7),"")</f>
        <v/>
      </c>
      <c r="E779" t="str">
        <f>IF($A779&lt;&gt;"",'Approved-Enforcement'!D779,"")</f>
        <v/>
      </c>
      <c r="F779" t="str">
        <f>IF($A779&lt;&gt;"",'Approved-Enforcement'!E779,"")</f>
        <v/>
      </c>
      <c r="G779" t="str">
        <f>IF($A779&lt;&gt;"",'Approved-Enforcement'!F779,"")</f>
        <v/>
      </c>
      <c r="H779" t="str">
        <f>IF($A779&lt;&gt;"",'Approved-Enforcement'!G779,"")</f>
        <v/>
      </c>
      <c r="I779" t="str">
        <f>IF($A779&lt;&gt;"",'Approved-Enforcement'!H779,"")</f>
        <v/>
      </c>
      <c r="J779" t="str">
        <f>IF($A779&lt;&gt;"",'Approved-Enforcement'!I779,"")</f>
        <v/>
      </c>
      <c r="K779" t="str">
        <f>IF($A779&lt;&gt;"",'Approved-Enforcement'!J779,"")</f>
        <v/>
      </c>
      <c r="L779" t="str">
        <f>IF($A779&lt;&gt;"",'Approved-Enforcement'!K779,"")</f>
        <v/>
      </c>
      <c r="M779" t="str">
        <f>IF($A779&lt;&gt;"",'Approved-Enforcement'!L779,"")</f>
        <v/>
      </c>
      <c r="N779" t="str">
        <f>IF($A779&lt;&gt;"",'Approved-Enforcement'!M779,"")</f>
        <v/>
      </c>
      <c r="O779" t="str">
        <f>IF($A779&lt;&gt;"",'Approved-Enforcement'!N779,"")</f>
        <v/>
      </c>
      <c r="P779" t="str">
        <f>IF($A779&lt;&gt;"",'Approved-Enforcement'!O779,"")</f>
        <v/>
      </c>
    </row>
    <row r="780" spans="1:16" x14ac:dyDescent="0.35">
      <c r="A780" s="4" t="str">
        <f>IF('Approved-Enforcement'!$A780&lt;&gt;"",'Approved-Enforcement'!A780,"")</f>
        <v/>
      </c>
      <c r="B780" t="str">
        <f t="shared" si="12"/>
        <v/>
      </c>
      <c r="D780" t="str">
        <f>IF($A780&lt;&gt;"",IF($R780&lt;&gt;"",$R780,'Approved-Enforcement'!$B780+7),"")</f>
        <v/>
      </c>
      <c r="E780" t="str">
        <f>IF($A780&lt;&gt;"",'Approved-Enforcement'!D780,"")</f>
        <v/>
      </c>
      <c r="F780" t="str">
        <f>IF($A780&lt;&gt;"",'Approved-Enforcement'!E780,"")</f>
        <v/>
      </c>
      <c r="G780" t="str">
        <f>IF($A780&lt;&gt;"",'Approved-Enforcement'!F780,"")</f>
        <v/>
      </c>
      <c r="H780" t="str">
        <f>IF($A780&lt;&gt;"",'Approved-Enforcement'!G780,"")</f>
        <v/>
      </c>
      <c r="I780" t="str">
        <f>IF($A780&lt;&gt;"",'Approved-Enforcement'!H780,"")</f>
        <v/>
      </c>
      <c r="J780" t="str">
        <f>IF($A780&lt;&gt;"",'Approved-Enforcement'!I780,"")</f>
        <v/>
      </c>
      <c r="K780" t="str">
        <f>IF($A780&lt;&gt;"",'Approved-Enforcement'!J780,"")</f>
        <v/>
      </c>
      <c r="L780" t="str">
        <f>IF($A780&lt;&gt;"",'Approved-Enforcement'!K780,"")</f>
        <v/>
      </c>
      <c r="M780" t="str">
        <f>IF($A780&lt;&gt;"",'Approved-Enforcement'!L780,"")</f>
        <v/>
      </c>
      <c r="N780" t="str">
        <f>IF($A780&lt;&gt;"",'Approved-Enforcement'!M780,"")</f>
        <v/>
      </c>
      <c r="O780" t="str">
        <f>IF($A780&lt;&gt;"",'Approved-Enforcement'!N780,"")</f>
        <v/>
      </c>
      <c r="P780" t="str">
        <f>IF($A780&lt;&gt;"",'Approved-Enforcement'!O780,"")</f>
        <v/>
      </c>
    </row>
    <row r="781" spans="1:16" x14ac:dyDescent="0.35">
      <c r="A781" s="4" t="str">
        <f>IF('Approved-Enforcement'!$A781&lt;&gt;"",'Approved-Enforcement'!A781,"")</f>
        <v/>
      </c>
      <c r="B781" t="str">
        <f t="shared" si="12"/>
        <v/>
      </c>
      <c r="D781" t="str">
        <f>IF($A781&lt;&gt;"",IF($R781&lt;&gt;"",$R781,'Approved-Enforcement'!$B781+7),"")</f>
        <v/>
      </c>
      <c r="E781" t="str">
        <f>IF($A781&lt;&gt;"",'Approved-Enforcement'!D781,"")</f>
        <v/>
      </c>
      <c r="F781" t="str">
        <f>IF($A781&lt;&gt;"",'Approved-Enforcement'!E781,"")</f>
        <v/>
      </c>
      <c r="G781" t="str">
        <f>IF($A781&lt;&gt;"",'Approved-Enforcement'!F781,"")</f>
        <v/>
      </c>
      <c r="H781" t="str">
        <f>IF($A781&lt;&gt;"",'Approved-Enforcement'!G781,"")</f>
        <v/>
      </c>
      <c r="I781" t="str">
        <f>IF($A781&lt;&gt;"",'Approved-Enforcement'!H781,"")</f>
        <v/>
      </c>
      <c r="J781" t="str">
        <f>IF($A781&lt;&gt;"",'Approved-Enforcement'!I781,"")</f>
        <v/>
      </c>
      <c r="K781" t="str">
        <f>IF($A781&lt;&gt;"",'Approved-Enforcement'!J781,"")</f>
        <v/>
      </c>
      <c r="L781" t="str">
        <f>IF($A781&lt;&gt;"",'Approved-Enforcement'!K781,"")</f>
        <v/>
      </c>
      <c r="M781" t="str">
        <f>IF($A781&lt;&gt;"",'Approved-Enforcement'!L781,"")</f>
        <v/>
      </c>
      <c r="N781" t="str">
        <f>IF($A781&lt;&gt;"",'Approved-Enforcement'!M781,"")</f>
        <v/>
      </c>
      <c r="O781" t="str">
        <f>IF($A781&lt;&gt;"",'Approved-Enforcement'!N781,"")</f>
        <v/>
      </c>
      <c r="P781" t="str">
        <f>IF($A781&lt;&gt;"",'Approved-Enforcement'!O781,"")</f>
        <v/>
      </c>
    </row>
    <row r="782" spans="1:16" x14ac:dyDescent="0.35">
      <c r="A782" s="4" t="str">
        <f>IF('Approved-Enforcement'!$A782&lt;&gt;"",'Approved-Enforcement'!A782,"")</f>
        <v/>
      </c>
      <c r="B782" t="str">
        <f t="shared" si="12"/>
        <v/>
      </c>
      <c r="D782" t="str">
        <f>IF($A782&lt;&gt;"",IF($R782&lt;&gt;"",$R782,'Approved-Enforcement'!$B782+7),"")</f>
        <v/>
      </c>
      <c r="E782" t="str">
        <f>IF($A782&lt;&gt;"",'Approved-Enforcement'!D782,"")</f>
        <v/>
      </c>
      <c r="F782" t="str">
        <f>IF($A782&lt;&gt;"",'Approved-Enforcement'!E782,"")</f>
        <v/>
      </c>
      <c r="G782" t="str">
        <f>IF($A782&lt;&gt;"",'Approved-Enforcement'!F782,"")</f>
        <v/>
      </c>
      <c r="H782" t="str">
        <f>IF($A782&lt;&gt;"",'Approved-Enforcement'!G782,"")</f>
        <v/>
      </c>
      <c r="I782" t="str">
        <f>IF($A782&lt;&gt;"",'Approved-Enforcement'!H782,"")</f>
        <v/>
      </c>
      <c r="J782" t="str">
        <f>IF($A782&lt;&gt;"",'Approved-Enforcement'!I782,"")</f>
        <v/>
      </c>
      <c r="K782" t="str">
        <f>IF($A782&lt;&gt;"",'Approved-Enforcement'!J782,"")</f>
        <v/>
      </c>
      <c r="L782" t="str">
        <f>IF($A782&lt;&gt;"",'Approved-Enforcement'!K782,"")</f>
        <v/>
      </c>
      <c r="M782" t="str">
        <f>IF($A782&lt;&gt;"",'Approved-Enforcement'!L782,"")</f>
        <v/>
      </c>
      <c r="N782" t="str">
        <f>IF($A782&lt;&gt;"",'Approved-Enforcement'!M782,"")</f>
        <v/>
      </c>
      <c r="O782" t="str">
        <f>IF($A782&lt;&gt;"",'Approved-Enforcement'!N782,"")</f>
        <v/>
      </c>
      <c r="P782" t="str">
        <f>IF($A782&lt;&gt;"",'Approved-Enforcement'!O782,"")</f>
        <v/>
      </c>
    </row>
    <row r="783" spans="1:16" x14ac:dyDescent="0.35">
      <c r="A783" s="4" t="str">
        <f>IF('Approved-Enforcement'!$A783&lt;&gt;"",'Approved-Enforcement'!A783,"")</f>
        <v/>
      </c>
      <c r="B783" t="str">
        <f t="shared" si="12"/>
        <v/>
      </c>
      <c r="D783" t="str">
        <f>IF($A783&lt;&gt;"",IF($R783&lt;&gt;"",$R783,'Approved-Enforcement'!$B783+7),"")</f>
        <v/>
      </c>
      <c r="E783" t="str">
        <f>IF($A783&lt;&gt;"",'Approved-Enforcement'!D783,"")</f>
        <v/>
      </c>
      <c r="F783" t="str">
        <f>IF($A783&lt;&gt;"",'Approved-Enforcement'!E783,"")</f>
        <v/>
      </c>
      <c r="G783" t="str">
        <f>IF($A783&lt;&gt;"",'Approved-Enforcement'!F783,"")</f>
        <v/>
      </c>
      <c r="H783" t="str">
        <f>IF($A783&lt;&gt;"",'Approved-Enforcement'!G783,"")</f>
        <v/>
      </c>
      <c r="I783" t="str">
        <f>IF($A783&lt;&gt;"",'Approved-Enforcement'!H783,"")</f>
        <v/>
      </c>
      <c r="J783" t="str">
        <f>IF($A783&lt;&gt;"",'Approved-Enforcement'!I783,"")</f>
        <v/>
      </c>
      <c r="K783" t="str">
        <f>IF($A783&lt;&gt;"",'Approved-Enforcement'!J783,"")</f>
        <v/>
      </c>
      <c r="L783" t="str">
        <f>IF($A783&lt;&gt;"",'Approved-Enforcement'!K783,"")</f>
        <v/>
      </c>
      <c r="M783" t="str">
        <f>IF($A783&lt;&gt;"",'Approved-Enforcement'!L783,"")</f>
        <v/>
      </c>
      <c r="N783" t="str">
        <f>IF($A783&lt;&gt;"",'Approved-Enforcement'!M783,"")</f>
        <v/>
      </c>
      <c r="O783" t="str">
        <f>IF($A783&lt;&gt;"",'Approved-Enforcement'!N783,"")</f>
        <v/>
      </c>
      <c r="P783" t="str">
        <f>IF($A783&lt;&gt;"",'Approved-Enforcement'!O783,"")</f>
        <v/>
      </c>
    </row>
    <row r="784" spans="1:16" x14ac:dyDescent="0.35">
      <c r="A784" s="4" t="str">
        <f>IF('Approved-Enforcement'!$A784&lt;&gt;"",'Approved-Enforcement'!A784,"")</f>
        <v/>
      </c>
      <c r="B784" t="str">
        <f t="shared" si="12"/>
        <v/>
      </c>
      <c r="D784" t="str">
        <f>IF($A784&lt;&gt;"",IF($R784&lt;&gt;"",$R784,'Approved-Enforcement'!$B784+7),"")</f>
        <v/>
      </c>
      <c r="E784" t="str">
        <f>IF($A784&lt;&gt;"",'Approved-Enforcement'!D784,"")</f>
        <v/>
      </c>
      <c r="F784" t="str">
        <f>IF($A784&lt;&gt;"",'Approved-Enforcement'!E784,"")</f>
        <v/>
      </c>
      <c r="G784" t="str">
        <f>IF($A784&lt;&gt;"",'Approved-Enforcement'!F784,"")</f>
        <v/>
      </c>
      <c r="H784" t="str">
        <f>IF($A784&lt;&gt;"",'Approved-Enforcement'!G784,"")</f>
        <v/>
      </c>
      <c r="I784" t="str">
        <f>IF($A784&lt;&gt;"",'Approved-Enforcement'!H784,"")</f>
        <v/>
      </c>
      <c r="J784" t="str">
        <f>IF($A784&lt;&gt;"",'Approved-Enforcement'!I784,"")</f>
        <v/>
      </c>
      <c r="K784" t="str">
        <f>IF($A784&lt;&gt;"",'Approved-Enforcement'!J784,"")</f>
        <v/>
      </c>
      <c r="L784" t="str">
        <f>IF($A784&lt;&gt;"",'Approved-Enforcement'!K784,"")</f>
        <v/>
      </c>
      <c r="M784" t="str">
        <f>IF($A784&lt;&gt;"",'Approved-Enforcement'!L784,"")</f>
        <v/>
      </c>
      <c r="N784" t="str">
        <f>IF($A784&lt;&gt;"",'Approved-Enforcement'!M784,"")</f>
        <v/>
      </c>
      <c r="O784" t="str">
        <f>IF($A784&lt;&gt;"",'Approved-Enforcement'!N784,"")</f>
        <v/>
      </c>
      <c r="P784" t="str">
        <f>IF($A784&lt;&gt;"",'Approved-Enforcement'!O784,"")</f>
        <v/>
      </c>
    </row>
    <row r="785" spans="1:16" x14ac:dyDescent="0.35">
      <c r="A785" s="4" t="str">
        <f>IF('Approved-Enforcement'!$A785&lt;&gt;"",'Approved-Enforcement'!A785,"")</f>
        <v/>
      </c>
      <c r="B785" t="str">
        <f t="shared" si="12"/>
        <v/>
      </c>
      <c r="D785" t="str">
        <f>IF($A785&lt;&gt;"",IF($R785&lt;&gt;"",$R785,'Approved-Enforcement'!$B785+7),"")</f>
        <v/>
      </c>
      <c r="E785" t="str">
        <f>IF($A785&lt;&gt;"",'Approved-Enforcement'!D785,"")</f>
        <v/>
      </c>
      <c r="F785" t="str">
        <f>IF($A785&lt;&gt;"",'Approved-Enforcement'!E785,"")</f>
        <v/>
      </c>
      <c r="G785" t="str">
        <f>IF($A785&lt;&gt;"",'Approved-Enforcement'!F785,"")</f>
        <v/>
      </c>
      <c r="H785" t="str">
        <f>IF($A785&lt;&gt;"",'Approved-Enforcement'!G785,"")</f>
        <v/>
      </c>
      <c r="I785" t="str">
        <f>IF($A785&lt;&gt;"",'Approved-Enforcement'!H785,"")</f>
        <v/>
      </c>
      <c r="J785" t="str">
        <f>IF($A785&lt;&gt;"",'Approved-Enforcement'!I785,"")</f>
        <v/>
      </c>
      <c r="K785" t="str">
        <f>IF($A785&lt;&gt;"",'Approved-Enforcement'!J785,"")</f>
        <v/>
      </c>
      <c r="L785" t="str">
        <f>IF($A785&lt;&gt;"",'Approved-Enforcement'!K785,"")</f>
        <v/>
      </c>
      <c r="M785" t="str">
        <f>IF($A785&lt;&gt;"",'Approved-Enforcement'!L785,"")</f>
        <v/>
      </c>
      <c r="N785" t="str">
        <f>IF($A785&lt;&gt;"",'Approved-Enforcement'!M785,"")</f>
        <v/>
      </c>
      <c r="O785" t="str">
        <f>IF($A785&lt;&gt;"",'Approved-Enforcement'!N785,"")</f>
        <v/>
      </c>
      <c r="P785" t="str">
        <f>IF($A785&lt;&gt;"",'Approved-Enforcement'!O785,"")</f>
        <v/>
      </c>
    </row>
    <row r="786" spans="1:16" x14ac:dyDescent="0.35">
      <c r="A786" s="4" t="str">
        <f>IF('Approved-Enforcement'!$A786&lt;&gt;"",'Approved-Enforcement'!A786,"")</f>
        <v/>
      </c>
      <c r="B786" t="str">
        <f t="shared" si="12"/>
        <v/>
      </c>
      <c r="D786" t="str">
        <f>IF($A786&lt;&gt;"",IF($R786&lt;&gt;"",$R786,'Approved-Enforcement'!$B786+7),"")</f>
        <v/>
      </c>
      <c r="E786" t="str">
        <f>IF($A786&lt;&gt;"",'Approved-Enforcement'!D786,"")</f>
        <v/>
      </c>
      <c r="F786" t="str">
        <f>IF($A786&lt;&gt;"",'Approved-Enforcement'!E786,"")</f>
        <v/>
      </c>
      <c r="G786" t="str">
        <f>IF($A786&lt;&gt;"",'Approved-Enforcement'!F786,"")</f>
        <v/>
      </c>
      <c r="H786" t="str">
        <f>IF($A786&lt;&gt;"",'Approved-Enforcement'!G786,"")</f>
        <v/>
      </c>
      <c r="I786" t="str">
        <f>IF($A786&lt;&gt;"",'Approved-Enforcement'!H786,"")</f>
        <v/>
      </c>
      <c r="J786" t="str">
        <f>IF($A786&lt;&gt;"",'Approved-Enforcement'!I786,"")</f>
        <v/>
      </c>
      <c r="K786" t="str">
        <f>IF($A786&lt;&gt;"",'Approved-Enforcement'!J786,"")</f>
        <v/>
      </c>
      <c r="L786" t="str">
        <f>IF($A786&lt;&gt;"",'Approved-Enforcement'!K786,"")</f>
        <v/>
      </c>
      <c r="M786" t="str">
        <f>IF($A786&lt;&gt;"",'Approved-Enforcement'!L786,"")</f>
        <v/>
      </c>
      <c r="N786" t="str">
        <f>IF($A786&lt;&gt;"",'Approved-Enforcement'!M786,"")</f>
        <v/>
      </c>
      <c r="O786" t="str">
        <f>IF($A786&lt;&gt;"",'Approved-Enforcement'!N786,"")</f>
        <v/>
      </c>
      <c r="P786" t="str">
        <f>IF($A786&lt;&gt;"",'Approved-Enforcement'!O786,"")</f>
        <v/>
      </c>
    </row>
    <row r="787" spans="1:16" x14ac:dyDescent="0.35">
      <c r="A787" s="4" t="str">
        <f>IF('Approved-Enforcement'!$A787&lt;&gt;"",'Approved-Enforcement'!A787,"")</f>
        <v/>
      </c>
      <c r="B787" t="str">
        <f t="shared" si="12"/>
        <v/>
      </c>
      <c r="D787" t="str">
        <f>IF($A787&lt;&gt;"",IF($R787&lt;&gt;"",$R787,'Approved-Enforcement'!$B787+7),"")</f>
        <v/>
      </c>
      <c r="E787" t="str">
        <f>IF($A787&lt;&gt;"",'Approved-Enforcement'!D787,"")</f>
        <v/>
      </c>
      <c r="F787" t="str">
        <f>IF($A787&lt;&gt;"",'Approved-Enforcement'!E787,"")</f>
        <v/>
      </c>
      <c r="G787" t="str">
        <f>IF($A787&lt;&gt;"",'Approved-Enforcement'!F787,"")</f>
        <v/>
      </c>
      <c r="H787" t="str">
        <f>IF($A787&lt;&gt;"",'Approved-Enforcement'!G787,"")</f>
        <v/>
      </c>
      <c r="I787" t="str">
        <f>IF($A787&lt;&gt;"",'Approved-Enforcement'!H787,"")</f>
        <v/>
      </c>
      <c r="J787" t="str">
        <f>IF($A787&lt;&gt;"",'Approved-Enforcement'!I787,"")</f>
        <v/>
      </c>
      <c r="K787" t="str">
        <f>IF($A787&lt;&gt;"",'Approved-Enforcement'!J787,"")</f>
        <v/>
      </c>
      <c r="L787" t="str">
        <f>IF($A787&lt;&gt;"",'Approved-Enforcement'!K787,"")</f>
        <v/>
      </c>
      <c r="M787" t="str">
        <f>IF($A787&lt;&gt;"",'Approved-Enforcement'!L787,"")</f>
        <v/>
      </c>
      <c r="N787" t="str">
        <f>IF($A787&lt;&gt;"",'Approved-Enforcement'!M787,"")</f>
        <v/>
      </c>
      <c r="O787" t="str">
        <f>IF($A787&lt;&gt;"",'Approved-Enforcement'!N787,"")</f>
        <v/>
      </c>
      <c r="P787" t="str">
        <f>IF($A787&lt;&gt;"",'Approved-Enforcement'!O787,"")</f>
        <v/>
      </c>
    </row>
    <row r="788" spans="1:16" x14ac:dyDescent="0.35">
      <c r="A788" s="4" t="str">
        <f>IF('Approved-Enforcement'!$A788&lt;&gt;"",'Approved-Enforcement'!A788,"")</f>
        <v/>
      </c>
      <c r="B788" t="str">
        <f t="shared" si="12"/>
        <v/>
      </c>
      <c r="D788" t="str">
        <f>IF($A788&lt;&gt;"",IF($R788&lt;&gt;"",$R788,'Approved-Enforcement'!$B788+7),"")</f>
        <v/>
      </c>
      <c r="E788" t="str">
        <f>IF($A788&lt;&gt;"",'Approved-Enforcement'!D788,"")</f>
        <v/>
      </c>
      <c r="F788" t="str">
        <f>IF($A788&lt;&gt;"",'Approved-Enforcement'!E788,"")</f>
        <v/>
      </c>
      <c r="G788" t="str">
        <f>IF($A788&lt;&gt;"",'Approved-Enforcement'!F788,"")</f>
        <v/>
      </c>
      <c r="H788" t="str">
        <f>IF($A788&lt;&gt;"",'Approved-Enforcement'!G788,"")</f>
        <v/>
      </c>
      <c r="I788" t="str">
        <f>IF($A788&lt;&gt;"",'Approved-Enforcement'!H788,"")</f>
        <v/>
      </c>
      <c r="J788" t="str">
        <f>IF($A788&lt;&gt;"",'Approved-Enforcement'!I788,"")</f>
        <v/>
      </c>
      <c r="K788" t="str">
        <f>IF($A788&lt;&gt;"",'Approved-Enforcement'!J788,"")</f>
        <v/>
      </c>
      <c r="L788" t="str">
        <f>IF($A788&lt;&gt;"",'Approved-Enforcement'!K788,"")</f>
        <v/>
      </c>
      <c r="M788" t="str">
        <f>IF($A788&lt;&gt;"",'Approved-Enforcement'!L788,"")</f>
        <v/>
      </c>
      <c r="N788" t="str">
        <f>IF($A788&lt;&gt;"",'Approved-Enforcement'!M788,"")</f>
        <v/>
      </c>
      <c r="O788" t="str">
        <f>IF($A788&lt;&gt;"",'Approved-Enforcement'!N788,"")</f>
        <v/>
      </c>
      <c r="P788" t="str">
        <f>IF($A788&lt;&gt;"",'Approved-Enforcement'!O788,"")</f>
        <v/>
      </c>
    </row>
    <row r="789" spans="1:16" x14ac:dyDescent="0.35">
      <c r="A789" s="4" t="str">
        <f>IF('Approved-Enforcement'!$A789&lt;&gt;"",'Approved-Enforcement'!A789,"")</f>
        <v/>
      </c>
      <c r="B789" t="str">
        <f t="shared" si="12"/>
        <v/>
      </c>
      <c r="D789" t="str">
        <f>IF($A789&lt;&gt;"",IF($R789&lt;&gt;"",$R789,'Approved-Enforcement'!$B789+7),"")</f>
        <v/>
      </c>
      <c r="E789" t="str">
        <f>IF($A789&lt;&gt;"",'Approved-Enforcement'!D789,"")</f>
        <v/>
      </c>
      <c r="F789" t="str">
        <f>IF($A789&lt;&gt;"",'Approved-Enforcement'!E789,"")</f>
        <v/>
      </c>
      <c r="G789" t="str">
        <f>IF($A789&lt;&gt;"",'Approved-Enforcement'!F789,"")</f>
        <v/>
      </c>
      <c r="H789" t="str">
        <f>IF($A789&lt;&gt;"",'Approved-Enforcement'!G789,"")</f>
        <v/>
      </c>
      <c r="I789" t="str">
        <f>IF($A789&lt;&gt;"",'Approved-Enforcement'!H789,"")</f>
        <v/>
      </c>
      <c r="J789" t="str">
        <f>IF($A789&lt;&gt;"",'Approved-Enforcement'!I789,"")</f>
        <v/>
      </c>
      <c r="K789" t="str">
        <f>IF($A789&lt;&gt;"",'Approved-Enforcement'!J789,"")</f>
        <v/>
      </c>
      <c r="L789" t="str">
        <f>IF($A789&lt;&gt;"",'Approved-Enforcement'!K789,"")</f>
        <v/>
      </c>
      <c r="M789" t="str">
        <f>IF($A789&lt;&gt;"",'Approved-Enforcement'!L789,"")</f>
        <v/>
      </c>
      <c r="N789" t="str">
        <f>IF($A789&lt;&gt;"",'Approved-Enforcement'!M789,"")</f>
        <v/>
      </c>
      <c r="O789" t="str">
        <f>IF($A789&lt;&gt;"",'Approved-Enforcement'!N789,"")</f>
        <v/>
      </c>
      <c r="P789" t="str">
        <f>IF($A789&lt;&gt;"",'Approved-Enforcement'!O789,"")</f>
        <v/>
      </c>
    </row>
    <row r="790" spans="1:16" x14ac:dyDescent="0.35">
      <c r="A790" s="4" t="str">
        <f>IF('Approved-Enforcement'!$A790&lt;&gt;"",'Approved-Enforcement'!A790,"")</f>
        <v/>
      </c>
      <c r="B790" t="str">
        <f t="shared" si="12"/>
        <v/>
      </c>
      <c r="D790" t="str">
        <f>IF($A790&lt;&gt;"",IF($R790&lt;&gt;"",$R790,'Approved-Enforcement'!$B790+7),"")</f>
        <v/>
      </c>
      <c r="E790" t="str">
        <f>IF($A790&lt;&gt;"",'Approved-Enforcement'!D790,"")</f>
        <v/>
      </c>
      <c r="F790" t="str">
        <f>IF($A790&lt;&gt;"",'Approved-Enforcement'!E790,"")</f>
        <v/>
      </c>
      <c r="G790" t="str">
        <f>IF($A790&lt;&gt;"",'Approved-Enforcement'!F790,"")</f>
        <v/>
      </c>
      <c r="H790" t="str">
        <f>IF($A790&lt;&gt;"",'Approved-Enforcement'!G790,"")</f>
        <v/>
      </c>
      <c r="I790" t="str">
        <f>IF($A790&lt;&gt;"",'Approved-Enforcement'!H790,"")</f>
        <v/>
      </c>
      <c r="J790" t="str">
        <f>IF($A790&lt;&gt;"",'Approved-Enforcement'!I790,"")</f>
        <v/>
      </c>
      <c r="K790" t="str">
        <f>IF($A790&lt;&gt;"",'Approved-Enforcement'!J790,"")</f>
        <v/>
      </c>
      <c r="L790" t="str">
        <f>IF($A790&lt;&gt;"",'Approved-Enforcement'!K790,"")</f>
        <v/>
      </c>
      <c r="M790" t="str">
        <f>IF($A790&lt;&gt;"",'Approved-Enforcement'!L790,"")</f>
        <v/>
      </c>
      <c r="N790" t="str">
        <f>IF($A790&lt;&gt;"",'Approved-Enforcement'!M790,"")</f>
        <v/>
      </c>
      <c r="O790" t="str">
        <f>IF($A790&lt;&gt;"",'Approved-Enforcement'!N790,"")</f>
        <v/>
      </c>
      <c r="P790" t="str">
        <f>IF($A790&lt;&gt;"",'Approved-Enforcement'!O790,"")</f>
        <v/>
      </c>
    </row>
    <row r="791" spans="1:16" x14ac:dyDescent="0.35">
      <c r="A791" s="4" t="str">
        <f>IF('Approved-Enforcement'!$A791&lt;&gt;"",'Approved-Enforcement'!A791,"")</f>
        <v/>
      </c>
      <c r="B791" t="str">
        <f t="shared" si="12"/>
        <v/>
      </c>
      <c r="D791" t="str">
        <f>IF($A791&lt;&gt;"",IF($R791&lt;&gt;"",$R791,'Approved-Enforcement'!$B791+7),"")</f>
        <v/>
      </c>
      <c r="E791" t="str">
        <f>IF($A791&lt;&gt;"",'Approved-Enforcement'!D791,"")</f>
        <v/>
      </c>
      <c r="F791" t="str">
        <f>IF($A791&lt;&gt;"",'Approved-Enforcement'!E791,"")</f>
        <v/>
      </c>
      <c r="G791" t="str">
        <f>IF($A791&lt;&gt;"",'Approved-Enforcement'!F791,"")</f>
        <v/>
      </c>
      <c r="H791" t="str">
        <f>IF($A791&lt;&gt;"",'Approved-Enforcement'!G791,"")</f>
        <v/>
      </c>
      <c r="I791" t="str">
        <f>IF($A791&lt;&gt;"",'Approved-Enforcement'!H791,"")</f>
        <v/>
      </c>
      <c r="J791" t="str">
        <f>IF($A791&lt;&gt;"",'Approved-Enforcement'!I791,"")</f>
        <v/>
      </c>
      <c r="K791" t="str">
        <f>IF($A791&lt;&gt;"",'Approved-Enforcement'!J791,"")</f>
        <v/>
      </c>
      <c r="L791" t="str">
        <f>IF($A791&lt;&gt;"",'Approved-Enforcement'!K791,"")</f>
        <v/>
      </c>
      <c r="M791" t="str">
        <f>IF($A791&lt;&gt;"",'Approved-Enforcement'!L791,"")</f>
        <v/>
      </c>
      <c r="N791" t="str">
        <f>IF($A791&lt;&gt;"",'Approved-Enforcement'!M791,"")</f>
        <v/>
      </c>
      <c r="O791" t="str">
        <f>IF($A791&lt;&gt;"",'Approved-Enforcement'!N791,"")</f>
        <v/>
      </c>
      <c r="P791" t="str">
        <f>IF($A791&lt;&gt;"",'Approved-Enforcement'!O791,"")</f>
        <v/>
      </c>
    </row>
    <row r="792" spans="1:16" x14ac:dyDescent="0.35">
      <c r="A792" s="4" t="str">
        <f>IF('Approved-Enforcement'!$A792&lt;&gt;"",'Approved-Enforcement'!A792,"")</f>
        <v/>
      </c>
      <c r="B792" t="str">
        <f t="shared" si="12"/>
        <v/>
      </c>
      <c r="D792" t="str">
        <f>IF($A792&lt;&gt;"",IF($R792&lt;&gt;"",$R792,'Approved-Enforcement'!$B792+7),"")</f>
        <v/>
      </c>
      <c r="E792" t="str">
        <f>IF($A792&lt;&gt;"",'Approved-Enforcement'!D792,"")</f>
        <v/>
      </c>
      <c r="F792" t="str">
        <f>IF($A792&lt;&gt;"",'Approved-Enforcement'!E792,"")</f>
        <v/>
      </c>
      <c r="G792" t="str">
        <f>IF($A792&lt;&gt;"",'Approved-Enforcement'!F792,"")</f>
        <v/>
      </c>
      <c r="H792" t="str">
        <f>IF($A792&lt;&gt;"",'Approved-Enforcement'!G792,"")</f>
        <v/>
      </c>
      <c r="I792" t="str">
        <f>IF($A792&lt;&gt;"",'Approved-Enforcement'!H792,"")</f>
        <v/>
      </c>
      <c r="J792" t="str">
        <f>IF($A792&lt;&gt;"",'Approved-Enforcement'!I792,"")</f>
        <v/>
      </c>
      <c r="K792" t="str">
        <f>IF($A792&lt;&gt;"",'Approved-Enforcement'!J792,"")</f>
        <v/>
      </c>
      <c r="L792" t="str">
        <f>IF($A792&lt;&gt;"",'Approved-Enforcement'!K792,"")</f>
        <v/>
      </c>
      <c r="M792" t="str">
        <f>IF($A792&lt;&gt;"",'Approved-Enforcement'!L792,"")</f>
        <v/>
      </c>
      <c r="N792" t="str">
        <f>IF($A792&lt;&gt;"",'Approved-Enforcement'!M792,"")</f>
        <v/>
      </c>
      <c r="O792" t="str">
        <f>IF($A792&lt;&gt;"",'Approved-Enforcement'!N792,"")</f>
        <v/>
      </c>
      <c r="P792" t="str">
        <f>IF($A792&lt;&gt;"",'Approved-Enforcement'!O792,"")</f>
        <v/>
      </c>
    </row>
    <row r="793" spans="1:16" x14ac:dyDescent="0.35">
      <c r="A793" s="4" t="str">
        <f>IF('Approved-Enforcement'!$A793&lt;&gt;"",'Approved-Enforcement'!A793,"")</f>
        <v/>
      </c>
      <c r="B793" t="str">
        <f t="shared" si="12"/>
        <v/>
      </c>
      <c r="D793" t="str">
        <f>IF($A793&lt;&gt;"",IF($R793&lt;&gt;"",$R793,'Approved-Enforcement'!$B793+7),"")</f>
        <v/>
      </c>
      <c r="E793" t="str">
        <f>IF($A793&lt;&gt;"",'Approved-Enforcement'!D793,"")</f>
        <v/>
      </c>
      <c r="F793" t="str">
        <f>IF($A793&lt;&gt;"",'Approved-Enforcement'!E793,"")</f>
        <v/>
      </c>
      <c r="G793" t="str">
        <f>IF($A793&lt;&gt;"",'Approved-Enforcement'!F793,"")</f>
        <v/>
      </c>
      <c r="H793" t="str">
        <f>IF($A793&lt;&gt;"",'Approved-Enforcement'!G793,"")</f>
        <v/>
      </c>
      <c r="I793" t="str">
        <f>IF($A793&lt;&gt;"",'Approved-Enforcement'!H793,"")</f>
        <v/>
      </c>
      <c r="J793" t="str">
        <f>IF($A793&lt;&gt;"",'Approved-Enforcement'!I793,"")</f>
        <v/>
      </c>
      <c r="K793" t="str">
        <f>IF($A793&lt;&gt;"",'Approved-Enforcement'!J793,"")</f>
        <v/>
      </c>
      <c r="L793" t="str">
        <f>IF($A793&lt;&gt;"",'Approved-Enforcement'!K793,"")</f>
        <v/>
      </c>
      <c r="M793" t="str">
        <f>IF($A793&lt;&gt;"",'Approved-Enforcement'!L793,"")</f>
        <v/>
      </c>
      <c r="N793" t="str">
        <f>IF($A793&lt;&gt;"",'Approved-Enforcement'!M793,"")</f>
        <v/>
      </c>
      <c r="O793" t="str">
        <f>IF($A793&lt;&gt;"",'Approved-Enforcement'!N793,"")</f>
        <v/>
      </c>
      <c r="P793" t="str">
        <f>IF($A793&lt;&gt;"",'Approved-Enforcement'!O793,"")</f>
        <v/>
      </c>
    </row>
    <row r="794" spans="1:16" x14ac:dyDescent="0.35">
      <c r="A794" s="4" t="str">
        <f>IF('Approved-Enforcement'!$A794&lt;&gt;"",'Approved-Enforcement'!A794,"")</f>
        <v/>
      </c>
      <c r="B794" t="str">
        <f t="shared" si="12"/>
        <v/>
      </c>
      <c r="D794" t="str">
        <f>IF($A794&lt;&gt;"",IF($R794&lt;&gt;"",$R794,'Approved-Enforcement'!$B794+7),"")</f>
        <v/>
      </c>
      <c r="E794" t="str">
        <f>IF($A794&lt;&gt;"",'Approved-Enforcement'!D794,"")</f>
        <v/>
      </c>
      <c r="F794" t="str">
        <f>IF($A794&lt;&gt;"",'Approved-Enforcement'!E794,"")</f>
        <v/>
      </c>
      <c r="G794" t="str">
        <f>IF($A794&lt;&gt;"",'Approved-Enforcement'!F794,"")</f>
        <v/>
      </c>
      <c r="H794" t="str">
        <f>IF($A794&lt;&gt;"",'Approved-Enforcement'!G794,"")</f>
        <v/>
      </c>
      <c r="I794" t="str">
        <f>IF($A794&lt;&gt;"",'Approved-Enforcement'!H794,"")</f>
        <v/>
      </c>
      <c r="J794" t="str">
        <f>IF($A794&lt;&gt;"",'Approved-Enforcement'!I794,"")</f>
        <v/>
      </c>
      <c r="K794" t="str">
        <f>IF($A794&lt;&gt;"",'Approved-Enforcement'!J794,"")</f>
        <v/>
      </c>
      <c r="L794" t="str">
        <f>IF($A794&lt;&gt;"",'Approved-Enforcement'!K794,"")</f>
        <v/>
      </c>
      <c r="M794" t="str">
        <f>IF($A794&lt;&gt;"",'Approved-Enforcement'!L794,"")</f>
        <v/>
      </c>
      <c r="N794" t="str">
        <f>IF($A794&lt;&gt;"",'Approved-Enforcement'!M794,"")</f>
        <v/>
      </c>
      <c r="O794" t="str">
        <f>IF($A794&lt;&gt;"",'Approved-Enforcement'!N794,"")</f>
        <v/>
      </c>
      <c r="P794" t="str">
        <f>IF($A794&lt;&gt;"",'Approved-Enforcement'!O794,"")</f>
        <v/>
      </c>
    </row>
    <row r="795" spans="1:16" x14ac:dyDescent="0.35">
      <c r="A795" s="4" t="str">
        <f>IF('Approved-Enforcement'!$A795&lt;&gt;"",'Approved-Enforcement'!A795,"")</f>
        <v/>
      </c>
      <c r="B795" t="str">
        <f t="shared" si="12"/>
        <v/>
      </c>
      <c r="D795" t="str">
        <f>IF($A795&lt;&gt;"",IF($R795&lt;&gt;"",$R795,'Approved-Enforcement'!$B795+7),"")</f>
        <v/>
      </c>
      <c r="E795" t="str">
        <f>IF($A795&lt;&gt;"",'Approved-Enforcement'!D795,"")</f>
        <v/>
      </c>
      <c r="F795" t="str">
        <f>IF($A795&lt;&gt;"",'Approved-Enforcement'!E795,"")</f>
        <v/>
      </c>
      <c r="G795" t="str">
        <f>IF($A795&lt;&gt;"",'Approved-Enforcement'!F795,"")</f>
        <v/>
      </c>
      <c r="H795" t="str">
        <f>IF($A795&lt;&gt;"",'Approved-Enforcement'!G795,"")</f>
        <v/>
      </c>
      <c r="I795" t="str">
        <f>IF($A795&lt;&gt;"",'Approved-Enforcement'!H795,"")</f>
        <v/>
      </c>
      <c r="J795" t="str">
        <f>IF($A795&lt;&gt;"",'Approved-Enforcement'!I795,"")</f>
        <v/>
      </c>
      <c r="K795" t="str">
        <f>IF($A795&lt;&gt;"",'Approved-Enforcement'!J795,"")</f>
        <v/>
      </c>
      <c r="L795" t="str">
        <f>IF($A795&lt;&gt;"",'Approved-Enforcement'!K795,"")</f>
        <v/>
      </c>
      <c r="M795" t="str">
        <f>IF($A795&lt;&gt;"",'Approved-Enforcement'!L795,"")</f>
        <v/>
      </c>
      <c r="N795" t="str">
        <f>IF($A795&lt;&gt;"",'Approved-Enforcement'!M795,"")</f>
        <v/>
      </c>
      <c r="O795" t="str">
        <f>IF($A795&lt;&gt;"",'Approved-Enforcement'!N795,"")</f>
        <v/>
      </c>
      <c r="P795" t="str">
        <f>IF($A795&lt;&gt;"",'Approved-Enforcement'!O795,"")</f>
        <v/>
      </c>
    </row>
    <row r="796" spans="1:16" x14ac:dyDescent="0.35">
      <c r="A796" s="4" t="str">
        <f>IF('Approved-Enforcement'!$A796&lt;&gt;"",'Approved-Enforcement'!A796,"")</f>
        <v/>
      </c>
      <c r="B796" t="str">
        <f t="shared" si="12"/>
        <v/>
      </c>
      <c r="D796" t="str">
        <f>IF($A796&lt;&gt;"",IF($R796&lt;&gt;"",$R796,'Approved-Enforcement'!$B796+7),"")</f>
        <v/>
      </c>
      <c r="E796" t="str">
        <f>IF($A796&lt;&gt;"",'Approved-Enforcement'!D796,"")</f>
        <v/>
      </c>
      <c r="F796" t="str">
        <f>IF($A796&lt;&gt;"",'Approved-Enforcement'!E796,"")</f>
        <v/>
      </c>
      <c r="G796" t="str">
        <f>IF($A796&lt;&gt;"",'Approved-Enforcement'!F796,"")</f>
        <v/>
      </c>
      <c r="H796" t="str">
        <f>IF($A796&lt;&gt;"",'Approved-Enforcement'!G796,"")</f>
        <v/>
      </c>
      <c r="I796" t="str">
        <f>IF($A796&lt;&gt;"",'Approved-Enforcement'!H796,"")</f>
        <v/>
      </c>
      <c r="J796" t="str">
        <f>IF($A796&lt;&gt;"",'Approved-Enforcement'!I796,"")</f>
        <v/>
      </c>
      <c r="K796" t="str">
        <f>IF($A796&lt;&gt;"",'Approved-Enforcement'!J796,"")</f>
        <v/>
      </c>
      <c r="L796" t="str">
        <f>IF($A796&lt;&gt;"",'Approved-Enforcement'!K796,"")</f>
        <v/>
      </c>
      <c r="M796" t="str">
        <f>IF($A796&lt;&gt;"",'Approved-Enforcement'!L796,"")</f>
        <v/>
      </c>
      <c r="N796" t="str">
        <f>IF($A796&lt;&gt;"",'Approved-Enforcement'!M796,"")</f>
        <v/>
      </c>
      <c r="O796" t="str">
        <f>IF($A796&lt;&gt;"",'Approved-Enforcement'!N796,"")</f>
        <v/>
      </c>
      <c r="P796" t="str">
        <f>IF($A796&lt;&gt;"",'Approved-Enforcement'!O796,"")</f>
        <v/>
      </c>
    </row>
    <row r="797" spans="1:16" x14ac:dyDescent="0.35">
      <c r="A797" s="4" t="str">
        <f>IF('Approved-Enforcement'!$A797&lt;&gt;"",'Approved-Enforcement'!A797,"")</f>
        <v/>
      </c>
      <c r="B797" t="str">
        <f t="shared" si="12"/>
        <v/>
      </c>
      <c r="D797" t="str">
        <f>IF($A797&lt;&gt;"",IF($R797&lt;&gt;"",$R797,'Approved-Enforcement'!$B797+7),"")</f>
        <v/>
      </c>
      <c r="E797" t="str">
        <f>IF($A797&lt;&gt;"",'Approved-Enforcement'!D797,"")</f>
        <v/>
      </c>
      <c r="F797" t="str">
        <f>IF($A797&lt;&gt;"",'Approved-Enforcement'!E797,"")</f>
        <v/>
      </c>
      <c r="G797" t="str">
        <f>IF($A797&lt;&gt;"",'Approved-Enforcement'!F797,"")</f>
        <v/>
      </c>
      <c r="H797" t="str">
        <f>IF($A797&lt;&gt;"",'Approved-Enforcement'!G797,"")</f>
        <v/>
      </c>
      <c r="I797" t="str">
        <f>IF($A797&lt;&gt;"",'Approved-Enforcement'!H797,"")</f>
        <v/>
      </c>
      <c r="J797" t="str">
        <f>IF($A797&lt;&gt;"",'Approved-Enforcement'!I797,"")</f>
        <v/>
      </c>
      <c r="K797" t="str">
        <f>IF($A797&lt;&gt;"",'Approved-Enforcement'!J797,"")</f>
        <v/>
      </c>
      <c r="L797" t="str">
        <f>IF($A797&lt;&gt;"",'Approved-Enforcement'!K797,"")</f>
        <v/>
      </c>
      <c r="M797" t="str">
        <f>IF($A797&lt;&gt;"",'Approved-Enforcement'!L797,"")</f>
        <v/>
      </c>
      <c r="N797" t="str">
        <f>IF($A797&lt;&gt;"",'Approved-Enforcement'!M797,"")</f>
        <v/>
      </c>
      <c r="O797" t="str">
        <f>IF($A797&lt;&gt;"",'Approved-Enforcement'!N797,"")</f>
        <v/>
      </c>
      <c r="P797" t="str">
        <f>IF($A797&lt;&gt;"",'Approved-Enforcement'!O797,"")</f>
        <v/>
      </c>
    </row>
    <row r="798" spans="1:16" x14ac:dyDescent="0.35">
      <c r="A798" s="4" t="str">
        <f>IF('Approved-Enforcement'!$A798&lt;&gt;"",'Approved-Enforcement'!A798,"")</f>
        <v/>
      </c>
      <c r="B798" t="str">
        <f t="shared" si="12"/>
        <v/>
      </c>
      <c r="D798" t="str">
        <f>IF($A798&lt;&gt;"",IF($R798&lt;&gt;"",$R798,'Approved-Enforcement'!$B798+7),"")</f>
        <v/>
      </c>
      <c r="E798" t="str">
        <f>IF($A798&lt;&gt;"",'Approved-Enforcement'!D798,"")</f>
        <v/>
      </c>
      <c r="F798" t="str">
        <f>IF($A798&lt;&gt;"",'Approved-Enforcement'!E798,"")</f>
        <v/>
      </c>
      <c r="G798" t="str">
        <f>IF($A798&lt;&gt;"",'Approved-Enforcement'!F798,"")</f>
        <v/>
      </c>
      <c r="H798" t="str">
        <f>IF($A798&lt;&gt;"",'Approved-Enforcement'!G798,"")</f>
        <v/>
      </c>
      <c r="I798" t="str">
        <f>IF($A798&lt;&gt;"",'Approved-Enforcement'!H798,"")</f>
        <v/>
      </c>
      <c r="J798" t="str">
        <f>IF($A798&lt;&gt;"",'Approved-Enforcement'!I798,"")</f>
        <v/>
      </c>
      <c r="K798" t="str">
        <f>IF($A798&lt;&gt;"",'Approved-Enforcement'!J798,"")</f>
        <v/>
      </c>
      <c r="L798" t="str">
        <f>IF($A798&lt;&gt;"",'Approved-Enforcement'!K798,"")</f>
        <v/>
      </c>
      <c r="M798" t="str">
        <f>IF($A798&lt;&gt;"",'Approved-Enforcement'!L798,"")</f>
        <v/>
      </c>
      <c r="N798" t="str">
        <f>IF($A798&lt;&gt;"",'Approved-Enforcement'!M798,"")</f>
        <v/>
      </c>
      <c r="O798" t="str">
        <f>IF($A798&lt;&gt;"",'Approved-Enforcement'!N798,"")</f>
        <v/>
      </c>
      <c r="P798" t="str">
        <f>IF($A798&lt;&gt;"",'Approved-Enforcement'!O798,"")</f>
        <v/>
      </c>
    </row>
    <row r="799" spans="1:16" x14ac:dyDescent="0.35">
      <c r="A799" s="4" t="str">
        <f>IF('Approved-Enforcement'!$A799&lt;&gt;"",'Approved-Enforcement'!A799,"")</f>
        <v/>
      </c>
      <c r="B799" t="str">
        <f t="shared" si="12"/>
        <v/>
      </c>
      <c r="D799" t="str">
        <f>IF($A799&lt;&gt;"",IF($R799&lt;&gt;"",$R799,'Approved-Enforcement'!$B799+7),"")</f>
        <v/>
      </c>
      <c r="E799" t="str">
        <f>IF($A799&lt;&gt;"",'Approved-Enforcement'!D799,"")</f>
        <v/>
      </c>
      <c r="F799" t="str">
        <f>IF($A799&lt;&gt;"",'Approved-Enforcement'!E799,"")</f>
        <v/>
      </c>
      <c r="G799" t="str">
        <f>IF($A799&lt;&gt;"",'Approved-Enforcement'!F799,"")</f>
        <v/>
      </c>
      <c r="H799" t="str">
        <f>IF($A799&lt;&gt;"",'Approved-Enforcement'!G799,"")</f>
        <v/>
      </c>
      <c r="I799" t="str">
        <f>IF($A799&lt;&gt;"",'Approved-Enforcement'!H799,"")</f>
        <v/>
      </c>
      <c r="J799" t="str">
        <f>IF($A799&lt;&gt;"",'Approved-Enforcement'!I799,"")</f>
        <v/>
      </c>
      <c r="K799" t="str">
        <f>IF($A799&lt;&gt;"",'Approved-Enforcement'!J799,"")</f>
        <v/>
      </c>
      <c r="L799" t="str">
        <f>IF($A799&lt;&gt;"",'Approved-Enforcement'!K799,"")</f>
        <v/>
      </c>
      <c r="M799" t="str">
        <f>IF($A799&lt;&gt;"",'Approved-Enforcement'!L799,"")</f>
        <v/>
      </c>
      <c r="N799" t="str">
        <f>IF($A799&lt;&gt;"",'Approved-Enforcement'!M799,"")</f>
        <v/>
      </c>
      <c r="O799" t="str">
        <f>IF($A799&lt;&gt;"",'Approved-Enforcement'!N799,"")</f>
        <v/>
      </c>
      <c r="P799" t="str">
        <f>IF($A799&lt;&gt;"",'Approved-Enforcement'!O799,"")</f>
        <v/>
      </c>
    </row>
    <row r="800" spans="1:16" x14ac:dyDescent="0.35">
      <c r="A800" s="4" t="str">
        <f>IF('Approved-Enforcement'!$A800&lt;&gt;"",'Approved-Enforcement'!A800,"")</f>
        <v/>
      </c>
      <c r="B800" t="str">
        <f t="shared" si="12"/>
        <v/>
      </c>
      <c r="D800" t="str">
        <f>IF($A800&lt;&gt;"",IF($R800&lt;&gt;"",$R800,'Approved-Enforcement'!$B800+7),"")</f>
        <v/>
      </c>
      <c r="E800" t="str">
        <f>IF($A800&lt;&gt;"",'Approved-Enforcement'!D800,"")</f>
        <v/>
      </c>
      <c r="F800" t="str">
        <f>IF($A800&lt;&gt;"",'Approved-Enforcement'!E800,"")</f>
        <v/>
      </c>
      <c r="G800" t="str">
        <f>IF($A800&lt;&gt;"",'Approved-Enforcement'!F800,"")</f>
        <v/>
      </c>
      <c r="H800" t="str">
        <f>IF($A800&lt;&gt;"",'Approved-Enforcement'!G800,"")</f>
        <v/>
      </c>
      <c r="I800" t="str">
        <f>IF($A800&lt;&gt;"",'Approved-Enforcement'!H800,"")</f>
        <v/>
      </c>
      <c r="J800" t="str">
        <f>IF($A800&lt;&gt;"",'Approved-Enforcement'!I800,"")</f>
        <v/>
      </c>
      <c r="K800" t="str">
        <f>IF($A800&lt;&gt;"",'Approved-Enforcement'!J800,"")</f>
        <v/>
      </c>
      <c r="L800" t="str">
        <f>IF($A800&lt;&gt;"",'Approved-Enforcement'!K800,"")</f>
        <v/>
      </c>
      <c r="M800" t="str">
        <f>IF($A800&lt;&gt;"",'Approved-Enforcement'!L800,"")</f>
        <v/>
      </c>
      <c r="N800" t="str">
        <f>IF($A800&lt;&gt;"",'Approved-Enforcement'!M800,"")</f>
        <v/>
      </c>
      <c r="O800" t="str">
        <f>IF($A800&lt;&gt;"",'Approved-Enforcement'!N800,"")</f>
        <v/>
      </c>
      <c r="P800" t="str">
        <f>IF($A800&lt;&gt;"",'Approved-Enforcement'!O800,"")</f>
        <v/>
      </c>
    </row>
    <row r="801" spans="1:16" x14ac:dyDescent="0.35">
      <c r="A801" s="4" t="str">
        <f>IF('Approved-Enforcement'!$A801&lt;&gt;"",'Approved-Enforcement'!A801,"")</f>
        <v/>
      </c>
      <c r="B801" t="str">
        <f t="shared" si="12"/>
        <v/>
      </c>
      <c r="D801" t="str">
        <f>IF($A801&lt;&gt;"",IF($R801&lt;&gt;"",$R801,'Approved-Enforcement'!$B801+7),"")</f>
        <v/>
      </c>
      <c r="E801" t="str">
        <f>IF($A801&lt;&gt;"",'Approved-Enforcement'!D801,"")</f>
        <v/>
      </c>
      <c r="F801" t="str">
        <f>IF($A801&lt;&gt;"",'Approved-Enforcement'!E801,"")</f>
        <v/>
      </c>
      <c r="G801" t="str">
        <f>IF($A801&lt;&gt;"",'Approved-Enforcement'!F801,"")</f>
        <v/>
      </c>
      <c r="H801" t="str">
        <f>IF($A801&lt;&gt;"",'Approved-Enforcement'!G801,"")</f>
        <v/>
      </c>
      <c r="I801" t="str">
        <f>IF($A801&lt;&gt;"",'Approved-Enforcement'!H801,"")</f>
        <v/>
      </c>
      <c r="J801" t="str">
        <f>IF($A801&lt;&gt;"",'Approved-Enforcement'!I801,"")</f>
        <v/>
      </c>
      <c r="K801" t="str">
        <f>IF($A801&lt;&gt;"",'Approved-Enforcement'!J801,"")</f>
        <v/>
      </c>
      <c r="L801" t="str">
        <f>IF($A801&lt;&gt;"",'Approved-Enforcement'!K801,"")</f>
        <v/>
      </c>
      <c r="M801" t="str">
        <f>IF($A801&lt;&gt;"",'Approved-Enforcement'!L801,"")</f>
        <v/>
      </c>
      <c r="N801" t="str">
        <f>IF($A801&lt;&gt;"",'Approved-Enforcement'!M801,"")</f>
        <v/>
      </c>
      <c r="O801" t="str">
        <f>IF($A801&lt;&gt;"",'Approved-Enforcement'!N801,"")</f>
        <v/>
      </c>
      <c r="P801" t="str">
        <f>IF($A801&lt;&gt;"",'Approved-Enforcement'!O801,"")</f>
        <v/>
      </c>
    </row>
    <row r="802" spans="1:16" x14ac:dyDescent="0.35">
      <c r="A802" s="4" t="str">
        <f>IF('Approved-Enforcement'!$A802&lt;&gt;"",'Approved-Enforcement'!A802,"")</f>
        <v/>
      </c>
      <c r="B802" t="str">
        <f t="shared" si="12"/>
        <v/>
      </c>
      <c r="D802" t="str">
        <f>IF($A802&lt;&gt;"",IF($R802&lt;&gt;"",$R802,'Approved-Enforcement'!$B802+7),"")</f>
        <v/>
      </c>
      <c r="E802" t="str">
        <f>IF($A802&lt;&gt;"",'Approved-Enforcement'!D802,"")</f>
        <v/>
      </c>
      <c r="F802" t="str">
        <f>IF($A802&lt;&gt;"",'Approved-Enforcement'!E802,"")</f>
        <v/>
      </c>
      <c r="G802" t="str">
        <f>IF($A802&lt;&gt;"",'Approved-Enforcement'!F802,"")</f>
        <v/>
      </c>
      <c r="H802" t="str">
        <f>IF($A802&lt;&gt;"",'Approved-Enforcement'!G802,"")</f>
        <v/>
      </c>
      <c r="I802" t="str">
        <f>IF($A802&lt;&gt;"",'Approved-Enforcement'!H802,"")</f>
        <v/>
      </c>
      <c r="J802" t="str">
        <f>IF($A802&lt;&gt;"",'Approved-Enforcement'!I802,"")</f>
        <v/>
      </c>
      <c r="K802" t="str">
        <f>IF($A802&lt;&gt;"",'Approved-Enforcement'!J802,"")</f>
        <v/>
      </c>
      <c r="L802" t="str">
        <f>IF($A802&lt;&gt;"",'Approved-Enforcement'!K802,"")</f>
        <v/>
      </c>
      <c r="M802" t="str">
        <f>IF($A802&lt;&gt;"",'Approved-Enforcement'!L802,"")</f>
        <v/>
      </c>
      <c r="N802" t="str">
        <f>IF($A802&lt;&gt;"",'Approved-Enforcement'!M802,"")</f>
        <v/>
      </c>
      <c r="O802" t="str">
        <f>IF($A802&lt;&gt;"",'Approved-Enforcement'!N802,"")</f>
        <v/>
      </c>
      <c r="P802" t="str">
        <f>IF($A802&lt;&gt;"",'Approved-Enforcement'!O802,"")</f>
        <v/>
      </c>
    </row>
    <row r="803" spans="1:16" x14ac:dyDescent="0.35">
      <c r="A803" s="4" t="str">
        <f>IF('Approved-Enforcement'!$A803&lt;&gt;"",'Approved-Enforcement'!A803,"")</f>
        <v/>
      </c>
      <c r="B803" t="str">
        <f t="shared" si="12"/>
        <v/>
      </c>
      <c r="D803" t="str">
        <f>IF($A803&lt;&gt;"",IF($R803&lt;&gt;"",$R803,'Approved-Enforcement'!$B803+7),"")</f>
        <v/>
      </c>
      <c r="E803" t="str">
        <f>IF($A803&lt;&gt;"",'Approved-Enforcement'!D803,"")</f>
        <v/>
      </c>
      <c r="F803" t="str">
        <f>IF($A803&lt;&gt;"",'Approved-Enforcement'!E803,"")</f>
        <v/>
      </c>
      <c r="G803" t="str">
        <f>IF($A803&lt;&gt;"",'Approved-Enforcement'!F803,"")</f>
        <v/>
      </c>
      <c r="H803" t="str">
        <f>IF($A803&lt;&gt;"",'Approved-Enforcement'!G803,"")</f>
        <v/>
      </c>
      <c r="I803" t="str">
        <f>IF($A803&lt;&gt;"",'Approved-Enforcement'!H803,"")</f>
        <v/>
      </c>
      <c r="J803" t="str">
        <f>IF($A803&lt;&gt;"",'Approved-Enforcement'!I803,"")</f>
        <v/>
      </c>
      <c r="K803" t="str">
        <f>IF($A803&lt;&gt;"",'Approved-Enforcement'!J803,"")</f>
        <v/>
      </c>
      <c r="L803" t="str">
        <f>IF($A803&lt;&gt;"",'Approved-Enforcement'!K803,"")</f>
        <v/>
      </c>
      <c r="M803" t="str">
        <f>IF($A803&lt;&gt;"",'Approved-Enforcement'!L803,"")</f>
        <v/>
      </c>
      <c r="N803" t="str">
        <f>IF($A803&lt;&gt;"",'Approved-Enforcement'!M803,"")</f>
        <v/>
      </c>
      <c r="O803" t="str">
        <f>IF($A803&lt;&gt;"",'Approved-Enforcement'!N803,"")</f>
        <v/>
      </c>
      <c r="P803" t="str">
        <f>IF($A803&lt;&gt;"",'Approved-Enforcement'!O803,"")</f>
        <v/>
      </c>
    </row>
    <row r="804" spans="1:16" x14ac:dyDescent="0.35">
      <c r="A804" s="4" t="str">
        <f>IF('Approved-Enforcement'!$A804&lt;&gt;"",'Approved-Enforcement'!A804,"")</f>
        <v/>
      </c>
      <c r="B804" t="str">
        <f t="shared" si="12"/>
        <v/>
      </c>
      <c r="D804" t="str">
        <f>IF($A804&lt;&gt;"",IF($R804&lt;&gt;"",$R804,'Approved-Enforcement'!$B804+7),"")</f>
        <v/>
      </c>
      <c r="E804" t="str">
        <f>IF($A804&lt;&gt;"",'Approved-Enforcement'!D804,"")</f>
        <v/>
      </c>
      <c r="F804" t="str">
        <f>IF($A804&lt;&gt;"",'Approved-Enforcement'!E804,"")</f>
        <v/>
      </c>
      <c r="G804" t="str">
        <f>IF($A804&lt;&gt;"",'Approved-Enforcement'!F804,"")</f>
        <v/>
      </c>
      <c r="H804" t="str">
        <f>IF($A804&lt;&gt;"",'Approved-Enforcement'!G804,"")</f>
        <v/>
      </c>
      <c r="I804" t="str">
        <f>IF($A804&lt;&gt;"",'Approved-Enforcement'!H804,"")</f>
        <v/>
      </c>
      <c r="J804" t="str">
        <f>IF($A804&lt;&gt;"",'Approved-Enforcement'!I804,"")</f>
        <v/>
      </c>
      <c r="K804" t="str">
        <f>IF($A804&lt;&gt;"",'Approved-Enforcement'!J804,"")</f>
        <v/>
      </c>
      <c r="L804" t="str">
        <f>IF($A804&lt;&gt;"",'Approved-Enforcement'!K804,"")</f>
        <v/>
      </c>
      <c r="M804" t="str">
        <f>IF($A804&lt;&gt;"",'Approved-Enforcement'!L804,"")</f>
        <v/>
      </c>
      <c r="N804" t="str">
        <f>IF($A804&lt;&gt;"",'Approved-Enforcement'!M804,"")</f>
        <v/>
      </c>
      <c r="O804" t="str">
        <f>IF($A804&lt;&gt;"",'Approved-Enforcement'!N804,"")</f>
        <v/>
      </c>
      <c r="P804" t="str">
        <f>IF($A804&lt;&gt;"",'Approved-Enforcement'!O804,"")</f>
        <v/>
      </c>
    </row>
    <row r="805" spans="1:16" x14ac:dyDescent="0.35">
      <c r="A805" s="4" t="str">
        <f>IF('Approved-Enforcement'!$A805&lt;&gt;"",'Approved-Enforcement'!A805,"")</f>
        <v/>
      </c>
      <c r="B805" t="str">
        <f t="shared" si="12"/>
        <v/>
      </c>
      <c r="D805" t="str">
        <f>IF($A805&lt;&gt;"",IF($R805&lt;&gt;"",$R805,'Approved-Enforcement'!$B805+7),"")</f>
        <v/>
      </c>
      <c r="E805" t="str">
        <f>IF($A805&lt;&gt;"",'Approved-Enforcement'!D805,"")</f>
        <v/>
      </c>
      <c r="F805" t="str">
        <f>IF($A805&lt;&gt;"",'Approved-Enforcement'!E805,"")</f>
        <v/>
      </c>
      <c r="G805" t="str">
        <f>IF($A805&lt;&gt;"",'Approved-Enforcement'!F805,"")</f>
        <v/>
      </c>
      <c r="H805" t="str">
        <f>IF($A805&lt;&gt;"",'Approved-Enforcement'!G805,"")</f>
        <v/>
      </c>
      <c r="I805" t="str">
        <f>IF($A805&lt;&gt;"",'Approved-Enforcement'!H805,"")</f>
        <v/>
      </c>
      <c r="J805" t="str">
        <f>IF($A805&lt;&gt;"",'Approved-Enforcement'!I805,"")</f>
        <v/>
      </c>
      <c r="K805" t="str">
        <f>IF($A805&lt;&gt;"",'Approved-Enforcement'!J805,"")</f>
        <v/>
      </c>
      <c r="L805" t="str">
        <f>IF($A805&lt;&gt;"",'Approved-Enforcement'!K805,"")</f>
        <v/>
      </c>
      <c r="M805" t="str">
        <f>IF($A805&lt;&gt;"",'Approved-Enforcement'!L805,"")</f>
        <v/>
      </c>
      <c r="N805" t="str">
        <f>IF($A805&lt;&gt;"",'Approved-Enforcement'!M805,"")</f>
        <v/>
      </c>
      <c r="O805" t="str">
        <f>IF($A805&lt;&gt;"",'Approved-Enforcement'!N805,"")</f>
        <v/>
      </c>
      <c r="P805" t="str">
        <f>IF($A805&lt;&gt;"",'Approved-Enforcement'!O805,"")</f>
        <v/>
      </c>
    </row>
    <row r="806" spans="1:16" x14ac:dyDescent="0.35">
      <c r="A806" s="4" t="str">
        <f>IF('Approved-Enforcement'!$A806&lt;&gt;"",'Approved-Enforcement'!A806,"")</f>
        <v/>
      </c>
      <c r="B806" t="str">
        <f t="shared" si="12"/>
        <v/>
      </c>
      <c r="D806" t="str">
        <f>IF($A806&lt;&gt;"",IF($R806&lt;&gt;"",$R806,'Approved-Enforcement'!$B806+7),"")</f>
        <v/>
      </c>
      <c r="E806" t="str">
        <f>IF($A806&lt;&gt;"",'Approved-Enforcement'!D806,"")</f>
        <v/>
      </c>
      <c r="F806" t="str">
        <f>IF($A806&lt;&gt;"",'Approved-Enforcement'!E806,"")</f>
        <v/>
      </c>
      <c r="G806" t="str">
        <f>IF($A806&lt;&gt;"",'Approved-Enforcement'!F806,"")</f>
        <v/>
      </c>
      <c r="H806" t="str">
        <f>IF($A806&lt;&gt;"",'Approved-Enforcement'!G806,"")</f>
        <v/>
      </c>
      <c r="I806" t="str">
        <f>IF($A806&lt;&gt;"",'Approved-Enforcement'!H806,"")</f>
        <v/>
      </c>
      <c r="J806" t="str">
        <f>IF($A806&lt;&gt;"",'Approved-Enforcement'!I806,"")</f>
        <v/>
      </c>
      <c r="K806" t="str">
        <f>IF($A806&lt;&gt;"",'Approved-Enforcement'!J806,"")</f>
        <v/>
      </c>
      <c r="L806" t="str">
        <f>IF($A806&lt;&gt;"",'Approved-Enforcement'!K806,"")</f>
        <v/>
      </c>
      <c r="M806" t="str">
        <f>IF($A806&lt;&gt;"",'Approved-Enforcement'!L806,"")</f>
        <v/>
      </c>
      <c r="N806" t="str">
        <f>IF($A806&lt;&gt;"",'Approved-Enforcement'!M806,"")</f>
        <v/>
      </c>
      <c r="O806" t="str">
        <f>IF($A806&lt;&gt;"",'Approved-Enforcement'!N806,"")</f>
        <v/>
      </c>
      <c r="P806" t="str">
        <f>IF($A806&lt;&gt;"",'Approved-Enforcement'!O806,"")</f>
        <v/>
      </c>
    </row>
    <row r="807" spans="1:16" x14ac:dyDescent="0.35">
      <c r="A807" s="4" t="str">
        <f>IF('Approved-Enforcement'!$A807&lt;&gt;"",'Approved-Enforcement'!A807,"")</f>
        <v/>
      </c>
      <c r="B807" t="str">
        <f t="shared" si="12"/>
        <v/>
      </c>
      <c r="D807" t="str">
        <f>IF($A807&lt;&gt;"",IF($R807&lt;&gt;"",$R807,'Approved-Enforcement'!$B807+7),"")</f>
        <v/>
      </c>
      <c r="E807" t="str">
        <f>IF($A807&lt;&gt;"",'Approved-Enforcement'!D807,"")</f>
        <v/>
      </c>
      <c r="F807" t="str">
        <f>IF($A807&lt;&gt;"",'Approved-Enforcement'!E807,"")</f>
        <v/>
      </c>
      <c r="G807" t="str">
        <f>IF($A807&lt;&gt;"",'Approved-Enforcement'!F807,"")</f>
        <v/>
      </c>
      <c r="H807" t="str">
        <f>IF($A807&lt;&gt;"",'Approved-Enforcement'!G807,"")</f>
        <v/>
      </c>
      <c r="I807" t="str">
        <f>IF($A807&lt;&gt;"",'Approved-Enforcement'!H807,"")</f>
        <v/>
      </c>
      <c r="J807" t="str">
        <f>IF($A807&lt;&gt;"",'Approved-Enforcement'!I807,"")</f>
        <v/>
      </c>
      <c r="K807" t="str">
        <f>IF($A807&lt;&gt;"",'Approved-Enforcement'!J807,"")</f>
        <v/>
      </c>
      <c r="L807" t="str">
        <f>IF($A807&lt;&gt;"",'Approved-Enforcement'!K807,"")</f>
        <v/>
      </c>
      <c r="M807" t="str">
        <f>IF($A807&lt;&gt;"",'Approved-Enforcement'!L807,"")</f>
        <v/>
      </c>
      <c r="N807" t="str">
        <f>IF($A807&lt;&gt;"",'Approved-Enforcement'!M807,"")</f>
        <v/>
      </c>
      <c r="O807" t="str">
        <f>IF($A807&lt;&gt;"",'Approved-Enforcement'!N807,"")</f>
        <v/>
      </c>
      <c r="P807" t="str">
        <f>IF($A807&lt;&gt;"",'Approved-Enforcement'!O807,"")</f>
        <v/>
      </c>
    </row>
    <row r="808" spans="1:16" x14ac:dyDescent="0.35">
      <c r="A808" s="4" t="str">
        <f>IF('Approved-Enforcement'!$A808&lt;&gt;"",'Approved-Enforcement'!A808,"")</f>
        <v/>
      </c>
      <c r="B808" t="str">
        <f t="shared" si="12"/>
        <v/>
      </c>
      <c r="D808" t="str">
        <f>IF($A808&lt;&gt;"",IF($R808&lt;&gt;"",$R808,'Approved-Enforcement'!$B808+7),"")</f>
        <v/>
      </c>
      <c r="E808" t="str">
        <f>IF($A808&lt;&gt;"",'Approved-Enforcement'!D808,"")</f>
        <v/>
      </c>
      <c r="F808" t="str">
        <f>IF($A808&lt;&gt;"",'Approved-Enforcement'!E808,"")</f>
        <v/>
      </c>
      <c r="G808" t="str">
        <f>IF($A808&lt;&gt;"",'Approved-Enforcement'!F808,"")</f>
        <v/>
      </c>
      <c r="H808" t="str">
        <f>IF($A808&lt;&gt;"",'Approved-Enforcement'!G808,"")</f>
        <v/>
      </c>
      <c r="I808" t="str">
        <f>IF($A808&lt;&gt;"",'Approved-Enforcement'!H808,"")</f>
        <v/>
      </c>
      <c r="J808" t="str">
        <f>IF($A808&lt;&gt;"",'Approved-Enforcement'!I808,"")</f>
        <v/>
      </c>
      <c r="K808" t="str">
        <f>IF($A808&lt;&gt;"",'Approved-Enforcement'!J808,"")</f>
        <v/>
      </c>
      <c r="L808" t="str">
        <f>IF($A808&lt;&gt;"",'Approved-Enforcement'!K808,"")</f>
        <v/>
      </c>
      <c r="M808" t="str">
        <f>IF($A808&lt;&gt;"",'Approved-Enforcement'!L808,"")</f>
        <v/>
      </c>
      <c r="N808" t="str">
        <f>IF($A808&lt;&gt;"",'Approved-Enforcement'!M808,"")</f>
        <v/>
      </c>
      <c r="O808" t="str">
        <f>IF($A808&lt;&gt;"",'Approved-Enforcement'!N808,"")</f>
        <v/>
      </c>
      <c r="P808" t="str">
        <f>IF($A808&lt;&gt;"",'Approved-Enforcement'!O808,"")</f>
        <v/>
      </c>
    </row>
    <row r="809" spans="1:16" x14ac:dyDescent="0.35">
      <c r="A809" s="4" t="str">
        <f>IF('Approved-Enforcement'!$A809&lt;&gt;"",'Approved-Enforcement'!A809,"")</f>
        <v/>
      </c>
      <c r="B809" t="str">
        <f t="shared" si="12"/>
        <v/>
      </c>
      <c r="D809" t="str">
        <f>IF($A809&lt;&gt;"",IF($R809&lt;&gt;"",$R809,'Approved-Enforcement'!$B809+7),"")</f>
        <v/>
      </c>
      <c r="E809" t="str">
        <f>IF($A809&lt;&gt;"",'Approved-Enforcement'!D809,"")</f>
        <v/>
      </c>
      <c r="F809" t="str">
        <f>IF($A809&lt;&gt;"",'Approved-Enforcement'!E809,"")</f>
        <v/>
      </c>
      <c r="G809" t="str">
        <f>IF($A809&lt;&gt;"",'Approved-Enforcement'!F809,"")</f>
        <v/>
      </c>
      <c r="H809" t="str">
        <f>IF($A809&lt;&gt;"",'Approved-Enforcement'!G809,"")</f>
        <v/>
      </c>
      <c r="I809" t="str">
        <f>IF($A809&lt;&gt;"",'Approved-Enforcement'!H809,"")</f>
        <v/>
      </c>
      <c r="J809" t="str">
        <f>IF($A809&lt;&gt;"",'Approved-Enforcement'!I809,"")</f>
        <v/>
      </c>
      <c r="K809" t="str">
        <f>IF($A809&lt;&gt;"",'Approved-Enforcement'!J809,"")</f>
        <v/>
      </c>
      <c r="L809" t="str">
        <f>IF($A809&lt;&gt;"",'Approved-Enforcement'!K809,"")</f>
        <v/>
      </c>
      <c r="M809" t="str">
        <f>IF($A809&lt;&gt;"",'Approved-Enforcement'!L809,"")</f>
        <v/>
      </c>
      <c r="N809" t="str">
        <f>IF($A809&lt;&gt;"",'Approved-Enforcement'!M809,"")</f>
        <v/>
      </c>
      <c r="O809" t="str">
        <f>IF($A809&lt;&gt;"",'Approved-Enforcement'!N809,"")</f>
        <v/>
      </c>
      <c r="P809" t="str">
        <f>IF($A809&lt;&gt;"",'Approved-Enforcement'!O809,"")</f>
        <v/>
      </c>
    </row>
    <row r="810" spans="1:16" x14ac:dyDescent="0.35">
      <c r="A810" s="4" t="str">
        <f>IF('Approved-Enforcement'!$A810&lt;&gt;"",'Approved-Enforcement'!A810,"")</f>
        <v/>
      </c>
      <c r="B810" t="str">
        <f t="shared" si="12"/>
        <v/>
      </c>
      <c r="D810" t="str">
        <f>IF($A810&lt;&gt;"",IF($R810&lt;&gt;"",$R810,'Approved-Enforcement'!$B810+7),"")</f>
        <v/>
      </c>
      <c r="E810" t="str">
        <f>IF($A810&lt;&gt;"",'Approved-Enforcement'!D810,"")</f>
        <v/>
      </c>
      <c r="F810" t="str">
        <f>IF($A810&lt;&gt;"",'Approved-Enforcement'!E810,"")</f>
        <v/>
      </c>
      <c r="G810" t="str">
        <f>IF($A810&lt;&gt;"",'Approved-Enforcement'!F810,"")</f>
        <v/>
      </c>
      <c r="H810" t="str">
        <f>IF($A810&lt;&gt;"",'Approved-Enforcement'!G810,"")</f>
        <v/>
      </c>
      <c r="I810" t="str">
        <f>IF($A810&lt;&gt;"",'Approved-Enforcement'!H810,"")</f>
        <v/>
      </c>
      <c r="J810" t="str">
        <f>IF($A810&lt;&gt;"",'Approved-Enforcement'!I810,"")</f>
        <v/>
      </c>
      <c r="K810" t="str">
        <f>IF($A810&lt;&gt;"",'Approved-Enforcement'!J810,"")</f>
        <v/>
      </c>
      <c r="L810" t="str">
        <f>IF($A810&lt;&gt;"",'Approved-Enforcement'!K810,"")</f>
        <v/>
      </c>
      <c r="M810" t="str">
        <f>IF($A810&lt;&gt;"",'Approved-Enforcement'!L810,"")</f>
        <v/>
      </c>
      <c r="N810" t="str">
        <f>IF($A810&lt;&gt;"",'Approved-Enforcement'!M810,"")</f>
        <v/>
      </c>
      <c r="O810" t="str">
        <f>IF($A810&lt;&gt;"",'Approved-Enforcement'!N810,"")</f>
        <v/>
      </c>
      <c r="P810" t="str">
        <f>IF($A810&lt;&gt;"",'Approved-Enforcement'!O810,"")</f>
        <v/>
      </c>
    </row>
    <row r="811" spans="1:16" x14ac:dyDescent="0.35">
      <c r="A811" s="4" t="str">
        <f>IF('Approved-Enforcement'!$A811&lt;&gt;"",'Approved-Enforcement'!A811,"")</f>
        <v/>
      </c>
      <c r="B811" t="str">
        <f t="shared" si="12"/>
        <v/>
      </c>
      <c r="D811" t="str">
        <f>IF($A811&lt;&gt;"",IF($R811&lt;&gt;"",$R811,'Approved-Enforcement'!$B811+7),"")</f>
        <v/>
      </c>
      <c r="E811" t="str">
        <f>IF($A811&lt;&gt;"",'Approved-Enforcement'!D811,"")</f>
        <v/>
      </c>
      <c r="F811" t="str">
        <f>IF($A811&lt;&gt;"",'Approved-Enforcement'!E811,"")</f>
        <v/>
      </c>
      <c r="G811" t="str">
        <f>IF($A811&lt;&gt;"",'Approved-Enforcement'!F811,"")</f>
        <v/>
      </c>
      <c r="H811" t="str">
        <f>IF($A811&lt;&gt;"",'Approved-Enforcement'!G811,"")</f>
        <v/>
      </c>
      <c r="I811" t="str">
        <f>IF($A811&lt;&gt;"",'Approved-Enforcement'!H811,"")</f>
        <v/>
      </c>
      <c r="J811" t="str">
        <f>IF($A811&lt;&gt;"",'Approved-Enforcement'!I811,"")</f>
        <v/>
      </c>
      <c r="K811" t="str">
        <f>IF($A811&lt;&gt;"",'Approved-Enforcement'!J811,"")</f>
        <v/>
      </c>
      <c r="L811" t="str">
        <f>IF($A811&lt;&gt;"",'Approved-Enforcement'!K811,"")</f>
        <v/>
      </c>
      <c r="M811" t="str">
        <f>IF($A811&lt;&gt;"",'Approved-Enforcement'!L811,"")</f>
        <v/>
      </c>
      <c r="N811" t="str">
        <f>IF($A811&lt;&gt;"",'Approved-Enforcement'!M811,"")</f>
        <v/>
      </c>
      <c r="O811" t="str">
        <f>IF($A811&lt;&gt;"",'Approved-Enforcement'!N811,"")</f>
        <v/>
      </c>
      <c r="P811" t="str">
        <f>IF($A811&lt;&gt;"",'Approved-Enforcement'!O811,"")</f>
        <v/>
      </c>
    </row>
    <row r="812" spans="1:16" x14ac:dyDescent="0.35">
      <c r="A812" s="4" t="str">
        <f>IF('Approved-Enforcement'!$A812&lt;&gt;"",'Approved-Enforcement'!A812,"")</f>
        <v/>
      </c>
      <c r="B812" t="str">
        <f t="shared" si="12"/>
        <v/>
      </c>
      <c r="D812" t="str">
        <f>IF($A812&lt;&gt;"",IF($R812&lt;&gt;"",$R812,'Approved-Enforcement'!$B812+7),"")</f>
        <v/>
      </c>
      <c r="E812" t="str">
        <f>IF($A812&lt;&gt;"",'Approved-Enforcement'!D812,"")</f>
        <v/>
      </c>
      <c r="F812" t="str">
        <f>IF($A812&lt;&gt;"",'Approved-Enforcement'!E812,"")</f>
        <v/>
      </c>
      <c r="G812" t="str">
        <f>IF($A812&lt;&gt;"",'Approved-Enforcement'!F812,"")</f>
        <v/>
      </c>
      <c r="H812" t="str">
        <f>IF($A812&lt;&gt;"",'Approved-Enforcement'!G812,"")</f>
        <v/>
      </c>
      <c r="I812" t="str">
        <f>IF($A812&lt;&gt;"",'Approved-Enforcement'!H812,"")</f>
        <v/>
      </c>
      <c r="J812" t="str">
        <f>IF($A812&lt;&gt;"",'Approved-Enforcement'!I812,"")</f>
        <v/>
      </c>
      <c r="K812" t="str">
        <f>IF($A812&lt;&gt;"",'Approved-Enforcement'!J812,"")</f>
        <v/>
      </c>
      <c r="L812" t="str">
        <f>IF($A812&lt;&gt;"",'Approved-Enforcement'!K812,"")</f>
        <v/>
      </c>
      <c r="M812" t="str">
        <f>IF($A812&lt;&gt;"",'Approved-Enforcement'!L812,"")</f>
        <v/>
      </c>
      <c r="N812" t="str">
        <f>IF($A812&lt;&gt;"",'Approved-Enforcement'!M812,"")</f>
        <v/>
      </c>
      <c r="O812" t="str">
        <f>IF($A812&lt;&gt;"",'Approved-Enforcement'!N812,"")</f>
        <v/>
      </c>
      <c r="P812" t="str">
        <f>IF($A812&lt;&gt;"",'Approved-Enforcement'!O812,"")</f>
        <v/>
      </c>
    </row>
    <row r="813" spans="1:16" x14ac:dyDescent="0.35">
      <c r="A813" s="4" t="str">
        <f>IF('Approved-Enforcement'!$A813&lt;&gt;"",'Approved-Enforcement'!A813,"")</f>
        <v/>
      </c>
      <c r="B813" t="str">
        <f t="shared" si="12"/>
        <v/>
      </c>
      <c r="D813" t="str">
        <f>IF($A813&lt;&gt;"",IF($R813&lt;&gt;"",$R813,'Approved-Enforcement'!$B813+7),"")</f>
        <v/>
      </c>
      <c r="E813" t="str">
        <f>IF($A813&lt;&gt;"",'Approved-Enforcement'!D813,"")</f>
        <v/>
      </c>
      <c r="F813" t="str">
        <f>IF($A813&lt;&gt;"",'Approved-Enforcement'!E813,"")</f>
        <v/>
      </c>
      <c r="G813" t="str">
        <f>IF($A813&lt;&gt;"",'Approved-Enforcement'!F813,"")</f>
        <v/>
      </c>
      <c r="H813" t="str">
        <f>IF($A813&lt;&gt;"",'Approved-Enforcement'!G813,"")</f>
        <v/>
      </c>
      <c r="I813" t="str">
        <f>IF($A813&lt;&gt;"",'Approved-Enforcement'!H813,"")</f>
        <v/>
      </c>
      <c r="J813" t="str">
        <f>IF($A813&lt;&gt;"",'Approved-Enforcement'!I813,"")</f>
        <v/>
      </c>
      <c r="K813" t="str">
        <f>IF($A813&lt;&gt;"",'Approved-Enforcement'!J813,"")</f>
        <v/>
      </c>
      <c r="L813" t="str">
        <f>IF($A813&lt;&gt;"",'Approved-Enforcement'!K813,"")</f>
        <v/>
      </c>
      <c r="M813" t="str">
        <f>IF($A813&lt;&gt;"",'Approved-Enforcement'!L813,"")</f>
        <v/>
      </c>
      <c r="N813" t="str">
        <f>IF($A813&lt;&gt;"",'Approved-Enforcement'!M813,"")</f>
        <v/>
      </c>
      <c r="O813" t="str">
        <f>IF($A813&lt;&gt;"",'Approved-Enforcement'!N813,"")</f>
        <v/>
      </c>
      <c r="P813" t="str">
        <f>IF($A813&lt;&gt;"",'Approved-Enforcement'!O813,"")</f>
        <v/>
      </c>
    </row>
    <row r="814" spans="1:16" x14ac:dyDescent="0.35">
      <c r="A814" s="4" t="str">
        <f>IF('Approved-Enforcement'!$A814&lt;&gt;"",'Approved-Enforcement'!A814,"")</f>
        <v/>
      </c>
      <c r="B814" t="str">
        <f t="shared" si="12"/>
        <v/>
      </c>
      <c r="D814" t="str">
        <f>IF($A814&lt;&gt;"",IF($R814&lt;&gt;"",$R814,'Approved-Enforcement'!$B814+7),"")</f>
        <v/>
      </c>
      <c r="E814" t="str">
        <f>IF($A814&lt;&gt;"",'Approved-Enforcement'!D814,"")</f>
        <v/>
      </c>
      <c r="F814" t="str">
        <f>IF($A814&lt;&gt;"",'Approved-Enforcement'!E814,"")</f>
        <v/>
      </c>
      <c r="G814" t="str">
        <f>IF($A814&lt;&gt;"",'Approved-Enforcement'!F814,"")</f>
        <v/>
      </c>
      <c r="H814" t="str">
        <f>IF($A814&lt;&gt;"",'Approved-Enforcement'!G814,"")</f>
        <v/>
      </c>
      <c r="I814" t="str">
        <f>IF($A814&lt;&gt;"",'Approved-Enforcement'!H814,"")</f>
        <v/>
      </c>
      <c r="J814" t="str">
        <f>IF($A814&lt;&gt;"",'Approved-Enforcement'!I814,"")</f>
        <v/>
      </c>
      <c r="K814" t="str">
        <f>IF($A814&lt;&gt;"",'Approved-Enforcement'!J814,"")</f>
        <v/>
      </c>
      <c r="L814" t="str">
        <f>IF($A814&lt;&gt;"",'Approved-Enforcement'!K814,"")</f>
        <v/>
      </c>
      <c r="M814" t="str">
        <f>IF($A814&lt;&gt;"",'Approved-Enforcement'!L814,"")</f>
        <v/>
      </c>
      <c r="N814" t="str">
        <f>IF($A814&lt;&gt;"",'Approved-Enforcement'!M814,"")</f>
        <v/>
      </c>
      <c r="O814" t="str">
        <f>IF($A814&lt;&gt;"",'Approved-Enforcement'!N814,"")</f>
        <v/>
      </c>
      <c r="P814" t="str">
        <f>IF($A814&lt;&gt;"",'Approved-Enforcement'!O814,"")</f>
        <v/>
      </c>
    </row>
    <row r="815" spans="1:16" x14ac:dyDescent="0.35">
      <c r="A815" s="4" t="str">
        <f>IF('Approved-Enforcement'!$A815&lt;&gt;"",'Approved-Enforcement'!A815,"")</f>
        <v/>
      </c>
      <c r="B815" t="str">
        <f t="shared" si="12"/>
        <v/>
      </c>
      <c r="D815" t="str">
        <f>IF($A815&lt;&gt;"",IF($R815&lt;&gt;"",$R815,'Approved-Enforcement'!$B815+7),"")</f>
        <v/>
      </c>
      <c r="E815" t="str">
        <f>IF($A815&lt;&gt;"",'Approved-Enforcement'!D815,"")</f>
        <v/>
      </c>
      <c r="F815" t="str">
        <f>IF($A815&lt;&gt;"",'Approved-Enforcement'!E815,"")</f>
        <v/>
      </c>
      <c r="G815" t="str">
        <f>IF($A815&lt;&gt;"",'Approved-Enforcement'!F815,"")</f>
        <v/>
      </c>
      <c r="H815" t="str">
        <f>IF($A815&lt;&gt;"",'Approved-Enforcement'!G815,"")</f>
        <v/>
      </c>
      <c r="I815" t="str">
        <f>IF($A815&lt;&gt;"",'Approved-Enforcement'!H815,"")</f>
        <v/>
      </c>
      <c r="J815" t="str">
        <f>IF($A815&lt;&gt;"",'Approved-Enforcement'!I815,"")</f>
        <v/>
      </c>
      <c r="K815" t="str">
        <f>IF($A815&lt;&gt;"",'Approved-Enforcement'!J815,"")</f>
        <v/>
      </c>
      <c r="L815" t="str">
        <f>IF($A815&lt;&gt;"",'Approved-Enforcement'!K815,"")</f>
        <v/>
      </c>
      <c r="M815" t="str">
        <f>IF($A815&lt;&gt;"",'Approved-Enforcement'!L815,"")</f>
        <v/>
      </c>
      <c r="N815" t="str">
        <f>IF($A815&lt;&gt;"",'Approved-Enforcement'!M815,"")</f>
        <v/>
      </c>
      <c r="O815" t="str">
        <f>IF($A815&lt;&gt;"",'Approved-Enforcement'!N815,"")</f>
        <v/>
      </c>
      <c r="P815" t="str">
        <f>IF($A815&lt;&gt;"",'Approved-Enforcement'!O815,"")</f>
        <v/>
      </c>
    </row>
    <row r="816" spans="1:16" x14ac:dyDescent="0.35">
      <c r="A816" s="4" t="str">
        <f>IF('Approved-Enforcement'!$A816&lt;&gt;"",'Approved-Enforcement'!A816,"")</f>
        <v/>
      </c>
      <c r="B816" t="str">
        <f t="shared" si="12"/>
        <v/>
      </c>
      <c r="D816" t="str">
        <f>IF($A816&lt;&gt;"",IF($R816&lt;&gt;"",$R816,'Approved-Enforcement'!$B816+7),"")</f>
        <v/>
      </c>
      <c r="E816" t="str">
        <f>IF($A816&lt;&gt;"",'Approved-Enforcement'!D816,"")</f>
        <v/>
      </c>
      <c r="F816" t="str">
        <f>IF($A816&lt;&gt;"",'Approved-Enforcement'!E816,"")</f>
        <v/>
      </c>
      <c r="G816" t="str">
        <f>IF($A816&lt;&gt;"",'Approved-Enforcement'!F816,"")</f>
        <v/>
      </c>
      <c r="H816" t="str">
        <f>IF($A816&lt;&gt;"",'Approved-Enforcement'!G816,"")</f>
        <v/>
      </c>
      <c r="I816" t="str">
        <f>IF($A816&lt;&gt;"",'Approved-Enforcement'!H816,"")</f>
        <v/>
      </c>
      <c r="J816" t="str">
        <f>IF($A816&lt;&gt;"",'Approved-Enforcement'!I816,"")</f>
        <v/>
      </c>
      <c r="K816" t="str">
        <f>IF($A816&lt;&gt;"",'Approved-Enforcement'!J816,"")</f>
        <v/>
      </c>
      <c r="L816" t="str">
        <f>IF($A816&lt;&gt;"",'Approved-Enforcement'!K816,"")</f>
        <v/>
      </c>
      <c r="M816" t="str">
        <f>IF($A816&lt;&gt;"",'Approved-Enforcement'!L816,"")</f>
        <v/>
      </c>
      <c r="N816" t="str">
        <f>IF($A816&lt;&gt;"",'Approved-Enforcement'!M816,"")</f>
        <v/>
      </c>
      <c r="O816" t="str">
        <f>IF($A816&lt;&gt;"",'Approved-Enforcement'!N816,"")</f>
        <v/>
      </c>
      <c r="P816" t="str">
        <f>IF($A816&lt;&gt;"",'Approved-Enforcement'!O816,"")</f>
        <v/>
      </c>
    </row>
    <row r="817" spans="1:16" x14ac:dyDescent="0.35">
      <c r="A817" s="4" t="str">
        <f>IF('Approved-Enforcement'!$A817&lt;&gt;"",'Approved-Enforcement'!A817,"")</f>
        <v/>
      </c>
      <c r="B817" t="str">
        <f t="shared" si="12"/>
        <v/>
      </c>
      <c r="D817" t="str">
        <f>IF($A817&lt;&gt;"",IF($R817&lt;&gt;"",$R817,'Approved-Enforcement'!$B817+7),"")</f>
        <v/>
      </c>
      <c r="E817" t="str">
        <f>IF($A817&lt;&gt;"",'Approved-Enforcement'!D817,"")</f>
        <v/>
      </c>
      <c r="F817" t="str">
        <f>IF($A817&lt;&gt;"",'Approved-Enforcement'!E817,"")</f>
        <v/>
      </c>
      <c r="G817" t="str">
        <f>IF($A817&lt;&gt;"",'Approved-Enforcement'!F817,"")</f>
        <v/>
      </c>
      <c r="H817" t="str">
        <f>IF($A817&lt;&gt;"",'Approved-Enforcement'!G817,"")</f>
        <v/>
      </c>
      <c r="I817" t="str">
        <f>IF($A817&lt;&gt;"",'Approved-Enforcement'!H817,"")</f>
        <v/>
      </c>
      <c r="J817" t="str">
        <f>IF($A817&lt;&gt;"",'Approved-Enforcement'!I817,"")</f>
        <v/>
      </c>
      <c r="K817" t="str">
        <f>IF($A817&lt;&gt;"",'Approved-Enforcement'!J817,"")</f>
        <v/>
      </c>
      <c r="L817" t="str">
        <f>IF($A817&lt;&gt;"",'Approved-Enforcement'!K817,"")</f>
        <v/>
      </c>
      <c r="M817" t="str">
        <f>IF($A817&lt;&gt;"",'Approved-Enforcement'!L817,"")</f>
        <v/>
      </c>
      <c r="N817" t="str">
        <f>IF($A817&lt;&gt;"",'Approved-Enforcement'!M817,"")</f>
        <v/>
      </c>
      <c r="O817" t="str">
        <f>IF($A817&lt;&gt;"",'Approved-Enforcement'!N817,"")</f>
        <v/>
      </c>
      <c r="P817" t="str">
        <f>IF($A817&lt;&gt;"",'Approved-Enforcement'!O817,"")</f>
        <v/>
      </c>
    </row>
    <row r="818" spans="1:16" x14ac:dyDescent="0.35">
      <c r="A818" s="4" t="str">
        <f>IF('Approved-Enforcement'!$A818&lt;&gt;"",'Approved-Enforcement'!A818,"")</f>
        <v/>
      </c>
      <c r="B818" t="str">
        <f t="shared" si="12"/>
        <v/>
      </c>
      <c r="D818" t="str">
        <f>IF($A818&lt;&gt;"",IF($R818&lt;&gt;"",$R818,'Approved-Enforcement'!$B818+7),"")</f>
        <v/>
      </c>
      <c r="E818" t="str">
        <f>IF($A818&lt;&gt;"",'Approved-Enforcement'!D818,"")</f>
        <v/>
      </c>
      <c r="F818" t="str">
        <f>IF($A818&lt;&gt;"",'Approved-Enforcement'!E818,"")</f>
        <v/>
      </c>
      <c r="G818" t="str">
        <f>IF($A818&lt;&gt;"",'Approved-Enforcement'!F818,"")</f>
        <v/>
      </c>
      <c r="H818" t="str">
        <f>IF($A818&lt;&gt;"",'Approved-Enforcement'!G818,"")</f>
        <v/>
      </c>
      <c r="I818" t="str">
        <f>IF($A818&lt;&gt;"",'Approved-Enforcement'!H818,"")</f>
        <v/>
      </c>
      <c r="J818" t="str">
        <f>IF($A818&lt;&gt;"",'Approved-Enforcement'!I818,"")</f>
        <v/>
      </c>
      <c r="K818" t="str">
        <f>IF($A818&lt;&gt;"",'Approved-Enforcement'!J818,"")</f>
        <v/>
      </c>
      <c r="L818" t="str">
        <f>IF($A818&lt;&gt;"",'Approved-Enforcement'!K818,"")</f>
        <v/>
      </c>
      <c r="M818" t="str">
        <f>IF($A818&lt;&gt;"",'Approved-Enforcement'!L818,"")</f>
        <v/>
      </c>
      <c r="N818" t="str">
        <f>IF($A818&lt;&gt;"",'Approved-Enforcement'!M818,"")</f>
        <v/>
      </c>
      <c r="O818" t="str">
        <f>IF($A818&lt;&gt;"",'Approved-Enforcement'!N818,"")</f>
        <v/>
      </c>
      <c r="P818" t="str">
        <f>IF($A818&lt;&gt;"",'Approved-Enforcement'!O818,"")</f>
        <v/>
      </c>
    </row>
    <row r="819" spans="1:16" x14ac:dyDescent="0.35">
      <c r="A819" s="4" t="str">
        <f>IF('Approved-Enforcement'!$A819&lt;&gt;"",'Approved-Enforcement'!A819,"")</f>
        <v/>
      </c>
      <c r="B819" t="str">
        <f t="shared" si="12"/>
        <v/>
      </c>
      <c r="D819" t="str">
        <f>IF($A819&lt;&gt;"",IF($R819&lt;&gt;"",$R819,'Approved-Enforcement'!$B819+7),"")</f>
        <v/>
      </c>
      <c r="E819" t="str">
        <f>IF($A819&lt;&gt;"",'Approved-Enforcement'!D819,"")</f>
        <v/>
      </c>
      <c r="F819" t="str">
        <f>IF($A819&lt;&gt;"",'Approved-Enforcement'!E819,"")</f>
        <v/>
      </c>
      <c r="G819" t="str">
        <f>IF($A819&lt;&gt;"",'Approved-Enforcement'!F819,"")</f>
        <v/>
      </c>
      <c r="H819" t="str">
        <f>IF($A819&lt;&gt;"",'Approved-Enforcement'!G819,"")</f>
        <v/>
      </c>
      <c r="I819" t="str">
        <f>IF($A819&lt;&gt;"",'Approved-Enforcement'!H819,"")</f>
        <v/>
      </c>
      <c r="J819" t="str">
        <f>IF($A819&lt;&gt;"",'Approved-Enforcement'!I819,"")</f>
        <v/>
      </c>
      <c r="K819" t="str">
        <f>IF($A819&lt;&gt;"",'Approved-Enforcement'!J819,"")</f>
        <v/>
      </c>
      <c r="L819" t="str">
        <f>IF($A819&lt;&gt;"",'Approved-Enforcement'!K819,"")</f>
        <v/>
      </c>
      <c r="M819" t="str">
        <f>IF($A819&lt;&gt;"",'Approved-Enforcement'!L819,"")</f>
        <v/>
      </c>
      <c r="N819" t="str">
        <f>IF($A819&lt;&gt;"",'Approved-Enforcement'!M819,"")</f>
        <v/>
      </c>
      <c r="O819" t="str">
        <f>IF($A819&lt;&gt;"",'Approved-Enforcement'!N819,"")</f>
        <v/>
      </c>
      <c r="P819" t="str">
        <f>IF($A819&lt;&gt;"",'Approved-Enforcement'!O819,"")</f>
        <v/>
      </c>
    </row>
    <row r="820" spans="1:16" x14ac:dyDescent="0.35">
      <c r="A820" s="4" t="str">
        <f>IF('Approved-Enforcement'!$A820&lt;&gt;"",'Approved-Enforcement'!A820,"")</f>
        <v/>
      </c>
      <c r="B820" t="str">
        <f t="shared" si="12"/>
        <v/>
      </c>
      <c r="D820" t="str">
        <f>IF($A820&lt;&gt;"",IF($R820&lt;&gt;"",$R820,'Approved-Enforcement'!$B820+7),"")</f>
        <v/>
      </c>
      <c r="E820" t="str">
        <f>IF($A820&lt;&gt;"",'Approved-Enforcement'!D820,"")</f>
        <v/>
      </c>
      <c r="F820" t="str">
        <f>IF($A820&lt;&gt;"",'Approved-Enforcement'!E820,"")</f>
        <v/>
      </c>
      <c r="G820" t="str">
        <f>IF($A820&lt;&gt;"",'Approved-Enforcement'!F820,"")</f>
        <v/>
      </c>
      <c r="H820" t="str">
        <f>IF($A820&lt;&gt;"",'Approved-Enforcement'!G820,"")</f>
        <v/>
      </c>
      <c r="I820" t="str">
        <f>IF($A820&lt;&gt;"",'Approved-Enforcement'!H820,"")</f>
        <v/>
      </c>
      <c r="J820" t="str">
        <f>IF($A820&lt;&gt;"",'Approved-Enforcement'!I820,"")</f>
        <v/>
      </c>
      <c r="K820" t="str">
        <f>IF($A820&lt;&gt;"",'Approved-Enforcement'!J820,"")</f>
        <v/>
      </c>
      <c r="L820" t="str">
        <f>IF($A820&lt;&gt;"",'Approved-Enforcement'!K820,"")</f>
        <v/>
      </c>
      <c r="M820" t="str">
        <f>IF($A820&lt;&gt;"",'Approved-Enforcement'!L820,"")</f>
        <v/>
      </c>
      <c r="N820" t="str">
        <f>IF($A820&lt;&gt;"",'Approved-Enforcement'!M820,"")</f>
        <v/>
      </c>
      <c r="O820" t="str">
        <f>IF($A820&lt;&gt;"",'Approved-Enforcement'!N820,"")</f>
        <v/>
      </c>
      <c r="P820" t="str">
        <f>IF($A820&lt;&gt;"",'Approved-Enforcement'!O820,"")</f>
        <v/>
      </c>
    </row>
    <row r="821" spans="1:16" x14ac:dyDescent="0.35">
      <c r="A821" s="4" t="str">
        <f>IF('Approved-Enforcement'!$A821&lt;&gt;"",'Approved-Enforcement'!A821,"")</f>
        <v/>
      </c>
      <c r="B821" t="str">
        <f t="shared" si="12"/>
        <v/>
      </c>
      <c r="D821" t="str">
        <f>IF($A821&lt;&gt;"",IF($R821&lt;&gt;"",$R821,'Approved-Enforcement'!$B821+7),"")</f>
        <v/>
      </c>
      <c r="E821" t="str">
        <f>IF($A821&lt;&gt;"",'Approved-Enforcement'!D821,"")</f>
        <v/>
      </c>
      <c r="F821" t="str">
        <f>IF($A821&lt;&gt;"",'Approved-Enforcement'!E821,"")</f>
        <v/>
      </c>
      <c r="G821" t="str">
        <f>IF($A821&lt;&gt;"",'Approved-Enforcement'!F821,"")</f>
        <v/>
      </c>
      <c r="H821" t="str">
        <f>IF($A821&lt;&gt;"",'Approved-Enforcement'!G821,"")</f>
        <v/>
      </c>
      <c r="I821" t="str">
        <f>IF($A821&lt;&gt;"",'Approved-Enforcement'!H821,"")</f>
        <v/>
      </c>
      <c r="J821" t="str">
        <f>IF($A821&lt;&gt;"",'Approved-Enforcement'!I821,"")</f>
        <v/>
      </c>
      <c r="K821" t="str">
        <f>IF($A821&lt;&gt;"",'Approved-Enforcement'!J821,"")</f>
        <v/>
      </c>
      <c r="L821" t="str">
        <f>IF($A821&lt;&gt;"",'Approved-Enforcement'!K821,"")</f>
        <v/>
      </c>
      <c r="M821" t="str">
        <f>IF($A821&lt;&gt;"",'Approved-Enforcement'!L821,"")</f>
        <v/>
      </c>
      <c r="N821" t="str">
        <f>IF($A821&lt;&gt;"",'Approved-Enforcement'!M821,"")</f>
        <v/>
      </c>
      <c r="O821" t="str">
        <f>IF($A821&lt;&gt;"",'Approved-Enforcement'!N821,"")</f>
        <v/>
      </c>
      <c r="P821" t="str">
        <f>IF($A821&lt;&gt;"",'Approved-Enforcement'!O821,"")</f>
        <v/>
      </c>
    </row>
    <row r="822" spans="1:16" x14ac:dyDescent="0.35">
      <c r="A822" s="4" t="str">
        <f>IF('Approved-Enforcement'!$A822&lt;&gt;"",'Approved-Enforcement'!A822,"")</f>
        <v/>
      </c>
      <c r="B822" t="str">
        <f t="shared" si="12"/>
        <v/>
      </c>
      <c r="D822" t="str">
        <f>IF($A822&lt;&gt;"",IF($R822&lt;&gt;"",$R822,'Approved-Enforcement'!$B822+7),"")</f>
        <v/>
      </c>
      <c r="E822" t="str">
        <f>IF($A822&lt;&gt;"",'Approved-Enforcement'!D822,"")</f>
        <v/>
      </c>
      <c r="F822" t="str">
        <f>IF($A822&lt;&gt;"",'Approved-Enforcement'!E822,"")</f>
        <v/>
      </c>
      <c r="G822" t="str">
        <f>IF($A822&lt;&gt;"",'Approved-Enforcement'!F822,"")</f>
        <v/>
      </c>
      <c r="H822" t="str">
        <f>IF($A822&lt;&gt;"",'Approved-Enforcement'!G822,"")</f>
        <v/>
      </c>
      <c r="I822" t="str">
        <f>IF($A822&lt;&gt;"",'Approved-Enforcement'!H822,"")</f>
        <v/>
      </c>
      <c r="J822" t="str">
        <f>IF($A822&lt;&gt;"",'Approved-Enforcement'!I822,"")</f>
        <v/>
      </c>
      <c r="K822" t="str">
        <f>IF($A822&lt;&gt;"",'Approved-Enforcement'!J822,"")</f>
        <v/>
      </c>
      <c r="L822" t="str">
        <f>IF($A822&lt;&gt;"",'Approved-Enforcement'!K822,"")</f>
        <v/>
      </c>
      <c r="M822" t="str">
        <f>IF($A822&lt;&gt;"",'Approved-Enforcement'!L822,"")</f>
        <v/>
      </c>
      <c r="N822" t="str">
        <f>IF($A822&lt;&gt;"",'Approved-Enforcement'!M822,"")</f>
        <v/>
      </c>
      <c r="O822" t="str">
        <f>IF($A822&lt;&gt;"",'Approved-Enforcement'!N822,"")</f>
        <v/>
      </c>
      <c r="P822" t="str">
        <f>IF($A822&lt;&gt;"",'Approved-Enforcement'!O822,"")</f>
        <v/>
      </c>
    </row>
    <row r="823" spans="1:16" x14ac:dyDescent="0.35">
      <c r="A823" s="4" t="str">
        <f>IF('Approved-Enforcement'!$A823&lt;&gt;"",'Approved-Enforcement'!A823,"")</f>
        <v/>
      </c>
      <c r="B823" t="str">
        <f t="shared" si="12"/>
        <v/>
      </c>
      <c r="D823" t="str">
        <f>IF($A823&lt;&gt;"",IF($R823&lt;&gt;"",$R823,'Approved-Enforcement'!$B823+7),"")</f>
        <v/>
      </c>
      <c r="E823" t="str">
        <f>IF($A823&lt;&gt;"",'Approved-Enforcement'!D823,"")</f>
        <v/>
      </c>
      <c r="F823" t="str">
        <f>IF($A823&lt;&gt;"",'Approved-Enforcement'!E823,"")</f>
        <v/>
      </c>
      <c r="G823" t="str">
        <f>IF($A823&lt;&gt;"",'Approved-Enforcement'!F823,"")</f>
        <v/>
      </c>
      <c r="H823" t="str">
        <f>IF($A823&lt;&gt;"",'Approved-Enforcement'!G823,"")</f>
        <v/>
      </c>
      <c r="I823" t="str">
        <f>IF($A823&lt;&gt;"",'Approved-Enforcement'!H823,"")</f>
        <v/>
      </c>
      <c r="J823" t="str">
        <f>IF($A823&lt;&gt;"",'Approved-Enforcement'!I823,"")</f>
        <v/>
      </c>
      <c r="K823" t="str">
        <f>IF($A823&lt;&gt;"",'Approved-Enforcement'!J823,"")</f>
        <v/>
      </c>
      <c r="L823" t="str">
        <f>IF($A823&lt;&gt;"",'Approved-Enforcement'!K823,"")</f>
        <v/>
      </c>
      <c r="M823" t="str">
        <f>IF($A823&lt;&gt;"",'Approved-Enforcement'!L823,"")</f>
        <v/>
      </c>
      <c r="N823" t="str">
        <f>IF($A823&lt;&gt;"",'Approved-Enforcement'!M823,"")</f>
        <v/>
      </c>
      <c r="O823" t="str">
        <f>IF($A823&lt;&gt;"",'Approved-Enforcement'!N823,"")</f>
        <v/>
      </c>
      <c r="P823" t="str">
        <f>IF($A823&lt;&gt;"",'Approved-Enforcement'!O823,"")</f>
        <v/>
      </c>
    </row>
    <row r="824" spans="1:16" x14ac:dyDescent="0.35">
      <c r="A824" s="4" t="str">
        <f>IF('Approved-Enforcement'!$A824&lt;&gt;"",'Approved-Enforcement'!A824,"")</f>
        <v/>
      </c>
      <c r="B824" t="str">
        <f t="shared" si="12"/>
        <v/>
      </c>
      <c r="D824" t="str">
        <f>IF($A824&lt;&gt;"",IF($R824&lt;&gt;"",$R824,'Approved-Enforcement'!$B824+7),"")</f>
        <v/>
      </c>
      <c r="E824" t="str">
        <f>IF($A824&lt;&gt;"",'Approved-Enforcement'!D824,"")</f>
        <v/>
      </c>
      <c r="F824" t="str">
        <f>IF($A824&lt;&gt;"",'Approved-Enforcement'!E824,"")</f>
        <v/>
      </c>
      <c r="G824" t="str">
        <f>IF($A824&lt;&gt;"",'Approved-Enforcement'!F824,"")</f>
        <v/>
      </c>
      <c r="H824" t="str">
        <f>IF($A824&lt;&gt;"",'Approved-Enforcement'!G824,"")</f>
        <v/>
      </c>
      <c r="I824" t="str">
        <f>IF($A824&lt;&gt;"",'Approved-Enforcement'!H824,"")</f>
        <v/>
      </c>
      <c r="J824" t="str">
        <f>IF($A824&lt;&gt;"",'Approved-Enforcement'!I824,"")</f>
        <v/>
      </c>
      <c r="K824" t="str">
        <f>IF($A824&lt;&gt;"",'Approved-Enforcement'!J824,"")</f>
        <v/>
      </c>
      <c r="L824" t="str">
        <f>IF($A824&lt;&gt;"",'Approved-Enforcement'!K824,"")</f>
        <v/>
      </c>
      <c r="M824" t="str">
        <f>IF($A824&lt;&gt;"",'Approved-Enforcement'!L824,"")</f>
        <v/>
      </c>
      <c r="N824" t="str">
        <f>IF($A824&lt;&gt;"",'Approved-Enforcement'!M824,"")</f>
        <v/>
      </c>
      <c r="O824" t="str">
        <f>IF($A824&lt;&gt;"",'Approved-Enforcement'!N824,"")</f>
        <v/>
      </c>
      <c r="P824" t="str">
        <f>IF($A824&lt;&gt;"",'Approved-Enforcement'!O824,"")</f>
        <v/>
      </c>
    </row>
    <row r="825" spans="1:16" x14ac:dyDescent="0.35">
      <c r="A825" s="4" t="str">
        <f>IF('Approved-Enforcement'!$A825&lt;&gt;"",'Approved-Enforcement'!A825,"")</f>
        <v/>
      </c>
      <c r="B825" t="str">
        <f t="shared" si="12"/>
        <v/>
      </c>
      <c r="D825" t="str">
        <f>IF($A825&lt;&gt;"",IF($R825&lt;&gt;"",$R825,'Approved-Enforcement'!$B825+7),"")</f>
        <v/>
      </c>
      <c r="E825" t="str">
        <f>IF($A825&lt;&gt;"",'Approved-Enforcement'!D825,"")</f>
        <v/>
      </c>
      <c r="F825" t="str">
        <f>IF($A825&lt;&gt;"",'Approved-Enforcement'!E825,"")</f>
        <v/>
      </c>
      <c r="G825" t="str">
        <f>IF($A825&lt;&gt;"",'Approved-Enforcement'!F825,"")</f>
        <v/>
      </c>
      <c r="H825" t="str">
        <f>IF($A825&lt;&gt;"",'Approved-Enforcement'!G825,"")</f>
        <v/>
      </c>
      <c r="I825" t="str">
        <f>IF($A825&lt;&gt;"",'Approved-Enforcement'!H825,"")</f>
        <v/>
      </c>
      <c r="J825" t="str">
        <f>IF($A825&lt;&gt;"",'Approved-Enforcement'!I825,"")</f>
        <v/>
      </c>
      <c r="K825" t="str">
        <f>IF($A825&lt;&gt;"",'Approved-Enforcement'!J825,"")</f>
        <v/>
      </c>
      <c r="L825" t="str">
        <f>IF($A825&lt;&gt;"",'Approved-Enforcement'!K825,"")</f>
        <v/>
      </c>
      <c r="M825" t="str">
        <f>IF($A825&lt;&gt;"",'Approved-Enforcement'!L825,"")</f>
        <v/>
      </c>
      <c r="N825" t="str">
        <f>IF($A825&lt;&gt;"",'Approved-Enforcement'!M825,"")</f>
        <v/>
      </c>
      <c r="O825" t="str">
        <f>IF($A825&lt;&gt;"",'Approved-Enforcement'!N825,"")</f>
        <v/>
      </c>
      <c r="P825" t="str">
        <f>IF($A825&lt;&gt;"",'Approved-Enforcement'!O825,"")</f>
        <v/>
      </c>
    </row>
    <row r="826" spans="1:16" x14ac:dyDescent="0.35">
      <c r="A826" s="4" t="str">
        <f>IF('Approved-Enforcement'!$A826&lt;&gt;"",'Approved-Enforcement'!A826,"")</f>
        <v/>
      </c>
      <c r="B826" t="str">
        <f t="shared" si="12"/>
        <v/>
      </c>
      <c r="D826" t="str">
        <f>IF($A826&lt;&gt;"",IF($R826&lt;&gt;"",$R826,'Approved-Enforcement'!$B826+7),"")</f>
        <v/>
      </c>
      <c r="E826" t="str">
        <f>IF($A826&lt;&gt;"",'Approved-Enforcement'!D826,"")</f>
        <v/>
      </c>
      <c r="F826" t="str">
        <f>IF($A826&lt;&gt;"",'Approved-Enforcement'!E826,"")</f>
        <v/>
      </c>
      <c r="G826" t="str">
        <f>IF($A826&lt;&gt;"",'Approved-Enforcement'!F826,"")</f>
        <v/>
      </c>
      <c r="H826" t="str">
        <f>IF($A826&lt;&gt;"",'Approved-Enforcement'!G826,"")</f>
        <v/>
      </c>
      <c r="I826" t="str">
        <f>IF($A826&lt;&gt;"",'Approved-Enforcement'!H826,"")</f>
        <v/>
      </c>
      <c r="J826" t="str">
        <f>IF($A826&lt;&gt;"",'Approved-Enforcement'!I826,"")</f>
        <v/>
      </c>
      <c r="K826" t="str">
        <f>IF($A826&lt;&gt;"",'Approved-Enforcement'!J826,"")</f>
        <v/>
      </c>
      <c r="L826" t="str">
        <f>IF($A826&lt;&gt;"",'Approved-Enforcement'!K826,"")</f>
        <v/>
      </c>
      <c r="M826" t="str">
        <f>IF($A826&lt;&gt;"",'Approved-Enforcement'!L826,"")</f>
        <v/>
      </c>
      <c r="N826" t="str">
        <f>IF($A826&lt;&gt;"",'Approved-Enforcement'!M826,"")</f>
        <v/>
      </c>
      <c r="O826" t="str">
        <f>IF($A826&lt;&gt;"",'Approved-Enforcement'!N826,"")</f>
        <v/>
      </c>
      <c r="P826" t="str">
        <f>IF($A826&lt;&gt;"",'Approved-Enforcement'!O826,"")</f>
        <v/>
      </c>
    </row>
    <row r="827" spans="1:16" x14ac:dyDescent="0.35">
      <c r="A827" s="4" t="str">
        <f>IF('Approved-Enforcement'!$A827&lt;&gt;"",'Approved-Enforcement'!A827,"")</f>
        <v/>
      </c>
      <c r="B827" t="str">
        <f t="shared" si="12"/>
        <v/>
      </c>
      <c r="D827" t="str">
        <f>IF($A827&lt;&gt;"",IF($R827&lt;&gt;"",$R827,'Approved-Enforcement'!$B827+7),"")</f>
        <v/>
      </c>
      <c r="E827" t="str">
        <f>IF($A827&lt;&gt;"",'Approved-Enforcement'!D827,"")</f>
        <v/>
      </c>
      <c r="F827" t="str">
        <f>IF($A827&lt;&gt;"",'Approved-Enforcement'!E827,"")</f>
        <v/>
      </c>
      <c r="G827" t="str">
        <f>IF($A827&lt;&gt;"",'Approved-Enforcement'!F827,"")</f>
        <v/>
      </c>
      <c r="H827" t="str">
        <f>IF($A827&lt;&gt;"",'Approved-Enforcement'!G827,"")</f>
        <v/>
      </c>
      <c r="I827" t="str">
        <f>IF($A827&lt;&gt;"",'Approved-Enforcement'!H827,"")</f>
        <v/>
      </c>
      <c r="J827" t="str">
        <f>IF($A827&lt;&gt;"",'Approved-Enforcement'!I827,"")</f>
        <v/>
      </c>
      <c r="K827" t="str">
        <f>IF($A827&lt;&gt;"",'Approved-Enforcement'!J827,"")</f>
        <v/>
      </c>
      <c r="L827" t="str">
        <f>IF($A827&lt;&gt;"",'Approved-Enforcement'!K827,"")</f>
        <v/>
      </c>
      <c r="M827" t="str">
        <f>IF($A827&lt;&gt;"",'Approved-Enforcement'!L827,"")</f>
        <v/>
      </c>
      <c r="N827" t="str">
        <f>IF($A827&lt;&gt;"",'Approved-Enforcement'!M827,"")</f>
        <v/>
      </c>
      <c r="O827" t="str">
        <f>IF($A827&lt;&gt;"",'Approved-Enforcement'!N827,"")</f>
        <v/>
      </c>
      <c r="P827" t="str">
        <f>IF($A827&lt;&gt;"",'Approved-Enforcement'!O827,"")</f>
        <v/>
      </c>
    </row>
    <row r="828" spans="1:16" x14ac:dyDescent="0.35">
      <c r="A828" s="4" t="str">
        <f>IF('Approved-Enforcement'!$A828&lt;&gt;"",'Approved-Enforcement'!A828,"")</f>
        <v/>
      </c>
      <c r="B828" t="str">
        <f t="shared" si="12"/>
        <v/>
      </c>
      <c r="D828" t="str">
        <f>IF($A828&lt;&gt;"",IF($R828&lt;&gt;"",$R828,'Approved-Enforcement'!$B828+7),"")</f>
        <v/>
      </c>
      <c r="E828" t="str">
        <f>IF($A828&lt;&gt;"",'Approved-Enforcement'!D828,"")</f>
        <v/>
      </c>
      <c r="F828" t="str">
        <f>IF($A828&lt;&gt;"",'Approved-Enforcement'!E828,"")</f>
        <v/>
      </c>
      <c r="G828" t="str">
        <f>IF($A828&lt;&gt;"",'Approved-Enforcement'!F828,"")</f>
        <v/>
      </c>
      <c r="H828" t="str">
        <f>IF($A828&lt;&gt;"",'Approved-Enforcement'!G828,"")</f>
        <v/>
      </c>
      <c r="I828" t="str">
        <f>IF($A828&lt;&gt;"",'Approved-Enforcement'!H828,"")</f>
        <v/>
      </c>
      <c r="J828" t="str">
        <f>IF($A828&lt;&gt;"",'Approved-Enforcement'!I828,"")</f>
        <v/>
      </c>
      <c r="K828" t="str">
        <f>IF($A828&lt;&gt;"",'Approved-Enforcement'!J828,"")</f>
        <v/>
      </c>
      <c r="L828" t="str">
        <f>IF($A828&lt;&gt;"",'Approved-Enforcement'!K828,"")</f>
        <v/>
      </c>
      <c r="M828" t="str">
        <f>IF($A828&lt;&gt;"",'Approved-Enforcement'!L828,"")</f>
        <v/>
      </c>
      <c r="N828" t="str">
        <f>IF($A828&lt;&gt;"",'Approved-Enforcement'!M828,"")</f>
        <v/>
      </c>
      <c r="O828" t="str">
        <f>IF($A828&lt;&gt;"",'Approved-Enforcement'!N828,"")</f>
        <v/>
      </c>
      <c r="P828" t="str">
        <f>IF($A828&lt;&gt;"",'Approved-Enforcement'!O828,"")</f>
        <v/>
      </c>
    </row>
    <row r="829" spans="1:16" x14ac:dyDescent="0.35">
      <c r="A829" s="4" t="str">
        <f>IF('Approved-Enforcement'!$A829&lt;&gt;"",'Approved-Enforcement'!A829,"")</f>
        <v/>
      </c>
      <c r="B829" t="str">
        <f t="shared" si="12"/>
        <v/>
      </c>
      <c r="D829" t="str">
        <f>IF($A829&lt;&gt;"",IF($R829&lt;&gt;"",$R829,'Approved-Enforcement'!$B829+7),"")</f>
        <v/>
      </c>
      <c r="E829" t="str">
        <f>IF($A829&lt;&gt;"",'Approved-Enforcement'!D829,"")</f>
        <v/>
      </c>
      <c r="F829" t="str">
        <f>IF($A829&lt;&gt;"",'Approved-Enforcement'!E829,"")</f>
        <v/>
      </c>
      <c r="G829" t="str">
        <f>IF($A829&lt;&gt;"",'Approved-Enforcement'!F829,"")</f>
        <v/>
      </c>
      <c r="H829" t="str">
        <f>IF($A829&lt;&gt;"",'Approved-Enforcement'!G829,"")</f>
        <v/>
      </c>
      <c r="I829" t="str">
        <f>IF($A829&lt;&gt;"",'Approved-Enforcement'!H829,"")</f>
        <v/>
      </c>
      <c r="J829" t="str">
        <f>IF($A829&lt;&gt;"",'Approved-Enforcement'!I829,"")</f>
        <v/>
      </c>
      <c r="K829" t="str">
        <f>IF($A829&lt;&gt;"",'Approved-Enforcement'!J829,"")</f>
        <v/>
      </c>
      <c r="L829" t="str">
        <f>IF($A829&lt;&gt;"",'Approved-Enforcement'!K829,"")</f>
        <v/>
      </c>
      <c r="M829" t="str">
        <f>IF($A829&lt;&gt;"",'Approved-Enforcement'!L829,"")</f>
        <v/>
      </c>
      <c r="N829" t="str">
        <f>IF($A829&lt;&gt;"",'Approved-Enforcement'!M829,"")</f>
        <v/>
      </c>
      <c r="O829" t="str">
        <f>IF($A829&lt;&gt;"",'Approved-Enforcement'!N829,"")</f>
        <v/>
      </c>
      <c r="P829" t="str">
        <f>IF($A829&lt;&gt;"",'Approved-Enforcement'!O829,"")</f>
        <v/>
      </c>
    </row>
    <row r="830" spans="1:16" x14ac:dyDescent="0.35">
      <c r="A830" s="4" t="str">
        <f>IF('Approved-Enforcement'!$A830&lt;&gt;"",'Approved-Enforcement'!A830,"")</f>
        <v/>
      </c>
      <c r="B830" t="str">
        <f t="shared" si="12"/>
        <v/>
      </c>
      <c r="D830" t="str">
        <f>IF($A830&lt;&gt;"",IF($R830&lt;&gt;"",$R830,'Approved-Enforcement'!$B830+7),"")</f>
        <v/>
      </c>
      <c r="E830" t="str">
        <f>IF($A830&lt;&gt;"",'Approved-Enforcement'!D830,"")</f>
        <v/>
      </c>
      <c r="F830" t="str">
        <f>IF($A830&lt;&gt;"",'Approved-Enforcement'!E830,"")</f>
        <v/>
      </c>
      <c r="G830" t="str">
        <f>IF($A830&lt;&gt;"",'Approved-Enforcement'!F830,"")</f>
        <v/>
      </c>
      <c r="H830" t="str">
        <f>IF($A830&lt;&gt;"",'Approved-Enforcement'!G830,"")</f>
        <v/>
      </c>
      <c r="I830" t="str">
        <f>IF($A830&lt;&gt;"",'Approved-Enforcement'!H830,"")</f>
        <v/>
      </c>
      <c r="J830" t="str">
        <f>IF($A830&lt;&gt;"",'Approved-Enforcement'!I830,"")</f>
        <v/>
      </c>
      <c r="K830" t="str">
        <f>IF($A830&lt;&gt;"",'Approved-Enforcement'!J830,"")</f>
        <v/>
      </c>
      <c r="L830" t="str">
        <f>IF($A830&lt;&gt;"",'Approved-Enforcement'!K830,"")</f>
        <v/>
      </c>
      <c r="M830" t="str">
        <f>IF($A830&lt;&gt;"",'Approved-Enforcement'!L830,"")</f>
        <v/>
      </c>
      <c r="N830" t="str">
        <f>IF($A830&lt;&gt;"",'Approved-Enforcement'!M830,"")</f>
        <v/>
      </c>
      <c r="O830" t="str">
        <f>IF($A830&lt;&gt;"",'Approved-Enforcement'!N830,"")</f>
        <v/>
      </c>
      <c r="P830" t="str">
        <f>IF($A830&lt;&gt;"",'Approved-Enforcement'!O830,"")</f>
        <v/>
      </c>
    </row>
    <row r="831" spans="1:16" x14ac:dyDescent="0.35">
      <c r="A831" s="4" t="str">
        <f>IF('Approved-Enforcement'!$A831&lt;&gt;"",'Approved-Enforcement'!A831,"")</f>
        <v/>
      </c>
      <c r="B831" t="str">
        <f t="shared" si="12"/>
        <v/>
      </c>
      <c r="D831" t="str">
        <f>IF($A831&lt;&gt;"",IF($R831&lt;&gt;"",$R831,'Approved-Enforcement'!$B831+7),"")</f>
        <v/>
      </c>
      <c r="E831" t="str">
        <f>IF($A831&lt;&gt;"",'Approved-Enforcement'!D831,"")</f>
        <v/>
      </c>
      <c r="F831" t="str">
        <f>IF($A831&lt;&gt;"",'Approved-Enforcement'!E831,"")</f>
        <v/>
      </c>
      <c r="G831" t="str">
        <f>IF($A831&lt;&gt;"",'Approved-Enforcement'!F831,"")</f>
        <v/>
      </c>
      <c r="H831" t="str">
        <f>IF($A831&lt;&gt;"",'Approved-Enforcement'!G831,"")</f>
        <v/>
      </c>
      <c r="I831" t="str">
        <f>IF($A831&lt;&gt;"",'Approved-Enforcement'!H831,"")</f>
        <v/>
      </c>
      <c r="J831" t="str">
        <f>IF($A831&lt;&gt;"",'Approved-Enforcement'!I831,"")</f>
        <v/>
      </c>
      <c r="K831" t="str">
        <f>IF($A831&lt;&gt;"",'Approved-Enforcement'!J831,"")</f>
        <v/>
      </c>
      <c r="L831" t="str">
        <f>IF($A831&lt;&gt;"",'Approved-Enforcement'!K831,"")</f>
        <v/>
      </c>
      <c r="M831" t="str">
        <f>IF($A831&lt;&gt;"",'Approved-Enforcement'!L831,"")</f>
        <v/>
      </c>
      <c r="N831" t="str">
        <f>IF($A831&lt;&gt;"",'Approved-Enforcement'!M831,"")</f>
        <v/>
      </c>
      <c r="O831" t="str">
        <f>IF($A831&lt;&gt;"",'Approved-Enforcement'!N831,"")</f>
        <v/>
      </c>
      <c r="P831" t="str">
        <f>IF($A831&lt;&gt;"",'Approved-Enforcement'!O831,"")</f>
        <v/>
      </c>
    </row>
    <row r="832" spans="1:16" x14ac:dyDescent="0.35">
      <c r="A832" s="4" t="str">
        <f>IF('Approved-Enforcement'!$A832&lt;&gt;"",'Approved-Enforcement'!A832,"")</f>
        <v/>
      </c>
      <c r="B832" t="str">
        <f t="shared" si="12"/>
        <v/>
      </c>
      <c r="D832" t="str">
        <f>IF($A832&lt;&gt;"",IF($R832&lt;&gt;"",$R832,'Approved-Enforcement'!$B832+7),"")</f>
        <v/>
      </c>
      <c r="E832" t="str">
        <f>IF($A832&lt;&gt;"",'Approved-Enforcement'!D832,"")</f>
        <v/>
      </c>
      <c r="F832" t="str">
        <f>IF($A832&lt;&gt;"",'Approved-Enforcement'!E832,"")</f>
        <v/>
      </c>
      <c r="G832" t="str">
        <f>IF($A832&lt;&gt;"",'Approved-Enforcement'!F832,"")</f>
        <v/>
      </c>
      <c r="H832" t="str">
        <f>IF($A832&lt;&gt;"",'Approved-Enforcement'!G832,"")</f>
        <v/>
      </c>
      <c r="I832" t="str">
        <f>IF($A832&lt;&gt;"",'Approved-Enforcement'!H832,"")</f>
        <v/>
      </c>
      <c r="J832" t="str">
        <f>IF($A832&lt;&gt;"",'Approved-Enforcement'!I832,"")</f>
        <v/>
      </c>
      <c r="K832" t="str">
        <f>IF($A832&lt;&gt;"",'Approved-Enforcement'!J832,"")</f>
        <v/>
      </c>
      <c r="L832" t="str">
        <f>IF($A832&lt;&gt;"",'Approved-Enforcement'!K832,"")</f>
        <v/>
      </c>
      <c r="M832" t="str">
        <f>IF($A832&lt;&gt;"",'Approved-Enforcement'!L832,"")</f>
        <v/>
      </c>
      <c r="N832" t="str">
        <f>IF($A832&lt;&gt;"",'Approved-Enforcement'!M832,"")</f>
        <v/>
      </c>
      <c r="O832" t="str">
        <f>IF($A832&lt;&gt;"",'Approved-Enforcement'!N832,"")</f>
        <v/>
      </c>
      <c r="P832" t="str">
        <f>IF($A832&lt;&gt;"",'Approved-Enforcement'!O832,"")</f>
        <v/>
      </c>
    </row>
    <row r="833" spans="1:16" x14ac:dyDescent="0.35">
      <c r="A833" s="4" t="str">
        <f>IF('Approved-Enforcement'!$A833&lt;&gt;"",'Approved-Enforcement'!A833,"")</f>
        <v/>
      </c>
      <c r="B833" t="str">
        <f t="shared" si="12"/>
        <v/>
      </c>
      <c r="D833" t="str">
        <f>IF($A833&lt;&gt;"",IF($R833&lt;&gt;"",$R833,'Approved-Enforcement'!$B833+7),"")</f>
        <v/>
      </c>
      <c r="E833" t="str">
        <f>IF($A833&lt;&gt;"",'Approved-Enforcement'!D833,"")</f>
        <v/>
      </c>
      <c r="F833" t="str">
        <f>IF($A833&lt;&gt;"",'Approved-Enforcement'!E833,"")</f>
        <v/>
      </c>
      <c r="G833" t="str">
        <f>IF($A833&lt;&gt;"",'Approved-Enforcement'!F833,"")</f>
        <v/>
      </c>
      <c r="H833" t="str">
        <f>IF($A833&lt;&gt;"",'Approved-Enforcement'!G833,"")</f>
        <v/>
      </c>
      <c r="I833" t="str">
        <f>IF($A833&lt;&gt;"",'Approved-Enforcement'!H833,"")</f>
        <v/>
      </c>
      <c r="J833" t="str">
        <f>IF($A833&lt;&gt;"",'Approved-Enforcement'!I833,"")</f>
        <v/>
      </c>
      <c r="K833" t="str">
        <f>IF($A833&lt;&gt;"",'Approved-Enforcement'!J833,"")</f>
        <v/>
      </c>
      <c r="L833" t="str">
        <f>IF($A833&lt;&gt;"",'Approved-Enforcement'!K833,"")</f>
        <v/>
      </c>
      <c r="M833" t="str">
        <f>IF($A833&lt;&gt;"",'Approved-Enforcement'!L833,"")</f>
        <v/>
      </c>
      <c r="N833" t="str">
        <f>IF($A833&lt;&gt;"",'Approved-Enforcement'!M833,"")</f>
        <v/>
      </c>
      <c r="O833" t="str">
        <f>IF($A833&lt;&gt;"",'Approved-Enforcement'!N833,"")</f>
        <v/>
      </c>
      <c r="P833" t="str">
        <f>IF($A833&lt;&gt;"",'Approved-Enforcement'!O833,"")</f>
        <v/>
      </c>
    </row>
    <row r="834" spans="1:16" x14ac:dyDescent="0.35">
      <c r="A834" s="4" t="str">
        <f>IF('Approved-Enforcement'!$A834&lt;&gt;"",'Approved-Enforcement'!A834,"")</f>
        <v/>
      </c>
      <c r="B834" t="str">
        <f t="shared" ref="B834:B897" si="13">IF($A834&lt;&gt;"",IF($C834&lt;&gt;"",$C834,1500),"")</f>
        <v/>
      </c>
      <c r="D834" t="str">
        <f>IF($A834&lt;&gt;"",IF($R834&lt;&gt;"",$R834,'Approved-Enforcement'!$B834+7),"")</f>
        <v/>
      </c>
      <c r="E834" t="str">
        <f>IF($A834&lt;&gt;"",'Approved-Enforcement'!D834,"")</f>
        <v/>
      </c>
      <c r="F834" t="str">
        <f>IF($A834&lt;&gt;"",'Approved-Enforcement'!E834,"")</f>
        <v/>
      </c>
      <c r="G834" t="str">
        <f>IF($A834&lt;&gt;"",'Approved-Enforcement'!F834,"")</f>
        <v/>
      </c>
      <c r="H834" t="str">
        <f>IF($A834&lt;&gt;"",'Approved-Enforcement'!G834,"")</f>
        <v/>
      </c>
      <c r="I834" t="str">
        <f>IF($A834&lt;&gt;"",'Approved-Enforcement'!H834,"")</f>
        <v/>
      </c>
      <c r="J834" t="str">
        <f>IF($A834&lt;&gt;"",'Approved-Enforcement'!I834,"")</f>
        <v/>
      </c>
      <c r="K834" t="str">
        <f>IF($A834&lt;&gt;"",'Approved-Enforcement'!J834,"")</f>
        <v/>
      </c>
      <c r="L834" t="str">
        <f>IF($A834&lt;&gt;"",'Approved-Enforcement'!K834,"")</f>
        <v/>
      </c>
      <c r="M834" t="str">
        <f>IF($A834&lt;&gt;"",'Approved-Enforcement'!L834,"")</f>
        <v/>
      </c>
      <c r="N834" t="str">
        <f>IF($A834&lt;&gt;"",'Approved-Enforcement'!M834,"")</f>
        <v/>
      </c>
      <c r="O834" t="str">
        <f>IF($A834&lt;&gt;"",'Approved-Enforcement'!N834,"")</f>
        <v/>
      </c>
      <c r="P834" t="str">
        <f>IF($A834&lt;&gt;"",'Approved-Enforcement'!O834,"")</f>
        <v/>
      </c>
    </row>
    <row r="835" spans="1:16" x14ac:dyDescent="0.35">
      <c r="A835" s="4" t="str">
        <f>IF('Approved-Enforcement'!$A835&lt;&gt;"",'Approved-Enforcement'!A835,"")</f>
        <v/>
      </c>
      <c r="B835" t="str">
        <f t="shared" si="13"/>
        <v/>
      </c>
      <c r="D835" t="str">
        <f>IF($A835&lt;&gt;"",IF($R835&lt;&gt;"",$R835,'Approved-Enforcement'!$B835+7),"")</f>
        <v/>
      </c>
      <c r="E835" t="str">
        <f>IF($A835&lt;&gt;"",'Approved-Enforcement'!D835,"")</f>
        <v/>
      </c>
      <c r="F835" t="str">
        <f>IF($A835&lt;&gt;"",'Approved-Enforcement'!E835,"")</f>
        <v/>
      </c>
      <c r="G835" t="str">
        <f>IF($A835&lt;&gt;"",'Approved-Enforcement'!F835,"")</f>
        <v/>
      </c>
      <c r="H835" t="str">
        <f>IF($A835&lt;&gt;"",'Approved-Enforcement'!G835,"")</f>
        <v/>
      </c>
      <c r="I835" t="str">
        <f>IF($A835&lt;&gt;"",'Approved-Enforcement'!H835,"")</f>
        <v/>
      </c>
      <c r="J835" t="str">
        <f>IF($A835&lt;&gt;"",'Approved-Enforcement'!I835,"")</f>
        <v/>
      </c>
      <c r="K835" t="str">
        <f>IF($A835&lt;&gt;"",'Approved-Enforcement'!J835,"")</f>
        <v/>
      </c>
      <c r="L835" t="str">
        <f>IF($A835&lt;&gt;"",'Approved-Enforcement'!K835,"")</f>
        <v/>
      </c>
      <c r="M835" t="str">
        <f>IF($A835&lt;&gt;"",'Approved-Enforcement'!L835,"")</f>
        <v/>
      </c>
      <c r="N835" t="str">
        <f>IF($A835&lt;&gt;"",'Approved-Enforcement'!M835,"")</f>
        <v/>
      </c>
      <c r="O835" t="str">
        <f>IF($A835&lt;&gt;"",'Approved-Enforcement'!N835,"")</f>
        <v/>
      </c>
      <c r="P835" t="str">
        <f>IF($A835&lt;&gt;"",'Approved-Enforcement'!O835,"")</f>
        <v/>
      </c>
    </row>
    <row r="836" spans="1:16" x14ac:dyDescent="0.35">
      <c r="A836" s="4" t="str">
        <f>IF('Approved-Enforcement'!$A836&lt;&gt;"",'Approved-Enforcement'!A836,"")</f>
        <v/>
      </c>
      <c r="B836" t="str">
        <f t="shared" si="13"/>
        <v/>
      </c>
      <c r="D836" t="str">
        <f>IF($A836&lt;&gt;"",IF($R836&lt;&gt;"",$R836,'Approved-Enforcement'!$B836+7),"")</f>
        <v/>
      </c>
      <c r="E836" t="str">
        <f>IF($A836&lt;&gt;"",'Approved-Enforcement'!D836,"")</f>
        <v/>
      </c>
      <c r="F836" t="str">
        <f>IF($A836&lt;&gt;"",'Approved-Enforcement'!E836,"")</f>
        <v/>
      </c>
      <c r="G836" t="str">
        <f>IF($A836&lt;&gt;"",'Approved-Enforcement'!F836,"")</f>
        <v/>
      </c>
      <c r="H836" t="str">
        <f>IF($A836&lt;&gt;"",'Approved-Enforcement'!G836,"")</f>
        <v/>
      </c>
      <c r="I836" t="str">
        <f>IF($A836&lt;&gt;"",'Approved-Enforcement'!H836,"")</f>
        <v/>
      </c>
      <c r="J836" t="str">
        <f>IF($A836&lt;&gt;"",'Approved-Enforcement'!I836,"")</f>
        <v/>
      </c>
      <c r="K836" t="str">
        <f>IF($A836&lt;&gt;"",'Approved-Enforcement'!J836,"")</f>
        <v/>
      </c>
      <c r="L836" t="str">
        <f>IF($A836&lt;&gt;"",'Approved-Enforcement'!K836,"")</f>
        <v/>
      </c>
      <c r="M836" t="str">
        <f>IF($A836&lt;&gt;"",'Approved-Enforcement'!L836,"")</f>
        <v/>
      </c>
      <c r="N836" t="str">
        <f>IF($A836&lt;&gt;"",'Approved-Enforcement'!M836,"")</f>
        <v/>
      </c>
      <c r="O836" t="str">
        <f>IF($A836&lt;&gt;"",'Approved-Enforcement'!N836,"")</f>
        <v/>
      </c>
      <c r="P836" t="str">
        <f>IF($A836&lt;&gt;"",'Approved-Enforcement'!O836,"")</f>
        <v/>
      </c>
    </row>
    <row r="837" spans="1:16" x14ac:dyDescent="0.35">
      <c r="A837" s="4" t="str">
        <f>IF('Approved-Enforcement'!$A837&lt;&gt;"",'Approved-Enforcement'!A837,"")</f>
        <v/>
      </c>
      <c r="B837" t="str">
        <f t="shared" si="13"/>
        <v/>
      </c>
      <c r="D837" t="str">
        <f>IF($A837&lt;&gt;"",IF($R837&lt;&gt;"",$R837,'Approved-Enforcement'!$B837+7),"")</f>
        <v/>
      </c>
      <c r="E837" t="str">
        <f>IF($A837&lt;&gt;"",'Approved-Enforcement'!D837,"")</f>
        <v/>
      </c>
      <c r="F837" t="str">
        <f>IF($A837&lt;&gt;"",'Approved-Enforcement'!E837,"")</f>
        <v/>
      </c>
      <c r="G837" t="str">
        <f>IF($A837&lt;&gt;"",'Approved-Enforcement'!F837,"")</f>
        <v/>
      </c>
      <c r="H837" t="str">
        <f>IF($A837&lt;&gt;"",'Approved-Enforcement'!G837,"")</f>
        <v/>
      </c>
      <c r="I837" t="str">
        <f>IF($A837&lt;&gt;"",'Approved-Enforcement'!H837,"")</f>
        <v/>
      </c>
      <c r="J837" t="str">
        <f>IF($A837&lt;&gt;"",'Approved-Enforcement'!I837,"")</f>
        <v/>
      </c>
      <c r="K837" t="str">
        <f>IF($A837&lt;&gt;"",'Approved-Enforcement'!J837,"")</f>
        <v/>
      </c>
      <c r="L837" t="str">
        <f>IF($A837&lt;&gt;"",'Approved-Enforcement'!K837,"")</f>
        <v/>
      </c>
      <c r="M837" t="str">
        <f>IF($A837&lt;&gt;"",'Approved-Enforcement'!L837,"")</f>
        <v/>
      </c>
      <c r="N837" t="str">
        <f>IF($A837&lt;&gt;"",'Approved-Enforcement'!M837,"")</f>
        <v/>
      </c>
      <c r="O837" t="str">
        <f>IF($A837&lt;&gt;"",'Approved-Enforcement'!N837,"")</f>
        <v/>
      </c>
      <c r="P837" t="str">
        <f>IF($A837&lt;&gt;"",'Approved-Enforcement'!O837,"")</f>
        <v/>
      </c>
    </row>
    <row r="838" spans="1:16" x14ac:dyDescent="0.35">
      <c r="A838" s="4" t="str">
        <f>IF('Approved-Enforcement'!$A838&lt;&gt;"",'Approved-Enforcement'!A838,"")</f>
        <v/>
      </c>
      <c r="B838" t="str">
        <f t="shared" si="13"/>
        <v/>
      </c>
      <c r="D838" t="str">
        <f>IF($A838&lt;&gt;"",IF($R838&lt;&gt;"",$R838,'Approved-Enforcement'!$B838+7),"")</f>
        <v/>
      </c>
      <c r="E838" t="str">
        <f>IF($A838&lt;&gt;"",'Approved-Enforcement'!D838,"")</f>
        <v/>
      </c>
      <c r="F838" t="str">
        <f>IF($A838&lt;&gt;"",'Approved-Enforcement'!E838,"")</f>
        <v/>
      </c>
      <c r="G838" t="str">
        <f>IF($A838&lt;&gt;"",'Approved-Enforcement'!F838,"")</f>
        <v/>
      </c>
      <c r="H838" t="str">
        <f>IF($A838&lt;&gt;"",'Approved-Enforcement'!G838,"")</f>
        <v/>
      </c>
      <c r="I838" t="str">
        <f>IF($A838&lt;&gt;"",'Approved-Enforcement'!H838,"")</f>
        <v/>
      </c>
      <c r="J838" t="str">
        <f>IF($A838&lt;&gt;"",'Approved-Enforcement'!I838,"")</f>
        <v/>
      </c>
      <c r="K838" t="str">
        <f>IF($A838&lt;&gt;"",'Approved-Enforcement'!J838,"")</f>
        <v/>
      </c>
      <c r="L838" t="str">
        <f>IF($A838&lt;&gt;"",'Approved-Enforcement'!K838,"")</f>
        <v/>
      </c>
      <c r="M838" t="str">
        <f>IF($A838&lt;&gt;"",'Approved-Enforcement'!L838,"")</f>
        <v/>
      </c>
      <c r="N838" t="str">
        <f>IF($A838&lt;&gt;"",'Approved-Enforcement'!M838,"")</f>
        <v/>
      </c>
      <c r="O838" t="str">
        <f>IF($A838&lt;&gt;"",'Approved-Enforcement'!N838,"")</f>
        <v/>
      </c>
      <c r="P838" t="str">
        <f>IF($A838&lt;&gt;"",'Approved-Enforcement'!O838,"")</f>
        <v/>
      </c>
    </row>
    <row r="839" spans="1:16" x14ac:dyDescent="0.35">
      <c r="A839" s="4" t="str">
        <f>IF('Approved-Enforcement'!$A839&lt;&gt;"",'Approved-Enforcement'!A839,"")</f>
        <v/>
      </c>
      <c r="B839" t="str">
        <f t="shared" si="13"/>
        <v/>
      </c>
      <c r="D839" t="str">
        <f>IF($A839&lt;&gt;"",IF($R839&lt;&gt;"",$R839,'Approved-Enforcement'!$B839+7),"")</f>
        <v/>
      </c>
      <c r="E839" t="str">
        <f>IF($A839&lt;&gt;"",'Approved-Enforcement'!D839,"")</f>
        <v/>
      </c>
      <c r="F839" t="str">
        <f>IF($A839&lt;&gt;"",'Approved-Enforcement'!E839,"")</f>
        <v/>
      </c>
      <c r="G839" t="str">
        <f>IF($A839&lt;&gt;"",'Approved-Enforcement'!F839,"")</f>
        <v/>
      </c>
      <c r="H839" t="str">
        <f>IF($A839&lt;&gt;"",'Approved-Enforcement'!G839,"")</f>
        <v/>
      </c>
      <c r="I839" t="str">
        <f>IF($A839&lt;&gt;"",'Approved-Enforcement'!H839,"")</f>
        <v/>
      </c>
      <c r="J839" t="str">
        <f>IF($A839&lt;&gt;"",'Approved-Enforcement'!I839,"")</f>
        <v/>
      </c>
      <c r="K839" t="str">
        <f>IF($A839&lt;&gt;"",'Approved-Enforcement'!J839,"")</f>
        <v/>
      </c>
      <c r="L839" t="str">
        <f>IF($A839&lt;&gt;"",'Approved-Enforcement'!K839,"")</f>
        <v/>
      </c>
      <c r="M839" t="str">
        <f>IF($A839&lt;&gt;"",'Approved-Enforcement'!L839,"")</f>
        <v/>
      </c>
      <c r="N839" t="str">
        <f>IF($A839&lt;&gt;"",'Approved-Enforcement'!M839,"")</f>
        <v/>
      </c>
      <c r="O839" t="str">
        <f>IF($A839&lt;&gt;"",'Approved-Enforcement'!N839,"")</f>
        <v/>
      </c>
      <c r="P839" t="str">
        <f>IF($A839&lt;&gt;"",'Approved-Enforcement'!O839,"")</f>
        <v/>
      </c>
    </row>
    <row r="840" spans="1:16" x14ac:dyDescent="0.35">
      <c r="A840" s="4" t="str">
        <f>IF('Approved-Enforcement'!$A840&lt;&gt;"",'Approved-Enforcement'!A840,"")</f>
        <v/>
      </c>
      <c r="B840" t="str">
        <f t="shared" si="13"/>
        <v/>
      </c>
      <c r="D840" t="str">
        <f>IF($A840&lt;&gt;"",IF($R840&lt;&gt;"",$R840,'Approved-Enforcement'!$B840+7),"")</f>
        <v/>
      </c>
      <c r="E840" t="str">
        <f>IF($A840&lt;&gt;"",'Approved-Enforcement'!D840,"")</f>
        <v/>
      </c>
      <c r="F840" t="str">
        <f>IF($A840&lt;&gt;"",'Approved-Enforcement'!E840,"")</f>
        <v/>
      </c>
      <c r="G840" t="str">
        <f>IF($A840&lt;&gt;"",'Approved-Enforcement'!F840,"")</f>
        <v/>
      </c>
      <c r="H840" t="str">
        <f>IF($A840&lt;&gt;"",'Approved-Enforcement'!G840,"")</f>
        <v/>
      </c>
      <c r="I840" t="str">
        <f>IF($A840&lt;&gt;"",'Approved-Enforcement'!H840,"")</f>
        <v/>
      </c>
      <c r="J840" t="str">
        <f>IF($A840&lt;&gt;"",'Approved-Enforcement'!I840,"")</f>
        <v/>
      </c>
      <c r="K840" t="str">
        <f>IF($A840&lt;&gt;"",'Approved-Enforcement'!J840,"")</f>
        <v/>
      </c>
      <c r="L840" t="str">
        <f>IF($A840&lt;&gt;"",'Approved-Enforcement'!K840,"")</f>
        <v/>
      </c>
      <c r="M840" t="str">
        <f>IF($A840&lt;&gt;"",'Approved-Enforcement'!L840,"")</f>
        <v/>
      </c>
      <c r="N840" t="str">
        <f>IF($A840&lt;&gt;"",'Approved-Enforcement'!M840,"")</f>
        <v/>
      </c>
      <c r="O840" t="str">
        <f>IF($A840&lt;&gt;"",'Approved-Enforcement'!N840,"")</f>
        <v/>
      </c>
      <c r="P840" t="str">
        <f>IF($A840&lt;&gt;"",'Approved-Enforcement'!O840,"")</f>
        <v/>
      </c>
    </row>
    <row r="841" spans="1:16" x14ac:dyDescent="0.35">
      <c r="A841" s="4" t="str">
        <f>IF('Approved-Enforcement'!$A841&lt;&gt;"",'Approved-Enforcement'!A841,"")</f>
        <v/>
      </c>
      <c r="B841" t="str">
        <f t="shared" si="13"/>
        <v/>
      </c>
      <c r="D841" t="str">
        <f>IF($A841&lt;&gt;"",IF($R841&lt;&gt;"",$R841,'Approved-Enforcement'!$B841+7),"")</f>
        <v/>
      </c>
      <c r="E841" t="str">
        <f>IF($A841&lt;&gt;"",'Approved-Enforcement'!D841,"")</f>
        <v/>
      </c>
      <c r="F841" t="str">
        <f>IF($A841&lt;&gt;"",'Approved-Enforcement'!E841,"")</f>
        <v/>
      </c>
      <c r="G841" t="str">
        <f>IF($A841&lt;&gt;"",'Approved-Enforcement'!F841,"")</f>
        <v/>
      </c>
      <c r="H841" t="str">
        <f>IF($A841&lt;&gt;"",'Approved-Enforcement'!G841,"")</f>
        <v/>
      </c>
      <c r="I841" t="str">
        <f>IF($A841&lt;&gt;"",'Approved-Enforcement'!H841,"")</f>
        <v/>
      </c>
      <c r="J841" t="str">
        <f>IF($A841&lt;&gt;"",'Approved-Enforcement'!I841,"")</f>
        <v/>
      </c>
      <c r="K841" t="str">
        <f>IF($A841&lt;&gt;"",'Approved-Enforcement'!J841,"")</f>
        <v/>
      </c>
      <c r="L841" t="str">
        <f>IF($A841&lt;&gt;"",'Approved-Enforcement'!K841,"")</f>
        <v/>
      </c>
      <c r="M841" t="str">
        <f>IF($A841&lt;&gt;"",'Approved-Enforcement'!L841,"")</f>
        <v/>
      </c>
      <c r="N841" t="str">
        <f>IF($A841&lt;&gt;"",'Approved-Enforcement'!M841,"")</f>
        <v/>
      </c>
      <c r="O841" t="str">
        <f>IF($A841&lt;&gt;"",'Approved-Enforcement'!N841,"")</f>
        <v/>
      </c>
      <c r="P841" t="str">
        <f>IF($A841&lt;&gt;"",'Approved-Enforcement'!O841,"")</f>
        <v/>
      </c>
    </row>
    <row r="842" spans="1:16" x14ac:dyDescent="0.35">
      <c r="A842" s="4" t="str">
        <f>IF('Approved-Enforcement'!$A842&lt;&gt;"",'Approved-Enforcement'!A842,"")</f>
        <v/>
      </c>
      <c r="B842" t="str">
        <f t="shared" si="13"/>
        <v/>
      </c>
      <c r="D842" t="str">
        <f>IF($A842&lt;&gt;"",IF($R842&lt;&gt;"",$R842,'Approved-Enforcement'!$B842+7),"")</f>
        <v/>
      </c>
      <c r="E842" t="str">
        <f>IF($A842&lt;&gt;"",'Approved-Enforcement'!D842,"")</f>
        <v/>
      </c>
      <c r="F842" t="str">
        <f>IF($A842&lt;&gt;"",'Approved-Enforcement'!E842,"")</f>
        <v/>
      </c>
      <c r="G842" t="str">
        <f>IF($A842&lt;&gt;"",'Approved-Enforcement'!F842,"")</f>
        <v/>
      </c>
      <c r="H842" t="str">
        <f>IF($A842&lt;&gt;"",'Approved-Enforcement'!G842,"")</f>
        <v/>
      </c>
      <c r="I842" t="str">
        <f>IF($A842&lt;&gt;"",'Approved-Enforcement'!H842,"")</f>
        <v/>
      </c>
      <c r="J842" t="str">
        <f>IF($A842&lt;&gt;"",'Approved-Enforcement'!I842,"")</f>
        <v/>
      </c>
      <c r="K842" t="str">
        <f>IF($A842&lt;&gt;"",'Approved-Enforcement'!J842,"")</f>
        <v/>
      </c>
      <c r="L842" t="str">
        <f>IF($A842&lt;&gt;"",'Approved-Enforcement'!K842,"")</f>
        <v/>
      </c>
      <c r="M842" t="str">
        <f>IF($A842&lt;&gt;"",'Approved-Enforcement'!L842,"")</f>
        <v/>
      </c>
      <c r="N842" t="str">
        <f>IF($A842&lt;&gt;"",'Approved-Enforcement'!M842,"")</f>
        <v/>
      </c>
      <c r="O842" t="str">
        <f>IF($A842&lt;&gt;"",'Approved-Enforcement'!N842,"")</f>
        <v/>
      </c>
      <c r="P842" t="str">
        <f>IF($A842&lt;&gt;"",'Approved-Enforcement'!O842,"")</f>
        <v/>
      </c>
    </row>
    <row r="843" spans="1:16" x14ac:dyDescent="0.35">
      <c r="A843" s="4" t="str">
        <f>IF('Approved-Enforcement'!$A843&lt;&gt;"",'Approved-Enforcement'!A843,"")</f>
        <v/>
      </c>
      <c r="B843" t="str">
        <f t="shared" si="13"/>
        <v/>
      </c>
      <c r="D843" t="str">
        <f>IF($A843&lt;&gt;"",IF($R843&lt;&gt;"",$R843,'Approved-Enforcement'!$B843+7),"")</f>
        <v/>
      </c>
      <c r="E843" t="str">
        <f>IF($A843&lt;&gt;"",'Approved-Enforcement'!D843,"")</f>
        <v/>
      </c>
      <c r="F843" t="str">
        <f>IF($A843&lt;&gt;"",'Approved-Enforcement'!E843,"")</f>
        <v/>
      </c>
      <c r="G843" t="str">
        <f>IF($A843&lt;&gt;"",'Approved-Enforcement'!F843,"")</f>
        <v/>
      </c>
      <c r="H843" t="str">
        <f>IF($A843&lt;&gt;"",'Approved-Enforcement'!G843,"")</f>
        <v/>
      </c>
      <c r="I843" t="str">
        <f>IF($A843&lt;&gt;"",'Approved-Enforcement'!H843,"")</f>
        <v/>
      </c>
      <c r="J843" t="str">
        <f>IF($A843&lt;&gt;"",'Approved-Enforcement'!I843,"")</f>
        <v/>
      </c>
      <c r="K843" t="str">
        <f>IF($A843&lt;&gt;"",'Approved-Enforcement'!J843,"")</f>
        <v/>
      </c>
      <c r="L843" t="str">
        <f>IF($A843&lt;&gt;"",'Approved-Enforcement'!K843,"")</f>
        <v/>
      </c>
      <c r="M843" t="str">
        <f>IF($A843&lt;&gt;"",'Approved-Enforcement'!L843,"")</f>
        <v/>
      </c>
      <c r="N843" t="str">
        <f>IF($A843&lt;&gt;"",'Approved-Enforcement'!M843,"")</f>
        <v/>
      </c>
      <c r="O843" t="str">
        <f>IF($A843&lt;&gt;"",'Approved-Enforcement'!N843,"")</f>
        <v/>
      </c>
      <c r="P843" t="str">
        <f>IF($A843&lt;&gt;"",'Approved-Enforcement'!O843,"")</f>
        <v/>
      </c>
    </row>
    <row r="844" spans="1:16" x14ac:dyDescent="0.35">
      <c r="A844" s="4" t="str">
        <f>IF('Approved-Enforcement'!$A844&lt;&gt;"",'Approved-Enforcement'!A844,"")</f>
        <v/>
      </c>
      <c r="B844" t="str">
        <f t="shared" si="13"/>
        <v/>
      </c>
      <c r="D844" t="str">
        <f>IF($A844&lt;&gt;"",IF($R844&lt;&gt;"",$R844,'Approved-Enforcement'!$B844+7),"")</f>
        <v/>
      </c>
      <c r="E844" t="str">
        <f>IF($A844&lt;&gt;"",'Approved-Enforcement'!D844,"")</f>
        <v/>
      </c>
      <c r="F844" t="str">
        <f>IF($A844&lt;&gt;"",'Approved-Enforcement'!E844,"")</f>
        <v/>
      </c>
      <c r="G844" t="str">
        <f>IF($A844&lt;&gt;"",'Approved-Enforcement'!F844,"")</f>
        <v/>
      </c>
      <c r="H844" t="str">
        <f>IF($A844&lt;&gt;"",'Approved-Enforcement'!G844,"")</f>
        <v/>
      </c>
      <c r="I844" t="str">
        <f>IF($A844&lt;&gt;"",'Approved-Enforcement'!H844,"")</f>
        <v/>
      </c>
      <c r="J844" t="str">
        <f>IF($A844&lt;&gt;"",'Approved-Enforcement'!I844,"")</f>
        <v/>
      </c>
      <c r="K844" t="str">
        <f>IF($A844&lt;&gt;"",'Approved-Enforcement'!J844,"")</f>
        <v/>
      </c>
      <c r="L844" t="str">
        <f>IF($A844&lt;&gt;"",'Approved-Enforcement'!K844,"")</f>
        <v/>
      </c>
      <c r="M844" t="str">
        <f>IF($A844&lt;&gt;"",'Approved-Enforcement'!L844,"")</f>
        <v/>
      </c>
      <c r="N844" t="str">
        <f>IF($A844&lt;&gt;"",'Approved-Enforcement'!M844,"")</f>
        <v/>
      </c>
      <c r="O844" t="str">
        <f>IF($A844&lt;&gt;"",'Approved-Enforcement'!N844,"")</f>
        <v/>
      </c>
      <c r="P844" t="str">
        <f>IF($A844&lt;&gt;"",'Approved-Enforcement'!O844,"")</f>
        <v/>
      </c>
    </row>
    <row r="845" spans="1:16" x14ac:dyDescent="0.35">
      <c r="A845" s="4" t="str">
        <f>IF('Approved-Enforcement'!$A845&lt;&gt;"",'Approved-Enforcement'!A845,"")</f>
        <v/>
      </c>
      <c r="B845" t="str">
        <f t="shared" si="13"/>
        <v/>
      </c>
      <c r="D845" t="str">
        <f>IF($A845&lt;&gt;"",IF($R845&lt;&gt;"",$R845,'Approved-Enforcement'!$B845+7),"")</f>
        <v/>
      </c>
      <c r="E845" t="str">
        <f>IF($A845&lt;&gt;"",'Approved-Enforcement'!D845,"")</f>
        <v/>
      </c>
      <c r="F845" t="str">
        <f>IF($A845&lt;&gt;"",'Approved-Enforcement'!E845,"")</f>
        <v/>
      </c>
      <c r="G845" t="str">
        <f>IF($A845&lt;&gt;"",'Approved-Enforcement'!F845,"")</f>
        <v/>
      </c>
      <c r="H845" t="str">
        <f>IF($A845&lt;&gt;"",'Approved-Enforcement'!G845,"")</f>
        <v/>
      </c>
      <c r="I845" t="str">
        <f>IF($A845&lt;&gt;"",'Approved-Enforcement'!H845,"")</f>
        <v/>
      </c>
      <c r="J845" t="str">
        <f>IF($A845&lt;&gt;"",'Approved-Enforcement'!I845,"")</f>
        <v/>
      </c>
      <c r="K845" t="str">
        <f>IF($A845&lt;&gt;"",'Approved-Enforcement'!J845,"")</f>
        <v/>
      </c>
      <c r="L845" t="str">
        <f>IF($A845&lt;&gt;"",'Approved-Enforcement'!K845,"")</f>
        <v/>
      </c>
      <c r="M845" t="str">
        <f>IF($A845&lt;&gt;"",'Approved-Enforcement'!L845,"")</f>
        <v/>
      </c>
      <c r="N845" t="str">
        <f>IF($A845&lt;&gt;"",'Approved-Enforcement'!M845,"")</f>
        <v/>
      </c>
      <c r="O845" t="str">
        <f>IF($A845&lt;&gt;"",'Approved-Enforcement'!N845,"")</f>
        <v/>
      </c>
      <c r="P845" t="str">
        <f>IF($A845&lt;&gt;"",'Approved-Enforcement'!O845,"")</f>
        <v/>
      </c>
    </row>
    <row r="846" spans="1:16" x14ac:dyDescent="0.35">
      <c r="A846" s="4" t="str">
        <f>IF('Approved-Enforcement'!$A846&lt;&gt;"",'Approved-Enforcement'!A846,"")</f>
        <v/>
      </c>
      <c r="B846" t="str">
        <f t="shared" si="13"/>
        <v/>
      </c>
      <c r="D846" t="str">
        <f>IF($A846&lt;&gt;"",IF($R846&lt;&gt;"",$R846,'Approved-Enforcement'!$B846+7),"")</f>
        <v/>
      </c>
      <c r="E846" t="str">
        <f>IF($A846&lt;&gt;"",'Approved-Enforcement'!D846,"")</f>
        <v/>
      </c>
      <c r="F846" t="str">
        <f>IF($A846&lt;&gt;"",'Approved-Enforcement'!E846,"")</f>
        <v/>
      </c>
      <c r="G846" t="str">
        <f>IF($A846&lt;&gt;"",'Approved-Enforcement'!F846,"")</f>
        <v/>
      </c>
      <c r="H846" t="str">
        <f>IF($A846&lt;&gt;"",'Approved-Enforcement'!G846,"")</f>
        <v/>
      </c>
      <c r="I846" t="str">
        <f>IF($A846&lt;&gt;"",'Approved-Enforcement'!H846,"")</f>
        <v/>
      </c>
      <c r="J846" t="str">
        <f>IF($A846&lt;&gt;"",'Approved-Enforcement'!I846,"")</f>
        <v/>
      </c>
      <c r="K846" t="str">
        <f>IF($A846&lt;&gt;"",'Approved-Enforcement'!J846,"")</f>
        <v/>
      </c>
      <c r="L846" t="str">
        <f>IF($A846&lt;&gt;"",'Approved-Enforcement'!K846,"")</f>
        <v/>
      </c>
      <c r="M846" t="str">
        <f>IF($A846&lt;&gt;"",'Approved-Enforcement'!L846,"")</f>
        <v/>
      </c>
      <c r="N846" t="str">
        <f>IF($A846&lt;&gt;"",'Approved-Enforcement'!M846,"")</f>
        <v/>
      </c>
      <c r="O846" t="str">
        <f>IF($A846&lt;&gt;"",'Approved-Enforcement'!N846,"")</f>
        <v/>
      </c>
      <c r="P846" t="str">
        <f>IF($A846&lt;&gt;"",'Approved-Enforcement'!O846,"")</f>
        <v/>
      </c>
    </row>
    <row r="847" spans="1:16" x14ac:dyDescent="0.35">
      <c r="A847" s="4" t="str">
        <f>IF('Approved-Enforcement'!$A847&lt;&gt;"",'Approved-Enforcement'!A847,"")</f>
        <v/>
      </c>
      <c r="B847" t="str">
        <f t="shared" si="13"/>
        <v/>
      </c>
      <c r="D847" t="str">
        <f>IF($A847&lt;&gt;"",IF($R847&lt;&gt;"",$R847,'Approved-Enforcement'!$B847+7),"")</f>
        <v/>
      </c>
      <c r="E847" t="str">
        <f>IF($A847&lt;&gt;"",'Approved-Enforcement'!D847,"")</f>
        <v/>
      </c>
      <c r="F847" t="str">
        <f>IF($A847&lt;&gt;"",'Approved-Enforcement'!E847,"")</f>
        <v/>
      </c>
      <c r="G847" t="str">
        <f>IF($A847&lt;&gt;"",'Approved-Enforcement'!F847,"")</f>
        <v/>
      </c>
      <c r="H847" t="str">
        <f>IF($A847&lt;&gt;"",'Approved-Enforcement'!G847,"")</f>
        <v/>
      </c>
      <c r="I847" t="str">
        <f>IF($A847&lt;&gt;"",'Approved-Enforcement'!H847,"")</f>
        <v/>
      </c>
      <c r="J847" t="str">
        <f>IF($A847&lt;&gt;"",'Approved-Enforcement'!I847,"")</f>
        <v/>
      </c>
      <c r="K847" t="str">
        <f>IF($A847&lt;&gt;"",'Approved-Enforcement'!J847,"")</f>
        <v/>
      </c>
      <c r="L847" t="str">
        <f>IF($A847&lt;&gt;"",'Approved-Enforcement'!K847,"")</f>
        <v/>
      </c>
      <c r="M847" t="str">
        <f>IF($A847&lt;&gt;"",'Approved-Enforcement'!L847,"")</f>
        <v/>
      </c>
      <c r="N847" t="str">
        <f>IF($A847&lt;&gt;"",'Approved-Enforcement'!M847,"")</f>
        <v/>
      </c>
      <c r="O847" t="str">
        <f>IF($A847&lt;&gt;"",'Approved-Enforcement'!N847,"")</f>
        <v/>
      </c>
      <c r="P847" t="str">
        <f>IF($A847&lt;&gt;"",'Approved-Enforcement'!O847,"")</f>
        <v/>
      </c>
    </row>
    <row r="848" spans="1:16" x14ac:dyDescent="0.35">
      <c r="A848" s="4" t="str">
        <f>IF('Approved-Enforcement'!$A848&lt;&gt;"",'Approved-Enforcement'!A848,"")</f>
        <v/>
      </c>
      <c r="B848" t="str">
        <f t="shared" si="13"/>
        <v/>
      </c>
      <c r="D848" t="str">
        <f>IF($A848&lt;&gt;"",IF($R848&lt;&gt;"",$R848,'Approved-Enforcement'!$B848+7),"")</f>
        <v/>
      </c>
      <c r="E848" t="str">
        <f>IF($A848&lt;&gt;"",'Approved-Enforcement'!D848,"")</f>
        <v/>
      </c>
      <c r="F848" t="str">
        <f>IF($A848&lt;&gt;"",'Approved-Enforcement'!E848,"")</f>
        <v/>
      </c>
      <c r="G848" t="str">
        <f>IF($A848&lt;&gt;"",'Approved-Enforcement'!F848,"")</f>
        <v/>
      </c>
      <c r="H848" t="str">
        <f>IF($A848&lt;&gt;"",'Approved-Enforcement'!G848,"")</f>
        <v/>
      </c>
      <c r="I848" t="str">
        <f>IF($A848&lt;&gt;"",'Approved-Enforcement'!H848,"")</f>
        <v/>
      </c>
      <c r="J848" t="str">
        <f>IF($A848&lt;&gt;"",'Approved-Enforcement'!I848,"")</f>
        <v/>
      </c>
      <c r="K848" t="str">
        <f>IF($A848&lt;&gt;"",'Approved-Enforcement'!J848,"")</f>
        <v/>
      </c>
      <c r="L848" t="str">
        <f>IF($A848&lt;&gt;"",'Approved-Enforcement'!K848,"")</f>
        <v/>
      </c>
      <c r="M848" t="str">
        <f>IF($A848&lt;&gt;"",'Approved-Enforcement'!L848,"")</f>
        <v/>
      </c>
      <c r="N848" t="str">
        <f>IF($A848&lt;&gt;"",'Approved-Enforcement'!M848,"")</f>
        <v/>
      </c>
      <c r="O848" t="str">
        <f>IF($A848&lt;&gt;"",'Approved-Enforcement'!N848,"")</f>
        <v/>
      </c>
      <c r="P848" t="str">
        <f>IF($A848&lt;&gt;"",'Approved-Enforcement'!O848,"")</f>
        <v/>
      </c>
    </row>
    <row r="849" spans="1:16" x14ac:dyDescent="0.35">
      <c r="A849" s="4" t="str">
        <f>IF('Approved-Enforcement'!$A849&lt;&gt;"",'Approved-Enforcement'!A849,"")</f>
        <v/>
      </c>
      <c r="B849" t="str">
        <f t="shared" si="13"/>
        <v/>
      </c>
      <c r="D849" t="str">
        <f>IF($A849&lt;&gt;"",IF($R849&lt;&gt;"",$R849,'Approved-Enforcement'!$B849+7),"")</f>
        <v/>
      </c>
      <c r="E849" t="str">
        <f>IF($A849&lt;&gt;"",'Approved-Enforcement'!D849,"")</f>
        <v/>
      </c>
      <c r="F849" t="str">
        <f>IF($A849&lt;&gt;"",'Approved-Enforcement'!E849,"")</f>
        <v/>
      </c>
      <c r="G849" t="str">
        <f>IF($A849&lt;&gt;"",'Approved-Enforcement'!F849,"")</f>
        <v/>
      </c>
      <c r="H849" t="str">
        <f>IF($A849&lt;&gt;"",'Approved-Enforcement'!G849,"")</f>
        <v/>
      </c>
      <c r="I849" t="str">
        <f>IF($A849&lt;&gt;"",'Approved-Enforcement'!H849,"")</f>
        <v/>
      </c>
      <c r="J849" t="str">
        <f>IF($A849&lt;&gt;"",'Approved-Enforcement'!I849,"")</f>
        <v/>
      </c>
      <c r="K849" t="str">
        <f>IF($A849&lt;&gt;"",'Approved-Enforcement'!J849,"")</f>
        <v/>
      </c>
      <c r="L849" t="str">
        <f>IF($A849&lt;&gt;"",'Approved-Enforcement'!K849,"")</f>
        <v/>
      </c>
      <c r="M849" t="str">
        <f>IF($A849&lt;&gt;"",'Approved-Enforcement'!L849,"")</f>
        <v/>
      </c>
      <c r="N849" t="str">
        <f>IF($A849&lt;&gt;"",'Approved-Enforcement'!M849,"")</f>
        <v/>
      </c>
      <c r="O849" t="str">
        <f>IF($A849&lt;&gt;"",'Approved-Enforcement'!N849,"")</f>
        <v/>
      </c>
      <c r="P849" t="str">
        <f>IF($A849&lt;&gt;"",'Approved-Enforcement'!O849,"")</f>
        <v/>
      </c>
    </row>
    <row r="850" spans="1:16" x14ac:dyDescent="0.35">
      <c r="A850" s="4" t="str">
        <f>IF('Approved-Enforcement'!$A850&lt;&gt;"",'Approved-Enforcement'!A850,"")</f>
        <v/>
      </c>
      <c r="B850" t="str">
        <f t="shared" si="13"/>
        <v/>
      </c>
      <c r="D850" t="str">
        <f>IF($A850&lt;&gt;"",IF($R850&lt;&gt;"",$R850,'Approved-Enforcement'!$B850+7),"")</f>
        <v/>
      </c>
      <c r="E850" t="str">
        <f>IF($A850&lt;&gt;"",'Approved-Enforcement'!D850,"")</f>
        <v/>
      </c>
      <c r="F850" t="str">
        <f>IF($A850&lt;&gt;"",'Approved-Enforcement'!E850,"")</f>
        <v/>
      </c>
      <c r="G850" t="str">
        <f>IF($A850&lt;&gt;"",'Approved-Enforcement'!F850,"")</f>
        <v/>
      </c>
      <c r="H850" t="str">
        <f>IF($A850&lt;&gt;"",'Approved-Enforcement'!G850,"")</f>
        <v/>
      </c>
      <c r="I850" t="str">
        <f>IF($A850&lt;&gt;"",'Approved-Enforcement'!H850,"")</f>
        <v/>
      </c>
      <c r="J850" t="str">
        <f>IF($A850&lt;&gt;"",'Approved-Enforcement'!I850,"")</f>
        <v/>
      </c>
      <c r="K850" t="str">
        <f>IF($A850&lt;&gt;"",'Approved-Enforcement'!J850,"")</f>
        <v/>
      </c>
      <c r="L850" t="str">
        <f>IF($A850&lt;&gt;"",'Approved-Enforcement'!K850,"")</f>
        <v/>
      </c>
      <c r="M850" t="str">
        <f>IF($A850&lt;&gt;"",'Approved-Enforcement'!L850,"")</f>
        <v/>
      </c>
      <c r="N850" t="str">
        <f>IF($A850&lt;&gt;"",'Approved-Enforcement'!M850,"")</f>
        <v/>
      </c>
      <c r="O850" t="str">
        <f>IF($A850&lt;&gt;"",'Approved-Enforcement'!N850,"")</f>
        <v/>
      </c>
      <c r="P850" t="str">
        <f>IF($A850&lt;&gt;"",'Approved-Enforcement'!O850,"")</f>
        <v/>
      </c>
    </row>
    <row r="851" spans="1:16" x14ac:dyDescent="0.35">
      <c r="A851" s="4" t="str">
        <f>IF('Approved-Enforcement'!$A851&lt;&gt;"",'Approved-Enforcement'!A851,"")</f>
        <v/>
      </c>
      <c r="B851" t="str">
        <f t="shared" si="13"/>
        <v/>
      </c>
      <c r="D851" t="str">
        <f>IF($A851&lt;&gt;"",IF($R851&lt;&gt;"",$R851,'Approved-Enforcement'!$B851+7),"")</f>
        <v/>
      </c>
      <c r="E851" t="str">
        <f>IF($A851&lt;&gt;"",'Approved-Enforcement'!D851,"")</f>
        <v/>
      </c>
      <c r="F851" t="str">
        <f>IF($A851&lt;&gt;"",'Approved-Enforcement'!E851,"")</f>
        <v/>
      </c>
      <c r="G851" t="str">
        <f>IF($A851&lt;&gt;"",'Approved-Enforcement'!F851,"")</f>
        <v/>
      </c>
      <c r="H851" t="str">
        <f>IF($A851&lt;&gt;"",'Approved-Enforcement'!G851,"")</f>
        <v/>
      </c>
      <c r="I851" t="str">
        <f>IF($A851&lt;&gt;"",'Approved-Enforcement'!H851,"")</f>
        <v/>
      </c>
      <c r="J851" t="str">
        <f>IF($A851&lt;&gt;"",'Approved-Enforcement'!I851,"")</f>
        <v/>
      </c>
      <c r="K851" t="str">
        <f>IF($A851&lt;&gt;"",'Approved-Enforcement'!J851,"")</f>
        <v/>
      </c>
      <c r="L851" t="str">
        <f>IF($A851&lt;&gt;"",'Approved-Enforcement'!K851,"")</f>
        <v/>
      </c>
      <c r="M851" t="str">
        <f>IF($A851&lt;&gt;"",'Approved-Enforcement'!L851,"")</f>
        <v/>
      </c>
      <c r="N851" t="str">
        <f>IF($A851&lt;&gt;"",'Approved-Enforcement'!M851,"")</f>
        <v/>
      </c>
      <c r="O851" t="str">
        <f>IF($A851&lt;&gt;"",'Approved-Enforcement'!N851,"")</f>
        <v/>
      </c>
      <c r="P851" t="str">
        <f>IF($A851&lt;&gt;"",'Approved-Enforcement'!O851,"")</f>
        <v/>
      </c>
    </row>
    <row r="852" spans="1:16" x14ac:dyDescent="0.35">
      <c r="A852" s="4" t="str">
        <f>IF('Approved-Enforcement'!$A852&lt;&gt;"",'Approved-Enforcement'!A852,"")</f>
        <v/>
      </c>
      <c r="B852" t="str">
        <f t="shared" si="13"/>
        <v/>
      </c>
      <c r="D852" t="str">
        <f>IF($A852&lt;&gt;"",IF($R852&lt;&gt;"",$R852,'Approved-Enforcement'!$B852+7),"")</f>
        <v/>
      </c>
      <c r="E852" t="str">
        <f>IF($A852&lt;&gt;"",'Approved-Enforcement'!D852,"")</f>
        <v/>
      </c>
      <c r="F852" t="str">
        <f>IF($A852&lt;&gt;"",'Approved-Enforcement'!E852,"")</f>
        <v/>
      </c>
      <c r="G852" t="str">
        <f>IF($A852&lt;&gt;"",'Approved-Enforcement'!F852,"")</f>
        <v/>
      </c>
      <c r="H852" t="str">
        <f>IF($A852&lt;&gt;"",'Approved-Enforcement'!G852,"")</f>
        <v/>
      </c>
      <c r="I852" t="str">
        <f>IF($A852&lt;&gt;"",'Approved-Enforcement'!H852,"")</f>
        <v/>
      </c>
      <c r="J852" t="str">
        <f>IF($A852&lt;&gt;"",'Approved-Enforcement'!I852,"")</f>
        <v/>
      </c>
      <c r="K852" t="str">
        <f>IF($A852&lt;&gt;"",'Approved-Enforcement'!J852,"")</f>
        <v/>
      </c>
      <c r="L852" t="str">
        <f>IF($A852&lt;&gt;"",'Approved-Enforcement'!K852,"")</f>
        <v/>
      </c>
      <c r="M852" t="str">
        <f>IF($A852&lt;&gt;"",'Approved-Enforcement'!L852,"")</f>
        <v/>
      </c>
      <c r="N852" t="str">
        <f>IF($A852&lt;&gt;"",'Approved-Enforcement'!M852,"")</f>
        <v/>
      </c>
      <c r="O852" t="str">
        <f>IF($A852&lt;&gt;"",'Approved-Enforcement'!N852,"")</f>
        <v/>
      </c>
      <c r="P852" t="str">
        <f>IF($A852&lt;&gt;"",'Approved-Enforcement'!O852,"")</f>
        <v/>
      </c>
    </row>
    <row r="853" spans="1:16" x14ac:dyDescent="0.35">
      <c r="A853" s="4" t="str">
        <f>IF('Approved-Enforcement'!$A853&lt;&gt;"",'Approved-Enforcement'!A853,"")</f>
        <v/>
      </c>
      <c r="B853" t="str">
        <f t="shared" si="13"/>
        <v/>
      </c>
      <c r="D853" t="str">
        <f>IF($A853&lt;&gt;"",IF($R853&lt;&gt;"",$R853,'Approved-Enforcement'!$B853+7),"")</f>
        <v/>
      </c>
      <c r="E853" t="str">
        <f>IF($A853&lt;&gt;"",'Approved-Enforcement'!D853,"")</f>
        <v/>
      </c>
      <c r="F853" t="str">
        <f>IF($A853&lt;&gt;"",'Approved-Enforcement'!E853,"")</f>
        <v/>
      </c>
      <c r="G853" t="str">
        <f>IF($A853&lt;&gt;"",'Approved-Enforcement'!F853,"")</f>
        <v/>
      </c>
      <c r="H853" t="str">
        <f>IF($A853&lt;&gt;"",'Approved-Enforcement'!G853,"")</f>
        <v/>
      </c>
      <c r="I853" t="str">
        <f>IF($A853&lt;&gt;"",'Approved-Enforcement'!H853,"")</f>
        <v/>
      </c>
      <c r="J853" t="str">
        <f>IF($A853&lt;&gt;"",'Approved-Enforcement'!I853,"")</f>
        <v/>
      </c>
      <c r="K853" t="str">
        <f>IF($A853&lt;&gt;"",'Approved-Enforcement'!J853,"")</f>
        <v/>
      </c>
      <c r="L853" t="str">
        <f>IF($A853&lt;&gt;"",'Approved-Enforcement'!K853,"")</f>
        <v/>
      </c>
      <c r="M853" t="str">
        <f>IF($A853&lt;&gt;"",'Approved-Enforcement'!L853,"")</f>
        <v/>
      </c>
      <c r="N853" t="str">
        <f>IF($A853&lt;&gt;"",'Approved-Enforcement'!M853,"")</f>
        <v/>
      </c>
      <c r="O853" t="str">
        <f>IF($A853&lt;&gt;"",'Approved-Enforcement'!N853,"")</f>
        <v/>
      </c>
      <c r="P853" t="str">
        <f>IF($A853&lt;&gt;"",'Approved-Enforcement'!O853,"")</f>
        <v/>
      </c>
    </row>
    <row r="854" spans="1:16" x14ac:dyDescent="0.35">
      <c r="A854" s="4" t="str">
        <f>IF('Approved-Enforcement'!$A854&lt;&gt;"",'Approved-Enforcement'!A854,"")</f>
        <v/>
      </c>
      <c r="B854" t="str">
        <f t="shared" si="13"/>
        <v/>
      </c>
      <c r="D854" t="str">
        <f>IF($A854&lt;&gt;"",IF($R854&lt;&gt;"",$R854,'Approved-Enforcement'!$B854+7),"")</f>
        <v/>
      </c>
      <c r="E854" t="str">
        <f>IF($A854&lt;&gt;"",'Approved-Enforcement'!D854,"")</f>
        <v/>
      </c>
      <c r="F854" t="str">
        <f>IF($A854&lt;&gt;"",'Approved-Enforcement'!E854,"")</f>
        <v/>
      </c>
      <c r="G854" t="str">
        <f>IF($A854&lt;&gt;"",'Approved-Enforcement'!F854,"")</f>
        <v/>
      </c>
      <c r="H854" t="str">
        <f>IF($A854&lt;&gt;"",'Approved-Enforcement'!G854,"")</f>
        <v/>
      </c>
      <c r="I854" t="str">
        <f>IF($A854&lt;&gt;"",'Approved-Enforcement'!H854,"")</f>
        <v/>
      </c>
      <c r="J854" t="str">
        <f>IF($A854&lt;&gt;"",'Approved-Enforcement'!I854,"")</f>
        <v/>
      </c>
      <c r="K854" t="str">
        <f>IF($A854&lt;&gt;"",'Approved-Enforcement'!J854,"")</f>
        <v/>
      </c>
      <c r="L854" t="str">
        <f>IF($A854&lt;&gt;"",'Approved-Enforcement'!K854,"")</f>
        <v/>
      </c>
      <c r="M854" t="str">
        <f>IF($A854&lt;&gt;"",'Approved-Enforcement'!L854,"")</f>
        <v/>
      </c>
      <c r="N854" t="str">
        <f>IF($A854&lt;&gt;"",'Approved-Enforcement'!M854,"")</f>
        <v/>
      </c>
      <c r="O854" t="str">
        <f>IF($A854&lt;&gt;"",'Approved-Enforcement'!N854,"")</f>
        <v/>
      </c>
      <c r="P854" t="str">
        <f>IF($A854&lt;&gt;"",'Approved-Enforcement'!O854,"")</f>
        <v/>
      </c>
    </row>
    <row r="855" spans="1:16" x14ac:dyDescent="0.35">
      <c r="A855" s="4" t="str">
        <f>IF('Approved-Enforcement'!$A855&lt;&gt;"",'Approved-Enforcement'!A855,"")</f>
        <v/>
      </c>
      <c r="B855" t="str">
        <f t="shared" si="13"/>
        <v/>
      </c>
      <c r="D855" t="str">
        <f>IF($A855&lt;&gt;"",IF($R855&lt;&gt;"",$R855,'Approved-Enforcement'!$B855+7),"")</f>
        <v/>
      </c>
      <c r="E855" t="str">
        <f>IF($A855&lt;&gt;"",'Approved-Enforcement'!D855,"")</f>
        <v/>
      </c>
      <c r="F855" t="str">
        <f>IF($A855&lt;&gt;"",'Approved-Enforcement'!E855,"")</f>
        <v/>
      </c>
      <c r="G855" t="str">
        <f>IF($A855&lt;&gt;"",'Approved-Enforcement'!F855,"")</f>
        <v/>
      </c>
      <c r="H855" t="str">
        <f>IF($A855&lt;&gt;"",'Approved-Enforcement'!G855,"")</f>
        <v/>
      </c>
      <c r="I855" t="str">
        <f>IF($A855&lt;&gt;"",'Approved-Enforcement'!H855,"")</f>
        <v/>
      </c>
      <c r="J855" t="str">
        <f>IF($A855&lt;&gt;"",'Approved-Enforcement'!I855,"")</f>
        <v/>
      </c>
      <c r="K855" t="str">
        <f>IF($A855&lt;&gt;"",'Approved-Enforcement'!J855,"")</f>
        <v/>
      </c>
      <c r="L855" t="str">
        <f>IF($A855&lt;&gt;"",'Approved-Enforcement'!K855,"")</f>
        <v/>
      </c>
      <c r="M855" t="str">
        <f>IF($A855&lt;&gt;"",'Approved-Enforcement'!L855,"")</f>
        <v/>
      </c>
      <c r="N855" t="str">
        <f>IF($A855&lt;&gt;"",'Approved-Enforcement'!M855,"")</f>
        <v/>
      </c>
      <c r="O855" t="str">
        <f>IF($A855&lt;&gt;"",'Approved-Enforcement'!N855,"")</f>
        <v/>
      </c>
      <c r="P855" t="str">
        <f>IF($A855&lt;&gt;"",'Approved-Enforcement'!O855,"")</f>
        <v/>
      </c>
    </row>
    <row r="856" spans="1:16" x14ac:dyDescent="0.35">
      <c r="A856" s="4" t="str">
        <f>IF('Approved-Enforcement'!$A856&lt;&gt;"",'Approved-Enforcement'!A856,"")</f>
        <v/>
      </c>
      <c r="B856" t="str">
        <f t="shared" si="13"/>
        <v/>
      </c>
      <c r="D856" t="str">
        <f>IF($A856&lt;&gt;"",IF($R856&lt;&gt;"",$R856,'Approved-Enforcement'!$B856+7),"")</f>
        <v/>
      </c>
      <c r="E856" t="str">
        <f>IF($A856&lt;&gt;"",'Approved-Enforcement'!D856,"")</f>
        <v/>
      </c>
      <c r="F856" t="str">
        <f>IF($A856&lt;&gt;"",'Approved-Enforcement'!E856,"")</f>
        <v/>
      </c>
      <c r="G856" t="str">
        <f>IF($A856&lt;&gt;"",'Approved-Enforcement'!F856,"")</f>
        <v/>
      </c>
      <c r="H856" t="str">
        <f>IF($A856&lt;&gt;"",'Approved-Enforcement'!G856,"")</f>
        <v/>
      </c>
      <c r="I856" t="str">
        <f>IF($A856&lt;&gt;"",'Approved-Enforcement'!H856,"")</f>
        <v/>
      </c>
      <c r="J856" t="str">
        <f>IF($A856&lt;&gt;"",'Approved-Enforcement'!I856,"")</f>
        <v/>
      </c>
      <c r="K856" t="str">
        <f>IF($A856&lt;&gt;"",'Approved-Enforcement'!J856,"")</f>
        <v/>
      </c>
      <c r="L856" t="str">
        <f>IF($A856&lt;&gt;"",'Approved-Enforcement'!K856,"")</f>
        <v/>
      </c>
      <c r="M856" t="str">
        <f>IF($A856&lt;&gt;"",'Approved-Enforcement'!L856,"")</f>
        <v/>
      </c>
      <c r="N856" t="str">
        <f>IF($A856&lt;&gt;"",'Approved-Enforcement'!M856,"")</f>
        <v/>
      </c>
      <c r="O856" t="str">
        <f>IF($A856&lt;&gt;"",'Approved-Enforcement'!N856,"")</f>
        <v/>
      </c>
      <c r="P856" t="str">
        <f>IF($A856&lt;&gt;"",'Approved-Enforcement'!O856,"")</f>
        <v/>
      </c>
    </row>
    <row r="857" spans="1:16" x14ac:dyDescent="0.35">
      <c r="A857" s="4" t="str">
        <f>IF('Approved-Enforcement'!$A857&lt;&gt;"",'Approved-Enforcement'!A857,"")</f>
        <v/>
      </c>
      <c r="B857" t="str">
        <f t="shared" si="13"/>
        <v/>
      </c>
      <c r="D857" t="str">
        <f>IF($A857&lt;&gt;"",IF($R857&lt;&gt;"",$R857,'Approved-Enforcement'!$B857+7),"")</f>
        <v/>
      </c>
      <c r="E857" t="str">
        <f>IF($A857&lt;&gt;"",'Approved-Enforcement'!D857,"")</f>
        <v/>
      </c>
      <c r="F857" t="str">
        <f>IF($A857&lt;&gt;"",'Approved-Enforcement'!E857,"")</f>
        <v/>
      </c>
      <c r="G857" t="str">
        <f>IF($A857&lt;&gt;"",'Approved-Enforcement'!F857,"")</f>
        <v/>
      </c>
      <c r="H857" t="str">
        <f>IF($A857&lt;&gt;"",'Approved-Enforcement'!G857,"")</f>
        <v/>
      </c>
      <c r="I857" t="str">
        <f>IF($A857&lt;&gt;"",'Approved-Enforcement'!H857,"")</f>
        <v/>
      </c>
      <c r="J857" t="str">
        <f>IF($A857&lt;&gt;"",'Approved-Enforcement'!I857,"")</f>
        <v/>
      </c>
      <c r="K857" t="str">
        <f>IF($A857&lt;&gt;"",'Approved-Enforcement'!J857,"")</f>
        <v/>
      </c>
      <c r="L857" t="str">
        <f>IF($A857&lt;&gt;"",'Approved-Enforcement'!K857,"")</f>
        <v/>
      </c>
      <c r="M857" t="str">
        <f>IF($A857&lt;&gt;"",'Approved-Enforcement'!L857,"")</f>
        <v/>
      </c>
      <c r="N857" t="str">
        <f>IF($A857&lt;&gt;"",'Approved-Enforcement'!M857,"")</f>
        <v/>
      </c>
      <c r="O857" t="str">
        <f>IF($A857&lt;&gt;"",'Approved-Enforcement'!N857,"")</f>
        <v/>
      </c>
      <c r="P857" t="str">
        <f>IF($A857&lt;&gt;"",'Approved-Enforcement'!O857,"")</f>
        <v/>
      </c>
    </row>
    <row r="858" spans="1:16" x14ac:dyDescent="0.35">
      <c r="A858" s="4" t="str">
        <f>IF('Approved-Enforcement'!$A858&lt;&gt;"",'Approved-Enforcement'!A858,"")</f>
        <v/>
      </c>
      <c r="B858" t="str">
        <f t="shared" si="13"/>
        <v/>
      </c>
      <c r="D858" t="str">
        <f>IF($A858&lt;&gt;"",IF($R858&lt;&gt;"",$R858,'Approved-Enforcement'!$B858+7),"")</f>
        <v/>
      </c>
      <c r="E858" t="str">
        <f>IF($A858&lt;&gt;"",'Approved-Enforcement'!D858,"")</f>
        <v/>
      </c>
      <c r="F858" t="str">
        <f>IF($A858&lt;&gt;"",'Approved-Enforcement'!E858,"")</f>
        <v/>
      </c>
      <c r="G858" t="str">
        <f>IF($A858&lt;&gt;"",'Approved-Enforcement'!F858,"")</f>
        <v/>
      </c>
      <c r="H858" t="str">
        <f>IF($A858&lt;&gt;"",'Approved-Enforcement'!G858,"")</f>
        <v/>
      </c>
      <c r="I858" t="str">
        <f>IF($A858&lt;&gt;"",'Approved-Enforcement'!H858,"")</f>
        <v/>
      </c>
      <c r="J858" t="str">
        <f>IF($A858&lt;&gt;"",'Approved-Enforcement'!I858,"")</f>
        <v/>
      </c>
      <c r="K858" t="str">
        <f>IF($A858&lt;&gt;"",'Approved-Enforcement'!J858,"")</f>
        <v/>
      </c>
      <c r="L858" t="str">
        <f>IF($A858&lt;&gt;"",'Approved-Enforcement'!K858,"")</f>
        <v/>
      </c>
      <c r="M858" t="str">
        <f>IF($A858&lt;&gt;"",'Approved-Enforcement'!L858,"")</f>
        <v/>
      </c>
      <c r="N858" t="str">
        <f>IF($A858&lt;&gt;"",'Approved-Enforcement'!M858,"")</f>
        <v/>
      </c>
      <c r="O858" t="str">
        <f>IF($A858&lt;&gt;"",'Approved-Enforcement'!N858,"")</f>
        <v/>
      </c>
      <c r="P858" t="str">
        <f>IF($A858&lt;&gt;"",'Approved-Enforcement'!O858,"")</f>
        <v/>
      </c>
    </row>
    <row r="859" spans="1:16" x14ac:dyDescent="0.35">
      <c r="A859" s="4" t="str">
        <f>IF('Approved-Enforcement'!$A859&lt;&gt;"",'Approved-Enforcement'!A859,"")</f>
        <v/>
      </c>
      <c r="B859" t="str">
        <f t="shared" si="13"/>
        <v/>
      </c>
      <c r="D859" t="str">
        <f>IF($A859&lt;&gt;"",IF($R859&lt;&gt;"",$R859,'Approved-Enforcement'!$B859+7),"")</f>
        <v/>
      </c>
      <c r="E859" t="str">
        <f>IF($A859&lt;&gt;"",'Approved-Enforcement'!D859,"")</f>
        <v/>
      </c>
      <c r="F859" t="str">
        <f>IF($A859&lt;&gt;"",'Approved-Enforcement'!E859,"")</f>
        <v/>
      </c>
      <c r="G859" t="str">
        <f>IF($A859&lt;&gt;"",'Approved-Enforcement'!F859,"")</f>
        <v/>
      </c>
      <c r="H859" t="str">
        <f>IF($A859&lt;&gt;"",'Approved-Enforcement'!G859,"")</f>
        <v/>
      </c>
      <c r="I859" t="str">
        <f>IF($A859&lt;&gt;"",'Approved-Enforcement'!H859,"")</f>
        <v/>
      </c>
      <c r="J859" t="str">
        <f>IF($A859&lt;&gt;"",'Approved-Enforcement'!I859,"")</f>
        <v/>
      </c>
      <c r="K859" t="str">
        <f>IF($A859&lt;&gt;"",'Approved-Enforcement'!J859,"")</f>
        <v/>
      </c>
      <c r="L859" t="str">
        <f>IF($A859&lt;&gt;"",'Approved-Enforcement'!K859,"")</f>
        <v/>
      </c>
      <c r="M859" t="str">
        <f>IF($A859&lt;&gt;"",'Approved-Enforcement'!L859,"")</f>
        <v/>
      </c>
      <c r="N859" t="str">
        <f>IF($A859&lt;&gt;"",'Approved-Enforcement'!M859,"")</f>
        <v/>
      </c>
      <c r="O859" t="str">
        <f>IF($A859&lt;&gt;"",'Approved-Enforcement'!N859,"")</f>
        <v/>
      </c>
      <c r="P859" t="str">
        <f>IF($A859&lt;&gt;"",'Approved-Enforcement'!O859,"")</f>
        <v/>
      </c>
    </row>
    <row r="860" spans="1:16" x14ac:dyDescent="0.35">
      <c r="A860" s="4" t="str">
        <f>IF('Approved-Enforcement'!$A860&lt;&gt;"",'Approved-Enforcement'!A860,"")</f>
        <v/>
      </c>
      <c r="B860" t="str">
        <f t="shared" si="13"/>
        <v/>
      </c>
      <c r="D860" t="str">
        <f>IF($A860&lt;&gt;"",IF($R860&lt;&gt;"",$R860,'Approved-Enforcement'!$B860+7),"")</f>
        <v/>
      </c>
      <c r="E860" t="str">
        <f>IF($A860&lt;&gt;"",'Approved-Enforcement'!D860,"")</f>
        <v/>
      </c>
      <c r="F860" t="str">
        <f>IF($A860&lt;&gt;"",'Approved-Enforcement'!E860,"")</f>
        <v/>
      </c>
      <c r="G860" t="str">
        <f>IF($A860&lt;&gt;"",'Approved-Enforcement'!F860,"")</f>
        <v/>
      </c>
      <c r="H860" t="str">
        <f>IF($A860&lt;&gt;"",'Approved-Enforcement'!G860,"")</f>
        <v/>
      </c>
      <c r="I860" t="str">
        <f>IF($A860&lt;&gt;"",'Approved-Enforcement'!H860,"")</f>
        <v/>
      </c>
      <c r="J860" t="str">
        <f>IF($A860&lt;&gt;"",'Approved-Enforcement'!I860,"")</f>
        <v/>
      </c>
      <c r="K860" t="str">
        <f>IF($A860&lt;&gt;"",'Approved-Enforcement'!J860,"")</f>
        <v/>
      </c>
      <c r="L860" t="str">
        <f>IF($A860&lt;&gt;"",'Approved-Enforcement'!K860,"")</f>
        <v/>
      </c>
      <c r="M860" t="str">
        <f>IF($A860&lt;&gt;"",'Approved-Enforcement'!L860,"")</f>
        <v/>
      </c>
      <c r="N860" t="str">
        <f>IF($A860&lt;&gt;"",'Approved-Enforcement'!M860,"")</f>
        <v/>
      </c>
      <c r="O860" t="str">
        <f>IF($A860&lt;&gt;"",'Approved-Enforcement'!N860,"")</f>
        <v/>
      </c>
      <c r="P860" t="str">
        <f>IF($A860&lt;&gt;"",'Approved-Enforcement'!O860,"")</f>
        <v/>
      </c>
    </row>
    <row r="861" spans="1:16" x14ac:dyDescent="0.35">
      <c r="A861" s="4" t="str">
        <f>IF('Approved-Enforcement'!$A861&lt;&gt;"",'Approved-Enforcement'!A861,"")</f>
        <v/>
      </c>
      <c r="B861" t="str">
        <f t="shared" si="13"/>
        <v/>
      </c>
      <c r="D861" t="str">
        <f>IF($A861&lt;&gt;"",IF($R861&lt;&gt;"",$R861,'Approved-Enforcement'!$B861+7),"")</f>
        <v/>
      </c>
      <c r="E861" t="str">
        <f>IF($A861&lt;&gt;"",'Approved-Enforcement'!D861,"")</f>
        <v/>
      </c>
      <c r="F861" t="str">
        <f>IF($A861&lt;&gt;"",'Approved-Enforcement'!E861,"")</f>
        <v/>
      </c>
      <c r="G861" t="str">
        <f>IF($A861&lt;&gt;"",'Approved-Enforcement'!F861,"")</f>
        <v/>
      </c>
      <c r="H861" t="str">
        <f>IF($A861&lt;&gt;"",'Approved-Enforcement'!G861,"")</f>
        <v/>
      </c>
      <c r="I861" t="str">
        <f>IF($A861&lt;&gt;"",'Approved-Enforcement'!H861,"")</f>
        <v/>
      </c>
      <c r="J861" t="str">
        <f>IF($A861&lt;&gt;"",'Approved-Enforcement'!I861,"")</f>
        <v/>
      </c>
      <c r="K861" t="str">
        <f>IF($A861&lt;&gt;"",'Approved-Enforcement'!J861,"")</f>
        <v/>
      </c>
      <c r="L861" t="str">
        <f>IF($A861&lt;&gt;"",'Approved-Enforcement'!K861,"")</f>
        <v/>
      </c>
      <c r="M861" t="str">
        <f>IF($A861&lt;&gt;"",'Approved-Enforcement'!L861,"")</f>
        <v/>
      </c>
      <c r="N861" t="str">
        <f>IF($A861&lt;&gt;"",'Approved-Enforcement'!M861,"")</f>
        <v/>
      </c>
      <c r="O861" t="str">
        <f>IF($A861&lt;&gt;"",'Approved-Enforcement'!N861,"")</f>
        <v/>
      </c>
      <c r="P861" t="str">
        <f>IF($A861&lt;&gt;"",'Approved-Enforcement'!O861,"")</f>
        <v/>
      </c>
    </row>
    <row r="862" spans="1:16" x14ac:dyDescent="0.35">
      <c r="A862" s="4" t="str">
        <f>IF('Approved-Enforcement'!$A862&lt;&gt;"",'Approved-Enforcement'!A862,"")</f>
        <v/>
      </c>
      <c r="B862" t="str">
        <f t="shared" si="13"/>
        <v/>
      </c>
      <c r="D862" t="str">
        <f>IF($A862&lt;&gt;"",IF($R862&lt;&gt;"",$R862,'Approved-Enforcement'!$B862+7),"")</f>
        <v/>
      </c>
      <c r="E862" t="str">
        <f>IF($A862&lt;&gt;"",'Approved-Enforcement'!D862,"")</f>
        <v/>
      </c>
      <c r="F862" t="str">
        <f>IF($A862&lt;&gt;"",'Approved-Enforcement'!E862,"")</f>
        <v/>
      </c>
      <c r="G862" t="str">
        <f>IF($A862&lt;&gt;"",'Approved-Enforcement'!F862,"")</f>
        <v/>
      </c>
      <c r="H862" t="str">
        <f>IF($A862&lt;&gt;"",'Approved-Enforcement'!G862,"")</f>
        <v/>
      </c>
      <c r="I862" t="str">
        <f>IF($A862&lt;&gt;"",'Approved-Enforcement'!H862,"")</f>
        <v/>
      </c>
      <c r="J862" t="str">
        <f>IF($A862&lt;&gt;"",'Approved-Enforcement'!I862,"")</f>
        <v/>
      </c>
      <c r="K862" t="str">
        <f>IF($A862&lt;&gt;"",'Approved-Enforcement'!J862,"")</f>
        <v/>
      </c>
      <c r="L862" t="str">
        <f>IF($A862&lt;&gt;"",'Approved-Enforcement'!K862,"")</f>
        <v/>
      </c>
      <c r="M862" t="str">
        <f>IF($A862&lt;&gt;"",'Approved-Enforcement'!L862,"")</f>
        <v/>
      </c>
      <c r="N862" t="str">
        <f>IF($A862&lt;&gt;"",'Approved-Enforcement'!M862,"")</f>
        <v/>
      </c>
      <c r="O862" t="str">
        <f>IF($A862&lt;&gt;"",'Approved-Enforcement'!N862,"")</f>
        <v/>
      </c>
      <c r="P862" t="str">
        <f>IF($A862&lt;&gt;"",'Approved-Enforcement'!O862,"")</f>
        <v/>
      </c>
    </row>
    <row r="863" spans="1:16" x14ac:dyDescent="0.35">
      <c r="A863" s="4" t="str">
        <f>IF('Approved-Enforcement'!$A863&lt;&gt;"",'Approved-Enforcement'!A863,"")</f>
        <v/>
      </c>
      <c r="B863" t="str">
        <f t="shared" si="13"/>
        <v/>
      </c>
      <c r="D863" t="str">
        <f>IF($A863&lt;&gt;"",IF($R863&lt;&gt;"",$R863,'Approved-Enforcement'!$B863+7),"")</f>
        <v/>
      </c>
      <c r="E863" t="str">
        <f>IF($A863&lt;&gt;"",'Approved-Enforcement'!D863,"")</f>
        <v/>
      </c>
      <c r="F863" t="str">
        <f>IF($A863&lt;&gt;"",'Approved-Enforcement'!E863,"")</f>
        <v/>
      </c>
      <c r="G863" t="str">
        <f>IF($A863&lt;&gt;"",'Approved-Enforcement'!F863,"")</f>
        <v/>
      </c>
      <c r="H863" t="str">
        <f>IF($A863&lt;&gt;"",'Approved-Enforcement'!G863,"")</f>
        <v/>
      </c>
      <c r="I863" t="str">
        <f>IF($A863&lt;&gt;"",'Approved-Enforcement'!H863,"")</f>
        <v/>
      </c>
      <c r="J863" t="str">
        <f>IF($A863&lt;&gt;"",'Approved-Enforcement'!I863,"")</f>
        <v/>
      </c>
      <c r="K863" t="str">
        <f>IF($A863&lt;&gt;"",'Approved-Enforcement'!J863,"")</f>
        <v/>
      </c>
      <c r="L863" t="str">
        <f>IF($A863&lt;&gt;"",'Approved-Enforcement'!K863,"")</f>
        <v/>
      </c>
      <c r="M863" t="str">
        <f>IF($A863&lt;&gt;"",'Approved-Enforcement'!L863,"")</f>
        <v/>
      </c>
      <c r="N863" t="str">
        <f>IF($A863&lt;&gt;"",'Approved-Enforcement'!M863,"")</f>
        <v/>
      </c>
      <c r="O863" t="str">
        <f>IF($A863&lt;&gt;"",'Approved-Enforcement'!N863,"")</f>
        <v/>
      </c>
      <c r="P863" t="str">
        <f>IF($A863&lt;&gt;"",'Approved-Enforcement'!O863,"")</f>
        <v/>
      </c>
    </row>
    <row r="864" spans="1:16" x14ac:dyDescent="0.35">
      <c r="A864" s="4" t="str">
        <f>IF('Approved-Enforcement'!$A864&lt;&gt;"",'Approved-Enforcement'!A864,"")</f>
        <v/>
      </c>
      <c r="B864" t="str">
        <f t="shared" si="13"/>
        <v/>
      </c>
      <c r="D864" t="str">
        <f>IF($A864&lt;&gt;"",IF($R864&lt;&gt;"",$R864,'Approved-Enforcement'!$B864+7),"")</f>
        <v/>
      </c>
      <c r="E864" t="str">
        <f>IF($A864&lt;&gt;"",'Approved-Enforcement'!D864,"")</f>
        <v/>
      </c>
      <c r="F864" t="str">
        <f>IF($A864&lt;&gt;"",'Approved-Enforcement'!E864,"")</f>
        <v/>
      </c>
      <c r="G864" t="str">
        <f>IF($A864&lt;&gt;"",'Approved-Enforcement'!F864,"")</f>
        <v/>
      </c>
      <c r="H864" t="str">
        <f>IF($A864&lt;&gt;"",'Approved-Enforcement'!G864,"")</f>
        <v/>
      </c>
      <c r="I864" t="str">
        <f>IF($A864&lt;&gt;"",'Approved-Enforcement'!H864,"")</f>
        <v/>
      </c>
      <c r="J864" t="str">
        <f>IF($A864&lt;&gt;"",'Approved-Enforcement'!I864,"")</f>
        <v/>
      </c>
      <c r="K864" t="str">
        <f>IF($A864&lt;&gt;"",'Approved-Enforcement'!J864,"")</f>
        <v/>
      </c>
      <c r="L864" t="str">
        <f>IF($A864&lt;&gt;"",'Approved-Enforcement'!K864,"")</f>
        <v/>
      </c>
      <c r="M864" t="str">
        <f>IF($A864&lt;&gt;"",'Approved-Enforcement'!L864,"")</f>
        <v/>
      </c>
      <c r="N864" t="str">
        <f>IF($A864&lt;&gt;"",'Approved-Enforcement'!M864,"")</f>
        <v/>
      </c>
      <c r="O864" t="str">
        <f>IF($A864&lt;&gt;"",'Approved-Enforcement'!N864,"")</f>
        <v/>
      </c>
      <c r="P864" t="str">
        <f>IF($A864&lt;&gt;"",'Approved-Enforcement'!O864,"")</f>
        <v/>
      </c>
    </row>
    <row r="865" spans="1:16" x14ac:dyDescent="0.35">
      <c r="A865" s="4" t="str">
        <f>IF('Approved-Enforcement'!$A865&lt;&gt;"",'Approved-Enforcement'!A865,"")</f>
        <v/>
      </c>
      <c r="B865" t="str">
        <f t="shared" si="13"/>
        <v/>
      </c>
      <c r="D865" t="str">
        <f>IF($A865&lt;&gt;"",IF($R865&lt;&gt;"",$R865,'Approved-Enforcement'!$B865+7),"")</f>
        <v/>
      </c>
      <c r="E865" t="str">
        <f>IF($A865&lt;&gt;"",'Approved-Enforcement'!D865,"")</f>
        <v/>
      </c>
      <c r="F865" t="str">
        <f>IF($A865&lt;&gt;"",'Approved-Enforcement'!E865,"")</f>
        <v/>
      </c>
      <c r="G865" t="str">
        <f>IF($A865&lt;&gt;"",'Approved-Enforcement'!F865,"")</f>
        <v/>
      </c>
      <c r="H865" t="str">
        <f>IF($A865&lt;&gt;"",'Approved-Enforcement'!G865,"")</f>
        <v/>
      </c>
      <c r="I865" t="str">
        <f>IF($A865&lt;&gt;"",'Approved-Enforcement'!H865,"")</f>
        <v/>
      </c>
      <c r="J865" t="str">
        <f>IF($A865&lt;&gt;"",'Approved-Enforcement'!I865,"")</f>
        <v/>
      </c>
      <c r="K865" t="str">
        <f>IF($A865&lt;&gt;"",'Approved-Enforcement'!J865,"")</f>
        <v/>
      </c>
      <c r="L865" t="str">
        <f>IF($A865&lt;&gt;"",'Approved-Enforcement'!K865,"")</f>
        <v/>
      </c>
      <c r="M865" t="str">
        <f>IF($A865&lt;&gt;"",'Approved-Enforcement'!L865,"")</f>
        <v/>
      </c>
      <c r="N865" t="str">
        <f>IF($A865&lt;&gt;"",'Approved-Enforcement'!M865,"")</f>
        <v/>
      </c>
      <c r="O865" t="str">
        <f>IF($A865&lt;&gt;"",'Approved-Enforcement'!N865,"")</f>
        <v/>
      </c>
      <c r="P865" t="str">
        <f>IF($A865&lt;&gt;"",'Approved-Enforcement'!O865,"")</f>
        <v/>
      </c>
    </row>
    <row r="866" spans="1:16" x14ac:dyDescent="0.35">
      <c r="A866" s="4" t="str">
        <f>IF('Approved-Enforcement'!$A866&lt;&gt;"",'Approved-Enforcement'!A866,"")</f>
        <v/>
      </c>
      <c r="B866" t="str">
        <f t="shared" si="13"/>
        <v/>
      </c>
      <c r="D866" t="str">
        <f>IF($A866&lt;&gt;"",IF($R866&lt;&gt;"",$R866,'Approved-Enforcement'!$B866+7),"")</f>
        <v/>
      </c>
      <c r="E866" t="str">
        <f>IF($A866&lt;&gt;"",'Approved-Enforcement'!D866,"")</f>
        <v/>
      </c>
      <c r="F866" t="str">
        <f>IF($A866&lt;&gt;"",'Approved-Enforcement'!E866,"")</f>
        <v/>
      </c>
      <c r="G866" t="str">
        <f>IF($A866&lt;&gt;"",'Approved-Enforcement'!F866,"")</f>
        <v/>
      </c>
      <c r="H866" t="str">
        <f>IF($A866&lt;&gt;"",'Approved-Enforcement'!G866,"")</f>
        <v/>
      </c>
      <c r="I866" t="str">
        <f>IF($A866&lt;&gt;"",'Approved-Enforcement'!H866,"")</f>
        <v/>
      </c>
      <c r="J866" t="str">
        <f>IF($A866&lt;&gt;"",'Approved-Enforcement'!I866,"")</f>
        <v/>
      </c>
      <c r="K866" t="str">
        <f>IF($A866&lt;&gt;"",'Approved-Enforcement'!J866,"")</f>
        <v/>
      </c>
      <c r="L866" t="str">
        <f>IF($A866&lt;&gt;"",'Approved-Enforcement'!K866,"")</f>
        <v/>
      </c>
      <c r="M866" t="str">
        <f>IF($A866&lt;&gt;"",'Approved-Enforcement'!L866,"")</f>
        <v/>
      </c>
      <c r="N866" t="str">
        <f>IF($A866&lt;&gt;"",'Approved-Enforcement'!M866,"")</f>
        <v/>
      </c>
      <c r="O866" t="str">
        <f>IF($A866&lt;&gt;"",'Approved-Enforcement'!N866,"")</f>
        <v/>
      </c>
      <c r="P866" t="str">
        <f>IF($A866&lt;&gt;"",'Approved-Enforcement'!O866,"")</f>
        <v/>
      </c>
    </row>
    <row r="867" spans="1:16" x14ac:dyDescent="0.35">
      <c r="A867" s="4" t="str">
        <f>IF('Approved-Enforcement'!$A867&lt;&gt;"",'Approved-Enforcement'!A867,"")</f>
        <v/>
      </c>
      <c r="B867" t="str">
        <f t="shared" si="13"/>
        <v/>
      </c>
      <c r="D867" t="str">
        <f>IF($A867&lt;&gt;"",IF($R867&lt;&gt;"",$R867,'Approved-Enforcement'!$B867+7),"")</f>
        <v/>
      </c>
      <c r="E867" t="str">
        <f>IF($A867&lt;&gt;"",'Approved-Enforcement'!D867,"")</f>
        <v/>
      </c>
      <c r="F867" t="str">
        <f>IF($A867&lt;&gt;"",'Approved-Enforcement'!E867,"")</f>
        <v/>
      </c>
      <c r="G867" t="str">
        <f>IF($A867&lt;&gt;"",'Approved-Enforcement'!F867,"")</f>
        <v/>
      </c>
      <c r="H867" t="str">
        <f>IF($A867&lt;&gt;"",'Approved-Enforcement'!G867,"")</f>
        <v/>
      </c>
      <c r="I867" t="str">
        <f>IF($A867&lt;&gt;"",'Approved-Enforcement'!H867,"")</f>
        <v/>
      </c>
      <c r="J867" t="str">
        <f>IF($A867&lt;&gt;"",'Approved-Enforcement'!I867,"")</f>
        <v/>
      </c>
      <c r="K867" t="str">
        <f>IF($A867&lt;&gt;"",'Approved-Enforcement'!J867,"")</f>
        <v/>
      </c>
      <c r="L867" t="str">
        <f>IF($A867&lt;&gt;"",'Approved-Enforcement'!K867,"")</f>
        <v/>
      </c>
      <c r="M867" t="str">
        <f>IF($A867&lt;&gt;"",'Approved-Enforcement'!L867,"")</f>
        <v/>
      </c>
      <c r="N867" t="str">
        <f>IF($A867&lt;&gt;"",'Approved-Enforcement'!M867,"")</f>
        <v/>
      </c>
      <c r="O867" t="str">
        <f>IF($A867&lt;&gt;"",'Approved-Enforcement'!N867,"")</f>
        <v/>
      </c>
      <c r="P867" t="str">
        <f>IF($A867&lt;&gt;"",'Approved-Enforcement'!O867,"")</f>
        <v/>
      </c>
    </row>
    <row r="868" spans="1:16" x14ac:dyDescent="0.35">
      <c r="A868" s="4" t="str">
        <f>IF('Approved-Enforcement'!$A868&lt;&gt;"",'Approved-Enforcement'!A868,"")</f>
        <v/>
      </c>
      <c r="B868" t="str">
        <f t="shared" si="13"/>
        <v/>
      </c>
      <c r="D868" t="str">
        <f>IF($A868&lt;&gt;"",IF($R868&lt;&gt;"",$R868,'Approved-Enforcement'!$B868+7),"")</f>
        <v/>
      </c>
      <c r="E868" t="str">
        <f>IF($A868&lt;&gt;"",'Approved-Enforcement'!D868,"")</f>
        <v/>
      </c>
      <c r="F868" t="str">
        <f>IF($A868&lt;&gt;"",'Approved-Enforcement'!E868,"")</f>
        <v/>
      </c>
      <c r="G868" t="str">
        <f>IF($A868&lt;&gt;"",'Approved-Enforcement'!F868,"")</f>
        <v/>
      </c>
      <c r="H868" t="str">
        <f>IF($A868&lt;&gt;"",'Approved-Enforcement'!G868,"")</f>
        <v/>
      </c>
      <c r="I868" t="str">
        <f>IF($A868&lt;&gt;"",'Approved-Enforcement'!H868,"")</f>
        <v/>
      </c>
      <c r="J868" t="str">
        <f>IF($A868&lt;&gt;"",'Approved-Enforcement'!I868,"")</f>
        <v/>
      </c>
      <c r="K868" t="str">
        <f>IF($A868&lt;&gt;"",'Approved-Enforcement'!J868,"")</f>
        <v/>
      </c>
      <c r="L868" t="str">
        <f>IF($A868&lt;&gt;"",'Approved-Enforcement'!K868,"")</f>
        <v/>
      </c>
      <c r="M868" t="str">
        <f>IF($A868&lt;&gt;"",'Approved-Enforcement'!L868,"")</f>
        <v/>
      </c>
      <c r="N868" t="str">
        <f>IF($A868&lt;&gt;"",'Approved-Enforcement'!M868,"")</f>
        <v/>
      </c>
      <c r="O868" t="str">
        <f>IF($A868&lt;&gt;"",'Approved-Enforcement'!N868,"")</f>
        <v/>
      </c>
      <c r="P868" t="str">
        <f>IF($A868&lt;&gt;"",'Approved-Enforcement'!O868,"")</f>
        <v/>
      </c>
    </row>
    <row r="869" spans="1:16" x14ac:dyDescent="0.35">
      <c r="A869" s="4" t="str">
        <f>IF('Approved-Enforcement'!$A869&lt;&gt;"",'Approved-Enforcement'!A869,"")</f>
        <v/>
      </c>
      <c r="B869" t="str">
        <f t="shared" si="13"/>
        <v/>
      </c>
      <c r="D869" t="str">
        <f>IF($A869&lt;&gt;"",IF($R869&lt;&gt;"",$R869,'Approved-Enforcement'!$B869+7),"")</f>
        <v/>
      </c>
      <c r="E869" t="str">
        <f>IF($A869&lt;&gt;"",'Approved-Enforcement'!D869,"")</f>
        <v/>
      </c>
      <c r="F869" t="str">
        <f>IF($A869&lt;&gt;"",'Approved-Enforcement'!E869,"")</f>
        <v/>
      </c>
      <c r="G869" t="str">
        <f>IF($A869&lt;&gt;"",'Approved-Enforcement'!F869,"")</f>
        <v/>
      </c>
      <c r="H869" t="str">
        <f>IF($A869&lt;&gt;"",'Approved-Enforcement'!G869,"")</f>
        <v/>
      </c>
      <c r="I869" t="str">
        <f>IF($A869&lt;&gt;"",'Approved-Enforcement'!H869,"")</f>
        <v/>
      </c>
      <c r="J869" t="str">
        <f>IF($A869&lt;&gt;"",'Approved-Enforcement'!I869,"")</f>
        <v/>
      </c>
      <c r="K869" t="str">
        <f>IF($A869&lt;&gt;"",'Approved-Enforcement'!J869,"")</f>
        <v/>
      </c>
      <c r="L869" t="str">
        <f>IF($A869&lt;&gt;"",'Approved-Enforcement'!K869,"")</f>
        <v/>
      </c>
      <c r="M869" t="str">
        <f>IF($A869&lt;&gt;"",'Approved-Enforcement'!L869,"")</f>
        <v/>
      </c>
      <c r="N869" t="str">
        <f>IF($A869&lt;&gt;"",'Approved-Enforcement'!M869,"")</f>
        <v/>
      </c>
      <c r="O869" t="str">
        <f>IF($A869&lt;&gt;"",'Approved-Enforcement'!N869,"")</f>
        <v/>
      </c>
      <c r="P869" t="str">
        <f>IF($A869&lt;&gt;"",'Approved-Enforcement'!O869,"")</f>
        <v/>
      </c>
    </row>
    <row r="870" spans="1:16" x14ac:dyDescent="0.35">
      <c r="A870" s="4" t="str">
        <f>IF('Approved-Enforcement'!$A870&lt;&gt;"",'Approved-Enforcement'!A870,"")</f>
        <v/>
      </c>
      <c r="B870" t="str">
        <f t="shared" si="13"/>
        <v/>
      </c>
      <c r="D870" t="str">
        <f>IF($A870&lt;&gt;"",IF($R870&lt;&gt;"",$R870,'Approved-Enforcement'!$B870+7),"")</f>
        <v/>
      </c>
      <c r="E870" t="str">
        <f>IF($A870&lt;&gt;"",'Approved-Enforcement'!D870,"")</f>
        <v/>
      </c>
      <c r="F870" t="str">
        <f>IF($A870&lt;&gt;"",'Approved-Enforcement'!E870,"")</f>
        <v/>
      </c>
      <c r="G870" t="str">
        <f>IF($A870&lt;&gt;"",'Approved-Enforcement'!F870,"")</f>
        <v/>
      </c>
      <c r="H870" t="str">
        <f>IF($A870&lt;&gt;"",'Approved-Enforcement'!G870,"")</f>
        <v/>
      </c>
      <c r="I870" t="str">
        <f>IF($A870&lt;&gt;"",'Approved-Enforcement'!H870,"")</f>
        <v/>
      </c>
      <c r="J870" t="str">
        <f>IF($A870&lt;&gt;"",'Approved-Enforcement'!I870,"")</f>
        <v/>
      </c>
      <c r="K870" t="str">
        <f>IF($A870&lt;&gt;"",'Approved-Enforcement'!J870,"")</f>
        <v/>
      </c>
      <c r="L870" t="str">
        <f>IF($A870&lt;&gt;"",'Approved-Enforcement'!K870,"")</f>
        <v/>
      </c>
      <c r="M870" t="str">
        <f>IF($A870&lt;&gt;"",'Approved-Enforcement'!L870,"")</f>
        <v/>
      </c>
      <c r="N870" t="str">
        <f>IF($A870&lt;&gt;"",'Approved-Enforcement'!M870,"")</f>
        <v/>
      </c>
      <c r="O870" t="str">
        <f>IF($A870&lt;&gt;"",'Approved-Enforcement'!N870,"")</f>
        <v/>
      </c>
      <c r="P870" t="str">
        <f>IF($A870&lt;&gt;"",'Approved-Enforcement'!O870,"")</f>
        <v/>
      </c>
    </row>
    <row r="871" spans="1:16" x14ac:dyDescent="0.35">
      <c r="A871" s="4" t="str">
        <f>IF('Approved-Enforcement'!$A871&lt;&gt;"",'Approved-Enforcement'!A871,"")</f>
        <v/>
      </c>
      <c r="B871" t="str">
        <f t="shared" si="13"/>
        <v/>
      </c>
      <c r="D871" t="str">
        <f>IF($A871&lt;&gt;"",IF($R871&lt;&gt;"",$R871,'Approved-Enforcement'!$B871+7),"")</f>
        <v/>
      </c>
      <c r="E871" t="str">
        <f>IF($A871&lt;&gt;"",'Approved-Enforcement'!D871,"")</f>
        <v/>
      </c>
      <c r="F871" t="str">
        <f>IF($A871&lt;&gt;"",'Approved-Enforcement'!E871,"")</f>
        <v/>
      </c>
      <c r="G871" t="str">
        <f>IF($A871&lt;&gt;"",'Approved-Enforcement'!F871,"")</f>
        <v/>
      </c>
      <c r="H871" t="str">
        <f>IF($A871&lt;&gt;"",'Approved-Enforcement'!G871,"")</f>
        <v/>
      </c>
      <c r="I871" t="str">
        <f>IF($A871&lt;&gt;"",'Approved-Enforcement'!H871,"")</f>
        <v/>
      </c>
      <c r="J871" t="str">
        <f>IF($A871&lt;&gt;"",'Approved-Enforcement'!I871,"")</f>
        <v/>
      </c>
      <c r="K871" t="str">
        <f>IF($A871&lt;&gt;"",'Approved-Enforcement'!J871,"")</f>
        <v/>
      </c>
      <c r="L871" t="str">
        <f>IF($A871&lt;&gt;"",'Approved-Enforcement'!K871,"")</f>
        <v/>
      </c>
      <c r="M871" t="str">
        <f>IF($A871&lt;&gt;"",'Approved-Enforcement'!L871,"")</f>
        <v/>
      </c>
      <c r="N871" t="str">
        <f>IF($A871&lt;&gt;"",'Approved-Enforcement'!M871,"")</f>
        <v/>
      </c>
      <c r="O871" t="str">
        <f>IF($A871&lt;&gt;"",'Approved-Enforcement'!N871,"")</f>
        <v/>
      </c>
      <c r="P871" t="str">
        <f>IF($A871&lt;&gt;"",'Approved-Enforcement'!O871,"")</f>
        <v/>
      </c>
    </row>
    <row r="872" spans="1:16" x14ac:dyDescent="0.35">
      <c r="A872" s="4" t="str">
        <f>IF('Approved-Enforcement'!$A872&lt;&gt;"",'Approved-Enforcement'!A872,"")</f>
        <v/>
      </c>
      <c r="B872" t="str">
        <f t="shared" si="13"/>
        <v/>
      </c>
      <c r="D872" t="str">
        <f>IF($A872&lt;&gt;"",IF($R872&lt;&gt;"",$R872,'Approved-Enforcement'!$B872+7),"")</f>
        <v/>
      </c>
      <c r="E872" t="str">
        <f>IF($A872&lt;&gt;"",'Approved-Enforcement'!D872,"")</f>
        <v/>
      </c>
      <c r="F872" t="str">
        <f>IF($A872&lt;&gt;"",'Approved-Enforcement'!E872,"")</f>
        <v/>
      </c>
      <c r="G872" t="str">
        <f>IF($A872&lt;&gt;"",'Approved-Enforcement'!F872,"")</f>
        <v/>
      </c>
      <c r="H872" t="str">
        <f>IF($A872&lt;&gt;"",'Approved-Enforcement'!G872,"")</f>
        <v/>
      </c>
      <c r="I872" t="str">
        <f>IF($A872&lt;&gt;"",'Approved-Enforcement'!H872,"")</f>
        <v/>
      </c>
      <c r="J872" t="str">
        <f>IF($A872&lt;&gt;"",'Approved-Enforcement'!I872,"")</f>
        <v/>
      </c>
      <c r="K872" t="str">
        <f>IF($A872&lt;&gt;"",'Approved-Enforcement'!J872,"")</f>
        <v/>
      </c>
      <c r="L872" t="str">
        <f>IF($A872&lt;&gt;"",'Approved-Enforcement'!K872,"")</f>
        <v/>
      </c>
      <c r="M872" t="str">
        <f>IF($A872&lt;&gt;"",'Approved-Enforcement'!L872,"")</f>
        <v/>
      </c>
      <c r="N872" t="str">
        <f>IF($A872&lt;&gt;"",'Approved-Enforcement'!M872,"")</f>
        <v/>
      </c>
      <c r="O872" t="str">
        <f>IF($A872&lt;&gt;"",'Approved-Enforcement'!N872,"")</f>
        <v/>
      </c>
      <c r="P872" t="str">
        <f>IF($A872&lt;&gt;"",'Approved-Enforcement'!O872,"")</f>
        <v/>
      </c>
    </row>
    <row r="873" spans="1:16" x14ac:dyDescent="0.35">
      <c r="A873" s="4" t="str">
        <f>IF('Approved-Enforcement'!$A873&lt;&gt;"",'Approved-Enforcement'!A873,"")</f>
        <v/>
      </c>
      <c r="B873" t="str">
        <f t="shared" si="13"/>
        <v/>
      </c>
      <c r="D873" t="str">
        <f>IF($A873&lt;&gt;"",IF($R873&lt;&gt;"",$R873,'Approved-Enforcement'!$B873+7),"")</f>
        <v/>
      </c>
      <c r="E873" t="str">
        <f>IF($A873&lt;&gt;"",'Approved-Enforcement'!D873,"")</f>
        <v/>
      </c>
      <c r="F873" t="str">
        <f>IF($A873&lt;&gt;"",'Approved-Enforcement'!E873,"")</f>
        <v/>
      </c>
      <c r="G873" t="str">
        <f>IF($A873&lt;&gt;"",'Approved-Enforcement'!F873,"")</f>
        <v/>
      </c>
      <c r="H873" t="str">
        <f>IF($A873&lt;&gt;"",'Approved-Enforcement'!G873,"")</f>
        <v/>
      </c>
      <c r="I873" t="str">
        <f>IF($A873&lt;&gt;"",'Approved-Enforcement'!H873,"")</f>
        <v/>
      </c>
      <c r="J873" t="str">
        <f>IF($A873&lt;&gt;"",'Approved-Enforcement'!I873,"")</f>
        <v/>
      </c>
      <c r="K873" t="str">
        <f>IF($A873&lt;&gt;"",'Approved-Enforcement'!J873,"")</f>
        <v/>
      </c>
      <c r="L873" t="str">
        <f>IF($A873&lt;&gt;"",'Approved-Enforcement'!K873,"")</f>
        <v/>
      </c>
      <c r="M873" t="str">
        <f>IF($A873&lt;&gt;"",'Approved-Enforcement'!L873,"")</f>
        <v/>
      </c>
      <c r="N873" t="str">
        <f>IF($A873&lt;&gt;"",'Approved-Enforcement'!M873,"")</f>
        <v/>
      </c>
      <c r="O873" t="str">
        <f>IF($A873&lt;&gt;"",'Approved-Enforcement'!N873,"")</f>
        <v/>
      </c>
      <c r="P873" t="str">
        <f>IF($A873&lt;&gt;"",'Approved-Enforcement'!O873,"")</f>
        <v/>
      </c>
    </row>
    <row r="874" spans="1:16" x14ac:dyDescent="0.35">
      <c r="A874" s="4" t="str">
        <f>IF('Approved-Enforcement'!$A874&lt;&gt;"",'Approved-Enforcement'!A874,"")</f>
        <v/>
      </c>
      <c r="B874" t="str">
        <f t="shared" si="13"/>
        <v/>
      </c>
      <c r="D874" t="str">
        <f>IF($A874&lt;&gt;"",IF($R874&lt;&gt;"",$R874,'Approved-Enforcement'!$B874+7),"")</f>
        <v/>
      </c>
      <c r="E874" t="str">
        <f>IF($A874&lt;&gt;"",'Approved-Enforcement'!D874,"")</f>
        <v/>
      </c>
      <c r="F874" t="str">
        <f>IF($A874&lt;&gt;"",'Approved-Enforcement'!E874,"")</f>
        <v/>
      </c>
      <c r="G874" t="str">
        <f>IF($A874&lt;&gt;"",'Approved-Enforcement'!F874,"")</f>
        <v/>
      </c>
      <c r="H874" t="str">
        <f>IF($A874&lt;&gt;"",'Approved-Enforcement'!G874,"")</f>
        <v/>
      </c>
      <c r="I874" t="str">
        <f>IF($A874&lt;&gt;"",'Approved-Enforcement'!H874,"")</f>
        <v/>
      </c>
      <c r="J874" t="str">
        <f>IF($A874&lt;&gt;"",'Approved-Enforcement'!I874,"")</f>
        <v/>
      </c>
      <c r="K874" t="str">
        <f>IF($A874&lt;&gt;"",'Approved-Enforcement'!J874,"")</f>
        <v/>
      </c>
      <c r="L874" t="str">
        <f>IF($A874&lt;&gt;"",'Approved-Enforcement'!K874,"")</f>
        <v/>
      </c>
      <c r="M874" t="str">
        <f>IF($A874&lt;&gt;"",'Approved-Enforcement'!L874,"")</f>
        <v/>
      </c>
      <c r="N874" t="str">
        <f>IF($A874&lt;&gt;"",'Approved-Enforcement'!M874,"")</f>
        <v/>
      </c>
      <c r="O874" t="str">
        <f>IF($A874&lt;&gt;"",'Approved-Enforcement'!N874,"")</f>
        <v/>
      </c>
      <c r="P874" t="str">
        <f>IF($A874&lt;&gt;"",'Approved-Enforcement'!O874,"")</f>
        <v/>
      </c>
    </row>
    <row r="875" spans="1:16" x14ac:dyDescent="0.35">
      <c r="A875" s="4" t="str">
        <f>IF('Approved-Enforcement'!$A875&lt;&gt;"",'Approved-Enforcement'!A875,"")</f>
        <v/>
      </c>
      <c r="B875" t="str">
        <f t="shared" si="13"/>
        <v/>
      </c>
      <c r="D875" t="str">
        <f>IF($A875&lt;&gt;"",IF($R875&lt;&gt;"",$R875,'Approved-Enforcement'!$B875+7),"")</f>
        <v/>
      </c>
      <c r="E875" t="str">
        <f>IF($A875&lt;&gt;"",'Approved-Enforcement'!D875,"")</f>
        <v/>
      </c>
      <c r="F875" t="str">
        <f>IF($A875&lt;&gt;"",'Approved-Enforcement'!E875,"")</f>
        <v/>
      </c>
      <c r="G875" t="str">
        <f>IF($A875&lt;&gt;"",'Approved-Enforcement'!F875,"")</f>
        <v/>
      </c>
      <c r="H875" t="str">
        <f>IF($A875&lt;&gt;"",'Approved-Enforcement'!G875,"")</f>
        <v/>
      </c>
      <c r="I875" t="str">
        <f>IF($A875&lt;&gt;"",'Approved-Enforcement'!H875,"")</f>
        <v/>
      </c>
      <c r="J875" t="str">
        <f>IF($A875&lt;&gt;"",'Approved-Enforcement'!I875,"")</f>
        <v/>
      </c>
      <c r="K875" t="str">
        <f>IF($A875&lt;&gt;"",'Approved-Enforcement'!J875,"")</f>
        <v/>
      </c>
      <c r="L875" t="str">
        <f>IF($A875&lt;&gt;"",'Approved-Enforcement'!K875,"")</f>
        <v/>
      </c>
      <c r="M875" t="str">
        <f>IF($A875&lt;&gt;"",'Approved-Enforcement'!L875,"")</f>
        <v/>
      </c>
      <c r="N875" t="str">
        <f>IF($A875&lt;&gt;"",'Approved-Enforcement'!M875,"")</f>
        <v/>
      </c>
      <c r="O875" t="str">
        <f>IF($A875&lt;&gt;"",'Approved-Enforcement'!N875,"")</f>
        <v/>
      </c>
      <c r="P875" t="str">
        <f>IF($A875&lt;&gt;"",'Approved-Enforcement'!O875,"")</f>
        <v/>
      </c>
    </row>
    <row r="876" spans="1:16" x14ac:dyDescent="0.35">
      <c r="A876" s="4" t="str">
        <f>IF('Approved-Enforcement'!$A876&lt;&gt;"",'Approved-Enforcement'!A876,"")</f>
        <v/>
      </c>
      <c r="B876" t="str">
        <f t="shared" si="13"/>
        <v/>
      </c>
      <c r="D876" t="str">
        <f>IF($A876&lt;&gt;"",IF($R876&lt;&gt;"",$R876,'Approved-Enforcement'!$B876+7),"")</f>
        <v/>
      </c>
      <c r="E876" t="str">
        <f>IF($A876&lt;&gt;"",'Approved-Enforcement'!D876,"")</f>
        <v/>
      </c>
      <c r="F876" t="str">
        <f>IF($A876&lt;&gt;"",'Approved-Enforcement'!E876,"")</f>
        <v/>
      </c>
      <c r="G876" t="str">
        <f>IF($A876&lt;&gt;"",'Approved-Enforcement'!F876,"")</f>
        <v/>
      </c>
      <c r="H876" t="str">
        <f>IF($A876&lt;&gt;"",'Approved-Enforcement'!G876,"")</f>
        <v/>
      </c>
      <c r="I876" t="str">
        <f>IF($A876&lt;&gt;"",'Approved-Enforcement'!H876,"")</f>
        <v/>
      </c>
      <c r="J876" t="str">
        <f>IF($A876&lt;&gt;"",'Approved-Enforcement'!I876,"")</f>
        <v/>
      </c>
      <c r="K876" t="str">
        <f>IF($A876&lt;&gt;"",'Approved-Enforcement'!J876,"")</f>
        <v/>
      </c>
      <c r="L876" t="str">
        <f>IF($A876&lt;&gt;"",'Approved-Enforcement'!K876,"")</f>
        <v/>
      </c>
      <c r="M876" t="str">
        <f>IF($A876&lt;&gt;"",'Approved-Enforcement'!L876,"")</f>
        <v/>
      </c>
      <c r="N876" t="str">
        <f>IF($A876&lt;&gt;"",'Approved-Enforcement'!M876,"")</f>
        <v/>
      </c>
      <c r="O876" t="str">
        <f>IF($A876&lt;&gt;"",'Approved-Enforcement'!N876,"")</f>
        <v/>
      </c>
      <c r="P876" t="str">
        <f>IF($A876&lt;&gt;"",'Approved-Enforcement'!O876,"")</f>
        <v/>
      </c>
    </row>
    <row r="877" spans="1:16" x14ac:dyDescent="0.35">
      <c r="A877" s="4" t="str">
        <f>IF('Approved-Enforcement'!$A877&lt;&gt;"",'Approved-Enforcement'!A877,"")</f>
        <v/>
      </c>
      <c r="B877" t="str">
        <f t="shared" si="13"/>
        <v/>
      </c>
      <c r="D877" t="str">
        <f>IF($A877&lt;&gt;"",IF($R877&lt;&gt;"",$R877,'Approved-Enforcement'!$B877+7),"")</f>
        <v/>
      </c>
      <c r="E877" t="str">
        <f>IF($A877&lt;&gt;"",'Approved-Enforcement'!D877,"")</f>
        <v/>
      </c>
      <c r="F877" t="str">
        <f>IF($A877&lt;&gt;"",'Approved-Enforcement'!E877,"")</f>
        <v/>
      </c>
      <c r="G877" t="str">
        <f>IF($A877&lt;&gt;"",'Approved-Enforcement'!F877,"")</f>
        <v/>
      </c>
      <c r="H877" t="str">
        <f>IF($A877&lt;&gt;"",'Approved-Enforcement'!G877,"")</f>
        <v/>
      </c>
      <c r="I877" t="str">
        <f>IF($A877&lt;&gt;"",'Approved-Enforcement'!H877,"")</f>
        <v/>
      </c>
      <c r="J877" t="str">
        <f>IF($A877&lt;&gt;"",'Approved-Enforcement'!I877,"")</f>
        <v/>
      </c>
      <c r="K877" t="str">
        <f>IF($A877&lt;&gt;"",'Approved-Enforcement'!J877,"")</f>
        <v/>
      </c>
      <c r="L877" t="str">
        <f>IF($A877&lt;&gt;"",'Approved-Enforcement'!K877,"")</f>
        <v/>
      </c>
      <c r="M877" t="str">
        <f>IF($A877&lt;&gt;"",'Approved-Enforcement'!L877,"")</f>
        <v/>
      </c>
      <c r="N877" t="str">
        <f>IF($A877&lt;&gt;"",'Approved-Enforcement'!M877,"")</f>
        <v/>
      </c>
      <c r="O877" t="str">
        <f>IF($A877&lt;&gt;"",'Approved-Enforcement'!N877,"")</f>
        <v/>
      </c>
      <c r="P877" t="str">
        <f>IF($A877&lt;&gt;"",'Approved-Enforcement'!O877,"")</f>
        <v/>
      </c>
    </row>
    <row r="878" spans="1:16" x14ac:dyDescent="0.35">
      <c r="A878" s="4" t="str">
        <f>IF('Approved-Enforcement'!$A878&lt;&gt;"",'Approved-Enforcement'!A878,"")</f>
        <v/>
      </c>
      <c r="B878" t="str">
        <f t="shared" si="13"/>
        <v/>
      </c>
      <c r="D878" t="str">
        <f>IF($A878&lt;&gt;"",IF($R878&lt;&gt;"",$R878,'Approved-Enforcement'!$B878+7),"")</f>
        <v/>
      </c>
      <c r="E878" t="str">
        <f>IF($A878&lt;&gt;"",'Approved-Enforcement'!D878,"")</f>
        <v/>
      </c>
      <c r="F878" t="str">
        <f>IF($A878&lt;&gt;"",'Approved-Enforcement'!E878,"")</f>
        <v/>
      </c>
      <c r="G878" t="str">
        <f>IF($A878&lt;&gt;"",'Approved-Enforcement'!F878,"")</f>
        <v/>
      </c>
      <c r="H878" t="str">
        <f>IF($A878&lt;&gt;"",'Approved-Enforcement'!G878,"")</f>
        <v/>
      </c>
      <c r="I878" t="str">
        <f>IF($A878&lt;&gt;"",'Approved-Enforcement'!H878,"")</f>
        <v/>
      </c>
      <c r="J878" t="str">
        <f>IF($A878&lt;&gt;"",'Approved-Enforcement'!I878,"")</f>
        <v/>
      </c>
      <c r="K878" t="str">
        <f>IF($A878&lt;&gt;"",'Approved-Enforcement'!J878,"")</f>
        <v/>
      </c>
      <c r="L878" t="str">
        <f>IF($A878&lt;&gt;"",'Approved-Enforcement'!K878,"")</f>
        <v/>
      </c>
      <c r="M878" t="str">
        <f>IF($A878&lt;&gt;"",'Approved-Enforcement'!L878,"")</f>
        <v/>
      </c>
      <c r="N878" t="str">
        <f>IF($A878&lt;&gt;"",'Approved-Enforcement'!M878,"")</f>
        <v/>
      </c>
      <c r="O878" t="str">
        <f>IF($A878&lt;&gt;"",'Approved-Enforcement'!N878,"")</f>
        <v/>
      </c>
      <c r="P878" t="str">
        <f>IF($A878&lt;&gt;"",'Approved-Enforcement'!O878,"")</f>
        <v/>
      </c>
    </row>
    <row r="879" spans="1:16" x14ac:dyDescent="0.35">
      <c r="A879" s="4" t="str">
        <f>IF('Approved-Enforcement'!$A879&lt;&gt;"",'Approved-Enforcement'!A879,"")</f>
        <v/>
      </c>
      <c r="B879" t="str">
        <f t="shared" si="13"/>
        <v/>
      </c>
      <c r="D879" t="str">
        <f>IF($A879&lt;&gt;"",IF($R879&lt;&gt;"",$R879,'Approved-Enforcement'!$B879+7),"")</f>
        <v/>
      </c>
      <c r="E879" t="str">
        <f>IF($A879&lt;&gt;"",'Approved-Enforcement'!D879,"")</f>
        <v/>
      </c>
      <c r="F879" t="str">
        <f>IF($A879&lt;&gt;"",'Approved-Enforcement'!E879,"")</f>
        <v/>
      </c>
      <c r="G879" t="str">
        <f>IF($A879&lt;&gt;"",'Approved-Enforcement'!F879,"")</f>
        <v/>
      </c>
      <c r="H879" t="str">
        <f>IF($A879&lt;&gt;"",'Approved-Enforcement'!G879,"")</f>
        <v/>
      </c>
      <c r="I879" t="str">
        <f>IF($A879&lt;&gt;"",'Approved-Enforcement'!H879,"")</f>
        <v/>
      </c>
      <c r="J879" t="str">
        <f>IF($A879&lt;&gt;"",'Approved-Enforcement'!I879,"")</f>
        <v/>
      </c>
      <c r="K879" t="str">
        <f>IF($A879&lt;&gt;"",'Approved-Enforcement'!J879,"")</f>
        <v/>
      </c>
      <c r="L879" t="str">
        <f>IF($A879&lt;&gt;"",'Approved-Enforcement'!K879,"")</f>
        <v/>
      </c>
      <c r="M879" t="str">
        <f>IF($A879&lt;&gt;"",'Approved-Enforcement'!L879,"")</f>
        <v/>
      </c>
      <c r="N879" t="str">
        <f>IF($A879&lt;&gt;"",'Approved-Enforcement'!M879,"")</f>
        <v/>
      </c>
      <c r="O879" t="str">
        <f>IF($A879&lt;&gt;"",'Approved-Enforcement'!N879,"")</f>
        <v/>
      </c>
      <c r="P879" t="str">
        <f>IF($A879&lt;&gt;"",'Approved-Enforcement'!O879,"")</f>
        <v/>
      </c>
    </row>
    <row r="880" spans="1:16" x14ac:dyDescent="0.35">
      <c r="A880" s="4" t="str">
        <f>IF('Approved-Enforcement'!$A880&lt;&gt;"",'Approved-Enforcement'!A880,"")</f>
        <v/>
      </c>
      <c r="B880" t="str">
        <f t="shared" si="13"/>
        <v/>
      </c>
      <c r="D880" t="str">
        <f>IF($A880&lt;&gt;"",IF($R880&lt;&gt;"",$R880,'Approved-Enforcement'!$B880+7),"")</f>
        <v/>
      </c>
      <c r="E880" t="str">
        <f>IF($A880&lt;&gt;"",'Approved-Enforcement'!D880,"")</f>
        <v/>
      </c>
      <c r="F880" t="str">
        <f>IF($A880&lt;&gt;"",'Approved-Enforcement'!E880,"")</f>
        <v/>
      </c>
      <c r="G880" t="str">
        <f>IF($A880&lt;&gt;"",'Approved-Enforcement'!F880,"")</f>
        <v/>
      </c>
      <c r="H880" t="str">
        <f>IF($A880&lt;&gt;"",'Approved-Enforcement'!G880,"")</f>
        <v/>
      </c>
      <c r="I880" t="str">
        <f>IF($A880&lt;&gt;"",'Approved-Enforcement'!H880,"")</f>
        <v/>
      </c>
      <c r="J880" t="str">
        <f>IF($A880&lt;&gt;"",'Approved-Enforcement'!I880,"")</f>
        <v/>
      </c>
      <c r="K880" t="str">
        <f>IF($A880&lt;&gt;"",'Approved-Enforcement'!J880,"")</f>
        <v/>
      </c>
      <c r="L880" t="str">
        <f>IF($A880&lt;&gt;"",'Approved-Enforcement'!K880,"")</f>
        <v/>
      </c>
      <c r="M880" t="str">
        <f>IF($A880&lt;&gt;"",'Approved-Enforcement'!L880,"")</f>
        <v/>
      </c>
      <c r="N880" t="str">
        <f>IF($A880&lt;&gt;"",'Approved-Enforcement'!M880,"")</f>
        <v/>
      </c>
      <c r="O880" t="str">
        <f>IF($A880&lt;&gt;"",'Approved-Enforcement'!N880,"")</f>
        <v/>
      </c>
      <c r="P880" t="str">
        <f>IF($A880&lt;&gt;"",'Approved-Enforcement'!O880,"")</f>
        <v/>
      </c>
    </row>
    <row r="881" spans="1:16" x14ac:dyDescent="0.35">
      <c r="A881" s="4" t="str">
        <f>IF('Approved-Enforcement'!$A881&lt;&gt;"",'Approved-Enforcement'!A881,"")</f>
        <v/>
      </c>
      <c r="B881" t="str">
        <f t="shared" si="13"/>
        <v/>
      </c>
      <c r="D881" t="str">
        <f>IF($A881&lt;&gt;"",IF($R881&lt;&gt;"",$R881,'Approved-Enforcement'!$B881+7),"")</f>
        <v/>
      </c>
      <c r="E881" t="str">
        <f>IF($A881&lt;&gt;"",'Approved-Enforcement'!D881,"")</f>
        <v/>
      </c>
      <c r="F881" t="str">
        <f>IF($A881&lt;&gt;"",'Approved-Enforcement'!E881,"")</f>
        <v/>
      </c>
      <c r="G881" t="str">
        <f>IF($A881&lt;&gt;"",'Approved-Enforcement'!F881,"")</f>
        <v/>
      </c>
      <c r="H881" t="str">
        <f>IF($A881&lt;&gt;"",'Approved-Enforcement'!G881,"")</f>
        <v/>
      </c>
      <c r="I881" t="str">
        <f>IF($A881&lt;&gt;"",'Approved-Enforcement'!H881,"")</f>
        <v/>
      </c>
      <c r="J881" t="str">
        <f>IF($A881&lt;&gt;"",'Approved-Enforcement'!I881,"")</f>
        <v/>
      </c>
      <c r="K881" t="str">
        <f>IF($A881&lt;&gt;"",'Approved-Enforcement'!J881,"")</f>
        <v/>
      </c>
      <c r="L881" t="str">
        <f>IF($A881&lt;&gt;"",'Approved-Enforcement'!K881,"")</f>
        <v/>
      </c>
      <c r="M881" t="str">
        <f>IF($A881&lt;&gt;"",'Approved-Enforcement'!L881,"")</f>
        <v/>
      </c>
      <c r="N881" t="str">
        <f>IF($A881&lt;&gt;"",'Approved-Enforcement'!M881,"")</f>
        <v/>
      </c>
      <c r="O881" t="str">
        <f>IF($A881&lt;&gt;"",'Approved-Enforcement'!N881,"")</f>
        <v/>
      </c>
      <c r="P881" t="str">
        <f>IF($A881&lt;&gt;"",'Approved-Enforcement'!O881,"")</f>
        <v/>
      </c>
    </row>
    <row r="882" spans="1:16" x14ac:dyDescent="0.35">
      <c r="A882" s="4" t="str">
        <f>IF('Approved-Enforcement'!$A882&lt;&gt;"",'Approved-Enforcement'!A882,"")</f>
        <v/>
      </c>
      <c r="B882" t="str">
        <f t="shared" si="13"/>
        <v/>
      </c>
      <c r="D882" t="str">
        <f>IF($A882&lt;&gt;"",IF($R882&lt;&gt;"",$R882,'Approved-Enforcement'!$B882+7),"")</f>
        <v/>
      </c>
      <c r="E882" t="str">
        <f>IF($A882&lt;&gt;"",'Approved-Enforcement'!D882,"")</f>
        <v/>
      </c>
      <c r="F882" t="str">
        <f>IF($A882&lt;&gt;"",'Approved-Enforcement'!E882,"")</f>
        <v/>
      </c>
      <c r="G882" t="str">
        <f>IF($A882&lt;&gt;"",'Approved-Enforcement'!F882,"")</f>
        <v/>
      </c>
      <c r="H882" t="str">
        <f>IF($A882&lt;&gt;"",'Approved-Enforcement'!G882,"")</f>
        <v/>
      </c>
      <c r="I882" t="str">
        <f>IF($A882&lt;&gt;"",'Approved-Enforcement'!H882,"")</f>
        <v/>
      </c>
      <c r="J882" t="str">
        <f>IF($A882&lt;&gt;"",'Approved-Enforcement'!I882,"")</f>
        <v/>
      </c>
      <c r="K882" t="str">
        <f>IF($A882&lt;&gt;"",'Approved-Enforcement'!J882,"")</f>
        <v/>
      </c>
      <c r="L882" t="str">
        <f>IF($A882&lt;&gt;"",'Approved-Enforcement'!K882,"")</f>
        <v/>
      </c>
      <c r="M882" t="str">
        <f>IF($A882&lt;&gt;"",'Approved-Enforcement'!L882,"")</f>
        <v/>
      </c>
      <c r="N882" t="str">
        <f>IF($A882&lt;&gt;"",'Approved-Enforcement'!M882,"")</f>
        <v/>
      </c>
      <c r="O882" t="str">
        <f>IF($A882&lt;&gt;"",'Approved-Enforcement'!N882,"")</f>
        <v/>
      </c>
      <c r="P882" t="str">
        <f>IF($A882&lt;&gt;"",'Approved-Enforcement'!O882,"")</f>
        <v/>
      </c>
    </row>
    <row r="883" spans="1:16" x14ac:dyDescent="0.35">
      <c r="A883" s="4" t="str">
        <f>IF('Approved-Enforcement'!$A883&lt;&gt;"",'Approved-Enforcement'!A883,"")</f>
        <v/>
      </c>
      <c r="B883" t="str">
        <f t="shared" si="13"/>
        <v/>
      </c>
      <c r="D883" t="str">
        <f>IF($A883&lt;&gt;"",IF($R883&lt;&gt;"",$R883,'Approved-Enforcement'!$B883+7),"")</f>
        <v/>
      </c>
      <c r="E883" t="str">
        <f>IF($A883&lt;&gt;"",'Approved-Enforcement'!D883,"")</f>
        <v/>
      </c>
      <c r="F883" t="str">
        <f>IF($A883&lt;&gt;"",'Approved-Enforcement'!E883,"")</f>
        <v/>
      </c>
      <c r="G883" t="str">
        <f>IF($A883&lt;&gt;"",'Approved-Enforcement'!F883,"")</f>
        <v/>
      </c>
      <c r="H883" t="str">
        <f>IF($A883&lt;&gt;"",'Approved-Enforcement'!G883,"")</f>
        <v/>
      </c>
      <c r="I883" t="str">
        <f>IF($A883&lt;&gt;"",'Approved-Enforcement'!H883,"")</f>
        <v/>
      </c>
      <c r="J883" t="str">
        <f>IF($A883&lt;&gt;"",'Approved-Enforcement'!I883,"")</f>
        <v/>
      </c>
      <c r="K883" t="str">
        <f>IF($A883&lt;&gt;"",'Approved-Enforcement'!J883,"")</f>
        <v/>
      </c>
      <c r="L883" t="str">
        <f>IF($A883&lt;&gt;"",'Approved-Enforcement'!K883,"")</f>
        <v/>
      </c>
      <c r="M883" t="str">
        <f>IF($A883&lt;&gt;"",'Approved-Enforcement'!L883,"")</f>
        <v/>
      </c>
      <c r="N883" t="str">
        <f>IF($A883&lt;&gt;"",'Approved-Enforcement'!M883,"")</f>
        <v/>
      </c>
      <c r="O883" t="str">
        <f>IF($A883&lt;&gt;"",'Approved-Enforcement'!N883,"")</f>
        <v/>
      </c>
      <c r="P883" t="str">
        <f>IF($A883&lt;&gt;"",'Approved-Enforcement'!O883,"")</f>
        <v/>
      </c>
    </row>
    <row r="884" spans="1:16" x14ac:dyDescent="0.35">
      <c r="A884" s="4" t="str">
        <f>IF('Approved-Enforcement'!$A884&lt;&gt;"",'Approved-Enforcement'!A884,"")</f>
        <v/>
      </c>
      <c r="B884" t="str">
        <f t="shared" si="13"/>
        <v/>
      </c>
      <c r="D884" t="str">
        <f>IF($A884&lt;&gt;"",IF($R884&lt;&gt;"",$R884,'Approved-Enforcement'!$B884+7),"")</f>
        <v/>
      </c>
      <c r="E884" t="str">
        <f>IF($A884&lt;&gt;"",'Approved-Enforcement'!D884,"")</f>
        <v/>
      </c>
      <c r="F884" t="str">
        <f>IF($A884&lt;&gt;"",'Approved-Enforcement'!E884,"")</f>
        <v/>
      </c>
      <c r="G884" t="str">
        <f>IF($A884&lt;&gt;"",'Approved-Enforcement'!F884,"")</f>
        <v/>
      </c>
      <c r="H884" t="str">
        <f>IF($A884&lt;&gt;"",'Approved-Enforcement'!G884,"")</f>
        <v/>
      </c>
      <c r="I884" t="str">
        <f>IF($A884&lt;&gt;"",'Approved-Enforcement'!H884,"")</f>
        <v/>
      </c>
      <c r="J884" t="str">
        <f>IF($A884&lt;&gt;"",'Approved-Enforcement'!I884,"")</f>
        <v/>
      </c>
      <c r="K884" t="str">
        <f>IF($A884&lt;&gt;"",'Approved-Enforcement'!J884,"")</f>
        <v/>
      </c>
      <c r="L884" t="str">
        <f>IF($A884&lt;&gt;"",'Approved-Enforcement'!K884,"")</f>
        <v/>
      </c>
      <c r="M884" t="str">
        <f>IF($A884&lt;&gt;"",'Approved-Enforcement'!L884,"")</f>
        <v/>
      </c>
      <c r="N884" t="str">
        <f>IF($A884&lt;&gt;"",'Approved-Enforcement'!M884,"")</f>
        <v/>
      </c>
      <c r="O884" t="str">
        <f>IF($A884&lt;&gt;"",'Approved-Enforcement'!N884,"")</f>
        <v/>
      </c>
      <c r="P884" t="str">
        <f>IF($A884&lt;&gt;"",'Approved-Enforcement'!O884,"")</f>
        <v/>
      </c>
    </row>
    <row r="885" spans="1:16" x14ac:dyDescent="0.35">
      <c r="A885" s="4" t="str">
        <f>IF('Approved-Enforcement'!$A885&lt;&gt;"",'Approved-Enforcement'!A885,"")</f>
        <v/>
      </c>
      <c r="B885" t="str">
        <f t="shared" si="13"/>
        <v/>
      </c>
      <c r="D885" t="str">
        <f>IF($A885&lt;&gt;"",IF($R885&lt;&gt;"",$R885,'Approved-Enforcement'!$B885+7),"")</f>
        <v/>
      </c>
      <c r="E885" t="str">
        <f>IF($A885&lt;&gt;"",'Approved-Enforcement'!D885,"")</f>
        <v/>
      </c>
      <c r="F885" t="str">
        <f>IF($A885&lt;&gt;"",'Approved-Enforcement'!E885,"")</f>
        <v/>
      </c>
      <c r="G885" t="str">
        <f>IF($A885&lt;&gt;"",'Approved-Enforcement'!F885,"")</f>
        <v/>
      </c>
      <c r="H885" t="str">
        <f>IF($A885&lt;&gt;"",'Approved-Enforcement'!G885,"")</f>
        <v/>
      </c>
      <c r="I885" t="str">
        <f>IF($A885&lt;&gt;"",'Approved-Enforcement'!H885,"")</f>
        <v/>
      </c>
      <c r="J885" t="str">
        <f>IF($A885&lt;&gt;"",'Approved-Enforcement'!I885,"")</f>
        <v/>
      </c>
      <c r="K885" t="str">
        <f>IF($A885&lt;&gt;"",'Approved-Enforcement'!J885,"")</f>
        <v/>
      </c>
      <c r="L885" t="str">
        <f>IF($A885&lt;&gt;"",'Approved-Enforcement'!K885,"")</f>
        <v/>
      </c>
      <c r="M885" t="str">
        <f>IF($A885&lt;&gt;"",'Approved-Enforcement'!L885,"")</f>
        <v/>
      </c>
      <c r="N885" t="str">
        <f>IF($A885&lt;&gt;"",'Approved-Enforcement'!M885,"")</f>
        <v/>
      </c>
      <c r="O885" t="str">
        <f>IF($A885&lt;&gt;"",'Approved-Enforcement'!N885,"")</f>
        <v/>
      </c>
      <c r="P885" t="str">
        <f>IF($A885&lt;&gt;"",'Approved-Enforcement'!O885,"")</f>
        <v/>
      </c>
    </row>
    <row r="886" spans="1:16" x14ac:dyDescent="0.35">
      <c r="A886" s="4" t="str">
        <f>IF('Approved-Enforcement'!$A886&lt;&gt;"",'Approved-Enforcement'!A886,"")</f>
        <v/>
      </c>
      <c r="B886" t="str">
        <f t="shared" si="13"/>
        <v/>
      </c>
      <c r="D886" t="str">
        <f>IF($A886&lt;&gt;"",IF($R886&lt;&gt;"",$R886,'Approved-Enforcement'!$B886+7),"")</f>
        <v/>
      </c>
      <c r="E886" t="str">
        <f>IF($A886&lt;&gt;"",'Approved-Enforcement'!D886,"")</f>
        <v/>
      </c>
      <c r="F886" t="str">
        <f>IF($A886&lt;&gt;"",'Approved-Enforcement'!E886,"")</f>
        <v/>
      </c>
      <c r="G886" t="str">
        <f>IF($A886&lt;&gt;"",'Approved-Enforcement'!F886,"")</f>
        <v/>
      </c>
      <c r="H886" t="str">
        <f>IF($A886&lt;&gt;"",'Approved-Enforcement'!G886,"")</f>
        <v/>
      </c>
      <c r="I886" t="str">
        <f>IF($A886&lt;&gt;"",'Approved-Enforcement'!H886,"")</f>
        <v/>
      </c>
      <c r="J886" t="str">
        <f>IF($A886&lt;&gt;"",'Approved-Enforcement'!I886,"")</f>
        <v/>
      </c>
      <c r="K886" t="str">
        <f>IF($A886&lt;&gt;"",'Approved-Enforcement'!J886,"")</f>
        <v/>
      </c>
      <c r="L886" t="str">
        <f>IF($A886&lt;&gt;"",'Approved-Enforcement'!K886,"")</f>
        <v/>
      </c>
      <c r="M886" t="str">
        <f>IF($A886&lt;&gt;"",'Approved-Enforcement'!L886,"")</f>
        <v/>
      </c>
      <c r="N886" t="str">
        <f>IF($A886&lt;&gt;"",'Approved-Enforcement'!M886,"")</f>
        <v/>
      </c>
      <c r="O886" t="str">
        <f>IF($A886&lt;&gt;"",'Approved-Enforcement'!N886,"")</f>
        <v/>
      </c>
      <c r="P886" t="str">
        <f>IF($A886&lt;&gt;"",'Approved-Enforcement'!O886,"")</f>
        <v/>
      </c>
    </row>
    <row r="887" spans="1:16" x14ac:dyDescent="0.35">
      <c r="A887" s="4" t="str">
        <f>IF('Approved-Enforcement'!$A887&lt;&gt;"",'Approved-Enforcement'!A887,"")</f>
        <v/>
      </c>
      <c r="B887" t="str">
        <f t="shared" si="13"/>
        <v/>
      </c>
      <c r="D887" t="str">
        <f>IF($A887&lt;&gt;"",IF($R887&lt;&gt;"",$R887,'Approved-Enforcement'!$B887+7),"")</f>
        <v/>
      </c>
      <c r="E887" t="str">
        <f>IF($A887&lt;&gt;"",'Approved-Enforcement'!D887,"")</f>
        <v/>
      </c>
      <c r="F887" t="str">
        <f>IF($A887&lt;&gt;"",'Approved-Enforcement'!E887,"")</f>
        <v/>
      </c>
      <c r="G887" t="str">
        <f>IF($A887&lt;&gt;"",'Approved-Enforcement'!F887,"")</f>
        <v/>
      </c>
      <c r="H887" t="str">
        <f>IF($A887&lt;&gt;"",'Approved-Enforcement'!G887,"")</f>
        <v/>
      </c>
      <c r="I887" t="str">
        <f>IF($A887&lt;&gt;"",'Approved-Enforcement'!H887,"")</f>
        <v/>
      </c>
      <c r="J887" t="str">
        <f>IF($A887&lt;&gt;"",'Approved-Enforcement'!I887,"")</f>
        <v/>
      </c>
      <c r="K887" t="str">
        <f>IF($A887&lt;&gt;"",'Approved-Enforcement'!J887,"")</f>
        <v/>
      </c>
      <c r="L887" t="str">
        <f>IF($A887&lt;&gt;"",'Approved-Enforcement'!K887,"")</f>
        <v/>
      </c>
      <c r="M887" t="str">
        <f>IF($A887&lt;&gt;"",'Approved-Enforcement'!L887,"")</f>
        <v/>
      </c>
      <c r="N887" t="str">
        <f>IF($A887&lt;&gt;"",'Approved-Enforcement'!M887,"")</f>
        <v/>
      </c>
      <c r="O887" t="str">
        <f>IF($A887&lt;&gt;"",'Approved-Enforcement'!N887,"")</f>
        <v/>
      </c>
      <c r="P887" t="str">
        <f>IF($A887&lt;&gt;"",'Approved-Enforcement'!O887,"")</f>
        <v/>
      </c>
    </row>
    <row r="888" spans="1:16" x14ac:dyDescent="0.35">
      <c r="A888" s="4" t="str">
        <f>IF('Approved-Enforcement'!$A888&lt;&gt;"",'Approved-Enforcement'!A888,"")</f>
        <v/>
      </c>
      <c r="B888" t="str">
        <f t="shared" si="13"/>
        <v/>
      </c>
      <c r="D888" t="str">
        <f>IF($A888&lt;&gt;"",IF($R888&lt;&gt;"",$R888,'Approved-Enforcement'!$B888+7),"")</f>
        <v/>
      </c>
      <c r="E888" t="str">
        <f>IF($A888&lt;&gt;"",'Approved-Enforcement'!D888,"")</f>
        <v/>
      </c>
      <c r="F888" t="str">
        <f>IF($A888&lt;&gt;"",'Approved-Enforcement'!E888,"")</f>
        <v/>
      </c>
      <c r="G888" t="str">
        <f>IF($A888&lt;&gt;"",'Approved-Enforcement'!F888,"")</f>
        <v/>
      </c>
      <c r="H888" t="str">
        <f>IF($A888&lt;&gt;"",'Approved-Enforcement'!G888,"")</f>
        <v/>
      </c>
      <c r="I888" t="str">
        <f>IF($A888&lt;&gt;"",'Approved-Enforcement'!H888,"")</f>
        <v/>
      </c>
      <c r="J888" t="str">
        <f>IF($A888&lt;&gt;"",'Approved-Enforcement'!I888,"")</f>
        <v/>
      </c>
      <c r="K888" t="str">
        <f>IF($A888&lt;&gt;"",'Approved-Enforcement'!J888,"")</f>
        <v/>
      </c>
      <c r="L888" t="str">
        <f>IF($A888&lt;&gt;"",'Approved-Enforcement'!K888,"")</f>
        <v/>
      </c>
      <c r="M888" t="str">
        <f>IF($A888&lt;&gt;"",'Approved-Enforcement'!L888,"")</f>
        <v/>
      </c>
      <c r="N888" t="str">
        <f>IF($A888&lt;&gt;"",'Approved-Enforcement'!M888,"")</f>
        <v/>
      </c>
      <c r="O888" t="str">
        <f>IF($A888&lt;&gt;"",'Approved-Enforcement'!N888,"")</f>
        <v/>
      </c>
      <c r="P888" t="str">
        <f>IF($A888&lt;&gt;"",'Approved-Enforcement'!O888,"")</f>
        <v/>
      </c>
    </row>
    <row r="889" spans="1:16" x14ac:dyDescent="0.35">
      <c r="A889" s="4" t="str">
        <f>IF('Approved-Enforcement'!$A889&lt;&gt;"",'Approved-Enforcement'!A889,"")</f>
        <v/>
      </c>
      <c r="B889" t="str">
        <f t="shared" si="13"/>
        <v/>
      </c>
      <c r="D889" t="str">
        <f>IF($A889&lt;&gt;"",IF($R889&lt;&gt;"",$R889,'Approved-Enforcement'!$B889+7),"")</f>
        <v/>
      </c>
      <c r="E889" t="str">
        <f>IF($A889&lt;&gt;"",'Approved-Enforcement'!D889,"")</f>
        <v/>
      </c>
      <c r="F889" t="str">
        <f>IF($A889&lt;&gt;"",'Approved-Enforcement'!E889,"")</f>
        <v/>
      </c>
      <c r="G889" t="str">
        <f>IF($A889&lt;&gt;"",'Approved-Enforcement'!F889,"")</f>
        <v/>
      </c>
      <c r="H889" t="str">
        <f>IF($A889&lt;&gt;"",'Approved-Enforcement'!G889,"")</f>
        <v/>
      </c>
      <c r="I889" t="str">
        <f>IF($A889&lt;&gt;"",'Approved-Enforcement'!H889,"")</f>
        <v/>
      </c>
      <c r="J889" t="str">
        <f>IF($A889&lt;&gt;"",'Approved-Enforcement'!I889,"")</f>
        <v/>
      </c>
      <c r="K889" t="str">
        <f>IF($A889&lt;&gt;"",'Approved-Enforcement'!J889,"")</f>
        <v/>
      </c>
      <c r="L889" t="str">
        <f>IF($A889&lt;&gt;"",'Approved-Enforcement'!K889,"")</f>
        <v/>
      </c>
      <c r="M889" t="str">
        <f>IF($A889&lt;&gt;"",'Approved-Enforcement'!L889,"")</f>
        <v/>
      </c>
      <c r="N889" t="str">
        <f>IF($A889&lt;&gt;"",'Approved-Enforcement'!M889,"")</f>
        <v/>
      </c>
      <c r="O889" t="str">
        <f>IF($A889&lt;&gt;"",'Approved-Enforcement'!N889,"")</f>
        <v/>
      </c>
      <c r="P889" t="str">
        <f>IF($A889&lt;&gt;"",'Approved-Enforcement'!O889,"")</f>
        <v/>
      </c>
    </row>
    <row r="890" spans="1:16" x14ac:dyDescent="0.35">
      <c r="A890" s="4" t="str">
        <f>IF('Approved-Enforcement'!$A890&lt;&gt;"",'Approved-Enforcement'!A890,"")</f>
        <v/>
      </c>
      <c r="B890" t="str">
        <f t="shared" si="13"/>
        <v/>
      </c>
      <c r="D890" t="str">
        <f>IF($A890&lt;&gt;"",IF($R890&lt;&gt;"",$R890,'Approved-Enforcement'!$B890+7),"")</f>
        <v/>
      </c>
      <c r="E890" t="str">
        <f>IF($A890&lt;&gt;"",'Approved-Enforcement'!D890,"")</f>
        <v/>
      </c>
      <c r="F890" t="str">
        <f>IF($A890&lt;&gt;"",'Approved-Enforcement'!E890,"")</f>
        <v/>
      </c>
      <c r="G890" t="str">
        <f>IF($A890&lt;&gt;"",'Approved-Enforcement'!F890,"")</f>
        <v/>
      </c>
      <c r="H890" t="str">
        <f>IF($A890&lt;&gt;"",'Approved-Enforcement'!G890,"")</f>
        <v/>
      </c>
      <c r="I890" t="str">
        <f>IF($A890&lt;&gt;"",'Approved-Enforcement'!H890,"")</f>
        <v/>
      </c>
      <c r="J890" t="str">
        <f>IF($A890&lt;&gt;"",'Approved-Enforcement'!I890,"")</f>
        <v/>
      </c>
      <c r="K890" t="str">
        <f>IF($A890&lt;&gt;"",'Approved-Enforcement'!J890,"")</f>
        <v/>
      </c>
      <c r="L890" t="str">
        <f>IF($A890&lt;&gt;"",'Approved-Enforcement'!K890,"")</f>
        <v/>
      </c>
      <c r="M890" t="str">
        <f>IF($A890&lt;&gt;"",'Approved-Enforcement'!L890,"")</f>
        <v/>
      </c>
      <c r="N890" t="str">
        <f>IF($A890&lt;&gt;"",'Approved-Enforcement'!M890,"")</f>
        <v/>
      </c>
      <c r="O890" t="str">
        <f>IF($A890&lt;&gt;"",'Approved-Enforcement'!N890,"")</f>
        <v/>
      </c>
      <c r="P890" t="str">
        <f>IF($A890&lt;&gt;"",'Approved-Enforcement'!O890,"")</f>
        <v/>
      </c>
    </row>
    <row r="891" spans="1:16" x14ac:dyDescent="0.35">
      <c r="A891" s="4" t="str">
        <f>IF('Approved-Enforcement'!$A891&lt;&gt;"",'Approved-Enforcement'!A891,"")</f>
        <v/>
      </c>
      <c r="B891" t="str">
        <f t="shared" si="13"/>
        <v/>
      </c>
      <c r="D891" t="str">
        <f>IF($A891&lt;&gt;"",IF($R891&lt;&gt;"",$R891,'Approved-Enforcement'!$B891+7),"")</f>
        <v/>
      </c>
      <c r="E891" t="str">
        <f>IF($A891&lt;&gt;"",'Approved-Enforcement'!D891,"")</f>
        <v/>
      </c>
      <c r="F891" t="str">
        <f>IF($A891&lt;&gt;"",'Approved-Enforcement'!E891,"")</f>
        <v/>
      </c>
      <c r="G891" t="str">
        <f>IF($A891&lt;&gt;"",'Approved-Enforcement'!F891,"")</f>
        <v/>
      </c>
      <c r="H891" t="str">
        <f>IF($A891&lt;&gt;"",'Approved-Enforcement'!G891,"")</f>
        <v/>
      </c>
      <c r="I891" t="str">
        <f>IF($A891&lt;&gt;"",'Approved-Enforcement'!H891,"")</f>
        <v/>
      </c>
      <c r="J891" t="str">
        <f>IF($A891&lt;&gt;"",'Approved-Enforcement'!I891,"")</f>
        <v/>
      </c>
      <c r="K891" t="str">
        <f>IF($A891&lt;&gt;"",'Approved-Enforcement'!J891,"")</f>
        <v/>
      </c>
      <c r="L891" t="str">
        <f>IF($A891&lt;&gt;"",'Approved-Enforcement'!K891,"")</f>
        <v/>
      </c>
      <c r="M891" t="str">
        <f>IF($A891&lt;&gt;"",'Approved-Enforcement'!L891,"")</f>
        <v/>
      </c>
      <c r="N891" t="str">
        <f>IF($A891&lt;&gt;"",'Approved-Enforcement'!M891,"")</f>
        <v/>
      </c>
      <c r="O891" t="str">
        <f>IF($A891&lt;&gt;"",'Approved-Enforcement'!N891,"")</f>
        <v/>
      </c>
      <c r="P891" t="str">
        <f>IF($A891&lt;&gt;"",'Approved-Enforcement'!O891,"")</f>
        <v/>
      </c>
    </row>
    <row r="892" spans="1:16" x14ac:dyDescent="0.35">
      <c r="A892" s="4" t="str">
        <f>IF('Approved-Enforcement'!$A892&lt;&gt;"",'Approved-Enforcement'!A892,"")</f>
        <v/>
      </c>
      <c r="B892" t="str">
        <f t="shared" si="13"/>
        <v/>
      </c>
      <c r="D892" t="str">
        <f>IF($A892&lt;&gt;"",IF($R892&lt;&gt;"",$R892,'Approved-Enforcement'!$B892+7),"")</f>
        <v/>
      </c>
      <c r="E892" t="str">
        <f>IF($A892&lt;&gt;"",'Approved-Enforcement'!D892,"")</f>
        <v/>
      </c>
      <c r="F892" t="str">
        <f>IF($A892&lt;&gt;"",'Approved-Enforcement'!E892,"")</f>
        <v/>
      </c>
      <c r="G892" t="str">
        <f>IF($A892&lt;&gt;"",'Approved-Enforcement'!F892,"")</f>
        <v/>
      </c>
      <c r="H892" t="str">
        <f>IF($A892&lt;&gt;"",'Approved-Enforcement'!G892,"")</f>
        <v/>
      </c>
      <c r="I892" t="str">
        <f>IF($A892&lt;&gt;"",'Approved-Enforcement'!H892,"")</f>
        <v/>
      </c>
      <c r="J892" t="str">
        <f>IF($A892&lt;&gt;"",'Approved-Enforcement'!I892,"")</f>
        <v/>
      </c>
      <c r="K892" t="str">
        <f>IF($A892&lt;&gt;"",'Approved-Enforcement'!J892,"")</f>
        <v/>
      </c>
      <c r="L892" t="str">
        <f>IF($A892&lt;&gt;"",'Approved-Enforcement'!K892,"")</f>
        <v/>
      </c>
      <c r="M892" t="str">
        <f>IF($A892&lt;&gt;"",'Approved-Enforcement'!L892,"")</f>
        <v/>
      </c>
      <c r="N892" t="str">
        <f>IF($A892&lt;&gt;"",'Approved-Enforcement'!M892,"")</f>
        <v/>
      </c>
      <c r="O892" t="str">
        <f>IF($A892&lt;&gt;"",'Approved-Enforcement'!N892,"")</f>
        <v/>
      </c>
      <c r="P892" t="str">
        <f>IF($A892&lt;&gt;"",'Approved-Enforcement'!O892,"")</f>
        <v/>
      </c>
    </row>
    <row r="893" spans="1:16" x14ac:dyDescent="0.35">
      <c r="A893" s="4" t="str">
        <f>IF('Approved-Enforcement'!$A893&lt;&gt;"",'Approved-Enforcement'!A893,"")</f>
        <v/>
      </c>
      <c r="B893" t="str">
        <f t="shared" si="13"/>
        <v/>
      </c>
      <c r="D893" t="str">
        <f>IF($A893&lt;&gt;"",IF($R893&lt;&gt;"",$R893,'Approved-Enforcement'!$B893+7),"")</f>
        <v/>
      </c>
      <c r="E893" t="str">
        <f>IF($A893&lt;&gt;"",'Approved-Enforcement'!D893,"")</f>
        <v/>
      </c>
      <c r="F893" t="str">
        <f>IF($A893&lt;&gt;"",'Approved-Enforcement'!E893,"")</f>
        <v/>
      </c>
      <c r="G893" t="str">
        <f>IF($A893&lt;&gt;"",'Approved-Enforcement'!F893,"")</f>
        <v/>
      </c>
      <c r="H893" t="str">
        <f>IF($A893&lt;&gt;"",'Approved-Enforcement'!G893,"")</f>
        <v/>
      </c>
      <c r="I893" t="str">
        <f>IF($A893&lt;&gt;"",'Approved-Enforcement'!H893,"")</f>
        <v/>
      </c>
      <c r="J893" t="str">
        <f>IF($A893&lt;&gt;"",'Approved-Enforcement'!I893,"")</f>
        <v/>
      </c>
      <c r="K893" t="str">
        <f>IF($A893&lt;&gt;"",'Approved-Enforcement'!J893,"")</f>
        <v/>
      </c>
      <c r="L893" t="str">
        <f>IF($A893&lt;&gt;"",'Approved-Enforcement'!K893,"")</f>
        <v/>
      </c>
      <c r="M893" t="str">
        <f>IF($A893&lt;&gt;"",'Approved-Enforcement'!L893,"")</f>
        <v/>
      </c>
      <c r="N893" t="str">
        <f>IF($A893&lt;&gt;"",'Approved-Enforcement'!M893,"")</f>
        <v/>
      </c>
      <c r="O893" t="str">
        <f>IF($A893&lt;&gt;"",'Approved-Enforcement'!N893,"")</f>
        <v/>
      </c>
      <c r="P893" t="str">
        <f>IF($A893&lt;&gt;"",'Approved-Enforcement'!O893,"")</f>
        <v/>
      </c>
    </row>
    <row r="894" spans="1:16" x14ac:dyDescent="0.35">
      <c r="A894" s="4" t="str">
        <f>IF('Approved-Enforcement'!$A894&lt;&gt;"",'Approved-Enforcement'!A894,"")</f>
        <v/>
      </c>
      <c r="B894" t="str">
        <f t="shared" si="13"/>
        <v/>
      </c>
      <c r="D894" t="str">
        <f>IF($A894&lt;&gt;"",IF($R894&lt;&gt;"",$R894,'Approved-Enforcement'!$B894+7),"")</f>
        <v/>
      </c>
      <c r="E894" t="str">
        <f>IF($A894&lt;&gt;"",'Approved-Enforcement'!D894,"")</f>
        <v/>
      </c>
      <c r="F894" t="str">
        <f>IF($A894&lt;&gt;"",'Approved-Enforcement'!E894,"")</f>
        <v/>
      </c>
      <c r="G894" t="str">
        <f>IF($A894&lt;&gt;"",'Approved-Enforcement'!F894,"")</f>
        <v/>
      </c>
      <c r="H894" t="str">
        <f>IF($A894&lt;&gt;"",'Approved-Enforcement'!G894,"")</f>
        <v/>
      </c>
      <c r="I894" t="str">
        <f>IF($A894&lt;&gt;"",'Approved-Enforcement'!H894,"")</f>
        <v/>
      </c>
      <c r="J894" t="str">
        <f>IF($A894&lt;&gt;"",'Approved-Enforcement'!I894,"")</f>
        <v/>
      </c>
      <c r="K894" t="str">
        <f>IF($A894&lt;&gt;"",'Approved-Enforcement'!J894,"")</f>
        <v/>
      </c>
      <c r="L894" t="str">
        <f>IF($A894&lt;&gt;"",'Approved-Enforcement'!K894,"")</f>
        <v/>
      </c>
      <c r="M894" t="str">
        <f>IF($A894&lt;&gt;"",'Approved-Enforcement'!L894,"")</f>
        <v/>
      </c>
      <c r="N894" t="str">
        <f>IF($A894&lt;&gt;"",'Approved-Enforcement'!M894,"")</f>
        <v/>
      </c>
      <c r="O894" t="str">
        <f>IF($A894&lt;&gt;"",'Approved-Enforcement'!N894,"")</f>
        <v/>
      </c>
      <c r="P894" t="str">
        <f>IF($A894&lt;&gt;"",'Approved-Enforcement'!O894,"")</f>
        <v/>
      </c>
    </row>
    <row r="895" spans="1:16" x14ac:dyDescent="0.35">
      <c r="A895" s="4" t="str">
        <f>IF('Approved-Enforcement'!$A895&lt;&gt;"",'Approved-Enforcement'!A895,"")</f>
        <v/>
      </c>
      <c r="B895" t="str">
        <f t="shared" si="13"/>
        <v/>
      </c>
      <c r="D895" t="str">
        <f>IF($A895&lt;&gt;"",IF($R895&lt;&gt;"",$R895,'Approved-Enforcement'!$B895+7),"")</f>
        <v/>
      </c>
      <c r="E895" t="str">
        <f>IF($A895&lt;&gt;"",'Approved-Enforcement'!D895,"")</f>
        <v/>
      </c>
      <c r="F895" t="str">
        <f>IF($A895&lt;&gt;"",'Approved-Enforcement'!E895,"")</f>
        <v/>
      </c>
      <c r="G895" t="str">
        <f>IF($A895&lt;&gt;"",'Approved-Enforcement'!F895,"")</f>
        <v/>
      </c>
      <c r="H895" t="str">
        <f>IF($A895&lt;&gt;"",'Approved-Enforcement'!G895,"")</f>
        <v/>
      </c>
      <c r="I895" t="str">
        <f>IF($A895&lt;&gt;"",'Approved-Enforcement'!H895,"")</f>
        <v/>
      </c>
      <c r="J895" t="str">
        <f>IF($A895&lt;&gt;"",'Approved-Enforcement'!I895,"")</f>
        <v/>
      </c>
      <c r="K895" t="str">
        <f>IF($A895&lt;&gt;"",'Approved-Enforcement'!J895,"")</f>
        <v/>
      </c>
      <c r="L895" t="str">
        <f>IF($A895&lt;&gt;"",'Approved-Enforcement'!K895,"")</f>
        <v/>
      </c>
      <c r="M895" t="str">
        <f>IF($A895&lt;&gt;"",'Approved-Enforcement'!L895,"")</f>
        <v/>
      </c>
      <c r="N895" t="str">
        <f>IF($A895&lt;&gt;"",'Approved-Enforcement'!M895,"")</f>
        <v/>
      </c>
      <c r="O895" t="str">
        <f>IF($A895&lt;&gt;"",'Approved-Enforcement'!N895,"")</f>
        <v/>
      </c>
      <c r="P895" t="str">
        <f>IF($A895&lt;&gt;"",'Approved-Enforcement'!O895,"")</f>
        <v/>
      </c>
    </row>
    <row r="896" spans="1:16" x14ac:dyDescent="0.35">
      <c r="A896" s="4" t="str">
        <f>IF('Approved-Enforcement'!$A896&lt;&gt;"",'Approved-Enforcement'!A896,"")</f>
        <v/>
      </c>
      <c r="B896" t="str">
        <f t="shared" si="13"/>
        <v/>
      </c>
      <c r="D896" t="str">
        <f>IF($A896&lt;&gt;"",IF($R896&lt;&gt;"",$R896,'Approved-Enforcement'!$B896+7),"")</f>
        <v/>
      </c>
      <c r="E896" t="str">
        <f>IF($A896&lt;&gt;"",'Approved-Enforcement'!D896,"")</f>
        <v/>
      </c>
      <c r="F896" t="str">
        <f>IF($A896&lt;&gt;"",'Approved-Enforcement'!E896,"")</f>
        <v/>
      </c>
      <c r="G896" t="str">
        <f>IF($A896&lt;&gt;"",'Approved-Enforcement'!F896,"")</f>
        <v/>
      </c>
      <c r="H896" t="str">
        <f>IF($A896&lt;&gt;"",'Approved-Enforcement'!G896,"")</f>
        <v/>
      </c>
      <c r="I896" t="str">
        <f>IF($A896&lt;&gt;"",'Approved-Enforcement'!H896,"")</f>
        <v/>
      </c>
      <c r="J896" t="str">
        <f>IF($A896&lt;&gt;"",'Approved-Enforcement'!I896,"")</f>
        <v/>
      </c>
      <c r="K896" t="str">
        <f>IF($A896&lt;&gt;"",'Approved-Enforcement'!J896,"")</f>
        <v/>
      </c>
      <c r="L896" t="str">
        <f>IF($A896&lt;&gt;"",'Approved-Enforcement'!K896,"")</f>
        <v/>
      </c>
      <c r="M896" t="str">
        <f>IF($A896&lt;&gt;"",'Approved-Enforcement'!L896,"")</f>
        <v/>
      </c>
      <c r="N896" t="str">
        <f>IF($A896&lt;&gt;"",'Approved-Enforcement'!M896,"")</f>
        <v/>
      </c>
      <c r="O896" t="str">
        <f>IF($A896&lt;&gt;"",'Approved-Enforcement'!N896,"")</f>
        <v/>
      </c>
      <c r="P896" t="str">
        <f>IF($A896&lt;&gt;"",'Approved-Enforcement'!O896,"")</f>
        <v/>
      </c>
    </row>
    <row r="897" spans="1:16" x14ac:dyDescent="0.35">
      <c r="A897" s="4" t="str">
        <f>IF('Approved-Enforcement'!$A897&lt;&gt;"",'Approved-Enforcement'!A897,"")</f>
        <v/>
      </c>
      <c r="B897" t="str">
        <f t="shared" si="13"/>
        <v/>
      </c>
      <c r="D897" t="str">
        <f>IF($A897&lt;&gt;"",IF($R897&lt;&gt;"",$R897,'Approved-Enforcement'!$B897+7),"")</f>
        <v/>
      </c>
      <c r="E897" t="str">
        <f>IF($A897&lt;&gt;"",'Approved-Enforcement'!D897,"")</f>
        <v/>
      </c>
      <c r="F897" t="str">
        <f>IF($A897&lt;&gt;"",'Approved-Enforcement'!E897,"")</f>
        <v/>
      </c>
      <c r="G897" t="str">
        <f>IF($A897&lt;&gt;"",'Approved-Enforcement'!F897,"")</f>
        <v/>
      </c>
      <c r="H897" t="str">
        <f>IF($A897&lt;&gt;"",'Approved-Enforcement'!G897,"")</f>
        <v/>
      </c>
      <c r="I897" t="str">
        <f>IF($A897&lt;&gt;"",'Approved-Enforcement'!H897,"")</f>
        <v/>
      </c>
      <c r="J897" t="str">
        <f>IF($A897&lt;&gt;"",'Approved-Enforcement'!I897,"")</f>
        <v/>
      </c>
      <c r="K897" t="str">
        <f>IF($A897&lt;&gt;"",'Approved-Enforcement'!J897,"")</f>
        <v/>
      </c>
      <c r="L897" t="str">
        <f>IF($A897&lt;&gt;"",'Approved-Enforcement'!K897,"")</f>
        <v/>
      </c>
      <c r="M897" t="str">
        <f>IF($A897&lt;&gt;"",'Approved-Enforcement'!L897,"")</f>
        <v/>
      </c>
      <c r="N897" t="str">
        <f>IF($A897&lt;&gt;"",'Approved-Enforcement'!M897,"")</f>
        <v/>
      </c>
      <c r="O897" t="str">
        <f>IF($A897&lt;&gt;"",'Approved-Enforcement'!N897,"")</f>
        <v/>
      </c>
      <c r="P897" t="str">
        <f>IF($A897&lt;&gt;"",'Approved-Enforcement'!O897,"")</f>
        <v/>
      </c>
    </row>
    <row r="898" spans="1:16" x14ac:dyDescent="0.35">
      <c r="A898" s="4" t="str">
        <f>IF('Approved-Enforcement'!$A898&lt;&gt;"",'Approved-Enforcement'!A898,"")</f>
        <v/>
      </c>
      <c r="B898" t="str">
        <f t="shared" ref="B898:B961" si="14">IF($A898&lt;&gt;"",IF($C898&lt;&gt;"",$C898,1500),"")</f>
        <v/>
      </c>
      <c r="D898" t="str">
        <f>IF($A898&lt;&gt;"",IF($R898&lt;&gt;"",$R898,'Approved-Enforcement'!$B898+7),"")</f>
        <v/>
      </c>
      <c r="E898" t="str">
        <f>IF($A898&lt;&gt;"",'Approved-Enforcement'!D898,"")</f>
        <v/>
      </c>
      <c r="F898" t="str">
        <f>IF($A898&lt;&gt;"",'Approved-Enforcement'!E898,"")</f>
        <v/>
      </c>
      <c r="G898" t="str">
        <f>IF($A898&lt;&gt;"",'Approved-Enforcement'!F898,"")</f>
        <v/>
      </c>
      <c r="H898" t="str">
        <f>IF($A898&lt;&gt;"",'Approved-Enforcement'!G898,"")</f>
        <v/>
      </c>
      <c r="I898" t="str">
        <f>IF($A898&lt;&gt;"",'Approved-Enforcement'!H898,"")</f>
        <v/>
      </c>
      <c r="J898" t="str">
        <f>IF($A898&lt;&gt;"",'Approved-Enforcement'!I898,"")</f>
        <v/>
      </c>
      <c r="K898" t="str">
        <f>IF($A898&lt;&gt;"",'Approved-Enforcement'!J898,"")</f>
        <v/>
      </c>
      <c r="L898" t="str">
        <f>IF($A898&lt;&gt;"",'Approved-Enforcement'!K898,"")</f>
        <v/>
      </c>
      <c r="M898" t="str">
        <f>IF($A898&lt;&gt;"",'Approved-Enforcement'!L898,"")</f>
        <v/>
      </c>
      <c r="N898" t="str">
        <f>IF($A898&lt;&gt;"",'Approved-Enforcement'!M898,"")</f>
        <v/>
      </c>
      <c r="O898" t="str">
        <f>IF($A898&lt;&gt;"",'Approved-Enforcement'!N898,"")</f>
        <v/>
      </c>
      <c r="P898" t="str">
        <f>IF($A898&lt;&gt;"",'Approved-Enforcement'!O898,"")</f>
        <v/>
      </c>
    </row>
    <row r="899" spans="1:16" x14ac:dyDescent="0.35">
      <c r="A899" s="4" t="str">
        <f>IF('Approved-Enforcement'!$A899&lt;&gt;"",'Approved-Enforcement'!A899,"")</f>
        <v/>
      </c>
      <c r="B899" t="str">
        <f t="shared" si="14"/>
        <v/>
      </c>
      <c r="D899" t="str">
        <f>IF($A899&lt;&gt;"",IF($R899&lt;&gt;"",$R899,'Approved-Enforcement'!$B899+7),"")</f>
        <v/>
      </c>
      <c r="E899" t="str">
        <f>IF($A899&lt;&gt;"",'Approved-Enforcement'!D899,"")</f>
        <v/>
      </c>
      <c r="F899" t="str">
        <f>IF($A899&lt;&gt;"",'Approved-Enforcement'!E899,"")</f>
        <v/>
      </c>
      <c r="G899" t="str">
        <f>IF($A899&lt;&gt;"",'Approved-Enforcement'!F899,"")</f>
        <v/>
      </c>
      <c r="H899" t="str">
        <f>IF($A899&lt;&gt;"",'Approved-Enforcement'!G899,"")</f>
        <v/>
      </c>
      <c r="I899" t="str">
        <f>IF($A899&lt;&gt;"",'Approved-Enforcement'!H899,"")</f>
        <v/>
      </c>
      <c r="J899" t="str">
        <f>IF($A899&lt;&gt;"",'Approved-Enforcement'!I899,"")</f>
        <v/>
      </c>
      <c r="K899" t="str">
        <f>IF($A899&lt;&gt;"",'Approved-Enforcement'!J899,"")</f>
        <v/>
      </c>
      <c r="L899" t="str">
        <f>IF($A899&lt;&gt;"",'Approved-Enforcement'!K899,"")</f>
        <v/>
      </c>
      <c r="M899" t="str">
        <f>IF($A899&lt;&gt;"",'Approved-Enforcement'!L899,"")</f>
        <v/>
      </c>
      <c r="N899" t="str">
        <f>IF($A899&lt;&gt;"",'Approved-Enforcement'!M899,"")</f>
        <v/>
      </c>
      <c r="O899" t="str">
        <f>IF($A899&lt;&gt;"",'Approved-Enforcement'!N899,"")</f>
        <v/>
      </c>
      <c r="P899" t="str">
        <f>IF($A899&lt;&gt;"",'Approved-Enforcement'!O899,"")</f>
        <v/>
      </c>
    </row>
    <row r="900" spans="1:16" x14ac:dyDescent="0.35">
      <c r="A900" s="4" t="str">
        <f>IF('Approved-Enforcement'!$A900&lt;&gt;"",'Approved-Enforcement'!A900,"")</f>
        <v/>
      </c>
      <c r="B900" t="str">
        <f t="shared" si="14"/>
        <v/>
      </c>
      <c r="D900" t="str">
        <f>IF($A900&lt;&gt;"",IF($R900&lt;&gt;"",$R900,'Approved-Enforcement'!$B900+7),"")</f>
        <v/>
      </c>
      <c r="E900" t="str">
        <f>IF($A900&lt;&gt;"",'Approved-Enforcement'!D900,"")</f>
        <v/>
      </c>
      <c r="F900" t="str">
        <f>IF($A900&lt;&gt;"",'Approved-Enforcement'!E900,"")</f>
        <v/>
      </c>
      <c r="G900" t="str">
        <f>IF($A900&lt;&gt;"",'Approved-Enforcement'!F900,"")</f>
        <v/>
      </c>
      <c r="H900" t="str">
        <f>IF($A900&lt;&gt;"",'Approved-Enforcement'!G900,"")</f>
        <v/>
      </c>
      <c r="I900" t="str">
        <f>IF($A900&lt;&gt;"",'Approved-Enforcement'!H900,"")</f>
        <v/>
      </c>
      <c r="J900" t="str">
        <f>IF($A900&lt;&gt;"",'Approved-Enforcement'!I900,"")</f>
        <v/>
      </c>
      <c r="K900" t="str">
        <f>IF($A900&lt;&gt;"",'Approved-Enforcement'!J900,"")</f>
        <v/>
      </c>
      <c r="L900" t="str">
        <f>IF($A900&lt;&gt;"",'Approved-Enforcement'!K900,"")</f>
        <v/>
      </c>
      <c r="M900" t="str">
        <f>IF($A900&lt;&gt;"",'Approved-Enforcement'!L900,"")</f>
        <v/>
      </c>
      <c r="N900" t="str">
        <f>IF($A900&lt;&gt;"",'Approved-Enforcement'!M900,"")</f>
        <v/>
      </c>
      <c r="O900" t="str">
        <f>IF($A900&lt;&gt;"",'Approved-Enforcement'!N900,"")</f>
        <v/>
      </c>
      <c r="P900" t="str">
        <f>IF($A900&lt;&gt;"",'Approved-Enforcement'!O900,"")</f>
        <v/>
      </c>
    </row>
    <row r="901" spans="1:16" x14ac:dyDescent="0.35">
      <c r="A901" s="4" t="str">
        <f>IF('Approved-Enforcement'!$A901&lt;&gt;"",'Approved-Enforcement'!A901,"")</f>
        <v/>
      </c>
      <c r="B901" t="str">
        <f t="shared" si="14"/>
        <v/>
      </c>
      <c r="D901" t="str">
        <f>IF($A901&lt;&gt;"",IF($R901&lt;&gt;"",$R901,'Approved-Enforcement'!$B901+7),"")</f>
        <v/>
      </c>
      <c r="E901" t="str">
        <f>IF($A901&lt;&gt;"",'Approved-Enforcement'!D901,"")</f>
        <v/>
      </c>
      <c r="F901" t="str">
        <f>IF($A901&lt;&gt;"",'Approved-Enforcement'!E901,"")</f>
        <v/>
      </c>
      <c r="G901" t="str">
        <f>IF($A901&lt;&gt;"",'Approved-Enforcement'!F901,"")</f>
        <v/>
      </c>
      <c r="H901" t="str">
        <f>IF($A901&lt;&gt;"",'Approved-Enforcement'!G901,"")</f>
        <v/>
      </c>
      <c r="I901" t="str">
        <f>IF($A901&lt;&gt;"",'Approved-Enforcement'!H901,"")</f>
        <v/>
      </c>
      <c r="J901" t="str">
        <f>IF($A901&lt;&gt;"",'Approved-Enforcement'!I901,"")</f>
        <v/>
      </c>
      <c r="K901" t="str">
        <f>IF($A901&lt;&gt;"",'Approved-Enforcement'!J901,"")</f>
        <v/>
      </c>
      <c r="L901" t="str">
        <f>IF($A901&lt;&gt;"",'Approved-Enforcement'!K901,"")</f>
        <v/>
      </c>
      <c r="M901" t="str">
        <f>IF($A901&lt;&gt;"",'Approved-Enforcement'!L901,"")</f>
        <v/>
      </c>
      <c r="N901" t="str">
        <f>IF($A901&lt;&gt;"",'Approved-Enforcement'!M901,"")</f>
        <v/>
      </c>
      <c r="O901" t="str">
        <f>IF($A901&lt;&gt;"",'Approved-Enforcement'!N901,"")</f>
        <v/>
      </c>
      <c r="P901" t="str">
        <f>IF($A901&lt;&gt;"",'Approved-Enforcement'!O901,"")</f>
        <v/>
      </c>
    </row>
    <row r="902" spans="1:16" x14ac:dyDescent="0.35">
      <c r="A902" s="4" t="str">
        <f>IF('Approved-Enforcement'!$A902&lt;&gt;"",'Approved-Enforcement'!A902,"")</f>
        <v/>
      </c>
      <c r="B902" t="str">
        <f t="shared" si="14"/>
        <v/>
      </c>
      <c r="D902" t="str">
        <f>IF($A902&lt;&gt;"",IF($R902&lt;&gt;"",$R902,'Approved-Enforcement'!$B902+7),"")</f>
        <v/>
      </c>
      <c r="E902" t="str">
        <f>IF($A902&lt;&gt;"",'Approved-Enforcement'!D902,"")</f>
        <v/>
      </c>
      <c r="F902" t="str">
        <f>IF($A902&lt;&gt;"",'Approved-Enforcement'!E902,"")</f>
        <v/>
      </c>
      <c r="G902" t="str">
        <f>IF($A902&lt;&gt;"",'Approved-Enforcement'!F902,"")</f>
        <v/>
      </c>
      <c r="H902" t="str">
        <f>IF($A902&lt;&gt;"",'Approved-Enforcement'!G902,"")</f>
        <v/>
      </c>
      <c r="I902" t="str">
        <f>IF($A902&lt;&gt;"",'Approved-Enforcement'!H902,"")</f>
        <v/>
      </c>
      <c r="J902" t="str">
        <f>IF($A902&lt;&gt;"",'Approved-Enforcement'!I902,"")</f>
        <v/>
      </c>
      <c r="K902" t="str">
        <f>IF($A902&lt;&gt;"",'Approved-Enforcement'!J902,"")</f>
        <v/>
      </c>
      <c r="L902" t="str">
        <f>IF($A902&lt;&gt;"",'Approved-Enforcement'!K902,"")</f>
        <v/>
      </c>
      <c r="M902" t="str">
        <f>IF($A902&lt;&gt;"",'Approved-Enforcement'!L902,"")</f>
        <v/>
      </c>
      <c r="N902" t="str">
        <f>IF($A902&lt;&gt;"",'Approved-Enforcement'!M902,"")</f>
        <v/>
      </c>
      <c r="O902" t="str">
        <f>IF($A902&lt;&gt;"",'Approved-Enforcement'!N902,"")</f>
        <v/>
      </c>
      <c r="P902" t="str">
        <f>IF($A902&lt;&gt;"",'Approved-Enforcement'!O902,"")</f>
        <v/>
      </c>
    </row>
    <row r="903" spans="1:16" x14ac:dyDescent="0.35">
      <c r="A903" s="4" t="str">
        <f>IF('Approved-Enforcement'!$A903&lt;&gt;"",'Approved-Enforcement'!A903,"")</f>
        <v/>
      </c>
      <c r="B903" t="str">
        <f t="shared" si="14"/>
        <v/>
      </c>
      <c r="D903" t="str">
        <f>IF($A903&lt;&gt;"",IF($R903&lt;&gt;"",$R903,'Approved-Enforcement'!$B903+7),"")</f>
        <v/>
      </c>
      <c r="E903" t="str">
        <f>IF($A903&lt;&gt;"",'Approved-Enforcement'!D903,"")</f>
        <v/>
      </c>
      <c r="F903" t="str">
        <f>IF($A903&lt;&gt;"",'Approved-Enforcement'!E903,"")</f>
        <v/>
      </c>
      <c r="G903" t="str">
        <f>IF($A903&lt;&gt;"",'Approved-Enforcement'!F903,"")</f>
        <v/>
      </c>
      <c r="H903" t="str">
        <f>IF($A903&lt;&gt;"",'Approved-Enforcement'!G903,"")</f>
        <v/>
      </c>
      <c r="I903" t="str">
        <f>IF($A903&lt;&gt;"",'Approved-Enforcement'!H903,"")</f>
        <v/>
      </c>
      <c r="J903" t="str">
        <f>IF($A903&lt;&gt;"",'Approved-Enforcement'!I903,"")</f>
        <v/>
      </c>
      <c r="K903" t="str">
        <f>IF($A903&lt;&gt;"",'Approved-Enforcement'!J903,"")</f>
        <v/>
      </c>
      <c r="L903" t="str">
        <f>IF($A903&lt;&gt;"",'Approved-Enforcement'!K903,"")</f>
        <v/>
      </c>
      <c r="M903" t="str">
        <f>IF($A903&lt;&gt;"",'Approved-Enforcement'!L903,"")</f>
        <v/>
      </c>
      <c r="N903" t="str">
        <f>IF($A903&lt;&gt;"",'Approved-Enforcement'!M903,"")</f>
        <v/>
      </c>
      <c r="O903" t="str">
        <f>IF($A903&lt;&gt;"",'Approved-Enforcement'!N903,"")</f>
        <v/>
      </c>
      <c r="P903" t="str">
        <f>IF($A903&lt;&gt;"",'Approved-Enforcement'!O903,"")</f>
        <v/>
      </c>
    </row>
    <row r="904" spans="1:16" x14ac:dyDescent="0.35">
      <c r="A904" s="4" t="str">
        <f>IF('Approved-Enforcement'!$A904&lt;&gt;"",'Approved-Enforcement'!A904,"")</f>
        <v/>
      </c>
      <c r="B904" t="str">
        <f t="shared" si="14"/>
        <v/>
      </c>
      <c r="D904" t="str">
        <f>IF($A904&lt;&gt;"",IF($R904&lt;&gt;"",$R904,'Approved-Enforcement'!$B904+7),"")</f>
        <v/>
      </c>
      <c r="E904" t="str">
        <f>IF($A904&lt;&gt;"",'Approved-Enforcement'!D904,"")</f>
        <v/>
      </c>
      <c r="F904" t="str">
        <f>IF($A904&lt;&gt;"",'Approved-Enforcement'!E904,"")</f>
        <v/>
      </c>
      <c r="G904" t="str">
        <f>IF($A904&lt;&gt;"",'Approved-Enforcement'!F904,"")</f>
        <v/>
      </c>
      <c r="H904" t="str">
        <f>IF($A904&lt;&gt;"",'Approved-Enforcement'!G904,"")</f>
        <v/>
      </c>
      <c r="I904" t="str">
        <f>IF($A904&lt;&gt;"",'Approved-Enforcement'!H904,"")</f>
        <v/>
      </c>
      <c r="J904" t="str">
        <f>IF($A904&lt;&gt;"",'Approved-Enforcement'!I904,"")</f>
        <v/>
      </c>
      <c r="K904" t="str">
        <f>IF($A904&lt;&gt;"",'Approved-Enforcement'!J904,"")</f>
        <v/>
      </c>
      <c r="L904" t="str">
        <f>IF($A904&lt;&gt;"",'Approved-Enforcement'!K904,"")</f>
        <v/>
      </c>
      <c r="M904" t="str">
        <f>IF($A904&lt;&gt;"",'Approved-Enforcement'!L904,"")</f>
        <v/>
      </c>
      <c r="N904" t="str">
        <f>IF($A904&lt;&gt;"",'Approved-Enforcement'!M904,"")</f>
        <v/>
      </c>
      <c r="O904" t="str">
        <f>IF($A904&lt;&gt;"",'Approved-Enforcement'!N904,"")</f>
        <v/>
      </c>
      <c r="P904" t="str">
        <f>IF($A904&lt;&gt;"",'Approved-Enforcement'!O904,"")</f>
        <v/>
      </c>
    </row>
    <row r="905" spans="1:16" x14ac:dyDescent="0.35">
      <c r="A905" s="4" t="str">
        <f>IF('Approved-Enforcement'!$A905&lt;&gt;"",'Approved-Enforcement'!A905,"")</f>
        <v/>
      </c>
      <c r="B905" t="str">
        <f t="shared" si="14"/>
        <v/>
      </c>
      <c r="D905" t="str">
        <f>IF($A905&lt;&gt;"",IF($R905&lt;&gt;"",$R905,'Approved-Enforcement'!$B905+7),"")</f>
        <v/>
      </c>
      <c r="E905" t="str">
        <f>IF($A905&lt;&gt;"",'Approved-Enforcement'!D905,"")</f>
        <v/>
      </c>
      <c r="F905" t="str">
        <f>IF($A905&lt;&gt;"",'Approved-Enforcement'!E905,"")</f>
        <v/>
      </c>
      <c r="G905" t="str">
        <f>IF($A905&lt;&gt;"",'Approved-Enforcement'!F905,"")</f>
        <v/>
      </c>
      <c r="H905" t="str">
        <f>IF($A905&lt;&gt;"",'Approved-Enforcement'!G905,"")</f>
        <v/>
      </c>
      <c r="I905" t="str">
        <f>IF($A905&lt;&gt;"",'Approved-Enforcement'!H905,"")</f>
        <v/>
      </c>
      <c r="J905" t="str">
        <f>IF($A905&lt;&gt;"",'Approved-Enforcement'!I905,"")</f>
        <v/>
      </c>
      <c r="K905" t="str">
        <f>IF($A905&lt;&gt;"",'Approved-Enforcement'!J905,"")</f>
        <v/>
      </c>
      <c r="L905" t="str">
        <f>IF($A905&lt;&gt;"",'Approved-Enforcement'!K905,"")</f>
        <v/>
      </c>
      <c r="M905" t="str">
        <f>IF($A905&lt;&gt;"",'Approved-Enforcement'!L905,"")</f>
        <v/>
      </c>
      <c r="N905" t="str">
        <f>IF($A905&lt;&gt;"",'Approved-Enforcement'!M905,"")</f>
        <v/>
      </c>
      <c r="O905" t="str">
        <f>IF($A905&lt;&gt;"",'Approved-Enforcement'!N905,"")</f>
        <v/>
      </c>
      <c r="P905" t="str">
        <f>IF($A905&lt;&gt;"",'Approved-Enforcement'!O905,"")</f>
        <v/>
      </c>
    </row>
    <row r="906" spans="1:16" x14ac:dyDescent="0.35">
      <c r="A906" s="4" t="str">
        <f>IF('Approved-Enforcement'!$A906&lt;&gt;"",'Approved-Enforcement'!A906,"")</f>
        <v/>
      </c>
      <c r="B906" t="str">
        <f t="shared" si="14"/>
        <v/>
      </c>
      <c r="D906" t="str">
        <f>IF($A906&lt;&gt;"",IF($R906&lt;&gt;"",$R906,'Approved-Enforcement'!$B906+7),"")</f>
        <v/>
      </c>
      <c r="E906" t="str">
        <f>IF($A906&lt;&gt;"",'Approved-Enforcement'!D906,"")</f>
        <v/>
      </c>
      <c r="F906" t="str">
        <f>IF($A906&lt;&gt;"",'Approved-Enforcement'!E906,"")</f>
        <v/>
      </c>
      <c r="G906" t="str">
        <f>IF($A906&lt;&gt;"",'Approved-Enforcement'!F906,"")</f>
        <v/>
      </c>
      <c r="H906" t="str">
        <f>IF($A906&lt;&gt;"",'Approved-Enforcement'!G906,"")</f>
        <v/>
      </c>
      <c r="I906" t="str">
        <f>IF($A906&lt;&gt;"",'Approved-Enforcement'!H906,"")</f>
        <v/>
      </c>
      <c r="J906" t="str">
        <f>IF($A906&lt;&gt;"",'Approved-Enforcement'!I906,"")</f>
        <v/>
      </c>
      <c r="K906" t="str">
        <f>IF($A906&lt;&gt;"",'Approved-Enforcement'!J906,"")</f>
        <v/>
      </c>
      <c r="L906" t="str">
        <f>IF($A906&lt;&gt;"",'Approved-Enforcement'!K906,"")</f>
        <v/>
      </c>
      <c r="M906" t="str">
        <f>IF($A906&lt;&gt;"",'Approved-Enforcement'!L906,"")</f>
        <v/>
      </c>
      <c r="N906" t="str">
        <f>IF($A906&lt;&gt;"",'Approved-Enforcement'!M906,"")</f>
        <v/>
      </c>
      <c r="O906" t="str">
        <f>IF($A906&lt;&gt;"",'Approved-Enforcement'!N906,"")</f>
        <v/>
      </c>
      <c r="P906" t="str">
        <f>IF($A906&lt;&gt;"",'Approved-Enforcement'!O906,"")</f>
        <v/>
      </c>
    </row>
    <row r="907" spans="1:16" x14ac:dyDescent="0.35">
      <c r="A907" s="4" t="str">
        <f>IF('Approved-Enforcement'!$A907&lt;&gt;"",'Approved-Enforcement'!A907,"")</f>
        <v/>
      </c>
      <c r="B907" t="str">
        <f t="shared" si="14"/>
        <v/>
      </c>
      <c r="D907" t="str">
        <f>IF($A907&lt;&gt;"",IF($R907&lt;&gt;"",$R907,'Approved-Enforcement'!$B907+7),"")</f>
        <v/>
      </c>
      <c r="E907" t="str">
        <f>IF($A907&lt;&gt;"",'Approved-Enforcement'!D907,"")</f>
        <v/>
      </c>
      <c r="F907" t="str">
        <f>IF($A907&lt;&gt;"",'Approved-Enforcement'!E907,"")</f>
        <v/>
      </c>
      <c r="G907" t="str">
        <f>IF($A907&lt;&gt;"",'Approved-Enforcement'!F907,"")</f>
        <v/>
      </c>
      <c r="H907" t="str">
        <f>IF($A907&lt;&gt;"",'Approved-Enforcement'!G907,"")</f>
        <v/>
      </c>
      <c r="I907" t="str">
        <f>IF($A907&lt;&gt;"",'Approved-Enforcement'!H907,"")</f>
        <v/>
      </c>
      <c r="J907" t="str">
        <f>IF($A907&lt;&gt;"",'Approved-Enforcement'!I907,"")</f>
        <v/>
      </c>
      <c r="K907" t="str">
        <f>IF($A907&lt;&gt;"",'Approved-Enforcement'!J907,"")</f>
        <v/>
      </c>
      <c r="L907" t="str">
        <f>IF($A907&lt;&gt;"",'Approved-Enforcement'!K907,"")</f>
        <v/>
      </c>
      <c r="M907" t="str">
        <f>IF($A907&lt;&gt;"",'Approved-Enforcement'!L907,"")</f>
        <v/>
      </c>
      <c r="N907" t="str">
        <f>IF($A907&lt;&gt;"",'Approved-Enforcement'!M907,"")</f>
        <v/>
      </c>
      <c r="O907" t="str">
        <f>IF($A907&lt;&gt;"",'Approved-Enforcement'!N907,"")</f>
        <v/>
      </c>
      <c r="P907" t="str">
        <f>IF($A907&lt;&gt;"",'Approved-Enforcement'!O907,"")</f>
        <v/>
      </c>
    </row>
    <row r="908" spans="1:16" x14ac:dyDescent="0.35">
      <c r="A908" s="4" t="str">
        <f>IF('Approved-Enforcement'!$A908&lt;&gt;"",'Approved-Enforcement'!A908,"")</f>
        <v/>
      </c>
      <c r="B908" t="str">
        <f t="shared" si="14"/>
        <v/>
      </c>
      <c r="D908" t="str">
        <f>IF($A908&lt;&gt;"",IF($R908&lt;&gt;"",$R908,'Approved-Enforcement'!$B908+7),"")</f>
        <v/>
      </c>
      <c r="E908" t="str">
        <f>IF($A908&lt;&gt;"",'Approved-Enforcement'!D908,"")</f>
        <v/>
      </c>
      <c r="F908" t="str">
        <f>IF($A908&lt;&gt;"",'Approved-Enforcement'!E908,"")</f>
        <v/>
      </c>
      <c r="G908" t="str">
        <f>IF($A908&lt;&gt;"",'Approved-Enforcement'!F908,"")</f>
        <v/>
      </c>
      <c r="H908" t="str">
        <f>IF($A908&lt;&gt;"",'Approved-Enforcement'!G908,"")</f>
        <v/>
      </c>
      <c r="I908" t="str">
        <f>IF($A908&lt;&gt;"",'Approved-Enforcement'!H908,"")</f>
        <v/>
      </c>
      <c r="J908" t="str">
        <f>IF($A908&lt;&gt;"",'Approved-Enforcement'!I908,"")</f>
        <v/>
      </c>
      <c r="K908" t="str">
        <f>IF($A908&lt;&gt;"",'Approved-Enforcement'!J908,"")</f>
        <v/>
      </c>
      <c r="L908" t="str">
        <f>IF($A908&lt;&gt;"",'Approved-Enforcement'!K908,"")</f>
        <v/>
      </c>
      <c r="M908" t="str">
        <f>IF($A908&lt;&gt;"",'Approved-Enforcement'!L908,"")</f>
        <v/>
      </c>
      <c r="N908" t="str">
        <f>IF($A908&lt;&gt;"",'Approved-Enforcement'!M908,"")</f>
        <v/>
      </c>
      <c r="O908" t="str">
        <f>IF($A908&lt;&gt;"",'Approved-Enforcement'!N908,"")</f>
        <v/>
      </c>
      <c r="P908" t="str">
        <f>IF($A908&lt;&gt;"",'Approved-Enforcement'!O908,"")</f>
        <v/>
      </c>
    </row>
    <row r="909" spans="1:16" x14ac:dyDescent="0.35">
      <c r="A909" s="4" t="str">
        <f>IF('Approved-Enforcement'!$A909&lt;&gt;"",'Approved-Enforcement'!A909,"")</f>
        <v/>
      </c>
      <c r="B909" t="str">
        <f t="shared" si="14"/>
        <v/>
      </c>
      <c r="D909" t="str">
        <f>IF($A909&lt;&gt;"",IF($R909&lt;&gt;"",$R909,'Approved-Enforcement'!$B909+7),"")</f>
        <v/>
      </c>
      <c r="E909" t="str">
        <f>IF($A909&lt;&gt;"",'Approved-Enforcement'!D909,"")</f>
        <v/>
      </c>
      <c r="F909" t="str">
        <f>IF($A909&lt;&gt;"",'Approved-Enforcement'!E909,"")</f>
        <v/>
      </c>
      <c r="G909" t="str">
        <f>IF($A909&lt;&gt;"",'Approved-Enforcement'!F909,"")</f>
        <v/>
      </c>
      <c r="H909" t="str">
        <f>IF($A909&lt;&gt;"",'Approved-Enforcement'!G909,"")</f>
        <v/>
      </c>
      <c r="I909" t="str">
        <f>IF($A909&lt;&gt;"",'Approved-Enforcement'!H909,"")</f>
        <v/>
      </c>
      <c r="J909" t="str">
        <f>IF($A909&lt;&gt;"",'Approved-Enforcement'!I909,"")</f>
        <v/>
      </c>
      <c r="K909" t="str">
        <f>IF($A909&lt;&gt;"",'Approved-Enforcement'!J909,"")</f>
        <v/>
      </c>
      <c r="L909" t="str">
        <f>IF($A909&lt;&gt;"",'Approved-Enforcement'!K909,"")</f>
        <v/>
      </c>
      <c r="M909" t="str">
        <f>IF($A909&lt;&gt;"",'Approved-Enforcement'!L909,"")</f>
        <v/>
      </c>
      <c r="N909" t="str">
        <f>IF($A909&lt;&gt;"",'Approved-Enforcement'!M909,"")</f>
        <v/>
      </c>
      <c r="O909" t="str">
        <f>IF($A909&lt;&gt;"",'Approved-Enforcement'!N909,"")</f>
        <v/>
      </c>
      <c r="P909" t="str">
        <f>IF($A909&lt;&gt;"",'Approved-Enforcement'!O909,"")</f>
        <v/>
      </c>
    </row>
    <row r="910" spans="1:16" x14ac:dyDescent="0.35">
      <c r="A910" s="4" t="str">
        <f>IF('Approved-Enforcement'!$A910&lt;&gt;"",'Approved-Enforcement'!A910,"")</f>
        <v/>
      </c>
      <c r="B910" t="str">
        <f t="shared" si="14"/>
        <v/>
      </c>
      <c r="D910" t="str">
        <f>IF($A910&lt;&gt;"",IF($R910&lt;&gt;"",$R910,'Approved-Enforcement'!$B910+7),"")</f>
        <v/>
      </c>
      <c r="E910" t="str">
        <f>IF($A910&lt;&gt;"",'Approved-Enforcement'!D910,"")</f>
        <v/>
      </c>
      <c r="F910" t="str">
        <f>IF($A910&lt;&gt;"",'Approved-Enforcement'!E910,"")</f>
        <v/>
      </c>
      <c r="G910" t="str">
        <f>IF($A910&lt;&gt;"",'Approved-Enforcement'!F910,"")</f>
        <v/>
      </c>
      <c r="H910" t="str">
        <f>IF($A910&lt;&gt;"",'Approved-Enforcement'!G910,"")</f>
        <v/>
      </c>
      <c r="I910" t="str">
        <f>IF($A910&lt;&gt;"",'Approved-Enforcement'!H910,"")</f>
        <v/>
      </c>
      <c r="J910" t="str">
        <f>IF($A910&lt;&gt;"",'Approved-Enforcement'!I910,"")</f>
        <v/>
      </c>
      <c r="K910" t="str">
        <f>IF($A910&lt;&gt;"",'Approved-Enforcement'!J910,"")</f>
        <v/>
      </c>
      <c r="L910" t="str">
        <f>IF($A910&lt;&gt;"",'Approved-Enforcement'!K910,"")</f>
        <v/>
      </c>
      <c r="M910" t="str">
        <f>IF($A910&lt;&gt;"",'Approved-Enforcement'!L910,"")</f>
        <v/>
      </c>
      <c r="N910" t="str">
        <f>IF($A910&lt;&gt;"",'Approved-Enforcement'!M910,"")</f>
        <v/>
      </c>
      <c r="O910" t="str">
        <f>IF($A910&lt;&gt;"",'Approved-Enforcement'!N910,"")</f>
        <v/>
      </c>
      <c r="P910" t="str">
        <f>IF($A910&lt;&gt;"",'Approved-Enforcement'!O910,"")</f>
        <v/>
      </c>
    </row>
    <row r="911" spans="1:16" x14ac:dyDescent="0.35">
      <c r="A911" s="4" t="str">
        <f>IF('Approved-Enforcement'!$A911&lt;&gt;"",'Approved-Enforcement'!A911,"")</f>
        <v/>
      </c>
      <c r="B911" t="str">
        <f t="shared" si="14"/>
        <v/>
      </c>
      <c r="D911" t="str">
        <f>IF($A911&lt;&gt;"",IF($R911&lt;&gt;"",$R911,'Approved-Enforcement'!$B911+7),"")</f>
        <v/>
      </c>
      <c r="E911" t="str">
        <f>IF($A911&lt;&gt;"",'Approved-Enforcement'!D911,"")</f>
        <v/>
      </c>
      <c r="F911" t="str">
        <f>IF($A911&lt;&gt;"",'Approved-Enforcement'!E911,"")</f>
        <v/>
      </c>
      <c r="G911" t="str">
        <f>IF($A911&lt;&gt;"",'Approved-Enforcement'!F911,"")</f>
        <v/>
      </c>
      <c r="H911" t="str">
        <f>IF($A911&lt;&gt;"",'Approved-Enforcement'!G911,"")</f>
        <v/>
      </c>
      <c r="I911" t="str">
        <f>IF($A911&lt;&gt;"",'Approved-Enforcement'!H911,"")</f>
        <v/>
      </c>
      <c r="J911" t="str">
        <f>IF($A911&lt;&gt;"",'Approved-Enforcement'!I911,"")</f>
        <v/>
      </c>
      <c r="K911" t="str">
        <f>IF($A911&lt;&gt;"",'Approved-Enforcement'!J911,"")</f>
        <v/>
      </c>
      <c r="L911" t="str">
        <f>IF($A911&lt;&gt;"",'Approved-Enforcement'!K911,"")</f>
        <v/>
      </c>
      <c r="M911" t="str">
        <f>IF($A911&lt;&gt;"",'Approved-Enforcement'!L911,"")</f>
        <v/>
      </c>
      <c r="N911" t="str">
        <f>IF($A911&lt;&gt;"",'Approved-Enforcement'!M911,"")</f>
        <v/>
      </c>
      <c r="O911" t="str">
        <f>IF($A911&lt;&gt;"",'Approved-Enforcement'!N911,"")</f>
        <v/>
      </c>
      <c r="P911" t="str">
        <f>IF($A911&lt;&gt;"",'Approved-Enforcement'!O911,"")</f>
        <v/>
      </c>
    </row>
    <row r="912" spans="1:16" x14ac:dyDescent="0.35">
      <c r="A912" s="4" t="str">
        <f>IF('Approved-Enforcement'!$A912&lt;&gt;"",'Approved-Enforcement'!A912,"")</f>
        <v/>
      </c>
      <c r="B912" t="str">
        <f t="shared" si="14"/>
        <v/>
      </c>
      <c r="D912" t="str">
        <f>IF($A912&lt;&gt;"",IF($R912&lt;&gt;"",$R912,'Approved-Enforcement'!$B912+7),"")</f>
        <v/>
      </c>
      <c r="E912" t="str">
        <f>IF($A912&lt;&gt;"",'Approved-Enforcement'!D912,"")</f>
        <v/>
      </c>
      <c r="F912" t="str">
        <f>IF($A912&lt;&gt;"",'Approved-Enforcement'!E912,"")</f>
        <v/>
      </c>
      <c r="G912" t="str">
        <f>IF($A912&lt;&gt;"",'Approved-Enforcement'!F912,"")</f>
        <v/>
      </c>
      <c r="H912" t="str">
        <f>IF($A912&lt;&gt;"",'Approved-Enforcement'!G912,"")</f>
        <v/>
      </c>
      <c r="I912" t="str">
        <f>IF($A912&lt;&gt;"",'Approved-Enforcement'!H912,"")</f>
        <v/>
      </c>
      <c r="J912" t="str">
        <f>IF($A912&lt;&gt;"",'Approved-Enforcement'!I912,"")</f>
        <v/>
      </c>
      <c r="K912" t="str">
        <f>IF($A912&lt;&gt;"",'Approved-Enforcement'!J912,"")</f>
        <v/>
      </c>
      <c r="L912" t="str">
        <f>IF($A912&lt;&gt;"",'Approved-Enforcement'!K912,"")</f>
        <v/>
      </c>
      <c r="M912" t="str">
        <f>IF($A912&lt;&gt;"",'Approved-Enforcement'!L912,"")</f>
        <v/>
      </c>
      <c r="N912" t="str">
        <f>IF($A912&lt;&gt;"",'Approved-Enforcement'!M912,"")</f>
        <v/>
      </c>
      <c r="O912" t="str">
        <f>IF($A912&lt;&gt;"",'Approved-Enforcement'!N912,"")</f>
        <v/>
      </c>
      <c r="P912" t="str">
        <f>IF($A912&lt;&gt;"",'Approved-Enforcement'!O912,"")</f>
        <v/>
      </c>
    </row>
    <row r="913" spans="1:16" x14ac:dyDescent="0.35">
      <c r="A913" s="4" t="str">
        <f>IF('Approved-Enforcement'!$A913&lt;&gt;"",'Approved-Enforcement'!A913,"")</f>
        <v/>
      </c>
      <c r="B913" t="str">
        <f t="shared" si="14"/>
        <v/>
      </c>
      <c r="D913" t="str">
        <f>IF($A913&lt;&gt;"",IF($R913&lt;&gt;"",$R913,'Approved-Enforcement'!$B913+7),"")</f>
        <v/>
      </c>
      <c r="E913" t="str">
        <f>IF($A913&lt;&gt;"",'Approved-Enforcement'!D913,"")</f>
        <v/>
      </c>
      <c r="F913" t="str">
        <f>IF($A913&lt;&gt;"",'Approved-Enforcement'!E913,"")</f>
        <v/>
      </c>
      <c r="G913" t="str">
        <f>IF($A913&lt;&gt;"",'Approved-Enforcement'!F913,"")</f>
        <v/>
      </c>
      <c r="H913" t="str">
        <f>IF($A913&lt;&gt;"",'Approved-Enforcement'!G913,"")</f>
        <v/>
      </c>
      <c r="I913" t="str">
        <f>IF($A913&lt;&gt;"",'Approved-Enforcement'!H913,"")</f>
        <v/>
      </c>
      <c r="J913" t="str">
        <f>IF($A913&lt;&gt;"",'Approved-Enforcement'!I913,"")</f>
        <v/>
      </c>
      <c r="K913" t="str">
        <f>IF($A913&lt;&gt;"",'Approved-Enforcement'!J913,"")</f>
        <v/>
      </c>
      <c r="L913" t="str">
        <f>IF($A913&lt;&gt;"",'Approved-Enforcement'!K913,"")</f>
        <v/>
      </c>
      <c r="M913" t="str">
        <f>IF($A913&lt;&gt;"",'Approved-Enforcement'!L913,"")</f>
        <v/>
      </c>
      <c r="N913" t="str">
        <f>IF($A913&lt;&gt;"",'Approved-Enforcement'!M913,"")</f>
        <v/>
      </c>
      <c r="O913" t="str">
        <f>IF($A913&lt;&gt;"",'Approved-Enforcement'!N913,"")</f>
        <v/>
      </c>
      <c r="P913" t="str">
        <f>IF($A913&lt;&gt;"",'Approved-Enforcement'!O913,"")</f>
        <v/>
      </c>
    </row>
    <row r="914" spans="1:16" x14ac:dyDescent="0.35">
      <c r="A914" s="4" t="str">
        <f>IF('Approved-Enforcement'!$A914&lt;&gt;"",'Approved-Enforcement'!A914,"")</f>
        <v/>
      </c>
      <c r="B914" t="str">
        <f t="shared" si="14"/>
        <v/>
      </c>
      <c r="D914" t="str">
        <f>IF($A914&lt;&gt;"",IF($R914&lt;&gt;"",$R914,'Approved-Enforcement'!$B914+7),"")</f>
        <v/>
      </c>
      <c r="E914" t="str">
        <f>IF($A914&lt;&gt;"",'Approved-Enforcement'!D914,"")</f>
        <v/>
      </c>
      <c r="F914" t="str">
        <f>IF($A914&lt;&gt;"",'Approved-Enforcement'!E914,"")</f>
        <v/>
      </c>
      <c r="G914" t="str">
        <f>IF($A914&lt;&gt;"",'Approved-Enforcement'!F914,"")</f>
        <v/>
      </c>
      <c r="H914" t="str">
        <f>IF($A914&lt;&gt;"",'Approved-Enforcement'!G914,"")</f>
        <v/>
      </c>
      <c r="I914" t="str">
        <f>IF($A914&lt;&gt;"",'Approved-Enforcement'!H914,"")</f>
        <v/>
      </c>
      <c r="J914" t="str">
        <f>IF($A914&lt;&gt;"",'Approved-Enforcement'!I914,"")</f>
        <v/>
      </c>
      <c r="K914" t="str">
        <f>IF($A914&lt;&gt;"",'Approved-Enforcement'!J914,"")</f>
        <v/>
      </c>
      <c r="L914" t="str">
        <f>IF($A914&lt;&gt;"",'Approved-Enforcement'!K914,"")</f>
        <v/>
      </c>
      <c r="M914" t="str">
        <f>IF($A914&lt;&gt;"",'Approved-Enforcement'!L914,"")</f>
        <v/>
      </c>
      <c r="N914" t="str">
        <f>IF($A914&lt;&gt;"",'Approved-Enforcement'!M914,"")</f>
        <v/>
      </c>
      <c r="O914" t="str">
        <f>IF($A914&lt;&gt;"",'Approved-Enforcement'!N914,"")</f>
        <v/>
      </c>
      <c r="P914" t="str">
        <f>IF($A914&lt;&gt;"",'Approved-Enforcement'!O914,"")</f>
        <v/>
      </c>
    </row>
    <row r="915" spans="1:16" x14ac:dyDescent="0.35">
      <c r="A915" s="4" t="str">
        <f>IF('Approved-Enforcement'!$A915&lt;&gt;"",'Approved-Enforcement'!A915,"")</f>
        <v/>
      </c>
      <c r="B915" t="str">
        <f t="shared" si="14"/>
        <v/>
      </c>
      <c r="D915" t="str">
        <f>IF($A915&lt;&gt;"",IF($R915&lt;&gt;"",$R915,'Approved-Enforcement'!$B915+7),"")</f>
        <v/>
      </c>
      <c r="E915" t="str">
        <f>IF($A915&lt;&gt;"",'Approved-Enforcement'!D915,"")</f>
        <v/>
      </c>
      <c r="F915" t="str">
        <f>IF($A915&lt;&gt;"",'Approved-Enforcement'!E915,"")</f>
        <v/>
      </c>
      <c r="G915" t="str">
        <f>IF($A915&lt;&gt;"",'Approved-Enforcement'!F915,"")</f>
        <v/>
      </c>
      <c r="H915" t="str">
        <f>IF($A915&lt;&gt;"",'Approved-Enforcement'!G915,"")</f>
        <v/>
      </c>
      <c r="I915" t="str">
        <f>IF($A915&lt;&gt;"",'Approved-Enforcement'!H915,"")</f>
        <v/>
      </c>
      <c r="J915" t="str">
        <f>IF($A915&lt;&gt;"",'Approved-Enforcement'!I915,"")</f>
        <v/>
      </c>
      <c r="K915" t="str">
        <f>IF($A915&lt;&gt;"",'Approved-Enforcement'!J915,"")</f>
        <v/>
      </c>
      <c r="L915" t="str">
        <f>IF($A915&lt;&gt;"",'Approved-Enforcement'!K915,"")</f>
        <v/>
      </c>
      <c r="M915" t="str">
        <f>IF($A915&lt;&gt;"",'Approved-Enforcement'!L915,"")</f>
        <v/>
      </c>
      <c r="N915" t="str">
        <f>IF($A915&lt;&gt;"",'Approved-Enforcement'!M915,"")</f>
        <v/>
      </c>
      <c r="O915" t="str">
        <f>IF($A915&lt;&gt;"",'Approved-Enforcement'!N915,"")</f>
        <v/>
      </c>
      <c r="P915" t="str">
        <f>IF($A915&lt;&gt;"",'Approved-Enforcement'!O915,"")</f>
        <v/>
      </c>
    </row>
    <row r="916" spans="1:16" x14ac:dyDescent="0.35">
      <c r="A916" s="4" t="str">
        <f>IF('Approved-Enforcement'!$A916&lt;&gt;"",'Approved-Enforcement'!A916,"")</f>
        <v/>
      </c>
      <c r="B916" t="str">
        <f t="shared" si="14"/>
        <v/>
      </c>
      <c r="D916" t="str">
        <f>IF($A916&lt;&gt;"",IF($R916&lt;&gt;"",$R916,'Approved-Enforcement'!$B916+7),"")</f>
        <v/>
      </c>
      <c r="E916" t="str">
        <f>IF($A916&lt;&gt;"",'Approved-Enforcement'!D916,"")</f>
        <v/>
      </c>
      <c r="F916" t="str">
        <f>IF($A916&lt;&gt;"",'Approved-Enforcement'!E916,"")</f>
        <v/>
      </c>
      <c r="G916" t="str">
        <f>IF($A916&lt;&gt;"",'Approved-Enforcement'!F916,"")</f>
        <v/>
      </c>
      <c r="H916" t="str">
        <f>IF($A916&lt;&gt;"",'Approved-Enforcement'!G916,"")</f>
        <v/>
      </c>
      <c r="I916" t="str">
        <f>IF($A916&lt;&gt;"",'Approved-Enforcement'!H916,"")</f>
        <v/>
      </c>
      <c r="J916" t="str">
        <f>IF($A916&lt;&gt;"",'Approved-Enforcement'!I916,"")</f>
        <v/>
      </c>
      <c r="K916" t="str">
        <f>IF($A916&lt;&gt;"",'Approved-Enforcement'!J916,"")</f>
        <v/>
      </c>
      <c r="L916" t="str">
        <f>IF($A916&lt;&gt;"",'Approved-Enforcement'!K916,"")</f>
        <v/>
      </c>
      <c r="M916" t="str">
        <f>IF($A916&lt;&gt;"",'Approved-Enforcement'!L916,"")</f>
        <v/>
      </c>
      <c r="N916" t="str">
        <f>IF($A916&lt;&gt;"",'Approved-Enforcement'!M916,"")</f>
        <v/>
      </c>
      <c r="O916" t="str">
        <f>IF($A916&lt;&gt;"",'Approved-Enforcement'!N916,"")</f>
        <v/>
      </c>
      <c r="P916" t="str">
        <f>IF($A916&lt;&gt;"",'Approved-Enforcement'!O916,"")</f>
        <v/>
      </c>
    </row>
    <row r="917" spans="1:16" x14ac:dyDescent="0.35">
      <c r="A917" s="4" t="str">
        <f>IF('Approved-Enforcement'!$A917&lt;&gt;"",'Approved-Enforcement'!A917,"")</f>
        <v/>
      </c>
      <c r="B917" t="str">
        <f t="shared" si="14"/>
        <v/>
      </c>
      <c r="D917" t="str">
        <f>IF($A917&lt;&gt;"",IF($R917&lt;&gt;"",$R917,'Approved-Enforcement'!$B917+7),"")</f>
        <v/>
      </c>
      <c r="E917" t="str">
        <f>IF($A917&lt;&gt;"",'Approved-Enforcement'!D917,"")</f>
        <v/>
      </c>
      <c r="F917" t="str">
        <f>IF($A917&lt;&gt;"",'Approved-Enforcement'!E917,"")</f>
        <v/>
      </c>
      <c r="G917" t="str">
        <f>IF($A917&lt;&gt;"",'Approved-Enforcement'!F917,"")</f>
        <v/>
      </c>
      <c r="H917" t="str">
        <f>IF($A917&lt;&gt;"",'Approved-Enforcement'!G917,"")</f>
        <v/>
      </c>
      <c r="I917" t="str">
        <f>IF($A917&lt;&gt;"",'Approved-Enforcement'!H917,"")</f>
        <v/>
      </c>
      <c r="J917" t="str">
        <f>IF($A917&lt;&gt;"",'Approved-Enforcement'!I917,"")</f>
        <v/>
      </c>
      <c r="K917" t="str">
        <f>IF($A917&lt;&gt;"",'Approved-Enforcement'!J917,"")</f>
        <v/>
      </c>
      <c r="L917" t="str">
        <f>IF($A917&lt;&gt;"",'Approved-Enforcement'!K917,"")</f>
        <v/>
      </c>
      <c r="M917" t="str">
        <f>IF($A917&lt;&gt;"",'Approved-Enforcement'!L917,"")</f>
        <v/>
      </c>
      <c r="N917" t="str">
        <f>IF($A917&lt;&gt;"",'Approved-Enforcement'!M917,"")</f>
        <v/>
      </c>
      <c r="O917" t="str">
        <f>IF($A917&lt;&gt;"",'Approved-Enforcement'!N917,"")</f>
        <v/>
      </c>
      <c r="P917" t="str">
        <f>IF($A917&lt;&gt;"",'Approved-Enforcement'!O917,"")</f>
        <v/>
      </c>
    </row>
    <row r="918" spans="1:16" x14ac:dyDescent="0.35">
      <c r="A918" s="4" t="str">
        <f>IF('Approved-Enforcement'!$A918&lt;&gt;"",'Approved-Enforcement'!A918,"")</f>
        <v/>
      </c>
      <c r="B918" t="str">
        <f t="shared" si="14"/>
        <v/>
      </c>
      <c r="D918" t="str">
        <f>IF($A918&lt;&gt;"",IF($R918&lt;&gt;"",$R918,'Approved-Enforcement'!$B918+7),"")</f>
        <v/>
      </c>
      <c r="E918" t="str">
        <f>IF($A918&lt;&gt;"",'Approved-Enforcement'!D918,"")</f>
        <v/>
      </c>
      <c r="F918" t="str">
        <f>IF($A918&lt;&gt;"",'Approved-Enforcement'!E918,"")</f>
        <v/>
      </c>
      <c r="G918" t="str">
        <f>IF($A918&lt;&gt;"",'Approved-Enforcement'!F918,"")</f>
        <v/>
      </c>
      <c r="H918" t="str">
        <f>IF($A918&lt;&gt;"",'Approved-Enforcement'!G918,"")</f>
        <v/>
      </c>
      <c r="I918" t="str">
        <f>IF($A918&lt;&gt;"",'Approved-Enforcement'!H918,"")</f>
        <v/>
      </c>
      <c r="J918" t="str">
        <f>IF($A918&lt;&gt;"",'Approved-Enforcement'!I918,"")</f>
        <v/>
      </c>
      <c r="K918" t="str">
        <f>IF($A918&lt;&gt;"",'Approved-Enforcement'!J918,"")</f>
        <v/>
      </c>
      <c r="L918" t="str">
        <f>IF($A918&lt;&gt;"",'Approved-Enforcement'!K918,"")</f>
        <v/>
      </c>
      <c r="M918" t="str">
        <f>IF($A918&lt;&gt;"",'Approved-Enforcement'!L918,"")</f>
        <v/>
      </c>
      <c r="N918" t="str">
        <f>IF($A918&lt;&gt;"",'Approved-Enforcement'!M918,"")</f>
        <v/>
      </c>
      <c r="O918" t="str">
        <f>IF($A918&lt;&gt;"",'Approved-Enforcement'!N918,"")</f>
        <v/>
      </c>
      <c r="P918" t="str">
        <f>IF($A918&lt;&gt;"",'Approved-Enforcement'!O918,"")</f>
        <v/>
      </c>
    </row>
    <row r="919" spans="1:16" x14ac:dyDescent="0.35">
      <c r="A919" s="4" t="str">
        <f>IF('Approved-Enforcement'!$A919&lt;&gt;"",'Approved-Enforcement'!A919,"")</f>
        <v/>
      </c>
      <c r="B919" t="str">
        <f t="shared" si="14"/>
        <v/>
      </c>
      <c r="D919" t="str">
        <f>IF($A919&lt;&gt;"",IF($R919&lt;&gt;"",$R919,'Approved-Enforcement'!$B919+7),"")</f>
        <v/>
      </c>
      <c r="E919" t="str">
        <f>IF($A919&lt;&gt;"",'Approved-Enforcement'!D919,"")</f>
        <v/>
      </c>
      <c r="F919" t="str">
        <f>IF($A919&lt;&gt;"",'Approved-Enforcement'!E919,"")</f>
        <v/>
      </c>
      <c r="G919" t="str">
        <f>IF($A919&lt;&gt;"",'Approved-Enforcement'!F919,"")</f>
        <v/>
      </c>
      <c r="H919" t="str">
        <f>IF($A919&lt;&gt;"",'Approved-Enforcement'!G919,"")</f>
        <v/>
      </c>
      <c r="I919" t="str">
        <f>IF($A919&lt;&gt;"",'Approved-Enforcement'!H919,"")</f>
        <v/>
      </c>
      <c r="J919" t="str">
        <f>IF($A919&lt;&gt;"",'Approved-Enforcement'!I919,"")</f>
        <v/>
      </c>
      <c r="K919" t="str">
        <f>IF($A919&lt;&gt;"",'Approved-Enforcement'!J919,"")</f>
        <v/>
      </c>
      <c r="L919" t="str">
        <f>IF($A919&lt;&gt;"",'Approved-Enforcement'!K919,"")</f>
        <v/>
      </c>
      <c r="M919" t="str">
        <f>IF($A919&lt;&gt;"",'Approved-Enforcement'!L919,"")</f>
        <v/>
      </c>
      <c r="N919" t="str">
        <f>IF($A919&lt;&gt;"",'Approved-Enforcement'!M919,"")</f>
        <v/>
      </c>
      <c r="O919" t="str">
        <f>IF($A919&lt;&gt;"",'Approved-Enforcement'!N919,"")</f>
        <v/>
      </c>
      <c r="P919" t="str">
        <f>IF($A919&lt;&gt;"",'Approved-Enforcement'!O919,"")</f>
        <v/>
      </c>
    </row>
    <row r="920" spans="1:16" x14ac:dyDescent="0.35">
      <c r="A920" s="4" t="str">
        <f>IF('Approved-Enforcement'!$A920&lt;&gt;"",'Approved-Enforcement'!A920,"")</f>
        <v/>
      </c>
      <c r="B920" t="str">
        <f t="shared" si="14"/>
        <v/>
      </c>
      <c r="D920" t="str">
        <f>IF($A920&lt;&gt;"",IF($R920&lt;&gt;"",$R920,'Approved-Enforcement'!$B920+7),"")</f>
        <v/>
      </c>
      <c r="E920" t="str">
        <f>IF($A920&lt;&gt;"",'Approved-Enforcement'!D920,"")</f>
        <v/>
      </c>
      <c r="F920" t="str">
        <f>IF($A920&lt;&gt;"",'Approved-Enforcement'!E920,"")</f>
        <v/>
      </c>
      <c r="G920" t="str">
        <f>IF($A920&lt;&gt;"",'Approved-Enforcement'!F920,"")</f>
        <v/>
      </c>
      <c r="H920" t="str">
        <f>IF($A920&lt;&gt;"",'Approved-Enforcement'!G920,"")</f>
        <v/>
      </c>
      <c r="I920" t="str">
        <f>IF($A920&lt;&gt;"",'Approved-Enforcement'!H920,"")</f>
        <v/>
      </c>
      <c r="J920" t="str">
        <f>IF($A920&lt;&gt;"",'Approved-Enforcement'!I920,"")</f>
        <v/>
      </c>
      <c r="K920" t="str">
        <f>IF($A920&lt;&gt;"",'Approved-Enforcement'!J920,"")</f>
        <v/>
      </c>
      <c r="L920" t="str">
        <f>IF($A920&lt;&gt;"",'Approved-Enforcement'!K920,"")</f>
        <v/>
      </c>
      <c r="M920" t="str">
        <f>IF($A920&lt;&gt;"",'Approved-Enforcement'!L920,"")</f>
        <v/>
      </c>
      <c r="N920" t="str">
        <f>IF($A920&lt;&gt;"",'Approved-Enforcement'!M920,"")</f>
        <v/>
      </c>
      <c r="O920" t="str">
        <f>IF($A920&lt;&gt;"",'Approved-Enforcement'!N920,"")</f>
        <v/>
      </c>
      <c r="P920" t="str">
        <f>IF($A920&lt;&gt;"",'Approved-Enforcement'!O920,"")</f>
        <v/>
      </c>
    </row>
    <row r="921" spans="1:16" x14ac:dyDescent="0.35">
      <c r="A921" s="4" t="str">
        <f>IF('Approved-Enforcement'!$A921&lt;&gt;"",'Approved-Enforcement'!A921,"")</f>
        <v/>
      </c>
      <c r="B921" t="str">
        <f t="shared" si="14"/>
        <v/>
      </c>
      <c r="D921" t="str">
        <f>IF($A921&lt;&gt;"",IF($R921&lt;&gt;"",$R921,'Approved-Enforcement'!$B921+7),"")</f>
        <v/>
      </c>
      <c r="E921" t="str">
        <f>IF($A921&lt;&gt;"",'Approved-Enforcement'!D921,"")</f>
        <v/>
      </c>
      <c r="F921" t="str">
        <f>IF($A921&lt;&gt;"",'Approved-Enforcement'!E921,"")</f>
        <v/>
      </c>
      <c r="G921" t="str">
        <f>IF($A921&lt;&gt;"",'Approved-Enforcement'!F921,"")</f>
        <v/>
      </c>
      <c r="H921" t="str">
        <f>IF($A921&lt;&gt;"",'Approved-Enforcement'!G921,"")</f>
        <v/>
      </c>
      <c r="I921" t="str">
        <f>IF($A921&lt;&gt;"",'Approved-Enforcement'!H921,"")</f>
        <v/>
      </c>
      <c r="J921" t="str">
        <f>IF($A921&lt;&gt;"",'Approved-Enforcement'!I921,"")</f>
        <v/>
      </c>
      <c r="K921" t="str">
        <f>IF($A921&lt;&gt;"",'Approved-Enforcement'!J921,"")</f>
        <v/>
      </c>
      <c r="L921" t="str">
        <f>IF($A921&lt;&gt;"",'Approved-Enforcement'!K921,"")</f>
        <v/>
      </c>
      <c r="M921" t="str">
        <f>IF($A921&lt;&gt;"",'Approved-Enforcement'!L921,"")</f>
        <v/>
      </c>
      <c r="N921" t="str">
        <f>IF($A921&lt;&gt;"",'Approved-Enforcement'!M921,"")</f>
        <v/>
      </c>
      <c r="O921" t="str">
        <f>IF($A921&lt;&gt;"",'Approved-Enforcement'!N921,"")</f>
        <v/>
      </c>
      <c r="P921" t="str">
        <f>IF($A921&lt;&gt;"",'Approved-Enforcement'!O921,"")</f>
        <v/>
      </c>
    </row>
    <row r="922" spans="1:16" x14ac:dyDescent="0.35">
      <c r="A922" s="4" t="str">
        <f>IF('Approved-Enforcement'!$A922&lt;&gt;"",'Approved-Enforcement'!A922,"")</f>
        <v/>
      </c>
      <c r="B922" t="str">
        <f t="shared" si="14"/>
        <v/>
      </c>
      <c r="D922" t="str">
        <f>IF($A922&lt;&gt;"",IF($R922&lt;&gt;"",$R922,'Approved-Enforcement'!$B922+7),"")</f>
        <v/>
      </c>
      <c r="E922" t="str">
        <f>IF($A922&lt;&gt;"",'Approved-Enforcement'!D922,"")</f>
        <v/>
      </c>
      <c r="F922" t="str">
        <f>IF($A922&lt;&gt;"",'Approved-Enforcement'!E922,"")</f>
        <v/>
      </c>
      <c r="G922" t="str">
        <f>IF($A922&lt;&gt;"",'Approved-Enforcement'!F922,"")</f>
        <v/>
      </c>
      <c r="H922" t="str">
        <f>IF($A922&lt;&gt;"",'Approved-Enforcement'!G922,"")</f>
        <v/>
      </c>
      <c r="I922" t="str">
        <f>IF($A922&lt;&gt;"",'Approved-Enforcement'!H922,"")</f>
        <v/>
      </c>
      <c r="J922" t="str">
        <f>IF($A922&lt;&gt;"",'Approved-Enforcement'!I922,"")</f>
        <v/>
      </c>
      <c r="K922" t="str">
        <f>IF($A922&lt;&gt;"",'Approved-Enforcement'!J922,"")</f>
        <v/>
      </c>
      <c r="L922" t="str">
        <f>IF($A922&lt;&gt;"",'Approved-Enforcement'!K922,"")</f>
        <v/>
      </c>
      <c r="M922" t="str">
        <f>IF($A922&lt;&gt;"",'Approved-Enforcement'!L922,"")</f>
        <v/>
      </c>
      <c r="N922" t="str">
        <f>IF($A922&lt;&gt;"",'Approved-Enforcement'!M922,"")</f>
        <v/>
      </c>
      <c r="O922" t="str">
        <f>IF($A922&lt;&gt;"",'Approved-Enforcement'!N922,"")</f>
        <v/>
      </c>
      <c r="P922" t="str">
        <f>IF($A922&lt;&gt;"",'Approved-Enforcement'!O922,"")</f>
        <v/>
      </c>
    </row>
    <row r="923" spans="1:16" x14ac:dyDescent="0.35">
      <c r="A923" s="4" t="str">
        <f>IF('Approved-Enforcement'!$A923&lt;&gt;"",'Approved-Enforcement'!A923,"")</f>
        <v/>
      </c>
      <c r="B923" t="str">
        <f t="shared" si="14"/>
        <v/>
      </c>
      <c r="D923" t="str">
        <f>IF($A923&lt;&gt;"",IF($R923&lt;&gt;"",$R923,'Approved-Enforcement'!$B923+7),"")</f>
        <v/>
      </c>
      <c r="E923" t="str">
        <f>IF($A923&lt;&gt;"",'Approved-Enforcement'!D923,"")</f>
        <v/>
      </c>
      <c r="F923" t="str">
        <f>IF($A923&lt;&gt;"",'Approved-Enforcement'!E923,"")</f>
        <v/>
      </c>
      <c r="G923" t="str">
        <f>IF($A923&lt;&gt;"",'Approved-Enforcement'!F923,"")</f>
        <v/>
      </c>
      <c r="H923" t="str">
        <f>IF($A923&lt;&gt;"",'Approved-Enforcement'!G923,"")</f>
        <v/>
      </c>
      <c r="I923" t="str">
        <f>IF($A923&lt;&gt;"",'Approved-Enforcement'!H923,"")</f>
        <v/>
      </c>
      <c r="J923" t="str">
        <f>IF($A923&lt;&gt;"",'Approved-Enforcement'!I923,"")</f>
        <v/>
      </c>
      <c r="K923" t="str">
        <f>IF($A923&lt;&gt;"",'Approved-Enforcement'!J923,"")</f>
        <v/>
      </c>
      <c r="L923" t="str">
        <f>IF($A923&lt;&gt;"",'Approved-Enforcement'!K923,"")</f>
        <v/>
      </c>
      <c r="M923" t="str">
        <f>IF($A923&lt;&gt;"",'Approved-Enforcement'!L923,"")</f>
        <v/>
      </c>
      <c r="N923" t="str">
        <f>IF($A923&lt;&gt;"",'Approved-Enforcement'!M923,"")</f>
        <v/>
      </c>
      <c r="O923" t="str">
        <f>IF($A923&lt;&gt;"",'Approved-Enforcement'!N923,"")</f>
        <v/>
      </c>
      <c r="P923" t="str">
        <f>IF($A923&lt;&gt;"",'Approved-Enforcement'!O923,"")</f>
        <v/>
      </c>
    </row>
    <row r="924" spans="1:16" x14ac:dyDescent="0.35">
      <c r="A924" s="4" t="str">
        <f>IF('Approved-Enforcement'!$A924&lt;&gt;"",'Approved-Enforcement'!A924,"")</f>
        <v/>
      </c>
      <c r="B924" t="str">
        <f t="shared" si="14"/>
        <v/>
      </c>
      <c r="D924" t="str">
        <f>IF($A924&lt;&gt;"",IF($R924&lt;&gt;"",$R924,'Approved-Enforcement'!$B924+7),"")</f>
        <v/>
      </c>
      <c r="E924" t="str">
        <f>IF($A924&lt;&gt;"",'Approved-Enforcement'!D924,"")</f>
        <v/>
      </c>
      <c r="F924" t="str">
        <f>IF($A924&lt;&gt;"",'Approved-Enforcement'!E924,"")</f>
        <v/>
      </c>
      <c r="G924" t="str">
        <f>IF($A924&lt;&gt;"",'Approved-Enforcement'!F924,"")</f>
        <v/>
      </c>
      <c r="H924" t="str">
        <f>IF($A924&lt;&gt;"",'Approved-Enforcement'!G924,"")</f>
        <v/>
      </c>
      <c r="I924" t="str">
        <f>IF($A924&lt;&gt;"",'Approved-Enforcement'!H924,"")</f>
        <v/>
      </c>
      <c r="J924" t="str">
        <f>IF($A924&lt;&gt;"",'Approved-Enforcement'!I924,"")</f>
        <v/>
      </c>
      <c r="K924" t="str">
        <f>IF($A924&lt;&gt;"",'Approved-Enforcement'!J924,"")</f>
        <v/>
      </c>
      <c r="L924" t="str">
        <f>IF($A924&lt;&gt;"",'Approved-Enforcement'!K924,"")</f>
        <v/>
      </c>
      <c r="M924" t="str">
        <f>IF($A924&lt;&gt;"",'Approved-Enforcement'!L924,"")</f>
        <v/>
      </c>
      <c r="N924" t="str">
        <f>IF($A924&lt;&gt;"",'Approved-Enforcement'!M924,"")</f>
        <v/>
      </c>
      <c r="O924" t="str">
        <f>IF($A924&lt;&gt;"",'Approved-Enforcement'!N924,"")</f>
        <v/>
      </c>
      <c r="P924" t="str">
        <f>IF($A924&lt;&gt;"",'Approved-Enforcement'!O924,"")</f>
        <v/>
      </c>
    </row>
    <row r="925" spans="1:16" x14ac:dyDescent="0.35">
      <c r="A925" s="4" t="str">
        <f>IF('Approved-Enforcement'!$A925&lt;&gt;"",'Approved-Enforcement'!A925,"")</f>
        <v/>
      </c>
      <c r="B925" t="str">
        <f t="shared" si="14"/>
        <v/>
      </c>
      <c r="D925" t="str">
        <f>IF($A925&lt;&gt;"",IF($R925&lt;&gt;"",$R925,'Approved-Enforcement'!$B925+7),"")</f>
        <v/>
      </c>
      <c r="E925" t="str">
        <f>IF($A925&lt;&gt;"",'Approved-Enforcement'!D925,"")</f>
        <v/>
      </c>
      <c r="F925" t="str">
        <f>IF($A925&lt;&gt;"",'Approved-Enforcement'!E925,"")</f>
        <v/>
      </c>
      <c r="G925" t="str">
        <f>IF($A925&lt;&gt;"",'Approved-Enforcement'!F925,"")</f>
        <v/>
      </c>
      <c r="H925" t="str">
        <f>IF($A925&lt;&gt;"",'Approved-Enforcement'!G925,"")</f>
        <v/>
      </c>
      <c r="I925" t="str">
        <f>IF($A925&lt;&gt;"",'Approved-Enforcement'!H925,"")</f>
        <v/>
      </c>
      <c r="J925" t="str">
        <f>IF($A925&lt;&gt;"",'Approved-Enforcement'!I925,"")</f>
        <v/>
      </c>
      <c r="K925" t="str">
        <f>IF($A925&lt;&gt;"",'Approved-Enforcement'!J925,"")</f>
        <v/>
      </c>
      <c r="L925" t="str">
        <f>IF($A925&lt;&gt;"",'Approved-Enforcement'!K925,"")</f>
        <v/>
      </c>
      <c r="M925" t="str">
        <f>IF($A925&lt;&gt;"",'Approved-Enforcement'!L925,"")</f>
        <v/>
      </c>
      <c r="N925" t="str">
        <f>IF($A925&lt;&gt;"",'Approved-Enforcement'!M925,"")</f>
        <v/>
      </c>
      <c r="O925" t="str">
        <f>IF($A925&lt;&gt;"",'Approved-Enforcement'!N925,"")</f>
        <v/>
      </c>
      <c r="P925" t="str">
        <f>IF($A925&lt;&gt;"",'Approved-Enforcement'!O925,"")</f>
        <v/>
      </c>
    </row>
    <row r="926" spans="1:16" x14ac:dyDescent="0.35">
      <c r="A926" s="4" t="str">
        <f>IF('Approved-Enforcement'!$A926&lt;&gt;"",'Approved-Enforcement'!A926,"")</f>
        <v/>
      </c>
      <c r="B926" t="str">
        <f t="shared" si="14"/>
        <v/>
      </c>
      <c r="D926" t="str">
        <f>IF($A926&lt;&gt;"",IF($R926&lt;&gt;"",$R926,'Approved-Enforcement'!$B926+7),"")</f>
        <v/>
      </c>
      <c r="E926" t="str">
        <f>IF($A926&lt;&gt;"",'Approved-Enforcement'!D926,"")</f>
        <v/>
      </c>
      <c r="F926" t="str">
        <f>IF($A926&lt;&gt;"",'Approved-Enforcement'!E926,"")</f>
        <v/>
      </c>
      <c r="G926" t="str">
        <f>IF($A926&lt;&gt;"",'Approved-Enforcement'!F926,"")</f>
        <v/>
      </c>
      <c r="H926" t="str">
        <f>IF($A926&lt;&gt;"",'Approved-Enforcement'!G926,"")</f>
        <v/>
      </c>
      <c r="I926" t="str">
        <f>IF($A926&lt;&gt;"",'Approved-Enforcement'!H926,"")</f>
        <v/>
      </c>
      <c r="J926" t="str">
        <f>IF($A926&lt;&gt;"",'Approved-Enforcement'!I926,"")</f>
        <v/>
      </c>
      <c r="K926" t="str">
        <f>IF($A926&lt;&gt;"",'Approved-Enforcement'!J926,"")</f>
        <v/>
      </c>
      <c r="L926" t="str">
        <f>IF($A926&lt;&gt;"",'Approved-Enforcement'!K926,"")</f>
        <v/>
      </c>
      <c r="M926" t="str">
        <f>IF($A926&lt;&gt;"",'Approved-Enforcement'!L926,"")</f>
        <v/>
      </c>
      <c r="N926" t="str">
        <f>IF($A926&lt;&gt;"",'Approved-Enforcement'!M926,"")</f>
        <v/>
      </c>
      <c r="O926" t="str">
        <f>IF($A926&lt;&gt;"",'Approved-Enforcement'!N926,"")</f>
        <v/>
      </c>
      <c r="P926" t="str">
        <f>IF($A926&lt;&gt;"",'Approved-Enforcement'!O926,"")</f>
        <v/>
      </c>
    </row>
    <row r="927" spans="1:16" x14ac:dyDescent="0.35">
      <c r="A927" s="4" t="str">
        <f>IF('Approved-Enforcement'!$A927&lt;&gt;"",'Approved-Enforcement'!A927,"")</f>
        <v/>
      </c>
      <c r="B927" t="str">
        <f t="shared" si="14"/>
        <v/>
      </c>
      <c r="D927" t="str">
        <f>IF($A927&lt;&gt;"",IF($R927&lt;&gt;"",$R927,'Approved-Enforcement'!$B927+7),"")</f>
        <v/>
      </c>
      <c r="E927" t="str">
        <f>IF($A927&lt;&gt;"",'Approved-Enforcement'!D927,"")</f>
        <v/>
      </c>
      <c r="F927" t="str">
        <f>IF($A927&lt;&gt;"",'Approved-Enforcement'!E927,"")</f>
        <v/>
      </c>
      <c r="G927" t="str">
        <f>IF($A927&lt;&gt;"",'Approved-Enforcement'!F927,"")</f>
        <v/>
      </c>
      <c r="H927" t="str">
        <f>IF($A927&lt;&gt;"",'Approved-Enforcement'!G927,"")</f>
        <v/>
      </c>
      <c r="I927" t="str">
        <f>IF($A927&lt;&gt;"",'Approved-Enforcement'!H927,"")</f>
        <v/>
      </c>
      <c r="J927" t="str">
        <f>IF($A927&lt;&gt;"",'Approved-Enforcement'!I927,"")</f>
        <v/>
      </c>
      <c r="K927" t="str">
        <f>IF($A927&lt;&gt;"",'Approved-Enforcement'!J927,"")</f>
        <v/>
      </c>
      <c r="L927" t="str">
        <f>IF($A927&lt;&gt;"",'Approved-Enforcement'!K927,"")</f>
        <v/>
      </c>
      <c r="M927" t="str">
        <f>IF($A927&lt;&gt;"",'Approved-Enforcement'!L927,"")</f>
        <v/>
      </c>
      <c r="N927" t="str">
        <f>IF($A927&lt;&gt;"",'Approved-Enforcement'!M927,"")</f>
        <v/>
      </c>
      <c r="O927" t="str">
        <f>IF($A927&lt;&gt;"",'Approved-Enforcement'!N927,"")</f>
        <v/>
      </c>
      <c r="P927" t="str">
        <f>IF($A927&lt;&gt;"",'Approved-Enforcement'!O927,"")</f>
        <v/>
      </c>
    </row>
    <row r="928" spans="1:16" x14ac:dyDescent="0.35">
      <c r="A928" s="4" t="str">
        <f>IF('Approved-Enforcement'!$A928&lt;&gt;"",'Approved-Enforcement'!A928,"")</f>
        <v/>
      </c>
      <c r="B928" t="str">
        <f t="shared" si="14"/>
        <v/>
      </c>
      <c r="D928" t="str">
        <f>IF($A928&lt;&gt;"",IF($R928&lt;&gt;"",$R928,'Approved-Enforcement'!$B928+7),"")</f>
        <v/>
      </c>
      <c r="E928" t="str">
        <f>IF($A928&lt;&gt;"",'Approved-Enforcement'!D928,"")</f>
        <v/>
      </c>
      <c r="F928" t="str">
        <f>IF($A928&lt;&gt;"",'Approved-Enforcement'!E928,"")</f>
        <v/>
      </c>
      <c r="G928" t="str">
        <f>IF($A928&lt;&gt;"",'Approved-Enforcement'!F928,"")</f>
        <v/>
      </c>
      <c r="H928" t="str">
        <f>IF($A928&lt;&gt;"",'Approved-Enforcement'!G928,"")</f>
        <v/>
      </c>
      <c r="I928" t="str">
        <f>IF($A928&lt;&gt;"",'Approved-Enforcement'!H928,"")</f>
        <v/>
      </c>
      <c r="J928" t="str">
        <f>IF($A928&lt;&gt;"",'Approved-Enforcement'!I928,"")</f>
        <v/>
      </c>
      <c r="K928" t="str">
        <f>IF($A928&lt;&gt;"",'Approved-Enforcement'!J928,"")</f>
        <v/>
      </c>
      <c r="L928" t="str">
        <f>IF($A928&lt;&gt;"",'Approved-Enforcement'!K928,"")</f>
        <v/>
      </c>
      <c r="M928" t="str">
        <f>IF($A928&lt;&gt;"",'Approved-Enforcement'!L928,"")</f>
        <v/>
      </c>
      <c r="N928" t="str">
        <f>IF($A928&lt;&gt;"",'Approved-Enforcement'!M928,"")</f>
        <v/>
      </c>
      <c r="O928" t="str">
        <f>IF($A928&lt;&gt;"",'Approved-Enforcement'!N928,"")</f>
        <v/>
      </c>
      <c r="P928" t="str">
        <f>IF($A928&lt;&gt;"",'Approved-Enforcement'!O928,"")</f>
        <v/>
      </c>
    </row>
    <row r="929" spans="1:16" x14ac:dyDescent="0.35">
      <c r="A929" s="4" t="str">
        <f>IF('Approved-Enforcement'!$A929&lt;&gt;"",'Approved-Enforcement'!A929,"")</f>
        <v/>
      </c>
      <c r="B929" t="str">
        <f t="shared" si="14"/>
        <v/>
      </c>
      <c r="D929" t="str">
        <f>IF($A929&lt;&gt;"",IF($R929&lt;&gt;"",$R929,'Approved-Enforcement'!$B929+7),"")</f>
        <v/>
      </c>
      <c r="E929" t="str">
        <f>IF($A929&lt;&gt;"",'Approved-Enforcement'!D929,"")</f>
        <v/>
      </c>
      <c r="F929" t="str">
        <f>IF($A929&lt;&gt;"",'Approved-Enforcement'!E929,"")</f>
        <v/>
      </c>
      <c r="G929" t="str">
        <f>IF($A929&lt;&gt;"",'Approved-Enforcement'!F929,"")</f>
        <v/>
      </c>
      <c r="H929" t="str">
        <f>IF($A929&lt;&gt;"",'Approved-Enforcement'!G929,"")</f>
        <v/>
      </c>
      <c r="I929" t="str">
        <f>IF($A929&lt;&gt;"",'Approved-Enforcement'!H929,"")</f>
        <v/>
      </c>
      <c r="J929" t="str">
        <f>IF($A929&lt;&gt;"",'Approved-Enforcement'!I929,"")</f>
        <v/>
      </c>
      <c r="K929" t="str">
        <f>IF($A929&lt;&gt;"",'Approved-Enforcement'!J929,"")</f>
        <v/>
      </c>
      <c r="L929" t="str">
        <f>IF($A929&lt;&gt;"",'Approved-Enforcement'!K929,"")</f>
        <v/>
      </c>
      <c r="M929" t="str">
        <f>IF($A929&lt;&gt;"",'Approved-Enforcement'!L929,"")</f>
        <v/>
      </c>
      <c r="N929" t="str">
        <f>IF($A929&lt;&gt;"",'Approved-Enforcement'!M929,"")</f>
        <v/>
      </c>
      <c r="O929" t="str">
        <f>IF($A929&lt;&gt;"",'Approved-Enforcement'!N929,"")</f>
        <v/>
      </c>
      <c r="P929" t="str">
        <f>IF($A929&lt;&gt;"",'Approved-Enforcement'!O929,"")</f>
        <v/>
      </c>
    </row>
    <row r="930" spans="1:16" x14ac:dyDescent="0.35">
      <c r="A930" s="4" t="str">
        <f>IF('Approved-Enforcement'!$A930&lt;&gt;"",'Approved-Enforcement'!A930,"")</f>
        <v/>
      </c>
      <c r="B930" t="str">
        <f t="shared" si="14"/>
        <v/>
      </c>
      <c r="D930" t="str">
        <f>IF($A930&lt;&gt;"",IF($R930&lt;&gt;"",$R930,'Approved-Enforcement'!$B930+7),"")</f>
        <v/>
      </c>
      <c r="E930" t="str">
        <f>IF($A930&lt;&gt;"",'Approved-Enforcement'!D930,"")</f>
        <v/>
      </c>
      <c r="F930" t="str">
        <f>IF($A930&lt;&gt;"",'Approved-Enforcement'!E930,"")</f>
        <v/>
      </c>
      <c r="G930" t="str">
        <f>IF($A930&lt;&gt;"",'Approved-Enforcement'!F930,"")</f>
        <v/>
      </c>
      <c r="H930" t="str">
        <f>IF($A930&lt;&gt;"",'Approved-Enforcement'!G930,"")</f>
        <v/>
      </c>
      <c r="I930" t="str">
        <f>IF($A930&lt;&gt;"",'Approved-Enforcement'!H930,"")</f>
        <v/>
      </c>
      <c r="J930" t="str">
        <f>IF($A930&lt;&gt;"",'Approved-Enforcement'!I930,"")</f>
        <v/>
      </c>
      <c r="K930" t="str">
        <f>IF($A930&lt;&gt;"",'Approved-Enforcement'!J930,"")</f>
        <v/>
      </c>
      <c r="L930" t="str">
        <f>IF($A930&lt;&gt;"",'Approved-Enforcement'!K930,"")</f>
        <v/>
      </c>
      <c r="M930" t="str">
        <f>IF($A930&lt;&gt;"",'Approved-Enforcement'!L930,"")</f>
        <v/>
      </c>
      <c r="N930" t="str">
        <f>IF($A930&lt;&gt;"",'Approved-Enforcement'!M930,"")</f>
        <v/>
      </c>
      <c r="O930" t="str">
        <f>IF($A930&lt;&gt;"",'Approved-Enforcement'!N930,"")</f>
        <v/>
      </c>
      <c r="P930" t="str">
        <f>IF($A930&lt;&gt;"",'Approved-Enforcement'!O930,"")</f>
        <v/>
      </c>
    </row>
    <row r="931" spans="1:16" x14ac:dyDescent="0.35">
      <c r="A931" s="4" t="str">
        <f>IF('Approved-Enforcement'!$A931&lt;&gt;"",'Approved-Enforcement'!A931,"")</f>
        <v/>
      </c>
      <c r="B931" t="str">
        <f t="shared" si="14"/>
        <v/>
      </c>
      <c r="D931" t="str">
        <f>IF($A931&lt;&gt;"",IF($R931&lt;&gt;"",$R931,'Approved-Enforcement'!$B931+7),"")</f>
        <v/>
      </c>
      <c r="E931" t="str">
        <f>IF($A931&lt;&gt;"",'Approved-Enforcement'!D931,"")</f>
        <v/>
      </c>
      <c r="F931" t="str">
        <f>IF($A931&lt;&gt;"",'Approved-Enforcement'!E931,"")</f>
        <v/>
      </c>
      <c r="G931" t="str">
        <f>IF($A931&lt;&gt;"",'Approved-Enforcement'!F931,"")</f>
        <v/>
      </c>
      <c r="H931" t="str">
        <f>IF($A931&lt;&gt;"",'Approved-Enforcement'!G931,"")</f>
        <v/>
      </c>
      <c r="I931" t="str">
        <f>IF($A931&lt;&gt;"",'Approved-Enforcement'!H931,"")</f>
        <v/>
      </c>
      <c r="J931" t="str">
        <f>IF($A931&lt;&gt;"",'Approved-Enforcement'!I931,"")</f>
        <v/>
      </c>
      <c r="K931" t="str">
        <f>IF($A931&lt;&gt;"",'Approved-Enforcement'!J931,"")</f>
        <v/>
      </c>
      <c r="L931" t="str">
        <f>IF($A931&lt;&gt;"",'Approved-Enforcement'!K931,"")</f>
        <v/>
      </c>
      <c r="M931" t="str">
        <f>IF($A931&lt;&gt;"",'Approved-Enforcement'!L931,"")</f>
        <v/>
      </c>
      <c r="N931" t="str">
        <f>IF($A931&lt;&gt;"",'Approved-Enforcement'!M931,"")</f>
        <v/>
      </c>
      <c r="O931" t="str">
        <f>IF($A931&lt;&gt;"",'Approved-Enforcement'!N931,"")</f>
        <v/>
      </c>
      <c r="P931" t="str">
        <f>IF($A931&lt;&gt;"",'Approved-Enforcement'!O931,"")</f>
        <v/>
      </c>
    </row>
    <row r="932" spans="1:16" x14ac:dyDescent="0.35">
      <c r="A932" s="4" t="str">
        <f>IF('Approved-Enforcement'!$A932&lt;&gt;"",'Approved-Enforcement'!A932,"")</f>
        <v/>
      </c>
      <c r="B932" t="str">
        <f t="shared" si="14"/>
        <v/>
      </c>
      <c r="D932" t="str">
        <f>IF($A932&lt;&gt;"",IF($R932&lt;&gt;"",$R932,'Approved-Enforcement'!$B932+7),"")</f>
        <v/>
      </c>
      <c r="E932" t="str">
        <f>IF($A932&lt;&gt;"",'Approved-Enforcement'!D932,"")</f>
        <v/>
      </c>
      <c r="F932" t="str">
        <f>IF($A932&lt;&gt;"",'Approved-Enforcement'!E932,"")</f>
        <v/>
      </c>
      <c r="G932" t="str">
        <f>IF($A932&lt;&gt;"",'Approved-Enforcement'!F932,"")</f>
        <v/>
      </c>
      <c r="H932" t="str">
        <f>IF($A932&lt;&gt;"",'Approved-Enforcement'!G932,"")</f>
        <v/>
      </c>
      <c r="I932" t="str">
        <f>IF($A932&lt;&gt;"",'Approved-Enforcement'!H932,"")</f>
        <v/>
      </c>
      <c r="J932" t="str">
        <f>IF($A932&lt;&gt;"",'Approved-Enforcement'!I932,"")</f>
        <v/>
      </c>
      <c r="K932" t="str">
        <f>IF($A932&lt;&gt;"",'Approved-Enforcement'!J932,"")</f>
        <v/>
      </c>
      <c r="L932" t="str">
        <f>IF($A932&lt;&gt;"",'Approved-Enforcement'!K932,"")</f>
        <v/>
      </c>
      <c r="M932" t="str">
        <f>IF($A932&lt;&gt;"",'Approved-Enforcement'!L932,"")</f>
        <v/>
      </c>
      <c r="N932" t="str">
        <f>IF($A932&lt;&gt;"",'Approved-Enforcement'!M932,"")</f>
        <v/>
      </c>
      <c r="O932" t="str">
        <f>IF($A932&lt;&gt;"",'Approved-Enforcement'!N932,"")</f>
        <v/>
      </c>
      <c r="P932" t="str">
        <f>IF($A932&lt;&gt;"",'Approved-Enforcement'!O932,"")</f>
        <v/>
      </c>
    </row>
    <row r="933" spans="1:16" x14ac:dyDescent="0.35">
      <c r="A933" s="4" t="str">
        <f>IF('Approved-Enforcement'!$A933&lt;&gt;"",'Approved-Enforcement'!A933,"")</f>
        <v/>
      </c>
      <c r="B933" t="str">
        <f t="shared" si="14"/>
        <v/>
      </c>
      <c r="D933" t="str">
        <f>IF($A933&lt;&gt;"",IF($R933&lt;&gt;"",$R933,'Approved-Enforcement'!$B933+7),"")</f>
        <v/>
      </c>
      <c r="E933" t="str">
        <f>IF($A933&lt;&gt;"",'Approved-Enforcement'!D933,"")</f>
        <v/>
      </c>
      <c r="F933" t="str">
        <f>IF($A933&lt;&gt;"",'Approved-Enforcement'!E933,"")</f>
        <v/>
      </c>
      <c r="G933" t="str">
        <f>IF($A933&lt;&gt;"",'Approved-Enforcement'!F933,"")</f>
        <v/>
      </c>
      <c r="H933" t="str">
        <f>IF($A933&lt;&gt;"",'Approved-Enforcement'!G933,"")</f>
        <v/>
      </c>
      <c r="I933" t="str">
        <f>IF($A933&lt;&gt;"",'Approved-Enforcement'!H933,"")</f>
        <v/>
      </c>
      <c r="J933" t="str">
        <f>IF($A933&lt;&gt;"",'Approved-Enforcement'!I933,"")</f>
        <v/>
      </c>
      <c r="K933" t="str">
        <f>IF($A933&lt;&gt;"",'Approved-Enforcement'!J933,"")</f>
        <v/>
      </c>
      <c r="L933" t="str">
        <f>IF($A933&lt;&gt;"",'Approved-Enforcement'!K933,"")</f>
        <v/>
      </c>
      <c r="M933" t="str">
        <f>IF($A933&lt;&gt;"",'Approved-Enforcement'!L933,"")</f>
        <v/>
      </c>
      <c r="N933" t="str">
        <f>IF($A933&lt;&gt;"",'Approved-Enforcement'!M933,"")</f>
        <v/>
      </c>
      <c r="O933" t="str">
        <f>IF($A933&lt;&gt;"",'Approved-Enforcement'!N933,"")</f>
        <v/>
      </c>
      <c r="P933" t="str">
        <f>IF($A933&lt;&gt;"",'Approved-Enforcement'!O933,"")</f>
        <v/>
      </c>
    </row>
    <row r="934" spans="1:16" x14ac:dyDescent="0.35">
      <c r="A934" s="4" t="str">
        <f>IF('Approved-Enforcement'!$A934&lt;&gt;"",'Approved-Enforcement'!A934,"")</f>
        <v/>
      </c>
      <c r="B934" t="str">
        <f t="shared" si="14"/>
        <v/>
      </c>
      <c r="D934" t="str">
        <f>IF($A934&lt;&gt;"",IF($R934&lt;&gt;"",$R934,'Approved-Enforcement'!$B934+7),"")</f>
        <v/>
      </c>
      <c r="E934" t="str">
        <f>IF($A934&lt;&gt;"",'Approved-Enforcement'!D934,"")</f>
        <v/>
      </c>
      <c r="F934" t="str">
        <f>IF($A934&lt;&gt;"",'Approved-Enforcement'!E934,"")</f>
        <v/>
      </c>
      <c r="G934" t="str">
        <f>IF($A934&lt;&gt;"",'Approved-Enforcement'!F934,"")</f>
        <v/>
      </c>
      <c r="H934" t="str">
        <f>IF($A934&lt;&gt;"",'Approved-Enforcement'!G934,"")</f>
        <v/>
      </c>
      <c r="I934" t="str">
        <f>IF($A934&lt;&gt;"",'Approved-Enforcement'!H934,"")</f>
        <v/>
      </c>
      <c r="J934" t="str">
        <f>IF($A934&lt;&gt;"",'Approved-Enforcement'!I934,"")</f>
        <v/>
      </c>
      <c r="K934" t="str">
        <f>IF($A934&lt;&gt;"",'Approved-Enforcement'!J934,"")</f>
        <v/>
      </c>
      <c r="L934" t="str">
        <f>IF($A934&lt;&gt;"",'Approved-Enforcement'!K934,"")</f>
        <v/>
      </c>
      <c r="M934" t="str">
        <f>IF($A934&lt;&gt;"",'Approved-Enforcement'!L934,"")</f>
        <v/>
      </c>
      <c r="N934" t="str">
        <f>IF($A934&lt;&gt;"",'Approved-Enforcement'!M934,"")</f>
        <v/>
      </c>
      <c r="O934" t="str">
        <f>IF($A934&lt;&gt;"",'Approved-Enforcement'!N934,"")</f>
        <v/>
      </c>
      <c r="P934" t="str">
        <f>IF($A934&lt;&gt;"",'Approved-Enforcement'!O934,"")</f>
        <v/>
      </c>
    </row>
    <row r="935" spans="1:16" x14ac:dyDescent="0.35">
      <c r="A935" s="4" t="str">
        <f>IF('Approved-Enforcement'!$A935&lt;&gt;"",'Approved-Enforcement'!A935,"")</f>
        <v/>
      </c>
      <c r="B935" t="str">
        <f t="shared" si="14"/>
        <v/>
      </c>
      <c r="D935" t="str">
        <f>IF($A935&lt;&gt;"",IF($R935&lt;&gt;"",$R935,'Approved-Enforcement'!$B935+7),"")</f>
        <v/>
      </c>
      <c r="E935" t="str">
        <f>IF($A935&lt;&gt;"",'Approved-Enforcement'!D935,"")</f>
        <v/>
      </c>
      <c r="F935" t="str">
        <f>IF($A935&lt;&gt;"",'Approved-Enforcement'!E935,"")</f>
        <v/>
      </c>
      <c r="G935" t="str">
        <f>IF($A935&lt;&gt;"",'Approved-Enforcement'!F935,"")</f>
        <v/>
      </c>
      <c r="H935" t="str">
        <f>IF($A935&lt;&gt;"",'Approved-Enforcement'!G935,"")</f>
        <v/>
      </c>
      <c r="I935" t="str">
        <f>IF($A935&lt;&gt;"",'Approved-Enforcement'!H935,"")</f>
        <v/>
      </c>
      <c r="J935" t="str">
        <f>IF($A935&lt;&gt;"",'Approved-Enforcement'!I935,"")</f>
        <v/>
      </c>
      <c r="K935" t="str">
        <f>IF($A935&lt;&gt;"",'Approved-Enforcement'!J935,"")</f>
        <v/>
      </c>
      <c r="L935" t="str">
        <f>IF($A935&lt;&gt;"",'Approved-Enforcement'!K935,"")</f>
        <v/>
      </c>
      <c r="M935" t="str">
        <f>IF($A935&lt;&gt;"",'Approved-Enforcement'!L935,"")</f>
        <v/>
      </c>
      <c r="N935" t="str">
        <f>IF($A935&lt;&gt;"",'Approved-Enforcement'!M935,"")</f>
        <v/>
      </c>
      <c r="O935" t="str">
        <f>IF($A935&lt;&gt;"",'Approved-Enforcement'!N935,"")</f>
        <v/>
      </c>
      <c r="P935" t="str">
        <f>IF($A935&lt;&gt;"",'Approved-Enforcement'!O935,"")</f>
        <v/>
      </c>
    </row>
    <row r="936" spans="1:16" x14ac:dyDescent="0.35">
      <c r="A936" s="4" t="str">
        <f>IF('Approved-Enforcement'!$A936&lt;&gt;"",'Approved-Enforcement'!A936,"")</f>
        <v/>
      </c>
      <c r="B936" t="str">
        <f t="shared" si="14"/>
        <v/>
      </c>
      <c r="D936" t="str">
        <f>IF($A936&lt;&gt;"",IF($R936&lt;&gt;"",$R936,'Approved-Enforcement'!$B936+7),"")</f>
        <v/>
      </c>
      <c r="E936" t="str">
        <f>IF($A936&lt;&gt;"",'Approved-Enforcement'!D936,"")</f>
        <v/>
      </c>
      <c r="F936" t="str">
        <f>IF($A936&lt;&gt;"",'Approved-Enforcement'!E936,"")</f>
        <v/>
      </c>
      <c r="G936" t="str">
        <f>IF($A936&lt;&gt;"",'Approved-Enforcement'!F936,"")</f>
        <v/>
      </c>
      <c r="H936" t="str">
        <f>IF($A936&lt;&gt;"",'Approved-Enforcement'!G936,"")</f>
        <v/>
      </c>
      <c r="I936" t="str">
        <f>IF($A936&lt;&gt;"",'Approved-Enforcement'!H936,"")</f>
        <v/>
      </c>
      <c r="J936" t="str">
        <f>IF($A936&lt;&gt;"",'Approved-Enforcement'!I936,"")</f>
        <v/>
      </c>
      <c r="K936" t="str">
        <f>IF($A936&lt;&gt;"",'Approved-Enforcement'!J936,"")</f>
        <v/>
      </c>
      <c r="L936" t="str">
        <f>IF($A936&lt;&gt;"",'Approved-Enforcement'!K936,"")</f>
        <v/>
      </c>
      <c r="M936" t="str">
        <f>IF($A936&lt;&gt;"",'Approved-Enforcement'!L936,"")</f>
        <v/>
      </c>
      <c r="N936" t="str">
        <f>IF($A936&lt;&gt;"",'Approved-Enforcement'!M936,"")</f>
        <v/>
      </c>
      <c r="O936" t="str">
        <f>IF($A936&lt;&gt;"",'Approved-Enforcement'!N936,"")</f>
        <v/>
      </c>
      <c r="P936" t="str">
        <f>IF($A936&lt;&gt;"",'Approved-Enforcement'!O936,"")</f>
        <v/>
      </c>
    </row>
    <row r="937" spans="1:16" x14ac:dyDescent="0.35">
      <c r="A937" s="4" t="str">
        <f>IF('Approved-Enforcement'!$A937&lt;&gt;"",'Approved-Enforcement'!A937,"")</f>
        <v/>
      </c>
      <c r="B937" t="str">
        <f t="shared" si="14"/>
        <v/>
      </c>
      <c r="D937" t="str">
        <f>IF($A937&lt;&gt;"",IF($R937&lt;&gt;"",$R937,'Approved-Enforcement'!$B937+7),"")</f>
        <v/>
      </c>
      <c r="E937" t="str">
        <f>IF($A937&lt;&gt;"",'Approved-Enforcement'!D937,"")</f>
        <v/>
      </c>
      <c r="F937" t="str">
        <f>IF($A937&lt;&gt;"",'Approved-Enforcement'!E937,"")</f>
        <v/>
      </c>
      <c r="G937" t="str">
        <f>IF($A937&lt;&gt;"",'Approved-Enforcement'!F937,"")</f>
        <v/>
      </c>
      <c r="H937" t="str">
        <f>IF($A937&lt;&gt;"",'Approved-Enforcement'!G937,"")</f>
        <v/>
      </c>
      <c r="I937" t="str">
        <f>IF($A937&lt;&gt;"",'Approved-Enforcement'!H937,"")</f>
        <v/>
      </c>
      <c r="J937" t="str">
        <f>IF($A937&lt;&gt;"",'Approved-Enforcement'!I937,"")</f>
        <v/>
      </c>
      <c r="K937" t="str">
        <f>IF($A937&lt;&gt;"",'Approved-Enforcement'!J937,"")</f>
        <v/>
      </c>
      <c r="L937" t="str">
        <f>IF($A937&lt;&gt;"",'Approved-Enforcement'!K937,"")</f>
        <v/>
      </c>
      <c r="M937" t="str">
        <f>IF($A937&lt;&gt;"",'Approved-Enforcement'!L937,"")</f>
        <v/>
      </c>
      <c r="N937" t="str">
        <f>IF($A937&lt;&gt;"",'Approved-Enforcement'!M937,"")</f>
        <v/>
      </c>
      <c r="O937" t="str">
        <f>IF($A937&lt;&gt;"",'Approved-Enforcement'!N937,"")</f>
        <v/>
      </c>
      <c r="P937" t="str">
        <f>IF($A937&lt;&gt;"",'Approved-Enforcement'!O937,"")</f>
        <v/>
      </c>
    </row>
    <row r="938" spans="1:16" x14ac:dyDescent="0.35">
      <c r="A938" s="4" t="str">
        <f>IF('Approved-Enforcement'!$A938&lt;&gt;"",'Approved-Enforcement'!A938,"")</f>
        <v/>
      </c>
      <c r="B938" t="str">
        <f t="shared" si="14"/>
        <v/>
      </c>
      <c r="D938" t="str">
        <f>IF($A938&lt;&gt;"",IF($R938&lt;&gt;"",$R938,'Approved-Enforcement'!$B938+7),"")</f>
        <v/>
      </c>
      <c r="E938" t="str">
        <f>IF($A938&lt;&gt;"",'Approved-Enforcement'!D938,"")</f>
        <v/>
      </c>
      <c r="F938" t="str">
        <f>IF($A938&lt;&gt;"",'Approved-Enforcement'!E938,"")</f>
        <v/>
      </c>
      <c r="G938" t="str">
        <f>IF($A938&lt;&gt;"",'Approved-Enforcement'!F938,"")</f>
        <v/>
      </c>
      <c r="H938" t="str">
        <f>IF($A938&lt;&gt;"",'Approved-Enforcement'!G938,"")</f>
        <v/>
      </c>
      <c r="I938" t="str">
        <f>IF($A938&lt;&gt;"",'Approved-Enforcement'!H938,"")</f>
        <v/>
      </c>
      <c r="J938" t="str">
        <f>IF($A938&lt;&gt;"",'Approved-Enforcement'!I938,"")</f>
        <v/>
      </c>
      <c r="K938" t="str">
        <f>IF($A938&lt;&gt;"",'Approved-Enforcement'!J938,"")</f>
        <v/>
      </c>
      <c r="L938" t="str">
        <f>IF($A938&lt;&gt;"",'Approved-Enforcement'!K938,"")</f>
        <v/>
      </c>
      <c r="M938" t="str">
        <f>IF($A938&lt;&gt;"",'Approved-Enforcement'!L938,"")</f>
        <v/>
      </c>
      <c r="N938" t="str">
        <f>IF($A938&lt;&gt;"",'Approved-Enforcement'!M938,"")</f>
        <v/>
      </c>
      <c r="O938" t="str">
        <f>IF($A938&lt;&gt;"",'Approved-Enforcement'!N938,"")</f>
        <v/>
      </c>
      <c r="P938" t="str">
        <f>IF($A938&lt;&gt;"",'Approved-Enforcement'!O938,"")</f>
        <v/>
      </c>
    </row>
    <row r="939" spans="1:16" x14ac:dyDescent="0.35">
      <c r="A939" s="4" t="str">
        <f>IF('Approved-Enforcement'!$A939&lt;&gt;"",'Approved-Enforcement'!A939,"")</f>
        <v/>
      </c>
      <c r="B939" t="str">
        <f t="shared" si="14"/>
        <v/>
      </c>
      <c r="D939" t="str">
        <f>IF($A939&lt;&gt;"",IF($R939&lt;&gt;"",$R939,'Approved-Enforcement'!$B939+7),"")</f>
        <v/>
      </c>
      <c r="E939" t="str">
        <f>IF($A939&lt;&gt;"",'Approved-Enforcement'!D939,"")</f>
        <v/>
      </c>
      <c r="F939" t="str">
        <f>IF($A939&lt;&gt;"",'Approved-Enforcement'!E939,"")</f>
        <v/>
      </c>
      <c r="G939" t="str">
        <f>IF($A939&lt;&gt;"",'Approved-Enforcement'!F939,"")</f>
        <v/>
      </c>
      <c r="H939" t="str">
        <f>IF($A939&lt;&gt;"",'Approved-Enforcement'!G939,"")</f>
        <v/>
      </c>
      <c r="I939" t="str">
        <f>IF($A939&lt;&gt;"",'Approved-Enforcement'!H939,"")</f>
        <v/>
      </c>
      <c r="J939" t="str">
        <f>IF($A939&lt;&gt;"",'Approved-Enforcement'!I939,"")</f>
        <v/>
      </c>
      <c r="K939" t="str">
        <f>IF($A939&lt;&gt;"",'Approved-Enforcement'!J939,"")</f>
        <v/>
      </c>
      <c r="L939" t="str">
        <f>IF($A939&lt;&gt;"",'Approved-Enforcement'!K939,"")</f>
        <v/>
      </c>
      <c r="M939" t="str">
        <f>IF($A939&lt;&gt;"",'Approved-Enforcement'!L939,"")</f>
        <v/>
      </c>
      <c r="N939" t="str">
        <f>IF($A939&lt;&gt;"",'Approved-Enforcement'!M939,"")</f>
        <v/>
      </c>
      <c r="O939" t="str">
        <f>IF($A939&lt;&gt;"",'Approved-Enforcement'!N939,"")</f>
        <v/>
      </c>
      <c r="P939" t="str">
        <f>IF($A939&lt;&gt;"",'Approved-Enforcement'!O939,"")</f>
        <v/>
      </c>
    </row>
    <row r="940" spans="1:16" x14ac:dyDescent="0.35">
      <c r="A940" s="4" t="str">
        <f>IF('Approved-Enforcement'!$A940&lt;&gt;"",'Approved-Enforcement'!A940,"")</f>
        <v/>
      </c>
      <c r="B940" t="str">
        <f t="shared" si="14"/>
        <v/>
      </c>
      <c r="D940" t="str">
        <f>IF($A940&lt;&gt;"",IF($R940&lt;&gt;"",$R940,'Approved-Enforcement'!$B940+7),"")</f>
        <v/>
      </c>
      <c r="E940" t="str">
        <f>IF($A940&lt;&gt;"",'Approved-Enforcement'!D940,"")</f>
        <v/>
      </c>
      <c r="F940" t="str">
        <f>IF($A940&lt;&gt;"",'Approved-Enforcement'!E940,"")</f>
        <v/>
      </c>
      <c r="G940" t="str">
        <f>IF($A940&lt;&gt;"",'Approved-Enforcement'!F940,"")</f>
        <v/>
      </c>
      <c r="H940" t="str">
        <f>IF($A940&lt;&gt;"",'Approved-Enforcement'!G940,"")</f>
        <v/>
      </c>
      <c r="I940" t="str">
        <f>IF($A940&lt;&gt;"",'Approved-Enforcement'!H940,"")</f>
        <v/>
      </c>
      <c r="J940" t="str">
        <f>IF($A940&lt;&gt;"",'Approved-Enforcement'!I940,"")</f>
        <v/>
      </c>
      <c r="K940" t="str">
        <f>IF($A940&lt;&gt;"",'Approved-Enforcement'!J940,"")</f>
        <v/>
      </c>
      <c r="L940" t="str">
        <f>IF($A940&lt;&gt;"",'Approved-Enforcement'!K940,"")</f>
        <v/>
      </c>
      <c r="M940" t="str">
        <f>IF($A940&lt;&gt;"",'Approved-Enforcement'!L940,"")</f>
        <v/>
      </c>
      <c r="N940" t="str">
        <f>IF($A940&lt;&gt;"",'Approved-Enforcement'!M940,"")</f>
        <v/>
      </c>
      <c r="O940" t="str">
        <f>IF($A940&lt;&gt;"",'Approved-Enforcement'!N940,"")</f>
        <v/>
      </c>
      <c r="P940" t="str">
        <f>IF($A940&lt;&gt;"",'Approved-Enforcement'!O940,"")</f>
        <v/>
      </c>
    </row>
    <row r="941" spans="1:16" x14ac:dyDescent="0.35">
      <c r="A941" s="4" t="str">
        <f>IF('Approved-Enforcement'!$A941&lt;&gt;"",'Approved-Enforcement'!A941,"")</f>
        <v/>
      </c>
      <c r="B941" t="str">
        <f t="shared" si="14"/>
        <v/>
      </c>
      <c r="D941" t="str">
        <f>IF($A941&lt;&gt;"",IF($R941&lt;&gt;"",$R941,'Approved-Enforcement'!$B941+7),"")</f>
        <v/>
      </c>
      <c r="E941" t="str">
        <f>IF($A941&lt;&gt;"",'Approved-Enforcement'!D941,"")</f>
        <v/>
      </c>
      <c r="F941" t="str">
        <f>IF($A941&lt;&gt;"",'Approved-Enforcement'!E941,"")</f>
        <v/>
      </c>
      <c r="G941" t="str">
        <f>IF($A941&lt;&gt;"",'Approved-Enforcement'!F941,"")</f>
        <v/>
      </c>
      <c r="H941" t="str">
        <f>IF($A941&lt;&gt;"",'Approved-Enforcement'!G941,"")</f>
        <v/>
      </c>
      <c r="I941" t="str">
        <f>IF($A941&lt;&gt;"",'Approved-Enforcement'!H941,"")</f>
        <v/>
      </c>
      <c r="J941" t="str">
        <f>IF($A941&lt;&gt;"",'Approved-Enforcement'!I941,"")</f>
        <v/>
      </c>
      <c r="K941" t="str">
        <f>IF($A941&lt;&gt;"",'Approved-Enforcement'!J941,"")</f>
        <v/>
      </c>
      <c r="L941" t="str">
        <f>IF($A941&lt;&gt;"",'Approved-Enforcement'!K941,"")</f>
        <v/>
      </c>
      <c r="M941" t="str">
        <f>IF($A941&lt;&gt;"",'Approved-Enforcement'!L941,"")</f>
        <v/>
      </c>
      <c r="N941" t="str">
        <f>IF($A941&lt;&gt;"",'Approved-Enforcement'!M941,"")</f>
        <v/>
      </c>
      <c r="O941" t="str">
        <f>IF($A941&lt;&gt;"",'Approved-Enforcement'!N941,"")</f>
        <v/>
      </c>
      <c r="P941" t="str">
        <f>IF($A941&lt;&gt;"",'Approved-Enforcement'!O941,"")</f>
        <v/>
      </c>
    </row>
    <row r="942" spans="1:16" x14ac:dyDescent="0.35">
      <c r="A942" s="4" t="str">
        <f>IF('Approved-Enforcement'!$A942&lt;&gt;"",'Approved-Enforcement'!A942,"")</f>
        <v/>
      </c>
      <c r="B942" t="str">
        <f t="shared" si="14"/>
        <v/>
      </c>
      <c r="D942" t="str">
        <f>IF($A942&lt;&gt;"",IF($R942&lt;&gt;"",$R942,'Approved-Enforcement'!$B942+7),"")</f>
        <v/>
      </c>
      <c r="E942" t="str">
        <f>IF($A942&lt;&gt;"",'Approved-Enforcement'!D942,"")</f>
        <v/>
      </c>
      <c r="F942" t="str">
        <f>IF($A942&lt;&gt;"",'Approved-Enforcement'!E942,"")</f>
        <v/>
      </c>
      <c r="G942" t="str">
        <f>IF($A942&lt;&gt;"",'Approved-Enforcement'!F942,"")</f>
        <v/>
      </c>
      <c r="H942" t="str">
        <f>IF($A942&lt;&gt;"",'Approved-Enforcement'!G942,"")</f>
        <v/>
      </c>
      <c r="I942" t="str">
        <f>IF($A942&lt;&gt;"",'Approved-Enforcement'!H942,"")</f>
        <v/>
      </c>
      <c r="J942" t="str">
        <f>IF($A942&lt;&gt;"",'Approved-Enforcement'!I942,"")</f>
        <v/>
      </c>
      <c r="K942" t="str">
        <f>IF($A942&lt;&gt;"",'Approved-Enforcement'!J942,"")</f>
        <v/>
      </c>
      <c r="L942" t="str">
        <f>IF($A942&lt;&gt;"",'Approved-Enforcement'!K942,"")</f>
        <v/>
      </c>
      <c r="M942" t="str">
        <f>IF($A942&lt;&gt;"",'Approved-Enforcement'!L942,"")</f>
        <v/>
      </c>
      <c r="N942" t="str">
        <f>IF($A942&lt;&gt;"",'Approved-Enforcement'!M942,"")</f>
        <v/>
      </c>
      <c r="O942" t="str">
        <f>IF($A942&lt;&gt;"",'Approved-Enforcement'!N942,"")</f>
        <v/>
      </c>
      <c r="P942" t="str">
        <f>IF($A942&lt;&gt;"",'Approved-Enforcement'!O942,"")</f>
        <v/>
      </c>
    </row>
    <row r="943" spans="1:16" x14ac:dyDescent="0.35">
      <c r="A943" s="4" t="str">
        <f>IF('Approved-Enforcement'!$A943&lt;&gt;"",'Approved-Enforcement'!A943,"")</f>
        <v/>
      </c>
      <c r="B943" t="str">
        <f t="shared" si="14"/>
        <v/>
      </c>
      <c r="D943" t="str">
        <f>IF($A943&lt;&gt;"",IF($R943&lt;&gt;"",$R943,'Approved-Enforcement'!$B943+7),"")</f>
        <v/>
      </c>
      <c r="E943" t="str">
        <f>IF($A943&lt;&gt;"",'Approved-Enforcement'!D943,"")</f>
        <v/>
      </c>
      <c r="F943" t="str">
        <f>IF($A943&lt;&gt;"",'Approved-Enforcement'!E943,"")</f>
        <v/>
      </c>
      <c r="G943" t="str">
        <f>IF($A943&lt;&gt;"",'Approved-Enforcement'!F943,"")</f>
        <v/>
      </c>
      <c r="H943" t="str">
        <f>IF($A943&lt;&gt;"",'Approved-Enforcement'!G943,"")</f>
        <v/>
      </c>
      <c r="I943" t="str">
        <f>IF($A943&lt;&gt;"",'Approved-Enforcement'!H943,"")</f>
        <v/>
      </c>
      <c r="J943" t="str">
        <f>IF($A943&lt;&gt;"",'Approved-Enforcement'!I943,"")</f>
        <v/>
      </c>
      <c r="K943" t="str">
        <f>IF($A943&lt;&gt;"",'Approved-Enforcement'!J943,"")</f>
        <v/>
      </c>
      <c r="L943" t="str">
        <f>IF($A943&lt;&gt;"",'Approved-Enforcement'!K943,"")</f>
        <v/>
      </c>
      <c r="M943" t="str">
        <f>IF($A943&lt;&gt;"",'Approved-Enforcement'!L943,"")</f>
        <v/>
      </c>
      <c r="N943" t="str">
        <f>IF($A943&lt;&gt;"",'Approved-Enforcement'!M943,"")</f>
        <v/>
      </c>
      <c r="O943" t="str">
        <f>IF($A943&lt;&gt;"",'Approved-Enforcement'!N943,"")</f>
        <v/>
      </c>
      <c r="P943" t="str">
        <f>IF($A943&lt;&gt;"",'Approved-Enforcement'!O943,"")</f>
        <v/>
      </c>
    </row>
    <row r="944" spans="1:16" x14ac:dyDescent="0.35">
      <c r="A944" s="4" t="str">
        <f>IF('Approved-Enforcement'!$A944&lt;&gt;"",'Approved-Enforcement'!A944,"")</f>
        <v/>
      </c>
      <c r="B944" t="str">
        <f t="shared" si="14"/>
        <v/>
      </c>
      <c r="D944" t="str">
        <f>IF($A944&lt;&gt;"",IF($R944&lt;&gt;"",$R944,'Approved-Enforcement'!$B944+7),"")</f>
        <v/>
      </c>
      <c r="E944" t="str">
        <f>IF($A944&lt;&gt;"",'Approved-Enforcement'!D944,"")</f>
        <v/>
      </c>
      <c r="F944" t="str">
        <f>IF($A944&lt;&gt;"",'Approved-Enforcement'!E944,"")</f>
        <v/>
      </c>
      <c r="G944" t="str">
        <f>IF($A944&lt;&gt;"",'Approved-Enforcement'!F944,"")</f>
        <v/>
      </c>
      <c r="H944" t="str">
        <f>IF($A944&lt;&gt;"",'Approved-Enforcement'!G944,"")</f>
        <v/>
      </c>
      <c r="I944" t="str">
        <f>IF($A944&lt;&gt;"",'Approved-Enforcement'!H944,"")</f>
        <v/>
      </c>
      <c r="J944" t="str">
        <f>IF($A944&lt;&gt;"",'Approved-Enforcement'!I944,"")</f>
        <v/>
      </c>
      <c r="K944" t="str">
        <f>IF($A944&lt;&gt;"",'Approved-Enforcement'!J944,"")</f>
        <v/>
      </c>
      <c r="L944" t="str">
        <f>IF($A944&lt;&gt;"",'Approved-Enforcement'!K944,"")</f>
        <v/>
      </c>
      <c r="M944" t="str">
        <f>IF($A944&lt;&gt;"",'Approved-Enforcement'!L944,"")</f>
        <v/>
      </c>
      <c r="N944" t="str">
        <f>IF($A944&lt;&gt;"",'Approved-Enforcement'!M944,"")</f>
        <v/>
      </c>
      <c r="O944" t="str">
        <f>IF($A944&lt;&gt;"",'Approved-Enforcement'!N944,"")</f>
        <v/>
      </c>
      <c r="P944" t="str">
        <f>IF($A944&lt;&gt;"",'Approved-Enforcement'!O944,"")</f>
        <v/>
      </c>
    </row>
    <row r="945" spans="1:16" x14ac:dyDescent="0.35">
      <c r="A945" s="4" t="str">
        <f>IF('Approved-Enforcement'!$A945&lt;&gt;"",'Approved-Enforcement'!A945,"")</f>
        <v/>
      </c>
      <c r="B945" t="str">
        <f t="shared" si="14"/>
        <v/>
      </c>
      <c r="D945" t="str">
        <f>IF($A945&lt;&gt;"",IF($R945&lt;&gt;"",$R945,'Approved-Enforcement'!$B945+7),"")</f>
        <v/>
      </c>
      <c r="E945" t="str">
        <f>IF($A945&lt;&gt;"",'Approved-Enforcement'!D945,"")</f>
        <v/>
      </c>
      <c r="F945" t="str">
        <f>IF($A945&lt;&gt;"",'Approved-Enforcement'!E945,"")</f>
        <v/>
      </c>
      <c r="G945" t="str">
        <f>IF($A945&lt;&gt;"",'Approved-Enforcement'!F945,"")</f>
        <v/>
      </c>
      <c r="H945" t="str">
        <f>IF($A945&lt;&gt;"",'Approved-Enforcement'!G945,"")</f>
        <v/>
      </c>
      <c r="I945" t="str">
        <f>IF($A945&lt;&gt;"",'Approved-Enforcement'!H945,"")</f>
        <v/>
      </c>
      <c r="J945" t="str">
        <f>IF($A945&lt;&gt;"",'Approved-Enforcement'!I945,"")</f>
        <v/>
      </c>
      <c r="K945" t="str">
        <f>IF($A945&lt;&gt;"",'Approved-Enforcement'!J945,"")</f>
        <v/>
      </c>
      <c r="L945" t="str">
        <f>IF($A945&lt;&gt;"",'Approved-Enforcement'!K945,"")</f>
        <v/>
      </c>
      <c r="M945" t="str">
        <f>IF($A945&lt;&gt;"",'Approved-Enforcement'!L945,"")</f>
        <v/>
      </c>
      <c r="N945" t="str">
        <f>IF($A945&lt;&gt;"",'Approved-Enforcement'!M945,"")</f>
        <v/>
      </c>
      <c r="O945" t="str">
        <f>IF($A945&lt;&gt;"",'Approved-Enforcement'!N945,"")</f>
        <v/>
      </c>
      <c r="P945" t="str">
        <f>IF($A945&lt;&gt;"",'Approved-Enforcement'!O945,"")</f>
        <v/>
      </c>
    </row>
    <row r="946" spans="1:16" x14ac:dyDescent="0.35">
      <c r="A946" s="4" t="str">
        <f>IF('Approved-Enforcement'!$A946&lt;&gt;"",'Approved-Enforcement'!A946,"")</f>
        <v/>
      </c>
      <c r="B946" t="str">
        <f t="shared" si="14"/>
        <v/>
      </c>
      <c r="D946" t="str">
        <f>IF($A946&lt;&gt;"",IF($R946&lt;&gt;"",$R946,'Approved-Enforcement'!$B946+7),"")</f>
        <v/>
      </c>
      <c r="E946" t="str">
        <f>IF($A946&lt;&gt;"",'Approved-Enforcement'!D946,"")</f>
        <v/>
      </c>
      <c r="F946" t="str">
        <f>IF($A946&lt;&gt;"",'Approved-Enforcement'!E946,"")</f>
        <v/>
      </c>
      <c r="G946" t="str">
        <f>IF($A946&lt;&gt;"",'Approved-Enforcement'!F946,"")</f>
        <v/>
      </c>
      <c r="H946" t="str">
        <f>IF($A946&lt;&gt;"",'Approved-Enforcement'!G946,"")</f>
        <v/>
      </c>
      <c r="I946" t="str">
        <f>IF($A946&lt;&gt;"",'Approved-Enforcement'!H946,"")</f>
        <v/>
      </c>
      <c r="J946" t="str">
        <f>IF($A946&lt;&gt;"",'Approved-Enforcement'!I946,"")</f>
        <v/>
      </c>
      <c r="K946" t="str">
        <f>IF($A946&lt;&gt;"",'Approved-Enforcement'!J946,"")</f>
        <v/>
      </c>
      <c r="L946" t="str">
        <f>IF($A946&lt;&gt;"",'Approved-Enforcement'!K946,"")</f>
        <v/>
      </c>
      <c r="M946" t="str">
        <f>IF($A946&lt;&gt;"",'Approved-Enforcement'!L946,"")</f>
        <v/>
      </c>
      <c r="N946" t="str">
        <f>IF($A946&lt;&gt;"",'Approved-Enforcement'!M946,"")</f>
        <v/>
      </c>
      <c r="O946" t="str">
        <f>IF($A946&lt;&gt;"",'Approved-Enforcement'!N946,"")</f>
        <v/>
      </c>
      <c r="P946" t="str">
        <f>IF($A946&lt;&gt;"",'Approved-Enforcement'!O946,"")</f>
        <v/>
      </c>
    </row>
    <row r="947" spans="1:16" x14ac:dyDescent="0.35">
      <c r="A947" s="4" t="str">
        <f>IF('Approved-Enforcement'!$A947&lt;&gt;"",'Approved-Enforcement'!A947,"")</f>
        <v/>
      </c>
      <c r="B947" t="str">
        <f t="shared" si="14"/>
        <v/>
      </c>
      <c r="D947" t="str">
        <f>IF($A947&lt;&gt;"",IF($R947&lt;&gt;"",$R947,'Approved-Enforcement'!$B947+7),"")</f>
        <v/>
      </c>
      <c r="E947" t="str">
        <f>IF($A947&lt;&gt;"",'Approved-Enforcement'!D947,"")</f>
        <v/>
      </c>
      <c r="F947" t="str">
        <f>IF($A947&lt;&gt;"",'Approved-Enforcement'!E947,"")</f>
        <v/>
      </c>
      <c r="G947" t="str">
        <f>IF($A947&lt;&gt;"",'Approved-Enforcement'!F947,"")</f>
        <v/>
      </c>
      <c r="H947" t="str">
        <f>IF($A947&lt;&gt;"",'Approved-Enforcement'!G947,"")</f>
        <v/>
      </c>
      <c r="I947" t="str">
        <f>IF($A947&lt;&gt;"",'Approved-Enforcement'!H947,"")</f>
        <v/>
      </c>
      <c r="J947" t="str">
        <f>IF($A947&lt;&gt;"",'Approved-Enforcement'!I947,"")</f>
        <v/>
      </c>
      <c r="K947" t="str">
        <f>IF($A947&lt;&gt;"",'Approved-Enforcement'!J947,"")</f>
        <v/>
      </c>
      <c r="L947" t="str">
        <f>IF($A947&lt;&gt;"",'Approved-Enforcement'!K947,"")</f>
        <v/>
      </c>
      <c r="M947" t="str">
        <f>IF($A947&lt;&gt;"",'Approved-Enforcement'!L947,"")</f>
        <v/>
      </c>
      <c r="N947" t="str">
        <f>IF($A947&lt;&gt;"",'Approved-Enforcement'!M947,"")</f>
        <v/>
      </c>
      <c r="O947" t="str">
        <f>IF($A947&lt;&gt;"",'Approved-Enforcement'!N947,"")</f>
        <v/>
      </c>
      <c r="P947" t="str">
        <f>IF($A947&lt;&gt;"",'Approved-Enforcement'!O947,"")</f>
        <v/>
      </c>
    </row>
    <row r="948" spans="1:16" x14ac:dyDescent="0.35">
      <c r="A948" s="4" t="str">
        <f>IF('Approved-Enforcement'!$A948&lt;&gt;"",'Approved-Enforcement'!A948,"")</f>
        <v/>
      </c>
      <c r="B948" t="str">
        <f t="shared" si="14"/>
        <v/>
      </c>
      <c r="D948" t="str">
        <f>IF($A948&lt;&gt;"",IF($R948&lt;&gt;"",$R948,'Approved-Enforcement'!$B948+7),"")</f>
        <v/>
      </c>
      <c r="E948" t="str">
        <f>IF($A948&lt;&gt;"",'Approved-Enforcement'!D948,"")</f>
        <v/>
      </c>
      <c r="F948" t="str">
        <f>IF($A948&lt;&gt;"",'Approved-Enforcement'!E948,"")</f>
        <v/>
      </c>
      <c r="G948" t="str">
        <f>IF($A948&lt;&gt;"",'Approved-Enforcement'!F948,"")</f>
        <v/>
      </c>
      <c r="H948" t="str">
        <f>IF($A948&lt;&gt;"",'Approved-Enforcement'!G948,"")</f>
        <v/>
      </c>
      <c r="I948" t="str">
        <f>IF($A948&lt;&gt;"",'Approved-Enforcement'!H948,"")</f>
        <v/>
      </c>
      <c r="J948" t="str">
        <f>IF($A948&lt;&gt;"",'Approved-Enforcement'!I948,"")</f>
        <v/>
      </c>
      <c r="K948" t="str">
        <f>IF($A948&lt;&gt;"",'Approved-Enforcement'!J948,"")</f>
        <v/>
      </c>
      <c r="L948" t="str">
        <f>IF($A948&lt;&gt;"",'Approved-Enforcement'!K948,"")</f>
        <v/>
      </c>
      <c r="M948" t="str">
        <f>IF($A948&lt;&gt;"",'Approved-Enforcement'!L948,"")</f>
        <v/>
      </c>
      <c r="N948" t="str">
        <f>IF($A948&lt;&gt;"",'Approved-Enforcement'!M948,"")</f>
        <v/>
      </c>
      <c r="O948" t="str">
        <f>IF($A948&lt;&gt;"",'Approved-Enforcement'!N948,"")</f>
        <v/>
      </c>
      <c r="P948" t="str">
        <f>IF($A948&lt;&gt;"",'Approved-Enforcement'!O948,"")</f>
        <v/>
      </c>
    </row>
    <row r="949" spans="1:16" x14ac:dyDescent="0.35">
      <c r="A949" s="4" t="str">
        <f>IF('Approved-Enforcement'!$A949&lt;&gt;"",'Approved-Enforcement'!A949,"")</f>
        <v/>
      </c>
      <c r="B949" t="str">
        <f t="shared" si="14"/>
        <v/>
      </c>
      <c r="D949" t="str">
        <f>IF($A949&lt;&gt;"",IF($R949&lt;&gt;"",$R949,'Approved-Enforcement'!$B949+7),"")</f>
        <v/>
      </c>
      <c r="E949" t="str">
        <f>IF($A949&lt;&gt;"",'Approved-Enforcement'!D949,"")</f>
        <v/>
      </c>
      <c r="F949" t="str">
        <f>IF($A949&lt;&gt;"",'Approved-Enforcement'!E949,"")</f>
        <v/>
      </c>
      <c r="G949" t="str">
        <f>IF($A949&lt;&gt;"",'Approved-Enforcement'!F949,"")</f>
        <v/>
      </c>
      <c r="H949" t="str">
        <f>IF($A949&lt;&gt;"",'Approved-Enforcement'!G949,"")</f>
        <v/>
      </c>
      <c r="I949" t="str">
        <f>IF($A949&lt;&gt;"",'Approved-Enforcement'!H949,"")</f>
        <v/>
      </c>
      <c r="J949" t="str">
        <f>IF($A949&lt;&gt;"",'Approved-Enforcement'!I949,"")</f>
        <v/>
      </c>
      <c r="K949" t="str">
        <f>IF($A949&lt;&gt;"",'Approved-Enforcement'!J949,"")</f>
        <v/>
      </c>
      <c r="L949" t="str">
        <f>IF($A949&lt;&gt;"",'Approved-Enforcement'!K949,"")</f>
        <v/>
      </c>
      <c r="M949" t="str">
        <f>IF($A949&lt;&gt;"",'Approved-Enforcement'!L949,"")</f>
        <v/>
      </c>
      <c r="N949" t="str">
        <f>IF($A949&lt;&gt;"",'Approved-Enforcement'!M949,"")</f>
        <v/>
      </c>
      <c r="O949" t="str">
        <f>IF($A949&lt;&gt;"",'Approved-Enforcement'!N949,"")</f>
        <v/>
      </c>
      <c r="P949" t="str">
        <f>IF($A949&lt;&gt;"",'Approved-Enforcement'!O949,"")</f>
        <v/>
      </c>
    </row>
    <row r="950" spans="1:16" x14ac:dyDescent="0.35">
      <c r="A950" s="4" t="str">
        <f>IF('Approved-Enforcement'!$A950&lt;&gt;"",'Approved-Enforcement'!A950,"")</f>
        <v/>
      </c>
      <c r="B950" t="str">
        <f t="shared" si="14"/>
        <v/>
      </c>
      <c r="D950" t="str">
        <f>IF($A950&lt;&gt;"",IF($R950&lt;&gt;"",$R950,'Approved-Enforcement'!$B950+7),"")</f>
        <v/>
      </c>
      <c r="E950" t="str">
        <f>IF($A950&lt;&gt;"",'Approved-Enforcement'!D950,"")</f>
        <v/>
      </c>
      <c r="F950" t="str">
        <f>IF($A950&lt;&gt;"",'Approved-Enforcement'!E950,"")</f>
        <v/>
      </c>
      <c r="G950" t="str">
        <f>IF($A950&lt;&gt;"",'Approved-Enforcement'!F950,"")</f>
        <v/>
      </c>
      <c r="H950" t="str">
        <f>IF($A950&lt;&gt;"",'Approved-Enforcement'!G950,"")</f>
        <v/>
      </c>
      <c r="I950" t="str">
        <f>IF($A950&lt;&gt;"",'Approved-Enforcement'!H950,"")</f>
        <v/>
      </c>
      <c r="J950" t="str">
        <f>IF($A950&lt;&gt;"",'Approved-Enforcement'!I950,"")</f>
        <v/>
      </c>
      <c r="K950" t="str">
        <f>IF($A950&lt;&gt;"",'Approved-Enforcement'!J950,"")</f>
        <v/>
      </c>
      <c r="L950" t="str">
        <f>IF($A950&lt;&gt;"",'Approved-Enforcement'!K950,"")</f>
        <v/>
      </c>
      <c r="M950" t="str">
        <f>IF($A950&lt;&gt;"",'Approved-Enforcement'!L950,"")</f>
        <v/>
      </c>
      <c r="N950" t="str">
        <f>IF($A950&lt;&gt;"",'Approved-Enforcement'!M950,"")</f>
        <v/>
      </c>
      <c r="O950" t="str">
        <f>IF($A950&lt;&gt;"",'Approved-Enforcement'!N950,"")</f>
        <v/>
      </c>
      <c r="P950" t="str">
        <f>IF($A950&lt;&gt;"",'Approved-Enforcement'!O950,"")</f>
        <v/>
      </c>
    </row>
    <row r="951" spans="1:16" x14ac:dyDescent="0.35">
      <c r="A951" s="4" t="str">
        <f>IF('Approved-Enforcement'!$A951&lt;&gt;"",'Approved-Enforcement'!A951,"")</f>
        <v/>
      </c>
      <c r="B951" t="str">
        <f t="shared" si="14"/>
        <v/>
      </c>
      <c r="D951" t="str">
        <f>IF($A951&lt;&gt;"",IF($R951&lt;&gt;"",$R951,'Approved-Enforcement'!$B951+7),"")</f>
        <v/>
      </c>
      <c r="E951" t="str">
        <f>IF($A951&lt;&gt;"",'Approved-Enforcement'!D951,"")</f>
        <v/>
      </c>
      <c r="F951" t="str">
        <f>IF($A951&lt;&gt;"",'Approved-Enforcement'!E951,"")</f>
        <v/>
      </c>
      <c r="G951" t="str">
        <f>IF($A951&lt;&gt;"",'Approved-Enforcement'!F951,"")</f>
        <v/>
      </c>
      <c r="H951" t="str">
        <f>IF($A951&lt;&gt;"",'Approved-Enforcement'!G951,"")</f>
        <v/>
      </c>
      <c r="I951" t="str">
        <f>IF($A951&lt;&gt;"",'Approved-Enforcement'!H951,"")</f>
        <v/>
      </c>
      <c r="J951" t="str">
        <f>IF($A951&lt;&gt;"",'Approved-Enforcement'!I951,"")</f>
        <v/>
      </c>
      <c r="K951" t="str">
        <f>IF($A951&lt;&gt;"",'Approved-Enforcement'!J951,"")</f>
        <v/>
      </c>
      <c r="L951" t="str">
        <f>IF($A951&lt;&gt;"",'Approved-Enforcement'!K951,"")</f>
        <v/>
      </c>
      <c r="M951" t="str">
        <f>IF($A951&lt;&gt;"",'Approved-Enforcement'!L951,"")</f>
        <v/>
      </c>
      <c r="N951" t="str">
        <f>IF($A951&lt;&gt;"",'Approved-Enforcement'!M951,"")</f>
        <v/>
      </c>
      <c r="O951" t="str">
        <f>IF($A951&lt;&gt;"",'Approved-Enforcement'!N951,"")</f>
        <v/>
      </c>
      <c r="P951" t="str">
        <f>IF($A951&lt;&gt;"",'Approved-Enforcement'!O951,"")</f>
        <v/>
      </c>
    </row>
    <row r="952" spans="1:16" x14ac:dyDescent="0.35">
      <c r="A952" s="4" t="str">
        <f>IF('Approved-Enforcement'!$A952&lt;&gt;"",'Approved-Enforcement'!A952,"")</f>
        <v/>
      </c>
      <c r="B952" t="str">
        <f t="shared" si="14"/>
        <v/>
      </c>
      <c r="D952" t="str">
        <f>IF($A952&lt;&gt;"",IF($R952&lt;&gt;"",$R952,'Approved-Enforcement'!$B952+7),"")</f>
        <v/>
      </c>
      <c r="E952" t="str">
        <f>IF($A952&lt;&gt;"",'Approved-Enforcement'!D952,"")</f>
        <v/>
      </c>
      <c r="F952" t="str">
        <f>IF($A952&lt;&gt;"",'Approved-Enforcement'!E952,"")</f>
        <v/>
      </c>
      <c r="G952" t="str">
        <f>IF($A952&lt;&gt;"",'Approved-Enforcement'!F952,"")</f>
        <v/>
      </c>
      <c r="H952" t="str">
        <f>IF($A952&lt;&gt;"",'Approved-Enforcement'!G952,"")</f>
        <v/>
      </c>
      <c r="I952" t="str">
        <f>IF($A952&lt;&gt;"",'Approved-Enforcement'!H952,"")</f>
        <v/>
      </c>
      <c r="J952" t="str">
        <f>IF($A952&lt;&gt;"",'Approved-Enforcement'!I952,"")</f>
        <v/>
      </c>
      <c r="K952" t="str">
        <f>IF($A952&lt;&gt;"",'Approved-Enforcement'!J952,"")</f>
        <v/>
      </c>
      <c r="L952" t="str">
        <f>IF($A952&lt;&gt;"",'Approved-Enforcement'!K952,"")</f>
        <v/>
      </c>
      <c r="M952" t="str">
        <f>IF($A952&lt;&gt;"",'Approved-Enforcement'!L952,"")</f>
        <v/>
      </c>
      <c r="N952" t="str">
        <f>IF($A952&lt;&gt;"",'Approved-Enforcement'!M952,"")</f>
        <v/>
      </c>
      <c r="O952" t="str">
        <f>IF($A952&lt;&gt;"",'Approved-Enforcement'!N952,"")</f>
        <v/>
      </c>
      <c r="P952" t="str">
        <f>IF($A952&lt;&gt;"",'Approved-Enforcement'!O952,"")</f>
        <v/>
      </c>
    </row>
    <row r="953" spans="1:16" x14ac:dyDescent="0.35">
      <c r="A953" s="4" t="str">
        <f>IF('Approved-Enforcement'!$A953&lt;&gt;"",'Approved-Enforcement'!A953,"")</f>
        <v/>
      </c>
      <c r="B953" t="str">
        <f t="shared" si="14"/>
        <v/>
      </c>
      <c r="D953" t="str">
        <f>IF($A953&lt;&gt;"",IF($R953&lt;&gt;"",$R953,'Approved-Enforcement'!$B953+7),"")</f>
        <v/>
      </c>
      <c r="E953" t="str">
        <f>IF($A953&lt;&gt;"",'Approved-Enforcement'!D953,"")</f>
        <v/>
      </c>
      <c r="F953" t="str">
        <f>IF($A953&lt;&gt;"",'Approved-Enforcement'!E953,"")</f>
        <v/>
      </c>
      <c r="G953" t="str">
        <f>IF($A953&lt;&gt;"",'Approved-Enforcement'!F953,"")</f>
        <v/>
      </c>
      <c r="H953" t="str">
        <f>IF($A953&lt;&gt;"",'Approved-Enforcement'!G953,"")</f>
        <v/>
      </c>
      <c r="I953" t="str">
        <f>IF($A953&lt;&gt;"",'Approved-Enforcement'!H953,"")</f>
        <v/>
      </c>
      <c r="J953" t="str">
        <f>IF($A953&lt;&gt;"",'Approved-Enforcement'!I953,"")</f>
        <v/>
      </c>
      <c r="K953" t="str">
        <f>IF($A953&lt;&gt;"",'Approved-Enforcement'!J953,"")</f>
        <v/>
      </c>
      <c r="L953" t="str">
        <f>IF($A953&lt;&gt;"",'Approved-Enforcement'!K953,"")</f>
        <v/>
      </c>
      <c r="M953" t="str">
        <f>IF($A953&lt;&gt;"",'Approved-Enforcement'!L953,"")</f>
        <v/>
      </c>
      <c r="N953" t="str">
        <f>IF($A953&lt;&gt;"",'Approved-Enforcement'!M953,"")</f>
        <v/>
      </c>
      <c r="O953" t="str">
        <f>IF($A953&lt;&gt;"",'Approved-Enforcement'!N953,"")</f>
        <v/>
      </c>
      <c r="P953" t="str">
        <f>IF($A953&lt;&gt;"",'Approved-Enforcement'!O953,"")</f>
        <v/>
      </c>
    </row>
    <row r="954" spans="1:16" x14ac:dyDescent="0.35">
      <c r="A954" s="4" t="str">
        <f>IF('Approved-Enforcement'!$A954&lt;&gt;"",'Approved-Enforcement'!A954,"")</f>
        <v/>
      </c>
      <c r="B954" t="str">
        <f t="shared" si="14"/>
        <v/>
      </c>
      <c r="D954" t="str">
        <f>IF($A954&lt;&gt;"",IF($R954&lt;&gt;"",$R954,'Approved-Enforcement'!$B954+7),"")</f>
        <v/>
      </c>
      <c r="E954" t="str">
        <f>IF($A954&lt;&gt;"",'Approved-Enforcement'!D954,"")</f>
        <v/>
      </c>
      <c r="F954" t="str">
        <f>IF($A954&lt;&gt;"",'Approved-Enforcement'!E954,"")</f>
        <v/>
      </c>
      <c r="G954" t="str">
        <f>IF($A954&lt;&gt;"",'Approved-Enforcement'!F954,"")</f>
        <v/>
      </c>
      <c r="H954" t="str">
        <f>IF($A954&lt;&gt;"",'Approved-Enforcement'!G954,"")</f>
        <v/>
      </c>
      <c r="I954" t="str">
        <f>IF($A954&lt;&gt;"",'Approved-Enforcement'!H954,"")</f>
        <v/>
      </c>
      <c r="J954" t="str">
        <f>IF($A954&lt;&gt;"",'Approved-Enforcement'!I954,"")</f>
        <v/>
      </c>
      <c r="K954" t="str">
        <f>IF($A954&lt;&gt;"",'Approved-Enforcement'!J954,"")</f>
        <v/>
      </c>
      <c r="L954" t="str">
        <f>IF($A954&lt;&gt;"",'Approved-Enforcement'!K954,"")</f>
        <v/>
      </c>
      <c r="M954" t="str">
        <f>IF($A954&lt;&gt;"",'Approved-Enforcement'!L954,"")</f>
        <v/>
      </c>
      <c r="N954" t="str">
        <f>IF($A954&lt;&gt;"",'Approved-Enforcement'!M954,"")</f>
        <v/>
      </c>
      <c r="O954" t="str">
        <f>IF($A954&lt;&gt;"",'Approved-Enforcement'!N954,"")</f>
        <v/>
      </c>
      <c r="P954" t="str">
        <f>IF($A954&lt;&gt;"",'Approved-Enforcement'!O954,"")</f>
        <v/>
      </c>
    </row>
    <row r="955" spans="1:16" x14ac:dyDescent="0.35">
      <c r="A955" s="4" t="str">
        <f>IF('Approved-Enforcement'!$A955&lt;&gt;"",'Approved-Enforcement'!A955,"")</f>
        <v/>
      </c>
      <c r="B955" t="str">
        <f t="shared" si="14"/>
        <v/>
      </c>
      <c r="D955" t="str">
        <f>IF($A955&lt;&gt;"",IF($R955&lt;&gt;"",$R955,'Approved-Enforcement'!$B955+7),"")</f>
        <v/>
      </c>
      <c r="E955" t="str">
        <f>IF($A955&lt;&gt;"",'Approved-Enforcement'!D955,"")</f>
        <v/>
      </c>
      <c r="F955" t="str">
        <f>IF($A955&lt;&gt;"",'Approved-Enforcement'!E955,"")</f>
        <v/>
      </c>
      <c r="G955" t="str">
        <f>IF($A955&lt;&gt;"",'Approved-Enforcement'!F955,"")</f>
        <v/>
      </c>
      <c r="H955" t="str">
        <f>IF($A955&lt;&gt;"",'Approved-Enforcement'!G955,"")</f>
        <v/>
      </c>
      <c r="I955" t="str">
        <f>IF($A955&lt;&gt;"",'Approved-Enforcement'!H955,"")</f>
        <v/>
      </c>
      <c r="J955" t="str">
        <f>IF($A955&lt;&gt;"",'Approved-Enforcement'!I955,"")</f>
        <v/>
      </c>
      <c r="K955" t="str">
        <f>IF($A955&lt;&gt;"",'Approved-Enforcement'!J955,"")</f>
        <v/>
      </c>
      <c r="L955" t="str">
        <f>IF($A955&lt;&gt;"",'Approved-Enforcement'!K955,"")</f>
        <v/>
      </c>
      <c r="M955" t="str">
        <f>IF($A955&lt;&gt;"",'Approved-Enforcement'!L955,"")</f>
        <v/>
      </c>
      <c r="N955" t="str">
        <f>IF($A955&lt;&gt;"",'Approved-Enforcement'!M955,"")</f>
        <v/>
      </c>
      <c r="O955" t="str">
        <f>IF($A955&lt;&gt;"",'Approved-Enforcement'!N955,"")</f>
        <v/>
      </c>
      <c r="P955" t="str">
        <f>IF($A955&lt;&gt;"",'Approved-Enforcement'!O955,"")</f>
        <v/>
      </c>
    </row>
    <row r="956" spans="1:16" x14ac:dyDescent="0.35">
      <c r="A956" s="4" t="str">
        <f>IF('Approved-Enforcement'!$A956&lt;&gt;"",'Approved-Enforcement'!A956,"")</f>
        <v/>
      </c>
      <c r="B956" t="str">
        <f t="shared" si="14"/>
        <v/>
      </c>
      <c r="D956" t="str">
        <f>IF($A956&lt;&gt;"",IF($R956&lt;&gt;"",$R956,'Approved-Enforcement'!$B956+7),"")</f>
        <v/>
      </c>
      <c r="E956" t="str">
        <f>IF($A956&lt;&gt;"",'Approved-Enforcement'!D956,"")</f>
        <v/>
      </c>
      <c r="F956" t="str">
        <f>IF($A956&lt;&gt;"",'Approved-Enforcement'!E956,"")</f>
        <v/>
      </c>
      <c r="G956" t="str">
        <f>IF($A956&lt;&gt;"",'Approved-Enforcement'!F956,"")</f>
        <v/>
      </c>
      <c r="H956" t="str">
        <f>IF($A956&lt;&gt;"",'Approved-Enforcement'!G956,"")</f>
        <v/>
      </c>
      <c r="I956" t="str">
        <f>IF($A956&lt;&gt;"",'Approved-Enforcement'!H956,"")</f>
        <v/>
      </c>
      <c r="J956" t="str">
        <f>IF($A956&lt;&gt;"",'Approved-Enforcement'!I956,"")</f>
        <v/>
      </c>
      <c r="K956" t="str">
        <f>IF($A956&lt;&gt;"",'Approved-Enforcement'!J956,"")</f>
        <v/>
      </c>
      <c r="L956" t="str">
        <f>IF($A956&lt;&gt;"",'Approved-Enforcement'!K956,"")</f>
        <v/>
      </c>
      <c r="M956" t="str">
        <f>IF($A956&lt;&gt;"",'Approved-Enforcement'!L956,"")</f>
        <v/>
      </c>
      <c r="N956" t="str">
        <f>IF($A956&lt;&gt;"",'Approved-Enforcement'!M956,"")</f>
        <v/>
      </c>
      <c r="O956" t="str">
        <f>IF($A956&lt;&gt;"",'Approved-Enforcement'!N956,"")</f>
        <v/>
      </c>
      <c r="P956" t="str">
        <f>IF($A956&lt;&gt;"",'Approved-Enforcement'!O956,"")</f>
        <v/>
      </c>
    </row>
    <row r="957" spans="1:16" x14ac:dyDescent="0.35">
      <c r="A957" s="4" t="str">
        <f>IF('Approved-Enforcement'!$A957&lt;&gt;"",'Approved-Enforcement'!A957,"")</f>
        <v/>
      </c>
      <c r="B957" t="str">
        <f t="shared" si="14"/>
        <v/>
      </c>
      <c r="D957" t="str">
        <f>IF($A957&lt;&gt;"",IF($R957&lt;&gt;"",$R957,'Approved-Enforcement'!$B957+7),"")</f>
        <v/>
      </c>
      <c r="E957" t="str">
        <f>IF($A957&lt;&gt;"",'Approved-Enforcement'!D957,"")</f>
        <v/>
      </c>
      <c r="F957" t="str">
        <f>IF($A957&lt;&gt;"",'Approved-Enforcement'!E957,"")</f>
        <v/>
      </c>
      <c r="G957" t="str">
        <f>IF($A957&lt;&gt;"",'Approved-Enforcement'!F957,"")</f>
        <v/>
      </c>
      <c r="H957" t="str">
        <f>IF($A957&lt;&gt;"",'Approved-Enforcement'!G957,"")</f>
        <v/>
      </c>
      <c r="I957" t="str">
        <f>IF($A957&lt;&gt;"",'Approved-Enforcement'!H957,"")</f>
        <v/>
      </c>
      <c r="J957" t="str">
        <f>IF($A957&lt;&gt;"",'Approved-Enforcement'!I957,"")</f>
        <v/>
      </c>
      <c r="K957" t="str">
        <f>IF($A957&lt;&gt;"",'Approved-Enforcement'!J957,"")</f>
        <v/>
      </c>
      <c r="L957" t="str">
        <f>IF($A957&lt;&gt;"",'Approved-Enforcement'!K957,"")</f>
        <v/>
      </c>
      <c r="M957" t="str">
        <f>IF($A957&lt;&gt;"",'Approved-Enforcement'!L957,"")</f>
        <v/>
      </c>
      <c r="N957" t="str">
        <f>IF($A957&lt;&gt;"",'Approved-Enforcement'!M957,"")</f>
        <v/>
      </c>
      <c r="O957" t="str">
        <f>IF($A957&lt;&gt;"",'Approved-Enforcement'!N957,"")</f>
        <v/>
      </c>
      <c r="P957" t="str">
        <f>IF($A957&lt;&gt;"",'Approved-Enforcement'!O957,"")</f>
        <v/>
      </c>
    </row>
    <row r="958" spans="1:16" x14ac:dyDescent="0.35">
      <c r="A958" s="4" t="str">
        <f>IF('Approved-Enforcement'!$A958&lt;&gt;"",'Approved-Enforcement'!A958,"")</f>
        <v/>
      </c>
      <c r="B958" t="str">
        <f t="shared" si="14"/>
        <v/>
      </c>
      <c r="D958" t="str">
        <f>IF($A958&lt;&gt;"",IF($R958&lt;&gt;"",$R958,'Approved-Enforcement'!$B958+7),"")</f>
        <v/>
      </c>
      <c r="E958" t="str">
        <f>IF($A958&lt;&gt;"",'Approved-Enforcement'!D958,"")</f>
        <v/>
      </c>
      <c r="F958" t="str">
        <f>IF($A958&lt;&gt;"",'Approved-Enforcement'!E958,"")</f>
        <v/>
      </c>
      <c r="G958" t="str">
        <f>IF($A958&lt;&gt;"",'Approved-Enforcement'!F958,"")</f>
        <v/>
      </c>
      <c r="H958" t="str">
        <f>IF($A958&lt;&gt;"",'Approved-Enforcement'!G958,"")</f>
        <v/>
      </c>
      <c r="I958" t="str">
        <f>IF($A958&lt;&gt;"",'Approved-Enforcement'!H958,"")</f>
        <v/>
      </c>
      <c r="J958" t="str">
        <f>IF($A958&lt;&gt;"",'Approved-Enforcement'!I958,"")</f>
        <v/>
      </c>
      <c r="K958" t="str">
        <f>IF($A958&lt;&gt;"",'Approved-Enforcement'!J958,"")</f>
        <v/>
      </c>
      <c r="L958" t="str">
        <f>IF($A958&lt;&gt;"",'Approved-Enforcement'!K958,"")</f>
        <v/>
      </c>
      <c r="M958" t="str">
        <f>IF($A958&lt;&gt;"",'Approved-Enforcement'!L958,"")</f>
        <v/>
      </c>
      <c r="N958" t="str">
        <f>IF($A958&lt;&gt;"",'Approved-Enforcement'!M958,"")</f>
        <v/>
      </c>
      <c r="O958" t="str">
        <f>IF($A958&lt;&gt;"",'Approved-Enforcement'!N958,"")</f>
        <v/>
      </c>
      <c r="P958" t="str">
        <f>IF($A958&lt;&gt;"",'Approved-Enforcement'!O958,"")</f>
        <v/>
      </c>
    </row>
    <row r="959" spans="1:16" x14ac:dyDescent="0.35">
      <c r="A959" s="4" t="str">
        <f>IF('Approved-Enforcement'!$A959&lt;&gt;"",'Approved-Enforcement'!A959,"")</f>
        <v/>
      </c>
      <c r="B959" t="str">
        <f t="shared" si="14"/>
        <v/>
      </c>
      <c r="D959" t="str">
        <f>IF($A959&lt;&gt;"",IF($R959&lt;&gt;"",$R959,'Approved-Enforcement'!$B959+7),"")</f>
        <v/>
      </c>
      <c r="E959" t="str">
        <f>IF($A959&lt;&gt;"",'Approved-Enforcement'!D959,"")</f>
        <v/>
      </c>
      <c r="F959" t="str">
        <f>IF($A959&lt;&gt;"",'Approved-Enforcement'!E959,"")</f>
        <v/>
      </c>
      <c r="G959" t="str">
        <f>IF($A959&lt;&gt;"",'Approved-Enforcement'!F959,"")</f>
        <v/>
      </c>
      <c r="H959" t="str">
        <f>IF($A959&lt;&gt;"",'Approved-Enforcement'!G959,"")</f>
        <v/>
      </c>
      <c r="I959" t="str">
        <f>IF($A959&lt;&gt;"",'Approved-Enforcement'!H959,"")</f>
        <v/>
      </c>
      <c r="J959" t="str">
        <f>IF($A959&lt;&gt;"",'Approved-Enforcement'!I959,"")</f>
        <v/>
      </c>
      <c r="K959" t="str">
        <f>IF($A959&lt;&gt;"",'Approved-Enforcement'!J959,"")</f>
        <v/>
      </c>
      <c r="L959" t="str">
        <f>IF($A959&lt;&gt;"",'Approved-Enforcement'!K959,"")</f>
        <v/>
      </c>
      <c r="M959" t="str">
        <f>IF($A959&lt;&gt;"",'Approved-Enforcement'!L959,"")</f>
        <v/>
      </c>
      <c r="N959" t="str">
        <f>IF($A959&lt;&gt;"",'Approved-Enforcement'!M959,"")</f>
        <v/>
      </c>
      <c r="O959" t="str">
        <f>IF($A959&lt;&gt;"",'Approved-Enforcement'!N959,"")</f>
        <v/>
      </c>
      <c r="P959" t="str">
        <f>IF($A959&lt;&gt;"",'Approved-Enforcement'!O959,"")</f>
        <v/>
      </c>
    </row>
    <row r="960" spans="1:16" x14ac:dyDescent="0.35">
      <c r="A960" s="4" t="str">
        <f>IF('Approved-Enforcement'!$A960&lt;&gt;"",'Approved-Enforcement'!A960,"")</f>
        <v/>
      </c>
      <c r="B960" t="str">
        <f t="shared" si="14"/>
        <v/>
      </c>
      <c r="D960" t="str">
        <f>IF($A960&lt;&gt;"",IF($R960&lt;&gt;"",$R960,'Approved-Enforcement'!$B960+7),"")</f>
        <v/>
      </c>
      <c r="E960" t="str">
        <f>IF($A960&lt;&gt;"",'Approved-Enforcement'!D960,"")</f>
        <v/>
      </c>
      <c r="F960" t="str">
        <f>IF($A960&lt;&gt;"",'Approved-Enforcement'!E960,"")</f>
        <v/>
      </c>
      <c r="G960" t="str">
        <f>IF($A960&lt;&gt;"",'Approved-Enforcement'!F960,"")</f>
        <v/>
      </c>
      <c r="H960" t="str">
        <f>IF($A960&lt;&gt;"",'Approved-Enforcement'!G960,"")</f>
        <v/>
      </c>
      <c r="I960" t="str">
        <f>IF($A960&lt;&gt;"",'Approved-Enforcement'!H960,"")</f>
        <v/>
      </c>
      <c r="J960" t="str">
        <f>IF($A960&lt;&gt;"",'Approved-Enforcement'!I960,"")</f>
        <v/>
      </c>
      <c r="K960" t="str">
        <f>IF($A960&lt;&gt;"",'Approved-Enforcement'!J960,"")</f>
        <v/>
      </c>
      <c r="L960" t="str">
        <f>IF($A960&lt;&gt;"",'Approved-Enforcement'!K960,"")</f>
        <v/>
      </c>
      <c r="M960" t="str">
        <f>IF($A960&lt;&gt;"",'Approved-Enforcement'!L960,"")</f>
        <v/>
      </c>
      <c r="N960" t="str">
        <f>IF($A960&lt;&gt;"",'Approved-Enforcement'!M960,"")</f>
        <v/>
      </c>
      <c r="O960" t="str">
        <f>IF($A960&lt;&gt;"",'Approved-Enforcement'!N960,"")</f>
        <v/>
      </c>
      <c r="P960" t="str">
        <f>IF($A960&lt;&gt;"",'Approved-Enforcement'!O960,"")</f>
        <v/>
      </c>
    </row>
    <row r="961" spans="1:16" x14ac:dyDescent="0.35">
      <c r="A961" s="4" t="str">
        <f>IF('Approved-Enforcement'!$A961&lt;&gt;"",'Approved-Enforcement'!A961,"")</f>
        <v/>
      </c>
      <c r="B961" t="str">
        <f t="shared" si="14"/>
        <v/>
      </c>
      <c r="D961" t="str">
        <f>IF($A961&lt;&gt;"",IF($R961&lt;&gt;"",$R961,'Approved-Enforcement'!$B961+7),"")</f>
        <v/>
      </c>
      <c r="E961" t="str">
        <f>IF($A961&lt;&gt;"",'Approved-Enforcement'!D961,"")</f>
        <v/>
      </c>
      <c r="F961" t="str">
        <f>IF($A961&lt;&gt;"",'Approved-Enforcement'!E961,"")</f>
        <v/>
      </c>
      <c r="G961" t="str">
        <f>IF($A961&lt;&gt;"",'Approved-Enforcement'!F961,"")</f>
        <v/>
      </c>
      <c r="H961" t="str">
        <f>IF($A961&lt;&gt;"",'Approved-Enforcement'!G961,"")</f>
        <v/>
      </c>
      <c r="I961" t="str">
        <f>IF($A961&lt;&gt;"",'Approved-Enforcement'!H961,"")</f>
        <v/>
      </c>
      <c r="J961" t="str">
        <f>IF($A961&lt;&gt;"",'Approved-Enforcement'!I961,"")</f>
        <v/>
      </c>
      <c r="K961" t="str">
        <f>IF($A961&lt;&gt;"",'Approved-Enforcement'!J961,"")</f>
        <v/>
      </c>
      <c r="L961" t="str">
        <f>IF($A961&lt;&gt;"",'Approved-Enforcement'!K961,"")</f>
        <v/>
      </c>
      <c r="M961" t="str">
        <f>IF($A961&lt;&gt;"",'Approved-Enforcement'!L961,"")</f>
        <v/>
      </c>
      <c r="N961" t="str">
        <f>IF($A961&lt;&gt;"",'Approved-Enforcement'!M961,"")</f>
        <v/>
      </c>
      <c r="O961" t="str">
        <f>IF($A961&lt;&gt;"",'Approved-Enforcement'!N961,"")</f>
        <v/>
      </c>
      <c r="P961" t="str">
        <f>IF($A961&lt;&gt;"",'Approved-Enforcement'!O961,"")</f>
        <v/>
      </c>
    </row>
    <row r="962" spans="1:16" x14ac:dyDescent="0.35">
      <c r="A962" s="4" t="str">
        <f>IF('Approved-Enforcement'!$A962&lt;&gt;"",'Approved-Enforcement'!A962,"")</f>
        <v/>
      </c>
      <c r="B962" t="str">
        <f t="shared" ref="B962:B1000" si="15">IF($A962&lt;&gt;"",IF($C962&lt;&gt;"",$C962,1500),"")</f>
        <v/>
      </c>
      <c r="D962" t="str">
        <f>IF($A962&lt;&gt;"",IF($R962&lt;&gt;"",$R962,'Approved-Enforcement'!$B962+7),"")</f>
        <v/>
      </c>
      <c r="E962" t="str">
        <f>IF($A962&lt;&gt;"",'Approved-Enforcement'!D962,"")</f>
        <v/>
      </c>
      <c r="F962" t="str">
        <f>IF($A962&lt;&gt;"",'Approved-Enforcement'!E962,"")</f>
        <v/>
      </c>
      <c r="G962" t="str">
        <f>IF($A962&lt;&gt;"",'Approved-Enforcement'!F962,"")</f>
        <v/>
      </c>
      <c r="H962" t="str">
        <f>IF($A962&lt;&gt;"",'Approved-Enforcement'!G962,"")</f>
        <v/>
      </c>
      <c r="I962" t="str">
        <f>IF($A962&lt;&gt;"",'Approved-Enforcement'!H962,"")</f>
        <v/>
      </c>
      <c r="J962" t="str">
        <f>IF($A962&lt;&gt;"",'Approved-Enforcement'!I962,"")</f>
        <v/>
      </c>
      <c r="K962" t="str">
        <f>IF($A962&lt;&gt;"",'Approved-Enforcement'!J962,"")</f>
        <v/>
      </c>
      <c r="L962" t="str">
        <f>IF($A962&lt;&gt;"",'Approved-Enforcement'!K962,"")</f>
        <v/>
      </c>
      <c r="M962" t="str">
        <f>IF($A962&lt;&gt;"",'Approved-Enforcement'!L962,"")</f>
        <v/>
      </c>
      <c r="N962" t="str">
        <f>IF($A962&lt;&gt;"",'Approved-Enforcement'!M962,"")</f>
        <v/>
      </c>
      <c r="O962" t="str">
        <f>IF($A962&lt;&gt;"",'Approved-Enforcement'!N962,"")</f>
        <v/>
      </c>
      <c r="P962" t="str">
        <f>IF($A962&lt;&gt;"",'Approved-Enforcement'!O962,"")</f>
        <v/>
      </c>
    </row>
    <row r="963" spans="1:16" x14ac:dyDescent="0.35">
      <c r="A963" s="4" t="str">
        <f>IF('Approved-Enforcement'!$A963&lt;&gt;"",'Approved-Enforcement'!A963,"")</f>
        <v/>
      </c>
      <c r="B963" t="str">
        <f t="shared" si="15"/>
        <v/>
      </c>
      <c r="D963" t="str">
        <f>IF($A963&lt;&gt;"",IF($R963&lt;&gt;"",$R963,'Approved-Enforcement'!$B963+7),"")</f>
        <v/>
      </c>
      <c r="E963" t="str">
        <f>IF($A963&lt;&gt;"",'Approved-Enforcement'!D963,"")</f>
        <v/>
      </c>
      <c r="F963" t="str">
        <f>IF($A963&lt;&gt;"",'Approved-Enforcement'!E963,"")</f>
        <v/>
      </c>
      <c r="G963" t="str">
        <f>IF($A963&lt;&gt;"",'Approved-Enforcement'!F963,"")</f>
        <v/>
      </c>
      <c r="H963" t="str">
        <f>IF($A963&lt;&gt;"",'Approved-Enforcement'!G963,"")</f>
        <v/>
      </c>
      <c r="I963" t="str">
        <f>IF($A963&lt;&gt;"",'Approved-Enforcement'!H963,"")</f>
        <v/>
      </c>
      <c r="J963" t="str">
        <f>IF($A963&lt;&gt;"",'Approved-Enforcement'!I963,"")</f>
        <v/>
      </c>
      <c r="K963" t="str">
        <f>IF($A963&lt;&gt;"",'Approved-Enforcement'!J963,"")</f>
        <v/>
      </c>
      <c r="L963" t="str">
        <f>IF($A963&lt;&gt;"",'Approved-Enforcement'!K963,"")</f>
        <v/>
      </c>
      <c r="M963" t="str">
        <f>IF($A963&lt;&gt;"",'Approved-Enforcement'!L963,"")</f>
        <v/>
      </c>
      <c r="N963" t="str">
        <f>IF($A963&lt;&gt;"",'Approved-Enforcement'!M963,"")</f>
        <v/>
      </c>
      <c r="O963" t="str">
        <f>IF($A963&lt;&gt;"",'Approved-Enforcement'!N963,"")</f>
        <v/>
      </c>
      <c r="P963" t="str">
        <f>IF($A963&lt;&gt;"",'Approved-Enforcement'!O963,"")</f>
        <v/>
      </c>
    </row>
    <row r="964" spans="1:16" x14ac:dyDescent="0.35">
      <c r="A964" s="4" t="str">
        <f>IF('Approved-Enforcement'!$A964&lt;&gt;"",'Approved-Enforcement'!A964,"")</f>
        <v/>
      </c>
      <c r="B964" t="str">
        <f t="shared" si="15"/>
        <v/>
      </c>
      <c r="D964" t="str">
        <f>IF($A964&lt;&gt;"",IF($R964&lt;&gt;"",$R964,'Approved-Enforcement'!$B964+7),"")</f>
        <v/>
      </c>
      <c r="E964" t="str">
        <f>IF($A964&lt;&gt;"",'Approved-Enforcement'!D964,"")</f>
        <v/>
      </c>
      <c r="F964" t="str">
        <f>IF($A964&lt;&gt;"",'Approved-Enforcement'!E964,"")</f>
        <v/>
      </c>
      <c r="G964" t="str">
        <f>IF($A964&lt;&gt;"",'Approved-Enforcement'!F964,"")</f>
        <v/>
      </c>
      <c r="H964" t="str">
        <f>IF($A964&lt;&gt;"",'Approved-Enforcement'!G964,"")</f>
        <v/>
      </c>
      <c r="I964" t="str">
        <f>IF($A964&lt;&gt;"",'Approved-Enforcement'!H964,"")</f>
        <v/>
      </c>
      <c r="J964" t="str">
        <f>IF($A964&lt;&gt;"",'Approved-Enforcement'!I964,"")</f>
        <v/>
      </c>
      <c r="K964" t="str">
        <f>IF($A964&lt;&gt;"",'Approved-Enforcement'!J964,"")</f>
        <v/>
      </c>
      <c r="L964" t="str">
        <f>IF($A964&lt;&gt;"",'Approved-Enforcement'!K964,"")</f>
        <v/>
      </c>
      <c r="M964" t="str">
        <f>IF($A964&lt;&gt;"",'Approved-Enforcement'!L964,"")</f>
        <v/>
      </c>
      <c r="N964" t="str">
        <f>IF($A964&lt;&gt;"",'Approved-Enforcement'!M964,"")</f>
        <v/>
      </c>
      <c r="O964" t="str">
        <f>IF($A964&lt;&gt;"",'Approved-Enforcement'!N964,"")</f>
        <v/>
      </c>
      <c r="P964" t="str">
        <f>IF($A964&lt;&gt;"",'Approved-Enforcement'!O964,"")</f>
        <v/>
      </c>
    </row>
    <row r="965" spans="1:16" x14ac:dyDescent="0.35">
      <c r="A965" s="4" t="str">
        <f>IF('Approved-Enforcement'!$A965&lt;&gt;"",'Approved-Enforcement'!A965,"")</f>
        <v/>
      </c>
      <c r="B965" t="str">
        <f t="shared" si="15"/>
        <v/>
      </c>
      <c r="D965" t="str">
        <f>IF($A965&lt;&gt;"",IF($R965&lt;&gt;"",$R965,'Approved-Enforcement'!$B965+7),"")</f>
        <v/>
      </c>
      <c r="E965" t="str">
        <f>IF($A965&lt;&gt;"",'Approved-Enforcement'!D965,"")</f>
        <v/>
      </c>
      <c r="F965" t="str">
        <f>IF($A965&lt;&gt;"",'Approved-Enforcement'!E965,"")</f>
        <v/>
      </c>
      <c r="G965" t="str">
        <f>IF($A965&lt;&gt;"",'Approved-Enforcement'!F965,"")</f>
        <v/>
      </c>
      <c r="H965" t="str">
        <f>IF($A965&lt;&gt;"",'Approved-Enforcement'!G965,"")</f>
        <v/>
      </c>
      <c r="I965" t="str">
        <f>IF($A965&lt;&gt;"",'Approved-Enforcement'!H965,"")</f>
        <v/>
      </c>
      <c r="J965" t="str">
        <f>IF($A965&lt;&gt;"",'Approved-Enforcement'!I965,"")</f>
        <v/>
      </c>
      <c r="K965" t="str">
        <f>IF($A965&lt;&gt;"",'Approved-Enforcement'!J965,"")</f>
        <v/>
      </c>
      <c r="L965" t="str">
        <f>IF($A965&lt;&gt;"",'Approved-Enforcement'!K965,"")</f>
        <v/>
      </c>
      <c r="M965" t="str">
        <f>IF($A965&lt;&gt;"",'Approved-Enforcement'!L965,"")</f>
        <v/>
      </c>
      <c r="N965" t="str">
        <f>IF($A965&lt;&gt;"",'Approved-Enforcement'!M965,"")</f>
        <v/>
      </c>
      <c r="O965" t="str">
        <f>IF($A965&lt;&gt;"",'Approved-Enforcement'!N965,"")</f>
        <v/>
      </c>
      <c r="P965" t="str">
        <f>IF($A965&lt;&gt;"",'Approved-Enforcement'!O965,"")</f>
        <v/>
      </c>
    </row>
    <row r="966" spans="1:16" x14ac:dyDescent="0.35">
      <c r="A966" s="4" t="str">
        <f>IF('Approved-Enforcement'!$A966&lt;&gt;"",'Approved-Enforcement'!A966,"")</f>
        <v/>
      </c>
      <c r="B966" t="str">
        <f t="shared" si="15"/>
        <v/>
      </c>
      <c r="D966" t="str">
        <f>IF($A966&lt;&gt;"",IF($R966&lt;&gt;"",$R966,'Approved-Enforcement'!$B966+7),"")</f>
        <v/>
      </c>
      <c r="E966" t="str">
        <f>IF($A966&lt;&gt;"",'Approved-Enforcement'!D966,"")</f>
        <v/>
      </c>
      <c r="F966" t="str">
        <f>IF($A966&lt;&gt;"",'Approved-Enforcement'!E966,"")</f>
        <v/>
      </c>
      <c r="G966" t="str">
        <f>IF($A966&lt;&gt;"",'Approved-Enforcement'!F966,"")</f>
        <v/>
      </c>
      <c r="H966" t="str">
        <f>IF($A966&lt;&gt;"",'Approved-Enforcement'!G966,"")</f>
        <v/>
      </c>
      <c r="I966" t="str">
        <f>IF($A966&lt;&gt;"",'Approved-Enforcement'!H966,"")</f>
        <v/>
      </c>
      <c r="J966" t="str">
        <f>IF($A966&lt;&gt;"",'Approved-Enforcement'!I966,"")</f>
        <v/>
      </c>
      <c r="K966" t="str">
        <f>IF($A966&lt;&gt;"",'Approved-Enforcement'!J966,"")</f>
        <v/>
      </c>
      <c r="L966" t="str">
        <f>IF($A966&lt;&gt;"",'Approved-Enforcement'!K966,"")</f>
        <v/>
      </c>
      <c r="M966" t="str">
        <f>IF($A966&lt;&gt;"",'Approved-Enforcement'!L966,"")</f>
        <v/>
      </c>
      <c r="N966" t="str">
        <f>IF($A966&lt;&gt;"",'Approved-Enforcement'!M966,"")</f>
        <v/>
      </c>
      <c r="O966" t="str">
        <f>IF($A966&lt;&gt;"",'Approved-Enforcement'!N966,"")</f>
        <v/>
      </c>
      <c r="P966" t="str">
        <f>IF($A966&lt;&gt;"",'Approved-Enforcement'!O966,"")</f>
        <v/>
      </c>
    </row>
    <row r="967" spans="1:16" x14ac:dyDescent="0.35">
      <c r="A967" s="4" t="str">
        <f>IF('Approved-Enforcement'!$A967&lt;&gt;"",'Approved-Enforcement'!A967,"")</f>
        <v/>
      </c>
      <c r="B967" t="str">
        <f t="shared" si="15"/>
        <v/>
      </c>
      <c r="D967" t="str">
        <f>IF($A967&lt;&gt;"",IF($R967&lt;&gt;"",$R967,'Approved-Enforcement'!$B967+7),"")</f>
        <v/>
      </c>
      <c r="E967" t="str">
        <f>IF($A967&lt;&gt;"",'Approved-Enforcement'!D967,"")</f>
        <v/>
      </c>
      <c r="F967" t="str">
        <f>IF($A967&lt;&gt;"",'Approved-Enforcement'!E967,"")</f>
        <v/>
      </c>
      <c r="G967" t="str">
        <f>IF($A967&lt;&gt;"",'Approved-Enforcement'!F967,"")</f>
        <v/>
      </c>
      <c r="H967" t="str">
        <f>IF($A967&lt;&gt;"",'Approved-Enforcement'!G967,"")</f>
        <v/>
      </c>
      <c r="I967" t="str">
        <f>IF($A967&lt;&gt;"",'Approved-Enforcement'!H967,"")</f>
        <v/>
      </c>
      <c r="J967" t="str">
        <f>IF($A967&lt;&gt;"",'Approved-Enforcement'!I967,"")</f>
        <v/>
      </c>
      <c r="K967" t="str">
        <f>IF($A967&lt;&gt;"",'Approved-Enforcement'!J967,"")</f>
        <v/>
      </c>
      <c r="L967" t="str">
        <f>IF($A967&lt;&gt;"",'Approved-Enforcement'!K967,"")</f>
        <v/>
      </c>
      <c r="M967" t="str">
        <f>IF($A967&lt;&gt;"",'Approved-Enforcement'!L967,"")</f>
        <v/>
      </c>
      <c r="N967" t="str">
        <f>IF($A967&lt;&gt;"",'Approved-Enforcement'!M967,"")</f>
        <v/>
      </c>
      <c r="O967" t="str">
        <f>IF($A967&lt;&gt;"",'Approved-Enforcement'!N967,"")</f>
        <v/>
      </c>
      <c r="P967" t="str">
        <f>IF($A967&lt;&gt;"",'Approved-Enforcement'!O967,"")</f>
        <v/>
      </c>
    </row>
    <row r="968" spans="1:16" x14ac:dyDescent="0.35">
      <c r="A968" s="4" t="str">
        <f>IF('Approved-Enforcement'!$A968&lt;&gt;"",'Approved-Enforcement'!A968,"")</f>
        <v/>
      </c>
      <c r="B968" t="str">
        <f t="shared" si="15"/>
        <v/>
      </c>
      <c r="D968" t="str">
        <f>IF($A968&lt;&gt;"",IF($R968&lt;&gt;"",$R968,'Approved-Enforcement'!$B968+7),"")</f>
        <v/>
      </c>
      <c r="E968" t="str">
        <f>IF($A968&lt;&gt;"",'Approved-Enforcement'!D968,"")</f>
        <v/>
      </c>
      <c r="F968" t="str">
        <f>IF($A968&lt;&gt;"",'Approved-Enforcement'!E968,"")</f>
        <v/>
      </c>
      <c r="G968" t="str">
        <f>IF($A968&lt;&gt;"",'Approved-Enforcement'!F968,"")</f>
        <v/>
      </c>
      <c r="H968" t="str">
        <f>IF($A968&lt;&gt;"",'Approved-Enforcement'!G968,"")</f>
        <v/>
      </c>
      <c r="I968" t="str">
        <f>IF($A968&lt;&gt;"",'Approved-Enforcement'!H968,"")</f>
        <v/>
      </c>
      <c r="J968" t="str">
        <f>IF($A968&lt;&gt;"",'Approved-Enforcement'!I968,"")</f>
        <v/>
      </c>
      <c r="K968" t="str">
        <f>IF($A968&lt;&gt;"",'Approved-Enforcement'!J968,"")</f>
        <v/>
      </c>
      <c r="L968" t="str">
        <f>IF($A968&lt;&gt;"",'Approved-Enforcement'!K968,"")</f>
        <v/>
      </c>
      <c r="M968" t="str">
        <f>IF($A968&lt;&gt;"",'Approved-Enforcement'!L968,"")</f>
        <v/>
      </c>
      <c r="N968" t="str">
        <f>IF($A968&lt;&gt;"",'Approved-Enforcement'!M968,"")</f>
        <v/>
      </c>
      <c r="O968" t="str">
        <f>IF($A968&lt;&gt;"",'Approved-Enforcement'!N968,"")</f>
        <v/>
      </c>
      <c r="P968" t="str">
        <f>IF($A968&lt;&gt;"",'Approved-Enforcement'!O968,"")</f>
        <v/>
      </c>
    </row>
    <row r="969" spans="1:16" x14ac:dyDescent="0.35">
      <c r="A969" s="4" t="str">
        <f>IF('Approved-Enforcement'!$A969&lt;&gt;"",'Approved-Enforcement'!A969,"")</f>
        <v/>
      </c>
      <c r="B969" t="str">
        <f t="shared" si="15"/>
        <v/>
      </c>
      <c r="D969" t="str">
        <f>IF($A969&lt;&gt;"",IF($R969&lt;&gt;"",$R969,'Approved-Enforcement'!$B969+7),"")</f>
        <v/>
      </c>
      <c r="E969" t="str">
        <f>IF($A969&lt;&gt;"",'Approved-Enforcement'!D969,"")</f>
        <v/>
      </c>
      <c r="F969" t="str">
        <f>IF($A969&lt;&gt;"",'Approved-Enforcement'!E969,"")</f>
        <v/>
      </c>
      <c r="G969" t="str">
        <f>IF($A969&lt;&gt;"",'Approved-Enforcement'!F969,"")</f>
        <v/>
      </c>
      <c r="H969" t="str">
        <f>IF($A969&lt;&gt;"",'Approved-Enforcement'!G969,"")</f>
        <v/>
      </c>
      <c r="I969" t="str">
        <f>IF($A969&lt;&gt;"",'Approved-Enforcement'!H969,"")</f>
        <v/>
      </c>
      <c r="J969" t="str">
        <f>IF($A969&lt;&gt;"",'Approved-Enforcement'!I969,"")</f>
        <v/>
      </c>
      <c r="K969" t="str">
        <f>IF($A969&lt;&gt;"",'Approved-Enforcement'!J969,"")</f>
        <v/>
      </c>
      <c r="L969" t="str">
        <f>IF($A969&lt;&gt;"",'Approved-Enforcement'!K969,"")</f>
        <v/>
      </c>
      <c r="M969" t="str">
        <f>IF($A969&lt;&gt;"",'Approved-Enforcement'!L969,"")</f>
        <v/>
      </c>
      <c r="N969" t="str">
        <f>IF($A969&lt;&gt;"",'Approved-Enforcement'!M969,"")</f>
        <v/>
      </c>
      <c r="O969" t="str">
        <f>IF($A969&lt;&gt;"",'Approved-Enforcement'!N969,"")</f>
        <v/>
      </c>
      <c r="P969" t="str">
        <f>IF($A969&lt;&gt;"",'Approved-Enforcement'!O969,"")</f>
        <v/>
      </c>
    </row>
    <row r="970" spans="1:16" x14ac:dyDescent="0.35">
      <c r="A970" s="4" t="str">
        <f>IF('Approved-Enforcement'!$A970&lt;&gt;"",'Approved-Enforcement'!A970,"")</f>
        <v/>
      </c>
      <c r="B970" t="str">
        <f t="shared" si="15"/>
        <v/>
      </c>
      <c r="D970" t="str">
        <f>IF($A970&lt;&gt;"",IF($R970&lt;&gt;"",$R970,'Approved-Enforcement'!$B970+7),"")</f>
        <v/>
      </c>
      <c r="E970" t="str">
        <f>IF($A970&lt;&gt;"",'Approved-Enforcement'!D970,"")</f>
        <v/>
      </c>
      <c r="F970" t="str">
        <f>IF($A970&lt;&gt;"",'Approved-Enforcement'!E970,"")</f>
        <v/>
      </c>
      <c r="G970" t="str">
        <f>IF($A970&lt;&gt;"",'Approved-Enforcement'!F970,"")</f>
        <v/>
      </c>
      <c r="H970" t="str">
        <f>IF($A970&lt;&gt;"",'Approved-Enforcement'!G970,"")</f>
        <v/>
      </c>
      <c r="I970" t="str">
        <f>IF($A970&lt;&gt;"",'Approved-Enforcement'!H970,"")</f>
        <v/>
      </c>
      <c r="J970" t="str">
        <f>IF($A970&lt;&gt;"",'Approved-Enforcement'!I970,"")</f>
        <v/>
      </c>
      <c r="K970" t="str">
        <f>IF($A970&lt;&gt;"",'Approved-Enforcement'!J970,"")</f>
        <v/>
      </c>
      <c r="L970" t="str">
        <f>IF($A970&lt;&gt;"",'Approved-Enforcement'!K970,"")</f>
        <v/>
      </c>
      <c r="M970" t="str">
        <f>IF($A970&lt;&gt;"",'Approved-Enforcement'!L970,"")</f>
        <v/>
      </c>
      <c r="N970" t="str">
        <f>IF($A970&lt;&gt;"",'Approved-Enforcement'!M970,"")</f>
        <v/>
      </c>
      <c r="O970" t="str">
        <f>IF($A970&lt;&gt;"",'Approved-Enforcement'!N970,"")</f>
        <v/>
      </c>
      <c r="P970" t="str">
        <f>IF($A970&lt;&gt;"",'Approved-Enforcement'!O970,"")</f>
        <v/>
      </c>
    </row>
    <row r="971" spans="1:16" x14ac:dyDescent="0.35">
      <c r="A971" s="4" t="str">
        <f>IF('Approved-Enforcement'!$A971&lt;&gt;"",'Approved-Enforcement'!A971,"")</f>
        <v/>
      </c>
      <c r="B971" t="str">
        <f t="shared" si="15"/>
        <v/>
      </c>
      <c r="D971" t="str">
        <f>IF($A971&lt;&gt;"",IF($R971&lt;&gt;"",$R971,'Approved-Enforcement'!$B971+7),"")</f>
        <v/>
      </c>
      <c r="E971" t="str">
        <f>IF($A971&lt;&gt;"",'Approved-Enforcement'!D971,"")</f>
        <v/>
      </c>
      <c r="F971" t="str">
        <f>IF($A971&lt;&gt;"",'Approved-Enforcement'!E971,"")</f>
        <v/>
      </c>
      <c r="G971" t="str">
        <f>IF($A971&lt;&gt;"",'Approved-Enforcement'!F971,"")</f>
        <v/>
      </c>
      <c r="H971" t="str">
        <f>IF($A971&lt;&gt;"",'Approved-Enforcement'!G971,"")</f>
        <v/>
      </c>
      <c r="I971" t="str">
        <f>IF($A971&lt;&gt;"",'Approved-Enforcement'!H971,"")</f>
        <v/>
      </c>
      <c r="J971" t="str">
        <f>IF($A971&lt;&gt;"",'Approved-Enforcement'!I971,"")</f>
        <v/>
      </c>
      <c r="K971" t="str">
        <f>IF($A971&lt;&gt;"",'Approved-Enforcement'!J971,"")</f>
        <v/>
      </c>
      <c r="L971" t="str">
        <f>IF($A971&lt;&gt;"",'Approved-Enforcement'!K971,"")</f>
        <v/>
      </c>
      <c r="M971" t="str">
        <f>IF($A971&lt;&gt;"",'Approved-Enforcement'!L971,"")</f>
        <v/>
      </c>
      <c r="N971" t="str">
        <f>IF($A971&lt;&gt;"",'Approved-Enforcement'!M971,"")</f>
        <v/>
      </c>
      <c r="O971" t="str">
        <f>IF($A971&lt;&gt;"",'Approved-Enforcement'!N971,"")</f>
        <v/>
      </c>
      <c r="P971" t="str">
        <f>IF($A971&lt;&gt;"",'Approved-Enforcement'!O971,"")</f>
        <v/>
      </c>
    </row>
    <row r="972" spans="1:16" x14ac:dyDescent="0.35">
      <c r="A972" s="4" t="str">
        <f>IF('Approved-Enforcement'!$A972&lt;&gt;"",'Approved-Enforcement'!A972,"")</f>
        <v/>
      </c>
      <c r="B972" t="str">
        <f t="shared" si="15"/>
        <v/>
      </c>
      <c r="D972" t="str">
        <f>IF($A972&lt;&gt;"",IF($R972&lt;&gt;"",$R972,'Approved-Enforcement'!$B972+7),"")</f>
        <v/>
      </c>
      <c r="E972" t="str">
        <f>IF($A972&lt;&gt;"",'Approved-Enforcement'!D972,"")</f>
        <v/>
      </c>
      <c r="F972" t="str">
        <f>IF($A972&lt;&gt;"",'Approved-Enforcement'!E972,"")</f>
        <v/>
      </c>
      <c r="G972" t="str">
        <f>IF($A972&lt;&gt;"",'Approved-Enforcement'!F972,"")</f>
        <v/>
      </c>
      <c r="H972" t="str">
        <f>IF($A972&lt;&gt;"",'Approved-Enforcement'!G972,"")</f>
        <v/>
      </c>
      <c r="I972" t="str">
        <f>IF($A972&lt;&gt;"",'Approved-Enforcement'!H972,"")</f>
        <v/>
      </c>
      <c r="J972" t="str">
        <f>IF($A972&lt;&gt;"",'Approved-Enforcement'!I972,"")</f>
        <v/>
      </c>
      <c r="K972" t="str">
        <f>IF($A972&lt;&gt;"",'Approved-Enforcement'!J972,"")</f>
        <v/>
      </c>
      <c r="L972" t="str">
        <f>IF($A972&lt;&gt;"",'Approved-Enforcement'!K972,"")</f>
        <v/>
      </c>
      <c r="M972" t="str">
        <f>IF($A972&lt;&gt;"",'Approved-Enforcement'!L972,"")</f>
        <v/>
      </c>
      <c r="N972" t="str">
        <f>IF($A972&lt;&gt;"",'Approved-Enforcement'!M972,"")</f>
        <v/>
      </c>
      <c r="O972" t="str">
        <f>IF($A972&lt;&gt;"",'Approved-Enforcement'!N972,"")</f>
        <v/>
      </c>
      <c r="P972" t="str">
        <f>IF($A972&lt;&gt;"",'Approved-Enforcement'!O972,"")</f>
        <v/>
      </c>
    </row>
    <row r="973" spans="1:16" x14ac:dyDescent="0.35">
      <c r="A973" s="4" t="str">
        <f>IF('Approved-Enforcement'!$A973&lt;&gt;"",'Approved-Enforcement'!A973,"")</f>
        <v/>
      </c>
      <c r="B973" t="str">
        <f t="shared" si="15"/>
        <v/>
      </c>
      <c r="D973" t="str">
        <f>IF($A973&lt;&gt;"",IF($R973&lt;&gt;"",$R973,'Approved-Enforcement'!$B973+7),"")</f>
        <v/>
      </c>
      <c r="E973" t="str">
        <f>IF($A973&lt;&gt;"",'Approved-Enforcement'!D973,"")</f>
        <v/>
      </c>
      <c r="F973" t="str">
        <f>IF($A973&lt;&gt;"",'Approved-Enforcement'!E973,"")</f>
        <v/>
      </c>
      <c r="G973" t="str">
        <f>IF($A973&lt;&gt;"",'Approved-Enforcement'!F973,"")</f>
        <v/>
      </c>
      <c r="H973" t="str">
        <f>IF($A973&lt;&gt;"",'Approved-Enforcement'!G973,"")</f>
        <v/>
      </c>
      <c r="I973" t="str">
        <f>IF($A973&lt;&gt;"",'Approved-Enforcement'!H973,"")</f>
        <v/>
      </c>
      <c r="J973" t="str">
        <f>IF($A973&lt;&gt;"",'Approved-Enforcement'!I973,"")</f>
        <v/>
      </c>
      <c r="K973" t="str">
        <f>IF($A973&lt;&gt;"",'Approved-Enforcement'!J973,"")</f>
        <v/>
      </c>
      <c r="L973" t="str">
        <f>IF($A973&lt;&gt;"",'Approved-Enforcement'!K973,"")</f>
        <v/>
      </c>
      <c r="M973" t="str">
        <f>IF($A973&lt;&gt;"",'Approved-Enforcement'!L973,"")</f>
        <v/>
      </c>
      <c r="N973" t="str">
        <f>IF($A973&lt;&gt;"",'Approved-Enforcement'!M973,"")</f>
        <v/>
      </c>
      <c r="O973" t="str">
        <f>IF($A973&lt;&gt;"",'Approved-Enforcement'!N973,"")</f>
        <v/>
      </c>
      <c r="P973" t="str">
        <f>IF($A973&lt;&gt;"",'Approved-Enforcement'!O973,"")</f>
        <v/>
      </c>
    </row>
    <row r="974" spans="1:16" x14ac:dyDescent="0.35">
      <c r="A974" s="4" t="str">
        <f>IF('Approved-Enforcement'!$A974&lt;&gt;"",'Approved-Enforcement'!A974,"")</f>
        <v/>
      </c>
      <c r="B974" t="str">
        <f t="shared" si="15"/>
        <v/>
      </c>
      <c r="D974" t="str">
        <f>IF($A974&lt;&gt;"",IF($R974&lt;&gt;"",$R974,'Approved-Enforcement'!$B974+7),"")</f>
        <v/>
      </c>
      <c r="E974" t="str">
        <f>IF($A974&lt;&gt;"",'Approved-Enforcement'!D974,"")</f>
        <v/>
      </c>
      <c r="F974" t="str">
        <f>IF($A974&lt;&gt;"",'Approved-Enforcement'!E974,"")</f>
        <v/>
      </c>
      <c r="G974" t="str">
        <f>IF($A974&lt;&gt;"",'Approved-Enforcement'!F974,"")</f>
        <v/>
      </c>
      <c r="H974" t="str">
        <f>IF($A974&lt;&gt;"",'Approved-Enforcement'!G974,"")</f>
        <v/>
      </c>
      <c r="I974" t="str">
        <f>IF($A974&lt;&gt;"",'Approved-Enforcement'!H974,"")</f>
        <v/>
      </c>
      <c r="J974" t="str">
        <f>IF($A974&lt;&gt;"",'Approved-Enforcement'!I974,"")</f>
        <v/>
      </c>
      <c r="K974" t="str">
        <f>IF($A974&lt;&gt;"",'Approved-Enforcement'!J974,"")</f>
        <v/>
      </c>
      <c r="L974" t="str">
        <f>IF($A974&lt;&gt;"",'Approved-Enforcement'!K974,"")</f>
        <v/>
      </c>
      <c r="M974" t="str">
        <f>IF($A974&lt;&gt;"",'Approved-Enforcement'!L974,"")</f>
        <v/>
      </c>
      <c r="N974" t="str">
        <f>IF($A974&lt;&gt;"",'Approved-Enforcement'!M974,"")</f>
        <v/>
      </c>
      <c r="O974" t="str">
        <f>IF($A974&lt;&gt;"",'Approved-Enforcement'!N974,"")</f>
        <v/>
      </c>
      <c r="P974" t="str">
        <f>IF($A974&lt;&gt;"",'Approved-Enforcement'!O974,"")</f>
        <v/>
      </c>
    </row>
    <row r="975" spans="1:16" x14ac:dyDescent="0.35">
      <c r="A975" s="4" t="str">
        <f>IF('Approved-Enforcement'!$A975&lt;&gt;"",'Approved-Enforcement'!A975,"")</f>
        <v/>
      </c>
      <c r="B975" t="str">
        <f t="shared" si="15"/>
        <v/>
      </c>
      <c r="D975" t="str">
        <f>IF($A975&lt;&gt;"",IF($R975&lt;&gt;"",$R975,'Approved-Enforcement'!$B975+7),"")</f>
        <v/>
      </c>
      <c r="E975" t="str">
        <f>IF($A975&lt;&gt;"",'Approved-Enforcement'!D975,"")</f>
        <v/>
      </c>
      <c r="F975" t="str">
        <f>IF($A975&lt;&gt;"",'Approved-Enforcement'!E975,"")</f>
        <v/>
      </c>
      <c r="G975" t="str">
        <f>IF($A975&lt;&gt;"",'Approved-Enforcement'!F975,"")</f>
        <v/>
      </c>
      <c r="H975" t="str">
        <f>IF($A975&lt;&gt;"",'Approved-Enforcement'!G975,"")</f>
        <v/>
      </c>
      <c r="I975" t="str">
        <f>IF($A975&lt;&gt;"",'Approved-Enforcement'!H975,"")</f>
        <v/>
      </c>
      <c r="J975" t="str">
        <f>IF($A975&lt;&gt;"",'Approved-Enforcement'!I975,"")</f>
        <v/>
      </c>
      <c r="K975" t="str">
        <f>IF($A975&lt;&gt;"",'Approved-Enforcement'!J975,"")</f>
        <v/>
      </c>
      <c r="L975" t="str">
        <f>IF($A975&lt;&gt;"",'Approved-Enforcement'!K975,"")</f>
        <v/>
      </c>
      <c r="M975" t="str">
        <f>IF($A975&lt;&gt;"",'Approved-Enforcement'!L975,"")</f>
        <v/>
      </c>
      <c r="N975" t="str">
        <f>IF($A975&lt;&gt;"",'Approved-Enforcement'!M975,"")</f>
        <v/>
      </c>
      <c r="O975" t="str">
        <f>IF($A975&lt;&gt;"",'Approved-Enforcement'!N975,"")</f>
        <v/>
      </c>
      <c r="P975" t="str">
        <f>IF($A975&lt;&gt;"",'Approved-Enforcement'!O975,"")</f>
        <v/>
      </c>
    </row>
    <row r="976" spans="1:16" x14ac:dyDescent="0.35">
      <c r="A976" s="4" t="str">
        <f>IF('Approved-Enforcement'!$A976&lt;&gt;"",'Approved-Enforcement'!A976,"")</f>
        <v/>
      </c>
      <c r="B976" t="str">
        <f t="shared" si="15"/>
        <v/>
      </c>
      <c r="D976" t="str">
        <f>IF($A976&lt;&gt;"",IF($R976&lt;&gt;"",$R976,'Approved-Enforcement'!$B976+7),"")</f>
        <v/>
      </c>
      <c r="E976" t="str">
        <f>IF($A976&lt;&gt;"",'Approved-Enforcement'!D976,"")</f>
        <v/>
      </c>
      <c r="F976" t="str">
        <f>IF($A976&lt;&gt;"",'Approved-Enforcement'!E976,"")</f>
        <v/>
      </c>
      <c r="G976" t="str">
        <f>IF($A976&lt;&gt;"",'Approved-Enforcement'!F976,"")</f>
        <v/>
      </c>
      <c r="H976" t="str">
        <f>IF($A976&lt;&gt;"",'Approved-Enforcement'!G976,"")</f>
        <v/>
      </c>
      <c r="I976" t="str">
        <f>IF($A976&lt;&gt;"",'Approved-Enforcement'!H976,"")</f>
        <v/>
      </c>
      <c r="J976" t="str">
        <f>IF($A976&lt;&gt;"",'Approved-Enforcement'!I976,"")</f>
        <v/>
      </c>
      <c r="K976" t="str">
        <f>IF($A976&lt;&gt;"",'Approved-Enforcement'!J976,"")</f>
        <v/>
      </c>
      <c r="L976" t="str">
        <f>IF($A976&lt;&gt;"",'Approved-Enforcement'!K976,"")</f>
        <v/>
      </c>
      <c r="M976" t="str">
        <f>IF($A976&lt;&gt;"",'Approved-Enforcement'!L976,"")</f>
        <v/>
      </c>
      <c r="N976" t="str">
        <f>IF($A976&lt;&gt;"",'Approved-Enforcement'!M976,"")</f>
        <v/>
      </c>
      <c r="O976" t="str">
        <f>IF($A976&lt;&gt;"",'Approved-Enforcement'!N976,"")</f>
        <v/>
      </c>
      <c r="P976" t="str">
        <f>IF($A976&lt;&gt;"",'Approved-Enforcement'!O976,"")</f>
        <v/>
      </c>
    </row>
    <row r="977" spans="1:16" x14ac:dyDescent="0.35">
      <c r="A977" s="4" t="str">
        <f>IF('Approved-Enforcement'!$A977&lt;&gt;"",'Approved-Enforcement'!A977,"")</f>
        <v/>
      </c>
      <c r="B977" t="str">
        <f t="shared" si="15"/>
        <v/>
      </c>
      <c r="D977" t="str">
        <f>IF($A977&lt;&gt;"",IF($R977&lt;&gt;"",$R977,'Approved-Enforcement'!$B977+7),"")</f>
        <v/>
      </c>
      <c r="E977" t="str">
        <f>IF($A977&lt;&gt;"",'Approved-Enforcement'!D977,"")</f>
        <v/>
      </c>
      <c r="F977" t="str">
        <f>IF($A977&lt;&gt;"",'Approved-Enforcement'!E977,"")</f>
        <v/>
      </c>
      <c r="G977" t="str">
        <f>IF($A977&lt;&gt;"",'Approved-Enforcement'!F977,"")</f>
        <v/>
      </c>
      <c r="H977" t="str">
        <f>IF($A977&lt;&gt;"",'Approved-Enforcement'!G977,"")</f>
        <v/>
      </c>
      <c r="I977" t="str">
        <f>IF($A977&lt;&gt;"",'Approved-Enforcement'!H977,"")</f>
        <v/>
      </c>
      <c r="J977" t="str">
        <f>IF($A977&lt;&gt;"",'Approved-Enforcement'!I977,"")</f>
        <v/>
      </c>
      <c r="K977" t="str">
        <f>IF($A977&lt;&gt;"",'Approved-Enforcement'!J977,"")</f>
        <v/>
      </c>
      <c r="L977" t="str">
        <f>IF($A977&lt;&gt;"",'Approved-Enforcement'!K977,"")</f>
        <v/>
      </c>
      <c r="M977" t="str">
        <f>IF($A977&lt;&gt;"",'Approved-Enforcement'!L977,"")</f>
        <v/>
      </c>
      <c r="N977" t="str">
        <f>IF($A977&lt;&gt;"",'Approved-Enforcement'!M977,"")</f>
        <v/>
      </c>
      <c r="O977" t="str">
        <f>IF($A977&lt;&gt;"",'Approved-Enforcement'!N977,"")</f>
        <v/>
      </c>
      <c r="P977" t="str">
        <f>IF($A977&lt;&gt;"",'Approved-Enforcement'!O977,"")</f>
        <v/>
      </c>
    </row>
    <row r="978" spans="1:16" x14ac:dyDescent="0.35">
      <c r="A978" s="4" t="str">
        <f>IF('Approved-Enforcement'!$A978&lt;&gt;"",'Approved-Enforcement'!A978,"")</f>
        <v/>
      </c>
      <c r="B978" t="str">
        <f t="shared" si="15"/>
        <v/>
      </c>
      <c r="D978" t="str">
        <f>IF($A978&lt;&gt;"",IF($R978&lt;&gt;"",$R978,'Approved-Enforcement'!$B978+7),"")</f>
        <v/>
      </c>
      <c r="E978" t="str">
        <f>IF($A978&lt;&gt;"",'Approved-Enforcement'!D978,"")</f>
        <v/>
      </c>
      <c r="F978" t="str">
        <f>IF($A978&lt;&gt;"",'Approved-Enforcement'!E978,"")</f>
        <v/>
      </c>
      <c r="G978" t="str">
        <f>IF($A978&lt;&gt;"",'Approved-Enforcement'!F978,"")</f>
        <v/>
      </c>
      <c r="H978" t="str">
        <f>IF($A978&lt;&gt;"",'Approved-Enforcement'!G978,"")</f>
        <v/>
      </c>
      <c r="I978" t="str">
        <f>IF($A978&lt;&gt;"",'Approved-Enforcement'!H978,"")</f>
        <v/>
      </c>
      <c r="J978" t="str">
        <f>IF($A978&lt;&gt;"",'Approved-Enforcement'!I978,"")</f>
        <v/>
      </c>
      <c r="K978" t="str">
        <f>IF($A978&lt;&gt;"",'Approved-Enforcement'!J978,"")</f>
        <v/>
      </c>
      <c r="L978" t="str">
        <f>IF($A978&lt;&gt;"",'Approved-Enforcement'!K978,"")</f>
        <v/>
      </c>
      <c r="M978" t="str">
        <f>IF($A978&lt;&gt;"",'Approved-Enforcement'!L978,"")</f>
        <v/>
      </c>
      <c r="N978" t="str">
        <f>IF($A978&lt;&gt;"",'Approved-Enforcement'!M978,"")</f>
        <v/>
      </c>
      <c r="O978" t="str">
        <f>IF($A978&lt;&gt;"",'Approved-Enforcement'!N978,"")</f>
        <v/>
      </c>
      <c r="P978" t="str">
        <f>IF($A978&lt;&gt;"",'Approved-Enforcement'!O978,"")</f>
        <v/>
      </c>
    </row>
    <row r="979" spans="1:16" x14ac:dyDescent="0.35">
      <c r="A979" s="4" t="str">
        <f>IF('Approved-Enforcement'!$A979&lt;&gt;"",'Approved-Enforcement'!A979,"")</f>
        <v/>
      </c>
      <c r="B979" t="str">
        <f t="shared" si="15"/>
        <v/>
      </c>
      <c r="D979" t="str">
        <f>IF($A979&lt;&gt;"",IF($R979&lt;&gt;"",$R979,'Approved-Enforcement'!$B979+7),"")</f>
        <v/>
      </c>
      <c r="E979" t="str">
        <f>IF($A979&lt;&gt;"",'Approved-Enforcement'!D979,"")</f>
        <v/>
      </c>
      <c r="F979" t="str">
        <f>IF($A979&lt;&gt;"",'Approved-Enforcement'!E979,"")</f>
        <v/>
      </c>
      <c r="G979" t="str">
        <f>IF($A979&lt;&gt;"",'Approved-Enforcement'!F979,"")</f>
        <v/>
      </c>
      <c r="H979" t="str">
        <f>IF($A979&lt;&gt;"",'Approved-Enforcement'!G979,"")</f>
        <v/>
      </c>
      <c r="I979" t="str">
        <f>IF($A979&lt;&gt;"",'Approved-Enforcement'!H979,"")</f>
        <v/>
      </c>
      <c r="J979" t="str">
        <f>IF($A979&lt;&gt;"",'Approved-Enforcement'!I979,"")</f>
        <v/>
      </c>
      <c r="K979" t="str">
        <f>IF($A979&lt;&gt;"",'Approved-Enforcement'!J979,"")</f>
        <v/>
      </c>
      <c r="L979" t="str">
        <f>IF($A979&lt;&gt;"",'Approved-Enforcement'!K979,"")</f>
        <v/>
      </c>
      <c r="M979" t="str">
        <f>IF($A979&lt;&gt;"",'Approved-Enforcement'!L979,"")</f>
        <v/>
      </c>
      <c r="N979" t="str">
        <f>IF($A979&lt;&gt;"",'Approved-Enforcement'!M979,"")</f>
        <v/>
      </c>
      <c r="O979" t="str">
        <f>IF($A979&lt;&gt;"",'Approved-Enforcement'!N979,"")</f>
        <v/>
      </c>
      <c r="P979" t="str">
        <f>IF($A979&lt;&gt;"",'Approved-Enforcement'!O979,"")</f>
        <v/>
      </c>
    </row>
    <row r="980" spans="1:16" x14ac:dyDescent="0.35">
      <c r="A980" s="4" t="str">
        <f>IF('Approved-Enforcement'!$A980&lt;&gt;"",'Approved-Enforcement'!A980,"")</f>
        <v/>
      </c>
      <c r="B980" t="str">
        <f t="shared" si="15"/>
        <v/>
      </c>
      <c r="D980" t="str">
        <f>IF($A980&lt;&gt;"",IF($R980&lt;&gt;"",$R980,'Approved-Enforcement'!$B980+7),"")</f>
        <v/>
      </c>
      <c r="E980" t="str">
        <f>IF($A980&lt;&gt;"",'Approved-Enforcement'!D980,"")</f>
        <v/>
      </c>
      <c r="F980" t="str">
        <f>IF($A980&lt;&gt;"",'Approved-Enforcement'!E980,"")</f>
        <v/>
      </c>
      <c r="G980" t="str">
        <f>IF($A980&lt;&gt;"",'Approved-Enforcement'!F980,"")</f>
        <v/>
      </c>
      <c r="H980" t="str">
        <f>IF($A980&lt;&gt;"",'Approved-Enforcement'!G980,"")</f>
        <v/>
      </c>
      <c r="I980" t="str">
        <f>IF($A980&lt;&gt;"",'Approved-Enforcement'!H980,"")</f>
        <v/>
      </c>
      <c r="J980" t="str">
        <f>IF($A980&lt;&gt;"",'Approved-Enforcement'!I980,"")</f>
        <v/>
      </c>
      <c r="K980" t="str">
        <f>IF($A980&lt;&gt;"",'Approved-Enforcement'!J980,"")</f>
        <v/>
      </c>
      <c r="L980" t="str">
        <f>IF($A980&lt;&gt;"",'Approved-Enforcement'!K980,"")</f>
        <v/>
      </c>
      <c r="M980" t="str">
        <f>IF($A980&lt;&gt;"",'Approved-Enforcement'!L980,"")</f>
        <v/>
      </c>
      <c r="N980" t="str">
        <f>IF($A980&lt;&gt;"",'Approved-Enforcement'!M980,"")</f>
        <v/>
      </c>
      <c r="O980" t="str">
        <f>IF($A980&lt;&gt;"",'Approved-Enforcement'!N980,"")</f>
        <v/>
      </c>
      <c r="P980" t="str">
        <f>IF($A980&lt;&gt;"",'Approved-Enforcement'!O980,"")</f>
        <v/>
      </c>
    </row>
    <row r="981" spans="1:16" x14ac:dyDescent="0.35">
      <c r="A981" s="4" t="str">
        <f>IF('Approved-Enforcement'!$A981&lt;&gt;"",'Approved-Enforcement'!A981,"")</f>
        <v/>
      </c>
      <c r="B981" t="str">
        <f t="shared" si="15"/>
        <v/>
      </c>
      <c r="D981" t="str">
        <f>IF($A981&lt;&gt;"",IF($R981&lt;&gt;"",$R981,'Approved-Enforcement'!$B981+7),"")</f>
        <v/>
      </c>
      <c r="E981" t="str">
        <f>IF($A981&lt;&gt;"",'Approved-Enforcement'!D981,"")</f>
        <v/>
      </c>
      <c r="F981" t="str">
        <f>IF($A981&lt;&gt;"",'Approved-Enforcement'!E981,"")</f>
        <v/>
      </c>
      <c r="G981" t="str">
        <f>IF($A981&lt;&gt;"",'Approved-Enforcement'!F981,"")</f>
        <v/>
      </c>
      <c r="H981" t="str">
        <f>IF($A981&lt;&gt;"",'Approved-Enforcement'!G981,"")</f>
        <v/>
      </c>
      <c r="I981" t="str">
        <f>IF($A981&lt;&gt;"",'Approved-Enforcement'!H981,"")</f>
        <v/>
      </c>
      <c r="J981" t="str">
        <f>IF($A981&lt;&gt;"",'Approved-Enforcement'!I981,"")</f>
        <v/>
      </c>
      <c r="K981" t="str">
        <f>IF($A981&lt;&gt;"",'Approved-Enforcement'!J981,"")</f>
        <v/>
      </c>
      <c r="L981" t="str">
        <f>IF($A981&lt;&gt;"",'Approved-Enforcement'!K981,"")</f>
        <v/>
      </c>
      <c r="M981" t="str">
        <f>IF($A981&lt;&gt;"",'Approved-Enforcement'!L981,"")</f>
        <v/>
      </c>
      <c r="N981" t="str">
        <f>IF($A981&lt;&gt;"",'Approved-Enforcement'!M981,"")</f>
        <v/>
      </c>
      <c r="O981" t="str">
        <f>IF($A981&lt;&gt;"",'Approved-Enforcement'!N981,"")</f>
        <v/>
      </c>
      <c r="P981" t="str">
        <f>IF($A981&lt;&gt;"",'Approved-Enforcement'!O981,"")</f>
        <v/>
      </c>
    </row>
    <row r="982" spans="1:16" x14ac:dyDescent="0.35">
      <c r="A982" s="4" t="str">
        <f>IF('Approved-Enforcement'!$A982&lt;&gt;"",'Approved-Enforcement'!A982,"")</f>
        <v/>
      </c>
      <c r="B982" t="str">
        <f t="shared" si="15"/>
        <v/>
      </c>
      <c r="D982" t="str">
        <f>IF($A982&lt;&gt;"",IF($R982&lt;&gt;"",$R982,'Approved-Enforcement'!$B982+7),"")</f>
        <v/>
      </c>
      <c r="E982" t="str">
        <f>IF($A982&lt;&gt;"",'Approved-Enforcement'!D982,"")</f>
        <v/>
      </c>
      <c r="F982" t="str">
        <f>IF($A982&lt;&gt;"",'Approved-Enforcement'!E982,"")</f>
        <v/>
      </c>
      <c r="G982" t="str">
        <f>IF($A982&lt;&gt;"",'Approved-Enforcement'!F982,"")</f>
        <v/>
      </c>
      <c r="H982" t="str">
        <f>IF($A982&lt;&gt;"",'Approved-Enforcement'!G982,"")</f>
        <v/>
      </c>
      <c r="I982" t="str">
        <f>IF($A982&lt;&gt;"",'Approved-Enforcement'!H982,"")</f>
        <v/>
      </c>
      <c r="J982" t="str">
        <f>IF($A982&lt;&gt;"",'Approved-Enforcement'!I982,"")</f>
        <v/>
      </c>
      <c r="K982" t="str">
        <f>IF($A982&lt;&gt;"",'Approved-Enforcement'!J982,"")</f>
        <v/>
      </c>
      <c r="L982" t="str">
        <f>IF($A982&lt;&gt;"",'Approved-Enforcement'!K982,"")</f>
        <v/>
      </c>
      <c r="M982" t="str">
        <f>IF($A982&lt;&gt;"",'Approved-Enforcement'!L982,"")</f>
        <v/>
      </c>
      <c r="N982" t="str">
        <f>IF($A982&lt;&gt;"",'Approved-Enforcement'!M982,"")</f>
        <v/>
      </c>
      <c r="O982" t="str">
        <f>IF($A982&lt;&gt;"",'Approved-Enforcement'!N982,"")</f>
        <v/>
      </c>
      <c r="P982" t="str">
        <f>IF($A982&lt;&gt;"",'Approved-Enforcement'!O982,"")</f>
        <v/>
      </c>
    </row>
    <row r="983" spans="1:16" x14ac:dyDescent="0.35">
      <c r="A983" s="4" t="str">
        <f>IF('Approved-Enforcement'!$A983&lt;&gt;"",'Approved-Enforcement'!A983,"")</f>
        <v/>
      </c>
      <c r="B983" t="str">
        <f t="shared" si="15"/>
        <v/>
      </c>
      <c r="D983" t="str">
        <f>IF($A983&lt;&gt;"",IF($R983&lt;&gt;"",$R983,'Approved-Enforcement'!$B983+7),"")</f>
        <v/>
      </c>
      <c r="E983" t="str">
        <f>IF($A983&lt;&gt;"",'Approved-Enforcement'!D983,"")</f>
        <v/>
      </c>
      <c r="F983" t="str">
        <f>IF($A983&lt;&gt;"",'Approved-Enforcement'!E983,"")</f>
        <v/>
      </c>
      <c r="G983" t="str">
        <f>IF($A983&lt;&gt;"",'Approved-Enforcement'!F983,"")</f>
        <v/>
      </c>
      <c r="H983" t="str">
        <f>IF($A983&lt;&gt;"",'Approved-Enforcement'!G983,"")</f>
        <v/>
      </c>
      <c r="I983" t="str">
        <f>IF($A983&lt;&gt;"",'Approved-Enforcement'!H983,"")</f>
        <v/>
      </c>
      <c r="J983" t="str">
        <f>IF($A983&lt;&gt;"",'Approved-Enforcement'!I983,"")</f>
        <v/>
      </c>
      <c r="K983" t="str">
        <f>IF($A983&lt;&gt;"",'Approved-Enforcement'!J983,"")</f>
        <v/>
      </c>
      <c r="L983" t="str">
        <f>IF($A983&lt;&gt;"",'Approved-Enforcement'!K983,"")</f>
        <v/>
      </c>
      <c r="M983" t="str">
        <f>IF($A983&lt;&gt;"",'Approved-Enforcement'!L983,"")</f>
        <v/>
      </c>
      <c r="N983" t="str">
        <f>IF($A983&lt;&gt;"",'Approved-Enforcement'!M983,"")</f>
        <v/>
      </c>
      <c r="O983" t="str">
        <f>IF($A983&lt;&gt;"",'Approved-Enforcement'!N983,"")</f>
        <v/>
      </c>
      <c r="P983" t="str">
        <f>IF($A983&lt;&gt;"",'Approved-Enforcement'!O983,"")</f>
        <v/>
      </c>
    </row>
    <row r="984" spans="1:16" x14ac:dyDescent="0.35">
      <c r="A984" s="4" t="str">
        <f>IF('Approved-Enforcement'!$A984&lt;&gt;"",'Approved-Enforcement'!A984,"")</f>
        <v/>
      </c>
      <c r="B984" t="str">
        <f t="shared" si="15"/>
        <v/>
      </c>
      <c r="D984" t="str">
        <f>IF($A984&lt;&gt;"",IF($R984&lt;&gt;"",$R984,'Approved-Enforcement'!$B984+7),"")</f>
        <v/>
      </c>
      <c r="E984" t="str">
        <f>IF($A984&lt;&gt;"",'Approved-Enforcement'!D984,"")</f>
        <v/>
      </c>
      <c r="F984" t="str">
        <f>IF($A984&lt;&gt;"",'Approved-Enforcement'!E984,"")</f>
        <v/>
      </c>
      <c r="G984" t="str">
        <f>IF($A984&lt;&gt;"",'Approved-Enforcement'!F984,"")</f>
        <v/>
      </c>
      <c r="H984" t="str">
        <f>IF($A984&lt;&gt;"",'Approved-Enforcement'!G984,"")</f>
        <v/>
      </c>
      <c r="I984" t="str">
        <f>IF($A984&lt;&gt;"",'Approved-Enforcement'!H984,"")</f>
        <v/>
      </c>
      <c r="J984" t="str">
        <f>IF($A984&lt;&gt;"",'Approved-Enforcement'!I984,"")</f>
        <v/>
      </c>
      <c r="K984" t="str">
        <f>IF($A984&lt;&gt;"",'Approved-Enforcement'!J984,"")</f>
        <v/>
      </c>
      <c r="L984" t="str">
        <f>IF($A984&lt;&gt;"",'Approved-Enforcement'!K984,"")</f>
        <v/>
      </c>
      <c r="M984" t="str">
        <f>IF($A984&lt;&gt;"",'Approved-Enforcement'!L984,"")</f>
        <v/>
      </c>
      <c r="N984" t="str">
        <f>IF($A984&lt;&gt;"",'Approved-Enforcement'!M984,"")</f>
        <v/>
      </c>
      <c r="O984" t="str">
        <f>IF($A984&lt;&gt;"",'Approved-Enforcement'!N984,"")</f>
        <v/>
      </c>
      <c r="P984" t="str">
        <f>IF($A984&lt;&gt;"",'Approved-Enforcement'!O984,"")</f>
        <v/>
      </c>
    </row>
    <row r="985" spans="1:16" x14ac:dyDescent="0.35">
      <c r="A985" s="4" t="str">
        <f>IF('Approved-Enforcement'!$A985&lt;&gt;"",'Approved-Enforcement'!A985,"")</f>
        <v/>
      </c>
      <c r="B985" t="str">
        <f t="shared" si="15"/>
        <v/>
      </c>
      <c r="D985" t="str">
        <f>IF($A985&lt;&gt;"",IF($R985&lt;&gt;"",$R985,'Approved-Enforcement'!$B985+7),"")</f>
        <v/>
      </c>
      <c r="E985" t="str">
        <f>IF($A985&lt;&gt;"",'Approved-Enforcement'!D985,"")</f>
        <v/>
      </c>
      <c r="F985" t="str">
        <f>IF($A985&lt;&gt;"",'Approved-Enforcement'!E985,"")</f>
        <v/>
      </c>
      <c r="G985" t="str">
        <f>IF($A985&lt;&gt;"",'Approved-Enforcement'!F985,"")</f>
        <v/>
      </c>
      <c r="H985" t="str">
        <f>IF($A985&lt;&gt;"",'Approved-Enforcement'!G985,"")</f>
        <v/>
      </c>
      <c r="I985" t="str">
        <f>IF($A985&lt;&gt;"",'Approved-Enforcement'!H985,"")</f>
        <v/>
      </c>
      <c r="J985" t="str">
        <f>IF($A985&lt;&gt;"",'Approved-Enforcement'!I985,"")</f>
        <v/>
      </c>
      <c r="K985" t="str">
        <f>IF($A985&lt;&gt;"",'Approved-Enforcement'!J985,"")</f>
        <v/>
      </c>
      <c r="L985" t="str">
        <f>IF($A985&lt;&gt;"",'Approved-Enforcement'!K985,"")</f>
        <v/>
      </c>
      <c r="M985" t="str">
        <f>IF($A985&lt;&gt;"",'Approved-Enforcement'!L985,"")</f>
        <v/>
      </c>
      <c r="N985" t="str">
        <f>IF($A985&lt;&gt;"",'Approved-Enforcement'!M985,"")</f>
        <v/>
      </c>
      <c r="O985" t="str">
        <f>IF($A985&lt;&gt;"",'Approved-Enforcement'!N985,"")</f>
        <v/>
      </c>
      <c r="P985" t="str">
        <f>IF($A985&lt;&gt;"",'Approved-Enforcement'!O985,"")</f>
        <v/>
      </c>
    </row>
    <row r="986" spans="1:16" x14ac:dyDescent="0.35">
      <c r="A986" s="4" t="str">
        <f>IF('Approved-Enforcement'!$A986&lt;&gt;"",'Approved-Enforcement'!A986,"")</f>
        <v/>
      </c>
      <c r="B986" t="str">
        <f t="shared" si="15"/>
        <v/>
      </c>
      <c r="D986" t="str">
        <f>IF($A986&lt;&gt;"",IF($R986&lt;&gt;"",$R986,'Approved-Enforcement'!$B986+7),"")</f>
        <v/>
      </c>
      <c r="E986" t="str">
        <f>IF($A986&lt;&gt;"",'Approved-Enforcement'!D986,"")</f>
        <v/>
      </c>
      <c r="F986" t="str">
        <f>IF($A986&lt;&gt;"",'Approved-Enforcement'!E986,"")</f>
        <v/>
      </c>
      <c r="G986" t="str">
        <f>IF($A986&lt;&gt;"",'Approved-Enforcement'!F986,"")</f>
        <v/>
      </c>
      <c r="H986" t="str">
        <f>IF($A986&lt;&gt;"",'Approved-Enforcement'!G986,"")</f>
        <v/>
      </c>
      <c r="I986" t="str">
        <f>IF($A986&lt;&gt;"",'Approved-Enforcement'!H986,"")</f>
        <v/>
      </c>
      <c r="J986" t="str">
        <f>IF($A986&lt;&gt;"",'Approved-Enforcement'!I986,"")</f>
        <v/>
      </c>
      <c r="K986" t="str">
        <f>IF($A986&lt;&gt;"",'Approved-Enforcement'!J986,"")</f>
        <v/>
      </c>
      <c r="L986" t="str">
        <f>IF($A986&lt;&gt;"",'Approved-Enforcement'!K986,"")</f>
        <v/>
      </c>
      <c r="M986" t="str">
        <f>IF($A986&lt;&gt;"",'Approved-Enforcement'!L986,"")</f>
        <v/>
      </c>
      <c r="N986" t="str">
        <f>IF($A986&lt;&gt;"",'Approved-Enforcement'!M986,"")</f>
        <v/>
      </c>
      <c r="O986" t="str">
        <f>IF($A986&lt;&gt;"",'Approved-Enforcement'!N986,"")</f>
        <v/>
      </c>
      <c r="P986" t="str">
        <f>IF($A986&lt;&gt;"",'Approved-Enforcement'!O986,"")</f>
        <v/>
      </c>
    </row>
    <row r="987" spans="1:16" x14ac:dyDescent="0.35">
      <c r="A987" s="4" t="str">
        <f>IF('Approved-Enforcement'!$A987&lt;&gt;"",'Approved-Enforcement'!A987,"")</f>
        <v/>
      </c>
      <c r="B987" t="str">
        <f t="shared" si="15"/>
        <v/>
      </c>
      <c r="D987" t="str">
        <f>IF($A987&lt;&gt;"",IF($R987&lt;&gt;"",$R987,'Approved-Enforcement'!$B987+7),"")</f>
        <v/>
      </c>
      <c r="E987" t="str">
        <f>IF($A987&lt;&gt;"",'Approved-Enforcement'!D987,"")</f>
        <v/>
      </c>
      <c r="F987" t="str">
        <f>IF($A987&lt;&gt;"",'Approved-Enforcement'!E987,"")</f>
        <v/>
      </c>
      <c r="G987" t="str">
        <f>IF($A987&lt;&gt;"",'Approved-Enforcement'!F987,"")</f>
        <v/>
      </c>
      <c r="H987" t="str">
        <f>IF($A987&lt;&gt;"",'Approved-Enforcement'!G987,"")</f>
        <v/>
      </c>
      <c r="I987" t="str">
        <f>IF($A987&lt;&gt;"",'Approved-Enforcement'!H987,"")</f>
        <v/>
      </c>
      <c r="J987" t="str">
        <f>IF($A987&lt;&gt;"",'Approved-Enforcement'!I987,"")</f>
        <v/>
      </c>
      <c r="K987" t="str">
        <f>IF($A987&lt;&gt;"",'Approved-Enforcement'!J987,"")</f>
        <v/>
      </c>
      <c r="L987" t="str">
        <f>IF($A987&lt;&gt;"",'Approved-Enforcement'!K987,"")</f>
        <v/>
      </c>
      <c r="M987" t="str">
        <f>IF($A987&lt;&gt;"",'Approved-Enforcement'!L987,"")</f>
        <v/>
      </c>
      <c r="N987" t="str">
        <f>IF($A987&lt;&gt;"",'Approved-Enforcement'!M987,"")</f>
        <v/>
      </c>
      <c r="O987" t="str">
        <f>IF($A987&lt;&gt;"",'Approved-Enforcement'!N987,"")</f>
        <v/>
      </c>
      <c r="P987" t="str">
        <f>IF($A987&lt;&gt;"",'Approved-Enforcement'!O987,"")</f>
        <v/>
      </c>
    </row>
    <row r="988" spans="1:16" x14ac:dyDescent="0.35">
      <c r="A988" s="4" t="str">
        <f>IF('Approved-Enforcement'!$A988&lt;&gt;"",'Approved-Enforcement'!A988,"")</f>
        <v/>
      </c>
      <c r="B988" t="str">
        <f t="shared" si="15"/>
        <v/>
      </c>
      <c r="D988" t="str">
        <f>IF($A988&lt;&gt;"",IF($R988&lt;&gt;"",$R988,'Approved-Enforcement'!$B988+7),"")</f>
        <v/>
      </c>
      <c r="E988" t="str">
        <f>IF($A988&lt;&gt;"",'Approved-Enforcement'!D988,"")</f>
        <v/>
      </c>
      <c r="F988" t="str">
        <f>IF($A988&lt;&gt;"",'Approved-Enforcement'!E988,"")</f>
        <v/>
      </c>
      <c r="G988" t="str">
        <f>IF($A988&lt;&gt;"",'Approved-Enforcement'!F988,"")</f>
        <v/>
      </c>
      <c r="H988" t="str">
        <f>IF($A988&lt;&gt;"",'Approved-Enforcement'!G988,"")</f>
        <v/>
      </c>
      <c r="I988" t="str">
        <f>IF($A988&lt;&gt;"",'Approved-Enforcement'!H988,"")</f>
        <v/>
      </c>
      <c r="J988" t="str">
        <f>IF($A988&lt;&gt;"",'Approved-Enforcement'!I988,"")</f>
        <v/>
      </c>
      <c r="K988" t="str">
        <f>IF($A988&lt;&gt;"",'Approved-Enforcement'!J988,"")</f>
        <v/>
      </c>
      <c r="L988" t="str">
        <f>IF($A988&lt;&gt;"",'Approved-Enforcement'!K988,"")</f>
        <v/>
      </c>
      <c r="M988" t="str">
        <f>IF($A988&lt;&gt;"",'Approved-Enforcement'!L988,"")</f>
        <v/>
      </c>
      <c r="N988" t="str">
        <f>IF($A988&lt;&gt;"",'Approved-Enforcement'!M988,"")</f>
        <v/>
      </c>
      <c r="O988" t="str">
        <f>IF($A988&lt;&gt;"",'Approved-Enforcement'!N988,"")</f>
        <v/>
      </c>
      <c r="P988" t="str">
        <f>IF($A988&lt;&gt;"",'Approved-Enforcement'!O988,"")</f>
        <v/>
      </c>
    </row>
    <row r="989" spans="1:16" x14ac:dyDescent="0.35">
      <c r="A989" s="4" t="str">
        <f>IF('Approved-Enforcement'!$A989&lt;&gt;"",'Approved-Enforcement'!A989,"")</f>
        <v/>
      </c>
      <c r="B989" t="str">
        <f t="shared" si="15"/>
        <v/>
      </c>
      <c r="D989" t="str">
        <f>IF($A989&lt;&gt;"",IF($R989&lt;&gt;"",$R989,'Approved-Enforcement'!$B989+7),"")</f>
        <v/>
      </c>
      <c r="E989" t="str">
        <f>IF($A989&lt;&gt;"",'Approved-Enforcement'!D989,"")</f>
        <v/>
      </c>
      <c r="F989" t="str">
        <f>IF($A989&lt;&gt;"",'Approved-Enforcement'!E989,"")</f>
        <v/>
      </c>
      <c r="G989" t="str">
        <f>IF($A989&lt;&gt;"",'Approved-Enforcement'!F989,"")</f>
        <v/>
      </c>
      <c r="H989" t="str">
        <f>IF($A989&lt;&gt;"",'Approved-Enforcement'!G989,"")</f>
        <v/>
      </c>
      <c r="I989" t="str">
        <f>IF($A989&lt;&gt;"",'Approved-Enforcement'!H989,"")</f>
        <v/>
      </c>
      <c r="J989" t="str">
        <f>IF($A989&lt;&gt;"",'Approved-Enforcement'!I989,"")</f>
        <v/>
      </c>
      <c r="K989" t="str">
        <f>IF($A989&lt;&gt;"",'Approved-Enforcement'!J989,"")</f>
        <v/>
      </c>
      <c r="L989" t="str">
        <f>IF($A989&lt;&gt;"",'Approved-Enforcement'!K989,"")</f>
        <v/>
      </c>
      <c r="M989" t="str">
        <f>IF($A989&lt;&gt;"",'Approved-Enforcement'!L989,"")</f>
        <v/>
      </c>
      <c r="N989" t="str">
        <f>IF($A989&lt;&gt;"",'Approved-Enforcement'!M989,"")</f>
        <v/>
      </c>
      <c r="O989" t="str">
        <f>IF($A989&lt;&gt;"",'Approved-Enforcement'!N989,"")</f>
        <v/>
      </c>
      <c r="P989" t="str">
        <f>IF($A989&lt;&gt;"",'Approved-Enforcement'!O989,"")</f>
        <v/>
      </c>
    </row>
    <row r="990" spans="1:16" x14ac:dyDescent="0.35">
      <c r="A990" s="4" t="str">
        <f>IF('Approved-Enforcement'!$A990&lt;&gt;"",'Approved-Enforcement'!A990,"")</f>
        <v/>
      </c>
      <c r="B990" t="str">
        <f t="shared" si="15"/>
        <v/>
      </c>
      <c r="D990" t="str">
        <f>IF($A990&lt;&gt;"",IF($R990&lt;&gt;"",$R990,'Approved-Enforcement'!$B990+7),"")</f>
        <v/>
      </c>
      <c r="E990" t="str">
        <f>IF($A990&lt;&gt;"",'Approved-Enforcement'!D990,"")</f>
        <v/>
      </c>
      <c r="F990" t="str">
        <f>IF($A990&lt;&gt;"",'Approved-Enforcement'!E990,"")</f>
        <v/>
      </c>
      <c r="G990" t="str">
        <f>IF($A990&lt;&gt;"",'Approved-Enforcement'!F990,"")</f>
        <v/>
      </c>
      <c r="H990" t="str">
        <f>IF($A990&lt;&gt;"",'Approved-Enforcement'!G990,"")</f>
        <v/>
      </c>
      <c r="I990" t="str">
        <f>IF($A990&lt;&gt;"",'Approved-Enforcement'!H990,"")</f>
        <v/>
      </c>
      <c r="J990" t="str">
        <f>IF($A990&lt;&gt;"",'Approved-Enforcement'!I990,"")</f>
        <v/>
      </c>
      <c r="K990" t="str">
        <f>IF($A990&lt;&gt;"",'Approved-Enforcement'!J990,"")</f>
        <v/>
      </c>
      <c r="L990" t="str">
        <f>IF($A990&lt;&gt;"",'Approved-Enforcement'!K990,"")</f>
        <v/>
      </c>
      <c r="M990" t="str">
        <f>IF($A990&lt;&gt;"",'Approved-Enforcement'!L990,"")</f>
        <v/>
      </c>
      <c r="N990" t="str">
        <f>IF($A990&lt;&gt;"",'Approved-Enforcement'!M990,"")</f>
        <v/>
      </c>
      <c r="O990" t="str">
        <f>IF($A990&lt;&gt;"",'Approved-Enforcement'!N990,"")</f>
        <v/>
      </c>
      <c r="P990" t="str">
        <f>IF($A990&lt;&gt;"",'Approved-Enforcement'!O990,"")</f>
        <v/>
      </c>
    </row>
    <row r="991" spans="1:16" x14ac:dyDescent="0.35">
      <c r="A991" s="4" t="str">
        <f>IF('Approved-Enforcement'!$A991&lt;&gt;"",'Approved-Enforcement'!A991,"")</f>
        <v/>
      </c>
      <c r="B991" t="str">
        <f t="shared" si="15"/>
        <v/>
      </c>
      <c r="D991" t="str">
        <f>IF($A991&lt;&gt;"",IF($R991&lt;&gt;"",$R991,'Approved-Enforcement'!$B991+7),"")</f>
        <v/>
      </c>
      <c r="E991" t="str">
        <f>IF($A991&lt;&gt;"",'Approved-Enforcement'!D991,"")</f>
        <v/>
      </c>
      <c r="F991" t="str">
        <f>IF($A991&lt;&gt;"",'Approved-Enforcement'!E991,"")</f>
        <v/>
      </c>
      <c r="G991" t="str">
        <f>IF($A991&lt;&gt;"",'Approved-Enforcement'!F991,"")</f>
        <v/>
      </c>
      <c r="H991" t="str">
        <f>IF($A991&lt;&gt;"",'Approved-Enforcement'!G991,"")</f>
        <v/>
      </c>
      <c r="I991" t="str">
        <f>IF($A991&lt;&gt;"",'Approved-Enforcement'!H991,"")</f>
        <v/>
      </c>
      <c r="J991" t="str">
        <f>IF($A991&lt;&gt;"",'Approved-Enforcement'!I991,"")</f>
        <v/>
      </c>
      <c r="K991" t="str">
        <f>IF($A991&lt;&gt;"",'Approved-Enforcement'!J991,"")</f>
        <v/>
      </c>
      <c r="L991" t="str">
        <f>IF($A991&lt;&gt;"",'Approved-Enforcement'!K991,"")</f>
        <v/>
      </c>
      <c r="M991" t="str">
        <f>IF($A991&lt;&gt;"",'Approved-Enforcement'!L991,"")</f>
        <v/>
      </c>
      <c r="N991" t="str">
        <f>IF($A991&lt;&gt;"",'Approved-Enforcement'!M991,"")</f>
        <v/>
      </c>
      <c r="O991" t="str">
        <f>IF($A991&lt;&gt;"",'Approved-Enforcement'!N991,"")</f>
        <v/>
      </c>
      <c r="P991" t="str">
        <f>IF($A991&lt;&gt;"",'Approved-Enforcement'!O991,"")</f>
        <v/>
      </c>
    </row>
    <row r="992" spans="1:16" x14ac:dyDescent="0.35">
      <c r="A992" s="4" t="str">
        <f>IF('Approved-Enforcement'!$A992&lt;&gt;"",'Approved-Enforcement'!A992,"")</f>
        <v/>
      </c>
      <c r="B992" t="str">
        <f t="shared" si="15"/>
        <v/>
      </c>
      <c r="D992" t="str">
        <f>IF($A992&lt;&gt;"",IF($R992&lt;&gt;"",$R992,'Approved-Enforcement'!$B992+7),"")</f>
        <v/>
      </c>
      <c r="E992" t="str">
        <f>IF($A992&lt;&gt;"",'Approved-Enforcement'!D992,"")</f>
        <v/>
      </c>
      <c r="F992" t="str">
        <f>IF($A992&lt;&gt;"",'Approved-Enforcement'!E992,"")</f>
        <v/>
      </c>
      <c r="G992" t="str">
        <f>IF($A992&lt;&gt;"",'Approved-Enforcement'!F992,"")</f>
        <v/>
      </c>
      <c r="H992" t="str">
        <f>IF($A992&lt;&gt;"",'Approved-Enforcement'!G992,"")</f>
        <v/>
      </c>
      <c r="I992" t="str">
        <f>IF($A992&lt;&gt;"",'Approved-Enforcement'!H992,"")</f>
        <v/>
      </c>
      <c r="J992" t="str">
        <f>IF($A992&lt;&gt;"",'Approved-Enforcement'!I992,"")</f>
        <v/>
      </c>
      <c r="K992" t="str">
        <f>IF($A992&lt;&gt;"",'Approved-Enforcement'!J992,"")</f>
        <v/>
      </c>
      <c r="L992" t="str">
        <f>IF($A992&lt;&gt;"",'Approved-Enforcement'!K992,"")</f>
        <v/>
      </c>
      <c r="M992" t="str">
        <f>IF($A992&lt;&gt;"",'Approved-Enforcement'!L992,"")</f>
        <v/>
      </c>
      <c r="N992" t="str">
        <f>IF($A992&lt;&gt;"",'Approved-Enforcement'!M992,"")</f>
        <v/>
      </c>
      <c r="O992" t="str">
        <f>IF($A992&lt;&gt;"",'Approved-Enforcement'!N992,"")</f>
        <v/>
      </c>
      <c r="P992" t="str">
        <f>IF($A992&lt;&gt;"",'Approved-Enforcement'!O992,"")</f>
        <v/>
      </c>
    </row>
    <row r="993" spans="1:16" x14ac:dyDescent="0.35">
      <c r="A993" s="4" t="str">
        <f>IF('Approved-Enforcement'!$A993&lt;&gt;"",'Approved-Enforcement'!A993,"")</f>
        <v/>
      </c>
      <c r="B993" t="str">
        <f t="shared" si="15"/>
        <v/>
      </c>
      <c r="D993" t="str">
        <f>IF($A993&lt;&gt;"",IF($R993&lt;&gt;"",$R993,'Approved-Enforcement'!$B993+7),"")</f>
        <v/>
      </c>
      <c r="E993" t="str">
        <f>IF($A993&lt;&gt;"",'Approved-Enforcement'!D993,"")</f>
        <v/>
      </c>
      <c r="F993" t="str">
        <f>IF($A993&lt;&gt;"",'Approved-Enforcement'!E993,"")</f>
        <v/>
      </c>
      <c r="G993" t="str">
        <f>IF($A993&lt;&gt;"",'Approved-Enforcement'!F993,"")</f>
        <v/>
      </c>
      <c r="H993" t="str">
        <f>IF($A993&lt;&gt;"",'Approved-Enforcement'!G993,"")</f>
        <v/>
      </c>
      <c r="I993" t="str">
        <f>IF($A993&lt;&gt;"",'Approved-Enforcement'!H993,"")</f>
        <v/>
      </c>
      <c r="J993" t="str">
        <f>IF($A993&lt;&gt;"",'Approved-Enforcement'!I993,"")</f>
        <v/>
      </c>
      <c r="K993" t="str">
        <f>IF($A993&lt;&gt;"",'Approved-Enforcement'!J993,"")</f>
        <v/>
      </c>
      <c r="L993" t="str">
        <f>IF($A993&lt;&gt;"",'Approved-Enforcement'!K993,"")</f>
        <v/>
      </c>
      <c r="M993" t="str">
        <f>IF($A993&lt;&gt;"",'Approved-Enforcement'!L993,"")</f>
        <v/>
      </c>
      <c r="N993" t="str">
        <f>IF($A993&lt;&gt;"",'Approved-Enforcement'!M993,"")</f>
        <v/>
      </c>
      <c r="O993" t="str">
        <f>IF($A993&lt;&gt;"",'Approved-Enforcement'!N993,"")</f>
        <v/>
      </c>
      <c r="P993" t="str">
        <f>IF($A993&lt;&gt;"",'Approved-Enforcement'!O993,"")</f>
        <v/>
      </c>
    </row>
    <row r="994" spans="1:16" x14ac:dyDescent="0.35">
      <c r="A994" s="4" t="str">
        <f>IF('Approved-Enforcement'!$A994&lt;&gt;"",'Approved-Enforcement'!A994,"")</f>
        <v/>
      </c>
      <c r="B994" t="str">
        <f t="shared" si="15"/>
        <v/>
      </c>
      <c r="D994" t="str">
        <f>IF($A994&lt;&gt;"",IF($R994&lt;&gt;"",$R994,'Approved-Enforcement'!$B994+7),"")</f>
        <v/>
      </c>
      <c r="E994" t="str">
        <f>IF($A994&lt;&gt;"",'Approved-Enforcement'!D994,"")</f>
        <v/>
      </c>
      <c r="F994" t="str">
        <f>IF($A994&lt;&gt;"",'Approved-Enforcement'!E994,"")</f>
        <v/>
      </c>
      <c r="G994" t="str">
        <f>IF($A994&lt;&gt;"",'Approved-Enforcement'!F994,"")</f>
        <v/>
      </c>
      <c r="H994" t="str">
        <f>IF($A994&lt;&gt;"",'Approved-Enforcement'!G994,"")</f>
        <v/>
      </c>
      <c r="I994" t="str">
        <f>IF($A994&lt;&gt;"",'Approved-Enforcement'!H994,"")</f>
        <v/>
      </c>
      <c r="J994" t="str">
        <f>IF($A994&lt;&gt;"",'Approved-Enforcement'!I994,"")</f>
        <v/>
      </c>
      <c r="K994" t="str">
        <f>IF($A994&lt;&gt;"",'Approved-Enforcement'!J994,"")</f>
        <v/>
      </c>
      <c r="L994" t="str">
        <f>IF($A994&lt;&gt;"",'Approved-Enforcement'!K994,"")</f>
        <v/>
      </c>
      <c r="M994" t="str">
        <f>IF($A994&lt;&gt;"",'Approved-Enforcement'!L994,"")</f>
        <v/>
      </c>
      <c r="N994" t="str">
        <f>IF($A994&lt;&gt;"",'Approved-Enforcement'!M994,"")</f>
        <v/>
      </c>
      <c r="O994" t="str">
        <f>IF($A994&lt;&gt;"",'Approved-Enforcement'!N994,"")</f>
        <v/>
      </c>
      <c r="P994" t="str">
        <f>IF($A994&lt;&gt;"",'Approved-Enforcement'!O994,"")</f>
        <v/>
      </c>
    </row>
    <row r="995" spans="1:16" x14ac:dyDescent="0.35">
      <c r="A995" s="4" t="str">
        <f>IF('Approved-Enforcement'!$A995&lt;&gt;"",'Approved-Enforcement'!A995,"")</f>
        <v/>
      </c>
      <c r="B995" t="str">
        <f t="shared" si="15"/>
        <v/>
      </c>
      <c r="D995" t="str">
        <f>IF($A995&lt;&gt;"",IF($R995&lt;&gt;"",$R995,'Approved-Enforcement'!$B995+7),"")</f>
        <v/>
      </c>
      <c r="E995" t="str">
        <f>IF($A995&lt;&gt;"",'Approved-Enforcement'!D995,"")</f>
        <v/>
      </c>
      <c r="F995" t="str">
        <f>IF($A995&lt;&gt;"",'Approved-Enforcement'!E995,"")</f>
        <v/>
      </c>
      <c r="G995" t="str">
        <f>IF($A995&lt;&gt;"",'Approved-Enforcement'!F995,"")</f>
        <v/>
      </c>
      <c r="H995" t="str">
        <f>IF($A995&lt;&gt;"",'Approved-Enforcement'!G995,"")</f>
        <v/>
      </c>
      <c r="I995" t="str">
        <f>IF($A995&lt;&gt;"",'Approved-Enforcement'!H995,"")</f>
        <v/>
      </c>
      <c r="J995" t="str">
        <f>IF($A995&lt;&gt;"",'Approved-Enforcement'!I995,"")</f>
        <v/>
      </c>
      <c r="K995" t="str">
        <f>IF($A995&lt;&gt;"",'Approved-Enforcement'!J995,"")</f>
        <v/>
      </c>
      <c r="L995" t="str">
        <f>IF($A995&lt;&gt;"",'Approved-Enforcement'!K995,"")</f>
        <v/>
      </c>
      <c r="M995" t="str">
        <f>IF($A995&lt;&gt;"",'Approved-Enforcement'!L995,"")</f>
        <v/>
      </c>
      <c r="N995" t="str">
        <f>IF($A995&lt;&gt;"",'Approved-Enforcement'!M995,"")</f>
        <v/>
      </c>
      <c r="O995" t="str">
        <f>IF($A995&lt;&gt;"",'Approved-Enforcement'!N995,"")</f>
        <v/>
      </c>
      <c r="P995" t="str">
        <f>IF($A995&lt;&gt;"",'Approved-Enforcement'!O995,"")</f>
        <v/>
      </c>
    </row>
    <row r="996" spans="1:16" x14ac:dyDescent="0.35">
      <c r="A996" s="4" t="str">
        <f>IF('Approved-Enforcement'!$A996&lt;&gt;"",'Approved-Enforcement'!A996,"")</f>
        <v/>
      </c>
      <c r="B996" t="str">
        <f t="shared" si="15"/>
        <v/>
      </c>
      <c r="D996" t="str">
        <f>IF($A996&lt;&gt;"",IF($R996&lt;&gt;"",$R996,'Approved-Enforcement'!$B996+7),"")</f>
        <v/>
      </c>
      <c r="E996" t="str">
        <f>IF($A996&lt;&gt;"",'Approved-Enforcement'!D996,"")</f>
        <v/>
      </c>
      <c r="F996" t="str">
        <f>IF($A996&lt;&gt;"",'Approved-Enforcement'!E996,"")</f>
        <v/>
      </c>
      <c r="G996" t="str">
        <f>IF($A996&lt;&gt;"",'Approved-Enforcement'!F996,"")</f>
        <v/>
      </c>
      <c r="H996" t="str">
        <f>IF($A996&lt;&gt;"",'Approved-Enforcement'!G996,"")</f>
        <v/>
      </c>
      <c r="I996" t="str">
        <f>IF($A996&lt;&gt;"",'Approved-Enforcement'!H996,"")</f>
        <v/>
      </c>
      <c r="J996" t="str">
        <f>IF($A996&lt;&gt;"",'Approved-Enforcement'!I996,"")</f>
        <v/>
      </c>
      <c r="K996" t="str">
        <f>IF($A996&lt;&gt;"",'Approved-Enforcement'!J996,"")</f>
        <v/>
      </c>
      <c r="L996" t="str">
        <f>IF($A996&lt;&gt;"",'Approved-Enforcement'!K996,"")</f>
        <v/>
      </c>
      <c r="M996" t="str">
        <f>IF($A996&lt;&gt;"",'Approved-Enforcement'!L996,"")</f>
        <v/>
      </c>
      <c r="N996" t="str">
        <f>IF($A996&lt;&gt;"",'Approved-Enforcement'!M996,"")</f>
        <v/>
      </c>
      <c r="O996" t="str">
        <f>IF($A996&lt;&gt;"",'Approved-Enforcement'!N996,"")</f>
        <v/>
      </c>
      <c r="P996" t="str">
        <f>IF($A996&lt;&gt;"",'Approved-Enforcement'!O996,"")</f>
        <v/>
      </c>
    </row>
    <row r="997" spans="1:16" x14ac:dyDescent="0.35">
      <c r="A997" s="4" t="str">
        <f>IF('Approved-Enforcement'!$A997&lt;&gt;"",'Approved-Enforcement'!A997,"")</f>
        <v/>
      </c>
      <c r="B997" t="str">
        <f t="shared" si="15"/>
        <v/>
      </c>
      <c r="D997" t="str">
        <f>IF($A997&lt;&gt;"",IF($R997&lt;&gt;"",$R997,'Approved-Enforcement'!$B997+7),"")</f>
        <v/>
      </c>
      <c r="E997" t="str">
        <f>IF($A997&lt;&gt;"",'Approved-Enforcement'!D997,"")</f>
        <v/>
      </c>
      <c r="F997" t="str">
        <f>IF($A997&lt;&gt;"",'Approved-Enforcement'!E997,"")</f>
        <v/>
      </c>
      <c r="G997" t="str">
        <f>IF($A997&lt;&gt;"",'Approved-Enforcement'!F997,"")</f>
        <v/>
      </c>
      <c r="H997" t="str">
        <f>IF($A997&lt;&gt;"",'Approved-Enforcement'!G997,"")</f>
        <v/>
      </c>
      <c r="I997" t="str">
        <f>IF($A997&lt;&gt;"",'Approved-Enforcement'!H997,"")</f>
        <v/>
      </c>
      <c r="J997" t="str">
        <f>IF($A997&lt;&gt;"",'Approved-Enforcement'!I997,"")</f>
        <v/>
      </c>
      <c r="K997" t="str">
        <f>IF($A997&lt;&gt;"",'Approved-Enforcement'!J997,"")</f>
        <v/>
      </c>
      <c r="L997" t="str">
        <f>IF($A997&lt;&gt;"",'Approved-Enforcement'!K997,"")</f>
        <v/>
      </c>
      <c r="M997" t="str">
        <f>IF($A997&lt;&gt;"",'Approved-Enforcement'!L997,"")</f>
        <v/>
      </c>
      <c r="N997" t="str">
        <f>IF($A997&lt;&gt;"",'Approved-Enforcement'!M997,"")</f>
        <v/>
      </c>
      <c r="O997" t="str">
        <f>IF($A997&lt;&gt;"",'Approved-Enforcement'!N997,"")</f>
        <v/>
      </c>
      <c r="P997" t="str">
        <f>IF($A997&lt;&gt;"",'Approved-Enforcement'!O997,"")</f>
        <v/>
      </c>
    </row>
    <row r="998" spans="1:16" x14ac:dyDescent="0.35">
      <c r="A998" s="4" t="str">
        <f>IF('Approved-Enforcement'!$A998&lt;&gt;"",'Approved-Enforcement'!A998,"")</f>
        <v/>
      </c>
      <c r="B998" t="str">
        <f t="shared" si="15"/>
        <v/>
      </c>
      <c r="D998" t="str">
        <f>IF($A998&lt;&gt;"",IF($R998&lt;&gt;"",$R998,'Approved-Enforcement'!$B998+7),"")</f>
        <v/>
      </c>
      <c r="E998" t="str">
        <f>IF($A998&lt;&gt;"",'Approved-Enforcement'!D998,"")</f>
        <v/>
      </c>
      <c r="F998" t="str">
        <f>IF($A998&lt;&gt;"",'Approved-Enforcement'!E998,"")</f>
        <v/>
      </c>
      <c r="G998" t="str">
        <f>IF($A998&lt;&gt;"",'Approved-Enforcement'!F998,"")</f>
        <v/>
      </c>
      <c r="H998" t="str">
        <f>IF($A998&lt;&gt;"",'Approved-Enforcement'!G998,"")</f>
        <v/>
      </c>
      <c r="I998" t="str">
        <f>IF($A998&lt;&gt;"",'Approved-Enforcement'!H998,"")</f>
        <v/>
      </c>
      <c r="J998" t="str">
        <f>IF($A998&lt;&gt;"",'Approved-Enforcement'!I998,"")</f>
        <v/>
      </c>
      <c r="K998" t="str">
        <f>IF($A998&lt;&gt;"",'Approved-Enforcement'!J998,"")</f>
        <v/>
      </c>
      <c r="L998" t="str">
        <f>IF($A998&lt;&gt;"",'Approved-Enforcement'!K998,"")</f>
        <v/>
      </c>
      <c r="M998" t="str">
        <f>IF($A998&lt;&gt;"",'Approved-Enforcement'!L998,"")</f>
        <v/>
      </c>
      <c r="N998" t="str">
        <f>IF($A998&lt;&gt;"",'Approved-Enforcement'!M998,"")</f>
        <v/>
      </c>
      <c r="O998" t="str">
        <f>IF($A998&lt;&gt;"",'Approved-Enforcement'!N998,"")</f>
        <v/>
      </c>
      <c r="P998" t="str">
        <f>IF($A998&lt;&gt;"",'Approved-Enforcement'!O998,"")</f>
        <v/>
      </c>
    </row>
    <row r="999" spans="1:16" x14ac:dyDescent="0.35">
      <c r="A999" s="4" t="str">
        <f>IF('Approved-Enforcement'!$A999&lt;&gt;"",'Approved-Enforcement'!A999,"")</f>
        <v/>
      </c>
      <c r="B999" t="str">
        <f t="shared" si="15"/>
        <v/>
      </c>
      <c r="D999" t="str">
        <f>IF($A999&lt;&gt;"",IF($R999&lt;&gt;"",$R999,'Approved-Enforcement'!$B999+7),"")</f>
        <v/>
      </c>
      <c r="E999" t="str">
        <f>IF($A999&lt;&gt;"",'Approved-Enforcement'!D999,"")</f>
        <v/>
      </c>
      <c r="F999" t="str">
        <f>IF($A999&lt;&gt;"",'Approved-Enforcement'!E999,"")</f>
        <v/>
      </c>
      <c r="G999" t="str">
        <f>IF($A999&lt;&gt;"",'Approved-Enforcement'!F999,"")</f>
        <v/>
      </c>
      <c r="H999" t="str">
        <f>IF($A999&lt;&gt;"",'Approved-Enforcement'!G999,"")</f>
        <v/>
      </c>
      <c r="I999" t="str">
        <f>IF($A999&lt;&gt;"",'Approved-Enforcement'!H999,"")</f>
        <v/>
      </c>
      <c r="J999" t="str">
        <f>IF($A999&lt;&gt;"",'Approved-Enforcement'!I999,"")</f>
        <v/>
      </c>
      <c r="K999" t="str">
        <f>IF($A999&lt;&gt;"",'Approved-Enforcement'!J999,"")</f>
        <v/>
      </c>
      <c r="L999" t="str">
        <f>IF($A999&lt;&gt;"",'Approved-Enforcement'!K999,"")</f>
        <v/>
      </c>
      <c r="M999" t="str">
        <f>IF($A999&lt;&gt;"",'Approved-Enforcement'!L999,"")</f>
        <v/>
      </c>
      <c r="N999" t="str">
        <f>IF($A999&lt;&gt;"",'Approved-Enforcement'!M999,"")</f>
        <v/>
      </c>
      <c r="O999" t="str">
        <f>IF($A999&lt;&gt;"",'Approved-Enforcement'!N999,"")</f>
        <v/>
      </c>
      <c r="P999" t="str">
        <f>IF($A999&lt;&gt;"",'Approved-Enforcement'!O999,"")</f>
        <v/>
      </c>
    </row>
    <row r="1000" spans="1:16" x14ac:dyDescent="0.35">
      <c r="A1000" s="4" t="str">
        <f>IF('Approved-Enforcement'!$A1000&lt;&gt;"",'Approved-Enforcement'!A1000,"")</f>
        <v/>
      </c>
      <c r="B1000" t="str">
        <f t="shared" si="15"/>
        <v/>
      </c>
      <c r="D1000" t="str">
        <f>IF($A1000&lt;&gt;"",IF($R1000&lt;&gt;"",$R1000,'Approved-Enforcement'!$B1000+7),"")</f>
        <v/>
      </c>
      <c r="E1000" t="str">
        <f>IF($A1000&lt;&gt;"",'Approved-Enforcement'!D1000,"")</f>
        <v/>
      </c>
      <c r="F1000" t="str">
        <f>IF($A1000&lt;&gt;"",'Approved-Enforcement'!E1000,"")</f>
        <v/>
      </c>
      <c r="G1000" t="str">
        <f>IF($A1000&lt;&gt;"",'Approved-Enforcement'!F1000,"")</f>
        <v/>
      </c>
      <c r="H1000" t="str">
        <f>IF($A1000&lt;&gt;"",'Approved-Enforcement'!G1000,"")</f>
        <v/>
      </c>
      <c r="I1000" t="str">
        <f>IF($A1000&lt;&gt;"",'Approved-Enforcement'!H1000,"")</f>
        <v/>
      </c>
      <c r="J1000" t="str">
        <f>IF($A1000&lt;&gt;"",'Approved-Enforcement'!I1000,"")</f>
        <v/>
      </c>
      <c r="K1000" t="str">
        <f>IF($A1000&lt;&gt;"",'Approved-Enforcement'!J1000,"")</f>
        <v/>
      </c>
      <c r="L1000" t="str">
        <f>IF($A1000&lt;&gt;"",'Approved-Enforcement'!K1000,"")</f>
        <v/>
      </c>
      <c r="M1000" t="str">
        <f>IF($A1000&lt;&gt;"",'Approved-Enforcement'!L1000,"")</f>
        <v/>
      </c>
      <c r="N1000" t="str">
        <f>IF($A1000&lt;&gt;"",'Approved-Enforcement'!M1000,"")</f>
        <v/>
      </c>
      <c r="O1000" t="str">
        <f>IF($A1000&lt;&gt;"",'Approved-Enforcement'!N1000,"")</f>
        <v/>
      </c>
      <c r="P1000" t="str">
        <f>IF($A1000&lt;&gt;"",'Approved-Enforcement'!O1000,"")</f>
        <v/>
      </c>
    </row>
  </sheetData>
  <conditionalFormatting sqref="D2:D1000">
    <cfRule type="expression" dxfId="1" priority="1">
      <formula>AND($A2&lt;&gt;"",$D2&lt;TODAY())</formula>
    </cfRule>
    <cfRule type="expression" dxfId="0" priority="2">
      <formula>AND($A2&lt;&gt;"",$D2&gt;=TODAY(),$D2&lt;=TODAY()+3)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1"/>
  <sheetViews>
    <sheetView workbookViewId="0">
      <selection activeCell="L7" sqref="L7"/>
    </sheetView>
  </sheetViews>
  <sheetFormatPr defaultRowHeight="14.5" x14ac:dyDescent="0.35"/>
  <cols>
    <col min="1" max="1" width="35.81640625" customWidth="1"/>
    <col min="2" max="2" width="14.1796875" style="4" customWidth="1"/>
    <col min="3" max="3" width="10.26953125" customWidth="1"/>
    <col min="6" max="6" width="18.08984375" customWidth="1"/>
    <col min="7" max="7" width="16" customWidth="1"/>
  </cols>
  <sheetData>
    <row r="1" spans="1:2" s="5" customFormat="1" ht="25" customHeight="1" x14ac:dyDescent="0.35">
      <c r="A1" s="39" t="s">
        <v>22</v>
      </c>
      <c r="B1" s="39"/>
    </row>
    <row r="2" spans="1:2" s="5" customFormat="1" ht="20" customHeight="1" x14ac:dyDescent="0.35">
      <c r="A2" s="7" t="s">
        <v>23</v>
      </c>
      <c r="B2" s="8">
        <f>COUNTA('All Cases - Enter Cases'!A2:A1000)</f>
        <v>15</v>
      </c>
    </row>
    <row r="3" spans="1:2" s="5" customFormat="1" ht="20" customHeight="1" x14ac:dyDescent="0.35">
      <c r="A3" s="7" t="s">
        <v>24</v>
      </c>
      <c r="B3" s="8">
        <f>COUNTIF('All Cases - Enter Cases'!K2:K1000,"Approved")</f>
        <v>14</v>
      </c>
    </row>
    <row r="4" spans="1:2" s="5" customFormat="1" ht="20" customHeight="1" x14ac:dyDescent="0.35">
      <c r="A4" s="7" t="s">
        <v>25</v>
      </c>
      <c r="B4" s="8">
        <f>COUNTIF('All Cases - Enter Cases'!K2:K1000,"Rejected")</f>
        <v>1</v>
      </c>
    </row>
    <row r="5" spans="1:2" s="5" customFormat="1" ht="20" customHeight="1" x14ac:dyDescent="0.35">
      <c r="A5" s="7" t="s">
        <v>26</v>
      </c>
      <c r="B5" s="8">
        <f>COUNTIF('All Cases - Enter Cases'!K2:K1000,"In-Hand")</f>
        <v>0</v>
      </c>
    </row>
    <row r="6" spans="1:2" s="5" customFormat="1" ht="20" customHeight="1" x14ac:dyDescent="0.35">
      <c r="A6" s="7" t="s">
        <v>27</v>
      </c>
      <c r="B6" s="9">
        <f>IFERROR(B3/(B3+B4),0)</f>
        <v>0.93333333333333335</v>
      </c>
    </row>
    <row r="7" spans="1:2" s="5" customFormat="1" ht="20" customHeight="1" x14ac:dyDescent="0.35">
      <c r="A7" s="7" t="s">
        <v>28</v>
      </c>
      <c r="B7" s="9">
        <f>IFERROR(B4/(B3+B4),0)</f>
        <v>6.6666666666666666E-2</v>
      </c>
    </row>
    <row r="8" spans="1:2" s="5" customFormat="1" ht="20" customHeight="1" x14ac:dyDescent="0.35">
      <c r="A8" s="7" t="s">
        <v>29</v>
      </c>
      <c r="B8" s="8">
        <f>B3+B5</f>
        <v>14</v>
      </c>
    </row>
    <row r="10" spans="1:2" ht="31" x14ac:dyDescent="0.35">
      <c r="A10" s="2" t="s">
        <v>30</v>
      </c>
    </row>
    <row r="11" spans="1:2" ht="15" customHeight="1" x14ac:dyDescent="0.35">
      <c r="A11" t="s">
        <v>31</v>
      </c>
      <c r="B11" s="6">
        <f>SUM('Invoice Due'!B2:B1000)</f>
        <v>21000</v>
      </c>
    </row>
    <row r="12" spans="1:2" ht="15" customHeight="1" x14ac:dyDescent="0.35">
      <c r="A12" t="s">
        <v>32</v>
      </c>
      <c r="B12" s="6">
        <f>B5*1500</f>
        <v>0</v>
      </c>
    </row>
    <row r="13" spans="1:2" ht="15" customHeight="1" x14ac:dyDescent="0.35">
      <c r="A13" t="s">
        <v>33</v>
      </c>
      <c r="B13" s="6">
        <f>SUM('Invoice Due'!B2:B1000)+B5*1500</f>
        <v>21000</v>
      </c>
    </row>
    <row r="14" spans="1:2" ht="15" customHeight="1" x14ac:dyDescent="0.35">
      <c r="A14" t="s">
        <v>34</v>
      </c>
      <c r="B14" s="6">
        <f>B4*1500</f>
        <v>1500</v>
      </c>
    </row>
    <row r="15" spans="1:2" ht="15" customHeight="1" x14ac:dyDescent="0.35">
      <c r="A15" t="s">
        <v>35</v>
      </c>
      <c r="B15" s="6">
        <f>IFERROR(SUM('Invoice Due'!B2:B1000)/B3,0)</f>
        <v>1500</v>
      </c>
    </row>
    <row r="16" spans="1:2" ht="15" customHeight="1" x14ac:dyDescent="0.35">
      <c r="A16" t="s">
        <v>36</v>
      </c>
      <c r="B16" s="6">
        <f>SUM('Invoice Due'!B2:B1000)</f>
        <v>21000</v>
      </c>
    </row>
    <row r="18" spans="1:7" ht="31" x14ac:dyDescent="0.35">
      <c r="A18" s="2" t="s">
        <v>37</v>
      </c>
    </row>
    <row r="19" spans="1:7" x14ac:dyDescent="0.35">
      <c r="A19" t="s">
        <v>38</v>
      </c>
      <c r="B19" s="4">
        <f ca="1">COUNTIFS('Approved-In-Depth'!A2:A1000,"&lt;&gt;",'Approved-In-Depth'!B2:B1000,"&lt;"&amp;TODAY())</f>
        <v>11</v>
      </c>
    </row>
    <row r="20" spans="1:7" x14ac:dyDescent="0.35">
      <c r="A20" t="s">
        <v>39</v>
      </c>
      <c r="B20" s="4">
        <f ca="1">COUNTIFS('Approved-Enforcement'!A2:A1000,"&lt;&gt;",'Approved-Enforcement'!B2:B1000,"&lt;"&amp;TODAY())</f>
        <v>4</v>
      </c>
    </row>
    <row r="21" spans="1:7" x14ac:dyDescent="0.35">
      <c r="A21" t="s">
        <v>40</v>
      </c>
      <c r="B21" s="4">
        <f ca="1">COUNTIFS('Invoice Due'!A2:A1000,"&lt;&gt;",'Invoice Due'!D2:D1000,"&lt;"&amp;TODAY())</f>
        <v>1</v>
      </c>
    </row>
    <row r="22" spans="1:7" x14ac:dyDescent="0.35">
      <c r="A22" t="s">
        <v>41</v>
      </c>
      <c r="B22" s="4">
        <f ca="1">IFERROR(TODAY()-_xludf.AGGREGATE(15,6,'Approved-In-Depth'!B2:B1000/('Approved-In-Depth'!A2:A1000&lt;&gt;""),1),0)</f>
        <v>0</v>
      </c>
    </row>
    <row r="23" spans="1:7" x14ac:dyDescent="0.35">
      <c r="A23" t="s">
        <v>42</v>
      </c>
      <c r="B23" s="4">
        <f ca="1">COUNTIFS('Approved-In-Depth'!A2:A1000,"&lt;&gt;",'Approved-In-Depth'!B2:B1000,"&lt;"&amp;(TODAY()-7))</f>
        <v>4</v>
      </c>
    </row>
    <row r="24" spans="1:7" x14ac:dyDescent="0.35">
      <c r="A24" t="s">
        <v>43</v>
      </c>
      <c r="B24" s="4">
        <f ca="1">COUNTIFS('Approved-In-Depth'!A2:A1000,"&lt;&gt;",'Approved-In-Depth'!B2:B1000,"&lt;"&amp;(TODAY()-14))</f>
        <v>1</v>
      </c>
    </row>
    <row r="26" spans="1:7" ht="31" x14ac:dyDescent="0.35">
      <c r="A26" s="2" t="s">
        <v>44</v>
      </c>
    </row>
    <row r="27" spans="1:7" ht="43.5" x14ac:dyDescent="0.35">
      <c r="A27" s="1" t="s">
        <v>45</v>
      </c>
      <c r="B27" s="1" t="s">
        <v>46</v>
      </c>
      <c r="C27" s="1" t="s">
        <v>47</v>
      </c>
      <c r="D27" s="1" t="s">
        <v>48</v>
      </c>
      <c r="E27" s="1" t="s">
        <v>49</v>
      </c>
      <c r="F27" s="1" t="s">
        <v>50</v>
      </c>
      <c r="G27" s="1" t="s">
        <v>51</v>
      </c>
    </row>
    <row r="28" spans="1:7" x14ac:dyDescent="0.35">
      <c r="A28" t="s">
        <v>52</v>
      </c>
      <c r="B28" s="4">
        <f>COUNTIF('All Cases - Enter Cases'!F2:F1000,"Sindh")</f>
        <v>4</v>
      </c>
      <c r="C28">
        <f>COUNTIFS('All Cases - Enter Cases'!F2:F1000,"Sindh",'All Cases - Enter Cases'!K2:K1000,"Approved")</f>
        <v>4</v>
      </c>
      <c r="D28">
        <f>COUNTIFS('All Cases - Enter Cases'!F2:F1000,"Sindh",'All Cases - Enter Cases'!K2:K1000,"In-Hand")</f>
        <v>0</v>
      </c>
      <c r="E28">
        <f>COUNTIFS('All Cases - Enter Cases'!F2:F1000,"Sindh",'All Cases - Enter Cases'!K2:K1000,"Rejected")</f>
        <v>0</v>
      </c>
      <c r="F28" s="3">
        <f>SUMIFS('Invoice Due'!B2:B1000,'Invoice Due'!I2:I1000,"Sindh")</f>
        <v>0</v>
      </c>
      <c r="G28" s="3">
        <f>D28*1500</f>
        <v>0</v>
      </c>
    </row>
    <row r="29" spans="1:7" x14ac:dyDescent="0.35">
      <c r="A29" t="s">
        <v>53</v>
      </c>
      <c r="B29" s="4">
        <f>COUNTIF('All Cases - Enter Cases'!F2:F1000,"Punjab")</f>
        <v>11</v>
      </c>
      <c r="C29">
        <f>COUNTIFS('All Cases - Enter Cases'!F2:F1000,"Punjab",'All Cases - Enter Cases'!K2:K1000,"Approved")</f>
        <v>10</v>
      </c>
      <c r="D29">
        <f>COUNTIFS('All Cases - Enter Cases'!F2:F1000,"Punjab",'All Cases - Enter Cases'!K2:K1000,"In-Hand")</f>
        <v>0</v>
      </c>
      <c r="E29">
        <f>COUNTIFS('All Cases - Enter Cases'!F2:F1000,"Punjab",'All Cases - Enter Cases'!K2:K1000,"Rejected")</f>
        <v>1</v>
      </c>
      <c r="F29" s="3">
        <f>SUMIFS('Invoice Due'!B2:B1000,'Invoice Due'!I2:I1000,"Punjab")</f>
        <v>0</v>
      </c>
      <c r="G29" s="3">
        <f>D29*1500</f>
        <v>0</v>
      </c>
    </row>
    <row r="30" spans="1:7" x14ac:dyDescent="0.35">
      <c r="A30" t="s">
        <v>54</v>
      </c>
      <c r="B30" s="4">
        <f>COUNTIF('All Cases - Enter Cases'!F2:F1000,"KPK")</f>
        <v>0</v>
      </c>
      <c r="C30">
        <f>COUNTIFS('All Cases - Enter Cases'!F2:F1000,"KPK",'All Cases - Enter Cases'!K2:K1000,"Approved")</f>
        <v>0</v>
      </c>
      <c r="D30">
        <f>COUNTIFS('All Cases - Enter Cases'!F2:F1000,"KPK",'All Cases - Enter Cases'!K2:K1000,"In-Hand")</f>
        <v>0</v>
      </c>
      <c r="E30">
        <f>COUNTIFS('All Cases - Enter Cases'!F2:F1000,"KPK",'All Cases - Enter Cases'!K2:K1000,"Rejected")</f>
        <v>0</v>
      </c>
      <c r="F30" s="3">
        <f>SUMIFS('Invoice Due'!B2:B1000,'Invoice Due'!I2:I1000,"KPK")</f>
        <v>0</v>
      </c>
      <c r="G30" s="3">
        <f>D30*1500</f>
        <v>0</v>
      </c>
    </row>
    <row r="31" spans="1:7" x14ac:dyDescent="0.35">
      <c r="A31" t="s">
        <v>55</v>
      </c>
      <c r="B31" s="4">
        <f>COUNTIF('All Cases - Enter Cases'!F2:F1000,"Balochistan")</f>
        <v>0</v>
      </c>
      <c r="C31">
        <f>COUNTIFS('All Cases - Enter Cases'!F2:F1000,"Balochistan",'All Cases - Enter Cases'!K2:K1000,"Approved")</f>
        <v>0</v>
      </c>
      <c r="D31">
        <f>COUNTIFS('All Cases - Enter Cases'!F2:F1000,"Balochistan",'All Cases - Enter Cases'!K2:K1000,"In-Hand")</f>
        <v>0</v>
      </c>
      <c r="E31">
        <f>COUNTIFS('All Cases - Enter Cases'!F2:F1000,"Balochistan",'All Cases - Enter Cases'!K2:K1000,"Rejected")</f>
        <v>0</v>
      </c>
      <c r="F31" s="3">
        <f>SUMIFS('Invoice Due'!B2:B1000,'Invoice Due'!I2:I1000,"Balochistan")</f>
        <v>0</v>
      </c>
      <c r="G31" s="3">
        <f>D31*1500</f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Cases - Enter Cases</vt:lpstr>
      <vt:lpstr>Sindh</vt:lpstr>
      <vt:lpstr>Punjab</vt:lpstr>
      <vt:lpstr>KPK</vt:lpstr>
      <vt:lpstr>Balochistan</vt:lpstr>
      <vt:lpstr>Approved-In-Depth</vt:lpstr>
      <vt:lpstr>Approved-Enforcement</vt:lpstr>
      <vt:lpstr>Invoice Due</vt:lpstr>
      <vt:lpstr>Management 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Umran Zamir</cp:lastModifiedBy>
  <dcterms:created xsi:type="dcterms:W3CDTF">2026-01-25T17:29:54Z</dcterms:created>
  <dcterms:modified xsi:type="dcterms:W3CDTF">2026-01-26T10:31:39Z</dcterms:modified>
</cp:coreProperties>
</file>